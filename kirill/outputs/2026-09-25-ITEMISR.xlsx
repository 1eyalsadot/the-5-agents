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Main List" sheetId="2" state="visible" r:id="rId4"/>
    <sheet name="111 - Superpharm Life" sheetId="3" state="visible" r:id="rId5"/>
    <sheet name="112 - Kupat Holim Clalit" sheetId="4" state="visible" r:id="rId6"/>
    <sheet name="SALES Raw" sheetId="5" state="visible" r:id="rId7"/>
    <sheet name="CEMIUP0.9 Raw" sheetId="6" state="visible" r:id="rId8"/>
    <sheet name="TRANS" sheetId="7" state="visible" r:id="rId9"/>
    <sheet name="Cata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<sst xmlns="http://schemas.openxmlformats.org/spreadsheetml/2006/main" count="16586" uniqueCount="1986">
  <si>
    <t xml:space="preserve">ITEMISR — Consolidated Product List (12 categories), 2025 vs 2026 (Normalized) — v2: merged by product</t>
  </si>
  <si>
    <t xml:space="preserve">Calculation date:</t>
  </si>
  <si>
    <t xml:space="preserve">UPDATED 25/09/2026 (v2): "Main List" scope narrowed to 12 categories - 101/102/103/104/105/106/108/109/114/115 pulled directly from SALES (matched to CHEMIPAL Code via TRANS then Catalog) + 107/113 pulled from kirill/outputs/2026-09-25-CEMIUP0.9-grouped-2025-vs-2026.xlsx ("בתי מרקחת"/"מאוחדת", already CEMI+SALES combined + 0.91-adjusted there - NOT re-pulled from SALES, to avoid double-counting). BE / סופר פארם / מכבי are NOT included this time (not requested). "110-Chemipal" excluded (not relevant). "111-Superpharm Life" and "112-Kupat Holim Clalit" remain in their OWN separate sheets - NOT in Main List or any consolidated total (unaffected by this update, still per-row not merged). KEY CHANGE: each CHEMIPAL Code (or raw item name, if unmatched) now appears ONLY ONCE in Main List - Quantity/Amount are SUMMED across every included category where it was sold. DROP/NEW (red/green) are determined on this summed total (a product sold in 2025 via one category and 2026 via a different one is NOT DROP). "Source Category" lists ALL contributing categories per row (comma-separated). 0.91: already baked into 107/113's CEMI-sourced portions upstream, not re-applied; never applied to the 10 direct-SALES categories. 2026 = normalized to a full year (×12/9.5 for direct-SALES rows; 107/113 already annualized upstream). Sorted by Quantity 2026 (normalized), descending. RED = DROP (sold 2025, exactly 0 in 2026, summed). GREEN = NEW (0 in 2025, sold in 2026, summed).</t>
  </si>
  <si>
    <t xml:space="preserve">Sheet map</t>
  </si>
  <si>
    <t xml:space="preserve">Sheet</t>
  </si>
  <si>
    <t xml:space="preserve">Contents</t>
  </si>
  <si>
    <t xml:space="preserve">Main List</t>
  </si>
  <si>
    <t xml:space="preserve">Merged by product across 12 categories (101/102/103/104/105/106/108/109/114/115 direct + 107/113 from CEMIUP0.9), sorted by Quantity 2026 desc, DROP/NEW colored. Each product appears once (summed across categories). CHEMIPAL Code blank when unmatched (ITEM NAME/שם מוצר still shown). "Top Source"/"2nd Source" columns (by Qty 2026) replace the old full category list.</t>
  </si>
  <si>
    <t xml:space="preserve">111 - Superpharm Life</t>
  </si>
  <si>
    <t xml:space="preserve">Standalone - not in Main List/totals. Sale Type "111 - Superpharm Life" from SALES, matched via TRANS/Catalog (0% matched - private-label SKUs).</t>
  </si>
  <si>
    <t xml:space="preserve">112 - Kupat Holim Clalit</t>
  </si>
  <si>
    <t xml:space="preserve">Standalone - not in Main List/totals. Sale Type "112 - Kupat Holim Clalit" from SALES, matched via TRANS/Catalog (0% matched - private-label SKUs).</t>
  </si>
  <si>
    <t xml:space="preserve">SALES Raw</t>
  </si>
  <si>
    <t xml:space="preserve">Pre-aggregated item-level data (per category+item) for all 28 SALES-sourced categories (26 direct + 111 + 112), with live CHEMIPAL Code match.</t>
  </si>
  <si>
    <t xml:space="preserve">CEMIUP0.9 Raw</t>
  </si>
  <si>
    <t xml:space="preserve">Already-resolved product rows imported from CEMIUP0.9 (107/113/BE/סופר פארם/מכבי) - literal values, that file is the audit trail.</t>
  </si>
  <si>
    <t xml:space="preserve">TRANS</t>
  </si>
  <si>
    <t xml:space="preserve">Crosswalk table (short NetSuite-style codes -&gt; CHEMIPAL Code) - primary match source for SALES Raw.</t>
  </si>
  <si>
    <t xml:space="preserve">Catalog</t>
  </si>
  <si>
    <t xml:space="preserve">Global מק"ט&lt;-&gt;item-name catalog (PPLAY1-format) - fallback match source for SALES Raw.</t>
  </si>
  <si>
    <t xml:space="preserve">Summary</t>
  </si>
  <si>
    <t xml:space="preserve"># Rows</t>
  </si>
  <si>
    <t xml:space="preserve">Qty 2025</t>
  </si>
  <si>
    <t xml:space="preserve">Amt 2025 (₪)</t>
  </si>
  <si>
    <t xml:space="preserve">Qty 2026 (norm)</t>
  </si>
  <si>
    <t xml:space="preserve">Amt 2026 (norm, ₪)</t>
  </si>
  <si>
    <t xml:space="preserve"># DROP</t>
  </si>
  <si>
    <t xml:space="preserve"># NEW</t>
  </si>
  <si>
    <t xml:space="preserve">Main List — merged by product (CHEMIPAL Code / raw name), 10 direct-SALES categories + 107/113 (from CEMIUP0.9)</t>
  </si>
  <si>
    <t xml:space="preserve">UPDATED 25/09/2026 (v3, per explicit instruction): CHEMIPAL Code (col A) is now BLANK for unmatched items (previously showed the raw item name as a stand-in - fixed for consistency with how BETI/מאוחדת always leave the code blank when unmatched). ITEM NAME (col B) and שם מוצר (col C) still show the raw/descriptive identifier regardless of match status. The internal Product Key used by all formulas here (CHEMIPAL Code when matched, else the raw item name) is kept visible in column J for full transparency/audit, since it is what actually drives every SUMIFS below. Source Category (single comma-separated list) REPLACED by two columns per instruction: "Top Source" = the single category that contributed the most Quantity 2026 (normalized) to this product, "2nd Source" = the second-most (blank if only one category contributed). Chosen criterion: Quantity 2026 (normalized), for consistency with the list's own sort order. Everything else unchanged from the previous version: merged by product across 12 categories - 101/102/103/104/105/106/108/109/114/115 direct from SALES (matched via TRANS then Catalog) + 107/113 from kirill/outputs/2026-09-25-CEMIUP0.9-grouped-2025-vs-2026.xlsx (already CEMI+SALES combined + 0.91-adjusted there, NOT re-pulled from SALES). BE/סופר פארם/מכבי NOT included. 111/112 remain in their own separate sheets, unaffected. 0.91 not re-applied here; not applied to the 10 direct-SALES categories. 2026 = normalized to a full year (×12/9.5 for direct-SALES; 107/113 already annualized upstream). Sorted by Quantity 2026 (normalized), descending.</t>
  </si>
  <si>
    <t xml:space="preserve">Normalization factor (2026, direct-SALES categories only - 107/113 already annualized upstream):</t>
  </si>
  <si>
    <t xml:space="preserve">Factor (12/9.5):</t>
  </si>
  <si>
    <t xml:space="preserve">CHEMIPAL Code</t>
  </si>
  <si>
    <t xml:space="preserve">ITEM NAME</t>
  </si>
  <si>
    <t xml:space="preserve">שם מוצר</t>
  </si>
  <si>
    <t xml:space="preserve">כמות 2025</t>
  </si>
  <si>
    <t xml:space="preserve">כסף 2025 (₪)</t>
  </si>
  <si>
    <t xml:space="preserve">כמות 2026 (מנורמל)</t>
  </si>
  <si>
    <t xml:space="preserve">כסף 2026 (מנורמל, ₪)</t>
  </si>
  <si>
    <t xml:space="preserve">Top Source</t>
  </si>
  <si>
    <t xml:space="preserve">2nd Source</t>
  </si>
  <si>
    <t xml:space="preserve">Internal Product Key (audit)</t>
  </si>
  <si>
    <t xml:space="preserve">114 - IL online</t>
  </si>
  <si>
    <t xml:space="preserve">107 - Pharmacies</t>
  </si>
  <si>
    <t xml:space="preserve">102 - Orthopedic institutes</t>
  </si>
  <si>
    <t xml:space="preserve">67 0</t>
  </si>
  <si>
    <t xml:space="preserve">101 - Factory customers</t>
  </si>
  <si>
    <t xml:space="preserve">M95</t>
  </si>
  <si>
    <t xml:space="preserve">113 - Kupat Holim Meuhedet</t>
  </si>
  <si>
    <t xml:space="preserve">115-SuperPharm Online</t>
  </si>
  <si>
    <t xml:space="preserve">M92</t>
  </si>
  <si>
    <t xml:space="preserve">M94</t>
  </si>
  <si>
    <t xml:space="preserve">30 Nights Trial</t>
  </si>
  <si>
    <t xml:space="preserve">103 - Physiotherapy institutes</t>
  </si>
  <si>
    <t xml:space="preserve">109 - Private Shops</t>
  </si>
  <si>
    <t xml:space="preserve">8011 0</t>
  </si>
  <si>
    <t xml:space="preserve">106 - Hospitals</t>
  </si>
  <si>
    <t xml:space="preserve">M93</t>
  </si>
  <si>
    <t xml:space="preserve">395W-43-46</t>
  </si>
  <si>
    <t xml:space="preserve">363 L/R</t>
  </si>
  <si>
    <t xml:space="preserve">395W-39-42</t>
  </si>
  <si>
    <t xml:space="preserve">104 - Sports Shop</t>
  </si>
  <si>
    <t xml:space="preserve">84-S-M</t>
  </si>
  <si>
    <t xml:space="preserve">391B-43-46</t>
  </si>
  <si>
    <t xml:space="preserve">84-L-XXL</t>
  </si>
  <si>
    <t xml:space="preserve">395W-35-38</t>
  </si>
  <si>
    <t xml:space="preserve">FC3422 0</t>
  </si>
  <si>
    <t xml:space="preserve">312 9 מ""ס להתאמהX5 מדבקה גדולה</t>
  </si>
  <si>
    <t xml:space="preserve">365 S-L</t>
  </si>
  <si>
    <t xml:space="preserve">11 XL""חגורת בטן""אורירית</t>
  </si>
  <si>
    <t xml:space="preserve">ST27R 0</t>
  </si>
  <si>
    <t xml:space="preserve">MSG001FB 0</t>
  </si>
  <si>
    <t xml:space="preserve">SH776 L</t>
  </si>
  <si>
    <t xml:space="preserve">11TO XXXL</t>
  </si>
  <si>
    <t xml:space="preserve">ST27L 0</t>
  </si>
  <si>
    <t xml:space="preserve">60B M</t>
  </si>
  <si>
    <t xml:space="preserve">MSG002S 0</t>
  </si>
  <si>
    <t xml:space="preserve">11 L""חגורת בטן""אורירית</t>
  </si>
  <si>
    <t xml:space="preserve">376-41-43</t>
  </si>
  <si>
    <t xml:space="preserve">808KTP-BL</t>
  </si>
  <si>
    <t xml:space="preserve">ST45X 0</t>
  </si>
  <si>
    <t xml:space="preserve">376-44-45</t>
  </si>
  <si>
    <t xml:space="preserve">395B-35-38</t>
  </si>
  <si>
    <t xml:space="preserve">394G-39-42</t>
  </si>
  <si>
    <t xml:space="preserve">45C XXL</t>
  </si>
  <si>
    <t xml:space="preserve">60B S</t>
  </si>
  <si>
    <t xml:space="preserve">SH776 XL</t>
  </si>
  <si>
    <t xml:space="preserve">808KTP-C</t>
  </si>
  <si>
    <t xml:space="preserve">T40B 0</t>
  </si>
  <si>
    <t xml:space="preserve">391W-43-46</t>
  </si>
  <si>
    <t xml:space="preserve">T33 L</t>
  </si>
  <si>
    <t xml:space="preserve">621B-M</t>
  </si>
  <si>
    <t xml:space="preserve">391B-39-42</t>
  </si>
  <si>
    <t xml:space="preserve">60B L</t>
  </si>
  <si>
    <t xml:space="preserve">ST433D 0</t>
  </si>
  <si>
    <t xml:space="preserve">105 - Pedicure Salons</t>
  </si>
  <si>
    <t xml:space="preserve">63 L</t>
  </si>
  <si>
    <t xml:space="preserve">30 Days Trial</t>
  </si>
  <si>
    <t xml:space="preserve">WEB-AC75-S-XL</t>
  </si>
  <si>
    <t xml:space="preserve">11 M""חגורת בטן""אורירית</t>
  </si>
  <si>
    <t xml:space="preserve">11 XXL""חגורת בטן""אורירית</t>
  </si>
  <si>
    <t xml:space="preserve">SH776 M</t>
  </si>
  <si>
    <t xml:space="preserve">305-41-42</t>
  </si>
  <si>
    <t xml:space="preserve">VMFPCB30 0</t>
  </si>
  <si>
    <t xml:space="preserve">67800020</t>
  </si>
  <si>
    <t xml:space="preserve">T03 L</t>
  </si>
  <si>
    <t xml:space="preserve">4022 רצועת ""פיקה""+כרית</t>
  </si>
  <si>
    <t xml:space="preserve">390G-39-42</t>
  </si>
  <si>
    <t xml:space="preserve">305-43-44</t>
  </si>
  <si>
    <t xml:space="preserve">63 M</t>
  </si>
  <si>
    <t xml:space="preserve">T39 M</t>
  </si>
  <si>
    <t xml:space="preserve">303-43-44</t>
  </si>
  <si>
    <t xml:space="preserve">808KTP-B</t>
  </si>
  <si>
    <t xml:space="preserve">369 XL</t>
  </si>
  <si>
    <t xml:space="preserve">T39 L</t>
  </si>
  <si>
    <t xml:space="preserve">18 M</t>
  </si>
  <si>
    <t xml:space="preserve">809PW-C</t>
  </si>
  <si>
    <t xml:space="preserve">MSG001FC</t>
  </si>
  <si>
    <t xml:space="preserve">T33 XL</t>
  </si>
  <si>
    <t xml:space="preserve">67600000</t>
  </si>
  <si>
    <t xml:space="preserve">06U M</t>
  </si>
  <si>
    <t xml:space="preserve">376-38-40</t>
  </si>
  <si>
    <t xml:space="preserve">N433D XL</t>
  </si>
  <si>
    <t xml:space="preserve">T78 XS</t>
  </si>
  <si>
    <t xml:space="preserve">T402 L</t>
  </si>
  <si>
    <t xml:space="preserve">099-L-XL</t>
  </si>
  <si>
    <t xml:space="preserve">303-39-40</t>
  </si>
  <si>
    <t xml:space="preserve">76 XXL</t>
  </si>
  <si>
    <t xml:space="preserve">11UG M</t>
  </si>
  <si>
    <t xml:space="preserve">N433D L</t>
  </si>
  <si>
    <t xml:space="preserve">621B-L</t>
  </si>
  <si>
    <t xml:space="preserve">621B-XL</t>
  </si>
  <si>
    <t xml:space="preserve">67813000</t>
  </si>
  <si>
    <t xml:space="preserve">T33 M</t>
  </si>
  <si>
    <t xml:space="preserve">35 XS</t>
  </si>
  <si>
    <t xml:space="preserve">T39 XL</t>
  </si>
  <si>
    <t xml:space="preserve">621B-S</t>
  </si>
  <si>
    <t xml:space="preserve">11UG XXL</t>
  </si>
  <si>
    <t xml:space="preserve">SP302W 0</t>
  </si>
  <si>
    <t xml:space="preserve">N433D M</t>
  </si>
  <si>
    <t xml:space="preserve">305-39-40</t>
  </si>
  <si>
    <t xml:space="preserve">T03 M</t>
  </si>
  <si>
    <t xml:space="preserve">T402 XL</t>
  </si>
  <si>
    <t xml:space="preserve">18 L</t>
  </si>
  <si>
    <t xml:space="preserve">07UB-L-XL</t>
  </si>
  <si>
    <t xml:space="preserve">394G-43-46</t>
  </si>
  <si>
    <t xml:space="preserve">422EB L</t>
  </si>
  <si>
    <t xml:space="preserve">T03 XL</t>
  </si>
  <si>
    <t xml:space="preserve">11UG S</t>
  </si>
  <si>
    <t xml:space="preserve">SH776 S</t>
  </si>
  <si>
    <t xml:space="preserve">95B XS</t>
  </si>
  <si>
    <t xml:space="preserve">364 S-L</t>
  </si>
  <si>
    <t xml:space="preserve">369 S-L</t>
  </si>
  <si>
    <t xml:space="preserve">13B S</t>
  </si>
  <si>
    <t xml:space="preserve">76 XS</t>
  </si>
  <si>
    <t xml:space="preserve">391B-35-38</t>
  </si>
  <si>
    <t xml:space="preserve">11EU S</t>
  </si>
  <si>
    <t xml:space="preserve">63 S</t>
  </si>
  <si>
    <t xml:space="preserve">T402 XXL</t>
  </si>
  <si>
    <t xml:space="preserve">T33 XXL</t>
  </si>
  <si>
    <t xml:space="preserve">50 XXL</t>
  </si>
  <si>
    <t xml:space="preserve">35C XS</t>
  </si>
  <si>
    <t xml:space="preserve">T03 XXL</t>
  </si>
  <si>
    <t xml:space="preserve">322B M</t>
  </si>
  <si>
    <t xml:space="preserve">808KTP-P</t>
  </si>
  <si>
    <t xml:space="preserve">61 M</t>
  </si>
  <si>
    <t xml:space="preserve">T33 S</t>
  </si>
  <si>
    <t xml:space="preserve">422EB M</t>
  </si>
  <si>
    <t xml:space="preserve">T45X L</t>
  </si>
  <si>
    <t xml:space="preserve">74-S-M</t>
  </si>
  <si>
    <t xml:space="preserve">07AU L ח.גב ""איטלקית"" אורירית</t>
  </si>
  <si>
    <t xml:space="preserve">07AU XXL.ח.גב ""איטלקית"" אוריר</t>
  </si>
  <si>
    <t xml:space="preserve">56B XL</t>
  </si>
  <si>
    <t xml:space="preserve">30 M</t>
  </si>
  <si>
    <t xml:space="preserve">13 M</t>
  </si>
  <si>
    <t xml:space="preserve">922 M</t>
  </si>
  <si>
    <t xml:space="preserve">377-41</t>
  </si>
  <si>
    <t xml:space="preserve">LUPD344 0</t>
  </si>
  <si>
    <t xml:space="preserve">26 XS</t>
  </si>
  <si>
    <t xml:space="preserve">322 M</t>
  </si>
  <si>
    <t xml:space="preserve">WEB-AC75 XXL</t>
  </si>
  <si>
    <t xml:space="preserve">FC330Z 0</t>
  </si>
  <si>
    <t xml:space="preserve">95G M</t>
  </si>
  <si>
    <t xml:space="preserve">95G S</t>
  </si>
  <si>
    <t xml:space="preserve">VMSPCC52 0</t>
  </si>
  <si>
    <t xml:space="preserve">13 L</t>
  </si>
  <si>
    <t xml:space="preserve">18 XL</t>
  </si>
  <si>
    <t xml:space="preserve">LUPD340 0</t>
  </si>
  <si>
    <t xml:space="preserve">T45X M</t>
  </si>
  <si>
    <t xml:space="preserve">35C XXL</t>
  </si>
  <si>
    <t xml:space="preserve">364XL+ 0</t>
  </si>
  <si>
    <t xml:space="preserve">391W-35-38</t>
  </si>
  <si>
    <t xml:space="preserve">332B XL</t>
  </si>
  <si>
    <t xml:space="preserve">305GA-35-36</t>
  </si>
  <si>
    <t xml:space="preserve">06U XXL</t>
  </si>
  <si>
    <t xml:space="preserve">SH776 XXL</t>
  </si>
  <si>
    <t xml:space="preserve">11NOR XXL</t>
  </si>
  <si>
    <t xml:space="preserve">34+ XS</t>
  </si>
  <si>
    <t xml:space="preserve">322 XXL</t>
  </si>
  <si>
    <t xml:space="preserve">32 L</t>
  </si>
  <si>
    <t xml:space="preserve">305-37-38</t>
  </si>
  <si>
    <t xml:space="preserve">305-45-46</t>
  </si>
  <si>
    <t xml:space="preserve">59LB M</t>
  </si>
  <si>
    <t xml:space="preserve">59RB L</t>
  </si>
  <si>
    <t xml:space="preserve">59RB M</t>
  </si>
  <si>
    <t xml:space="preserve">95G L</t>
  </si>
  <si>
    <t xml:space="preserve">07AU XL ח.גב ""איטלקית"" אורירית</t>
  </si>
  <si>
    <t xml:space="preserve">332B L</t>
  </si>
  <si>
    <t xml:space="preserve">49PS L</t>
  </si>
  <si>
    <t xml:space="preserve">50 S</t>
  </si>
  <si>
    <t xml:space="preserve">55 M</t>
  </si>
  <si>
    <t xml:space="preserve">15M XL</t>
  </si>
  <si>
    <t xml:space="preserve">34 XS</t>
  </si>
  <si>
    <t xml:space="preserve">11U XL</t>
  </si>
  <si>
    <t xml:space="preserve">079 M</t>
  </si>
  <si>
    <t xml:space="preserve">099-S-M</t>
  </si>
  <si>
    <t xml:space="preserve">11UG XL</t>
  </si>
  <si>
    <t xml:space="preserve">48 XXL</t>
  </si>
  <si>
    <t xml:space="preserve">61 S</t>
  </si>
  <si>
    <t xml:space="preserve">56B L</t>
  </si>
  <si>
    <t xml:space="preserve">56B M</t>
  </si>
  <si>
    <t xml:space="preserve">922 XXL</t>
  </si>
  <si>
    <t xml:space="preserve">61 L</t>
  </si>
  <si>
    <t xml:space="preserve">60 XXL</t>
  </si>
  <si>
    <t xml:space="preserve">75 XS</t>
  </si>
  <si>
    <t xml:space="preserve">11STOB L</t>
  </si>
  <si>
    <t xml:space="preserve">365 XL</t>
  </si>
  <si>
    <t xml:space="preserve">95G XL</t>
  </si>
  <si>
    <t xml:space="preserve">T03 S</t>
  </si>
  <si>
    <t xml:space="preserve">15M L</t>
  </si>
  <si>
    <t xml:space="preserve">55 XXL</t>
  </si>
  <si>
    <t xml:space="preserve">267LB-L-XL</t>
  </si>
  <si>
    <t xml:space="preserve">394G-35-38</t>
  </si>
  <si>
    <t xml:space="preserve">07AE XL</t>
  </si>
  <si>
    <t xml:space="preserve">25 L</t>
  </si>
  <si>
    <t xml:space="preserve">305-35-36</t>
  </si>
  <si>
    <t xml:space="preserve">422E XL</t>
  </si>
  <si>
    <t xml:space="preserve">59LB L</t>
  </si>
  <si>
    <t xml:space="preserve">61BL-M</t>
  </si>
  <si>
    <t xml:space="preserve">61BL-S</t>
  </si>
  <si>
    <t xml:space="preserve">T066B-S-M</t>
  </si>
  <si>
    <t xml:space="preserve">15M XXL</t>
  </si>
  <si>
    <t xml:space="preserve">49PS M</t>
  </si>
  <si>
    <t xml:space="preserve">06U S</t>
  </si>
  <si>
    <t xml:space="preserve">T28AC XXL</t>
  </si>
  <si>
    <t xml:space="preserve">322 S</t>
  </si>
  <si>
    <t xml:space="preserve">079 XXL</t>
  </si>
  <si>
    <t xml:space="preserve">T43V L</t>
  </si>
  <si>
    <t xml:space="preserve">30 XXL</t>
  </si>
  <si>
    <t xml:space="preserve">11STOB XL</t>
  </si>
  <si>
    <t xml:space="preserve">267LB-S-M</t>
  </si>
  <si>
    <t xml:space="preserve">332B S</t>
  </si>
  <si>
    <t xml:space="preserve">18 S</t>
  </si>
  <si>
    <t xml:space="preserve">07UB XXL</t>
  </si>
  <si>
    <t xml:space="preserve">07AU XS</t>
  </si>
  <si>
    <t xml:space="preserve">11UG XS</t>
  </si>
  <si>
    <t xml:space="preserve">267LC-S-M</t>
  </si>
  <si>
    <t xml:space="preserve">60B XL</t>
  </si>
  <si>
    <t xml:space="preserve">88R- L-XL</t>
  </si>
  <si>
    <t xml:space="preserve">VMFPCN32 0</t>
  </si>
  <si>
    <t xml:space="preserve">18 XXL</t>
  </si>
  <si>
    <t xml:space="preserve">32 M</t>
  </si>
  <si>
    <t xml:space="preserve">T402 M</t>
  </si>
  <si>
    <t xml:space="preserve">15W M</t>
  </si>
  <si>
    <t xml:space="preserve">376-35-37</t>
  </si>
  <si>
    <t xml:space="preserve">45C XS</t>
  </si>
  <si>
    <t xml:space="preserve">T28A XS</t>
  </si>
  <si>
    <t xml:space="preserve">41X M</t>
  </si>
  <si>
    <t xml:space="preserve">41X XXL</t>
  </si>
  <si>
    <t xml:space="preserve">422E XXL</t>
  </si>
  <si>
    <t xml:space="preserve">422EB XL</t>
  </si>
  <si>
    <t xml:space="preserve">21 XXL</t>
  </si>
  <si>
    <t xml:space="preserve">LU302M 0</t>
  </si>
  <si>
    <t xml:space="preserve">LU302W 0</t>
  </si>
  <si>
    <t xml:space="preserve">T46B M</t>
  </si>
  <si>
    <t xml:space="preserve">T95 XL</t>
  </si>
  <si>
    <t xml:space="preserve">N433D S</t>
  </si>
  <si>
    <t xml:space="preserve">332B M</t>
  </si>
  <si>
    <t xml:space="preserve">332B XXL</t>
  </si>
  <si>
    <t xml:space="preserve">N433D XXL</t>
  </si>
  <si>
    <t xml:space="preserve">079 XL</t>
  </si>
  <si>
    <t xml:space="preserve">49PS XXL</t>
  </si>
  <si>
    <t xml:space="preserve">922 S</t>
  </si>
  <si>
    <t xml:space="preserve">30 L</t>
  </si>
  <si>
    <t xml:space="preserve">079 L</t>
  </si>
  <si>
    <t xml:space="preserve">59DB L</t>
  </si>
  <si>
    <t xml:space="preserve">59DB M</t>
  </si>
  <si>
    <t xml:space="preserve">T39 XXL</t>
  </si>
  <si>
    <t xml:space="preserve">11STOB M</t>
  </si>
  <si>
    <t xml:space="preserve">32 XXL</t>
  </si>
  <si>
    <t xml:space="preserve">267RB XXL</t>
  </si>
  <si>
    <t xml:space="preserve">267RB-S-M</t>
  </si>
  <si>
    <t xml:space="preserve">332C L</t>
  </si>
  <si>
    <t xml:space="preserve">332C M</t>
  </si>
  <si>
    <t xml:space="preserve">332C S</t>
  </si>
  <si>
    <t xml:space="preserve">332C XL</t>
  </si>
  <si>
    <t xml:space="preserve">T066B-L-XL</t>
  </si>
  <si>
    <t xml:space="preserve">422E M</t>
  </si>
  <si>
    <t xml:space="preserve">61BL-L</t>
  </si>
  <si>
    <t xml:space="preserve">61BL-XL</t>
  </si>
  <si>
    <t xml:space="preserve">376-44-46</t>
  </si>
  <si>
    <t xml:space="preserve">11 XS</t>
  </si>
  <si>
    <t xml:space="preserve">11PS XS</t>
  </si>
  <si>
    <t xml:space="preserve">267LC-L-XL</t>
  </si>
  <si>
    <t xml:space="preserve">267RC-S-M</t>
  </si>
  <si>
    <t xml:space="preserve">88R- S-M</t>
  </si>
  <si>
    <t xml:space="preserve">VMFPCB31 0</t>
  </si>
  <si>
    <t xml:space="preserve">VMFPCG34 0</t>
  </si>
  <si>
    <t xml:space="preserve">VMSPCL55 0</t>
  </si>
  <si>
    <t xml:space="preserve">VMSPCS48 0</t>
  </si>
  <si>
    <t xml:space="preserve">T43V XL</t>
  </si>
  <si>
    <t xml:space="preserve">T401 L</t>
  </si>
  <si>
    <t xml:space="preserve">49PS XL</t>
  </si>
  <si>
    <t xml:space="preserve">87 XS</t>
  </si>
  <si>
    <t xml:space="preserve">48 S</t>
  </si>
  <si>
    <t xml:space="preserve">07AU M ח.גב ""איטלקית"" אורירית</t>
  </si>
  <si>
    <t xml:space="preserve">11 S""חגורת בטן""אורירית</t>
  </si>
  <si>
    <t xml:space="preserve">15W XL</t>
  </si>
  <si>
    <t xml:space="preserve">15W XXL</t>
  </si>
  <si>
    <t xml:space="preserve">30 XL</t>
  </si>
  <si>
    <t xml:space="preserve">T49 XL</t>
  </si>
  <si>
    <t xml:space="preserve">78A L</t>
  </si>
  <si>
    <t xml:space="preserve">78A M</t>
  </si>
  <si>
    <t xml:space="preserve">T45X S</t>
  </si>
  <si>
    <t xml:space="preserve">T49 L</t>
  </si>
  <si>
    <t xml:space="preserve">SH59D-XL-XXL</t>
  </si>
  <si>
    <t xml:space="preserve">SH660</t>
  </si>
  <si>
    <t xml:space="preserve">T36B L</t>
  </si>
  <si>
    <t xml:space="preserve">07UB-S-M</t>
  </si>
  <si>
    <t xml:space="preserve">12 M</t>
  </si>
  <si>
    <t xml:space="preserve">355 M</t>
  </si>
  <si>
    <t xml:space="preserve">422E L</t>
  </si>
  <si>
    <t xml:space="preserve">T26 XL</t>
  </si>
  <si>
    <t xml:space="preserve">T45 XS</t>
  </si>
  <si>
    <t xml:space="preserve">422ED XL</t>
  </si>
  <si>
    <t xml:space="preserve">20 XS</t>
  </si>
  <si>
    <t xml:space="preserve">T49 M</t>
  </si>
  <si>
    <t xml:space="preserve">11U M</t>
  </si>
  <si>
    <t xml:space="preserve">922B XL</t>
  </si>
  <si>
    <t xml:space="preserve">922B XXL</t>
  </si>
  <si>
    <t xml:space="preserve">T43V XXL</t>
  </si>
  <si>
    <t xml:space="preserve">355 XL</t>
  </si>
  <si>
    <t xml:space="preserve">T39 XS</t>
  </si>
  <si>
    <t xml:space="preserve">11NOR XL</t>
  </si>
  <si>
    <t xml:space="preserve">56B S</t>
  </si>
  <si>
    <t xml:space="preserve">VMSPCB50 0</t>
  </si>
  <si>
    <t xml:space="preserve">28 XXL</t>
  </si>
  <si>
    <t xml:space="preserve">11STOB XXL</t>
  </si>
  <si>
    <t xml:space="preserve">88L- L-XL</t>
  </si>
  <si>
    <t xml:space="preserve">60 XS</t>
  </si>
  <si>
    <t xml:space="preserve">11PS M</t>
  </si>
  <si>
    <t xml:space="preserve">422ED XXL</t>
  </si>
  <si>
    <t xml:space="preserve">T28A XXL</t>
  </si>
  <si>
    <t xml:space="preserve">11NOR M</t>
  </si>
  <si>
    <t xml:space="preserve">32 S</t>
  </si>
  <si>
    <t xml:space="preserve">079 S</t>
  </si>
  <si>
    <t xml:space="preserve">267LB XXL</t>
  </si>
  <si>
    <t xml:space="preserve">267RB-L-XL</t>
  </si>
  <si>
    <t xml:space="preserve">T46B L</t>
  </si>
  <si>
    <t xml:space="preserve">T46B S</t>
  </si>
  <si>
    <t xml:space="preserve">T46B XL</t>
  </si>
  <si>
    <t xml:space="preserve">T46B XS</t>
  </si>
  <si>
    <t xml:space="preserve">922B L</t>
  </si>
  <si>
    <t xml:space="preserve">922B S</t>
  </si>
  <si>
    <t xml:space="preserve">בונוסים ללקוחות</t>
  </si>
  <si>
    <t xml:space="preserve">06U XS</t>
  </si>
  <si>
    <t xml:space="preserve">07UB XS</t>
  </si>
  <si>
    <t xml:space="preserve">11EU XS</t>
  </si>
  <si>
    <t xml:space="preserve">11NOR L</t>
  </si>
  <si>
    <t xml:space="preserve">13 S</t>
  </si>
  <si>
    <t xml:space="preserve">13 XS</t>
  </si>
  <si>
    <t xml:space="preserve">267LC XXL</t>
  </si>
  <si>
    <t xml:space="preserve">391W-39-42</t>
  </si>
  <si>
    <t xml:space="preserve">41 XS</t>
  </si>
  <si>
    <t xml:space="preserve">48 XL</t>
  </si>
  <si>
    <t xml:space="preserve">50 XS</t>
  </si>
  <si>
    <t xml:space="preserve">59DB S</t>
  </si>
  <si>
    <t xml:space="preserve">59RB XL</t>
  </si>
  <si>
    <t xml:space="preserve">59RB XXL</t>
  </si>
  <si>
    <t xml:space="preserve">60B XXL</t>
  </si>
  <si>
    <t xml:space="preserve">74 XXL</t>
  </si>
  <si>
    <t xml:space="preserve">VMFPCW33 0</t>
  </si>
  <si>
    <t xml:space="preserve">VMSPCL46 0</t>
  </si>
  <si>
    <t xml:space="preserve">VMSPCN51 0</t>
  </si>
  <si>
    <t xml:space="preserve">VMSPCT49 0</t>
  </si>
  <si>
    <t xml:space="preserve">T35 L</t>
  </si>
  <si>
    <t xml:space="preserve">T35 XL</t>
  </si>
  <si>
    <t xml:space="preserve">T35 XXL</t>
  </si>
  <si>
    <t xml:space="preserve">T42 L</t>
  </si>
  <si>
    <t xml:space="preserve">T42 M</t>
  </si>
  <si>
    <t xml:space="preserve">T42X L</t>
  </si>
  <si>
    <t xml:space="preserve">T43 XL</t>
  </si>
  <si>
    <t xml:space="preserve">T43V M</t>
  </si>
  <si>
    <t xml:space="preserve">322B S</t>
  </si>
  <si>
    <t xml:space="preserve">322B XL</t>
  </si>
  <si>
    <t xml:space="preserve">322B XXL</t>
  </si>
  <si>
    <t xml:space="preserve">T401 S</t>
  </si>
  <si>
    <t xml:space="preserve">T401 XL</t>
  </si>
  <si>
    <t xml:space="preserve">11U L</t>
  </si>
  <si>
    <t xml:space="preserve">422ED L</t>
  </si>
  <si>
    <t xml:space="preserve">59R XXL</t>
  </si>
  <si>
    <t xml:space="preserve">078C XL</t>
  </si>
  <si>
    <t xml:space="preserve">07UC-S-M</t>
  </si>
  <si>
    <t xml:space="preserve">09-S-M</t>
  </si>
  <si>
    <t xml:space="preserve">15M M</t>
  </si>
  <si>
    <t xml:space="preserve">15W S</t>
  </si>
  <si>
    <t xml:space="preserve">388L 0</t>
  </si>
  <si>
    <t xml:space="preserve">397-35-38</t>
  </si>
  <si>
    <t xml:space="preserve">397-43-46</t>
  </si>
  <si>
    <t xml:space="preserve">59L XXL</t>
  </si>
  <si>
    <t xml:space="preserve">776 L</t>
  </si>
  <si>
    <t xml:space="preserve">78A XXXL</t>
  </si>
  <si>
    <t xml:space="preserve">T28 M</t>
  </si>
  <si>
    <t xml:space="preserve">T40 0</t>
  </si>
  <si>
    <t xml:space="preserve">T49 S</t>
  </si>
  <si>
    <t xml:space="preserve">T91-S-M</t>
  </si>
  <si>
    <t xml:space="preserve">301JM-41-45</t>
  </si>
  <si>
    <t xml:space="preserve">377-36</t>
  </si>
  <si>
    <t xml:space="preserve">422EB XXL</t>
  </si>
  <si>
    <t xml:space="preserve">422EBD XL</t>
  </si>
  <si>
    <t xml:space="preserve">78AB L</t>
  </si>
  <si>
    <t xml:space="preserve">78AB XL</t>
  </si>
  <si>
    <t xml:space="preserve">T95 L</t>
  </si>
  <si>
    <t xml:space="preserve">10 XXL</t>
  </si>
  <si>
    <t xml:space="preserve">BE CA CB BEIGE</t>
  </si>
  <si>
    <t xml:space="preserve">BE CA KT BLACK</t>
  </si>
  <si>
    <t xml:space="preserve">88L XXL</t>
  </si>
  <si>
    <t xml:space="preserve">88L- S-M</t>
  </si>
  <si>
    <t xml:space="preserve">91 0</t>
  </si>
  <si>
    <t xml:space="preserve">KST422 0</t>
  </si>
  <si>
    <t xml:space="preserve">422 XXL</t>
  </si>
  <si>
    <t xml:space="preserve">T95 M</t>
  </si>
  <si>
    <t xml:space="preserve">422EB XXXL</t>
  </si>
  <si>
    <t xml:space="preserve">322B L</t>
  </si>
  <si>
    <t xml:space="preserve">776 M</t>
  </si>
  <si>
    <t xml:space="preserve">776 S</t>
  </si>
  <si>
    <t xml:space="preserve">776 XXL</t>
  </si>
  <si>
    <t xml:space="preserve">422EBU L</t>
  </si>
  <si>
    <t xml:space="preserve">422EBU M</t>
  </si>
  <si>
    <t xml:space="preserve">422EBU XXL</t>
  </si>
  <si>
    <t xml:space="preserve">422EU L</t>
  </si>
  <si>
    <t xml:space="preserve">422EU M</t>
  </si>
  <si>
    <t xml:space="preserve">422EU XL</t>
  </si>
  <si>
    <t xml:space="preserve">422EU XXL</t>
  </si>
  <si>
    <t xml:space="preserve">422N L</t>
  </si>
  <si>
    <t xml:space="preserve">422N S</t>
  </si>
  <si>
    <t xml:space="preserve">422N XL</t>
  </si>
  <si>
    <t xml:space="preserve">T90 0</t>
  </si>
  <si>
    <t xml:space="preserve">108 - Shoe Stores</t>
  </si>
  <si>
    <t xml:space="preserve">392B-35-38</t>
  </si>
  <si>
    <t xml:space="preserve">392B-39-42</t>
  </si>
  <si>
    <t xml:space="preserve">355 L</t>
  </si>
  <si>
    <t xml:space="preserve">355 S</t>
  </si>
  <si>
    <t xml:space="preserve">305GA-47-48</t>
  </si>
  <si>
    <t xml:space="preserve">06 L</t>
  </si>
  <si>
    <t xml:space="preserve">06 XXL</t>
  </si>
  <si>
    <t xml:space="preserve">422 M</t>
  </si>
  <si>
    <t xml:space="preserve">422 XL</t>
  </si>
  <si>
    <t xml:space="preserve">422N XXL</t>
  </si>
  <si>
    <t xml:space="preserve">85+ S</t>
  </si>
  <si>
    <t xml:space="preserve">61 XL</t>
  </si>
  <si>
    <t xml:space="preserve">78A S</t>
  </si>
  <si>
    <t xml:space="preserve">78A XL</t>
  </si>
  <si>
    <t xml:space="preserve">78A XXL</t>
  </si>
  <si>
    <t xml:space="preserve">55 S</t>
  </si>
  <si>
    <t xml:space="preserve">T433 L</t>
  </si>
  <si>
    <t xml:space="preserve">T26 L</t>
  </si>
  <si>
    <t xml:space="preserve">15M S</t>
  </si>
  <si>
    <t xml:space="preserve">499 S</t>
  </si>
  <si>
    <t xml:space="preserve">70 M</t>
  </si>
  <si>
    <t xml:space="preserve">T79B S</t>
  </si>
  <si>
    <t xml:space="preserve">T79B XS</t>
  </si>
  <si>
    <t xml:space="preserve">422EU XXXL</t>
  </si>
  <si>
    <t xml:space="preserve">70 L</t>
  </si>
  <si>
    <t xml:space="preserve">70 XS</t>
  </si>
  <si>
    <t xml:space="preserve">T32 M</t>
  </si>
  <si>
    <t xml:space="preserve">422EBU XL</t>
  </si>
  <si>
    <t xml:space="preserve">T33 XS</t>
  </si>
  <si>
    <t xml:space="preserve">062 XXL</t>
  </si>
  <si>
    <t xml:space="preserve">422EU S</t>
  </si>
  <si>
    <t xml:space="preserve">422EBD L</t>
  </si>
  <si>
    <t xml:space="preserve">422N+ L</t>
  </si>
  <si>
    <t xml:space="preserve">422N+ M</t>
  </si>
  <si>
    <t xml:space="preserve">422N+ S</t>
  </si>
  <si>
    <t xml:space="preserve">422N+ XL</t>
  </si>
  <si>
    <t xml:space="preserve">49PS S</t>
  </si>
  <si>
    <t xml:space="preserve">49PS XS</t>
  </si>
  <si>
    <t xml:space="preserve">922B M</t>
  </si>
  <si>
    <t xml:space="preserve">FC316 0</t>
  </si>
  <si>
    <t xml:space="preserve">422EBU S</t>
  </si>
  <si>
    <t xml:space="preserve">392B-43-46</t>
  </si>
  <si>
    <t xml:space="preserve">392G-43-46</t>
  </si>
  <si>
    <t xml:space="preserve">396 0</t>
  </si>
  <si>
    <t xml:space="preserve">(NO ITEM CODE)</t>
  </si>
  <si>
    <t xml:space="preserve">062 M</t>
  </si>
  <si>
    <t xml:space="preserve">062 S</t>
  </si>
  <si>
    <t xml:space="preserve">062 XL</t>
  </si>
  <si>
    <t xml:space="preserve">10 S</t>
  </si>
  <si>
    <t xml:space="preserve">11STOB S</t>
  </si>
  <si>
    <t xml:space="preserve">13B L</t>
  </si>
  <si>
    <t xml:space="preserve">13B M</t>
  </si>
  <si>
    <t xml:space="preserve">267RC-L-XL</t>
  </si>
  <si>
    <t xml:space="preserve">41 XXL</t>
  </si>
  <si>
    <t xml:space="preserve">41X S</t>
  </si>
  <si>
    <t xml:space="preserve">422N+ XXL</t>
  </si>
  <si>
    <t xml:space="preserve">48 XS</t>
  </si>
  <si>
    <t xml:space="preserve">59DB XL</t>
  </si>
  <si>
    <t xml:space="preserve">86U XL</t>
  </si>
  <si>
    <t xml:space="preserve">86U XXL</t>
  </si>
  <si>
    <t xml:space="preserve">88R XXL</t>
  </si>
  <si>
    <t xml:space="preserve">KST27R 0</t>
  </si>
  <si>
    <t xml:space="preserve">T20C XS</t>
  </si>
  <si>
    <t xml:space="preserve">T28AC XS</t>
  </si>
  <si>
    <t xml:space="preserve">T35 M</t>
  </si>
  <si>
    <t xml:space="preserve">T42 XL</t>
  </si>
  <si>
    <t xml:space="preserve">T43 XXL</t>
  </si>
  <si>
    <t xml:space="preserve">T95 XS</t>
  </si>
  <si>
    <t xml:space="preserve">הנחה 200 ש"ח</t>
  </si>
  <si>
    <t xml:space="preserve">הנחות לקוחות</t>
  </si>
  <si>
    <t xml:space="preserve">95G XXL</t>
  </si>
  <si>
    <t xml:space="preserve">T401 M</t>
  </si>
  <si>
    <t xml:space="preserve">30 S</t>
  </si>
  <si>
    <t xml:space="preserve">078C L</t>
  </si>
  <si>
    <t xml:space="preserve">078C M</t>
  </si>
  <si>
    <t xml:space="preserve">062 L</t>
  </si>
  <si>
    <t xml:space="preserve">07AF XL</t>
  </si>
  <si>
    <t xml:space="preserve">776 XL</t>
  </si>
  <si>
    <t xml:space="preserve">777 XXL</t>
  </si>
  <si>
    <t xml:space="preserve">777-L-XL</t>
  </si>
  <si>
    <t xml:space="preserve">T433 XL</t>
  </si>
  <si>
    <t xml:space="preserve">422 L</t>
  </si>
  <si>
    <t xml:space="preserve">T433 M</t>
  </si>
  <si>
    <t xml:space="preserve">MSG001FW</t>
  </si>
  <si>
    <t xml:space="preserve">T402 S</t>
  </si>
  <si>
    <t xml:space="preserve">07AF L</t>
  </si>
  <si>
    <t xml:space="preserve">777-S-M</t>
  </si>
  <si>
    <t xml:space="preserve">FC341 0</t>
  </si>
  <si>
    <t xml:space="preserve">60B XS</t>
  </si>
  <si>
    <t xml:space="preserve">239P-S-M</t>
  </si>
  <si>
    <t xml:space="preserve">111 - Superpharm Life - Source: kirill/outputs/2026-09-20-salestype-2025-vs-2026.xlsx, "Source" sheet, Sale Type = "111 - Superpharm Life". Kept as its OWN separate sheet per explicit instruction - NOT included in "Main List" or any consolidated total. No 0.91 factor (NetSuite-sourced). 2026 normalized to a full year (×12/9.5). Same columns/sort/coloring convention as Main List. Match rate against TRANS/Catalog was 0% for this category - all items use a private-label SKU naming convention not covered by either crosswalk (confirmed by direct inspection, not a data error) - every item is kept as its own row (raw item name as key), not guessed/dropped.</t>
  </si>
  <si>
    <t xml:space="preserve">Normalization factor (2026, SALES-sourced rows only - CEMIUP0.9 rows already annualized upstream):</t>
  </si>
  <si>
    <t xml:space="preserve">Source Category</t>
  </si>
  <si>
    <t xml:space="preserve">112 - Kupat Holim Clalit - Source: kirill/outputs/2026-09-20-salestype-2025-vs-2026.xlsx, "Source" sheet, Sale Type = "112 - Kupat Holim Clalit". Kept as its OWN separate sheet per explicit instruction - NOT included in "Main List" or any consolidated total. No 0.91 factor (NetSuite-sourced). 2026 normalized to a full year (×12/9.5). Same columns/sort/coloring convention as Main List. Match rate against TRANS/Catalog was 0% for this category - all items use a private-label SKU naming convention not covered by either crosswalk (confirmed by direct inspection, not a data error) - every item is kept as its own row (raw item name as key), not guessed/dropped.</t>
  </si>
  <si>
    <t xml:space="preserve">SALES Raw — item-level data (pre-aggregated per category+item) from all 28 SALES-sourced categories</t>
  </si>
  <si>
    <t xml:space="preserve">(scope ref list for Main List v2, col M)</t>
  </si>
  <si>
    <t xml:space="preserve">Source: kirill/outputs/2026-09-20-salestype-2025-vs-2026.xlsx, "Source" sheet, filtered per Sale Type (26 categories that feed the Main List + "111 - Superpharm Life" + "112 - Kupat Holim Clalit" which get their own separate sheets). No 0.91 factor applied anywhere here (NetSuite-sourced, not PPLAY1). Quantity/Amount 2026 here are RAW ACTUAL (pre-normalization) - normalization (×12/9.5) happens in the Main List / 111 / 112 sheets' formulas, not here. CHEMIPAL Code matched live: TRANS (primary, same short-code format) first, then the Catalog (fallback, rarely matches this short-code format but checked per instruction), each tried exact then whitespace-normalized.</t>
  </si>
  <si>
    <t xml:space="preserve">Category</t>
  </si>
  <si>
    <t xml:space="preserve">Item Name (raw)</t>
  </si>
  <si>
    <t xml:space="preserve">Quantity 2025</t>
  </si>
  <si>
    <t xml:space="preserve">Amount 2025 (₪)</t>
  </si>
  <si>
    <t xml:space="preserve">Quantity 2026 (raw actual)</t>
  </si>
  <si>
    <t xml:space="preserve">Amount 2026 (raw actual, ₪)</t>
  </si>
  <si>
    <t xml:space="preserve">Product Name</t>
  </si>
  <si>
    <t xml:space="preserve">Match Type</t>
  </si>
  <si>
    <t xml:space="preserve">Product Key</t>
  </si>
  <si>
    <t xml:space="preserve">Main List v2 Scope</t>
  </si>
  <si>
    <t xml:space="preserve">75 L</t>
  </si>
  <si>
    <t xml:space="preserve">75 XL</t>
  </si>
  <si>
    <t xml:space="preserve">AC75-S-XL</t>
  </si>
  <si>
    <t xml:space="preserve">T11C XXL</t>
  </si>
  <si>
    <t xml:space="preserve">AC43D 0</t>
  </si>
  <si>
    <t xml:space="preserve">078 L</t>
  </si>
  <si>
    <t xml:space="preserve">078 XL</t>
  </si>
  <si>
    <t xml:space="preserve">078G M</t>
  </si>
  <si>
    <t xml:space="preserve">10 L</t>
  </si>
  <si>
    <t xml:space="preserve">10 M</t>
  </si>
  <si>
    <t xml:space="preserve">10 XL</t>
  </si>
  <si>
    <t xml:space="preserve">11 M</t>
  </si>
  <si>
    <t xml:space="preserve">11EU L</t>
  </si>
  <si>
    <t xml:space="preserve">11EU M</t>
  </si>
  <si>
    <t xml:space="preserve">11STO XXL</t>
  </si>
  <si>
    <t xml:space="preserve">11TO XXL</t>
  </si>
  <si>
    <t xml:space="preserve">14 0</t>
  </si>
  <si>
    <t xml:space="preserve">15W L</t>
  </si>
  <si>
    <t xml:space="preserve">16-L-XL</t>
  </si>
  <si>
    <t xml:space="preserve">16-S-M</t>
  </si>
  <si>
    <t xml:space="preserve">21 M</t>
  </si>
  <si>
    <t xml:space="preserve">211 L</t>
  </si>
  <si>
    <t xml:space="preserve">211 M</t>
  </si>
  <si>
    <t xml:space="preserve">211 S</t>
  </si>
  <si>
    <t xml:space="preserve">212 L</t>
  </si>
  <si>
    <t xml:space="preserve">212 M</t>
  </si>
  <si>
    <t xml:space="preserve">212 S</t>
  </si>
  <si>
    <t xml:space="preserve">237 0</t>
  </si>
  <si>
    <t xml:space="preserve">238 L</t>
  </si>
  <si>
    <t xml:space="preserve">238 S</t>
  </si>
  <si>
    <t xml:space="preserve">239B-L-XL</t>
  </si>
  <si>
    <t xml:space="preserve">239B-S-M</t>
  </si>
  <si>
    <t xml:space="preserve">239TR-L-XL</t>
  </si>
  <si>
    <t xml:space="preserve">250 0</t>
  </si>
  <si>
    <t xml:space="preserve">251 0</t>
  </si>
  <si>
    <t xml:space="preserve">26 XXL</t>
  </si>
  <si>
    <t xml:space="preserve">266 0</t>
  </si>
  <si>
    <t xml:space="preserve">268 0</t>
  </si>
  <si>
    <t xml:space="preserve">28 M</t>
  </si>
  <si>
    <t xml:space="preserve">302M 0</t>
  </si>
  <si>
    <t xml:space="preserve">302W 0</t>
  </si>
  <si>
    <t xml:space="preserve">305GA-39-40</t>
  </si>
  <si>
    <t xml:space="preserve">305GA-41-42</t>
  </si>
  <si>
    <t xml:space="preserve">305GA-43-44</t>
  </si>
  <si>
    <t xml:space="preserve">305GA-45-46</t>
  </si>
  <si>
    <t xml:space="preserve">307 L</t>
  </si>
  <si>
    <t xml:space="preserve">307 M</t>
  </si>
  <si>
    <t xml:space="preserve">307 XL</t>
  </si>
  <si>
    <t xml:space="preserve">308 M</t>
  </si>
  <si>
    <t xml:space="preserve">311 0</t>
  </si>
  <si>
    <t xml:space="preserve">312 0</t>
  </si>
  <si>
    <t xml:space="preserve">313 0</t>
  </si>
  <si>
    <t xml:space="preserve">32 XL</t>
  </si>
  <si>
    <t xml:space="preserve">320 0</t>
  </si>
  <si>
    <t xml:space="preserve">322 L</t>
  </si>
  <si>
    <t xml:space="preserve">34+ L</t>
  </si>
  <si>
    <t xml:space="preserve">34+ XL</t>
  </si>
  <si>
    <t xml:space="preserve">35 L</t>
  </si>
  <si>
    <t xml:space="preserve">35 M</t>
  </si>
  <si>
    <t xml:space="preserve">35B L</t>
  </si>
  <si>
    <t xml:space="preserve">35B M</t>
  </si>
  <si>
    <t xml:space="preserve">35B S</t>
  </si>
  <si>
    <t xml:space="preserve">35B XL</t>
  </si>
  <si>
    <t xml:space="preserve">35B XXL</t>
  </si>
  <si>
    <t xml:space="preserve">35C L</t>
  </si>
  <si>
    <t xml:space="preserve">35C M</t>
  </si>
  <si>
    <t xml:space="preserve">35C S</t>
  </si>
  <si>
    <t xml:space="preserve">350 0</t>
  </si>
  <si>
    <t xml:space="preserve">351 0</t>
  </si>
  <si>
    <t xml:space="preserve">3611 0</t>
  </si>
  <si>
    <t xml:space="preserve">362-L-R</t>
  </si>
  <si>
    <t xml:space="preserve">3622S 0</t>
  </si>
  <si>
    <t xml:space="preserve">3623 0</t>
  </si>
  <si>
    <t xml:space="preserve">364-S-L</t>
  </si>
  <si>
    <t xml:space="preserve">364 XL</t>
  </si>
  <si>
    <t xml:space="preserve">3641 0</t>
  </si>
  <si>
    <t xml:space="preserve">365-S-L</t>
  </si>
  <si>
    <t xml:space="preserve">3655 0</t>
  </si>
  <si>
    <t xml:space="preserve">3666 0</t>
  </si>
  <si>
    <t xml:space="preserve">3667 0</t>
  </si>
  <si>
    <t xml:space="preserve">366S 0</t>
  </si>
  <si>
    <t xml:space="preserve">3672 0</t>
  </si>
  <si>
    <t xml:space="preserve">3674 0</t>
  </si>
  <si>
    <t xml:space="preserve">3675 0</t>
  </si>
  <si>
    <t xml:space="preserve">369-S-L</t>
  </si>
  <si>
    <t xml:space="preserve">369-XL</t>
  </si>
  <si>
    <t xml:space="preserve">370 0</t>
  </si>
  <si>
    <t xml:space="preserve">370K 0</t>
  </si>
  <si>
    <t xml:space="preserve">371 0</t>
  </si>
  <si>
    <t xml:space="preserve">372 0</t>
  </si>
  <si>
    <t xml:space="preserve">374 0</t>
  </si>
  <si>
    <t xml:space="preserve">376-46-47</t>
  </si>
  <si>
    <t xml:space="preserve">38 0</t>
  </si>
  <si>
    <t xml:space="preserve">386 0</t>
  </si>
  <si>
    <t xml:space="preserve">388BL 0</t>
  </si>
  <si>
    <t xml:space="preserve">388BR 0</t>
  </si>
  <si>
    <t xml:space="preserve">390B-35-38</t>
  </si>
  <si>
    <t xml:space="preserve">390B-39-42</t>
  </si>
  <si>
    <t xml:space="preserve">390B-43-46</t>
  </si>
  <si>
    <t xml:space="preserve">390G-35-38</t>
  </si>
  <si>
    <t xml:space="preserve">390G-43-46</t>
  </si>
  <si>
    <t xml:space="preserve">390W-39-42</t>
  </si>
  <si>
    <t xml:space="preserve">394B-35-38</t>
  </si>
  <si>
    <t xml:space="preserve">394B-39-42</t>
  </si>
  <si>
    <t xml:space="preserve">394B-43-46</t>
  </si>
  <si>
    <t xml:space="preserve">394W-35-38</t>
  </si>
  <si>
    <t xml:space="preserve">394W-39-42</t>
  </si>
  <si>
    <t xml:space="preserve">394W-43-46</t>
  </si>
  <si>
    <t xml:space="preserve">395B-39-42</t>
  </si>
  <si>
    <t xml:space="preserve">395B-43-46</t>
  </si>
  <si>
    <t xml:space="preserve">397-39-42</t>
  </si>
  <si>
    <t xml:space="preserve">397A-35-38</t>
  </si>
  <si>
    <t xml:space="preserve">397A-39-42</t>
  </si>
  <si>
    <t xml:space="preserve">397A-43-46</t>
  </si>
  <si>
    <t xml:space="preserve">40 0</t>
  </si>
  <si>
    <t xml:space="preserve">4022 0</t>
  </si>
  <si>
    <t xml:space="preserve">41X L</t>
  </si>
  <si>
    <t xml:space="preserve">45 S</t>
  </si>
  <si>
    <t xml:space="preserve">45 XL</t>
  </si>
  <si>
    <t xml:space="preserve">45B L</t>
  </si>
  <si>
    <t xml:space="preserve">45B M</t>
  </si>
  <si>
    <t xml:space="preserve">45C L</t>
  </si>
  <si>
    <t xml:space="preserve">45C M</t>
  </si>
  <si>
    <t xml:space="preserve">45C S</t>
  </si>
  <si>
    <t xml:space="preserve">45C XL</t>
  </si>
  <si>
    <t xml:space="preserve">45E XL</t>
  </si>
  <si>
    <t xml:space="preserve">45E XXL</t>
  </si>
  <si>
    <t xml:space="preserve">45EC L</t>
  </si>
  <si>
    <t xml:space="preserve">45EC M</t>
  </si>
  <si>
    <t xml:space="preserve">45EC XL</t>
  </si>
  <si>
    <t xml:space="preserve">45EC XXL</t>
  </si>
  <si>
    <t xml:space="preserve">55 XL</t>
  </si>
  <si>
    <t xml:space="preserve">59L L</t>
  </si>
  <si>
    <t xml:space="preserve">59R M</t>
  </si>
  <si>
    <t xml:space="preserve">59R S</t>
  </si>
  <si>
    <t xml:space="preserve">60 M</t>
  </si>
  <si>
    <t xml:space="preserve">60 S</t>
  </si>
  <si>
    <t xml:space="preserve">75 XXL</t>
  </si>
  <si>
    <t xml:space="preserve">76 L</t>
  </si>
  <si>
    <t xml:space="preserve">76 XL</t>
  </si>
  <si>
    <t xml:space="preserve">801 0</t>
  </si>
  <si>
    <t xml:space="preserve">804AT-B</t>
  </si>
  <si>
    <t xml:space="preserve">804AT-BL</t>
  </si>
  <si>
    <t xml:space="preserve">804AT-C</t>
  </si>
  <si>
    <t xml:space="preserve">805AT-B</t>
  </si>
  <si>
    <t xml:space="preserve">805AT-C</t>
  </si>
  <si>
    <t xml:space="preserve">807CB-B</t>
  </si>
  <si>
    <t xml:space="preserve">807CB-BL</t>
  </si>
  <si>
    <t xml:space="preserve">807CB-C</t>
  </si>
  <si>
    <t xml:space="preserve">808KT-B</t>
  </si>
  <si>
    <t xml:space="preserve">808KT-C</t>
  </si>
  <si>
    <t xml:space="preserve">820 0</t>
  </si>
  <si>
    <t xml:space="preserve">85 L</t>
  </si>
  <si>
    <t xml:space="preserve">85 M</t>
  </si>
  <si>
    <t xml:space="preserve">85 XL</t>
  </si>
  <si>
    <t xml:space="preserve">85B L</t>
  </si>
  <si>
    <t xml:space="preserve">85B M</t>
  </si>
  <si>
    <t xml:space="preserve">85B S</t>
  </si>
  <si>
    <t xml:space="preserve">85B XL</t>
  </si>
  <si>
    <t xml:space="preserve">85K 0</t>
  </si>
  <si>
    <t xml:space="preserve">95 M</t>
  </si>
  <si>
    <t xml:space="preserve">95B L</t>
  </si>
  <si>
    <t xml:space="preserve">95B M</t>
  </si>
  <si>
    <t xml:space="preserve">95B S</t>
  </si>
  <si>
    <t xml:space="preserve">95B XL</t>
  </si>
  <si>
    <t xml:space="preserve">95C L</t>
  </si>
  <si>
    <t xml:space="preserve">95C M</t>
  </si>
  <si>
    <t xml:space="preserve">AC07 0</t>
  </si>
  <si>
    <t xml:space="preserve">AC11 0</t>
  </si>
  <si>
    <t xml:space="preserve">AC25 0</t>
  </si>
  <si>
    <t xml:space="preserve">AC27L 0</t>
  </si>
  <si>
    <t xml:space="preserve">AC27R 0</t>
  </si>
  <si>
    <t xml:space="preserve">AC28 0</t>
  </si>
  <si>
    <t xml:space="preserve">AC37 0</t>
  </si>
  <si>
    <t xml:space="preserve">AC40 0</t>
  </si>
  <si>
    <t xml:space="preserve">AC45X 0</t>
  </si>
  <si>
    <t xml:space="preserve">AC75 XXL</t>
  </si>
  <si>
    <t xml:space="preserve">AC91 0</t>
  </si>
  <si>
    <t xml:space="preserve">AC95 0</t>
  </si>
  <si>
    <t xml:space="preserve">FC321 0</t>
  </si>
  <si>
    <t xml:space="preserve">FC333 0</t>
  </si>
  <si>
    <t xml:space="preserve">FC335 0</t>
  </si>
  <si>
    <t xml:space="preserve">FC342 0</t>
  </si>
  <si>
    <t xml:space="preserve">LF360 0</t>
  </si>
  <si>
    <t xml:space="preserve">LF373 0</t>
  </si>
  <si>
    <t xml:space="preserve">LF374 0</t>
  </si>
  <si>
    <t xml:space="preserve">PD340 0</t>
  </si>
  <si>
    <t xml:space="preserve">PD341 0</t>
  </si>
  <si>
    <t xml:space="preserve">PD342 0</t>
  </si>
  <si>
    <t xml:space="preserve">PD344 0</t>
  </si>
  <si>
    <t xml:space="preserve">PD346 0</t>
  </si>
  <si>
    <t xml:space="preserve">SC25 L</t>
  </si>
  <si>
    <t xml:space="preserve">SC25 M</t>
  </si>
  <si>
    <t xml:space="preserve">SC25 S</t>
  </si>
  <si>
    <t xml:space="preserve">SC25 XL</t>
  </si>
  <si>
    <t xml:space="preserve">SC35L L</t>
  </si>
  <si>
    <t xml:space="preserve">SC35L XL</t>
  </si>
  <si>
    <t xml:space="preserve">SC35R L</t>
  </si>
  <si>
    <t xml:space="preserve">SC35R M</t>
  </si>
  <si>
    <t xml:space="preserve">SC35R S</t>
  </si>
  <si>
    <t xml:space="preserve">SC39 M</t>
  </si>
  <si>
    <t xml:space="preserve">SC422 M</t>
  </si>
  <si>
    <t xml:space="preserve">SC422 XXL</t>
  </si>
  <si>
    <t xml:space="preserve">SC95 L</t>
  </si>
  <si>
    <t xml:space="preserve">SC95 M</t>
  </si>
  <si>
    <t xml:space="preserve">SC95 S</t>
  </si>
  <si>
    <t xml:space="preserve">SH333 0</t>
  </si>
  <si>
    <t xml:space="preserve">SH422 5</t>
  </si>
  <si>
    <t xml:space="preserve">ST3555-L-XL</t>
  </si>
  <si>
    <t xml:space="preserve">ST3555-S-M</t>
  </si>
  <si>
    <t xml:space="preserve">T11C XL</t>
  </si>
  <si>
    <t xml:space="preserve">T20-L-XL</t>
  </si>
  <si>
    <t xml:space="preserve">T20C-L-XL</t>
  </si>
  <si>
    <t xml:space="preserve">T20C-S-M</t>
  </si>
  <si>
    <t xml:space="preserve">T25 0</t>
  </si>
  <si>
    <t xml:space="preserve">T28AC-L-XL</t>
  </si>
  <si>
    <t xml:space="preserve">T28AC-S-M</t>
  </si>
  <si>
    <t xml:space="preserve">T45 M</t>
  </si>
  <si>
    <t xml:space="preserve">T78 L</t>
  </si>
  <si>
    <t xml:space="preserve">078G L</t>
  </si>
  <si>
    <t xml:space="preserve">078G XL</t>
  </si>
  <si>
    <t xml:space="preserve">078G XXL</t>
  </si>
  <si>
    <t xml:space="preserve">11EU XL</t>
  </si>
  <si>
    <t xml:space="preserve">11PS XXL</t>
  </si>
  <si>
    <t xml:space="preserve">11STO XL</t>
  </si>
  <si>
    <t xml:space="preserve">11TO XL</t>
  </si>
  <si>
    <t xml:space="preserve">13 XXL</t>
  </si>
  <si>
    <t xml:space="preserve">21 L</t>
  </si>
  <si>
    <t xml:space="preserve">21 S</t>
  </si>
  <si>
    <t xml:space="preserve">21 XL</t>
  </si>
  <si>
    <t xml:space="preserve">21 XS</t>
  </si>
  <si>
    <t xml:space="preserve">26 S</t>
  </si>
  <si>
    <t xml:space="preserve">301CM-41-45</t>
  </si>
  <si>
    <t xml:space="preserve">301CW-36-40</t>
  </si>
  <si>
    <t xml:space="preserve">34+ M</t>
  </si>
  <si>
    <t xml:space="preserve">3444B 0</t>
  </si>
  <si>
    <t xml:space="preserve">35 S</t>
  </si>
  <si>
    <t xml:space="preserve">35 XL</t>
  </si>
  <si>
    <t xml:space="preserve">35 XXL</t>
  </si>
  <si>
    <t xml:space="preserve">35C XL</t>
  </si>
  <si>
    <t xml:space="preserve">390W-43-46</t>
  </si>
  <si>
    <t xml:space="preserve">41 L</t>
  </si>
  <si>
    <t xml:space="preserve">45 L</t>
  </si>
  <si>
    <t xml:space="preserve">45 M</t>
  </si>
  <si>
    <t xml:space="preserve">45 XXL</t>
  </si>
  <si>
    <t xml:space="preserve">45B S</t>
  </si>
  <si>
    <t xml:space="preserve">45B XL</t>
  </si>
  <si>
    <t xml:space="preserve">45B XXL</t>
  </si>
  <si>
    <t xml:space="preserve">45E L</t>
  </si>
  <si>
    <t xml:space="preserve">45E M</t>
  </si>
  <si>
    <t xml:space="preserve">45E S</t>
  </si>
  <si>
    <t xml:space="preserve">45EC S</t>
  </si>
  <si>
    <t xml:space="preserve">48 L</t>
  </si>
  <si>
    <t xml:space="preserve">49 L</t>
  </si>
  <si>
    <t xml:space="preserve">49 M</t>
  </si>
  <si>
    <t xml:space="preserve">49 S</t>
  </si>
  <si>
    <t xml:space="preserve">49 XL</t>
  </si>
  <si>
    <t xml:space="preserve">59D L</t>
  </si>
  <si>
    <t xml:space="preserve">59L M</t>
  </si>
  <si>
    <t xml:space="preserve">59L S</t>
  </si>
  <si>
    <t xml:space="preserve">59L XL</t>
  </si>
  <si>
    <t xml:space="preserve">59R L</t>
  </si>
  <si>
    <t xml:space="preserve">59R XL</t>
  </si>
  <si>
    <t xml:space="preserve">60 XL</t>
  </si>
  <si>
    <t xml:space="preserve">74-L-XL</t>
  </si>
  <si>
    <t xml:space="preserve">76 S</t>
  </si>
  <si>
    <t xml:space="preserve">804AT-W</t>
  </si>
  <si>
    <t xml:space="preserve">806CB-B</t>
  </si>
  <si>
    <t xml:space="preserve">806CB-C</t>
  </si>
  <si>
    <t xml:space="preserve">806CB-GR</t>
  </si>
  <si>
    <t xml:space="preserve">806CB-P</t>
  </si>
  <si>
    <t xml:space="preserve">85+ L</t>
  </si>
  <si>
    <t xml:space="preserve">85+ M</t>
  </si>
  <si>
    <t xml:space="preserve">85+ XL</t>
  </si>
  <si>
    <t xml:space="preserve">87 L</t>
  </si>
  <si>
    <t xml:space="preserve">87 M</t>
  </si>
  <si>
    <t xml:space="preserve">87 XL</t>
  </si>
  <si>
    <t xml:space="preserve">91B 0</t>
  </si>
  <si>
    <t xml:space="preserve">922 L</t>
  </si>
  <si>
    <t xml:space="preserve">922 XL</t>
  </si>
  <si>
    <t xml:space="preserve">95 L</t>
  </si>
  <si>
    <t xml:space="preserve">95 S</t>
  </si>
  <si>
    <t xml:space="preserve">95 XL</t>
  </si>
  <si>
    <t xml:space="preserve">95C S</t>
  </si>
  <si>
    <t xml:space="preserve">95C XL</t>
  </si>
  <si>
    <t xml:space="preserve">SC35L M</t>
  </si>
  <si>
    <t xml:space="preserve">SC39 L</t>
  </si>
  <si>
    <t xml:space="preserve">SC39 S</t>
  </si>
  <si>
    <t xml:space="preserve">SC422 L</t>
  </si>
  <si>
    <t xml:space="preserve">SC422 S</t>
  </si>
  <si>
    <t xml:space="preserve">SC422 XL</t>
  </si>
  <si>
    <t xml:space="preserve">SC95 XL</t>
  </si>
  <si>
    <t xml:space="preserve">T25B 0</t>
  </si>
  <si>
    <t xml:space="preserve">T39 S</t>
  </si>
  <si>
    <t xml:space="preserve">T45X XXL</t>
  </si>
  <si>
    <t xml:space="preserve">T78 M</t>
  </si>
  <si>
    <t xml:space="preserve">078 M</t>
  </si>
  <si>
    <t xml:space="preserve">078 S</t>
  </si>
  <si>
    <t xml:space="preserve">078 XXL</t>
  </si>
  <si>
    <t xml:space="preserve">11 L</t>
  </si>
  <si>
    <t xml:space="preserve">11EU XXL</t>
  </si>
  <si>
    <t xml:space="preserve">11STO L</t>
  </si>
  <si>
    <t xml:space="preserve">11TO L</t>
  </si>
  <si>
    <t xml:space="preserve">202 0</t>
  </si>
  <si>
    <t xml:space="preserve">213CTSL L</t>
  </si>
  <si>
    <t xml:space="preserve">213CTSL M</t>
  </si>
  <si>
    <t xml:space="preserve">213CTSL S</t>
  </si>
  <si>
    <t xml:space="preserve">213CTSR L</t>
  </si>
  <si>
    <t xml:space="preserve">213CTSR M</t>
  </si>
  <si>
    <t xml:space="preserve">213CTSR S</t>
  </si>
  <si>
    <t xml:space="preserve">322 XL</t>
  </si>
  <si>
    <t xml:space="preserve">333 0</t>
  </si>
  <si>
    <t xml:space="preserve">365-XL</t>
  </si>
  <si>
    <t xml:space="preserve">379COM-35-38</t>
  </si>
  <si>
    <t xml:space="preserve">379COM-39-42</t>
  </si>
  <si>
    <t xml:space="preserve">379COM-43-46</t>
  </si>
  <si>
    <t xml:space="preserve">379MSP-35-38</t>
  </si>
  <si>
    <t xml:space="preserve">379MSP-39-42</t>
  </si>
  <si>
    <t xml:space="preserve">379MSP-43-46</t>
  </si>
  <si>
    <t xml:space="preserve">379WRK-35-38</t>
  </si>
  <si>
    <t xml:space="preserve">379WRK-39-42</t>
  </si>
  <si>
    <t xml:space="preserve">379WRK-43-46</t>
  </si>
  <si>
    <t xml:space="preserve">59D M</t>
  </si>
  <si>
    <t xml:space="preserve">59D S</t>
  </si>
  <si>
    <t xml:space="preserve">70N L</t>
  </si>
  <si>
    <t xml:space="preserve">70N M</t>
  </si>
  <si>
    <t xml:space="preserve">70N S</t>
  </si>
  <si>
    <t xml:space="preserve">70N XS</t>
  </si>
  <si>
    <t xml:space="preserve">805AT-BL</t>
  </si>
  <si>
    <t xml:space="preserve">807CB-P</t>
  </si>
  <si>
    <t xml:space="preserve">808KT-BL</t>
  </si>
  <si>
    <t xml:space="preserve">808KT-P</t>
  </si>
  <si>
    <t xml:space="preserve">FC334 0</t>
  </si>
  <si>
    <t xml:space="preserve">LF370 0</t>
  </si>
  <si>
    <t xml:space="preserve">SH422 1</t>
  </si>
  <si>
    <t xml:space="preserve">SH422 2</t>
  </si>
  <si>
    <t xml:space="preserve">SH422 3</t>
  </si>
  <si>
    <t xml:space="preserve">SH422 4</t>
  </si>
  <si>
    <t xml:space="preserve">SH422 6</t>
  </si>
  <si>
    <t xml:space="preserve">ST11 0</t>
  </si>
  <si>
    <t xml:space="preserve">ST20 0</t>
  </si>
  <si>
    <t xml:space="preserve">ST25 0</t>
  </si>
  <si>
    <t xml:space="preserve">ST28 0</t>
  </si>
  <si>
    <t xml:space="preserve">ST37 0</t>
  </si>
  <si>
    <t xml:space="preserve">ST422 0</t>
  </si>
  <si>
    <t xml:space="preserve">ST433 0</t>
  </si>
  <si>
    <t xml:space="preserve">ST49 0</t>
  </si>
  <si>
    <t xml:space="preserve">ST91 0</t>
  </si>
  <si>
    <t xml:space="preserve">T25C 0</t>
  </si>
  <si>
    <t xml:space="preserve">T95 S</t>
  </si>
  <si>
    <t xml:space="preserve">AC49 0</t>
  </si>
  <si>
    <t xml:space="preserve">T45X XL</t>
  </si>
  <si>
    <t xml:space="preserve">20 XL</t>
  </si>
  <si>
    <t xml:space="preserve">308 L</t>
  </si>
  <si>
    <t xml:space="preserve">34 L</t>
  </si>
  <si>
    <t xml:space="preserve">48 M</t>
  </si>
  <si>
    <t xml:space="preserve">T28A-S-M</t>
  </si>
  <si>
    <t xml:space="preserve">077A-L-XL</t>
  </si>
  <si>
    <t xml:space="preserve">077A-S-M</t>
  </si>
  <si>
    <t xml:space="preserve">34 M</t>
  </si>
  <si>
    <t xml:space="preserve">34 XL</t>
  </si>
  <si>
    <t xml:space="preserve">60 L</t>
  </si>
  <si>
    <t xml:space="preserve">87 S</t>
  </si>
  <si>
    <t xml:space="preserve">T78 S</t>
  </si>
  <si>
    <t xml:space="preserve">303-37-38</t>
  </si>
  <si>
    <t xml:space="preserve">303-41-42</t>
  </si>
  <si>
    <t xml:space="preserve">303-45-46</t>
  </si>
  <si>
    <t xml:space="preserve">87 XXL</t>
  </si>
  <si>
    <t xml:space="preserve">11STO M</t>
  </si>
  <si>
    <t xml:space="preserve">11TO M</t>
  </si>
  <si>
    <t xml:space="preserve">238 M</t>
  </si>
  <si>
    <t xml:space="preserve">238 XL</t>
  </si>
  <si>
    <t xml:space="preserve">49 XXL</t>
  </si>
  <si>
    <t xml:space="preserve">55 L</t>
  </si>
  <si>
    <t xml:space="preserve">75 M</t>
  </si>
  <si>
    <t xml:space="preserve">SC39 XL</t>
  </si>
  <si>
    <t xml:space="preserve">SC39 XXL</t>
  </si>
  <si>
    <t xml:space="preserve">T78 XXL</t>
  </si>
  <si>
    <t xml:space="preserve">06U L</t>
  </si>
  <si>
    <t xml:space="preserve">06U XL</t>
  </si>
  <si>
    <t xml:space="preserve">11 XL</t>
  </si>
  <si>
    <t xml:space="preserve">11 XXL</t>
  </si>
  <si>
    <t xml:space="preserve">13 XL</t>
  </si>
  <si>
    <t xml:space="preserve">20 M</t>
  </si>
  <si>
    <t xml:space="preserve">20 S</t>
  </si>
  <si>
    <t xml:space="preserve">305GA-37-38</t>
  </si>
  <si>
    <t xml:space="preserve">34+ S</t>
  </si>
  <si>
    <t xml:space="preserve">34+ XXL</t>
  </si>
  <si>
    <t xml:space="preserve">50 XL</t>
  </si>
  <si>
    <t xml:space="preserve">95 XS</t>
  </si>
  <si>
    <t xml:space="preserve">T78 XL</t>
  </si>
  <si>
    <t xml:space="preserve">11UG L</t>
  </si>
  <si>
    <t xml:space="preserve">26 L</t>
  </si>
  <si>
    <t xml:space="preserve">26 XL</t>
  </si>
  <si>
    <t xml:space="preserve">077A XXL</t>
  </si>
  <si>
    <t xml:space="preserve">07AU L</t>
  </si>
  <si>
    <t xml:space="preserve">07AU M</t>
  </si>
  <si>
    <t xml:space="preserve">07AU XL</t>
  </si>
  <si>
    <t xml:space="preserve">07AU XXL</t>
  </si>
  <si>
    <t xml:space="preserve">11PS L</t>
  </si>
  <si>
    <t xml:space="preserve">26 M</t>
  </si>
  <si>
    <t xml:space="preserve">28 L</t>
  </si>
  <si>
    <t xml:space="preserve">28 S</t>
  </si>
  <si>
    <t xml:space="preserve">28 XL</t>
  </si>
  <si>
    <t xml:space="preserve">307 S</t>
  </si>
  <si>
    <t xml:space="preserve">422E XXXL</t>
  </si>
  <si>
    <t xml:space="preserve">76 M</t>
  </si>
  <si>
    <t xml:space="preserve">85 S</t>
  </si>
  <si>
    <t xml:space="preserve">T28A-L-XL</t>
  </si>
  <si>
    <t xml:space="preserve">T45 L</t>
  </si>
  <si>
    <t xml:space="preserve">T45 XL</t>
  </si>
  <si>
    <t xml:space="preserve">211 XL</t>
  </si>
  <si>
    <t xml:space="preserve">50 M</t>
  </si>
  <si>
    <t xml:space="preserve">078G S</t>
  </si>
  <si>
    <t xml:space="preserve">20 L</t>
  </si>
  <si>
    <t xml:space="preserve">T11C L</t>
  </si>
  <si>
    <t xml:space="preserve">07AU S</t>
  </si>
  <si>
    <t xml:space="preserve">11 S</t>
  </si>
  <si>
    <t xml:space="preserve">422 S</t>
  </si>
  <si>
    <t xml:space="preserve">T20-S-M</t>
  </si>
  <si>
    <t xml:space="preserve">50 L</t>
  </si>
  <si>
    <t xml:space="preserve">16 XXL</t>
  </si>
  <si>
    <t xml:space="preserve">20 XXL</t>
  </si>
  <si>
    <t xml:space="preserve">59D XL</t>
  </si>
  <si>
    <t xml:space="preserve">11TO S</t>
  </si>
  <si>
    <t xml:space="preserve">11STO S</t>
  </si>
  <si>
    <t xml:space="preserve">212 XL</t>
  </si>
  <si>
    <t xml:space="preserve">41 M</t>
  </si>
  <si>
    <t xml:space="preserve">34 S</t>
  </si>
  <si>
    <t xml:space="preserve">34 XXL</t>
  </si>
  <si>
    <t xml:space="preserve">3677S 0</t>
  </si>
  <si>
    <t xml:space="preserve">75 S</t>
  </si>
  <si>
    <t xml:space="preserve">T11C M</t>
  </si>
  <si>
    <t xml:space="preserve">T11C S</t>
  </si>
  <si>
    <t xml:space="preserve">390W-35-38</t>
  </si>
  <si>
    <t xml:space="preserve">11PS XL</t>
  </si>
  <si>
    <t xml:space="preserve">SC35L S</t>
  </si>
  <si>
    <t xml:space="preserve">SC35R XL</t>
  </si>
  <si>
    <t xml:space="preserve">45 XS</t>
  </si>
  <si>
    <t xml:space="preserve">41 S</t>
  </si>
  <si>
    <t xml:space="preserve">41 XL</t>
  </si>
  <si>
    <t xml:space="preserve">95 XXL</t>
  </si>
  <si>
    <t xml:space="preserve">LF378 L</t>
  </si>
  <si>
    <t xml:space="preserve">LF378 S</t>
  </si>
  <si>
    <t xml:space="preserve">805AT-W</t>
  </si>
  <si>
    <t xml:space="preserve">41X XL</t>
  </si>
  <si>
    <t xml:space="preserve">95B XXL</t>
  </si>
  <si>
    <t xml:space="preserve">95C XS</t>
  </si>
  <si>
    <t xml:space="preserve">T45 XXL</t>
  </si>
  <si>
    <t xml:space="preserve">LF371 0</t>
  </si>
  <si>
    <t xml:space="preserve">LU308 L</t>
  </si>
  <si>
    <t xml:space="preserve">LU308 M</t>
  </si>
  <si>
    <t xml:space="preserve">LU313 0</t>
  </si>
  <si>
    <t xml:space="preserve">LU364-S-L</t>
  </si>
  <si>
    <t xml:space="preserve">LU364 XL</t>
  </si>
  <si>
    <t xml:space="preserve">LU3641 0</t>
  </si>
  <si>
    <t xml:space="preserve">LU365-S-L</t>
  </si>
  <si>
    <t xml:space="preserve">LU3655 0</t>
  </si>
  <si>
    <t xml:space="preserve">LU366S 0</t>
  </si>
  <si>
    <t xml:space="preserve">LU3677S 0</t>
  </si>
  <si>
    <t xml:space="preserve">LU370 0</t>
  </si>
  <si>
    <t xml:space="preserve">LU372 0</t>
  </si>
  <si>
    <t xml:space="preserve">LU374 0</t>
  </si>
  <si>
    <t xml:space="preserve">LULF370 0</t>
  </si>
  <si>
    <t xml:space="preserve">LULF373 0</t>
  </si>
  <si>
    <t xml:space="preserve">LUPD342 0</t>
  </si>
  <si>
    <t xml:space="preserve">K078 L</t>
  </si>
  <si>
    <t xml:space="preserve">K078 M</t>
  </si>
  <si>
    <t xml:space="preserve">K078 XL</t>
  </si>
  <si>
    <t xml:space="preserve">K078 XXL</t>
  </si>
  <si>
    <t xml:space="preserve">K11U L</t>
  </si>
  <si>
    <t xml:space="preserve">K11U M</t>
  </si>
  <si>
    <t xml:space="preserve">K11U XL</t>
  </si>
  <si>
    <t xml:space="preserve">K11U XXL</t>
  </si>
  <si>
    <t xml:space="preserve">K35 L</t>
  </si>
  <si>
    <t xml:space="preserve">K35 M</t>
  </si>
  <si>
    <t xml:space="preserve">K35 S</t>
  </si>
  <si>
    <t xml:space="preserve">K35 XL</t>
  </si>
  <si>
    <t xml:space="preserve">K45 L</t>
  </si>
  <si>
    <t xml:space="preserve">K45 M</t>
  </si>
  <si>
    <t xml:space="preserve">K45 S</t>
  </si>
  <si>
    <t xml:space="preserve">K45 XL</t>
  </si>
  <si>
    <t xml:space="preserve">K61 L</t>
  </si>
  <si>
    <t xml:space="preserve">K61 M</t>
  </si>
  <si>
    <t xml:space="preserve">K801 0</t>
  </si>
  <si>
    <t xml:space="preserve">K85 L</t>
  </si>
  <si>
    <t xml:space="preserve">K85 M</t>
  </si>
  <si>
    <t xml:space="preserve">99 General</t>
  </si>
  <si>
    <t xml:space="preserve">KST11 0</t>
  </si>
  <si>
    <t xml:space="preserve">KST20 0</t>
  </si>
  <si>
    <t xml:space="preserve">KST25 0</t>
  </si>
  <si>
    <t xml:space="preserve">KST27L 0</t>
  </si>
  <si>
    <t xml:space="preserve">KST28 0</t>
  </si>
  <si>
    <t xml:space="preserve">KST37 0</t>
  </si>
  <si>
    <t xml:space="preserve">KST91 0</t>
  </si>
  <si>
    <t xml:space="preserve">KST95 0</t>
  </si>
  <si>
    <t xml:space="preserve">11PS S</t>
  </si>
  <si>
    <t xml:space="preserve">28 XS</t>
  </si>
  <si>
    <t xml:space="preserve">301JW-36-40</t>
  </si>
  <si>
    <t xml:space="preserve">95C XXL</t>
  </si>
  <si>
    <t xml:space="preserve">LF378 M</t>
  </si>
  <si>
    <t xml:space="preserve">200 - ROW : 217 - N3W FOODS USA</t>
  </si>
  <si>
    <t xml:space="preserve">201- Seven Gear FINLAND oy</t>
  </si>
  <si>
    <t xml:space="preserve">202 - Super-Pharm POLAND</t>
  </si>
  <si>
    <t xml:space="preserve">LF377 L</t>
  </si>
  <si>
    <t xml:space="preserve">LF377 M</t>
  </si>
  <si>
    <t xml:space="preserve">LF377 S</t>
  </si>
  <si>
    <t xml:space="preserve">203 - Ortho- Partner ag SWITZERLAND</t>
  </si>
  <si>
    <t xml:space="preserve">15W XS</t>
  </si>
  <si>
    <t xml:space="preserve">38L 0</t>
  </si>
  <si>
    <t xml:space="preserve">38R 0</t>
  </si>
  <si>
    <t xml:space="preserve">422N M</t>
  </si>
  <si>
    <t xml:space="preserve">62FC L</t>
  </si>
  <si>
    <t xml:space="preserve">62FC M</t>
  </si>
  <si>
    <t xml:space="preserve">62FC S</t>
  </si>
  <si>
    <t xml:space="preserve">62FC XL</t>
  </si>
  <si>
    <t xml:space="preserve">62FC XS</t>
  </si>
  <si>
    <t xml:space="preserve">86U L</t>
  </si>
  <si>
    <t xml:space="preserve">86U M</t>
  </si>
  <si>
    <t xml:space="preserve">T43V S</t>
  </si>
  <si>
    <t xml:space="preserve">T43V XS</t>
  </si>
  <si>
    <t xml:space="preserve">T43V XXXL</t>
  </si>
  <si>
    <t xml:space="preserve">204 - Sanaflex Anatomic GREECE</t>
  </si>
  <si>
    <t xml:space="preserve">82 0</t>
  </si>
  <si>
    <t xml:space="preserve">ST95 0</t>
  </si>
  <si>
    <t xml:space="preserve">205 - Health Care Prod. Gmbh GERMANY</t>
  </si>
  <si>
    <t xml:space="preserve">206 - Orthomed  Ltd BULGARIA</t>
  </si>
  <si>
    <t xml:space="preserve">62 L</t>
  </si>
  <si>
    <t xml:space="preserve">207 - Salus HUNGARY</t>
  </si>
  <si>
    <t xml:space="preserve">43BD L</t>
  </si>
  <si>
    <t xml:space="preserve">43BD M</t>
  </si>
  <si>
    <t xml:space="preserve">43BD S</t>
  </si>
  <si>
    <t xml:space="preserve">43BD XL</t>
  </si>
  <si>
    <t xml:space="preserve">43BD XXL</t>
  </si>
  <si>
    <t xml:space="preserve">59DB XXL</t>
  </si>
  <si>
    <t xml:space="preserve">59LB S</t>
  </si>
  <si>
    <t xml:space="preserve">59LB XL</t>
  </si>
  <si>
    <t xml:space="preserve">59LB XXL</t>
  </si>
  <si>
    <t xml:space="preserve">59RB S</t>
  </si>
  <si>
    <t xml:space="preserve">SH322-6</t>
  </si>
  <si>
    <t xml:space="preserve">SH423L 6</t>
  </si>
  <si>
    <t xml:space="preserve">ST10 0</t>
  </si>
  <si>
    <t xml:space="preserve">208 - Medipal Company NABLUS</t>
  </si>
  <si>
    <t xml:space="preserve">07AE L</t>
  </si>
  <si>
    <t xml:space="preserve">07AE M</t>
  </si>
  <si>
    <t xml:space="preserve">07AE S</t>
  </si>
  <si>
    <t xml:space="preserve">07AE XXL</t>
  </si>
  <si>
    <t xml:space="preserve">10 XS</t>
  </si>
  <si>
    <t xml:space="preserve">1000FC</t>
  </si>
  <si>
    <t xml:space="preserve">209 - Ortoprofil Prod ROMANIA</t>
  </si>
  <si>
    <t xml:space="preserve">210 - Oy. Ea. Ab. FINLAND</t>
  </si>
  <si>
    <t xml:space="preserve">T43F XXL</t>
  </si>
  <si>
    <t xml:space="preserve">211 - Pharmag Lachmair Ges. Mbh AUSTRIA</t>
  </si>
  <si>
    <t xml:space="preserve">25 M</t>
  </si>
  <si>
    <t xml:space="preserve">T45 S</t>
  </si>
  <si>
    <t xml:space="preserve">T45C L</t>
  </si>
  <si>
    <t xml:space="preserve">T45C M</t>
  </si>
  <si>
    <t xml:space="preserve">T45C S</t>
  </si>
  <si>
    <t xml:space="preserve">T45C XL</t>
  </si>
  <si>
    <t xml:space="preserve">213 - E.f.m.o. SPAIN</t>
  </si>
  <si>
    <t xml:space="preserve">214 - Alfred Gera&amp; Sons Ltd. MALTA</t>
  </si>
  <si>
    <t xml:space="preserve">216 - Max Konnaris CYPRUS</t>
  </si>
  <si>
    <t xml:space="preserve">67812000</t>
  </si>
  <si>
    <t xml:space="preserve">301 - Amazon</t>
  </si>
  <si>
    <t xml:space="preserve">EC-078 L</t>
  </si>
  <si>
    <t xml:space="preserve">EC-078 M</t>
  </si>
  <si>
    <t xml:space="preserve">EC-078 XL</t>
  </si>
  <si>
    <t xml:space="preserve">EC-078 XXL</t>
  </si>
  <si>
    <t xml:space="preserve">EC-11NOR L</t>
  </si>
  <si>
    <t xml:space="preserve">EC-11NOR M</t>
  </si>
  <si>
    <t xml:space="preserve">EC-11NOR S</t>
  </si>
  <si>
    <t xml:space="preserve">EC-11NOR XL</t>
  </si>
  <si>
    <t xml:space="preserve">EC-11NOR XXL</t>
  </si>
  <si>
    <t xml:space="preserve">EC-11STO L</t>
  </si>
  <si>
    <t xml:space="preserve">EC-11STO M</t>
  </si>
  <si>
    <t xml:space="preserve">EC-11STO S</t>
  </si>
  <si>
    <t xml:space="preserve">EC-11STO XL</t>
  </si>
  <si>
    <t xml:space="preserve">EC-11STO XXL</t>
  </si>
  <si>
    <t xml:space="preserve">EC-11STOB L</t>
  </si>
  <si>
    <t xml:space="preserve">EC-11STOB M</t>
  </si>
  <si>
    <t xml:space="preserve">EC-11STOB S</t>
  </si>
  <si>
    <t xml:space="preserve">EC-11STOB XL</t>
  </si>
  <si>
    <t xml:space="preserve">EC-11STOB XXL</t>
  </si>
  <si>
    <t xml:space="preserve">386</t>
  </si>
  <si>
    <t xml:space="preserve">EC-59D L</t>
  </si>
  <si>
    <t xml:space="preserve">EC-59D M</t>
  </si>
  <si>
    <t xml:space="preserve">EC-59D S</t>
  </si>
  <si>
    <t xml:space="preserve">EC-59D XL</t>
  </si>
  <si>
    <t xml:space="preserve">EC-59D XXL</t>
  </si>
  <si>
    <t xml:space="preserve">EC-59L L</t>
  </si>
  <si>
    <t xml:space="preserve">EC-59L M</t>
  </si>
  <si>
    <t xml:space="preserve">EC-59L S</t>
  </si>
  <si>
    <t xml:space="preserve">EC-59L XL</t>
  </si>
  <si>
    <t xml:space="preserve">EC-59R L</t>
  </si>
  <si>
    <t xml:space="preserve">EC-59R M</t>
  </si>
  <si>
    <t xml:space="preserve">EC-59R S</t>
  </si>
  <si>
    <t xml:space="preserve">EC-59R XL</t>
  </si>
  <si>
    <t xml:space="preserve">EC-59R XXL</t>
  </si>
  <si>
    <t xml:space="preserve">EC-59DB L</t>
  </si>
  <si>
    <t xml:space="preserve">EC-59DB M</t>
  </si>
  <si>
    <t xml:space="preserve">EC-59DB S</t>
  </si>
  <si>
    <t xml:space="preserve">EC-59DB XL</t>
  </si>
  <si>
    <t xml:space="preserve">EC-59DB XXL</t>
  </si>
  <si>
    <t xml:space="preserve">EC-59LB L</t>
  </si>
  <si>
    <t xml:space="preserve">EC-59LB M</t>
  </si>
  <si>
    <t xml:space="preserve">EC-59LB S</t>
  </si>
  <si>
    <t xml:space="preserve">EC-59LB XL</t>
  </si>
  <si>
    <t xml:space="preserve">EC-59LB XXL</t>
  </si>
  <si>
    <t xml:space="preserve">EC-59RB L</t>
  </si>
  <si>
    <t xml:space="preserve">EC-59RB M</t>
  </si>
  <si>
    <t xml:space="preserve">EC-59RB S</t>
  </si>
  <si>
    <t xml:space="preserve">EC-59RB XL</t>
  </si>
  <si>
    <t xml:space="preserve">EC-59RB XXL</t>
  </si>
  <si>
    <t xml:space="preserve">EC-DIFF</t>
  </si>
  <si>
    <t xml:space="preserve">AC95</t>
  </si>
  <si>
    <t xml:space="preserve">FC3162 0</t>
  </si>
  <si>
    <t xml:space="preserve">FC342K 0</t>
  </si>
  <si>
    <t xml:space="preserve">TC342 0</t>
  </si>
  <si>
    <t xml:space="preserve">CEMIUP0.9 Raw — already-resolved product rows imported from kirill/outputs/2026-09-25-CEMIUP0.9-grouped-2025-vs-2026.xlsx</t>
  </si>
  <si>
    <t xml:space="preserve">Source: "בתי מרקחת" (=107-Pharmacies, CEMI+SALES combined), "מאוחדת" (=113-Kupat Holim Meuhedet, CEMI+SALES combined), "BE", "סופר פארם", "מכבי" sheets - ALL ALREADY fully resolved there (CHEMIPAL Code matched, DROP/NEW-analyzed, 2026 already annualized ×12/9.5, and the 0.91 net-sale factor already applied to their CEMI-sourced portions). Imported as literal values (not re-derived) since that file is itself the fully audited/recalculated source - re-deriving here would be redundant and risk drift. Quantity 2026 / Amount 2026 columns here are already the FINAL annualized figures - no further normalization applied in the Main List.</t>
  </si>
  <si>
    <t xml:space="preserve">Quantity 2026 (Annualized)</t>
  </si>
  <si>
    <t xml:space="preserve">Amount 2026 (Annualized, ₪)</t>
  </si>
  <si>
    <t xml:space="preserve">369  S-L אצבעון מסיליקון יחידה</t>
  </si>
  <si>
    <t xml:space="preserve">369   XL אצבעון מסיליקון יחידה</t>
  </si>
  <si>
    <t xml:space="preserve">PD 344-אבן טבעית להסרת עור קשה</t>
  </si>
  <si>
    <t xml:space="preserve">805AT-Cאתלטיק טייפ בז' 20מ""מ20</t>
  </si>
  <si>
    <t xml:space="preserve">805AT-B אתלטיק טייפ שחור 20מ""מ</t>
  </si>
  <si>
    <t xml:space="preserve">805AT-BLאתלטיק טייפ כחול 20מ""מ</t>
  </si>
  <si>
    <t xml:space="preserve">805AT-W  אתלטיק טייפ לבן 20מ""מ</t>
  </si>
  <si>
    <t xml:space="preserve">363  בננה לתמיכת אצבעות ז.כרית</t>
  </si>
  <si>
    <t xml:space="preserve">320 בליסטר פלסטר</t>
  </si>
  <si>
    <t xml:space="preserve">390B גרב.כסף לסכרתים שחור35-38</t>
  </si>
  <si>
    <t xml:space="preserve">390B 39-42.גרב.כסף לסכרתיים שח</t>
  </si>
  <si>
    <t xml:space="preserve">390B 43-46.גרב.כסף לסכרתיים שח</t>
  </si>
  <si>
    <t xml:space="preserve">390G ג.כסף לסכרתיים אפור35-38</t>
  </si>
  <si>
    <t xml:space="preserve">390G 39-42.גרב.כסף לסכרתיים אפ</t>
  </si>
  <si>
    <t xml:space="preserve">G390.43-46 גרבי כסף לסכרת מידה</t>
  </si>
  <si>
    <t xml:space="preserve">390W גרב כסף לסכרתיים לבן35-38</t>
  </si>
  <si>
    <t xml:space="preserve">390W גרב.כסף לסכרתיים לבן39-42</t>
  </si>
  <si>
    <t xml:space="preserve">390W גרב.כסף לסכרתיים לבן43-46</t>
  </si>
  <si>
    <t xml:space="preserve">394B גרב.כסף לסכרתים שחור35-38</t>
  </si>
  <si>
    <t xml:space="preserve">394B גרב.כסף לסכרתים שחור39-42</t>
  </si>
  <si>
    <t xml:space="preserve">394B גרב.כסף לסכרתים שחור43-46</t>
  </si>
  <si>
    <t xml:space="preserve">394G גרב.כסף לסכרתים אפור35-38</t>
  </si>
  <si>
    <t xml:space="preserve">394G גרב.כסף לסכרתים אפור39-42</t>
  </si>
  <si>
    <t xml:space="preserve">394G גרב.כסף לסכרתים אפור43-46</t>
  </si>
  <si>
    <t xml:space="preserve">394W 35-38 גרב.כסף לסכרתים לבן</t>
  </si>
  <si>
    <t xml:space="preserve">394W 39-42 גרב.כסף לסכרתים לבן</t>
  </si>
  <si>
    <t xml:space="preserve">394W 43-46 גרב.כסף לסכרתים לבן</t>
  </si>
  <si>
    <t xml:space="preserve">397 35-38 גרבי טיסה מידה</t>
  </si>
  <si>
    <t xml:space="preserve">397 39-42 גרבי טיסה מידה</t>
  </si>
  <si>
    <t xml:space="preserve">397 43-46 גרבי טיסה מידה</t>
  </si>
  <si>
    <t xml:space="preserve">ST3555 S-Mגרב לילה לטיפ.בדורבן</t>
  </si>
  <si>
    <t xml:space="preserve">ST3555L-XLגרב לילה לטיפ.בדורבן</t>
  </si>
  <si>
    <t xml:space="preserve">3444B גרבי ג'ל לריכוך עור העקב</t>
  </si>
  <si>
    <t xml:space="preserve">397A-גרבי טיסה אנטי בקטרי35-38</t>
  </si>
  <si>
    <t xml:space="preserve">397A-גרבי טיסה אנטי בקטרי39-42</t>
  </si>
  <si>
    <t xml:space="preserve">397A-גרבי טיסה אנטי בקטרי43-46</t>
  </si>
  <si>
    <t xml:space="preserve">395B גרבי קיץ אנטי בקטריא39-42</t>
  </si>
  <si>
    <t xml:space="preserve">395B גרבי קיץ אנטי בקטריא43-46</t>
  </si>
  <si>
    <t xml:space="preserve">FC330Z-תתדאו'אנטי בקט.לנעל120</t>
  </si>
  <si>
    <t xml:space="preserve">06 M  ""ח.גב קלה ""מיקדו</t>
  </si>
  <si>
    <t xml:space="preserve">06 XL ""ח.גב קלה ""מיקדו</t>
  </si>
  <si>
    <t xml:space="preserve">079 S ח.גב סג. כפולה שחור+אדום</t>
  </si>
  <si>
    <t xml:space="preserve">079 L ח.גב סג.כפולה שחור+אדום</t>
  </si>
  <si>
    <t xml:space="preserve">079  M ח.גב סג.כפולה שחור+אדום</t>
  </si>
  <si>
    <t xml:space="preserve">079 XL ח.גב סג.כפולה שחור+אדום</t>
  </si>
  <si>
    <t xml:space="preserve">079 XXLח.גב סג.כפולה שחור+אדום</t>
  </si>
  <si>
    <t xml:space="preserve">07AU S ח.גב ""איטלקית"" אורירית</t>
  </si>
  <si>
    <t xml:space="preserve">07UC L-XLח.גב אמר+סגירה כפ.חום</t>
  </si>
  <si>
    <t xml:space="preserve">10 S ""חגורת גב ""לומבו</t>
  </si>
  <si>
    <t xml:space="preserve">10 L ""חגורת גב ""לומבו</t>
  </si>
  <si>
    <t xml:space="preserve">10 M ""חגורת גב ""לומבו</t>
  </si>
  <si>
    <t xml:space="preserve">10 XL ""חגורת גב ""לומבו</t>
  </si>
  <si>
    <t xml:space="preserve">10 XXL""חגורת גב ""לומבו</t>
  </si>
  <si>
    <t xml:space="preserve">18 S ח.הריון מכנס למניעת כאבים</t>
  </si>
  <si>
    <t xml:space="preserve">18 L ח.הריון מכנס למניעת כאבים</t>
  </si>
  <si>
    <t xml:space="preserve">18 M ח.הריון מכנס למניעת כאבים</t>
  </si>
  <si>
    <t xml:space="preserve">18  XL.ח.הריון מכנס למניעת כאב</t>
  </si>
  <si>
    <t xml:space="preserve">20 L חבק יד מתכוון עם צמדן</t>
  </si>
  <si>
    <t xml:space="preserve">20 M חבק יד מתכוון עם צמדן</t>
  </si>
  <si>
    <t xml:space="preserve">20 S חבק יד מתכוון עם צמדן</t>
  </si>
  <si>
    <t xml:space="preserve">20 XL חבק יד מתכוון עם צמדן</t>
  </si>
  <si>
    <t xml:space="preserve">20 XXL חבק יד מתכוון עם צמדן</t>
  </si>
  <si>
    <t xml:space="preserve">21 S  חבק יד ארוך</t>
  </si>
  <si>
    <t xml:space="preserve">21 L  חבק יד ארוך</t>
  </si>
  <si>
    <t xml:space="preserve">21 M  חבק יד ארוך</t>
  </si>
  <si>
    <t xml:space="preserve">21 XL חבק יד ארוך</t>
  </si>
  <si>
    <t xml:space="preserve">25 L חבק יד אגודלי</t>
  </si>
  <si>
    <t xml:space="preserve">25 M חבק יד אגודלי</t>
  </si>
  <si>
    <t xml:space="preserve">25 S חבק יד אגודלי</t>
  </si>
  <si>
    <t xml:space="preserve">25 XL חבק יד אגודלי</t>
  </si>
  <si>
    <t xml:space="preserve">38 .חבישת""הלוקס ולגוס""לאחר נית</t>
  </si>
  <si>
    <t xml:space="preserve">59D L חגורת שבר דו צדדי</t>
  </si>
  <si>
    <t xml:space="preserve">59D M חגורת שבר דו צדדי</t>
  </si>
  <si>
    <t xml:space="preserve">59D XL חגורת שבר דו צדדי</t>
  </si>
  <si>
    <t xml:space="preserve">59L S חגורת שבר לצד שמאל</t>
  </si>
  <si>
    <t xml:space="preserve">59L L חגורת שבר לצד שמאל</t>
  </si>
  <si>
    <t xml:space="preserve">59L M חגורת שבר לצד שמאל</t>
  </si>
  <si>
    <t xml:space="preserve">59L XLחגורת שבר לצד שמאל</t>
  </si>
  <si>
    <t xml:space="preserve">59R S חגורת שבר לצד ימין</t>
  </si>
  <si>
    <t xml:space="preserve">59R L חגורת שבר לצד ימין</t>
  </si>
  <si>
    <t xml:space="preserve">59R M חגורת שבר לצד ימין</t>
  </si>
  <si>
    <t xml:space="preserve">59R XL חגורת שבר לצד ימין</t>
  </si>
  <si>
    <t xml:space="preserve">922L.חבק יד לטניס כרית סיליק</t>
  </si>
  <si>
    <t xml:space="preserve">922M.מחבק יד לטניס כרית סילי</t>
  </si>
  <si>
    <t xml:space="preserve">922XLחבק יד לטניס כרית סיליק</t>
  </si>
  <si>
    <t xml:space="preserve">91  חבק ""טניס אלבו רצועה</t>
  </si>
  <si>
    <t xml:space="preserve">T11C S  חגורת גב פוג'יאמה</t>
  </si>
  <si>
    <t xml:space="preserve">T11C L  חגורת גב פוג'יאמה</t>
  </si>
  <si>
    <t xml:space="preserve">T11C M  חגורת גב פוג'יאמה</t>
  </si>
  <si>
    <t xml:space="preserve">T11C XL חגורת גב פוג'יאמה</t>
  </si>
  <si>
    <t xml:space="preserve">T11C XXL חגורת גב פוג'יאמה</t>
  </si>
  <si>
    <t xml:space="preserve">T20 S-M חבק יד עם צמדן</t>
  </si>
  <si>
    <t xml:space="preserve">T20 L-XL  חבק יד עם צמדן</t>
  </si>
  <si>
    <t xml:space="preserve">T20C S-M חבק יד עם צמדןחום</t>
  </si>
  <si>
    <t xml:space="preserve">T20C L-XL חבק יד עם צמדן חום</t>
  </si>
  <si>
    <t xml:space="preserve">T25-חבק יד אגודלי</t>
  </si>
  <si>
    <t xml:space="preserve">T25C-חבק יד אגודלי</t>
  </si>
  <si>
    <t xml:space="preserve">11U Lחגורת בטן וחזה אחרי ניתוח</t>
  </si>
  <si>
    <t xml:space="preserve">19 S-M חגורת הריון בכאב חזק</t>
  </si>
  <si>
    <t xml:space="preserve">11EU S ח.בטן לאחר ניתוח</t>
  </si>
  <si>
    <t xml:space="preserve">11EU M ח.בטן לאחר ניתוח</t>
  </si>
  <si>
    <t xml:space="preserve">11EU L ח.בטן לאחר ניתוח</t>
  </si>
  <si>
    <t xml:space="preserve">11EU XLח.בטן לאחר ניתוח</t>
  </si>
  <si>
    <t xml:space="preserve">06U L ח.בטן מותנית צר</t>
  </si>
  <si>
    <t xml:space="preserve">06U XL ח.בטן מותנית צר</t>
  </si>
  <si>
    <t xml:space="preserve">15M L חגורת צלעות לגבר</t>
  </si>
  <si>
    <t xml:space="preserve">15W XL חגורת צלעות לאשה</t>
  </si>
  <si>
    <t xml:space="preserve">15M M חגורת צלעות לגבר</t>
  </si>
  <si>
    <t xml:space="preserve">15W M חגורת צלעות לאשה</t>
  </si>
  <si>
    <t xml:space="preserve">15W L חגורת צלעות לאשה</t>
  </si>
  <si>
    <t xml:space="preserve">11EU XXL חגורת בטןלאחר ניתוח</t>
  </si>
  <si>
    <t xml:space="preserve">077A S-M חגורת גב</t>
  </si>
  <si>
    <t xml:space="preserve">077A L-XLחגורת גב</t>
  </si>
  <si>
    <t xml:space="preserve">06W S חגורת גב לנשים</t>
  </si>
  <si>
    <t xml:space="preserve">776 S  ח.גב גבוהה</t>
  </si>
  <si>
    <t xml:space="preserve">776 M  ח.גב גבוהה</t>
  </si>
  <si>
    <t xml:space="preserve">11PS Lחגורה למנותחי בטן</t>
  </si>
  <si>
    <t xml:space="preserve">11PS XLחגורה למנותחי בטן</t>
  </si>
  <si>
    <t xml:space="preserve">11PS XXLחגורה למנותחי בטן</t>
  </si>
  <si>
    <t xml:space="preserve">11TO S חגורה למנותחי בית החזה</t>
  </si>
  <si>
    <t xml:space="preserve">11TO M חגורה למנותחי בית החזה</t>
  </si>
  <si>
    <t xml:space="preserve">11TO L חגורה למנותחי בית החזה</t>
  </si>
  <si>
    <t xml:space="preserve">11TO XLחגורה למנותחי בית החזה</t>
  </si>
  <si>
    <t xml:space="preserve">11TO XXLחגורה למנותחי בית החזה</t>
  </si>
  <si>
    <t xml:space="preserve">11 XS  חגורת בטן</t>
  </si>
  <si>
    <t xml:space="preserve">13 M חגורה לשבר טבור</t>
  </si>
  <si>
    <t xml:space="preserve">13 L חגורה לשבר טבור</t>
  </si>
  <si>
    <t xml:space="preserve">13 XL חגורה לשבר טבור</t>
  </si>
  <si>
    <t xml:space="preserve">13 XXL חגורה לשבר טבור</t>
  </si>
  <si>
    <t xml:space="preserve">M078 חגורת גב +סגירה כפולה</t>
  </si>
  <si>
    <t xml:space="preserve">078 L חגורת גב +סגירה</t>
  </si>
  <si>
    <t xml:space="preserve">14 0 חגורה למנותחי בית חזה</t>
  </si>
  <si>
    <t xml:space="preserve">AC-07 חגורת גב עם תמיכות</t>
  </si>
  <si>
    <t xml:space="preserve">AC-11 חגורת בטן קלה</t>
  </si>
  <si>
    <t xml:space="preserve">AC-25 חבק לשורש כף היד</t>
  </si>
  <si>
    <t xml:space="preserve">AC91 חבק טניס</t>
  </si>
  <si>
    <t xml:space="preserve">S078 חגורת גב +סגירה כפולה</t>
  </si>
  <si>
    <t xml:space="preserve">078XL חגורת גב +סגירה כפולה</t>
  </si>
  <si>
    <t xml:space="preserve">078G-S חגורת גב אפורה</t>
  </si>
  <si>
    <t xml:space="preserve">078G-M חגורת גב אפורה</t>
  </si>
  <si>
    <t xml:space="preserve">078G-L חגורת גב אפורה</t>
  </si>
  <si>
    <t xml:space="preserve">078G-XLחגורת גב אפורה</t>
  </si>
  <si>
    <t xml:space="preserve">078G-XXLחגורת גב אפורה</t>
  </si>
  <si>
    <t xml:space="preserve">M 11 אפורUG חגורת בטן</t>
  </si>
  <si>
    <t xml:space="preserve">L 11 אפורUG חגורת בטן</t>
  </si>
  <si>
    <t xml:space="preserve">XL 11 אפורUG חגורת בטן</t>
  </si>
  <si>
    <t xml:space="preserve">XXL 11אפורUGחגורת בטן</t>
  </si>
  <si>
    <t xml:space="preserve">16 L-XL חגורת הריון</t>
  </si>
  <si>
    <t xml:space="preserve">16 S-M חגורת הריון</t>
  </si>
  <si>
    <t xml:space="preserve">16 XXL חגורת הריון</t>
  </si>
  <si>
    <t xml:space="preserve">078C M'חגורת גב+סגירה כפו בז</t>
  </si>
  <si>
    <t xml:space="preserve">078C S'חגורת גב+סגירה כפו בז</t>
  </si>
  <si>
    <t xml:space="preserve">077A   XXL חגורת גב עם חיזוקים</t>
  </si>
  <si>
    <t xml:space="preserve">SC25  S חבק יד</t>
  </si>
  <si>
    <t xml:space="preserve">SC25  M חבק יד</t>
  </si>
  <si>
    <t xml:space="preserve">SC25  L חבק יד</t>
  </si>
  <si>
    <t xml:space="preserve">SC25 XL חבק יד</t>
  </si>
  <si>
    <t xml:space="preserve">11STO S חגורה אחרי ניתוח</t>
  </si>
  <si>
    <t xml:space="preserve">11STO M חגורה אחרי ניתוח</t>
  </si>
  <si>
    <t xml:space="preserve">11STO XL  חגורה אחרי ניתוח</t>
  </si>
  <si>
    <t xml:space="preserve">T25B   חבק יד אגודלי</t>
  </si>
  <si>
    <t xml:space="preserve">078XXL חגורת גב +סגירה כפולה</t>
  </si>
  <si>
    <t xml:space="preserve">91B חבק טניס אלבו</t>
  </si>
  <si>
    <t xml:space="preserve">70N S חגורת פאבליק</t>
  </si>
  <si>
    <t xml:space="preserve">70N M חגורת פאבליק</t>
  </si>
  <si>
    <t xml:space="preserve">70N L חגורת פאבליק</t>
  </si>
  <si>
    <t xml:space="preserve">202  ONE SIZE חבק יד</t>
  </si>
  <si>
    <t xml:space="preserve">365 S-Lטבעת אלסטית מסיליקון</t>
  </si>
  <si>
    <t xml:space="preserve">365  X-Lטבעת אלסטית מסיליקון</t>
  </si>
  <si>
    <t xml:space="preserve">FC341-טיפות נגד פטרת הציפורן</t>
  </si>
  <si>
    <t xml:space="preserve">FC335 טלק מעושר באלוורה</t>
  </si>
  <si>
    <t xml:space="preserve">804AT-W      טייפ חבישה לספורט</t>
  </si>
  <si>
    <t xml:space="preserve">804AT-B      טייפ חבישה לספורט</t>
  </si>
  <si>
    <t xml:space="preserve">804AT-C      טייפ חבישה לספורט</t>
  </si>
  <si>
    <t xml:space="preserve">804AT-BL     טייפ חבישה לספורט</t>
  </si>
  <si>
    <t xml:space="preserve">808KT-P        טייפ קינזיולוגי</t>
  </si>
  <si>
    <t xml:space="preserve">808KT-BL       טייפ קינזיולוגי</t>
  </si>
  <si>
    <t xml:space="preserve">808KT-C        טייפ קינזיולוגי</t>
  </si>
  <si>
    <t xml:space="preserve">808KT-B        טייפ קינזיולוגי</t>
  </si>
  <si>
    <t xml:space="preserve">כרית מטטרזלי סיליקון362</t>
  </si>
  <si>
    <t xml:space="preserve">3623 כרית ליישור אצבע פטיש</t>
  </si>
  <si>
    <t xml:space="preserve">820 0 כרית חום וקור</t>
  </si>
  <si>
    <t xml:space="preserve">307 XL כרית סיליקון לעקב</t>
  </si>
  <si>
    <t xml:space="preserve">211L כפפות לחץ</t>
  </si>
  <si>
    <t xml:space="preserve">211M כפפות לחץ</t>
  </si>
  <si>
    <t xml:space="preserve">211S כפפות לחץ</t>
  </si>
  <si>
    <t xml:space="preserve">211XL כפפות לחץ</t>
  </si>
  <si>
    <t xml:space="preserve">212L כפפות אגודל לחץ</t>
  </si>
  <si>
    <t xml:space="preserve">212M כפפות אגודל לחץ</t>
  </si>
  <si>
    <t xml:space="preserve">212S כפפות אגודל לחץ</t>
  </si>
  <si>
    <t xml:space="preserve">212XL כפפות אגודל לחץ</t>
  </si>
  <si>
    <t xml:space="preserve">213CTSL L שמאל CTS כפפות</t>
  </si>
  <si>
    <t xml:space="preserve">213CTSL M שמאל CTS כפפות</t>
  </si>
  <si>
    <t xml:space="preserve">213CTSL S שמאל CTS כפפות</t>
  </si>
  <si>
    <t xml:space="preserve">213CTSR L ימין CTS כפפות</t>
  </si>
  <si>
    <t xml:space="preserve">213CTSR M ימין CTS כפפות</t>
  </si>
  <si>
    <t xml:space="preserve">213CTS  S ימין CTS כפפות</t>
  </si>
  <si>
    <t xml:space="preserve">30 S מגן קרסול מתכוון עם סקוטש</t>
  </si>
  <si>
    <t xml:space="preserve">30 L מגן קרסול מתכוון עם סקוטש</t>
  </si>
  <si>
    <t xml:space="preserve">30 M מגן קרסול מתכוון עם סקוטש</t>
  </si>
  <si>
    <t xml:space="preserve">30 XL מגן קרסול מתכוון סקוטש</t>
  </si>
  <si>
    <t xml:space="preserve">30 XXL מגן קרסול מתכוון+סקוטש</t>
  </si>
  <si>
    <t xml:space="preserve">303 37-38 מדרסי סיליק.לח.סכרת</t>
  </si>
  <si>
    <t xml:space="preserve">303 39-40 מדרסי סיליק.לח.סכרת</t>
  </si>
  <si>
    <t xml:space="preserve">303 41-42 מדרסי סיליק.לח.סכרת</t>
  </si>
  <si>
    <t xml:space="preserve">303 43-44 מדרסי סיליק.לח.סכרת</t>
  </si>
  <si>
    <t xml:space="preserve">303 45-46 מדרסי סיליק.לח.סכרת</t>
  </si>
  <si>
    <t xml:space="preserve">311'מדב.ג'ל למניעת שפשוף 5 יח</t>
  </si>
  <si>
    <t xml:space="preserve">34  M מגן קרסול עקב סגור</t>
  </si>
  <si>
    <t xml:space="preserve">34  S מגן קרסול עקב סגור</t>
  </si>
  <si>
    <t xml:space="preserve">34  L מגן קרסול עקב סגור</t>
  </si>
  <si>
    <t xml:space="preserve">34 XL מגן קרסול עקב סגור</t>
  </si>
  <si>
    <t xml:space="preserve">34 XS מגן קרסול עקב סגור</t>
  </si>
  <si>
    <t xml:space="preserve">34 XXL מגן קרסול עקב סגור</t>
  </si>
  <si>
    <t xml:space="preserve">35 S מגן קרסול לבן</t>
  </si>
  <si>
    <t xml:space="preserve">35 L מגן קרסול לבן</t>
  </si>
  <si>
    <t xml:space="preserve">35 M מגן קרסול לבן</t>
  </si>
  <si>
    <t xml:space="preserve">35 XL מגן קרסול לבן</t>
  </si>
  <si>
    <t xml:space="preserve">35 XXL מגן קרסול לבן</t>
  </si>
  <si>
    <t xml:space="preserve">35C S מגן קרסול חום</t>
  </si>
  <si>
    <t xml:space="preserve">35C L מגן קרסול חום</t>
  </si>
  <si>
    <t xml:space="preserve">35C M מגן קרסול חום</t>
  </si>
  <si>
    <t xml:space="preserve">35C XL מגן קרסול חום</t>
  </si>
  <si>
    <t xml:space="preserve">LF360 מדרס מטטרזלי לנעלי עקב</t>
  </si>
  <si>
    <t xml:space="preserve">3622S מדבקה לשחרור לחץ 2 יח</t>
  </si>
  <si>
    <t xml:space="preserve">364S Lמפר.אצבע סיליק. ליבל.זוג</t>
  </si>
  <si>
    <t xml:space="preserve">364 XLמפריד אצבע סיליקון ליבלת</t>
  </si>
  <si>
    <t xml:space="preserve">3641-מיישר בוהן סיליקון קשיח</t>
  </si>
  <si>
    <t xml:space="preserve">366S-'מדבק.לשחרור לחץ מיבלת2יח</t>
  </si>
  <si>
    <t xml:space="preserve">3677S-מד.לשחרור לחץ א.הבוניון</t>
  </si>
  <si>
    <t xml:space="preserve">388L סד לילה לבוהן</t>
  </si>
  <si>
    <t xml:space="preserve">388R סד לילה לבוהן</t>
  </si>
  <si>
    <t xml:space="preserve">41 Sמ.ברך מוצלב+ספירלות בצדדים</t>
  </si>
  <si>
    <t xml:space="preserve">41 Lמ.ברך מוצלב+ספירלות בצדדים</t>
  </si>
  <si>
    <t xml:space="preserve">41 Mמ.ברך מוצלב+ספירלות בצדדים</t>
  </si>
  <si>
    <t xml:space="preserve">41  XL.מ.ברך מוצלב+ספירלות בצד</t>
  </si>
  <si>
    <t xml:space="preserve">41X L מגן ברך מוצלב+מוט</t>
  </si>
  <si>
    <t xml:space="preserve">41X M מגן ברך מוצלב+מוט</t>
  </si>
  <si>
    <t xml:space="preserve">41X XL מגן ברך מוצלב+מוט</t>
  </si>
  <si>
    <t xml:space="preserve">422 Lמ.ברך+כרית סיל.סביב לפיקה</t>
  </si>
  <si>
    <t xml:space="preserve">422 Mמ.ברך+כרית סיל.סביב לפיקה</t>
  </si>
  <si>
    <t xml:space="preserve">422 Sמ.ברך+כרית סיל.סביב לפיקה</t>
  </si>
  <si>
    <t xml:space="preserve">422 XLמ.ברך+כרית סיל.סביב לפיק</t>
  </si>
  <si>
    <t xml:space="preserve">422 XXLמ.ברך+כרית סיל.סב. פיקה</t>
  </si>
  <si>
    <t xml:space="preserve">45 L מגן ברך לבן</t>
  </si>
  <si>
    <t xml:space="preserve">45 M מגן ברך לבן</t>
  </si>
  <si>
    <t xml:space="preserve">45 S מגן ברך לבן</t>
  </si>
  <si>
    <t xml:space="preserve">45 XL מגן ברך לבן</t>
  </si>
  <si>
    <t xml:space="preserve">45 XXL מגן ברך לבן</t>
  </si>
  <si>
    <t xml:space="preserve">45C S מגן ברך חום</t>
  </si>
  <si>
    <t xml:space="preserve">45C L מגן ברך חום</t>
  </si>
  <si>
    <t xml:space="preserve">45C M מגן ברך חום</t>
  </si>
  <si>
    <t xml:space="preserve">45C XL מגן ברך חום</t>
  </si>
  <si>
    <t xml:space="preserve">45E Sמגן ברך ארוך לבן</t>
  </si>
  <si>
    <t xml:space="preserve">45E  L        מגן ברך ארוך לבן</t>
  </si>
  <si>
    <t xml:space="preserve">45E Mמגן ברך ארוך לבן</t>
  </si>
  <si>
    <t xml:space="preserve">45E XLמגן ברך ארוך לבן</t>
  </si>
  <si>
    <t xml:space="preserve">45E XXLמגן ברך ארוך לבן</t>
  </si>
  <si>
    <t xml:space="preserve">48 S מגן ברך מחמם</t>
  </si>
  <si>
    <t xml:space="preserve">48 L מגן ברך מחמם</t>
  </si>
  <si>
    <t xml:space="preserve">48 M מגן ברך מחמם</t>
  </si>
  <si>
    <t xml:space="preserve">48 XL מגן ברך מחמם</t>
  </si>
  <si>
    <t xml:space="preserve">48 XXL מגן ברך מחמם</t>
  </si>
  <si>
    <t xml:space="preserve">49  S מגן ירך</t>
  </si>
  <si>
    <t xml:space="preserve">49  L מגן ירך</t>
  </si>
  <si>
    <t xml:space="preserve">49  M מגן ירך</t>
  </si>
  <si>
    <t xml:space="preserve">49 XL מגן ירך</t>
  </si>
  <si>
    <t xml:space="preserve">49 XXL מגן ירך</t>
  </si>
  <si>
    <t xml:space="preserve">50 S מתלה אשכים לאחר ניתוח</t>
  </si>
  <si>
    <t xml:space="preserve">50 L מתלה אשכים לאחר ניתוח</t>
  </si>
  <si>
    <t xml:space="preserve">50 M מתלה אשכים לאחר ניתוח</t>
  </si>
  <si>
    <t xml:space="preserve">50 XL מתלה אשכים לאחר ניתוח</t>
  </si>
  <si>
    <t xml:space="preserve">50 XXL מתלה אשכים לאחר ניתוח</t>
  </si>
  <si>
    <t xml:space="preserve">55 L מתלה אשכים לספורטאים</t>
  </si>
  <si>
    <t xml:space="preserve">55 M מתלה אשכים לספורטאים</t>
  </si>
  <si>
    <t xml:space="preserve">55 XL מתלה אשכים לספורטאים</t>
  </si>
  <si>
    <t xml:space="preserve">75 Sמיישר כתף יציב יישור גב צר</t>
  </si>
  <si>
    <t xml:space="preserve">75 Lמיישר כתף יציב יישור גב צר</t>
  </si>
  <si>
    <t xml:space="preserve">75 Mמיישר כתף יציב יישור גב צר</t>
  </si>
  <si>
    <t xml:space="preserve">75 XLמיישר כתף יציב יישור ג.צר</t>
  </si>
  <si>
    <t xml:space="preserve">75  XXL מיישר כתף יציב ישור צר</t>
  </si>
  <si>
    <t xml:space="preserve">76 Sמיישר כתף יציב יישור ג.רחב</t>
  </si>
  <si>
    <t xml:space="preserve">76 Lמיישר כתף יציב יישור רחב</t>
  </si>
  <si>
    <t xml:space="preserve">76 Mמיישר כתף יציב,יישור רחב</t>
  </si>
  <si>
    <t xml:space="preserve">76 XLמיישר כתף יציב יישור רחב</t>
  </si>
  <si>
    <t xml:space="preserve">85 L (מתלה ליד )כיס</t>
  </si>
  <si>
    <t xml:space="preserve">85 M (מתלה ליד )כיס</t>
  </si>
  <si>
    <t xml:space="preserve">85 S (מתלה ליד )כיס</t>
  </si>
  <si>
    <t xml:space="preserve">85 XL (מתלה ליד )כיס</t>
  </si>
  <si>
    <t xml:space="preserve">95 L מגן מרפק רגיל לבן</t>
  </si>
  <si>
    <t xml:space="preserve">95 M מגן מרפק רגיל לבן</t>
  </si>
  <si>
    <t xml:space="preserve">95 S מגן מרפק רגיל לבן</t>
  </si>
  <si>
    <t xml:space="preserve">95 XL מגן מרפק רגיל לבן</t>
  </si>
  <si>
    <t xml:space="preserve">95 XS מגן מרפק רגיל לבן</t>
  </si>
  <si>
    <t xml:space="preserve">95 XXL מגן מרפק רגיל לבן</t>
  </si>
  <si>
    <t xml:space="preserve">FC321-מלח אמבט לכף הרגל</t>
  </si>
  <si>
    <t xml:space="preserve">PD341-מקצוע להסרת עור קשה</t>
  </si>
  <si>
    <t xml:space="preserve">305GA מדרס אורטופ.מתכוון35-36</t>
  </si>
  <si>
    <t xml:space="preserve">305GA מדרס אורטופ.מתכוון37-38</t>
  </si>
  <si>
    <t xml:space="preserve">305GA מדרס אורטופ.מתכוון39-40</t>
  </si>
  <si>
    <t xml:space="preserve">305GA מדרס אורטופ.מתכוון41-42</t>
  </si>
  <si>
    <t xml:space="preserve">305GA מדרס אורטופ.מתכוון43-44</t>
  </si>
  <si>
    <t xml:space="preserve">305GA מדרס אורטופ.מתכוון45-46</t>
  </si>
  <si>
    <t xml:space="preserve">34+ S מגן קרסול עקב סגור+רצוע</t>
  </si>
  <si>
    <t xml:space="preserve">34+ M מגן קרסול עקב סגור+רצוע</t>
  </si>
  <si>
    <t xml:space="preserve">34+ L מגן קרסול עקב סגור+רצוע</t>
  </si>
  <si>
    <t xml:space="preserve">34+XL מגן קרסול עקב סגור+רצוע</t>
  </si>
  <si>
    <t xml:space="preserve">74 L-XL מיצב כתפיים</t>
  </si>
  <si>
    <t xml:space="preserve">80 S תתמתלה ליד רצועה</t>
  </si>
  <si>
    <t xml:space="preserve">T402 S מיצב פיקה</t>
  </si>
  <si>
    <t xml:space="preserve">T402 M מיצב פיקה</t>
  </si>
  <si>
    <t xml:space="preserve">T402 L מיצב פיקה</t>
  </si>
  <si>
    <t xml:space="preserve">T402 XL מיצב פיקה</t>
  </si>
  <si>
    <t xml:space="preserve">T402 XXL מיצב פיקה</t>
  </si>
  <si>
    <t xml:space="preserve">85+ Sמתלה ליד)כיס(+רצועת חיזוק</t>
  </si>
  <si>
    <t xml:space="preserve">85+ Mמתלה ליד)כיס(+רצועת חיזוק</t>
  </si>
  <si>
    <t xml:space="preserve">85+ Lמתלה ליד)כיס(+רצועת חיזוק</t>
  </si>
  <si>
    <t xml:space="preserve">85+ XLמתלה ליד)כיס(רצועת חיזוק</t>
  </si>
  <si>
    <t xml:space="preserve">T39 XL מגן שוק</t>
  </si>
  <si>
    <t xml:space="preserve">T39  M מגן שוק</t>
  </si>
  <si>
    <t xml:space="preserve">T39  L מגן שוק</t>
  </si>
  <si>
    <t xml:space="preserve">T 45 M מגן ברך רגיל</t>
  </si>
  <si>
    <t xml:space="preserve">T 45 L מגן ברך רגיל</t>
  </si>
  <si>
    <t xml:space="preserve">T 45XL מגן ברך רגיל</t>
  </si>
  <si>
    <t xml:space="preserve">87 S מקבע כתף ויד</t>
  </si>
  <si>
    <t xml:space="preserve">87 M מקבע כתף ויד</t>
  </si>
  <si>
    <t xml:space="preserve">87 L מקבע כתף ויד</t>
  </si>
  <si>
    <t xml:space="preserve">87 XL מקבע כתף ויד</t>
  </si>
  <si>
    <t xml:space="preserve">87 XXL מקבע כתף ויד</t>
  </si>
  <si>
    <t xml:space="preserve">T95 S מגן מרפק רגיל</t>
  </si>
  <si>
    <t xml:space="preserve">T45X XL מגן ברך רגיל</t>
  </si>
  <si>
    <t xml:space="preserve">T45X M מגן ברך רגיל</t>
  </si>
  <si>
    <t xml:space="preserve">T45X L מגן ברך רגיל</t>
  </si>
  <si>
    <t xml:space="preserve">T45X-XXLמגן ברך רגיל</t>
  </si>
  <si>
    <t xml:space="preserve">76 XXL מישר כתפיים רחב</t>
  </si>
  <si>
    <t xml:space="preserve">LF377 L-מדרס סיליקון לנעלי עקב</t>
  </si>
  <si>
    <t xml:space="preserve">LF377 M-מדרס סיליקון לנעלי עקב</t>
  </si>
  <si>
    <t xml:space="preserve">LF377 S-מדרס סיליקון לנעלי עקב</t>
  </si>
  <si>
    <t xml:space="preserve">422E XL מגן ברך ארוך עם כרית</t>
  </si>
  <si>
    <t xml:space="preserve">422E XXL מגן ברך ארוך עם כרית</t>
  </si>
  <si>
    <t xml:space="preserve">422E XXXL מגן ברך ארוך עם כרית</t>
  </si>
  <si>
    <t xml:space="preserve">T45 XXL מגן ברך רגיל</t>
  </si>
  <si>
    <t xml:space="preserve">34+XXL מ.קרסול+עכב סגור+רצועות</t>
  </si>
  <si>
    <t xml:space="preserve">URI 3667 מגן בוניון</t>
  </si>
  <si>
    <t xml:space="preserve">35 XS מגן קרסול לבן</t>
  </si>
  <si>
    <t xml:space="preserve">AC37 מגן קרסול נושם</t>
  </si>
  <si>
    <t xml:space="preserve">AC43D מגן ברך + צירים</t>
  </si>
  <si>
    <t xml:space="preserve">AC45X מגן ברך עם תמיכות</t>
  </si>
  <si>
    <t xml:space="preserve">AC49 מגן ירך</t>
  </si>
  <si>
    <t xml:space="preserve">AC95 מגן מרפק</t>
  </si>
  <si>
    <t xml:space="preserve">45  XS מגן ברך רגיל לבן</t>
  </si>
  <si>
    <t xml:space="preserve">322-S מגן קרסול+כרית סילקון</t>
  </si>
  <si>
    <t xml:space="preserve">322-M מגן קרסול+כרית סילקון</t>
  </si>
  <si>
    <t xml:space="preserve">322XL מגן קרסול+כרית סילקון</t>
  </si>
  <si>
    <t xml:space="preserve">322XXLמגן קרסול+כרית סילקון</t>
  </si>
  <si>
    <t xml:space="preserve">922XXLמגן מרפק+כרית סילקון</t>
  </si>
  <si>
    <t xml:space="preserve">3666 מפריד הלוקס</t>
  </si>
  <si>
    <t xml:space="preserve">422N L מ.ברך אפור+כרית סיליקון</t>
  </si>
  <si>
    <t xml:space="preserve">422N M מ.ברך אפור+כרית סיליקון</t>
  </si>
  <si>
    <t xml:space="preserve">422N XLמ.ברך אפור+כרית סיליקון</t>
  </si>
  <si>
    <t xml:space="preserve">422N XXL.מ.ברך אפור+כרית סיליק</t>
  </si>
  <si>
    <t xml:space="preserve">322-L מגן קרסול+כרית סילקון</t>
  </si>
  <si>
    <t xml:space="preserve">302 מדרס ג'ל לגבר</t>
  </si>
  <si>
    <t xml:space="preserve">95C M 'מגן מרפק בז</t>
  </si>
  <si>
    <t xml:space="preserve">95C L 'מגן מרפק בז</t>
  </si>
  <si>
    <t xml:space="preserve">95C S 'מגן מרפק בז</t>
  </si>
  <si>
    <t xml:space="preserve">95C XL'מגן מרפק בז</t>
  </si>
  <si>
    <t xml:space="preserve">95C XS'מגן מרפק בז</t>
  </si>
  <si>
    <t xml:space="preserve">95C XXL'מגן מרפק בז</t>
  </si>
  <si>
    <t xml:space="preserve">3674 0 מ.בוניון+מפריד אצבע</t>
  </si>
  <si>
    <t xml:space="preserve">3675    מגן זרת מסיליקון</t>
  </si>
  <si>
    <t xml:space="preserve">302 W מדרס לאישה</t>
  </si>
  <si>
    <t xml:space="preserve">45EC S 'מגן ברך ארוך בז</t>
  </si>
  <si>
    <t xml:space="preserve">45EC M 'מגן ברך ארוך בז</t>
  </si>
  <si>
    <t xml:space="preserve">45EC L 'מגן ברך ארוך בז</t>
  </si>
  <si>
    <t xml:space="preserve">45EC XL'מגן ברך ארוך בז</t>
  </si>
  <si>
    <t xml:space="preserve">45EC XXL'מגן ברך ארוך בז</t>
  </si>
  <si>
    <t xml:space="preserve">21 XS מגן יד</t>
  </si>
  <si>
    <t xml:space="preserve">78A L מגן למפרק כתף</t>
  </si>
  <si>
    <t xml:space="preserve">SC95 S מגן מרפק</t>
  </si>
  <si>
    <t xml:space="preserve">SC95 M מגן מרפק</t>
  </si>
  <si>
    <t xml:space="preserve">SC95 L מגן מרפק</t>
  </si>
  <si>
    <t xml:space="preserve">SC95 XLמגן מרפק</t>
  </si>
  <si>
    <t xml:space="preserve">SC39  S מגן שוק</t>
  </si>
  <si>
    <t xml:space="preserve">SC39  M מגן שוק</t>
  </si>
  <si>
    <t xml:space="preserve">SC39  L מגן שוק</t>
  </si>
  <si>
    <t xml:space="preserve">SC39 XL מגן שוק</t>
  </si>
  <si>
    <t xml:space="preserve">SC39 XXLמגן שוק</t>
  </si>
  <si>
    <t xml:space="preserve">SC35L  S מגן קרסול שמאל</t>
  </si>
  <si>
    <t xml:space="preserve">SC35L  M מגן קרסול שמאל</t>
  </si>
  <si>
    <t xml:space="preserve">SC35L  L מגן קרסול שמאל</t>
  </si>
  <si>
    <t xml:space="preserve">SC35L XL מגן קרסול שמאל</t>
  </si>
  <si>
    <t xml:space="preserve">SC35R  S מגן קרסול ימין</t>
  </si>
  <si>
    <t xml:space="preserve">SC35R  M מגן קרסול ימין</t>
  </si>
  <si>
    <t xml:space="preserve">SC35R  L מגן קרסול ימין</t>
  </si>
  <si>
    <t xml:space="preserve">SC35R  XLמגן קרסול ימין</t>
  </si>
  <si>
    <t xml:space="preserve">SC422  S מגן ברך</t>
  </si>
  <si>
    <t xml:space="preserve">SC422  M מגן ברך</t>
  </si>
  <si>
    <t xml:space="preserve">SC422  L מגן ברך</t>
  </si>
  <si>
    <t xml:space="preserve">SC422 XL מגן ברך</t>
  </si>
  <si>
    <t xml:space="preserve">SC422 XXLמגן ברך</t>
  </si>
  <si>
    <t xml:space="preserve">302SP M מדרס ג'ל ספורט לגבר</t>
  </si>
  <si>
    <t xml:space="preserve">302SP Wמדרס ג'ל ספורט לאישה</t>
  </si>
  <si>
    <t xml:space="preserve">LF378 S מדרס ג'ל לנעלי עקב</t>
  </si>
  <si>
    <t xml:space="preserve">LF378 M מדרס ג'ל לנעלי עקב</t>
  </si>
  <si>
    <t xml:space="preserve">LF378 L מדרס ג'ל לנעלי עקב</t>
  </si>
  <si>
    <t xml:space="preserve">386  מיישר בוניון-האלוקס ולגוס</t>
  </si>
  <si>
    <t xml:space="preserve">AC75 מישר כתפיים אקטיב</t>
  </si>
  <si>
    <t xml:space="preserve">85K מתלה ליד לילדים</t>
  </si>
  <si>
    <t xml:space="preserve">AC75 XXL  מיישר כתפיים אקטיב</t>
  </si>
  <si>
    <t xml:space="preserve">605XL מסכה אלה</t>
  </si>
  <si>
    <t xml:space="preserve">310Lמדרס 3/4לכאבי דורבן וספורט</t>
  </si>
  <si>
    <t xml:space="preserve">35B L מגן קרסול שחור</t>
  </si>
  <si>
    <t xml:space="preserve">35B XL מגן קרסול שחור</t>
  </si>
  <si>
    <t xml:space="preserve">35B M מגן קרסול שחור</t>
  </si>
  <si>
    <t xml:space="preserve">35B S מגן קרסול שחור</t>
  </si>
  <si>
    <t xml:space="preserve">35B XXL מגן קרסול שחור</t>
  </si>
  <si>
    <t xml:space="preserve">45B L מגן ברך שחור</t>
  </si>
  <si>
    <t xml:space="preserve">45B XL מגן ברך שחור</t>
  </si>
  <si>
    <t xml:space="preserve">45B M מגן ברך שחור</t>
  </si>
  <si>
    <t xml:space="preserve">45B S מגן ברך שחור</t>
  </si>
  <si>
    <t xml:space="preserve">45B XXLמגן ברך שחור</t>
  </si>
  <si>
    <t xml:space="preserve">95B L מגן מרפק שחור</t>
  </si>
  <si>
    <t xml:space="preserve">95B M מגן מרפק שחור</t>
  </si>
  <si>
    <t xml:space="preserve">95B S מגן מרפק שחור</t>
  </si>
  <si>
    <t xml:space="preserve">95B XL מגן מרפק שחור</t>
  </si>
  <si>
    <t xml:space="preserve">95B XXLמגן מרפק שחור</t>
  </si>
  <si>
    <t xml:space="preserve">85B L מתלה רשת לזרוע שחור</t>
  </si>
  <si>
    <t xml:space="preserve">85B M מתלה רשת לזרוע שחור</t>
  </si>
  <si>
    <t xml:space="preserve">85B XL מתלה רשת לזרוע שחור</t>
  </si>
  <si>
    <t xml:space="preserve">85B S מתלה רשת לזרוע שחור</t>
  </si>
  <si>
    <t xml:space="preserve">מדרסי אפיק ג'ל מולט.ספורט35-38</t>
  </si>
  <si>
    <t xml:space="preserve">מדרסי אפיק ג'ל מולטי ספור39-42</t>
  </si>
  <si>
    <t xml:space="preserve">מדרסי אפיק ג'ל מולט.ספורט43-47</t>
  </si>
  <si>
    <t xml:space="preserve">35-38 מדרסי אפיק ג'ל נוחות</t>
  </si>
  <si>
    <t xml:space="preserve">39-42 מדרסי אפיק ג'ל נוחות</t>
  </si>
  <si>
    <t xml:space="preserve">43-47 מדרסי אפיק ג'ל נוחות</t>
  </si>
  <si>
    <t xml:space="preserve">35-38 מדרסי אפיק ג'ל עבודה</t>
  </si>
  <si>
    <t xml:space="preserve">39-42 מדרסי אפיק ג'ל עבודה</t>
  </si>
  <si>
    <t xml:space="preserve">43-47 מדרסי אפיק ג'ל עבודה</t>
  </si>
  <si>
    <t xml:space="preserve">35C XXL מגן קרסול חום</t>
  </si>
  <si>
    <t xml:space="preserve">SH333 מקבע קרסול</t>
  </si>
  <si>
    <t xml:space="preserve">FC342-נוזל לציפורן חודרנית</t>
  </si>
  <si>
    <t xml:space="preserve">26 L סד ליד דו צדדי לאחר שבר</t>
  </si>
  <si>
    <t xml:space="preserve">26 M סד ליד דו צדדי לאחר שבר</t>
  </si>
  <si>
    <t xml:space="preserve">26 S סד ליד דו צדדי לאחר שבר</t>
  </si>
  <si>
    <t xml:space="preserve">26 XL סד ליד דו צדדי לאחר שבר</t>
  </si>
  <si>
    <t xml:space="preserve">26 XXL סד ליד דו צדדי לאחר שבר</t>
  </si>
  <si>
    <t xml:space="preserve">28 L סד לאגודל לאחר שבר</t>
  </si>
  <si>
    <t xml:space="preserve">28 M סד לאגודל לאחר שבר</t>
  </si>
  <si>
    <t xml:space="preserve">28 S סד לאגודל לאחר שבר</t>
  </si>
  <si>
    <t xml:space="preserve">28 XL סד לאגודל לאחר שבר</t>
  </si>
  <si>
    <t xml:space="preserve">32 M  סד קרסול+מוטות אלומיניום</t>
  </si>
  <si>
    <t xml:space="preserve">32 XL סד קרסול+מוטות אלומיניום</t>
  </si>
  <si>
    <t xml:space="preserve">333 סד לקרסול עם כריות אויר</t>
  </si>
  <si>
    <t xml:space="preserve">28-XS סד לאגודל לאחר שבר</t>
  </si>
  <si>
    <t xml:space="preserve">AC-27L סד לש.כף יד שמאל</t>
  </si>
  <si>
    <t xml:space="preserve">AC-27R סד לש.כף יד ימין</t>
  </si>
  <si>
    <t xml:space="preserve">AC-28 סד לאגודל</t>
  </si>
  <si>
    <t xml:space="preserve">סד קיבוע לאצבע הדק</t>
  </si>
  <si>
    <t xml:space="preserve">T28 XL סד לאגודל כפפה</t>
  </si>
  <si>
    <t xml:space="preserve">T28C L סד לאגודל כפפה</t>
  </si>
  <si>
    <t xml:space="preserve">T28C M סד לאגודל כפפה</t>
  </si>
  <si>
    <t xml:space="preserve">T28C  XL סד לאגודל כפפה</t>
  </si>
  <si>
    <t xml:space="preserve">T28A S-M סד לאגודל</t>
  </si>
  <si>
    <t xml:space="preserve">T28A L-XL סד לאגודל</t>
  </si>
  <si>
    <t xml:space="preserve">T28AC S-M סד לאגודל</t>
  </si>
  <si>
    <t xml:space="preserve">T28AC L-XL סד לאגודל</t>
  </si>
  <si>
    <t xml:space="preserve">PD346-10 סכינים למקצוע</t>
  </si>
  <si>
    <t xml:space="preserve">T33  M  סד לקרסול</t>
  </si>
  <si>
    <t xml:space="preserve">T33  L  סד לקרסול</t>
  </si>
  <si>
    <t xml:space="preserve">27L M סד ליד שמאל</t>
  </si>
  <si>
    <t xml:space="preserve">27L L סד ליד שמאל</t>
  </si>
  <si>
    <t xml:space="preserve">27L XLסד ליד שמאל</t>
  </si>
  <si>
    <t xml:space="preserve">T33 XXL סד לקרסול</t>
  </si>
  <si>
    <t xml:space="preserve">T27L M סד ליד שמאל</t>
  </si>
  <si>
    <t xml:space="preserve">266 סד ליד דו צדדי</t>
  </si>
  <si>
    <t xml:space="preserve">268 סד לאגודל</t>
  </si>
  <si>
    <t xml:space="preserve">238S סד ליישור אצבע</t>
  </si>
  <si>
    <t xml:space="preserve">238M סד ליישור אצבע</t>
  </si>
  <si>
    <t xml:space="preserve">238L סד ליישור אצבע</t>
  </si>
  <si>
    <t xml:space="preserve">238XL סד ליישור אצבע</t>
  </si>
  <si>
    <t xml:space="preserve">267LC  L-XL 'סד יד שמאל בז</t>
  </si>
  <si>
    <t xml:space="preserve">267LC   S-M'סד יד שמאל בז</t>
  </si>
  <si>
    <t xml:space="preserve">267RC  L-XL 'סד יד ימין בז</t>
  </si>
  <si>
    <t xml:space="preserve">267RC  S-M 'סד יד ימין בז</t>
  </si>
  <si>
    <t xml:space="preserve">267LB  L-XLסד יד שמאל שחור</t>
  </si>
  <si>
    <t xml:space="preserve">267LB  S-M סד יד שמאל שחור</t>
  </si>
  <si>
    <t xml:space="preserve">267RB  L-XLסד יד ימין שחור</t>
  </si>
  <si>
    <t xml:space="preserve">267RB  S-M סד יד ימין שחור</t>
  </si>
  <si>
    <t xml:space="preserve">313 סט פלסטרים נגד שפשופים</t>
  </si>
  <si>
    <t xml:space="preserve">388B L סד לילה שחור לבוהן שמאל</t>
  </si>
  <si>
    <t xml:space="preserve">388B L סד לילה שחור לבוהן ימין</t>
  </si>
  <si>
    <t xml:space="preserve">307 L עקבים לדורבן-זוג כריות</t>
  </si>
  <si>
    <t xml:space="preserve">307 M עקבים לדורבן-זוג כריות</t>
  </si>
  <si>
    <t xml:space="preserve">307 S עקבים לדורבן-זוג כריות</t>
  </si>
  <si>
    <t xml:space="preserve">308 Lעקבים סיליקון כחול לדורבן</t>
  </si>
  <si>
    <t xml:space="preserve">308 Mעקבים סיליק.כחול לדורבן</t>
  </si>
  <si>
    <t xml:space="preserve">308 Sעקבים סיליק.כחול לדורבן</t>
  </si>
  <si>
    <t xml:space="preserve">PD342-פומפיה להסרת עור קשה</t>
  </si>
  <si>
    <t xml:space="preserve">PD343-פומפיה מאבן להסר.עור</t>
  </si>
  <si>
    <t xml:space="preserve">60 L צוארון ספוגי</t>
  </si>
  <si>
    <t xml:space="preserve">60 M צוארון ספוגי</t>
  </si>
  <si>
    <t xml:space="preserve">60 S צוארון ספוגי</t>
  </si>
  <si>
    <t xml:space="preserve">60 XL צוארון ספוגי</t>
  </si>
  <si>
    <t xml:space="preserve">60 XXL צוארון ספוגי</t>
  </si>
  <si>
    <t xml:space="preserve">63 M צוארון פלסטי מתכוון</t>
  </si>
  <si>
    <t xml:space="preserve">FC311-תתקרם דאודורנט לכף הרגל</t>
  </si>
  <si>
    <t xml:space="preserve">FC310-תתקרם הגנה לכף הרגל</t>
  </si>
  <si>
    <t xml:space="preserve">FC312-תתקרם מירוק גרגרי פילינג</t>
  </si>
  <si>
    <t xml:space="preserve">PD340-קוצץ ציפורניים</t>
  </si>
  <si>
    <t xml:space="preserve">FC316   קרם רגליים שיקומי</t>
  </si>
  <si>
    <t xml:space="preserve">239B S-M STRAP4U</t>
  </si>
  <si>
    <t xml:space="preserve">239P S-M STRAP4U</t>
  </si>
  <si>
    <t xml:space="preserve">239B L-XL STRAP4U</t>
  </si>
  <si>
    <t xml:space="preserve">239TR L-XL STRAP4U</t>
  </si>
  <si>
    <t xml:space="preserve">370  רפידת נוחות-זוג</t>
  </si>
  <si>
    <t xml:space="preserve">371 רפידת מגבת כותנה-זוג</t>
  </si>
  <si>
    <t xml:space="preserve">372 רפידת אנטי ריח -זוג</t>
  </si>
  <si>
    <t xml:space="preserve">374 רפידת בולמת זעזועים -זוג</t>
  </si>
  <si>
    <t xml:space="preserve">377  רפ.אורטופדית ספורט זוג35</t>
  </si>
  <si>
    <t xml:space="preserve">377 רפ.אורטופדית ספורט זוג36</t>
  </si>
  <si>
    <t xml:space="preserve">377   רפ.ורטופדית ספורט זוג38</t>
  </si>
  <si>
    <t xml:space="preserve">377  רפ.אורטופדית ספורט זוג39</t>
  </si>
  <si>
    <t xml:space="preserve">377  רפ.אורטופדית ספורט זוג40</t>
  </si>
  <si>
    <t xml:space="preserve">377  רפידה אורטופ.ספורט זוג41</t>
  </si>
  <si>
    <t xml:space="preserve">377   רפידה אורט.ספורט זוג43</t>
  </si>
  <si>
    <t xml:space="preserve">40-רצועת פיקה לברך</t>
  </si>
  <si>
    <t xml:space="preserve">T90 רצועת טניס אלבו עם פלסטיק</t>
  </si>
  <si>
    <t xml:space="preserve">LF370 ריפוד סיליקון לעקב אחורי</t>
  </si>
  <si>
    <t xml:space="preserve">LF371 ריפוד סיליקון לנעלי אצבע</t>
  </si>
  <si>
    <t xml:space="preserve">LFריפוד סיליק.לכרית כף הרגל373</t>
  </si>
  <si>
    <t xml:space="preserve">LF374 ריפוד סיליק.לעקב תחתון</t>
  </si>
  <si>
    <t xml:space="preserve">AC40 רצועה לפיקת הברך</t>
  </si>
  <si>
    <t xml:space="preserve">370K 0 רפידת לילדים אנטי ריח</t>
  </si>
  <si>
    <t xml:space="preserve">35-37 רפידת ספורט 376 מידה</t>
  </si>
  <si>
    <t xml:space="preserve">41-43 רפידת ספורט 376 מידה</t>
  </si>
  <si>
    <t xml:space="preserve">44-45 רפידת ספורט 376 מידה</t>
  </si>
  <si>
    <t xml:space="preserve">46-47 רפידת ספורט 376 מידה</t>
  </si>
  <si>
    <t xml:space="preserve">381 HV רצועה אלסטית</t>
  </si>
  <si>
    <t xml:space="preserve">301CW 36-40 'רפידת ג'ל בז</t>
  </si>
  <si>
    <t xml:space="preserve">301CM 41-45 'רפידת ג'ל בז</t>
  </si>
  <si>
    <t xml:space="preserve">301JW רפידת ג'ל כחול36-40</t>
  </si>
  <si>
    <t xml:space="preserve">T40B רצועה לפיקה</t>
  </si>
  <si>
    <t xml:space="preserve">3655 שרוול מסיליקון לאצבע</t>
  </si>
  <si>
    <t xml:space="preserve">3611 שרוול מטטרזלי מסיליקון</t>
  </si>
  <si>
    <t xml:space="preserve">3672 שרוול מגן לבוניון</t>
  </si>
  <si>
    <t xml:space="preserve">שרוול לגבס קצר יד</t>
  </si>
  <si>
    <t xml:space="preserve">שרוול לגבס ארוך יד</t>
  </si>
  <si>
    <t xml:space="preserve">שרוול לגבס קצר רגל</t>
  </si>
  <si>
    <t xml:space="preserve">שרוול לגבס ארוך רגל</t>
  </si>
  <si>
    <t xml:space="preserve">801  תחבושת אלסטית מקררת</t>
  </si>
  <si>
    <t xml:space="preserve">FC331Z- 120 תתתרסיס מרענן לרגל</t>
  </si>
  <si>
    <t xml:space="preserve">T78 S תומך זרוע וכתף</t>
  </si>
  <si>
    <t xml:space="preserve">T78 M תומך זרוע וכתף</t>
  </si>
  <si>
    <t xml:space="preserve">T78 L תומך זרוע וכתף</t>
  </si>
  <si>
    <t xml:space="preserve">T78 XLתומך זרוע וכתף</t>
  </si>
  <si>
    <t xml:space="preserve">T78 XXL תומך זרוע וכתף</t>
  </si>
  <si>
    <t xml:space="preserve">806CB-BEIGE      תחבושת א.נצמ</t>
  </si>
  <si>
    <t xml:space="preserve">806CB-BLACK      תחבושת א.נצמ</t>
  </si>
  <si>
    <t xml:space="preserve">806CB-GREEN      תחבושת א.נצמ</t>
  </si>
  <si>
    <t xml:space="preserve">806CB-PINK       תחבושת א.נצמ</t>
  </si>
  <si>
    <t xml:space="preserve">807CB-Cתחבושת נצמדת בז' 20 מ""מ</t>
  </si>
  <si>
    <t xml:space="preserve">807B-Bתחבושת נצמדת שחור 20 מ""מ</t>
  </si>
  <si>
    <t xml:space="preserve">807CB-BLתחבושת נצמדת כחול20מ""מ</t>
  </si>
  <si>
    <t xml:space="preserve">807CB-P תחבושת נצמדת ורוד 20ממ</t>
  </si>
  <si>
    <t xml:space="preserve">FCתרסיס דאודורנט אנטיבק.נעל333</t>
  </si>
  <si>
    <t xml:space="preserve">FC334  תרסיס דאודורנט לכף הרגל</t>
  </si>
  <si>
    <t xml:space="preserve">SH422 1 תומך ברך גנושילד</t>
  </si>
  <si>
    <t xml:space="preserve">SH422 2 תומך ברך גנושילד</t>
  </si>
  <si>
    <t xml:space="preserve">SH422 3 תומך ברך גנושילד</t>
  </si>
  <si>
    <t xml:space="preserve">SH422 4 תומך ברך גנושילד</t>
  </si>
  <si>
    <t xml:space="preserve">SH422 5 תומך ברך גנושילד</t>
  </si>
  <si>
    <t xml:space="preserve">SH422 6 תומך ברך גנושילד</t>
  </si>
  <si>
    <t xml:space="preserve">S-XLST422 מגן ברך+כרית ג'ל</t>
  </si>
  <si>
    <t xml:space="preserve">11STO L חגורה אחרי ניתוח</t>
  </si>
  <si>
    <t xml:space="preserve">11STO XXL חגורה אחרי ניתוח</t>
  </si>
  <si>
    <t xml:space="preserve">ST25 חבק שורש לכף היד</t>
  </si>
  <si>
    <t xml:space="preserve">ST20 חבק יד</t>
  </si>
  <si>
    <t xml:space="preserve">ST37 חבק לקרסול</t>
  </si>
  <si>
    <t xml:space="preserve">ST11  חגורת בטן</t>
  </si>
  <si>
    <t xml:space="preserve">70N XS חגורת פאבליק</t>
  </si>
  <si>
    <t xml:space="preserve">ST91 מגן מרפק לטניס</t>
  </si>
  <si>
    <t xml:space="preserve">ST433 H מגן ברך עם ציר</t>
  </si>
  <si>
    <t xml:space="preserve">ST49 מגן ירך</t>
  </si>
  <si>
    <t xml:space="preserve">ST28 סד אגודלי עם מוט תמיכה</t>
  </si>
  <si>
    <t xml:space="preserve">BE (CEMI internal group)</t>
  </si>
  <si>
    <t xml:space="preserve">BE CARE  תחבושת אלסטית 5 ס""מ</t>
  </si>
  <si>
    <t xml:space="preserve">BE CARE KT BLACK</t>
  </si>
  <si>
    <t xml:space="preserve">BE CARE KT BLUE</t>
  </si>
  <si>
    <t xml:space="preserve">06 L  ""ח.גב קלה ""מיקדו</t>
  </si>
  <si>
    <t xml:space="preserve">59D S חגורת שבר דו צדדי</t>
  </si>
  <si>
    <t xml:space="preserve">19 L-XLחגורת הריון בכאב.חזק</t>
  </si>
  <si>
    <t xml:space="preserve">11PS Sחגורה למנותחי בטן</t>
  </si>
  <si>
    <t xml:space="preserve">11PS Mחגורה למנותחי בטן</t>
  </si>
  <si>
    <t xml:space="preserve">078C XLתתחגורת גב+סגירה כפו בז</t>
  </si>
  <si>
    <t xml:space="preserve">L-XL 099 חגורת גב שרוכים</t>
  </si>
  <si>
    <t xml:space="preserve">FC314-תתטלק נוזלי</t>
  </si>
  <si>
    <t xml:space="preserve">300M תתמדרס.ציפוי עור גבר זו43</t>
  </si>
  <si>
    <t xml:space="preserve">300M תתמדרס/ציפוי עור גבר זו44</t>
  </si>
  <si>
    <t xml:space="preserve">41X S מגן ברך מוצלב+מוט</t>
  </si>
  <si>
    <t xml:space="preserve">T39  S מגן שוק</t>
  </si>
  <si>
    <t xml:space="preserve">T45 S מגן ברך רגיל</t>
  </si>
  <si>
    <t xml:space="preserve">T95 L מגן מרפק רגיל</t>
  </si>
  <si>
    <t xml:space="preserve">T35 Mמגן קרסול+ צמדן</t>
  </si>
  <si>
    <t xml:space="preserve">T35 Lמגן קרסול+ צמדן</t>
  </si>
  <si>
    <t xml:space="preserve">T35 XLמגן קרסול+ צמדן</t>
  </si>
  <si>
    <t xml:space="preserve">422E L מגן ברך ארוך עם כרית</t>
  </si>
  <si>
    <t xml:space="preserve">422E S מגן ברך ארוך עם כרית</t>
  </si>
  <si>
    <t xml:space="preserve">305GA מדרס מתכוונן47-48</t>
  </si>
  <si>
    <t xml:space="preserve">26 XS סד ליד דו צדדי לאחר שבר</t>
  </si>
  <si>
    <t xml:space="preserve">377  רפ.אורטופדית ספורט זוג37</t>
  </si>
  <si>
    <t xml:space="preserve">377 רפידה אורטופ.ספורט זוג42</t>
  </si>
  <si>
    <t xml:space="preserve">377  רפידה אורט.ספורט זוג44</t>
  </si>
  <si>
    <t xml:space="preserve">T91  L-XL רצועת טניס אלבו</t>
  </si>
  <si>
    <t xml:space="preserve">T91 S-M רצועת טניס אלבו</t>
  </si>
  <si>
    <t xml:space="preserve">Super-Pharm Israel (CEMI internal group)</t>
  </si>
  <si>
    <t xml:space="preserve">3444 0   גרביים+סיליקון</t>
  </si>
  <si>
    <t xml:space="preserve">06 XXL ""ח.גב קלה ""מיקדו</t>
  </si>
  <si>
    <t xml:space="preserve">12 M ח.גב מגנטית+מוטות תמיכה</t>
  </si>
  <si>
    <t xml:space="preserve">12 XL ח.גב מגנטית+מוטות תמיכה</t>
  </si>
  <si>
    <t xml:space="preserve">922S.חבק יד לטניס כרית סיליק</t>
  </si>
  <si>
    <t xml:space="preserve">S 11 אפורUGחגורת בטן</t>
  </si>
  <si>
    <t xml:space="preserve">078C L'חגורת גב+סגירה כפו בז</t>
  </si>
  <si>
    <t xml:space="preserve">11UC S'תתחגורת בטן עממית בז</t>
  </si>
  <si>
    <t xml:space="preserve">S-M 099 חגורת גב שרוכים</t>
  </si>
  <si>
    <t xml:space="preserve">67 כרית שינה חלומי</t>
  </si>
  <si>
    <t xml:space="preserve">95+ L מגן מרפק+רצועה לטניס</t>
  </si>
  <si>
    <t xml:space="preserve">95+ M מגן מרפק+רצועה לטניס</t>
  </si>
  <si>
    <t xml:space="preserve">80 M תתמתלה ליד רצועה</t>
  </si>
  <si>
    <t xml:space="preserve">T43SKI L מגן ברך לסקי</t>
  </si>
  <si>
    <t xml:space="preserve">332CL'מייצב קרסול עם שרוכים בז</t>
  </si>
  <si>
    <t xml:space="preserve">332CM'מייצב קרסול עם שרוכים בז</t>
  </si>
  <si>
    <t xml:space="preserve">332CS'מייצב קרסול עם שרוכים בז</t>
  </si>
  <si>
    <t xml:space="preserve">332CXLמייצב קרסול עם שרוכים בז</t>
  </si>
  <si>
    <t xml:space="preserve">78A XXL מגן למפרק כתף</t>
  </si>
  <si>
    <t xml:space="preserve">T28 S סד לאגודל כפפה</t>
  </si>
  <si>
    <t xml:space="preserve">27 R-M סד ליד ימין</t>
  </si>
  <si>
    <t xml:space="preserve">27R XLסד ליד ימין</t>
  </si>
  <si>
    <t xml:space="preserve">309 S תתמוקפאעקב סיליקון+ קשת</t>
  </si>
  <si>
    <t xml:space="preserve">60XS צוארון ספוגי</t>
  </si>
  <si>
    <t xml:space="preserve">377 רפ.אורטופדית ספורט זוג45</t>
  </si>
  <si>
    <t xml:space="preserve">377  רפ.אורטופדית ספורט זוג46</t>
  </si>
  <si>
    <t xml:space="preserve">T40 רצועת פיקה לברך</t>
  </si>
  <si>
    <t xml:space="preserve">20 - ק.חולים מכבי (CEMI internal group)</t>
  </si>
  <si>
    <t xml:space="preserve">TRANS Crosswalk — ITEM NAME (NetSuite/SALES short codes) &lt;-&gt; CHEMIPAL CODE &lt;-&gt; CHEMIPAL NAME (PPLAY1 long text)</t>
  </si>
  <si>
    <t xml:space="preserve">Source: kirill/reference/TRANS - item name to CHEMIPAL code.xlsx. Used as the PRIMARY match source for all SALES-sourced categories (short NetSuite-style item codes). Column D is a whitespace-normalized helper (fallback match key).</t>
  </si>
  <si>
    <t xml:space="preserve">CHEMIPAL CODE</t>
  </si>
  <si>
    <t xml:space="preserve">CHEMIPAL NAME</t>
  </si>
  <si>
    <t xml:space="preserve">ITEM NAME (normalized)</t>
  </si>
  <si>
    <t xml:space="preserve">4022 רצועת """"פיקה""""+כרית</t>
  </si>
  <si>
    <t xml:space="preserve">07AU L ח.גב """"איטלקית"""" אורירית</t>
  </si>
  <si>
    <t xml:space="preserve">07AU M ח.גב """"איטלקית"""" אורירית</t>
  </si>
  <si>
    <t xml:space="preserve">07AU S ח.גב """"איטלקית"""" אורירית</t>
  </si>
  <si>
    <t xml:space="preserve">07AU XL ח.גב """"איטלקית"""" אורירית</t>
  </si>
  <si>
    <t xml:space="preserve">07AU XXL.ח.גב """"איטלקית"""" אוריר</t>
  </si>
  <si>
    <t xml:space="preserve">10 L """"חגורת גב """"לומבו</t>
  </si>
  <si>
    <t xml:space="preserve">10 M """"חגורת גב """"לומבו</t>
  </si>
  <si>
    <t xml:space="preserve">10 XL """"חגורת גב """"לומבו</t>
  </si>
  <si>
    <t xml:space="preserve">11 L""""חגורת בטן""""אורירית</t>
  </si>
  <si>
    <t xml:space="preserve">11 M""""חגורת בטן""""אורירית</t>
  </si>
  <si>
    <t xml:space="preserve">11 S""""חגורת בטן""""אורירית</t>
  </si>
  <si>
    <t xml:space="preserve">11 XL""""חגורת בטן""""אורירית</t>
  </si>
  <si>
    <t xml:space="preserve">11 XXL""""חגורת בטן""""אורירית</t>
  </si>
  <si>
    <t xml:space="preserve">805AT-B אתלטיק טייפ שחור 20מ""""מ</t>
  </si>
  <si>
    <t xml:space="preserve">805AT-BLאתלטיק טייפ כחול 20מ""""מ</t>
  </si>
  <si>
    <t xml:space="preserve">805AT-Cאתלטיק טייפ בז' 20מ""""מ20</t>
  </si>
  <si>
    <t xml:space="preserve">805AT-W  אתלטיק טייפ לבן 20מ""""מ</t>
  </si>
  <si>
    <t xml:space="preserve">(missing in TRANS source - cell was blank/error)</t>
  </si>
  <si>
    <t xml:space="preserve">312 9 מ""""ס להתאמהX5 מדבקה גדולה</t>
  </si>
  <si>
    <t xml:space="preserve">363-L-R</t>
  </si>
  <si>
    <t xml:space="preserve">38 .חבישת""""הלוקס ולגוס""""לאחר נית</t>
  </si>
  <si>
    <t xml:space="preserve">T28 XL</t>
  </si>
  <si>
    <t xml:space="preserve">T28C XL</t>
  </si>
  <si>
    <t xml:space="preserve">T28C L</t>
  </si>
  <si>
    <t xml:space="preserve">377-35</t>
  </si>
  <si>
    <t xml:space="preserve">381 0</t>
  </si>
  <si>
    <t xml:space="preserve">807B-Bתחבושת נצמדת שחור 20 מ""""מ</t>
  </si>
  <si>
    <t xml:space="preserve">807CB-BLתחבושת נצמדת כחול20מ""""מ</t>
  </si>
  <si>
    <t xml:space="preserve">807CB-Cתחבושת נצמדת בז' 20 מ""""מ</t>
  </si>
  <si>
    <t xml:space="preserve">Catalog — global מק"ט (CHEMIPAL Code) &lt;-&gt; Item Name (PPLAY1 long text), from "חנה_1" export</t>
  </si>
  <si>
    <t xml:space="preserve">Source: kirill/reference/catalog-item-codes-חנה_1.xlsx. Used as a FALLBACK match source (mostly relevant for CEMI/PPLAY1-format long text, rarely matches SALES short codes directly - kept for completeness/verification per instruction).</t>
  </si>
  <si>
    <t xml:space="preserve">Item Name</t>
  </si>
  <si>
    <t xml:space="preserve">Item Name (normalized)</t>
  </si>
  <si>
    <t xml:space="preserve">BE CARE  תחבושת אלסטית 10ס""מ</t>
  </si>
  <si>
    <t xml:space="preserve">BE CARE  תחבושת אלסטית 7.5סמ</t>
  </si>
  <si>
    <t xml:space="preserve">BE CARE CB BEIGE</t>
  </si>
  <si>
    <t xml:space="preserve">BE CARE CB BLACK</t>
  </si>
  <si>
    <t xml:space="preserve">BE CARE CB GREEN</t>
  </si>
  <si>
    <t xml:space="preserve">BE CARE CB PINK</t>
  </si>
  <si>
    <t xml:space="preserve">BE CARE KT BEIGE</t>
  </si>
  <si>
    <t xml:space="preserve">BE CARE KT PINK</t>
  </si>
  <si>
    <t xml:space="preserve">41 XS מ.ברך מוצלב+מוטות</t>
  </si>
  <si>
    <t xml:space="preserve">41 XXL.מ.ברך מוצלב+ספירלות בצד</t>
  </si>
  <si>
    <t xml:space="preserve">41X XS מגן ברך מוצלב+מוט</t>
  </si>
  <si>
    <t xml:space="preserve">41X XXL מגן ברך מוצלב+מוט</t>
  </si>
  <si>
    <t xml:space="preserve">422+ L מ.ברך סיליק.רצועות לבן</t>
  </si>
  <si>
    <t xml:space="preserve">422+ Mמ.ברך סיל.רצועות חזק לבן</t>
  </si>
  <si>
    <t xml:space="preserve">422+ XLמ.ברך סיליק.לבן</t>
  </si>
  <si>
    <t xml:space="preserve">422+ XXLמ.ברך סיל.רצוע.חזק לבן</t>
  </si>
  <si>
    <t xml:space="preserve">422E M מגן ברך ארוך עם כרית</t>
  </si>
  <si>
    <t xml:space="preserve">44G XL-Lסד ברך לאחר ניתוח</t>
  </si>
  <si>
    <t xml:space="preserve">T43 SKI XXL מגן ברך לסקי</t>
  </si>
  <si>
    <t xml:space="preserve">T433 XL מגן ברך משופר</t>
  </si>
  <si>
    <t xml:space="preserve">T43SKI M מגן ברך לסקי</t>
  </si>
  <si>
    <t xml:space="preserve">T43SKI XLמגן ברך לסקי</t>
  </si>
  <si>
    <t xml:space="preserve">T45X S מגן ברך רגיל</t>
  </si>
  <si>
    <t xml:space="preserve">3445Wתתגרב לבן סיליקון טיפ יום</t>
  </si>
  <si>
    <t xml:space="preserve">396-35-38 גרביים טרמיות</t>
  </si>
  <si>
    <t xml:space="preserve">396-39-42 גרביים טרמיות</t>
  </si>
  <si>
    <t xml:space="preserve">06 S  ""ח.גב קלה ""מיקדו</t>
  </si>
  <si>
    <t xml:space="preserve">06U  XXL ח.בטן מותנית צר</t>
  </si>
  <si>
    <t xml:space="preserve">06U M ח.בטן מותנית צר</t>
  </si>
  <si>
    <t xml:space="preserve">078C XXL 'חג.גב+סגירה כפו בז</t>
  </si>
  <si>
    <t xml:space="preserve">11U Mחגורת בטן וחזה אחרי ניתוח</t>
  </si>
  <si>
    <t xml:space="preserve">11U XL ח.בטן לאחר ניתוח קלה</t>
  </si>
  <si>
    <t xml:space="preserve">11UC'M'תתחגורת בטן עממית בז</t>
  </si>
  <si>
    <t xml:space="preserve">11UC XL 'תתחגורת בטן עממ.בז</t>
  </si>
  <si>
    <t xml:space="preserve">12 L ח.גב מגנטית+מוטות תמיכה</t>
  </si>
  <si>
    <t xml:space="preserve">12 S ח.גב מגנטית+מוטות תמיכה</t>
  </si>
  <si>
    <t xml:space="preserve">13 S חגורה לשבר טבור</t>
  </si>
  <si>
    <t xml:space="preserve">15M XL חגורת צלעות לגבר</t>
  </si>
  <si>
    <t xml:space="preserve">15W XXL חגורת צלעות לאשה</t>
  </si>
  <si>
    <t xml:space="preserve">70 L חגורת פיסוק פאב</t>
  </si>
  <si>
    <t xml:space="preserve">70 M חגורת פיסוק פאב</t>
  </si>
  <si>
    <t xml:space="preserve">70 S חגורת פיסוק פאב</t>
  </si>
  <si>
    <t xml:space="preserve">776 L  ח.גב גבוהה</t>
  </si>
  <si>
    <t xml:space="preserve">776 XL ח.גב גבוהה</t>
  </si>
  <si>
    <t xml:space="preserve">FCתתסבון אנטי ספטי לכף הרגל350</t>
  </si>
  <si>
    <t xml:space="preserve">STRAP4U DISPLAY 239D</t>
  </si>
  <si>
    <t xml:space="preserve">74  SM מיצב כתפיים</t>
  </si>
  <si>
    <t xml:space="preserve">78 M מגן למרפק כתף</t>
  </si>
  <si>
    <t xml:space="preserve">78 XXLמגן למרפק כתף</t>
  </si>
  <si>
    <t xml:space="preserve">78A  M מגן למפרק כתף</t>
  </si>
  <si>
    <t xml:space="preserve">78A S מגן למפרק כתף</t>
  </si>
  <si>
    <t xml:space="preserve">78A XL מגן למפרק כתף</t>
  </si>
  <si>
    <t xml:space="preserve">310Mמדרס 3/4לכאבי דורבן וספורט</t>
  </si>
  <si>
    <t xml:space="preserve">310Sמדרס 3/4לכאבי דורבן וספורט</t>
  </si>
  <si>
    <t xml:space="preserve">55 S מתלה אשכים לספורטאים</t>
  </si>
  <si>
    <t xml:space="preserve">55 XXL מתלה אשכים לספורטאים</t>
  </si>
  <si>
    <t xml:space="preserve">59D XXLחגורת שבר דו צדדי</t>
  </si>
  <si>
    <t xml:space="preserve">604L מסכה ארקי</t>
  </si>
  <si>
    <t xml:space="preserve">604XL מסכה ארקי</t>
  </si>
  <si>
    <t xml:space="preserve">655L ""מסכה ""גדי</t>
  </si>
  <si>
    <t xml:space="preserve">911 חבק לטניס אלבו</t>
  </si>
  <si>
    <t xml:space="preserve">95+ XL מגן מרפק+רצועה לטניס</t>
  </si>
  <si>
    <t xml:space="preserve">95G XXLמגן מרפק אפור</t>
  </si>
  <si>
    <t xml:space="preserve">SC95 XXL מגן מרפק</t>
  </si>
  <si>
    <t xml:space="preserve">T95 M מגן מרפק רגיל</t>
  </si>
  <si>
    <t xml:space="preserve">T95 XLמגן מרפק רגיל</t>
  </si>
  <si>
    <t xml:space="preserve">T95+ L מגן מרפק +רצועה</t>
  </si>
  <si>
    <t xml:space="preserve">T95+ XLמגן מרפק +רצועה</t>
  </si>
  <si>
    <t xml:space="preserve">80 L תתמתלה ליד רצועה</t>
  </si>
  <si>
    <t xml:space="preserve">80 XL  תתמתלה ליד</t>
  </si>
  <si>
    <t xml:space="preserve">82 0 מתלה יד מספוג</t>
  </si>
  <si>
    <t xml:space="preserve">306  L זוג עקבים סיליקון</t>
  </si>
  <si>
    <t xml:space="preserve">309 L תתמוקפאעקב סיליקון+ קשת</t>
  </si>
  <si>
    <t xml:space="preserve">309 M תתעקב סיליקון+ קשת</t>
  </si>
  <si>
    <t xml:space="preserve">PD350-תתמשופית ניקל קדמיום</t>
  </si>
  <si>
    <t xml:space="preserve">21 XXL מגן יד</t>
  </si>
  <si>
    <t xml:space="preserve">24 M(תתחבקון ליד )ללא צמדן</t>
  </si>
  <si>
    <t xml:space="preserve">267LC  XXL'סד יד שמאל בז</t>
  </si>
  <si>
    <t xml:space="preserve">267RC XXL 'סד יד ימין בז</t>
  </si>
  <si>
    <t xml:space="preserve">278 L-XL סד יד ואגודל</t>
  </si>
  <si>
    <t xml:space="preserve">278 S-M סד יד ואגודל</t>
  </si>
  <si>
    <t xml:space="preserve">27L S סד ליד שמאל</t>
  </si>
  <si>
    <t xml:space="preserve">27R L סד ליד ימין</t>
  </si>
  <si>
    <t xml:space="preserve">28 XXL סד לאגודל לאחר שבר</t>
  </si>
  <si>
    <t xml:space="preserve">28A S-M  סד לאגודל</t>
  </si>
  <si>
    <t xml:space="preserve">T26 L סד לאגודל דו צדדי</t>
  </si>
  <si>
    <t xml:space="preserve">T26 M סד לאגודל דו צדדי</t>
  </si>
  <si>
    <t xml:space="preserve">T26 S סד לאגודל דו צדדי</t>
  </si>
  <si>
    <t xml:space="preserve">T26 XLסד לאגודל דו צדדי</t>
  </si>
  <si>
    <t xml:space="preserve">T27L L סד ליד שמאל</t>
  </si>
  <si>
    <t xml:space="preserve">T27L S סד ליד שמאל</t>
  </si>
  <si>
    <t xml:space="preserve">T27L XL סד ליד שמאל</t>
  </si>
  <si>
    <t xml:space="preserve">T27R Mסד ליד ימין</t>
  </si>
  <si>
    <t xml:space="preserve">T27R Sסד ליד ימין</t>
  </si>
  <si>
    <t xml:space="preserve">T27R XLסד ליד ימין</t>
  </si>
  <si>
    <t xml:space="preserve">T28 L סד לאגודל כפפה</t>
  </si>
  <si>
    <t xml:space="preserve">T28 M סד לאגודל כפפה</t>
  </si>
  <si>
    <t xml:space="preserve">T28 XXLסד לאגודל צד ימין</t>
  </si>
  <si>
    <t xml:space="preserve">T28A XS סד לאגודל</t>
  </si>
  <si>
    <t xml:space="preserve">T28C S סד לאגודל כפפה</t>
  </si>
  <si>
    <t xml:space="preserve">1314-    62 L צוארון ספוגי</t>
  </si>
  <si>
    <t xml:space="preserve">62 M צוארון ספוגי</t>
  </si>
  <si>
    <t xml:space="preserve">62 S צוארון ספוגי</t>
  </si>
  <si>
    <t xml:space="preserve">62 XL צוארון ספוגי</t>
  </si>
  <si>
    <t xml:space="preserve">63 L צוארון פלסטי מתכוון</t>
  </si>
  <si>
    <t xml:space="preserve">63 S צוארון פלסטי מתכוון</t>
  </si>
  <si>
    <t xml:space="preserve">FC313- תתקרם ריכוך</t>
  </si>
  <si>
    <t xml:space="preserve">FC315-תתג'ל צינון</t>
  </si>
  <si>
    <t xml:space="preserve">32 L  סד קרסול+מוטות אלומיניום</t>
  </si>
  <si>
    <t xml:space="preserve">33 Lסד קל לקרסול עם סדי פלסטיק</t>
  </si>
  <si>
    <t xml:space="preserve">33 Mסד קל לקרסול עם סדי פלסטיק</t>
  </si>
  <si>
    <t xml:space="preserve">33 Sסד קל לקרסול עם סדי פלסטיק</t>
  </si>
  <si>
    <t xml:space="preserve">33 XL.סד קל לקרסול עם סדי פלסט</t>
  </si>
  <si>
    <t xml:space="preserve">332CXXLמיצב קרסול עם שרוכים בז</t>
  </si>
  <si>
    <t xml:space="preserve">T32 S סד קרסול+מוטות אלומיניום</t>
  </si>
  <si>
    <t xml:space="preserve">T35 Sמגן קרסול+ צמדן</t>
  </si>
  <si>
    <t xml:space="preserve">301JM רפידת ג'ל כחול40-45</t>
  </si>
  <si>
    <t xml:space="preserve">38-40 רפידת ספורט 376 מידה</t>
  </si>
  <si>
    <t xml:space="preserve">SP372 רפידה אנטי ריח ספורט</t>
  </si>
  <si>
    <t xml:space="preserve">T49 M מגן ירך</t>
  </si>
  <si>
    <t xml:space="preserve">T49 XS מגן ירך</t>
  </si>
  <si>
    <t xml:space="preserve">B10 - תחבושת אלסטית 10 ס""מ</t>
  </si>
  <si>
    <t xml:space="preserve">B10 - תחבושת אלסטית 5ס""מ</t>
  </si>
  <si>
    <t xml:space="preserve">B75 תחבושת אלסטית 7.5ס""מ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</si>
</sst>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0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46290</v>
      </c>
    </row>
    <row r="3" customFormat="false" ht="53.2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</row>
    <row r="5" customFormat="false" ht="15" hidden="false" customHeight="true" outlineLevel="0" collapsed="false">
      <c r="A5" s="6" t="s">
        <v>3</v>
      </c>
    </row>
    <row r="6" customFormat="false" ht="15" hidden="false" customHeight="true" outlineLevel="0" collapsed="false">
      <c r="A6" s="7" t="s">
        <v>4</v>
      </c>
      <c r="B6" s="7" t="s">
        <v>5</v>
      </c>
    </row>
    <row r="7" customFormat="false" ht="23.25" hidden="false" customHeight="true" outlineLevel="0" collapsed="false">
      <c r="A7" s="8" t="s">
        <v>6</v>
      </c>
      <c r="B7" s="9" t="s">
        <v>7</v>
      </c>
    </row>
    <row r="8" customFormat="false" ht="23.25" hidden="false" customHeight="true" outlineLevel="0" collapsed="false">
      <c r="A8" s="8" t="s">
        <v>8</v>
      </c>
      <c r="B8" s="9" t="s">
        <v>9</v>
      </c>
    </row>
    <row r="9" customFormat="false" ht="23.25" hidden="false" customHeight="true" outlineLevel="0" collapsed="false">
      <c r="A9" s="8" t="s">
        <v>10</v>
      </c>
      <c r="B9" s="9" t="s">
        <v>11</v>
      </c>
    </row>
    <row r="10" customFormat="false" ht="23.25" hidden="false" customHeight="true" outlineLevel="0" collapsed="false">
      <c r="A10" s="8" t="s">
        <v>12</v>
      </c>
      <c r="B10" s="9" t="s">
        <v>13</v>
      </c>
    </row>
    <row r="11" customFormat="false" ht="23.25" hidden="false" customHeight="true" outlineLevel="0" collapsed="false">
      <c r="A11" s="8" t="s">
        <v>14</v>
      </c>
      <c r="B11" s="9" t="s">
        <v>15</v>
      </c>
    </row>
    <row r="12" customFormat="false" ht="23.25" hidden="false" customHeight="true" outlineLevel="0" collapsed="false">
      <c r="A12" s="8" t="s">
        <v>16</v>
      </c>
      <c r="B12" s="9" t="s">
        <v>17</v>
      </c>
    </row>
    <row r="13" customFormat="false" ht="15" hidden="false" customHeight="true" outlineLevel="0" collapsed="false">
      <c r="A13" s="8" t="s">
        <v>18</v>
      </c>
      <c r="B13" s="9" t="s">
        <v>19</v>
      </c>
    </row>
    <row r="15" customFormat="false" ht="15" hidden="false" customHeight="true" outlineLevel="0" collapsed="false">
      <c r="A15" s="6" t="s">
        <v>20</v>
      </c>
    </row>
    <row r="16" customFormat="false" ht="26.25" hidden="false" customHeight="true" outlineLevel="0" collapsed="false">
      <c r="A16" s="10" t="s">
        <v>4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25</v>
      </c>
      <c r="G16" s="10" t="s">
        <v>26</v>
      </c>
      <c r="H16" s="10" t="s">
        <v>27</v>
      </c>
    </row>
    <row r="17" customFormat="false" ht="15" hidden="false" customHeight="true" outlineLevel="0" collapsed="false">
      <c r="A17" s="11" t="s">
        <v>6</v>
      </c>
      <c r="B17" s="11" t="n">
        <v>1085</v>
      </c>
      <c r="C17" s="12" t="n">
        <v>126608</v>
      </c>
      <c r="D17" s="12" t="n">
        <v>5750554.54</v>
      </c>
      <c r="E17" s="12" t="n">
        <v>117536</v>
      </c>
      <c r="F17" s="12" t="n">
        <v>7456362.12</v>
      </c>
      <c r="G17" s="11" t="n">
        <v>209</v>
      </c>
      <c r="H17" s="11" t="n">
        <v>157</v>
      </c>
    </row>
    <row r="18" customFormat="false" ht="15" hidden="false" customHeight="true" outlineLevel="0" collapsed="false">
      <c r="A18" s="11" t="s">
        <v>8</v>
      </c>
      <c r="B18" s="11" t="n">
        <v>21</v>
      </c>
      <c r="C18" s="12" t="n">
        <v>118392</v>
      </c>
      <c r="D18" s="12" t="n">
        <v>1708656.85</v>
      </c>
      <c r="E18" s="12" t="n">
        <v>78891</v>
      </c>
      <c r="F18" s="12" t="n">
        <v>1406948.02</v>
      </c>
      <c r="G18" s="11" t="n">
        <v>1</v>
      </c>
      <c r="H18" s="11" t="n">
        <v>0</v>
      </c>
    </row>
    <row r="19" customFormat="false" ht="15" hidden="false" customHeight="true" outlineLevel="0" collapsed="false">
      <c r="A19" s="11" t="s">
        <v>10</v>
      </c>
      <c r="B19" s="11" t="n">
        <v>33</v>
      </c>
      <c r="C19" s="12" t="n">
        <v>152395</v>
      </c>
      <c r="D19" s="12" t="n">
        <v>3809616.42</v>
      </c>
      <c r="E19" s="12" t="n">
        <v>139120</v>
      </c>
      <c r="F19" s="12" t="n">
        <v>3245877.54</v>
      </c>
      <c r="G19" s="11" t="n">
        <v>1</v>
      </c>
      <c r="H19" s="11" t="n">
        <v>1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9" min="8" style="1" width="26"/>
    <col collapsed="false" customWidth="true" hidden="false" outlineLevel="0" max="10" min="10" style="1" width="20"/>
  </cols>
  <sheetData>
    <row r="1" customFormat="false" ht="16.15" hidden="false" customHeight="false" outlineLevel="0" collapsed="false">
      <c r="A1" s="13" t="s">
        <v>28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53.7" hidden="false" customHeight="true" outlineLevel="0" collapsed="false">
      <c r="A3" s="5" t="s">
        <v>29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14" t="s">
        <v>30</v>
      </c>
      <c r="B4" s="14"/>
      <c r="C4" s="14"/>
      <c r="D4" s="14"/>
      <c r="E4" s="14"/>
      <c r="F4" s="14"/>
      <c r="G4" s="15" t="s">
        <v>31</v>
      </c>
      <c r="H4" s="16" t="n">
        <f aca="false">12/9.5</f>
        <v>1.26315789473684</v>
      </c>
    </row>
    <row r="6" customFormat="false" ht="26.85" hidden="false" customHeight="false" outlineLevel="0" collapsed="false">
      <c r="A6" s="17" t="s">
        <v>32</v>
      </c>
      <c r="B6" s="17" t="s">
        <v>33</v>
      </c>
      <c r="C6" s="17" t="s">
        <v>34</v>
      </c>
      <c r="D6" s="17" t="s">
        <v>35</v>
      </c>
      <c r="E6" s="17" t="s">
        <v>36</v>
      </c>
      <c r="F6" s="17" t="s">
        <v>37</v>
      </c>
      <c r="G6" s="17" t="s">
        <v>38</v>
      </c>
      <c r="H6" s="17" t="s">
        <v>39</v>
      </c>
      <c r="I6" s="17" t="s">
        <v>40</v>
      </c>
      <c r="J6" s="17" t="s">
        <v>41</v>
      </c>
    </row>
    <row r="7" customFormat="false" ht="15" hidden="false" customHeight="false" outlineLevel="0" collapsed="false">
      <c r="A7" s="18" t="n">
        <f aca="false">IF(ISNUMBER($J7),$J7,"")</f>
        <v>4413453</v>
      </c>
      <c r="B7" s="18" t="str">
        <f aca="false">IFERROR(INDEX('SALES Raw'!$B$6:$B$4467,MATCH($J7,'SALES Raw'!$J$6:$J$4467,0)),IFERROR(INDEX('CEMIUP0.9 Raw'!$B$6:$B$1712,MATCH($J7,'CEMIUP0.9 Raw'!$B$6:$B$1712,0)),$J7))</f>
        <v>AC75-S-XL</v>
      </c>
      <c r="C7" s="18" t="str">
        <f aca="false">IF(ISNUMBER($J7),IFERROR(INDEX('TRANS'!$C:$C,MATCH($J7,'TRANS'!$B:$B,0)),IFERROR(INDEX('Catalog'!$B:$B,MATCH($J7,'Catalog'!$A:$A,0)),$B7)),$B7)</f>
        <v>AC75 מישר כתפיים אקטיב</v>
      </c>
      <c r="D7" s="19" t="n">
        <f aca="false">SUMIFS('SALES Raw'!$C$6:$C$4467,'SALES Raw'!$J$6:$J$4467,$J7,'SALES Raw'!$K$6:$K$4467,"Y")+SUMIFS('CEMIUP0.9 Raw'!$D$6:$D$1712,'CEMIUP0.9 Raw'!$B$6:$B$1712,$J7,'CEMIUP0.9 Raw'!$H$6:$H$1712,"Y")</f>
        <v>1781</v>
      </c>
      <c r="E7" s="19" t="n">
        <f aca="false">SUMIFS('SALES Raw'!$D$6:$D$4467,'SALES Raw'!$J$6:$J$4467,$J7,'SALES Raw'!$K$6:$K$4467,"Y")+SUMIFS('CEMIUP0.9 Raw'!$E$6:$E$1712,'CEMIUP0.9 Raw'!$B$6:$B$1712,$J7,'CEMIUP0.9 Raw'!$H$6:$H$1712,"Y")</f>
        <v>144784.448</v>
      </c>
      <c r="F7" s="19" t="n">
        <f aca="false">SUMIFS('SALES Raw'!$E$6:$E$4467,'SALES Raw'!$J$6:$J$4467,$J7,'SALES Raw'!$K$6:$K$4467,"Y")*$H$4+SUMIFS('CEMIUP0.9 Raw'!$F$6:$F$1712,'CEMIUP0.9 Raw'!$B$6:$B$1712,$J7,'CEMIUP0.9 Raw'!$H$6:$H$1712,"Y")</f>
        <v>7918.73684210526</v>
      </c>
      <c r="G7" s="19" t="n">
        <f aca="false">SUMIFS('SALES Raw'!$F$6:$F$4467,'SALES Raw'!$J$6:$J$4467,$J7,'SALES Raw'!$K$6:$K$4467,"Y")*$H$4+SUMIFS('CEMIUP0.9 Raw'!$G$6:$G$1712,'CEMIUP0.9 Raw'!$B$6:$B$1712,$J7,'CEMIUP0.9 Raw'!$H$6:$H$1712,"Y")</f>
        <v>993545.670315781</v>
      </c>
      <c r="H7" s="18" t="s">
        <v>42</v>
      </c>
      <c r="I7" s="18" t="s">
        <v>43</v>
      </c>
      <c r="J7" s="18" t="n">
        <v>4413453</v>
      </c>
    </row>
    <row r="8" customFormat="false" ht="15" hidden="false" customHeight="false" outlineLevel="0" collapsed="false">
      <c r="A8" s="18" t="str">
        <f aca="false">IF(ISNUMBER($J8),$J8,"")</f>
        <v/>
      </c>
      <c r="B8" s="18" t="str">
        <f aca="false">IFERROR(INDEX('SALES Raw'!$B$6:$B$4467,MATCH($J8,'SALES Raw'!$J$6:$J$4467,0)),IFERROR(INDEX('CEMIUP0.9 Raw'!$B$6:$B$1712,MATCH($J8,'CEMIUP0.9 Raw'!$B$6:$B$1712,0)),$J8))</f>
        <v>67 0</v>
      </c>
      <c r="C8" s="18" t="str">
        <f aca="false">IF(ISNUMBER($J8),IFERROR(INDEX('TRANS'!$C:$C,MATCH($J8,'TRANS'!$B:$B,0)),IFERROR(INDEX('Catalog'!$B:$B,MATCH($J8,'Catalog'!$A:$A,0)),$B8)),$B8)</f>
        <v>67 0</v>
      </c>
      <c r="D8" s="19" t="n">
        <f aca="false">SUMIFS('SALES Raw'!$C$6:$C$4467,'SALES Raw'!$J$6:$J$4467,$J8,'SALES Raw'!$K$6:$K$4467,"Y")+SUMIFS('CEMIUP0.9 Raw'!$D$6:$D$1712,'CEMIUP0.9 Raw'!$B$6:$B$1712,$J8,'CEMIUP0.9 Raw'!$H$6:$H$1712,"Y")</f>
        <v>1074</v>
      </c>
      <c r="E8" s="19" t="n">
        <f aca="false">SUMIFS('SALES Raw'!$D$6:$D$4467,'SALES Raw'!$J$6:$J$4467,$J8,'SALES Raw'!$K$6:$K$4467,"Y")+SUMIFS('CEMIUP0.9 Raw'!$E$6:$E$1712,'CEMIUP0.9 Raw'!$B$6:$B$1712,$J8,'CEMIUP0.9 Raw'!$H$6:$H$1712,"Y")</f>
        <v>169815.61</v>
      </c>
      <c r="F8" s="19" t="n">
        <f aca="false">SUMIFS('SALES Raw'!$E$6:$E$4467,'SALES Raw'!$J$6:$J$4467,$J8,'SALES Raw'!$K$6:$K$4467,"Y")*$H$4+SUMIFS('CEMIUP0.9 Raw'!$F$6:$F$1712,'CEMIUP0.9 Raw'!$B$6:$B$1712,$J8,'CEMIUP0.9 Raw'!$H$6:$H$1712,"Y")</f>
        <v>5014.73684210526</v>
      </c>
      <c r="G8" s="19" t="n">
        <f aca="false">SUMIFS('SALES Raw'!$F$6:$F$4467,'SALES Raw'!$J$6:$J$4467,$J8,'SALES Raw'!$K$6:$K$4467,"Y")*$H$4+SUMIFS('CEMIUP0.9 Raw'!$G$6:$G$1712,'CEMIUP0.9 Raw'!$B$6:$B$1712,$J8,'CEMIUP0.9 Raw'!$H$6:$H$1712,"Y")</f>
        <v>1298169.81473685</v>
      </c>
      <c r="H8" s="18" t="s">
        <v>42</v>
      </c>
      <c r="I8" s="18" t="s">
        <v>44</v>
      </c>
      <c r="J8" s="18" t="s">
        <v>45</v>
      </c>
    </row>
    <row r="9" customFormat="false" ht="15" hidden="false" customHeight="false" outlineLevel="0" collapsed="false">
      <c r="A9" s="18" t="str">
        <f aca="false">IF(ISNUMBER($J9),$J9,"")</f>
        <v/>
      </c>
      <c r="B9" s="18" t="str">
        <f aca="false">IFERROR(INDEX('SALES Raw'!$B$6:$B$4467,MATCH($J9,'SALES Raw'!$J$6:$J$4467,0)),IFERROR(INDEX('CEMIUP0.9 Raw'!$B$6:$B$1712,MATCH($J9,'CEMIUP0.9 Raw'!$B$6:$B$1712,0)),$J9))</f>
        <v>M95</v>
      </c>
      <c r="C9" s="18" t="str">
        <f aca="false">IF(ISNUMBER($J9),IFERROR(INDEX('TRANS'!$C:$C,MATCH($J9,'TRANS'!$B:$B,0)),IFERROR(INDEX('Catalog'!$B:$B,MATCH($J9,'Catalog'!$A:$A,0)),$B9)),$B9)</f>
        <v>M95</v>
      </c>
      <c r="D9" s="19" t="n">
        <f aca="false">SUMIFS('SALES Raw'!$C$6:$C$4467,'SALES Raw'!$J$6:$J$4467,$J9,'SALES Raw'!$K$6:$K$4467,"Y")+SUMIFS('CEMIUP0.9 Raw'!$D$6:$D$1712,'CEMIUP0.9 Raw'!$B$6:$B$1712,$J9,'CEMIUP0.9 Raw'!$H$6:$H$1712,"Y")</f>
        <v>4982</v>
      </c>
      <c r="E9" s="19" t="n">
        <f aca="false">SUMIFS('SALES Raw'!$D$6:$D$4467,'SALES Raw'!$J$6:$J$4467,$J9,'SALES Raw'!$K$6:$K$4467,"Y")+SUMIFS('CEMIUP0.9 Raw'!$E$6:$E$1712,'CEMIUP0.9 Raw'!$B$6:$B$1712,$J9,'CEMIUP0.9 Raw'!$H$6:$H$1712,"Y")</f>
        <v>84006.41</v>
      </c>
      <c r="F9" s="19" t="n">
        <f aca="false">SUMIFS('SALES Raw'!$E$6:$E$4467,'SALES Raw'!$J$6:$J$4467,$J9,'SALES Raw'!$K$6:$K$4467,"Y")*$H$4+SUMIFS('CEMIUP0.9 Raw'!$F$6:$F$1712,'CEMIUP0.9 Raw'!$B$6:$B$1712,$J9,'CEMIUP0.9 Raw'!$H$6:$H$1712,"Y")</f>
        <v>4221.47368421053</v>
      </c>
      <c r="G9" s="19" t="n">
        <f aca="false">SUMIFS('SALES Raw'!$F$6:$F$4467,'SALES Raw'!$J$6:$J$4467,$J9,'SALES Raw'!$K$6:$K$4467,"Y")*$H$4+SUMIFS('CEMIUP0.9 Raw'!$G$6:$G$1712,'CEMIUP0.9 Raw'!$B$6:$B$1712,$J9,'CEMIUP0.9 Raw'!$H$6:$H$1712,"Y")</f>
        <v>64715.0652631579</v>
      </c>
      <c r="H9" s="18" t="s">
        <v>42</v>
      </c>
      <c r="I9" s="18" t="s">
        <v>46</v>
      </c>
      <c r="J9" s="18" t="s">
        <v>47</v>
      </c>
    </row>
    <row r="10" customFormat="false" ht="15" hidden="false" customHeight="false" outlineLevel="0" collapsed="false">
      <c r="A10" s="18" t="n">
        <f aca="false">IF(ISNUMBER($J10),$J10,"")</f>
        <v>4421000</v>
      </c>
      <c r="B10" s="18" t="str">
        <f aca="false">IFERROR(INDEX('SALES Raw'!$B$6:$B$4467,MATCH($J10,'SALES Raw'!$J$6:$J$4467,0)),IFERROR(INDEX('CEMIUP0.9 Raw'!$B$6:$B$1712,MATCH($J10,'CEMIUP0.9 Raw'!$B$6:$B$1712,0)),$J10))</f>
        <v>3655 0</v>
      </c>
      <c r="C10" s="18" t="str">
        <f aca="false">IF(ISNUMBER($J10),IFERROR(INDEX('TRANS'!$C:$C,MATCH($J10,'TRANS'!$B:$B,0)),IFERROR(INDEX('Catalog'!$B:$B,MATCH($J10,'Catalog'!$A:$A,0)),$B10)),$B10)</f>
        <v>3655 שרוול מסיליקון לאצבע</v>
      </c>
      <c r="D10" s="19" t="n">
        <f aca="false">SUMIFS('SALES Raw'!$C$6:$C$4467,'SALES Raw'!$J$6:$J$4467,$J10,'SALES Raw'!$K$6:$K$4467,"Y")+SUMIFS('CEMIUP0.9 Raw'!$D$6:$D$1712,'CEMIUP0.9 Raw'!$B$6:$B$1712,$J10,'CEMIUP0.9 Raw'!$H$6:$H$1712,"Y")</f>
        <v>3237</v>
      </c>
      <c r="E10" s="19" t="n">
        <f aca="false">SUMIFS('SALES Raw'!$D$6:$D$4467,'SALES Raw'!$J$6:$J$4467,$J10,'SALES Raw'!$K$6:$K$4467,"Y")+SUMIFS('CEMIUP0.9 Raw'!$E$6:$E$1712,'CEMIUP0.9 Raw'!$B$6:$B$1712,$J10,'CEMIUP0.9 Raw'!$H$6:$H$1712,"Y")</f>
        <v>49596.691</v>
      </c>
      <c r="F10" s="19" t="n">
        <f aca="false">SUMIFS('SALES Raw'!$E$6:$E$4467,'SALES Raw'!$J$6:$J$4467,$J10,'SALES Raw'!$K$6:$K$4467,"Y")*$H$4+SUMIFS('CEMIUP0.9 Raw'!$F$6:$F$1712,'CEMIUP0.9 Raw'!$B$6:$B$1712,$J10,'CEMIUP0.9 Raw'!$H$6:$H$1712,"Y")</f>
        <v>2573.05263157894</v>
      </c>
      <c r="G10" s="19" t="n">
        <f aca="false">SUMIFS('SALES Raw'!$F$6:$F$4467,'SALES Raw'!$J$6:$J$4467,$J10,'SALES Raw'!$K$6:$K$4467,"Y")*$H$4+SUMIFS('CEMIUP0.9 Raw'!$G$6:$G$1712,'CEMIUP0.9 Raw'!$B$6:$B$1712,$J10,'CEMIUP0.9 Raw'!$H$6:$H$1712,"Y")</f>
        <v>41177.8585263158</v>
      </c>
      <c r="H10" s="18" t="s">
        <v>43</v>
      </c>
      <c r="I10" s="18" t="s">
        <v>48</v>
      </c>
      <c r="J10" s="18" t="n">
        <v>4421000</v>
      </c>
    </row>
    <row r="11" customFormat="false" ht="15" hidden="false" customHeight="false" outlineLevel="0" collapsed="false">
      <c r="A11" s="18" t="str">
        <f aca="false">IF(ISNUMBER($J11),$J11,"")</f>
        <v/>
      </c>
      <c r="B11" s="18" t="str">
        <f aca="false">IFERROR(INDEX('SALES Raw'!$B$6:$B$4467,MATCH($J11,'SALES Raw'!$J$6:$J$4467,0)),IFERROR(INDEX('CEMIUP0.9 Raw'!$B$6:$B$1712,MATCH($J11,'CEMIUP0.9 Raw'!$B$6:$B$1712,0)),$J11))</f>
        <v>M92</v>
      </c>
      <c r="C11" s="18" t="str">
        <f aca="false">IF(ISNUMBER($J11),IFERROR(INDEX('TRANS'!$C:$C,MATCH($J11,'TRANS'!$B:$B,0)),IFERROR(INDEX('Catalog'!$B:$B,MATCH($J11,'Catalog'!$A:$A,0)),$B11)),$B11)</f>
        <v>M92</v>
      </c>
      <c r="D11" s="19" t="n">
        <f aca="false">SUMIFS('SALES Raw'!$C$6:$C$4467,'SALES Raw'!$J$6:$J$4467,$J11,'SALES Raw'!$K$6:$K$4467,"Y")+SUMIFS('CEMIUP0.9 Raw'!$D$6:$D$1712,'CEMIUP0.9 Raw'!$B$6:$B$1712,$J11,'CEMIUP0.9 Raw'!$H$6:$H$1712,"Y")</f>
        <v>1349</v>
      </c>
      <c r="E11" s="19" t="n">
        <f aca="false">SUMIFS('SALES Raw'!$D$6:$D$4467,'SALES Raw'!$J$6:$J$4467,$J11,'SALES Raw'!$K$6:$K$4467,"Y")+SUMIFS('CEMIUP0.9 Raw'!$E$6:$E$1712,'CEMIUP0.9 Raw'!$B$6:$B$1712,$J11,'CEMIUP0.9 Raw'!$H$6:$H$1712,"Y")</f>
        <v>13.45</v>
      </c>
      <c r="F11" s="19" t="n">
        <f aca="false">SUMIFS('SALES Raw'!$E$6:$E$4467,'SALES Raw'!$J$6:$J$4467,$J11,'SALES Raw'!$K$6:$K$4467,"Y")*$H$4+SUMIFS('CEMIUP0.9 Raw'!$F$6:$F$1712,'CEMIUP0.9 Raw'!$B$6:$B$1712,$J11,'CEMIUP0.9 Raw'!$H$6:$H$1712,"Y")</f>
        <v>2232</v>
      </c>
      <c r="G11" s="19" t="n">
        <f aca="false">SUMIFS('SALES Raw'!$F$6:$F$4467,'SALES Raw'!$J$6:$J$4467,$J11,'SALES Raw'!$K$6:$K$4467,"Y")*$H$4+SUMIFS('CEMIUP0.9 Raw'!$G$6:$G$1712,'CEMIUP0.9 Raw'!$B$6:$B$1712,$J11,'CEMIUP0.9 Raw'!$H$6:$H$1712,"Y")</f>
        <v>-5947.54105263158</v>
      </c>
      <c r="H11" s="18" t="s">
        <v>42</v>
      </c>
      <c r="I11" s="18" t="s">
        <v>49</v>
      </c>
      <c r="J11" s="18" t="s">
        <v>50</v>
      </c>
    </row>
    <row r="12" customFormat="false" ht="15" hidden="false" customHeight="false" outlineLevel="0" collapsed="false">
      <c r="A12" s="18" t="n">
        <f aca="false">IF(ISNUMBER($J12),$J12,"")</f>
        <v>4415158</v>
      </c>
      <c r="B12" s="18" t="str">
        <f aca="false">IFERROR(INDEX('SALES Raw'!$B$6:$B$4467,MATCH($J12,'SALES Raw'!$J$6:$J$4467,0)),IFERROR(INDEX('CEMIUP0.9 Raw'!$B$6:$B$1712,MATCH($J12,'CEMIUP0.9 Raw'!$B$6:$B$1712,0)),$J12))</f>
        <v>266 0</v>
      </c>
      <c r="C12" s="18" t="str">
        <f aca="false">IF(ISNUMBER($J12),IFERROR(INDEX('TRANS'!$C:$C,MATCH($J12,'TRANS'!$B:$B,0)),IFERROR(INDEX('Catalog'!$B:$B,MATCH($J12,'Catalog'!$A:$A,0)),$B12)),$B12)</f>
        <v>266 סד ליד דו צדדי</v>
      </c>
      <c r="D12" s="19" t="n">
        <f aca="false">SUMIFS('SALES Raw'!$C$6:$C$4467,'SALES Raw'!$J$6:$J$4467,$J12,'SALES Raw'!$K$6:$K$4467,"Y")+SUMIFS('CEMIUP0.9 Raw'!$D$6:$D$1712,'CEMIUP0.9 Raw'!$B$6:$B$1712,$J12,'CEMIUP0.9 Raw'!$H$6:$H$1712,"Y")</f>
        <v>2464</v>
      </c>
      <c r="E12" s="19" t="n">
        <f aca="false">SUMIFS('SALES Raw'!$D$6:$D$4467,'SALES Raw'!$J$6:$J$4467,$J12,'SALES Raw'!$K$6:$K$4467,"Y")+SUMIFS('CEMIUP0.9 Raw'!$E$6:$E$1712,'CEMIUP0.9 Raw'!$B$6:$B$1712,$J12,'CEMIUP0.9 Raw'!$H$6:$H$1712,"Y")</f>
        <v>136520.107</v>
      </c>
      <c r="F12" s="19" t="n">
        <f aca="false">SUMIFS('SALES Raw'!$E$6:$E$4467,'SALES Raw'!$J$6:$J$4467,$J12,'SALES Raw'!$K$6:$K$4467,"Y")*$H$4+SUMIFS('CEMIUP0.9 Raw'!$F$6:$F$1712,'CEMIUP0.9 Raw'!$B$6:$B$1712,$J12,'CEMIUP0.9 Raw'!$H$6:$H$1712,"Y")</f>
        <v>2047.57894736843</v>
      </c>
      <c r="G12" s="19" t="n">
        <f aca="false">SUMIFS('SALES Raw'!$F$6:$F$4467,'SALES Raw'!$J$6:$J$4467,$J12,'SALES Raw'!$K$6:$K$4467,"Y")*$H$4+SUMIFS('CEMIUP0.9 Raw'!$G$6:$G$1712,'CEMIUP0.9 Raw'!$B$6:$B$1712,$J12,'CEMIUP0.9 Raw'!$H$6:$H$1712,"Y")</f>
        <v>111723.781894737</v>
      </c>
      <c r="H12" s="18" t="s">
        <v>48</v>
      </c>
      <c r="I12" s="18" t="s">
        <v>43</v>
      </c>
      <c r="J12" s="18" t="n">
        <v>4415158</v>
      </c>
    </row>
    <row r="13" customFormat="false" ht="15" hidden="false" customHeight="false" outlineLevel="0" collapsed="false">
      <c r="A13" s="18" t="str">
        <f aca="false">IF(ISNUMBER($J13),$J13,"")</f>
        <v/>
      </c>
      <c r="B13" s="18" t="str">
        <f aca="false">IFERROR(INDEX('SALES Raw'!$B$6:$B$4467,MATCH($J13,'SALES Raw'!$J$6:$J$4467,0)),IFERROR(INDEX('CEMIUP0.9 Raw'!$B$6:$B$1712,MATCH($J13,'CEMIUP0.9 Raw'!$B$6:$B$1712,0)),$J13))</f>
        <v>M94</v>
      </c>
      <c r="C13" s="18" t="str">
        <f aca="false">IF(ISNUMBER($J13),IFERROR(INDEX('TRANS'!$C:$C,MATCH($J13,'TRANS'!$B:$B,0)),IFERROR(INDEX('Catalog'!$B:$B,MATCH($J13,'Catalog'!$A:$A,0)),$B13)),$B13)</f>
        <v>M94</v>
      </c>
      <c r="D13" s="19" t="n">
        <f aca="false">SUMIFS('SALES Raw'!$C$6:$C$4467,'SALES Raw'!$J$6:$J$4467,$J13,'SALES Raw'!$K$6:$K$4467,"Y")+SUMIFS('CEMIUP0.9 Raw'!$D$6:$D$1712,'CEMIUP0.9 Raw'!$B$6:$B$1712,$J13,'CEMIUP0.9 Raw'!$H$6:$H$1712,"Y")</f>
        <v>1944</v>
      </c>
      <c r="E13" s="19" t="n">
        <f aca="false">SUMIFS('SALES Raw'!$D$6:$D$4467,'SALES Raw'!$J$6:$J$4467,$J13,'SALES Raw'!$K$6:$K$4467,"Y")+SUMIFS('CEMIUP0.9 Raw'!$E$6:$E$1712,'CEMIUP0.9 Raw'!$B$6:$B$1712,$J13,'CEMIUP0.9 Raw'!$H$6:$H$1712,"Y")</f>
        <v>82198.51</v>
      </c>
      <c r="F13" s="19" t="n">
        <f aca="false">SUMIFS('SALES Raw'!$E$6:$E$4467,'SALES Raw'!$J$6:$J$4467,$J13,'SALES Raw'!$K$6:$K$4467,"Y")*$H$4+SUMIFS('CEMIUP0.9 Raw'!$F$6:$F$1712,'CEMIUP0.9 Raw'!$B$6:$B$1712,$J13,'CEMIUP0.9 Raw'!$H$6:$H$1712,"Y")</f>
        <v>1678.73684210526</v>
      </c>
      <c r="G13" s="19" t="n">
        <f aca="false">SUMIFS('SALES Raw'!$F$6:$F$4467,'SALES Raw'!$J$6:$J$4467,$J13,'SALES Raw'!$K$6:$K$4467,"Y")*$H$4+SUMIFS('CEMIUP0.9 Raw'!$G$6:$G$1712,'CEMIUP0.9 Raw'!$B$6:$B$1712,$J13,'CEMIUP0.9 Raw'!$H$6:$H$1712,"Y")</f>
        <v>68626.0168421053</v>
      </c>
      <c r="H13" s="18" t="s">
        <v>42</v>
      </c>
      <c r="I13" s="18" t="s">
        <v>46</v>
      </c>
      <c r="J13" s="18" t="s">
        <v>51</v>
      </c>
    </row>
    <row r="14" customFormat="false" ht="15" hidden="false" customHeight="false" outlineLevel="0" collapsed="false">
      <c r="A14" s="18" t="str">
        <f aca="false">IF(ISNUMBER($J14),$J14,"")</f>
        <v/>
      </c>
      <c r="B14" s="18" t="str">
        <f aca="false">IFERROR(INDEX('SALES Raw'!$B$6:$B$4467,MATCH($J14,'SALES Raw'!$J$6:$J$4467,0)),IFERROR(INDEX('CEMIUP0.9 Raw'!$B$6:$B$1712,MATCH($J14,'CEMIUP0.9 Raw'!$B$6:$B$1712,0)),$J14))</f>
        <v>30 Nights Trial</v>
      </c>
      <c r="C14" s="18" t="str">
        <f aca="false">IF(ISNUMBER($J14),IFERROR(INDEX('TRANS'!$C:$C,MATCH($J14,'TRANS'!$B:$B,0)),IFERROR(INDEX('Catalog'!$B:$B,MATCH($J14,'Catalog'!$A:$A,0)),$B14)),$B14)</f>
        <v>30 Nights Trial</v>
      </c>
      <c r="D14" s="19" t="n">
        <f aca="false">SUMIFS('SALES Raw'!$C$6:$C$4467,'SALES Raw'!$J$6:$J$4467,$J14,'SALES Raw'!$K$6:$K$4467,"Y")+SUMIFS('CEMIUP0.9 Raw'!$D$6:$D$1712,'CEMIUP0.9 Raw'!$B$6:$B$1712,$J14,'CEMIUP0.9 Raw'!$H$6:$H$1712,"Y")</f>
        <v>0</v>
      </c>
      <c r="E14" s="19" t="n">
        <f aca="false">SUMIFS('SALES Raw'!$D$6:$D$4467,'SALES Raw'!$J$6:$J$4467,$J14,'SALES Raw'!$K$6:$K$4467,"Y")+SUMIFS('CEMIUP0.9 Raw'!$E$6:$E$1712,'CEMIUP0.9 Raw'!$B$6:$B$1712,$J14,'CEMIUP0.9 Raw'!$H$6:$H$1712,"Y")</f>
        <v>0</v>
      </c>
      <c r="F14" s="19" t="n">
        <f aca="false">SUMIFS('SALES Raw'!$E$6:$E$4467,'SALES Raw'!$J$6:$J$4467,$J14,'SALES Raw'!$K$6:$K$4467,"Y")*$H$4+SUMIFS('CEMIUP0.9 Raw'!$F$6:$F$1712,'CEMIUP0.9 Raw'!$B$6:$B$1712,$J14,'CEMIUP0.9 Raw'!$H$6:$H$1712,"Y")</f>
        <v>1626.94736842105</v>
      </c>
      <c r="G14" s="19" t="n">
        <f aca="false">SUMIFS('SALES Raw'!$F$6:$F$4467,'SALES Raw'!$J$6:$J$4467,$J14,'SALES Raw'!$K$6:$K$4467,"Y")*$H$4+SUMIFS('CEMIUP0.9 Raw'!$G$6:$G$1712,'CEMIUP0.9 Raw'!$B$6:$B$1712,$J14,'CEMIUP0.9 Raw'!$H$6:$H$1712,"Y")</f>
        <v>0</v>
      </c>
      <c r="H14" s="18" t="s">
        <v>42</v>
      </c>
      <c r="I14" s="18"/>
      <c r="J14" s="18" t="s">
        <v>52</v>
      </c>
    </row>
    <row r="15" customFormat="false" ht="15" hidden="false" customHeight="false" outlineLevel="0" collapsed="false">
      <c r="A15" s="18" t="n">
        <f aca="false">IF(ISNUMBER($J15),$J15,"")</f>
        <v>4413059</v>
      </c>
      <c r="B15" s="18" t="str">
        <f aca="false">IFERROR(INDEX('SALES Raw'!$B$6:$B$4467,MATCH($J15,'SALES Raw'!$J$6:$J$4467,0)),IFERROR(INDEX('CEMIUP0.9 Raw'!$B$6:$B$1712,MATCH($J15,'CEMIUP0.9 Raw'!$B$6:$B$1712,0)),$J15))</f>
        <v>364-S-L</v>
      </c>
      <c r="C15" s="18" t="str">
        <f aca="false">IF(ISNUMBER($J15),IFERROR(INDEX('TRANS'!$C:$C,MATCH($J15,'TRANS'!$B:$B,0)),IFERROR(INDEX('Catalog'!$B:$B,MATCH($J15,'Catalog'!$A:$A,0)),$B15)),$B15)</f>
        <v>364S Lמפר.אצבע סיליק. ליבל.זוג</v>
      </c>
      <c r="D15" s="19" t="n">
        <f aca="false">SUMIFS('SALES Raw'!$C$6:$C$4467,'SALES Raw'!$J$6:$J$4467,$J15,'SALES Raw'!$K$6:$K$4467,"Y")+SUMIFS('CEMIUP0.9 Raw'!$D$6:$D$1712,'CEMIUP0.9 Raw'!$B$6:$B$1712,$J15,'CEMIUP0.9 Raw'!$H$6:$H$1712,"Y")</f>
        <v>1940</v>
      </c>
      <c r="E15" s="19" t="n">
        <f aca="false">SUMIFS('SALES Raw'!$D$6:$D$4467,'SALES Raw'!$J$6:$J$4467,$J15,'SALES Raw'!$K$6:$K$4467,"Y")+SUMIFS('CEMIUP0.9 Raw'!$E$6:$E$1712,'CEMIUP0.9 Raw'!$B$6:$B$1712,$J15,'CEMIUP0.9 Raw'!$H$6:$H$1712,"Y")</f>
        <v>23014.194</v>
      </c>
      <c r="F15" s="19" t="n">
        <f aca="false">SUMIFS('SALES Raw'!$E$6:$E$4467,'SALES Raw'!$J$6:$J$4467,$J15,'SALES Raw'!$K$6:$K$4467,"Y")*$H$4+SUMIFS('CEMIUP0.9 Raw'!$F$6:$F$1712,'CEMIUP0.9 Raw'!$B$6:$B$1712,$J15,'CEMIUP0.9 Raw'!$H$6:$H$1712,"Y")</f>
        <v>1408.42105263158</v>
      </c>
      <c r="G15" s="19" t="n">
        <f aca="false">SUMIFS('SALES Raw'!$F$6:$F$4467,'SALES Raw'!$J$6:$J$4467,$J15,'SALES Raw'!$K$6:$K$4467,"Y")*$H$4+SUMIFS('CEMIUP0.9 Raw'!$G$6:$G$1712,'CEMIUP0.9 Raw'!$B$6:$B$1712,$J15,'CEMIUP0.9 Raw'!$H$6:$H$1712,"Y")</f>
        <v>16699.368</v>
      </c>
      <c r="H15" s="18" t="s">
        <v>43</v>
      </c>
      <c r="I15" s="18" t="s">
        <v>48</v>
      </c>
      <c r="J15" s="18" t="n">
        <v>4413059</v>
      </c>
    </row>
    <row r="16" customFormat="false" ht="15" hidden="false" customHeight="false" outlineLevel="0" collapsed="false">
      <c r="A16" s="18" t="n">
        <f aca="false">IF(ISNUMBER($J16),$J16,"")</f>
        <v>4409004</v>
      </c>
      <c r="B16" s="18" t="str">
        <f aca="false">IFERROR(INDEX('SALES Raw'!$B$6:$B$4467,MATCH($J16,'SALES Raw'!$J$6:$J$4467,0)),IFERROR(INDEX('CEMIUP0.9 Raw'!$B$6:$B$1712,MATCH($J16,'CEMIUP0.9 Raw'!$B$6:$B$1712,0)),$J16))</f>
        <v>FC335 0</v>
      </c>
      <c r="C16" s="18" t="str">
        <f aca="false">IF(ISNUMBER($J16),IFERROR(INDEX('TRANS'!$C:$C,MATCH($J16,'TRANS'!$B:$B,0)),IFERROR(INDEX('Catalog'!$B:$B,MATCH($J16,'Catalog'!$A:$A,0)),$B16)),$B16)</f>
        <v>FC335 טלק מעושר באלוורה</v>
      </c>
      <c r="D16" s="19" t="n">
        <f aca="false">SUMIFS('SALES Raw'!$C$6:$C$4467,'SALES Raw'!$J$6:$J$4467,$J16,'SALES Raw'!$K$6:$K$4467,"Y")+SUMIFS('CEMIUP0.9 Raw'!$D$6:$D$1712,'CEMIUP0.9 Raw'!$B$6:$B$1712,$J16,'CEMIUP0.9 Raw'!$H$6:$H$1712,"Y")</f>
        <v>2372</v>
      </c>
      <c r="E16" s="19" t="n">
        <f aca="false">SUMIFS('SALES Raw'!$D$6:$D$4467,'SALES Raw'!$J$6:$J$4467,$J16,'SALES Raw'!$K$6:$K$4467,"Y")+SUMIFS('CEMIUP0.9 Raw'!$E$6:$E$1712,'CEMIUP0.9 Raw'!$B$6:$B$1712,$J16,'CEMIUP0.9 Raw'!$H$6:$H$1712,"Y")</f>
        <v>40174.281</v>
      </c>
      <c r="F16" s="19" t="n">
        <f aca="false">SUMIFS('SALES Raw'!$E$6:$E$4467,'SALES Raw'!$J$6:$J$4467,$J16,'SALES Raw'!$K$6:$K$4467,"Y")*$H$4+SUMIFS('CEMIUP0.9 Raw'!$F$6:$F$1712,'CEMIUP0.9 Raw'!$B$6:$B$1712,$J16,'CEMIUP0.9 Raw'!$H$6:$H$1712,"Y")</f>
        <v>1374.31578947368</v>
      </c>
      <c r="G16" s="19" t="n">
        <f aca="false">SUMIFS('SALES Raw'!$F$6:$F$4467,'SALES Raw'!$J$6:$J$4467,$J16,'SALES Raw'!$K$6:$K$4467,"Y")*$H$4+SUMIFS('CEMIUP0.9 Raw'!$G$6:$G$1712,'CEMIUP0.9 Raw'!$B$6:$B$1712,$J16,'CEMIUP0.9 Raw'!$H$6:$H$1712,"Y")</f>
        <v>23143.0130526316</v>
      </c>
      <c r="H16" s="18" t="s">
        <v>48</v>
      </c>
      <c r="I16" s="18" t="s">
        <v>44</v>
      </c>
      <c r="J16" s="18" t="n">
        <v>4409004</v>
      </c>
    </row>
    <row r="17" customFormat="false" ht="15" hidden="false" customHeight="false" outlineLevel="0" collapsed="false">
      <c r="A17" s="18" t="n">
        <f aca="false">IF(ISNUMBER($J17),$J17,"")</f>
        <v>4419006</v>
      </c>
      <c r="B17" s="18" t="str">
        <f aca="false">IFERROR(INDEX('SALES Raw'!$B$6:$B$4467,MATCH($J17,'SALES Raw'!$J$6:$J$4467,0)),IFERROR(INDEX('CEMIUP0.9 Raw'!$B$6:$B$1712,MATCH($J17,'CEMIUP0.9 Raw'!$B$6:$B$1712,0)),$J17))</f>
        <v>PD340 0</v>
      </c>
      <c r="C17" s="18" t="str">
        <f aca="false">IF(ISNUMBER($J17),IFERROR(INDEX('TRANS'!$C:$C,MATCH($J17,'TRANS'!$B:$B,0)),IFERROR(INDEX('Catalog'!$B:$B,MATCH($J17,'Catalog'!$A:$A,0)),$B17)),$B17)</f>
        <v>PD340-קוצץ ציפורניים</v>
      </c>
      <c r="D17" s="19" t="n">
        <f aca="false">SUMIFS('SALES Raw'!$C$6:$C$4467,'SALES Raw'!$J$6:$J$4467,$J17,'SALES Raw'!$K$6:$K$4467,"Y")+SUMIFS('CEMIUP0.9 Raw'!$D$6:$D$1712,'CEMIUP0.9 Raw'!$B$6:$B$1712,$J17,'CEMIUP0.9 Raw'!$H$6:$H$1712,"Y")</f>
        <v>1618</v>
      </c>
      <c r="E17" s="19" t="n">
        <f aca="false">SUMIFS('SALES Raw'!$D$6:$D$4467,'SALES Raw'!$J$6:$J$4467,$J17,'SALES Raw'!$K$6:$K$4467,"Y")+SUMIFS('CEMIUP0.9 Raw'!$E$6:$E$1712,'CEMIUP0.9 Raw'!$B$6:$B$1712,$J17,'CEMIUP0.9 Raw'!$H$6:$H$1712,"Y")</f>
        <v>19584.525</v>
      </c>
      <c r="F17" s="19" t="n">
        <f aca="false">SUMIFS('SALES Raw'!$E$6:$E$4467,'SALES Raw'!$J$6:$J$4467,$J17,'SALES Raw'!$K$6:$K$4467,"Y")*$H$4+SUMIFS('CEMIUP0.9 Raw'!$F$6:$F$1712,'CEMIUP0.9 Raw'!$B$6:$B$1712,$J17,'CEMIUP0.9 Raw'!$H$6:$H$1712,"Y")</f>
        <v>1269.47368421053</v>
      </c>
      <c r="G17" s="19" t="n">
        <f aca="false">SUMIFS('SALES Raw'!$F$6:$F$4467,'SALES Raw'!$J$6:$J$4467,$J17,'SALES Raw'!$K$6:$K$4467,"Y")*$H$4+SUMIFS('CEMIUP0.9 Raw'!$G$6:$G$1712,'CEMIUP0.9 Raw'!$B$6:$B$1712,$J17,'CEMIUP0.9 Raw'!$H$6:$H$1712,"Y")</f>
        <v>14761.0736842105</v>
      </c>
      <c r="H17" s="18" t="s">
        <v>43</v>
      </c>
      <c r="I17" s="18" t="s">
        <v>48</v>
      </c>
      <c r="J17" s="18" t="n">
        <v>4419006</v>
      </c>
    </row>
    <row r="18" customFormat="false" ht="15" hidden="false" customHeight="false" outlineLevel="0" collapsed="false">
      <c r="A18" s="18" t="n">
        <f aca="false">IF(ISNUMBER($J18),$J18,"")</f>
        <v>4413456</v>
      </c>
      <c r="B18" s="18" t="str">
        <f aca="false">IFERROR(INDEX('SALES Raw'!$B$6:$B$4467,MATCH($J18,'SALES Raw'!$J$6:$J$4467,0)),IFERROR(INDEX('CEMIUP0.9 Raw'!$B$6:$B$1712,MATCH($J18,'CEMIUP0.9 Raw'!$B$6:$B$1712,0)),$J18))</f>
        <v>AC75 XXL</v>
      </c>
      <c r="C18" s="18" t="str">
        <f aca="false">IF(ISNUMBER($J18),IFERROR(INDEX('TRANS'!$C:$C,MATCH($J18,'TRANS'!$B:$B,0)),IFERROR(INDEX('Catalog'!$B:$B,MATCH($J18,'Catalog'!$A:$A,0)),$B18)),$B18)</f>
        <v>AC75 XXL  מיישר כתפיים אקטיב</v>
      </c>
      <c r="D18" s="19" t="n">
        <f aca="false">SUMIFS('SALES Raw'!$C$6:$C$4467,'SALES Raw'!$J$6:$J$4467,$J18,'SALES Raw'!$K$6:$K$4467,"Y")+SUMIFS('CEMIUP0.9 Raw'!$D$6:$D$1712,'CEMIUP0.9 Raw'!$B$6:$B$1712,$J18,'CEMIUP0.9 Raw'!$H$6:$H$1712,"Y")</f>
        <v>269</v>
      </c>
      <c r="E18" s="19" t="n">
        <f aca="false">SUMIFS('SALES Raw'!$D$6:$D$4467,'SALES Raw'!$J$6:$J$4467,$J18,'SALES Raw'!$K$6:$K$4467,"Y")+SUMIFS('CEMIUP0.9 Raw'!$E$6:$E$1712,'CEMIUP0.9 Raw'!$B$6:$B$1712,$J18,'CEMIUP0.9 Raw'!$H$6:$H$1712,"Y")</f>
        <v>24481.645</v>
      </c>
      <c r="F18" s="19" t="n">
        <f aca="false">SUMIFS('SALES Raw'!$E$6:$E$4467,'SALES Raw'!$J$6:$J$4467,$J18,'SALES Raw'!$K$6:$K$4467,"Y")*$H$4+SUMIFS('CEMIUP0.9 Raw'!$F$6:$F$1712,'CEMIUP0.9 Raw'!$B$6:$B$1712,$J18,'CEMIUP0.9 Raw'!$H$6:$H$1712,"Y")</f>
        <v>1260.63157894737</v>
      </c>
      <c r="G18" s="19" t="n">
        <f aca="false">SUMIFS('SALES Raw'!$F$6:$F$4467,'SALES Raw'!$J$6:$J$4467,$J18,'SALES Raw'!$K$6:$K$4467,"Y")*$H$4+SUMIFS('CEMIUP0.9 Raw'!$G$6:$G$1712,'CEMIUP0.9 Raw'!$B$6:$B$1712,$J18,'CEMIUP0.9 Raw'!$H$6:$H$1712,"Y")</f>
        <v>161946.378947368</v>
      </c>
      <c r="H18" s="18" t="s">
        <v>42</v>
      </c>
      <c r="I18" s="18" t="s">
        <v>43</v>
      </c>
      <c r="J18" s="18" t="n">
        <v>4413456</v>
      </c>
    </row>
    <row r="19" customFormat="false" ht="15" hidden="false" customHeight="false" outlineLevel="0" collapsed="false">
      <c r="A19" s="18" t="n">
        <f aca="false">IF(ISNUMBER($J19),$J19,"")</f>
        <v>4422035</v>
      </c>
      <c r="B19" s="18" t="str">
        <f aca="false">IFERROR(INDEX('SALES Raw'!$B$6:$B$4467,MATCH($J19,'SALES Raw'!$J$6:$J$4467,0)),IFERROR(INDEX('CEMIUP0.9 Raw'!$B$6:$B$1712,MATCH($J19,'CEMIUP0.9 Raw'!$B$6:$B$1712,0)),$J19))</f>
        <v>FC333 0</v>
      </c>
      <c r="C19" s="18" t="str">
        <f aca="false">IF(ISNUMBER($J19),IFERROR(INDEX('TRANS'!$C:$C,MATCH($J19,'TRANS'!$B:$B,0)),IFERROR(INDEX('Catalog'!$B:$B,MATCH($J19,'Catalog'!$A:$A,0)),$B19)),$B19)</f>
        <v>FCתרסיס דאודורנט אנטיבק.נעל333</v>
      </c>
      <c r="D19" s="19" t="n">
        <f aca="false">SUMIFS('SALES Raw'!$C$6:$C$4467,'SALES Raw'!$J$6:$J$4467,$J19,'SALES Raw'!$K$6:$K$4467,"Y")+SUMIFS('CEMIUP0.9 Raw'!$D$6:$D$1712,'CEMIUP0.9 Raw'!$B$6:$B$1712,$J19,'CEMIUP0.9 Raw'!$H$6:$H$1712,"Y")</f>
        <v>2548</v>
      </c>
      <c r="E19" s="19" t="n">
        <f aca="false">SUMIFS('SALES Raw'!$D$6:$D$4467,'SALES Raw'!$J$6:$J$4467,$J19,'SALES Raw'!$K$6:$K$4467,"Y")+SUMIFS('CEMIUP0.9 Raw'!$E$6:$E$1712,'CEMIUP0.9 Raw'!$B$6:$B$1712,$J19,'CEMIUP0.9 Raw'!$H$6:$H$1712,"Y")</f>
        <v>46740.527</v>
      </c>
      <c r="F19" s="19" t="n">
        <f aca="false">SUMIFS('SALES Raw'!$E$6:$E$4467,'SALES Raw'!$J$6:$J$4467,$J19,'SALES Raw'!$K$6:$K$4467,"Y")*$H$4+SUMIFS('CEMIUP0.9 Raw'!$F$6:$F$1712,'CEMIUP0.9 Raw'!$B$6:$B$1712,$J19,'CEMIUP0.9 Raw'!$H$6:$H$1712,"Y")</f>
        <v>1205.05263157895</v>
      </c>
      <c r="G19" s="19" t="n">
        <f aca="false">SUMIFS('SALES Raw'!$F$6:$F$4467,'SALES Raw'!$J$6:$J$4467,$J19,'SALES Raw'!$K$6:$K$4467,"Y")*$H$4+SUMIFS('CEMIUP0.9 Raw'!$G$6:$G$1712,'CEMIUP0.9 Raw'!$B$6:$B$1712,$J19,'CEMIUP0.9 Raw'!$H$6:$H$1712,"Y")</f>
        <v>23150.2117894737</v>
      </c>
      <c r="H19" s="18" t="s">
        <v>43</v>
      </c>
      <c r="I19" s="18" t="s">
        <v>48</v>
      </c>
      <c r="J19" s="18" t="n">
        <v>4422035</v>
      </c>
    </row>
    <row r="20" customFormat="false" ht="15" hidden="false" customHeight="false" outlineLevel="0" collapsed="false">
      <c r="A20" s="18" t="n">
        <f aca="false">IF(ISNUMBER($J20),$J20,"")</f>
        <v>4403042</v>
      </c>
      <c r="B20" s="18" t="str">
        <f aca="false">IFERROR(INDEX('SALES Raw'!$B$6:$B$4467,MATCH($J20,'SALES Raw'!$J$6:$J$4467,0)),IFERROR(INDEX('CEMIUP0.9 Raw'!$B$6:$B$1712,MATCH($J20,'CEMIUP0.9 Raw'!$B$6:$B$1712,0)),$J20))</f>
        <v>397A-39-42</v>
      </c>
      <c r="C20" s="18" t="str">
        <f aca="false">IF(ISNUMBER($J20),IFERROR(INDEX('TRANS'!$C:$C,MATCH($J20,'TRANS'!$B:$B,0)),IFERROR(INDEX('Catalog'!$B:$B,MATCH($J20,'Catalog'!$A:$A,0)),$B20)),$B20)</f>
        <v>397A-גרבי טיסה אנטי בקטרי39-42</v>
      </c>
      <c r="D20" s="19" t="n">
        <f aca="false">SUMIFS('SALES Raw'!$C$6:$C$4467,'SALES Raw'!$J$6:$J$4467,$J20,'SALES Raw'!$K$6:$K$4467,"Y")+SUMIFS('CEMIUP0.9 Raw'!$D$6:$D$1712,'CEMIUP0.9 Raw'!$B$6:$B$1712,$J20,'CEMIUP0.9 Raw'!$H$6:$H$1712,"Y")</f>
        <v>23</v>
      </c>
      <c r="E20" s="19" t="n">
        <f aca="false">SUMIFS('SALES Raw'!$D$6:$D$4467,'SALES Raw'!$J$6:$J$4467,$J20,'SALES Raw'!$K$6:$K$4467,"Y")+SUMIFS('CEMIUP0.9 Raw'!$E$6:$E$1712,'CEMIUP0.9 Raw'!$B$6:$B$1712,$J20,'CEMIUP0.9 Raw'!$H$6:$H$1712,"Y")</f>
        <v>2321.4</v>
      </c>
      <c r="F20" s="19" t="n">
        <f aca="false">SUMIFS('SALES Raw'!$E$6:$E$4467,'SALES Raw'!$J$6:$J$4467,$J20,'SALES Raw'!$K$6:$K$4467,"Y")*$H$4+SUMIFS('CEMIUP0.9 Raw'!$F$6:$F$1712,'CEMIUP0.9 Raw'!$B$6:$B$1712,$J20,'CEMIUP0.9 Raw'!$H$6:$H$1712,"Y")</f>
        <v>1202.52631578947</v>
      </c>
      <c r="G20" s="19" t="n">
        <f aca="false">SUMIFS('SALES Raw'!$F$6:$F$4467,'SALES Raw'!$J$6:$J$4467,$J20,'SALES Raw'!$K$6:$K$4467,"Y")*$H$4+SUMIFS('CEMIUP0.9 Raw'!$G$6:$G$1712,'CEMIUP0.9 Raw'!$B$6:$B$1712,$J20,'CEMIUP0.9 Raw'!$H$6:$H$1712,"Y")</f>
        <v>94302.1856842105</v>
      </c>
      <c r="H20" s="18" t="s">
        <v>42</v>
      </c>
      <c r="I20" s="18" t="s">
        <v>43</v>
      </c>
      <c r="J20" s="18" t="n">
        <v>4403042</v>
      </c>
    </row>
    <row r="21" customFormat="false" ht="15" hidden="false" customHeight="false" outlineLevel="0" collapsed="false">
      <c r="A21" s="18" t="n">
        <f aca="false">IF(ISNUMBER($J21),$J21,"")</f>
        <v>4422023</v>
      </c>
      <c r="B21" s="18" t="str">
        <f aca="false">IFERROR(INDEX('SALES Raw'!$B$6:$B$4467,MATCH($J21,'SALES Raw'!$J$6:$J$4467,0)),IFERROR(INDEX('CEMIUP0.9 Raw'!$B$6:$B$1712,MATCH($J21,'CEMIUP0.9 Raw'!$B$6:$B$1712,0)),$J21))</f>
        <v>806CB-C</v>
      </c>
      <c r="C21" s="18" t="str">
        <f aca="false">IF(ISNUMBER($J21),IFERROR(INDEX('TRANS'!$C:$C,MATCH($J21,'TRANS'!$B:$B,0)),IFERROR(INDEX('Catalog'!$B:$B,MATCH($J21,'Catalog'!$A:$A,0)),$B21)),$B21)</f>
        <v>806CB-BEIGE      תחבושת א.נצמ</v>
      </c>
      <c r="D21" s="19" t="n">
        <f aca="false">SUMIFS('SALES Raw'!$C$6:$C$4467,'SALES Raw'!$J$6:$J$4467,$J21,'SALES Raw'!$K$6:$K$4467,"Y")+SUMIFS('CEMIUP0.9 Raw'!$D$6:$D$1712,'CEMIUP0.9 Raw'!$B$6:$B$1712,$J21,'CEMIUP0.9 Raw'!$H$6:$H$1712,"Y")</f>
        <v>1625</v>
      </c>
      <c r="E21" s="19" t="n">
        <f aca="false">SUMIFS('SALES Raw'!$D$6:$D$4467,'SALES Raw'!$J$6:$J$4467,$J21,'SALES Raw'!$K$6:$K$4467,"Y")+SUMIFS('CEMIUP0.9 Raw'!$E$6:$E$1712,'CEMIUP0.9 Raw'!$B$6:$B$1712,$J21,'CEMIUP0.9 Raw'!$H$6:$H$1712,"Y")</f>
        <v>15143.588</v>
      </c>
      <c r="F21" s="19" t="n">
        <f aca="false">SUMIFS('SALES Raw'!$E$6:$E$4467,'SALES Raw'!$J$6:$J$4467,$J21,'SALES Raw'!$K$6:$K$4467,"Y")*$H$4+SUMIFS('CEMIUP0.9 Raw'!$F$6:$F$1712,'CEMIUP0.9 Raw'!$B$6:$B$1712,$J21,'CEMIUP0.9 Raw'!$H$6:$H$1712,"Y")</f>
        <v>1191.15789473684</v>
      </c>
      <c r="G21" s="19" t="n">
        <f aca="false">SUMIFS('SALES Raw'!$F$6:$F$4467,'SALES Raw'!$J$6:$J$4467,$J21,'SALES Raw'!$K$6:$K$4467,"Y")*$H$4+SUMIFS('CEMIUP0.9 Raw'!$G$6:$G$1712,'CEMIUP0.9 Raw'!$B$6:$B$1712,$J21,'CEMIUP0.9 Raw'!$H$6:$H$1712,"Y")</f>
        <v>12670.2581052632</v>
      </c>
      <c r="H21" s="18" t="s">
        <v>43</v>
      </c>
      <c r="I21" s="18" t="s">
        <v>42</v>
      </c>
      <c r="J21" s="18" t="n">
        <v>4422023</v>
      </c>
    </row>
    <row r="22" customFormat="false" ht="15" hidden="false" customHeight="false" outlineLevel="0" collapsed="false">
      <c r="A22" s="18" t="n">
        <f aca="false">IF(ISNUMBER($J22),$J22,"")</f>
        <v>4415028</v>
      </c>
      <c r="B22" s="18" t="str">
        <f aca="false">IFERROR(INDEX('SALES Raw'!$B$6:$B$4467,MATCH($J22,'SALES Raw'!$J$6:$J$4467,0)),IFERROR(INDEX('CEMIUP0.9 Raw'!$B$6:$B$1712,MATCH($J22,'CEMIUP0.9 Raw'!$B$6:$B$1712,0)),$J22))</f>
        <v>AC28 0</v>
      </c>
      <c r="C22" s="18" t="str">
        <f aca="false">IF(ISNUMBER($J22),IFERROR(INDEX('TRANS'!$C:$C,MATCH($J22,'TRANS'!$B:$B,0)),IFERROR(INDEX('Catalog'!$B:$B,MATCH($J22,'Catalog'!$A:$A,0)),$B22)),$B22)</f>
        <v>AC-28 סד לאגודל</v>
      </c>
      <c r="D22" s="19" t="n">
        <f aca="false">SUMIFS('SALES Raw'!$C$6:$C$4467,'SALES Raw'!$J$6:$J$4467,$J22,'SALES Raw'!$K$6:$K$4467,"Y")+SUMIFS('CEMIUP0.9 Raw'!$D$6:$D$1712,'CEMIUP0.9 Raw'!$B$6:$B$1712,$J22,'CEMIUP0.9 Raw'!$H$6:$H$1712,"Y")</f>
        <v>1429</v>
      </c>
      <c r="E22" s="19" t="n">
        <f aca="false">SUMIFS('SALES Raw'!$D$6:$D$4467,'SALES Raw'!$J$6:$J$4467,$J22,'SALES Raw'!$K$6:$K$4467,"Y")+SUMIFS('CEMIUP0.9 Raw'!$E$6:$E$1712,'CEMIUP0.9 Raw'!$B$6:$B$1712,$J22,'CEMIUP0.9 Raw'!$H$6:$H$1712,"Y")</f>
        <v>43853.164</v>
      </c>
      <c r="F22" s="19" t="n">
        <f aca="false">SUMIFS('SALES Raw'!$E$6:$E$4467,'SALES Raw'!$J$6:$J$4467,$J22,'SALES Raw'!$K$6:$K$4467,"Y")*$H$4+SUMIFS('CEMIUP0.9 Raw'!$F$6:$F$1712,'CEMIUP0.9 Raw'!$B$6:$B$1712,$J22,'CEMIUP0.9 Raw'!$H$6:$H$1712,"Y")</f>
        <v>1169.68421052632</v>
      </c>
      <c r="G22" s="19" t="n">
        <f aca="false">SUMIFS('SALES Raw'!$F$6:$F$4467,'SALES Raw'!$J$6:$J$4467,$J22,'SALES Raw'!$K$6:$K$4467,"Y")*$H$4+SUMIFS('CEMIUP0.9 Raw'!$G$6:$G$1712,'CEMIUP0.9 Raw'!$B$6:$B$1712,$J22,'CEMIUP0.9 Raw'!$H$6:$H$1712,"Y")</f>
        <v>40381.1090526316</v>
      </c>
      <c r="H22" s="18" t="s">
        <v>43</v>
      </c>
      <c r="I22" s="18" t="s">
        <v>48</v>
      </c>
      <c r="J22" s="18" t="n">
        <v>4415028</v>
      </c>
    </row>
    <row r="23" customFormat="false" ht="15" hidden="false" customHeight="false" outlineLevel="0" collapsed="false">
      <c r="A23" s="18" t="n">
        <f aca="false">IF(ISNUMBER($J23),$J23,"")</f>
        <v>4408207</v>
      </c>
      <c r="B23" s="18" t="str">
        <f aca="false">IFERROR(INDEX('SALES Raw'!$B$6:$B$4467,MATCH($J23,'SALES Raw'!$J$6:$J$4467,0)),IFERROR(INDEX('CEMIUP0.9 Raw'!$B$6:$B$1712,MATCH($J23,'CEMIUP0.9 Raw'!$B$6:$B$1712,0)),$J23))</f>
        <v>AC25 0</v>
      </c>
      <c r="C23" s="18" t="str">
        <f aca="false">IF(ISNUMBER($J23),IFERROR(INDEX('TRANS'!$C:$C,MATCH($J23,'TRANS'!$B:$B,0)),IFERROR(INDEX('Catalog'!$B:$B,MATCH($J23,'Catalog'!$A:$A,0)),$B23)),$B23)</f>
        <v>AC-25 חבק לשורש כף היד</v>
      </c>
      <c r="D23" s="19" t="n">
        <f aca="false">SUMIFS('SALES Raw'!$C$6:$C$4467,'SALES Raw'!$J$6:$J$4467,$J23,'SALES Raw'!$K$6:$K$4467,"Y")+SUMIFS('CEMIUP0.9 Raw'!$D$6:$D$1712,'CEMIUP0.9 Raw'!$B$6:$B$1712,$J23,'CEMIUP0.9 Raw'!$H$6:$H$1712,"Y")</f>
        <v>1279</v>
      </c>
      <c r="E23" s="19" t="n">
        <f aca="false">SUMIFS('SALES Raw'!$D$6:$D$4467,'SALES Raw'!$J$6:$J$4467,$J23,'SALES Raw'!$K$6:$K$4467,"Y")+SUMIFS('CEMIUP0.9 Raw'!$E$6:$E$1712,'CEMIUP0.9 Raw'!$B$6:$B$1712,$J23,'CEMIUP0.9 Raw'!$H$6:$H$1712,"Y")</f>
        <v>39713.686</v>
      </c>
      <c r="F23" s="19" t="n">
        <f aca="false">SUMIFS('SALES Raw'!$E$6:$E$4467,'SALES Raw'!$J$6:$J$4467,$J23,'SALES Raw'!$K$6:$K$4467,"Y")*$H$4+SUMIFS('CEMIUP0.9 Raw'!$F$6:$F$1712,'CEMIUP0.9 Raw'!$B$6:$B$1712,$J23,'CEMIUP0.9 Raw'!$H$6:$H$1712,"Y")</f>
        <v>1152</v>
      </c>
      <c r="G23" s="19" t="n">
        <f aca="false">SUMIFS('SALES Raw'!$F$6:$F$4467,'SALES Raw'!$J$6:$J$4467,$J23,'SALES Raw'!$K$6:$K$4467,"Y")*$H$4+SUMIFS('CEMIUP0.9 Raw'!$G$6:$G$1712,'CEMIUP0.9 Raw'!$B$6:$B$1712,$J23,'CEMIUP0.9 Raw'!$H$6:$H$1712,"Y")</f>
        <v>37435.2745263158</v>
      </c>
      <c r="H23" s="18" t="s">
        <v>43</v>
      </c>
      <c r="I23" s="18" t="s">
        <v>44</v>
      </c>
      <c r="J23" s="18" t="n">
        <v>4408207</v>
      </c>
    </row>
    <row r="24" customFormat="false" ht="15" hidden="false" customHeight="false" outlineLevel="0" collapsed="false">
      <c r="A24" s="18" t="n">
        <f aca="false">IF(ISNUMBER($J24),$J24,"")</f>
        <v>4408205</v>
      </c>
      <c r="B24" s="18" t="str">
        <f aca="false">IFERROR(INDEX('SALES Raw'!$B$6:$B$4467,MATCH($J24,'SALES Raw'!$J$6:$J$4467,0)),IFERROR(INDEX('CEMIUP0.9 Raw'!$B$6:$B$1712,MATCH($J24,'CEMIUP0.9 Raw'!$B$6:$B$1712,0)),$J24))</f>
        <v>AC07 0</v>
      </c>
      <c r="C24" s="18" t="str">
        <f aca="false">IF(ISNUMBER($J24),IFERROR(INDEX('TRANS'!$C:$C,MATCH($J24,'TRANS'!$B:$B,0)),IFERROR(INDEX('Catalog'!$B:$B,MATCH($J24,'Catalog'!$A:$A,0)),$B24)),$B24)</f>
        <v>AC-07 חגורת גב עם תמיכות</v>
      </c>
      <c r="D24" s="19" t="n">
        <f aca="false">SUMIFS('SALES Raw'!$C$6:$C$4467,'SALES Raw'!$J$6:$J$4467,$J24,'SALES Raw'!$K$6:$K$4467,"Y")+SUMIFS('CEMIUP0.9 Raw'!$D$6:$D$1712,'CEMIUP0.9 Raw'!$B$6:$B$1712,$J24,'CEMIUP0.9 Raw'!$H$6:$H$1712,"Y")</f>
        <v>1281</v>
      </c>
      <c r="E24" s="19" t="n">
        <f aca="false">SUMIFS('SALES Raw'!$D$6:$D$4467,'SALES Raw'!$J$6:$J$4467,$J24,'SALES Raw'!$K$6:$K$4467,"Y")+SUMIFS('CEMIUP0.9 Raw'!$E$6:$E$1712,'CEMIUP0.9 Raw'!$B$6:$B$1712,$J24,'CEMIUP0.9 Raw'!$H$6:$H$1712,"Y")</f>
        <v>101632.323</v>
      </c>
      <c r="F24" s="19" t="n">
        <f aca="false">SUMIFS('SALES Raw'!$E$6:$E$4467,'SALES Raw'!$J$6:$J$4467,$J24,'SALES Raw'!$K$6:$K$4467,"Y")*$H$4+SUMIFS('CEMIUP0.9 Raw'!$F$6:$F$1712,'CEMIUP0.9 Raw'!$B$6:$B$1712,$J24,'CEMIUP0.9 Raw'!$H$6:$H$1712,"Y")</f>
        <v>1106.52631578948</v>
      </c>
      <c r="G24" s="19" t="n">
        <f aca="false">SUMIFS('SALES Raw'!$F$6:$F$4467,'SALES Raw'!$J$6:$J$4467,$J24,'SALES Raw'!$K$6:$K$4467,"Y")*$H$4+SUMIFS('CEMIUP0.9 Raw'!$G$6:$G$1712,'CEMIUP0.9 Raw'!$B$6:$B$1712,$J24,'CEMIUP0.9 Raw'!$H$6:$H$1712,"Y")</f>
        <v>89404.1418947369</v>
      </c>
      <c r="H24" s="18" t="s">
        <v>43</v>
      </c>
      <c r="I24" s="18" t="s">
        <v>42</v>
      </c>
      <c r="J24" s="18" t="n">
        <v>4408205</v>
      </c>
    </row>
    <row r="25" customFormat="false" ht="15" hidden="false" customHeight="false" outlineLevel="0" collapsed="false">
      <c r="A25" s="18" t="n">
        <f aca="false">IF(ISNUMBER($J25),$J25,"")</f>
        <v>4422031</v>
      </c>
      <c r="B25" s="18" t="str">
        <f aca="false">IFERROR(INDEX('SALES Raw'!$B$6:$B$4467,MATCH($J25,'SALES Raw'!$J$6:$J$4467,0)),IFERROR(INDEX('CEMIUP0.9 Raw'!$B$6:$B$1712,MATCH($J25,'CEMIUP0.9 Raw'!$B$6:$B$1712,0)),$J25))</f>
        <v>807CB-C</v>
      </c>
      <c r="C25" s="18" t="str">
        <f aca="false">IF(ISNUMBER($J25),IFERROR(INDEX('TRANS'!$C:$C,MATCH($J25,'TRANS'!$B:$B,0)),IFERROR(INDEX('Catalog'!$B:$B,MATCH($J25,'Catalog'!$A:$A,0)),$B25)),$B25)</f>
        <v>807CB-Cתחבושת נצמדת בז' 20 מ""""מ</v>
      </c>
      <c r="D25" s="19" t="n">
        <f aca="false">SUMIFS('SALES Raw'!$C$6:$C$4467,'SALES Raw'!$J$6:$J$4467,$J25,'SALES Raw'!$K$6:$K$4467,"Y")+SUMIFS('CEMIUP0.9 Raw'!$D$6:$D$1712,'CEMIUP0.9 Raw'!$B$6:$B$1712,$J25,'CEMIUP0.9 Raw'!$H$6:$H$1712,"Y")</f>
        <v>736</v>
      </c>
      <c r="E25" s="19" t="n">
        <f aca="false">SUMIFS('SALES Raw'!$D$6:$D$4467,'SALES Raw'!$J$6:$J$4467,$J25,'SALES Raw'!$K$6:$K$4467,"Y")+SUMIFS('CEMIUP0.9 Raw'!$E$6:$E$1712,'CEMIUP0.9 Raw'!$B$6:$B$1712,$J25,'CEMIUP0.9 Raw'!$H$6:$H$1712,"Y")</f>
        <v>7031.191</v>
      </c>
      <c r="F25" s="19" t="n">
        <f aca="false">SUMIFS('SALES Raw'!$E$6:$E$4467,'SALES Raw'!$J$6:$J$4467,$J25,'SALES Raw'!$K$6:$K$4467,"Y")*$H$4+SUMIFS('CEMIUP0.9 Raw'!$F$6:$F$1712,'CEMIUP0.9 Raw'!$B$6:$B$1712,$J25,'CEMIUP0.9 Raw'!$H$6:$H$1712,"Y")</f>
        <v>1021.89473684211</v>
      </c>
      <c r="G25" s="19" t="n">
        <f aca="false">SUMIFS('SALES Raw'!$F$6:$F$4467,'SALES Raw'!$J$6:$J$4467,$J25,'SALES Raw'!$K$6:$K$4467,"Y")*$H$4+SUMIFS('CEMIUP0.9 Raw'!$G$6:$G$1712,'CEMIUP0.9 Raw'!$B$6:$B$1712,$J25,'CEMIUP0.9 Raw'!$H$6:$H$1712,"Y")</f>
        <v>10935.0315789474</v>
      </c>
      <c r="H25" s="18" t="s">
        <v>43</v>
      </c>
      <c r="I25" s="18" t="s">
        <v>42</v>
      </c>
      <c r="J25" s="18" t="n">
        <v>4422031</v>
      </c>
    </row>
    <row r="26" customFormat="false" ht="15" hidden="false" customHeight="false" outlineLevel="0" collapsed="false">
      <c r="A26" s="18" t="n">
        <f aca="false">IF(ISNUMBER($J26),$J26,"")</f>
        <v>4420002</v>
      </c>
      <c r="B26" s="18" t="str">
        <f aca="false">IFERROR(INDEX('SALES Raw'!$B$6:$B$4467,MATCH($J26,'SALES Raw'!$J$6:$J$4467,0)),IFERROR(INDEX('CEMIUP0.9 Raw'!$B$6:$B$1712,MATCH($J26,'CEMIUP0.9 Raw'!$B$6:$B$1712,0)),$J26))</f>
        <v>372 0</v>
      </c>
      <c r="C26" s="18" t="str">
        <f aca="false">IF(ISNUMBER($J26),IFERROR(INDEX('TRANS'!$C:$C,MATCH($J26,'TRANS'!$B:$B,0)),IFERROR(INDEX('Catalog'!$B:$B,MATCH($J26,'Catalog'!$A:$A,0)),$B26)),$B26)</f>
        <v>372 רפידת אנטי ריח -זוג</v>
      </c>
      <c r="D26" s="19" t="n">
        <f aca="false">SUMIFS('SALES Raw'!$C$6:$C$4467,'SALES Raw'!$J$6:$J$4467,$J26,'SALES Raw'!$K$6:$K$4467,"Y")+SUMIFS('CEMIUP0.9 Raw'!$D$6:$D$1712,'CEMIUP0.9 Raw'!$B$6:$B$1712,$J26,'CEMIUP0.9 Raw'!$H$6:$H$1712,"Y")</f>
        <v>1496</v>
      </c>
      <c r="E26" s="19" t="n">
        <f aca="false">SUMIFS('SALES Raw'!$D$6:$D$4467,'SALES Raw'!$J$6:$J$4467,$J26,'SALES Raw'!$K$6:$K$4467,"Y")+SUMIFS('CEMIUP0.9 Raw'!$E$6:$E$1712,'CEMIUP0.9 Raw'!$B$6:$B$1712,$J26,'CEMIUP0.9 Raw'!$H$6:$H$1712,"Y")</f>
        <v>17769.837</v>
      </c>
      <c r="F26" s="19" t="n">
        <f aca="false">SUMIFS('SALES Raw'!$E$6:$E$4467,'SALES Raw'!$J$6:$J$4467,$J26,'SALES Raw'!$K$6:$K$4467,"Y")*$H$4+SUMIFS('CEMIUP0.9 Raw'!$F$6:$F$1712,'CEMIUP0.9 Raw'!$B$6:$B$1712,$J26,'CEMIUP0.9 Raw'!$H$6:$H$1712,"Y")</f>
        <v>986.526315789474</v>
      </c>
      <c r="G26" s="19" t="n">
        <f aca="false">SUMIFS('SALES Raw'!$F$6:$F$4467,'SALES Raw'!$J$6:$J$4467,$J26,'SALES Raw'!$K$6:$K$4467,"Y")*$H$4+SUMIFS('CEMIUP0.9 Raw'!$G$6:$G$1712,'CEMIUP0.9 Raw'!$B$6:$B$1712,$J26,'CEMIUP0.9 Raw'!$H$6:$H$1712,"Y")</f>
        <v>12019.9010526316</v>
      </c>
      <c r="H26" s="18" t="s">
        <v>43</v>
      </c>
      <c r="I26" s="18" t="s">
        <v>48</v>
      </c>
      <c r="J26" s="18" t="n">
        <v>4420002</v>
      </c>
    </row>
    <row r="27" customFormat="false" ht="15" hidden="false" customHeight="false" outlineLevel="0" collapsed="false">
      <c r="A27" s="18" t="n">
        <f aca="false">IF(ISNUMBER($J27),$J27,"")</f>
        <v>4403043</v>
      </c>
      <c r="B27" s="18" t="str">
        <f aca="false">IFERROR(INDEX('SALES Raw'!$B$6:$B$4467,MATCH($J27,'SALES Raw'!$J$6:$J$4467,0)),IFERROR(INDEX('CEMIUP0.9 Raw'!$B$6:$B$1712,MATCH($J27,'CEMIUP0.9 Raw'!$B$6:$B$1712,0)),$J27))</f>
        <v>397A-43-46</v>
      </c>
      <c r="C27" s="18" t="str">
        <f aca="false">IF(ISNUMBER($J27),IFERROR(INDEX('TRANS'!$C:$C,MATCH($J27,'TRANS'!$B:$B,0)),IFERROR(INDEX('Catalog'!$B:$B,MATCH($J27,'Catalog'!$A:$A,0)),$B27)),$B27)</f>
        <v>397A-גרבי טיסה אנטי בקטרי43-46</v>
      </c>
      <c r="D27" s="19" t="n">
        <f aca="false">SUMIFS('SALES Raw'!$C$6:$C$4467,'SALES Raw'!$J$6:$J$4467,$J27,'SALES Raw'!$K$6:$K$4467,"Y")+SUMIFS('CEMIUP0.9 Raw'!$D$6:$D$1712,'CEMIUP0.9 Raw'!$B$6:$B$1712,$J27,'CEMIUP0.9 Raw'!$H$6:$H$1712,"Y")</f>
        <v>320</v>
      </c>
      <c r="E27" s="19" t="n">
        <f aca="false">SUMIFS('SALES Raw'!$D$6:$D$4467,'SALES Raw'!$J$6:$J$4467,$J27,'SALES Raw'!$K$6:$K$4467,"Y")+SUMIFS('CEMIUP0.9 Raw'!$E$6:$E$1712,'CEMIUP0.9 Raw'!$B$6:$B$1712,$J27,'CEMIUP0.9 Raw'!$H$6:$H$1712,"Y")</f>
        <v>14662.74</v>
      </c>
      <c r="F27" s="19" t="n">
        <f aca="false">SUMIFS('SALES Raw'!$E$6:$E$4467,'SALES Raw'!$J$6:$J$4467,$J27,'SALES Raw'!$K$6:$K$4467,"Y")*$H$4+SUMIFS('CEMIUP0.9 Raw'!$F$6:$F$1712,'CEMIUP0.9 Raw'!$B$6:$B$1712,$J27,'CEMIUP0.9 Raw'!$H$6:$H$1712,"Y")</f>
        <v>977.684210526316</v>
      </c>
      <c r="G27" s="19" t="n">
        <f aca="false">SUMIFS('SALES Raw'!$F$6:$F$4467,'SALES Raw'!$J$6:$J$4467,$J27,'SALES Raw'!$K$6:$K$4467,"Y")*$H$4+SUMIFS('CEMIUP0.9 Raw'!$G$6:$G$1712,'CEMIUP0.9 Raw'!$B$6:$B$1712,$J27,'CEMIUP0.9 Raw'!$H$6:$H$1712,"Y")</f>
        <v>71780.0122105263</v>
      </c>
      <c r="H27" s="18" t="s">
        <v>42</v>
      </c>
      <c r="I27" s="18" t="s">
        <v>43</v>
      </c>
      <c r="J27" s="18" t="n">
        <v>4403043</v>
      </c>
    </row>
    <row r="28" customFormat="false" ht="15" hidden="false" customHeight="false" outlineLevel="0" collapsed="false">
      <c r="A28" s="18" t="n">
        <f aca="false">IF(ISNUMBER($J28),$J28,"")</f>
        <v>4413060</v>
      </c>
      <c r="B28" s="18" t="str">
        <f aca="false">IFERROR(INDEX('SALES Raw'!$B$6:$B$4467,MATCH($J28,'SALES Raw'!$J$6:$J$4467,0)),IFERROR(INDEX('CEMIUP0.9 Raw'!$B$6:$B$1712,MATCH($J28,'CEMIUP0.9 Raw'!$B$6:$B$1712,0)),$J28))</f>
        <v>364 XL</v>
      </c>
      <c r="C28" s="18" t="str">
        <f aca="false">IF(ISNUMBER($J28),IFERROR(INDEX('TRANS'!$C:$C,MATCH($J28,'TRANS'!$B:$B,0)),IFERROR(INDEX('Catalog'!$B:$B,MATCH($J28,'Catalog'!$A:$A,0)),$B28)),$B28)</f>
        <v>364 XLמפריד אצבע סיליקון ליבלת</v>
      </c>
      <c r="D28" s="19" t="n">
        <f aca="false">SUMIFS('SALES Raw'!$C$6:$C$4467,'SALES Raw'!$J$6:$J$4467,$J28,'SALES Raw'!$K$6:$K$4467,"Y")+SUMIFS('CEMIUP0.9 Raw'!$D$6:$D$1712,'CEMIUP0.9 Raw'!$B$6:$B$1712,$J28,'CEMIUP0.9 Raw'!$H$6:$H$1712,"Y")</f>
        <v>957</v>
      </c>
      <c r="E28" s="19" t="n">
        <f aca="false">SUMIFS('SALES Raw'!$D$6:$D$4467,'SALES Raw'!$J$6:$J$4467,$J28,'SALES Raw'!$K$6:$K$4467,"Y")+SUMIFS('CEMIUP0.9 Raw'!$E$6:$E$1712,'CEMIUP0.9 Raw'!$B$6:$B$1712,$J28,'CEMIUP0.9 Raw'!$H$6:$H$1712,"Y")</f>
        <v>11348.194</v>
      </c>
      <c r="F28" s="19" t="n">
        <f aca="false">SUMIFS('SALES Raw'!$E$6:$E$4467,'SALES Raw'!$J$6:$J$4467,$J28,'SALES Raw'!$K$6:$K$4467,"Y")*$H$4+SUMIFS('CEMIUP0.9 Raw'!$F$6:$F$1712,'CEMIUP0.9 Raw'!$B$6:$B$1712,$J28,'CEMIUP0.9 Raw'!$H$6:$H$1712,"Y")</f>
        <v>941.052631578947</v>
      </c>
      <c r="G28" s="19" t="n">
        <f aca="false">SUMIFS('SALES Raw'!$F$6:$F$4467,'SALES Raw'!$J$6:$J$4467,$J28,'SALES Raw'!$K$6:$K$4467,"Y")*$H$4+SUMIFS('CEMIUP0.9 Raw'!$G$6:$G$1712,'CEMIUP0.9 Raw'!$B$6:$B$1712,$J28,'CEMIUP0.9 Raw'!$H$6:$H$1712,"Y")</f>
        <v>11117.9090526316</v>
      </c>
      <c r="H28" s="18" t="s">
        <v>43</v>
      </c>
      <c r="I28" s="18" t="s">
        <v>48</v>
      </c>
      <c r="J28" s="18" t="n">
        <v>4413060</v>
      </c>
    </row>
    <row r="29" customFormat="false" ht="15" hidden="false" customHeight="false" outlineLevel="0" collapsed="false">
      <c r="A29" s="18" t="n">
        <f aca="false">IF(ISNUMBER($J29),$J29,"")</f>
        <v>4415159</v>
      </c>
      <c r="B29" s="18" t="str">
        <f aca="false">IFERROR(INDEX('SALES Raw'!$B$6:$B$4467,MATCH($J29,'SALES Raw'!$J$6:$J$4467,0)),IFERROR(INDEX('CEMIUP0.9 Raw'!$B$6:$B$1712,MATCH($J29,'CEMIUP0.9 Raw'!$B$6:$B$1712,0)),$J29))</f>
        <v>268 0</v>
      </c>
      <c r="C29" s="18" t="str">
        <f aca="false">IF(ISNUMBER($J29),IFERROR(INDEX('TRANS'!$C:$C,MATCH($J29,'TRANS'!$B:$B,0)),IFERROR(INDEX('Catalog'!$B:$B,MATCH($J29,'Catalog'!$A:$A,0)),$B29)),$B29)</f>
        <v>268 סד לאגודל</v>
      </c>
      <c r="D29" s="19" t="n">
        <f aca="false">SUMIFS('SALES Raw'!$C$6:$C$4467,'SALES Raw'!$J$6:$J$4467,$J29,'SALES Raw'!$K$6:$K$4467,"Y")+SUMIFS('CEMIUP0.9 Raw'!$D$6:$D$1712,'CEMIUP0.9 Raw'!$B$6:$B$1712,$J29,'CEMIUP0.9 Raw'!$H$6:$H$1712,"Y")</f>
        <v>928</v>
      </c>
      <c r="E29" s="19" t="n">
        <f aca="false">SUMIFS('SALES Raw'!$D$6:$D$4467,'SALES Raw'!$J$6:$J$4467,$J29,'SALES Raw'!$K$6:$K$4467,"Y")+SUMIFS('CEMIUP0.9 Raw'!$E$6:$E$1712,'CEMIUP0.9 Raw'!$B$6:$B$1712,$J29,'CEMIUP0.9 Raw'!$H$6:$H$1712,"Y")</f>
        <v>80062.621</v>
      </c>
      <c r="F29" s="19" t="n">
        <f aca="false">SUMIFS('SALES Raw'!$E$6:$E$4467,'SALES Raw'!$J$6:$J$4467,$J29,'SALES Raw'!$K$6:$K$4467,"Y")*$H$4+SUMIFS('CEMIUP0.9 Raw'!$F$6:$F$1712,'CEMIUP0.9 Raw'!$B$6:$B$1712,$J29,'CEMIUP0.9 Raw'!$H$6:$H$1712,"Y")</f>
        <v>906.947368421053</v>
      </c>
      <c r="G29" s="19" t="n">
        <f aca="false">SUMIFS('SALES Raw'!$F$6:$F$4467,'SALES Raw'!$J$6:$J$4467,$J29,'SALES Raw'!$K$6:$K$4467,"Y")*$H$4+SUMIFS('CEMIUP0.9 Raw'!$G$6:$G$1712,'CEMIUP0.9 Raw'!$B$6:$B$1712,$J29,'CEMIUP0.9 Raw'!$H$6:$H$1712,"Y")</f>
        <v>79830.3435789474</v>
      </c>
      <c r="H29" s="18" t="s">
        <v>48</v>
      </c>
      <c r="I29" s="18" t="s">
        <v>43</v>
      </c>
      <c r="J29" s="18" t="n">
        <v>4415159</v>
      </c>
    </row>
    <row r="30" customFormat="false" ht="15" hidden="false" customHeight="false" outlineLevel="0" collapsed="false">
      <c r="A30" s="18" t="n">
        <f aca="false">IF(ISNUMBER($J30),$J30,"")</f>
        <v>4413329</v>
      </c>
      <c r="B30" s="18" t="str">
        <f aca="false">IFERROR(INDEX('SALES Raw'!$B$6:$B$4467,MATCH($J30,'SALES Raw'!$J$6:$J$4467,0)),IFERROR(INDEX('CEMIUP0.9 Raw'!$B$6:$B$1712,MATCH($J30,'CEMIUP0.9 Raw'!$B$6:$B$1712,0)),$J30))</f>
        <v>AC45X 0</v>
      </c>
      <c r="C30" s="18" t="str">
        <f aca="false">IF(ISNUMBER($J30),IFERROR(INDEX('TRANS'!$C:$C,MATCH($J30,'TRANS'!$B:$B,0)),IFERROR(INDEX('Catalog'!$B:$B,MATCH($J30,'Catalog'!$A:$A,0)),$B30)),$B30)</f>
        <v>AC45X מגן ברך עם תמיכות</v>
      </c>
      <c r="D30" s="19" t="n">
        <f aca="false">SUMIFS('SALES Raw'!$C$6:$C$4467,'SALES Raw'!$J$6:$J$4467,$J30,'SALES Raw'!$K$6:$K$4467,"Y")+SUMIFS('CEMIUP0.9 Raw'!$D$6:$D$1712,'CEMIUP0.9 Raw'!$B$6:$B$1712,$J30,'CEMIUP0.9 Raw'!$H$6:$H$1712,"Y")</f>
        <v>784</v>
      </c>
      <c r="E30" s="19" t="n">
        <f aca="false">SUMIFS('SALES Raw'!$D$6:$D$4467,'SALES Raw'!$J$6:$J$4467,$J30,'SALES Raw'!$K$6:$K$4467,"Y")+SUMIFS('CEMIUP0.9 Raw'!$E$6:$E$1712,'CEMIUP0.9 Raw'!$B$6:$B$1712,$J30,'CEMIUP0.9 Raw'!$H$6:$H$1712,"Y")</f>
        <v>55855.92</v>
      </c>
      <c r="F30" s="19" t="n">
        <f aca="false">SUMIFS('SALES Raw'!$E$6:$E$4467,'SALES Raw'!$J$6:$J$4467,$J30,'SALES Raw'!$K$6:$K$4467,"Y")*$H$4+SUMIFS('CEMIUP0.9 Raw'!$F$6:$F$1712,'CEMIUP0.9 Raw'!$B$6:$B$1712,$J30,'CEMIUP0.9 Raw'!$H$6:$H$1712,"Y")</f>
        <v>896.842105263158</v>
      </c>
      <c r="G30" s="19" t="n">
        <f aca="false">SUMIFS('SALES Raw'!$F$6:$F$4467,'SALES Raw'!$J$6:$J$4467,$J30,'SALES Raw'!$K$6:$K$4467,"Y")*$H$4+SUMIFS('CEMIUP0.9 Raw'!$G$6:$G$1712,'CEMIUP0.9 Raw'!$B$6:$B$1712,$J30,'CEMIUP0.9 Raw'!$H$6:$H$1712,"Y")</f>
        <v>68368.7557894737</v>
      </c>
      <c r="H30" s="18" t="s">
        <v>43</v>
      </c>
      <c r="I30" s="18" t="s">
        <v>42</v>
      </c>
      <c r="J30" s="18" t="n">
        <v>4413329</v>
      </c>
    </row>
    <row r="31" customFormat="false" ht="15" hidden="false" customHeight="false" outlineLevel="0" collapsed="false">
      <c r="A31" s="18" t="n">
        <f aca="false">IF(ISNUMBER($J31),$J31,"")</f>
        <v>4408053</v>
      </c>
      <c r="B31" s="18" t="str">
        <f aca="false">IFERROR(INDEX('SALES Raw'!$B$6:$B$4467,MATCH($J31,'SALES Raw'!$J$6:$J$4467,0)),IFERROR(INDEX('CEMIUP0.9 Raw'!$B$6:$B$1712,MATCH($J31,'CEMIUP0.9 Raw'!$B$6:$B$1712,0)),$J31))</f>
        <v>21 M</v>
      </c>
      <c r="C31" s="18" t="str">
        <f aca="false">IF(ISNUMBER($J31),IFERROR(INDEX('TRANS'!$C:$C,MATCH($J31,'TRANS'!$B:$B,0)),IFERROR(INDEX('Catalog'!$B:$B,MATCH($J31,'Catalog'!$A:$A,0)),$B31)),$B31)</f>
        <v>21 M  חבק יד ארוך</v>
      </c>
      <c r="D31" s="19" t="n">
        <f aca="false">SUMIFS('SALES Raw'!$C$6:$C$4467,'SALES Raw'!$J$6:$J$4467,$J31,'SALES Raw'!$K$6:$K$4467,"Y")+SUMIFS('CEMIUP0.9 Raw'!$D$6:$D$1712,'CEMIUP0.9 Raw'!$B$6:$B$1712,$J31,'CEMIUP0.9 Raw'!$H$6:$H$1712,"Y")</f>
        <v>1150</v>
      </c>
      <c r="E31" s="19" t="n">
        <f aca="false">SUMIFS('SALES Raw'!$D$6:$D$4467,'SALES Raw'!$J$6:$J$4467,$J31,'SALES Raw'!$K$6:$K$4467,"Y")+SUMIFS('CEMIUP0.9 Raw'!$E$6:$E$1712,'CEMIUP0.9 Raw'!$B$6:$B$1712,$J31,'CEMIUP0.9 Raw'!$H$6:$H$1712,"Y")</f>
        <v>36345.689</v>
      </c>
      <c r="F31" s="19" t="n">
        <f aca="false">SUMIFS('SALES Raw'!$E$6:$E$4467,'SALES Raw'!$J$6:$J$4467,$J31,'SALES Raw'!$K$6:$K$4467,"Y")*$H$4+SUMIFS('CEMIUP0.9 Raw'!$F$6:$F$1712,'CEMIUP0.9 Raw'!$B$6:$B$1712,$J31,'CEMIUP0.9 Raw'!$H$6:$H$1712,"Y")</f>
        <v>874.105263157894</v>
      </c>
      <c r="G31" s="19" t="n">
        <f aca="false">SUMIFS('SALES Raw'!$F$6:$F$4467,'SALES Raw'!$J$6:$J$4467,$J31,'SALES Raw'!$K$6:$K$4467,"Y")*$H$4+SUMIFS('CEMIUP0.9 Raw'!$G$6:$G$1712,'CEMIUP0.9 Raw'!$B$6:$B$1712,$J31,'CEMIUP0.9 Raw'!$H$6:$H$1712,"Y")</f>
        <v>26963.7966315789</v>
      </c>
      <c r="H31" s="18" t="s">
        <v>43</v>
      </c>
      <c r="I31" s="18" t="s">
        <v>48</v>
      </c>
      <c r="J31" s="18" t="n">
        <v>4408053</v>
      </c>
    </row>
    <row r="32" customFormat="false" ht="15" hidden="false" customHeight="false" outlineLevel="0" collapsed="false">
      <c r="A32" s="18" t="n">
        <f aca="false">IF(ISNUMBER($J32),$J32,"")</f>
        <v>4408267</v>
      </c>
      <c r="B32" s="18" t="str">
        <f aca="false">IFERROR(INDEX('SALES Raw'!$B$6:$B$4467,MATCH($J32,'SALES Raw'!$J$6:$J$4467,0)),IFERROR(INDEX('CEMIUP0.9 Raw'!$B$6:$B$1712,MATCH($J32,'CEMIUP0.9 Raw'!$B$6:$B$1712,0)),$J32))</f>
        <v>ST25 0</v>
      </c>
      <c r="C32" s="18" t="str">
        <f aca="false">IF(ISNUMBER($J32),IFERROR(INDEX('TRANS'!$C:$C,MATCH($J32,'TRANS'!$B:$B,0)),IFERROR(INDEX('Catalog'!$B:$B,MATCH($J32,'Catalog'!$A:$A,0)),$B32)),$B32)</f>
        <v>ST25 חבק שורש לכף היד</v>
      </c>
      <c r="D32" s="19" t="n">
        <f aca="false">SUMIFS('SALES Raw'!$C$6:$C$4467,'SALES Raw'!$J$6:$J$4467,$J32,'SALES Raw'!$K$6:$K$4467,"Y")+SUMIFS('CEMIUP0.9 Raw'!$D$6:$D$1712,'CEMIUP0.9 Raw'!$B$6:$B$1712,$J32,'CEMIUP0.9 Raw'!$H$6:$H$1712,"Y")</f>
        <v>599</v>
      </c>
      <c r="E32" s="19" t="n">
        <f aca="false">SUMIFS('SALES Raw'!$D$6:$D$4467,'SALES Raw'!$J$6:$J$4467,$J32,'SALES Raw'!$K$6:$K$4467,"Y")+SUMIFS('CEMIUP0.9 Raw'!$E$6:$E$1712,'CEMIUP0.9 Raw'!$B$6:$B$1712,$J32,'CEMIUP0.9 Raw'!$H$6:$H$1712,"Y")</f>
        <v>15615.3</v>
      </c>
      <c r="F32" s="19" t="n">
        <f aca="false">SUMIFS('SALES Raw'!$E$6:$E$4467,'SALES Raw'!$J$6:$J$4467,$J32,'SALES Raw'!$K$6:$K$4467,"Y")*$H$4+SUMIFS('CEMIUP0.9 Raw'!$F$6:$F$1712,'CEMIUP0.9 Raw'!$B$6:$B$1712,$J32,'CEMIUP0.9 Raw'!$H$6:$H$1712,"Y")</f>
        <v>812.21052631579</v>
      </c>
      <c r="G32" s="19" t="n">
        <f aca="false">SUMIFS('SALES Raw'!$F$6:$F$4467,'SALES Raw'!$J$6:$J$4467,$J32,'SALES Raw'!$K$6:$K$4467,"Y")*$H$4+SUMIFS('CEMIUP0.9 Raw'!$G$6:$G$1712,'CEMIUP0.9 Raw'!$B$6:$B$1712,$J32,'CEMIUP0.9 Raw'!$H$6:$H$1712,"Y")</f>
        <v>18335.6917894737</v>
      </c>
      <c r="H32" s="18" t="s">
        <v>48</v>
      </c>
      <c r="I32" s="18" t="s">
        <v>42</v>
      </c>
      <c r="J32" s="18" t="n">
        <v>4408267</v>
      </c>
    </row>
    <row r="33" customFormat="false" ht="15" hidden="false" customHeight="false" outlineLevel="0" collapsed="false">
      <c r="A33" s="18" t="n">
        <f aca="false">IF(ISNUMBER($J33),$J33,"")</f>
        <v>4413092</v>
      </c>
      <c r="B33" s="18" t="str">
        <f aca="false">IFERROR(INDEX('SALES Raw'!$B$6:$B$4467,MATCH($J33,'SALES Raw'!$J$6:$J$4467,0)),IFERROR(INDEX('CEMIUP0.9 Raw'!$B$6:$B$1712,MATCH($J33,'CEMIUP0.9 Raw'!$B$6:$B$1712,0)),$J33))</f>
        <v>45 L</v>
      </c>
      <c r="C33" s="18" t="str">
        <f aca="false">IF(ISNUMBER($J33),IFERROR(INDEX('TRANS'!$C:$C,MATCH($J33,'TRANS'!$B:$B,0)),IFERROR(INDEX('Catalog'!$B:$B,MATCH($J33,'Catalog'!$A:$A,0)),$B33)),$B33)</f>
        <v>45 L מגן ברך לבן</v>
      </c>
      <c r="D33" s="19" t="n">
        <f aca="false">SUMIFS('SALES Raw'!$C$6:$C$4467,'SALES Raw'!$J$6:$J$4467,$J33,'SALES Raw'!$K$6:$K$4467,"Y")+SUMIFS('CEMIUP0.9 Raw'!$D$6:$D$1712,'CEMIUP0.9 Raw'!$B$6:$B$1712,$J33,'CEMIUP0.9 Raw'!$H$6:$H$1712,"Y")</f>
        <v>1027</v>
      </c>
      <c r="E33" s="19" t="n">
        <f aca="false">SUMIFS('SALES Raw'!$D$6:$D$4467,'SALES Raw'!$J$6:$J$4467,$J33,'SALES Raw'!$K$6:$K$4467,"Y")+SUMIFS('CEMIUP0.9 Raw'!$E$6:$E$1712,'CEMIUP0.9 Raw'!$B$6:$B$1712,$J33,'CEMIUP0.9 Raw'!$H$6:$H$1712,"Y")</f>
        <v>21570.825</v>
      </c>
      <c r="F33" s="19" t="n">
        <f aca="false">SUMIFS('SALES Raw'!$E$6:$E$4467,'SALES Raw'!$J$6:$J$4467,$J33,'SALES Raw'!$K$6:$K$4467,"Y")*$H$4+SUMIFS('CEMIUP0.9 Raw'!$F$6:$F$1712,'CEMIUP0.9 Raw'!$B$6:$B$1712,$J33,'CEMIUP0.9 Raw'!$H$6:$H$1712,"Y")</f>
        <v>812.21052631579</v>
      </c>
      <c r="G33" s="19" t="n">
        <f aca="false">SUMIFS('SALES Raw'!$F$6:$F$4467,'SALES Raw'!$J$6:$J$4467,$J33,'SALES Raw'!$K$6:$K$4467,"Y")*$H$4+SUMIFS('CEMIUP0.9 Raw'!$G$6:$G$1712,'CEMIUP0.9 Raw'!$B$6:$B$1712,$J33,'CEMIUP0.9 Raw'!$H$6:$H$1712,"Y")</f>
        <v>17097.2109473684</v>
      </c>
      <c r="H33" s="18" t="s">
        <v>48</v>
      </c>
      <c r="I33" s="18" t="s">
        <v>43</v>
      </c>
      <c r="J33" s="18" t="n">
        <v>4413092</v>
      </c>
    </row>
    <row r="34" customFormat="false" ht="15" hidden="false" customHeight="false" outlineLevel="0" collapsed="false">
      <c r="A34" s="18" t="n">
        <f aca="false">IF(ISNUMBER($J34),$J34,"")</f>
        <v>4409000</v>
      </c>
      <c r="B34" s="18" t="str">
        <f aca="false">IFERROR(INDEX('SALES Raw'!$B$6:$B$4467,MATCH($J34,'SALES Raw'!$J$6:$J$4467,0)),IFERROR(INDEX('CEMIUP0.9 Raw'!$B$6:$B$1712,MATCH($J34,'CEMIUP0.9 Raw'!$B$6:$B$1712,0)),$J34))</f>
        <v>365-S-L</v>
      </c>
      <c r="C34" s="18" t="str">
        <f aca="false">IF(ISNUMBER($J34),IFERROR(INDEX('TRANS'!$C:$C,MATCH($J34,'TRANS'!$B:$B,0)),IFERROR(INDEX('Catalog'!$B:$B,MATCH($J34,'Catalog'!$A:$A,0)),$B34)),$B34)</f>
        <v>365 S-Lטבעת אלסטית מסיליקון</v>
      </c>
      <c r="D34" s="19" t="n">
        <f aca="false">SUMIFS('SALES Raw'!$C$6:$C$4467,'SALES Raw'!$J$6:$J$4467,$J34,'SALES Raw'!$K$6:$K$4467,"Y")+SUMIFS('CEMIUP0.9 Raw'!$D$6:$D$1712,'CEMIUP0.9 Raw'!$B$6:$B$1712,$J34,'CEMIUP0.9 Raw'!$H$6:$H$1712,"Y")</f>
        <v>822</v>
      </c>
      <c r="E34" s="19" t="n">
        <f aca="false">SUMIFS('SALES Raw'!$D$6:$D$4467,'SALES Raw'!$J$6:$J$4467,$J34,'SALES Raw'!$K$6:$K$4467,"Y")+SUMIFS('CEMIUP0.9 Raw'!$E$6:$E$1712,'CEMIUP0.9 Raw'!$B$6:$B$1712,$J34,'CEMIUP0.9 Raw'!$H$6:$H$1712,"Y")</f>
        <v>9708.636</v>
      </c>
      <c r="F34" s="19" t="n">
        <f aca="false">SUMIFS('SALES Raw'!$E$6:$E$4467,'SALES Raw'!$J$6:$J$4467,$J34,'SALES Raw'!$K$6:$K$4467,"Y")*$H$4+SUMIFS('CEMIUP0.9 Raw'!$F$6:$F$1712,'CEMIUP0.9 Raw'!$B$6:$B$1712,$J34,'CEMIUP0.9 Raw'!$H$6:$H$1712,"Y")</f>
        <v>810.947368421052</v>
      </c>
      <c r="G34" s="19" t="n">
        <f aca="false">SUMIFS('SALES Raw'!$F$6:$F$4467,'SALES Raw'!$J$6:$J$4467,$J34,'SALES Raw'!$K$6:$K$4467,"Y")*$H$4+SUMIFS('CEMIUP0.9 Raw'!$G$6:$G$1712,'CEMIUP0.9 Raw'!$B$6:$B$1712,$J34,'CEMIUP0.9 Raw'!$H$6:$H$1712,"Y")</f>
        <v>9295.02063157895</v>
      </c>
      <c r="H34" s="18" t="s">
        <v>43</v>
      </c>
      <c r="I34" s="18" t="s">
        <v>48</v>
      </c>
      <c r="J34" s="18" t="n">
        <v>4409000</v>
      </c>
    </row>
    <row r="35" customFormat="false" ht="15" hidden="false" customHeight="false" outlineLevel="0" collapsed="false">
      <c r="A35" s="18" t="n">
        <f aca="false">IF(ISNUMBER($J35),$J35,"")</f>
        <v>4413033</v>
      </c>
      <c r="B35" s="18" t="str">
        <f aca="false">IFERROR(INDEX('SALES Raw'!$B$6:$B$4467,MATCH($J35,'SALES Raw'!$J$6:$J$4467,0)),IFERROR(INDEX('CEMIUP0.9 Raw'!$B$6:$B$1712,MATCH($J35,'CEMIUP0.9 Raw'!$B$6:$B$1712,0)),$J35))</f>
        <v>311 0</v>
      </c>
      <c r="C35" s="18" t="str">
        <f aca="false">IF(ISNUMBER($J35),IFERROR(INDEX('TRANS'!$C:$C,MATCH($J35,'TRANS'!$B:$B,0)),IFERROR(INDEX('Catalog'!$B:$B,MATCH($J35,'Catalog'!$A:$A,0)),$B35)),$B35)</f>
        <v>311'מדב.ג'ל למניעת שפשוף 5 יח</v>
      </c>
      <c r="D35" s="19" t="n">
        <f aca="false">SUMIFS('SALES Raw'!$C$6:$C$4467,'SALES Raw'!$J$6:$J$4467,$J35,'SALES Raw'!$K$6:$K$4467,"Y")+SUMIFS('CEMIUP0.9 Raw'!$D$6:$D$1712,'CEMIUP0.9 Raw'!$B$6:$B$1712,$J35,'CEMIUP0.9 Raw'!$H$6:$H$1712,"Y")</f>
        <v>1156</v>
      </c>
      <c r="E35" s="19" t="n">
        <f aca="false">SUMIFS('SALES Raw'!$D$6:$D$4467,'SALES Raw'!$J$6:$J$4467,$J35,'SALES Raw'!$K$6:$K$4467,"Y")+SUMIFS('CEMIUP0.9 Raw'!$E$6:$E$1712,'CEMIUP0.9 Raw'!$B$6:$B$1712,$J35,'CEMIUP0.9 Raw'!$H$6:$H$1712,"Y")</f>
        <v>16853.062</v>
      </c>
      <c r="F35" s="19" t="n">
        <f aca="false">SUMIFS('SALES Raw'!$E$6:$E$4467,'SALES Raw'!$J$6:$J$4467,$J35,'SALES Raw'!$K$6:$K$4467,"Y")*$H$4+SUMIFS('CEMIUP0.9 Raw'!$F$6:$F$1712,'CEMIUP0.9 Raw'!$B$6:$B$1712,$J35,'CEMIUP0.9 Raw'!$H$6:$H$1712,"Y")</f>
        <v>799.578947368421</v>
      </c>
      <c r="G35" s="19" t="n">
        <f aca="false">SUMIFS('SALES Raw'!$F$6:$F$4467,'SALES Raw'!$J$6:$J$4467,$J35,'SALES Raw'!$K$6:$K$4467,"Y")*$H$4+SUMIFS('CEMIUP0.9 Raw'!$G$6:$G$1712,'CEMIUP0.9 Raw'!$B$6:$B$1712,$J35,'CEMIUP0.9 Raw'!$H$6:$H$1712,"Y")</f>
        <v>11834.3646315789</v>
      </c>
      <c r="H35" s="18" t="s">
        <v>43</v>
      </c>
      <c r="I35" s="18" t="s">
        <v>48</v>
      </c>
      <c r="J35" s="18" t="n">
        <v>4413033</v>
      </c>
    </row>
    <row r="36" customFormat="false" ht="15" hidden="false" customHeight="false" outlineLevel="0" collapsed="false">
      <c r="A36" s="18" t="n">
        <f aca="false">IF(ISNUMBER($J36),$J36,"")</f>
        <v>4422036</v>
      </c>
      <c r="B36" s="18" t="str">
        <f aca="false">IFERROR(INDEX('SALES Raw'!$B$6:$B$4467,MATCH($J36,'SALES Raw'!$J$6:$J$4467,0)),IFERROR(INDEX('CEMIUP0.9 Raw'!$B$6:$B$1712,MATCH($J36,'CEMIUP0.9 Raw'!$B$6:$B$1712,0)),$J36))</f>
        <v>FC334 0</v>
      </c>
      <c r="C36" s="18" t="str">
        <f aca="false">IF(ISNUMBER($J36),IFERROR(INDEX('TRANS'!$C:$C,MATCH($J36,'TRANS'!$B:$B,0)),IFERROR(INDEX('Catalog'!$B:$B,MATCH($J36,'Catalog'!$A:$A,0)),$B36)),$B36)</f>
        <v>FC334  תרסיס דאודורנט לכף הרגל</v>
      </c>
      <c r="D36" s="19" t="n">
        <f aca="false">SUMIFS('SALES Raw'!$C$6:$C$4467,'SALES Raw'!$J$6:$J$4467,$J36,'SALES Raw'!$K$6:$K$4467,"Y")+SUMIFS('CEMIUP0.9 Raw'!$D$6:$D$1712,'CEMIUP0.9 Raw'!$B$6:$B$1712,$J36,'CEMIUP0.9 Raw'!$H$6:$H$1712,"Y")</f>
        <v>1143</v>
      </c>
      <c r="E36" s="19" t="n">
        <f aca="false">SUMIFS('SALES Raw'!$D$6:$D$4467,'SALES Raw'!$J$6:$J$4467,$J36,'SALES Raw'!$K$6:$K$4467,"Y")+SUMIFS('CEMIUP0.9 Raw'!$E$6:$E$1712,'CEMIUP0.9 Raw'!$B$6:$B$1712,$J36,'CEMIUP0.9 Raw'!$H$6:$H$1712,"Y")</f>
        <v>21572.645</v>
      </c>
      <c r="F36" s="19" t="n">
        <f aca="false">SUMIFS('SALES Raw'!$E$6:$E$4467,'SALES Raw'!$J$6:$J$4467,$J36,'SALES Raw'!$K$6:$K$4467,"Y")*$H$4+SUMIFS('CEMIUP0.9 Raw'!$F$6:$F$1712,'CEMIUP0.9 Raw'!$B$6:$B$1712,$J36,'CEMIUP0.9 Raw'!$H$6:$H$1712,"Y")</f>
        <v>779.368421052631</v>
      </c>
      <c r="G36" s="19" t="n">
        <f aca="false">SUMIFS('SALES Raw'!$F$6:$F$4467,'SALES Raw'!$J$6:$J$4467,$J36,'SALES Raw'!$K$6:$K$4467,"Y")*$H$4+SUMIFS('CEMIUP0.9 Raw'!$G$6:$G$1712,'CEMIUP0.9 Raw'!$B$6:$B$1712,$J36,'CEMIUP0.9 Raw'!$H$6:$H$1712,"Y")</f>
        <v>17073.6138947369</v>
      </c>
      <c r="H36" s="18" t="s">
        <v>43</v>
      </c>
      <c r="I36" s="18" t="s">
        <v>42</v>
      </c>
      <c r="J36" s="18" t="n">
        <v>4422036</v>
      </c>
    </row>
    <row r="37" customFormat="false" ht="15" hidden="false" customHeight="false" outlineLevel="0" collapsed="false">
      <c r="A37" s="18" t="n">
        <f aca="false">IF(ISNUMBER($J37),$J37,"")</f>
        <v>4422024</v>
      </c>
      <c r="B37" s="18" t="str">
        <f aca="false">IFERROR(INDEX('SALES Raw'!$B$6:$B$4467,MATCH($J37,'SALES Raw'!$J$6:$J$4467,0)),IFERROR(INDEX('CEMIUP0.9 Raw'!$B$6:$B$1712,MATCH($J37,'CEMIUP0.9 Raw'!$B$6:$B$1712,0)),$J37))</f>
        <v>806CB-B</v>
      </c>
      <c r="C37" s="18" t="str">
        <f aca="false">IF(ISNUMBER($J37),IFERROR(INDEX('TRANS'!$C:$C,MATCH($J37,'TRANS'!$B:$B,0)),IFERROR(INDEX('Catalog'!$B:$B,MATCH($J37,'Catalog'!$A:$A,0)),$B37)),$B37)</f>
        <v>806CB-BLACK      תחבושת א.נצמ</v>
      </c>
      <c r="D37" s="19" t="n">
        <f aca="false">SUMIFS('SALES Raw'!$C$6:$C$4467,'SALES Raw'!$J$6:$J$4467,$J37,'SALES Raw'!$K$6:$K$4467,"Y")+SUMIFS('CEMIUP0.9 Raw'!$D$6:$D$1712,'CEMIUP0.9 Raw'!$B$6:$B$1712,$J37,'CEMIUP0.9 Raw'!$H$6:$H$1712,"Y")</f>
        <v>1072</v>
      </c>
      <c r="E37" s="19" t="n">
        <f aca="false">SUMIFS('SALES Raw'!$D$6:$D$4467,'SALES Raw'!$J$6:$J$4467,$J37,'SALES Raw'!$K$6:$K$4467,"Y")+SUMIFS('CEMIUP0.9 Raw'!$E$6:$E$1712,'CEMIUP0.9 Raw'!$B$6:$B$1712,$J37,'CEMIUP0.9 Raw'!$H$6:$H$1712,"Y")</f>
        <v>10488.751</v>
      </c>
      <c r="F37" s="19" t="n">
        <f aca="false">SUMIFS('SALES Raw'!$E$6:$E$4467,'SALES Raw'!$J$6:$J$4467,$J37,'SALES Raw'!$K$6:$K$4467,"Y")*$H$4+SUMIFS('CEMIUP0.9 Raw'!$F$6:$F$1712,'CEMIUP0.9 Raw'!$B$6:$B$1712,$J37,'CEMIUP0.9 Raw'!$H$6:$H$1712,"Y")</f>
        <v>773.052631578947</v>
      </c>
      <c r="G37" s="19" t="n">
        <f aca="false">SUMIFS('SALES Raw'!$F$6:$F$4467,'SALES Raw'!$J$6:$J$4467,$J37,'SALES Raw'!$K$6:$K$4467,"Y")*$H$4+SUMIFS('CEMIUP0.9 Raw'!$G$6:$G$1712,'CEMIUP0.9 Raw'!$B$6:$B$1712,$J37,'CEMIUP0.9 Raw'!$H$6:$H$1712,"Y")</f>
        <v>8587.19873684211</v>
      </c>
      <c r="H37" s="18" t="s">
        <v>43</v>
      </c>
      <c r="I37" s="18" t="s">
        <v>42</v>
      </c>
      <c r="J37" s="18" t="n">
        <v>4422024</v>
      </c>
    </row>
    <row r="38" customFormat="false" ht="15" hidden="false" customHeight="false" outlineLevel="0" collapsed="false">
      <c r="A38" s="18" t="n">
        <f aca="false">IF(ISNUMBER($J38),$J38,"")</f>
        <v>4401001</v>
      </c>
      <c r="B38" s="18" t="str">
        <f aca="false">IFERROR(INDEX('SALES Raw'!$B$6:$B$4467,MATCH($J38,'SALES Raw'!$J$6:$J$4467,0)),IFERROR(INDEX('CEMIUP0.9 Raw'!$B$6:$B$1712,MATCH($J38,'CEMIUP0.9 Raw'!$B$6:$B$1712,0)),$J38))</f>
        <v>369-XL</v>
      </c>
      <c r="C38" s="18" t="str">
        <f aca="false">IF(ISNUMBER($J38),IFERROR(INDEX('TRANS'!$C:$C,MATCH($J38,'TRANS'!$B:$B,0)),IFERROR(INDEX('Catalog'!$B:$B,MATCH($J38,'Catalog'!$A:$A,0)),$B38)),$B38)</f>
        <v>369   XL אצבעון מסיליקון יחידה</v>
      </c>
      <c r="D38" s="19" t="n">
        <f aca="false">SUMIFS('SALES Raw'!$C$6:$C$4467,'SALES Raw'!$J$6:$J$4467,$J38,'SALES Raw'!$K$6:$K$4467,"Y")+SUMIFS('CEMIUP0.9 Raw'!$D$6:$D$1712,'CEMIUP0.9 Raw'!$B$6:$B$1712,$J38,'CEMIUP0.9 Raw'!$H$6:$H$1712,"Y")</f>
        <v>908</v>
      </c>
      <c r="E38" s="19" t="n">
        <f aca="false">SUMIFS('SALES Raw'!$D$6:$D$4467,'SALES Raw'!$J$6:$J$4467,$J38,'SALES Raw'!$K$6:$K$4467,"Y")+SUMIFS('CEMIUP0.9 Raw'!$E$6:$E$1712,'CEMIUP0.9 Raw'!$B$6:$B$1712,$J38,'CEMIUP0.9 Raw'!$H$6:$H$1712,"Y")</f>
        <v>19697.838</v>
      </c>
      <c r="F38" s="19" t="n">
        <f aca="false">SUMIFS('SALES Raw'!$E$6:$E$4467,'SALES Raw'!$J$6:$J$4467,$J38,'SALES Raw'!$K$6:$K$4467,"Y")*$H$4+SUMIFS('CEMIUP0.9 Raw'!$F$6:$F$1712,'CEMIUP0.9 Raw'!$B$6:$B$1712,$J38,'CEMIUP0.9 Raw'!$H$6:$H$1712,"Y")</f>
        <v>720</v>
      </c>
      <c r="G38" s="19" t="n">
        <f aca="false">SUMIFS('SALES Raw'!$F$6:$F$4467,'SALES Raw'!$J$6:$J$4467,$J38,'SALES Raw'!$K$6:$K$4467,"Y")*$H$4+SUMIFS('CEMIUP0.9 Raw'!$G$6:$G$1712,'CEMIUP0.9 Raw'!$B$6:$B$1712,$J38,'CEMIUP0.9 Raw'!$H$6:$H$1712,"Y")</f>
        <v>15074.0652631579</v>
      </c>
      <c r="H38" s="18" t="s">
        <v>43</v>
      </c>
      <c r="I38" s="18" t="s">
        <v>48</v>
      </c>
      <c r="J38" s="18" t="n">
        <v>4401001</v>
      </c>
    </row>
    <row r="39" customFormat="false" ht="15" hidden="false" customHeight="false" outlineLevel="0" collapsed="false">
      <c r="A39" s="18" t="n">
        <f aca="false">IF(ISNUMBER($J39),$J39,"")</f>
        <v>4420000</v>
      </c>
      <c r="B39" s="18" t="str">
        <f aca="false">IFERROR(INDEX('SALES Raw'!$B$6:$B$4467,MATCH($J39,'SALES Raw'!$J$6:$J$4467,0)),IFERROR(INDEX('CEMIUP0.9 Raw'!$B$6:$B$1712,MATCH($J39,'CEMIUP0.9 Raw'!$B$6:$B$1712,0)),$J39))</f>
        <v>370 0</v>
      </c>
      <c r="C39" s="18" t="str">
        <f aca="false">IF(ISNUMBER($J39),IFERROR(INDEX('TRANS'!$C:$C,MATCH($J39,'TRANS'!$B:$B,0)),IFERROR(INDEX('Catalog'!$B:$B,MATCH($J39,'Catalog'!$A:$A,0)),$B39)),$B39)</f>
        <v>370  רפידת נוחות-זוג</v>
      </c>
      <c r="D39" s="19" t="n">
        <f aca="false">SUMIFS('SALES Raw'!$C$6:$C$4467,'SALES Raw'!$J$6:$J$4467,$J39,'SALES Raw'!$K$6:$K$4467,"Y")+SUMIFS('CEMIUP0.9 Raw'!$D$6:$D$1712,'CEMIUP0.9 Raw'!$B$6:$B$1712,$J39,'CEMIUP0.9 Raw'!$H$6:$H$1712,"Y")</f>
        <v>835</v>
      </c>
      <c r="E39" s="19" t="n">
        <f aca="false">SUMIFS('SALES Raw'!$D$6:$D$4467,'SALES Raw'!$J$6:$J$4467,$J39,'SALES Raw'!$K$6:$K$4467,"Y")+SUMIFS('CEMIUP0.9 Raw'!$E$6:$E$1712,'CEMIUP0.9 Raw'!$B$6:$B$1712,$J39,'CEMIUP0.9 Raw'!$H$6:$H$1712,"Y")</f>
        <v>8330.597</v>
      </c>
      <c r="F39" s="19" t="n">
        <f aca="false">SUMIFS('SALES Raw'!$E$6:$E$4467,'SALES Raw'!$J$6:$J$4467,$J39,'SALES Raw'!$K$6:$K$4467,"Y")*$H$4+SUMIFS('CEMIUP0.9 Raw'!$F$6:$F$1712,'CEMIUP0.9 Raw'!$B$6:$B$1712,$J39,'CEMIUP0.9 Raw'!$H$6:$H$1712,"Y")</f>
        <v>717.473684210526</v>
      </c>
      <c r="G39" s="19" t="n">
        <f aca="false">SUMIFS('SALES Raw'!$F$6:$F$4467,'SALES Raw'!$J$6:$J$4467,$J39,'SALES Raw'!$K$6:$K$4467,"Y")*$H$4+SUMIFS('CEMIUP0.9 Raw'!$G$6:$G$1712,'CEMIUP0.9 Raw'!$B$6:$B$1712,$J39,'CEMIUP0.9 Raw'!$H$6:$H$1712,"Y")</f>
        <v>7266.32210526316</v>
      </c>
      <c r="H39" s="18" t="s">
        <v>43</v>
      </c>
      <c r="I39" s="18" t="s">
        <v>48</v>
      </c>
      <c r="J39" s="18" t="n">
        <v>4420000</v>
      </c>
    </row>
    <row r="40" customFormat="false" ht="15" hidden="false" customHeight="false" outlineLevel="0" collapsed="false">
      <c r="A40" s="18" t="n">
        <f aca="false">IF(ISNUMBER($J40),$J40,"")</f>
        <v>4413370</v>
      </c>
      <c r="B40" s="18" t="str">
        <f aca="false">IFERROR(INDEX('SALES Raw'!$B$6:$B$4467,MATCH($J40,'SALES Raw'!$J$6:$J$4467,0)),IFERROR(INDEX('CEMIUP0.9 Raw'!$B$6:$B$1712,MATCH($J40,'CEMIUP0.9 Raw'!$B$6:$B$1712,0)),$J40))</f>
        <v>3674 0</v>
      </c>
      <c r="C40" s="18" t="str">
        <f aca="false">IF(ISNUMBER($J40),IFERROR(INDEX('TRANS'!$C:$C,MATCH($J40,'TRANS'!$B:$B,0)),IFERROR(INDEX('Catalog'!$B:$B,MATCH($J40,'Catalog'!$A:$A,0)),$B40)),$B40)</f>
        <v>3674 0 מ.בוניון+מפריד אצבע</v>
      </c>
      <c r="D40" s="19" t="n">
        <f aca="false">SUMIFS('SALES Raw'!$C$6:$C$4467,'SALES Raw'!$J$6:$J$4467,$J40,'SALES Raw'!$K$6:$K$4467,"Y")+SUMIFS('CEMIUP0.9 Raw'!$D$6:$D$1712,'CEMIUP0.9 Raw'!$B$6:$B$1712,$J40,'CEMIUP0.9 Raw'!$H$6:$H$1712,"Y")</f>
        <v>751</v>
      </c>
      <c r="E40" s="19" t="n">
        <f aca="false">SUMIFS('SALES Raw'!$D$6:$D$4467,'SALES Raw'!$J$6:$J$4467,$J40,'SALES Raw'!$K$6:$K$4467,"Y")+SUMIFS('CEMIUP0.9 Raw'!$E$6:$E$1712,'CEMIUP0.9 Raw'!$B$6:$B$1712,$J40,'CEMIUP0.9 Raw'!$H$6:$H$1712,"Y")</f>
        <v>28500.46</v>
      </c>
      <c r="F40" s="19" t="n">
        <f aca="false">SUMIFS('SALES Raw'!$E$6:$E$4467,'SALES Raw'!$J$6:$J$4467,$J40,'SALES Raw'!$K$6:$K$4467,"Y")*$H$4+SUMIFS('CEMIUP0.9 Raw'!$F$6:$F$1712,'CEMIUP0.9 Raw'!$B$6:$B$1712,$J40,'CEMIUP0.9 Raw'!$H$6:$H$1712,"Y")</f>
        <v>698.526315789474</v>
      </c>
      <c r="G40" s="19" t="n">
        <f aca="false">SUMIFS('SALES Raw'!$F$6:$F$4467,'SALES Raw'!$J$6:$J$4467,$J40,'SALES Raw'!$K$6:$K$4467,"Y")*$H$4+SUMIFS('CEMIUP0.9 Raw'!$G$6:$G$1712,'CEMIUP0.9 Raw'!$B$6:$B$1712,$J40,'CEMIUP0.9 Raw'!$H$6:$H$1712,"Y")</f>
        <v>30458.4934736842</v>
      </c>
      <c r="H40" s="18" t="s">
        <v>43</v>
      </c>
      <c r="I40" s="18" t="s">
        <v>42</v>
      </c>
      <c r="J40" s="18" t="n">
        <v>4413370</v>
      </c>
    </row>
    <row r="41" customFormat="false" ht="15" hidden="false" customHeight="false" outlineLevel="0" collapsed="false">
      <c r="A41" s="18" t="n">
        <f aca="false">IF(ISNUMBER($J41),$J41,"")</f>
        <v>4408052</v>
      </c>
      <c r="B41" s="18" t="str">
        <f aca="false">IFERROR(INDEX('SALES Raw'!$B$6:$B$4467,MATCH($J41,'SALES Raw'!$J$6:$J$4467,0)),IFERROR(INDEX('CEMIUP0.9 Raw'!$B$6:$B$1712,MATCH($J41,'CEMIUP0.9 Raw'!$B$6:$B$1712,0)),$J41))</f>
        <v>21 L</v>
      </c>
      <c r="C41" s="18" t="str">
        <f aca="false">IF(ISNUMBER($J41),IFERROR(INDEX('TRANS'!$C:$C,MATCH($J41,'TRANS'!$B:$B,0)),IFERROR(INDEX('Catalog'!$B:$B,MATCH($J41,'Catalog'!$A:$A,0)),$B41)),$B41)</f>
        <v>21 L  חבק יד ארוך</v>
      </c>
      <c r="D41" s="19" t="n">
        <f aca="false">SUMIFS('SALES Raw'!$C$6:$C$4467,'SALES Raw'!$J$6:$J$4467,$J41,'SALES Raw'!$K$6:$K$4467,"Y")+SUMIFS('CEMIUP0.9 Raw'!$D$6:$D$1712,'CEMIUP0.9 Raw'!$B$6:$B$1712,$J41,'CEMIUP0.9 Raw'!$H$6:$H$1712,"Y")</f>
        <v>964</v>
      </c>
      <c r="E41" s="19" t="n">
        <f aca="false">SUMIFS('SALES Raw'!$D$6:$D$4467,'SALES Raw'!$J$6:$J$4467,$J41,'SALES Raw'!$K$6:$K$4467,"Y")+SUMIFS('CEMIUP0.9 Raw'!$E$6:$E$1712,'CEMIUP0.9 Raw'!$B$6:$B$1712,$J41,'CEMIUP0.9 Raw'!$H$6:$H$1712,"Y")</f>
        <v>30740.459</v>
      </c>
      <c r="F41" s="19" t="n">
        <f aca="false">SUMIFS('SALES Raw'!$E$6:$E$4467,'SALES Raw'!$J$6:$J$4467,$J41,'SALES Raw'!$K$6:$K$4467,"Y")*$H$4+SUMIFS('CEMIUP0.9 Raw'!$F$6:$F$1712,'CEMIUP0.9 Raw'!$B$6:$B$1712,$J41,'CEMIUP0.9 Raw'!$H$6:$H$1712,"Y")</f>
        <v>674.526315789474</v>
      </c>
      <c r="G41" s="19" t="n">
        <f aca="false">SUMIFS('SALES Raw'!$F$6:$F$4467,'SALES Raw'!$J$6:$J$4467,$J41,'SALES Raw'!$K$6:$K$4467,"Y")*$H$4+SUMIFS('CEMIUP0.9 Raw'!$G$6:$G$1712,'CEMIUP0.9 Raw'!$B$6:$B$1712,$J41,'CEMIUP0.9 Raw'!$H$6:$H$1712,"Y")</f>
        <v>21146.808</v>
      </c>
      <c r="H41" s="18" t="s">
        <v>43</v>
      </c>
      <c r="I41" s="18" t="s">
        <v>48</v>
      </c>
      <c r="J41" s="18" t="n">
        <v>4408052</v>
      </c>
    </row>
    <row r="42" customFormat="false" ht="15" hidden="false" customHeight="false" outlineLevel="0" collapsed="false">
      <c r="A42" s="18" t="n">
        <f aca="false">IF(ISNUMBER($J42),$J42,"")</f>
        <v>4408208</v>
      </c>
      <c r="B42" s="18" t="str">
        <f aca="false">IFERROR(INDEX('SALES Raw'!$B$6:$B$4467,MATCH($J42,'SALES Raw'!$J$6:$J$4467,0)),IFERROR(INDEX('CEMIUP0.9 Raw'!$B$6:$B$1712,MATCH($J42,'CEMIUP0.9 Raw'!$B$6:$B$1712,0)),$J42))</f>
        <v>AC91 0</v>
      </c>
      <c r="C42" s="18" t="str">
        <f aca="false">IF(ISNUMBER($J42),IFERROR(INDEX('TRANS'!$C:$C,MATCH($J42,'TRANS'!$B:$B,0)),IFERROR(INDEX('Catalog'!$B:$B,MATCH($J42,'Catalog'!$A:$A,0)),$B42)),$B42)</f>
        <v>AC91 חבק טניס</v>
      </c>
      <c r="D42" s="19" t="n">
        <f aca="false">SUMIFS('SALES Raw'!$C$6:$C$4467,'SALES Raw'!$J$6:$J$4467,$J42,'SALES Raw'!$K$6:$K$4467,"Y")+SUMIFS('CEMIUP0.9 Raw'!$D$6:$D$1712,'CEMIUP0.9 Raw'!$B$6:$B$1712,$J42,'CEMIUP0.9 Raw'!$H$6:$H$1712,"Y")</f>
        <v>722</v>
      </c>
      <c r="E42" s="19" t="n">
        <f aca="false">SUMIFS('SALES Raw'!$D$6:$D$4467,'SALES Raw'!$J$6:$J$4467,$J42,'SALES Raw'!$K$6:$K$4467,"Y")+SUMIFS('CEMIUP0.9 Raw'!$E$6:$E$1712,'CEMIUP0.9 Raw'!$B$6:$B$1712,$J42,'CEMIUP0.9 Raw'!$H$6:$H$1712,"Y")</f>
        <v>29979.917</v>
      </c>
      <c r="F42" s="19" t="n">
        <f aca="false">SUMIFS('SALES Raw'!$E$6:$E$4467,'SALES Raw'!$J$6:$J$4467,$J42,'SALES Raw'!$K$6:$K$4467,"Y")*$H$4+SUMIFS('CEMIUP0.9 Raw'!$F$6:$F$1712,'CEMIUP0.9 Raw'!$B$6:$B$1712,$J42,'CEMIUP0.9 Raw'!$H$6:$H$1712,"Y")</f>
        <v>673.263157894737</v>
      </c>
      <c r="G42" s="19" t="n">
        <f aca="false">SUMIFS('SALES Raw'!$F$6:$F$4467,'SALES Raw'!$J$6:$J$4467,$J42,'SALES Raw'!$K$6:$K$4467,"Y")*$H$4+SUMIFS('CEMIUP0.9 Raw'!$G$6:$G$1712,'CEMIUP0.9 Raw'!$B$6:$B$1712,$J42,'CEMIUP0.9 Raw'!$H$6:$H$1712,"Y")</f>
        <v>29825.7284210526</v>
      </c>
      <c r="H42" s="18" t="s">
        <v>43</v>
      </c>
      <c r="I42" s="18" t="s">
        <v>42</v>
      </c>
      <c r="J42" s="18" t="n">
        <v>4408208</v>
      </c>
    </row>
    <row r="43" customFormat="false" ht="15" hidden="false" customHeight="false" outlineLevel="0" collapsed="false">
      <c r="A43" s="18" t="n">
        <f aca="false">IF(ISNUMBER($J43),$J43,"")</f>
        <v>4411001</v>
      </c>
      <c r="B43" s="18" t="str">
        <f aca="false">IFERROR(INDEX('SALES Raw'!$B$6:$B$4467,MATCH($J43,'SALES Raw'!$J$6:$J$4467,0)),IFERROR(INDEX('CEMIUP0.9 Raw'!$B$6:$B$1712,MATCH($J43,'CEMIUP0.9 Raw'!$B$6:$B$1712,0)),$J43))</f>
        <v>3623 0</v>
      </c>
      <c r="C43" s="18" t="str">
        <f aca="false">IF(ISNUMBER($J43),IFERROR(INDEX('TRANS'!$C:$C,MATCH($J43,'TRANS'!$B:$B,0)),IFERROR(INDEX('Catalog'!$B:$B,MATCH($J43,'Catalog'!$A:$A,0)),$B43)),$B43)</f>
        <v>3623 כרית ליישור אצבע פטיש</v>
      </c>
      <c r="D43" s="19" t="n">
        <f aca="false">SUMIFS('SALES Raw'!$C$6:$C$4467,'SALES Raw'!$J$6:$J$4467,$J43,'SALES Raw'!$K$6:$K$4467,"Y")+SUMIFS('CEMIUP0.9 Raw'!$D$6:$D$1712,'CEMIUP0.9 Raw'!$B$6:$B$1712,$J43,'CEMIUP0.9 Raw'!$H$6:$H$1712,"Y")</f>
        <v>657</v>
      </c>
      <c r="E43" s="19" t="n">
        <f aca="false">SUMIFS('SALES Raw'!$D$6:$D$4467,'SALES Raw'!$J$6:$J$4467,$J43,'SALES Raw'!$K$6:$K$4467,"Y")+SUMIFS('CEMIUP0.9 Raw'!$E$6:$E$1712,'CEMIUP0.9 Raw'!$B$6:$B$1712,$J43,'CEMIUP0.9 Raw'!$H$6:$H$1712,"Y")</f>
        <v>17438.11</v>
      </c>
      <c r="F43" s="19" t="n">
        <f aca="false">SUMIFS('SALES Raw'!$E$6:$E$4467,'SALES Raw'!$J$6:$J$4467,$J43,'SALES Raw'!$K$6:$K$4467,"Y")*$H$4+SUMIFS('CEMIUP0.9 Raw'!$F$6:$F$1712,'CEMIUP0.9 Raw'!$B$6:$B$1712,$J43,'CEMIUP0.9 Raw'!$H$6:$H$1712,"Y")</f>
        <v>671.999999999999</v>
      </c>
      <c r="G43" s="19" t="n">
        <f aca="false">SUMIFS('SALES Raw'!$F$6:$F$4467,'SALES Raw'!$J$6:$J$4467,$J43,'SALES Raw'!$K$6:$K$4467,"Y")*$H$4+SUMIFS('CEMIUP0.9 Raw'!$G$6:$G$1712,'CEMIUP0.9 Raw'!$B$6:$B$1712,$J43,'CEMIUP0.9 Raw'!$H$6:$H$1712,"Y")</f>
        <v>19419.4294736842</v>
      </c>
      <c r="H43" s="18" t="s">
        <v>43</v>
      </c>
      <c r="I43" s="18" t="s">
        <v>44</v>
      </c>
      <c r="J43" s="18" t="n">
        <v>4411001</v>
      </c>
    </row>
    <row r="44" customFormat="false" ht="15" hidden="false" customHeight="false" outlineLevel="0" collapsed="false">
      <c r="A44" s="18" t="n">
        <f aca="false">IF(ISNUMBER($J44),$J44,"")</f>
        <v>4408192</v>
      </c>
      <c r="B44" s="18" t="str">
        <f aca="false">IFERROR(INDEX('SALES Raw'!$B$6:$B$4467,MATCH($J44,'SALES Raw'!$J$6:$J$4467,0)),IFERROR(INDEX('CEMIUP0.9 Raw'!$B$6:$B$1712,MATCH($J44,'CEMIUP0.9 Raw'!$B$6:$B$1712,0)),$J44))</f>
        <v>078 L</v>
      </c>
      <c r="C44" s="18" t="str">
        <f aca="false">IF(ISNUMBER($J44),IFERROR(INDEX('TRANS'!$C:$C,MATCH($J44,'TRANS'!$B:$B,0)),IFERROR(INDEX('Catalog'!$B:$B,MATCH($J44,'Catalog'!$A:$A,0)),$B44)),$B44)</f>
        <v>078 L חגורת גב +סגירה</v>
      </c>
      <c r="D44" s="19" t="n">
        <f aca="false">SUMIFS('SALES Raw'!$C$6:$C$4467,'SALES Raw'!$J$6:$J$4467,$J44,'SALES Raw'!$K$6:$K$4467,"Y")+SUMIFS('CEMIUP0.9 Raw'!$D$6:$D$1712,'CEMIUP0.9 Raw'!$B$6:$B$1712,$J44,'CEMIUP0.9 Raw'!$H$6:$H$1712,"Y")</f>
        <v>464</v>
      </c>
      <c r="E44" s="19" t="n">
        <f aca="false">SUMIFS('SALES Raw'!$D$6:$D$4467,'SALES Raw'!$J$6:$J$4467,$J44,'SALES Raw'!$K$6:$K$4467,"Y")+SUMIFS('CEMIUP0.9 Raw'!$E$6:$E$1712,'CEMIUP0.9 Raw'!$B$6:$B$1712,$J44,'CEMIUP0.9 Raw'!$H$6:$H$1712,"Y")</f>
        <v>46318.91</v>
      </c>
      <c r="F44" s="19" t="n">
        <f aca="false">SUMIFS('SALES Raw'!$E$6:$E$4467,'SALES Raw'!$J$6:$J$4467,$J44,'SALES Raw'!$K$6:$K$4467,"Y")*$H$4+SUMIFS('CEMIUP0.9 Raw'!$F$6:$F$1712,'CEMIUP0.9 Raw'!$B$6:$B$1712,$J44,'CEMIUP0.9 Raw'!$H$6:$H$1712,"Y")</f>
        <v>661.894736842106</v>
      </c>
      <c r="G44" s="19" t="n">
        <f aca="false">SUMIFS('SALES Raw'!$F$6:$F$4467,'SALES Raw'!$J$6:$J$4467,$J44,'SALES Raw'!$K$6:$K$4467,"Y")*$H$4+SUMIFS('CEMIUP0.9 Raw'!$G$6:$G$1712,'CEMIUP0.9 Raw'!$B$6:$B$1712,$J44,'CEMIUP0.9 Raw'!$H$6:$H$1712,"Y")</f>
        <v>62952.9991578947</v>
      </c>
      <c r="H44" s="18" t="s">
        <v>53</v>
      </c>
      <c r="I44" s="18" t="s">
        <v>48</v>
      </c>
      <c r="J44" s="18" t="n">
        <v>4408192</v>
      </c>
    </row>
    <row r="45" customFormat="false" ht="15" hidden="false" customHeight="false" outlineLevel="0" collapsed="false">
      <c r="A45" s="18" t="n">
        <f aca="false">IF(ISNUMBER($J45),$J45,"")</f>
        <v>4403041</v>
      </c>
      <c r="B45" s="18" t="str">
        <f aca="false">IFERROR(INDEX('SALES Raw'!$B$6:$B$4467,MATCH($J45,'SALES Raw'!$J$6:$J$4467,0)),IFERROR(INDEX('CEMIUP0.9 Raw'!$B$6:$B$1712,MATCH($J45,'CEMIUP0.9 Raw'!$B$6:$B$1712,0)),$J45))</f>
        <v>397A-35-38</v>
      </c>
      <c r="C45" s="18" t="str">
        <f aca="false">IF(ISNUMBER($J45),IFERROR(INDEX('TRANS'!$C:$C,MATCH($J45,'TRANS'!$B:$B,0)),IFERROR(INDEX('Catalog'!$B:$B,MATCH($J45,'Catalog'!$A:$A,0)),$B45)),$B45)</f>
        <v>397A-גרבי טיסה אנטי בקטרי35-38</v>
      </c>
      <c r="D45" s="19" t="n">
        <f aca="false">SUMIFS('SALES Raw'!$C$6:$C$4467,'SALES Raw'!$J$6:$J$4467,$J45,'SALES Raw'!$K$6:$K$4467,"Y")+SUMIFS('CEMIUP0.9 Raw'!$D$6:$D$1712,'CEMIUP0.9 Raw'!$B$6:$B$1712,$J45,'CEMIUP0.9 Raw'!$H$6:$H$1712,"Y")</f>
        <v>155</v>
      </c>
      <c r="E45" s="19" t="n">
        <f aca="false">SUMIFS('SALES Raw'!$D$6:$D$4467,'SALES Raw'!$J$6:$J$4467,$J45,'SALES Raw'!$K$6:$K$4467,"Y")+SUMIFS('CEMIUP0.9 Raw'!$E$6:$E$1712,'CEMIUP0.9 Raw'!$B$6:$B$1712,$J45,'CEMIUP0.9 Raw'!$H$6:$H$1712,"Y")</f>
        <v>7564.59</v>
      </c>
      <c r="F45" s="19" t="n">
        <f aca="false">SUMIFS('SALES Raw'!$E$6:$E$4467,'SALES Raw'!$J$6:$J$4467,$J45,'SALES Raw'!$K$6:$K$4467,"Y")*$H$4+SUMIFS('CEMIUP0.9 Raw'!$F$6:$F$1712,'CEMIUP0.9 Raw'!$B$6:$B$1712,$J45,'CEMIUP0.9 Raw'!$H$6:$H$1712,"Y")</f>
        <v>646.736842105263</v>
      </c>
      <c r="G45" s="19" t="n">
        <f aca="false">SUMIFS('SALES Raw'!$F$6:$F$4467,'SALES Raw'!$J$6:$J$4467,$J45,'SALES Raw'!$K$6:$K$4467,"Y")*$H$4+SUMIFS('CEMIUP0.9 Raw'!$G$6:$G$1712,'CEMIUP0.9 Raw'!$B$6:$B$1712,$J45,'CEMIUP0.9 Raw'!$H$6:$H$1712,"Y")</f>
        <v>47472.2286315789</v>
      </c>
      <c r="H45" s="18" t="s">
        <v>42</v>
      </c>
      <c r="I45" s="18" t="s">
        <v>43</v>
      </c>
      <c r="J45" s="18" t="n">
        <v>4403041</v>
      </c>
    </row>
    <row r="46" customFormat="false" ht="15" hidden="false" customHeight="false" outlineLevel="0" collapsed="false">
      <c r="A46" s="18" t="n">
        <f aca="false">IF(ISNUMBER($J46),$J46,"")</f>
        <v>4414000</v>
      </c>
      <c r="B46" s="18" t="str">
        <f aca="false">IFERROR(INDEX('SALES Raw'!$B$6:$B$4467,MATCH($J46,'SALES Raw'!$J$6:$J$4467,0)),IFERROR(INDEX('CEMIUP0.9 Raw'!$B$6:$B$1712,MATCH($J46,'CEMIUP0.9 Raw'!$B$6:$B$1712,0)),$J46))</f>
        <v>FC342 0</v>
      </c>
      <c r="C46" s="18" t="str">
        <f aca="false">IF(ISNUMBER($J46),IFERROR(INDEX('TRANS'!$C:$C,MATCH($J46,'TRANS'!$B:$B,0)),IFERROR(INDEX('Catalog'!$B:$B,MATCH($J46,'Catalog'!$A:$A,0)),$B46)),$B46)</f>
        <v>FC342-נוזל לציפורן חודרנית</v>
      </c>
      <c r="D46" s="19" t="n">
        <f aca="false">SUMIFS('SALES Raw'!$C$6:$C$4467,'SALES Raw'!$J$6:$J$4467,$J46,'SALES Raw'!$K$6:$K$4467,"Y")+SUMIFS('CEMIUP0.9 Raw'!$D$6:$D$1712,'CEMIUP0.9 Raw'!$B$6:$B$1712,$J46,'CEMIUP0.9 Raw'!$H$6:$H$1712,"Y")</f>
        <v>819</v>
      </c>
      <c r="E46" s="19" t="n">
        <f aca="false">SUMIFS('SALES Raw'!$D$6:$D$4467,'SALES Raw'!$J$6:$J$4467,$J46,'SALES Raw'!$K$6:$K$4467,"Y")+SUMIFS('CEMIUP0.9 Raw'!$E$6:$E$1712,'CEMIUP0.9 Raw'!$B$6:$B$1712,$J46,'CEMIUP0.9 Raw'!$H$6:$H$1712,"Y")</f>
        <v>26116.182</v>
      </c>
      <c r="F46" s="19" t="n">
        <f aca="false">SUMIFS('SALES Raw'!$E$6:$E$4467,'SALES Raw'!$J$6:$J$4467,$J46,'SALES Raw'!$K$6:$K$4467,"Y")*$H$4+SUMIFS('CEMIUP0.9 Raw'!$F$6:$F$1712,'CEMIUP0.9 Raw'!$B$6:$B$1712,$J46,'CEMIUP0.9 Raw'!$H$6:$H$1712,"Y")</f>
        <v>644.210526315789</v>
      </c>
      <c r="G46" s="19" t="n">
        <f aca="false">SUMIFS('SALES Raw'!$F$6:$F$4467,'SALES Raw'!$J$6:$J$4467,$J46,'SALES Raw'!$K$6:$K$4467,"Y")*$H$4+SUMIFS('CEMIUP0.9 Raw'!$G$6:$G$1712,'CEMIUP0.9 Raw'!$B$6:$B$1712,$J46,'CEMIUP0.9 Raw'!$H$6:$H$1712,"Y")</f>
        <v>23178.3612631579</v>
      </c>
      <c r="H46" s="18" t="s">
        <v>43</v>
      </c>
      <c r="I46" s="18" t="s">
        <v>42</v>
      </c>
      <c r="J46" s="18" t="n">
        <v>4414000</v>
      </c>
    </row>
    <row r="47" customFormat="false" ht="15" hidden="false" customHeight="false" outlineLevel="0" collapsed="false">
      <c r="A47" s="18" t="n">
        <f aca="false">IF(ISNUMBER($J47),$J47,"")</f>
        <v>4413093</v>
      </c>
      <c r="B47" s="18" t="str">
        <f aca="false">IFERROR(INDEX('SALES Raw'!$B$6:$B$4467,MATCH($J47,'SALES Raw'!$J$6:$J$4467,0)),IFERROR(INDEX('CEMIUP0.9 Raw'!$B$6:$B$1712,MATCH($J47,'CEMIUP0.9 Raw'!$B$6:$B$1712,0)),$J47))</f>
        <v>45 M</v>
      </c>
      <c r="C47" s="18" t="str">
        <f aca="false">IF(ISNUMBER($J47),IFERROR(INDEX('TRANS'!$C:$C,MATCH($J47,'TRANS'!$B:$B,0)),IFERROR(INDEX('Catalog'!$B:$B,MATCH($J47,'Catalog'!$A:$A,0)),$B47)),$B47)</f>
        <v>45 M מגן ברך לבן</v>
      </c>
      <c r="D47" s="19" t="n">
        <f aca="false">SUMIFS('SALES Raw'!$C$6:$C$4467,'SALES Raw'!$J$6:$J$4467,$J47,'SALES Raw'!$K$6:$K$4467,"Y")+SUMIFS('CEMIUP0.9 Raw'!$D$6:$D$1712,'CEMIUP0.9 Raw'!$B$6:$B$1712,$J47,'CEMIUP0.9 Raw'!$H$6:$H$1712,"Y")</f>
        <v>807</v>
      </c>
      <c r="E47" s="19" t="n">
        <f aca="false">SUMIFS('SALES Raw'!$D$6:$D$4467,'SALES Raw'!$J$6:$J$4467,$J47,'SALES Raw'!$K$6:$K$4467,"Y")+SUMIFS('CEMIUP0.9 Raw'!$E$6:$E$1712,'CEMIUP0.9 Raw'!$B$6:$B$1712,$J47,'CEMIUP0.9 Raw'!$H$6:$H$1712,"Y")</f>
        <v>17168.11</v>
      </c>
      <c r="F47" s="19" t="n">
        <f aca="false">SUMIFS('SALES Raw'!$E$6:$E$4467,'SALES Raw'!$J$6:$J$4467,$J47,'SALES Raw'!$K$6:$K$4467,"Y")*$H$4+SUMIFS('CEMIUP0.9 Raw'!$F$6:$F$1712,'CEMIUP0.9 Raw'!$B$6:$B$1712,$J47,'CEMIUP0.9 Raw'!$H$6:$H$1712,"Y")</f>
        <v>640.42105263158</v>
      </c>
      <c r="G47" s="19" t="n">
        <f aca="false">SUMIFS('SALES Raw'!$F$6:$F$4467,'SALES Raw'!$J$6:$J$4467,$J47,'SALES Raw'!$K$6:$K$4467,"Y")*$H$4+SUMIFS('CEMIUP0.9 Raw'!$G$6:$G$1712,'CEMIUP0.9 Raw'!$B$6:$B$1712,$J47,'CEMIUP0.9 Raw'!$H$6:$H$1712,"Y")</f>
        <v>13116.456</v>
      </c>
      <c r="H47" s="18" t="s">
        <v>48</v>
      </c>
      <c r="I47" s="18" t="s">
        <v>43</v>
      </c>
      <c r="J47" s="18" t="n">
        <v>4413093</v>
      </c>
    </row>
    <row r="48" customFormat="false" ht="15" hidden="false" customHeight="false" outlineLevel="0" collapsed="false">
      <c r="A48" s="18" t="n">
        <f aca="false">IF(ISNUMBER($J48),$J48,"")</f>
        <v>4409016</v>
      </c>
      <c r="B48" s="18" t="str">
        <f aca="false">IFERROR(INDEX('SALES Raw'!$B$6:$B$4467,MATCH($J48,'SALES Raw'!$J$6:$J$4467,0)),IFERROR(INDEX('CEMIUP0.9 Raw'!$B$6:$B$1712,MATCH($J48,'CEMIUP0.9 Raw'!$B$6:$B$1712,0)),$J48))</f>
        <v>808KT-C</v>
      </c>
      <c r="C48" s="18" t="str">
        <f aca="false">IF(ISNUMBER($J48),IFERROR(INDEX('TRANS'!$C:$C,MATCH($J48,'TRANS'!$B:$B,0)),IFERROR(INDEX('Catalog'!$B:$B,MATCH($J48,'Catalog'!$A:$A,0)),$B48)),$B48)</f>
        <v>808KT-C        טייפ קינזיולוגי</v>
      </c>
      <c r="D48" s="19" t="n">
        <f aca="false">SUMIFS('SALES Raw'!$C$6:$C$4467,'SALES Raw'!$J$6:$J$4467,$J48,'SALES Raw'!$K$6:$K$4467,"Y")+SUMIFS('CEMIUP0.9 Raw'!$D$6:$D$1712,'CEMIUP0.9 Raw'!$B$6:$B$1712,$J48,'CEMIUP0.9 Raw'!$H$6:$H$1712,"Y")</f>
        <v>856</v>
      </c>
      <c r="E48" s="19" t="n">
        <f aca="false">SUMIFS('SALES Raw'!$D$6:$D$4467,'SALES Raw'!$J$6:$J$4467,$J48,'SALES Raw'!$K$6:$K$4467,"Y")+SUMIFS('CEMIUP0.9 Raw'!$E$6:$E$1712,'CEMIUP0.9 Raw'!$B$6:$B$1712,$J48,'CEMIUP0.9 Raw'!$H$6:$H$1712,"Y")</f>
        <v>25600.306</v>
      </c>
      <c r="F48" s="19" t="n">
        <f aca="false">SUMIFS('SALES Raw'!$E$6:$E$4467,'SALES Raw'!$J$6:$J$4467,$J48,'SALES Raw'!$K$6:$K$4467,"Y")*$H$4+SUMIFS('CEMIUP0.9 Raw'!$F$6:$F$1712,'CEMIUP0.9 Raw'!$B$6:$B$1712,$J48,'CEMIUP0.9 Raw'!$H$6:$H$1712,"Y")</f>
        <v>629.052631578948</v>
      </c>
      <c r="G48" s="19" t="n">
        <f aca="false">SUMIFS('SALES Raw'!$F$6:$F$4467,'SALES Raw'!$J$6:$J$4467,$J48,'SALES Raw'!$K$6:$K$4467,"Y")*$H$4+SUMIFS('CEMIUP0.9 Raw'!$G$6:$G$1712,'CEMIUP0.9 Raw'!$B$6:$B$1712,$J48,'CEMIUP0.9 Raw'!$H$6:$H$1712,"Y")</f>
        <v>19999.1456842105</v>
      </c>
      <c r="H48" s="18" t="s">
        <v>43</v>
      </c>
      <c r="I48" s="18" t="s">
        <v>48</v>
      </c>
      <c r="J48" s="18" t="n">
        <v>4409016</v>
      </c>
    </row>
    <row r="49" customFormat="false" ht="15" hidden="false" customHeight="false" outlineLevel="0" collapsed="false">
      <c r="A49" s="18" t="n">
        <f aca="false">IF(ISNUMBER($J49),$J49,"")</f>
        <v>4403045</v>
      </c>
      <c r="B49" s="18" t="str">
        <f aca="false">IFERROR(INDEX('SALES Raw'!$B$6:$B$4467,MATCH($J49,'SALES Raw'!$J$6:$J$4467,0)),IFERROR(INDEX('CEMIUP0.9 Raw'!$B$6:$B$1712,MATCH($J49,'CEMIUP0.9 Raw'!$B$6:$B$1712,0)),$J49))</f>
        <v>395B-43-46</v>
      </c>
      <c r="C49" s="18" t="str">
        <f aca="false">IF(ISNUMBER($J49),IFERROR(INDEX('TRANS'!$C:$C,MATCH($J49,'TRANS'!$B:$B,0)),IFERROR(INDEX('Catalog'!$B:$B,MATCH($J49,'Catalog'!$A:$A,0)),$B49)),$B49)</f>
        <v>395B גרבי קיץ אנטי בקטריא43-46</v>
      </c>
      <c r="D49" s="19" t="n">
        <f aca="false">SUMIFS('SALES Raw'!$C$6:$C$4467,'SALES Raw'!$J$6:$J$4467,$J49,'SALES Raw'!$K$6:$K$4467,"Y")+SUMIFS('CEMIUP0.9 Raw'!$D$6:$D$1712,'CEMIUP0.9 Raw'!$B$6:$B$1712,$J49,'CEMIUP0.9 Raw'!$H$6:$H$1712,"Y")</f>
        <v>0</v>
      </c>
      <c r="E49" s="19" t="n">
        <f aca="false">SUMIFS('SALES Raw'!$D$6:$D$4467,'SALES Raw'!$J$6:$J$4467,$J49,'SALES Raw'!$K$6:$K$4467,"Y")+SUMIFS('CEMIUP0.9 Raw'!$E$6:$E$1712,'CEMIUP0.9 Raw'!$B$6:$B$1712,$J49,'CEMIUP0.9 Raw'!$H$6:$H$1712,"Y")</f>
        <v>0</v>
      </c>
      <c r="F49" s="19" t="n">
        <f aca="false">SUMIFS('SALES Raw'!$E$6:$E$4467,'SALES Raw'!$J$6:$J$4467,$J49,'SALES Raw'!$K$6:$K$4467,"Y")*$H$4+SUMIFS('CEMIUP0.9 Raw'!$F$6:$F$1712,'CEMIUP0.9 Raw'!$B$6:$B$1712,$J49,'CEMIUP0.9 Raw'!$H$6:$H$1712,"Y")</f>
        <v>622.736842105263</v>
      </c>
      <c r="G49" s="19" t="n">
        <f aca="false">SUMIFS('SALES Raw'!$F$6:$F$4467,'SALES Raw'!$J$6:$J$4467,$J49,'SALES Raw'!$K$6:$K$4467,"Y")*$H$4+SUMIFS('CEMIUP0.9 Raw'!$G$6:$G$1712,'CEMIUP0.9 Raw'!$B$6:$B$1712,$J49,'CEMIUP0.9 Raw'!$H$6:$H$1712,"Y")</f>
        <v>22124.5427368421</v>
      </c>
      <c r="H49" s="18" t="s">
        <v>44</v>
      </c>
      <c r="I49" s="18" t="s">
        <v>42</v>
      </c>
      <c r="J49" s="18" t="n">
        <v>4403045</v>
      </c>
    </row>
    <row r="50" customFormat="false" ht="15" hidden="false" customHeight="false" outlineLevel="0" collapsed="false">
      <c r="A50" s="18" t="n">
        <f aca="false">IF(ISNUMBER($J50),$J50,"")</f>
        <v>4413348</v>
      </c>
      <c r="B50" s="18" t="str">
        <f aca="false">IFERROR(INDEX('SALES Raw'!$B$6:$B$4467,MATCH($J50,'SALES Raw'!$J$6:$J$4467,0)),IFERROR(INDEX('CEMIUP0.9 Raw'!$B$6:$B$1712,MATCH($J50,'CEMIUP0.9 Raw'!$B$6:$B$1712,0)),$J50))</f>
        <v>302M 0</v>
      </c>
      <c r="C50" s="18" t="str">
        <f aca="false">IF(ISNUMBER($J50),IFERROR(INDEX('TRANS'!$C:$C,MATCH($J50,'TRANS'!$B:$B,0)),IFERROR(INDEX('Catalog'!$B:$B,MATCH($J50,'Catalog'!$A:$A,0)),$B50)),$B50)</f>
        <v>302 מדרס ג'ל לגבר</v>
      </c>
      <c r="D50" s="19" t="n">
        <f aca="false">SUMIFS('SALES Raw'!$C$6:$C$4467,'SALES Raw'!$J$6:$J$4467,$J50,'SALES Raw'!$K$6:$K$4467,"Y")+SUMIFS('CEMIUP0.9 Raw'!$D$6:$D$1712,'CEMIUP0.9 Raw'!$B$6:$B$1712,$J50,'CEMIUP0.9 Raw'!$H$6:$H$1712,"Y")</f>
        <v>1102</v>
      </c>
      <c r="E50" s="19" t="n">
        <f aca="false">SUMIFS('SALES Raw'!$D$6:$D$4467,'SALES Raw'!$J$6:$J$4467,$J50,'SALES Raw'!$K$6:$K$4467,"Y")+SUMIFS('CEMIUP0.9 Raw'!$E$6:$E$1712,'CEMIUP0.9 Raw'!$B$6:$B$1712,$J50,'CEMIUP0.9 Raw'!$H$6:$H$1712,"Y")</f>
        <v>58156.592</v>
      </c>
      <c r="F50" s="19" t="n">
        <f aca="false">SUMIFS('SALES Raw'!$E$6:$E$4467,'SALES Raw'!$J$6:$J$4467,$J50,'SALES Raw'!$K$6:$K$4467,"Y")*$H$4+SUMIFS('CEMIUP0.9 Raw'!$F$6:$F$1712,'CEMIUP0.9 Raw'!$B$6:$B$1712,$J50,'CEMIUP0.9 Raw'!$H$6:$H$1712,"Y")</f>
        <v>616.421052631579</v>
      </c>
      <c r="G50" s="19" t="n">
        <f aca="false">SUMIFS('SALES Raw'!$F$6:$F$4467,'SALES Raw'!$J$6:$J$4467,$J50,'SALES Raw'!$K$6:$K$4467,"Y")*$H$4+SUMIFS('CEMIUP0.9 Raw'!$G$6:$G$1712,'CEMIUP0.9 Raw'!$B$6:$B$1712,$J50,'CEMIUP0.9 Raw'!$H$6:$H$1712,"Y")</f>
        <v>35100.9966315789</v>
      </c>
      <c r="H50" s="18" t="s">
        <v>43</v>
      </c>
      <c r="I50" s="18" t="s">
        <v>48</v>
      </c>
      <c r="J50" s="18" t="n">
        <v>4413348</v>
      </c>
    </row>
    <row r="51" customFormat="false" ht="15" hidden="false" customHeight="false" outlineLevel="0" collapsed="false">
      <c r="A51" s="18" t="n">
        <f aca="false">IF(ISNUMBER($J51),$J51,"")</f>
        <v>4411000</v>
      </c>
      <c r="B51" s="18" t="str">
        <f aca="false">IFERROR(INDEX('SALES Raw'!$B$6:$B$4467,MATCH($J51,'SALES Raw'!$J$6:$J$4467,0)),IFERROR(INDEX('CEMIUP0.9 Raw'!$B$6:$B$1712,MATCH($J51,'CEMIUP0.9 Raw'!$B$6:$B$1712,0)),$J51))</f>
        <v>362-L-R</v>
      </c>
      <c r="C51" s="18" t="str">
        <f aca="false">IF(ISNUMBER($J51),IFERROR(INDEX('TRANS'!$C:$C,MATCH($J51,'TRANS'!$B:$B,0)),IFERROR(INDEX('Catalog'!$B:$B,MATCH($J51,'Catalog'!$A:$A,0)),$B51)),$B51)</f>
        <v>כרית מטטרזלי סיליקון362</v>
      </c>
      <c r="D51" s="19" t="n">
        <f aca="false">SUMIFS('SALES Raw'!$C$6:$C$4467,'SALES Raw'!$J$6:$J$4467,$J51,'SALES Raw'!$K$6:$K$4467,"Y")+SUMIFS('CEMIUP0.9 Raw'!$D$6:$D$1712,'CEMIUP0.9 Raw'!$B$6:$B$1712,$J51,'CEMIUP0.9 Raw'!$H$6:$H$1712,"Y")</f>
        <v>636</v>
      </c>
      <c r="E51" s="19" t="n">
        <f aca="false">SUMIFS('SALES Raw'!$D$6:$D$4467,'SALES Raw'!$J$6:$J$4467,$J51,'SALES Raw'!$K$6:$K$4467,"Y")+SUMIFS('CEMIUP0.9 Raw'!$E$6:$E$1712,'CEMIUP0.9 Raw'!$B$6:$B$1712,$J51,'CEMIUP0.9 Raw'!$H$6:$H$1712,"Y")</f>
        <v>16466.006</v>
      </c>
      <c r="F51" s="19" t="n">
        <f aca="false">SUMIFS('SALES Raw'!$E$6:$E$4467,'SALES Raw'!$J$6:$J$4467,$J51,'SALES Raw'!$K$6:$K$4467,"Y")*$H$4+SUMIFS('CEMIUP0.9 Raw'!$F$6:$F$1712,'CEMIUP0.9 Raw'!$B$6:$B$1712,$J51,'CEMIUP0.9 Raw'!$H$6:$H$1712,"Y")</f>
        <v>610.105263157896</v>
      </c>
      <c r="G51" s="19" t="n">
        <f aca="false">SUMIFS('SALES Raw'!$F$6:$F$4467,'SALES Raw'!$J$6:$J$4467,$J51,'SALES Raw'!$K$6:$K$4467,"Y")*$H$4+SUMIFS('CEMIUP0.9 Raw'!$G$6:$G$1712,'CEMIUP0.9 Raw'!$B$6:$B$1712,$J51,'CEMIUP0.9 Raw'!$H$6:$H$1712,"Y")</f>
        <v>18384.8816842105</v>
      </c>
      <c r="H51" s="18" t="s">
        <v>43</v>
      </c>
      <c r="I51" s="18" t="s">
        <v>48</v>
      </c>
      <c r="J51" s="18" t="n">
        <v>4411000</v>
      </c>
    </row>
    <row r="52" customFormat="false" ht="15" hidden="false" customHeight="false" outlineLevel="0" collapsed="false">
      <c r="A52" s="18" t="n">
        <f aca="false">IF(ISNUMBER($J52),$J52,"")</f>
        <v>4415161</v>
      </c>
      <c r="B52" s="18" t="str">
        <f aca="false">IFERROR(INDEX('SALES Raw'!$B$6:$B$4467,MATCH($J52,'SALES Raw'!$J$6:$J$4467,0)),IFERROR(INDEX('CEMIUP0.9 Raw'!$B$6:$B$1712,MATCH($J52,'CEMIUP0.9 Raw'!$B$6:$B$1712,0)),$J52))</f>
        <v>238 M</v>
      </c>
      <c r="C52" s="18" t="str">
        <f aca="false">IF(ISNUMBER($J52),IFERROR(INDEX('TRANS'!$C:$C,MATCH($J52,'TRANS'!$B:$B,0)),IFERROR(INDEX('Catalog'!$B:$B,MATCH($J52,'Catalog'!$A:$A,0)),$B52)),$B52)</f>
        <v>238M סד ליישור אצבע</v>
      </c>
      <c r="D52" s="19" t="n">
        <f aca="false">SUMIFS('SALES Raw'!$C$6:$C$4467,'SALES Raw'!$J$6:$J$4467,$J52,'SALES Raw'!$K$6:$K$4467,"Y")+SUMIFS('CEMIUP0.9 Raw'!$D$6:$D$1712,'CEMIUP0.9 Raw'!$B$6:$B$1712,$J52,'CEMIUP0.9 Raw'!$H$6:$H$1712,"Y")</f>
        <v>535</v>
      </c>
      <c r="E52" s="19" t="n">
        <f aca="false">SUMIFS('SALES Raw'!$D$6:$D$4467,'SALES Raw'!$J$6:$J$4467,$J52,'SALES Raw'!$K$6:$K$4467,"Y")+SUMIFS('CEMIUP0.9 Raw'!$E$6:$E$1712,'CEMIUP0.9 Raw'!$B$6:$B$1712,$J52,'CEMIUP0.9 Raw'!$H$6:$H$1712,"Y")</f>
        <v>10013.888</v>
      </c>
      <c r="F52" s="19" t="n">
        <f aca="false">SUMIFS('SALES Raw'!$E$6:$E$4467,'SALES Raw'!$J$6:$J$4467,$J52,'SALES Raw'!$K$6:$K$4467,"Y")*$H$4+SUMIFS('CEMIUP0.9 Raw'!$F$6:$F$1712,'CEMIUP0.9 Raw'!$B$6:$B$1712,$J52,'CEMIUP0.9 Raw'!$H$6:$H$1712,"Y")</f>
        <v>610.105263157895</v>
      </c>
      <c r="G52" s="19" t="n">
        <f aca="false">SUMIFS('SALES Raw'!$F$6:$F$4467,'SALES Raw'!$J$6:$J$4467,$J52,'SALES Raw'!$K$6:$K$4467,"Y")*$H$4+SUMIFS('CEMIUP0.9 Raw'!$G$6:$G$1712,'CEMIUP0.9 Raw'!$B$6:$B$1712,$J52,'CEMIUP0.9 Raw'!$H$6:$H$1712,"Y")</f>
        <v>11832.8551578947</v>
      </c>
      <c r="H52" s="18" t="s">
        <v>43</v>
      </c>
      <c r="I52" s="18" t="s">
        <v>44</v>
      </c>
      <c r="J52" s="18" t="n">
        <v>4415161</v>
      </c>
    </row>
    <row r="53" customFormat="false" ht="15" hidden="false" customHeight="false" outlineLevel="0" collapsed="false">
      <c r="A53" s="18" t="n">
        <f aca="false">IF(ISNUMBER($J53),$J53,"")</f>
        <v>4413135</v>
      </c>
      <c r="B53" s="18" t="str">
        <f aca="false">IFERROR(INDEX('SALES Raw'!$B$6:$B$4467,MATCH($J53,'SALES Raw'!$J$6:$J$4467,0)),IFERROR(INDEX('CEMIUP0.9 Raw'!$B$6:$B$1712,MATCH($J53,'CEMIUP0.9 Raw'!$B$6:$B$1712,0)),$J53))</f>
        <v>85 L</v>
      </c>
      <c r="C53" s="18" t="str">
        <f aca="false">IF(ISNUMBER($J53),IFERROR(INDEX('TRANS'!$C:$C,MATCH($J53,'TRANS'!$B:$B,0)),IFERROR(INDEX('Catalog'!$B:$B,MATCH($J53,'Catalog'!$A:$A,0)),$B53)),$B53)</f>
        <v>85 L (מתלה ליד )כיס</v>
      </c>
      <c r="D53" s="19" t="n">
        <f aca="false">SUMIFS('SALES Raw'!$C$6:$C$4467,'SALES Raw'!$J$6:$J$4467,$J53,'SALES Raw'!$K$6:$K$4467,"Y")+SUMIFS('CEMIUP0.9 Raw'!$D$6:$D$1712,'CEMIUP0.9 Raw'!$B$6:$B$1712,$J53,'CEMIUP0.9 Raw'!$H$6:$H$1712,"Y")</f>
        <v>635</v>
      </c>
      <c r="E53" s="19" t="n">
        <f aca="false">SUMIFS('SALES Raw'!$D$6:$D$4467,'SALES Raw'!$J$6:$J$4467,$J53,'SALES Raw'!$K$6:$K$4467,"Y")+SUMIFS('CEMIUP0.9 Raw'!$E$6:$E$1712,'CEMIUP0.9 Raw'!$B$6:$B$1712,$J53,'CEMIUP0.9 Raw'!$H$6:$H$1712,"Y")</f>
        <v>26860.898</v>
      </c>
      <c r="F53" s="19" t="n">
        <f aca="false">SUMIFS('SALES Raw'!$E$6:$E$4467,'SALES Raw'!$J$6:$J$4467,$J53,'SALES Raw'!$K$6:$K$4467,"Y")*$H$4+SUMIFS('CEMIUP0.9 Raw'!$F$6:$F$1712,'CEMIUP0.9 Raw'!$B$6:$B$1712,$J53,'CEMIUP0.9 Raw'!$H$6:$H$1712,"Y")</f>
        <v>589.894736842105</v>
      </c>
      <c r="G53" s="19" t="n">
        <f aca="false">SUMIFS('SALES Raw'!$F$6:$F$4467,'SALES Raw'!$J$6:$J$4467,$J53,'SALES Raw'!$K$6:$K$4467,"Y")*$H$4+SUMIFS('CEMIUP0.9 Raw'!$G$6:$G$1712,'CEMIUP0.9 Raw'!$B$6:$B$1712,$J53,'CEMIUP0.9 Raw'!$H$6:$H$1712,"Y")</f>
        <v>24960.8804210526</v>
      </c>
      <c r="H53" s="18" t="s">
        <v>48</v>
      </c>
      <c r="I53" s="18" t="s">
        <v>43</v>
      </c>
      <c r="J53" s="18" t="n">
        <v>4413135</v>
      </c>
    </row>
    <row r="54" customFormat="false" ht="15" hidden="false" customHeight="false" outlineLevel="0" collapsed="false">
      <c r="A54" s="18" t="n">
        <f aca="false">IF(ISNUMBER($J54),$J54,"")</f>
        <v>4408099</v>
      </c>
      <c r="B54" s="18" t="str">
        <f aca="false">IFERROR(INDEX('SALES Raw'!$B$6:$B$4467,MATCH($J54,'SALES Raw'!$J$6:$J$4467,0)),IFERROR(INDEX('CEMIUP0.9 Raw'!$B$6:$B$1712,MATCH($J54,'CEMIUP0.9 Raw'!$B$6:$B$1712,0)),$J54))</f>
        <v>T25C 0</v>
      </c>
      <c r="C54" s="18" t="str">
        <f aca="false">IF(ISNUMBER($J54),IFERROR(INDEX('TRANS'!$C:$C,MATCH($J54,'TRANS'!$B:$B,0)),IFERROR(INDEX('Catalog'!$B:$B,MATCH($J54,'Catalog'!$A:$A,0)),$B54)),$B54)</f>
        <v>T25C-חבק יד אגודלי</v>
      </c>
      <c r="D54" s="19" t="n">
        <f aca="false">SUMIFS('SALES Raw'!$C$6:$C$4467,'SALES Raw'!$J$6:$J$4467,$J54,'SALES Raw'!$K$6:$K$4467,"Y")+SUMIFS('CEMIUP0.9 Raw'!$D$6:$D$1712,'CEMIUP0.9 Raw'!$B$6:$B$1712,$J54,'CEMIUP0.9 Raw'!$H$6:$H$1712,"Y")</f>
        <v>567</v>
      </c>
      <c r="E54" s="19" t="n">
        <f aca="false">SUMIFS('SALES Raw'!$D$6:$D$4467,'SALES Raw'!$J$6:$J$4467,$J54,'SALES Raw'!$K$6:$K$4467,"Y")+SUMIFS('CEMIUP0.9 Raw'!$E$6:$E$1712,'CEMIUP0.9 Raw'!$B$6:$B$1712,$J54,'CEMIUP0.9 Raw'!$H$6:$H$1712,"Y")</f>
        <v>23916.821</v>
      </c>
      <c r="F54" s="19" t="n">
        <f aca="false">SUMIFS('SALES Raw'!$E$6:$E$4467,'SALES Raw'!$J$6:$J$4467,$J54,'SALES Raw'!$K$6:$K$4467,"Y")*$H$4+SUMIFS('CEMIUP0.9 Raw'!$F$6:$F$1712,'CEMIUP0.9 Raw'!$B$6:$B$1712,$J54,'CEMIUP0.9 Raw'!$H$6:$H$1712,"Y")</f>
        <v>533.052631578948</v>
      </c>
      <c r="G54" s="19" t="n">
        <f aca="false">SUMIFS('SALES Raw'!$F$6:$F$4467,'SALES Raw'!$J$6:$J$4467,$J54,'SALES Raw'!$K$6:$K$4467,"Y")*$H$4+SUMIFS('CEMIUP0.9 Raw'!$G$6:$G$1712,'CEMIUP0.9 Raw'!$B$6:$B$1712,$J54,'CEMIUP0.9 Raw'!$H$6:$H$1712,"Y")</f>
        <v>22626.8235789474</v>
      </c>
      <c r="H54" s="18" t="s">
        <v>43</v>
      </c>
      <c r="I54" s="18" t="s">
        <v>44</v>
      </c>
      <c r="J54" s="18" t="n">
        <v>4408099</v>
      </c>
    </row>
    <row r="55" customFormat="false" ht="15" hidden="false" customHeight="false" outlineLevel="0" collapsed="false">
      <c r="A55" s="18" t="n">
        <f aca="false">IF(ISNUMBER($J55),$J55,"")</f>
        <v>4401000</v>
      </c>
      <c r="B55" s="18" t="str">
        <f aca="false">IFERROR(INDEX('SALES Raw'!$B$6:$B$4467,MATCH($J55,'SALES Raw'!$J$6:$J$4467,0)),IFERROR(INDEX('CEMIUP0.9 Raw'!$B$6:$B$1712,MATCH($J55,'CEMIUP0.9 Raw'!$B$6:$B$1712,0)),$J55))</f>
        <v>369-S-L</v>
      </c>
      <c r="C55" s="18" t="str">
        <f aca="false">IF(ISNUMBER($J55),IFERROR(INDEX('TRANS'!$C:$C,MATCH($J55,'TRANS'!$B:$B,0)),IFERROR(INDEX('Catalog'!$B:$B,MATCH($J55,'Catalog'!$A:$A,0)),$B55)),$B55)</f>
        <v>369  S-L אצבעון מסיליקון יחידה</v>
      </c>
      <c r="D55" s="19" t="n">
        <f aca="false">SUMIFS('SALES Raw'!$C$6:$C$4467,'SALES Raw'!$J$6:$J$4467,$J55,'SALES Raw'!$K$6:$K$4467,"Y")+SUMIFS('CEMIUP0.9 Raw'!$D$6:$D$1712,'CEMIUP0.9 Raw'!$B$6:$B$1712,$J55,'CEMIUP0.9 Raw'!$H$6:$H$1712,"Y")</f>
        <v>692</v>
      </c>
      <c r="E55" s="19" t="n">
        <f aca="false">SUMIFS('SALES Raw'!$D$6:$D$4467,'SALES Raw'!$J$6:$J$4467,$J55,'SALES Raw'!$K$6:$K$4467,"Y")+SUMIFS('CEMIUP0.9 Raw'!$E$6:$E$1712,'CEMIUP0.9 Raw'!$B$6:$B$1712,$J55,'CEMIUP0.9 Raw'!$H$6:$H$1712,"Y")</f>
        <v>13920.663</v>
      </c>
      <c r="F55" s="19" t="n">
        <f aca="false">SUMIFS('SALES Raw'!$E$6:$E$4467,'SALES Raw'!$J$6:$J$4467,$J55,'SALES Raw'!$K$6:$K$4467,"Y")*$H$4+SUMIFS('CEMIUP0.9 Raw'!$F$6:$F$1712,'CEMIUP0.9 Raw'!$B$6:$B$1712,$J55,'CEMIUP0.9 Raw'!$H$6:$H$1712,"Y")</f>
        <v>533.052631578947</v>
      </c>
      <c r="G55" s="19" t="n">
        <f aca="false">SUMIFS('SALES Raw'!$F$6:$F$4467,'SALES Raw'!$J$6:$J$4467,$J55,'SALES Raw'!$K$6:$K$4467,"Y")*$H$4+SUMIFS('CEMIUP0.9 Raw'!$G$6:$G$1712,'CEMIUP0.9 Raw'!$B$6:$B$1712,$J55,'CEMIUP0.9 Raw'!$H$6:$H$1712,"Y")</f>
        <v>10574.0197894737</v>
      </c>
      <c r="H55" s="18" t="s">
        <v>43</v>
      </c>
      <c r="I55" s="18" t="s">
        <v>48</v>
      </c>
      <c r="J55" s="18" t="n">
        <v>4401000</v>
      </c>
    </row>
    <row r="56" customFormat="false" ht="15" hidden="false" customHeight="false" outlineLevel="0" collapsed="false">
      <c r="A56" s="18" t="n">
        <f aca="false">IF(ISNUMBER($J56),$J56,"")</f>
        <v>4413095</v>
      </c>
      <c r="B56" s="18" t="str">
        <f aca="false">IFERROR(INDEX('SALES Raw'!$B$6:$B$4467,MATCH($J56,'SALES Raw'!$J$6:$J$4467,0)),IFERROR(INDEX('CEMIUP0.9 Raw'!$B$6:$B$1712,MATCH($J56,'CEMIUP0.9 Raw'!$B$6:$B$1712,0)),$J56))</f>
        <v>45 XL</v>
      </c>
      <c r="C56" s="18" t="str">
        <f aca="false">IF(ISNUMBER($J56),IFERROR(INDEX('TRANS'!$C:$C,MATCH($J56,'TRANS'!$B:$B,0)),IFERROR(INDEX('Catalog'!$B:$B,MATCH($J56,'Catalog'!$A:$A,0)),$B56)),$B56)</f>
        <v>45 XL מגן ברך לבן</v>
      </c>
      <c r="D56" s="19" t="n">
        <f aca="false">SUMIFS('SALES Raw'!$C$6:$C$4467,'SALES Raw'!$J$6:$J$4467,$J56,'SALES Raw'!$K$6:$K$4467,"Y")+SUMIFS('CEMIUP0.9 Raw'!$D$6:$D$1712,'CEMIUP0.9 Raw'!$B$6:$B$1712,$J56,'CEMIUP0.9 Raw'!$H$6:$H$1712,"Y")</f>
        <v>663</v>
      </c>
      <c r="E56" s="19" t="n">
        <f aca="false">SUMIFS('SALES Raw'!$D$6:$D$4467,'SALES Raw'!$J$6:$J$4467,$J56,'SALES Raw'!$K$6:$K$4467,"Y")+SUMIFS('CEMIUP0.9 Raw'!$E$6:$E$1712,'CEMIUP0.9 Raw'!$B$6:$B$1712,$J56,'CEMIUP0.9 Raw'!$H$6:$H$1712,"Y")</f>
        <v>14145.277</v>
      </c>
      <c r="F56" s="19" t="n">
        <f aca="false">SUMIFS('SALES Raw'!$E$6:$E$4467,'SALES Raw'!$J$6:$J$4467,$J56,'SALES Raw'!$K$6:$K$4467,"Y")*$H$4+SUMIFS('CEMIUP0.9 Raw'!$F$6:$F$1712,'CEMIUP0.9 Raw'!$B$6:$B$1712,$J56,'CEMIUP0.9 Raw'!$H$6:$H$1712,"Y")</f>
        <v>510.315789473684</v>
      </c>
      <c r="G56" s="19" t="n">
        <f aca="false">SUMIFS('SALES Raw'!$F$6:$F$4467,'SALES Raw'!$J$6:$J$4467,$J56,'SALES Raw'!$K$6:$K$4467,"Y")*$H$4+SUMIFS('CEMIUP0.9 Raw'!$G$6:$G$1712,'CEMIUP0.9 Raw'!$B$6:$B$1712,$J56,'CEMIUP0.9 Raw'!$H$6:$H$1712,"Y")</f>
        <v>10667.1536842105</v>
      </c>
      <c r="H56" s="18" t="s">
        <v>48</v>
      </c>
      <c r="I56" s="18" t="s">
        <v>43</v>
      </c>
      <c r="J56" s="18" t="n">
        <v>4413095</v>
      </c>
    </row>
    <row r="57" customFormat="false" ht="15" hidden="false" customHeight="false" outlineLevel="0" collapsed="false">
      <c r="A57" s="18" t="n">
        <f aca="false">IF(ISNUMBER($J57),$J57,"")</f>
        <v>4415162</v>
      </c>
      <c r="B57" s="18" t="str">
        <f aca="false">IFERROR(INDEX('SALES Raw'!$B$6:$B$4467,MATCH($J57,'SALES Raw'!$J$6:$J$4467,0)),IFERROR(INDEX('CEMIUP0.9 Raw'!$B$6:$B$1712,MATCH($J57,'CEMIUP0.9 Raw'!$B$6:$B$1712,0)),$J57))</f>
        <v>238 L</v>
      </c>
      <c r="C57" s="18" t="str">
        <f aca="false">IF(ISNUMBER($J57),IFERROR(INDEX('TRANS'!$C:$C,MATCH($J57,'TRANS'!$B:$B,0)),IFERROR(INDEX('Catalog'!$B:$B,MATCH($J57,'Catalog'!$A:$A,0)),$B57)),$B57)</f>
        <v>238L סד ליישור אצבע</v>
      </c>
      <c r="D57" s="19" t="n">
        <f aca="false">SUMIFS('SALES Raw'!$C$6:$C$4467,'SALES Raw'!$J$6:$J$4467,$J57,'SALES Raw'!$K$6:$K$4467,"Y")+SUMIFS('CEMIUP0.9 Raw'!$D$6:$D$1712,'CEMIUP0.9 Raw'!$B$6:$B$1712,$J57,'CEMIUP0.9 Raw'!$H$6:$H$1712,"Y")</f>
        <v>517</v>
      </c>
      <c r="E57" s="19" t="n">
        <f aca="false">SUMIFS('SALES Raw'!$D$6:$D$4467,'SALES Raw'!$J$6:$J$4467,$J57,'SALES Raw'!$K$6:$K$4467,"Y")+SUMIFS('CEMIUP0.9 Raw'!$E$6:$E$1712,'CEMIUP0.9 Raw'!$B$6:$B$1712,$J57,'CEMIUP0.9 Raw'!$H$6:$H$1712,"Y")</f>
        <v>9708.218</v>
      </c>
      <c r="F57" s="19" t="n">
        <f aca="false">SUMIFS('SALES Raw'!$E$6:$E$4467,'SALES Raw'!$J$6:$J$4467,$J57,'SALES Raw'!$K$6:$K$4467,"Y")*$H$4+SUMIFS('CEMIUP0.9 Raw'!$F$6:$F$1712,'CEMIUP0.9 Raw'!$B$6:$B$1712,$J57,'CEMIUP0.9 Raw'!$H$6:$H$1712,"Y")</f>
        <v>506.526315789474</v>
      </c>
      <c r="G57" s="19" t="n">
        <f aca="false">SUMIFS('SALES Raw'!$F$6:$F$4467,'SALES Raw'!$J$6:$J$4467,$J57,'SALES Raw'!$K$6:$K$4467,"Y")*$H$4+SUMIFS('CEMIUP0.9 Raw'!$G$6:$G$1712,'CEMIUP0.9 Raw'!$B$6:$B$1712,$J57,'CEMIUP0.9 Raw'!$H$6:$H$1712,"Y")</f>
        <v>9513.37389473685</v>
      </c>
      <c r="H57" s="18" t="s">
        <v>43</v>
      </c>
      <c r="I57" s="18" t="s">
        <v>44</v>
      </c>
      <c r="J57" s="18" t="n">
        <v>4415162</v>
      </c>
    </row>
    <row r="58" customFormat="false" ht="15" hidden="false" customHeight="false" outlineLevel="0" collapsed="false">
      <c r="A58" s="18" t="n">
        <f aca="false">IF(ISNUMBER($J58),$J58,"")</f>
        <v>4401002</v>
      </c>
      <c r="B58" s="18" t="str">
        <f aca="false">IFERROR(INDEX('SALES Raw'!$B$6:$B$4467,MATCH($J58,'SALES Raw'!$J$6:$J$4467,0)),IFERROR(INDEX('CEMIUP0.9 Raw'!$B$6:$B$1712,MATCH($J58,'CEMIUP0.9 Raw'!$B$6:$B$1712,0)),$J58))</f>
        <v>PD344 0</v>
      </c>
      <c r="C58" s="18" t="str">
        <f aca="false">IF(ISNUMBER($J58),IFERROR(INDEX('TRANS'!$C:$C,MATCH($J58,'TRANS'!$B:$B,0)),IFERROR(INDEX('Catalog'!$B:$B,MATCH($J58,'Catalog'!$A:$A,0)),$B58)),$B58)</f>
        <v>PD 344-אבן טבעית להסרת עור קשה</v>
      </c>
      <c r="D58" s="19" t="n">
        <f aca="false">SUMIFS('SALES Raw'!$C$6:$C$4467,'SALES Raw'!$J$6:$J$4467,$J58,'SALES Raw'!$K$6:$K$4467,"Y")+SUMIFS('CEMIUP0.9 Raw'!$D$6:$D$1712,'CEMIUP0.9 Raw'!$B$6:$B$1712,$J58,'CEMIUP0.9 Raw'!$H$6:$H$1712,"Y")</f>
        <v>618</v>
      </c>
      <c r="E58" s="19" t="n">
        <f aca="false">SUMIFS('SALES Raw'!$D$6:$D$4467,'SALES Raw'!$J$6:$J$4467,$J58,'SALES Raw'!$K$6:$K$4467,"Y")+SUMIFS('CEMIUP0.9 Raw'!$E$6:$E$1712,'CEMIUP0.9 Raw'!$B$6:$B$1712,$J58,'CEMIUP0.9 Raw'!$H$6:$H$1712,"Y")</f>
        <v>4210.179</v>
      </c>
      <c r="F58" s="19" t="n">
        <f aca="false">SUMIFS('SALES Raw'!$E$6:$E$4467,'SALES Raw'!$J$6:$J$4467,$J58,'SALES Raw'!$K$6:$K$4467,"Y")*$H$4+SUMIFS('CEMIUP0.9 Raw'!$F$6:$F$1712,'CEMIUP0.9 Raw'!$B$6:$B$1712,$J58,'CEMIUP0.9 Raw'!$H$6:$H$1712,"Y")</f>
        <v>505.263157894737</v>
      </c>
      <c r="G58" s="19" t="n">
        <f aca="false">SUMIFS('SALES Raw'!$F$6:$F$4467,'SALES Raw'!$J$6:$J$4467,$J58,'SALES Raw'!$K$6:$K$4467,"Y")*$H$4+SUMIFS('CEMIUP0.9 Raw'!$G$6:$G$1712,'CEMIUP0.9 Raw'!$B$6:$B$1712,$J58,'CEMIUP0.9 Raw'!$H$6:$H$1712,"Y")</f>
        <v>3474.13642105264</v>
      </c>
      <c r="H58" s="18" t="s">
        <v>48</v>
      </c>
      <c r="I58" s="18" t="s">
        <v>43</v>
      </c>
      <c r="J58" s="18" t="n">
        <v>4401002</v>
      </c>
    </row>
    <row r="59" customFormat="false" ht="15" hidden="false" customHeight="false" outlineLevel="0" collapsed="false">
      <c r="A59" s="18" t="n">
        <f aca="false">IF(ISNUMBER($J59),$J59,"")</f>
        <v>4413326</v>
      </c>
      <c r="B59" s="18" t="str">
        <f aca="false">IFERROR(INDEX('SALES Raw'!$B$6:$B$4467,MATCH($J59,'SALES Raw'!$J$6:$J$4467,0)),IFERROR(INDEX('CEMIUP0.9 Raw'!$B$6:$B$1712,MATCH($J59,'CEMIUP0.9 Raw'!$B$6:$B$1712,0)),$J59))</f>
        <v>AC37 0</v>
      </c>
      <c r="C59" s="18" t="str">
        <f aca="false">IF(ISNUMBER($J59),IFERROR(INDEX('TRANS'!$C:$C,MATCH($J59,'TRANS'!$B:$B,0)),IFERROR(INDEX('Catalog'!$B:$B,MATCH($J59,'Catalog'!$A:$A,0)),$B59)),$B59)</f>
        <v>AC37 מגן קרסול נושם</v>
      </c>
      <c r="D59" s="19" t="n">
        <f aca="false">SUMIFS('SALES Raw'!$C$6:$C$4467,'SALES Raw'!$J$6:$J$4467,$J59,'SALES Raw'!$K$6:$K$4467,"Y")+SUMIFS('CEMIUP0.9 Raw'!$D$6:$D$1712,'CEMIUP0.9 Raw'!$B$6:$B$1712,$J59,'CEMIUP0.9 Raw'!$H$6:$H$1712,"Y")</f>
        <v>440</v>
      </c>
      <c r="E59" s="19" t="n">
        <f aca="false">SUMIFS('SALES Raw'!$D$6:$D$4467,'SALES Raw'!$J$6:$J$4467,$J59,'SALES Raw'!$K$6:$K$4467,"Y")+SUMIFS('CEMIUP0.9 Raw'!$E$6:$E$1712,'CEMIUP0.9 Raw'!$B$6:$B$1712,$J59,'CEMIUP0.9 Raw'!$H$6:$H$1712,"Y")</f>
        <v>13455.617</v>
      </c>
      <c r="F59" s="19" t="n">
        <f aca="false">SUMIFS('SALES Raw'!$E$6:$E$4467,'SALES Raw'!$J$6:$J$4467,$J59,'SALES Raw'!$K$6:$K$4467,"Y")*$H$4+SUMIFS('CEMIUP0.9 Raw'!$F$6:$F$1712,'CEMIUP0.9 Raw'!$B$6:$B$1712,$J59,'CEMIUP0.9 Raw'!$H$6:$H$1712,"Y")</f>
        <v>498.947368421053</v>
      </c>
      <c r="G59" s="19" t="n">
        <f aca="false">SUMIFS('SALES Raw'!$F$6:$F$4467,'SALES Raw'!$J$6:$J$4467,$J59,'SALES Raw'!$K$6:$K$4467,"Y")*$H$4+SUMIFS('CEMIUP0.9 Raw'!$G$6:$G$1712,'CEMIUP0.9 Raw'!$B$6:$B$1712,$J59,'CEMIUP0.9 Raw'!$H$6:$H$1712,"Y")</f>
        <v>16273.2252631579</v>
      </c>
      <c r="H59" s="18" t="s">
        <v>43</v>
      </c>
      <c r="I59" s="18" t="s">
        <v>42</v>
      </c>
      <c r="J59" s="18" t="n">
        <v>4413326</v>
      </c>
    </row>
    <row r="60" customFormat="false" ht="15" hidden="false" customHeight="false" outlineLevel="0" collapsed="false">
      <c r="A60" s="18" t="n">
        <f aca="false">IF(ISNUMBER($J60),$J60,"")</f>
        <v>4402007</v>
      </c>
      <c r="B60" s="18" t="str">
        <f aca="false">IFERROR(INDEX('SALES Raw'!$B$6:$B$4467,MATCH($J60,'SALES Raw'!$J$6:$J$4467,0)),IFERROR(INDEX('CEMIUP0.9 Raw'!$B$6:$B$1712,MATCH($J60,'CEMIUP0.9 Raw'!$B$6:$B$1712,0)),$J60))</f>
        <v>320 0</v>
      </c>
      <c r="C60" s="18" t="str">
        <f aca="false">IF(ISNUMBER($J60),IFERROR(INDEX('TRANS'!$C:$C,MATCH($J60,'TRANS'!$B:$B,0)),IFERROR(INDEX('Catalog'!$B:$B,MATCH($J60,'Catalog'!$A:$A,0)),$B60)),$B60)</f>
        <v>320 בליסטר פלסטר</v>
      </c>
      <c r="D60" s="19" t="n">
        <f aca="false">SUMIFS('SALES Raw'!$C$6:$C$4467,'SALES Raw'!$J$6:$J$4467,$J60,'SALES Raw'!$K$6:$K$4467,"Y")+SUMIFS('CEMIUP0.9 Raw'!$D$6:$D$1712,'CEMIUP0.9 Raw'!$B$6:$B$1712,$J60,'CEMIUP0.9 Raw'!$H$6:$H$1712,"Y")</f>
        <v>704</v>
      </c>
      <c r="E60" s="19" t="n">
        <f aca="false">SUMIFS('SALES Raw'!$D$6:$D$4467,'SALES Raw'!$J$6:$J$4467,$J60,'SALES Raw'!$K$6:$K$4467,"Y")+SUMIFS('CEMIUP0.9 Raw'!$E$6:$E$1712,'CEMIUP0.9 Raw'!$B$6:$B$1712,$J60,'CEMIUP0.9 Raw'!$H$6:$H$1712,"Y")</f>
        <v>11631.506</v>
      </c>
      <c r="F60" s="19" t="n">
        <f aca="false">SUMIFS('SALES Raw'!$E$6:$E$4467,'SALES Raw'!$J$6:$J$4467,$J60,'SALES Raw'!$K$6:$K$4467,"Y")*$H$4+SUMIFS('CEMIUP0.9 Raw'!$F$6:$F$1712,'CEMIUP0.9 Raw'!$B$6:$B$1712,$J60,'CEMIUP0.9 Raw'!$H$6:$H$1712,"Y")</f>
        <v>472.421052631579</v>
      </c>
      <c r="G60" s="19" t="n">
        <f aca="false">SUMIFS('SALES Raw'!$F$6:$F$4467,'SALES Raw'!$J$6:$J$4467,$J60,'SALES Raw'!$K$6:$K$4467,"Y")*$H$4+SUMIFS('CEMIUP0.9 Raw'!$G$6:$G$1712,'CEMIUP0.9 Raw'!$B$6:$B$1712,$J60,'CEMIUP0.9 Raw'!$H$6:$H$1712,"Y")</f>
        <v>7836.16168421053</v>
      </c>
      <c r="H60" s="18" t="s">
        <v>43</v>
      </c>
      <c r="I60" s="18" t="s">
        <v>48</v>
      </c>
      <c r="J60" s="18" t="n">
        <v>4402007</v>
      </c>
    </row>
    <row r="61" customFormat="false" ht="15" hidden="false" customHeight="false" outlineLevel="0" collapsed="false">
      <c r="A61" s="18" t="n">
        <f aca="false">IF(ISNUMBER($J61),$J61,"")</f>
        <v>4408218</v>
      </c>
      <c r="B61" s="18" t="str">
        <f aca="false">IFERROR(INDEX('SALES Raw'!$B$6:$B$4467,MATCH($J61,'SALES Raw'!$J$6:$J$4467,0)),IFERROR(INDEX('CEMIUP0.9 Raw'!$B$6:$B$1712,MATCH($J61,'CEMIUP0.9 Raw'!$B$6:$B$1712,0)),$J61))</f>
        <v>078 XL</v>
      </c>
      <c r="C61" s="18" t="str">
        <f aca="false">IF(ISNUMBER($J61),IFERROR(INDEX('TRANS'!$C:$C,MATCH($J61,'TRANS'!$B:$B,0)),IFERROR(INDEX('Catalog'!$B:$B,MATCH($J61,'Catalog'!$A:$A,0)),$B61)),$B61)</f>
        <v>078XL חגורת גב +סגירה כפולה</v>
      </c>
      <c r="D61" s="19" t="n">
        <f aca="false">SUMIFS('SALES Raw'!$C$6:$C$4467,'SALES Raw'!$J$6:$J$4467,$J61,'SALES Raw'!$K$6:$K$4467,"Y")+SUMIFS('CEMIUP0.9 Raw'!$D$6:$D$1712,'CEMIUP0.9 Raw'!$B$6:$B$1712,$J61,'CEMIUP0.9 Raw'!$H$6:$H$1712,"Y")</f>
        <v>375</v>
      </c>
      <c r="E61" s="19" t="n">
        <f aca="false">SUMIFS('SALES Raw'!$D$6:$D$4467,'SALES Raw'!$J$6:$J$4467,$J61,'SALES Raw'!$K$6:$K$4467,"Y")+SUMIFS('CEMIUP0.9 Raw'!$E$6:$E$1712,'CEMIUP0.9 Raw'!$B$6:$B$1712,$J61,'CEMIUP0.9 Raw'!$H$6:$H$1712,"Y")</f>
        <v>36838.752</v>
      </c>
      <c r="F61" s="19" t="n">
        <f aca="false">SUMIFS('SALES Raw'!$E$6:$E$4467,'SALES Raw'!$J$6:$J$4467,$J61,'SALES Raw'!$K$6:$K$4467,"Y")*$H$4+SUMIFS('CEMIUP0.9 Raw'!$F$6:$F$1712,'CEMIUP0.9 Raw'!$B$6:$B$1712,$J61,'CEMIUP0.9 Raw'!$H$6:$H$1712,"Y")</f>
        <v>466.105263157895</v>
      </c>
      <c r="G61" s="19" t="n">
        <f aca="false">SUMIFS('SALES Raw'!$F$6:$F$4467,'SALES Raw'!$J$6:$J$4467,$J61,'SALES Raw'!$K$6:$K$4467,"Y")*$H$4+SUMIFS('CEMIUP0.9 Raw'!$G$6:$G$1712,'CEMIUP0.9 Raw'!$B$6:$B$1712,$J61,'CEMIUP0.9 Raw'!$H$6:$H$1712,"Y")</f>
        <v>46185.8387368421</v>
      </c>
      <c r="H61" s="18" t="s">
        <v>48</v>
      </c>
      <c r="I61" s="18" t="s">
        <v>53</v>
      </c>
      <c r="J61" s="18" t="n">
        <v>4408218</v>
      </c>
    </row>
    <row r="62" customFormat="false" ht="15" hidden="false" customHeight="false" outlineLevel="0" collapsed="false">
      <c r="A62" s="18" t="n">
        <f aca="false">IF(ISNUMBER($J62),$J62,"")</f>
        <v>4415027</v>
      </c>
      <c r="B62" s="18" t="str">
        <f aca="false">IFERROR(INDEX('SALES Raw'!$B$6:$B$4467,MATCH($J62,'SALES Raw'!$J$6:$J$4467,0)),IFERROR(INDEX('CEMIUP0.9 Raw'!$B$6:$B$1712,MATCH($J62,'CEMIUP0.9 Raw'!$B$6:$B$1712,0)),$J62))</f>
        <v>AC27R 0</v>
      </c>
      <c r="C62" s="18" t="str">
        <f aca="false">IF(ISNUMBER($J62),IFERROR(INDEX('TRANS'!$C:$C,MATCH($J62,'TRANS'!$B:$B,0)),IFERROR(INDEX('Catalog'!$B:$B,MATCH($J62,'Catalog'!$A:$A,0)),$B62)),$B62)</f>
        <v>AC-27R סד לש.כף יד ימין</v>
      </c>
      <c r="D62" s="19" t="n">
        <f aca="false">SUMIFS('SALES Raw'!$C$6:$C$4467,'SALES Raw'!$J$6:$J$4467,$J62,'SALES Raw'!$K$6:$K$4467,"Y")+SUMIFS('CEMIUP0.9 Raw'!$D$6:$D$1712,'CEMIUP0.9 Raw'!$B$6:$B$1712,$J62,'CEMIUP0.9 Raw'!$H$6:$H$1712,"Y")</f>
        <v>471</v>
      </c>
      <c r="E62" s="19" t="n">
        <f aca="false">SUMIFS('SALES Raw'!$D$6:$D$4467,'SALES Raw'!$J$6:$J$4467,$J62,'SALES Raw'!$K$6:$K$4467,"Y")+SUMIFS('CEMIUP0.9 Raw'!$E$6:$E$1712,'CEMIUP0.9 Raw'!$B$6:$B$1712,$J62,'CEMIUP0.9 Raw'!$H$6:$H$1712,"Y")</f>
        <v>18535.297</v>
      </c>
      <c r="F62" s="19" t="n">
        <f aca="false">SUMIFS('SALES Raw'!$E$6:$E$4467,'SALES Raw'!$J$6:$J$4467,$J62,'SALES Raw'!$K$6:$K$4467,"Y")*$H$4+SUMIFS('CEMIUP0.9 Raw'!$F$6:$F$1712,'CEMIUP0.9 Raw'!$B$6:$B$1712,$J62,'CEMIUP0.9 Raw'!$H$6:$H$1712,"Y")</f>
        <v>462.315789473685</v>
      </c>
      <c r="G62" s="19" t="n">
        <f aca="false">SUMIFS('SALES Raw'!$F$6:$F$4467,'SALES Raw'!$J$6:$J$4467,$J62,'SALES Raw'!$K$6:$K$4467,"Y")*$H$4+SUMIFS('CEMIUP0.9 Raw'!$G$6:$G$1712,'CEMIUP0.9 Raw'!$B$6:$B$1712,$J62,'CEMIUP0.9 Raw'!$H$6:$H$1712,"Y")</f>
        <v>21773.5023157895</v>
      </c>
      <c r="H62" s="18" t="s">
        <v>43</v>
      </c>
      <c r="I62" s="18" t="s">
        <v>42</v>
      </c>
      <c r="J62" s="18" t="n">
        <v>4415027</v>
      </c>
    </row>
    <row r="63" customFormat="false" ht="15" hidden="false" customHeight="false" outlineLevel="0" collapsed="false">
      <c r="A63" s="18" t="str">
        <f aca="false">IF(ISNUMBER($J63),$J63,"")</f>
        <v/>
      </c>
      <c r="B63" s="18" t="str">
        <f aca="false">IFERROR(INDEX('SALES Raw'!$B$6:$B$4467,MATCH($J63,'SALES Raw'!$J$6:$J$4467,0)),IFERROR(INDEX('CEMIUP0.9 Raw'!$B$6:$B$1712,MATCH($J63,'CEMIUP0.9 Raw'!$B$6:$B$1712,0)),$J63))</f>
        <v>8011 0</v>
      </c>
      <c r="C63" s="18" t="str">
        <f aca="false">IF(ISNUMBER($J63),IFERROR(INDEX('TRANS'!$C:$C,MATCH($J63,'TRANS'!$B:$B,0)),IFERROR(INDEX('Catalog'!$B:$B,MATCH($J63,'Catalog'!$A:$A,0)),$B63)),$B63)</f>
        <v>8011 0</v>
      </c>
      <c r="D63" s="19" t="n">
        <f aca="false">SUMIFS('SALES Raw'!$C$6:$C$4467,'SALES Raw'!$J$6:$J$4467,$J63,'SALES Raw'!$K$6:$K$4467,"Y")+SUMIFS('CEMIUP0.9 Raw'!$D$6:$D$1712,'CEMIUP0.9 Raw'!$B$6:$B$1712,$J63,'CEMIUP0.9 Raw'!$H$6:$H$1712,"Y")</f>
        <v>34</v>
      </c>
      <c r="E63" s="19" t="n">
        <f aca="false">SUMIFS('SALES Raw'!$D$6:$D$4467,'SALES Raw'!$J$6:$J$4467,$J63,'SALES Raw'!$K$6:$K$4467,"Y")+SUMIFS('CEMIUP0.9 Raw'!$E$6:$E$1712,'CEMIUP0.9 Raw'!$B$6:$B$1712,$J63,'CEMIUP0.9 Raw'!$H$6:$H$1712,"Y")</f>
        <v>176.64</v>
      </c>
      <c r="F63" s="19" t="n">
        <f aca="false">SUMIFS('SALES Raw'!$E$6:$E$4467,'SALES Raw'!$J$6:$J$4467,$J63,'SALES Raw'!$K$6:$K$4467,"Y")*$H$4+SUMIFS('CEMIUP0.9 Raw'!$F$6:$F$1712,'CEMIUP0.9 Raw'!$B$6:$B$1712,$J63,'CEMIUP0.9 Raw'!$H$6:$H$1712,"Y")</f>
        <v>458.526315789474</v>
      </c>
      <c r="G63" s="19" t="n">
        <f aca="false">SUMIFS('SALES Raw'!$F$6:$F$4467,'SALES Raw'!$J$6:$J$4467,$J63,'SALES Raw'!$K$6:$K$4467,"Y")*$H$4+SUMIFS('CEMIUP0.9 Raw'!$G$6:$G$1712,'CEMIUP0.9 Raw'!$B$6:$B$1712,$J63,'CEMIUP0.9 Raw'!$H$6:$H$1712,"Y")</f>
        <v>2559.63789473684</v>
      </c>
      <c r="H63" s="18" t="s">
        <v>42</v>
      </c>
      <c r="I63" s="18" t="s">
        <v>54</v>
      </c>
      <c r="J63" s="18" t="s">
        <v>55</v>
      </c>
    </row>
    <row r="64" customFormat="false" ht="15" hidden="false" customHeight="false" outlineLevel="0" collapsed="false">
      <c r="A64" s="18" t="n">
        <f aca="false">IF(ISNUMBER($J64),$J64,"")</f>
        <v>4408098</v>
      </c>
      <c r="B64" s="18" t="str">
        <f aca="false">IFERROR(INDEX('SALES Raw'!$B$6:$B$4467,MATCH($J64,'SALES Raw'!$J$6:$J$4467,0)),IFERROR(INDEX('CEMIUP0.9 Raw'!$B$6:$B$1712,MATCH($J64,'CEMIUP0.9 Raw'!$B$6:$B$1712,0)),$J64))</f>
        <v>T25 0</v>
      </c>
      <c r="C64" s="18" t="str">
        <f aca="false">IF(ISNUMBER($J64),IFERROR(INDEX('TRANS'!$C:$C,MATCH($J64,'TRANS'!$B:$B,0)),IFERROR(INDEX('Catalog'!$B:$B,MATCH($J64,'Catalog'!$A:$A,0)),$B64)),$B64)</f>
        <v>T25-חבק יד אגודלי</v>
      </c>
      <c r="D64" s="19" t="n">
        <f aca="false">SUMIFS('SALES Raw'!$C$6:$C$4467,'SALES Raw'!$J$6:$J$4467,$J64,'SALES Raw'!$K$6:$K$4467,"Y")+SUMIFS('CEMIUP0.9 Raw'!$D$6:$D$1712,'CEMIUP0.9 Raw'!$B$6:$B$1712,$J64,'CEMIUP0.9 Raw'!$H$6:$H$1712,"Y")</f>
        <v>643</v>
      </c>
      <c r="E64" s="19" t="n">
        <f aca="false">SUMIFS('SALES Raw'!$D$6:$D$4467,'SALES Raw'!$J$6:$J$4467,$J64,'SALES Raw'!$K$6:$K$4467,"Y")+SUMIFS('CEMIUP0.9 Raw'!$E$6:$E$1712,'CEMIUP0.9 Raw'!$B$6:$B$1712,$J64,'CEMIUP0.9 Raw'!$H$6:$H$1712,"Y")</f>
        <v>27082.205</v>
      </c>
      <c r="F64" s="19" t="n">
        <f aca="false">SUMIFS('SALES Raw'!$E$6:$E$4467,'SALES Raw'!$J$6:$J$4467,$J64,'SALES Raw'!$K$6:$K$4467,"Y")*$H$4+SUMIFS('CEMIUP0.9 Raw'!$F$6:$F$1712,'CEMIUP0.9 Raw'!$B$6:$B$1712,$J64,'CEMIUP0.9 Raw'!$H$6:$H$1712,"Y")</f>
        <v>450.947368421053</v>
      </c>
      <c r="G64" s="19" t="n">
        <f aca="false">SUMIFS('SALES Raw'!$F$6:$F$4467,'SALES Raw'!$J$6:$J$4467,$J64,'SALES Raw'!$K$6:$K$4467,"Y")*$H$4+SUMIFS('CEMIUP0.9 Raw'!$G$6:$G$1712,'CEMIUP0.9 Raw'!$B$6:$B$1712,$J64,'CEMIUP0.9 Raw'!$H$6:$H$1712,"Y")</f>
        <v>19571.315368421</v>
      </c>
      <c r="H64" s="18" t="s">
        <v>43</v>
      </c>
      <c r="I64" s="18" t="s">
        <v>44</v>
      </c>
      <c r="J64" s="18" t="n">
        <v>4408098</v>
      </c>
    </row>
    <row r="65" customFormat="false" ht="15" hidden="false" customHeight="false" outlineLevel="0" collapsed="false">
      <c r="A65" s="18" t="n">
        <f aca="false">IF(ISNUMBER($J65),$J65,"")</f>
        <v>4413043</v>
      </c>
      <c r="B65" s="18" t="str">
        <f aca="false">IFERROR(INDEX('SALES Raw'!$B$6:$B$4467,MATCH($J65,'SALES Raw'!$J$6:$J$4467,0)),IFERROR(INDEX('CEMIUP0.9 Raw'!$B$6:$B$1712,MATCH($J65,'CEMIUP0.9 Raw'!$B$6:$B$1712,0)),$J65))</f>
        <v>34 L</v>
      </c>
      <c r="C65" s="18" t="str">
        <f aca="false">IF(ISNUMBER($J65),IFERROR(INDEX('TRANS'!$C:$C,MATCH($J65,'TRANS'!$B:$B,0)),IFERROR(INDEX('Catalog'!$B:$B,MATCH($J65,'Catalog'!$A:$A,0)),$B65)),$B65)</f>
        <v>34  L מגן קרסול עקב סגור</v>
      </c>
      <c r="D65" s="19" t="n">
        <f aca="false">SUMIFS('SALES Raw'!$C$6:$C$4467,'SALES Raw'!$J$6:$J$4467,$J65,'SALES Raw'!$K$6:$K$4467,"Y")+SUMIFS('CEMIUP0.9 Raw'!$D$6:$D$1712,'CEMIUP0.9 Raw'!$B$6:$B$1712,$J65,'CEMIUP0.9 Raw'!$H$6:$H$1712,"Y")</f>
        <v>550</v>
      </c>
      <c r="E65" s="19" t="n">
        <f aca="false">SUMIFS('SALES Raw'!$D$6:$D$4467,'SALES Raw'!$J$6:$J$4467,$J65,'SALES Raw'!$K$6:$K$4467,"Y")+SUMIFS('CEMIUP0.9 Raw'!$E$6:$E$1712,'CEMIUP0.9 Raw'!$B$6:$B$1712,$J65,'CEMIUP0.9 Raw'!$H$6:$H$1712,"Y")</f>
        <v>19398.849</v>
      </c>
      <c r="F65" s="19" t="n">
        <f aca="false">SUMIFS('SALES Raw'!$E$6:$E$4467,'SALES Raw'!$J$6:$J$4467,$J65,'SALES Raw'!$K$6:$K$4467,"Y")*$H$4+SUMIFS('CEMIUP0.9 Raw'!$F$6:$F$1712,'CEMIUP0.9 Raw'!$B$6:$B$1712,$J65,'CEMIUP0.9 Raw'!$H$6:$H$1712,"Y")</f>
        <v>450.947368421052</v>
      </c>
      <c r="G65" s="19" t="n">
        <f aca="false">SUMIFS('SALES Raw'!$F$6:$F$4467,'SALES Raw'!$J$6:$J$4467,$J65,'SALES Raw'!$K$6:$K$4467,"Y")*$H$4+SUMIFS('CEMIUP0.9 Raw'!$G$6:$G$1712,'CEMIUP0.9 Raw'!$B$6:$B$1712,$J65,'CEMIUP0.9 Raw'!$H$6:$H$1712,"Y")</f>
        <v>15640.5713684211</v>
      </c>
      <c r="H65" s="18" t="s">
        <v>48</v>
      </c>
      <c r="I65" s="18" t="s">
        <v>43</v>
      </c>
      <c r="J65" s="18" t="n">
        <v>4413043</v>
      </c>
    </row>
    <row r="66" customFormat="false" ht="15" hidden="false" customHeight="false" outlineLevel="0" collapsed="false">
      <c r="A66" s="18" t="n">
        <f aca="false">IF(ISNUMBER($J66),$J66,"")</f>
        <v>4420003</v>
      </c>
      <c r="B66" s="18" t="str">
        <f aca="false">IFERROR(INDEX('SALES Raw'!$B$6:$B$4467,MATCH($J66,'SALES Raw'!$J$6:$J$4467,0)),IFERROR(INDEX('CEMIUP0.9 Raw'!$B$6:$B$1712,MATCH($J66,'CEMIUP0.9 Raw'!$B$6:$B$1712,0)),$J66))</f>
        <v>374 0</v>
      </c>
      <c r="C66" s="18" t="str">
        <f aca="false">IF(ISNUMBER($J66),IFERROR(INDEX('TRANS'!$C:$C,MATCH($J66,'TRANS'!$B:$B,0)),IFERROR(INDEX('Catalog'!$B:$B,MATCH($J66,'Catalog'!$A:$A,0)),$B66)),$B66)</f>
        <v>374 רפידת בולמת זעזועים -זוג</v>
      </c>
      <c r="D66" s="19" t="n">
        <f aca="false">SUMIFS('SALES Raw'!$C$6:$C$4467,'SALES Raw'!$J$6:$J$4467,$J66,'SALES Raw'!$K$6:$K$4467,"Y")+SUMIFS('CEMIUP0.9 Raw'!$D$6:$D$1712,'CEMIUP0.9 Raw'!$B$6:$B$1712,$J66,'CEMIUP0.9 Raw'!$H$6:$H$1712,"Y")</f>
        <v>615</v>
      </c>
      <c r="E66" s="19" t="n">
        <f aca="false">SUMIFS('SALES Raw'!$D$6:$D$4467,'SALES Raw'!$J$6:$J$4467,$J66,'SALES Raw'!$K$6:$K$4467,"Y")+SUMIFS('CEMIUP0.9 Raw'!$E$6:$E$1712,'CEMIUP0.9 Raw'!$B$6:$B$1712,$J66,'CEMIUP0.9 Raw'!$H$6:$H$1712,"Y")</f>
        <v>7630.552</v>
      </c>
      <c r="F66" s="19" t="n">
        <f aca="false">SUMIFS('SALES Raw'!$E$6:$E$4467,'SALES Raw'!$J$6:$J$4467,$J66,'SALES Raw'!$K$6:$K$4467,"Y")*$H$4+SUMIFS('CEMIUP0.9 Raw'!$F$6:$F$1712,'CEMIUP0.9 Raw'!$B$6:$B$1712,$J66,'CEMIUP0.9 Raw'!$H$6:$H$1712,"Y")</f>
        <v>432</v>
      </c>
      <c r="G66" s="19" t="n">
        <f aca="false">SUMIFS('SALES Raw'!$F$6:$F$4467,'SALES Raw'!$J$6:$J$4467,$J66,'SALES Raw'!$K$6:$K$4467,"Y")*$H$4+SUMIFS('CEMIUP0.9 Raw'!$G$6:$G$1712,'CEMIUP0.9 Raw'!$B$6:$B$1712,$J66,'CEMIUP0.9 Raw'!$H$6:$H$1712,"Y")</f>
        <v>5516.67157894737</v>
      </c>
      <c r="H66" s="18" t="s">
        <v>43</v>
      </c>
      <c r="I66" s="18" t="s">
        <v>48</v>
      </c>
      <c r="J66" s="18" t="n">
        <v>4420003</v>
      </c>
    </row>
    <row r="67" customFormat="false" ht="15" hidden="false" customHeight="false" outlineLevel="0" collapsed="false">
      <c r="A67" s="18" t="n">
        <f aca="false">IF(ISNUMBER($J67),$J67,"")</f>
        <v>4413102</v>
      </c>
      <c r="B67" s="18" t="str">
        <f aca="false">IFERROR(INDEX('SALES Raw'!$B$6:$B$4467,MATCH($J67,'SALES Raw'!$J$6:$J$4467,0)),IFERROR(INDEX('CEMIUP0.9 Raw'!$B$6:$B$1712,MATCH($J67,'CEMIUP0.9 Raw'!$B$6:$B$1712,0)),$J67))</f>
        <v>45E L</v>
      </c>
      <c r="C67" s="18" t="str">
        <f aca="false">IF(ISNUMBER($J67),IFERROR(INDEX('TRANS'!$C:$C,MATCH($J67,'TRANS'!$B:$B,0)),IFERROR(INDEX('Catalog'!$B:$B,MATCH($J67,'Catalog'!$A:$A,0)),$B67)),$B67)</f>
        <v>45E  L        מגן ברך ארוך לבן</v>
      </c>
      <c r="D67" s="19" t="n">
        <f aca="false">SUMIFS('SALES Raw'!$C$6:$C$4467,'SALES Raw'!$J$6:$J$4467,$J67,'SALES Raw'!$K$6:$K$4467,"Y")+SUMIFS('CEMIUP0.9 Raw'!$D$6:$D$1712,'CEMIUP0.9 Raw'!$B$6:$B$1712,$J67,'CEMIUP0.9 Raw'!$H$6:$H$1712,"Y")</f>
        <v>547</v>
      </c>
      <c r="E67" s="19" t="n">
        <f aca="false">SUMIFS('SALES Raw'!$D$6:$D$4467,'SALES Raw'!$J$6:$J$4467,$J67,'SALES Raw'!$K$6:$K$4467,"Y")+SUMIFS('CEMIUP0.9 Raw'!$E$6:$E$1712,'CEMIUP0.9 Raw'!$B$6:$B$1712,$J67,'CEMIUP0.9 Raw'!$H$6:$H$1712,"Y")</f>
        <v>13691.029</v>
      </c>
      <c r="F67" s="19" t="n">
        <f aca="false">SUMIFS('SALES Raw'!$E$6:$E$4467,'SALES Raw'!$J$6:$J$4467,$J67,'SALES Raw'!$K$6:$K$4467,"Y")*$H$4+SUMIFS('CEMIUP0.9 Raw'!$F$6:$F$1712,'CEMIUP0.9 Raw'!$B$6:$B$1712,$J67,'CEMIUP0.9 Raw'!$H$6:$H$1712,"Y")</f>
        <v>430.736842105263</v>
      </c>
      <c r="G67" s="19" t="n">
        <f aca="false">SUMIFS('SALES Raw'!$F$6:$F$4467,'SALES Raw'!$J$6:$J$4467,$J67,'SALES Raw'!$K$6:$K$4467,"Y")*$H$4+SUMIFS('CEMIUP0.9 Raw'!$G$6:$G$1712,'CEMIUP0.9 Raw'!$B$6:$B$1712,$J67,'CEMIUP0.9 Raw'!$H$6:$H$1712,"Y")</f>
        <v>10404.7503157895</v>
      </c>
      <c r="H67" s="18" t="s">
        <v>48</v>
      </c>
      <c r="I67" s="18" t="s">
        <v>43</v>
      </c>
      <c r="J67" s="18" t="n">
        <v>4413102</v>
      </c>
    </row>
    <row r="68" customFormat="false" ht="15" hidden="false" customHeight="false" outlineLevel="0" collapsed="false">
      <c r="A68" s="18" t="n">
        <f aca="false">IF(ISNUMBER($J68),$J68,"")</f>
        <v>4409017</v>
      </c>
      <c r="B68" s="18" t="str">
        <f aca="false">IFERROR(INDEX('SALES Raw'!$B$6:$B$4467,MATCH($J68,'SALES Raw'!$J$6:$J$4467,0)),IFERROR(INDEX('CEMIUP0.9 Raw'!$B$6:$B$1712,MATCH($J68,'CEMIUP0.9 Raw'!$B$6:$B$1712,0)),$J68))</f>
        <v>808KT-B</v>
      </c>
      <c r="C68" s="18" t="str">
        <f aca="false">IF(ISNUMBER($J68),IFERROR(INDEX('TRANS'!$C:$C,MATCH($J68,'TRANS'!$B:$B,0)),IFERROR(INDEX('Catalog'!$B:$B,MATCH($J68,'Catalog'!$A:$A,0)),$B68)),$B68)</f>
        <v>808KT-B        טייפ קינזיולוגי</v>
      </c>
      <c r="D68" s="19" t="n">
        <f aca="false">SUMIFS('SALES Raw'!$C$6:$C$4467,'SALES Raw'!$J$6:$J$4467,$J68,'SALES Raw'!$K$6:$K$4467,"Y")+SUMIFS('CEMIUP0.9 Raw'!$D$6:$D$1712,'CEMIUP0.9 Raw'!$B$6:$B$1712,$J68,'CEMIUP0.9 Raw'!$H$6:$H$1712,"Y")</f>
        <v>605</v>
      </c>
      <c r="E68" s="19" t="n">
        <f aca="false">SUMIFS('SALES Raw'!$D$6:$D$4467,'SALES Raw'!$J$6:$J$4467,$J68,'SALES Raw'!$K$6:$K$4467,"Y")+SUMIFS('CEMIUP0.9 Raw'!$E$6:$E$1712,'CEMIUP0.9 Raw'!$B$6:$B$1712,$J68,'CEMIUP0.9 Raw'!$H$6:$H$1712,"Y")</f>
        <v>17733.278</v>
      </c>
      <c r="F68" s="19" t="n">
        <f aca="false">SUMIFS('SALES Raw'!$E$6:$E$4467,'SALES Raw'!$J$6:$J$4467,$J68,'SALES Raw'!$K$6:$K$4467,"Y")*$H$4+SUMIFS('CEMIUP0.9 Raw'!$F$6:$F$1712,'CEMIUP0.9 Raw'!$B$6:$B$1712,$J68,'CEMIUP0.9 Raw'!$H$6:$H$1712,"Y")</f>
        <v>428.210526315789</v>
      </c>
      <c r="G68" s="19" t="n">
        <f aca="false">SUMIFS('SALES Raw'!$F$6:$F$4467,'SALES Raw'!$J$6:$J$4467,$J68,'SALES Raw'!$K$6:$K$4467,"Y")*$H$4+SUMIFS('CEMIUP0.9 Raw'!$G$6:$G$1712,'CEMIUP0.9 Raw'!$B$6:$B$1712,$J68,'CEMIUP0.9 Raw'!$H$6:$H$1712,"Y")</f>
        <v>14138.3684210526</v>
      </c>
      <c r="H68" s="18" t="s">
        <v>43</v>
      </c>
      <c r="I68" s="18" t="s">
        <v>48</v>
      </c>
      <c r="J68" s="18" t="n">
        <v>4409017</v>
      </c>
    </row>
    <row r="69" customFormat="false" ht="15" hidden="false" customHeight="false" outlineLevel="0" collapsed="false">
      <c r="A69" s="18" t="n">
        <f aca="false">IF(ISNUMBER($J69),$J69,"")</f>
        <v>4413048</v>
      </c>
      <c r="B69" s="18" t="str">
        <f aca="false">IFERROR(INDEX('SALES Raw'!$B$6:$B$4467,MATCH($J69,'SALES Raw'!$J$6:$J$4467,0)),IFERROR(INDEX('CEMIUP0.9 Raw'!$B$6:$B$1712,MATCH($J69,'CEMIUP0.9 Raw'!$B$6:$B$1712,0)),$J69))</f>
        <v>35 L</v>
      </c>
      <c r="C69" s="18" t="str">
        <f aca="false">IF(ISNUMBER($J69),IFERROR(INDEX('TRANS'!$C:$C,MATCH($J69,'TRANS'!$B:$B,0)),IFERROR(INDEX('Catalog'!$B:$B,MATCH($J69,'Catalog'!$A:$A,0)),$B69)),$B69)</f>
        <v>35 L מגן קרסול לבן</v>
      </c>
      <c r="D69" s="19" t="n">
        <f aca="false">SUMIFS('SALES Raw'!$C$6:$C$4467,'SALES Raw'!$J$6:$J$4467,$J69,'SALES Raw'!$K$6:$K$4467,"Y")+SUMIFS('CEMIUP0.9 Raw'!$D$6:$D$1712,'CEMIUP0.9 Raw'!$B$6:$B$1712,$J69,'CEMIUP0.9 Raw'!$H$6:$H$1712,"Y")</f>
        <v>474</v>
      </c>
      <c r="E69" s="19" t="n">
        <f aca="false">SUMIFS('SALES Raw'!$D$6:$D$4467,'SALES Raw'!$J$6:$J$4467,$J69,'SALES Raw'!$K$6:$K$4467,"Y")+SUMIFS('CEMIUP0.9 Raw'!$E$6:$E$1712,'CEMIUP0.9 Raw'!$B$6:$B$1712,$J69,'CEMIUP0.9 Raw'!$H$6:$H$1712,"Y")</f>
        <v>10731.752</v>
      </c>
      <c r="F69" s="19" t="n">
        <f aca="false">SUMIFS('SALES Raw'!$E$6:$E$4467,'SALES Raw'!$J$6:$J$4467,$J69,'SALES Raw'!$K$6:$K$4467,"Y")*$H$4+SUMIFS('CEMIUP0.9 Raw'!$F$6:$F$1712,'CEMIUP0.9 Raw'!$B$6:$B$1712,$J69,'CEMIUP0.9 Raw'!$H$6:$H$1712,"Y")</f>
        <v>424.42105263158</v>
      </c>
      <c r="G69" s="19" t="n">
        <f aca="false">SUMIFS('SALES Raw'!$F$6:$F$4467,'SALES Raw'!$J$6:$J$4467,$J69,'SALES Raw'!$K$6:$K$4467,"Y")*$H$4+SUMIFS('CEMIUP0.9 Raw'!$G$6:$G$1712,'CEMIUP0.9 Raw'!$B$6:$B$1712,$J69,'CEMIUP0.9 Raw'!$H$6:$H$1712,"Y")</f>
        <v>9389.38610526316</v>
      </c>
      <c r="H69" s="18" t="s">
        <v>48</v>
      </c>
      <c r="I69" s="18" t="s">
        <v>43</v>
      </c>
      <c r="J69" s="18" t="n">
        <v>4413048</v>
      </c>
    </row>
    <row r="70" customFormat="false" ht="15" hidden="false" customHeight="false" outlineLevel="0" collapsed="false">
      <c r="A70" s="18" t="n">
        <f aca="false">IF(ISNUMBER($J70),$J70,"")</f>
        <v>4413063</v>
      </c>
      <c r="B70" s="18" t="str">
        <f aca="false">IFERROR(INDEX('SALES Raw'!$B$6:$B$4467,MATCH($J70,'SALES Raw'!$J$6:$J$4467,0)),IFERROR(INDEX('CEMIUP0.9 Raw'!$B$6:$B$1712,MATCH($J70,'CEMIUP0.9 Raw'!$B$6:$B$1712,0)),$J70))</f>
        <v>366S 0</v>
      </c>
      <c r="C70" s="18" t="str">
        <f aca="false">IF(ISNUMBER($J70),IFERROR(INDEX('TRANS'!$C:$C,MATCH($J70,'TRANS'!$B:$B,0)),IFERROR(INDEX('Catalog'!$B:$B,MATCH($J70,'Catalog'!$A:$A,0)),$B70)),$B70)</f>
        <v>366S-'מדבק.לשחרור לחץ מיבלת2יח</v>
      </c>
      <c r="D70" s="19" t="n">
        <f aca="false">SUMIFS('SALES Raw'!$C$6:$C$4467,'SALES Raw'!$J$6:$J$4467,$J70,'SALES Raw'!$K$6:$K$4467,"Y")+SUMIFS('CEMIUP0.9 Raw'!$D$6:$D$1712,'CEMIUP0.9 Raw'!$B$6:$B$1712,$J70,'CEMIUP0.9 Raw'!$H$6:$H$1712,"Y")</f>
        <v>487</v>
      </c>
      <c r="E70" s="19" t="n">
        <f aca="false">SUMIFS('SALES Raw'!$D$6:$D$4467,'SALES Raw'!$J$6:$J$4467,$J70,'SALES Raw'!$K$6:$K$4467,"Y")+SUMIFS('CEMIUP0.9 Raw'!$E$6:$E$1712,'CEMIUP0.9 Raw'!$B$6:$B$1712,$J70,'CEMIUP0.9 Raw'!$H$6:$H$1712,"Y")</f>
        <v>6724.339</v>
      </c>
      <c r="F70" s="19" t="n">
        <f aca="false">SUMIFS('SALES Raw'!$E$6:$E$4467,'SALES Raw'!$J$6:$J$4467,$J70,'SALES Raw'!$K$6:$K$4467,"Y")*$H$4+SUMIFS('CEMIUP0.9 Raw'!$F$6:$F$1712,'CEMIUP0.9 Raw'!$B$6:$B$1712,$J70,'CEMIUP0.9 Raw'!$H$6:$H$1712,"Y")</f>
        <v>414.315789473685</v>
      </c>
      <c r="G70" s="19" t="n">
        <f aca="false">SUMIFS('SALES Raw'!$F$6:$F$4467,'SALES Raw'!$J$6:$J$4467,$J70,'SALES Raw'!$K$6:$K$4467,"Y")*$H$4+SUMIFS('CEMIUP0.9 Raw'!$G$6:$G$1712,'CEMIUP0.9 Raw'!$B$6:$B$1712,$J70,'CEMIUP0.9 Raw'!$H$6:$H$1712,"Y")</f>
        <v>5692.66484210526</v>
      </c>
      <c r="H70" s="18" t="s">
        <v>43</v>
      </c>
      <c r="I70" s="18" t="s">
        <v>48</v>
      </c>
      <c r="J70" s="18" t="n">
        <v>4413063</v>
      </c>
    </row>
    <row r="71" customFormat="false" ht="15" hidden="false" customHeight="false" outlineLevel="0" collapsed="false">
      <c r="A71" s="18" t="n">
        <f aca="false">IF(ISNUMBER($J71),$J71,"")</f>
        <v>4413136</v>
      </c>
      <c r="B71" s="18" t="str">
        <f aca="false">IFERROR(INDEX('SALES Raw'!$B$6:$B$4467,MATCH($J71,'SALES Raw'!$J$6:$J$4467,0)),IFERROR(INDEX('CEMIUP0.9 Raw'!$B$6:$B$1712,MATCH($J71,'CEMIUP0.9 Raw'!$B$6:$B$1712,0)),$J71))</f>
        <v>85 M</v>
      </c>
      <c r="C71" s="18" t="str">
        <f aca="false">IF(ISNUMBER($J71),IFERROR(INDEX('TRANS'!$C:$C,MATCH($J71,'TRANS'!$B:$B,0)),IFERROR(INDEX('Catalog'!$B:$B,MATCH($J71,'Catalog'!$A:$A,0)),$B71)),$B71)</f>
        <v>85 M (מתלה ליד )כיס</v>
      </c>
      <c r="D71" s="19" t="n">
        <f aca="false">SUMIFS('SALES Raw'!$C$6:$C$4467,'SALES Raw'!$J$6:$J$4467,$J71,'SALES Raw'!$K$6:$K$4467,"Y")+SUMIFS('CEMIUP0.9 Raw'!$D$6:$D$1712,'CEMIUP0.9 Raw'!$B$6:$B$1712,$J71,'CEMIUP0.9 Raw'!$H$6:$H$1712,"Y")</f>
        <v>588</v>
      </c>
      <c r="E71" s="19" t="n">
        <f aca="false">SUMIFS('SALES Raw'!$D$6:$D$4467,'SALES Raw'!$J$6:$J$4467,$J71,'SALES Raw'!$K$6:$K$4467,"Y")+SUMIFS('CEMIUP0.9 Raw'!$E$6:$E$1712,'CEMIUP0.9 Raw'!$B$6:$B$1712,$J71,'CEMIUP0.9 Raw'!$H$6:$H$1712,"Y")</f>
        <v>24971.805</v>
      </c>
      <c r="F71" s="19" t="n">
        <f aca="false">SUMIFS('SALES Raw'!$E$6:$E$4467,'SALES Raw'!$J$6:$J$4467,$J71,'SALES Raw'!$K$6:$K$4467,"Y")*$H$4+SUMIFS('CEMIUP0.9 Raw'!$F$6:$F$1712,'CEMIUP0.9 Raw'!$B$6:$B$1712,$J71,'CEMIUP0.9 Raw'!$H$6:$H$1712,"Y")</f>
        <v>414.315789473685</v>
      </c>
      <c r="G71" s="19" t="n">
        <f aca="false">SUMIFS('SALES Raw'!$F$6:$F$4467,'SALES Raw'!$J$6:$J$4467,$J71,'SALES Raw'!$K$6:$K$4467,"Y")*$H$4+SUMIFS('CEMIUP0.9 Raw'!$G$6:$G$1712,'CEMIUP0.9 Raw'!$B$6:$B$1712,$J71,'CEMIUP0.9 Raw'!$H$6:$H$1712,"Y")</f>
        <v>17726.8926315789</v>
      </c>
      <c r="H71" s="18" t="s">
        <v>48</v>
      </c>
      <c r="I71" s="18" t="s">
        <v>43</v>
      </c>
      <c r="J71" s="18" t="n">
        <v>4413136</v>
      </c>
    </row>
    <row r="72" customFormat="false" ht="15" hidden="false" customHeight="false" outlineLevel="0" collapsed="false">
      <c r="A72" s="18" t="n">
        <f aca="false">IF(ISNUMBER($J72),$J72,"")</f>
        <v>4413053</v>
      </c>
      <c r="B72" s="18" t="str">
        <f aca="false">IFERROR(INDEX('SALES Raw'!$B$6:$B$4467,MATCH($J72,'SALES Raw'!$J$6:$J$4467,0)),IFERROR(INDEX('CEMIUP0.9 Raw'!$B$6:$B$1712,MATCH($J72,'CEMIUP0.9 Raw'!$B$6:$B$1712,0)),$J72))</f>
        <v>35C L</v>
      </c>
      <c r="C72" s="18" t="str">
        <f aca="false">IF(ISNUMBER($J72),IFERROR(INDEX('TRANS'!$C:$C,MATCH($J72,'TRANS'!$B:$B,0)),IFERROR(INDEX('Catalog'!$B:$B,MATCH($J72,'Catalog'!$A:$A,0)),$B72)),$B72)</f>
        <v>35C L מגן קרסול חום</v>
      </c>
      <c r="D72" s="19" t="n">
        <f aca="false">SUMIFS('SALES Raw'!$C$6:$C$4467,'SALES Raw'!$J$6:$J$4467,$J72,'SALES Raw'!$K$6:$K$4467,"Y")+SUMIFS('CEMIUP0.9 Raw'!$D$6:$D$1712,'CEMIUP0.9 Raw'!$B$6:$B$1712,$J72,'CEMIUP0.9 Raw'!$H$6:$H$1712,"Y")</f>
        <v>443</v>
      </c>
      <c r="E72" s="19" t="n">
        <f aca="false">SUMIFS('SALES Raw'!$D$6:$D$4467,'SALES Raw'!$J$6:$J$4467,$J72,'SALES Raw'!$K$6:$K$4467,"Y")+SUMIFS('CEMIUP0.9 Raw'!$E$6:$E$1712,'CEMIUP0.9 Raw'!$B$6:$B$1712,$J72,'CEMIUP0.9 Raw'!$H$6:$H$1712,"Y")</f>
        <v>12438.356</v>
      </c>
      <c r="F72" s="19" t="n">
        <f aca="false">SUMIFS('SALES Raw'!$E$6:$E$4467,'SALES Raw'!$J$6:$J$4467,$J72,'SALES Raw'!$K$6:$K$4467,"Y")*$H$4+SUMIFS('CEMIUP0.9 Raw'!$F$6:$F$1712,'CEMIUP0.9 Raw'!$B$6:$B$1712,$J72,'CEMIUP0.9 Raw'!$H$6:$H$1712,"Y")</f>
        <v>414.315789473684</v>
      </c>
      <c r="G72" s="19" t="n">
        <f aca="false">SUMIFS('SALES Raw'!$F$6:$F$4467,'SALES Raw'!$J$6:$J$4467,$J72,'SALES Raw'!$K$6:$K$4467,"Y")*$H$4+SUMIFS('CEMIUP0.9 Raw'!$G$6:$G$1712,'CEMIUP0.9 Raw'!$B$6:$B$1712,$J72,'CEMIUP0.9 Raw'!$H$6:$H$1712,"Y")</f>
        <v>11659.6446315789</v>
      </c>
      <c r="H72" s="18" t="s">
        <v>43</v>
      </c>
      <c r="I72" s="18" t="s">
        <v>44</v>
      </c>
      <c r="J72" s="18" t="n">
        <v>4413053</v>
      </c>
    </row>
    <row r="73" customFormat="false" ht="15" hidden="false" customHeight="false" outlineLevel="0" collapsed="false">
      <c r="A73" s="18" t="n">
        <f aca="false">IF(ISNUMBER($J73),$J73,"")</f>
        <v>4413098</v>
      </c>
      <c r="B73" s="18" t="str">
        <f aca="false">IFERROR(INDEX('SALES Raw'!$B$6:$B$4467,MATCH($J73,'SALES Raw'!$J$6:$J$4467,0)),IFERROR(INDEX('CEMIUP0.9 Raw'!$B$6:$B$1712,MATCH($J73,'CEMIUP0.9 Raw'!$B$6:$B$1712,0)),$J73))</f>
        <v>45C L</v>
      </c>
      <c r="C73" s="18" t="str">
        <f aca="false">IF(ISNUMBER($J73),IFERROR(INDEX('TRANS'!$C:$C,MATCH($J73,'TRANS'!$B:$B,0)),IFERROR(INDEX('Catalog'!$B:$B,MATCH($J73,'Catalog'!$A:$A,0)),$B73)),$B73)</f>
        <v>45C L מגן ברך חום</v>
      </c>
      <c r="D73" s="19" t="n">
        <f aca="false">SUMIFS('SALES Raw'!$C$6:$C$4467,'SALES Raw'!$J$6:$J$4467,$J73,'SALES Raw'!$K$6:$K$4467,"Y")+SUMIFS('CEMIUP0.9 Raw'!$D$6:$D$1712,'CEMIUP0.9 Raw'!$B$6:$B$1712,$J73,'CEMIUP0.9 Raw'!$H$6:$H$1712,"Y")</f>
        <v>545</v>
      </c>
      <c r="E73" s="19" t="n">
        <f aca="false">SUMIFS('SALES Raw'!$D$6:$D$4467,'SALES Raw'!$J$6:$J$4467,$J73,'SALES Raw'!$K$6:$K$4467,"Y")+SUMIFS('CEMIUP0.9 Raw'!$E$6:$E$1712,'CEMIUP0.9 Raw'!$B$6:$B$1712,$J73,'CEMIUP0.9 Raw'!$H$6:$H$1712,"Y")</f>
        <v>15359.907</v>
      </c>
      <c r="F73" s="19" t="n">
        <f aca="false">SUMIFS('SALES Raw'!$E$6:$E$4467,'SALES Raw'!$J$6:$J$4467,$J73,'SALES Raw'!$K$6:$K$4467,"Y")*$H$4+SUMIFS('CEMIUP0.9 Raw'!$F$6:$F$1712,'CEMIUP0.9 Raw'!$B$6:$B$1712,$J73,'CEMIUP0.9 Raw'!$H$6:$H$1712,"Y")</f>
        <v>411.789473684211</v>
      </c>
      <c r="G73" s="19" t="n">
        <f aca="false">SUMIFS('SALES Raw'!$F$6:$F$4467,'SALES Raw'!$J$6:$J$4467,$J73,'SALES Raw'!$K$6:$K$4467,"Y")*$H$4+SUMIFS('CEMIUP0.9 Raw'!$G$6:$G$1712,'CEMIUP0.9 Raw'!$B$6:$B$1712,$J73,'CEMIUP0.9 Raw'!$H$6:$H$1712,"Y")</f>
        <v>11623.9856842105</v>
      </c>
      <c r="H73" s="18" t="s">
        <v>43</v>
      </c>
      <c r="I73" s="18" t="s">
        <v>44</v>
      </c>
      <c r="J73" s="18" t="n">
        <v>4413098</v>
      </c>
    </row>
    <row r="74" customFormat="false" ht="15" hidden="false" customHeight="false" outlineLevel="0" collapsed="false">
      <c r="A74" s="18" t="n">
        <f aca="false">IF(ISNUMBER($J74),$J74,"")</f>
        <v>4413049</v>
      </c>
      <c r="B74" s="18" t="str">
        <f aca="false">IFERROR(INDEX('SALES Raw'!$B$6:$B$4467,MATCH($J74,'SALES Raw'!$J$6:$J$4467,0)),IFERROR(INDEX('CEMIUP0.9 Raw'!$B$6:$B$1712,MATCH($J74,'CEMIUP0.9 Raw'!$B$6:$B$1712,0)),$J74))</f>
        <v>35 M</v>
      </c>
      <c r="C74" s="18" t="str">
        <f aca="false">IF(ISNUMBER($J74),IFERROR(INDEX('TRANS'!$C:$C,MATCH($J74,'TRANS'!$B:$B,0)),IFERROR(INDEX('Catalog'!$B:$B,MATCH($J74,'Catalog'!$A:$A,0)),$B74)),$B74)</f>
        <v>35 M מגן קרסול לבן</v>
      </c>
      <c r="D74" s="19" t="n">
        <f aca="false">SUMIFS('SALES Raw'!$C$6:$C$4467,'SALES Raw'!$J$6:$J$4467,$J74,'SALES Raw'!$K$6:$K$4467,"Y")+SUMIFS('CEMIUP0.9 Raw'!$D$6:$D$1712,'CEMIUP0.9 Raw'!$B$6:$B$1712,$J74,'CEMIUP0.9 Raw'!$H$6:$H$1712,"Y")</f>
        <v>524</v>
      </c>
      <c r="E74" s="19" t="n">
        <f aca="false">SUMIFS('SALES Raw'!$D$6:$D$4467,'SALES Raw'!$J$6:$J$4467,$J74,'SALES Raw'!$K$6:$K$4467,"Y")+SUMIFS('CEMIUP0.9 Raw'!$E$6:$E$1712,'CEMIUP0.9 Raw'!$B$6:$B$1712,$J74,'CEMIUP0.9 Raw'!$H$6:$H$1712,"Y")</f>
        <v>11565.168</v>
      </c>
      <c r="F74" s="19" t="n">
        <f aca="false">SUMIFS('SALES Raw'!$E$6:$E$4467,'SALES Raw'!$J$6:$J$4467,$J74,'SALES Raw'!$K$6:$K$4467,"Y")*$H$4+SUMIFS('CEMIUP0.9 Raw'!$F$6:$F$1712,'CEMIUP0.9 Raw'!$B$6:$B$1712,$J74,'CEMIUP0.9 Raw'!$H$6:$H$1712,"Y")</f>
        <v>406.736842105263</v>
      </c>
      <c r="G74" s="19" t="n">
        <f aca="false">SUMIFS('SALES Raw'!$F$6:$F$4467,'SALES Raw'!$J$6:$J$4467,$J74,'SALES Raw'!$K$6:$K$4467,"Y")*$H$4+SUMIFS('CEMIUP0.9 Raw'!$G$6:$G$1712,'CEMIUP0.9 Raw'!$B$6:$B$1712,$J74,'CEMIUP0.9 Raw'!$H$6:$H$1712,"Y")</f>
        <v>8992.32505263158</v>
      </c>
      <c r="H74" s="18" t="s">
        <v>48</v>
      </c>
      <c r="I74" s="18" t="s">
        <v>43</v>
      </c>
      <c r="J74" s="18" t="n">
        <v>4413049</v>
      </c>
    </row>
    <row r="75" customFormat="false" ht="15" hidden="false" customHeight="false" outlineLevel="0" collapsed="false">
      <c r="A75" s="18" t="n">
        <f aca="false">IF(ISNUMBER($J75),$J75,"")</f>
        <v>4413041</v>
      </c>
      <c r="B75" s="18" t="str">
        <f aca="false">IFERROR(INDEX('SALES Raw'!$B$6:$B$4467,MATCH($J75,'SALES Raw'!$J$6:$J$4467,0)),IFERROR(INDEX('CEMIUP0.9 Raw'!$B$6:$B$1712,MATCH($J75,'CEMIUP0.9 Raw'!$B$6:$B$1712,0)),$J75))</f>
        <v>34 M</v>
      </c>
      <c r="C75" s="18" t="str">
        <f aca="false">IF(ISNUMBER($J75),IFERROR(INDEX('TRANS'!$C:$C,MATCH($J75,'TRANS'!$B:$B,0)),IFERROR(INDEX('Catalog'!$B:$B,MATCH($J75,'Catalog'!$A:$A,0)),$B75)),$B75)</f>
        <v>34  M מגן קרסול עקב סגור</v>
      </c>
      <c r="D75" s="19" t="n">
        <f aca="false">SUMIFS('SALES Raw'!$C$6:$C$4467,'SALES Raw'!$J$6:$J$4467,$J75,'SALES Raw'!$K$6:$K$4467,"Y")+SUMIFS('CEMIUP0.9 Raw'!$D$6:$D$1712,'CEMIUP0.9 Raw'!$B$6:$B$1712,$J75,'CEMIUP0.9 Raw'!$H$6:$H$1712,"Y")</f>
        <v>524</v>
      </c>
      <c r="E75" s="19" t="n">
        <f aca="false">SUMIFS('SALES Raw'!$D$6:$D$4467,'SALES Raw'!$J$6:$J$4467,$J75,'SALES Raw'!$K$6:$K$4467,"Y")+SUMIFS('CEMIUP0.9 Raw'!$E$6:$E$1712,'CEMIUP0.9 Raw'!$B$6:$B$1712,$J75,'CEMIUP0.9 Raw'!$H$6:$H$1712,"Y")</f>
        <v>18177.959</v>
      </c>
      <c r="F75" s="19" t="n">
        <f aca="false">SUMIFS('SALES Raw'!$E$6:$E$4467,'SALES Raw'!$J$6:$J$4467,$J75,'SALES Raw'!$K$6:$K$4467,"Y")*$H$4+SUMIFS('CEMIUP0.9 Raw'!$F$6:$F$1712,'CEMIUP0.9 Raw'!$B$6:$B$1712,$J75,'CEMIUP0.9 Raw'!$H$6:$H$1712,"Y")</f>
        <v>396.631578947368</v>
      </c>
      <c r="G75" s="19" t="n">
        <f aca="false">SUMIFS('SALES Raw'!$F$6:$F$4467,'SALES Raw'!$J$6:$J$4467,$J75,'SALES Raw'!$K$6:$K$4467,"Y")*$H$4+SUMIFS('CEMIUP0.9 Raw'!$G$6:$G$1712,'CEMIUP0.9 Raw'!$B$6:$B$1712,$J75,'CEMIUP0.9 Raw'!$H$6:$H$1712,"Y")</f>
        <v>13144.2934736842</v>
      </c>
      <c r="H75" s="18" t="s">
        <v>48</v>
      </c>
      <c r="I75" s="18" t="s">
        <v>43</v>
      </c>
      <c r="J75" s="18" t="n">
        <v>4413041</v>
      </c>
    </row>
    <row r="76" customFormat="false" ht="15" hidden="false" customHeight="false" outlineLevel="0" collapsed="false">
      <c r="A76" s="18" t="n">
        <f aca="false">IF(ISNUMBER($J76),$J76,"")</f>
        <v>4413054</v>
      </c>
      <c r="B76" s="18" t="str">
        <f aca="false">IFERROR(INDEX('SALES Raw'!$B$6:$B$4467,MATCH($J76,'SALES Raw'!$J$6:$J$4467,0)),IFERROR(INDEX('CEMIUP0.9 Raw'!$B$6:$B$1712,MATCH($J76,'CEMIUP0.9 Raw'!$B$6:$B$1712,0)),$J76))</f>
        <v>35C M</v>
      </c>
      <c r="C76" s="18" t="str">
        <f aca="false">IF(ISNUMBER($J76),IFERROR(INDEX('TRANS'!$C:$C,MATCH($J76,'TRANS'!$B:$B,0)),IFERROR(INDEX('Catalog'!$B:$B,MATCH($J76,'Catalog'!$A:$A,0)),$B76)),$B76)</f>
        <v>35C M מגן קרסול חום</v>
      </c>
      <c r="D76" s="19" t="n">
        <f aca="false">SUMIFS('SALES Raw'!$C$6:$C$4467,'SALES Raw'!$J$6:$J$4467,$J76,'SALES Raw'!$K$6:$K$4467,"Y")+SUMIFS('CEMIUP0.9 Raw'!$D$6:$D$1712,'CEMIUP0.9 Raw'!$B$6:$B$1712,$J76,'CEMIUP0.9 Raw'!$H$6:$H$1712,"Y")</f>
        <v>413</v>
      </c>
      <c r="E76" s="19" t="n">
        <f aca="false">SUMIFS('SALES Raw'!$D$6:$D$4467,'SALES Raw'!$J$6:$J$4467,$J76,'SALES Raw'!$K$6:$K$4467,"Y")+SUMIFS('CEMIUP0.9 Raw'!$E$6:$E$1712,'CEMIUP0.9 Raw'!$B$6:$B$1712,$J76,'CEMIUP0.9 Raw'!$H$6:$H$1712,"Y")</f>
        <v>11420.65</v>
      </c>
      <c r="F76" s="19" t="n">
        <f aca="false">SUMIFS('SALES Raw'!$E$6:$E$4467,'SALES Raw'!$J$6:$J$4467,$J76,'SALES Raw'!$K$6:$K$4467,"Y")*$H$4+SUMIFS('CEMIUP0.9 Raw'!$F$6:$F$1712,'CEMIUP0.9 Raw'!$B$6:$B$1712,$J76,'CEMIUP0.9 Raw'!$H$6:$H$1712,"Y")</f>
        <v>394.105263157895</v>
      </c>
      <c r="G76" s="19" t="n">
        <f aca="false">SUMIFS('SALES Raw'!$F$6:$F$4467,'SALES Raw'!$J$6:$J$4467,$J76,'SALES Raw'!$K$6:$K$4467,"Y")*$H$4+SUMIFS('CEMIUP0.9 Raw'!$G$6:$G$1712,'CEMIUP0.9 Raw'!$B$6:$B$1712,$J76,'CEMIUP0.9 Raw'!$H$6:$H$1712,"Y")</f>
        <v>10838.4997894737</v>
      </c>
      <c r="H76" s="18" t="s">
        <v>43</v>
      </c>
      <c r="I76" s="18" t="s">
        <v>44</v>
      </c>
      <c r="J76" s="18" t="n">
        <v>4413054</v>
      </c>
    </row>
    <row r="77" customFormat="false" ht="15" hidden="false" customHeight="false" outlineLevel="0" collapsed="false">
      <c r="A77" s="18" t="n">
        <f aca="false">IF(ISNUMBER($J77),$J77,"")</f>
        <v>4421006</v>
      </c>
      <c r="B77" s="18" t="str">
        <f aca="false">IFERROR(INDEX('SALES Raw'!$B$6:$B$4467,MATCH($J77,'SALES Raw'!$J$6:$J$4467,0)),IFERROR(INDEX('CEMIUP0.9 Raw'!$B$6:$B$1712,MATCH($J77,'CEMIUP0.9 Raw'!$B$6:$B$1712,0)),$J77))</f>
        <v>251 0</v>
      </c>
      <c r="C77" s="18" t="str">
        <f aca="false">IF(ISNUMBER($J77),IFERROR(INDEX('TRANS'!$C:$C,MATCH($J77,'TRANS'!$B:$B,0)),IFERROR(INDEX('Catalog'!$B:$B,MATCH($J77,'Catalog'!$A:$A,0)),$B77)),$B77)</f>
        <v>שרוול לגבס ארוך יד</v>
      </c>
      <c r="D77" s="19" t="n">
        <f aca="false">SUMIFS('SALES Raw'!$C$6:$C$4467,'SALES Raw'!$J$6:$J$4467,$J77,'SALES Raw'!$K$6:$K$4467,"Y")+SUMIFS('CEMIUP0.9 Raw'!$D$6:$D$1712,'CEMIUP0.9 Raw'!$B$6:$B$1712,$J77,'CEMIUP0.9 Raw'!$H$6:$H$1712,"Y")</f>
        <v>315</v>
      </c>
      <c r="E77" s="19" t="n">
        <f aca="false">SUMIFS('SALES Raw'!$D$6:$D$4467,'SALES Raw'!$J$6:$J$4467,$J77,'SALES Raw'!$K$6:$K$4467,"Y")+SUMIFS('CEMIUP0.9 Raw'!$E$6:$E$1712,'CEMIUP0.9 Raw'!$B$6:$B$1712,$J77,'CEMIUP0.9 Raw'!$H$6:$H$1712,"Y")</f>
        <v>14992.551</v>
      </c>
      <c r="F77" s="19" t="n">
        <f aca="false">SUMIFS('SALES Raw'!$E$6:$E$4467,'SALES Raw'!$J$6:$J$4467,$J77,'SALES Raw'!$K$6:$K$4467,"Y")*$H$4+SUMIFS('CEMIUP0.9 Raw'!$F$6:$F$1712,'CEMIUP0.9 Raw'!$B$6:$B$1712,$J77,'CEMIUP0.9 Raw'!$H$6:$H$1712,"Y")</f>
        <v>392.842105263158</v>
      </c>
      <c r="G77" s="19" t="n">
        <f aca="false">SUMIFS('SALES Raw'!$F$6:$F$4467,'SALES Raw'!$J$6:$J$4467,$J77,'SALES Raw'!$K$6:$K$4467,"Y")*$H$4+SUMIFS('CEMIUP0.9 Raw'!$G$6:$G$1712,'CEMIUP0.9 Raw'!$B$6:$B$1712,$J77,'CEMIUP0.9 Raw'!$H$6:$H$1712,"Y")</f>
        <v>20623.1065263158</v>
      </c>
      <c r="H77" s="18" t="s">
        <v>43</v>
      </c>
      <c r="I77" s="18" t="s">
        <v>42</v>
      </c>
      <c r="J77" s="18" t="n">
        <v>4421006</v>
      </c>
    </row>
    <row r="78" customFormat="false" ht="15" hidden="false" customHeight="false" outlineLevel="0" collapsed="false">
      <c r="A78" s="18" t="n">
        <f aca="false">IF(ISNUMBER($J78),$J78,"")</f>
        <v>4413100</v>
      </c>
      <c r="B78" s="18" t="str">
        <f aca="false">IFERROR(INDEX('SALES Raw'!$B$6:$B$4467,MATCH($J78,'SALES Raw'!$J$6:$J$4467,0)),IFERROR(INDEX('CEMIUP0.9 Raw'!$B$6:$B$1712,MATCH($J78,'CEMIUP0.9 Raw'!$B$6:$B$1712,0)),$J78))</f>
        <v>45C XL</v>
      </c>
      <c r="C78" s="18" t="str">
        <f aca="false">IF(ISNUMBER($J78),IFERROR(INDEX('TRANS'!$C:$C,MATCH($J78,'TRANS'!$B:$B,0)),IFERROR(INDEX('Catalog'!$B:$B,MATCH($J78,'Catalog'!$A:$A,0)),$B78)),$B78)</f>
        <v>45C XL מגן ברך חום</v>
      </c>
      <c r="D78" s="19" t="n">
        <f aca="false">SUMIFS('SALES Raw'!$C$6:$C$4467,'SALES Raw'!$J$6:$J$4467,$J78,'SALES Raw'!$K$6:$K$4467,"Y")+SUMIFS('CEMIUP0.9 Raw'!$D$6:$D$1712,'CEMIUP0.9 Raw'!$B$6:$B$1712,$J78,'CEMIUP0.9 Raw'!$H$6:$H$1712,"Y")</f>
        <v>384</v>
      </c>
      <c r="E78" s="19" t="n">
        <f aca="false">SUMIFS('SALES Raw'!$D$6:$D$4467,'SALES Raw'!$J$6:$J$4467,$J78,'SALES Raw'!$K$6:$K$4467,"Y")+SUMIFS('CEMIUP0.9 Raw'!$E$6:$E$1712,'CEMIUP0.9 Raw'!$B$6:$B$1712,$J78,'CEMIUP0.9 Raw'!$H$6:$H$1712,"Y")</f>
        <v>10557.438</v>
      </c>
      <c r="F78" s="19" t="n">
        <f aca="false">SUMIFS('SALES Raw'!$E$6:$E$4467,'SALES Raw'!$J$6:$J$4467,$J78,'SALES Raw'!$K$6:$K$4467,"Y")*$H$4+SUMIFS('CEMIUP0.9 Raw'!$F$6:$F$1712,'CEMIUP0.9 Raw'!$B$6:$B$1712,$J78,'CEMIUP0.9 Raw'!$H$6:$H$1712,"Y")</f>
        <v>390.315789473684</v>
      </c>
      <c r="G78" s="19" t="n">
        <f aca="false">SUMIFS('SALES Raw'!$F$6:$F$4467,'SALES Raw'!$J$6:$J$4467,$J78,'SALES Raw'!$K$6:$K$4467,"Y")*$H$4+SUMIFS('CEMIUP0.9 Raw'!$G$6:$G$1712,'CEMIUP0.9 Raw'!$B$6:$B$1712,$J78,'CEMIUP0.9 Raw'!$H$6:$H$1712,"Y")</f>
        <v>10884.7187368421</v>
      </c>
      <c r="H78" s="18" t="s">
        <v>43</v>
      </c>
      <c r="I78" s="18" t="s">
        <v>44</v>
      </c>
      <c r="J78" s="18" t="n">
        <v>4413100</v>
      </c>
    </row>
    <row r="79" customFormat="false" ht="15" hidden="false" customHeight="false" outlineLevel="0" collapsed="false">
      <c r="A79" s="18" t="n">
        <f aca="false">IF(ISNUMBER($J79),$J79,"")</f>
        <v>4408190</v>
      </c>
      <c r="B79" s="18" t="str">
        <f aca="false">IFERROR(INDEX('SALES Raw'!$B$6:$B$4467,MATCH($J79,'SALES Raw'!$J$6:$J$4467,0)),IFERROR(INDEX('CEMIUP0.9 Raw'!$B$6:$B$1712,MATCH($J79,'CEMIUP0.9 Raw'!$B$6:$B$1712,0)),$J79))</f>
        <v>078 M</v>
      </c>
      <c r="C79" s="18" t="str">
        <f aca="false">IF(ISNUMBER($J79),IFERROR(INDEX('TRANS'!$C:$C,MATCH($J79,'TRANS'!$B:$B,0)),IFERROR(INDEX('Catalog'!$B:$B,MATCH($J79,'Catalog'!$A:$A,0)),$B79)),$B79)</f>
        <v>M078 חגורת גב +סגירה כפולה</v>
      </c>
      <c r="D79" s="19" t="n">
        <f aca="false">SUMIFS('SALES Raw'!$C$6:$C$4467,'SALES Raw'!$J$6:$J$4467,$J79,'SALES Raw'!$K$6:$K$4467,"Y")+SUMIFS('CEMIUP0.9 Raw'!$D$6:$D$1712,'CEMIUP0.9 Raw'!$B$6:$B$1712,$J79,'CEMIUP0.9 Raw'!$H$6:$H$1712,"Y")</f>
        <v>251</v>
      </c>
      <c r="E79" s="19" t="n">
        <f aca="false">SUMIFS('SALES Raw'!$D$6:$D$4467,'SALES Raw'!$J$6:$J$4467,$J79,'SALES Raw'!$K$6:$K$4467,"Y")+SUMIFS('CEMIUP0.9 Raw'!$E$6:$E$1712,'CEMIUP0.9 Raw'!$B$6:$B$1712,$J79,'CEMIUP0.9 Raw'!$H$6:$H$1712,"Y")</f>
        <v>27553.557</v>
      </c>
      <c r="F79" s="19" t="n">
        <f aca="false">SUMIFS('SALES Raw'!$E$6:$E$4467,'SALES Raw'!$J$6:$J$4467,$J79,'SALES Raw'!$K$6:$K$4467,"Y")*$H$4+SUMIFS('CEMIUP0.9 Raw'!$F$6:$F$1712,'CEMIUP0.9 Raw'!$B$6:$B$1712,$J79,'CEMIUP0.9 Raw'!$H$6:$H$1712,"Y")</f>
        <v>389.052631578947</v>
      </c>
      <c r="G79" s="19" t="n">
        <f aca="false">SUMIFS('SALES Raw'!$F$6:$F$4467,'SALES Raw'!$J$6:$J$4467,$J79,'SALES Raw'!$K$6:$K$4467,"Y")*$H$4+SUMIFS('CEMIUP0.9 Raw'!$G$6:$G$1712,'CEMIUP0.9 Raw'!$B$6:$B$1712,$J79,'CEMIUP0.9 Raw'!$H$6:$H$1712,"Y")</f>
        <v>38344.8063157895</v>
      </c>
      <c r="H79" s="18" t="s">
        <v>53</v>
      </c>
      <c r="I79" s="18" t="s">
        <v>48</v>
      </c>
      <c r="J79" s="18" t="n">
        <v>4408190</v>
      </c>
    </row>
    <row r="80" customFormat="false" ht="15" hidden="false" customHeight="false" outlineLevel="0" collapsed="false">
      <c r="A80" s="18" t="n">
        <f aca="false">IF(ISNUMBER($J80),$J80,"")</f>
        <v>4422000</v>
      </c>
      <c r="B80" s="18" t="str">
        <f aca="false">IFERROR(INDEX('SALES Raw'!$B$6:$B$4467,MATCH($J80,'SALES Raw'!$J$6:$J$4467,0)),IFERROR(INDEX('CEMIUP0.9 Raw'!$B$6:$B$1712,MATCH($J80,'CEMIUP0.9 Raw'!$B$6:$B$1712,0)),$J80))</f>
        <v>801 0</v>
      </c>
      <c r="C80" s="18" t="str">
        <f aca="false">IF(ISNUMBER($J80),IFERROR(INDEX('TRANS'!$C:$C,MATCH($J80,'TRANS'!$B:$B,0)),IFERROR(INDEX('Catalog'!$B:$B,MATCH($J80,'Catalog'!$A:$A,0)),$B80)),$B80)</f>
        <v>801  תחבושת אלסטית מקררת</v>
      </c>
      <c r="D80" s="19" t="n">
        <f aca="false">SUMIFS('SALES Raw'!$C$6:$C$4467,'SALES Raw'!$J$6:$J$4467,$J80,'SALES Raw'!$K$6:$K$4467,"Y")+SUMIFS('CEMIUP0.9 Raw'!$D$6:$D$1712,'CEMIUP0.9 Raw'!$B$6:$B$1712,$J80,'CEMIUP0.9 Raw'!$H$6:$H$1712,"Y")</f>
        <v>511</v>
      </c>
      <c r="E80" s="19" t="n">
        <f aca="false">SUMIFS('SALES Raw'!$D$6:$D$4467,'SALES Raw'!$J$6:$J$4467,$J80,'SALES Raw'!$K$6:$K$4467,"Y")+SUMIFS('CEMIUP0.9 Raw'!$E$6:$E$1712,'CEMIUP0.9 Raw'!$B$6:$B$1712,$J80,'CEMIUP0.9 Raw'!$H$6:$H$1712,"Y")</f>
        <v>9151.594</v>
      </c>
      <c r="F80" s="19" t="n">
        <f aca="false">SUMIFS('SALES Raw'!$E$6:$E$4467,'SALES Raw'!$J$6:$J$4467,$J80,'SALES Raw'!$K$6:$K$4467,"Y")*$H$4+SUMIFS('CEMIUP0.9 Raw'!$F$6:$F$1712,'CEMIUP0.9 Raw'!$B$6:$B$1712,$J80,'CEMIUP0.9 Raw'!$H$6:$H$1712,"Y")</f>
        <v>382.736842105263</v>
      </c>
      <c r="G80" s="19" t="n">
        <f aca="false">SUMIFS('SALES Raw'!$F$6:$F$4467,'SALES Raw'!$J$6:$J$4467,$J80,'SALES Raw'!$K$6:$K$4467,"Y")*$H$4+SUMIFS('CEMIUP0.9 Raw'!$G$6:$G$1712,'CEMIUP0.9 Raw'!$B$6:$B$1712,$J80,'CEMIUP0.9 Raw'!$H$6:$H$1712,"Y")</f>
        <v>7278.39915789474</v>
      </c>
      <c r="H80" s="18" t="s">
        <v>43</v>
      </c>
      <c r="I80" s="18" t="s">
        <v>48</v>
      </c>
      <c r="J80" s="18" t="n">
        <v>4422000</v>
      </c>
    </row>
    <row r="81" customFormat="false" ht="15" hidden="false" customHeight="false" outlineLevel="0" collapsed="false">
      <c r="A81" s="18" t="n">
        <f aca="false">IF(ISNUMBER($J81),$J81,"")</f>
        <v>4415160</v>
      </c>
      <c r="B81" s="18" t="str">
        <f aca="false">IFERROR(INDEX('SALES Raw'!$B$6:$B$4467,MATCH($J81,'SALES Raw'!$J$6:$J$4467,0)),IFERROR(INDEX('CEMIUP0.9 Raw'!$B$6:$B$1712,MATCH($J81,'CEMIUP0.9 Raw'!$B$6:$B$1712,0)),$J81))</f>
        <v>238 S</v>
      </c>
      <c r="C81" s="18" t="str">
        <f aca="false">IF(ISNUMBER($J81),IFERROR(INDEX('TRANS'!$C:$C,MATCH($J81,'TRANS'!$B:$B,0)),IFERROR(INDEX('Catalog'!$B:$B,MATCH($J81,'Catalog'!$A:$A,0)),$B81)),$B81)</f>
        <v>238S סד ליישור אצבע</v>
      </c>
      <c r="D81" s="19" t="n">
        <f aca="false">SUMIFS('SALES Raw'!$C$6:$C$4467,'SALES Raw'!$J$6:$J$4467,$J81,'SALES Raw'!$K$6:$K$4467,"Y")+SUMIFS('CEMIUP0.9 Raw'!$D$6:$D$1712,'CEMIUP0.9 Raw'!$B$6:$B$1712,$J81,'CEMIUP0.9 Raw'!$H$6:$H$1712,"Y")</f>
        <v>380</v>
      </c>
      <c r="E81" s="19" t="n">
        <f aca="false">SUMIFS('SALES Raw'!$D$6:$D$4467,'SALES Raw'!$J$6:$J$4467,$J81,'SALES Raw'!$K$6:$K$4467,"Y")+SUMIFS('CEMIUP0.9 Raw'!$E$6:$E$1712,'CEMIUP0.9 Raw'!$B$6:$B$1712,$J81,'CEMIUP0.9 Raw'!$H$6:$H$1712,"Y")</f>
        <v>7056.035</v>
      </c>
      <c r="F81" s="19" t="n">
        <f aca="false">SUMIFS('SALES Raw'!$E$6:$E$4467,'SALES Raw'!$J$6:$J$4467,$J81,'SALES Raw'!$K$6:$K$4467,"Y")*$H$4+SUMIFS('CEMIUP0.9 Raw'!$F$6:$F$1712,'CEMIUP0.9 Raw'!$B$6:$B$1712,$J81,'CEMIUP0.9 Raw'!$H$6:$H$1712,"Y")</f>
        <v>378.947368421053</v>
      </c>
      <c r="G81" s="19" t="n">
        <f aca="false">SUMIFS('SALES Raw'!$F$6:$F$4467,'SALES Raw'!$J$6:$J$4467,$J81,'SALES Raw'!$K$6:$K$4467,"Y")*$H$4+SUMIFS('CEMIUP0.9 Raw'!$G$6:$G$1712,'CEMIUP0.9 Raw'!$B$6:$B$1712,$J81,'CEMIUP0.9 Raw'!$H$6:$H$1712,"Y")</f>
        <v>7332.79831578947</v>
      </c>
      <c r="H81" s="18" t="s">
        <v>43</v>
      </c>
      <c r="I81" s="18" t="s">
        <v>44</v>
      </c>
      <c r="J81" s="18" t="n">
        <v>4415160</v>
      </c>
    </row>
    <row r="82" customFormat="false" ht="15" hidden="false" customHeight="false" outlineLevel="0" collapsed="false">
      <c r="A82" s="18" t="n">
        <f aca="false">IF(ISNUMBER($J82),$J82,"")</f>
        <v>4415177</v>
      </c>
      <c r="B82" s="18" t="str">
        <f aca="false">IFERROR(INDEX('SALES Raw'!$B$6:$B$4467,MATCH($J82,'SALES Raw'!$J$6:$J$4467,0)),IFERROR(INDEX('CEMIUP0.9 Raw'!$B$6:$B$1712,MATCH($J82,'CEMIUP0.9 Raw'!$B$6:$B$1712,0)),$J82))</f>
        <v>ST28 0</v>
      </c>
      <c r="C82" s="18" t="str">
        <f aca="false">IF(ISNUMBER($J82),IFERROR(INDEX('TRANS'!$C:$C,MATCH($J82,'TRANS'!$B:$B,0)),IFERROR(INDEX('Catalog'!$B:$B,MATCH($J82,'Catalog'!$A:$A,0)),$B82)),$B82)</f>
        <v>ST28 סד אגודלי עם מוט תמיכה</v>
      </c>
      <c r="D82" s="19" t="n">
        <f aca="false">SUMIFS('SALES Raw'!$C$6:$C$4467,'SALES Raw'!$J$6:$J$4467,$J82,'SALES Raw'!$K$6:$K$4467,"Y")+SUMIFS('CEMIUP0.9 Raw'!$D$6:$D$1712,'CEMIUP0.9 Raw'!$B$6:$B$1712,$J82,'CEMIUP0.9 Raw'!$H$6:$H$1712,"Y")</f>
        <v>364</v>
      </c>
      <c r="E82" s="19" t="n">
        <f aca="false">SUMIFS('SALES Raw'!$D$6:$D$4467,'SALES Raw'!$J$6:$J$4467,$J82,'SALES Raw'!$K$6:$K$4467,"Y")+SUMIFS('CEMIUP0.9 Raw'!$E$6:$E$1712,'CEMIUP0.9 Raw'!$B$6:$B$1712,$J82,'CEMIUP0.9 Raw'!$H$6:$H$1712,"Y")</f>
        <v>15491.49</v>
      </c>
      <c r="F82" s="19" t="n">
        <f aca="false">SUMIFS('SALES Raw'!$E$6:$E$4467,'SALES Raw'!$J$6:$J$4467,$J82,'SALES Raw'!$K$6:$K$4467,"Y")*$H$4+SUMIFS('CEMIUP0.9 Raw'!$F$6:$F$1712,'CEMIUP0.9 Raw'!$B$6:$B$1712,$J82,'CEMIUP0.9 Raw'!$H$6:$H$1712,"Y")</f>
        <v>377.684210526316</v>
      </c>
      <c r="G82" s="19" t="n">
        <f aca="false">SUMIFS('SALES Raw'!$F$6:$F$4467,'SALES Raw'!$J$6:$J$4467,$J82,'SALES Raw'!$K$6:$K$4467,"Y")*$H$4+SUMIFS('CEMIUP0.9 Raw'!$G$6:$G$1712,'CEMIUP0.9 Raw'!$B$6:$B$1712,$J82,'CEMIUP0.9 Raw'!$H$6:$H$1712,"Y")</f>
        <v>21340.3452631579</v>
      </c>
      <c r="H82" s="18" t="s">
        <v>42</v>
      </c>
      <c r="I82" s="18" t="s">
        <v>48</v>
      </c>
      <c r="J82" s="18" t="n">
        <v>4415177</v>
      </c>
    </row>
    <row r="83" customFormat="false" ht="15" hidden="false" customHeight="false" outlineLevel="0" collapsed="false">
      <c r="A83" s="18" t="n">
        <f aca="false">IF(ISNUMBER($J83),$J83,"")</f>
        <v>4408051</v>
      </c>
      <c r="B83" s="18" t="str">
        <f aca="false">IFERROR(INDEX('SALES Raw'!$B$6:$B$4467,MATCH($J83,'SALES Raw'!$J$6:$J$4467,0)),IFERROR(INDEX('CEMIUP0.9 Raw'!$B$6:$B$1712,MATCH($J83,'CEMIUP0.9 Raw'!$B$6:$B$1712,0)),$J83))</f>
        <v>21 S</v>
      </c>
      <c r="C83" s="18" t="str">
        <f aca="false">IF(ISNUMBER($J83),IFERROR(INDEX('TRANS'!$C:$C,MATCH($J83,'TRANS'!$B:$B,0)),IFERROR(INDEX('Catalog'!$B:$B,MATCH($J83,'Catalog'!$A:$A,0)),$B83)),$B83)</f>
        <v>21 S  חבק יד ארוך</v>
      </c>
      <c r="D83" s="19" t="n">
        <f aca="false">SUMIFS('SALES Raw'!$C$6:$C$4467,'SALES Raw'!$J$6:$J$4467,$J83,'SALES Raw'!$K$6:$K$4467,"Y")+SUMIFS('CEMIUP0.9 Raw'!$D$6:$D$1712,'CEMIUP0.9 Raw'!$B$6:$B$1712,$J83,'CEMIUP0.9 Raw'!$H$6:$H$1712,"Y")</f>
        <v>557</v>
      </c>
      <c r="E83" s="19" t="n">
        <f aca="false">SUMIFS('SALES Raw'!$D$6:$D$4467,'SALES Raw'!$J$6:$J$4467,$J83,'SALES Raw'!$K$6:$K$4467,"Y")+SUMIFS('CEMIUP0.9 Raw'!$E$6:$E$1712,'CEMIUP0.9 Raw'!$B$6:$B$1712,$J83,'CEMIUP0.9 Raw'!$H$6:$H$1712,"Y")</f>
        <v>17908.051</v>
      </c>
      <c r="F83" s="19" t="n">
        <f aca="false">SUMIFS('SALES Raw'!$E$6:$E$4467,'SALES Raw'!$J$6:$J$4467,$J83,'SALES Raw'!$K$6:$K$4467,"Y")*$H$4+SUMIFS('CEMIUP0.9 Raw'!$F$6:$F$1712,'CEMIUP0.9 Raw'!$B$6:$B$1712,$J83,'CEMIUP0.9 Raw'!$H$6:$H$1712,"Y")</f>
        <v>371.368421052632</v>
      </c>
      <c r="G83" s="19" t="n">
        <f aca="false">SUMIFS('SALES Raw'!$F$6:$F$4467,'SALES Raw'!$J$6:$J$4467,$J83,'SALES Raw'!$K$6:$K$4467,"Y")*$H$4+SUMIFS('CEMIUP0.9 Raw'!$G$6:$G$1712,'CEMIUP0.9 Raw'!$B$6:$B$1712,$J83,'CEMIUP0.9 Raw'!$H$6:$H$1712,"Y")</f>
        <v>11819.8686315789</v>
      </c>
      <c r="H83" s="18" t="s">
        <v>43</v>
      </c>
      <c r="I83" s="18" t="s">
        <v>48</v>
      </c>
      <c r="J83" s="18" t="n">
        <v>4408051</v>
      </c>
    </row>
    <row r="84" customFormat="false" ht="15" hidden="false" customHeight="false" outlineLevel="0" collapsed="false">
      <c r="A84" s="18" t="n">
        <f aca="false">IF(ISNUMBER($J84),$J84,"")</f>
        <v>4413103</v>
      </c>
      <c r="B84" s="18" t="str">
        <f aca="false">IFERROR(INDEX('SALES Raw'!$B$6:$B$4467,MATCH($J84,'SALES Raw'!$J$6:$J$4467,0)),IFERROR(INDEX('CEMIUP0.9 Raw'!$B$6:$B$1712,MATCH($J84,'CEMIUP0.9 Raw'!$B$6:$B$1712,0)),$J84))</f>
        <v>45E M</v>
      </c>
      <c r="C84" s="18" t="str">
        <f aca="false">IF(ISNUMBER($J84),IFERROR(INDEX('TRANS'!$C:$C,MATCH($J84,'TRANS'!$B:$B,0)),IFERROR(INDEX('Catalog'!$B:$B,MATCH($J84,'Catalog'!$A:$A,0)),$B84)),$B84)</f>
        <v>45E Mמגן ברך ארוך לבן</v>
      </c>
      <c r="D84" s="19" t="n">
        <f aca="false">SUMIFS('SALES Raw'!$C$6:$C$4467,'SALES Raw'!$J$6:$J$4467,$J84,'SALES Raw'!$K$6:$K$4467,"Y")+SUMIFS('CEMIUP0.9 Raw'!$D$6:$D$1712,'CEMIUP0.9 Raw'!$B$6:$B$1712,$J84,'CEMIUP0.9 Raw'!$H$6:$H$1712,"Y")</f>
        <v>482</v>
      </c>
      <c r="E84" s="19" t="n">
        <f aca="false">SUMIFS('SALES Raw'!$D$6:$D$4467,'SALES Raw'!$J$6:$J$4467,$J84,'SALES Raw'!$K$6:$K$4467,"Y")+SUMIFS('CEMIUP0.9 Raw'!$E$6:$E$1712,'CEMIUP0.9 Raw'!$B$6:$B$1712,$J84,'CEMIUP0.9 Raw'!$H$6:$H$1712,"Y")</f>
        <v>11826.542</v>
      </c>
      <c r="F84" s="19" t="n">
        <f aca="false">SUMIFS('SALES Raw'!$E$6:$E$4467,'SALES Raw'!$J$6:$J$4467,$J84,'SALES Raw'!$K$6:$K$4467,"Y")*$H$4+SUMIFS('CEMIUP0.9 Raw'!$F$6:$F$1712,'CEMIUP0.9 Raw'!$B$6:$B$1712,$J84,'CEMIUP0.9 Raw'!$H$6:$H$1712,"Y")</f>
        <v>368.842105263158</v>
      </c>
      <c r="G84" s="19" t="n">
        <f aca="false">SUMIFS('SALES Raw'!$F$6:$F$4467,'SALES Raw'!$J$6:$J$4467,$J84,'SALES Raw'!$K$6:$K$4467,"Y")*$H$4+SUMIFS('CEMIUP0.9 Raw'!$G$6:$G$1712,'CEMIUP0.9 Raw'!$B$6:$B$1712,$J84,'CEMIUP0.9 Raw'!$H$6:$H$1712,"Y")</f>
        <v>8468.54147368422</v>
      </c>
      <c r="H84" s="18" t="s">
        <v>48</v>
      </c>
      <c r="I84" s="18" t="s">
        <v>43</v>
      </c>
      <c r="J84" s="18" t="n">
        <v>4413103</v>
      </c>
    </row>
    <row r="85" customFormat="false" ht="15" hidden="false" customHeight="false" outlineLevel="0" collapsed="false">
      <c r="A85" s="18" t="n">
        <f aca="false">IF(ISNUMBER($J85),$J85,"")</f>
        <v>4416001</v>
      </c>
      <c r="B85" s="18" t="str">
        <f aca="false">IFERROR(INDEX('SALES Raw'!$B$6:$B$4467,MATCH($J85,'SALES Raw'!$J$6:$J$4467,0)),IFERROR(INDEX('CEMIUP0.9 Raw'!$B$6:$B$1712,MATCH($J85,'CEMIUP0.9 Raw'!$B$6:$B$1712,0)),$J85))</f>
        <v>307 M</v>
      </c>
      <c r="C85" s="18" t="str">
        <f aca="false">IF(ISNUMBER($J85),IFERROR(INDEX('TRANS'!$C:$C,MATCH($J85,'TRANS'!$B:$B,0)),IFERROR(INDEX('Catalog'!$B:$B,MATCH($J85,'Catalog'!$A:$A,0)),$B85)),$B85)</f>
        <v>307 M עקבים לדורבן-זוג כריות</v>
      </c>
      <c r="D85" s="19" t="n">
        <f aca="false">SUMIFS('SALES Raw'!$C$6:$C$4467,'SALES Raw'!$J$6:$J$4467,$J85,'SALES Raw'!$K$6:$K$4467,"Y")+SUMIFS('CEMIUP0.9 Raw'!$D$6:$D$1712,'CEMIUP0.9 Raw'!$B$6:$B$1712,$J85,'CEMIUP0.9 Raw'!$H$6:$H$1712,"Y")</f>
        <v>502</v>
      </c>
      <c r="E85" s="19" t="n">
        <f aca="false">SUMIFS('SALES Raw'!$D$6:$D$4467,'SALES Raw'!$J$6:$J$4467,$J85,'SALES Raw'!$K$6:$K$4467,"Y")+SUMIFS('CEMIUP0.9 Raw'!$E$6:$E$1712,'CEMIUP0.9 Raw'!$B$6:$B$1712,$J85,'CEMIUP0.9 Raw'!$H$6:$H$1712,"Y")</f>
        <v>35427.815</v>
      </c>
      <c r="F85" s="19" t="n">
        <f aca="false">SUMIFS('SALES Raw'!$E$6:$E$4467,'SALES Raw'!$J$6:$J$4467,$J85,'SALES Raw'!$K$6:$K$4467,"Y")*$H$4+SUMIFS('CEMIUP0.9 Raw'!$F$6:$F$1712,'CEMIUP0.9 Raw'!$B$6:$B$1712,$J85,'CEMIUP0.9 Raw'!$H$6:$H$1712,"Y")</f>
        <v>360</v>
      </c>
      <c r="G85" s="19" t="n">
        <f aca="false">SUMIFS('SALES Raw'!$F$6:$F$4467,'SALES Raw'!$J$6:$J$4467,$J85,'SALES Raw'!$K$6:$K$4467,"Y")*$H$4+SUMIFS('CEMIUP0.9 Raw'!$G$6:$G$1712,'CEMIUP0.9 Raw'!$B$6:$B$1712,$J85,'CEMIUP0.9 Raw'!$H$6:$H$1712,"Y")</f>
        <v>26572.0370526316</v>
      </c>
      <c r="H85" s="18" t="s">
        <v>48</v>
      </c>
      <c r="I85" s="18" t="s">
        <v>43</v>
      </c>
      <c r="J85" s="18" t="n">
        <v>4416001</v>
      </c>
    </row>
    <row r="86" customFormat="false" ht="15" hidden="false" customHeight="false" outlineLevel="0" collapsed="false">
      <c r="A86" s="18" t="n">
        <f aca="false">IF(ISNUMBER($J86),$J86,"")</f>
        <v>4413099</v>
      </c>
      <c r="B86" s="18" t="str">
        <f aca="false">IFERROR(INDEX('SALES Raw'!$B$6:$B$4467,MATCH($J86,'SALES Raw'!$J$6:$J$4467,0)),IFERROR(INDEX('CEMIUP0.9 Raw'!$B$6:$B$1712,MATCH($J86,'CEMIUP0.9 Raw'!$B$6:$B$1712,0)),$J86))</f>
        <v>45C M</v>
      </c>
      <c r="C86" s="18" t="str">
        <f aca="false">IF(ISNUMBER($J86),IFERROR(INDEX('TRANS'!$C:$C,MATCH($J86,'TRANS'!$B:$B,0)),IFERROR(INDEX('Catalog'!$B:$B,MATCH($J86,'Catalog'!$A:$A,0)),$B86)),$B86)</f>
        <v>45C M מגן ברך חום</v>
      </c>
      <c r="D86" s="19" t="n">
        <f aca="false">SUMIFS('SALES Raw'!$C$6:$C$4467,'SALES Raw'!$J$6:$J$4467,$J86,'SALES Raw'!$K$6:$K$4467,"Y")+SUMIFS('CEMIUP0.9 Raw'!$D$6:$D$1712,'CEMIUP0.9 Raw'!$B$6:$B$1712,$J86,'CEMIUP0.9 Raw'!$H$6:$H$1712,"Y")</f>
        <v>419</v>
      </c>
      <c r="E86" s="19" t="n">
        <f aca="false">SUMIFS('SALES Raw'!$D$6:$D$4467,'SALES Raw'!$J$6:$J$4467,$J86,'SALES Raw'!$K$6:$K$4467,"Y")+SUMIFS('CEMIUP0.9 Raw'!$E$6:$E$1712,'CEMIUP0.9 Raw'!$B$6:$B$1712,$J86,'CEMIUP0.9 Raw'!$H$6:$H$1712,"Y")</f>
        <v>11581.389</v>
      </c>
      <c r="F86" s="19" t="n">
        <f aca="false">SUMIFS('SALES Raw'!$E$6:$E$4467,'SALES Raw'!$J$6:$J$4467,$J86,'SALES Raw'!$K$6:$K$4467,"Y")*$H$4+SUMIFS('CEMIUP0.9 Raw'!$F$6:$F$1712,'CEMIUP0.9 Raw'!$B$6:$B$1712,$J86,'CEMIUP0.9 Raw'!$H$6:$H$1712,"Y")</f>
        <v>354.947368421053</v>
      </c>
      <c r="G86" s="19" t="n">
        <f aca="false">SUMIFS('SALES Raw'!$F$6:$F$4467,'SALES Raw'!$J$6:$J$4467,$J86,'SALES Raw'!$K$6:$K$4467,"Y")*$H$4+SUMIFS('CEMIUP0.9 Raw'!$G$6:$G$1712,'CEMIUP0.9 Raw'!$B$6:$B$1712,$J86,'CEMIUP0.9 Raw'!$H$6:$H$1712,"Y")</f>
        <v>10067.8585263158</v>
      </c>
      <c r="H86" s="18" t="s">
        <v>43</v>
      </c>
      <c r="I86" s="18" t="s">
        <v>44</v>
      </c>
      <c r="J86" s="18" t="n">
        <v>4413099</v>
      </c>
    </row>
    <row r="87" customFormat="false" ht="15" hidden="false" customHeight="false" outlineLevel="0" collapsed="false">
      <c r="A87" s="18" t="n">
        <f aca="false">IF(ISNUMBER($J87),$J87,"")</f>
        <v>4415026</v>
      </c>
      <c r="B87" s="18" t="str">
        <f aca="false">IFERROR(INDEX('SALES Raw'!$B$6:$B$4467,MATCH($J87,'SALES Raw'!$J$6:$J$4467,0)),IFERROR(INDEX('CEMIUP0.9 Raw'!$B$6:$B$1712,MATCH($J87,'CEMIUP0.9 Raw'!$B$6:$B$1712,0)),$J87))</f>
        <v>AC27L 0</v>
      </c>
      <c r="C87" s="18" t="str">
        <f aca="false">IF(ISNUMBER($J87),IFERROR(INDEX('TRANS'!$C:$C,MATCH($J87,'TRANS'!$B:$B,0)),IFERROR(INDEX('Catalog'!$B:$B,MATCH($J87,'Catalog'!$A:$A,0)),$B87)),$B87)</f>
        <v>AC-27L סד לש.כף יד שמאל</v>
      </c>
      <c r="D87" s="19" t="n">
        <f aca="false">SUMIFS('SALES Raw'!$C$6:$C$4467,'SALES Raw'!$J$6:$J$4467,$J87,'SALES Raw'!$K$6:$K$4467,"Y")+SUMIFS('CEMIUP0.9 Raw'!$D$6:$D$1712,'CEMIUP0.9 Raw'!$B$6:$B$1712,$J87,'CEMIUP0.9 Raw'!$H$6:$H$1712,"Y")</f>
        <v>427</v>
      </c>
      <c r="E87" s="19" t="n">
        <f aca="false">SUMIFS('SALES Raw'!$D$6:$D$4467,'SALES Raw'!$J$6:$J$4467,$J87,'SALES Raw'!$K$6:$K$4467,"Y")+SUMIFS('CEMIUP0.9 Raw'!$E$6:$E$1712,'CEMIUP0.9 Raw'!$B$6:$B$1712,$J87,'CEMIUP0.9 Raw'!$H$6:$H$1712,"Y")</f>
        <v>17467.556</v>
      </c>
      <c r="F87" s="19" t="n">
        <f aca="false">SUMIFS('SALES Raw'!$E$6:$E$4467,'SALES Raw'!$J$6:$J$4467,$J87,'SALES Raw'!$K$6:$K$4467,"Y")*$H$4+SUMIFS('CEMIUP0.9 Raw'!$F$6:$F$1712,'CEMIUP0.9 Raw'!$B$6:$B$1712,$J87,'CEMIUP0.9 Raw'!$H$6:$H$1712,"Y")</f>
        <v>354.947368421053</v>
      </c>
      <c r="G87" s="19" t="n">
        <f aca="false">SUMIFS('SALES Raw'!$F$6:$F$4467,'SALES Raw'!$J$6:$J$4467,$J87,'SALES Raw'!$K$6:$K$4467,"Y")*$H$4+SUMIFS('CEMIUP0.9 Raw'!$G$6:$G$1712,'CEMIUP0.9 Raw'!$B$6:$B$1712,$J87,'CEMIUP0.9 Raw'!$H$6:$H$1712,"Y")</f>
        <v>16770.8336842105</v>
      </c>
      <c r="H87" s="18" t="s">
        <v>43</v>
      </c>
      <c r="I87" s="18" t="s">
        <v>42</v>
      </c>
      <c r="J87" s="18" t="n">
        <v>4415026</v>
      </c>
    </row>
    <row r="88" customFormat="false" ht="15" hidden="false" customHeight="false" outlineLevel="0" collapsed="false">
      <c r="A88" s="18" t="n">
        <f aca="false">IF(ISNUMBER($J88),$J88,"")</f>
        <v>4413104</v>
      </c>
      <c r="B88" s="18" t="str">
        <f aca="false">IFERROR(INDEX('SALES Raw'!$B$6:$B$4467,MATCH($J88,'SALES Raw'!$J$6:$J$4467,0)),IFERROR(INDEX('CEMIUP0.9 Raw'!$B$6:$B$1712,MATCH($J88,'CEMIUP0.9 Raw'!$B$6:$B$1712,0)),$J88))</f>
        <v>45E XL</v>
      </c>
      <c r="C88" s="18" t="str">
        <f aca="false">IF(ISNUMBER($J88),IFERROR(INDEX('TRANS'!$C:$C,MATCH($J88,'TRANS'!$B:$B,0)),IFERROR(INDEX('Catalog'!$B:$B,MATCH($J88,'Catalog'!$A:$A,0)),$B88)),$B88)</f>
        <v>45E XLמגן ברך ארוך לבן</v>
      </c>
      <c r="D88" s="19" t="n">
        <f aca="false">SUMIFS('SALES Raw'!$C$6:$C$4467,'SALES Raw'!$J$6:$J$4467,$J88,'SALES Raw'!$K$6:$K$4467,"Y")+SUMIFS('CEMIUP0.9 Raw'!$D$6:$D$1712,'CEMIUP0.9 Raw'!$B$6:$B$1712,$J88,'CEMIUP0.9 Raw'!$H$6:$H$1712,"Y")</f>
        <v>432</v>
      </c>
      <c r="E88" s="19" t="n">
        <f aca="false">SUMIFS('SALES Raw'!$D$6:$D$4467,'SALES Raw'!$J$6:$J$4467,$J88,'SALES Raw'!$K$6:$K$4467,"Y")+SUMIFS('CEMIUP0.9 Raw'!$E$6:$E$1712,'CEMIUP0.9 Raw'!$B$6:$B$1712,$J88,'CEMIUP0.9 Raw'!$H$6:$H$1712,"Y")</f>
        <v>10824.342</v>
      </c>
      <c r="F88" s="19" t="n">
        <f aca="false">SUMIFS('SALES Raw'!$E$6:$E$4467,'SALES Raw'!$J$6:$J$4467,$J88,'SALES Raw'!$K$6:$K$4467,"Y")*$H$4+SUMIFS('CEMIUP0.9 Raw'!$F$6:$F$1712,'CEMIUP0.9 Raw'!$B$6:$B$1712,$J88,'CEMIUP0.9 Raw'!$H$6:$H$1712,"Y")</f>
        <v>351.157894736842</v>
      </c>
      <c r="G88" s="19" t="n">
        <f aca="false">SUMIFS('SALES Raw'!$F$6:$F$4467,'SALES Raw'!$J$6:$J$4467,$J88,'SALES Raw'!$K$6:$K$4467,"Y")*$H$4+SUMIFS('CEMIUP0.9 Raw'!$G$6:$G$1712,'CEMIUP0.9 Raw'!$B$6:$B$1712,$J88,'CEMIUP0.9 Raw'!$H$6:$H$1712,"Y")</f>
        <v>8497.00547368421</v>
      </c>
      <c r="H88" s="18" t="s">
        <v>48</v>
      </c>
      <c r="I88" s="18" t="s">
        <v>43</v>
      </c>
      <c r="J88" s="18" t="n">
        <v>4413104</v>
      </c>
    </row>
    <row r="89" customFormat="false" ht="15" hidden="false" customHeight="false" outlineLevel="0" collapsed="false">
      <c r="A89" s="18" t="n">
        <f aca="false">IF(ISNUMBER($J89),$J89,"")</f>
        <v>4421008</v>
      </c>
      <c r="B89" s="18" t="str">
        <f aca="false">IFERROR(INDEX('SALES Raw'!$B$6:$B$4467,MATCH($J89,'SALES Raw'!$J$6:$J$4467,0)),IFERROR(INDEX('CEMIUP0.9 Raw'!$B$6:$B$1712,MATCH($J89,'CEMIUP0.9 Raw'!$B$6:$B$1712,0)),$J89))</f>
        <v>351 0</v>
      </c>
      <c r="C89" s="18" t="str">
        <f aca="false">IF(ISNUMBER($J89),IFERROR(INDEX('TRANS'!$C:$C,MATCH($J89,'TRANS'!$B:$B,0)),IFERROR(INDEX('Catalog'!$B:$B,MATCH($J89,'Catalog'!$A:$A,0)),$B89)),$B89)</f>
        <v>שרוול לגבס ארוך רגל</v>
      </c>
      <c r="D89" s="19" t="n">
        <f aca="false">SUMIFS('SALES Raw'!$C$6:$C$4467,'SALES Raw'!$J$6:$J$4467,$J89,'SALES Raw'!$K$6:$K$4467,"Y")+SUMIFS('CEMIUP0.9 Raw'!$D$6:$D$1712,'CEMIUP0.9 Raw'!$B$6:$B$1712,$J89,'CEMIUP0.9 Raw'!$H$6:$H$1712,"Y")</f>
        <v>215</v>
      </c>
      <c r="E89" s="19" t="n">
        <f aca="false">SUMIFS('SALES Raw'!$D$6:$D$4467,'SALES Raw'!$J$6:$J$4467,$J89,'SALES Raw'!$K$6:$K$4467,"Y")+SUMIFS('CEMIUP0.9 Raw'!$E$6:$E$1712,'CEMIUP0.9 Raw'!$B$6:$B$1712,$J89,'CEMIUP0.9 Raw'!$H$6:$H$1712,"Y")</f>
        <v>10496.098</v>
      </c>
      <c r="F89" s="19" t="n">
        <f aca="false">SUMIFS('SALES Raw'!$E$6:$E$4467,'SALES Raw'!$J$6:$J$4467,$J89,'SALES Raw'!$K$6:$K$4467,"Y")*$H$4+SUMIFS('CEMIUP0.9 Raw'!$F$6:$F$1712,'CEMIUP0.9 Raw'!$B$6:$B$1712,$J89,'CEMIUP0.9 Raw'!$H$6:$H$1712,"Y")</f>
        <v>351.157894736842</v>
      </c>
      <c r="G89" s="19" t="n">
        <f aca="false">SUMIFS('SALES Raw'!$F$6:$F$4467,'SALES Raw'!$J$6:$J$4467,$J89,'SALES Raw'!$K$6:$K$4467,"Y")*$H$4+SUMIFS('CEMIUP0.9 Raw'!$G$6:$G$1712,'CEMIUP0.9 Raw'!$B$6:$B$1712,$J89,'CEMIUP0.9 Raw'!$H$6:$H$1712,"Y")</f>
        <v>20664.1945263158</v>
      </c>
      <c r="H89" s="18" t="s">
        <v>42</v>
      </c>
      <c r="I89" s="18" t="s">
        <v>43</v>
      </c>
      <c r="J89" s="18" t="n">
        <v>4421008</v>
      </c>
    </row>
    <row r="90" customFormat="false" ht="15" hidden="false" customHeight="false" outlineLevel="0" collapsed="false">
      <c r="A90" s="18" t="n">
        <f aca="false">IF(ISNUMBER($J90),$J90,"")</f>
        <v>4413140</v>
      </c>
      <c r="B90" s="18" t="str">
        <f aca="false">IFERROR(INDEX('SALES Raw'!$B$6:$B$4467,MATCH($J90,'SALES Raw'!$J$6:$J$4467,0)),IFERROR(INDEX('CEMIUP0.9 Raw'!$B$6:$B$1712,MATCH($J90,'CEMIUP0.9 Raw'!$B$6:$B$1712,0)),$J90))</f>
        <v>95 M</v>
      </c>
      <c r="C90" s="18" t="str">
        <f aca="false">IF(ISNUMBER($J90),IFERROR(INDEX('TRANS'!$C:$C,MATCH($J90,'TRANS'!$B:$B,0)),IFERROR(INDEX('Catalog'!$B:$B,MATCH($J90,'Catalog'!$A:$A,0)),$B90)),$B90)</f>
        <v>95 M מגן מרפק רגיל לבן</v>
      </c>
      <c r="D90" s="19" t="n">
        <f aca="false">SUMIFS('SALES Raw'!$C$6:$C$4467,'SALES Raw'!$J$6:$J$4467,$J90,'SALES Raw'!$K$6:$K$4467,"Y")+SUMIFS('CEMIUP0.9 Raw'!$D$6:$D$1712,'CEMIUP0.9 Raw'!$B$6:$B$1712,$J90,'CEMIUP0.9 Raw'!$H$6:$H$1712,"Y")</f>
        <v>424</v>
      </c>
      <c r="E90" s="19" t="n">
        <f aca="false">SUMIFS('SALES Raw'!$D$6:$D$4467,'SALES Raw'!$J$6:$J$4467,$J90,'SALES Raw'!$K$6:$K$4467,"Y")+SUMIFS('CEMIUP0.9 Raw'!$E$6:$E$1712,'CEMIUP0.9 Raw'!$B$6:$B$1712,$J90,'CEMIUP0.9 Raw'!$H$6:$H$1712,"Y")</f>
        <v>9164.363</v>
      </c>
      <c r="F90" s="19" t="n">
        <f aca="false">SUMIFS('SALES Raw'!$E$6:$E$4467,'SALES Raw'!$J$6:$J$4467,$J90,'SALES Raw'!$K$6:$K$4467,"Y")*$H$4+SUMIFS('CEMIUP0.9 Raw'!$F$6:$F$1712,'CEMIUP0.9 Raw'!$B$6:$B$1712,$J90,'CEMIUP0.9 Raw'!$H$6:$H$1712,"Y")</f>
        <v>349.894736842105</v>
      </c>
      <c r="G90" s="19" t="n">
        <f aca="false">SUMIFS('SALES Raw'!$F$6:$F$4467,'SALES Raw'!$J$6:$J$4467,$J90,'SALES Raw'!$K$6:$K$4467,"Y")*$H$4+SUMIFS('CEMIUP0.9 Raw'!$G$6:$G$1712,'CEMIUP0.9 Raw'!$B$6:$B$1712,$J90,'CEMIUP0.9 Raw'!$H$6:$H$1712,"Y")</f>
        <v>7345.88589473684</v>
      </c>
      <c r="H90" s="18" t="s">
        <v>48</v>
      </c>
      <c r="I90" s="18" t="s">
        <v>43</v>
      </c>
      <c r="J90" s="18" t="n">
        <v>4413140</v>
      </c>
    </row>
    <row r="91" customFormat="false" ht="15" hidden="false" customHeight="false" outlineLevel="0" collapsed="false">
      <c r="A91" s="18" t="n">
        <f aca="false">IF(ISNUMBER($J91),$J91,"")</f>
        <v>4403044</v>
      </c>
      <c r="B91" s="18" t="str">
        <f aca="false">IFERROR(INDEX('SALES Raw'!$B$6:$B$4467,MATCH($J91,'SALES Raw'!$J$6:$J$4467,0)),IFERROR(INDEX('CEMIUP0.9 Raw'!$B$6:$B$1712,MATCH($J91,'CEMIUP0.9 Raw'!$B$6:$B$1712,0)),$J91))</f>
        <v>395B-39-42</v>
      </c>
      <c r="C91" s="18" t="str">
        <f aca="false">IF(ISNUMBER($J91),IFERROR(INDEX('TRANS'!$C:$C,MATCH($J91,'TRANS'!$B:$B,0)),IFERROR(INDEX('Catalog'!$B:$B,MATCH($J91,'Catalog'!$A:$A,0)),$B91)),$B91)</f>
        <v>395B גרבי קיץ אנטי בקטריא39-42</v>
      </c>
      <c r="D91" s="19" t="n">
        <f aca="false">SUMIFS('SALES Raw'!$C$6:$C$4467,'SALES Raw'!$J$6:$J$4467,$J91,'SALES Raw'!$K$6:$K$4467,"Y")+SUMIFS('CEMIUP0.9 Raw'!$D$6:$D$1712,'CEMIUP0.9 Raw'!$B$6:$B$1712,$J91,'CEMIUP0.9 Raw'!$H$6:$H$1712,"Y")</f>
        <v>0</v>
      </c>
      <c r="E91" s="19" t="n">
        <f aca="false">SUMIFS('SALES Raw'!$D$6:$D$4467,'SALES Raw'!$J$6:$J$4467,$J91,'SALES Raw'!$K$6:$K$4467,"Y")+SUMIFS('CEMIUP0.9 Raw'!$E$6:$E$1712,'CEMIUP0.9 Raw'!$B$6:$B$1712,$J91,'CEMIUP0.9 Raw'!$H$6:$H$1712,"Y")</f>
        <v>0</v>
      </c>
      <c r="F91" s="19" t="n">
        <f aca="false">SUMIFS('SALES Raw'!$E$6:$E$4467,'SALES Raw'!$J$6:$J$4467,$J91,'SALES Raw'!$K$6:$K$4467,"Y")*$H$4+SUMIFS('CEMIUP0.9 Raw'!$F$6:$F$1712,'CEMIUP0.9 Raw'!$B$6:$B$1712,$J91,'CEMIUP0.9 Raw'!$H$6:$H$1712,"Y")</f>
        <v>347.368421052632</v>
      </c>
      <c r="G91" s="19" t="n">
        <f aca="false">SUMIFS('SALES Raw'!$F$6:$F$4467,'SALES Raw'!$J$6:$J$4467,$J91,'SALES Raw'!$K$6:$K$4467,"Y")*$H$4+SUMIFS('CEMIUP0.9 Raw'!$G$6:$G$1712,'CEMIUP0.9 Raw'!$B$6:$B$1712,$J91,'CEMIUP0.9 Raw'!$H$6:$H$1712,"Y")</f>
        <v>11559.264</v>
      </c>
      <c r="H91" s="18" t="s">
        <v>44</v>
      </c>
      <c r="I91" s="18" t="s">
        <v>42</v>
      </c>
      <c r="J91" s="18" t="n">
        <v>4403044</v>
      </c>
    </row>
    <row r="92" customFormat="false" ht="15" hidden="false" customHeight="false" outlineLevel="0" collapsed="false">
      <c r="A92" s="18" t="n">
        <f aca="false">IF(ISNUMBER($J92),$J92,"")</f>
        <v>4416000</v>
      </c>
      <c r="B92" s="18" t="str">
        <f aca="false">IFERROR(INDEX('SALES Raw'!$B$6:$B$4467,MATCH($J92,'SALES Raw'!$J$6:$J$4467,0)),IFERROR(INDEX('CEMIUP0.9 Raw'!$B$6:$B$1712,MATCH($J92,'CEMIUP0.9 Raw'!$B$6:$B$1712,0)),$J92))</f>
        <v>307 L</v>
      </c>
      <c r="C92" s="18" t="str">
        <f aca="false">IF(ISNUMBER($J92),IFERROR(INDEX('TRANS'!$C:$C,MATCH($J92,'TRANS'!$B:$B,0)),IFERROR(INDEX('Catalog'!$B:$B,MATCH($J92,'Catalog'!$A:$A,0)),$B92)),$B92)</f>
        <v>307 L עקבים לדורבן-זוג כריות</v>
      </c>
      <c r="D92" s="19" t="n">
        <f aca="false">SUMIFS('SALES Raw'!$C$6:$C$4467,'SALES Raw'!$J$6:$J$4467,$J92,'SALES Raw'!$K$6:$K$4467,"Y")+SUMIFS('CEMIUP0.9 Raw'!$D$6:$D$1712,'CEMIUP0.9 Raw'!$B$6:$B$1712,$J92,'CEMIUP0.9 Raw'!$H$6:$H$1712,"Y")</f>
        <v>504</v>
      </c>
      <c r="E92" s="19" t="n">
        <f aca="false">SUMIFS('SALES Raw'!$D$6:$D$4467,'SALES Raw'!$J$6:$J$4467,$J92,'SALES Raw'!$K$6:$K$4467,"Y")+SUMIFS('CEMIUP0.9 Raw'!$E$6:$E$1712,'CEMIUP0.9 Raw'!$B$6:$B$1712,$J92,'CEMIUP0.9 Raw'!$H$6:$H$1712,"Y")</f>
        <v>35308.854</v>
      </c>
      <c r="F92" s="19" t="n">
        <f aca="false">SUMIFS('SALES Raw'!$E$6:$E$4467,'SALES Raw'!$J$6:$J$4467,$J92,'SALES Raw'!$K$6:$K$4467,"Y")*$H$4+SUMIFS('CEMIUP0.9 Raw'!$F$6:$F$1712,'CEMIUP0.9 Raw'!$B$6:$B$1712,$J92,'CEMIUP0.9 Raw'!$H$6:$H$1712,"Y")</f>
        <v>346.105263157895</v>
      </c>
      <c r="G92" s="19" t="n">
        <f aca="false">SUMIFS('SALES Raw'!$F$6:$F$4467,'SALES Raw'!$J$6:$J$4467,$J92,'SALES Raw'!$K$6:$K$4467,"Y")*$H$4+SUMIFS('CEMIUP0.9 Raw'!$G$6:$G$1712,'CEMIUP0.9 Raw'!$B$6:$B$1712,$J92,'CEMIUP0.9 Raw'!$H$6:$H$1712,"Y")</f>
        <v>25129.7608421053</v>
      </c>
      <c r="H92" s="18" t="s">
        <v>48</v>
      </c>
      <c r="I92" s="18" t="s">
        <v>43</v>
      </c>
      <c r="J92" s="18" t="n">
        <v>4416000</v>
      </c>
    </row>
    <row r="93" customFormat="false" ht="15" hidden="false" customHeight="false" outlineLevel="0" collapsed="false">
      <c r="A93" s="18" t="n">
        <f aca="false">IF(ISNUMBER($J93),$J93,"")</f>
        <v>4422032</v>
      </c>
      <c r="B93" s="18" t="str">
        <f aca="false">IFERROR(INDEX('SALES Raw'!$B$6:$B$4467,MATCH($J93,'SALES Raw'!$J$6:$J$4467,0)),IFERROR(INDEX('CEMIUP0.9 Raw'!$B$6:$B$1712,MATCH($J93,'CEMIUP0.9 Raw'!$B$6:$B$1712,0)),$J93))</f>
        <v>807CB-B</v>
      </c>
      <c r="C93" s="18" t="str">
        <f aca="false">IF(ISNUMBER($J93),IFERROR(INDEX('TRANS'!$C:$C,MATCH($J93,'TRANS'!$B:$B,0)),IFERROR(INDEX('Catalog'!$B:$B,MATCH($J93,'Catalog'!$A:$A,0)),$B93)),$B93)</f>
        <v>807B-Bתחבושת נצמדת שחור 20 מ""""מ</v>
      </c>
      <c r="D93" s="19" t="n">
        <f aca="false">SUMIFS('SALES Raw'!$C$6:$C$4467,'SALES Raw'!$J$6:$J$4467,$J93,'SALES Raw'!$K$6:$K$4467,"Y")+SUMIFS('CEMIUP0.9 Raw'!$D$6:$D$1712,'CEMIUP0.9 Raw'!$B$6:$B$1712,$J93,'CEMIUP0.9 Raw'!$H$6:$H$1712,"Y")</f>
        <v>529</v>
      </c>
      <c r="E93" s="19" t="n">
        <f aca="false">SUMIFS('SALES Raw'!$D$6:$D$4467,'SALES Raw'!$J$6:$J$4467,$J93,'SALES Raw'!$K$6:$K$4467,"Y")+SUMIFS('CEMIUP0.9 Raw'!$E$6:$E$1712,'CEMIUP0.9 Raw'!$B$6:$B$1712,$J93,'CEMIUP0.9 Raw'!$H$6:$H$1712,"Y")</f>
        <v>4563.501</v>
      </c>
      <c r="F93" s="19" t="n">
        <f aca="false">SUMIFS('SALES Raw'!$E$6:$E$4467,'SALES Raw'!$J$6:$J$4467,$J93,'SALES Raw'!$K$6:$K$4467,"Y")*$H$4+SUMIFS('CEMIUP0.9 Raw'!$F$6:$F$1712,'CEMIUP0.9 Raw'!$B$6:$B$1712,$J93,'CEMIUP0.9 Raw'!$H$6:$H$1712,"Y")</f>
        <v>341.052631578948</v>
      </c>
      <c r="G93" s="19" t="n">
        <f aca="false">SUMIFS('SALES Raw'!$F$6:$F$4467,'SALES Raw'!$J$6:$J$4467,$J93,'SALES Raw'!$K$6:$K$4467,"Y")*$H$4+SUMIFS('CEMIUP0.9 Raw'!$G$6:$G$1712,'CEMIUP0.9 Raw'!$B$6:$B$1712,$J93,'CEMIUP0.9 Raw'!$H$6:$H$1712,"Y")</f>
        <v>3918.79452631579</v>
      </c>
      <c r="H93" s="18" t="s">
        <v>43</v>
      </c>
      <c r="I93" s="18" t="s">
        <v>42</v>
      </c>
      <c r="J93" s="18" t="n">
        <v>4422032</v>
      </c>
    </row>
    <row r="94" customFormat="false" ht="15" hidden="false" customHeight="false" outlineLevel="0" collapsed="false">
      <c r="A94" s="18" t="n">
        <f aca="false">IF(ISNUMBER($J94),$J94,"")</f>
        <v>4413495</v>
      </c>
      <c r="B94" s="18" t="str">
        <f aca="false">IFERROR(INDEX('SALES Raw'!$B$6:$B$4467,MATCH($J94,'SALES Raw'!$J$6:$J$4467,0)),IFERROR(INDEX('CEMIUP0.9 Raw'!$B$6:$B$1712,MATCH($J94,'CEMIUP0.9 Raw'!$B$6:$B$1712,0)),$J94))</f>
        <v>45B L</v>
      </c>
      <c r="C94" s="18" t="str">
        <f aca="false">IF(ISNUMBER($J94),IFERROR(INDEX('TRANS'!$C:$C,MATCH($J94,'TRANS'!$B:$B,0)),IFERROR(INDEX('Catalog'!$B:$B,MATCH($J94,'Catalog'!$A:$A,0)),$B94)),$B94)</f>
        <v>45B L מגן ברך שחור</v>
      </c>
      <c r="D94" s="19" t="n">
        <f aca="false">SUMIFS('SALES Raw'!$C$6:$C$4467,'SALES Raw'!$J$6:$J$4467,$J94,'SALES Raw'!$K$6:$K$4467,"Y")+SUMIFS('CEMIUP0.9 Raw'!$D$6:$D$1712,'CEMIUP0.9 Raw'!$B$6:$B$1712,$J94,'CEMIUP0.9 Raw'!$H$6:$H$1712,"Y")</f>
        <v>454</v>
      </c>
      <c r="E94" s="19" t="n">
        <f aca="false">SUMIFS('SALES Raw'!$D$6:$D$4467,'SALES Raw'!$J$6:$J$4467,$J94,'SALES Raw'!$K$6:$K$4467,"Y")+SUMIFS('CEMIUP0.9 Raw'!$E$6:$E$1712,'CEMIUP0.9 Raw'!$B$6:$B$1712,$J94,'CEMIUP0.9 Raw'!$H$6:$H$1712,"Y")</f>
        <v>13068.351</v>
      </c>
      <c r="F94" s="19" t="n">
        <f aca="false">SUMIFS('SALES Raw'!$E$6:$E$4467,'SALES Raw'!$J$6:$J$4467,$J94,'SALES Raw'!$K$6:$K$4467,"Y")*$H$4+SUMIFS('CEMIUP0.9 Raw'!$F$6:$F$1712,'CEMIUP0.9 Raw'!$B$6:$B$1712,$J94,'CEMIUP0.9 Raw'!$H$6:$H$1712,"Y")</f>
        <v>339.789473684211</v>
      </c>
      <c r="G94" s="19" t="n">
        <f aca="false">SUMIFS('SALES Raw'!$F$6:$F$4467,'SALES Raw'!$J$6:$J$4467,$J94,'SALES Raw'!$K$6:$K$4467,"Y")*$H$4+SUMIFS('CEMIUP0.9 Raw'!$G$6:$G$1712,'CEMIUP0.9 Raw'!$B$6:$B$1712,$J94,'CEMIUP0.9 Raw'!$H$6:$H$1712,"Y")</f>
        <v>10202.2736842105</v>
      </c>
      <c r="H94" s="18" t="s">
        <v>43</v>
      </c>
      <c r="I94" s="18" t="s">
        <v>42</v>
      </c>
      <c r="J94" s="18" t="n">
        <v>4413495</v>
      </c>
    </row>
    <row r="95" customFormat="false" ht="15" hidden="false" customHeight="false" outlineLevel="0" collapsed="false">
      <c r="A95" s="18" t="n">
        <f aca="false">IF(ISNUMBER($J95),$J95,"")</f>
        <v>4413372</v>
      </c>
      <c r="B95" s="18" t="str">
        <f aca="false">IFERROR(INDEX('SALES Raw'!$B$6:$B$4467,MATCH($J95,'SALES Raw'!$J$6:$J$4467,0)),IFERROR(INDEX('CEMIUP0.9 Raw'!$B$6:$B$1712,MATCH($J95,'CEMIUP0.9 Raw'!$B$6:$B$1712,0)),$J95))</f>
        <v>302W 0</v>
      </c>
      <c r="C95" s="18" t="str">
        <f aca="false">IF(ISNUMBER($J95),IFERROR(INDEX('TRANS'!$C:$C,MATCH($J95,'TRANS'!$B:$B,0)),IFERROR(INDEX('Catalog'!$B:$B,MATCH($J95,'Catalog'!$A:$A,0)),$B95)),$B95)</f>
        <v>302 W מדרס לאישה</v>
      </c>
      <c r="D95" s="19" t="n">
        <f aca="false">SUMIFS('SALES Raw'!$C$6:$C$4467,'SALES Raw'!$J$6:$J$4467,$J95,'SALES Raw'!$K$6:$K$4467,"Y")+SUMIFS('CEMIUP0.9 Raw'!$D$6:$D$1712,'CEMIUP0.9 Raw'!$B$6:$B$1712,$J95,'CEMIUP0.9 Raw'!$H$6:$H$1712,"Y")</f>
        <v>807</v>
      </c>
      <c r="E95" s="19" t="n">
        <f aca="false">SUMIFS('SALES Raw'!$D$6:$D$4467,'SALES Raw'!$J$6:$J$4467,$J95,'SALES Raw'!$K$6:$K$4467,"Y")+SUMIFS('CEMIUP0.9 Raw'!$E$6:$E$1712,'CEMIUP0.9 Raw'!$B$6:$B$1712,$J95,'CEMIUP0.9 Raw'!$H$6:$H$1712,"Y")</f>
        <v>34177.883</v>
      </c>
      <c r="F95" s="19" t="n">
        <f aca="false">SUMIFS('SALES Raw'!$E$6:$E$4467,'SALES Raw'!$J$6:$J$4467,$J95,'SALES Raw'!$K$6:$K$4467,"Y")*$H$4+SUMIFS('CEMIUP0.9 Raw'!$F$6:$F$1712,'CEMIUP0.9 Raw'!$B$6:$B$1712,$J95,'CEMIUP0.9 Raw'!$H$6:$H$1712,"Y")</f>
        <v>338.526315789474</v>
      </c>
      <c r="G95" s="19" t="n">
        <f aca="false">SUMIFS('SALES Raw'!$F$6:$F$4467,'SALES Raw'!$J$6:$J$4467,$J95,'SALES Raw'!$K$6:$K$4467,"Y")*$H$4+SUMIFS('CEMIUP0.9 Raw'!$G$6:$G$1712,'CEMIUP0.9 Raw'!$B$6:$B$1712,$J95,'CEMIUP0.9 Raw'!$H$6:$H$1712,"Y")</f>
        <v>18910.5663157895</v>
      </c>
      <c r="H95" s="18" t="s">
        <v>43</v>
      </c>
      <c r="I95" s="18" t="s">
        <v>48</v>
      </c>
      <c r="J95" s="18" t="n">
        <v>4413372</v>
      </c>
    </row>
    <row r="96" customFormat="false" ht="15" hidden="false" customHeight="false" outlineLevel="0" collapsed="false">
      <c r="A96" s="18" t="n">
        <f aca="false">IF(ISNUMBER($J96),$J96,"")</f>
        <v>4413197</v>
      </c>
      <c r="B96" s="18" t="str">
        <f aca="false">IFERROR(INDEX('SALES Raw'!$B$6:$B$4467,MATCH($J96,'SALES Raw'!$J$6:$J$4467,0)),IFERROR(INDEX('CEMIUP0.9 Raw'!$B$6:$B$1712,MATCH($J96,'CEMIUP0.9 Raw'!$B$6:$B$1712,0)),$J96))</f>
        <v>87 L</v>
      </c>
      <c r="C96" s="18" t="str">
        <f aca="false">IF(ISNUMBER($J96),IFERROR(INDEX('TRANS'!$C:$C,MATCH($J96,'TRANS'!$B:$B,0)),IFERROR(INDEX('Catalog'!$B:$B,MATCH($J96,'Catalog'!$A:$A,0)),$B96)),$B96)</f>
        <v>87 L מקבע כתף ויד</v>
      </c>
      <c r="D96" s="19" t="n">
        <f aca="false">SUMIFS('SALES Raw'!$C$6:$C$4467,'SALES Raw'!$J$6:$J$4467,$J96,'SALES Raw'!$K$6:$K$4467,"Y")+SUMIFS('CEMIUP0.9 Raw'!$D$6:$D$1712,'CEMIUP0.9 Raw'!$B$6:$B$1712,$J96,'CEMIUP0.9 Raw'!$H$6:$H$1712,"Y")</f>
        <v>361</v>
      </c>
      <c r="E96" s="19" t="n">
        <f aca="false">SUMIFS('SALES Raw'!$D$6:$D$4467,'SALES Raw'!$J$6:$J$4467,$J96,'SALES Raw'!$K$6:$K$4467,"Y")+SUMIFS('CEMIUP0.9 Raw'!$E$6:$E$1712,'CEMIUP0.9 Raw'!$B$6:$B$1712,$J96,'CEMIUP0.9 Raw'!$H$6:$H$1712,"Y")</f>
        <v>50946.317</v>
      </c>
      <c r="F96" s="19" t="n">
        <f aca="false">SUMIFS('SALES Raw'!$E$6:$E$4467,'SALES Raw'!$J$6:$J$4467,$J96,'SALES Raw'!$K$6:$K$4467,"Y")*$H$4+SUMIFS('CEMIUP0.9 Raw'!$F$6:$F$1712,'CEMIUP0.9 Raw'!$B$6:$B$1712,$J96,'CEMIUP0.9 Raw'!$H$6:$H$1712,"Y")</f>
        <v>334.736842105263</v>
      </c>
      <c r="G96" s="19" t="n">
        <f aca="false">SUMIFS('SALES Raw'!$F$6:$F$4467,'SALES Raw'!$J$6:$J$4467,$J96,'SALES Raw'!$K$6:$K$4467,"Y")*$H$4+SUMIFS('CEMIUP0.9 Raw'!$G$6:$G$1712,'CEMIUP0.9 Raw'!$B$6:$B$1712,$J96,'CEMIUP0.9 Raw'!$H$6:$H$1712,"Y")</f>
        <v>51003.1035789474</v>
      </c>
      <c r="H96" s="18" t="s">
        <v>44</v>
      </c>
      <c r="I96" s="18" t="s">
        <v>43</v>
      </c>
      <c r="J96" s="18" t="n">
        <v>4413197</v>
      </c>
    </row>
    <row r="97" customFormat="false" ht="15" hidden="false" customHeight="false" outlineLevel="0" collapsed="false">
      <c r="A97" s="18" t="n">
        <f aca="false">IF(ISNUMBER($J97),$J97,"")</f>
        <v>4413516</v>
      </c>
      <c r="B97" s="18" t="str">
        <f aca="false">IFERROR(INDEX('SALES Raw'!$B$6:$B$4467,MATCH($J97,'SALES Raw'!$J$6:$J$4467,0)),IFERROR(INDEX('CEMIUP0.9 Raw'!$B$6:$B$1712,MATCH($J97,'CEMIUP0.9 Raw'!$B$6:$B$1712,0)),$J97))</f>
        <v>85B L</v>
      </c>
      <c r="C97" s="18" t="str">
        <f aca="false">IF(ISNUMBER($J97),IFERROR(INDEX('TRANS'!$C:$C,MATCH($J97,'TRANS'!$B:$B,0)),IFERROR(INDEX('Catalog'!$B:$B,MATCH($J97,'Catalog'!$A:$A,0)),$B97)),$B97)</f>
        <v>85B L מתלה רשת לזרוע שחור</v>
      </c>
      <c r="D97" s="19" t="n">
        <f aca="false">SUMIFS('SALES Raw'!$C$6:$C$4467,'SALES Raw'!$J$6:$J$4467,$J97,'SALES Raw'!$K$6:$K$4467,"Y")+SUMIFS('CEMIUP0.9 Raw'!$D$6:$D$1712,'CEMIUP0.9 Raw'!$B$6:$B$1712,$J97,'CEMIUP0.9 Raw'!$H$6:$H$1712,"Y")</f>
        <v>369</v>
      </c>
      <c r="E97" s="19" t="n">
        <f aca="false">SUMIFS('SALES Raw'!$D$6:$D$4467,'SALES Raw'!$J$6:$J$4467,$J97,'SALES Raw'!$K$6:$K$4467,"Y")+SUMIFS('CEMIUP0.9 Raw'!$E$6:$E$1712,'CEMIUP0.9 Raw'!$B$6:$B$1712,$J97,'CEMIUP0.9 Raw'!$H$6:$H$1712,"Y")</f>
        <v>18939.284</v>
      </c>
      <c r="F97" s="19" t="n">
        <f aca="false">SUMIFS('SALES Raw'!$E$6:$E$4467,'SALES Raw'!$J$6:$J$4467,$J97,'SALES Raw'!$K$6:$K$4467,"Y")*$H$4+SUMIFS('CEMIUP0.9 Raw'!$F$6:$F$1712,'CEMIUP0.9 Raw'!$B$6:$B$1712,$J97,'CEMIUP0.9 Raw'!$H$6:$H$1712,"Y")</f>
        <v>325.894736842106</v>
      </c>
      <c r="G97" s="19" t="n">
        <f aca="false">SUMIFS('SALES Raw'!$F$6:$F$4467,'SALES Raw'!$J$6:$J$4467,$J97,'SALES Raw'!$K$6:$K$4467,"Y")*$H$4+SUMIFS('CEMIUP0.9 Raw'!$G$6:$G$1712,'CEMIUP0.9 Raw'!$B$6:$B$1712,$J97,'CEMIUP0.9 Raw'!$H$6:$H$1712,"Y")</f>
        <v>18238.32</v>
      </c>
      <c r="H97" s="18" t="s">
        <v>43</v>
      </c>
      <c r="I97" s="18" t="s">
        <v>44</v>
      </c>
      <c r="J97" s="18" t="n">
        <v>4413516</v>
      </c>
    </row>
    <row r="98" customFormat="false" ht="15" hidden="false" customHeight="false" outlineLevel="0" collapsed="false">
      <c r="A98" s="18" t="n">
        <f aca="false">IF(ISNUMBER($J98),$J98,"")</f>
        <v>4409001</v>
      </c>
      <c r="B98" s="18" t="str">
        <f aca="false">IFERROR(INDEX('SALES Raw'!$B$6:$B$4467,MATCH($J98,'SALES Raw'!$J$6:$J$4467,0)),IFERROR(INDEX('CEMIUP0.9 Raw'!$B$6:$B$1712,MATCH($J98,'CEMIUP0.9 Raw'!$B$6:$B$1712,0)),$J98))</f>
        <v>365-XL</v>
      </c>
      <c r="C98" s="18" t="str">
        <f aca="false">IF(ISNUMBER($J98),IFERROR(INDEX('TRANS'!$C:$C,MATCH($J98,'TRANS'!$B:$B,0)),IFERROR(INDEX('Catalog'!$B:$B,MATCH($J98,'Catalog'!$A:$A,0)),$B98)),$B98)</f>
        <v>365  X-Lטבעת אלסטית מסיליקון</v>
      </c>
      <c r="D98" s="19" t="n">
        <f aca="false">SUMIFS('SALES Raw'!$C$6:$C$4467,'SALES Raw'!$J$6:$J$4467,$J98,'SALES Raw'!$K$6:$K$4467,"Y")+SUMIFS('CEMIUP0.9 Raw'!$D$6:$D$1712,'CEMIUP0.9 Raw'!$B$6:$B$1712,$J98,'CEMIUP0.9 Raw'!$H$6:$H$1712,"Y")</f>
        <v>461</v>
      </c>
      <c r="E98" s="19" t="n">
        <f aca="false">SUMIFS('SALES Raw'!$D$6:$D$4467,'SALES Raw'!$J$6:$J$4467,$J98,'SALES Raw'!$K$6:$K$4467,"Y")+SUMIFS('CEMIUP0.9 Raw'!$E$6:$E$1712,'CEMIUP0.9 Raw'!$B$6:$B$1712,$J98,'CEMIUP0.9 Raw'!$H$6:$H$1712,"Y")</f>
        <v>5168.572</v>
      </c>
      <c r="F98" s="19" t="n">
        <f aca="false">SUMIFS('SALES Raw'!$E$6:$E$4467,'SALES Raw'!$J$6:$J$4467,$J98,'SALES Raw'!$K$6:$K$4467,"Y")*$H$4+SUMIFS('CEMIUP0.9 Raw'!$F$6:$F$1712,'CEMIUP0.9 Raw'!$B$6:$B$1712,$J98,'CEMIUP0.9 Raw'!$H$6:$H$1712,"Y")</f>
        <v>318.315789473684</v>
      </c>
      <c r="G98" s="19" t="n">
        <f aca="false">SUMIFS('SALES Raw'!$F$6:$F$4467,'SALES Raw'!$J$6:$J$4467,$J98,'SALES Raw'!$K$6:$K$4467,"Y")*$H$4+SUMIFS('CEMIUP0.9 Raw'!$G$6:$G$1712,'CEMIUP0.9 Raw'!$B$6:$B$1712,$J98,'CEMIUP0.9 Raw'!$H$6:$H$1712,"Y")</f>
        <v>3436.50568421053</v>
      </c>
      <c r="H98" s="18" t="s">
        <v>43</v>
      </c>
      <c r="I98" s="18" t="s">
        <v>48</v>
      </c>
      <c r="J98" s="18" t="n">
        <v>4409001</v>
      </c>
    </row>
    <row r="99" customFormat="false" ht="15" hidden="false" customHeight="false" outlineLevel="0" collapsed="false">
      <c r="A99" s="18" t="n">
        <f aca="false">IF(ISNUMBER($J99),$J99,"")</f>
        <v>4403025</v>
      </c>
      <c r="B99" s="18" t="str">
        <f aca="false">IFERROR(INDEX('SALES Raw'!$B$6:$B$4467,MATCH($J99,'SALES Raw'!$J$6:$J$4467,0)),IFERROR(INDEX('CEMIUP0.9 Raw'!$B$6:$B$1712,MATCH($J99,'CEMIUP0.9 Raw'!$B$6:$B$1712,0)),$J99))</f>
        <v>394W-43-46</v>
      </c>
      <c r="C99" s="18" t="str">
        <f aca="false">IF(ISNUMBER($J99),IFERROR(INDEX('TRANS'!$C:$C,MATCH($J99,'TRANS'!$B:$B,0)),IFERROR(INDEX('Catalog'!$B:$B,MATCH($J99,'Catalog'!$A:$A,0)),$B99)),$B99)</f>
        <v>394W 43-46 גרב.כסף לסכרתים לבן</v>
      </c>
      <c r="D99" s="19" t="n">
        <f aca="false">SUMIFS('SALES Raw'!$C$6:$C$4467,'SALES Raw'!$J$6:$J$4467,$J99,'SALES Raw'!$K$6:$K$4467,"Y")+SUMIFS('CEMIUP0.9 Raw'!$D$6:$D$1712,'CEMIUP0.9 Raw'!$B$6:$B$1712,$J99,'CEMIUP0.9 Raw'!$H$6:$H$1712,"Y")</f>
        <v>419</v>
      </c>
      <c r="E99" s="19" t="n">
        <f aca="false">SUMIFS('SALES Raw'!$D$6:$D$4467,'SALES Raw'!$J$6:$J$4467,$J99,'SALES Raw'!$K$6:$K$4467,"Y")+SUMIFS('CEMIUP0.9 Raw'!$E$6:$E$1712,'CEMIUP0.9 Raw'!$B$6:$B$1712,$J99,'CEMIUP0.9 Raw'!$H$6:$H$1712,"Y")</f>
        <v>10921.144</v>
      </c>
      <c r="F99" s="19" t="n">
        <f aca="false">SUMIFS('SALES Raw'!$E$6:$E$4467,'SALES Raw'!$J$6:$J$4467,$J99,'SALES Raw'!$K$6:$K$4467,"Y")*$H$4+SUMIFS('CEMIUP0.9 Raw'!$F$6:$F$1712,'CEMIUP0.9 Raw'!$B$6:$B$1712,$J99,'CEMIUP0.9 Raw'!$H$6:$H$1712,"Y")</f>
        <v>315.789473684211</v>
      </c>
      <c r="G99" s="19" t="n">
        <f aca="false">SUMIFS('SALES Raw'!$F$6:$F$4467,'SALES Raw'!$J$6:$J$4467,$J99,'SALES Raw'!$K$6:$K$4467,"Y")*$H$4+SUMIFS('CEMIUP0.9 Raw'!$G$6:$G$1712,'CEMIUP0.9 Raw'!$B$6:$B$1712,$J99,'CEMIUP0.9 Raw'!$H$6:$H$1712,"Y")</f>
        <v>8266.23410526316</v>
      </c>
      <c r="H99" s="18" t="s">
        <v>44</v>
      </c>
      <c r="I99" s="18" t="s">
        <v>43</v>
      </c>
      <c r="J99" s="18" t="n">
        <v>4403025</v>
      </c>
    </row>
    <row r="100" customFormat="false" ht="15" hidden="false" customHeight="false" outlineLevel="0" collapsed="false">
      <c r="A100" s="18" t="n">
        <f aca="false">IF(ISNUMBER($J100),$J100,"")</f>
        <v>4408221</v>
      </c>
      <c r="B100" s="18" t="str">
        <f aca="false">IFERROR(INDEX('SALES Raw'!$B$6:$B$4467,MATCH($J100,'SALES Raw'!$J$6:$J$4467,0)),IFERROR(INDEX('CEMIUP0.9 Raw'!$B$6:$B$1712,MATCH($J100,'CEMIUP0.9 Raw'!$B$6:$B$1712,0)),$J100))</f>
        <v>078G L</v>
      </c>
      <c r="C100" s="18" t="str">
        <f aca="false">IF(ISNUMBER($J100),IFERROR(INDEX('TRANS'!$C:$C,MATCH($J100,'TRANS'!$B:$B,0)),IFERROR(INDEX('Catalog'!$B:$B,MATCH($J100,'Catalog'!$A:$A,0)),$B100)),$B100)</f>
        <v>078G-L חגורת גב אפורה</v>
      </c>
      <c r="D100" s="19" t="n">
        <f aca="false">SUMIFS('SALES Raw'!$C$6:$C$4467,'SALES Raw'!$J$6:$J$4467,$J100,'SALES Raw'!$K$6:$K$4467,"Y")+SUMIFS('CEMIUP0.9 Raw'!$D$6:$D$1712,'CEMIUP0.9 Raw'!$B$6:$B$1712,$J100,'CEMIUP0.9 Raw'!$H$6:$H$1712,"Y")</f>
        <v>499</v>
      </c>
      <c r="E100" s="19" t="n">
        <f aca="false">SUMIFS('SALES Raw'!$D$6:$D$4467,'SALES Raw'!$J$6:$J$4467,$J100,'SALES Raw'!$K$6:$K$4467,"Y")+SUMIFS('CEMIUP0.9 Raw'!$E$6:$E$1712,'CEMIUP0.9 Raw'!$B$6:$B$1712,$J100,'CEMIUP0.9 Raw'!$H$6:$H$1712,"Y")</f>
        <v>37685.084</v>
      </c>
      <c r="F100" s="19" t="n">
        <f aca="false">SUMIFS('SALES Raw'!$E$6:$E$4467,'SALES Raw'!$J$6:$J$4467,$J100,'SALES Raw'!$K$6:$K$4467,"Y")*$H$4+SUMIFS('CEMIUP0.9 Raw'!$F$6:$F$1712,'CEMIUP0.9 Raw'!$B$6:$B$1712,$J100,'CEMIUP0.9 Raw'!$H$6:$H$1712,"Y")</f>
        <v>314.526315789474</v>
      </c>
      <c r="G100" s="19" t="n">
        <f aca="false">SUMIFS('SALES Raw'!$F$6:$F$4467,'SALES Raw'!$J$6:$J$4467,$J100,'SALES Raw'!$K$6:$K$4467,"Y")*$H$4+SUMIFS('CEMIUP0.9 Raw'!$G$6:$G$1712,'CEMIUP0.9 Raw'!$B$6:$B$1712,$J100,'CEMIUP0.9 Raw'!$H$6:$H$1712,"Y")</f>
        <v>27298.5069473685</v>
      </c>
      <c r="H100" s="18" t="s">
        <v>48</v>
      </c>
      <c r="I100" s="18" t="s">
        <v>43</v>
      </c>
      <c r="J100" s="18" t="n">
        <v>4408221</v>
      </c>
    </row>
    <row r="101" customFormat="false" ht="15" hidden="false" customHeight="false" outlineLevel="0" collapsed="false">
      <c r="A101" s="18" t="n">
        <f aca="false">IF(ISNUMBER($J101),$J101,"")</f>
        <v>4413452</v>
      </c>
      <c r="B101" s="18" t="str">
        <f aca="false">IFERROR(INDEX('SALES Raw'!$B$6:$B$4467,MATCH($J101,'SALES Raw'!$J$6:$J$4467,0)),IFERROR(INDEX('CEMIUP0.9 Raw'!$B$6:$B$1712,MATCH($J101,'CEMIUP0.9 Raw'!$B$6:$B$1712,0)),$J101))</f>
        <v>386 0</v>
      </c>
      <c r="C101" s="18" t="str">
        <f aca="false">IF(ISNUMBER($J101),IFERROR(INDEX('TRANS'!$C:$C,MATCH($J101,'TRANS'!$B:$B,0)),IFERROR(INDEX('Catalog'!$B:$B,MATCH($J101,'Catalog'!$A:$A,0)),$B101)),$B101)</f>
        <v>386  מיישר בוניון-האלוקס ולגוס</v>
      </c>
      <c r="D101" s="19" t="n">
        <f aca="false">SUMIFS('SALES Raw'!$C$6:$C$4467,'SALES Raw'!$J$6:$J$4467,$J101,'SALES Raw'!$K$6:$K$4467,"Y")+SUMIFS('CEMIUP0.9 Raw'!$D$6:$D$1712,'CEMIUP0.9 Raw'!$B$6:$B$1712,$J101,'CEMIUP0.9 Raw'!$H$6:$H$1712,"Y")</f>
        <v>168</v>
      </c>
      <c r="E101" s="19" t="n">
        <f aca="false">SUMIFS('SALES Raw'!$D$6:$D$4467,'SALES Raw'!$J$6:$J$4467,$J101,'SALES Raw'!$K$6:$K$4467,"Y")+SUMIFS('CEMIUP0.9 Raw'!$E$6:$E$1712,'CEMIUP0.9 Raw'!$B$6:$B$1712,$J101,'CEMIUP0.9 Raw'!$H$6:$H$1712,"Y")</f>
        <v>9419.951</v>
      </c>
      <c r="F101" s="19" t="n">
        <f aca="false">SUMIFS('SALES Raw'!$E$6:$E$4467,'SALES Raw'!$J$6:$J$4467,$J101,'SALES Raw'!$K$6:$K$4467,"Y")*$H$4+SUMIFS('CEMIUP0.9 Raw'!$F$6:$F$1712,'CEMIUP0.9 Raw'!$B$6:$B$1712,$J101,'CEMIUP0.9 Raw'!$H$6:$H$1712,"Y")</f>
        <v>308.21052631579</v>
      </c>
      <c r="G101" s="19" t="n">
        <f aca="false">SUMIFS('SALES Raw'!$F$6:$F$4467,'SALES Raw'!$J$6:$J$4467,$J101,'SALES Raw'!$K$6:$K$4467,"Y")*$H$4+SUMIFS('CEMIUP0.9 Raw'!$G$6:$G$1712,'CEMIUP0.9 Raw'!$B$6:$B$1712,$J101,'CEMIUP0.9 Raw'!$H$6:$H$1712,"Y")</f>
        <v>20953.1545263158</v>
      </c>
      <c r="H101" s="18" t="s">
        <v>42</v>
      </c>
      <c r="I101" s="18" t="s">
        <v>43</v>
      </c>
      <c r="J101" s="18" t="n">
        <v>4413452</v>
      </c>
    </row>
    <row r="102" customFormat="false" ht="15" hidden="false" customHeight="false" outlineLevel="0" collapsed="false">
      <c r="A102" s="18" t="n">
        <f aca="false">IF(ISNUMBER($J102),$J102,"")</f>
        <v>4421001</v>
      </c>
      <c r="B102" s="18" t="str">
        <f aca="false">IFERROR(INDEX('SALES Raw'!$B$6:$B$4467,MATCH($J102,'SALES Raw'!$J$6:$J$4467,0)),IFERROR(INDEX('CEMIUP0.9 Raw'!$B$6:$B$1712,MATCH($J102,'CEMIUP0.9 Raw'!$B$6:$B$1712,0)),$J102))</f>
        <v>3611 0</v>
      </c>
      <c r="C102" s="18" t="str">
        <f aca="false">IF(ISNUMBER($J102),IFERROR(INDEX('TRANS'!$C:$C,MATCH($J102,'TRANS'!$B:$B,0)),IFERROR(INDEX('Catalog'!$B:$B,MATCH($J102,'Catalog'!$A:$A,0)),$B102)),$B102)</f>
        <v>3611 שרוול מטטרזלי מסיליקון</v>
      </c>
      <c r="D102" s="19" t="n">
        <f aca="false">SUMIFS('SALES Raw'!$C$6:$C$4467,'SALES Raw'!$J$6:$J$4467,$J102,'SALES Raw'!$K$6:$K$4467,"Y")+SUMIFS('CEMIUP0.9 Raw'!$D$6:$D$1712,'CEMIUP0.9 Raw'!$B$6:$B$1712,$J102,'CEMIUP0.9 Raw'!$H$6:$H$1712,"Y")</f>
        <v>371</v>
      </c>
      <c r="E102" s="19" t="n">
        <f aca="false">SUMIFS('SALES Raw'!$D$6:$D$4467,'SALES Raw'!$J$6:$J$4467,$J102,'SALES Raw'!$K$6:$K$4467,"Y")+SUMIFS('CEMIUP0.9 Raw'!$E$6:$E$1712,'CEMIUP0.9 Raw'!$B$6:$B$1712,$J102,'CEMIUP0.9 Raw'!$H$6:$H$1712,"Y")</f>
        <v>19947.089</v>
      </c>
      <c r="F102" s="19" t="n">
        <f aca="false">SUMIFS('SALES Raw'!$E$6:$E$4467,'SALES Raw'!$J$6:$J$4467,$J102,'SALES Raw'!$K$6:$K$4467,"Y")*$H$4+SUMIFS('CEMIUP0.9 Raw'!$F$6:$F$1712,'CEMIUP0.9 Raw'!$B$6:$B$1712,$J102,'CEMIUP0.9 Raw'!$H$6:$H$1712,"Y")</f>
        <v>308.210526315789</v>
      </c>
      <c r="G102" s="19" t="n">
        <f aca="false">SUMIFS('SALES Raw'!$F$6:$F$4467,'SALES Raw'!$J$6:$J$4467,$J102,'SALES Raw'!$K$6:$K$4467,"Y")*$H$4+SUMIFS('CEMIUP0.9 Raw'!$G$6:$G$1712,'CEMIUP0.9 Raw'!$B$6:$B$1712,$J102,'CEMIUP0.9 Raw'!$H$6:$H$1712,"Y")</f>
        <v>16930.4564210526</v>
      </c>
      <c r="H102" s="18" t="s">
        <v>43</v>
      </c>
      <c r="I102" s="18" t="s">
        <v>48</v>
      </c>
      <c r="J102" s="18" t="n">
        <v>4421001</v>
      </c>
    </row>
    <row r="103" customFormat="false" ht="15" hidden="false" customHeight="false" outlineLevel="0" collapsed="false">
      <c r="A103" s="18" t="n">
        <f aca="false">IF(ISNUMBER($J103),$J103,"")</f>
        <v>4413149</v>
      </c>
      <c r="B103" s="18" t="str">
        <f aca="false">IFERROR(INDEX('SALES Raw'!$B$6:$B$4467,MATCH($J103,'SALES Raw'!$J$6:$J$4467,0)),IFERROR(INDEX('CEMIUP0.9 Raw'!$B$6:$B$1712,MATCH($J103,'CEMIUP0.9 Raw'!$B$6:$B$1712,0)),$J103))</f>
        <v>FC321 0</v>
      </c>
      <c r="C103" s="18" t="str">
        <f aca="false">IF(ISNUMBER($J103),IFERROR(INDEX('TRANS'!$C:$C,MATCH($J103,'TRANS'!$B:$B,0)),IFERROR(INDEX('Catalog'!$B:$B,MATCH($J103,'Catalog'!$A:$A,0)),$B103)),$B103)</f>
        <v>FC321-מלח אמבט לכף הרגל</v>
      </c>
      <c r="D103" s="19" t="n">
        <f aca="false">SUMIFS('SALES Raw'!$C$6:$C$4467,'SALES Raw'!$J$6:$J$4467,$J103,'SALES Raw'!$K$6:$K$4467,"Y")+SUMIFS('CEMIUP0.9 Raw'!$D$6:$D$1712,'CEMIUP0.9 Raw'!$B$6:$B$1712,$J103,'CEMIUP0.9 Raw'!$H$6:$H$1712,"Y")</f>
        <v>705</v>
      </c>
      <c r="E103" s="19" t="n">
        <f aca="false">SUMIFS('SALES Raw'!$D$6:$D$4467,'SALES Raw'!$J$6:$J$4467,$J103,'SALES Raw'!$K$6:$K$4467,"Y")+SUMIFS('CEMIUP0.9 Raw'!$E$6:$E$1712,'CEMIUP0.9 Raw'!$B$6:$B$1712,$J103,'CEMIUP0.9 Raw'!$H$6:$H$1712,"Y")</f>
        <v>8061.131</v>
      </c>
      <c r="F103" s="19" t="n">
        <f aca="false">SUMIFS('SALES Raw'!$E$6:$E$4467,'SALES Raw'!$J$6:$J$4467,$J103,'SALES Raw'!$K$6:$K$4467,"Y")*$H$4+SUMIFS('CEMIUP0.9 Raw'!$F$6:$F$1712,'CEMIUP0.9 Raw'!$B$6:$B$1712,$J103,'CEMIUP0.9 Raw'!$H$6:$H$1712,"Y")</f>
        <v>308.210526315789</v>
      </c>
      <c r="G103" s="19" t="n">
        <f aca="false">SUMIFS('SALES Raw'!$F$6:$F$4467,'SALES Raw'!$J$6:$J$4467,$J103,'SALES Raw'!$K$6:$K$4467,"Y")*$H$4+SUMIFS('CEMIUP0.9 Raw'!$G$6:$G$1712,'CEMIUP0.9 Raw'!$B$6:$B$1712,$J103,'CEMIUP0.9 Raw'!$H$6:$H$1712,"Y")</f>
        <v>3846.12505263158</v>
      </c>
      <c r="H103" s="18" t="s">
        <v>48</v>
      </c>
      <c r="I103" s="18" t="s">
        <v>43</v>
      </c>
      <c r="J103" s="18" t="n">
        <v>4413149</v>
      </c>
    </row>
    <row r="104" customFormat="false" ht="15" hidden="false" customHeight="false" outlineLevel="0" collapsed="false">
      <c r="A104" s="18" t="n">
        <f aca="false">IF(ISNUMBER($J104),$J104,"")</f>
        <v>4413139</v>
      </c>
      <c r="B104" s="18" t="str">
        <f aca="false">IFERROR(INDEX('SALES Raw'!$B$6:$B$4467,MATCH($J104,'SALES Raw'!$J$6:$J$4467,0)),IFERROR(INDEX('CEMIUP0.9 Raw'!$B$6:$B$1712,MATCH($J104,'CEMIUP0.9 Raw'!$B$6:$B$1712,0)),$J104))</f>
        <v>95 L</v>
      </c>
      <c r="C104" s="18" t="str">
        <f aca="false">IF(ISNUMBER($J104),IFERROR(INDEX('TRANS'!$C:$C,MATCH($J104,'TRANS'!$B:$B,0)),IFERROR(INDEX('Catalog'!$B:$B,MATCH($J104,'Catalog'!$A:$A,0)),$B104)),$B104)</f>
        <v>95 L מגן מרפק רגיל לבן</v>
      </c>
      <c r="D104" s="19" t="n">
        <f aca="false">SUMIFS('SALES Raw'!$C$6:$C$4467,'SALES Raw'!$J$6:$J$4467,$J104,'SALES Raw'!$K$6:$K$4467,"Y")+SUMIFS('CEMIUP0.9 Raw'!$D$6:$D$1712,'CEMIUP0.9 Raw'!$B$6:$B$1712,$J104,'CEMIUP0.9 Raw'!$H$6:$H$1712,"Y")</f>
        <v>347</v>
      </c>
      <c r="E104" s="19" t="n">
        <f aca="false">SUMIFS('SALES Raw'!$D$6:$D$4467,'SALES Raw'!$J$6:$J$4467,$J104,'SALES Raw'!$K$6:$K$4467,"Y")+SUMIFS('CEMIUP0.9 Raw'!$E$6:$E$1712,'CEMIUP0.9 Raw'!$B$6:$B$1712,$J104,'CEMIUP0.9 Raw'!$H$6:$H$1712,"Y")</f>
        <v>7380.213</v>
      </c>
      <c r="F104" s="19" t="n">
        <f aca="false">SUMIFS('SALES Raw'!$E$6:$E$4467,'SALES Raw'!$J$6:$J$4467,$J104,'SALES Raw'!$K$6:$K$4467,"Y")*$H$4+SUMIFS('CEMIUP0.9 Raw'!$F$6:$F$1712,'CEMIUP0.9 Raw'!$B$6:$B$1712,$J104,'CEMIUP0.9 Raw'!$H$6:$H$1712,"Y")</f>
        <v>305.684210526315</v>
      </c>
      <c r="G104" s="19" t="n">
        <f aca="false">SUMIFS('SALES Raw'!$F$6:$F$4467,'SALES Raw'!$J$6:$J$4467,$J104,'SALES Raw'!$K$6:$K$4467,"Y")*$H$4+SUMIFS('CEMIUP0.9 Raw'!$G$6:$G$1712,'CEMIUP0.9 Raw'!$B$6:$B$1712,$J104,'CEMIUP0.9 Raw'!$H$6:$H$1712,"Y")</f>
        <v>6670.25936842105</v>
      </c>
      <c r="H104" s="18" t="s">
        <v>48</v>
      </c>
      <c r="I104" s="18" t="s">
        <v>43</v>
      </c>
      <c r="J104" s="18" t="n">
        <v>4413139</v>
      </c>
    </row>
    <row r="105" customFormat="false" ht="15" hidden="false" customHeight="false" outlineLevel="0" collapsed="false">
      <c r="A105" s="18" t="n">
        <f aca="false">IF(ISNUMBER($J105),$J105,"")</f>
        <v>4417000</v>
      </c>
      <c r="B105" s="18" t="str">
        <f aca="false">IFERROR(INDEX('SALES Raw'!$B$6:$B$4467,MATCH($J105,'SALES Raw'!$J$6:$J$4467,0)),IFERROR(INDEX('CEMIUP0.9 Raw'!$B$6:$B$1712,MATCH($J105,'CEMIUP0.9 Raw'!$B$6:$B$1712,0)),$J105))</f>
        <v>PD342 0</v>
      </c>
      <c r="C105" s="18" t="str">
        <f aca="false">IF(ISNUMBER($J105),IFERROR(INDEX('TRANS'!$C:$C,MATCH($J105,'TRANS'!$B:$B,0)),IFERROR(INDEX('Catalog'!$B:$B,MATCH($J105,'Catalog'!$A:$A,0)),$B105)),$B105)</f>
        <v>PD342-פומפיה להסרת עור קשה</v>
      </c>
      <c r="D105" s="19" t="n">
        <f aca="false">SUMIFS('SALES Raw'!$C$6:$C$4467,'SALES Raw'!$J$6:$J$4467,$J105,'SALES Raw'!$K$6:$K$4467,"Y")+SUMIFS('CEMIUP0.9 Raw'!$D$6:$D$1712,'CEMIUP0.9 Raw'!$B$6:$B$1712,$J105,'CEMIUP0.9 Raw'!$H$6:$H$1712,"Y")</f>
        <v>451</v>
      </c>
      <c r="E105" s="19" t="n">
        <f aca="false">SUMIFS('SALES Raw'!$D$6:$D$4467,'SALES Raw'!$J$6:$J$4467,$J105,'SALES Raw'!$K$6:$K$4467,"Y")+SUMIFS('CEMIUP0.9 Raw'!$E$6:$E$1712,'CEMIUP0.9 Raw'!$B$6:$B$1712,$J105,'CEMIUP0.9 Raw'!$H$6:$H$1712,"Y")</f>
        <v>9329.483</v>
      </c>
      <c r="F105" s="19" t="n">
        <f aca="false">SUMIFS('SALES Raw'!$E$6:$E$4467,'SALES Raw'!$J$6:$J$4467,$J105,'SALES Raw'!$K$6:$K$4467,"Y")*$H$4+SUMIFS('CEMIUP0.9 Raw'!$F$6:$F$1712,'CEMIUP0.9 Raw'!$B$6:$B$1712,$J105,'CEMIUP0.9 Raw'!$H$6:$H$1712,"Y")</f>
        <v>304.421052631579</v>
      </c>
      <c r="G105" s="19" t="n">
        <f aca="false">SUMIFS('SALES Raw'!$F$6:$F$4467,'SALES Raw'!$J$6:$J$4467,$J105,'SALES Raw'!$K$6:$K$4467,"Y")*$H$4+SUMIFS('CEMIUP0.9 Raw'!$G$6:$G$1712,'CEMIUP0.9 Raw'!$B$6:$B$1712,$J105,'CEMIUP0.9 Raw'!$H$6:$H$1712,"Y")</f>
        <v>6342.61136842105</v>
      </c>
      <c r="H105" s="18" t="s">
        <v>43</v>
      </c>
      <c r="I105" s="18" t="s">
        <v>48</v>
      </c>
      <c r="J105" s="18" t="n">
        <v>4417000</v>
      </c>
    </row>
    <row r="106" customFormat="false" ht="15" hidden="false" customHeight="false" outlineLevel="0" collapsed="false">
      <c r="A106" s="18" t="n">
        <f aca="false">IF(ISNUMBER($J106),$J106,"")</f>
        <v>4413161</v>
      </c>
      <c r="B106" s="18" t="str">
        <f aca="false">IFERROR(INDEX('SALES Raw'!$B$6:$B$4467,MATCH($J106,'SALES Raw'!$J$6:$J$4467,0)),IFERROR(INDEX('CEMIUP0.9 Raw'!$B$6:$B$1712,MATCH($J106,'CEMIUP0.9 Raw'!$B$6:$B$1712,0)),$J106))</f>
        <v>34+ L</v>
      </c>
      <c r="C106" s="18" t="str">
        <f aca="false">IF(ISNUMBER($J106),IFERROR(INDEX('TRANS'!$C:$C,MATCH($J106,'TRANS'!$B:$B,0)),IFERROR(INDEX('Catalog'!$B:$B,MATCH($J106,'Catalog'!$A:$A,0)),$B106)),$B106)</f>
        <v>34+ L מגן קרסול עקב סגור+רצוע</v>
      </c>
      <c r="D106" s="19" t="n">
        <f aca="false">SUMIFS('SALES Raw'!$C$6:$C$4467,'SALES Raw'!$J$6:$J$4467,$J106,'SALES Raw'!$K$6:$K$4467,"Y")+SUMIFS('CEMIUP0.9 Raw'!$D$6:$D$1712,'CEMIUP0.9 Raw'!$B$6:$B$1712,$J106,'CEMIUP0.9 Raw'!$H$6:$H$1712,"Y")</f>
        <v>239</v>
      </c>
      <c r="E106" s="19" t="n">
        <f aca="false">SUMIFS('SALES Raw'!$D$6:$D$4467,'SALES Raw'!$J$6:$J$4467,$J106,'SALES Raw'!$K$6:$K$4467,"Y")+SUMIFS('CEMIUP0.9 Raw'!$E$6:$E$1712,'CEMIUP0.9 Raw'!$B$6:$B$1712,$J106,'CEMIUP0.9 Raw'!$H$6:$H$1712,"Y")</f>
        <v>13350.325</v>
      </c>
      <c r="F106" s="19" t="n">
        <f aca="false">SUMIFS('SALES Raw'!$E$6:$E$4467,'SALES Raw'!$J$6:$J$4467,$J106,'SALES Raw'!$K$6:$K$4467,"Y")*$H$4+SUMIFS('CEMIUP0.9 Raw'!$F$6:$F$1712,'CEMIUP0.9 Raw'!$B$6:$B$1712,$J106,'CEMIUP0.9 Raw'!$H$6:$H$1712,"Y")</f>
        <v>301.894736842105</v>
      </c>
      <c r="G106" s="19" t="n">
        <f aca="false">SUMIFS('SALES Raw'!$F$6:$F$4467,'SALES Raw'!$J$6:$J$4467,$J106,'SALES Raw'!$K$6:$K$4467,"Y")*$H$4+SUMIFS('CEMIUP0.9 Raw'!$G$6:$G$1712,'CEMIUP0.9 Raw'!$B$6:$B$1712,$J106,'CEMIUP0.9 Raw'!$H$6:$H$1712,"Y")</f>
        <v>18323.8825263158</v>
      </c>
      <c r="H106" s="18" t="s">
        <v>48</v>
      </c>
      <c r="I106" s="18" t="s">
        <v>43</v>
      </c>
      <c r="J106" s="18" t="n">
        <v>4413161</v>
      </c>
    </row>
    <row r="107" customFormat="false" ht="15" hidden="false" customHeight="false" outlineLevel="0" collapsed="false">
      <c r="A107" s="18" t="n">
        <f aca="false">IF(ISNUMBER($J107),$J107,"")</f>
        <v>4413050</v>
      </c>
      <c r="B107" s="18" t="str">
        <f aca="false">IFERROR(INDEX('SALES Raw'!$B$6:$B$4467,MATCH($J107,'SALES Raw'!$J$6:$J$4467,0)),IFERROR(INDEX('CEMIUP0.9 Raw'!$B$6:$B$1712,MATCH($J107,'CEMIUP0.9 Raw'!$B$6:$B$1712,0)),$J107))</f>
        <v>35 XL</v>
      </c>
      <c r="C107" s="18" t="str">
        <f aca="false">IF(ISNUMBER($J107),IFERROR(INDEX('TRANS'!$C:$C,MATCH($J107,'TRANS'!$B:$B,0)),IFERROR(INDEX('Catalog'!$B:$B,MATCH($J107,'Catalog'!$A:$A,0)),$B107)),$B107)</f>
        <v>35 XL מגן קרסול לבן</v>
      </c>
      <c r="D107" s="19" t="n">
        <f aca="false">SUMIFS('SALES Raw'!$C$6:$C$4467,'SALES Raw'!$J$6:$J$4467,$J107,'SALES Raw'!$K$6:$K$4467,"Y")+SUMIFS('CEMIUP0.9 Raw'!$D$6:$D$1712,'CEMIUP0.9 Raw'!$B$6:$B$1712,$J107,'CEMIUP0.9 Raw'!$H$6:$H$1712,"Y")</f>
        <v>401</v>
      </c>
      <c r="E107" s="19" t="n">
        <f aca="false">SUMIFS('SALES Raw'!$D$6:$D$4467,'SALES Raw'!$J$6:$J$4467,$J107,'SALES Raw'!$K$6:$K$4467,"Y")+SUMIFS('CEMIUP0.9 Raw'!$E$6:$E$1712,'CEMIUP0.9 Raw'!$B$6:$B$1712,$J107,'CEMIUP0.9 Raw'!$H$6:$H$1712,"Y")</f>
        <v>8687.011</v>
      </c>
      <c r="F107" s="19" t="n">
        <f aca="false">SUMIFS('SALES Raw'!$E$6:$E$4467,'SALES Raw'!$J$6:$J$4467,$J107,'SALES Raw'!$K$6:$K$4467,"Y")*$H$4+SUMIFS('CEMIUP0.9 Raw'!$F$6:$F$1712,'CEMIUP0.9 Raw'!$B$6:$B$1712,$J107,'CEMIUP0.9 Raw'!$H$6:$H$1712,"Y")</f>
        <v>299.368421052632</v>
      </c>
      <c r="G107" s="19" t="n">
        <f aca="false">SUMIFS('SALES Raw'!$F$6:$F$4467,'SALES Raw'!$J$6:$J$4467,$J107,'SALES Raw'!$K$6:$K$4467,"Y")*$H$4+SUMIFS('CEMIUP0.9 Raw'!$G$6:$G$1712,'CEMIUP0.9 Raw'!$B$6:$B$1712,$J107,'CEMIUP0.9 Raw'!$H$6:$H$1712,"Y")</f>
        <v>6617.75747368421</v>
      </c>
      <c r="H107" s="18" t="s">
        <v>48</v>
      </c>
      <c r="I107" s="18" t="s">
        <v>43</v>
      </c>
      <c r="J107" s="18" t="n">
        <v>4413050</v>
      </c>
    </row>
    <row r="108" customFormat="false" ht="15" hidden="false" customHeight="false" outlineLevel="0" collapsed="false">
      <c r="A108" s="18" t="n">
        <f aca="false">IF(ISNUMBER($J108),$J108,"")</f>
        <v>4421007</v>
      </c>
      <c r="B108" s="18" t="str">
        <f aca="false">IFERROR(INDEX('SALES Raw'!$B$6:$B$4467,MATCH($J108,'SALES Raw'!$J$6:$J$4467,0)),IFERROR(INDEX('CEMIUP0.9 Raw'!$B$6:$B$1712,MATCH($J108,'CEMIUP0.9 Raw'!$B$6:$B$1712,0)),$J108))</f>
        <v>350 0</v>
      </c>
      <c r="C108" s="18" t="str">
        <f aca="false">IF(ISNUMBER($J108),IFERROR(INDEX('TRANS'!$C:$C,MATCH($J108,'TRANS'!$B:$B,0)),IFERROR(INDEX('Catalog'!$B:$B,MATCH($J108,'Catalog'!$A:$A,0)),$B108)),$B108)</f>
        <v>שרוול לגבס קצר רגל</v>
      </c>
      <c r="D108" s="19" t="n">
        <f aca="false">SUMIFS('SALES Raw'!$C$6:$C$4467,'SALES Raw'!$J$6:$J$4467,$J108,'SALES Raw'!$K$6:$K$4467,"Y")+SUMIFS('CEMIUP0.9 Raw'!$D$6:$D$1712,'CEMIUP0.9 Raw'!$B$6:$B$1712,$J108,'CEMIUP0.9 Raw'!$H$6:$H$1712,"Y")</f>
        <v>242</v>
      </c>
      <c r="E108" s="19" t="n">
        <f aca="false">SUMIFS('SALES Raw'!$D$6:$D$4467,'SALES Raw'!$J$6:$J$4467,$J108,'SALES Raw'!$K$6:$K$4467,"Y")+SUMIFS('CEMIUP0.9 Raw'!$E$6:$E$1712,'CEMIUP0.9 Raw'!$B$6:$B$1712,$J108,'CEMIUP0.9 Raw'!$H$6:$H$1712,"Y")</f>
        <v>12275.216</v>
      </c>
      <c r="F108" s="19" t="n">
        <f aca="false">SUMIFS('SALES Raw'!$E$6:$E$4467,'SALES Raw'!$J$6:$J$4467,$J108,'SALES Raw'!$K$6:$K$4467,"Y")*$H$4+SUMIFS('CEMIUP0.9 Raw'!$F$6:$F$1712,'CEMIUP0.9 Raw'!$B$6:$B$1712,$J108,'CEMIUP0.9 Raw'!$H$6:$H$1712,"Y")</f>
        <v>295.578947368421</v>
      </c>
      <c r="G108" s="19" t="n">
        <f aca="false">SUMIFS('SALES Raw'!$F$6:$F$4467,'SALES Raw'!$J$6:$J$4467,$J108,'SALES Raw'!$K$6:$K$4467,"Y")*$H$4+SUMIFS('CEMIUP0.9 Raw'!$G$6:$G$1712,'CEMIUP0.9 Raw'!$B$6:$B$1712,$J108,'CEMIUP0.9 Raw'!$H$6:$H$1712,"Y")</f>
        <v>16130.9027368421</v>
      </c>
      <c r="H108" s="18" t="s">
        <v>44</v>
      </c>
      <c r="I108" s="18" t="s">
        <v>42</v>
      </c>
      <c r="J108" s="18" t="n">
        <v>4421007</v>
      </c>
    </row>
    <row r="109" customFormat="false" ht="15" hidden="false" customHeight="false" outlineLevel="0" collapsed="false">
      <c r="A109" s="18" t="n">
        <f aca="false">IF(ISNUMBER($J109),$J109,"")</f>
        <v>4413044</v>
      </c>
      <c r="B109" s="18" t="str">
        <f aca="false">IFERROR(INDEX('SALES Raw'!$B$6:$B$4467,MATCH($J109,'SALES Raw'!$J$6:$J$4467,0)),IFERROR(INDEX('CEMIUP0.9 Raw'!$B$6:$B$1712,MATCH($J109,'CEMIUP0.9 Raw'!$B$6:$B$1712,0)),$J109))</f>
        <v>34 XL</v>
      </c>
      <c r="C109" s="18" t="str">
        <f aca="false">IF(ISNUMBER($J109),IFERROR(INDEX('TRANS'!$C:$C,MATCH($J109,'TRANS'!$B:$B,0)),IFERROR(INDEX('Catalog'!$B:$B,MATCH($J109,'Catalog'!$A:$A,0)),$B109)),$B109)</f>
        <v>34 XL מגן קרסול עקב סגור</v>
      </c>
      <c r="D109" s="19" t="n">
        <f aca="false">SUMIFS('SALES Raw'!$C$6:$C$4467,'SALES Raw'!$J$6:$J$4467,$J109,'SALES Raw'!$K$6:$K$4467,"Y")+SUMIFS('CEMIUP0.9 Raw'!$D$6:$D$1712,'CEMIUP0.9 Raw'!$B$6:$B$1712,$J109,'CEMIUP0.9 Raw'!$H$6:$H$1712,"Y")</f>
        <v>330</v>
      </c>
      <c r="E109" s="19" t="n">
        <f aca="false">SUMIFS('SALES Raw'!$D$6:$D$4467,'SALES Raw'!$J$6:$J$4467,$J109,'SALES Raw'!$K$6:$K$4467,"Y")+SUMIFS('CEMIUP0.9 Raw'!$E$6:$E$1712,'CEMIUP0.9 Raw'!$B$6:$B$1712,$J109,'CEMIUP0.9 Raw'!$H$6:$H$1712,"Y")</f>
        <v>11481.42</v>
      </c>
      <c r="F109" s="19" t="n">
        <f aca="false">SUMIFS('SALES Raw'!$E$6:$E$4467,'SALES Raw'!$J$6:$J$4467,$J109,'SALES Raw'!$K$6:$K$4467,"Y")*$H$4+SUMIFS('CEMIUP0.9 Raw'!$F$6:$F$1712,'CEMIUP0.9 Raw'!$B$6:$B$1712,$J109,'CEMIUP0.9 Raw'!$H$6:$H$1712,"Y")</f>
        <v>295.578947368421</v>
      </c>
      <c r="G109" s="19" t="n">
        <f aca="false">SUMIFS('SALES Raw'!$F$6:$F$4467,'SALES Raw'!$J$6:$J$4467,$J109,'SALES Raw'!$K$6:$K$4467,"Y")*$H$4+SUMIFS('CEMIUP0.9 Raw'!$G$6:$G$1712,'CEMIUP0.9 Raw'!$B$6:$B$1712,$J109,'CEMIUP0.9 Raw'!$H$6:$H$1712,"Y")</f>
        <v>10039.2783157895</v>
      </c>
      <c r="H109" s="18" t="s">
        <v>48</v>
      </c>
      <c r="I109" s="18" t="s">
        <v>43</v>
      </c>
      <c r="J109" s="18" t="n">
        <v>4413044</v>
      </c>
    </row>
    <row r="110" customFormat="false" ht="15" hidden="false" customHeight="false" outlineLevel="0" collapsed="false">
      <c r="A110" s="18" t="n">
        <f aca="false">IF(ISNUMBER($J110),$J110,"")</f>
        <v>4409015</v>
      </c>
      <c r="B110" s="18" t="str">
        <f aca="false">IFERROR(INDEX('SALES Raw'!$B$6:$B$4467,MATCH($J110,'SALES Raw'!$J$6:$J$4467,0)),IFERROR(INDEX('CEMIUP0.9 Raw'!$B$6:$B$1712,MATCH($J110,'CEMIUP0.9 Raw'!$B$6:$B$1712,0)),$J110))</f>
        <v>808KT-BL</v>
      </c>
      <c r="C110" s="18" t="str">
        <f aca="false">IF(ISNUMBER($J110),IFERROR(INDEX('TRANS'!$C:$C,MATCH($J110,'TRANS'!$B:$B,0)),IFERROR(INDEX('Catalog'!$B:$B,MATCH($J110,'Catalog'!$A:$A,0)),$B110)),$B110)</f>
        <v>808KT-BL       טייפ קינזיולוגי</v>
      </c>
      <c r="D110" s="19" t="n">
        <f aca="false">SUMIFS('SALES Raw'!$C$6:$C$4467,'SALES Raw'!$J$6:$J$4467,$J110,'SALES Raw'!$K$6:$K$4467,"Y")+SUMIFS('CEMIUP0.9 Raw'!$D$6:$D$1712,'CEMIUP0.9 Raw'!$B$6:$B$1712,$J110,'CEMIUP0.9 Raw'!$H$6:$H$1712,"Y")</f>
        <v>615</v>
      </c>
      <c r="E110" s="19" t="n">
        <f aca="false">SUMIFS('SALES Raw'!$D$6:$D$4467,'SALES Raw'!$J$6:$J$4467,$J110,'SALES Raw'!$K$6:$K$4467,"Y")+SUMIFS('CEMIUP0.9 Raw'!$E$6:$E$1712,'CEMIUP0.9 Raw'!$B$6:$B$1712,$J110,'CEMIUP0.9 Raw'!$H$6:$H$1712,"Y")</f>
        <v>17359.49</v>
      </c>
      <c r="F110" s="19" t="n">
        <f aca="false">SUMIFS('SALES Raw'!$E$6:$E$4467,'SALES Raw'!$J$6:$J$4467,$J110,'SALES Raw'!$K$6:$K$4467,"Y")*$H$4+SUMIFS('CEMIUP0.9 Raw'!$F$6:$F$1712,'CEMIUP0.9 Raw'!$B$6:$B$1712,$J110,'CEMIUP0.9 Raw'!$H$6:$H$1712,"Y")</f>
        <v>294.315789473684</v>
      </c>
      <c r="G110" s="19" t="n">
        <f aca="false">SUMIFS('SALES Raw'!$F$6:$F$4467,'SALES Raw'!$J$6:$J$4467,$J110,'SALES Raw'!$K$6:$K$4467,"Y")*$H$4+SUMIFS('CEMIUP0.9 Raw'!$G$6:$G$1712,'CEMIUP0.9 Raw'!$B$6:$B$1712,$J110,'CEMIUP0.9 Raw'!$H$6:$H$1712,"Y")</f>
        <v>9372.54315789474</v>
      </c>
      <c r="H110" s="18" t="s">
        <v>43</v>
      </c>
      <c r="I110" s="18" t="s">
        <v>48</v>
      </c>
      <c r="J110" s="18" t="n">
        <v>4409015</v>
      </c>
    </row>
    <row r="111" customFormat="false" ht="15" hidden="false" customHeight="false" outlineLevel="0" collapsed="false">
      <c r="A111" s="18" t="n">
        <f aca="false">IF(ISNUMBER($J111),$J111,"")</f>
        <v>4413141</v>
      </c>
      <c r="B111" s="18" t="str">
        <f aca="false">IFERROR(INDEX('SALES Raw'!$B$6:$B$4467,MATCH($J111,'SALES Raw'!$J$6:$J$4467,0)),IFERROR(INDEX('CEMIUP0.9 Raw'!$B$6:$B$1712,MATCH($J111,'CEMIUP0.9 Raw'!$B$6:$B$1712,0)),$J111))</f>
        <v>95 S</v>
      </c>
      <c r="C111" s="18" t="str">
        <f aca="false">IF(ISNUMBER($J111),IFERROR(INDEX('TRANS'!$C:$C,MATCH($J111,'TRANS'!$B:$B,0)),IFERROR(INDEX('Catalog'!$B:$B,MATCH($J111,'Catalog'!$A:$A,0)),$B111)),$B111)</f>
        <v>95 S מגן מרפק רגיל לבן</v>
      </c>
      <c r="D111" s="19" t="n">
        <f aca="false">SUMIFS('SALES Raw'!$C$6:$C$4467,'SALES Raw'!$J$6:$J$4467,$J111,'SALES Raw'!$K$6:$K$4467,"Y")+SUMIFS('CEMIUP0.9 Raw'!$D$6:$D$1712,'CEMIUP0.9 Raw'!$B$6:$B$1712,$J111,'CEMIUP0.9 Raw'!$H$6:$H$1712,"Y")</f>
        <v>327</v>
      </c>
      <c r="E111" s="19" t="n">
        <f aca="false">SUMIFS('SALES Raw'!$D$6:$D$4467,'SALES Raw'!$J$6:$J$4467,$J111,'SALES Raw'!$K$6:$K$4467,"Y")+SUMIFS('CEMIUP0.9 Raw'!$E$6:$E$1712,'CEMIUP0.9 Raw'!$B$6:$B$1712,$J111,'CEMIUP0.9 Raw'!$H$6:$H$1712,"Y")</f>
        <v>7018.276</v>
      </c>
      <c r="F111" s="19" t="n">
        <f aca="false">SUMIFS('SALES Raw'!$E$6:$E$4467,'SALES Raw'!$J$6:$J$4467,$J111,'SALES Raw'!$K$6:$K$4467,"Y")*$H$4+SUMIFS('CEMIUP0.9 Raw'!$F$6:$F$1712,'CEMIUP0.9 Raw'!$B$6:$B$1712,$J111,'CEMIUP0.9 Raw'!$H$6:$H$1712,"Y")</f>
        <v>291.789473684211</v>
      </c>
      <c r="G111" s="19" t="n">
        <f aca="false">SUMIFS('SALES Raw'!$F$6:$F$4467,'SALES Raw'!$J$6:$J$4467,$J111,'SALES Raw'!$K$6:$K$4467,"Y")*$H$4+SUMIFS('CEMIUP0.9 Raw'!$G$6:$G$1712,'CEMIUP0.9 Raw'!$B$6:$B$1712,$J111,'CEMIUP0.9 Raw'!$H$6:$H$1712,"Y")</f>
        <v>5501.40126315789</v>
      </c>
      <c r="H111" s="18" t="s">
        <v>48</v>
      </c>
      <c r="I111" s="18" t="s">
        <v>43</v>
      </c>
      <c r="J111" s="18" t="n">
        <v>4413141</v>
      </c>
    </row>
    <row r="112" customFormat="false" ht="15" hidden="false" customHeight="false" outlineLevel="0" collapsed="false">
      <c r="A112" s="18" t="n">
        <f aca="false">IF(ISNUMBER($J112),$J112,"")</f>
        <v>4413307</v>
      </c>
      <c r="B112" s="18" t="str">
        <f aca="false">IFERROR(INDEX('SALES Raw'!$B$6:$B$4467,MATCH($J112,'SALES Raw'!$J$6:$J$4467,0)),IFERROR(INDEX('CEMIUP0.9 Raw'!$B$6:$B$1712,MATCH($J112,'CEMIUP0.9 Raw'!$B$6:$B$1712,0)),$J112))</f>
        <v>3667 0</v>
      </c>
      <c r="C112" s="18" t="str">
        <f aca="false">IF(ISNUMBER($J112),IFERROR(INDEX('TRANS'!$C:$C,MATCH($J112,'TRANS'!$B:$B,0)),IFERROR(INDEX('Catalog'!$B:$B,MATCH($J112,'Catalog'!$A:$A,0)),$B112)),$B112)</f>
        <v>URI 3667 מגן בוניון</v>
      </c>
      <c r="D112" s="19" t="n">
        <f aca="false">SUMIFS('SALES Raw'!$C$6:$C$4467,'SALES Raw'!$J$6:$J$4467,$J112,'SALES Raw'!$K$6:$K$4467,"Y")+SUMIFS('CEMIUP0.9 Raw'!$D$6:$D$1712,'CEMIUP0.9 Raw'!$B$6:$B$1712,$J112,'CEMIUP0.9 Raw'!$H$6:$H$1712,"Y")</f>
        <v>344</v>
      </c>
      <c r="E112" s="19" t="n">
        <f aca="false">SUMIFS('SALES Raw'!$D$6:$D$4467,'SALES Raw'!$J$6:$J$4467,$J112,'SALES Raw'!$K$6:$K$4467,"Y")+SUMIFS('CEMIUP0.9 Raw'!$E$6:$E$1712,'CEMIUP0.9 Raw'!$B$6:$B$1712,$J112,'CEMIUP0.9 Raw'!$H$6:$H$1712,"Y")</f>
        <v>9558.404</v>
      </c>
      <c r="F112" s="19" t="n">
        <f aca="false">SUMIFS('SALES Raw'!$E$6:$E$4467,'SALES Raw'!$J$6:$J$4467,$J112,'SALES Raw'!$K$6:$K$4467,"Y")*$H$4+SUMIFS('CEMIUP0.9 Raw'!$F$6:$F$1712,'CEMIUP0.9 Raw'!$B$6:$B$1712,$J112,'CEMIUP0.9 Raw'!$H$6:$H$1712,"Y")</f>
        <v>288</v>
      </c>
      <c r="G112" s="19" t="n">
        <f aca="false">SUMIFS('SALES Raw'!$F$6:$F$4467,'SALES Raw'!$J$6:$J$4467,$J112,'SALES Raw'!$K$6:$K$4467,"Y")*$H$4+SUMIFS('CEMIUP0.9 Raw'!$G$6:$G$1712,'CEMIUP0.9 Raw'!$B$6:$B$1712,$J112,'CEMIUP0.9 Raw'!$H$6:$H$1712,"Y")</f>
        <v>7619.71957894736</v>
      </c>
      <c r="H112" s="18" t="s">
        <v>48</v>
      </c>
      <c r="I112" s="18" t="s">
        <v>43</v>
      </c>
      <c r="J112" s="18" t="n">
        <v>4413307</v>
      </c>
    </row>
    <row r="113" customFormat="false" ht="15" hidden="false" customHeight="false" outlineLevel="0" collapsed="false">
      <c r="A113" s="18" t="n">
        <f aca="false">IF(ISNUMBER($J113),$J113,"")</f>
        <v>4408266</v>
      </c>
      <c r="B113" s="18" t="str">
        <f aca="false">IFERROR(INDEX('SALES Raw'!$B$6:$B$4467,MATCH($J113,'SALES Raw'!$J$6:$J$4467,0)),IFERROR(INDEX('CEMIUP0.9 Raw'!$B$6:$B$1712,MATCH($J113,'CEMIUP0.9 Raw'!$B$6:$B$1712,0)),$J113))</f>
        <v>91B 0</v>
      </c>
      <c r="C113" s="18" t="str">
        <f aca="false">IF(ISNUMBER($J113),IFERROR(INDEX('TRANS'!$C:$C,MATCH($J113,'TRANS'!$B:$B,0)),IFERROR(INDEX('Catalog'!$B:$B,MATCH($J113,'Catalog'!$A:$A,0)),$B113)),$B113)</f>
        <v>91B חבק טניס אלבו</v>
      </c>
      <c r="D113" s="19" t="n">
        <f aca="false">SUMIFS('SALES Raw'!$C$6:$C$4467,'SALES Raw'!$J$6:$J$4467,$J113,'SALES Raw'!$K$6:$K$4467,"Y")+SUMIFS('CEMIUP0.9 Raw'!$D$6:$D$1712,'CEMIUP0.9 Raw'!$B$6:$B$1712,$J113,'CEMIUP0.9 Raw'!$H$6:$H$1712,"Y")</f>
        <v>232</v>
      </c>
      <c r="E113" s="19" t="n">
        <f aca="false">SUMIFS('SALES Raw'!$D$6:$D$4467,'SALES Raw'!$J$6:$J$4467,$J113,'SALES Raw'!$K$6:$K$4467,"Y")+SUMIFS('CEMIUP0.9 Raw'!$E$6:$E$1712,'CEMIUP0.9 Raw'!$B$6:$B$1712,$J113,'CEMIUP0.9 Raw'!$H$6:$H$1712,"Y")</f>
        <v>22981.779</v>
      </c>
      <c r="F113" s="19" t="n">
        <f aca="false">SUMIFS('SALES Raw'!$E$6:$E$4467,'SALES Raw'!$J$6:$J$4467,$J113,'SALES Raw'!$K$6:$K$4467,"Y")*$H$4+SUMIFS('CEMIUP0.9 Raw'!$F$6:$F$1712,'CEMIUP0.9 Raw'!$B$6:$B$1712,$J113,'CEMIUP0.9 Raw'!$H$6:$H$1712,"Y")</f>
        <v>284.210526315789</v>
      </c>
      <c r="G113" s="19" t="n">
        <f aca="false">SUMIFS('SALES Raw'!$F$6:$F$4467,'SALES Raw'!$J$6:$J$4467,$J113,'SALES Raw'!$K$6:$K$4467,"Y")*$H$4+SUMIFS('CEMIUP0.9 Raw'!$G$6:$G$1712,'CEMIUP0.9 Raw'!$B$6:$B$1712,$J113,'CEMIUP0.9 Raw'!$H$6:$H$1712,"Y")</f>
        <v>30502.9136842105</v>
      </c>
      <c r="H113" s="18" t="s">
        <v>42</v>
      </c>
      <c r="I113" s="18" t="s">
        <v>43</v>
      </c>
      <c r="J113" s="18" t="n">
        <v>4408266</v>
      </c>
    </row>
    <row r="114" customFormat="false" ht="15" hidden="false" customHeight="false" outlineLevel="0" collapsed="false">
      <c r="A114" s="18" t="n">
        <f aca="false">IF(ISNUMBER($J114),$J114,"")</f>
        <v>4413138</v>
      </c>
      <c r="B114" s="18" t="str">
        <f aca="false">IFERROR(INDEX('SALES Raw'!$B$6:$B$4467,MATCH($J114,'SALES Raw'!$J$6:$J$4467,0)),IFERROR(INDEX('CEMIUP0.9 Raw'!$B$6:$B$1712,MATCH($J114,'CEMIUP0.9 Raw'!$B$6:$B$1712,0)),$J114))</f>
        <v>85 XL</v>
      </c>
      <c r="C114" s="18" t="str">
        <f aca="false">IF(ISNUMBER($J114),IFERROR(INDEX('TRANS'!$C:$C,MATCH($J114,'TRANS'!$B:$B,0)),IFERROR(INDEX('Catalog'!$B:$B,MATCH($J114,'Catalog'!$A:$A,0)),$B114)),$B114)</f>
        <v>85 XL (מתלה ליד )כיס</v>
      </c>
      <c r="D114" s="19" t="n">
        <f aca="false">SUMIFS('SALES Raw'!$C$6:$C$4467,'SALES Raw'!$J$6:$J$4467,$J114,'SALES Raw'!$K$6:$K$4467,"Y")+SUMIFS('CEMIUP0.9 Raw'!$D$6:$D$1712,'CEMIUP0.9 Raw'!$B$6:$B$1712,$J114,'CEMIUP0.9 Raw'!$H$6:$H$1712,"Y")</f>
        <v>263</v>
      </c>
      <c r="E114" s="19" t="n">
        <f aca="false">SUMIFS('SALES Raw'!$D$6:$D$4467,'SALES Raw'!$J$6:$J$4467,$J114,'SALES Raw'!$K$6:$K$4467,"Y")+SUMIFS('CEMIUP0.9 Raw'!$E$6:$E$1712,'CEMIUP0.9 Raw'!$B$6:$B$1712,$J114,'CEMIUP0.9 Raw'!$H$6:$H$1712,"Y")</f>
        <v>11460.992</v>
      </c>
      <c r="F114" s="19" t="n">
        <f aca="false">SUMIFS('SALES Raw'!$E$6:$E$4467,'SALES Raw'!$J$6:$J$4467,$J114,'SALES Raw'!$K$6:$K$4467,"Y")*$H$4+SUMIFS('CEMIUP0.9 Raw'!$F$6:$F$1712,'CEMIUP0.9 Raw'!$B$6:$B$1712,$J114,'CEMIUP0.9 Raw'!$H$6:$H$1712,"Y")</f>
        <v>276.631578947369</v>
      </c>
      <c r="G114" s="19" t="n">
        <f aca="false">SUMIFS('SALES Raw'!$F$6:$F$4467,'SALES Raw'!$J$6:$J$4467,$J114,'SALES Raw'!$K$6:$K$4467,"Y")*$H$4+SUMIFS('CEMIUP0.9 Raw'!$G$6:$G$1712,'CEMIUP0.9 Raw'!$B$6:$B$1712,$J114,'CEMIUP0.9 Raw'!$H$6:$H$1712,"Y")</f>
        <v>11881.9048421053</v>
      </c>
      <c r="H114" s="18" t="s">
        <v>48</v>
      </c>
      <c r="I114" s="18" t="s">
        <v>43</v>
      </c>
      <c r="J114" s="18" t="n">
        <v>4413138</v>
      </c>
    </row>
    <row r="115" customFormat="false" ht="15" hidden="false" customHeight="false" outlineLevel="0" collapsed="false">
      <c r="A115" s="18" t="n">
        <f aca="false">IF(ISNUMBER($J115),$J115,"")</f>
        <v>4408264</v>
      </c>
      <c r="B115" s="18" t="str">
        <f aca="false">IFERROR(INDEX('SALES Raw'!$B$6:$B$4467,MATCH($J115,'SALES Raw'!$J$6:$J$4467,0)),IFERROR(INDEX('CEMIUP0.9 Raw'!$B$6:$B$1712,MATCH($J115,'CEMIUP0.9 Raw'!$B$6:$B$1712,0)),$J115))</f>
        <v>T25B 0</v>
      </c>
      <c r="C115" s="18" t="str">
        <f aca="false">IF(ISNUMBER($J115),IFERROR(INDEX('TRANS'!$C:$C,MATCH($J115,'TRANS'!$B:$B,0)),IFERROR(INDEX('Catalog'!$B:$B,MATCH($J115,'Catalog'!$A:$A,0)),$B115)),$B115)</f>
        <v>T25B   חבק יד אגודלי</v>
      </c>
      <c r="D115" s="19" t="n">
        <f aca="false">SUMIFS('SALES Raw'!$C$6:$C$4467,'SALES Raw'!$J$6:$J$4467,$J115,'SALES Raw'!$K$6:$K$4467,"Y")+SUMIFS('CEMIUP0.9 Raw'!$D$6:$D$1712,'CEMIUP0.9 Raw'!$B$6:$B$1712,$J115,'CEMIUP0.9 Raw'!$H$6:$H$1712,"Y")</f>
        <v>485</v>
      </c>
      <c r="E115" s="19" t="n">
        <f aca="false">SUMIFS('SALES Raw'!$D$6:$D$4467,'SALES Raw'!$J$6:$J$4467,$J115,'SALES Raw'!$K$6:$K$4467,"Y")+SUMIFS('CEMIUP0.9 Raw'!$E$6:$E$1712,'CEMIUP0.9 Raw'!$B$6:$B$1712,$J115,'CEMIUP0.9 Raw'!$H$6:$H$1712,"Y")</f>
        <v>19884.477</v>
      </c>
      <c r="F115" s="19" t="n">
        <f aca="false">SUMIFS('SALES Raw'!$E$6:$E$4467,'SALES Raw'!$J$6:$J$4467,$J115,'SALES Raw'!$K$6:$K$4467,"Y")*$H$4+SUMIFS('CEMIUP0.9 Raw'!$F$6:$F$1712,'CEMIUP0.9 Raw'!$B$6:$B$1712,$J115,'CEMIUP0.9 Raw'!$H$6:$H$1712,"Y")</f>
        <v>275.368421052632</v>
      </c>
      <c r="G115" s="19" t="n">
        <f aca="false">SUMIFS('SALES Raw'!$F$6:$F$4467,'SALES Raw'!$J$6:$J$4467,$J115,'SALES Raw'!$K$6:$K$4467,"Y")*$H$4+SUMIFS('CEMIUP0.9 Raw'!$G$6:$G$1712,'CEMIUP0.9 Raw'!$B$6:$B$1712,$J115,'CEMIUP0.9 Raw'!$H$6:$H$1712,"Y")</f>
        <v>12407.7094736842</v>
      </c>
      <c r="H115" s="18" t="s">
        <v>43</v>
      </c>
      <c r="I115" s="18" t="s">
        <v>42</v>
      </c>
      <c r="J115" s="18" t="n">
        <v>4408264</v>
      </c>
    </row>
    <row r="116" customFormat="false" ht="15" hidden="false" customHeight="false" outlineLevel="0" collapsed="false">
      <c r="A116" s="18" t="n">
        <f aca="false">IF(ISNUMBER($J116),$J116,"")</f>
        <v>4408054</v>
      </c>
      <c r="B116" s="18" t="str">
        <f aca="false">IFERROR(INDEX('SALES Raw'!$B$6:$B$4467,MATCH($J116,'SALES Raw'!$J$6:$J$4467,0)),IFERROR(INDEX('CEMIUP0.9 Raw'!$B$6:$B$1712,MATCH($J116,'CEMIUP0.9 Raw'!$B$6:$B$1712,0)),$J116))</f>
        <v>21 XL</v>
      </c>
      <c r="C116" s="18" t="str">
        <f aca="false">IF(ISNUMBER($J116),IFERROR(INDEX('TRANS'!$C:$C,MATCH($J116,'TRANS'!$B:$B,0)),IFERROR(INDEX('Catalog'!$B:$B,MATCH($J116,'Catalog'!$A:$A,0)),$B116)),$B116)</f>
        <v>21 XL חבק יד ארוך</v>
      </c>
      <c r="D116" s="19" t="n">
        <f aca="false">SUMIFS('SALES Raw'!$C$6:$C$4467,'SALES Raw'!$J$6:$J$4467,$J116,'SALES Raw'!$K$6:$K$4467,"Y")+SUMIFS('CEMIUP0.9 Raw'!$D$6:$D$1712,'CEMIUP0.9 Raw'!$B$6:$B$1712,$J116,'CEMIUP0.9 Raw'!$H$6:$H$1712,"Y")</f>
        <v>432</v>
      </c>
      <c r="E116" s="19" t="n">
        <f aca="false">SUMIFS('SALES Raw'!$D$6:$D$4467,'SALES Raw'!$J$6:$J$4467,$J116,'SALES Raw'!$K$6:$K$4467,"Y")+SUMIFS('CEMIUP0.9 Raw'!$E$6:$E$1712,'CEMIUP0.9 Raw'!$B$6:$B$1712,$J116,'CEMIUP0.9 Raw'!$H$6:$H$1712,"Y")</f>
        <v>13736.511</v>
      </c>
      <c r="F116" s="19" t="n">
        <f aca="false">SUMIFS('SALES Raw'!$E$6:$E$4467,'SALES Raw'!$J$6:$J$4467,$J116,'SALES Raw'!$K$6:$K$4467,"Y")*$H$4+SUMIFS('CEMIUP0.9 Raw'!$F$6:$F$1712,'CEMIUP0.9 Raw'!$B$6:$B$1712,$J116,'CEMIUP0.9 Raw'!$H$6:$H$1712,"Y")</f>
        <v>272.842105263158</v>
      </c>
      <c r="G116" s="19" t="n">
        <f aca="false">SUMIFS('SALES Raw'!$F$6:$F$4467,'SALES Raw'!$J$6:$J$4467,$J116,'SALES Raw'!$K$6:$K$4467,"Y")*$H$4+SUMIFS('CEMIUP0.9 Raw'!$G$6:$G$1712,'CEMIUP0.9 Raw'!$B$6:$B$1712,$J116,'CEMIUP0.9 Raw'!$H$6:$H$1712,"Y")</f>
        <v>8482.02442105262</v>
      </c>
      <c r="H116" s="18" t="s">
        <v>43</v>
      </c>
      <c r="I116" s="18" t="s">
        <v>48</v>
      </c>
      <c r="J116" s="18" t="n">
        <v>4408054</v>
      </c>
    </row>
    <row r="117" customFormat="false" ht="15" hidden="false" customHeight="false" outlineLevel="0" collapsed="false">
      <c r="A117" s="18" t="n">
        <f aca="false">IF(ISNUMBER($J117),$J117,"")</f>
        <v>4422026</v>
      </c>
      <c r="B117" s="18" t="str">
        <f aca="false">IFERROR(INDEX('SALES Raw'!$B$6:$B$4467,MATCH($J117,'SALES Raw'!$J$6:$J$4467,0)),IFERROR(INDEX('CEMIUP0.9 Raw'!$B$6:$B$1712,MATCH($J117,'CEMIUP0.9 Raw'!$B$6:$B$1712,0)),$J117))</f>
        <v>806CB-P</v>
      </c>
      <c r="C117" s="18" t="str">
        <f aca="false">IF(ISNUMBER($J117),IFERROR(INDEX('TRANS'!$C:$C,MATCH($J117,'TRANS'!$B:$B,0)),IFERROR(INDEX('Catalog'!$B:$B,MATCH($J117,'Catalog'!$A:$A,0)),$B117)),$B117)</f>
        <v>806CB-PINK       תחבושת א.נצמ</v>
      </c>
      <c r="D117" s="19" t="n">
        <f aca="false">SUMIFS('SALES Raw'!$C$6:$C$4467,'SALES Raw'!$J$6:$J$4467,$J117,'SALES Raw'!$K$6:$K$4467,"Y")+SUMIFS('CEMIUP0.9 Raw'!$D$6:$D$1712,'CEMIUP0.9 Raw'!$B$6:$B$1712,$J117,'CEMIUP0.9 Raw'!$H$6:$H$1712,"Y")</f>
        <v>515</v>
      </c>
      <c r="E117" s="19" t="n">
        <f aca="false">SUMIFS('SALES Raw'!$D$6:$D$4467,'SALES Raw'!$J$6:$J$4467,$J117,'SALES Raw'!$K$6:$K$4467,"Y")+SUMIFS('CEMIUP0.9 Raw'!$E$6:$E$1712,'CEMIUP0.9 Raw'!$B$6:$B$1712,$J117,'CEMIUP0.9 Raw'!$H$6:$H$1712,"Y")</f>
        <v>4775.354</v>
      </c>
      <c r="F117" s="19" t="n">
        <f aca="false">SUMIFS('SALES Raw'!$E$6:$E$4467,'SALES Raw'!$J$6:$J$4467,$J117,'SALES Raw'!$K$6:$K$4467,"Y")*$H$4+SUMIFS('CEMIUP0.9 Raw'!$F$6:$F$1712,'CEMIUP0.9 Raw'!$B$6:$B$1712,$J117,'CEMIUP0.9 Raw'!$H$6:$H$1712,"Y")</f>
        <v>271.578947368421</v>
      </c>
      <c r="G117" s="19" t="n">
        <f aca="false">SUMIFS('SALES Raw'!$F$6:$F$4467,'SALES Raw'!$J$6:$J$4467,$J117,'SALES Raw'!$K$6:$K$4467,"Y")*$H$4+SUMIFS('CEMIUP0.9 Raw'!$G$6:$G$1712,'CEMIUP0.9 Raw'!$B$6:$B$1712,$J117,'CEMIUP0.9 Raw'!$H$6:$H$1712,"Y")</f>
        <v>2858.19157894737</v>
      </c>
      <c r="H117" s="18" t="s">
        <v>43</v>
      </c>
      <c r="I117" s="18" t="s">
        <v>44</v>
      </c>
      <c r="J117" s="18" t="n">
        <v>4422026</v>
      </c>
    </row>
    <row r="118" customFormat="false" ht="15" hidden="false" customHeight="false" outlineLevel="0" collapsed="false">
      <c r="A118" s="18" t="n">
        <f aca="false">IF(ISNUMBER($J118),$J118,"")</f>
        <v>4415163</v>
      </c>
      <c r="B118" s="18" t="str">
        <f aca="false">IFERROR(INDEX('SALES Raw'!$B$6:$B$4467,MATCH($J118,'SALES Raw'!$J$6:$J$4467,0)),IFERROR(INDEX('CEMIUP0.9 Raw'!$B$6:$B$1712,MATCH($J118,'CEMIUP0.9 Raw'!$B$6:$B$1712,0)),$J118))</f>
        <v>238 XL</v>
      </c>
      <c r="C118" s="18" t="str">
        <f aca="false">IF(ISNUMBER($J118),IFERROR(INDEX('TRANS'!$C:$C,MATCH($J118,'TRANS'!$B:$B,0)),IFERROR(INDEX('Catalog'!$B:$B,MATCH($J118,'Catalog'!$A:$A,0)),$B118)),$B118)</f>
        <v>238XL סד ליישור אצבע</v>
      </c>
      <c r="D118" s="19" t="n">
        <f aca="false">SUMIFS('SALES Raw'!$C$6:$C$4467,'SALES Raw'!$J$6:$J$4467,$J118,'SALES Raw'!$K$6:$K$4467,"Y")+SUMIFS('CEMIUP0.9 Raw'!$D$6:$D$1712,'CEMIUP0.9 Raw'!$B$6:$B$1712,$J118,'CEMIUP0.9 Raw'!$H$6:$H$1712,"Y")</f>
        <v>287</v>
      </c>
      <c r="E118" s="19" t="n">
        <f aca="false">SUMIFS('SALES Raw'!$D$6:$D$4467,'SALES Raw'!$J$6:$J$4467,$J118,'SALES Raw'!$K$6:$K$4467,"Y")+SUMIFS('CEMIUP0.9 Raw'!$E$6:$E$1712,'CEMIUP0.9 Raw'!$B$6:$B$1712,$J118,'CEMIUP0.9 Raw'!$H$6:$H$1712,"Y")</f>
        <v>5313.28</v>
      </c>
      <c r="F118" s="19" t="n">
        <f aca="false">SUMIFS('SALES Raw'!$E$6:$E$4467,'SALES Raw'!$J$6:$J$4467,$J118,'SALES Raw'!$K$6:$K$4467,"Y")*$H$4+SUMIFS('CEMIUP0.9 Raw'!$F$6:$F$1712,'CEMIUP0.9 Raw'!$B$6:$B$1712,$J118,'CEMIUP0.9 Raw'!$H$6:$H$1712,"Y")</f>
        <v>267.789473684211</v>
      </c>
      <c r="G118" s="19" t="n">
        <f aca="false">SUMIFS('SALES Raw'!$F$6:$F$4467,'SALES Raw'!$J$6:$J$4467,$J118,'SALES Raw'!$K$6:$K$4467,"Y")*$H$4+SUMIFS('CEMIUP0.9 Raw'!$G$6:$G$1712,'CEMIUP0.9 Raw'!$B$6:$B$1712,$J118,'CEMIUP0.9 Raw'!$H$6:$H$1712,"Y")</f>
        <v>5288.40252631579</v>
      </c>
      <c r="H118" s="18" t="s">
        <v>43</v>
      </c>
      <c r="I118" s="18" t="s">
        <v>44</v>
      </c>
      <c r="J118" s="18" t="n">
        <v>4415163</v>
      </c>
    </row>
    <row r="119" customFormat="false" ht="15" hidden="false" customHeight="false" outlineLevel="0" collapsed="false">
      <c r="A119" s="18" t="n">
        <f aca="false">IF(ISNUMBER($J119),$J119,"")</f>
        <v>4413497</v>
      </c>
      <c r="B119" s="18" t="str">
        <f aca="false">IFERROR(INDEX('SALES Raw'!$B$6:$B$4467,MATCH($J119,'SALES Raw'!$J$6:$J$4467,0)),IFERROR(INDEX('CEMIUP0.9 Raw'!$B$6:$B$1712,MATCH($J119,'CEMIUP0.9 Raw'!$B$6:$B$1712,0)),$J119))</f>
        <v>45B M</v>
      </c>
      <c r="C119" s="18" t="str">
        <f aca="false">IF(ISNUMBER($J119),IFERROR(INDEX('TRANS'!$C:$C,MATCH($J119,'TRANS'!$B:$B,0)),IFERROR(INDEX('Catalog'!$B:$B,MATCH($J119,'Catalog'!$A:$A,0)),$B119)),$B119)</f>
        <v>45B M מגן ברך שחור</v>
      </c>
      <c r="D119" s="19" t="n">
        <f aca="false">SUMIFS('SALES Raw'!$C$6:$C$4467,'SALES Raw'!$J$6:$J$4467,$J119,'SALES Raw'!$K$6:$K$4467,"Y")+SUMIFS('CEMIUP0.9 Raw'!$D$6:$D$1712,'CEMIUP0.9 Raw'!$B$6:$B$1712,$J119,'CEMIUP0.9 Raw'!$H$6:$H$1712,"Y")</f>
        <v>326</v>
      </c>
      <c r="E119" s="19" t="n">
        <f aca="false">SUMIFS('SALES Raw'!$D$6:$D$4467,'SALES Raw'!$J$6:$J$4467,$J119,'SALES Raw'!$K$6:$K$4467,"Y")+SUMIFS('CEMIUP0.9 Raw'!$E$6:$E$1712,'CEMIUP0.9 Raw'!$B$6:$B$1712,$J119,'CEMIUP0.9 Raw'!$H$6:$H$1712,"Y")</f>
        <v>9205.006</v>
      </c>
      <c r="F119" s="19" t="n">
        <f aca="false">SUMIFS('SALES Raw'!$E$6:$E$4467,'SALES Raw'!$J$6:$J$4467,$J119,'SALES Raw'!$K$6:$K$4467,"Y")*$H$4+SUMIFS('CEMIUP0.9 Raw'!$F$6:$F$1712,'CEMIUP0.9 Raw'!$B$6:$B$1712,$J119,'CEMIUP0.9 Raw'!$H$6:$H$1712,"Y")</f>
        <v>267.789473684211</v>
      </c>
      <c r="G119" s="19" t="n">
        <f aca="false">SUMIFS('SALES Raw'!$F$6:$F$4467,'SALES Raw'!$J$6:$J$4467,$J119,'SALES Raw'!$K$6:$K$4467,"Y")*$H$4+SUMIFS('CEMIUP0.9 Raw'!$G$6:$G$1712,'CEMIUP0.9 Raw'!$B$6:$B$1712,$J119,'CEMIUP0.9 Raw'!$H$6:$H$1712,"Y")</f>
        <v>8336.36336842105</v>
      </c>
      <c r="H119" s="18" t="s">
        <v>43</v>
      </c>
      <c r="I119" s="18" t="s">
        <v>42</v>
      </c>
      <c r="J119" s="18" t="n">
        <v>4413497</v>
      </c>
    </row>
    <row r="120" customFormat="false" ht="15" hidden="false" customHeight="false" outlineLevel="0" collapsed="false">
      <c r="A120" s="18" t="n">
        <f aca="false">IF(ISNUMBER($J120),$J120,"")</f>
        <v>4413490</v>
      </c>
      <c r="B120" s="18" t="str">
        <f aca="false">IFERROR(INDEX('SALES Raw'!$B$6:$B$4467,MATCH($J120,'SALES Raw'!$J$6:$J$4467,0)),IFERROR(INDEX('CEMIUP0.9 Raw'!$B$6:$B$1712,MATCH($J120,'CEMIUP0.9 Raw'!$B$6:$B$1712,0)),$J120))</f>
        <v>35B L</v>
      </c>
      <c r="C120" s="18" t="str">
        <f aca="false">IF(ISNUMBER($J120),IFERROR(INDEX('TRANS'!$C:$C,MATCH($J120,'TRANS'!$B:$B,0)),IFERROR(INDEX('Catalog'!$B:$B,MATCH($J120,'Catalog'!$A:$A,0)),$B120)),$B120)</f>
        <v>35B L מגן קרסול שחור</v>
      </c>
      <c r="D120" s="19" t="n">
        <f aca="false">SUMIFS('SALES Raw'!$C$6:$C$4467,'SALES Raw'!$J$6:$J$4467,$J120,'SALES Raw'!$K$6:$K$4467,"Y")+SUMIFS('CEMIUP0.9 Raw'!$D$6:$D$1712,'CEMIUP0.9 Raw'!$B$6:$B$1712,$J120,'CEMIUP0.9 Raw'!$H$6:$H$1712,"Y")</f>
        <v>320</v>
      </c>
      <c r="E120" s="19" t="n">
        <f aca="false">SUMIFS('SALES Raw'!$D$6:$D$4467,'SALES Raw'!$J$6:$J$4467,$J120,'SALES Raw'!$K$6:$K$4467,"Y")+SUMIFS('CEMIUP0.9 Raw'!$E$6:$E$1712,'CEMIUP0.9 Raw'!$B$6:$B$1712,$J120,'CEMIUP0.9 Raw'!$H$6:$H$1712,"Y")</f>
        <v>8500.627</v>
      </c>
      <c r="F120" s="19" t="n">
        <f aca="false">SUMIFS('SALES Raw'!$E$6:$E$4467,'SALES Raw'!$J$6:$J$4467,$J120,'SALES Raw'!$K$6:$K$4467,"Y")*$H$4+SUMIFS('CEMIUP0.9 Raw'!$F$6:$F$1712,'CEMIUP0.9 Raw'!$B$6:$B$1712,$J120,'CEMIUP0.9 Raw'!$H$6:$H$1712,"Y")</f>
        <v>267.78947368421</v>
      </c>
      <c r="G120" s="19" t="n">
        <f aca="false">SUMIFS('SALES Raw'!$F$6:$F$4467,'SALES Raw'!$J$6:$J$4467,$J120,'SALES Raw'!$K$6:$K$4467,"Y")*$H$4+SUMIFS('CEMIUP0.9 Raw'!$G$6:$G$1712,'CEMIUP0.9 Raw'!$B$6:$B$1712,$J120,'CEMIUP0.9 Raw'!$H$6:$H$1712,"Y")</f>
        <v>8043.53305263158</v>
      </c>
      <c r="H120" s="18" t="s">
        <v>43</v>
      </c>
      <c r="I120" s="18" t="s">
        <v>42</v>
      </c>
      <c r="J120" s="18" t="n">
        <v>4413490</v>
      </c>
    </row>
    <row r="121" customFormat="false" ht="15" hidden="false" customHeight="false" outlineLevel="0" collapsed="false">
      <c r="A121" s="18" t="n">
        <f aca="false">IF(ISNUMBER($J121),$J121,"")</f>
        <v>4413455</v>
      </c>
      <c r="B121" s="18" t="str">
        <f aca="false">IFERROR(INDEX('SALES Raw'!$B$6:$B$4467,MATCH($J121,'SALES Raw'!$J$6:$J$4467,0)),IFERROR(INDEX('CEMIUP0.9 Raw'!$B$6:$B$1712,MATCH($J121,'CEMIUP0.9 Raw'!$B$6:$B$1712,0)),$J121))</f>
        <v>85K 0</v>
      </c>
      <c r="C121" s="18" t="str">
        <f aca="false">IF(ISNUMBER($J121),IFERROR(INDEX('TRANS'!$C:$C,MATCH($J121,'TRANS'!$B:$B,0)),IFERROR(INDEX('Catalog'!$B:$B,MATCH($J121,'Catalog'!$A:$A,0)),$B121)),$B121)</f>
        <v>85K מתלה ליד לילדים</v>
      </c>
      <c r="D121" s="19" t="n">
        <f aca="false">SUMIFS('SALES Raw'!$C$6:$C$4467,'SALES Raw'!$J$6:$J$4467,$J121,'SALES Raw'!$K$6:$K$4467,"Y")+SUMIFS('CEMIUP0.9 Raw'!$D$6:$D$1712,'CEMIUP0.9 Raw'!$B$6:$B$1712,$J121,'CEMIUP0.9 Raw'!$H$6:$H$1712,"Y")</f>
        <v>280</v>
      </c>
      <c r="E121" s="19" t="n">
        <f aca="false">SUMIFS('SALES Raw'!$D$6:$D$4467,'SALES Raw'!$J$6:$J$4467,$J121,'SALES Raw'!$K$6:$K$4467,"Y")+SUMIFS('CEMIUP0.9 Raw'!$E$6:$E$1712,'CEMIUP0.9 Raw'!$B$6:$B$1712,$J121,'CEMIUP0.9 Raw'!$H$6:$H$1712,"Y")</f>
        <v>15955.187</v>
      </c>
      <c r="F121" s="19" t="n">
        <f aca="false">SUMIFS('SALES Raw'!$E$6:$E$4467,'SALES Raw'!$J$6:$J$4467,$J121,'SALES Raw'!$K$6:$K$4467,"Y")*$H$4+SUMIFS('CEMIUP0.9 Raw'!$F$6:$F$1712,'CEMIUP0.9 Raw'!$B$6:$B$1712,$J121,'CEMIUP0.9 Raw'!$H$6:$H$1712,"Y")</f>
        <v>257.684210526315</v>
      </c>
      <c r="G121" s="19" t="n">
        <f aca="false">SUMIFS('SALES Raw'!$F$6:$F$4467,'SALES Raw'!$J$6:$J$4467,$J121,'SALES Raw'!$K$6:$K$4467,"Y")*$H$4+SUMIFS('CEMIUP0.9 Raw'!$G$6:$G$1712,'CEMIUP0.9 Raw'!$B$6:$B$1712,$J121,'CEMIUP0.9 Raw'!$H$6:$H$1712,"Y")</f>
        <v>14313.4635789474</v>
      </c>
      <c r="H121" s="18" t="s">
        <v>43</v>
      </c>
      <c r="I121" s="18" t="s">
        <v>42</v>
      </c>
      <c r="J121" s="18" t="n">
        <v>4413455</v>
      </c>
    </row>
    <row r="122" customFormat="false" ht="15" hidden="false" customHeight="false" outlineLevel="0" collapsed="false">
      <c r="A122" s="18" t="n">
        <f aca="false">IF(ISNUMBER($J122),$J122,"")</f>
        <v>4413331</v>
      </c>
      <c r="B122" s="18" t="str">
        <f aca="false">IFERROR(INDEX('SALES Raw'!$B$6:$B$4467,MATCH($J122,'SALES Raw'!$J$6:$J$4467,0)),IFERROR(INDEX('CEMIUP0.9 Raw'!$B$6:$B$1712,MATCH($J122,'CEMIUP0.9 Raw'!$B$6:$B$1712,0)),$J122))</f>
        <v>AC95 0</v>
      </c>
      <c r="C122" s="18" t="str">
        <f aca="false">IF(ISNUMBER($J122),IFERROR(INDEX('TRANS'!$C:$C,MATCH($J122,'TRANS'!$B:$B,0)),IFERROR(INDEX('Catalog'!$B:$B,MATCH($J122,'Catalog'!$A:$A,0)),$B122)),$B122)</f>
        <v>AC95 מגן מרפק</v>
      </c>
      <c r="D122" s="19" t="n">
        <f aca="false">SUMIFS('SALES Raw'!$C$6:$C$4467,'SALES Raw'!$J$6:$J$4467,$J122,'SALES Raw'!$K$6:$K$4467,"Y")+SUMIFS('CEMIUP0.9 Raw'!$D$6:$D$1712,'CEMIUP0.9 Raw'!$B$6:$B$1712,$J122,'CEMIUP0.9 Raw'!$H$6:$H$1712,"Y")</f>
        <v>321</v>
      </c>
      <c r="E122" s="19" t="n">
        <f aca="false">SUMIFS('SALES Raw'!$D$6:$D$4467,'SALES Raw'!$J$6:$J$4467,$J122,'SALES Raw'!$K$6:$K$4467,"Y")+SUMIFS('CEMIUP0.9 Raw'!$E$6:$E$1712,'CEMIUP0.9 Raw'!$B$6:$B$1712,$J122,'CEMIUP0.9 Raw'!$H$6:$H$1712,"Y")</f>
        <v>12495.879</v>
      </c>
      <c r="F122" s="19" t="n">
        <f aca="false">SUMIFS('SALES Raw'!$E$6:$E$4467,'SALES Raw'!$J$6:$J$4467,$J122,'SALES Raw'!$K$6:$K$4467,"Y")*$H$4+SUMIFS('CEMIUP0.9 Raw'!$F$6:$F$1712,'CEMIUP0.9 Raw'!$B$6:$B$1712,$J122,'CEMIUP0.9 Raw'!$H$6:$H$1712,"Y")</f>
        <v>252.631578947369</v>
      </c>
      <c r="G122" s="19" t="n">
        <f aca="false">SUMIFS('SALES Raw'!$F$6:$F$4467,'SALES Raw'!$J$6:$J$4467,$J122,'SALES Raw'!$K$6:$K$4467,"Y")*$H$4+SUMIFS('CEMIUP0.9 Raw'!$G$6:$G$1712,'CEMIUP0.9 Raw'!$B$6:$B$1712,$J122,'CEMIUP0.9 Raw'!$H$6:$H$1712,"Y")</f>
        <v>10003.2972631579</v>
      </c>
      <c r="H122" s="18" t="s">
        <v>43</v>
      </c>
      <c r="I122" s="18" t="s">
        <v>42</v>
      </c>
      <c r="J122" s="18" t="n">
        <v>4413331</v>
      </c>
    </row>
    <row r="123" customFormat="false" ht="15" hidden="false" customHeight="false" outlineLevel="0" collapsed="false">
      <c r="A123" s="18" t="n">
        <f aca="false">IF(ISNUMBER($J123),$J123,"")</f>
        <v>4408269</v>
      </c>
      <c r="B123" s="18" t="str">
        <f aca="false">IFERROR(INDEX('SALES Raw'!$B$6:$B$4467,MATCH($J123,'SALES Raw'!$J$6:$J$4467,0)),IFERROR(INDEX('CEMIUP0.9 Raw'!$B$6:$B$1712,MATCH($J123,'CEMIUP0.9 Raw'!$B$6:$B$1712,0)),$J123))</f>
        <v>ST37 0</v>
      </c>
      <c r="C123" s="18" t="str">
        <f aca="false">IF(ISNUMBER($J123),IFERROR(INDEX('TRANS'!$C:$C,MATCH($J123,'TRANS'!$B:$B,0)),IFERROR(INDEX('Catalog'!$B:$B,MATCH($J123,'Catalog'!$A:$A,0)),$B123)),$B123)</f>
        <v>ST37 חבק לקרסול</v>
      </c>
      <c r="D123" s="19" t="n">
        <f aca="false">SUMIFS('SALES Raw'!$C$6:$C$4467,'SALES Raw'!$J$6:$J$4467,$J123,'SALES Raw'!$K$6:$K$4467,"Y")+SUMIFS('CEMIUP0.9 Raw'!$D$6:$D$1712,'CEMIUP0.9 Raw'!$B$6:$B$1712,$J123,'CEMIUP0.9 Raw'!$H$6:$H$1712,"Y")</f>
        <v>215</v>
      </c>
      <c r="E123" s="19" t="n">
        <f aca="false">SUMIFS('SALES Raw'!$D$6:$D$4467,'SALES Raw'!$J$6:$J$4467,$J123,'SALES Raw'!$K$6:$K$4467,"Y")+SUMIFS('CEMIUP0.9 Raw'!$E$6:$E$1712,'CEMIUP0.9 Raw'!$B$6:$B$1712,$J123,'CEMIUP0.9 Raw'!$H$6:$H$1712,"Y")</f>
        <v>5812.28</v>
      </c>
      <c r="F123" s="19" t="n">
        <f aca="false">SUMIFS('SALES Raw'!$E$6:$E$4467,'SALES Raw'!$J$6:$J$4467,$J123,'SALES Raw'!$K$6:$K$4467,"Y")*$H$4+SUMIFS('CEMIUP0.9 Raw'!$F$6:$F$1712,'CEMIUP0.9 Raw'!$B$6:$B$1712,$J123,'CEMIUP0.9 Raw'!$H$6:$H$1712,"Y")</f>
        <v>251.368421052631</v>
      </c>
      <c r="G123" s="19" t="n">
        <f aca="false">SUMIFS('SALES Raw'!$F$6:$F$4467,'SALES Raw'!$J$6:$J$4467,$J123,'SALES Raw'!$K$6:$K$4467,"Y")*$H$4+SUMIFS('CEMIUP0.9 Raw'!$G$6:$G$1712,'CEMIUP0.9 Raw'!$B$6:$B$1712,$J123,'CEMIUP0.9 Raw'!$H$6:$H$1712,"Y")</f>
        <v>6408.43957894736</v>
      </c>
      <c r="H123" s="18" t="s">
        <v>48</v>
      </c>
      <c r="I123" s="18" t="s">
        <v>42</v>
      </c>
      <c r="J123" s="18" t="n">
        <v>4408269</v>
      </c>
    </row>
    <row r="124" customFormat="false" ht="15" hidden="false" customHeight="false" outlineLevel="0" collapsed="false">
      <c r="A124" s="18" t="n">
        <f aca="false">IF(ISNUMBER($J124),$J124,"")</f>
        <v>4422025</v>
      </c>
      <c r="B124" s="18" t="str">
        <f aca="false">IFERROR(INDEX('SALES Raw'!$B$6:$B$4467,MATCH($J124,'SALES Raw'!$J$6:$J$4467,0)),IFERROR(INDEX('CEMIUP0.9 Raw'!$B$6:$B$1712,MATCH($J124,'CEMIUP0.9 Raw'!$B$6:$B$1712,0)),$J124))</f>
        <v>806CB-GR</v>
      </c>
      <c r="C124" s="18" t="str">
        <f aca="false">IF(ISNUMBER($J124),IFERROR(INDEX('TRANS'!$C:$C,MATCH($J124,'TRANS'!$B:$B,0)),IFERROR(INDEX('Catalog'!$B:$B,MATCH($J124,'Catalog'!$A:$A,0)),$B124)),$B124)</f>
        <v>806CB-GREEN      תחבושת א.נצמ</v>
      </c>
      <c r="D124" s="19" t="n">
        <f aca="false">SUMIFS('SALES Raw'!$C$6:$C$4467,'SALES Raw'!$J$6:$J$4467,$J124,'SALES Raw'!$K$6:$K$4467,"Y")+SUMIFS('CEMIUP0.9 Raw'!$D$6:$D$1712,'CEMIUP0.9 Raw'!$B$6:$B$1712,$J124,'CEMIUP0.9 Raw'!$H$6:$H$1712,"Y")</f>
        <v>529</v>
      </c>
      <c r="E124" s="19" t="n">
        <f aca="false">SUMIFS('SALES Raw'!$D$6:$D$4467,'SALES Raw'!$J$6:$J$4467,$J124,'SALES Raw'!$K$6:$K$4467,"Y")+SUMIFS('CEMIUP0.9 Raw'!$E$6:$E$1712,'CEMIUP0.9 Raw'!$B$6:$B$1712,$J124,'CEMIUP0.9 Raw'!$H$6:$H$1712,"Y")</f>
        <v>4822.526</v>
      </c>
      <c r="F124" s="19" t="n">
        <f aca="false">SUMIFS('SALES Raw'!$E$6:$E$4467,'SALES Raw'!$J$6:$J$4467,$J124,'SALES Raw'!$K$6:$K$4467,"Y")*$H$4+SUMIFS('CEMIUP0.9 Raw'!$F$6:$F$1712,'CEMIUP0.9 Raw'!$B$6:$B$1712,$J124,'CEMIUP0.9 Raw'!$H$6:$H$1712,"Y")</f>
        <v>250.105263157895</v>
      </c>
      <c r="G124" s="19" t="n">
        <f aca="false">SUMIFS('SALES Raw'!$F$6:$F$4467,'SALES Raw'!$J$6:$J$4467,$J124,'SALES Raw'!$K$6:$K$4467,"Y")*$H$4+SUMIFS('CEMIUP0.9 Raw'!$G$6:$G$1712,'CEMIUP0.9 Raw'!$B$6:$B$1712,$J124,'CEMIUP0.9 Raw'!$H$6:$H$1712,"Y")</f>
        <v>2641.85178947368</v>
      </c>
      <c r="H124" s="18" t="s">
        <v>43</v>
      </c>
      <c r="I124" s="18" t="s">
        <v>42</v>
      </c>
      <c r="J124" s="18" t="n">
        <v>4422025</v>
      </c>
    </row>
    <row r="125" customFormat="false" ht="15" hidden="false" customHeight="false" outlineLevel="0" collapsed="false">
      <c r="A125" s="18" t="n">
        <f aca="false">IF(ISNUMBER($J125),$J125,"")</f>
        <v>4408249</v>
      </c>
      <c r="B125" s="18" t="str">
        <f aca="false">IFERROR(INDEX('SALES Raw'!$B$6:$B$4467,MATCH($J125,'SALES Raw'!$J$6:$J$4467,0)),IFERROR(INDEX('CEMIUP0.9 Raw'!$B$6:$B$1712,MATCH($J125,'CEMIUP0.9 Raw'!$B$6:$B$1712,0)),$J125))</f>
        <v>SC25 L</v>
      </c>
      <c r="C125" s="18" t="str">
        <f aca="false">IF(ISNUMBER($J125),IFERROR(INDEX('TRANS'!$C:$C,MATCH($J125,'TRANS'!$B:$B,0)),IFERROR(INDEX('Catalog'!$B:$B,MATCH($J125,'Catalog'!$A:$A,0)),$B125)),$B125)</f>
        <v>SC25  L חבק יד</v>
      </c>
      <c r="D125" s="19" t="n">
        <f aca="false">SUMIFS('SALES Raw'!$C$6:$C$4467,'SALES Raw'!$J$6:$J$4467,$J125,'SALES Raw'!$K$6:$K$4467,"Y")+SUMIFS('CEMIUP0.9 Raw'!$D$6:$D$1712,'CEMIUP0.9 Raw'!$B$6:$B$1712,$J125,'CEMIUP0.9 Raw'!$H$6:$H$1712,"Y")</f>
        <v>273</v>
      </c>
      <c r="E125" s="19" t="n">
        <f aca="false">SUMIFS('SALES Raw'!$D$6:$D$4467,'SALES Raw'!$J$6:$J$4467,$J125,'SALES Raw'!$K$6:$K$4467,"Y")+SUMIFS('CEMIUP0.9 Raw'!$E$6:$E$1712,'CEMIUP0.9 Raw'!$B$6:$B$1712,$J125,'CEMIUP0.9 Raw'!$H$6:$H$1712,"Y")</f>
        <v>34198.09</v>
      </c>
      <c r="F125" s="19" t="n">
        <f aca="false">SUMIFS('SALES Raw'!$E$6:$E$4467,'SALES Raw'!$J$6:$J$4467,$J125,'SALES Raw'!$K$6:$K$4467,"Y")*$H$4+SUMIFS('CEMIUP0.9 Raw'!$F$6:$F$1712,'CEMIUP0.9 Raw'!$B$6:$B$1712,$J125,'CEMIUP0.9 Raw'!$H$6:$H$1712,"Y")</f>
        <v>250.105263157895</v>
      </c>
      <c r="G125" s="19" t="n">
        <f aca="false">SUMIFS('SALES Raw'!$F$6:$F$4467,'SALES Raw'!$J$6:$J$4467,$J125,'SALES Raw'!$K$6:$K$4467,"Y")*$H$4+SUMIFS('CEMIUP0.9 Raw'!$G$6:$G$1712,'CEMIUP0.9 Raw'!$B$6:$B$1712,$J125,'CEMIUP0.9 Raw'!$H$6:$H$1712,"Y")</f>
        <v>35541.12</v>
      </c>
      <c r="H125" s="18" t="s">
        <v>42</v>
      </c>
      <c r="I125" s="18" t="s">
        <v>43</v>
      </c>
      <c r="J125" s="18" t="n">
        <v>4408249</v>
      </c>
    </row>
    <row r="126" customFormat="false" ht="15" hidden="false" customHeight="false" outlineLevel="0" collapsed="false">
      <c r="A126" s="18" t="n">
        <f aca="false">IF(ISNUMBER($J126),$J126,"")</f>
        <v>4408271</v>
      </c>
      <c r="B126" s="18" t="str">
        <f aca="false">IFERROR(INDEX('SALES Raw'!$B$6:$B$4467,MATCH($J126,'SALES Raw'!$J$6:$J$4467,0)),IFERROR(INDEX('CEMIUP0.9 Raw'!$B$6:$B$1712,MATCH($J126,'CEMIUP0.9 Raw'!$B$6:$B$1712,0)),$J126))</f>
        <v>70N XS</v>
      </c>
      <c r="C126" s="18" t="str">
        <f aca="false">IF(ISNUMBER($J126),IFERROR(INDEX('TRANS'!$C:$C,MATCH($J126,'TRANS'!$B:$B,0)),IFERROR(INDEX('Catalog'!$B:$B,MATCH($J126,'Catalog'!$A:$A,0)),$B126)),$B126)</f>
        <v>70N XS חגורת פאבליק</v>
      </c>
      <c r="D126" s="19" t="n">
        <f aca="false">SUMIFS('SALES Raw'!$C$6:$C$4467,'SALES Raw'!$J$6:$J$4467,$J126,'SALES Raw'!$K$6:$K$4467,"Y")+SUMIFS('CEMIUP0.9 Raw'!$D$6:$D$1712,'CEMIUP0.9 Raw'!$B$6:$B$1712,$J126,'CEMIUP0.9 Raw'!$H$6:$H$1712,"Y")</f>
        <v>174</v>
      </c>
      <c r="E126" s="19" t="n">
        <f aca="false">SUMIFS('SALES Raw'!$D$6:$D$4467,'SALES Raw'!$J$6:$J$4467,$J126,'SALES Raw'!$K$6:$K$4467,"Y")+SUMIFS('CEMIUP0.9 Raw'!$E$6:$E$1712,'CEMIUP0.9 Raw'!$B$6:$B$1712,$J126,'CEMIUP0.9 Raw'!$H$6:$H$1712,"Y")</f>
        <v>43373.44</v>
      </c>
      <c r="F126" s="19" t="n">
        <f aca="false">SUMIFS('SALES Raw'!$E$6:$E$4467,'SALES Raw'!$J$6:$J$4467,$J126,'SALES Raw'!$K$6:$K$4467,"Y")*$H$4+SUMIFS('CEMIUP0.9 Raw'!$F$6:$F$1712,'CEMIUP0.9 Raw'!$B$6:$B$1712,$J126,'CEMIUP0.9 Raw'!$H$6:$H$1712,"Y")</f>
        <v>250.105263157895</v>
      </c>
      <c r="G126" s="19" t="n">
        <f aca="false">SUMIFS('SALES Raw'!$F$6:$F$4467,'SALES Raw'!$J$6:$J$4467,$J126,'SALES Raw'!$K$6:$K$4467,"Y")*$H$4+SUMIFS('CEMIUP0.9 Raw'!$G$6:$G$1712,'CEMIUP0.9 Raw'!$B$6:$B$1712,$J126,'CEMIUP0.9 Raw'!$H$6:$H$1712,"Y")</f>
        <v>64577.4568421053</v>
      </c>
      <c r="H126" s="18" t="s">
        <v>44</v>
      </c>
      <c r="I126" s="18" t="s">
        <v>48</v>
      </c>
      <c r="J126" s="18" t="n">
        <v>4408271</v>
      </c>
    </row>
    <row r="127" customFormat="false" ht="15" hidden="false" customHeight="false" outlineLevel="0" collapsed="false">
      <c r="A127" s="18" t="n">
        <f aca="false">IF(ISNUMBER($J127),$J127,"")</f>
        <v>4413371</v>
      </c>
      <c r="B127" s="18" t="str">
        <f aca="false">IFERROR(INDEX('SALES Raw'!$B$6:$B$4467,MATCH($J127,'SALES Raw'!$J$6:$J$4467,0)),IFERROR(INDEX('CEMIUP0.9 Raw'!$B$6:$B$1712,MATCH($J127,'CEMIUP0.9 Raw'!$B$6:$B$1712,0)),$J127))</f>
        <v>3675 0</v>
      </c>
      <c r="C127" s="18" t="str">
        <f aca="false">IF(ISNUMBER($J127),IFERROR(INDEX('TRANS'!$C:$C,MATCH($J127,'TRANS'!$B:$B,0)),IFERROR(INDEX('Catalog'!$B:$B,MATCH($J127,'Catalog'!$A:$A,0)),$B127)),$B127)</f>
        <v>3675    מגן זרת מסיליקון</v>
      </c>
      <c r="D127" s="19" t="n">
        <f aca="false">SUMIFS('SALES Raw'!$C$6:$C$4467,'SALES Raw'!$J$6:$J$4467,$J127,'SALES Raw'!$K$6:$K$4467,"Y")+SUMIFS('CEMIUP0.9 Raw'!$D$6:$D$1712,'CEMIUP0.9 Raw'!$B$6:$B$1712,$J127,'CEMIUP0.9 Raw'!$H$6:$H$1712,"Y")</f>
        <v>206</v>
      </c>
      <c r="E127" s="19" t="n">
        <f aca="false">SUMIFS('SALES Raw'!$D$6:$D$4467,'SALES Raw'!$J$6:$J$4467,$J127,'SALES Raw'!$K$6:$K$4467,"Y")+SUMIFS('CEMIUP0.9 Raw'!$E$6:$E$1712,'CEMIUP0.9 Raw'!$B$6:$B$1712,$J127,'CEMIUP0.9 Raw'!$H$6:$H$1712,"Y")</f>
        <v>5682.196</v>
      </c>
      <c r="F127" s="19" t="n">
        <f aca="false">SUMIFS('SALES Raw'!$E$6:$E$4467,'SALES Raw'!$J$6:$J$4467,$J127,'SALES Raw'!$K$6:$K$4467,"Y")*$H$4+SUMIFS('CEMIUP0.9 Raw'!$F$6:$F$1712,'CEMIUP0.9 Raw'!$B$6:$B$1712,$J127,'CEMIUP0.9 Raw'!$H$6:$H$1712,"Y")</f>
        <v>247.578947368421</v>
      </c>
      <c r="G127" s="19" t="n">
        <f aca="false">SUMIFS('SALES Raw'!$F$6:$F$4467,'SALES Raw'!$J$6:$J$4467,$J127,'SALES Raw'!$K$6:$K$4467,"Y")*$H$4+SUMIFS('CEMIUP0.9 Raw'!$G$6:$G$1712,'CEMIUP0.9 Raw'!$B$6:$B$1712,$J127,'CEMIUP0.9 Raw'!$H$6:$H$1712,"Y")</f>
        <v>7802.2547368421</v>
      </c>
      <c r="H127" s="18" t="s">
        <v>48</v>
      </c>
      <c r="I127" s="18" t="s">
        <v>43</v>
      </c>
      <c r="J127" s="18" t="n">
        <v>4413371</v>
      </c>
    </row>
    <row r="128" customFormat="false" ht="15" hidden="false" customHeight="false" outlineLevel="0" collapsed="false">
      <c r="A128" s="18" t="n">
        <f aca="false">IF(ISNUMBER($J128),$J128,"")</f>
        <v>4413096</v>
      </c>
      <c r="B128" s="18" t="str">
        <f aca="false">IFERROR(INDEX('SALES Raw'!$B$6:$B$4467,MATCH($J128,'SALES Raw'!$J$6:$J$4467,0)),IFERROR(INDEX('CEMIUP0.9 Raw'!$B$6:$B$1712,MATCH($J128,'CEMIUP0.9 Raw'!$B$6:$B$1712,0)),$J128))</f>
        <v>45 XXL</v>
      </c>
      <c r="C128" s="18" t="str">
        <f aca="false">IF(ISNUMBER($J128),IFERROR(INDEX('TRANS'!$C:$C,MATCH($J128,'TRANS'!$B:$B,0)),IFERROR(INDEX('Catalog'!$B:$B,MATCH($J128,'Catalog'!$A:$A,0)),$B128)),$B128)</f>
        <v>45 XXL מגן ברך לבן</v>
      </c>
      <c r="D128" s="19" t="n">
        <f aca="false">SUMIFS('SALES Raw'!$C$6:$C$4467,'SALES Raw'!$J$6:$J$4467,$J128,'SALES Raw'!$K$6:$K$4467,"Y")+SUMIFS('CEMIUP0.9 Raw'!$D$6:$D$1712,'CEMIUP0.9 Raw'!$B$6:$B$1712,$J128,'CEMIUP0.9 Raw'!$H$6:$H$1712,"Y")</f>
        <v>312</v>
      </c>
      <c r="E128" s="19" t="n">
        <f aca="false">SUMIFS('SALES Raw'!$D$6:$D$4467,'SALES Raw'!$J$6:$J$4467,$J128,'SALES Raw'!$K$6:$K$4467,"Y")+SUMIFS('CEMIUP0.9 Raw'!$E$6:$E$1712,'CEMIUP0.9 Raw'!$B$6:$B$1712,$J128,'CEMIUP0.9 Raw'!$H$6:$H$1712,"Y")</f>
        <v>6760.914</v>
      </c>
      <c r="F128" s="19" t="n">
        <f aca="false">SUMIFS('SALES Raw'!$E$6:$E$4467,'SALES Raw'!$J$6:$J$4467,$J128,'SALES Raw'!$K$6:$K$4467,"Y")*$H$4+SUMIFS('CEMIUP0.9 Raw'!$F$6:$F$1712,'CEMIUP0.9 Raw'!$B$6:$B$1712,$J128,'CEMIUP0.9 Raw'!$H$6:$H$1712,"Y")</f>
        <v>246.315789473684</v>
      </c>
      <c r="G128" s="19" t="n">
        <f aca="false">SUMIFS('SALES Raw'!$F$6:$F$4467,'SALES Raw'!$J$6:$J$4467,$J128,'SALES Raw'!$K$6:$K$4467,"Y")*$H$4+SUMIFS('CEMIUP0.9 Raw'!$G$6:$G$1712,'CEMIUP0.9 Raw'!$B$6:$B$1712,$J128,'CEMIUP0.9 Raw'!$H$6:$H$1712,"Y")</f>
        <v>5625.15410526316</v>
      </c>
      <c r="H128" s="18" t="s">
        <v>48</v>
      </c>
      <c r="I128" s="18" t="s">
        <v>43</v>
      </c>
      <c r="J128" s="18" t="n">
        <v>4413096</v>
      </c>
    </row>
    <row r="129" customFormat="false" ht="15" hidden="false" customHeight="false" outlineLevel="0" collapsed="false">
      <c r="A129" s="18" t="n">
        <f aca="false">IF(ISNUMBER($J129),$J129,"")</f>
        <v>4421005</v>
      </c>
      <c r="B129" s="18" t="str">
        <f aca="false">IFERROR(INDEX('SALES Raw'!$B$6:$B$4467,MATCH($J129,'SALES Raw'!$J$6:$J$4467,0)),IFERROR(INDEX('CEMIUP0.9 Raw'!$B$6:$B$1712,MATCH($J129,'CEMIUP0.9 Raw'!$B$6:$B$1712,0)),$J129))</f>
        <v>250 0</v>
      </c>
      <c r="C129" s="18" t="str">
        <f aca="false">IF(ISNUMBER($J129),IFERROR(INDEX('TRANS'!$C:$C,MATCH($J129,'TRANS'!$B:$B,0)),IFERROR(INDEX('Catalog'!$B:$B,MATCH($J129,'Catalog'!$A:$A,0)),$B129)),$B129)</f>
        <v>שרוול לגבס קצר יד</v>
      </c>
      <c r="D129" s="19" t="n">
        <f aca="false">SUMIFS('SALES Raw'!$C$6:$C$4467,'SALES Raw'!$J$6:$J$4467,$J129,'SALES Raw'!$K$6:$K$4467,"Y")+SUMIFS('CEMIUP0.9 Raw'!$D$6:$D$1712,'CEMIUP0.9 Raw'!$B$6:$B$1712,$J129,'CEMIUP0.9 Raw'!$H$6:$H$1712,"Y")</f>
        <v>182</v>
      </c>
      <c r="E129" s="19" t="n">
        <f aca="false">SUMIFS('SALES Raw'!$D$6:$D$4467,'SALES Raw'!$J$6:$J$4467,$J129,'SALES Raw'!$K$6:$K$4467,"Y")+SUMIFS('CEMIUP0.9 Raw'!$E$6:$E$1712,'CEMIUP0.9 Raw'!$B$6:$B$1712,$J129,'CEMIUP0.9 Raw'!$H$6:$H$1712,"Y")</f>
        <v>7766.47</v>
      </c>
      <c r="F129" s="19" t="n">
        <f aca="false">SUMIFS('SALES Raw'!$E$6:$E$4467,'SALES Raw'!$J$6:$J$4467,$J129,'SALES Raw'!$K$6:$K$4467,"Y")*$H$4+SUMIFS('CEMIUP0.9 Raw'!$F$6:$F$1712,'CEMIUP0.9 Raw'!$B$6:$B$1712,$J129,'CEMIUP0.9 Raw'!$H$6:$H$1712,"Y")</f>
        <v>243.789473684211</v>
      </c>
      <c r="G129" s="19" t="n">
        <f aca="false">SUMIFS('SALES Raw'!$F$6:$F$4467,'SALES Raw'!$J$6:$J$4467,$J129,'SALES Raw'!$K$6:$K$4467,"Y")*$H$4+SUMIFS('CEMIUP0.9 Raw'!$G$6:$G$1712,'CEMIUP0.9 Raw'!$B$6:$B$1712,$J129,'CEMIUP0.9 Raw'!$H$6:$H$1712,"Y")</f>
        <v>10945.9705263158</v>
      </c>
      <c r="H129" s="18" t="s">
        <v>43</v>
      </c>
      <c r="I129" s="18" t="s">
        <v>44</v>
      </c>
      <c r="J129" s="18" t="n">
        <v>4421005</v>
      </c>
    </row>
    <row r="130" customFormat="false" ht="15" hidden="false" customHeight="false" outlineLevel="0" collapsed="false">
      <c r="A130" s="18" t="n">
        <f aca="false">IF(ISNUMBER($J130),$J130,"")</f>
        <v>4413531</v>
      </c>
      <c r="B130" s="18" t="str">
        <f aca="false">IFERROR(INDEX('SALES Raw'!$B$6:$B$4467,MATCH($J130,'SALES Raw'!$J$6:$J$4467,0)),IFERROR(INDEX('CEMIUP0.9 Raw'!$B$6:$B$1712,MATCH($J130,'CEMIUP0.9 Raw'!$B$6:$B$1712,0)),$J130))</f>
        <v>ST91 0</v>
      </c>
      <c r="C130" s="18" t="str">
        <f aca="false">IF(ISNUMBER($J130),IFERROR(INDEX('TRANS'!$C:$C,MATCH($J130,'TRANS'!$B:$B,0)),IFERROR(INDEX('Catalog'!$B:$B,MATCH($J130,'Catalog'!$A:$A,0)),$B130)),$B130)</f>
        <v>ST91 מגן מרפק לטניס</v>
      </c>
      <c r="D130" s="19" t="n">
        <f aca="false">SUMIFS('SALES Raw'!$C$6:$C$4467,'SALES Raw'!$J$6:$J$4467,$J130,'SALES Raw'!$K$6:$K$4467,"Y")+SUMIFS('CEMIUP0.9 Raw'!$D$6:$D$1712,'CEMIUP0.9 Raw'!$B$6:$B$1712,$J130,'CEMIUP0.9 Raw'!$H$6:$H$1712,"Y")</f>
        <v>213</v>
      </c>
      <c r="E130" s="19" t="n">
        <f aca="false">SUMIFS('SALES Raw'!$D$6:$D$4467,'SALES Raw'!$J$6:$J$4467,$J130,'SALES Raw'!$K$6:$K$4467,"Y")+SUMIFS('CEMIUP0.9 Raw'!$E$6:$E$1712,'CEMIUP0.9 Raw'!$B$6:$B$1712,$J130,'CEMIUP0.9 Raw'!$H$6:$H$1712,"Y")</f>
        <v>4462.87</v>
      </c>
      <c r="F130" s="19" t="n">
        <f aca="false">SUMIFS('SALES Raw'!$E$6:$E$4467,'SALES Raw'!$J$6:$J$4467,$J130,'SALES Raw'!$K$6:$K$4467,"Y")*$H$4+SUMIFS('CEMIUP0.9 Raw'!$F$6:$F$1712,'CEMIUP0.9 Raw'!$B$6:$B$1712,$J130,'CEMIUP0.9 Raw'!$H$6:$H$1712,"Y")</f>
        <v>241.263157894737</v>
      </c>
      <c r="G130" s="19" t="n">
        <f aca="false">SUMIFS('SALES Raw'!$F$6:$F$4467,'SALES Raw'!$J$6:$J$4467,$J130,'SALES Raw'!$K$6:$K$4467,"Y")*$H$4+SUMIFS('CEMIUP0.9 Raw'!$G$6:$G$1712,'CEMIUP0.9 Raw'!$B$6:$B$1712,$J130,'CEMIUP0.9 Raw'!$H$6:$H$1712,"Y")</f>
        <v>4523.21178947368</v>
      </c>
      <c r="H130" s="18" t="s">
        <v>48</v>
      </c>
      <c r="I130" s="18" t="s">
        <v>46</v>
      </c>
      <c r="J130" s="18" t="n">
        <v>4413531</v>
      </c>
    </row>
    <row r="131" customFormat="false" ht="15" hidden="false" customHeight="false" outlineLevel="0" collapsed="false">
      <c r="A131" s="18" t="n">
        <f aca="false">IF(ISNUMBER($J131),$J131,"")</f>
        <v>4413328</v>
      </c>
      <c r="B131" s="18" t="str">
        <f aca="false">IFERROR(INDEX('SALES Raw'!$B$6:$B$4467,MATCH($J131,'SALES Raw'!$J$6:$J$4467,0)),IFERROR(INDEX('CEMIUP0.9 Raw'!$B$6:$B$1712,MATCH($J131,'CEMIUP0.9 Raw'!$B$6:$B$1712,0)),$J131))</f>
        <v>AC43D 0</v>
      </c>
      <c r="C131" s="18" t="str">
        <f aca="false">IF(ISNUMBER($J131),IFERROR(INDEX('TRANS'!$C:$C,MATCH($J131,'TRANS'!$B:$B,0)),IFERROR(INDEX('Catalog'!$B:$B,MATCH($J131,'Catalog'!$A:$A,0)),$B131)),$B131)</f>
        <v>AC43D מגן ברך + צירים</v>
      </c>
      <c r="D131" s="19" t="n">
        <f aca="false">SUMIFS('SALES Raw'!$C$6:$C$4467,'SALES Raw'!$J$6:$J$4467,$J131,'SALES Raw'!$K$6:$K$4467,"Y")+SUMIFS('CEMIUP0.9 Raw'!$D$6:$D$1712,'CEMIUP0.9 Raw'!$B$6:$B$1712,$J131,'CEMIUP0.9 Raw'!$H$6:$H$1712,"Y")</f>
        <v>246</v>
      </c>
      <c r="E131" s="19" t="n">
        <f aca="false">SUMIFS('SALES Raw'!$D$6:$D$4467,'SALES Raw'!$J$6:$J$4467,$J131,'SALES Raw'!$K$6:$K$4467,"Y")+SUMIFS('CEMIUP0.9 Raw'!$E$6:$E$1712,'CEMIUP0.9 Raw'!$B$6:$B$1712,$J131,'CEMIUP0.9 Raw'!$H$6:$H$1712,"Y")</f>
        <v>28292.661</v>
      </c>
      <c r="F131" s="19" t="n">
        <f aca="false">SUMIFS('SALES Raw'!$E$6:$E$4467,'SALES Raw'!$J$6:$J$4467,$J131,'SALES Raw'!$K$6:$K$4467,"Y")*$H$4+SUMIFS('CEMIUP0.9 Raw'!$F$6:$F$1712,'CEMIUP0.9 Raw'!$B$6:$B$1712,$J131,'CEMIUP0.9 Raw'!$H$6:$H$1712,"Y")</f>
        <v>236.210526315789</v>
      </c>
      <c r="G131" s="19" t="n">
        <f aca="false">SUMIFS('SALES Raw'!$F$6:$F$4467,'SALES Raw'!$J$6:$J$4467,$J131,'SALES Raw'!$K$6:$K$4467,"Y")*$H$4+SUMIFS('CEMIUP0.9 Raw'!$G$6:$G$1712,'CEMIUP0.9 Raw'!$B$6:$B$1712,$J131,'CEMIUP0.9 Raw'!$H$6:$H$1712,"Y")</f>
        <v>30219.456</v>
      </c>
      <c r="H131" s="18" t="s">
        <v>43</v>
      </c>
      <c r="I131" s="18" t="s">
        <v>42</v>
      </c>
      <c r="J131" s="18" t="n">
        <v>4413328</v>
      </c>
    </row>
    <row r="132" customFormat="false" ht="15" hidden="false" customHeight="false" outlineLevel="0" collapsed="false">
      <c r="A132" s="18" t="n">
        <f aca="false">IF(ISNUMBER($J132),$J132,"")</f>
        <v>4403019</v>
      </c>
      <c r="B132" s="18" t="str">
        <f aca="false">IFERROR(INDEX('SALES Raw'!$B$6:$B$4467,MATCH($J132,'SALES Raw'!$J$6:$J$4467,0)),IFERROR(INDEX('CEMIUP0.9 Raw'!$B$6:$B$1712,MATCH($J132,'CEMIUP0.9 Raw'!$B$6:$B$1712,0)),$J132))</f>
        <v>394B-43-46</v>
      </c>
      <c r="C132" s="18" t="str">
        <f aca="false">IF(ISNUMBER($J132),IFERROR(INDEX('TRANS'!$C:$C,MATCH($J132,'TRANS'!$B:$B,0)),IFERROR(INDEX('Catalog'!$B:$B,MATCH($J132,'Catalog'!$A:$A,0)),$B132)),$B132)</f>
        <v>394B גרב.כסף לסכרתים שחור43-46</v>
      </c>
      <c r="D132" s="19" t="n">
        <f aca="false">SUMIFS('SALES Raw'!$C$6:$C$4467,'SALES Raw'!$J$6:$J$4467,$J132,'SALES Raw'!$K$6:$K$4467,"Y")+SUMIFS('CEMIUP0.9 Raw'!$D$6:$D$1712,'CEMIUP0.9 Raw'!$B$6:$B$1712,$J132,'CEMIUP0.9 Raw'!$H$6:$H$1712,"Y")</f>
        <v>1115</v>
      </c>
      <c r="E132" s="19" t="n">
        <f aca="false">SUMIFS('SALES Raw'!$D$6:$D$4467,'SALES Raw'!$J$6:$J$4467,$J132,'SALES Raw'!$K$6:$K$4467,"Y")+SUMIFS('CEMIUP0.9 Raw'!$E$6:$E$1712,'CEMIUP0.9 Raw'!$B$6:$B$1712,$J132,'CEMIUP0.9 Raw'!$H$6:$H$1712,"Y")</f>
        <v>28670.31</v>
      </c>
      <c r="F132" s="19" t="n">
        <f aca="false">SUMIFS('SALES Raw'!$E$6:$E$4467,'SALES Raw'!$J$6:$J$4467,$J132,'SALES Raw'!$K$6:$K$4467,"Y")*$H$4+SUMIFS('CEMIUP0.9 Raw'!$F$6:$F$1712,'CEMIUP0.9 Raw'!$B$6:$B$1712,$J132,'CEMIUP0.9 Raw'!$H$6:$H$1712,"Y")</f>
        <v>233.684210526316</v>
      </c>
      <c r="G132" s="19" t="n">
        <f aca="false">SUMIFS('SALES Raw'!$F$6:$F$4467,'SALES Raw'!$J$6:$J$4467,$J132,'SALES Raw'!$K$6:$K$4467,"Y")*$H$4+SUMIFS('CEMIUP0.9 Raw'!$G$6:$G$1712,'CEMIUP0.9 Raw'!$B$6:$B$1712,$J132,'CEMIUP0.9 Raw'!$H$6:$H$1712,"Y")</f>
        <v>5822.29515789474</v>
      </c>
      <c r="H132" s="18" t="s">
        <v>43</v>
      </c>
      <c r="I132" s="18" t="s">
        <v>44</v>
      </c>
      <c r="J132" s="18" t="n">
        <v>4403019</v>
      </c>
    </row>
    <row r="133" customFormat="false" ht="15" hidden="false" customHeight="false" outlineLevel="0" collapsed="false">
      <c r="A133" s="18" t="n">
        <f aca="false">IF(ISNUMBER($J133),$J133,"")</f>
        <v>4402000</v>
      </c>
      <c r="B133" s="18" t="n">
        <f aca="false">IFERROR(INDEX('SALES Raw'!$B$6:$B$4467,MATCH($J133,'SALES Raw'!$J$6:$J$4467,0)),IFERROR(INDEX('CEMIUP0.9 Raw'!$B$6:$B$1712,MATCH($J133,'CEMIUP0.9 Raw'!$B$6:$B$1712,0)),$J133))</f>
        <v>4402000</v>
      </c>
      <c r="C133" s="18" t="str">
        <f aca="false">IF(ISNUMBER($J133),IFERROR(INDEX('TRANS'!$C:$C,MATCH($J133,'TRANS'!$B:$B,0)),IFERROR(INDEX('Catalog'!$B:$B,MATCH($J133,'Catalog'!$A:$A,0)),$B133)),$B133)</f>
        <v>363  בננה לתמיכת אצבעות ז.כרית</v>
      </c>
      <c r="D133" s="19" t="n">
        <f aca="false">SUMIFS('SALES Raw'!$C$6:$C$4467,'SALES Raw'!$J$6:$J$4467,$J133,'SALES Raw'!$K$6:$K$4467,"Y")+SUMIFS('CEMIUP0.9 Raw'!$D$6:$D$1712,'CEMIUP0.9 Raw'!$B$6:$B$1712,$J133,'CEMIUP0.9 Raw'!$H$6:$H$1712,"Y")</f>
        <v>286</v>
      </c>
      <c r="E133" s="19" t="n">
        <f aca="false">SUMIFS('SALES Raw'!$D$6:$D$4467,'SALES Raw'!$J$6:$J$4467,$J133,'SALES Raw'!$K$6:$K$4467,"Y")+SUMIFS('CEMIUP0.9 Raw'!$E$6:$E$1712,'CEMIUP0.9 Raw'!$B$6:$B$1712,$J133,'CEMIUP0.9 Raw'!$H$6:$H$1712,"Y")</f>
        <v>5823.299</v>
      </c>
      <c r="F133" s="19" t="n">
        <f aca="false">SUMIFS('SALES Raw'!$E$6:$E$4467,'SALES Raw'!$J$6:$J$4467,$J133,'SALES Raw'!$K$6:$K$4467,"Y")*$H$4+SUMIFS('CEMIUP0.9 Raw'!$F$6:$F$1712,'CEMIUP0.9 Raw'!$B$6:$B$1712,$J133,'CEMIUP0.9 Raw'!$H$6:$H$1712,"Y")</f>
        <v>233.684210526315</v>
      </c>
      <c r="G133" s="19" t="n">
        <f aca="false">SUMIFS('SALES Raw'!$F$6:$F$4467,'SALES Raw'!$J$6:$J$4467,$J133,'SALES Raw'!$K$6:$K$4467,"Y")*$H$4+SUMIFS('CEMIUP0.9 Raw'!$G$6:$G$1712,'CEMIUP0.9 Raw'!$B$6:$B$1712,$J133,'CEMIUP0.9 Raw'!$H$6:$H$1712,"Y")</f>
        <v>4958.78021052631</v>
      </c>
      <c r="H133" s="18" t="s">
        <v>43</v>
      </c>
      <c r="I133" s="18" t="s">
        <v>48</v>
      </c>
      <c r="J133" s="18" t="n">
        <v>4402000</v>
      </c>
    </row>
    <row r="134" customFormat="false" ht="15" hidden="false" customHeight="false" outlineLevel="0" collapsed="false">
      <c r="A134" s="18" t="n">
        <f aca="false">IF(ISNUMBER($J134),$J134,"")</f>
        <v>4408272</v>
      </c>
      <c r="B134" s="18" t="str">
        <f aca="false">IFERROR(INDEX('SALES Raw'!$B$6:$B$4467,MATCH($J134,'SALES Raw'!$J$6:$J$4467,0)),IFERROR(INDEX('CEMIUP0.9 Raw'!$B$6:$B$1712,MATCH($J134,'CEMIUP0.9 Raw'!$B$6:$B$1712,0)),$J134))</f>
        <v>70N S</v>
      </c>
      <c r="C134" s="18" t="str">
        <f aca="false">IF(ISNUMBER($J134),IFERROR(INDEX('TRANS'!$C:$C,MATCH($J134,'TRANS'!$B:$B,0)),IFERROR(INDEX('Catalog'!$B:$B,MATCH($J134,'Catalog'!$A:$A,0)),$B134)),$B134)</f>
        <v>70N S חגורת פאבליק</v>
      </c>
      <c r="D134" s="19" t="n">
        <f aca="false">SUMIFS('SALES Raw'!$C$6:$C$4467,'SALES Raw'!$J$6:$J$4467,$J134,'SALES Raw'!$K$6:$K$4467,"Y")+SUMIFS('CEMIUP0.9 Raw'!$D$6:$D$1712,'CEMIUP0.9 Raw'!$B$6:$B$1712,$J134,'CEMIUP0.9 Raw'!$H$6:$H$1712,"Y")</f>
        <v>142</v>
      </c>
      <c r="E134" s="19" t="n">
        <f aca="false">SUMIFS('SALES Raw'!$D$6:$D$4467,'SALES Raw'!$J$6:$J$4467,$J134,'SALES Raw'!$K$6:$K$4467,"Y")+SUMIFS('CEMIUP0.9 Raw'!$E$6:$E$1712,'CEMIUP0.9 Raw'!$B$6:$B$1712,$J134,'CEMIUP0.9 Raw'!$H$6:$H$1712,"Y")</f>
        <v>34481.83</v>
      </c>
      <c r="F134" s="19" t="n">
        <f aca="false">SUMIFS('SALES Raw'!$E$6:$E$4467,'SALES Raw'!$J$6:$J$4467,$J134,'SALES Raw'!$K$6:$K$4467,"Y")*$H$4+SUMIFS('CEMIUP0.9 Raw'!$F$6:$F$1712,'CEMIUP0.9 Raw'!$B$6:$B$1712,$J134,'CEMIUP0.9 Raw'!$H$6:$H$1712,"Y")</f>
        <v>228.631578947368</v>
      </c>
      <c r="G134" s="19" t="n">
        <f aca="false">SUMIFS('SALES Raw'!$F$6:$F$4467,'SALES Raw'!$J$6:$J$4467,$J134,'SALES Raw'!$K$6:$K$4467,"Y")*$H$4+SUMIFS('CEMIUP0.9 Raw'!$G$6:$G$1712,'CEMIUP0.9 Raw'!$B$6:$B$1712,$J134,'CEMIUP0.9 Raw'!$H$6:$H$1712,"Y")</f>
        <v>60499.8745263158</v>
      </c>
      <c r="H134" s="18" t="s">
        <v>44</v>
      </c>
      <c r="I134" s="18" t="s">
        <v>42</v>
      </c>
      <c r="J134" s="18" t="n">
        <v>4408272</v>
      </c>
    </row>
    <row r="135" customFormat="false" ht="15" hidden="false" customHeight="false" outlineLevel="0" collapsed="false">
      <c r="A135" s="18" t="n">
        <f aca="false">IF(ISNUMBER($J135),$J135,"")</f>
        <v>4413496</v>
      </c>
      <c r="B135" s="18" t="str">
        <f aca="false">IFERROR(INDEX('SALES Raw'!$B$6:$B$4467,MATCH($J135,'SALES Raw'!$J$6:$J$4467,0)),IFERROR(INDEX('CEMIUP0.9 Raw'!$B$6:$B$1712,MATCH($J135,'CEMIUP0.9 Raw'!$B$6:$B$1712,0)),$J135))</f>
        <v>45B XL</v>
      </c>
      <c r="C135" s="18" t="str">
        <f aca="false">IF(ISNUMBER($J135),IFERROR(INDEX('TRANS'!$C:$C,MATCH($J135,'TRANS'!$B:$B,0)),IFERROR(INDEX('Catalog'!$B:$B,MATCH($J135,'Catalog'!$A:$A,0)),$B135)),$B135)</f>
        <v>45B XL מגן ברך שחור</v>
      </c>
      <c r="D135" s="19" t="n">
        <f aca="false">SUMIFS('SALES Raw'!$C$6:$C$4467,'SALES Raw'!$J$6:$J$4467,$J135,'SALES Raw'!$K$6:$K$4467,"Y")+SUMIFS('CEMIUP0.9 Raw'!$D$6:$D$1712,'CEMIUP0.9 Raw'!$B$6:$B$1712,$J135,'CEMIUP0.9 Raw'!$H$6:$H$1712,"Y")</f>
        <v>325</v>
      </c>
      <c r="E135" s="19" t="n">
        <f aca="false">SUMIFS('SALES Raw'!$D$6:$D$4467,'SALES Raw'!$J$6:$J$4467,$J135,'SALES Raw'!$K$6:$K$4467,"Y")+SUMIFS('CEMIUP0.9 Raw'!$E$6:$E$1712,'CEMIUP0.9 Raw'!$B$6:$B$1712,$J135,'CEMIUP0.9 Raw'!$H$6:$H$1712,"Y")</f>
        <v>8988.638</v>
      </c>
      <c r="F135" s="19" t="n">
        <f aca="false">SUMIFS('SALES Raw'!$E$6:$E$4467,'SALES Raw'!$J$6:$J$4467,$J135,'SALES Raw'!$K$6:$K$4467,"Y")*$H$4+SUMIFS('CEMIUP0.9 Raw'!$F$6:$F$1712,'CEMIUP0.9 Raw'!$B$6:$B$1712,$J135,'CEMIUP0.9 Raw'!$H$6:$H$1712,"Y")</f>
        <v>228.631578947368</v>
      </c>
      <c r="G135" s="19" t="n">
        <f aca="false">SUMIFS('SALES Raw'!$F$6:$F$4467,'SALES Raw'!$J$6:$J$4467,$J135,'SALES Raw'!$K$6:$K$4467,"Y")*$H$4+SUMIFS('CEMIUP0.9 Raw'!$G$6:$G$1712,'CEMIUP0.9 Raw'!$B$6:$B$1712,$J135,'CEMIUP0.9 Raw'!$H$6:$H$1712,"Y")</f>
        <v>6578.83073684211</v>
      </c>
      <c r="H135" s="18" t="s">
        <v>43</v>
      </c>
      <c r="I135" s="18" t="s">
        <v>42</v>
      </c>
      <c r="J135" s="18" t="n">
        <v>4413496</v>
      </c>
    </row>
    <row r="136" customFormat="false" ht="15" hidden="false" customHeight="false" outlineLevel="0" collapsed="false">
      <c r="A136" s="18" t="n">
        <f aca="false">IF(ISNUMBER($J136),$J136,"")</f>
        <v>4413055</v>
      </c>
      <c r="B136" s="18" t="str">
        <f aca="false">IFERROR(INDEX('SALES Raw'!$B$6:$B$4467,MATCH($J136,'SALES Raw'!$J$6:$J$4467,0)),IFERROR(INDEX('CEMIUP0.9 Raw'!$B$6:$B$1712,MATCH($J136,'CEMIUP0.9 Raw'!$B$6:$B$1712,0)),$J136))</f>
        <v>35C XL</v>
      </c>
      <c r="C136" s="18" t="str">
        <f aca="false">IF(ISNUMBER($J136),IFERROR(INDEX('TRANS'!$C:$C,MATCH($J136,'TRANS'!$B:$B,0)),IFERROR(INDEX('Catalog'!$B:$B,MATCH($J136,'Catalog'!$A:$A,0)),$B136)),$B136)</f>
        <v>35C XL מגן קרסול חום</v>
      </c>
      <c r="D136" s="19" t="n">
        <f aca="false">SUMIFS('SALES Raw'!$C$6:$C$4467,'SALES Raw'!$J$6:$J$4467,$J136,'SALES Raw'!$K$6:$K$4467,"Y")+SUMIFS('CEMIUP0.9 Raw'!$D$6:$D$1712,'CEMIUP0.9 Raw'!$B$6:$B$1712,$J136,'CEMIUP0.9 Raw'!$H$6:$H$1712,"Y")</f>
        <v>263</v>
      </c>
      <c r="E136" s="19" t="n">
        <f aca="false">SUMIFS('SALES Raw'!$D$6:$D$4467,'SALES Raw'!$J$6:$J$4467,$J136,'SALES Raw'!$K$6:$K$4467,"Y")+SUMIFS('CEMIUP0.9 Raw'!$E$6:$E$1712,'CEMIUP0.9 Raw'!$B$6:$B$1712,$J136,'CEMIUP0.9 Raw'!$H$6:$H$1712,"Y")</f>
        <v>7246.946</v>
      </c>
      <c r="F136" s="19" t="n">
        <f aca="false">SUMIFS('SALES Raw'!$E$6:$E$4467,'SALES Raw'!$J$6:$J$4467,$J136,'SALES Raw'!$K$6:$K$4467,"Y")*$H$4+SUMIFS('CEMIUP0.9 Raw'!$F$6:$F$1712,'CEMIUP0.9 Raw'!$B$6:$B$1712,$J136,'CEMIUP0.9 Raw'!$H$6:$H$1712,"Y")</f>
        <v>226.105263157894</v>
      </c>
      <c r="G136" s="19" t="n">
        <f aca="false">SUMIFS('SALES Raw'!$F$6:$F$4467,'SALES Raw'!$J$6:$J$4467,$J136,'SALES Raw'!$K$6:$K$4467,"Y")*$H$4+SUMIFS('CEMIUP0.9 Raw'!$G$6:$G$1712,'CEMIUP0.9 Raw'!$B$6:$B$1712,$J136,'CEMIUP0.9 Raw'!$H$6:$H$1712,"Y")</f>
        <v>6347.14231578947</v>
      </c>
      <c r="H136" s="18" t="s">
        <v>43</v>
      </c>
      <c r="I136" s="18" t="s">
        <v>44</v>
      </c>
      <c r="J136" s="18" t="n">
        <v>4413055</v>
      </c>
    </row>
    <row r="137" customFormat="false" ht="15" hidden="false" customHeight="false" outlineLevel="0" collapsed="false">
      <c r="A137" s="18" t="n">
        <f aca="false">IF(ISNUMBER($J137),$J137,"")</f>
        <v>4413517</v>
      </c>
      <c r="B137" s="18" t="str">
        <f aca="false">IFERROR(INDEX('SALES Raw'!$B$6:$B$4467,MATCH($J137,'SALES Raw'!$J$6:$J$4467,0)),IFERROR(INDEX('CEMIUP0.9 Raw'!$B$6:$B$1712,MATCH($J137,'CEMIUP0.9 Raw'!$B$6:$B$1712,0)),$J137))</f>
        <v>85B M</v>
      </c>
      <c r="C137" s="18" t="str">
        <f aca="false">IF(ISNUMBER($J137),IFERROR(INDEX('TRANS'!$C:$C,MATCH($J137,'TRANS'!$B:$B,0)),IFERROR(INDEX('Catalog'!$B:$B,MATCH($J137,'Catalog'!$A:$A,0)),$B137)),$B137)</f>
        <v>85B M מתלה רשת לזרוע שחור</v>
      </c>
      <c r="D137" s="19" t="n">
        <f aca="false">SUMIFS('SALES Raw'!$C$6:$C$4467,'SALES Raw'!$J$6:$J$4467,$J137,'SALES Raw'!$K$6:$K$4467,"Y")+SUMIFS('CEMIUP0.9 Raw'!$D$6:$D$1712,'CEMIUP0.9 Raw'!$B$6:$B$1712,$J137,'CEMIUP0.9 Raw'!$H$6:$H$1712,"Y")</f>
        <v>229</v>
      </c>
      <c r="E137" s="19" t="n">
        <f aca="false">SUMIFS('SALES Raw'!$D$6:$D$4467,'SALES Raw'!$J$6:$J$4467,$J137,'SALES Raw'!$K$6:$K$4467,"Y")+SUMIFS('CEMIUP0.9 Raw'!$E$6:$E$1712,'CEMIUP0.9 Raw'!$B$6:$B$1712,$J137,'CEMIUP0.9 Raw'!$H$6:$H$1712,"Y")</f>
        <v>11685.776</v>
      </c>
      <c r="F137" s="19" t="n">
        <f aca="false">SUMIFS('SALES Raw'!$E$6:$E$4467,'SALES Raw'!$J$6:$J$4467,$J137,'SALES Raw'!$K$6:$K$4467,"Y")*$H$4+SUMIFS('CEMIUP0.9 Raw'!$F$6:$F$1712,'CEMIUP0.9 Raw'!$B$6:$B$1712,$J137,'CEMIUP0.9 Raw'!$H$6:$H$1712,"Y")</f>
        <v>224.842105263158</v>
      </c>
      <c r="G137" s="19" t="n">
        <f aca="false">SUMIFS('SALES Raw'!$F$6:$F$4467,'SALES Raw'!$J$6:$J$4467,$J137,'SALES Raw'!$K$6:$K$4467,"Y")*$H$4+SUMIFS('CEMIUP0.9 Raw'!$G$6:$G$1712,'CEMIUP0.9 Raw'!$B$6:$B$1712,$J137,'CEMIUP0.9 Raw'!$H$6:$H$1712,"Y")</f>
        <v>12441.048</v>
      </c>
      <c r="H137" s="18" t="s">
        <v>43</v>
      </c>
      <c r="I137" s="18" t="s">
        <v>44</v>
      </c>
      <c r="J137" s="18" t="n">
        <v>4413517</v>
      </c>
    </row>
    <row r="138" customFormat="false" ht="15" hidden="false" customHeight="false" outlineLevel="0" collapsed="false">
      <c r="A138" s="18" t="n">
        <f aca="false">IF(ISNUMBER($J138),$J138,"")</f>
        <v>4408206</v>
      </c>
      <c r="B138" s="18" t="str">
        <f aca="false">IFERROR(INDEX('SALES Raw'!$B$6:$B$4467,MATCH($J138,'SALES Raw'!$J$6:$J$4467,0)),IFERROR(INDEX('CEMIUP0.9 Raw'!$B$6:$B$1712,MATCH($J138,'CEMIUP0.9 Raw'!$B$6:$B$1712,0)),$J138))</f>
        <v>AC11 0</v>
      </c>
      <c r="C138" s="18" t="str">
        <f aca="false">IF(ISNUMBER($J138),IFERROR(INDEX('TRANS'!$C:$C,MATCH($J138,'TRANS'!$B:$B,0)),IFERROR(INDEX('Catalog'!$B:$B,MATCH($J138,'Catalog'!$A:$A,0)),$B138)),$B138)</f>
        <v>AC-11 חגורת בטן קלה</v>
      </c>
      <c r="D138" s="19" t="n">
        <f aca="false">SUMIFS('SALES Raw'!$C$6:$C$4467,'SALES Raw'!$J$6:$J$4467,$J138,'SALES Raw'!$K$6:$K$4467,"Y")+SUMIFS('CEMIUP0.9 Raw'!$D$6:$D$1712,'CEMIUP0.9 Raw'!$B$6:$B$1712,$J138,'CEMIUP0.9 Raw'!$H$6:$H$1712,"Y")</f>
        <v>239</v>
      </c>
      <c r="E138" s="19" t="n">
        <f aca="false">SUMIFS('SALES Raw'!$D$6:$D$4467,'SALES Raw'!$J$6:$J$4467,$J138,'SALES Raw'!$K$6:$K$4467,"Y")+SUMIFS('CEMIUP0.9 Raw'!$E$6:$E$1712,'CEMIUP0.9 Raw'!$B$6:$B$1712,$J138,'CEMIUP0.9 Raw'!$H$6:$H$1712,"Y")</f>
        <v>14624.932</v>
      </c>
      <c r="F138" s="19" t="n">
        <f aca="false">SUMIFS('SALES Raw'!$E$6:$E$4467,'SALES Raw'!$J$6:$J$4467,$J138,'SALES Raw'!$K$6:$K$4467,"Y")*$H$4+SUMIFS('CEMIUP0.9 Raw'!$F$6:$F$1712,'CEMIUP0.9 Raw'!$B$6:$B$1712,$J138,'CEMIUP0.9 Raw'!$H$6:$H$1712,"Y")</f>
        <v>223.578947368421</v>
      </c>
      <c r="G138" s="19" t="n">
        <f aca="false">SUMIFS('SALES Raw'!$F$6:$F$4467,'SALES Raw'!$J$6:$J$4467,$J138,'SALES Raw'!$K$6:$K$4467,"Y")*$H$4+SUMIFS('CEMIUP0.9 Raw'!$G$6:$G$1712,'CEMIUP0.9 Raw'!$B$6:$B$1712,$J138,'CEMIUP0.9 Raw'!$H$6:$H$1712,"Y")</f>
        <v>14387.2282105263</v>
      </c>
      <c r="H138" s="18" t="s">
        <v>43</v>
      </c>
      <c r="I138" s="18" t="s">
        <v>42</v>
      </c>
      <c r="J138" s="18" t="n">
        <v>4408206</v>
      </c>
    </row>
    <row r="139" customFormat="false" ht="15" hidden="false" customHeight="false" outlineLevel="0" collapsed="false">
      <c r="A139" s="18" t="n">
        <f aca="false">IF(ISNUMBER($J139),$J139,"")</f>
        <v>4413198</v>
      </c>
      <c r="B139" s="18" t="str">
        <f aca="false">IFERROR(INDEX('SALES Raw'!$B$6:$B$4467,MATCH($J139,'SALES Raw'!$J$6:$J$4467,0)),IFERROR(INDEX('CEMIUP0.9 Raw'!$B$6:$B$1712,MATCH($J139,'CEMIUP0.9 Raw'!$B$6:$B$1712,0)),$J139))</f>
        <v>87 XL</v>
      </c>
      <c r="C139" s="18" t="str">
        <f aca="false">IF(ISNUMBER($J139),IFERROR(INDEX('TRANS'!$C:$C,MATCH($J139,'TRANS'!$B:$B,0)),IFERROR(INDEX('Catalog'!$B:$B,MATCH($J139,'Catalog'!$A:$A,0)),$B139)),$B139)</f>
        <v>87 XL מקבע כתף ויד</v>
      </c>
      <c r="D139" s="19" t="n">
        <f aca="false">SUMIFS('SALES Raw'!$C$6:$C$4467,'SALES Raw'!$J$6:$J$4467,$J139,'SALES Raw'!$K$6:$K$4467,"Y")+SUMIFS('CEMIUP0.9 Raw'!$D$6:$D$1712,'CEMIUP0.9 Raw'!$B$6:$B$1712,$J139,'CEMIUP0.9 Raw'!$H$6:$H$1712,"Y")</f>
        <v>234</v>
      </c>
      <c r="E139" s="19" t="n">
        <f aca="false">SUMIFS('SALES Raw'!$D$6:$D$4467,'SALES Raw'!$J$6:$J$4467,$J139,'SALES Raw'!$K$6:$K$4467,"Y")+SUMIFS('CEMIUP0.9 Raw'!$E$6:$E$1712,'CEMIUP0.9 Raw'!$B$6:$B$1712,$J139,'CEMIUP0.9 Raw'!$H$6:$H$1712,"Y")</f>
        <v>33728.281</v>
      </c>
      <c r="F139" s="19" t="n">
        <f aca="false">SUMIFS('SALES Raw'!$E$6:$E$4467,'SALES Raw'!$J$6:$J$4467,$J139,'SALES Raw'!$K$6:$K$4467,"Y")*$H$4+SUMIFS('CEMIUP0.9 Raw'!$F$6:$F$1712,'CEMIUP0.9 Raw'!$B$6:$B$1712,$J139,'CEMIUP0.9 Raw'!$H$6:$H$1712,"Y")</f>
        <v>223.578947368421</v>
      </c>
      <c r="G139" s="19" t="n">
        <f aca="false">SUMIFS('SALES Raw'!$F$6:$F$4467,'SALES Raw'!$J$6:$J$4467,$J139,'SALES Raw'!$K$6:$K$4467,"Y")*$H$4+SUMIFS('CEMIUP0.9 Raw'!$G$6:$G$1712,'CEMIUP0.9 Raw'!$B$6:$B$1712,$J139,'CEMIUP0.9 Raw'!$H$6:$H$1712,"Y")</f>
        <v>34958.1625263158</v>
      </c>
      <c r="H139" s="18" t="s">
        <v>44</v>
      </c>
      <c r="I139" s="18" t="s">
        <v>48</v>
      </c>
      <c r="J139" s="18" t="n">
        <v>4413198</v>
      </c>
    </row>
    <row r="140" customFormat="false" ht="15" hidden="false" customHeight="false" outlineLevel="0" collapsed="false">
      <c r="A140" s="18" t="n">
        <f aca="false">IF(ISNUMBER($J140),$J140,"")</f>
        <v>4413094</v>
      </c>
      <c r="B140" s="18" t="str">
        <f aca="false">IFERROR(INDEX('SALES Raw'!$B$6:$B$4467,MATCH($J140,'SALES Raw'!$J$6:$J$4467,0)),IFERROR(INDEX('CEMIUP0.9 Raw'!$B$6:$B$1712,MATCH($J140,'CEMIUP0.9 Raw'!$B$6:$B$1712,0)),$J140))</f>
        <v>45 S</v>
      </c>
      <c r="C140" s="18" t="str">
        <f aca="false">IF(ISNUMBER($J140),IFERROR(INDEX('TRANS'!$C:$C,MATCH($J140,'TRANS'!$B:$B,0)),IFERROR(INDEX('Catalog'!$B:$B,MATCH($J140,'Catalog'!$A:$A,0)),$B140)),$B140)</f>
        <v>45 S מגן ברך לבן</v>
      </c>
      <c r="D140" s="19" t="n">
        <f aca="false">SUMIFS('SALES Raw'!$C$6:$C$4467,'SALES Raw'!$J$6:$J$4467,$J140,'SALES Raw'!$K$6:$K$4467,"Y")+SUMIFS('CEMIUP0.9 Raw'!$D$6:$D$1712,'CEMIUP0.9 Raw'!$B$6:$B$1712,$J140,'CEMIUP0.9 Raw'!$H$6:$H$1712,"Y")</f>
        <v>285</v>
      </c>
      <c r="E140" s="19" t="n">
        <f aca="false">SUMIFS('SALES Raw'!$D$6:$D$4467,'SALES Raw'!$J$6:$J$4467,$J140,'SALES Raw'!$K$6:$K$4467,"Y")+SUMIFS('CEMIUP0.9 Raw'!$E$6:$E$1712,'CEMIUP0.9 Raw'!$B$6:$B$1712,$J140,'CEMIUP0.9 Raw'!$H$6:$H$1712,"Y")</f>
        <v>6386.331</v>
      </c>
      <c r="F140" s="19" t="n">
        <f aca="false">SUMIFS('SALES Raw'!$E$6:$E$4467,'SALES Raw'!$J$6:$J$4467,$J140,'SALES Raw'!$K$6:$K$4467,"Y")*$H$4+SUMIFS('CEMIUP0.9 Raw'!$F$6:$F$1712,'CEMIUP0.9 Raw'!$B$6:$B$1712,$J140,'CEMIUP0.9 Raw'!$H$6:$H$1712,"Y")</f>
        <v>223.578947368421</v>
      </c>
      <c r="G140" s="19" t="n">
        <f aca="false">SUMIFS('SALES Raw'!$F$6:$F$4467,'SALES Raw'!$J$6:$J$4467,$J140,'SALES Raw'!$K$6:$K$4467,"Y")*$H$4+SUMIFS('CEMIUP0.9 Raw'!$G$6:$G$1712,'CEMIUP0.9 Raw'!$B$6:$B$1712,$J140,'CEMIUP0.9 Raw'!$H$6:$H$1712,"Y")</f>
        <v>4716.94231578947</v>
      </c>
      <c r="H140" s="18" t="s">
        <v>48</v>
      </c>
      <c r="I140" s="18" t="s">
        <v>43</v>
      </c>
      <c r="J140" s="18" t="n">
        <v>4413094</v>
      </c>
    </row>
    <row r="141" customFormat="false" ht="15" hidden="false" customHeight="false" outlineLevel="0" collapsed="false">
      <c r="A141" s="18" t="n">
        <f aca="false">IF(ISNUMBER($J141),$J141,"")</f>
        <v>4413150</v>
      </c>
      <c r="B141" s="18" t="str">
        <f aca="false">IFERROR(INDEX('SALES Raw'!$B$6:$B$4467,MATCH($J141,'SALES Raw'!$J$6:$J$4467,0)),IFERROR(INDEX('CEMIUP0.9 Raw'!$B$6:$B$1712,MATCH($J141,'CEMIUP0.9 Raw'!$B$6:$B$1712,0)),$J141))</f>
        <v>PD341 0</v>
      </c>
      <c r="C141" s="18" t="str">
        <f aca="false">IF(ISNUMBER($J141),IFERROR(INDEX('TRANS'!$C:$C,MATCH($J141,'TRANS'!$B:$B,0)),IFERROR(INDEX('Catalog'!$B:$B,MATCH($J141,'Catalog'!$A:$A,0)),$B141)),$B141)</f>
        <v>PD341-מקצוע להסרת עור קשה</v>
      </c>
      <c r="D141" s="19" t="n">
        <f aca="false">SUMIFS('SALES Raw'!$C$6:$C$4467,'SALES Raw'!$J$6:$J$4467,$J141,'SALES Raw'!$K$6:$K$4467,"Y")+SUMIFS('CEMIUP0.9 Raw'!$D$6:$D$1712,'CEMIUP0.9 Raw'!$B$6:$B$1712,$J141,'CEMIUP0.9 Raw'!$H$6:$H$1712,"Y")</f>
        <v>164</v>
      </c>
      <c r="E141" s="19" t="n">
        <f aca="false">SUMIFS('SALES Raw'!$D$6:$D$4467,'SALES Raw'!$J$6:$J$4467,$J141,'SALES Raw'!$K$6:$K$4467,"Y")+SUMIFS('CEMIUP0.9 Raw'!$E$6:$E$1712,'CEMIUP0.9 Raw'!$B$6:$B$1712,$J141,'CEMIUP0.9 Raw'!$H$6:$H$1712,"Y")</f>
        <v>3914.408</v>
      </c>
      <c r="F141" s="19" t="n">
        <f aca="false">SUMIFS('SALES Raw'!$E$6:$E$4467,'SALES Raw'!$J$6:$J$4467,$J141,'SALES Raw'!$K$6:$K$4467,"Y")*$H$4+SUMIFS('CEMIUP0.9 Raw'!$F$6:$F$1712,'CEMIUP0.9 Raw'!$B$6:$B$1712,$J141,'CEMIUP0.9 Raw'!$H$6:$H$1712,"Y")</f>
        <v>222.315789473684</v>
      </c>
      <c r="G141" s="19" t="n">
        <f aca="false">SUMIFS('SALES Raw'!$F$6:$F$4467,'SALES Raw'!$J$6:$J$4467,$J141,'SALES Raw'!$K$6:$K$4467,"Y")*$H$4+SUMIFS('CEMIUP0.9 Raw'!$G$6:$G$1712,'CEMIUP0.9 Raw'!$B$6:$B$1712,$J141,'CEMIUP0.9 Raw'!$H$6:$H$1712,"Y")</f>
        <v>5415.70736842105</v>
      </c>
      <c r="H141" s="18" t="s">
        <v>48</v>
      </c>
      <c r="I141" s="18" t="s">
        <v>43</v>
      </c>
      <c r="J141" s="18" t="n">
        <v>4413150</v>
      </c>
    </row>
    <row r="142" customFormat="false" ht="15" hidden="false" customHeight="false" outlineLevel="0" collapsed="false">
      <c r="A142" s="18" t="n">
        <f aca="false">IF(ISNUMBER($J142),$J142,"")</f>
        <v>4413058</v>
      </c>
      <c r="B142" s="18" t="str">
        <f aca="false">IFERROR(INDEX('SALES Raw'!$B$6:$B$4467,MATCH($J142,'SALES Raw'!$J$6:$J$4467,0)),IFERROR(INDEX('CEMIUP0.9 Raw'!$B$6:$B$1712,MATCH($J142,'CEMIUP0.9 Raw'!$B$6:$B$1712,0)),$J142))</f>
        <v>3622S 0</v>
      </c>
      <c r="C142" s="18" t="str">
        <f aca="false">IF(ISNUMBER($J142),IFERROR(INDEX('TRANS'!$C:$C,MATCH($J142,'TRANS'!$B:$B,0)),IFERROR(INDEX('Catalog'!$B:$B,MATCH($J142,'Catalog'!$A:$A,0)),$B142)),$B142)</f>
        <v>3622S מדבקה לשחרור לחץ 2 יח</v>
      </c>
      <c r="D142" s="19" t="n">
        <f aca="false">SUMIFS('SALES Raw'!$C$6:$C$4467,'SALES Raw'!$J$6:$J$4467,$J142,'SALES Raw'!$K$6:$K$4467,"Y")+SUMIFS('CEMIUP0.9 Raw'!$D$6:$D$1712,'CEMIUP0.9 Raw'!$B$6:$B$1712,$J142,'CEMIUP0.9 Raw'!$H$6:$H$1712,"Y")</f>
        <v>214</v>
      </c>
      <c r="E142" s="19" t="n">
        <f aca="false">SUMIFS('SALES Raw'!$D$6:$D$4467,'SALES Raw'!$J$6:$J$4467,$J142,'SALES Raw'!$K$6:$K$4467,"Y")+SUMIFS('CEMIUP0.9 Raw'!$E$6:$E$1712,'CEMIUP0.9 Raw'!$B$6:$B$1712,$J142,'CEMIUP0.9 Raw'!$H$6:$H$1712,"Y")</f>
        <v>6290.777</v>
      </c>
      <c r="F142" s="19" t="n">
        <f aca="false">SUMIFS('SALES Raw'!$E$6:$E$4467,'SALES Raw'!$J$6:$J$4467,$J142,'SALES Raw'!$K$6:$K$4467,"Y")*$H$4+SUMIFS('CEMIUP0.9 Raw'!$F$6:$F$1712,'CEMIUP0.9 Raw'!$B$6:$B$1712,$J142,'CEMIUP0.9 Raw'!$H$6:$H$1712,"Y")</f>
        <v>221.052631578947</v>
      </c>
      <c r="G142" s="19" t="n">
        <f aca="false">SUMIFS('SALES Raw'!$F$6:$F$4467,'SALES Raw'!$J$6:$J$4467,$J142,'SALES Raw'!$K$6:$K$4467,"Y")*$H$4+SUMIFS('CEMIUP0.9 Raw'!$G$6:$G$1712,'CEMIUP0.9 Raw'!$B$6:$B$1712,$J142,'CEMIUP0.9 Raw'!$H$6:$H$1712,"Y")</f>
        <v>6920.95578947369</v>
      </c>
      <c r="H142" s="18" t="s">
        <v>43</v>
      </c>
      <c r="I142" s="18" t="s">
        <v>48</v>
      </c>
      <c r="J142" s="18" t="n">
        <v>4413058</v>
      </c>
    </row>
    <row r="143" customFormat="false" ht="15" hidden="false" customHeight="false" outlineLevel="0" collapsed="false">
      <c r="A143" s="18" t="n">
        <f aca="false">IF(ISNUMBER($J143),$J143,"")</f>
        <v>4408090</v>
      </c>
      <c r="B143" s="18" t="str">
        <f aca="false">IFERROR(INDEX('SALES Raw'!$B$6:$B$4467,MATCH($J143,'SALES Raw'!$J$6:$J$4467,0)),IFERROR(INDEX('CEMIUP0.9 Raw'!$B$6:$B$1712,MATCH($J143,'CEMIUP0.9 Raw'!$B$6:$B$1712,0)),$J143))</f>
        <v>T11C L</v>
      </c>
      <c r="C143" s="18" t="str">
        <f aca="false">IF(ISNUMBER($J143),IFERROR(INDEX('TRANS'!$C:$C,MATCH($J143,'TRANS'!$B:$B,0)),IFERROR(INDEX('Catalog'!$B:$B,MATCH($J143,'Catalog'!$A:$A,0)),$B143)),$B143)</f>
        <v>T11C L  חגורת גב פוג'יאמה</v>
      </c>
      <c r="D143" s="19" t="n">
        <f aca="false">SUMIFS('SALES Raw'!$C$6:$C$4467,'SALES Raw'!$J$6:$J$4467,$J143,'SALES Raw'!$K$6:$K$4467,"Y")+SUMIFS('CEMIUP0.9 Raw'!$D$6:$D$1712,'CEMIUP0.9 Raw'!$B$6:$B$1712,$J143,'CEMIUP0.9 Raw'!$H$6:$H$1712,"Y")</f>
        <v>10</v>
      </c>
      <c r="E143" s="19" t="n">
        <f aca="false">SUMIFS('SALES Raw'!$D$6:$D$4467,'SALES Raw'!$J$6:$J$4467,$J143,'SALES Raw'!$K$6:$K$4467,"Y")+SUMIFS('CEMIUP0.9 Raw'!$E$6:$E$1712,'CEMIUP0.9 Raw'!$B$6:$B$1712,$J143,'CEMIUP0.9 Raw'!$H$6:$H$1712,"Y")</f>
        <v>856.471</v>
      </c>
      <c r="F143" s="19" t="n">
        <f aca="false">SUMIFS('SALES Raw'!$E$6:$E$4467,'SALES Raw'!$J$6:$J$4467,$J143,'SALES Raw'!$K$6:$K$4467,"Y")*$H$4+SUMIFS('CEMIUP0.9 Raw'!$F$6:$F$1712,'CEMIUP0.9 Raw'!$B$6:$B$1712,$J143,'CEMIUP0.9 Raw'!$H$6:$H$1712,"Y")</f>
        <v>219.789473684211</v>
      </c>
      <c r="G143" s="19" t="n">
        <f aca="false">SUMIFS('SALES Raw'!$F$6:$F$4467,'SALES Raw'!$J$6:$J$4467,$J143,'SALES Raw'!$K$6:$K$4467,"Y")*$H$4+SUMIFS('CEMIUP0.9 Raw'!$G$6:$G$1712,'CEMIUP0.9 Raw'!$B$6:$B$1712,$J143,'CEMIUP0.9 Raw'!$H$6:$H$1712,"Y")</f>
        <v>19549.4134736842</v>
      </c>
      <c r="H143" s="18" t="s">
        <v>43</v>
      </c>
      <c r="I143" s="18" t="s">
        <v>56</v>
      </c>
      <c r="J143" s="18" t="n">
        <v>4408090</v>
      </c>
    </row>
    <row r="144" customFormat="false" ht="15" hidden="false" customHeight="false" outlineLevel="0" collapsed="false">
      <c r="A144" s="18" t="n">
        <f aca="false">IF(ISNUMBER($J144),$J144,"")</f>
        <v>4408248</v>
      </c>
      <c r="B144" s="18" t="str">
        <f aca="false">IFERROR(INDEX('SALES Raw'!$B$6:$B$4467,MATCH($J144,'SALES Raw'!$J$6:$J$4467,0)),IFERROR(INDEX('CEMIUP0.9 Raw'!$B$6:$B$1712,MATCH($J144,'CEMIUP0.9 Raw'!$B$6:$B$1712,0)),$J144))</f>
        <v>SC25 M</v>
      </c>
      <c r="C144" s="18" t="str">
        <f aca="false">IF(ISNUMBER($J144),IFERROR(INDEX('TRANS'!$C:$C,MATCH($J144,'TRANS'!$B:$B,0)),IFERROR(INDEX('Catalog'!$B:$B,MATCH($J144,'Catalog'!$A:$A,0)),$B144)),$B144)</f>
        <v>SC25  M חבק יד</v>
      </c>
      <c r="D144" s="19" t="n">
        <f aca="false">SUMIFS('SALES Raw'!$C$6:$C$4467,'SALES Raw'!$J$6:$J$4467,$J144,'SALES Raw'!$K$6:$K$4467,"Y")+SUMIFS('CEMIUP0.9 Raw'!$D$6:$D$1712,'CEMIUP0.9 Raw'!$B$6:$B$1712,$J144,'CEMIUP0.9 Raw'!$H$6:$H$1712,"Y")</f>
        <v>216</v>
      </c>
      <c r="E144" s="19" t="n">
        <f aca="false">SUMIFS('SALES Raw'!$D$6:$D$4467,'SALES Raw'!$J$6:$J$4467,$J144,'SALES Raw'!$K$6:$K$4467,"Y")+SUMIFS('CEMIUP0.9 Raw'!$E$6:$E$1712,'CEMIUP0.9 Raw'!$B$6:$B$1712,$J144,'CEMIUP0.9 Raw'!$H$6:$H$1712,"Y")</f>
        <v>27013.013</v>
      </c>
      <c r="F144" s="19" t="n">
        <f aca="false">SUMIFS('SALES Raw'!$E$6:$E$4467,'SALES Raw'!$J$6:$J$4467,$J144,'SALES Raw'!$K$6:$K$4467,"Y")*$H$4+SUMIFS('CEMIUP0.9 Raw'!$F$6:$F$1712,'CEMIUP0.9 Raw'!$B$6:$B$1712,$J144,'CEMIUP0.9 Raw'!$H$6:$H$1712,"Y")</f>
        <v>219.789473684211</v>
      </c>
      <c r="G144" s="19" t="n">
        <f aca="false">SUMIFS('SALES Raw'!$F$6:$F$4467,'SALES Raw'!$J$6:$J$4467,$J144,'SALES Raw'!$K$6:$K$4467,"Y")*$H$4+SUMIFS('CEMIUP0.9 Raw'!$G$6:$G$1712,'CEMIUP0.9 Raw'!$B$6:$B$1712,$J144,'CEMIUP0.9 Raw'!$H$6:$H$1712,"Y")</f>
        <v>30010.416</v>
      </c>
      <c r="H144" s="18" t="s">
        <v>42</v>
      </c>
      <c r="I144" s="18" t="s">
        <v>43</v>
      </c>
      <c r="J144" s="18" t="n">
        <v>4408248</v>
      </c>
    </row>
    <row r="145" customFormat="false" ht="15" hidden="false" customHeight="false" outlineLevel="0" collapsed="false">
      <c r="A145" s="18" t="n">
        <f aca="false">IF(ISNUMBER($J145),$J145,"")</f>
        <v>4413137</v>
      </c>
      <c r="B145" s="18" t="str">
        <f aca="false">IFERROR(INDEX('SALES Raw'!$B$6:$B$4467,MATCH($J145,'SALES Raw'!$J$6:$J$4467,0)),IFERROR(INDEX('CEMIUP0.9 Raw'!$B$6:$B$1712,MATCH($J145,'CEMIUP0.9 Raw'!$B$6:$B$1712,0)),$J145))</f>
        <v>85 S</v>
      </c>
      <c r="C145" s="18" t="str">
        <f aca="false">IF(ISNUMBER($J145),IFERROR(INDEX('TRANS'!$C:$C,MATCH($J145,'TRANS'!$B:$B,0)),IFERROR(INDEX('Catalog'!$B:$B,MATCH($J145,'Catalog'!$A:$A,0)),$B145)),$B145)</f>
        <v>85 S (מתלה ליד )כיס</v>
      </c>
      <c r="D145" s="19" t="n">
        <f aca="false">SUMIFS('SALES Raw'!$C$6:$C$4467,'SALES Raw'!$J$6:$J$4467,$J145,'SALES Raw'!$K$6:$K$4467,"Y")+SUMIFS('CEMIUP0.9 Raw'!$D$6:$D$1712,'CEMIUP0.9 Raw'!$B$6:$B$1712,$J145,'CEMIUP0.9 Raw'!$H$6:$H$1712,"Y")</f>
        <v>222</v>
      </c>
      <c r="E145" s="19" t="n">
        <f aca="false">SUMIFS('SALES Raw'!$D$6:$D$4467,'SALES Raw'!$J$6:$J$4467,$J145,'SALES Raw'!$K$6:$K$4467,"Y")+SUMIFS('CEMIUP0.9 Raw'!$E$6:$E$1712,'CEMIUP0.9 Raw'!$B$6:$B$1712,$J145,'CEMIUP0.9 Raw'!$H$6:$H$1712,"Y")</f>
        <v>9271.428</v>
      </c>
      <c r="F145" s="19" t="n">
        <f aca="false">SUMIFS('SALES Raw'!$E$6:$E$4467,'SALES Raw'!$J$6:$J$4467,$J145,'SALES Raw'!$K$6:$K$4467,"Y")*$H$4+SUMIFS('CEMIUP0.9 Raw'!$F$6:$F$1712,'CEMIUP0.9 Raw'!$B$6:$B$1712,$J145,'CEMIUP0.9 Raw'!$H$6:$H$1712,"Y")</f>
        <v>214.736842105263</v>
      </c>
      <c r="G145" s="19" t="n">
        <f aca="false">SUMIFS('SALES Raw'!$F$6:$F$4467,'SALES Raw'!$J$6:$J$4467,$J145,'SALES Raw'!$K$6:$K$4467,"Y")*$H$4+SUMIFS('CEMIUP0.9 Raw'!$G$6:$G$1712,'CEMIUP0.9 Raw'!$B$6:$B$1712,$J145,'CEMIUP0.9 Raw'!$H$6:$H$1712,"Y")</f>
        <v>8653.66736842106</v>
      </c>
      <c r="H145" s="18" t="s">
        <v>48</v>
      </c>
      <c r="I145" s="18" t="s">
        <v>43</v>
      </c>
      <c r="J145" s="18" t="n">
        <v>4413137</v>
      </c>
    </row>
    <row r="146" customFormat="false" ht="15" hidden="false" customHeight="false" outlineLevel="0" collapsed="false">
      <c r="A146" s="18" t="n">
        <f aca="false">IF(ISNUMBER($J146),$J146,"")</f>
        <v>4415080</v>
      </c>
      <c r="B146" s="18" t="str">
        <f aca="false">IFERROR(INDEX('SALES Raw'!$B$6:$B$4467,MATCH($J146,'SALES Raw'!$J$6:$J$4467,0)),IFERROR(INDEX('CEMIUP0.9 Raw'!$B$6:$B$1712,MATCH($J146,'CEMIUP0.9 Raw'!$B$6:$B$1712,0)),$J146))</f>
        <v>PD346 0</v>
      </c>
      <c r="C146" s="18" t="str">
        <f aca="false">IF(ISNUMBER($J146),IFERROR(INDEX('TRANS'!$C:$C,MATCH($J146,'TRANS'!$B:$B,0)),IFERROR(INDEX('Catalog'!$B:$B,MATCH($J146,'Catalog'!$A:$A,0)),$B146)),$B146)</f>
        <v>PD346-10 סכינים למקצוע</v>
      </c>
      <c r="D146" s="19" t="n">
        <f aca="false">SUMIFS('SALES Raw'!$C$6:$C$4467,'SALES Raw'!$J$6:$J$4467,$J146,'SALES Raw'!$K$6:$K$4467,"Y")+SUMIFS('CEMIUP0.9 Raw'!$D$6:$D$1712,'CEMIUP0.9 Raw'!$B$6:$B$1712,$J146,'CEMIUP0.9 Raw'!$H$6:$H$1712,"Y")</f>
        <v>115</v>
      </c>
      <c r="E146" s="19" t="n">
        <f aca="false">SUMIFS('SALES Raw'!$D$6:$D$4467,'SALES Raw'!$J$6:$J$4467,$J146,'SALES Raw'!$K$6:$K$4467,"Y")+SUMIFS('CEMIUP0.9 Raw'!$E$6:$E$1712,'CEMIUP0.9 Raw'!$B$6:$B$1712,$J146,'CEMIUP0.9 Raw'!$H$6:$H$1712,"Y")</f>
        <v>955.153</v>
      </c>
      <c r="F146" s="19" t="n">
        <f aca="false">SUMIFS('SALES Raw'!$E$6:$E$4467,'SALES Raw'!$J$6:$J$4467,$J146,'SALES Raw'!$K$6:$K$4467,"Y")*$H$4+SUMIFS('CEMIUP0.9 Raw'!$F$6:$F$1712,'CEMIUP0.9 Raw'!$B$6:$B$1712,$J146,'CEMIUP0.9 Raw'!$H$6:$H$1712,"Y")</f>
        <v>212.210526315789</v>
      </c>
      <c r="G146" s="19" t="n">
        <f aca="false">SUMIFS('SALES Raw'!$F$6:$F$4467,'SALES Raw'!$J$6:$J$4467,$J146,'SALES Raw'!$K$6:$K$4467,"Y")*$H$4+SUMIFS('CEMIUP0.9 Raw'!$G$6:$G$1712,'CEMIUP0.9 Raw'!$B$6:$B$1712,$J146,'CEMIUP0.9 Raw'!$H$6:$H$1712,"Y")</f>
        <v>1855.63578947368</v>
      </c>
      <c r="H146" s="18" t="s">
        <v>43</v>
      </c>
      <c r="I146" s="18" t="s">
        <v>48</v>
      </c>
      <c r="J146" s="18" t="n">
        <v>4415080</v>
      </c>
    </row>
    <row r="147" customFormat="false" ht="15" hidden="false" customHeight="false" outlineLevel="0" collapsed="false">
      <c r="A147" s="18" t="n">
        <f aca="false">IF(ISNUMBER($J147),$J147,"")</f>
        <v>4411016</v>
      </c>
      <c r="B147" s="18" t="str">
        <f aca="false">IFERROR(INDEX('SALES Raw'!$B$6:$B$4467,MATCH($J147,'SALES Raw'!$J$6:$J$4467,0)),IFERROR(INDEX('CEMIUP0.9 Raw'!$B$6:$B$1712,MATCH($J147,'CEMIUP0.9 Raw'!$B$6:$B$1712,0)),$J147))</f>
        <v>307 XL</v>
      </c>
      <c r="C147" s="18" t="str">
        <f aca="false">IF(ISNUMBER($J147),IFERROR(INDEX('TRANS'!$C:$C,MATCH($J147,'TRANS'!$B:$B,0)),IFERROR(INDEX('Catalog'!$B:$B,MATCH($J147,'Catalog'!$A:$A,0)),$B147)),$B147)</f>
        <v>307 XL כרית סיליקון לעקב</v>
      </c>
      <c r="D147" s="19" t="n">
        <f aca="false">SUMIFS('SALES Raw'!$C$6:$C$4467,'SALES Raw'!$J$6:$J$4467,$J147,'SALES Raw'!$K$6:$K$4467,"Y")+SUMIFS('CEMIUP0.9 Raw'!$D$6:$D$1712,'CEMIUP0.9 Raw'!$B$6:$B$1712,$J147,'CEMIUP0.9 Raw'!$H$6:$H$1712,"Y")</f>
        <v>275</v>
      </c>
      <c r="E147" s="19" t="n">
        <f aca="false">SUMIFS('SALES Raw'!$D$6:$D$4467,'SALES Raw'!$J$6:$J$4467,$J147,'SALES Raw'!$K$6:$K$4467,"Y")+SUMIFS('CEMIUP0.9 Raw'!$E$6:$E$1712,'CEMIUP0.9 Raw'!$B$6:$B$1712,$J147,'CEMIUP0.9 Raw'!$H$6:$H$1712,"Y")</f>
        <v>19402.943</v>
      </c>
      <c r="F147" s="19" t="n">
        <f aca="false">SUMIFS('SALES Raw'!$E$6:$E$4467,'SALES Raw'!$J$6:$J$4467,$J147,'SALES Raw'!$K$6:$K$4467,"Y")*$H$4+SUMIFS('CEMIUP0.9 Raw'!$F$6:$F$1712,'CEMIUP0.9 Raw'!$B$6:$B$1712,$J147,'CEMIUP0.9 Raw'!$H$6:$H$1712,"Y")</f>
        <v>207.157894736842</v>
      </c>
      <c r="G147" s="19" t="n">
        <f aca="false">SUMIFS('SALES Raw'!$F$6:$F$4467,'SALES Raw'!$J$6:$J$4467,$J147,'SALES Raw'!$K$6:$K$4467,"Y")*$H$4+SUMIFS('CEMIUP0.9 Raw'!$G$6:$G$1712,'CEMIUP0.9 Raw'!$B$6:$B$1712,$J147,'CEMIUP0.9 Raw'!$H$6:$H$1712,"Y")</f>
        <v>16845.780631579</v>
      </c>
      <c r="H147" s="18" t="s">
        <v>48</v>
      </c>
      <c r="I147" s="18" t="s">
        <v>43</v>
      </c>
      <c r="J147" s="18" t="n">
        <v>4411016</v>
      </c>
    </row>
    <row r="148" customFormat="false" ht="15" hidden="false" customHeight="false" outlineLevel="0" collapsed="false">
      <c r="A148" s="18" t="n">
        <f aca="false">IF(ISNUMBER($J148),$J148,"")</f>
        <v>4413492</v>
      </c>
      <c r="B148" s="18" t="str">
        <f aca="false">IFERROR(INDEX('SALES Raw'!$B$6:$B$4467,MATCH($J148,'SALES Raw'!$J$6:$J$4467,0)),IFERROR(INDEX('CEMIUP0.9 Raw'!$B$6:$B$1712,MATCH($J148,'CEMIUP0.9 Raw'!$B$6:$B$1712,0)),$J148))</f>
        <v>35B M</v>
      </c>
      <c r="C148" s="18" t="str">
        <f aca="false">IF(ISNUMBER($J148),IFERROR(INDEX('TRANS'!$C:$C,MATCH($J148,'TRANS'!$B:$B,0)),IFERROR(INDEX('Catalog'!$B:$B,MATCH($J148,'Catalog'!$A:$A,0)),$B148)),$B148)</f>
        <v>35B M מגן קרסול שחור</v>
      </c>
      <c r="D148" s="19" t="n">
        <f aca="false">SUMIFS('SALES Raw'!$C$6:$C$4467,'SALES Raw'!$J$6:$J$4467,$J148,'SALES Raw'!$K$6:$K$4467,"Y")+SUMIFS('CEMIUP0.9 Raw'!$D$6:$D$1712,'CEMIUP0.9 Raw'!$B$6:$B$1712,$J148,'CEMIUP0.9 Raw'!$H$6:$H$1712,"Y")</f>
        <v>307</v>
      </c>
      <c r="E148" s="19" t="n">
        <f aca="false">SUMIFS('SALES Raw'!$D$6:$D$4467,'SALES Raw'!$J$6:$J$4467,$J148,'SALES Raw'!$K$6:$K$4467,"Y")+SUMIFS('CEMIUP0.9 Raw'!$E$6:$E$1712,'CEMIUP0.9 Raw'!$B$6:$B$1712,$J148,'CEMIUP0.9 Raw'!$H$6:$H$1712,"Y")</f>
        <v>8603.289</v>
      </c>
      <c r="F148" s="19" t="n">
        <f aca="false">SUMIFS('SALES Raw'!$E$6:$E$4467,'SALES Raw'!$J$6:$J$4467,$J148,'SALES Raw'!$K$6:$K$4467,"Y")*$H$4+SUMIFS('CEMIUP0.9 Raw'!$F$6:$F$1712,'CEMIUP0.9 Raw'!$B$6:$B$1712,$J148,'CEMIUP0.9 Raw'!$H$6:$H$1712,"Y")</f>
        <v>204.631578947368</v>
      </c>
      <c r="G148" s="19" t="n">
        <f aca="false">SUMIFS('SALES Raw'!$F$6:$F$4467,'SALES Raw'!$J$6:$J$4467,$J148,'SALES Raw'!$K$6:$K$4467,"Y")*$H$4+SUMIFS('CEMIUP0.9 Raw'!$G$6:$G$1712,'CEMIUP0.9 Raw'!$B$6:$B$1712,$J148,'CEMIUP0.9 Raw'!$H$6:$H$1712,"Y")</f>
        <v>6033.75536842105</v>
      </c>
      <c r="H148" s="18" t="s">
        <v>43</v>
      </c>
      <c r="I148" s="18" t="s">
        <v>42</v>
      </c>
      <c r="J148" s="18" t="n">
        <v>4413492</v>
      </c>
    </row>
    <row r="149" customFormat="false" ht="15" hidden="false" customHeight="false" outlineLevel="0" collapsed="false">
      <c r="A149" s="18" t="n">
        <f aca="false">IF(ISNUMBER($J149),$J149,"")</f>
        <v>4408222</v>
      </c>
      <c r="B149" s="18" t="str">
        <f aca="false">IFERROR(INDEX('SALES Raw'!$B$6:$B$4467,MATCH($J149,'SALES Raw'!$J$6:$J$4467,0)),IFERROR(INDEX('CEMIUP0.9 Raw'!$B$6:$B$1712,MATCH($J149,'CEMIUP0.9 Raw'!$B$6:$B$1712,0)),$J149))</f>
        <v>078G XL</v>
      </c>
      <c r="C149" s="18" t="str">
        <f aca="false">IF(ISNUMBER($J149),IFERROR(INDEX('TRANS'!$C:$C,MATCH($J149,'TRANS'!$B:$B,0)),IFERROR(INDEX('Catalog'!$B:$B,MATCH($J149,'Catalog'!$A:$A,0)),$B149)),$B149)</f>
        <v>078G-XLחגורת גב אפורה</v>
      </c>
      <c r="D149" s="19" t="n">
        <f aca="false">SUMIFS('SALES Raw'!$C$6:$C$4467,'SALES Raw'!$J$6:$J$4467,$J149,'SALES Raw'!$K$6:$K$4467,"Y")+SUMIFS('CEMIUP0.9 Raw'!$D$6:$D$1712,'CEMIUP0.9 Raw'!$B$6:$B$1712,$J149,'CEMIUP0.9 Raw'!$H$6:$H$1712,"Y")</f>
        <v>416</v>
      </c>
      <c r="E149" s="19" t="n">
        <f aca="false">SUMIFS('SALES Raw'!$D$6:$D$4467,'SALES Raw'!$J$6:$J$4467,$J149,'SALES Raw'!$K$6:$K$4467,"Y")+SUMIFS('CEMIUP0.9 Raw'!$E$6:$E$1712,'CEMIUP0.9 Raw'!$B$6:$B$1712,$J149,'CEMIUP0.9 Raw'!$H$6:$H$1712,"Y")</f>
        <v>32828.239</v>
      </c>
      <c r="F149" s="19" t="n">
        <f aca="false">SUMIFS('SALES Raw'!$E$6:$E$4467,'SALES Raw'!$J$6:$J$4467,$J149,'SALES Raw'!$K$6:$K$4467,"Y")*$H$4+SUMIFS('CEMIUP0.9 Raw'!$F$6:$F$1712,'CEMIUP0.9 Raw'!$B$6:$B$1712,$J149,'CEMIUP0.9 Raw'!$H$6:$H$1712,"Y")</f>
        <v>203.368421052632</v>
      </c>
      <c r="G149" s="19" t="n">
        <f aca="false">SUMIFS('SALES Raw'!$F$6:$F$4467,'SALES Raw'!$J$6:$J$4467,$J149,'SALES Raw'!$K$6:$K$4467,"Y")*$H$4+SUMIFS('CEMIUP0.9 Raw'!$G$6:$G$1712,'CEMIUP0.9 Raw'!$B$6:$B$1712,$J149,'CEMIUP0.9 Raw'!$H$6:$H$1712,"Y")</f>
        <v>16098.3372631579</v>
      </c>
      <c r="H149" s="18" t="s">
        <v>48</v>
      </c>
      <c r="I149" s="18" t="s">
        <v>43</v>
      </c>
      <c r="J149" s="18" t="n">
        <v>4408222</v>
      </c>
    </row>
    <row r="150" customFormat="false" ht="15" hidden="false" customHeight="false" outlineLevel="0" collapsed="false">
      <c r="A150" s="18" t="n">
        <f aca="false">IF(ISNUMBER($J150),$J150,"")</f>
        <v>4403002</v>
      </c>
      <c r="B150" s="18" t="str">
        <f aca="false">IFERROR(INDEX('SALES Raw'!$B$6:$B$4467,MATCH($J150,'SALES Raw'!$J$6:$J$4467,0)),IFERROR(INDEX('CEMIUP0.9 Raw'!$B$6:$B$1712,MATCH($J150,'CEMIUP0.9 Raw'!$B$6:$B$1712,0)),$J150))</f>
        <v>390B-43-46</v>
      </c>
      <c r="C150" s="18" t="str">
        <f aca="false">IF(ISNUMBER($J150),IFERROR(INDEX('TRANS'!$C:$C,MATCH($J150,'TRANS'!$B:$B,0)),IFERROR(INDEX('Catalog'!$B:$B,MATCH($J150,'Catalog'!$A:$A,0)),$B150)),$B150)</f>
        <v>390B 43-46.גרב.כסף לסכרתיים שח</v>
      </c>
      <c r="D150" s="19" t="n">
        <f aca="false">SUMIFS('SALES Raw'!$C$6:$C$4467,'SALES Raw'!$J$6:$J$4467,$J150,'SALES Raw'!$K$6:$K$4467,"Y")+SUMIFS('CEMIUP0.9 Raw'!$D$6:$D$1712,'CEMIUP0.9 Raw'!$B$6:$B$1712,$J150,'CEMIUP0.9 Raw'!$H$6:$H$1712,"Y")</f>
        <v>296</v>
      </c>
      <c r="E150" s="19" t="n">
        <f aca="false">SUMIFS('SALES Raw'!$D$6:$D$4467,'SALES Raw'!$J$6:$J$4467,$J150,'SALES Raw'!$K$6:$K$4467,"Y")+SUMIFS('CEMIUP0.9 Raw'!$E$6:$E$1712,'CEMIUP0.9 Raw'!$B$6:$B$1712,$J150,'CEMIUP0.9 Raw'!$H$6:$H$1712,"Y")</f>
        <v>8679.28</v>
      </c>
      <c r="F150" s="19" t="n">
        <f aca="false">SUMIFS('SALES Raw'!$E$6:$E$4467,'SALES Raw'!$J$6:$J$4467,$J150,'SALES Raw'!$K$6:$K$4467,"Y")*$H$4+SUMIFS('CEMIUP0.9 Raw'!$F$6:$F$1712,'CEMIUP0.9 Raw'!$B$6:$B$1712,$J150,'CEMIUP0.9 Raw'!$H$6:$H$1712,"Y")</f>
        <v>203.368421052632</v>
      </c>
      <c r="G150" s="19" t="n">
        <f aca="false">SUMIFS('SALES Raw'!$F$6:$F$4467,'SALES Raw'!$J$6:$J$4467,$J150,'SALES Raw'!$K$6:$K$4467,"Y")*$H$4+SUMIFS('CEMIUP0.9 Raw'!$G$6:$G$1712,'CEMIUP0.9 Raw'!$B$6:$B$1712,$J150,'CEMIUP0.9 Raw'!$H$6:$H$1712,"Y")</f>
        <v>5621.51747368421</v>
      </c>
      <c r="H150" s="18" t="s">
        <v>48</v>
      </c>
      <c r="I150" s="18" t="s">
        <v>46</v>
      </c>
      <c r="J150" s="18" t="n">
        <v>4403002</v>
      </c>
    </row>
    <row r="151" customFormat="false" ht="15" hidden="false" customHeight="false" outlineLevel="0" collapsed="false">
      <c r="A151" s="18" t="n">
        <f aca="false">IF(ISNUMBER($J151),$J151,"")</f>
        <v>4422033</v>
      </c>
      <c r="B151" s="18" t="str">
        <f aca="false">IFERROR(INDEX('SALES Raw'!$B$6:$B$4467,MATCH($J151,'SALES Raw'!$J$6:$J$4467,0)),IFERROR(INDEX('CEMIUP0.9 Raw'!$B$6:$B$1712,MATCH($J151,'CEMIUP0.9 Raw'!$B$6:$B$1712,0)),$J151))</f>
        <v>807CB-BL</v>
      </c>
      <c r="C151" s="18" t="str">
        <f aca="false">IF(ISNUMBER($J151),IFERROR(INDEX('TRANS'!$C:$C,MATCH($J151,'TRANS'!$B:$B,0)),IFERROR(INDEX('Catalog'!$B:$B,MATCH($J151,'Catalog'!$A:$A,0)),$B151)),$B151)</f>
        <v>807CB-BLתחבושת נצמדת כחול20מ""""מ</v>
      </c>
      <c r="D151" s="19" t="n">
        <f aca="false">SUMIFS('SALES Raw'!$C$6:$C$4467,'SALES Raw'!$J$6:$J$4467,$J151,'SALES Raw'!$K$6:$K$4467,"Y")+SUMIFS('CEMIUP0.9 Raw'!$D$6:$D$1712,'CEMIUP0.9 Raw'!$B$6:$B$1712,$J151,'CEMIUP0.9 Raw'!$H$6:$H$1712,"Y")</f>
        <v>448</v>
      </c>
      <c r="E151" s="19" t="n">
        <f aca="false">SUMIFS('SALES Raw'!$D$6:$D$4467,'SALES Raw'!$J$6:$J$4467,$J151,'SALES Raw'!$K$6:$K$4467,"Y")+SUMIFS('CEMIUP0.9 Raw'!$E$6:$E$1712,'CEMIUP0.9 Raw'!$B$6:$B$1712,$J151,'CEMIUP0.9 Raw'!$H$6:$H$1712,"Y")</f>
        <v>3907.221</v>
      </c>
      <c r="F151" s="19" t="n">
        <f aca="false">SUMIFS('SALES Raw'!$E$6:$E$4467,'SALES Raw'!$J$6:$J$4467,$J151,'SALES Raw'!$K$6:$K$4467,"Y")*$H$4+SUMIFS('CEMIUP0.9 Raw'!$F$6:$F$1712,'CEMIUP0.9 Raw'!$B$6:$B$1712,$J151,'CEMIUP0.9 Raw'!$H$6:$H$1712,"Y")</f>
        <v>197.052631578947</v>
      </c>
      <c r="G151" s="19" t="n">
        <f aca="false">SUMIFS('SALES Raw'!$F$6:$F$4467,'SALES Raw'!$J$6:$J$4467,$J151,'SALES Raw'!$K$6:$K$4467,"Y")*$H$4+SUMIFS('CEMIUP0.9 Raw'!$G$6:$G$1712,'CEMIUP0.9 Raw'!$B$6:$B$1712,$J151,'CEMIUP0.9 Raw'!$H$6:$H$1712,"Y")</f>
        <v>2232.53431578947</v>
      </c>
      <c r="H151" s="18" t="s">
        <v>43</v>
      </c>
      <c r="I151" s="18" t="s">
        <v>44</v>
      </c>
      <c r="J151" s="18" t="n">
        <v>4422033</v>
      </c>
    </row>
    <row r="152" customFormat="false" ht="15" hidden="false" customHeight="false" outlineLevel="0" collapsed="false">
      <c r="A152" s="18" t="n">
        <f aca="false">IF(ISNUMBER($J152),$J152,"")</f>
        <v>4413196</v>
      </c>
      <c r="B152" s="18" t="str">
        <f aca="false">IFERROR(INDEX('SALES Raw'!$B$6:$B$4467,MATCH($J152,'SALES Raw'!$J$6:$J$4467,0)),IFERROR(INDEX('CEMIUP0.9 Raw'!$B$6:$B$1712,MATCH($J152,'CEMIUP0.9 Raw'!$B$6:$B$1712,0)),$J152))</f>
        <v>87 M</v>
      </c>
      <c r="C152" s="18" t="str">
        <f aca="false">IF(ISNUMBER($J152),IFERROR(INDEX('TRANS'!$C:$C,MATCH($J152,'TRANS'!$B:$B,0)),IFERROR(INDEX('Catalog'!$B:$B,MATCH($J152,'Catalog'!$A:$A,0)),$B152)),$B152)</f>
        <v>87 M מקבע כתף ויד</v>
      </c>
      <c r="D152" s="19" t="n">
        <f aca="false">SUMIFS('SALES Raw'!$C$6:$C$4467,'SALES Raw'!$J$6:$J$4467,$J152,'SALES Raw'!$K$6:$K$4467,"Y")+SUMIFS('CEMIUP0.9 Raw'!$D$6:$D$1712,'CEMIUP0.9 Raw'!$B$6:$B$1712,$J152,'CEMIUP0.9 Raw'!$H$6:$H$1712,"Y")</f>
        <v>274</v>
      </c>
      <c r="E152" s="19" t="n">
        <f aca="false">SUMIFS('SALES Raw'!$D$6:$D$4467,'SALES Raw'!$J$6:$J$4467,$J152,'SALES Raw'!$K$6:$K$4467,"Y")+SUMIFS('CEMIUP0.9 Raw'!$E$6:$E$1712,'CEMIUP0.9 Raw'!$B$6:$B$1712,$J152,'CEMIUP0.9 Raw'!$H$6:$H$1712,"Y")</f>
        <v>38747.201</v>
      </c>
      <c r="F152" s="19" t="n">
        <f aca="false">SUMIFS('SALES Raw'!$E$6:$E$4467,'SALES Raw'!$J$6:$J$4467,$J152,'SALES Raw'!$K$6:$K$4467,"Y")*$H$4+SUMIFS('CEMIUP0.9 Raw'!$F$6:$F$1712,'CEMIUP0.9 Raw'!$B$6:$B$1712,$J152,'CEMIUP0.9 Raw'!$H$6:$H$1712,"Y")</f>
        <v>195.789473684211</v>
      </c>
      <c r="G152" s="19" t="n">
        <f aca="false">SUMIFS('SALES Raw'!$F$6:$F$4467,'SALES Raw'!$J$6:$J$4467,$J152,'SALES Raw'!$K$6:$K$4467,"Y")*$H$4+SUMIFS('CEMIUP0.9 Raw'!$G$6:$G$1712,'CEMIUP0.9 Raw'!$B$6:$B$1712,$J152,'CEMIUP0.9 Raw'!$H$6:$H$1712,"Y")</f>
        <v>28105.464</v>
      </c>
      <c r="H152" s="18" t="s">
        <v>44</v>
      </c>
      <c r="I152" s="18" t="s">
        <v>48</v>
      </c>
      <c r="J152" s="18" t="n">
        <v>4413196</v>
      </c>
    </row>
    <row r="153" customFormat="false" ht="15" hidden="false" customHeight="false" outlineLevel="0" collapsed="false">
      <c r="A153" s="18" t="n">
        <f aca="false">IF(ISNUMBER($J153),$J153,"")</f>
        <v>4408268</v>
      </c>
      <c r="B153" s="18" t="str">
        <f aca="false">IFERROR(INDEX('SALES Raw'!$B$6:$B$4467,MATCH($J153,'SALES Raw'!$J$6:$J$4467,0)),IFERROR(INDEX('CEMIUP0.9 Raw'!$B$6:$B$1712,MATCH($J153,'CEMIUP0.9 Raw'!$B$6:$B$1712,0)),$J153))</f>
        <v>ST20 0</v>
      </c>
      <c r="C153" s="18" t="str">
        <f aca="false">IF(ISNUMBER($J153),IFERROR(INDEX('TRANS'!$C:$C,MATCH($J153,'TRANS'!$B:$B,0)),IFERROR(INDEX('Catalog'!$B:$B,MATCH($J153,'Catalog'!$A:$A,0)),$B153)),$B153)</f>
        <v>ST20 חבק יד</v>
      </c>
      <c r="D153" s="19" t="n">
        <f aca="false">SUMIFS('SALES Raw'!$C$6:$C$4467,'SALES Raw'!$J$6:$J$4467,$J153,'SALES Raw'!$K$6:$K$4467,"Y")+SUMIFS('CEMIUP0.9 Raw'!$D$6:$D$1712,'CEMIUP0.9 Raw'!$B$6:$B$1712,$J153,'CEMIUP0.9 Raw'!$H$6:$H$1712,"Y")</f>
        <v>214</v>
      </c>
      <c r="E153" s="19" t="n">
        <f aca="false">SUMIFS('SALES Raw'!$D$6:$D$4467,'SALES Raw'!$J$6:$J$4467,$J153,'SALES Raw'!$K$6:$K$4467,"Y")+SUMIFS('CEMIUP0.9 Raw'!$E$6:$E$1712,'CEMIUP0.9 Raw'!$B$6:$B$1712,$J153,'CEMIUP0.9 Raw'!$H$6:$H$1712,"Y")</f>
        <v>4875.75</v>
      </c>
      <c r="F153" s="19" t="n">
        <f aca="false">SUMIFS('SALES Raw'!$E$6:$E$4467,'SALES Raw'!$J$6:$J$4467,$J153,'SALES Raw'!$K$6:$K$4467,"Y")*$H$4+SUMIFS('CEMIUP0.9 Raw'!$F$6:$F$1712,'CEMIUP0.9 Raw'!$B$6:$B$1712,$J153,'CEMIUP0.9 Raw'!$H$6:$H$1712,"Y")</f>
        <v>193.263157894737</v>
      </c>
      <c r="G153" s="19" t="n">
        <f aca="false">SUMIFS('SALES Raw'!$F$6:$F$4467,'SALES Raw'!$J$6:$J$4467,$J153,'SALES Raw'!$K$6:$K$4467,"Y")*$H$4+SUMIFS('CEMIUP0.9 Raw'!$G$6:$G$1712,'CEMIUP0.9 Raw'!$B$6:$B$1712,$J153,'CEMIUP0.9 Raw'!$H$6:$H$1712,"Y")</f>
        <v>4529.53263157895</v>
      </c>
      <c r="H153" s="18" t="s">
        <v>48</v>
      </c>
      <c r="I153" s="18" t="s">
        <v>42</v>
      </c>
      <c r="J153" s="18" t="n">
        <v>4408268</v>
      </c>
    </row>
    <row r="154" customFormat="false" ht="15" hidden="false" customHeight="false" outlineLevel="0" collapsed="false">
      <c r="A154" s="18" t="n">
        <f aca="false">IF(ISNUMBER($J154),$J154,"")</f>
        <v>4413160</v>
      </c>
      <c r="B154" s="18" t="str">
        <f aca="false">IFERROR(INDEX('SALES Raw'!$B$6:$B$4467,MATCH($J154,'SALES Raw'!$J$6:$J$4467,0)),IFERROR(INDEX('CEMIUP0.9 Raw'!$B$6:$B$1712,MATCH($J154,'CEMIUP0.9 Raw'!$B$6:$B$1712,0)),$J154))</f>
        <v>34+ M</v>
      </c>
      <c r="C154" s="18" t="str">
        <f aca="false">IF(ISNUMBER($J154),IFERROR(INDEX('TRANS'!$C:$C,MATCH($J154,'TRANS'!$B:$B,0)),IFERROR(INDEX('Catalog'!$B:$B,MATCH($J154,'Catalog'!$A:$A,0)),$B154)),$B154)</f>
        <v>34+ M מגן קרסול עקב סגור+רצוע</v>
      </c>
      <c r="D154" s="19" t="n">
        <f aca="false">SUMIFS('SALES Raw'!$C$6:$C$4467,'SALES Raw'!$J$6:$J$4467,$J154,'SALES Raw'!$K$6:$K$4467,"Y")+SUMIFS('CEMIUP0.9 Raw'!$D$6:$D$1712,'CEMIUP0.9 Raw'!$B$6:$B$1712,$J154,'CEMIUP0.9 Raw'!$H$6:$H$1712,"Y")</f>
        <v>250</v>
      </c>
      <c r="E154" s="19" t="n">
        <f aca="false">SUMIFS('SALES Raw'!$D$6:$D$4467,'SALES Raw'!$J$6:$J$4467,$J154,'SALES Raw'!$K$6:$K$4467,"Y")+SUMIFS('CEMIUP0.9 Raw'!$E$6:$E$1712,'CEMIUP0.9 Raw'!$B$6:$B$1712,$J154,'CEMIUP0.9 Raw'!$H$6:$H$1712,"Y")</f>
        <v>13792.843</v>
      </c>
      <c r="F154" s="19" t="n">
        <f aca="false">SUMIFS('SALES Raw'!$E$6:$E$4467,'SALES Raw'!$J$6:$J$4467,$J154,'SALES Raw'!$K$6:$K$4467,"Y")*$H$4+SUMIFS('CEMIUP0.9 Raw'!$F$6:$F$1712,'CEMIUP0.9 Raw'!$B$6:$B$1712,$J154,'CEMIUP0.9 Raw'!$H$6:$H$1712,"Y")</f>
        <v>193.263157894737</v>
      </c>
      <c r="G154" s="19" t="n">
        <f aca="false">SUMIFS('SALES Raw'!$F$6:$F$4467,'SALES Raw'!$J$6:$J$4467,$J154,'SALES Raw'!$K$6:$K$4467,"Y")*$H$4+SUMIFS('CEMIUP0.9 Raw'!$G$6:$G$1712,'CEMIUP0.9 Raw'!$B$6:$B$1712,$J154,'CEMIUP0.9 Raw'!$H$6:$H$1712,"Y")</f>
        <v>11378.8648421053</v>
      </c>
      <c r="H154" s="18" t="s">
        <v>48</v>
      </c>
      <c r="I154" s="18" t="s">
        <v>44</v>
      </c>
      <c r="J154" s="18" t="n">
        <v>4413160</v>
      </c>
    </row>
    <row r="155" customFormat="false" ht="15" hidden="false" customHeight="false" outlineLevel="0" collapsed="false">
      <c r="A155" s="18" t="n">
        <f aca="false">IF(ISNUMBER($J155),$J155,"")</f>
        <v>4409014</v>
      </c>
      <c r="B155" s="18" t="str">
        <f aca="false">IFERROR(INDEX('SALES Raw'!$B$6:$B$4467,MATCH($J155,'SALES Raw'!$J$6:$J$4467,0)),IFERROR(INDEX('CEMIUP0.9 Raw'!$B$6:$B$1712,MATCH($J155,'CEMIUP0.9 Raw'!$B$6:$B$1712,0)),$J155))</f>
        <v>808KT-P</v>
      </c>
      <c r="C155" s="18" t="str">
        <f aca="false">IF(ISNUMBER($J155),IFERROR(INDEX('TRANS'!$C:$C,MATCH($J155,'TRANS'!$B:$B,0)),IFERROR(INDEX('Catalog'!$B:$B,MATCH($J155,'Catalog'!$A:$A,0)),$B155)),$B155)</f>
        <v>808KT-P        טייפ קינזיולוגי</v>
      </c>
      <c r="D155" s="19" t="n">
        <f aca="false">SUMIFS('SALES Raw'!$C$6:$C$4467,'SALES Raw'!$J$6:$J$4467,$J155,'SALES Raw'!$K$6:$K$4467,"Y")+SUMIFS('CEMIUP0.9 Raw'!$D$6:$D$1712,'CEMIUP0.9 Raw'!$B$6:$B$1712,$J155,'CEMIUP0.9 Raw'!$H$6:$H$1712,"Y")</f>
        <v>474</v>
      </c>
      <c r="E155" s="19" t="n">
        <f aca="false">SUMIFS('SALES Raw'!$D$6:$D$4467,'SALES Raw'!$J$6:$J$4467,$J155,'SALES Raw'!$K$6:$K$4467,"Y")+SUMIFS('CEMIUP0.9 Raw'!$E$6:$E$1712,'CEMIUP0.9 Raw'!$B$6:$B$1712,$J155,'CEMIUP0.9 Raw'!$H$6:$H$1712,"Y")</f>
        <v>13116.33</v>
      </c>
      <c r="F155" s="19" t="n">
        <f aca="false">SUMIFS('SALES Raw'!$E$6:$E$4467,'SALES Raw'!$J$6:$J$4467,$J155,'SALES Raw'!$K$6:$K$4467,"Y")*$H$4+SUMIFS('CEMIUP0.9 Raw'!$F$6:$F$1712,'CEMIUP0.9 Raw'!$B$6:$B$1712,$J155,'CEMIUP0.9 Raw'!$H$6:$H$1712,"Y")</f>
        <v>192</v>
      </c>
      <c r="G155" s="19" t="n">
        <f aca="false">SUMIFS('SALES Raw'!$F$6:$F$4467,'SALES Raw'!$J$6:$J$4467,$J155,'SALES Raw'!$K$6:$K$4467,"Y")*$H$4+SUMIFS('CEMIUP0.9 Raw'!$G$6:$G$1712,'CEMIUP0.9 Raw'!$B$6:$B$1712,$J155,'CEMIUP0.9 Raw'!$H$6:$H$1712,"Y")</f>
        <v>6482.95578947368</v>
      </c>
      <c r="H155" s="18" t="s">
        <v>43</v>
      </c>
      <c r="I155" s="18" t="s">
        <v>48</v>
      </c>
      <c r="J155" s="18" t="n">
        <v>4409014</v>
      </c>
    </row>
    <row r="156" customFormat="false" ht="15" hidden="false" customHeight="false" outlineLevel="0" collapsed="false">
      <c r="A156" s="18" t="n">
        <f aca="false">IF(ISNUMBER($J156),$J156,"")</f>
        <v>4403024</v>
      </c>
      <c r="B156" s="18" t="str">
        <f aca="false">IFERROR(INDEX('SALES Raw'!$B$6:$B$4467,MATCH($J156,'SALES Raw'!$J$6:$J$4467,0)),IFERROR(INDEX('CEMIUP0.9 Raw'!$B$6:$B$1712,MATCH($J156,'CEMIUP0.9 Raw'!$B$6:$B$1712,0)),$J156))</f>
        <v>394W-39-42</v>
      </c>
      <c r="C156" s="18" t="str">
        <f aca="false">IF(ISNUMBER($J156),IFERROR(INDEX('TRANS'!$C:$C,MATCH($J156,'TRANS'!$B:$B,0)),IFERROR(INDEX('Catalog'!$B:$B,MATCH($J156,'Catalog'!$A:$A,0)),$B156)),$B156)</f>
        <v>394W 39-42 גרב.כסף לסכרתים לבן</v>
      </c>
      <c r="D156" s="19" t="n">
        <f aca="false">SUMIFS('SALES Raw'!$C$6:$C$4467,'SALES Raw'!$J$6:$J$4467,$J156,'SALES Raw'!$K$6:$K$4467,"Y")+SUMIFS('CEMIUP0.9 Raw'!$D$6:$D$1712,'CEMIUP0.9 Raw'!$B$6:$B$1712,$J156,'CEMIUP0.9 Raw'!$H$6:$H$1712,"Y")</f>
        <v>344</v>
      </c>
      <c r="E156" s="19" t="n">
        <f aca="false">SUMIFS('SALES Raw'!$D$6:$D$4467,'SALES Raw'!$J$6:$J$4467,$J156,'SALES Raw'!$K$6:$K$4467,"Y")+SUMIFS('CEMIUP0.9 Raw'!$E$6:$E$1712,'CEMIUP0.9 Raw'!$B$6:$B$1712,$J156,'CEMIUP0.9 Raw'!$H$6:$H$1712,"Y")</f>
        <v>9074.697</v>
      </c>
      <c r="F156" s="19" t="n">
        <f aca="false">SUMIFS('SALES Raw'!$E$6:$E$4467,'SALES Raw'!$J$6:$J$4467,$J156,'SALES Raw'!$K$6:$K$4467,"Y")*$H$4+SUMIFS('CEMIUP0.9 Raw'!$F$6:$F$1712,'CEMIUP0.9 Raw'!$B$6:$B$1712,$J156,'CEMIUP0.9 Raw'!$H$6:$H$1712,"Y")</f>
        <v>190.736842105263</v>
      </c>
      <c r="G156" s="19" t="n">
        <f aca="false">SUMIFS('SALES Raw'!$F$6:$F$4467,'SALES Raw'!$J$6:$J$4467,$J156,'SALES Raw'!$K$6:$K$4467,"Y")*$H$4+SUMIFS('CEMIUP0.9 Raw'!$G$6:$G$1712,'CEMIUP0.9 Raw'!$B$6:$B$1712,$J156,'CEMIUP0.9 Raw'!$H$6:$H$1712,"Y")</f>
        <v>4807.23915789474</v>
      </c>
      <c r="H156" s="18" t="s">
        <v>43</v>
      </c>
      <c r="I156" s="18" t="s">
        <v>48</v>
      </c>
      <c r="J156" s="18" t="n">
        <v>4403024</v>
      </c>
    </row>
    <row r="157" customFormat="false" ht="15" hidden="false" customHeight="false" outlineLevel="0" collapsed="false">
      <c r="A157" s="18" t="n">
        <f aca="false">IF(ISNUMBER($J157),$J157,"")</f>
        <v>4415297</v>
      </c>
      <c r="B157" s="18" t="str">
        <f aca="false">IFERROR(INDEX('SALES Raw'!$B$6:$B$4467,MATCH($J157,'SALES Raw'!$J$6:$J$4467,0)),IFERROR(INDEX('CEMIUP0.9 Raw'!$B$6:$B$1712,MATCH($J157,'CEMIUP0.9 Raw'!$B$6:$B$1712,0)),$J157))</f>
        <v>313 0</v>
      </c>
      <c r="C157" s="18" t="str">
        <f aca="false">IF(ISNUMBER($J157),IFERROR(INDEX('TRANS'!$C:$C,MATCH($J157,'TRANS'!$B:$B,0)),IFERROR(INDEX('Catalog'!$B:$B,MATCH($J157,'Catalog'!$A:$A,0)),$B157)),$B157)</f>
        <v>313 סט פלסטרים נגד שפשופים</v>
      </c>
      <c r="D157" s="19" t="n">
        <f aca="false">SUMIFS('SALES Raw'!$C$6:$C$4467,'SALES Raw'!$J$6:$J$4467,$J157,'SALES Raw'!$K$6:$K$4467,"Y")+SUMIFS('CEMIUP0.9 Raw'!$D$6:$D$1712,'CEMIUP0.9 Raw'!$B$6:$B$1712,$J157,'CEMIUP0.9 Raw'!$H$6:$H$1712,"Y")</f>
        <v>365</v>
      </c>
      <c r="E157" s="19" t="n">
        <f aca="false">SUMIFS('SALES Raw'!$D$6:$D$4467,'SALES Raw'!$J$6:$J$4467,$J157,'SALES Raw'!$K$6:$K$4467,"Y")+SUMIFS('CEMIUP0.9 Raw'!$E$6:$E$1712,'CEMIUP0.9 Raw'!$B$6:$B$1712,$J157,'CEMIUP0.9 Raw'!$H$6:$H$1712,"Y")</f>
        <v>7915.025</v>
      </c>
      <c r="F157" s="19" t="n">
        <f aca="false">SUMIFS('SALES Raw'!$E$6:$E$4467,'SALES Raw'!$J$6:$J$4467,$J157,'SALES Raw'!$K$6:$K$4467,"Y")*$H$4+SUMIFS('CEMIUP0.9 Raw'!$F$6:$F$1712,'CEMIUP0.9 Raw'!$B$6:$B$1712,$J157,'CEMIUP0.9 Raw'!$H$6:$H$1712,"Y")</f>
        <v>185.684210526316</v>
      </c>
      <c r="G157" s="19" t="n">
        <f aca="false">SUMIFS('SALES Raw'!$F$6:$F$4467,'SALES Raw'!$J$6:$J$4467,$J157,'SALES Raw'!$K$6:$K$4467,"Y")*$H$4+SUMIFS('CEMIUP0.9 Raw'!$G$6:$G$1712,'CEMIUP0.9 Raw'!$B$6:$B$1712,$J157,'CEMIUP0.9 Raw'!$H$6:$H$1712,"Y")</f>
        <v>4599.70610526316</v>
      </c>
      <c r="H157" s="18" t="s">
        <v>43</v>
      </c>
      <c r="I157" s="18" t="s">
        <v>42</v>
      </c>
      <c r="J157" s="18" t="n">
        <v>4415297</v>
      </c>
    </row>
    <row r="158" customFormat="false" ht="15" hidden="false" customHeight="false" outlineLevel="0" collapsed="false">
      <c r="A158" s="18" t="n">
        <f aca="false">IF(ISNUMBER($J158),$J158,"")</f>
        <v>4413052</v>
      </c>
      <c r="B158" s="18" t="str">
        <f aca="false">IFERROR(INDEX('SALES Raw'!$B$6:$B$4467,MATCH($J158,'SALES Raw'!$J$6:$J$4467,0)),IFERROR(INDEX('CEMIUP0.9 Raw'!$B$6:$B$1712,MATCH($J158,'CEMIUP0.9 Raw'!$B$6:$B$1712,0)),$J158))</f>
        <v>35C S</v>
      </c>
      <c r="C158" s="18" t="str">
        <f aca="false">IF(ISNUMBER($J158),IFERROR(INDEX('TRANS'!$C:$C,MATCH($J158,'TRANS'!$B:$B,0)),IFERROR(INDEX('Catalog'!$B:$B,MATCH($J158,'Catalog'!$A:$A,0)),$B158)),$B158)</f>
        <v>35C S מגן קרסול חום</v>
      </c>
      <c r="D158" s="19" t="n">
        <f aca="false">SUMIFS('SALES Raw'!$C$6:$C$4467,'SALES Raw'!$J$6:$J$4467,$J158,'SALES Raw'!$K$6:$K$4467,"Y")+SUMIFS('CEMIUP0.9 Raw'!$D$6:$D$1712,'CEMIUP0.9 Raw'!$B$6:$B$1712,$J158,'CEMIUP0.9 Raw'!$H$6:$H$1712,"Y")</f>
        <v>261</v>
      </c>
      <c r="E158" s="19" t="n">
        <f aca="false">SUMIFS('SALES Raw'!$D$6:$D$4467,'SALES Raw'!$J$6:$J$4467,$J158,'SALES Raw'!$K$6:$K$4467,"Y")+SUMIFS('CEMIUP0.9 Raw'!$E$6:$E$1712,'CEMIUP0.9 Raw'!$B$6:$B$1712,$J158,'CEMIUP0.9 Raw'!$H$6:$H$1712,"Y")</f>
        <v>7407.006</v>
      </c>
      <c r="F158" s="19" t="n">
        <f aca="false">SUMIFS('SALES Raw'!$E$6:$E$4467,'SALES Raw'!$J$6:$J$4467,$J158,'SALES Raw'!$K$6:$K$4467,"Y")*$H$4+SUMIFS('CEMIUP0.9 Raw'!$F$6:$F$1712,'CEMIUP0.9 Raw'!$B$6:$B$1712,$J158,'CEMIUP0.9 Raw'!$H$6:$H$1712,"Y")</f>
        <v>183.157894736842</v>
      </c>
      <c r="G158" s="19" t="n">
        <f aca="false">SUMIFS('SALES Raw'!$F$6:$F$4467,'SALES Raw'!$J$6:$J$4467,$J158,'SALES Raw'!$K$6:$K$4467,"Y")*$H$4+SUMIFS('CEMIUP0.9 Raw'!$G$6:$G$1712,'CEMIUP0.9 Raw'!$B$6:$B$1712,$J158,'CEMIUP0.9 Raw'!$H$6:$H$1712,"Y")</f>
        <v>5354.54147368421</v>
      </c>
      <c r="H158" s="18" t="s">
        <v>43</v>
      </c>
      <c r="I158" s="18" t="s">
        <v>42</v>
      </c>
      <c r="J158" s="18" t="n">
        <v>4413052</v>
      </c>
    </row>
    <row r="159" customFormat="false" ht="15" hidden="false" customHeight="false" outlineLevel="0" collapsed="false">
      <c r="A159" s="18" t="n">
        <f aca="false">IF(ISNUMBER($J159),$J159,"")</f>
        <v>4413501</v>
      </c>
      <c r="B159" s="18" t="str">
        <f aca="false">IFERROR(INDEX('SALES Raw'!$B$6:$B$4467,MATCH($J159,'SALES Raw'!$J$6:$J$4467,0)),IFERROR(INDEX('CEMIUP0.9 Raw'!$B$6:$B$1712,MATCH($J159,'CEMIUP0.9 Raw'!$B$6:$B$1712,0)),$J159))</f>
        <v>95B M</v>
      </c>
      <c r="C159" s="18" t="str">
        <f aca="false">IF(ISNUMBER($J159),IFERROR(INDEX('TRANS'!$C:$C,MATCH($J159,'TRANS'!$B:$B,0)),IFERROR(INDEX('Catalog'!$B:$B,MATCH($J159,'Catalog'!$A:$A,0)),$B159)),$B159)</f>
        <v>95B M מגן מרפק שחור</v>
      </c>
      <c r="D159" s="19" t="n">
        <f aca="false">SUMIFS('SALES Raw'!$C$6:$C$4467,'SALES Raw'!$J$6:$J$4467,$J159,'SALES Raw'!$K$6:$K$4467,"Y")+SUMIFS('CEMIUP0.9 Raw'!$D$6:$D$1712,'CEMIUP0.9 Raw'!$B$6:$B$1712,$J159,'CEMIUP0.9 Raw'!$H$6:$H$1712,"Y")</f>
        <v>211</v>
      </c>
      <c r="E159" s="19" t="n">
        <f aca="false">SUMIFS('SALES Raw'!$D$6:$D$4467,'SALES Raw'!$J$6:$J$4467,$J159,'SALES Raw'!$K$6:$K$4467,"Y")+SUMIFS('CEMIUP0.9 Raw'!$E$6:$E$1712,'CEMIUP0.9 Raw'!$B$6:$B$1712,$J159,'CEMIUP0.9 Raw'!$H$6:$H$1712,"Y")</f>
        <v>6002.677</v>
      </c>
      <c r="F159" s="19" t="n">
        <f aca="false">SUMIFS('SALES Raw'!$E$6:$E$4467,'SALES Raw'!$J$6:$J$4467,$J159,'SALES Raw'!$K$6:$K$4467,"Y")*$H$4+SUMIFS('CEMIUP0.9 Raw'!$F$6:$F$1712,'CEMIUP0.9 Raw'!$B$6:$B$1712,$J159,'CEMIUP0.9 Raw'!$H$6:$H$1712,"Y")</f>
        <v>179.368421052631</v>
      </c>
      <c r="G159" s="19" t="n">
        <f aca="false">SUMIFS('SALES Raw'!$F$6:$F$4467,'SALES Raw'!$J$6:$J$4467,$J159,'SALES Raw'!$K$6:$K$4467,"Y")*$H$4+SUMIFS('CEMIUP0.9 Raw'!$G$6:$G$1712,'CEMIUP0.9 Raw'!$B$6:$B$1712,$J159,'CEMIUP0.9 Raw'!$H$6:$H$1712,"Y")</f>
        <v>5154.47494736842</v>
      </c>
      <c r="H159" s="18" t="s">
        <v>43</v>
      </c>
      <c r="I159" s="18" t="s">
        <v>42</v>
      </c>
      <c r="J159" s="18" t="n">
        <v>4413501</v>
      </c>
    </row>
    <row r="160" customFormat="false" ht="15" hidden="false" customHeight="false" outlineLevel="0" collapsed="false">
      <c r="A160" s="18" t="n">
        <f aca="false">IF(ISNUMBER($J160),$J160,"")</f>
        <v>4421003</v>
      </c>
      <c r="B160" s="18" t="str">
        <f aca="false">IFERROR(INDEX('SALES Raw'!$B$6:$B$4467,MATCH($J160,'SALES Raw'!$J$6:$J$4467,0)),IFERROR(INDEX('CEMIUP0.9 Raw'!$B$6:$B$1712,MATCH($J160,'CEMIUP0.9 Raw'!$B$6:$B$1712,0)),$J160))</f>
        <v>3672 0</v>
      </c>
      <c r="C160" s="18" t="str">
        <f aca="false">IF(ISNUMBER($J160),IFERROR(INDEX('TRANS'!$C:$C,MATCH($J160,'TRANS'!$B:$B,0)),IFERROR(INDEX('Catalog'!$B:$B,MATCH($J160,'Catalog'!$A:$A,0)),$B160)),$B160)</f>
        <v>3672 שרוול מגן לבוניון</v>
      </c>
      <c r="D160" s="19" t="n">
        <f aca="false">SUMIFS('SALES Raw'!$C$6:$C$4467,'SALES Raw'!$J$6:$J$4467,$J160,'SALES Raw'!$K$6:$K$4467,"Y")+SUMIFS('CEMIUP0.9 Raw'!$D$6:$D$1712,'CEMIUP0.9 Raw'!$B$6:$B$1712,$J160,'CEMIUP0.9 Raw'!$H$6:$H$1712,"Y")</f>
        <v>225</v>
      </c>
      <c r="E160" s="19" t="n">
        <f aca="false">SUMIFS('SALES Raw'!$D$6:$D$4467,'SALES Raw'!$J$6:$J$4467,$J160,'SALES Raw'!$K$6:$K$4467,"Y")+SUMIFS('CEMIUP0.9 Raw'!$E$6:$E$1712,'CEMIUP0.9 Raw'!$B$6:$B$1712,$J160,'CEMIUP0.9 Raw'!$H$6:$H$1712,"Y")</f>
        <v>8324.447</v>
      </c>
      <c r="F160" s="19" t="n">
        <f aca="false">SUMIFS('SALES Raw'!$E$6:$E$4467,'SALES Raw'!$J$6:$J$4467,$J160,'SALES Raw'!$K$6:$K$4467,"Y")*$H$4+SUMIFS('CEMIUP0.9 Raw'!$F$6:$F$1712,'CEMIUP0.9 Raw'!$B$6:$B$1712,$J160,'CEMIUP0.9 Raw'!$H$6:$H$1712,"Y")</f>
        <v>179.368421052631</v>
      </c>
      <c r="G160" s="19" t="n">
        <f aca="false">SUMIFS('SALES Raw'!$F$6:$F$4467,'SALES Raw'!$J$6:$J$4467,$J160,'SALES Raw'!$K$6:$K$4467,"Y")*$H$4+SUMIFS('CEMIUP0.9 Raw'!$G$6:$G$1712,'CEMIUP0.9 Raw'!$B$6:$B$1712,$J160,'CEMIUP0.9 Raw'!$H$6:$H$1712,"Y")</f>
        <v>7786.21894736842</v>
      </c>
      <c r="H160" s="18" t="s">
        <v>43</v>
      </c>
      <c r="I160" s="18" t="s">
        <v>42</v>
      </c>
      <c r="J160" s="18" t="n">
        <v>4421003</v>
      </c>
    </row>
    <row r="161" customFormat="false" ht="15" hidden="false" customHeight="false" outlineLevel="0" collapsed="false">
      <c r="A161" s="18" t="n">
        <f aca="false">IF(ISNUMBER($J161),$J161,"")</f>
        <v>4413518</v>
      </c>
      <c r="B161" s="18" t="str">
        <f aca="false">IFERROR(INDEX('SALES Raw'!$B$6:$B$4467,MATCH($J161,'SALES Raw'!$J$6:$J$4467,0)),IFERROR(INDEX('CEMIUP0.9 Raw'!$B$6:$B$1712,MATCH($J161,'CEMIUP0.9 Raw'!$B$6:$B$1712,0)),$J161))</f>
        <v>85B XL</v>
      </c>
      <c r="C161" s="18" t="str">
        <f aca="false">IF(ISNUMBER($J161),IFERROR(INDEX('TRANS'!$C:$C,MATCH($J161,'TRANS'!$B:$B,0)),IFERROR(INDEX('Catalog'!$B:$B,MATCH($J161,'Catalog'!$A:$A,0)),$B161)),$B161)</f>
        <v>85B XL מתלה רשת לזרוע שחור</v>
      </c>
      <c r="D161" s="19" t="n">
        <f aca="false">SUMIFS('SALES Raw'!$C$6:$C$4467,'SALES Raw'!$J$6:$J$4467,$J161,'SALES Raw'!$K$6:$K$4467,"Y")+SUMIFS('CEMIUP0.9 Raw'!$D$6:$D$1712,'CEMIUP0.9 Raw'!$B$6:$B$1712,$J161,'CEMIUP0.9 Raw'!$H$6:$H$1712,"Y")</f>
        <v>187</v>
      </c>
      <c r="E161" s="19" t="n">
        <f aca="false">SUMIFS('SALES Raw'!$D$6:$D$4467,'SALES Raw'!$J$6:$J$4467,$J161,'SALES Raw'!$K$6:$K$4467,"Y")+SUMIFS('CEMIUP0.9 Raw'!$E$6:$E$1712,'CEMIUP0.9 Raw'!$B$6:$B$1712,$J161,'CEMIUP0.9 Raw'!$H$6:$H$1712,"Y")</f>
        <v>9869.867</v>
      </c>
      <c r="F161" s="19" t="n">
        <f aca="false">SUMIFS('SALES Raw'!$E$6:$E$4467,'SALES Raw'!$J$6:$J$4467,$J161,'SALES Raw'!$K$6:$K$4467,"Y")*$H$4+SUMIFS('CEMIUP0.9 Raw'!$F$6:$F$1712,'CEMIUP0.9 Raw'!$B$6:$B$1712,$J161,'CEMIUP0.9 Raw'!$H$6:$H$1712,"Y")</f>
        <v>174.315789473684</v>
      </c>
      <c r="G161" s="19" t="n">
        <f aca="false">SUMIFS('SALES Raw'!$F$6:$F$4467,'SALES Raw'!$J$6:$J$4467,$J161,'SALES Raw'!$K$6:$K$4467,"Y")*$H$4+SUMIFS('CEMIUP0.9 Raw'!$G$6:$G$1712,'CEMIUP0.9 Raw'!$B$6:$B$1712,$J161,'CEMIUP0.9 Raw'!$H$6:$H$1712,"Y")</f>
        <v>10011.3157894737</v>
      </c>
      <c r="H161" s="18" t="s">
        <v>43</v>
      </c>
      <c r="I161" s="18" t="s">
        <v>44</v>
      </c>
      <c r="J161" s="18" t="n">
        <v>4413518</v>
      </c>
    </row>
    <row r="162" customFormat="false" ht="15" hidden="false" customHeight="false" outlineLevel="0" collapsed="false">
      <c r="A162" s="18" t="n">
        <f aca="false">IF(ISNUMBER($J162),$J162,"")</f>
        <v>4413364</v>
      </c>
      <c r="B162" s="18" t="str">
        <f aca="false">IFERROR(INDEX('SALES Raw'!$B$6:$B$4467,MATCH($J162,'SALES Raw'!$J$6:$J$4467,0)),IFERROR(INDEX('CEMIUP0.9 Raw'!$B$6:$B$1712,MATCH($J162,'CEMIUP0.9 Raw'!$B$6:$B$1712,0)),$J162))</f>
        <v>95C M</v>
      </c>
      <c r="C162" s="18" t="str">
        <f aca="false">IF(ISNUMBER($J162),IFERROR(INDEX('TRANS'!$C:$C,MATCH($J162,'TRANS'!$B:$B,0)),IFERROR(INDEX('Catalog'!$B:$B,MATCH($J162,'Catalog'!$A:$A,0)),$B162)),$B162)</f>
        <v>95C M 'מגן מרפק בז</v>
      </c>
      <c r="D162" s="19" t="n">
        <f aca="false">SUMIFS('SALES Raw'!$C$6:$C$4467,'SALES Raw'!$J$6:$J$4467,$J162,'SALES Raw'!$K$6:$K$4467,"Y")+SUMIFS('CEMIUP0.9 Raw'!$D$6:$D$1712,'CEMIUP0.9 Raw'!$B$6:$B$1712,$J162,'CEMIUP0.9 Raw'!$H$6:$H$1712,"Y")</f>
        <v>235</v>
      </c>
      <c r="E162" s="19" t="n">
        <f aca="false">SUMIFS('SALES Raw'!$D$6:$D$4467,'SALES Raw'!$J$6:$J$4467,$J162,'SALES Raw'!$K$6:$K$4467,"Y")+SUMIFS('CEMIUP0.9 Raw'!$E$6:$E$1712,'CEMIUP0.9 Raw'!$B$6:$B$1712,$J162,'CEMIUP0.9 Raw'!$H$6:$H$1712,"Y")</f>
        <v>6463.916</v>
      </c>
      <c r="F162" s="19" t="n">
        <f aca="false">SUMIFS('SALES Raw'!$E$6:$E$4467,'SALES Raw'!$J$6:$J$4467,$J162,'SALES Raw'!$K$6:$K$4467,"Y")*$H$4+SUMIFS('CEMIUP0.9 Raw'!$F$6:$F$1712,'CEMIUP0.9 Raw'!$B$6:$B$1712,$J162,'CEMIUP0.9 Raw'!$H$6:$H$1712,"Y")</f>
        <v>174.315789473684</v>
      </c>
      <c r="G162" s="19" t="n">
        <f aca="false">SUMIFS('SALES Raw'!$F$6:$F$4467,'SALES Raw'!$J$6:$J$4467,$J162,'SALES Raw'!$K$6:$K$4467,"Y")*$H$4+SUMIFS('CEMIUP0.9 Raw'!$G$6:$G$1712,'CEMIUP0.9 Raw'!$B$6:$B$1712,$J162,'CEMIUP0.9 Raw'!$H$6:$H$1712,"Y")</f>
        <v>4810.24294736842</v>
      </c>
      <c r="H162" s="18" t="s">
        <v>43</v>
      </c>
      <c r="I162" s="18" t="s">
        <v>44</v>
      </c>
      <c r="J162" s="18" t="n">
        <v>4413364</v>
      </c>
    </row>
    <row r="163" customFormat="false" ht="15" hidden="false" customHeight="false" outlineLevel="0" collapsed="false">
      <c r="A163" s="18" t="n">
        <f aca="false">IF(ISNUMBER($J163),$J163,"")</f>
        <v>4415299</v>
      </c>
      <c r="B163" s="18" t="str">
        <f aca="false">IFERROR(INDEX('SALES Raw'!$B$6:$B$4467,MATCH($J163,'SALES Raw'!$J$6:$J$4467,0)),IFERROR(INDEX('CEMIUP0.9 Raw'!$B$6:$B$1712,MATCH($J163,'CEMIUP0.9 Raw'!$B$6:$B$1712,0)),$J163))</f>
        <v>388BR 0</v>
      </c>
      <c r="C163" s="18" t="str">
        <f aca="false">IF(ISNUMBER($J163),IFERROR(INDEX('TRANS'!$C:$C,MATCH($J163,'TRANS'!$B:$B,0)),IFERROR(INDEX('Catalog'!$B:$B,MATCH($J163,'Catalog'!$A:$A,0)),$B163)),$B163)</f>
        <v>388B L סד לילה שחור לבוהן ימין</v>
      </c>
      <c r="D163" s="19" t="n">
        <f aca="false">SUMIFS('SALES Raw'!$C$6:$C$4467,'SALES Raw'!$J$6:$J$4467,$J163,'SALES Raw'!$K$6:$K$4467,"Y")+SUMIFS('CEMIUP0.9 Raw'!$D$6:$D$1712,'CEMIUP0.9 Raw'!$B$6:$B$1712,$J163,'CEMIUP0.9 Raw'!$H$6:$H$1712,"Y")</f>
        <v>211</v>
      </c>
      <c r="E163" s="19" t="n">
        <f aca="false">SUMIFS('SALES Raw'!$D$6:$D$4467,'SALES Raw'!$J$6:$J$4467,$J163,'SALES Raw'!$K$6:$K$4467,"Y")+SUMIFS('CEMIUP0.9 Raw'!$E$6:$E$1712,'CEMIUP0.9 Raw'!$B$6:$B$1712,$J163,'CEMIUP0.9 Raw'!$H$6:$H$1712,"Y")</f>
        <v>14352.005</v>
      </c>
      <c r="F163" s="19" t="n">
        <f aca="false">SUMIFS('SALES Raw'!$E$6:$E$4467,'SALES Raw'!$J$6:$J$4467,$J163,'SALES Raw'!$K$6:$K$4467,"Y")*$H$4+SUMIFS('CEMIUP0.9 Raw'!$F$6:$F$1712,'CEMIUP0.9 Raw'!$B$6:$B$1712,$J163,'CEMIUP0.9 Raw'!$H$6:$H$1712,"Y")</f>
        <v>171.789473684211</v>
      </c>
      <c r="G163" s="19" t="n">
        <f aca="false">SUMIFS('SALES Raw'!$F$6:$F$4467,'SALES Raw'!$J$6:$J$4467,$J163,'SALES Raw'!$K$6:$K$4467,"Y")*$H$4+SUMIFS('CEMIUP0.9 Raw'!$G$6:$G$1712,'CEMIUP0.9 Raw'!$B$6:$B$1712,$J163,'CEMIUP0.9 Raw'!$H$6:$H$1712,"Y")</f>
        <v>11648.9456842105</v>
      </c>
      <c r="H163" s="18" t="s">
        <v>44</v>
      </c>
      <c r="I163" s="18" t="s">
        <v>48</v>
      </c>
      <c r="J163" s="18" t="n">
        <v>4415299</v>
      </c>
    </row>
    <row r="164" customFormat="false" ht="15" hidden="false" customHeight="false" outlineLevel="0" collapsed="false">
      <c r="A164" s="18" t="n">
        <f aca="false">IF(ISNUMBER($J164),$J164,"")</f>
        <v>4413066</v>
      </c>
      <c r="B164" s="18" t="str">
        <f aca="false">IFERROR(INDEX('SALES Raw'!$B$6:$B$4467,MATCH($J164,'SALES Raw'!$J$6:$J$4467,0)),IFERROR(INDEX('CEMIUP0.9 Raw'!$B$6:$B$1712,MATCH($J164,'CEMIUP0.9 Raw'!$B$6:$B$1712,0)),$J164))</f>
        <v>3677S 0</v>
      </c>
      <c r="C164" s="18" t="str">
        <f aca="false">IF(ISNUMBER($J164),IFERROR(INDEX('TRANS'!$C:$C,MATCH($J164,'TRANS'!$B:$B,0)),IFERROR(INDEX('Catalog'!$B:$B,MATCH($J164,'Catalog'!$A:$A,0)),$B164)),$B164)</f>
        <v>3677S-מד.לשחרור לחץ א.הבוניון</v>
      </c>
      <c r="D164" s="19" t="n">
        <f aca="false">SUMIFS('SALES Raw'!$C$6:$C$4467,'SALES Raw'!$J$6:$J$4467,$J164,'SALES Raw'!$K$6:$K$4467,"Y")+SUMIFS('CEMIUP0.9 Raw'!$D$6:$D$1712,'CEMIUP0.9 Raw'!$B$6:$B$1712,$J164,'CEMIUP0.9 Raw'!$H$6:$H$1712,"Y")</f>
        <v>286</v>
      </c>
      <c r="E164" s="19" t="n">
        <f aca="false">SUMIFS('SALES Raw'!$D$6:$D$4467,'SALES Raw'!$J$6:$J$4467,$J164,'SALES Raw'!$K$6:$K$4467,"Y")+SUMIFS('CEMIUP0.9 Raw'!$E$6:$E$1712,'CEMIUP0.9 Raw'!$B$6:$B$1712,$J164,'CEMIUP0.9 Raw'!$H$6:$H$1712,"Y")</f>
        <v>4864.027</v>
      </c>
      <c r="F164" s="19" t="n">
        <f aca="false">SUMIFS('SALES Raw'!$E$6:$E$4467,'SALES Raw'!$J$6:$J$4467,$J164,'SALES Raw'!$K$6:$K$4467,"Y")*$H$4+SUMIFS('CEMIUP0.9 Raw'!$F$6:$F$1712,'CEMIUP0.9 Raw'!$B$6:$B$1712,$J164,'CEMIUP0.9 Raw'!$H$6:$H$1712,"Y")</f>
        <v>170.526315789474</v>
      </c>
      <c r="G164" s="19" t="n">
        <f aca="false">SUMIFS('SALES Raw'!$F$6:$F$4467,'SALES Raw'!$J$6:$J$4467,$J164,'SALES Raw'!$K$6:$K$4467,"Y")*$H$4+SUMIFS('CEMIUP0.9 Raw'!$G$6:$G$1712,'CEMIUP0.9 Raw'!$B$6:$B$1712,$J164,'CEMIUP0.9 Raw'!$H$6:$H$1712,"Y")</f>
        <v>3063.97515789473</v>
      </c>
      <c r="H164" s="18" t="s">
        <v>43</v>
      </c>
      <c r="I164" s="18" t="s">
        <v>48</v>
      </c>
      <c r="J164" s="18" t="n">
        <v>4413066</v>
      </c>
    </row>
    <row r="165" customFormat="false" ht="15" hidden="false" customHeight="false" outlineLevel="0" collapsed="false">
      <c r="A165" s="18" t="n">
        <f aca="false">IF(ISNUMBER($J165),$J165,"")</f>
        <v>4413047</v>
      </c>
      <c r="B165" s="18" t="str">
        <f aca="false">IFERROR(INDEX('SALES Raw'!$B$6:$B$4467,MATCH($J165,'SALES Raw'!$J$6:$J$4467,0)),IFERROR(INDEX('CEMIUP0.9 Raw'!$B$6:$B$1712,MATCH($J165,'CEMIUP0.9 Raw'!$B$6:$B$1712,0)),$J165))</f>
        <v>35 S</v>
      </c>
      <c r="C165" s="18" t="str">
        <f aca="false">IF(ISNUMBER($J165),IFERROR(INDEX('TRANS'!$C:$C,MATCH($J165,'TRANS'!$B:$B,0)),IFERROR(INDEX('Catalog'!$B:$B,MATCH($J165,'Catalog'!$A:$A,0)),$B165)),$B165)</f>
        <v>35 S מגן קרסול לבן</v>
      </c>
      <c r="D165" s="19" t="n">
        <f aca="false">SUMIFS('SALES Raw'!$C$6:$C$4467,'SALES Raw'!$J$6:$J$4467,$J165,'SALES Raw'!$K$6:$K$4467,"Y")+SUMIFS('CEMIUP0.9 Raw'!$D$6:$D$1712,'CEMIUP0.9 Raw'!$B$6:$B$1712,$J165,'CEMIUP0.9 Raw'!$H$6:$H$1712,"Y")</f>
        <v>218</v>
      </c>
      <c r="E165" s="19" t="n">
        <f aca="false">SUMIFS('SALES Raw'!$D$6:$D$4467,'SALES Raw'!$J$6:$J$4467,$J165,'SALES Raw'!$K$6:$K$4467,"Y")+SUMIFS('CEMIUP0.9 Raw'!$E$6:$E$1712,'CEMIUP0.9 Raw'!$B$6:$B$1712,$J165,'CEMIUP0.9 Raw'!$H$6:$H$1712,"Y")</f>
        <v>5041.787</v>
      </c>
      <c r="F165" s="19" t="n">
        <f aca="false">SUMIFS('SALES Raw'!$E$6:$E$4467,'SALES Raw'!$J$6:$J$4467,$J165,'SALES Raw'!$K$6:$K$4467,"Y")*$H$4+SUMIFS('CEMIUP0.9 Raw'!$F$6:$F$1712,'CEMIUP0.9 Raw'!$B$6:$B$1712,$J165,'CEMIUP0.9 Raw'!$H$6:$H$1712,"Y")</f>
        <v>170.526315789474</v>
      </c>
      <c r="G165" s="19" t="n">
        <f aca="false">SUMIFS('SALES Raw'!$F$6:$F$4467,'SALES Raw'!$J$6:$J$4467,$J165,'SALES Raw'!$K$6:$K$4467,"Y")*$H$4+SUMIFS('CEMIUP0.9 Raw'!$G$6:$G$1712,'CEMIUP0.9 Raw'!$B$6:$B$1712,$J165,'CEMIUP0.9 Raw'!$H$6:$H$1712,"Y")</f>
        <v>3871.74568421052</v>
      </c>
      <c r="H165" s="18" t="s">
        <v>48</v>
      </c>
      <c r="I165" s="18" t="s">
        <v>43</v>
      </c>
      <c r="J165" s="18" t="n">
        <v>4413047</v>
      </c>
    </row>
    <row r="166" customFormat="false" ht="15" hidden="false" customHeight="false" outlineLevel="0" collapsed="false">
      <c r="A166" s="18" t="str">
        <f aca="false">IF(ISNUMBER($J166),$J166,"")</f>
        <v/>
      </c>
      <c r="B166" s="18" t="str">
        <f aca="false">IFERROR(INDEX('SALES Raw'!$B$6:$B$4467,MATCH($J166,'SALES Raw'!$J$6:$J$4467,0)),IFERROR(INDEX('CEMIUP0.9 Raw'!$B$6:$B$1712,MATCH($J166,'CEMIUP0.9 Raw'!$B$6:$B$1712,0)),$J166))</f>
        <v>M93</v>
      </c>
      <c r="C166" s="18" t="str">
        <f aca="false">IF(ISNUMBER($J166),IFERROR(INDEX('TRANS'!$C:$C,MATCH($J166,'TRANS'!$B:$B,0)),IFERROR(INDEX('Catalog'!$B:$B,MATCH($J166,'Catalog'!$A:$A,0)),$B166)),$B166)</f>
        <v>M93</v>
      </c>
      <c r="D166" s="19" t="n">
        <f aca="false">SUMIFS('SALES Raw'!$C$6:$C$4467,'SALES Raw'!$J$6:$J$4467,$J166,'SALES Raw'!$K$6:$K$4467,"Y")+SUMIFS('CEMIUP0.9 Raw'!$D$6:$D$1712,'CEMIUP0.9 Raw'!$B$6:$B$1712,$J166,'CEMIUP0.9 Raw'!$H$6:$H$1712,"Y")</f>
        <v>286</v>
      </c>
      <c r="E166" s="19" t="n">
        <f aca="false">SUMIFS('SALES Raw'!$D$6:$D$4467,'SALES Raw'!$J$6:$J$4467,$J166,'SALES Raw'!$K$6:$K$4467,"Y")+SUMIFS('CEMIUP0.9 Raw'!$E$6:$E$1712,'CEMIUP0.9 Raw'!$B$6:$B$1712,$J166,'CEMIUP0.9 Raw'!$H$6:$H$1712,"Y")</f>
        <v>7778.31</v>
      </c>
      <c r="F166" s="19" t="n">
        <f aca="false">SUMIFS('SALES Raw'!$E$6:$E$4467,'SALES Raw'!$J$6:$J$4467,$J166,'SALES Raw'!$K$6:$K$4467,"Y")*$H$4+SUMIFS('CEMIUP0.9 Raw'!$F$6:$F$1712,'CEMIUP0.9 Raw'!$B$6:$B$1712,$J166,'CEMIUP0.9 Raw'!$H$6:$H$1712,"Y")</f>
        <v>168</v>
      </c>
      <c r="G166" s="19" t="n">
        <f aca="false">SUMIFS('SALES Raw'!$F$6:$F$4467,'SALES Raw'!$J$6:$J$4467,$J166,'SALES Raw'!$K$6:$K$4467,"Y")*$H$4+SUMIFS('CEMIUP0.9 Raw'!$G$6:$G$1712,'CEMIUP0.9 Raw'!$B$6:$B$1712,$J166,'CEMIUP0.9 Raw'!$H$6:$H$1712,"Y")</f>
        <v>4549.83157894737</v>
      </c>
      <c r="H166" s="18" t="s">
        <v>49</v>
      </c>
      <c r="I166" s="18" t="s">
        <v>44</v>
      </c>
      <c r="J166" s="18" t="s">
        <v>57</v>
      </c>
    </row>
    <row r="167" customFormat="false" ht="15" hidden="false" customHeight="false" outlineLevel="0" collapsed="false">
      <c r="A167" s="18" t="str">
        <f aca="false">IF(ISNUMBER($J167),$J167,"")</f>
        <v/>
      </c>
      <c r="B167" s="18" t="str">
        <f aca="false">IFERROR(INDEX('SALES Raw'!$B$6:$B$4467,MATCH($J167,'SALES Raw'!$J$6:$J$4467,0)),IFERROR(INDEX('CEMIUP0.9 Raw'!$B$6:$B$1712,MATCH($J167,'CEMIUP0.9 Raw'!$B$6:$B$1712,0)),$J167))</f>
        <v>395W-43-46</v>
      </c>
      <c r="C167" s="18" t="str">
        <f aca="false">IF(ISNUMBER($J167),IFERROR(INDEX('TRANS'!$C:$C,MATCH($J167,'TRANS'!$B:$B,0)),IFERROR(INDEX('Catalog'!$B:$B,MATCH($J167,'Catalog'!$A:$A,0)),$B167)),$B167)</f>
        <v>395W-43-46</v>
      </c>
      <c r="D167" s="19" t="n">
        <f aca="false">SUMIFS('SALES Raw'!$C$6:$C$4467,'SALES Raw'!$J$6:$J$4467,$J167,'SALES Raw'!$K$6:$K$4467,"Y")+SUMIFS('CEMIUP0.9 Raw'!$D$6:$D$1712,'CEMIUP0.9 Raw'!$B$6:$B$1712,$J167,'CEMIUP0.9 Raw'!$H$6:$H$1712,"Y")</f>
        <v>0</v>
      </c>
      <c r="E167" s="19" t="n">
        <f aca="false">SUMIFS('SALES Raw'!$D$6:$D$4467,'SALES Raw'!$J$6:$J$4467,$J167,'SALES Raw'!$K$6:$K$4467,"Y")+SUMIFS('CEMIUP0.9 Raw'!$E$6:$E$1712,'CEMIUP0.9 Raw'!$B$6:$B$1712,$J167,'CEMIUP0.9 Raw'!$H$6:$H$1712,"Y")</f>
        <v>0</v>
      </c>
      <c r="F167" s="19" t="n">
        <f aca="false">SUMIFS('SALES Raw'!$E$6:$E$4467,'SALES Raw'!$J$6:$J$4467,$J167,'SALES Raw'!$K$6:$K$4467,"Y")*$H$4+SUMIFS('CEMIUP0.9 Raw'!$F$6:$F$1712,'CEMIUP0.9 Raw'!$B$6:$B$1712,$J167,'CEMIUP0.9 Raw'!$H$6:$H$1712,"Y")</f>
        <v>168</v>
      </c>
      <c r="G167" s="19" t="n">
        <f aca="false">SUMIFS('SALES Raw'!$F$6:$F$4467,'SALES Raw'!$J$6:$J$4467,$J167,'SALES Raw'!$K$6:$K$4467,"Y")*$H$4+SUMIFS('CEMIUP0.9 Raw'!$G$6:$G$1712,'CEMIUP0.9 Raw'!$B$6:$B$1712,$J167,'CEMIUP0.9 Raw'!$H$6:$H$1712,"Y")</f>
        <v>7706.67789473684</v>
      </c>
      <c r="H167" s="18" t="s">
        <v>42</v>
      </c>
      <c r="I167" s="18" t="s">
        <v>44</v>
      </c>
      <c r="J167" s="18" t="s">
        <v>58</v>
      </c>
    </row>
    <row r="168" customFormat="false" ht="15" hidden="false" customHeight="false" outlineLevel="0" collapsed="false">
      <c r="A168" s="18" t="n">
        <f aca="false">IF(ISNUMBER($J168),$J168,"")</f>
        <v>4413440</v>
      </c>
      <c r="B168" s="18" t="str">
        <f aca="false">IFERROR(INDEX('SALES Raw'!$B$6:$B$4467,MATCH($J168,'SALES Raw'!$J$6:$J$4467,0)),IFERROR(INDEX('CEMIUP0.9 Raw'!$B$6:$B$1712,MATCH($J168,'CEMIUP0.9 Raw'!$B$6:$B$1712,0)),$J168))</f>
        <v>SC422 L</v>
      </c>
      <c r="C168" s="18" t="str">
        <f aca="false">IF(ISNUMBER($J168),IFERROR(INDEX('TRANS'!$C:$C,MATCH($J168,'TRANS'!$B:$B,0)),IFERROR(INDEX('Catalog'!$B:$B,MATCH($J168,'Catalog'!$A:$A,0)),$B168)),$B168)</f>
        <v>SC422  L מגן ברך</v>
      </c>
      <c r="D168" s="19" t="n">
        <f aca="false">SUMIFS('SALES Raw'!$C$6:$C$4467,'SALES Raw'!$J$6:$J$4467,$J168,'SALES Raw'!$K$6:$K$4467,"Y")+SUMIFS('CEMIUP0.9 Raw'!$D$6:$D$1712,'CEMIUP0.9 Raw'!$B$6:$B$1712,$J168,'CEMIUP0.9 Raw'!$H$6:$H$1712,"Y")</f>
        <v>144</v>
      </c>
      <c r="E168" s="19" t="n">
        <f aca="false">SUMIFS('SALES Raw'!$D$6:$D$4467,'SALES Raw'!$J$6:$J$4467,$J168,'SALES Raw'!$K$6:$K$4467,"Y")+SUMIFS('CEMIUP0.9 Raw'!$E$6:$E$1712,'CEMIUP0.9 Raw'!$B$6:$B$1712,$J168,'CEMIUP0.9 Raw'!$H$6:$H$1712,"Y")</f>
        <v>27820.785</v>
      </c>
      <c r="F168" s="19" t="n">
        <f aca="false">SUMIFS('SALES Raw'!$E$6:$E$4467,'SALES Raw'!$J$6:$J$4467,$J168,'SALES Raw'!$K$6:$K$4467,"Y")*$H$4+SUMIFS('CEMIUP0.9 Raw'!$F$6:$F$1712,'CEMIUP0.9 Raw'!$B$6:$B$1712,$J168,'CEMIUP0.9 Raw'!$H$6:$H$1712,"Y")</f>
        <v>168</v>
      </c>
      <c r="G168" s="19" t="n">
        <f aca="false">SUMIFS('SALES Raw'!$F$6:$F$4467,'SALES Raw'!$J$6:$J$4467,$J168,'SALES Raw'!$K$6:$K$4467,"Y")*$H$4+SUMIFS('CEMIUP0.9 Raw'!$G$6:$G$1712,'CEMIUP0.9 Raw'!$B$6:$B$1712,$J168,'CEMIUP0.9 Raw'!$H$6:$H$1712,"Y")</f>
        <v>33002.5945263158</v>
      </c>
      <c r="H168" s="18" t="s">
        <v>42</v>
      </c>
      <c r="I168" s="18" t="s">
        <v>43</v>
      </c>
      <c r="J168" s="18" t="n">
        <v>4413440</v>
      </c>
    </row>
    <row r="169" customFormat="false" ht="15" hidden="false" customHeight="false" outlineLevel="0" collapsed="false">
      <c r="A169" s="18" t="n">
        <f aca="false">IF(ISNUMBER($J169),$J169,"")</f>
        <v>4413439</v>
      </c>
      <c r="B169" s="18" t="str">
        <f aca="false">IFERROR(INDEX('SALES Raw'!$B$6:$B$4467,MATCH($J169,'SALES Raw'!$J$6:$J$4467,0)),IFERROR(INDEX('CEMIUP0.9 Raw'!$B$6:$B$1712,MATCH($J169,'CEMIUP0.9 Raw'!$B$6:$B$1712,0)),$J169))</f>
        <v>SC422 M</v>
      </c>
      <c r="C169" s="18" t="str">
        <f aca="false">IF(ISNUMBER($J169),IFERROR(INDEX('TRANS'!$C:$C,MATCH($J169,'TRANS'!$B:$B,0)),IFERROR(INDEX('Catalog'!$B:$B,MATCH($J169,'Catalog'!$A:$A,0)),$B169)),$B169)</f>
        <v>SC422  M מגן ברך</v>
      </c>
      <c r="D169" s="19" t="n">
        <f aca="false">SUMIFS('SALES Raw'!$C$6:$C$4467,'SALES Raw'!$J$6:$J$4467,$J169,'SALES Raw'!$K$6:$K$4467,"Y")+SUMIFS('CEMIUP0.9 Raw'!$D$6:$D$1712,'CEMIUP0.9 Raw'!$B$6:$B$1712,$J169,'CEMIUP0.9 Raw'!$H$6:$H$1712,"Y")</f>
        <v>148</v>
      </c>
      <c r="E169" s="19" t="n">
        <f aca="false">SUMIFS('SALES Raw'!$D$6:$D$4467,'SALES Raw'!$J$6:$J$4467,$J169,'SALES Raw'!$K$6:$K$4467,"Y")+SUMIFS('CEMIUP0.9 Raw'!$E$6:$E$1712,'CEMIUP0.9 Raw'!$B$6:$B$1712,$J169,'CEMIUP0.9 Raw'!$H$6:$H$1712,"Y")</f>
        <v>28636.851</v>
      </c>
      <c r="F169" s="19" t="n">
        <f aca="false">SUMIFS('SALES Raw'!$E$6:$E$4467,'SALES Raw'!$J$6:$J$4467,$J169,'SALES Raw'!$K$6:$K$4467,"Y")*$H$4+SUMIFS('CEMIUP0.9 Raw'!$F$6:$F$1712,'CEMIUP0.9 Raw'!$B$6:$B$1712,$J169,'CEMIUP0.9 Raw'!$H$6:$H$1712,"Y")</f>
        <v>168</v>
      </c>
      <c r="G169" s="19" t="n">
        <f aca="false">SUMIFS('SALES Raw'!$F$6:$F$4467,'SALES Raw'!$J$6:$J$4467,$J169,'SALES Raw'!$K$6:$K$4467,"Y")*$H$4+SUMIFS('CEMIUP0.9 Raw'!$G$6:$G$1712,'CEMIUP0.9 Raw'!$B$6:$B$1712,$J169,'CEMIUP0.9 Raw'!$H$6:$H$1712,"Y")</f>
        <v>32477.2749473684</v>
      </c>
      <c r="H169" s="18" t="s">
        <v>42</v>
      </c>
      <c r="I169" s="18" t="s">
        <v>43</v>
      </c>
      <c r="J169" s="18" t="n">
        <v>4413439</v>
      </c>
    </row>
    <row r="170" customFormat="false" ht="15" hidden="false" customHeight="false" outlineLevel="0" collapsed="false">
      <c r="A170" s="18" t="n">
        <f aca="false">IF(ISNUMBER($J170),$J170,"")</f>
        <v>4420001</v>
      </c>
      <c r="B170" s="18" t="str">
        <f aca="false">IFERROR(INDEX('SALES Raw'!$B$6:$B$4467,MATCH($J170,'SALES Raw'!$J$6:$J$4467,0)),IFERROR(INDEX('CEMIUP0.9 Raw'!$B$6:$B$1712,MATCH($J170,'CEMIUP0.9 Raw'!$B$6:$B$1712,0)),$J170))</f>
        <v>371 0</v>
      </c>
      <c r="C170" s="18" t="str">
        <f aca="false">IF(ISNUMBER($J170),IFERROR(INDEX('TRANS'!$C:$C,MATCH($J170,'TRANS'!$B:$B,0)),IFERROR(INDEX('Catalog'!$B:$B,MATCH($J170,'Catalog'!$A:$A,0)),$B170)),$B170)</f>
        <v>371 רפידת מגבת כותנה-זוג</v>
      </c>
      <c r="D170" s="19" t="n">
        <f aca="false">SUMIFS('SALES Raw'!$C$6:$C$4467,'SALES Raw'!$J$6:$J$4467,$J170,'SALES Raw'!$K$6:$K$4467,"Y")+SUMIFS('CEMIUP0.9 Raw'!$D$6:$D$1712,'CEMIUP0.9 Raw'!$B$6:$B$1712,$J170,'CEMIUP0.9 Raw'!$H$6:$H$1712,"Y")</f>
        <v>213</v>
      </c>
      <c r="E170" s="19" t="n">
        <f aca="false">SUMIFS('SALES Raw'!$D$6:$D$4467,'SALES Raw'!$J$6:$J$4467,$J170,'SALES Raw'!$K$6:$K$4467,"Y")+SUMIFS('CEMIUP0.9 Raw'!$E$6:$E$1712,'CEMIUP0.9 Raw'!$B$6:$B$1712,$J170,'CEMIUP0.9 Raw'!$H$6:$H$1712,"Y")</f>
        <v>2535.031</v>
      </c>
      <c r="F170" s="19" t="n">
        <f aca="false">SUMIFS('SALES Raw'!$E$6:$E$4467,'SALES Raw'!$J$6:$J$4467,$J170,'SALES Raw'!$K$6:$K$4467,"Y")*$H$4+SUMIFS('CEMIUP0.9 Raw'!$F$6:$F$1712,'CEMIUP0.9 Raw'!$B$6:$B$1712,$J170,'CEMIUP0.9 Raw'!$H$6:$H$1712,"Y")</f>
        <v>165.473684210527</v>
      </c>
      <c r="G170" s="19" t="n">
        <f aca="false">SUMIFS('SALES Raw'!$F$6:$F$4467,'SALES Raw'!$J$6:$J$4467,$J170,'SALES Raw'!$K$6:$K$4467,"Y")*$H$4+SUMIFS('CEMIUP0.9 Raw'!$G$6:$G$1712,'CEMIUP0.9 Raw'!$B$6:$B$1712,$J170,'CEMIUP0.9 Raw'!$H$6:$H$1712,"Y")</f>
        <v>1813.21642105263</v>
      </c>
      <c r="H170" s="18" t="s">
        <v>43</v>
      </c>
      <c r="I170" s="18" t="s">
        <v>42</v>
      </c>
      <c r="J170" s="18" t="n">
        <v>4420001</v>
      </c>
    </row>
    <row r="171" customFormat="false" ht="15" hidden="false" customHeight="false" outlineLevel="0" collapsed="false">
      <c r="A171" s="18" t="n">
        <f aca="false">IF(ISNUMBER($J171),$J171,"")</f>
        <v>4415029</v>
      </c>
      <c r="B171" s="18" t="str">
        <f aca="false">IFERROR(INDEX('SALES Raw'!$B$6:$B$4467,MATCH($J171,'SALES Raw'!$J$6:$J$4467,0)),IFERROR(INDEX('CEMIUP0.9 Raw'!$B$6:$B$1712,MATCH($J171,'CEMIUP0.9 Raw'!$B$6:$B$1712,0)),$J171))</f>
        <v>237 0</v>
      </c>
      <c r="C171" s="18" t="str">
        <f aca="false">IF(ISNUMBER($J171),IFERROR(INDEX('TRANS'!$C:$C,MATCH($J171,'TRANS'!$B:$B,0)),IFERROR(INDEX('Catalog'!$B:$B,MATCH($J171,'Catalog'!$A:$A,0)),$B171)),$B171)</f>
        <v>סד קיבוע לאצבע הדק</v>
      </c>
      <c r="D171" s="19" t="n">
        <f aca="false">SUMIFS('SALES Raw'!$C$6:$C$4467,'SALES Raw'!$J$6:$J$4467,$J171,'SALES Raw'!$K$6:$K$4467,"Y")+SUMIFS('CEMIUP0.9 Raw'!$D$6:$D$1712,'CEMIUP0.9 Raw'!$B$6:$B$1712,$J171,'CEMIUP0.9 Raw'!$H$6:$H$1712,"Y")</f>
        <v>127</v>
      </c>
      <c r="E171" s="19" t="n">
        <f aca="false">SUMIFS('SALES Raw'!$D$6:$D$4467,'SALES Raw'!$J$6:$J$4467,$J171,'SALES Raw'!$K$6:$K$4467,"Y")+SUMIFS('CEMIUP0.9 Raw'!$E$6:$E$1712,'CEMIUP0.9 Raw'!$B$6:$B$1712,$J171,'CEMIUP0.9 Raw'!$H$6:$H$1712,"Y")</f>
        <v>4508.409</v>
      </c>
      <c r="F171" s="19" t="n">
        <f aca="false">SUMIFS('SALES Raw'!$E$6:$E$4467,'SALES Raw'!$J$6:$J$4467,$J171,'SALES Raw'!$K$6:$K$4467,"Y")*$H$4+SUMIFS('CEMIUP0.9 Raw'!$F$6:$F$1712,'CEMIUP0.9 Raw'!$B$6:$B$1712,$J171,'CEMIUP0.9 Raw'!$H$6:$H$1712,"Y")</f>
        <v>165.473684210526</v>
      </c>
      <c r="G171" s="19" t="n">
        <f aca="false">SUMIFS('SALES Raw'!$F$6:$F$4467,'SALES Raw'!$J$6:$J$4467,$J171,'SALES Raw'!$K$6:$K$4467,"Y")*$H$4+SUMIFS('CEMIUP0.9 Raw'!$G$6:$G$1712,'CEMIUP0.9 Raw'!$B$6:$B$1712,$J171,'CEMIUP0.9 Raw'!$H$6:$H$1712,"Y")</f>
        <v>6033.78694736842</v>
      </c>
      <c r="H171" s="18" t="s">
        <v>43</v>
      </c>
      <c r="I171" s="18" t="s">
        <v>42</v>
      </c>
      <c r="J171" s="18" t="n">
        <v>4415029</v>
      </c>
    </row>
    <row r="172" customFormat="false" ht="15" hidden="false" customHeight="false" outlineLevel="0" collapsed="false">
      <c r="A172" s="18" t="n">
        <f aca="false">IF(ISNUMBER($J172),$J172,"")</f>
        <v>4413396</v>
      </c>
      <c r="B172" s="18" t="str">
        <f aca="false">IFERROR(INDEX('SALES Raw'!$B$6:$B$4467,MATCH($J172,'SALES Raw'!$J$6:$J$4467,0)),IFERROR(INDEX('CEMIUP0.9 Raw'!$B$6:$B$1712,MATCH($J172,'CEMIUP0.9 Raw'!$B$6:$B$1712,0)),$J172))</f>
        <v>45EC L</v>
      </c>
      <c r="C172" s="18" t="str">
        <f aca="false">IF(ISNUMBER($J172),IFERROR(INDEX('TRANS'!$C:$C,MATCH($J172,'TRANS'!$B:$B,0)),IFERROR(INDEX('Catalog'!$B:$B,MATCH($J172,'Catalog'!$A:$A,0)),$B172)),$B172)</f>
        <v>45EC L 'מגן ברך ארוך בז</v>
      </c>
      <c r="D172" s="19" t="n">
        <f aca="false">SUMIFS('SALES Raw'!$C$6:$C$4467,'SALES Raw'!$J$6:$J$4467,$J172,'SALES Raw'!$K$6:$K$4467,"Y")+SUMIFS('CEMIUP0.9 Raw'!$D$6:$D$1712,'CEMIUP0.9 Raw'!$B$6:$B$1712,$J172,'CEMIUP0.9 Raw'!$H$6:$H$1712,"Y")</f>
        <v>115</v>
      </c>
      <c r="E172" s="19" t="n">
        <f aca="false">SUMIFS('SALES Raw'!$D$6:$D$4467,'SALES Raw'!$J$6:$J$4467,$J172,'SALES Raw'!$K$6:$K$4467,"Y")+SUMIFS('CEMIUP0.9 Raw'!$E$6:$E$1712,'CEMIUP0.9 Raw'!$B$6:$B$1712,$J172,'CEMIUP0.9 Raw'!$H$6:$H$1712,"Y")</f>
        <v>3858.582</v>
      </c>
      <c r="F172" s="19" t="n">
        <f aca="false">SUMIFS('SALES Raw'!$E$6:$E$4467,'SALES Raw'!$J$6:$J$4467,$J172,'SALES Raw'!$K$6:$K$4467,"Y")*$H$4+SUMIFS('CEMIUP0.9 Raw'!$F$6:$F$1712,'CEMIUP0.9 Raw'!$B$6:$B$1712,$J172,'CEMIUP0.9 Raw'!$H$6:$H$1712,"Y")</f>
        <v>165.473684210526</v>
      </c>
      <c r="G172" s="19" t="n">
        <f aca="false">SUMIFS('SALES Raw'!$F$6:$F$4467,'SALES Raw'!$J$6:$J$4467,$J172,'SALES Raw'!$K$6:$K$4467,"Y")*$H$4+SUMIFS('CEMIUP0.9 Raw'!$G$6:$G$1712,'CEMIUP0.9 Raw'!$B$6:$B$1712,$J172,'CEMIUP0.9 Raw'!$H$6:$H$1712,"Y")</f>
        <v>5826.68715789473</v>
      </c>
      <c r="H172" s="18" t="s">
        <v>43</v>
      </c>
      <c r="I172" s="18" t="s">
        <v>42</v>
      </c>
      <c r="J172" s="18" t="n">
        <v>4413396</v>
      </c>
    </row>
    <row r="173" customFormat="false" ht="15" hidden="false" customHeight="false" outlineLevel="0" collapsed="false">
      <c r="A173" s="18" t="n">
        <f aca="false">IF(ISNUMBER($J173),$J173,"")</f>
        <v>4402011</v>
      </c>
      <c r="B173" s="18" t="str">
        <f aca="false">IFERROR(INDEX('SALES Raw'!$B$6:$B$4467,MATCH($J173,'SALES Raw'!$J$6:$J$4467,0)),IFERROR(INDEX('CEMIUP0.9 Raw'!$B$6:$B$1712,MATCH($J173,'CEMIUP0.9 Raw'!$B$6:$B$1712,0)),$J173))</f>
        <v>ST422 0</v>
      </c>
      <c r="C173" s="18" t="str">
        <f aca="false">IF(ISNUMBER($J173),IFERROR(INDEX('TRANS'!$C:$C,MATCH($J173,'TRANS'!$B:$B,0)),IFERROR(INDEX('Catalog'!$B:$B,MATCH($J173,'Catalog'!$A:$A,0)),$B173)),$B173)</f>
        <v>S-XLST422 מגן ברך+כרית ג'ל</v>
      </c>
      <c r="D173" s="19" t="n">
        <f aca="false">SUMIFS('SALES Raw'!$C$6:$C$4467,'SALES Raw'!$J$6:$J$4467,$J173,'SALES Raw'!$K$6:$K$4467,"Y")+SUMIFS('CEMIUP0.9 Raw'!$D$6:$D$1712,'CEMIUP0.9 Raw'!$B$6:$B$1712,$J173,'CEMIUP0.9 Raw'!$H$6:$H$1712,"Y")</f>
        <v>173</v>
      </c>
      <c r="E173" s="19" t="n">
        <f aca="false">SUMIFS('SALES Raw'!$D$6:$D$4467,'SALES Raw'!$J$6:$J$4467,$J173,'SALES Raw'!$K$6:$K$4467,"Y")+SUMIFS('CEMIUP0.9 Raw'!$E$6:$E$1712,'CEMIUP0.9 Raw'!$B$6:$B$1712,$J173,'CEMIUP0.9 Raw'!$H$6:$H$1712,"Y")</f>
        <v>11693.22</v>
      </c>
      <c r="F173" s="19" t="n">
        <f aca="false">SUMIFS('SALES Raw'!$E$6:$E$4467,'SALES Raw'!$J$6:$J$4467,$J173,'SALES Raw'!$K$6:$K$4467,"Y")*$H$4+SUMIFS('CEMIUP0.9 Raw'!$F$6:$F$1712,'CEMIUP0.9 Raw'!$B$6:$B$1712,$J173,'CEMIUP0.9 Raw'!$H$6:$H$1712,"Y")</f>
        <v>164.210526315789</v>
      </c>
      <c r="G173" s="19" t="n">
        <f aca="false">SUMIFS('SALES Raw'!$F$6:$F$4467,'SALES Raw'!$J$6:$J$4467,$J173,'SALES Raw'!$K$6:$K$4467,"Y")*$H$4+SUMIFS('CEMIUP0.9 Raw'!$G$6:$G$1712,'CEMIUP0.9 Raw'!$B$6:$B$1712,$J173,'CEMIUP0.9 Raw'!$H$6:$H$1712,"Y")</f>
        <v>11503.7633684211</v>
      </c>
      <c r="H173" s="18" t="s">
        <v>48</v>
      </c>
      <c r="I173" s="18" t="s">
        <v>42</v>
      </c>
      <c r="J173" s="18" t="n">
        <v>4402011</v>
      </c>
    </row>
    <row r="174" customFormat="false" ht="15" hidden="false" customHeight="false" outlineLevel="0" collapsed="false">
      <c r="A174" s="18" t="n">
        <f aca="false">IF(ISNUMBER($J174),$J174,"")</f>
        <v>4413042</v>
      </c>
      <c r="B174" s="18" t="str">
        <f aca="false">IFERROR(INDEX('SALES Raw'!$B$6:$B$4467,MATCH($J174,'SALES Raw'!$J$6:$J$4467,0)),IFERROR(INDEX('CEMIUP0.9 Raw'!$B$6:$B$1712,MATCH($J174,'CEMIUP0.9 Raw'!$B$6:$B$1712,0)),$J174))</f>
        <v>34 S</v>
      </c>
      <c r="C174" s="18" t="str">
        <f aca="false">IF(ISNUMBER($J174),IFERROR(INDEX('TRANS'!$C:$C,MATCH($J174,'TRANS'!$B:$B,0)),IFERROR(INDEX('Catalog'!$B:$B,MATCH($J174,'Catalog'!$A:$A,0)),$B174)),$B174)</f>
        <v>34  S מגן קרסול עקב סגור</v>
      </c>
      <c r="D174" s="19" t="n">
        <f aca="false">SUMIFS('SALES Raw'!$C$6:$C$4467,'SALES Raw'!$J$6:$J$4467,$J174,'SALES Raw'!$K$6:$K$4467,"Y")+SUMIFS('CEMIUP0.9 Raw'!$D$6:$D$1712,'CEMIUP0.9 Raw'!$B$6:$B$1712,$J174,'CEMIUP0.9 Raw'!$H$6:$H$1712,"Y")</f>
        <v>215</v>
      </c>
      <c r="E174" s="19" t="n">
        <f aca="false">SUMIFS('SALES Raw'!$D$6:$D$4467,'SALES Raw'!$J$6:$J$4467,$J174,'SALES Raw'!$K$6:$K$4467,"Y")+SUMIFS('CEMIUP0.9 Raw'!$E$6:$E$1712,'CEMIUP0.9 Raw'!$B$6:$B$1712,$J174,'CEMIUP0.9 Raw'!$H$6:$H$1712,"Y")</f>
        <v>7503.232</v>
      </c>
      <c r="F174" s="19" t="n">
        <f aca="false">SUMIFS('SALES Raw'!$E$6:$E$4467,'SALES Raw'!$J$6:$J$4467,$J174,'SALES Raw'!$K$6:$K$4467,"Y")*$H$4+SUMIFS('CEMIUP0.9 Raw'!$F$6:$F$1712,'CEMIUP0.9 Raw'!$B$6:$B$1712,$J174,'CEMIUP0.9 Raw'!$H$6:$H$1712,"Y")</f>
        <v>162.947368421053</v>
      </c>
      <c r="G174" s="19" t="n">
        <f aca="false">SUMIFS('SALES Raw'!$F$6:$F$4467,'SALES Raw'!$J$6:$J$4467,$J174,'SALES Raw'!$K$6:$K$4467,"Y")*$H$4+SUMIFS('CEMIUP0.9 Raw'!$G$6:$G$1712,'CEMIUP0.9 Raw'!$B$6:$B$1712,$J174,'CEMIUP0.9 Raw'!$H$6:$H$1712,"Y")</f>
        <v>5454.072</v>
      </c>
      <c r="H174" s="18" t="s">
        <v>48</v>
      </c>
      <c r="I174" s="18" t="s">
        <v>43</v>
      </c>
      <c r="J174" s="18" t="n">
        <v>4413042</v>
      </c>
    </row>
    <row r="175" customFormat="false" ht="15" hidden="false" customHeight="false" outlineLevel="0" collapsed="false">
      <c r="A175" s="18" t="n">
        <f aca="false">IF(ISNUMBER($J175),$J175,"")</f>
        <v>4415298</v>
      </c>
      <c r="B175" s="18" t="str">
        <f aca="false">IFERROR(INDEX('SALES Raw'!$B$6:$B$4467,MATCH($J175,'SALES Raw'!$J$6:$J$4467,0)),IFERROR(INDEX('CEMIUP0.9 Raw'!$B$6:$B$1712,MATCH($J175,'CEMIUP0.9 Raw'!$B$6:$B$1712,0)),$J175))</f>
        <v>388BL 0</v>
      </c>
      <c r="C175" s="18" t="str">
        <f aca="false">IF(ISNUMBER($J175),IFERROR(INDEX('TRANS'!$C:$C,MATCH($J175,'TRANS'!$B:$B,0)),IFERROR(INDEX('Catalog'!$B:$B,MATCH($J175,'Catalog'!$A:$A,0)),$B175)),$B175)</f>
        <v>388B L סד לילה שחור לבוהן שמאל</v>
      </c>
      <c r="D175" s="19" t="n">
        <f aca="false">SUMIFS('SALES Raw'!$C$6:$C$4467,'SALES Raw'!$J$6:$J$4467,$J175,'SALES Raw'!$K$6:$K$4467,"Y")+SUMIFS('CEMIUP0.9 Raw'!$D$6:$D$1712,'CEMIUP0.9 Raw'!$B$6:$B$1712,$J175,'CEMIUP0.9 Raw'!$H$6:$H$1712,"Y")</f>
        <v>185</v>
      </c>
      <c r="E175" s="19" t="n">
        <f aca="false">SUMIFS('SALES Raw'!$D$6:$D$4467,'SALES Raw'!$J$6:$J$4467,$J175,'SALES Raw'!$K$6:$K$4467,"Y")+SUMIFS('CEMIUP0.9 Raw'!$E$6:$E$1712,'CEMIUP0.9 Raw'!$B$6:$B$1712,$J175,'CEMIUP0.9 Raw'!$H$6:$H$1712,"Y")</f>
        <v>12385.868</v>
      </c>
      <c r="F175" s="19" t="n">
        <f aca="false">SUMIFS('SALES Raw'!$E$6:$E$4467,'SALES Raw'!$J$6:$J$4467,$J175,'SALES Raw'!$K$6:$K$4467,"Y")*$H$4+SUMIFS('CEMIUP0.9 Raw'!$F$6:$F$1712,'CEMIUP0.9 Raw'!$B$6:$B$1712,$J175,'CEMIUP0.9 Raw'!$H$6:$H$1712,"Y")</f>
        <v>159.157894736842</v>
      </c>
      <c r="G175" s="19" t="n">
        <f aca="false">SUMIFS('SALES Raw'!$F$6:$F$4467,'SALES Raw'!$J$6:$J$4467,$J175,'SALES Raw'!$K$6:$K$4467,"Y")*$H$4+SUMIFS('CEMIUP0.9 Raw'!$G$6:$G$1712,'CEMIUP0.9 Raw'!$B$6:$B$1712,$J175,'CEMIUP0.9 Raw'!$H$6:$H$1712,"Y")</f>
        <v>11084.1157894737</v>
      </c>
      <c r="H175" s="18" t="s">
        <v>44</v>
      </c>
      <c r="I175" s="18" t="s">
        <v>42</v>
      </c>
      <c r="J175" s="18" t="n">
        <v>4415298</v>
      </c>
    </row>
    <row r="176" customFormat="false" ht="15" hidden="false" customHeight="false" outlineLevel="0" collapsed="false">
      <c r="A176" s="18" t="n">
        <f aca="false">IF(ISNUMBER($J176),$J176,"")</f>
        <v>4420022</v>
      </c>
      <c r="B176" s="18" t="str">
        <f aca="false">IFERROR(INDEX('SALES Raw'!$B$6:$B$4467,MATCH($J176,'SALES Raw'!$J$6:$J$4467,0)),IFERROR(INDEX('CEMIUP0.9 Raw'!$B$6:$B$1712,MATCH($J176,'CEMIUP0.9 Raw'!$B$6:$B$1712,0)),$J176))</f>
        <v>LF370 0</v>
      </c>
      <c r="C176" s="18" t="str">
        <f aca="false">IF(ISNUMBER($J176),IFERROR(INDEX('TRANS'!$C:$C,MATCH($J176,'TRANS'!$B:$B,0)),IFERROR(INDEX('Catalog'!$B:$B,MATCH($J176,'Catalog'!$A:$A,0)),$B176)),$B176)</f>
        <v>LF370 ריפוד סיליקון לעקב אחורי</v>
      </c>
      <c r="D176" s="19" t="n">
        <f aca="false">SUMIFS('SALES Raw'!$C$6:$C$4467,'SALES Raw'!$J$6:$J$4467,$J176,'SALES Raw'!$K$6:$K$4467,"Y")+SUMIFS('CEMIUP0.9 Raw'!$D$6:$D$1712,'CEMIUP0.9 Raw'!$B$6:$B$1712,$J176,'CEMIUP0.9 Raw'!$H$6:$H$1712,"Y")</f>
        <v>184</v>
      </c>
      <c r="E176" s="19" t="n">
        <f aca="false">SUMIFS('SALES Raw'!$D$6:$D$4467,'SALES Raw'!$J$6:$J$4467,$J176,'SALES Raw'!$K$6:$K$4467,"Y")+SUMIFS('CEMIUP0.9 Raw'!$E$6:$E$1712,'CEMIUP0.9 Raw'!$B$6:$B$1712,$J176,'CEMIUP0.9 Raw'!$H$6:$H$1712,"Y")</f>
        <v>3582.318</v>
      </c>
      <c r="F176" s="19" t="n">
        <f aca="false">SUMIFS('SALES Raw'!$E$6:$E$4467,'SALES Raw'!$J$6:$J$4467,$J176,'SALES Raw'!$K$6:$K$4467,"Y")*$H$4+SUMIFS('CEMIUP0.9 Raw'!$F$6:$F$1712,'CEMIUP0.9 Raw'!$B$6:$B$1712,$J176,'CEMIUP0.9 Raw'!$H$6:$H$1712,"Y")</f>
        <v>159.157894736842</v>
      </c>
      <c r="G176" s="19" t="n">
        <f aca="false">SUMIFS('SALES Raw'!$F$6:$F$4467,'SALES Raw'!$J$6:$J$4467,$J176,'SALES Raw'!$K$6:$K$4467,"Y")*$H$4+SUMIFS('CEMIUP0.9 Raw'!$G$6:$G$1712,'CEMIUP0.9 Raw'!$B$6:$B$1712,$J176,'CEMIUP0.9 Raw'!$H$6:$H$1712,"Y")</f>
        <v>3185.90021052632</v>
      </c>
      <c r="H176" s="18" t="s">
        <v>43</v>
      </c>
      <c r="I176" s="18" t="s">
        <v>48</v>
      </c>
      <c r="J176" s="18" t="n">
        <v>4420022</v>
      </c>
    </row>
    <row r="177" customFormat="false" ht="15" hidden="false" customHeight="false" outlineLevel="0" collapsed="false">
      <c r="A177" s="18" t="n">
        <f aca="false">IF(ISNUMBER($J177),$J177,"")</f>
        <v>4413105</v>
      </c>
      <c r="B177" s="18" t="str">
        <f aca="false">IFERROR(INDEX('SALES Raw'!$B$6:$B$4467,MATCH($J177,'SALES Raw'!$J$6:$J$4467,0)),IFERROR(INDEX('CEMIUP0.9 Raw'!$B$6:$B$1712,MATCH($J177,'CEMIUP0.9 Raw'!$B$6:$B$1712,0)),$J177))</f>
        <v>45E XXL</v>
      </c>
      <c r="C177" s="18" t="str">
        <f aca="false">IF(ISNUMBER($J177),IFERROR(INDEX('TRANS'!$C:$C,MATCH($J177,'TRANS'!$B:$B,0)),IFERROR(INDEX('Catalog'!$B:$B,MATCH($J177,'Catalog'!$A:$A,0)),$B177)),$B177)</f>
        <v>45E XXLמגן ברך ארוך לבן</v>
      </c>
      <c r="D177" s="19" t="n">
        <f aca="false">SUMIFS('SALES Raw'!$C$6:$C$4467,'SALES Raw'!$J$6:$J$4467,$J177,'SALES Raw'!$K$6:$K$4467,"Y")+SUMIFS('CEMIUP0.9 Raw'!$D$6:$D$1712,'CEMIUP0.9 Raw'!$B$6:$B$1712,$J177,'CEMIUP0.9 Raw'!$H$6:$H$1712,"Y")</f>
        <v>204</v>
      </c>
      <c r="E177" s="19" t="n">
        <f aca="false">SUMIFS('SALES Raw'!$D$6:$D$4467,'SALES Raw'!$J$6:$J$4467,$J177,'SALES Raw'!$K$6:$K$4467,"Y")+SUMIFS('CEMIUP0.9 Raw'!$E$6:$E$1712,'CEMIUP0.9 Raw'!$B$6:$B$1712,$J177,'CEMIUP0.9 Raw'!$H$6:$H$1712,"Y")</f>
        <v>5419.481</v>
      </c>
      <c r="F177" s="19" t="n">
        <f aca="false">SUMIFS('SALES Raw'!$E$6:$E$4467,'SALES Raw'!$J$6:$J$4467,$J177,'SALES Raw'!$K$6:$K$4467,"Y")*$H$4+SUMIFS('CEMIUP0.9 Raw'!$F$6:$F$1712,'CEMIUP0.9 Raw'!$B$6:$B$1712,$J177,'CEMIUP0.9 Raw'!$H$6:$H$1712,"Y")</f>
        <v>159.157894736842</v>
      </c>
      <c r="G177" s="19" t="n">
        <f aca="false">SUMIFS('SALES Raw'!$F$6:$F$4467,'SALES Raw'!$J$6:$J$4467,$J177,'SALES Raw'!$K$6:$K$4467,"Y")*$H$4+SUMIFS('CEMIUP0.9 Raw'!$G$6:$G$1712,'CEMIUP0.9 Raw'!$B$6:$B$1712,$J177,'CEMIUP0.9 Raw'!$H$6:$H$1712,"Y")</f>
        <v>4392.24252631579</v>
      </c>
      <c r="H177" s="18" t="s">
        <v>48</v>
      </c>
      <c r="I177" s="18" t="s">
        <v>43</v>
      </c>
      <c r="J177" s="18" t="n">
        <v>4413105</v>
      </c>
    </row>
    <row r="178" customFormat="false" ht="15" hidden="false" customHeight="false" outlineLevel="0" collapsed="false">
      <c r="A178" s="18" t="n">
        <f aca="false">IF(ISNUMBER($J178),$J178,"")</f>
        <v>4420016</v>
      </c>
      <c r="B178" s="18" t="str">
        <f aca="false">IFERROR(INDEX('SALES Raw'!$B$6:$B$4467,MATCH($J178,'SALES Raw'!$J$6:$J$4467,0)),IFERROR(INDEX('CEMIUP0.9 Raw'!$B$6:$B$1712,MATCH($J178,'CEMIUP0.9 Raw'!$B$6:$B$1712,0)),$J178))</f>
        <v>40 0</v>
      </c>
      <c r="C178" s="18" t="str">
        <f aca="false">IF(ISNUMBER($J178),IFERROR(INDEX('TRANS'!$C:$C,MATCH($J178,'TRANS'!$B:$B,0)),IFERROR(INDEX('Catalog'!$B:$B,MATCH($J178,'Catalog'!$A:$A,0)),$B178)),$B178)</f>
        <v>40-רצועת פיקה לברך</v>
      </c>
      <c r="D178" s="19" t="n">
        <f aca="false">SUMIFS('SALES Raw'!$C$6:$C$4467,'SALES Raw'!$J$6:$J$4467,$J178,'SALES Raw'!$K$6:$K$4467,"Y")+SUMIFS('CEMIUP0.9 Raw'!$D$6:$D$1712,'CEMIUP0.9 Raw'!$B$6:$B$1712,$J178,'CEMIUP0.9 Raw'!$H$6:$H$1712,"Y")</f>
        <v>147</v>
      </c>
      <c r="E178" s="19" t="n">
        <f aca="false">SUMIFS('SALES Raw'!$D$6:$D$4467,'SALES Raw'!$J$6:$J$4467,$J178,'SALES Raw'!$K$6:$K$4467,"Y")+SUMIFS('CEMIUP0.9 Raw'!$E$6:$E$1712,'CEMIUP0.9 Raw'!$B$6:$B$1712,$J178,'CEMIUP0.9 Raw'!$H$6:$H$1712,"Y")</f>
        <v>7317.163</v>
      </c>
      <c r="F178" s="19" t="n">
        <f aca="false">SUMIFS('SALES Raw'!$E$6:$E$4467,'SALES Raw'!$J$6:$J$4467,$J178,'SALES Raw'!$K$6:$K$4467,"Y")*$H$4+SUMIFS('CEMIUP0.9 Raw'!$F$6:$F$1712,'CEMIUP0.9 Raw'!$B$6:$B$1712,$J178,'CEMIUP0.9 Raw'!$H$6:$H$1712,"Y")</f>
        <v>159.157894736842</v>
      </c>
      <c r="G178" s="19" t="n">
        <f aca="false">SUMIFS('SALES Raw'!$F$6:$F$4467,'SALES Raw'!$J$6:$J$4467,$J178,'SALES Raw'!$K$6:$K$4467,"Y")*$H$4+SUMIFS('CEMIUP0.9 Raw'!$G$6:$G$1712,'CEMIUP0.9 Raw'!$B$6:$B$1712,$J178,'CEMIUP0.9 Raw'!$H$6:$H$1712,"Y")</f>
        <v>8965.47284210526</v>
      </c>
      <c r="H178" s="18" t="s">
        <v>43</v>
      </c>
      <c r="I178" s="18" t="s">
        <v>42</v>
      </c>
      <c r="J178" s="18" t="n">
        <v>4420016</v>
      </c>
    </row>
    <row r="179" customFormat="false" ht="15" hidden="false" customHeight="false" outlineLevel="0" collapsed="false">
      <c r="A179" s="18" t="n">
        <f aca="false">IF(ISNUMBER($J179),$J179,"")</f>
        <v>4411023</v>
      </c>
      <c r="B179" s="18" t="str">
        <f aca="false">IFERROR(INDEX('SALES Raw'!$B$6:$B$4467,MATCH($J179,'SALES Raw'!$J$6:$J$4467,0)),IFERROR(INDEX('CEMIUP0.9 Raw'!$B$6:$B$1712,MATCH($J179,'CEMIUP0.9 Raw'!$B$6:$B$1712,0)),$J179))</f>
        <v>212 S</v>
      </c>
      <c r="C179" s="18" t="str">
        <f aca="false">IF(ISNUMBER($J179),IFERROR(INDEX('TRANS'!$C:$C,MATCH($J179,'TRANS'!$B:$B,0)),IFERROR(INDEX('Catalog'!$B:$B,MATCH($J179,'Catalog'!$A:$A,0)),$B179)),$B179)</f>
        <v>212S כפפות אגודל לחץ</v>
      </c>
      <c r="D179" s="19" t="n">
        <f aca="false">SUMIFS('SALES Raw'!$C$6:$C$4467,'SALES Raw'!$J$6:$J$4467,$J179,'SALES Raw'!$K$6:$K$4467,"Y")+SUMIFS('CEMIUP0.9 Raw'!$D$6:$D$1712,'CEMIUP0.9 Raw'!$B$6:$B$1712,$J179,'CEMIUP0.9 Raw'!$H$6:$H$1712,"Y")</f>
        <v>115</v>
      </c>
      <c r="E179" s="19" t="n">
        <f aca="false">SUMIFS('SALES Raw'!$D$6:$D$4467,'SALES Raw'!$J$6:$J$4467,$J179,'SALES Raw'!$K$6:$K$4467,"Y")+SUMIFS('CEMIUP0.9 Raw'!$E$6:$E$1712,'CEMIUP0.9 Raw'!$B$6:$B$1712,$J179,'CEMIUP0.9 Raw'!$H$6:$H$1712,"Y")</f>
        <v>5777.066</v>
      </c>
      <c r="F179" s="19" t="n">
        <f aca="false">SUMIFS('SALES Raw'!$E$6:$E$4467,'SALES Raw'!$J$6:$J$4467,$J179,'SALES Raw'!$K$6:$K$4467,"Y")*$H$4+SUMIFS('CEMIUP0.9 Raw'!$F$6:$F$1712,'CEMIUP0.9 Raw'!$B$6:$B$1712,$J179,'CEMIUP0.9 Raw'!$H$6:$H$1712,"Y")</f>
        <v>157.894736842105</v>
      </c>
      <c r="G179" s="19" t="n">
        <f aca="false">SUMIFS('SALES Raw'!$F$6:$F$4467,'SALES Raw'!$J$6:$J$4467,$J179,'SALES Raw'!$K$6:$K$4467,"Y")*$H$4+SUMIFS('CEMIUP0.9 Raw'!$G$6:$G$1712,'CEMIUP0.9 Raw'!$B$6:$B$1712,$J179,'CEMIUP0.9 Raw'!$H$6:$H$1712,"Y")</f>
        <v>9129.08210526316</v>
      </c>
      <c r="H179" s="18" t="s">
        <v>42</v>
      </c>
      <c r="I179" s="18" t="s">
        <v>43</v>
      </c>
      <c r="J179" s="18" t="n">
        <v>4411023</v>
      </c>
    </row>
    <row r="180" customFormat="false" ht="15" hidden="false" customHeight="false" outlineLevel="0" collapsed="false">
      <c r="A180" s="18" t="n">
        <f aca="false">IF(ISNUMBER($J180),$J180,"")</f>
        <v>4413097</v>
      </c>
      <c r="B180" s="18" t="str">
        <f aca="false">IFERROR(INDEX('SALES Raw'!$B$6:$B$4467,MATCH($J180,'SALES Raw'!$J$6:$J$4467,0)),IFERROR(INDEX('CEMIUP0.9 Raw'!$B$6:$B$1712,MATCH($J180,'CEMIUP0.9 Raw'!$B$6:$B$1712,0)),$J180))</f>
        <v>45C S</v>
      </c>
      <c r="C180" s="18" t="str">
        <f aca="false">IF(ISNUMBER($J180),IFERROR(INDEX('TRANS'!$C:$C,MATCH($J180,'TRANS'!$B:$B,0)),IFERROR(INDEX('Catalog'!$B:$B,MATCH($J180,'Catalog'!$A:$A,0)),$B180)),$B180)</f>
        <v>45C S מגן ברך חום</v>
      </c>
      <c r="D180" s="19" t="n">
        <f aca="false">SUMIFS('SALES Raw'!$C$6:$C$4467,'SALES Raw'!$J$6:$J$4467,$J180,'SALES Raw'!$K$6:$K$4467,"Y")+SUMIFS('CEMIUP0.9 Raw'!$D$6:$D$1712,'CEMIUP0.9 Raw'!$B$6:$B$1712,$J180,'CEMIUP0.9 Raw'!$H$6:$H$1712,"Y")</f>
        <v>179</v>
      </c>
      <c r="E180" s="19" t="n">
        <f aca="false">SUMIFS('SALES Raw'!$D$6:$D$4467,'SALES Raw'!$J$6:$J$4467,$J180,'SALES Raw'!$K$6:$K$4467,"Y")+SUMIFS('CEMIUP0.9 Raw'!$E$6:$E$1712,'CEMIUP0.9 Raw'!$B$6:$B$1712,$J180,'CEMIUP0.9 Raw'!$H$6:$H$1712,"Y")</f>
        <v>4989.812</v>
      </c>
      <c r="F180" s="19" t="n">
        <f aca="false">SUMIFS('SALES Raw'!$E$6:$E$4467,'SALES Raw'!$J$6:$J$4467,$J180,'SALES Raw'!$K$6:$K$4467,"Y")*$H$4+SUMIFS('CEMIUP0.9 Raw'!$F$6:$F$1712,'CEMIUP0.9 Raw'!$B$6:$B$1712,$J180,'CEMIUP0.9 Raw'!$H$6:$H$1712,"Y")</f>
        <v>155.368421052631</v>
      </c>
      <c r="G180" s="19" t="n">
        <f aca="false">SUMIFS('SALES Raw'!$F$6:$F$4467,'SALES Raw'!$J$6:$J$4467,$J180,'SALES Raw'!$K$6:$K$4467,"Y")*$H$4+SUMIFS('CEMIUP0.9 Raw'!$G$6:$G$1712,'CEMIUP0.9 Raw'!$B$6:$B$1712,$J180,'CEMIUP0.9 Raw'!$H$6:$H$1712,"Y")</f>
        <v>4440.28547368421</v>
      </c>
      <c r="H180" s="18" t="s">
        <v>43</v>
      </c>
      <c r="I180" s="18" t="s">
        <v>44</v>
      </c>
      <c r="J180" s="18" t="n">
        <v>4413097</v>
      </c>
    </row>
    <row r="181" customFormat="false" ht="15" hidden="false" customHeight="false" outlineLevel="0" collapsed="false">
      <c r="A181" s="18" t="n">
        <f aca="false">IF(ISNUMBER($J181),$J181,"")</f>
        <v>4418000</v>
      </c>
      <c r="B181" s="18" t="str">
        <f aca="false">IFERROR(INDEX('SALES Raw'!$B$6:$B$4467,MATCH($J181,'SALES Raw'!$J$6:$J$4467,0)),IFERROR(INDEX('CEMIUP0.9 Raw'!$B$6:$B$1712,MATCH($J181,'CEMIUP0.9 Raw'!$B$6:$B$1712,0)),$J181))</f>
        <v>60 L</v>
      </c>
      <c r="C181" s="18" t="str">
        <f aca="false">IF(ISNUMBER($J181),IFERROR(INDEX('TRANS'!$C:$C,MATCH($J181,'TRANS'!$B:$B,0)),IFERROR(INDEX('Catalog'!$B:$B,MATCH($J181,'Catalog'!$A:$A,0)),$B181)),$B181)</f>
        <v>60 L צוארון ספוגי</v>
      </c>
      <c r="D181" s="19" t="n">
        <f aca="false">SUMIFS('SALES Raw'!$C$6:$C$4467,'SALES Raw'!$J$6:$J$4467,$J181,'SALES Raw'!$K$6:$K$4467,"Y")+SUMIFS('CEMIUP0.9 Raw'!$D$6:$D$1712,'CEMIUP0.9 Raw'!$B$6:$B$1712,$J181,'CEMIUP0.9 Raw'!$H$6:$H$1712,"Y")</f>
        <v>249</v>
      </c>
      <c r="E181" s="19" t="n">
        <f aca="false">SUMIFS('SALES Raw'!$D$6:$D$4467,'SALES Raw'!$J$6:$J$4467,$J181,'SALES Raw'!$K$6:$K$4467,"Y")+SUMIFS('CEMIUP0.9 Raw'!$E$6:$E$1712,'CEMIUP0.9 Raw'!$B$6:$B$1712,$J181,'CEMIUP0.9 Raw'!$H$6:$H$1712,"Y")</f>
        <v>11520.926</v>
      </c>
      <c r="F181" s="19" t="n">
        <f aca="false">SUMIFS('SALES Raw'!$E$6:$E$4467,'SALES Raw'!$J$6:$J$4467,$J181,'SALES Raw'!$K$6:$K$4467,"Y")*$H$4+SUMIFS('CEMIUP0.9 Raw'!$F$6:$F$1712,'CEMIUP0.9 Raw'!$B$6:$B$1712,$J181,'CEMIUP0.9 Raw'!$H$6:$H$1712,"Y")</f>
        <v>154.105263157895</v>
      </c>
      <c r="G181" s="19" t="n">
        <f aca="false">SUMIFS('SALES Raw'!$F$6:$F$4467,'SALES Raw'!$J$6:$J$4467,$J181,'SALES Raw'!$K$6:$K$4467,"Y")*$H$4+SUMIFS('CEMIUP0.9 Raw'!$G$6:$G$1712,'CEMIUP0.9 Raw'!$B$6:$B$1712,$J181,'CEMIUP0.9 Raw'!$H$6:$H$1712,"Y")</f>
        <v>7558.224</v>
      </c>
      <c r="H181" s="18" t="s">
        <v>43</v>
      </c>
      <c r="I181" s="18" t="s">
        <v>44</v>
      </c>
      <c r="J181" s="18" t="n">
        <v>4418000</v>
      </c>
    </row>
    <row r="182" customFormat="false" ht="15" hidden="false" customHeight="false" outlineLevel="0" collapsed="false">
      <c r="A182" s="18" t="n">
        <f aca="false">IF(ISNUMBER($J182),$J182,"")</f>
        <v>4422040</v>
      </c>
      <c r="B182" s="18" t="str">
        <f aca="false">IFERROR(INDEX('SALES Raw'!$B$6:$B$4467,MATCH($J182,'SALES Raw'!$J$6:$J$4467,0)),IFERROR(INDEX('CEMIUP0.9 Raw'!$B$6:$B$1712,MATCH($J182,'CEMIUP0.9 Raw'!$B$6:$B$1712,0)),$J182))</f>
        <v>SH422 4</v>
      </c>
      <c r="C182" s="18" t="str">
        <f aca="false">IF(ISNUMBER($J182),IFERROR(INDEX('TRANS'!$C:$C,MATCH($J182,'TRANS'!$B:$B,0)),IFERROR(INDEX('Catalog'!$B:$B,MATCH($J182,'Catalog'!$A:$A,0)),$B182)),$B182)</f>
        <v>SH422 4 תומך ברך גנושילד</v>
      </c>
      <c r="D182" s="19" t="n">
        <f aca="false">SUMIFS('SALES Raw'!$C$6:$C$4467,'SALES Raw'!$J$6:$J$4467,$J182,'SALES Raw'!$K$6:$K$4467,"Y")+SUMIFS('CEMIUP0.9 Raw'!$D$6:$D$1712,'CEMIUP0.9 Raw'!$B$6:$B$1712,$J182,'CEMIUP0.9 Raw'!$H$6:$H$1712,"Y")</f>
        <v>69</v>
      </c>
      <c r="E182" s="19" t="n">
        <f aca="false">SUMIFS('SALES Raw'!$D$6:$D$4467,'SALES Raw'!$J$6:$J$4467,$J182,'SALES Raw'!$K$6:$K$4467,"Y")+SUMIFS('CEMIUP0.9 Raw'!$E$6:$E$1712,'CEMIUP0.9 Raw'!$B$6:$B$1712,$J182,'CEMIUP0.9 Raw'!$H$6:$H$1712,"Y")</f>
        <v>10584.535</v>
      </c>
      <c r="F182" s="19" t="n">
        <f aca="false">SUMIFS('SALES Raw'!$E$6:$E$4467,'SALES Raw'!$J$6:$J$4467,$J182,'SALES Raw'!$K$6:$K$4467,"Y")*$H$4+SUMIFS('CEMIUP0.9 Raw'!$F$6:$F$1712,'CEMIUP0.9 Raw'!$B$6:$B$1712,$J182,'CEMIUP0.9 Raw'!$H$6:$H$1712,"Y")</f>
        <v>154.105263157895</v>
      </c>
      <c r="G182" s="19" t="n">
        <f aca="false">SUMIFS('SALES Raw'!$F$6:$F$4467,'SALES Raw'!$J$6:$J$4467,$J182,'SALES Raw'!$K$6:$K$4467,"Y")*$H$4+SUMIFS('CEMIUP0.9 Raw'!$G$6:$G$1712,'CEMIUP0.9 Raw'!$B$6:$B$1712,$J182,'CEMIUP0.9 Raw'!$H$6:$H$1712,"Y")</f>
        <v>25116.8968421053</v>
      </c>
      <c r="H182" s="18" t="s">
        <v>44</v>
      </c>
      <c r="I182" s="18" t="s">
        <v>43</v>
      </c>
      <c r="J182" s="18" t="n">
        <v>4422040</v>
      </c>
    </row>
    <row r="183" customFormat="false" ht="15" hidden="false" customHeight="false" outlineLevel="0" collapsed="false">
      <c r="A183" s="18" t="n">
        <f aca="false">IF(ISNUMBER($J183),$J183,"")</f>
        <v>4411015</v>
      </c>
      <c r="B183" s="18" t="str">
        <f aca="false">IFERROR(INDEX('SALES Raw'!$B$6:$B$4467,MATCH($J183,'SALES Raw'!$J$6:$J$4467,0)),IFERROR(INDEX('CEMIUP0.9 Raw'!$B$6:$B$1712,MATCH($J183,'CEMIUP0.9 Raw'!$B$6:$B$1712,0)),$J183))</f>
        <v>820 0</v>
      </c>
      <c r="C183" s="18" t="str">
        <f aca="false">IF(ISNUMBER($J183),IFERROR(INDEX('TRANS'!$C:$C,MATCH($J183,'TRANS'!$B:$B,0)),IFERROR(INDEX('Catalog'!$B:$B,MATCH($J183,'Catalog'!$A:$A,0)),$B183)),$B183)</f>
        <v>820 0 כרית חום וקור</v>
      </c>
      <c r="D183" s="19" t="n">
        <f aca="false">SUMIFS('SALES Raw'!$C$6:$C$4467,'SALES Raw'!$J$6:$J$4467,$J183,'SALES Raw'!$K$6:$K$4467,"Y")+SUMIFS('CEMIUP0.9 Raw'!$D$6:$D$1712,'CEMIUP0.9 Raw'!$B$6:$B$1712,$J183,'CEMIUP0.9 Raw'!$H$6:$H$1712,"Y")</f>
        <v>162</v>
      </c>
      <c r="E183" s="19" t="n">
        <f aca="false">SUMIFS('SALES Raw'!$D$6:$D$4467,'SALES Raw'!$J$6:$J$4467,$J183,'SALES Raw'!$K$6:$K$4467,"Y")+SUMIFS('CEMIUP0.9 Raw'!$E$6:$E$1712,'CEMIUP0.9 Raw'!$B$6:$B$1712,$J183,'CEMIUP0.9 Raw'!$H$6:$H$1712,"Y")</f>
        <v>6866.082</v>
      </c>
      <c r="F183" s="19" t="n">
        <f aca="false">SUMIFS('SALES Raw'!$E$6:$E$4467,'SALES Raw'!$J$6:$J$4467,$J183,'SALES Raw'!$K$6:$K$4467,"Y")*$H$4+SUMIFS('CEMIUP0.9 Raw'!$F$6:$F$1712,'CEMIUP0.9 Raw'!$B$6:$B$1712,$J183,'CEMIUP0.9 Raw'!$H$6:$H$1712,"Y")</f>
        <v>154.105263157895</v>
      </c>
      <c r="G183" s="19" t="n">
        <f aca="false">SUMIFS('SALES Raw'!$F$6:$F$4467,'SALES Raw'!$J$6:$J$4467,$J183,'SALES Raw'!$K$6:$K$4467,"Y")*$H$4+SUMIFS('CEMIUP0.9 Raw'!$G$6:$G$1712,'CEMIUP0.9 Raw'!$B$6:$B$1712,$J183,'CEMIUP0.9 Raw'!$H$6:$H$1712,"Y")</f>
        <v>7920.73389473685</v>
      </c>
      <c r="H183" s="18" t="s">
        <v>48</v>
      </c>
      <c r="I183" s="18" t="s">
        <v>42</v>
      </c>
      <c r="J183" s="18" t="n">
        <v>4411015</v>
      </c>
    </row>
    <row r="184" customFormat="false" ht="15" hidden="false" customHeight="false" outlineLevel="0" collapsed="false">
      <c r="A184" s="18" t="n">
        <f aca="false">IF(ISNUMBER($J184),$J184,"")</f>
        <v>4411022</v>
      </c>
      <c r="B184" s="18" t="str">
        <f aca="false">IFERROR(INDEX('SALES Raw'!$B$6:$B$4467,MATCH($J184,'SALES Raw'!$J$6:$J$4467,0)),IFERROR(INDEX('CEMIUP0.9 Raw'!$B$6:$B$1712,MATCH($J184,'CEMIUP0.9 Raw'!$B$6:$B$1712,0)),$J184))</f>
        <v>212 M</v>
      </c>
      <c r="C184" s="18" t="str">
        <f aca="false">IF(ISNUMBER($J184),IFERROR(INDEX('TRANS'!$C:$C,MATCH($J184,'TRANS'!$B:$B,0)),IFERROR(INDEX('Catalog'!$B:$B,MATCH($J184,'Catalog'!$A:$A,0)),$B184)),$B184)</f>
        <v>212M כפפות אגודל לחץ</v>
      </c>
      <c r="D184" s="19" t="n">
        <f aca="false">SUMIFS('SALES Raw'!$C$6:$C$4467,'SALES Raw'!$J$6:$J$4467,$J184,'SALES Raw'!$K$6:$K$4467,"Y")+SUMIFS('CEMIUP0.9 Raw'!$D$6:$D$1712,'CEMIUP0.9 Raw'!$B$6:$B$1712,$J184,'CEMIUP0.9 Raw'!$H$6:$H$1712,"Y")</f>
        <v>145</v>
      </c>
      <c r="E184" s="19" t="n">
        <f aca="false">SUMIFS('SALES Raw'!$D$6:$D$4467,'SALES Raw'!$J$6:$J$4467,$J184,'SALES Raw'!$K$6:$K$4467,"Y")+SUMIFS('CEMIUP0.9 Raw'!$E$6:$E$1712,'CEMIUP0.9 Raw'!$B$6:$B$1712,$J184,'CEMIUP0.9 Raw'!$H$6:$H$1712,"Y")</f>
        <v>7001.509</v>
      </c>
      <c r="F184" s="19" t="n">
        <f aca="false">SUMIFS('SALES Raw'!$E$6:$E$4467,'SALES Raw'!$J$6:$J$4467,$J184,'SALES Raw'!$K$6:$K$4467,"Y")*$H$4+SUMIFS('CEMIUP0.9 Raw'!$F$6:$F$1712,'CEMIUP0.9 Raw'!$B$6:$B$1712,$J184,'CEMIUP0.9 Raw'!$H$6:$H$1712,"Y")</f>
        <v>152.842105263158</v>
      </c>
      <c r="G184" s="19" t="n">
        <f aca="false">SUMIFS('SALES Raw'!$F$6:$F$4467,'SALES Raw'!$J$6:$J$4467,$J184,'SALES Raw'!$K$6:$K$4467,"Y")*$H$4+SUMIFS('CEMIUP0.9 Raw'!$G$6:$G$1712,'CEMIUP0.9 Raw'!$B$6:$B$1712,$J184,'CEMIUP0.9 Raw'!$H$6:$H$1712,"Y")</f>
        <v>8759.17642105263</v>
      </c>
      <c r="H184" s="18" t="s">
        <v>42</v>
      </c>
      <c r="I184" s="18" t="s">
        <v>43</v>
      </c>
      <c r="J184" s="18" t="n">
        <v>4411022</v>
      </c>
    </row>
    <row r="185" customFormat="false" ht="15" hidden="false" customHeight="false" outlineLevel="0" collapsed="false">
      <c r="A185" s="18" t="n">
        <f aca="false">IF(ISNUMBER($J185),$J185,"")</f>
        <v>4408047</v>
      </c>
      <c r="B185" s="18" t="str">
        <f aca="false">IFERROR(INDEX('SALES Raw'!$B$6:$B$4467,MATCH($J185,'SALES Raw'!$J$6:$J$4467,0)),IFERROR(INDEX('CEMIUP0.9 Raw'!$B$6:$B$1712,MATCH($J185,'CEMIUP0.9 Raw'!$B$6:$B$1712,0)),$J185))</f>
        <v>20 M</v>
      </c>
      <c r="C185" s="18" t="str">
        <f aca="false">IF(ISNUMBER($J185),IFERROR(INDEX('TRANS'!$C:$C,MATCH($J185,'TRANS'!$B:$B,0)),IFERROR(INDEX('Catalog'!$B:$B,MATCH($J185,'Catalog'!$A:$A,0)),$B185)),$B185)</f>
        <v>20 M חבק יד מתכוון עם צמדן</v>
      </c>
      <c r="D185" s="19" t="n">
        <f aca="false">SUMIFS('SALES Raw'!$C$6:$C$4467,'SALES Raw'!$J$6:$J$4467,$J185,'SALES Raw'!$K$6:$K$4467,"Y")+SUMIFS('CEMIUP0.9 Raw'!$D$6:$D$1712,'CEMIUP0.9 Raw'!$B$6:$B$1712,$J185,'CEMIUP0.9 Raw'!$H$6:$H$1712,"Y")</f>
        <v>220</v>
      </c>
      <c r="E185" s="19" t="n">
        <f aca="false">SUMIFS('SALES Raw'!$D$6:$D$4467,'SALES Raw'!$J$6:$J$4467,$J185,'SALES Raw'!$K$6:$K$4467,"Y")+SUMIFS('CEMIUP0.9 Raw'!$E$6:$E$1712,'CEMIUP0.9 Raw'!$B$6:$B$1712,$J185,'CEMIUP0.9 Raw'!$H$6:$H$1712,"Y")</f>
        <v>6668.96</v>
      </c>
      <c r="F185" s="19" t="n">
        <f aca="false">SUMIFS('SALES Raw'!$E$6:$E$4467,'SALES Raw'!$J$6:$J$4467,$J185,'SALES Raw'!$K$6:$K$4467,"Y")*$H$4+SUMIFS('CEMIUP0.9 Raw'!$F$6:$F$1712,'CEMIUP0.9 Raw'!$B$6:$B$1712,$J185,'CEMIUP0.9 Raw'!$H$6:$H$1712,"Y")</f>
        <v>151.578947368421</v>
      </c>
      <c r="G185" s="19" t="n">
        <f aca="false">SUMIFS('SALES Raw'!$F$6:$F$4467,'SALES Raw'!$J$6:$J$4467,$J185,'SALES Raw'!$K$6:$K$4467,"Y")*$H$4+SUMIFS('CEMIUP0.9 Raw'!$G$6:$G$1712,'CEMIUP0.9 Raw'!$B$6:$B$1712,$J185,'CEMIUP0.9 Raw'!$H$6:$H$1712,"Y")</f>
        <v>4595.33431578947</v>
      </c>
      <c r="H185" s="18" t="s">
        <v>43</v>
      </c>
      <c r="I185" s="18" t="s">
        <v>44</v>
      </c>
      <c r="J185" s="18" t="n">
        <v>4408047</v>
      </c>
    </row>
    <row r="186" customFormat="false" ht="15" hidden="false" customHeight="false" outlineLevel="0" collapsed="false">
      <c r="A186" s="18" t="str">
        <f aca="false">IF(ISNUMBER($J186),$J186,"")</f>
        <v/>
      </c>
      <c r="B186" s="18" t="str">
        <f aca="false">IFERROR(INDEX('SALES Raw'!$B$6:$B$4467,MATCH($J186,'SALES Raw'!$J$6:$J$4467,0)),IFERROR(INDEX('CEMIUP0.9 Raw'!$B$6:$B$1712,MATCH($J186,'CEMIUP0.9 Raw'!$B$6:$B$1712,0)),$J186))</f>
        <v>363 L/R</v>
      </c>
      <c r="C186" s="18" t="str">
        <f aca="false">IF(ISNUMBER($J186),IFERROR(INDEX('TRANS'!$C:$C,MATCH($J186,'TRANS'!$B:$B,0)),IFERROR(INDEX('Catalog'!$B:$B,MATCH($J186,'Catalog'!$A:$A,0)),$B186)),$B186)</f>
        <v>363 L/R</v>
      </c>
      <c r="D186" s="19" t="n">
        <f aca="false">SUMIFS('SALES Raw'!$C$6:$C$4467,'SALES Raw'!$J$6:$J$4467,$J186,'SALES Raw'!$K$6:$K$4467,"Y")+SUMIFS('CEMIUP0.9 Raw'!$D$6:$D$1712,'CEMIUP0.9 Raw'!$B$6:$B$1712,$J186,'CEMIUP0.9 Raw'!$H$6:$H$1712,"Y")</f>
        <v>70</v>
      </c>
      <c r="E186" s="19" t="n">
        <f aca="false">SUMIFS('SALES Raw'!$D$6:$D$4467,'SALES Raw'!$J$6:$J$4467,$J186,'SALES Raw'!$K$6:$K$4467,"Y")+SUMIFS('CEMIUP0.9 Raw'!$E$6:$E$1712,'CEMIUP0.9 Raw'!$B$6:$B$1712,$J186,'CEMIUP0.9 Raw'!$H$6:$H$1712,"Y")</f>
        <v>2496.68</v>
      </c>
      <c r="F186" s="19" t="n">
        <f aca="false">SUMIFS('SALES Raw'!$E$6:$E$4467,'SALES Raw'!$J$6:$J$4467,$J186,'SALES Raw'!$K$6:$K$4467,"Y")*$H$4+SUMIFS('CEMIUP0.9 Raw'!$F$6:$F$1712,'CEMIUP0.9 Raw'!$B$6:$B$1712,$J186,'CEMIUP0.9 Raw'!$H$6:$H$1712,"Y")</f>
        <v>149.052631578947</v>
      </c>
      <c r="G186" s="19" t="n">
        <f aca="false">SUMIFS('SALES Raw'!$F$6:$F$4467,'SALES Raw'!$J$6:$J$4467,$J186,'SALES Raw'!$K$6:$K$4467,"Y")*$H$4+SUMIFS('CEMIUP0.9 Raw'!$G$6:$G$1712,'CEMIUP0.9 Raw'!$B$6:$B$1712,$J186,'CEMIUP0.9 Raw'!$H$6:$H$1712,"Y")</f>
        <v>5143.90736842105</v>
      </c>
      <c r="H186" s="18" t="s">
        <v>44</v>
      </c>
      <c r="I186" s="18" t="s">
        <v>42</v>
      </c>
      <c r="J186" s="18" t="s">
        <v>59</v>
      </c>
    </row>
    <row r="187" customFormat="false" ht="15" hidden="false" customHeight="false" outlineLevel="0" collapsed="false">
      <c r="A187" s="18" t="n">
        <f aca="false">IF(ISNUMBER($J187),$J187,"")</f>
        <v>4409011</v>
      </c>
      <c r="B187" s="18" t="str">
        <f aca="false">IFERROR(INDEX('SALES Raw'!$B$6:$B$4467,MATCH($J187,'SALES Raw'!$J$6:$J$4467,0)),IFERROR(INDEX('CEMIUP0.9 Raw'!$B$6:$B$1712,MATCH($J187,'CEMIUP0.9 Raw'!$B$6:$B$1712,0)),$J187))</f>
        <v>804AT-B</v>
      </c>
      <c r="C187" s="18" t="str">
        <f aca="false">IF(ISNUMBER($J187),IFERROR(INDEX('TRANS'!$C:$C,MATCH($J187,'TRANS'!$B:$B,0)),IFERROR(INDEX('Catalog'!$B:$B,MATCH($J187,'Catalog'!$A:$A,0)),$B187)),$B187)</f>
        <v>804AT-B      טייפ חבישה לספורט</v>
      </c>
      <c r="D187" s="19" t="n">
        <f aca="false">SUMIFS('SALES Raw'!$C$6:$C$4467,'SALES Raw'!$J$6:$J$4467,$J187,'SALES Raw'!$K$6:$K$4467,"Y")+SUMIFS('CEMIUP0.9 Raw'!$D$6:$D$1712,'CEMIUP0.9 Raw'!$B$6:$B$1712,$J187,'CEMIUP0.9 Raw'!$H$6:$H$1712,"Y")</f>
        <v>65</v>
      </c>
      <c r="E187" s="19" t="n">
        <f aca="false">SUMIFS('SALES Raw'!$D$6:$D$4467,'SALES Raw'!$J$6:$J$4467,$J187,'SALES Raw'!$K$6:$K$4467,"Y")+SUMIFS('CEMIUP0.9 Raw'!$E$6:$E$1712,'CEMIUP0.9 Raw'!$B$6:$B$1712,$J187,'CEMIUP0.9 Raw'!$H$6:$H$1712,"Y")</f>
        <v>1439.322</v>
      </c>
      <c r="F187" s="19" t="n">
        <f aca="false">SUMIFS('SALES Raw'!$E$6:$E$4467,'SALES Raw'!$J$6:$J$4467,$J187,'SALES Raw'!$K$6:$K$4467,"Y")*$H$4+SUMIFS('CEMIUP0.9 Raw'!$F$6:$F$1712,'CEMIUP0.9 Raw'!$B$6:$B$1712,$J187,'CEMIUP0.9 Raw'!$H$6:$H$1712,"Y")</f>
        <v>147.789473684211</v>
      </c>
      <c r="G187" s="19" t="n">
        <f aca="false">SUMIFS('SALES Raw'!$F$6:$F$4467,'SALES Raw'!$J$6:$J$4467,$J187,'SALES Raw'!$K$6:$K$4467,"Y")*$H$4+SUMIFS('CEMIUP0.9 Raw'!$G$6:$G$1712,'CEMIUP0.9 Raw'!$B$6:$B$1712,$J187,'CEMIUP0.9 Raw'!$H$6:$H$1712,"Y")</f>
        <v>2928.65936842105</v>
      </c>
      <c r="H187" s="18" t="s">
        <v>43</v>
      </c>
      <c r="I187" s="18" t="s">
        <v>42</v>
      </c>
      <c r="J187" s="18" t="n">
        <v>4409011</v>
      </c>
    </row>
    <row r="188" customFormat="false" ht="15" hidden="false" customHeight="false" outlineLevel="0" collapsed="false">
      <c r="A188" s="18" t="n">
        <f aca="false">IF(ISNUMBER($J188),$J188,"")</f>
        <v>4413395</v>
      </c>
      <c r="B188" s="18" t="str">
        <f aca="false">IFERROR(INDEX('SALES Raw'!$B$6:$B$4467,MATCH($J188,'SALES Raw'!$J$6:$J$4467,0)),IFERROR(INDEX('CEMIUP0.9 Raw'!$B$6:$B$1712,MATCH($J188,'CEMIUP0.9 Raw'!$B$6:$B$1712,0)),$J188))</f>
        <v>45EC M</v>
      </c>
      <c r="C188" s="18" t="str">
        <f aca="false">IF(ISNUMBER($J188),IFERROR(INDEX('TRANS'!$C:$C,MATCH($J188,'TRANS'!$B:$B,0)),IFERROR(INDEX('Catalog'!$B:$B,MATCH($J188,'Catalog'!$A:$A,0)),$B188)),$B188)</f>
        <v>45EC M 'מגן ברך ארוך בז</v>
      </c>
      <c r="D188" s="19" t="n">
        <f aca="false">SUMIFS('SALES Raw'!$C$6:$C$4467,'SALES Raw'!$J$6:$J$4467,$J188,'SALES Raw'!$K$6:$K$4467,"Y")+SUMIFS('CEMIUP0.9 Raw'!$D$6:$D$1712,'CEMIUP0.9 Raw'!$B$6:$B$1712,$J188,'CEMIUP0.9 Raw'!$H$6:$H$1712,"Y")</f>
        <v>112</v>
      </c>
      <c r="E188" s="19" t="n">
        <f aca="false">SUMIFS('SALES Raw'!$D$6:$D$4467,'SALES Raw'!$J$6:$J$4467,$J188,'SALES Raw'!$K$6:$K$4467,"Y")+SUMIFS('CEMIUP0.9 Raw'!$E$6:$E$1712,'CEMIUP0.9 Raw'!$B$6:$B$1712,$J188,'CEMIUP0.9 Raw'!$H$6:$H$1712,"Y")</f>
        <v>3994.089</v>
      </c>
      <c r="F188" s="19" t="n">
        <f aca="false">SUMIFS('SALES Raw'!$E$6:$E$4467,'SALES Raw'!$J$6:$J$4467,$J188,'SALES Raw'!$K$6:$K$4467,"Y")*$H$4+SUMIFS('CEMIUP0.9 Raw'!$F$6:$F$1712,'CEMIUP0.9 Raw'!$B$6:$B$1712,$J188,'CEMIUP0.9 Raw'!$H$6:$H$1712,"Y")</f>
        <v>147.78947368421</v>
      </c>
      <c r="G188" s="19" t="n">
        <f aca="false">SUMIFS('SALES Raw'!$F$6:$F$4467,'SALES Raw'!$J$6:$J$4467,$J188,'SALES Raw'!$K$6:$K$4467,"Y")*$H$4+SUMIFS('CEMIUP0.9 Raw'!$G$6:$G$1712,'CEMIUP0.9 Raw'!$B$6:$B$1712,$J188,'CEMIUP0.9 Raw'!$H$6:$H$1712,"Y")</f>
        <v>5452.17978947369</v>
      </c>
      <c r="H188" s="18" t="s">
        <v>43</v>
      </c>
      <c r="I188" s="18" t="s">
        <v>42</v>
      </c>
      <c r="J188" s="18" t="n">
        <v>4413395</v>
      </c>
    </row>
    <row r="189" customFormat="false" ht="15" hidden="false" customHeight="false" outlineLevel="0" collapsed="false">
      <c r="A189" s="18" t="n">
        <f aca="false">IF(ISNUMBER($J189),$J189,"")</f>
        <v>4413491</v>
      </c>
      <c r="B189" s="18" t="str">
        <f aca="false">IFERROR(INDEX('SALES Raw'!$B$6:$B$4467,MATCH($J189,'SALES Raw'!$J$6:$J$4467,0)),IFERROR(INDEX('CEMIUP0.9 Raw'!$B$6:$B$1712,MATCH($J189,'CEMIUP0.9 Raw'!$B$6:$B$1712,0)),$J189))</f>
        <v>35B XL</v>
      </c>
      <c r="C189" s="18" t="str">
        <f aca="false">IF(ISNUMBER($J189),IFERROR(INDEX('TRANS'!$C:$C,MATCH($J189,'TRANS'!$B:$B,0)),IFERROR(INDEX('Catalog'!$B:$B,MATCH($J189,'Catalog'!$A:$A,0)),$B189)),$B189)</f>
        <v>35B XL מגן קרסול שחור</v>
      </c>
      <c r="D189" s="19" t="n">
        <f aca="false">SUMIFS('SALES Raw'!$C$6:$C$4467,'SALES Raw'!$J$6:$J$4467,$J189,'SALES Raw'!$K$6:$K$4467,"Y")+SUMIFS('CEMIUP0.9 Raw'!$D$6:$D$1712,'CEMIUP0.9 Raw'!$B$6:$B$1712,$J189,'CEMIUP0.9 Raw'!$H$6:$H$1712,"Y")</f>
        <v>214</v>
      </c>
      <c r="E189" s="19" t="n">
        <f aca="false">SUMIFS('SALES Raw'!$D$6:$D$4467,'SALES Raw'!$J$6:$J$4467,$J189,'SALES Raw'!$K$6:$K$4467,"Y")+SUMIFS('CEMIUP0.9 Raw'!$E$6:$E$1712,'CEMIUP0.9 Raw'!$B$6:$B$1712,$J189,'CEMIUP0.9 Raw'!$H$6:$H$1712,"Y")</f>
        <v>6043.151</v>
      </c>
      <c r="F189" s="19" t="n">
        <f aca="false">SUMIFS('SALES Raw'!$E$6:$E$4467,'SALES Raw'!$J$6:$J$4467,$J189,'SALES Raw'!$K$6:$K$4467,"Y")*$H$4+SUMIFS('CEMIUP0.9 Raw'!$F$6:$F$1712,'CEMIUP0.9 Raw'!$B$6:$B$1712,$J189,'CEMIUP0.9 Raw'!$H$6:$H$1712,"Y")</f>
        <v>145.263157894736</v>
      </c>
      <c r="G189" s="19" t="n">
        <f aca="false">SUMIFS('SALES Raw'!$F$6:$F$4467,'SALES Raw'!$J$6:$J$4467,$J189,'SALES Raw'!$K$6:$K$4467,"Y")*$H$4+SUMIFS('CEMIUP0.9 Raw'!$G$6:$G$1712,'CEMIUP0.9 Raw'!$B$6:$B$1712,$J189,'CEMIUP0.9 Raw'!$H$6:$H$1712,"Y")</f>
        <v>4271.96210526316</v>
      </c>
      <c r="H189" s="18" t="s">
        <v>43</v>
      </c>
      <c r="I189" s="18" t="s">
        <v>42</v>
      </c>
      <c r="J189" s="18" t="n">
        <v>4413491</v>
      </c>
    </row>
    <row r="190" customFormat="false" ht="15" hidden="false" customHeight="false" outlineLevel="0" collapsed="false">
      <c r="A190" s="18" t="n">
        <f aca="false">IF(ISNUMBER($J190),$J190,"")</f>
        <v>4413101</v>
      </c>
      <c r="B190" s="18" t="str">
        <f aca="false">IFERROR(INDEX('SALES Raw'!$B$6:$B$4467,MATCH($J190,'SALES Raw'!$J$6:$J$4467,0)),IFERROR(INDEX('CEMIUP0.9 Raw'!$B$6:$B$1712,MATCH($J190,'CEMIUP0.9 Raw'!$B$6:$B$1712,0)),$J190))</f>
        <v>45E S</v>
      </c>
      <c r="C190" s="18" t="str">
        <f aca="false">IF(ISNUMBER($J190),IFERROR(INDEX('TRANS'!$C:$C,MATCH($J190,'TRANS'!$B:$B,0)),IFERROR(INDEX('Catalog'!$B:$B,MATCH($J190,'Catalog'!$A:$A,0)),$B190)),$B190)</f>
        <v>45E Sמגן ברך ארוך לבן</v>
      </c>
      <c r="D190" s="19" t="n">
        <f aca="false">SUMIFS('SALES Raw'!$C$6:$C$4467,'SALES Raw'!$J$6:$J$4467,$J190,'SALES Raw'!$K$6:$K$4467,"Y")+SUMIFS('CEMIUP0.9 Raw'!$D$6:$D$1712,'CEMIUP0.9 Raw'!$B$6:$B$1712,$J190,'CEMIUP0.9 Raw'!$H$6:$H$1712,"Y")</f>
        <v>122</v>
      </c>
      <c r="E190" s="19" t="n">
        <f aca="false">SUMIFS('SALES Raw'!$D$6:$D$4467,'SALES Raw'!$J$6:$J$4467,$J190,'SALES Raw'!$K$6:$K$4467,"Y")+SUMIFS('CEMIUP0.9 Raw'!$E$6:$E$1712,'CEMIUP0.9 Raw'!$B$6:$B$1712,$J190,'CEMIUP0.9 Raw'!$H$6:$H$1712,"Y")</f>
        <v>3098.591</v>
      </c>
      <c r="F190" s="19" t="n">
        <f aca="false">SUMIFS('SALES Raw'!$E$6:$E$4467,'SALES Raw'!$J$6:$J$4467,$J190,'SALES Raw'!$K$6:$K$4467,"Y")*$H$4+SUMIFS('CEMIUP0.9 Raw'!$F$6:$F$1712,'CEMIUP0.9 Raw'!$B$6:$B$1712,$J190,'CEMIUP0.9 Raw'!$H$6:$H$1712,"Y")</f>
        <v>144</v>
      </c>
      <c r="G190" s="19" t="n">
        <f aca="false">SUMIFS('SALES Raw'!$F$6:$F$4467,'SALES Raw'!$J$6:$J$4467,$J190,'SALES Raw'!$K$6:$K$4467,"Y")*$H$4+SUMIFS('CEMIUP0.9 Raw'!$G$6:$G$1712,'CEMIUP0.9 Raw'!$B$6:$B$1712,$J190,'CEMIUP0.9 Raw'!$H$6:$H$1712,"Y")</f>
        <v>3537.65684210526</v>
      </c>
      <c r="H190" s="18" t="s">
        <v>48</v>
      </c>
      <c r="I190" s="18" t="s">
        <v>43</v>
      </c>
      <c r="J190" s="18" t="n">
        <v>4413101</v>
      </c>
    </row>
    <row r="191" customFormat="false" ht="15" hidden="false" customHeight="false" outlineLevel="0" collapsed="false">
      <c r="A191" s="18" t="n">
        <f aca="false">IF(ISNUMBER($J191),$J191,"")</f>
        <v>4413034</v>
      </c>
      <c r="B191" s="18" t="str">
        <f aca="false">IFERROR(INDEX('SALES Raw'!$B$6:$B$4467,MATCH($J191,'SALES Raw'!$J$6:$J$4467,0)),IFERROR(INDEX('CEMIUP0.9 Raw'!$B$6:$B$1712,MATCH($J191,'CEMIUP0.9 Raw'!$B$6:$B$1712,0)),$J191))</f>
        <v>312 0</v>
      </c>
      <c r="C191" s="18" t="str">
        <f aca="false">IF(ISNUMBER($J191),IFERROR(INDEX('TRANS'!$C:$C,MATCH($J191,'TRANS'!$B:$B,0)),IFERROR(INDEX('Catalog'!$B:$B,MATCH($J191,'Catalog'!$A:$A,0)),$B191)),$B191)</f>
        <v>312 9 מ""""ס להתאמהX5 מדבקה גדולה</v>
      </c>
      <c r="D191" s="19" t="n">
        <f aca="false">SUMIFS('SALES Raw'!$C$6:$C$4467,'SALES Raw'!$J$6:$J$4467,$J191,'SALES Raw'!$K$6:$K$4467,"Y")+SUMIFS('CEMIUP0.9 Raw'!$D$6:$D$1712,'CEMIUP0.9 Raw'!$B$6:$B$1712,$J191,'CEMIUP0.9 Raw'!$H$6:$H$1712,"Y")</f>
        <v>277</v>
      </c>
      <c r="E191" s="19" t="n">
        <f aca="false">SUMIFS('SALES Raw'!$D$6:$D$4467,'SALES Raw'!$J$6:$J$4467,$J191,'SALES Raw'!$K$6:$K$4467,"Y")+SUMIFS('CEMIUP0.9 Raw'!$E$6:$E$1712,'CEMIUP0.9 Raw'!$B$6:$B$1712,$J191,'CEMIUP0.9 Raw'!$H$6:$H$1712,"Y")</f>
        <v>5925.67</v>
      </c>
      <c r="F191" s="19" t="n">
        <f aca="false">SUMIFS('SALES Raw'!$E$6:$E$4467,'SALES Raw'!$J$6:$J$4467,$J191,'SALES Raw'!$K$6:$K$4467,"Y")*$H$4+SUMIFS('CEMIUP0.9 Raw'!$F$6:$F$1712,'CEMIUP0.9 Raw'!$B$6:$B$1712,$J191,'CEMIUP0.9 Raw'!$H$6:$H$1712,"Y")</f>
        <v>144</v>
      </c>
      <c r="G191" s="19" t="n">
        <f aca="false">SUMIFS('SALES Raw'!$F$6:$F$4467,'SALES Raw'!$J$6:$J$4467,$J191,'SALES Raw'!$K$6:$K$4467,"Y")*$H$4+SUMIFS('CEMIUP0.9 Raw'!$G$6:$G$1712,'CEMIUP0.9 Raw'!$B$6:$B$1712,$J191,'CEMIUP0.9 Raw'!$H$6:$H$1712,"Y")</f>
        <v>3556.20378947369</v>
      </c>
      <c r="H191" s="18" t="s">
        <v>43</v>
      </c>
      <c r="I191" s="18" t="s">
        <v>42</v>
      </c>
      <c r="J191" s="18" t="n">
        <v>4413034</v>
      </c>
    </row>
    <row r="192" customFormat="false" ht="15" hidden="false" customHeight="false" outlineLevel="0" collapsed="false">
      <c r="A192" s="18" t="n">
        <f aca="false">IF(ISNUMBER($J192),$J192,"")</f>
        <v>4420017</v>
      </c>
      <c r="B192" s="18" t="str">
        <f aca="false">IFERROR(INDEX('SALES Raw'!$B$6:$B$4467,MATCH($J192,'SALES Raw'!$J$6:$J$4467,0)),IFERROR(INDEX('CEMIUP0.9 Raw'!$B$6:$B$1712,MATCH($J192,'CEMIUP0.9 Raw'!$B$6:$B$1712,0)),$J192))</f>
        <v>4022 0</v>
      </c>
      <c r="C192" s="18" t="str">
        <f aca="false">IF(ISNUMBER($J192),IFERROR(INDEX('TRANS'!$C:$C,MATCH($J192,'TRANS'!$B:$B,0)),IFERROR(INDEX('Catalog'!$B:$B,MATCH($J192,'Catalog'!$A:$A,0)),$B192)),$B192)</f>
        <v>4022 רצועת """"פיקה""""+כרית</v>
      </c>
      <c r="D192" s="19" t="n">
        <f aca="false">SUMIFS('SALES Raw'!$C$6:$C$4467,'SALES Raw'!$J$6:$J$4467,$J192,'SALES Raw'!$K$6:$K$4467,"Y")+SUMIFS('CEMIUP0.9 Raw'!$D$6:$D$1712,'CEMIUP0.9 Raw'!$B$6:$B$1712,$J192,'CEMIUP0.9 Raw'!$H$6:$H$1712,"Y")</f>
        <v>171</v>
      </c>
      <c r="E192" s="19" t="n">
        <f aca="false">SUMIFS('SALES Raw'!$D$6:$D$4467,'SALES Raw'!$J$6:$J$4467,$J192,'SALES Raw'!$K$6:$K$4467,"Y")+SUMIFS('CEMIUP0.9 Raw'!$E$6:$E$1712,'CEMIUP0.9 Raw'!$B$6:$B$1712,$J192,'CEMIUP0.9 Raw'!$H$6:$H$1712,"Y")</f>
        <v>15494.201</v>
      </c>
      <c r="F192" s="19" t="n">
        <f aca="false">SUMIFS('SALES Raw'!$E$6:$E$4467,'SALES Raw'!$J$6:$J$4467,$J192,'SALES Raw'!$K$6:$K$4467,"Y")*$H$4+SUMIFS('CEMIUP0.9 Raw'!$F$6:$F$1712,'CEMIUP0.9 Raw'!$B$6:$B$1712,$J192,'CEMIUP0.9 Raw'!$H$6:$H$1712,"Y")</f>
        <v>144</v>
      </c>
      <c r="G192" s="19" t="n">
        <f aca="false">SUMIFS('SALES Raw'!$F$6:$F$4467,'SALES Raw'!$J$6:$J$4467,$J192,'SALES Raw'!$K$6:$K$4467,"Y")*$H$4+SUMIFS('CEMIUP0.9 Raw'!$G$6:$G$1712,'CEMIUP0.9 Raw'!$B$6:$B$1712,$J192,'CEMIUP0.9 Raw'!$H$6:$H$1712,"Y")</f>
        <v>17922.3802105263</v>
      </c>
      <c r="H192" s="18" t="s">
        <v>42</v>
      </c>
      <c r="I192" s="18" t="s">
        <v>43</v>
      </c>
      <c r="J192" s="18" t="n">
        <v>4420017</v>
      </c>
    </row>
    <row r="193" customFormat="false" ht="15" hidden="false" customHeight="false" outlineLevel="0" collapsed="false">
      <c r="A193" s="18" t="n">
        <f aca="false">IF(ISNUMBER($J193),$J193,"")</f>
        <v>4408250</v>
      </c>
      <c r="B193" s="18" t="str">
        <f aca="false">IFERROR(INDEX('SALES Raw'!$B$6:$B$4467,MATCH($J193,'SALES Raw'!$J$6:$J$4467,0)),IFERROR(INDEX('CEMIUP0.9 Raw'!$B$6:$B$1712,MATCH($J193,'CEMIUP0.9 Raw'!$B$6:$B$1712,0)),$J193))</f>
        <v>SC25 XL</v>
      </c>
      <c r="C193" s="18" t="str">
        <f aca="false">IF(ISNUMBER($J193),IFERROR(INDEX('TRANS'!$C:$C,MATCH($J193,'TRANS'!$B:$B,0)),IFERROR(INDEX('Catalog'!$B:$B,MATCH($J193,'Catalog'!$A:$A,0)),$B193)),$B193)</f>
        <v>SC25 XL חבק יד</v>
      </c>
      <c r="D193" s="19" t="n">
        <f aca="false">SUMIFS('SALES Raw'!$C$6:$C$4467,'SALES Raw'!$J$6:$J$4467,$J193,'SALES Raw'!$K$6:$K$4467,"Y")+SUMIFS('CEMIUP0.9 Raw'!$D$6:$D$1712,'CEMIUP0.9 Raw'!$B$6:$B$1712,$J193,'CEMIUP0.9 Raw'!$H$6:$H$1712,"Y")</f>
        <v>146</v>
      </c>
      <c r="E193" s="19" t="n">
        <f aca="false">SUMIFS('SALES Raw'!$D$6:$D$4467,'SALES Raw'!$J$6:$J$4467,$J193,'SALES Raw'!$K$6:$K$4467,"Y")+SUMIFS('CEMIUP0.9 Raw'!$E$6:$E$1712,'CEMIUP0.9 Raw'!$B$6:$B$1712,$J193,'CEMIUP0.9 Raw'!$H$6:$H$1712,"Y")</f>
        <v>17131.691</v>
      </c>
      <c r="F193" s="19" t="n">
        <f aca="false">SUMIFS('SALES Raw'!$E$6:$E$4467,'SALES Raw'!$J$6:$J$4467,$J193,'SALES Raw'!$K$6:$K$4467,"Y")*$H$4+SUMIFS('CEMIUP0.9 Raw'!$F$6:$F$1712,'CEMIUP0.9 Raw'!$B$6:$B$1712,$J193,'CEMIUP0.9 Raw'!$H$6:$H$1712,"Y")</f>
        <v>144</v>
      </c>
      <c r="G193" s="19" t="n">
        <f aca="false">SUMIFS('SALES Raw'!$F$6:$F$4467,'SALES Raw'!$J$6:$J$4467,$J193,'SALES Raw'!$K$6:$K$4467,"Y")*$H$4+SUMIFS('CEMIUP0.9 Raw'!$G$6:$G$1712,'CEMIUP0.9 Raw'!$B$6:$B$1712,$J193,'CEMIUP0.9 Raw'!$H$6:$H$1712,"Y")</f>
        <v>18633.3246315789</v>
      </c>
      <c r="H193" s="18" t="s">
        <v>42</v>
      </c>
      <c r="I193" s="18" t="s">
        <v>46</v>
      </c>
      <c r="J193" s="18" t="n">
        <v>4408250</v>
      </c>
    </row>
    <row r="194" customFormat="false" ht="15" hidden="false" customHeight="false" outlineLevel="0" collapsed="false">
      <c r="A194" s="18" t="n">
        <f aca="false">IF(ISNUMBER($J194),$J194,"")</f>
        <v>4408265</v>
      </c>
      <c r="B194" s="18" t="str">
        <f aca="false">IFERROR(INDEX('SALES Raw'!$B$6:$B$4467,MATCH($J194,'SALES Raw'!$J$6:$J$4467,0)),IFERROR(INDEX('CEMIUP0.9 Raw'!$B$6:$B$1712,MATCH($J194,'CEMIUP0.9 Raw'!$B$6:$B$1712,0)),$J194))</f>
        <v>078 XXL</v>
      </c>
      <c r="C194" s="18" t="str">
        <f aca="false">IF(ISNUMBER($J194),IFERROR(INDEX('TRANS'!$C:$C,MATCH($J194,'TRANS'!$B:$B,0)),IFERROR(INDEX('Catalog'!$B:$B,MATCH($J194,'Catalog'!$A:$A,0)),$B194)),$B194)</f>
        <v>078XXL חגורת גב +סגירה כפולה</v>
      </c>
      <c r="D194" s="19" t="n">
        <f aca="false">SUMIFS('SALES Raw'!$C$6:$C$4467,'SALES Raw'!$J$6:$J$4467,$J194,'SALES Raw'!$K$6:$K$4467,"Y")+SUMIFS('CEMIUP0.9 Raw'!$D$6:$D$1712,'CEMIUP0.9 Raw'!$B$6:$B$1712,$J194,'CEMIUP0.9 Raw'!$H$6:$H$1712,"Y")</f>
        <v>138</v>
      </c>
      <c r="E194" s="19" t="n">
        <f aca="false">SUMIFS('SALES Raw'!$D$6:$D$4467,'SALES Raw'!$J$6:$J$4467,$J194,'SALES Raw'!$K$6:$K$4467,"Y")+SUMIFS('CEMIUP0.9 Raw'!$E$6:$E$1712,'CEMIUP0.9 Raw'!$B$6:$B$1712,$J194,'CEMIUP0.9 Raw'!$H$6:$H$1712,"Y")</f>
        <v>16734.226</v>
      </c>
      <c r="F194" s="19" t="n">
        <f aca="false">SUMIFS('SALES Raw'!$E$6:$E$4467,'SALES Raw'!$J$6:$J$4467,$J194,'SALES Raw'!$K$6:$K$4467,"Y")*$H$4+SUMIFS('CEMIUP0.9 Raw'!$F$6:$F$1712,'CEMIUP0.9 Raw'!$B$6:$B$1712,$J194,'CEMIUP0.9 Raw'!$H$6:$H$1712,"Y")</f>
        <v>142.736842105263</v>
      </c>
      <c r="G194" s="19" t="n">
        <f aca="false">SUMIFS('SALES Raw'!$F$6:$F$4467,'SALES Raw'!$J$6:$J$4467,$J194,'SALES Raw'!$K$6:$K$4467,"Y")*$H$4+SUMIFS('CEMIUP0.9 Raw'!$G$6:$G$1712,'CEMIUP0.9 Raw'!$B$6:$B$1712,$J194,'CEMIUP0.9 Raw'!$H$6:$H$1712,"Y")</f>
        <v>18492.7414736842</v>
      </c>
      <c r="H194" s="18" t="s">
        <v>42</v>
      </c>
      <c r="I194" s="18" t="s">
        <v>43</v>
      </c>
      <c r="J194" s="18" t="n">
        <v>4408265</v>
      </c>
    </row>
    <row r="195" customFormat="false" ht="15" hidden="false" customHeight="false" outlineLevel="0" collapsed="false">
      <c r="A195" s="18" t="n">
        <f aca="false">IF(ISNUMBER($J195),$J195,"")</f>
        <v>4411031</v>
      </c>
      <c r="B195" s="18" t="str">
        <f aca="false">IFERROR(INDEX('SALES Raw'!$B$6:$B$4467,MATCH($J195,'SALES Raw'!$J$6:$J$4467,0)),IFERROR(INDEX('CEMIUP0.9 Raw'!$B$6:$B$1712,MATCH($J195,'CEMIUP0.9 Raw'!$B$6:$B$1712,0)),$J195))</f>
        <v>213CTSR S</v>
      </c>
      <c r="C195" s="18" t="str">
        <f aca="false">IF(ISNUMBER($J195),IFERROR(INDEX('TRANS'!$C:$C,MATCH($J195,'TRANS'!$B:$B,0)),IFERROR(INDEX('Catalog'!$B:$B,MATCH($J195,'Catalog'!$A:$A,0)),$B195)),$B195)</f>
        <v>213CTS  S ימין CTS כפפות</v>
      </c>
      <c r="D195" s="19" t="n">
        <f aca="false">SUMIFS('SALES Raw'!$C$6:$C$4467,'SALES Raw'!$J$6:$J$4467,$J195,'SALES Raw'!$K$6:$K$4467,"Y")+SUMIFS('CEMIUP0.9 Raw'!$D$6:$D$1712,'CEMIUP0.9 Raw'!$B$6:$B$1712,$J195,'CEMIUP0.9 Raw'!$H$6:$H$1712,"Y")</f>
        <v>46</v>
      </c>
      <c r="E195" s="19" t="n">
        <f aca="false">SUMIFS('SALES Raw'!$D$6:$D$4467,'SALES Raw'!$J$6:$J$4467,$J195,'SALES Raw'!$K$6:$K$4467,"Y")+SUMIFS('CEMIUP0.9 Raw'!$E$6:$E$1712,'CEMIUP0.9 Raw'!$B$6:$B$1712,$J195,'CEMIUP0.9 Raw'!$H$6:$H$1712,"Y")</f>
        <v>6435.57</v>
      </c>
      <c r="F195" s="19" t="n">
        <f aca="false">SUMIFS('SALES Raw'!$E$6:$E$4467,'SALES Raw'!$J$6:$J$4467,$J195,'SALES Raw'!$K$6:$K$4467,"Y")*$H$4+SUMIFS('CEMIUP0.9 Raw'!$F$6:$F$1712,'CEMIUP0.9 Raw'!$B$6:$B$1712,$J195,'CEMIUP0.9 Raw'!$H$6:$H$1712,"Y")</f>
        <v>142.736842105263</v>
      </c>
      <c r="G195" s="19" t="n">
        <f aca="false">SUMIFS('SALES Raw'!$F$6:$F$4467,'SALES Raw'!$J$6:$J$4467,$J195,'SALES Raw'!$K$6:$K$4467,"Y")*$H$4+SUMIFS('CEMIUP0.9 Raw'!$G$6:$G$1712,'CEMIUP0.9 Raw'!$B$6:$B$1712,$J195,'CEMIUP0.9 Raw'!$H$6:$H$1712,"Y")</f>
        <v>24560.4669473684</v>
      </c>
      <c r="H195" s="18" t="s">
        <v>42</v>
      </c>
      <c r="I195" s="18" t="s">
        <v>44</v>
      </c>
      <c r="J195" s="18" t="n">
        <v>4411031</v>
      </c>
    </row>
    <row r="196" customFormat="false" ht="15" hidden="false" customHeight="false" outlineLevel="0" collapsed="false">
      <c r="A196" s="18" t="n">
        <f aca="false">IF(ISNUMBER($J196),$J196,"")</f>
        <v>4408046</v>
      </c>
      <c r="B196" s="18" t="str">
        <f aca="false">IFERROR(INDEX('SALES Raw'!$B$6:$B$4467,MATCH($J196,'SALES Raw'!$J$6:$J$4467,0)),IFERROR(INDEX('CEMIUP0.9 Raw'!$B$6:$B$1712,MATCH($J196,'CEMIUP0.9 Raw'!$B$6:$B$1712,0)),$J196))</f>
        <v>20 L</v>
      </c>
      <c r="C196" s="18" t="str">
        <f aca="false">IF(ISNUMBER($J196),IFERROR(INDEX('TRANS'!$C:$C,MATCH($J196,'TRANS'!$B:$B,0)),IFERROR(INDEX('Catalog'!$B:$B,MATCH($J196,'Catalog'!$A:$A,0)),$B196)),$B196)</f>
        <v>20 L חבק יד מתכוון עם צמדן</v>
      </c>
      <c r="D196" s="19" t="n">
        <f aca="false">SUMIFS('SALES Raw'!$C$6:$C$4467,'SALES Raw'!$J$6:$J$4467,$J196,'SALES Raw'!$K$6:$K$4467,"Y")+SUMIFS('CEMIUP0.9 Raw'!$D$6:$D$1712,'CEMIUP0.9 Raw'!$B$6:$B$1712,$J196,'CEMIUP0.9 Raw'!$H$6:$H$1712,"Y")</f>
        <v>183</v>
      </c>
      <c r="E196" s="19" t="n">
        <f aca="false">SUMIFS('SALES Raw'!$D$6:$D$4467,'SALES Raw'!$J$6:$J$4467,$J196,'SALES Raw'!$K$6:$K$4467,"Y")+SUMIFS('CEMIUP0.9 Raw'!$E$6:$E$1712,'CEMIUP0.9 Raw'!$B$6:$B$1712,$J196,'CEMIUP0.9 Raw'!$H$6:$H$1712,"Y")</f>
        <v>5548.94</v>
      </c>
      <c r="F196" s="19" t="n">
        <f aca="false">SUMIFS('SALES Raw'!$E$6:$E$4467,'SALES Raw'!$J$6:$J$4467,$J196,'SALES Raw'!$K$6:$K$4467,"Y")*$H$4+SUMIFS('CEMIUP0.9 Raw'!$F$6:$F$1712,'CEMIUP0.9 Raw'!$B$6:$B$1712,$J196,'CEMIUP0.9 Raw'!$H$6:$H$1712,"Y")</f>
        <v>141.473684210526</v>
      </c>
      <c r="G196" s="19" t="n">
        <f aca="false">SUMIFS('SALES Raw'!$F$6:$F$4467,'SALES Raw'!$J$6:$J$4467,$J196,'SALES Raw'!$K$6:$K$4467,"Y")*$H$4+SUMIFS('CEMIUP0.9 Raw'!$G$6:$G$1712,'CEMIUP0.9 Raw'!$B$6:$B$1712,$J196,'CEMIUP0.9 Raw'!$H$6:$H$1712,"Y")</f>
        <v>4229.33431578948</v>
      </c>
      <c r="H196" s="18" t="s">
        <v>43</v>
      </c>
      <c r="I196" s="18" t="s">
        <v>44</v>
      </c>
      <c r="J196" s="18" t="n">
        <v>4408046</v>
      </c>
    </row>
    <row r="197" customFormat="false" ht="15" hidden="false" customHeight="false" outlineLevel="0" collapsed="false">
      <c r="A197" s="18" t="n">
        <f aca="false">IF(ISNUMBER($J197),$J197,"")</f>
        <v>4422039</v>
      </c>
      <c r="B197" s="18" t="str">
        <f aca="false">IFERROR(INDEX('SALES Raw'!$B$6:$B$4467,MATCH($J197,'SALES Raw'!$J$6:$J$4467,0)),IFERROR(INDEX('CEMIUP0.9 Raw'!$B$6:$B$1712,MATCH($J197,'CEMIUP0.9 Raw'!$B$6:$B$1712,0)),$J197))</f>
        <v>SH422 3</v>
      </c>
      <c r="C197" s="18" t="str">
        <f aca="false">IF(ISNUMBER($J197),IFERROR(INDEX('TRANS'!$C:$C,MATCH($J197,'TRANS'!$B:$B,0)),IFERROR(INDEX('Catalog'!$B:$B,MATCH($J197,'Catalog'!$A:$A,0)),$B197)),$B197)</f>
        <v>SH422 3 תומך ברך גנושילד</v>
      </c>
      <c r="D197" s="19" t="n">
        <f aca="false">SUMIFS('SALES Raw'!$C$6:$C$4467,'SALES Raw'!$J$6:$J$4467,$J197,'SALES Raw'!$K$6:$K$4467,"Y")+SUMIFS('CEMIUP0.9 Raw'!$D$6:$D$1712,'CEMIUP0.9 Raw'!$B$6:$B$1712,$J197,'CEMIUP0.9 Raw'!$H$6:$H$1712,"Y")</f>
        <v>56</v>
      </c>
      <c r="E197" s="19" t="n">
        <f aca="false">SUMIFS('SALES Raw'!$D$6:$D$4467,'SALES Raw'!$J$6:$J$4467,$J197,'SALES Raw'!$K$6:$K$4467,"Y")+SUMIFS('CEMIUP0.9 Raw'!$E$6:$E$1712,'CEMIUP0.9 Raw'!$B$6:$B$1712,$J197,'CEMIUP0.9 Raw'!$H$6:$H$1712,"Y")</f>
        <v>7856.481</v>
      </c>
      <c r="F197" s="19" t="n">
        <f aca="false">SUMIFS('SALES Raw'!$E$6:$E$4467,'SALES Raw'!$J$6:$J$4467,$J197,'SALES Raw'!$K$6:$K$4467,"Y")*$H$4+SUMIFS('CEMIUP0.9 Raw'!$F$6:$F$1712,'CEMIUP0.9 Raw'!$B$6:$B$1712,$J197,'CEMIUP0.9 Raw'!$H$6:$H$1712,"Y")</f>
        <v>137.684210526316</v>
      </c>
      <c r="G197" s="19" t="n">
        <f aca="false">SUMIFS('SALES Raw'!$F$6:$F$4467,'SALES Raw'!$J$6:$J$4467,$J197,'SALES Raw'!$K$6:$K$4467,"Y")*$H$4+SUMIFS('CEMIUP0.9 Raw'!$G$6:$G$1712,'CEMIUP0.9 Raw'!$B$6:$B$1712,$J197,'CEMIUP0.9 Raw'!$H$6:$H$1712,"Y")</f>
        <v>26072.1928421053</v>
      </c>
      <c r="H197" s="18" t="s">
        <v>44</v>
      </c>
      <c r="I197" s="18" t="s">
        <v>43</v>
      </c>
      <c r="J197" s="18" t="n">
        <v>4422039</v>
      </c>
    </row>
    <row r="198" customFormat="false" ht="15" hidden="false" customHeight="false" outlineLevel="0" collapsed="false">
      <c r="A198" s="18" t="n">
        <f aca="false">IF(ISNUMBER($J198),$J198,"")</f>
        <v>4411030</v>
      </c>
      <c r="B198" s="18" t="str">
        <f aca="false">IFERROR(INDEX('SALES Raw'!$B$6:$B$4467,MATCH($J198,'SALES Raw'!$J$6:$J$4467,0)),IFERROR(INDEX('CEMIUP0.9 Raw'!$B$6:$B$1712,MATCH($J198,'CEMIUP0.9 Raw'!$B$6:$B$1712,0)),$J198))</f>
        <v>213CTSR M</v>
      </c>
      <c r="C198" s="18" t="str">
        <f aca="false">IF(ISNUMBER($J198),IFERROR(INDEX('TRANS'!$C:$C,MATCH($J198,'TRANS'!$B:$B,0)),IFERROR(INDEX('Catalog'!$B:$B,MATCH($J198,'Catalog'!$A:$A,0)),$B198)),$B198)</f>
        <v>213CTSR M ימין CTS כפפות</v>
      </c>
      <c r="D198" s="19" t="n">
        <f aca="false">SUMIFS('SALES Raw'!$C$6:$C$4467,'SALES Raw'!$J$6:$J$4467,$J198,'SALES Raw'!$K$6:$K$4467,"Y")+SUMIFS('CEMIUP0.9 Raw'!$D$6:$D$1712,'CEMIUP0.9 Raw'!$B$6:$B$1712,$J198,'CEMIUP0.9 Raw'!$H$6:$H$1712,"Y")</f>
        <v>60</v>
      </c>
      <c r="E198" s="19" t="n">
        <f aca="false">SUMIFS('SALES Raw'!$D$6:$D$4467,'SALES Raw'!$J$6:$J$4467,$J198,'SALES Raw'!$K$6:$K$4467,"Y")+SUMIFS('CEMIUP0.9 Raw'!$E$6:$E$1712,'CEMIUP0.9 Raw'!$B$6:$B$1712,$J198,'CEMIUP0.9 Raw'!$H$6:$H$1712,"Y")</f>
        <v>8590.38</v>
      </c>
      <c r="F198" s="19" t="n">
        <f aca="false">SUMIFS('SALES Raw'!$E$6:$E$4467,'SALES Raw'!$J$6:$J$4467,$J198,'SALES Raw'!$K$6:$K$4467,"Y")*$H$4+SUMIFS('CEMIUP0.9 Raw'!$F$6:$F$1712,'CEMIUP0.9 Raw'!$B$6:$B$1712,$J198,'CEMIUP0.9 Raw'!$H$6:$H$1712,"Y")</f>
        <v>136.421052631579</v>
      </c>
      <c r="G198" s="19" t="n">
        <f aca="false">SUMIFS('SALES Raw'!$F$6:$F$4467,'SALES Raw'!$J$6:$J$4467,$J198,'SALES Raw'!$K$6:$K$4467,"Y")*$H$4+SUMIFS('CEMIUP0.9 Raw'!$G$6:$G$1712,'CEMIUP0.9 Raw'!$B$6:$B$1712,$J198,'CEMIUP0.9 Raw'!$H$6:$H$1712,"Y")</f>
        <v>22585.5296842105</v>
      </c>
      <c r="H198" s="18" t="s">
        <v>42</v>
      </c>
      <c r="I198" s="18" t="s">
        <v>48</v>
      </c>
      <c r="J198" s="18" t="n">
        <v>4411030</v>
      </c>
    </row>
    <row r="199" customFormat="false" ht="15" hidden="false" customHeight="false" outlineLevel="0" collapsed="false">
      <c r="A199" s="18" t="n">
        <f aca="false">IF(ISNUMBER($J199),$J199,"")</f>
        <v>4418001</v>
      </c>
      <c r="B199" s="18" t="str">
        <f aca="false">IFERROR(INDEX('SALES Raw'!$B$6:$B$4467,MATCH($J199,'SALES Raw'!$J$6:$J$4467,0)),IFERROR(INDEX('CEMIUP0.9 Raw'!$B$6:$B$1712,MATCH($J199,'CEMIUP0.9 Raw'!$B$6:$B$1712,0)),$J199))</f>
        <v>60 M</v>
      </c>
      <c r="C199" s="18" t="str">
        <f aca="false">IF(ISNUMBER($J199),IFERROR(INDEX('TRANS'!$C:$C,MATCH($J199,'TRANS'!$B:$B,0)),IFERROR(INDEX('Catalog'!$B:$B,MATCH($J199,'Catalog'!$A:$A,0)),$B199)),$B199)</f>
        <v>60 M צוארון ספוגי</v>
      </c>
      <c r="D199" s="19" t="n">
        <f aca="false">SUMIFS('SALES Raw'!$C$6:$C$4467,'SALES Raw'!$J$6:$J$4467,$J199,'SALES Raw'!$K$6:$K$4467,"Y")+SUMIFS('CEMIUP0.9 Raw'!$D$6:$D$1712,'CEMIUP0.9 Raw'!$B$6:$B$1712,$J199,'CEMIUP0.9 Raw'!$H$6:$H$1712,"Y")</f>
        <v>223</v>
      </c>
      <c r="E199" s="19" t="n">
        <f aca="false">SUMIFS('SALES Raw'!$D$6:$D$4467,'SALES Raw'!$J$6:$J$4467,$J199,'SALES Raw'!$K$6:$K$4467,"Y")+SUMIFS('CEMIUP0.9 Raw'!$E$6:$E$1712,'CEMIUP0.9 Raw'!$B$6:$B$1712,$J199,'CEMIUP0.9 Raw'!$H$6:$H$1712,"Y")</f>
        <v>10521.498</v>
      </c>
      <c r="F199" s="19" t="n">
        <f aca="false">SUMIFS('SALES Raw'!$E$6:$E$4467,'SALES Raw'!$J$6:$J$4467,$J199,'SALES Raw'!$K$6:$K$4467,"Y")*$H$4+SUMIFS('CEMIUP0.9 Raw'!$F$6:$F$1712,'CEMIUP0.9 Raw'!$B$6:$B$1712,$J199,'CEMIUP0.9 Raw'!$H$6:$H$1712,"Y")</f>
        <v>136.421052631579</v>
      </c>
      <c r="G199" s="19" t="n">
        <f aca="false">SUMIFS('SALES Raw'!$F$6:$F$4467,'SALES Raw'!$J$6:$J$4467,$J199,'SALES Raw'!$K$6:$K$4467,"Y")*$H$4+SUMIFS('CEMIUP0.9 Raw'!$G$6:$G$1712,'CEMIUP0.9 Raw'!$B$6:$B$1712,$J199,'CEMIUP0.9 Raw'!$H$6:$H$1712,"Y")</f>
        <v>7310.85347368421</v>
      </c>
      <c r="H199" s="18" t="s">
        <v>43</v>
      </c>
      <c r="I199" s="18" t="s">
        <v>42</v>
      </c>
      <c r="J199" s="18" t="n">
        <v>4418001</v>
      </c>
    </row>
    <row r="200" customFormat="false" ht="15" hidden="false" customHeight="false" outlineLevel="0" collapsed="false">
      <c r="A200" s="18" t="n">
        <f aca="false">IF(ISNUMBER($J200),$J200,"")</f>
        <v>4413500</v>
      </c>
      <c r="B200" s="18" t="str">
        <f aca="false">IFERROR(INDEX('SALES Raw'!$B$6:$B$4467,MATCH($J200,'SALES Raw'!$J$6:$J$4467,0)),IFERROR(INDEX('CEMIUP0.9 Raw'!$B$6:$B$1712,MATCH($J200,'CEMIUP0.9 Raw'!$B$6:$B$1712,0)),$J200))</f>
        <v>95B L</v>
      </c>
      <c r="C200" s="18" t="str">
        <f aca="false">IF(ISNUMBER($J200),IFERROR(INDEX('TRANS'!$C:$C,MATCH($J200,'TRANS'!$B:$B,0)),IFERROR(INDEX('Catalog'!$B:$B,MATCH($J200,'Catalog'!$A:$A,0)),$B200)),$B200)</f>
        <v>95B L מגן מרפק שחור</v>
      </c>
      <c r="D200" s="19" t="n">
        <f aca="false">SUMIFS('SALES Raw'!$C$6:$C$4467,'SALES Raw'!$J$6:$J$4467,$J200,'SALES Raw'!$K$6:$K$4467,"Y")+SUMIFS('CEMIUP0.9 Raw'!$D$6:$D$1712,'CEMIUP0.9 Raw'!$B$6:$B$1712,$J200,'CEMIUP0.9 Raw'!$H$6:$H$1712,"Y")</f>
        <v>124</v>
      </c>
      <c r="E200" s="19" t="n">
        <f aca="false">SUMIFS('SALES Raw'!$D$6:$D$4467,'SALES Raw'!$J$6:$J$4467,$J200,'SALES Raw'!$K$6:$K$4467,"Y")+SUMIFS('CEMIUP0.9 Raw'!$E$6:$E$1712,'CEMIUP0.9 Raw'!$B$6:$B$1712,$J200,'CEMIUP0.9 Raw'!$H$6:$H$1712,"Y")</f>
        <v>3578.786</v>
      </c>
      <c r="F200" s="19" t="n">
        <f aca="false">SUMIFS('SALES Raw'!$E$6:$E$4467,'SALES Raw'!$J$6:$J$4467,$J200,'SALES Raw'!$K$6:$K$4467,"Y")*$H$4+SUMIFS('CEMIUP0.9 Raw'!$F$6:$F$1712,'CEMIUP0.9 Raw'!$B$6:$B$1712,$J200,'CEMIUP0.9 Raw'!$H$6:$H$1712,"Y")</f>
        <v>135.157894736842</v>
      </c>
      <c r="G200" s="19" t="n">
        <f aca="false">SUMIFS('SALES Raw'!$F$6:$F$4467,'SALES Raw'!$J$6:$J$4467,$J200,'SALES Raw'!$K$6:$K$4467,"Y")*$H$4+SUMIFS('CEMIUP0.9 Raw'!$G$6:$G$1712,'CEMIUP0.9 Raw'!$B$6:$B$1712,$J200,'CEMIUP0.9 Raw'!$H$6:$H$1712,"Y")</f>
        <v>3944.32421052631</v>
      </c>
      <c r="H200" s="18" t="s">
        <v>43</v>
      </c>
      <c r="I200" s="18" t="s">
        <v>42</v>
      </c>
      <c r="J200" s="18" t="n">
        <v>4413500</v>
      </c>
    </row>
    <row r="201" customFormat="false" ht="15" hidden="false" customHeight="false" outlineLevel="0" collapsed="false">
      <c r="A201" s="18" t="n">
        <f aca="false">IF(ISNUMBER($J201),$J201,"")</f>
        <v>4413142</v>
      </c>
      <c r="B201" s="18" t="str">
        <f aca="false">IFERROR(INDEX('SALES Raw'!$B$6:$B$4467,MATCH($J201,'SALES Raw'!$J$6:$J$4467,0)),IFERROR(INDEX('CEMIUP0.9 Raw'!$B$6:$B$1712,MATCH($J201,'CEMIUP0.9 Raw'!$B$6:$B$1712,0)),$J201))</f>
        <v>95 XL</v>
      </c>
      <c r="C201" s="18" t="str">
        <f aca="false">IF(ISNUMBER($J201),IFERROR(INDEX('TRANS'!$C:$C,MATCH($J201,'TRANS'!$B:$B,0)),IFERROR(INDEX('Catalog'!$B:$B,MATCH($J201,'Catalog'!$A:$A,0)),$B201)),$B201)</f>
        <v>95 XL מגן מרפק רגיל לבן</v>
      </c>
      <c r="D201" s="19" t="n">
        <f aca="false">SUMIFS('SALES Raw'!$C$6:$C$4467,'SALES Raw'!$J$6:$J$4467,$J201,'SALES Raw'!$K$6:$K$4467,"Y")+SUMIFS('CEMIUP0.9 Raw'!$D$6:$D$1712,'CEMIUP0.9 Raw'!$B$6:$B$1712,$J201,'CEMIUP0.9 Raw'!$H$6:$H$1712,"Y")</f>
        <v>146</v>
      </c>
      <c r="E201" s="19" t="n">
        <f aca="false">SUMIFS('SALES Raw'!$D$6:$D$4467,'SALES Raw'!$J$6:$J$4467,$J201,'SALES Raw'!$K$6:$K$4467,"Y")+SUMIFS('CEMIUP0.9 Raw'!$E$6:$E$1712,'CEMIUP0.9 Raw'!$B$6:$B$1712,$J201,'CEMIUP0.9 Raw'!$H$6:$H$1712,"Y")</f>
        <v>3126.201</v>
      </c>
      <c r="F201" s="19" t="n">
        <f aca="false">SUMIFS('SALES Raw'!$E$6:$E$4467,'SALES Raw'!$J$6:$J$4467,$J201,'SALES Raw'!$K$6:$K$4467,"Y")*$H$4+SUMIFS('CEMIUP0.9 Raw'!$F$6:$F$1712,'CEMIUP0.9 Raw'!$B$6:$B$1712,$J201,'CEMIUP0.9 Raw'!$H$6:$H$1712,"Y")</f>
        <v>135.157894736842</v>
      </c>
      <c r="G201" s="19" t="n">
        <f aca="false">SUMIFS('SALES Raw'!$F$6:$F$4467,'SALES Raw'!$J$6:$J$4467,$J201,'SALES Raw'!$K$6:$K$4467,"Y")*$H$4+SUMIFS('CEMIUP0.9 Raw'!$G$6:$G$1712,'CEMIUP0.9 Raw'!$B$6:$B$1712,$J201,'CEMIUP0.9 Raw'!$H$6:$H$1712,"Y")</f>
        <v>2763.42063157896</v>
      </c>
      <c r="H201" s="18" t="s">
        <v>48</v>
      </c>
      <c r="I201" s="18" t="s">
        <v>43</v>
      </c>
      <c r="J201" s="18" t="n">
        <v>4413142</v>
      </c>
    </row>
    <row r="202" customFormat="false" ht="15" hidden="false" customHeight="false" outlineLevel="0" collapsed="false">
      <c r="A202" s="18" t="n">
        <f aca="false">IF(ISNUMBER($J202),$J202,"")</f>
        <v>4408230</v>
      </c>
      <c r="B202" s="18" t="str">
        <f aca="false">IFERROR(INDEX('SALES Raw'!$B$6:$B$4467,MATCH($J202,'SALES Raw'!$J$6:$J$4467,0)),IFERROR(INDEX('CEMIUP0.9 Raw'!$B$6:$B$1712,MATCH($J202,'CEMIUP0.9 Raw'!$B$6:$B$1712,0)),$J202))</f>
        <v>16-L-XL</v>
      </c>
      <c r="C202" s="18" t="str">
        <f aca="false">IF(ISNUMBER($J202),IFERROR(INDEX('TRANS'!$C:$C,MATCH($J202,'TRANS'!$B:$B,0)),IFERROR(INDEX('Catalog'!$B:$B,MATCH($J202,'Catalog'!$A:$A,0)),$B202)),$B202)</f>
        <v>16 L-XL חגורת הריון</v>
      </c>
      <c r="D202" s="19" t="n">
        <f aca="false">SUMIFS('SALES Raw'!$C$6:$C$4467,'SALES Raw'!$J$6:$J$4467,$J202,'SALES Raw'!$K$6:$K$4467,"Y")+SUMIFS('CEMIUP0.9 Raw'!$D$6:$D$1712,'CEMIUP0.9 Raw'!$B$6:$B$1712,$J202,'CEMIUP0.9 Raw'!$H$6:$H$1712,"Y")</f>
        <v>123</v>
      </c>
      <c r="E202" s="19" t="n">
        <f aca="false">SUMIFS('SALES Raw'!$D$6:$D$4467,'SALES Raw'!$J$6:$J$4467,$J202,'SALES Raw'!$K$6:$K$4467,"Y")+SUMIFS('CEMIUP0.9 Raw'!$E$6:$E$1712,'CEMIUP0.9 Raw'!$B$6:$B$1712,$J202,'CEMIUP0.9 Raw'!$H$6:$H$1712,"Y")</f>
        <v>12026.071</v>
      </c>
      <c r="F202" s="19" t="n">
        <f aca="false">SUMIFS('SALES Raw'!$E$6:$E$4467,'SALES Raw'!$J$6:$J$4467,$J202,'SALES Raw'!$K$6:$K$4467,"Y")*$H$4+SUMIFS('CEMIUP0.9 Raw'!$F$6:$F$1712,'CEMIUP0.9 Raw'!$B$6:$B$1712,$J202,'CEMIUP0.9 Raw'!$H$6:$H$1712,"Y")</f>
        <v>133.894736842105</v>
      </c>
      <c r="G202" s="19" t="n">
        <f aca="false">SUMIFS('SALES Raw'!$F$6:$F$4467,'SALES Raw'!$J$6:$J$4467,$J202,'SALES Raw'!$K$6:$K$4467,"Y")*$H$4+SUMIFS('CEMIUP0.9 Raw'!$G$6:$G$1712,'CEMIUP0.9 Raw'!$B$6:$B$1712,$J202,'CEMIUP0.9 Raw'!$H$6:$H$1712,"Y")</f>
        <v>13955.4378947368</v>
      </c>
      <c r="H202" s="18" t="s">
        <v>48</v>
      </c>
      <c r="I202" s="18" t="s">
        <v>43</v>
      </c>
      <c r="J202" s="18" t="n">
        <v>4408230</v>
      </c>
    </row>
    <row r="203" customFormat="false" ht="15" hidden="false" customHeight="false" outlineLevel="0" collapsed="false">
      <c r="A203" s="18" t="str">
        <f aca="false">IF(ISNUMBER($J203),$J203,"")</f>
        <v/>
      </c>
      <c r="B203" s="18" t="str">
        <f aca="false">IFERROR(INDEX('SALES Raw'!$B$6:$B$4467,MATCH($J203,'SALES Raw'!$J$6:$J$4467,0)),IFERROR(INDEX('CEMIUP0.9 Raw'!$B$6:$B$1712,MATCH($J203,'CEMIUP0.9 Raw'!$B$6:$B$1712,0)),$J203))</f>
        <v>395W-39-42</v>
      </c>
      <c r="C203" s="18" t="str">
        <f aca="false">IF(ISNUMBER($J203),IFERROR(INDEX('TRANS'!$C:$C,MATCH($J203,'TRANS'!$B:$B,0)),IFERROR(INDEX('Catalog'!$B:$B,MATCH($J203,'Catalog'!$A:$A,0)),$B203)),$B203)</f>
        <v>395W-39-42</v>
      </c>
      <c r="D203" s="19" t="n">
        <f aca="false">SUMIFS('SALES Raw'!$C$6:$C$4467,'SALES Raw'!$J$6:$J$4467,$J203,'SALES Raw'!$K$6:$K$4467,"Y")+SUMIFS('CEMIUP0.9 Raw'!$D$6:$D$1712,'CEMIUP0.9 Raw'!$B$6:$B$1712,$J203,'CEMIUP0.9 Raw'!$H$6:$H$1712,"Y")</f>
        <v>0</v>
      </c>
      <c r="E203" s="19" t="n">
        <f aca="false">SUMIFS('SALES Raw'!$D$6:$D$4467,'SALES Raw'!$J$6:$J$4467,$J203,'SALES Raw'!$K$6:$K$4467,"Y")+SUMIFS('CEMIUP0.9 Raw'!$E$6:$E$1712,'CEMIUP0.9 Raw'!$B$6:$B$1712,$J203,'CEMIUP0.9 Raw'!$H$6:$H$1712,"Y")</f>
        <v>0</v>
      </c>
      <c r="F203" s="19" t="n">
        <f aca="false">SUMIFS('SALES Raw'!$E$6:$E$4467,'SALES Raw'!$J$6:$J$4467,$J203,'SALES Raw'!$K$6:$K$4467,"Y")*$H$4+SUMIFS('CEMIUP0.9 Raw'!$F$6:$F$1712,'CEMIUP0.9 Raw'!$B$6:$B$1712,$J203,'CEMIUP0.9 Raw'!$H$6:$H$1712,"Y")</f>
        <v>133.894736842105</v>
      </c>
      <c r="G203" s="19" t="n">
        <f aca="false">SUMIFS('SALES Raw'!$F$6:$F$4467,'SALES Raw'!$J$6:$J$4467,$J203,'SALES Raw'!$K$6:$K$4467,"Y")*$H$4+SUMIFS('CEMIUP0.9 Raw'!$G$6:$G$1712,'CEMIUP0.9 Raw'!$B$6:$B$1712,$J203,'CEMIUP0.9 Raw'!$H$6:$H$1712,"Y")</f>
        <v>5951.77263157895</v>
      </c>
      <c r="H203" s="18" t="s">
        <v>42</v>
      </c>
      <c r="I203" s="18" t="s">
        <v>44</v>
      </c>
      <c r="J203" s="18" t="s">
        <v>60</v>
      </c>
    </row>
    <row r="204" customFormat="false" ht="15" hidden="false" customHeight="false" outlineLevel="0" collapsed="false">
      <c r="A204" s="18" t="n">
        <f aca="false">IF(ISNUMBER($J204),$J204,"")</f>
        <v>4408154</v>
      </c>
      <c r="B204" s="18" t="str">
        <f aca="false">IFERROR(INDEX('SALES Raw'!$B$6:$B$4467,MATCH($J204,'SALES Raw'!$J$6:$J$4467,0)),IFERROR(INDEX('CEMIUP0.9 Raw'!$B$6:$B$1712,MATCH($J204,'CEMIUP0.9 Raw'!$B$6:$B$1712,0)),$J204))</f>
        <v>11TO XXL</v>
      </c>
      <c r="C204" s="18" t="str">
        <f aca="false">IF(ISNUMBER($J204),IFERROR(INDEX('TRANS'!$C:$C,MATCH($J204,'TRANS'!$B:$B,0)),IFERROR(INDEX('Catalog'!$B:$B,MATCH($J204,'Catalog'!$A:$A,0)),$B204)),$B204)</f>
        <v>11TO XXLחגורה למנותחי בית החזה</v>
      </c>
      <c r="D204" s="19" t="n">
        <f aca="false">SUMIFS('SALES Raw'!$C$6:$C$4467,'SALES Raw'!$J$6:$J$4467,$J204,'SALES Raw'!$K$6:$K$4467,"Y")+SUMIFS('CEMIUP0.9 Raw'!$D$6:$D$1712,'CEMIUP0.9 Raw'!$B$6:$B$1712,$J204,'CEMIUP0.9 Raw'!$H$6:$H$1712,"Y")</f>
        <v>90</v>
      </c>
      <c r="E204" s="19" t="n">
        <f aca="false">SUMIFS('SALES Raw'!$D$6:$D$4467,'SALES Raw'!$J$6:$J$4467,$J204,'SALES Raw'!$K$6:$K$4467,"Y")+SUMIFS('CEMIUP0.9 Raw'!$E$6:$E$1712,'CEMIUP0.9 Raw'!$B$6:$B$1712,$J204,'CEMIUP0.9 Raw'!$H$6:$H$1712,"Y")</f>
        <v>14448.617</v>
      </c>
      <c r="F204" s="19" t="n">
        <f aca="false">SUMIFS('SALES Raw'!$E$6:$E$4467,'SALES Raw'!$J$6:$J$4467,$J204,'SALES Raw'!$K$6:$K$4467,"Y")*$H$4+SUMIFS('CEMIUP0.9 Raw'!$F$6:$F$1712,'CEMIUP0.9 Raw'!$B$6:$B$1712,$J204,'CEMIUP0.9 Raw'!$H$6:$H$1712,"Y")</f>
        <v>132.631578947368</v>
      </c>
      <c r="G204" s="19" t="n">
        <f aca="false">SUMIFS('SALES Raw'!$F$6:$F$4467,'SALES Raw'!$J$6:$J$4467,$J204,'SALES Raw'!$K$6:$K$4467,"Y")*$H$4+SUMIFS('CEMIUP0.9 Raw'!$G$6:$G$1712,'CEMIUP0.9 Raw'!$B$6:$B$1712,$J204,'CEMIUP0.9 Raw'!$H$6:$H$1712,"Y")</f>
        <v>19804.0850526316</v>
      </c>
      <c r="H204" s="18" t="s">
        <v>44</v>
      </c>
      <c r="I204" s="18" t="s">
        <v>42</v>
      </c>
      <c r="J204" s="18" t="n">
        <v>4408154</v>
      </c>
    </row>
    <row r="205" customFormat="false" ht="15" hidden="false" customHeight="false" outlineLevel="0" collapsed="false">
      <c r="A205" s="18" t="n">
        <f aca="false">IF(ISNUMBER($J205),$J205,"")</f>
        <v>4422006</v>
      </c>
      <c r="B205" s="18" t="str">
        <f aca="false">IFERROR(INDEX('SALES Raw'!$B$6:$B$4467,MATCH($J205,'SALES Raw'!$J$6:$J$4467,0)),IFERROR(INDEX('CEMIUP0.9 Raw'!$B$6:$B$1712,MATCH($J205,'CEMIUP0.9 Raw'!$B$6:$B$1712,0)),$J205))</f>
        <v>T78 L</v>
      </c>
      <c r="C205" s="18" t="str">
        <f aca="false">IF(ISNUMBER($J205),IFERROR(INDEX('TRANS'!$C:$C,MATCH($J205,'TRANS'!$B:$B,0)),IFERROR(INDEX('Catalog'!$B:$B,MATCH($J205,'Catalog'!$A:$A,0)),$B205)),$B205)</f>
        <v>T78 L תומך זרוע וכתף</v>
      </c>
      <c r="D205" s="19" t="n">
        <f aca="false">SUMIFS('SALES Raw'!$C$6:$C$4467,'SALES Raw'!$J$6:$J$4467,$J205,'SALES Raw'!$K$6:$K$4467,"Y")+SUMIFS('CEMIUP0.9 Raw'!$D$6:$D$1712,'CEMIUP0.9 Raw'!$B$6:$B$1712,$J205,'CEMIUP0.9 Raw'!$H$6:$H$1712,"Y")</f>
        <v>136</v>
      </c>
      <c r="E205" s="19" t="n">
        <f aca="false">SUMIFS('SALES Raw'!$D$6:$D$4467,'SALES Raw'!$J$6:$J$4467,$J205,'SALES Raw'!$K$6:$K$4467,"Y")+SUMIFS('CEMIUP0.9 Raw'!$E$6:$E$1712,'CEMIUP0.9 Raw'!$B$6:$B$1712,$J205,'CEMIUP0.9 Raw'!$H$6:$H$1712,"Y")</f>
        <v>21992.392</v>
      </c>
      <c r="F205" s="19" t="n">
        <f aca="false">SUMIFS('SALES Raw'!$E$6:$E$4467,'SALES Raw'!$J$6:$J$4467,$J205,'SALES Raw'!$K$6:$K$4467,"Y")*$H$4+SUMIFS('CEMIUP0.9 Raw'!$F$6:$F$1712,'CEMIUP0.9 Raw'!$B$6:$B$1712,$J205,'CEMIUP0.9 Raw'!$H$6:$H$1712,"Y")</f>
        <v>132.631578947368</v>
      </c>
      <c r="G205" s="19" t="n">
        <f aca="false">SUMIFS('SALES Raw'!$F$6:$F$4467,'SALES Raw'!$J$6:$J$4467,$J205,'SALES Raw'!$K$6:$K$4467,"Y")*$H$4+SUMIFS('CEMIUP0.9 Raw'!$G$6:$G$1712,'CEMIUP0.9 Raw'!$B$6:$B$1712,$J205,'CEMIUP0.9 Raw'!$H$6:$H$1712,"Y")</f>
        <v>21674.123368421</v>
      </c>
      <c r="H205" s="18" t="s">
        <v>44</v>
      </c>
      <c r="I205" s="18" t="s">
        <v>43</v>
      </c>
      <c r="J205" s="18" t="n">
        <v>4422006</v>
      </c>
    </row>
    <row r="206" customFormat="false" ht="15" hidden="false" customHeight="false" outlineLevel="0" collapsed="false">
      <c r="A206" s="18" t="n">
        <f aca="false">IF(ISNUMBER($J206),$J206,"")</f>
        <v>4408223</v>
      </c>
      <c r="B206" s="18" t="str">
        <f aca="false">IFERROR(INDEX('SALES Raw'!$B$6:$B$4467,MATCH($J206,'SALES Raw'!$J$6:$J$4467,0)),IFERROR(INDEX('CEMIUP0.9 Raw'!$B$6:$B$1712,MATCH($J206,'CEMIUP0.9 Raw'!$B$6:$B$1712,0)),$J206))</f>
        <v>078G XXL</v>
      </c>
      <c r="C206" s="18" t="str">
        <f aca="false">IF(ISNUMBER($J206),IFERROR(INDEX('TRANS'!$C:$C,MATCH($J206,'TRANS'!$B:$B,0)),IFERROR(INDEX('Catalog'!$B:$B,MATCH($J206,'Catalog'!$A:$A,0)),$B206)),$B206)</f>
        <v>078G-XXLחגורת גב אפורה</v>
      </c>
      <c r="D206" s="19" t="n">
        <f aca="false">SUMIFS('SALES Raw'!$C$6:$C$4467,'SALES Raw'!$J$6:$J$4467,$J206,'SALES Raw'!$K$6:$K$4467,"Y")+SUMIFS('CEMIUP0.9 Raw'!$D$6:$D$1712,'CEMIUP0.9 Raw'!$B$6:$B$1712,$J206,'CEMIUP0.9 Raw'!$H$6:$H$1712,"Y")</f>
        <v>218</v>
      </c>
      <c r="E206" s="19" t="n">
        <f aca="false">SUMIFS('SALES Raw'!$D$6:$D$4467,'SALES Raw'!$J$6:$J$4467,$J206,'SALES Raw'!$K$6:$K$4467,"Y")+SUMIFS('CEMIUP0.9 Raw'!$E$6:$E$1712,'CEMIUP0.9 Raw'!$B$6:$B$1712,$J206,'CEMIUP0.9 Raw'!$H$6:$H$1712,"Y")</f>
        <v>18011.223</v>
      </c>
      <c r="F206" s="19" t="n">
        <f aca="false">SUMIFS('SALES Raw'!$E$6:$E$4467,'SALES Raw'!$J$6:$J$4467,$J206,'SALES Raw'!$K$6:$K$4467,"Y")*$H$4+SUMIFS('CEMIUP0.9 Raw'!$F$6:$F$1712,'CEMIUP0.9 Raw'!$B$6:$B$1712,$J206,'CEMIUP0.9 Raw'!$H$6:$H$1712,"Y")</f>
        <v>130.105263157895</v>
      </c>
      <c r="G206" s="19" t="n">
        <f aca="false">SUMIFS('SALES Raw'!$F$6:$F$4467,'SALES Raw'!$J$6:$J$4467,$J206,'SALES Raw'!$K$6:$K$4467,"Y")*$H$4+SUMIFS('CEMIUP0.9 Raw'!$G$6:$G$1712,'CEMIUP0.9 Raw'!$B$6:$B$1712,$J206,'CEMIUP0.9 Raw'!$H$6:$H$1712,"Y")</f>
        <v>10804.8012631579</v>
      </c>
      <c r="H206" s="18" t="s">
        <v>48</v>
      </c>
      <c r="I206" s="18" t="s">
        <v>43</v>
      </c>
      <c r="J206" s="18" t="n">
        <v>4408223</v>
      </c>
    </row>
    <row r="207" customFormat="false" ht="15" hidden="false" customHeight="false" outlineLevel="0" collapsed="false">
      <c r="A207" s="18" t="n">
        <f aca="false">IF(ISNUMBER($J207),$J207,"")</f>
        <v>4403017</v>
      </c>
      <c r="B207" s="18" t="str">
        <f aca="false">IFERROR(INDEX('SALES Raw'!$B$6:$B$4467,MATCH($J207,'SALES Raw'!$J$6:$J$4467,0)),IFERROR(INDEX('CEMIUP0.9 Raw'!$B$6:$B$1712,MATCH($J207,'CEMIUP0.9 Raw'!$B$6:$B$1712,0)),$J207))</f>
        <v>394B-35-38</v>
      </c>
      <c r="C207" s="18" t="str">
        <f aca="false">IF(ISNUMBER($J207),IFERROR(INDEX('TRANS'!$C:$C,MATCH($J207,'TRANS'!$B:$B,0)),IFERROR(INDEX('Catalog'!$B:$B,MATCH($J207,'Catalog'!$A:$A,0)),$B207)),$B207)</f>
        <v>394B גרב.כסף לסכרתים שחור35-38</v>
      </c>
      <c r="D207" s="19" t="n">
        <f aca="false">SUMIFS('SALES Raw'!$C$6:$C$4467,'SALES Raw'!$J$6:$J$4467,$J207,'SALES Raw'!$K$6:$K$4467,"Y")+SUMIFS('CEMIUP0.9 Raw'!$D$6:$D$1712,'CEMIUP0.9 Raw'!$B$6:$B$1712,$J207,'CEMIUP0.9 Raw'!$H$6:$H$1712,"Y")</f>
        <v>276</v>
      </c>
      <c r="E207" s="19" t="n">
        <f aca="false">SUMIFS('SALES Raw'!$D$6:$D$4467,'SALES Raw'!$J$6:$J$4467,$J207,'SALES Raw'!$K$6:$K$4467,"Y")+SUMIFS('CEMIUP0.9 Raw'!$E$6:$E$1712,'CEMIUP0.9 Raw'!$B$6:$B$1712,$J207,'CEMIUP0.9 Raw'!$H$6:$H$1712,"Y")</f>
        <v>6451.875</v>
      </c>
      <c r="F207" s="19" t="n">
        <f aca="false">SUMIFS('SALES Raw'!$E$6:$E$4467,'SALES Raw'!$J$6:$J$4467,$J207,'SALES Raw'!$K$6:$K$4467,"Y")*$H$4+SUMIFS('CEMIUP0.9 Raw'!$F$6:$F$1712,'CEMIUP0.9 Raw'!$B$6:$B$1712,$J207,'CEMIUP0.9 Raw'!$H$6:$H$1712,"Y")</f>
        <v>130.105263157895</v>
      </c>
      <c r="G207" s="19" t="n">
        <f aca="false">SUMIFS('SALES Raw'!$F$6:$F$4467,'SALES Raw'!$J$6:$J$4467,$J207,'SALES Raw'!$K$6:$K$4467,"Y")*$H$4+SUMIFS('CEMIUP0.9 Raw'!$G$6:$G$1712,'CEMIUP0.9 Raw'!$B$6:$B$1712,$J207,'CEMIUP0.9 Raw'!$H$6:$H$1712,"Y")</f>
        <v>2862.22863157895</v>
      </c>
      <c r="H207" s="18" t="s">
        <v>44</v>
      </c>
      <c r="I207" s="18" t="s">
        <v>43</v>
      </c>
      <c r="J207" s="18" t="n">
        <v>4403017</v>
      </c>
    </row>
    <row r="208" customFormat="false" ht="15" hidden="false" customHeight="false" outlineLevel="0" collapsed="false">
      <c r="A208" s="18" t="n">
        <f aca="false">IF(ISNUMBER($J208),$J208,"")</f>
        <v>4422041</v>
      </c>
      <c r="B208" s="18" t="str">
        <f aca="false">IFERROR(INDEX('SALES Raw'!$B$6:$B$4467,MATCH($J208,'SALES Raw'!$J$6:$J$4467,0)),IFERROR(INDEX('CEMIUP0.9 Raw'!$B$6:$B$1712,MATCH($J208,'CEMIUP0.9 Raw'!$B$6:$B$1712,0)),$J208))</f>
        <v>SH422 5</v>
      </c>
      <c r="C208" s="18" t="str">
        <f aca="false">IF(ISNUMBER($J208),IFERROR(INDEX('TRANS'!$C:$C,MATCH($J208,'TRANS'!$B:$B,0)),IFERROR(INDEX('Catalog'!$B:$B,MATCH($J208,'Catalog'!$A:$A,0)),$B208)),$B208)</f>
        <v>SH422 5 תומך ברך גנושילד</v>
      </c>
      <c r="D208" s="19" t="n">
        <f aca="false">SUMIFS('SALES Raw'!$C$6:$C$4467,'SALES Raw'!$J$6:$J$4467,$J208,'SALES Raw'!$K$6:$K$4467,"Y")+SUMIFS('CEMIUP0.9 Raw'!$D$6:$D$1712,'CEMIUP0.9 Raw'!$B$6:$B$1712,$J208,'CEMIUP0.9 Raw'!$H$6:$H$1712,"Y")</f>
        <v>60</v>
      </c>
      <c r="E208" s="19" t="n">
        <f aca="false">SUMIFS('SALES Raw'!$D$6:$D$4467,'SALES Raw'!$J$6:$J$4467,$J208,'SALES Raw'!$K$6:$K$4467,"Y")+SUMIFS('CEMIUP0.9 Raw'!$E$6:$E$1712,'CEMIUP0.9 Raw'!$B$6:$B$1712,$J208,'CEMIUP0.9 Raw'!$H$6:$H$1712,"Y")</f>
        <v>8243.715</v>
      </c>
      <c r="F208" s="19" t="n">
        <f aca="false">SUMIFS('SALES Raw'!$E$6:$E$4467,'SALES Raw'!$J$6:$J$4467,$J208,'SALES Raw'!$K$6:$K$4467,"Y")*$H$4+SUMIFS('CEMIUP0.9 Raw'!$F$6:$F$1712,'CEMIUP0.9 Raw'!$B$6:$B$1712,$J208,'CEMIUP0.9 Raw'!$H$6:$H$1712,"Y")</f>
        <v>128.842105263158</v>
      </c>
      <c r="G208" s="19" t="n">
        <f aca="false">SUMIFS('SALES Raw'!$F$6:$F$4467,'SALES Raw'!$J$6:$J$4467,$J208,'SALES Raw'!$K$6:$K$4467,"Y")*$H$4+SUMIFS('CEMIUP0.9 Raw'!$G$6:$G$1712,'CEMIUP0.9 Raw'!$B$6:$B$1712,$J208,'CEMIUP0.9 Raw'!$H$6:$H$1712,"Y")</f>
        <v>19991.5048421053</v>
      </c>
      <c r="H208" s="18" t="s">
        <v>43</v>
      </c>
      <c r="I208" s="18" t="s">
        <v>44</v>
      </c>
      <c r="J208" s="18" t="n">
        <v>4422041</v>
      </c>
    </row>
    <row r="209" customFormat="false" ht="15" hidden="false" customHeight="false" outlineLevel="0" collapsed="false">
      <c r="A209" s="18" t="n">
        <f aca="false">IF(ISNUMBER($J209),$J209,"")</f>
        <v>4413397</v>
      </c>
      <c r="B209" s="18" t="str">
        <f aca="false">IFERROR(INDEX('SALES Raw'!$B$6:$B$4467,MATCH($J209,'SALES Raw'!$J$6:$J$4467,0)),IFERROR(INDEX('CEMIUP0.9 Raw'!$B$6:$B$1712,MATCH($J209,'CEMIUP0.9 Raw'!$B$6:$B$1712,0)),$J209))</f>
        <v>45EC XL</v>
      </c>
      <c r="C209" s="18" t="str">
        <f aca="false">IF(ISNUMBER($J209),IFERROR(INDEX('TRANS'!$C:$C,MATCH($J209,'TRANS'!$B:$B,0)),IFERROR(INDEX('Catalog'!$B:$B,MATCH($J209,'Catalog'!$A:$A,0)),$B209)),$B209)</f>
        <v>45EC XL'מגן ברך ארוך בז</v>
      </c>
      <c r="D209" s="19" t="n">
        <f aca="false">SUMIFS('SALES Raw'!$C$6:$C$4467,'SALES Raw'!$J$6:$J$4467,$J209,'SALES Raw'!$K$6:$K$4467,"Y")+SUMIFS('CEMIUP0.9 Raw'!$D$6:$D$1712,'CEMIUP0.9 Raw'!$B$6:$B$1712,$J209,'CEMIUP0.9 Raw'!$H$6:$H$1712,"Y")</f>
        <v>110</v>
      </c>
      <c r="E209" s="19" t="n">
        <f aca="false">SUMIFS('SALES Raw'!$D$6:$D$4467,'SALES Raw'!$J$6:$J$4467,$J209,'SALES Raw'!$K$6:$K$4467,"Y")+SUMIFS('CEMIUP0.9 Raw'!$E$6:$E$1712,'CEMIUP0.9 Raw'!$B$6:$B$1712,$J209,'CEMIUP0.9 Raw'!$H$6:$H$1712,"Y")</f>
        <v>3631.386</v>
      </c>
      <c r="F209" s="19" t="n">
        <f aca="false">SUMIFS('SALES Raw'!$E$6:$E$4467,'SALES Raw'!$J$6:$J$4467,$J209,'SALES Raw'!$K$6:$K$4467,"Y")*$H$4+SUMIFS('CEMIUP0.9 Raw'!$F$6:$F$1712,'CEMIUP0.9 Raw'!$B$6:$B$1712,$J209,'CEMIUP0.9 Raw'!$H$6:$H$1712,"Y")</f>
        <v>125.052631578948</v>
      </c>
      <c r="G209" s="19" t="n">
        <f aca="false">SUMIFS('SALES Raw'!$F$6:$F$4467,'SALES Raw'!$J$6:$J$4467,$J209,'SALES Raw'!$K$6:$K$4467,"Y")*$H$4+SUMIFS('CEMIUP0.9 Raw'!$G$6:$G$1712,'CEMIUP0.9 Raw'!$B$6:$B$1712,$J209,'CEMIUP0.9 Raw'!$H$6:$H$1712,"Y")</f>
        <v>4227.12757894737</v>
      </c>
      <c r="H209" s="18" t="s">
        <v>43</v>
      </c>
      <c r="I209" s="18" t="s">
        <v>42</v>
      </c>
      <c r="J209" s="18" t="n">
        <v>4413397</v>
      </c>
    </row>
    <row r="210" customFormat="false" ht="15" hidden="false" customHeight="false" outlineLevel="0" collapsed="false">
      <c r="A210" s="18" t="n">
        <f aca="false">IF(ISNUMBER($J210),$J210,"")</f>
        <v>4413162</v>
      </c>
      <c r="B210" s="18" t="str">
        <f aca="false">IFERROR(INDEX('SALES Raw'!$B$6:$B$4467,MATCH($J210,'SALES Raw'!$J$6:$J$4467,0)),IFERROR(INDEX('CEMIUP0.9 Raw'!$B$6:$B$1712,MATCH($J210,'CEMIUP0.9 Raw'!$B$6:$B$1712,0)),$J210))</f>
        <v>34+ XL</v>
      </c>
      <c r="C210" s="18" t="str">
        <f aca="false">IF(ISNUMBER($J210),IFERROR(INDEX('TRANS'!$C:$C,MATCH($J210,'TRANS'!$B:$B,0)),IFERROR(INDEX('Catalog'!$B:$B,MATCH($J210,'Catalog'!$A:$A,0)),$B210)),$B210)</f>
        <v>34+XL מגן קרסול עקב סגור+רצוע</v>
      </c>
      <c r="D210" s="19" t="n">
        <f aca="false">SUMIFS('SALES Raw'!$C$6:$C$4467,'SALES Raw'!$J$6:$J$4467,$J210,'SALES Raw'!$K$6:$K$4467,"Y")+SUMIFS('CEMIUP0.9 Raw'!$D$6:$D$1712,'CEMIUP0.9 Raw'!$B$6:$B$1712,$J210,'CEMIUP0.9 Raw'!$H$6:$H$1712,"Y")</f>
        <v>180</v>
      </c>
      <c r="E210" s="19" t="n">
        <f aca="false">SUMIFS('SALES Raw'!$D$6:$D$4467,'SALES Raw'!$J$6:$J$4467,$J210,'SALES Raw'!$K$6:$K$4467,"Y")+SUMIFS('CEMIUP0.9 Raw'!$E$6:$E$1712,'CEMIUP0.9 Raw'!$B$6:$B$1712,$J210,'CEMIUP0.9 Raw'!$H$6:$H$1712,"Y")</f>
        <v>9813.451</v>
      </c>
      <c r="F210" s="19" t="n">
        <f aca="false">SUMIFS('SALES Raw'!$E$6:$E$4467,'SALES Raw'!$J$6:$J$4467,$J210,'SALES Raw'!$K$6:$K$4467,"Y")*$H$4+SUMIFS('CEMIUP0.9 Raw'!$F$6:$F$1712,'CEMIUP0.9 Raw'!$B$6:$B$1712,$J210,'CEMIUP0.9 Raw'!$H$6:$H$1712,"Y")</f>
        <v>125.052631578947</v>
      </c>
      <c r="G210" s="19" t="n">
        <f aca="false">SUMIFS('SALES Raw'!$F$6:$F$4467,'SALES Raw'!$J$6:$J$4467,$J210,'SALES Raw'!$K$6:$K$4467,"Y")*$H$4+SUMIFS('CEMIUP0.9 Raw'!$G$6:$G$1712,'CEMIUP0.9 Raw'!$B$6:$B$1712,$J210,'CEMIUP0.9 Raw'!$H$6:$H$1712,"Y")</f>
        <v>7156.61684210526</v>
      </c>
      <c r="H210" s="18" t="s">
        <v>48</v>
      </c>
      <c r="I210" s="18" t="s">
        <v>44</v>
      </c>
      <c r="J210" s="18" t="n">
        <v>4413162</v>
      </c>
    </row>
    <row r="211" customFormat="false" ht="15" hidden="false" customHeight="false" outlineLevel="0" collapsed="false">
      <c r="A211" s="18" t="n">
        <f aca="false">IF(ISNUMBER($J211),$J211,"")</f>
        <v>4408034</v>
      </c>
      <c r="B211" s="18" t="str">
        <f aca="false">IFERROR(INDEX('SALES Raw'!$B$6:$B$4467,MATCH($J211,'SALES Raw'!$J$6:$J$4467,0)),IFERROR(INDEX('CEMIUP0.9 Raw'!$B$6:$B$1712,MATCH($J211,'CEMIUP0.9 Raw'!$B$6:$B$1712,0)),$J211))</f>
        <v>11 XL</v>
      </c>
      <c r="C211" s="18" t="str">
        <f aca="false">IF(ISNUMBER($J211),IFERROR(INDEX('TRANS'!$C:$C,MATCH($J211,'TRANS'!$B:$B,0)),IFERROR(INDEX('Catalog'!$B:$B,MATCH($J211,'Catalog'!$A:$A,0)),$B211)),$B211)</f>
        <v>11 XL""""חגורת בטן""""אורירית</v>
      </c>
      <c r="D211" s="19" t="n">
        <f aca="false">SUMIFS('SALES Raw'!$C$6:$C$4467,'SALES Raw'!$J$6:$J$4467,$J211,'SALES Raw'!$K$6:$K$4467,"Y")+SUMIFS('CEMIUP0.9 Raw'!$D$6:$D$1712,'CEMIUP0.9 Raw'!$B$6:$B$1712,$J211,'CEMIUP0.9 Raw'!$H$6:$H$1712,"Y")</f>
        <v>209</v>
      </c>
      <c r="E211" s="19" t="n">
        <f aca="false">SUMIFS('SALES Raw'!$D$6:$D$4467,'SALES Raw'!$J$6:$J$4467,$J211,'SALES Raw'!$K$6:$K$4467,"Y")+SUMIFS('CEMIUP0.9 Raw'!$E$6:$E$1712,'CEMIUP0.9 Raw'!$B$6:$B$1712,$J211,'CEMIUP0.9 Raw'!$H$6:$H$1712,"Y")</f>
        <v>17279.235</v>
      </c>
      <c r="F211" s="19" t="n">
        <f aca="false">SUMIFS('SALES Raw'!$E$6:$E$4467,'SALES Raw'!$J$6:$J$4467,$J211,'SALES Raw'!$K$6:$K$4467,"Y")*$H$4+SUMIFS('CEMIUP0.9 Raw'!$F$6:$F$1712,'CEMIUP0.9 Raw'!$B$6:$B$1712,$J211,'CEMIUP0.9 Raw'!$H$6:$H$1712,"Y")</f>
        <v>123.789473684211</v>
      </c>
      <c r="G211" s="19" t="n">
        <f aca="false">SUMIFS('SALES Raw'!$F$6:$F$4467,'SALES Raw'!$J$6:$J$4467,$J211,'SALES Raw'!$K$6:$K$4467,"Y")*$H$4+SUMIFS('CEMIUP0.9 Raw'!$G$6:$G$1712,'CEMIUP0.9 Raw'!$B$6:$B$1712,$J211,'CEMIUP0.9 Raw'!$H$6:$H$1712,"Y")</f>
        <v>10844.4997894737</v>
      </c>
      <c r="H211" s="18" t="s">
        <v>48</v>
      </c>
      <c r="I211" s="18" t="s">
        <v>43</v>
      </c>
      <c r="J211" s="18" t="n">
        <v>4408034</v>
      </c>
    </row>
    <row r="212" customFormat="false" ht="15" hidden="false" customHeight="false" outlineLevel="0" collapsed="false">
      <c r="A212" s="18" t="n">
        <f aca="false">IF(ISNUMBER($J212),$J212,"")</f>
        <v>4422034</v>
      </c>
      <c r="B212" s="18" t="str">
        <f aca="false">IFERROR(INDEX('SALES Raw'!$B$6:$B$4467,MATCH($J212,'SALES Raw'!$J$6:$J$4467,0)),IFERROR(INDEX('CEMIUP0.9 Raw'!$B$6:$B$1712,MATCH($J212,'CEMIUP0.9 Raw'!$B$6:$B$1712,0)),$J212))</f>
        <v>807CB-P</v>
      </c>
      <c r="C212" s="18" t="str">
        <f aca="false">IF(ISNUMBER($J212),IFERROR(INDEX('TRANS'!$C:$C,MATCH($J212,'TRANS'!$B:$B,0)),IFERROR(INDEX('Catalog'!$B:$B,MATCH($J212,'Catalog'!$A:$A,0)),$B212)),$B212)</f>
        <v>807CB-P תחבושת נצמדת ורוד 20ממ</v>
      </c>
      <c r="D212" s="19" t="n">
        <f aca="false">SUMIFS('SALES Raw'!$C$6:$C$4467,'SALES Raw'!$J$6:$J$4467,$J212,'SALES Raw'!$K$6:$K$4467,"Y")+SUMIFS('CEMIUP0.9 Raw'!$D$6:$D$1712,'CEMIUP0.9 Raw'!$B$6:$B$1712,$J212,'CEMIUP0.9 Raw'!$H$6:$H$1712,"Y")</f>
        <v>237</v>
      </c>
      <c r="E212" s="19" t="n">
        <f aca="false">SUMIFS('SALES Raw'!$D$6:$D$4467,'SALES Raw'!$J$6:$J$4467,$J212,'SALES Raw'!$K$6:$K$4467,"Y")+SUMIFS('CEMIUP0.9 Raw'!$E$6:$E$1712,'CEMIUP0.9 Raw'!$B$6:$B$1712,$J212,'CEMIUP0.9 Raw'!$H$6:$H$1712,"Y")</f>
        <v>2196.275</v>
      </c>
      <c r="F212" s="19" t="n">
        <f aca="false">SUMIFS('SALES Raw'!$E$6:$E$4467,'SALES Raw'!$J$6:$J$4467,$J212,'SALES Raw'!$K$6:$K$4467,"Y")*$H$4+SUMIFS('CEMIUP0.9 Raw'!$F$6:$F$1712,'CEMIUP0.9 Raw'!$B$6:$B$1712,$J212,'CEMIUP0.9 Raw'!$H$6:$H$1712,"Y")</f>
        <v>123.789473684211</v>
      </c>
      <c r="G212" s="19" t="n">
        <f aca="false">SUMIFS('SALES Raw'!$F$6:$F$4467,'SALES Raw'!$J$6:$J$4467,$J212,'SALES Raw'!$K$6:$K$4467,"Y")*$H$4+SUMIFS('CEMIUP0.9 Raw'!$G$6:$G$1712,'CEMIUP0.9 Raw'!$B$6:$B$1712,$J212,'CEMIUP0.9 Raw'!$H$6:$H$1712,"Y")</f>
        <v>1726.18989473684</v>
      </c>
      <c r="H212" s="18" t="s">
        <v>43</v>
      </c>
      <c r="I212" s="18" t="s">
        <v>42</v>
      </c>
      <c r="J212" s="18" t="n">
        <v>4422034</v>
      </c>
    </row>
    <row r="213" customFormat="false" ht="15" hidden="false" customHeight="false" outlineLevel="0" collapsed="false">
      <c r="A213" s="18" t="n">
        <f aca="false">IF(ISNUMBER($J213),$J213,"")</f>
        <v>4413498</v>
      </c>
      <c r="B213" s="18" t="str">
        <f aca="false">IFERROR(INDEX('SALES Raw'!$B$6:$B$4467,MATCH($J213,'SALES Raw'!$J$6:$J$4467,0)),IFERROR(INDEX('CEMIUP0.9 Raw'!$B$6:$B$1712,MATCH($J213,'CEMIUP0.9 Raw'!$B$6:$B$1712,0)),$J213))</f>
        <v>45B S</v>
      </c>
      <c r="C213" s="18" t="str">
        <f aca="false">IF(ISNUMBER($J213),IFERROR(INDEX('TRANS'!$C:$C,MATCH($J213,'TRANS'!$B:$B,0)),IFERROR(INDEX('Catalog'!$B:$B,MATCH($J213,'Catalog'!$A:$A,0)),$B213)),$B213)</f>
        <v>45B S מגן ברך שחור</v>
      </c>
      <c r="D213" s="19" t="n">
        <f aca="false">SUMIFS('SALES Raw'!$C$6:$C$4467,'SALES Raw'!$J$6:$J$4467,$J213,'SALES Raw'!$K$6:$K$4467,"Y")+SUMIFS('CEMIUP0.9 Raw'!$D$6:$D$1712,'CEMIUP0.9 Raw'!$B$6:$B$1712,$J213,'CEMIUP0.9 Raw'!$H$6:$H$1712,"Y")</f>
        <v>143</v>
      </c>
      <c r="E213" s="19" t="n">
        <f aca="false">SUMIFS('SALES Raw'!$D$6:$D$4467,'SALES Raw'!$J$6:$J$4467,$J213,'SALES Raw'!$K$6:$K$4467,"Y")+SUMIFS('CEMIUP0.9 Raw'!$E$6:$E$1712,'CEMIUP0.9 Raw'!$B$6:$B$1712,$J213,'CEMIUP0.9 Raw'!$H$6:$H$1712,"Y")</f>
        <v>4225.215</v>
      </c>
      <c r="F213" s="19" t="n">
        <f aca="false">SUMIFS('SALES Raw'!$E$6:$E$4467,'SALES Raw'!$J$6:$J$4467,$J213,'SALES Raw'!$K$6:$K$4467,"Y")*$H$4+SUMIFS('CEMIUP0.9 Raw'!$F$6:$F$1712,'CEMIUP0.9 Raw'!$B$6:$B$1712,$J213,'CEMIUP0.9 Raw'!$H$6:$H$1712,"Y")</f>
        <v>122.526315789474</v>
      </c>
      <c r="G213" s="19" t="n">
        <f aca="false">SUMIFS('SALES Raw'!$F$6:$F$4467,'SALES Raw'!$J$6:$J$4467,$J213,'SALES Raw'!$K$6:$K$4467,"Y")*$H$4+SUMIFS('CEMIUP0.9 Raw'!$G$6:$G$1712,'CEMIUP0.9 Raw'!$B$6:$B$1712,$J213,'CEMIUP0.9 Raw'!$H$6:$H$1712,"Y")</f>
        <v>3541.77094736842</v>
      </c>
      <c r="H213" s="18" t="s">
        <v>43</v>
      </c>
      <c r="I213" s="18" t="s">
        <v>46</v>
      </c>
      <c r="J213" s="18" t="n">
        <v>4413498</v>
      </c>
    </row>
    <row r="214" customFormat="false" ht="15" hidden="false" customHeight="false" outlineLevel="0" collapsed="false">
      <c r="A214" s="18" t="n">
        <f aca="false">IF(ISNUMBER($J214),$J214,"")</f>
        <v>4409012</v>
      </c>
      <c r="B214" s="18" t="str">
        <f aca="false">IFERROR(INDEX('SALES Raw'!$B$6:$B$4467,MATCH($J214,'SALES Raw'!$J$6:$J$4467,0)),IFERROR(INDEX('CEMIUP0.9 Raw'!$B$6:$B$1712,MATCH($J214,'CEMIUP0.9 Raw'!$B$6:$B$1712,0)),$J214))</f>
        <v>804AT-C</v>
      </c>
      <c r="C214" s="18" t="str">
        <f aca="false">IF(ISNUMBER($J214),IFERROR(INDEX('TRANS'!$C:$C,MATCH($J214,'TRANS'!$B:$B,0)),IFERROR(INDEX('Catalog'!$B:$B,MATCH($J214,'Catalog'!$A:$A,0)),$B214)),$B214)</f>
        <v>804AT-C      טייפ חבישה לספורט</v>
      </c>
      <c r="D214" s="19" t="n">
        <f aca="false">SUMIFS('SALES Raw'!$C$6:$C$4467,'SALES Raw'!$J$6:$J$4467,$J214,'SALES Raw'!$K$6:$K$4467,"Y")+SUMIFS('CEMIUP0.9 Raw'!$D$6:$D$1712,'CEMIUP0.9 Raw'!$B$6:$B$1712,$J214,'CEMIUP0.9 Raw'!$H$6:$H$1712,"Y")</f>
        <v>88</v>
      </c>
      <c r="E214" s="19" t="n">
        <f aca="false">SUMIFS('SALES Raw'!$D$6:$D$4467,'SALES Raw'!$J$6:$J$4467,$J214,'SALES Raw'!$K$6:$K$4467,"Y")+SUMIFS('CEMIUP0.9 Raw'!$E$6:$E$1712,'CEMIUP0.9 Raw'!$B$6:$B$1712,$J214,'CEMIUP0.9 Raw'!$H$6:$H$1712,"Y")</f>
        <v>1695.266</v>
      </c>
      <c r="F214" s="19" t="n">
        <f aca="false">SUMIFS('SALES Raw'!$E$6:$E$4467,'SALES Raw'!$J$6:$J$4467,$J214,'SALES Raw'!$K$6:$K$4467,"Y")*$H$4+SUMIFS('CEMIUP0.9 Raw'!$F$6:$F$1712,'CEMIUP0.9 Raw'!$B$6:$B$1712,$J214,'CEMIUP0.9 Raw'!$H$6:$H$1712,"Y")</f>
        <v>122.526315789474</v>
      </c>
      <c r="G214" s="19" t="n">
        <f aca="false">SUMIFS('SALES Raw'!$F$6:$F$4467,'SALES Raw'!$J$6:$J$4467,$J214,'SALES Raw'!$K$6:$K$4467,"Y")*$H$4+SUMIFS('CEMIUP0.9 Raw'!$G$6:$G$1712,'CEMIUP0.9 Raw'!$B$6:$B$1712,$J214,'CEMIUP0.9 Raw'!$H$6:$H$1712,"Y")</f>
        <v>2742.93094736842</v>
      </c>
      <c r="H214" s="18" t="s">
        <v>42</v>
      </c>
      <c r="I214" s="18" t="s">
        <v>43</v>
      </c>
      <c r="J214" s="18" t="n">
        <v>4409012</v>
      </c>
    </row>
    <row r="215" customFormat="false" ht="15" hidden="false" customHeight="false" outlineLevel="0" collapsed="false">
      <c r="A215" s="18" t="n">
        <f aca="false">IF(ISNUMBER($J215),$J215,"")</f>
        <v>4413502</v>
      </c>
      <c r="B215" s="18" t="str">
        <f aca="false">IFERROR(INDEX('SALES Raw'!$B$6:$B$4467,MATCH($J215,'SALES Raw'!$J$6:$J$4467,0)),IFERROR(INDEX('CEMIUP0.9 Raw'!$B$6:$B$1712,MATCH($J215,'CEMIUP0.9 Raw'!$B$6:$B$1712,0)),$J215))</f>
        <v>95B S</v>
      </c>
      <c r="C215" s="18" t="str">
        <f aca="false">IF(ISNUMBER($J215),IFERROR(INDEX('TRANS'!$C:$C,MATCH($J215,'TRANS'!$B:$B,0)),IFERROR(INDEX('Catalog'!$B:$B,MATCH($J215,'Catalog'!$A:$A,0)),$B215)),$B215)</f>
        <v>95B S מגן מרפק שחור</v>
      </c>
      <c r="D215" s="19" t="n">
        <f aca="false">SUMIFS('SALES Raw'!$C$6:$C$4467,'SALES Raw'!$J$6:$J$4467,$J215,'SALES Raw'!$K$6:$K$4467,"Y")+SUMIFS('CEMIUP0.9 Raw'!$D$6:$D$1712,'CEMIUP0.9 Raw'!$B$6:$B$1712,$J215,'CEMIUP0.9 Raw'!$H$6:$H$1712,"Y")</f>
        <v>135</v>
      </c>
      <c r="E215" s="19" t="n">
        <f aca="false">SUMIFS('SALES Raw'!$D$6:$D$4467,'SALES Raw'!$J$6:$J$4467,$J215,'SALES Raw'!$K$6:$K$4467,"Y")+SUMIFS('CEMIUP0.9 Raw'!$E$6:$E$1712,'CEMIUP0.9 Raw'!$B$6:$B$1712,$J215,'CEMIUP0.9 Raw'!$H$6:$H$1712,"Y")</f>
        <v>3756.982</v>
      </c>
      <c r="F215" s="19" t="n">
        <f aca="false">SUMIFS('SALES Raw'!$E$6:$E$4467,'SALES Raw'!$J$6:$J$4467,$J215,'SALES Raw'!$K$6:$K$4467,"Y")*$H$4+SUMIFS('CEMIUP0.9 Raw'!$F$6:$F$1712,'CEMIUP0.9 Raw'!$B$6:$B$1712,$J215,'CEMIUP0.9 Raw'!$H$6:$H$1712,"Y")</f>
        <v>120</v>
      </c>
      <c r="G215" s="19" t="n">
        <f aca="false">SUMIFS('SALES Raw'!$F$6:$F$4467,'SALES Raw'!$J$6:$J$4467,$J215,'SALES Raw'!$K$6:$K$4467,"Y")*$H$4+SUMIFS('CEMIUP0.9 Raw'!$G$6:$G$1712,'CEMIUP0.9 Raw'!$B$6:$B$1712,$J215,'CEMIUP0.9 Raw'!$H$6:$H$1712,"Y")</f>
        <v>3489.41684210527</v>
      </c>
      <c r="H215" s="18" t="s">
        <v>43</v>
      </c>
      <c r="I215" s="18" t="s">
        <v>44</v>
      </c>
      <c r="J215" s="18" t="n">
        <v>4413502</v>
      </c>
    </row>
    <row r="216" customFormat="false" ht="15" hidden="false" customHeight="false" outlineLevel="0" collapsed="false">
      <c r="A216" s="18" t="n">
        <f aca="false">IF(ISNUMBER($J216),$J216,"")</f>
        <v>4409010</v>
      </c>
      <c r="B216" s="18" t="str">
        <f aca="false">IFERROR(INDEX('SALES Raw'!$B$6:$B$4467,MATCH($J216,'SALES Raw'!$J$6:$J$4467,0)),IFERROR(INDEX('CEMIUP0.9 Raw'!$B$6:$B$1712,MATCH($J216,'CEMIUP0.9 Raw'!$B$6:$B$1712,0)),$J216))</f>
        <v>804AT-W</v>
      </c>
      <c r="C216" s="18" t="str">
        <f aca="false">IF(ISNUMBER($J216),IFERROR(INDEX('TRANS'!$C:$C,MATCH($J216,'TRANS'!$B:$B,0)),IFERROR(INDEX('Catalog'!$B:$B,MATCH($J216,'Catalog'!$A:$A,0)),$B216)),$B216)</f>
        <v>804AT-W      טייפ חבישה לספורט</v>
      </c>
      <c r="D216" s="19" t="n">
        <f aca="false">SUMIFS('SALES Raw'!$C$6:$C$4467,'SALES Raw'!$J$6:$J$4467,$J216,'SALES Raw'!$K$6:$K$4467,"Y")+SUMIFS('CEMIUP0.9 Raw'!$D$6:$D$1712,'CEMIUP0.9 Raw'!$B$6:$B$1712,$J216,'CEMIUP0.9 Raw'!$H$6:$H$1712,"Y")</f>
        <v>50</v>
      </c>
      <c r="E216" s="19" t="n">
        <f aca="false">SUMIFS('SALES Raw'!$D$6:$D$4467,'SALES Raw'!$J$6:$J$4467,$J216,'SALES Raw'!$K$6:$K$4467,"Y")+SUMIFS('CEMIUP0.9 Raw'!$E$6:$E$1712,'CEMIUP0.9 Raw'!$B$6:$B$1712,$J216,'CEMIUP0.9 Raw'!$H$6:$H$1712,"Y")</f>
        <v>1241.611</v>
      </c>
      <c r="F216" s="19" t="n">
        <f aca="false">SUMIFS('SALES Raw'!$E$6:$E$4467,'SALES Raw'!$J$6:$J$4467,$J216,'SALES Raw'!$K$6:$K$4467,"Y")*$H$4+SUMIFS('CEMIUP0.9 Raw'!$F$6:$F$1712,'CEMIUP0.9 Raw'!$B$6:$B$1712,$J216,'CEMIUP0.9 Raw'!$H$6:$H$1712,"Y")</f>
        <v>120</v>
      </c>
      <c r="G216" s="19" t="n">
        <f aca="false">SUMIFS('SALES Raw'!$F$6:$F$4467,'SALES Raw'!$J$6:$J$4467,$J216,'SALES Raw'!$K$6:$K$4467,"Y")*$H$4+SUMIFS('CEMIUP0.9 Raw'!$G$6:$G$1712,'CEMIUP0.9 Raw'!$B$6:$B$1712,$J216,'CEMIUP0.9 Raw'!$H$6:$H$1712,"Y")</f>
        <v>3045.96757894737</v>
      </c>
      <c r="H216" s="18" t="s">
        <v>42</v>
      </c>
      <c r="I216" s="18" t="s">
        <v>49</v>
      </c>
      <c r="J216" s="18" t="n">
        <v>4409010</v>
      </c>
    </row>
    <row r="217" customFormat="false" ht="15" hidden="false" customHeight="false" outlineLevel="0" collapsed="false">
      <c r="A217" s="18" t="n">
        <f aca="false">IF(ISNUMBER($J217),$J217,"")</f>
        <v>4416003</v>
      </c>
      <c r="B217" s="18" t="str">
        <f aca="false">IFERROR(INDEX('SALES Raw'!$B$6:$B$4467,MATCH($J217,'SALES Raw'!$J$6:$J$4467,0)),IFERROR(INDEX('CEMIUP0.9 Raw'!$B$6:$B$1712,MATCH($J217,'CEMIUP0.9 Raw'!$B$6:$B$1712,0)),$J217))</f>
        <v>308 L</v>
      </c>
      <c r="C217" s="18" t="str">
        <f aca="false">IF(ISNUMBER($J217),IFERROR(INDEX('TRANS'!$C:$C,MATCH($J217,'TRANS'!$B:$B,0)),IFERROR(INDEX('Catalog'!$B:$B,MATCH($J217,'Catalog'!$A:$A,0)),$B217)),$B217)</f>
        <v>308 Lעקבים סיליקון כחול לדורבן</v>
      </c>
      <c r="D217" s="19" t="n">
        <f aca="false">SUMIFS('SALES Raw'!$C$6:$C$4467,'SALES Raw'!$J$6:$J$4467,$J217,'SALES Raw'!$K$6:$K$4467,"Y")+SUMIFS('CEMIUP0.9 Raw'!$D$6:$D$1712,'CEMIUP0.9 Raw'!$B$6:$B$1712,$J217,'CEMIUP0.9 Raw'!$H$6:$H$1712,"Y")</f>
        <v>146</v>
      </c>
      <c r="E217" s="19" t="n">
        <f aca="false">SUMIFS('SALES Raw'!$D$6:$D$4467,'SALES Raw'!$J$6:$J$4467,$J217,'SALES Raw'!$K$6:$K$4467,"Y")+SUMIFS('CEMIUP0.9 Raw'!$E$6:$E$1712,'CEMIUP0.9 Raw'!$B$6:$B$1712,$J217,'CEMIUP0.9 Raw'!$H$6:$H$1712,"Y")</f>
        <v>7891.541</v>
      </c>
      <c r="F217" s="19" t="n">
        <f aca="false">SUMIFS('SALES Raw'!$E$6:$E$4467,'SALES Raw'!$J$6:$J$4467,$J217,'SALES Raw'!$K$6:$K$4467,"Y")*$H$4+SUMIFS('CEMIUP0.9 Raw'!$F$6:$F$1712,'CEMIUP0.9 Raw'!$B$6:$B$1712,$J217,'CEMIUP0.9 Raw'!$H$6:$H$1712,"Y")</f>
        <v>117.473684210526</v>
      </c>
      <c r="G217" s="19" t="n">
        <f aca="false">SUMIFS('SALES Raw'!$F$6:$F$4467,'SALES Raw'!$J$6:$J$4467,$J217,'SALES Raw'!$K$6:$K$4467,"Y")*$H$4+SUMIFS('CEMIUP0.9 Raw'!$G$6:$G$1712,'CEMIUP0.9 Raw'!$B$6:$B$1712,$J217,'CEMIUP0.9 Raw'!$H$6:$H$1712,"Y")</f>
        <v>6918.21347368421</v>
      </c>
      <c r="H217" s="18" t="s">
        <v>43</v>
      </c>
      <c r="I217" s="18" t="s">
        <v>42</v>
      </c>
      <c r="J217" s="18" t="n">
        <v>4416003</v>
      </c>
    </row>
    <row r="218" customFormat="false" ht="15" hidden="false" customHeight="false" outlineLevel="0" collapsed="false">
      <c r="A218" s="18" t="n">
        <f aca="false">IF(ISNUMBER($J218),$J218,"")</f>
        <v>4413046</v>
      </c>
      <c r="B218" s="18" t="str">
        <f aca="false">IFERROR(INDEX('SALES Raw'!$B$6:$B$4467,MATCH($J218,'SALES Raw'!$J$6:$J$4467,0)),IFERROR(INDEX('CEMIUP0.9 Raw'!$B$6:$B$1712,MATCH($J218,'CEMIUP0.9 Raw'!$B$6:$B$1712,0)),$J218))</f>
        <v>34 XXL</v>
      </c>
      <c r="C218" s="18" t="str">
        <f aca="false">IF(ISNUMBER($J218),IFERROR(INDEX('TRANS'!$C:$C,MATCH($J218,'TRANS'!$B:$B,0)),IFERROR(INDEX('Catalog'!$B:$B,MATCH($J218,'Catalog'!$A:$A,0)),$B218)),$B218)</f>
        <v>34 XXL מגן קרסול עקב סגור</v>
      </c>
      <c r="D218" s="19" t="n">
        <f aca="false">SUMIFS('SALES Raw'!$C$6:$C$4467,'SALES Raw'!$J$6:$J$4467,$J218,'SALES Raw'!$K$6:$K$4467,"Y")+SUMIFS('CEMIUP0.9 Raw'!$D$6:$D$1712,'CEMIUP0.9 Raw'!$B$6:$B$1712,$J218,'CEMIUP0.9 Raw'!$H$6:$H$1712,"Y")</f>
        <v>109</v>
      </c>
      <c r="E218" s="19" t="n">
        <f aca="false">SUMIFS('SALES Raw'!$D$6:$D$4467,'SALES Raw'!$J$6:$J$4467,$J218,'SALES Raw'!$K$6:$K$4467,"Y")+SUMIFS('CEMIUP0.9 Raw'!$E$6:$E$1712,'CEMIUP0.9 Raw'!$B$6:$B$1712,$J218,'CEMIUP0.9 Raw'!$H$6:$H$1712,"Y")</f>
        <v>4176.98</v>
      </c>
      <c r="F218" s="19" t="n">
        <f aca="false">SUMIFS('SALES Raw'!$E$6:$E$4467,'SALES Raw'!$J$6:$J$4467,$J218,'SALES Raw'!$K$6:$K$4467,"Y")*$H$4+SUMIFS('CEMIUP0.9 Raw'!$F$6:$F$1712,'CEMIUP0.9 Raw'!$B$6:$B$1712,$J218,'CEMIUP0.9 Raw'!$H$6:$H$1712,"Y")</f>
        <v>116.21052631579</v>
      </c>
      <c r="G218" s="19" t="n">
        <f aca="false">SUMIFS('SALES Raw'!$F$6:$F$4467,'SALES Raw'!$J$6:$J$4467,$J218,'SALES Raw'!$K$6:$K$4467,"Y")*$H$4+SUMIFS('CEMIUP0.9 Raw'!$G$6:$G$1712,'CEMIUP0.9 Raw'!$B$6:$B$1712,$J218,'CEMIUP0.9 Raw'!$H$6:$H$1712,"Y")</f>
        <v>4922.49221052631</v>
      </c>
      <c r="H218" s="18" t="s">
        <v>48</v>
      </c>
      <c r="I218" s="18" t="s">
        <v>42</v>
      </c>
      <c r="J218" s="18" t="n">
        <v>4413046</v>
      </c>
    </row>
    <row r="219" customFormat="false" ht="15" hidden="false" customHeight="false" outlineLevel="0" collapsed="false">
      <c r="A219" s="18" t="n">
        <f aca="false">IF(ISNUMBER($J219),$J219,"")</f>
        <v>4408220</v>
      </c>
      <c r="B219" s="18" t="str">
        <f aca="false">IFERROR(INDEX('SALES Raw'!$B$6:$B$4467,MATCH($J219,'SALES Raw'!$J$6:$J$4467,0)),IFERROR(INDEX('CEMIUP0.9 Raw'!$B$6:$B$1712,MATCH($J219,'CEMIUP0.9 Raw'!$B$6:$B$1712,0)),$J219))</f>
        <v>078G M</v>
      </c>
      <c r="C219" s="18" t="str">
        <f aca="false">IF(ISNUMBER($J219),IFERROR(INDEX('TRANS'!$C:$C,MATCH($J219,'TRANS'!$B:$B,0)),IFERROR(INDEX('Catalog'!$B:$B,MATCH($J219,'Catalog'!$A:$A,0)),$B219)),$B219)</f>
        <v>078G-M חגורת גב אפורה</v>
      </c>
      <c r="D219" s="19" t="n">
        <f aca="false">SUMIFS('SALES Raw'!$C$6:$C$4467,'SALES Raw'!$J$6:$J$4467,$J219,'SALES Raw'!$K$6:$K$4467,"Y")+SUMIFS('CEMIUP0.9 Raw'!$D$6:$D$1712,'CEMIUP0.9 Raw'!$B$6:$B$1712,$J219,'CEMIUP0.9 Raw'!$H$6:$H$1712,"Y")</f>
        <v>216</v>
      </c>
      <c r="E219" s="19" t="n">
        <f aca="false">SUMIFS('SALES Raw'!$D$6:$D$4467,'SALES Raw'!$J$6:$J$4467,$J219,'SALES Raw'!$K$6:$K$4467,"Y")+SUMIFS('CEMIUP0.9 Raw'!$E$6:$E$1712,'CEMIUP0.9 Raw'!$B$6:$B$1712,$J219,'CEMIUP0.9 Raw'!$H$6:$H$1712,"Y")</f>
        <v>17394.247</v>
      </c>
      <c r="F219" s="19" t="n">
        <f aca="false">SUMIFS('SALES Raw'!$E$6:$E$4467,'SALES Raw'!$J$6:$J$4467,$J219,'SALES Raw'!$K$6:$K$4467,"Y")*$H$4+SUMIFS('CEMIUP0.9 Raw'!$F$6:$F$1712,'CEMIUP0.9 Raw'!$B$6:$B$1712,$J219,'CEMIUP0.9 Raw'!$H$6:$H$1712,"Y")</f>
        <v>116.210526315789</v>
      </c>
      <c r="G219" s="19" t="n">
        <f aca="false">SUMIFS('SALES Raw'!$F$6:$F$4467,'SALES Raw'!$J$6:$J$4467,$J219,'SALES Raw'!$K$6:$K$4467,"Y")*$H$4+SUMIFS('CEMIUP0.9 Raw'!$G$6:$G$1712,'CEMIUP0.9 Raw'!$B$6:$B$1712,$J219,'CEMIUP0.9 Raw'!$H$6:$H$1712,"Y")</f>
        <v>10434.0934736842</v>
      </c>
      <c r="H219" s="18" t="s">
        <v>48</v>
      </c>
      <c r="I219" s="18" t="s">
        <v>43</v>
      </c>
      <c r="J219" s="18" t="n">
        <v>4408220</v>
      </c>
    </row>
    <row r="220" customFormat="false" ht="15" hidden="false" customHeight="false" outlineLevel="0" collapsed="false">
      <c r="A220" s="18" t="n">
        <f aca="false">IF(ISNUMBER($J220),$J220,"")</f>
        <v>4413365</v>
      </c>
      <c r="B220" s="18" t="str">
        <f aca="false">IFERROR(INDEX('SALES Raw'!$B$6:$B$4467,MATCH($J220,'SALES Raw'!$J$6:$J$4467,0)),IFERROR(INDEX('CEMIUP0.9 Raw'!$B$6:$B$1712,MATCH($J220,'CEMIUP0.9 Raw'!$B$6:$B$1712,0)),$J220))</f>
        <v>95C L</v>
      </c>
      <c r="C220" s="18" t="str">
        <f aca="false">IF(ISNUMBER($J220),IFERROR(INDEX('TRANS'!$C:$C,MATCH($J220,'TRANS'!$B:$B,0)),IFERROR(INDEX('Catalog'!$B:$B,MATCH($J220,'Catalog'!$A:$A,0)),$B220)),$B220)</f>
        <v>95C L 'מגן מרפק בז</v>
      </c>
      <c r="D220" s="19" t="n">
        <f aca="false">SUMIFS('SALES Raw'!$C$6:$C$4467,'SALES Raw'!$J$6:$J$4467,$J220,'SALES Raw'!$K$6:$K$4467,"Y")+SUMIFS('CEMIUP0.9 Raw'!$D$6:$D$1712,'CEMIUP0.9 Raw'!$B$6:$B$1712,$J220,'CEMIUP0.9 Raw'!$H$6:$H$1712,"Y")</f>
        <v>158</v>
      </c>
      <c r="E220" s="19" t="n">
        <f aca="false">SUMIFS('SALES Raw'!$D$6:$D$4467,'SALES Raw'!$J$6:$J$4467,$J220,'SALES Raw'!$K$6:$K$4467,"Y")+SUMIFS('CEMIUP0.9 Raw'!$E$6:$E$1712,'CEMIUP0.9 Raw'!$B$6:$B$1712,$J220,'CEMIUP0.9 Raw'!$H$6:$H$1712,"Y")</f>
        <v>4357.749</v>
      </c>
      <c r="F220" s="19" t="n">
        <f aca="false">SUMIFS('SALES Raw'!$E$6:$E$4467,'SALES Raw'!$J$6:$J$4467,$J220,'SALES Raw'!$K$6:$K$4467,"Y")*$H$4+SUMIFS('CEMIUP0.9 Raw'!$F$6:$F$1712,'CEMIUP0.9 Raw'!$B$6:$B$1712,$J220,'CEMIUP0.9 Raw'!$H$6:$H$1712,"Y")</f>
        <v>114.947368421053</v>
      </c>
      <c r="G220" s="19" t="n">
        <f aca="false">SUMIFS('SALES Raw'!$F$6:$F$4467,'SALES Raw'!$J$6:$J$4467,$J220,'SALES Raw'!$K$6:$K$4467,"Y")*$H$4+SUMIFS('CEMIUP0.9 Raw'!$G$6:$G$1712,'CEMIUP0.9 Raw'!$B$6:$B$1712,$J220,'CEMIUP0.9 Raw'!$H$6:$H$1712,"Y")</f>
        <v>3026.06652631579</v>
      </c>
      <c r="H220" s="18" t="s">
        <v>43</v>
      </c>
      <c r="I220" s="18" t="s">
        <v>61</v>
      </c>
      <c r="J220" s="18" t="n">
        <v>4413365</v>
      </c>
    </row>
    <row r="221" customFormat="false" ht="15" hidden="false" customHeight="false" outlineLevel="0" collapsed="false">
      <c r="A221" s="18" t="n">
        <f aca="false">IF(ISNUMBER($J221),$J221,"")</f>
        <v>4403001</v>
      </c>
      <c r="B221" s="18" t="str">
        <f aca="false">IFERROR(INDEX('SALES Raw'!$B$6:$B$4467,MATCH($J221,'SALES Raw'!$J$6:$J$4467,0)),IFERROR(INDEX('CEMIUP0.9 Raw'!$B$6:$B$1712,MATCH($J221,'CEMIUP0.9 Raw'!$B$6:$B$1712,0)),$J221))</f>
        <v>390B-39-42</v>
      </c>
      <c r="C221" s="18" t="str">
        <f aca="false">IF(ISNUMBER($J221),IFERROR(INDEX('TRANS'!$C:$C,MATCH($J221,'TRANS'!$B:$B,0)),IFERROR(INDEX('Catalog'!$B:$B,MATCH($J221,'Catalog'!$A:$A,0)),$B221)),$B221)</f>
        <v>390B 39-42.גרב.כסף לסכרתיים שח</v>
      </c>
      <c r="D221" s="19" t="n">
        <f aca="false">SUMIFS('SALES Raw'!$C$6:$C$4467,'SALES Raw'!$J$6:$J$4467,$J221,'SALES Raw'!$K$6:$K$4467,"Y")+SUMIFS('CEMIUP0.9 Raw'!$D$6:$D$1712,'CEMIUP0.9 Raw'!$B$6:$B$1712,$J221,'CEMIUP0.9 Raw'!$H$6:$H$1712,"Y")</f>
        <v>148</v>
      </c>
      <c r="E221" s="19" t="n">
        <f aca="false">SUMIFS('SALES Raw'!$D$6:$D$4467,'SALES Raw'!$J$6:$J$4467,$J221,'SALES Raw'!$K$6:$K$4467,"Y")+SUMIFS('CEMIUP0.9 Raw'!$E$6:$E$1712,'CEMIUP0.9 Raw'!$B$6:$B$1712,$J221,'CEMIUP0.9 Raw'!$H$6:$H$1712,"Y")</f>
        <v>4197.424</v>
      </c>
      <c r="F221" s="19" t="n">
        <f aca="false">SUMIFS('SALES Raw'!$E$6:$E$4467,'SALES Raw'!$J$6:$J$4467,$J221,'SALES Raw'!$K$6:$K$4467,"Y")*$H$4+SUMIFS('CEMIUP0.9 Raw'!$F$6:$F$1712,'CEMIUP0.9 Raw'!$B$6:$B$1712,$J221,'CEMIUP0.9 Raw'!$H$6:$H$1712,"Y")</f>
        <v>112.421052631579</v>
      </c>
      <c r="G221" s="19" t="n">
        <f aca="false">SUMIFS('SALES Raw'!$F$6:$F$4467,'SALES Raw'!$J$6:$J$4467,$J221,'SALES Raw'!$K$6:$K$4467,"Y")*$H$4+SUMIFS('CEMIUP0.9 Raw'!$G$6:$G$1712,'CEMIUP0.9 Raw'!$B$6:$B$1712,$J221,'CEMIUP0.9 Raw'!$H$6:$H$1712,"Y")</f>
        <v>3601.86947368421</v>
      </c>
      <c r="H221" s="18" t="s">
        <v>48</v>
      </c>
      <c r="I221" s="18" t="s">
        <v>44</v>
      </c>
      <c r="J221" s="18" t="n">
        <v>4403001</v>
      </c>
    </row>
    <row r="222" customFormat="false" ht="15" hidden="false" customHeight="false" outlineLevel="0" collapsed="false">
      <c r="A222" s="18" t="str">
        <f aca="false">IF(ISNUMBER($J222),$J222,"")</f>
        <v/>
      </c>
      <c r="B222" s="18" t="str">
        <f aca="false">IFERROR(INDEX('SALES Raw'!$B$6:$B$4467,MATCH($J222,'SALES Raw'!$J$6:$J$4467,0)),IFERROR(INDEX('CEMIUP0.9 Raw'!$B$6:$B$1712,MATCH($J222,'CEMIUP0.9 Raw'!$B$6:$B$1712,0)),$J222))</f>
        <v>84-S-M</v>
      </c>
      <c r="C222" s="18" t="str">
        <f aca="false">IF(ISNUMBER($J222),IFERROR(INDEX('TRANS'!$C:$C,MATCH($J222,'TRANS'!$B:$B,0)),IFERROR(INDEX('Catalog'!$B:$B,MATCH($J222,'Catalog'!$A:$A,0)),$B222)),$B222)</f>
        <v>84-S-M</v>
      </c>
      <c r="D222" s="19" t="n">
        <f aca="false">SUMIFS('SALES Raw'!$C$6:$C$4467,'SALES Raw'!$J$6:$J$4467,$J222,'SALES Raw'!$K$6:$K$4467,"Y")+SUMIFS('CEMIUP0.9 Raw'!$D$6:$D$1712,'CEMIUP0.9 Raw'!$B$6:$B$1712,$J222,'CEMIUP0.9 Raw'!$H$6:$H$1712,"Y")</f>
        <v>108</v>
      </c>
      <c r="E222" s="19" t="n">
        <f aca="false">SUMIFS('SALES Raw'!$D$6:$D$4467,'SALES Raw'!$J$6:$J$4467,$J222,'SALES Raw'!$K$6:$K$4467,"Y")+SUMIFS('CEMIUP0.9 Raw'!$E$6:$E$1712,'CEMIUP0.9 Raw'!$B$6:$B$1712,$J222,'CEMIUP0.9 Raw'!$H$6:$H$1712,"Y")</f>
        <v>22327.87</v>
      </c>
      <c r="F222" s="19" t="n">
        <f aca="false">SUMIFS('SALES Raw'!$E$6:$E$4467,'SALES Raw'!$J$6:$J$4467,$J222,'SALES Raw'!$K$6:$K$4467,"Y")*$H$4+SUMIFS('CEMIUP0.9 Raw'!$F$6:$F$1712,'CEMIUP0.9 Raw'!$B$6:$B$1712,$J222,'CEMIUP0.9 Raw'!$H$6:$H$1712,"Y")</f>
        <v>112.421052631579</v>
      </c>
      <c r="G222" s="19" t="n">
        <f aca="false">SUMIFS('SALES Raw'!$F$6:$F$4467,'SALES Raw'!$J$6:$J$4467,$J222,'SALES Raw'!$K$6:$K$4467,"Y")*$H$4+SUMIFS('CEMIUP0.9 Raw'!$G$6:$G$1712,'CEMIUP0.9 Raw'!$B$6:$B$1712,$J222,'CEMIUP0.9 Raw'!$H$6:$H$1712,"Y")</f>
        <v>23424.1642105263</v>
      </c>
      <c r="H222" s="18" t="s">
        <v>42</v>
      </c>
      <c r="I222" s="18" t="s">
        <v>44</v>
      </c>
      <c r="J222" s="18" t="s">
        <v>62</v>
      </c>
    </row>
    <row r="223" customFormat="false" ht="15" hidden="false" customHeight="false" outlineLevel="0" collapsed="false">
      <c r="A223" s="18" t="n">
        <f aca="false">IF(ISNUMBER($J223),$J223,"")</f>
        <v>4415000</v>
      </c>
      <c r="B223" s="18" t="str">
        <f aca="false">IFERROR(INDEX('SALES Raw'!$B$6:$B$4467,MATCH($J223,'SALES Raw'!$J$6:$J$4467,0)),IFERROR(INDEX('CEMIUP0.9 Raw'!$B$6:$B$1712,MATCH($J223,'CEMIUP0.9 Raw'!$B$6:$B$1712,0)),$J223))</f>
        <v>26 L</v>
      </c>
      <c r="C223" s="18" t="str">
        <f aca="false">IF(ISNUMBER($J223),IFERROR(INDEX('TRANS'!$C:$C,MATCH($J223,'TRANS'!$B:$B,0)),IFERROR(INDEX('Catalog'!$B:$B,MATCH($J223,'Catalog'!$A:$A,0)),$B223)),$B223)</f>
        <v>26 L סד ליד דו צדדי לאחר שבר</v>
      </c>
      <c r="D223" s="19" t="n">
        <f aca="false">SUMIFS('SALES Raw'!$C$6:$C$4467,'SALES Raw'!$J$6:$J$4467,$J223,'SALES Raw'!$K$6:$K$4467,"Y")+SUMIFS('CEMIUP0.9 Raw'!$D$6:$D$1712,'CEMIUP0.9 Raw'!$B$6:$B$1712,$J223,'CEMIUP0.9 Raw'!$H$6:$H$1712,"Y")</f>
        <v>139</v>
      </c>
      <c r="E223" s="19" t="n">
        <f aca="false">SUMIFS('SALES Raw'!$D$6:$D$4467,'SALES Raw'!$J$6:$J$4467,$J223,'SALES Raw'!$K$6:$K$4467,"Y")+SUMIFS('CEMIUP0.9 Raw'!$E$6:$E$1712,'CEMIUP0.9 Raw'!$B$6:$B$1712,$J223,'CEMIUP0.9 Raw'!$H$6:$H$1712,"Y")</f>
        <v>13410.784</v>
      </c>
      <c r="F223" s="19" t="n">
        <f aca="false">SUMIFS('SALES Raw'!$E$6:$E$4467,'SALES Raw'!$J$6:$J$4467,$J223,'SALES Raw'!$K$6:$K$4467,"Y")*$H$4+SUMIFS('CEMIUP0.9 Raw'!$F$6:$F$1712,'CEMIUP0.9 Raw'!$B$6:$B$1712,$J223,'CEMIUP0.9 Raw'!$H$6:$H$1712,"Y")</f>
        <v>112.421052631579</v>
      </c>
      <c r="G223" s="19" t="n">
        <f aca="false">SUMIFS('SALES Raw'!$F$6:$F$4467,'SALES Raw'!$J$6:$J$4467,$J223,'SALES Raw'!$K$6:$K$4467,"Y")*$H$4+SUMIFS('CEMIUP0.9 Raw'!$G$6:$G$1712,'CEMIUP0.9 Raw'!$B$6:$B$1712,$J223,'CEMIUP0.9 Raw'!$H$6:$H$1712,"Y")</f>
        <v>10862.1296842105</v>
      </c>
      <c r="H223" s="18" t="s">
        <v>43</v>
      </c>
      <c r="I223" s="18" t="s">
        <v>44</v>
      </c>
      <c r="J223" s="18" t="n">
        <v>4415000</v>
      </c>
    </row>
    <row r="224" customFormat="false" ht="15" hidden="false" customHeight="false" outlineLevel="0" collapsed="false">
      <c r="A224" s="18" t="n">
        <f aca="false">IF(ISNUMBER($J224),$J224,"")</f>
        <v>4403018</v>
      </c>
      <c r="B224" s="18" t="str">
        <f aca="false">IFERROR(INDEX('SALES Raw'!$B$6:$B$4467,MATCH($J224,'SALES Raw'!$J$6:$J$4467,0)),IFERROR(INDEX('CEMIUP0.9 Raw'!$B$6:$B$1712,MATCH($J224,'CEMIUP0.9 Raw'!$B$6:$B$1712,0)),$J224))</f>
        <v>394B-39-42</v>
      </c>
      <c r="C224" s="18" t="str">
        <f aca="false">IF(ISNUMBER($J224),IFERROR(INDEX('TRANS'!$C:$C,MATCH($J224,'TRANS'!$B:$B,0)),IFERROR(INDEX('Catalog'!$B:$B,MATCH($J224,'Catalog'!$A:$A,0)),$B224)),$B224)</f>
        <v>394B גרב.כסף לסכרתים שחור39-42</v>
      </c>
      <c r="D224" s="19" t="n">
        <f aca="false">SUMIFS('SALES Raw'!$C$6:$C$4467,'SALES Raw'!$J$6:$J$4467,$J224,'SALES Raw'!$K$6:$K$4467,"Y")+SUMIFS('CEMIUP0.9 Raw'!$D$6:$D$1712,'CEMIUP0.9 Raw'!$B$6:$B$1712,$J224,'CEMIUP0.9 Raw'!$H$6:$H$1712,"Y")</f>
        <v>757</v>
      </c>
      <c r="E224" s="19" t="n">
        <f aca="false">SUMIFS('SALES Raw'!$D$6:$D$4467,'SALES Raw'!$J$6:$J$4467,$J224,'SALES Raw'!$K$6:$K$4467,"Y")+SUMIFS('CEMIUP0.9 Raw'!$E$6:$E$1712,'CEMIUP0.9 Raw'!$B$6:$B$1712,$J224,'CEMIUP0.9 Raw'!$H$6:$H$1712,"Y")</f>
        <v>17711.461</v>
      </c>
      <c r="F224" s="19" t="n">
        <f aca="false">SUMIFS('SALES Raw'!$E$6:$E$4467,'SALES Raw'!$J$6:$J$4467,$J224,'SALES Raw'!$K$6:$K$4467,"Y")*$H$4+SUMIFS('CEMIUP0.9 Raw'!$F$6:$F$1712,'CEMIUP0.9 Raw'!$B$6:$B$1712,$J224,'CEMIUP0.9 Raw'!$H$6:$H$1712,"Y")</f>
        <v>112.421052631579</v>
      </c>
      <c r="G224" s="19" t="n">
        <f aca="false">SUMIFS('SALES Raw'!$F$6:$F$4467,'SALES Raw'!$J$6:$J$4467,$J224,'SALES Raw'!$K$6:$K$4467,"Y")*$H$4+SUMIFS('CEMIUP0.9 Raw'!$G$6:$G$1712,'CEMIUP0.9 Raw'!$B$6:$B$1712,$J224,'CEMIUP0.9 Raw'!$H$6:$H$1712,"Y")</f>
        <v>2535.32336842105</v>
      </c>
      <c r="H224" s="18" t="s">
        <v>43</v>
      </c>
      <c r="I224" s="18" t="s">
        <v>48</v>
      </c>
      <c r="J224" s="18" t="n">
        <v>4403018</v>
      </c>
    </row>
    <row r="225" customFormat="false" ht="15" hidden="false" customHeight="false" outlineLevel="0" collapsed="false">
      <c r="A225" s="18" t="n">
        <f aca="false">IF(ISNUMBER($J225),$J225,"")</f>
        <v>4408247</v>
      </c>
      <c r="B225" s="18" t="str">
        <f aca="false">IFERROR(INDEX('SALES Raw'!$B$6:$B$4467,MATCH($J225,'SALES Raw'!$J$6:$J$4467,0)),IFERROR(INDEX('CEMIUP0.9 Raw'!$B$6:$B$1712,MATCH($J225,'CEMIUP0.9 Raw'!$B$6:$B$1712,0)),$J225))</f>
        <v>SC25 S</v>
      </c>
      <c r="C225" s="18" t="str">
        <f aca="false">IF(ISNUMBER($J225),IFERROR(INDEX('TRANS'!$C:$C,MATCH($J225,'TRANS'!$B:$B,0)),IFERROR(INDEX('Catalog'!$B:$B,MATCH($J225,'Catalog'!$A:$A,0)),$B225)),$B225)</f>
        <v>SC25  S חבק יד</v>
      </c>
      <c r="D225" s="19" t="n">
        <f aca="false">SUMIFS('SALES Raw'!$C$6:$C$4467,'SALES Raw'!$J$6:$J$4467,$J225,'SALES Raw'!$K$6:$K$4467,"Y")+SUMIFS('CEMIUP0.9 Raw'!$D$6:$D$1712,'CEMIUP0.9 Raw'!$B$6:$B$1712,$J225,'CEMIUP0.9 Raw'!$H$6:$H$1712,"Y")</f>
        <v>95</v>
      </c>
      <c r="E225" s="19" t="n">
        <f aca="false">SUMIFS('SALES Raw'!$D$6:$D$4467,'SALES Raw'!$J$6:$J$4467,$J225,'SALES Raw'!$K$6:$K$4467,"Y")+SUMIFS('CEMIUP0.9 Raw'!$E$6:$E$1712,'CEMIUP0.9 Raw'!$B$6:$B$1712,$J225,'CEMIUP0.9 Raw'!$H$6:$H$1712,"Y")</f>
        <v>11999.553</v>
      </c>
      <c r="F225" s="19" t="n">
        <f aca="false">SUMIFS('SALES Raw'!$E$6:$E$4467,'SALES Raw'!$J$6:$J$4467,$J225,'SALES Raw'!$K$6:$K$4467,"Y")*$H$4+SUMIFS('CEMIUP0.9 Raw'!$F$6:$F$1712,'CEMIUP0.9 Raw'!$B$6:$B$1712,$J225,'CEMIUP0.9 Raw'!$H$6:$H$1712,"Y")</f>
        <v>111.157894736842</v>
      </c>
      <c r="G225" s="19" t="n">
        <f aca="false">SUMIFS('SALES Raw'!$F$6:$F$4467,'SALES Raw'!$J$6:$J$4467,$J225,'SALES Raw'!$K$6:$K$4467,"Y")*$H$4+SUMIFS('CEMIUP0.9 Raw'!$G$6:$G$1712,'CEMIUP0.9 Raw'!$B$6:$B$1712,$J225,'CEMIUP0.9 Raw'!$H$6:$H$1712,"Y")</f>
        <v>14889.1932631579</v>
      </c>
      <c r="H225" s="18" t="s">
        <v>42</v>
      </c>
      <c r="I225" s="18" t="s">
        <v>43</v>
      </c>
      <c r="J225" s="18" t="n">
        <v>4408247</v>
      </c>
    </row>
    <row r="226" customFormat="false" ht="15" hidden="false" customHeight="false" outlineLevel="0" collapsed="false">
      <c r="A226" s="18" t="n">
        <f aca="false">IF(ISNUMBER($J226),$J226,"")</f>
        <v>4408273</v>
      </c>
      <c r="B226" s="18" t="str">
        <f aca="false">IFERROR(INDEX('SALES Raw'!$B$6:$B$4467,MATCH($J226,'SALES Raw'!$J$6:$J$4467,0)),IFERROR(INDEX('CEMIUP0.9 Raw'!$B$6:$B$1712,MATCH($J226,'CEMIUP0.9 Raw'!$B$6:$B$1712,0)),$J226))</f>
        <v>70N M</v>
      </c>
      <c r="C226" s="18" t="str">
        <f aca="false">IF(ISNUMBER($J226),IFERROR(INDEX('TRANS'!$C:$C,MATCH($J226,'TRANS'!$B:$B,0)),IFERROR(INDEX('Catalog'!$B:$B,MATCH($J226,'Catalog'!$A:$A,0)),$B226)),$B226)</f>
        <v>70N M חגורת פאבליק</v>
      </c>
      <c r="D226" s="19" t="n">
        <f aca="false">SUMIFS('SALES Raw'!$C$6:$C$4467,'SALES Raw'!$J$6:$J$4467,$J226,'SALES Raw'!$K$6:$K$4467,"Y")+SUMIFS('CEMIUP0.9 Raw'!$D$6:$D$1712,'CEMIUP0.9 Raw'!$B$6:$B$1712,$J226,'CEMIUP0.9 Raw'!$H$6:$H$1712,"Y")</f>
        <v>90</v>
      </c>
      <c r="E226" s="19" t="n">
        <f aca="false">SUMIFS('SALES Raw'!$D$6:$D$4467,'SALES Raw'!$J$6:$J$4467,$J226,'SALES Raw'!$K$6:$K$4467,"Y")+SUMIFS('CEMIUP0.9 Raw'!$E$6:$E$1712,'CEMIUP0.9 Raw'!$B$6:$B$1712,$J226,'CEMIUP0.9 Raw'!$H$6:$H$1712,"Y")</f>
        <v>22824</v>
      </c>
      <c r="F226" s="19" t="n">
        <f aca="false">SUMIFS('SALES Raw'!$E$6:$E$4467,'SALES Raw'!$J$6:$J$4467,$J226,'SALES Raw'!$K$6:$K$4467,"Y")*$H$4+SUMIFS('CEMIUP0.9 Raw'!$F$6:$F$1712,'CEMIUP0.9 Raw'!$B$6:$B$1712,$J226,'CEMIUP0.9 Raw'!$H$6:$H$1712,"Y")</f>
        <v>109.894736842105</v>
      </c>
      <c r="G226" s="19" t="n">
        <f aca="false">SUMIFS('SALES Raw'!$F$6:$F$4467,'SALES Raw'!$J$6:$J$4467,$J226,'SALES Raw'!$K$6:$K$4467,"Y")*$H$4+SUMIFS('CEMIUP0.9 Raw'!$G$6:$G$1712,'CEMIUP0.9 Raw'!$B$6:$B$1712,$J226,'CEMIUP0.9 Raw'!$H$6:$H$1712,"Y")</f>
        <v>28270.3376842105</v>
      </c>
      <c r="H226" s="18" t="s">
        <v>44</v>
      </c>
      <c r="I226" s="18" t="s">
        <v>42</v>
      </c>
      <c r="J226" s="18" t="n">
        <v>4408273</v>
      </c>
    </row>
    <row r="227" customFormat="false" ht="15" hidden="false" customHeight="false" outlineLevel="0" collapsed="false">
      <c r="A227" s="18" t="n">
        <f aca="false">IF(ISNUMBER($J227),$J227,"")</f>
        <v>4416005</v>
      </c>
      <c r="B227" s="18" t="str">
        <f aca="false">IFERROR(INDEX('SALES Raw'!$B$6:$B$4467,MATCH($J227,'SALES Raw'!$J$6:$J$4467,0)),IFERROR(INDEX('CEMIUP0.9 Raw'!$B$6:$B$1712,MATCH($J227,'CEMIUP0.9 Raw'!$B$6:$B$1712,0)),$J227))</f>
        <v>308 M</v>
      </c>
      <c r="C227" s="18" t="str">
        <f aca="false">IF(ISNUMBER($J227),IFERROR(INDEX('TRANS'!$C:$C,MATCH($J227,'TRANS'!$B:$B,0)),IFERROR(INDEX('Catalog'!$B:$B,MATCH($J227,'Catalog'!$A:$A,0)),$B227)),$B227)</f>
        <v>308 Mעקבים סיליק.כחול לדורבן</v>
      </c>
      <c r="D227" s="19" t="n">
        <f aca="false">SUMIFS('SALES Raw'!$C$6:$C$4467,'SALES Raw'!$J$6:$J$4467,$J227,'SALES Raw'!$K$6:$K$4467,"Y")+SUMIFS('CEMIUP0.9 Raw'!$D$6:$D$1712,'CEMIUP0.9 Raw'!$B$6:$B$1712,$J227,'CEMIUP0.9 Raw'!$H$6:$H$1712,"Y")</f>
        <v>147</v>
      </c>
      <c r="E227" s="19" t="n">
        <f aca="false">SUMIFS('SALES Raw'!$D$6:$D$4467,'SALES Raw'!$J$6:$J$4467,$J227,'SALES Raw'!$K$6:$K$4467,"Y")+SUMIFS('CEMIUP0.9 Raw'!$E$6:$E$1712,'CEMIUP0.9 Raw'!$B$6:$B$1712,$J227,'CEMIUP0.9 Raw'!$H$6:$H$1712,"Y")</f>
        <v>7879.999</v>
      </c>
      <c r="F227" s="19" t="n">
        <f aca="false">SUMIFS('SALES Raw'!$E$6:$E$4467,'SALES Raw'!$J$6:$J$4467,$J227,'SALES Raw'!$K$6:$K$4467,"Y")*$H$4+SUMIFS('CEMIUP0.9 Raw'!$F$6:$F$1712,'CEMIUP0.9 Raw'!$B$6:$B$1712,$J227,'CEMIUP0.9 Raw'!$H$6:$H$1712,"Y")</f>
        <v>108.631578947368</v>
      </c>
      <c r="G227" s="19" t="n">
        <f aca="false">SUMIFS('SALES Raw'!$F$6:$F$4467,'SALES Raw'!$J$6:$J$4467,$J227,'SALES Raw'!$K$6:$K$4467,"Y")*$H$4+SUMIFS('CEMIUP0.9 Raw'!$G$6:$G$1712,'CEMIUP0.9 Raw'!$B$6:$B$1712,$J227,'CEMIUP0.9 Raw'!$H$6:$H$1712,"Y")</f>
        <v>6247.992</v>
      </c>
      <c r="H227" s="18" t="s">
        <v>43</v>
      </c>
      <c r="I227" s="18" t="s">
        <v>42</v>
      </c>
      <c r="J227" s="18" t="n">
        <v>4416005</v>
      </c>
    </row>
    <row r="228" customFormat="false" ht="15" hidden="false" customHeight="false" outlineLevel="0" collapsed="false">
      <c r="A228" s="18" t="n">
        <f aca="false">IF(ISNUMBER($J228),$J228,"")</f>
        <v>4422005</v>
      </c>
      <c r="B228" s="18" t="str">
        <f aca="false">IFERROR(INDEX('SALES Raw'!$B$6:$B$4467,MATCH($J228,'SALES Raw'!$J$6:$J$4467,0)),IFERROR(INDEX('CEMIUP0.9 Raw'!$B$6:$B$1712,MATCH($J228,'CEMIUP0.9 Raw'!$B$6:$B$1712,0)),$J228))</f>
        <v>T78 M</v>
      </c>
      <c r="C228" s="18" t="str">
        <f aca="false">IF(ISNUMBER($J228),IFERROR(INDEX('TRANS'!$C:$C,MATCH($J228,'TRANS'!$B:$B,0)),IFERROR(INDEX('Catalog'!$B:$B,MATCH($J228,'Catalog'!$A:$A,0)),$B228)),$B228)</f>
        <v>T78 M תומך זרוע וכתף</v>
      </c>
      <c r="D228" s="19" t="n">
        <f aca="false">SUMIFS('SALES Raw'!$C$6:$C$4467,'SALES Raw'!$J$6:$J$4467,$J228,'SALES Raw'!$K$6:$K$4467,"Y")+SUMIFS('CEMIUP0.9 Raw'!$D$6:$D$1712,'CEMIUP0.9 Raw'!$B$6:$B$1712,$J228,'CEMIUP0.9 Raw'!$H$6:$H$1712,"Y")</f>
        <v>142</v>
      </c>
      <c r="E228" s="19" t="n">
        <f aca="false">SUMIFS('SALES Raw'!$D$6:$D$4467,'SALES Raw'!$J$6:$J$4467,$J228,'SALES Raw'!$K$6:$K$4467,"Y")+SUMIFS('CEMIUP0.9 Raw'!$E$6:$E$1712,'CEMIUP0.9 Raw'!$B$6:$B$1712,$J228,'CEMIUP0.9 Raw'!$H$6:$H$1712,"Y")</f>
        <v>22217.62</v>
      </c>
      <c r="F228" s="19" t="n">
        <f aca="false">SUMIFS('SALES Raw'!$E$6:$E$4467,'SALES Raw'!$J$6:$J$4467,$J228,'SALES Raw'!$K$6:$K$4467,"Y")*$H$4+SUMIFS('CEMIUP0.9 Raw'!$F$6:$F$1712,'CEMIUP0.9 Raw'!$B$6:$B$1712,$J228,'CEMIUP0.9 Raw'!$H$6:$H$1712,"Y")</f>
        <v>107.368421052632</v>
      </c>
      <c r="G228" s="19" t="n">
        <f aca="false">SUMIFS('SALES Raw'!$F$6:$F$4467,'SALES Raw'!$J$6:$J$4467,$J228,'SALES Raw'!$K$6:$K$4467,"Y")*$H$4+SUMIFS('CEMIUP0.9 Raw'!$G$6:$G$1712,'CEMIUP0.9 Raw'!$B$6:$B$1712,$J228,'CEMIUP0.9 Raw'!$H$6:$H$1712,"Y")</f>
        <v>18721.4210526316</v>
      </c>
      <c r="H228" s="18" t="s">
        <v>44</v>
      </c>
      <c r="I228" s="18" t="s">
        <v>42</v>
      </c>
      <c r="J228" s="18" t="n">
        <v>4422005</v>
      </c>
    </row>
    <row r="229" customFormat="false" ht="15" hidden="false" customHeight="false" outlineLevel="0" collapsed="false">
      <c r="A229" s="18" t="n">
        <f aca="false">IF(ISNUMBER($J229),$J229,"")</f>
        <v>4415074</v>
      </c>
      <c r="B229" s="18" t="str">
        <f aca="false">IFERROR(INDEX('SALES Raw'!$B$6:$B$4467,MATCH($J229,'SALES Raw'!$J$6:$J$4467,0)),IFERROR(INDEX('CEMIUP0.9 Raw'!$B$6:$B$1712,MATCH($J229,'CEMIUP0.9 Raw'!$B$6:$B$1712,0)),$J229))</f>
        <v>T28AC-S-M</v>
      </c>
      <c r="C229" s="18" t="str">
        <f aca="false">IF(ISNUMBER($J229),IFERROR(INDEX('TRANS'!$C:$C,MATCH($J229,'TRANS'!$B:$B,0)),IFERROR(INDEX('Catalog'!$B:$B,MATCH($J229,'Catalog'!$A:$A,0)),$B229)),$B229)</f>
        <v>T28AC S-M סד לאגודל</v>
      </c>
      <c r="D229" s="19" t="n">
        <f aca="false">SUMIFS('SALES Raw'!$C$6:$C$4467,'SALES Raw'!$J$6:$J$4467,$J229,'SALES Raw'!$K$6:$K$4467,"Y")+SUMIFS('CEMIUP0.9 Raw'!$D$6:$D$1712,'CEMIUP0.9 Raw'!$B$6:$B$1712,$J229,'CEMIUP0.9 Raw'!$H$6:$H$1712,"Y")</f>
        <v>107</v>
      </c>
      <c r="E229" s="19" t="n">
        <f aca="false">SUMIFS('SALES Raw'!$D$6:$D$4467,'SALES Raw'!$J$6:$J$4467,$J229,'SALES Raw'!$K$6:$K$4467,"Y")+SUMIFS('CEMIUP0.9 Raw'!$E$6:$E$1712,'CEMIUP0.9 Raw'!$B$6:$B$1712,$J229,'CEMIUP0.9 Raw'!$H$6:$H$1712,"Y")</f>
        <v>7069.788</v>
      </c>
      <c r="F229" s="19" t="n">
        <f aca="false">SUMIFS('SALES Raw'!$E$6:$E$4467,'SALES Raw'!$J$6:$J$4467,$J229,'SALES Raw'!$K$6:$K$4467,"Y")*$H$4+SUMIFS('CEMIUP0.9 Raw'!$F$6:$F$1712,'CEMIUP0.9 Raw'!$B$6:$B$1712,$J229,'CEMIUP0.9 Raw'!$H$6:$H$1712,"Y")</f>
        <v>106.105263157895</v>
      </c>
      <c r="G229" s="19" t="n">
        <f aca="false">SUMIFS('SALES Raw'!$F$6:$F$4467,'SALES Raw'!$J$6:$J$4467,$J229,'SALES Raw'!$K$6:$K$4467,"Y")*$H$4+SUMIFS('CEMIUP0.9 Raw'!$G$6:$G$1712,'CEMIUP0.9 Raw'!$B$6:$B$1712,$J229,'CEMIUP0.9 Raw'!$H$6:$H$1712,"Y")</f>
        <v>7692.48126315789</v>
      </c>
      <c r="H229" s="18" t="s">
        <v>43</v>
      </c>
      <c r="I229" s="18" t="s">
        <v>42</v>
      </c>
      <c r="J229" s="18" t="n">
        <v>4415074</v>
      </c>
    </row>
    <row r="230" customFormat="false" ht="15" hidden="false" customHeight="false" outlineLevel="0" collapsed="false">
      <c r="A230" s="18" t="n">
        <f aca="false">IF(ISNUMBER($J230),$J230,"")</f>
        <v>4403040</v>
      </c>
      <c r="B230" s="18" t="str">
        <f aca="false">IFERROR(INDEX('SALES Raw'!$B$6:$B$4467,MATCH($J230,'SALES Raw'!$J$6:$J$4467,0)),IFERROR(INDEX('CEMIUP0.9 Raw'!$B$6:$B$1712,MATCH($J230,'CEMIUP0.9 Raw'!$B$6:$B$1712,0)),$J230))</f>
        <v>3444B 0</v>
      </c>
      <c r="C230" s="18" t="str">
        <f aca="false">IF(ISNUMBER($J230),IFERROR(INDEX('TRANS'!$C:$C,MATCH($J230,'TRANS'!$B:$B,0)),IFERROR(INDEX('Catalog'!$B:$B,MATCH($J230,'Catalog'!$A:$A,0)),$B230)),$B230)</f>
        <v>3444B גרבי ג'ל לריכוך עור העקב</v>
      </c>
      <c r="D230" s="19" t="n">
        <f aca="false">SUMIFS('SALES Raw'!$C$6:$C$4467,'SALES Raw'!$J$6:$J$4467,$J230,'SALES Raw'!$K$6:$K$4467,"Y")+SUMIFS('CEMIUP0.9 Raw'!$D$6:$D$1712,'CEMIUP0.9 Raw'!$B$6:$B$1712,$J230,'CEMIUP0.9 Raw'!$H$6:$H$1712,"Y")</f>
        <v>181</v>
      </c>
      <c r="E230" s="19" t="n">
        <f aca="false">SUMIFS('SALES Raw'!$D$6:$D$4467,'SALES Raw'!$J$6:$J$4467,$J230,'SALES Raw'!$K$6:$K$4467,"Y")+SUMIFS('CEMIUP0.9 Raw'!$E$6:$E$1712,'CEMIUP0.9 Raw'!$B$6:$B$1712,$J230,'CEMIUP0.9 Raw'!$H$6:$H$1712,"Y")</f>
        <v>6732.294</v>
      </c>
      <c r="F230" s="19" t="n">
        <f aca="false">SUMIFS('SALES Raw'!$E$6:$E$4467,'SALES Raw'!$J$6:$J$4467,$J230,'SALES Raw'!$K$6:$K$4467,"Y")*$H$4+SUMIFS('CEMIUP0.9 Raw'!$F$6:$F$1712,'CEMIUP0.9 Raw'!$B$6:$B$1712,$J230,'CEMIUP0.9 Raw'!$H$6:$H$1712,"Y")</f>
        <v>106.105263157895</v>
      </c>
      <c r="G230" s="19" t="n">
        <f aca="false">SUMIFS('SALES Raw'!$F$6:$F$4467,'SALES Raw'!$J$6:$J$4467,$J230,'SALES Raw'!$K$6:$K$4467,"Y")*$H$4+SUMIFS('CEMIUP0.9 Raw'!$G$6:$G$1712,'CEMIUP0.9 Raw'!$B$6:$B$1712,$J230,'CEMIUP0.9 Raw'!$H$6:$H$1712,"Y")</f>
        <v>5049.91073684211</v>
      </c>
      <c r="H230" s="18" t="s">
        <v>42</v>
      </c>
      <c r="I230" s="18" t="s">
        <v>43</v>
      </c>
      <c r="J230" s="18" t="n">
        <v>4403040</v>
      </c>
    </row>
    <row r="231" customFormat="false" ht="15" hidden="false" customHeight="false" outlineLevel="0" collapsed="false">
      <c r="A231" s="18" t="n">
        <f aca="false">IF(ISNUMBER($J231),$J231,"")</f>
        <v>4413061</v>
      </c>
      <c r="B231" s="18" t="str">
        <f aca="false">IFERROR(INDEX('SALES Raw'!$B$6:$B$4467,MATCH($J231,'SALES Raw'!$J$6:$J$4467,0)),IFERROR(INDEX('CEMIUP0.9 Raw'!$B$6:$B$1712,MATCH($J231,'CEMIUP0.9 Raw'!$B$6:$B$1712,0)),$J231))</f>
        <v>3641 0</v>
      </c>
      <c r="C231" s="18" t="str">
        <f aca="false">IF(ISNUMBER($J231),IFERROR(INDEX('TRANS'!$C:$C,MATCH($J231,'TRANS'!$B:$B,0)),IFERROR(INDEX('Catalog'!$B:$B,MATCH($J231,'Catalog'!$A:$A,0)),$B231)),$B231)</f>
        <v>3641-מיישר בוהן סיליקון קשיח</v>
      </c>
      <c r="D231" s="19" t="n">
        <f aca="false">SUMIFS('SALES Raw'!$C$6:$C$4467,'SALES Raw'!$J$6:$J$4467,$J231,'SALES Raw'!$K$6:$K$4467,"Y")+SUMIFS('CEMIUP0.9 Raw'!$D$6:$D$1712,'CEMIUP0.9 Raw'!$B$6:$B$1712,$J231,'CEMIUP0.9 Raw'!$H$6:$H$1712,"Y")</f>
        <v>421</v>
      </c>
      <c r="E231" s="19" t="n">
        <f aca="false">SUMIFS('SALES Raw'!$D$6:$D$4467,'SALES Raw'!$J$6:$J$4467,$J231,'SALES Raw'!$K$6:$K$4467,"Y")+SUMIFS('CEMIUP0.9 Raw'!$E$6:$E$1712,'CEMIUP0.9 Raw'!$B$6:$B$1712,$J231,'CEMIUP0.9 Raw'!$H$6:$H$1712,"Y")</f>
        <v>6865.506</v>
      </c>
      <c r="F231" s="19" t="n">
        <f aca="false">SUMIFS('SALES Raw'!$E$6:$E$4467,'SALES Raw'!$J$6:$J$4467,$J231,'SALES Raw'!$K$6:$K$4467,"Y")*$H$4+SUMIFS('CEMIUP0.9 Raw'!$F$6:$F$1712,'CEMIUP0.9 Raw'!$B$6:$B$1712,$J231,'CEMIUP0.9 Raw'!$H$6:$H$1712,"Y")</f>
        <v>104.842105263158</v>
      </c>
      <c r="G231" s="19" t="n">
        <f aca="false">SUMIFS('SALES Raw'!$F$6:$F$4467,'SALES Raw'!$J$6:$J$4467,$J231,'SALES Raw'!$K$6:$K$4467,"Y")*$H$4+SUMIFS('CEMIUP0.9 Raw'!$G$6:$G$1712,'CEMIUP0.9 Raw'!$B$6:$B$1712,$J231,'CEMIUP0.9 Raw'!$H$6:$H$1712,"Y")</f>
        <v>1798.19747368421</v>
      </c>
      <c r="H231" s="18" t="s">
        <v>43</v>
      </c>
      <c r="I231" s="18" t="s">
        <v>48</v>
      </c>
      <c r="J231" s="18" t="n">
        <v>4413061</v>
      </c>
    </row>
    <row r="232" customFormat="false" ht="15" hidden="false" customHeight="false" outlineLevel="0" collapsed="false">
      <c r="A232" s="18" t="n">
        <f aca="false">IF(ISNUMBER($J232),$J232,"")</f>
        <v>4413056</v>
      </c>
      <c r="B232" s="18" t="str">
        <f aca="false">IFERROR(INDEX('SALES Raw'!$B$6:$B$4467,MATCH($J232,'SALES Raw'!$J$6:$J$4467,0)),IFERROR(INDEX('CEMIUP0.9 Raw'!$B$6:$B$1712,MATCH($J232,'CEMIUP0.9 Raw'!$B$6:$B$1712,0)),$J232))</f>
        <v>LF360 0</v>
      </c>
      <c r="C232" s="18" t="str">
        <f aca="false">IF(ISNUMBER($J232),IFERROR(INDEX('TRANS'!$C:$C,MATCH($J232,'TRANS'!$B:$B,0)),IFERROR(INDEX('Catalog'!$B:$B,MATCH($J232,'Catalog'!$A:$A,0)),$B232)),$B232)</f>
        <v>LF360 מדרס מטטרזלי לנעלי עקב</v>
      </c>
      <c r="D232" s="19" t="n">
        <f aca="false">SUMIFS('SALES Raw'!$C$6:$C$4467,'SALES Raw'!$J$6:$J$4467,$J232,'SALES Raw'!$K$6:$K$4467,"Y")+SUMIFS('CEMIUP0.9 Raw'!$D$6:$D$1712,'CEMIUP0.9 Raw'!$B$6:$B$1712,$J232,'CEMIUP0.9 Raw'!$H$6:$H$1712,"Y")</f>
        <v>238</v>
      </c>
      <c r="E232" s="19" t="n">
        <f aca="false">SUMIFS('SALES Raw'!$D$6:$D$4467,'SALES Raw'!$J$6:$J$4467,$J232,'SALES Raw'!$K$6:$K$4467,"Y")+SUMIFS('CEMIUP0.9 Raw'!$E$6:$E$1712,'CEMIUP0.9 Raw'!$B$6:$B$1712,$J232,'CEMIUP0.9 Raw'!$H$6:$H$1712,"Y")</f>
        <v>5030.901</v>
      </c>
      <c r="F232" s="19" t="n">
        <f aca="false">SUMIFS('SALES Raw'!$E$6:$E$4467,'SALES Raw'!$J$6:$J$4467,$J232,'SALES Raw'!$K$6:$K$4467,"Y")*$H$4+SUMIFS('CEMIUP0.9 Raw'!$F$6:$F$1712,'CEMIUP0.9 Raw'!$B$6:$B$1712,$J232,'CEMIUP0.9 Raw'!$H$6:$H$1712,"Y")</f>
        <v>104.842105263158</v>
      </c>
      <c r="G232" s="19" t="n">
        <f aca="false">SUMIFS('SALES Raw'!$F$6:$F$4467,'SALES Raw'!$J$6:$J$4467,$J232,'SALES Raw'!$K$6:$K$4467,"Y")*$H$4+SUMIFS('CEMIUP0.9 Raw'!$G$6:$G$1712,'CEMIUP0.9 Raw'!$B$6:$B$1712,$J232,'CEMIUP0.9 Raw'!$H$6:$H$1712,"Y")</f>
        <v>2060.76884210527</v>
      </c>
      <c r="H232" s="18" t="s">
        <v>43</v>
      </c>
      <c r="I232" s="18" t="s">
        <v>48</v>
      </c>
      <c r="J232" s="18" t="n">
        <v>4413056</v>
      </c>
    </row>
    <row r="233" customFormat="false" ht="15" hidden="false" customHeight="false" outlineLevel="0" collapsed="false">
      <c r="A233" s="18" t="n">
        <f aca="false">IF(ISNUMBER($J233),$J233,"")</f>
        <v>4413366</v>
      </c>
      <c r="B233" s="18" t="str">
        <f aca="false">IFERROR(INDEX('SALES Raw'!$B$6:$B$4467,MATCH($J233,'SALES Raw'!$J$6:$J$4467,0)),IFERROR(INDEX('CEMIUP0.9 Raw'!$B$6:$B$1712,MATCH($J233,'CEMIUP0.9 Raw'!$B$6:$B$1712,0)),$J233))</f>
        <v>95C S</v>
      </c>
      <c r="C233" s="18" t="str">
        <f aca="false">IF(ISNUMBER($J233),IFERROR(INDEX('TRANS'!$C:$C,MATCH($J233,'TRANS'!$B:$B,0)),IFERROR(INDEX('Catalog'!$B:$B,MATCH($J233,'Catalog'!$A:$A,0)),$B233)),$B233)</f>
        <v>95C S 'מגן מרפק בז</v>
      </c>
      <c r="D233" s="19" t="n">
        <f aca="false">SUMIFS('SALES Raw'!$C$6:$C$4467,'SALES Raw'!$J$6:$J$4467,$J233,'SALES Raw'!$K$6:$K$4467,"Y")+SUMIFS('CEMIUP0.9 Raw'!$D$6:$D$1712,'CEMIUP0.9 Raw'!$B$6:$B$1712,$J233,'CEMIUP0.9 Raw'!$H$6:$H$1712,"Y")</f>
        <v>163</v>
      </c>
      <c r="E233" s="19" t="n">
        <f aca="false">SUMIFS('SALES Raw'!$D$6:$D$4467,'SALES Raw'!$J$6:$J$4467,$J233,'SALES Raw'!$K$6:$K$4467,"Y")+SUMIFS('CEMIUP0.9 Raw'!$E$6:$E$1712,'CEMIUP0.9 Raw'!$B$6:$B$1712,$J233,'CEMIUP0.9 Raw'!$H$6:$H$1712,"Y")</f>
        <v>4461.396</v>
      </c>
      <c r="F233" s="19" t="n">
        <f aca="false">SUMIFS('SALES Raw'!$E$6:$E$4467,'SALES Raw'!$J$6:$J$4467,$J233,'SALES Raw'!$K$6:$K$4467,"Y")*$H$4+SUMIFS('CEMIUP0.9 Raw'!$F$6:$F$1712,'CEMIUP0.9 Raw'!$B$6:$B$1712,$J233,'CEMIUP0.9 Raw'!$H$6:$H$1712,"Y")</f>
        <v>104.842105263158</v>
      </c>
      <c r="G233" s="19" t="n">
        <f aca="false">SUMIFS('SALES Raw'!$F$6:$F$4467,'SALES Raw'!$J$6:$J$4467,$J233,'SALES Raw'!$K$6:$K$4467,"Y")*$H$4+SUMIFS('CEMIUP0.9 Raw'!$G$6:$G$1712,'CEMIUP0.9 Raw'!$B$6:$B$1712,$J233,'CEMIUP0.9 Raw'!$H$6:$H$1712,"Y")</f>
        <v>2858.04</v>
      </c>
      <c r="H233" s="18" t="s">
        <v>43</v>
      </c>
      <c r="I233" s="18" t="s">
        <v>44</v>
      </c>
      <c r="J233" s="18" t="n">
        <v>4413366</v>
      </c>
    </row>
    <row r="234" customFormat="false" ht="15" hidden="false" customHeight="false" outlineLevel="0" collapsed="false">
      <c r="A234" s="18" t="n">
        <f aca="false">IF(ISNUMBER($J234),$J234,"")</f>
        <v>4413493</v>
      </c>
      <c r="B234" s="18" t="str">
        <f aca="false">IFERROR(INDEX('SALES Raw'!$B$6:$B$4467,MATCH($J234,'SALES Raw'!$J$6:$J$4467,0)),IFERROR(INDEX('CEMIUP0.9 Raw'!$B$6:$B$1712,MATCH($J234,'CEMIUP0.9 Raw'!$B$6:$B$1712,0)),$J234))</f>
        <v>35B S</v>
      </c>
      <c r="C234" s="18" t="str">
        <f aca="false">IF(ISNUMBER($J234),IFERROR(INDEX('TRANS'!$C:$C,MATCH($J234,'TRANS'!$B:$B,0)),IFERROR(INDEX('Catalog'!$B:$B,MATCH($J234,'Catalog'!$A:$A,0)),$B234)),$B234)</f>
        <v>35B S מגן קרסול שחור</v>
      </c>
      <c r="D234" s="19" t="n">
        <f aca="false">SUMIFS('SALES Raw'!$C$6:$C$4467,'SALES Raw'!$J$6:$J$4467,$J234,'SALES Raw'!$K$6:$K$4467,"Y")+SUMIFS('CEMIUP0.9 Raw'!$D$6:$D$1712,'CEMIUP0.9 Raw'!$B$6:$B$1712,$J234,'CEMIUP0.9 Raw'!$H$6:$H$1712,"Y")</f>
        <v>159</v>
      </c>
      <c r="E234" s="19" t="n">
        <f aca="false">SUMIFS('SALES Raw'!$D$6:$D$4467,'SALES Raw'!$J$6:$J$4467,$J234,'SALES Raw'!$K$6:$K$4467,"Y")+SUMIFS('CEMIUP0.9 Raw'!$E$6:$E$1712,'CEMIUP0.9 Raw'!$B$6:$B$1712,$J234,'CEMIUP0.9 Raw'!$H$6:$H$1712,"Y")</f>
        <v>4566.422</v>
      </c>
      <c r="F234" s="19" t="n">
        <f aca="false">SUMIFS('SALES Raw'!$E$6:$E$4467,'SALES Raw'!$J$6:$J$4467,$J234,'SALES Raw'!$K$6:$K$4467,"Y")*$H$4+SUMIFS('CEMIUP0.9 Raw'!$F$6:$F$1712,'CEMIUP0.9 Raw'!$B$6:$B$1712,$J234,'CEMIUP0.9 Raw'!$H$6:$H$1712,"Y")</f>
        <v>102.315789473684</v>
      </c>
      <c r="G234" s="19" t="n">
        <f aca="false">SUMIFS('SALES Raw'!$F$6:$F$4467,'SALES Raw'!$J$6:$J$4467,$J234,'SALES Raw'!$K$6:$K$4467,"Y")*$H$4+SUMIFS('CEMIUP0.9 Raw'!$G$6:$G$1712,'CEMIUP0.9 Raw'!$B$6:$B$1712,$J234,'CEMIUP0.9 Raw'!$H$6:$H$1712,"Y")</f>
        <v>2994.94736842105</v>
      </c>
      <c r="H234" s="18" t="s">
        <v>43</v>
      </c>
      <c r="I234" s="18" t="s">
        <v>42</v>
      </c>
      <c r="J234" s="18" t="n">
        <v>4413493</v>
      </c>
    </row>
    <row r="235" customFormat="false" ht="15" hidden="false" customHeight="false" outlineLevel="0" collapsed="false">
      <c r="A235" s="18" t="n">
        <f aca="false">IF(ISNUMBER($J235),$J235,"")</f>
        <v>4403023</v>
      </c>
      <c r="B235" s="18" t="str">
        <f aca="false">IFERROR(INDEX('SALES Raw'!$B$6:$B$4467,MATCH($J235,'SALES Raw'!$J$6:$J$4467,0)),IFERROR(INDEX('CEMIUP0.9 Raw'!$B$6:$B$1712,MATCH($J235,'CEMIUP0.9 Raw'!$B$6:$B$1712,0)),$J235))</f>
        <v>394W-35-38</v>
      </c>
      <c r="C235" s="18" t="str">
        <f aca="false">IF(ISNUMBER($J235),IFERROR(INDEX('TRANS'!$C:$C,MATCH($J235,'TRANS'!$B:$B,0)),IFERROR(INDEX('Catalog'!$B:$B,MATCH($J235,'Catalog'!$A:$A,0)),$B235)),$B235)</f>
        <v>394W 35-38 גרב.כסף לסכרתים לבן</v>
      </c>
      <c r="D235" s="19" t="n">
        <f aca="false">SUMIFS('SALES Raw'!$C$6:$C$4467,'SALES Raw'!$J$6:$J$4467,$J235,'SALES Raw'!$K$6:$K$4467,"Y")+SUMIFS('CEMIUP0.9 Raw'!$D$6:$D$1712,'CEMIUP0.9 Raw'!$B$6:$B$1712,$J235,'CEMIUP0.9 Raw'!$H$6:$H$1712,"Y")</f>
        <v>173</v>
      </c>
      <c r="E235" s="19" t="n">
        <f aca="false">SUMIFS('SALES Raw'!$D$6:$D$4467,'SALES Raw'!$J$6:$J$4467,$J235,'SALES Raw'!$K$6:$K$4467,"Y")+SUMIFS('CEMIUP0.9 Raw'!$E$6:$E$1712,'CEMIUP0.9 Raw'!$B$6:$B$1712,$J235,'CEMIUP0.9 Raw'!$H$6:$H$1712,"Y")</f>
        <v>3808.882</v>
      </c>
      <c r="F235" s="19" t="n">
        <f aca="false">SUMIFS('SALES Raw'!$E$6:$E$4467,'SALES Raw'!$J$6:$J$4467,$J235,'SALES Raw'!$K$6:$K$4467,"Y")*$H$4+SUMIFS('CEMIUP0.9 Raw'!$F$6:$F$1712,'CEMIUP0.9 Raw'!$B$6:$B$1712,$J235,'CEMIUP0.9 Raw'!$H$6:$H$1712,"Y")</f>
        <v>101.052631578947</v>
      </c>
      <c r="G235" s="19" t="n">
        <f aca="false">SUMIFS('SALES Raw'!$F$6:$F$4467,'SALES Raw'!$J$6:$J$4467,$J235,'SALES Raw'!$K$6:$K$4467,"Y")*$H$4+SUMIFS('CEMIUP0.9 Raw'!$G$6:$G$1712,'CEMIUP0.9 Raw'!$B$6:$B$1712,$J235,'CEMIUP0.9 Raw'!$H$6:$H$1712,"Y")</f>
        <v>2292.66568421053</v>
      </c>
      <c r="H235" s="18" t="s">
        <v>44</v>
      </c>
      <c r="I235" s="18" t="s">
        <v>43</v>
      </c>
      <c r="J235" s="18" t="n">
        <v>4403023</v>
      </c>
    </row>
    <row r="236" customFormat="false" ht="15" hidden="false" customHeight="false" outlineLevel="0" collapsed="false">
      <c r="A236" s="18" t="n">
        <f aca="false">IF(ISNUMBER($J236),$J236,"")</f>
        <v>4413133</v>
      </c>
      <c r="B236" s="18" t="str">
        <f aca="false">IFERROR(INDEX('SALES Raw'!$B$6:$B$4467,MATCH($J236,'SALES Raw'!$J$6:$J$4467,0)),IFERROR(INDEX('CEMIUP0.9 Raw'!$B$6:$B$1712,MATCH($J236,'CEMIUP0.9 Raw'!$B$6:$B$1712,0)),$J236))</f>
        <v>76 M</v>
      </c>
      <c r="C236" s="18" t="str">
        <f aca="false">IF(ISNUMBER($J236),IFERROR(INDEX('TRANS'!$C:$C,MATCH($J236,'TRANS'!$B:$B,0)),IFERROR(INDEX('Catalog'!$B:$B,MATCH($J236,'Catalog'!$A:$A,0)),$B236)),$B236)</f>
        <v>76 Mמיישר כתף יציב,יישור רחב</v>
      </c>
      <c r="D236" s="19" t="n">
        <f aca="false">SUMIFS('SALES Raw'!$C$6:$C$4467,'SALES Raw'!$J$6:$J$4467,$J236,'SALES Raw'!$K$6:$K$4467,"Y")+SUMIFS('CEMIUP0.9 Raw'!$D$6:$D$1712,'CEMIUP0.9 Raw'!$B$6:$B$1712,$J236,'CEMIUP0.9 Raw'!$H$6:$H$1712,"Y")</f>
        <v>106</v>
      </c>
      <c r="E236" s="19" t="n">
        <f aca="false">SUMIFS('SALES Raw'!$D$6:$D$4467,'SALES Raw'!$J$6:$J$4467,$J236,'SALES Raw'!$K$6:$K$4467,"Y")+SUMIFS('CEMIUP0.9 Raw'!$E$6:$E$1712,'CEMIUP0.9 Raw'!$B$6:$B$1712,$J236,'CEMIUP0.9 Raw'!$H$6:$H$1712,"Y")</f>
        <v>20930.206</v>
      </c>
      <c r="F236" s="19" t="n">
        <f aca="false">SUMIFS('SALES Raw'!$E$6:$E$4467,'SALES Raw'!$J$6:$J$4467,$J236,'SALES Raw'!$K$6:$K$4467,"Y")*$H$4+SUMIFS('CEMIUP0.9 Raw'!$F$6:$F$1712,'CEMIUP0.9 Raw'!$B$6:$B$1712,$J236,'CEMIUP0.9 Raw'!$H$6:$H$1712,"Y")</f>
        <v>99.7894736842106</v>
      </c>
      <c r="G236" s="19" t="n">
        <f aca="false">SUMIFS('SALES Raw'!$F$6:$F$4467,'SALES Raw'!$J$6:$J$4467,$J236,'SALES Raw'!$K$6:$K$4467,"Y")*$H$4+SUMIFS('CEMIUP0.9 Raw'!$G$6:$G$1712,'CEMIUP0.9 Raw'!$B$6:$B$1712,$J236,'CEMIUP0.9 Raw'!$H$6:$H$1712,"Y")</f>
        <v>22308.8766315789</v>
      </c>
      <c r="H236" s="18" t="s">
        <v>42</v>
      </c>
      <c r="I236" s="18" t="s">
        <v>44</v>
      </c>
      <c r="J236" s="18" t="n">
        <v>4413133</v>
      </c>
    </row>
    <row r="237" customFormat="false" ht="15" hidden="false" customHeight="false" outlineLevel="0" collapsed="false">
      <c r="A237" s="18" t="n">
        <f aca="false">IF(ISNUMBER($J237),$J237,"")</f>
        <v>4408261</v>
      </c>
      <c r="B237" s="18" t="str">
        <f aca="false">IFERROR(INDEX('SALES Raw'!$B$6:$B$4467,MATCH($J237,'SALES Raw'!$J$6:$J$4467,0)),IFERROR(INDEX('CEMIUP0.9 Raw'!$B$6:$B$1712,MATCH($J237,'CEMIUP0.9 Raw'!$B$6:$B$1712,0)),$J237))</f>
        <v>11STO L</v>
      </c>
      <c r="C237" s="18" t="str">
        <f aca="false">IF(ISNUMBER($J237),IFERROR(INDEX('TRANS'!$C:$C,MATCH($J237,'TRANS'!$B:$B,0)),IFERROR(INDEX('Catalog'!$B:$B,MATCH($J237,'Catalog'!$A:$A,0)),$B237)),$B237)</f>
        <v>11STO L חגורה אחרי ניתוח</v>
      </c>
      <c r="D237" s="19" t="n">
        <f aca="false">SUMIFS('SALES Raw'!$C$6:$C$4467,'SALES Raw'!$J$6:$J$4467,$J237,'SALES Raw'!$K$6:$K$4467,"Y")+SUMIFS('CEMIUP0.9 Raw'!$D$6:$D$1712,'CEMIUP0.9 Raw'!$B$6:$B$1712,$J237,'CEMIUP0.9 Raw'!$H$6:$H$1712,"Y")</f>
        <v>104</v>
      </c>
      <c r="E237" s="19" t="n">
        <f aca="false">SUMIFS('SALES Raw'!$D$6:$D$4467,'SALES Raw'!$J$6:$J$4467,$J237,'SALES Raw'!$K$6:$K$4467,"Y")+SUMIFS('CEMIUP0.9 Raw'!$E$6:$E$1712,'CEMIUP0.9 Raw'!$B$6:$B$1712,$J237,'CEMIUP0.9 Raw'!$H$6:$H$1712,"Y")</f>
        <v>13367.28</v>
      </c>
      <c r="F237" s="19" t="n">
        <f aca="false">SUMIFS('SALES Raw'!$E$6:$E$4467,'SALES Raw'!$J$6:$J$4467,$J237,'SALES Raw'!$K$6:$K$4467,"Y")*$H$4+SUMIFS('CEMIUP0.9 Raw'!$F$6:$F$1712,'CEMIUP0.9 Raw'!$B$6:$B$1712,$J237,'CEMIUP0.9 Raw'!$H$6:$H$1712,"Y")</f>
        <v>97.2631578947369</v>
      </c>
      <c r="G237" s="19" t="n">
        <f aca="false">SUMIFS('SALES Raw'!$F$6:$F$4467,'SALES Raw'!$J$6:$J$4467,$J237,'SALES Raw'!$K$6:$K$4467,"Y")*$H$4+SUMIFS('CEMIUP0.9 Raw'!$G$6:$G$1712,'CEMIUP0.9 Raw'!$B$6:$B$1712,$J237,'CEMIUP0.9 Raw'!$H$6:$H$1712,"Y")</f>
        <v>13501.8012631579</v>
      </c>
      <c r="H237" s="18" t="s">
        <v>44</v>
      </c>
      <c r="I237" s="18" t="s">
        <v>43</v>
      </c>
      <c r="J237" s="18" t="n">
        <v>4408261</v>
      </c>
    </row>
    <row r="238" customFormat="false" ht="15" hidden="false" customHeight="false" outlineLevel="0" collapsed="false">
      <c r="A238" s="18" t="n">
        <f aca="false">IF(ISNUMBER($J238),$J238,"")</f>
        <v>4408095</v>
      </c>
      <c r="B238" s="18" t="str">
        <f aca="false">IFERROR(INDEX('SALES Raw'!$B$6:$B$4467,MATCH($J238,'SALES Raw'!$J$6:$J$4467,0)),IFERROR(INDEX('CEMIUP0.9 Raw'!$B$6:$B$1712,MATCH($J238,'CEMIUP0.9 Raw'!$B$6:$B$1712,0)),$J238))</f>
        <v>T20-L-XL</v>
      </c>
      <c r="C238" s="18" t="str">
        <f aca="false">IF(ISNUMBER($J238),IFERROR(INDEX('TRANS'!$C:$C,MATCH($J238,'TRANS'!$B:$B,0)),IFERROR(INDEX('Catalog'!$B:$B,MATCH($J238,'Catalog'!$A:$A,0)),$B238)),$B238)</f>
        <v>T20 L-XL  חבק יד עם צמדן</v>
      </c>
      <c r="D238" s="19" t="n">
        <f aca="false">SUMIFS('SALES Raw'!$C$6:$C$4467,'SALES Raw'!$J$6:$J$4467,$J238,'SALES Raw'!$K$6:$K$4467,"Y")+SUMIFS('CEMIUP0.9 Raw'!$D$6:$D$1712,'CEMIUP0.9 Raw'!$B$6:$B$1712,$J238,'CEMIUP0.9 Raw'!$H$6:$H$1712,"Y")</f>
        <v>84</v>
      </c>
      <c r="E238" s="19" t="n">
        <f aca="false">SUMIFS('SALES Raw'!$D$6:$D$4467,'SALES Raw'!$J$6:$J$4467,$J238,'SALES Raw'!$K$6:$K$4467,"Y")+SUMIFS('CEMIUP0.9 Raw'!$E$6:$E$1712,'CEMIUP0.9 Raw'!$B$6:$B$1712,$J238,'CEMIUP0.9 Raw'!$H$6:$H$1712,"Y")</f>
        <v>2926.056</v>
      </c>
      <c r="F238" s="19" t="n">
        <f aca="false">SUMIFS('SALES Raw'!$E$6:$E$4467,'SALES Raw'!$J$6:$J$4467,$J238,'SALES Raw'!$K$6:$K$4467,"Y")*$H$4+SUMIFS('CEMIUP0.9 Raw'!$F$6:$F$1712,'CEMIUP0.9 Raw'!$B$6:$B$1712,$J238,'CEMIUP0.9 Raw'!$H$6:$H$1712,"Y")</f>
        <v>96</v>
      </c>
      <c r="G238" s="19" t="n">
        <f aca="false">SUMIFS('SALES Raw'!$F$6:$F$4467,'SALES Raw'!$J$6:$J$4467,$J238,'SALES Raw'!$K$6:$K$4467,"Y")*$H$4+SUMIFS('CEMIUP0.9 Raw'!$G$6:$G$1712,'CEMIUP0.9 Raw'!$B$6:$B$1712,$J238,'CEMIUP0.9 Raw'!$H$6:$H$1712,"Y")</f>
        <v>3427.91242105263</v>
      </c>
      <c r="H238" s="18" t="s">
        <v>43</v>
      </c>
      <c r="I238" s="18" t="s">
        <v>42</v>
      </c>
      <c r="J238" s="18" t="n">
        <v>4408095</v>
      </c>
    </row>
    <row r="239" customFormat="false" ht="15" hidden="false" customHeight="false" outlineLevel="0" collapsed="false">
      <c r="A239" s="18" t="n">
        <f aca="false">IF(ISNUMBER($J239),$J239,"")</f>
        <v>4413204</v>
      </c>
      <c r="B239" s="18" t="str">
        <f aca="false">IFERROR(INDEX('SALES Raw'!$B$6:$B$4467,MATCH($J239,'SALES Raw'!$J$6:$J$4467,0)),IFERROR(INDEX('CEMIUP0.9 Raw'!$B$6:$B$1712,MATCH($J239,'CEMIUP0.9 Raw'!$B$6:$B$1712,0)),$J239))</f>
        <v>87 XXL</v>
      </c>
      <c r="C239" s="18" t="str">
        <f aca="false">IF(ISNUMBER($J239),IFERROR(INDEX('TRANS'!$C:$C,MATCH($J239,'TRANS'!$B:$B,0)),IFERROR(INDEX('Catalog'!$B:$B,MATCH($J239,'Catalog'!$A:$A,0)),$B239)),$B239)</f>
        <v>87 XXL מקבע כתף ויד</v>
      </c>
      <c r="D239" s="19" t="n">
        <f aca="false">SUMIFS('SALES Raw'!$C$6:$C$4467,'SALES Raw'!$J$6:$J$4467,$J239,'SALES Raw'!$K$6:$K$4467,"Y")+SUMIFS('CEMIUP0.9 Raw'!$D$6:$D$1712,'CEMIUP0.9 Raw'!$B$6:$B$1712,$J239,'CEMIUP0.9 Raw'!$H$6:$H$1712,"Y")</f>
        <v>95</v>
      </c>
      <c r="E239" s="19" t="n">
        <f aca="false">SUMIFS('SALES Raw'!$D$6:$D$4467,'SALES Raw'!$J$6:$J$4467,$J239,'SALES Raw'!$K$6:$K$4467,"Y")+SUMIFS('CEMIUP0.9 Raw'!$E$6:$E$1712,'CEMIUP0.9 Raw'!$B$6:$B$1712,$J239,'CEMIUP0.9 Raw'!$H$6:$H$1712,"Y")</f>
        <v>15546.46</v>
      </c>
      <c r="F239" s="19" t="n">
        <f aca="false">SUMIFS('SALES Raw'!$E$6:$E$4467,'SALES Raw'!$J$6:$J$4467,$J239,'SALES Raw'!$K$6:$K$4467,"Y")*$H$4+SUMIFS('CEMIUP0.9 Raw'!$F$6:$F$1712,'CEMIUP0.9 Raw'!$B$6:$B$1712,$J239,'CEMIUP0.9 Raw'!$H$6:$H$1712,"Y")</f>
        <v>96</v>
      </c>
      <c r="G239" s="19" t="n">
        <f aca="false">SUMIFS('SALES Raw'!$F$6:$F$4467,'SALES Raw'!$J$6:$J$4467,$J239,'SALES Raw'!$K$6:$K$4467,"Y")*$H$4+SUMIFS('CEMIUP0.9 Raw'!$G$6:$G$1712,'CEMIUP0.9 Raw'!$B$6:$B$1712,$J239,'CEMIUP0.9 Raw'!$H$6:$H$1712,"Y")</f>
        <v>16724.6778947368</v>
      </c>
      <c r="H239" s="18" t="s">
        <v>44</v>
      </c>
      <c r="I239" s="18" t="s">
        <v>43</v>
      </c>
      <c r="J239" s="18" t="n">
        <v>4413204</v>
      </c>
    </row>
    <row r="240" customFormat="false" ht="15" hidden="false" customHeight="false" outlineLevel="0" collapsed="false">
      <c r="A240" s="18" t="str">
        <f aca="false">IF(ISNUMBER($J240),$J240,"")</f>
        <v/>
      </c>
      <c r="B240" s="18" t="str">
        <f aca="false">IFERROR(INDEX('SALES Raw'!$B$6:$B$4467,MATCH($J240,'SALES Raw'!$J$6:$J$4467,0)),IFERROR(INDEX('CEMIUP0.9 Raw'!$B$6:$B$1712,MATCH($J240,'CEMIUP0.9 Raw'!$B$6:$B$1712,0)),$J240))</f>
        <v>391B-43-46</v>
      </c>
      <c r="C240" s="18" t="str">
        <f aca="false">IF(ISNUMBER($J240),IFERROR(INDEX('TRANS'!$C:$C,MATCH($J240,'TRANS'!$B:$B,0)),IFERROR(INDEX('Catalog'!$B:$B,MATCH($J240,'Catalog'!$A:$A,0)),$B240)),$B240)</f>
        <v>391B-43-46</v>
      </c>
      <c r="D240" s="19" t="n">
        <f aca="false">SUMIFS('SALES Raw'!$C$6:$C$4467,'SALES Raw'!$J$6:$J$4467,$J240,'SALES Raw'!$K$6:$K$4467,"Y")+SUMIFS('CEMIUP0.9 Raw'!$D$6:$D$1712,'CEMIUP0.9 Raw'!$B$6:$B$1712,$J240,'CEMIUP0.9 Raw'!$H$6:$H$1712,"Y")</f>
        <v>0</v>
      </c>
      <c r="E240" s="19" t="n">
        <f aca="false">SUMIFS('SALES Raw'!$D$6:$D$4467,'SALES Raw'!$J$6:$J$4467,$J240,'SALES Raw'!$K$6:$K$4467,"Y")+SUMIFS('CEMIUP0.9 Raw'!$E$6:$E$1712,'CEMIUP0.9 Raw'!$B$6:$B$1712,$J240,'CEMIUP0.9 Raw'!$H$6:$H$1712,"Y")</f>
        <v>0</v>
      </c>
      <c r="F240" s="19" t="n">
        <f aca="false">SUMIFS('SALES Raw'!$E$6:$E$4467,'SALES Raw'!$J$6:$J$4467,$J240,'SALES Raw'!$K$6:$K$4467,"Y")*$H$4+SUMIFS('CEMIUP0.9 Raw'!$F$6:$F$1712,'CEMIUP0.9 Raw'!$B$6:$B$1712,$J240,'CEMIUP0.9 Raw'!$H$6:$H$1712,"Y")</f>
        <v>94.7368421052632</v>
      </c>
      <c r="G240" s="19" t="n">
        <f aca="false">SUMIFS('SALES Raw'!$F$6:$F$4467,'SALES Raw'!$J$6:$J$4467,$J240,'SALES Raw'!$K$6:$K$4467,"Y")*$H$4+SUMIFS('CEMIUP0.9 Raw'!$G$6:$G$1712,'CEMIUP0.9 Raw'!$B$6:$B$1712,$J240,'CEMIUP0.9 Raw'!$H$6:$H$1712,"Y")</f>
        <v>4856.10947368421</v>
      </c>
      <c r="H240" s="18" t="s">
        <v>42</v>
      </c>
      <c r="I240" s="18"/>
      <c r="J240" s="18" t="s">
        <v>63</v>
      </c>
    </row>
    <row r="241" customFormat="false" ht="15" hidden="false" customHeight="false" outlineLevel="0" collapsed="false">
      <c r="A241" s="18" t="n">
        <f aca="false">IF(ISNUMBER($J241),$J241,"")</f>
        <v>4413499</v>
      </c>
      <c r="B241" s="18" t="str">
        <f aca="false">IFERROR(INDEX('SALES Raw'!$B$6:$B$4467,MATCH($J241,'SALES Raw'!$J$6:$J$4467,0)),IFERROR(INDEX('CEMIUP0.9 Raw'!$B$6:$B$1712,MATCH($J241,'CEMIUP0.9 Raw'!$B$6:$B$1712,0)),$J241))</f>
        <v>45B XXL</v>
      </c>
      <c r="C241" s="18" t="str">
        <f aca="false">IF(ISNUMBER($J241),IFERROR(INDEX('TRANS'!$C:$C,MATCH($J241,'TRANS'!$B:$B,0)),IFERROR(INDEX('Catalog'!$B:$B,MATCH($J241,'Catalog'!$A:$A,0)),$B241)),$B241)</f>
        <v>45B XXLמגן ברך שחור</v>
      </c>
      <c r="D241" s="19" t="n">
        <f aca="false">SUMIFS('SALES Raw'!$C$6:$C$4467,'SALES Raw'!$J$6:$J$4467,$J241,'SALES Raw'!$K$6:$K$4467,"Y")+SUMIFS('CEMIUP0.9 Raw'!$D$6:$D$1712,'CEMIUP0.9 Raw'!$B$6:$B$1712,$J241,'CEMIUP0.9 Raw'!$H$6:$H$1712,"Y")</f>
        <v>108</v>
      </c>
      <c r="E241" s="19" t="n">
        <f aca="false">SUMIFS('SALES Raw'!$D$6:$D$4467,'SALES Raw'!$J$6:$J$4467,$J241,'SALES Raw'!$K$6:$K$4467,"Y")+SUMIFS('CEMIUP0.9 Raw'!$E$6:$E$1712,'CEMIUP0.9 Raw'!$B$6:$B$1712,$J241,'CEMIUP0.9 Raw'!$H$6:$H$1712,"Y")</f>
        <v>3416.111</v>
      </c>
      <c r="F241" s="19" t="n">
        <f aca="false">SUMIFS('SALES Raw'!$E$6:$E$4467,'SALES Raw'!$J$6:$J$4467,$J241,'SALES Raw'!$K$6:$K$4467,"Y")*$H$4+SUMIFS('CEMIUP0.9 Raw'!$F$6:$F$1712,'CEMIUP0.9 Raw'!$B$6:$B$1712,$J241,'CEMIUP0.9 Raw'!$H$6:$H$1712,"Y")</f>
        <v>94.7368421052631</v>
      </c>
      <c r="G241" s="19" t="n">
        <f aca="false">SUMIFS('SALES Raw'!$F$6:$F$4467,'SALES Raw'!$J$6:$J$4467,$J241,'SALES Raw'!$K$6:$K$4467,"Y")*$H$4+SUMIFS('CEMIUP0.9 Raw'!$G$6:$G$1712,'CEMIUP0.9 Raw'!$B$6:$B$1712,$J241,'CEMIUP0.9 Raw'!$H$6:$H$1712,"Y")</f>
        <v>3043.89094736842</v>
      </c>
      <c r="H241" s="18" t="s">
        <v>43</v>
      </c>
      <c r="I241" s="18" t="s">
        <v>42</v>
      </c>
      <c r="J241" s="18" t="n">
        <v>4413499</v>
      </c>
    </row>
    <row r="242" customFormat="false" ht="15" hidden="false" customHeight="false" outlineLevel="0" collapsed="false">
      <c r="A242" s="18" t="n">
        <f aca="false">IF(ISNUMBER($J242),$J242,"")</f>
        <v>4409013</v>
      </c>
      <c r="B242" s="18" t="str">
        <f aca="false">IFERROR(INDEX('SALES Raw'!$B$6:$B$4467,MATCH($J242,'SALES Raw'!$J$6:$J$4467,0)),IFERROR(INDEX('CEMIUP0.9 Raw'!$B$6:$B$1712,MATCH($J242,'CEMIUP0.9 Raw'!$B$6:$B$1712,0)),$J242))</f>
        <v>804AT-BL</v>
      </c>
      <c r="C242" s="18" t="str">
        <f aca="false">IF(ISNUMBER($J242),IFERROR(INDEX('TRANS'!$C:$C,MATCH($J242,'TRANS'!$B:$B,0)),IFERROR(INDEX('Catalog'!$B:$B,MATCH($J242,'Catalog'!$A:$A,0)),$B242)),$B242)</f>
        <v>804AT-BL     טייפ חבישה לספורט</v>
      </c>
      <c r="D242" s="19" t="n">
        <f aca="false">SUMIFS('SALES Raw'!$C$6:$C$4467,'SALES Raw'!$J$6:$J$4467,$J242,'SALES Raw'!$K$6:$K$4467,"Y")+SUMIFS('CEMIUP0.9 Raw'!$D$6:$D$1712,'CEMIUP0.9 Raw'!$B$6:$B$1712,$J242,'CEMIUP0.9 Raw'!$H$6:$H$1712,"Y")</f>
        <v>59</v>
      </c>
      <c r="E242" s="19" t="n">
        <f aca="false">SUMIFS('SALES Raw'!$D$6:$D$4467,'SALES Raw'!$J$6:$J$4467,$J242,'SALES Raw'!$K$6:$K$4467,"Y")+SUMIFS('CEMIUP0.9 Raw'!$E$6:$E$1712,'CEMIUP0.9 Raw'!$B$6:$B$1712,$J242,'CEMIUP0.9 Raw'!$H$6:$H$1712,"Y")</f>
        <v>1499.108</v>
      </c>
      <c r="F242" s="19" t="n">
        <f aca="false">SUMIFS('SALES Raw'!$E$6:$E$4467,'SALES Raw'!$J$6:$J$4467,$J242,'SALES Raw'!$K$6:$K$4467,"Y")*$H$4+SUMIFS('CEMIUP0.9 Raw'!$F$6:$F$1712,'CEMIUP0.9 Raw'!$B$6:$B$1712,$J242,'CEMIUP0.9 Raw'!$H$6:$H$1712,"Y")</f>
        <v>93.4736842105263</v>
      </c>
      <c r="G242" s="19" t="n">
        <f aca="false">SUMIFS('SALES Raw'!$F$6:$F$4467,'SALES Raw'!$J$6:$J$4467,$J242,'SALES Raw'!$K$6:$K$4467,"Y")*$H$4+SUMIFS('CEMIUP0.9 Raw'!$G$6:$G$1712,'CEMIUP0.9 Raw'!$B$6:$B$1712,$J242,'CEMIUP0.9 Raw'!$H$6:$H$1712,"Y")</f>
        <v>2018.37094736842</v>
      </c>
      <c r="H242" s="18" t="s">
        <v>42</v>
      </c>
      <c r="I242" s="18" t="s">
        <v>43</v>
      </c>
      <c r="J242" s="18" t="n">
        <v>4409013</v>
      </c>
    </row>
    <row r="243" customFormat="false" ht="15" hidden="false" customHeight="false" outlineLevel="0" collapsed="false">
      <c r="A243" s="18" t="n">
        <f aca="false">IF(ISNUMBER($J243),$J243,"")</f>
        <v>4408217</v>
      </c>
      <c r="B243" s="18" t="str">
        <f aca="false">IFERROR(INDEX('SALES Raw'!$B$6:$B$4467,MATCH($J243,'SALES Raw'!$J$6:$J$4467,0)),IFERROR(INDEX('CEMIUP0.9 Raw'!$B$6:$B$1712,MATCH($J243,'CEMIUP0.9 Raw'!$B$6:$B$1712,0)),$J243))</f>
        <v>078 S</v>
      </c>
      <c r="C243" s="18" t="str">
        <f aca="false">IF(ISNUMBER($J243),IFERROR(INDEX('TRANS'!$C:$C,MATCH($J243,'TRANS'!$B:$B,0)),IFERROR(INDEX('Catalog'!$B:$B,MATCH($J243,'Catalog'!$A:$A,0)),$B243)),$B243)</f>
        <v>S078 חגורת גב +סגירה כפולה</v>
      </c>
      <c r="D243" s="19" t="n">
        <f aca="false">SUMIFS('SALES Raw'!$C$6:$C$4467,'SALES Raw'!$J$6:$J$4467,$J243,'SALES Raw'!$K$6:$K$4467,"Y")+SUMIFS('CEMIUP0.9 Raw'!$D$6:$D$1712,'CEMIUP0.9 Raw'!$B$6:$B$1712,$J243,'CEMIUP0.9 Raw'!$H$6:$H$1712,"Y")</f>
        <v>40</v>
      </c>
      <c r="E243" s="19" t="n">
        <f aca="false">SUMIFS('SALES Raw'!$D$6:$D$4467,'SALES Raw'!$J$6:$J$4467,$J243,'SALES Raw'!$K$6:$K$4467,"Y")+SUMIFS('CEMIUP0.9 Raw'!$E$6:$E$1712,'CEMIUP0.9 Raw'!$B$6:$B$1712,$J243,'CEMIUP0.9 Raw'!$H$6:$H$1712,"Y")</f>
        <v>5165.242</v>
      </c>
      <c r="F243" s="19" t="n">
        <f aca="false">SUMIFS('SALES Raw'!$E$6:$E$4467,'SALES Raw'!$J$6:$J$4467,$J243,'SALES Raw'!$K$6:$K$4467,"Y")*$H$4+SUMIFS('CEMIUP0.9 Raw'!$F$6:$F$1712,'CEMIUP0.9 Raw'!$B$6:$B$1712,$J243,'CEMIUP0.9 Raw'!$H$6:$H$1712,"Y")</f>
        <v>92.2105263157894</v>
      </c>
      <c r="G243" s="19" t="n">
        <f aca="false">SUMIFS('SALES Raw'!$F$6:$F$4467,'SALES Raw'!$J$6:$J$4467,$J243,'SALES Raw'!$K$6:$K$4467,"Y")*$H$4+SUMIFS('CEMIUP0.9 Raw'!$G$6:$G$1712,'CEMIUP0.9 Raw'!$B$6:$B$1712,$J243,'CEMIUP0.9 Raw'!$H$6:$H$1712,"Y")</f>
        <v>10749.3713684211</v>
      </c>
      <c r="H243" s="18" t="s">
        <v>53</v>
      </c>
      <c r="I243" s="18" t="s">
        <v>42</v>
      </c>
      <c r="J243" s="18" t="n">
        <v>4408217</v>
      </c>
    </row>
    <row r="244" customFormat="false" ht="15" hidden="false" customHeight="false" outlineLevel="0" collapsed="false">
      <c r="A244" s="18" t="str">
        <f aca="false">IF(ISNUMBER($J244),$J244,"")</f>
        <v/>
      </c>
      <c r="B244" s="18" t="str">
        <f aca="false">IFERROR(INDEX('SALES Raw'!$B$6:$B$4467,MATCH($J244,'SALES Raw'!$J$6:$J$4467,0)),IFERROR(INDEX('CEMIUP0.9 Raw'!$B$6:$B$1712,MATCH($J244,'CEMIUP0.9 Raw'!$B$6:$B$1712,0)),$J244))</f>
        <v>84-L-XXL</v>
      </c>
      <c r="C244" s="18" t="str">
        <f aca="false">IF(ISNUMBER($J244),IFERROR(INDEX('TRANS'!$C:$C,MATCH($J244,'TRANS'!$B:$B,0)),IFERROR(INDEX('Catalog'!$B:$B,MATCH($J244,'Catalog'!$A:$A,0)),$B244)),$B244)</f>
        <v>84-L-XXL</v>
      </c>
      <c r="D244" s="19" t="n">
        <f aca="false">SUMIFS('SALES Raw'!$C$6:$C$4467,'SALES Raw'!$J$6:$J$4467,$J244,'SALES Raw'!$K$6:$K$4467,"Y")+SUMIFS('CEMIUP0.9 Raw'!$D$6:$D$1712,'CEMIUP0.9 Raw'!$B$6:$B$1712,$J244,'CEMIUP0.9 Raw'!$H$6:$H$1712,"Y")</f>
        <v>68</v>
      </c>
      <c r="E244" s="19" t="n">
        <f aca="false">SUMIFS('SALES Raw'!$D$6:$D$4467,'SALES Raw'!$J$6:$J$4467,$J244,'SALES Raw'!$K$6:$K$4467,"Y")+SUMIFS('CEMIUP0.9 Raw'!$E$6:$E$1712,'CEMIUP0.9 Raw'!$B$6:$B$1712,$J244,'CEMIUP0.9 Raw'!$H$6:$H$1712,"Y")</f>
        <v>13071.48</v>
      </c>
      <c r="F244" s="19" t="n">
        <f aca="false">SUMIFS('SALES Raw'!$E$6:$E$4467,'SALES Raw'!$J$6:$J$4467,$J244,'SALES Raw'!$K$6:$K$4467,"Y")*$H$4+SUMIFS('CEMIUP0.9 Raw'!$F$6:$F$1712,'CEMIUP0.9 Raw'!$B$6:$B$1712,$J244,'CEMIUP0.9 Raw'!$H$6:$H$1712,"Y")</f>
        <v>90.9473684210526</v>
      </c>
      <c r="G244" s="19" t="n">
        <f aca="false">SUMIFS('SALES Raw'!$F$6:$F$4467,'SALES Raw'!$J$6:$J$4467,$J244,'SALES Raw'!$K$6:$K$4467,"Y")*$H$4+SUMIFS('CEMIUP0.9 Raw'!$G$6:$G$1712,'CEMIUP0.9 Raw'!$B$6:$B$1712,$J244,'CEMIUP0.9 Raw'!$H$6:$H$1712,"Y")</f>
        <v>17676.0757894737</v>
      </c>
      <c r="H244" s="18" t="s">
        <v>42</v>
      </c>
      <c r="I244" s="18" t="s">
        <v>44</v>
      </c>
      <c r="J244" s="18" t="s">
        <v>64</v>
      </c>
    </row>
    <row r="245" customFormat="false" ht="15" hidden="false" customHeight="false" outlineLevel="0" collapsed="false">
      <c r="A245" s="18" t="n">
        <f aca="false">IF(ISNUMBER($J245),$J245,"")</f>
        <v>4413132</v>
      </c>
      <c r="B245" s="18" t="str">
        <f aca="false">IFERROR(INDEX('SALES Raw'!$B$6:$B$4467,MATCH($J245,'SALES Raw'!$J$6:$J$4467,0)),IFERROR(INDEX('CEMIUP0.9 Raw'!$B$6:$B$1712,MATCH($J245,'CEMIUP0.9 Raw'!$B$6:$B$1712,0)),$J245))</f>
        <v>76 L</v>
      </c>
      <c r="C245" s="18" t="str">
        <f aca="false">IF(ISNUMBER($J245),IFERROR(INDEX('TRANS'!$C:$C,MATCH($J245,'TRANS'!$B:$B,0)),IFERROR(INDEX('Catalog'!$B:$B,MATCH($J245,'Catalog'!$A:$A,0)),$B245)),$B245)</f>
        <v>76 Lמיישר כתף יציב יישור רחב</v>
      </c>
      <c r="D245" s="19" t="n">
        <f aca="false">SUMIFS('SALES Raw'!$C$6:$C$4467,'SALES Raw'!$J$6:$J$4467,$J245,'SALES Raw'!$K$6:$K$4467,"Y")+SUMIFS('CEMIUP0.9 Raw'!$D$6:$D$1712,'CEMIUP0.9 Raw'!$B$6:$B$1712,$J245,'CEMIUP0.9 Raw'!$H$6:$H$1712,"Y")</f>
        <v>103</v>
      </c>
      <c r="E245" s="19" t="n">
        <f aca="false">SUMIFS('SALES Raw'!$D$6:$D$4467,'SALES Raw'!$J$6:$J$4467,$J245,'SALES Raw'!$K$6:$K$4467,"Y")+SUMIFS('CEMIUP0.9 Raw'!$E$6:$E$1712,'CEMIUP0.9 Raw'!$B$6:$B$1712,$J245,'CEMIUP0.9 Raw'!$H$6:$H$1712,"Y")</f>
        <v>19874.373</v>
      </c>
      <c r="F245" s="19" t="n">
        <f aca="false">SUMIFS('SALES Raw'!$E$6:$E$4467,'SALES Raw'!$J$6:$J$4467,$J245,'SALES Raw'!$K$6:$K$4467,"Y")*$H$4+SUMIFS('CEMIUP0.9 Raw'!$F$6:$F$1712,'CEMIUP0.9 Raw'!$B$6:$B$1712,$J245,'CEMIUP0.9 Raw'!$H$6:$H$1712,"Y")</f>
        <v>90.9473684210526</v>
      </c>
      <c r="G245" s="19" t="n">
        <f aca="false">SUMIFS('SALES Raw'!$F$6:$F$4467,'SALES Raw'!$J$6:$J$4467,$J245,'SALES Raw'!$K$6:$K$4467,"Y")*$H$4+SUMIFS('CEMIUP0.9 Raw'!$G$6:$G$1712,'CEMIUP0.9 Raw'!$B$6:$B$1712,$J245,'CEMIUP0.9 Raw'!$H$6:$H$1712,"Y")</f>
        <v>18397.0597894737</v>
      </c>
      <c r="H245" s="18" t="s">
        <v>43</v>
      </c>
      <c r="I245" s="18" t="s">
        <v>44</v>
      </c>
      <c r="J245" s="18" t="n">
        <v>4413132</v>
      </c>
    </row>
    <row r="246" customFormat="false" ht="15" hidden="false" customHeight="false" outlineLevel="0" collapsed="false">
      <c r="A246" s="18" t="n">
        <f aca="false">IF(ISNUMBER($J246),$J246,"")</f>
        <v>4411021</v>
      </c>
      <c r="B246" s="18" t="str">
        <f aca="false">IFERROR(INDEX('SALES Raw'!$B$6:$B$4467,MATCH($J246,'SALES Raw'!$J$6:$J$4467,0)),IFERROR(INDEX('CEMIUP0.9 Raw'!$B$6:$B$1712,MATCH($J246,'CEMIUP0.9 Raw'!$B$6:$B$1712,0)),$J246))</f>
        <v>212 L</v>
      </c>
      <c r="C246" s="18" t="str">
        <f aca="false">IF(ISNUMBER($J246),IFERROR(INDEX('TRANS'!$C:$C,MATCH($J246,'TRANS'!$B:$B,0)),IFERROR(INDEX('Catalog'!$B:$B,MATCH($J246,'Catalog'!$A:$A,0)),$B246)),$B246)</f>
        <v>212L כפפות אגודל לחץ</v>
      </c>
      <c r="D246" s="19" t="n">
        <f aca="false">SUMIFS('SALES Raw'!$C$6:$C$4467,'SALES Raw'!$J$6:$J$4467,$J246,'SALES Raw'!$K$6:$K$4467,"Y")+SUMIFS('CEMIUP0.9 Raw'!$D$6:$D$1712,'CEMIUP0.9 Raw'!$B$6:$B$1712,$J246,'CEMIUP0.9 Raw'!$H$6:$H$1712,"Y")</f>
        <v>65</v>
      </c>
      <c r="E246" s="19" t="n">
        <f aca="false">SUMIFS('SALES Raw'!$D$6:$D$4467,'SALES Raw'!$J$6:$J$4467,$J246,'SALES Raw'!$K$6:$K$4467,"Y")+SUMIFS('CEMIUP0.9 Raw'!$E$6:$E$1712,'CEMIUP0.9 Raw'!$B$6:$B$1712,$J246,'CEMIUP0.9 Raw'!$H$6:$H$1712,"Y")</f>
        <v>3094.229</v>
      </c>
      <c r="F246" s="19" t="n">
        <f aca="false">SUMIFS('SALES Raw'!$E$6:$E$4467,'SALES Raw'!$J$6:$J$4467,$J246,'SALES Raw'!$K$6:$K$4467,"Y")*$H$4+SUMIFS('CEMIUP0.9 Raw'!$F$6:$F$1712,'CEMIUP0.9 Raw'!$B$6:$B$1712,$J246,'CEMIUP0.9 Raw'!$H$6:$H$1712,"Y")</f>
        <v>89.6842105263158</v>
      </c>
      <c r="G246" s="19" t="n">
        <f aca="false">SUMIFS('SALES Raw'!$F$6:$F$4467,'SALES Raw'!$J$6:$J$4467,$J246,'SALES Raw'!$K$6:$K$4467,"Y")*$H$4+SUMIFS('CEMIUP0.9 Raw'!$G$6:$G$1712,'CEMIUP0.9 Raw'!$B$6:$B$1712,$J246,'CEMIUP0.9 Raw'!$H$6:$H$1712,"Y")</f>
        <v>5188.19368421053</v>
      </c>
      <c r="H246" s="18" t="s">
        <v>42</v>
      </c>
      <c r="I246" s="18" t="s">
        <v>43</v>
      </c>
      <c r="J246" s="18" t="n">
        <v>4411021</v>
      </c>
    </row>
    <row r="247" customFormat="false" ht="15" hidden="false" customHeight="false" outlineLevel="0" collapsed="false">
      <c r="A247" s="18" t="n">
        <f aca="false">IF(ISNUMBER($J247),$J247,"")</f>
        <v>4408032</v>
      </c>
      <c r="B247" s="18" t="str">
        <f aca="false">IFERROR(INDEX('SALES Raw'!$B$6:$B$4467,MATCH($J247,'SALES Raw'!$J$6:$J$4467,0)),IFERROR(INDEX('CEMIUP0.9 Raw'!$B$6:$B$1712,MATCH($J247,'CEMIUP0.9 Raw'!$B$6:$B$1712,0)),$J247))</f>
        <v>11 L</v>
      </c>
      <c r="C247" s="18" t="str">
        <f aca="false">IF(ISNUMBER($J247),IFERROR(INDEX('TRANS'!$C:$C,MATCH($J247,'TRANS'!$B:$B,0)),IFERROR(INDEX('Catalog'!$B:$B,MATCH($J247,'Catalog'!$A:$A,0)),$B247)),$B247)</f>
        <v>11 L""""חגורת בטן""""אורירית</v>
      </c>
      <c r="D247" s="19" t="n">
        <f aca="false">SUMIFS('SALES Raw'!$C$6:$C$4467,'SALES Raw'!$J$6:$J$4467,$J247,'SALES Raw'!$K$6:$K$4467,"Y")+SUMIFS('CEMIUP0.9 Raw'!$D$6:$D$1712,'CEMIUP0.9 Raw'!$B$6:$B$1712,$J247,'CEMIUP0.9 Raw'!$H$6:$H$1712,"Y")</f>
        <v>192</v>
      </c>
      <c r="E247" s="19" t="n">
        <f aca="false">SUMIFS('SALES Raw'!$D$6:$D$4467,'SALES Raw'!$J$6:$J$4467,$J247,'SALES Raw'!$K$6:$K$4467,"Y")+SUMIFS('CEMIUP0.9 Raw'!$E$6:$E$1712,'CEMIUP0.9 Raw'!$B$6:$B$1712,$J247,'CEMIUP0.9 Raw'!$H$6:$H$1712,"Y")</f>
        <v>16345.992</v>
      </c>
      <c r="F247" s="19" t="n">
        <f aca="false">SUMIFS('SALES Raw'!$E$6:$E$4467,'SALES Raw'!$J$6:$J$4467,$J247,'SALES Raw'!$K$6:$K$4467,"Y")*$H$4+SUMIFS('CEMIUP0.9 Raw'!$F$6:$F$1712,'CEMIUP0.9 Raw'!$B$6:$B$1712,$J247,'CEMIUP0.9 Raw'!$H$6:$H$1712,"Y")</f>
        <v>89.6842105263157</v>
      </c>
      <c r="G247" s="19" t="n">
        <f aca="false">SUMIFS('SALES Raw'!$F$6:$F$4467,'SALES Raw'!$J$6:$J$4467,$J247,'SALES Raw'!$K$6:$K$4467,"Y")*$H$4+SUMIFS('CEMIUP0.9 Raw'!$G$6:$G$1712,'CEMIUP0.9 Raw'!$B$6:$B$1712,$J247,'CEMIUP0.9 Raw'!$H$6:$H$1712,"Y")</f>
        <v>8496.96378947368</v>
      </c>
      <c r="H247" s="18" t="s">
        <v>43</v>
      </c>
      <c r="I247" s="18" t="s">
        <v>44</v>
      </c>
      <c r="J247" s="18" t="n">
        <v>4408032</v>
      </c>
    </row>
    <row r="248" customFormat="false" ht="15" hidden="false" customHeight="false" outlineLevel="0" collapsed="false">
      <c r="A248" s="18" t="n">
        <f aca="false">IF(ISNUMBER($J248),$J248,"")</f>
        <v>4413051</v>
      </c>
      <c r="B248" s="18" t="str">
        <f aca="false">IFERROR(INDEX('SALES Raw'!$B$6:$B$4467,MATCH($J248,'SALES Raw'!$J$6:$J$4467,0)),IFERROR(INDEX('CEMIUP0.9 Raw'!$B$6:$B$1712,MATCH($J248,'CEMIUP0.9 Raw'!$B$6:$B$1712,0)),$J248))</f>
        <v>35 XXL</v>
      </c>
      <c r="C248" s="18" t="str">
        <f aca="false">IF(ISNUMBER($J248),IFERROR(INDEX('TRANS'!$C:$C,MATCH($J248,'TRANS'!$B:$B,0)),IFERROR(INDEX('Catalog'!$B:$B,MATCH($J248,'Catalog'!$A:$A,0)),$B248)),$B248)</f>
        <v>35 XXL מגן קרסול לבן</v>
      </c>
      <c r="D248" s="19" t="n">
        <f aca="false">SUMIFS('SALES Raw'!$C$6:$C$4467,'SALES Raw'!$J$6:$J$4467,$J248,'SALES Raw'!$K$6:$K$4467,"Y")+SUMIFS('CEMIUP0.9 Raw'!$D$6:$D$1712,'CEMIUP0.9 Raw'!$B$6:$B$1712,$J248,'CEMIUP0.9 Raw'!$H$6:$H$1712,"Y")</f>
        <v>180</v>
      </c>
      <c r="E248" s="19" t="n">
        <f aca="false">SUMIFS('SALES Raw'!$D$6:$D$4467,'SALES Raw'!$J$6:$J$4467,$J248,'SALES Raw'!$K$6:$K$4467,"Y")+SUMIFS('CEMIUP0.9 Raw'!$E$6:$E$1712,'CEMIUP0.9 Raw'!$B$6:$B$1712,$J248,'CEMIUP0.9 Raw'!$H$6:$H$1712,"Y")</f>
        <v>4480.551</v>
      </c>
      <c r="F248" s="19" t="n">
        <f aca="false">SUMIFS('SALES Raw'!$E$6:$E$4467,'SALES Raw'!$J$6:$J$4467,$J248,'SALES Raw'!$K$6:$K$4467,"Y")*$H$4+SUMIFS('CEMIUP0.9 Raw'!$F$6:$F$1712,'CEMIUP0.9 Raw'!$B$6:$B$1712,$J248,'CEMIUP0.9 Raw'!$H$6:$H$1712,"Y")</f>
        <v>88.421052631579</v>
      </c>
      <c r="G248" s="19" t="n">
        <f aca="false">SUMIFS('SALES Raw'!$F$6:$F$4467,'SALES Raw'!$J$6:$J$4467,$J248,'SALES Raw'!$K$6:$K$4467,"Y")*$H$4+SUMIFS('CEMIUP0.9 Raw'!$G$6:$G$1712,'CEMIUP0.9 Raw'!$B$6:$B$1712,$J248,'CEMIUP0.9 Raw'!$H$6:$H$1712,"Y")</f>
        <v>2359.53726315789</v>
      </c>
      <c r="H248" s="18" t="s">
        <v>43</v>
      </c>
      <c r="I248" s="18" t="s">
        <v>48</v>
      </c>
      <c r="J248" s="18" t="n">
        <v>4413051</v>
      </c>
    </row>
    <row r="249" customFormat="false" ht="15" hidden="false" customHeight="false" outlineLevel="0" collapsed="false">
      <c r="A249" s="18" t="n">
        <f aca="false">IF(ISNUMBER($J249),$J249,"")</f>
        <v>4416002</v>
      </c>
      <c r="B249" s="18" t="str">
        <f aca="false">IFERROR(INDEX('SALES Raw'!$B$6:$B$4467,MATCH($J249,'SALES Raw'!$J$6:$J$4467,0)),IFERROR(INDEX('CEMIUP0.9 Raw'!$B$6:$B$1712,MATCH($J249,'CEMIUP0.9 Raw'!$B$6:$B$1712,0)),$J249))</f>
        <v>307 S</v>
      </c>
      <c r="C249" s="18" t="str">
        <f aca="false">IF(ISNUMBER($J249),IFERROR(INDEX('TRANS'!$C:$C,MATCH($J249,'TRANS'!$B:$B,0)),IFERROR(INDEX('Catalog'!$B:$B,MATCH($J249,'Catalog'!$A:$A,0)),$B249)),$B249)</f>
        <v>307 S עקבים לדורבן-זוג כריות</v>
      </c>
      <c r="D249" s="19" t="n">
        <f aca="false">SUMIFS('SALES Raw'!$C$6:$C$4467,'SALES Raw'!$J$6:$J$4467,$J249,'SALES Raw'!$K$6:$K$4467,"Y")+SUMIFS('CEMIUP0.9 Raw'!$D$6:$D$1712,'CEMIUP0.9 Raw'!$B$6:$B$1712,$J249,'CEMIUP0.9 Raw'!$H$6:$H$1712,"Y")</f>
        <v>119</v>
      </c>
      <c r="E249" s="19" t="n">
        <f aca="false">SUMIFS('SALES Raw'!$D$6:$D$4467,'SALES Raw'!$J$6:$J$4467,$J249,'SALES Raw'!$K$6:$K$4467,"Y")+SUMIFS('CEMIUP0.9 Raw'!$E$6:$E$1712,'CEMIUP0.9 Raw'!$B$6:$B$1712,$J249,'CEMIUP0.9 Raw'!$H$6:$H$1712,"Y")</f>
        <v>8254.985</v>
      </c>
      <c r="F249" s="19" t="n">
        <f aca="false">SUMIFS('SALES Raw'!$E$6:$E$4467,'SALES Raw'!$J$6:$J$4467,$J249,'SALES Raw'!$K$6:$K$4467,"Y")*$H$4+SUMIFS('CEMIUP0.9 Raw'!$F$6:$F$1712,'CEMIUP0.9 Raw'!$B$6:$B$1712,$J249,'CEMIUP0.9 Raw'!$H$6:$H$1712,"Y")</f>
        <v>88.421052631579</v>
      </c>
      <c r="G249" s="19" t="n">
        <f aca="false">SUMIFS('SALES Raw'!$F$6:$F$4467,'SALES Raw'!$J$6:$J$4467,$J249,'SALES Raw'!$K$6:$K$4467,"Y")*$H$4+SUMIFS('CEMIUP0.9 Raw'!$G$6:$G$1712,'CEMIUP0.9 Raw'!$B$6:$B$1712,$J249,'CEMIUP0.9 Raw'!$H$6:$H$1712,"Y")</f>
        <v>6517.52589473684</v>
      </c>
      <c r="H249" s="18" t="s">
        <v>48</v>
      </c>
      <c r="I249" s="18" t="s">
        <v>43</v>
      </c>
      <c r="J249" s="18" t="n">
        <v>4416002</v>
      </c>
    </row>
    <row r="250" customFormat="false" ht="15" hidden="false" customHeight="false" outlineLevel="0" collapsed="false">
      <c r="A250" s="18" t="n">
        <f aca="false">IF(ISNUMBER($J250),$J250,"")</f>
        <v>4413398</v>
      </c>
      <c r="B250" s="18" t="str">
        <f aca="false">IFERROR(INDEX('SALES Raw'!$B$6:$B$4467,MATCH($J250,'SALES Raw'!$J$6:$J$4467,0)),IFERROR(INDEX('CEMIUP0.9 Raw'!$B$6:$B$1712,MATCH($J250,'CEMIUP0.9 Raw'!$B$6:$B$1712,0)),$J250))</f>
        <v>45EC XXL</v>
      </c>
      <c r="C250" s="18" t="str">
        <f aca="false">IF(ISNUMBER($J250),IFERROR(INDEX('TRANS'!$C:$C,MATCH($J250,'TRANS'!$B:$B,0)),IFERROR(INDEX('Catalog'!$B:$B,MATCH($J250,'Catalog'!$A:$A,0)),$B250)),$B250)</f>
        <v>45EC XXL'מגן ברך ארוך בז</v>
      </c>
      <c r="D250" s="19" t="n">
        <f aca="false">SUMIFS('SALES Raw'!$C$6:$C$4467,'SALES Raw'!$J$6:$J$4467,$J250,'SALES Raw'!$K$6:$K$4467,"Y")+SUMIFS('CEMIUP0.9 Raw'!$D$6:$D$1712,'CEMIUP0.9 Raw'!$B$6:$B$1712,$J250,'CEMIUP0.9 Raw'!$H$6:$H$1712,"Y")</f>
        <v>61</v>
      </c>
      <c r="E250" s="19" t="n">
        <f aca="false">SUMIFS('SALES Raw'!$D$6:$D$4467,'SALES Raw'!$J$6:$J$4467,$J250,'SALES Raw'!$K$6:$K$4467,"Y")+SUMIFS('CEMIUP0.9 Raw'!$E$6:$E$1712,'CEMIUP0.9 Raw'!$B$6:$B$1712,$J250,'CEMIUP0.9 Raw'!$H$6:$H$1712,"Y")</f>
        <v>2322.863</v>
      </c>
      <c r="F250" s="19" t="n">
        <f aca="false">SUMIFS('SALES Raw'!$E$6:$E$4467,'SALES Raw'!$J$6:$J$4467,$J250,'SALES Raw'!$K$6:$K$4467,"Y")*$H$4+SUMIFS('CEMIUP0.9 Raw'!$F$6:$F$1712,'CEMIUP0.9 Raw'!$B$6:$B$1712,$J250,'CEMIUP0.9 Raw'!$H$6:$H$1712,"Y")</f>
        <v>88.4210526315789</v>
      </c>
      <c r="G250" s="19" t="n">
        <f aca="false">SUMIFS('SALES Raw'!$F$6:$F$4467,'SALES Raw'!$J$6:$J$4467,$J250,'SALES Raw'!$K$6:$K$4467,"Y")*$H$4+SUMIFS('CEMIUP0.9 Raw'!$G$6:$G$1712,'CEMIUP0.9 Raw'!$B$6:$B$1712,$J250,'CEMIUP0.9 Raw'!$H$6:$H$1712,"Y")</f>
        <v>3443.59578947369</v>
      </c>
      <c r="H250" s="18" t="s">
        <v>43</v>
      </c>
      <c r="I250" s="18" t="s">
        <v>42</v>
      </c>
      <c r="J250" s="18" t="n">
        <v>4413398</v>
      </c>
    </row>
    <row r="251" customFormat="false" ht="15" hidden="false" customHeight="false" outlineLevel="0" collapsed="false">
      <c r="A251" s="18" t="n">
        <f aca="false">IF(ISNUMBER($J251),$J251,"")</f>
        <v>4413534</v>
      </c>
      <c r="B251" s="18" t="str">
        <f aca="false">IFERROR(INDEX('SALES Raw'!$B$6:$B$4467,MATCH($J251,'SALES Raw'!$J$6:$J$4467,0)),IFERROR(INDEX('CEMIUP0.9 Raw'!$B$6:$B$1712,MATCH($J251,'CEMIUP0.9 Raw'!$B$6:$B$1712,0)),$J251))</f>
        <v>SH333 0</v>
      </c>
      <c r="C251" s="18" t="str">
        <f aca="false">IF(ISNUMBER($J251),IFERROR(INDEX('TRANS'!$C:$C,MATCH($J251,'TRANS'!$B:$B,0)),IFERROR(INDEX('Catalog'!$B:$B,MATCH($J251,'Catalog'!$A:$A,0)),$B251)),$B251)</f>
        <v>SH333 מקבע קרסול</v>
      </c>
      <c r="D251" s="19" t="n">
        <f aca="false">SUMIFS('SALES Raw'!$C$6:$C$4467,'SALES Raw'!$J$6:$J$4467,$J251,'SALES Raw'!$K$6:$K$4467,"Y")+SUMIFS('CEMIUP0.9 Raw'!$D$6:$D$1712,'CEMIUP0.9 Raw'!$B$6:$B$1712,$J251,'CEMIUP0.9 Raw'!$H$6:$H$1712,"Y")</f>
        <v>0</v>
      </c>
      <c r="E251" s="19" t="n">
        <f aca="false">SUMIFS('SALES Raw'!$D$6:$D$4467,'SALES Raw'!$J$6:$J$4467,$J251,'SALES Raw'!$K$6:$K$4467,"Y")+SUMIFS('CEMIUP0.9 Raw'!$E$6:$E$1712,'CEMIUP0.9 Raw'!$B$6:$B$1712,$J251,'CEMIUP0.9 Raw'!$H$6:$H$1712,"Y")</f>
        <v>0</v>
      </c>
      <c r="F251" s="19" t="n">
        <f aca="false">SUMIFS('SALES Raw'!$E$6:$E$4467,'SALES Raw'!$J$6:$J$4467,$J251,'SALES Raw'!$K$6:$K$4467,"Y")*$H$4+SUMIFS('CEMIUP0.9 Raw'!$F$6:$F$1712,'CEMIUP0.9 Raw'!$B$6:$B$1712,$J251,'CEMIUP0.9 Raw'!$H$6:$H$1712,"Y")</f>
        <v>88.4210526315789</v>
      </c>
      <c r="G251" s="19" t="n">
        <f aca="false">SUMIFS('SALES Raw'!$F$6:$F$4467,'SALES Raw'!$J$6:$J$4467,$J251,'SALES Raw'!$K$6:$K$4467,"Y")*$H$4+SUMIFS('CEMIUP0.9 Raw'!$G$6:$G$1712,'CEMIUP0.9 Raw'!$B$6:$B$1712,$J251,'CEMIUP0.9 Raw'!$H$6:$H$1712,"Y")</f>
        <v>9646.71284210527</v>
      </c>
      <c r="H251" s="18" t="s">
        <v>48</v>
      </c>
      <c r="I251" s="18" t="s">
        <v>44</v>
      </c>
      <c r="J251" s="18" t="n">
        <v>4413534</v>
      </c>
    </row>
    <row r="252" customFormat="false" ht="15" hidden="false" customHeight="false" outlineLevel="0" collapsed="false">
      <c r="A252" s="18" t="n">
        <f aca="false">IF(ISNUMBER($J252),$J252,"")</f>
        <v>4408231</v>
      </c>
      <c r="B252" s="18" t="str">
        <f aca="false">IFERROR(INDEX('SALES Raw'!$B$6:$B$4467,MATCH($J252,'SALES Raw'!$J$6:$J$4467,0)),IFERROR(INDEX('CEMIUP0.9 Raw'!$B$6:$B$1712,MATCH($J252,'CEMIUP0.9 Raw'!$B$6:$B$1712,0)),$J252))</f>
        <v>16-S-M</v>
      </c>
      <c r="C252" s="18" t="str">
        <f aca="false">IF(ISNUMBER($J252),IFERROR(INDEX('TRANS'!$C:$C,MATCH($J252,'TRANS'!$B:$B,0)),IFERROR(INDEX('Catalog'!$B:$B,MATCH($J252,'Catalog'!$A:$A,0)),$B252)),$B252)</f>
        <v>16 S-M חגורת הריון</v>
      </c>
      <c r="D252" s="19" t="n">
        <f aca="false">SUMIFS('SALES Raw'!$C$6:$C$4467,'SALES Raw'!$J$6:$J$4467,$J252,'SALES Raw'!$K$6:$K$4467,"Y")+SUMIFS('CEMIUP0.9 Raw'!$D$6:$D$1712,'CEMIUP0.9 Raw'!$B$6:$B$1712,$J252,'CEMIUP0.9 Raw'!$H$6:$H$1712,"Y")</f>
        <v>73</v>
      </c>
      <c r="E252" s="19" t="n">
        <f aca="false">SUMIFS('SALES Raw'!$D$6:$D$4467,'SALES Raw'!$J$6:$J$4467,$J252,'SALES Raw'!$K$6:$K$4467,"Y")+SUMIFS('CEMIUP0.9 Raw'!$E$6:$E$1712,'CEMIUP0.9 Raw'!$B$6:$B$1712,$J252,'CEMIUP0.9 Raw'!$H$6:$H$1712,"Y")</f>
        <v>6325.736</v>
      </c>
      <c r="F252" s="19" t="n">
        <f aca="false">SUMIFS('SALES Raw'!$E$6:$E$4467,'SALES Raw'!$J$6:$J$4467,$J252,'SALES Raw'!$K$6:$K$4467,"Y")*$H$4+SUMIFS('CEMIUP0.9 Raw'!$F$6:$F$1712,'CEMIUP0.9 Raw'!$B$6:$B$1712,$J252,'CEMIUP0.9 Raw'!$H$6:$H$1712,"Y")</f>
        <v>87.1578947368421</v>
      </c>
      <c r="G252" s="19" t="n">
        <f aca="false">SUMIFS('SALES Raw'!$F$6:$F$4467,'SALES Raw'!$J$6:$J$4467,$J252,'SALES Raw'!$K$6:$K$4467,"Y")*$H$4+SUMIFS('CEMIUP0.9 Raw'!$G$6:$G$1712,'CEMIUP0.9 Raw'!$B$6:$B$1712,$J252,'CEMIUP0.9 Raw'!$H$6:$H$1712,"Y")</f>
        <v>9260.38105263158</v>
      </c>
      <c r="H252" s="18" t="s">
        <v>48</v>
      </c>
      <c r="I252" s="18" t="s">
        <v>43</v>
      </c>
      <c r="J252" s="18" t="n">
        <v>4408231</v>
      </c>
    </row>
    <row r="253" customFormat="false" ht="15" hidden="false" customHeight="false" outlineLevel="0" collapsed="false">
      <c r="A253" s="18" t="n">
        <f aca="false">IF(ISNUMBER($J253),$J253,"")</f>
        <v>4411028</v>
      </c>
      <c r="B253" s="18" t="str">
        <f aca="false">IFERROR(INDEX('SALES Raw'!$B$6:$B$4467,MATCH($J253,'SALES Raw'!$J$6:$J$4467,0)),IFERROR(INDEX('CEMIUP0.9 Raw'!$B$6:$B$1712,MATCH($J253,'CEMIUP0.9 Raw'!$B$6:$B$1712,0)),$J253))</f>
        <v>213CTSL S</v>
      </c>
      <c r="C253" s="18" t="str">
        <f aca="false">IF(ISNUMBER($J253),IFERROR(INDEX('TRANS'!$C:$C,MATCH($J253,'TRANS'!$B:$B,0)),IFERROR(INDEX('Catalog'!$B:$B,MATCH($J253,'Catalog'!$A:$A,0)),$B253)),$B253)</f>
        <v>213CTSL S שמאל CTS כפפות</v>
      </c>
      <c r="D253" s="19" t="n">
        <f aca="false">SUMIFS('SALES Raw'!$C$6:$C$4467,'SALES Raw'!$J$6:$J$4467,$J253,'SALES Raw'!$K$6:$K$4467,"Y")+SUMIFS('CEMIUP0.9 Raw'!$D$6:$D$1712,'CEMIUP0.9 Raw'!$B$6:$B$1712,$J253,'CEMIUP0.9 Raw'!$H$6:$H$1712,"Y")</f>
        <v>38</v>
      </c>
      <c r="E253" s="19" t="n">
        <f aca="false">SUMIFS('SALES Raw'!$D$6:$D$4467,'SALES Raw'!$J$6:$J$4467,$J253,'SALES Raw'!$K$6:$K$4467,"Y")+SUMIFS('CEMIUP0.9 Raw'!$E$6:$E$1712,'CEMIUP0.9 Raw'!$B$6:$B$1712,$J253,'CEMIUP0.9 Raw'!$H$6:$H$1712,"Y")</f>
        <v>5231.1</v>
      </c>
      <c r="F253" s="19" t="n">
        <f aca="false">SUMIFS('SALES Raw'!$E$6:$E$4467,'SALES Raw'!$J$6:$J$4467,$J253,'SALES Raw'!$K$6:$K$4467,"Y")*$H$4+SUMIFS('CEMIUP0.9 Raw'!$F$6:$F$1712,'CEMIUP0.9 Raw'!$B$6:$B$1712,$J253,'CEMIUP0.9 Raw'!$H$6:$H$1712,"Y")</f>
        <v>87.1578947368421</v>
      </c>
      <c r="G253" s="19" t="n">
        <f aca="false">SUMIFS('SALES Raw'!$F$6:$F$4467,'SALES Raw'!$J$6:$J$4467,$J253,'SALES Raw'!$K$6:$K$4467,"Y")*$H$4+SUMIFS('CEMIUP0.9 Raw'!$G$6:$G$1712,'CEMIUP0.9 Raw'!$B$6:$B$1712,$J253,'CEMIUP0.9 Raw'!$H$6:$H$1712,"Y")</f>
        <v>15189.5128421053</v>
      </c>
      <c r="H253" s="18" t="s">
        <v>42</v>
      </c>
      <c r="I253" s="18" t="s">
        <v>44</v>
      </c>
      <c r="J253" s="18" t="n">
        <v>4411028</v>
      </c>
    </row>
    <row r="254" customFormat="false" ht="15" hidden="false" customHeight="false" outlineLevel="0" collapsed="false">
      <c r="A254" s="18" t="n">
        <f aca="false">IF(ISNUMBER($J254),$J254,"")</f>
        <v>4408033</v>
      </c>
      <c r="B254" s="18" t="str">
        <f aca="false">IFERROR(INDEX('SALES Raw'!$B$6:$B$4467,MATCH($J254,'SALES Raw'!$J$6:$J$4467,0)),IFERROR(INDEX('CEMIUP0.9 Raw'!$B$6:$B$1712,MATCH($J254,'CEMIUP0.9 Raw'!$B$6:$B$1712,0)),$J254))</f>
        <v>11 M</v>
      </c>
      <c r="C254" s="18" t="str">
        <f aca="false">IF(ISNUMBER($J254),IFERROR(INDEX('TRANS'!$C:$C,MATCH($J254,'TRANS'!$B:$B,0)),IFERROR(INDEX('Catalog'!$B:$B,MATCH($J254,'Catalog'!$A:$A,0)),$B254)),$B254)</f>
        <v>11 M""""חגורת בטן""""אורירית</v>
      </c>
      <c r="D254" s="19" t="n">
        <f aca="false">SUMIFS('SALES Raw'!$C$6:$C$4467,'SALES Raw'!$J$6:$J$4467,$J254,'SALES Raw'!$K$6:$K$4467,"Y")+SUMIFS('CEMIUP0.9 Raw'!$D$6:$D$1712,'CEMIUP0.9 Raw'!$B$6:$B$1712,$J254,'CEMIUP0.9 Raw'!$H$6:$H$1712,"Y")</f>
        <v>134</v>
      </c>
      <c r="E254" s="19" t="n">
        <f aca="false">SUMIFS('SALES Raw'!$D$6:$D$4467,'SALES Raw'!$J$6:$J$4467,$J254,'SALES Raw'!$K$6:$K$4467,"Y")+SUMIFS('CEMIUP0.9 Raw'!$E$6:$E$1712,'CEMIUP0.9 Raw'!$B$6:$B$1712,$J254,'CEMIUP0.9 Raw'!$H$6:$H$1712,"Y")</f>
        <v>11834.015</v>
      </c>
      <c r="F254" s="19" t="n">
        <f aca="false">SUMIFS('SALES Raw'!$E$6:$E$4467,'SALES Raw'!$J$6:$J$4467,$J254,'SALES Raw'!$K$6:$K$4467,"Y")*$H$4+SUMIFS('CEMIUP0.9 Raw'!$F$6:$F$1712,'CEMIUP0.9 Raw'!$B$6:$B$1712,$J254,'CEMIUP0.9 Raw'!$H$6:$H$1712,"Y")</f>
        <v>85.8947368421053</v>
      </c>
      <c r="G254" s="19" t="n">
        <f aca="false">SUMIFS('SALES Raw'!$F$6:$F$4467,'SALES Raw'!$J$6:$J$4467,$J254,'SALES Raw'!$K$6:$K$4467,"Y")*$H$4+SUMIFS('CEMIUP0.9 Raw'!$G$6:$G$1712,'CEMIUP0.9 Raw'!$B$6:$B$1712,$J254,'CEMIUP0.9 Raw'!$H$6:$H$1712,"Y")</f>
        <v>8795.48084210527</v>
      </c>
      <c r="H254" s="18" t="s">
        <v>43</v>
      </c>
      <c r="I254" s="18" t="s">
        <v>44</v>
      </c>
      <c r="J254" s="18" t="n">
        <v>4408033</v>
      </c>
    </row>
    <row r="255" customFormat="false" ht="15" hidden="false" customHeight="false" outlineLevel="0" collapsed="false">
      <c r="A255" s="18" t="n">
        <f aca="false">IF(ISNUMBER($J255),$J255,"")</f>
        <v>4408048</v>
      </c>
      <c r="B255" s="18" t="str">
        <f aca="false">IFERROR(INDEX('SALES Raw'!$B$6:$B$4467,MATCH($J255,'SALES Raw'!$J$6:$J$4467,0)),IFERROR(INDEX('CEMIUP0.9 Raw'!$B$6:$B$1712,MATCH($J255,'CEMIUP0.9 Raw'!$B$6:$B$1712,0)),$J255))</f>
        <v>20 S</v>
      </c>
      <c r="C255" s="18" t="str">
        <f aca="false">IF(ISNUMBER($J255),IFERROR(INDEX('TRANS'!$C:$C,MATCH($J255,'TRANS'!$B:$B,0)),IFERROR(INDEX('Catalog'!$B:$B,MATCH($J255,'Catalog'!$A:$A,0)),$B255)),$B255)</f>
        <v>20 S חבק יד מתכוון עם צמדן</v>
      </c>
      <c r="D255" s="19" t="n">
        <f aca="false">SUMIFS('SALES Raw'!$C$6:$C$4467,'SALES Raw'!$J$6:$J$4467,$J255,'SALES Raw'!$K$6:$K$4467,"Y")+SUMIFS('CEMIUP0.9 Raw'!$D$6:$D$1712,'CEMIUP0.9 Raw'!$B$6:$B$1712,$J255,'CEMIUP0.9 Raw'!$H$6:$H$1712,"Y")</f>
        <v>151</v>
      </c>
      <c r="E255" s="19" t="n">
        <f aca="false">SUMIFS('SALES Raw'!$D$6:$D$4467,'SALES Raw'!$J$6:$J$4467,$J255,'SALES Raw'!$K$6:$K$4467,"Y")+SUMIFS('CEMIUP0.9 Raw'!$E$6:$E$1712,'CEMIUP0.9 Raw'!$B$6:$B$1712,$J255,'CEMIUP0.9 Raw'!$H$6:$H$1712,"Y")</f>
        <v>4797.013</v>
      </c>
      <c r="F255" s="19" t="n">
        <f aca="false">SUMIFS('SALES Raw'!$E$6:$E$4467,'SALES Raw'!$J$6:$J$4467,$J255,'SALES Raw'!$K$6:$K$4467,"Y")*$H$4+SUMIFS('CEMIUP0.9 Raw'!$F$6:$F$1712,'CEMIUP0.9 Raw'!$B$6:$B$1712,$J255,'CEMIUP0.9 Raw'!$H$6:$H$1712,"Y")</f>
        <v>85.8947368421052</v>
      </c>
      <c r="G255" s="19" t="n">
        <f aca="false">SUMIFS('SALES Raw'!$F$6:$F$4467,'SALES Raw'!$J$6:$J$4467,$J255,'SALES Raw'!$K$6:$K$4467,"Y")*$H$4+SUMIFS('CEMIUP0.9 Raw'!$G$6:$G$1712,'CEMIUP0.9 Raw'!$B$6:$B$1712,$J255,'CEMIUP0.9 Raw'!$H$6:$H$1712,"Y")</f>
        <v>2594.26105263158</v>
      </c>
      <c r="H255" s="18" t="s">
        <v>43</v>
      </c>
      <c r="I255" s="18" t="s">
        <v>44</v>
      </c>
      <c r="J255" s="18" t="n">
        <v>4408048</v>
      </c>
    </row>
    <row r="256" customFormat="false" ht="15" hidden="false" customHeight="false" outlineLevel="0" collapsed="false">
      <c r="A256" s="18" t="n">
        <f aca="false">IF(ISNUMBER($J256),$J256,"")</f>
        <v>4413407</v>
      </c>
      <c r="B256" s="18" t="str">
        <f aca="false">IFERROR(INDEX('SALES Raw'!$B$6:$B$4467,MATCH($J256,'SALES Raw'!$J$6:$J$4467,0)),IFERROR(INDEX('CEMIUP0.9 Raw'!$B$6:$B$1712,MATCH($J256,'CEMIUP0.9 Raw'!$B$6:$B$1712,0)),$J256))</f>
        <v>SC95 L</v>
      </c>
      <c r="C256" s="18" t="str">
        <f aca="false">IF(ISNUMBER($J256),IFERROR(INDEX('TRANS'!$C:$C,MATCH($J256,'TRANS'!$B:$B,0)),IFERROR(INDEX('Catalog'!$B:$B,MATCH($J256,'Catalog'!$A:$A,0)),$B256)),$B256)</f>
        <v>SC95 L מגן מרפק</v>
      </c>
      <c r="D256" s="19" t="n">
        <f aca="false">SUMIFS('SALES Raw'!$C$6:$C$4467,'SALES Raw'!$J$6:$J$4467,$J256,'SALES Raw'!$K$6:$K$4467,"Y")+SUMIFS('CEMIUP0.9 Raw'!$D$6:$D$1712,'CEMIUP0.9 Raw'!$B$6:$B$1712,$J256,'CEMIUP0.9 Raw'!$H$6:$H$1712,"Y")</f>
        <v>80</v>
      </c>
      <c r="E256" s="19" t="n">
        <f aca="false">SUMIFS('SALES Raw'!$D$6:$D$4467,'SALES Raw'!$J$6:$J$4467,$J256,'SALES Raw'!$K$6:$K$4467,"Y")+SUMIFS('CEMIUP0.9 Raw'!$E$6:$E$1712,'CEMIUP0.9 Raw'!$B$6:$B$1712,$J256,'CEMIUP0.9 Raw'!$H$6:$H$1712,"Y")</f>
        <v>9169.979</v>
      </c>
      <c r="F256" s="19" t="n">
        <f aca="false">SUMIFS('SALES Raw'!$E$6:$E$4467,'SALES Raw'!$J$6:$J$4467,$J256,'SALES Raw'!$K$6:$K$4467,"Y")*$H$4+SUMIFS('CEMIUP0.9 Raw'!$F$6:$F$1712,'CEMIUP0.9 Raw'!$B$6:$B$1712,$J256,'CEMIUP0.9 Raw'!$H$6:$H$1712,"Y")</f>
        <v>85.8947368421052</v>
      </c>
      <c r="G256" s="19" t="n">
        <f aca="false">SUMIFS('SALES Raw'!$F$6:$F$4467,'SALES Raw'!$J$6:$J$4467,$J256,'SALES Raw'!$K$6:$K$4467,"Y")*$H$4+SUMIFS('CEMIUP0.9 Raw'!$G$6:$G$1712,'CEMIUP0.9 Raw'!$B$6:$B$1712,$J256,'CEMIUP0.9 Raw'!$H$6:$H$1712,"Y")</f>
        <v>11596.7355789474</v>
      </c>
      <c r="H256" s="18" t="s">
        <v>42</v>
      </c>
      <c r="I256" s="18" t="s">
        <v>43</v>
      </c>
      <c r="J256" s="18" t="n">
        <v>4413407</v>
      </c>
    </row>
    <row r="257" customFormat="false" ht="15" hidden="false" customHeight="false" outlineLevel="0" collapsed="false">
      <c r="A257" s="18" t="n">
        <f aca="false">IF(ISNUMBER($J257),$J257,"")</f>
        <v>4413157</v>
      </c>
      <c r="B257" s="18" t="str">
        <f aca="false">IFERROR(INDEX('SALES Raw'!$B$6:$B$4467,MATCH($J257,'SALES Raw'!$J$6:$J$4467,0)),IFERROR(INDEX('CEMIUP0.9 Raw'!$B$6:$B$1712,MATCH($J257,'CEMIUP0.9 Raw'!$B$6:$B$1712,0)),$J257))</f>
        <v>305GA-43-44</v>
      </c>
      <c r="C257" s="18" t="str">
        <f aca="false">IF(ISNUMBER($J257),IFERROR(INDEX('TRANS'!$C:$C,MATCH($J257,'TRANS'!$B:$B,0)),IFERROR(INDEX('Catalog'!$B:$B,MATCH($J257,'Catalog'!$A:$A,0)),$B257)),$B257)</f>
        <v>305GA מדרס אורטופ.מתכוון43-44</v>
      </c>
      <c r="D257" s="19" t="n">
        <f aca="false">SUMIFS('SALES Raw'!$C$6:$C$4467,'SALES Raw'!$J$6:$J$4467,$J257,'SALES Raw'!$K$6:$K$4467,"Y")+SUMIFS('CEMIUP0.9 Raw'!$D$6:$D$1712,'CEMIUP0.9 Raw'!$B$6:$B$1712,$J257,'CEMIUP0.9 Raw'!$H$6:$H$1712,"Y")</f>
        <v>135</v>
      </c>
      <c r="E257" s="19" t="n">
        <f aca="false">SUMIFS('SALES Raw'!$D$6:$D$4467,'SALES Raw'!$J$6:$J$4467,$J257,'SALES Raw'!$K$6:$K$4467,"Y")+SUMIFS('CEMIUP0.9 Raw'!$E$6:$E$1712,'CEMIUP0.9 Raw'!$B$6:$B$1712,$J257,'CEMIUP0.9 Raw'!$H$6:$H$1712,"Y")</f>
        <v>13123.788</v>
      </c>
      <c r="F257" s="19" t="n">
        <f aca="false">SUMIFS('SALES Raw'!$E$6:$E$4467,'SALES Raw'!$J$6:$J$4467,$J257,'SALES Raw'!$K$6:$K$4467,"Y")*$H$4+SUMIFS('CEMIUP0.9 Raw'!$F$6:$F$1712,'CEMIUP0.9 Raw'!$B$6:$B$1712,$J257,'CEMIUP0.9 Raw'!$H$6:$H$1712,"Y")</f>
        <v>84.6315789473685</v>
      </c>
      <c r="G257" s="19" t="n">
        <f aca="false">SUMIFS('SALES Raw'!$F$6:$F$4467,'SALES Raw'!$J$6:$J$4467,$J257,'SALES Raw'!$K$6:$K$4467,"Y")*$H$4+SUMIFS('CEMIUP0.9 Raw'!$G$6:$G$1712,'CEMIUP0.9 Raw'!$B$6:$B$1712,$J257,'CEMIUP0.9 Raw'!$H$6:$H$1712,"Y")</f>
        <v>8428.45894736842</v>
      </c>
      <c r="H257" s="18" t="s">
        <v>44</v>
      </c>
      <c r="I257" s="18" t="s">
        <v>43</v>
      </c>
      <c r="J257" s="18" t="n">
        <v>4413157</v>
      </c>
    </row>
    <row r="258" customFormat="false" ht="15" hidden="false" customHeight="false" outlineLevel="0" collapsed="false">
      <c r="A258" s="18" t="n">
        <f aca="false">IF(ISNUMBER($J258),$J258,"")</f>
        <v>4418003</v>
      </c>
      <c r="B258" s="18" t="str">
        <f aca="false">IFERROR(INDEX('SALES Raw'!$B$6:$B$4467,MATCH($J258,'SALES Raw'!$J$6:$J$4467,0)),IFERROR(INDEX('CEMIUP0.9 Raw'!$B$6:$B$1712,MATCH($J258,'CEMIUP0.9 Raw'!$B$6:$B$1712,0)),$J258))</f>
        <v>60 XL</v>
      </c>
      <c r="C258" s="18" t="str">
        <f aca="false">IF(ISNUMBER($J258),IFERROR(INDEX('TRANS'!$C:$C,MATCH($J258,'TRANS'!$B:$B,0)),IFERROR(INDEX('Catalog'!$B:$B,MATCH($J258,'Catalog'!$A:$A,0)),$B258)),$B258)</f>
        <v>60 XL צוארון ספוגי</v>
      </c>
      <c r="D258" s="19" t="n">
        <f aca="false">SUMIFS('SALES Raw'!$C$6:$C$4467,'SALES Raw'!$J$6:$J$4467,$J258,'SALES Raw'!$K$6:$K$4467,"Y")+SUMIFS('CEMIUP0.9 Raw'!$D$6:$D$1712,'CEMIUP0.9 Raw'!$B$6:$B$1712,$J258,'CEMIUP0.9 Raw'!$H$6:$H$1712,"Y")</f>
        <v>159</v>
      </c>
      <c r="E258" s="19" t="n">
        <f aca="false">SUMIFS('SALES Raw'!$D$6:$D$4467,'SALES Raw'!$J$6:$J$4467,$J258,'SALES Raw'!$K$6:$K$4467,"Y")+SUMIFS('CEMIUP0.9 Raw'!$E$6:$E$1712,'CEMIUP0.9 Raw'!$B$6:$B$1712,$J258,'CEMIUP0.9 Raw'!$H$6:$H$1712,"Y")</f>
        <v>7237.048</v>
      </c>
      <c r="F258" s="19" t="n">
        <f aca="false">SUMIFS('SALES Raw'!$E$6:$E$4467,'SALES Raw'!$J$6:$J$4467,$J258,'SALES Raw'!$K$6:$K$4467,"Y")*$H$4+SUMIFS('CEMIUP0.9 Raw'!$F$6:$F$1712,'CEMIUP0.9 Raw'!$B$6:$B$1712,$J258,'CEMIUP0.9 Raw'!$H$6:$H$1712,"Y")</f>
        <v>84.6315789473684</v>
      </c>
      <c r="G258" s="19" t="n">
        <f aca="false">SUMIFS('SALES Raw'!$F$6:$F$4467,'SALES Raw'!$J$6:$J$4467,$J258,'SALES Raw'!$K$6:$K$4467,"Y")*$H$4+SUMIFS('CEMIUP0.9 Raw'!$G$6:$G$1712,'CEMIUP0.9 Raw'!$B$6:$B$1712,$J258,'CEMIUP0.9 Raw'!$H$6:$H$1712,"Y")</f>
        <v>4102.86694736842</v>
      </c>
      <c r="H258" s="18" t="s">
        <v>43</v>
      </c>
      <c r="I258" s="18" t="s">
        <v>44</v>
      </c>
      <c r="J258" s="18" t="n">
        <v>4418003</v>
      </c>
    </row>
    <row r="259" customFormat="false" ht="15" hidden="false" customHeight="false" outlineLevel="0" collapsed="false">
      <c r="A259" s="18" t="n">
        <f aca="false">IF(ISNUMBER($J259),$J259,"")</f>
        <v>4413159</v>
      </c>
      <c r="B259" s="18" t="str">
        <f aca="false">IFERROR(INDEX('SALES Raw'!$B$6:$B$4467,MATCH($J259,'SALES Raw'!$J$6:$J$4467,0)),IFERROR(INDEX('CEMIUP0.9 Raw'!$B$6:$B$1712,MATCH($J259,'CEMIUP0.9 Raw'!$B$6:$B$1712,0)),$J259))</f>
        <v>34+ S</v>
      </c>
      <c r="C259" s="18" t="str">
        <f aca="false">IF(ISNUMBER($J259),IFERROR(INDEX('TRANS'!$C:$C,MATCH($J259,'TRANS'!$B:$B,0)),IFERROR(INDEX('Catalog'!$B:$B,MATCH($J259,'Catalog'!$A:$A,0)),$B259)),$B259)</f>
        <v>34+ S מגן קרסול עקב סגור+רצוע</v>
      </c>
      <c r="D259" s="19" t="n">
        <f aca="false">SUMIFS('SALES Raw'!$C$6:$C$4467,'SALES Raw'!$J$6:$J$4467,$J259,'SALES Raw'!$K$6:$K$4467,"Y")+SUMIFS('CEMIUP0.9 Raw'!$D$6:$D$1712,'CEMIUP0.9 Raw'!$B$6:$B$1712,$J259,'CEMIUP0.9 Raw'!$H$6:$H$1712,"Y")</f>
        <v>83</v>
      </c>
      <c r="E259" s="19" t="n">
        <f aca="false">SUMIFS('SALES Raw'!$D$6:$D$4467,'SALES Raw'!$J$6:$J$4467,$J259,'SALES Raw'!$K$6:$K$4467,"Y")+SUMIFS('CEMIUP0.9 Raw'!$E$6:$E$1712,'CEMIUP0.9 Raw'!$B$6:$B$1712,$J259,'CEMIUP0.9 Raw'!$H$6:$H$1712,"Y")</f>
        <v>4971.196</v>
      </c>
      <c r="F259" s="19" t="n">
        <f aca="false">SUMIFS('SALES Raw'!$E$6:$E$4467,'SALES Raw'!$J$6:$J$4467,$J259,'SALES Raw'!$K$6:$K$4467,"Y")*$H$4+SUMIFS('CEMIUP0.9 Raw'!$F$6:$F$1712,'CEMIUP0.9 Raw'!$B$6:$B$1712,$J259,'CEMIUP0.9 Raw'!$H$6:$H$1712,"Y")</f>
        <v>83.3684210526316</v>
      </c>
      <c r="G259" s="19" t="n">
        <f aca="false">SUMIFS('SALES Raw'!$F$6:$F$4467,'SALES Raw'!$J$6:$J$4467,$J259,'SALES Raw'!$K$6:$K$4467,"Y")*$H$4+SUMIFS('CEMIUP0.9 Raw'!$G$6:$G$1712,'CEMIUP0.9 Raw'!$B$6:$B$1712,$J259,'CEMIUP0.9 Raw'!$H$6:$H$1712,"Y")</f>
        <v>4532.30147368421</v>
      </c>
      <c r="H259" s="18" t="s">
        <v>48</v>
      </c>
      <c r="I259" s="18" t="s">
        <v>43</v>
      </c>
      <c r="J259" s="18" t="n">
        <v>4413159</v>
      </c>
    </row>
    <row r="260" customFormat="false" ht="15" hidden="false" customHeight="false" outlineLevel="0" collapsed="false">
      <c r="A260" s="18" t="n">
        <f aca="false">IF(ISNUMBER($J260),$J260,"")</f>
        <v>4408094</v>
      </c>
      <c r="B260" s="18" t="str">
        <f aca="false">IFERROR(INDEX('SALES Raw'!$B$6:$B$4467,MATCH($J260,'SALES Raw'!$J$6:$J$4467,0)),IFERROR(INDEX('CEMIUP0.9 Raw'!$B$6:$B$1712,MATCH($J260,'CEMIUP0.9 Raw'!$B$6:$B$1712,0)),$J260))</f>
        <v>T20-S-M</v>
      </c>
      <c r="C260" s="18" t="str">
        <f aca="false">IF(ISNUMBER($J260),IFERROR(INDEX('TRANS'!$C:$C,MATCH($J260,'TRANS'!$B:$B,0)),IFERROR(INDEX('Catalog'!$B:$B,MATCH($J260,'Catalog'!$A:$A,0)),$B260)),$B260)</f>
        <v>T20 S-M חבק יד עם צמדן</v>
      </c>
      <c r="D260" s="19" t="n">
        <f aca="false">SUMIFS('SALES Raw'!$C$6:$C$4467,'SALES Raw'!$J$6:$J$4467,$J260,'SALES Raw'!$K$6:$K$4467,"Y")+SUMIFS('CEMIUP0.9 Raw'!$D$6:$D$1712,'CEMIUP0.9 Raw'!$B$6:$B$1712,$J260,'CEMIUP0.9 Raw'!$H$6:$H$1712,"Y")</f>
        <v>135</v>
      </c>
      <c r="E260" s="19" t="n">
        <f aca="false">SUMIFS('SALES Raw'!$D$6:$D$4467,'SALES Raw'!$J$6:$J$4467,$J260,'SALES Raw'!$K$6:$K$4467,"Y")+SUMIFS('CEMIUP0.9 Raw'!$E$6:$E$1712,'CEMIUP0.9 Raw'!$B$6:$B$1712,$J260,'CEMIUP0.9 Raw'!$H$6:$H$1712,"Y")</f>
        <v>4611.963</v>
      </c>
      <c r="F260" s="19" t="n">
        <f aca="false">SUMIFS('SALES Raw'!$E$6:$E$4467,'SALES Raw'!$J$6:$J$4467,$J260,'SALES Raw'!$K$6:$K$4467,"Y")*$H$4+SUMIFS('CEMIUP0.9 Raw'!$F$6:$F$1712,'CEMIUP0.9 Raw'!$B$6:$B$1712,$J260,'CEMIUP0.9 Raw'!$H$6:$H$1712,"Y")</f>
        <v>83.3684210526316</v>
      </c>
      <c r="G260" s="19" t="n">
        <f aca="false">SUMIFS('SALES Raw'!$F$6:$F$4467,'SALES Raw'!$J$6:$J$4467,$J260,'SALES Raw'!$K$6:$K$4467,"Y")*$H$4+SUMIFS('CEMIUP0.9 Raw'!$G$6:$G$1712,'CEMIUP0.9 Raw'!$B$6:$B$1712,$J260,'CEMIUP0.9 Raw'!$H$6:$H$1712,"Y")</f>
        <v>2678.11452631579</v>
      </c>
      <c r="H260" s="18" t="s">
        <v>43</v>
      </c>
      <c r="I260" s="18" t="s">
        <v>44</v>
      </c>
      <c r="J260" s="18" t="n">
        <v>4408094</v>
      </c>
    </row>
    <row r="261" customFormat="false" ht="15" hidden="false" customHeight="false" outlineLevel="0" collapsed="false">
      <c r="A261" s="18" t="n">
        <f aca="false">IF(ISNUMBER($J261),$J261,"")</f>
        <v>4413529</v>
      </c>
      <c r="B261" s="18" t="str">
        <f aca="false">IFERROR(INDEX('SALES Raw'!$B$6:$B$4467,MATCH($J261,'SALES Raw'!$J$6:$J$4467,0)),IFERROR(INDEX('CEMIUP0.9 Raw'!$B$6:$B$1712,MATCH($J261,'CEMIUP0.9 Raw'!$B$6:$B$1712,0)),$J261))</f>
        <v>379WRK-43-46</v>
      </c>
      <c r="C261" s="18" t="str">
        <f aca="false">IF(ISNUMBER($J261),IFERROR(INDEX('TRANS'!$C:$C,MATCH($J261,'TRANS'!$B:$B,0)),IFERROR(INDEX('Catalog'!$B:$B,MATCH($J261,'Catalog'!$A:$A,0)),$B261)),$B261)</f>
        <v>43-47 מדרסי אפיק ג'ל עבודה</v>
      </c>
      <c r="D261" s="19" t="n">
        <f aca="false">SUMIFS('SALES Raw'!$C$6:$C$4467,'SALES Raw'!$J$6:$J$4467,$J261,'SALES Raw'!$K$6:$K$4467,"Y")+SUMIFS('CEMIUP0.9 Raw'!$D$6:$D$1712,'CEMIUP0.9 Raw'!$B$6:$B$1712,$J261,'CEMIUP0.9 Raw'!$H$6:$H$1712,"Y")</f>
        <v>71</v>
      </c>
      <c r="E261" s="19" t="n">
        <f aca="false">SUMIFS('SALES Raw'!$D$6:$D$4467,'SALES Raw'!$J$6:$J$4467,$J261,'SALES Raw'!$K$6:$K$4467,"Y")+SUMIFS('CEMIUP0.9 Raw'!$E$6:$E$1712,'CEMIUP0.9 Raw'!$B$6:$B$1712,$J261,'CEMIUP0.9 Raw'!$H$6:$H$1712,"Y")</f>
        <v>10714.175</v>
      </c>
      <c r="F261" s="19" t="n">
        <f aca="false">SUMIFS('SALES Raw'!$E$6:$E$4467,'SALES Raw'!$J$6:$J$4467,$J261,'SALES Raw'!$K$6:$K$4467,"Y")*$H$4+SUMIFS('CEMIUP0.9 Raw'!$F$6:$F$1712,'CEMIUP0.9 Raw'!$B$6:$B$1712,$J261,'CEMIUP0.9 Raw'!$H$6:$H$1712,"Y")</f>
        <v>83.3684210526316</v>
      </c>
      <c r="G261" s="19" t="n">
        <f aca="false">SUMIFS('SALES Raw'!$F$6:$F$4467,'SALES Raw'!$J$6:$J$4467,$J261,'SALES Raw'!$K$6:$K$4467,"Y")*$H$4+SUMIFS('CEMIUP0.9 Raw'!$G$6:$G$1712,'CEMIUP0.9 Raw'!$B$6:$B$1712,$J261,'CEMIUP0.9 Raw'!$H$6:$H$1712,"Y")</f>
        <v>11629.2694736842</v>
      </c>
      <c r="H261" s="18" t="s">
        <v>42</v>
      </c>
      <c r="I261" s="18" t="s">
        <v>54</v>
      </c>
      <c r="J261" s="18" t="n">
        <v>4413529</v>
      </c>
    </row>
    <row r="262" customFormat="false" ht="15" hidden="false" customHeight="false" outlineLevel="0" collapsed="false">
      <c r="A262" s="18" t="n">
        <f aca="false">IF(ISNUMBER($J262),$J262,"")</f>
        <v>4413441</v>
      </c>
      <c r="B262" s="18" t="str">
        <f aca="false">IFERROR(INDEX('SALES Raw'!$B$6:$B$4467,MATCH($J262,'SALES Raw'!$J$6:$J$4467,0)),IFERROR(INDEX('CEMIUP0.9 Raw'!$B$6:$B$1712,MATCH($J262,'CEMIUP0.9 Raw'!$B$6:$B$1712,0)),$J262))</f>
        <v>SC422 XL</v>
      </c>
      <c r="C262" s="18" t="str">
        <f aca="false">IF(ISNUMBER($J262),IFERROR(INDEX('TRANS'!$C:$C,MATCH($J262,'TRANS'!$B:$B,0)),IFERROR(INDEX('Catalog'!$B:$B,MATCH($J262,'Catalog'!$A:$A,0)),$B262)),$B262)</f>
        <v>SC422 XL מגן ברך</v>
      </c>
      <c r="D262" s="19" t="n">
        <f aca="false">SUMIFS('SALES Raw'!$C$6:$C$4467,'SALES Raw'!$J$6:$J$4467,$J262,'SALES Raw'!$K$6:$K$4467,"Y")+SUMIFS('CEMIUP0.9 Raw'!$D$6:$D$1712,'CEMIUP0.9 Raw'!$B$6:$B$1712,$J262,'CEMIUP0.9 Raw'!$H$6:$H$1712,"Y")</f>
        <v>57</v>
      </c>
      <c r="E262" s="19" t="n">
        <f aca="false">SUMIFS('SALES Raw'!$D$6:$D$4467,'SALES Raw'!$J$6:$J$4467,$J262,'SALES Raw'!$K$6:$K$4467,"Y")+SUMIFS('CEMIUP0.9 Raw'!$E$6:$E$1712,'CEMIUP0.9 Raw'!$B$6:$B$1712,$J262,'CEMIUP0.9 Raw'!$H$6:$H$1712,"Y")</f>
        <v>10228.954</v>
      </c>
      <c r="F262" s="19" t="n">
        <f aca="false">SUMIFS('SALES Raw'!$E$6:$E$4467,'SALES Raw'!$J$6:$J$4467,$J262,'SALES Raw'!$K$6:$K$4467,"Y")*$H$4+SUMIFS('CEMIUP0.9 Raw'!$F$6:$F$1712,'CEMIUP0.9 Raw'!$B$6:$B$1712,$J262,'CEMIUP0.9 Raw'!$H$6:$H$1712,"Y")</f>
        <v>83.3684210526316</v>
      </c>
      <c r="G262" s="19" t="n">
        <f aca="false">SUMIFS('SALES Raw'!$F$6:$F$4467,'SALES Raw'!$J$6:$J$4467,$J262,'SALES Raw'!$K$6:$K$4467,"Y")*$H$4+SUMIFS('CEMIUP0.9 Raw'!$G$6:$G$1712,'CEMIUP0.9 Raw'!$B$6:$B$1712,$J262,'CEMIUP0.9 Raw'!$H$6:$H$1712,"Y")</f>
        <v>16189.3225263158</v>
      </c>
      <c r="H262" s="18" t="s">
        <v>42</v>
      </c>
      <c r="I262" s="18" t="s">
        <v>43</v>
      </c>
      <c r="J262" s="18" t="n">
        <v>4413441</v>
      </c>
    </row>
    <row r="263" customFormat="false" ht="15" hidden="false" customHeight="false" outlineLevel="0" collapsed="false">
      <c r="A263" s="18" t="n">
        <f aca="false">IF(ISNUMBER($J263),$J263,"")</f>
        <v>4415001</v>
      </c>
      <c r="B263" s="18" t="str">
        <f aca="false">IFERROR(INDEX('SALES Raw'!$B$6:$B$4467,MATCH($J263,'SALES Raw'!$J$6:$J$4467,0)),IFERROR(INDEX('CEMIUP0.9 Raw'!$B$6:$B$1712,MATCH($J263,'CEMIUP0.9 Raw'!$B$6:$B$1712,0)),$J263))</f>
        <v>26 M</v>
      </c>
      <c r="C263" s="18" t="str">
        <f aca="false">IF(ISNUMBER($J263),IFERROR(INDEX('TRANS'!$C:$C,MATCH($J263,'TRANS'!$B:$B,0)),IFERROR(INDEX('Catalog'!$B:$B,MATCH($J263,'Catalog'!$A:$A,0)),$B263)),$B263)</f>
        <v>26 M סד ליד דו צדדי לאחר שבר</v>
      </c>
      <c r="D263" s="19" t="n">
        <f aca="false">SUMIFS('SALES Raw'!$C$6:$C$4467,'SALES Raw'!$J$6:$J$4467,$J263,'SALES Raw'!$K$6:$K$4467,"Y")+SUMIFS('CEMIUP0.9 Raw'!$D$6:$D$1712,'CEMIUP0.9 Raw'!$B$6:$B$1712,$J263,'CEMIUP0.9 Raw'!$H$6:$H$1712,"Y")</f>
        <v>122</v>
      </c>
      <c r="E263" s="19" t="n">
        <f aca="false">SUMIFS('SALES Raw'!$D$6:$D$4467,'SALES Raw'!$J$6:$J$4467,$J263,'SALES Raw'!$K$6:$K$4467,"Y")+SUMIFS('CEMIUP0.9 Raw'!$E$6:$E$1712,'CEMIUP0.9 Raw'!$B$6:$B$1712,$J263,'CEMIUP0.9 Raw'!$H$6:$H$1712,"Y")</f>
        <v>12496.09</v>
      </c>
      <c r="F263" s="19" t="n">
        <f aca="false">SUMIFS('SALES Raw'!$E$6:$E$4467,'SALES Raw'!$J$6:$J$4467,$J263,'SALES Raw'!$K$6:$K$4467,"Y")*$H$4+SUMIFS('CEMIUP0.9 Raw'!$F$6:$F$1712,'CEMIUP0.9 Raw'!$B$6:$B$1712,$J263,'CEMIUP0.9 Raw'!$H$6:$H$1712,"Y")</f>
        <v>83.3684210526316</v>
      </c>
      <c r="G263" s="19" t="n">
        <f aca="false">SUMIFS('SALES Raw'!$F$6:$F$4467,'SALES Raw'!$J$6:$J$4467,$J263,'SALES Raw'!$K$6:$K$4467,"Y")*$H$4+SUMIFS('CEMIUP0.9 Raw'!$G$6:$G$1712,'CEMIUP0.9 Raw'!$B$6:$B$1712,$J263,'CEMIUP0.9 Raw'!$H$6:$H$1712,"Y")</f>
        <v>8332.51957894737</v>
      </c>
      <c r="H263" s="18" t="s">
        <v>43</v>
      </c>
      <c r="I263" s="18" t="s">
        <v>44</v>
      </c>
      <c r="J263" s="18" t="n">
        <v>4415001</v>
      </c>
    </row>
    <row r="264" customFormat="false" ht="15" hidden="false" customHeight="false" outlineLevel="0" collapsed="false">
      <c r="A264" s="18" t="n">
        <f aca="false">IF(ISNUMBER($J264),$J264,"")</f>
        <v>4413330</v>
      </c>
      <c r="B264" s="18" t="str">
        <f aca="false">IFERROR(INDEX('SALES Raw'!$B$6:$B$4467,MATCH($J264,'SALES Raw'!$J$6:$J$4467,0)),IFERROR(INDEX('CEMIUP0.9 Raw'!$B$6:$B$1712,MATCH($J264,'CEMIUP0.9 Raw'!$B$6:$B$1712,0)),$J264))</f>
        <v>AC49 0</v>
      </c>
      <c r="C264" s="18" t="str">
        <f aca="false">IF(ISNUMBER($J264),IFERROR(INDEX('TRANS'!$C:$C,MATCH($J264,'TRANS'!$B:$B,0)),IFERROR(INDEX('Catalog'!$B:$B,MATCH($J264,'Catalog'!$A:$A,0)),$B264)),$B264)</f>
        <v>AC49 מגן ירך</v>
      </c>
      <c r="D264" s="19" t="n">
        <f aca="false">SUMIFS('SALES Raw'!$C$6:$C$4467,'SALES Raw'!$J$6:$J$4467,$J264,'SALES Raw'!$K$6:$K$4467,"Y")+SUMIFS('CEMIUP0.9 Raw'!$D$6:$D$1712,'CEMIUP0.9 Raw'!$B$6:$B$1712,$J264,'CEMIUP0.9 Raw'!$H$6:$H$1712,"Y")</f>
        <v>62</v>
      </c>
      <c r="E264" s="19" t="n">
        <f aca="false">SUMIFS('SALES Raw'!$D$6:$D$4467,'SALES Raw'!$J$6:$J$4467,$J264,'SALES Raw'!$K$6:$K$4467,"Y")+SUMIFS('CEMIUP0.9 Raw'!$E$6:$E$1712,'CEMIUP0.9 Raw'!$B$6:$B$1712,$J264,'CEMIUP0.9 Raw'!$H$6:$H$1712,"Y")</f>
        <v>5030.554</v>
      </c>
      <c r="F264" s="19" t="n">
        <f aca="false">SUMIFS('SALES Raw'!$E$6:$E$4467,'SALES Raw'!$J$6:$J$4467,$J264,'SALES Raw'!$K$6:$K$4467,"Y")*$H$4+SUMIFS('CEMIUP0.9 Raw'!$F$6:$F$1712,'CEMIUP0.9 Raw'!$B$6:$B$1712,$J264,'CEMIUP0.9 Raw'!$H$6:$H$1712,"Y")</f>
        <v>82.1052631578947</v>
      </c>
      <c r="G264" s="19" t="n">
        <f aca="false">SUMIFS('SALES Raw'!$F$6:$F$4467,'SALES Raw'!$J$6:$J$4467,$J264,'SALES Raw'!$K$6:$K$4467,"Y")*$H$4+SUMIFS('CEMIUP0.9 Raw'!$G$6:$G$1712,'CEMIUP0.9 Raw'!$B$6:$B$1712,$J264,'CEMIUP0.9 Raw'!$H$6:$H$1712,"Y")</f>
        <v>7008.81221052631</v>
      </c>
      <c r="H264" s="18" t="s">
        <v>42</v>
      </c>
      <c r="I264" s="18" t="s">
        <v>43</v>
      </c>
      <c r="J264" s="18" t="n">
        <v>4413330</v>
      </c>
    </row>
    <row r="265" customFormat="false" ht="15" hidden="false" customHeight="false" outlineLevel="0" collapsed="false">
      <c r="A265" s="18" t="n">
        <f aca="false">IF(ISNUMBER($J265),$J265,"")</f>
        <v>4413340</v>
      </c>
      <c r="B265" s="18" t="str">
        <f aca="false">IFERROR(INDEX('SALES Raw'!$B$6:$B$4467,MATCH($J265,'SALES Raw'!$J$6:$J$4467,0)),IFERROR(INDEX('CEMIUP0.9 Raw'!$B$6:$B$1712,MATCH($J265,'CEMIUP0.9 Raw'!$B$6:$B$1712,0)),$J265))</f>
        <v>3666 0</v>
      </c>
      <c r="C265" s="18" t="str">
        <f aca="false">IF(ISNUMBER($J265),IFERROR(INDEX('TRANS'!$C:$C,MATCH($J265,'TRANS'!$B:$B,0)),IFERROR(INDEX('Catalog'!$B:$B,MATCH($J265,'Catalog'!$A:$A,0)),$B265)),$B265)</f>
        <v>3666 מפריד הלוקס</v>
      </c>
      <c r="D265" s="19" t="n">
        <f aca="false">SUMIFS('SALES Raw'!$C$6:$C$4467,'SALES Raw'!$J$6:$J$4467,$J265,'SALES Raw'!$K$6:$K$4467,"Y")+SUMIFS('CEMIUP0.9 Raw'!$D$6:$D$1712,'CEMIUP0.9 Raw'!$B$6:$B$1712,$J265,'CEMIUP0.9 Raw'!$H$6:$H$1712,"Y")</f>
        <v>112</v>
      </c>
      <c r="E265" s="19" t="n">
        <f aca="false">SUMIFS('SALES Raw'!$D$6:$D$4467,'SALES Raw'!$J$6:$J$4467,$J265,'SALES Raw'!$K$6:$K$4467,"Y")+SUMIFS('CEMIUP0.9 Raw'!$E$6:$E$1712,'CEMIUP0.9 Raw'!$B$6:$B$1712,$J265,'CEMIUP0.9 Raw'!$H$6:$H$1712,"Y")</f>
        <v>5210.302</v>
      </c>
      <c r="F265" s="19" t="n">
        <f aca="false">SUMIFS('SALES Raw'!$E$6:$E$4467,'SALES Raw'!$J$6:$J$4467,$J265,'SALES Raw'!$K$6:$K$4467,"Y")*$H$4+SUMIFS('CEMIUP0.9 Raw'!$F$6:$F$1712,'CEMIUP0.9 Raw'!$B$6:$B$1712,$J265,'CEMIUP0.9 Raw'!$H$6:$H$1712,"Y")</f>
        <v>82.1052631578947</v>
      </c>
      <c r="G265" s="19" t="n">
        <f aca="false">SUMIFS('SALES Raw'!$F$6:$F$4467,'SALES Raw'!$J$6:$J$4467,$J265,'SALES Raw'!$K$6:$K$4467,"Y")*$H$4+SUMIFS('CEMIUP0.9 Raw'!$G$6:$G$1712,'CEMIUP0.9 Raw'!$B$6:$B$1712,$J265,'CEMIUP0.9 Raw'!$H$6:$H$1712,"Y")</f>
        <v>4694.54778947369</v>
      </c>
      <c r="H265" s="18" t="s">
        <v>48</v>
      </c>
      <c r="I265" s="18" t="s">
        <v>43</v>
      </c>
      <c r="J265" s="18" t="n">
        <v>4413340</v>
      </c>
    </row>
    <row r="266" customFormat="false" ht="15" hidden="false" customHeight="false" outlineLevel="0" collapsed="false">
      <c r="A266" s="18" t="n">
        <f aca="false">IF(ISNUMBER($J266),$J266,"")</f>
        <v>4413134</v>
      </c>
      <c r="B266" s="18" t="str">
        <f aca="false">IFERROR(INDEX('SALES Raw'!$B$6:$B$4467,MATCH($J266,'SALES Raw'!$J$6:$J$4467,0)),IFERROR(INDEX('CEMIUP0.9 Raw'!$B$6:$B$1712,MATCH($J266,'CEMIUP0.9 Raw'!$B$6:$B$1712,0)),$J266))</f>
        <v>76 XL</v>
      </c>
      <c r="C266" s="18" t="str">
        <f aca="false">IF(ISNUMBER($J266),IFERROR(INDEX('TRANS'!$C:$C,MATCH($J266,'TRANS'!$B:$B,0)),IFERROR(INDEX('Catalog'!$B:$B,MATCH($J266,'Catalog'!$A:$A,0)),$B266)),$B266)</f>
        <v>76 XLמיישר כתף יציב יישור רחב</v>
      </c>
      <c r="D266" s="19" t="n">
        <f aca="false">SUMIFS('SALES Raw'!$C$6:$C$4467,'SALES Raw'!$J$6:$J$4467,$J266,'SALES Raw'!$K$6:$K$4467,"Y")+SUMIFS('CEMIUP0.9 Raw'!$D$6:$D$1712,'CEMIUP0.9 Raw'!$B$6:$B$1712,$J266,'CEMIUP0.9 Raw'!$H$6:$H$1712,"Y")</f>
        <v>78</v>
      </c>
      <c r="E266" s="19" t="n">
        <f aca="false">SUMIFS('SALES Raw'!$D$6:$D$4467,'SALES Raw'!$J$6:$J$4467,$J266,'SALES Raw'!$K$6:$K$4467,"Y")+SUMIFS('CEMIUP0.9 Raw'!$E$6:$E$1712,'CEMIUP0.9 Raw'!$B$6:$B$1712,$J266,'CEMIUP0.9 Raw'!$H$6:$H$1712,"Y")</f>
        <v>15985.85</v>
      </c>
      <c r="F266" s="19" t="n">
        <f aca="false">SUMIFS('SALES Raw'!$E$6:$E$4467,'SALES Raw'!$J$6:$J$4467,$J266,'SALES Raw'!$K$6:$K$4467,"Y")*$H$4+SUMIFS('CEMIUP0.9 Raw'!$F$6:$F$1712,'CEMIUP0.9 Raw'!$B$6:$B$1712,$J266,'CEMIUP0.9 Raw'!$H$6:$H$1712,"Y")</f>
        <v>82.1052631578947</v>
      </c>
      <c r="G266" s="19" t="n">
        <f aca="false">SUMIFS('SALES Raw'!$F$6:$F$4467,'SALES Raw'!$J$6:$J$4467,$J266,'SALES Raw'!$K$6:$K$4467,"Y")*$H$4+SUMIFS('CEMIUP0.9 Raw'!$G$6:$G$1712,'CEMIUP0.9 Raw'!$B$6:$B$1712,$J266,'CEMIUP0.9 Raw'!$H$6:$H$1712,"Y")</f>
        <v>17636.2370526316</v>
      </c>
      <c r="H266" s="18" t="s">
        <v>42</v>
      </c>
      <c r="I266" s="18" t="s">
        <v>43</v>
      </c>
      <c r="J266" s="18" t="n">
        <v>4413134</v>
      </c>
    </row>
    <row r="267" customFormat="false" ht="15" hidden="false" customHeight="false" outlineLevel="0" collapsed="false">
      <c r="A267" s="18" t="n">
        <f aca="false">IF(ISNUMBER($J267),$J267,"")</f>
        <v>4411027</v>
      </c>
      <c r="B267" s="18" t="str">
        <f aca="false">IFERROR(INDEX('SALES Raw'!$B$6:$B$4467,MATCH($J267,'SALES Raw'!$J$6:$J$4467,0)),IFERROR(INDEX('CEMIUP0.9 Raw'!$B$6:$B$1712,MATCH($J267,'CEMIUP0.9 Raw'!$B$6:$B$1712,0)),$J267))</f>
        <v>213CTSL M</v>
      </c>
      <c r="C267" s="18" t="str">
        <f aca="false">IF(ISNUMBER($J267),IFERROR(INDEX('TRANS'!$C:$C,MATCH($J267,'TRANS'!$B:$B,0)),IFERROR(INDEX('Catalog'!$B:$B,MATCH($J267,'Catalog'!$A:$A,0)),$B267)),$B267)</f>
        <v>213CTSL M שמאל CTS כפפות</v>
      </c>
      <c r="D267" s="19" t="n">
        <f aca="false">SUMIFS('SALES Raw'!$C$6:$C$4467,'SALES Raw'!$J$6:$J$4467,$J267,'SALES Raw'!$K$6:$K$4467,"Y")+SUMIFS('CEMIUP0.9 Raw'!$D$6:$D$1712,'CEMIUP0.9 Raw'!$B$6:$B$1712,$J267,'CEMIUP0.9 Raw'!$H$6:$H$1712,"Y")</f>
        <v>50</v>
      </c>
      <c r="E267" s="19" t="n">
        <f aca="false">SUMIFS('SALES Raw'!$D$6:$D$4467,'SALES Raw'!$J$6:$J$4467,$J267,'SALES Raw'!$K$6:$K$4467,"Y")+SUMIFS('CEMIUP0.9 Raw'!$E$6:$E$1712,'CEMIUP0.9 Raw'!$B$6:$B$1712,$J267,'CEMIUP0.9 Raw'!$H$6:$H$1712,"Y")</f>
        <v>6628.79</v>
      </c>
      <c r="F267" s="19" t="n">
        <f aca="false">SUMIFS('SALES Raw'!$E$6:$E$4467,'SALES Raw'!$J$6:$J$4467,$J267,'SALES Raw'!$K$6:$K$4467,"Y")*$H$4+SUMIFS('CEMIUP0.9 Raw'!$F$6:$F$1712,'CEMIUP0.9 Raw'!$B$6:$B$1712,$J267,'CEMIUP0.9 Raw'!$H$6:$H$1712,"Y")</f>
        <v>79.5789473684211</v>
      </c>
      <c r="G267" s="19" t="n">
        <f aca="false">SUMIFS('SALES Raw'!$F$6:$F$4467,'SALES Raw'!$J$6:$J$4467,$J267,'SALES Raw'!$K$6:$K$4467,"Y")*$H$4+SUMIFS('CEMIUP0.9 Raw'!$G$6:$G$1712,'CEMIUP0.9 Raw'!$B$6:$B$1712,$J267,'CEMIUP0.9 Raw'!$H$6:$H$1712,"Y")</f>
        <v>11913.6644210526</v>
      </c>
      <c r="H267" s="18" t="s">
        <v>42</v>
      </c>
      <c r="I267" s="18" t="s">
        <v>48</v>
      </c>
      <c r="J267" s="18" t="n">
        <v>4411027</v>
      </c>
    </row>
    <row r="268" customFormat="false" ht="15" hidden="false" customHeight="false" outlineLevel="0" collapsed="false">
      <c r="A268" s="18" t="n">
        <f aca="false">IF(ISNUMBER($J268),$J268,"")</f>
        <v>4401012</v>
      </c>
      <c r="B268" s="18" t="str">
        <f aca="false">IFERROR(INDEX('SALES Raw'!$B$6:$B$4467,MATCH($J268,'SALES Raw'!$J$6:$J$4467,0)),IFERROR(INDEX('CEMIUP0.9 Raw'!$B$6:$B$1712,MATCH($J268,'CEMIUP0.9 Raw'!$B$6:$B$1712,0)),$J268))</f>
        <v>805AT-B</v>
      </c>
      <c r="C268" s="18" t="str">
        <f aca="false">IF(ISNUMBER($J268),IFERROR(INDEX('TRANS'!$C:$C,MATCH($J268,'TRANS'!$B:$B,0)),IFERROR(INDEX('Catalog'!$B:$B,MATCH($J268,'Catalog'!$A:$A,0)),$B268)),$B268)</f>
        <v>805AT-B אתלטיק טייפ שחור 20מ""""מ</v>
      </c>
      <c r="D268" s="19" t="n">
        <f aca="false">SUMIFS('SALES Raw'!$C$6:$C$4467,'SALES Raw'!$J$6:$J$4467,$J268,'SALES Raw'!$K$6:$K$4467,"Y")+SUMIFS('CEMIUP0.9 Raw'!$D$6:$D$1712,'CEMIUP0.9 Raw'!$B$6:$B$1712,$J268,'CEMIUP0.9 Raw'!$H$6:$H$1712,"Y")</f>
        <v>68</v>
      </c>
      <c r="E268" s="19" t="n">
        <f aca="false">SUMIFS('SALES Raw'!$D$6:$D$4467,'SALES Raw'!$J$6:$J$4467,$J268,'SALES Raw'!$K$6:$K$4467,"Y")+SUMIFS('CEMIUP0.9 Raw'!$E$6:$E$1712,'CEMIUP0.9 Raw'!$B$6:$B$1712,$J268,'CEMIUP0.9 Raw'!$H$6:$H$1712,"Y")</f>
        <v>1492.867</v>
      </c>
      <c r="F268" s="19" t="n">
        <f aca="false">SUMIFS('SALES Raw'!$E$6:$E$4467,'SALES Raw'!$J$6:$J$4467,$J268,'SALES Raw'!$K$6:$K$4467,"Y")*$H$4+SUMIFS('CEMIUP0.9 Raw'!$F$6:$F$1712,'CEMIUP0.9 Raw'!$B$6:$B$1712,$J268,'CEMIUP0.9 Raw'!$H$6:$H$1712,"Y")</f>
        <v>79.5789473684211</v>
      </c>
      <c r="G268" s="19" t="n">
        <f aca="false">SUMIFS('SALES Raw'!$F$6:$F$4467,'SALES Raw'!$J$6:$J$4467,$J268,'SALES Raw'!$K$6:$K$4467,"Y")*$H$4+SUMIFS('CEMIUP0.9 Raw'!$G$6:$G$1712,'CEMIUP0.9 Raw'!$B$6:$B$1712,$J268,'CEMIUP0.9 Raw'!$H$6:$H$1712,"Y")</f>
        <v>1923.10231578947</v>
      </c>
      <c r="H268" s="18" t="s">
        <v>42</v>
      </c>
      <c r="I268" s="18" t="s">
        <v>43</v>
      </c>
      <c r="J268" s="18" t="n">
        <v>4401012</v>
      </c>
    </row>
    <row r="269" customFormat="false" ht="15" hidden="false" customHeight="false" outlineLevel="0" collapsed="false">
      <c r="A269" s="18" t="n">
        <f aca="false">IF(ISNUMBER($J269),$J269,"")</f>
        <v>4411029</v>
      </c>
      <c r="B269" s="18" t="str">
        <f aca="false">IFERROR(INDEX('SALES Raw'!$B$6:$B$4467,MATCH($J269,'SALES Raw'!$J$6:$J$4467,0)),IFERROR(INDEX('CEMIUP0.9 Raw'!$B$6:$B$1712,MATCH($J269,'CEMIUP0.9 Raw'!$B$6:$B$1712,0)),$J269))</f>
        <v>213CTSR L</v>
      </c>
      <c r="C269" s="18" t="str">
        <f aca="false">IF(ISNUMBER($J269),IFERROR(INDEX('TRANS'!$C:$C,MATCH($J269,'TRANS'!$B:$B,0)),IFERROR(INDEX('Catalog'!$B:$B,MATCH($J269,'Catalog'!$A:$A,0)),$B269)),$B269)</f>
        <v>213CTSR L ימין CTS כפפות</v>
      </c>
      <c r="D269" s="19" t="n">
        <f aca="false">SUMIFS('SALES Raw'!$C$6:$C$4467,'SALES Raw'!$J$6:$J$4467,$J269,'SALES Raw'!$K$6:$K$4467,"Y")+SUMIFS('CEMIUP0.9 Raw'!$D$6:$D$1712,'CEMIUP0.9 Raw'!$B$6:$B$1712,$J269,'CEMIUP0.9 Raw'!$H$6:$H$1712,"Y")</f>
        <v>38</v>
      </c>
      <c r="E269" s="19" t="n">
        <f aca="false">SUMIFS('SALES Raw'!$D$6:$D$4467,'SALES Raw'!$J$6:$J$4467,$J269,'SALES Raw'!$K$6:$K$4467,"Y")+SUMIFS('CEMIUP0.9 Raw'!$E$6:$E$1712,'CEMIUP0.9 Raw'!$B$6:$B$1712,$J269,'CEMIUP0.9 Raw'!$H$6:$H$1712,"Y")</f>
        <v>4315.13</v>
      </c>
      <c r="F269" s="19" t="n">
        <f aca="false">SUMIFS('SALES Raw'!$E$6:$E$4467,'SALES Raw'!$J$6:$J$4467,$J269,'SALES Raw'!$K$6:$K$4467,"Y")*$H$4+SUMIFS('CEMIUP0.9 Raw'!$F$6:$F$1712,'CEMIUP0.9 Raw'!$B$6:$B$1712,$J269,'CEMIUP0.9 Raw'!$H$6:$H$1712,"Y")</f>
        <v>79.5789473684211</v>
      </c>
      <c r="G269" s="19" t="n">
        <f aca="false">SUMIFS('SALES Raw'!$F$6:$F$4467,'SALES Raw'!$J$6:$J$4467,$J269,'SALES Raw'!$K$6:$K$4467,"Y")*$H$4+SUMIFS('CEMIUP0.9 Raw'!$G$6:$G$1712,'CEMIUP0.9 Raw'!$B$6:$B$1712,$J269,'CEMIUP0.9 Raw'!$H$6:$H$1712,"Y")</f>
        <v>13923.9044210526</v>
      </c>
      <c r="H269" s="18" t="s">
        <v>42</v>
      </c>
      <c r="I269" s="18" t="s">
        <v>48</v>
      </c>
      <c r="J269" s="18" t="n">
        <v>4411029</v>
      </c>
    </row>
    <row r="270" customFormat="false" ht="15" hidden="false" customHeight="false" outlineLevel="0" collapsed="false">
      <c r="A270" s="18" t="str">
        <f aca="false">IF(ISNUMBER($J270),$J270,"")</f>
        <v/>
      </c>
      <c r="B270" s="18" t="str">
        <f aca="false">IFERROR(INDEX('SALES Raw'!$B$6:$B$4467,MATCH($J270,'SALES Raw'!$J$6:$J$4467,0)),IFERROR(INDEX('CEMIUP0.9 Raw'!$B$6:$B$1712,MATCH($J270,'CEMIUP0.9 Raw'!$B$6:$B$1712,0)),$J270))</f>
        <v>395W-35-38</v>
      </c>
      <c r="C270" s="18" t="str">
        <f aca="false">IF(ISNUMBER($J270),IFERROR(INDEX('TRANS'!$C:$C,MATCH($J270,'TRANS'!$B:$B,0)),IFERROR(INDEX('Catalog'!$B:$B,MATCH($J270,'Catalog'!$A:$A,0)),$B270)),$B270)</f>
        <v>395W-35-38</v>
      </c>
      <c r="D270" s="19" t="n">
        <f aca="false">SUMIFS('SALES Raw'!$C$6:$C$4467,'SALES Raw'!$J$6:$J$4467,$J270,'SALES Raw'!$K$6:$K$4467,"Y")+SUMIFS('CEMIUP0.9 Raw'!$D$6:$D$1712,'CEMIUP0.9 Raw'!$B$6:$B$1712,$J270,'CEMIUP0.9 Raw'!$H$6:$H$1712,"Y")</f>
        <v>0</v>
      </c>
      <c r="E270" s="19" t="n">
        <f aca="false">SUMIFS('SALES Raw'!$D$6:$D$4467,'SALES Raw'!$J$6:$J$4467,$J270,'SALES Raw'!$K$6:$K$4467,"Y")+SUMIFS('CEMIUP0.9 Raw'!$E$6:$E$1712,'CEMIUP0.9 Raw'!$B$6:$B$1712,$J270,'CEMIUP0.9 Raw'!$H$6:$H$1712,"Y")</f>
        <v>0</v>
      </c>
      <c r="F270" s="19" t="n">
        <f aca="false">SUMIFS('SALES Raw'!$E$6:$E$4467,'SALES Raw'!$J$6:$J$4467,$J270,'SALES Raw'!$K$6:$K$4467,"Y")*$H$4+SUMIFS('CEMIUP0.9 Raw'!$F$6:$F$1712,'CEMIUP0.9 Raw'!$B$6:$B$1712,$J270,'CEMIUP0.9 Raw'!$H$6:$H$1712,"Y")</f>
        <v>79.5789473684211</v>
      </c>
      <c r="G270" s="19" t="n">
        <f aca="false">SUMIFS('SALES Raw'!$F$6:$F$4467,'SALES Raw'!$J$6:$J$4467,$J270,'SALES Raw'!$K$6:$K$4467,"Y")*$H$4+SUMIFS('CEMIUP0.9 Raw'!$G$6:$G$1712,'CEMIUP0.9 Raw'!$B$6:$B$1712,$J270,'CEMIUP0.9 Raw'!$H$6:$H$1712,"Y")</f>
        <v>3558.22736842105</v>
      </c>
      <c r="H270" s="18" t="s">
        <v>42</v>
      </c>
      <c r="I270" s="18" t="s">
        <v>44</v>
      </c>
      <c r="J270" s="18" t="s">
        <v>65</v>
      </c>
    </row>
    <row r="271" customFormat="false" ht="15" hidden="false" customHeight="false" outlineLevel="0" collapsed="false">
      <c r="A271" s="18" t="n">
        <f aca="false">IF(ISNUMBER($J271),$J271,"")</f>
        <v>4408081</v>
      </c>
      <c r="B271" s="18" t="str">
        <f aca="false">IFERROR(INDEX('SALES Raw'!$B$6:$B$4467,MATCH($J271,'SALES Raw'!$J$6:$J$4467,0)),IFERROR(INDEX('CEMIUP0.9 Raw'!$B$6:$B$1712,MATCH($J271,'CEMIUP0.9 Raw'!$B$6:$B$1712,0)),$J271))</f>
        <v>59R M</v>
      </c>
      <c r="C271" s="18" t="str">
        <f aca="false">IF(ISNUMBER($J271),IFERROR(INDEX('TRANS'!$C:$C,MATCH($J271,'TRANS'!$B:$B,0)),IFERROR(INDEX('Catalog'!$B:$B,MATCH($J271,'Catalog'!$A:$A,0)),$B271)),$B271)</f>
        <v>59R M חגורת שבר לצד ימין</v>
      </c>
      <c r="D271" s="19" t="n">
        <f aca="false">SUMIFS('SALES Raw'!$C$6:$C$4467,'SALES Raw'!$J$6:$J$4467,$J271,'SALES Raw'!$K$6:$K$4467,"Y")+SUMIFS('CEMIUP0.9 Raw'!$D$6:$D$1712,'CEMIUP0.9 Raw'!$B$6:$B$1712,$J271,'CEMIUP0.9 Raw'!$H$6:$H$1712,"Y")</f>
        <v>98</v>
      </c>
      <c r="E271" s="19" t="n">
        <f aca="false">SUMIFS('SALES Raw'!$D$6:$D$4467,'SALES Raw'!$J$6:$J$4467,$J271,'SALES Raw'!$K$6:$K$4467,"Y")+SUMIFS('CEMIUP0.9 Raw'!$E$6:$E$1712,'CEMIUP0.9 Raw'!$B$6:$B$1712,$J271,'CEMIUP0.9 Raw'!$H$6:$H$1712,"Y")</f>
        <v>17382.596</v>
      </c>
      <c r="F271" s="19" t="n">
        <f aca="false">SUMIFS('SALES Raw'!$E$6:$E$4467,'SALES Raw'!$J$6:$J$4467,$J271,'SALES Raw'!$K$6:$K$4467,"Y")*$H$4+SUMIFS('CEMIUP0.9 Raw'!$F$6:$F$1712,'CEMIUP0.9 Raw'!$B$6:$B$1712,$J271,'CEMIUP0.9 Raw'!$H$6:$H$1712,"Y")</f>
        <v>79.578947368421</v>
      </c>
      <c r="G271" s="19" t="n">
        <f aca="false">SUMIFS('SALES Raw'!$F$6:$F$4467,'SALES Raw'!$J$6:$J$4467,$J271,'SALES Raw'!$K$6:$K$4467,"Y")*$H$4+SUMIFS('CEMIUP0.9 Raw'!$G$6:$G$1712,'CEMIUP0.9 Raw'!$B$6:$B$1712,$J271,'CEMIUP0.9 Raw'!$H$6:$H$1712,"Y")</f>
        <v>12492.875368421</v>
      </c>
      <c r="H271" s="18" t="s">
        <v>44</v>
      </c>
      <c r="I271" s="18" t="s">
        <v>43</v>
      </c>
      <c r="J271" s="18" t="n">
        <v>4408081</v>
      </c>
    </row>
    <row r="272" customFormat="false" ht="15" hidden="false" customHeight="false" outlineLevel="0" collapsed="false">
      <c r="A272" s="18" t="n">
        <f aca="false">IF(ISNUMBER($J272),$J272,"")</f>
        <v>4411018</v>
      </c>
      <c r="B272" s="18" t="str">
        <f aca="false">IFERROR(INDEX('SALES Raw'!$B$6:$B$4467,MATCH($J272,'SALES Raw'!$J$6:$J$4467,0)),IFERROR(INDEX('CEMIUP0.9 Raw'!$B$6:$B$1712,MATCH($J272,'CEMIUP0.9 Raw'!$B$6:$B$1712,0)),$J272))</f>
        <v>211 M</v>
      </c>
      <c r="C272" s="18" t="str">
        <f aca="false">IF(ISNUMBER($J272),IFERROR(INDEX('TRANS'!$C:$C,MATCH($J272,'TRANS'!$B:$B,0)),IFERROR(INDEX('Catalog'!$B:$B,MATCH($J272,'Catalog'!$A:$A,0)),$B272)),$B272)</f>
        <v>211M כפפות לחץ</v>
      </c>
      <c r="D272" s="19" t="n">
        <f aca="false">SUMIFS('SALES Raw'!$C$6:$C$4467,'SALES Raw'!$J$6:$J$4467,$J272,'SALES Raw'!$K$6:$K$4467,"Y")+SUMIFS('CEMIUP0.9 Raw'!$D$6:$D$1712,'CEMIUP0.9 Raw'!$B$6:$B$1712,$J272,'CEMIUP0.9 Raw'!$H$6:$H$1712,"Y")</f>
        <v>85</v>
      </c>
      <c r="E272" s="19" t="n">
        <f aca="false">SUMIFS('SALES Raw'!$D$6:$D$4467,'SALES Raw'!$J$6:$J$4467,$J272,'SALES Raw'!$K$6:$K$4467,"Y")+SUMIFS('CEMIUP0.9 Raw'!$E$6:$E$1712,'CEMIUP0.9 Raw'!$B$6:$B$1712,$J272,'CEMIUP0.9 Raw'!$H$6:$H$1712,"Y")</f>
        <v>3936.712</v>
      </c>
      <c r="F272" s="19" t="n">
        <f aca="false">SUMIFS('SALES Raw'!$E$6:$E$4467,'SALES Raw'!$J$6:$J$4467,$J272,'SALES Raw'!$K$6:$K$4467,"Y")*$H$4+SUMIFS('CEMIUP0.9 Raw'!$F$6:$F$1712,'CEMIUP0.9 Raw'!$B$6:$B$1712,$J272,'CEMIUP0.9 Raw'!$H$6:$H$1712,"Y")</f>
        <v>78.3157894736842</v>
      </c>
      <c r="G272" s="19" t="n">
        <f aca="false">SUMIFS('SALES Raw'!$F$6:$F$4467,'SALES Raw'!$J$6:$J$4467,$J272,'SALES Raw'!$K$6:$K$4467,"Y")*$H$4+SUMIFS('CEMIUP0.9 Raw'!$G$6:$G$1712,'CEMIUP0.9 Raw'!$B$6:$B$1712,$J272,'CEMIUP0.9 Raw'!$H$6:$H$1712,"Y")</f>
        <v>4150.29094736842</v>
      </c>
      <c r="H272" s="18" t="s">
        <v>42</v>
      </c>
      <c r="I272" s="18" t="s">
        <v>43</v>
      </c>
      <c r="J272" s="18" t="n">
        <v>4411018</v>
      </c>
    </row>
    <row r="273" customFormat="false" ht="15" hidden="false" customHeight="false" outlineLevel="0" collapsed="false">
      <c r="A273" s="18" t="n">
        <f aca="false">IF(ISNUMBER($J273),$J273,"")</f>
        <v>4413158</v>
      </c>
      <c r="B273" s="18" t="str">
        <f aca="false">IFERROR(INDEX('SALES Raw'!$B$6:$B$4467,MATCH($J273,'SALES Raw'!$J$6:$J$4467,0)),IFERROR(INDEX('CEMIUP0.9 Raw'!$B$6:$B$1712,MATCH($J273,'CEMIUP0.9 Raw'!$B$6:$B$1712,0)),$J273))</f>
        <v>305GA-45-46</v>
      </c>
      <c r="C273" s="18" t="str">
        <f aca="false">IF(ISNUMBER($J273),IFERROR(INDEX('TRANS'!$C:$C,MATCH($J273,'TRANS'!$B:$B,0)),IFERROR(INDEX('Catalog'!$B:$B,MATCH($J273,'Catalog'!$A:$A,0)),$B273)),$B273)</f>
        <v>305GA מדרס אורטופ.מתכוון45-46</v>
      </c>
      <c r="D273" s="19" t="n">
        <f aca="false">SUMIFS('SALES Raw'!$C$6:$C$4467,'SALES Raw'!$J$6:$J$4467,$J273,'SALES Raw'!$K$6:$K$4467,"Y")+SUMIFS('CEMIUP0.9 Raw'!$D$6:$D$1712,'CEMIUP0.9 Raw'!$B$6:$B$1712,$J273,'CEMIUP0.9 Raw'!$H$6:$H$1712,"Y")</f>
        <v>94</v>
      </c>
      <c r="E273" s="19" t="n">
        <f aca="false">SUMIFS('SALES Raw'!$D$6:$D$4467,'SALES Raw'!$J$6:$J$4467,$J273,'SALES Raw'!$K$6:$K$4467,"Y")+SUMIFS('CEMIUP0.9 Raw'!$E$6:$E$1712,'CEMIUP0.9 Raw'!$B$6:$B$1712,$J273,'CEMIUP0.9 Raw'!$H$6:$H$1712,"Y")</f>
        <v>9918.899</v>
      </c>
      <c r="F273" s="19" t="n">
        <f aca="false">SUMIFS('SALES Raw'!$E$6:$E$4467,'SALES Raw'!$J$6:$J$4467,$J273,'SALES Raw'!$K$6:$K$4467,"Y")*$H$4+SUMIFS('CEMIUP0.9 Raw'!$F$6:$F$1712,'CEMIUP0.9 Raw'!$B$6:$B$1712,$J273,'CEMIUP0.9 Raw'!$H$6:$H$1712,"Y")</f>
        <v>78.3157894736842</v>
      </c>
      <c r="G273" s="19" t="n">
        <f aca="false">SUMIFS('SALES Raw'!$F$6:$F$4467,'SALES Raw'!$J$6:$J$4467,$J273,'SALES Raw'!$K$6:$K$4467,"Y")*$H$4+SUMIFS('CEMIUP0.9 Raw'!$G$6:$G$1712,'CEMIUP0.9 Raw'!$B$6:$B$1712,$J273,'CEMIUP0.9 Raw'!$H$6:$H$1712,"Y")</f>
        <v>8911.02821052632</v>
      </c>
      <c r="H273" s="18" t="s">
        <v>43</v>
      </c>
      <c r="I273" s="18" t="s">
        <v>42</v>
      </c>
      <c r="J273" s="18" t="n">
        <v>4413158</v>
      </c>
    </row>
    <row r="274" customFormat="false" ht="15" hidden="false" customHeight="false" outlineLevel="0" collapsed="false">
      <c r="A274" s="18" t="n">
        <f aca="false">IF(ISNUMBER($J274),$J274,"")</f>
        <v>4413519</v>
      </c>
      <c r="B274" s="18" t="str">
        <f aca="false">IFERROR(INDEX('SALES Raw'!$B$6:$B$4467,MATCH($J274,'SALES Raw'!$J$6:$J$4467,0)),IFERROR(INDEX('CEMIUP0.9 Raw'!$B$6:$B$1712,MATCH($J274,'CEMIUP0.9 Raw'!$B$6:$B$1712,0)),$J274))</f>
        <v>85B S</v>
      </c>
      <c r="C274" s="18" t="str">
        <f aca="false">IF(ISNUMBER($J274),IFERROR(INDEX('TRANS'!$C:$C,MATCH($J274,'TRANS'!$B:$B,0)),IFERROR(INDEX('Catalog'!$B:$B,MATCH($J274,'Catalog'!$A:$A,0)),$B274)),$B274)</f>
        <v>85B S מתלה רשת לזרוע שחור</v>
      </c>
      <c r="D274" s="19" t="n">
        <f aca="false">SUMIFS('SALES Raw'!$C$6:$C$4467,'SALES Raw'!$J$6:$J$4467,$J274,'SALES Raw'!$K$6:$K$4467,"Y")+SUMIFS('CEMIUP0.9 Raw'!$D$6:$D$1712,'CEMIUP0.9 Raw'!$B$6:$B$1712,$J274,'CEMIUP0.9 Raw'!$H$6:$H$1712,"Y")</f>
        <v>119</v>
      </c>
      <c r="E274" s="19" t="n">
        <f aca="false">SUMIFS('SALES Raw'!$D$6:$D$4467,'SALES Raw'!$J$6:$J$4467,$J274,'SALES Raw'!$K$6:$K$4467,"Y")+SUMIFS('CEMIUP0.9 Raw'!$E$6:$E$1712,'CEMIUP0.9 Raw'!$B$6:$B$1712,$J274,'CEMIUP0.9 Raw'!$H$6:$H$1712,"Y")</f>
        <v>6021.842</v>
      </c>
      <c r="F274" s="19" t="n">
        <f aca="false">SUMIFS('SALES Raw'!$E$6:$E$4467,'SALES Raw'!$J$6:$J$4467,$J274,'SALES Raw'!$K$6:$K$4467,"Y")*$H$4+SUMIFS('CEMIUP0.9 Raw'!$F$6:$F$1712,'CEMIUP0.9 Raw'!$B$6:$B$1712,$J274,'CEMIUP0.9 Raw'!$H$6:$H$1712,"Y")</f>
        <v>77.0526315789473</v>
      </c>
      <c r="G274" s="19" t="n">
        <f aca="false">SUMIFS('SALES Raw'!$F$6:$F$4467,'SALES Raw'!$J$6:$J$4467,$J274,'SALES Raw'!$K$6:$K$4467,"Y")*$H$4+SUMIFS('CEMIUP0.9 Raw'!$G$6:$G$1712,'CEMIUP0.9 Raw'!$B$6:$B$1712,$J274,'CEMIUP0.9 Raw'!$H$6:$H$1712,"Y")</f>
        <v>4308.05305263158</v>
      </c>
      <c r="H274" s="18" t="s">
        <v>43</v>
      </c>
      <c r="I274" s="18" t="s">
        <v>42</v>
      </c>
      <c r="J274" s="18" t="n">
        <v>4413519</v>
      </c>
    </row>
    <row r="275" customFormat="false" ht="15" hidden="false" customHeight="false" outlineLevel="0" collapsed="false">
      <c r="A275" s="18" t="n">
        <f aca="false">IF(ISNUMBER($J275),$J275,"")</f>
        <v>4401011</v>
      </c>
      <c r="B275" s="18" t="str">
        <f aca="false">IFERROR(INDEX('SALES Raw'!$B$6:$B$4467,MATCH($J275,'SALES Raw'!$J$6:$J$4467,0)),IFERROR(INDEX('CEMIUP0.9 Raw'!$B$6:$B$1712,MATCH($J275,'CEMIUP0.9 Raw'!$B$6:$B$1712,0)),$J275))</f>
        <v>805AT-C</v>
      </c>
      <c r="C275" s="18" t="str">
        <f aca="false">IF(ISNUMBER($J275),IFERROR(INDEX('TRANS'!$C:$C,MATCH($J275,'TRANS'!$B:$B,0)),IFERROR(INDEX('Catalog'!$B:$B,MATCH($J275,'Catalog'!$A:$A,0)),$B275)),$B275)</f>
        <v>805AT-Cאתלטיק טייפ בז' 20מ""""מ20</v>
      </c>
      <c r="D275" s="19" t="n">
        <f aca="false">SUMIFS('SALES Raw'!$C$6:$C$4467,'SALES Raw'!$J$6:$J$4467,$J275,'SALES Raw'!$K$6:$K$4467,"Y")+SUMIFS('CEMIUP0.9 Raw'!$D$6:$D$1712,'CEMIUP0.9 Raw'!$B$6:$B$1712,$J275,'CEMIUP0.9 Raw'!$H$6:$H$1712,"Y")</f>
        <v>109</v>
      </c>
      <c r="E275" s="19" t="n">
        <f aca="false">SUMIFS('SALES Raw'!$D$6:$D$4467,'SALES Raw'!$J$6:$J$4467,$J275,'SALES Raw'!$K$6:$K$4467,"Y")+SUMIFS('CEMIUP0.9 Raw'!$E$6:$E$1712,'CEMIUP0.9 Raw'!$B$6:$B$1712,$J275,'CEMIUP0.9 Raw'!$H$6:$H$1712,"Y")</f>
        <v>1921.065</v>
      </c>
      <c r="F275" s="19" t="n">
        <f aca="false">SUMIFS('SALES Raw'!$E$6:$E$4467,'SALES Raw'!$J$6:$J$4467,$J275,'SALES Raw'!$K$6:$K$4467,"Y")*$H$4+SUMIFS('CEMIUP0.9 Raw'!$F$6:$F$1712,'CEMIUP0.9 Raw'!$B$6:$B$1712,$J275,'CEMIUP0.9 Raw'!$H$6:$H$1712,"Y")</f>
        <v>75.7894736842106</v>
      </c>
      <c r="G275" s="19" t="n">
        <f aca="false">SUMIFS('SALES Raw'!$F$6:$F$4467,'SALES Raw'!$J$6:$J$4467,$J275,'SALES Raw'!$K$6:$K$4467,"Y")*$H$4+SUMIFS('CEMIUP0.9 Raw'!$G$6:$G$1712,'CEMIUP0.9 Raw'!$B$6:$B$1712,$J275,'CEMIUP0.9 Raw'!$H$6:$H$1712,"Y")</f>
        <v>1333.18231578947</v>
      </c>
      <c r="H275" s="18" t="s">
        <v>43</v>
      </c>
      <c r="I275" s="18" t="s">
        <v>42</v>
      </c>
      <c r="J275" s="18" t="n">
        <v>4401011</v>
      </c>
    </row>
    <row r="276" customFormat="false" ht="15" hidden="false" customHeight="false" outlineLevel="0" collapsed="false">
      <c r="A276" s="18" t="n">
        <f aca="false">IF(ISNUMBER($J276),$J276,"")</f>
        <v>4418002</v>
      </c>
      <c r="B276" s="18" t="str">
        <f aca="false">IFERROR(INDEX('SALES Raw'!$B$6:$B$4467,MATCH($J276,'SALES Raw'!$J$6:$J$4467,0)),IFERROR(INDEX('CEMIUP0.9 Raw'!$B$6:$B$1712,MATCH($J276,'CEMIUP0.9 Raw'!$B$6:$B$1712,0)),$J276))</f>
        <v>60 S</v>
      </c>
      <c r="C276" s="18" t="str">
        <f aca="false">IF(ISNUMBER($J276),IFERROR(INDEX('TRANS'!$C:$C,MATCH($J276,'TRANS'!$B:$B,0)),IFERROR(INDEX('Catalog'!$B:$B,MATCH($J276,'Catalog'!$A:$A,0)),$B276)),$B276)</f>
        <v>60 S צוארון ספוגי</v>
      </c>
      <c r="D276" s="19" t="n">
        <f aca="false">SUMIFS('SALES Raw'!$C$6:$C$4467,'SALES Raw'!$J$6:$J$4467,$J276,'SALES Raw'!$K$6:$K$4467,"Y")+SUMIFS('CEMIUP0.9 Raw'!$D$6:$D$1712,'CEMIUP0.9 Raw'!$B$6:$B$1712,$J276,'CEMIUP0.9 Raw'!$H$6:$H$1712,"Y")</f>
        <v>119</v>
      </c>
      <c r="E276" s="19" t="n">
        <f aca="false">SUMIFS('SALES Raw'!$D$6:$D$4467,'SALES Raw'!$J$6:$J$4467,$J276,'SALES Raw'!$K$6:$K$4467,"Y")+SUMIFS('CEMIUP0.9 Raw'!$E$6:$E$1712,'CEMIUP0.9 Raw'!$B$6:$B$1712,$J276,'CEMIUP0.9 Raw'!$H$6:$H$1712,"Y")</f>
        <v>5771.888</v>
      </c>
      <c r="F276" s="19" t="n">
        <f aca="false">SUMIFS('SALES Raw'!$E$6:$E$4467,'SALES Raw'!$J$6:$J$4467,$J276,'SALES Raw'!$K$6:$K$4467,"Y")*$H$4+SUMIFS('CEMIUP0.9 Raw'!$F$6:$F$1712,'CEMIUP0.9 Raw'!$B$6:$B$1712,$J276,'CEMIUP0.9 Raw'!$H$6:$H$1712,"Y")</f>
        <v>74.5263157894737</v>
      </c>
      <c r="G276" s="19" t="n">
        <f aca="false">SUMIFS('SALES Raw'!$F$6:$F$4467,'SALES Raw'!$J$6:$J$4467,$J276,'SALES Raw'!$K$6:$K$4467,"Y")*$H$4+SUMIFS('CEMIUP0.9 Raw'!$G$6:$G$1712,'CEMIUP0.9 Raw'!$B$6:$B$1712,$J276,'CEMIUP0.9 Raw'!$H$6:$H$1712,"Y")</f>
        <v>3947.38357894737</v>
      </c>
      <c r="H276" s="18" t="s">
        <v>43</v>
      </c>
      <c r="I276" s="18" t="s">
        <v>44</v>
      </c>
      <c r="J276" s="18" t="n">
        <v>4418002</v>
      </c>
    </row>
    <row r="277" customFormat="false" ht="15" hidden="false" customHeight="false" outlineLevel="0" collapsed="false">
      <c r="A277" s="18" t="str">
        <f aca="false">IF(ISNUMBER($J277),$J277,"")</f>
        <v/>
      </c>
      <c r="B277" s="18" t="str">
        <f aca="false">IFERROR(INDEX('SALES Raw'!$B$6:$B$4467,MATCH($J277,'SALES Raw'!$J$6:$J$4467,0)),IFERROR(INDEX('CEMIUP0.9 Raw'!$B$6:$B$1712,MATCH($J277,'CEMIUP0.9 Raw'!$B$6:$B$1712,0)),$J277))</f>
        <v>FC3422 0</v>
      </c>
      <c r="C277" s="18" t="str">
        <f aca="false">IF(ISNUMBER($J277),IFERROR(INDEX('TRANS'!$C:$C,MATCH($J277,'TRANS'!$B:$B,0)),IFERROR(INDEX('Catalog'!$B:$B,MATCH($J277,'Catalog'!$A:$A,0)),$B277)),$B277)</f>
        <v>FC3422 0</v>
      </c>
      <c r="D277" s="19" t="n">
        <f aca="false">SUMIFS('SALES Raw'!$C$6:$C$4467,'SALES Raw'!$J$6:$J$4467,$J277,'SALES Raw'!$K$6:$K$4467,"Y")+SUMIFS('CEMIUP0.9 Raw'!$D$6:$D$1712,'CEMIUP0.9 Raw'!$B$6:$B$1712,$J277,'CEMIUP0.9 Raw'!$H$6:$H$1712,"Y")</f>
        <v>22</v>
      </c>
      <c r="E277" s="19" t="n">
        <f aca="false">SUMIFS('SALES Raw'!$D$6:$D$4467,'SALES Raw'!$J$6:$J$4467,$J277,'SALES Raw'!$K$6:$K$4467,"Y")+SUMIFS('CEMIUP0.9 Raw'!$E$6:$E$1712,'CEMIUP0.9 Raw'!$B$6:$B$1712,$J277,'CEMIUP0.9 Raw'!$H$6:$H$1712,"Y")</f>
        <v>2430.05</v>
      </c>
      <c r="F277" s="19" t="n">
        <f aca="false">SUMIFS('SALES Raw'!$E$6:$E$4467,'SALES Raw'!$J$6:$J$4467,$J277,'SALES Raw'!$K$6:$K$4467,"Y")*$H$4+SUMIFS('CEMIUP0.9 Raw'!$F$6:$F$1712,'CEMIUP0.9 Raw'!$B$6:$B$1712,$J277,'CEMIUP0.9 Raw'!$H$6:$H$1712,"Y")</f>
        <v>74.5263157894737</v>
      </c>
      <c r="G277" s="19" t="n">
        <f aca="false">SUMIFS('SALES Raw'!$F$6:$F$4467,'SALES Raw'!$J$6:$J$4467,$J277,'SALES Raw'!$K$6:$K$4467,"Y")*$H$4+SUMIFS('CEMIUP0.9 Raw'!$G$6:$G$1712,'CEMIUP0.9 Raw'!$B$6:$B$1712,$J277,'CEMIUP0.9 Raw'!$H$6:$H$1712,"Y")</f>
        <v>5968.74947368421</v>
      </c>
      <c r="H277" s="18" t="s">
        <v>42</v>
      </c>
      <c r="I277" s="18"/>
      <c r="J277" s="18" t="s">
        <v>66</v>
      </c>
    </row>
    <row r="278" customFormat="false" ht="15" hidden="false" customHeight="false" outlineLevel="0" collapsed="false">
      <c r="A278" s="18" t="n">
        <f aca="false">IF(ISNUMBER($J278),$J278,"")</f>
        <v>4408262</v>
      </c>
      <c r="B278" s="18" t="str">
        <f aca="false">IFERROR(INDEX('SALES Raw'!$B$6:$B$4467,MATCH($J278,'SALES Raw'!$J$6:$J$4467,0)),IFERROR(INDEX('CEMIUP0.9 Raw'!$B$6:$B$1712,MATCH($J278,'CEMIUP0.9 Raw'!$B$6:$B$1712,0)),$J278))</f>
        <v>11STO XL</v>
      </c>
      <c r="C278" s="18" t="str">
        <f aca="false">IF(ISNUMBER($J278),IFERROR(INDEX('TRANS'!$C:$C,MATCH($J278,'TRANS'!$B:$B,0)),IFERROR(INDEX('Catalog'!$B:$B,MATCH($J278,'Catalog'!$A:$A,0)),$B278)),$B278)</f>
        <v>11STO XL  חגורה אחרי ניתוח</v>
      </c>
      <c r="D278" s="19" t="n">
        <f aca="false">SUMIFS('SALES Raw'!$C$6:$C$4467,'SALES Raw'!$J$6:$J$4467,$J278,'SALES Raw'!$K$6:$K$4467,"Y")+SUMIFS('CEMIUP0.9 Raw'!$D$6:$D$1712,'CEMIUP0.9 Raw'!$B$6:$B$1712,$J278,'CEMIUP0.9 Raw'!$H$6:$H$1712,"Y")</f>
        <v>97</v>
      </c>
      <c r="E278" s="19" t="n">
        <f aca="false">SUMIFS('SALES Raw'!$D$6:$D$4467,'SALES Raw'!$J$6:$J$4467,$J278,'SALES Raw'!$K$6:$K$4467,"Y")+SUMIFS('CEMIUP0.9 Raw'!$E$6:$E$1712,'CEMIUP0.9 Raw'!$B$6:$B$1712,$J278,'CEMIUP0.9 Raw'!$H$6:$H$1712,"Y")</f>
        <v>12169.07</v>
      </c>
      <c r="F278" s="19" t="n">
        <f aca="false">SUMIFS('SALES Raw'!$E$6:$E$4467,'SALES Raw'!$J$6:$J$4467,$J278,'SALES Raw'!$K$6:$K$4467,"Y")*$H$4+SUMIFS('CEMIUP0.9 Raw'!$F$6:$F$1712,'CEMIUP0.9 Raw'!$B$6:$B$1712,$J278,'CEMIUP0.9 Raw'!$H$6:$H$1712,"Y")</f>
        <v>74.5263157894737</v>
      </c>
      <c r="G278" s="19" t="n">
        <f aca="false">SUMIFS('SALES Raw'!$F$6:$F$4467,'SALES Raw'!$J$6:$J$4467,$J278,'SALES Raw'!$K$6:$K$4467,"Y")*$H$4+SUMIFS('CEMIUP0.9 Raw'!$G$6:$G$1712,'CEMIUP0.9 Raw'!$B$6:$B$1712,$J278,'CEMIUP0.9 Raw'!$H$6:$H$1712,"Y")</f>
        <v>8907.66315789474</v>
      </c>
      <c r="H278" s="18" t="s">
        <v>44</v>
      </c>
      <c r="I278" s="18" t="s">
        <v>43</v>
      </c>
      <c r="J278" s="18" t="n">
        <v>4408262</v>
      </c>
    </row>
    <row r="279" customFormat="false" ht="15" hidden="false" customHeight="false" outlineLevel="0" collapsed="false">
      <c r="A279" s="18" t="n">
        <f aca="false">IF(ISNUMBER($J279),$J279,"")</f>
        <v>4422042</v>
      </c>
      <c r="B279" s="18" t="str">
        <f aca="false">IFERROR(INDEX('SALES Raw'!$B$6:$B$4467,MATCH($J279,'SALES Raw'!$J$6:$J$4467,0)),IFERROR(INDEX('CEMIUP0.9 Raw'!$B$6:$B$1712,MATCH($J279,'CEMIUP0.9 Raw'!$B$6:$B$1712,0)),$J279))</f>
        <v>SH422 6</v>
      </c>
      <c r="C279" s="18" t="str">
        <f aca="false">IF(ISNUMBER($J279),IFERROR(INDEX('TRANS'!$C:$C,MATCH($J279,'TRANS'!$B:$B,0)),IFERROR(INDEX('Catalog'!$B:$B,MATCH($J279,'Catalog'!$A:$A,0)),$B279)),$B279)</f>
        <v>SH422 6 תומך ברך גנושילד</v>
      </c>
      <c r="D279" s="19" t="n">
        <f aca="false">SUMIFS('SALES Raw'!$C$6:$C$4467,'SALES Raw'!$J$6:$J$4467,$J279,'SALES Raw'!$K$6:$K$4467,"Y")+SUMIFS('CEMIUP0.9 Raw'!$D$6:$D$1712,'CEMIUP0.9 Raw'!$B$6:$B$1712,$J279,'CEMIUP0.9 Raw'!$H$6:$H$1712,"Y")</f>
        <v>37</v>
      </c>
      <c r="E279" s="19" t="n">
        <f aca="false">SUMIFS('SALES Raw'!$D$6:$D$4467,'SALES Raw'!$J$6:$J$4467,$J279,'SALES Raw'!$K$6:$K$4467,"Y")+SUMIFS('CEMIUP0.9 Raw'!$E$6:$E$1712,'CEMIUP0.9 Raw'!$B$6:$B$1712,$J279,'CEMIUP0.9 Raw'!$H$6:$H$1712,"Y")</f>
        <v>3034.85</v>
      </c>
      <c r="F279" s="19" t="n">
        <f aca="false">SUMIFS('SALES Raw'!$E$6:$E$4467,'SALES Raw'!$J$6:$J$4467,$J279,'SALES Raw'!$K$6:$K$4467,"Y")*$H$4+SUMIFS('CEMIUP0.9 Raw'!$F$6:$F$1712,'CEMIUP0.9 Raw'!$B$6:$B$1712,$J279,'CEMIUP0.9 Raw'!$H$6:$H$1712,"Y")</f>
        <v>74.5263157894737</v>
      </c>
      <c r="G279" s="19" t="n">
        <f aca="false">SUMIFS('SALES Raw'!$F$6:$F$4467,'SALES Raw'!$J$6:$J$4467,$J279,'SALES Raw'!$K$6:$K$4467,"Y")*$H$4+SUMIFS('CEMIUP0.9 Raw'!$G$6:$G$1712,'CEMIUP0.9 Raw'!$B$6:$B$1712,$J279,'CEMIUP0.9 Raw'!$H$6:$H$1712,"Y")</f>
        <v>11775.4395789474</v>
      </c>
      <c r="H279" s="18" t="s">
        <v>44</v>
      </c>
      <c r="I279" s="18" t="s">
        <v>43</v>
      </c>
      <c r="J279" s="18" t="n">
        <v>4422042</v>
      </c>
    </row>
    <row r="280" customFormat="false" ht="15" hidden="false" customHeight="false" outlineLevel="0" collapsed="false">
      <c r="A280" s="18" t="n">
        <f aca="false">IF(ISNUMBER($J280),$J280,"")</f>
        <v>4408035</v>
      </c>
      <c r="B280" s="18" t="str">
        <f aca="false">IFERROR(INDEX('SALES Raw'!$B$6:$B$4467,MATCH($J280,'SALES Raw'!$J$6:$J$4467,0)),IFERROR(INDEX('CEMIUP0.9 Raw'!$B$6:$B$1712,MATCH($J280,'CEMIUP0.9 Raw'!$B$6:$B$1712,0)),$J280))</f>
        <v>11 XXL</v>
      </c>
      <c r="C280" s="18" t="str">
        <f aca="false">IF(ISNUMBER($J280),IFERROR(INDEX('TRANS'!$C:$C,MATCH($J280,'TRANS'!$B:$B,0)),IFERROR(INDEX('Catalog'!$B:$B,MATCH($J280,'Catalog'!$A:$A,0)),$B280)),$B280)</f>
        <v>11 XXL""""חגורת בטן""""אורירית</v>
      </c>
      <c r="D280" s="19" t="n">
        <f aca="false">SUMIFS('SALES Raw'!$C$6:$C$4467,'SALES Raw'!$J$6:$J$4467,$J280,'SALES Raw'!$K$6:$K$4467,"Y")+SUMIFS('CEMIUP0.9 Raw'!$D$6:$D$1712,'CEMIUP0.9 Raw'!$B$6:$B$1712,$J280,'CEMIUP0.9 Raw'!$H$6:$H$1712,"Y")</f>
        <v>154</v>
      </c>
      <c r="E280" s="19" t="n">
        <f aca="false">SUMIFS('SALES Raw'!$D$6:$D$4467,'SALES Raw'!$J$6:$J$4467,$J280,'SALES Raw'!$K$6:$K$4467,"Y")+SUMIFS('CEMIUP0.9 Raw'!$E$6:$E$1712,'CEMIUP0.9 Raw'!$B$6:$B$1712,$J280,'CEMIUP0.9 Raw'!$H$6:$H$1712,"Y")</f>
        <v>13812.159</v>
      </c>
      <c r="F280" s="19" t="n">
        <f aca="false">SUMIFS('SALES Raw'!$E$6:$E$4467,'SALES Raw'!$J$6:$J$4467,$J280,'SALES Raw'!$K$6:$K$4467,"Y")*$H$4+SUMIFS('CEMIUP0.9 Raw'!$F$6:$F$1712,'CEMIUP0.9 Raw'!$B$6:$B$1712,$J280,'CEMIUP0.9 Raw'!$H$6:$H$1712,"Y")</f>
        <v>73.2631578947368</v>
      </c>
      <c r="G280" s="19" t="n">
        <f aca="false">SUMIFS('SALES Raw'!$F$6:$F$4467,'SALES Raw'!$J$6:$J$4467,$J280,'SALES Raw'!$K$6:$K$4467,"Y")*$H$4+SUMIFS('CEMIUP0.9 Raw'!$G$6:$G$1712,'CEMIUP0.9 Raw'!$B$6:$B$1712,$J280,'CEMIUP0.9 Raw'!$H$6:$H$1712,"Y")</f>
        <v>7507.95284210527</v>
      </c>
      <c r="H280" s="18" t="s">
        <v>44</v>
      </c>
      <c r="I280" s="18" t="s">
        <v>48</v>
      </c>
      <c r="J280" s="18" t="n">
        <v>4408035</v>
      </c>
    </row>
    <row r="281" customFormat="false" ht="15" hidden="false" customHeight="false" outlineLevel="0" collapsed="false">
      <c r="A281" s="18" t="n">
        <f aca="false">IF(ISNUMBER($J281),$J281,"")</f>
        <v>4422038</v>
      </c>
      <c r="B281" s="18" t="str">
        <f aca="false">IFERROR(INDEX('SALES Raw'!$B$6:$B$4467,MATCH($J281,'SALES Raw'!$J$6:$J$4467,0)),IFERROR(INDEX('CEMIUP0.9 Raw'!$B$6:$B$1712,MATCH($J281,'CEMIUP0.9 Raw'!$B$6:$B$1712,0)),$J281))</f>
        <v>SH422 2</v>
      </c>
      <c r="C281" s="18" t="str">
        <f aca="false">IF(ISNUMBER($J281),IFERROR(INDEX('TRANS'!$C:$C,MATCH($J281,'TRANS'!$B:$B,0)),IFERROR(INDEX('Catalog'!$B:$B,MATCH($J281,'Catalog'!$A:$A,0)),$B281)),$B281)</f>
        <v>SH422 2 תומך ברך גנושילד</v>
      </c>
      <c r="D281" s="19" t="n">
        <f aca="false">SUMIFS('SALES Raw'!$C$6:$C$4467,'SALES Raw'!$J$6:$J$4467,$J281,'SALES Raw'!$K$6:$K$4467,"Y")+SUMIFS('CEMIUP0.9 Raw'!$D$6:$D$1712,'CEMIUP0.9 Raw'!$B$6:$B$1712,$J281,'CEMIUP0.9 Raw'!$H$6:$H$1712,"Y")</f>
        <v>33</v>
      </c>
      <c r="E281" s="19" t="n">
        <f aca="false">SUMIFS('SALES Raw'!$D$6:$D$4467,'SALES Raw'!$J$6:$J$4467,$J281,'SALES Raw'!$K$6:$K$4467,"Y")+SUMIFS('CEMIUP0.9 Raw'!$E$6:$E$1712,'CEMIUP0.9 Raw'!$B$6:$B$1712,$J281,'CEMIUP0.9 Raw'!$H$6:$H$1712,"Y")</f>
        <v>4349.121</v>
      </c>
      <c r="F281" s="19" t="n">
        <f aca="false">SUMIFS('SALES Raw'!$E$6:$E$4467,'SALES Raw'!$J$6:$J$4467,$J281,'SALES Raw'!$K$6:$K$4467,"Y")*$H$4+SUMIFS('CEMIUP0.9 Raw'!$F$6:$F$1712,'CEMIUP0.9 Raw'!$B$6:$B$1712,$J281,'CEMIUP0.9 Raw'!$H$6:$H$1712,"Y")</f>
        <v>72</v>
      </c>
      <c r="G281" s="19" t="n">
        <f aca="false">SUMIFS('SALES Raw'!$F$6:$F$4467,'SALES Raw'!$J$6:$J$4467,$J281,'SALES Raw'!$K$6:$K$4467,"Y")*$H$4+SUMIFS('CEMIUP0.9 Raw'!$G$6:$G$1712,'CEMIUP0.9 Raw'!$B$6:$B$1712,$J281,'CEMIUP0.9 Raw'!$H$6:$H$1712,"Y")</f>
        <v>14012.7221052632</v>
      </c>
      <c r="H281" s="18" t="s">
        <v>43</v>
      </c>
      <c r="I281" s="18" t="s">
        <v>44</v>
      </c>
      <c r="J281" s="18" t="n">
        <v>4422038</v>
      </c>
    </row>
    <row r="282" customFormat="false" ht="15" hidden="false" customHeight="false" outlineLevel="0" collapsed="false">
      <c r="A282" s="18" t="n">
        <f aca="false">IF(ISNUMBER($J282),$J282,"")</f>
        <v>4413416</v>
      </c>
      <c r="B282" s="18" t="str">
        <f aca="false">IFERROR(INDEX('SALES Raw'!$B$6:$B$4467,MATCH($J282,'SALES Raw'!$J$6:$J$4467,0)),IFERROR(INDEX('CEMIUP0.9 Raw'!$B$6:$B$1712,MATCH($J282,'CEMIUP0.9 Raw'!$B$6:$B$1712,0)),$J282))</f>
        <v>SC39 M</v>
      </c>
      <c r="C282" s="18" t="str">
        <f aca="false">IF(ISNUMBER($J282),IFERROR(INDEX('TRANS'!$C:$C,MATCH($J282,'TRANS'!$B:$B,0)),IFERROR(INDEX('Catalog'!$B:$B,MATCH($J282,'Catalog'!$A:$A,0)),$B282)),$B282)</f>
        <v>SC39  M מגן שוק</v>
      </c>
      <c r="D282" s="19" t="n">
        <f aca="false">SUMIFS('SALES Raw'!$C$6:$C$4467,'SALES Raw'!$J$6:$J$4467,$J282,'SALES Raw'!$K$6:$K$4467,"Y")+SUMIFS('CEMIUP0.9 Raw'!$D$6:$D$1712,'CEMIUP0.9 Raw'!$B$6:$B$1712,$J282,'CEMIUP0.9 Raw'!$H$6:$H$1712,"Y")</f>
        <v>78</v>
      </c>
      <c r="E282" s="19" t="n">
        <f aca="false">SUMIFS('SALES Raw'!$D$6:$D$4467,'SALES Raw'!$J$6:$J$4467,$J282,'SALES Raw'!$K$6:$K$4467,"Y")+SUMIFS('CEMIUP0.9 Raw'!$E$6:$E$1712,'CEMIUP0.9 Raw'!$B$6:$B$1712,$J282,'CEMIUP0.9 Raw'!$H$6:$H$1712,"Y")</f>
        <v>16168.143</v>
      </c>
      <c r="F282" s="19" t="n">
        <f aca="false">SUMIFS('SALES Raw'!$E$6:$E$4467,'SALES Raw'!$J$6:$J$4467,$J282,'SALES Raw'!$K$6:$K$4467,"Y")*$H$4+SUMIFS('CEMIUP0.9 Raw'!$F$6:$F$1712,'CEMIUP0.9 Raw'!$B$6:$B$1712,$J282,'CEMIUP0.9 Raw'!$H$6:$H$1712,"Y")</f>
        <v>72</v>
      </c>
      <c r="G282" s="19" t="n">
        <f aca="false">SUMIFS('SALES Raw'!$F$6:$F$4467,'SALES Raw'!$J$6:$J$4467,$J282,'SALES Raw'!$K$6:$K$4467,"Y")*$H$4+SUMIFS('CEMIUP0.9 Raw'!$G$6:$G$1712,'CEMIUP0.9 Raw'!$B$6:$B$1712,$J282,'CEMIUP0.9 Raw'!$H$6:$H$1712,"Y")</f>
        <v>17360.4896842105</v>
      </c>
      <c r="H282" s="18" t="s">
        <v>42</v>
      </c>
      <c r="I282" s="18" t="s">
        <v>43</v>
      </c>
      <c r="J282" s="18" t="n">
        <v>4413416</v>
      </c>
    </row>
    <row r="283" customFormat="false" ht="15" hidden="false" customHeight="false" outlineLevel="0" collapsed="false">
      <c r="A283" s="18" t="n">
        <f aca="false">IF(ISNUMBER($J283),$J283,"")</f>
        <v>4413503</v>
      </c>
      <c r="B283" s="18" t="str">
        <f aca="false">IFERROR(INDEX('SALES Raw'!$B$6:$B$4467,MATCH($J283,'SALES Raw'!$J$6:$J$4467,0)),IFERROR(INDEX('CEMIUP0.9 Raw'!$B$6:$B$1712,MATCH($J283,'CEMIUP0.9 Raw'!$B$6:$B$1712,0)),$J283))</f>
        <v>95B XL</v>
      </c>
      <c r="C283" s="18" t="str">
        <f aca="false">IF(ISNUMBER($J283),IFERROR(INDEX('TRANS'!$C:$C,MATCH($J283,'TRANS'!$B:$B,0)),IFERROR(INDEX('Catalog'!$B:$B,MATCH($J283,'Catalog'!$A:$A,0)),$B283)),$B283)</f>
        <v>95B XL מגן מרפק שחור</v>
      </c>
      <c r="D283" s="19" t="n">
        <f aca="false">SUMIFS('SALES Raw'!$C$6:$C$4467,'SALES Raw'!$J$6:$J$4467,$J283,'SALES Raw'!$K$6:$K$4467,"Y")+SUMIFS('CEMIUP0.9 Raw'!$D$6:$D$1712,'CEMIUP0.9 Raw'!$B$6:$B$1712,$J283,'CEMIUP0.9 Raw'!$H$6:$H$1712,"Y")</f>
        <v>116</v>
      </c>
      <c r="E283" s="19" t="n">
        <f aca="false">SUMIFS('SALES Raw'!$D$6:$D$4467,'SALES Raw'!$J$6:$J$4467,$J283,'SALES Raw'!$K$6:$K$4467,"Y")+SUMIFS('CEMIUP0.9 Raw'!$E$6:$E$1712,'CEMIUP0.9 Raw'!$B$6:$B$1712,$J283,'CEMIUP0.9 Raw'!$H$6:$H$1712,"Y")</f>
        <v>3184.985</v>
      </c>
      <c r="F283" s="19" t="n">
        <f aca="false">SUMIFS('SALES Raw'!$E$6:$E$4467,'SALES Raw'!$J$6:$J$4467,$J283,'SALES Raw'!$K$6:$K$4467,"Y")*$H$4+SUMIFS('CEMIUP0.9 Raw'!$F$6:$F$1712,'CEMIUP0.9 Raw'!$B$6:$B$1712,$J283,'CEMIUP0.9 Raw'!$H$6:$H$1712,"Y")</f>
        <v>70.7368421052632</v>
      </c>
      <c r="G283" s="19" t="n">
        <f aca="false">SUMIFS('SALES Raw'!$F$6:$F$4467,'SALES Raw'!$J$6:$J$4467,$J283,'SALES Raw'!$K$6:$K$4467,"Y")*$H$4+SUMIFS('CEMIUP0.9 Raw'!$G$6:$G$1712,'CEMIUP0.9 Raw'!$B$6:$B$1712,$J283,'CEMIUP0.9 Raw'!$H$6:$H$1712,"Y")</f>
        <v>1971.10863157895</v>
      </c>
      <c r="H283" s="18" t="s">
        <v>43</v>
      </c>
      <c r="I283" s="18" t="s">
        <v>56</v>
      </c>
      <c r="J283" s="18" t="n">
        <v>4413503</v>
      </c>
    </row>
    <row r="284" customFormat="false" ht="15" hidden="false" customHeight="false" outlineLevel="0" collapsed="false">
      <c r="A284" s="18" t="n">
        <f aca="false">IF(ISNUMBER($J284),$J284,"")</f>
        <v>4420026</v>
      </c>
      <c r="B284" s="18" t="str">
        <f aca="false">IFERROR(INDEX('SALES Raw'!$B$6:$B$4467,MATCH($J284,'SALES Raw'!$J$6:$J$4467,0)),IFERROR(INDEX('CEMIUP0.9 Raw'!$B$6:$B$1712,MATCH($J284,'CEMIUP0.9 Raw'!$B$6:$B$1712,0)),$J284))</f>
        <v>AC40 0</v>
      </c>
      <c r="C284" s="18" t="str">
        <f aca="false">IF(ISNUMBER($J284),IFERROR(INDEX('TRANS'!$C:$C,MATCH($J284,'TRANS'!$B:$B,0)),IFERROR(INDEX('Catalog'!$B:$B,MATCH($J284,'Catalog'!$A:$A,0)),$B284)),$B284)</f>
        <v>AC40 רצועה לפיקת הברך</v>
      </c>
      <c r="D284" s="19" t="n">
        <f aca="false">SUMIFS('SALES Raw'!$C$6:$C$4467,'SALES Raw'!$J$6:$J$4467,$J284,'SALES Raw'!$K$6:$K$4467,"Y")+SUMIFS('CEMIUP0.9 Raw'!$D$6:$D$1712,'CEMIUP0.9 Raw'!$B$6:$B$1712,$J284,'CEMIUP0.9 Raw'!$H$6:$H$1712,"Y")</f>
        <v>60</v>
      </c>
      <c r="E284" s="19" t="n">
        <f aca="false">SUMIFS('SALES Raw'!$D$6:$D$4467,'SALES Raw'!$J$6:$J$4467,$J284,'SALES Raw'!$K$6:$K$4467,"Y")+SUMIFS('CEMIUP0.9 Raw'!$E$6:$E$1712,'CEMIUP0.9 Raw'!$B$6:$B$1712,$J284,'CEMIUP0.9 Raw'!$H$6:$H$1712,"Y")</f>
        <v>6965.203</v>
      </c>
      <c r="F284" s="19" t="n">
        <f aca="false">SUMIFS('SALES Raw'!$E$6:$E$4467,'SALES Raw'!$J$6:$J$4467,$J284,'SALES Raw'!$K$6:$K$4467,"Y")*$H$4+SUMIFS('CEMIUP0.9 Raw'!$F$6:$F$1712,'CEMIUP0.9 Raw'!$B$6:$B$1712,$J284,'CEMIUP0.9 Raw'!$H$6:$H$1712,"Y")</f>
        <v>70.7368421052632</v>
      </c>
      <c r="G284" s="19" t="n">
        <f aca="false">SUMIFS('SALES Raw'!$F$6:$F$4467,'SALES Raw'!$J$6:$J$4467,$J284,'SALES Raw'!$K$6:$K$4467,"Y")*$H$4+SUMIFS('CEMIUP0.9 Raw'!$G$6:$G$1712,'CEMIUP0.9 Raw'!$B$6:$B$1712,$J284,'CEMIUP0.9 Raw'!$H$6:$H$1712,"Y")</f>
        <v>9037.88336842105</v>
      </c>
      <c r="H284" s="18" t="s">
        <v>42</v>
      </c>
      <c r="I284" s="18" t="s">
        <v>49</v>
      </c>
      <c r="J284" s="18" t="n">
        <v>4420026</v>
      </c>
    </row>
    <row r="285" customFormat="false" ht="15" hidden="false" customHeight="false" outlineLevel="0" collapsed="false">
      <c r="A285" s="18" t="n">
        <f aca="false">IF(ISNUMBER($J285),$J285,"")</f>
        <v>4415006</v>
      </c>
      <c r="B285" s="18" t="str">
        <f aca="false">IFERROR(INDEX('SALES Raw'!$B$6:$B$4467,MATCH($J285,'SALES Raw'!$J$6:$J$4467,0)),IFERROR(INDEX('CEMIUP0.9 Raw'!$B$6:$B$1712,MATCH($J285,'CEMIUP0.9 Raw'!$B$6:$B$1712,0)),$J285))</f>
        <v>28 M</v>
      </c>
      <c r="C285" s="18" t="str">
        <f aca="false">IF(ISNUMBER($J285),IFERROR(INDEX('TRANS'!$C:$C,MATCH($J285,'TRANS'!$B:$B,0)),IFERROR(INDEX('Catalog'!$B:$B,MATCH($J285,'Catalog'!$A:$A,0)),$B285)),$B285)</f>
        <v>28 M סד לאגודל לאחר שבר</v>
      </c>
      <c r="D285" s="19" t="n">
        <f aca="false">SUMIFS('SALES Raw'!$C$6:$C$4467,'SALES Raw'!$J$6:$J$4467,$J285,'SALES Raw'!$K$6:$K$4467,"Y")+SUMIFS('CEMIUP0.9 Raw'!$D$6:$D$1712,'CEMIUP0.9 Raw'!$B$6:$B$1712,$J285,'CEMIUP0.9 Raw'!$H$6:$H$1712,"Y")</f>
        <v>101</v>
      </c>
      <c r="E285" s="19" t="n">
        <f aca="false">SUMIFS('SALES Raw'!$D$6:$D$4467,'SALES Raw'!$J$6:$J$4467,$J285,'SALES Raw'!$K$6:$K$4467,"Y")+SUMIFS('CEMIUP0.9 Raw'!$E$6:$E$1712,'CEMIUP0.9 Raw'!$B$6:$B$1712,$J285,'CEMIUP0.9 Raw'!$H$6:$H$1712,"Y")</f>
        <v>9781.005</v>
      </c>
      <c r="F285" s="19" t="n">
        <f aca="false">SUMIFS('SALES Raw'!$E$6:$E$4467,'SALES Raw'!$J$6:$J$4467,$J285,'SALES Raw'!$K$6:$K$4467,"Y")*$H$4+SUMIFS('CEMIUP0.9 Raw'!$F$6:$F$1712,'CEMIUP0.9 Raw'!$B$6:$B$1712,$J285,'CEMIUP0.9 Raw'!$H$6:$H$1712,"Y")</f>
        <v>69.4736842105263</v>
      </c>
      <c r="G285" s="19" t="n">
        <f aca="false">SUMIFS('SALES Raw'!$F$6:$F$4467,'SALES Raw'!$J$6:$J$4467,$J285,'SALES Raw'!$K$6:$K$4467,"Y")*$H$4+SUMIFS('CEMIUP0.9 Raw'!$G$6:$G$1712,'CEMIUP0.9 Raw'!$B$6:$B$1712,$J285,'CEMIUP0.9 Raw'!$H$6:$H$1712,"Y")</f>
        <v>6911.21936842105</v>
      </c>
      <c r="H285" s="18" t="s">
        <v>43</v>
      </c>
      <c r="I285" s="18" t="s">
        <v>42</v>
      </c>
      <c r="J285" s="18" t="n">
        <v>4415006</v>
      </c>
    </row>
    <row r="286" customFormat="false" ht="15" hidden="false" customHeight="false" outlineLevel="0" collapsed="false">
      <c r="A286" s="18" t="n">
        <f aca="false">IF(ISNUMBER($J286),$J286,"")</f>
        <v>4420024</v>
      </c>
      <c r="B286" s="18" t="str">
        <f aca="false">IFERROR(INDEX('SALES Raw'!$B$6:$B$4467,MATCH($J286,'SALES Raw'!$J$6:$J$4467,0)),IFERROR(INDEX('CEMIUP0.9 Raw'!$B$6:$B$1712,MATCH($J286,'CEMIUP0.9 Raw'!$B$6:$B$1712,0)),$J286))</f>
        <v>LF373 0</v>
      </c>
      <c r="C286" s="18" t="str">
        <f aca="false">IF(ISNUMBER($J286),IFERROR(INDEX('TRANS'!$C:$C,MATCH($J286,'TRANS'!$B:$B,0)),IFERROR(INDEX('Catalog'!$B:$B,MATCH($J286,'Catalog'!$A:$A,0)),$B286)),$B286)</f>
        <v>LFריפוד סיליק.לכרית כף הרגל373</v>
      </c>
      <c r="D286" s="19" t="n">
        <f aca="false">SUMIFS('SALES Raw'!$C$6:$C$4467,'SALES Raw'!$J$6:$J$4467,$J286,'SALES Raw'!$K$6:$K$4467,"Y")+SUMIFS('CEMIUP0.9 Raw'!$D$6:$D$1712,'CEMIUP0.9 Raw'!$B$6:$B$1712,$J286,'CEMIUP0.9 Raw'!$H$6:$H$1712,"Y")</f>
        <v>170</v>
      </c>
      <c r="E286" s="19" t="n">
        <f aca="false">SUMIFS('SALES Raw'!$D$6:$D$4467,'SALES Raw'!$J$6:$J$4467,$J286,'SALES Raw'!$K$6:$K$4467,"Y")+SUMIFS('CEMIUP0.9 Raw'!$E$6:$E$1712,'CEMIUP0.9 Raw'!$B$6:$B$1712,$J286,'CEMIUP0.9 Raw'!$H$6:$H$1712,"Y")</f>
        <v>2981.199</v>
      </c>
      <c r="F286" s="19" t="n">
        <f aca="false">SUMIFS('SALES Raw'!$E$6:$E$4467,'SALES Raw'!$J$6:$J$4467,$J286,'SALES Raw'!$K$6:$K$4467,"Y")*$H$4+SUMIFS('CEMIUP0.9 Raw'!$F$6:$F$1712,'CEMIUP0.9 Raw'!$B$6:$B$1712,$J286,'CEMIUP0.9 Raw'!$H$6:$H$1712,"Y")</f>
        <v>68.2105263157895</v>
      </c>
      <c r="G286" s="19" t="n">
        <f aca="false">SUMIFS('SALES Raw'!$F$6:$F$4467,'SALES Raw'!$J$6:$J$4467,$J286,'SALES Raw'!$K$6:$K$4467,"Y")*$H$4+SUMIFS('CEMIUP0.9 Raw'!$G$6:$G$1712,'CEMIUP0.9 Raw'!$B$6:$B$1712,$J286,'CEMIUP0.9 Raw'!$H$6:$H$1712,"Y")</f>
        <v>1155.94610526316</v>
      </c>
      <c r="H286" s="18" t="s">
        <v>43</v>
      </c>
      <c r="I286" s="18" t="s">
        <v>48</v>
      </c>
      <c r="J286" s="18" t="n">
        <v>4420024</v>
      </c>
    </row>
    <row r="287" customFormat="false" ht="15" hidden="false" customHeight="false" outlineLevel="0" collapsed="false">
      <c r="A287" s="18" t="n">
        <f aca="false">IF(ISNUMBER($J287),$J287,"")</f>
        <v>4401014</v>
      </c>
      <c r="B287" s="18" t="str">
        <f aca="false">IFERROR(INDEX('SALES Raw'!$B$6:$B$4467,MATCH($J287,'SALES Raw'!$J$6:$J$4467,0)),IFERROR(INDEX('CEMIUP0.9 Raw'!$B$6:$B$1712,MATCH($J287,'CEMIUP0.9 Raw'!$B$6:$B$1712,0)),$J287))</f>
        <v>805AT-W</v>
      </c>
      <c r="C287" s="18" t="str">
        <f aca="false">IF(ISNUMBER($J287),IFERROR(INDEX('TRANS'!$C:$C,MATCH($J287,'TRANS'!$B:$B,0)),IFERROR(INDEX('Catalog'!$B:$B,MATCH($J287,'Catalog'!$A:$A,0)),$B287)),$B287)</f>
        <v>805AT-W  אתלטיק טייפ לבן 20מ""""מ</v>
      </c>
      <c r="D287" s="19" t="n">
        <f aca="false">SUMIFS('SALES Raw'!$C$6:$C$4467,'SALES Raw'!$J$6:$J$4467,$J287,'SALES Raw'!$K$6:$K$4467,"Y")+SUMIFS('CEMIUP0.9 Raw'!$D$6:$D$1712,'CEMIUP0.9 Raw'!$B$6:$B$1712,$J287,'CEMIUP0.9 Raw'!$H$6:$H$1712,"Y")</f>
        <v>68</v>
      </c>
      <c r="E287" s="19" t="n">
        <f aca="false">SUMIFS('SALES Raw'!$D$6:$D$4467,'SALES Raw'!$J$6:$J$4467,$J287,'SALES Raw'!$K$6:$K$4467,"Y")+SUMIFS('CEMIUP0.9 Raw'!$E$6:$E$1712,'CEMIUP0.9 Raw'!$B$6:$B$1712,$J287,'CEMIUP0.9 Raw'!$H$6:$H$1712,"Y")</f>
        <v>1182.111</v>
      </c>
      <c r="F287" s="19" t="n">
        <f aca="false">SUMIFS('SALES Raw'!$E$6:$E$4467,'SALES Raw'!$J$6:$J$4467,$J287,'SALES Raw'!$K$6:$K$4467,"Y")*$H$4+SUMIFS('CEMIUP0.9 Raw'!$F$6:$F$1712,'CEMIUP0.9 Raw'!$B$6:$B$1712,$J287,'CEMIUP0.9 Raw'!$H$6:$H$1712,"Y")</f>
        <v>68.2105263157895</v>
      </c>
      <c r="G287" s="19" t="n">
        <f aca="false">SUMIFS('SALES Raw'!$F$6:$F$4467,'SALES Raw'!$J$6:$J$4467,$J287,'SALES Raw'!$K$6:$K$4467,"Y")*$H$4+SUMIFS('CEMIUP0.9 Raw'!$G$6:$G$1712,'CEMIUP0.9 Raw'!$B$6:$B$1712,$J287,'CEMIUP0.9 Raw'!$H$6:$H$1712,"Y")</f>
        <v>1201.12673684211</v>
      </c>
      <c r="H287" s="18" t="s">
        <v>43</v>
      </c>
      <c r="I287" s="18" t="s">
        <v>42</v>
      </c>
      <c r="J287" s="18" t="n">
        <v>4401014</v>
      </c>
    </row>
    <row r="288" customFormat="false" ht="15" hidden="false" customHeight="false" outlineLevel="0" collapsed="false">
      <c r="A288" s="18" t="n">
        <f aca="false">IF(ISNUMBER($J288),$J288,"")</f>
        <v>4415072</v>
      </c>
      <c r="B288" s="18" t="str">
        <f aca="false">IFERROR(INDEX('SALES Raw'!$B$6:$B$4467,MATCH($J288,'SALES Raw'!$J$6:$J$4467,0)),IFERROR(INDEX('CEMIUP0.9 Raw'!$B$6:$B$1712,MATCH($J288,'CEMIUP0.9 Raw'!$B$6:$B$1712,0)),$J288))</f>
        <v>T28A-S-M</v>
      </c>
      <c r="C288" s="18" t="str">
        <f aca="false">IF(ISNUMBER($J288),IFERROR(INDEX('TRANS'!$C:$C,MATCH($J288,'TRANS'!$B:$B,0)),IFERROR(INDEX('Catalog'!$B:$B,MATCH($J288,'Catalog'!$A:$A,0)),$B288)),$B288)</f>
        <v>T28A S-M סד לאגודל</v>
      </c>
      <c r="D288" s="19" t="n">
        <f aca="false">SUMIFS('SALES Raw'!$C$6:$C$4467,'SALES Raw'!$J$6:$J$4467,$J288,'SALES Raw'!$K$6:$K$4467,"Y")+SUMIFS('CEMIUP0.9 Raw'!$D$6:$D$1712,'CEMIUP0.9 Raw'!$B$6:$B$1712,$J288,'CEMIUP0.9 Raw'!$H$6:$H$1712,"Y")</f>
        <v>63</v>
      </c>
      <c r="E288" s="19" t="n">
        <f aca="false">SUMIFS('SALES Raw'!$D$6:$D$4467,'SALES Raw'!$J$6:$J$4467,$J288,'SALES Raw'!$K$6:$K$4467,"Y")+SUMIFS('CEMIUP0.9 Raw'!$E$6:$E$1712,'CEMIUP0.9 Raw'!$B$6:$B$1712,$J288,'CEMIUP0.9 Raw'!$H$6:$H$1712,"Y")</f>
        <v>4353.283</v>
      </c>
      <c r="F288" s="19" t="n">
        <f aca="false">SUMIFS('SALES Raw'!$E$6:$E$4467,'SALES Raw'!$J$6:$J$4467,$J288,'SALES Raw'!$K$6:$K$4467,"Y")*$H$4+SUMIFS('CEMIUP0.9 Raw'!$F$6:$F$1712,'CEMIUP0.9 Raw'!$B$6:$B$1712,$J288,'CEMIUP0.9 Raw'!$H$6:$H$1712,"Y")</f>
        <v>65.6842105263158</v>
      </c>
      <c r="G288" s="19" t="n">
        <f aca="false">SUMIFS('SALES Raw'!$F$6:$F$4467,'SALES Raw'!$J$6:$J$4467,$J288,'SALES Raw'!$K$6:$K$4467,"Y")*$H$4+SUMIFS('CEMIUP0.9 Raw'!$G$6:$G$1712,'CEMIUP0.9 Raw'!$B$6:$B$1712,$J288,'CEMIUP0.9 Raw'!$H$6:$H$1712,"Y")</f>
        <v>4884.47242105263</v>
      </c>
      <c r="H288" s="18" t="s">
        <v>43</v>
      </c>
      <c r="I288" s="18" t="s">
        <v>42</v>
      </c>
      <c r="J288" s="18" t="n">
        <v>4415072</v>
      </c>
    </row>
    <row r="289" customFormat="false" ht="15" hidden="false" customHeight="false" outlineLevel="0" collapsed="false">
      <c r="A289" s="18" t="n">
        <f aca="false">IF(ISNUMBER($J289),$J289,"")</f>
        <v>4408153</v>
      </c>
      <c r="B289" s="18" t="str">
        <f aca="false">IFERROR(INDEX('SALES Raw'!$B$6:$B$4467,MATCH($J289,'SALES Raw'!$J$6:$J$4467,0)),IFERROR(INDEX('CEMIUP0.9 Raw'!$B$6:$B$1712,MATCH($J289,'CEMIUP0.9 Raw'!$B$6:$B$1712,0)),$J289))</f>
        <v>11TO XL</v>
      </c>
      <c r="C289" s="18" t="str">
        <f aca="false">IF(ISNUMBER($J289),IFERROR(INDEX('TRANS'!$C:$C,MATCH($J289,'TRANS'!$B:$B,0)),IFERROR(INDEX('Catalog'!$B:$B,MATCH($J289,'Catalog'!$A:$A,0)),$B289)),$B289)</f>
        <v>11TO XLחגורה למנותחי בית החזה</v>
      </c>
      <c r="D289" s="19" t="n">
        <f aca="false">SUMIFS('SALES Raw'!$C$6:$C$4467,'SALES Raw'!$J$6:$J$4467,$J289,'SALES Raw'!$K$6:$K$4467,"Y")+SUMIFS('CEMIUP0.9 Raw'!$D$6:$D$1712,'CEMIUP0.9 Raw'!$B$6:$B$1712,$J289,'CEMIUP0.9 Raw'!$H$6:$H$1712,"Y")</f>
        <v>70</v>
      </c>
      <c r="E289" s="19" t="n">
        <f aca="false">SUMIFS('SALES Raw'!$D$6:$D$4467,'SALES Raw'!$J$6:$J$4467,$J289,'SALES Raw'!$K$6:$K$4467,"Y")+SUMIFS('CEMIUP0.9 Raw'!$E$6:$E$1712,'CEMIUP0.9 Raw'!$B$6:$B$1712,$J289,'CEMIUP0.9 Raw'!$H$6:$H$1712,"Y")</f>
        <v>9863.84</v>
      </c>
      <c r="F289" s="19" t="n">
        <f aca="false">SUMIFS('SALES Raw'!$E$6:$E$4467,'SALES Raw'!$J$6:$J$4467,$J289,'SALES Raw'!$K$6:$K$4467,"Y")*$H$4+SUMIFS('CEMIUP0.9 Raw'!$F$6:$F$1712,'CEMIUP0.9 Raw'!$B$6:$B$1712,$J289,'CEMIUP0.9 Raw'!$H$6:$H$1712,"Y")</f>
        <v>64.421052631579</v>
      </c>
      <c r="G289" s="19" t="n">
        <f aca="false">SUMIFS('SALES Raw'!$F$6:$F$4467,'SALES Raw'!$J$6:$J$4467,$J289,'SALES Raw'!$K$6:$K$4467,"Y")*$H$4+SUMIFS('CEMIUP0.9 Raw'!$G$6:$G$1712,'CEMIUP0.9 Raw'!$B$6:$B$1712,$J289,'CEMIUP0.9 Raw'!$H$6:$H$1712,"Y")</f>
        <v>9764.74484210527</v>
      </c>
      <c r="H289" s="18" t="s">
        <v>44</v>
      </c>
      <c r="I289" s="18" t="s">
        <v>43</v>
      </c>
      <c r="J289" s="18" t="n">
        <v>4408153</v>
      </c>
    </row>
    <row r="290" customFormat="false" ht="15" hidden="false" customHeight="false" outlineLevel="0" collapsed="false">
      <c r="A290" s="18" t="n">
        <f aca="false">IF(ISNUMBER($J290),$J290,"")</f>
        <v>4415073</v>
      </c>
      <c r="B290" s="18" t="str">
        <f aca="false">IFERROR(INDEX('SALES Raw'!$B$6:$B$4467,MATCH($J290,'SALES Raw'!$J$6:$J$4467,0)),IFERROR(INDEX('CEMIUP0.9 Raw'!$B$6:$B$1712,MATCH($J290,'CEMIUP0.9 Raw'!$B$6:$B$1712,0)),$J290))</f>
        <v>T28A-L-XL</v>
      </c>
      <c r="C290" s="18" t="str">
        <f aca="false">IF(ISNUMBER($J290),IFERROR(INDEX('TRANS'!$C:$C,MATCH($J290,'TRANS'!$B:$B,0)),IFERROR(INDEX('Catalog'!$B:$B,MATCH($J290,'Catalog'!$A:$A,0)),$B290)),$B290)</f>
        <v>T28A L-XL סד לאגודל</v>
      </c>
      <c r="D290" s="19" t="n">
        <f aca="false">SUMIFS('SALES Raw'!$C$6:$C$4467,'SALES Raw'!$J$6:$J$4467,$J290,'SALES Raw'!$K$6:$K$4467,"Y")+SUMIFS('CEMIUP0.9 Raw'!$D$6:$D$1712,'CEMIUP0.9 Raw'!$B$6:$B$1712,$J290,'CEMIUP0.9 Raw'!$H$6:$H$1712,"Y")</f>
        <v>54</v>
      </c>
      <c r="E290" s="19" t="n">
        <f aca="false">SUMIFS('SALES Raw'!$D$6:$D$4467,'SALES Raw'!$J$6:$J$4467,$J290,'SALES Raw'!$K$6:$K$4467,"Y")+SUMIFS('CEMIUP0.9 Raw'!$E$6:$E$1712,'CEMIUP0.9 Raw'!$B$6:$B$1712,$J290,'CEMIUP0.9 Raw'!$H$6:$H$1712,"Y")</f>
        <v>3574.526</v>
      </c>
      <c r="F290" s="19" t="n">
        <f aca="false">SUMIFS('SALES Raw'!$E$6:$E$4467,'SALES Raw'!$J$6:$J$4467,$J290,'SALES Raw'!$K$6:$K$4467,"Y")*$H$4+SUMIFS('CEMIUP0.9 Raw'!$F$6:$F$1712,'CEMIUP0.9 Raw'!$B$6:$B$1712,$J290,'CEMIUP0.9 Raw'!$H$6:$H$1712,"Y")</f>
        <v>64.421052631579</v>
      </c>
      <c r="G290" s="19" t="n">
        <f aca="false">SUMIFS('SALES Raw'!$F$6:$F$4467,'SALES Raw'!$J$6:$J$4467,$J290,'SALES Raw'!$K$6:$K$4467,"Y")*$H$4+SUMIFS('CEMIUP0.9 Raw'!$G$6:$G$1712,'CEMIUP0.9 Raw'!$B$6:$B$1712,$J290,'CEMIUP0.9 Raw'!$H$6:$H$1712,"Y")</f>
        <v>4892.82568421053</v>
      </c>
      <c r="H290" s="18" t="s">
        <v>43</v>
      </c>
      <c r="I290" s="18" t="s">
        <v>42</v>
      </c>
      <c r="J290" s="18" t="n">
        <v>4415073</v>
      </c>
    </row>
    <row r="291" customFormat="false" ht="15" hidden="false" customHeight="false" outlineLevel="0" collapsed="false">
      <c r="A291" s="18" t="n">
        <f aca="false">IF(ISNUMBER($J291),$J291,"")</f>
        <v>4413156</v>
      </c>
      <c r="B291" s="18" t="str">
        <f aca="false">IFERROR(INDEX('SALES Raw'!$B$6:$B$4467,MATCH($J291,'SALES Raw'!$J$6:$J$4467,0)),IFERROR(INDEX('CEMIUP0.9 Raw'!$B$6:$B$1712,MATCH($J291,'CEMIUP0.9 Raw'!$B$6:$B$1712,0)),$J291))</f>
        <v>305GA-41-42</v>
      </c>
      <c r="C291" s="18" t="str">
        <f aca="false">IF(ISNUMBER($J291),IFERROR(INDEX('TRANS'!$C:$C,MATCH($J291,'TRANS'!$B:$B,0)),IFERROR(INDEX('Catalog'!$B:$B,MATCH($J291,'Catalog'!$A:$A,0)),$B291)),$B291)</f>
        <v>305GA מדרס אורטופ.מתכוון41-42</v>
      </c>
      <c r="D291" s="19" t="n">
        <f aca="false">SUMIFS('SALES Raw'!$C$6:$C$4467,'SALES Raw'!$J$6:$J$4467,$J291,'SALES Raw'!$K$6:$K$4467,"Y")+SUMIFS('CEMIUP0.9 Raw'!$D$6:$D$1712,'CEMIUP0.9 Raw'!$B$6:$B$1712,$J291,'CEMIUP0.9 Raw'!$H$6:$H$1712,"Y")</f>
        <v>94</v>
      </c>
      <c r="E291" s="19" t="n">
        <f aca="false">SUMIFS('SALES Raw'!$D$6:$D$4467,'SALES Raw'!$J$6:$J$4467,$J291,'SALES Raw'!$K$6:$K$4467,"Y")+SUMIFS('CEMIUP0.9 Raw'!$E$6:$E$1712,'CEMIUP0.9 Raw'!$B$6:$B$1712,$J291,'CEMIUP0.9 Raw'!$H$6:$H$1712,"Y")</f>
        <v>9377.831</v>
      </c>
      <c r="F291" s="19" t="n">
        <f aca="false">SUMIFS('SALES Raw'!$E$6:$E$4467,'SALES Raw'!$J$6:$J$4467,$J291,'SALES Raw'!$K$6:$K$4467,"Y")*$H$4+SUMIFS('CEMIUP0.9 Raw'!$F$6:$F$1712,'CEMIUP0.9 Raw'!$B$6:$B$1712,$J291,'CEMIUP0.9 Raw'!$H$6:$H$1712,"Y")</f>
        <v>63.1578947368421</v>
      </c>
      <c r="G291" s="19" t="n">
        <f aca="false">SUMIFS('SALES Raw'!$F$6:$F$4467,'SALES Raw'!$J$6:$J$4467,$J291,'SALES Raw'!$K$6:$K$4467,"Y")*$H$4+SUMIFS('CEMIUP0.9 Raw'!$G$6:$G$1712,'CEMIUP0.9 Raw'!$B$6:$B$1712,$J291,'CEMIUP0.9 Raw'!$H$6:$H$1712,"Y")</f>
        <v>6309.29684210527</v>
      </c>
      <c r="H291" s="18" t="s">
        <v>44</v>
      </c>
      <c r="I291" s="18" t="s">
        <v>43</v>
      </c>
      <c r="J291" s="18" t="n">
        <v>4413156</v>
      </c>
    </row>
    <row r="292" customFormat="false" ht="15" hidden="false" customHeight="false" outlineLevel="0" collapsed="false">
      <c r="A292" s="18" t="n">
        <f aca="false">IF(ISNUMBER($J292),$J292,"")</f>
        <v>4413417</v>
      </c>
      <c r="B292" s="18" t="str">
        <f aca="false">IFERROR(INDEX('SALES Raw'!$B$6:$B$4467,MATCH($J292,'SALES Raw'!$J$6:$J$4467,0)),IFERROR(INDEX('CEMIUP0.9 Raw'!$B$6:$B$1712,MATCH($J292,'CEMIUP0.9 Raw'!$B$6:$B$1712,0)),$J292))</f>
        <v>SC39 L</v>
      </c>
      <c r="C292" s="18" t="str">
        <f aca="false">IF(ISNUMBER($J292),IFERROR(INDEX('TRANS'!$C:$C,MATCH($J292,'TRANS'!$B:$B,0)),IFERROR(INDEX('Catalog'!$B:$B,MATCH($J292,'Catalog'!$A:$A,0)),$B292)),$B292)</f>
        <v>SC39  L מגן שוק</v>
      </c>
      <c r="D292" s="19" t="n">
        <f aca="false">SUMIFS('SALES Raw'!$C$6:$C$4467,'SALES Raw'!$J$6:$J$4467,$J292,'SALES Raw'!$K$6:$K$4467,"Y")+SUMIFS('CEMIUP0.9 Raw'!$D$6:$D$1712,'CEMIUP0.9 Raw'!$B$6:$B$1712,$J292,'CEMIUP0.9 Raw'!$H$6:$H$1712,"Y")</f>
        <v>47</v>
      </c>
      <c r="E292" s="19" t="n">
        <f aca="false">SUMIFS('SALES Raw'!$D$6:$D$4467,'SALES Raw'!$J$6:$J$4467,$J292,'SALES Raw'!$K$6:$K$4467,"Y")+SUMIFS('CEMIUP0.9 Raw'!$E$6:$E$1712,'CEMIUP0.9 Raw'!$B$6:$B$1712,$J292,'CEMIUP0.9 Raw'!$H$6:$H$1712,"Y")</f>
        <v>9974.715</v>
      </c>
      <c r="F292" s="19" t="n">
        <f aca="false">SUMIFS('SALES Raw'!$E$6:$E$4467,'SALES Raw'!$J$6:$J$4467,$J292,'SALES Raw'!$K$6:$K$4467,"Y")*$H$4+SUMIFS('CEMIUP0.9 Raw'!$F$6:$F$1712,'CEMIUP0.9 Raw'!$B$6:$B$1712,$J292,'CEMIUP0.9 Raw'!$H$6:$H$1712,"Y")</f>
        <v>61.8947368421052</v>
      </c>
      <c r="G292" s="19" t="n">
        <f aca="false">SUMIFS('SALES Raw'!$F$6:$F$4467,'SALES Raw'!$J$6:$J$4467,$J292,'SALES Raw'!$K$6:$K$4467,"Y")*$H$4+SUMIFS('CEMIUP0.9 Raw'!$G$6:$G$1712,'CEMIUP0.9 Raw'!$B$6:$B$1712,$J292,'CEMIUP0.9 Raw'!$H$6:$H$1712,"Y")</f>
        <v>14599.848</v>
      </c>
      <c r="H292" s="18" t="s">
        <v>42</v>
      </c>
      <c r="I292" s="18" t="s">
        <v>43</v>
      </c>
      <c r="J292" s="18" t="n">
        <v>4413417</v>
      </c>
    </row>
    <row r="293" customFormat="false" ht="15" hidden="false" customHeight="false" outlineLevel="0" collapsed="false">
      <c r="A293" s="18" t="n">
        <f aca="false">IF(ISNUMBER($J293),$J293,"")</f>
        <v>4413522</v>
      </c>
      <c r="B293" s="18" t="str">
        <f aca="false">IFERROR(INDEX('SALES Raw'!$B$6:$B$4467,MATCH($J293,'SALES Raw'!$J$6:$J$4467,0)),IFERROR(INDEX('CEMIUP0.9 Raw'!$B$6:$B$1712,MATCH($J293,'CEMIUP0.9 Raw'!$B$6:$B$1712,0)),$J293))</f>
        <v>379MSP-43-46</v>
      </c>
      <c r="C293" s="18" t="str">
        <f aca="false">IF(ISNUMBER($J293),IFERROR(INDEX('TRANS'!$C:$C,MATCH($J293,'TRANS'!$B:$B,0)),IFERROR(INDEX('Catalog'!$B:$B,MATCH($J293,'Catalog'!$A:$A,0)),$B293)),$B293)</f>
        <v>מדרסי אפיק ג'ל מולט.ספורט43-47</v>
      </c>
      <c r="D293" s="19" t="n">
        <f aca="false">SUMIFS('SALES Raw'!$C$6:$C$4467,'SALES Raw'!$J$6:$J$4467,$J293,'SALES Raw'!$K$6:$K$4467,"Y")+SUMIFS('CEMIUP0.9 Raw'!$D$6:$D$1712,'CEMIUP0.9 Raw'!$B$6:$B$1712,$J293,'CEMIUP0.9 Raw'!$H$6:$H$1712,"Y")</f>
        <v>62</v>
      </c>
      <c r="E293" s="19" t="n">
        <f aca="false">SUMIFS('SALES Raw'!$D$6:$D$4467,'SALES Raw'!$J$6:$J$4467,$J293,'SALES Raw'!$K$6:$K$4467,"Y")+SUMIFS('CEMIUP0.9 Raw'!$E$6:$E$1712,'CEMIUP0.9 Raw'!$B$6:$B$1712,$J293,'CEMIUP0.9 Raw'!$H$6:$H$1712,"Y")</f>
        <v>7984.267</v>
      </c>
      <c r="F293" s="19" t="n">
        <f aca="false">SUMIFS('SALES Raw'!$E$6:$E$4467,'SALES Raw'!$J$6:$J$4467,$J293,'SALES Raw'!$K$6:$K$4467,"Y")*$H$4+SUMIFS('CEMIUP0.9 Raw'!$F$6:$F$1712,'CEMIUP0.9 Raw'!$B$6:$B$1712,$J293,'CEMIUP0.9 Raw'!$H$6:$H$1712,"Y")</f>
        <v>60.6315789473685</v>
      </c>
      <c r="G293" s="19" t="n">
        <f aca="false">SUMIFS('SALES Raw'!$F$6:$F$4467,'SALES Raw'!$J$6:$J$4467,$J293,'SALES Raw'!$K$6:$K$4467,"Y")*$H$4+SUMIFS('CEMIUP0.9 Raw'!$G$6:$G$1712,'CEMIUP0.9 Raw'!$B$6:$B$1712,$J293,'CEMIUP0.9 Raw'!$H$6:$H$1712,"Y")</f>
        <v>8200.24042105264</v>
      </c>
      <c r="H293" s="18" t="s">
        <v>54</v>
      </c>
      <c r="I293" s="18" t="s">
        <v>42</v>
      </c>
      <c r="J293" s="18" t="n">
        <v>4413522</v>
      </c>
    </row>
    <row r="294" customFormat="false" ht="15" hidden="false" customHeight="false" outlineLevel="0" collapsed="false">
      <c r="A294" s="18" t="n">
        <f aca="false">IF(ISNUMBER($J294),$J294,"")</f>
        <v>4413112</v>
      </c>
      <c r="B294" s="18" t="str">
        <f aca="false">IFERROR(INDEX('SALES Raw'!$B$6:$B$4467,MATCH($J294,'SALES Raw'!$J$6:$J$4467,0)),IFERROR(INDEX('CEMIUP0.9 Raw'!$B$6:$B$1712,MATCH($J294,'CEMIUP0.9 Raw'!$B$6:$B$1712,0)),$J294))</f>
        <v>49 L</v>
      </c>
      <c r="C294" s="18" t="str">
        <f aca="false">IF(ISNUMBER($J294),IFERROR(INDEX('TRANS'!$C:$C,MATCH($J294,'TRANS'!$B:$B,0)),IFERROR(INDEX('Catalog'!$B:$B,MATCH($J294,'Catalog'!$A:$A,0)),$B294)),$B294)</f>
        <v>49  L מגן ירך</v>
      </c>
      <c r="D294" s="19" t="n">
        <f aca="false">SUMIFS('SALES Raw'!$C$6:$C$4467,'SALES Raw'!$J$6:$J$4467,$J294,'SALES Raw'!$K$6:$K$4467,"Y")+SUMIFS('CEMIUP0.9 Raw'!$D$6:$D$1712,'CEMIUP0.9 Raw'!$B$6:$B$1712,$J294,'CEMIUP0.9 Raw'!$H$6:$H$1712,"Y")</f>
        <v>65</v>
      </c>
      <c r="E294" s="19" t="n">
        <f aca="false">SUMIFS('SALES Raw'!$D$6:$D$4467,'SALES Raw'!$J$6:$J$4467,$J294,'SALES Raw'!$K$6:$K$4467,"Y")+SUMIFS('CEMIUP0.9 Raw'!$E$6:$E$1712,'CEMIUP0.9 Raw'!$B$6:$B$1712,$J294,'CEMIUP0.9 Raw'!$H$6:$H$1712,"Y")</f>
        <v>2068.683</v>
      </c>
      <c r="F294" s="19" t="n">
        <f aca="false">SUMIFS('SALES Raw'!$E$6:$E$4467,'SALES Raw'!$J$6:$J$4467,$J294,'SALES Raw'!$K$6:$K$4467,"Y")*$H$4+SUMIFS('CEMIUP0.9 Raw'!$F$6:$F$1712,'CEMIUP0.9 Raw'!$B$6:$B$1712,$J294,'CEMIUP0.9 Raw'!$H$6:$H$1712,"Y")</f>
        <v>60.6315789473684</v>
      </c>
      <c r="G294" s="19" t="n">
        <f aca="false">SUMIFS('SALES Raw'!$F$6:$F$4467,'SALES Raw'!$J$6:$J$4467,$J294,'SALES Raw'!$K$6:$K$4467,"Y")*$H$4+SUMIFS('CEMIUP0.9 Raw'!$G$6:$G$1712,'CEMIUP0.9 Raw'!$B$6:$B$1712,$J294,'CEMIUP0.9 Raw'!$H$6:$H$1712,"Y")</f>
        <v>1931.61852631579</v>
      </c>
      <c r="H294" s="18" t="s">
        <v>43</v>
      </c>
      <c r="I294" s="18" t="s">
        <v>48</v>
      </c>
      <c r="J294" s="18" t="n">
        <v>4413112</v>
      </c>
    </row>
    <row r="295" customFormat="false" ht="15" hidden="false" customHeight="false" outlineLevel="0" collapsed="false">
      <c r="A295" s="18" t="n">
        <f aca="false">IF(ISNUMBER($J295),$J295,"")</f>
        <v>4408203</v>
      </c>
      <c r="B295" s="18" t="str">
        <f aca="false">IFERROR(INDEX('SALES Raw'!$B$6:$B$4467,MATCH($J295,'SALES Raw'!$J$6:$J$4467,0)),IFERROR(INDEX('CEMIUP0.9 Raw'!$B$6:$B$1712,MATCH($J295,'CEMIUP0.9 Raw'!$B$6:$B$1712,0)),$J295))</f>
        <v>14 0</v>
      </c>
      <c r="C295" s="18" t="str">
        <f aca="false">IF(ISNUMBER($J295),IFERROR(INDEX('TRANS'!$C:$C,MATCH($J295,'TRANS'!$B:$B,0)),IFERROR(INDEX('Catalog'!$B:$B,MATCH($J295,'Catalog'!$A:$A,0)),$B295)),$B295)</f>
        <v>14 0 חגורה למנותחי בית חזה</v>
      </c>
      <c r="D295" s="19" t="n">
        <f aca="false">SUMIFS('SALES Raw'!$C$6:$C$4467,'SALES Raw'!$J$6:$J$4467,$J295,'SALES Raw'!$K$6:$K$4467,"Y")+SUMIFS('CEMIUP0.9 Raw'!$D$6:$D$1712,'CEMIUP0.9 Raw'!$B$6:$B$1712,$J295,'CEMIUP0.9 Raw'!$H$6:$H$1712,"Y")</f>
        <v>92</v>
      </c>
      <c r="E295" s="19" t="n">
        <f aca="false">SUMIFS('SALES Raw'!$D$6:$D$4467,'SALES Raw'!$J$6:$J$4467,$J295,'SALES Raw'!$K$6:$K$4467,"Y")+SUMIFS('CEMIUP0.9 Raw'!$E$6:$E$1712,'CEMIUP0.9 Raw'!$B$6:$B$1712,$J295,'CEMIUP0.9 Raw'!$H$6:$H$1712,"Y")</f>
        <v>20133.695</v>
      </c>
      <c r="F295" s="19" t="n">
        <f aca="false">SUMIFS('SALES Raw'!$E$6:$E$4467,'SALES Raw'!$J$6:$J$4467,$J295,'SALES Raw'!$K$6:$K$4467,"Y")*$H$4+SUMIFS('CEMIUP0.9 Raw'!$F$6:$F$1712,'CEMIUP0.9 Raw'!$B$6:$B$1712,$J295,'CEMIUP0.9 Raw'!$H$6:$H$1712,"Y")</f>
        <v>59.3684210526316</v>
      </c>
      <c r="G295" s="19" t="n">
        <f aca="false">SUMIFS('SALES Raw'!$F$6:$F$4467,'SALES Raw'!$J$6:$J$4467,$J295,'SALES Raw'!$K$6:$K$4467,"Y")*$H$4+SUMIFS('CEMIUP0.9 Raw'!$G$6:$G$1712,'CEMIUP0.9 Raw'!$B$6:$B$1712,$J295,'CEMIUP0.9 Raw'!$H$6:$H$1712,"Y")</f>
        <v>12016.5953684211</v>
      </c>
      <c r="H295" s="18" t="s">
        <v>44</v>
      </c>
      <c r="I295" s="18" t="s">
        <v>42</v>
      </c>
      <c r="J295" s="18" t="n">
        <v>4408203</v>
      </c>
    </row>
    <row r="296" customFormat="false" ht="15" hidden="false" customHeight="false" outlineLevel="0" collapsed="false">
      <c r="A296" s="18" t="n">
        <f aca="false">IF(ISNUMBER($J296),$J296,"")</f>
        <v>4413425</v>
      </c>
      <c r="B296" s="18" t="str">
        <f aca="false">IFERROR(INDEX('SALES Raw'!$B$6:$B$4467,MATCH($J296,'SALES Raw'!$J$6:$J$4467,0)),IFERROR(INDEX('CEMIUP0.9 Raw'!$B$6:$B$1712,MATCH($J296,'CEMIUP0.9 Raw'!$B$6:$B$1712,0)),$J296))</f>
        <v>SC35R M</v>
      </c>
      <c r="C296" s="18" t="str">
        <f aca="false">IF(ISNUMBER($J296),IFERROR(INDEX('TRANS'!$C:$C,MATCH($J296,'TRANS'!$B:$B,0)),IFERROR(INDEX('Catalog'!$B:$B,MATCH($J296,'Catalog'!$A:$A,0)),$B296)),$B296)</f>
        <v>SC35R  M מגן קרסול ימין</v>
      </c>
      <c r="D296" s="19" t="n">
        <f aca="false">SUMIFS('SALES Raw'!$C$6:$C$4467,'SALES Raw'!$J$6:$J$4467,$J296,'SALES Raw'!$K$6:$K$4467,"Y")+SUMIFS('CEMIUP0.9 Raw'!$D$6:$D$1712,'CEMIUP0.9 Raw'!$B$6:$B$1712,$J296,'CEMIUP0.9 Raw'!$H$6:$H$1712,"Y")</f>
        <v>41</v>
      </c>
      <c r="E296" s="19" t="n">
        <f aca="false">SUMIFS('SALES Raw'!$D$6:$D$4467,'SALES Raw'!$J$6:$J$4467,$J296,'SALES Raw'!$K$6:$K$4467,"Y")+SUMIFS('CEMIUP0.9 Raw'!$E$6:$E$1712,'CEMIUP0.9 Raw'!$B$6:$B$1712,$J296,'CEMIUP0.9 Raw'!$H$6:$H$1712,"Y")</f>
        <v>4271.178</v>
      </c>
      <c r="F296" s="19" t="n">
        <f aca="false">SUMIFS('SALES Raw'!$E$6:$E$4467,'SALES Raw'!$J$6:$J$4467,$J296,'SALES Raw'!$K$6:$K$4467,"Y")*$H$4+SUMIFS('CEMIUP0.9 Raw'!$F$6:$F$1712,'CEMIUP0.9 Raw'!$B$6:$B$1712,$J296,'CEMIUP0.9 Raw'!$H$6:$H$1712,"Y")</f>
        <v>58.1052631578948</v>
      </c>
      <c r="G296" s="19" t="n">
        <f aca="false">SUMIFS('SALES Raw'!$F$6:$F$4467,'SALES Raw'!$J$6:$J$4467,$J296,'SALES Raw'!$K$6:$K$4467,"Y")*$H$4+SUMIFS('CEMIUP0.9 Raw'!$G$6:$G$1712,'CEMIUP0.9 Raw'!$B$6:$B$1712,$J296,'CEMIUP0.9 Raw'!$H$6:$H$1712,"Y")</f>
        <v>7121.99621052632</v>
      </c>
      <c r="H296" s="18" t="s">
        <v>42</v>
      </c>
      <c r="I296" s="18" t="s">
        <v>43</v>
      </c>
      <c r="J296" s="18" t="n">
        <v>4413425</v>
      </c>
    </row>
    <row r="297" customFormat="false" ht="15" hidden="false" customHeight="false" outlineLevel="0" collapsed="false">
      <c r="A297" s="18" t="n">
        <f aca="false">IF(ISNUMBER($J297),$J297,"")</f>
        <v>4415075</v>
      </c>
      <c r="B297" s="18" t="str">
        <f aca="false">IFERROR(INDEX('SALES Raw'!$B$6:$B$4467,MATCH($J297,'SALES Raw'!$J$6:$J$4467,0)),IFERROR(INDEX('CEMIUP0.9 Raw'!$B$6:$B$1712,MATCH($J297,'CEMIUP0.9 Raw'!$B$6:$B$1712,0)),$J297))</f>
        <v>T28AC-L-XL</v>
      </c>
      <c r="C297" s="18" t="str">
        <f aca="false">IF(ISNUMBER($J297),IFERROR(INDEX('TRANS'!$C:$C,MATCH($J297,'TRANS'!$B:$B,0)),IFERROR(INDEX('Catalog'!$B:$B,MATCH($J297,'Catalog'!$A:$A,0)),$B297)),$B297)</f>
        <v>T28AC L-XL סד לאגודל</v>
      </c>
      <c r="D297" s="19" t="n">
        <f aca="false">SUMIFS('SALES Raw'!$C$6:$C$4467,'SALES Raw'!$J$6:$J$4467,$J297,'SALES Raw'!$K$6:$K$4467,"Y")+SUMIFS('CEMIUP0.9 Raw'!$D$6:$D$1712,'CEMIUP0.9 Raw'!$B$6:$B$1712,$J297,'CEMIUP0.9 Raw'!$H$6:$H$1712,"Y")</f>
        <v>56</v>
      </c>
      <c r="E297" s="19" t="n">
        <f aca="false">SUMIFS('SALES Raw'!$D$6:$D$4467,'SALES Raw'!$J$6:$J$4467,$J297,'SALES Raw'!$K$6:$K$4467,"Y")+SUMIFS('CEMIUP0.9 Raw'!$E$6:$E$1712,'CEMIUP0.9 Raw'!$B$6:$B$1712,$J297,'CEMIUP0.9 Raw'!$H$6:$H$1712,"Y")</f>
        <v>3584.548</v>
      </c>
      <c r="F297" s="19" t="n">
        <f aca="false">SUMIFS('SALES Raw'!$E$6:$E$4467,'SALES Raw'!$J$6:$J$4467,$J297,'SALES Raw'!$K$6:$K$4467,"Y")*$H$4+SUMIFS('CEMIUP0.9 Raw'!$F$6:$F$1712,'CEMIUP0.9 Raw'!$B$6:$B$1712,$J297,'CEMIUP0.9 Raw'!$H$6:$H$1712,"Y")</f>
        <v>58.1052631578947</v>
      </c>
      <c r="G297" s="19" t="n">
        <f aca="false">SUMIFS('SALES Raw'!$F$6:$F$4467,'SALES Raw'!$J$6:$J$4467,$J297,'SALES Raw'!$K$6:$K$4467,"Y")*$H$4+SUMIFS('CEMIUP0.9 Raw'!$G$6:$G$1712,'CEMIUP0.9 Raw'!$B$6:$B$1712,$J297,'CEMIUP0.9 Raw'!$H$6:$H$1712,"Y")</f>
        <v>3889.28463157894</v>
      </c>
      <c r="H297" s="18" t="s">
        <v>43</v>
      </c>
      <c r="I297" s="18" t="s">
        <v>44</v>
      </c>
      <c r="J297" s="18" t="n">
        <v>4415075</v>
      </c>
    </row>
    <row r="298" customFormat="false" ht="15" hidden="false" customHeight="false" outlineLevel="0" collapsed="false">
      <c r="A298" s="18" t="n">
        <f aca="false">IF(ISNUMBER($J298),$J298,"")</f>
        <v>4408152</v>
      </c>
      <c r="B298" s="18" t="str">
        <f aca="false">IFERROR(INDEX('SALES Raw'!$B$6:$B$4467,MATCH($J298,'SALES Raw'!$J$6:$J$4467,0)),IFERROR(INDEX('CEMIUP0.9 Raw'!$B$6:$B$1712,MATCH($J298,'CEMIUP0.9 Raw'!$B$6:$B$1712,0)),$J298))</f>
        <v>11TO L</v>
      </c>
      <c r="C298" s="18" t="str">
        <f aca="false">IF(ISNUMBER($J298),IFERROR(INDEX('TRANS'!$C:$C,MATCH($J298,'TRANS'!$B:$B,0)),IFERROR(INDEX('Catalog'!$B:$B,MATCH($J298,'Catalog'!$A:$A,0)),$B298)),$B298)</f>
        <v>11TO L חגורה למנותחי בית החזה</v>
      </c>
      <c r="D298" s="19" t="n">
        <f aca="false">SUMIFS('SALES Raw'!$C$6:$C$4467,'SALES Raw'!$J$6:$J$4467,$J298,'SALES Raw'!$K$6:$K$4467,"Y")+SUMIFS('CEMIUP0.9 Raw'!$D$6:$D$1712,'CEMIUP0.9 Raw'!$B$6:$B$1712,$J298,'CEMIUP0.9 Raw'!$H$6:$H$1712,"Y")</f>
        <v>44</v>
      </c>
      <c r="E298" s="19" t="n">
        <f aca="false">SUMIFS('SALES Raw'!$D$6:$D$4467,'SALES Raw'!$J$6:$J$4467,$J298,'SALES Raw'!$K$6:$K$4467,"Y")+SUMIFS('CEMIUP0.9 Raw'!$E$6:$E$1712,'CEMIUP0.9 Raw'!$B$6:$B$1712,$J298,'CEMIUP0.9 Raw'!$H$6:$H$1712,"Y")</f>
        <v>5937.599</v>
      </c>
      <c r="F298" s="19" t="n">
        <f aca="false">SUMIFS('SALES Raw'!$E$6:$E$4467,'SALES Raw'!$J$6:$J$4467,$J298,'SALES Raw'!$K$6:$K$4467,"Y")*$H$4+SUMIFS('CEMIUP0.9 Raw'!$F$6:$F$1712,'CEMIUP0.9 Raw'!$B$6:$B$1712,$J298,'CEMIUP0.9 Raw'!$H$6:$H$1712,"Y")</f>
        <v>56.8421052631579</v>
      </c>
      <c r="G298" s="19" t="n">
        <f aca="false">SUMIFS('SALES Raw'!$F$6:$F$4467,'SALES Raw'!$J$6:$J$4467,$J298,'SALES Raw'!$K$6:$K$4467,"Y")*$H$4+SUMIFS('CEMIUP0.9 Raw'!$G$6:$G$1712,'CEMIUP0.9 Raw'!$B$6:$B$1712,$J298,'CEMIUP0.9 Raw'!$H$6:$H$1712,"Y")</f>
        <v>8237.88884210526</v>
      </c>
      <c r="H298" s="18" t="s">
        <v>48</v>
      </c>
      <c r="I298" s="18" t="s">
        <v>44</v>
      </c>
      <c r="J298" s="18" t="n">
        <v>4408152</v>
      </c>
    </row>
    <row r="299" customFormat="false" ht="15" hidden="false" customHeight="false" outlineLevel="0" collapsed="false">
      <c r="A299" s="18" t="n">
        <f aca="false">IF(ISNUMBER($J299),$J299,"")</f>
        <v>4413394</v>
      </c>
      <c r="B299" s="18" t="str">
        <f aca="false">IFERROR(INDEX('SALES Raw'!$B$6:$B$4467,MATCH($J299,'SALES Raw'!$J$6:$J$4467,0)),IFERROR(INDEX('CEMIUP0.9 Raw'!$B$6:$B$1712,MATCH($J299,'CEMIUP0.9 Raw'!$B$6:$B$1712,0)),$J299))</f>
        <v>45EC S</v>
      </c>
      <c r="C299" s="18" t="str">
        <f aca="false">IF(ISNUMBER($J299),IFERROR(INDEX('TRANS'!$C:$C,MATCH($J299,'TRANS'!$B:$B,0)),IFERROR(INDEX('Catalog'!$B:$B,MATCH($J299,'Catalog'!$A:$A,0)),$B299)),$B299)</f>
        <v>45EC S 'מגן ברך ארוך בז</v>
      </c>
      <c r="D299" s="19" t="n">
        <f aca="false">SUMIFS('SALES Raw'!$C$6:$C$4467,'SALES Raw'!$J$6:$J$4467,$J299,'SALES Raw'!$K$6:$K$4467,"Y")+SUMIFS('CEMIUP0.9 Raw'!$D$6:$D$1712,'CEMIUP0.9 Raw'!$B$6:$B$1712,$J299,'CEMIUP0.9 Raw'!$H$6:$H$1712,"Y")</f>
        <v>43</v>
      </c>
      <c r="E299" s="19" t="n">
        <f aca="false">SUMIFS('SALES Raw'!$D$6:$D$4467,'SALES Raw'!$J$6:$J$4467,$J299,'SALES Raw'!$K$6:$K$4467,"Y")+SUMIFS('CEMIUP0.9 Raw'!$E$6:$E$1712,'CEMIUP0.9 Raw'!$B$6:$B$1712,$J299,'CEMIUP0.9 Raw'!$H$6:$H$1712,"Y")</f>
        <v>1503.919</v>
      </c>
      <c r="F299" s="19" t="n">
        <f aca="false">SUMIFS('SALES Raw'!$E$6:$E$4467,'SALES Raw'!$J$6:$J$4467,$J299,'SALES Raw'!$K$6:$K$4467,"Y")*$H$4+SUMIFS('CEMIUP0.9 Raw'!$F$6:$F$1712,'CEMIUP0.9 Raw'!$B$6:$B$1712,$J299,'CEMIUP0.9 Raw'!$H$6:$H$1712,"Y")</f>
        <v>55.578947368421</v>
      </c>
      <c r="G299" s="19" t="n">
        <f aca="false">SUMIFS('SALES Raw'!$F$6:$F$4467,'SALES Raw'!$J$6:$J$4467,$J299,'SALES Raw'!$K$6:$K$4467,"Y")*$H$4+SUMIFS('CEMIUP0.9 Raw'!$G$6:$G$1712,'CEMIUP0.9 Raw'!$B$6:$B$1712,$J299,'CEMIUP0.9 Raw'!$H$6:$H$1712,"Y")</f>
        <v>1886.42526315789</v>
      </c>
      <c r="H299" s="18" t="s">
        <v>43</v>
      </c>
      <c r="I299" s="18" t="s">
        <v>42</v>
      </c>
      <c r="J299" s="18" t="n">
        <v>4413394</v>
      </c>
    </row>
    <row r="300" customFormat="false" ht="15" hidden="false" customHeight="false" outlineLevel="0" collapsed="false">
      <c r="A300" s="18" t="n">
        <f aca="false">IF(ISNUMBER($J300),$J300,"")</f>
        <v>4408077</v>
      </c>
      <c r="B300" s="18" t="str">
        <f aca="false">IFERROR(INDEX('SALES Raw'!$B$6:$B$4467,MATCH($J300,'SALES Raw'!$J$6:$J$4467,0)),IFERROR(INDEX('CEMIUP0.9 Raw'!$B$6:$B$1712,MATCH($J300,'CEMIUP0.9 Raw'!$B$6:$B$1712,0)),$J300))</f>
        <v>59L M</v>
      </c>
      <c r="C300" s="18" t="str">
        <f aca="false">IF(ISNUMBER($J300),IFERROR(INDEX('TRANS'!$C:$C,MATCH($J300,'TRANS'!$B:$B,0)),IFERROR(INDEX('Catalog'!$B:$B,MATCH($J300,'Catalog'!$A:$A,0)),$B300)),$B300)</f>
        <v>59L M חגורת שבר לצד שמאל</v>
      </c>
      <c r="D300" s="19" t="n">
        <f aca="false">SUMIFS('SALES Raw'!$C$6:$C$4467,'SALES Raw'!$J$6:$J$4467,$J300,'SALES Raw'!$K$6:$K$4467,"Y")+SUMIFS('CEMIUP0.9 Raw'!$D$6:$D$1712,'CEMIUP0.9 Raw'!$B$6:$B$1712,$J300,'CEMIUP0.9 Raw'!$H$6:$H$1712,"Y")</f>
        <v>74</v>
      </c>
      <c r="E300" s="19" t="n">
        <f aca="false">SUMIFS('SALES Raw'!$D$6:$D$4467,'SALES Raw'!$J$6:$J$4467,$J300,'SALES Raw'!$K$6:$K$4467,"Y")+SUMIFS('CEMIUP0.9 Raw'!$E$6:$E$1712,'CEMIUP0.9 Raw'!$B$6:$B$1712,$J300,'CEMIUP0.9 Raw'!$H$6:$H$1712,"Y")</f>
        <v>13533.928</v>
      </c>
      <c r="F300" s="19" t="n">
        <f aca="false">SUMIFS('SALES Raw'!$E$6:$E$4467,'SALES Raw'!$J$6:$J$4467,$J300,'SALES Raw'!$K$6:$K$4467,"Y")*$H$4+SUMIFS('CEMIUP0.9 Raw'!$F$6:$F$1712,'CEMIUP0.9 Raw'!$B$6:$B$1712,$J300,'CEMIUP0.9 Raw'!$H$6:$H$1712,"Y")</f>
        <v>55.578947368421</v>
      </c>
      <c r="G300" s="19" t="n">
        <f aca="false">SUMIFS('SALES Raw'!$F$6:$F$4467,'SALES Raw'!$J$6:$J$4467,$J300,'SALES Raw'!$K$6:$K$4467,"Y")*$H$4+SUMIFS('CEMIUP0.9 Raw'!$G$6:$G$1712,'CEMIUP0.9 Raw'!$B$6:$B$1712,$J300,'CEMIUP0.9 Raw'!$H$6:$H$1712,"Y")</f>
        <v>9860.98736842105</v>
      </c>
      <c r="H300" s="18" t="s">
        <v>44</v>
      </c>
      <c r="I300" s="18" t="s">
        <v>43</v>
      </c>
      <c r="J300" s="18" t="n">
        <v>4408077</v>
      </c>
    </row>
    <row r="301" customFormat="false" ht="15" hidden="false" customHeight="false" outlineLevel="0" collapsed="false">
      <c r="A301" s="18" t="n">
        <f aca="false">IF(ISNUMBER($J301),$J301,"")</f>
        <v>4408132</v>
      </c>
      <c r="B301" s="18" t="str">
        <f aca="false">IFERROR(INDEX('SALES Raw'!$B$6:$B$4467,MATCH($J301,'SALES Raw'!$J$6:$J$4467,0)),IFERROR(INDEX('CEMIUP0.9 Raw'!$B$6:$B$1712,MATCH($J301,'CEMIUP0.9 Raw'!$B$6:$B$1712,0)),$J301))</f>
        <v>11EU XXL</v>
      </c>
      <c r="C301" s="18" t="str">
        <f aca="false">IF(ISNUMBER($J301),IFERROR(INDEX('TRANS'!$C:$C,MATCH($J301,'TRANS'!$B:$B,0)),IFERROR(INDEX('Catalog'!$B:$B,MATCH($J301,'Catalog'!$A:$A,0)),$B301)),$B301)</f>
        <v>11EU XXL חגורת בטןלאחר ניתוח</v>
      </c>
      <c r="D301" s="19" t="n">
        <f aca="false">SUMIFS('SALES Raw'!$C$6:$C$4467,'SALES Raw'!$J$6:$J$4467,$J301,'SALES Raw'!$K$6:$K$4467,"Y")+SUMIFS('CEMIUP0.9 Raw'!$D$6:$D$1712,'CEMIUP0.9 Raw'!$B$6:$B$1712,$J301,'CEMIUP0.9 Raw'!$H$6:$H$1712,"Y")</f>
        <v>76</v>
      </c>
      <c r="E301" s="19" t="n">
        <f aca="false">SUMIFS('SALES Raw'!$D$6:$D$4467,'SALES Raw'!$J$6:$J$4467,$J301,'SALES Raw'!$K$6:$K$4467,"Y")+SUMIFS('CEMIUP0.9 Raw'!$E$6:$E$1712,'CEMIUP0.9 Raw'!$B$6:$B$1712,$J301,'CEMIUP0.9 Raw'!$H$6:$H$1712,"Y")</f>
        <v>7890.965</v>
      </c>
      <c r="F301" s="19" t="n">
        <f aca="false">SUMIFS('SALES Raw'!$E$6:$E$4467,'SALES Raw'!$J$6:$J$4467,$J301,'SALES Raw'!$K$6:$K$4467,"Y")*$H$4+SUMIFS('CEMIUP0.9 Raw'!$F$6:$F$1712,'CEMIUP0.9 Raw'!$B$6:$B$1712,$J301,'CEMIUP0.9 Raw'!$H$6:$H$1712,"Y")</f>
        <v>54.3157894736842</v>
      </c>
      <c r="G301" s="19" t="n">
        <f aca="false">SUMIFS('SALES Raw'!$F$6:$F$4467,'SALES Raw'!$J$6:$J$4467,$J301,'SALES Raw'!$K$6:$K$4467,"Y")*$H$4+SUMIFS('CEMIUP0.9 Raw'!$G$6:$G$1712,'CEMIUP0.9 Raw'!$B$6:$B$1712,$J301,'CEMIUP0.9 Raw'!$H$6:$H$1712,"Y")</f>
        <v>5600.41010526316</v>
      </c>
      <c r="H301" s="18" t="s">
        <v>43</v>
      </c>
      <c r="I301" s="18" t="s">
        <v>44</v>
      </c>
      <c r="J301" s="18" t="n">
        <v>4408132</v>
      </c>
    </row>
    <row r="302" customFormat="false" ht="15" hidden="false" customHeight="false" outlineLevel="0" collapsed="false">
      <c r="A302" s="18" t="str">
        <f aca="false">IF(ISNUMBER($J302),$J302,"")</f>
        <v/>
      </c>
      <c r="B302" s="18" t="str">
        <f aca="false">IFERROR(INDEX('SALES Raw'!$B$6:$B$4467,MATCH($J302,'SALES Raw'!$J$6:$J$4467,0)),IFERROR(INDEX('CEMIUP0.9 Raw'!$B$6:$B$1712,MATCH($J302,'CEMIUP0.9 Raw'!$B$6:$B$1712,0)),$J302))</f>
        <v>312 9 מ""ס להתאמהX5 מדבקה גדולה</v>
      </c>
      <c r="C302" s="18" t="str">
        <f aca="false">IF(ISNUMBER($J302),IFERROR(INDEX('TRANS'!$C:$C,MATCH($J302,'TRANS'!$B:$B,0)),IFERROR(INDEX('Catalog'!$B:$B,MATCH($J302,'Catalog'!$A:$A,0)),$B302)),$B302)</f>
        <v>312 9 מ""ס להתאמהX5 מדבקה גדולה</v>
      </c>
      <c r="D302" s="19" t="n">
        <f aca="false">SUMIFS('SALES Raw'!$C$6:$C$4467,'SALES Raw'!$J$6:$J$4467,$J302,'SALES Raw'!$K$6:$K$4467,"Y")+SUMIFS('CEMIUP0.9 Raw'!$D$6:$D$1712,'CEMIUP0.9 Raw'!$B$6:$B$1712,$J302,'CEMIUP0.9 Raw'!$H$6:$H$1712,"Y")</f>
        <v>0</v>
      </c>
      <c r="E302" s="19" t="n">
        <f aca="false">SUMIFS('SALES Raw'!$D$6:$D$4467,'SALES Raw'!$J$6:$J$4467,$J302,'SALES Raw'!$K$6:$K$4467,"Y")+SUMIFS('CEMIUP0.9 Raw'!$E$6:$E$1712,'CEMIUP0.9 Raw'!$B$6:$B$1712,$J302,'CEMIUP0.9 Raw'!$H$6:$H$1712,"Y")</f>
        <v>0</v>
      </c>
      <c r="F302" s="19" t="n">
        <f aca="false">SUMIFS('SALES Raw'!$E$6:$E$4467,'SALES Raw'!$J$6:$J$4467,$J302,'SALES Raw'!$K$6:$K$4467,"Y")*$H$4+SUMIFS('CEMIUP0.9 Raw'!$F$6:$F$1712,'CEMIUP0.9 Raw'!$B$6:$B$1712,$J302,'CEMIUP0.9 Raw'!$H$6:$H$1712,"Y")</f>
        <v>54.3157894736842</v>
      </c>
      <c r="G302" s="19" t="n">
        <f aca="false">SUMIFS('SALES Raw'!$F$6:$F$4467,'SALES Raw'!$J$6:$J$4467,$J302,'SALES Raw'!$K$6:$K$4467,"Y")*$H$4+SUMIFS('CEMIUP0.9 Raw'!$G$6:$G$1712,'CEMIUP0.9 Raw'!$B$6:$B$1712,$J302,'CEMIUP0.9 Raw'!$H$6:$H$1712,"Y")</f>
        <v>640.141894736842</v>
      </c>
      <c r="H302" s="18" t="s">
        <v>48</v>
      </c>
      <c r="I302" s="18"/>
      <c r="J302" s="18" t="s">
        <v>67</v>
      </c>
    </row>
    <row r="303" customFormat="false" ht="15" hidden="false" customHeight="false" outlineLevel="0" collapsed="false">
      <c r="A303" s="18" t="n">
        <f aca="false">IF(ISNUMBER($J303),$J303,"")</f>
        <v>4413438</v>
      </c>
      <c r="B303" s="18" t="str">
        <f aca="false">IFERROR(INDEX('SALES Raw'!$B$6:$B$4467,MATCH($J303,'SALES Raw'!$J$6:$J$4467,0)),IFERROR(INDEX('CEMIUP0.9 Raw'!$B$6:$B$1712,MATCH($J303,'CEMIUP0.9 Raw'!$B$6:$B$1712,0)),$J303))</f>
        <v>SC422 S</v>
      </c>
      <c r="C303" s="18" t="str">
        <f aca="false">IF(ISNUMBER($J303),IFERROR(INDEX('TRANS'!$C:$C,MATCH($J303,'TRANS'!$B:$B,0)),IFERROR(INDEX('Catalog'!$B:$B,MATCH($J303,'Catalog'!$A:$A,0)),$B303)),$B303)</f>
        <v>SC422  S מגן ברך</v>
      </c>
      <c r="D303" s="19" t="n">
        <f aca="false">SUMIFS('SALES Raw'!$C$6:$C$4467,'SALES Raw'!$J$6:$J$4467,$J303,'SALES Raw'!$K$6:$K$4467,"Y")+SUMIFS('CEMIUP0.9 Raw'!$D$6:$D$1712,'CEMIUP0.9 Raw'!$B$6:$B$1712,$J303,'CEMIUP0.9 Raw'!$H$6:$H$1712,"Y")</f>
        <v>49</v>
      </c>
      <c r="E303" s="19" t="n">
        <f aca="false">SUMIFS('SALES Raw'!$D$6:$D$4467,'SALES Raw'!$J$6:$J$4467,$J303,'SALES Raw'!$K$6:$K$4467,"Y")+SUMIFS('CEMIUP0.9 Raw'!$E$6:$E$1712,'CEMIUP0.9 Raw'!$B$6:$B$1712,$J303,'CEMIUP0.9 Raw'!$H$6:$H$1712,"Y")</f>
        <v>8944.265</v>
      </c>
      <c r="F303" s="19" t="n">
        <f aca="false">SUMIFS('SALES Raw'!$E$6:$E$4467,'SALES Raw'!$J$6:$J$4467,$J303,'SALES Raw'!$K$6:$K$4467,"Y")*$H$4+SUMIFS('CEMIUP0.9 Raw'!$F$6:$F$1712,'CEMIUP0.9 Raw'!$B$6:$B$1712,$J303,'CEMIUP0.9 Raw'!$H$6:$H$1712,"Y")</f>
        <v>54.3157894736842</v>
      </c>
      <c r="G303" s="19" t="n">
        <f aca="false">SUMIFS('SALES Raw'!$F$6:$F$4467,'SALES Raw'!$J$6:$J$4467,$J303,'SALES Raw'!$K$6:$K$4467,"Y")*$H$4+SUMIFS('CEMIUP0.9 Raw'!$G$6:$G$1712,'CEMIUP0.9 Raw'!$B$6:$B$1712,$J303,'CEMIUP0.9 Raw'!$H$6:$H$1712,"Y")</f>
        <v>10490.8054736842</v>
      </c>
      <c r="H303" s="18" t="s">
        <v>42</v>
      </c>
      <c r="I303" s="18" t="s">
        <v>43</v>
      </c>
      <c r="J303" s="18" t="n">
        <v>4413438</v>
      </c>
    </row>
    <row r="304" customFormat="false" ht="15" hidden="false" customHeight="false" outlineLevel="0" collapsed="false">
      <c r="A304" s="18" t="n">
        <f aca="false">IF(ISNUMBER($J304),$J304,"")</f>
        <v>4422007</v>
      </c>
      <c r="B304" s="18" t="str">
        <f aca="false">IFERROR(INDEX('SALES Raw'!$B$6:$B$4467,MATCH($J304,'SALES Raw'!$J$6:$J$4467,0)),IFERROR(INDEX('CEMIUP0.9 Raw'!$B$6:$B$1712,MATCH($J304,'CEMIUP0.9 Raw'!$B$6:$B$1712,0)),$J304))</f>
        <v>T78 XL</v>
      </c>
      <c r="C304" s="18" t="str">
        <f aca="false">IF(ISNUMBER($J304),IFERROR(INDEX('TRANS'!$C:$C,MATCH($J304,'TRANS'!$B:$B,0)),IFERROR(INDEX('Catalog'!$B:$B,MATCH($J304,'Catalog'!$A:$A,0)),$B304)),$B304)</f>
        <v>T78 XLתומך זרוע וכתף</v>
      </c>
      <c r="D304" s="19" t="n">
        <f aca="false">SUMIFS('SALES Raw'!$C$6:$C$4467,'SALES Raw'!$J$6:$J$4467,$J304,'SALES Raw'!$K$6:$K$4467,"Y")+SUMIFS('CEMIUP0.9 Raw'!$D$6:$D$1712,'CEMIUP0.9 Raw'!$B$6:$B$1712,$J304,'CEMIUP0.9 Raw'!$H$6:$H$1712,"Y")</f>
        <v>74</v>
      </c>
      <c r="E304" s="19" t="n">
        <f aca="false">SUMIFS('SALES Raw'!$D$6:$D$4467,'SALES Raw'!$J$6:$J$4467,$J304,'SALES Raw'!$K$6:$K$4467,"Y")+SUMIFS('CEMIUP0.9 Raw'!$E$6:$E$1712,'CEMIUP0.9 Raw'!$B$6:$B$1712,$J304,'CEMIUP0.9 Raw'!$H$6:$H$1712,"Y")</f>
        <v>11235.167</v>
      </c>
      <c r="F304" s="19" t="n">
        <f aca="false">SUMIFS('SALES Raw'!$E$6:$E$4467,'SALES Raw'!$J$6:$J$4467,$J304,'SALES Raw'!$K$6:$K$4467,"Y")*$H$4+SUMIFS('CEMIUP0.9 Raw'!$F$6:$F$1712,'CEMIUP0.9 Raw'!$B$6:$B$1712,$J304,'CEMIUP0.9 Raw'!$H$6:$H$1712,"Y")</f>
        <v>54.3157894736842</v>
      </c>
      <c r="G304" s="19" t="n">
        <f aca="false">SUMIFS('SALES Raw'!$F$6:$F$4467,'SALES Raw'!$J$6:$J$4467,$J304,'SALES Raw'!$K$6:$K$4467,"Y")*$H$4+SUMIFS('CEMIUP0.9 Raw'!$G$6:$G$1712,'CEMIUP0.9 Raw'!$B$6:$B$1712,$J304,'CEMIUP0.9 Raw'!$H$6:$H$1712,"Y")</f>
        <v>8662.23915789473</v>
      </c>
      <c r="H304" s="18" t="s">
        <v>43</v>
      </c>
      <c r="I304" s="18" t="s">
        <v>44</v>
      </c>
      <c r="J304" s="18" t="n">
        <v>4422007</v>
      </c>
    </row>
    <row r="305" customFormat="false" ht="15" hidden="false" customHeight="false" outlineLevel="0" collapsed="false">
      <c r="A305" s="18" t="n">
        <f aca="false">IF(ISNUMBER($J305),$J305,"")</f>
        <v>4415002</v>
      </c>
      <c r="B305" s="18" t="str">
        <f aca="false">IFERROR(INDEX('SALES Raw'!$B$6:$B$4467,MATCH($J305,'SALES Raw'!$J$6:$J$4467,0)),IFERROR(INDEX('CEMIUP0.9 Raw'!$B$6:$B$1712,MATCH($J305,'CEMIUP0.9 Raw'!$B$6:$B$1712,0)),$J305))</f>
        <v>26 S</v>
      </c>
      <c r="C305" s="18" t="str">
        <f aca="false">IF(ISNUMBER($J305),IFERROR(INDEX('TRANS'!$C:$C,MATCH($J305,'TRANS'!$B:$B,0)),IFERROR(INDEX('Catalog'!$B:$B,MATCH($J305,'Catalog'!$A:$A,0)),$B305)),$B305)</f>
        <v>26 S סד ליד דו צדדי לאחר שבר</v>
      </c>
      <c r="D305" s="19" t="n">
        <f aca="false">SUMIFS('SALES Raw'!$C$6:$C$4467,'SALES Raw'!$J$6:$J$4467,$J305,'SALES Raw'!$K$6:$K$4467,"Y")+SUMIFS('CEMIUP0.9 Raw'!$D$6:$D$1712,'CEMIUP0.9 Raw'!$B$6:$B$1712,$J305,'CEMIUP0.9 Raw'!$H$6:$H$1712,"Y")</f>
        <v>70</v>
      </c>
      <c r="E305" s="19" t="n">
        <f aca="false">SUMIFS('SALES Raw'!$D$6:$D$4467,'SALES Raw'!$J$6:$J$4467,$J305,'SALES Raw'!$K$6:$K$4467,"Y")+SUMIFS('CEMIUP0.9 Raw'!$E$6:$E$1712,'CEMIUP0.9 Raw'!$B$6:$B$1712,$J305,'CEMIUP0.9 Raw'!$H$6:$H$1712,"Y")</f>
        <v>6935.627</v>
      </c>
      <c r="F305" s="19" t="n">
        <f aca="false">SUMIFS('SALES Raw'!$E$6:$E$4467,'SALES Raw'!$J$6:$J$4467,$J305,'SALES Raw'!$K$6:$K$4467,"Y")*$H$4+SUMIFS('CEMIUP0.9 Raw'!$F$6:$F$1712,'CEMIUP0.9 Raw'!$B$6:$B$1712,$J305,'CEMIUP0.9 Raw'!$H$6:$H$1712,"Y")</f>
        <v>53.0526315789474</v>
      </c>
      <c r="G305" s="19" t="n">
        <f aca="false">SUMIFS('SALES Raw'!$F$6:$F$4467,'SALES Raw'!$J$6:$J$4467,$J305,'SALES Raw'!$K$6:$K$4467,"Y")*$H$4+SUMIFS('CEMIUP0.9 Raw'!$G$6:$G$1712,'CEMIUP0.9 Raw'!$B$6:$B$1712,$J305,'CEMIUP0.9 Raw'!$H$6:$H$1712,"Y")</f>
        <v>5368.81768421052</v>
      </c>
      <c r="H305" s="18" t="s">
        <v>43</v>
      </c>
      <c r="I305" s="18" t="s">
        <v>44</v>
      </c>
      <c r="J305" s="18" t="n">
        <v>4415002</v>
      </c>
    </row>
    <row r="306" customFormat="false" ht="15" hidden="false" customHeight="false" outlineLevel="0" collapsed="false">
      <c r="A306" s="18" t="n">
        <f aca="false">IF(ISNUMBER($J306),$J306,"")</f>
        <v>4408263</v>
      </c>
      <c r="B306" s="18" t="str">
        <f aca="false">IFERROR(INDEX('SALES Raw'!$B$6:$B$4467,MATCH($J306,'SALES Raw'!$J$6:$J$4467,0)),IFERROR(INDEX('CEMIUP0.9 Raw'!$B$6:$B$1712,MATCH($J306,'CEMIUP0.9 Raw'!$B$6:$B$1712,0)),$J306))</f>
        <v>11STO XXL</v>
      </c>
      <c r="C306" s="18" t="str">
        <f aca="false">IF(ISNUMBER($J306),IFERROR(INDEX('TRANS'!$C:$C,MATCH($J306,'TRANS'!$B:$B,0)),IFERROR(INDEX('Catalog'!$B:$B,MATCH($J306,'Catalog'!$A:$A,0)),$B306)),$B306)</f>
        <v>11STO XXL חגורה אחרי ניתוח</v>
      </c>
      <c r="D306" s="19" t="n">
        <f aca="false">SUMIFS('SALES Raw'!$C$6:$C$4467,'SALES Raw'!$J$6:$J$4467,$J306,'SALES Raw'!$K$6:$K$4467,"Y")+SUMIFS('CEMIUP0.9 Raw'!$D$6:$D$1712,'CEMIUP0.9 Raw'!$B$6:$B$1712,$J306,'CEMIUP0.9 Raw'!$H$6:$H$1712,"Y")</f>
        <v>88</v>
      </c>
      <c r="E306" s="19" t="n">
        <f aca="false">SUMIFS('SALES Raw'!$D$6:$D$4467,'SALES Raw'!$J$6:$J$4467,$J306,'SALES Raw'!$K$6:$K$4467,"Y")+SUMIFS('CEMIUP0.9 Raw'!$E$6:$E$1712,'CEMIUP0.9 Raw'!$B$6:$B$1712,$J306,'CEMIUP0.9 Raw'!$H$6:$H$1712,"Y")</f>
        <v>12244.86</v>
      </c>
      <c r="F306" s="19" t="n">
        <f aca="false">SUMIFS('SALES Raw'!$E$6:$E$4467,'SALES Raw'!$J$6:$J$4467,$J306,'SALES Raw'!$K$6:$K$4467,"Y")*$H$4+SUMIFS('CEMIUP0.9 Raw'!$F$6:$F$1712,'CEMIUP0.9 Raw'!$B$6:$B$1712,$J306,'CEMIUP0.9 Raw'!$H$6:$H$1712,"Y")</f>
        <v>53.0526315789474</v>
      </c>
      <c r="G306" s="19" t="n">
        <f aca="false">SUMIFS('SALES Raw'!$F$6:$F$4467,'SALES Raw'!$J$6:$J$4467,$J306,'SALES Raw'!$K$6:$K$4467,"Y")*$H$4+SUMIFS('CEMIUP0.9 Raw'!$G$6:$G$1712,'CEMIUP0.9 Raw'!$B$6:$B$1712,$J306,'CEMIUP0.9 Raw'!$H$6:$H$1712,"Y")</f>
        <v>7661.95705263158</v>
      </c>
      <c r="H306" s="18" t="s">
        <v>44</v>
      </c>
      <c r="I306" s="18" t="s">
        <v>42</v>
      </c>
      <c r="J306" s="18" t="n">
        <v>4408263</v>
      </c>
    </row>
    <row r="307" customFormat="false" ht="15" hidden="false" customHeight="false" outlineLevel="0" collapsed="false">
      <c r="A307" s="18" t="n">
        <f aca="false">IF(ISNUMBER($J307),$J307,"")</f>
        <v>4408275</v>
      </c>
      <c r="B307" s="18" t="str">
        <f aca="false">IFERROR(INDEX('SALES Raw'!$B$6:$B$4467,MATCH($J307,'SALES Raw'!$J$6:$J$4467,0)),IFERROR(INDEX('CEMIUP0.9 Raw'!$B$6:$B$1712,MATCH($J307,'CEMIUP0.9 Raw'!$B$6:$B$1712,0)),$J307))</f>
        <v>202 0</v>
      </c>
      <c r="C307" s="18" t="str">
        <f aca="false">IF(ISNUMBER($J307),IFERROR(INDEX('TRANS'!$C:$C,MATCH($J307,'TRANS'!$B:$B,0)),IFERROR(INDEX('Catalog'!$B:$B,MATCH($J307,'Catalog'!$A:$A,0)),$B307)),$B307)</f>
        <v>202  ONE SIZE חבק יד</v>
      </c>
      <c r="D307" s="19" t="n">
        <f aca="false">SUMIFS('SALES Raw'!$C$6:$C$4467,'SALES Raw'!$J$6:$J$4467,$J307,'SALES Raw'!$K$6:$K$4467,"Y")+SUMIFS('CEMIUP0.9 Raw'!$D$6:$D$1712,'CEMIUP0.9 Raw'!$B$6:$B$1712,$J307,'CEMIUP0.9 Raw'!$H$6:$H$1712,"Y")</f>
        <v>0</v>
      </c>
      <c r="E307" s="19" t="n">
        <f aca="false">SUMIFS('SALES Raw'!$D$6:$D$4467,'SALES Raw'!$J$6:$J$4467,$J307,'SALES Raw'!$K$6:$K$4467,"Y")+SUMIFS('CEMIUP0.9 Raw'!$E$6:$E$1712,'CEMIUP0.9 Raw'!$B$6:$B$1712,$J307,'CEMIUP0.9 Raw'!$H$6:$H$1712,"Y")</f>
        <v>0</v>
      </c>
      <c r="F307" s="19" t="n">
        <f aca="false">SUMIFS('SALES Raw'!$E$6:$E$4467,'SALES Raw'!$J$6:$J$4467,$J307,'SALES Raw'!$K$6:$K$4467,"Y")*$H$4+SUMIFS('CEMIUP0.9 Raw'!$F$6:$F$1712,'CEMIUP0.9 Raw'!$B$6:$B$1712,$J307,'CEMIUP0.9 Raw'!$H$6:$H$1712,"Y")</f>
        <v>53.0526315789473</v>
      </c>
      <c r="G307" s="19" t="n">
        <f aca="false">SUMIFS('SALES Raw'!$F$6:$F$4467,'SALES Raw'!$J$6:$J$4467,$J307,'SALES Raw'!$K$6:$K$4467,"Y")*$H$4+SUMIFS('CEMIUP0.9 Raw'!$G$6:$G$1712,'CEMIUP0.9 Raw'!$B$6:$B$1712,$J307,'CEMIUP0.9 Raw'!$H$6:$H$1712,"Y")</f>
        <v>2365.45010526316</v>
      </c>
      <c r="H307" s="18" t="s">
        <v>43</v>
      </c>
      <c r="I307" s="18" t="s">
        <v>53</v>
      </c>
      <c r="J307" s="18" t="n">
        <v>4408275</v>
      </c>
    </row>
    <row r="308" customFormat="false" ht="15" hidden="false" customHeight="false" outlineLevel="0" collapsed="false">
      <c r="A308" s="18" t="n">
        <f aca="false">IF(ISNUMBER($J308),$J308,"")</f>
        <v>4411017</v>
      </c>
      <c r="B308" s="18" t="str">
        <f aca="false">IFERROR(INDEX('SALES Raw'!$B$6:$B$4467,MATCH($J308,'SALES Raw'!$J$6:$J$4467,0)),IFERROR(INDEX('CEMIUP0.9 Raw'!$B$6:$B$1712,MATCH($J308,'CEMIUP0.9 Raw'!$B$6:$B$1712,0)),$J308))</f>
        <v>211 L</v>
      </c>
      <c r="C308" s="18" t="str">
        <f aca="false">IF(ISNUMBER($J308),IFERROR(INDEX('TRANS'!$C:$C,MATCH($J308,'TRANS'!$B:$B,0)),IFERROR(INDEX('Catalog'!$B:$B,MATCH($J308,'Catalog'!$A:$A,0)),$B308)),$B308)</f>
        <v>211L כפפות לחץ</v>
      </c>
      <c r="D308" s="19" t="n">
        <f aca="false">SUMIFS('SALES Raw'!$C$6:$C$4467,'SALES Raw'!$J$6:$J$4467,$J308,'SALES Raw'!$K$6:$K$4467,"Y")+SUMIFS('CEMIUP0.9 Raw'!$D$6:$D$1712,'CEMIUP0.9 Raw'!$B$6:$B$1712,$J308,'CEMIUP0.9 Raw'!$H$6:$H$1712,"Y")</f>
        <v>46</v>
      </c>
      <c r="E308" s="19" t="n">
        <f aca="false">SUMIFS('SALES Raw'!$D$6:$D$4467,'SALES Raw'!$J$6:$J$4467,$J308,'SALES Raw'!$K$6:$K$4467,"Y")+SUMIFS('CEMIUP0.9 Raw'!$E$6:$E$1712,'CEMIUP0.9 Raw'!$B$6:$B$1712,$J308,'CEMIUP0.9 Raw'!$H$6:$H$1712,"Y")</f>
        <v>1826.973</v>
      </c>
      <c r="F308" s="19" t="n">
        <f aca="false">SUMIFS('SALES Raw'!$E$6:$E$4467,'SALES Raw'!$J$6:$J$4467,$J308,'SALES Raw'!$K$6:$K$4467,"Y")*$H$4+SUMIFS('CEMIUP0.9 Raw'!$F$6:$F$1712,'CEMIUP0.9 Raw'!$B$6:$B$1712,$J308,'CEMIUP0.9 Raw'!$H$6:$H$1712,"Y")</f>
        <v>51.7894736842106</v>
      </c>
      <c r="G308" s="19" t="n">
        <f aca="false">SUMIFS('SALES Raw'!$F$6:$F$4467,'SALES Raw'!$J$6:$J$4467,$J308,'SALES Raw'!$K$6:$K$4467,"Y")*$H$4+SUMIFS('CEMIUP0.9 Raw'!$G$6:$G$1712,'CEMIUP0.9 Raw'!$B$6:$B$1712,$J308,'CEMIUP0.9 Raw'!$H$6:$H$1712,"Y")</f>
        <v>2500.34526315789</v>
      </c>
      <c r="H308" s="18" t="s">
        <v>42</v>
      </c>
      <c r="I308" s="18" t="s">
        <v>43</v>
      </c>
      <c r="J308" s="18" t="n">
        <v>4411017</v>
      </c>
    </row>
    <row r="309" customFormat="false" ht="15" hidden="false" customHeight="false" outlineLevel="0" collapsed="false">
      <c r="A309" s="18" t="n">
        <f aca="false">IF(ISNUMBER($J309),$J309,"")</f>
        <v>4408049</v>
      </c>
      <c r="B309" s="18" t="str">
        <f aca="false">IFERROR(INDEX('SALES Raw'!$B$6:$B$4467,MATCH($J309,'SALES Raw'!$J$6:$J$4467,0)),IFERROR(INDEX('CEMIUP0.9 Raw'!$B$6:$B$1712,MATCH($J309,'CEMIUP0.9 Raw'!$B$6:$B$1712,0)),$J309))</f>
        <v>20 XL</v>
      </c>
      <c r="C309" s="18" t="str">
        <f aca="false">IF(ISNUMBER($J309),IFERROR(INDEX('TRANS'!$C:$C,MATCH($J309,'TRANS'!$B:$B,0)),IFERROR(INDEX('Catalog'!$B:$B,MATCH($J309,'Catalog'!$A:$A,0)),$B309)),$B309)</f>
        <v>20 XL חבק יד מתכוון עם צמדן</v>
      </c>
      <c r="D309" s="19" t="n">
        <f aca="false">SUMIFS('SALES Raw'!$C$6:$C$4467,'SALES Raw'!$J$6:$J$4467,$J309,'SALES Raw'!$K$6:$K$4467,"Y")+SUMIFS('CEMIUP0.9 Raw'!$D$6:$D$1712,'CEMIUP0.9 Raw'!$B$6:$B$1712,$J309,'CEMIUP0.9 Raw'!$H$6:$H$1712,"Y")</f>
        <v>91</v>
      </c>
      <c r="E309" s="19" t="n">
        <f aca="false">SUMIFS('SALES Raw'!$D$6:$D$4467,'SALES Raw'!$J$6:$J$4467,$J309,'SALES Raw'!$K$6:$K$4467,"Y")+SUMIFS('CEMIUP0.9 Raw'!$E$6:$E$1712,'CEMIUP0.9 Raw'!$B$6:$B$1712,$J309,'CEMIUP0.9 Raw'!$H$6:$H$1712,"Y")</f>
        <v>2772.238</v>
      </c>
      <c r="F309" s="19" t="n">
        <f aca="false">SUMIFS('SALES Raw'!$E$6:$E$4467,'SALES Raw'!$J$6:$J$4467,$J309,'SALES Raw'!$K$6:$K$4467,"Y")*$H$4+SUMIFS('CEMIUP0.9 Raw'!$F$6:$F$1712,'CEMIUP0.9 Raw'!$B$6:$B$1712,$J309,'CEMIUP0.9 Raw'!$H$6:$H$1712,"Y")</f>
        <v>51.7894736842106</v>
      </c>
      <c r="G309" s="19" t="n">
        <f aca="false">SUMIFS('SALES Raw'!$F$6:$F$4467,'SALES Raw'!$J$6:$J$4467,$J309,'SALES Raw'!$K$6:$K$4467,"Y")*$H$4+SUMIFS('CEMIUP0.9 Raw'!$G$6:$G$1712,'CEMIUP0.9 Raw'!$B$6:$B$1712,$J309,'CEMIUP0.9 Raw'!$H$6:$H$1712,"Y")</f>
        <v>1569.83115789473</v>
      </c>
      <c r="H309" s="18" t="s">
        <v>43</v>
      </c>
      <c r="I309" s="18" t="s">
        <v>44</v>
      </c>
      <c r="J309" s="18" t="n">
        <v>4408049</v>
      </c>
    </row>
    <row r="310" customFormat="false" ht="15" hidden="false" customHeight="false" outlineLevel="0" collapsed="false">
      <c r="A310" s="18" t="n">
        <f aca="false">IF(ISNUMBER($J310),$J310,"")</f>
        <v>4420027</v>
      </c>
      <c r="B310" s="18" t="str">
        <f aca="false">IFERROR(INDEX('SALES Raw'!$B$6:$B$4467,MATCH($J310,'SALES Raw'!$J$6:$J$4467,0)),IFERROR(INDEX('CEMIUP0.9 Raw'!$B$6:$B$1712,MATCH($J310,'CEMIUP0.9 Raw'!$B$6:$B$1712,0)),$J310))</f>
        <v>370K 0</v>
      </c>
      <c r="C310" s="18" t="str">
        <f aca="false">IF(ISNUMBER($J310),IFERROR(INDEX('TRANS'!$C:$C,MATCH($J310,'TRANS'!$B:$B,0)),IFERROR(INDEX('Catalog'!$B:$B,MATCH($J310,'Catalog'!$A:$A,0)),$B310)),$B310)</f>
        <v>370K 0 רפידת לילדים אנטי ריח</v>
      </c>
      <c r="D310" s="19" t="n">
        <f aca="false">SUMIFS('SALES Raw'!$C$6:$C$4467,'SALES Raw'!$J$6:$J$4467,$J310,'SALES Raw'!$K$6:$K$4467,"Y")+SUMIFS('CEMIUP0.9 Raw'!$D$6:$D$1712,'CEMIUP0.9 Raw'!$B$6:$B$1712,$J310,'CEMIUP0.9 Raw'!$H$6:$H$1712,"Y")</f>
        <v>89</v>
      </c>
      <c r="E310" s="19" t="n">
        <f aca="false">SUMIFS('SALES Raw'!$D$6:$D$4467,'SALES Raw'!$J$6:$J$4467,$J310,'SALES Raw'!$K$6:$K$4467,"Y")+SUMIFS('CEMIUP0.9 Raw'!$E$6:$E$1712,'CEMIUP0.9 Raw'!$B$6:$B$1712,$J310,'CEMIUP0.9 Raw'!$H$6:$H$1712,"Y")</f>
        <v>1163.539</v>
      </c>
      <c r="F310" s="19" t="n">
        <f aca="false">SUMIFS('SALES Raw'!$E$6:$E$4467,'SALES Raw'!$J$6:$J$4467,$J310,'SALES Raw'!$K$6:$K$4467,"Y")*$H$4+SUMIFS('CEMIUP0.9 Raw'!$F$6:$F$1712,'CEMIUP0.9 Raw'!$B$6:$B$1712,$J310,'CEMIUP0.9 Raw'!$H$6:$H$1712,"Y")</f>
        <v>51.7894736842106</v>
      </c>
      <c r="G310" s="19" t="n">
        <f aca="false">SUMIFS('SALES Raw'!$F$6:$F$4467,'SALES Raw'!$J$6:$J$4467,$J310,'SALES Raw'!$K$6:$K$4467,"Y")*$H$4+SUMIFS('CEMIUP0.9 Raw'!$G$6:$G$1712,'CEMIUP0.9 Raw'!$B$6:$B$1712,$J310,'CEMIUP0.9 Raw'!$H$6:$H$1712,"Y")</f>
        <v>763.408421052631</v>
      </c>
      <c r="H310" s="18" t="s">
        <v>42</v>
      </c>
      <c r="I310" s="18" t="s">
        <v>43</v>
      </c>
      <c r="J310" s="18" t="n">
        <v>4420027</v>
      </c>
    </row>
    <row r="311" customFormat="false" ht="15" hidden="false" customHeight="false" outlineLevel="0" collapsed="false">
      <c r="A311" s="18" t="n">
        <f aca="false">IF(ISNUMBER($J311),$J311,"")</f>
        <v>4422037</v>
      </c>
      <c r="B311" s="18" t="str">
        <f aca="false">IFERROR(INDEX('SALES Raw'!$B$6:$B$4467,MATCH($J311,'SALES Raw'!$J$6:$J$4467,0)),IFERROR(INDEX('CEMIUP0.9 Raw'!$B$6:$B$1712,MATCH($J311,'CEMIUP0.9 Raw'!$B$6:$B$1712,0)),$J311))</f>
        <v>SH422 1</v>
      </c>
      <c r="C311" s="18" t="str">
        <f aca="false">IF(ISNUMBER($J311),IFERROR(INDEX('TRANS'!$C:$C,MATCH($J311,'TRANS'!$B:$B,0)),IFERROR(INDEX('Catalog'!$B:$B,MATCH($J311,'Catalog'!$A:$A,0)),$B311)),$B311)</f>
        <v>SH422 1 תומך ברך גנושילד</v>
      </c>
      <c r="D311" s="19" t="n">
        <f aca="false">SUMIFS('SALES Raw'!$C$6:$C$4467,'SALES Raw'!$J$6:$J$4467,$J311,'SALES Raw'!$K$6:$K$4467,"Y")+SUMIFS('CEMIUP0.9 Raw'!$D$6:$D$1712,'CEMIUP0.9 Raw'!$B$6:$B$1712,$J311,'CEMIUP0.9 Raw'!$H$6:$H$1712,"Y")</f>
        <v>17</v>
      </c>
      <c r="E311" s="19" t="n">
        <f aca="false">SUMIFS('SALES Raw'!$D$6:$D$4467,'SALES Raw'!$J$6:$J$4467,$J311,'SALES Raw'!$K$6:$K$4467,"Y")+SUMIFS('CEMIUP0.9 Raw'!$E$6:$E$1712,'CEMIUP0.9 Raw'!$B$6:$B$1712,$J311,'CEMIUP0.9 Raw'!$H$6:$H$1712,"Y")</f>
        <v>2481.274</v>
      </c>
      <c r="F311" s="19" t="n">
        <f aca="false">SUMIFS('SALES Raw'!$E$6:$E$4467,'SALES Raw'!$J$6:$J$4467,$J311,'SALES Raw'!$K$6:$K$4467,"Y")*$H$4+SUMIFS('CEMIUP0.9 Raw'!$F$6:$F$1712,'CEMIUP0.9 Raw'!$B$6:$B$1712,$J311,'CEMIUP0.9 Raw'!$H$6:$H$1712,"Y")</f>
        <v>51.7894736842105</v>
      </c>
      <c r="G311" s="19" t="n">
        <f aca="false">SUMIFS('SALES Raw'!$F$6:$F$4467,'SALES Raw'!$J$6:$J$4467,$J311,'SALES Raw'!$K$6:$K$4467,"Y")*$H$4+SUMIFS('CEMIUP0.9 Raw'!$G$6:$G$1712,'CEMIUP0.9 Raw'!$B$6:$B$1712,$J311,'CEMIUP0.9 Raw'!$H$6:$H$1712,"Y")</f>
        <v>9241.69768421052</v>
      </c>
      <c r="H311" s="18" t="s">
        <v>43</v>
      </c>
      <c r="I311" s="18" t="s">
        <v>48</v>
      </c>
      <c r="J311" s="18" t="n">
        <v>4422037</v>
      </c>
    </row>
    <row r="312" customFormat="false" ht="15" hidden="false" customHeight="false" outlineLevel="0" collapsed="false">
      <c r="A312" s="18" t="n">
        <f aca="false">IF(ISNUMBER($J312),$J312,"")</f>
        <v>4411019</v>
      </c>
      <c r="B312" s="18" t="str">
        <f aca="false">IFERROR(INDEX('SALES Raw'!$B$6:$B$4467,MATCH($J312,'SALES Raw'!$J$6:$J$4467,0)),IFERROR(INDEX('CEMIUP0.9 Raw'!$B$6:$B$1712,MATCH($J312,'CEMIUP0.9 Raw'!$B$6:$B$1712,0)),$J312))</f>
        <v>211 S</v>
      </c>
      <c r="C312" s="18" t="str">
        <f aca="false">IF(ISNUMBER($J312),IFERROR(INDEX('TRANS'!$C:$C,MATCH($J312,'TRANS'!$B:$B,0)),IFERROR(INDEX('Catalog'!$B:$B,MATCH($J312,'Catalog'!$A:$A,0)),$B312)),$B312)</f>
        <v>211S כפפות לחץ</v>
      </c>
      <c r="D312" s="19" t="n">
        <f aca="false">SUMIFS('SALES Raw'!$C$6:$C$4467,'SALES Raw'!$J$6:$J$4467,$J312,'SALES Raw'!$K$6:$K$4467,"Y")+SUMIFS('CEMIUP0.9 Raw'!$D$6:$D$1712,'CEMIUP0.9 Raw'!$B$6:$B$1712,$J312,'CEMIUP0.9 Raw'!$H$6:$H$1712,"Y")</f>
        <v>62</v>
      </c>
      <c r="E312" s="19" t="n">
        <f aca="false">SUMIFS('SALES Raw'!$D$6:$D$4467,'SALES Raw'!$J$6:$J$4467,$J312,'SALES Raw'!$K$6:$K$4467,"Y")+SUMIFS('CEMIUP0.9 Raw'!$E$6:$E$1712,'CEMIUP0.9 Raw'!$B$6:$B$1712,$J312,'CEMIUP0.9 Raw'!$H$6:$H$1712,"Y")</f>
        <v>2884.021</v>
      </c>
      <c r="F312" s="19" t="n">
        <f aca="false">SUMIFS('SALES Raw'!$E$6:$E$4467,'SALES Raw'!$J$6:$J$4467,$J312,'SALES Raw'!$K$6:$K$4467,"Y")*$H$4+SUMIFS('CEMIUP0.9 Raw'!$F$6:$F$1712,'CEMIUP0.9 Raw'!$B$6:$B$1712,$J312,'CEMIUP0.9 Raw'!$H$6:$H$1712,"Y")</f>
        <v>51.7894736842105</v>
      </c>
      <c r="G312" s="19" t="n">
        <f aca="false">SUMIFS('SALES Raw'!$F$6:$F$4467,'SALES Raw'!$J$6:$J$4467,$J312,'SALES Raw'!$K$6:$K$4467,"Y")*$H$4+SUMIFS('CEMIUP0.9 Raw'!$G$6:$G$1712,'CEMIUP0.9 Raw'!$B$6:$B$1712,$J312,'CEMIUP0.9 Raw'!$H$6:$H$1712,"Y")</f>
        <v>2719.96547368421</v>
      </c>
      <c r="H312" s="18" t="s">
        <v>42</v>
      </c>
      <c r="I312" s="18" t="s">
        <v>43</v>
      </c>
      <c r="J312" s="18" t="n">
        <v>4411019</v>
      </c>
    </row>
    <row r="313" customFormat="false" ht="15" hidden="false" customHeight="false" outlineLevel="0" collapsed="false">
      <c r="A313" s="18" t="n">
        <f aca="false">IF(ISNUMBER($J313),$J313,"")</f>
        <v>4413131</v>
      </c>
      <c r="B313" s="18" t="str">
        <f aca="false">IFERROR(INDEX('SALES Raw'!$B$6:$B$4467,MATCH($J313,'SALES Raw'!$J$6:$J$4467,0)),IFERROR(INDEX('CEMIUP0.9 Raw'!$B$6:$B$1712,MATCH($J313,'CEMIUP0.9 Raw'!$B$6:$B$1712,0)),$J313))</f>
        <v>76 S</v>
      </c>
      <c r="C313" s="18" t="str">
        <f aca="false">IF(ISNUMBER($J313),IFERROR(INDEX('TRANS'!$C:$C,MATCH($J313,'TRANS'!$B:$B,0)),IFERROR(INDEX('Catalog'!$B:$B,MATCH($J313,'Catalog'!$A:$A,0)),$B313)),$B313)</f>
        <v>76 Sמיישר כתף יציב יישור ג.רחב</v>
      </c>
      <c r="D313" s="19" t="n">
        <f aca="false">SUMIFS('SALES Raw'!$C$6:$C$4467,'SALES Raw'!$J$6:$J$4467,$J313,'SALES Raw'!$K$6:$K$4467,"Y")+SUMIFS('CEMIUP0.9 Raw'!$D$6:$D$1712,'CEMIUP0.9 Raw'!$B$6:$B$1712,$J313,'CEMIUP0.9 Raw'!$H$6:$H$1712,"Y")</f>
        <v>50</v>
      </c>
      <c r="E313" s="19" t="n">
        <f aca="false">SUMIFS('SALES Raw'!$D$6:$D$4467,'SALES Raw'!$J$6:$J$4467,$J313,'SALES Raw'!$K$6:$K$4467,"Y")+SUMIFS('CEMIUP0.9 Raw'!$E$6:$E$1712,'CEMIUP0.9 Raw'!$B$6:$B$1712,$J313,'CEMIUP0.9 Raw'!$H$6:$H$1712,"Y")</f>
        <v>9500.116</v>
      </c>
      <c r="F313" s="19" t="n">
        <f aca="false">SUMIFS('SALES Raw'!$E$6:$E$4467,'SALES Raw'!$J$6:$J$4467,$J313,'SALES Raw'!$K$6:$K$4467,"Y")*$H$4+SUMIFS('CEMIUP0.9 Raw'!$F$6:$F$1712,'CEMIUP0.9 Raw'!$B$6:$B$1712,$J313,'CEMIUP0.9 Raw'!$H$6:$H$1712,"Y")</f>
        <v>51.7894736842105</v>
      </c>
      <c r="G313" s="19" t="n">
        <f aca="false">SUMIFS('SALES Raw'!$F$6:$F$4467,'SALES Raw'!$J$6:$J$4467,$J313,'SALES Raw'!$K$6:$K$4467,"Y")*$H$4+SUMIFS('CEMIUP0.9 Raw'!$G$6:$G$1712,'CEMIUP0.9 Raw'!$B$6:$B$1712,$J313,'CEMIUP0.9 Raw'!$H$6:$H$1712,"Y")</f>
        <v>11375.064</v>
      </c>
      <c r="H313" s="18" t="s">
        <v>44</v>
      </c>
      <c r="I313" s="18" t="s">
        <v>42</v>
      </c>
      <c r="J313" s="18" t="n">
        <v>4413131</v>
      </c>
    </row>
    <row r="314" customFormat="false" ht="15" hidden="false" customHeight="false" outlineLevel="0" collapsed="false">
      <c r="A314" s="18" t="n">
        <f aca="false">IF(ISNUMBER($J314),$J314,"")</f>
        <v>4415005</v>
      </c>
      <c r="B314" s="18" t="str">
        <f aca="false">IFERROR(INDEX('SALES Raw'!$B$6:$B$4467,MATCH($J314,'SALES Raw'!$J$6:$J$4467,0)),IFERROR(INDEX('CEMIUP0.9 Raw'!$B$6:$B$1712,MATCH($J314,'CEMIUP0.9 Raw'!$B$6:$B$1712,0)),$J314))</f>
        <v>28 L</v>
      </c>
      <c r="C314" s="18" t="str">
        <f aca="false">IF(ISNUMBER($J314),IFERROR(INDEX('TRANS'!$C:$C,MATCH($J314,'TRANS'!$B:$B,0)),IFERROR(INDEX('Catalog'!$B:$B,MATCH($J314,'Catalog'!$A:$A,0)),$B314)),$B314)</f>
        <v>28 L סד לאגודל לאחר שבר</v>
      </c>
      <c r="D314" s="19" t="n">
        <f aca="false">SUMIFS('SALES Raw'!$C$6:$C$4467,'SALES Raw'!$J$6:$J$4467,$J314,'SALES Raw'!$K$6:$K$4467,"Y")+SUMIFS('CEMIUP0.9 Raw'!$D$6:$D$1712,'CEMIUP0.9 Raw'!$B$6:$B$1712,$J314,'CEMIUP0.9 Raw'!$H$6:$H$1712,"Y")</f>
        <v>77</v>
      </c>
      <c r="E314" s="19" t="n">
        <f aca="false">SUMIFS('SALES Raw'!$D$6:$D$4467,'SALES Raw'!$J$6:$J$4467,$J314,'SALES Raw'!$K$6:$K$4467,"Y")+SUMIFS('CEMIUP0.9 Raw'!$E$6:$E$1712,'CEMIUP0.9 Raw'!$B$6:$B$1712,$J314,'CEMIUP0.9 Raw'!$H$6:$H$1712,"Y")</f>
        <v>7227.544</v>
      </c>
      <c r="F314" s="19" t="n">
        <f aca="false">SUMIFS('SALES Raw'!$E$6:$E$4467,'SALES Raw'!$J$6:$J$4467,$J314,'SALES Raw'!$K$6:$K$4467,"Y")*$H$4+SUMIFS('CEMIUP0.9 Raw'!$F$6:$F$1712,'CEMIUP0.9 Raw'!$B$6:$B$1712,$J314,'CEMIUP0.9 Raw'!$H$6:$H$1712,"Y")</f>
        <v>51.7894736842105</v>
      </c>
      <c r="G314" s="19" t="n">
        <f aca="false">SUMIFS('SALES Raw'!$F$6:$F$4467,'SALES Raw'!$J$6:$J$4467,$J314,'SALES Raw'!$K$6:$K$4467,"Y")*$H$4+SUMIFS('CEMIUP0.9 Raw'!$G$6:$G$1712,'CEMIUP0.9 Raw'!$B$6:$B$1712,$J314,'CEMIUP0.9 Raw'!$H$6:$H$1712,"Y")</f>
        <v>4948.84294736843</v>
      </c>
      <c r="H314" s="18" t="s">
        <v>43</v>
      </c>
      <c r="I314" s="18" t="s">
        <v>44</v>
      </c>
      <c r="J314" s="18" t="n">
        <v>4415005</v>
      </c>
    </row>
    <row r="315" customFormat="false" ht="15" hidden="false" customHeight="false" outlineLevel="0" collapsed="false">
      <c r="A315" s="18" t="n">
        <f aca="false">IF(ISNUMBER($J315),$J315,"")</f>
        <v>4408097</v>
      </c>
      <c r="B315" s="18" t="str">
        <f aca="false">IFERROR(INDEX('SALES Raw'!$B$6:$B$4467,MATCH($J315,'SALES Raw'!$J$6:$J$4467,0)),IFERROR(INDEX('CEMIUP0.9 Raw'!$B$6:$B$1712,MATCH($J315,'CEMIUP0.9 Raw'!$B$6:$B$1712,0)),$J315))</f>
        <v>T20C-L-XL</v>
      </c>
      <c r="C315" s="18" t="str">
        <f aca="false">IF(ISNUMBER($J315),IFERROR(INDEX('TRANS'!$C:$C,MATCH($J315,'TRANS'!$B:$B,0)),IFERROR(INDEX('Catalog'!$B:$B,MATCH($J315,'Catalog'!$A:$A,0)),$B315)),$B315)</f>
        <v>T20C L-XL חבק יד עם צמדן חום</v>
      </c>
      <c r="D315" s="19" t="n">
        <f aca="false">SUMIFS('SALES Raw'!$C$6:$C$4467,'SALES Raw'!$J$6:$J$4467,$J315,'SALES Raw'!$K$6:$K$4467,"Y")+SUMIFS('CEMIUP0.9 Raw'!$D$6:$D$1712,'CEMIUP0.9 Raw'!$B$6:$B$1712,$J315,'CEMIUP0.9 Raw'!$H$6:$H$1712,"Y")</f>
        <v>90</v>
      </c>
      <c r="E315" s="19" t="n">
        <f aca="false">SUMIFS('SALES Raw'!$D$6:$D$4467,'SALES Raw'!$J$6:$J$4467,$J315,'SALES Raw'!$K$6:$K$4467,"Y")+SUMIFS('CEMIUP0.9 Raw'!$E$6:$E$1712,'CEMIUP0.9 Raw'!$B$6:$B$1712,$J315,'CEMIUP0.9 Raw'!$H$6:$H$1712,"Y")</f>
        <v>2977.457</v>
      </c>
      <c r="F315" s="19" t="n">
        <f aca="false">SUMIFS('SALES Raw'!$E$6:$E$4467,'SALES Raw'!$J$6:$J$4467,$J315,'SALES Raw'!$K$6:$K$4467,"Y")*$H$4+SUMIFS('CEMIUP0.9 Raw'!$F$6:$F$1712,'CEMIUP0.9 Raw'!$B$6:$B$1712,$J315,'CEMIUP0.9 Raw'!$H$6:$H$1712,"Y")</f>
        <v>50.5263157894737</v>
      </c>
      <c r="G315" s="19" t="n">
        <f aca="false">SUMIFS('SALES Raw'!$F$6:$F$4467,'SALES Raw'!$J$6:$J$4467,$J315,'SALES Raw'!$K$6:$K$4467,"Y")*$H$4+SUMIFS('CEMIUP0.9 Raw'!$G$6:$G$1712,'CEMIUP0.9 Raw'!$B$6:$B$1712,$J315,'CEMIUP0.9 Raw'!$H$6:$H$1712,"Y")</f>
        <v>1646.17642105263</v>
      </c>
      <c r="H315" s="18" t="s">
        <v>43</v>
      </c>
      <c r="I315" s="18" t="s">
        <v>53</v>
      </c>
      <c r="J315" s="18" t="n">
        <v>4408097</v>
      </c>
    </row>
    <row r="316" customFormat="false" ht="15" hidden="false" customHeight="false" outlineLevel="0" collapsed="false">
      <c r="A316" s="18" t="n">
        <f aca="false">IF(ISNUMBER($J316),$J316,"")</f>
        <v>4413367</v>
      </c>
      <c r="B316" s="18" t="str">
        <f aca="false">IFERROR(INDEX('SALES Raw'!$B$6:$B$4467,MATCH($J316,'SALES Raw'!$J$6:$J$4467,0)),IFERROR(INDEX('CEMIUP0.9 Raw'!$B$6:$B$1712,MATCH($J316,'CEMIUP0.9 Raw'!$B$6:$B$1712,0)),$J316))</f>
        <v>95C XL</v>
      </c>
      <c r="C316" s="18" t="str">
        <f aca="false">IF(ISNUMBER($J316),IFERROR(INDEX('TRANS'!$C:$C,MATCH($J316,'TRANS'!$B:$B,0)),IFERROR(INDEX('Catalog'!$B:$B,MATCH($J316,'Catalog'!$A:$A,0)),$B316)),$B316)</f>
        <v>95C XL'מגן מרפק בז</v>
      </c>
      <c r="D316" s="19" t="n">
        <f aca="false">SUMIFS('SALES Raw'!$C$6:$C$4467,'SALES Raw'!$J$6:$J$4467,$J316,'SALES Raw'!$K$6:$K$4467,"Y")+SUMIFS('CEMIUP0.9 Raw'!$D$6:$D$1712,'CEMIUP0.9 Raw'!$B$6:$B$1712,$J316,'CEMIUP0.9 Raw'!$H$6:$H$1712,"Y")</f>
        <v>56</v>
      </c>
      <c r="E316" s="19" t="n">
        <f aca="false">SUMIFS('SALES Raw'!$D$6:$D$4467,'SALES Raw'!$J$6:$J$4467,$J316,'SALES Raw'!$K$6:$K$4467,"Y")+SUMIFS('CEMIUP0.9 Raw'!$E$6:$E$1712,'CEMIUP0.9 Raw'!$B$6:$B$1712,$J316,'CEMIUP0.9 Raw'!$H$6:$H$1712,"Y")</f>
        <v>1559.582</v>
      </c>
      <c r="F316" s="19" t="n">
        <f aca="false">SUMIFS('SALES Raw'!$E$6:$E$4467,'SALES Raw'!$J$6:$J$4467,$J316,'SALES Raw'!$K$6:$K$4467,"Y")*$H$4+SUMIFS('CEMIUP0.9 Raw'!$F$6:$F$1712,'CEMIUP0.9 Raw'!$B$6:$B$1712,$J316,'CEMIUP0.9 Raw'!$H$6:$H$1712,"Y")</f>
        <v>50.5263157894737</v>
      </c>
      <c r="G316" s="19" t="n">
        <f aca="false">SUMIFS('SALES Raw'!$F$6:$F$4467,'SALES Raw'!$J$6:$J$4467,$J316,'SALES Raw'!$K$6:$K$4467,"Y")*$H$4+SUMIFS('CEMIUP0.9 Raw'!$G$6:$G$1712,'CEMIUP0.9 Raw'!$B$6:$B$1712,$J316,'CEMIUP0.9 Raw'!$H$6:$H$1712,"Y")</f>
        <v>1460.6172631579</v>
      </c>
      <c r="H316" s="18" t="s">
        <v>43</v>
      </c>
      <c r="I316" s="18" t="s">
        <v>42</v>
      </c>
      <c r="J316" s="18" t="n">
        <v>4413367</v>
      </c>
    </row>
    <row r="317" customFormat="false" ht="15" hidden="false" customHeight="false" outlineLevel="0" collapsed="false">
      <c r="A317" s="18" t="n">
        <f aca="false">IF(ISNUMBER($J317),$J317,"")</f>
        <v>4415003</v>
      </c>
      <c r="B317" s="18" t="str">
        <f aca="false">IFERROR(INDEX('SALES Raw'!$B$6:$B$4467,MATCH($J317,'SALES Raw'!$J$6:$J$4467,0)),IFERROR(INDEX('CEMIUP0.9 Raw'!$B$6:$B$1712,MATCH($J317,'CEMIUP0.9 Raw'!$B$6:$B$1712,0)),$J317))</f>
        <v>26 XL</v>
      </c>
      <c r="C317" s="18" t="str">
        <f aca="false">IF(ISNUMBER($J317),IFERROR(INDEX('TRANS'!$C:$C,MATCH($J317,'TRANS'!$B:$B,0)),IFERROR(INDEX('Catalog'!$B:$B,MATCH($J317,'Catalog'!$A:$A,0)),$B317)),$B317)</f>
        <v>26 XL סד ליד דו צדדי לאחר שבר</v>
      </c>
      <c r="D317" s="19" t="n">
        <f aca="false">SUMIFS('SALES Raw'!$C$6:$C$4467,'SALES Raw'!$J$6:$J$4467,$J317,'SALES Raw'!$K$6:$K$4467,"Y")+SUMIFS('CEMIUP0.9 Raw'!$D$6:$D$1712,'CEMIUP0.9 Raw'!$B$6:$B$1712,$J317,'CEMIUP0.9 Raw'!$H$6:$H$1712,"Y")</f>
        <v>97</v>
      </c>
      <c r="E317" s="19" t="n">
        <f aca="false">SUMIFS('SALES Raw'!$D$6:$D$4467,'SALES Raw'!$J$6:$J$4467,$J317,'SALES Raw'!$K$6:$K$4467,"Y")+SUMIFS('CEMIUP0.9 Raw'!$E$6:$E$1712,'CEMIUP0.9 Raw'!$B$6:$B$1712,$J317,'CEMIUP0.9 Raw'!$H$6:$H$1712,"Y")</f>
        <v>9126.739</v>
      </c>
      <c r="F317" s="19" t="n">
        <f aca="false">SUMIFS('SALES Raw'!$E$6:$E$4467,'SALES Raw'!$J$6:$J$4467,$J317,'SALES Raw'!$K$6:$K$4467,"Y")*$H$4+SUMIFS('CEMIUP0.9 Raw'!$F$6:$F$1712,'CEMIUP0.9 Raw'!$B$6:$B$1712,$J317,'CEMIUP0.9 Raw'!$H$6:$H$1712,"Y")</f>
        <v>50.5263157894737</v>
      </c>
      <c r="G317" s="19" t="n">
        <f aca="false">SUMIFS('SALES Raw'!$F$6:$F$4467,'SALES Raw'!$J$6:$J$4467,$J317,'SALES Raw'!$K$6:$K$4467,"Y")*$H$4+SUMIFS('CEMIUP0.9 Raw'!$G$6:$G$1712,'CEMIUP0.9 Raw'!$B$6:$B$1712,$J317,'CEMIUP0.9 Raw'!$H$6:$H$1712,"Y")</f>
        <v>4768.69263157895</v>
      </c>
      <c r="H317" s="18" t="s">
        <v>43</v>
      </c>
      <c r="I317" s="18" t="s">
        <v>44</v>
      </c>
      <c r="J317" s="18" t="n">
        <v>4415003</v>
      </c>
    </row>
    <row r="318" customFormat="false" ht="15" hidden="false" customHeight="false" outlineLevel="0" collapsed="false">
      <c r="A318" s="18" t="str">
        <f aca="false">IF(ISNUMBER($J318),$J318,"")</f>
        <v/>
      </c>
      <c r="B318" s="18" t="str">
        <f aca="false">IFERROR(INDEX('SALES Raw'!$B$6:$B$4467,MATCH($J318,'SALES Raw'!$J$6:$J$4467,0)),IFERROR(INDEX('CEMIUP0.9 Raw'!$B$6:$B$1712,MATCH($J318,'CEMIUP0.9 Raw'!$B$6:$B$1712,0)),$J318))</f>
        <v>365 S-L</v>
      </c>
      <c r="C318" s="18" t="str">
        <f aca="false">IF(ISNUMBER($J318),IFERROR(INDEX('TRANS'!$C:$C,MATCH($J318,'TRANS'!$B:$B,0)),IFERROR(INDEX('Catalog'!$B:$B,MATCH($J318,'Catalog'!$A:$A,0)),$B318)),$B318)</f>
        <v>365 S-L</v>
      </c>
      <c r="D318" s="19" t="n">
        <f aca="false">SUMIFS('SALES Raw'!$C$6:$C$4467,'SALES Raw'!$J$6:$J$4467,$J318,'SALES Raw'!$K$6:$K$4467,"Y")+SUMIFS('CEMIUP0.9 Raw'!$D$6:$D$1712,'CEMIUP0.9 Raw'!$B$6:$B$1712,$J318,'CEMIUP0.9 Raw'!$H$6:$H$1712,"Y")</f>
        <v>0</v>
      </c>
      <c r="E318" s="19" t="n">
        <f aca="false">SUMIFS('SALES Raw'!$D$6:$D$4467,'SALES Raw'!$J$6:$J$4467,$J318,'SALES Raw'!$K$6:$K$4467,"Y")+SUMIFS('CEMIUP0.9 Raw'!$E$6:$E$1712,'CEMIUP0.9 Raw'!$B$6:$B$1712,$J318,'CEMIUP0.9 Raw'!$H$6:$H$1712,"Y")</f>
        <v>0</v>
      </c>
      <c r="F318" s="19" t="n">
        <f aca="false">SUMIFS('SALES Raw'!$E$6:$E$4467,'SALES Raw'!$J$6:$J$4467,$J318,'SALES Raw'!$K$6:$K$4467,"Y")*$H$4+SUMIFS('CEMIUP0.9 Raw'!$F$6:$F$1712,'CEMIUP0.9 Raw'!$B$6:$B$1712,$J318,'CEMIUP0.9 Raw'!$H$6:$H$1712,"Y")</f>
        <v>50.5263157894737</v>
      </c>
      <c r="G318" s="19" t="n">
        <f aca="false">SUMIFS('SALES Raw'!$F$6:$F$4467,'SALES Raw'!$J$6:$J$4467,$J318,'SALES Raw'!$K$6:$K$4467,"Y")*$H$4+SUMIFS('CEMIUP0.9 Raw'!$G$6:$G$1712,'CEMIUP0.9 Raw'!$B$6:$B$1712,$J318,'CEMIUP0.9 Raw'!$H$6:$H$1712,"Y")</f>
        <v>1253.73473684211</v>
      </c>
      <c r="H318" s="18" t="s">
        <v>42</v>
      </c>
      <c r="I318" s="18"/>
      <c r="J318" s="18" t="s">
        <v>68</v>
      </c>
    </row>
    <row r="319" customFormat="false" ht="15" hidden="false" customHeight="false" outlineLevel="0" collapsed="false">
      <c r="A319" s="18" t="n">
        <f aca="false">IF(ISNUMBER($J319),$J319,"")</f>
        <v>4413143</v>
      </c>
      <c r="B319" s="18" t="str">
        <f aca="false">IFERROR(INDEX('SALES Raw'!$B$6:$B$4467,MATCH($J319,'SALES Raw'!$J$6:$J$4467,0)),IFERROR(INDEX('CEMIUP0.9 Raw'!$B$6:$B$1712,MATCH($J319,'CEMIUP0.9 Raw'!$B$6:$B$1712,0)),$J319))</f>
        <v>95 XS</v>
      </c>
      <c r="C319" s="18" t="str">
        <f aca="false">IF(ISNUMBER($J319),IFERROR(INDEX('TRANS'!$C:$C,MATCH($J319,'TRANS'!$B:$B,0)),IFERROR(INDEX('Catalog'!$B:$B,MATCH($J319,'Catalog'!$A:$A,0)),$B319)),$B319)</f>
        <v>95 XS מגן מרפק רגיל לבן</v>
      </c>
      <c r="D319" s="19" t="n">
        <f aca="false">SUMIFS('SALES Raw'!$C$6:$C$4467,'SALES Raw'!$J$6:$J$4467,$J319,'SALES Raw'!$K$6:$K$4467,"Y")+SUMIFS('CEMIUP0.9 Raw'!$D$6:$D$1712,'CEMIUP0.9 Raw'!$B$6:$B$1712,$J319,'CEMIUP0.9 Raw'!$H$6:$H$1712,"Y")</f>
        <v>67</v>
      </c>
      <c r="E319" s="19" t="n">
        <f aca="false">SUMIFS('SALES Raw'!$D$6:$D$4467,'SALES Raw'!$J$6:$J$4467,$J319,'SALES Raw'!$K$6:$K$4467,"Y")+SUMIFS('CEMIUP0.9 Raw'!$E$6:$E$1712,'CEMIUP0.9 Raw'!$B$6:$B$1712,$J319,'CEMIUP0.9 Raw'!$H$6:$H$1712,"Y")</f>
        <v>1452.425</v>
      </c>
      <c r="F319" s="19" t="n">
        <f aca="false">SUMIFS('SALES Raw'!$E$6:$E$4467,'SALES Raw'!$J$6:$J$4467,$J319,'SALES Raw'!$K$6:$K$4467,"Y")*$H$4+SUMIFS('CEMIUP0.9 Raw'!$F$6:$F$1712,'CEMIUP0.9 Raw'!$B$6:$B$1712,$J319,'CEMIUP0.9 Raw'!$H$6:$H$1712,"Y")</f>
        <v>50.5263157894736</v>
      </c>
      <c r="G319" s="19" t="n">
        <f aca="false">SUMIFS('SALES Raw'!$F$6:$F$4467,'SALES Raw'!$J$6:$J$4467,$J319,'SALES Raw'!$K$6:$K$4467,"Y")*$H$4+SUMIFS('CEMIUP0.9 Raw'!$G$6:$G$1712,'CEMIUP0.9 Raw'!$B$6:$B$1712,$J319,'CEMIUP0.9 Raw'!$H$6:$H$1712,"Y")</f>
        <v>1222.824</v>
      </c>
      <c r="H319" s="18" t="s">
        <v>43</v>
      </c>
      <c r="I319" s="18" t="s">
        <v>48</v>
      </c>
      <c r="J319" s="18" t="n">
        <v>4413143</v>
      </c>
    </row>
    <row r="320" customFormat="false" ht="15" hidden="false" customHeight="false" outlineLevel="0" collapsed="false">
      <c r="A320" s="18" t="n">
        <f aca="false">IF(ISNUMBER($J320),$J320,"")</f>
        <v>4413445</v>
      </c>
      <c r="B320" s="18" t="n">
        <f aca="false">IFERROR(INDEX('SALES Raw'!$B$6:$B$4467,MATCH($J320,'SALES Raw'!$J$6:$J$4467,0)),IFERROR(INDEX('CEMIUP0.9 Raw'!$B$6:$B$1712,MATCH($J320,'CEMIUP0.9 Raw'!$B$6:$B$1712,0)),$J320))</f>
        <v>4413445</v>
      </c>
      <c r="C320" s="18" t="str">
        <f aca="false">IF(ISNUMBER($J320),IFERROR(INDEX('TRANS'!$C:$C,MATCH($J320,'TRANS'!$B:$B,0)),IFERROR(INDEX('Catalog'!$B:$B,MATCH($J320,'Catalog'!$A:$A,0)),$B320)),$B320)</f>
        <v>302SP Wמדרס ג'ל ספורט לאישה</v>
      </c>
      <c r="D320" s="19" t="n">
        <f aca="false">SUMIFS('SALES Raw'!$C$6:$C$4467,'SALES Raw'!$J$6:$J$4467,$J320,'SALES Raw'!$K$6:$K$4467,"Y")+SUMIFS('CEMIUP0.9 Raw'!$D$6:$D$1712,'CEMIUP0.9 Raw'!$B$6:$B$1712,$J320,'CEMIUP0.9 Raw'!$H$6:$H$1712,"Y")</f>
        <v>1</v>
      </c>
      <c r="E320" s="19" t="n">
        <f aca="false">SUMIFS('SALES Raw'!$D$6:$D$4467,'SALES Raw'!$J$6:$J$4467,$J320,'SALES Raw'!$K$6:$K$4467,"Y")+SUMIFS('CEMIUP0.9 Raw'!$E$6:$E$1712,'CEMIUP0.9 Raw'!$B$6:$B$1712,$J320,'CEMIUP0.9 Raw'!$H$6:$H$1712,"Y")</f>
        <v>50.96</v>
      </c>
      <c r="F320" s="19" t="n">
        <f aca="false">SUMIFS('SALES Raw'!$E$6:$E$4467,'SALES Raw'!$J$6:$J$4467,$J320,'SALES Raw'!$K$6:$K$4467,"Y")*$H$4+SUMIFS('CEMIUP0.9 Raw'!$F$6:$F$1712,'CEMIUP0.9 Raw'!$B$6:$B$1712,$J320,'CEMIUP0.9 Raw'!$H$6:$H$1712,"Y")</f>
        <v>49.2631578947368</v>
      </c>
      <c r="G320" s="19" t="n">
        <f aca="false">SUMIFS('SALES Raw'!$F$6:$F$4467,'SALES Raw'!$J$6:$J$4467,$J320,'SALES Raw'!$K$6:$K$4467,"Y")*$H$4+SUMIFS('CEMIUP0.9 Raw'!$G$6:$G$1712,'CEMIUP0.9 Raw'!$B$6:$B$1712,$J320,'CEMIUP0.9 Raw'!$H$6:$H$1712,"Y")</f>
        <v>2519.53136842105</v>
      </c>
      <c r="H320" s="18" t="s">
        <v>43</v>
      </c>
      <c r="I320" s="18"/>
      <c r="J320" s="18" t="n">
        <v>4413445</v>
      </c>
    </row>
    <row r="321" customFormat="false" ht="15" hidden="false" customHeight="false" outlineLevel="0" collapsed="false">
      <c r="A321" s="18" t="n">
        <f aca="false">IF(ISNUMBER($J321),$J321,"")</f>
        <v>4413421</v>
      </c>
      <c r="B321" s="18" t="str">
        <f aca="false">IFERROR(INDEX('SALES Raw'!$B$6:$B$4467,MATCH($J321,'SALES Raw'!$J$6:$J$4467,0)),IFERROR(INDEX('CEMIUP0.9 Raw'!$B$6:$B$1712,MATCH($J321,'CEMIUP0.9 Raw'!$B$6:$B$1712,0)),$J321))</f>
        <v>SC35L M</v>
      </c>
      <c r="C321" s="18" t="str">
        <f aca="false">IF(ISNUMBER($J321),IFERROR(INDEX('TRANS'!$C:$C,MATCH($J321,'TRANS'!$B:$B,0)),IFERROR(INDEX('Catalog'!$B:$B,MATCH($J321,'Catalog'!$A:$A,0)),$B321)),$B321)</f>
        <v>SC35L  M מגן קרסול שמאל</v>
      </c>
      <c r="D321" s="19" t="n">
        <f aca="false">SUMIFS('SALES Raw'!$C$6:$C$4467,'SALES Raw'!$J$6:$J$4467,$J321,'SALES Raw'!$K$6:$K$4467,"Y")+SUMIFS('CEMIUP0.9 Raw'!$D$6:$D$1712,'CEMIUP0.9 Raw'!$B$6:$B$1712,$J321,'CEMIUP0.9 Raw'!$H$6:$H$1712,"Y")</f>
        <v>45</v>
      </c>
      <c r="E321" s="19" t="n">
        <f aca="false">SUMIFS('SALES Raw'!$D$6:$D$4467,'SALES Raw'!$J$6:$J$4467,$J321,'SALES Raw'!$K$6:$K$4467,"Y")+SUMIFS('CEMIUP0.9 Raw'!$E$6:$E$1712,'CEMIUP0.9 Raw'!$B$6:$B$1712,$J321,'CEMIUP0.9 Raw'!$H$6:$H$1712,"Y")</f>
        <v>5040.233</v>
      </c>
      <c r="F321" s="19" t="n">
        <f aca="false">SUMIFS('SALES Raw'!$E$6:$E$4467,'SALES Raw'!$J$6:$J$4467,$J321,'SALES Raw'!$K$6:$K$4467,"Y")*$H$4+SUMIFS('CEMIUP0.9 Raw'!$F$6:$F$1712,'CEMIUP0.9 Raw'!$B$6:$B$1712,$J321,'CEMIUP0.9 Raw'!$H$6:$H$1712,"Y")</f>
        <v>48</v>
      </c>
      <c r="G321" s="19" t="n">
        <f aca="false">SUMIFS('SALES Raw'!$F$6:$F$4467,'SALES Raw'!$J$6:$J$4467,$J321,'SALES Raw'!$K$6:$K$4467,"Y")*$H$4+SUMIFS('CEMIUP0.9 Raw'!$G$6:$G$1712,'CEMIUP0.9 Raw'!$B$6:$B$1712,$J321,'CEMIUP0.9 Raw'!$H$6:$H$1712,"Y")</f>
        <v>6658.92757894737</v>
      </c>
      <c r="H321" s="18" t="s">
        <v>42</v>
      </c>
      <c r="I321" s="18" t="s">
        <v>43</v>
      </c>
      <c r="J321" s="18" t="n">
        <v>4413421</v>
      </c>
    </row>
    <row r="322" customFormat="false" ht="15" hidden="false" customHeight="false" outlineLevel="0" collapsed="false">
      <c r="A322" s="18" t="n">
        <f aca="false">IF(ISNUMBER($J322),$J322,"")</f>
        <v>4408072</v>
      </c>
      <c r="B322" s="18" t="str">
        <f aca="false">IFERROR(INDEX('SALES Raw'!$B$6:$B$4467,MATCH($J322,'SALES Raw'!$J$6:$J$4467,0)),IFERROR(INDEX('CEMIUP0.9 Raw'!$B$6:$B$1712,MATCH($J322,'CEMIUP0.9 Raw'!$B$6:$B$1712,0)),$J322))</f>
        <v>59D M</v>
      </c>
      <c r="C322" s="18" t="str">
        <f aca="false">IF(ISNUMBER($J322),IFERROR(INDEX('TRANS'!$C:$C,MATCH($J322,'TRANS'!$B:$B,0)),IFERROR(INDEX('Catalog'!$B:$B,MATCH($J322,'Catalog'!$A:$A,0)),$B322)),$B322)</f>
        <v>59D M חגורת שבר דו צדדי</v>
      </c>
      <c r="D322" s="19" t="n">
        <f aca="false">SUMIFS('SALES Raw'!$C$6:$C$4467,'SALES Raw'!$J$6:$J$4467,$J322,'SALES Raw'!$K$6:$K$4467,"Y")+SUMIFS('CEMIUP0.9 Raw'!$D$6:$D$1712,'CEMIUP0.9 Raw'!$B$6:$B$1712,$J322,'CEMIUP0.9 Raw'!$H$6:$H$1712,"Y")</f>
        <v>62</v>
      </c>
      <c r="E322" s="19" t="n">
        <f aca="false">SUMIFS('SALES Raw'!$D$6:$D$4467,'SALES Raw'!$J$6:$J$4467,$J322,'SALES Raw'!$K$6:$K$4467,"Y")+SUMIFS('CEMIUP0.9 Raw'!$E$6:$E$1712,'CEMIUP0.9 Raw'!$B$6:$B$1712,$J322,'CEMIUP0.9 Raw'!$H$6:$H$1712,"Y")</f>
        <v>14757.23</v>
      </c>
      <c r="F322" s="19" t="n">
        <f aca="false">SUMIFS('SALES Raw'!$E$6:$E$4467,'SALES Raw'!$J$6:$J$4467,$J322,'SALES Raw'!$K$6:$K$4467,"Y")*$H$4+SUMIFS('CEMIUP0.9 Raw'!$F$6:$F$1712,'CEMIUP0.9 Raw'!$B$6:$B$1712,$J322,'CEMIUP0.9 Raw'!$H$6:$H$1712,"Y")</f>
        <v>48</v>
      </c>
      <c r="G322" s="19" t="n">
        <f aca="false">SUMIFS('SALES Raw'!$F$6:$F$4467,'SALES Raw'!$J$6:$J$4467,$J322,'SALES Raw'!$K$6:$K$4467,"Y")*$H$4+SUMIFS('CEMIUP0.9 Raw'!$G$6:$G$1712,'CEMIUP0.9 Raw'!$B$6:$B$1712,$J322,'CEMIUP0.9 Raw'!$H$6:$H$1712,"Y")</f>
        <v>10764.432</v>
      </c>
      <c r="H322" s="18" t="s">
        <v>44</v>
      </c>
      <c r="I322" s="18" t="s">
        <v>42</v>
      </c>
      <c r="J322" s="18" t="n">
        <v>4408072</v>
      </c>
    </row>
    <row r="323" customFormat="false" ht="15" hidden="false" customHeight="false" outlineLevel="0" collapsed="false">
      <c r="A323" s="18" t="n">
        <f aca="false">IF(ISNUMBER($J323),$J323,"")</f>
        <v>4408116</v>
      </c>
      <c r="B323" s="18" t="str">
        <f aca="false">IFERROR(INDEX('SALES Raw'!$B$6:$B$4467,MATCH($J323,'SALES Raw'!$J$6:$J$4467,0)),IFERROR(INDEX('CEMIUP0.9 Raw'!$B$6:$B$1712,MATCH($J323,'CEMIUP0.9 Raw'!$B$6:$B$1712,0)),$J323))</f>
        <v>11EU XL</v>
      </c>
      <c r="C323" s="18" t="str">
        <f aca="false">IF(ISNUMBER($J323),IFERROR(INDEX('TRANS'!$C:$C,MATCH($J323,'TRANS'!$B:$B,0)),IFERROR(INDEX('Catalog'!$B:$B,MATCH($J323,'Catalog'!$A:$A,0)),$B323)),$B323)</f>
        <v>11EU XLח.בטן לאחר ניתוח</v>
      </c>
      <c r="D323" s="19" t="n">
        <f aca="false">SUMIFS('SALES Raw'!$C$6:$C$4467,'SALES Raw'!$J$6:$J$4467,$J323,'SALES Raw'!$K$6:$K$4467,"Y")+SUMIFS('CEMIUP0.9 Raw'!$D$6:$D$1712,'CEMIUP0.9 Raw'!$B$6:$B$1712,$J323,'CEMIUP0.9 Raw'!$H$6:$H$1712,"Y")</f>
        <v>79</v>
      </c>
      <c r="E323" s="19" t="n">
        <f aca="false">SUMIFS('SALES Raw'!$D$6:$D$4467,'SALES Raw'!$J$6:$J$4467,$J323,'SALES Raw'!$K$6:$K$4467,"Y")+SUMIFS('CEMIUP0.9 Raw'!$E$6:$E$1712,'CEMIUP0.9 Raw'!$B$6:$B$1712,$J323,'CEMIUP0.9 Raw'!$H$6:$H$1712,"Y")</f>
        <v>7485.79</v>
      </c>
      <c r="F323" s="19" t="n">
        <f aca="false">SUMIFS('SALES Raw'!$E$6:$E$4467,'SALES Raw'!$J$6:$J$4467,$J323,'SALES Raw'!$K$6:$K$4467,"Y")*$H$4+SUMIFS('CEMIUP0.9 Raw'!$F$6:$F$1712,'CEMIUP0.9 Raw'!$B$6:$B$1712,$J323,'CEMIUP0.9 Raw'!$H$6:$H$1712,"Y")</f>
        <v>46.7368421052632</v>
      </c>
      <c r="G323" s="19" t="n">
        <f aca="false">SUMIFS('SALES Raw'!$F$6:$F$4467,'SALES Raw'!$J$6:$J$4467,$J323,'SALES Raw'!$K$6:$K$4467,"Y")*$H$4+SUMIFS('CEMIUP0.9 Raw'!$G$6:$G$1712,'CEMIUP0.9 Raw'!$B$6:$B$1712,$J323,'CEMIUP0.9 Raw'!$H$6:$H$1712,"Y")</f>
        <v>5065.84294736842</v>
      </c>
      <c r="H323" s="18" t="s">
        <v>44</v>
      </c>
      <c r="I323" s="18" t="s">
        <v>43</v>
      </c>
      <c r="J323" s="18" t="n">
        <v>4408116</v>
      </c>
    </row>
    <row r="324" customFormat="false" ht="15" hidden="false" customHeight="false" outlineLevel="0" collapsed="false">
      <c r="A324" s="18" t="n">
        <f aca="false">IF(ISNUMBER($J324),$J324,"")</f>
        <v>4413494</v>
      </c>
      <c r="B324" s="18" t="str">
        <f aca="false">IFERROR(INDEX('SALES Raw'!$B$6:$B$4467,MATCH($J324,'SALES Raw'!$J$6:$J$4467,0)),IFERROR(INDEX('CEMIUP0.9 Raw'!$B$6:$B$1712,MATCH($J324,'CEMIUP0.9 Raw'!$B$6:$B$1712,0)),$J324))</f>
        <v>35B XXL</v>
      </c>
      <c r="C324" s="18" t="str">
        <f aca="false">IF(ISNUMBER($J324),IFERROR(INDEX('TRANS'!$C:$C,MATCH($J324,'TRANS'!$B:$B,0)),IFERROR(INDEX('Catalog'!$B:$B,MATCH($J324,'Catalog'!$A:$A,0)),$B324)),$B324)</f>
        <v>35B XXL מגן קרסול שחור</v>
      </c>
      <c r="D324" s="19" t="n">
        <f aca="false">SUMIFS('SALES Raw'!$C$6:$C$4467,'SALES Raw'!$J$6:$J$4467,$J324,'SALES Raw'!$K$6:$K$4467,"Y")+SUMIFS('CEMIUP0.9 Raw'!$D$6:$D$1712,'CEMIUP0.9 Raw'!$B$6:$B$1712,$J324,'CEMIUP0.9 Raw'!$H$6:$H$1712,"Y")</f>
        <v>66</v>
      </c>
      <c r="E324" s="19" t="n">
        <f aca="false">SUMIFS('SALES Raw'!$D$6:$D$4467,'SALES Raw'!$J$6:$J$4467,$J324,'SALES Raw'!$K$6:$K$4467,"Y")+SUMIFS('CEMIUP0.9 Raw'!$E$6:$E$1712,'CEMIUP0.9 Raw'!$B$6:$B$1712,$J324,'CEMIUP0.9 Raw'!$H$6:$H$1712,"Y")</f>
        <v>2077.83</v>
      </c>
      <c r="F324" s="19" t="n">
        <f aca="false">SUMIFS('SALES Raw'!$E$6:$E$4467,'SALES Raw'!$J$6:$J$4467,$J324,'SALES Raw'!$K$6:$K$4467,"Y")*$H$4+SUMIFS('CEMIUP0.9 Raw'!$F$6:$F$1712,'CEMIUP0.9 Raw'!$B$6:$B$1712,$J324,'CEMIUP0.9 Raw'!$H$6:$H$1712,"Y")</f>
        <v>46.7368421052632</v>
      </c>
      <c r="G324" s="19" t="n">
        <f aca="false">SUMIFS('SALES Raw'!$F$6:$F$4467,'SALES Raw'!$J$6:$J$4467,$J324,'SALES Raw'!$K$6:$K$4467,"Y")*$H$4+SUMIFS('CEMIUP0.9 Raw'!$G$6:$G$1712,'CEMIUP0.9 Raw'!$B$6:$B$1712,$J324,'CEMIUP0.9 Raw'!$H$6:$H$1712,"Y")</f>
        <v>1400.02231578947</v>
      </c>
      <c r="H324" s="18" t="s">
        <v>43</v>
      </c>
      <c r="I324" s="18" t="s">
        <v>42</v>
      </c>
      <c r="J324" s="18" t="n">
        <v>4413494</v>
      </c>
    </row>
    <row r="325" customFormat="false" ht="15" hidden="false" customHeight="false" outlineLevel="0" collapsed="false">
      <c r="A325" s="18" t="n">
        <f aca="false">IF(ISNUMBER($J325),$J325,"")</f>
        <v>4408080</v>
      </c>
      <c r="B325" s="18" t="str">
        <f aca="false">IFERROR(INDEX('SALES Raw'!$B$6:$B$4467,MATCH($J325,'SALES Raw'!$J$6:$J$4467,0)),IFERROR(INDEX('CEMIUP0.9 Raw'!$B$6:$B$1712,MATCH($J325,'CEMIUP0.9 Raw'!$B$6:$B$1712,0)),$J325))</f>
        <v>59R L</v>
      </c>
      <c r="C325" s="18" t="str">
        <f aca="false">IF(ISNUMBER($J325),IFERROR(INDEX('TRANS'!$C:$C,MATCH($J325,'TRANS'!$B:$B,0)),IFERROR(INDEX('Catalog'!$B:$B,MATCH($J325,'Catalog'!$A:$A,0)),$B325)),$B325)</f>
        <v>59R L חגורת שבר לצד ימין</v>
      </c>
      <c r="D325" s="19" t="n">
        <f aca="false">SUMIFS('SALES Raw'!$C$6:$C$4467,'SALES Raw'!$J$6:$J$4467,$J325,'SALES Raw'!$K$6:$K$4467,"Y")+SUMIFS('CEMIUP0.9 Raw'!$D$6:$D$1712,'CEMIUP0.9 Raw'!$B$6:$B$1712,$J325,'CEMIUP0.9 Raw'!$H$6:$H$1712,"Y")</f>
        <v>65</v>
      </c>
      <c r="E325" s="19" t="n">
        <f aca="false">SUMIFS('SALES Raw'!$D$6:$D$4467,'SALES Raw'!$J$6:$J$4467,$J325,'SALES Raw'!$K$6:$K$4467,"Y")+SUMIFS('CEMIUP0.9 Raw'!$E$6:$E$1712,'CEMIUP0.9 Raw'!$B$6:$B$1712,$J325,'CEMIUP0.9 Raw'!$H$6:$H$1712,"Y")</f>
        <v>11049.202</v>
      </c>
      <c r="F325" s="19" t="n">
        <f aca="false">SUMIFS('SALES Raw'!$E$6:$E$4467,'SALES Raw'!$J$6:$J$4467,$J325,'SALES Raw'!$K$6:$K$4467,"Y")*$H$4+SUMIFS('CEMIUP0.9 Raw'!$F$6:$F$1712,'CEMIUP0.9 Raw'!$B$6:$B$1712,$J325,'CEMIUP0.9 Raw'!$H$6:$H$1712,"Y")</f>
        <v>46.7368421052632</v>
      </c>
      <c r="G325" s="19" t="n">
        <f aca="false">SUMIFS('SALES Raw'!$F$6:$F$4467,'SALES Raw'!$J$6:$J$4467,$J325,'SALES Raw'!$K$6:$K$4467,"Y")*$H$4+SUMIFS('CEMIUP0.9 Raw'!$G$6:$G$1712,'CEMIUP0.9 Raw'!$B$6:$B$1712,$J325,'CEMIUP0.9 Raw'!$H$6:$H$1712,"Y")</f>
        <v>7791.31452631579</v>
      </c>
      <c r="H325" s="18" t="s">
        <v>43</v>
      </c>
      <c r="I325" s="18" t="s">
        <v>44</v>
      </c>
      <c r="J325" s="18" t="n">
        <v>4408080</v>
      </c>
    </row>
    <row r="326" customFormat="false" ht="15" hidden="false" customHeight="false" outlineLevel="0" collapsed="false">
      <c r="A326" s="18" t="n">
        <f aca="false">IF(ISNUMBER($J326),$J326,"")</f>
        <v>4413176</v>
      </c>
      <c r="B326" s="18" t="str">
        <f aca="false">IFERROR(INDEX('SALES Raw'!$B$6:$B$4467,MATCH($J326,'SALES Raw'!$J$6:$J$4467,0)),IFERROR(INDEX('CEMIUP0.9 Raw'!$B$6:$B$1712,MATCH($J326,'CEMIUP0.9 Raw'!$B$6:$B$1712,0)),$J326))</f>
        <v>85+ L</v>
      </c>
      <c r="C326" s="18" t="str">
        <f aca="false">IF(ISNUMBER($J326),IFERROR(INDEX('TRANS'!$C:$C,MATCH($J326,'TRANS'!$B:$B,0)),IFERROR(INDEX('Catalog'!$B:$B,MATCH($J326,'Catalog'!$A:$A,0)),$B326)),$B326)</f>
        <v>85+ Lמתלה ליד)כיס(+רצועת חיזוק</v>
      </c>
      <c r="D326" s="19" t="n">
        <f aca="false">SUMIFS('SALES Raw'!$C$6:$C$4467,'SALES Raw'!$J$6:$J$4467,$J326,'SALES Raw'!$K$6:$K$4467,"Y")+SUMIFS('CEMIUP0.9 Raw'!$D$6:$D$1712,'CEMIUP0.9 Raw'!$B$6:$B$1712,$J326,'CEMIUP0.9 Raw'!$H$6:$H$1712,"Y")</f>
        <v>93</v>
      </c>
      <c r="E326" s="19" t="n">
        <f aca="false">SUMIFS('SALES Raw'!$D$6:$D$4467,'SALES Raw'!$J$6:$J$4467,$J326,'SALES Raw'!$K$6:$K$4467,"Y")+SUMIFS('CEMIUP0.9 Raw'!$E$6:$E$1712,'CEMIUP0.9 Raw'!$B$6:$B$1712,$J326,'CEMIUP0.9 Raw'!$H$6:$H$1712,"Y")</f>
        <v>8356.878</v>
      </c>
      <c r="F326" s="19" t="n">
        <f aca="false">SUMIFS('SALES Raw'!$E$6:$E$4467,'SALES Raw'!$J$6:$J$4467,$J326,'SALES Raw'!$K$6:$K$4467,"Y")*$H$4+SUMIFS('CEMIUP0.9 Raw'!$F$6:$F$1712,'CEMIUP0.9 Raw'!$B$6:$B$1712,$J326,'CEMIUP0.9 Raw'!$H$6:$H$1712,"Y")</f>
        <v>46.7368421052632</v>
      </c>
      <c r="G326" s="19" t="n">
        <f aca="false">SUMIFS('SALES Raw'!$F$6:$F$4467,'SALES Raw'!$J$6:$J$4467,$J326,'SALES Raw'!$K$6:$K$4467,"Y")*$H$4+SUMIFS('CEMIUP0.9 Raw'!$G$6:$G$1712,'CEMIUP0.9 Raw'!$B$6:$B$1712,$J326,'CEMIUP0.9 Raw'!$H$6:$H$1712,"Y")</f>
        <v>4971.65810526316</v>
      </c>
      <c r="H326" s="18" t="s">
        <v>44</v>
      </c>
      <c r="I326" s="18" t="s">
        <v>42</v>
      </c>
      <c r="J326" s="18" t="n">
        <v>4413176</v>
      </c>
    </row>
    <row r="327" customFormat="false" ht="15" hidden="false" customHeight="false" outlineLevel="0" collapsed="false">
      <c r="A327" s="18" t="n">
        <f aca="false">IF(ISNUMBER($J327),$J327,"")</f>
        <v>4422004</v>
      </c>
      <c r="B327" s="18" t="str">
        <f aca="false">IFERROR(INDEX('SALES Raw'!$B$6:$B$4467,MATCH($J327,'SALES Raw'!$J$6:$J$4467,0)),IFERROR(INDEX('CEMIUP0.9 Raw'!$B$6:$B$1712,MATCH($J327,'CEMIUP0.9 Raw'!$B$6:$B$1712,0)),$J327))</f>
        <v>T78 S</v>
      </c>
      <c r="C327" s="18" t="str">
        <f aca="false">IF(ISNUMBER($J327),IFERROR(INDEX('TRANS'!$C:$C,MATCH($J327,'TRANS'!$B:$B,0)),IFERROR(INDEX('Catalog'!$B:$B,MATCH($J327,'Catalog'!$A:$A,0)),$B327)),$B327)</f>
        <v>T78 S תומך זרוע וכתף</v>
      </c>
      <c r="D327" s="19" t="n">
        <f aca="false">SUMIFS('SALES Raw'!$C$6:$C$4467,'SALES Raw'!$J$6:$J$4467,$J327,'SALES Raw'!$K$6:$K$4467,"Y")+SUMIFS('CEMIUP0.9 Raw'!$D$6:$D$1712,'CEMIUP0.9 Raw'!$B$6:$B$1712,$J327,'CEMIUP0.9 Raw'!$H$6:$H$1712,"Y")</f>
        <v>68</v>
      </c>
      <c r="E327" s="19" t="n">
        <f aca="false">SUMIFS('SALES Raw'!$D$6:$D$4467,'SALES Raw'!$J$6:$J$4467,$J327,'SALES Raw'!$K$6:$K$4467,"Y")+SUMIFS('CEMIUP0.9 Raw'!$E$6:$E$1712,'CEMIUP0.9 Raw'!$B$6:$B$1712,$J327,'CEMIUP0.9 Raw'!$H$6:$H$1712,"Y")</f>
        <v>11069.248</v>
      </c>
      <c r="F327" s="19" t="n">
        <f aca="false">SUMIFS('SALES Raw'!$E$6:$E$4467,'SALES Raw'!$J$6:$J$4467,$J327,'SALES Raw'!$K$6:$K$4467,"Y")*$H$4+SUMIFS('CEMIUP0.9 Raw'!$F$6:$F$1712,'CEMIUP0.9 Raw'!$B$6:$B$1712,$J327,'CEMIUP0.9 Raw'!$H$6:$H$1712,"Y")</f>
        <v>46.7368421052632</v>
      </c>
      <c r="G327" s="19" t="n">
        <f aca="false">SUMIFS('SALES Raw'!$F$6:$F$4467,'SALES Raw'!$J$6:$J$4467,$J327,'SALES Raw'!$K$6:$K$4467,"Y")*$H$4+SUMIFS('CEMIUP0.9 Raw'!$G$6:$G$1712,'CEMIUP0.9 Raw'!$B$6:$B$1712,$J327,'CEMIUP0.9 Raw'!$H$6:$H$1712,"Y")</f>
        <v>8166.60884210527</v>
      </c>
      <c r="H327" s="18" t="s">
        <v>44</v>
      </c>
      <c r="I327" s="18" t="s">
        <v>42</v>
      </c>
      <c r="J327" s="18" t="n">
        <v>4422004</v>
      </c>
    </row>
    <row r="328" customFormat="false" ht="15" hidden="false" customHeight="false" outlineLevel="0" collapsed="false">
      <c r="A328" s="18" t="n">
        <f aca="false">IF(ISNUMBER($J328),$J328,"")</f>
        <v>4411026</v>
      </c>
      <c r="B328" s="18" t="str">
        <f aca="false">IFERROR(INDEX('SALES Raw'!$B$6:$B$4467,MATCH($J328,'SALES Raw'!$J$6:$J$4467,0)),IFERROR(INDEX('CEMIUP0.9 Raw'!$B$6:$B$1712,MATCH($J328,'CEMIUP0.9 Raw'!$B$6:$B$1712,0)),$J328))</f>
        <v>213CTSL L</v>
      </c>
      <c r="C328" s="18" t="str">
        <f aca="false">IF(ISNUMBER($J328),IFERROR(INDEX('TRANS'!$C:$C,MATCH($J328,'TRANS'!$B:$B,0)),IFERROR(INDEX('Catalog'!$B:$B,MATCH($J328,'Catalog'!$A:$A,0)),$B328)),$B328)</f>
        <v>213CTSL L שמאל CTS כפפות</v>
      </c>
      <c r="D328" s="19" t="n">
        <f aca="false">SUMIFS('SALES Raw'!$C$6:$C$4467,'SALES Raw'!$J$6:$J$4467,$J328,'SALES Raw'!$K$6:$K$4467,"Y")+SUMIFS('CEMIUP0.9 Raw'!$D$6:$D$1712,'CEMIUP0.9 Raw'!$B$6:$B$1712,$J328,'CEMIUP0.9 Raw'!$H$6:$H$1712,"Y")</f>
        <v>29</v>
      </c>
      <c r="E328" s="19" t="n">
        <f aca="false">SUMIFS('SALES Raw'!$D$6:$D$4467,'SALES Raw'!$J$6:$J$4467,$J328,'SALES Raw'!$K$6:$K$4467,"Y")+SUMIFS('CEMIUP0.9 Raw'!$E$6:$E$1712,'CEMIUP0.9 Raw'!$B$6:$B$1712,$J328,'CEMIUP0.9 Raw'!$H$6:$H$1712,"Y")</f>
        <v>3078.88</v>
      </c>
      <c r="F328" s="19" t="n">
        <f aca="false">SUMIFS('SALES Raw'!$E$6:$E$4467,'SALES Raw'!$J$6:$J$4467,$J328,'SALES Raw'!$K$6:$K$4467,"Y")*$H$4+SUMIFS('CEMIUP0.9 Raw'!$F$6:$F$1712,'CEMIUP0.9 Raw'!$B$6:$B$1712,$J328,'CEMIUP0.9 Raw'!$H$6:$H$1712,"Y")</f>
        <v>46.7368421052632</v>
      </c>
      <c r="G328" s="19" t="n">
        <f aca="false">SUMIFS('SALES Raw'!$F$6:$F$4467,'SALES Raw'!$J$6:$J$4467,$J328,'SALES Raw'!$K$6:$K$4467,"Y")*$H$4+SUMIFS('CEMIUP0.9 Raw'!$G$6:$G$1712,'CEMIUP0.9 Raw'!$B$6:$B$1712,$J328,'CEMIUP0.9 Raw'!$H$6:$H$1712,"Y")</f>
        <v>7455.048</v>
      </c>
      <c r="H328" s="18" t="s">
        <v>42</v>
      </c>
      <c r="I328" s="18" t="s">
        <v>48</v>
      </c>
      <c r="J328" s="18" t="n">
        <v>4411026</v>
      </c>
    </row>
    <row r="329" customFormat="false" ht="15" hidden="false" customHeight="false" outlineLevel="0" collapsed="false">
      <c r="A329" s="18" t="n">
        <f aca="false">IF(ISNUMBER($J329),$J329,"")</f>
        <v>4413114</v>
      </c>
      <c r="B329" s="18" t="str">
        <f aca="false">IFERROR(INDEX('SALES Raw'!$B$6:$B$4467,MATCH($J329,'SALES Raw'!$J$6:$J$4467,0)),IFERROR(INDEX('CEMIUP0.9 Raw'!$B$6:$B$1712,MATCH($J329,'CEMIUP0.9 Raw'!$B$6:$B$1712,0)),$J329))</f>
        <v>49 XL</v>
      </c>
      <c r="C329" s="18" t="str">
        <f aca="false">IF(ISNUMBER($J329),IFERROR(INDEX('TRANS'!$C:$C,MATCH($J329,'TRANS'!$B:$B,0)),IFERROR(INDEX('Catalog'!$B:$B,MATCH($J329,'Catalog'!$A:$A,0)),$B329)),$B329)</f>
        <v>49 XL מגן ירך</v>
      </c>
      <c r="D329" s="19" t="n">
        <f aca="false">SUMIFS('SALES Raw'!$C$6:$C$4467,'SALES Raw'!$J$6:$J$4467,$J329,'SALES Raw'!$K$6:$K$4467,"Y")+SUMIFS('CEMIUP0.9 Raw'!$D$6:$D$1712,'CEMIUP0.9 Raw'!$B$6:$B$1712,$J329,'CEMIUP0.9 Raw'!$H$6:$H$1712,"Y")</f>
        <v>59</v>
      </c>
      <c r="E329" s="19" t="n">
        <f aca="false">SUMIFS('SALES Raw'!$D$6:$D$4467,'SALES Raw'!$J$6:$J$4467,$J329,'SALES Raw'!$K$6:$K$4467,"Y")+SUMIFS('CEMIUP0.9 Raw'!$E$6:$E$1712,'CEMIUP0.9 Raw'!$B$6:$B$1712,$J329,'CEMIUP0.9 Raw'!$H$6:$H$1712,"Y")</f>
        <v>1909.313</v>
      </c>
      <c r="F329" s="19" t="n">
        <f aca="false">SUMIFS('SALES Raw'!$E$6:$E$4467,'SALES Raw'!$J$6:$J$4467,$J329,'SALES Raw'!$K$6:$K$4467,"Y")*$H$4+SUMIFS('CEMIUP0.9 Raw'!$F$6:$F$1712,'CEMIUP0.9 Raw'!$B$6:$B$1712,$J329,'CEMIUP0.9 Raw'!$H$6:$H$1712,"Y")</f>
        <v>46.7368421052631</v>
      </c>
      <c r="G329" s="19" t="n">
        <f aca="false">SUMIFS('SALES Raw'!$F$6:$F$4467,'SALES Raw'!$J$6:$J$4467,$J329,'SALES Raw'!$K$6:$K$4467,"Y")*$H$4+SUMIFS('CEMIUP0.9 Raw'!$G$6:$G$1712,'CEMIUP0.9 Raw'!$B$6:$B$1712,$J329,'CEMIUP0.9 Raw'!$H$6:$H$1712,"Y")</f>
        <v>1371.86147368421</v>
      </c>
      <c r="H329" s="18" t="s">
        <v>48</v>
      </c>
      <c r="I329" s="18" t="s">
        <v>43</v>
      </c>
      <c r="J329" s="18" t="n">
        <v>4413114</v>
      </c>
    </row>
    <row r="330" customFormat="false" ht="15" hidden="false" customHeight="false" outlineLevel="0" collapsed="false">
      <c r="A330" s="18" t="n">
        <f aca="false">IF(ISNUMBER($J330),$J330,"")</f>
        <v>4413528</v>
      </c>
      <c r="B330" s="18" t="str">
        <f aca="false">IFERROR(INDEX('SALES Raw'!$B$6:$B$4467,MATCH($J330,'SALES Raw'!$J$6:$J$4467,0)),IFERROR(INDEX('CEMIUP0.9 Raw'!$B$6:$B$1712,MATCH($J330,'CEMIUP0.9 Raw'!$B$6:$B$1712,0)),$J330))</f>
        <v>379WRK-39-42</v>
      </c>
      <c r="C330" s="18" t="str">
        <f aca="false">IF(ISNUMBER($J330),IFERROR(INDEX('TRANS'!$C:$C,MATCH($J330,'TRANS'!$B:$B,0)),IFERROR(INDEX('Catalog'!$B:$B,MATCH($J330,'Catalog'!$A:$A,0)),$B330)),$B330)</f>
        <v>39-42 מדרסי אפיק ג'ל עבודה</v>
      </c>
      <c r="D330" s="19" t="n">
        <f aca="false">SUMIFS('SALES Raw'!$C$6:$C$4467,'SALES Raw'!$J$6:$J$4467,$J330,'SALES Raw'!$K$6:$K$4467,"Y")+SUMIFS('CEMIUP0.9 Raw'!$D$6:$D$1712,'CEMIUP0.9 Raw'!$B$6:$B$1712,$J330,'CEMIUP0.9 Raw'!$H$6:$H$1712,"Y")</f>
        <v>49</v>
      </c>
      <c r="E330" s="19" t="n">
        <f aca="false">SUMIFS('SALES Raw'!$D$6:$D$4467,'SALES Raw'!$J$6:$J$4467,$J330,'SALES Raw'!$K$6:$K$4467,"Y")+SUMIFS('CEMIUP0.9 Raw'!$E$6:$E$1712,'CEMIUP0.9 Raw'!$B$6:$B$1712,$J330,'CEMIUP0.9 Raw'!$H$6:$H$1712,"Y")</f>
        <v>6451.585</v>
      </c>
      <c r="F330" s="19" t="n">
        <f aca="false">SUMIFS('SALES Raw'!$E$6:$E$4467,'SALES Raw'!$J$6:$J$4467,$J330,'SALES Raw'!$K$6:$K$4467,"Y")*$H$4+SUMIFS('CEMIUP0.9 Raw'!$F$6:$F$1712,'CEMIUP0.9 Raw'!$B$6:$B$1712,$J330,'CEMIUP0.9 Raw'!$H$6:$H$1712,"Y")</f>
        <v>46.7368421052631</v>
      </c>
      <c r="G330" s="19" t="n">
        <f aca="false">SUMIFS('SALES Raw'!$F$6:$F$4467,'SALES Raw'!$J$6:$J$4467,$J330,'SALES Raw'!$K$6:$K$4467,"Y")*$H$4+SUMIFS('CEMIUP0.9 Raw'!$G$6:$G$1712,'CEMIUP0.9 Raw'!$B$6:$B$1712,$J330,'CEMIUP0.9 Raw'!$H$6:$H$1712,"Y")</f>
        <v>5826.76421052631</v>
      </c>
      <c r="H330" s="18" t="s">
        <v>43</v>
      </c>
      <c r="I330" s="18" t="s">
        <v>42</v>
      </c>
      <c r="J330" s="18" t="n">
        <v>4413528</v>
      </c>
    </row>
    <row r="331" customFormat="false" ht="15" hidden="false" customHeight="false" outlineLevel="0" collapsed="false">
      <c r="A331" s="18" t="n">
        <f aca="false">IF(ISNUMBER($J331),$J331,"")</f>
        <v>4408270</v>
      </c>
      <c r="B331" s="18" t="str">
        <f aca="false">IFERROR(INDEX('SALES Raw'!$B$6:$B$4467,MATCH($J331,'SALES Raw'!$J$6:$J$4467,0)),IFERROR(INDEX('CEMIUP0.9 Raw'!$B$6:$B$1712,MATCH($J331,'CEMIUP0.9 Raw'!$B$6:$B$1712,0)),$J331))</f>
        <v>ST11 0</v>
      </c>
      <c r="C331" s="18" t="str">
        <f aca="false">IF(ISNUMBER($J331),IFERROR(INDEX('TRANS'!$C:$C,MATCH($J331,'TRANS'!$B:$B,0)),IFERROR(INDEX('Catalog'!$B:$B,MATCH($J331,'Catalog'!$A:$A,0)),$B331)),$B331)</f>
        <v>ST11  חגורת בטן</v>
      </c>
      <c r="D331" s="19" t="n">
        <f aca="false">SUMIFS('SALES Raw'!$C$6:$C$4467,'SALES Raw'!$J$6:$J$4467,$J331,'SALES Raw'!$K$6:$K$4467,"Y")+SUMIFS('CEMIUP0.9 Raw'!$D$6:$D$1712,'CEMIUP0.9 Raw'!$B$6:$B$1712,$J331,'CEMIUP0.9 Raw'!$H$6:$H$1712,"Y")</f>
        <v>78</v>
      </c>
      <c r="E331" s="19" t="n">
        <f aca="false">SUMIFS('SALES Raw'!$D$6:$D$4467,'SALES Raw'!$J$6:$J$4467,$J331,'SALES Raw'!$K$6:$K$4467,"Y")+SUMIFS('CEMIUP0.9 Raw'!$E$6:$E$1712,'CEMIUP0.9 Raw'!$B$6:$B$1712,$J331,'CEMIUP0.9 Raw'!$H$6:$H$1712,"Y")</f>
        <v>4059.07</v>
      </c>
      <c r="F331" s="19" t="n">
        <f aca="false">SUMIFS('SALES Raw'!$E$6:$E$4467,'SALES Raw'!$J$6:$J$4467,$J331,'SALES Raw'!$K$6:$K$4467,"Y")*$H$4+SUMIFS('CEMIUP0.9 Raw'!$F$6:$F$1712,'CEMIUP0.9 Raw'!$B$6:$B$1712,$J331,'CEMIUP0.9 Raw'!$H$6:$H$1712,"Y")</f>
        <v>45.4736842105264</v>
      </c>
      <c r="G331" s="19" t="n">
        <f aca="false">SUMIFS('SALES Raw'!$F$6:$F$4467,'SALES Raw'!$J$6:$J$4467,$J331,'SALES Raw'!$K$6:$K$4467,"Y")*$H$4+SUMIFS('CEMIUP0.9 Raw'!$G$6:$G$1712,'CEMIUP0.9 Raw'!$B$6:$B$1712,$J331,'CEMIUP0.9 Raw'!$H$6:$H$1712,"Y")</f>
        <v>3969.47368421053</v>
      </c>
      <c r="H331" s="18" t="s">
        <v>42</v>
      </c>
      <c r="I331" s="18" t="s">
        <v>48</v>
      </c>
      <c r="J331" s="18" t="n">
        <v>4408270</v>
      </c>
    </row>
    <row r="332" customFormat="false" ht="15" hidden="false" customHeight="false" outlineLevel="0" collapsed="false">
      <c r="A332" s="18" t="n">
        <f aca="false">IF(ISNUMBER($J332),$J332,"")</f>
        <v>4413406</v>
      </c>
      <c r="B332" s="18" t="str">
        <f aca="false">IFERROR(INDEX('SALES Raw'!$B$6:$B$4467,MATCH($J332,'SALES Raw'!$J$6:$J$4467,0)),IFERROR(INDEX('CEMIUP0.9 Raw'!$B$6:$B$1712,MATCH($J332,'CEMIUP0.9 Raw'!$B$6:$B$1712,0)),$J332))</f>
        <v>SC95 M</v>
      </c>
      <c r="C332" s="18" t="str">
        <f aca="false">IF(ISNUMBER($J332),IFERROR(INDEX('TRANS'!$C:$C,MATCH($J332,'TRANS'!$B:$B,0)),IFERROR(INDEX('Catalog'!$B:$B,MATCH($J332,'Catalog'!$A:$A,0)),$B332)),$B332)</f>
        <v>SC95 M מגן מרפק</v>
      </c>
      <c r="D332" s="19" t="n">
        <f aca="false">SUMIFS('SALES Raw'!$C$6:$C$4467,'SALES Raw'!$J$6:$J$4467,$J332,'SALES Raw'!$K$6:$K$4467,"Y")+SUMIFS('CEMIUP0.9 Raw'!$D$6:$D$1712,'CEMIUP0.9 Raw'!$B$6:$B$1712,$J332,'CEMIUP0.9 Raw'!$H$6:$H$1712,"Y")</f>
        <v>83</v>
      </c>
      <c r="E332" s="19" t="n">
        <f aca="false">SUMIFS('SALES Raw'!$D$6:$D$4467,'SALES Raw'!$J$6:$J$4467,$J332,'SALES Raw'!$K$6:$K$4467,"Y")+SUMIFS('CEMIUP0.9 Raw'!$E$6:$E$1712,'CEMIUP0.9 Raw'!$B$6:$B$1712,$J332,'CEMIUP0.9 Raw'!$H$6:$H$1712,"Y")</f>
        <v>9598.217</v>
      </c>
      <c r="F332" s="19" t="n">
        <f aca="false">SUMIFS('SALES Raw'!$E$6:$E$4467,'SALES Raw'!$J$6:$J$4467,$J332,'SALES Raw'!$K$6:$K$4467,"Y")*$H$4+SUMIFS('CEMIUP0.9 Raw'!$F$6:$F$1712,'CEMIUP0.9 Raw'!$B$6:$B$1712,$J332,'CEMIUP0.9 Raw'!$H$6:$H$1712,"Y")</f>
        <v>45.4736842105263</v>
      </c>
      <c r="G332" s="19" t="n">
        <f aca="false">SUMIFS('SALES Raw'!$F$6:$F$4467,'SALES Raw'!$J$6:$J$4467,$J332,'SALES Raw'!$K$6:$K$4467,"Y")*$H$4+SUMIFS('CEMIUP0.9 Raw'!$G$6:$G$1712,'CEMIUP0.9 Raw'!$B$6:$B$1712,$J332,'CEMIUP0.9 Raw'!$H$6:$H$1712,"Y")</f>
        <v>5780.77515789474</v>
      </c>
      <c r="H332" s="18" t="s">
        <v>42</v>
      </c>
      <c r="I332" s="18" t="s">
        <v>43</v>
      </c>
      <c r="J332" s="18" t="n">
        <v>4413406</v>
      </c>
    </row>
    <row r="333" customFormat="false" ht="15" hidden="false" customHeight="false" outlineLevel="0" collapsed="false">
      <c r="A333" s="18" t="n">
        <f aca="false">IF(ISNUMBER($J333),$J333,"")</f>
        <v>4408260</v>
      </c>
      <c r="B333" s="18" t="str">
        <f aca="false">IFERROR(INDEX('SALES Raw'!$B$6:$B$4467,MATCH($J333,'SALES Raw'!$J$6:$J$4467,0)),IFERROR(INDEX('CEMIUP0.9 Raw'!$B$6:$B$1712,MATCH($J333,'CEMIUP0.9 Raw'!$B$6:$B$1712,0)),$J333))</f>
        <v>11STO M</v>
      </c>
      <c r="C333" s="18" t="str">
        <f aca="false">IF(ISNUMBER($J333),IFERROR(INDEX('TRANS'!$C:$C,MATCH($J333,'TRANS'!$B:$B,0)),IFERROR(INDEX('Catalog'!$B:$B,MATCH($J333,'Catalog'!$A:$A,0)),$B333)),$B333)</f>
        <v>11STO M חגורה אחרי ניתוח</v>
      </c>
      <c r="D333" s="19" t="n">
        <f aca="false">SUMIFS('SALES Raw'!$C$6:$C$4467,'SALES Raw'!$J$6:$J$4467,$J333,'SALES Raw'!$K$6:$K$4467,"Y")+SUMIFS('CEMIUP0.9 Raw'!$D$6:$D$1712,'CEMIUP0.9 Raw'!$B$6:$B$1712,$J333,'CEMIUP0.9 Raw'!$H$6:$H$1712,"Y")</f>
        <v>64</v>
      </c>
      <c r="E333" s="19" t="n">
        <f aca="false">SUMIFS('SALES Raw'!$D$6:$D$4467,'SALES Raw'!$J$6:$J$4467,$J333,'SALES Raw'!$K$6:$K$4467,"Y")+SUMIFS('CEMIUP0.9 Raw'!$E$6:$E$1712,'CEMIUP0.9 Raw'!$B$6:$B$1712,$J333,'CEMIUP0.9 Raw'!$H$6:$H$1712,"Y")</f>
        <v>8071.895</v>
      </c>
      <c r="F333" s="19" t="n">
        <f aca="false">SUMIFS('SALES Raw'!$E$6:$E$4467,'SALES Raw'!$J$6:$J$4467,$J333,'SALES Raw'!$K$6:$K$4467,"Y")*$H$4+SUMIFS('CEMIUP0.9 Raw'!$F$6:$F$1712,'CEMIUP0.9 Raw'!$B$6:$B$1712,$J333,'CEMIUP0.9 Raw'!$H$6:$H$1712,"Y")</f>
        <v>45.4736842105263</v>
      </c>
      <c r="G333" s="19" t="n">
        <f aca="false">SUMIFS('SALES Raw'!$F$6:$F$4467,'SALES Raw'!$J$6:$J$4467,$J333,'SALES Raw'!$K$6:$K$4467,"Y")*$H$4+SUMIFS('CEMIUP0.9 Raw'!$G$6:$G$1712,'CEMIUP0.9 Raw'!$B$6:$B$1712,$J333,'CEMIUP0.9 Raw'!$H$6:$H$1712,"Y")</f>
        <v>5729.7852631579</v>
      </c>
      <c r="H333" s="18" t="s">
        <v>44</v>
      </c>
      <c r="I333" s="18" t="s">
        <v>43</v>
      </c>
      <c r="J333" s="18" t="n">
        <v>4408260</v>
      </c>
    </row>
    <row r="334" customFormat="false" ht="15" hidden="false" customHeight="false" outlineLevel="0" collapsed="false">
      <c r="A334" s="18" t="str">
        <f aca="false">IF(ISNUMBER($J334),$J334,"")</f>
        <v/>
      </c>
      <c r="B334" s="18" t="str">
        <f aca="false">IFERROR(INDEX('SALES Raw'!$B$6:$B$4467,MATCH($J334,'SALES Raw'!$J$6:$J$4467,0)),IFERROR(INDEX('CEMIUP0.9 Raw'!$B$6:$B$1712,MATCH($J334,'CEMIUP0.9 Raw'!$B$6:$B$1712,0)),$J334))</f>
        <v>11 XL""חגורת בטן""אורירית</v>
      </c>
      <c r="C334" s="18" t="str">
        <f aca="false">IF(ISNUMBER($J334),IFERROR(INDEX('TRANS'!$C:$C,MATCH($J334,'TRANS'!$B:$B,0)),IFERROR(INDEX('Catalog'!$B:$B,MATCH($J334,'Catalog'!$A:$A,0)),$B334)),$B334)</f>
        <v>11 XL""חגורת בטן""אורירית</v>
      </c>
      <c r="D334" s="19" t="n">
        <f aca="false">SUMIFS('SALES Raw'!$C$6:$C$4467,'SALES Raw'!$J$6:$J$4467,$J334,'SALES Raw'!$K$6:$K$4467,"Y")+SUMIFS('CEMIUP0.9 Raw'!$D$6:$D$1712,'CEMIUP0.9 Raw'!$B$6:$B$1712,$J334,'CEMIUP0.9 Raw'!$H$6:$H$1712,"Y")</f>
        <v>0</v>
      </c>
      <c r="E334" s="19" t="n">
        <f aca="false">SUMIFS('SALES Raw'!$D$6:$D$4467,'SALES Raw'!$J$6:$J$4467,$J334,'SALES Raw'!$K$6:$K$4467,"Y")+SUMIFS('CEMIUP0.9 Raw'!$E$6:$E$1712,'CEMIUP0.9 Raw'!$B$6:$B$1712,$J334,'CEMIUP0.9 Raw'!$H$6:$H$1712,"Y")</f>
        <v>0</v>
      </c>
      <c r="F334" s="19" t="n">
        <f aca="false">SUMIFS('SALES Raw'!$E$6:$E$4467,'SALES Raw'!$J$6:$J$4467,$J334,'SALES Raw'!$K$6:$K$4467,"Y")*$H$4+SUMIFS('CEMIUP0.9 Raw'!$F$6:$F$1712,'CEMIUP0.9 Raw'!$B$6:$B$1712,$J334,'CEMIUP0.9 Raw'!$H$6:$H$1712,"Y")</f>
        <v>45.4736842105263</v>
      </c>
      <c r="G334" s="19" t="n">
        <f aca="false">SUMIFS('SALES Raw'!$F$6:$F$4467,'SALES Raw'!$J$6:$J$4467,$J334,'SALES Raw'!$K$6:$K$4467,"Y")*$H$4+SUMIFS('CEMIUP0.9 Raw'!$G$6:$G$1712,'CEMIUP0.9 Raw'!$B$6:$B$1712,$J334,'CEMIUP0.9 Raw'!$H$6:$H$1712,"Y")</f>
        <v>2910.35242105263</v>
      </c>
      <c r="H334" s="18" t="s">
        <v>48</v>
      </c>
      <c r="I334" s="18"/>
      <c r="J334" s="18" t="s">
        <v>69</v>
      </c>
    </row>
    <row r="335" customFormat="false" ht="15" hidden="false" customHeight="false" outlineLevel="0" collapsed="false">
      <c r="A335" s="18" t="n">
        <f aca="false">IF(ISNUMBER($J335),$J335,"")</f>
        <v>4408096</v>
      </c>
      <c r="B335" s="18" t="str">
        <f aca="false">IFERROR(INDEX('SALES Raw'!$B$6:$B$4467,MATCH($J335,'SALES Raw'!$J$6:$J$4467,0)),IFERROR(INDEX('CEMIUP0.9 Raw'!$B$6:$B$1712,MATCH($J335,'CEMIUP0.9 Raw'!$B$6:$B$1712,0)),$J335))</f>
        <v>T20C-S-M</v>
      </c>
      <c r="C335" s="18" t="str">
        <f aca="false">IF(ISNUMBER($J335),IFERROR(INDEX('TRANS'!$C:$C,MATCH($J335,'TRANS'!$B:$B,0)),IFERROR(INDEX('Catalog'!$B:$B,MATCH($J335,'Catalog'!$A:$A,0)),$B335)),$B335)</f>
        <v>T20C S-M חבק יד עם צמדןחום</v>
      </c>
      <c r="D335" s="19" t="n">
        <f aca="false">SUMIFS('SALES Raw'!$C$6:$C$4467,'SALES Raw'!$J$6:$J$4467,$J335,'SALES Raw'!$K$6:$K$4467,"Y")+SUMIFS('CEMIUP0.9 Raw'!$D$6:$D$1712,'CEMIUP0.9 Raw'!$B$6:$B$1712,$J335,'CEMIUP0.9 Raw'!$H$6:$H$1712,"Y")</f>
        <v>132</v>
      </c>
      <c r="E335" s="19" t="n">
        <f aca="false">SUMIFS('SALES Raw'!$D$6:$D$4467,'SALES Raw'!$J$6:$J$4467,$J335,'SALES Raw'!$K$6:$K$4467,"Y")+SUMIFS('CEMIUP0.9 Raw'!$E$6:$E$1712,'CEMIUP0.9 Raw'!$B$6:$B$1712,$J335,'CEMIUP0.9 Raw'!$H$6:$H$1712,"Y")</f>
        <v>4360.689</v>
      </c>
      <c r="F335" s="19" t="n">
        <f aca="false">SUMIFS('SALES Raw'!$E$6:$E$4467,'SALES Raw'!$J$6:$J$4467,$J335,'SALES Raw'!$K$6:$K$4467,"Y")*$H$4+SUMIFS('CEMIUP0.9 Raw'!$F$6:$F$1712,'CEMIUP0.9 Raw'!$B$6:$B$1712,$J335,'CEMIUP0.9 Raw'!$H$6:$H$1712,"Y")</f>
        <v>45.4736842105263</v>
      </c>
      <c r="G335" s="19" t="n">
        <f aca="false">SUMIFS('SALES Raw'!$F$6:$F$4467,'SALES Raw'!$J$6:$J$4467,$J335,'SALES Raw'!$K$6:$K$4467,"Y")*$H$4+SUMIFS('CEMIUP0.9 Raw'!$G$6:$G$1712,'CEMIUP0.9 Raw'!$B$6:$B$1712,$J335,'CEMIUP0.9 Raw'!$H$6:$H$1712,"Y")</f>
        <v>1234.13178947368</v>
      </c>
      <c r="H335" s="18" t="s">
        <v>43</v>
      </c>
      <c r="I335" s="18" t="s">
        <v>53</v>
      </c>
      <c r="J335" s="18" t="n">
        <v>4408096</v>
      </c>
    </row>
    <row r="336" customFormat="false" ht="15" hidden="false" customHeight="false" outlineLevel="0" collapsed="false">
      <c r="A336" s="18" t="str">
        <f aca="false">IF(ISNUMBER($J336),$J336,"")</f>
        <v/>
      </c>
      <c r="B336" s="18" t="str">
        <f aca="false">IFERROR(INDEX('SALES Raw'!$B$6:$B$4467,MATCH($J336,'SALES Raw'!$J$6:$J$4467,0)),IFERROR(INDEX('CEMIUP0.9 Raw'!$B$6:$B$1712,MATCH($J336,'CEMIUP0.9 Raw'!$B$6:$B$1712,0)),$J336))</f>
        <v>ST27R 0</v>
      </c>
      <c r="C336" s="18" t="str">
        <f aca="false">IF(ISNUMBER($J336),IFERROR(INDEX('TRANS'!$C:$C,MATCH($J336,'TRANS'!$B:$B,0)),IFERROR(INDEX('Catalog'!$B:$B,MATCH($J336,'Catalog'!$A:$A,0)),$B336)),$B336)</f>
        <v>ST27R 0</v>
      </c>
      <c r="D336" s="19" t="n">
        <f aca="false">SUMIFS('SALES Raw'!$C$6:$C$4467,'SALES Raw'!$J$6:$J$4467,$J336,'SALES Raw'!$K$6:$K$4467,"Y")+SUMIFS('CEMIUP0.9 Raw'!$D$6:$D$1712,'CEMIUP0.9 Raw'!$B$6:$B$1712,$J336,'CEMIUP0.9 Raw'!$H$6:$H$1712,"Y")</f>
        <v>59</v>
      </c>
      <c r="E336" s="19" t="n">
        <f aca="false">SUMIFS('SALES Raw'!$D$6:$D$4467,'SALES Raw'!$J$6:$J$4467,$J336,'SALES Raw'!$K$6:$K$4467,"Y")+SUMIFS('CEMIUP0.9 Raw'!$E$6:$E$1712,'CEMIUP0.9 Raw'!$B$6:$B$1712,$J336,'CEMIUP0.9 Raw'!$H$6:$H$1712,"Y")</f>
        <v>4580.71</v>
      </c>
      <c r="F336" s="19" t="n">
        <f aca="false">SUMIFS('SALES Raw'!$E$6:$E$4467,'SALES Raw'!$J$6:$J$4467,$J336,'SALES Raw'!$K$6:$K$4467,"Y")*$H$4+SUMIFS('CEMIUP0.9 Raw'!$F$6:$F$1712,'CEMIUP0.9 Raw'!$B$6:$B$1712,$J336,'CEMIUP0.9 Raw'!$H$6:$H$1712,"Y")</f>
        <v>44.2105263157895</v>
      </c>
      <c r="G336" s="19" t="n">
        <f aca="false">SUMIFS('SALES Raw'!$F$6:$F$4467,'SALES Raw'!$J$6:$J$4467,$J336,'SALES Raw'!$K$6:$K$4467,"Y")*$H$4+SUMIFS('CEMIUP0.9 Raw'!$G$6:$G$1712,'CEMIUP0.9 Raw'!$B$6:$B$1712,$J336,'CEMIUP0.9 Raw'!$H$6:$H$1712,"Y")</f>
        <v>3662.71578947368</v>
      </c>
      <c r="H336" s="18" t="s">
        <v>42</v>
      </c>
      <c r="I336" s="18" t="s">
        <v>46</v>
      </c>
      <c r="J336" s="18" t="s">
        <v>70</v>
      </c>
    </row>
    <row r="337" customFormat="false" ht="15" hidden="false" customHeight="false" outlineLevel="0" collapsed="false">
      <c r="A337" s="18" t="n">
        <f aca="false">IF(ISNUMBER($J337),$J337,"")</f>
        <v>4413127</v>
      </c>
      <c r="B337" s="18" t="str">
        <f aca="false">IFERROR(INDEX('SALES Raw'!$B$6:$B$4467,MATCH($J337,'SALES Raw'!$J$6:$J$4467,0)),IFERROR(INDEX('CEMIUP0.9 Raw'!$B$6:$B$1712,MATCH($J337,'CEMIUP0.9 Raw'!$B$6:$B$1712,0)),$J337))</f>
        <v>75 L</v>
      </c>
      <c r="C337" s="18" t="str">
        <f aca="false">IF(ISNUMBER($J337),IFERROR(INDEX('TRANS'!$C:$C,MATCH($J337,'TRANS'!$B:$B,0)),IFERROR(INDEX('Catalog'!$B:$B,MATCH($J337,'Catalog'!$A:$A,0)),$B337)),$B337)</f>
        <v>75 Lמיישר כתף יציב יישור גב צר</v>
      </c>
      <c r="D337" s="19" t="n">
        <f aca="false">SUMIFS('SALES Raw'!$C$6:$C$4467,'SALES Raw'!$J$6:$J$4467,$J337,'SALES Raw'!$K$6:$K$4467,"Y")+SUMIFS('CEMIUP0.9 Raw'!$D$6:$D$1712,'CEMIUP0.9 Raw'!$B$6:$B$1712,$J337,'CEMIUP0.9 Raw'!$H$6:$H$1712,"Y")</f>
        <v>40</v>
      </c>
      <c r="E337" s="19" t="n">
        <f aca="false">SUMIFS('SALES Raw'!$D$6:$D$4467,'SALES Raw'!$J$6:$J$4467,$J337,'SALES Raw'!$K$6:$K$4467,"Y")+SUMIFS('CEMIUP0.9 Raw'!$E$6:$E$1712,'CEMIUP0.9 Raw'!$B$6:$B$1712,$J337,'CEMIUP0.9 Raw'!$H$6:$H$1712,"Y")</f>
        <v>6942.595</v>
      </c>
      <c r="F337" s="19" t="n">
        <f aca="false">SUMIFS('SALES Raw'!$E$6:$E$4467,'SALES Raw'!$J$6:$J$4467,$J337,'SALES Raw'!$K$6:$K$4467,"Y")*$H$4+SUMIFS('CEMIUP0.9 Raw'!$F$6:$F$1712,'CEMIUP0.9 Raw'!$B$6:$B$1712,$J337,'CEMIUP0.9 Raw'!$H$6:$H$1712,"Y")</f>
        <v>44.2105263157895</v>
      </c>
      <c r="G337" s="19" t="n">
        <f aca="false">SUMIFS('SALES Raw'!$F$6:$F$4467,'SALES Raw'!$J$6:$J$4467,$J337,'SALES Raw'!$K$6:$K$4467,"Y")*$H$4+SUMIFS('CEMIUP0.9 Raw'!$G$6:$G$1712,'CEMIUP0.9 Raw'!$B$6:$B$1712,$J337,'CEMIUP0.9 Raw'!$H$6:$H$1712,"Y")</f>
        <v>8021.42652631579</v>
      </c>
      <c r="H337" s="18" t="s">
        <v>43</v>
      </c>
      <c r="I337" s="18" t="s">
        <v>44</v>
      </c>
      <c r="J337" s="18" t="n">
        <v>4413127</v>
      </c>
    </row>
    <row r="338" customFormat="false" ht="15" hidden="false" customHeight="false" outlineLevel="0" collapsed="false">
      <c r="A338" s="18" t="n">
        <f aca="false">IF(ISNUMBER($J338),$J338,"")</f>
        <v>4403008</v>
      </c>
      <c r="B338" s="18" t="str">
        <f aca="false">IFERROR(INDEX('SALES Raw'!$B$6:$B$4467,MATCH($J338,'SALES Raw'!$J$6:$J$4467,0)),IFERROR(INDEX('CEMIUP0.9 Raw'!$B$6:$B$1712,MATCH($J338,'CEMIUP0.9 Raw'!$B$6:$B$1712,0)),$J338))</f>
        <v>390W-43-46</v>
      </c>
      <c r="C338" s="18" t="str">
        <f aca="false">IF(ISNUMBER($J338),IFERROR(INDEX('TRANS'!$C:$C,MATCH($J338,'TRANS'!$B:$B,0)),IFERROR(INDEX('Catalog'!$B:$B,MATCH($J338,'Catalog'!$A:$A,0)),$B338)),$B338)</f>
        <v>390W גרב.כסף לסכרתיים לבן43-46</v>
      </c>
      <c r="D338" s="19" t="n">
        <f aca="false">SUMIFS('SALES Raw'!$C$6:$C$4467,'SALES Raw'!$J$6:$J$4467,$J338,'SALES Raw'!$K$6:$K$4467,"Y")+SUMIFS('CEMIUP0.9 Raw'!$D$6:$D$1712,'CEMIUP0.9 Raw'!$B$6:$B$1712,$J338,'CEMIUP0.9 Raw'!$H$6:$H$1712,"Y")</f>
        <v>131</v>
      </c>
      <c r="E338" s="19" t="n">
        <f aca="false">SUMIFS('SALES Raw'!$D$6:$D$4467,'SALES Raw'!$J$6:$J$4467,$J338,'SALES Raw'!$K$6:$K$4467,"Y")+SUMIFS('CEMIUP0.9 Raw'!$E$6:$E$1712,'CEMIUP0.9 Raw'!$B$6:$B$1712,$J338,'CEMIUP0.9 Raw'!$H$6:$H$1712,"Y")</f>
        <v>4657.701</v>
      </c>
      <c r="F338" s="19" t="n">
        <f aca="false">SUMIFS('SALES Raw'!$E$6:$E$4467,'SALES Raw'!$J$6:$J$4467,$J338,'SALES Raw'!$K$6:$K$4467,"Y")*$H$4+SUMIFS('CEMIUP0.9 Raw'!$F$6:$F$1712,'CEMIUP0.9 Raw'!$B$6:$B$1712,$J338,'CEMIUP0.9 Raw'!$H$6:$H$1712,"Y")</f>
        <v>44.2105263157894</v>
      </c>
      <c r="G338" s="19" t="n">
        <f aca="false">SUMIFS('SALES Raw'!$F$6:$F$4467,'SALES Raw'!$J$6:$J$4467,$J338,'SALES Raw'!$K$6:$K$4467,"Y")*$H$4+SUMIFS('CEMIUP0.9 Raw'!$G$6:$G$1712,'CEMIUP0.9 Raw'!$B$6:$B$1712,$J338,'CEMIUP0.9 Raw'!$H$6:$H$1712,"Y")</f>
        <v>1628.48084210526</v>
      </c>
      <c r="H338" s="18" t="s">
        <v>43</v>
      </c>
      <c r="I338" s="18" t="s">
        <v>42</v>
      </c>
      <c r="J338" s="18" t="n">
        <v>4403008</v>
      </c>
    </row>
    <row r="339" customFormat="false" ht="15" hidden="false" customHeight="false" outlineLevel="0" collapsed="false">
      <c r="A339" s="18" t="n">
        <f aca="false">IF(ISNUMBER($J339),$J339,"")</f>
        <v>4408076</v>
      </c>
      <c r="B339" s="18" t="str">
        <f aca="false">IFERROR(INDEX('SALES Raw'!$B$6:$B$4467,MATCH($J339,'SALES Raw'!$J$6:$J$4467,0)),IFERROR(INDEX('CEMIUP0.9 Raw'!$B$6:$B$1712,MATCH($J339,'CEMIUP0.9 Raw'!$B$6:$B$1712,0)),$J339))</f>
        <v>59L L</v>
      </c>
      <c r="C339" s="18" t="str">
        <f aca="false">IF(ISNUMBER($J339),IFERROR(INDEX('TRANS'!$C:$C,MATCH($J339,'TRANS'!$B:$B,0)),IFERROR(INDEX('Catalog'!$B:$B,MATCH($J339,'Catalog'!$A:$A,0)),$B339)),$B339)</f>
        <v>59L L חגורת שבר לצד שמאל</v>
      </c>
      <c r="D339" s="19" t="n">
        <f aca="false">SUMIFS('SALES Raw'!$C$6:$C$4467,'SALES Raw'!$J$6:$J$4467,$J339,'SALES Raw'!$K$6:$K$4467,"Y")+SUMIFS('CEMIUP0.9 Raw'!$D$6:$D$1712,'CEMIUP0.9 Raw'!$B$6:$B$1712,$J339,'CEMIUP0.9 Raw'!$H$6:$H$1712,"Y")</f>
        <v>44</v>
      </c>
      <c r="E339" s="19" t="n">
        <f aca="false">SUMIFS('SALES Raw'!$D$6:$D$4467,'SALES Raw'!$J$6:$J$4467,$J339,'SALES Raw'!$K$6:$K$4467,"Y")+SUMIFS('CEMIUP0.9 Raw'!$E$6:$E$1712,'CEMIUP0.9 Raw'!$B$6:$B$1712,$J339,'CEMIUP0.9 Raw'!$H$6:$H$1712,"Y")</f>
        <v>7733.535</v>
      </c>
      <c r="F339" s="19" t="n">
        <f aca="false">SUMIFS('SALES Raw'!$E$6:$E$4467,'SALES Raw'!$J$6:$J$4467,$J339,'SALES Raw'!$K$6:$K$4467,"Y")*$H$4+SUMIFS('CEMIUP0.9 Raw'!$F$6:$F$1712,'CEMIUP0.9 Raw'!$B$6:$B$1712,$J339,'CEMIUP0.9 Raw'!$H$6:$H$1712,"Y")</f>
        <v>42.9473684210526</v>
      </c>
      <c r="G339" s="19" t="n">
        <f aca="false">SUMIFS('SALES Raw'!$F$6:$F$4467,'SALES Raw'!$J$6:$J$4467,$J339,'SALES Raw'!$K$6:$K$4467,"Y")*$H$4+SUMIFS('CEMIUP0.9 Raw'!$G$6:$G$1712,'CEMIUP0.9 Raw'!$B$6:$B$1712,$J339,'CEMIUP0.9 Raw'!$H$6:$H$1712,"Y")</f>
        <v>6844.28210526316</v>
      </c>
      <c r="H339" s="18" t="s">
        <v>44</v>
      </c>
      <c r="I339" s="18" t="s">
        <v>43</v>
      </c>
      <c r="J339" s="18" t="n">
        <v>4408076</v>
      </c>
    </row>
    <row r="340" customFormat="false" ht="15" hidden="false" customHeight="false" outlineLevel="0" collapsed="false">
      <c r="A340" s="18" t="n">
        <f aca="false">IF(ISNUMBER($J340),$J340,"")</f>
        <v>4420025</v>
      </c>
      <c r="B340" s="18" t="str">
        <f aca="false">IFERROR(INDEX('SALES Raw'!$B$6:$B$4467,MATCH($J340,'SALES Raw'!$J$6:$J$4467,0)),IFERROR(INDEX('CEMIUP0.9 Raw'!$B$6:$B$1712,MATCH($J340,'CEMIUP0.9 Raw'!$B$6:$B$1712,0)),$J340))</f>
        <v>LF374 0</v>
      </c>
      <c r="C340" s="18" t="str">
        <f aca="false">IF(ISNUMBER($J340),IFERROR(INDEX('TRANS'!$C:$C,MATCH($J340,'TRANS'!$B:$B,0)),IFERROR(INDEX('Catalog'!$B:$B,MATCH($J340,'Catalog'!$A:$A,0)),$B340)),$B340)</f>
        <v>LF374 ריפוד סיליק.לעקב תחתון</v>
      </c>
      <c r="D340" s="19" t="n">
        <f aca="false">SUMIFS('SALES Raw'!$C$6:$C$4467,'SALES Raw'!$J$6:$J$4467,$J340,'SALES Raw'!$K$6:$K$4467,"Y")+SUMIFS('CEMIUP0.9 Raw'!$D$6:$D$1712,'CEMIUP0.9 Raw'!$B$6:$B$1712,$J340,'CEMIUP0.9 Raw'!$H$6:$H$1712,"Y")</f>
        <v>126</v>
      </c>
      <c r="E340" s="19" t="n">
        <f aca="false">SUMIFS('SALES Raw'!$D$6:$D$4467,'SALES Raw'!$J$6:$J$4467,$J340,'SALES Raw'!$K$6:$K$4467,"Y")+SUMIFS('CEMIUP0.9 Raw'!$E$6:$E$1712,'CEMIUP0.9 Raw'!$B$6:$B$1712,$J340,'CEMIUP0.9 Raw'!$H$6:$H$1712,"Y")</f>
        <v>2385.52</v>
      </c>
      <c r="F340" s="19" t="n">
        <f aca="false">SUMIFS('SALES Raw'!$E$6:$E$4467,'SALES Raw'!$J$6:$J$4467,$J340,'SALES Raw'!$K$6:$K$4467,"Y")*$H$4+SUMIFS('CEMIUP0.9 Raw'!$F$6:$F$1712,'CEMIUP0.9 Raw'!$B$6:$B$1712,$J340,'CEMIUP0.9 Raw'!$H$6:$H$1712,"Y")</f>
        <v>42.9473684210526</v>
      </c>
      <c r="G340" s="19" t="n">
        <f aca="false">SUMIFS('SALES Raw'!$F$6:$F$4467,'SALES Raw'!$J$6:$J$4467,$J340,'SALES Raw'!$K$6:$K$4467,"Y")*$H$4+SUMIFS('CEMIUP0.9 Raw'!$G$6:$G$1712,'CEMIUP0.9 Raw'!$B$6:$B$1712,$J340,'CEMIUP0.9 Raw'!$H$6:$H$1712,"Y")</f>
        <v>727.431157894737</v>
      </c>
      <c r="H340" s="18" t="s">
        <v>48</v>
      </c>
      <c r="I340" s="18" t="s">
        <v>43</v>
      </c>
      <c r="J340" s="18" t="n">
        <v>4420025</v>
      </c>
    </row>
    <row r="341" customFormat="false" ht="15" hidden="false" customHeight="false" outlineLevel="0" collapsed="false">
      <c r="A341" s="18" t="n">
        <f aca="false">IF(ISNUMBER($J341),$J341,"")</f>
        <v>4413117</v>
      </c>
      <c r="B341" s="18" t="str">
        <f aca="false">IFERROR(INDEX('SALES Raw'!$B$6:$B$4467,MATCH($J341,'SALES Raw'!$J$6:$J$4467,0)),IFERROR(INDEX('CEMIUP0.9 Raw'!$B$6:$B$1712,MATCH($J341,'CEMIUP0.9 Raw'!$B$6:$B$1712,0)),$J341))</f>
        <v>50 L</v>
      </c>
      <c r="C341" s="18" t="str">
        <f aca="false">IF(ISNUMBER($J341),IFERROR(INDEX('TRANS'!$C:$C,MATCH($J341,'TRANS'!$B:$B,0)),IFERROR(INDEX('Catalog'!$B:$B,MATCH($J341,'Catalog'!$A:$A,0)),$B341)),$B341)</f>
        <v>50 L מתלה אשכים לאחר ניתוח</v>
      </c>
      <c r="D341" s="19" t="n">
        <f aca="false">SUMIFS('SALES Raw'!$C$6:$C$4467,'SALES Raw'!$J$6:$J$4467,$J341,'SALES Raw'!$K$6:$K$4467,"Y")+SUMIFS('CEMIUP0.9 Raw'!$D$6:$D$1712,'CEMIUP0.9 Raw'!$B$6:$B$1712,$J341,'CEMIUP0.9 Raw'!$H$6:$H$1712,"Y")</f>
        <v>52</v>
      </c>
      <c r="E341" s="19" t="n">
        <f aca="false">SUMIFS('SALES Raw'!$D$6:$D$4467,'SALES Raw'!$J$6:$J$4467,$J341,'SALES Raw'!$K$6:$K$4467,"Y")+SUMIFS('CEMIUP0.9 Raw'!$E$6:$E$1712,'CEMIUP0.9 Raw'!$B$6:$B$1712,$J341,'CEMIUP0.9 Raw'!$H$6:$H$1712,"Y")</f>
        <v>5650.525</v>
      </c>
      <c r="F341" s="19" t="n">
        <f aca="false">SUMIFS('SALES Raw'!$E$6:$E$4467,'SALES Raw'!$J$6:$J$4467,$J341,'SALES Raw'!$K$6:$K$4467,"Y")*$H$4+SUMIFS('CEMIUP0.9 Raw'!$F$6:$F$1712,'CEMIUP0.9 Raw'!$B$6:$B$1712,$J341,'CEMIUP0.9 Raw'!$H$6:$H$1712,"Y")</f>
        <v>41.6842105263158</v>
      </c>
      <c r="G341" s="19" t="n">
        <f aca="false">SUMIFS('SALES Raw'!$F$6:$F$4467,'SALES Raw'!$J$6:$J$4467,$J341,'SALES Raw'!$K$6:$K$4467,"Y")*$H$4+SUMIFS('CEMIUP0.9 Raw'!$G$6:$G$1712,'CEMIUP0.9 Raw'!$B$6:$B$1712,$J341,'CEMIUP0.9 Raw'!$H$6:$H$1712,"Y")</f>
        <v>5132.00968421053</v>
      </c>
      <c r="H341" s="18" t="s">
        <v>43</v>
      </c>
      <c r="I341" s="18" t="s">
        <v>44</v>
      </c>
      <c r="J341" s="18" t="n">
        <v>4413117</v>
      </c>
    </row>
    <row r="342" customFormat="false" ht="15" hidden="false" customHeight="false" outlineLevel="0" collapsed="false">
      <c r="A342" s="18" t="n">
        <f aca="false">IF(ISNUMBER($J342),$J342,"")</f>
        <v>4408115</v>
      </c>
      <c r="B342" s="18" t="str">
        <f aca="false">IFERROR(INDEX('SALES Raw'!$B$6:$B$4467,MATCH($J342,'SALES Raw'!$J$6:$J$4467,0)),IFERROR(INDEX('CEMIUP0.9 Raw'!$B$6:$B$1712,MATCH($J342,'CEMIUP0.9 Raw'!$B$6:$B$1712,0)),$J342))</f>
        <v>11EU L</v>
      </c>
      <c r="C342" s="18" t="str">
        <f aca="false">IF(ISNUMBER($J342),IFERROR(INDEX('TRANS'!$C:$C,MATCH($J342,'TRANS'!$B:$B,0)),IFERROR(INDEX('Catalog'!$B:$B,MATCH($J342,'Catalog'!$A:$A,0)),$B342)),$B342)</f>
        <v>11EU L ח.בטן לאחר ניתוח</v>
      </c>
      <c r="D342" s="19" t="n">
        <f aca="false">SUMIFS('SALES Raw'!$C$6:$C$4467,'SALES Raw'!$J$6:$J$4467,$J342,'SALES Raw'!$K$6:$K$4467,"Y")+SUMIFS('CEMIUP0.9 Raw'!$D$6:$D$1712,'CEMIUP0.9 Raw'!$B$6:$B$1712,$J342,'CEMIUP0.9 Raw'!$H$6:$H$1712,"Y")</f>
        <v>56</v>
      </c>
      <c r="E342" s="19" t="n">
        <f aca="false">SUMIFS('SALES Raw'!$D$6:$D$4467,'SALES Raw'!$J$6:$J$4467,$J342,'SALES Raw'!$K$6:$K$4467,"Y")+SUMIFS('CEMIUP0.9 Raw'!$E$6:$E$1712,'CEMIUP0.9 Raw'!$B$6:$B$1712,$J342,'CEMIUP0.9 Raw'!$H$6:$H$1712,"Y")</f>
        <v>5956.206</v>
      </c>
      <c r="F342" s="19" t="n">
        <f aca="false">SUMIFS('SALES Raw'!$E$6:$E$4467,'SALES Raw'!$J$6:$J$4467,$J342,'SALES Raw'!$K$6:$K$4467,"Y")*$H$4+SUMIFS('CEMIUP0.9 Raw'!$F$6:$F$1712,'CEMIUP0.9 Raw'!$B$6:$B$1712,$J342,'CEMIUP0.9 Raw'!$H$6:$H$1712,"Y")</f>
        <v>41.6842105263158</v>
      </c>
      <c r="G342" s="19" t="n">
        <f aca="false">SUMIFS('SALES Raw'!$F$6:$F$4467,'SALES Raw'!$J$6:$J$4467,$J342,'SALES Raw'!$K$6:$K$4467,"Y")*$H$4+SUMIFS('CEMIUP0.9 Raw'!$G$6:$G$1712,'CEMIUP0.9 Raw'!$B$6:$B$1712,$J342,'CEMIUP0.9 Raw'!$H$6:$H$1712,"Y")</f>
        <v>4927.91242105263</v>
      </c>
      <c r="H342" s="18" t="s">
        <v>43</v>
      </c>
      <c r="I342" s="18" t="s">
        <v>44</v>
      </c>
      <c r="J342" s="18" t="n">
        <v>4408115</v>
      </c>
    </row>
    <row r="343" customFormat="false" ht="15" hidden="false" customHeight="false" outlineLevel="0" collapsed="false">
      <c r="A343" s="18" t="str">
        <f aca="false">IF(ISNUMBER($J343),$J343,"")</f>
        <v/>
      </c>
      <c r="B343" s="18" t="str">
        <f aca="false">IFERROR(INDEX('SALES Raw'!$B$6:$B$4467,MATCH($J343,'SALES Raw'!$J$6:$J$4467,0)),IFERROR(INDEX('CEMIUP0.9 Raw'!$B$6:$B$1712,MATCH($J343,'CEMIUP0.9 Raw'!$B$6:$B$1712,0)),$J343))</f>
        <v>MSG001FB 0</v>
      </c>
      <c r="C343" s="18" t="str">
        <f aca="false">IF(ISNUMBER($J343),IFERROR(INDEX('TRANS'!$C:$C,MATCH($J343,'TRANS'!$B:$B,0)),IFERROR(INDEX('Catalog'!$B:$B,MATCH($J343,'Catalog'!$A:$A,0)),$B343)),$B343)</f>
        <v>MSG001FB 0</v>
      </c>
      <c r="D343" s="19" t="n">
        <f aca="false">SUMIFS('SALES Raw'!$C$6:$C$4467,'SALES Raw'!$J$6:$J$4467,$J343,'SALES Raw'!$K$6:$K$4467,"Y")+SUMIFS('CEMIUP0.9 Raw'!$D$6:$D$1712,'CEMIUP0.9 Raw'!$B$6:$B$1712,$J343,'CEMIUP0.9 Raw'!$H$6:$H$1712,"Y")</f>
        <v>0</v>
      </c>
      <c r="E343" s="19" t="n">
        <f aca="false">SUMIFS('SALES Raw'!$D$6:$D$4467,'SALES Raw'!$J$6:$J$4467,$J343,'SALES Raw'!$K$6:$K$4467,"Y")+SUMIFS('CEMIUP0.9 Raw'!$E$6:$E$1712,'CEMIUP0.9 Raw'!$B$6:$B$1712,$J343,'CEMIUP0.9 Raw'!$H$6:$H$1712,"Y")</f>
        <v>0</v>
      </c>
      <c r="F343" s="19" t="n">
        <f aca="false">SUMIFS('SALES Raw'!$E$6:$E$4467,'SALES Raw'!$J$6:$J$4467,$J343,'SALES Raw'!$K$6:$K$4467,"Y")*$H$4+SUMIFS('CEMIUP0.9 Raw'!$F$6:$F$1712,'CEMIUP0.9 Raw'!$B$6:$B$1712,$J343,'CEMIUP0.9 Raw'!$H$6:$H$1712,"Y")</f>
        <v>41.6842105263158</v>
      </c>
      <c r="G343" s="19" t="n">
        <f aca="false">SUMIFS('SALES Raw'!$F$6:$F$4467,'SALES Raw'!$J$6:$J$4467,$J343,'SALES Raw'!$K$6:$K$4467,"Y")*$H$4+SUMIFS('CEMIUP0.9 Raw'!$G$6:$G$1712,'CEMIUP0.9 Raw'!$B$6:$B$1712,$J343,'CEMIUP0.9 Raw'!$H$6:$H$1712,"Y")</f>
        <v>33153.1831578947</v>
      </c>
      <c r="H343" s="18" t="s">
        <v>42</v>
      </c>
      <c r="I343" s="18" t="s">
        <v>44</v>
      </c>
      <c r="J343" s="18" t="s">
        <v>71</v>
      </c>
    </row>
    <row r="344" customFormat="false" ht="15" hidden="false" customHeight="false" outlineLevel="0" collapsed="false">
      <c r="A344" s="18" t="n">
        <f aca="false">IF(ISNUMBER($J344),$J344,"")</f>
        <v>4408069</v>
      </c>
      <c r="B344" s="18" t="str">
        <f aca="false">IFERROR(INDEX('SALES Raw'!$B$6:$B$4467,MATCH($J344,'SALES Raw'!$J$6:$J$4467,0)),IFERROR(INDEX('CEMIUP0.9 Raw'!$B$6:$B$1712,MATCH($J344,'CEMIUP0.9 Raw'!$B$6:$B$1712,0)),$J344))</f>
        <v>38 0</v>
      </c>
      <c r="C344" s="18" t="str">
        <f aca="false">IF(ISNUMBER($J344),IFERROR(INDEX('TRANS'!$C:$C,MATCH($J344,'TRANS'!$B:$B,0)),IFERROR(INDEX('Catalog'!$B:$B,MATCH($J344,'Catalog'!$A:$A,0)),$B344)),$B344)</f>
        <v>38 .חבישת""""הלוקס ולגוס""""לאחר נית</v>
      </c>
      <c r="D344" s="19" t="n">
        <f aca="false">SUMIFS('SALES Raw'!$C$6:$C$4467,'SALES Raw'!$J$6:$J$4467,$J344,'SALES Raw'!$K$6:$K$4467,"Y")+SUMIFS('CEMIUP0.9 Raw'!$D$6:$D$1712,'CEMIUP0.9 Raw'!$B$6:$B$1712,$J344,'CEMIUP0.9 Raw'!$H$6:$H$1712,"Y")</f>
        <v>67</v>
      </c>
      <c r="E344" s="19" t="n">
        <f aca="false">SUMIFS('SALES Raw'!$D$6:$D$4467,'SALES Raw'!$J$6:$J$4467,$J344,'SALES Raw'!$K$6:$K$4467,"Y")+SUMIFS('CEMIUP0.9 Raw'!$E$6:$E$1712,'CEMIUP0.9 Raw'!$B$6:$B$1712,$J344,'CEMIUP0.9 Raw'!$H$6:$H$1712,"Y")</f>
        <v>6142.12</v>
      </c>
      <c r="F344" s="19" t="n">
        <f aca="false">SUMIFS('SALES Raw'!$E$6:$E$4467,'SALES Raw'!$J$6:$J$4467,$J344,'SALES Raw'!$K$6:$K$4467,"Y")*$H$4+SUMIFS('CEMIUP0.9 Raw'!$F$6:$F$1712,'CEMIUP0.9 Raw'!$B$6:$B$1712,$J344,'CEMIUP0.9 Raw'!$H$6:$H$1712,"Y")</f>
        <v>41.6842105263158</v>
      </c>
      <c r="G344" s="19" t="n">
        <f aca="false">SUMIFS('SALES Raw'!$F$6:$F$4467,'SALES Raw'!$J$6:$J$4467,$J344,'SALES Raw'!$K$6:$K$4467,"Y")*$H$4+SUMIFS('CEMIUP0.9 Raw'!$G$6:$G$1712,'CEMIUP0.9 Raw'!$B$6:$B$1712,$J344,'CEMIUP0.9 Raw'!$H$6:$H$1712,"Y")</f>
        <v>3860.90526315789</v>
      </c>
      <c r="H344" s="18" t="s">
        <v>44</v>
      </c>
      <c r="I344" s="18" t="s">
        <v>42</v>
      </c>
      <c r="J344" s="18" t="n">
        <v>4408069</v>
      </c>
    </row>
    <row r="345" customFormat="false" ht="15" hidden="false" customHeight="false" outlineLevel="0" collapsed="false">
      <c r="A345" s="18" t="n">
        <f aca="false">IF(ISNUMBER($J345),$J345,"")</f>
        <v>4413408</v>
      </c>
      <c r="B345" s="18" t="str">
        <f aca="false">IFERROR(INDEX('SALES Raw'!$B$6:$B$4467,MATCH($J345,'SALES Raw'!$J$6:$J$4467,0)),IFERROR(INDEX('CEMIUP0.9 Raw'!$B$6:$B$1712,MATCH($J345,'CEMIUP0.9 Raw'!$B$6:$B$1712,0)),$J345))</f>
        <v>SC95 XL</v>
      </c>
      <c r="C345" s="18" t="str">
        <f aca="false">IF(ISNUMBER($J345),IFERROR(INDEX('TRANS'!$C:$C,MATCH($J345,'TRANS'!$B:$B,0)),IFERROR(INDEX('Catalog'!$B:$B,MATCH($J345,'Catalog'!$A:$A,0)),$B345)),$B345)</f>
        <v>SC95 XLמגן מרפק</v>
      </c>
      <c r="D345" s="19" t="n">
        <f aca="false">SUMIFS('SALES Raw'!$C$6:$C$4467,'SALES Raw'!$J$6:$J$4467,$J345,'SALES Raw'!$K$6:$K$4467,"Y")+SUMIFS('CEMIUP0.9 Raw'!$D$6:$D$1712,'CEMIUP0.9 Raw'!$B$6:$B$1712,$J345,'CEMIUP0.9 Raw'!$H$6:$H$1712,"Y")</f>
        <v>31</v>
      </c>
      <c r="E345" s="19" t="n">
        <f aca="false">SUMIFS('SALES Raw'!$D$6:$D$4467,'SALES Raw'!$J$6:$J$4467,$J345,'SALES Raw'!$K$6:$K$4467,"Y")+SUMIFS('CEMIUP0.9 Raw'!$E$6:$E$1712,'CEMIUP0.9 Raw'!$B$6:$B$1712,$J345,'CEMIUP0.9 Raw'!$H$6:$H$1712,"Y")</f>
        <v>3269.013</v>
      </c>
      <c r="F345" s="19" t="n">
        <f aca="false">SUMIFS('SALES Raw'!$E$6:$E$4467,'SALES Raw'!$J$6:$J$4467,$J345,'SALES Raw'!$K$6:$K$4467,"Y")*$H$4+SUMIFS('CEMIUP0.9 Raw'!$F$6:$F$1712,'CEMIUP0.9 Raw'!$B$6:$B$1712,$J345,'CEMIUP0.9 Raw'!$H$6:$H$1712,"Y")</f>
        <v>41.6842105263158</v>
      </c>
      <c r="G345" s="19" t="n">
        <f aca="false">SUMIFS('SALES Raw'!$F$6:$F$4467,'SALES Raw'!$J$6:$J$4467,$J345,'SALES Raw'!$K$6:$K$4467,"Y")*$H$4+SUMIFS('CEMIUP0.9 Raw'!$G$6:$G$1712,'CEMIUP0.9 Raw'!$B$6:$B$1712,$J345,'CEMIUP0.9 Raw'!$H$6:$H$1712,"Y")</f>
        <v>5586.54315789474</v>
      </c>
      <c r="H345" s="18" t="s">
        <v>42</v>
      </c>
      <c r="I345" s="18" t="s">
        <v>43</v>
      </c>
      <c r="J345" s="18" t="n">
        <v>4413408</v>
      </c>
    </row>
    <row r="346" customFormat="false" ht="15" hidden="false" customHeight="false" outlineLevel="0" collapsed="false">
      <c r="A346" s="18" t="n">
        <f aca="false">IF(ISNUMBER($J346),$J346,"")</f>
        <v>4413524</v>
      </c>
      <c r="B346" s="18" t="str">
        <f aca="false">IFERROR(INDEX('SALES Raw'!$B$6:$B$4467,MATCH($J346,'SALES Raw'!$J$6:$J$4467,0)),IFERROR(INDEX('CEMIUP0.9 Raw'!$B$6:$B$1712,MATCH($J346,'CEMIUP0.9 Raw'!$B$6:$B$1712,0)),$J346))</f>
        <v>379COM-39-42</v>
      </c>
      <c r="C346" s="18" t="str">
        <f aca="false">IF(ISNUMBER($J346),IFERROR(INDEX('TRANS'!$C:$C,MATCH($J346,'TRANS'!$B:$B,0)),IFERROR(INDEX('Catalog'!$B:$B,MATCH($J346,'Catalog'!$A:$A,0)),$B346)),$B346)</f>
        <v>39-42 מדרסי אפיק ג'ל נוחות</v>
      </c>
      <c r="D346" s="19" t="n">
        <f aca="false">SUMIFS('SALES Raw'!$C$6:$C$4467,'SALES Raw'!$J$6:$J$4467,$J346,'SALES Raw'!$K$6:$K$4467,"Y")+SUMIFS('CEMIUP0.9 Raw'!$D$6:$D$1712,'CEMIUP0.9 Raw'!$B$6:$B$1712,$J346,'CEMIUP0.9 Raw'!$H$6:$H$1712,"Y")</f>
        <v>49</v>
      </c>
      <c r="E346" s="19" t="n">
        <f aca="false">SUMIFS('SALES Raw'!$D$6:$D$4467,'SALES Raw'!$J$6:$J$4467,$J346,'SALES Raw'!$K$6:$K$4467,"Y")+SUMIFS('CEMIUP0.9 Raw'!$E$6:$E$1712,'CEMIUP0.9 Raw'!$B$6:$B$1712,$J346,'CEMIUP0.9 Raw'!$H$6:$H$1712,"Y")</f>
        <v>6591.439</v>
      </c>
      <c r="F346" s="19" t="n">
        <f aca="false">SUMIFS('SALES Raw'!$E$6:$E$4467,'SALES Raw'!$J$6:$J$4467,$J346,'SALES Raw'!$K$6:$K$4467,"Y")*$H$4+SUMIFS('CEMIUP0.9 Raw'!$F$6:$F$1712,'CEMIUP0.9 Raw'!$B$6:$B$1712,$J346,'CEMIUP0.9 Raw'!$H$6:$H$1712,"Y")</f>
        <v>41.6842105263158</v>
      </c>
      <c r="G346" s="19" t="n">
        <f aca="false">SUMIFS('SALES Raw'!$F$6:$F$4467,'SALES Raw'!$J$6:$J$4467,$J346,'SALES Raw'!$K$6:$K$4467,"Y")*$H$4+SUMIFS('CEMIUP0.9 Raw'!$G$6:$G$1712,'CEMIUP0.9 Raw'!$B$6:$B$1712,$J346,'CEMIUP0.9 Raw'!$H$6:$H$1712,"Y")</f>
        <v>6442.66231578947</v>
      </c>
      <c r="H346" s="18" t="s">
        <v>42</v>
      </c>
      <c r="I346" s="18" t="s">
        <v>43</v>
      </c>
      <c r="J346" s="18" t="n">
        <v>4413524</v>
      </c>
    </row>
    <row r="347" customFormat="false" ht="15" hidden="false" customHeight="false" outlineLevel="0" collapsed="false">
      <c r="A347" s="18" t="str">
        <f aca="false">IF(ISNUMBER($J347),$J347,"")</f>
        <v/>
      </c>
      <c r="B347" s="18" t="str">
        <f aca="false">IFERROR(INDEX('SALES Raw'!$B$6:$B$4467,MATCH($J347,'SALES Raw'!$J$6:$J$4467,0)),IFERROR(INDEX('CEMIUP0.9 Raw'!$B$6:$B$1712,MATCH($J347,'CEMIUP0.9 Raw'!$B$6:$B$1712,0)),$J347))</f>
        <v>SH776 L</v>
      </c>
      <c r="C347" s="18" t="str">
        <f aca="false">IF(ISNUMBER($J347),IFERROR(INDEX('TRANS'!$C:$C,MATCH($J347,'TRANS'!$B:$B,0)),IFERROR(INDEX('Catalog'!$B:$B,MATCH($J347,'Catalog'!$A:$A,0)),$B347)),$B347)</f>
        <v>SH776 L</v>
      </c>
      <c r="D347" s="19" t="n">
        <f aca="false">SUMIFS('SALES Raw'!$C$6:$C$4467,'SALES Raw'!$J$6:$J$4467,$J347,'SALES Raw'!$K$6:$K$4467,"Y")+SUMIFS('CEMIUP0.9 Raw'!$D$6:$D$1712,'CEMIUP0.9 Raw'!$B$6:$B$1712,$J347,'CEMIUP0.9 Raw'!$H$6:$H$1712,"Y")</f>
        <v>0</v>
      </c>
      <c r="E347" s="19" t="n">
        <f aca="false">SUMIFS('SALES Raw'!$D$6:$D$4467,'SALES Raw'!$J$6:$J$4467,$J347,'SALES Raw'!$K$6:$K$4467,"Y")+SUMIFS('CEMIUP0.9 Raw'!$E$6:$E$1712,'CEMIUP0.9 Raw'!$B$6:$B$1712,$J347,'CEMIUP0.9 Raw'!$H$6:$H$1712,"Y")</f>
        <v>0</v>
      </c>
      <c r="F347" s="19" t="n">
        <f aca="false">SUMIFS('SALES Raw'!$E$6:$E$4467,'SALES Raw'!$J$6:$J$4467,$J347,'SALES Raw'!$K$6:$K$4467,"Y")*$H$4+SUMIFS('CEMIUP0.9 Raw'!$F$6:$F$1712,'CEMIUP0.9 Raw'!$B$6:$B$1712,$J347,'CEMIUP0.9 Raw'!$H$6:$H$1712,"Y")</f>
        <v>40.4210526315789</v>
      </c>
      <c r="G347" s="19" t="n">
        <f aca="false">SUMIFS('SALES Raw'!$F$6:$F$4467,'SALES Raw'!$J$6:$J$4467,$J347,'SALES Raw'!$K$6:$K$4467,"Y")*$H$4+SUMIFS('CEMIUP0.9 Raw'!$G$6:$G$1712,'CEMIUP0.9 Raw'!$B$6:$B$1712,$J347,'CEMIUP0.9 Raw'!$H$6:$H$1712,"Y")</f>
        <v>16881.9536842105</v>
      </c>
      <c r="H347" s="18" t="s">
        <v>44</v>
      </c>
      <c r="I347" s="18" t="s">
        <v>42</v>
      </c>
      <c r="J347" s="18" t="s">
        <v>72</v>
      </c>
    </row>
    <row r="348" customFormat="false" ht="15" hidden="false" customHeight="false" outlineLevel="0" collapsed="false">
      <c r="A348" s="18" t="str">
        <f aca="false">IF(ISNUMBER($J348),$J348,"")</f>
        <v/>
      </c>
      <c r="B348" s="18" t="str">
        <f aca="false">IFERROR(INDEX('SALES Raw'!$B$6:$B$4467,MATCH($J348,'SALES Raw'!$J$6:$J$4467,0)),IFERROR(INDEX('CEMIUP0.9 Raw'!$B$6:$B$1712,MATCH($J348,'CEMIUP0.9 Raw'!$B$6:$B$1712,0)),$J348))</f>
        <v>11TO XXXL</v>
      </c>
      <c r="C348" s="18" t="str">
        <f aca="false">IF(ISNUMBER($J348),IFERROR(INDEX('TRANS'!$C:$C,MATCH($J348,'TRANS'!$B:$B,0)),IFERROR(INDEX('Catalog'!$B:$B,MATCH($J348,'Catalog'!$A:$A,0)),$B348)),$B348)</f>
        <v>11TO XXXL</v>
      </c>
      <c r="D348" s="19" t="n">
        <f aca="false">SUMIFS('SALES Raw'!$C$6:$C$4467,'SALES Raw'!$J$6:$J$4467,$J348,'SALES Raw'!$K$6:$K$4467,"Y")+SUMIFS('CEMIUP0.9 Raw'!$D$6:$D$1712,'CEMIUP0.9 Raw'!$B$6:$B$1712,$J348,'CEMIUP0.9 Raw'!$H$6:$H$1712,"Y")</f>
        <v>15</v>
      </c>
      <c r="E348" s="19" t="n">
        <f aca="false">SUMIFS('SALES Raw'!$D$6:$D$4467,'SALES Raw'!$J$6:$J$4467,$J348,'SALES Raw'!$K$6:$K$4467,"Y")+SUMIFS('CEMIUP0.9 Raw'!$E$6:$E$1712,'CEMIUP0.9 Raw'!$B$6:$B$1712,$J348,'CEMIUP0.9 Raw'!$H$6:$H$1712,"Y")</f>
        <v>2257.6</v>
      </c>
      <c r="F348" s="19" t="n">
        <f aca="false">SUMIFS('SALES Raw'!$E$6:$E$4467,'SALES Raw'!$J$6:$J$4467,$J348,'SALES Raw'!$K$6:$K$4467,"Y")*$H$4+SUMIFS('CEMIUP0.9 Raw'!$F$6:$F$1712,'CEMIUP0.9 Raw'!$B$6:$B$1712,$J348,'CEMIUP0.9 Raw'!$H$6:$H$1712,"Y")</f>
        <v>40.4210526315789</v>
      </c>
      <c r="G348" s="19" t="n">
        <f aca="false">SUMIFS('SALES Raw'!$F$6:$F$4467,'SALES Raw'!$J$6:$J$4467,$J348,'SALES Raw'!$K$6:$K$4467,"Y")*$H$4+SUMIFS('CEMIUP0.9 Raw'!$G$6:$G$1712,'CEMIUP0.9 Raw'!$B$6:$B$1712,$J348,'CEMIUP0.9 Raw'!$H$6:$H$1712,"Y")</f>
        <v>5746.64842105263</v>
      </c>
      <c r="H348" s="18" t="s">
        <v>44</v>
      </c>
      <c r="I348" s="18" t="s">
        <v>42</v>
      </c>
      <c r="J348" s="18" t="s">
        <v>73</v>
      </c>
    </row>
    <row r="349" customFormat="false" ht="15" hidden="false" customHeight="false" outlineLevel="0" collapsed="false">
      <c r="A349" s="18" t="n">
        <f aca="false">IF(ISNUMBER($J349),$J349,"")</f>
        <v>4413128</v>
      </c>
      <c r="B349" s="18" t="str">
        <f aca="false">IFERROR(INDEX('SALES Raw'!$B$6:$B$4467,MATCH($J349,'SALES Raw'!$J$6:$J$4467,0)),IFERROR(INDEX('CEMIUP0.9 Raw'!$B$6:$B$1712,MATCH($J349,'CEMIUP0.9 Raw'!$B$6:$B$1712,0)),$J349))</f>
        <v>75 M</v>
      </c>
      <c r="C349" s="18" t="str">
        <f aca="false">IF(ISNUMBER($J349),IFERROR(INDEX('TRANS'!$C:$C,MATCH($J349,'TRANS'!$B:$B,0)),IFERROR(INDEX('Catalog'!$B:$B,MATCH($J349,'Catalog'!$A:$A,0)),$B349)),$B349)</f>
        <v>75 Mמיישר כתף יציב יישור גב צר</v>
      </c>
      <c r="D349" s="19" t="n">
        <f aca="false">SUMIFS('SALES Raw'!$C$6:$C$4467,'SALES Raw'!$J$6:$J$4467,$J349,'SALES Raw'!$K$6:$K$4467,"Y")+SUMIFS('CEMIUP0.9 Raw'!$D$6:$D$1712,'CEMIUP0.9 Raw'!$B$6:$B$1712,$J349,'CEMIUP0.9 Raw'!$H$6:$H$1712,"Y")</f>
        <v>34</v>
      </c>
      <c r="E349" s="19" t="n">
        <f aca="false">SUMIFS('SALES Raw'!$D$6:$D$4467,'SALES Raw'!$J$6:$J$4467,$J349,'SALES Raw'!$K$6:$K$4467,"Y")+SUMIFS('CEMIUP0.9 Raw'!$E$6:$E$1712,'CEMIUP0.9 Raw'!$B$6:$B$1712,$J349,'CEMIUP0.9 Raw'!$H$6:$H$1712,"Y")</f>
        <v>5824.889</v>
      </c>
      <c r="F349" s="19" t="n">
        <f aca="false">SUMIFS('SALES Raw'!$E$6:$E$4467,'SALES Raw'!$J$6:$J$4467,$J349,'SALES Raw'!$K$6:$K$4467,"Y")*$H$4+SUMIFS('CEMIUP0.9 Raw'!$F$6:$F$1712,'CEMIUP0.9 Raw'!$B$6:$B$1712,$J349,'CEMIUP0.9 Raw'!$H$6:$H$1712,"Y")</f>
        <v>40.4210526315789</v>
      </c>
      <c r="G349" s="19" t="n">
        <f aca="false">SUMIFS('SALES Raw'!$F$6:$F$4467,'SALES Raw'!$J$6:$J$4467,$J349,'SALES Raw'!$K$6:$K$4467,"Y")*$H$4+SUMIFS('CEMIUP0.9 Raw'!$G$6:$G$1712,'CEMIUP0.9 Raw'!$B$6:$B$1712,$J349,'CEMIUP0.9 Raw'!$H$6:$H$1712,"Y")</f>
        <v>8154.63789473684</v>
      </c>
      <c r="H349" s="18" t="s">
        <v>44</v>
      </c>
      <c r="I349" s="18" t="s">
        <v>42</v>
      </c>
      <c r="J349" s="18" t="n">
        <v>4413128</v>
      </c>
    </row>
    <row r="350" customFormat="false" ht="15" hidden="false" customHeight="false" outlineLevel="0" collapsed="false">
      <c r="A350" s="18" t="str">
        <f aca="false">IF(ISNUMBER($J350),$J350,"")</f>
        <v/>
      </c>
      <c r="B350" s="18" t="str">
        <f aca="false">IFERROR(INDEX('SALES Raw'!$B$6:$B$4467,MATCH($J350,'SALES Raw'!$J$6:$J$4467,0)),IFERROR(INDEX('CEMIUP0.9 Raw'!$B$6:$B$1712,MATCH($J350,'CEMIUP0.9 Raw'!$B$6:$B$1712,0)),$J350))</f>
        <v>ST27L 0</v>
      </c>
      <c r="C350" s="18" t="str">
        <f aca="false">IF(ISNUMBER($J350),IFERROR(INDEX('TRANS'!$C:$C,MATCH($J350,'TRANS'!$B:$B,0)),IFERROR(INDEX('Catalog'!$B:$B,MATCH($J350,'Catalog'!$A:$A,0)),$B350)),$B350)</f>
        <v>ST27L 0</v>
      </c>
      <c r="D350" s="19" t="n">
        <f aca="false">SUMIFS('SALES Raw'!$C$6:$C$4467,'SALES Raw'!$J$6:$J$4467,$J350,'SALES Raw'!$K$6:$K$4467,"Y")+SUMIFS('CEMIUP0.9 Raw'!$D$6:$D$1712,'CEMIUP0.9 Raw'!$B$6:$B$1712,$J350,'CEMIUP0.9 Raw'!$H$6:$H$1712,"Y")</f>
        <v>28</v>
      </c>
      <c r="E350" s="19" t="n">
        <f aca="false">SUMIFS('SALES Raw'!$D$6:$D$4467,'SALES Raw'!$J$6:$J$4467,$J350,'SALES Raw'!$K$6:$K$4467,"Y")+SUMIFS('CEMIUP0.9 Raw'!$E$6:$E$1712,'CEMIUP0.9 Raw'!$B$6:$B$1712,$J350,'CEMIUP0.9 Raw'!$H$6:$H$1712,"Y")</f>
        <v>2133.87</v>
      </c>
      <c r="F350" s="19" t="n">
        <f aca="false">SUMIFS('SALES Raw'!$E$6:$E$4467,'SALES Raw'!$J$6:$J$4467,$J350,'SALES Raw'!$K$6:$K$4467,"Y")*$H$4+SUMIFS('CEMIUP0.9 Raw'!$F$6:$F$1712,'CEMIUP0.9 Raw'!$B$6:$B$1712,$J350,'CEMIUP0.9 Raw'!$H$6:$H$1712,"Y")</f>
        <v>39.1578947368421</v>
      </c>
      <c r="G350" s="19" t="n">
        <f aca="false">SUMIFS('SALES Raw'!$F$6:$F$4467,'SALES Raw'!$J$6:$J$4467,$J350,'SALES Raw'!$K$6:$K$4467,"Y")*$H$4+SUMIFS('CEMIUP0.9 Raw'!$G$6:$G$1712,'CEMIUP0.9 Raw'!$B$6:$B$1712,$J350,'CEMIUP0.9 Raw'!$H$6:$H$1712,"Y")</f>
        <v>3240.26526315789</v>
      </c>
      <c r="H350" s="18" t="s">
        <v>42</v>
      </c>
      <c r="I350" s="18" t="s">
        <v>46</v>
      </c>
      <c r="J350" s="18" t="s">
        <v>74</v>
      </c>
    </row>
    <row r="351" customFormat="false" ht="15" hidden="false" customHeight="false" outlineLevel="0" collapsed="false">
      <c r="A351" s="18" t="str">
        <f aca="false">IF(ISNUMBER($J351),$J351,"")</f>
        <v/>
      </c>
      <c r="B351" s="18" t="str">
        <f aca="false">IFERROR(INDEX('SALES Raw'!$B$6:$B$4467,MATCH($J351,'SALES Raw'!$J$6:$J$4467,0)),IFERROR(INDEX('CEMIUP0.9 Raw'!$B$6:$B$1712,MATCH($J351,'CEMIUP0.9 Raw'!$B$6:$B$1712,0)),$J351))</f>
        <v>60B M</v>
      </c>
      <c r="C351" s="18" t="str">
        <f aca="false">IF(ISNUMBER($J351),IFERROR(INDEX('TRANS'!$C:$C,MATCH($J351,'TRANS'!$B:$B,0)),IFERROR(INDEX('Catalog'!$B:$B,MATCH($J351,'Catalog'!$A:$A,0)),$B351)),$B351)</f>
        <v>60B M</v>
      </c>
      <c r="D351" s="19" t="n">
        <f aca="false">SUMIFS('SALES Raw'!$C$6:$C$4467,'SALES Raw'!$J$6:$J$4467,$J351,'SALES Raw'!$K$6:$K$4467,"Y")+SUMIFS('CEMIUP0.9 Raw'!$D$6:$D$1712,'CEMIUP0.9 Raw'!$B$6:$B$1712,$J351,'CEMIUP0.9 Raw'!$H$6:$H$1712,"Y")</f>
        <v>17</v>
      </c>
      <c r="E351" s="19" t="n">
        <f aca="false">SUMIFS('SALES Raw'!$D$6:$D$4467,'SALES Raw'!$J$6:$J$4467,$J351,'SALES Raw'!$K$6:$K$4467,"Y")+SUMIFS('CEMIUP0.9 Raw'!$E$6:$E$1712,'CEMIUP0.9 Raw'!$B$6:$B$1712,$J351,'CEMIUP0.9 Raw'!$H$6:$H$1712,"Y")</f>
        <v>1066.27</v>
      </c>
      <c r="F351" s="19" t="n">
        <f aca="false">SUMIFS('SALES Raw'!$E$6:$E$4467,'SALES Raw'!$J$6:$J$4467,$J351,'SALES Raw'!$K$6:$K$4467,"Y")*$H$4+SUMIFS('CEMIUP0.9 Raw'!$F$6:$F$1712,'CEMIUP0.9 Raw'!$B$6:$B$1712,$J351,'CEMIUP0.9 Raw'!$H$6:$H$1712,"Y")</f>
        <v>39.1578947368421</v>
      </c>
      <c r="G351" s="19" t="n">
        <f aca="false">SUMIFS('SALES Raw'!$F$6:$F$4467,'SALES Raw'!$J$6:$J$4467,$J351,'SALES Raw'!$K$6:$K$4467,"Y")*$H$4+SUMIFS('CEMIUP0.9 Raw'!$G$6:$G$1712,'CEMIUP0.9 Raw'!$B$6:$B$1712,$J351,'CEMIUP0.9 Raw'!$H$6:$H$1712,"Y")</f>
        <v>2720.23578947368</v>
      </c>
      <c r="H351" s="18" t="s">
        <v>42</v>
      </c>
      <c r="I351" s="18" t="s">
        <v>53</v>
      </c>
      <c r="J351" s="18" t="s">
        <v>75</v>
      </c>
    </row>
    <row r="352" customFormat="false" ht="15" hidden="false" customHeight="false" outlineLevel="0" collapsed="false">
      <c r="A352" s="18" t="n">
        <f aca="false">IF(ISNUMBER($J352),$J352,"")</f>
        <v>4413113</v>
      </c>
      <c r="B352" s="18" t="str">
        <f aca="false">IFERROR(INDEX('SALES Raw'!$B$6:$B$4467,MATCH($J352,'SALES Raw'!$J$6:$J$4467,0)),IFERROR(INDEX('CEMIUP0.9 Raw'!$B$6:$B$1712,MATCH($J352,'CEMIUP0.9 Raw'!$B$6:$B$1712,0)),$J352))</f>
        <v>49 M</v>
      </c>
      <c r="C352" s="18" t="str">
        <f aca="false">IF(ISNUMBER($J352),IFERROR(INDEX('TRANS'!$C:$C,MATCH($J352,'TRANS'!$B:$B,0)),IFERROR(INDEX('Catalog'!$B:$B,MATCH($J352,'Catalog'!$A:$A,0)),$B352)),$B352)</f>
        <v>49  M מגן ירך</v>
      </c>
      <c r="D352" s="19" t="n">
        <f aca="false">SUMIFS('SALES Raw'!$C$6:$C$4467,'SALES Raw'!$J$6:$J$4467,$J352,'SALES Raw'!$K$6:$K$4467,"Y")+SUMIFS('CEMIUP0.9 Raw'!$D$6:$D$1712,'CEMIUP0.9 Raw'!$B$6:$B$1712,$J352,'CEMIUP0.9 Raw'!$H$6:$H$1712,"Y")</f>
        <v>51</v>
      </c>
      <c r="E352" s="19" t="n">
        <f aca="false">SUMIFS('SALES Raw'!$D$6:$D$4467,'SALES Raw'!$J$6:$J$4467,$J352,'SALES Raw'!$K$6:$K$4467,"Y")+SUMIFS('CEMIUP0.9 Raw'!$E$6:$E$1712,'CEMIUP0.9 Raw'!$B$6:$B$1712,$J352,'CEMIUP0.9 Raw'!$H$6:$H$1712,"Y")</f>
        <v>1853.463</v>
      </c>
      <c r="F352" s="19" t="n">
        <f aca="false">SUMIFS('SALES Raw'!$E$6:$E$4467,'SALES Raw'!$J$6:$J$4467,$J352,'SALES Raw'!$K$6:$K$4467,"Y")*$H$4+SUMIFS('CEMIUP0.9 Raw'!$F$6:$F$1712,'CEMIUP0.9 Raw'!$B$6:$B$1712,$J352,'CEMIUP0.9 Raw'!$H$6:$H$1712,"Y")</f>
        <v>39.1578947368421</v>
      </c>
      <c r="G352" s="19" t="n">
        <f aca="false">SUMIFS('SALES Raw'!$F$6:$F$4467,'SALES Raw'!$J$6:$J$4467,$J352,'SALES Raw'!$K$6:$K$4467,"Y")*$H$4+SUMIFS('CEMIUP0.9 Raw'!$G$6:$G$1712,'CEMIUP0.9 Raw'!$B$6:$B$1712,$J352,'CEMIUP0.9 Raw'!$H$6:$H$1712,"Y")</f>
        <v>1341.7212631579</v>
      </c>
      <c r="H352" s="18" t="s">
        <v>46</v>
      </c>
      <c r="I352" s="18" t="s">
        <v>43</v>
      </c>
      <c r="J352" s="18" t="n">
        <v>4413113</v>
      </c>
    </row>
    <row r="353" customFormat="false" ht="15" hidden="false" customHeight="false" outlineLevel="0" collapsed="false">
      <c r="A353" s="18" t="n">
        <f aca="false">IF(ISNUMBER($J353),$J353,"")</f>
        <v>4408017</v>
      </c>
      <c r="B353" s="18" t="str">
        <f aca="false">IFERROR(INDEX('SALES Raw'!$B$6:$B$4467,MATCH($J353,'SALES Raw'!$J$6:$J$4467,0)),IFERROR(INDEX('CEMIUP0.9 Raw'!$B$6:$B$1712,MATCH($J353,'CEMIUP0.9 Raw'!$B$6:$B$1712,0)),$J353))</f>
        <v>07AU XL</v>
      </c>
      <c r="C353" s="18" t="str">
        <f aca="false">IF(ISNUMBER($J353),IFERROR(INDEX('TRANS'!$C:$C,MATCH($J353,'TRANS'!$B:$B,0)),IFERROR(INDEX('Catalog'!$B:$B,MATCH($J353,'Catalog'!$A:$A,0)),$B353)),$B353)</f>
        <v>07AU XL ח.גב """"איטלקית"""" אורירית</v>
      </c>
      <c r="D353" s="19" t="n">
        <f aca="false">SUMIFS('SALES Raw'!$C$6:$C$4467,'SALES Raw'!$J$6:$J$4467,$J353,'SALES Raw'!$K$6:$K$4467,"Y")+SUMIFS('CEMIUP0.9 Raw'!$D$6:$D$1712,'CEMIUP0.9 Raw'!$B$6:$B$1712,$J353,'CEMIUP0.9 Raw'!$H$6:$H$1712,"Y")</f>
        <v>97</v>
      </c>
      <c r="E353" s="19" t="n">
        <f aca="false">SUMIFS('SALES Raw'!$D$6:$D$4467,'SALES Raw'!$J$6:$J$4467,$J353,'SALES Raw'!$K$6:$K$4467,"Y")+SUMIFS('CEMIUP0.9 Raw'!$E$6:$E$1712,'CEMIUP0.9 Raw'!$B$6:$B$1712,$J353,'CEMIUP0.9 Raw'!$H$6:$H$1712,"Y")</f>
        <v>19289.691</v>
      </c>
      <c r="F353" s="19" t="n">
        <f aca="false">SUMIFS('SALES Raw'!$E$6:$E$4467,'SALES Raw'!$J$6:$J$4467,$J353,'SALES Raw'!$K$6:$K$4467,"Y")*$H$4+SUMIFS('CEMIUP0.9 Raw'!$F$6:$F$1712,'CEMIUP0.9 Raw'!$B$6:$B$1712,$J353,'CEMIUP0.9 Raw'!$H$6:$H$1712,"Y")</f>
        <v>37.8947368421053</v>
      </c>
      <c r="G353" s="19" t="n">
        <f aca="false">SUMIFS('SALES Raw'!$F$6:$F$4467,'SALES Raw'!$J$6:$J$4467,$J353,'SALES Raw'!$K$6:$K$4467,"Y")*$H$4+SUMIFS('CEMIUP0.9 Raw'!$G$6:$G$1712,'CEMIUP0.9 Raw'!$B$6:$B$1712,$J353,'CEMIUP0.9 Raw'!$H$6:$H$1712,"Y")</f>
        <v>8845.29978947368</v>
      </c>
      <c r="H353" s="18" t="s">
        <v>48</v>
      </c>
      <c r="I353" s="18" t="s">
        <v>44</v>
      </c>
      <c r="J353" s="18" t="n">
        <v>4408017</v>
      </c>
    </row>
    <row r="354" customFormat="false" ht="15" hidden="false" customHeight="false" outlineLevel="0" collapsed="false">
      <c r="A354" s="18" t="n">
        <f aca="false">IF(ISNUMBER($J354),$J354,"")</f>
        <v>4413521</v>
      </c>
      <c r="B354" s="18" t="str">
        <f aca="false">IFERROR(INDEX('SALES Raw'!$B$6:$B$4467,MATCH($J354,'SALES Raw'!$J$6:$J$4467,0)),IFERROR(INDEX('CEMIUP0.9 Raw'!$B$6:$B$1712,MATCH($J354,'CEMIUP0.9 Raw'!$B$6:$B$1712,0)),$J354))</f>
        <v>379MSP-39-42</v>
      </c>
      <c r="C354" s="18" t="str">
        <f aca="false">IF(ISNUMBER($J354),IFERROR(INDEX('TRANS'!$C:$C,MATCH($J354,'TRANS'!$B:$B,0)),IFERROR(INDEX('Catalog'!$B:$B,MATCH($J354,'Catalog'!$A:$A,0)),$B354)),$B354)</f>
        <v>מדרסי אפיק ג'ל מולטי ספור39-42</v>
      </c>
      <c r="D354" s="19" t="n">
        <f aca="false">SUMIFS('SALES Raw'!$C$6:$C$4467,'SALES Raw'!$J$6:$J$4467,$J354,'SALES Raw'!$K$6:$K$4467,"Y")+SUMIFS('CEMIUP0.9 Raw'!$D$6:$D$1712,'CEMIUP0.9 Raw'!$B$6:$B$1712,$J354,'CEMIUP0.9 Raw'!$H$6:$H$1712,"Y")</f>
        <v>41</v>
      </c>
      <c r="E354" s="19" t="n">
        <f aca="false">SUMIFS('SALES Raw'!$D$6:$D$4467,'SALES Raw'!$J$6:$J$4467,$J354,'SALES Raw'!$K$6:$K$4467,"Y")+SUMIFS('CEMIUP0.9 Raw'!$E$6:$E$1712,'CEMIUP0.9 Raw'!$B$6:$B$1712,$J354,'CEMIUP0.9 Raw'!$H$6:$H$1712,"Y")</f>
        <v>4819.013</v>
      </c>
      <c r="F354" s="19" t="n">
        <f aca="false">SUMIFS('SALES Raw'!$E$6:$E$4467,'SALES Raw'!$J$6:$J$4467,$J354,'SALES Raw'!$K$6:$K$4467,"Y")*$H$4+SUMIFS('CEMIUP0.9 Raw'!$F$6:$F$1712,'CEMIUP0.9 Raw'!$B$6:$B$1712,$J354,'CEMIUP0.9 Raw'!$H$6:$H$1712,"Y")</f>
        <v>37.8947368421053</v>
      </c>
      <c r="G354" s="19" t="n">
        <f aca="false">SUMIFS('SALES Raw'!$F$6:$F$4467,'SALES Raw'!$J$6:$J$4467,$J354,'SALES Raw'!$K$6:$K$4467,"Y")*$H$4+SUMIFS('CEMIUP0.9 Raw'!$G$6:$G$1712,'CEMIUP0.9 Raw'!$B$6:$B$1712,$J354,'CEMIUP0.9 Raw'!$H$6:$H$1712,"Y")</f>
        <v>5512.64084210526</v>
      </c>
      <c r="H354" s="18" t="s">
        <v>42</v>
      </c>
      <c r="I354" s="18" t="s">
        <v>54</v>
      </c>
      <c r="J354" s="18" t="n">
        <v>4413521</v>
      </c>
    </row>
    <row r="355" customFormat="false" ht="15" hidden="false" customHeight="false" outlineLevel="0" collapsed="false">
      <c r="A355" s="18" t="str">
        <f aca="false">IF(ISNUMBER($J355),$J355,"")</f>
        <v/>
      </c>
      <c r="B355" s="18" t="str">
        <f aca="false">IFERROR(INDEX('SALES Raw'!$B$6:$B$4467,MATCH($J355,'SALES Raw'!$J$6:$J$4467,0)),IFERROR(INDEX('CEMIUP0.9 Raw'!$B$6:$B$1712,MATCH($J355,'CEMIUP0.9 Raw'!$B$6:$B$1712,0)),$J355))</f>
        <v>MSG002S 0</v>
      </c>
      <c r="C355" s="18" t="str">
        <f aca="false">IF(ISNUMBER($J355),IFERROR(INDEX('TRANS'!$C:$C,MATCH($J355,'TRANS'!$B:$B,0)),IFERROR(INDEX('Catalog'!$B:$B,MATCH($J355,'Catalog'!$A:$A,0)),$B355)),$B355)</f>
        <v>MSG002S 0</v>
      </c>
      <c r="D355" s="19" t="n">
        <f aca="false">SUMIFS('SALES Raw'!$C$6:$C$4467,'SALES Raw'!$J$6:$J$4467,$J355,'SALES Raw'!$K$6:$K$4467,"Y")+SUMIFS('CEMIUP0.9 Raw'!$D$6:$D$1712,'CEMIUP0.9 Raw'!$B$6:$B$1712,$J355,'CEMIUP0.9 Raw'!$H$6:$H$1712,"Y")</f>
        <v>0</v>
      </c>
      <c r="E355" s="19" t="n">
        <f aca="false">SUMIFS('SALES Raw'!$D$6:$D$4467,'SALES Raw'!$J$6:$J$4467,$J355,'SALES Raw'!$K$6:$K$4467,"Y")+SUMIFS('CEMIUP0.9 Raw'!$E$6:$E$1712,'CEMIUP0.9 Raw'!$B$6:$B$1712,$J355,'CEMIUP0.9 Raw'!$H$6:$H$1712,"Y")</f>
        <v>0</v>
      </c>
      <c r="F355" s="19" t="n">
        <f aca="false">SUMIFS('SALES Raw'!$E$6:$E$4467,'SALES Raw'!$J$6:$J$4467,$J355,'SALES Raw'!$K$6:$K$4467,"Y")*$H$4+SUMIFS('CEMIUP0.9 Raw'!$F$6:$F$1712,'CEMIUP0.9 Raw'!$B$6:$B$1712,$J355,'CEMIUP0.9 Raw'!$H$6:$H$1712,"Y")</f>
        <v>37.8947368421053</v>
      </c>
      <c r="G355" s="19" t="n">
        <f aca="false">SUMIFS('SALES Raw'!$F$6:$F$4467,'SALES Raw'!$J$6:$J$4467,$J355,'SALES Raw'!$K$6:$K$4467,"Y")*$H$4+SUMIFS('CEMIUP0.9 Raw'!$G$6:$G$1712,'CEMIUP0.9 Raw'!$B$6:$B$1712,$J355,'CEMIUP0.9 Raw'!$H$6:$H$1712,"Y")</f>
        <v>27585.1452631579</v>
      </c>
      <c r="H355" s="18" t="s">
        <v>42</v>
      </c>
      <c r="I355" s="18" t="s">
        <v>44</v>
      </c>
      <c r="J355" s="18" t="s">
        <v>76</v>
      </c>
    </row>
    <row r="356" customFormat="false" ht="15" hidden="false" customHeight="false" outlineLevel="0" collapsed="false">
      <c r="A356" s="18" t="str">
        <f aca="false">IF(ISNUMBER($J356),$J356,"")</f>
        <v/>
      </c>
      <c r="B356" s="18" t="str">
        <f aca="false">IFERROR(INDEX('SALES Raw'!$B$6:$B$4467,MATCH($J356,'SALES Raw'!$J$6:$J$4467,0)),IFERROR(INDEX('CEMIUP0.9 Raw'!$B$6:$B$1712,MATCH($J356,'CEMIUP0.9 Raw'!$B$6:$B$1712,0)),$J356))</f>
        <v>11 L""חגורת בטן""אורירית</v>
      </c>
      <c r="C356" s="18" t="str">
        <f aca="false">IF(ISNUMBER($J356),IFERROR(INDEX('TRANS'!$C:$C,MATCH($J356,'TRANS'!$B:$B,0)),IFERROR(INDEX('Catalog'!$B:$B,MATCH($J356,'Catalog'!$A:$A,0)),$B356)),$B356)</f>
        <v>11 L""חגורת בטן""אורירית</v>
      </c>
      <c r="D356" s="19" t="n">
        <f aca="false">SUMIFS('SALES Raw'!$C$6:$C$4467,'SALES Raw'!$J$6:$J$4467,$J356,'SALES Raw'!$K$6:$K$4467,"Y")+SUMIFS('CEMIUP0.9 Raw'!$D$6:$D$1712,'CEMIUP0.9 Raw'!$B$6:$B$1712,$J356,'CEMIUP0.9 Raw'!$H$6:$H$1712,"Y")</f>
        <v>0</v>
      </c>
      <c r="E356" s="19" t="n">
        <f aca="false">SUMIFS('SALES Raw'!$D$6:$D$4467,'SALES Raw'!$J$6:$J$4467,$J356,'SALES Raw'!$K$6:$K$4467,"Y")+SUMIFS('CEMIUP0.9 Raw'!$E$6:$E$1712,'CEMIUP0.9 Raw'!$B$6:$B$1712,$J356,'CEMIUP0.9 Raw'!$H$6:$H$1712,"Y")</f>
        <v>0</v>
      </c>
      <c r="F356" s="19" t="n">
        <f aca="false">SUMIFS('SALES Raw'!$E$6:$E$4467,'SALES Raw'!$J$6:$J$4467,$J356,'SALES Raw'!$K$6:$K$4467,"Y")*$H$4+SUMIFS('CEMIUP0.9 Raw'!$F$6:$F$1712,'CEMIUP0.9 Raw'!$B$6:$B$1712,$J356,'CEMIUP0.9 Raw'!$H$6:$H$1712,"Y")</f>
        <v>36.6315789473684</v>
      </c>
      <c r="G356" s="19" t="n">
        <f aca="false">SUMIFS('SALES Raw'!$F$6:$F$4467,'SALES Raw'!$J$6:$J$4467,$J356,'SALES Raw'!$K$6:$K$4467,"Y")*$H$4+SUMIFS('CEMIUP0.9 Raw'!$G$6:$G$1712,'CEMIUP0.9 Raw'!$B$6:$B$1712,$J356,'CEMIUP0.9 Raw'!$H$6:$H$1712,"Y")</f>
        <v>2349.06442105263</v>
      </c>
      <c r="H356" s="18" t="s">
        <v>48</v>
      </c>
      <c r="I356" s="18"/>
      <c r="J356" s="18" t="s">
        <v>77</v>
      </c>
    </row>
    <row r="357" customFormat="false" ht="15" hidden="false" customHeight="false" outlineLevel="0" collapsed="false">
      <c r="A357" s="18" t="n">
        <f aca="false">IF(ISNUMBER($J357),$J357,"")</f>
        <v>4403003</v>
      </c>
      <c r="B357" s="18" t="str">
        <f aca="false">IFERROR(INDEX('SALES Raw'!$B$6:$B$4467,MATCH($J357,'SALES Raw'!$J$6:$J$4467,0)),IFERROR(INDEX('CEMIUP0.9 Raw'!$B$6:$B$1712,MATCH($J357,'CEMIUP0.9 Raw'!$B$6:$B$1712,0)),$J357))</f>
        <v>390G-35-38</v>
      </c>
      <c r="C357" s="18" t="str">
        <f aca="false">IF(ISNUMBER($J357),IFERROR(INDEX('TRANS'!$C:$C,MATCH($J357,'TRANS'!$B:$B,0)),IFERROR(INDEX('Catalog'!$B:$B,MATCH($J357,'Catalog'!$A:$A,0)),$B357)),$B357)</f>
        <v>390G ג.כסף לסכרתיים אפור35-38</v>
      </c>
      <c r="D357" s="19" t="n">
        <f aca="false">SUMIFS('SALES Raw'!$C$6:$C$4467,'SALES Raw'!$J$6:$J$4467,$J357,'SALES Raw'!$K$6:$K$4467,"Y")+SUMIFS('CEMIUP0.9 Raw'!$D$6:$D$1712,'CEMIUP0.9 Raw'!$B$6:$B$1712,$J357,'CEMIUP0.9 Raw'!$H$6:$H$1712,"Y")</f>
        <v>18</v>
      </c>
      <c r="E357" s="19" t="n">
        <f aca="false">SUMIFS('SALES Raw'!$D$6:$D$4467,'SALES Raw'!$J$6:$J$4467,$J357,'SALES Raw'!$K$6:$K$4467,"Y")+SUMIFS('CEMIUP0.9 Raw'!$E$6:$E$1712,'CEMIUP0.9 Raw'!$B$6:$B$1712,$J357,'CEMIUP0.9 Raw'!$H$6:$H$1712,"Y")</f>
        <v>644.27</v>
      </c>
      <c r="F357" s="19" t="n">
        <f aca="false">SUMIFS('SALES Raw'!$E$6:$E$4467,'SALES Raw'!$J$6:$J$4467,$J357,'SALES Raw'!$K$6:$K$4467,"Y")*$H$4+SUMIFS('CEMIUP0.9 Raw'!$F$6:$F$1712,'CEMIUP0.9 Raw'!$B$6:$B$1712,$J357,'CEMIUP0.9 Raw'!$H$6:$H$1712,"Y")</f>
        <v>35.3684210526316</v>
      </c>
      <c r="G357" s="19" t="n">
        <f aca="false">SUMIFS('SALES Raw'!$F$6:$F$4467,'SALES Raw'!$J$6:$J$4467,$J357,'SALES Raw'!$K$6:$K$4467,"Y")*$H$4+SUMIFS('CEMIUP0.9 Raw'!$G$6:$G$1712,'CEMIUP0.9 Raw'!$B$6:$B$1712,$J357,'CEMIUP0.9 Raw'!$H$6:$H$1712,"Y")</f>
        <v>926.485894736842</v>
      </c>
      <c r="H357" s="18" t="s">
        <v>48</v>
      </c>
      <c r="I357" s="18" t="s">
        <v>43</v>
      </c>
      <c r="J357" s="18" t="n">
        <v>4403003</v>
      </c>
    </row>
    <row r="358" customFormat="false" ht="15" hidden="false" customHeight="false" outlineLevel="0" collapsed="false">
      <c r="A358" s="18" t="str">
        <f aca="false">IF(ISNUMBER($J358),$J358,"")</f>
        <v/>
      </c>
      <c r="B358" s="18" t="str">
        <f aca="false">IFERROR(INDEX('SALES Raw'!$B$6:$B$4467,MATCH($J358,'SALES Raw'!$J$6:$J$4467,0)),IFERROR(INDEX('CEMIUP0.9 Raw'!$B$6:$B$1712,MATCH($J358,'CEMIUP0.9 Raw'!$B$6:$B$1712,0)),$J358))</f>
        <v>376-41-43</v>
      </c>
      <c r="C358" s="18" t="str">
        <f aca="false">IF(ISNUMBER($J358),IFERROR(INDEX('TRANS'!$C:$C,MATCH($J358,'TRANS'!$B:$B,0)),IFERROR(INDEX('Catalog'!$B:$B,MATCH($J358,'Catalog'!$A:$A,0)),$B358)),$B358)</f>
        <v>376-41-43</v>
      </c>
      <c r="D358" s="19" t="n">
        <f aca="false">SUMIFS('SALES Raw'!$C$6:$C$4467,'SALES Raw'!$J$6:$J$4467,$J358,'SALES Raw'!$K$6:$K$4467,"Y")+SUMIFS('CEMIUP0.9 Raw'!$D$6:$D$1712,'CEMIUP0.9 Raw'!$B$6:$B$1712,$J358,'CEMIUP0.9 Raw'!$H$6:$H$1712,"Y")</f>
        <v>26</v>
      </c>
      <c r="E358" s="19" t="n">
        <f aca="false">SUMIFS('SALES Raw'!$D$6:$D$4467,'SALES Raw'!$J$6:$J$4467,$J358,'SALES Raw'!$K$6:$K$4467,"Y")+SUMIFS('CEMIUP0.9 Raw'!$E$6:$E$1712,'CEMIUP0.9 Raw'!$B$6:$B$1712,$J358,'CEMIUP0.9 Raw'!$H$6:$H$1712,"Y")</f>
        <v>1208.72</v>
      </c>
      <c r="F358" s="19" t="n">
        <f aca="false">SUMIFS('SALES Raw'!$E$6:$E$4467,'SALES Raw'!$J$6:$J$4467,$J358,'SALES Raw'!$K$6:$K$4467,"Y")*$H$4+SUMIFS('CEMIUP0.9 Raw'!$F$6:$F$1712,'CEMIUP0.9 Raw'!$B$6:$B$1712,$J358,'CEMIUP0.9 Raw'!$H$6:$H$1712,"Y")</f>
        <v>35.3684210526316</v>
      </c>
      <c r="G358" s="19" t="n">
        <f aca="false">SUMIFS('SALES Raw'!$F$6:$F$4467,'SALES Raw'!$J$6:$J$4467,$J358,'SALES Raw'!$K$6:$K$4467,"Y")*$H$4+SUMIFS('CEMIUP0.9 Raw'!$G$6:$G$1712,'CEMIUP0.9 Raw'!$B$6:$B$1712,$J358,'CEMIUP0.9 Raw'!$H$6:$H$1712,"Y")</f>
        <v>2059.42736842105</v>
      </c>
      <c r="H358" s="18" t="s">
        <v>42</v>
      </c>
      <c r="I358" s="18" t="s">
        <v>54</v>
      </c>
      <c r="J358" s="18" t="s">
        <v>78</v>
      </c>
    </row>
    <row r="359" customFormat="false" ht="15" hidden="false" customHeight="false" outlineLevel="0" collapsed="false">
      <c r="A359" s="18" t="n">
        <f aca="false">IF(ISNUMBER($J359),$J359,"")</f>
        <v>4401013</v>
      </c>
      <c r="B359" s="18" t="str">
        <f aca="false">IFERROR(INDEX('SALES Raw'!$B$6:$B$4467,MATCH($J359,'SALES Raw'!$J$6:$J$4467,0)),IFERROR(INDEX('CEMIUP0.9 Raw'!$B$6:$B$1712,MATCH($J359,'CEMIUP0.9 Raw'!$B$6:$B$1712,0)),$J359))</f>
        <v>805AT-BL</v>
      </c>
      <c r="C359" s="18" t="str">
        <f aca="false">IF(ISNUMBER($J359),IFERROR(INDEX('TRANS'!$C:$C,MATCH($J359,'TRANS'!$B:$B,0)),IFERROR(INDEX('Catalog'!$B:$B,MATCH($J359,'Catalog'!$A:$A,0)),$B359)),$B359)</f>
        <v>805AT-BLאתלטיק טייפ כחול 20מ""""מ</v>
      </c>
      <c r="D359" s="19" t="n">
        <f aca="false">SUMIFS('SALES Raw'!$C$6:$C$4467,'SALES Raw'!$J$6:$J$4467,$J359,'SALES Raw'!$K$6:$K$4467,"Y")+SUMIFS('CEMIUP0.9 Raw'!$D$6:$D$1712,'CEMIUP0.9 Raw'!$B$6:$B$1712,$J359,'CEMIUP0.9 Raw'!$H$6:$H$1712,"Y")</f>
        <v>37</v>
      </c>
      <c r="E359" s="19" t="n">
        <f aca="false">SUMIFS('SALES Raw'!$D$6:$D$4467,'SALES Raw'!$J$6:$J$4467,$J359,'SALES Raw'!$K$6:$K$4467,"Y")+SUMIFS('CEMIUP0.9 Raw'!$E$6:$E$1712,'CEMIUP0.9 Raw'!$B$6:$B$1712,$J359,'CEMIUP0.9 Raw'!$H$6:$H$1712,"Y")</f>
        <v>613.454</v>
      </c>
      <c r="F359" s="19" t="n">
        <f aca="false">SUMIFS('SALES Raw'!$E$6:$E$4467,'SALES Raw'!$J$6:$J$4467,$J359,'SALES Raw'!$K$6:$K$4467,"Y")*$H$4+SUMIFS('CEMIUP0.9 Raw'!$F$6:$F$1712,'CEMIUP0.9 Raw'!$B$6:$B$1712,$J359,'CEMIUP0.9 Raw'!$H$6:$H$1712,"Y")</f>
        <v>35.3684210526316</v>
      </c>
      <c r="G359" s="19" t="n">
        <f aca="false">SUMIFS('SALES Raw'!$F$6:$F$4467,'SALES Raw'!$J$6:$J$4467,$J359,'SALES Raw'!$K$6:$K$4467,"Y")*$H$4+SUMIFS('CEMIUP0.9 Raw'!$G$6:$G$1712,'CEMIUP0.9 Raw'!$B$6:$B$1712,$J359,'CEMIUP0.9 Raw'!$H$6:$H$1712,"Y")</f>
        <v>683.285052631579</v>
      </c>
      <c r="H359" s="18" t="s">
        <v>43</v>
      </c>
      <c r="I359" s="18" t="s">
        <v>42</v>
      </c>
      <c r="J359" s="18" t="n">
        <v>4401013</v>
      </c>
    </row>
    <row r="360" customFormat="false" ht="15" hidden="false" customHeight="false" outlineLevel="0" collapsed="false">
      <c r="A360" s="18" t="str">
        <f aca="false">IF(ISNUMBER($J360),$J360,"")</f>
        <v/>
      </c>
      <c r="B360" s="18" t="str">
        <f aca="false">IFERROR(INDEX('SALES Raw'!$B$6:$B$4467,MATCH($J360,'SALES Raw'!$J$6:$J$4467,0)),IFERROR(INDEX('CEMIUP0.9 Raw'!$B$6:$B$1712,MATCH($J360,'CEMIUP0.9 Raw'!$B$6:$B$1712,0)),$J360))</f>
        <v>808KTP-BL</v>
      </c>
      <c r="C360" s="18" t="str">
        <f aca="false">IF(ISNUMBER($J360),IFERROR(INDEX('TRANS'!$C:$C,MATCH($J360,'TRANS'!$B:$B,0)),IFERROR(INDEX('Catalog'!$B:$B,MATCH($J360,'Catalog'!$A:$A,0)),$B360)),$B360)</f>
        <v>808KTP-BL</v>
      </c>
      <c r="D360" s="19" t="n">
        <f aca="false">SUMIFS('SALES Raw'!$C$6:$C$4467,'SALES Raw'!$J$6:$J$4467,$J360,'SALES Raw'!$K$6:$K$4467,"Y")+SUMIFS('CEMIUP0.9 Raw'!$D$6:$D$1712,'CEMIUP0.9 Raw'!$B$6:$B$1712,$J360,'CEMIUP0.9 Raw'!$H$6:$H$1712,"Y")</f>
        <v>14</v>
      </c>
      <c r="E360" s="19" t="n">
        <f aca="false">SUMIFS('SALES Raw'!$D$6:$D$4467,'SALES Raw'!$J$6:$J$4467,$J360,'SALES Raw'!$K$6:$K$4467,"Y")+SUMIFS('CEMIUP0.9 Raw'!$E$6:$E$1712,'CEMIUP0.9 Raw'!$B$6:$B$1712,$J360,'CEMIUP0.9 Raw'!$H$6:$H$1712,"Y")</f>
        <v>821.72</v>
      </c>
      <c r="F360" s="19" t="n">
        <f aca="false">SUMIFS('SALES Raw'!$E$6:$E$4467,'SALES Raw'!$J$6:$J$4467,$J360,'SALES Raw'!$K$6:$K$4467,"Y")*$H$4+SUMIFS('CEMIUP0.9 Raw'!$F$6:$F$1712,'CEMIUP0.9 Raw'!$B$6:$B$1712,$J360,'CEMIUP0.9 Raw'!$H$6:$H$1712,"Y")</f>
        <v>35.3684210526316</v>
      </c>
      <c r="G360" s="19" t="n">
        <f aca="false">SUMIFS('SALES Raw'!$F$6:$F$4467,'SALES Raw'!$J$6:$J$4467,$J360,'SALES Raw'!$K$6:$K$4467,"Y")*$H$4+SUMIFS('CEMIUP0.9 Raw'!$G$6:$G$1712,'CEMIUP0.9 Raw'!$B$6:$B$1712,$J360,'CEMIUP0.9 Raw'!$H$6:$H$1712,"Y")</f>
        <v>1319.41894736842</v>
      </c>
      <c r="H360" s="18" t="s">
        <v>53</v>
      </c>
      <c r="I360" s="18" t="s">
        <v>44</v>
      </c>
      <c r="J360" s="18" t="s">
        <v>79</v>
      </c>
    </row>
    <row r="361" customFormat="false" ht="15" hidden="false" customHeight="false" outlineLevel="0" collapsed="false">
      <c r="A361" s="18" t="str">
        <f aca="false">IF(ISNUMBER($J361),$J361,"")</f>
        <v/>
      </c>
      <c r="B361" s="18" t="str">
        <f aca="false">IFERROR(INDEX('SALES Raw'!$B$6:$B$4467,MATCH($J361,'SALES Raw'!$J$6:$J$4467,0)),IFERROR(INDEX('CEMIUP0.9 Raw'!$B$6:$B$1712,MATCH($J361,'CEMIUP0.9 Raw'!$B$6:$B$1712,0)),$J361))</f>
        <v>ST45X 0</v>
      </c>
      <c r="C361" s="18" t="str">
        <f aca="false">IF(ISNUMBER($J361),IFERROR(INDEX('TRANS'!$C:$C,MATCH($J361,'TRANS'!$B:$B,0)),IFERROR(INDEX('Catalog'!$B:$B,MATCH($J361,'Catalog'!$A:$A,0)),$B361)),$B361)</f>
        <v>ST45X 0</v>
      </c>
      <c r="D361" s="19" t="n">
        <f aca="false">SUMIFS('SALES Raw'!$C$6:$C$4467,'SALES Raw'!$J$6:$J$4467,$J361,'SALES Raw'!$K$6:$K$4467,"Y")+SUMIFS('CEMIUP0.9 Raw'!$D$6:$D$1712,'CEMIUP0.9 Raw'!$B$6:$B$1712,$J361,'CEMIUP0.9 Raw'!$H$6:$H$1712,"Y")</f>
        <v>41</v>
      </c>
      <c r="E361" s="19" t="n">
        <f aca="false">SUMIFS('SALES Raw'!$D$6:$D$4467,'SALES Raw'!$J$6:$J$4467,$J361,'SALES Raw'!$K$6:$K$4467,"Y")+SUMIFS('CEMIUP0.9 Raw'!$E$6:$E$1712,'CEMIUP0.9 Raw'!$B$6:$B$1712,$J361,'CEMIUP0.9 Raw'!$H$6:$H$1712,"Y")</f>
        <v>3157.24</v>
      </c>
      <c r="F361" s="19" t="n">
        <f aca="false">SUMIFS('SALES Raw'!$E$6:$E$4467,'SALES Raw'!$J$6:$J$4467,$J361,'SALES Raw'!$K$6:$K$4467,"Y")*$H$4+SUMIFS('CEMIUP0.9 Raw'!$F$6:$F$1712,'CEMIUP0.9 Raw'!$B$6:$B$1712,$J361,'CEMIUP0.9 Raw'!$H$6:$H$1712,"Y")</f>
        <v>35.3684210526316</v>
      </c>
      <c r="G361" s="19" t="n">
        <f aca="false">SUMIFS('SALES Raw'!$F$6:$F$4467,'SALES Raw'!$J$6:$J$4467,$J361,'SALES Raw'!$K$6:$K$4467,"Y")*$H$4+SUMIFS('CEMIUP0.9 Raw'!$G$6:$G$1712,'CEMIUP0.9 Raw'!$B$6:$B$1712,$J361,'CEMIUP0.9 Raw'!$H$6:$H$1712,"Y")</f>
        <v>2787.58736842105</v>
      </c>
      <c r="H361" s="18" t="s">
        <v>42</v>
      </c>
      <c r="I361" s="18" t="s">
        <v>46</v>
      </c>
      <c r="J361" s="18" t="s">
        <v>80</v>
      </c>
    </row>
    <row r="362" customFormat="false" ht="15" hidden="false" customHeight="false" outlineLevel="0" collapsed="false">
      <c r="A362" s="18" t="str">
        <f aca="false">IF(ISNUMBER($J362),$J362,"")</f>
        <v/>
      </c>
      <c r="B362" s="18" t="str">
        <f aca="false">IFERROR(INDEX('SALES Raw'!$B$6:$B$4467,MATCH($J362,'SALES Raw'!$J$6:$J$4467,0)),IFERROR(INDEX('CEMIUP0.9 Raw'!$B$6:$B$1712,MATCH($J362,'CEMIUP0.9 Raw'!$B$6:$B$1712,0)),$J362))</f>
        <v>376-44-45</v>
      </c>
      <c r="C362" s="18" t="str">
        <f aca="false">IF(ISNUMBER($J362),IFERROR(INDEX('TRANS'!$C:$C,MATCH($J362,'TRANS'!$B:$B,0)),IFERROR(INDEX('Catalog'!$B:$B,MATCH($J362,'Catalog'!$A:$A,0)),$B362)),$B362)</f>
        <v>376-44-45</v>
      </c>
      <c r="D362" s="19" t="n">
        <f aca="false">SUMIFS('SALES Raw'!$C$6:$C$4467,'SALES Raw'!$J$6:$J$4467,$J362,'SALES Raw'!$K$6:$K$4467,"Y")+SUMIFS('CEMIUP0.9 Raw'!$D$6:$D$1712,'CEMIUP0.9 Raw'!$B$6:$B$1712,$J362,'CEMIUP0.9 Raw'!$H$6:$H$1712,"Y")</f>
        <v>25</v>
      </c>
      <c r="E362" s="19" t="n">
        <f aca="false">SUMIFS('SALES Raw'!$D$6:$D$4467,'SALES Raw'!$J$6:$J$4467,$J362,'SALES Raw'!$K$6:$K$4467,"Y")+SUMIFS('CEMIUP0.9 Raw'!$E$6:$E$1712,'CEMIUP0.9 Raw'!$B$6:$B$1712,$J362,'CEMIUP0.9 Raw'!$H$6:$H$1712,"Y")</f>
        <v>1186.83</v>
      </c>
      <c r="F362" s="19" t="n">
        <f aca="false">SUMIFS('SALES Raw'!$E$6:$E$4467,'SALES Raw'!$J$6:$J$4467,$J362,'SALES Raw'!$K$6:$K$4467,"Y")*$H$4+SUMIFS('CEMIUP0.9 Raw'!$F$6:$F$1712,'CEMIUP0.9 Raw'!$B$6:$B$1712,$J362,'CEMIUP0.9 Raw'!$H$6:$H$1712,"Y")</f>
        <v>35.3684210526316</v>
      </c>
      <c r="G362" s="19" t="n">
        <f aca="false">SUMIFS('SALES Raw'!$F$6:$F$4467,'SALES Raw'!$J$6:$J$4467,$J362,'SALES Raw'!$K$6:$K$4467,"Y")*$H$4+SUMIFS('CEMIUP0.9 Raw'!$G$6:$G$1712,'CEMIUP0.9 Raw'!$B$6:$B$1712,$J362,'CEMIUP0.9 Raw'!$H$6:$H$1712,"Y")</f>
        <v>1970.04631578947</v>
      </c>
      <c r="H362" s="18" t="s">
        <v>42</v>
      </c>
      <c r="I362" s="18" t="s">
        <v>54</v>
      </c>
      <c r="J362" s="18" t="s">
        <v>81</v>
      </c>
    </row>
    <row r="363" customFormat="false" ht="15" hidden="false" customHeight="false" outlineLevel="0" collapsed="false">
      <c r="A363" s="18" t="n">
        <f aca="false">IF(ISNUMBER($J363),$J363,"")</f>
        <v>4413119</v>
      </c>
      <c r="B363" s="18" t="str">
        <f aca="false">IFERROR(INDEX('SALES Raw'!$B$6:$B$4467,MATCH($J363,'SALES Raw'!$J$6:$J$4467,0)),IFERROR(INDEX('CEMIUP0.9 Raw'!$B$6:$B$1712,MATCH($J363,'CEMIUP0.9 Raw'!$B$6:$B$1712,0)),$J363))</f>
        <v>50 XL</v>
      </c>
      <c r="C363" s="18" t="str">
        <f aca="false">IF(ISNUMBER($J363),IFERROR(INDEX('TRANS'!$C:$C,MATCH($J363,'TRANS'!$B:$B,0)),IFERROR(INDEX('Catalog'!$B:$B,MATCH($J363,'Catalog'!$A:$A,0)),$B363)),$B363)</f>
        <v>50 XL מתלה אשכים לאחר ניתוח</v>
      </c>
      <c r="D363" s="19" t="n">
        <f aca="false">SUMIFS('SALES Raw'!$C$6:$C$4467,'SALES Raw'!$J$6:$J$4467,$J363,'SALES Raw'!$K$6:$K$4467,"Y")+SUMIFS('CEMIUP0.9 Raw'!$D$6:$D$1712,'CEMIUP0.9 Raw'!$B$6:$B$1712,$J363,'CEMIUP0.9 Raw'!$H$6:$H$1712,"Y")</f>
        <v>31</v>
      </c>
      <c r="E363" s="19" t="n">
        <f aca="false">SUMIFS('SALES Raw'!$D$6:$D$4467,'SALES Raw'!$J$6:$J$4467,$J363,'SALES Raw'!$K$6:$K$4467,"Y")+SUMIFS('CEMIUP0.9 Raw'!$E$6:$E$1712,'CEMIUP0.9 Raw'!$B$6:$B$1712,$J363,'CEMIUP0.9 Raw'!$H$6:$H$1712,"Y")</f>
        <v>3400.104</v>
      </c>
      <c r="F363" s="19" t="n">
        <f aca="false">SUMIFS('SALES Raw'!$E$6:$E$4467,'SALES Raw'!$J$6:$J$4467,$J363,'SALES Raw'!$K$6:$K$4467,"Y")*$H$4+SUMIFS('CEMIUP0.9 Raw'!$F$6:$F$1712,'CEMIUP0.9 Raw'!$B$6:$B$1712,$J363,'CEMIUP0.9 Raw'!$H$6:$H$1712,"Y")</f>
        <v>34.1052631578947</v>
      </c>
      <c r="G363" s="19" t="n">
        <f aca="false">SUMIFS('SALES Raw'!$F$6:$F$4467,'SALES Raw'!$J$6:$J$4467,$J363,'SALES Raw'!$K$6:$K$4467,"Y")*$H$4+SUMIFS('CEMIUP0.9 Raw'!$G$6:$G$1712,'CEMIUP0.9 Raw'!$B$6:$B$1712,$J363,'CEMIUP0.9 Raw'!$H$6:$H$1712,"Y")</f>
        <v>4529.64631578948</v>
      </c>
      <c r="H363" s="18" t="s">
        <v>43</v>
      </c>
      <c r="I363" s="18" t="s">
        <v>42</v>
      </c>
      <c r="J363" s="18" t="n">
        <v>4413119</v>
      </c>
    </row>
    <row r="364" customFormat="false" ht="15" hidden="false" customHeight="false" outlineLevel="0" collapsed="false">
      <c r="A364" s="18" t="str">
        <f aca="false">IF(ISNUMBER($J364),$J364,"")</f>
        <v/>
      </c>
      <c r="B364" s="18" t="str">
        <f aca="false">IFERROR(INDEX('SALES Raw'!$B$6:$B$4467,MATCH($J364,'SALES Raw'!$J$6:$J$4467,0)),IFERROR(INDEX('CEMIUP0.9 Raw'!$B$6:$B$1712,MATCH($J364,'CEMIUP0.9 Raw'!$B$6:$B$1712,0)),$J364))</f>
        <v>395B-35-38</v>
      </c>
      <c r="C364" s="18" t="str">
        <f aca="false">IF(ISNUMBER($J364),IFERROR(INDEX('TRANS'!$C:$C,MATCH($J364,'TRANS'!$B:$B,0)),IFERROR(INDEX('Catalog'!$B:$B,MATCH($J364,'Catalog'!$A:$A,0)),$B364)),$B364)</f>
        <v>395B-35-38</v>
      </c>
      <c r="D364" s="19" t="n">
        <f aca="false">SUMIFS('SALES Raw'!$C$6:$C$4467,'SALES Raw'!$J$6:$J$4467,$J364,'SALES Raw'!$K$6:$K$4467,"Y")+SUMIFS('CEMIUP0.9 Raw'!$D$6:$D$1712,'CEMIUP0.9 Raw'!$B$6:$B$1712,$J364,'CEMIUP0.9 Raw'!$H$6:$H$1712,"Y")</f>
        <v>0</v>
      </c>
      <c r="E364" s="19" t="n">
        <f aca="false">SUMIFS('SALES Raw'!$D$6:$D$4467,'SALES Raw'!$J$6:$J$4467,$J364,'SALES Raw'!$K$6:$K$4467,"Y")+SUMIFS('CEMIUP0.9 Raw'!$E$6:$E$1712,'CEMIUP0.9 Raw'!$B$6:$B$1712,$J364,'CEMIUP0.9 Raw'!$H$6:$H$1712,"Y")</f>
        <v>0</v>
      </c>
      <c r="F364" s="19" t="n">
        <f aca="false">SUMIFS('SALES Raw'!$E$6:$E$4467,'SALES Raw'!$J$6:$J$4467,$J364,'SALES Raw'!$K$6:$K$4467,"Y")*$H$4+SUMIFS('CEMIUP0.9 Raw'!$F$6:$F$1712,'CEMIUP0.9 Raw'!$B$6:$B$1712,$J364,'CEMIUP0.9 Raw'!$H$6:$H$1712,"Y")</f>
        <v>34.1052631578947</v>
      </c>
      <c r="G364" s="19" t="n">
        <f aca="false">SUMIFS('SALES Raw'!$F$6:$F$4467,'SALES Raw'!$J$6:$J$4467,$J364,'SALES Raw'!$K$6:$K$4467,"Y")*$H$4+SUMIFS('CEMIUP0.9 Raw'!$G$6:$G$1712,'CEMIUP0.9 Raw'!$B$6:$B$1712,$J364,'CEMIUP0.9 Raw'!$H$6:$H$1712,"Y")</f>
        <v>1411.01052631579</v>
      </c>
      <c r="H364" s="18" t="s">
        <v>42</v>
      </c>
      <c r="I364" s="18" t="s">
        <v>44</v>
      </c>
      <c r="J364" s="18" t="s">
        <v>82</v>
      </c>
    </row>
    <row r="365" customFormat="false" ht="15" hidden="false" customHeight="false" outlineLevel="0" collapsed="false">
      <c r="A365" s="18" t="n">
        <f aca="false">IF(ISNUMBER($J365),$J365,"")</f>
        <v>4413155</v>
      </c>
      <c r="B365" s="18" t="str">
        <f aca="false">IFERROR(INDEX('SALES Raw'!$B$6:$B$4467,MATCH($J365,'SALES Raw'!$J$6:$J$4467,0)),IFERROR(INDEX('CEMIUP0.9 Raw'!$B$6:$B$1712,MATCH($J365,'CEMIUP0.9 Raw'!$B$6:$B$1712,0)),$J365))</f>
        <v>305GA-39-40</v>
      </c>
      <c r="C365" s="18" t="str">
        <f aca="false">IF(ISNUMBER($J365),IFERROR(INDEX('TRANS'!$C:$C,MATCH($J365,'TRANS'!$B:$B,0)),IFERROR(INDEX('Catalog'!$B:$B,MATCH($J365,'Catalog'!$A:$A,0)),$B365)),$B365)</f>
        <v>305GA מדרס אורטופ.מתכוון39-40</v>
      </c>
      <c r="D365" s="19" t="n">
        <f aca="false">SUMIFS('SALES Raw'!$C$6:$C$4467,'SALES Raw'!$J$6:$J$4467,$J365,'SALES Raw'!$K$6:$K$4467,"Y")+SUMIFS('CEMIUP0.9 Raw'!$D$6:$D$1712,'CEMIUP0.9 Raw'!$B$6:$B$1712,$J365,'CEMIUP0.9 Raw'!$H$6:$H$1712,"Y")</f>
        <v>48</v>
      </c>
      <c r="E365" s="19" t="n">
        <f aca="false">SUMIFS('SALES Raw'!$D$6:$D$4467,'SALES Raw'!$J$6:$J$4467,$J365,'SALES Raw'!$K$6:$K$4467,"Y")+SUMIFS('CEMIUP0.9 Raw'!$E$6:$E$1712,'CEMIUP0.9 Raw'!$B$6:$B$1712,$J365,'CEMIUP0.9 Raw'!$H$6:$H$1712,"Y")</f>
        <v>4780.082</v>
      </c>
      <c r="F365" s="19" t="n">
        <f aca="false">SUMIFS('SALES Raw'!$E$6:$E$4467,'SALES Raw'!$J$6:$J$4467,$J365,'SALES Raw'!$K$6:$K$4467,"Y")*$H$4+SUMIFS('CEMIUP0.9 Raw'!$F$6:$F$1712,'CEMIUP0.9 Raw'!$B$6:$B$1712,$J365,'CEMIUP0.9 Raw'!$H$6:$H$1712,"Y")</f>
        <v>34.1052631578947</v>
      </c>
      <c r="G365" s="19" t="n">
        <f aca="false">SUMIFS('SALES Raw'!$F$6:$F$4467,'SALES Raw'!$J$6:$J$4467,$J365,'SALES Raw'!$K$6:$K$4467,"Y")*$H$4+SUMIFS('CEMIUP0.9 Raw'!$G$6:$G$1712,'CEMIUP0.9 Raw'!$B$6:$B$1712,$J365,'CEMIUP0.9 Raw'!$H$6:$H$1712,"Y")</f>
        <v>3524.11452631579</v>
      </c>
      <c r="H365" s="18" t="s">
        <v>42</v>
      </c>
      <c r="I365" s="18" t="s">
        <v>44</v>
      </c>
      <c r="J365" s="18" t="n">
        <v>4413155</v>
      </c>
    </row>
    <row r="366" customFormat="false" ht="15" hidden="false" customHeight="false" outlineLevel="0" collapsed="false">
      <c r="A366" s="18" t="str">
        <f aca="false">IF(ISNUMBER($J366),$J366,"")</f>
        <v/>
      </c>
      <c r="B366" s="18" t="str">
        <f aca="false">IFERROR(INDEX('SALES Raw'!$B$6:$B$4467,MATCH($J366,'SALES Raw'!$J$6:$J$4467,0)),IFERROR(INDEX('CEMIUP0.9 Raw'!$B$6:$B$1712,MATCH($J366,'CEMIUP0.9 Raw'!$B$6:$B$1712,0)),$J366))</f>
        <v>394G-39-42</v>
      </c>
      <c r="C366" s="18" t="str">
        <f aca="false">IF(ISNUMBER($J366),IFERROR(INDEX('TRANS'!$C:$C,MATCH($J366,'TRANS'!$B:$B,0)),IFERROR(INDEX('Catalog'!$B:$B,MATCH($J366,'Catalog'!$A:$A,0)),$B366)),$B366)</f>
        <v>394G-39-42</v>
      </c>
      <c r="D366" s="19" t="n">
        <f aca="false">SUMIFS('SALES Raw'!$C$6:$C$4467,'SALES Raw'!$J$6:$J$4467,$J366,'SALES Raw'!$K$6:$K$4467,"Y")+SUMIFS('CEMIUP0.9 Raw'!$D$6:$D$1712,'CEMIUP0.9 Raw'!$B$6:$B$1712,$J366,'CEMIUP0.9 Raw'!$H$6:$H$1712,"Y")</f>
        <v>142</v>
      </c>
      <c r="E366" s="19" t="n">
        <f aca="false">SUMIFS('SALES Raw'!$D$6:$D$4467,'SALES Raw'!$J$6:$J$4467,$J366,'SALES Raw'!$K$6:$K$4467,"Y")+SUMIFS('CEMIUP0.9 Raw'!$E$6:$E$1712,'CEMIUP0.9 Raw'!$B$6:$B$1712,$J366,'CEMIUP0.9 Raw'!$H$6:$H$1712,"Y")</f>
        <v>3876.74</v>
      </c>
      <c r="F366" s="19" t="n">
        <f aca="false">SUMIFS('SALES Raw'!$E$6:$E$4467,'SALES Raw'!$J$6:$J$4467,$J366,'SALES Raw'!$K$6:$K$4467,"Y")*$H$4+SUMIFS('CEMIUP0.9 Raw'!$F$6:$F$1712,'CEMIUP0.9 Raw'!$B$6:$B$1712,$J366,'CEMIUP0.9 Raw'!$H$6:$H$1712,"Y")</f>
        <v>34.1052631578947</v>
      </c>
      <c r="G366" s="19" t="n">
        <f aca="false">SUMIFS('SALES Raw'!$F$6:$F$4467,'SALES Raw'!$J$6:$J$4467,$J366,'SALES Raw'!$K$6:$K$4467,"Y")*$H$4+SUMIFS('CEMIUP0.9 Raw'!$G$6:$G$1712,'CEMIUP0.9 Raw'!$B$6:$B$1712,$J366,'CEMIUP0.9 Raw'!$H$6:$H$1712,"Y")</f>
        <v>1169.98736842105</v>
      </c>
      <c r="H366" s="18" t="s">
        <v>42</v>
      </c>
      <c r="I366" s="18" t="s">
        <v>48</v>
      </c>
      <c r="J366" s="18" t="s">
        <v>83</v>
      </c>
    </row>
    <row r="367" customFormat="false" ht="15" hidden="false" customHeight="false" outlineLevel="0" collapsed="false">
      <c r="A367" s="18" t="str">
        <f aca="false">IF(ISNUMBER($J367),$J367,"")</f>
        <v/>
      </c>
      <c r="B367" s="18" t="str">
        <f aca="false">IFERROR(INDEX('SALES Raw'!$B$6:$B$4467,MATCH($J367,'SALES Raw'!$J$6:$J$4467,0)),IFERROR(INDEX('CEMIUP0.9 Raw'!$B$6:$B$1712,MATCH($J367,'CEMIUP0.9 Raw'!$B$6:$B$1712,0)),$J367))</f>
        <v>45C XXL</v>
      </c>
      <c r="C367" s="18" t="str">
        <f aca="false">IF(ISNUMBER($J367),IFERROR(INDEX('TRANS'!$C:$C,MATCH($J367,'TRANS'!$B:$B,0)),IFERROR(INDEX('Catalog'!$B:$B,MATCH($J367,'Catalog'!$A:$A,0)),$B367)),$B367)</f>
        <v>45C XXL</v>
      </c>
      <c r="D367" s="19" t="n">
        <f aca="false">SUMIFS('SALES Raw'!$C$6:$C$4467,'SALES Raw'!$J$6:$J$4467,$J367,'SALES Raw'!$K$6:$K$4467,"Y")+SUMIFS('CEMIUP0.9 Raw'!$D$6:$D$1712,'CEMIUP0.9 Raw'!$B$6:$B$1712,$J367,'CEMIUP0.9 Raw'!$H$6:$H$1712,"Y")</f>
        <v>49</v>
      </c>
      <c r="E367" s="19" t="n">
        <f aca="false">SUMIFS('SALES Raw'!$D$6:$D$4467,'SALES Raw'!$J$6:$J$4467,$J367,'SALES Raw'!$K$6:$K$4467,"Y")+SUMIFS('CEMIUP0.9 Raw'!$E$6:$E$1712,'CEMIUP0.9 Raw'!$B$6:$B$1712,$J367,'CEMIUP0.9 Raw'!$H$6:$H$1712,"Y")</f>
        <v>1669.42</v>
      </c>
      <c r="F367" s="19" t="n">
        <f aca="false">SUMIFS('SALES Raw'!$E$6:$E$4467,'SALES Raw'!$J$6:$J$4467,$J367,'SALES Raw'!$K$6:$K$4467,"Y")*$H$4+SUMIFS('CEMIUP0.9 Raw'!$F$6:$F$1712,'CEMIUP0.9 Raw'!$B$6:$B$1712,$J367,'CEMIUP0.9 Raw'!$H$6:$H$1712,"Y")</f>
        <v>34.1052631578947</v>
      </c>
      <c r="G367" s="19" t="n">
        <f aca="false">SUMIFS('SALES Raw'!$F$6:$F$4467,'SALES Raw'!$J$6:$J$4467,$J367,'SALES Raw'!$K$6:$K$4467,"Y")*$H$4+SUMIFS('CEMIUP0.9 Raw'!$G$6:$G$1712,'CEMIUP0.9 Raw'!$B$6:$B$1712,$J367,'CEMIUP0.9 Raw'!$H$6:$H$1712,"Y")</f>
        <v>1484.24842105263</v>
      </c>
      <c r="H367" s="18" t="s">
        <v>42</v>
      </c>
      <c r="I367" s="18" t="s">
        <v>44</v>
      </c>
      <c r="J367" s="18" t="s">
        <v>84</v>
      </c>
    </row>
    <row r="368" customFormat="false" ht="15" hidden="false" customHeight="false" outlineLevel="0" collapsed="false">
      <c r="A368" s="18" t="n">
        <f aca="false">IF(ISNUMBER($J368),$J368,"")</f>
        <v>4413442</v>
      </c>
      <c r="B368" s="18" t="str">
        <f aca="false">IFERROR(INDEX('SALES Raw'!$B$6:$B$4467,MATCH($J368,'SALES Raw'!$J$6:$J$4467,0)),IFERROR(INDEX('CEMIUP0.9 Raw'!$B$6:$B$1712,MATCH($J368,'CEMIUP0.9 Raw'!$B$6:$B$1712,0)),$J368))</f>
        <v>SC422 XXL</v>
      </c>
      <c r="C368" s="18" t="str">
        <f aca="false">IF(ISNUMBER($J368),IFERROR(INDEX('TRANS'!$C:$C,MATCH($J368,'TRANS'!$B:$B,0)),IFERROR(INDEX('Catalog'!$B:$B,MATCH($J368,'Catalog'!$A:$A,0)),$B368)),$B368)</f>
        <v>SC422 XXLמגן ברך</v>
      </c>
      <c r="D368" s="19" t="n">
        <f aca="false">SUMIFS('SALES Raw'!$C$6:$C$4467,'SALES Raw'!$J$6:$J$4467,$J368,'SALES Raw'!$K$6:$K$4467,"Y")+SUMIFS('CEMIUP0.9 Raw'!$D$6:$D$1712,'CEMIUP0.9 Raw'!$B$6:$B$1712,$J368,'CEMIUP0.9 Raw'!$H$6:$H$1712,"Y")</f>
        <v>28</v>
      </c>
      <c r="E368" s="19" t="n">
        <f aca="false">SUMIFS('SALES Raw'!$D$6:$D$4467,'SALES Raw'!$J$6:$J$4467,$J368,'SALES Raw'!$K$6:$K$4467,"Y")+SUMIFS('CEMIUP0.9 Raw'!$E$6:$E$1712,'CEMIUP0.9 Raw'!$B$6:$B$1712,$J368,'CEMIUP0.9 Raw'!$H$6:$H$1712,"Y")</f>
        <v>5583.127</v>
      </c>
      <c r="F368" s="19" t="n">
        <f aca="false">SUMIFS('SALES Raw'!$E$6:$E$4467,'SALES Raw'!$J$6:$J$4467,$J368,'SALES Raw'!$K$6:$K$4467,"Y")*$H$4+SUMIFS('CEMIUP0.9 Raw'!$F$6:$F$1712,'CEMIUP0.9 Raw'!$B$6:$B$1712,$J368,'CEMIUP0.9 Raw'!$H$6:$H$1712,"Y")</f>
        <v>34.1052631578947</v>
      </c>
      <c r="G368" s="19" t="n">
        <f aca="false">SUMIFS('SALES Raw'!$F$6:$F$4467,'SALES Raw'!$J$6:$J$4467,$J368,'SALES Raw'!$K$6:$K$4467,"Y")*$H$4+SUMIFS('CEMIUP0.9 Raw'!$G$6:$G$1712,'CEMIUP0.9 Raw'!$B$6:$B$1712,$J368,'CEMIUP0.9 Raw'!$H$6:$H$1712,"Y")</f>
        <v>6574.49557894736</v>
      </c>
      <c r="H368" s="18" t="s">
        <v>42</v>
      </c>
      <c r="I368" s="18" t="s">
        <v>43</v>
      </c>
      <c r="J368" s="18" t="n">
        <v>4413442</v>
      </c>
    </row>
    <row r="369" customFormat="false" ht="15" hidden="false" customHeight="false" outlineLevel="0" collapsed="false">
      <c r="A369" s="18" t="str">
        <f aca="false">IF(ISNUMBER($J369),$J369,"")</f>
        <v/>
      </c>
      <c r="B369" s="18" t="str">
        <f aca="false">IFERROR(INDEX('SALES Raw'!$B$6:$B$4467,MATCH($J369,'SALES Raw'!$J$6:$J$4467,0)),IFERROR(INDEX('CEMIUP0.9 Raw'!$B$6:$B$1712,MATCH($J369,'CEMIUP0.9 Raw'!$B$6:$B$1712,0)),$J369))</f>
        <v>60B S</v>
      </c>
      <c r="C369" s="18" t="str">
        <f aca="false">IF(ISNUMBER($J369),IFERROR(INDEX('TRANS'!$C:$C,MATCH($J369,'TRANS'!$B:$B,0)),IFERROR(INDEX('Catalog'!$B:$B,MATCH($J369,'Catalog'!$A:$A,0)),$B369)),$B369)</f>
        <v>60B S</v>
      </c>
      <c r="D369" s="19" t="n">
        <f aca="false">SUMIFS('SALES Raw'!$C$6:$C$4467,'SALES Raw'!$J$6:$J$4467,$J369,'SALES Raw'!$K$6:$K$4467,"Y")+SUMIFS('CEMIUP0.9 Raw'!$D$6:$D$1712,'CEMIUP0.9 Raw'!$B$6:$B$1712,$J369,'CEMIUP0.9 Raw'!$H$6:$H$1712,"Y")</f>
        <v>26</v>
      </c>
      <c r="E369" s="19" t="n">
        <f aca="false">SUMIFS('SALES Raw'!$D$6:$D$4467,'SALES Raw'!$J$6:$J$4467,$J369,'SALES Raw'!$K$6:$K$4467,"Y")+SUMIFS('CEMIUP0.9 Raw'!$E$6:$E$1712,'CEMIUP0.9 Raw'!$B$6:$B$1712,$J369,'CEMIUP0.9 Raw'!$H$6:$H$1712,"Y")</f>
        <v>1620.14</v>
      </c>
      <c r="F369" s="19" t="n">
        <f aca="false">SUMIFS('SALES Raw'!$E$6:$E$4467,'SALES Raw'!$J$6:$J$4467,$J369,'SALES Raw'!$K$6:$K$4467,"Y")*$H$4+SUMIFS('CEMIUP0.9 Raw'!$F$6:$F$1712,'CEMIUP0.9 Raw'!$B$6:$B$1712,$J369,'CEMIUP0.9 Raw'!$H$6:$H$1712,"Y")</f>
        <v>32.8421052631579</v>
      </c>
      <c r="G369" s="19" t="n">
        <f aca="false">SUMIFS('SALES Raw'!$F$6:$F$4467,'SALES Raw'!$J$6:$J$4467,$J369,'SALES Raw'!$K$6:$K$4467,"Y")*$H$4+SUMIFS('CEMIUP0.9 Raw'!$G$6:$G$1712,'CEMIUP0.9 Raw'!$B$6:$B$1712,$J369,'CEMIUP0.9 Raw'!$H$6:$H$1712,"Y")</f>
        <v>1922.79157894737</v>
      </c>
      <c r="H369" s="18" t="s">
        <v>53</v>
      </c>
      <c r="I369" s="18" t="s">
        <v>42</v>
      </c>
      <c r="J369" s="18" t="s">
        <v>85</v>
      </c>
    </row>
    <row r="370" customFormat="false" ht="15" hidden="false" customHeight="false" outlineLevel="0" collapsed="false">
      <c r="A370" s="18" t="n">
        <f aca="false">IF(ISNUMBER($J370),$J370,"")</f>
        <v>4403000</v>
      </c>
      <c r="B370" s="18" t="str">
        <f aca="false">IFERROR(INDEX('SALES Raw'!$B$6:$B$4467,MATCH($J370,'SALES Raw'!$J$6:$J$4467,0)),IFERROR(INDEX('CEMIUP0.9 Raw'!$B$6:$B$1712,MATCH($J370,'CEMIUP0.9 Raw'!$B$6:$B$1712,0)),$J370))</f>
        <v>390B-35-38</v>
      </c>
      <c r="C370" s="18" t="str">
        <f aca="false">IF(ISNUMBER($J370),IFERROR(INDEX('TRANS'!$C:$C,MATCH($J370,'TRANS'!$B:$B,0)),IFERROR(INDEX('Catalog'!$B:$B,MATCH($J370,'Catalog'!$A:$A,0)),$B370)),$B370)</f>
        <v>390B גרב.כסף לסכרתים שחור35-38</v>
      </c>
      <c r="D370" s="19" t="n">
        <f aca="false">SUMIFS('SALES Raw'!$C$6:$C$4467,'SALES Raw'!$J$6:$J$4467,$J370,'SALES Raw'!$K$6:$K$4467,"Y")+SUMIFS('CEMIUP0.9 Raw'!$D$6:$D$1712,'CEMIUP0.9 Raw'!$B$6:$B$1712,$J370,'CEMIUP0.9 Raw'!$H$6:$H$1712,"Y")</f>
        <v>45</v>
      </c>
      <c r="E370" s="19" t="n">
        <f aca="false">SUMIFS('SALES Raw'!$D$6:$D$4467,'SALES Raw'!$J$6:$J$4467,$J370,'SALES Raw'!$K$6:$K$4467,"Y")+SUMIFS('CEMIUP0.9 Raw'!$E$6:$E$1712,'CEMIUP0.9 Raw'!$B$6:$B$1712,$J370,'CEMIUP0.9 Raw'!$H$6:$H$1712,"Y")</f>
        <v>1332.151</v>
      </c>
      <c r="F370" s="19" t="n">
        <f aca="false">SUMIFS('SALES Raw'!$E$6:$E$4467,'SALES Raw'!$J$6:$J$4467,$J370,'SALES Raw'!$K$6:$K$4467,"Y")*$H$4+SUMIFS('CEMIUP0.9 Raw'!$F$6:$F$1712,'CEMIUP0.9 Raw'!$B$6:$B$1712,$J370,'CEMIUP0.9 Raw'!$H$6:$H$1712,"Y")</f>
        <v>32.8421052631579</v>
      </c>
      <c r="G370" s="19" t="n">
        <f aca="false">SUMIFS('SALES Raw'!$F$6:$F$4467,'SALES Raw'!$J$6:$J$4467,$J370,'SALES Raw'!$K$6:$K$4467,"Y")*$H$4+SUMIFS('CEMIUP0.9 Raw'!$G$6:$G$1712,'CEMIUP0.9 Raw'!$B$6:$B$1712,$J370,'CEMIUP0.9 Raw'!$H$6:$H$1712,"Y")</f>
        <v>878.358315789474</v>
      </c>
      <c r="H370" s="18" t="s">
        <v>48</v>
      </c>
      <c r="I370" s="18" t="s">
        <v>43</v>
      </c>
      <c r="J370" s="18" t="n">
        <v>4403000</v>
      </c>
    </row>
    <row r="371" customFormat="false" ht="15" hidden="false" customHeight="false" outlineLevel="0" collapsed="false">
      <c r="A371" s="18" t="n">
        <f aca="false">IF(ISNUMBER($J371),$J371,"")</f>
        <v>4408232</v>
      </c>
      <c r="B371" s="18" t="str">
        <f aca="false">IFERROR(INDEX('SALES Raw'!$B$6:$B$4467,MATCH($J371,'SALES Raw'!$J$6:$J$4467,0)),IFERROR(INDEX('CEMIUP0.9 Raw'!$B$6:$B$1712,MATCH($J371,'CEMIUP0.9 Raw'!$B$6:$B$1712,0)),$J371))</f>
        <v>16 XXL</v>
      </c>
      <c r="C371" s="18" t="str">
        <f aca="false">IF(ISNUMBER($J371),IFERROR(INDEX('TRANS'!$C:$C,MATCH($J371,'TRANS'!$B:$B,0)),IFERROR(INDEX('Catalog'!$B:$B,MATCH($J371,'Catalog'!$A:$A,0)),$B371)),$B371)</f>
        <v>16 XXL חגורת הריון</v>
      </c>
      <c r="D371" s="19" t="n">
        <f aca="false">SUMIFS('SALES Raw'!$C$6:$C$4467,'SALES Raw'!$J$6:$J$4467,$J371,'SALES Raw'!$K$6:$K$4467,"Y")+SUMIFS('CEMIUP0.9 Raw'!$D$6:$D$1712,'CEMIUP0.9 Raw'!$B$6:$B$1712,$J371,'CEMIUP0.9 Raw'!$H$6:$H$1712,"Y")</f>
        <v>34</v>
      </c>
      <c r="E371" s="19" t="n">
        <f aca="false">SUMIFS('SALES Raw'!$D$6:$D$4467,'SALES Raw'!$J$6:$J$4467,$J371,'SALES Raw'!$K$6:$K$4467,"Y")+SUMIFS('CEMIUP0.9 Raw'!$E$6:$E$1712,'CEMIUP0.9 Raw'!$B$6:$B$1712,$J371,'CEMIUP0.9 Raw'!$H$6:$H$1712,"Y")</f>
        <v>3244.062</v>
      </c>
      <c r="F371" s="19" t="n">
        <f aca="false">SUMIFS('SALES Raw'!$E$6:$E$4467,'SALES Raw'!$J$6:$J$4467,$J371,'SALES Raw'!$K$6:$K$4467,"Y")*$H$4+SUMIFS('CEMIUP0.9 Raw'!$F$6:$F$1712,'CEMIUP0.9 Raw'!$B$6:$B$1712,$J371,'CEMIUP0.9 Raw'!$H$6:$H$1712,"Y")</f>
        <v>31.5789473684211</v>
      </c>
      <c r="G371" s="19" t="n">
        <f aca="false">SUMIFS('SALES Raw'!$F$6:$F$4467,'SALES Raw'!$J$6:$J$4467,$J371,'SALES Raw'!$K$6:$K$4467,"Y")*$H$4+SUMIFS('CEMIUP0.9 Raw'!$G$6:$G$1712,'CEMIUP0.9 Raw'!$B$6:$B$1712,$J371,'CEMIUP0.9 Raw'!$H$6:$H$1712,"Y")</f>
        <v>3259.32378947368</v>
      </c>
      <c r="H371" s="18" t="s">
        <v>48</v>
      </c>
      <c r="I371" s="18" t="s">
        <v>44</v>
      </c>
      <c r="J371" s="18" t="n">
        <v>4408232</v>
      </c>
    </row>
    <row r="372" customFormat="false" ht="15" hidden="false" customHeight="false" outlineLevel="0" collapsed="false">
      <c r="A372" s="18" t="str">
        <f aca="false">IF(ISNUMBER($J372),$J372,"")</f>
        <v/>
      </c>
      <c r="B372" s="18" t="str">
        <f aca="false">IFERROR(INDEX('SALES Raw'!$B$6:$B$4467,MATCH($J372,'SALES Raw'!$J$6:$J$4467,0)),IFERROR(INDEX('CEMIUP0.9 Raw'!$B$6:$B$1712,MATCH($J372,'CEMIUP0.9 Raw'!$B$6:$B$1712,0)),$J372))</f>
        <v>SH776 XL</v>
      </c>
      <c r="C372" s="18" t="str">
        <f aca="false">IF(ISNUMBER($J372),IFERROR(INDEX('TRANS'!$C:$C,MATCH($J372,'TRANS'!$B:$B,0)),IFERROR(INDEX('Catalog'!$B:$B,MATCH($J372,'Catalog'!$A:$A,0)),$B372)),$B372)</f>
        <v>SH776 XL</v>
      </c>
      <c r="D372" s="19" t="n">
        <f aca="false">SUMIFS('SALES Raw'!$C$6:$C$4467,'SALES Raw'!$J$6:$J$4467,$J372,'SALES Raw'!$K$6:$K$4467,"Y")+SUMIFS('CEMIUP0.9 Raw'!$D$6:$D$1712,'CEMIUP0.9 Raw'!$B$6:$B$1712,$J372,'CEMIUP0.9 Raw'!$H$6:$H$1712,"Y")</f>
        <v>0</v>
      </c>
      <c r="E372" s="19" t="n">
        <f aca="false">SUMIFS('SALES Raw'!$D$6:$D$4467,'SALES Raw'!$J$6:$J$4467,$J372,'SALES Raw'!$K$6:$K$4467,"Y")+SUMIFS('CEMIUP0.9 Raw'!$E$6:$E$1712,'CEMIUP0.9 Raw'!$B$6:$B$1712,$J372,'CEMIUP0.9 Raw'!$H$6:$H$1712,"Y")</f>
        <v>0</v>
      </c>
      <c r="F372" s="19" t="n">
        <f aca="false">SUMIFS('SALES Raw'!$E$6:$E$4467,'SALES Raw'!$J$6:$J$4467,$J372,'SALES Raw'!$K$6:$K$4467,"Y")*$H$4+SUMIFS('CEMIUP0.9 Raw'!$F$6:$F$1712,'CEMIUP0.9 Raw'!$B$6:$B$1712,$J372,'CEMIUP0.9 Raw'!$H$6:$H$1712,"Y")</f>
        <v>31.5789473684211</v>
      </c>
      <c r="G372" s="19" t="n">
        <f aca="false">SUMIFS('SALES Raw'!$F$6:$F$4467,'SALES Raw'!$J$6:$J$4467,$J372,'SALES Raw'!$K$6:$K$4467,"Y")*$H$4+SUMIFS('CEMIUP0.9 Raw'!$G$6:$G$1712,'CEMIUP0.9 Raw'!$B$6:$B$1712,$J372,'CEMIUP0.9 Raw'!$H$6:$H$1712,"Y")</f>
        <v>13512.6189473684</v>
      </c>
      <c r="H372" s="18" t="s">
        <v>44</v>
      </c>
      <c r="I372" s="18" t="s">
        <v>42</v>
      </c>
      <c r="J372" s="18" t="s">
        <v>86</v>
      </c>
    </row>
    <row r="373" customFormat="false" ht="15" hidden="false" customHeight="false" outlineLevel="0" collapsed="false">
      <c r="A373" s="18" t="str">
        <f aca="false">IF(ISNUMBER($J373),$J373,"")</f>
        <v/>
      </c>
      <c r="B373" s="18" t="str">
        <f aca="false">IFERROR(INDEX('SALES Raw'!$B$6:$B$4467,MATCH($J373,'SALES Raw'!$J$6:$J$4467,0)),IFERROR(INDEX('CEMIUP0.9 Raw'!$B$6:$B$1712,MATCH($J373,'CEMIUP0.9 Raw'!$B$6:$B$1712,0)),$J373))</f>
        <v>808KTP-C</v>
      </c>
      <c r="C373" s="18" t="str">
        <f aca="false">IF(ISNUMBER($J373),IFERROR(INDEX('TRANS'!$C:$C,MATCH($J373,'TRANS'!$B:$B,0)),IFERROR(INDEX('Catalog'!$B:$B,MATCH($J373,'Catalog'!$A:$A,0)),$B373)),$B373)</f>
        <v>808KTP-C</v>
      </c>
      <c r="D373" s="19" t="n">
        <f aca="false">SUMIFS('SALES Raw'!$C$6:$C$4467,'SALES Raw'!$J$6:$J$4467,$J373,'SALES Raw'!$K$6:$K$4467,"Y")+SUMIFS('CEMIUP0.9 Raw'!$D$6:$D$1712,'CEMIUP0.9 Raw'!$B$6:$B$1712,$J373,'CEMIUP0.9 Raw'!$H$6:$H$1712,"Y")</f>
        <v>39</v>
      </c>
      <c r="E373" s="19" t="n">
        <f aca="false">SUMIFS('SALES Raw'!$D$6:$D$4467,'SALES Raw'!$J$6:$J$4467,$J373,'SALES Raw'!$K$6:$K$4467,"Y")+SUMIFS('CEMIUP0.9 Raw'!$E$6:$E$1712,'CEMIUP0.9 Raw'!$B$6:$B$1712,$J373,'CEMIUP0.9 Raw'!$H$6:$H$1712,"Y")</f>
        <v>1201.09</v>
      </c>
      <c r="F373" s="19" t="n">
        <f aca="false">SUMIFS('SALES Raw'!$E$6:$E$4467,'SALES Raw'!$J$6:$J$4467,$J373,'SALES Raw'!$K$6:$K$4467,"Y")*$H$4+SUMIFS('CEMIUP0.9 Raw'!$F$6:$F$1712,'CEMIUP0.9 Raw'!$B$6:$B$1712,$J373,'CEMIUP0.9 Raw'!$H$6:$H$1712,"Y")</f>
        <v>31.5789473684211</v>
      </c>
      <c r="G373" s="19" t="n">
        <f aca="false">SUMIFS('SALES Raw'!$F$6:$F$4467,'SALES Raw'!$J$6:$J$4467,$J373,'SALES Raw'!$K$6:$K$4467,"Y")*$H$4+SUMIFS('CEMIUP0.9 Raw'!$G$6:$G$1712,'CEMIUP0.9 Raw'!$B$6:$B$1712,$J373,'CEMIUP0.9 Raw'!$H$6:$H$1712,"Y")</f>
        <v>1006.33263157895</v>
      </c>
      <c r="H373" s="18" t="s">
        <v>53</v>
      </c>
      <c r="I373" s="18" t="s">
        <v>44</v>
      </c>
      <c r="J373" s="18" t="s">
        <v>87</v>
      </c>
    </row>
    <row r="374" customFormat="false" ht="15" hidden="false" customHeight="false" outlineLevel="0" collapsed="false">
      <c r="A374" s="18" t="n">
        <f aca="false">IF(ISNUMBER($J374),$J374,"")</f>
        <v>4411024</v>
      </c>
      <c r="B374" s="18" t="str">
        <f aca="false">IFERROR(INDEX('SALES Raw'!$B$6:$B$4467,MATCH($J374,'SALES Raw'!$J$6:$J$4467,0)),IFERROR(INDEX('CEMIUP0.9 Raw'!$B$6:$B$1712,MATCH($J374,'CEMIUP0.9 Raw'!$B$6:$B$1712,0)),$J374))</f>
        <v>212 XL</v>
      </c>
      <c r="C374" s="18" t="str">
        <f aca="false">IF(ISNUMBER($J374),IFERROR(INDEX('TRANS'!$C:$C,MATCH($J374,'TRANS'!$B:$B,0)),IFERROR(INDEX('Catalog'!$B:$B,MATCH($J374,'Catalog'!$A:$A,0)),$B374)),$B374)</f>
        <v>212XL כפפות אגודל לחץ</v>
      </c>
      <c r="D374" s="19" t="n">
        <f aca="false">SUMIFS('SALES Raw'!$C$6:$C$4467,'SALES Raw'!$J$6:$J$4467,$J374,'SALES Raw'!$K$6:$K$4467,"Y")+SUMIFS('CEMIUP0.9 Raw'!$D$6:$D$1712,'CEMIUP0.9 Raw'!$B$6:$B$1712,$J374,'CEMIUP0.9 Raw'!$H$6:$H$1712,"Y")</f>
        <v>37</v>
      </c>
      <c r="E374" s="19" t="n">
        <f aca="false">SUMIFS('SALES Raw'!$D$6:$D$4467,'SALES Raw'!$J$6:$J$4467,$J374,'SALES Raw'!$K$6:$K$4467,"Y")+SUMIFS('CEMIUP0.9 Raw'!$E$6:$E$1712,'CEMIUP0.9 Raw'!$B$6:$B$1712,$J374,'CEMIUP0.9 Raw'!$H$6:$H$1712,"Y")</f>
        <v>1762.434</v>
      </c>
      <c r="F374" s="19" t="n">
        <f aca="false">SUMIFS('SALES Raw'!$E$6:$E$4467,'SALES Raw'!$J$6:$J$4467,$J374,'SALES Raw'!$K$6:$K$4467,"Y")*$H$4+SUMIFS('CEMIUP0.9 Raw'!$F$6:$F$1712,'CEMIUP0.9 Raw'!$B$6:$B$1712,$J374,'CEMIUP0.9 Raw'!$H$6:$H$1712,"Y")</f>
        <v>31.5789473684211</v>
      </c>
      <c r="G374" s="19" t="n">
        <f aca="false">SUMIFS('SALES Raw'!$F$6:$F$4467,'SALES Raw'!$J$6:$J$4467,$J374,'SALES Raw'!$K$6:$K$4467,"Y")*$H$4+SUMIFS('CEMIUP0.9 Raw'!$G$6:$G$1712,'CEMIUP0.9 Raw'!$B$6:$B$1712,$J374,'CEMIUP0.9 Raw'!$H$6:$H$1712,"Y")</f>
        <v>1603.08631578947</v>
      </c>
      <c r="H374" s="18" t="s">
        <v>42</v>
      </c>
      <c r="I374" s="18" t="s">
        <v>53</v>
      </c>
      <c r="J374" s="18" t="n">
        <v>4411024</v>
      </c>
    </row>
    <row r="375" customFormat="false" ht="15" hidden="false" customHeight="false" outlineLevel="0" collapsed="false">
      <c r="A375" s="18" t="n">
        <f aca="false">IF(ISNUMBER($J375),$J375,"")</f>
        <v>4408071</v>
      </c>
      <c r="B375" s="18" t="str">
        <f aca="false">IFERROR(INDEX('SALES Raw'!$B$6:$B$4467,MATCH($J375,'SALES Raw'!$J$6:$J$4467,0)),IFERROR(INDEX('CEMIUP0.9 Raw'!$B$6:$B$1712,MATCH($J375,'CEMIUP0.9 Raw'!$B$6:$B$1712,0)),$J375))</f>
        <v>59D L</v>
      </c>
      <c r="C375" s="18" t="str">
        <f aca="false">IF(ISNUMBER($J375),IFERROR(INDEX('TRANS'!$C:$C,MATCH($J375,'TRANS'!$B:$B,0)),IFERROR(INDEX('Catalog'!$B:$B,MATCH($J375,'Catalog'!$A:$A,0)),$B375)),$B375)</f>
        <v>59D L חגורת שבר דו צדדי</v>
      </c>
      <c r="D375" s="19" t="n">
        <f aca="false">SUMIFS('SALES Raw'!$C$6:$C$4467,'SALES Raw'!$J$6:$J$4467,$J375,'SALES Raw'!$K$6:$K$4467,"Y")+SUMIFS('CEMIUP0.9 Raw'!$D$6:$D$1712,'CEMIUP0.9 Raw'!$B$6:$B$1712,$J375,'CEMIUP0.9 Raw'!$H$6:$H$1712,"Y")</f>
        <v>46</v>
      </c>
      <c r="E375" s="19" t="n">
        <f aca="false">SUMIFS('SALES Raw'!$D$6:$D$4467,'SALES Raw'!$J$6:$J$4467,$J375,'SALES Raw'!$K$6:$K$4467,"Y")+SUMIFS('CEMIUP0.9 Raw'!$E$6:$E$1712,'CEMIUP0.9 Raw'!$B$6:$B$1712,$J375,'CEMIUP0.9 Raw'!$H$6:$H$1712,"Y")</f>
        <v>9992.35</v>
      </c>
      <c r="F375" s="19" t="n">
        <f aca="false">SUMIFS('SALES Raw'!$E$6:$E$4467,'SALES Raw'!$J$6:$J$4467,$J375,'SALES Raw'!$K$6:$K$4467,"Y")*$H$4+SUMIFS('CEMIUP0.9 Raw'!$F$6:$F$1712,'CEMIUP0.9 Raw'!$B$6:$B$1712,$J375,'CEMIUP0.9 Raw'!$H$6:$H$1712,"Y")</f>
        <v>31.578947368421</v>
      </c>
      <c r="G375" s="19" t="n">
        <f aca="false">SUMIFS('SALES Raw'!$F$6:$F$4467,'SALES Raw'!$J$6:$J$4467,$J375,'SALES Raw'!$K$6:$K$4467,"Y")*$H$4+SUMIFS('CEMIUP0.9 Raw'!$G$6:$G$1712,'CEMIUP0.9 Raw'!$B$6:$B$1712,$J375,'CEMIUP0.9 Raw'!$H$6:$H$1712,"Y")</f>
        <v>6357.04042105263</v>
      </c>
      <c r="H375" s="18" t="s">
        <v>44</v>
      </c>
      <c r="I375" s="18" t="s">
        <v>43</v>
      </c>
      <c r="J375" s="18" t="n">
        <v>4408071</v>
      </c>
    </row>
    <row r="376" customFormat="false" ht="15" hidden="false" customHeight="false" outlineLevel="0" collapsed="false">
      <c r="A376" s="18" t="n">
        <f aca="false">IF(ISNUMBER($J376),$J376,"")</f>
        <v>4408135</v>
      </c>
      <c r="B376" s="18" t="str">
        <f aca="false">IFERROR(INDEX('SALES Raw'!$B$6:$B$4467,MATCH($J376,'SALES Raw'!$J$6:$J$4467,0)),IFERROR(INDEX('CEMIUP0.9 Raw'!$B$6:$B$1712,MATCH($J376,'CEMIUP0.9 Raw'!$B$6:$B$1712,0)),$J376))</f>
        <v>077A-L-XL</v>
      </c>
      <c r="C376" s="18" t="str">
        <f aca="false">IF(ISNUMBER($J376),IFERROR(INDEX('TRANS'!$C:$C,MATCH($J376,'TRANS'!$B:$B,0)),IFERROR(INDEX('Catalog'!$B:$B,MATCH($J376,'Catalog'!$A:$A,0)),$B376)),$B376)</f>
        <v>077A L-XLחגורת גב</v>
      </c>
      <c r="D376" s="19" t="n">
        <f aca="false">SUMIFS('SALES Raw'!$C$6:$C$4467,'SALES Raw'!$J$6:$J$4467,$J376,'SALES Raw'!$K$6:$K$4467,"Y")+SUMIFS('CEMIUP0.9 Raw'!$D$6:$D$1712,'CEMIUP0.9 Raw'!$B$6:$B$1712,$J376,'CEMIUP0.9 Raw'!$H$6:$H$1712,"Y")</f>
        <v>67</v>
      </c>
      <c r="E376" s="19" t="n">
        <f aca="false">SUMIFS('SALES Raw'!$D$6:$D$4467,'SALES Raw'!$J$6:$J$4467,$J376,'SALES Raw'!$K$6:$K$4467,"Y")+SUMIFS('CEMIUP0.9 Raw'!$E$6:$E$1712,'CEMIUP0.9 Raw'!$B$6:$B$1712,$J376,'CEMIUP0.9 Raw'!$H$6:$H$1712,"Y")</f>
        <v>8064.418</v>
      </c>
      <c r="F376" s="19" t="n">
        <f aca="false">SUMIFS('SALES Raw'!$E$6:$E$4467,'SALES Raw'!$J$6:$J$4467,$J376,'SALES Raw'!$K$6:$K$4467,"Y")*$H$4+SUMIFS('CEMIUP0.9 Raw'!$F$6:$F$1712,'CEMIUP0.9 Raw'!$B$6:$B$1712,$J376,'CEMIUP0.9 Raw'!$H$6:$H$1712,"Y")</f>
        <v>31.578947368421</v>
      </c>
      <c r="G376" s="19" t="n">
        <f aca="false">SUMIFS('SALES Raw'!$F$6:$F$4467,'SALES Raw'!$J$6:$J$4467,$J376,'SALES Raw'!$K$6:$K$4467,"Y")*$H$4+SUMIFS('CEMIUP0.9 Raw'!$G$6:$G$1712,'CEMIUP0.9 Raw'!$B$6:$B$1712,$J376,'CEMIUP0.9 Raw'!$H$6:$H$1712,"Y")</f>
        <v>4589.19915789474</v>
      </c>
      <c r="H376" s="18" t="s">
        <v>43</v>
      </c>
      <c r="I376" s="18" t="s">
        <v>42</v>
      </c>
      <c r="J376" s="18" t="n">
        <v>4408135</v>
      </c>
    </row>
    <row r="377" customFormat="false" ht="15" hidden="false" customHeight="false" outlineLevel="0" collapsed="false">
      <c r="A377" s="18" t="n">
        <f aca="false">IF(ISNUMBER($J377),$J377,"")</f>
        <v>4413303</v>
      </c>
      <c r="B377" s="18" t="str">
        <f aca="false">IFERROR(INDEX('SALES Raw'!$B$6:$B$4467,MATCH($J377,'SALES Raw'!$J$6:$J$4467,0)),IFERROR(INDEX('CEMIUP0.9 Raw'!$B$6:$B$1712,MATCH($J377,'CEMIUP0.9 Raw'!$B$6:$B$1712,0)),$J377))</f>
        <v>34+ XXL</v>
      </c>
      <c r="C377" s="18" t="str">
        <f aca="false">IF(ISNUMBER($J377),IFERROR(INDEX('TRANS'!$C:$C,MATCH($J377,'TRANS'!$B:$B,0)),IFERROR(INDEX('Catalog'!$B:$B,MATCH($J377,'Catalog'!$A:$A,0)),$B377)),$B377)</f>
        <v>34+XXL מ.קרסול+עכב סגור+רצועות</v>
      </c>
      <c r="D377" s="19" t="n">
        <f aca="false">SUMIFS('SALES Raw'!$C$6:$C$4467,'SALES Raw'!$J$6:$J$4467,$J377,'SALES Raw'!$K$6:$K$4467,"Y")+SUMIFS('CEMIUP0.9 Raw'!$D$6:$D$1712,'CEMIUP0.9 Raw'!$B$6:$B$1712,$J377,'CEMIUP0.9 Raw'!$H$6:$H$1712,"Y")</f>
        <v>43</v>
      </c>
      <c r="E377" s="19" t="n">
        <f aca="false">SUMIFS('SALES Raw'!$D$6:$D$4467,'SALES Raw'!$J$6:$J$4467,$J377,'SALES Raw'!$K$6:$K$4467,"Y")+SUMIFS('CEMIUP0.9 Raw'!$E$6:$E$1712,'CEMIUP0.9 Raw'!$B$6:$B$1712,$J377,'CEMIUP0.9 Raw'!$H$6:$H$1712,"Y")</f>
        <v>2684.576</v>
      </c>
      <c r="F377" s="19" t="n">
        <f aca="false">SUMIFS('SALES Raw'!$E$6:$E$4467,'SALES Raw'!$J$6:$J$4467,$J377,'SALES Raw'!$K$6:$K$4467,"Y")*$H$4+SUMIFS('CEMIUP0.9 Raw'!$F$6:$F$1712,'CEMIUP0.9 Raw'!$B$6:$B$1712,$J377,'CEMIUP0.9 Raw'!$H$6:$H$1712,"Y")</f>
        <v>31.578947368421</v>
      </c>
      <c r="G377" s="19" t="n">
        <f aca="false">SUMIFS('SALES Raw'!$F$6:$F$4467,'SALES Raw'!$J$6:$J$4467,$J377,'SALES Raw'!$K$6:$K$4467,"Y")*$H$4+SUMIFS('CEMIUP0.9 Raw'!$G$6:$G$1712,'CEMIUP0.9 Raw'!$B$6:$B$1712,$J377,'CEMIUP0.9 Raw'!$H$6:$H$1712,"Y")</f>
        <v>2494.92757894737</v>
      </c>
      <c r="H377" s="18" t="s">
        <v>42</v>
      </c>
      <c r="I377" s="18" t="s">
        <v>44</v>
      </c>
      <c r="J377" s="18" t="n">
        <v>4413303</v>
      </c>
    </row>
    <row r="378" customFormat="false" ht="15" hidden="false" customHeight="false" outlineLevel="0" collapsed="false">
      <c r="A378" s="18" t="n">
        <f aca="false">IF(ISNUMBER($J378),$J378,"")</f>
        <v>4413525</v>
      </c>
      <c r="B378" s="18" t="str">
        <f aca="false">IFERROR(INDEX('SALES Raw'!$B$6:$B$4467,MATCH($J378,'SALES Raw'!$J$6:$J$4467,0)),IFERROR(INDEX('CEMIUP0.9 Raw'!$B$6:$B$1712,MATCH($J378,'CEMIUP0.9 Raw'!$B$6:$B$1712,0)),$J378))</f>
        <v>379COM-43-46</v>
      </c>
      <c r="C378" s="18" t="str">
        <f aca="false">IF(ISNUMBER($J378),IFERROR(INDEX('TRANS'!$C:$C,MATCH($J378,'TRANS'!$B:$B,0)),IFERROR(INDEX('Catalog'!$B:$B,MATCH($J378,'Catalog'!$A:$A,0)),$B378)),$B378)</f>
        <v>43-47 מדרסי אפיק ג'ל נוחות</v>
      </c>
      <c r="D378" s="19" t="n">
        <f aca="false">SUMIFS('SALES Raw'!$C$6:$C$4467,'SALES Raw'!$J$6:$J$4467,$J378,'SALES Raw'!$K$6:$K$4467,"Y")+SUMIFS('CEMIUP0.9 Raw'!$D$6:$D$1712,'CEMIUP0.9 Raw'!$B$6:$B$1712,$J378,'CEMIUP0.9 Raw'!$H$6:$H$1712,"Y")</f>
        <v>55</v>
      </c>
      <c r="E378" s="19" t="n">
        <f aca="false">SUMIFS('SALES Raw'!$D$6:$D$4467,'SALES Raw'!$J$6:$J$4467,$J378,'SALES Raw'!$K$6:$K$4467,"Y")+SUMIFS('CEMIUP0.9 Raw'!$E$6:$E$1712,'CEMIUP0.9 Raw'!$B$6:$B$1712,$J378,'CEMIUP0.9 Raw'!$H$6:$H$1712,"Y")</f>
        <v>7224.81</v>
      </c>
      <c r="F378" s="19" t="n">
        <f aca="false">SUMIFS('SALES Raw'!$E$6:$E$4467,'SALES Raw'!$J$6:$J$4467,$J378,'SALES Raw'!$K$6:$K$4467,"Y")*$H$4+SUMIFS('CEMIUP0.9 Raw'!$F$6:$F$1712,'CEMIUP0.9 Raw'!$B$6:$B$1712,$J378,'CEMIUP0.9 Raw'!$H$6:$H$1712,"Y")</f>
        <v>30.3157894736842</v>
      </c>
      <c r="G378" s="19" t="n">
        <f aca="false">SUMIFS('SALES Raw'!$F$6:$F$4467,'SALES Raw'!$J$6:$J$4467,$J378,'SALES Raw'!$K$6:$K$4467,"Y")*$H$4+SUMIFS('CEMIUP0.9 Raw'!$G$6:$G$1712,'CEMIUP0.9 Raw'!$B$6:$B$1712,$J378,'CEMIUP0.9 Raw'!$H$6:$H$1712,"Y")</f>
        <v>4386.4787368421</v>
      </c>
      <c r="H378" s="18" t="s">
        <v>42</v>
      </c>
      <c r="I378" s="18" t="s">
        <v>43</v>
      </c>
      <c r="J378" s="18" t="n">
        <v>4413525</v>
      </c>
    </row>
    <row r="379" customFormat="false" ht="15" hidden="false" customHeight="false" outlineLevel="0" collapsed="false">
      <c r="A379" s="18" t="str">
        <f aca="false">IF(ISNUMBER($J379),$J379,"")</f>
        <v/>
      </c>
      <c r="B379" s="18" t="str">
        <f aca="false">IFERROR(INDEX('SALES Raw'!$B$6:$B$4467,MATCH($J379,'SALES Raw'!$J$6:$J$4467,0)),IFERROR(INDEX('CEMIUP0.9 Raw'!$B$6:$B$1712,MATCH($J379,'CEMIUP0.9 Raw'!$B$6:$B$1712,0)),$J379))</f>
        <v>T40B 0</v>
      </c>
      <c r="C379" s="18" t="str">
        <f aca="false">IF(ISNUMBER($J379),IFERROR(INDEX('TRANS'!$C:$C,MATCH($J379,'TRANS'!$B:$B,0)),IFERROR(INDEX('Catalog'!$B:$B,MATCH($J379,'Catalog'!$A:$A,0)),$B379)),$B379)</f>
        <v>T40B 0</v>
      </c>
      <c r="D379" s="19" t="n">
        <f aca="false">SUMIFS('SALES Raw'!$C$6:$C$4467,'SALES Raw'!$J$6:$J$4467,$J379,'SALES Raw'!$K$6:$K$4467,"Y")+SUMIFS('CEMIUP0.9 Raw'!$D$6:$D$1712,'CEMIUP0.9 Raw'!$B$6:$B$1712,$J379,'CEMIUP0.9 Raw'!$H$6:$H$1712,"Y")</f>
        <v>17</v>
      </c>
      <c r="E379" s="19" t="n">
        <f aca="false">SUMIFS('SALES Raw'!$D$6:$D$4467,'SALES Raw'!$J$6:$J$4467,$J379,'SALES Raw'!$K$6:$K$4467,"Y")+SUMIFS('CEMIUP0.9 Raw'!$E$6:$E$1712,'CEMIUP0.9 Raw'!$B$6:$B$1712,$J379,'CEMIUP0.9 Raw'!$H$6:$H$1712,"Y")</f>
        <v>2285.28</v>
      </c>
      <c r="F379" s="19" t="n">
        <f aca="false">SUMIFS('SALES Raw'!$E$6:$E$4467,'SALES Raw'!$J$6:$J$4467,$J379,'SALES Raw'!$K$6:$K$4467,"Y")*$H$4+SUMIFS('CEMIUP0.9 Raw'!$F$6:$F$1712,'CEMIUP0.9 Raw'!$B$6:$B$1712,$J379,'CEMIUP0.9 Raw'!$H$6:$H$1712,"Y")</f>
        <v>30.3157894736842</v>
      </c>
      <c r="G379" s="19" t="n">
        <f aca="false">SUMIFS('SALES Raw'!$F$6:$F$4467,'SALES Raw'!$J$6:$J$4467,$J379,'SALES Raw'!$K$6:$K$4467,"Y")*$H$4+SUMIFS('CEMIUP0.9 Raw'!$G$6:$G$1712,'CEMIUP0.9 Raw'!$B$6:$B$1712,$J379,'CEMIUP0.9 Raw'!$H$6:$H$1712,"Y")</f>
        <v>4148.16</v>
      </c>
      <c r="H379" s="18" t="s">
        <v>42</v>
      </c>
      <c r="I379" s="18" t="s">
        <v>46</v>
      </c>
      <c r="J379" s="18" t="s">
        <v>88</v>
      </c>
    </row>
    <row r="380" customFormat="false" ht="15" hidden="false" customHeight="false" outlineLevel="0" collapsed="false">
      <c r="A380" s="18" t="n">
        <f aca="false">IF(ISNUMBER($J380),$J380,"")</f>
        <v>4403005</v>
      </c>
      <c r="B380" s="18" t="str">
        <f aca="false">IFERROR(INDEX('SALES Raw'!$B$6:$B$4467,MATCH($J380,'SALES Raw'!$J$6:$J$4467,0)),IFERROR(INDEX('CEMIUP0.9 Raw'!$B$6:$B$1712,MATCH($J380,'CEMIUP0.9 Raw'!$B$6:$B$1712,0)),$J380))</f>
        <v>390G-43-46</v>
      </c>
      <c r="C380" s="18" t="str">
        <f aca="false">IF(ISNUMBER($J380),IFERROR(INDEX('TRANS'!$C:$C,MATCH($J380,'TRANS'!$B:$B,0)),IFERROR(INDEX('Catalog'!$B:$B,MATCH($J380,'Catalog'!$A:$A,0)),$B380)),$B380)</f>
        <v>G390.43-46 גרבי כסף לסכרת מידה</v>
      </c>
      <c r="D380" s="19" t="n">
        <f aca="false">SUMIFS('SALES Raw'!$C$6:$C$4467,'SALES Raw'!$J$6:$J$4467,$J380,'SALES Raw'!$K$6:$K$4467,"Y")+SUMIFS('CEMIUP0.9 Raw'!$D$6:$D$1712,'CEMIUP0.9 Raw'!$B$6:$B$1712,$J380,'CEMIUP0.9 Raw'!$H$6:$H$1712,"Y")</f>
        <v>161</v>
      </c>
      <c r="E380" s="19" t="n">
        <f aca="false">SUMIFS('SALES Raw'!$D$6:$D$4467,'SALES Raw'!$J$6:$J$4467,$J380,'SALES Raw'!$K$6:$K$4467,"Y")+SUMIFS('CEMIUP0.9 Raw'!$E$6:$E$1712,'CEMIUP0.9 Raw'!$B$6:$B$1712,$J380,'CEMIUP0.9 Raw'!$H$6:$H$1712,"Y")</f>
        <v>5585.151</v>
      </c>
      <c r="F380" s="19" t="n">
        <f aca="false">SUMIFS('SALES Raw'!$E$6:$E$4467,'SALES Raw'!$J$6:$J$4467,$J380,'SALES Raw'!$K$6:$K$4467,"Y")*$H$4+SUMIFS('CEMIUP0.9 Raw'!$F$6:$F$1712,'CEMIUP0.9 Raw'!$B$6:$B$1712,$J380,'CEMIUP0.9 Raw'!$H$6:$H$1712,"Y")</f>
        <v>30.3157894736842</v>
      </c>
      <c r="G380" s="19" t="n">
        <f aca="false">SUMIFS('SALES Raw'!$F$6:$F$4467,'SALES Raw'!$J$6:$J$4467,$J380,'SALES Raw'!$K$6:$K$4467,"Y")*$H$4+SUMIFS('CEMIUP0.9 Raw'!$G$6:$G$1712,'CEMIUP0.9 Raw'!$B$6:$B$1712,$J380,'CEMIUP0.9 Raw'!$H$6:$H$1712,"Y")</f>
        <v>1083.03284210526</v>
      </c>
      <c r="H380" s="18" t="s">
        <v>42</v>
      </c>
      <c r="I380" s="18" t="s">
        <v>48</v>
      </c>
      <c r="J380" s="18" t="n">
        <v>4403005</v>
      </c>
    </row>
    <row r="381" customFormat="false" ht="15" hidden="false" customHeight="false" outlineLevel="0" collapsed="false">
      <c r="A381" s="18" t="n">
        <f aca="false">IF(ISNUMBER($J381),$J381,"")</f>
        <v>4413532</v>
      </c>
      <c r="B381" s="18" t="str">
        <f aca="false">IFERROR(INDEX('SALES Raw'!$B$6:$B$4467,MATCH($J381,'SALES Raw'!$J$6:$J$4467,0)),IFERROR(INDEX('CEMIUP0.9 Raw'!$B$6:$B$1712,MATCH($J381,'CEMIUP0.9 Raw'!$B$6:$B$1712,0)),$J381))</f>
        <v>ST433 0</v>
      </c>
      <c r="C381" s="18" t="str">
        <f aca="false">IF(ISNUMBER($J381),IFERROR(INDEX('TRANS'!$C:$C,MATCH($J381,'TRANS'!$B:$B,0)),IFERROR(INDEX('Catalog'!$B:$B,MATCH($J381,'Catalog'!$A:$A,0)),$B381)),$B381)</f>
        <v>ST433 H מגן ברך עם ציר</v>
      </c>
      <c r="D381" s="19" t="n">
        <f aca="false">SUMIFS('SALES Raw'!$C$6:$C$4467,'SALES Raw'!$J$6:$J$4467,$J381,'SALES Raw'!$K$6:$K$4467,"Y")+SUMIFS('CEMIUP0.9 Raw'!$D$6:$D$1712,'CEMIUP0.9 Raw'!$B$6:$B$1712,$J381,'CEMIUP0.9 Raw'!$H$6:$H$1712,"Y")</f>
        <v>52</v>
      </c>
      <c r="E381" s="19" t="n">
        <f aca="false">SUMIFS('SALES Raw'!$D$6:$D$4467,'SALES Raw'!$J$6:$J$4467,$J381,'SALES Raw'!$K$6:$K$4467,"Y")+SUMIFS('CEMIUP0.9 Raw'!$E$6:$E$1712,'CEMIUP0.9 Raw'!$B$6:$B$1712,$J381,'CEMIUP0.9 Raw'!$H$6:$H$1712,"Y")</f>
        <v>5094.52</v>
      </c>
      <c r="F381" s="19" t="n">
        <f aca="false">SUMIFS('SALES Raw'!$E$6:$E$4467,'SALES Raw'!$J$6:$J$4467,$J381,'SALES Raw'!$K$6:$K$4467,"Y")*$H$4+SUMIFS('CEMIUP0.9 Raw'!$F$6:$F$1712,'CEMIUP0.9 Raw'!$B$6:$B$1712,$J381,'CEMIUP0.9 Raw'!$H$6:$H$1712,"Y")</f>
        <v>30.3157894736842</v>
      </c>
      <c r="G381" s="19" t="n">
        <f aca="false">SUMIFS('SALES Raw'!$F$6:$F$4467,'SALES Raw'!$J$6:$J$4467,$J381,'SALES Raw'!$K$6:$K$4467,"Y")*$H$4+SUMIFS('CEMIUP0.9 Raw'!$G$6:$G$1712,'CEMIUP0.9 Raw'!$B$6:$B$1712,$J381,'CEMIUP0.9 Raw'!$H$6:$H$1712,"Y")</f>
        <v>2664.45473684211</v>
      </c>
      <c r="H381" s="18" t="s">
        <v>48</v>
      </c>
      <c r="I381" s="18" t="s">
        <v>46</v>
      </c>
      <c r="J381" s="18" t="n">
        <v>4413532</v>
      </c>
    </row>
    <row r="382" customFormat="false" ht="15" hidden="false" customHeight="false" outlineLevel="0" collapsed="false">
      <c r="A382" s="18" t="n">
        <f aca="false">IF(ISNUMBER($J382),$J382,"")</f>
        <v>4415007</v>
      </c>
      <c r="B382" s="18" t="str">
        <f aca="false">IFERROR(INDEX('SALES Raw'!$B$6:$B$4467,MATCH($J382,'SALES Raw'!$J$6:$J$4467,0)),IFERROR(INDEX('CEMIUP0.9 Raw'!$B$6:$B$1712,MATCH($J382,'CEMIUP0.9 Raw'!$B$6:$B$1712,0)),$J382))</f>
        <v>28 S</v>
      </c>
      <c r="C382" s="18" t="str">
        <f aca="false">IF(ISNUMBER($J382),IFERROR(INDEX('TRANS'!$C:$C,MATCH($J382,'TRANS'!$B:$B,0)),IFERROR(INDEX('Catalog'!$B:$B,MATCH($J382,'Catalog'!$A:$A,0)),$B382)),$B382)</f>
        <v>28 S סד לאגודל לאחר שבר</v>
      </c>
      <c r="D382" s="19" t="n">
        <f aca="false">SUMIFS('SALES Raw'!$C$6:$C$4467,'SALES Raw'!$J$6:$J$4467,$J382,'SALES Raw'!$K$6:$K$4467,"Y")+SUMIFS('CEMIUP0.9 Raw'!$D$6:$D$1712,'CEMIUP0.9 Raw'!$B$6:$B$1712,$J382,'CEMIUP0.9 Raw'!$H$6:$H$1712,"Y")</f>
        <v>78</v>
      </c>
      <c r="E382" s="19" t="n">
        <f aca="false">SUMIFS('SALES Raw'!$D$6:$D$4467,'SALES Raw'!$J$6:$J$4467,$J382,'SALES Raw'!$K$6:$K$4467,"Y")+SUMIFS('CEMIUP0.9 Raw'!$E$6:$E$1712,'CEMIUP0.9 Raw'!$B$6:$B$1712,$J382,'CEMIUP0.9 Raw'!$H$6:$H$1712,"Y")</f>
        <v>7741.517</v>
      </c>
      <c r="F382" s="19" t="n">
        <f aca="false">SUMIFS('SALES Raw'!$E$6:$E$4467,'SALES Raw'!$J$6:$J$4467,$J382,'SALES Raw'!$K$6:$K$4467,"Y")*$H$4+SUMIFS('CEMIUP0.9 Raw'!$F$6:$F$1712,'CEMIUP0.9 Raw'!$B$6:$B$1712,$J382,'CEMIUP0.9 Raw'!$H$6:$H$1712,"Y")</f>
        <v>29.0526315789474</v>
      </c>
      <c r="G382" s="19" t="n">
        <f aca="false">SUMIFS('SALES Raw'!$F$6:$F$4467,'SALES Raw'!$J$6:$J$4467,$J382,'SALES Raw'!$K$6:$K$4467,"Y")*$H$4+SUMIFS('CEMIUP0.9 Raw'!$G$6:$G$1712,'CEMIUP0.9 Raw'!$B$6:$B$1712,$J382,'CEMIUP0.9 Raw'!$H$6:$H$1712,"Y")</f>
        <v>3332.49978947368</v>
      </c>
      <c r="H382" s="18" t="s">
        <v>43</v>
      </c>
      <c r="I382" s="18" t="s">
        <v>42</v>
      </c>
      <c r="J382" s="18" t="n">
        <v>4415007</v>
      </c>
    </row>
    <row r="383" customFormat="false" ht="15" hidden="false" customHeight="false" outlineLevel="0" collapsed="false">
      <c r="A383" s="18" t="n">
        <f aca="false">IF(ISNUMBER($J383),$J383,"")</f>
        <v>4415008</v>
      </c>
      <c r="B383" s="18" t="str">
        <f aca="false">IFERROR(INDEX('SALES Raw'!$B$6:$B$4467,MATCH($J383,'SALES Raw'!$J$6:$J$4467,0)),IFERROR(INDEX('CEMIUP0.9 Raw'!$B$6:$B$1712,MATCH($J383,'CEMIUP0.9 Raw'!$B$6:$B$1712,0)),$J383))</f>
        <v>28 XL</v>
      </c>
      <c r="C383" s="18" t="str">
        <f aca="false">IF(ISNUMBER($J383),IFERROR(INDEX('TRANS'!$C:$C,MATCH($J383,'TRANS'!$B:$B,0)),IFERROR(INDEX('Catalog'!$B:$B,MATCH($J383,'Catalog'!$A:$A,0)),$B383)),$B383)</f>
        <v>28 XL סד לאגודל לאחר שבר</v>
      </c>
      <c r="D383" s="19" t="n">
        <f aca="false">SUMIFS('SALES Raw'!$C$6:$C$4467,'SALES Raw'!$J$6:$J$4467,$J383,'SALES Raw'!$K$6:$K$4467,"Y")+SUMIFS('CEMIUP0.9 Raw'!$D$6:$D$1712,'CEMIUP0.9 Raw'!$B$6:$B$1712,$J383,'CEMIUP0.9 Raw'!$H$6:$H$1712,"Y")</f>
        <v>40</v>
      </c>
      <c r="E383" s="19" t="n">
        <f aca="false">SUMIFS('SALES Raw'!$D$6:$D$4467,'SALES Raw'!$J$6:$J$4467,$J383,'SALES Raw'!$K$6:$K$4467,"Y")+SUMIFS('CEMIUP0.9 Raw'!$E$6:$E$1712,'CEMIUP0.9 Raw'!$B$6:$B$1712,$J383,'CEMIUP0.9 Raw'!$H$6:$H$1712,"Y")</f>
        <v>3947.308</v>
      </c>
      <c r="F383" s="19" t="n">
        <f aca="false">SUMIFS('SALES Raw'!$E$6:$E$4467,'SALES Raw'!$J$6:$J$4467,$J383,'SALES Raw'!$K$6:$K$4467,"Y")*$H$4+SUMIFS('CEMIUP0.9 Raw'!$F$6:$F$1712,'CEMIUP0.9 Raw'!$B$6:$B$1712,$J383,'CEMIUP0.9 Raw'!$H$6:$H$1712,"Y")</f>
        <v>29.0526315789474</v>
      </c>
      <c r="G383" s="19" t="n">
        <f aca="false">SUMIFS('SALES Raw'!$F$6:$F$4467,'SALES Raw'!$J$6:$J$4467,$J383,'SALES Raw'!$K$6:$K$4467,"Y")*$H$4+SUMIFS('CEMIUP0.9 Raw'!$G$6:$G$1712,'CEMIUP0.9 Raw'!$B$6:$B$1712,$J383,'CEMIUP0.9 Raw'!$H$6:$H$1712,"Y")</f>
        <v>2787.32589473684</v>
      </c>
      <c r="H383" s="18" t="s">
        <v>43</v>
      </c>
      <c r="I383" s="18" t="s">
        <v>44</v>
      </c>
      <c r="J383" s="18" t="n">
        <v>4415008</v>
      </c>
    </row>
    <row r="384" customFormat="false" ht="15" hidden="false" customHeight="false" outlineLevel="0" collapsed="false">
      <c r="A384" s="18" t="n">
        <f aca="false">IF(ISNUMBER($J384),$J384,"")</f>
        <v>4408114</v>
      </c>
      <c r="B384" s="18" t="str">
        <f aca="false">IFERROR(INDEX('SALES Raw'!$B$6:$B$4467,MATCH($J384,'SALES Raw'!$J$6:$J$4467,0)),IFERROR(INDEX('CEMIUP0.9 Raw'!$B$6:$B$1712,MATCH($J384,'CEMIUP0.9 Raw'!$B$6:$B$1712,0)),$J384))</f>
        <v>11EU M</v>
      </c>
      <c r="C384" s="18" t="str">
        <f aca="false">IF(ISNUMBER($J384),IFERROR(INDEX('TRANS'!$C:$C,MATCH($J384,'TRANS'!$B:$B,0)),IFERROR(INDEX('Catalog'!$B:$B,MATCH($J384,'Catalog'!$A:$A,0)),$B384)),$B384)</f>
        <v>11EU M ח.בטן לאחר ניתוח</v>
      </c>
      <c r="D384" s="19" t="n">
        <f aca="false">SUMIFS('SALES Raw'!$C$6:$C$4467,'SALES Raw'!$J$6:$J$4467,$J384,'SALES Raw'!$K$6:$K$4467,"Y")+SUMIFS('CEMIUP0.9 Raw'!$D$6:$D$1712,'CEMIUP0.9 Raw'!$B$6:$B$1712,$J384,'CEMIUP0.9 Raw'!$H$6:$H$1712,"Y")</f>
        <v>25</v>
      </c>
      <c r="E384" s="19" t="n">
        <f aca="false">SUMIFS('SALES Raw'!$D$6:$D$4467,'SALES Raw'!$J$6:$J$4467,$J384,'SALES Raw'!$K$6:$K$4467,"Y")+SUMIFS('CEMIUP0.9 Raw'!$E$6:$E$1712,'CEMIUP0.9 Raw'!$B$6:$B$1712,$J384,'CEMIUP0.9 Raw'!$H$6:$H$1712,"Y")</f>
        <v>2799.508</v>
      </c>
      <c r="F384" s="19" t="n">
        <f aca="false">SUMIFS('SALES Raw'!$E$6:$E$4467,'SALES Raw'!$J$6:$J$4467,$J384,'SALES Raw'!$K$6:$K$4467,"Y")*$H$4+SUMIFS('CEMIUP0.9 Raw'!$F$6:$F$1712,'CEMIUP0.9 Raw'!$B$6:$B$1712,$J384,'CEMIUP0.9 Raw'!$H$6:$H$1712,"Y")</f>
        <v>29.0526315789474</v>
      </c>
      <c r="G384" s="19" t="n">
        <f aca="false">SUMIFS('SALES Raw'!$F$6:$F$4467,'SALES Raw'!$J$6:$J$4467,$J384,'SALES Raw'!$K$6:$K$4467,"Y")*$H$4+SUMIFS('CEMIUP0.9 Raw'!$G$6:$G$1712,'CEMIUP0.9 Raw'!$B$6:$B$1712,$J384,'CEMIUP0.9 Raw'!$H$6:$H$1712,"Y")</f>
        <v>3950.05389473684</v>
      </c>
      <c r="H384" s="18" t="s">
        <v>42</v>
      </c>
      <c r="I384" s="18" t="s">
        <v>44</v>
      </c>
      <c r="J384" s="18" t="n">
        <v>4408114</v>
      </c>
    </row>
    <row r="385" customFormat="false" ht="15" hidden="false" customHeight="false" outlineLevel="0" collapsed="false">
      <c r="A385" s="18" t="n">
        <f aca="false">IF(ISNUMBER($J385),$J385,"")</f>
        <v>4413177</v>
      </c>
      <c r="B385" s="18" t="str">
        <f aca="false">IFERROR(INDEX('SALES Raw'!$B$6:$B$4467,MATCH($J385,'SALES Raw'!$J$6:$J$4467,0)),IFERROR(INDEX('CEMIUP0.9 Raw'!$B$6:$B$1712,MATCH($J385,'CEMIUP0.9 Raw'!$B$6:$B$1712,0)),$J385))</f>
        <v>85+ XL</v>
      </c>
      <c r="C385" s="18" t="str">
        <f aca="false">IF(ISNUMBER($J385),IFERROR(INDEX('TRANS'!$C:$C,MATCH($J385,'TRANS'!$B:$B,0)),IFERROR(INDEX('Catalog'!$B:$B,MATCH($J385,'Catalog'!$A:$A,0)),$B385)),$B385)</f>
        <v>85+ XLמתלה ליד)כיס(רצועת חיזוק</v>
      </c>
      <c r="D385" s="19" t="n">
        <f aca="false">SUMIFS('SALES Raw'!$C$6:$C$4467,'SALES Raw'!$J$6:$J$4467,$J385,'SALES Raw'!$K$6:$K$4467,"Y")+SUMIFS('CEMIUP0.9 Raw'!$D$6:$D$1712,'CEMIUP0.9 Raw'!$B$6:$B$1712,$J385,'CEMIUP0.9 Raw'!$H$6:$H$1712,"Y")</f>
        <v>50</v>
      </c>
      <c r="E385" s="19" t="n">
        <f aca="false">SUMIFS('SALES Raw'!$D$6:$D$4467,'SALES Raw'!$J$6:$J$4467,$J385,'SALES Raw'!$K$6:$K$4467,"Y")+SUMIFS('CEMIUP0.9 Raw'!$E$6:$E$1712,'CEMIUP0.9 Raw'!$B$6:$B$1712,$J385,'CEMIUP0.9 Raw'!$H$6:$H$1712,"Y")</f>
        <v>4204.596</v>
      </c>
      <c r="F385" s="19" t="n">
        <f aca="false">SUMIFS('SALES Raw'!$E$6:$E$4467,'SALES Raw'!$J$6:$J$4467,$J385,'SALES Raw'!$K$6:$K$4467,"Y")*$H$4+SUMIFS('CEMIUP0.9 Raw'!$F$6:$F$1712,'CEMIUP0.9 Raw'!$B$6:$B$1712,$J385,'CEMIUP0.9 Raw'!$H$6:$H$1712,"Y")</f>
        <v>29.0526315789474</v>
      </c>
      <c r="G385" s="19" t="n">
        <f aca="false">SUMIFS('SALES Raw'!$F$6:$F$4467,'SALES Raw'!$J$6:$J$4467,$J385,'SALES Raw'!$K$6:$K$4467,"Y")*$H$4+SUMIFS('CEMIUP0.9 Raw'!$G$6:$G$1712,'CEMIUP0.9 Raw'!$B$6:$B$1712,$J385,'CEMIUP0.9 Raw'!$H$6:$H$1712,"Y")</f>
        <v>3520.45010526316</v>
      </c>
      <c r="H385" s="18" t="s">
        <v>42</v>
      </c>
      <c r="I385" s="18" t="s">
        <v>44</v>
      </c>
      <c r="J385" s="18" t="n">
        <v>4413177</v>
      </c>
    </row>
    <row r="386" customFormat="false" ht="15" hidden="false" customHeight="false" outlineLevel="0" collapsed="false">
      <c r="A386" s="18" t="str">
        <f aca="false">IF(ISNUMBER($J386),$J386,"")</f>
        <v/>
      </c>
      <c r="B386" s="18" t="str">
        <f aca="false">IFERROR(INDEX('SALES Raw'!$B$6:$B$4467,MATCH($J386,'SALES Raw'!$J$6:$J$4467,0)),IFERROR(INDEX('CEMIUP0.9 Raw'!$B$6:$B$1712,MATCH($J386,'CEMIUP0.9 Raw'!$B$6:$B$1712,0)),$J386))</f>
        <v>391W-43-46</v>
      </c>
      <c r="C386" s="18" t="str">
        <f aca="false">IF(ISNUMBER($J386),IFERROR(INDEX('TRANS'!$C:$C,MATCH($J386,'TRANS'!$B:$B,0)),IFERROR(INDEX('Catalog'!$B:$B,MATCH($J386,'Catalog'!$A:$A,0)),$B386)),$B386)</f>
        <v>391W-43-46</v>
      </c>
      <c r="D386" s="19" t="n">
        <f aca="false">SUMIFS('SALES Raw'!$C$6:$C$4467,'SALES Raw'!$J$6:$J$4467,$J386,'SALES Raw'!$K$6:$K$4467,"Y")+SUMIFS('CEMIUP0.9 Raw'!$D$6:$D$1712,'CEMIUP0.9 Raw'!$B$6:$B$1712,$J386,'CEMIUP0.9 Raw'!$H$6:$H$1712,"Y")</f>
        <v>0</v>
      </c>
      <c r="E386" s="19" t="n">
        <f aca="false">SUMIFS('SALES Raw'!$D$6:$D$4467,'SALES Raw'!$J$6:$J$4467,$J386,'SALES Raw'!$K$6:$K$4467,"Y")+SUMIFS('CEMIUP0.9 Raw'!$E$6:$E$1712,'CEMIUP0.9 Raw'!$B$6:$B$1712,$J386,'CEMIUP0.9 Raw'!$H$6:$H$1712,"Y")</f>
        <v>0</v>
      </c>
      <c r="F386" s="19" t="n">
        <f aca="false">SUMIFS('SALES Raw'!$E$6:$E$4467,'SALES Raw'!$J$6:$J$4467,$J386,'SALES Raw'!$K$6:$K$4467,"Y")*$H$4+SUMIFS('CEMIUP0.9 Raw'!$F$6:$F$1712,'CEMIUP0.9 Raw'!$B$6:$B$1712,$J386,'CEMIUP0.9 Raw'!$H$6:$H$1712,"Y")</f>
        <v>29.0526315789474</v>
      </c>
      <c r="G386" s="19" t="n">
        <f aca="false">SUMIFS('SALES Raw'!$F$6:$F$4467,'SALES Raw'!$J$6:$J$4467,$J386,'SALES Raw'!$K$6:$K$4467,"Y")*$H$4+SUMIFS('CEMIUP0.9 Raw'!$G$6:$G$1712,'CEMIUP0.9 Raw'!$B$6:$B$1712,$J386,'CEMIUP0.9 Raw'!$H$6:$H$1712,"Y")</f>
        <v>1535.40631578947</v>
      </c>
      <c r="H386" s="18" t="s">
        <v>42</v>
      </c>
      <c r="I386" s="18"/>
      <c r="J386" s="18" t="s">
        <v>89</v>
      </c>
    </row>
    <row r="387" customFormat="false" ht="15" hidden="false" customHeight="false" outlineLevel="0" collapsed="false">
      <c r="A387" s="18" t="n">
        <f aca="false">IF(ISNUMBER($J387),$J387,"")</f>
        <v>4413022</v>
      </c>
      <c r="B387" s="18" t="str">
        <f aca="false">IFERROR(INDEX('SALES Raw'!$B$6:$B$4467,MATCH($J387,'SALES Raw'!$J$6:$J$4467,0)),IFERROR(INDEX('CEMIUP0.9 Raw'!$B$6:$B$1712,MATCH($J387,'CEMIUP0.9 Raw'!$B$6:$B$1712,0)),$J387))</f>
        <v>303-45-46</v>
      </c>
      <c r="C387" s="18" t="str">
        <f aca="false">IF(ISNUMBER($J387),IFERROR(INDEX('TRANS'!$C:$C,MATCH($J387,'TRANS'!$B:$B,0)),IFERROR(INDEX('Catalog'!$B:$B,MATCH($J387,'Catalog'!$A:$A,0)),$B387)),$B387)</f>
        <v>303 45-46 מדרסי סיליק.לח.סכרת</v>
      </c>
      <c r="D387" s="19" t="n">
        <f aca="false">SUMIFS('SALES Raw'!$C$6:$C$4467,'SALES Raw'!$J$6:$J$4467,$J387,'SALES Raw'!$K$6:$K$4467,"Y")+SUMIFS('CEMIUP0.9 Raw'!$D$6:$D$1712,'CEMIUP0.9 Raw'!$B$6:$B$1712,$J387,'CEMIUP0.9 Raw'!$H$6:$H$1712,"Y")</f>
        <v>24</v>
      </c>
      <c r="E387" s="19" t="n">
        <f aca="false">SUMIFS('SALES Raw'!$D$6:$D$4467,'SALES Raw'!$J$6:$J$4467,$J387,'SALES Raw'!$K$6:$K$4467,"Y")+SUMIFS('CEMIUP0.9 Raw'!$E$6:$E$1712,'CEMIUP0.9 Raw'!$B$6:$B$1712,$J387,'CEMIUP0.9 Raw'!$H$6:$H$1712,"Y")</f>
        <v>3059.18</v>
      </c>
      <c r="F387" s="19" t="n">
        <f aca="false">SUMIFS('SALES Raw'!$E$6:$E$4467,'SALES Raw'!$J$6:$J$4467,$J387,'SALES Raw'!$K$6:$K$4467,"Y")*$H$4+SUMIFS('CEMIUP0.9 Raw'!$F$6:$F$1712,'CEMIUP0.9 Raw'!$B$6:$B$1712,$J387,'CEMIUP0.9 Raw'!$H$6:$H$1712,"Y")</f>
        <v>29.0526315789474</v>
      </c>
      <c r="G387" s="19" t="n">
        <f aca="false">SUMIFS('SALES Raw'!$F$6:$F$4467,'SALES Raw'!$J$6:$J$4467,$J387,'SALES Raw'!$K$6:$K$4467,"Y")*$H$4+SUMIFS('CEMIUP0.9 Raw'!$G$6:$G$1712,'CEMIUP0.9 Raw'!$B$6:$B$1712,$J387,'CEMIUP0.9 Raw'!$H$6:$H$1712,"Y")</f>
        <v>3582.00126315789</v>
      </c>
      <c r="H387" s="18" t="s">
        <v>44</v>
      </c>
      <c r="I387" s="18" t="s">
        <v>42</v>
      </c>
      <c r="J387" s="18" t="n">
        <v>4413022</v>
      </c>
    </row>
    <row r="388" customFormat="false" ht="15" hidden="false" customHeight="false" outlineLevel="0" collapsed="false">
      <c r="A388" s="18" t="n">
        <f aca="false">IF(ISNUMBER($J388),$J388,"")</f>
        <v>4408219</v>
      </c>
      <c r="B388" s="18" t="str">
        <f aca="false">IFERROR(INDEX('SALES Raw'!$B$6:$B$4467,MATCH($J388,'SALES Raw'!$J$6:$J$4467,0)),IFERROR(INDEX('CEMIUP0.9 Raw'!$B$6:$B$1712,MATCH($J388,'CEMIUP0.9 Raw'!$B$6:$B$1712,0)),$J388))</f>
        <v>078G S</v>
      </c>
      <c r="C388" s="18" t="str">
        <f aca="false">IF(ISNUMBER($J388),IFERROR(INDEX('TRANS'!$C:$C,MATCH($J388,'TRANS'!$B:$B,0)),IFERROR(INDEX('Catalog'!$B:$B,MATCH($J388,'Catalog'!$A:$A,0)),$B388)),$B388)</f>
        <v>078G-S חגורת גב אפורה</v>
      </c>
      <c r="D388" s="19" t="n">
        <f aca="false">SUMIFS('SALES Raw'!$C$6:$C$4467,'SALES Raw'!$J$6:$J$4467,$J388,'SALES Raw'!$K$6:$K$4467,"Y")+SUMIFS('CEMIUP0.9 Raw'!$D$6:$D$1712,'CEMIUP0.9 Raw'!$B$6:$B$1712,$J388,'CEMIUP0.9 Raw'!$H$6:$H$1712,"Y")</f>
        <v>41</v>
      </c>
      <c r="E388" s="19" t="n">
        <f aca="false">SUMIFS('SALES Raw'!$D$6:$D$4467,'SALES Raw'!$J$6:$J$4467,$J388,'SALES Raw'!$K$6:$K$4467,"Y")+SUMIFS('CEMIUP0.9 Raw'!$E$6:$E$1712,'CEMIUP0.9 Raw'!$B$6:$B$1712,$J388,'CEMIUP0.9 Raw'!$H$6:$H$1712,"Y")</f>
        <v>3817.778</v>
      </c>
      <c r="F388" s="19" t="n">
        <f aca="false">SUMIFS('SALES Raw'!$E$6:$E$4467,'SALES Raw'!$J$6:$J$4467,$J388,'SALES Raw'!$K$6:$K$4467,"Y")*$H$4+SUMIFS('CEMIUP0.9 Raw'!$F$6:$F$1712,'CEMIUP0.9 Raw'!$B$6:$B$1712,$J388,'CEMIUP0.9 Raw'!$H$6:$H$1712,"Y")</f>
        <v>29.0526315789473</v>
      </c>
      <c r="G388" s="19" t="n">
        <f aca="false">SUMIFS('SALES Raw'!$F$6:$F$4467,'SALES Raw'!$J$6:$J$4467,$J388,'SALES Raw'!$K$6:$K$4467,"Y")*$H$4+SUMIFS('CEMIUP0.9 Raw'!$G$6:$G$1712,'CEMIUP0.9 Raw'!$B$6:$B$1712,$J388,'CEMIUP0.9 Raw'!$H$6:$H$1712,"Y")</f>
        <v>2927.96715789474</v>
      </c>
      <c r="H388" s="18" t="s">
        <v>48</v>
      </c>
      <c r="I388" s="18" t="s">
        <v>43</v>
      </c>
      <c r="J388" s="18" t="n">
        <v>4408219</v>
      </c>
    </row>
    <row r="389" customFormat="false" ht="15" hidden="false" customHeight="false" outlineLevel="0" collapsed="false">
      <c r="A389" s="18" t="n">
        <f aca="false">IF(ISNUMBER($J389),$J389,"")</f>
        <v>4422009</v>
      </c>
      <c r="B389" s="18" t="str">
        <f aca="false">IFERROR(INDEX('SALES Raw'!$B$6:$B$4467,MATCH($J389,'SALES Raw'!$J$6:$J$4467,0)),IFERROR(INDEX('CEMIUP0.9 Raw'!$B$6:$B$1712,MATCH($J389,'CEMIUP0.9 Raw'!$B$6:$B$1712,0)),$J389))</f>
        <v>T78 XXL</v>
      </c>
      <c r="C389" s="18" t="str">
        <f aca="false">IF(ISNUMBER($J389),IFERROR(INDEX('TRANS'!$C:$C,MATCH($J389,'TRANS'!$B:$B,0)),IFERROR(INDEX('Catalog'!$B:$B,MATCH($J389,'Catalog'!$A:$A,0)),$B389)),$B389)</f>
        <v>T78 XXL תומך זרוע וכתף</v>
      </c>
      <c r="D389" s="19" t="n">
        <f aca="false">SUMIFS('SALES Raw'!$C$6:$C$4467,'SALES Raw'!$J$6:$J$4467,$J389,'SALES Raw'!$K$6:$K$4467,"Y")+SUMIFS('CEMIUP0.9 Raw'!$D$6:$D$1712,'CEMIUP0.9 Raw'!$B$6:$B$1712,$J389,'CEMIUP0.9 Raw'!$H$6:$H$1712,"Y")</f>
        <v>34</v>
      </c>
      <c r="E389" s="19" t="n">
        <f aca="false">SUMIFS('SALES Raw'!$D$6:$D$4467,'SALES Raw'!$J$6:$J$4467,$J389,'SALES Raw'!$K$6:$K$4467,"Y")+SUMIFS('CEMIUP0.9 Raw'!$E$6:$E$1712,'CEMIUP0.9 Raw'!$B$6:$B$1712,$J389,'CEMIUP0.9 Raw'!$H$6:$H$1712,"Y")</f>
        <v>5667.894</v>
      </c>
      <c r="F389" s="19" t="n">
        <f aca="false">SUMIFS('SALES Raw'!$E$6:$E$4467,'SALES Raw'!$J$6:$J$4467,$J389,'SALES Raw'!$K$6:$K$4467,"Y")*$H$4+SUMIFS('CEMIUP0.9 Raw'!$F$6:$F$1712,'CEMIUP0.9 Raw'!$B$6:$B$1712,$J389,'CEMIUP0.9 Raw'!$H$6:$H$1712,"Y")</f>
        <v>27.7894736842105</v>
      </c>
      <c r="G389" s="19" t="n">
        <f aca="false">SUMIFS('SALES Raw'!$F$6:$F$4467,'SALES Raw'!$J$6:$J$4467,$J389,'SALES Raw'!$K$6:$K$4467,"Y")*$H$4+SUMIFS('CEMIUP0.9 Raw'!$G$6:$G$1712,'CEMIUP0.9 Raw'!$B$6:$B$1712,$J389,'CEMIUP0.9 Raw'!$H$6:$H$1712,"Y")</f>
        <v>4980.32842105263</v>
      </c>
      <c r="H389" s="18" t="s">
        <v>44</v>
      </c>
      <c r="I389" s="18" t="s">
        <v>42</v>
      </c>
      <c r="J389" s="18" t="n">
        <v>4422009</v>
      </c>
    </row>
    <row r="390" customFormat="false" ht="15" hidden="false" customHeight="false" outlineLevel="0" collapsed="false">
      <c r="A390" s="18" t="n">
        <f aca="false">IF(ISNUMBER($J390),$J390,"")</f>
        <v>4413405</v>
      </c>
      <c r="B390" s="18" t="str">
        <f aca="false">IFERROR(INDEX('SALES Raw'!$B$6:$B$4467,MATCH($J390,'SALES Raw'!$J$6:$J$4467,0)),IFERROR(INDEX('CEMIUP0.9 Raw'!$B$6:$B$1712,MATCH($J390,'CEMIUP0.9 Raw'!$B$6:$B$1712,0)),$J390))</f>
        <v>SC95 S</v>
      </c>
      <c r="C390" s="18" t="str">
        <f aca="false">IF(ISNUMBER($J390),IFERROR(INDEX('TRANS'!$C:$C,MATCH($J390,'TRANS'!$B:$B,0)),IFERROR(INDEX('Catalog'!$B:$B,MATCH($J390,'Catalog'!$A:$A,0)),$B390)),$B390)</f>
        <v>SC95 S מגן מרפק</v>
      </c>
      <c r="D390" s="19" t="n">
        <f aca="false">SUMIFS('SALES Raw'!$C$6:$C$4467,'SALES Raw'!$J$6:$J$4467,$J390,'SALES Raw'!$K$6:$K$4467,"Y")+SUMIFS('CEMIUP0.9 Raw'!$D$6:$D$1712,'CEMIUP0.9 Raw'!$B$6:$B$1712,$J390,'CEMIUP0.9 Raw'!$H$6:$H$1712,"Y")</f>
        <v>24</v>
      </c>
      <c r="E390" s="19" t="n">
        <f aca="false">SUMIFS('SALES Raw'!$D$6:$D$4467,'SALES Raw'!$J$6:$J$4467,$J390,'SALES Raw'!$K$6:$K$4467,"Y")+SUMIFS('CEMIUP0.9 Raw'!$E$6:$E$1712,'CEMIUP0.9 Raw'!$B$6:$B$1712,$J390,'CEMIUP0.9 Raw'!$H$6:$H$1712,"Y")</f>
        <v>2638.68</v>
      </c>
      <c r="F390" s="19" t="n">
        <f aca="false">SUMIFS('SALES Raw'!$E$6:$E$4467,'SALES Raw'!$J$6:$J$4467,$J390,'SALES Raw'!$K$6:$K$4467,"Y")*$H$4+SUMIFS('CEMIUP0.9 Raw'!$F$6:$F$1712,'CEMIUP0.9 Raw'!$B$6:$B$1712,$J390,'CEMIUP0.9 Raw'!$H$6:$H$1712,"Y")</f>
        <v>27.7894736842105</v>
      </c>
      <c r="G390" s="19" t="n">
        <f aca="false">SUMIFS('SALES Raw'!$F$6:$F$4467,'SALES Raw'!$J$6:$J$4467,$J390,'SALES Raw'!$K$6:$K$4467,"Y")*$H$4+SUMIFS('CEMIUP0.9 Raw'!$G$6:$G$1712,'CEMIUP0.9 Raw'!$B$6:$B$1712,$J390,'CEMIUP0.9 Raw'!$H$6:$H$1712,"Y")</f>
        <v>3945.01894736842</v>
      </c>
      <c r="H390" s="18" t="s">
        <v>42</v>
      </c>
      <c r="I390" s="18" t="s">
        <v>43</v>
      </c>
      <c r="J390" s="18" t="n">
        <v>4413405</v>
      </c>
    </row>
    <row r="391" customFormat="false" ht="15" hidden="false" customHeight="false" outlineLevel="0" collapsed="false">
      <c r="A391" s="18" t="str">
        <f aca="false">IF(ISNUMBER($J391),$J391,"")</f>
        <v/>
      </c>
      <c r="B391" s="18" t="str">
        <f aca="false">IFERROR(INDEX('SALES Raw'!$B$6:$B$4467,MATCH($J391,'SALES Raw'!$J$6:$J$4467,0)),IFERROR(INDEX('CEMIUP0.9 Raw'!$B$6:$B$1712,MATCH($J391,'CEMIUP0.9 Raw'!$B$6:$B$1712,0)),$J391))</f>
        <v>T33 L</v>
      </c>
      <c r="C391" s="18" t="str">
        <f aca="false">IF(ISNUMBER($J391),IFERROR(INDEX('TRANS'!$C:$C,MATCH($J391,'TRANS'!$B:$B,0)),IFERROR(INDEX('Catalog'!$B:$B,MATCH($J391,'Catalog'!$A:$A,0)),$B391)),$B391)</f>
        <v>T33 L</v>
      </c>
      <c r="D391" s="19" t="n">
        <f aca="false">SUMIFS('SALES Raw'!$C$6:$C$4467,'SALES Raw'!$J$6:$J$4467,$J391,'SALES Raw'!$K$6:$K$4467,"Y")+SUMIFS('CEMIUP0.9 Raw'!$D$6:$D$1712,'CEMIUP0.9 Raw'!$B$6:$B$1712,$J391,'CEMIUP0.9 Raw'!$H$6:$H$1712,"Y")</f>
        <v>25</v>
      </c>
      <c r="E391" s="19" t="n">
        <f aca="false">SUMIFS('SALES Raw'!$D$6:$D$4467,'SALES Raw'!$J$6:$J$4467,$J391,'SALES Raw'!$K$6:$K$4467,"Y")+SUMIFS('CEMIUP0.9 Raw'!$E$6:$E$1712,'CEMIUP0.9 Raw'!$B$6:$B$1712,$J391,'CEMIUP0.9 Raw'!$H$6:$H$1712,"Y")</f>
        <v>3581.87</v>
      </c>
      <c r="F391" s="19" t="n">
        <f aca="false">SUMIFS('SALES Raw'!$E$6:$E$4467,'SALES Raw'!$J$6:$J$4467,$J391,'SALES Raw'!$K$6:$K$4467,"Y")*$H$4+SUMIFS('CEMIUP0.9 Raw'!$F$6:$F$1712,'CEMIUP0.9 Raw'!$B$6:$B$1712,$J391,'CEMIUP0.9 Raw'!$H$6:$H$1712,"Y")</f>
        <v>27.7894736842105</v>
      </c>
      <c r="G391" s="19" t="n">
        <f aca="false">SUMIFS('SALES Raw'!$F$6:$F$4467,'SALES Raw'!$J$6:$J$4467,$J391,'SALES Raw'!$K$6:$K$4467,"Y")*$H$4+SUMIFS('CEMIUP0.9 Raw'!$G$6:$G$1712,'CEMIUP0.9 Raw'!$B$6:$B$1712,$J391,'CEMIUP0.9 Raw'!$H$6:$H$1712,"Y")</f>
        <v>6108.54315789474</v>
      </c>
      <c r="H391" s="18" t="s">
        <v>42</v>
      </c>
      <c r="I391" s="18" t="s">
        <v>44</v>
      </c>
      <c r="J391" s="18" t="s">
        <v>90</v>
      </c>
    </row>
    <row r="392" customFormat="false" ht="15" hidden="false" customHeight="false" outlineLevel="0" collapsed="false">
      <c r="A392" s="18" t="str">
        <f aca="false">IF(ISNUMBER($J392),$J392,"")</f>
        <v/>
      </c>
      <c r="B392" s="18" t="str">
        <f aca="false">IFERROR(INDEX('SALES Raw'!$B$6:$B$4467,MATCH($J392,'SALES Raw'!$J$6:$J$4467,0)),IFERROR(INDEX('CEMIUP0.9 Raw'!$B$6:$B$1712,MATCH($J392,'CEMIUP0.9 Raw'!$B$6:$B$1712,0)),$J392))</f>
        <v>621B-M</v>
      </c>
      <c r="C392" s="18" t="str">
        <f aca="false">IF(ISNUMBER($J392),IFERROR(INDEX('TRANS'!$C:$C,MATCH($J392,'TRANS'!$B:$B,0)),IFERROR(INDEX('Catalog'!$B:$B,MATCH($J392,'Catalog'!$A:$A,0)),$B392)),$B392)</f>
        <v>621B-M</v>
      </c>
      <c r="D392" s="19" t="n">
        <f aca="false">SUMIFS('SALES Raw'!$C$6:$C$4467,'SALES Raw'!$J$6:$J$4467,$J392,'SALES Raw'!$K$6:$K$4467,"Y")+SUMIFS('CEMIUP0.9 Raw'!$D$6:$D$1712,'CEMIUP0.9 Raw'!$B$6:$B$1712,$J392,'CEMIUP0.9 Raw'!$H$6:$H$1712,"Y")</f>
        <v>0</v>
      </c>
      <c r="E392" s="19" t="n">
        <f aca="false">SUMIFS('SALES Raw'!$D$6:$D$4467,'SALES Raw'!$J$6:$J$4467,$J392,'SALES Raw'!$K$6:$K$4467,"Y")+SUMIFS('CEMIUP0.9 Raw'!$E$6:$E$1712,'CEMIUP0.9 Raw'!$B$6:$B$1712,$J392,'CEMIUP0.9 Raw'!$H$6:$H$1712,"Y")</f>
        <v>0</v>
      </c>
      <c r="F392" s="19" t="n">
        <f aca="false">SUMIFS('SALES Raw'!$E$6:$E$4467,'SALES Raw'!$J$6:$J$4467,$J392,'SALES Raw'!$K$6:$K$4467,"Y")*$H$4+SUMIFS('CEMIUP0.9 Raw'!$F$6:$F$1712,'CEMIUP0.9 Raw'!$B$6:$B$1712,$J392,'CEMIUP0.9 Raw'!$H$6:$H$1712,"Y")</f>
        <v>27.7894736842105</v>
      </c>
      <c r="G392" s="19" t="n">
        <f aca="false">SUMIFS('SALES Raw'!$F$6:$F$4467,'SALES Raw'!$J$6:$J$4467,$J392,'SALES Raw'!$K$6:$K$4467,"Y")*$H$4+SUMIFS('CEMIUP0.9 Raw'!$G$6:$G$1712,'CEMIUP0.9 Raw'!$B$6:$B$1712,$J392,'CEMIUP0.9 Raw'!$H$6:$H$1712,"Y")</f>
        <v>1822.21894736842</v>
      </c>
      <c r="H392" s="18" t="s">
        <v>53</v>
      </c>
      <c r="I392" s="18"/>
      <c r="J392" s="18" t="s">
        <v>91</v>
      </c>
    </row>
    <row r="393" customFormat="false" ht="15" hidden="false" customHeight="false" outlineLevel="0" collapsed="false">
      <c r="A393" s="18" t="str">
        <f aca="false">IF(ISNUMBER($J393),$J393,"")</f>
        <v/>
      </c>
      <c r="B393" s="18" t="str">
        <f aca="false">IFERROR(INDEX('SALES Raw'!$B$6:$B$4467,MATCH($J393,'SALES Raw'!$J$6:$J$4467,0)),IFERROR(INDEX('CEMIUP0.9 Raw'!$B$6:$B$1712,MATCH($J393,'CEMIUP0.9 Raw'!$B$6:$B$1712,0)),$J393))</f>
        <v>391B-39-42</v>
      </c>
      <c r="C393" s="18" t="str">
        <f aca="false">IF(ISNUMBER($J393),IFERROR(INDEX('TRANS'!$C:$C,MATCH($J393,'TRANS'!$B:$B,0)),IFERROR(INDEX('Catalog'!$B:$B,MATCH($J393,'Catalog'!$A:$A,0)),$B393)),$B393)</f>
        <v>391B-39-42</v>
      </c>
      <c r="D393" s="19" t="n">
        <f aca="false">SUMIFS('SALES Raw'!$C$6:$C$4467,'SALES Raw'!$J$6:$J$4467,$J393,'SALES Raw'!$K$6:$K$4467,"Y")+SUMIFS('CEMIUP0.9 Raw'!$D$6:$D$1712,'CEMIUP0.9 Raw'!$B$6:$B$1712,$J393,'CEMIUP0.9 Raw'!$H$6:$H$1712,"Y")</f>
        <v>0</v>
      </c>
      <c r="E393" s="19" t="n">
        <f aca="false">SUMIFS('SALES Raw'!$D$6:$D$4467,'SALES Raw'!$J$6:$J$4467,$J393,'SALES Raw'!$K$6:$K$4467,"Y")+SUMIFS('CEMIUP0.9 Raw'!$E$6:$E$1712,'CEMIUP0.9 Raw'!$B$6:$B$1712,$J393,'CEMIUP0.9 Raw'!$H$6:$H$1712,"Y")</f>
        <v>0</v>
      </c>
      <c r="F393" s="19" t="n">
        <f aca="false">SUMIFS('SALES Raw'!$E$6:$E$4467,'SALES Raw'!$J$6:$J$4467,$J393,'SALES Raw'!$K$6:$K$4467,"Y")*$H$4+SUMIFS('CEMIUP0.9 Raw'!$F$6:$F$1712,'CEMIUP0.9 Raw'!$B$6:$B$1712,$J393,'CEMIUP0.9 Raw'!$H$6:$H$1712,"Y")</f>
        <v>27.7894736842105</v>
      </c>
      <c r="G393" s="19" t="n">
        <f aca="false">SUMIFS('SALES Raw'!$F$6:$F$4467,'SALES Raw'!$J$6:$J$4467,$J393,'SALES Raw'!$K$6:$K$4467,"Y")*$H$4+SUMIFS('CEMIUP0.9 Raw'!$G$6:$G$1712,'CEMIUP0.9 Raw'!$B$6:$B$1712,$J393,'CEMIUP0.9 Raw'!$H$6:$H$1712,"Y")</f>
        <v>1523.38105263158</v>
      </c>
      <c r="H393" s="18" t="s">
        <v>42</v>
      </c>
      <c r="I393" s="18"/>
      <c r="J393" s="18" t="s">
        <v>92</v>
      </c>
    </row>
    <row r="394" customFormat="false" ht="15" hidden="false" customHeight="false" outlineLevel="0" collapsed="false">
      <c r="A394" s="18" t="n">
        <f aca="false">IF(ISNUMBER($J394),$J394,"")</f>
        <v>4408274</v>
      </c>
      <c r="B394" s="18" t="str">
        <f aca="false">IFERROR(INDEX('SALES Raw'!$B$6:$B$4467,MATCH($J394,'SALES Raw'!$J$6:$J$4467,0)),IFERROR(INDEX('CEMIUP0.9 Raw'!$B$6:$B$1712,MATCH($J394,'CEMIUP0.9 Raw'!$B$6:$B$1712,0)),$J394))</f>
        <v>70N L</v>
      </c>
      <c r="C394" s="18" t="str">
        <f aca="false">IF(ISNUMBER($J394),IFERROR(INDEX('TRANS'!$C:$C,MATCH($J394,'TRANS'!$B:$B,0)),IFERROR(INDEX('Catalog'!$B:$B,MATCH($J394,'Catalog'!$A:$A,0)),$B394)),$B394)</f>
        <v>70N L חגורת פאבליק</v>
      </c>
      <c r="D394" s="19" t="n">
        <f aca="false">SUMIFS('SALES Raw'!$C$6:$C$4467,'SALES Raw'!$J$6:$J$4467,$J394,'SALES Raw'!$K$6:$K$4467,"Y")+SUMIFS('CEMIUP0.9 Raw'!$D$6:$D$1712,'CEMIUP0.9 Raw'!$B$6:$B$1712,$J394,'CEMIUP0.9 Raw'!$H$6:$H$1712,"Y")</f>
        <v>15</v>
      </c>
      <c r="E394" s="19" t="n">
        <f aca="false">SUMIFS('SALES Raw'!$D$6:$D$4467,'SALES Raw'!$J$6:$J$4467,$J394,'SALES Raw'!$K$6:$K$4467,"Y")+SUMIFS('CEMIUP0.9 Raw'!$E$6:$E$1712,'CEMIUP0.9 Raw'!$B$6:$B$1712,$J394,'CEMIUP0.9 Raw'!$H$6:$H$1712,"Y")</f>
        <v>3807.34</v>
      </c>
      <c r="F394" s="19" t="n">
        <f aca="false">SUMIFS('SALES Raw'!$E$6:$E$4467,'SALES Raw'!$J$6:$J$4467,$J394,'SALES Raw'!$K$6:$K$4467,"Y")*$H$4+SUMIFS('CEMIUP0.9 Raw'!$F$6:$F$1712,'CEMIUP0.9 Raw'!$B$6:$B$1712,$J394,'CEMIUP0.9 Raw'!$H$6:$H$1712,"Y")</f>
        <v>27.7894736842105</v>
      </c>
      <c r="G394" s="19" t="n">
        <f aca="false">SUMIFS('SALES Raw'!$F$6:$F$4467,'SALES Raw'!$J$6:$J$4467,$J394,'SALES Raw'!$K$6:$K$4467,"Y")*$H$4+SUMIFS('CEMIUP0.9 Raw'!$G$6:$G$1712,'CEMIUP0.9 Raw'!$B$6:$B$1712,$J394,'CEMIUP0.9 Raw'!$H$6:$H$1712,"Y")</f>
        <v>6893.89136842105</v>
      </c>
      <c r="H394" s="18" t="s">
        <v>44</v>
      </c>
      <c r="I394" s="18" t="s">
        <v>46</v>
      </c>
      <c r="J394" s="18" t="n">
        <v>4408274</v>
      </c>
    </row>
    <row r="395" customFormat="false" ht="15" hidden="false" customHeight="false" outlineLevel="0" collapsed="false">
      <c r="A395" s="18" t="n">
        <f aca="false">IF(ISNUMBER($J395),$J395,"")</f>
        <v>4413422</v>
      </c>
      <c r="B395" s="18" t="str">
        <f aca="false">IFERROR(INDEX('SALES Raw'!$B$6:$B$4467,MATCH($J395,'SALES Raw'!$J$6:$J$4467,0)),IFERROR(INDEX('CEMIUP0.9 Raw'!$B$6:$B$1712,MATCH($J395,'CEMIUP0.9 Raw'!$B$6:$B$1712,0)),$J395))</f>
        <v>SC35L L</v>
      </c>
      <c r="C395" s="18" t="str">
        <f aca="false">IF(ISNUMBER($J395),IFERROR(INDEX('TRANS'!$C:$C,MATCH($J395,'TRANS'!$B:$B,0)),IFERROR(INDEX('Catalog'!$B:$B,MATCH($J395,'Catalog'!$A:$A,0)),$B395)),$B395)</f>
        <v>SC35L  L מגן קרסול שמאל</v>
      </c>
      <c r="D395" s="19" t="n">
        <f aca="false">SUMIFS('SALES Raw'!$C$6:$C$4467,'SALES Raw'!$J$6:$J$4467,$J395,'SALES Raw'!$K$6:$K$4467,"Y")+SUMIFS('CEMIUP0.9 Raw'!$D$6:$D$1712,'CEMIUP0.9 Raw'!$B$6:$B$1712,$J395,'CEMIUP0.9 Raw'!$H$6:$H$1712,"Y")</f>
        <v>31</v>
      </c>
      <c r="E395" s="19" t="n">
        <f aca="false">SUMIFS('SALES Raw'!$D$6:$D$4467,'SALES Raw'!$J$6:$J$4467,$J395,'SALES Raw'!$K$6:$K$4467,"Y")+SUMIFS('CEMIUP0.9 Raw'!$E$6:$E$1712,'CEMIUP0.9 Raw'!$B$6:$B$1712,$J395,'CEMIUP0.9 Raw'!$H$6:$H$1712,"Y")</f>
        <v>3577.369</v>
      </c>
      <c r="F395" s="19" t="n">
        <f aca="false">SUMIFS('SALES Raw'!$E$6:$E$4467,'SALES Raw'!$J$6:$J$4467,$J395,'SALES Raw'!$K$6:$K$4467,"Y")*$H$4+SUMIFS('CEMIUP0.9 Raw'!$F$6:$F$1712,'CEMIUP0.9 Raw'!$B$6:$B$1712,$J395,'CEMIUP0.9 Raw'!$H$6:$H$1712,"Y")</f>
        <v>26.5263157894737</v>
      </c>
      <c r="G395" s="19" t="n">
        <f aca="false">SUMIFS('SALES Raw'!$F$6:$F$4467,'SALES Raw'!$J$6:$J$4467,$J395,'SALES Raw'!$K$6:$K$4467,"Y")*$H$4+SUMIFS('CEMIUP0.9 Raw'!$G$6:$G$1712,'CEMIUP0.9 Raw'!$B$6:$B$1712,$J395,'CEMIUP0.9 Raw'!$H$6:$H$1712,"Y")</f>
        <v>3247.6547368421</v>
      </c>
      <c r="H395" s="18" t="s">
        <v>42</v>
      </c>
      <c r="I395" s="18" t="s">
        <v>43</v>
      </c>
      <c r="J395" s="18" t="n">
        <v>4413422</v>
      </c>
    </row>
    <row r="396" customFormat="false" ht="15" hidden="false" customHeight="false" outlineLevel="0" collapsed="false">
      <c r="A396" s="18" t="n">
        <f aca="false">IF(ISNUMBER($J396),$J396,"")</f>
        <v>4413195</v>
      </c>
      <c r="B396" s="18" t="str">
        <f aca="false">IFERROR(INDEX('SALES Raw'!$B$6:$B$4467,MATCH($J396,'SALES Raw'!$J$6:$J$4467,0)),IFERROR(INDEX('CEMIUP0.9 Raw'!$B$6:$B$1712,MATCH($J396,'CEMIUP0.9 Raw'!$B$6:$B$1712,0)),$J396))</f>
        <v>87 S</v>
      </c>
      <c r="C396" s="18" t="str">
        <f aca="false">IF(ISNUMBER($J396),IFERROR(INDEX('TRANS'!$C:$C,MATCH($J396,'TRANS'!$B:$B,0)),IFERROR(INDEX('Catalog'!$B:$B,MATCH($J396,'Catalog'!$A:$A,0)),$B396)),$B396)</f>
        <v>87 S מקבע כתף ויד</v>
      </c>
      <c r="D396" s="19" t="n">
        <f aca="false">SUMIFS('SALES Raw'!$C$6:$C$4467,'SALES Raw'!$J$6:$J$4467,$J396,'SALES Raw'!$K$6:$K$4467,"Y")+SUMIFS('CEMIUP0.9 Raw'!$D$6:$D$1712,'CEMIUP0.9 Raw'!$B$6:$B$1712,$J396,'CEMIUP0.9 Raw'!$H$6:$H$1712,"Y")</f>
        <v>27</v>
      </c>
      <c r="E396" s="19" t="n">
        <f aca="false">SUMIFS('SALES Raw'!$D$6:$D$4467,'SALES Raw'!$J$6:$J$4467,$J396,'SALES Raw'!$K$6:$K$4467,"Y")+SUMIFS('CEMIUP0.9 Raw'!$E$6:$E$1712,'CEMIUP0.9 Raw'!$B$6:$B$1712,$J396,'CEMIUP0.9 Raw'!$H$6:$H$1712,"Y")</f>
        <v>4597.004</v>
      </c>
      <c r="F396" s="19" t="n">
        <f aca="false">SUMIFS('SALES Raw'!$E$6:$E$4467,'SALES Raw'!$J$6:$J$4467,$J396,'SALES Raw'!$K$6:$K$4467,"Y")*$H$4+SUMIFS('CEMIUP0.9 Raw'!$F$6:$F$1712,'CEMIUP0.9 Raw'!$B$6:$B$1712,$J396,'CEMIUP0.9 Raw'!$H$6:$H$1712,"Y")</f>
        <v>26.5263157894737</v>
      </c>
      <c r="G396" s="19" t="n">
        <f aca="false">SUMIFS('SALES Raw'!$F$6:$F$4467,'SALES Raw'!$J$6:$J$4467,$J396,'SALES Raw'!$K$6:$K$4467,"Y")*$H$4+SUMIFS('CEMIUP0.9 Raw'!$G$6:$G$1712,'CEMIUP0.9 Raw'!$B$6:$B$1712,$J396,'CEMIUP0.9 Raw'!$H$6:$H$1712,"Y")</f>
        <v>4004.42526315789</v>
      </c>
      <c r="H396" s="18" t="s">
        <v>44</v>
      </c>
      <c r="I396" s="18" t="s">
        <v>43</v>
      </c>
      <c r="J396" s="18" t="n">
        <v>4413195</v>
      </c>
    </row>
    <row r="397" customFormat="false" ht="15" hidden="false" customHeight="false" outlineLevel="0" collapsed="false">
      <c r="A397" s="18" t="str">
        <f aca="false">IF(ISNUMBER($J397),$J397,"")</f>
        <v/>
      </c>
      <c r="B397" s="18" t="str">
        <f aca="false">IFERROR(INDEX('SALES Raw'!$B$6:$B$4467,MATCH($J397,'SALES Raw'!$J$6:$J$4467,0)),IFERROR(INDEX('CEMIUP0.9 Raw'!$B$6:$B$1712,MATCH($J397,'CEMIUP0.9 Raw'!$B$6:$B$1712,0)),$J397))</f>
        <v>60B L</v>
      </c>
      <c r="C397" s="18" t="str">
        <f aca="false">IF(ISNUMBER($J397),IFERROR(INDEX('TRANS'!$C:$C,MATCH($J397,'TRANS'!$B:$B,0)),IFERROR(INDEX('Catalog'!$B:$B,MATCH($J397,'Catalog'!$A:$A,0)),$B397)),$B397)</f>
        <v>60B L</v>
      </c>
      <c r="D397" s="19" t="n">
        <f aca="false">SUMIFS('SALES Raw'!$C$6:$C$4467,'SALES Raw'!$J$6:$J$4467,$J397,'SALES Raw'!$K$6:$K$4467,"Y")+SUMIFS('CEMIUP0.9 Raw'!$D$6:$D$1712,'CEMIUP0.9 Raw'!$B$6:$B$1712,$J397,'CEMIUP0.9 Raw'!$H$6:$H$1712,"Y")</f>
        <v>13</v>
      </c>
      <c r="E397" s="19" t="n">
        <f aca="false">SUMIFS('SALES Raw'!$D$6:$D$4467,'SALES Raw'!$J$6:$J$4467,$J397,'SALES Raw'!$K$6:$K$4467,"Y")+SUMIFS('CEMIUP0.9 Raw'!$E$6:$E$1712,'CEMIUP0.9 Raw'!$B$6:$B$1712,$J397,'CEMIUP0.9 Raw'!$H$6:$H$1712,"Y")</f>
        <v>752.14</v>
      </c>
      <c r="F397" s="19" t="n">
        <f aca="false">SUMIFS('SALES Raw'!$E$6:$E$4467,'SALES Raw'!$J$6:$J$4467,$J397,'SALES Raw'!$K$6:$K$4467,"Y")*$H$4+SUMIFS('CEMIUP0.9 Raw'!$F$6:$F$1712,'CEMIUP0.9 Raw'!$B$6:$B$1712,$J397,'CEMIUP0.9 Raw'!$H$6:$H$1712,"Y")</f>
        <v>26.5263157894737</v>
      </c>
      <c r="G397" s="19" t="n">
        <f aca="false">SUMIFS('SALES Raw'!$F$6:$F$4467,'SALES Raw'!$J$6:$J$4467,$J397,'SALES Raw'!$K$6:$K$4467,"Y")*$H$4+SUMIFS('CEMIUP0.9 Raw'!$G$6:$G$1712,'CEMIUP0.9 Raw'!$B$6:$B$1712,$J397,'CEMIUP0.9 Raw'!$H$6:$H$1712,"Y")</f>
        <v>1620.64421052632</v>
      </c>
      <c r="H397" s="18" t="s">
        <v>53</v>
      </c>
      <c r="I397" s="18" t="s">
        <v>42</v>
      </c>
      <c r="J397" s="18" t="s">
        <v>93</v>
      </c>
    </row>
    <row r="398" customFormat="false" ht="15" hidden="false" customHeight="false" outlineLevel="0" collapsed="false">
      <c r="A398" s="18" t="n">
        <f aca="false">IF(ISNUMBER($J398),$J398,"")</f>
        <v>4408092</v>
      </c>
      <c r="B398" s="18" t="str">
        <f aca="false">IFERROR(INDEX('SALES Raw'!$B$6:$B$4467,MATCH($J398,'SALES Raw'!$J$6:$J$4467,0)),IFERROR(INDEX('CEMIUP0.9 Raw'!$B$6:$B$1712,MATCH($J398,'CEMIUP0.9 Raw'!$B$6:$B$1712,0)),$J398))</f>
        <v>T11C XL</v>
      </c>
      <c r="C398" s="18" t="str">
        <f aca="false">IF(ISNUMBER($J398),IFERROR(INDEX('TRANS'!$C:$C,MATCH($J398,'TRANS'!$B:$B,0)),IFERROR(INDEX('Catalog'!$B:$B,MATCH($J398,'Catalog'!$A:$A,0)),$B398)),$B398)</f>
        <v>T11C XL חגורת גב פוג'יאמה</v>
      </c>
      <c r="D398" s="19" t="n">
        <f aca="false">SUMIFS('SALES Raw'!$C$6:$C$4467,'SALES Raw'!$J$6:$J$4467,$J398,'SALES Raw'!$K$6:$K$4467,"Y")+SUMIFS('CEMIUP0.9 Raw'!$D$6:$D$1712,'CEMIUP0.9 Raw'!$B$6:$B$1712,$J398,'CEMIUP0.9 Raw'!$H$6:$H$1712,"Y")</f>
        <v>23</v>
      </c>
      <c r="E398" s="19" t="n">
        <f aca="false">SUMIFS('SALES Raw'!$D$6:$D$4467,'SALES Raw'!$J$6:$J$4467,$J398,'SALES Raw'!$K$6:$K$4467,"Y")+SUMIFS('CEMIUP0.9 Raw'!$E$6:$E$1712,'CEMIUP0.9 Raw'!$B$6:$B$1712,$J398,'CEMIUP0.9 Raw'!$H$6:$H$1712,"Y")</f>
        <v>2338.457</v>
      </c>
      <c r="F398" s="19" t="n">
        <f aca="false">SUMIFS('SALES Raw'!$E$6:$E$4467,'SALES Raw'!$J$6:$J$4467,$J398,'SALES Raw'!$K$6:$K$4467,"Y")*$H$4+SUMIFS('CEMIUP0.9 Raw'!$F$6:$F$1712,'CEMIUP0.9 Raw'!$B$6:$B$1712,$J398,'CEMIUP0.9 Raw'!$H$6:$H$1712,"Y")</f>
        <v>26.5263157894737</v>
      </c>
      <c r="G398" s="19" t="n">
        <f aca="false">SUMIFS('SALES Raw'!$F$6:$F$4467,'SALES Raw'!$J$6:$J$4467,$J398,'SALES Raw'!$K$6:$K$4467,"Y")*$H$4+SUMIFS('CEMIUP0.9 Raw'!$G$6:$G$1712,'CEMIUP0.9 Raw'!$B$6:$B$1712,$J398,'CEMIUP0.9 Raw'!$H$6:$H$1712,"Y")</f>
        <v>2901.16168421053</v>
      </c>
      <c r="H398" s="18" t="s">
        <v>56</v>
      </c>
      <c r="I398" s="18" t="s">
        <v>43</v>
      </c>
      <c r="J398" s="18" t="n">
        <v>4408092</v>
      </c>
    </row>
    <row r="399" customFormat="false" ht="15" hidden="false" customHeight="false" outlineLevel="0" collapsed="false">
      <c r="A399" s="18" t="str">
        <f aca="false">IF(ISNUMBER($J399),$J399,"")</f>
        <v/>
      </c>
      <c r="B399" s="18" t="str">
        <f aca="false">IFERROR(INDEX('SALES Raw'!$B$6:$B$4467,MATCH($J399,'SALES Raw'!$J$6:$J$4467,0)),IFERROR(INDEX('CEMIUP0.9 Raw'!$B$6:$B$1712,MATCH($J399,'CEMIUP0.9 Raw'!$B$6:$B$1712,0)),$J399))</f>
        <v>ST433D 0</v>
      </c>
      <c r="C399" s="18" t="str">
        <f aca="false">IF(ISNUMBER($J399),IFERROR(INDEX('TRANS'!$C:$C,MATCH($J399,'TRANS'!$B:$B,0)),IFERROR(INDEX('Catalog'!$B:$B,MATCH($J399,'Catalog'!$A:$A,0)),$B399)),$B399)</f>
        <v>ST433D 0</v>
      </c>
      <c r="D399" s="19" t="n">
        <f aca="false">SUMIFS('SALES Raw'!$C$6:$C$4467,'SALES Raw'!$J$6:$J$4467,$J399,'SALES Raw'!$K$6:$K$4467,"Y")+SUMIFS('CEMIUP0.9 Raw'!$D$6:$D$1712,'CEMIUP0.9 Raw'!$B$6:$B$1712,$J399,'CEMIUP0.9 Raw'!$H$6:$H$1712,"Y")</f>
        <v>6</v>
      </c>
      <c r="E399" s="19" t="n">
        <f aca="false">SUMIFS('SALES Raw'!$D$6:$D$4467,'SALES Raw'!$J$6:$J$4467,$J399,'SALES Raw'!$K$6:$K$4467,"Y")+SUMIFS('CEMIUP0.9 Raw'!$E$6:$E$1712,'CEMIUP0.9 Raw'!$B$6:$B$1712,$J399,'CEMIUP0.9 Raw'!$H$6:$H$1712,"Y")</f>
        <v>930</v>
      </c>
      <c r="F399" s="19" t="n">
        <f aca="false">SUMIFS('SALES Raw'!$E$6:$E$4467,'SALES Raw'!$J$6:$J$4467,$J399,'SALES Raw'!$K$6:$K$4467,"Y")*$H$4+SUMIFS('CEMIUP0.9 Raw'!$F$6:$F$1712,'CEMIUP0.9 Raw'!$B$6:$B$1712,$J399,'CEMIUP0.9 Raw'!$H$6:$H$1712,"Y")</f>
        <v>25.2631578947368</v>
      </c>
      <c r="G399" s="19" t="n">
        <f aca="false">SUMIFS('SALES Raw'!$F$6:$F$4467,'SALES Raw'!$J$6:$J$4467,$J399,'SALES Raw'!$K$6:$K$4467,"Y")*$H$4+SUMIFS('CEMIUP0.9 Raw'!$G$6:$G$1712,'CEMIUP0.9 Raw'!$B$6:$B$1712,$J399,'CEMIUP0.9 Raw'!$H$6:$H$1712,"Y")</f>
        <v>9827.87368421053</v>
      </c>
      <c r="H399" s="18" t="s">
        <v>42</v>
      </c>
      <c r="I399" s="18" t="s">
        <v>46</v>
      </c>
      <c r="J399" s="18" t="s">
        <v>94</v>
      </c>
    </row>
    <row r="400" customFormat="false" ht="15" hidden="false" customHeight="false" outlineLevel="0" collapsed="false">
      <c r="A400" s="18" t="n">
        <f aca="false">IF(ISNUMBER($J400),$J400,"")</f>
        <v>4413527</v>
      </c>
      <c r="B400" s="18" t="str">
        <f aca="false">IFERROR(INDEX('SALES Raw'!$B$6:$B$4467,MATCH($J400,'SALES Raw'!$J$6:$J$4467,0)),IFERROR(INDEX('CEMIUP0.9 Raw'!$B$6:$B$1712,MATCH($J400,'CEMIUP0.9 Raw'!$B$6:$B$1712,0)),$J400))</f>
        <v>379WRK-35-38</v>
      </c>
      <c r="C400" s="18" t="str">
        <f aca="false">IF(ISNUMBER($J400),IFERROR(INDEX('TRANS'!$C:$C,MATCH($J400,'TRANS'!$B:$B,0)),IFERROR(INDEX('Catalog'!$B:$B,MATCH($J400,'Catalog'!$A:$A,0)),$B400)),$B400)</f>
        <v>35-38 מדרסי אפיק ג'ל עבודה</v>
      </c>
      <c r="D400" s="19" t="n">
        <f aca="false">SUMIFS('SALES Raw'!$C$6:$C$4467,'SALES Raw'!$J$6:$J$4467,$J400,'SALES Raw'!$K$6:$K$4467,"Y")+SUMIFS('CEMIUP0.9 Raw'!$D$6:$D$1712,'CEMIUP0.9 Raw'!$B$6:$B$1712,$J400,'CEMIUP0.9 Raw'!$H$6:$H$1712,"Y")</f>
        <v>22</v>
      </c>
      <c r="E400" s="19" t="n">
        <f aca="false">SUMIFS('SALES Raw'!$D$6:$D$4467,'SALES Raw'!$J$6:$J$4467,$J400,'SALES Raw'!$K$6:$K$4467,"Y")+SUMIFS('CEMIUP0.9 Raw'!$E$6:$E$1712,'CEMIUP0.9 Raw'!$B$6:$B$1712,$J400,'CEMIUP0.9 Raw'!$H$6:$H$1712,"Y")</f>
        <v>2468.468</v>
      </c>
      <c r="F400" s="19" t="n">
        <f aca="false">SUMIFS('SALES Raw'!$E$6:$E$4467,'SALES Raw'!$J$6:$J$4467,$J400,'SALES Raw'!$K$6:$K$4467,"Y")*$H$4+SUMIFS('CEMIUP0.9 Raw'!$F$6:$F$1712,'CEMIUP0.9 Raw'!$B$6:$B$1712,$J400,'CEMIUP0.9 Raw'!$H$6:$H$1712,"Y")</f>
        <v>25.2631578947368</v>
      </c>
      <c r="G400" s="19" t="n">
        <f aca="false">SUMIFS('SALES Raw'!$F$6:$F$4467,'SALES Raw'!$J$6:$J$4467,$J400,'SALES Raw'!$K$6:$K$4467,"Y")*$H$4+SUMIFS('CEMIUP0.9 Raw'!$G$6:$G$1712,'CEMIUP0.9 Raw'!$B$6:$B$1712,$J400,'CEMIUP0.9 Raw'!$H$6:$H$1712,"Y")</f>
        <v>2854.14694736842</v>
      </c>
      <c r="H400" s="18" t="s">
        <v>54</v>
      </c>
      <c r="I400" s="18" t="s">
        <v>43</v>
      </c>
      <c r="J400" s="18" t="n">
        <v>4413527</v>
      </c>
    </row>
    <row r="401" customFormat="false" ht="15" hidden="false" customHeight="false" outlineLevel="0" collapsed="false">
      <c r="A401" s="18" t="n">
        <f aca="false">IF(ISNUMBER($J401),$J401,"")</f>
        <v>4413020</v>
      </c>
      <c r="B401" s="18" t="str">
        <f aca="false">IFERROR(INDEX('SALES Raw'!$B$6:$B$4467,MATCH($J401,'SALES Raw'!$J$6:$J$4467,0)),IFERROR(INDEX('CEMIUP0.9 Raw'!$B$6:$B$1712,MATCH($J401,'CEMIUP0.9 Raw'!$B$6:$B$1712,0)),$J401))</f>
        <v>303-41-42</v>
      </c>
      <c r="C401" s="18" t="str">
        <f aca="false">IF(ISNUMBER($J401),IFERROR(INDEX('TRANS'!$C:$C,MATCH($J401,'TRANS'!$B:$B,0)),IFERROR(INDEX('Catalog'!$B:$B,MATCH($J401,'Catalog'!$A:$A,0)),$B401)),$B401)</f>
        <v>303 41-42 מדרסי סיליק.לח.סכרת</v>
      </c>
      <c r="D401" s="19" t="n">
        <f aca="false">SUMIFS('SALES Raw'!$C$6:$C$4467,'SALES Raw'!$J$6:$J$4467,$J401,'SALES Raw'!$K$6:$K$4467,"Y")+SUMIFS('CEMIUP0.9 Raw'!$D$6:$D$1712,'CEMIUP0.9 Raw'!$B$6:$B$1712,$J401,'CEMIUP0.9 Raw'!$H$6:$H$1712,"Y")</f>
        <v>17</v>
      </c>
      <c r="E401" s="19" t="n">
        <f aca="false">SUMIFS('SALES Raw'!$D$6:$D$4467,'SALES Raw'!$J$6:$J$4467,$J401,'SALES Raw'!$K$6:$K$4467,"Y")+SUMIFS('CEMIUP0.9 Raw'!$E$6:$E$1712,'CEMIUP0.9 Raw'!$B$6:$B$1712,$J401,'CEMIUP0.9 Raw'!$H$6:$H$1712,"Y")</f>
        <v>2071.265</v>
      </c>
      <c r="F401" s="19" t="n">
        <f aca="false">SUMIFS('SALES Raw'!$E$6:$E$4467,'SALES Raw'!$J$6:$J$4467,$J401,'SALES Raw'!$K$6:$K$4467,"Y")*$H$4+SUMIFS('CEMIUP0.9 Raw'!$F$6:$F$1712,'CEMIUP0.9 Raw'!$B$6:$B$1712,$J401,'CEMIUP0.9 Raw'!$H$6:$H$1712,"Y")</f>
        <v>25.2631578947368</v>
      </c>
      <c r="G401" s="19" t="n">
        <f aca="false">SUMIFS('SALES Raw'!$F$6:$F$4467,'SALES Raw'!$J$6:$J$4467,$J401,'SALES Raw'!$K$6:$K$4467,"Y")*$H$4+SUMIFS('CEMIUP0.9 Raw'!$G$6:$G$1712,'CEMIUP0.9 Raw'!$B$6:$B$1712,$J401,'CEMIUP0.9 Raw'!$H$6:$H$1712,"Y")</f>
        <v>2874.48884210526</v>
      </c>
      <c r="H401" s="18" t="s">
        <v>44</v>
      </c>
      <c r="I401" s="18" t="s">
        <v>95</v>
      </c>
      <c r="J401" s="18" t="n">
        <v>4413020</v>
      </c>
    </row>
    <row r="402" customFormat="false" ht="15" hidden="false" customHeight="false" outlineLevel="0" collapsed="false">
      <c r="A402" s="18" t="str">
        <f aca="false">IF(ISNUMBER($J402),$J402,"")</f>
        <v/>
      </c>
      <c r="B402" s="18" t="str">
        <f aca="false">IFERROR(INDEX('SALES Raw'!$B$6:$B$4467,MATCH($J402,'SALES Raw'!$J$6:$J$4467,0)),IFERROR(INDEX('CEMIUP0.9 Raw'!$B$6:$B$1712,MATCH($J402,'CEMIUP0.9 Raw'!$B$6:$B$1712,0)),$J402))</f>
        <v>63 L</v>
      </c>
      <c r="C402" s="18" t="str">
        <f aca="false">IF(ISNUMBER($J402),IFERROR(INDEX('TRANS'!$C:$C,MATCH($J402,'TRANS'!$B:$B,0)),IFERROR(INDEX('Catalog'!$B:$B,MATCH($J402,'Catalog'!$A:$A,0)),$B402)),$B402)</f>
        <v>63 L</v>
      </c>
      <c r="D402" s="19" t="n">
        <f aca="false">SUMIFS('SALES Raw'!$C$6:$C$4467,'SALES Raw'!$J$6:$J$4467,$J402,'SALES Raw'!$K$6:$K$4467,"Y")+SUMIFS('CEMIUP0.9 Raw'!$D$6:$D$1712,'CEMIUP0.9 Raw'!$B$6:$B$1712,$J402,'CEMIUP0.9 Raw'!$H$6:$H$1712,"Y")</f>
        <v>41</v>
      </c>
      <c r="E402" s="19" t="n">
        <f aca="false">SUMIFS('SALES Raw'!$D$6:$D$4467,'SALES Raw'!$J$6:$J$4467,$J402,'SALES Raw'!$K$6:$K$4467,"Y")+SUMIFS('CEMIUP0.9 Raw'!$E$6:$E$1712,'CEMIUP0.9 Raw'!$B$6:$B$1712,$J402,'CEMIUP0.9 Raw'!$H$6:$H$1712,"Y")</f>
        <v>2605.74</v>
      </c>
      <c r="F402" s="19" t="n">
        <f aca="false">SUMIFS('SALES Raw'!$E$6:$E$4467,'SALES Raw'!$J$6:$J$4467,$J402,'SALES Raw'!$K$6:$K$4467,"Y")*$H$4+SUMIFS('CEMIUP0.9 Raw'!$F$6:$F$1712,'CEMIUP0.9 Raw'!$B$6:$B$1712,$J402,'CEMIUP0.9 Raw'!$H$6:$H$1712,"Y")</f>
        <v>25.2631578947368</v>
      </c>
      <c r="G402" s="19" t="n">
        <f aca="false">SUMIFS('SALES Raw'!$F$6:$F$4467,'SALES Raw'!$J$6:$J$4467,$J402,'SALES Raw'!$K$6:$K$4467,"Y")*$H$4+SUMIFS('CEMIUP0.9 Raw'!$G$6:$G$1712,'CEMIUP0.9 Raw'!$B$6:$B$1712,$J402,'CEMIUP0.9 Raw'!$H$6:$H$1712,"Y")</f>
        <v>1921.41473684211</v>
      </c>
      <c r="H402" s="18" t="s">
        <v>44</v>
      </c>
      <c r="I402" s="18" t="s">
        <v>42</v>
      </c>
      <c r="J402" s="18" t="s">
        <v>96</v>
      </c>
    </row>
    <row r="403" customFormat="false" ht="15" hidden="false" customHeight="false" outlineLevel="0" collapsed="false">
      <c r="A403" s="18" t="str">
        <f aca="false">IF(ISNUMBER($J403),$J403,"")</f>
        <v/>
      </c>
      <c r="B403" s="18" t="str">
        <f aca="false">IFERROR(INDEX('SALES Raw'!$B$6:$B$4467,MATCH($J403,'SALES Raw'!$J$6:$J$4467,0)),IFERROR(INDEX('CEMIUP0.9 Raw'!$B$6:$B$1712,MATCH($J403,'CEMIUP0.9 Raw'!$B$6:$B$1712,0)),$J403))</f>
        <v>30 Days Trial</v>
      </c>
      <c r="C403" s="18" t="str">
        <f aca="false">IF(ISNUMBER($J403),IFERROR(INDEX('TRANS'!$C:$C,MATCH($J403,'TRANS'!$B:$B,0)),IFERROR(INDEX('Catalog'!$B:$B,MATCH($J403,'Catalog'!$A:$A,0)),$B403)),$B403)</f>
        <v>30 Days Trial</v>
      </c>
      <c r="D403" s="19" t="n">
        <f aca="false">SUMIFS('SALES Raw'!$C$6:$C$4467,'SALES Raw'!$J$6:$J$4467,$J403,'SALES Raw'!$K$6:$K$4467,"Y")+SUMIFS('CEMIUP0.9 Raw'!$D$6:$D$1712,'CEMIUP0.9 Raw'!$B$6:$B$1712,$J403,'CEMIUP0.9 Raw'!$H$6:$H$1712,"Y")</f>
        <v>0</v>
      </c>
      <c r="E403" s="19" t="n">
        <f aca="false">SUMIFS('SALES Raw'!$D$6:$D$4467,'SALES Raw'!$J$6:$J$4467,$J403,'SALES Raw'!$K$6:$K$4467,"Y")+SUMIFS('CEMIUP0.9 Raw'!$E$6:$E$1712,'CEMIUP0.9 Raw'!$B$6:$B$1712,$J403,'CEMIUP0.9 Raw'!$H$6:$H$1712,"Y")</f>
        <v>0</v>
      </c>
      <c r="F403" s="19" t="n">
        <f aca="false">SUMIFS('SALES Raw'!$E$6:$E$4467,'SALES Raw'!$J$6:$J$4467,$J403,'SALES Raw'!$K$6:$K$4467,"Y")*$H$4+SUMIFS('CEMIUP0.9 Raw'!$F$6:$F$1712,'CEMIUP0.9 Raw'!$B$6:$B$1712,$J403,'CEMIUP0.9 Raw'!$H$6:$H$1712,"Y")</f>
        <v>25.2631578947368</v>
      </c>
      <c r="G403" s="19" t="n">
        <f aca="false">SUMIFS('SALES Raw'!$F$6:$F$4467,'SALES Raw'!$J$6:$J$4467,$J403,'SALES Raw'!$K$6:$K$4467,"Y")*$H$4+SUMIFS('CEMIUP0.9 Raw'!$G$6:$G$1712,'CEMIUP0.9 Raw'!$B$6:$B$1712,$J403,'CEMIUP0.9 Raw'!$H$6:$H$1712,"Y")</f>
        <v>0</v>
      </c>
      <c r="H403" s="18" t="s">
        <v>42</v>
      </c>
      <c r="I403" s="18"/>
      <c r="J403" s="18" t="s">
        <v>97</v>
      </c>
    </row>
    <row r="404" customFormat="false" ht="15" hidden="false" customHeight="false" outlineLevel="0" collapsed="false">
      <c r="A404" s="18" t="str">
        <f aca="false">IF(ISNUMBER($J404),$J404,"")</f>
        <v/>
      </c>
      <c r="B404" s="18" t="str">
        <f aca="false">IFERROR(INDEX('SALES Raw'!$B$6:$B$4467,MATCH($J404,'SALES Raw'!$J$6:$J$4467,0)),IFERROR(INDEX('CEMIUP0.9 Raw'!$B$6:$B$1712,MATCH($J404,'CEMIUP0.9 Raw'!$B$6:$B$1712,0)),$J404))</f>
        <v>WEB-AC75-S-XL</v>
      </c>
      <c r="C404" s="18" t="str">
        <f aca="false">IF(ISNUMBER($J404),IFERROR(INDEX('TRANS'!$C:$C,MATCH($J404,'TRANS'!$B:$B,0)),IFERROR(INDEX('Catalog'!$B:$B,MATCH($J404,'Catalog'!$A:$A,0)),$B404)),$B404)</f>
        <v>WEB-AC75-S-XL</v>
      </c>
      <c r="D404" s="19" t="n">
        <f aca="false">SUMIFS('SALES Raw'!$C$6:$C$4467,'SALES Raw'!$J$6:$J$4467,$J404,'SALES Raw'!$K$6:$K$4467,"Y")+SUMIFS('CEMIUP0.9 Raw'!$D$6:$D$1712,'CEMIUP0.9 Raw'!$B$6:$B$1712,$J404,'CEMIUP0.9 Raw'!$H$6:$H$1712,"Y")</f>
        <v>1816</v>
      </c>
      <c r="E404" s="19" t="n">
        <f aca="false">SUMIFS('SALES Raw'!$D$6:$D$4467,'SALES Raw'!$J$6:$J$4467,$J404,'SALES Raw'!$K$6:$K$4467,"Y")+SUMIFS('CEMIUP0.9 Raw'!$E$6:$E$1712,'CEMIUP0.9 Raw'!$B$6:$B$1712,$J404,'CEMIUP0.9 Raw'!$H$6:$H$1712,"Y")</f>
        <v>240415.25</v>
      </c>
      <c r="F404" s="19" t="n">
        <f aca="false">SUMIFS('SALES Raw'!$E$6:$E$4467,'SALES Raw'!$J$6:$J$4467,$J404,'SALES Raw'!$K$6:$K$4467,"Y")*$H$4+SUMIFS('CEMIUP0.9 Raw'!$F$6:$F$1712,'CEMIUP0.9 Raw'!$B$6:$B$1712,$J404,'CEMIUP0.9 Raw'!$H$6:$H$1712,"Y")</f>
        <v>25.2631578947368</v>
      </c>
      <c r="G404" s="19" t="n">
        <f aca="false">SUMIFS('SALES Raw'!$F$6:$F$4467,'SALES Raw'!$J$6:$J$4467,$J404,'SALES Raw'!$K$6:$K$4467,"Y")*$H$4+SUMIFS('CEMIUP0.9 Raw'!$G$6:$G$1712,'CEMIUP0.9 Raw'!$B$6:$B$1712,$J404,'CEMIUP0.9 Raw'!$H$6:$H$1712,"Y")</f>
        <v>3419.11578947368</v>
      </c>
      <c r="H404" s="18" t="s">
        <v>42</v>
      </c>
      <c r="I404" s="18" t="s">
        <v>49</v>
      </c>
      <c r="J404" s="18" t="s">
        <v>98</v>
      </c>
    </row>
    <row r="405" customFormat="false" ht="15" hidden="false" customHeight="false" outlineLevel="0" collapsed="false">
      <c r="A405" s="18" t="str">
        <f aca="false">IF(ISNUMBER($J405),$J405,"")</f>
        <v/>
      </c>
      <c r="B405" s="18" t="str">
        <f aca="false">IFERROR(INDEX('SALES Raw'!$B$6:$B$4467,MATCH($J405,'SALES Raw'!$J$6:$J$4467,0)),IFERROR(INDEX('CEMIUP0.9 Raw'!$B$6:$B$1712,MATCH($J405,'CEMIUP0.9 Raw'!$B$6:$B$1712,0)),$J405))</f>
        <v>11 M""חגורת בטן""אורירית</v>
      </c>
      <c r="C405" s="18" t="str">
        <f aca="false">IF(ISNUMBER($J405),IFERROR(INDEX('TRANS'!$C:$C,MATCH($J405,'TRANS'!$B:$B,0)),IFERROR(INDEX('Catalog'!$B:$B,MATCH($J405,'Catalog'!$A:$A,0)),$B405)),$B405)</f>
        <v>11 M""חגורת בטן""אורירית</v>
      </c>
      <c r="D405" s="19" t="n">
        <f aca="false">SUMIFS('SALES Raw'!$C$6:$C$4467,'SALES Raw'!$J$6:$J$4467,$J405,'SALES Raw'!$K$6:$K$4467,"Y")+SUMIFS('CEMIUP0.9 Raw'!$D$6:$D$1712,'CEMIUP0.9 Raw'!$B$6:$B$1712,$J405,'CEMIUP0.9 Raw'!$H$6:$H$1712,"Y")</f>
        <v>0</v>
      </c>
      <c r="E405" s="19" t="n">
        <f aca="false">SUMIFS('SALES Raw'!$D$6:$D$4467,'SALES Raw'!$J$6:$J$4467,$J405,'SALES Raw'!$K$6:$K$4467,"Y")+SUMIFS('CEMIUP0.9 Raw'!$E$6:$E$1712,'CEMIUP0.9 Raw'!$B$6:$B$1712,$J405,'CEMIUP0.9 Raw'!$H$6:$H$1712,"Y")</f>
        <v>0</v>
      </c>
      <c r="F405" s="19" t="n">
        <f aca="false">SUMIFS('SALES Raw'!$E$6:$E$4467,'SALES Raw'!$J$6:$J$4467,$J405,'SALES Raw'!$K$6:$K$4467,"Y")*$H$4+SUMIFS('CEMIUP0.9 Raw'!$F$6:$F$1712,'CEMIUP0.9 Raw'!$B$6:$B$1712,$J405,'CEMIUP0.9 Raw'!$H$6:$H$1712,"Y")</f>
        <v>25.2631578947368</v>
      </c>
      <c r="G405" s="19" t="n">
        <f aca="false">SUMIFS('SALES Raw'!$F$6:$F$4467,'SALES Raw'!$J$6:$J$4467,$J405,'SALES Raw'!$K$6:$K$4467,"Y")*$H$4+SUMIFS('CEMIUP0.9 Raw'!$G$6:$G$1712,'CEMIUP0.9 Raw'!$B$6:$B$1712,$J405,'CEMIUP0.9 Raw'!$H$6:$H$1712,"Y")</f>
        <v>1663.05852631579</v>
      </c>
      <c r="H405" s="18" t="s">
        <v>48</v>
      </c>
      <c r="I405" s="18"/>
      <c r="J405" s="18" t="s">
        <v>99</v>
      </c>
    </row>
    <row r="406" customFormat="false" ht="15" hidden="false" customHeight="false" outlineLevel="0" collapsed="false">
      <c r="A406" s="18" t="str">
        <f aca="false">IF(ISNUMBER($J406),$J406,"")</f>
        <v/>
      </c>
      <c r="B406" s="18" t="str">
        <f aca="false">IFERROR(INDEX('SALES Raw'!$B$6:$B$4467,MATCH($J406,'SALES Raw'!$J$6:$J$4467,0)),IFERROR(INDEX('CEMIUP0.9 Raw'!$B$6:$B$1712,MATCH($J406,'CEMIUP0.9 Raw'!$B$6:$B$1712,0)),$J406))</f>
        <v>11 XXL""חגורת בטן""אורירית</v>
      </c>
      <c r="C406" s="18" t="str">
        <f aca="false">IF(ISNUMBER($J406),IFERROR(INDEX('TRANS'!$C:$C,MATCH($J406,'TRANS'!$B:$B,0)),IFERROR(INDEX('Catalog'!$B:$B,MATCH($J406,'Catalog'!$A:$A,0)),$B406)),$B406)</f>
        <v>11 XXL""חגורת בטן""אורירית</v>
      </c>
      <c r="D406" s="19" t="n">
        <f aca="false">SUMIFS('SALES Raw'!$C$6:$C$4467,'SALES Raw'!$J$6:$J$4467,$J406,'SALES Raw'!$K$6:$K$4467,"Y")+SUMIFS('CEMIUP0.9 Raw'!$D$6:$D$1712,'CEMIUP0.9 Raw'!$B$6:$B$1712,$J406,'CEMIUP0.9 Raw'!$H$6:$H$1712,"Y")</f>
        <v>0</v>
      </c>
      <c r="E406" s="19" t="n">
        <f aca="false">SUMIFS('SALES Raw'!$D$6:$D$4467,'SALES Raw'!$J$6:$J$4467,$J406,'SALES Raw'!$K$6:$K$4467,"Y")+SUMIFS('CEMIUP0.9 Raw'!$E$6:$E$1712,'CEMIUP0.9 Raw'!$B$6:$B$1712,$J406,'CEMIUP0.9 Raw'!$H$6:$H$1712,"Y")</f>
        <v>0</v>
      </c>
      <c r="F406" s="19" t="n">
        <f aca="false">SUMIFS('SALES Raw'!$E$6:$E$4467,'SALES Raw'!$J$6:$J$4467,$J406,'SALES Raw'!$K$6:$K$4467,"Y")*$H$4+SUMIFS('CEMIUP0.9 Raw'!$F$6:$F$1712,'CEMIUP0.9 Raw'!$B$6:$B$1712,$J406,'CEMIUP0.9 Raw'!$H$6:$H$1712,"Y")</f>
        <v>25.2631578947368</v>
      </c>
      <c r="G406" s="19" t="n">
        <f aca="false">SUMIFS('SALES Raw'!$F$6:$F$4467,'SALES Raw'!$J$6:$J$4467,$J406,'SALES Raw'!$K$6:$K$4467,"Y")*$H$4+SUMIFS('CEMIUP0.9 Raw'!$G$6:$G$1712,'CEMIUP0.9 Raw'!$B$6:$B$1712,$J406,'CEMIUP0.9 Raw'!$H$6:$H$1712,"Y")</f>
        <v>1621.44757894737</v>
      </c>
      <c r="H406" s="18" t="s">
        <v>48</v>
      </c>
      <c r="I406" s="18"/>
      <c r="J406" s="18" t="s">
        <v>100</v>
      </c>
    </row>
    <row r="407" customFormat="false" ht="15" hidden="false" customHeight="false" outlineLevel="0" collapsed="false">
      <c r="A407" s="18" t="n">
        <f aca="false">IF(ISNUMBER($J407),$J407,"")</f>
        <v>4403007</v>
      </c>
      <c r="B407" s="18" t="str">
        <f aca="false">IFERROR(INDEX('SALES Raw'!$B$6:$B$4467,MATCH($J407,'SALES Raw'!$J$6:$J$4467,0)),IFERROR(INDEX('CEMIUP0.9 Raw'!$B$6:$B$1712,MATCH($J407,'CEMIUP0.9 Raw'!$B$6:$B$1712,0)),$J407))</f>
        <v>390W-39-42</v>
      </c>
      <c r="C407" s="18" t="str">
        <f aca="false">IF(ISNUMBER($J407),IFERROR(INDEX('TRANS'!$C:$C,MATCH($J407,'TRANS'!$B:$B,0)),IFERROR(INDEX('Catalog'!$B:$B,MATCH($J407,'Catalog'!$A:$A,0)),$B407)),$B407)</f>
        <v>390W גרב.כסף לסכרתיים לבן39-42</v>
      </c>
      <c r="D407" s="19" t="n">
        <f aca="false">SUMIFS('SALES Raw'!$C$6:$C$4467,'SALES Raw'!$J$6:$J$4467,$J407,'SALES Raw'!$K$6:$K$4467,"Y")+SUMIFS('CEMIUP0.9 Raw'!$D$6:$D$1712,'CEMIUP0.9 Raw'!$B$6:$B$1712,$J407,'CEMIUP0.9 Raw'!$H$6:$H$1712,"Y")</f>
        <v>65</v>
      </c>
      <c r="E407" s="19" t="n">
        <f aca="false">SUMIFS('SALES Raw'!$D$6:$D$4467,'SALES Raw'!$J$6:$J$4467,$J407,'SALES Raw'!$K$6:$K$4467,"Y")+SUMIFS('CEMIUP0.9 Raw'!$E$6:$E$1712,'CEMIUP0.9 Raw'!$B$6:$B$1712,$J407,'CEMIUP0.9 Raw'!$H$6:$H$1712,"Y")</f>
        <v>2035.229</v>
      </c>
      <c r="F407" s="19" t="n">
        <f aca="false">SUMIFS('SALES Raw'!$E$6:$E$4467,'SALES Raw'!$J$6:$J$4467,$J407,'SALES Raw'!$K$6:$K$4467,"Y")*$H$4+SUMIFS('CEMIUP0.9 Raw'!$F$6:$F$1712,'CEMIUP0.9 Raw'!$B$6:$B$1712,$J407,'CEMIUP0.9 Raw'!$H$6:$H$1712,"Y")</f>
        <v>25.2631578947368</v>
      </c>
      <c r="G407" s="19" t="n">
        <f aca="false">SUMIFS('SALES Raw'!$F$6:$F$4467,'SALES Raw'!$J$6:$J$4467,$J407,'SALES Raw'!$K$6:$K$4467,"Y")*$H$4+SUMIFS('CEMIUP0.9 Raw'!$G$6:$G$1712,'CEMIUP0.9 Raw'!$B$6:$B$1712,$J407,'CEMIUP0.9 Raw'!$H$6:$H$1712,"Y")</f>
        <v>843.726315789474</v>
      </c>
      <c r="H407" s="18" t="s">
        <v>43</v>
      </c>
      <c r="I407" s="18" t="s">
        <v>42</v>
      </c>
      <c r="J407" s="18" t="n">
        <v>4403007</v>
      </c>
    </row>
    <row r="408" customFormat="false" ht="15" hidden="false" customHeight="false" outlineLevel="0" collapsed="false">
      <c r="A408" s="18" t="n">
        <f aca="false">IF(ISNUMBER($J408),$J408,"")</f>
        <v>4408084</v>
      </c>
      <c r="B408" s="18" t="str">
        <f aca="false">IFERROR(INDEX('SALES Raw'!$B$6:$B$4467,MATCH($J408,'SALES Raw'!$J$6:$J$4467,0)),IFERROR(INDEX('CEMIUP0.9 Raw'!$B$6:$B$1712,MATCH($J408,'CEMIUP0.9 Raw'!$B$6:$B$1712,0)),$J408))</f>
        <v>922 L</v>
      </c>
      <c r="C408" s="18" t="str">
        <f aca="false">IF(ISNUMBER($J408),IFERROR(INDEX('TRANS'!$C:$C,MATCH($J408,'TRANS'!$B:$B,0)),IFERROR(INDEX('Catalog'!$B:$B,MATCH($J408,'Catalog'!$A:$A,0)),$B408)),$B408)</f>
        <v>922L.חבק יד לטניס כרית סיליק</v>
      </c>
      <c r="D408" s="19" t="n">
        <f aca="false">SUMIFS('SALES Raw'!$C$6:$C$4467,'SALES Raw'!$J$6:$J$4467,$J408,'SALES Raw'!$K$6:$K$4467,"Y")+SUMIFS('CEMIUP0.9 Raw'!$D$6:$D$1712,'CEMIUP0.9 Raw'!$B$6:$B$1712,$J408,'CEMIUP0.9 Raw'!$H$6:$H$1712,"Y")</f>
        <v>17</v>
      </c>
      <c r="E408" s="19" t="n">
        <f aca="false">SUMIFS('SALES Raw'!$D$6:$D$4467,'SALES Raw'!$J$6:$J$4467,$J408,'SALES Raw'!$K$6:$K$4467,"Y")+SUMIFS('CEMIUP0.9 Raw'!$E$6:$E$1712,'CEMIUP0.9 Raw'!$B$6:$B$1712,$J408,'CEMIUP0.9 Raw'!$H$6:$H$1712,"Y")</f>
        <v>2642.788</v>
      </c>
      <c r="F408" s="19" t="n">
        <f aca="false">SUMIFS('SALES Raw'!$E$6:$E$4467,'SALES Raw'!$J$6:$J$4467,$J408,'SALES Raw'!$K$6:$K$4467,"Y")*$H$4+SUMIFS('CEMIUP0.9 Raw'!$F$6:$F$1712,'CEMIUP0.9 Raw'!$B$6:$B$1712,$J408,'CEMIUP0.9 Raw'!$H$6:$H$1712,"Y")</f>
        <v>24</v>
      </c>
      <c r="G408" s="19" t="n">
        <f aca="false">SUMIFS('SALES Raw'!$F$6:$F$4467,'SALES Raw'!$J$6:$J$4467,$J408,'SALES Raw'!$K$6:$K$4467,"Y")*$H$4+SUMIFS('CEMIUP0.9 Raw'!$G$6:$G$1712,'CEMIUP0.9 Raw'!$B$6:$B$1712,$J408,'CEMIUP0.9 Raw'!$H$6:$H$1712,"Y")</f>
        <v>3382.92505263158</v>
      </c>
      <c r="H408" s="18" t="s">
        <v>42</v>
      </c>
      <c r="I408" s="18" t="s">
        <v>46</v>
      </c>
      <c r="J408" s="18" t="n">
        <v>4408084</v>
      </c>
    </row>
    <row r="409" customFormat="false" ht="15" hidden="false" customHeight="false" outlineLevel="0" collapsed="false">
      <c r="A409" s="18" t="str">
        <f aca="false">IF(ISNUMBER($J409),$J409,"")</f>
        <v/>
      </c>
      <c r="B409" s="18" t="str">
        <f aca="false">IFERROR(INDEX('SALES Raw'!$B$6:$B$4467,MATCH($J409,'SALES Raw'!$J$6:$J$4467,0)),IFERROR(INDEX('CEMIUP0.9 Raw'!$B$6:$B$1712,MATCH($J409,'CEMIUP0.9 Raw'!$B$6:$B$1712,0)),$J409))</f>
        <v>SH776 M</v>
      </c>
      <c r="C409" s="18" t="str">
        <f aca="false">IF(ISNUMBER($J409),IFERROR(INDEX('TRANS'!$C:$C,MATCH($J409,'TRANS'!$B:$B,0)),IFERROR(INDEX('Catalog'!$B:$B,MATCH($J409,'Catalog'!$A:$A,0)),$B409)),$B409)</f>
        <v>SH776 M</v>
      </c>
      <c r="D409" s="19" t="n">
        <f aca="false">SUMIFS('SALES Raw'!$C$6:$C$4467,'SALES Raw'!$J$6:$J$4467,$J409,'SALES Raw'!$K$6:$K$4467,"Y")+SUMIFS('CEMIUP0.9 Raw'!$D$6:$D$1712,'CEMIUP0.9 Raw'!$B$6:$B$1712,$J409,'CEMIUP0.9 Raw'!$H$6:$H$1712,"Y")</f>
        <v>0</v>
      </c>
      <c r="E409" s="19" t="n">
        <f aca="false">SUMIFS('SALES Raw'!$D$6:$D$4467,'SALES Raw'!$J$6:$J$4467,$J409,'SALES Raw'!$K$6:$K$4467,"Y")+SUMIFS('CEMIUP0.9 Raw'!$E$6:$E$1712,'CEMIUP0.9 Raw'!$B$6:$B$1712,$J409,'CEMIUP0.9 Raw'!$H$6:$H$1712,"Y")</f>
        <v>0</v>
      </c>
      <c r="F409" s="19" t="n">
        <f aca="false">SUMIFS('SALES Raw'!$E$6:$E$4467,'SALES Raw'!$J$6:$J$4467,$J409,'SALES Raw'!$K$6:$K$4467,"Y")*$H$4+SUMIFS('CEMIUP0.9 Raw'!$F$6:$F$1712,'CEMIUP0.9 Raw'!$B$6:$B$1712,$J409,'CEMIUP0.9 Raw'!$H$6:$H$1712,"Y")</f>
        <v>24</v>
      </c>
      <c r="G409" s="19" t="n">
        <f aca="false">SUMIFS('SALES Raw'!$F$6:$F$4467,'SALES Raw'!$J$6:$J$4467,$J409,'SALES Raw'!$K$6:$K$4467,"Y")*$H$4+SUMIFS('CEMIUP0.9 Raw'!$G$6:$G$1712,'CEMIUP0.9 Raw'!$B$6:$B$1712,$J409,'CEMIUP0.9 Raw'!$H$6:$H$1712,"Y")</f>
        <v>9059.96210526316</v>
      </c>
      <c r="H409" s="18" t="s">
        <v>44</v>
      </c>
      <c r="I409" s="18" t="s">
        <v>42</v>
      </c>
      <c r="J409" s="18" t="s">
        <v>101</v>
      </c>
    </row>
    <row r="410" customFormat="false" ht="15" hidden="false" customHeight="false" outlineLevel="0" collapsed="false">
      <c r="A410" s="18" t="str">
        <f aca="false">IF(ISNUMBER($J410),$J410,"")</f>
        <v/>
      </c>
      <c r="B410" s="18" t="str">
        <f aca="false">IFERROR(INDEX('SALES Raw'!$B$6:$B$4467,MATCH($J410,'SALES Raw'!$J$6:$J$4467,0)),IFERROR(INDEX('CEMIUP0.9 Raw'!$B$6:$B$1712,MATCH($J410,'CEMIUP0.9 Raw'!$B$6:$B$1712,0)),$J410))</f>
        <v>305-41-42</v>
      </c>
      <c r="C410" s="18" t="str">
        <f aca="false">IF(ISNUMBER($J410),IFERROR(INDEX('TRANS'!$C:$C,MATCH($J410,'TRANS'!$B:$B,0)),IFERROR(INDEX('Catalog'!$B:$B,MATCH($J410,'Catalog'!$A:$A,0)),$B410)),$B410)</f>
        <v>305-41-42</v>
      </c>
      <c r="D410" s="19" t="n">
        <f aca="false">SUMIFS('SALES Raw'!$C$6:$C$4467,'SALES Raw'!$J$6:$J$4467,$J410,'SALES Raw'!$K$6:$K$4467,"Y")+SUMIFS('CEMIUP0.9 Raw'!$D$6:$D$1712,'CEMIUP0.9 Raw'!$B$6:$B$1712,$J410,'CEMIUP0.9 Raw'!$H$6:$H$1712,"Y")</f>
        <v>0</v>
      </c>
      <c r="E410" s="19" t="n">
        <f aca="false">SUMIFS('SALES Raw'!$D$6:$D$4467,'SALES Raw'!$J$6:$J$4467,$J410,'SALES Raw'!$K$6:$K$4467,"Y")+SUMIFS('CEMIUP0.9 Raw'!$E$6:$E$1712,'CEMIUP0.9 Raw'!$B$6:$B$1712,$J410,'CEMIUP0.9 Raw'!$H$6:$H$1712,"Y")</f>
        <v>0</v>
      </c>
      <c r="F410" s="19" t="n">
        <f aca="false">SUMIFS('SALES Raw'!$E$6:$E$4467,'SALES Raw'!$J$6:$J$4467,$J410,'SALES Raw'!$K$6:$K$4467,"Y")*$H$4+SUMIFS('CEMIUP0.9 Raw'!$F$6:$F$1712,'CEMIUP0.9 Raw'!$B$6:$B$1712,$J410,'CEMIUP0.9 Raw'!$H$6:$H$1712,"Y")</f>
        <v>22.7368421052632</v>
      </c>
      <c r="G410" s="19" t="n">
        <f aca="false">SUMIFS('SALES Raw'!$F$6:$F$4467,'SALES Raw'!$J$6:$J$4467,$J410,'SALES Raw'!$K$6:$K$4467,"Y")*$H$4+SUMIFS('CEMIUP0.9 Raw'!$G$6:$G$1712,'CEMIUP0.9 Raw'!$B$6:$B$1712,$J410,'CEMIUP0.9 Raw'!$H$6:$H$1712,"Y")</f>
        <v>3595.69263157895</v>
      </c>
      <c r="H410" s="18" t="s">
        <v>42</v>
      </c>
      <c r="I410" s="18" t="s">
        <v>44</v>
      </c>
      <c r="J410" s="18" t="s">
        <v>102</v>
      </c>
    </row>
    <row r="411" customFormat="false" ht="15" hidden="false" customHeight="false" outlineLevel="0" collapsed="false">
      <c r="A411" s="18" t="str">
        <f aca="false">IF(ISNUMBER($J411),$J411,"")</f>
        <v/>
      </c>
      <c r="B411" s="18" t="str">
        <f aca="false">IFERROR(INDEX('SALES Raw'!$B$6:$B$4467,MATCH($J411,'SALES Raw'!$J$6:$J$4467,0)),IFERROR(INDEX('CEMIUP0.9 Raw'!$B$6:$B$1712,MATCH($J411,'CEMIUP0.9 Raw'!$B$6:$B$1712,0)),$J411))</f>
        <v>VMFPCB30 0</v>
      </c>
      <c r="C411" s="18" t="str">
        <f aca="false">IF(ISNUMBER($J411),IFERROR(INDEX('TRANS'!$C:$C,MATCH($J411,'TRANS'!$B:$B,0)),IFERROR(INDEX('Catalog'!$B:$B,MATCH($J411,'Catalog'!$A:$A,0)),$B411)),$B411)</f>
        <v>VMFPCB30 0</v>
      </c>
      <c r="D411" s="19" t="n">
        <f aca="false">SUMIFS('SALES Raw'!$C$6:$C$4467,'SALES Raw'!$J$6:$J$4467,$J411,'SALES Raw'!$K$6:$K$4467,"Y")+SUMIFS('CEMIUP0.9 Raw'!$D$6:$D$1712,'CEMIUP0.9 Raw'!$B$6:$B$1712,$J411,'CEMIUP0.9 Raw'!$H$6:$H$1712,"Y")</f>
        <v>0</v>
      </c>
      <c r="E411" s="19" t="n">
        <f aca="false">SUMIFS('SALES Raw'!$D$6:$D$4467,'SALES Raw'!$J$6:$J$4467,$J411,'SALES Raw'!$K$6:$K$4467,"Y")+SUMIFS('CEMIUP0.9 Raw'!$E$6:$E$1712,'CEMIUP0.9 Raw'!$B$6:$B$1712,$J411,'CEMIUP0.9 Raw'!$H$6:$H$1712,"Y")</f>
        <v>0</v>
      </c>
      <c r="F411" s="19" t="n">
        <f aca="false">SUMIFS('SALES Raw'!$E$6:$E$4467,'SALES Raw'!$J$6:$J$4467,$J411,'SALES Raw'!$K$6:$K$4467,"Y")*$H$4+SUMIFS('CEMIUP0.9 Raw'!$F$6:$F$1712,'CEMIUP0.9 Raw'!$B$6:$B$1712,$J411,'CEMIUP0.9 Raw'!$H$6:$H$1712,"Y")</f>
        <v>22.7368421052632</v>
      </c>
      <c r="G411" s="19" t="n">
        <f aca="false">SUMIFS('SALES Raw'!$F$6:$F$4467,'SALES Raw'!$J$6:$J$4467,$J411,'SALES Raw'!$K$6:$K$4467,"Y")*$H$4+SUMIFS('CEMIUP0.9 Raw'!$G$6:$G$1712,'CEMIUP0.9 Raw'!$B$6:$B$1712,$J411,'CEMIUP0.9 Raw'!$H$6:$H$1712,"Y")</f>
        <v>243.814736842105</v>
      </c>
      <c r="H411" s="18" t="s">
        <v>42</v>
      </c>
      <c r="I411" s="18"/>
      <c r="J411" s="18" t="s">
        <v>103</v>
      </c>
    </row>
    <row r="412" customFormat="false" ht="15" hidden="false" customHeight="false" outlineLevel="0" collapsed="false">
      <c r="A412" s="18" t="n">
        <f aca="false">IF(ISNUMBER($J412),$J412,"")</f>
        <v>4403035</v>
      </c>
      <c r="B412" s="18" t="str">
        <f aca="false">IFERROR(INDEX('SALES Raw'!$B$6:$B$4467,MATCH($J412,'SALES Raw'!$J$6:$J$4467,0)),IFERROR(INDEX('CEMIUP0.9 Raw'!$B$6:$B$1712,MATCH($J412,'CEMIUP0.9 Raw'!$B$6:$B$1712,0)),$J412))</f>
        <v>ST3555-L-XL</v>
      </c>
      <c r="C412" s="18" t="str">
        <f aca="false">IF(ISNUMBER($J412),IFERROR(INDEX('TRANS'!$C:$C,MATCH($J412,'TRANS'!$B:$B,0)),IFERROR(INDEX('Catalog'!$B:$B,MATCH($J412,'Catalog'!$A:$A,0)),$B412)),$B412)</f>
        <v>ST3555L-XLגרב לילה לטיפ.בדורבן</v>
      </c>
      <c r="D412" s="19" t="n">
        <f aca="false">SUMIFS('SALES Raw'!$C$6:$C$4467,'SALES Raw'!$J$6:$J$4467,$J412,'SALES Raw'!$K$6:$K$4467,"Y")+SUMIFS('CEMIUP0.9 Raw'!$D$6:$D$1712,'CEMIUP0.9 Raw'!$B$6:$B$1712,$J412,'CEMIUP0.9 Raw'!$H$6:$H$1712,"Y")</f>
        <v>48</v>
      </c>
      <c r="E412" s="19" t="n">
        <f aca="false">SUMIFS('SALES Raw'!$D$6:$D$4467,'SALES Raw'!$J$6:$J$4467,$J412,'SALES Raw'!$K$6:$K$4467,"Y")+SUMIFS('CEMIUP0.9 Raw'!$E$6:$E$1712,'CEMIUP0.9 Raw'!$B$6:$B$1712,$J412,'CEMIUP0.9 Raw'!$H$6:$H$1712,"Y")</f>
        <v>3232.65</v>
      </c>
      <c r="F412" s="19" t="n">
        <f aca="false">SUMIFS('SALES Raw'!$E$6:$E$4467,'SALES Raw'!$J$6:$J$4467,$J412,'SALES Raw'!$K$6:$K$4467,"Y")*$H$4+SUMIFS('CEMIUP0.9 Raw'!$F$6:$F$1712,'CEMIUP0.9 Raw'!$B$6:$B$1712,$J412,'CEMIUP0.9 Raw'!$H$6:$H$1712,"Y")</f>
        <v>22.7368421052632</v>
      </c>
      <c r="G412" s="19" t="n">
        <f aca="false">SUMIFS('SALES Raw'!$F$6:$F$4467,'SALES Raw'!$J$6:$J$4467,$J412,'SALES Raw'!$K$6:$K$4467,"Y")*$H$4+SUMIFS('CEMIUP0.9 Raw'!$G$6:$G$1712,'CEMIUP0.9 Raw'!$B$6:$B$1712,$J412,'CEMIUP0.9 Raw'!$H$6:$H$1712,"Y")</f>
        <v>1501.92378947368</v>
      </c>
      <c r="H412" s="18" t="s">
        <v>46</v>
      </c>
      <c r="I412" s="18" t="s">
        <v>44</v>
      </c>
      <c r="J412" s="18" t="n">
        <v>4403035</v>
      </c>
    </row>
    <row r="413" customFormat="false" ht="15" hidden="false" customHeight="false" outlineLevel="0" collapsed="false">
      <c r="A413" s="18" t="n">
        <f aca="false">IF(ISNUMBER($J413),$J413,"")</f>
        <v>4403034</v>
      </c>
      <c r="B413" s="18" t="str">
        <f aca="false">IFERROR(INDEX('SALES Raw'!$B$6:$B$4467,MATCH($J413,'SALES Raw'!$J$6:$J$4467,0)),IFERROR(INDEX('CEMIUP0.9 Raw'!$B$6:$B$1712,MATCH($J413,'CEMIUP0.9 Raw'!$B$6:$B$1712,0)),$J413))</f>
        <v>ST3555-S-M</v>
      </c>
      <c r="C413" s="18" t="str">
        <f aca="false">IF(ISNUMBER($J413),IFERROR(INDEX('TRANS'!$C:$C,MATCH($J413,'TRANS'!$B:$B,0)),IFERROR(INDEX('Catalog'!$B:$B,MATCH($J413,'Catalog'!$A:$A,0)),$B413)),$B413)</f>
        <v>ST3555 S-Mגרב לילה לטיפ.בדורבן</v>
      </c>
      <c r="D413" s="19" t="n">
        <f aca="false">SUMIFS('SALES Raw'!$C$6:$C$4467,'SALES Raw'!$J$6:$J$4467,$J413,'SALES Raw'!$K$6:$K$4467,"Y")+SUMIFS('CEMIUP0.9 Raw'!$D$6:$D$1712,'CEMIUP0.9 Raw'!$B$6:$B$1712,$J413,'CEMIUP0.9 Raw'!$H$6:$H$1712,"Y")</f>
        <v>47</v>
      </c>
      <c r="E413" s="19" t="n">
        <f aca="false">SUMIFS('SALES Raw'!$D$6:$D$4467,'SALES Raw'!$J$6:$J$4467,$J413,'SALES Raw'!$K$6:$K$4467,"Y")+SUMIFS('CEMIUP0.9 Raw'!$E$6:$E$1712,'CEMIUP0.9 Raw'!$B$6:$B$1712,$J413,'CEMIUP0.9 Raw'!$H$6:$H$1712,"Y")</f>
        <v>3162.181</v>
      </c>
      <c r="F413" s="19" t="n">
        <f aca="false">SUMIFS('SALES Raw'!$E$6:$E$4467,'SALES Raw'!$J$6:$J$4467,$J413,'SALES Raw'!$K$6:$K$4467,"Y")*$H$4+SUMIFS('CEMIUP0.9 Raw'!$F$6:$F$1712,'CEMIUP0.9 Raw'!$B$6:$B$1712,$J413,'CEMIUP0.9 Raw'!$H$6:$H$1712,"Y")</f>
        <v>22.7368421052632</v>
      </c>
      <c r="G413" s="19" t="n">
        <f aca="false">SUMIFS('SALES Raw'!$F$6:$F$4467,'SALES Raw'!$J$6:$J$4467,$J413,'SALES Raw'!$K$6:$K$4467,"Y")*$H$4+SUMIFS('CEMIUP0.9 Raw'!$G$6:$G$1712,'CEMIUP0.9 Raw'!$B$6:$B$1712,$J413,'CEMIUP0.9 Raw'!$H$6:$H$1712,"Y")</f>
        <v>1525.91494736842</v>
      </c>
      <c r="H413" s="18" t="s">
        <v>46</v>
      </c>
      <c r="I413" s="18" t="s">
        <v>44</v>
      </c>
      <c r="J413" s="18" t="n">
        <v>4403034</v>
      </c>
    </row>
    <row r="414" customFormat="false" ht="15" hidden="false" customHeight="false" outlineLevel="0" collapsed="false">
      <c r="A414" s="18" t="n">
        <f aca="false">IF(ISNUMBER($J414),$J414,"")</f>
        <v>4413415</v>
      </c>
      <c r="B414" s="18" t="str">
        <f aca="false">IFERROR(INDEX('SALES Raw'!$B$6:$B$4467,MATCH($J414,'SALES Raw'!$J$6:$J$4467,0)),IFERROR(INDEX('CEMIUP0.9 Raw'!$B$6:$B$1712,MATCH($J414,'CEMIUP0.9 Raw'!$B$6:$B$1712,0)),$J414))</f>
        <v>SC39 S</v>
      </c>
      <c r="C414" s="18" t="str">
        <f aca="false">IF(ISNUMBER($J414),IFERROR(INDEX('TRANS'!$C:$C,MATCH($J414,'TRANS'!$B:$B,0)),IFERROR(INDEX('Catalog'!$B:$B,MATCH($J414,'Catalog'!$A:$A,0)),$B414)),$B414)</f>
        <v>SC39  S מגן שוק</v>
      </c>
      <c r="D414" s="19" t="n">
        <f aca="false">SUMIFS('SALES Raw'!$C$6:$C$4467,'SALES Raw'!$J$6:$J$4467,$J414,'SALES Raw'!$K$6:$K$4467,"Y")+SUMIFS('CEMIUP0.9 Raw'!$D$6:$D$1712,'CEMIUP0.9 Raw'!$B$6:$B$1712,$J414,'CEMIUP0.9 Raw'!$H$6:$H$1712,"Y")</f>
        <v>18</v>
      </c>
      <c r="E414" s="19" t="n">
        <f aca="false">SUMIFS('SALES Raw'!$D$6:$D$4467,'SALES Raw'!$J$6:$J$4467,$J414,'SALES Raw'!$K$6:$K$4467,"Y")+SUMIFS('CEMIUP0.9 Raw'!$E$6:$E$1712,'CEMIUP0.9 Raw'!$B$6:$B$1712,$J414,'CEMIUP0.9 Raw'!$H$6:$H$1712,"Y")</f>
        <v>3344.073</v>
      </c>
      <c r="F414" s="19" t="n">
        <f aca="false">SUMIFS('SALES Raw'!$E$6:$E$4467,'SALES Raw'!$J$6:$J$4467,$J414,'SALES Raw'!$K$6:$K$4467,"Y")*$H$4+SUMIFS('CEMIUP0.9 Raw'!$F$6:$F$1712,'CEMIUP0.9 Raw'!$B$6:$B$1712,$J414,'CEMIUP0.9 Raw'!$H$6:$H$1712,"Y")</f>
        <v>22.7368421052632</v>
      </c>
      <c r="G414" s="19" t="n">
        <f aca="false">SUMIFS('SALES Raw'!$F$6:$F$4467,'SALES Raw'!$J$6:$J$4467,$J414,'SALES Raw'!$K$6:$K$4467,"Y")*$H$4+SUMIFS('CEMIUP0.9 Raw'!$G$6:$G$1712,'CEMIUP0.9 Raw'!$B$6:$B$1712,$J414,'CEMIUP0.9 Raw'!$H$6:$H$1712,"Y")</f>
        <v>5011.35284210526</v>
      </c>
      <c r="H414" s="18" t="s">
        <v>42</v>
      </c>
      <c r="I414" s="18" t="s">
        <v>43</v>
      </c>
      <c r="J414" s="18" t="n">
        <v>4413415</v>
      </c>
    </row>
    <row r="415" customFormat="false" ht="15" hidden="false" customHeight="false" outlineLevel="0" collapsed="false">
      <c r="A415" s="18" t="str">
        <f aca="false">IF(ISNUMBER($J415),$J415,"")</f>
        <v/>
      </c>
      <c r="B415" s="18" t="str">
        <f aca="false">IFERROR(INDEX('SALES Raw'!$B$6:$B$4467,MATCH($J415,'SALES Raw'!$J$6:$J$4467,0)),IFERROR(INDEX('CEMIUP0.9 Raw'!$B$6:$B$1712,MATCH($J415,'CEMIUP0.9 Raw'!$B$6:$B$1712,0)),$J415))</f>
        <v>67800020</v>
      </c>
      <c r="C415" s="18" t="str">
        <f aca="false">IF(ISNUMBER($J415),IFERROR(INDEX('TRANS'!$C:$C,MATCH($J415,'TRANS'!$B:$B,0)),IFERROR(INDEX('Catalog'!$B:$B,MATCH($J415,'Catalog'!$A:$A,0)),$B415)),$B415)</f>
        <v>67800020</v>
      </c>
      <c r="D415" s="19" t="n">
        <f aca="false">SUMIFS('SALES Raw'!$C$6:$C$4467,'SALES Raw'!$J$6:$J$4467,$J415,'SALES Raw'!$K$6:$K$4467,"Y")+SUMIFS('CEMIUP0.9 Raw'!$D$6:$D$1712,'CEMIUP0.9 Raw'!$B$6:$B$1712,$J415,'CEMIUP0.9 Raw'!$H$6:$H$1712,"Y")</f>
        <v>47</v>
      </c>
      <c r="E415" s="19" t="n">
        <f aca="false">SUMIFS('SALES Raw'!$D$6:$D$4467,'SALES Raw'!$J$6:$J$4467,$J415,'SALES Raw'!$K$6:$K$4467,"Y")+SUMIFS('CEMIUP0.9 Raw'!$E$6:$E$1712,'CEMIUP0.9 Raw'!$B$6:$B$1712,$J415,'CEMIUP0.9 Raw'!$H$6:$H$1712,"Y")</f>
        <v>0.27</v>
      </c>
      <c r="F415" s="19" t="n">
        <f aca="false">SUMIFS('SALES Raw'!$E$6:$E$4467,'SALES Raw'!$J$6:$J$4467,$J415,'SALES Raw'!$K$6:$K$4467,"Y")*$H$4+SUMIFS('CEMIUP0.9 Raw'!$F$6:$F$1712,'CEMIUP0.9 Raw'!$B$6:$B$1712,$J415,'CEMIUP0.9 Raw'!$H$6:$H$1712,"Y")</f>
        <v>22.7368421052632</v>
      </c>
      <c r="G415" s="19" t="n">
        <f aca="false">SUMIFS('SALES Raw'!$F$6:$F$4467,'SALES Raw'!$J$6:$J$4467,$J415,'SALES Raw'!$K$6:$K$4467,"Y")*$H$4+SUMIFS('CEMIUP0.9 Raw'!$G$6:$G$1712,'CEMIUP0.9 Raw'!$B$6:$B$1712,$J415,'CEMIUP0.9 Raw'!$H$6:$H$1712,"Y")</f>
        <v>0.189473684210526</v>
      </c>
      <c r="H415" s="18" t="s">
        <v>46</v>
      </c>
      <c r="I415" s="18" t="s">
        <v>44</v>
      </c>
      <c r="J415" s="18" t="s">
        <v>104</v>
      </c>
    </row>
    <row r="416" customFormat="false" ht="15" hidden="false" customHeight="false" outlineLevel="0" collapsed="false">
      <c r="A416" s="18" t="n">
        <f aca="false">IF(ISNUMBER($J416),$J416,"")</f>
        <v>4411020</v>
      </c>
      <c r="B416" s="18" t="str">
        <f aca="false">IFERROR(INDEX('SALES Raw'!$B$6:$B$4467,MATCH($J416,'SALES Raw'!$J$6:$J$4467,0)),IFERROR(INDEX('CEMIUP0.9 Raw'!$B$6:$B$1712,MATCH($J416,'CEMIUP0.9 Raw'!$B$6:$B$1712,0)),$J416))</f>
        <v>211 XL</v>
      </c>
      <c r="C416" s="18" t="str">
        <f aca="false">IF(ISNUMBER($J416),IFERROR(INDEX('TRANS'!$C:$C,MATCH($J416,'TRANS'!$B:$B,0)),IFERROR(INDEX('Catalog'!$B:$B,MATCH($J416,'Catalog'!$A:$A,0)),$B416)),$B416)</f>
        <v>211XL כפפות לחץ</v>
      </c>
      <c r="D416" s="19" t="n">
        <f aca="false">SUMIFS('SALES Raw'!$C$6:$C$4467,'SALES Raw'!$J$6:$J$4467,$J416,'SALES Raw'!$K$6:$K$4467,"Y")+SUMIFS('CEMIUP0.9 Raw'!$D$6:$D$1712,'CEMIUP0.9 Raw'!$B$6:$B$1712,$J416,'CEMIUP0.9 Raw'!$H$6:$H$1712,"Y")</f>
        <v>27</v>
      </c>
      <c r="E416" s="19" t="n">
        <f aca="false">SUMIFS('SALES Raw'!$D$6:$D$4467,'SALES Raw'!$J$6:$J$4467,$J416,'SALES Raw'!$K$6:$K$4467,"Y")+SUMIFS('CEMIUP0.9 Raw'!$E$6:$E$1712,'CEMIUP0.9 Raw'!$B$6:$B$1712,$J416,'CEMIUP0.9 Raw'!$H$6:$H$1712,"Y")</f>
        <v>1137.054</v>
      </c>
      <c r="F416" s="19" t="n">
        <f aca="false">SUMIFS('SALES Raw'!$E$6:$E$4467,'SALES Raw'!$J$6:$J$4467,$J416,'SALES Raw'!$K$6:$K$4467,"Y")*$H$4+SUMIFS('CEMIUP0.9 Raw'!$F$6:$F$1712,'CEMIUP0.9 Raw'!$B$6:$B$1712,$J416,'CEMIUP0.9 Raw'!$H$6:$H$1712,"Y")</f>
        <v>22.7368421052632</v>
      </c>
      <c r="G416" s="19" t="n">
        <f aca="false">SUMIFS('SALES Raw'!$F$6:$F$4467,'SALES Raw'!$J$6:$J$4467,$J416,'SALES Raw'!$K$6:$K$4467,"Y")*$H$4+SUMIFS('CEMIUP0.9 Raw'!$G$6:$G$1712,'CEMIUP0.9 Raw'!$B$6:$B$1712,$J416,'CEMIUP0.9 Raw'!$H$6:$H$1712,"Y")</f>
        <v>1116.14905263158</v>
      </c>
      <c r="H416" s="18" t="s">
        <v>42</v>
      </c>
      <c r="I416" s="18" t="s">
        <v>43</v>
      </c>
      <c r="J416" s="18" t="n">
        <v>4411020</v>
      </c>
    </row>
    <row r="417" customFormat="false" ht="15" hidden="false" customHeight="false" outlineLevel="0" collapsed="false">
      <c r="A417" s="18" t="n">
        <f aca="false">IF(ISNUMBER($J417),$J417,"")</f>
        <v>4408015</v>
      </c>
      <c r="B417" s="18" t="str">
        <f aca="false">IFERROR(INDEX('SALES Raw'!$B$6:$B$4467,MATCH($J417,'SALES Raw'!$J$6:$J$4467,0)),IFERROR(INDEX('CEMIUP0.9 Raw'!$B$6:$B$1712,MATCH($J417,'CEMIUP0.9 Raw'!$B$6:$B$1712,0)),$J417))</f>
        <v>07AU L</v>
      </c>
      <c r="C417" s="18" t="str">
        <f aca="false">IF(ISNUMBER($J417),IFERROR(INDEX('TRANS'!$C:$C,MATCH($J417,'TRANS'!$B:$B,0)),IFERROR(INDEX('Catalog'!$B:$B,MATCH($J417,'Catalog'!$A:$A,0)),$B417)),$B417)</f>
        <v>07AU L ח.גב """"איטלקית"""" אורירית</v>
      </c>
      <c r="D417" s="19" t="n">
        <f aca="false">SUMIFS('SALES Raw'!$C$6:$C$4467,'SALES Raw'!$J$6:$J$4467,$J417,'SALES Raw'!$K$6:$K$4467,"Y")+SUMIFS('CEMIUP0.9 Raw'!$D$6:$D$1712,'CEMIUP0.9 Raw'!$B$6:$B$1712,$J417,'CEMIUP0.9 Raw'!$H$6:$H$1712,"Y")</f>
        <v>85</v>
      </c>
      <c r="E417" s="19" t="n">
        <f aca="false">SUMIFS('SALES Raw'!$D$6:$D$4467,'SALES Raw'!$J$6:$J$4467,$J417,'SALES Raw'!$K$6:$K$4467,"Y")+SUMIFS('CEMIUP0.9 Raw'!$E$6:$E$1712,'CEMIUP0.9 Raw'!$B$6:$B$1712,$J417,'CEMIUP0.9 Raw'!$H$6:$H$1712,"Y")</f>
        <v>16713.281</v>
      </c>
      <c r="F417" s="19" t="n">
        <f aca="false">SUMIFS('SALES Raw'!$E$6:$E$4467,'SALES Raw'!$J$6:$J$4467,$J417,'SALES Raw'!$K$6:$K$4467,"Y")*$H$4+SUMIFS('CEMIUP0.9 Raw'!$F$6:$F$1712,'CEMIUP0.9 Raw'!$B$6:$B$1712,$J417,'CEMIUP0.9 Raw'!$H$6:$H$1712,"Y")</f>
        <v>22.7368421052632</v>
      </c>
      <c r="G417" s="19" t="n">
        <f aca="false">SUMIFS('SALES Raw'!$F$6:$F$4467,'SALES Raw'!$J$6:$J$4467,$J417,'SALES Raw'!$K$6:$K$4467,"Y")*$H$4+SUMIFS('CEMIUP0.9 Raw'!$G$6:$G$1712,'CEMIUP0.9 Raw'!$B$6:$B$1712,$J417,'CEMIUP0.9 Raw'!$H$6:$H$1712,"Y")</f>
        <v>4606.12421052632</v>
      </c>
      <c r="H417" s="18" t="s">
        <v>48</v>
      </c>
      <c r="I417" s="18" t="s">
        <v>44</v>
      </c>
      <c r="J417" s="18" t="n">
        <v>4408015</v>
      </c>
    </row>
    <row r="418" customFormat="false" ht="15" hidden="false" customHeight="false" outlineLevel="0" collapsed="false">
      <c r="A418" s="18" t="n">
        <f aca="false">IF(ISNUMBER($J418),$J418,"")</f>
        <v>4420023</v>
      </c>
      <c r="B418" s="18" t="str">
        <f aca="false">IFERROR(INDEX('SALES Raw'!$B$6:$B$4467,MATCH($J418,'SALES Raw'!$J$6:$J$4467,0)),IFERROR(INDEX('CEMIUP0.9 Raw'!$B$6:$B$1712,MATCH($J418,'CEMIUP0.9 Raw'!$B$6:$B$1712,0)),$J418))</f>
        <v>LF371 0</v>
      </c>
      <c r="C418" s="18" t="str">
        <f aca="false">IF(ISNUMBER($J418),IFERROR(INDEX('TRANS'!$C:$C,MATCH($J418,'TRANS'!$B:$B,0)),IFERROR(INDEX('Catalog'!$B:$B,MATCH($J418,'Catalog'!$A:$A,0)),$B418)),$B418)</f>
        <v>LF371 ריפוד סיליקון לנעלי אצבע</v>
      </c>
      <c r="D418" s="19" t="n">
        <f aca="false">SUMIFS('SALES Raw'!$C$6:$C$4467,'SALES Raw'!$J$6:$J$4467,$J418,'SALES Raw'!$K$6:$K$4467,"Y")+SUMIFS('CEMIUP0.9 Raw'!$D$6:$D$1712,'CEMIUP0.9 Raw'!$B$6:$B$1712,$J418,'CEMIUP0.9 Raw'!$H$6:$H$1712,"Y")</f>
        <v>31</v>
      </c>
      <c r="E418" s="19" t="n">
        <f aca="false">SUMIFS('SALES Raw'!$D$6:$D$4467,'SALES Raw'!$J$6:$J$4467,$J418,'SALES Raw'!$K$6:$K$4467,"Y")+SUMIFS('CEMIUP0.9 Raw'!$E$6:$E$1712,'CEMIUP0.9 Raw'!$B$6:$B$1712,$J418,'CEMIUP0.9 Raw'!$H$6:$H$1712,"Y")</f>
        <v>821.729</v>
      </c>
      <c r="F418" s="19" t="n">
        <f aca="false">SUMIFS('SALES Raw'!$E$6:$E$4467,'SALES Raw'!$J$6:$J$4467,$J418,'SALES Raw'!$K$6:$K$4467,"Y")*$H$4+SUMIFS('CEMIUP0.9 Raw'!$F$6:$F$1712,'CEMIUP0.9 Raw'!$B$6:$B$1712,$J418,'CEMIUP0.9 Raw'!$H$6:$H$1712,"Y")</f>
        <v>22.7368421052632</v>
      </c>
      <c r="G418" s="19" t="n">
        <f aca="false">SUMIFS('SALES Raw'!$F$6:$F$4467,'SALES Raw'!$J$6:$J$4467,$J418,'SALES Raw'!$K$6:$K$4467,"Y")*$H$4+SUMIFS('CEMIUP0.9 Raw'!$G$6:$G$1712,'CEMIUP0.9 Raw'!$B$6:$B$1712,$J418,'CEMIUP0.9 Raw'!$H$6:$H$1712,"Y")</f>
        <v>643.933894736842</v>
      </c>
      <c r="H418" s="18" t="s">
        <v>54</v>
      </c>
      <c r="I418" s="18" t="s">
        <v>43</v>
      </c>
      <c r="J418" s="18" t="n">
        <v>4420023</v>
      </c>
    </row>
    <row r="419" customFormat="false" ht="15" hidden="false" customHeight="false" outlineLevel="0" collapsed="false">
      <c r="A419" s="18" t="n">
        <f aca="false">IF(ISNUMBER($J419),$J419,"")</f>
        <v>4413144</v>
      </c>
      <c r="B419" s="18" t="str">
        <f aca="false">IFERROR(INDEX('SALES Raw'!$B$6:$B$4467,MATCH($J419,'SALES Raw'!$J$6:$J$4467,0)),IFERROR(INDEX('CEMIUP0.9 Raw'!$B$6:$B$1712,MATCH($J419,'CEMIUP0.9 Raw'!$B$6:$B$1712,0)),$J419))</f>
        <v>95 XXL</v>
      </c>
      <c r="C419" s="18" t="str">
        <f aca="false">IF(ISNUMBER($J419),IFERROR(INDEX('TRANS'!$C:$C,MATCH($J419,'TRANS'!$B:$B,0)),IFERROR(INDEX('Catalog'!$B:$B,MATCH($J419,'Catalog'!$A:$A,0)),$B419)),$B419)</f>
        <v>95 XXL מגן מרפק רגיל לבן</v>
      </c>
      <c r="D419" s="19" t="n">
        <f aca="false">SUMIFS('SALES Raw'!$C$6:$C$4467,'SALES Raw'!$J$6:$J$4467,$J419,'SALES Raw'!$K$6:$K$4467,"Y")+SUMIFS('CEMIUP0.9 Raw'!$D$6:$D$1712,'CEMIUP0.9 Raw'!$B$6:$B$1712,$J419,'CEMIUP0.9 Raw'!$H$6:$H$1712,"Y")</f>
        <v>17</v>
      </c>
      <c r="E419" s="19" t="n">
        <f aca="false">SUMIFS('SALES Raw'!$D$6:$D$4467,'SALES Raw'!$J$6:$J$4467,$J419,'SALES Raw'!$K$6:$K$4467,"Y")+SUMIFS('CEMIUP0.9 Raw'!$E$6:$E$1712,'CEMIUP0.9 Raw'!$B$6:$B$1712,$J419,'CEMIUP0.9 Raw'!$H$6:$H$1712,"Y")</f>
        <v>339.018</v>
      </c>
      <c r="F419" s="19" t="n">
        <f aca="false">SUMIFS('SALES Raw'!$E$6:$E$4467,'SALES Raw'!$J$6:$J$4467,$J419,'SALES Raw'!$K$6:$K$4467,"Y")*$H$4+SUMIFS('CEMIUP0.9 Raw'!$F$6:$F$1712,'CEMIUP0.9 Raw'!$B$6:$B$1712,$J419,'CEMIUP0.9 Raw'!$H$6:$H$1712,"Y")</f>
        <v>21.4736842105263</v>
      </c>
      <c r="G419" s="19" t="n">
        <f aca="false">SUMIFS('SALES Raw'!$F$6:$F$4467,'SALES Raw'!$J$6:$J$4467,$J419,'SALES Raw'!$K$6:$K$4467,"Y")*$H$4+SUMIFS('CEMIUP0.9 Raw'!$G$6:$G$1712,'CEMIUP0.9 Raw'!$B$6:$B$1712,$J419,'CEMIUP0.9 Raw'!$H$6:$H$1712,"Y")</f>
        <v>455.560421052631</v>
      </c>
      <c r="H419" s="18" t="s">
        <v>48</v>
      </c>
      <c r="I419" s="18" t="s">
        <v>43</v>
      </c>
      <c r="J419" s="18" t="n">
        <v>4413144</v>
      </c>
    </row>
    <row r="420" customFormat="false" ht="15" hidden="false" customHeight="false" outlineLevel="0" collapsed="false">
      <c r="A420" s="18" t="str">
        <f aca="false">IF(ISNUMBER($J420),$J420,"")</f>
        <v/>
      </c>
      <c r="B420" s="18" t="str">
        <f aca="false">IFERROR(INDEX('SALES Raw'!$B$6:$B$4467,MATCH($J420,'SALES Raw'!$J$6:$J$4467,0)),IFERROR(INDEX('CEMIUP0.9 Raw'!$B$6:$B$1712,MATCH($J420,'CEMIUP0.9 Raw'!$B$6:$B$1712,0)),$J420))</f>
        <v>T03 L</v>
      </c>
      <c r="C420" s="18" t="str">
        <f aca="false">IF(ISNUMBER($J420),IFERROR(INDEX('TRANS'!$C:$C,MATCH($J420,'TRANS'!$B:$B,0)),IFERROR(INDEX('Catalog'!$B:$B,MATCH($J420,'Catalog'!$A:$A,0)),$B420)),$B420)</f>
        <v>T03 L</v>
      </c>
      <c r="D420" s="19" t="n">
        <f aca="false">SUMIFS('SALES Raw'!$C$6:$C$4467,'SALES Raw'!$J$6:$J$4467,$J420,'SALES Raw'!$K$6:$K$4467,"Y")+SUMIFS('CEMIUP0.9 Raw'!$D$6:$D$1712,'CEMIUP0.9 Raw'!$B$6:$B$1712,$J420,'CEMIUP0.9 Raw'!$H$6:$H$1712,"Y")</f>
        <v>6</v>
      </c>
      <c r="E420" s="19" t="n">
        <f aca="false">SUMIFS('SALES Raw'!$D$6:$D$4467,'SALES Raw'!$J$6:$J$4467,$J420,'SALES Raw'!$K$6:$K$4467,"Y")+SUMIFS('CEMIUP0.9 Raw'!$E$6:$E$1712,'CEMIUP0.9 Raw'!$B$6:$B$1712,$J420,'CEMIUP0.9 Raw'!$H$6:$H$1712,"Y")</f>
        <v>1004.43</v>
      </c>
      <c r="F420" s="19" t="n">
        <f aca="false">SUMIFS('SALES Raw'!$E$6:$E$4467,'SALES Raw'!$J$6:$J$4467,$J420,'SALES Raw'!$K$6:$K$4467,"Y")*$H$4+SUMIFS('CEMIUP0.9 Raw'!$F$6:$F$1712,'CEMIUP0.9 Raw'!$B$6:$B$1712,$J420,'CEMIUP0.9 Raw'!$H$6:$H$1712,"Y")</f>
        <v>21.4736842105263</v>
      </c>
      <c r="G420" s="19" t="n">
        <f aca="false">SUMIFS('SALES Raw'!$F$6:$F$4467,'SALES Raw'!$J$6:$J$4467,$J420,'SALES Raw'!$K$6:$K$4467,"Y")*$H$4+SUMIFS('CEMIUP0.9 Raw'!$G$6:$G$1712,'CEMIUP0.9 Raw'!$B$6:$B$1712,$J420,'CEMIUP0.9 Raw'!$H$6:$H$1712,"Y")</f>
        <v>3768.99789473684</v>
      </c>
      <c r="H420" s="18" t="s">
        <v>42</v>
      </c>
      <c r="I420" s="18" t="s">
        <v>46</v>
      </c>
      <c r="J420" s="18" t="s">
        <v>105</v>
      </c>
    </row>
    <row r="421" customFormat="false" ht="15" hidden="false" customHeight="false" outlineLevel="0" collapsed="false">
      <c r="A421" s="18" t="n">
        <f aca="false">IF(ISNUMBER($J421),$J421,"")</f>
        <v>4413175</v>
      </c>
      <c r="B421" s="18" t="str">
        <f aca="false">IFERROR(INDEX('SALES Raw'!$B$6:$B$4467,MATCH($J421,'SALES Raw'!$J$6:$J$4467,0)),IFERROR(INDEX('CEMIUP0.9 Raw'!$B$6:$B$1712,MATCH($J421,'CEMIUP0.9 Raw'!$B$6:$B$1712,0)),$J421))</f>
        <v>85+ M</v>
      </c>
      <c r="C421" s="18" t="str">
        <f aca="false">IF(ISNUMBER($J421),IFERROR(INDEX('TRANS'!$C:$C,MATCH($J421,'TRANS'!$B:$B,0)),IFERROR(INDEX('Catalog'!$B:$B,MATCH($J421,'Catalog'!$A:$A,0)),$B421)),$B421)</f>
        <v>85+ Mמתלה ליד)כיס(+רצועת חיזוק</v>
      </c>
      <c r="D421" s="19" t="n">
        <f aca="false">SUMIFS('SALES Raw'!$C$6:$C$4467,'SALES Raw'!$J$6:$J$4467,$J421,'SALES Raw'!$K$6:$K$4467,"Y")+SUMIFS('CEMIUP0.9 Raw'!$D$6:$D$1712,'CEMIUP0.9 Raw'!$B$6:$B$1712,$J421,'CEMIUP0.9 Raw'!$H$6:$H$1712,"Y")</f>
        <v>60</v>
      </c>
      <c r="E421" s="19" t="n">
        <f aca="false">SUMIFS('SALES Raw'!$D$6:$D$4467,'SALES Raw'!$J$6:$J$4467,$J421,'SALES Raw'!$K$6:$K$4467,"Y")+SUMIFS('CEMIUP0.9 Raw'!$E$6:$E$1712,'CEMIUP0.9 Raw'!$B$6:$B$1712,$J421,'CEMIUP0.9 Raw'!$H$6:$H$1712,"Y")</f>
        <v>5547.001</v>
      </c>
      <c r="F421" s="19" t="n">
        <f aca="false">SUMIFS('SALES Raw'!$E$6:$E$4467,'SALES Raw'!$J$6:$J$4467,$J421,'SALES Raw'!$K$6:$K$4467,"Y")*$H$4+SUMIFS('CEMIUP0.9 Raw'!$F$6:$F$1712,'CEMIUP0.9 Raw'!$B$6:$B$1712,$J421,'CEMIUP0.9 Raw'!$H$6:$H$1712,"Y")</f>
        <v>21.4736842105263</v>
      </c>
      <c r="G421" s="19" t="n">
        <f aca="false">SUMIFS('SALES Raw'!$F$6:$F$4467,'SALES Raw'!$J$6:$J$4467,$J421,'SALES Raw'!$K$6:$K$4467,"Y")*$H$4+SUMIFS('CEMIUP0.9 Raw'!$G$6:$G$1712,'CEMIUP0.9 Raw'!$B$6:$B$1712,$J421,'CEMIUP0.9 Raw'!$H$6:$H$1712,"Y")</f>
        <v>1884.92968421053</v>
      </c>
      <c r="H421" s="18" t="s">
        <v>44</v>
      </c>
      <c r="I421" s="18" t="s">
        <v>42</v>
      </c>
      <c r="J421" s="18" t="n">
        <v>4413175</v>
      </c>
    </row>
    <row r="422" customFormat="false" ht="15" hidden="false" customHeight="false" outlineLevel="0" collapsed="false">
      <c r="A422" s="18" t="n">
        <f aca="false">IF(ISNUMBER($J422),$J422,"")</f>
        <v>4408027</v>
      </c>
      <c r="B422" s="18" t="str">
        <f aca="false">IFERROR(INDEX('SALES Raw'!$B$6:$B$4467,MATCH($J422,'SALES Raw'!$J$6:$J$4467,0)),IFERROR(INDEX('CEMIUP0.9 Raw'!$B$6:$B$1712,MATCH($J422,'CEMIUP0.9 Raw'!$B$6:$B$1712,0)),$J422))</f>
        <v>10 L</v>
      </c>
      <c r="C422" s="18" t="str">
        <f aca="false">IF(ISNUMBER($J422),IFERROR(INDEX('TRANS'!$C:$C,MATCH($J422,'TRANS'!$B:$B,0)),IFERROR(INDEX('Catalog'!$B:$B,MATCH($J422,'Catalog'!$A:$A,0)),$B422)),$B422)</f>
        <v>10 L """"חגורת גב """"לומבו</v>
      </c>
      <c r="D422" s="19" t="n">
        <f aca="false">SUMIFS('SALES Raw'!$C$6:$C$4467,'SALES Raw'!$J$6:$J$4467,$J422,'SALES Raw'!$K$6:$K$4467,"Y")+SUMIFS('CEMIUP0.9 Raw'!$D$6:$D$1712,'CEMIUP0.9 Raw'!$B$6:$B$1712,$J422,'CEMIUP0.9 Raw'!$H$6:$H$1712,"Y")</f>
        <v>37</v>
      </c>
      <c r="E422" s="19" t="n">
        <f aca="false">SUMIFS('SALES Raw'!$D$6:$D$4467,'SALES Raw'!$J$6:$J$4467,$J422,'SALES Raw'!$K$6:$K$4467,"Y")+SUMIFS('CEMIUP0.9 Raw'!$E$6:$E$1712,'CEMIUP0.9 Raw'!$B$6:$B$1712,$J422,'CEMIUP0.9 Raw'!$H$6:$H$1712,"Y")</f>
        <v>5411.817</v>
      </c>
      <c r="F422" s="19" t="n">
        <f aca="false">SUMIFS('SALES Raw'!$E$6:$E$4467,'SALES Raw'!$J$6:$J$4467,$J422,'SALES Raw'!$K$6:$K$4467,"Y")*$H$4+SUMIFS('CEMIUP0.9 Raw'!$F$6:$F$1712,'CEMIUP0.9 Raw'!$B$6:$B$1712,$J422,'CEMIUP0.9 Raw'!$H$6:$H$1712,"Y")</f>
        <v>21.4736842105263</v>
      </c>
      <c r="G422" s="19" t="n">
        <f aca="false">SUMIFS('SALES Raw'!$F$6:$F$4467,'SALES Raw'!$J$6:$J$4467,$J422,'SALES Raw'!$K$6:$K$4467,"Y")*$H$4+SUMIFS('CEMIUP0.9 Raw'!$G$6:$G$1712,'CEMIUP0.9 Raw'!$B$6:$B$1712,$J422,'CEMIUP0.9 Raw'!$H$6:$H$1712,"Y")</f>
        <v>2907.82357894737</v>
      </c>
      <c r="H422" s="18" t="s">
        <v>43</v>
      </c>
      <c r="I422" s="18" t="s">
        <v>46</v>
      </c>
      <c r="J422" s="18" t="n">
        <v>4408027</v>
      </c>
    </row>
    <row r="423" customFormat="false" ht="15" hidden="false" customHeight="false" outlineLevel="0" collapsed="false">
      <c r="A423" s="18" t="n">
        <f aca="false">IF(ISNUMBER($J423),$J423,"")</f>
        <v>4419011</v>
      </c>
      <c r="B423" s="18" t="str">
        <f aca="false">IFERROR(INDEX('SALES Raw'!$B$6:$B$4467,MATCH($J423,'SALES Raw'!$J$6:$J$4467,0)),IFERROR(INDEX('CEMIUP0.9 Raw'!$B$6:$B$1712,MATCH($J423,'CEMIUP0.9 Raw'!$B$6:$B$1712,0)),$J423))</f>
        <v>239B-S-M</v>
      </c>
      <c r="C423" s="18" t="str">
        <f aca="false">IF(ISNUMBER($J423),IFERROR(INDEX('TRANS'!$C:$C,MATCH($J423,'TRANS'!$B:$B,0)),IFERROR(INDEX('Catalog'!$B:$B,MATCH($J423,'Catalog'!$A:$A,0)),$B423)),$B423)</f>
        <v>239B S-M STRAP4U</v>
      </c>
      <c r="D423" s="19" t="n">
        <f aca="false">SUMIFS('SALES Raw'!$C$6:$C$4467,'SALES Raw'!$J$6:$J$4467,$J423,'SALES Raw'!$K$6:$K$4467,"Y")+SUMIFS('CEMIUP0.9 Raw'!$D$6:$D$1712,'CEMIUP0.9 Raw'!$B$6:$B$1712,$J423,'CEMIUP0.9 Raw'!$H$6:$H$1712,"Y")</f>
        <v>135</v>
      </c>
      <c r="E423" s="19" t="n">
        <f aca="false">SUMIFS('SALES Raw'!$D$6:$D$4467,'SALES Raw'!$J$6:$J$4467,$J423,'SALES Raw'!$K$6:$K$4467,"Y")+SUMIFS('CEMIUP0.9 Raw'!$E$6:$E$1712,'CEMIUP0.9 Raw'!$B$6:$B$1712,$J423,'CEMIUP0.9 Raw'!$H$6:$H$1712,"Y")</f>
        <v>2343.863</v>
      </c>
      <c r="F423" s="19" t="n">
        <f aca="false">SUMIFS('SALES Raw'!$E$6:$E$4467,'SALES Raw'!$J$6:$J$4467,$J423,'SALES Raw'!$K$6:$K$4467,"Y")*$H$4+SUMIFS('CEMIUP0.9 Raw'!$F$6:$F$1712,'CEMIUP0.9 Raw'!$B$6:$B$1712,$J423,'CEMIUP0.9 Raw'!$H$6:$H$1712,"Y")</f>
        <v>21.4736842105263</v>
      </c>
      <c r="G423" s="19" t="n">
        <f aca="false">SUMIFS('SALES Raw'!$F$6:$F$4467,'SALES Raw'!$J$6:$J$4467,$J423,'SALES Raw'!$K$6:$K$4467,"Y")*$H$4+SUMIFS('CEMIUP0.9 Raw'!$G$6:$G$1712,'CEMIUP0.9 Raw'!$B$6:$B$1712,$J423,'CEMIUP0.9 Raw'!$H$6:$H$1712,"Y")</f>
        <v>641.861052631579</v>
      </c>
      <c r="H423" s="18" t="s">
        <v>43</v>
      </c>
      <c r="I423" s="18" t="s">
        <v>42</v>
      </c>
      <c r="J423" s="18" t="n">
        <v>4419011</v>
      </c>
    </row>
    <row r="424" customFormat="false" ht="15" hidden="false" customHeight="false" outlineLevel="0" collapsed="false">
      <c r="A424" s="18" t="str">
        <f aca="false">IF(ISNUMBER($J424),$J424,"")</f>
        <v/>
      </c>
      <c r="B424" s="18" t="str">
        <f aca="false">IFERROR(INDEX('SALES Raw'!$B$6:$B$4467,MATCH($J424,'SALES Raw'!$J$6:$J$4467,0)),IFERROR(INDEX('CEMIUP0.9 Raw'!$B$6:$B$1712,MATCH($J424,'CEMIUP0.9 Raw'!$B$6:$B$1712,0)),$J424))</f>
        <v>4022 רצועת ""פיקה""+כרית</v>
      </c>
      <c r="C424" s="18" t="str">
        <f aca="false">IF(ISNUMBER($J424),IFERROR(INDEX('TRANS'!$C:$C,MATCH($J424,'TRANS'!$B:$B,0)),IFERROR(INDEX('Catalog'!$B:$B,MATCH($J424,'Catalog'!$A:$A,0)),$B424)),$B424)</f>
        <v>4022 רצועת ""פיקה""+כרית</v>
      </c>
      <c r="D424" s="19" t="n">
        <f aca="false">SUMIFS('SALES Raw'!$C$6:$C$4467,'SALES Raw'!$J$6:$J$4467,$J424,'SALES Raw'!$K$6:$K$4467,"Y")+SUMIFS('CEMIUP0.9 Raw'!$D$6:$D$1712,'CEMIUP0.9 Raw'!$B$6:$B$1712,$J424,'CEMIUP0.9 Raw'!$H$6:$H$1712,"Y")</f>
        <v>0</v>
      </c>
      <c r="E424" s="19" t="n">
        <f aca="false">SUMIFS('SALES Raw'!$D$6:$D$4467,'SALES Raw'!$J$6:$J$4467,$J424,'SALES Raw'!$K$6:$K$4467,"Y")+SUMIFS('CEMIUP0.9 Raw'!$E$6:$E$1712,'CEMIUP0.9 Raw'!$B$6:$B$1712,$J424,'CEMIUP0.9 Raw'!$H$6:$H$1712,"Y")</f>
        <v>0</v>
      </c>
      <c r="F424" s="19" t="n">
        <f aca="false">SUMIFS('SALES Raw'!$E$6:$E$4467,'SALES Raw'!$J$6:$J$4467,$J424,'SALES Raw'!$K$6:$K$4467,"Y")*$H$4+SUMIFS('CEMIUP0.9 Raw'!$F$6:$F$1712,'CEMIUP0.9 Raw'!$B$6:$B$1712,$J424,'CEMIUP0.9 Raw'!$H$6:$H$1712,"Y")</f>
        <v>20.2105263157895</v>
      </c>
      <c r="G424" s="19" t="n">
        <f aca="false">SUMIFS('SALES Raw'!$F$6:$F$4467,'SALES Raw'!$J$6:$J$4467,$J424,'SALES Raw'!$K$6:$K$4467,"Y")*$H$4+SUMIFS('CEMIUP0.9 Raw'!$G$6:$G$1712,'CEMIUP0.9 Raw'!$B$6:$B$1712,$J424,'CEMIUP0.9 Raw'!$H$6:$H$1712,"Y")</f>
        <v>1100.16126315789</v>
      </c>
      <c r="H424" s="18" t="s">
        <v>48</v>
      </c>
      <c r="I424" s="18"/>
      <c r="J424" s="18" t="s">
        <v>106</v>
      </c>
    </row>
    <row r="425" customFormat="false" ht="15" hidden="false" customHeight="false" outlineLevel="0" collapsed="false">
      <c r="A425" s="18" t="str">
        <f aca="false">IF(ISNUMBER($J425),$J425,"")</f>
        <v/>
      </c>
      <c r="B425" s="18" t="str">
        <f aca="false">IFERROR(INDEX('SALES Raw'!$B$6:$B$4467,MATCH($J425,'SALES Raw'!$J$6:$J$4467,0)),IFERROR(INDEX('CEMIUP0.9 Raw'!$B$6:$B$1712,MATCH($J425,'CEMIUP0.9 Raw'!$B$6:$B$1712,0)),$J425))</f>
        <v>390G-39-42</v>
      </c>
      <c r="C425" s="18" t="str">
        <f aca="false">IF(ISNUMBER($J425),IFERROR(INDEX('TRANS'!$C:$C,MATCH($J425,'TRANS'!$B:$B,0)),IFERROR(INDEX('Catalog'!$B:$B,MATCH($J425,'Catalog'!$A:$A,0)),$B425)),$B425)</f>
        <v>390G-39-42</v>
      </c>
      <c r="D425" s="19" t="n">
        <f aca="false">SUMIFS('SALES Raw'!$C$6:$C$4467,'SALES Raw'!$J$6:$J$4467,$J425,'SALES Raw'!$K$6:$K$4467,"Y")+SUMIFS('CEMIUP0.9 Raw'!$D$6:$D$1712,'CEMIUP0.9 Raw'!$B$6:$B$1712,$J425,'CEMIUP0.9 Raw'!$H$6:$H$1712,"Y")</f>
        <v>65</v>
      </c>
      <c r="E425" s="19" t="n">
        <f aca="false">SUMIFS('SALES Raw'!$D$6:$D$4467,'SALES Raw'!$J$6:$J$4467,$J425,'SALES Raw'!$K$6:$K$4467,"Y")+SUMIFS('CEMIUP0.9 Raw'!$E$6:$E$1712,'CEMIUP0.9 Raw'!$B$6:$B$1712,$J425,'CEMIUP0.9 Raw'!$H$6:$H$1712,"Y")</f>
        <v>1988.66</v>
      </c>
      <c r="F425" s="19" t="n">
        <f aca="false">SUMIFS('SALES Raw'!$E$6:$E$4467,'SALES Raw'!$J$6:$J$4467,$J425,'SALES Raw'!$K$6:$K$4467,"Y")*$H$4+SUMIFS('CEMIUP0.9 Raw'!$F$6:$F$1712,'CEMIUP0.9 Raw'!$B$6:$B$1712,$J425,'CEMIUP0.9 Raw'!$H$6:$H$1712,"Y")</f>
        <v>20.2105263157895</v>
      </c>
      <c r="G425" s="19" t="n">
        <f aca="false">SUMIFS('SALES Raw'!$F$6:$F$4467,'SALES Raw'!$J$6:$J$4467,$J425,'SALES Raw'!$K$6:$K$4467,"Y")*$H$4+SUMIFS('CEMIUP0.9 Raw'!$G$6:$G$1712,'CEMIUP0.9 Raw'!$B$6:$B$1712,$J425,'CEMIUP0.9 Raw'!$H$6:$H$1712,"Y")</f>
        <v>689.962105263158</v>
      </c>
      <c r="H425" s="18" t="s">
        <v>48</v>
      </c>
      <c r="I425" s="18" t="s">
        <v>42</v>
      </c>
      <c r="J425" s="18" t="s">
        <v>107</v>
      </c>
    </row>
    <row r="426" customFormat="false" ht="15" hidden="false" customHeight="false" outlineLevel="0" collapsed="false">
      <c r="A426" s="18" t="n">
        <f aca="false">IF(ISNUMBER($J426),$J426,"")</f>
        <v>4413426</v>
      </c>
      <c r="B426" s="18" t="str">
        <f aca="false">IFERROR(INDEX('SALES Raw'!$B$6:$B$4467,MATCH($J426,'SALES Raw'!$J$6:$J$4467,0)),IFERROR(INDEX('CEMIUP0.9 Raw'!$B$6:$B$1712,MATCH($J426,'CEMIUP0.9 Raw'!$B$6:$B$1712,0)),$J426))</f>
        <v>SC35R L</v>
      </c>
      <c r="C426" s="18" t="str">
        <f aca="false">IF(ISNUMBER($J426),IFERROR(INDEX('TRANS'!$C:$C,MATCH($J426,'TRANS'!$B:$B,0)),IFERROR(INDEX('Catalog'!$B:$B,MATCH($J426,'Catalog'!$A:$A,0)),$B426)),$B426)</f>
        <v>SC35R  L מגן קרסול ימין</v>
      </c>
      <c r="D426" s="19" t="n">
        <f aca="false">SUMIFS('SALES Raw'!$C$6:$C$4467,'SALES Raw'!$J$6:$J$4467,$J426,'SALES Raw'!$K$6:$K$4467,"Y")+SUMIFS('CEMIUP0.9 Raw'!$D$6:$D$1712,'CEMIUP0.9 Raw'!$B$6:$B$1712,$J426,'CEMIUP0.9 Raw'!$H$6:$H$1712,"Y")</f>
        <v>33</v>
      </c>
      <c r="E426" s="19" t="n">
        <f aca="false">SUMIFS('SALES Raw'!$D$6:$D$4467,'SALES Raw'!$J$6:$J$4467,$J426,'SALES Raw'!$K$6:$K$4467,"Y")+SUMIFS('CEMIUP0.9 Raw'!$E$6:$E$1712,'CEMIUP0.9 Raw'!$B$6:$B$1712,$J426,'CEMIUP0.9 Raw'!$H$6:$H$1712,"Y")</f>
        <v>3678.042</v>
      </c>
      <c r="F426" s="19" t="n">
        <f aca="false">SUMIFS('SALES Raw'!$E$6:$E$4467,'SALES Raw'!$J$6:$J$4467,$J426,'SALES Raw'!$K$6:$K$4467,"Y")*$H$4+SUMIFS('CEMIUP0.9 Raw'!$F$6:$F$1712,'CEMIUP0.9 Raw'!$B$6:$B$1712,$J426,'CEMIUP0.9 Raw'!$H$6:$H$1712,"Y")</f>
        <v>20.2105263157895</v>
      </c>
      <c r="G426" s="19" t="n">
        <f aca="false">SUMIFS('SALES Raw'!$F$6:$F$4467,'SALES Raw'!$J$6:$J$4467,$J426,'SALES Raw'!$K$6:$K$4467,"Y")*$H$4+SUMIFS('CEMIUP0.9 Raw'!$G$6:$G$1712,'CEMIUP0.9 Raw'!$B$6:$B$1712,$J426,'CEMIUP0.9 Raw'!$H$6:$H$1712,"Y")</f>
        <v>2334.59621052632</v>
      </c>
      <c r="H426" s="18" t="s">
        <v>42</v>
      </c>
      <c r="I426" s="18" t="s">
        <v>43</v>
      </c>
      <c r="J426" s="18" t="n">
        <v>4413426</v>
      </c>
    </row>
    <row r="427" customFormat="false" ht="15" hidden="false" customHeight="false" outlineLevel="0" collapsed="false">
      <c r="A427" s="18" t="n">
        <f aca="false">IF(ISNUMBER($J427),$J427,"")</f>
        <v>4413418</v>
      </c>
      <c r="B427" s="18" t="str">
        <f aca="false">IFERROR(INDEX('SALES Raw'!$B$6:$B$4467,MATCH($J427,'SALES Raw'!$J$6:$J$4467,0)),IFERROR(INDEX('CEMIUP0.9 Raw'!$B$6:$B$1712,MATCH($J427,'CEMIUP0.9 Raw'!$B$6:$B$1712,0)),$J427))</f>
        <v>SC39 XL</v>
      </c>
      <c r="C427" s="18" t="str">
        <f aca="false">IF(ISNUMBER($J427),IFERROR(INDEX('TRANS'!$C:$C,MATCH($J427,'TRANS'!$B:$B,0)),IFERROR(INDEX('Catalog'!$B:$B,MATCH($J427,'Catalog'!$A:$A,0)),$B427)),$B427)</f>
        <v>SC39 XL מגן שוק</v>
      </c>
      <c r="D427" s="19" t="n">
        <f aca="false">SUMIFS('SALES Raw'!$C$6:$C$4467,'SALES Raw'!$J$6:$J$4467,$J427,'SALES Raw'!$K$6:$K$4467,"Y")+SUMIFS('CEMIUP0.9 Raw'!$D$6:$D$1712,'CEMIUP0.9 Raw'!$B$6:$B$1712,$J427,'CEMIUP0.9 Raw'!$H$6:$H$1712,"Y")</f>
        <v>16</v>
      </c>
      <c r="E427" s="19" t="n">
        <f aca="false">SUMIFS('SALES Raw'!$D$6:$D$4467,'SALES Raw'!$J$6:$J$4467,$J427,'SALES Raw'!$K$6:$K$4467,"Y")+SUMIFS('CEMIUP0.9 Raw'!$E$6:$E$1712,'CEMIUP0.9 Raw'!$B$6:$B$1712,$J427,'CEMIUP0.9 Raw'!$H$6:$H$1712,"Y")</f>
        <v>2887.661</v>
      </c>
      <c r="F427" s="19" t="n">
        <f aca="false">SUMIFS('SALES Raw'!$E$6:$E$4467,'SALES Raw'!$J$6:$J$4467,$J427,'SALES Raw'!$K$6:$K$4467,"Y")*$H$4+SUMIFS('CEMIUP0.9 Raw'!$F$6:$F$1712,'CEMIUP0.9 Raw'!$B$6:$B$1712,$J427,'CEMIUP0.9 Raw'!$H$6:$H$1712,"Y")</f>
        <v>20.2105263157895</v>
      </c>
      <c r="G427" s="19" t="n">
        <f aca="false">SUMIFS('SALES Raw'!$F$6:$F$4467,'SALES Raw'!$J$6:$J$4467,$J427,'SALES Raw'!$K$6:$K$4467,"Y")*$H$4+SUMIFS('CEMIUP0.9 Raw'!$G$6:$G$1712,'CEMIUP0.9 Raw'!$B$6:$B$1712,$J427,'CEMIUP0.9 Raw'!$H$6:$H$1712,"Y")</f>
        <v>4341.744</v>
      </c>
      <c r="H427" s="18" t="s">
        <v>42</v>
      </c>
      <c r="I427" s="18" t="s">
        <v>43</v>
      </c>
      <c r="J427" s="18" t="n">
        <v>4413418</v>
      </c>
    </row>
    <row r="428" customFormat="false" ht="15" hidden="false" customHeight="false" outlineLevel="0" collapsed="false">
      <c r="A428" s="18" t="n">
        <f aca="false">IF(ISNUMBER($J428),$J428,"")</f>
        <v>4403006</v>
      </c>
      <c r="B428" s="18" t="str">
        <f aca="false">IFERROR(INDEX('SALES Raw'!$B$6:$B$4467,MATCH($J428,'SALES Raw'!$J$6:$J$4467,0)),IFERROR(INDEX('CEMIUP0.9 Raw'!$B$6:$B$1712,MATCH($J428,'CEMIUP0.9 Raw'!$B$6:$B$1712,0)),$J428))</f>
        <v>390W-35-38</v>
      </c>
      <c r="C428" s="18" t="str">
        <f aca="false">IF(ISNUMBER($J428),IFERROR(INDEX('TRANS'!$C:$C,MATCH($J428,'TRANS'!$B:$B,0)),IFERROR(INDEX('Catalog'!$B:$B,MATCH($J428,'Catalog'!$A:$A,0)),$B428)),$B428)</f>
        <v>390W גרב כסף לסכרתיים לבן35-38</v>
      </c>
      <c r="D428" s="19" t="n">
        <f aca="false">SUMIFS('SALES Raw'!$C$6:$C$4467,'SALES Raw'!$J$6:$J$4467,$J428,'SALES Raw'!$K$6:$K$4467,"Y")+SUMIFS('CEMIUP0.9 Raw'!$D$6:$D$1712,'CEMIUP0.9 Raw'!$B$6:$B$1712,$J428,'CEMIUP0.9 Raw'!$H$6:$H$1712,"Y")</f>
        <v>35</v>
      </c>
      <c r="E428" s="19" t="n">
        <f aca="false">SUMIFS('SALES Raw'!$D$6:$D$4467,'SALES Raw'!$J$6:$J$4467,$J428,'SALES Raw'!$K$6:$K$4467,"Y")+SUMIFS('CEMIUP0.9 Raw'!$E$6:$E$1712,'CEMIUP0.9 Raw'!$B$6:$B$1712,$J428,'CEMIUP0.9 Raw'!$H$6:$H$1712,"Y")</f>
        <v>1149.83</v>
      </c>
      <c r="F428" s="19" t="n">
        <f aca="false">SUMIFS('SALES Raw'!$E$6:$E$4467,'SALES Raw'!$J$6:$J$4467,$J428,'SALES Raw'!$K$6:$K$4467,"Y")*$H$4+SUMIFS('CEMIUP0.9 Raw'!$F$6:$F$1712,'CEMIUP0.9 Raw'!$B$6:$B$1712,$J428,'CEMIUP0.9 Raw'!$H$6:$H$1712,"Y")</f>
        <v>20.2105263157895</v>
      </c>
      <c r="G428" s="19" t="n">
        <f aca="false">SUMIFS('SALES Raw'!$F$6:$F$4467,'SALES Raw'!$J$6:$J$4467,$J428,'SALES Raw'!$K$6:$K$4467,"Y")*$H$4+SUMIFS('CEMIUP0.9 Raw'!$G$6:$G$1712,'CEMIUP0.9 Raw'!$B$6:$B$1712,$J428,'CEMIUP0.9 Raw'!$H$6:$H$1712,"Y")</f>
        <v>603.515368421053</v>
      </c>
      <c r="H428" s="18" t="s">
        <v>43</v>
      </c>
      <c r="I428" s="18" t="s">
        <v>48</v>
      </c>
      <c r="J428" s="18" t="n">
        <v>4403006</v>
      </c>
    </row>
    <row r="429" customFormat="false" ht="15" hidden="false" customHeight="false" outlineLevel="0" collapsed="false">
      <c r="A429" s="18" t="str">
        <f aca="false">IF(ISNUMBER($J429),$J429,"")</f>
        <v/>
      </c>
      <c r="B429" s="18" t="str">
        <f aca="false">IFERROR(INDEX('SALES Raw'!$B$6:$B$4467,MATCH($J429,'SALES Raw'!$J$6:$J$4467,0)),IFERROR(INDEX('CEMIUP0.9 Raw'!$B$6:$B$1712,MATCH($J429,'CEMIUP0.9 Raw'!$B$6:$B$1712,0)),$J429))</f>
        <v>305-43-44</v>
      </c>
      <c r="C429" s="18" t="str">
        <f aca="false">IF(ISNUMBER($J429),IFERROR(INDEX('TRANS'!$C:$C,MATCH($J429,'TRANS'!$B:$B,0)),IFERROR(INDEX('Catalog'!$B:$B,MATCH($J429,'Catalog'!$A:$A,0)),$B429)),$B429)</f>
        <v>305-43-44</v>
      </c>
      <c r="D429" s="19" t="n">
        <f aca="false">SUMIFS('SALES Raw'!$C$6:$C$4467,'SALES Raw'!$J$6:$J$4467,$J429,'SALES Raw'!$K$6:$K$4467,"Y")+SUMIFS('CEMIUP0.9 Raw'!$D$6:$D$1712,'CEMIUP0.9 Raw'!$B$6:$B$1712,$J429,'CEMIUP0.9 Raw'!$H$6:$H$1712,"Y")</f>
        <v>0</v>
      </c>
      <c r="E429" s="19" t="n">
        <f aca="false">SUMIFS('SALES Raw'!$D$6:$D$4467,'SALES Raw'!$J$6:$J$4467,$J429,'SALES Raw'!$K$6:$K$4467,"Y")+SUMIFS('CEMIUP0.9 Raw'!$E$6:$E$1712,'CEMIUP0.9 Raw'!$B$6:$B$1712,$J429,'CEMIUP0.9 Raw'!$H$6:$H$1712,"Y")</f>
        <v>0</v>
      </c>
      <c r="F429" s="19" t="n">
        <f aca="false">SUMIFS('SALES Raw'!$E$6:$E$4467,'SALES Raw'!$J$6:$J$4467,$J429,'SALES Raw'!$K$6:$K$4467,"Y")*$H$4+SUMIFS('CEMIUP0.9 Raw'!$F$6:$F$1712,'CEMIUP0.9 Raw'!$B$6:$B$1712,$J429,'CEMIUP0.9 Raw'!$H$6:$H$1712,"Y")</f>
        <v>20.2105263157895</v>
      </c>
      <c r="G429" s="19" t="n">
        <f aca="false">SUMIFS('SALES Raw'!$F$6:$F$4467,'SALES Raw'!$J$6:$J$4467,$J429,'SALES Raw'!$K$6:$K$4467,"Y")*$H$4+SUMIFS('CEMIUP0.9 Raw'!$G$6:$G$1712,'CEMIUP0.9 Raw'!$B$6:$B$1712,$J429,'CEMIUP0.9 Raw'!$H$6:$H$1712,"Y")</f>
        <v>3188.41263157895</v>
      </c>
      <c r="H429" s="18" t="s">
        <v>42</v>
      </c>
      <c r="I429" s="18"/>
      <c r="J429" s="18" t="s">
        <v>108</v>
      </c>
    </row>
    <row r="430" customFormat="false" ht="15" hidden="false" customHeight="false" outlineLevel="0" collapsed="false">
      <c r="A430" s="18" t="n">
        <f aca="false">IF(ISNUMBER($J430),$J430,"")</f>
        <v>4413118</v>
      </c>
      <c r="B430" s="18" t="str">
        <f aca="false">IFERROR(INDEX('SALES Raw'!$B$6:$B$4467,MATCH($J430,'SALES Raw'!$J$6:$J$4467,0)),IFERROR(INDEX('CEMIUP0.9 Raw'!$B$6:$B$1712,MATCH($J430,'CEMIUP0.9 Raw'!$B$6:$B$1712,0)),$J430))</f>
        <v>50 M</v>
      </c>
      <c r="C430" s="18" t="str">
        <f aca="false">IF(ISNUMBER($J430),IFERROR(INDEX('TRANS'!$C:$C,MATCH($J430,'TRANS'!$B:$B,0)),IFERROR(INDEX('Catalog'!$B:$B,MATCH($J430,'Catalog'!$A:$A,0)),$B430)),$B430)</f>
        <v>50 M מתלה אשכים לאחר ניתוח</v>
      </c>
      <c r="D430" s="19" t="n">
        <f aca="false">SUMIFS('SALES Raw'!$C$6:$C$4467,'SALES Raw'!$J$6:$J$4467,$J430,'SALES Raw'!$K$6:$K$4467,"Y")+SUMIFS('CEMIUP0.9 Raw'!$D$6:$D$1712,'CEMIUP0.9 Raw'!$B$6:$B$1712,$J430,'CEMIUP0.9 Raw'!$H$6:$H$1712,"Y")</f>
        <v>38</v>
      </c>
      <c r="E430" s="19" t="n">
        <f aca="false">SUMIFS('SALES Raw'!$D$6:$D$4467,'SALES Raw'!$J$6:$J$4467,$J430,'SALES Raw'!$K$6:$K$4467,"Y")+SUMIFS('CEMIUP0.9 Raw'!$E$6:$E$1712,'CEMIUP0.9 Raw'!$B$6:$B$1712,$J430,'CEMIUP0.9 Raw'!$H$6:$H$1712,"Y")</f>
        <v>4606.612</v>
      </c>
      <c r="F430" s="19" t="n">
        <f aca="false">SUMIFS('SALES Raw'!$E$6:$E$4467,'SALES Raw'!$J$6:$J$4467,$J430,'SALES Raw'!$K$6:$K$4467,"Y")*$H$4+SUMIFS('CEMIUP0.9 Raw'!$F$6:$F$1712,'CEMIUP0.9 Raw'!$B$6:$B$1712,$J430,'CEMIUP0.9 Raw'!$H$6:$H$1712,"Y")</f>
        <v>20.2105263157895</v>
      </c>
      <c r="G430" s="19" t="n">
        <f aca="false">SUMIFS('SALES Raw'!$F$6:$F$4467,'SALES Raw'!$J$6:$J$4467,$J430,'SALES Raw'!$K$6:$K$4467,"Y")*$H$4+SUMIFS('CEMIUP0.9 Raw'!$G$6:$G$1712,'CEMIUP0.9 Raw'!$B$6:$B$1712,$J430,'CEMIUP0.9 Raw'!$H$6:$H$1712,"Y")</f>
        <v>2952.12631578947</v>
      </c>
      <c r="H430" s="18" t="s">
        <v>42</v>
      </c>
      <c r="I430" s="18" t="s">
        <v>43</v>
      </c>
      <c r="J430" s="18" t="n">
        <v>4413118</v>
      </c>
    </row>
    <row r="431" customFormat="false" ht="15" hidden="false" customHeight="false" outlineLevel="0" collapsed="false">
      <c r="A431" s="18" t="n">
        <f aca="false">IF(ISNUMBER($J431),$J431,"")</f>
        <v>4415019</v>
      </c>
      <c r="B431" s="18" t="str">
        <f aca="false">IFERROR(INDEX('SALES Raw'!$B$6:$B$4467,MATCH($J431,'SALES Raw'!$J$6:$J$4467,0)),IFERROR(INDEX('CEMIUP0.9 Raw'!$B$6:$B$1712,MATCH($J431,'CEMIUP0.9 Raw'!$B$6:$B$1712,0)),$J431))</f>
        <v>333 0</v>
      </c>
      <c r="C431" s="18" t="str">
        <f aca="false">IF(ISNUMBER($J431),IFERROR(INDEX('TRANS'!$C:$C,MATCH($J431,'TRANS'!$B:$B,0)),IFERROR(INDEX('Catalog'!$B:$B,MATCH($J431,'Catalog'!$A:$A,0)),$B431)),$B431)</f>
        <v>333 סד לקרסול עם כריות אויר</v>
      </c>
      <c r="D431" s="19" t="n">
        <f aca="false">SUMIFS('SALES Raw'!$C$6:$C$4467,'SALES Raw'!$J$6:$J$4467,$J431,'SALES Raw'!$K$6:$K$4467,"Y")+SUMIFS('CEMIUP0.9 Raw'!$D$6:$D$1712,'CEMIUP0.9 Raw'!$B$6:$B$1712,$J431,'CEMIUP0.9 Raw'!$H$6:$H$1712,"Y")</f>
        <v>72</v>
      </c>
      <c r="E431" s="19" t="n">
        <f aca="false">SUMIFS('SALES Raw'!$D$6:$D$4467,'SALES Raw'!$J$6:$J$4467,$J431,'SALES Raw'!$K$6:$K$4467,"Y")+SUMIFS('CEMIUP0.9 Raw'!$E$6:$E$1712,'CEMIUP0.9 Raw'!$B$6:$B$1712,$J431,'CEMIUP0.9 Raw'!$H$6:$H$1712,"Y")</f>
        <v>7942.858</v>
      </c>
      <c r="F431" s="19" t="n">
        <f aca="false">SUMIFS('SALES Raw'!$E$6:$E$4467,'SALES Raw'!$J$6:$J$4467,$J431,'SALES Raw'!$K$6:$K$4467,"Y")*$H$4+SUMIFS('CEMIUP0.9 Raw'!$F$6:$F$1712,'CEMIUP0.9 Raw'!$B$6:$B$1712,$J431,'CEMIUP0.9 Raw'!$H$6:$H$1712,"Y")</f>
        <v>18.9473684210527</v>
      </c>
      <c r="G431" s="19" t="n">
        <f aca="false">SUMIFS('SALES Raw'!$F$6:$F$4467,'SALES Raw'!$J$6:$J$4467,$J431,'SALES Raw'!$K$6:$K$4467,"Y")*$H$4+SUMIFS('CEMIUP0.9 Raw'!$G$6:$G$1712,'CEMIUP0.9 Raw'!$B$6:$B$1712,$J431,'CEMIUP0.9 Raw'!$H$6:$H$1712,"Y")</f>
        <v>1862.9772631579</v>
      </c>
      <c r="H431" s="18" t="s">
        <v>43</v>
      </c>
      <c r="I431" s="18" t="s">
        <v>48</v>
      </c>
      <c r="J431" s="18" t="n">
        <v>4415019</v>
      </c>
    </row>
    <row r="432" customFormat="false" ht="15" hidden="false" customHeight="false" outlineLevel="0" collapsed="false">
      <c r="A432" s="18" t="n">
        <f aca="false">IF(ISNUMBER($J432),$J432,"")</f>
        <v>4408082</v>
      </c>
      <c r="B432" s="18" t="str">
        <f aca="false">IFERROR(INDEX('SALES Raw'!$B$6:$B$4467,MATCH($J432,'SALES Raw'!$J$6:$J$4467,0)),IFERROR(INDEX('CEMIUP0.9 Raw'!$B$6:$B$1712,MATCH($J432,'CEMIUP0.9 Raw'!$B$6:$B$1712,0)),$J432))</f>
        <v>59R XL</v>
      </c>
      <c r="C432" s="18" t="str">
        <f aca="false">IF(ISNUMBER($J432),IFERROR(INDEX('TRANS'!$C:$C,MATCH($J432,'TRANS'!$B:$B,0)),IFERROR(INDEX('Catalog'!$B:$B,MATCH($J432,'Catalog'!$A:$A,0)),$B432)),$B432)</f>
        <v>59R XL חגורת שבר לצד ימין</v>
      </c>
      <c r="D432" s="19" t="n">
        <f aca="false">SUMIFS('SALES Raw'!$C$6:$C$4467,'SALES Raw'!$J$6:$J$4467,$J432,'SALES Raw'!$K$6:$K$4467,"Y")+SUMIFS('CEMIUP0.9 Raw'!$D$6:$D$1712,'CEMIUP0.9 Raw'!$B$6:$B$1712,$J432,'CEMIUP0.9 Raw'!$H$6:$H$1712,"Y")</f>
        <v>23</v>
      </c>
      <c r="E432" s="19" t="n">
        <f aca="false">SUMIFS('SALES Raw'!$D$6:$D$4467,'SALES Raw'!$J$6:$J$4467,$J432,'SALES Raw'!$K$6:$K$4467,"Y")+SUMIFS('CEMIUP0.9 Raw'!$E$6:$E$1712,'CEMIUP0.9 Raw'!$B$6:$B$1712,$J432,'CEMIUP0.9 Raw'!$H$6:$H$1712,"Y")</f>
        <v>4171.679</v>
      </c>
      <c r="F432" s="19" t="n">
        <f aca="false">SUMIFS('SALES Raw'!$E$6:$E$4467,'SALES Raw'!$J$6:$J$4467,$J432,'SALES Raw'!$K$6:$K$4467,"Y")*$H$4+SUMIFS('CEMIUP0.9 Raw'!$F$6:$F$1712,'CEMIUP0.9 Raw'!$B$6:$B$1712,$J432,'CEMIUP0.9 Raw'!$H$6:$H$1712,"Y")</f>
        <v>18.9473684210526</v>
      </c>
      <c r="G432" s="19" t="n">
        <f aca="false">SUMIFS('SALES Raw'!$F$6:$F$4467,'SALES Raw'!$J$6:$J$4467,$J432,'SALES Raw'!$K$6:$K$4467,"Y")*$H$4+SUMIFS('CEMIUP0.9 Raw'!$G$6:$G$1712,'CEMIUP0.9 Raw'!$B$6:$B$1712,$J432,'CEMIUP0.9 Raw'!$H$6:$H$1712,"Y")</f>
        <v>3381.08084210527</v>
      </c>
      <c r="H432" s="18" t="s">
        <v>43</v>
      </c>
      <c r="I432" s="18" t="s">
        <v>44</v>
      </c>
      <c r="J432" s="18" t="n">
        <v>4408082</v>
      </c>
    </row>
    <row r="433" customFormat="false" ht="15" hidden="false" customHeight="false" outlineLevel="0" collapsed="false">
      <c r="A433" s="18" t="str">
        <f aca="false">IF(ISNUMBER($J433),$J433,"")</f>
        <v/>
      </c>
      <c r="B433" s="18" t="str">
        <f aca="false">IFERROR(INDEX('SALES Raw'!$B$6:$B$4467,MATCH($J433,'SALES Raw'!$J$6:$J$4467,0)),IFERROR(INDEX('CEMIUP0.9 Raw'!$B$6:$B$1712,MATCH($J433,'CEMIUP0.9 Raw'!$B$6:$B$1712,0)),$J433))</f>
        <v>63 M</v>
      </c>
      <c r="C433" s="18" t="str">
        <f aca="false">IF(ISNUMBER($J433),IFERROR(INDEX('TRANS'!$C:$C,MATCH($J433,'TRANS'!$B:$B,0)),IFERROR(INDEX('Catalog'!$B:$B,MATCH($J433,'Catalog'!$A:$A,0)),$B433)),$B433)</f>
        <v>63 M</v>
      </c>
      <c r="D433" s="19" t="n">
        <f aca="false">SUMIFS('SALES Raw'!$C$6:$C$4467,'SALES Raw'!$J$6:$J$4467,$J433,'SALES Raw'!$K$6:$K$4467,"Y")+SUMIFS('CEMIUP0.9 Raw'!$D$6:$D$1712,'CEMIUP0.9 Raw'!$B$6:$B$1712,$J433,'CEMIUP0.9 Raw'!$H$6:$H$1712,"Y")</f>
        <v>43</v>
      </c>
      <c r="E433" s="19" t="n">
        <f aca="false">SUMIFS('SALES Raw'!$D$6:$D$4467,'SALES Raw'!$J$6:$J$4467,$J433,'SALES Raw'!$K$6:$K$4467,"Y")+SUMIFS('CEMIUP0.9 Raw'!$E$6:$E$1712,'CEMIUP0.9 Raw'!$B$6:$B$1712,$J433,'CEMIUP0.9 Raw'!$H$6:$H$1712,"Y")</f>
        <v>3251.21</v>
      </c>
      <c r="F433" s="19" t="n">
        <f aca="false">SUMIFS('SALES Raw'!$E$6:$E$4467,'SALES Raw'!$J$6:$J$4467,$J433,'SALES Raw'!$K$6:$K$4467,"Y")*$H$4+SUMIFS('CEMIUP0.9 Raw'!$F$6:$F$1712,'CEMIUP0.9 Raw'!$B$6:$B$1712,$J433,'CEMIUP0.9 Raw'!$H$6:$H$1712,"Y")</f>
        <v>18.9473684210526</v>
      </c>
      <c r="G433" s="19" t="n">
        <f aca="false">SUMIFS('SALES Raw'!$F$6:$F$4467,'SALES Raw'!$J$6:$J$4467,$J433,'SALES Raw'!$K$6:$K$4467,"Y")*$H$4+SUMIFS('CEMIUP0.9 Raw'!$G$6:$G$1712,'CEMIUP0.9 Raw'!$B$6:$B$1712,$J433,'CEMIUP0.9 Raw'!$H$6:$H$1712,"Y")</f>
        <v>1554.03789473684</v>
      </c>
      <c r="H433" s="18" t="s">
        <v>44</v>
      </c>
      <c r="I433" s="18" t="s">
        <v>42</v>
      </c>
      <c r="J433" s="18" t="s">
        <v>109</v>
      </c>
    </row>
    <row r="434" customFormat="false" ht="15" hidden="false" customHeight="false" outlineLevel="0" collapsed="false">
      <c r="A434" s="18" t="str">
        <f aca="false">IF(ISNUMBER($J434),$J434,"")</f>
        <v/>
      </c>
      <c r="B434" s="18" t="str">
        <f aca="false">IFERROR(INDEX('SALES Raw'!$B$6:$B$4467,MATCH($J434,'SALES Raw'!$J$6:$J$4467,0)),IFERROR(INDEX('CEMIUP0.9 Raw'!$B$6:$B$1712,MATCH($J434,'CEMIUP0.9 Raw'!$B$6:$B$1712,0)),$J434))</f>
        <v>T39 M</v>
      </c>
      <c r="C434" s="18" t="str">
        <f aca="false">IF(ISNUMBER($J434),IFERROR(INDEX('TRANS'!$C:$C,MATCH($J434,'TRANS'!$B:$B,0)),IFERROR(INDEX('Catalog'!$B:$B,MATCH($J434,'Catalog'!$A:$A,0)),$B434)),$B434)</f>
        <v>T39 M</v>
      </c>
      <c r="D434" s="19" t="n">
        <f aca="false">SUMIFS('SALES Raw'!$C$6:$C$4467,'SALES Raw'!$J$6:$J$4467,$J434,'SALES Raw'!$K$6:$K$4467,"Y")+SUMIFS('CEMIUP0.9 Raw'!$D$6:$D$1712,'CEMIUP0.9 Raw'!$B$6:$B$1712,$J434,'CEMIUP0.9 Raw'!$H$6:$H$1712,"Y")</f>
        <v>11</v>
      </c>
      <c r="E434" s="19" t="n">
        <f aca="false">SUMIFS('SALES Raw'!$D$6:$D$4467,'SALES Raw'!$J$6:$J$4467,$J434,'SALES Raw'!$K$6:$K$4467,"Y")+SUMIFS('CEMIUP0.9 Raw'!$E$6:$E$1712,'CEMIUP0.9 Raw'!$B$6:$B$1712,$J434,'CEMIUP0.9 Raw'!$H$6:$H$1712,"Y")</f>
        <v>1143.77</v>
      </c>
      <c r="F434" s="19" t="n">
        <f aca="false">SUMIFS('SALES Raw'!$E$6:$E$4467,'SALES Raw'!$J$6:$J$4467,$J434,'SALES Raw'!$K$6:$K$4467,"Y")*$H$4+SUMIFS('CEMIUP0.9 Raw'!$F$6:$F$1712,'CEMIUP0.9 Raw'!$B$6:$B$1712,$J434,'CEMIUP0.9 Raw'!$H$6:$H$1712,"Y")</f>
        <v>18.9473684210526</v>
      </c>
      <c r="G434" s="19" t="n">
        <f aca="false">SUMIFS('SALES Raw'!$F$6:$F$4467,'SALES Raw'!$J$6:$J$4467,$J434,'SALES Raw'!$K$6:$K$4467,"Y")*$H$4+SUMIFS('CEMIUP0.9 Raw'!$G$6:$G$1712,'CEMIUP0.9 Raw'!$B$6:$B$1712,$J434,'CEMIUP0.9 Raw'!$H$6:$H$1712,"Y")</f>
        <v>2089.73052631579</v>
      </c>
      <c r="H434" s="18" t="s">
        <v>48</v>
      </c>
      <c r="I434" s="18" t="s">
        <v>44</v>
      </c>
      <c r="J434" s="18" t="s">
        <v>110</v>
      </c>
    </row>
    <row r="435" customFormat="false" ht="15" hidden="false" customHeight="false" outlineLevel="0" collapsed="false">
      <c r="A435" s="18" t="n">
        <f aca="false">IF(ISNUMBER($J435),$J435,"")</f>
        <v>4413337</v>
      </c>
      <c r="B435" s="18" t="str">
        <f aca="false">IFERROR(INDEX('SALES Raw'!$B$6:$B$4467,MATCH($J435,'SALES Raw'!$J$6:$J$4467,0)),IFERROR(INDEX('CEMIUP0.9 Raw'!$B$6:$B$1712,MATCH($J435,'CEMIUP0.9 Raw'!$B$6:$B$1712,0)),$J435))</f>
        <v>322 XL</v>
      </c>
      <c r="C435" s="18" t="str">
        <f aca="false">IF(ISNUMBER($J435),IFERROR(INDEX('TRANS'!$C:$C,MATCH($J435,'TRANS'!$B:$B,0)),IFERROR(INDEX('Catalog'!$B:$B,MATCH($J435,'Catalog'!$A:$A,0)),$B435)),$B435)</f>
        <v>322XL מגן קרסול+כרית סילקון</v>
      </c>
      <c r="D435" s="19" t="n">
        <f aca="false">SUMIFS('SALES Raw'!$C$6:$C$4467,'SALES Raw'!$J$6:$J$4467,$J435,'SALES Raw'!$K$6:$K$4467,"Y")+SUMIFS('CEMIUP0.9 Raw'!$D$6:$D$1712,'CEMIUP0.9 Raw'!$B$6:$B$1712,$J435,'CEMIUP0.9 Raw'!$H$6:$H$1712,"Y")</f>
        <v>5</v>
      </c>
      <c r="E435" s="19" t="n">
        <f aca="false">SUMIFS('SALES Raw'!$D$6:$D$4467,'SALES Raw'!$J$6:$J$4467,$J435,'SALES Raw'!$K$6:$K$4467,"Y")+SUMIFS('CEMIUP0.9 Raw'!$E$6:$E$1712,'CEMIUP0.9 Raw'!$B$6:$B$1712,$J435,'CEMIUP0.9 Raw'!$H$6:$H$1712,"Y")</f>
        <v>378</v>
      </c>
      <c r="F435" s="19" t="n">
        <f aca="false">SUMIFS('SALES Raw'!$E$6:$E$4467,'SALES Raw'!$J$6:$J$4467,$J435,'SALES Raw'!$K$6:$K$4467,"Y")*$H$4+SUMIFS('CEMIUP0.9 Raw'!$F$6:$F$1712,'CEMIUP0.9 Raw'!$B$6:$B$1712,$J435,'CEMIUP0.9 Raw'!$H$6:$H$1712,"Y")</f>
        <v>18.9473684210526</v>
      </c>
      <c r="G435" s="19" t="n">
        <f aca="false">SUMIFS('SALES Raw'!$F$6:$F$4467,'SALES Raw'!$J$6:$J$4467,$J435,'SALES Raw'!$K$6:$K$4467,"Y")*$H$4+SUMIFS('CEMIUP0.9 Raw'!$G$6:$G$1712,'CEMIUP0.9 Raw'!$B$6:$B$1712,$J435,'CEMIUP0.9 Raw'!$H$6:$H$1712,"Y")</f>
        <v>1838.83705263158</v>
      </c>
      <c r="H435" s="18" t="s">
        <v>44</v>
      </c>
      <c r="I435" s="18" t="s">
        <v>43</v>
      </c>
      <c r="J435" s="18" t="n">
        <v>4413337</v>
      </c>
    </row>
    <row r="436" customFormat="false" ht="15" hidden="false" customHeight="false" outlineLevel="0" collapsed="false">
      <c r="A436" s="18" t="str">
        <f aca="false">IF(ISNUMBER($J436),$J436,"")</f>
        <v/>
      </c>
      <c r="B436" s="18" t="str">
        <f aca="false">IFERROR(INDEX('SALES Raw'!$B$6:$B$4467,MATCH($J436,'SALES Raw'!$J$6:$J$4467,0)),IFERROR(INDEX('CEMIUP0.9 Raw'!$B$6:$B$1712,MATCH($J436,'CEMIUP0.9 Raw'!$B$6:$B$1712,0)),$J436))</f>
        <v>303-43-44</v>
      </c>
      <c r="C436" s="18" t="str">
        <f aca="false">IF(ISNUMBER($J436),IFERROR(INDEX('TRANS'!$C:$C,MATCH($J436,'TRANS'!$B:$B,0)),IFERROR(INDEX('Catalog'!$B:$B,MATCH($J436,'Catalog'!$A:$A,0)),$B436)),$B436)</f>
        <v>303-43-44</v>
      </c>
      <c r="D436" s="19" t="n">
        <f aca="false">SUMIFS('SALES Raw'!$C$6:$C$4467,'SALES Raw'!$J$6:$J$4467,$J436,'SALES Raw'!$K$6:$K$4467,"Y")+SUMIFS('CEMIUP0.9 Raw'!$D$6:$D$1712,'CEMIUP0.9 Raw'!$B$6:$B$1712,$J436,'CEMIUP0.9 Raw'!$H$6:$H$1712,"Y")</f>
        <v>33</v>
      </c>
      <c r="E436" s="19" t="n">
        <f aca="false">SUMIFS('SALES Raw'!$D$6:$D$4467,'SALES Raw'!$J$6:$J$4467,$J436,'SALES Raw'!$K$6:$K$4467,"Y")+SUMIFS('CEMIUP0.9 Raw'!$E$6:$E$1712,'CEMIUP0.9 Raw'!$B$6:$B$1712,$J436,'CEMIUP0.9 Raw'!$H$6:$H$1712,"Y")</f>
        <v>4017.84</v>
      </c>
      <c r="F436" s="19" t="n">
        <f aca="false">SUMIFS('SALES Raw'!$E$6:$E$4467,'SALES Raw'!$J$6:$J$4467,$J436,'SALES Raw'!$K$6:$K$4467,"Y")*$H$4+SUMIFS('CEMIUP0.9 Raw'!$F$6:$F$1712,'CEMIUP0.9 Raw'!$B$6:$B$1712,$J436,'CEMIUP0.9 Raw'!$H$6:$H$1712,"Y")</f>
        <v>18.9473684210526</v>
      </c>
      <c r="G436" s="19" t="n">
        <f aca="false">SUMIFS('SALES Raw'!$F$6:$F$4467,'SALES Raw'!$J$6:$J$4467,$J436,'SALES Raw'!$K$6:$K$4467,"Y")*$H$4+SUMIFS('CEMIUP0.9 Raw'!$G$6:$G$1712,'CEMIUP0.9 Raw'!$B$6:$B$1712,$J436,'CEMIUP0.9 Raw'!$H$6:$H$1712,"Y")</f>
        <v>1996.85052631579</v>
      </c>
      <c r="H436" s="18" t="s">
        <v>44</v>
      </c>
      <c r="I436" s="18" t="s">
        <v>95</v>
      </c>
      <c r="J436" s="18" t="s">
        <v>111</v>
      </c>
    </row>
    <row r="437" customFormat="false" ht="15" hidden="false" customHeight="false" outlineLevel="0" collapsed="false">
      <c r="A437" s="18" t="n">
        <f aca="false">IF(ISNUMBER($J437),$J437,"")</f>
        <v>4408073</v>
      </c>
      <c r="B437" s="18" t="str">
        <f aca="false">IFERROR(INDEX('SALES Raw'!$B$6:$B$4467,MATCH($J437,'SALES Raw'!$J$6:$J$4467,0)),IFERROR(INDEX('CEMIUP0.9 Raw'!$B$6:$B$1712,MATCH($J437,'CEMIUP0.9 Raw'!$B$6:$B$1712,0)),$J437))</f>
        <v>59D XL</v>
      </c>
      <c r="C437" s="18" t="str">
        <f aca="false">IF(ISNUMBER($J437),IFERROR(INDEX('TRANS'!$C:$C,MATCH($J437,'TRANS'!$B:$B,0)),IFERROR(INDEX('Catalog'!$B:$B,MATCH($J437,'Catalog'!$A:$A,0)),$B437)),$B437)</f>
        <v>59D XL חגורת שבר דו צדדי</v>
      </c>
      <c r="D437" s="19" t="n">
        <f aca="false">SUMIFS('SALES Raw'!$C$6:$C$4467,'SALES Raw'!$J$6:$J$4467,$J437,'SALES Raw'!$K$6:$K$4467,"Y")+SUMIFS('CEMIUP0.9 Raw'!$D$6:$D$1712,'CEMIUP0.9 Raw'!$B$6:$B$1712,$J437,'CEMIUP0.9 Raw'!$H$6:$H$1712,"Y")</f>
        <v>12</v>
      </c>
      <c r="E437" s="19" t="n">
        <f aca="false">SUMIFS('SALES Raw'!$D$6:$D$4467,'SALES Raw'!$J$6:$J$4467,$J437,'SALES Raw'!$K$6:$K$4467,"Y")+SUMIFS('CEMIUP0.9 Raw'!$E$6:$E$1712,'CEMIUP0.9 Raw'!$B$6:$B$1712,$J437,'CEMIUP0.9 Raw'!$H$6:$H$1712,"Y")</f>
        <v>2683.4</v>
      </c>
      <c r="F437" s="19" t="n">
        <f aca="false">SUMIFS('SALES Raw'!$E$6:$E$4467,'SALES Raw'!$J$6:$J$4467,$J437,'SALES Raw'!$K$6:$K$4467,"Y")*$H$4+SUMIFS('CEMIUP0.9 Raw'!$F$6:$F$1712,'CEMIUP0.9 Raw'!$B$6:$B$1712,$J437,'CEMIUP0.9 Raw'!$H$6:$H$1712,"Y")</f>
        <v>18.9473684210526</v>
      </c>
      <c r="G437" s="19" t="n">
        <f aca="false">SUMIFS('SALES Raw'!$F$6:$F$4467,'SALES Raw'!$J$6:$J$4467,$J437,'SALES Raw'!$K$6:$K$4467,"Y")*$H$4+SUMIFS('CEMIUP0.9 Raw'!$G$6:$G$1712,'CEMIUP0.9 Raw'!$B$6:$B$1712,$J437,'CEMIUP0.9 Raw'!$H$6:$H$1712,"Y")</f>
        <v>4405.18231578947</v>
      </c>
      <c r="H437" s="18" t="s">
        <v>44</v>
      </c>
      <c r="I437" s="18" t="s">
        <v>48</v>
      </c>
      <c r="J437" s="18" t="n">
        <v>4408073</v>
      </c>
    </row>
    <row r="438" customFormat="false" ht="15" hidden="false" customHeight="false" outlineLevel="0" collapsed="false">
      <c r="A438" s="18" t="str">
        <f aca="false">IF(ISNUMBER($J438),$J438,"")</f>
        <v/>
      </c>
      <c r="B438" s="18" t="str">
        <f aca="false">IFERROR(INDEX('SALES Raw'!$B$6:$B$4467,MATCH($J438,'SALES Raw'!$J$6:$J$4467,0)),IFERROR(INDEX('CEMIUP0.9 Raw'!$B$6:$B$1712,MATCH($J438,'CEMIUP0.9 Raw'!$B$6:$B$1712,0)),$J438))</f>
        <v>808KTP-B</v>
      </c>
      <c r="C438" s="18" t="str">
        <f aca="false">IF(ISNUMBER($J438),IFERROR(INDEX('TRANS'!$C:$C,MATCH($J438,'TRANS'!$B:$B,0)),IFERROR(INDEX('Catalog'!$B:$B,MATCH($J438,'Catalog'!$A:$A,0)),$B438)),$B438)</f>
        <v>808KTP-B</v>
      </c>
      <c r="D438" s="19" t="n">
        <f aca="false">SUMIFS('SALES Raw'!$C$6:$C$4467,'SALES Raw'!$J$6:$J$4467,$J438,'SALES Raw'!$K$6:$K$4467,"Y")+SUMIFS('CEMIUP0.9 Raw'!$D$6:$D$1712,'CEMIUP0.9 Raw'!$B$6:$B$1712,$J438,'CEMIUP0.9 Raw'!$H$6:$H$1712,"Y")</f>
        <v>18</v>
      </c>
      <c r="E438" s="19" t="n">
        <f aca="false">SUMIFS('SALES Raw'!$D$6:$D$4467,'SALES Raw'!$J$6:$J$4467,$J438,'SALES Raw'!$K$6:$K$4467,"Y")+SUMIFS('CEMIUP0.9 Raw'!$E$6:$E$1712,'CEMIUP0.9 Raw'!$B$6:$B$1712,$J438,'CEMIUP0.9 Raw'!$H$6:$H$1712,"Y")</f>
        <v>1041.35</v>
      </c>
      <c r="F438" s="19" t="n">
        <f aca="false">SUMIFS('SALES Raw'!$E$6:$E$4467,'SALES Raw'!$J$6:$J$4467,$J438,'SALES Raw'!$K$6:$K$4467,"Y")*$H$4+SUMIFS('CEMIUP0.9 Raw'!$F$6:$F$1712,'CEMIUP0.9 Raw'!$B$6:$B$1712,$J438,'CEMIUP0.9 Raw'!$H$6:$H$1712,"Y")</f>
        <v>18.9473684210526</v>
      </c>
      <c r="G438" s="19" t="n">
        <f aca="false">SUMIFS('SALES Raw'!$F$6:$F$4467,'SALES Raw'!$J$6:$J$4467,$J438,'SALES Raw'!$K$6:$K$4467,"Y")*$H$4+SUMIFS('CEMIUP0.9 Raw'!$G$6:$G$1712,'CEMIUP0.9 Raw'!$B$6:$B$1712,$J438,'CEMIUP0.9 Raw'!$H$6:$H$1712,"Y")</f>
        <v>568.421052631579</v>
      </c>
      <c r="H438" s="18" t="s">
        <v>53</v>
      </c>
      <c r="I438" s="18" t="s">
        <v>44</v>
      </c>
      <c r="J438" s="18" t="s">
        <v>112</v>
      </c>
    </row>
    <row r="439" customFormat="false" ht="15" hidden="false" customHeight="false" outlineLevel="0" collapsed="false">
      <c r="A439" s="18" t="str">
        <f aca="false">IF(ISNUMBER($J439),$J439,"")</f>
        <v/>
      </c>
      <c r="B439" s="18" t="str">
        <f aca="false">IFERROR(INDEX('SALES Raw'!$B$6:$B$4467,MATCH($J439,'SALES Raw'!$J$6:$J$4467,0)),IFERROR(INDEX('CEMIUP0.9 Raw'!$B$6:$B$1712,MATCH($J439,'CEMIUP0.9 Raw'!$B$6:$B$1712,0)),$J439))</f>
        <v>369 XL</v>
      </c>
      <c r="C439" s="18" t="str">
        <f aca="false">IF(ISNUMBER($J439),IFERROR(INDEX('TRANS'!$C:$C,MATCH($J439,'TRANS'!$B:$B,0)),IFERROR(INDEX('Catalog'!$B:$B,MATCH($J439,'Catalog'!$A:$A,0)),$B439)),$B439)</f>
        <v>369 XL</v>
      </c>
      <c r="D439" s="19" t="n">
        <f aca="false">SUMIFS('SALES Raw'!$C$6:$C$4467,'SALES Raw'!$J$6:$J$4467,$J439,'SALES Raw'!$K$6:$K$4467,"Y")+SUMIFS('CEMIUP0.9 Raw'!$D$6:$D$1712,'CEMIUP0.9 Raw'!$B$6:$B$1712,$J439,'CEMIUP0.9 Raw'!$H$6:$H$1712,"Y")</f>
        <v>0</v>
      </c>
      <c r="E439" s="19" t="n">
        <f aca="false">SUMIFS('SALES Raw'!$D$6:$D$4467,'SALES Raw'!$J$6:$J$4467,$J439,'SALES Raw'!$K$6:$K$4467,"Y")+SUMIFS('CEMIUP0.9 Raw'!$E$6:$E$1712,'CEMIUP0.9 Raw'!$B$6:$B$1712,$J439,'CEMIUP0.9 Raw'!$H$6:$H$1712,"Y")</f>
        <v>0</v>
      </c>
      <c r="F439" s="19" t="n">
        <f aca="false">SUMIFS('SALES Raw'!$E$6:$E$4467,'SALES Raw'!$J$6:$J$4467,$J439,'SALES Raw'!$K$6:$K$4467,"Y")*$H$4+SUMIFS('CEMIUP0.9 Raw'!$F$6:$F$1712,'CEMIUP0.9 Raw'!$B$6:$B$1712,$J439,'CEMIUP0.9 Raw'!$H$6:$H$1712,"Y")</f>
        <v>18.9473684210526</v>
      </c>
      <c r="G439" s="19" t="n">
        <f aca="false">SUMIFS('SALES Raw'!$F$6:$F$4467,'SALES Raw'!$J$6:$J$4467,$J439,'SALES Raw'!$K$6:$K$4467,"Y")*$H$4+SUMIFS('CEMIUP0.9 Raw'!$G$6:$G$1712,'CEMIUP0.9 Raw'!$B$6:$B$1712,$J439,'CEMIUP0.9 Raw'!$H$6:$H$1712,"Y")</f>
        <v>843.764210526316</v>
      </c>
      <c r="H439" s="18" t="s">
        <v>42</v>
      </c>
      <c r="I439" s="18"/>
      <c r="J439" s="18" t="s">
        <v>113</v>
      </c>
    </row>
    <row r="440" customFormat="false" ht="15" hidden="false" customHeight="false" outlineLevel="0" collapsed="false">
      <c r="A440" s="18" t="n">
        <f aca="false">IF(ISNUMBER($J440),$J440,"")</f>
        <v>4413111</v>
      </c>
      <c r="B440" s="18" t="str">
        <f aca="false">IFERROR(INDEX('SALES Raw'!$B$6:$B$4467,MATCH($J440,'SALES Raw'!$J$6:$J$4467,0)),IFERROR(INDEX('CEMIUP0.9 Raw'!$B$6:$B$1712,MATCH($J440,'CEMIUP0.9 Raw'!$B$6:$B$1712,0)),$J440))</f>
        <v>49 S</v>
      </c>
      <c r="C440" s="18" t="str">
        <f aca="false">IF(ISNUMBER($J440),IFERROR(INDEX('TRANS'!$C:$C,MATCH($J440,'TRANS'!$B:$B,0)),IFERROR(INDEX('Catalog'!$B:$B,MATCH($J440,'Catalog'!$A:$A,0)),$B440)),$B440)</f>
        <v>49  S מגן ירך</v>
      </c>
      <c r="D440" s="19" t="n">
        <f aca="false">SUMIFS('SALES Raw'!$C$6:$C$4467,'SALES Raw'!$J$6:$J$4467,$J440,'SALES Raw'!$K$6:$K$4467,"Y")+SUMIFS('CEMIUP0.9 Raw'!$D$6:$D$1712,'CEMIUP0.9 Raw'!$B$6:$B$1712,$J440,'CEMIUP0.9 Raw'!$H$6:$H$1712,"Y")</f>
        <v>31</v>
      </c>
      <c r="E440" s="19" t="n">
        <f aca="false">SUMIFS('SALES Raw'!$D$6:$D$4467,'SALES Raw'!$J$6:$J$4467,$J440,'SALES Raw'!$K$6:$K$4467,"Y")+SUMIFS('CEMIUP0.9 Raw'!$E$6:$E$1712,'CEMIUP0.9 Raw'!$B$6:$B$1712,$J440,'CEMIUP0.9 Raw'!$H$6:$H$1712,"Y")</f>
        <v>1073.894</v>
      </c>
      <c r="F440" s="19" t="n">
        <f aca="false">SUMIFS('SALES Raw'!$E$6:$E$4467,'SALES Raw'!$J$6:$J$4467,$J440,'SALES Raw'!$K$6:$K$4467,"Y")*$H$4+SUMIFS('CEMIUP0.9 Raw'!$F$6:$F$1712,'CEMIUP0.9 Raw'!$B$6:$B$1712,$J440,'CEMIUP0.9 Raw'!$H$6:$H$1712,"Y")</f>
        <v>18.9473684210526</v>
      </c>
      <c r="G440" s="19" t="n">
        <f aca="false">SUMIFS('SALES Raw'!$F$6:$F$4467,'SALES Raw'!$J$6:$J$4467,$J440,'SALES Raw'!$K$6:$K$4467,"Y")*$H$4+SUMIFS('CEMIUP0.9 Raw'!$G$6:$G$1712,'CEMIUP0.9 Raw'!$B$6:$B$1712,$J440,'CEMIUP0.9 Raw'!$H$6:$H$1712,"Y")</f>
        <v>656.44547368421</v>
      </c>
      <c r="H440" s="18" t="s">
        <v>43</v>
      </c>
      <c r="I440" s="18" t="s">
        <v>46</v>
      </c>
      <c r="J440" s="18" t="n">
        <v>4413111</v>
      </c>
    </row>
    <row r="441" customFormat="false" ht="15" hidden="false" customHeight="false" outlineLevel="0" collapsed="false">
      <c r="A441" s="18" t="str">
        <f aca="false">IF(ISNUMBER($J441),$J441,"")</f>
        <v/>
      </c>
      <c r="B441" s="18" t="str">
        <f aca="false">IFERROR(INDEX('SALES Raw'!$B$6:$B$4467,MATCH($J441,'SALES Raw'!$J$6:$J$4467,0)),IFERROR(INDEX('CEMIUP0.9 Raw'!$B$6:$B$1712,MATCH($J441,'CEMIUP0.9 Raw'!$B$6:$B$1712,0)),$J441))</f>
        <v>T39 L</v>
      </c>
      <c r="C441" s="18" t="str">
        <f aca="false">IF(ISNUMBER($J441),IFERROR(INDEX('TRANS'!$C:$C,MATCH($J441,'TRANS'!$B:$B,0)),IFERROR(INDEX('Catalog'!$B:$B,MATCH($J441,'Catalog'!$A:$A,0)),$B441)),$B441)</f>
        <v>T39 L</v>
      </c>
      <c r="D441" s="19" t="n">
        <f aca="false">SUMIFS('SALES Raw'!$C$6:$C$4467,'SALES Raw'!$J$6:$J$4467,$J441,'SALES Raw'!$K$6:$K$4467,"Y")+SUMIFS('CEMIUP0.9 Raw'!$D$6:$D$1712,'CEMIUP0.9 Raw'!$B$6:$B$1712,$J441,'CEMIUP0.9 Raw'!$H$6:$H$1712,"Y")</f>
        <v>18</v>
      </c>
      <c r="E441" s="19" t="n">
        <f aca="false">SUMIFS('SALES Raw'!$D$6:$D$4467,'SALES Raw'!$J$6:$J$4467,$J441,'SALES Raw'!$K$6:$K$4467,"Y")+SUMIFS('CEMIUP0.9 Raw'!$E$6:$E$1712,'CEMIUP0.9 Raw'!$B$6:$B$1712,$J441,'CEMIUP0.9 Raw'!$H$6:$H$1712,"Y")</f>
        <v>1983.65</v>
      </c>
      <c r="F441" s="19" t="n">
        <f aca="false">SUMIFS('SALES Raw'!$E$6:$E$4467,'SALES Raw'!$J$6:$J$4467,$J441,'SALES Raw'!$K$6:$K$4467,"Y")*$H$4+SUMIFS('CEMIUP0.9 Raw'!$F$6:$F$1712,'CEMIUP0.9 Raw'!$B$6:$B$1712,$J441,'CEMIUP0.9 Raw'!$H$6:$H$1712,"Y")</f>
        <v>18.9473684210526</v>
      </c>
      <c r="G441" s="19" t="n">
        <f aca="false">SUMIFS('SALES Raw'!$F$6:$F$4467,'SALES Raw'!$J$6:$J$4467,$J441,'SALES Raw'!$K$6:$K$4467,"Y")*$H$4+SUMIFS('CEMIUP0.9 Raw'!$G$6:$G$1712,'CEMIUP0.9 Raw'!$B$6:$B$1712,$J441,'CEMIUP0.9 Raw'!$H$6:$H$1712,"Y")</f>
        <v>2712.79578947368</v>
      </c>
      <c r="H441" s="18" t="s">
        <v>42</v>
      </c>
      <c r="I441" s="18" t="s">
        <v>44</v>
      </c>
      <c r="J441" s="18" t="s">
        <v>114</v>
      </c>
    </row>
    <row r="442" customFormat="false" ht="15" hidden="false" customHeight="false" outlineLevel="0" collapsed="false">
      <c r="A442" s="18" t="str">
        <f aca="false">IF(ISNUMBER($J442),$J442,"")</f>
        <v/>
      </c>
      <c r="B442" s="18" t="str">
        <f aca="false">IFERROR(INDEX('SALES Raw'!$B$6:$B$4467,MATCH($J442,'SALES Raw'!$J$6:$J$4467,0)),IFERROR(INDEX('CEMIUP0.9 Raw'!$B$6:$B$1712,MATCH($J442,'CEMIUP0.9 Raw'!$B$6:$B$1712,0)),$J442))</f>
        <v>18 M</v>
      </c>
      <c r="C442" s="18" t="str">
        <f aca="false">IF(ISNUMBER($J442),IFERROR(INDEX('TRANS'!$C:$C,MATCH($J442,'TRANS'!$B:$B,0)),IFERROR(INDEX('Catalog'!$B:$B,MATCH($J442,'Catalog'!$A:$A,0)),$B442)),$B442)</f>
        <v>18 M</v>
      </c>
      <c r="D442" s="19" t="n">
        <f aca="false">SUMIFS('SALES Raw'!$C$6:$C$4467,'SALES Raw'!$J$6:$J$4467,$J442,'SALES Raw'!$K$6:$K$4467,"Y")+SUMIFS('CEMIUP0.9 Raw'!$D$6:$D$1712,'CEMIUP0.9 Raw'!$B$6:$B$1712,$J442,'CEMIUP0.9 Raw'!$H$6:$H$1712,"Y")</f>
        <v>11</v>
      </c>
      <c r="E442" s="19" t="n">
        <f aca="false">SUMIFS('SALES Raw'!$D$6:$D$4467,'SALES Raw'!$J$6:$J$4467,$J442,'SALES Raw'!$K$6:$K$4467,"Y")+SUMIFS('CEMIUP0.9 Raw'!$E$6:$E$1712,'CEMIUP0.9 Raw'!$B$6:$B$1712,$J442,'CEMIUP0.9 Raw'!$H$6:$H$1712,"Y")</f>
        <v>2887.26</v>
      </c>
      <c r="F442" s="19" t="n">
        <f aca="false">SUMIFS('SALES Raw'!$E$6:$E$4467,'SALES Raw'!$J$6:$J$4467,$J442,'SALES Raw'!$K$6:$K$4467,"Y")*$H$4+SUMIFS('CEMIUP0.9 Raw'!$F$6:$F$1712,'CEMIUP0.9 Raw'!$B$6:$B$1712,$J442,'CEMIUP0.9 Raw'!$H$6:$H$1712,"Y")</f>
        <v>18.9473684210526</v>
      </c>
      <c r="G442" s="19" t="n">
        <f aca="false">SUMIFS('SALES Raw'!$F$6:$F$4467,'SALES Raw'!$J$6:$J$4467,$J442,'SALES Raw'!$K$6:$K$4467,"Y")*$H$4+SUMIFS('CEMIUP0.9 Raw'!$G$6:$G$1712,'CEMIUP0.9 Raw'!$B$6:$B$1712,$J442,'CEMIUP0.9 Raw'!$H$6:$H$1712,"Y")</f>
        <v>5445.75157894737</v>
      </c>
      <c r="H442" s="18" t="s">
        <v>54</v>
      </c>
      <c r="I442" s="18" t="s">
        <v>44</v>
      </c>
      <c r="J442" s="18" t="s">
        <v>115</v>
      </c>
    </row>
    <row r="443" customFormat="false" ht="15" hidden="false" customHeight="false" outlineLevel="0" collapsed="false">
      <c r="A443" s="18" t="n">
        <f aca="false">IF(ISNUMBER($J443),$J443,"")</f>
        <v>4413523</v>
      </c>
      <c r="B443" s="18" t="str">
        <f aca="false">IFERROR(INDEX('SALES Raw'!$B$6:$B$4467,MATCH($J443,'SALES Raw'!$J$6:$J$4467,0)),IFERROR(INDEX('CEMIUP0.9 Raw'!$B$6:$B$1712,MATCH($J443,'CEMIUP0.9 Raw'!$B$6:$B$1712,0)),$J443))</f>
        <v>379COM-35-38</v>
      </c>
      <c r="C443" s="18" t="str">
        <f aca="false">IF(ISNUMBER($J443),IFERROR(INDEX('TRANS'!$C:$C,MATCH($J443,'TRANS'!$B:$B,0)),IFERROR(INDEX('Catalog'!$B:$B,MATCH($J443,'Catalog'!$A:$A,0)),$B443)),$B443)</f>
        <v>35-38 מדרסי אפיק ג'ל נוחות</v>
      </c>
      <c r="D443" s="19" t="n">
        <f aca="false">SUMIFS('SALES Raw'!$C$6:$C$4467,'SALES Raw'!$J$6:$J$4467,$J443,'SALES Raw'!$K$6:$K$4467,"Y")+SUMIFS('CEMIUP0.9 Raw'!$D$6:$D$1712,'CEMIUP0.9 Raw'!$B$6:$B$1712,$J443,'CEMIUP0.9 Raw'!$H$6:$H$1712,"Y")</f>
        <v>45</v>
      </c>
      <c r="E443" s="19" t="n">
        <f aca="false">SUMIFS('SALES Raw'!$D$6:$D$4467,'SALES Raw'!$J$6:$J$4467,$J443,'SALES Raw'!$K$6:$K$4467,"Y")+SUMIFS('CEMIUP0.9 Raw'!$E$6:$E$1712,'CEMIUP0.9 Raw'!$B$6:$B$1712,$J443,'CEMIUP0.9 Raw'!$H$6:$H$1712,"Y")</f>
        <v>6276.591</v>
      </c>
      <c r="F443" s="19" t="n">
        <f aca="false">SUMIFS('SALES Raw'!$E$6:$E$4467,'SALES Raw'!$J$6:$J$4467,$J443,'SALES Raw'!$K$6:$K$4467,"Y")*$H$4+SUMIFS('CEMIUP0.9 Raw'!$F$6:$F$1712,'CEMIUP0.9 Raw'!$B$6:$B$1712,$J443,'CEMIUP0.9 Raw'!$H$6:$H$1712,"Y")</f>
        <v>18.9473684210526</v>
      </c>
      <c r="G443" s="19" t="n">
        <f aca="false">SUMIFS('SALES Raw'!$F$6:$F$4467,'SALES Raw'!$J$6:$J$4467,$J443,'SALES Raw'!$K$6:$K$4467,"Y")*$H$4+SUMIFS('CEMIUP0.9 Raw'!$G$6:$G$1712,'CEMIUP0.9 Raw'!$B$6:$B$1712,$J443,'CEMIUP0.9 Raw'!$H$6:$H$1712,"Y")</f>
        <v>2500.16842105263</v>
      </c>
      <c r="H443" s="18" t="s">
        <v>43</v>
      </c>
      <c r="I443" s="18" t="s">
        <v>42</v>
      </c>
      <c r="J443" s="18" t="n">
        <v>4413523</v>
      </c>
    </row>
    <row r="444" customFormat="false" ht="15" hidden="false" customHeight="false" outlineLevel="0" collapsed="false">
      <c r="A444" s="18" t="n">
        <f aca="false">IF(ISNUMBER($J444),$J444,"")</f>
        <v>4408018</v>
      </c>
      <c r="B444" s="18" t="str">
        <f aca="false">IFERROR(INDEX('SALES Raw'!$B$6:$B$4467,MATCH($J444,'SALES Raw'!$J$6:$J$4467,0)),IFERROR(INDEX('CEMIUP0.9 Raw'!$B$6:$B$1712,MATCH($J444,'CEMIUP0.9 Raw'!$B$6:$B$1712,0)),$J444))</f>
        <v>07AU XXL</v>
      </c>
      <c r="C444" s="18" t="str">
        <f aca="false">IF(ISNUMBER($J444),IFERROR(INDEX('TRANS'!$C:$C,MATCH($J444,'TRANS'!$B:$B,0)),IFERROR(INDEX('Catalog'!$B:$B,MATCH($J444,'Catalog'!$A:$A,0)),$B444)),$B444)</f>
        <v>07AU XXL.ח.גב """"איטלקית"""" אוריר</v>
      </c>
      <c r="D444" s="19" t="n">
        <f aca="false">SUMIFS('SALES Raw'!$C$6:$C$4467,'SALES Raw'!$J$6:$J$4467,$J444,'SALES Raw'!$K$6:$K$4467,"Y")+SUMIFS('CEMIUP0.9 Raw'!$D$6:$D$1712,'CEMIUP0.9 Raw'!$B$6:$B$1712,$J444,'CEMIUP0.9 Raw'!$H$6:$H$1712,"Y")</f>
        <v>68</v>
      </c>
      <c r="E444" s="19" t="n">
        <f aca="false">SUMIFS('SALES Raw'!$D$6:$D$4467,'SALES Raw'!$J$6:$J$4467,$J444,'SALES Raw'!$K$6:$K$4467,"Y")+SUMIFS('CEMIUP0.9 Raw'!$E$6:$E$1712,'CEMIUP0.9 Raw'!$B$6:$B$1712,$J444,'CEMIUP0.9 Raw'!$H$6:$H$1712,"Y")</f>
        <v>13261.348</v>
      </c>
      <c r="F444" s="19" t="n">
        <f aca="false">SUMIFS('SALES Raw'!$E$6:$E$4467,'SALES Raw'!$J$6:$J$4467,$J444,'SALES Raw'!$K$6:$K$4467,"Y")*$H$4+SUMIFS('CEMIUP0.9 Raw'!$F$6:$F$1712,'CEMIUP0.9 Raw'!$B$6:$B$1712,$J444,'CEMIUP0.9 Raw'!$H$6:$H$1712,"Y")</f>
        <v>17.6842105263158</v>
      </c>
      <c r="G444" s="19" t="n">
        <f aca="false">SUMIFS('SALES Raw'!$F$6:$F$4467,'SALES Raw'!$J$6:$J$4467,$J444,'SALES Raw'!$K$6:$K$4467,"Y")*$H$4+SUMIFS('CEMIUP0.9 Raw'!$G$6:$G$1712,'CEMIUP0.9 Raw'!$B$6:$B$1712,$J444,'CEMIUP0.9 Raw'!$H$6:$H$1712,"Y")</f>
        <v>4248.69473684211</v>
      </c>
      <c r="H444" s="18" t="s">
        <v>44</v>
      </c>
      <c r="I444" s="18" t="s">
        <v>48</v>
      </c>
      <c r="J444" s="18" t="n">
        <v>4408018</v>
      </c>
    </row>
    <row r="445" customFormat="false" ht="15" hidden="false" customHeight="false" outlineLevel="0" collapsed="false">
      <c r="A445" s="18" t="n">
        <f aca="false">IF(ISNUMBER($J445),$J445,"")</f>
        <v>4413424</v>
      </c>
      <c r="B445" s="18" t="str">
        <f aca="false">IFERROR(INDEX('SALES Raw'!$B$6:$B$4467,MATCH($J445,'SALES Raw'!$J$6:$J$4467,0)),IFERROR(INDEX('CEMIUP0.9 Raw'!$B$6:$B$1712,MATCH($J445,'CEMIUP0.9 Raw'!$B$6:$B$1712,0)),$J445))</f>
        <v>SC35R S</v>
      </c>
      <c r="C445" s="18" t="str">
        <f aca="false">IF(ISNUMBER($J445),IFERROR(INDEX('TRANS'!$C:$C,MATCH($J445,'TRANS'!$B:$B,0)),IFERROR(INDEX('Catalog'!$B:$B,MATCH($J445,'Catalog'!$A:$A,0)),$B445)),$B445)</f>
        <v>SC35R  S מגן קרסול ימין</v>
      </c>
      <c r="D445" s="19" t="n">
        <f aca="false">SUMIFS('SALES Raw'!$C$6:$C$4467,'SALES Raw'!$J$6:$J$4467,$J445,'SALES Raw'!$K$6:$K$4467,"Y")+SUMIFS('CEMIUP0.9 Raw'!$D$6:$D$1712,'CEMIUP0.9 Raw'!$B$6:$B$1712,$J445,'CEMIUP0.9 Raw'!$H$6:$H$1712,"Y")</f>
        <v>15</v>
      </c>
      <c r="E445" s="19" t="n">
        <f aca="false">SUMIFS('SALES Raw'!$D$6:$D$4467,'SALES Raw'!$J$6:$J$4467,$J445,'SALES Raw'!$K$6:$K$4467,"Y")+SUMIFS('CEMIUP0.9 Raw'!$E$6:$E$1712,'CEMIUP0.9 Raw'!$B$6:$B$1712,$J445,'CEMIUP0.9 Raw'!$H$6:$H$1712,"Y")</f>
        <v>1617.099</v>
      </c>
      <c r="F445" s="19" t="n">
        <f aca="false">SUMIFS('SALES Raw'!$E$6:$E$4467,'SALES Raw'!$J$6:$J$4467,$J445,'SALES Raw'!$K$6:$K$4467,"Y")*$H$4+SUMIFS('CEMIUP0.9 Raw'!$F$6:$F$1712,'CEMIUP0.9 Raw'!$B$6:$B$1712,$J445,'CEMIUP0.9 Raw'!$H$6:$H$1712,"Y")</f>
        <v>17.6842105263158</v>
      </c>
      <c r="G445" s="19" t="n">
        <f aca="false">SUMIFS('SALES Raw'!$F$6:$F$4467,'SALES Raw'!$J$6:$J$4467,$J445,'SALES Raw'!$K$6:$K$4467,"Y")*$H$4+SUMIFS('CEMIUP0.9 Raw'!$G$6:$G$1712,'CEMIUP0.9 Raw'!$B$6:$B$1712,$J445,'CEMIUP0.9 Raw'!$H$6:$H$1712,"Y")</f>
        <v>2163.57094736842</v>
      </c>
      <c r="H445" s="18" t="s">
        <v>42</v>
      </c>
      <c r="I445" s="18" t="s">
        <v>43</v>
      </c>
      <c r="J445" s="18" t="n">
        <v>4413424</v>
      </c>
    </row>
    <row r="446" customFormat="false" ht="15" hidden="false" customHeight="false" outlineLevel="0" collapsed="false">
      <c r="A446" s="18" t="str">
        <f aca="false">IF(ISNUMBER($J446),$J446,"")</f>
        <v/>
      </c>
      <c r="B446" s="18" t="str">
        <f aca="false">IFERROR(INDEX('SALES Raw'!$B$6:$B$4467,MATCH($J446,'SALES Raw'!$J$6:$J$4467,0)),IFERROR(INDEX('CEMIUP0.9 Raw'!$B$6:$B$1712,MATCH($J446,'CEMIUP0.9 Raw'!$B$6:$B$1712,0)),$J446))</f>
        <v>809PW-C</v>
      </c>
      <c r="C446" s="18" t="str">
        <f aca="false">IF(ISNUMBER($J446),IFERROR(INDEX('TRANS'!$C:$C,MATCH($J446,'TRANS'!$B:$B,0)),IFERROR(INDEX('Catalog'!$B:$B,MATCH($J446,'Catalog'!$A:$A,0)),$B446)),$B446)</f>
        <v>809PW-C</v>
      </c>
      <c r="D446" s="19" t="n">
        <f aca="false">SUMIFS('SALES Raw'!$C$6:$C$4467,'SALES Raw'!$J$6:$J$4467,$J446,'SALES Raw'!$K$6:$K$4467,"Y")+SUMIFS('CEMIUP0.9 Raw'!$D$6:$D$1712,'CEMIUP0.9 Raw'!$B$6:$B$1712,$J446,'CEMIUP0.9 Raw'!$H$6:$H$1712,"Y")</f>
        <v>0</v>
      </c>
      <c r="E446" s="19" t="n">
        <f aca="false">SUMIFS('SALES Raw'!$D$6:$D$4467,'SALES Raw'!$J$6:$J$4467,$J446,'SALES Raw'!$K$6:$K$4467,"Y")+SUMIFS('CEMIUP0.9 Raw'!$E$6:$E$1712,'CEMIUP0.9 Raw'!$B$6:$B$1712,$J446,'CEMIUP0.9 Raw'!$H$6:$H$1712,"Y")</f>
        <v>0</v>
      </c>
      <c r="F446" s="19" t="n">
        <f aca="false">SUMIFS('SALES Raw'!$E$6:$E$4467,'SALES Raw'!$J$6:$J$4467,$J446,'SALES Raw'!$K$6:$K$4467,"Y")*$H$4+SUMIFS('CEMIUP0.9 Raw'!$F$6:$F$1712,'CEMIUP0.9 Raw'!$B$6:$B$1712,$J446,'CEMIUP0.9 Raw'!$H$6:$H$1712,"Y")</f>
        <v>17.6842105263158</v>
      </c>
      <c r="G446" s="19" t="n">
        <f aca="false">SUMIFS('SALES Raw'!$F$6:$F$4467,'SALES Raw'!$J$6:$J$4467,$J446,'SALES Raw'!$K$6:$K$4467,"Y")*$H$4+SUMIFS('CEMIUP0.9 Raw'!$G$6:$G$1712,'CEMIUP0.9 Raw'!$B$6:$B$1712,$J446,'CEMIUP0.9 Raw'!$H$6:$H$1712,"Y")</f>
        <v>214.913684210526</v>
      </c>
      <c r="H446" s="18" t="s">
        <v>53</v>
      </c>
      <c r="I446" s="18" t="s">
        <v>46</v>
      </c>
      <c r="J446" s="18" t="s">
        <v>116</v>
      </c>
    </row>
    <row r="447" customFormat="false" ht="15" hidden="false" customHeight="false" outlineLevel="0" collapsed="false">
      <c r="A447" s="18" t="n">
        <f aca="false">IF(ISNUMBER($J447),$J447,"")</f>
        <v>4413115</v>
      </c>
      <c r="B447" s="18" t="str">
        <f aca="false">IFERROR(INDEX('SALES Raw'!$B$6:$B$4467,MATCH($J447,'SALES Raw'!$J$6:$J$4467,0)),IFERROR(INDEX('CEMIUP0.9 Raw'!$B$6:$B$1712,MATCH($J447,'CEMIUP0.9 Raw'!$B$6:$B$1712,0)),$J447))</f>
        <v>49 XXL</v>
      </c>
      <c r="C447" s="18" t="str">
        <f aca="false">IF(ISNUMBER($J447),IFERROR(INDEX('TRANS'!$C:$C,MATCH($J447,'TRANS'!$B:$B,0)),IFERROR(INDEX('Catalog'!$B:$B,MATCH($J447,'Catalog'!$A:$A,0)),$B447)),$B447)</f>
        <v>49 XXL מגן ירך</v>
      </c>
      <c r="D447" s="19" t="n">
        <f aca="false">SUMIFS('SALES Raw'!$C$6:$C$4467,'SALES Raw'!$J$6:$J$4467,$J447,'SALES Raw'!$K$6:$K$4467,"Y")+SUMIFS('CEMIUP0.9 Raw'!$D$6:$D$1712,'CEMIUP0.9 Raw'!$B$6:$B$1712,$J447,'CEMIUP0.9 Raw'!$H$6:$H$1712,"Y")</f>
        <v>11</v>
      </c>
      <c r="E447" s="19" t="n">
        <f aca="false">SUMIFS('SALES Raw'!$D$6:$D$4467,'SALES Raw'!$J$6:$J$4467,$J447,'SALES Raw'!$K$6:$K$4467,"Y")+SUMIFS('CEMIUP0.9 Raw'!$E$6:$E$1712,'CEMIUP0.9 Raw'!$B$6:$B$1712,$J447,'CEMIUP0.9 Raw'!$H$6:$H$1712,"Y")</f>
        <v>505.463</v>
      </c>
      <c r="F447" s="19" t="n">
        <f aca="false">SUMIFS('SALES Raw'!$E$6:$E$4467,'SALES Raw'!$J$6:$J$4467,$J447,'SALES Raw'!$K$6:$K$4467,"Y")*$H$4+SUMIFS('CEMIUP0.9 Raw'!$F$6:$F$1712,'CEMIUP0.9 Raw'!$B$6:$B$1712,$J447,'CEMIUP0.9 Raw'!$H$6:$H$1712,"Y")</f>
        <v>17.6842105263158</v>
      </c>
      <c r="G447" s="19" t="n">
        <f aca="false">SUMIFS('SALES Raw'!$F$6:$F$4467,'SALES Raw'!$J$6:$J$4467,$J447,'SALES Raw'!$K$6:$K$4467,"Y")*$H$4+SUMIFS('CEMIUP0.9 Raw'!$G$6:$G$1712,'CEMIUP0.9 Raw'!$B$6:$B$1712,$J447,'CEMIUP0.9 Raw'!$H$6:$H$1712,"Y")</f>
        <v>744.170526315789</v>
      </c>
      <c r="H447" s="18" t="s">
        <v>43</v>
      </c>
      <c r="I447" s="18" t="s">
        <v>42</v>
      </c>
      <c r="J447" s="18" t="n">
        <v>4413115</v>
      </c>
    </row>
    <row r="448" customFormat="false" ht="15" hidden="false" customHeight="false" outlineLevel="0" collapsed="false">
      <c r="A448" s="18" t="str">
        <f aca="false">IF(ISNUMBER($J448),$J448,"")</f>
        <v/>
      </c>
      <c r="B448" s="18" t="str">
        <f aca="false">IFERROR(INDEX('SALES Raw'!$B$6:$B$4467,MATCH($J448,'SALES Raw'!$J$6:$J$4467,0)),IFERROR(INDEX('CEMIUP0.9 Raw'!$B$6:$B$1712,MATCH($J448,'CEMIUP0.9 Raw'!$B$6:$B$1712,0)),$J448))</f>
        <v>MSG001FC</v>
      </c>
      <c r="C448" s="18" t="str">
        <f aca="false">IF(ISNUMBER($J448),IFERROR(INDEX('TRANS'!$C:$C,MATCH($J448,'TRANS'!$B:$B,0)),IFERROR(INDEX('Catalog'!$B:$B,MATCH($J448,'Catalog'!$A:$A,0)),$B448)),$B448)</f>
        <v>MSG001FC</v>
      </c>
      <c r="D448" s="19" t="n">
        <f aca="false">SUMIFS('SALES Raw'!$C$6:$C$4467,'SALES Raw'!$J$6:$J$4467,$J448,'SALES Raw'!$K$6:$K$4467,"Y")+SUMIFS('CEMIUP0.9 Raw'!$D$6:$D$1712,'CEMIUP0.9 Raw'!$B$6:$B$1712,$J448,'CEMIUP0.9 Raw'!$H$6:$H$1712,"Y")</f>
        <v>0</v>
      </c>
      <c r="E448" s="19" t="n">
        <f aca="false">SUMIFS('SALES Raw'!$D$6:$D$4467,'SALES Raw'!$J$6:$J$4467,$J448,'SALES Raw'!$K$6:$K$4467,"Y")+SUMIFS('CEMIUP0.9 Raw'!$E$6:$E$1712,'CEMIUP0.9 Raw'!$B$6:$B$1712,$J448,'CEMIUP0.9 Raw'!$H$6:$H$1712,"Y")</f>
        <v>0</v>
      </c>
      <c r="F448" s="19" t="n">
        <f aca="false">SUMIFS('SALES Raw'!$E$6:$E$4467,'SALES Raw'!$J$6:$J$4467,$J448,'SALES Raw'!$K$6:$K$4467,"Y")*$H$4+SUMIFS('CEMIUP0.9 Raw'!$F$6:$F$1712,'CEMIUP0.9 Raw'!$B$6:$B$1712,$J448,'CEMIUP0.9 Raw'!$H$6:$H$1712,"Y")</f>
        <v>17.6842105263158</v>
      </c>
      <c r="G448" s="19" t="n">
        <f aca="false">SUMIFS('SALES Raw'!$F$6:$F$4467,'SALES Raw'!$J$6:$J$4467,$J448,'SALES Raw'!$K$6:$K$4467,"Y")*$H$4+SUMIFS('CEMIUP0.9 Raw'!$G$6:$G$1712,'CEMIUP0.9 Raw'!$B$6:$B$1712,$J448,'CEMIUP0.9 Raw'!$H$6:$H$1712,"Y")</f>
        <v>15412.4715789474</v>
      </c>
      <c r="H448" s="18" t="s">
        <v>42</v>
      </c>
      <c r="I448" s="18" t="s">
        <v>44</v>
      </c>
      <c r="J448" s="18" t="s">
        <v>117</v>
      </c>
    </row>
    <row r="449" customFormat="false" ht="15" hidden="false" customHeight="false" outlineLevel="0" collapsed="false">
      <c r="A449" s="18" t="str">
        <f aca="false">IF(ISNUMBER($J449),$J449,"")</f>
        <v/>
      </c>
      <c r="B449" s="18" t="str">
        <f aca="false">IFERROR(INDEX('SALES Raw'!$B$6:$B$4467,MATCH($J449,'SALES Raw'!$J$6:$J$4467,0)),IFERROR(INDEX('CEMIUP0.9 Raw'!$B$6:$B$1712,MATCH($J449,'CEMIUP0.9 Raw'!$B$6:$B$1712,0)),$J449))</f>
        <v>T33 XL</v>
      </c>
      <c r="C449" s="18" t="str">
        <f aca="false">IF(ISNUMBER($J449),IFERROR(INDEX('TRANS'!$C:$C,MATCH($J449,'TRANS'!$B:$B,0)),IFERROR(INDEX('Catalog'!$B:$B,MATCH($J449,'Catalog'!$A:$A,0)),$B449)),$B449)</f>
        <v>T33 XL</v>
      </c>
      <c r="D449" s="19" t="n">
        <f aca="false">SUMIFS('SALES Raw'!$C$6:$C$4467,'SALES Raw'!$J$6:$J$4467,$J449,'SALES Raw'!$K$6:$K$4467,"Y")+SUMIFS('CEMIUP0.9 Raw'!$D$6:$D$1712,'CEMIUP0.9 Raw'!$B$6:$B$1712,$J449,'CEMIUP0.9 Raw'!$H$6:$H$1712,"Y")</f>
        <v>21</v>
      </c>
      <c r="E449" s="19" t="n">
        <f aca="false">SUMIFS('SALES Raw'!$D$6:$D$4467,'SALES Raw'!$J$6:$J$4467,$J449,'SALES Raw'!$K$6:$K$4467,"Y")+SUMIFS('CEMIUP0.9 Raw'!$E$6:$E$1712,'CEMIUP0.9 Raw'!$B$6:$B$1712,$J449,'CEMIUP0.9 Raw'!$H$6:$H$1712,"Y")</f>
        <v>2647.74</v>
      </c>
      <c r="F449" s="19" t="n">
        <f aca="false">SUMIFS('SALES Raw'!$E$6:$E$4467,'SALES Raw'!$J$6:$J$4467,$J449,'SALES Raw'!$K$6:$K$4467,"Y")*$H$4+SUMIFS('CEMIUP0.9 Raw'!$F$6:$F$1712,'CEMIUP0.9 Raw'!$B$6:$B$1712,$J449,'CEMIUP0.9 Raw'!$H$6:$H$1712,"Y")</f>
        <v>17.6842105263158</v>
      </c>
      <c r="G449" s="19" t="n">
        <f aca="false">SUMIFS('SALES Raw'!$F$6:$F$4467,'SALES Raw'!$J$6:$J$4467,$J449,'SALES Raw'!$K$6:$K$4467,"Y")*$H$4+SUMIFS('CEMIUP0.9 Raw'!$G$6:$G$1712,'CEMIUP0.9 Raw'!$B$6:$B$1712,$J449,'CEMIUP0.9 Raw'!$H$6:$H$1712,"Y")</f>
        <v>2584.26947368421</v>
      </c>
      <c r="H449" s="18" t="s">
        <v>48</v>
      </c>
      <c r="I449" s="18" t="s">
        <v>42</v>
      </c>
      <c r="J449" s="18" t="s">
        <v>118</v>
      </c>
    </row>
    <row r="450" customFormat="false" ht="15" hidden="false" customHeight="false" outlineLevel="0" collapsed="false">
      <c r="A450" s="18" t="n">
        <f aca="false">IF(ISNUMBER($J450),$J450,"")</f>
        <v>4408180</v>
      </c>
      <c r="B450" s="18" t="str">
        <f aca="false">IFERROR(INDEX('SALES Raw'!$B$6:$B$4467,MATCH($J450,'SALES Raw'!$J$6:$J$4467,0)),IFERROR(INDEX('CEMIUP0.9 Raw'!$B$6:$B$1712,MATCH($J450,'CEMIUP0.9 Raw'!$B$6:$B$1712,0)),$J450))</f>
        <v>13 XXL</v>
      </c>
      <c r="C450" s="18" t="str">
        <f aca="false">IF(ISNUMBER($J450),IFERROR(INDEX('TRANS'!$C:$C,MATCH($J450,'TRANS'!$B:$B,0)),IFERROR(INDEX('Catalog'!$B:$B,MATCH($J450,'Catalog'!$A:$A,0)),$B450)),$B450)</f>
        <v>13 XXL חגורה לשבר טבור</v>
      </c>
      <c r="D450" s="19" t="n">
        <f aca="false">SUMIFS('SALES Raw'!$C$6:$C$4467,'SALES Raw'!$J$6:$J$4467,$J450,'SALES Raw'!$K$6:$K$4467,"Y")+SUMIFS('CEMIUP0.9 Raw'!$D$6:$D$1712,'CEMIUP0.9 Raw'!$B$6:$B$1712,$J450,'CEMIUP0.9 Raw'!$H$6:$H$1712,"Y")</f>
        <v>12</v>
      </c>
      <c r="E450" s="19" t="n">
        <f aca="false">SUMIFS('SALES Raw'!$D$6:$D$4467,'SALES Raw'!$J$6:$J$4467,$J450,'SALES Raw'!$K$6:$K$4467,"Y")+SUMIFS('CEMIUP0.9 Raw'!$E$6:$E$1712,'CEMIUP0.9 Raw'!$B$6:$B$1712,$J450,'CEMIUP0.9 Raw'!$H$6:$H$1712,"Y")</f>
        <v>1608.541</v>
      </c>
      <c r="F450" s="19" t="n">
        <f aca="false">SUMIFS('SALES Raw'!$E$6:$E$4467,'SALES Raw'!$J$6:$J$4467,$J450,'SALES Raw'!$K$6:$K$4467,"Y")*$H$4+SUMIFS('CEMIUP0.9 Raw'!$F$6:$F$1712,'CEMIUP0.9 Raw'!$B$6:$B$1712,$J450,'CEMIUP0.9 Raw'!$H$6:$H$1712,"Y")</f>
        <v>17.6842105263158</v>
      </c>
      <c r="G450" s="19" t="n">
        <f aca="false">SUMIFS('SALES Raw'!$F$6:$F$4467,'SALES Raw'!$J$6:$J$4467,$J450,'SALES Raw'!$K$6:$K$4467,"Y")*$H$4+SUMIFS('CEMIUP0.9 Raw'!$G$6:$G$1712,'CEMIUP0.9 Raw'!$B$6:$B$1712,$J450,'CEMIUP0.9 Raw'!$H$6:$H$1712,"Y")</f>
        <v>3442.98947368421</v>
      </c>
      <c r="H450" s="18" t="s">
        <v>42</v>
      </c>
      <c r="I450" s="18" t="s">
        <v>44</v>
      </c>
      <c r="J450" s="18" t="n">
        <v>4408180</v>
      </c>
    </row>
    <row r="451" customFormat="false" ht="15" hidden="false" customHeight="false" outlineLevel="0" collapsed="false">
      <c r="A451" s="18" t="n">
        <f aca="false">IF(ISNUMBER($J451),$J451,"")</f>
        <v>4408120</v>
      </c>
      <c r="B451" s="18" t="str">
        <f aca="false">IFERROR(INDEX('SALES Raw'!$B$6:$B$4467,MATCH($J451,'SALES Raw'!$J$6:$J$4467,0)),IFERROR(INDEX('CEMIUP0.9 Raw'!$B$6:$B$1712,MATCH($J451,'CEMIUP0.9 Raw'!$B$6:$B$1712,0)),$J451))</f>
        <v>06U XL</v>
      </c>
      <c r="C451" s="18" t="str">
        <f aca="false">IF(ISNUMBER($J451),IFERROR(INDEX('TRANS'!$C:$C,MATCH($J451,'TRANS'!$B:$B,0)),IFERROR(INDEX('Catalog'!$B:$B,MATCH($J451,'Catalog'!$A:$A,0)),$B451)),$B451)</f>
        <v>06U XL ח.בטן מותנית צר</v>
      </c>
      <c r="D451" s="19" t="n">
        <f aca="false">SUMIFS('SALES Raw'!$C$6:$C$4467,'SALES Raw'!$J$6:$J$4467,$J451,'SALES Raw'!$K$6:$K$4467,"Y")+SUMIFS('CEMIUP0.9 Raw'!$D$6:$D$1712,'CEMIUP0.9 Raw'!$B$6:$B$1712,$J451,'CEMIUP0.9 Raw'!$H$6:$H$1712,"Y")</f>
        <v>19</v>
      </c>
      <c r="E451" s="19" t="n">
        <f aca="false">SUMIFS('SALES Raw'!$D$6:$D$4467,'SALES Raw'!$J$6:$J$4467,$J451,'SALES Raw'!$K$6:$K$4467,"Y")+SUMIFS('CEMIUP0.9 Raw'!$E$6:$E$1712,'CEMIUP0.9 Raw'!$B$6:$B$1712,$J451,'CEMIUP0.9 Raw'!$H$6:$H$1712,"Y")</f>
        <v>2991.151</v>
      </c>
      <c r="F451" s="19" t="n">
        <f aca="false">SUMIFS('SALES Raw'!$E$6:$E$4467,'SALES Raw'!$J$6:$J$4467,$J451,'SALES Raw'!$K$6:$K$4467,"Y")*$H$4+SUMIFS('CEMIUP0.9 Raw'!$F$6:$F$1712,'CEMIUP0.9 Raw'!$B$6:$B$1712,$J451,'CEMIUP0.9 Raw'!$H$6:$H$1712,"Y")</f>
        <v>17.6842105263158</v>
      </c>
      <c r="G451" s="19" t="n">
        <f aca="false">SUMIFS('SALES Raw'!$F$6:$F$4467,'SALES Raw'!$J$6:$J$4467,$J451,'SALES Raw'!$K$6:$K$4467,"Y")*$H$4+SUMIFS('CEMIUP0.9 Raw'!$G$6:$G$1712,'CEMIUP0.9 Raw'!$B$6:$B$1712,$J451,'CEMIUP0.9 Raw'!$H$6:$H$1712,"Y")</f>
        <v>3234.27157894737</v>
      </c>
      <c r="H451" s="18" t="s">
        <v>44</v>
      </c>
      <c r="I451" s="18" t="s">
        <v>42</v>
      </c>
      <c r="J451" s="18" t="n">
        <v>4408120</v>
      </c>
    </row>
    <row r="452" customFormat="false" ht="15" hidden="false" customHeight="false" outlineLevel="0" collapsed="false">
      <c r="A452" s="18" t="n">
        <f aca="false">IF(ISNUMBER($J452),$J452,"")</f>
        <v>4408031</v>
      </c>
      <c r="B452" s="18" t="str">
        <f aca="false">IFERROR(INDEX('SALES Raw'!$B$6:$B$4467,MATCH($J452,'SALES Raw'!$J$6:$J$4467,0)),IFERROR(INDEX('CEMIUP0.9 Raw'!$B$6:$B$1712,MATCH($J452,'CEMIUP0.9 Raw'!$B$6:$B$1712,0)),$J452))</f>
        <v>11 S</v>
      </c>
      <c r="C452" s="18" t="str">
        <f aca="false">IF(ISNUMBER($J452),IFERROR(INDEX('TRANS'!$C:$C,MATCH($J452,'TRANS'!$B:$B,0)),IFERROR(INDEX('Catalog'!$B:$B,MATCH($J452,'Catalog'!$A:$A,0)),$B452)),$B452)</f>
        <v>11 S""""חגורת בטן""""אורירית</v>
      </c>
      <c r="D452" s="19" t="n">
        <f aca="false">SUMIFS('SALES Raw'!$C$6:$C$4467,'SALES Raw'!$J$6:$J$4467,$J452,'SALES Raw'!$K$6:$K$4467,"Y")+SUMIFS('CEMIUP0.9 Raw'!$D$6:$D$1712,'CEMIUP0.9 Raw'!$B$6:$B$1712,$J452,'CEMIUP0.9 Raw'!$H$6:$H$1712,"Y")</f>
        <v>49</v>
      </c>
      <c r="E452" s="19" t="n">
        <f aca="false">SUMIFS('SALES Raw'!$D$6:$D$4467,'SALES Raw'!$J$6:$J$4467,$J452,'SALES Raw'!$K$6:$K$4467,"Y")+SUMIFS('CEMIUP0.9 Raw'!$E$6:$E$1712,'CEMIUP0.9 Raw'!$B$6:$B$1712,$J452,'CEMIUP0.9 Raw'!$H$6:$H$1712,"Y")</f>
        <v>4144.599</v>
      </c>
      <c r="F452" s="19" t="n">
        <f aca="false">SUMIFS('SALES Raw'!$E$6:$E$4467,'SALES Raw'!$J$6:$J$4467,$J452,'SALES Raw'!$K$6:$K$4467,"Y")*$H$4+SUMIFS('CEMIUP0.9 Raw'!$F$6:$F$1712,'CEMIUP0.9 Raw'!$B$6:$B$1712,$J452,'CEMIUP0.9 Raw'!$H$6:$H$1712,"Y")</f>
        <v>17.6842105263158</v>
      </c>
      <c r="G452" s="19" t="n">
        <f aca="false">SUMIFS('SALES Raw'!$F$6:$F$4467,'SALES Raw'!$J$6:$J$4467,$J452,'SALES Raw'!$K$6:$K$4467,"Y")*$H$4+SUMIFS('CEMIUP0.9 Raw'!$G$6:$G$1712,'CEMIUP0.9 Raw'!$B$6:$B$1712,$J452,'CEMIUP0.9 Raw'!$H$6:$H$1712,"Y")</f>
        <v>2193.15157894737</v>
      </c>
      <c r="H452" s="18" t="s">
        <v>43</v>
      </c>
      <c r="I452" s="18" t="s">
        <v>42</v>
      </c>
      <c r="J452" s="18" t="n">
        <v>4408031</v>
      </c>
    </row>
    <row r="453" customFormat="false" ht="15" hidden="false" customHeight="false" outlineLevel="0" collapsed="false">
      <c r="A453" s="18" t="n">
        <f aca="false">IF(ISNUMBER($J453),$J453,"")</f>
        <v>4408134</v>
      </c>
      <c r="B453" s="18" t="str">
        <f aca="false">IFERROR(INDEX('SALES Raw'!$B$6:$B$4467,MATCH($J453,'SALES Raw'!$J$6:$J$4467,0)),IFERROR(INDEX('CEMIUP0.9 Raw'!$B$6:$B$1712,MATCH($J453,'CEMIUP0.9 Raw'!$B$6:$B$1712,0)),$J453))</f>
        <v>077A-S-M</v>
      </c>
      <c r="C453" s="18" t="str">
        <f aca="false">IF(ISNUMBER($J453),IFERROR(INDEX('TRANS'!$C:$C,MATCH($J453,'TRANS'!$B:$B,0)),IFERROR(INDEX('Catalog'!$B:$B,MATCH($J453,'Catalog'!$A:$A,0)),$B453)),$B453)</f>
        <v>077A S-M חגורת גב</v>
      </c>
      <c r="D453" s="19" t="n">
        <f aca="false">SUMIFS('SALES Raw'!$C$6:$C$4467,'SALES Raw'!$J$6:$J$4467,$J453,'SALES Raw'!$K$6:$K$4467,"Y")+SUMIFS('CEMIUP0.9 Raw'!$D$6:$D$1712,'CEMIUP0.9 Raw'!$B$6:$B$1712,$J453,'CEMIUP0.9 Raw'!$H$6:$H$1712,"Y")</f>
        <v>71</v>
      </c>
      <c r="E453" s="19" t="n">
        <f aca="false">SUMIFS('SALES Raw'!$D$6:$D$4467,'SALES Raw'!$J$6:$J$4467,$J453,'SALES Raw'!$K$6:$K$4467,"Y")+SUMIFS('CEMIUP0.9 Raw'!$E$6:$E$1712,'CEMIUP0.9 Raw'!$B$6:$B$1712,$J453,'CEMIUP0.9 Raw'!$H$6:$H$1712,"Y")</f>
        <v>6204.474</v>
      </c>
      <c r="F453" s="19" t="n">
        <f aca="false">SUMIFS('SALES Raw'!$E$6:$E$4467,'SALES Raw'!$J$6:$J$4467,$J453,'SALES Raw'!$K$6:$K$4467,"Y")*$H$4+SUMIFS('CEMIUP0.9 Raw'!$F$6:$F$1712,'CEMIUP0.9 Raw'!$B$6:$B$1712,$J453,'CEMIUP0.9 Raw'!$H$6:$H$1712,"Y")</f>
        <v>17.6842105263158</v>
      </c>
      <c r="G453" s="19" t="n">
        <f aca="false">SUMIFS('SALES Raw'!$F$6:$F$4467,'SALES Raw'!$J$6:$J$4467,$J453,'SALES Raw'!$K$6:$K$4467,"Y")*$H$4+SUMIFS('CEMIUP0.9 Raw'!$G$6:$G$1712,'CEMIUP0.9 Raw'!$B$6:$B$1712,$J453,'CEMIUP0.9 Raw'!$H$6:$H$1712,"Y")</f>
        <v>2590.3452631579</v>
      </c>
      <c r="H453" s="18" t="s">
        <v>43</v>
      </c>
      <c r="I453" s="18" t="s">
        <v>42</v>
      </c>
      <c r="J453" s="18" t="n">
        <v>4408134</v>
      </c>
    </row>
    <row r="454" customFormat="false" ht="15" hidden="false" customHeight="false" outlineLevel="0" collapsed="false">
      <c r="A454" s="18" t="str">
        <f aca="false">IF(ISNUMBER($J454),$J454,"")</f>
        <v/>
      </c>
      <c r="B454" s="18" t="str">
        <f aca="false">IFERROR(INDEX('SALES Raw'!$B$6:$B$4467,MATCH($J454,'SALES Raw'!$J$6:$J$4467,0)),IFERROR(INDEX('CEMIUP0.9 Raw'!$B$6:$B$1712,MATCH($J454,'CEMIUP0.9 Raw'!$B$6:$B$1712,0)),$J454))</f>
        <v>67600000</v>
      </c>
      <c r="C454" s="18" t="str">
        <f aca="false">IF(ISNUMBER($J454),IFERROR(INDEX('TRANS'!$C:$C,MATCH($J454,'TRANS'!$B:$B,0)),IFERROR(INDEX('Catalog'!$B:$B,MATCH($J454,'Catalog'!$A:$A,0)),$B454)),$B454)</f>
        <v>67600000</v>
      </c>
      <c r="D454" s="19" t="n">
        <f aca="false">SUMIFS('SALES Raw'!$C$6:$C$4467,'SALES Raw'!$J$6:$J$4467,$J454,'SALES Raw'!$K$6:$K$4467,"Y")+SUMIFS('CEMIUP0.9 Raw'!$D$6:$D$1712,'CEMIUP0.9 Raw'!$B$6:$B$1712,$J454,'CEMIUP0.9 Raw'!$H$6:$H$1712,"Y")</f>
        <v>250</v>
      </c>
      <c r="E454" s="19" t="n">
        <f aca="false">SUMIFS('SALES Raw'!$D$6:$D$4467,'SALES Raw'!$J$6:$J$4467,$J454,'SALES Raw'!$K$6:$K$4467,"Y")+SUMIFS('CEMIUP0.9 Raw'!$E$6:$E$1712,'CEMIUP0.9 Raw'!$B$6:$B$1712,$J454,'CEMIUP0.9 Raw'!$H$6:$H$1712,"Y")</f>
        <v>0</v>
      </c>
      <c r="F454" s="19" t="n">
        <f aca="false">SUMIFS('SALES Raw'!$E$6:$E$4467,'SALES Raw'!$J$6:$J$4467,$J454,'SALES Raw'!$K$6:$K$4467,"Y")*$H$4+SUMIFS('CEMIUP0.9 Raw'!$F$6:$F$1712,'CEMIUP0.9 Raw'!$B$6:$B$1712,$J454,'CEMIUP0.9 Raw'!$H$6:$H$1712,"Y")</f>
        <v>16.421052631579</v>
      </c>
      <c r="G454" s="19" t="n">
        <f aca="false">SUMIFS('SALES Raw'!$F$6:$F$4467,'SALES Raw'!$J$6:$J$4467,$J454,'SALES Raw'!$K$6:$K$4467,"Y")*$H$4+SUMIFS('CEMIUP0.9 Raw'!$G$6:$G$1712,'CEMIUP0.9 Raw'!$B$6:$B$1712,$J454,'CEMIUP0.9 Raw'!$H$6:$H$1712,"Y")</f>
        <v>0</v>
      </c>
      <c r="H454" s="18" t="s">
        <v>44</v>
      </c>
      <c r="I454" s="18" t="s">
        <v>43</v>
      </c>
      <c r="J454" s="18" t="s">
        <v>119</v>
      </c>
    </row>
    <row r="455" customFormat="false" ht="15" hidden="false" customHeight="false" outlineLevel="0" collapsed="false">
      <c r="A455" s="18" t="n">
        <f aca="false">IF(ISNUMBER($J455),$J455,"")</f>
        <v>4413018</v>
      </c>
      <c r="B455" s="18" t="str">
        <f aca="false">IFERROR(INDEX('SALES Raw'!$B$6:$B$4467,MATCH($J455,'SALES Raw'!$J$6:$J$4467,0)),IFERROR(INDEX('CEMIUP0.9 Raw'!$B$6:$B$1712,MATCH($J455,'CEMIUP0.9 Raw'!$B$6:$B$1712,0)),$J455))</f>
        <v>303-37-38</v>
      </c>
      <c r="C455" s="18" t="str">
        <f aca="false">IF(ISNUMBER($J455),IFERROR(INDEX('TRANS'!$C:$C,MATCH($J455,'TRANS'!$B:$B,0)),IFERROR(INDEX('Catalog'!$B:$B,MATCH($J455,'Catalog'!$A:$A,0)),$B455)),$B455)</f>
        <v>303 37-38 מדרסי סיליק.לח.סכרת</v>
      </c>
      <c r="D455" s="19" t="n">
        <f aca="false">SUMIFS('SALES Raw'!$C$6:$C$4467,'SALES Raw'!$J$6:$J$4467,$J455,'SALES Raw'!$K$6:$K$4467,"Y")+SUMIFS('CEMIUP0.9 Raw'!$D$6:$D$1712,'CEMIUP0.9 Raw'!$B$6:$B$1712,$J455,'CEMIUP0.9 Raw'!$H$6:$H$1712,"Y")</f>
        <v>4</v>
      </c>
      <c r="E455" s="19" t="n">
        <f aca="false">SUMIFS('SALES Raw'!$D$6:$D$4467,'SALES Raw'!$J$6:$J$4467,$J455,'SALES Raw'!$K$6:$K$4467,"Y")+SUMIFS('CEMIUP0.9 Raw'!$E$6:$E$1712,'CEMIUP0.9 Raw'!$B$6:$B$1712,$J455,'CEMIUP0.9 Raw'!$H$6:$H$1712,"Y")</f>
        <v>526.925</v>
      </c>
      <c r="F455" s="19" t="n">
        <f aca="false">SUMIFS('SALES Raw'!$E$6:$E$4467,'SALES Raw'!$J$6:$J$4467,$J455,'SALES Raw'!$K$6:$K$4467,"Y")*$H$4+SUMIFS('CEMIUP0.9 Raw'!$F$6:$F$1712,'CEMIUP0.9 Raw'!$B$6:$B$1712,$J455,'CEMIUP0.9 Raw'!$H$6:$H$1712,"Y")</f>
        <v>16.421052631579</v>
      </c>
      <c r="G455" s="19" t="n">
        <f aca="false">SUMIFS('SALES Raw'!$F$6:$F$4467,'SALES Raw'!$J$6:$J$4467,$J455,'SALES Raw'!$K$6:$K$4467,"Y")*$H$4+SUMIFS('CEMIUP0.9 Raw'!$G$6:$G$1712,'CEMIUP0.9 Raw'!$B$6:$B$1712,$J455,'CEMIUP0.9 Raw'!$H$6:$H$1712,"Y")</f>
        <v>1652.82442105263</v>
      </c>
      <c r="H455" s="18" t="s">
        <v>95</v>
      </c>
      <c r="I455" s="18" t="s">
        <v>44</v>
      </c>
      <c r="J455" s="18" t="n">
        <v>4413018</v>
      </c>
    </row>
    <row r="456" customFormat="false" ht="15" hidden="false" customHeight="false" outlineLevel="0" collapsed="false">
      <c r="A456" s="18" t="n">
        <f aca="false">IF(ISNUMBER($J456),$J456,"")</f>
        <v>4408016</v>
      </c>
      <c r="B456" s="18" t="str">
        <f aca="false">IFERROR(INDEX('SALES Raw'!$B$6:$B$4467,MATCH($J456,'SALES Raw'!$J$6:$J$4467,0)),IFERROR(INDEX('CEMIUP0.9 Raw'!$B$6:$B$1712,MATCH($J456,'CEMIUP0.9 Raw'!$B$6:$B$1712,0)),$J456))</f>
        <v>07AU M</v>
      </c>
      <c r="C456" s="18" t="str">
        <f aca="false">IF(ISNUMBER($J456),IFERROR(INDEX('TRANS'!$C:$C,MATCH($J456,'TRANS'!$B:$B,0)),IFERROR(INDEX('Catalog'!$B:$B,MATCH($J456,'Catalog'!$A:$A,0)),$B456)),$B456)</f>
        <v>07AU M ח.גב """"איטלקית"""" אורירית</v>
      </c>
      <c r="D456" s="19" t="n">
        <f aca="false">SUMIFS('SALES Raw'!$C$6:$C$4467,'SALES Raw'!$J$6:$J$4467,$J456,'SALES Raw'!$K$6:$K$4467,"Y")+SUMIFS('CEMIUP0.9 Raw'!$D$6:$D$1712,'CEMIUP0.9 Raw'!$B$6:$B$1712,$J456,'CEMIUP0.9 Raw'!$H$6:$H$1712,"Y")</f>
        <v>30</v>
      </c>
      <c r="E456" s="19" t="n">
        <f aca="false">SUMIFS('SALES Raw'!$D$6:$D$4467,'SALES Raw'!$J$6:$J$4467,$J456,'SALES Raw'!$K$6:$K$4467,"Y")+SUMIFS('CEMIUP0.9 Raw'!$E$6:$E$1712,'CEMIUP0.9 Raw'!$B$6:$B$1712,$J456,'CEMIUP0.9 Raw'!$H$6:$H$1712,"Y")</f>
        <v>6298.795</v>
      </c>
      <c r="F456" s="19" t="n">
        <f aca="false">SUMIFS('SALES Raw'!$E$6:$E$4467,'SALES Raw'!$J$6:$J$4467,$J456,'SALES Raw'!$K$6:$K$4467,"Y")*$H$4+SUMIFS('CEMIUP0.9 Raw'!$F$6:$F$1712,'CEMIUP0.9 Raw'!$B$6:$B$1712,$J456,'CEMIUP0.9 Raw'!$H$6:$H$1712,"Y")</f>
        <v>16.421052631579</v>
      </c>
      <c r="G456" s="19" t="n">
        <f aca="false">SUMIFS('SALES Raw'!$F$6:$F$4467,'SALES Raw'!$J$6:$J$4467,$J456,'SALES Raw'!$K$6:$K$4467,"Y")*$H$4+SUMIFS('CEMIUP0.9 Raw'!$G$6:$G$1712,'CEMIUP0.9 Raw'!$B$6:$B$1712,$J456,'CEMIUP0.9 Raw'!$H$6:$H$1712,"Y")</f>
        <v>4082.67536842105</v>
      </c>
      <c r="H456" s="18" t="s">
        <v>44</v>
      </c>
      <c r="I456" s="18" t="s">
        <v>48</v>
      </c>
      <c r="J456" s="18" t="n">
        <v>4408016</v>
      </c>
    </row>
    <row r="457" customFormat="false" ht="15" hidden="false" customHeight="false" outlineLevel="0" collapsed="false">
      <c r="A457" s="18" t="n">
        <f aca="false">IF(ISNUMBER($J457),$J457,"")</f>
        <v>4408079</v>
      </c>
      <c r="B457" s="18" t="str">
        <f aca="false">IFERROR(INDEX('SALES Raw'!$B$6:$B$4467,MATCH($J457,'SALES Raw'!$J$6:$J$4467,0)),IFERROR(INDEX('CEMIUP0.9 Raw'!$B$6:$B$1712,MATCH($J457,'CEMIUP0.9 Raw'!$B$6:$B$1712,0)),$J457))</f>
        <v>59R S</v>
      </c>
      <c r="C457" s="18" t="str">
        <f aca="false">IF(ISNUMBER($J457),IFERROR(INDEX('TRANS'!$C:$C,MATCH($J457,'TRANS'!$B:$B,0)),IFERROR(INDEX('Catalog'!$B:$B,MATCH($J457,'Catalog'!$A:$A,0)),$B457)),$B457)</f>
        <v>59R S חגורת שבר לצד ימין</v>
      </c>
      <c r="D457" s="19" t="n">
        <f aca="false">SUMIFS('SALES Raw'!$C$6:$C$4467,'SALES Raw'!$J$6:$J$4467,$J457,'SALES Raw'!$K$6:$K$4467,"Y")+SUMIFS('CEMIUP0.9 Raw'!$D$6:$D$1712,'CEMIUP0.9 Raw'!$B$6:$B$1712,$J457,'CEMIUP0.9 Raw'!$H$6:$H$1712,"Y")</f>
        <v>36</v>
      </c>
      <c r="E457" s="19" t="n">
        <f aca="false">SUMIFS('SALES Raw'!$D$6:$D$4467,'SALES Raw'!$J$6:$J$4467,$J457,'SALES Raw'!$K$6:$K$4467,"Y")+SUMIFS('CEMIUP0.9 Raw'!$E$6:$E$1712,'CEMIUP0.9 Raw'!$B$6:$B$1712,$J457,'CEMIUP0.9 Raw'!$H$6:$H$1712,"Y")</f>
        <v>6435.458</v>
      </c>
      <c r="F457" s="19" t="n">
        <f aca="false">SUMIFS('SALES Raw'!$E$6:$E$4467,'SALES Raw'!$J$6:$J$4467,$J457,'SALES Raw'!$K$6:$K$4467,"Y")*$H$4+SUMIFS('CEMIUP0.9 Raw'!$F$6:$F$1712,'CEMIUP0.9 Raw'!$B$6:$B$1712,$J457,'CEMIUP0.9 Raw'!$H$6:$H$1712,"Y")</f>
        <v>16.421052631579</v>
      </c>
      <c r="G457" s="19" t="n">
        <f aca="false">SUMIFS('SALES Raw'!$F$6:$F$4467,'SALES Raw'!$J$6:$J$4467,$J457,'SALES Raw'!$K$6:$K$4467,"Y")*$H$4+SUMIFS('CEMIUP0.9 Raw'!$G$6:$G$1712,'CEMIUP0.9 Raw'!$B$6:$B$1712,$J457,'CEMIUP0.9 Raw'!$H$6:$H$1712,"Y")</f>
        <v>3503.56547368421</v>
      </c>
      <c r="H457" s="18" t="s">
        <v>44</v>
      </c>
      <c r="I457" s="18" t="s">
        <v>42</v>
      </c>
      <c r="J457" s="18" t="n">
        <v>4408079</v>
      </c>
    </row>
    <row r="458" customFormat="false" ht="15" hidden="false" customHeight="false" outlineLevel="0" collapsed="false">
      <c r="A458" s="18" t="str">
        <f aca="false">IF(ISNUMBER($J458),$J458,"")</f>
        <v/>
      </c>
      <c r="B458" s="18" t="str">
        <f aca="false">IFERROR(INDEX('SALES Raw'!$B$6:$B$4467,MATCH($J458,'SALES Raw'!$J$6:$J$4467,0)),IFERROR(INDEX('CEMIUP0.9 Raw'!$B$6:$B$1712,MATCH($J458,'CEMIUP0.9 Raw'!$B$6:$B$1712,0)),$J458))</f>
        <v>06U M</v>
      </c>
      <c r="C458" s="18" t="str">
        <f aca="false">IF(ISNUMBER($J458),IFERROR(INDEX('TRANS'!$C:$C,MATCH($J458,'TRANS'!$B:$B,0)),IFERROR(INDEX('Catalog'!$B:$B,MATCH($J458,'Catalog'!$A:$A,0)),$B458)),$B458)</f>
        <v>06U M</v>
      </c>
      <c r="D458" s="19" t="n">
        <f aca="false">SUMIFS('SALES Raw'!$C$6:$C$4467,'SALES Raw'!$J$6:$J$4467,$J458,'SALES Raw'!$K$6:$K$4467,"Y")+SUMIFS('CEMIUP0.9 Raw'!$D$6:$D$1712,'CEMIUP0.9 Raw'!$B$6:$B$1712,$J458,'CEMIUP0.9 Raw'!$H$6:$H$1712,"Y")</f>
        <v>21</v>
      </c>
      <c r="E458" s="19" t="n">
        <f aca="false">SUMIFS('SALES Raw'!$D$6:$D$4467,'SALES Raw'!$J$6:$J$4467,$J458,'SALES Raw'!$K$6:$K$4467,"Y")+SUMIFS('CEMIUP0.9 Raw'!$E$6:$E$1712,'CEMIUP0.9 Raw'!$B$6:$B$1712,$J458,'CEMIUP0.9 Raw'!$H$6:$H$1712,"Y")</f>
        <v>3435.95</v>
      </c>
      <c r="F458" s="19" t="n">
        <f aca="false">SUMIFS('SALES Raw'!$E$6:$E$4467,'SALES Raw'!$J$6:$J$4467,$J458,'SALES Raw'!$K$6:$K$4467,"Y")*$H$4+SUMIFS('CEMIUP0.9 Raw'!$F$6:$F$1712,'CEMIUP0.9 Raw'!$B$6:$B$1712,$J458,'CEMIUP0.9 Raw'!$H$6:$H$1712,"Y")</f>
        <v>16.4210526315789</v>
      </c>
      <c r="G458" s="19" t="n">
        <f aca="false">SUMIFS('SALES Raw'!$F$6:$F$4467,'SALES Raw'!$J$6:$J$4467,$J458,'SALES Raw'!$K$6:$K$4467,"Y")*$H$4+SUMIFS('CEMIUP0.9 Raw'!$G$6:$G$1712,'CEMIUP0.9 Raw'!$B$6:$B$1712,$J458,'CEMIUP0.9 Raw'!$H$6:$H$1712,"Y")</f>
        <v>2977.46526315789</v>
      </c>
      <c r="H458" s="18" t="s">
        <v>44</v>
      </c>
      <c r="I458" s="18" t="s">
        <v>42</v>
      </c>
      <c r="J458" s="18" t="s">
        <v>120</v>
      </c>
    </row>
    <row r="459" customFormat="false" ht="15" hidden="false" customHeight="false" outlineLevel="0" collapsed="false">
      <c r="A459" s="18" t="str">
        <f aca="false">IF(ISNUMBER($J459),$J459,"")</f>
        <v/>
      </c>
      <c r="B459" s="18" t="str">
        <f aca="false">IFERROR(INDEX('SALES Raw'!$B$6:$B$4467,MATCH($J459,'SALES Raw'!$J$6:$J$4467,0)),IFERROR(INDEX('CEMIUP0.9 Raw'!$B$6:$B$1712,MATCH($J459,'CEMIUP0.9 Raw'!$B$6:$B$1712,0)),$J459))</f>
        <v>376-38-40</v>
      </c>
      <c r="C459" s="18" t="str">
        <f aca="false">IF(ISNUMBER($J459),IFERROR(INDEX('TRANS'!$C:$C,MATCH($J459,'TRANS'!$B:$B,0)),IFERROR(INDEX('Catalog'!$B:$B,MATCH($J459,'Catalog'!$A:$A,0)),$B459)),$B459)</f>
        <v>376-38-40</v>
      </c>
      <c r="D459" s="19" t="n">
        <f aca="false">SUMIFS('SALES Raw'!$C$6:$C$4467,'SALES Raw'!$J$6:$J$4467,$J459,'SALES Raw'!$K$6:$K$4467,"Y")+SUMIFS('CEMIUP0.9 Raw'!$D$6:$D$1712,'CEMIUP0.9 Raw'!$B$6:$B$1712,$J459,'CEMIUP0.9 Raw'!$H$6:$H$1712,"Y")</f>
        <v>16</v>
      </c>
      <c r="E459" s="19" t="n">
        <f aca="false">SUMIFS('SALES Raw'!$D$6:$D$4467,'SALES Raw'!$J$6:$J$4467,$J459,'SALES Raw'!$K$6:$K$4467,"Y")+SUMIFS('CEMIUP0.9 Raw'!$E$6:$E$1712,'CEMIUP0.9 Raw'!$B$6:$B$1712,$J459,'CEMIUP0.9 Raw'!$H$6:$H$1712,"Y")</f>
        <v>737.37</v>
      </c>
      <c r="F459" s="19" t="n">
        <f aca="false">SUMIFS('SALES Raw'!$E$6:$E$4467,'SALES Raw'!$J$6:$J$4467,$J459,'SALES Raw'!$K$6:$K$4467,"Y")*$H$4+SUMIFS('CEMIUP0.9 Raw'!$F$6:$F$1712,'CEMIUP0.9 Raw'!$B$6:$B$1712,$J459,'CEMIUP0.9 Raw'!$H$6:$H$1712,"Y")</f>
        <v>16.4210526315789</v>
      </c>
      <c r="G459" s="19" t="n">
        <f aca="false">SUMIFS('SALES Raw'!$F$6:$F$4467,'SALES Raw'!$J$6:$J$4467,$J459,'SALES Raw'!$K$6:$K$4467,"Y")*$H$4+SUMIFS('CEMIUP0.9 Raw'!$G$6:$G$1712,'CEMIUP0.9 Raw'!$B$6:$B$1712,$J459,'CEMIUP0.9 Raw'!$H$6:$H$1712,"Y")</f>
        <v>966.378947368421</v>
      </c>
      <c r="H459" s="18" t="s">
        <v>42</v>
      </c>
      <c r="I459" s="18" t="s">
        <v>46</v>
      </c>
      <c r="J459" s="18" t="s">
        <v>121</v>
      </c>
    </row>
    <row r="460" customFormat="false" ht="15" hidden="false" customHeight="false" outlineLevel="0" collapsed="false">
      <c r="A460" s="18" t="n">
        <f aca="false">IF(ISNUMBER($J460),$J460,"")</f>
        <v>4408087</v>
      </c>
      <c r="B460" s="18" t="str">
        <f aca="false">IFERROR(INDEX('SALES Raw'!$B$6:$B$4467,MATCH($J460,'SALES Raw'!$J$6:$J$4467,0)),IFERROR(INDEX('CEMIUP0.9 Raw'!$B$6:$B$1712,MATCH($J460,'CEMIUP0.9 Raw'!$B$6:$B$1712,0)),$J460))</f>
        <v>922 XL</v>
      </c>
      <c r="C460" s="18" t="str">
        <f aca="false">IF(ISNUMBER($J460),IFERROR(INDEX('TRANS'!$C:$C,MATCH($J460,'TRANS'!$B:$B,0)),IFERROR(INDEX('Catalog'!$B:$B,MATCH($J460,'Catalog'!$A:$A,0)),$B460)),$B460)</f>
        <v>922XLחבק יד לטניס כרית סיליק</v>
      </c>
      <c r="D460" s="19" t="n">
        <f aca="false">SUMIFS('SALES Raw'!$C$6:$C$4467,'SALES Raw'!$J$6:$J$4467,$J460,'SALES Raw'!$K$6:$K$4467,"Y")+SUMIFS('CEMIUP0.9 Raw'!$D$6:$D$1712,'CEMIUP0.9 Raw'!$B$6:$B$1712,$J460,'CEMIUP0.9 Raw'!$H$6:$H$1712,"Y")</f>
        <v>15</v>
      </c>
      <c r="E460" s="19" t="n">
        <f aca="false">SUMIFS('SALES Raw'!$D$6:$D$4467,'SALES Raw'!$J$6:$J$4467,$J460,'SALES Raw'!$K$6:$K$4467,"Y")+SUMIFS('CEMIUP0.9 Raw'!$E$6:$E$1712,'CEMIUP0.9 Raw'!$B$6:$B$1712,$J460,'CEMIUP0.9 Raw'!$H$6:$H$1712,"Y")</f>
        <v>1974.26</v>
      </c>
      <c r="F460" s="19" t="n">
        <f aca="false">SUMIFS('SALES Raw'!$E$6:$E$4467,'SALES Raw'!$J$6:$J$4467,$J460,'SALES Raw'!$K$6:$K$4467,"Y")*$H$4+SUMIFS('CEMIUP0.9 Raw'!$F$6:$F$1712,'CEMIUP0.9 Raw'!$B$6:$B$1712,$J460,'CEMIUP0.9 Raw'!$H$6:$H$1712,"Y")</f>
        <v>16.4210526315789</v>
      </c>
      <c r="G460" s="19" t="n">
        <f aca="false">SUMIFS('SALES Raw'!$F$6:$F$4467,'SALES Raw'!$J$6:$J$4467,$J460,'SALES Raw'!$K$6:$K$4467,"Y")*$H$4+SUMIFS('CEMIUP0.9 Raw'!$G$6:$G$1712,'CEMIUP0.9 Raw'!$B$6:$B$1712,$J460,'CEMIUP0.9 Raw'!$H$6:$H$1712,"Y")</f>
        <v>2365.66736842105</v>
      </c>
      <c r="H460" s="18" t="s">
        <v>44</v>
      </c>
      <c r="I460" s="18" t="s">
        <v>42</v>
      </c>
      <c r="J460" s="18" t="n">
        <v>4408087</v>
      </c>
    </row>
    <row r="461" customFormat="false" ht="15" hidden="false" customHeight="false" outlineLevel="0" collapsed="false">
      <c r="A461" s="18" t="str">
        <f aca="false">IF(ISNUMBER($J461),$J461,"")</f>
        <v/>
      </c>
      <c r="B461" s="18" t="str">
        <f aca="false">IFERROR(INDEX('SALES Raw'!$B$6:$B$4467,MATCH($J461,'SALES Raw'!$J$6:$J$4467,0)),IFERROR(INDEX('CEMIUP0.9 Raw'!$B$6:$B$1712,MATCH($J461,'CEMIUP0.9 Raw'!$B$6:$B$1712,0)),$J461))</f>
        <v>N433D XL</v>
      </c>
      <c r="C461" s="18" t="str">
        <f aca="false">IF(ISNUMBER($J461),IFERROR(INDEX('TRANS'!$C:$C,MATCH($J461,'TRANS'!$B:$B,0)),IFERROR(INDEX('Catalog'!$B:$B,MATCH($J461,'Catalog'!$A:$A,0)),$B461)),$B461)</f>
        <v>N433D XL</v>
      </c>
      <c r="D461" s="19" t="n">
        <f aca="false">SUMIFS('SALES Raw'!$C$6:$C$4467,'SALES Raw'!$J$6:$J$4467,$J461,'SALES Raw'!$K$6:$K$4467,"Y")+SUMIFS('CEMIUP0.9 Raw'!$D$6:$D$1712,'CEMIUP0.9 Raw'!$B$6:$B$1712,$J461,'CEMIUP0.9 Raw'!$H$6:$H$1712,"Y")</f>
        <v>13</v>
      </c>
      <c r="E461" s="19" t="n">
        <f aca="false">SUMIFS('SALES Raw'!$D$6:$D$4467,'SALES Raw'!$J$6:$J$4467,$J461,'SALES Raw'!$K$6:$K$4467,"Y")+SUMIFS('CEMIUP0.9 Raw'!$E$6:$E$1712,'CEMIUP0.9 Raw'!$B$6:$B$1712,$J461,'CEMIUP0.9 Raw'!$H$6:$H$1712,"Y")</f>
        <v>5129.01</v>
      </c>
      <c r="F461" s="19" t="n">
        <f aca="false">SUMIFS('SALES Raw'!$E$6:$E$4467,'SALES Raw'!$J$6:$J$4467,$J461,'SALES Raw'!$K$6:$K$4467,"Y")*$H$4+SUMIFS('CEMIUP0.9 Raw'!$F$6:$F$1712,'CEMIUP0.9 Raw'!$B$6:$B$1712,$J461,'CEMIUP0.9 Raw'!$H$6:$H$1712,"Y")</f>
        <v>16.4210526315789</v>
      </c>
      <c r="G461" s="19" t="n">
        <f aca="false">SUMIFS('SALES Raw'!$F$6:$F$4467,'SALES Raw'!$J$6:$J$4467,$J461,'SALES Raw'!$K$6:$K$4467,"Y")*$H$4+SUMIFS('CEMIUP0.9 Raw'!$G$6:$G$1712,'CEMIUP0.9 Raw'!$B$6:$B$1712,$J461,'CEMIUP0.9 Raw'!$H$6:$H$1712,"Y")</f>
        <v>5895.22105263158</v>
      </c>
      <c r="H461" s="18" t="s">
        <v>44</v>
      </c>
      <c r="I461" s="18" t="s">
        <v>42</v>
      </c>
      <c r="J461" s="18" t="s">
        <v>122</v>
      </c>
    </row>
    <row r="462" customFormat="false" ht="15" hidden="false" customHeight="false" outlineLevel="0" collapsed="false">
      <c r="A462" s="18" t="n">
        <f aca="false">IF(ISNUMBER($J462),$J462,"")</f>
        <v>4408226</v>
      </c>
      <c r="B462" s="18" t="str">
        <f aca="false">IFERROR(INDEX('SALES Raw'!$B$6:$B$4467,MATCH($J462,'SALES Raw'!$J$6:$J$4467,0)),IFERROR(INDEX('CEMIUP0.9 Raw'!$B$6:$B$1712,MATCH($J462,'CEMIUP0.9 Raw'!$B$6:$B$1712,0)),$J462))</f>
        <v>11UG L</v>
      </c>
      <c r="C462" s="18" t="str">
        <f aca="false">IF(ISNUMBER($J462),IFERROR(INDEX('TRANS'!$C:$C,MATCH($J462,'TRANS'!$B:$B,0)),IFERROR(INDEX('Catalog'!$B:$B,MATCH($J462,'Catalog'!$A:$A,0)),$B462)),$B462)</f>
        <v>L 11 אפורUG חגורת בטן</v>
      </c>
      <c r="D462" s="19" t="n">
        <f aca="false">SUMIFS('SALES Raw'!$C$6:$C$4467,'SALES Raw'!$J$6:$J$4467,$J462,'SALES Raw'!$K$6:$K$4467,"Y")+SUMIFS('CEMIUP0.9 Raw'!$D$6:$D$1712,'CEMIUP0.9 Raw'!$B$6:$B$1712,$J462,'CEMIUP0.9 Raw'!$H$6:$H$1712,"Y")</f>
        <v>9</v>
      </c>
      <c r="E462" s="19" t="n">
        <f aca="false">SUMIFS('SALES Raw'!$D$6:$D$4467,'SALES Raw'!$J$6:$J$4467,$J462,'SALES Raw'!$K$6:$K$4467,"Y")+SUMIFS('CEMIUP0.9 Raw'!$E$6:$E$1712,'CEMIUP0.9 Raw'!$B$6:$B$1712,$J462,'CEMIUP0.9 Raw'!$H$6:$H$1712,"Y")</f>
        <v>1204.371</v>
      </c>
      <c r="F462" s="19" t="n">
        <f aca="false">SUMIFS('SALES Raw'!$E$6:$E$4467,'SALES Raw'!$J$6:$J$4467,$J462,'SALES Raw'!$K$6:$K$4467,"Y")*$H$4+SUMIFS('CEMIUP0.9 Raw'!$F$6:$F$1712,'CEMIUP0.9 Raw'!$B$6:$B$1712,$J462,'CEMIUP0.9 Raw'!$H$6:$H$1712,"Y")</f>
        <v>16.4210526315789</v>
      </c>
      <c r="G462" s="19" t="n">
        <f aca="false">SUMIFS('SALES Raw'!$F$6:$F$4467,'SALES Raw'!$J$6:$J$4467,$J462,'SALES Raw'!$K$6:$K$4467,"Y")*$H$4+SUMIFS('CEMIUP0.9 Raw'!$G$6:$G$1712,'CEMIUP0.9 Raw'!$B$6:$B$1712,$J462,'CEMIUP0.9 Raw'!$H$6:$H$1712,"Y")</f>
        <v>2388.07578947368</v>
      </c>
      <c r="H462" s="18" t="s">
        <v>42</v>
      </c>
      <c r="I462" s="18" t="s">
        <v>44</v>
      </c>
      <c r="J462" s="18" t="n">
        <v>4408226</v>
      </c>
    </row>
    <row r="463" customFormat="false" ht="15" hidden="false" customHeight="false" outlineLevel="0" collapsed="false">
      <c r="A463" s="18" t="str">
        <f aca="false">IF(ISNUMBER($J463),$J463,"")</f>
        <v/>
      </c>
      <c r="B463" s="18" t="str">
        <f aca="false">IFERROR(INDEX('SALES Raw'!$B$6:$B$4467,MATCH($J463,'SALES Raw'!$J$6:$J$4467,0)),IFERROR(INDEX('CEMIUP0.9 Raw'!$B$6:$B$1712,MATCH($J463,'CEMIUP0.9 Raw'!$B$6:$B$1712,0)),$J463))</f>
        <v>T78 XS</v>
      </c>
      <c r="C463" s="18" t="str">
        <f aca="false">IF(ISNUMBER($J463),IFERROR(INDEX('TRANS'!$C:$C,MATCH($J463,'TRANS'!$B:$B,0)),IFERROR(INDEX('Catalog'!$B:$B,MATCH($J463,'Catalog'!$A:$A,0)),$B463)),$B463)</f>
        <v>T78 XS</v>
      </c>
      <c r="D463" s="19" t="n">
        <f aca="false">SUMIFS('SALES Raw'!$C$6:$C$4467,'SALES Raw'!$J$6:$J$4467,$J463,'SALES Raw'!$K$6:$K$4467,"Y")+SUMIFS('CEMIUP0.9 Raw'!$D$6:$D$1712,'CEMIUP0.9 Raw'!$B$6:$B$1712,$J463,'CEMIUP0.9 Raw'!$H$6:$H$1712,"Y")</f>
        <v>17</v>
      </c>
      <c r="E463" s="19" t="n">
        <f aca="false">SUMIFS('SALES Raw'!$D$6:$D$4467,'SALES Raw'!$J$6:$J$4467,$J463,'SALES Raw'!$K$6:$K$4467,"Y")+SUMIFS('CEMIUP0.9 Raw'!$E$6:$E$1712,'CEMIUP0.9 Raw'!$B$6:$B$1712,$J463,'CEMIUP0.9 Raw'!$H$6:$H$1712,"Y")</f>
        <v>3483.78</v>
      </c>
      <c r="F463" s="19" t="n">
        <f aca="false">SUMIFS('SALES Raw'!$E$6:$E$4467,'SALES Raw'!$J$6:$J$4467,$J463,'SALES Raw'!$K$6:$K$4467,"Y")*$H$4+SUMIFS('CEMIUP0.9 Raw'!$F$6:$F$1712,'CEMIUP0.9 Raw'!$B$6:$B$1712,$J463,'CEMIUP0.9 Raw'!$H$6:$H$1712,"Y")</f>
        <v>16.4210526315789</v>
      </c>
      <c r="G463" s="19" t="n">
        <f aca="false">SUMIFS('SALES Raw'!$F$6:$F$4467,'SALES Raw'!$J$6:$J$4467,$J463,'SALES Raw'!$K$6:$K$4467,"Y")*$H$4+SUMIFS('CEMIUP0.9 Raw'!$G$6:$G$1712,'CEMIUP0.9 Raw'!$B$6:$B$1712,$J463,'CEMIUP0.9 Raw'!$H$6:$H$1712,"Y")</f>
        <v>4938.66947368421</v>
      </c>
      <c r="H463" s="18" t="s">
        <v>42</v>
      </c>
      <c r="I463" s="18" t="s">
        <v>44</v>
      </c>
      <c r="J463" s="18" t="s">
        <v>123</v>
      </c>
    </row>
    <row r="464" customFormat="false" ht="15" hidden="false" customHeight="false" outlineLevel="0" collapsed="false">
      <c r="A464" s="18" t="n">
        <f aca="false">IF(ISNUMBER($J464),$J464,"")</f>
        <v>4413368</v>
      </c>
      <c r="B464" s="18" t="str">
        <f aca="false">IFERROR(INDEX('SALES Raw'!$B$6:$B$4467,MATCH($J464,'SALES Raw'!$J$6:$J$4467,0)),IFERROR(INDEX('CEMIUP0.9 Raw'!$B$6:$B$1712,MATCH($J464,'CEMIUP0.9 Raw'!$B$6:$B$1712,0)),$J464))</f>
        <v>95C XS</v>
      </c>
      <c r="C464" s="18" t="str">
        <f aca="false">IF(ISNUMBER($J464),IFERROR(INDEX('TRANS'!$C:$C,MATCH($J464,'TRANS'!$B:$B,0)),IFERROR(INDEX('Catalog'!$B:$B,MATCH($J464,'Catalog'!$A:$A,0)),$B464)),$B464)</f>
        <v>95C XS'מגן מרפק בז</v>
      </c>
      <c r="D464" s="19" t="n">
        <f aca="false">SUMIFS('SALES Raw'!$C$6:$C$4467,'SALES Raw'!$J$6:$J$4467,$J464,'SALES Raw'!$K$6:$K$4467,"Y")+SUMIFS('CEMIUP0.9 Raw'!$D$6:$D$1712,'CEMIUP0.9 Raw'!$B$6:$B$1712,$J464,'CEMIUP0.9 Raw'!$H$6:$H$1712,"Y")</f>
        <v>15</v>
      </c>
      <c r="E464" s="19" t="n">
        <f aca="false">SUMIFS('SALES Raw'!$D$6:$D$4467,'SALES Raw'!$J$6:$J$4467,$J464,'SALES Raw'!$K$6:$K$4467,"Y")+SUMIFS('CEMIUP0.9 Raw'!$E$6:$E$1712,'CEMIUP0.9 Raw'!$B$6:$B$1712,$J464,'CEMIUP0.9 Raw'!$H$6:$H$1712,"Y")</f>
        <v>461.119</v>
      </c>
      <c r="F464" s="19" t="n">
        <f aca="false">SUMIFS('SALES Raw'!$E$6:$E$4467,'SALES Raw'!$J$6:$J$4467,$J464,'SALES Raw'!$K$6:$K$4467,"Y")*$H$4+SUMIFS('CEMIUP0.9 Raw'!$F$6:$F$1712,'CEMIUP0.9 Raw'!$B$6:$B$1712,$J464,'CEMIUP0.9 Raw'!$H$6:$H$1712,"Y")</f>
        <v>16.4210526315789</v>
      </c>
      <c r="G464" s="19" t="n">
        <f aca="false">SUMIFS('SALES Raw'!$F$6:$F$4467,'SALES Raw'!$J$6:$J$4467,$J464,'SALES Raw'!$K$6:$K$4467,"Y")*$H$4+SUMIFS('CEMIUP0.9 Raw'!$G$6:$G$1712,'CEMIUP0.9 Raw'!$B$6:$B$1712,$J464,'CEMIUP0.9 Raw'!$H$6:$H$1712,"Y")</f>
        <v>553.791157894737</v>
      </c>
      <c r="H464" s="18" t="s">
        <v>43</v>
      </c>
      <c r="I464" s="18" t="s">
        <v>42</v>
      </c>
      <c r="J464" s="18" t="n">
        <v>4413368</v>
      </c>
    </row>
    <row r="465" customFormat="false" ht="15" hidden="false" customHeight="false" outlineLevel="0" collapsed="false">
      <c r="A465" s="18" t="n">
        <f aca="false">IF(ISNUMBER($J465),$J465,"")</f>
        <v>4408029</v>
      </c>
      <c r="B465" s="18" t="str">
        <f aca="false">IFERROR(INDEX('SALES Raw'!$B$6:$B$4467,MATCH($J465,'SALES Raw'!$J$6:$J$4467,0)),IFERROR(INDEX('CEMIUP0.9 Raw'!$B$6:$B$1712,MATCH($J465,'CEMIUP0.9 Raw'!$B$6:$B$1712,0)),$J465))</f>
        <v>10 XL</v>
      </c>
      <c r="C465" s="18" t="str">
        <f aca="false">IF(ISNUMBER($J465),IFERROR(INDEX('TRANS'!$C:$C,MATCH($J465,'TRANS'!$B:$B,0)),IFERROR(INDEX('Catalog'!$B:$B,MATCH($J465,'Catalog'!$A:$A,0)),$B465)),$B465)</f>
        <v>10 XL """"חגורת גב """"לומבו</v>
      </c>
      <c r="D465" s="19" t="n">
        <f aca="false">SUMIFS('SALES Raw'!$C$6:$C$4467,'SALES Raw'!$J$6:$J$4467,$J465,'SALES Raw'!$K$6:$K$4467,"Y")+SUMIFS('CEMIUP0.9 Raw'!$D$6:$D$1712,'CEMIUP0.9 Raw'!$B$6:$B$1712,$J465,'CEMIUP0.9 Raw'!$H$6:$H$1712,"Y")</f>
        <v>41</v>
      </c>
      <c r="E465" s="19" t="n">
        <f aca="false">SUMIFS('SALES Raw'!$D$6:$D$4467,'SALES Raw'!$J$6:$J$4467,$J465,'SALES Raw'!$K$6:$K$4467,"Y")+SUMIFS('CEMIUP0.9 Raw'!$E$6:$E$1712,'CEMIUP0.9 Raw'!$B$6:$B$1712,$J465,'CEMIUP0.9 Raw'!$H$6:$H$1712,"Y")</f>
        <v>5693.496</v>
      </c>
      <c r="F465" s="19" t="n">
        <f aca="false">SUMIFS('SALES Raw'!$E$6:$E$4467,'SALES Raw'!$J$6:$J$4467,$J465,'SALES Raw'!$K$6:$K$4467,"Y")*$H$4+SUMIFS('CEMIUP0.9 Raw'!$F$6:$F$1712,'CEMIUP0.9 Raw'!$B$6:$B$1712,$J465,'CEMIUP0.9 Raw'!$H$6:$H$1712,"Y")</f>
        <v>16.4210526315789</v>
      </c>
      <c r="G465" s="19" t="n">
        <f aca="false">SUMIFS('SALES Raw'!$F$6:$F$4467,'SALES Raw'!$J$6:$J$4467,$J465,'SALES Raw'!$K$6:$K$4467,"Y")*$H$4+SUMIFS('CEMIUP0.9 Raw'!$G$6:$G$1712,'CEMIUP0.9 Raw'!$B$6:$B$1712,$J465,'CEMIUP0.9 Raw'!$H$6:$H$1712,"Y")</f>
        <v>2180.32168421053</v>
      </c>
      <c r="H465" s="18" t="s">
        <v>43</v>
      </c>
      <c r="I465" s="18" t="s">
        <v>46</v>
      </c>
      <c r="J465" s="18" t="n">
        <v>4408029</v>
      </c>
    </row>
    <row r="466" customFormat="false" ht="15" hidden="false" customHeight="false" outlineLevel="0" collapsed="false">
      <c r="A466" s="18" t="n">
        <f aca="false">IF(ISNUMBER($J466),$J466,"")</f>
        <v>4408179</v>
      </c>
      <c r="B466" s="18" t="str">
        <f aca="false">IFERROR(INDEX('SALES Raw'!$B$6:$B$4467,MATCH($J466,'SALES Raw'!$J$6:$J$4467,0)),IFERROR(INDEX('CEMIUP0.9 Raw'!$B$6:$B$1712,MATCH($J466,'CEMIUP0.9 Raw'!$B$6:$B$1712,0)),$J466))</f>
        <v>13 XL</v>
      </c>
      <c r="C466" s="18" t="str">
        <f aca="false">IF(ISNUMBER($J466),IFERROR(INDEX('TRANS'!$C:$C,MATCH($J466,'TRANS'!$B:$B,0)),IFERROR(INDEX('Catalog'!$B:$B,MATCH($J466,'Catalog'!$A:$A,0)),$B466)),$B466)</f>
        <v>13 XL חגורה לשבר טבור</v>
      </c>
      <c r="D466" s="19" t="n">
        <f aca="false">SUMIFS('SALES Raw'!$C$6:$C$4467,'SALES Raw'!$J$6:$J$4467,$J466,'SALES Raw'!$K$6:$K$4467,"Y")+SUMIFS('CEMIUP0.9 Raw'!$D$6:$D$1712,'CEMIUP0.9 Raw'!$B$6:$B$1712,$J466,'CEMIUP0.9 Raw'!$H$6:$H$1712,"Y")</f>
        <v>21</v>
      </c>
      <c r="E466" s="19" t="n">
        <f aca="false">SUMIFS('SALES Raw'!$D$6:$D$4467,'SALES Raw'!$J$6:$J$4467,$J466,'SALES Raw'!$K$6:$K$4467,"Y")+SUMIFS('CEMIUP0.9 Raw'!$E$6:$E$1712,'CEMIUP0.9 Raw'!$B$6:$B$1712,$J466,'CEMIUP0.9 Raw'!$H$6:$H$1712,"Y")</f>
        <v>3674.669</v>
      </c>
      <c r="F466" s="19" t="n">
        <f aca="false">SUMIFS('SALES Raw'!$E$6:$E$4467,'SALES Raw'!$J$6:$J$4467,$J466,'SALES Raw'!$K$6:$K$4467,"Y")*$H$4+SUMIFS('CEMIUP0.9 Raw'!$F$6:$F$1712,'CEMIUP0.9 Raw'!$B$6:$B$1712,$J466,'CEMIUP0.9 Raw'!$H$6:$H$1712,"Y")</f>
        <v>15.1578947368421</v>
      </c>
      <c r="G466" s="19" t="n">
        <f aca="false">SUMIFS('SALES Raw'!$F$6:$F$4467,'SALES Raw'!$J$6:$J$4467,$J466,'SALES Raw'!$K$6:$K$4467,"Y")*$H$4+SUMIFS('CEMIUP0.9 Raw'!$G$6:$G$1712,'CEMIUP0.9 Raw'!$B$6:$B$1712,$J466,'CEMIUP0.9 Raw'!$H$6:$H$1712,"Y")</f>
        <v>2930.27368421053</v>
      </c>
      <c r="H466" s="18" t="s">
        <v>42</v>
      </c>
      <c r="I466" s="18" t="s">
        <v>43</v>
      </c>
      <c r="J466" s="18" t="n">
        <v>4408179</v>
      </c>
    </row>
    <row r="467" customFormat="false" ht="15" hidden="false" customHeight="false" outlineLevel="0" collapsed="false">
      <c r="A467" s="18" t="str">
        <f aca="false">IF(ISNUMBER($J467),$J467,"")</f>
        <v/>
      </c>
      <c r="B467" s="18" t="str">
        <f aca="false">IFERROR(INDEX('SALES Raw'!$B$6:$B$4467,MATCH($J467,'SALES Raw'!$J$6:$J$4467,0)),IFERROR(INDEX('CEMIUP0.9 Raw'!$B$6:$B$1712,MATCH($J467,'CEMIUP0.9 Raw'!$B$6:$B$1712,0)),$J467))</f>
        <v>T402 L</v>
      </c>
      <c r="C467" s="18" t="str">
        <f aca="false">IF(ISNUMBER($J467),IFERROR(INDEX('TRANS'!$C:$C,MATCH($J467,'TRANS'!$B:$B,0)),IFERROR(INDEX('Catalog'!$B:$B,MATCH($J467,'Catalog'!$A:$A,0)),$B467)),$B467)</f>
        <v>T402 L</v>
      </c>
      <c r="D467" s="19" t="n">
        <f aca="false">SUMIFS('SALES Raw'!$C$6:$C$4467,'SALES Raw'!$J$6:$J$4467,$J467,'SALES Raw'!$K$6:$K$4467,"Y")+SUMIFS('CEMIUP0.9 Raw'!$D$6:$D$1712,'CEMIUP0.9 Raw'!$B$6:$B$1712,$J467,'CEMIUP0.9 Raw'!$H$6:$H$1712,"Y")</f>
        <v>17</v>
      </c>
      <c r="E467" s="19" t="n">
        <f aca="false">SUMIFS('SALES Raw'!$D$6:$D$4467,'SALES Raw'!$J$6:$J$4467,$J467,'SALES Raw'!$K$6:$K$4467,"Y")+SUMIFS('CEMIUP0.9 Raw'!$E$6:$E$1712,'CEMIUP0.9 Raw'!$B$6:$B$1712,$J467,'CEMIUP0.9 Raw'!$H$6:$H$1712,"Y")</f>
        <v>1937.35</v>
      </c>
      <c r="F467" s="19" t="n">
        <f aca="false">SUMIFS('SALES Raw'!$E$6:$E$4467,'SALES Raw'!$J$6:$J$4467,$J467,'SALES Raw'!$K$6:$K$4467,"Y")*$H$4+SUMIFS('CEMIUP0.9 Raw'!$F$6:$F$1712,'CEMIUP0.9 Raw'!$B$6:$B$1712,$J467,'CEMIUP0.9 Raw'!$H$6:$H$1712,"Y")</f>
        <v>15.1578947368421</v>
      </c>
      <c r="G467" s="19" t="n">
        <f aca="false">SUMIFS('SALES Raw'!$F$6:$F$4467,'SALES Raw'!$J$6:$J$4467,$J467,'SALES Raw'!$K$6:$K$4467,"Y")*$H$4+SUMIFS('CEMIUP0.9 Raw'!$G$6:$G$1712,'CEMIUP0.9 Raw'!$B$6:$B$1712,$J467,'CEMIUP0.9 Raw'!$H$6:$H$1712,"Y")</f>
        <v>1933.21263157895</v>
      </c>
      <c r="H467" s="18" t="s">
        <v>42</v>
      </c>
      <c r="I467" s="18" t="s">
        <v>43</v>
      </c>
      <c r="J467" s="18" t="s">
        <v>124</v>
      </c>
    </row>
    <row r="468" customFormat="false" ht="15" hidden="false" customHeight="false" outlineLevel="0" collapsed="false">
      <c r="A468" s="18" t="n">
        <f aca="false">IF(ISNUMBER($J468),$J468,"")</f>
        <v>4420035</v>
      </c>
      <c r="B468" s="18" t="str">
        <f aca="false">IFERROR(INDEX('SALES Raw'!$B$6:$B$4467,MATCH($J468,'SALES Raw'!$J$6:$J$4467,0)),IFERROR(INDEX('CEMIUP0.9 Raw'!$B$6:$B$1712,MATCH($J468,'CEMIUP0.9 Raw'!$B$6:$B$1712,0)),$J468))</f>
        <v>301CW-36-40</v>
      </c>
      <c r="C468" s="18" t="str">
        <f aca="false">IF(ISNUMBER($J468),IFERROR(INDEX('TRANS'!$C:$C,MATCH($J468,'TRANS'!$B:$B,0)),IFERROR(INDEX('Catalog'!$B:$B,MATCH($J468,'Catalog'!$A:$A,0)),$B468)),$B468)</f>
        <v>301CW 36-40 'רפידת ג'ל בז</v>
      </c>
      <c r="D468" s="19" t="n">
        <f aca="false">SUMIFS('SALES Raw'!$C$6:$C$4467,'SALES Raw'!$J$6:$J$4467,$J468,'SALES Raw'!$K$6:$K$4467,"Y")+SUMIFS('CEMIUP0.9 Raw'!$D$6:$D$1712,'CEMIUP0.9 Raw'!$B$6:$B$1712,$J468,'CEMIUP0.9 Raw'!$H$6:$H$1712,"Y")</f>
        <v>13</v>
      </c>
      <c r="E468" s="19" t="n">
        <f aca="false">SUMIFS('SALES Raw'!$D$6:$D$4467,'SALES Raw'!$J$6:$J$4467,$J468,'SALES Raw'!$K$6:$K$4467,"Y")+SUMIFS('CEMIUP0.9 Raw'!$E$6:$E$1712,'CEMIUP0.9 Raw'!$B$6:$B$1712,$J468,'CEMIUP0.9 Raw'!$H$6:$H$1712,"Y")</f>
        <v>969.94</v>
      </c>
      <c r="F468" s="19" t="n">
        <f aca="false">SUMIFS('SALES Raw'!$E$6:$E$4467,'SALES Raw'!$J$6:$J$4467,$J468,'SALES Raw'!$K$6:$K$4467,"Y")*$H$4+SUMIFS('CEMIUP0.9 Raw'!$F$6:$F$1712,'CEMIUP0.9 Raw'!$B$6:$B$1712,$J468,'CEMIUP0.9 Raw'!$H$6:$H$1712,"Y")</f>
        <v>15.1578947368421</v>
      </c>
      <c r="G468" s="19" t="n">
        <f aca="false">SUMIFS('SALES Raw'!$F$6:$F$4467,'SALES Raw'!$J$6:$J$4467,$J468,'SALES Raw'!$K$6:$K$4467,"Y")*$H$4+SUMIFS('CEMIUP0.9 Raw'!$G$6:$G$1712,'CEMIUP0.9 Raw'!$B$6:$B$1712,$J468,'CEMIUP0.9 Raw'!$H$6:$H$1712,"Y")</f>
        <v>1127.65389473684</v>
      </c>
      <c r="H468" s="18" t="s">
        <v>42</v>
      </c>
      <c r="I468" s="18" t="s">
        <v>43</v>
      </c>
      <c r="J468" s="18" t="n">
        <v>4420035</v>
      </c>
    </row>
    <row r="469" customFormat="false" ht="15" hidden="false" customHeight="false" outlineLevel="0" collapsed="false">
      <c r="A469" s="18" t="str">
        <f aca="false">IF(ISNUMBER($J469),$J469,"")</f>
        <v/>
      </c>
      <c r="B469" s="18" t="str">
        <f aca="false">IFERROR(INDEX('SALES Raw'!$B$6:$B$4467,MATCH($J469,'SALES Raw'!$J$6:$J$4467,0)),IFERROR(INDEX('CEMIUP0.9 Raw'!$B$6:$B$1712,MATCH($J469,'CEMIUP0.9 Raw'!$B$6:$B$1712,0)),$J469))</f>
        <v>099-L-XL</v>
      </c>
      <c r="C469" s="18" t="str">
        <f aca="false">IF(ISNUMBER($J469),IFERROR(INDEX('TRANS'!$C:$C,MATCH($J469,'TRANS'!$B:$B,0)),IFERROR(INDEX('Catalog'!$B:$B,MATCH($J469,'Catalog'!$A:$A,0)),$B469)),$B469)</f>
        <v>099-L-XL</v>
      </c>
      <c r="D469" s="19" t="n">
        <f aca="false">SUMIFS('SALES Raw'!$C$6:$C$4467,'SALES Raw'!$J$6:$J$4467,$J469,'SALES Raw'!$K$6:$K$4467,"Y")+SUMIFS('CEMIUP0.9 Raw'!$D$6:$D$1712,'CEMIUP0.9 Raw'!$B$6:$B$1712,$J469,'CEMIUP0.9 Raw'!$H$6:$H$1712,"Y")</f>
        <v>27</v>
      </c>
      <c r="E469" s="19" t="n">
        <f aca="false">SUMIFS('SALES Raw'!$D$6:$D$4467,'SALES Raw'!$J$6:$J$4467,$J469,'SALES Raw'!$K$6:$K$4467,"Y")+SUMIFS('CEMIUP0.9 Raw'!$E$6:$E$1712,'CEMIUP0.9 Raw'!$B$6:$B$1712,$J469,'CEMIUP0.9 Raw'!$H$6:$H$1712,"Y")</f>
        <v>3456.29</v>
      </c>
      <c r="F469" s="19" t="n">
        <f aca="false">SUMIFS('SALES Raw'!$E$6:$E$4467,'SALES Raw'!$J$6:$J$4467,$J469,'SALES Raw'!$K$6:$K$4467,"Y")*$H$4+SUMIFS('CEMIUP0.9 Raw'!$F$6:$F$1712,'CEMIUP0.9 Raw'!$B$6:$B$1712,$J469,'CEMIUP0.9 Raw'!$H$6:$H$1712,"Y")</f>
        <v>15.1578947368421</v>
      </c>
      <c r="G469" s="19" t="n">
        <f aca="false">SUMIFS('SALES Raw'!$F$6:$F$4467,'SALES Raw'!$J$6:$J$4467,$J469,'SALES Raw'!$K$6:$K$4467,"Y")*$H$4+SUMIFS('CEMIUP0.9 Raw'!$G$6:$G$1712,'CEMIUP0.9 Raw'!$B$6:$B$1712,$J469,'CEMIUP0.9 Raw'!$H$6:$H$1712,"Y")</f>
        <v>2742.02526315789</v>
      </c>
      <c r="H469" s="18" t="s">
        <v>42</v>
      </c>
      <c r="I469" s="18" t="s">
        <v>53</v>
      </c>
      <c r="J469" s="18" t="s">
        <v>125</v>
      </c>
    </row>
    <row r="470" customFormat="false" ht="15" hidden="false" customHeight="false" outlineLevel="0" collapsed="false">
      <c r="A470" s="18" t="n">
        <f aca="false">IF(ISNUMBER($J470),$J470,"")</f>
        <v>4408075</v>
      </c>
      <c r="B470" s="18" t="str">
        <f aca="false">IFERROR(INDEX('SALES Raw'!$B$6:$B$4467,MATCH($J470,'SALES Raw'!$J$6:$J$4467,0)),IFERROR(INDEX('CEMIUP0.9 Raw'!$B$6:$B$1712,MATCH($J470,'CEMIUP0.9 Raw'!$B$6:$B$1712,0)),$J470))</f>
        <v>59L S</v>
      </c>
      <c r="C470" s="18" t="str">
        <f aca="false">IF(ISNUMBER($J470),IFERROR(INDEX('TRANS'!$C:$C,MATCH($J470,'TRANS'!$B:$B,0)),IFERROR(INDEX('Catalog'!$B:$B,MATCH($J470,'Catalog'!$A:$A,0)),$B470)),$B470)</f>
        <v>59L S חגורת שבר לצד שמאל</v>
      </c>
      <c r="D470" s="19" t="n">
        <f aca="false">SUMIFS('SALES Raw'!$C$6:$C$4467,'SALES Raw'!$J$6:$J$4467,$J470,'SALES Raw'!$K$6:$K$4467,"Y")+SUMIFS('CEMIUP0.9 Raw'!$D$6:$D$1712,'CEMIUP0.9 Raw'!$B$6:$B$1712,$J470,'CEMIUP0.9 Raw'!$H$6:$H$1712,"Y")</f>
        <v>17</v>
      </c>
      <c r="E470" s="19" t="n">
        <f aca="false">SUMIFS('SALES Raw'!$D$6:$D$4467,'SALES Raw'!$J$6:$J$4467,$J470,'SALES Raw'!$K$6:$K$4467,"Y")+SUMIFS('CEMIUP0.9 Raw'!$E$6:$E$1712,'CEMIUP0.9 Raw'!$B$6:$B$1712,$J470,'CEMIUP0.9 Raw'!$H$6:$H$1712,"Y")</f>
        <v>3225.1</v>
      </c>
      <c r="F470" s="19" t="n">
        <f aca="false">SUMIFS('SALES Raw'!$E$6:$E$4467,'SALES Raw'!$J$6:$J$4467,$J470,'SALES Raw'!$K$6:$K$4467,"Y")*$H$4+SUMIFS('CEMIUP0.9 Raw'!$F$6:$F$1712,'CEMIUP0.9 Raw'!$B$6:$B$1712,$J470,'CEMIUP0.9 Raw'!$H$6:$H$1712,"Y")</f>
        <v>15.1578947368421</v>
      </c>
      <c r="G470" s="19" t="n">
        <f aca="false">SUMIFS('SALES Raw'!$F$6:$F$4467,'SALES Raw'!$J$6:$J$4467,$J470,'SALES Raw'!$K$6:$K$4467,"Y")*$H$4+SUMIFS('CEMIUP0.9 Raw'!$G$6:$G$1712,'CEMIUP0.9 Raw'!$B$6:$B$1712,$J470,'CEMIUP0.9 Raw'!$H$6:$H$1712,"Y")</f>
        <v>2258.29263157895</v>
      </c>
      <c r="H470" s="18" t="s">
        <v>44</v>
      </c>
      <c r="I470" s="18" t="s">
        <v>48</v>
      </c>
      <c r="J470" s="18" t="n">
        <v>4408075</v>
      </c>
    </row>
    <row r="471" customFormat="false" ht="15" hidden="false" customHeight="false" outlineLevel="0" collapsed="false">
      <c r="A471" s="18" t="str">
        <f aca="false">IF(ISNUMBER($J471),$J471,"")</f>
        <v/>
      </c>
      <c r="B471" s="18" t="str">
        <f aca="false">IFERROR(INDEX('SALES Raw'!$B$6:$B$4467,MATCH($J471,'SALES Raw'!$J$6:$J$4467,0)),IFERROR(INDEX('CEMIUP0.9 Raw'!$B$6:$B$1712,MATCH($J471,'CEMIUP0.9 Raw'!$B$6:$B$1712,0)),$J471))</f>
        <v>303-39-40</v>
      </c>
      <c r="C471" s="18" t="str">
        <f aca="false">IF(ISNUMBER($J471),IFERROR(INDEX('TRANS'!$C:$C,MATCH($J471,'TRANS'!$B:$B,0)),IFERROR(INDEX('Catalog'!$B:$B,MATCH($J471,'Catalog'!$A:$A,0)),$B471)),$B471)</f>
        <v>303-39-40</v>
      </c>
      <c r="D471" s="19" t="n">
        <f aca="false">SUMIFS('SALES Raw'!$C$6:$C$4467,'SALES Raw'!$J$6:$J$4467,$J471,'SALES Raw'!$K$6:$K$4467,"Y")+SUMIFS('CEMIUP0.9 Raw'!$D$6:$D$1712,'CEMIUP0.9 Raw'!$B$6:$B$1712,$J471,'CEMIUP0.9 Raw'!$H$6:$H$1712,"Y")</f>
        <v>18</v>
      </c>
      <c r="E471" s="19" t="n">
        <f aca="false">SUMIFS('SALES Raw'!$D$6:$D$4467,'SALES Raw'!$J$6:$J$4467,$J471,'SALES Raw'!$K$6:$K$4467,"Y")+SUMIFS('CEMIUP0.9 Raw'!$E$6:$E$1712,'CEMIUP0.9 Raw'!$B$6:$B$1712,$J471,'CEMIUP0.9 Raw'!$H$6:$H$1712,"Y")</f>
        <v>1990.13</v>
      </c>
      <c r="F471" s="19" t="n">
        <f aca="false">SUMIFS('SALES Raw'!$E$6:$E$4467,'SALES Raw'!$J$6:$J$4467,$J471,'SALES Raw'!$K$6:$K$4467,"Y")*$H$4+SUMIFS('CEMIUP0.9 Raw'!$F$6:$F$1712,'CEMIUP0.9 Raw'!$B$6:$B$1712,$J471,'CEMIUP0.9 Raw'!$H$6:$H$1712,"Y")</f>
        <v>15.1578947368421</v>
      </c>
      <c r="G471" s="19" t="n">
        <f aca="false">SUMIFS('SALES Raw'!$F$6:$F$4467,'SALES Raw'!$J$6:$J$4467,$J471,'SALES Raw'!$K$6:$K$4467,"Y")*$H$4+SUMIFS('CEMIUP0.9 Raw'!$G$6:$G$1712,'CEMIUP0.9 Raw'!$B$6:$B$1712,$J471,'CEMIUP0.9 Raw'!$H$6:$H$1712,"Y")</f>
        <v>1679.63368421053</v>
      </c>
      <c r="H471" s="18" t="s">
        <v>44</v>
      </c>
      <c r="I471" s="18" t="s">
        <v>95</v>
      </c>
      <c r="J471" s="18" t="s">
        <v>126</v>
      </c>
    </row>
    <row r="472" customFormat="false" ht="15" hidden="false" customHeight="false" outlineLevel="0" collapsed="false">
      <c r="A472" s="18" t="str">
        <f aca="false">IF(ISNUMBER($J472),$J472,"")</f>
        <v/>
      </c>
      <c r="B472" s="18" t="str">
        <f aca="false">IFERROR(INDEX('SALES Raw'!$B$6:$B$4467,MATCH($J472,'SALES Raw'!$J$6:$J$4467,0)),IFERROR(INDEX('CEMIUP0.9 Raw'!$B$6:$B$1712,MATCH($J472,'CEMIUP0.9 Raw'!$B$6:$B$1712,0)),$J472))</f>
        <v>76 XXL</v>
      </c>
      <c r="C472" s="18" t="str">
        <f aca="false">IF(ISNUMBER($J472),IFERROR(INDEX('TRANS'!$C:$C,MATCH($J472,'TRANS'!$B:$B,0)),IFERROR(INDEX('Catalog'!$B:$B,MATCH($J472,'Catalog'!$A:$A,0)),$B472)),$B472)</f>
        <v>76 XXL</v>
      </c>
      <c r="D472" s="19" t="n">
        <f aca="false">SUMIFS('SALES Raw'!$C$6:$C$4467,'SALES Raw'!$J$6:$J$4467,$J472,'SALES Raw'!$K$6:$K$4467,"Y")+SUMIFS('CEMIUP0.9 Raw'!$D$6:$D$1712,'CEMIUP0.9 Raw'!$B$6:$B$1712,$J472,'CEMIUP0.9 Raw'!$H$6:$H$1712,"Y")</f>
        <v>23</v>
      </c>
      <c r="E472" s="19" t="n">
        <f aca="false">SUMIFS('SALES Raw'!$D$6:$D$4467,'SALES Raw'!$J$6:$J$4467,$J472,'SALES Raw'!$K$6:$K$4467,"Y")+SUMIFS('CEMIUP0.9 Raw'!$E$6:$E$1712,'CEMIUP0.9 Raw'!$B$6:$B$1712,$J472,'CEMIUP0.9 Raw'!$H$6:$H$1712,"Y")</f>
        <v>5898.42</v>
      </c>
      <c r="F472" s="19" t="n">
        <f aca="false">SUMIFS('SALES Raw'!$E$6:$E$4467,'SALES Raw'!$J$6:$J$4467,$J472,'SALES Raw'!$K$6:$K$4467,"Y")*$H$4+SUMIFS('CEMIUP0.9 Raw'!$F$6:$F$1712,'CEMIUP0.9 Raw'!$B$6:$B$1712,$J472,'CEMIUP0.9 Raw'!$H$6:$H$1712,"Y")</f>
        <v>15.1578947368421</v>
      </c>
      <c r="G472" s="19" t="n">
        <f aca="false">SUMIFS('SALES Raw'!$F$6:$F$4467,'SALES Raw'!$J$6:$J$4467,$J472,'SALES Raw'!$K$6:$K$4467,"Y")*$H$4+SUMIFS('CEMIUP0.9 Raw'!$G$6:$G$1712,'CEMIUP0.9 Raw'!$B$6:$B$1712,$J472,'CEMIUP0.9 Raw'!$H$6:$H$1712,"Y")</f>
        <v>5067.82736842105</v>
      </c>
      <c r="H472" s="18" t="s">
        <v>42</v>
      </c>
      <c r="I472" s="18" t="s">
        <v>44</v>
      </c>
      <c r="J472" s="18" t="s">
        <v>127</v>
      </c>
    </row>
    <row r="473" customFormat="false" ht="15" hidden="false" customHeight="false" outlineLevel="0" collapsed="false">
      <c r="A473" s="18" t="str">
        <f aca="false">IF(ISNUMBER($J473),$J473,"")</f>
        <v/>
      </c>
      <c r="B473" s="18" t="str">
        <f aca="false">IFERROR(INDEX('SALES Raw'!$B$6:$B$4467,MATCH($J473,'SALES Raw'!$J$6:$J$4467,0)),IFERROR(INDEX('CEMIUP0.9 Raw'!$B$6:$B$1712,MATCH($J473,'CEMIUP0.9 Raw'!$B$6:$B$1712,0)),$J473))</f>
        <v>11UG M</v>
      </c>
      <c r="C473" s="18" t="str">
        <f aca="false">IF(ISNUMBER($J473),IFERROR(INDEX('TRANS'!$C:$C,MATCH($J473,'TRANS'!$B:$B,0)),IFERROR(INDEX('Catalog'!$B:$B,MATCH($J473,'Catalog'!$A:$A,0)),$B473)),$B473)</f>
        <v>11UG M</v>
      </c>
      <c r="D473" s="19" t="n">
        <f aca="false">SUMIFS('SALES Raw'!$C$6:$C$4467,'SALES Raw'!$J$6:$J$4467,$J473,'SALES Raw'!$K$6:$K$4467,"Y")+SUMIFS('CEMIUP0.9 Raw'!$D$6:$D$1712,'CEMIUP0.9 Raw'!$B$6:$B$1712,$J473,'CEMIUP0.9 Raw'!$H$6:$H$1712,"Y")</f>
        <v>8</v>
      </c>
      <c r="E473" s="19" t="n">
        <f aca="false">SUMIFS('SALES Raw'!$D$6:$D$4467,'SALES Raw'!$J$6:$J$4467,$J473,'SALES Raw'!$K$6:$K$4467,"Y")+SUMIFS('CEMIUP0.9 Raw'!$E$6:$E$1712,'CEMIUP0.9 Raw'!$B$6:$B$1712,$J473,'CEMIUP0.9 Raw'!$H$6:$H$1712,"Y")</f>
        <v>1204.49</v>
      </c>
      <c r="F473" s="19" t="n">
        <f aca="false">SUMIFS('SALES Raw'!$E$6:$E$4467,'SALES Raw'!$J$6:$J$4467,$J473,'SALES Raw'!$K$6:$K$4467,"Y")*$H$4+SUMIFS('CEMIUP0.9 Raw'!$F$6:$F$1712,'CEMIUP0.9 Raw'!$B$6:$B$1712,$J473,'CEMIUP0.9 Raw'!$H$6:$H$1712,"Y")</f>
        <v>15.1578947368421</v>
      </c>
      <c r="G473" s="19" t="n">
        <f aca="false">SUMIFS('SALES Raw'!$F$6:$F$4467,'SALES Raw'!$J$6:$J$4467,$J473,'SALES Raw'!$K$6:$K$4467,"Y")*$H$4+SUMIFS('CEMIUP0.9 Raw'!$G$6:$G$1712,'CEMIUP0.9 Raw'!$B$6:$B$1712,$J473,'CEMIUP0.9 Raw'!$H$6:$H$1712,"Y")</f>
        <v>2088.22736842105</v>
      </c>
      <c r="H473" s="18" t="s">
        <v>42</v>
      </c>
      <c r="I473" s="18" t="s">
        <v>53</v>
      </c>
      <c r="J473" s="18" t="s">
        <v>128</v>
      </c>
    </row>
    <row r="474" customFormat="false" ht="15" hidden="false" customHeight="false" outlineLevel="0" collapsed="false">
      <c r="A474" s="18" t="str">
        <f aca="false">IF(ISNUMBER($J474),$J474,"")</f>
        <v/>
      </c>
      <c r="B474" s="18" t="str">
        <f aca="false">IFERROR(INDEX('SALES Raw'!$B$6:$B$4467,MATCH($J474,'SALES Raw'!$J$6:$J$4467,0)),IFERROR(INDEX('CEMIUP0.9 Raw'!$B$6:$B$1712,MATCH($J474,'CEMIUP0.9 Raw'!$B$6:$B$1712,0)),$J474))</f>
        <v>N433D L</v>
      </c>
      <c r="C474" s="18" t="str">
        <f aca="false">IF(ISNUMBER($J474),IFERROR(INDEX('TRANS'!$C:$C,MATCH($J474,'TRANS'!$B:$B,0)),IFERROR(INDEX('Catalog'!$B:$B,MATCH($J474,'Catalog'!$A:$A,0)),$B474)),$B474)</f>
        <v>N433D L</v>
      </c>
      <c r="D474" s="19" t="n">
        <f aca="false">SUMIFS('SALES Raw'!$C$6:$C$4467,'SALES Raw'!$J$6:$J$4467,$J474,'SALES Raw'!$K$6:$K$4467,"Y")+SUMIFS('CEMIUP0.9 Raw'!$D$6:$D$1712,'CEMIUP0.9 Raw'!$B$6:$B$1712,$J474,'CEMIUP0.9 Raw'!$H$6:$H$1712,"Y")</f>
        <v>28</v>
      </c>
      <c r="E474" s="19" t="n">
        <f aca="false">SUMIFS('SALES Raw'!$D$6:$D$4467,'SALES Raw'!$J$6:$J$4467,$J474,'SALES Raw'!$K$6:$K$4467,"Y")+SUMIFS('CEMIUP0.9 Raw'!$E$6:$E$1712,'CEMIUP0.9 Raw'!$B$6:$B$1712,$J474,'CEMIUP0.9 Raw'!$H$6:$H$1712,"Y")</f>
        <v>10252.63</v>
      </c>
      <c r="F474" s="19" t="n">
        <f aca="false">SUMIFS('SALES Raw'!$E$6:$E$4467,'SALES Raw'!$J$6:$J$4467,$J474,'SALES Raw'!$K$6:$K$4467,"Y")*$H$4+SUMIFS('CEMIUP0.9 Raw'!$F$6:$F$1712,'CEMIUP0.9 Raw'!$B$6:$B$1712,$J474,'CEMIUP0.9 Raw'!$H$6:$H$1712,"Y")</f>
        <v>15.1578947368421</v>
      </c>
      <c r="G474" s="19" t="n">
        <f aca="false">SUMIFS('SALES Raw'!$F$6:$F$4467,'SALES Raw'!$J$6:$J$4467,$J474,'SALES Raw'!$K$6:$K$4467,"Y")*$H$4+SUMIFS('CEMIUP0.9 Raw'!$G$6:$G$1712,'CEMIUP0.9 Raw'!$B$6:$B$1712,$J474,'CEMIUP0.9 Raw'!$H$6:$H$1712,"Y")</f>
        <v>7025.29263157895</v>
      </c>
      <c r="H474" s="18" t="s">
        <v>42</v>
      </c>
      <c r="I474" s="18" t="s">
        <v>46</v>
      </c>
      <c r="J474" s="18" t="s">
        <v>129</v>
      </c>
    </row>
    <row r="475" customFormat="false" ht="15" hidden="false" customHeight="false" outlineLevel="0" collapsed="false">
      <c r="A475" s="18" t="str">
        <f aca="false">IF(ISNUMBER($J475),$J475,"")</f>
        <v/>
      </c>
      <c r="B475" s="18" t="str">
        <f aca="false">IFERROR(INDEX('SALES Raw'!$B$6:$B$4467,MATCH($J475,'SALES Raw'!$J$6:$J$4467,0)),IFERROR(INDEX('CEMIUP0.9 Raw'!$B$6:$B$1712,MATCH($J475,'CEMIUP0.9 Raw'!$B$6:$B$1712,0)),$J475))</f>
        <v>621B-L</v>
      </c>
      <c r="C475" s="18" t="str">
        <f aca="false">IF(ISNUMBER($J475),IFERROR(INDEX('TRANS'!$C:$C,MATCH($J475,'TRANS'!$B:$B,0)),IFERROR(INDEX('Catalog'!$B:$B,MATCH($J475,'Catalog'!$A:$A,0)),$B475)),$B475)</f>
        <v>621B-L</v>
      </c>
      <c r="D475" s="19" t="n">
        <f aca="false">SUMIFS('SALES Raw'!$C$6:$C$4467,'SALES Raw'!$J$6:$J$4467,$J475,'SALES Raw'!$K$6:$K$4467,"Y")+SUMIFS('CEMIUP0.9 Raw'!$D$6:$D$1712,'CEMIUP0.9 Raw'!$B$6:$B$1712,$J475,'CEMIUP0.9 Raw'!$H$6:$H$1712,"Y")</f>
        <v>0</v>
      </c>
      <c r="E475" s="19" t="n">
        <f aca="false">SUMIFS('SALES Raw'!$D$6:$D$4467,'SALES Raw'!$J$6:$J$4467,$J475,'SALES Raw'!$K$6:$K$4467,"Y")+SUMIFS('CEMIUP0.9 Raw'!$E$6:$E$1712,'CEMIUP0.9 Raw'!$B$6:$B$1712,$J475,'CEMIUP0.9 Raw'!$H$6:$H$1712,"Y")</f>
        <v>0</v>
      </c>
      <c r="F475" s="19" t="n">
        <f aca="false">SUMIFS('SALES Raw'!$E$6:$E$4467,'SALES Raw'!$J$6:$J$4467,$J475,'SALES Raw'!$K$6:$K$4467,"Y")*$H$4+SUMIFS('CEMIUP0.9 Raw'!$F$6:$F$1712,'CEMIUP0.9 Raw'!$B$6:$B$1712,$J475,'CEMIUP0.9 Raw'!$H$6:$H$1712,"Y")</f>
        <v>15.1578947368421</v>
      </c>
      <c r="G475" s="19" t="n">
        <f aca="false">SUMIFS('SALES Raw'!$F$6:$F$4467,'SALES Raw'!$J$6:$J$4467,$J475,'SALES Raw'!$K$6:$K$4467,"Y")*$H$4+SUMIFS('CEMIUP0.9 Raw'!$G$6:$G$1712,'CEMIUP0.9 Raw'!$B$6:$B$1712,$J475,'CEMIUP0.9 Raw'!$H$6:$H$1712,"Y")</f>
        <v>993.941052631579</v>
      </c>
      <c r="H475" s="18" t="s">
        <v>53</v>
      </c>
      <c r="I475" s="18"/>
      <c r="J475" s="18" t="s">
        <v>130</v>
      </c>
    </row>
    <row r="476" customFormat="false" ht="15" hidden="false" customHeight="false" outlineLevel="0" collapsed="false">
      <c r="A476" s="18" t="str">
        <f aca="false">IF(ISNUMBER($J476),$J476,"")</f>
        <v/>
      </c>
      <c r="B476" s="18" t="str">
        <f aca="false">IFERROR(INDEX('SALES Raw'!$B$6:$B$4467,MATCH($J476,'SALES Raw'!$J$6:$J$4467,0)),IFERROR(INDEX('CEMIUP0.9 Raw'!$B$6:$B$1712,MATCH($J476,'CEMIUP0.9 Raw'!$B$6:$B$1712,0)),$J476))</f>
        <v>621B-XL</v>
      </c>
      <c r="C476" s="18" t="str">
        <f aca="false">IF(ISNUMBER($J476),IFERROR(INDEX('TRANS'!$C:$C,MATCH($J476,'TRANS'!$B:$B,0)),IFERROR(INDEX('Catalog'!$B:$B,MATCH($J476,'Catalog'!$A:$A,0)),$B476)),$B476)</f>
        <v>621B-XL</v>
      </c>
      <c r="D476" s="19" t="n">
        <f aca="false">SUMIFS('SALES Raw'!$C$6:$C$4467,'SALES Raw'!$J$6:$J$4467,$J476,'SALES Raw'!$K$6:$K$4467,"Y")+SUMIFS('CEMIUP0.9 Raw'!$D$6:$D$1712,'CEMIUP0.9 Raw'!$B$6:$B$1712,$J476,'CEMIUP0.9 Raw'!$H$6:$H$1712,"Y")</f>
        <v>0</v>
      </c>
      <c r="E476" s="19" t="n">
        <f aca="false">SUMIFS('SALES Raw'!$D$6:$D$4467,'SALES Raw'!$J$6:$J$4467,$J476,'SALES Raw'!$K$6:$K$4467,"Y")+SUMIFS('CEMIUP0.9 Raw'!$E$6:$E$1712,'CEMIUP0.9 Raw'!$B$6:$B$1712,$J476,'CEMIUP0.9 Raw'!$H$6:$H$1712,"Y")</f>
        <v>0</v>
      </c>
      <c r="F476" s="19" t="n">
        <f aca="false">SUMIFS('SALES Raw'!$E$6:$E$4467,'SALES Raw'!$J$6:$J$4467,$J476,'SALES Raw'!$K$6:$K$4467,"Y")*$H$4+SUMIFS('CEMIUP0.9 Raw'!$F$6:$F$1712,'CEMIUP0.9 Raw'!$B$6:$B$1712,$J476,'CEMIUP0.9 Raw'!$H$6:$H$1712,"Y")</f>
        <v>15.1578947368421</v>
      </c>
      <c r="G476" s="19" t="n">
        <f aca="false">SUMIFS('SALES Raw'!$F$6:$F$4467,'SALES Raw'!$J$6:$J$4467,$J476,'SALES Raw'!$K$6:$K$4467,"Y")*$H$4+SUMIFS('CEMIUP0.9 Raw'!$G$6:$G$1712,'CEMIUP0.9 Raw'!$B$6:$B$1712,$J476,'CEMIUP0.9 Raw'!$H$6:$H$1712,"Y")</f>
        <v>993.928421052632</v>
      </c>
      <c r="H476" s="18" t="s">
        <v>53</v>
      </c>
      <c r="I476" s="18"/>
      <c r="J476" s="18" t="s">
        <v>131</v>
      </c>
    </row>
    <row r="477" customFormat="false" ht="15" hidden="false" customHeight="false" outlineLevel="0" collapsed="false">
      <c r="A477" s="18" t="n">
        <f aca="false">IF(ISNUMBER($J477),$J477,"")</f>
        <v>4413130</v>
      </c>
      <c r="B477" s="18" t="str">
        <f aca="false">IFERROR(INDEX('SALES Raw'!$B$6:$B$4467,MATCH($J477,'SALES Raw'!$J$6:$J$4467,0)),IFERROR(INDEX('CEMIUP0.9 Raw'!$B$6:$B$1712,MATCH($J477,'CEMIUP0.9 Raw'!$B$6:$B$1712,0)),$J477))</f>
        <v>75 XXL</v>
      </c>
      <c r="C477" s="18" t="str">
        <f aca="false">IF(ISNUMBER($J477),IFERROR(INDEX('TRANS'!$C:$C,MATCH($J477,'TRANS'!$B:$B,0)),IFERROR(INDEX('Catalog'!$B:$B,MATCH($J477,'Catalog'!$A:$A,0)),$B477)),$B477)</f>
        <v>75  XXL מיישר כתף יציב ישור צר</v>
      </c>
      <c r="D477" s="19" t="n">
        <f aca="false">SUMIFS('SALES Raw'!$C$6:$C$4467,'SALES Raw'!$J$6:$J$4467,$J477,'SALES Raw'!$K$6:$K$4467,"Y")+SUMIFS('CEMIUP0.9 Raw'!$D$6:$D$1712,'CEMIUP0.9 Raw'!$B$6:$B$1712,$J477,'CEMIUP0.9 Raw'!$H$6:$H$1712,"Y")</f>
        <v>16</v>
      </c>
      <c r="E477" s="19" t="n">
        <f aca="false">SUMIFS('SALES Raw'!$D$6:$D$4467,'SALES Raw'!$J$6:$J$4467,$J477,'SALES Raw'!$K$6:$K$4467,"Y")+SUMIFS('CEMIUP0.9 Raw'!$E$6:$E$1712,'CEMIUP0.9 Raw'!$B$6:$B$1712,$J477,'CEMIUP0.9 Raw'!$H$6:$H$1712,"Y")</f>
        <v>2817.875</v>
      </c>
      <c r="F477" s="19" t="n">
        <f aca="false">SUMIFS('SALES Raw'!$E$6:$E$4467,'SALES Raw'!$J$6:$J$4467,$J477,'SALES Raw'!$K$6:$K$4467,"Y")*$H$4+SUMIFS('CEMIUP0.9 Raw'!$F$6:$F$1712,'CEMIUP0.9 Raw'!$B$6:$B$1712,$J477,'CEMIUP0.9 Raw'!$H$6:$H$1712,"Y")</f>
        <v>15.1578947368421</v>
      </c>
      <c r="G477" s="19" t="n">
        <f aca="false">SUMIFS('SALES Raw'!$F$6:$F$4467,'SALES Raw'!$J$6:$J$4467,$J477,'SALES Raw'!$K$6:$K$4467,"Y")*$H$4+SUMIFS('CEMIUP0.9 Raw'!$G$6:$G$1712,'CEMIUP0.9 Raw'!$B$6:$B$1712,$J477,'CEMIUP0.9 Raw'!$H$6:$H$1712,"Y")</f>
        <v>3837.01642105263</v>
      </c>
      <c r="H477" s="18" t="s">
        <v>42</v>
      </c>
      <c r="I477" s="18" t="s">
        <v>43</v>
      </c>
      <c r="J477" s="18" t="n">
        <v>4413130</v>
      </c>
    </row>
    <row r="478" customFormat="false" ht="15" hidden="false" customHeight="false" outlineLevel="0" collapsed="false">
      <c r="A478" s="18" t="str">
        <f aca="false">IF(ISNUMBER($J478),$J478,"")</f>
        <v/>
      </c>
      <c r="B478" s="18" t="str">
        <f aca="false">IFERROR(INDEX('SALES Raw'!$B$6:$B$4467,MATCH($J478,'SALES Raw'!$J$6:$J$4467,0)),IFERROR(INDEX('CEMIUP0.9 Raw'!$B$6:$B$1712,MATCH($J478,'CEMIUP0.9 Raw'!$B$6:$B$1712,0)),$J478))</f>
        <v>67813000</v>
      </c>
      <c r="C478" s="18" t="str">
        <f aca="false">IF(ISNUMBER($J478),IFERROR(INDEX('TRANS'!$C:$C,MATCH($J478,'TRANS'!$B:$B,0)),IFERROR(INDEX('Catalog'!$B:$B,MATCH($J478,'Catalog'!$A:$A,0)),$B478)),$B478)</f>
        <v>67813000</v>
      </c>
      <c r="D478" s="19" t="n">
        <f aca="false">SUMIFS('SALES Raw'!$C$6:$C$4467,'SALES Raw'!$J$6:$J$4467,$J478,'SALES Raw'!$K$6:$K$4467,"Y")+SUMIFS('CEMIUP0.9 Raw'!$D$6:$D$1712,'CEMIUP0.9 Raw'!$B$6:$B$1712,$J478,'CEMIUP0.9 Raw'!$H$6:$H$1712,"Y")</f>
        <v>18</v>
      </c>
      <c r="E478" s="19" t="n">
        <f aca="false">SUMIFS('SALES Raw'!$D$6:$D$4467,'SALES Raw'!$J$6:$J$4467,$J478,'SALES Raw'!$K$6:$K$4467,"Y")+SUMIFS('CEMIUP0.9 Raw'!$E$6:$E$1712,'CEMIUP0.9 Raw'!$B$6:$B$1712,$J478,'CEMIUP0.9 Raw'!$H$6:$H$1712,"Y")</f>
        <v>0.11</v>
      </c>
      <c r="F478" s="19" t="n">
        <f aca="false">SUMIFS('SALES Raw'!$E$6:$E$4467,'SALES Raw'!$J$6:$J$4467,$J478,'SALES Raw'!$K$6:$K$4467,"Y")*$H$4+SUMIFS('CEMIUP0.9 Raw'!$F$6:$F$1712,'CEMIUP0.9 Raw'!$B$6:$B$1712,$J478,'CEMIUP0.9 Raw'!$H$6:$H$1712,"Y")</f>
        <v>15.1578947368421</v>
      </c>
      <c r="G478" s="19" t="n">
        <f aca="false">SUMIFS('SALES Raw'!$F$6:$F$4467,'SALES Raw'!$J$6:$J$4467,$J478,'SALES Raw'!$K$6:$K$4467,"Y")*$H$4+SUMIFS('CEMIUP0.9 Raw'!$G$6:$G$1712,'CEMIUP0.9 Raw'!$B$6:$B$1712,$J478,'CEMIUP0.9 Raw'!$H$6:$H$1712,"Y")</f>
        <v>0.126315789473684</v>
      </c>
      <c r="H478" s="18" t="s">
        <v>46</v>
      </c>
      <c r="I478" s="18" t="s">
        <v>48</v>
      </c>
      <c r="J478" s="18" t="s">
        <v>132</v>
      </c>
    </row>
    <row r="479" customFormat="false" ht="15" hidden="false" customHeight="false" outlineLevel="0" collapsed="false">
      <c r="A479" s="18" t="str">
        <f aca="false">IF(ISNUMBER($J479),$J479,"")</f>
        <v/>
      </c>
      <c r="B479" s="18" t="str">
        <f aca="false">IFERROR(INDEX('SALES Raw'!$B$6:$B$4467,MATCH($J479,'SALES Raw'!$J$6:$J$4467,0)),IFERROR(INDEX('CEMIUP0.9 Raw'!$B$6:$B$1712,MATCH($J479,'CEMIUP0.9 Raw'!$B$6:$B$1712,0)),$J479))</f>
        <v>T33 M</v>
      </c>
      <c r="C479" s="18" t="str">
        <f aca="false">IF(ISNUMBER($J479),IFERROR(INDEX('TRANS'!$C:$C,MATCH($J479,'TRANS'!$B:$B,0)),IFERROR(INDEX('Catalog'!$B:$B,MATCH($J479,'Catalog'!$A:$A,0)),$B479)),$B479)</f>
        <v>T33 M</v>
      </c>
      <c r="D479" s="19" t="n">
        <f aca="false">SUMIFS('SALES Raw'!$C$6:$C$4467,'SALES Raw'!$J$6:$J$4467,$J479,'SALES Raw'!$K$6:$K$4467,"Y")+SUMIFS('CEMIUP0.9 Raw'!$D$6:$D$1712,'CEMIUP0.9 Raw'!$B$6:$B$1712,$J479,'CEMIUP0.9 Raw'!$H$6:$H$1712,"Y")</f>
        <v>16</v>
      </c>
      <c r="E479" s="19" t="n">
        <f aca="false">SUMIFS('SALES Raw'!$D$6:$D$4467,'SALES Raw'!$J$6:$J$4467,$J479,'SALES Raw'!$K$6:$K$4467,"Y")+SUMIFS('CEMIUP0.9 Raw'!$E$6:$E$1712,'CEMIUP0.9 Raw'!$B$6:$B$1712,$J479,'CEMIUP0.9 Raw'!$H$6:$H$1712,"Y")</f>
        <v>1899.3</v>
      </c>
      <c r="F479" s="19" t="n">
        <f aca="false">SUMIFS('SALES Raw'!$E$6:$E$4467,'SALES Raw'!$J$6:$J$4467,$J479,'SALES Raw'!$K$6:$K$4467,"Y")*$H$4+SUMIFS('CEMIUP0.9 Raw'!$F$6:$F$1712,'CEMIUP0.9 Raw'!$B$6:$B$1712,$J479,'CEMIUP0.9 Raw'!$H$6:$H$1712,"Y")</f>
        <v>15.1578947368421</v>
      </c>
      <c r="G479" s="19" t="n">
        <f aca="false">SUMIFS('SALES Raw'!$F$6:$F$4467,'SALES Raw'!$J$6:$J$4467,$J479,'SALES Raw'!$K$6:$K$4467,"Y")*$H$4+SUMIFS('CEMIUP0.9 Raw'!$G$6:$G$1712,'CEMIUP0.9 Raw'!$B$6:$B$1712,$J479,'CEMIUP0.9 Raw'!$H$6:$H$1712,"Y")</f>
        <v>3208.09263157895</v>
      </c>
      <c r="H479" s="18" t="s">
        <v>42</v>
      </c>
      <c r="I479" s="18" t="s">
        <v>48</v>
      </c>
      <c r="J479" s="18" t="s">
        <v>133</v>
      </c>
    </row>
    <row r="480" customFormat="false" ht="15" hidden="false" customHeight="false" outlineLevel="0" collapsed="false">
      <c r="A480" s="18" t="n">
        <f aca="false">IF(ISNUMBER($J480),$J480,"")</f>
        <v>4413332</v>
      </c>
      <c r="B480" s="18" t="str">
        <f aca="false">IFERROR(INDEX('SALES Raw'!$B$6:$B$4467,MATCH($J480,'SALES Raw'!$J$6:$J$4467,0)),IFERROR(INDEX('CEMIUP0.9 Raw'!$B$6:$B$1712,MATCH($J480,'CEMIUP0.9 Raw'!$B$6:$B$1712,0)),$J480))</f>
        <v>45 XS</v>
      </c>
      <c r="C480" s="18" t="str">
        <f aca="false">IF(ISNUMBER($J480),IFERROR(INDEX('TRANS'!$C:$C,MATCH($J480,'TRANS'!$B:$B,0)),IFERROR(INDEX('Catalog'!$B:$B,MATCH($J480,'Catalog'!$A:$A,0)),$B480)),$B480)</f>
        <v>45  XS מגן ברך רגיל לבן</v>
      </c>
      <c r="D480" s="19" t="n">
        <f aca="false">SUMIFS('SALES Raw'!$C$6:$C$4467,'SALES Raw'!$J$6:$J$4467,$J480,'SALES Raw'!$K$6:$K$4467,"Y")+SUMIFS('CEMIUP0.9 Raw'!$D$6:$D$1712,'CEMIUP0.9 Raw'!$B$6:$B$1712,$J480,'CEMIUP0.9 Raw'!$H$6:$H$1712,"Y")</f>
        <v>10</v>
      </c>
      <c r="E480" s="19" t="n">
        <f aca="false">SUMIFS('SALES Raw'!$D$6:$D$4467,'SALES Raw'!$J$6:$J$4467,$J480,'SALES Raw'!$K$6:$K$4467,"Y")+SUMIFS('CEMIUP0.9 Raw'!$E$6:$E$1712,'CEMIUP0.9 Raw'!$B$6:$B$1712,$J480,'CEMIUP0.9 Raw'!$H$6:$H$1712,"Y")</f>
        <v>334.642</v>
      </c>
      <c r="F480" s="19" t="n">
        <f aca="false">SUMIFS('SALES Raw'!$E$6:$E$4467,'SALES Raw'!$J$6:$J$4467,$J480,'SALES Raw'!$K$6:$K$4467,"Y")*$H$4+SUMIFS('CEMIUP0.9 Raw'!$F$6:$F$1712,'CEMIUP0.9 Raw'!$B$6:$B$1712,$J480,'CEMIUP0.9 Raw'!$H$6:$H$1712,"Y")</f>
        <v>15.1578947368421</v>
      </c>
      <c r="G480" s="19" t="n">
        <f aca="false">SUMIFS('SALES Raw'!$F$6:$F$4467,'SALES Raw'!$J$6:$J$4467,$J480,'SALES Raw'!$K$6:$K$4467,"Y")*$H$4+SUMIFS('CEMIUP0.9 Raw'!$G$6:$G$1712,'CEMIUP0.9 Raw'!$B$6:$B$1712,$J480,'CEMIUP0.9 Raw'!$H$6:$H$1712,"Y")</f>
        <v>546.045473684211</v>
      </c>
      <c r="H480" s="18" t="s">
        <v>43</v>
      </c>
      <c r="I480" s="18" t="s">
        <v>42</v>
      </c>
      <c r="J480" s="18" t="n">
        <v>4413332</v>
      </c>
    </row>
    <row r="481" customFormat="false" ht="15" hidden="false" customHeight="false" outlineLevel="0" collapsed="false">
      <c r="A481" s="18" t="n">
        <f aca="false">IF(ISNUMBER($J481),$J481,"")</f>
        <v>4408088</v>
      </c>
      <c r="B481" s="18" t="n">
        <f aca="false">IFERROR(INDEX('SALES Raw'!$B$6:$B$4467,MATCH($J481,'SALES Raw'!$J$6:$J$4467,0)),IFERROR(INDEX('CEMIUP0.9 Raw'!$B$6:$B$1712,MATCH($J481,'CEMIUP0.9 Raw'!$B$6:$B$1712,0)),$J481))</f>
        <v>4408088</v>
      </c>
      <c r="C481" s="18" t="str">
        <f aca="false">IF(ISNUMBER($J481),IFERROR(INDEX('TRANS'!$C:$C,MATCH($J481,'TRANS'!$B:$B,0)),IFERROR(INDEX('Catalog'!$B:$B,MATCH($J481,'Catalog'!$A:$A,0)),$B481)),$B481)</f>
        <v>91  חבק ""טניס אלבו רצועה</v>
      </c>
      <c r="D481" s="19" t="n">
        <f aca="false">SUMIFS('SALES Raw'!$C$6:$C$4467,'SALES Raw'!$J$6:$J$4467,$J481,'SALES Raw'!$K$6:$K$4467,"Y")+SUMIFS('CEMIUP0.9 Raw'!$D$6:$D$1712,'CEMIUP0.9 Raw'!$B$6:$B$1712,$J481,'CEMIUP0.9 Raw'!$H$6:$H$1712,"Y")</f>
        <v>25</v>
      </c>
      <c r="E481" s="19" t="n">
        <f aca="false">SUMIFS('SALES Raw'!$D$6:$D$4467,'SALES Raw'!$J$6:$J$4467,$J481,'SALES Raw'!$K$6:$K$4467,"Y")+SUMIFS('CEMIUP0.9 Raw'!$E$6:$E$1712,'CEMIUP0.9 Raw'!$B$6:$B$1712,$J481,'CEMIUP0.9 Raw'!$H$6:$H$1712,"Y")</f>
        <v>1777.048</v>
      </c>
      <c r="F481" s="19" t="n">
        <f aca="false">SUMIFS('SALES Raw'!$E$6:$E$4467,'SALES Raw'!$J$6:$J$4467,$J481,'SALES Raw'!$K$6:$K$4467,"Y")*$H$4+SUMIFS('CEMIUP0.9 Raw'!$F$6:$F$1712,'CEMIUP0.9 Raw'!$B$6:$B$1712,$J481,'CEMIUP0.9 Raw'!$H$6:$H$1712,"Y")</f>
        <v>13.8947368421053</v>
      </c>
      <c r="G481" s="19" t="n">
        <f aca="false">SUMIFS('SALES Raw'!$F$6:$F$4467,'SALES Raw'!$J$6:$J$4467,$J481,'SALES Raw'!$K$6:$K$4467,"Y")*$H$4+SUMIFS('CEMIUP0.9 Raw'!$G$6:$G$1712,'CEMIUP0.9 Raw'!$B$6:$B$1712,$J481,'CEMIUP0.9 Raw'!$H$6:$H$1712,"Y")</f>
        <v>987.857684210526</v>
      </c>
      <c r="H481" s="18" t="s">
        <v>43</v>
      </c>
      <c r="I481" s="18"/>
      <c r="J481" s="18" t="n">
        <v>4408088</v>
      </c>
    </row>
    <row r="482" customFormat="false" ht="15" hidden="false" customHeight="false" outlineLevel="0" collapsed="false">
      <c r="A482" s="18" t="str">
        <f aca="false">IF(ISNUMBER($J482),$J482,"")</f>
        <v/>
      </c>
      <c r="B482" s="18" t="str">
        <f aca="false">IFERROR(INDEX('SALES Raw'!$B$6:$B$4467,MATCH($J482,'SALES Raw'!$J$6:$J$4467,0)),IFERROR(INDEX('CEMIUP0.9 Raw'!$B$6:$B$1712,MATCH($J482,'CEMIUP0.9 Raw'!$B$6:$B$1712,0)),$J482))</f>
        <v>35 XS</v>
      </c>
      <c r="C482" s="18" t="str">
        <f aca="false">IF(ISNUMBER($J482),IFERROR(INDEX('TRANS'!$C:$C,MATCH($J482,'TRANS'!$B:$B,0)),IFERROR(INDEX('Catalog'!$B:$B,MATCH($J482,'Catalog'!$A:$A,0)),$B482)),$B482)</f>
        <v>35 XS</v>
      </c>
      <c r="D482" s="19" t="n">
        <f aca="false">SUMIFS('SALES Raw'!$C$6:$C$4467,'SALES Raw'!$J$6:$J$4467,$J482,'SALES Raw'!$K$6:$K$4467,"Y")+SUMIFS('CEMIUP0.9 Raw'!$D$6:$D$1712,'CEMIUP0.9 Raw'!$B$6:$B$1712,$J482,'CEMIUP0.9 Raw'!$H$6:$H$1712,"Y")</f>
        <v>14</v>
      </c>
      <c r="E482" s="19" t="n">
        <f aca="false">SUMIFS('SALES Raw'!$D$6:$D$4467,'SALES Raw'!$J$6:$J$4467,$J482,'SALES Raw'!$K$6:$K$4467,"Y")+SUMIFS('CEMIUP0.9 Raw'!$E$6:$E$1712,'CEMIUP0.9 Raw'!$B$6:$B$1712,$J482,'CEMIUP0.9 Raw'!$H$6:$H$1712,"Y")</f>
        <v>367.26</v>
      </c>
      <c r="F482" s="19" t="n">
        <f aca="false">SUMIFS('SALES Raw'!$E$6:$E$4467,'SALES Raw'!$J$6:$J$4467,$J482,'SALES Raw'!$K$6:$K$4467,"Y")*$H$4+SUMIFS('CEMIUP0.9 Raw'!$F$6:$F$1712,'CEMIUP0.9 Raw'!$B$6:$B$1712,$J482,'CEMIUP0.9 Raw'!$H$6:$H$1712,"Y")</f>
        <v>13.8947368421053</v>
      </c>
      <c r="G482" s="19" t="n">
        <f aca="false">SUMIFS('SALES Raw'!$F$6:$F$4467,'SALES Raw'!$J$6:$J$4467,$J482,'SALES Raw'!$K$6:$K$4467,"Y")*$H$4+SUMIFS('CEMIUP0.9 Raw'!$G$6:$G$1712,'CEMIUP0.9 Raw'!$B$6:$B$1712,$J482,'CEMIUP0.9 Raw'!$H$6:$H$1712,"Y")</f>
        <v>488.589473684211</v>
      </c>
      <c r="H482" s="18" t="s">
        <v>46</v>
      </c>
      <c r="I482" s="18" t="s">
        <v>42</v>
      </c>
      <c r="J482" s="18" t="s">
        <v>134</v>
      </c>
    </row>
    <row r="483" customFormat="false" ht="15" hidden="false" customHeight="false" outlineLevel="0" collapsed="false">
      <c r="A483" s="18" t="str">
        <f aca="false">IF(ISNUMBER($J483),$J483,"")</f>
        <v/>
      </c>
      <c r="B483" s="18" t="str">
        <f aca="false">IFERROR(INDEX('SALES Raw'!$B$6:$B$4467,MATCH($J483,'SALES Raw'!$J$6:$J$4467,0)),IFERROR(INDEX('CEMIUP0.9 Raw'!$B$6:$B$1712,MATCH($J483,'CEMIUP0.9 Raw'!$B$6:$B$1712,0)),$J483))</f>
        <v>T39 XL</v>
      </c>
      <c r="C483" s="18" t="str">
        <f aca="false">IF(ISNUMBER($J483),IFERROR(INDEX('TRANS'!$C:$C,MATCH($J483,'TRANS'!$B:$B,0)),IFERROR(INDEX('Catalog'!$B:$B,MATCH($J483,'Catalog'!$A:$A,0)),$B483)),$B483)</f>
        <v>T39 XL</v>
      </c>
      <c r="D483" s="19" t="n">
        <f aca="false">SUMIFS('SALES Raw'!$C$6:$C$4467,'SALES Raw'!$J$6:$J$4467,$J483,'SALES Raw'!$K$6:$K$4467,"Y")+SUMIFS('CEMIUP0.9 Raw'!$D$6:$D$1712,'CEMIUP0.9 Raw'!$B$6:$B$1712,$J483,'CEMIUP0.9 Raw'!$H$6:$H$1712,"Y")</f>
        <v>9</v>
      </c>
      <c r="E483" s="19" t="n">
        <f aca="false">SUMIFS('SALES Raw'!$D$6:$D$4467,'SALES Raw'!$J$6:$J$4467,$J483,'SALES Raw'!$K$6:$K$4467,"Y")+SUMIFS('CEMIUP0.9 Raw'!$E$6:$E$1712,'CEMIUP0.9 Raw'!$B$6:$B$1712,$J483,'CEMIUP0.9 Raw'!$H$6:$H$1712,"Y")</f>
        <v>1053.11</v>
      </c>
      <c r="F483" s="19" t="n">
        <f aca="false">SUMIFS('SALES Raw'!$E$6:$E$4467,'SALES Raw'!$J$6:$J$4467,$J483,'SALES Raw'!$K$6:$K$4467,"Y")*$H$4+SUMIFS('CEMIUP0.9 Raw'!$F$6:$F$1712,'CEMIUP0.9 Raw'!$B$6:$B$1712,$J483,'CEMIUP0.9 Raw'!$H$6:$H$1712,"Y")</f>
        <v>13.8947368421053</v>
      </c>
      <c r="G483" s="19" t="n">
        <f aca="false">SUMIFS('SALES Raw'!$F$6:$F$4467,'SALES Raw'!$J$6:$J$4467,$J483,'SALES Raw'!$K$6:$K$4467,"Y")*$H$4+SUMIFS('CEMIUP0.9 Raw'!$G$6:$G$1712,'CEMIUP0.9 Raw'!$B$6:$B$1712,$J483,'CEMIUP0.9 Raw'!$H$6:$H$1712,"Y")</f>
        <v>1398.80842105263</v>
      </c>
      <c r="H483" s="18" t="s">
        <v>46</v>
      </c>
      <c r="I483" s="18" t="s">
        <v>48</v>
      </c>
      <c r="J483" s="18" t="s">
        <v>135</v>
      </c>
    </row>
    <row r="484" customFormat="false" ht="15" hidden="false" customHeight="false" outlineLevel="0" collapsed="false">
      <c r="A484" s="18" t="str">
        <f aca="false">IF(ISNUMBER($J484),$J484,"")</f>
        <v/>
      </c>
      <c r="B484" s="18" t="str">
        <f aca="false">IFERROR(INDEX('SALES Raw'!$B$6:$B$4467,MATCH($J484,'SALES Raw'!$J$6:$J$4467,0)),IFERROR(INDEX('CEMIUP0.9 Raw'!$B$6:$B$1712,MATCH($J484,'CEMIUP0.9 Raw'!$B$6:$B$1712,0)),$J484))</f>
        <v>621B-S</v>
      </c>
      <c r="C484" s="18" t="str">
        <f aca="false">IF(ISNUMBER($J484),IFERROR(INDEX('TRANS'!$C:$C,MATCH($J484,'TRANS'!$B:$B,0)),IFERROR(INDEX('Catalog'!$B:$B,MATCH($J484,'Catalog'!$A:$A,0)),$B484)),$B484)</f>
        <v>621B-S</v>
      </c>
      <c r="D484" s="19" t="n">
        <f aca="false">SUMIFS('SALES Raw'!$C$6:$C$4467,'SALES Raw'!$J$6:$J$4467,$J484,'SALES Raw'!$K$6:$K$4467,"Y")+SUMIFS('CEMIUP0.9 Raw'!$D$6:$D$1712,'CEMIUP0.9 Raw'!$B$6:$B$1712,$J484,'CEMIUP0.9 Raw'!$H$6:$H$1712,"Y")</f>
        <v>0</v>
      </c>
      <c r="E484" s="19" t="n">
        <f aca="false">SUMIFS('SALES Raw'!$D$6:$D$4467,'SALES Raw'!$J$6:$J$4467,$J484,'SALES Raw'!$K$6:$K$4467,"Y")+SUMIFS('CEMIUP0.9 Raw'!$E$6:$E$1712,'CEMIUP0.9 Raw'!$B$6:$B$1712,$J484,'CEMIUP0.9 Raw'!$H$6:$H$1712,"Y")</f>
        <v>0</v>
      </c>
      <c r="F484" s="19" t="n">
        <f aca="false">SUMIFS('SALES Raw'!$E$6:$E$4467,'SALES Raw'!$J$6:$J$4467,$J484,'SALES Raw'!$K$6:$K$4467,"Y")*$H$4+SUMIFS('CEMIUP0.9 Raw'!$F$6:$F$1712,'CEMIUP0.9 Raw'!$B$6:$B$1712,$J484,'CEMIUP0.9 Raw'!$H$6:$H$1712,"Y")</f>
        <v>13.8947368421053</v>
      </c>
      <c r="G484" s="19" t="n">
        <f aca="false">SUMIFS('SALES Raw'!$F$6:$F$4467,'SALES Raw'!$J$6:$J$4467,$J484,'SALES Raw'!$K$6:$K$4467,"Y")*$H$4+SUMIFS('CEMIUP0.9 Raw'!$G$6:$G$1712,'CEMIUP0.9 Raw'!$B$6:$B$1712,$J484,'CEMIUP0.9 Raw'!$H$6:$H$1712,"Y")</f>
        <v>828.290526315789</v>
      </c>
      <c r="H484" s="18" t="s">
        <v>53</v>
      </c>
      <c r="I484" s="18" t="s">
        <v>46</v>
      </c>
      <c r="J484" s="18" t="s">
        <v>136</v>
      </c>
    </row>
    <row r="485" customFormat="false" ht="15" hidden="false" customHeight="false" outlineLevel="0" collapsed="false">
      <c r="A485" s="18" t="n">
        <f aca="false">IF(ISNUMBER($J485),$J485,"")</f>
        <v>4408149</v>
      </c>
      <c r="B485" s="18" t="str">
        <f aca="false">IFERROR(INDEX('SALES Raw'!$B$6:$B$4467,MATCH($J485,'SALES Raw'!$J$6:$J$4467,0)),IFERROR(INDEX('CEMIUP0.9 Raw'!$B$6:$B$1712,MATCH($J485,'CEMIUP0.9 Raw'!$B$6:$B$1712,0)),$J485))</f>
        <v>11PS XXL</v>
      </c>
      <c r="C485" s="18" t="str">
        <f aca="false">IF(ISNUMBER($J485),IFERROR(INDEX('TRANS'!$C:$C,MATCH($J485,'TRANS'!$B:$B,0)),IFERROR(INDEX('Catalog'!$B:$B,MATCH($J485,'Catalog'!$A:$A,0)),$B485)),$B485)</f>
        <v>11PS XXLחגורה למנותחי בטן</v>
      </c>
      <c r="D485" s="19" t="n">
        <f aca="false">SUMIFS('SALES Raw'!$C$6:$C$4467,'SALES Raw'!$J$6:$J$4467,$J485,'SALES Raw'!$K$6:$K$4467,"Y")+SUMIFS('CEMIUP0.9 Raw'!$D$6:$D$1712,'CEMIUP0.9 Raw'!$B$6:$B$1712,$J485,'CEMIUP0.9 Raw'!$H$6:$H$1712,"Y")</f>
        <v>17</v>
      </c>
      <c r="E485" s="19" t="n">
        <f aca="false">SUMIFS('SALES Raw'!$D$6:$D$4467,'SALES Raw'!$J$6:$J$4467,$J485,'SALES Raw'!$K$6:$K$4467,"Y")+SUMIFS('CEMIUP0.9 Raw'!$E$6:$E$1712,'CEMIUP0.9 Raw'!$B$6:$B$1712,$J485,'CEMIUP0.9 Raw'!$H$6:$H$1712,"Y")</f>
        <v>3857.948</v>
      </c>
      <c r="F485" s="19" t="n">
        <f aca="false">SUMIFS('SALES Raw'!$E$6:$E$4467,'SALES Raw'!$J$6:$J$4467,$J485,'SALES Raw'!$K$6:$K$4467,"Y")*$H$4+SUMIFS('CEMIUP0.9 Raw'!$F$6:$F$1712,'CEMIUP0.9 Raw'!$B$6:$B$1712,$J485,'CEMIUP0.9 Raw'!$H$6:$H$1712,"Y")</f>
        <v>13.8947368421053</v>
      </c>
      <c r="G485" s="19" t="n">
        <f aca="false">SUMIFS('SALES Raw'!$F$6:$F$4467,'SALES Raw'!$J$6:$J$4467,$J485,'SALES Raw'!$K$6:$K$4467,"Y")*$H$4+SUMIFS('CEMIUP0.9 Raw'!$G$6:$G$1712,'CEMIUP0.9 Raw'!$B$6:$B$1712,$J485,'CEMIUP0.9 Raw'!$H$6:$H$1712,"Y")</f>
        <v>3500.99242105263</v>
      </c>
      <c r="H485" s="18" t="s">
        <v>42</v>
      </c>
      <c r="I485" s="18" t="s">
        <v>46</v>
      </c>
      <c r="J485" s="18" t="n">
        <v>4408149</v>
      </c>
    </row>
    <row r="486" customFormat="false" ht="15" hidden="false" customHeight="false" outlineLevel="0" collapsed="false">
      <c r="A486" s="18" t="n">
        <f aca="false">IF(ISNUMBER($J486),$J486,"")</f>
        <v>4413184</v>
      </c>
      <c r="B486" s="18" t="str">
        <f aca="false">IFERROR(INDEX('SALES Raw'!$B$6:$B$4467,MATCH($J486,'SALES Raw'!$J$6:$J$4467,0)),IFERROR(INDEX('CEMIUP0.9 Raw'!$B$6:$B$1712,MATCH($J486,'CEMIUP0.9 Raw'!$B$6:$B$1712,0)),$J486))</f>
        <v>T45 L</v>
      </c>
      <c r="C486" s="18" t="str">
        <f aca="false">IF(ISNUMBER($J486),IFERROR(INDEX('TRANS'!$C:$C,MATCH($J486,'TRANS'!$B:$B,0)),IFERROR(INDEX('Catalog'!$B:$B,MATCH($J486,'Catalog'!$A:$A,0)),$B486)),$B486)</f>
        <v>T 45 L מגן ברך רגיל</v>
      </c>
      <c r="D486" s="19" t="n">
        <f aca="false">SUMIFS('SALES Raw'!$C$6:$C$4467,'SALES Raw'!$J$6:$J$4467,$J486,'SALES Raw'!$K$6:$K$4467,"Y")+SUMIFS('CEMIUP0.9 Raw'!$D$6:$D$1712,'CEMIUP0.9 Raw'!$B$6:$B$1712,$J486,'CEMIUP0.9 Raw'!$H$6:$H$1712,"Y")</f>
        <v>14</v>
      </c>
      <c r="E486" s="19" t="n">
        <f aca="false">SUMIFS('SALES Raw'!$D$6:$D$4467,'SALES Raw'!$J$6:$J$4467,$J486,'SALES Raw'!$K$6:$K$4467,"Y")+SUMIFS('CEMIUP0.9 Raw'!$E$6:$E$1712,'CEMIUP0.9 Raw'!$B$6:$B$1712,$J486,'CEMIUP0.9 Raw'!$H$6:$H$1712,"Y")</f>
        <v>2037.085</v>
      </c>
      <c r="F486" s="19" t="n">
        <f aca="false">SUMIFS('SALES Raw'!$E$6:$E$4467,'SALES Raw'!$J$6:$J$4467,$J486,'SALES Raw'!$K$6:$K$4467,"Y")*$H$4+SUMIFS('CEMIUP0.9 Raw'!$F$6:$F$1712,'CEMIUP0.9 Raw'!$B$6:$B$1712,$J486,'CEMIUP0.9 Raw'!$H$6:$H$1712,"Y")</f>
        <v>13.8947368421053</v>
      </c>
      <c r="G486" s="19" t="n">
        <f aca="false">SUMIFS('SALES Raw'!$F$6:$F$4467,'SALES Raw'!$J$6:$J$4467,$J486,'SALES Raw'!$K$6:$K$4467,"Y")*$H$4+SUMIFS('CEMIUP0.9 Raw'!$G$6:$G$1712,'CEMIUP0.9 Raw'!$B$6:$B$1712,$J486,'CEMIUP0.9 Raw'!$H$6:$H$1712,"Y")</f>
        <v>2313.45347368421</v>
      </c>
      <c r="H486" s="18" t="s">
        <v>42</v>
      </c>
      <c r="I486" s="18" t="s">
        <v>44</v>
      </c>
      <c r="J486" s="18" t="n">
        <v>4413184</v>
      </c>
    </row>
    <row r="487" customFormat="false" ht="15" hidden="false" customHeight="false" outlineLevel="0" collapsed="false">
      <c r="A487" s="18" t="n">
        <f aca="false">IF(ISNUMBER($J487),$J487,"")</f>
        <v>4413126</v>
      </c>
      <c r="B487" s="18" t="str">
        <f aca="false">IFERROR(INDEX('SALES Raw'!$B$6:$B$4467,MATCH($J487,'SALES Raw'!$J$6:$J$4467,0)),IFERROR(INDEX('CEMIUP0.9 Raw'!$B$6:$B$1712,MATCH($J487,'CEMIUP0.9 Raw'!$B$6:$B$1712,0)),$J487))</f>
        <v>75 S</v>
      </c>
      <c r="C487" s="18" t="str">
        <f aca="false">IF(ISNUMBER($J487),IFERROR(INDEX('TRANS'!$C:$C,MATCH($J487,'TRANS'!$B:$B,0)),IFERROR(INDEX('Catalog'!$B:$B,MATCH($J487,'Catalog'!$A:$A,0)),$B487)),$B487)</f>
        <v>75 Sמיישר כתף יציב יישור גב צר</v>
      </c>
      <c r="D487" s="19" t="n">
        <f aca="false">SUMIFS('SALES Raw'!$C$6:$C$4467,'SALES Raw'!$J$6:$J$4467,$J487,'SALES Raw'!$K$6:$K$4467,"Y")+SUMIFS('CEMIUP0.9 Raw'!$D$6:$D$1712,'CEMIUP0.9 Raw'!$B$6:$B$1712,$J487,'CEMIUP0.9 Raw'!$H$6:$H$1712,"Y")</f>
        <v>10</v>
      </c>
      <c r="E487" s="19" t="n">
        <f aca="false">SUMIFS('SALES Raw'!$D$6:$D$4467,'SALES Raw'!$J$6:$J$4467,$J487,'SALES Raw'!$K$6:$K$4467,"Y")+SUMIFS('CEMIUP0.9 Raw'!$E$6:$E$1712,'CEMIUP0.9 Raw'!$B$6:$B$1712,$J487,'CEMIUP0.9 Raw'!$H$6:$H$1712,"Y")</f>
        <v>2093.468</v>
      </c>
      <c r="F487" s="19" t="n">
        <f aca="false">SUMIFS('SALES Raw'!$E$6:$E$4467,'SALES Raw'!$J$6:$J$4467,$J487,'SALES Raw'!$K$6:$K$4467,"Y")*$H$4+SUMIFS('CEMIUP0.9 Raw'!$F$6:$F$1712,'CEMIUP0.9 Raw'!$B$6:$B$1712,$J487,'CEMIUP0.9 Raw'!$H$6:$H$1712,"Y")</f>
        <v>13.8947368421053</v>
      </c>
      <c r="G487" s="19" t="n">
        <f aca="false">SUMIFS('SALES Raw'!$F$6:$F$4467,'SALES Raw'!$J$6:$J$4467,$J487,'SALES Raw'!$K$6:$K$4467,"Y")*$H$4+SUMIFS('CEMIUP0.9 Raw'!$G$6:$G$1712,'CEMIUP0.9 Raw'!$B$6:$B$1712,$J487,'CEMIUP0.9 Raw'!$H$6:$H$1712,"Y")</f>
        <v>2631.68968421053</v>
      </c>
      <c r="H487" s="18" t="s">
        <v>43</v>
      </c>
      <c r="I487" s="18" t="s">
        <v>44</v>
      </c>
      <c r="J487" s="18" t="n">
        <v>4413126</v>
      </c>
    </row>
    <row r="488" customFormat="false" ht="15" hidden="false" customHeight="false" outlineLevel="0" collapsed="false">
      <c r="A488" s="18" t="n">
        <f aca="false">IF(ISNUMBER($J488),$J488,"")</f>
        <v>4420032</v>
      </c>
      <c r="B488" s="18" t="str">
        <f aca="false">IFERROR(INDEX('SALES Raw'!$B$6:$B$4467,MATCH($J488,'SALES Raw'!$J$6:$J$4467,0)),IFERROR(INDEX('CEMIUP0.9 Raw'!$B$6:$B$1712,MATCH($J488,'CEMIUP0.9 Raw'!$B$6:$B$1712,0)),$J488))</f>
        <v>376-46-47</v>
      </c>
      <c r="C488" s="18" t="str">
        <f aca="false">IF(ISNUMBER($J488),IFERROR(INDEX('TRANS'!$C:$C,MATCH($J488,'TRANS'!$B:$B,0)),IFERROR(INDEX('Catalog'!$B:$B,MATCH($J488,'Catalog'!$A:$A,0)),$B488)),$B488)</f>
        <v>46-47 רפידת ספורט 376 מידה</v>
      </c>
      <c r="D488" s="19" t="n">
        <f aca="false">SUMIFS('SALES Raw'!$C$6:$C$4467,'SALES Raw'!$J$6:$J$4467,$J488,'SALES Raw'!$K$6:$K$4467,"Y")+SUMIFS('CEMIUP0.9 Raw'!$D$6:$D$1712,'CEMIUP0.9 Raw'!$B$6:$B$1712,$J488,'CEMIUP0.9 Raw'!$H$6:$H$1712,"Y")</f>
        <v>14</v>
      </c>
      <c r="E488" s="19" t="n">
        <f aca="false">SUMIFS('SALES Raw'!$D$6:$D$4467,'SALES Raw'!$J$6:$J$4467,$J488,'SALES Raw'!$K$6:$K$4467,"Y")+SUMIFS('CEMIUP0.9 Raw'!$E$6:$E$1712,'CEMIUP0.9 Raw'!$B$6:$B$1712,$J488,'CEMIUP0.9 Raw'!$H$6:$H$1712,"Y")</f>
        <v>592.046</v>
      </c>
      <c r="F488" s="19" t="n">
        <f aca="false">SUMIFS('SALES Raw'!$E$6:$E$4467,'SALES Raw'!$J$6:$J$4467,$J488,'SALES Raw'!$K$6:$K$4467,"Y")*$H$4+SUMIFS('CEMIUP0.9 Raw'!$F$6:$F$1712,'CEMIUP0.9 Raw'!$B$6:$B$1712,$J488,'CEMIUP0.9 Raw'!$H$6:$H$1712,"Y")</f>
        <v>13.8947368421053</v>
      </c>
      <c r="G488" s="19" t="n">
        <f aca="false">SUMIFS('SALES Raw'!$F$6:$F$4467,'SALES Raw'!$J$6:$J$4467,$J488,'SALES Raw'!$K$6:$K$4467,"Y")*$H$4+SUMIFS('CEMIUP0.9 Raw'!$G$6:$G$1712,'CEMIUP0.9 Raw'!$B$6:$B$1712,$J488,'CEMIUP0.9 Raw'!$H$6:$H$1712,"Y")</f>
        <v>718.333894736842</v>
      </c>
      <c r="H488" s="18" t="s">
        <v>42</v>
      </c>
      <c r="I488" s="18" t="s">
        <v>54</v>
      </c>
      <c r="J488" s="18" t="n">
        <v>4420032</v>
      </c>
    </row>
    <row r="489" customFormat="false" ht="15" hidden="false" customHeight="false" outlineLevel="0" collapsed="false">
      <c r="A489" s="18" t="n">
        <f aca="false">IF(ISNUMBER($J489),$J489,"")</f>
        <v>4408119</v>
      </c>
      <c r="B489" s="18" t="str">
        <f aca="false">IFERROR(INDEX('SALES Raw'!$B$6:$B$4467,MATCH($J489,'SALES Raw'!$J$6:$J$4467,0)),IFERROR(INDEX('CEMIUP0.9 Raw'!$B$6:$B$1712,MATCH($J489,'CEMIUP0.9 Raw'!$B$6:$B$1712,0)),$J489))</f>
        <v>06U L</v>
      </c>
      <c r="C489" s="18" t="str">
        <f aca="false">IF(ISNUMBER($J489),IFERROR(INDEX('TRANS'!$C:$C,MATCH($J489,'TRANS'!$B:$B,0)),IFERROR(INDEX('Catalog'!$B:$B,MATCH($J489,'Catalog'!$A:$A,0)),$B489)),$B489)</f>
        <v>06U L ח.בטן מותנית צר</v>
      </c>
      <c r="D489" s="19" t="n">
        <f aca="false">SUMIFS('SALES Raw'!$C$6:$C$4467,'SALES Raw'!$J$6:$J$4467,$J489,'SALES Raw'!$K$6:$K$4467,"Y")+SUMIFS('CEMIUP0.9 Raw'!$D$6:$D$1712,'CEMIUP0.9 Raw'!$B$6:$B$1712,$J489,'CEMIUP0.9 Raw'!$H$6:$H$1712,"Y")</f>
        <v>24</v>
      </c>
      <c r="E489" s="19" t="n">
        <f aca="false">SUMIFS('SALES Raw'!$D$6:$D$4467,'SALES Raw'!$J$6:$J$4467,$J489,'SALES Raw'!$K$6:$K$4467,"Y")+SUMIFS('CEMIUP0.9 Raw'!$E$6:$E$1712,'CEMIUP0.9 Raw'!$B$6:$B$1712,$J489,'CEMIUP0.9 Raw'!$H$6:$H$1712,"Y")</f>
        <v>3947.471</v>
      </c>
      <c r="F489" s="19" t="n">
        <f aca="false">SUMIFS('SALES Raw'!$E$6:$E$4467,'SALES Raw'!$J$6:$J$4467,$J489,'SALES Raw'!$K$6:$K$4467,"Y")*$H$4+SUMIFS('CEMIUP0.9 Raw'!$F$6:$F$1712,'CEMIUP0.9 Raw'!$B$6:$B$1712,$J489,'CEMIUP0.9 Raw'!$H$6:$H$1712,"Y")</f>
        <v>13.8947368421053</v>
      </c>
      <c r="G489" s="19" t="n">
        <f aca="false">SUMIFS('SALES Raw'!$F$6:$F$4467,'SALES Raw'!$J$6:$J$4467,$J489,'SALES Raw'!$K$6:$K$4467,"Y")*$H$4+SUMIFS('CEMIUP0.9 Raw'!$G$6:$G$1712,'CEMIUP0.9 Raw'!$B$6:$B$1712,$J489,'CEMIUP0.9 Raw'!$H$6:$H$1712,"Y")</f>
        <v>2367.696</v>
      </c>
      <c r="H489" s="18" t="s">
        <v>44</v>
      </c>
      <c r="I489" s="18" t="s">
        <v>42</v>
      </c>
      <c r="J489" s="18" t="n">
        <v>4408119</v>
      </c>
    </row>
    <row r="490" customFormat="false" ht="15" hidden="false" customHeight="false" outlineLevel="0" collapsed="false">
      <c r="A490" s="18" t="n">
        <f aca="false">IF(ISNUMBER($J490),$J490,"")</f>
        <v>4408093</v>
      </c>
      <c r="B490" s="18" t="str">
        <f aca="false">IFERROR(INDEX('SALES Raw'!$B$6:$B$4467,MATCH($J490,'SALES Raw'!$J$6:$J$4467,0)),IFERROR(INDEX('CEMIUP0.9 Raw'!$B$6:$B$1712,MATCH($J490,'CEMIUP0.9 Raw'!$B$6:$B$1712,0)),$J490))</f>
        <v>T11C XXL</v>
      </c>
      <c r="C490" s="18" t="str">
        <f aca="false">IF(ISNUMBER($J490),IFERROR(INDEX('TRANS'!$C:$C,MATCH($J490,'TRANS'!$B:$B,0)),IFERROR(INDEX('Catalog'!$B:$B,MATCH($J490,'Catalog'!$A:$A,0)),$B490)),$B490)</f>
        <v>T11C XXL חגורת גב פוג'יאמה</v>
      </c>
      <c r="D490" s="19" t="n">
        <f aca="false">SUMIFS('SALES Raw'!$C$6:$C$4467,'SALES Raw'!$J$6:$J$4467,$J490,'SALES Raw'!$K$6:$K$4467,"Y")+SUMIFS('CEMIUP0.9 Raw'!$D$6:$D$1712,'CEMIUP0.9 Raw'!$B$6:$B$1712,$J490,'CEMIUP0.9 Raw'!$H$6:$H$1712,"Y")</f>
        <v>16</v>
      </c>
      <c r="E490" s="19" t="n">
        <f aca="false">SUMIFS('SALES Raw'!$D$6:$D$4467,'SALES Raw'!$J$6:$J$4467,$J490,'SALES Raw'!$K$6:$K$4467,"Y")+SUMIFS('CEMIUP0.9 Raw'!$E$6:$E$1712,'CEMIUP0.9 Raw'!$B$6:$B$1712,$J490,'CEMIUP0.9 Raw'!$H$6:$H$1712,"Y")</f>
        <v>1824.419</v>
      </c>
      <c r="F490" s="19" t="n">
        <f aca="false">SUMIFS('SALES Raw'!$E$6:$E$4467,'SALES Raw'!$J$6:$J$4467,$J490,'SALES Raw'!$K$6:$K$4467,"Y")*$H$4+SUMIFS('CEMIUP0.9 Raw'!$F$6:$F$1712,'CEMIUP0.9 Raw'!$B$6:$B$1712,$J490,'CEMIUP0.9 Raw'!$H$6:$H$1712,"Y")</f>
        <v>13.8947368421053</v>
      </c>
      <c r="G490" s="19" t="n">
        <f aca="false">SUMIFS('SALES Raw'!$F$6:$F$4467,'SALES Raw'!$J$6:$J$4467,$J490,'SALES Raw'!$K$6:$K$4467,"Y")*$H$4+SUMIFS('CEMIUP0.9 Raw'!$G$6:$G$1712,'CEMIUP0.9 Raw'!$B$6:$B$1712,$J490,'CEMIUP0.9 Raw'!$H$6:$H$1712,"Y")</f>
        <v>1541.36210526316</v>
      </c>
      <c r="H490" s="18" t="s">
        <v>43</v>
      </c>
      <c r="I490" s="18" t="s">
        <v>44</v>
      </c>
      <c r="J490" s="18" t="n">
        <v>4408093</v>
      </c>
    </row>
    <row r="491" customFormat="false" ht="15" hidden="false" customHeight="false" outlineLevel="0" collapsed="false">
      <c r="A491" s="18" t="n">
        <f aca="false">IF(ISNUMBER($J491),$J491,"")</f>
        <v>4415004</v>
      </c>
      <c r="B491" s="18" t="str">
        <f aca="false">IFERROR(INDEX('SALES Raw'!$B$6:$B$4467,MATCH($J491,'SALES Raw'!$J$6:$J$4467,0)),IFERROR(INDEX('CEMIUP0.9 Raw'!$B$6:$B$1712,MATCH($J491,'CEMIUP0.9 Raw'!$B$6:$B$1712,0)),$J491))</f>
        <v>26 XXL</v>
      </c>
      <c r="C491" s="18" t="str">
        <f aca="false">IF(ISNUMBER($J491),IFERROR(INDEX('TRANS'!$C:$C,MATCH($J491,'TRANS'!$B:$B,0)),IFERROR(INDEX('Catalog'!$B:$B,MATCH($J491,'Catalog'!$A:$A,0)),$B491)),$B491)</f>
        <v>26 XXL סד ליד דו צדדי לאחר שבר</v>
      </c>
      <c r="D491" s="19" t="n">
        <f aca="false">SUMIFS('SALES Raw'!$C$6:$C$4467,'SALES Raw'!$J$6:$J$4467,$J491,'SALES Raw'!$K$6:$K$4467,"Y")+SUMIFS('CEMIUP0.9 Raw'!$D$6:$D$1712,'CEMIUP0.9 Raw'!$B$6:$B$1712,$J491,'CEMIUP0.9 Raw'!$H$6:$H$1712,"Y")</f>
        <v>10</v>
      </c>
      <c r="E491" s="19" t="n">
        <f aca="false">SUMIFS('SALES Raw'!$D$6:$D$4467,'SALES Raw'!$J$6:$J$4467,$J491,'SALES Raw'!$K$6:$K$4467,"Y")+SUMIFS('CEMIUP0.9 Raw'!$E$6:$E$1712,'CEMIUP0.9 Raw'!$B$6:$B$1712,$J491,'CEMIUP0.9 Raw'!$H$6:$H$1712,"Y")</f>
        <v>1058.212</v>
      </c>
      <c r="F491" s="19" t="n">
        <f aca="false">SUMIFS('SALES Raw'!$E$6:$E$4467,'SALES Raw'!$J$6:$J$4467,$J491,'SALES Raw'!$K$6:$K$4467,"Y")*$H$4+SUMIFS('CEMIUP0.9 Raw'!$F$6:$F$1712,'CEMIUP0.9 Raw'!$B$6:$B$1712,$J491,'CEMIUP0.9 Raw'!$H$6:$H$1712,"Y")</f>
        <v>13.8947368421053</v>
      </c>
      <c r="G491" s="19" t="n">
        <f aca="false">SUMIFS('SALES Raw'!$F$6:$F$4467,'SALES Raw'!$J$6:$J$4467,$J491,'SALES Raw'!$K$6:$K$4467,"Y")*$H$4+SUMIFS('CEMIUP0.9 Raw'!$G$6:$G$1712,'CEMIUP0.9 Raw'!$B$6:$B$1712,$J491,'CEMIUP0.9 Raw'!$H$6:$H$1712,"Y")</f>
        <v>1669.98442105263</v>
      </c>
      <c r="H491" s="18" t="s">
        <v>44</v>
      </c>
      <c r="I491" s="18" t="s">
        <v>53</v>
      </c>
      <c r="J491" s="18" t="n">
        <v>4415004</v>
      </c>
    </row>
    <row r="492" customFormat="false" ht="15" hidden="false" customHeight="false" outlineLevel="0" collapsed="false">
      <c r="A492" s="18" t="n">
        <f aca="false">IF(ISNUMBER($J492),$J492,"")</f>
        <v>4413072</v>
      </c>
      <c r="B492" s="18" t="str">
        <f aca="false">IFERROR(INDEX('SALES Raw'!$B$6:$B$4467,MATCH($J492,'SALES Raw'!$J$6:$J$4467,0)),IFERROR(INDEX('CEMIUP0.9 Raw'!$B$6:$B$1712,MATCH($J492,'CEMIUP0.9 Raw'!$B$6:$B$1712,0)),$J492))</f>
        <v>41 L</v>
      </c>
      <c r="C492" s="18" t="str">
        <f aca="false">IF(ISNUMBER($J492),IFERROR(INDEX('TRANS'!$C:$C,MATCH($J492,'TRANS'!$B:$B,0)),IFERROR(INDEX('Catalog'!$B:$B,MATCH($J492,'Catalog'!$A:$A,0)),$B492)),$B492)</f>
        <v>41 Lמ.ברך מוצלב+ספירלות בצדדים</v>
      </c>
      <c r="D492" s="19" t="n">
        <f aca="false">SUMIFS('SALES Raw'!$C$6:$C$4467,'SALES Raw'!$J$6:$J$4467,$J492,'SALES Raw'!$K$6:$K$4467,"Y")+SUMIFS('CEMIUP0.9 Raw'!$D$6:$D$1712,'CEMIUP0.9 Raw'!$B$6:$B$1712,$J492,'CEMIUP0.9 Raw'!$H$6:$H$1712,"Y")</f>
        <v>26</v>
      </c>
      <c r="E492" s="19" t="n">
        <f aca="false">SUMIFS('SALES Raw'!$D$6:$D$4467,'SALES Raw'!$J$6:$J$4467,$J492,'SALES Raw'!$K$6:$K$4467,"Y")+SUMIFS('CEMIUP0.9 Raw'!$E$6:$E$1712,'CEMIUP0.9 Raw'!$B$6:$B$1712,$J492,'CEMIUP0.9 Raw'!$H$6:$H$1712,"Y")</f>
        <v>3493.951</v>
      </c>
      <c r="F492" s="19" t="n">
        <f aca="false">SUMIFS('SALES Raw'!$E$6:$E$4467,'SALES Raw'!$J$6:$J$4467,$J492,'SALES Raw'!$K$6:$K$4467,"Y")*$H$4+SUMIFS('CEMIUP0.9 Raw'!$F$6:$F$1712,'CEMIUP0.9 Raw'!$B$6:$B$1712,$J492,'CEMIUP0.9 Raw'!$H$6:$H$1712,"Y")</f>
        <v>13.8947368421053</v>
      </c>
      <c r="G492" s="19" t="n">
        <f aca="false">SUMIFS('SALES Raw'!$F$6:$F$4467,'SALES Raw'!$J$6:$J$4467,$J492,'SALES Raw'!$K$6:$K$4467,"Y")*$H$4+SUMIFS('CEMIUP0.9 Raw'!$G$6:$G$1712,'CEMIUP0.9 Raw'!$B$6:$B$1712,$J492,'CEMIUP0.9 Raw'!$H$6:$H$1712,"Y")</f>
        <v>1799.35452631579</v>
      </c>
      <c r="H492" s="18" t="s">
        <v>43</v>
      </c>
      <c r="I492" s="18" t="s">
        <v>44</v>
      </c>
      <c r="J492" s="18" t="n">
        <v>4413072</v>
      </c>
    </row>
    <row r="493" customFormat="false" ht="15" hidden="false" customHeight="false" outlineLevel="0" collapsed="false">
      <c r="A493" s="18" t="n">
        <f aca="false">IF(ISNUMBER($J493),$J493,"")</f>
        <v>4413073</v>
      </c>
      <c r="B493" s="18" t="str">
        <f aca="false">IFERROR(INDEX('SALES Raw'!$B$6:$B$4467,MATCH($J493,'SALES Raw'!$J$6:$J$4467,0)),IFERROR(INDEX('CEMIUP0.9 Raw'!$B$6:$B$1712,MATCH($J493,'CEMIUP0.9 Raw'!$B$6:$B$1712,0)),$J493))</f>
        <v>41 M</v>
      </c>
      <c r="C493" s="18" t="str">
        <f aca="false">IF(ISNUMBER($J493),IFERROR(INDEX('TRANS'!$C:$C,MATCH($J493,'TRANS'!$B:$B,0)),IFERROR(INDEX('Catalog'!$B:$B,MATCH($J493,'Catalog'!$A:$A,0)),$B493)),$B493)</f>
        <v>41 Mמ.ברך מוצלב+ספירלות בצדדים</v>
      </c>
      <c r="D493" s="19" t="n">
        <f aca="false">SUMIFS('SALES Raw'!$C$6:$C$4467,'SALES Raw'!$J$6:$J$4467,$J493,'SALES Raw'!$K$6:$K$4467,"Y")+SUMIFS('CEMIUP0.9 Raw'!$D$6:$D$1712,'CEMIUP0.9 Raw'!$B$6:$B$1712,$J493,'CEMIUP0.9 Raw'!$H$6:$H$1712,"Y")</f>
        <v>7</v>
      </c>
      <c r="E493" s="19" t="n">
        <f aca="false">SUMIFS('SALES Raw'!$D$6:$D$4467,'SALES Raw'!$J$6:$J$4467,$J493,'SALES Raw'!$K$6:$K$4467,"Y")+SUMIFS('CEMIUP0.9 Raw'!$E$6:$E$1712,'CEMIUP0.9 Raw'!$B$6:$B$1712,$J493,'CEMIUP0.9 Raw'!$H$6:$H$1712,"Y")</f>
        <v>1103.181</v>
      </c>
      <c r="F493" s="19" t="n">
        <f aca="false">SUMIFS('SALES Raw'!$E$6:$E$4467,'SALES Raw'!$J$6:$J$4467,$J493,'SALES Raw'!$K$6:$K$4467,"Y")*$H$4+SUMIFS('CEMIUP0.9 Raw'!$F$6:$F$1712,'CEMIUP0.9 Raw'!$B$6:$B$1712,$J493,'CEMIUP0.9 Raw'!$H$6:$H$1712,"Y")</f>
        <v>13.8947368421053</v>
      </c>
      <c r="G493" s="19" t="n">
        <f aca="false">SUMIFS('SALES Raw'!$F$6:$F$4467,'SALES Raw'!$J$6:$J$4467,$J493,'SALES Raw'!$K$6:$K$4467,"Y")*$H$4+SUMIFS('CEMIUP0.9 Raw'!$G$6:$G$1712,'CEMIUP0.9 Raw'!$B$6:$B$1712,$J493,'CEMIUP0.9 Raw'!$H$6:$H$1712,"Y")</f>
        <v>2110.84042105263</v>
      </c>
      <c r="H493" s="18" t="s">
        <v>43</v>
      </c>
      <c r="I493" s="18" t="s">
        <v>42</v>
      </c>
      <c r="J493" s="18" t="n">
        <v>4413073</v>
      </c>
    </row>
    <row r="494" customFormat="false" ht="15" hidden="false" customHeight="false" outlineLevel="0" collapsed="false">
      <c r="A494" s="18" t="str">
        <f aca="false">IF(ISNUMBER($J494),$J494,"")</f>
        <v/>
      </c>
      <c r="B494" s="18" t="str">
        <f aca="false">IFERROR(INDEX('SALES Raw'!$B$6:$B$4467,MATCH($J494,'SALES Raw'!$J$6:$J$4467,0)),IFERROR(INDEX('CEMIUP0.9 Raw'!$B$6:$B$1712,MATCH($J494,'CEMIUP0.9 Raw'!$B$6:$B$1712,0)),$J494))</f>
        <v>11UG XXL</v>
      </c>
      <c r="C494" s="18" t="str">
        <f aca="false">IF(ISNUMBER($J494),IFERROR(INDEX('TRANS'!$C:$C,MATCH($J494,'TRANS'!$B:$B,0)),IFERROR(INDEX('Catalog'!$B:$B,MATCH($J494,'Catalog'!$A:$A,0)),$B494)),$B494)</f>
        <v>11UG XXL</v>
      </c>
      <c r="D494" s="19" t="n">
        <f aca="false">SUMIFS('SALES Raw'!$C$6:$C$4467,'SALES Raw'!$J$6:$J$4467,$J494,'SALES Raw'!$K$6:$K$4467,"Y")+SUMIFS('CEMIUP0.9 Raw'!$D$6:$D$1712,'CEMIUP0.9 Raw'!$B$6:$B$1712,$J494,'CEMIUP0.9 Raw'!$H$6:$H$1712,"Y")</f>
        <v>12</v>
      </c>
      <c r="E494" s="19" t="n">
        <f aca="false">SUMIFS('SALES Raw'!$D$6:$D$4467,'SALES Raw'!$J$6:$J$4467,$J494,'SALES Raw'!$K$6:$K$4467,"Y")+SUMIFS('CEMIUP0.9 Raw'!$E$6:$E$1712,'CEMIUP0.9 Raw'!$B$6:$B$1712,$J494,'CEMIUP0.9 Raw'!$H$6:$H$1712,"Y")</f>
        <v>2419.79</v>
      </c>
      <c r="F494" s="19" t="n">
        <f aca="false">SUMIFS('SALES Raw'!$E$6:$E$4467,'SALES Raw'!$J$6:$J$4467,$J494,'SALES Raw'!$K$6:$K$4467,"Y")*$H$4+SUMIFS('CEMIUP0.9 Raw'!$F$6:$F$1712,'CEMIUP0.9 Raw'!$B$6:$B$1712,$J494,'CEMIUP0.9 Raw'!$H$6:$H$1712,"Y")</f>
        <v>12.6315789473684</v>
      </c>
      <c r="G494" s="19" t="n">
        <f aca="false">SUMIFS('SALES Raw'!$F$6:$F$4467,'SALES Raw'!$J$6:$J$4467,$J494,'SALES Raw'!$K$6:$K$4467,"Y")*$H$4+SUMIFS('CEMIUP0.9 Raw'!$G$6:$G$1712,'CEMIUP0.9 Raw'!$B$6:$B$1712,$J494,'CEMIUP0.9 Raw'!$H$6:$H$1712,"Y")</f>
        <v>2264.43789473684</v>
      </c>
      <c r="H494" s="18" t="s">
        <v>42</v>
      </c>
      <c r="I494" s="18" t="s">
        <v>53</v>
      </c>
      <c r="J494" s="18" t="s">
        <v>137</v>
      </c>
    </row>
    <row r="495" customFormat="false" ht="15" hidden="false" customHeight="false" outlineLevel="0" collapsed="false">
      <c r="A495" s="18" t="str">
        <f aca="false">IF(ISNUMBER($J495),$J495,"")</f>
        <v/>
      </c>
      <c r="B495" s="18" t="str">
        <f aca="false">IFERROR(INDEX('SALES Raw'!$B$6:$B$4467,MATCH($J495,'SALES Raw'!$J$6:$J$4467,0)),IFERROR(INDEX('CEMIUP0.9 Raw'!$B$6:$B$1712,MATCH($J495,'CEMIUP0.9 Raw'!$B$6:$B$1712,0)),$J495))</f>
        <v>SP302W 0</v>
      </c>
      <c r="C495" s="18" t="str">
        <f aca="false">IF(ISNUMBER($J495),IFERROR(INDEX('TRANS'!$C:$C,MATCH($J495,'TRANS'!$B:$B,0)),IFERROR(INDEX('Catalog'!$B:$B,MATCH($J495,'Catalog'!$A:$A,0)),$B495)),$B495)</f>
        <v>SP302W 0</v>
      </c>
      <c r="D495" s="19" t="n">
        <f aca="false">SUMIFS('SALES Raw'!$C$6:$C$4467,'SALES Raw'!$J$6:$J$4467,$J495,'SALES Raw'!$K$6:$K$4467,"Y")+SUMIFS('CEMIUP0.9 Raw'!$D$6:$D$1712,'CEMIUP0.9 Raw'!$B$6:$B$1712,$J495,'CEMIUP0.9 Raw'!$H$6:$H$1712,"Y")</f>
        <v>4</v>
      </c>
      <c r="E495" s="19" t="n">
        <f aca="false">SUMIFS('SALES Raw'!$D$6:$D$4467,'SALES Raw'!$J$6:$J$4467,$J495,'SALES Raw'!$K$6:$K$4467,"Y")+SUMIFS('CEMIUP0.9 Raw'!$E$6:$E$1712,'CEMIUP0.9 Raw'!$B$6:$B$1712,$J495,'CEMIUP0.9 Raw'!$H$6:$H$1712,"Y")</f>
        <v>476.3</v>
      </c>
      <c r="F495" s="19" t="n">
        <f aca="false">SUMIFS('SALES Raw'!$E$6:$E$4467,'SALES Raw'!$J$6:$J$4467,$J495,'SALES Raw'!$K$6:$K$4467,"Y")*$H$4+SUMIFS('CEMIUP0.9 Raw'!$F$6:$F$1712,'CEMIUP0.9 Raw'!$B$6:$B$1712,$J495,'CEMIUP0.9 Raw'!$H$6:$H$1712,"Y")</f>
        <v>12.6315789473684</v>
      </c>
      <c r="G495" s="19" t="n">
        <f aca="false">SUMIFS('SALES Raw'!$F$6:$F$4467,'SALES Raw'!$J$6:$J$4467,$J495,'SALES Raw'!$K$6:$K$4467,"Y")*$H$4+SUMIFS('CEMIUP0.9 Raw'!$G$6:$G$1712,'CEMIUP0.9 Raw'!$B$6:$B$1712,$J495,'CEMIUP0.9 Raw'!$H$6:$H$1712,"Y")</f>
        <v>753.12</v>
      </c>
      <c r="H495" s="18" t="s">
        <v>46</v>
      </c>
      <c r="I495" s="18" t="s">
        <v>42</v>
      </c>
      <c r="J495" s="18" t="s">
        <v>138</v>
      </c>
    </row>
    <row r="496" customFormat="false" ht="15" hidden="false" customHeight="false" outlineLevel="0" collapsed="false">
      <c r="A496" s="18" t="str">
        <f aca="false">IF(ISNUMBER($J496),$J496,"")</f>
        <v/>
      </c>
      <c r="B496" s="18" t="str">
        <f aca="false">IFERROR(INDEX('SALES Raw'!$B$6:$B$4467,MATCH($J496,'SALES Raw'!$J$6:$J$4467,0)),IFERROR(INDEX('CEMIUP0.9 Raw'!$B$6:$B$1712,MATCH($J496,'CEMIUP0.9 Raw'!$B$6:$B$1712,0)),$J496))</f>
        <v>N433D M</v>
      </c>
      <c r="C496" s="18" t="str">
        <f aca="false">IF(ISNUMBER($J496),IFERROR(INDEX('TRANS'!$C:$C,MATCH($J496,'TRANS'!$B:$B,0)),IFERROR(INDEX('Catalog'!$B:$B,MATCH($J496,'Catalog'!$A:$A,0)),$B496)),$B496)</f>
        <v>N433D M</v>
      </c>
      <c r="D496" s="19" t="n">
        <f aca="false">SUMIFS('SALES Raw'!$C$6:$C$4467,'SALES Raw'!$J$6:$J$4467,$J496,'SALES Raw'!$K$6:$K$4467,"Y")+SUMIFS('CEMIUP0.9 Raw'!$D$6:$D$1712,'CEMIUP0.9 Raw'!$B$6:$B$1712,$J496,'CEMIUP0.9 Raw'!$H$6:$H$1712,"Y")</f>
        <v>20</v>
      </c>
      <c r="E496" s="19" t="n">
        <f aca="false">SUMIFS('SALES Raw'!$D$6:$D$4467,'SALES Raw'!$J$6:$J$4467,$J496,'SALES Raw'!$K$6:$K$4467,"Y")+SUMIFS('CEMIUP0.9 Raw'!$E$6:$E$1712,'CEMIUP0.9 Raw'!$B$6:$B$1712,$J496,'CEMIUP0.9 Raw'!$H$6:$H$1712,"Y")</f>
        <v>8183.96</v>
      </c>
      <c r="F496" s="19" t="n">
        <f aca="false">SUMIFS('SALES Raw'!$E$6:$E$4467,'SALES Raw'!$J$6:$J$4467,$J496,'SALES Raw'!$K$6:$K$4467,"Y")*$H$4+SUMIFS('CEMIUP0.9 Raw'!$F$6:$F$1712,'CEMIUP0.9 Raw'!$B$6:$B$1712,$J496,'CEMIUP0.9 Raw'!$H$6:$H$1712,"Y")</f>
        <v>12.6315789473684</v>
      </c>
      <c r="G496" s="19" t="n">
        <f aca="false">SUMIFS('SALES Raw'!$F$6:$F$4467,'SALES Raw'!$J$6:$J$4467,$J496,'SALES Raw'!$K$6:$K$4467,"Y")*$H$4+SUMIFS('CEMIUP0.9 Raw'!$G$6:$G$1712,'CEMIUP0.9 Raw'!$B$6:$B$1712,$J496,'CEMIUP0.9 Raw'!$H$6:$H$1712,"Y")</f>
        <v>5180.94315789474</v>
      </c>
      <c r="H496" s="18" t="s">
        <v>42</v>
      </c>
      <c r="I496" s="18" t="s">
        <v>46</v>
      </c>
      <c r="J496" s="18" t="s">
        <v>139</v>
      </c>
    </row>
    <row r="497" customFormat="false" ht="15" hidden="false" customHeight="false" outlineLevel="0" collapsed="false">
      <c r="A497" s="18" t="str">
        <f aca="false">IF(ISNUMBER($J497),$J497,"")</f>
        <v/>
      </c>
      <c r="B497" s="18" t="str">
        <f aca="false">IFERROR(INDEX('SALES Raw'!$B$6:$B$4467,MATCH($J497,'SALES Raw'!$J$6:$J$4467,0)),IFERROR(INDEX('CEMIUP0.9 Raw'!$B$6:$B$1712,MATCH($J497,'CEMIUP0.9 Raw'!$B$6:$B$1712,0)),$J497))</f>
        <v>305-39-40</v>
      </c>
      <c r="C497" s="18" t="str">
        <f aca="false">IF(ISNUMBER($J497),IFERROR(INDEX('TRANS'!$C:$C,MATCH($J497,'TRANS'!$B:$B,0)),IFERROR(INDEX('Catalog'!$B:$B,MATCH($J497,'Catalog'!$A:$A,0)),$B497)),$B497)</f>
        <v>305-39-40</v>
      </c>
      <c r="D497" s="19" t="n">
        <f aca="false">SUMIFS('SALES Raw'!$C$6:$C$4467,'SALES Raw'!$J$6:$J$4467,$J497,'SALES Raw'!$K$6:$K$4467,"Y")+SUMIFS('CEMIUP0.9 Raw'!$D$6:$D$1712,'CEMIUP0.9 Raw'!$B$6:$B$1712,$J497,'CEMIUP0.9 Raw'!$H$6:$H$1712,"Y")</f>
        <v>0</v>
      </c>
      <c r="E497" s="19" t="n">
        <f aca="false">SUMIFS('SALES Raw'!$D$6:$D$4467,'SALES Raw'!$J$6:$J$4467,$J497,'SALES Raw'!$K$6:$K$4467,"Y")+SUMIFS('CEMIUP0.9 Raw'!$E$6:$E$1712,'CEMIUP0.9 Raw'!$B$6:$B$1712,$J497,'CEMIUP0.9 Raw'!$H$6:$H$1712,"Y")</f>
        <v>0</v>
      </c>
      <c r="F497" s="19" t="n">
        <f aca="false">SUMIFS('SALES Raw'!$E$6:$E$4467,'SALES Raw'!$J$6:$J$4467,$J497,'SALES Raw'!$K$6:$K$4467,"Y")*$H$4+SUMIFS('CEMIUP0.9 Raw'!$F$6:$F$1712,'CEMIUP0.9 Raw'!$B$6:$B$1712,$J497,'CEMIUP0.9 Raw'!$H$6:$H$1712,"Y")</f>
        <v>12.6315789473684</v>
      </c>
      <c r="G497" s="19" t="n">
        <f aca="false">SUMIFS('SALES Raw'!$F$6:$F$4467,'SALES Raw'!$J$6:$J$4467,$J497,'SALES Raw'!$K$6:$K$4467,"Y")*$H$4+SUMIFS('CEMIUP0.9 Raw'!$G$6:$G$1712,'CEMIUP0.9 Raw'!$B$6:$B$1712,$J497,'CEMIUP0.9 Raw'!$H$6:$H$1712,"Y")</f>
        <v>2097.06947368421</v>
      </c>
      <c r="H497" s="18" t="s">
        <v>42</v>
      </c>
      <c r="I497" s="18"/>
      <c r="J497" s="18" t="s">
        <v>140</v>
      </c>
    </row>
    <row r="498" customFormat="false" ht="15" hidden="false" customHeight="false" outlineLevel="0" collapsed="false">
      <c r="A498" s="18" t="str">
        <f aca="false">IF(ISNUMBER($J498),$J498,"")</f>
        <v/>
      </c>
      <c r="B498" s="18" t="str">
        <f aca="false">IFERROR(INDEX('SALES Raw'!$B$6:$B$4467,MATCH($J498,'SALES Raw'!$J$6:$J$4467,0)),IFERROR(INDEX('CEMIUP0.9 Raw'!$B$6:$B$1712,MATCH($J498,'CEMIUP0.9 Raw'!$B$6:$B$1712,0)),$J498))</f>
        <v>T03 M</v>
      </c>
      <c r="C498" s="18" t="str">
        <f aca="false">IF(ISNUMBER($J498),IFERROR(INDEX('TRANS'!$C:$C,MATCH($J498,'TRANS'!$B:$B,0)),IFERROR(INDEX('Catalog'!$B:$B,MATCH($J498,'Catalog'!$A:$A,0)),$B498)),$B498)</f>
        <v>T03 M</v>
      </c>
      <c r="D498" s="19" t="n">
        <f aca="false">SUMIFS('SALES Raw'!$C$6:$C$4467,'SALES Raw'!$J$6:$J$4467,$J498,'SALES Raw'!$K$6:$K$4467,"Y")+SUMIFS('CEMIUP0.9 Raw'!$D$6:$D$1712,'CEMIUP0.9 Raw'!$B$6:$B$1712,$J498,'CEMIUP0.9 Raw'!$H$6:$H$1712,"Y")</f>
        <v>9</v>
      </c>
      <c r="E498" s="19" t="n">
        <f aca="false">SUMIFS('SALES Raw'!$D$6:$D$4467,'SALES Raw'!$J$6:$J$4467,$J498,'SALES Raw'!$K$6:$K$4467,"Y")+SUMIFS('CEMIUP0.9 Raw'!$E$6:$E$1712,'CEMIUP0.9 Raw'!$B$6:$B$1712,$J498,'CEMIUP0.9 Raw'!$H$6:$H$1712,"Y")</f>
        <v>1527.03</v>
      </c>
      <c r="F498" s="19" t="n">
        <f aca="false">SUMIFS('SALES Raw'!$E$6:$E$4467,'SALES Raw'!$J$6:$J$4467,$J498,'SALES Raw'!$K$6:$K$4467,"Y")*$H$4+SUMIFS('CEMIUP0.9 Raw'!$F$6:$F$1712,'CEMIUP0.9 Raw'!$B$6:$B$1712,$J498,'CEMIUP0.9 Raw'!$H$6:$H$1712,"Y")</f>
        <v>12.6315789473684</v>
      </c>
      <c r="G498" s="19" t="n">
        <f aca="false">SUMIFS('SALES Raw'!$F$6:$F$4467,'SALES Raw'!$J$6:$J$4467,$J498,'SALES Raw'!$K$6:$K$4467,"Y")*$H$4+SUMIFS('CEMIUP0.9 Raw'!$G$6:$G$1712,'CEMIUP0.9 Raw'!$B$6:$B$1712,$J498,'CEMIUP0.9 Raw'!$H$6:$H$1712,"Y")</f>
        <v>2145.22105263158</v>
      </c>
      <c r="H498" s="18" t="s">
        <v>42</v>
      </c>
      <c r="I498" s="18" t="s">
        <v>56</v>
      </c>
      <c r="J498" s="18" t="s">
        <v>141</v>
      </c>
    </row>
    <row r="499" customFormat="false" ht="15" hidden="false" customHeight="false" outlineLevel="0" collapsed="false">
      <c r="A499" s="18" t="str">
        <f aca="false">IF(ISNUMBER($J499),$J499,"")</f>
        <v/>
      </c>
      <c r="B499" s="18" t="str">
        <f aca="false">IFERROR(INDEX('SALES Raw'!$B$6:$B$4467,MATCH($J499,'SALES Raw'!$J$6:$J$4467,0)),IFERROR(INDEX('CEMIUP0.9 Raw'!$B$6:$B$1712,MATCH($J499,'CEMIUP0.9 Raw'!$B$6:$B$1712,0)),$J499))</f>
        <v>T402 XL</v>
      </c>
      <c r="C499" s="18" t="str">
        <f aca="false">IF(ISNUMBER($J499),IFERROR(INDEX('TRANS'!$C:$C,MATCH($J499,'TRANS'!$B:$B,0)),IFERROR(INDEX('Catalog'!$B:$B,MATCH($J499,'Catalog'!$A:$A,0)),$B499)),$B499)</f>
        <v>T402 XL</v>
      </c>
      <c r="D499" s="19" t="n">
        <f aca="false">SUMIFS('SALES Raw'!$C$6:$C$4467,'SALES Raw'!$J$6:$J$4467,$J499,'SALES Raw'!$K$6:$K$4467,"Y")+SUMIFS('CEMIUP0.9 Raw'!$D$6:$D$1712,'CEMIUP0.9 Raw'!$B$6:$B$1712,$J499,'CEMIUP0.9 Raw'!$H$6:$H$1712,"Y")</f>
        <v>9</v>
      </c>
      <c r="E499" s="19" t="n">
        <f aca="false">SUMIFS('SALES Raw'!$D$6:$D$4467,'SALES Raw'!$J$6:$J$4467,$J499,'SALES Raw'!$K$6:$K$4467,"Y")+SUMIFS('CEMIUP0.9 Raw'!$E$6:$E$1712,'CEMIUP0.9 Raw'!$B$6:$B$1712,$J499,'CEMIUP0.9 Raw'!$H$6:$H$1712,"Y")</f>
        <v>972.65</v>
      </c>
      <c r="F499" s="19" t="n">
        <f aca="false">SUMIFS('SALES Raw'!$E$6:$E$4467,'SALES Raw'!$J$6:$J$4467,$J499,'SALES Raw'!$K$6:$K$4467,"Y")*$H$4+SUMIFS('CEMIUP0.9 Raw'!$F$6:$F$1712,'CEMIUP0.9 Raw'!$B$6:$B$1712,$J499,'CEMIUP0.9 Raw'!$H$6:$H$1712,"Y")</f>
        <v>12.6315789473684</v>
      </c>
      <c r="G499" s="19" t="n">
        <f aca="false">SUMIFS('SALES Raw'!$F$6:$F$4467,'SALES Raw'!$J$6:$J$4467,$J499,'SALES Raw'!$K$6:$K$4467,"Y")*$H$4+SUMIFS('CEMIUP0.9 Raw'!$G$6:$G$1712,'CEMIUP0.9 Raw'!$B$6:$B$1712,$J499,'CEMIUP0.9 Raw'!$H$6:$H$1712,"Y")</f>
        <v>1485.00631578947</v>
      </c>
      <c r="H499" s="18" t="s">
        <v>44</v>
      </c>
      <c r="I499" s="18" t="s">
        <v>42</v>
      </c>
      <c r="J499" s="18" t="s">
        <v>142</v>
      </c>
    </row>
    <row r="500" customFormat="false" ht="15" hidden="false" customHeight="false" outlineLevel="0" collapsed="false">
      <c r="A500" s="18" t="str">
        <f aca="false">IF(ISNUMBER($J500),$J500,"")</f>
        <v/>
      </c>
      <c r="B500" s="18" t="str">
        <f aca="false">IFERROR(INDEX('SALES Raw'!$B$6:$B$4467,MATCH($J500,'SALES Raw'!$J$6:$J$4467,0)),IFERROR(INDEX('CEMIUP0.9 Raw'!$B$6:$B$1712,MATCH($J500,'CEMIUP0.9 Raw'!$B$6:$B$1712,0)),$J500))</f>
        <v>18 L</v>
      </c>
      <c r="C500" s="18" t="str">
        <f aca="false">IF(ISNUMBER($J500),IFERROR(INDEX('TRANS'!$C:$C,MATCH($J500,'TRANS'!$B:$B,0)),IFERROR(INDEX('Catalog'!$B:$B,MATCH($J500,'Catalog'!$A:$A,0)),$B500)),$B500)</f>
        <v>18 L</v>
      </c>
      <c r="D500" s="19" t="n">
        <f aca="false">SUMIFS('SALES Raw'!$C$6:$C$4467,'SALES Raw'!$J$6:$J$4467,$J500,'SALES Raw'!$K$6:$K$4467,"Y")+SUMIFS('CEMIUP0.9 Raw'!$D$6:$D$1712,'CEMIUP0.9 Raw'!$B$6:$B$1712,$J500,'CEMIUP0.9 Raw'!$H$6:$H$1712,"Y")</f>
        <v>14</v>
      </c>
      <c r="E500" s="19" t="n">
        <f aca="false">SUMIFS('SALES Raw'!$D$6:$D$4467,'SALES Raw'!$J$6:$J$4467,$J500,'SALES Raw'!$K$6:$K$4467,"Y")+SUMIFS('CEMIUP0.9 Raw'!$E$6:$E$1712,'CEMIUP0.9 Raw'!$B$6:$B$1712,$J500,'CEMIUP0.9 Raw'!$H$6:$H$1712,"Y")</f>
        <v>3395.68</v>
      </c>
      <c r="F500" s="19" t="n">
        <f aca="false">SUMIFS('SALES Raw'!$E$6:$E$4467,'SALES Raw'!$J$6:$J$4467,$J500,'SALES Raw'!$K$6:$K$4467,"Y")*$H$4+SUMIFS('CEMIUP0.9 Raw'!$F$6:$F$1712,'CEMIUP0.9 Raw'!$B$6:$B$1712,$J500,'CEMIUP0.9 Raw'!$H$6:$H$1712,"Y")</f>
        <v>12.6315789473684</v>
      </c>
      <c r="G500" s="19" t="n">
        <f aca="false">SUMIFS('SALES Raw'!$F$6:$F$4467,'SALES Raw'!$J$6:$J$4467,$J500,'SALES Raw'!$K$6:$K$4467,"Y")*$H$4+SUMIFS('CEMIUP0.9 Raw'!$G$6:$G$1712,'CEMIUP0.9 Raw'!$B$6:$B$1712,$J500,'CEMIUP0.9 Raw'!$H$6:$H$1712,"Y")</f>
        <v>3734.65263157895</v>
      </c>
      <c r="H500" s="18" t="s">
        <v>44</v>
      </c>
      <c r="I500" s="18" t="s">
        <v>54</v>
      </c>
      <c r="J500" s="18" t="s">
        <v>143</v>
      </c>
    </row>
    <row r="501" customFormat="false" ht="15" hidden="false" customHeight="false" outlineLevel="0" collapsed="false">
      <c r="A501" s="18" t="n">
        <f aca="false">IF(ISNUMBER($J501),$J501,"")</f>
        <v>4408259</v>
      </c>
      <c r="B501" s="18" t="str">
        <f aca="false">IFERROR(INDEX('SALES Raw'!$B$6:$B$4467,MATCH($J501,'SALES Raw'!$J$6:$J$4467,0)),IFERROR(INDEX('CEMIUP0.9 Raw'!$B$6:$B$1712,MATCH($J501,'CEMIUP0.9 Raw'!$B$6:$B$1712,0)),$J501))</f>
        <v>11STO S</v>
      </c>
      <c r="C501" s="18" t="str">
        <f aca="false">IF(ISNUMBER($J501),IFERROR(INDEX('TRANS'!$C:$C,MATCH($J501,'TRANS'!$B:$B,0)),IFERROR(INDEX('Catalog'!$B:$B,MATCH($J501,'Catalog'!$A:$A,0)),$B501)),$B501)</f>
        <v>11STO S חגורה אחרי ניתוח</v>
      </c>
      <c r="D501" s="19" t="n">
        <f aca="false">SUMIFS('SALES Raw'!$C$6:$C$4467,'SALES Raw'!$J$6:$J$4467,$J501,'SALES Raw'!$K$6:$K$4467,"Y")+SUMIFS('CEMIUP0.9 Raw'!$D$6:$D$1712,'CEMIUP0.9 Raw'!$B$6:$B$1712,$J501,'CEMIUP0.9 Raw'!$H$6:$H$1712,"Y")</f>
        <v>9</v>
      </c>
      <c r="E501" s="19" t="n">
        <f aca="false">SUMIFS('SALES Raw'!$D$6:$D$4467,'SALES Raw'!$J$6:$J$4467,$J501,'SALES Raw'!$K$6:$K$4467,"Y")+SUMIFS('CEMIUP0.9 Raw'!$E$6:$E$1712,'CEMIUP0.9 Raw'!$B$6:$B$1712,$J501,'CEMIUP0.9 Raw'!$H$6:$H$1712,"Y")</f>
        <v>1089.19</v>
      </c>
      <c r="F501" s="19" t="n">
        <f aca="false">SUMIFS('SALES Raw'!$E$6:$E$4467,'SALES Raw'!$J$6:$J$4467,$J501,'SALES Raw'!$K$6:$K$4467,"Y")*$H$4+SUMIFS('CEMIUP0.9 Raw'!$F$6:$F$1712,'CEMIUP0.9 Raw'!$B$6:$B$1712,$J501,'CEMIUP0.9 Raw'!$H$6:$H$1712,"Y")</f>
        <v>12.6315789473684</v>
      </c>
      <c r="G501" s="19" t="n">
        <f aca="false">SUMIFS('SALES Raw'!$F$6:$F$4467,'SALES Raw'!$J$6:$J$4467,$J501,'SALES Raw'!$K$6:$K$4467,"Y")*$H$4+SUMIFS('CEMIUP0.9 Raw'!$G$6:$G$1712,'CEMIUP0.9 Raw'!$B$6:$B$1712,$J501,'CEMIUP0.9 Raw'!$H$6:$H$1712,"Y")</f>
        <v>2501.136</v>
      </c>
      <c r="H501" s="18" t="s">
        <v>42</v>
      </c>
      <c r="I501" s="18" t="s">
        <v>43</v>
      </c>
      <c r="J501" s="18" t="n">
        <v>4408259</v>
      </c>
    </row>
    <row r="502" customFormat="false" ht="15" hidden="false" customHeight="false" outlineLevel="0" collapsed="false">
      <c r="A502" s="18" t="str">
        <f aca="false">IF(ISNUMBER($J502),$J502,"")</f>
        <v/>
      </c>
      <c r="B502" s="18" t="str">
        <f aca="false">IFERROR(INDEX('SALES Raw'!$B$6:$B$4467,MATCH($J502,'SALES Raw'!$J$6:$J$4467,0)),IFERROR(INDEX('CEMIUP0.9 Raw'!$B$6:$B$1712,MATCH($J502,'CEMIUP0.9 Raw'!$B$6:$B$1712,0)),$J502))</f>
        <v>07UB-L-XL</v>
      </c>
      <c r="C502" s="18" t="str">
        <f aca="false">IF(ISNUMBER($J502),IFERROR(INDEX('TRANS'!$C:$C,MATCH($J502,'TRANS'!$B:$B,0)),IFERROR(INDEX('Catalog'!$B:$B,MATCH($J502,'Catalog'!$A:$A,0)),$B502)),$B502)</f>
        <v>07UB-L-XL</v>
      </c>
      <c r="D502" s="19" t="n">
        <f aca="false">SUMIFS('SALES Raw'!$C$6:$C$4467,'SALES Raw'!$J$6:$J$4467,$J502,'SALES Raw'!$K$6:$K$4467,"Y")+SUMIFS('CEMIUP0.9 Raw'!$D$6:$D$1712,'CEMIUP0.9 Raw'!$B$6:$B$1712,$J502,'CEMIUP0.9 Raw'!$H$6:$H$1712,"Y")</f>
        <v>57</v>
      </c>
      <c r="E502" s="19" t="n">
        <f aca="false">SUMIFS('SALES Raw'!$D$6:$D$4467,'SALES Raw'!$J$6:$J$4467,$J502,'SALES Raw'!$K$6:$K$4467,"Y")+SUMIFS('CEMIUP0.9 Raw'!$E$6:$E$1712,'CEMIUP0.9 Raw'!$B$6:$B$1712,$J502,'CEMIUP0.9 Raw'!$H$6:$H$1712,"Y")</f>
        <v>9026.16</v>
      </c>
      <c r="F502" s="19" t="n">
        <f aca="false">SUMIFS('SALES Raw'!$E$6:$E$4467,'SALES Raw'!$J$6:$J$4467,$J502,'SALES Raw'!$K$6:$K$4467,"Y")*$H$4+SUMIFS('CEMIUP0.9 Raw'!$F$6:$F$1712,'CEMIUP0.9 Raw'!$B$6:$B$1712,$J502,'CEMIUP0.9 Raw'!$H$6:$H$1712,"Y")</f>
        <v>12.6315789473684</v>
      </c>
      <c r="G502" s="19" t="n">
        <f aca="false">SUMIFS('SALES Raw'!$F$6:$F$4467,'SALES Raw'!$J$6:$J$4467,$J502,'SALES Raw'!$K$6:$K$4467,"Y")*$H$4+SUMIFS('CEMIUP0.9 Raw'!$G$6:$G$1712,'CEMIUP0.9 Raw'!$B$6:$B$1712,$J502,'CEMIUP0.9 Raw'!$H$6:$H$1712,"Y")</f>
        <v>4605.44842105263</v>
      </c>
      <c r="H502" s="18" t="s">
        <v>42</v>
      </c>
      <c r="I502" s="18" t="s">
        <v>54</v>
      </c>
      <c r="J502" s="18" t="s">
        <v>144</v>
      </c>
    </row>
    <row r="503" customFormat="false" ht="15" hidden="false" customHeight="false" outlineLevel="0" collapsed="false">
      <c r="A503" s="18" t="n">
        <f aca="false">IF(ISNUMBER($J503),$J503,"")</f>
        <v>4413129</v>
      </c>
      <c r="B503" s="18" t="str">
        <f aca="false">IFERROR(INDEX('SALES Raw'!$B$6:$B$4467,MATCH($J503,'SALES Raw'!$J$6:$J$4467,0)),IFERROR(INDEX('CEMIUP0.9 Raw'!$B$6:$B$1712,MATCH($J503,'CEMIUP0.9 Raw'!$B$6:$B$1712,0)),$J503))</f>
        <v>75 XL</v>
      </c>
      <c r="C503" s="18" t="str">
        <f aca="false">IF(ISNUMBER($J503),IFERROR(INDEX('TRANS'!$C:$C,MATCH($J503,'TRANS'!$B:$B,0)),IFERROR(INDEX('Catalog'!$B:$B,MATCH($J503,'Catalog'!$A:$A,0)),$B503)),$B503)</f>
        <v>75 XLמיישר כתף יציב יישור ג.צר</v>
      </c>
      <c r="D503" s="19" t="n">
        <f aca="false">SUMIFS('SALES Raw'!$C$6:$C$4467,'SALES Raw'!$J$6:$J$4467,$J503,'SALES Raw'!$K$6:$K$4467,"Y")+SUMIFS('CEMIUP0.9 Raw'!$D$6:$D$1712,'CEMIUP0.9 Raw'!$B$6:$B$1712,$J503,'CEMIUP0.9 Raw'!$H$6:$H$1712,"Y")</f>
        <v>30</v>
      </c>
      <c r="E503" s="19" t="n">
        <f aca="false">SUMIFS('SALES Raw'!$D$6:$D$4467,'SALES Raw'!$J$6:$J$4467,$J503,'SALES Raw'!$K$6:$K$4467,"Y")+SUMIFS('CEMIUP0.9 Raw'!$E$6:$E$1712,'CEMIUP0.9 Raw'!$B$6:$B$1712,$J503,'CEMIUP0.9 Raw'!$H$6:$H$1712,"Y")</f>
        <v>5430.228</v>
      </c>
      <c r="F503" s="19" t="n">
        <f aca="false">SUMIFS('SALES Raw'!$E$6:$E$4467,'SALES Raw'!$J$6:$J$4467,$J503,'SALES Raw'!$K$6:$K$4467,"Y")*$H$4+SUMIFS('CEMIUP0.9 Raw'!$F$6:$F$1712,'CEMIUP0.9 Raw'!$B$6:$B$1712,$J503,'CEMIUP0.9 Raw'!$H$6:$H$1712,"Y")</f>
        <v>12.6315789473684</v>
      </c>
      <c r="G503" s="19" t="n">
        <f aca="false">SUMIFS('SALES Raw'!$F$6:$F$4467,'SALES Raw'!$J$6:$J$4467,$J503,'SALES Raw'!$K$6:$K$4467,"Y")*$H$4+SUMIFS('CEMIUP0.9 Raw'!$G$6:$G$1712,'CEMIUP0.9 Raw'!$B$6:$B$1712,$J503,'CEMIUP0.9 Raw'!$H$6:$H$1712,"Y")</f>
        <v>2699.42905263158</v>
      </c>
      <c r="H503" s="18" t="s">
        <v>42</v>
      </c>
      <c r="I503" s="18" t="s">
        <v>43</v>
      </c>
      <c r="J503" s="18" t="n">
        <v>4413129</v>
      </c>
    </row>
    <row r="504" customFormat="false" ht="15" hidden="false" customHeight="false" outlineLevel="0" collapsed="false">
      <c r="A504" s="18" t="n">
        <f aca="false">IF(ISNUMBER($J504),$J504,"")</f>
        <v>4413183</v>
      </c>
      <c r="B504" s="18" t="str">
        <f aca="false">IFERROR(INDEX('SALES Raw'!$B$6:$B$4467,MATCH($J504,'SALES Raw'!$J$6:$J$4467,0)),IFERROR(INDEX('CEMIUP0.9 Raw'!$B$6:$B$1712,MATCH($J504,'CEMIUP0.9 Raw'!$B$6:$B$1712,0)),$J504))</f>
        <v>T45 M</v>
      </c>
      <c r="C504" s="18" t="str">
        <f aca="false">IF(ISNUMBER($J504),IFERROR(INDEX('TRANS'!$C:$C,MATCH($J504,'TRANS'!$B:$B,0)),IFERROR(INDEX('Catalog'!$B:$B,MATCH($J504,'Catalog'!$A:$A,0)),$B504)),$B504)</f>
        <v>T 45 M מגן ברך רגיל</v>
      </c>
      <c r="D504" s="19" t="n">
        <f aca="false">SUMIFS('SALES Raw'!$C$6:$C$4467,'SALES Raw'!$J$6:$J$4467,$J504,'SALES Raw'!$K$6:$K$4467,"Y")+SUMIFS('CEMIUP0.9 Raw'!$D$6:$D$1712,'CEMIUP0.9 Raw'!$B$6:$B$1712,$J504,'CEMIUP0.9 Raw'!$H$6:$H$1712,"Y")</f>
        <v>5</v>
      </c>
      <c r="E504" s="19" t="n">
        <f aca="false">SUMIFS('SALES Raw'!$D$6:$D$4467,'SALES Raw'!$J$6:$J$4467,$J504,'SALES Raw'!$K$6:$K$4467,"Y")+SUMIFS('CEMIUP0.9 Raw'!$E$6:$E$1712,'CEMIUP0.9 Raw'!$B$6:$B$1712,$J504,'CEMIUP0.9 Raw'!$H$6:$H$1712,"Y")</f>
        <v>686.66</v>
      </c>
      <c r="F504" s="19" t="n">
        <f aca="false">SUMIFS('SALES Raw'!$E$6:$E$4467,'SALES Raw'!$J$6:$J$4467,$J504,'SALES Raw'!$K$6:$K$4467,"Y")*$H$4+SUMIFS('CEMIUP0.9 Raw'!$F$6:$F$1712,'CEMIUP0.9 Raw'!$B$6:$B$1712,$J504,'CEMIUP0.9 Raw'!$H$6:$H$1712,"Y")</f>
        <v>12.6315789473684</v>
      </c>
      <c r="G504" s="19" t="n">
        <f aca="false">SUMIFS('SALES Raw'!$F$6:$F$4467,'SALES Raw'!$J$6:$J$4467,$J504,'SALES Raw'!$K$6:$K$4467,"Y")*$H$4+SUMIFS('CEMIUP0.9 Raw'!$G$6:$G$1712,'CEMIUP0.9 Raw'!$B$6:$B$1712,$J504,'CEMIUP0.9 Raw'!$H$6:$H$1712,"Y")</f>
        <v>1522.77221052632</v>
      </c>
      <c r="H504" s="18" t="s">
        <v>44</v>
      </c>
      <c r="I504" s="18" t="s">
        <v>42</v>
      </c>
      <c r="J504" s="18" t="n">
        <v>4413183</v>
      </c>
    </row>
    <row r="505" customFormat="false" ht="15" hidden="false" customHeight="false" outlineLevel="0" collapsed="false">
      <c r="A505" s="18" t="n">
        <f aca="false">IF(ISNUMBER($J505),$J505,"")</f>
        <v>4413074</v>
      </c>
      <c r="B505" s="18" t="str">
        <f aca="false">IFERROR(INDEX('SALES Raw'!$B$6:$B$4467,MATCH($J505,'SALES Raw'!$J$6:$J$4467,0)),IFERROR(INDEX('CEMIUP0.9 Raw'!$B$6:$B$1712,MATCH($J505,'CEMIUP0.9 Raw'!$B$6:$B$1712,0)),$J505))</f>
        <v>41 XL</v>
      </c>
      <c r="C505" s="18" t="str">
        <f aca="false">IF(ISNUMBER($J505),IFERROR(INDEX('TRANS'!$C:$C,MATCH($J505,'TRANS'!$B:$B,0)),IFERROR(INDEX('Catalog'!$B:$B,MATCH($J505,'Catalog'!$A:$A,0)),$B505)),$B505)</f>
        <v>41  XL.מ.ברך מוצלב+ספירלות בצד</v>
      </c>
      <c r="D505" s="19" t="n">
        <f aca="false">SUMIFS('SALES Raw'!$C$6:$C$4467,'SALES Raw'!$J$6:$J$4467,$J505,'SALES Raw'!$K$6:$K$4467,"Y")+SUMIFS('CEMIUP0.9 Raw'!$D$6:$D$1712,'CEMIUP0.9 Raw'!$B$6:$B$1712,$J505,'CEMIUP0.9 Raw'!$H$6:$H$1712,"Y")</f>
        <v>17</v>
      </c>
      <c r="E505" s="19" t="n">
        <f aca="false">SUMIFS('SALES Raw'!$D$6:$D$4467,'SALES Raw'!$J$6:$J$4467,$J505,'SALES Raw'!$K$6:$K$4467,"Y")+SUMIFS('CEMIUP0.9 Raw'!$E$6:$E$1712,'CEMIUP0.9 Raw'!$B$6:$B$1712,$J505,'CEMIUP0.9 Raw'!$H$6:$H$1712,"Y")</f>
        <v>2363.308</v>
      </c>
      <c r="F505" s="19" t="n">
        <f aca="false">SUMIFS('SALES Raw'!$E$6:$E$4467,'SALES Raw'!$J$6:$J$4467,$J505,'SALES Raw'!$K$6:$K$4467,"Y")*$H$4+SUMIFS('CEMIUP0.9 Raw'!$F$6:$F$1712,'CEMIUP0.9 Raw'!$B$6:$B$1712,$J505,'CEMIUP0.9 Raw'!$H$6:$H$1712,"Y")</f>
        <v>12.6315789473684</v>
      </c>
      <c r="G505" s="19" t="n">
        <f aca="false">SUMIFS('SALES Raw'!$F$6:$F$4467,'SALES Raw'!$J$6:$J$4467,$J505,'SALES Raw'!$K$6:$K$4467,"Y")*$H$4+SUMIFS('CEMIUP0.9 Raw'!$G$6:$G$1712,'CEMIUP0.9 Raw'!$B$6:$B$1712,$J505,'CEMIUP0.9 Raw'!$H$6:$H$1712,"Y")</f>
        <v>1385.67663157895</v>
      </c>
      <c r="H505" s="18" t="s">
        <v>43</v>
      </c>
      <c r="I505" s="18" t="s">
        <v>44</v>
      </c>
      <c r="J505" s="18" t="n">
        <v>4413074</v>
      </c>
    </row>
    <row r="506" customFormat="false" ht="15" hidden="false" customHeight="false" outlineLevel="0" collapsed="false">
      <c r="A506" s="18" t="n">
        <f aca="false">IF(ISNUMBER($J506),$J506,"")</f>
        <v>4413260</v>
      </c>
      <c r="B506" s="18" t="str">
        <f aca="false">IFERROR(INDEX('SALES Raw'!$B$6:$B$4467,MATCH($J506,'SALES Raw'!$J$6:$J$4467,0)),IFERROR(INDEX('CEMIUP0.9 Raw'!$B$6:$B$1712,MATCH($J506,'CEMIUP0.9 Raw'!$B$6:$B$1712,0)),$J506))</f>
        <v>T45X XXL</v>
      </c>
      <c r="C506" s="18" t="str">
        <f aca="false">IF(ISNUMBER($J506),IFERROR(INDEX('TRANS'!$C:$C,MATCH($J506,'TRANS'!$B:$B,0)),IFERROR(INDEX('Catalog'!$B:$B,MATCH($J506,'Catalog'!$A:$A,0)),$B506)),$B506)</f>
        <v>T45X-XXLמגן ברך רגיל</v>
      </c>
      <c r="D506" s="19" t="n">
        <f aca="false">SUMIFS('SALES Raw'!$C$6:$C$4467,'SALES Raw'!$J$6:$J$4467,$J506,'SALES Raw'!$K$6:$K$4467,"Y")+SUMIFS('CEMIUP0.9 Raw'!$D$6:$D$1712,'CEMIUP0.9 Raw'!$B$6:$B$1712,$J506,'CEMIUP0.9 Raw'!$H$6:$H$1712,"Y")</f>
        <v>4</v>
      </c>
      <c r="E506" s="19" t="n">
        <f aca="false">SUMIFS('SALES Raw'!$D$6:$D$4467,'SALES Raw'!$J$6:$J$4467,$J506,'SALES Raw'!$K$6:$K$4467,"Y")+SUMIFS('CEMIUP0.9 Raw'!$E$6:$E$1712,'CEMIUP0.9 Raw'!$B$6:$B$1712,$J506,'CEMIUP0.9 Raw'!$H$6:$H$1712,"Y")</f>
        <v>690.81</v>
      </c>
      <c r="F506" s="19" t="n">
        <f aca="false">SUMIFS('SALES Raw'!$E$6:$E$4467,'SALES Raw'!$J$6:$J$4467,$J506,'SALES Raw'!$K$6:$K$4467,"Y")*$H$4+SUMIFS('CEMIUP0.9 Raw'!$F$6:$F$1712,'CEMIUP0.9 Raw'!$B$6:$B$1712,$J506,'CEMIUP0.9 Raw'!$H$6:$H$1712,"Y")</f>
        <v>11.3684210526316</v>
      </c>
      <c r="G506" s="19" t="n">
        <f aca="false">SUMIFS('SALES Raw'!$F$6:$F$4467,'SALES Raw'!$J$6:$J$4467,$J506,'SALES Raw'!$K$6:$K$4467,"Y")*$H$4+SUMIFS('CEMIUP0.9 Raw'!$G$6:$G$1712,'CEMIUP0.9 Raw'!$B$6:$B$1712,$J506,'CEMIUP0.9 Raw'!$H$6:$H$1712,"Y")</f>
        <v>1719.74652631579</v>
      </c>
      <c r="H506" s="18" t="s">
        <v>42</v>
      </c>
      <c r="I506" s="18" t="s">
        <v>43</v>
      </c>
      <c r="J506" s="18" t="n">
        <v>4413260</v>
      </c>
    </row>
    <row r="507" customFormat="false" ht="15" hidden="false" customHeight="false" outlineLevel="0" collapsed="false">
      <c r="A507" s="18" t="n">
        <f aca="false">IF(ISNUMBER($J507),$J507,"")</f>
        <v>4413154</v>
      </c>
      <c r="B507" s="18" t="str">
        <f aca="false">IFERROR(INDEX('SALES Raw'!$B$6:$B$4467,MATCH($J507,'SALES Raw'!$J$6:$J$4467,0)),IFERROR(INDEX('CEMIUP0.9 Raw'!$B$6:$B$1712,MATCH($J507,'CEMIUP0.9 Raw'!$B$6:$B$1712,0)),$J507))</f>
        <v>305GA-37-38</v>
      </c>
      <c r="C507" s="18" t="str">
        <f aca="false">IF(ISNUMBER($J507),IFERROR(INDEX('TRANS'!$C:$C,MATCH($J507,'TRANS'!$B:$B,0)),IFERROR(INDEX('Catalog'!$B:$B,MATCH($J507,'Catalog'!$A:$A,0)),$B507)),$B507)</f>
        <v>305GA מדרס אורטופ.מתכוון37-38</v>
      </c>
      <c r="D507" s="19" t="n">
        <f aca="false">SUMIFS('SALES Raw'!$C$6:$C$4467,'SALES Raw'!$J$6:$J$4467,$J507,'SALES Raw'!$K$6:$K$4467,"Y")+SUMIFS('CEMIUP0.9 Raw'!$D$6:$D$1712,'CEMIUP0.9 Raw'!$B$6:$B$1712,$J507,'CEMIUP0.9 Raw'!$H$6:$H$1712,"Y")</f>
        <v>27</v>
      </c>
      <c r="E507" s="19" t="n">
        <f aca="false">SUMIFS('SALES Raw'!$D$6:$D$4467,'SALES Raw'!$J$6:$J$4467,$J507,'SALES Raw'!$K$6:$K$4467,"Y")+SUMIFS('CEMIUP0.9 Raw'!$E$6:$E$1712,'CEMIUP0.9 Raw'!$B$6:$B$1712,$J507,'CEMIUP0.9 Raw'!$H$6:$H$1712,"Y")</f>
        <v>2946.746</v>
      </c>
      <c r="F507" s="19" t="n">
        <f aca="false">SUMIFS('SALES Raw'!$E$6:$E$4467,'SALES Raw'!$J$6:$J$4467,$J507,'SALES Raw'!$K$6:$K$4467,"Y")*$H$4+SUMIFS('CEMIUP0.9 Raw'!$F$6:$F$1712,'CEMIUP0.9 Raw'!$B$6:$B$1712,$J507,'CEMIUP0.9 Raw'!$H$6:$H$1712,"Y")</f>
        <v>11.3684210526316</v>
      </c>
      <c r="G507" s="19" t="n">
        <f aca="false">SUMIFS('SALES Raw'!$F$6:$F$4467,'SALES Raw'!$J$6:$J$4467,$J507,'SALES Raw'!$K$6:$K$4467,"Y")*$H$4+SUMIFS('CEMIUP0.9 Raw'!$G$6:$G$1712,'CEMIUP0.9 Raw'!$B$6:$B$1712,$J507,'CEMIUP0.9 Raw'!$H$6:$H$1712,"Y")</f>
        <v>1359.82863157895</v>
      </c>
      <c r="H507" s="18" t="s">
        <v>42</v>
      </c>
      <c r="I507" s="18" t="s">
        <v>43</v>
      </c>
      <c r="J507" s="18" t="n">
        <v>4413154</v>
      </c>
    </row>
    <row r="508" customFormat="false" ht="15" hidden="false" customHeight="false" outlineLevel="0" collapsed="false">
      <c r="A508" s="18" t="str">
        <f aca="false">IF(ISNUMBER($J508),$J508,"")</f>
        <v/>
      </c>
      <c r="B508" s="18" t="str">
        <f aca="false">IFERROR(INDEX('SALES Raw'!$B$6:$B$4467,MATCH($J508,'SALES Raw'!$J$6:$J$4467,0)),IFERROR(INDEX('CEMIUP0.9 Raw'!$B$6:$B$1712,MATCH($J508,'CEMIUP0.9 Raw'!$B$6:$B$1712,0)),$J508))</f>
        <v>394G-43-46</v>
      </c>
      <c r="C508" s="18" t="str">
        <f aca="false">IF(ISNUMBER($J508),IFERROR(INDEX('TRANS'!$C:$C,MATCH($J508,'TRANS'!$B:$B,0)),IFERROR(INDEX('Catalog'!$B:$B,MATCH($J508,'Catalog'!$A:$A,0)),$B508)),$B508)</f>
        <v>394G-43-46</v>
      </c>
      <c r="D508" s="19" t="n">
        <f aca="false">SUMIFS('SALES Raw'!$C$6:$C$4467,'SALES Raw'!$J$6:$J$4467,$J508,'SALES Raw'!$K$6:$K$4467,"Y")+SUMIFS('CEMIUP0.9 Raw'!$D$6:$D$1712,'CEMIUP0.9 Raw'!$B$6:$B$1712,$J508,'CEMIUP0.9 Raw'!$H$6:$H$1712,"Y")</f>
        <v>79</v>
      </c>
      <c r="E508" s="19" t="n">
        <f aca="false">SUMIFS('SALES Raw'!$D$6:$D$4467,'SALES Raw'!$J$6:$J$4467,$J508,'SALES Raw'!$K$6:$K$4467,"Y")+SUMIFS('CEMIUP0.9 Raw'!$E$6:$E$1712,'CEMIUP0.9 Raw'!$B$6:$B$1712,$J508,'CEMIUP0.9 Raw'!$H$6:$H$1712,"Y")</f>
        <v>2138.24</v>
      </c>
      <c r="F508" s="19" t="n">
        <f aca="false">SUMIFS('SALES Raw'!$E$6:$E$4467,'SALES Raw'!$J$6:$J$4467,$J508,'SALES Raw'!$K$6:$K$4467,"Y")*$H$4+SUMIFS('CEMIUP0.9 Raw'!$F$6:$F$1712,'CEMIUP0.9 Raw'!$B$6:$B$1712,$J508,'CEMIUP0.9 Raw'!$H$6:$H$1712,"Y")</f>
        <v>11.3684210526316</v>
      </c>
      <c r="G508" s="19" t="n">
        <f aca="false">SUMIFS('SALES Raw'!$F$6:$F$4467,'SALES Raw'!$J$6:$J$4467,$J508,'SALES Raw'!$K$6:$K$4467,"Y")*$H$4+SUMIFS('CEMIUP0.9 Raw'!$G$6:$G$1712,'CEMIUP0.9 Raw'!$B$6:$B$1712,$J508,'CEMIUP0.9 Raw'!$H$6:$H$1712,"Y")</f>
        <v>413.557894736842</v>
      </c>
      <c r="H508" s="18" t="s">
        <v>42</v>
      </c>
      <c r="I508" s="18" t="s">
        <v>48</v>
      </c>
      <c r="J508" s="18" t="s">
        <v>145</v>
      </c>
    </row>
    <row r="509" customFormat="false" ht="15" hidden="false" customHeight="false" outlineLevel="0" collapsed="false">
      <c r="A509" s="18" t="str">
        <f aca="false">IF(ISNUMBER($J509),$J509,"")</f>
        <v/>
      </c>
      <c r="B509" s="18" t="str">
        <f aca="false">IFERROR(INDEX('SALES Raw'!$B$6:$B$4467,MATCH($J509,'SALES Raw'!$J$6:$J$4467,0)),IFERROR(INDEX('CEMIUP0.9 Raw'!$B$6:$B$1712,MATCH($J509,'CEMIUP0.9 Raw'!$B$6:$B$1712,0)),$J509))</f>
        <v>422EB L</v>
      </c>
      <c r="C509" s="18" t="str">
        <f aca="false">IF(ISNUMBER($J509),IFERROR(INDEX('TRANS'!$C:$C,MATCH($J509,'TRANS'!$B:$B,0)),IFERROR(INDEX('Catalog'!$B:$B,MATCH($J509,'Catalog'!$A:$A,0)),$B509)),$B509)</f>
        <v>422EB L</v>
      </c>
      <c r="D509" s="19" t="n">
        <f aca="false">SUMIFS('SALES Raw'!$C$6:$C$4467,'SALES Raw'!$J$6:$J$4467,$J509,'SALES Raw'!$K$6:$K$4467,"Y")+SUMIFS('CEMIUP0.9 Raw'!$D$6:$D$1712,'CEMIUP0.9 Raw'!$B$6:$B$1712,$J509,'CEMIUP0.9 Raw'!$H$6:$H$1712,"Y")</f>
        <v>13</v>
      </c>
      <c r="E509" s="19" t="n">
        <f aca="false">SUMIFS('SALES Raw'!$D$6:$D$4467,'SALES Raw'!$J$6:$J$4467,$J509,'SALES Raw'!$K$6:$K$4467,"Y")+SUMIFS('CEMIUP0.9 Raw'!$E$6:$E$1712,'CEMIUP0.9 Raw'!$B$6:$B$1712,$J509,'CEMIUP0.9 Raw'!$H$6:$H$1712,"Y")</f>
        <v>3827.59</v>
      </c>
      <c r="F509" s="19" t="n">
        <f aca="false">SUMIFS('SALES Raw'!$E$6:$E$4467,'SALES Raw'!$J$6:$J$4467,$J509,'SALES Raw'!$K$6:$K$4467,"Y")*$H$4+SUMIFS('CEMIUP0.9 Raw'!$F$6:$F$1712,'CEMIUP0.9 Raw'!$B$6:$B$1712,$J509,'CEMIUP0.9 Raw'!$H$6:$H$1712,"Y")</f>
        <v>11.3684210526316</v>
      </c>
      <c r="G509" s="19" t="n">
        <f aca="false">SUMIFS('SALES Raw'!$F$6:$F$4467,'SALES Raw'!$J$6:$J$4467,$J509,'SALES Raw'!$K$6:$K$4467,"Y")*$H$4+SUMIFS('CEMIUP0.9 Raw'!$G$6:$G$1712,'CEMIUP0.9 Raw'!$B$6:$B$1712,$J509,'CEMIUP0.9 Raw'!$H$6:$H$1712,"Y")</f>
        <v>2558.67789473684</v>
      </c>
      <c r="H509" s="18" t="s">
        <v>42</v>
      </c>
      <c r="I509" s="18" t="s">
        <v>46</v>
      </c>
      <c r="J509" s="18" t="s">
        <v>146</v>
      </c>
    </row>
    <row r="510" customFormat="false" ht="15" hidden="false" customHeight="false" outlineLevel="0" collapsed="false">
      <c r="A510" s="18" t="str">
        <f aca="false">IF(ISNUMBER($J510),$J510,"")</f>
        <v/>
      </c>
      <c r="B510" s="18" t="str">
        <f aca="false">IFERROR(INDEX('SALES Raw'!$B$6:$B$4467,MATCH($J510,'SALES Raw'!$J$6:$J$4467,0)),IFERROR(INDEX('CEMIUP0.9 Raw'!$B$6:$B$1712,MATCH($J510,'CEMIUP0.9 Raw'!$B$6:$B$1712,0)),$J510))</f>
        <v>T03 XL</v>
      </c>
      <c r="C510" s="18" t="str">
        <f aca="false">IF(ISNUMBER($J510),IFERROR(INDEX('TRANS'!$C:$C,MATCH($J510,'TRANS'!$B:$B,0)),IFERROR(INDEX('Catalog'!$B:$B,MATCH($J510,'Catalog'!$A:$A,0)),$B510)),$B510)</f>
        <v>T03 XL</v>
      </c>
      <c r="D510" s="19" t="n">
        <f aca="false">SUMIFS('SALES Raw'!$C$6:$C$4467,'SALES Raw'!$J$6:$J$4467,$J510,'SALES Raw'!$K$6:$K$4467,"Y")+SUMIFS('CEMIUP0.9 Raw'!$D$6:$D$1712,'CEMIUP0.9 Raw'!$B$6:$B$1712,$J510,'CEMIUP0.9 Raw'!$H$6:$H$1712,"Y")</f>
        <v>1</v>
      </c>
      <c r="E510" s="19" t="n">
        <f aca="false">SUMIFS('SALES Raw'!$D$6:$D$4467,'SALES Raw'!$J$6:$J$4467,$J510,'SALES Raw'!$K$6:$K$4467,"Y")+SUMIFS('CEMIUP0.9 Raw'!$E$6:$E$1712,'CEMIUP0.9 Raw'!$B$6:$B$1712,$J510,'CEMIUP0.9 Raw'!$H$6:$H$1712,"Y")</f>
        <v>111.04</v>
      </c>
      <c r="F510" s="19" t="n">
        <f aca="false">SUMIFS('SALES Raw'!$E$6:$E$4467,'SALES Raw'!$J$6:$J$4467,$J510,'SALES Raw'!$K$6:$K$4467,"Y")*$H$4+SUMIFS('CEMIUP0.9 Raw'!$F$6:$F$1712,'CEMIUP0.9 Raw'!$B$6:$B$1712,$J510,'CEMIUP0.9 Raw'!$H$6:$H$1712,"Y")</f>
        <v>11.3684210526316</v>
      </c>
      <c r="G510" s="19" t="n">
        <f aca="false">SUMIFS('SALES Raw'!$F$6:$F$4467,'SALES Raw'!$J$6:$J$4467,$J510,'SALES Raw'!$K$6:$K$4467,"Y")*$H$4+SUMIFS('CEMIUP0.9 Raw'!$G$6:$G$1712,'CEMIUP0.9 Raw'!$B$6:$B$1712,$J510,'CEMIUP0.9 Raw'!$H$6:$H$1712,"Y")</f>
        <v>1942.34526315789</v>
      </c>
      <c r="H510" s="18" t="s">
        <v>42</v>
      </c>
      <c r="I510" s="18" t="s">
        <v>56</v>
      </c>
      <c r="J510" s="18" t="s">
        <v>147</v>
      </c>
    </row>
    <row r="511" customFormat="false" ht="15" hidden="false" customHeight="false" outlineLevel="0" collapsed="false">
      <c r="A511" s="18" t="str">
        <f aca="false">IF(ISNUMBER($J511),$J511,"")</f>
        <v/>
      </c>
      <c r="B511" s="18" t="str">
        <f aca="false">IFERROR(INDEX('SALES Raw'!$B$6:$B$4467,MATCH($J511,'SALES Raw'!$J$6:$J$4467,0)),IFERROR(INDEX('CEMIUP0.9 Raw'!$B$6:$B$1712,MATCH($J511,'CEMIUP0.9 Raw'!$B$6:$B$1712,0)),$J511))</f>
        <v>11UG S</v>
      </c>
      <c r="C511" s="18" t="str">
        <f aca="false">IF(ISNUMBER($J511),IFERROR(INDEX('TRANS'!$C:$C,MATCH($J511,'TRANS'!$B:$B,0)),IFERROR(INDEX('Catalog'!$B:$B,MATCH($J511,'Catalog'!$A:$A,0)),$B511)),$B511)</f>
        <v>11UG S</v>
      </c>
      <c r="D511" s="19" t="n">
        <f aca="false">SUMIFS('SALES Raw'!$C$6:$C$4467,'SALES Raw'!$J$6:$J$4467,$J511,'SALES Raw'!$K$6:$K$4467,"Y")+SUMIFS('CEMIUP0.9 Raw'!$D$6:$D$1712,'CEMIUP0.9 Raw'!$B$6:$B$1712,$J511,'CEMIUP0.9 Raw'!$H$6:$H$1712,"Y")</f>
        <v>7</v>
      </c>
      <c r="E511" s="19" t="n">
        <f aca="false">SUMIFS('SALES Raw'!$D$6:$D$4467,'SALES Raw'!$J$6:$J$4467,$J511,'SALES Raw'!$K$6:$K$4467,"Y")+SUMIFS('CEMIUP0.9 Raw'!$E$6:$E$1712,'CEMIUP0.9 Raw'!$B$6:$B$1712,$J511,'CEMIUP0.9 Raw'!$H$6:$H$1712,"Y")</f>
        <v>1122.7</v>
      </c>
      <c r="F511" s="19" t="n">
        <f aca="false">SUMIFS('SALES Raw'!$E$6:$E$4467,'SALES Raw'!$J$6:$J$4467,$J511,'SALES Raw'!$K$6:$K$4467,"Y")*$H$4+SUMIFS('CEMIUP0.9 Raw'!$F$6:$F$1712,'CEMIUP0.9 Raw'!$B$6:$B$1712,$J511,'CEMIUP0.9 Raw'!$H$6:$H$1712,"Y")</f>
        <v>11.3684210526316</v>
      </c>
      <c r="G511" s="19" t="n">
        <f aca="false">SUMIFS('SALES Raw'!$F$6:$F$4467,'SALES Raw'!$J$6:$J$4467,$J511,'SALES Raw'!$K$6:$K$4467,"Y")*$H$4+SUMIFS('CEMIUP0.9 Raw'!$G$6:$G$1712,'CEMIUP0.9 Raw'!$B$6:$B$1712,$J511,'CEMIUP0.9 Raw'!$H$6:$H$1712,"Y")</f>
        <v>1825.83157894737</v>
      </c>
      <c r="H511" s="18" t="s">
        <v>42</v>
      </c>
      <c r="I511" s="18" t="s">
        <v>53</v>
      </c>
      <c r="J511" s="18" t="s">
        <v>148</v>
      </c>
    </row>
    <row r="512" customFormat="false" ht="15" hidden="false" customHeight="false" outlineLevel="0" collapsed="false">
      <c r="A512" s="18" t="str">
        <f aca="false">IF(ISNUMBER($J512),$J512,"")</f>
        <v/>
      </c>
      <c r="B512" s="18" t="str">
        <f aca="false">IFERROR(INDEX('SALES Raw'!$B$6:$B$4467,MATCH($J512,'SALES Raw'!$J$6:$J$4467,0)),IFERROR(INDEX('CEMIUP0.9 Raw'!$B$6:$B$1712,MATCH($J512,'CEMIUP0.9 Raw'!$B$6:$B$1712,0)),$J512))</f>
        <v>SH776 S</v>
      </c>
      <c r="C512" s="18" t="str">
        <f aca="false">IF(ISNUMBER($J512),IFERROR(INDEX('TRANS'!$C:$C,MATCH($J512,'TRANS'!$B:$B,0)),IFERROR(INDEX('Catalog'!$B:$B,MATCH($J512,'Catalog'!$A:$A,0)),$B512)),$B512)</f>
        <v>SH776 S</v>
      </c>
      <c r="D512" s="19" t="n">
        <f aca="false">SUMIFS('SALES Raw'!$C$6:$C$4467,'SALES Raw'!$J$6:$J$4467,$J512,'SALES Raw'!$K$6:$K$4467,"Y")+SUMIFS('CEMIUP0.9 Raw'!$D$6:$D$1712,'CEMIUP0.9 Raw'!$B$6:$B$1712,$J512,'CEMIUP0.9 Raw'!$H$6:$H$1712,"Y")</f>
        <v>0</v>
      </c>
      <c r="E512" s="19" t="n">
        <f aca="false">SUMIFS('SALES Raw'!$D$6:$D$4467,'SALES Raw'!$J$6:$J$4467,$J512,'SALES Raw'!$K$6:$K$4467,"Y")+SUMIFS('CEMIUP0.9 Raw'!$E$6:$E$1712,'CEMIUP0.9 Raw'!$B$6:$B$1712,$J512,'CEMIUP0.9 Raw'!$H$6:$H$1712,"Y")</f>
        <v>0</v>
      </c>
      <c r="F512" s="19" t="n">
        <f aca="false">SUMIFS('SALES Raw'!$E$6:$E$4467,'SALES Raw'!$J$6:$J$4467,$J512,'SALES Raw'!$K$6:$K$4467,"Y")*$H$4+SUMIFS('CEMIUP0.9 Raw'!$F$6:$F$1712,'CEMIUP0.9 Raw'!$B$6:$B$1712,$J512,'CEMIUP0.9 Raw'!$H$6:$H$1712,"Y")</f>
        <v>11.3684210526316</v>
      </c>
      <c r="G512" s="19" t="n">
        <f aca="false">SUMIFS('SALES Raw'!$F$6:$F$4467,'SALES Raw'!$J$6:$J$4467,$J512,'SALES Raw'!$K$6:$K$4467,"Y")*$H$4+SUMIFS('CEMIUP0.9 Raw'!$G$6:$G$1712,'CEMIUP0.9 Raw'!$B$6:$B$1712,$J512,'CEMIUP0.9 Raw'!$H$6:$H$1712,"Y")</f>
        <v>6959.68421052632</v>
      </c>
      <c r="H512" s="18" t="s">
        <v>42</v>
      </c>
      <c r="I512" s="18" t="s">
        <v>44</v>
      </c>
      <c r="J512" s="18" t="s">
        <v>149</v>
      </c>
    </row>
    <row r="513" customFormat="false" ht="15" hidden="false" customHeight="false" outlineLevel="0" collapsed="false">
      <c r="A513" s="18" t="str">
        <f aca="false">IF(ISNUMBER($J513),$J513,"")</f>
        <v/>
      </c>
      <c r="B513" s="18" t="str">
        <f aca="false">IFERROR(INDEX('SALES Raw'!$B$6:$B$4467,MATCH($J513,'SALES Raw'!$J$6:$J$4467,0)),IFERROR(INDEX('CEMIUP0.9 Raw'!$B$6:$B$1712,MATCH($J513,'CEMIUP0.9 Raw'!$B$6:$B$1712,0)),$J513))</f>
        <v>95B XS</v>
      </c>
      <c r="C513" s="18" t="str">
        <f aca="false">IF(ISNUMBER($J513),IFERROR(INDEX('TRANS'!$C:$C,MATCH($J513,'TRANS'!$B:$B,0)),IFERROR(INDEX('Catalog'!$B:$B,MATCH($J513,'Catalog'!$A:$A,0)),$B513)),$B513)</f>
        <v>95B XS</v>
      </c>
      <c r="D513" s="19" t="n">
        <f aca="false">SUMIFS('SALES Raw'!$C$6:$C$4467,'SALES Raw'!$J$6:$J$4467,$J513,'SALES Raw'!$K$6:$K$4467,"Y")+SUMIFS('CEMIUP0.9 Raw'!$D$6:$D$1712,'CEMIUP0.9 Raw'!$B$6:$B$1712,$J513,'CEMIUP0.9 Raw'!$H$6:$H$1712,"Y")</f>
        <v>8</v>
      </c>
      <c r="E513" s="19" t="n">
        <f aca="false">SUMIFS('SALES Raw'!$D$6:$D$4467,'SALES Raw'!$J$6:$J$4467,$J513,'SALES Raw'!$K$6:$K$4467,"Y")+SUMIFS('CEMIUP0.9 Raw'!$E$6:$E$1712,'CEMIUP0.9 Raw'!$B$6:$B$1712,$J513,'CEMIUP0.9 Raw'!$H$6:$H$1712,"Y")</f>
        <v>396.71</v>
      </c>
      <c r="F513" s="19" t="n">
        <f aca="false">SUMIFS('SALES Raw'!$E$6:$E$4467,'SALES Raw'!$J$6:$J$4467,$J513,'SALES Raw'!$K$6:$K$4467,"Y")*$H$4+SUMIFS('CEMIUP0.9 Raw'!$F$6:$F$1712,'CEMIUP0.9 Raw'!$B$6:$B$1712,$J513,'CEMIUP0.9 Raw'!$H$6:$H$1712,"Y")</f>
        <v>11.3684210526316</v>
      </c>
      <c r="G513" s="19" t="n">
        <f aca="false">SUMIFS('SALES Raw'!$F$6:$F$4467,'SALES Raw'!$J$6:$J$4467,$J513,'SALES Raw'!$K$6:$K$4467,"Y")*$H$4+SUMIFS('CEMIUP0.9 Raw'!$G$6:$G$1712,'CEMIUP0.9 Raw'!$B$6:$B$1712,$J513,'CEMIUP0.9 Raw'!$H$6:$H$1712,"Y")</f>
        <v>550.686315789474</v>
      </c>
      <c r="H513" s="18" t="s">
        <v>49</v>
      </c>
      <c r="I513" s="18" t="s">
        <v>42</v>
      </c>
      <c r="J513" s="18" t="s">
        <v>150</v>
      </c>
    </row>
    <row r="514" customFormat="false" ht="15" hidden="false" customHeight="false" outlineLevel="0" collapsed="false">
      <c r="A514" s="18" t="str">
        <f aca="false">IF(ISNUMBER($J514),$J514,"")</f>
        <v/>
      </c>
      <c r="B514" s="18" t="str">
        <f aca="false">IFERROR(INDEX('SALES Raw'!$B$6:$B$4467,MATCH($J514,'SALES Raw'!$J$6:$J$4467,0)),IFERROR(INDEX('CEMIUP0.9 Raw'!$B$6:$B$1712,MATCH($J514,'CEMIUP0.9 Raw'!$B$6:$B$1712,0)),$J514))</f>
        <v>364 S-L</v>
      </c>
      <c r="C514" s="18" t="str">
        <f aca="false">IF(ISNUMBER($J514),IFERROR(INDEX('TRANS'!$C:$C,MATCH($J514,'TRANS'!$B:$B,0)),IFERROR(INDEX('Catalog'!$B:$B,MATCH($J514,'Catalog'!$A:$A,0)),$B514)),$B514)</f>
        <v>364 S-L</v>
      </c>
      <c r="D514" s="19" t="n">
        <f aca="false">SUMIFS('SALES Raw'!$C$6:$C$4467,'SALES Raw'!$J$6:$J$4467,$J514,'SALES Raw'!$K$6:$K$4467,"Y")+SUMIFS('CEMIUP0.9 Raw'!$D$6:$D$1712,'CEMIUP0.9 Raw'!$B$6:$B$1712,$J514,'CEMIUP0.9 Raw'!$H$6:$H$1712,"Y")</f>
        <v>0</v>
      </c>
      <c r="E514" s="19" t="n">
        <f aca="false">SUMIFS('SALES Raw'!$D$6:$D$4467,'SALES Raw'!$J$6:$J$4467,$J514,'SALES Raw'!$K$6:$K$4467,"Y")+SUMIFS('CEMIUP0.9 Raw'!$E$6:$E$1712,'CEMIUP0.9 Raw'!$B$6:$B$1712,$J514,'CEMIUP0.9 Raw'!$H$6:$H$1712,"Y")</f>
        <v>0</v>
      </c>
      <c r="F514" s="19" t="n">
        <f aca="false">SUMIFS('SALES Raw'!$E$6:$E$4467,'SALES Raw'!$J$6:$J$4467,$J514,'SALES Raw'!$K$6:$K$4467,"Y")*$H$4+SUMIFS('CEMIUP0.9 Raw'!$F$6:$F$1712,'CEMIUP0.9 Raw'!$B$6:$B$1712,$J514,'CEMIUP0.9 Raw'!$H$6:$H$1712,"Y")</f>
        <v>11.3684210526316</v>
      </c>
      <c r="G514" s="19" t="n">
        <f aca="false">SUMIFS('SALES Raw'!$F$6:$F$4467,'SALES Raw'!$J$6:$J$4467,$J514,'SALES Raw'!$K$6:$K$4467,"Y")*$H$4+SUMIFS('CEMIUP0.9 Raw'!$G$6:$G$1712,'CEMIUP0.9 Raw'!$B$6:$B$1712,$J514,'CEMIUP0.9 Raw'!$H$6:$H$1712,"Y")</f>
        <v>291.12</v>
      </c>
      <c r="H514" s="18" t="s">
        <v>42</v>
      </c>
      <c r="I514" s="18"/>
      <c r="J514" s="18" t="s">
        <v>151</v>
      </c>
    </row>
    <row r="515" customFormat="false" ht="15" hidden="false" customHeight="false" outlineLevel="0" collapsed="false">
      <c r="A515" s="18" t="str">
        <f aca="false">IF(ISNUMBER($J515),$J515,"")</f>
        <v/>
      </c>
      <c r="B515" s="18" t="str">
        <f aca="false">IFERROR(INDEX('SALES Raw'!$B$6:$B$4467,MATCH($J515,'SALES Raw'!$J$6:$J$4467,0)),IFERROR(INDEX('CEMIUP0.9 Raw'!$B$6:$B$1712,MATCH($J515,'CEMIUP0.9 Raw'!$B$6:$B$1712,0)),$J515))</f>
        <v>369 S-L</v>
      </c>
      <c r="C515" s="18" t="str">
        <f aca="false">IF(ISNUMBER($J515),IFERROR(INDEX('TRANS'!$C:$C,MATCH($J515,'TRANS'!$B:$B,0)),IFERROR(INDEX('Catalog'!$B:$B,MATCH($J515,'Catalog'!$A:$A,0)),$B515)),$B515)</f>
        <v>369 S-L</v>
      </c>
      <c r="D515" s="19" t="n">
        <f aca="false">SUMIFS('SALES Raw'!$C$6:$C$4467,'SALES Raw'!$J$6:$J$4467,$J515,'SALES Raw'!$K$6:$K$4467,"Y")+SUMIFS('CEMIUP0.9 Raw'!$D$6:$D$1712,'CEMIUP0.9 Raw'!$B$6:$B$1712,$J515,'CEMIUP0.9 Raw'!$H$6:$H$1712,"Y")</f>
        <v>0</v>
      </c>
      <c r="E515" s="19" t="n">
        <f aca="false">SUMIFS('SALES Raw'!$D$6:$D$4467,'SALES Raw'!$J$6:$J$4467,$J515,'SALES Raw'!$K$6:$K$4467,"Y")+SUMIFS('CEMIUP0.9 Raw'!$E$6:$E$1712,'CEMIUP0.9 Raw'!$B$6:$B$1712,$J515,'CEMIUP0.9 Raw'!$H$6:$H$1712,"Y")</f>
        <v>0</v>
      </c>
      <c r="F515" s="19" t="n">
        <f aca="false">SUMIFS('SALES Raw'!$E$6:$E$4467,'SALES Raw'!$J$6:$J$4467,$J515,'SALES Raw'!$K$6:$K$4467,"Y")*$H$4+SUMIFS('CEMIUP0.9 Raw'!$F$6:$F$1712,'CEMIUP0.9 Raw'!$B$6:$B$1712,$J515,'CEMIUP0.9 Raw'!$H$6:$H$1712,"Y")</f>
        <v>11.3684210526316</v>
      </c>
      <c r="G515" s="19" t="n">
        <f aca="false">SUMIFS('SALES Raw'!$F$6:$F$4467,'SALES Raw'!$J$6:$J$4467,$J515,'SALES Raw'!$K$6:$K$4467,"Y")*$H$4+SUMIFS('CEMIUP0.9 Raw'!$G$6:$G$1712,'CEMIUP0.9 Raw'!$B$6:$B$1712,$J515,'CEMIUP0.9 Raw'!$H$6:$H$1712,"Y")</f>
        <v>452.298947368421</v>
      </c>
      <c r="H515" s="18" t="s">
        <v>42</v>
      </c>
      <c r="I515" s="18"/>
      <c r="J515" s="18" t="s">
        <v>152</v>
      </c>
    </row>
    <row r="516" customFormat="false" ht="15" hidden="false" customHeight="false" outlineLevel="0" collapsed="false">
      <c r="A516" s="18" t="n">
        <f aca="false">IF(ISNUMBER($J516),$J516,"")</f>
        <v>4408078</v>
      </c>
      <c r="B516" s="18" t="str">
        <f aca="false">IFERROR(INDEX('SALES Raw'!$B$6:$B$4467,MATCH($J516,'SALES Raw'!$J$6:$J$4467,0)),IFERROR(INDEX('CEMIUP0.9 Raw'!$B$6:$B$1712,MATCH($J516,'CEMIUP0.9 Raw'!$B$6:$B$1712,0)),$J516))</f>
        <v>59L XL</v>
      </c>
      <c r="C516" s="18" t="str">
        <f aca="false">IF(ISNUMBER($J516),IFERROR(INDEX('TRANS'!$C:$C,MATCH($J516,'TRANS'!$B:$B,0)),IFERROR(INDEX('Catalog'!$B:$B,MATCH($J516,'Catalog'!$A:$A,0)),$B516)),$B516)</f>
        <v>59L XLחגורת שבר לצד שמאל</v>
      </c>
      <c r="D516" s="19" t="n">
        <f aca="false">SUMIFS('SALES Raw'!$C$6:$C$4467,'SALES Raw'!$J$6:$J$4467,$J516,'SALES Raw'!$K$6:$K$4467,"Y")+SUMIFS('CEMIUP0.9 Raw'!$D$6:$D$1712,'CEMIUP0.9 Raw'!$B$6:$B$1712,$J516,'CEMIUP0.9 Raw'!$H$6:$H$1712,"Y")</f>
        <v>6</v>
      </c>
      <c r="E516" s="19" t="n">
        <f aca="false">SUMIFS('SALES Raw'!$D$6:$D$4467,'SALES Raw'!$J$6:$J$4467,$J516,'SALES Raw'!$K$6:$K$4467,"Y")+SUMIFS('CEMIUP0.9 Raw'!$E$6:$E$1712,'CEMIUP0.9 Raw'!$B$6:$B$1712,$J516,'CEMIUP0.9 Raw'!$H$6:$H$1712,"Y")</f>
        <v>1066.41</v>
      </c>
      <c r="F516" s="19" t="n">
        <f aca="false">SUMIFS('SALES Raw'!$E$6:$E$4467,'SALES Raw'!$J$6:$J$4467,$J516,'SALES Raw'!$K$6:$K$4467,"Y")*$H$4+SUMIFS('CEMIUP0.9 Raw'!$F$6:$F$1712,'CEMIUP0.9 Raw'!$B$6:$B$1712,$J516,'CEMIUP0.9 Raw'!$H$6:$H$1712,"Y")</f>
        <v>11.3684210526316</v>
      </c>
      <c r="G516" s="19" t="n">
        <f aca="false">SUMIFS('SALES Raw'!$F$6:$F$4467,'SALES Raw'!$J$6:$J$4467,$J516,'SALES Raw'!$K$6:$K$4467,"Y")*$H$4+SUMIFS('CEMIUP0.9 Raw'!$G$6:$G$1712,'CEMIUP0.9 Raw'!$B$6:$B$1712,$J516,'CEMIUP0.9 Raw'!$H$6:$H$1712,"Y")</f>
        <v>2238.49768421053</v>
      </c>
      <c r="H516" s="18" t="s">
        <v>44</v>
      </c>
      <c r="I516" s="18" t="s">
        <v>42</v>
      </c>
      <c r="J516" s="18" t="n">
        <v>4408078</v>
      </c>
    </row>
    <row r="517" customFormat="false" ht="15" hidden="false" customHeight="false" outlineLevel="0" collapsed="false">
      <c r="A517" s="18" t="n">
        <f aca="false">IF(ISNUMBER($J517),$J517,"")</f>
        <v>4413122</v>
      </c>
      <c r="B517" s="18" t="str">
        <f aca="false">IFERROR(INDEX('SALES Raw'!$B$6:$B$4467,MATCH($J517,'SALES Raw'!$J$6:$J$4467,0)),IFERROR(INDEX('CEMIUP0.9 Raw'!$B$6:$B$1712,MATCH($J517,'CEMIUP0.9 Raw'!$B$6:$B$1712,0)),$J517))</f>
        <v>55 L</v>
      </c>
      <c r="C517" s="18" t="str">
        <f aca="false">IF(ISNUMBER($J517),IFERROR(INDEX('TRANS'!$C:$C,MATCH($J517,'TRANS'!$B:$B,0)),IFERROR(INDEX('Catalog'!$B:$B,MATCH($J517,'Catalog'!$A:$A,0)),$B517)),$B517)</f>
        <v>55 L מתלה אשכים לספורטאים</v>
      </c>
      <c r="D517" s="19" t="n">
        <f aca="false">SUMIFS('SALES Raw'!$C$6:$C$4467,'SALES Raw'!$J$6:$J$4467,$J517,'SALES Raw'!$K$6:$K$4467,"Y")+SUMIFS('CEMIUP0.9 Raw'!$D$6:$D$1712,'CEMIUP0.9 Raw'!$B$6:$B$1712,$J517,'CEMIUP0.9 Raw'!$H$6:$H$1712,"Y")</f>
        <v>10</v>
      </c>
      <c r="E517" s="19" t="n">
        <f aca="false">SUMIFS('SALES Raw'!$D$6:$D$4467,'SALES Raw'!$J$6:$J$4467,$J517,'SALES Raw'!$K$6:$K$4467,"Y")+SUMIFS('CEMIUP0.9 Raw'!$E$6:$E$1712,'CEMIUP0.9 Raw'!$B$6:$B$1712,$J517,'CEMIUP0.9 Raw'!$H$6:$H$1712,"Y")</f>
        <v>716.977</v>
      </c>
      <c r="F517" s="19" t="n">
        <f aca="false">SUMIFS('SALES Raw'!$E$6:$E$4467,'SALES Raw'!$J$6:$J$4467,$J517,'SALES Raw'!$K$6:$K$4467,"Y")*$H$4+SUMIFS('CEMIUP0.9 Raw'!$F$6:$F$1712,'CEMIUP0.9 Raw'!$B$6:$B$1712,$J517,'CEMIUP0.9 Raw'!$H$6:$H$1712,"Y")</f>
        <v>11.3684210526316</v>
      </c>
      <c r="G517" s="19" t="n">
        <f aca="false">SUMIFS('SALES Raw'!$F$6:$F$4467,'SALES Raw'!$J$6:$J$4467,$J517,'SALES Raw'!$K$6:$K$4467,"Y")*$H$4+SUMIFS('CEMIUP0.9 Raw'!$G$6:$G$1712,'CEMIUP0.9 Raw'!$B$6:$B$1712,$J517,'CEMIUP0.9 Raw'!$H$6:$H$1712,"Y")</f>
        <v>909.773052631579</v>
      </c>
      <c r="H517" s="18" t="s">
        <v>43</v>
      </c>
      <c r="I517" s="18" t="s">
        <v>44</v>
      </c>
      <c r="J517" s="18" t="n">
        <v>4413122</v>
      </c>
    </row>
    <row r="518" customFormat="false" ht="15" hidden="false" customHeight="false" outlineLevel="0" collapsed="false">
      <c r="A518" s="18" t="n">
        <f aca="false">IF(ISNUMBER($J518),$J518,"")</f>
        <v>4413369</v>
      </c>
      <c r="B518" s="18" t="str">
        <f aca="false">IFERROR(INDEX('SALES Raw'!$B$6:$B$4467,MATCH($J518,'SALES Raw'!$J$6:$J$4467,0)),IFERROR(INDEX('CEMIUP0.9 Raw'!$B$6:$B$1712,MATCH($J518,'CEMIUP0.9 Raw'!$B$6:$B$1712,0)),$J518))</f>
        <v>95C XXL</v>
      </c>
      <c r="C518" s="18" t="str">
        <f aca="false">IF(ISNUMBER($J518),IFERROR(INDEX('TRANS'!$C:$C,MATCH($J518,'TRANS'!$B:$B,0)),IFERROR(INDEX('Catalog'!$B:$B,MATCH($J518,'Catalog'!$A:$A,0)),$B518)),$B518)</f>
        <v>95C XXL'מגן מרפק בז</v>
      </c>
      <c r="D518" s="19" t="n">
        <f aca="false">SUMIFS('SALES Raw'!$C$6:$C$4467,'SALES Raw'!$J$6:$J$4467,$J518,'SALES Raw'!$K$6:$K$4467,"Y")+SUMIFS('CEMIUP0.9 Raw'!$D$6:$D$1712,'CEMIUP0.9 Raw'!$B$6:$B$1712,$J518,'CEMIUP0.9 Raw'!$H$6:$H$1712,"Y")</f>
        <v>6</v>
      </c>
      <c r="E518" s="19" t="n">
        <f aca="false">SUMIFS('SALES Raw'!$D$6:$D$4467,'SALES Raw'!$J$6:$J$4467,$J518,'SALES Raw'!$K$6:$K$4467,"Y")+SUMIFS('CEMIUP0.9 Raw'!$E$6:$E$1712,'CEMIUP0.9 Raw'!$B$6:$B$1712,$J518,'CEMIUP0.9 Raw'!$H$6:$H$1712,"Y")</f>
        <v>163.072</v>
      </c>
      <c r="F518" s="19" t="n">
        <f aca="false">SUMIFS('SALES Raw'!$E$6:$E$4467,'SALES Raw'!$J$6:$J$4467,$J518,'SALES Raw'!$K$6:$K$4467,"Y")*$H$4+SUMIFS('CEMIUP0.9 Raw'!$F$6:$F$1712,'CEMIUP0.9 Raw'!$B$6:$B$1712,$J518,'CEMIUP0.9 Raw'!$H$6:$H$1712,"Y")</f>
        <v>11.3684210526316</v>
      </c>
      <c r="G518" s="19" t="n">
        <f aca="false">SUMIFS('SALES Raw'!$F$6:$F$4467,'SALES Raw'!$J$6:$J$4467,$J518,'SALES Raw'!$K$6:$K$4467,"Y")*$H$4+SUMIFS('CEMIUP0.9 Raw'!$G$6:$G$1712,'CEMIUP0.9 Raw'!$B$6:$B$1712,$J518,'CEMIUP0.9 Raw'!$H$6:$H$1712,"Y")</f>
        <v>375.459789473684</v>
      </c>
      <c r="H518" s="18" t="s">
        <v>43</v>
      </c>
      <c r="I518" s="18" t="s">
        <v>42</v>
      </c>
      <c r="J518" s="18" t="n">
        <v>4413369</v>
      </c>
    </row>
    <row r="519" customFormat="false" ht="15" hidden="false" customHeight="false" outlineLevel="0" collapsed="false">
      <c r="A519" s="18" t="n">
        <f aca="false">IF(ISNUMBER($J519),$J519,"")</f>
        <v>4413520</v>
      </c>
      <c r="B519" s="18" t="str">
        <f aca="false">IFERROR(INDEX('SALES Raw'!$B$6:$B$4467,MATCH($J519,'SALES Raw'!$J$6:$J$4467,0)),IFERROR(INDEX('CEMIUP0.9 Raw'!$B$6:$B$1712,MATCH($J519,'CEMIUP0.9 Raw'!$B$6:$B$1712,0)),$J519))</f>
        <v>379MSP-35-38</v>
      </c>
      <c r="C519" s="18" t="str">
        <f aca="false">IF(ISNUMBER($J519),IFERROR(INDEX('TRANS'!$C:$C,MATCH($J519,'TRANS'!$B:$B,0)),IFERROR(INDEX('Catalog'!$B:$B,MATCH($J519,'Catalog'!$A:$A,0)),$B519)),$B519)</f>
        <v>מדרסי אפיק ג'ל מולט.ספורט35-38</v>
      </c>
      <c r="D519" s="19" t="n">
        <f aca="false">SUMIFS('SALES Raw'!$C$6:$C$4467,'SALES Raw'!$J$6:$J$4467,$J519,'SALES Raw'!$K$6:$K$4467,"Y")+SUMIFS('CEMIUP0.9 Raw'!$D$6:$D$1712,'CEMIUP0.9 Raw'!$B$6:$B$1712,$J519,'CEMIUP0.9 Raw'!$H$6:$H$1712,"Y")</f>
        <v>18</v>
      </c>
      <c r="E519" s="19" t="n">
        <f aca="false">SUMIFS('SALES Raw'!$D$6:$D$4467,'SALES Raw'!$J$6:$J$4467,$J519,'SALES Raw'!$K$6:$K$4467,"Y")+SUMIFS('CEMIUP0.9 Raw'!$E$6:$E$1712,'CEMIUP0.9 Raw'!$B$6:$B$1712,$J519,'CEMIUP0.9 Raw'!$H$6:$H$1712,"Y")</f>
        <v>1834.611</v>
      </c>
      <c r="F519" s="19" t="n">
        <f aca="false">SUMIFS('SALES Raw'!$E$6:$E$4467,'SALES Raw'!$J$6:$J$4467,$J519,'SALES Raw'!$K$6:$K$4467,"Y")*$H$4+SUMIFS('CEMIUP0.9 Raw'!$F$6:$F$1712,'CEMIUP0.9 Raw'!$B$6:$B$1712,$J519,'CEMIUP0.9 Raw'!$H$6:$H$1712,"Y")</f>
        <v>11.3684210526315</v>
      </c>
      <c r="G519" s="19" t="n">
        <f aca="false">SUMIFS('SALES Raw'!$F$6:$F$4467,'SALES Raw'!$J$6:$J$4467,$J519,'SALES Raw'!$K$6:$K$4467,"Y")*$H$4+SUMIFS('CEMIUP0.9 Raw'!$G$6:$G$1712,'CEMIUP0.9 Raw'!$B$6:$B$1712,$J519,'CEMIUP0.9 Raw'!$H$6:$H$1712,"Y")</f>
        <v>1068.96884210526</v>
      </c>
      <c r="H519" s="18" t="s">
        <v>43</v>
      </c>
      <c r="I519" s="18" t="s">
        <v>54</v>
      </c>
      <c r="J519" s="18" t="n">
        <v>4413520</v>
      </c>
    </row>
    <row r="520" customFormat="false" ht="15" hidden="false" customHeight="false" outlineLevel="0" collapsed="false">
      <c r="A520" s="18" t="n">
        <f aca="false">IF(ISNUMBER($J520),$J520,"")</f>
        <v>4413504</v>
      </c>
      <c r="B520" s="18" t="str">
        <f aca="false">IFERROR(INDEX('SALES Raw'!$B$6:$B$4467,MATCH($J520,'SALES Raw'!$J$6:$J$4467,0)),IFERROR(INDEX('CEMIUP0.9 Raw'!$B$6:$B$1712,MATCH($J520,'CEMIUP0.9 Raw'!$B$6:$B$1712,0)),$J520))</f>
        <v>95B XXL</v>
      </c>
      <c r="C520" s="18" t="str">
        <f aca="false">IF(ISNUMBER($J520),IFERROR(INDEX('TRANS'!$C:$C,MATCH($J520,'TRANS'!$B:$B,0)),IFERROR(INDEX('Catalog'!$B:$B,MATCH($J520,'Catalog'!$A:$A,0)),$B520)),$B520)</f>
        <v>95B XXLמגן מרפק שחור</v>
      </c>
      <c r="D520" s="19" t="n">
        <f aca="false">SUMIFS('SALES Raw'!$C$6:$C$4467,'SALES Raw'!$J$6:$J$4467,$J520,'SALES Raw'!$K$6:$K$4467,"Y")+SUMIFS('CEMIUP0.9 Raw'!$D$6:$D$1712,'CEMIUP0.9 Raw'!$B$6:$B$1712,$J520,'CEMIUP0.9 Raw'!$H$6:$H$1712,"Y")</f>
        <v>8</v>
      </c>
      <c r="E520" s="19" t="n">
        <f aca="false">SUMIFS('SALES Raw'!$D$6:$D$4467,'SALES Raw'!$J$6:$J$4467,$J520,'SALES Raw'!$K$6:$K$4467,"Y")+SUMIFS('CEMIUP0.9 Raw'!$E$6:$E$1712,'CEMIUP0.9 Raw'!$B$6:$B$1712,$J520,'CEMIUP0.9 Raw'!$H$6:$H$1712,"Y")</f>
        <v>251.582</v>
      </c>
      <c r="F520" s="19" t="n">
        <f aca="false">SUMIFS('SALES Raw'!$E$6:$E$4467,'SALES Raw'!$J$6:$J$4467,$J520,'SALES Raw'!$K$6:$K$4467,"Y")*$H$4+SUMIFS('CEMIUP0.9 Raw'!$F$6:$F$1712,'CEMIUP0.9 Raw'!$B$6:$B$1712,$J520,'CEMIUP0.9 Raw'!$H$6:$H$1712,"Y")</f>
        <v>11.3684210526315</v>
      </c>
      <c r="G520" s="19" t="n">
        <f aca="false">SUMIFS('SALES Raw'!$F$6:$F$4467,'SALES Raw'!$J$6:$J$4467,$J520,'SALES Raw'!$K$6:$K$4467,"Y")*$H$4+SUMIFS('CEMIUP0.9 Raw'!$G$6:$G$1712,'CEMIUP0.9 Raw'!$B$6:$B$1712,$J520,'CEMIUP0.9 Raw'!$H$6:$H$1712,"Y")</f>
        <v>342.742736842106</v>
      </c>
      <c r="H520" s="18" t="s">
        <v>43</v>
      </c>
      <c r="I520" s="18" t="s">
        <v>42</v>
      </c>
      <c r="J520" s="18" t="n">
        <v>4413504</v>
      </c>
    </row>
    <row r="521" customFormat="false" ht="15" hidden="false" customHeight="false" outlineLevel="0" collapsed="false">
      <c r="A521" s="18" t="n">
        <f aca="false">IF(ISNUMBER($J521),$J521,"")</f>
        <v>4413076</v>
      </c>
      <c r="B521" s="18" t="str">
        <f aca="false">IFERROR(INDEX('SALES Raw'!$B$6:$B$4467,MATCH($J521,'SALES Raw'!$J$6:$J$4467,0)),IFERROR(INDEX('CEMIUP0.9 Raw'!$B$6:$B$1712,MATCH($J521,'CEMIUP0.9 Raw'!$B$6:$B$1712,0)),$J521))</f>
        <v>41X L</v>
      </c>
      <c r="C521" s="18" t="str">
        <f aca="false">IF(ISNUMBER($J521),IFERROR(INDEX('TRANS'!$C:$C,MATCH($J521,'TRANS'!$B:$B,0)),IFERROR(INDEX('Catalog'!$B:$B,MATCH($J521,'Catalog'!$A:$A,0)),$B521)),$B521)</f>
        <v>41X L מגן ברך מוצלב+מוט</v>
      </c>
      <c r="D521" s="19" t="n">
        <f aca="false">SUMIFS('SALES Raw'!$C$6:$C$4467,'SALES Raw'!$J$6:$J$4467,$J521,'SALES Raw'!$K$6:$K$4467,"Y")+SUMIFS('CEMIUP0.9 Raw'!$D$6:$D$1712,'CEMIUP0.9 Raw'!$B$6:$B$1712,$J521,'CEMIUP0.9 Raw'!$H$6:$H$1712,"Y")</f>
        <v>14</v>
      </c>
      <c r="E521" s="19" t="n">
        <f aca="false">SUMIFS('SALES Raw'!$D$6:$D$4467,'SALES Raw'!$J$6:$J$4467,$J521,'SALES Raw'!$K$6:$K$4467,"Y")+SUMIFS('CEMIUP0.9 Raw'!$E$6:$E$1712,'CEMIUP0.9 Raw'!$B$6:$B$1712,$J521,'CEMIUP0.9 Raw'!$H$6:$H$1712,"Y")</f>
        <v>1891.881</v>
      </c>
      <c r="F521" s="19" t="n">
        <f aca="false">SUMIFS('SALES Raw'!$E$6:$E$4467,'SALES Raw'!$J$6:$J$4467,$J521,'SALES Raw'!$K$6:$K$4467,"Y")*$H$4+SUMIFS('CEMIUP0.9 Raw'!$F$6:$F$1712,'CEMIUP0.9 Raw'!$B$6:$B$1712,$J521,'CEMIUP0.9 Raw'!$H$6:$H$1712,"Y")</f>
        <v>10.1052631578947</v>
      </c>
      <c r="G521" s="19" t="n">
        <f aca="false">SUMIFS('SALES Raw'!$F$6:$F$4467,'SALES Raw'!$J$6:$J$4467,$J521,'SALES Raw'!$K$6:$K$4467,"Y")*$H$4+SUMIFS('CEMIUP0.9 Raw'!$G$6:$G$1712,'CEMIUP0.9 Raw'!$B$6:$B$1712,$J521,'CEMIUP0.9 Raw'!$H$6:$H$1712,"Y")</f>
        <v>1839.16547368421</v>
      </c>
      <c r="H521" s="18" t="s">
        <v>42</v>
      </c>
      <c r="I521" s="18" t="s">
        <v>43</v>
      </c>
      <c r="J521" s="18" t="n">
        <v>4413076</v>
      </c>
    </row>
    <row r="522" customFormat="false" ht="15" hidden="false" customHeight="false" outlineLevel="0" collapsed="false">
      <c r="A522" s="18" t="str">
        <f aca="false">IF(ISNUMBER($J522),$J522,"")</f>
        <v/>
      </c>
      <c r="B522" s="18" t="str">
        <f aca="false">IFERROR(INDEX('SALES Raw'!$B$6:$B$4467,MATCH($J522,'SALES Raw'!$J$6:$J$4467,0)),IFERROR(INDEX('CEMIUP0.9 Raw'!$B$6:$B$1712,MATCH($J522,'CEMIUP0.9 Raw'!$B$6:$B$1712,0)),$J522))</f>
        <v>13B S</v>
      </c>
      <c r="C522" s="18" t="str">
        <f aca="false">IF(ISNUMBER($J522),IFERROR(INDEX('TRANS'!$C:$C,MATCH($J522,'TRANS'!$B:$B,0)),IFERROR(INDEX('Catalog'!$B:$B,MATCH($J522,'Catalog'!$A:$A,0)),$B522)),$B522)</f>
        <v>13B S</v>
      </c>
      <c r="D522" s="19" t="n">
        <f aca="false">SUMIFS('SALES Raw'!$C$6:$C$4467,'SALES Raw'!$J$6:$J$4467,$J522,'SALES Raw'!$K$6:$K$4467,"Y")+SUMIFS('CEMIUP0.9 Raw'!$D$6:$D$1712,'CEMIUP0.9 Raw'!$B$6:$B$1712,$J522,'CEMIUP0.9 Raw'!$H$6:$H$1712,"Y")</f>
        <v>8</v>
      </c>
      <c r="E522" s="19" t="n">
        <f aca="false">SUMIFS('SALES Raw'!$D$6:$D$4467,'SALES Raw'!$J$6:$J$4467,$J522,'SALES Raw'!$K$6:$K$4467,"Y")+SUMIFS('CEMIUP0.9 Raw'!$E$6:$E$1712,'CEMIUP0.9 Raw'!$B$6:$B$1712,$J522,'CEMIUP0.9 Raw'!$H$6:$H$1712,"Y")</f>
        <v>824.66</v>
      </c>
      <c r="F522" s="19" t="n">
        <f aca="false">SUMIFS('SALES Raw'!$E$6:$E$4467,'SALES Raw'!$J$6:$J$4467,$J522,'SALES Raw'!$K$6:$K$4467,"Y")*$H$4+SUMIFS('CEMIUP0.9 Raw'!$F$6:$F$1712,'CEMIUP0.9 Raw'!$B$6:$B$1712,$J522,'CEMIUP0.9 Raw'!$H$6:$H$1712,"Y")</f>
        <v>10.1052631578947</v>
      </c>
      <c r="G522" s="19" t="n">
        <f aca="false">SUMIFS('SALES Raw'!$F$6:$F$4467,'SALES Raw'!$J$6:$J$4467,$J522,'SALES Raw'!$K$6:$K$4467,"Y")*$H$4+SUMIFS('CEMIUP0.9 Raw'!$G$6:$G$1712,'CEMIUP0.9 Raw'!$B$6:$B$1712,$J522,'CEMIUP0.9 Raw'!$H$6:$H$1712,"Y")</f>
        <v>936.795789473684</v>
      </c>
      <c r="H522" s="18" t="s">
        <v>42</v>
      </c>
      <c r="I522" s="18" t="s">
        <v>46</v>
      </c>
      <c r="J522" s="18" t="s">
        <v>153</v>
      </c>
    </row>
    <row r="523" customFormat="false" ht="15" hidden="false" customHeight="false" outlineLevel="0" collapsed="false">
      <c r="A523" s="18" t="str">
        <f aca="false">IF(ISNUMBER($J523),$J523,"")</f>
        <v/>
      </c>
      <c r="B523" s="18" t="str">
        <f aca="false">IFERROR(INDEX('SALES Raw'!$B$6:$B$4467,MATCH($J523,'SALES Raw'!$J$6:$J$4467,0)),IFERROR(INDEX('CEMIUP0.9 Raw'!$B$6:$B$1712,MATCH($J523,'CEMIUP0.9 Raw'!$B$6:$B$1712,0)),$J523))</f>
        <v>76 XS</v>
      </c>
      <c r="C523" s="18" t="str">
        <f aca="false">IF(ISNUMBER($J523),IFERROR(INDEX('TRANS'!$C:$C,MATCH($J523,'TRANS'!$B:$B,0)),IFERROR(INDEX('Catalog'!$B:$B,MATCH($J523,'Catalog'!$A:$A,0)),$B523)),$B523)</f>
        <v>76 XS</v>
      </c>
      <c r="D523" s="19" t="n">
        <f aca="false">SUMIFS('SALES Raw'!$C$6:$C$4467,'SALES Raw'!$J$6:$J$4467,$J523,'SALES Raw'!$K$6:$K$4467,"Y")+SUMIFS('CEMIUP0.9 Raw'!$D$6:$D$1712,'CEMIUP0.9 Raw'!$B$6:$B$1712,$J523,'CEMIUP0.9 Raw'!$H$6:$H$1712,"Y")</f>
        <v>9</v>
      </c>
      <c r="E523" s="19" t="n">
        <f aca="false">SUMIFS('SALES Raw'!$D$6:$D$4467,'SALES Raw'!$J$6:$J$4467,$J523,'SALES Raw'!$K$6:$K$4467,"Y")+SUMIFS('CEMIUP0.9 Raw'!$E$6:$E$1712,'CEMIUP0.9 Raw'!$B$6:$B$1712,$J523,'CEMIUP0.9 Raw'!$H$6:$H$1712,"Y")</f>
        <v>1971.93</v>
      </c>
      <c r="F523" s="19" t="n">
        <f aca="false">SUMIFS('SALES Raw'!$E$6:$E$4467,'SALES Raw'!$J$6:$J$4467,$J523,'SALES Raw'!$K$6:$K$4467,"Y")*$H$4+SUMIFS('CEMIUP0.9 Raw'!$F$6:$F$1712,'CEMIUP0.9 Raw'!$B$6:$B$1712,$J523,'CEMIUP0.9 Raw'!$H$6:$H$1712,"Y")</f>
        <v>10.1052631578947</v>
      </c>
      <c r="G523" s="19" t="n">
        <f aca="false">SUMIFS('SALES Raw'!$F$6:$F$4467,'SALES Raw'!$J$6:$J$4467,$J523,'SALES Raw'!$K$6:$K$4467,"Y")*$H$4+SUMIFS('CEMIUP0.9 Raw'!$G$6:$G$1712,'CEMIUP0.9 Raw'!$B$6:$B$1712,$J523,'CEMIUP0.9 Raw'!$H$6:$H$1712,"Y")</f>
        <v>3612.05052631579</v>
      </c>
      <c r="H523" s="18" t="s">
        <v>42</v>
      </c>
      <c r="I523" s="18" t="s">
        <v>46</v>
      </c>
      <c r="J523" s="18" t="s">
        <v>154</v>
      </c>
    </row>
    <row r="524" customFormat="false" ht="15" hidden="false" customHeight="false" outlineLevel="0" collapsed="false">
      <c r="A524" s="18" t="str">
        <f aca="false">IF(ISNUMBER($J524),$J524,"")</f>
        <v/>
      </c>
      <c r="B524" s="18" t="str">
        <f aca="false">IFERROR(INDEX('SALES Raw'!$B$6:$B$4467,MATCH($J524,'SALES Raw'!$J$6:$J$4467,0)),IFERROR(INDEX('CEMIUP0.9 Raw'!$B$6:$B$1712,MATCH($J524,'CEMIUP0.9 Raw'!$B$6:$B$1712,0)),$J524))</f>
        <v>391B-35-38</v>
      </c>
      <c r="C524" s="18" t="str">
        <f aca="false">IF(ISNUMBER($J524),IFERROR(INDEX('TRANS'!$C:$C,MATCH($J524,'TRANS'!$B:$B,0)),IFERROR(INDEX('Catalog'!$B:$B,MATCH($J524,'Catalog'!$A:$A,0)),$B524)),$B524)</f>
        <v>391B-35-38</v>
      </c>
      <c r="D524" s="19" t="n">
        <f aca="false">SUMIFS('SALES Raw'!$C$6:$C$4467,'SALES Raw'!$J$6:$J$4467,$J524,'SALES Raw'!$K$6:$K$4467,"Y")+SUMIFS('CEMIUP0.9 Raw'!$D$6:$D$1712,'CEMIUP0.9 Raw'!$B$6:$B$1712,$J524,'CEMIUP0.9 Raw'!$H$6:$H$1712,"Y")</f>
        <v>0</v>
      </c>
      <c r="E524" s="19" t="n">
        <f aca="false">SUMIFS('SALES Raw'!$D$6:$D$4467,'SALES Raw'!$J$6:$J$4467,$J524,'SALES Raw'!$K$6:$K$4467,"Y")+SUMIFS('CEMIUP0.9 Raw'!$E$6:$E$1712,'CEMIUP0.9 Raw'!$B$6:$B$1712,$J524,'CEMIUP0.9 Raw'!$H$6:$H$1712,"Y")</f>
        <v>0</v>
      </c>
      <c r="F524" s="19" t="n">
        <f aca="false">SUMIFS('SALES Raw'!$E$6:$E$4467,'SALES Raw'!$J$6:$J$4467,$J524,'SALES Raw'!$K$6:$K$4467,"Y")*$H$4+SUMIFS('CEMIUP0.9 Raw'!$F$6:$F$1712,'CEMIUP0.9 Raw'!$B$6:$B$1712,$J524,'CEMIUP0.9 Raw'!$H$6:$H$1712,"Y")</f>
        <v>10.1052631578947</v>
      </c>
      <c r="G524" s="19" t="n">
        <f aca="false">SUMIFS('SALES Raw'!$F$6:$F$4467,'SALES Raw'!$J$6:$J$4467,$J524,'SALES Raw'!$K$6:$K$4467,"Y")*$H$4+SUMIFS('CEMIUP0.9 Raw'!$G$6:$G$1712,'CEMIUP0.9 Raw'!$B$6:$B$1712,$J524,'CEMIUP0.9 Raw'!$H$6:$H$1712,"Y")</f>
        <v>513.157894736842</v>
      </c>
      <c r="H524" s="18" t="s">
        <v>42</v>
      </c>
      <c r="I524" s="18"/>
      <c r="J524" s="18" t="s">
        <v>155</v>
      </c>
    </row>
    <row r="525" customFormat="false" ht="15" hidden="false" customHeight="false" outlineLevel="0" collapsed="false">
      <c r="A525" s="18" t="str">
        <f aca="false">IF(ISNUMBER($J525),$J525,"")</f>
        <v/>
      </c>
      <c r="B525" s="18" t="str">
        <f aca="false">IFERROR(INDEX('SALES Raw'!$B$6:$B$4467,MATCH($J525,'SALES Raw'!$J$6:$J$4467,0)),IFERROR(INDEX('CEMIUP0.9 Raw'!$B$6:$B$1712,MATCH($J525,'CEMIUP0.9 Raw'!$B$6:$B$1712,0)),$J525))</f>
        <v>11EU S</v>
      </c>
      <c r="C525" s="18" t="str">
        <f aca="false">IF(ISNUMBER($J525),IFERROR(INDEX('TRANS'!$C:$C,MATCH($J525,'TRANS'!$B:$B,0)),IFERROR(INDEX('Catalog'!$B:$B,MATCH($J525,'Catalog'!$A:$A,0)),$B525)),$B525)</f>
        <v>11EU S</v>
      </c>
      <c r="D525" s="19" t="n">
        <f aca="false">SUMIFS('SALES Raw'!$C$6:$C$4467,'SALES Raw'!$J$6:$J$4467,$J525,'SALES Raw'!$K$6:$K$4467,"Y")+SUMIFS('CEMIUP0.9 Raw'!$D$6:$D$1712,'CEMIUP0.9 Raw'!$B$6:$B$1712,$J525,'CEMIUP0.9 Raw'!$H$6:$H$1712,"Y")</f>
        <v>6</v>
      </c>
      <c r="E525" s="19" t="n">
        <f aca="false">SUMIFS('SALES Raw'!$D$6:$D$4467,'SALES Raw'!$J$6:$J$4467,$J525,'SALES Raw'!$K$6:$K$4467,"Y")+SUMIFS('CEMIUP0.9 Raw'!$E$6:$E$1712,'CEMIUP0.9 Raw'!$B$6:$B$1712,$J525,'CEMIUP0.9 Raw'!$H$6:$H$1712,"Y")</f>
        <v>843.16</v>
      </c>
      <c r="F525" s="19" t="n">
        <f aca="false">SUMIFS('SALES Raw'!$E$6:$E$4467,'SALES Raw'!$J$6:$J$4467,$J525,'SALES Raw'!$K$6:$K$4467,"Y")*$H$4+SUMIFS('CEMIUP0.9 Raw'!$F$6:$F$1712,'CEMIUP0.9 Raw'!$B$6:$B$1712,$J525,'CEMIUP0.9 Raw'!$H$6:$H$1712,"Y")</f>
        <v>10.1052631578947</v>
      </c>
      <c r="G525" s="19" t="n">
        <f aca="false">SUMIFS('SALES Raw'!$F$6:$F$4467,'SALES Raw'!$J$6:$J$4467,$J525,'SALES Raw'!$K$6:$K$4467,"Y")*$H$4+SUMIFS('CEMIUP0.9 Raw'!$G$6:$G$1712,'CEMIUP0.9 Raw'!$B$6:$B$1712,$J525,'CEMIUP0.9 Raw'!$H$6:$H$1712,"Y")</f>
        <v>1585.95789473684</v>
      </c>
      <c r="H525" s="18" t="s">
        <v>42</v>
      </c>
      <c r="I525" s="18" t="s">
        <v>46</v>
      </c>
      <c r="J525" s="18" t="s">
        <v>156</v>
      </c>
    </row>
    <row r="526" customFormat="false" ht="15" hidden="false" customHeight="false" outlineLevel="0" collapsed="false">
      <c r="A526" s="18" t="str">
        <f aca="false">IF(ISNUMBER($J526),$J526,"")</f>
        <v/>
      </c>
      <c r="B526" s="18" t="str">
        <f aca="false">IFERROR(INDEX('SALES Raw'!$B$6:$B$4467,MATCH($J526,'SALES Raw'!$J$6:$J$4467,0)),IFERROR(INDEX('CEMIUP0.9 Raw'!$B$6:$B$1712,MATCH($J526,'CEMIUP0.9 Raw'!$B$6:$B$1712,0)),$J526))</f>
        <v>63 S</v>
      </c>
      <c r="C526" s="18" t="str">
        <f aca="false">IF(ISNUMBER($J526),IFERROR(INDEX('TRANS'!$C:$C,MATCH($J526,'TRANS'!$B:$B,0)),IFERROR(INDEX('Catalog'!$B:$B,MATCH($J526,'Catalog'!$A:$A,0)),$B526)),$B526)</f>
        <v>63 S</v>
      </c>
      <c r="D526" s="19" t="n">
        <f aca="false">SUMIFS('SALES Raw'!$C$6:$C$4467,'SALES Raw'!$J$6:$J$4467,$J526,'SALES Raw'!$K$6:$K$4467,"Y")+SUMIFS('CEMIUP0.9 Raw'!$D$6:$D$1712,'CEMIUP0.9 Raw'!$B$6:$B$1712,$J526,'CEMIUP0.9 Raw'!$H$6:$H$1712,"Y")</f>
        <v>30</v>
      </c>
      <c r="E526" s="19" t="n">
        <f aca="false">SUMIFS('SALES Raw'!$D$6:$D$4467,'SALES Raw'!$J$6:$J$4467,$J526,'SALES Raw'!$K$6:$K$4467,"Y")+SUMIFS('CEMIUP0.9 Raw'!$E$6:$E$1712,'CEMIUP0.9 Raw'!$B$6:$B$1712,$J526,'CEMIUP0.9 Raw'!$H$6:$H$1712,"Y")</f>
        <v>2235.25</v>
      </c>
      <c r="F526" s="19" t="n">
        <f aca="false">SUMIFS('SALES Raw'!$E$6:$E$4467,'SALES Raw'!$J$6:$J$4467,$J526,'SALES Raw'!$K$6:$K$4467,"Y")*$H$4+SUMIFS('CEMIUP0.9 Raw'!$F$6:$F$1712,'CEMIUP0.9 Raw'!$B$6:$B$1712,$J526,'CEMIUP0.9 Raw'!$H$6:$H$1712,"Y")</f>
        <v>10.1052631578947</v>
      </c>
      <c r="G526" s="19" t="n">
        <f aca="false">SUMIFS('SALES Raw'!$F$6:$F$4467,'SALES Raw'!$J$6:$J$4467,$J526,'SALES Raw'!$K$6:$K$4467,"Y")*$H$4+SUMIFS('CEMIUP0.9 Raw'!$G$6:$G$1712,'CEMIUP0.9 Raw'!$B$6:$B$1712,$J526,'CEMIUP0.9 Raw'!$H$6:$H$1712,"Y")</f>
        <v>890.488421052632</v>
      </c>
      <c r="H526" s="18" t="s">
        <v>42</v>
      </c>
      <c r="I526" s="18" t="s">
        <v>46</v>
      </c>
      <c r="J526" s="18" t="s">
        <v>157</v>
      </c>
    </row>
    <row r="527" customFormat="false" ht="15" hidden="false" customHeight="false" outlineLevel="0" collapsed="false">
      <c r="A527" s="18" t="n">
        <f aca="false">IF(ISNUMBER($J527),$J527,"")</f>
        <v>4413165</v>
      </c>
      <c r="B527" s="18" t="str">
        <f aca="false">IFERROR(INDEX('SALES Raw'!$B$6:$B$4467,MATCH($J527,'SALES Raw'!$J$6:$J$4467,0)),IFERROR(INDEX('CEMIUP0.9 Raw'!$B$6:$B$1712,MATCH($J527,'CEMIUP0.9 Raw'!$B$6:$B$1712,0)),$J527))</f>
        <v>74-L-XL</v>
      </c>
      <c r="C527" s="18" t="str">
        <f aca="false">IF(ISNUMBER($J527),IFERROR(INDEX('TRANS'!$C:$C,MATCH($J527,'TRANS'!$B:$B,0)),IFERROR(INDEX('Catalog'!$B:$B,MATCH($J527,'Catalog'!$A:$A,0)),$B527)),$B527)</f>
        <v>74 L-XL מיצב כתפיים</v>
      </c>
      <c r="D527" s="19" t="n">
        <f aca="false">SUMIFS('SALES Raw'!$C$6:$C$4467,'SALES Raw'!$J$6:$J$4467,$J527,'SALES Raw'!$K$6:$K$4467,"Y")+SUMIFS('CEMIUP0.9 Raw'!$D$6:$D$1712,'CEMIUP0.9 Raw'!$B$6:$B$1712,$J527,'CEMIUP0.9 Raw'!$H$6:$H$1712,"Y")</f>
        <v>12</v>
      </c>
      <c r="E527" s="19" t="n">
        <f aca="false">SUMIFS('SALES Raw'!$D$6:$D$4467,'SALES Raw'!$J$6:$J$4467,$J527,'SALES Raw'!$K$6:$K$4467,"Y")+SUMIFS('CEMIUP0.9 Raw'!$E$6:$E$1712,'CEMIUP0.9 Raw'!$B$6:$B$1712,$J527,'CEMIUP0.9 Raw'!$H$6:$H$1712,"Y")</f>
        <v>2204.75</v>
      </c>
      <c r="F527" s="19" t="n">
        <f aca="false">SUMIFS('SALES Raw'!$E$6:$E$4467,'SALES Raw'!$J$6:$J$4467,$J527,'SALES Raw'!$K$6:$K$4467,"Y")*$H$4+SUMIFS('CEMIUP0.9 Raw'!$F$6:$F$1712,'CEMIUP0.9 Raw'!$B$6:$B$1712,$J527,'CEMIUP0.9 Raw'!$H$6:$H$1712,"Y")</f>
        <v>10.1052631578947</v>
      </c>
      <c r="G527" s="19" t="n">
        <f aca="false">SUMIFS('SALES Raw'!$F$6:$F$4467,'SALES Raw'!$J$6:$J$4467,$J527,'SALES Raw'!$K$6:$K$4467,"Y")*$H$4+SUMIFS('CEMIUP0.9 Raw'!$G$6:$G$1712,'CEMIUP0.9 Raw'!$B$6:$B$1712,$J527,'CEMIUP0.9 Raw'!$H$6:$H$1712,"Y")</f>
        <v>1343.14736842105</v>
      </c>
      <c r="H527" s="18" t="s">
        <v>44</v>
      </c>
      <c r="I527" s="18" t="s">
        <v>46</v>
      </c>
      <c r="J527" s="18" t="n">
        <v>4413165</v>
      </c>
    </row>
    <row r="528" customFormat="false" ht="15" hidden="false" customHeight="false" outlineLevel="0" collapsed="false">
      <c r="A528" s="18" t="n">
        <f aca="false">IF(ISNUMBER($J528),$J528,"")</f>
        <v>4408151</v>
      </c>
      <c r="B528" s="18" t="str">
        <f aca="false">IFERROR(INDEX('SALES Raw'!$B$6:$B$4467,MATCH($J528,'SALES Raw'!$J$6:$J$4467,0)),IFERROR(INDEX('CEMIUP0.9 Raw'!$B$6:$B$1712,MATCH($J528,'CEMIUP0.9 Raw'!$B$6:$B$1712,0)),$J528))</f>
        <v>11TO M</v>
      </c>
      <c r="C528" s="18" t="str">
        <f aca="false">IF(ISNUMBER($J528),IFERROR(INDEX('TRANS'!$C:$C,MATCH($J528,'TRANS'!$B:$B,0)),IFERROR(INDEX('Catalog'!$B:$B,MATCH($J528,'Catalog'!$A:$A,0)),$B528)),$B528)</f>
        <v>11TO M חגורה למנותחי בית החזה</v>
      </c>
      <c r="D528" s="19" t="n">
        <f aca="false">SUMIFS('SALES Raw'!$C$6:$C$4467,'SALES Raw'!$J$6:$J$4467,$J528,'SALES Raw'!$K$6:$K$4467,"Y")+SUMIFS('CEMIUP0.9 Raw'!$D$6:$D$1712,'CEMIUP0.9 Raw'!$B$6:$B$1712,$J528,'CEMIUP0.9 Raw'!$H$6:$H$1712,"Y")</f>
        <v>15</v>
      </c>
      <c r="E528" s="19" t="n">
        <f aca="false">SUMIFS('SALES Raw'!$D$6:$D$4467,'SALES Raw'!$J$6:$J$4467,$J528,'SALES Raw'!$K$6:$K$4467,"Y")+SUMIFS('CEMIUP0.9 Raw'!$E$6:$E$1712,'CEMIUP0.9 Raw'!$B$6:$B$1712,$J528,'CEMIUP0.9 Raw'!$H$6:$H$1712,"Y")</f>
        <v>2331.746</v>
      </c>
      <c r="F528" s="19" t="n">
        <f aca="false">SUMIFS('SALES Raw'!$E$6:$E$4467,'SALES Raw'!$J$6:$J$4467,$J528,'SALES Raw'!$K$6:$K$4467,"Y")*$H$4+SUMIFS('CEMIUP0.9 Raw'!$F$6:$F$1712,'CEMIUP0.9 Raw'!$B$6:$B$1712,$J528,'CEMIUP0.9 Raw'!$H$6:$H$1712,"Y")</f>
        <v>10.1052631578947</v>
      </c>
      <c r="G528" s="19" t="n">
        <f aca="false">SUMIFS('SALES Raw'!$F$6:$F$4467,'SALES Raw'!$J$6:$J$4467,$J528,'SALES Raw'!$K$6:$K$4467,"Y")*$H$4+SUMIFS('CEMIUP0.9 Raw'!$G$6:$G$1712,'CEMIUP0.9 Raw'!$B$6:$B$1712,$J528,'CEMIUP0.9 Raw'!$H$6:$H$1712,"Y")</f>
        <v>2049.97263157895</v>
      </c>
      <c r="H528" s="18" t="s">
        <v>42</v>
      </c>
      <c r="I528" s="18" t="s">
        <v>44</v>
      </c>
      <c r="J528" s="18" t="n">
        <v>4408151</v>
      </c>
    </row>
    <row r="529" customFormat="false" ht="15" hidden="false" customHeight="false" outlineLevel="0" collapsed="false">
      <c r="A529" s="18" t="str">
        <f aca="false">IF(ISNUMBER($J529),$J529,"")</f>
        <v/>
      </c>
      <c r="B529" s="18" t="str">
        <f aca="false">IFERROR(INDEX('SALES Raw'!$B$6:$B$4467,MATCH($J529,'SALES Raw'!$J$6:$J$4467,0)),IFERROR(INDEX('CEMIUP0.9 Raw'!$B$6:$B$1712,MATCH($J529,'CEMIUP0.9 Raw'!$B$6:$B$1712,0)),$J529))</f>
        <v>T402 XXL</v>
      </c>
      <c r="C529" s="18" t="str">
        <f aca="false">IF(ISNUMBER($J529),IFERROR(INDEX('TRANS'!$C:$C,MATCH($J529,'TRANS'!$B:$B,0)),IFERROR(INDEX('Catalog'!$B:$B,MATCH($J529,'Catalog'!$A:$A,0)),$B529)),$B529)</f>
        <v>T402 XXL</v>
      </c>
      <c r="D529" s="19" t="n">
        <f aca="false">SUMIFS('SALES Raw'!$C$6:$C$4467,'SALES Raw'!$J$6:$J$4467,$J529,'SALES Raw'!$K$6:$K$4467,"Y")+SUMIFS('CEMIUP0.9 Raw'!$D$6:$D$1712,'CEMIUP0.9 Raw'!$B$6:$B$1712,$J529,'CEMIUP0.9 Raw'!$H$6:$H$1712,"Y")</f>
        <v>15</v>
      </c>
      <c r="E529" s="19" t="n">
        <f aca="false">SUMIFS('SALES Raw'!$D$6:$D$4467,'SALES Raw'!$J$6:$J$4467,$J529,'SALES Raw'!$K$6:$K$4467,"Y")+SUMIFS('CEMIUP0.9 Raw'!$E$6:$E$1712,'CEMIUP0.9 Raw'!$B$6:$B$1712,$J529,'CEMIUP0.9 Raw'!$H$6:$H$1712,"Y")</f>
        <v>1839.89</v>
      </c>
      <c r="F529" s="19" t="n">
        <f aca="false">SUMIFS('SALES Raw'!$E$6:$E$4467,'SALES Raw'!$J$6:$J$4467,$J529,'SALES Raw'!$K$6:$K$4467,"Y")*$H$4+SUMIFS('CEMIUP0.9 Raw'!$F$6:$F$1712,'CEMIUP0.9 Raw'!$B$6:$B$1712,$J529,'CEMIUP0.9 Raw'!$H$6:$H$1712,"Y")</f>
        <v>10.1052631578947</v>
      </c>
      <c r="G529" s="19" t="n">
        <f aca="false">SUMIFS('SALES Raw'!$F$6:$F$4467,'SALES Raw'!$J$6:$J$4467,$J529,'SALES Raw'!$K$6:$K$4467,"Y")*$H$4+SUMIFS('CEMIUP0.9 Raw'!$G$6:$G$1712,'CEMIUP0.9 Raw'!$B$6:$B$1712,$J529,'CEMIUP0.9 Raw'!$H$6:$H$1712,"Y")</f>
        <v>1111.93263157895</v>
      </c>
      <c r="H529" s="18" t="s">
        <v>44</v>
      </c>
      <c r="I529" s="18" t="s">
        <v>42</v>
      </c>
      <c r="J529" s="18" t="s">
        <v>158</v>
      </c>
    </row>
    <row r="530" customFormat="false" ht="15" hidden="false" customHeight="false" outlineLevel="0" collapsed="false">
      <c r="A530" s="18" t="str">
        <f aca="false">IF(ISNUMBER($J530),$J530,"")</f>
        <v/>
      </c>
      <c r="B530" s="18" t="str">
        <f aca="false">IFERROR(INDEX('SALES Raw'!$B$6:$B$4467,MATCH($J530,'SALES Raw'!$J$6:$J$4467,0)),IFERROR(INDEX('CEMIUP0.9 Raw'!$B$6:$B$1712,MATCH($J530,'CEMIUP0.9 Raw'!$B$6:$B$1712,0)),$J530))</f>
        <v>T33 XXL</v>
      </c>
      <c r="C530" s="18" t="str">
        <f aca="false">IF(ISNUMBER($J530),IFERROR(INDEX('TRANS'!$C:$C,MATCH($J530,'TRANS'!$B:$B,0)),IFERROR(INDEX('Catalog'!$B:$B,MATCH($J530,'Catalog'!$A:$A,0)),$B530)),$B530)</f>
        <v>T33 XXL</v>
      </c>
      <c r="D530" s="19" t="n">
        <f aca="false">SUMIFS('SALES Raw'!$C$6:$C$4467,'SALES Raw'!$J$6:$J$4467,$J530,'SALES Raw'!$K$6:$K$4467,"Y")+SUMIFS('CEMIUP0.9 Raw'!$D$6:$D$1712,'CEMIUP0.9 Raw'!$B$6:$B$1712,$J530,'CEMIUP0.9 Raw'!$H$6:$H$1712,"Y")</f>
        <v>10</v>
      </c>
      <c r="E530" s="19" t="n">
        <f aca="false">SUMIFS('SALES Raw'!$D$6:$D$4467,'SALES Raw'!$J$6:$J$4467,$J530,'SALES Raw'!$K$6:$K$4467,"Y")+SUMIFS('CEMIUP0.9 Raw'!$E$6:$E$1712,'CEMIUP0.9 Raw'!$B$6:$B$1712,$J530,'CEMIUP0.9 Raw'!$H$6:$H$1712,"Y")</f>
        <v>1687.73</v>
      </c>
      <c r="F530" s="19" t="n">
        <f aca="false">SUMIFS('SALES Raw'!$E$6:$E$4467,'SALES Raw'!$J$6:$J$4467,$J530,'SALES Raw'!$K$6:$K$4467,"Y")*$H$4+SUMIFS('CEMIUP0.9 Raw'!$F$6:$F$1712,'CEMIUP0.9 Raw'!$B$6:$B$1712,$J530,'CEMIUP0.9 Raw'!$H$6:$H$1712,"Y")</f>
        <v>10.1052631578947</v>
      </c>
      <c r="G530" s="19" t="n">
        <f aca="false">SUMIFS('SALES Raw'!$F$6:$F$4467,'SALES Raw'!$J$6:$J$4467,$J530,'SALES Raw'!$K$6:$K$4467,"Y")*$H$4+SUMIFS('CEMIUP0.9 Raw'!$G$6:$G$1712,'CEMIUP0.9 Raw'!$B$6:$B$1712,$J530,'CEMIUP0.9 Raw'!$H$6:$H$1712,"Y")</f>
        <v>1636.61052631579</v>
      </c>
      <c r="H530" s="18" t="s">
        <v>53</v>
      </c>
      <c r="I530" s="18" t="s">
        <v>42</v>
      </c>
      <c r="J530" s="18" t="s">
        <v>159</v>
      </c>
    </row>
    <row r="531" customFormat="false" ht="15" hidden="false" customHeight="false" outlineLevel="0" collapsed="false">
      <c r="A531" s="18" t="n">
        <f aca="false">IF(ISNUMBER($J531),$J531,"")</f>
        <v>4413185</v>
      </c>
      <c r="B531" s="18" t="str">
        <f aca="false">IFERROR(INDEX('SALES Raw'!$B$6:$B$4467,MATCH($J531,'SALES Raw'!$J$6:$J$4467,0)),IFERROR(INDEX('CEMIUP0.9 Raw'!$B$6:$B$1712,MATCH($J531,'CEMIUP0.9 Raw'!$B$6:$B$1712,0)),$J531))</f>
        <v>T45 XL</v>
      </c>
      <c r="C531" s="18" t="str">
        <f aca="false">IF(ISNUMBER($J531),IFERROR(INDEX('TRANS'!$C:$C,MATCH($J531,'TRANS'!$B:$B,0)),IFERROR(INDEX('Catalog'!$B:$B,MATCH($J531,'Catalog'!$A:$A,0)),$B531)),$B531)</f>
        <v>T 45XL מגן ברך רגיל</v>
      </c>
      <c r="D531" s="19" t="n">
        <f aca="false">SUMIFS('SALES Raw'!$C$6:$C$4467,'SALES Raw'!$J$6:$J$4467,$J531,'SALES Raw'!$K$6:$K$4467,"Y")+SUMIFS('CEMIUP0.9 Raw'!$D$6:$D$1712,'CEMIUP0.9 Raw'!$B$6:$B$1712,$J531,'CEMIUP0.9 Raw'!$H$6:$H$1712,"Y")</f>
        <v>7</v>
      </c>
      <c r="E531" s="19" t="n">
        <f aca="false">SUMIFS('SALES Raw'!$D$6:$D$4467,'SALES Raw'!$J$6:$J$4467,$J531,'SALES Raw'!$K$6:$K$4467,"Y")+SUMIFS('CEMIUP0.9 Raw'!$E$6:$E$1712,'CEMIUP0.9 Raw'!$B$6:$B$1712,$J531,'CEMIUP0.9 Raw'!$H$6:$H$1712,"Y")</f>
        <v>800.136</v>
      </c>
      <c r="F531" s="19" t="n">
        <f aca="false">SUMIFS('SALES Raw'!$E$6:$E$4467,'SALES Raw'!$J$6:$J$4467,$J531,'SALES Raw'!$K$6:$K$4467,"Y")*$H$4+SUMIFS('CEMIUP0.9 Raw'!$F$6:$F$1712,'CEMIUP0.9 Raw'!$B$6:$B$1712,$J531,'CEMIUP0.9 Raw'!$H$6:$H$1712,"Y")</f>
        <v>10.1052631578947</v>
      </c>
      <c r="G531" s="19" t="n">
        <f aca="false">SUMIFS('SALES Raw'!$F$6:$F$4467,'SALES Raw'!$J$6:$J$4467,$J531,'SALES Raw'!$K$6:$K$4467,"Y")*$H$4+SUMIFS('CEMIUP0.9 Raw'!$G$6:$G$1712,'CEMIUP0.9 Raw'!$B$6:$B$1712,$J531,'CEMIUP0.9 Raw'!$H$6:$H$1712,"Y")</f>
        <v>1447.55115789474</v>
      </c>
      <c r="H531" s="18" t="s">
        <v>42</v>
      </c>
      <c r="I531" s="18" t="s">
        <v>43</v>
      </c>
      <c r="J531" s="18" t="n">
        <v>4413185</v>
      </c>
    </row>
    <row r="532" customFormat="false" ht="15" hidden="false" customHeight="false" outlineLevel="0" collapsed="false">
      <c r="A532" s="18" t="n">
        <f aca="false">IF(ISNUMBER($J532),$J532,"")</f>
        <v>4408028</v>
      </c>
      <c r="B532" s="18" t="str">
        <f aca="false">IFERROR(INDEX('SALES Raw'!$B$6:$B$4467,MATCH($J532,'SALES Raw'!$J$6:$J$4467,0)),IFERROR(INDEX('CEMIUP0.9 Raw'!$B$6:$B$1712,MATCH($J532,'CEMIUP0.9 Raw'!$B$6:$B$1712,0)),$J532))</f>
        <v>10 M</v>
      </c>
      <c r="C532" s="18" t="str">
        <f aca="false">IF(ISNUMBER($J532),IFERROR(INDEX('TRANS'!$C:$C,MATCH($J532,'TRANS'!$B:$B,0)),IFERROR(INDEX('Catalog'!$B:$B,MATCH($J532,'Catalog'!$A:$A,0)),$B532)),$B532)</f>
        <v>10 M """"חגורת גב """"לומבו</v>
      </c>
      <c r="D532" s="19" t="n">
        <f aca="false">SUMIFS('SALES Raw'!$C$6:$C$4467,'SALES Raw'!$J$6:$J$4467,$J532,'SALES Raw'!$K$6:$K$4467,"Y")+SUMIFS('CEMIUP0.9 Raw'!$D$6:$D$1712,'CEMIUP0.9 Raw'!$B$6:$B$1712,$J532,'CEMIUP0.9 Raw'!$H$6:$H$1712,"Y")</f>
        <v>29</v>
      </c>
      <c r="E532" s="19" t="n">
        <f aca="false">SUMIFS('SALES Raw'!$D$6:$D$4467,'SALES Raw'!$J$6:$J$4467,$J532,'SALES Raw'!$K$6:$K$4467,"Y")+SUMIFS('CEMIUP0.9 Raw'!$E$6:$E$1712,'CEMIUP0.9 Raw'!$B$6:$B$1712,$J532,'CEMIUP0.9 Raw'!$H$6:$H$1712,"Y")</f>
        <v>4001.672</v>
      </c>
      <c r="F532" s="19" t="n">
        <f aca="false">SUMIFS('SALES Raw'!$E$6:$E$4467,'SALES Raw'!$J$6:$J$4467,$J532,'SALES Raw'!$K$6:$K$4467,"Y")*$H$4+SUMIFS('CEMIUP0.9 Raw'!$F$6:$F$1712,'CEMIUP0.9 Raw'!$B$6:$B$1712,$J532,'CEMIUP0.9 Raw'!$H$6:$H$1712,"Y")</f>
        <v>10.1052631578947</v>
      </c>
      <c r="G532" s="19" t="n">
        <f aca="false">SUMIFS('SALES Raw'!$F$6:$F$4467,'SALES Raw'!$J$6:$J$4467,$J532,'SALES Raw'!$K$6:$K$4467,"Y")*$H$4+SUMIFS('CEMIUP0.9 Raw'!$G$6:$G$1712,'CEMIUP0.9 Raw'!$B$6:$B$1712,$J532,'CEMIUP0.9 Raw'!$H$6:$H$1712,"Y")</f>
        <v>1331.09052631579</v>
      </c>
      <c r="H532" s="18" t="s">
        <v>43</v>
      </c>
      <c r="I532" s="18" t="s">
        <v>46</v>
      </c>
      <c r="J532" s="18" t="n">
        <v>4408028</v>
      </c>
    </row>
    <row r="533" customFormat="false" ht="15" hidden="false" customHeight="false" outlineLevel="0" collapsed="false">
      <c r="A533" s="18" t="n">
        <f aca="false">IF(ISNUMBER($J533),$J533,"")</f>
        <v>4420039</v>
      </c>
      <c r="B533" s="18" t="n">
        <f aca="false">IFERROR(INDEX('SALES Raw'!$B$6:$B$4467,MATCH($J533,'SALES Raw'!$J$6:$J$4467,0)),IFERROR(INDEX('CEMIUP0.9 Raw'!$B$6:$B$1712,MATCH($J533,'CEMIUP0.9 Raw'!$B$6:$B$1712,0)),$J533))</f>
        <v>4420039</v>
      </c>
      <c r="C533" s="18" t="str">
        <f aca="false">IF(ISNUMBER($J533),IFERROR(INDEX('TRANS'!$C:$C,MATCH($J533,'TRANS'!$B:$B,0)),IFERROR(INDEX('Catalog'!$B:$B,MATCH($J533,'Catalog'!$A:$A,0)),$B533)),$B533)</f>
        <v>T40B רצועה לפיקה</v>
      </c>
      <c r="D533" s="19" t="n">
        <f aca="false">SUMIFS('SALES Raw'!$C$6:$C$4467,'SALES Raw'!$J$6:$J$4467,$J533,'SALES Raw'!$K$6:$K$4467,"Y")+SUMIFS('CEMIUP0.9 Raw'!$D$6:$D$1712,'CEMIUP0.9 Raw'!$B$6:$B$1712,$J533,'CEMIUP0.9 Raw'!$H$6:$H$1712,"Y")</f>
        <v>0</v>
      </c>
      <c r="E533" s="19" t="n">
        <f aca="false">SUMIFS('SALES Raw'!$D$6:$D$4467,'SALES Raw'!$J$6:$J$4467,$J533,'SALES Raw'!$K$6:$K$4467,"Y")+SUMIFS('CEMIUP0.9 Raw'!$E$6:$E$1712,'CEMIUP0.9 Raw'!$B$6:$B$1712,$J533,'CEMIUP0.9 Raw'!$H$6:$H$1712,"Y")</f>
        <v>0</v>
      </c>
      <c r="F533" s="19" t="n">
        <f aca="false">SUMIFS('SALES Raw'!$E$6:$E$4467,'SALES Raw'!$J$6:$J$4467,$J533,'SALES Raw'!$K$6:$K$4467,"Y")*$H$4+SUMIFS('CEMIUP0.9 Raw'!$F$6:$F$1712,'CEMIUP0.9 Raw'!$B$6:$B$1712,$J533,'CEMIUP0.9 Raw'!$H$6:$H$1712,"Y")</f>
        <v>10.1052631578947</v>
      </c>
      <c r="G533" s="19" t="n">
        <f aca="false">SUMIFS('SALES Raw'!$F$6:$F$4467,'SALES Raw'!$J$6:$J$4467,$J533,'SALES Raw'!$K$6:$K$4467,"Y")*$H$4+SUMIFS('CEMIUP0.9 Raw'!$G$6:$G$1712,'CEMIUP0.9 Raw'!$B$6:$B$1712,$J533,'CEMIUP0.9 Raw'!$H$6:$H$1712,"Y")</f>
        <v>742.904842105263</v>
      </c>
      <c r="H533" s="18" t="s">
        <v>43</v>
      </c>
      <c r="I533" s="18"/>
      <c r="J533" s="18" t="n">
        <v>4420039</v>
      </c>
    </row>
    <row r="534" customFormat="false" ht="15" hidden="false" customHeight="false" outlineLevel="0" collapsed="false">
      <c r="A534" s="18" t="str">
        <f aca="false">IF(ISNUMBER($J534),$J534,"")</f>
        <v/>
      </c>
      <c r="B534" s="18" t="str">
        <f aca="false">IFERROR(INDEX('SALES Raw'!$B$6:$B$4467,MATCH($J534,'SALES Raw'!$J$6:$J$4467,0)),IFERROR(INDEX('CEMIUP0.9 Raw'!$B$6:$B$1712,MATCH($J534,'CEMIUP0.9 Raw'!$B$6:$B$1712,0)),$J534))</f>
        <v>50 XXL</v>
      </c>
      <c r="C534" s="18" t="str">
        <f aca="false">IF(ISNUMBER($J534),IFERROR(INDEX('TRANS'!$C:$C,MATCH($J534,'TRANS'!$B:$B,0)),IFERROR(INDEX('Catalog'!$B:$B,MATCH($J534,'Catalog'!$A:$A,0)),$B534)),$B534)</f>
        <v>50 XXL</v>
      </c>
      <c r="D534" s="19" t="n">
        <f aca="false">SUMIFS('SALES Raw'!$C$6:$C$4467,'SALES Raw'!$J$6:$J$4467,$J534,'SALES Raw'!$K$6:$K$4467,"Y")+SUMIFS('CEMIUP0.9 Raw'!$D$6:$D$1712,'CEMIUP0.9 Raw'!$B$6:$B$1712,$J534,'CEMIUP0.9 Raw'!$H$6:$H$1712,"Y")</f>
        <v>11</v>
      </c>
      <c r="E534" s="19" t="n">
        <f aca="false">SUMIFS('SALES Raw'!$D$6:$D$4467,'SALES Raw'!$J$6:$J$4467,$J534,'SALES Raw'!$K$6:$K$4467,"Y")+SUMIFS('CEMIUP0.9 Raw'!$E$6:$E$1712,'CEMIUP0.9 Raw'!$B$6:$B$1712,$J534,'CEMIUP0.9 Raw'!$H$6:$H$1712,"Y")</f>
        <v>1232.71</v>
      </c>
      <c r="F534" s="19" t="n">
        <f aca="false">SUMIFS('SALES Raw'!$E$6:$E$4467,'SALES Raw'!$J$6:$J$4467,$J534,'SALES Raw'!$K$6:$K$4467,"Y")*$H$4+SUMIFS('CEMIUP0.9 Raw'!$F$6:$F$1712,'CEMIUP0.9 Raw'!$B$6:$B$1712,$J534,'CEMIUP0.9 Raw'!$H$6:$H$1712,"Y")</f>
        <v>8.8421052631579</v>
      </c>
      <c r="G534" s="19" t="n">
        <f aca="false">SUMIFS('SALES Raw'!$F$6:$F$4467,'SALES Raw'!$J$6:$J$4467,$J534,'SALES Raw'!$K$6:$K$4467,"Y")*$H$4+SUMIFS('CEMIUP0.9 Raw'!$G$6:$G$1712,'CEMIUP0.9 Raw'!$B$6:$B$1712,$J534,'CEMIUP0.9 Raw'!$H$6:$H$1712,"Y")</f>
        <v>1183.09894736842</v>
      </c>
      <c r="H534" s="18" t="s">
        <v>43</v>
      </c>
      <c r="I534" s="18" t="s">
        <v>44</v>
      </c>
      <c r="J534" s="18" t="s">
        <v>160</v>
      </c>
    </row>
    <row r="535" customFormat="false" ht="15" hidden="false" customHeight="false" outlineLevel="0" collapsed="false">
      <c r="A535" s="18" t="n">
        <f aca="false">IF(ISNUMBER($J535),$J535,"")</f>
        <v>4413427</v>
      </c>
      <c r="B535" s="18" t="str">
        <f aca="false">IFERROR(INDEX('SALES Raw'!$B$6:$B$4467,MATCH($J535,'SALES Raw'!$J$6:$J$4467,0)),IFERROR(INDEX('CEMIUP0.9 Raw'!$B$6:$B$1712,MATCH($J535,'CEMIUP0.9 Raw'!$B$6:$B$1712,0)),$J535))</f>
        <v>SC35R XL</v>
      </c>
      <c r="C535" s="18" t="str">
        <f aca="false">IF(ISNUMBER($J535),IFERROR(INDEX('TRANS'!$C:$C,MATCH($J535,'TRANS'!$B:$B,0)),IFERROR(INDEX('Catalog'!$B:$B,MATCH($J535,'Catalog'!$A:$A,0)),$B535)),$B535)</f>
        <v>SC35R  XLמגן קרסול ימין</v>
      </c>
      <c r="D535" s="19" t="n">
        <f aca="false">SUMIFS('SALES Raw'!$C$6:$C$4467,'SALES Raw'!$J$6:$J$4467,$J535,'SALES Raw'!$K$6:$K$4467,"Y")+SUMIFS('CEMIUP0.9 Raw'!$D$6:$D$1712,'CEMIUP0.9 Raw'!$B$6:$B$1712,$J535,'CEMIUP0.9 Raw'!$H$6:$H$1712,"Y")</f>
        <v>8</v>
      </c>
      <c r="E535" s="19" t="n">
        <f aca="false">SUMIFS('SALES Raw'!$D$6:$D$4467,'SALES Raw'!$J$6:$J$4467,$J535,'SALES Raw'!$K$6:$K$4467,"Y")+SUMIFS('CEMIUP0.9 Raw'!$E$6:$E$1712,'CEMIUP0.9 Raw'!$B$6:$B$1712,$J535,'CEMIUP0.9 Raw'!$H$6:$H$1712,"Y")</f>
        <v>785.453</v>
      </c>
      <c r="F535" s="19" t="n">
        <f aca="false">SUMIFS('SALES Raw'!$E$6:$E$4467,'SALES Raw'!$J$6:$J$4467,$J535,'SALES Raw'!$K$6:$K$4467,"Y")*$H$4+SUMIFS('CEMIUP0.9 Raw'!$F$6:$F$1712,'CEMIUP0.9 Raw'!$B$6:$B$1712,$J535,'CEMIUP0.9 Raw'!$H$6:$H$1712,"Y")</f>
        <v>8.8421052631579</v>
      </c>
      <c r="G535" s="19" t="n">
        <f aca="false">SUMIFS('SALES Raw'!$F$6:$F$4467,'SALES Raw'!$J$6:$J$4467,$J535,'SALES Raw'!$K$6:$K$4467,"Y")*$H$4+SUMIFS('CEMIUP0.9 Raw'!$G$6:$G$1712,'CEMIUP0.9 Raw'!$B$6:$B$1712,$J535,'CEMIUP0.9 Raw'!$H$6:$H$1712,"Y")</f>
        <v>925.455157894737</v>
      </c>
      <c r="H535" s="18" t="s">
        <v>43</v>
      </c>
      <c r="I535" s="18" t="s">
        <v>42</v>
      </c>
      <c r="J535" s="18" t="n">
        <v>4413427</v>
      </c>
    </row>
    <row r="536" customFormat="false" ht="15" hidden="false" customHeight="false" outlineLevel="0" collapsed="false">
      <c r="A536" s="18" t="str">
        <f aca="false">IF(ISNUMBER($J536),$J536,"")</f>
        <v/>
      </c>
      <c r="B536" s="18" t="str">
        <f aca="false">IFERROR(INDEX('SALES Raw'!$B$6:$B$4467,MATCH($J536,'SALES Raw'!$J$6:$J$4467,0)),IFERROR(INDEX('CEMIUP0.9 Raw'!$B$6:$B$1712,MATCH($J536,'CEMIUP0.9 Raw'!$B$6:$B$1712,0)),$J536))</f>
        <v>35C XS</v>
      </c>
      <c r="C536" s="18" t="str">
        <f aca="false">IF(ISNUMBER($J536),IFERROR(INDEX('TRANS'!$C:$C,MATCH($J536,'TRANS'!$B:$B,0)),IFERROR(INDEX('Catalog'!$B:$B,MATCH($J536,'Catalog'!$A:$A,0)),$B536)),$B536)</f>
        <v>35C XS</v>
      </c>
      <c r="D536" s="19" t="n">
        <f aca="false">SUMIFS('SALES Raw'!$C$6:$C$4467,'SALES Raw'!$J$6:$J$4467,$J536,'SALES Raw'!$K$6:$K$4467,"Y")+SUMIFS('CEMIUP0.9 Raw'!$D$6:$D$1712,'CEMIUP0.9 Raw'!$B$6:$B$1712,$J536,'CEMIUP0.9 Raw'!$H$6:$H$1712,"Y")</f>
        <v>11</v>
      </c>
      <c r="E536" s="19" t="n">
        <f aca="false">SUMIFS('SALES Raw'!$D$6:$D$4467,'SALES Raw'!$J$6:$J$4467,$J536,'SALES Raw'!$K$6:$K$4467,"Y")+SUMIFS('CEMIUP0.9 Raw'!$E$6:$E$1712,'CEMIUP0.9 Raw'!$B$6:$B$1712,$J536,'CEMIUP0.9 Raw'!$H$6:$H$1712,"Y")</f>
        <v>469.39</v>
      </c>
      <c r="F536" s="19" t="n">
        <f aca="false">SUMIFS('SALES Raw'!$E$6:$E$4467,'SALES Raw'!$J$6:$J$4467,$J536,'SALES Raw'!$K$6:$K$4467,"Y")*$H$4+SUMIFS('CEMIUP0.9 Raw'!$F$6:$F$1712,'CEMIUP0.9 Raw'!$B$6:$B$1712,$J536,'CEMIUP0.9 Raw'!$H$6:$H$1712,"Y")</f>
        <v>8.84210526315789</v>
      </c>
      <c r="G536" s="19" t="n">
        <f aca="false">SUMIFS('SALES Raw'!$F$6:$F$4467,'SALES Raw'!$J$6:$J$4467,$J536,'SALES Raw'!$K$6:$K$4467,"Y")*$H$4+SUMIFS('CEMIUP0.9 Raw'!$G$6:$G$1712,'CEMIUP0.9 Raw'!$B$6:$B$1712,$J536,'CEMIUP0.9 Raw'!$H$6:$H$1712,"Y")</f>
        <v>455.22947368421</v>
      </c>
      <c r="H536" s="18" t="s">
        <v>42</v>
      </c>
      <c r="I536" s="18" t="s">
        <v>46</v>
      </c>
      <c r="J536" s="18" t="s">
        <v>161</v>
      </c>
    </row>
    <row r="537" customFormat="false" ht="15" hidden="false" customHeight="false" outlineLevel="0" collapsed="false">
      <c r="A537" s="18" t="str">
        <f aca="false">IF(ISNUMBER($J537),$J537,"")</f>
        <v/>
      </c>
      <c r="B537" s="18" t="str">
        <f aca="false">IFERROR(INDEX('SALES Raw'!$B$6:$B$4467,MATCH($J537,'SALES Raw'!$J$6:$J$4467,0)),IFERROR(INDEX('CEMIUP0.9 Raw'!$B$6:$B$1712,MATCH($J537,'CEMIUP0.9 Raw'!$B$6:$B$1712,0)),$J537))</f>
        <v>T03 XXL</v>
      </c>
      <c r="C537" s="18" t="str">
        <f aca="false">IF(ISNUMBER($J537),IFERROR(INDEX('TRANS'!$C:$C,MATCH($J537,'TRANS'!$B:$B,0)),IFERROR(INDEX('Catalog'!$B:$B,MATCH($J537,'Catalog'!$A:$A,0)),$B537)),$B537)</f>
        <v>T03 XXL</v>
      </c>
      <c r="D537" s="19" t="n">
        <f aca="false">SUMIFS('SALES Raw'!$C$6:$C$4467,'SALES Raw'!$J$6:$J$4467,$J537,'SALES Raw'!$K$6:$K$4467,"Y")+SUMIFS('CEMIUP0.9 Raw'!$D$6:$D$1712,'CEMIUP0.9 Raw'!$B$6:$B$1712,$J537,'CEMIUP0.9 Raw'!$H$6:$H$1712,"Y")</f>
        <v>7</v>
      </c>
      <c r="E537" s="19" t="n">
        <f aca="false">SUMIFS('SALES Raw'!$D$6:$D$4467,'SALES Raw'!$J$6:$J$4467,$J537,'SALES Raw'!$K$6:$K$4467,"Y")+SUMIFS('CEMIUP0.9 Raw'!$E$6:$E$1712,'CEMIUP0.9 Raw'!$B$6:$B$1712,$J537,'CEMIUP0.9 Raw'!$H$6:$H$1712,"Y")</f>
        <v>1225.27</v>
      </c>
      <c r="F537" s="19" t="n">
        <f aca="false">SUMIFS('SALES Raw'!$E$6:$E$4467,'SALES Raw'!$J$6:$J$4467,$J537,'SALES Raw'!$K$6:$K$4467,"Y")*$H$4+SUMIFS('CEMIUP0.9 Raw'!$F$6:$F$1712,'CEMIUP0.9 Raw'!$B$6:$B$1712,$J537,'CEMIUP0.9 Raw'!$H$6:$H$1712,"Y")</f>
        <v>8.84210526315789</v>
      </c>
      <c r="G537" s="19" t="n">
        <f aca="false">SUMIFS('SALES Raw'!$F$6:$F$4467,'SALES Raw'!$J$6:$J$4467,$J537,'SALES Raw'!$K$6:$K$4467,"Y")*$H$4+SUMIFS('CEMIUP0.9 Raw'!$G$6:$G$1712,'CEMIUP0.9 Raw'!$B$6:$B$1712,$J537,'CEMIUP0.9 Raw'!$H$6:$H$1712,"Y")</f>
        <v>1447.04842105263</v>
      </c>
      <c r="H537" s="18" t="s">
        <v>42</v>
      </c>
      <c r="I537" s="18" t="s">
        <v>46</v>
      </c>
      <c r="J537" s="18" t="s">
        <v>162</v>
      </c>
    </row>
    <row r="538" customFormat="false" ht="15" hidden="false" customHeight="false" outlineLevel="0" collapsed="false">
      <c r="A538" s="18" t="str">
        <f aca="false">IF(ISNUMBER($J538),$J538,"")</f>
        <v/>
      </c>
      <c r="B538" s="18" t="str">
        <f aca="false">IFERROR(INDEX('SALES Raw'!$B$6:$B$4467,MATCH($J538,'SALES Raw'!$J$6:$J$4467,0)),IFERROR(INDEX('CEMIUP0.9 Raw'!$B$6:$B$1712,MATCH($J538,'CEMIUP0.9 Raw'!$B$6:$B$1712,0)),$J538))</f>
        <v>322B M</v>
      </c>
      <c r="C538" s="18" t="str">
        <f aca="false">IF(ISNUMBER($J538),IFERROR(INDEX('TRANS'!$C:$C,MATCH($J538,'TRANS'!$B:$B,0)),IFERROR(INDEX('Catalog'!$B:$B,MATCH($J538,'Catalog'!$A:$A,0)),$B538)),$B538)</f>
        <v>322B M</v>
      </c>
      <c r="D538" s="19" t="n">
        <f aca="false">SUMIFS('SALES Raw'!$C$6:$C$4467,'SALES Raw'!$J$6:$J$4467,$J538,'SALES Raw'!$K$6:$K$4467,"Y")+SUMIFS('CEMIUP0.9 Raw'!$D$6:$D$1712,'CEMIUP0.9 Raw'!$B$6:$B$1712,$J538,'CEMIUP0.9 Raw'!$H$6:$H$1712,"Y")</f>
        <v>19</v>
      </c>
      <c r="E538" s="19" t="n">
        <f aca="false">SUMIFS('SALES Raw'!$D$6:$D$4467,'SALES Raw'!$J$6:$J$4467,$J538,'SALES Raw'!$K$6:$K$4467,"Y")+SUMIFS('CEMIUP0.9 Raw'!$E$6:$E$1712,'CEMIUP0.9 Raw'!$B$6:$B$1712,$J538,'CEMIUP0.9 Raw'!$H$6:$H$1712,"Y")</f>
        <v>1954.58</v>
      </c>
      <c r="F538" s="19" t="n">
        <f aca="false">SUMIFS('SALES Raw'!$E$6:$E$4467,'SALES Raw'!$J$6:$J$4467,$J538,'SALES Raw'!$K$6:$K$4467,"Y")*$H$4+SUMIFS('CEMIUP0.9 Raw'!$F$6:$F$1712,'CEMIUP0.9 Raw'!$B$6:$B$1712,$J538,'CEMIUP0.9 Raw'!$H$6:$H$1712,"Y")</f>
        <v>8.84210526315789</v>
      </c>
      <c r="G538" s="19" t="n">
        <f aca="false">SUMIFS('SALES Raw'!$F$6:$F$4467,'SALES Raw'!$J$6:$J$4467,$J538,'SALES Raw'!$K$6:$K$4467,"Y")*$H$4+SUMIFS('CEMIUP0.9 Raw'!$G$6:$G$1712,'CEMIUP0.9 Raw'!$B$6:$B$1712,$J538,'CEMIUP0.9 Raw'!$H$6:$H$1712,"Y")</f>
        <v>618.922105263158</v>
      </c>
      <c r="H538" s="18" t="s">
        <v>44</v>
      </c>
      <c r="I538" s="18" t="s">
        <v>53</v>
      </c>
      <c r="J538" s="18" t="s">
        <v>163</v>
      </c>
    </row>
    <row r="539" customFormat="false" ht="15" hidden="false" customHeight="false" outlineLevel="0" collapsed="false">
      <c r="A539" s="18" t="str">
        <f aca="false">IF(ISNUMBER($J539),$J539,"")</f>
        <v/>
      </c>
      <c r="B539" s="18" t="str">
        <f aca="false">IFERROR(INDEX('SALES Raw'!$B$6:$B$4467,MATCH($J539,'SALES Raw'!$J$6:$J$4467,0)),IFERROR(INDEX('CEMIUP0.9 Raw'!$B$6:$B$1712,MATCH($J539,'CEMIUP0.9 Raw'!$B$6:$B$1712,0)),$J539))</f>
        <v>808KTP-P</v>
      </c>
      <c r="C539" s="18" t="str">
        <f aca="false">IF(ISNUMBER($J539),IFERROR(INDEX('TRANS'!$C:$C,MATCH($J539,'TRANS'!$B:$B,0)),IFERROR(INDEX('Catalog'!$B:$B,MATCH($J539,'Catalog'!$A:$A,0)),$B539)),$B539)</f>
        <v>808KTP-P</v>
      </c>
      <c r="D539" s="19" t="n">
        <f aca="false">SUMIFS('SALES Raw'!$C$6:$C$4467,'SALES Raw'!$J$6:$J$4467,$J539,'SALES Raw'!$K$6:$K$4467,"Y")+SUMIFS('CEMIUP0.9 Raw'!$D$6:$D$1712,'CEMIUP0.9 Raw'!$B$6:$B$1712,$J539,'CEMIUP0.9 Raw'!$H$6:$H$1712,"Y")</f>
        <v>0</v>
      </c>
      <c r="E539" s="19" t="n">
        <f aca="false">SUMIFS('SALES Raw'!$D$6:$D$4467,'SALES Raw'!$J$6:$J$4467,$J539,'SALES Raw'!$K$6:$K$4467,"Y")+SUMIFS('CEMIUP0.9 Raw'!$E$6:$E$1712,'CEMIUP0.9 Raw'!$B$6:$B$1712,$J539,'CEMIUP0.9 Raw'!$H$6:$H$1712,"Y")</f>
        <v>0</v>
      </c>
      <c r="F539" s="19" t="n">
        <f aca="false">SUMIFS('SALES Raw'!$E$6:$E$4467,'SALES Raw'!$J$6:$J$4467,$J539,'SALES Raw'!$K$6:$K$4467,"Y")*$H$4+SUMIFS('CEMIUP0.9 Raw'!$F$6:$F$1712,'CEMIUP0.9 Raw'!$B$6:$B$1712,$J539,'CEMIUP0.9 Raw'!$H$6:$H$1712,"Y")</f>
        <v>8.84210526315789</v>
      </c>
      <c r="G539" s="19" t="n">
        <f aca="false">SUMIFS('SALES Raw'!$F$6:$F$4467,'SALES Raw'!$J$6:$J$4467,$J539,'SALES Raw'!$K$6:$K$4467,"Y")*$H$4+SUMIFS('CEMIUP0.9 Raw'!$G$6:$G$1712,'CEMIUP0.9 Raw'!$B$6:$B$1712,$J539,'CEMIUP0.9 Raw'!$H$6:$H$1712,"Y")</f>
        <v>319.174736842105</v>
      </c>
      <c r="H539" s="18" t="s">
        <v>44</v>
      </c>
      <c r="I539" s="18" t="s">
        <v>42</v>
      </c>
      <c r="J539" s="18" t="s">
        <v>164</v>
      </c>
    </row>
    <row r="540" customFormat="false" ht="15" hidden="false" customHeight="false" outlineLevel="0" collapsed="false">
      <c r="A540" s="18" t="str">
        <f aca="false">IF(ISNUMBER($J540),$J540,"")</f>
        <v/>
      </c>
      <c r="B540" s="18" t="str">
        <f aca="false">IFERROR(INDEX('SALES Raw'!$B$6:$B$4467,MATCH($J540,'SALES Raw'!$J$6:$J$4467,0)),IFERROR(INDEX('CEMIUP0.9 Raw'!$B$6:$B$1712,MATCH($J540,'CEMIUP0.9 Raw'!$B$6:$B$1712,0)),$J540))</f>
        <v>61 M</v>
      </c>
      <c r="C540" s="18" t="str">
        <f aca="false">IF(ISNUMBER($J540),IFERROR(INDEX('TRANS'!$C:$C,MATCH($J540,'TRANS'!$B:$B,0)),IFERROR(INDEX('Catalog'!$B:$B,MATCH($J540,'Catalog'!$A:$A,0)),$B540)),$B540)</f>
        <v>61 M</v>
      </c>
      <c r="D540" s="19" t="n">
        <f aca="false">SUMIFS('SALES Raw'!$C$6:$C$4467,'SALES Raw'!$J$6:$J$4467,$J540,'SALES Raw'!$K$6:$K$4467,"Y")+SUMIFS('CEMIUP0.9 Raw'!$D$6:$D$1712,'CEMIUP0.9 Raw'!$B$6:$B$1712,$J540,'CEMIUP0.9 Raw'!$H$6:$H$1712,"Y")</f>
        <v>13</v>
      </c>
      <c r="E540" s="19" t="n">
        <f aca="false">SUMIFS('SALES Raw'!$D$6:$D$4467,'SALES Raw'!$J$6:$J$4467,$J540,'SALES Raw'!$K$6:$K$4467,"Y")+SUMIFS('CEMIUP0.9 Raw'!$E$6:$E$1712,'CEMIUP0.9 Raw'!$B$6:$B$1712,$J540,'CEMIUP0.9 Raw'!$H$6:$H$1712,"Y")</f>
        <v>422.12</v>
      </c>
      <c r="F540" s="19" t="n">
        <f aca="false">SUMIFS('SALES Raw'!$E$6:$E$4467,'SALES Raw'!$J$6:$J$4467,$J540,'SALES Raw'!$K$6:$K$4467,"Y")*$H$4+SUMIFS('CEMIUP0.9 Raw'!$F$6:$F$1712,'CEMIUP0.9 Raw'!$B$6:$B$1712,$J540,'CEMIUP0.9 Raw'!$H$6:$H$1712,"Y")</f>
        <v>8.84210526315789</v>
      </c>
      <c r="G540" s="19" t="n">
        <f aca="false">SUMIFS('SALES Raw'!$F$6:$F$4467,'SALES Raw'!$J$6:$J$4467,$J540,'SALES Raw'!$K$6:$K$4467,"Y")*$H$4+SUMIFS('CEMIUP0.9 Raw'!$G$6:$G$1712,'CEMIUP0.9 Raw'!$B$6:$B$1712,$J540,'CEMIUP0.9 Raw'!$H$6:$H$1712,"Y")</f>
        <v>438.265263157895</v>
      </c>
      <c r="H540" s="18" t="s">
        <v>44</v>
      </c>
      <c r="I540" s="18"/>
      <c r="J540" s="18" t="s">
        <v>165</v>
      </c>
    </row>
    <row r="541" customFormat="false" ht="15" hidden="false" customHeight="false" outlineLevel="0" collapsed="false">
      <c r="A541" s="18" t="str">
        <f aca="false">IF(ISNUMBER($J541),$J541,"")</f>
        <v/>
      </c>
      <c r="B541" s="18" t="str">
        <f aca="false">IFERROR(INDEX('SALES Raw'!$B$6:$B$4467,MATCH($J541,'SALES Raw'!$J$6:$J$4467,0)),IFERROR(INDEX('CEMIUP0.9 Raw'!$B$6:$B$1712,MATCH($J541,'CEMIUP0.9 Raw'!$B$6:$B$1712,0)),$J541))</f>
        <v>T33 S</v>
      </c>
      <c r="C541" s="18" t="str">
        <f aca="false">IF(ISNUMBER($J541),IFERROR(INDEX('TRANS'!$C:$C,MATCH($J541,'TRANS'!$B:$B,0)),IFERROR(INDEX('Catalog'!$B:$B,MATCH($J541,'Catalog'!$A:$A,0)),$B541)),$B541)</f>
        <v>T33 S</v>
      </c>
      <c r="D541" s="19" t="n">
        <f aca="false">SUMIFS('SALES Raw'!$C$6:$C$4467,'SALES Raw'!$J$6:$J$4467,$J541,'SALES Raw'!$K$6:$K$4467,"Y")+SUMIFS('CEMIUP0.9 Raw'!$D$6:$D$1712,'CEMIUP0.9 Raw'!$B$6:$B$1712,$J541,'CEMIUP0.9 Raw'!$H$6:$H$1712,"Y")</f>
        <v>3</v>
      </c>
      <c r="E541" s="19" t="n">
        <f aca="false">SUMIFS('SALES Raw'!$D$6:$D$4467,'SALES Raw'!$J$6:$J$4467,$J541,'SALES Raw'!$K$6:$K$4467,"Y")+SUMIFS('CEMIUP0.9 Raw'!$E$6:$E$1712,'CEMIUP0.9 Raw'!$B$6:$B$1712,$J541,'CEMIUP0.9 Raw'!$H$6:$H$1712,"Y")</f>
        <v>618.3</v>
      </c>
      <c r="F541" s="19" t="n">
        <f aca="false">SUMIFS('SALES Raw'!$E$6:$E$4467,'SALES Raw'!$J$6:$J$4467,$J541,'SALES Raw'!$K$6:$K$4467,"Y")*$H$4+SUMIFS('CEMIUP0.9 Raw'!$F$6:$F$1712,'CEMIUP0.9 Raw'!$B$6:$B$1712,$J541,'CEMIUP0.9 Raw'!$H$6:$H$1712,"Y")</f>
        <v>8.84210526315789</v>
      </c>
      <c r="G541" s="19" t="n">
        <f aca="false">SUMIFS('SALES Raw'!$F$6:$F$4467,'SALES Raw'!$J$6:$J$4467,$J541,'SALES Raw'!$K$6:$K$4467,"Y")*$H$4+SUMIFS('CEMIUP0.9 Raw'!$G$6:$G$1712,'CEMIUP0.9 Raw'!$B$6:$B$1712,$J541,'CEMIUP0.9 Raw'!$H$6:$H$1712,"Y")</f>
        <v>1863.58736842105</v>
      </c>
      <c r="H541" s="18" t="s">
        <v>42</v>
      </c>
      <c r="I541" s="18" t="s">
        <v>44</v>
      </c>
      <c r="J541" s="18" t="s">
        <v>166</v>
      </c>
    </row>
    <row r="542" customFormat="false" ht="15" hidden="false" customHeight="false" outlineLevel="0" collapsed="false">
      <c r="A542" s="18" t="n">
        <f aca="false">IF(ISNUMBER($J542),$J542,"")</f>
        <v>4413071</v>
      </c>
      <c r="B542" s="18" t="str">
        <f aca="false">IFERROR(INDEX('SALES Raw'!$B$6:$B$4467,MATCH($J542,'SALES Raw'!$J$6:$J$4467,0)),IFERROR(INDEX('CEMIUP0.9 Raw'!$B$6:$B$1712,MATCH($J542,'CEMIUP0.9 Raw'!$B$6:$B$1712,0)),$J542))</f>
        <v>41 S</v>
      </c>
      <c r="C542" s="18" t="str">
        <f aca="false">IF(ISNUMBER($J542),IFERROR(INDEX('TRANS'!$C:$C,MATCH($J542,'TRANS'!$B:$B,0)),IFERROR(INDEX('Catalog'!$B:$B,MATCH($J542,'Catalog'!$A:$A,0)),$B542)),$B542)</f>
        <v>41 Sמ.ברך מוצלב+ספירלות בצדדים</v>
      </c>
      <c r="D542" s="19" t="n">
        <f aca="false">SUMIFS('SALES Raw'!$C$6:$C$4467,'SALES Raw'!$J$6:$J$4467,$J542,'SALES Raw'!$K$6:$K$4467,"Y")+SUMIFS('CEMIUP0.9 Raw'!$D$6:$D$1712,'CEMIUP0.9 Raw'!$B$6:$B$1712,$J542,'CEMIUP0.9 Raw'!$H$6:$H$1712,"Y")</f>
        <v>4</v>
      </c>
      <c r="E542" s="19" t="n">
        <f aca="false">SUMIFS('SALES Raw'!$D$6:$D$4467,'SALES Raw'!$J$6:$J$4467,$J542,'SALES Raw'!$K$6:$K$4467,"Y")+SUMIFS('CEMIUP0.9 Raw'!$E$6:$E$1712,'CEMIUP0.9 Raw'!$B$6:$B$1712,$J542,'CEMIUP0.9 Raw'!$H$6:$H$1712,"Y")</f>
        <v>339.191</v>
      </c>
      <c r="F542" s="19" t="n">
        <f aca="false">SUMIFS('SALES Raw'!$E$6:$E$4467,'SALES Raw'!$J$6:$J$4467,$J542,'SALES Raw'!$K$6:$K$4467,"Y")*$H$4+SUMIFS('CEMIUP0.9 Raw'!$F$6:$F$1712,'CEMIUP0.9 Raw'!$B$6:$B$1712,$J542,'CEMIUP0.9 Raw'!$H$6:$H$1712,"Y")</f>
        <v>8.84210526315789</v>
      </c>
      <c r="G542" s="19" t="n">
        <f aca="false">SUMIFS('SALES Raw'!$F$6:$F$4467,'SALES Raw'!$J$6:$J$4467,$J542,'SALES Raw'!$K$6:$K$4467,"Y")*$H$4+SUMIFS('CEMIUP0.9 Raw'!$G$6:$G$1712,'CEMIUP0.9 Raw'!$B$6:$B$1712,$J542,'CEMIUP0.9 Raw'!$H$6:$H$1712,"Y")</f>
        <v>872.58947368421</v>
      </c>
      <c r="H542" s="18" t="s">
        <v>48</v>
      </c>
      <c r="I542" s="18" t="s">
        <v>44</v>
      </c>
      <c r="J542" s="18" t="n">
        <v>4413071</v>
      </c>
    </row>
    <row r="543" customFormat="false" ht="15" hidden="false" customHeight="false" outlineLevel="0" collapsed="false">
      <c r="A543" s="18" t="str">
        <f aca="false">IF(ISNUMBER($J543),$J543,"")</f>
        <v/>
      </c>
      <c r="B543" s="18" t="str">
        <f aca="false">IFERROR(INDEX('SALES Raw'!$B$6:$B$4467,MATCH($J543,'SALES Raw'!$J$6:$J$4467,0)),IFERROR(INDEX('CEMIUP0.9 Raw'!$B$6:$B$1712,MATCH($J543,'CEMIUP0.9 Raw'!$B$6:$B$1712,0)),$J543))</f>
        <v>422EB M</v>
      </c>
      <c r="C543" s="18" t="str">
        <f aca="false">IF(ISNUMBER($J543),IFERROR(INDEX('TRANS'!$C:$C,MATCH($J543,'TRANS'!$B:$B,0)),IFERROR(INDEX('Catalog'!$B:$B,MATCH($J543,'Catalog'!$A:$A,0)),$B543)),$B543)</f>
        <v>422EB M</v>
      </c>
      <c r="D543" s="19" t="n">
        <f aca="false">SUMIFS('SALES Raw'!$C$6:$C$4467,'SALES Raw'!$J$6:$J$4467,$J543,'SALES Raw'!$K$6:$K$4467,"Y")+SUMIFS('CEMIUP0.9 Raw'!$D$6:$D$1712,'CEMIUP0.9 Raw'!$B$6:$B$1712,$J543,'CEMIUP0.9 Raw'!$H$6:$H$1712,"Y")</f>
        <v>3</v>
      </c>
      <c r="E543" s="19" t="n">
        <f aca="false">SUMIFS('SALES Raw'!$D$6:$D$4467,'SALES Raw'!$J$6:$J$4467,$J543,'SALES Raw'!$K$6:$K$4467,"Y")+SUMIFS('CEMIUP0.9 Raw'!$E$6:$E$1712,'CEMIUP0.9 Raw'!$B$6:$B$1712,$J543,'CEMIUP0.9 Raw'!$H$6:$H$1712,"Y")</f>
        <v>992.81</v>
      </c>
      <c r="F543" s="19" t="n">
        <f aca="false">SUMIFS('SALES Raw'!$E$6:$E$4467,'SALES Raw'!$J$6:$J$4467,$J543,'SALES Raw'!$K$6:$K$4467,"Y")*$H$4+SUMIFS('CEMIUP0.9 Raw'!$F$6:$F$1712,'CEMIUP0.9 Raw'!$B$6:$B$1712,$J543,'CEMIUP0.9 Raw'!$H$6:$H$1712,"Y")</f>
        <v>8.84210526315789</v>
      </c>
      <c r="G543" s="19" t="n">
        <f aca="false">SUMIFS('SALES Raw'!$F$6:$F$4467,'SALES Raw'!$J$6:$J$4467,$J543,'SALES Raw'!$K$6:$K$4467,"Y")*$H$4+SUMIFS('CEMIUP0.9 Raw'!$G$6:$G$1712,'CEMIUP0.9 Raw'!$B$6:$B$1712,$J543,'CEMIUP0.9 Raw'!$H$6:$H$1712,"Y")</f>
        <v>1845.84</v>
      </c>
      <c r="H543" s="18" t="s">
        <v>42</v>
      </c>
      <c r="I543" s="18"/>
      <c r="J543" s="18" t="s">
        <v>167</v>
      </c>
    </row>
    <row r="544" customFormat="false" ht="15" hidden="false" customHeight="false" outlineLevel="0" collapsed="false">
      <c r="A544" s="18" t="str">
        <f aca="false">IF(ISNUMBER($J544),$J544,"")</f>
        <v/>
      </c>
      <c r="B544" s="18" t="str">
        <f aca="false">IFERROR(INDEX('SALES Raw'!$B$6:$B$4467,MATCH($J544,'SALES Raw'!$J$6:$J$4467,0)),IFERROR(INDEX('CEMIUP0.9 Raw'!$B$6:$B$1712,MATCH($J544,'CEMIUP0.9 Raw'!$B$6:$B$1712,0)),$J544))</f>
        <v>T45X L</v>
      </c>
      <c r="C544" s="18" t="str">
        <f aca="false">IF(ISNUMBER($J544),IFERROR(INDEX('TRANS'!$C:$C,MATCH($J544,'TRANS'!$B:$B,0)),IFERROR(INDEX('Catalog'!$B:$B,MATCH($J544,'Catalog'!$A:$A,0)),$B544)),$B544)</f>
        <v>T45X L</v>
      </c>
      <c r="D544" s="19" t="n">
        <f aca="false">SUMIFS('SALES Raw'!$C$6:$C$4467,'SALES Raw'!$J$6:$J$4467,$J544,'SALES Raw'!$K$6:$K$4467,"Y")+SUMIFS('CEMIUP0.9 Raw'!$D$6:$D$1712,'CEMIUP0.9 Raw'!$B$6:$B$1712,$J544,'CEMIUP0.9 Raw'!$H$6:$H$1712,"Y")</f>
        <v>7</v>
      </c>
      <c r="E544" s="19" t="n">
        <f aca="false">SUMIFS('SALES Raw'!$D$6:$D$4467,'SALES Raw'!$J$6:$J$4467,$J544,'SALES Raw'!$K$6:$K$4467,"Y")+SUMIFS('CEMIUP0.9 Raw'!$E$6:$E$1712,'CEMIUP0.9 Raw'!$B$6:$B$1712,$J544,'CEMIUP0.9 Raw'!$H$6:$H$1712,"Y")</f>
        <v>1151.6</v>
      </c>
      <c r="F544" s="19" t="n">
        <f aca="false">SUMIFS('SALES Raw'!$E$6:$E$4467,'SALES Raw'!$J$6:$J$4467,$J544,'SALES Raw'!$K$6:$K$4467,"Y")*$H$4+SUMIFS('CEMIUP0.9 Raw'!$F$6:$F$1712,'CEMIUP0.9 Raw'!$B$6:$B$1712,$J544,'CEMIUP0.9 Raw'!$H$6:$H$1712,"Y")</f>
        <v>8.84210526315789</v>
      </c>
      <c r="G544" s="19" t="n">
        <f aca="false">SUMIFS('SALES Raw'!$F$6:$F$4467,'SALES Raw'!$J$6:$J$4467,$J544,'SALES Raw'!$K$6:$K$4467,"Y")*$H$4+SUMIFS('CEMIUP0.9 Raw'!$G$6:$G$1712,'CEMIUP0.9 Raw'!$B$6:$B$1712,$J544,'CEMIUP0.9 Raw'!$H$6:$H$1712,"Y")</f>
        <v>1067.79789473684</v>
      </c>
      <c r="H544" s="18" t="s">
        <v>44</v>
      </c>
      <c r="I544" s="18" t="s">
        <v>42</v>
      </c>
      <c r="J544" s="18" t="s">
        <v>168</v>
      </c>
    </row>
    <row r="545" customFormat="false" ht="15" hidden="false" customHeight="false" outlineLevel="0" collapsed="false">
      <c r="A545" s="18" t="str">
        <f aca="false">IF(ISNUMBER($J545),$J545,"")</f>
        <v/>
      </c>
      <c r="B545" s="18" t="str">
        <f aca="false">IFERROR(INDEX('SALES Raw'!$B$6:$B$4467,MATCH($J545,'SALES Raw'!$J$6:$J$4467,0)),IFERROR(INDEX('CEMIUP0.9 Raw'!$B$6:$B$1712,MATCH($J545,'CEMIUP0.9 Raw'!$B$6:$B$1712,0)),$J545))</f>
        <v>74-S-M</v>
      </c>
      <c r="C545" s="18" t="str">
        <f aca="false">IF(ISNUMBER($J545),IFERROR(INDEX('TRANS'!$C:$C,MATCH($J545,'TRANS'!$B:$B,0)),IFERROR(INDEX('Catalog'!$B:$B,MATCH($J545,'Catalog'!$A:$A,0)),$B545)),$B545)</f>
        <v>74-S-M</v>
      </c>
      <c r="D545" s="19" t="n">
        <f aca="false">SUMIFS('SALES Raw'!$C$6:$C$4467,'SALES Raw'!$J$6:$J$4467,$J545,'SALES Raw'!$K$6:$K$4467,"Y")+SUMIFS('CEMIUP0.9 Raw'!$D$6:$D$1712,'CEMIUP0.9 Raw'!$B$6:$B$1712,$J545,'CEMIUP0.9 Raw'!$H$6:$H$1712,"Y")</f>
        <v>18</v>
      </c>
      <c r="E545" s="19" t="n">
        <f aca="false">SUMIFS('SALES Raw'!$D$6:$D$4467,'SALES Raw'!$J$6:$J$4467,$J545,'SALES Raw'!$K$6:$K$4467,"Y")+SUMIFS('CEMIUP0.9 Raw'!$E$6:$E$1712,'CEMIUP0.9 Raw'!$B$6:$B$1712,$J545,'CEMIUP0.9 Raw'!$H$6:$H$1712,"Y")</f>
        <v>2865.23</v>
      </c>
      <c r="F545" s="19" t="n">
        <f aca="false">SUMIFS('SALES Raw'!$E$6:$E$4467,'SALES Raw'!$J$6:$J$4467,$J545,'SALES Raw'!$K$6:$K$4467,"Y")*$H$4+SUMIFS('CEMIUP0.9 Raw'!$F$6:$F$1712,'CEMIUP0.9 Raw'!$B$6:$B$1712,$J545,'CEMIUP0.9 Raw'!$H$6:$H$1712,"Y")</f>
        <v>8.84210526315789</v>
      </c>
      <c r="G545" s="19" t="n">
        <f aca="false">SUMIFS('SALES Raw'!$F$6:$F$4467,'SALES Raw'!$J$6:$J$4467,$J545,'SALES Raw'!$K$6:$K$4467,"Y")*$H$4+SUMIFS('CEMIUP0.9 Raw'!$G$6:$G$1712,'CEMIUP0.9 Raw'!$B$6:$B$1712,$J545,'CEMIUP0.9 Raw'!$H$6:$H$1712,"Y")</f>
        <v>1944.60631578947</v>
      </c>
      <c r="H545" s="18" t="s">
        <v>42</v>
      </c>
      <c r="I545" s="18" t="s">
        <v>44</v>
      </c>
      <c r="J545" s="18" t="s">
        <v>169</v>
      </c>
    </row>
    <row r="546" customFormat="false" ht="15" hidden="false" customHeight="false" outlineLevel="0" collapsed="false">
      <c r="A546" s="18" t="n">
        <f aca="false">IF(ISNUMBER($J546),$J546,"")</f>
        <v>4415013</v>
      </c>
      <c r="B546" s="18" t="str">
        <f aca="false">IFERROR(INDEX('SALES Raw'!$B$6:$B$4467,MATCH($J546,'SALES Raw'!$J$6:$J$4467,0)),IFERROR(INDEX('CEMIUP0.9 Raw'!$B$6:$B$1712,MATCH($J546,'CEMIUP0.9 Raw'!$B$6:$B$1712,0)),$J546))</f>
        <v>32 XL</v>
      </c>
      <c r="C546" s="18" t="str">
        <f aca="false">IF(ISNUMBER($J546),IFERROR(INDEX('TRANS'!$C:$C,MATCH($J546,'TRANS'!$B:$B,0)),IFERROR(INDEX('Catalog'!$B:$B,MATCH($J546,'Catalog'!$A:$A,0)),$B546)),$B546)</f>
        <v>32 XL סד קרסול+מוטות אלומיניום</v>
      </c>
      <c r="D546" s="19" t="n">
        <f aca="false">SUMIFS('SALES Raw'!$C$6:$C$4467,'SALES Raw'!$J$6:$J$4467,$J546,'SALES Raw'!$K$6:$K$4467,"Y")+SUMIFS('CEMIUP0.9 Raw'!$D$6:$D$1712,'CEMIUP0.9 Raw'!$B$6:$B$1712,$J546,'CEMIUP0.9 Raw'!$H$6:$H$1712,"Y")</f>
        <v>0</v>
      </c>
      <c r="E546" s="19" t="n">
        <f aca="false">SUMIFS('SALES Raw'!$D$6:$D$4467,'SALES Raw'!$J$6:$J$4467,$J546,'SALES Raw'!$K$6:$K$4467,"Y")+SUMIFS('CEMIUP0.9 Raw'!$E$6:$E$1712,'CEMIUP0.9 Raw'!$B$6:$B$1712,$J546,'CEMIUP0.9 Raw'!$H$6:$H$1712,"Y")</f>
        <v>0</v>
      </c>
      <c r="F546" s="19" t="n">
        <f aca="false">SUMIFS('SALES Raw'!$E$6:$E$4467,'SALES Raw'!$J$6:$J$4467,$J546,'SALES Raw'!$K$6:$K$4467,"Y")*$H$4+SUMIFS('CEMIUP0.9 Raw'!$F$6:$F$1712,'CEMIUP0.9 Raw'!$B$6:$B$1712,$J546,'CEMIUP0.9 Raw'!$H$6:$H$1712,"Y")</f>
        <v>8.84210526315789</v>
      </c>
      <c r="G546" s="19" t="n">
        <f aca="false">SUMIFS('SALES Raw'!$F$6:$F$4467,'SALES Raw'!$J$6:$J$4467,$J546,'SALES Raw'!$K$6:$K$4467,"Y")*$H$4+SUMIFS('CEMIUP0.9 Raw'!$G$6:$G$1712,'CEMIUP0.9 Raw'!$B$6:$B$1712,$J546,'CEMIUP0.9 Raw'!$H$6:$H$1712,"Y")</f>
        <v>2701.38315789474</v>
      </c>
      <c r="H546" s="18" t="s">
        <v>42</v>
      </c>
      <c r="I546" s="18" t="s">
        <v>43</v>
      </c>
      <c r="J546" s="18" t="n">
        <v>4415013</v>
      </c>
    </row>
    <row r="547" customFormat="false" ht="15" hidden="false" customHeight="false" outlineLevel="0" collapsed="false">
      <c r="A547" s="18" t="n">
        <f aca="false">IF(ISNUMBER($J547),$J547,"")</f>
        <v>4413347</v>
      </c>
      <c r="B547" s="18" t="str">
        <f aca="false">IFERROR(INDEX('SALES Raw'!$B$6:$B$4467,MATCH($J547,'SALES Raw'!$J$6:$J$4467,0)),IFERROR(INDEX('CEMIUP0.9 Raw'!$B$6:$B$1712,MATCH($J547,'CEMIUP0.9 Raw'!$B$6:$B$1712,0)),$J547))</f>
        <v>322 L</v>
      </c>
      <c r="C547" s="18" t="str">
        <f aca="false">IF(ISNUMBER($J547),IFERROR(INDEX('TRANS'!$C:$C,MATCH($J547,'TRANS'!$B:$B,0)),IFERROR(INDEX('Catalog'!$B:$B,MATCH($J547,'Catalog'!$A:$A,0)),$B547)),$B547)</f>
        <v>322-L מגן קרסול+כרית סילקון</v>
      </c>
      <c r="D547" s="19" t="n">
        <f aca="false">SUMIFS('SALES Raw'!$C$6:$C$4467,'SALES Raw'!$J$6:$J$4467,$J547,'SALES Raw'!$K$6:$K$4467,"Y")+SUMIFS('CEMIUP0.9 Raw'!$D$6:$D$1712,'CEMIUP0.9 Raw'!$B$6:$B$1712,$J547,'CEMIUP0.9 Raw'!$H$6:$H$1712,"Y")</f>
        <v>13</v>
      </c>
      <c r="E547" s="19" t="n">
        <f aca="false">SUMIFS('SALES Raw'!$D$6:$D$4467,'SALES Raw'!$J$6:$J$4467,$J547,'SALES Raw'!$K$6:$K$4467,"Y")+SUMIFS('CEMIUP0.9 Raw'!$E$6:$E$1712,'CEMIUP0.9 Raw'!$B$6:$B$1712,$J547,'CEMIUP0.9 Raw'!$H$6:$H$1712,"Y")</f>
        <v>1050.239</v>
      </c>
      <c r="F547" s="19" t="n">
        <f aca="false">SUMIFS('SALES Raw'!$E$6:$E$4467,'SALES Raw'!$J$6:$J$4467,$J547,'SALES Raw'!$K$6:$K$4467,"Y")*$H$4+SUMIFS('CEMIUP0.9 Raw'!$F$6:$F$1712,'CEMIUP0.9 Raw'!$B$6:$B$1712,$J547,'CEMIUP0.9 Raw'!$H$6:$H$1712,"Y")</f>
        <v>8.84210526315789</v>
      </c>
      <c r="G547" s="19" t="n">
        <f aca="false">SUMIFS('SALES Raw'!$F$6:$F$4467,'SALES Raw'!$J$6:$J$4467,$J547,'SALES Raw'!$K$6:$K$4467,"Y")*$H$4+SUMIFS('CEMIUP0.9 Raw'!$G$6:$G$1712,'CEMIUP0.9 Raw'!$B$6:$B$1712,$J547,'CEMIUP0.9 Raw'!$H$6:$H$1712,"Y")</f>
        <v>939.837473684211</v>
      </c>
      <c r="H547" s="18" t="s">
        <v>44</v>
      </c>
      <c r="I547" s="18" t="s">
        <v>43</v>
      </c>
      <c r="J547" s="18" t="n">
        <v>4413347</v>
      </c>
    </row>
    <row r="548" customFormat="false" ht="15" hidden="false" customHeight="false" outlineLevel="0" collapsed="false">
      <c r="A548" s="18" t="str">
        <f aca="false">IF(ISNUMBER($J548),$J548,"")</f>
        <v/>
      </c>
      <c r="B548" s="18" t="str">
        <f aca="false">IFERROR(INDEX('SALES Raw'!$B$6:$B$4467,MATCH($J548,'SALES Raw'!$J$6:$J$4467,0)),IFERROR(INDEX('CEMIUP0.9 Raw'!$B$6:$B$1712,MATCH($J548,'CEMIUP0.9 Raw'!$B$6:$B$1712,0)),$J548))</f>
        <v>07AU L ח.גב ""איטלקית"" אורירית</v>
      </c>
      <c r="C548" s="18" t="str">
        <f aca="false">IF(ISNUMBER($J548),IFERROR(INDEX('TRANS'!$C:$C,MATCH($J548,'TRANS'!$B:$B,0)),IFERROR(INDEX('Catalog'!$B:$B,MATCH($J548,'Catalog'!$A:$A,0)),$B548)),$B548)</f>
        <v>07AU L ח.גב ""איטלקית"" אורירית</v>
      </c>
      <c r="D548" s="19" t="n">
        <f aca="false">SUMIFS('SALES Raw'!$C$6:$C$4467,'SALES Raw'!$J$6:$J$4467,$J548,'SALES Raw'!$K$6:$K$4467,"Y")+SUMIFS('CEMIUP0.9 Raw'!$D$6:$D$1712,'CEMIUP0.9 Raw'!$B$6:$B$1712,$J548,'CEMIUP0.9 Raw'!$H$6:$H$1712,"Y")</f>
        <v>0</v>
      </c>
      <c r="E548" s="19" t="n">
        <f aca="false">SUMIFS('SALES Raw'!$D$6:$D$4467,'SALES Raw'!$J$6:$J$4467,$J548,'SALES Raw'!$K$6:$K$4467,"Y")+SUMIFS('CEMIUP0.9 Raw'!$E$6:$E$1712,'CEMIUP0.9 Raw'!$B$6:$B$1712,$J548,'CEMIUP0.9 Raw'!$H$6:$H$1712,"Y")</f>
        <v>0</v>
      </c>
      <c r="F548" s="19" t="n">
        <f aca="false">SUMIFS('SALES Raw'!$E$6:$E$4467,'SALES Raw'!$J$6:$J$4467,$J548,'SALES Raw'!$K$6:$K$4467,"Y")*$H$4+SUMIFS('CEMIUP0.9 Raw'!$F$6:$F$1712,'CEMIUP0.9 Raw'!$B$6:$B$1712,$J548,'CEMIUP0.9 Raw'!$H$6:$H$1712,"Y")</f>
        <v>8.84210526315789</v>
      </c>
      <c r="G548" s="19" t="n">
        <f aca="false">SUMIFS('SALES Raw'!$F$6:$F$4467,'SALES Raw'!$J$6:$J$4467,$J548,'SALES Raw'!$K$6:$K$4467,"Y")*$H$4+SUMIFS('CEMIUP0.9 Raw'!$G$6:$G$1712,'CEMIUP0.9 Raw'!$B$6:$B$1712,$J548,'CEMIUP0.9 Raw'!$H$6:$H$1712,"Y")</f>
        <v>1260.85768421053</v>
      </c>
      <c r="H548" s="18" t="s">
        <v>48</v>
      </c>
      <c r="I548" s="18"/>
      <c r="J548" s="18" t="s">
        <v>170</v>
      </c>
    </row>
    <row r="549" customFormat="false" ht="15" hidden="false" customHeight="false" outlineLevel="0" collapsed="false">
      <c r="A549" s="18" t="str">
        <f aca="false">IF(ISNUMBER($J549),$J549,"")</f>
        <v/>
      </c>
      <c r="B549" s="18" t="str">
        <f aca="false">IFERROR(INDEX('SALES Raw'!$B$6:$B$4467,MATCH($J549,'SALES Raw'!$J$6:$J$4467,0)),IFERROR(INDEX('CEMIUP0.9 Raw'!$B$6:$B$1712,MATCH($J549,'CEMIUP0.9 Raw'!$B$6:$B$1712,0)),$J549))</f>
        <v>07AU XXL.ח.גב ""איטלקית"" אוריר</v>
      </c>
      <c r="C549" s="18" t="str">
        <f aca="false">IF(ISNUMBER($J549),IFERROR(INDEX('TRANS'!$C:$C,MATCH($J549,'TRANS'!$B:$B,0)),IFERROR(INDEX('Catalog'!$B:$B,MATCH($J549,'Catalog'!$A:$A,0)),$B549)),$B549)</f>
        <v>07AU XXL.ח.גב ""איטלקית"" אוריר</v>
      </c>
      <c r="D549" s="19" t="n">
        <f aca="false">SUMIFS('SALES Raw'!$C$6:$C$4467,'SALES Raw'!$J$6:$J$4467,$J549,'SALES Raw'!$K$6:$K$4467,"Y")+SUMIFS('CEMIUP0.9 Raw'!$D$6:$D$1712,'CEMIUP0.9 Raw'!$B$6:$B$1712,$J549,'CEMIUP0.9 Raw'!$H$6:$H$1712,"Y")</f>
        <v>0</v>
      </c>
      <c r="E549" s="19" t="n">
        <f aca="false">SUMIFS('SALES Raw'!$D$6:$D$4467,'SALES Raw'!$J$6:$J$4467,$J549,'SALES Raw'!$K$6:$K$4467,"Y")+SUMIFS('CEMIUP0.9 Raw'!$E$6:$E$1712,'CEMIUP0.9 Raw'!$B$6:$B$1712,$J549,'CEMIUP0.9 Raw'!$H$6:$H$1712,"Y")</f>
        <v>0</v>
      </c>
      <c r="F549" s="19" t="n">
        <f aca="false">SUMIFS('SALES Raw'!$E$6:$E$4467,'SALES Raw'!$J$6:$J$4467,$J549,'SALES Raw'!$K$6:$K$4467,"Y")*$H$4+SUMIFS('CEMIUP0.9 Raw'!$F$6:$F$1712,'CEMIUP0.9 Raw'!$B$6:$B$1712,$J549,'CEMIUP0.9 Raw'!$H$6:$H$1712,"Y")</f>
        <v>8.84210526315789</v>
      </c>
      <c r="G549" s="19" t="n">
        <f aca="false">SUMIFS('SALES Raw'!$F$6:$F$4467,'SALES Raw'!$J$6:$J$4467,$J549,'SALES Raw'!$K$6:$K$4467,"Y")*$H$4+SUMIFS('CEMIUP0.9 Raw'!$G$6:$G$1712,'CEMIUP0.9 Raw'!$B$6:$B$1712,$J549,'CEMIUP0.9 Raw'!$H$6:$H$1712,"Y")</f>
        <v>1159.93389473684</v>
      </c>
      <c r="H549" s="18" t="s">
        <v>48</v>
      </c>
      <c r="I549" s="18"/>
      <c r="J549" s="18" t="s">
        <v>171</v>
      </c>
    </row>
    <row r="550" customFormat="false" ht="15" hidden="false" customHeight="false" outlineLevel="0" collapsed="false">
      <c r="A550" s="18" t="n">
        <f aca="false">IF(ISNUMBER($J550),$J550,"")</f>
        <v>4419013</v>
      </c>
      <c r="B550" s="18" t="str">
        <f aca="false">IFERROR(INDEX('SALES Raw'!$B$6:$B$4467,MATCH($J550,'SALES Raw'!$J$6:$J$4467,0)),IFERROR(INDEX('CEMIUP0.9 Raw'!$B$6:$B$1712,MATCH($J550,'CEMIUP0.9 Raw'!$B$6:$B$1712,0)),$J550))</f>
        <v>239B-L-XL</v>
      </c>
      <c r="C550" s="18" t="str">
        <f aca="false">IF(ISNUMBER($J550),IFERROR(INDEX('TRANS'!$C:$C,MATCH($J550,'TRANS'!$B:$B,0)),IFERROR(INDEX('Catalog'!$B:$B,MATCH($J550,'Catalog'!$A:$A,0)),$B550)),$B550)</f>
        <v>239B L-XL STRAP4U</v>
      </c>
      <c r="D550" s="19" t="n">
        <f aca="false">SUMIFS('SALES Raw'!$C$6:$C$4467,'SALES Raw'!$J$6:$J$4467,$J550,'SALES Raw'!$K$6:$K$4467,"Y")+SUMIFS('CEMIUP0.9 Raw'!$D$6:$D$1712,'CEMIUP0.9 Raw'!$B$6:$B$1712,$J550,'CEMIUP0.9 Raw'!$H$6:$H$1712,"Y")</f>
        <v>120</v>
      </c>
      <c r="E550" s="19" t="n">
        <f aca="false">SUMIFS('SALES Raw'!$D$6:$D$4467,'SALES Raw'!$J$6:$J$4467,$J550,'SALES Raw'!$K$6:$K$4467,"Y")+SUMIFS('CEMIUP0.9 Raw'!$E$6:$E$1712,'CEMIUP0.9 Raw'!$B$6:$B$1712,$J550,'CEMIUP0.9 Raw'!$H$6:$H$1712,"Y")</f>
        <v>1915.735</v>
      </c>
      <c r="F550" s="19" t="n">
        <f aca="false">SUMIFS('SALES Raw'!$E$6:$E$4467,'SALES Raw'!$J$6:$J$4467,$J550,'SALES Raw'!$K$6:$K$4467,"Y")*$H$4+SUMIFS('CEMIUP0.9 Raw'!$F$6:$F$1712,'CEMIUP0.9 Raw'!$B$6:$B$1712,$J550,'CEMIUP0.9 Raw'!$H$6:$H$1712,"Y")</f>
        <v>8.84210526315789</v>
      </c>
      <c r="G550" s="19" t="n">
        <f aca="false">SUMIFS('SALES Raw'!$F$6:$F$4467,'SALES Raw'!$J$6:$J$4467,$J550,'SALES Raw'!$K$6:$K$4467,"Y")*$H$4+SUMIFS('CEMIUP0.9 Raw'!$G$6:$G$1712,'CEMIUP0.9 Raw'!$B$6:$B$1712,$J550,'CEMIUP0.9 Raw'!$H$6:$H$1712,"Y")</f>
        <v>363.461052631579</v>
      </c>
      <c r="H550" s="18" t="s">
        <v>42</v>
      </c>
      <c r="I550" s="18" t="s">
        <v>43</v>
      </c>
      <c r="J550" s="18" t="n">
        <v>4419013</v>
      </c>
    </row>
    <row r="551" customFormat="false" ht="15" hidden="false" customHeight="false" outlineLevel="0" collapsed="false">
      <c r="A551" s="18" t="str">
        <f aca="false">IF(ISNUMBER($J551),$J551,"")</f>
        <v/>
      </c>
      <c r="B551" s="18" t="str">
        <f aca="false">IFERROR(INDEX('SALES Raw'!$B$6:$B$4467,MATCH($J551,'SALES Raw'!$J$6:$J$4467,0)),IFERROR(INDEX('CEMIUP0.9 Raw'!$B$6:$B$1712,MATCH($J551,'CEMIUP0.9 Raw'!$B$6:$B$1712,0)),$J551))</f>
        <v>56B XL</v>
      </c>
      <c r="C551" s="18" t="str">
        <f aca="false">IF(ISNUMBER($J551),IFERROR(INDEX('TRANS'!$C:$C,MATCH($J551,'TRANS'!$B:$B,0)),IFERROR(INDEX('Catalog'!$B:$B,MATCH($J551,'Catalog'!$A:$A,0)),$B551)),$B551)</f>
        <v>56B XL</v>
      </c>
      <c r="D551" s="19" t="n">
        <f aca="false">SUMIFS('SALES Raw'!$C$6:$C$4467,'SALES Raw'!$J$6:$J$4467,$J551,'SALES Raw'!$K$6:$K$4467,"Y")+SUMIFS('CEMIUP0.9 Raw'!$D$6:$D$1712,'CEMIUP0.9 Raw'!$B$6:$B$1712,$J551,'CEMIUP0.9 Raw'!$H$6:$H$1712,"Y")</f>
        <v>0</v>
      </c>
      <c r="E551" s="19" t="n">
        <f aca="false">SUMIFS('SALES Raw'!$D$6:$D$4467,'SALES Raw'!$J$6:$J$4467,$J551,'SALES Raw'!$K$6:$K$4467,"Y")+SUMIFS('CEMIUP0.9 Raw'!$E$6:$E$1712,'CEMIUP0.9 Raw'!$B$6:$B$1712,$J551,'CEMIUP0.9 Raw'!$H$6:$H$1712,"Y")</f>
        <v>0</v>
      </c>
      <c r="F551" s="19" t="n">
        <f aca="false">SUMIFS('SALES Raw'!$E$6:$E$4467,'SALES Raw'!$J$6:$J$4467,$J551,'SALES Raw'!$K$6:$K$4467,"Y")*$H$4+SUMIFS('CEMIUP0.9 Raw'!$F$6:$F$1712,'CEMIUP0.9 Raw'!$B$6:$B$1712,$J551,'CEMIUP0.9 Raw'!$H$6:$H$1712,"Y")</f>
        <v>7.57894736842106</v>
      </c>
      <c r="G551" s="19" t="n">
        <f aca="false">SUMIFS('SALES Raw'!$F$6:$F$4467,'SALES Raw'!$J$6:$J$4467,$J551,'SALES Raw'!$K$6:$K$4467,"Y")*$H$4+SUMIFS('CEMIUP0.9 Raw'!$G$6:$G$1712,'CEMIUP0.9 Raw'!$B$6:$B$1712,$J551,'CEMIUP0.9 Raw'!$H$6:$H$1712,"Y")</f>
        <v>624.858947368422</v>
      </c>
      <c r="H551" s="18" t="s">
        <v>43</v>
      </c>
      <c r="I551" s="18" t="s">
        <v>44</v>
      </c>
      <c r="J551" s="18" t="s">
        <v>172</v>
      </c>
    </row>
    <row r="552" customFormat="false" ht="15" hidden="false" customHeight="false" outlineLevel="0" collapsed="false">
      <c r="A552" s="18" t="n">
        <f aca="false">IF(ISNUMBER($J552),$J552,"")</f>
        <v>4413286</v>
      </c>
      <c r="B552" s="18" t="str">
        <f aca="false">IFERROR(INDEX('SALES Raw'!$B$6:$B$4467,MATCH($J552,'SALES Raw'!$J$6:$J$4467,0)),IFERROR(INDEX('CEMIUP0.9 Raw'!$B$6:$B$1712,MATCH($J552,'CEMIUP0.9 Raw'!$B$6:$B$1712,0)),$J552))</f>
        <v>T45 XXL</v>
      </c>
      <c r="C552" s="18" t="str">
        <f aca="false">IF(ISNUMBER($J552),IFERROR(INDEX('TRANS'!$C:$C,MATCH($J552,'TRANS'!$B:$B,0)),IFERROR(INDEX('Catalog'!$B:$B,MATCH($J552,'Catalog'!$A:$A,0)),$B552)),$B552)</f>
        <v>T45 XXL מגן ברך רגיל</v>
      </c>
      <c r="D552" s="19" t="n">
        <f aca="false">SUMIFS('SALES Raw'!$C$6:$C$4467,'SALES Raw'!$J$6:$J$4467,$J552,'SALES Raw'!$K$6:$K$4467,"Y")+SUMIFS('CEMIUP0.9 Raw'!$D$6:$D$1712,'CEMIUP0.9 Raw'!$B$6:$B$1712,$J552,'CEMIUP0.9 Raw'!$H$6:$H$1712,"Y")</f>
        <v>3</v>
      </c>
      <c r="E552" s="19" t="n">
        <f aca="false">SUMIFS('SALES Raw'!$D$6:$D$4467,'SALES Raw'!$J$6:$J$4467,$J552,'SALES Raw'!$K$6:$K$4467,"Y")+SUMIFS('CEMIUP0.9 Raw'!$E$6:$E$1712,'CEMIUP0.9 Raw'!$B$6:$B$1712,$J552,'CEMIUP0.9 Raw'!$H$6:$H$1712,"Y")</f>
        <v>485.14</v>
      </c>
      <c r="F552" s="19" t="n">
        <f aca="false">SUMIFS('SALES Raw'!$E$6:$E$4467,'SALES Raw'!$J$6:$J$4467,$J552,'SALES Raw'!$K$6:$K$4467,"Y")*$H$4+SUMIFS('CEMIUP0.9 Raw'!$F$6:$F$1712,'CEMIUP0.9 Raw'!$B$6:$B$1712,$J552,'CEMIUP0.9 Raw'!$H$6:$H$1712,"Y")</f>
        <v>7.57894736842106</v>
      </c>
      <c r="G552" s="19" t="n">
        <f aca="false">SUMIFS('SALES Raw'!$F$6:$F$4467,'SALES Raw'!$J$6:$J$4467,$J552,'SALES Raw'!$K$6:$K$4467,"Y")*$H$4+SUMIFS('CEMIUP0.9 Raw'!$G$6:$G$1712,'CEMIUP0.9 Raw'!$B$6:$B$1712,$J552,'CEMIUP0.9 Raw'!$H$6:$H$1712,"Y")</f>
        <v>949.225263157895</v>
      </c>
      <c r="H552" s="18" t="s">
        <v>43</v>
      </c>
      <c r="I552" s="18" t="s">
        <v>42</v>
      </c>
      <c r="J552" s="18" t="n">
        <v>4413286</v>
      </c>
    </row>
    <row r="553" customFormat="false" ht="15" hidden="false" customHeight="false" outlineLevel="0" collapsed="false">
      <c r="A553" s="18" t="n">
        <f aca="false">IF(ISNUMBER($J553),$J553,"")</f>
        <v>4408014</v>
      </c>
      <c r="B553" s="18" t="str">
        <f aca="false">IFERROR(INDEX('SALES Raw'!$B$6:$B$4467,MATCH($J553,'SALES Raw'!$J$6:$J$4467,0)),IFERROR(INDEX('CEMIUP0.9 Raw'!$B$6:$B$1712,MATCH($J553,'CEMIUP0.9 Raw'!$B$6:$B$1712,0)),$J553))</f>
        <v>07AU S</v>
      </c>
      <c r="C553" s="18" t="str">
        <f aca="false">IF(ISNUMBER($J553),IFERROR(INDEX('TRANS'!$C:$C,MATCH($J553,'TRANS'!$B:$B,0)),IFERROR(INDEX('Catalog'!$B:$B,MATCH($J553,'Catalog'!$A:$A,0)),$B553)),$B553)</f>
        <v>07AU S ח.גב """"איטלקית"""" אורירית</v>
      </c>
      <c r="D553" s="19" t="n">
        <f aca="false">SUMIFS('SALES Raw'!$C$6:$C$4467,'SALES Raw'!$J$6:$J$4467,$J553,'SALES Raw'!$K$6:$K$4467,"Y")+SUMIFS('CEMIUP0.9 Raw'!$D$6:$D$1712,'CEMIUP0.9 Raw'!$B$6:$B$1712,$J553,'CEMIUP0.9 Raw'!$H$6:$H$1712,"Y")</f>
        <v>7</v>
      </c>
      <c r="E553" s="19" t="n">
        <f aca="false">SUMIFS('SALES Raw'!$D$6:$D$4467,'SALES Raw'!$J$6:$J$4467,$J553,'SALES Raw'!$K$6:$K$4467,"Y")+SUMIFS('CEMIUP0.9 Raw'!$E$6:$E$1712,'CEMIUP0.9 Raw'!$B$6:$B$1712,$J553,'CEMIUP0.9 Raw'!$H$6:$H$1712,"Y")</f>
        <v>1291.784</v>
      </c>
      <c r="F553" s="19" t="n">
        <f aca="false">SUMIFS('SALES Raw'!$E$6:$E$4467,'SALES Raw'!$J$6:$J$4467,$J553,'SALES Raw'!$K$6:$K$4467,"Y")*$H$4+SUMIFS('CEMIUP0.9 Raw'!$F$6:$F$1712,'CEMIUP0.9 Raw'!$B$6:$B$1712,$J553,'CEMIUP0.9 Raw'!$H$6:$H$1712,"Y")</f>
        <v>7.57894736842105</v>
      </c>
      <c r="G553" s="19" t="n">
        <f aca="false">SUMIFS('SALES Raw'!$F$6:$F$4467,'SALES Raw'!$J$6:$J$4467,$J553,'SALES Raw'!$K$6:$K$4467,"Y")*$H$4+SUMIFS('CEMIUP0.9 Raw'!$G$6:$G$1712,'CEMIUP0.9 Raw'!$B$6:$B$1712,$J553,'CEMIUP0.9 Raw'!$H$6:$H$1712,"Y")</f>
        <v>1843.93768421053</v>
      </c>
      <c r="H553" s="18" t="s">
        <v>48</v>
      </c>
      <c r="I553" s="18" t="s">
        <v>44</v>
      </c>
      <c r="J553" s="18" t="n">
        <v>4408014</v>
      </c>
    </row>
    <row r="554" customFormat="false" ht="15" hidden="false" customHeight="false" outlineLevel="0" collapsed="false">
      <c r="A554" s="18" t="str">
        <f aca="false">IF(ISNUMBER($J554),$J554,"")</f>
        <v/>
      </c>
      <c r="B554" s="18" t="str">
        <f aca="false">IFERROR(INDEX('SALES Raw'!$B$6:$B$4467,MATCH($J554,'SALES Raw'!$J$6:$J$4467,0)),IFERROR(INDEX('CEMIUP0.9 Raw'!$B$6:$B$1712,MATCH($J554,'CEMIUP0.9 Raw'!$B$6:$B$1712,0)),$J554))</f>
        <v>30 M</v>
      </c>
      <c r="C554" s="18" t="str">
        <f aca="false">IF(ISNUMBER($J554),IFERROR(INDEX('TRANS'!$C:$C,MATCH($J554,'TRANS'!$B:$B,0)),IFERROR(INDEX('Catalog'!$B:$B,MATCH($J554,'Catalog'!$A:$A,0)),$B554)),$B554)</f>
        <v>30 M</v>
      </c>
      <c r="D554" s="19" t="n">
        <f aca="false">SUMIFS('SALES Raw'!$C$6:$C$4467,'SALES Raw'!$J$6:$J$4467,$J554,'SALES Raw'!$K$6:$K$4467,"Y")+SUMIFS('CEMIUP0.9 Raw'!$D$6:$D$1712,'CEMIUP0.9 Raw'!$B$6:$B$1712,$J554,'CEMIUP0.9 Raw'!$H$6:$H$1712,"Y")</f>
        <v>5</v>
      </c>
      <c r="E554" s="19" t="n">
        <f aca="false">SUMIFS('SALES Raw'!$D$6:$D$4467,'SALES Raw'!$J$6:$J$4467,$J554,'SALES Raw'!$K$6:$K$4467,"Y")+SUMIFS('CEMIUP0.9 Raw'!$E$6:$E$1712,'CEMIUP0.9 Raw'!$B$6:$B$1712,$J554,'CEMIUP0.9 Raw'!$H$6:$H$1712,"Y")</f>
        <v>372.99</v>
      </c>
      <c r="F554" s="19" t="n">
        <f aca="false">SUMIFS('SALES Raw'!$E$6:$E$4467,'SALES Raw'!$J$6:$J$4467,$J554,'SALES Raw'!$K$6:$K$4467,"Y")*$H$4+SUMIFS('CEMIUP0.9 Raw'!$F$6:$F$1712,'CEMIUP0.9 Raw'!$B$6:$B$1712,$J554,'CEMIUP0.9 Raw'!$H$6:$H$1712,"Y")</f>
        <v>7.57894736842105</v>
      </c>
      <c r="G554" s="19" t="n">
        <f aca="false">SUMIFS('SALES Raw'!$F$6:$F$4467,'SALES Raw'!$J$6:$J$4467,$J554,'SALES Raw'!$K$6:$K$4467,"Y")*$H$4+SUMIFS('CEMIUP0.9 Raw'!$G$6:$G$1712,'CEMIUP0.9 Raw'!$B$6:$B$1712,$J554,'CEMIUP0.9 Raw'!$H$6:$H$1712,"Y")</f>
        <v>782.741052631579</v>
      </c>
      <c r="H554" s="18" t="s">
        <v>42</v>
      </c>
      <c r="I554" s="18" t="s">
        <v>46</v>
      </c>
      <c r="J554" s="18" t="s">
        <v>173</v>
      </c>
    </row>
    <row r="555" customFormat="false" ht="15" hidden="false" customHeight="false" outlineLevel="0" collapsed="false">
      <c r="A555" s="18" t="str">
        <f aca="false">IF(ISNUMBER($J555),$J555,"")</f>
        <v/>
      </c>
      <c r="B555" s="18" t="str">
        <f aca="false">IFERROR(INDEX('SALES Raw'!$B$6:$B$4467,MATCH($J555,'SALES Raw'!$J$6:$J$4467,0)),IFERROR(INDEX('CEMIUP0.9 Raw'!$B$6:$B$1712,MATCH($J555,'CEMIUP0.9 Raw'!$B$6:$B$1712,0)),$J555))</f>
        <v>13 M</v>
      </c>
      <c r="C555" s="18" t="str">
        <f aca="false">IF(ISNUMBER($J555),IFERROR(INDEX('TRANS'!$C:$C,MATCH($J555,'TRANS'!$B:$B,0)),IFERROR(INDEX('Catalog'!$B:$B,MATCH($J555,'Catalog'!$A:$A,0)),$B555)),$B555)</f>
        <v>13 M</v>
      </c>
      <c r="D555" s="19" t="n">
        <f aca="false">SUMIFS('SALES Raw'!$C$6:$C$4467,'SALES Raw'!$J$6:$J$4467,$J555,'SALES Raw'!$K$6:$K$4467,"Y")+SUMIFS('CEMIUP0.9 Raw'!$D$6:$D$1712,'CEMIUP0.9 Raw'!$B$6:$B$1712,$J555,'CEMIUP0.9 Raw'!$H$6:$H$1712,"Y")</f>
        <v>3</v>
      </c>
      <c r="E555" s="19" t="n">
        <f aca="false">SUMIFS('SALES Raw'!$D$6:$D$4467,'SALES Raw'!$J$6:$J$4467,$J555,'SALES Raw'!$K$6:$K$4467,"Y")+SUMIFS('CEMIUP0.9 Raw'!$E$6:$E$1712,'CEMIUP0.9 Raw'!$B$6:$B$1712,$J555,'CEMIUP0.9 Raw'!$H$6:$H$1712,"Y")</f>
        <v>485</v>
      </c>
      <c r="F555" s="19" t="n">
        <f aca="false">SUMIFS('SALES Raw'!$E$6:$E$4467,'SALES Raw'!$J$6:$J$4467,$J555,'SALES Raw'!$K$6:$K$4467,"Y")*$H$4+SUMIFS('CEMIUP0.9 Raw'!$F$6:$F$1712,'CEMIUP0.9 Raw'!$B$6:$B$1712,$J555,'CEMIUP0.9 Raw'!$H$6:$H$1712,"Y")</f>
        <v>7.57894736842105</v>
      </c>
      <c r="G555" s="19" t="n">
        <f aca="false">SUMIFS('SALES Raw'!$F$6:$F$4467,'SALES Raw'!$J$6:$J$4467,$J555,'SALES Raw'!$K$6:$K$4467,"Y")*$H$4+SUMIFS('CEMIUP0.9 Raw'!$G$6:$G$1712,'CEMIUP0.9 Raw'!$B$6:$B$1712,$J555,'CEMIUP0.9 Raw'!$H$6:$H$1712,"Y")</f>
        <v>1918.38315789474</v>
      </c>
      <c r="H555" s="18" t="s">
        <v>42</v>
      </c>
      <c r="I555" s="18" t="s">
        <v>46</v>
      </c>
      <c r="J555" s="18" t="s">
        <v>174</v>
      </c>
    </row>
    <row r="556" customFormat="false" ht="15" hidden="false" customHeight="false" outlineLevel="0" collapsed="false">
      <c r="A556" s="18" t="n">
        <f aca="false">IF(ISNUMBER($J556),$J556,"")</f>
        <v>4413180</v>
      </c>
      <c r="B556" s="18" t="str">
        <f aca="false">IFERROR(INDEX('SALES Raw'!$B$6:$B$4467,MATCH($J556,'SALES Raw'!$J$6:$J$4467,0)),IFERROR(INDEX('CEMIUP0.9 Raw'!$B$6:$B$1712,MATCH($J556,'CEMIUP0.9 Raw'!$B$6:$B$1712,0)),$J556))</f>
        <v>T39 S</v>
      </c>
      <c r="C556" s="18" t="str">
        <f aca="false">IF(ISNUMBER($J556),IFERROR(INDEX('TRANS'!$C:$C,MATCH($J556,'TRANS'!$B:$B,0)),IFERROR(INDEX('Catalog'!$B:$B,MATCH($J556,'Catalog'!$A:$A,0)),$B556)),$B556)</f>
        <v>T39  S מגן שוק</v>
      </c>
      <c r="D556" s="19" t="n">
        <f aca="false">SUMIFS('SALES Raw'!$C$6:$C$4467,'SALES Raw'!$J$6:$J$4467,$J556,'SALES Raw'!$K$6:$K$4467,"Y")+SUMIFS('CEMIUP0.9 Raw'!$D$6:$D$1712,'CEMIUP0.9 Raw'!$B$6:$B$1712,$J556,'CEMIUP0.9 Raw'!$H$6:$H$1712,"Y")</f>
        <v>6</v>
      </c>
      <c r="E556" s="19" t="n">
        <f aca="false">SUMIFS('SALES Raw'!$D$6:$D$4467,'SALES Raw'!$J$6:$J$4467,$J556,'SALES Raw'!$K$6:$K$4467,"Y")+SUMIFS('CEMIUP0.9 Raw'!$E$6:$E$1712,'CEMIUP0.9 Raw'!$B$6:$B$1712,$J556,'CEMIUP0.9 Raw'!$H$6:$H$1712,"Y")</f>
        <v>635.15</v>
      </c>
      <c r="F556" s="19" t="n">
        <f aca="false">SUMIFS('SALES Raw'!$E$6:$E$4467,'SALES Raw'!$J$6:$J$4467,$J556,'SALES Raw'!$K$6:$K$4467,"Y")*$H$4+SUMIFS('CEMIUP0.9 Raw'!$F$6:$F$1712,'CEMIUP0.9 Raw'!$B$6:$B$1712,$J556,'CEMIUP0.9 Raw'!$H$6:$H$1712,"Y")</f>
        <v>7.57894736842105</v>
      </c>
      <c r="G556" s="19" t="n">
        <f aca="false">SUMIFS('SALES Raw'!$F$6:$F$4467,'SALES Raw'!$J$6:$J$4467,$J556,'SALES Raw'!$K$6:$K$4467,"Y")*$H$4+SUMIFS('CEMIUP0.9 Raw'!$G$6:$G$1712,'CEMIUP0.9 Raw'!$B$6:$B$1712,$J556,'CEMIUP0.9 Raw'!$H$6:$H$1712,"Y")</f>
        <v>908.538947368421</v>
      </c>
      <c r="H556" s="18" t="s">
        <v>44</v>
      </c>
      <c r="I556" s="18" t="s">
        <v>46</v>
      </c>
      <c r="J556" s="18" t="n">
        <v>4413180</v>
      </c>
    </row>
    <row r="557" customFormat="false" ht="15" hidden="false" customHeight="false" outlineLevel="0" collapsed="false">
      <c r="A557" s="18" t="str">
        <f aca="false">IF(ISNUMBER($J557),$J557,"")</f>
        <v/>
      </c>
      <c r="B557" s="18" t="str">
        <f aca="false">IFERROR(INDEX('SALES Raw'!$B$6:$B$4467,MATCH($J557,'SALES Raw'!$J$6:$J$4467,0)),IFERROR(INDEX('CEMIUP0.9 Raw'!$B$6:$B$1712,MATCH($J557,'CEMIUP0.9 Raw'!$B$6:$B$1712,0)),$J557))</f>
        <v>922 M</v>
      </c>
      <c r="C557" s="18" t="str">
        <f aca="false">IF(ISNUMBER($J557),IFERROR(INDEX('TRANS'!$C:$C,MATCH($J557,'TRANS'!$B:$B,0)),IFERROR(INDEX('Catalog'!$B:$B,MATCH($J557,'Catalog'!$A:$A,0)),$B557)),$B557)</f>
        <v>922 M</v>
      </c>
      <c r="D557" s="19" t="n">
        <f aca="false">SUMIFS('SALES Raw'!$C$6:$C$4467,'SALES Raw'!$J$6:$J$4467,$J557,'SALES Raw'!$K$6:$K$4467,"Y")+SUMIFS('CEMIUP0.9 Raw'!$D$6:$D$1712,'CEMIUP0.9 Raw'!$B$6:$B$1712,$J557,'CEMIUP0.9 Raw'!$H$6:$H$1712,"Y")</f>
        <v>7</v>
      </c>
      <c r="E557" s="19" t="n">
        <f aca="false">SUMIFS('SALES Raw'!$D$6:$D$4467,'SALES Raw'!$J$6:$J$4467,$J557,'SALES Raw'!$K$6:$K$4467,"Y")+SUMIFS('CEMIUP0.9 Raw'!$E$6:$E$1712,'CEMIUP0.9 Raw'!$B$6:$B$1712,$J557,'CEMIUP0.9 Raw'!$H$6:$H$1712,"Y")</f>
        <v>1064.65</v>
      </c>
      <c r="F557" s="19" t="n">
        <f aca="false">SUMIFS('SALES Raw'!$E$6:$E$4467,'SALES Raw'!$J$6:$J$4467,$J557,'SALES Raw'!$K$6:$K$4467,"Y")*$H$4+SUMIFS('CEMIUP0.9 Raw'!$F$6:$F$1712,'CEMIUP0.9 Raw'!$B$6:$B$1712,$J557,'CEMIUP0.9 Raw'!$H$6:$H$1712,"Y")</f>
        <v>7.57894736842105</v>
      </c>
      <c r="G557" s="19" t="n">
        <f aca="false">SUMIFS('SALES Raw'!$F$6:$F$4467,'SALES Raw'!$J$6:$J$4467,$J557,'SALES Raw'!$K$6:$K$4467,"Y")*$H$4+SUMIFS('CEMIUP0.9 Raw'!$G$6:$G$1712,'CEMIUP0.9 Raw'!$B$6:$B$1712,$J557,'CEMIUP0.9 Raw'!$H$6:$H$1712,"Y")</f>
        <v>1378.24421052632</v>
      </c>
      <c r="H557" s="18" t="s">
        <v>42</v>
      </c>
      <c r="I557" s="18" t="s">
        <v>44</v>
      </c>
      <c r="J557" s="18" t="s">
        <v>175</v>
      </c>
    </row>
    <row r="558" customFormat="false" ht="15" hidden="false" customHeight="false" outlineLevel="0" collapsed="false">
      <c r="A558" s="18" t="str">
        <f aca="false">IF(ISNUMBER($J558),$J558,"")</f>
        <v/>
      </c>
      <c r="B558" s="18" t="str">
        <f aca="false">IFERROR(INDEX('SALES Raw'!$B$6:$B$4467,MATCH($J558,'SALES Raw'!$J$6:$J$4467,0)),IFERROR(INDEX('CEMIUP0.9 Raw'!$B$6:$B$1712,MATCH($J558,'CEMIUP0.9 Raw'!$B$6:$B$1712,0)),$J558))</f>
        <v>377-41</v>
      </c>
      <c r="C558" s="18" t="str">
        <f aca="false">IF(ISNUMBER($J558),IFERROR(INDEX('TRANS'!$C:$C,MATCH($J558,'TRANS'!$B:$B,0)),IFERROR(INDEX('Catalog'!$B:$B,MATCH($J558,'Catalog'!$A:$A,0)),$B558)),$B558)</f>
        <v>377-41</v>
      </c>
      <c r="D558" s="19" t="n">
        <f aca="false">SUMIFS('SALES Raw'!$C$6:$C$4467,'SALES Raw'!$J$6:$J$4467,$J558,'SALES Raw'!$K$6:$K$4467,"Y")+SUMIFS('CEMIUP0.9 Raw'!$D$6:$D$1712,'CEMIUP0.9 Raw'!$B$6:$B$1712,$J558,'CEMIUP0.9 Raw'!$H$6:$H$1712,"Y")</f>
        <v>0</v>
      </c>
      <c r="E558" s="19" t="n">
        <f aca="false">SUMIFS('SALES Raw'!$D$6:$D$4467,'SALES Raw'!$J$6:$J$4467,$J558,'SALES Raw'!$K$6:$K$4467,"Y")+SUMIFS('CEMIUP0.9 Raw'!$E$6:$E$1712,'CEMIUP0.9 Raw'!$B$6:$B$1712,$J558,'CEMIUP0.9 Raw'!$H$6:$H$1712,"Y")</f>
        <v>0</v>
      </c>
      <c r="F558" s="19" t="n">
        <f aca="false">SUMIFS('SALES Raw'!$E$6:$E$4467,'SALES Raw'!$J$6:$J$4467,$J558,'SALES Raw'!$K$6:$K$4467,"Y")*$H$4+SUMIFS('CEMIUP0.9 Raw'!$F$6:$F$1712,'CEMIUP0.9 Raw'!$B$6:$B$1712,$J558,'CEMIUP0.9 Raw'!$H$6:$H$1712,"Y")</f>
        <v>7.57894736842105</v>
      </c>
      <c r="G558" s="19" t="n">
        <f aca="false">SUMIFS('SALES Raw'!$F$6:$F$4467,'SALES Raw'!$J$6:$J$4467,$J558,'SALES Raw'!$K$6:$K$4467,"Y")*$H$4+SUMIFS('CEMIUP0.9 Raw'!$G$6:$G$1712,'CEMIUP0.9 Raw'!$B$6:$B$1712,$J558,'CEMIUP0.9 Raw'!$H$6:$H$1712,"Y")</f>
        <v>322.913684210526</v>
      </c>
      <c r="H558" s="18" t="s">
        <v>46</v>
      </c>
      <c r="I558" s="18"/>
      <c r="J558" s="18" t="s">
        <v>176</v>
      </c>
    </row>
    <row r="559" customFormat="false" ht="15" hidden="false" customHeight="false" outlineLevel="0" collapsed="false">
      <c r="A559" s="18" t="str">
        <f aca="false">IF(ISNUMBER($J559),$J559,"")</f>
        <v/>
      </c>
      <c r="B559" s="18" t="str">
        <f aca="false">IFERROR(INDEX('SALES Raw'!$B$6:$B$4467,MATCH($J559,'SALES Raw'!$J$6:$J$4467,0)),IFERROR(INDEX('CEMIUP0.9 Raw'!$B$6:$B$1712,MATCH($J559,'CEMIUP0.9 Raw'!$B$6:$B$1712,0)),$J559))</f>
        <v>LUPD344 0</v>
      </c>
      <c r="C559" s="18" t="str">
        <f aca="false">IF(ISNUMBER($J559),IFERROR(INDEX('TRANS'!$C:$C,MATCH($J559,'TRANS'!$B:$B,0)),IFERROR(INDEX('Catalog'!$B:$B,MATCH($J559,'Catalog'!$A:$A,0)),$B559)),$B559)</f>
        <v>LUPD344 0</v>
      </c>
      <c r="D559" s="19" t="n">
        <f aca="false">SUMIFS('SALES Raw'!$C$6:$C$4467,'SALES Raw'!$J$6:$J$4467,$J559,'SALES Raw'!$K$6:$K$4467,"Y")+SUMIFS('CEMIUP0.9 Raw'!$D$6:$D$1712,'CEMIUP0.9 Raw'!$B$6:$B$1712,$J559,'CEMIUP0.9 Raw'!$H$6:$H$1712,"Y")</f>
        <v>0</v>
      </c>
      <c r="E559" s="19" t="n">
        <f aca="false">SUMIFS('SALES Raw'!$D$6:$D$4467,'SALES Raw'!$J$6:$J$4467,$J559,'SALES Raw'!$K$6:$K$4467,"Y")+SUMIFS('CEMIUP0.9 Raw'!$E$6:$E$1712,'CEMIUP0.9 Raw'!$B$6:$B$1712,$J559,'CEMIUP0.9 Raw'!$H$6:$H$1712,"Y")</f>
        <v>0</v>
      </c>
      <c r="F559" s="19" t="n">
        <f aca="false">SUMIFS('SALES Raw'!$E$6:$E$4467,'SALES Raw'!$J$6:$J$4467,$J559,'SALES Raw'!$K$6:$K$4467,"Y")*$H$4+SUMIFS('CEMIUP0.9 Raw'!$F$6:$F$1712,'CEMIUP0.9 Raw'!$B$6:$B$1712,$J559,'CEMIUP0.9 Raw'!$H$6:$H$1712,"Y")</f>
        <v>7.57894736842105</v>
      </c>
      <c r="G559" s="19" t="n">
        <f aca="false">SUMIFS('SALES Raw'!$F$6:$F$4467,'SALES Raw'!$J$6:$J$4467,$J559,'SALES Raw'!$K$6:$K$4467,"Y")*$H$4+SUMIFS('CEMIUP0.9 Raw'!$G$6:$G$1712,'CEMIUP0.9 Raw'!$B$6:$B$1712,$J559,'CEMIUP0.9 Raw'!$H$6:$H$1712,"Y")</f>
        <v>31.8947368421053</v>
      </c>
      <c r="H559" s="18" t="s">
        <v>46</v>
      </c>
      <c r="I559" s="18"/>
      <c r="J559" s="18" t="s">
        <v>177</v>
      </c>
    </row>
    <row r="560" customFormat="false" ht="15" hidden="false" customHeight="false" outlineLevel="0" collapsed="false">
      <c r="A560" s="18" t="str">
        <f aca="false">IF(ISNUMBER($J560),$J560,"")</f>
        <v/>
      </c>
      <c r="B560" s="18" t="str">
        <f aca="false">IFERROR(INDEX('SALES Raw'!$B$6:$B$4467,MATCH($J560,'SALES Raw'!$J$6:$J$4467,0)),IFERROR(INDEX('CEMIUP0.9 Raw'!$B$6:$B$1712,MATCH($J560,'CEMIUP0.9 Raw'!$B$6:$B$1712,0)),$J560))</f>
        <v>26 XS</v>
      </c>
      <c r="C560" s="18" t="str">
        <f aca="false">IF(ISNUMBER($J560),IFERROR(INDEX('TRANS'!$C:$C,MATCH($J560,'TRANS'!$B:$B,0)),IFERROR(INDEX('Catalog'!$B:$B,MATCH($J560,'Catalog'!$A:$A,0)),$B560)),$B560)</f>
        <v>26 XS</v>
      </c>
      <c r="D560" s="19" t="n">
        <f aca="false">SUMIFS('SALES Raw'!$C$6:$C$4467,'SALES Raw'!$J$6:$J$4467,$J560,'SALES Raw'!$K$6:$K$4467,"Y")+SUMIFS('CEMIUP0.9 Raw'!$D$6:$D$1712,'CEMIUP0.9 Raw'!$B$6:$B$1712,$J560,'CEMIUP0.9 Raw'!$H$6:$H$1712,"Y")</f>
        <v>3</v>
      </c>
      <c r="E560" s="19" t="n">
        <f aca="false">SUMIFS('SALES Raw'!$D$6:$D$4467,'SALES Raw'!$J$6:$J$4467,$J560,'SALES Raw'!$K$6:$K$4467,"Y")+SUMIFS('CEMIUP0.9 Raw'!$E$6:$E$1712,'CEMIUP0.9 Raw'!$B$6:$B$1712,$J560,'CEMIUP0.9 Raw'!$H$6:$H$1712,"Y")</f>
        <v>377.24</v>
      </c>
      <c r="F560" s="19" t="n">
        <f aca="false">SUMIFS('SALES Raw'!$E$6:$E$4467,'SALES Raw'!$J$6:$J$4467,$J560,'SALES Raw'!$K$6:$K$4467,"Y")*$H$4+SUMIFS('CEMIUP0.9 Raw'!$F$6:$F$1712,'CEMIUP0.9 Raw'!$B$6:$B$1712,$J560,'CEMIUP0.9 Raw'!$H$6:$H$1712,"Y")</f>
        <v>7.57894736842105</v>
      </c>
      <c r="G560" s="19" t="n">
        <f aca="false">SUMIFS('SALES Raw'!$F$6:$F$4467,'SALES Raw'!$J$6:$J$4467,$J560,'SALES Raw'!$K$6:$K$4467,"Y")*$H$4+SUMIFS('CEMIUP0.9 Raw'!$G$6:$G$1712,'CEMIUP0.9 Raw'!$B$6:$B$1712,$J560,'CEMIUP0.9 Raw'!$H$6:$H$1712,"Y")</f>
        <v>1178.45052631579</v>
      </c>
      <c r="H560" s="18" t="s">
        <v>42</v>
      </c>
      <c r="I560" s="18" t="s">
        <v>53</v>
      </c>
      <c r="J560" s="18" t="s">
        <v>178</v>
      </c>
    </row>
    <row r="561" customFormat="false" ht="15" hidden="false" customHeight="false" outlineLevel="0" collapsed="false">
      <c r="A561" s="18" t="str">
        <f aca="false">IF(ISNUMBER($J561),$J561,"")</f>
        <v/>
      </c>
      <c r="B561" s="18" t="str">
        <f aca="false">IFERROR(INDEX('SALES Raw'!$B$6:$B$4467,MATCH($J561,'SALES Raw'!$J$6:$J$4467,0)),IFERROR(INDEX('CEMIUP0.9 Raw'!$B$6:$B$1712,MATCH($J561,'CEMIUP0.9 Raw'!$B$6:$B$1712,0)),$J561))</f>
        <v>322 M</v>
      </c>
      <c r="C561" s="18" t="str">
        <f aca="false">IF(ISNUMBER($J561),IFERROR(INDEX('TRANS'!$C:$C,MATCH($J561,'TRANS'!$B:$B,0)),IFERROR(INDEX('Catalog'!$B:$B,MATCH($J561,'Catalog'!$A:$A,0)),$B561)),$B561)</f>
        <v>322 M</v>
      </c>
      <c r="D561" s="19" t="n">
        <f aca="false">SUMIFS('SALES Raw'!$C$6:$C$4467,'SALES Raw'!$J$6:$J$4467,$J561,'SALES Raw'!$K$6:$K$4467,"Y")+SUMIFS('CEMIUP0.9 Raw'!$D$6:$D$1712,'CEMIUP0.9 Raw'!$B$6:$B$1712,$J561,'CEMIUP0.9 Raw'!$H$6:$H$1712,"Y")</f>
        <v>4</v>
      </c>
      <c r="E561" s="19" t="n">
        <f aca="false">SUMIFS('SALES Raw'!$D$6:$D$4467,'SALES Raw'!$J$6:$J$4467,$J561,'SALES Raw'!$K$6:$K$4467,"Y")+SUMIFS('CEMIUP0.9 Raw'!$E$6:$E$1712,'CEMIUP0.9 Raw'!$B$6:$B$1712,$J561,'CEMIUP0.9 Raw'!$H$6:$H$1712,"Y")</f>
        <v>279.99</v>
      </c>
      <c r="F561" s="19" t="n">
        <f aca="false">SUMIFS('SALES Raw'!$E$6:$E$4467,'SALES Raw'!$J$6:$J$4467,$J561,'SALES Raw'!$K$6:$K$4467,"Y")*$H$4+SUMIFS('CEMIUP0.9 Raw'!$F$6:$F$1712,'CEMIUP0.9 Raw'!$B$6:$B$1712,$J561,'CEMIUP0.9 Raw'!$H$6:$H$1712,"Y")</f>
        <v>7.57894736842105</v>
      </c>
      <c r="G561" s="19" t="n">
        <f aca="false">SUMIFS('SALES Raw'!$F$6:$F$4467,'SALES Raw'!$J$6:$J$4467,$J561,'SALES Raw'!$K$6:$K$4467,"Y")*$H$4+SUMIFS('CEMIUP0.9 Raw'!$G$6:$G$1712,'CEMIUP0.9 Raw'!$B$6:$B$1712,$J561,'CEMIUP0.9 Raw'!$H$6:$H$1712,"Y")</f>
        <v>530.501052631579</v>
      </c>
      <c r="H561" s="18" t="s">
        <v>44</v>
      </c>
      <c r="I561" s="18"/>
      <c r="J561" s="18" t="s">
        <v>179</v>
      </c>
    </row>
    <row r="562" customFormat="false" ht="15" hidden="false" customHeight="false" outlineLevel="0" collapsed="false">
      <c r="A562" s="18" t="str">
        <f aca="false">IF(ISNUMBER($J562),$J562,"")</f>
        <v/>
      </c>
      <c r="B562" s="18" t="str">
        <f aca="false">IFERROR(INDEX('SALES Raw'!$B$6:$B$4467,MATCH($J562,'SALES Raw'!$J$6:$J$4467,0)),IFERROR(INDEX('CEMIUP0.9 Raw'!$B$6:$B$1712,MATCH($J562,'CEMIUP0.9 Raw'!$B$6:$B$1712,0)),$J562))</f>
        <v>WEB-AC75 XXL</v>
      </c>
      <c r="C562" s="18" t="str">
        <f aca="false">IF(ISNUMBER($J562),IFERROR(INDEX('TRANS'!$C:$C,MATCH($J562,'TRANS'!$B:$B,0)),IFERROR(INDEX('Catalog'!$B:$B,MATCH($J562,'Catalog'!$A:$A,0)),$B562)),$B562)</f>
        <v>WEB-AC75 XXL</v>
      </c>
      <c r="D562" s="19" t="n">
        <f aca="false">SUMIFS('SALES Raw'!$C$6:$C$4467,'SALES Raw'!$J$6:$J$4467,$J562,'SALES Raw'!$K$6:$K$4467,"Y")+SUMIFS('CEMIUP0.9 Raw'!$D$6:$D$1712,'CEMIUP0.9 Raw'!$B$6:$B$1712,$J562,'CEMIUP0.9 Raw'!$H$6:$H$1712,"Y")</f>
        <v>342</v>
      </c>
      <c r="E562" s="19" t="n">
        <f aca="false">SUMIFS('SALES Raw'!$D$6:$D$4467,'SALES Raw'!$J$6:$J$4467,$J562,'SALES Raw'!$K$6:$K$4467,"Y")+SUMIFS('CEMIUP0.9 Raw'!$E$6:$E$1712,'CEMIUP0.9 Raw'!$B$6:$B$1712,$J562,'CEMIUP0.9 Raw'!$H$6:$H$1712,"Y")</f>
        <v>45417.98</v>
      </c>
      <c r="F562" s="19" t="n">
        <f aca="false">SUMIFS('SALES Raw'!$E$6:$E$4467,'SALES Raw'!$J$6:$J$4467,$J562,'SALES Raw'!$K$6:$K$4467,"Y")*$H$4+SUMIFS('CEMIUP0.9 Raw'!$F$6:$F$1712,'CEMIUP0.9 Raw'!$B$6:$B$1712,$J562,'CEMIUP0.9 Raw'!$H$6:$H$1712,"Y")</f>
        <v>7.57894736842105</v>
      </c>
      <c r="G562" s="19" t="n">
        <f aca="false">SUMIFS('SALES Raw'!$F$6:$F$4467,'SALES Raw'!$J$6:$J$4467,$J562,'SALES Raw'!$K$6:$K$4467,"Y")*$H$4+SUMIFS('CEMIUP0.9 Raw'!$G$6:$G$1712,'CEMIUP0.9 Raw'!$B$6:$B$1712,$J562,'CEMIUP0.9 Raw'!$H$6:$H$1712,"Y")</f>
        <v>927.524210526316</v>
      </c>
      <c r="H562" s="18" t="s">
        <v>42</v>
      </c>
      <c r="I562" s="18" t="s">
        <v>44</v>
      </c>
      <c r="J562" s="18" t="s">
        <v>180</v>
      </c>
    </row>
    <row r="563" customFormat="false" ht="15" hidden="false" customHeight="false" outlineLevel="0" collapsed="false">
      <c r="A563" s="18" t="str">
        <f aca="false">IF(ISNUMBER($J563),$J563,"")</f>
        <v/>
      </c>
      <c r="B563" s="18" t="str">
        <f aca="false">IFERROR(INDEX('SALES Raw'!$B$6:$B$4467,MATCH($J563,'SALES Raw'!$J$6:$J$4467,0)),IFERROR(INDEX('CEMIUP0.9 Raw'!$B$6:$B$1712,MATCH($J563,'CEMIUP0.9 Raw'!$B$6:$B$1712,0)),$J563))</f>
        <v>FC330Z 0</v>
      </c>
      <c r="C563" s="18" t="str">
        <f aca="false">IF(ISNUMBER($J563),IFERROR(INDEX('TRANS'!$C:$C,MATCH($J563,'TRANS'!$B:$B,0)),IFERROR(INDEX('Catalog'!$B:$B,MATCH($J563,'Catalog'!$A:$A,0)),$B563)),$B563)</f>
        <v>FC330Z 0</v>
      </c>
      <c r="D563" s="19" t="n">
        <f aca="false">SUMIFS('SALES Raw'!$C$6:$C$4467,'SALES Raw'!$J$6:$J$4467,$J563,'SALES Raw'!$K$6:$K$4467,"Y")+SUMIFS('CEMIUP0.9 Raw'!$D$6:$D$1712,'CEMIUP0.9 Raw'!$B$6:$B$1712,$J563,'CEMIUP0.9 Raw'!$H$6:$H$1712,"Y")</f>
        <v>0</v>
      </c>
      <c r="E563" s="19" t="n">
        <f aca="false">SUMIFS('SALES Raw'!$D$6:$D$4467,'SALES Raw'!$J$6:$J$4467,$J563,'SALES Raw'!$K$6:$K$4467,"Y")+SUMIFS('CEMIUP0.9 Raw'!$E$6:$E$1712,'CEMIUP0.9 Raw'!$B$6:$B$1712,$J563,'CEMIUP0.9 Raw'!$H$6:$H$1712,"Y")</f>
        <v>0</v>
      </c>
      <c r="F563" s="19" t="n">
        <f aca="false">SUMIFS('SALES Raw'!$E$6:$E$4467,'SALES Raw'!$J$6:$J$4467,$J563,'SALES Raw'!$K$6:$K$4467,"Y")*$H$4+SUMIFS('CEMIUP0.9 Raw'!$F$6:$F$1712,'CEMIUP0.9 Raw'!$B$6:$B$1712,$J563,'CEMIUP0.9 Raw'!$H$6:$H$1712,"Y")</f>
        <v>7.57894736842105</v>
      </c>
      <c r="G563" s="19" t="n">
        <f aca="false">SUMIFS('SALES Raw'!$F$6:$F$4467,'SALES Raw'!$J$6:$J$4467,$J563,'SALES Raw'!$K$6:$K$4467,"Y")*$H$4+SUMIFS('CEMIUP0.9 Raw'!$G$6:$G$1712,'CEMIUP0.9 Raw'!$B$6:$B$1712,$J563,'CEMIUP0.9 Raw'!$H$6:$H$1712,"Y")</f>
        <v>209.229473684211</v>
      </c>
      <c r="H563" s="18" t="s">
        <v>44</v>
      </c>
      <c r="I563" s="18"/>
      <c r="J563" s="18" t="s">
        <v>181</v>
      </c>
    </row>
    <row r="564" customFormat="false" ht="15" hidden="false" customHeight="false" outlineLevel="0" collapsed="false">
      <c r="A564" s="18" t="str">
        <f aca="false">IF(ISNUMBER($J564),$J564,"")</f>
        <v/>
      </c>
      <c r="B564" s="18" t="str">
        <f aca="false">IFERROR(INDEX('SALES Raw'!$B$6:$B$4467,MATCH($J564,'SALES Raw'!$J$6:$J$4467,0)),IFERROR(INDEX('CEMIUP0.9 Raw'!$B$6:$B$1712,MATCH($J564,'CEMIUP0.9 Raw'!$B$6:$B$1712,0)),$J564))</f>
        <v>95G M</v>
      </c>
      <c r="C564" s="18" t="str">
        <f aca="false">IF(ISNUMBER($J564),IFERROR(INDEX('TRANS'!$C:$C,MATCH($J564,'TRANS'!$B:$B,0)),IFERROR(INDEX('Catalog'!$B:$B,MATCH($J564,'Catalog'!$A:$A,0)),$B564)),$B564)</f>
        <v>95G M</v>
      </c>
      <c r="D564" s="19" t="n">
        <f aca="false">SUMIFS('SALES Raw'!$C$6:$C$4467,'SALES Raw'!$J$6:$J$4467,$J564,'SALES Raw'!$K$6:$K$4467,"Y")+SUMIFS('CEMIUP0.9 Raw'!$D$6:$D$1712,'CEMIUP0.9 Raw'!$B$6:$B$1712,$J564,'CEMIUP0.9 Raw'!$H$6:$H$1712,"Y")</f>
        <v>7</v>
      </c>
      <c r="E564" s="19" t="n">
        <f aca="false">SUMIFS('SALES Raw'!$D$6:$D$4467,'SALES Raw'!$J$6:$J$4467,$J564,'SALES Raw'!$K$6:$K$4467,"Y")+SUMIFS('CEMIUP0.9 Raw'!$E$6:$E$1712,'CEMIUP0.9 Raw'!$B$6:$B$1712,$J564,'CEMIUP0.9 Raw'!$H$6:$H$1712,"Y")</f>
        <v>359.62</v>
      </c>
      <c r="F564" s="19" t="n">
        <f aca="false">SUMIFS('SALES Raw'!$E$6:$E$4467,'SALES Raw'!$J$6:$J$4467,$J564,'SALES Raw'!$K$6:$K$4467,"Y")*$H$4+SUMIFS('CEMIUP0.9 Raw'!$F$6:$F$1712,'CEMIUP0.9 Raw'!$B$6:$B$1712,$J564,'CEMIUP0.9 Raw'!$H$6:$H$1712,"Y")</f>
        <v>7.57894736842105</v>
      </c>
      <c r="G564" s="19" t="n">
        <f aca="false">SUMIFS('SALES Raw'!$F$6:$F$4467,'SALES Raw'!$J$6:$J$4467,$J564,'SALES Raw'!$K$6:$K$4467,"Y")*$H$4+SUMIFS('CEMIUP0.9 Raw'!$G$6:$G$1712,'CEMIUP0.9 Raw'!$B$6:$B$1712,$J564,'CEMIUP0.9 Raw'!$H$6:$H$1712,"Y")</f>
        <v>342.985263157895</v>
      </c>
      <c r="H564" s="18" t="s">
        <v>42</v>
      </c>
      <c r="I564" s="18" t="s">
        <v>49</v>
      </c>
      <c r="J564" s="18" t="s">
        <v>182</v>
      </c>
    </row>
    <row r="565" customFormat="false" ht="15" hidden="false" customHeight="false" outlineLevel="0" collapsed="false">
      <c r="A565" s="18" t="str">
        <f aca="false">IF(ISNUMBER($J565),$J565,"")</f>
        <v/>
      </c>
      <c r="B565" s="18" t="str">
        <f aca="false">IFERROR(INDEX('SALES Raw'!$B$6:$B$4467,MATCH($J565,'SALES Raw'!$J$6:$J$4467,0)),IFERROR(INDEX('CEMIUP0.9 Raw'!$B$6:$B$1712,MATCH($J565,'CEMIUP0.9 Raw'!$B$6:$B$1712,0)),$J565))</f>
        <v>95G S</v>
      </c>
      <c r="C565" s="18" t="str">
        <f aca="false">IF(ISNUMBER($J565),IFERROR(INDEX('TRANS'!$C:$C,MATCH($J565,'TRANS'!$B:$B,0)),IFERROR(INDEX('Catalog'!$B:$B,MATCH($J565,'Catalog'!$A:$A,0)),$B565)),$B565)</f>
        <v>95G S</v>
      </c>
      <c r="D565" s="19" t="n">
        <f aca="false">SUMIFS('SALES Raw'!$C$6:$C$4467,'SALES Raw'!$J$6:$J$4467,$J565,'SALES Raw'!$K$6:$K$4467,"Y")+SUMIFS('CEMIUP0.9 Raw'!$D$6:$D$1712,'CEMIUP0.9 Raw'!$B$6:$B$1712,$J565,'CEMIUP0.9 Raw'!$H$6:$H$1712,"Y")</f>
        <v>3</v>
      </c>
      <c r="E565" s="19" t="n">
        <f aca="false">SUMIFS('SALES Raw'!$D$6:$D$4467,'SALES Raw'!$J$6:$J$4467,$J565,'SALES Raw'!$K$6:$K$4467,"Y")+SUMIFS('CEMIUP0.9 Raw'!$E$6:$E$1712,'CEMIUP0.9 Raw'!$B$6:$B$1712,$J565,'CEMIUP0.9 Raw'!$H$6:$H$1712,"Y")</f>
        <v>159.17</v>
      </c>
      <c r="F565" s="19" t="n">
        <f aca="false">SUMIFS('SALES Raw'!$E$6:$E$4467,'SALES Raw'!$J$6:$J$4467,$J565,'SALES Raw'!$K$6:$K$4467,"Y")*$H$4+SUMIFS('CEMIUP0.9 Raw'!$F$6:$F$1712,'CEMIUP0.9 Raw'!$B$6:$B$1712,$J565,'CEMIUP0.9 Raw'!$H$6:$H$1712,"Y")</f>
        <v>7.57894736842105</v>
      </c>
      <c r="G565" s="19" t="n">
        <f aca="false">SUMIFS('SALES Raw'!$F$6:$F$4467,'SALES Raw'!$J$6:$J$4467,$J565,'SALES Raw'!$K$6:$K$4467,"Y")*$H$4+SUMIFS('CEMIUP0.9 Raw'!$G$6:$G$1712,'CEMIUP0.9 Raw'!$B$6:$B$1712,$J565,'CEMIUP0.9 Raw'!$H$6:$H$1712,"Y")</f>
        <v>304.875789473684</v>
      </c>
      <c r="H565" s="18" t="s">
        <v>42</v>
      </c>
      <c r="I565" s="18"/>
      <c r="J565" s="18" t="s">
        <v>183</v>
      </c>
    </row>
    <row r="566" customFormat="false" ht="15" hidden="false" customHeight="false" outlineLevel="0" collapsed="false">
      <c r="A566" s="18" t="str">
        <f aca="false">IF(ISNUMBER($J566),$J566,"")</f>
        <v/>
      </c>
      <c r="B566" s="18" t="str">
        <f aca="false">IFERROR(INDEX('SALES Raw'!$B$6:$B$4467,MATCH($J566,'SALES Raw'!$J$6:$J$4467,0)),IFERROR(INDEX('CEMIUP0.9 Raw'!$B$6:$B$1712,MATCH($J566,'CEMIUP0.9 Raw'!$B$6:$B$1712,0)),$J566))</f>
        <v>VMSPCC52 0</v>
      </c>
      <c r="C566" s="18" t="str">
        <f aca="false">IF(ISNUMBER($J566),IFERROR(INDEX('TRANS'!$C:$C,MATCH($J566,'TRANS'!$B:$B,0)),IFERROR(INDEX('Catalog'!$B:$B,MATCH($J566,'Catalog'!$A:$A,0)),$B566)),$B566)</f>
        <v>VMSPCC52 0</v>
      </c>
      <c r="D566" s="19" t="n">
        <f aca="false">SUMIFS('SALES Raw'!$C$6:$C$4467,'SALES Raw'!$J$6:$J$4467,$J566,'SALES Raw'!$K$6:$K$4467,"Y")+SUMIFS('CEMIUP0.9 Raw'!$D$6:$D$1712,'CEMIUP0.9 Raw'!$B$6:$B$1712,$J566,'CEMIUP0.9 Raw'!$H$6:$H$1712,"Y")</f>
        <v>0</v>
      </c>
      <c r="E566" s="19" t="n">
        <f aca="false">SUMIFS('SALES Raw'!$D$6:$D$4467,'SALES Raw'!$J$6:$J$4467,$J566,'SALES Raw'!$K$6:$K$4467,"Y")+SUMIFS('CEMIUP0.9 Raw'!$E$6:$E$1712,'CEMIUP0.9 Raw'!$B$6:$B$1712,$J566,'CEMIUP0.9 Raw'!$H$6:$H$1712,"Y")</f>
        <v>0</v>
      </c>
      <c r="F566" s="19" t="n">
        <f aca="false">SUMIFS('SALES Raw'!$E$6:$E$4467,'SALES Raw'!$J$6:$J$4467,$J566,'SALES Raw'!$K$6:$K$4467,"Y")*$H$4+SUMIFS('CEMIUP0.9 Raw'!$F$6:$F$1712,'CEMIUP0.9 Raw'!$B$6:$B$1712,$J566,'CEMIUP0.9 Raw'!$H$6:$H$1712,"Y")</f>
        <v>7.57894736842105</v>
      </c>
      <c r="G566" s="19" t="n">
        <f aca="false">SUMIFS('SALES Raw'!$F$6:$F$4467,'SALES Raw'!$J$6:$J$4467,$J566,'SALES Raw'!$K$6:$K$4467,"Y")*$H$4+SUMIFS('CEMIUP0.9 Raw'!$G$6:$G$1712,'CEMIUP0.9 Raw'!$B$6:$B$1712,$J566,'CEMIUP0.9 Raw'!$H$6:$H$1712,"Y")</f>
        <v>153.991578947368</v>
      </c>
      <c r="H566" s="18" t="s">
        <v>42</v>
      </c>
      <c r="I566" s="18"/>
      <c r="J566" s="18" t="s">
        <v>184</v>
      </c>
    </row>
    <row r="567" customFormat="false" ht="15" hidden="false" customHeight="false" outlineLevel="0" collapsed="false">
      <c r="A567" s="18" t="str">
        <f aca="false">IF(ISNUMBER($J567),$J567,"")</f>
        <v/>
      </c>
      <c r="B567" s="18" t="str">
        <f aca="false">IFERROR(INDEX('SALES Raw'!$B$6:$B$4467,MATCH($J567,'SALES Raw'!$J$6:$J$4467,0)),IFERROR(INDEX('CEMIUP0.9 Raw'!$B$6:$B$1712,MATCH($J567,'CEMIUP0.9 Raw'!$B$6:$B$1712,0)),$J567))</f>
        <v>13 L</v>
      </c>
      <c r="C567" s="18" t="str">
        <f aca="false">IF(ISNUMBER($J567),IFERROR(INDEX('TRANS'!$C:$C,MATCH($J567,'TRANS'!$B:$B,0)),IFERROR(INDEX('Catalog'!$B:$B,MATCH($J567,'Catalog'!$A:$A,0)),$B567)),$B567)</f>
        <v>13 L</v>
      </c>
      <c r="D567" s="19" t="n">
        <f aca="false">SUMIFS('SALES Raw'!$C$6:$C$4467,'SALES Raw'!$J$6:$J$4467,$J567,'SALES Raw'!$K$6:$K$4467,"Y")+SUMIFS('CEMIUP0.9 Raw'!$D$6:$D$1712,'CEMIUP0.9 Raw'!$B$6:$B$1712,$J567,'CEMIUP0.9 Raw'!$H$6:$H$1712,"Y")</f>
        <v>9</v>
      </c>
      <c r="E567" s="19" t="n">
        <f aca="false">SUMIFS('SALES Raw'!$D$6:$D$4467,'SALES Raw'!$J$6:$J$4467,$J567,'SALES Raw'!$K$6:$K$4467,"Y")+SUMIFS('CEMIUP0.9 Raw'!$E$6:$E$1712,'CEMIUP0.9 Raw'!$B$6:$B$1712,$J567,'CEMIUP0.9 Raw'!$H$6:$H$1712,"Y")</f>
        <v>1517.09</v>
      </c>
      <c r="F567" s="19" t="n">
        <f aca="false">SUMIFS('SALES Raw'!$E$6:$E$4467,'SALES Raw'!$J$6:$J$4467,$J567,'SALES Raw'!$K$6:$K$4467,"Y")*$H$4+SUMIFS('CEMIUP0.9 Raw'!$F$6:$F$1712,'CEMIUP0.9 Raw'!$B$6:$B$1712,$J567,'CEMIUP0.9 Raw'!$H$6:$H$1712,"Y")</f>
        <v>7.57894736842105</v>
      </c>
      <c r="G567" s="19" t="n">
        <f aca="false">SUMIFS('SALES Raw'!$F$6:$F$4467,'SALES Raw'!$J$6:$J$4467,$J567,'SALES Raw'!$K$6:$K$4467,"Y")*$H$4+SUMIFS('CEMIUP0.9 Raw'!$G$6:$G$1712,'CEMIUP0.9 Raw'!$B$6:$B$1712,$J567,'CEMIUP0.9 Raw'!$H$6:$H$1712,"Y")</f>
        <v>1171.46526315789</v>
      </c>
      <c r="H567" s="18" t="s">
        <v>44</v>
      </c>
      <c r="I567" s="18" t="s">
        <v>46</v>
      </c>
      <c r="J567" s="18" t="s">
        <v>185</v>
      </c>
    </row>
    <row r="568" customFormat="false" ht="15" hidden="false" customHeight="false" outlineLevel="0" collapsed="false">
      <c r="A568" s="18" t="str">
        <f aca="false">IF(ISNUMBER($J568),$J568,"")</f>
        <v/>
      </c>
      <c r="B568" s="18" t="str">
        <f aca="false">IFERROR(INDEX('SALES Raw'!$B$6:$B$4467,MATCH($J568,'SALES Raw'!$J$6:$J$4467,0)),IFERROR(INDEX('CEMIUP0.9 Raw'!$B$6:$B$1712,MATCH($J568,'CEMIUP0.9 Raw'!$B$6:$B$1712,0)),$J568))</f>
        <v>18 XL</v>
      </c>
      <c r="C568" s="18" t="str">
        <f aca="false">IF(ISNUMBER($J568),IFERROR(INDEX('TRANS'!$C:$C,MATCH($J568,'TRANS'!$B:$B,0)),IFERROR(INDEX('Catalog'!$B:$B,MATCH($J568,'Catalog'!$A:$A,0)),$B568)),$B568)</f>
        <v>18 XL</v>
      </c>
      <c r="D568" s="19" t="n">
        <f aca="false">SUMIFS('SALES Raw'!$C$6:$C$4467,'SALES Raw'!$J$6:$J$4467,$J568,'SALES Raw'!$K$6:$K$4467,"Y")+SUMIFS('CEMIUP0.9 Raw'!$D$6:$D$1712,'CEMIUP0.9 Raw'!$B$6:$B$1712,$J568,'CEMIUP0.9 Raw'!$H$6:$H$1712,"Y")</f>
        <v>14</v>
      </c>
      <c r="E568" s="19" t="n">
        <f aca="false">SUMIFS('SALES Raw'!$D$6:$D$4467,'SALES Raw'!$J$6:$J$4467,$J568,'SALES Raw'!$K$6:$K$4467,"Y")+SUMIFS('CEMIUP0.9 Raw'!$E$6:$E$1712,'CEMIUP0.9 Raw'!$B$6:$B$1712,$J568,'CEMIUP0.9 Raw'!$H$6:$H$1712,"Y")</f>
        <v>3364.27</v>
      </c>
      <c r="F568" s="19" t="n">
        <f aca="false">SUMIFS('SALES Raw'!$E$6:$E$4467,'SALES Raw'!$J$6:$J$4467,$J568,'SALES Raw'!$K$6:$K$4467,"Y")*$H$4+SUMIFS('CEMIUP0.9 Raw'!$F$6:$F$1712,'CEMIUP0.9 Raw'!$B$6:$B$1712,$J568,'CEMIUP0.9 Raw'!$H$6:$H$1712,"Y")</f>
        <v>7.57894736842105</v>
      </c>
      <c r="G568" s="19" t="n">
        <f aca="false">SUMIFS('SALES Raw'!$F$6:$F$4467,'SALES Raw'!$J$6:$J$4467,$J568,'SALES Raw'!$K$6:$K$4467,"Y")*$H$4+SUMIFS('CEMIUP0.9 Raw'!$G$6:$G$1712,'CEMIUP0.9 Raw'!$B$6:$B$1712,$J568,'CEMIUP0.9 Raw'!$H$6:$H$1712,"Y")</f>
        <v>2083.31368421053</v>
      </c>
      <c r="H568" s="18" t="s">
        <v>54</v>
      </c>
      <c r="I568" s="18" t="s">
        <v>43</v>
      </c>
      <c r="J568" s="18" t="s">
        <v>186</v>
      </c>
    </row>
    <row r="569" customFormat="false" ht="15" hidden="false" customHeight="false" outlineLevel="0" collapsed="false">
      <c r="A569" s="18" t="str">
        <f aca="false">IF(ISNUMBER($J569),$J569,"")</f>
        <v/>
      </c>
      <c r="B569" s="18" t="str">
        <f aca="false">IFERROR(INDEX('SALES Raw'!$B$6:$B$4467,MATCH($J569,'SALES Raw'!$J$6:$J$4467,0)),IFERROR(INDEX('CEMIUP0.9 Raw'!$B$6:$B$1712,MATCH($J569,'CEMIUP0.9 Raw'!$B$6:$B$1712,0)),$J569))</f>
        <v>LUPD340 0</v>
      </c>
      <c r="C569" s="18" t="str">
        <f aca="false">IF(ISNUMBER($J569),IFERROR(INDEX('TRANS'!$C:$C,MATCH($J569,'TRANS'!$B:$B,0)),IFERROR(INDEX('Catalog'!$B:$B,MATCH($J569,'Catalog'!$A:$A,0)),$B569)),$B569)</f>
        <v>LUPD340 0</v>
      </c>
      <c r="D569" s="19" t="n">
        <f aca="false">SUMIFS('SALES Raw'!$C$6:$C$4467,'SALES Raw'!$J$6:$J$4467,$J569,'SALES Raw'!$K$6:$K$4467,"Y")+SUMIFS('CEMIUP0.9 Raw'!$D$6:$D$1712,'CEMIUP0.9 Raw'!$B$6:$B$1712,$J569,'CEMIUP0.9 Raw'!$H$6:$H$1712,"Y")</f>
        <v>0</v>
      </c>
      <c r="E569" s="19" t="n">
        <f aca="false">SUMIFS('SALES Raw'!$D$6:$D$4467,'SALES Raw'!$J$6:$J$4467,$J569,'SALES Raw'!$K$6:$K$4467,"Y")+SUMIFS('CEMIUP0.9 Raw'!$E$6:$E$1712,'CEMIUP0.9 Raw'!$B$6:$B$1712,$J569,'CEMIUP0.9 Raw'!$H$6:$H$1712,"Y")</f>
        <v>0</v>
      </c>
      <c r="F569" s="19" t="n">
        <f aca="false">SUMIFS('SALES Raw'!$E$6:$E$4467,'SALES Raw'!$J$6:$J$4467,$J569,'SALES Raw'!$K$6:$K$4467,"Y")*$H$4+SUMIFS('CEMIUP0.9 Raw'!$F$6:$F$1712,'CEMIUP0.9 Raw'!$B$6:$B$1712,$J569,'CEMIUP0.9 Raw'!$H$6:$H$1712,"Y")</f>
        <v>7.57894736842105</v>
      </c>
      <c r="G569" s="19" t="n">
        <f aca="false">SUMIFS('SALES Raw'!$F$6:$F$4467,'SALES Raw'!$J$6:$J$4467,$J569,'SALES Raw'!$K$6:$K$4467,"Y")*$H$4+SUMIFS('CEMIUP0.9 Raw'!$G$6:$G$1712,'CEMIUP0.9 Raw'!$B$6:$B$1712,$J569,'CEMIUP0.9 Raw'!$H$6:$H$1712,"Y")</f>
        <v>0</v>
      </c>
      <c r="H569" s="18" t="s">
        <v>48</v>
      </c>
      <c r="I569" s="18"/>
      <c r="J569" s="18" t="s">
        <v>187</v>
      </c>
    </row>
    <row r="570" customFormat="false" ht="15" hidden="false" customHeight="false" outlineLevel="0" collapsed="false">
      <c r="A570" s="18" t="n">
        <f aca="false">IF(ISNUMBER($J570),$J570,"")</f>
        <v>4413124</v>
      </c>
      <c r="B570" s="18" t="str">
        <f aca="false">IFERROR(INDEX('SALES Raw'!$B$6:$B$4467,MATCH($J570,'SALES Raw'!$J$6:$J$4467,0)),IFERROR(INDEX('CEMIUP0.9 Raw'!$B$6:$B$1712,MATCH($J570,'CEMIUP0.9 Raw'!$B$6:$B$1712,0)),$J570))</f>
        <v>55 XL</v>
      </c>
      <c r="C570" s="18" t="str">
        <f aca="false">IF(ISNUMBER($J570),IFERROR(INDEX('TRANS'!$C:$C,MATCH($J570,'TRANS'!$B:$B,0)),IFERROR(INDEX('Catalog'!$B:$B,MATCH($J570,'Catalog'!$A:$A,0)),$B570)),$B570)</f>
        <v>55 XL מתלה אשכים לספורטאים</v>
      </c>
      <c r="D570" s="19" t="n">
        <f aca="false">SUMIFS('SALES Raw'!$C$6:$C$4467,'SALES Raw'!$J$6:$J$4467,$J570,'SALES Raw'!$K$6:$K$4467,"Y")+SUMIFS('CEMIUP0.9 Raw'!$D$6:$D$1712,'CEMIUP0.9 Raw'!$B$6:$B$1712,$J570,'CEMIUP0.9 Raw'!$H$6:$H$1712,"Y")</f>
        <v>3</v>
      </c>
      <c r="E570" s="19" t="n">
        <f aca="false">SUMIFS('SALES Raw'!$D$6:$D$4467,'SALES Raw'!$J$6:$J$4467,$J570,'SALES Raw'!$K$6:$K$4467,"Y")+SUMIFS('CEMIUP0.9 Raw'!$E$6:$E$1712,'CEMIUP0.9 Raw'!$B$6:$B$1712,$J570,'CEMIUP0.9 Raw'!$H$6:$H$1712,"Y")</f>
        <v>252.96</v>
      </c>
      <c r="F570" s="19" t="n">
        <f aca="false">SUMIFS('SALES Raw'!$E$6:$E$4467,'SALES Raw'!$J$6:$J$4467,$J570,'SALES Raw'!$K$6:$K$4467,"Y")*$H$4+SUMIFS('CEMIUP0.9 Raw'!$F$6:$F$1712,'CEMIUP0.9 Raw'!$B$6:$B$1712,$J570,'CEMIUP0.9 Raw'!$H$6:$H$1712,"Y")</f>
        <v>7.57894736842105</v>
      </c>
      <c r="G570" s="19" t="n">
        <f aca="false">SUMIFS('SALES Raw'!$F$6:$F$4467,'SALES Raw'!$J$6:$J$4467,$J570,'SALES Raw'!$K$6:$K$4467,"Y")*$H$4+SUMIFS('CEMIUP0.9 Raw'!$G$6:$G$1712,'CEMIUP0.9 Raw'!$B$6:$B$1712,$J570,'CEMIUP0.9 Raw'!$H$6:$H$1712,"Y")</f>
        <v>861.275368421053</v>
      </c>
      <c r="H570" s="18" t="s">
        <v>42</v>
      </c>
      <c r="I570" s="18" t="s">
        <v>43</v>
      </c>
      <c r="J570" s="18" t="n">
        <v>4413124</v>
      </c>
    </row>
    <row r="571" customFormat="false" ht="15" hidden="false" customHeight="false" outlineLevel="0" collapsed="false">
      <c r="A571" s="18" t="str">
        <f aca="false">IF(ISNUMBER($J571),$J571,"")</f>
        <v/>
      </c>
      <c r="B571" s="18" t="str">
        <f aca="false">IFERROR(INDEX('SALES Raw'!$B$6:$B$4467,MATCH($J571,'SALES Raw'!$J$6:$J$4467,0)),IFERROR(INDEX('CEMIUP0.9 Raw'!$B$6:$B$1712,MATCH($J571,'CEMIUP0.9 Raw'!$B$6:$B$1712,0)),$J571))</f>
        <v>T45X M</v>
      </c>
      <c r="C571" s="18" t="str">
        <f aca="false">IF(ISNUMBER($J571),IFERROR(INDEX('TRANS'!$C:$C,MATCH($J571,'TRANS'!$B:$B,0)),IFERROR(INDEX('Catalog'!$B:$B,MATCH($J571,'Catalog'!$A:$A,0)),$B571)),$B571)</f>
        <v>T45X M</v>
      </c>
      <c r="D571" s="19" t="n">
        <f aca="false">SUMIFS('SALES Raw'!$C$6:$C$4467,'SALES Raw'!$J$6:$J$4467,$J571,'SALES Raw'!$K$6:$K$4467,"Y")+SUMIFS('CEMIUP0.9 Raw'!$D$6:$D$1712,'CEMIUP0.9 Raw'!$B$6:$B$1712,$J571,'CEMIUP0.9 Raw'!$H$6:$H$1712,"Y")</f>
        <v>4</v>
      </c>
      <c r="E571" s="19" t="n">
        <f aca="false">SUMIFS('SALES Raw'!$D$6:$D$4467,'SALES Raw'!$J$6:$J$4467,$J571,'SALES Raw'!$K$6:$K$4467,"Y")+SUMIFS('CEMIUP0.9 Raw'!$E$6:$E$1712,'CEMIUP0.9 Raw'!$B$6:$B$1712,$J571,'CEMIUP0.9 Raw'!$H$6:$H$1712,"Y")</f>
        <v>658.66</v>
      </c>
      <c r="F571" s="19" t="n">
        <f aca="false">SUMIFS('SALES Raw'!$E$6:$E$4467,'SALES Raw'!$J$6:$J$4467,$J571,'SALES Raw'!$K$6:$K$4467,"Y")*$H$4+SUMIFS('CEMIUP0.9 Raw'!$F$6:$F$1712,'CEMIUP0.9 Raw'!$B$6:$B$1712,$J571,'CEMIUP0.9 Raw'!$H$6:$H$1712,"Y")</f>
        <v>7.57894736842105</v>
      </c>
      <c r="G571" s="19" t="n">
        <f aca="false">SUMIFS('SALES Raw'!$F$6:$F$4467,'SALES Raw'!$J$6:$J$4467,$J571,'SALES Raw'!$K$6:$K$4467,"Y")*$H$4+SUMIFS('CEMIUP0.9 Raw'!$G$6:$G$1712,'CEMIUP0.9 Raw'!$B$6:$B$1712,$J571,'CEMIUP0.9 Raw'!$H$6:$H$1712,"Y")</f>
        <v>872.336842105263</v>
      </c>
      <c r="H571" s="18" t="s">
        <v>44</v>
      </c>
      <c r="I571" s="18" t="s">
        <v>43</v>
      </c>
      <c r="J571" s="18" t="s">
        <v>188</v>
      </c>
    </row>
    <row r="572" customFormat="false" ht="15" hidden="false" customHeight="false" outlineLevel="0" collapsed="false">
      <c r="A572" s="18" t="n">
        <f aca="false">IF(ISNUMBER($J572),$J572,"")</f>
        <v>4413224</v>
      </c>
      <c r="B572" s="18" t="str">
        <f aca="false">IFERROR(INDEX('SALES Raw'!$B$6:$B$4467,MATCH($J572,'SALES Raw'!$J$6:$J$4467,0)),IFERROR(INDEX('CEMIUP0.9 Raw'!$B$6:$B$1712,MATCH($J572,'CEMIUP0.9 Raw'!$B$6:$B$1712,0)),$J572))</f>
        <v>T45X XL</v>
      </c>
      <c r="C572" s="18" t="str">
        <f aca="false">IF(ISNUMBER($J572),IFERROR(INDEX('TRANS'!$C:$C,MATCH($J572,'TRANS'!$B:$B,0)),IFERROR(INDEX('Catalog'!$B:$B,MATCH($J572,'Catalog'!$A:$A,0)),$B572)),$B572)</f>
        <v>T45X XL מגן ברך רגיל</v>
      </c>
      <c r="D572" s="19" t="n">
        <f aca="false">SUMIFS('SALES Raw'!$C$6:$C$4467,'SALES Raw'!$J$6:$J$4467,$J572,'SALES Raw'!$K$6:$K$4467,"Y")+SUMIFS('CEMIUP0.9 Raw'!$D$6:$D$1712,'CEMIUP0.9 Raw'!$B$6:$B$1712,$J572,'CEMIUP0.9 Raw'!$H$6:$H$1712,"Y")</f>
        <v>6</v>
      </c>
      <c r="E572" s="19" t="n">
        <f aca="false">SUMIFS('SALES Raw'!$D$6:$D$4467,'SALES Raw'!$J$6:$J$4467,$J572,'SALES Raw'!$K$6:$K$4467,"Y")+SUMIFS('CEMIUP0.9 Raw'!$E$6:$E$1712,'CEMIUP0.9 Raw'!$B$6:$B$1712,$J572,'CEMIUP0.9 Raw'!$H$6:$H$1712,"Y")</f>
        <v>933.731</v>
      </c>
      <c r="F572" s="19" t="n">
        <f aca="false">SUMIFS('SALES Raw'!$E$6:$E$4467,'SALES Raw'!$J$6:$J$4467,$J572,'SALES Raw'!$K$6:$K$4467,"Y")*$H$4+SUMIFS('CEMIUP0.9 Raw'!$F$6:$F$1712,'CEMIUP0.9 Raw'!$B$6:$B$1712,$J572,'CEMIUP0.9 Raw'!$H$6:$H$1712,"Y")</f>
        <v>7.57894736842105</v>
      </c>
      <c r="G572" s="19" t="n">
        <f aca="false">SUMIFS('SALES Raw'!$F$6:$F$4467,'SALES Raw'!$J$6:$J$4467,$J572,'SALES Raw'!$K$6:$K$4467,"Y")*$H$4+SUMIFS('CEMIUP0.9 Raw'!$G$6:$G$1712,'CEMIUP0.9 Raw'!$B$6:$B$1712,$J572,'CEMIUP0.9 Raw'!$H$6:$H$1712,"Y")</f>
        <v>1015.62442105263</v>
      </c>
      <c r="H572" s="18" t="s">
        <v>42</v>
      </c>
      <c r="I572" s="18" t="s">
        <v>43</v>
      </c>
      <c r="J572" s="18" t="n">
        <v>4413224</v>
      </c>
    </row>
    <row r="573" customFormat="false" ht="15" hidden="false" customHeight="false" outlineLevel="0" collapsed="false">
      <c r="A573" s="18" t="n">
        <f aca="false">IF(ISNUMBER($J573),$J573,"")</f>
        <v>4408147</v>
      </c>
      <c r="B573" s="18" t="str">
        <f aca="false">IFERROR(INDEX('SALES Raw'!$B$6:$B$4467,MATCH($J573,'SALES Raw'!$J$6:$J$4467,0)),IFERROR(INDEX('CEMIUP0.9 Raw'!$B$6:$B$1712,MATCH($J573,'CEMIUP0.9 Raw'!$B$6:$B$1712,0)),$J573))</f>
        <v>11PS L</v>
      </c>
      <c r="C573" s="18" t="str">
        <f aca="false">IF(ISNUMBER($J573),IFERROR(INDEX('TRANS'!$C:$C,MATCH($J573,'TRANS'!$B:$B,0)),IFERROR(INDEX('Catalog'!$B:$B,MATCH($J573,'Catalog'!$A:$A,0)),$B573)),$B573)</f>
        <v>11PS Lחגורה למנותחי בטן</v>
      </c>
      <c r="D573" s="19" t="n">
        <f aca="false">SUMIFS('SALES Raw'!$C$6:$C$4467,'SALES Raw'!$J$6:$J$4467,$J573,'SALES Raw'!$K$6:$K$4467,"Y")+SUMIFS('CEMIUP0.9 Raw'!$D$6:$D$1712,'CEMIUP0.9 Raw'!$B$6:$B$1712,$J573,'CEMIUP0.9 Raw'!$H$6:$H$1712,"Y")</f>
        <v>12</v>
      </c>
      <c r="E573" s="19" t="n">
        <f aca="false">SUMIFS('SALES Raw'!$D$6:$D$4467,'SALES Raw'!$J$6:$J$4467,$J573,'SALES Raw'!$K$6:$K$4467,"Y")+SUMIFS('CEMIUP0.9 Raw'!$E$6:$E$1712,'CEMIUP0.9 Raw'!$B$6:$B$1712,$J573,'CEMIUP0.9 Raw'!$H$6:$H$1712,"Y")</f>
        <v>2187.686</v>
      </c>
      <c r="F573" s="19" t="n">
        <f aca="false">SUMIFS('SALES Raw'!$E$6:$E$4467,'SALES Raw'!$J$6:$J$4467,$J573,'SALES Raw'!$K$6:$K$4467,"Y")*$H$4+SUMIFS('CEMIUP0.9 Raw'!$F$6:$F$1712,'CEMIUP0.9 Raw'!$B$6:$B$1712,$J573,'CEMIUP0.9 Raw'!$H$6:$H$1712,"Y")</f>
        <v>7.57894736842105</v>
      </c>
      <c r="G573" s="19" t="n">
        <f aca="false">SUMIFS('SALES Raw'!$F$6:$F$4467,'SALES Raw'!$J$6:$J$4467,$J573,'SALES Raw'!$K$6:$K$4467,"Y")*$H$4+SUMIFS('CEMIUP0.9 Raw'!$G$6:$G$1712,'CEMIUP0.9 Raw'!$B$6:$B$1712,$J573,'CEMIUP0.9 Raw'!$H$6:$H$1712,"Y")</f>
        <v>1476.07452631579</v>
      </c>
      <c r="H573" s="18" t="s">
        <v>42</v>
      </c>
      <c r="I573" s="18" t="s">
        <v>43</v>
      </c>
      <c r="J573" s="18" t="n">
        <v>4408147</v>
      </c>
    </row>
    <row r="574" customFormat="false" ht="15" hidden="false" customHeight="false" outlineLevel="0" collapsed="false">
      <c r="A574" s="18" t="n">
        <f aca="false">IF(ISNUMBER($J574),$J574,"")</f>
        <v>4420037</v>
      </c>
      <c r="B574" s="18" t="str">
        <f aca="false">IFERROR(INDEX('SALES Raw'!$B$6:$B$4467,MATCH($J574,'SALES Raw'!$J$6:$J$4467,0)),IFERROR(INDEX('CEMIUP0.9 Raw'!$B$6:$B$1712,MATCH($J574,'CEMIUP0.9 Raw'!$B$6:$B$1712,0)),$J574))</f>
        <v>301JW-36-40</v>
      </c>
      <c r="C574" s="18" t="str">
        <f aca="false">IF(ISNUMBER($J574),IFERROR(INDEX('TRANS'!$C:$C,MATCH($J574,'TRANS'!$B:$B,0)),IFERROR(INDEX('Catalog'!$B:$B,MATCH($J574,'Catalog'!$A:$A,0)),$B574)),$B574)</f>
        <v>301JW רפידת ג'ל כחול36-40</v>
      </c>
      <c r="D574" s="19" t="n">
        <f aca="false">SUMIFS('SALES Raw'!$C$6:$C$4467,'SALES Raw'!$J$6:$J$4467,$J574,'SALES Raw'!$K$6:$K$4467,"Y")+SUMIFS('CEMIUP0.9 Raw'!$D$6:$D$1712,'CEMIUP0.9 Raw'!$B$6:$B$1712,$J574,'CEMIUP0.9 Raw'!$H$6:$H$1712,"Y")</f>
        <v>-1</v>
      </c>
      <c r="E574" s="19" t="n">
        <f aca="false">SUMIFS('SALES Raw'!$D$6:$D$4467,'SALES Raw'!$J$6:$J$4467,$J574,'SALES Raw'!$K$6:$K$4467,"Y")+SUMIFS('CEMIUP0.9 Raw'!$E$6:$E$1712,'CEMIUP0.9 Raw'!$B$6:$B$1712,$J574,'CEMIUP0.9 Raw'!$H$6:$H$1712,"Y")</f>
        <v>31.178</v>
      </c>
      <c r="F574" s="19" t="n">
        <f aca="false">SUMIFS('SALES Raw'!$E$6:$E$4467,'SALES Raw'!$J$6:$J$4467,$J574,'SALES Raw'!$K$6:$K$4467,"Y")*$H$4+SUMIFS('CEMIUP0.9 Raw'!$F$6:$F$1712,'CEMIUP0.9 Raw'!$B$6:$B$1712,$J574,'CEMIUP0.9 Raw'!$H$6:$H$1712,"Y")</f>
        <v>7.57894736842105</v>
      </c>
      <c r="G574" s="19" t="n">
        <f aca="false">SUMIFS('SALES Raw'!$F$6:$F$4467,'SALES Raw'!$J$6:$J$4467,$J574,'SALES Raw'!$K$6:$K$4467,"Y")*$H$4+SUMIFS('CEMIUP0.9 Raw'!$G$6:$G$1712,'CEMIUP0.9 Raw'!$B$6:$B$1712,$J574,'CEMIUP0.9 Raw'!$H$6:$H$1712,"Y")</f>
        <v>493.623157894737</v>
      </c>
      <c r="H574" s="18" t="s">
        <v>42</v>
      </c>
      <c r="I574" s="18" t="s">
        <v>43</v>
      </c>
      <c r="J574" s="18" t="n">
        <v>4420037</v>
      </c>
    </row>
    <row r="575" customFormat="false" ht="15" hidden="false" customHeight="false" outlineLevel="0" collapsed="false">
      <c r="A575" s="18" t="n">
        <f aca="false">IF(ISNUMBER($J575),$J575,"")</f>
        <v>4420036</v>
      </c>
      <c r="B575" s="18" t="str">
        <f aca="false">IFERROR(INDEX('SALES Raw'!$B$6:$B$4467,MATCH($J575,'SALES Raw'!$J$6:$J$4467,0)),IFERROR(INDEX('CEMIUP0.9 Raw'!$B$6:$B$1712,MATCH($J575,'CEMIUP0.9 Raw'!$B$6:$B$1712,0)),$J575))</f>
        <v>301CM-41-45</v>
      </c>
      <c r="C575" s="18" t="str">
        <f aca="false">IF(ISNUMBER($J575),IFERROR(INDEX('TRANS'!$C:$C,MATCH($J575,'TRANS'!$B:$B,0)),IFERROR(INDEX('Catalog'!$B:$B,MATCH($J575,'Catalog'!$A:$A,0)),$B575)),$B575)</f>
        <v>301CM 41-45 'רפידת ג'ל בז</v>
      </c>
      <c r="D575" s="19" t="n">
        <f aca="false">SUMIFS('SALES Raw'!$C$6:$C$4467,'SALES Raw'!$J$6:$J$4467,$J575,'SALES Raw'!$K$6:$K$4467,"Y")+SUMIFS('CEMIUP0.9 Raw'!$D$6:$D$1712,'CEMIUP0.9 Raw'!$B$6:$B$1712,$J575,'CEMIUP0.9 Raw'!$H$6:$H$1712,"Y")</f>
        <v>44</v>
      </c>
      <c r="E575" s="19" t="n">
        <f aca="false">SUMIFS('SALES Raw'!$D$6:$D$4467,'SALES Raw'!$J$6:$J$4467,$J575,'SALES Raw'!$K$6:$K$4467,"Y")+SUMIFS('CEMIUP0.9 Raw'!$E$6:$E$1712,'CEMIUP0.9 Raw'!$B$6:$B$1712,$J575,'CEMIUP0.9 Raw'!$H$6:$H$1712,"Y")</f>
        <v>3201.971</v>
      </c>
      <c r="F575" s="19" t="n">
        <f aca="false">SUMIFS('SALES Raw'!$E$6:$E$4467,'SALES Raw'!$J$6:$J$4467,$J575,'SALES Raw'!$K$6:$K$4467,"Y")*$H$4+SUMIFS('CEMIUP0.9 Raw'!$F$6:$F$1712,'CEMIUP0.9 Raw'!$B$6:$B$1712,$J575,'CEMIUP0.9 Raw'!$H$6:$H$1712,"Y")</f>
        <v>6.31578947368421</v>
      </c>
      <c r="G575" s="19" t="n">
        <f aca="false">SUMIFS('SALES Raw'!$F$6:$F$4467,'SALES Raw'!$J$6:$J$4467,$J575,'SALES Raw'!$K$6:$K$4467,"Y")*$H$4+SUMIFS('CEMIUP0.9 Raw'!$G$6:$G$1712,'CEMIUP0.9 Raw'!$B$6:$B$1712,$J575,'CEMIUP0.9 Raw'!$H$6:$H$1712,"Y")</f>
        <v>392.628631578947</v>
      </c>
      <c r="H575" s="18" t="s">
        <v>43</v>
      </c>
      <c r="I575" s="18" t="s">
        <v>46</v>
      </c>
      <c r="J575" s="18" t="n">
        <v>4420036</v>
      </c>
    </row>
    <row r="576" customFormat="false" ht="15" hidden="false" customHeight="false" outlineLevel="0" collapsed="false">
      <c r="A576" s="18" t="n">
        <f aca="false">IF(ISNUMBER($J576),$J576,"")</f>
        <v>4413449</v>
      </c>
      <c r="B576" s="18" t="str">
        <f aca="false">IFERROR(INDEX('SALES Raw'!$B$6:$B$4467,MATCH($J576,'SALES Raw'!$J$6:$J$4467,0)),IFERROR(INDEX('CEMIUP0.9 Raw'!$B$6:$B$1712,MATCH($J576,'CEMIUP0.9 Raw'!$B$6:$B$1712,0)),$J576))</f>
        <v>LF378 S</v>
      </c>
      <c r="C576" s="18" t="str">
        <f aca="false">IF(ISNUMBER($J576),IFERROR(INDEX('TRANS'!$C:$C,MATCH($J576,'TRANS'!$B:$B,0)),IFERROR(INDEX('Catalog'!$B:$B,MATCH($J576,'Catalog'!$A:$A,0)),$B576)),$B576)</f>
        <v>LF378 S מדרס ג'ל לנעלי עקב</v>
      </c>
      <c r="D576" s="19" t="n">
        <f aca="false">SUMIFS('SALES Raw'!$C$6:$C$4467,'SALES Raw'!$J$6:$J$4467,$J576,'SALES Raw'!$K$6:$K$4467,"Y")+SUMIFS('CEMIUP0.9 Raw'!$D$6:$D$1712,'CEMIUP0.9 Raw'!$B$6:$B$1712,$J576,'CEMIUP0.9 Raw'!$H$6:$H$1712,"Y")</f>
        <v>3</v>
      </c>
      <c r="E576" s="19" t="n">
        <f aca="false">SUMIFS('SALES Raw'!$D$6:$D$4467,'SALES Raw'!$J$6:$J$4467,$J576,'SALES Raw'!$K$6:$K$4467,"Y")+SUMIFS('CEMIUP0.9 Raw'!$E$6:$E$1712,'CEMIUP0.9 Raw'!$B$6:$B$1712,$J576,'CEMIUP0.9 Raw'!$H$6:$H$1712,"Y")</f>
        <v>220.64</v>
      </c>
      <c r="F576" s="19" t="n">
        <f aca="false">SUMIFS('SALES Raw'!$E$6:$E$4467,'SALES Raw'!$J$6:$J$4467,$J576,'SALES Raw'!$K$6:$K$4467,"Y")*$H$4+SUMIFS('CEMIUP0.9 Raw'!$F$6:$F$1712,'CEMIUP0.9 Raw'!$B$6:$B$1712,$J576,'CEMIUP0.9 Raw'!$H$6:$H$1712,"Y")</f>
        <v>6.31578947368421</v>
      </c>
      <c r="G576" s="19" t="n">
        <f aca="false">SUMIFS('SALES Raw'!$F$6:$F$4467,'SALES Raw'!$J$6:$J$4467,$J576,'SALES Raw'!$K$6:$K$4467,"Y")*$H$4+SUMIFS('CEMIUP0.9 Raw'!$G$6:$G$1712,'CEMIUP0.9 Raw'!$B$6:$B$1712,$J576,'CEMIUP0.9 Raw'!$H$6:$H$1712,"Y")</f>
        <v>506.137263157895</v>
      </c>
      <c r="H576" s="18" t="s">
        <v>43</v>
      </c>
      <c r="I576" s="18" t="s">
        <v>49</v>
      </c>
      <c r="J576" s="18" t="n">
        <v>4413449</v>
      </c>
    </row>
    <row r="577" customFormat="false" ht="15" hidden="false" customHeight="false" outlineLevel="0" collapsed="false">
      <c r="A577" s="18" t="str">
        <f aca="false">IF(ISNUMBER($J577),$J577,"")</f>
        <v/>
      </c>
      <c r="B577" s="18" t="str">
        <f aca="false">IFERROR(INDEX('SALES Raw'!$B$6:$B$4467,MATCH($J577,'SALES Raw'!$J$6:$J$4467,0)),IFERROR(INDEX('CEMIUP0.9 Raw'!$B$6:$B$1712,MATCH($J577,'CEMIUP0.9 Raw'!$B$6:$B$1712,0)),$J577))</f>
        <v>35C XXL</v>
      </c>
      <c r="C577" s="18" t="str">
        <f aca="false">IF(ISNUMBER($J577),IFERROR(INDEX('TRANS'!$C:$C,MATCH($J577,'TRANS'!$B:$B,0)),IFERROR(INDEX('Catalog'!$B:$B,MATCH($J577,'Catalog'!$A:$A,0)),$B577)),$B577)</f>
        <v>35C XXL</v>
      </c>
      <c r="D577" s="19" t="n">
        <f aca="false">SUMIFS('SALES Raw'!$C$6:$C$4467,'SALES Raw'!$J$6:$J$4467,$J577,'SALES Raw'!$K$6:$K$4467,"Y")+SUMIFS('CEMIUP0.9 Raw'!$D$6:$D$1712,'CEMIUP0.9 Raw'!$B$6:$B$1712,$J577,'CEMIUP0.9 Raw'!$H$6:$H$1712,"Y")</f>
        <v>27</v>
      </c>
      <c r="E577" s="19" t="n">
        <f aca="false">SUMIFS('SALES Raw'!$D$6:$D$4467,'SALES Raw'!$J$6:$J$4467,$J577,'SALES Raw'!$K$6:$K$4467,"Y")+SUMIFS('CEMIUP0.9 Raw'!$E$6:$E$1712,'CEMIUP0.9 Raw'!$B$6:$B$1712,$J577,'CEMIUP0.9 Raw'!$H$6:$H$1712,"Y")</f>
        <v>996.99</v>
      </c>
      <c r="F577" s="19" t="n">
        <f aca="false">SUMIFS('SALES Raw'!$E$6:$E$4467,'SALES Raw'!$J$6:$J$4467,$J577,'SALES Raw'!$K$6:$K$4467,"Y")*$H$4+SUMIFS('CEMIUP0.9 Raw'!$F$6:$F$1712,'CEMIUP0.9 Raw'!$B$6:$B$1712,$J577,'CEMIUP0.9 Raw'!$H$6:$H$1712,"Y")</f>
        <v>6.31578947368421</v>
      </c>
      <c r="G577" s="19" t="n">
        <f aca="false">SUMIFS('SALES Raw'!$F$6:$F$4467,'SALES Raw'!$J$6:$J$4467,$J577,'SALES Raw'!$K$6:$K$4467,"Y")*$H$4+SUMIFS('CEMIUP0.9 Raw'!$G$6:$G$1712,'CEMIUP0.9 Raw'!$B$6:$B$1712,$J577,'CEMIUP0.9 Raw'!$H$6:$H$1712,"Y")</f>
        <v>321.208421052632</v>
      </c>
      <c r="H577" s="18" t="s">
        <v>42</v>
      </c>
      <c r="I577" s="18" t="s">
        <v>44</v>
      </c>
      <c r="J577" s="18" t="s">
        <v>189</v>
      </c>
    </row>
    <row r="578" customFormat="false" ht="15" hidden="false" customHeight="false" outlineLevel="0" collapsed="false">
      <c r="A578" s="18" t="str">
        <f aca="false">IF(ISNUMBER($J578),$J578,"")</f>
        <v/>
      </c>
      <c r="B578" s="18" t="str">
        <f aca="false">IFERROR(INDEX('SALES Raw'!$B$6:$B$4467,MATCH($J578,'SALES Raw'!$J$6:$J$4467,0)),IFERROR(INDEX('CEMIUP0.9 Raw'!$B$6:$B$1712,MATCH($J578,'CEMIUP0.9 Raw'!$B$6:$B$1712,0)),$J578))</f>
        <v>364XL+ 0</v>
      </c>
      <c r="C578" s="18" t="str">
        <f aca="false">IF(ISNUMBER($J578),IFERROR(INDEX('TRANS'!$C:$C,MATCH($J578,'TRANS'!$B:$B,0)),IFERROR(INDEX('Catalog'!$B:$B,MATCH($J578,'Catalog'!$A:$A,0)),$B578)),$B578)</f>
        <v>364XL+ 0</v>
      </c>
      <c r="D578" s="19" t="n">
        <f aca="false">SUMIFS('SALES Raw'!$C$6:$C$4467,'SALES Raw'!$J$6:$J$4467,$J578,'SALES Raw'!$K$6:$K$4467,"Y")+SUMIFS('CEMIUP0.9 Raw'!$D$6:$D$1712,'CEMIUP0.9 Raw'!$B$6:$B$1712,$J578,'CEMIUP0.9 Raw'!$H$6:$H$1712,"Y")</f>
        <v>0</v>
      </c>
      <c r="E578" s="19" t="n">
        <f aca="false">SUMIFS('SALES Raw'!$D$6:$D$4467,'SALES Raw'!$J$6:$J$4467,$J578,'SALES Raw'!$K$6:$K$4467,"Y")+SUMIFS('CEMIUP0.9 Raw'!$E$6:$E$1712,'CEMIUP0.9 Raw'!$B$6:$B$1712,$J578,'CEMIUP0.9 Raw'!$H$6:$H$1712,"Y")</f>
        <v>0</v>
      </c>
      <c r="F578" s="19" t="n">
        <f aca="false">SUMIFS('SALES Raw'!$E$6:$E$4467,'SALES Raw'!$J$6:$J$4467,$J578,'SALES Raw'!$K$6:$K$4467,"Y")*$H$4+SUMIFS('CEMIUP0.9 Raw'!$F$6:$F$1712,'CEMIUP0.9 Raw'!$B$6:$B$1712,$J578,'CEMIUP0.9 Raw'!$H$6:$H$1712,"Y")</f>
        <v>6.31578947368421</v>
      </c>
      <c r="G578" s="19" t="n">
        <f aca="false">SUMIFS('SALES Raw'!$F$6:$F$4467,'SALES Raw'!$J$6:$J$4467,$J578,'SALES Raw'!$K$6:$K$4467,"Y")*$H$4+SUMIFS('CEMIUP0.9 Raw'!$G$6:$G$1712,'CEMIUP0.9 Raw'!$B$6:$B$1712,$J578,'CEMIUP0.9 Raw'!$H$6:$H$1712,"Y")</f>
        <v>63.4357894736842</v>
      </c>
      <c r="H578" s="18" t="s">
        <v>53</v>
      </c>
      <c r="I578" s="18" t="s">
        <v>46</v>
      </c>
      <c r="J578" s="18" t="s">
        <v>190</v>
      </c>
    </row>
    <row r="579" customFormat="false" ht="15" hidden="false" customHeight="false" outlineLevel="0" collapsed="false">
      <c r="A579" s="18" t="str">
        <f aca="false">IF(ISNUMBER($J579),$J579,"")</f>
        <v/>
      </c>
      <c r="B579" s="18" t="str">
        <f aca="false">IFERROR(INDEX('SALES Raw'!$B$6:$B$4467,MATCH($J579,'SALES Raw'!$J$6:$J$4467,0)),IFERROR(INDEX('CEMIUP0.9 Raw'!$B$6:$B$1712,MATCH($J579,'CEMIUP0.9 Raw'!$B$6:$B$1712,0)),$J579))</f>
        <v>391W-35-38</v>
      </c>
      <c r="C579" s="18" t="str">
        <f aca="false">IF(ISNUMBER($J579),IFERROR(INDEX('TRANS'!$C:$C,MATCH($J579,'TRANS'!$B:$B,0)),IFERROR(INDEX('Catalog'!$B:$B,MATCH($J579,'Catalog'!$A:$A,0)),$B579)),$B579)</f>
        <v>391W-35-38</v>
      </c>
      <c r="D579" s="19" t="n">
        <f aca="false">SUMIFS('SALES Raw'!$C$6:$C$4467,'SALES Raw'!$J$6:$J$4467,$J579,'SALES Raw'!$K$6:$K$4467,"Y")+SUMIFS('CEMIUP0.9 Raw'!$D$6:$D$1712,'CEMIUP0.9 Raw'!$B$6:$B$1712,$J579,'CEMIUP0.9 Raw'!$H$6:$H$1712,"Y")</f>
        <v>0</v>
      </c>
      <c r="E579" s="19" t="n">
        <f aca="false">SUMIFS('SALES Raw'!$D$6:$D$4467,'SALES Raw'!$J$6:$J$4467,$J579,'SALES Raw'!$K$6:$K$4467,"Y")+SUMIFS('CEMIUP0.9 Raw'!$E$6:$E$1712,'CEMIUP0.9 Raw'!$B$6:$B$1712,$J579,'CEMIUP0.9 Raw'!$H$6:$H$1712,"Y")</f>
        <v>0</v>
      </c>
      <c r="F579" s="19" t="n">
        <f aca="false">SUMIFS('SALES Raw'!$E$6:$E$4467,'SALES Raw'!$J$6:$J$4467,$J579,'SALES Raw'!$K$6:$K$4467,"Y")*$H$4+SUMIFS('CEMIUP0.9 Raw'!$F$6:$F$1712,'CEMIUP0.9 Raw'!$B$6:$B$1712,$J579,'CEMIUP0.9 Raw'!$H$6:$H$1712,"Y")</f>
        <v>6.31578947368421</v>
      </c>
      <c r="G579" s="19" t="n">
        <f aca="false">SUMIFS('SALES Raw'!$F$6:$F$4467,'SALES Raw'!$J$6:$J$4467,$J579,'SALES Raw'!$K$6:$K$4467,"Y")*$H$4+SUMIFS('CEMIUP0.9 Raw'!$G$6:$G$1712,'CEMIUP0.9 Raw'!$B$6:$B$1712,$J579,'CEMIUP0.9 Raw'!$H$6:$H$1712,"Y")</f>
        <v>276.606315789474</v>
      </c>
      <c r="H579" s="18" t="s">
        <v>42</v>
      </c>
      <c r="I579" s="18" t="s">
        <v>46</v>
      </c>
      <c r="J579" s="18" t="s">
        <v>191</v>
      </c>
    </row>
    <row r="580" customFormat="false" ht="15" hidden="false" customHeight="false" outlineLevel="0" collapsed="false">
      <c r="A580" s="18" t="str">
        <f aca="false">IF(ISNUMBER($J580),$J580,"")</f>
        <v/>
      </c>
      <c r="B580" s="18" t="str">
        <f aca="false">IFERROR(INDEX('SALES Raw'!$B$6:$B$4467,MATCH($J580,'SALES Raw'!$J$6:$J$4467,0)),IFERROR(INDEX('CEMIUP0.9 Raw'!$B$6:$B$1712,MATCH($J580,'CEMIUP0.9 Raw'!$B$6:$B$1712,0)),$J580))</f>
        <v>332B XL</v>
      </c>
      <c r="C580" s="18" t="str">
        <f aca="false">IF(ISNUMBER($J580),IFERROR(INDEX('TRANS'!$C:$C,MATCH($J580,'TRANS'!$B:$B,0)),IFERROR(INDEX('Catalog'!$B:$B,MATCH($J580,'Catalog'!$A:$A,0)),$B580)),$B580)</f>
        <v>332B XL</v>
      </c>
      <c r="D580" s="19" t="n">
        <f aca="false">SUMIFS('SALES Raw'!$C$6:$C$4467,'SALES Raw'!$J$6:$J$4467,$J580,'SALES Raw'!$K$6:$K$4467,"Y")+SUMIFS('CEMIUP0.9 Raw'!$D$6:$D$1712,'CEMIUP0.9 Raw'!$B$6:$B$1712,$J580,'CEMIUP0.9 Raw'!$H$6:$H$1712,"Y")</f>
        <v>6</v>
      </c>
      <c r="E580" s="19" t="n">
        <f aca="false">SUMIFS('SALES Raw'!$D$6:$D$4467,'SALES Raw'!$J$6:$J$4467,$J580,'SALES Raw'!$K$6:$K$4467,"Y")+SUMIFS('CEMIUP0.9 Raw'!$E$6:$E$1712,'CEMIUP0.9 Raw'!$B$6:$B$1712,$J580,'CEMIUP0.9 Raw'!$H$6:$H$1712,"Y")</f>
        <v>770.6</v>
      </c>
      <c r="F580" s="19" t="n">
        <f aca="false">SUMIFS('SALES Raw'!$E$6:$E$4467,'SALES Raw'!$J$6:$J$4467,$J580,'SALES Raw'!$K$6:$K$4467,"Y")*$H$4+SUMIFS('CEMIUP0.9 Raw'!$F$6:$F$1712,'CEMIUP0.9 Raw'!$B$6:$B$1712,$J580,'CEMIUP0.9 Raw'!$H$6:$H$1712,"Y")</f>
        <v>6.31578947368421</v>
      </c>
      <c r="G580" s="19" t="n">
        <f aca="false">SUMIFS('SALES Raw'!$F$6:$F$4467,'SALES Raw'!$J$6:$J$4467,$J580,'SALES Raw'!$K$6:$K$4467,"Y")*$H$4+SUMIFS('CEMIUP0.9 Raw'!$G$6:$G$1712,'CEMIUP0.9 Raw'!$B$6:$B$1712,$J580,'CEMIUP0.9 Raw'!$H$6:$H$1712,"Y")</f>
        <v>635.115789473684</v>
      </c>
      <c r="H580" s="18" t="s">
        <v>44</v>
      </c>
      <c r="I580" s="18" t="s">
        <v>53</v>
      </c>
      <c r="J580" s="18" t="s">
        <v>192</v>
      </c>
    </row>
    <row r="581" customFormat="false" ht="15" hidden="false" customHeight="false" outlineLevel="0" collapsed="false">
      <c r="A581" s="18" t="str">
        <f aca="false">IF(ISNUMBER($J581),$J581,"")</f>
        <v/>
      </c>
      <c r="B581" s="18" t="str">
        <f aca="false">IFERROR(INDEX('SALES Raw'!$B$6:$B$4467,MATCH($J581,'SALES Raw'!$J$6:$J$4467,0)),IFERROR(INDEX('CEMIUP0.9 Raw'!$B$6:$B$1712,MATCH($J581,'CEMIUP0.9 Raw'!$B$6:$B$1712,0)),$J581))</f>
        <v>305GA-35-36</v>
      </c>
      <c r="C581" s="18" t="str">
        <f aca="false">IF(ISNUMBER($J581),IFERROR(INDEX('TRANS'!$C:$C,MATCH($J581,'TRANS'!$B:$B,0)),IFERROR(INDEX('Catalog'!$B:$B,MATCH($J581,'Catalog'!$A:$A,0)),$B581)),$B581)</f>
        <v>305GA-35-36</v>
      </c>
      <c r="D581" s="19" t="n">
        <f aca="false">SUMIFS('SALES Raw'!$C$6:$C$4467,'SALES Raw'!$J$6:$J$4467,$J581,'SALES Raw'!$K$6:$K$4467,"Y")+SUMIFS('CEMIUP0.9 Raw'!$D$6:$D$1712,'CEMIUP0.9 Raw'!$B$6:$B$1712,$J581,'CEMIUP0.9 Raw'!$H$6:$H$1712,"Y")</f>
        <v>5</v>
      </c>
      <c r="E581" s="19" t="n">
        <f aca="false">SUMIFS('SALES Raw'!$D$6:$D$4467,'SALES Raw'!$J$6:$J$4467,$J581,'SALES Raw'!$K$6:$K$4467,"Y")+SUMIFS('CEMIUP0.9 Raw'!$E$6:$E$1712,'CEMIUP0.9 Raw'!$B$6:$B$1712,$J581,'CEMIUP0.9 Raw'!$H$6:$H$1712,"Y")</f>
        <v>510.01</v>
      </c>
      <c r="F581" s="19" t="n">
        <f aca="false">SUMIFS('SALES Raw'!$E$6:$E$4467,'SALES Raw'!$J$6:$J$4467,$J581,'SALES Raw'!$K$6:$K$4467,"Y")*$H$4+SUMIFS('CEMIUP0.9 Raw'!$F$6:$F$1712,'CEMIUP0.9 Raw'!$B$6:$B$1712,$J581,'CEMIUP0.9 Raw'!$H$6:$H$1712,"Y")</f>
        <v>6.31578947368421</v>
      </c>
      <c r="G581" s="19" t="n">
        <f aca="false">SUMIFS('SALES Raw'!$F$6:$F$4467,'SALES Raw'!$J$6:$J$4467,$J581,'SALES Raw'!$K$6:$K$4467,"Y")*$H$4+SUMIFS('CEMIUP0.9 Raw'!$G$6:$G$1712,'CEMIUP0.9 Raw'!$B$6:$B$1712,$J581,'CEMIUP0.9 Raw'!$H$6:$H$1712,"Y")</f>
        <v>973.642105263158</v>
      </c>
      <c r="H581" s="18" t="s">
        <v>42</v>
      </c>
      <c r="I581" s="18" t="s">
        <v>44</v>
      </c>
      <c r="J581" s="18" t="s">
        <v>193</v>
      </c>
    </row>
    <row r="582" customFormat="false" ht="15" hidden="false" customHeight="false" outlineLevel="0" collapsed="false">
      <c r="A582" s="18" t="str">
        <f aca="false">IF(ISNUMBER($J582),$J582,"")</f>
        <v/>
      </c>
      <c r="B582" s="18" t="str">
        <f aca="false">IFERROR(INDEX('SALES Raw'!$B$6:$B$4467,MATCH($J582,'SALES Raw'!$J$6:$J$4467,0)),IFERROR(INDEX('CEMIUP0.9 Raw'!$B$6:$B$1712,MATCH($J582,'CEMIUP0.9 Raw'!$B$6:$B$1712,0)),$J582))</f>
        <v>06U XXL</v>
      </c>
      <c r="C582" s="18" t="str">
        <f aca="false">IF(ISNUMBER($J582),IFERROR(INDEX('TRANS'!$C:$C,MATCH($J582,'TRANS'!$B:$B,0)),IFERROR(INDEX('Catalog'!$B:$B,MATCH($J582,'Catalog'!$A:$A,0)),$B582)),$B582)</f>
        <v>06U XXL</v>
      </c>
      <c r="D582" s="19" t="n">
        <f aca="false">SUMIFS('SALES Raw'!$C$6:$C$4467,'SALES Raw'!$J$6:$J$4467,$J582,'SALES Raw'!$K$6:$K$4467,"Y")+SUMIFS('CEMIUP0.9 Raw'!$D$6:$D$1712,'CEMIUP0.9 Raw'!$B$6:$B$1712,$J582,'CEMIUP0.9 Raw'!$H$6:$H$1712,"Y")</f>
        <v>8</v>
      </c>
      <c r="E582" s="19" t="n">
        <f aca="false">SUMIFS('SALES Raw'!$D$6:$D$4467,'SALES Raw'!$J$6:$J$4467,$J582,'SALES Raw'!$K$6:$K$4467,"Y")+SUMIFS('CEMIUP0.9 Raw'!$E$6:$E$1712,'CEMIUP0.9 Raw'!$B$6:$B$1712,$J582,'CEMIUP0.9 Raw'!$H$6:$H$1712,"Y")</f>
        <v>1675.99</v>
      </c>
      <c r="F582" s="19" t="n">
        <f aca="false">SUMIFS('SALES Raw'!$E$6:$E$4467,'SALES Raw'!$J$6:$J$4467,$J582,'SALES Raw'!$K$6:$K$4467,"Y")*$H$4+SUMIFS('CEMIUP0.9 Raw'!$F$6:$F$1712,'CEMIUP0.9 Raw'!$B$6:$B$1712,$J582,'CEMIUP0.9 Raw'!$H$6:$H$1712,"Y")</f>
        <v>6.31578947368421</v>
      </c>
      <c r="G582" s="19" t="n">
        <f aca="false">SUMIFS('SALES Raw'!$F$6:$F$4467,'SALES Raw'!$J$6:$J$4467,$J582,'SALES Raw'!$K$6:$K$4467,"Y")*$H$4+SUMIFS('CEMIUP0.9 Raw'!$G$6:$G$1712,'CEMIUP0.9 Raw'!$B$6:$B$1712,$J582,'CEMIUP0.9 Raw'!$H$6:$H$1712,"Y")</f>
        <v>1524.90947368421</v>
      </c>
      <c r="H582" s="18" t="s">
        <v>42</v>
      </c>
      <c r="I582" s="18" t="s">
        <v>44</v>
      </c>
      <c r="J582" s="18" t="s">
        <v>194</v>
      </c>
    </row>
    <row r="583" customFormat="false" ht="15" hidden="false" customHeight="false" outlineLevel="0" collapsed="false">
      <c r="A583" s="18" t="str">
        <f aca="false">IF(ISNUMBER($J583),$J583,"")</f>
        <v/>
      </c>
      <c r="B583" s="18" t="str">
        <f aca="false">IFERROR(INDEX('SALES Raw'!$B$6:$B$4467,MATCH($J583,'SALES Raw'!$J$6:$J$4467,0)),IFERROR(INDEX('CEMIUP0.9 Raw'!$B$6:$B$1712,MATCH($J583,'CEMIUP0.9 Raw'!$B$6:$B$1712,0)),$J583))</f>
        <v>SH776 XXL</v>
      </c>
      <c r="C583" s="18" t="str">
        <f aca="false">IF(ISNUMBER($J583),IFERROR(INDEX('TRANS'!$C:$C,MATCH($J583,'TRANS'!$B:$B,0)),IFERROR(INDEX('Catalog'!$B:$B,MATCH($J583,'Catalog'!$A:$A,0)),$B583)),$B583)</f>
        <v>SH776 XXL</v>
      </c>
      <c r="D583" s="19" t="n">
        <f aca="false">SUMIFS('SALES Raw'!$C$6:$C$4467,'SALES Raw'!$J$6:$J$4467,$J583,'SALES Raw'!$K$6:$K$4467,"Y")+SUMIFS('CEMIUP0.9 Raw'!$D$6:$D$1712,'CEMIUP0.9 Raw'!$B$6:$B$1712,$J583,'CEMIUP0.9 Raw'!$H$6:$H$1712,"Y")</f>
        <v>0</v>
      </c>
      <c r="E583" s="19" t="n">
        <f aca="false">SUMIFS('SALES Raw'!$D$6:$D$4467,'SALES Raw'!$J$6:$J$4467,$J583,'SALES Raw'!$K$6:$K$4467,"Y")+SUMIFS('CEMIUP0.9 Raw'!$E$6:$E$1712,'CEMIUP0.9 Raw'!$B$6:$B$1712,$J583,'CEMIUP0.9 Raw'!$H$6:$H$1712,"Y")</f>
        <v>0</v>
      </c>
      <c r="F583" s="19" t="n">
        <f aca="false">SUMIFS('SALES Raw'!$E$6:$E$4467,'SALES Raw'!$J$6:$J$4467,$J583,'SALES Raw'!$K$6:$K$4467,"Y")*$H$4+SUMIFS('CEMIUP0.9 Raw'!$F$6:$F$1712,'CEMIUP0.9 Raw'!$B$6:$B$1712,$J583,'CEMIUP0.9 Raw'!$H$6:$H$1712,"Y")</f>
        <v>6.31578947368421</v>
      </c>
      <c r="G583" s="19" t="n">
        <f aca="false">SUMIFS('SALES Raw'!$F$6:$F$4467,'SALES Raw'!$J$6:$J$4467,$J583,'SALES Raw'!$K$6:$K$4467,"Y")*$H$4+SUMIFS('CEMIUP0.9 Raw'!$G$6:$G$1712,'CEMIUP0.9 Raw'!$B$6:$B$1712,$J583,'CEMIUP0.9 Raw'!$H$6:$H$1712,"Y")</f>
        <v>2210.96842105263</v>
      </c>
      <c r="H583" s="18" t="s">
        <v>44</v>
      </c>
      <c r="I583" s="18" t="s">
        <v>53</v>
      </c>
      <c r="J583" s="18" t="s">
        <v>195</v>
      </c>
    </row>
    <row r="584" customFormat="false" ht="15" hidden="false" customHeight="false" outlineLevel="0" collapsed="false">
      <c r="A584" s="18" t="str">
        <f aca="false">IF(ISNUMBER($J584),$J584,"")</f>
        <v/>
      </c>
      <c r="B584" s="18" t="str">
        <f aca="false">IFERROR(INDEX('SALES Raw'!$B$6:$B$4467,MATCH($J584,'SALES Raw'!$J$6:$J$4467,0)),IFERROR(INDEX('CEMIUP0.9 Raw'!$B$6:$B$1712,MATCH($J584,'CEMIUP0.9 Raw'!$B$6:$B$1712,0)),$J584))</f>
        <v>11NOR XXL</v>
      </c>
      <c r="C584" s="18" t="str">
        <f aca="false">IF(ISNUMBER($J584),IFERROR(INDEX('TRANS'!$C:$C,MATCH($J584,'TRANS'!$B:$B,0)),IFERROR(INDEX('Catalog'!$B:$B,MATCH($J584,'Catalog'!$A:$A,0)),$B584)),$B584)</f>
        <v>11NOR XXL</v>
      </c>
      <c r="D584" s="19" t="n">
        <f aca="false">SUMIFS('SALES Raw'!$C$6:$C$4467,'SALES Raw'!$J$6:$J$4467,$J584,'SALES Raw'!$K$6:$K$4467,"Y")+SUMIFS('CEMIUP0.9 Raw'!$D$6:$D$1712,'CEMIUP0.9 Raw'!$B$6:$B$1712,$J584,'CEMIUP0.9 Raw'!$H$6:$H$1712,"Y")</f>
        <v>3</v>
      </c>
      <c r="E584" s="19" t="n">
        <f aca="false">SUMIFS('SALES Raw'!$D$6:$D$4467,'SALES Raw'!$J$6:$J$4467,$J584,'SALES Raw'!$K$6:$K$4467,"Y")+SUMIFS('CEMIUP0.9 Raw'!$E$6:$E$1712,'CEMIUP0.9 Raw'!$B$6:$B$1712,$J584,'CEMIUP0.9 Raw'!$H$6:$H$1712,"Y")</f>
        <v>1387.82</v>
      </c>
      <c r="F584" s="19" t="n">
        <f aca="false">SUMIFS('SALES Raw'!$E$6:$E$4467,'SALES Raw'!$J$6:$J$4467,$J584,'SALES Raw'!$K$6:$K$4467,"Y")*$H$4+SUMIFS('CEMIUP0.9 Raw'!$F$6:$F$1712,'CEMIUP0.9 Raw'!$B$6:$B$1712,$J584,'CEMIUP0.9 Raw'!$H$6:$H$1712,"Y")</f>
        <v>6.31578947368421</v>
      </c>
      <c r="G584" s="19" t="n">
        <f aca="false">SUMIFS('SALES Raw'!$F$6:$F$4467,'SALES Raw'!$J$6:$J$4467,$J584,'SALES Raw'!$K$6:$K$4467,"Y")*$H$4+SUMIFS('CEMIUP0.9 Raw'!$G$6:$G$1712,'CEMIUP0.9 Raw'!$B$6:$B$1712,$J584,'CEMIUP0.9 Raw'!$H$6:$H$1712,"Y")</f>
        <v>2295.76421052632</v>
      </c>
      <c r="H584" s="18" t="s">
        <v>42</v>
      </c>
      <c r="I584" s="18" t="s">
        <v>44</v>
      </c>
      <c r="J584" s="18" t="s">
        <v>196</v>
      </c>
    </row>
    <row r="585" customFormat="false" ht="15" hidden="false" customHeight="false" outlineLevel="0" collapsed="false">
      <c r="A585" s="18" t="str">
        <f aca="false">IF(ISNUMBER($J585),$J585,"")</f>
        <v/>
      </c>
      <c r="B585" s="18" t="str">
        <f aca="false">IFERROR(INDEX('SALES Raw'!$B$6:$B$4467,MATCH($J585,'SALES Raw'!$J$6:$J$4467,0)),IFERROR(INDEX('CEMIUP0.9 Raw'!$B$6:$B$1712,MATCH($J585,'CEMIUP0.9 Raw'!$B$6:$B$1712,0)),$J585))</f>
        <v>34+ XS</v>
      </c>
      <c r="C585" s="18" t="str">
        <f aca="false">IF(ISNUMBER($J585),IFERROR(INDEX('TRANS'!$C:$C,MATCH($J585,'TRANS'!$B:$B,0)),IFERROR(INDEX('Catalog'!$B:$B,MATCH($J585,'Catalog'!$A:$A,0)),$B585)),$B585)</f>
        <v>34+ XS</v>
      </c>
      <c r="D585" s="19" t="n">
        <f aca="false">SUMIFS('SALES Raw'!$C$6:$C$4467,'SALES Raw'!$J$6:$J$4467,$J585,'SALES Raw'!$K$6:$K$4467,"Y")+SUMIFS('CEMIUP0.9 Raw'!$D$6:$D$1712,'CEMIUP0.9 Raw'!$B$6:$B$1712,$J585,'CEMIUP0.9 Raw'!$H$6:$H$1712,"Y")</f>
        <v>4</v>
      </c>
      <c r="E585" s="19" t="n">
        <f aca="false">SUMIFS('SALES Raw'!$D$6:$D$4467,'SALES Raw'!$J$6:$J$4467,$J585,'SALES Raw'!$K$6:$K$4467,"Y")+SUMIFS('CEMIUP0.9 Raw'!$E$6:$E$1712,'CEMIUP0.9 Raw'!$B$6:$B$1712,$J585,'CEMIUP0.9 Raw'!$H$6:$H$1712,"Y")</f>
        <v>362.56</v>
      </c>
      <c r="F585" s="19" t="n">
        <f aca="false">SUMIFS('SALES Raw'!$E$6:$E$4467,'SALES Raw'!$J$6:$J$4467,$J585,'SALES Raw'!$K$6:$K$4467,"Y")*$H$4+SUMIFS('CEMIUP0.9 Raw'!$F$6:$F$1712,'CEMIUP0.9 Raw'!$B$6:$B$1712,$J585,'CEMIUP0.9 Raw'!$H$6:$H$1712,"Y")</f>
        <v>6.31578947368421</v>
      </c>
      <c r="G585" s="19" t="n">
        <f aca="false">SUMIFS('SALES Raw'!$F$6:$F$4467,'SALES Raw'!$J$6:$J$4467,$J585,'SALES Raw'!$K$6:$K$4467,"Y")*$H$4+SUMIFS('CEMIUP0.9 Raw'!$G$6:$G$1712,'CEMIUP0.9 Raw'!$B$6:$B$1712,$J585,'CEMIUP0.9 Raw'!$H$6:$H$1712,"Y")</f>
        <v>786.265263157895</v>
      </c>
      <c r="H585" s="18" t="s">
        <v>42</v>
      </c>
      <c r="I585" s="18" t="s">
        <v>44</v>
      </c>
      <c r="J585" s="18" t="s">
        <v>197</v>
      </c>
    </row>
    <row r="586" customFormat="false" ht="15" hidden="false" customHeight="false" outlineLevel="0" collapsed="false">
      <c r="A586" s="18" t="str">
        <f aca="false">IF(ISNUMBER($J586),$J586,"")</f>
        <v/>
      </c>
      <c r="B586" s="18" t="str">
        <f aca="false">IFERROR(INDEX('SALES Raw'!$B$6:$B$4467,MATCH($J586,'SALES Raw'!$J$6:$J$4467,0)),IFERROR(INDEX('CEMIUP0.9 Raw'!$B$6:$B$1712,MATCH($J586,'CEMIUP0.9 Raw'!$B$6:$B$1712,0)),$J586))</f>
        <v>322 XXL</v>
      </c>
      <c r="C586" s="18" t="str">
        <f aca="false">IF(ISNUMBER($J586),IFERROR(INDEX('TRANS'!$C:$C,MATCH($J586,'TRANS'!$B:$B,0)),IFERROR(INDEX('Catalog'!$B:$B,MATCH($J586,'Catalog'!$A:$A,0)),$B586)),$B586)</f>
        <v>322 XXL</v>
      </c>
      <c r="D586" s="19" t="n">
        <f aca="false">SUMIFS('SALES Raw'!$C$6:$C$4467,'SALES Raw'!$J$6:$J$4467,$J586,'SALES Raw'!$K$6:$K$4467,"Y")+SUMIFS('CEMIUP0.9 Raw'!$D$6:$D$1712,'CEMIUP0.9 Raw'!$B$6:$B$1712,$J586,'CEMIUP0.9 Raw'!$H$6:$H$1712,"Y")</f>
        <v>3</v>
      </c>
      <c r="E586" s="19" t="n">
        <f aca="false">SUMIFS('SALES Raw'!$D$6:$D$4467,'SALES Raw'!$J$6:$J$4467,$J586,'SALES Raw'!$K$6:$K$4467,"Y")+SUMIFS('CEMIUP0.9 Raw'!$E$6:$E$1712,'CEMIUP0.9 Raw'!$B$6:$B$1712,$J586,'CEMIUP0.9 Raw'!$H$6:$H$1712,"Y")</f>
        <v>210</v>
      </c>
      <c r="F586" s="19" t="n">
        <f aca="false">SUMIFS('SALES Raw'!$E$6:$E$4467,'SALES Raw'!$J$6:$J$4467,$J586,'SALES Raw'!$K$6:$K$4467,"Y")*$H$4+SUMIFS('CEMIUP0.9 Raw'!$F$6:$F$1712,'CEMIUP0.9 Raw'!$B$6:$B$1712,$J586,'CEMIUP0.9 Raw'!$H$6:$H$1712,"Y")</f>
        <v>6.31578947368421</v>
      </c>
      <c r="G586" s="19" t="n">
        <f aca="false">SUMIFS('SALES Raw'!$F$6:$F$4467,'SALES Raw'!$J$6:$J$4467,$J586,'SALES Raw'!$K$6:$K$4467,"Y")*$H$4+SUMIFS('CEMIUP0.9 Raw'!$G$6:$G$1712,'CEMIUP0.9 Raw'!$B$6:$B$1712,$J586,'CEMIUP0.9 Raw'!$H$6:$H$1712,"Y")</f>
        <v>442.08</v>
      </c>
      <c r="H586" s="18" t="s">
        <v>44</v>
      </c>
      <c r="I586" s="18"/>
      <c r="J586" s="18" t="s">
        <v>198</v>
      </c>
    </row>
    <row r="587" customFormat="false" ht="15" hidden="false" customHeight="false" outlineLevel="0" collapsed="false">
      <c r="A587" s="18" t="str">
        <f aca="false">IF(ISNUMBER($J587),$J587,"")</f>
        <v/>
      </c>
      <c r="B587" s="18" t="str">
        <f aca="false">IFERROR(INDEX('SALES Raw'!$B$6:$B$4467,MATCH($J587,'SALES Raw'!$J$6:$J$4467,0)),IFERROR(INDEX('CEMIUP0.9 Raw'!$B$6:$B$1712,MATCH($J587,'CEMIUP0.9 Raw'!$B$6:$B$1712,0)),$J587))</f>
        <v>32 L</v>
      </c>
      <c r="C587" s="18" t="str">
        <f aca="false">IF(ISNUMBER($J587),IFERROR(INDEX('TRANS'!$C:$C,MATCH($J587,'TRANS'!$B:$B,0)),IFERROR(INDEX('Catalog'!$B:$B,MATCH($J587,'Catalog'!$A:$A,0)),$B587)),$B587)</f>
        <v>32 L</v>
      </c>
      <c r="D587" s="19" t="n">
        <f aca="false">SUMIFS('SALES Raw'!$C$6:$C$4467,'SALES Raw'!$J$6:$J$4467,$J587,'SALES Raw'!$K$6:$K$4467,"Y")+SUMIFS('CEMIUP0.9 Raw'!$D$6:$D$1712,'CEMIUP0.9 Raw'!$B$6:$B$1712,$J587,'CEMIUP0.9 Raw'!$H$6:$H$1712,"Y")</f>
        <v>5</v>
      </c>
      <c r="E587" s="19" t="n">
        <f aca="false">SUMIFS('SALES Raw'!$D$6:$D$4467,'SALES Raw'!$J$6:$J$4467,$J587,'SALES Raw'!$K$6:$K$4467,"Y")+SUMIFS('CEMIUP0.9 Raw'!$E$6:$E$1712,'CEMIUP0.9 Raw'!$B$6:$B$1712,$J587,'CEMIUP0.9 Raw'!$H$6:$H$1712,"Y")</f>
        <v>1755.83</v>
      </c>
      <c r="F587" s="19" t="n">
        <f aca="false">SUMIFS('SALES Raw'!$E$6:$E$4467,'SALES Raw'!$J$6:$J$4467,$J587,'SALES Raw'!$K$6:$K$4467,"Y")*$H$4+SUMIFS('CEMIUP0.9 Raw'!$F$6:$F$1712,'CEMIUP0.9 Raw'!$B$6:$B$1712,$J587,'CEMIUP0.9 Raw'!$H$6:$H$1712,"Y")</f>
        <v>6.31578947368421</v>
      </c>
      <c r="G587" s="19" t="n">
        <f aca="false">SUMIFS('SALES Raw'!$F$6:$F$4467,'SALES Raw'!$J$6:$J$4467,$J587,'SALES Raw'!$K$6:$K$4467,"Y")*$H$4+SUMIFS('CEMIUP0.9 Raw'!$G$6:$G$1712,'CEMIUP0.9 Raw'!$B$6:$B$1712,$J587,'CEMIUP0.9 Raw'!$H$6:$H$1712,"Y")</f>
        <v>1919.72210526316</v>
      </c>
      <c r="H587" s="18" t="s">
        <v>42</v>
      </c>
      <c r="I587" s="18" t="s">
        <v>53</v>
      </c>
      <c r="J587" s="18" t="s">
        <v>199</v>
      </c>
    </row>
    <row r="588" customFormat="false" ht="15" hidden="false" customHeight="false" outlineLevel="0" collapsed="false">
      <c r="A588" s="18" t="str">
        <f aca="false">IF(ISNUMBER($J588),$J588,"")</f>
        <v/>
      </c>
      <c r="B588" s="18" t="str">
        <f aca="false">IFERROR(INDEX('SALES Raw'!$B$6:$B$4467,MATCH($J588,'SALES Raw'!$J$6:$J$4467,0)),IFERROR(INDEX('CEMIUP0.9 Raw'!$B$6:$B$1712,MATCH($J588,'CEMIUP0.9 Raw'!$B$6:$B$1712,0)),$J588))</f>
        <v>305-37-38</v>
      </c>
      <c r="C588" s="18" t="str">
        <f aca="false">IF(ISNUMBER($J588),IFERROR(INDEX('TRANS'!$C:$C,MATCH($J588,'TRANS'!$B:$B,0)),IFERROR(INDEX('Catalog'!$B:$B,MATCH($J588,'Catalog'!$A:$A,0)),$B588)),$B588)</f>
        <v>305-37-38</v>
      </c>
      <c r="D588" s="19" t="n">
        <f aca="false">SUMIFS('SALES Raw'!$C$6:$C$4467,'SALES Raw'!$J$6:$J$4467,$J588,'SALES Raw'!$K$6:$K$4467,"Y")+SUMIFS('CEMIUP0.9 Raw'!$D$6:$D$1712,'CEMIUP0.9 Raw'!$B$6:$B$1712,$J588,'CEMIUP0.9 Raw'!$H$6:$H$1712,"Y")</f>
        <v>0</v>
      </c>
      <c r="E588" s="19" t="n">
        <f aca="false">SUMIFS('SALES Raw'!$D$6:$D$4467,'SALES Raw'!$J$6:$J$4467,$J588,'SALES Raw'!$K$6:$K$4467,"Y")+SUMIFS('CEMIUP0.9 Raw'!$E$6:$E$1712,'CEMIUP0.9 Raw'!$B$6:$B$1712,$J588,'CEMIUP0.9 Raw'!$H$6:$H$1712,"Y")</f>
        <v>0</v>
      </c>
      <c r="F588" s="19" t="n">
        <f aca="false">SUMIFS('SALES Raw'!$E$6:$E$4467,'SALES Raw'!$J$6:$J$4467,$J588,'SALES Raw'!$K$6:$K$4467,"Y")*$H$4+SUMIFS('CEMIUP0.9 Raw'!$F$6:$F$1712,'CEMIUP0.9 Raw'!$B$6:$B$1712,$J588,'CEMIUP0.9 Raw'!$H$6:$H$1712,"Y")</f>
        <v>6.31578947368421</v>
      </c>
      <c r="G588" s="19" t="n">
        <f aca="false">SUMIFS('SALES Raw'!$F$6:$F$4467,'SALES Raw'!$J$6:$J$4467,$J588,'SALES Raw'!$K$6:$K$4467,"Y")*$H$4+SUMIFS('CEMIUP0.9 Raw'!$G$6:$G$1712,'CEMIUP0.9 Raw'!$B$6:$B$1712,$J588,'CEMIUP0.9 Raw'!$H$6:$H$1712,"Y")</f>
        <v>1005.73894736842</v>
      </c>
      <c r="H588" s="18" t="s">
        <v>42</v>
      </c>
      <c r="I588" s="18"/>
      <c r="J588" s="18" t="s">
        <v>200</v>
      </c>
    </row>
    <row r="589" customFormat="false" ht="15" hidden="false" customHeight="false" outlineLevel="0" collapsed="false">
      <c r="A589" s="18" t="str">
        <f aca="false">IF(ISNUMBER($J589),$J589,"")</f>
        <v/>
      </c>
      <c r="B589" s="18" t="str">
        <f aca="false">IFERROR(INDEX('SALES Raw'!$B$6:$B$4467,MATCH($J589,'SALES Raw'!$J$6:$J$4467,0)),IFERROR(INDEX('CEMIUP0.9 Raw'!$B$6:$B$1712,MATCH($J589,'CEMIUP0.9 Raw'!$B$6:$B$1712,0)),$J589))</f>
        <v>305-45-46</v>
      </c>
      <c r="C589" s="18" t="str">
        <f aca="false">IF(ISNUMBER($J589),IFERROR(INDEX('TRANS'!$C:$C,MATCH($J589,'TRANS'!$B:$B,0)),IFERROR(INDEX('Catalog'!$B:$B,MATCH($J589,'Catalog'!$A:$A,0)),$B589)),$B589)</f>
        <v>305-45-46</v>
      </c>
      <c r="D589" s="19" t="n">
        <f aca="false">SUMIFS('SALES Raw'!$C$6:$C$4467,'SALES Raw'!$J$6:$J$4467,$J589,'SALES Raw'!$K$6:$K$4467,"Y")+SUMIFS('CEMIUP0.9 Raw'!$D$6:$D$1712,'CEMIUP0.9 Raw'!$B$6:$B$1712,$J589,'CEMIUP0.9 Raw'!$H$6:$H$1712,"Y")</f>
        <v>0</v>
      </c>
      <c r="E589" s="19" t="n">
        <f aca="false">SUMIFS('SALES Raw'!$D$6:$D$4467,'SALES Raw'!$J$6:$J$4467,$J589,'SALES Raw'!$K$6:$K$4467,"Y")+SUMIFS('CEMIUP0.9 Raw'!$E$6:$E$1712,'CEMIUP0.9 Raw'!$B$6:$B$1712,$J589,'CEMIUP0.9 Raw'!$H$6:$H$1712,"Y")</f>
        <v>0</v>
      </c>
      <c r="F589" s="19" t="n">
        <f aca="false">SUMIFS('SALES Raw'!$E$6:$E$4467,'SALES Raw'!$J$6:$J$4467,$J589,'SALES Raw'!$K$6:$K$4467,"Y")*$H$4+SUMIFS('CEMIUP0.9 Raw'!$F$6:$F$1712,'CEMIUP0.9 Raw'!$B$6:$B$1712,$J589,'CEMIUP0.9 Raw'!$H$6:$H$1712,"Y")</f>
        <v>6.31578947368421</v>
      </c>
      <c r="G589" s="19" t="n">
        <f aca="false">SUMIFS('SALES Raw'!$F$6:$F$4467,'SALES Raw'!$J$6:$J$4467,$J589,'SALES Raw'!$K$6:$K$4467,"Y")*$H$4+SUMIFS('CEMIUP0.9 Raw'!$G$6:$G$1712,'CEMIUP0.9 Raw'!$B$6:$B$1712,$J589,'CEMIUP0.9 Raw'!$H$6:$H$1712,"Y")</f>
        <v>943.162105263158</v>
      </c>
      <c r="H589" s="18" t="s">
        <v>42</v>
      </c>
      <c r="I589" s="18"/>
      <c r="J589" s="18" t="s">
        <v>201</v>
      </c>
    </row>
    <row r="590" customFormat="false" ht="15" hidden="false" customHeight="false" outlineLevel="0" collapsed="false">
      <c r="A590" s="18" t="str">
        <f aca="false">IF(ISNUMBER($J590),$J590,"")</f>
        <v/>
      </c>
      <c r="B590" s="18" t="str">
        <f aca="false">IFERROR(INDEX('SALES Raw'!$B$6:$B$4467,MATCH($J590,'SALES Raw'!$J$6:$J$4467,0)),IFERROR(INDEX('CEMIUP0.9 Raw'!$B$6:$B$1712,MATCH($J590,'CEMIUP0.9 Raw'!$B$6:$B$1712,0)),$J590))</f>
        <v>59LB M</v>
      </c>
      <c r="C590" s="18" t="str">
        <f aca="false">IF(ISNUMBER($J590),IFERROR(INDEX('TRANS'!$C:$C,MATCH($J590,'TRANS'!$B:$B,0)),IFERROR(INDEX('Catalog'!$B:$B,MATCH($J590,'Catalog'!$A:$A,0)),$B590)),$B590)</f>
        <v>59LB M</v>
      </c>
      <c r="D590" s="19" t="n">
        <f aca="false">SUMIFS('SALES Raw'!$C$6:$C$4467,'SALES Raw'!$J$6:$J$4467,$J590,'SALES Raw'!$K$6:$K$4467,"Y")+SUMIFS('CEMIUP0.9 Raw'!$D$6:$D$1712,'CEMIUP0.9 Raw'!$B$6:$B$1712,$J590,'CEMIUP0.9 Raw'!$H$6:$H$1712,"Y")</f>
        <v>0</v>
      </c>
      <c r="E590" s="19" t="n">
        <f aca="false">SUMIFS('SALES Raw'!$D$6:$D$4467,'SALES Raw'!$J$6:$J$4467,$J590,'SALES Raw'!$K$6:$K$4467,"Y")+SUMIFS('CEMIUP0.9 Raw'!$E$6:$E$1712,'CEMIUP0.9 Raw'!$B$6:$B$1712,$J590,'CEMIUP0.9 Raw'!$H$6:$H$1712,"Y")</f>
        <v>0</v>
      </c>
      <c r="F590" s="19" t="n">
        <f aca="false">SUMIFS('SALES Raw'!$E$6:$E$4467,'SALES Raw'!$J$6:$J$4467,$J590,'SALES Raw'!$K$6:$K$4467,"Y")*$H$4+SUMIFS('CEMIUP0.9 Raw'!$F$6:$F$1712,'CEMIUP0.9 Raw'!$B$6:$B$1712,$J590,'CEMIUP0.9 Raw'!$H$6:$H$1712,"Y")</f>
        <v>6.31578947368421</v>
      </c>
      <c r="G590" s="19" t="n">
        <f aca="false">SUMIFS('SALES Raw'!$F$6:$F$4467,'SALES Raw'!$J$6:$J$4467,$J590,'SALES Raw'!$K$6:$K$4467,"Y")*$H$4+SUMIFS('CEMIUP0.9 Raw'!$G$6:$G$1712,'CEMIUP0.9 Raw'!$B$6:$B$1712,$J590,'CEMIUP0.9 Raw'!$H$6:$H$1712,"Y")</f>
        <v>2097.61263157895</v>
      </c>
      <c r="H590" s="18" t="s">
        <v>42</v>
      </c>
      <c r="I590" s="18"/>
      <c r="J590" s="18" t="s">
        <v>202</v>
      </c>
    </row>
    <row r="591" customFormat="false" ht="15" hidden="false" customHeight="false" outlineLevel="0" collapsed="false">
      <c r="A591" s="18" t="str">
        <f aca="false">IF(ISNUMBER($J591),$J591,"")</f>
        <v/>
      </c>
      <c r="B591" s="18" t="str">
        <f aca="false">IFERROR(INDEX('SALES Raw'!$B$6:$B$4467,MATCH($J591,'SALES Raw'!$J$6:$J$4467,0)),IFERROR(INDEX('CEMIUP0.9 Raw'!$B$6:$B$1712,MATCH($J591,'CEMIUP0.9 Raw'!$B$6:$B$1712,0)),$J591))</f>
        <v>59RB L</v>
      </c>
      <c r="C591" s="18" t="str">
        <f aca="false">IF(ISNUMBER($J591),IFERROR(INDEX('TRANS'!$C:$C,MATCH($J591,'TRANS'!$B:$B,0)),IFERROR(INDEX('Catalog'!$B:$B,MATCH($J591,'Catalog'!$A:$A,0)),$B591)),$B591)</f>
        <v>59RB L</v>
      </c>
      <c r="D591" s="19" t="n">
        <f aca="false">SUMIFS('SALES Raw'!$C$6:$C$4467,'SALES Raw'!$J$6:$J$4467,$J591,'SALES Raw'!$K$6:$K$4467,"Y")+SUMIFS('CEMIUP0.9 Raw'!$D$6:$D$1712,'CEMIUP0.9 Raw'!$B$6:$B$1712,$J591,'CEMIUP0.9 Raw'!$H$6:$H$1712,"Y")</f>
        <v>3</v>
      </c>
      <c r="E591" s="19" t="n">
        <f aca="false">SUMIFS('SALES Raw'!$D$6:$D$4467,'SALES Raw'!$J$6:$J$4467,$J591,'SALES Raw'!$K$6:$K$4467,"Y")+SUMIFS('CEMIUP0.9 Raw'!$E$6:$E$1712,'CEMIUP0.9 Raw'!$B$6:$B$1712,$J591,'CEMIUP0.9 Raw'!$H$6:$H$1712,"Y")</f>
        <v>915.03</v>
      </c>
      <c r="F591" s="19" t="n">
        <f aca="false">SUMIFS('SALES Raw'!$E$6:$E$4467,'SALES Raw'!$J$6:$J$4467,$J591,'SALES Raw'!$K$6:$K$4467,"Y")*$H$4+SUMIFS('CEMIUP0.9 Raw'!$F$6:$F$1712,'CEMIUP0.9 Raw'!$B$6:$B$1712,$J591,'CEMIUP0.9 Raw'!$H$6:$H$1712,"Y")</f>
        <v>6.31578947368421</v>
      </c>
      <c r="G591" s="19" t="n">
        <f aca="false">SUMIFS('SALES Raw'!$F$6:$F$4467,'SALES Raw'!$J$6:$J$4467,$J591,'SALES Raw'!$K$6:$K$4467,"Y")*$H$4+SUMIFS('CEMIUP0.9 Raw'!$G$6:$G$1712,'CEMIUP0.9 Raw'!$B$6:$B$1712,$J591,'CEMIUP0.9 Raw'!$H$6:$H$1712,"Y")</f>
        <v>2054.80421052632</v>
      </c>
      <c r="H591" s="18" t="s">
        <v>42</v>
      </c>
      <c r="I591" s="18"/>
      <c r="J591" s="18" t="s">
        <v>203</v>
      </c>
    </row>
    <row r="592" customFormat="false" ht="15" hidden="false" customHeight="false" outlineLevel="0" collapsed="false">
      <c r="A592" s="18" t="str">
        <f aca="false">IF(ISNUMBER($J592),$J592,"")</f>
        <v/>
      </c>
      <c r="B592" s="18" t="str">
        <f aca="false">IFERROR(INDEX('SALES Raw'!$B$6:$B$4467,MATCH($J592,'SALES Raw'!$J$6:$J$4467,0)),IFERROR(INDEX('CEMIUP0.9 Raw'!$B$6:$B$1712,MATCH($J592,'CEMIUP0.9 Raw'!$B$6:$B$1712,0)),$J592))</f>
        <v>59RB M</v>
      </c>
      <c r="C592" s="18" t="str">
        <f aca="false">IF(ISNUMBER($J592),IFERROR(INDEX('TRANS'!$C:$C,MATCH($J592,'TRANS'!$B:$B,0)),IFERROR(INDEX('Catalog'!$B:$B,MATCH($J592,'Catalog'!$A:$A,0)),$B592)),$B592)</f>
        <v>59RB M</v>
      </c>
      <c r="D592" s="19" t="n">
        <f aca="false">SUMIFS('SALES Raw'!$C$6:$C$4467,'SALES Raw'!$J$6:$J$4467,$J592,'SALES Raw'!$K$6:$K$4467,"Y")+SUMIFS('CEMIUP0.9 Raw'!$D$6:$D$1712,'CEMIUP0.9 Raw'!$B$6:$B$1712,$J592,'CEMIUP0.9 Raw'!$H$6:$H$1712,"Y")</f>
        <v>0</v>
      </c>
      <c r="E592" s="19" t="n">
        <f aca="false">SUMIFS('SALES Raw'!$D$6:$D$4467,'SALES Raw'!$J$6:$J$4467,$J592,'SALES Raw'!$K$6:$K$4467,"Y")+SUMIFS('CEMIUP0.9 Raw'!$E$6:$E$1712,'CEMIUP0.9 Raw'!$B$6:$B$1712,$J592,'CEMIUP0.9 Raw'!$H$6:$H$1712,"Y")</f>
        <v>0</v>
      </c>
      <c r="F592" s="19" t="n">
        <f aca="false">SUMIFS('SALES Raw'!$E$6:$E$4467,'SALES Raw'!$J$6:$J$4467,$J592,'SALES Raw'!$K$6:$K$4467,"Y")*$H$4+SUMIFS('CEMIUP0.9 Raw'!$F$6:$F$1712,'CEMIUP0.9 Raw'!$B$6:$B$1712,$J592,'CEMIUP0.9 Raw'!$H$6:$H$1712,"Y")</f>
        <v>6.31578947368421</v>
      </c>
      <c r="G592" s="19" t="n">
        <f aca="false">SUMIFS('SALES Raw'!$F$6:$F$4467,'SALES Raw'!$J$6:$J$4467,$J592,'SALES Raw'!$K$6:$K$4467,"Y")*$H$4+SUMIFS('CEMIUP0.9 Raw'!$G$6:$G$1712,'CEMIUP0.9 Raw'!$B$6:$B$1712,$J592,'CEMIUP0.9 Raw'!$H$6:$H$1712,"Y")</f>
        <v>2002.87578947368</v>
      </c>
      <c r="H592" s="18" t="s">
        <v>42</v>
      </c>
      <c r="I592" s="18"/>
      <c r="J592" s="18" t="s">
        <v>204</v>
      </c>
    </row>
    <row r="593" customFormat="false" ht="15" hidden="false" customHeight="false" outlineLevel="0" collapsed="false">
      <c r="A593" s="18" t="str">
        <f aca="false">IF(ISNUMBER($J593),$J593,"")</f>
        <v/>
      </c>
      <c r="B593" s="18" t="str">
        <f aca="false">IFERROR(INDEX('SALES Raw'!$B$6:$B$4467,MATCH($J593,'SALES Raw'!$J$6:$J$4467,0)),IFERROR(INDEX('CEMIUP0.9 Raw'!$B$6:$B$1712,MATCH($J593,'CEMIUP0.9 Raw'!$B$6:$B$1712,0)),$J593))</f>
        <v>95G L</v>
      </c>
      <c r="C593" s="18" t="str">
        <f aca="false">IF(ISNUMBER($J593),IFERROR(INDEX('TRANS'!$C:$C,MATCH($J593,'TRANS'!$B:$B,0)),IFERROR(INDEX('Catalog'!$B:$B,MATCH($J593,'Catalog'!$A:$A,0)),$B593)),$B593)</f>
        <v>95G L</v>
      </c>
      <c r="D593" s="19" t="n">
        <f aca="false">SUMIFS('SALES Raw'!$C$6:$C$4467,'SALES Raw'!$J$6:$J$4467,$J593,'SALES Raw'!$K$6:$K$4467,"Y")+SUMIFS('CEMIUP0.9 Raw'!$D$6:$D$1712,'CEMIUP0.9 Raw'!$B$6:$B$1712,$J593,'CEMIUP0.9 Raw'!$H$6:$H$1712,"Y")</f>
        <v>5</v>
      </c>
      <c r="E593" s="19" t="n">
        <f aca="false">SUMIFS('SALES Raw'!$D$6:$D$4467,'SALES Raw'!$J$6:$J$4467,$J593,'SALES Raw'!$K$6:$K$4467,"Y")+SUMIFS('CEMIUP0.9 Raw'!$E$6:$E$1712,'CEMIUP0.9 Raw'!$B$6:$B$1712,$J593,'CEMIUP0.9 Raw'!$H$6:$H$1712,"Y")</f>
        <v>278.85</v>
      </c>
      <c r="F593" s="19" t="n">
        <f aca="false">SUMIFS('SALES Raw'!$E$6:$E$4467,'SALES Raw'!$J$6:$J$4467,$J593,'SALES Raw'!$K$6:$K$4467,"Y")*$H$4+SUMIFS('CEMIUP0.9 Raw'!$F$6:$F$1712,'CEMIUP0.9 Raw'!$B$6:$B$1712,$J593,'CEMIUP0.9 Raw'!$H$6:$H$1712,"Y")</f>
        <v>6.31578947368421</v>
      </c>
      <c r="G593" s="19" t="n">
        <f aca="false">SUMIFS('SALES Raw'!$F$6:$F$4467,'SALES Raw'!$J$6:$J$4467,$J593,'SALES Raw'!$K$6:$K$4467,"Y")*$H$4+SUMIFS('CEMIUP0.9 Raw'!$G$6:$G$1712,'CEMIUP0.9 Raw'!$B$6:$B$1712,$J593,'CEMIUP0.9 Raw'!$H$6:$H$1712,"Y")</f>
        <v>223.654736842105</v>
      </c>
      <c r="H593" s="18" t="s">
        <v>42</v>
      </c>
      <c r="I593" s="18" t="s">
        <v>49</v>
      </c>
      <c r="J593" s="18" t="s">
        <v>205</v>
      </c>
    </row>
    <row r="594" customFormat="false" ht="15" hidden="false" customHeight="false" outlineLevel="0" collapsed="false">
      <c r="A594" s="18" t="n">
        <f aca="false">IF(ISNUMBER($J594),$J594,"")</f>
        <v>4413450</v>
      </c>
      <c r="B594" s="18" t="str">
        <f aca="false">IFERROR(INDEX('SALES Raw'!$B$6:$B$4467,MATCH($J594,'SALES Raw'!$J$6:$J$4467,0)),IFERROR(INDEX('CEMIUP0.9 Raw'!$B$6:$B$1712,MATCH($J594,'CEMIUP0.9 Raw'!$B$6:$B$1712,0)),$J594))</f>
        <v>LF378 M</v>
      </c>
      <c r="C594" s="18" t="str">
        <f aca="false">IF(ISNUMBER($J594),IFERROR(INDEX('TRANS'!$C:$C,MATCH($J594,'TRANS'!$B:$B,0)),IFERROR(INDEX('Catalog'!$B:$B,MATCH($J594,'Catalog'!$A:$A,0)),$B594)),$B594)</f>
        <v>LF378 M מדרס ג'ל לנעלי עקב</v>
      </c>
      <c r="D594" s="19" t="n">
        <f aca="false">SUMIFS('SALES Raw'!$C$6:$C$4467,'SALES Raw'!$J$6:$J$4467,$J594,'SALES Raw'!$K$6:$K$4467,"Y")+SUMIFS('CEMIUP0.9 Raw'!$D$6:$D$1712,'CEMIUP0.9 Raw'!$B$6:$B$1712,$J594,'CEMIUP0.9 Raw'!$H$6:$H$1712,"Y")</f>
        <v>1</v>
      </c>
      <c r="E594" s="19" t="n">
        <f aca="false">SUMIFS('SALES Raw'!$D$6:$D$4467,'SALES Raw'!$J$6:$J$4467,$J594,'SALES Raw'!$K$6:$K$4467,"Y")+SUMIFS('CEMIUP0.9 Raw'!$E$6:$E$1712,'CEMIUP0.9 Raw'!$B$6:$B$1712,$J594,'CEMIUP0.9 Raw'!$H$6:$H$1712,"Y")</f>
        <v>132.97</v>
      </c>
      <c r="F594" s="19" t="n">
        <f aca="false">SUMIFS('SALES Raw'!$E$6:$E$4467,'SALES Raw'!$J$6:$J$4467,$J594,'SALES Raw'!$K$6:$K$4467,"Y")*$H$4+SUMIFS('CEMIUP0.9 Raw'!$F$6:$F$1712,'CEMIUP0.9 Raw'!$B$6:$B$1712,$J594,'CEMIUP0.9 Raw'!$H$6:$H$1712,"Y")</f>
        <v>6.31578947368421</v>
      </c>
      <c r="G594" s="19" t="n">
        <f aca="false">SUMIFS('SALES Raw'!$F$6:$F$4467,'SALES Raw'!$J$6:$J$4467,$J594,'SALES Raw'!$K$6:$K$4467,"Y")*$H$4+SUMIFS('CEMIUP0.9 Raw'!$G$6:$G$1712,'CEMIUP0.9 Raw'!$B$6:$B$1712,$J594,'CEMIUP0.9 Raw'!$H$6:$H$1712,"Y")</f>
        <v>422.661473684211</v>
      </c>
      <c r="H594" s="18" t="s">
        <v>43</v>
      </c>
      <c r="I594" s="18" t="s">
        <v>49</v>
      </c>
      <c r="J594" s="18" t="n">
        <v>4413450</v>
      </c>
    </row>
    <row r="595" customFormat="false" ht="15" hidden="false" customHeight="false" outlineLevel="0" collapsed="false">
      <c r="A595" s="18" t="n">
        <f aca="false">IF(ISNUMBER($J595),$J595,"")</f>
        <v>4415069</v>
      </c>
      <c r="B595" s="18" t="n">
        <f aca="false">IFERROR(INDEX('SALES Raw'!$B$6:$B$4467,MATCH($J595,'SALES Raw'!$J$6:$J$4467,0)),IFERROR(INDEX('CEMIUP0.9 Raw'!$B$6:$B$1712,MATCH($J595,'CEMIUP0.9 Raw'!$B$6:$B$1712,0)),$J595))</f>
        <v>4415069</v>
      </c>
      <c r="C595" s="18" t="str">
        <f aca="false">IF(ISNUMBER($J595),IFERROR(INDEX('TRANS'!$C:$C,MATCH($J595,'TRANS'!$B:$B,0)),IFERROR(INDEX('Catalog'!$B:$B,MATCH($J595,'Catalog'!$A:$A,0)),$B595)),$B595)</f>
        <v>T28C L סד לאגודל כפפה</v>
      </c>
      <c r="D595" s="19" t="n">
        <f aca="false">SUMIFS('SALES Raw'!$C$6:$C$4467,'SALES Raw'!$J$6:$J$4467,$J595,'SALES Raw'!$K$6:$K$4467,"Y")+SUMIFS('CEMIUP0.9 Raw'!$D$6:$D$1712,'CEMIUP0.9 Raw'!$B$6:$B$1712,$J595,'CEMIUP0.9 Raw'!$H$6:$H$1712,"Y")</f>
        <v>7</v>
      </c>
      <c r="E595" s="19" t="n">
        <f aca="false">SUMIFS('SALES Raw'!$D$6:$D$4467,'SALES Raw'!$J$6:$J$4467,$J595,'SALES Raw'!$K$6:$K$4467,"Y")+SUMIFS('CEMIUP0.9 Raw'!$E$6:$E$1712,'CEMIUP0.9 Raw'!$B$6:$B$1712,$J595,'CEMIUP0.9 Raw'!$H$6:$H$1712,"Y")</f>
        <v>442.806</v>
      </c>
      <c r="F595" s="19" t="n">
        <f aca="false">SUMIFS('SALES Raw'!$E$6:$E$4467,'SALES Raw'!$J$6:$J$4467,$J595,'SALES Raw'!$K$6:$K$4467,"Y")*$H$4+SUMIFS('CEMIUP0.9 Raw'!$F$6:$F$1712,'CEMIUP0.9 Raw'!$B$6:$B$1712,$J595,'CEMIUP0.9 Raw'!$H$6:$H$1712,"Y")</f>
        <v>6.31578947368421</v>
      </c>
      <c r="G595" s="19" t="n">
        <f aca="false">SUMIFS('SALES Raw'!$F$6:$F$4467,'SALES Raw'!$J$6:$J$4467,$J595,'SALES Raw'!$K$6:$K$4467,"Y")*$H$4+SUMIFS('CEMIUP0.9 Raw'!$G$6:$G$1712,'CEMIUP0.9 Raw'!$B$6:$B$1712,$J595,'CEMIUP0.9 Raw'!$H$6:$H$1712,"Y")</f>
        <v>407.25852631579</v>
      </c>
      <c r="H595" s="18" t="s">
        <v>43</v>
      </c>
      <c r="I595" s="18"/>
      <c r="J595" s="18" t="n">
        <v>4415069</v>
      </c>
    </row>
    <row r="596" customFormat="false" ht="15" hidden="false" customHeight="false" outlineLevel="0" collapsed="false">
      <c r="A596" s="18" t="str">
        <f aca="false">IF(ISNUMBER($J596),$J596,"")</f>
        <v/>
      </c>
      <c r="B596" s="18" t="str">
        <f aca="false">IFERROR(INDEX('SALES Raw'!$B$6:$B$4467,MATCH($J596,'SALES Raw'!$J$6:$J$4467,0)),IFERROR(INDEX('CEMIUP0.9 Raw'!$B$6:$B$1712,MATCH($J596,'CEMIUP0.9 Raw'!$B$6:$B$1712,0)),$J596))</f>
        <v>07AU XL ח.גב ""איטלקית"" אורירית</v>
      </c>
      <c r="C596" s="18" t="str">
        <f aca="false">IF(ISNUMBER($J596),IFERROR(INDEX('TRANS'!$C:$C,MATCH($J596,'TRANS'!$B:$B,0)),IFERROR(INDEX('Catalog'!$B:$B,MATCH($J596,'Catalog'!$A:$A,0)),$B596)),$B596)</f>
        <v>07AU XL ח.גב ""איטלקית"" אורירית</v>
      </c>
      <c r="D596" s="19" t="n">
        <f aca="false">SUMIFS('SALES Raw'!$C$6:$C$4467,'SALES Raw'!$J$6:$J$4467,$J596,'SALES Raw'!$K$6:$K$4467,"Y")+SUMIFS('CEMIUP0.9 Raw'!$D$6:$D$1712,'CEMIUP0.9 Raw'!$B$6:$B$1712,$J596,'CEMIUP0.9 Raw'!$H$6:$H$1712,"Y")</f>
        <v>0</v>
      </c>
      <c r="E596" s="19" t="n">
        <f aca="false">SUMIFS('SALES Raw'!$D$6:$D$4467,'SALES Raw'!$J$6:$J$4467,$J596,'SALES Raw'!$K$6:$K$4467,"Y")+SUMIFS('CEMIUP0.9 Raw'!$E$6:$E$1712,'CEMIUP0.9 Raw'!$B$6:$B$1712,$J596,'CEMIUP0.9 Raw'!$H$6:$H$1712,"Y")</f>
        <v>0</v>
      </c>
      <c r="F596" s="19" t="n">
        <f aca="false">SUMIFS('SALES Raw'!$E$6:$E$4467,'SALES Raw'!$J$6:$J$4467,$J596,'SALES Raw'!$K$6:$K$4467,"Y")*$H$4+SUMIFS('CEMIUP0.9 Raw'!$F$6:$F$1712,'CEMIUP0.9 Raw'!$B$6:$B$1712,$J596,'CEMIUP0.9 Raw'!$H$6:$H$1712,"Y")</f>
        <v>6.31578947368421</v>
      </c>
      <c r="G596" s="19" t="n">
        <f aca="false">SUMIFS('SALES Raw'!$F$6:$F$4467,'SALES Raw'!$J$6:$J$4467,$J596,'SALES Raw'!$K$6:$K$4467,"Y")*$H$4+SUMIFS('CEMIUP0.9 Raw'!$G$6:$G$1712,'CEMIUP0.9 Raw'!$B$6:$B$1712,$J596,'CEMIUP0.9 Raw'!$H$6:$H$1712,"Y")</f>
        <v>857.392421052632</v>
      </c>
      <c r="H596" s="18" t="s">
        <v>48</v>
      </c>
      <c r="I596" s="18"/>
      <c r="J596" s="18" t="s">
        <v>206</v>
      </c>
    </row>
    <row r="597" customFormat="false" ht="15" hidden="false" customHeight="false" outlineLevel="0" collapsed="false">
      <c r="A597" s="18" t="str">
        <f aca="false">IF(ISNUMBER($J597),$J597,"")</f>
        <v/>
      </c>
      <c r="B597" s="18" t="str">
        <f aca="false">IFERROR(INDEX('SALES Raw'!$B$6:$B$4467,MATCH($J597,'SALES Raw'!$J$6:$J$4467,0)),IFERROR(INDEX('CEMIUP0.9 Raw'!$B$6:$B$1712,MATCH($J597,'CEMIUP0.9 Raw'!$B$6:$B$1712,0)),$J597))</f>
        <v>332B L</v>
      </c>
      <c r="C597" s="18" t="str">
        <f aca="false">IF(ISNUMBER($J597),IFERROR(INDEX('TRANS'!$C:$C,MATCH($J597,'TRANS'!$B:$B,0)),IFERROR(INDEX('Catalog'!$B:$B,MATCH($J597,'Catalog'!$A:$A,0)),$B597)),$B597)</f>
        <v>332B L</v>
      </c>
      <c r="D597" s="19" t="n">
        <f aca="false">SUMIFS('SALES Raw'!$C$6:$C$4467,'SALES Raw'!$J$6:$J$4467,$J597,'SALES Raw'!$K$6:$K$4467,"Y")+SUMIFS('CEMIUP0.9 Raw'!$D$6:$D$1712,'CEMIUP0.9 Raw'!$B$6:$B$1712,$J597,'CEMIUP0.9 Raw'!$H$6:$H$1712,"Y")</f>
        <v>12</v>
      </c>
      <c r="E597" s="19" t="n">
        <f aca="false">SUMIFS('SALES Raw'!$D$6:$D$4467,'SALES Raw'!$J$6:$J$4467,$J597,'SALES Raw'!$K$6:$K$4467,"Y")+SUMIFS('CEMIUP0.9 Raw'!$E$6:$E$1712,'CEMIUP0.9 Raw'!$B$6:$B$1712,$J597,'CEMIUP0.9 Raw'!$H$6:$H$1712,"Y")</f>
        <v>1261</v>
      </c>
      <c r="F597" s="19" t="n">
        <f aca="false">SUMIFS('SALES Raw'!$E$6:$E$4467,'SALES Raw'!$J$6:$J$4467,$J597,'SALES Raw'!$K$6:$K$4467,"Y")*$H$4+SUMIFS('CEMIUP0.9 Raw'!$F$6:$F$1712,'CEMIUP0.9 Raw'!$B$6:$B$1712,$J597,'CEMIUP0.9 Raw'!$H$6:$H$1712,"Y")</f>
        <v>6.31578947368421</v>
      </c>
      <c r="G597" s="19" t="n">
        <f aca="false">SUMIFS('SALES Raw'!$F$6:$F$4467,'SALES Raw'!$J$6:$J$4467,$J597,'SALES Raw'!$K$6:$K$4467,"Y")*$H$4+SUMIFS('CEMIUP0.9 Raw'!$G$6:$G$1712,'CEMIUP0.9 Raw'!$B$6:$B$1712,$J597,'CEMIUP0.9 Raw'!$H$6:$H$1712,"Y")</f>
        <v>570.265263157895</v>
      </c>
      <c r="H597" s="18" t="s">
        <v>53</v>
      </c>
      <c r="I597" s="18" t="s">
        <v>46</v>
      </c>
      <c r="J597" s="18" t="s">
        <v>207</v>
      </c>
    </row>
    <row r="598" customFormat="false" ht="15" hidden="false" customHeight="false" outlineLevel="0" collapsed="false">
      <c r="A598" s="18" t="n">
        <f aca="false">IF(ISNUMBER($J598),$J598,"")</f>
        <v>4408070</v>
      </c>
      <c r="B598" s="18" t="str">
        <f aca="false">IFERROR(INDEX('SALES Raw'!$B$6:$B$4467,MATCH($J598,'SALES Raw'!$J$6:$J$4467,0)),IFERROR(INDEX('CEMIUP0.9 Raw'!$B$6:$B$1712,MATCH($J598,'CEMIUP0.9 Raw'!$B$6:$B$1712,0)),$J598))</f>
        <v>59D S</v>
      </c>
      <c r="C598" s="18" t="str">
        <f aca="false">IF(ISNUMBER($J598),IFERROR(INDEX('TRANS'!$C:$C,MATCH($J598,'TRANS'!$B:$B,0)),IFERROR(INDEX('Catalog'!$B:$B,MATCH($J598,'Catalog'!$A:$A,0)),$B598)),$B598)</f>
        <v>59D S חגורת שבר דו צדדי</v>
      </c>
      <c r="D598" s="19" t="n">
        <f aca="false">SUMIFS('SALES Raw'!$C$6:$C$4467,'SALES Raw'!$J$6:$J$4467,$J598,'SALES Raw'!$K$6:$K$4467,"Y")+SUMIFS('CEMIUP0.9 Raw'!$D$6:$D$1712,'CEMIUP0.9 Raw'!$B$6:$B$1712,$J598,'CEMIUP0.9 Raw'!$H$6:$H$1712,"Y")</f>
        <v>12</v>
      </c>
      <c r="E598" s="19" t="n">
        <f aca="false">SUMIFS('SALES Raw'!$D$6:$D$4467,'SALES Raw'!$J$6:$J$4467,$J598,'SALES Raw'!$K$6:$K$4467,"Y")+SUMIFS('CEMIUP0.9 Raw'!$E$6:$E$1712,'CEMIUP0.9 Raw'!$B$6:$B$1712,$J598,'CEMIUP0.9 Raw'!$H$6:$H$1712,"Y")</f>
        <v>2533.41</v>
      </c>
      <c r="F598" s="19" t="n">
        <f aca="false">SUMIFS('SALES Raw'!$E$6:$E$4467,'SALES Raw'!$J$6:$J$4467,$J598,'SALES Raw'!$K$6:$K$4467,"Y")*$H$4+SUMIFS('CEMIUP0.9 Raw'!$F$6:$F$1712,'CEMIUP0.9 Raw'!$B$6:$B$1712,$J598,'CEMIUP0.9 Raw'!$H$6:$H$1712,"Y")</f>
        <v>6.31578947368421</v>
      </c>
      <c r="G598" s="19" t="n">
        <f aca="false">SUMIFS('SALES Raw'!$F$6:$F$4467,'SALES Raw'!$J$6:$J$4467,$J598,'SALES Raw'!$K$6:$K$4467,"Y")*$H$4+SUMIFS('CEMIUP0.9 Raw'!$G$6:$G$1712,'CEMIUP0.9 Raw'!$B$6:$B$1712,$J598,'CEMIUP0.9 Raw'!$H$6:$H$1712,"Y")</f>
        <v>956.88</v>
      </c>
      <c r="H598" s="18" t="s">
        <v>44</v>
      </c>
      <c r="I598" s="18" t="s">
        <v>46</v>
      </c>
      <c r="J598" s="18" t="n">
        <v>4408070</v>
      </c>
    </row>
    <row r="599" customFormat="false" ht="15" hidden="false" customHeight="false" outlineLevel="0" collapsed="false">
      <c r="A599" s="18" t="str">
        <f aca="false">IF(ISNUMBER($J599),$J599,"")</f>
        <v/>
      </c>
      <c r="B599" s="18" t="str">
        <f aca="false">IFERROR(INDEX('SALES Raw'!$B$6:$B$4467,MATCH($J599,'SALES Raw'!$J$6:$J$4467,0)),IFERROR(INDEX('CEMIUP0.9 Raw'!$B$6:$B$1712,MATCH($J599,'CEMIUP0.9 Raw'!$B$6:$B$1712,0)),$J599))</f>
        <v>49PS L</v>
      </c>
      <c r="C599" s="18" t="str">
        <f aca="false">IF(ISNUMBER($J599),IFERROR(INDEX('TRANS'!$C:$C,MATCH($J599,'TRANS'!$B:$B,0)),IFERROR(INDEX('Catalog'!$B:$B,MATCH($J599,'Catalog'!$A:$A,0)),$B599)),$B599)</f>
        <v>49PS L</v>
      </c>
      <c r="D599" s="19" t="n">
        <f aca="false">SUMIFS('SALES Raw'!$C$6:$C$4467,'SALES Raw'!$J$6:$J$4467,$J599,'SALES Raw'!$K$6:$K$4467,"Y")+SUMIFS('CEMIUP0.9 Raw'!$D$6:$D$1712,'CEMIUP0.9 Raw'!$B$6:$B$1712,$J599,'CEMIUP0.9 Raw'!$H$6:$H$1712,"Y")</f>
        <v>3</v>
      </c>
      <c r="E599" s="19" t="n">
        <f aca="false">SUMIFS('SALES Raw'!$D$6:$D$4467,'SALES Raw'!$J$6:$J$4467,$J599,'SALES Raw'!$K$6:$K$4467,"Y")+SUMIFS('CEMIUP0.9 Raw'!$E$6:$E$1712,'CEMIUP0.9 Raw'!$B$6:$B$1712,$J599,'CEMIUP0.9 Raw'!$H$6:$H$1712,"Y")</f>
        <v>468.54</v>
      </c>
      <c r="F599" s="19" t="n">
        <f aca="false">SUMIFS('SALES Raw'!$E$6:$E$4467,'SALES Raw'!$J$6:$J$4467,$J599,'SALES Raw'!$K$6:$K$4467,"Y")*$H$4+SUMIFS('CEMIUP0.9 Raw'!$F$6:$F$1712,'CEMIUP0.9 Raw'!$B$6:$B$1712,$J599,'CEMIUP0.9 Raw'!$H$6:$H$1712,"Y")</f>
        <v>6.31578947368421</v>
      </c>
      <c r="G599" s="19" t="n">
        <f aca="false">SUMIFS('SALES Raw'!$F$6:$F$4467,'SALES Raw'!$J$6:$J$4467,$J599,'SALES Raw'!$K$6:$K$4467,"Y")*$H$4+SUMIFS('CEMIUP0.9 Raw'!$G$6:$G$1712,'CEMIUP0.9 Raw'!$B$6:$B$1712,$J599,'CEMIUP0.9 Raw'!$H$6:$H$1712,"Y")</f>
        <v>1358.09684210526</v>
      </c>
      <c r="H599" s="18" t="s">
        <v>42</v>
      </c>
      <c r="I599" s="18" t="s">
        <v>43</v>
      </c>
      <c r="J599" s="18" t="s">
        <v>208</v>
      </c>
    </row>
    <row r="600" customFormat="false" ht="15" hidden="false" customHeight="false" outlineLevel="0" collapsed="false">
      <c r="A600" s="18" t="str">
        <f aca="false">IF(ISNUMBER($J600),$J600,"")</f>
        <v/>
      </c>
      <c r="B600" s="18" t="str">
        <f aca="false">IFERROR(INDEX('SALES Raw'!$B$6:$B$4467,MATCH($J600,'SALES Raw'!$J$6:$J$4467,0)),IFERROR(INDEX('CEMIUP0.9 Raw'!$B$6:$B$1712,MATCH($J600,'CEMIUP0.9 Raw'!$B$6:$B$1712,0)),$J600))</f>
        <v>50 S</v>
      </c>
      <c r="C600" s="18" t="str">
        <f aca="false">IF(ISNUMBER($J600),IFERROR(INDEX('TRANS'!$C:$C,MATCH($J600,'TRANS'!$B:$B,0)),IFERROR(INDEX('Catalog'!$B:$B,MATCH($J600,'Catalog'!$A:$A,0)),$B600)),$B600)</f>
        <v>50 S</v>
      </c>
      <c r="D600" s="19" t="n">
        <f aca="false">SUMIFS('SALES Raw'!$C$6:$C$4467,'SALES Raw'!$J$6:$J$4467,$J600,'SALES Raw'!$K$6:$K$4467,"Y")+SUMIFS('CEMIUP0.9 Raw'!$D$6:$D$1712,'CEMIUP0.9 Raw'!$B$6:$B$1712,$J600,'CEMIUP0.9 Raw'!$H$6:$H$1712,"Y")</f>
        <v>7</v>
      </c>
      <c r="E600" s="19" t="n">
        <f aca="false">SUMIFS('SALES Raw'!$D$6:$D$4467,'SALES Raw'!$J$6:$J$4467,$J600,'SALES Raw'!$K$6:$K$4467,"Y")+SUMIFS('CEMIUP0.9 Raw'!$E$6:$E$1712,'CEMIUP0.9 Raw'!$B$6:$B$1712,$J600,'CEMIUP0.9 Raw'!$H$6:$H$1712,"Y")</f>
        <v>800.49</v>
      </c>
      <c r="F600" s="19" t="n">
        <f aca="false">SUMIFS('SALES Raw'!$E$6:$E$4467,'SALES Raw'!$J$6:$J$4467,$J600,'SALES Raw'!$K$6:$K$4467,"Y")*$H$4+SUMIFS('CEMIUP0.9 Raw'!$F$6:$F$1712,'CEMIUP0.9 Raw'!$B$6:$B$1712,$J600,'CEMIUP0.9 Raw'!$H$6:$H$1712,"Y")</f>
        <v>6.31578947368421</v>
      </c>
      <c r="G600" s="19" t="n">
        <f aca="false">SUMIFS('SALES Raw'!$F$6:$F$4467,'SALES Raw'!$J$6:$J$4467,$J600,'SALES Raw'!$K$6:$K$4467,"Y")*$H$4+SUMIFS('CEMIUP0.9 Raw'!$G$6:$G$1712,'CEMIUP0.9 Raw'!$B$6:$B$1712,$J600,'CEMIUP0.9 Raw'!$H$6:$H$1712,"Y")</f>
        <v>789.258947368421</v>
      </c>
      <c r="H600" s="18" t="s">
        <v>46</v>
      </c>
      <c r="I600" s="18" t="s">
        <v>43</v>
      </c>
      <c r="J600" s="18" t="s">
        <v>209</v>
      </c>
    </row>
    <row r="601" customFormat="false" ht="15" hidden="false" customHeight="false" outlineLevel="0" collapsed="false">
      <c r="A601" s="18" t="str">
        <f aca="false">IF(ISNUMBER($J601),$J601,"")</f>
        <v/>
      </c>
      <c r="B601" s="18" t="str">
        <f aca="false">IFERROR(INDEX('SALES Raw'!$B$6:$B$4467,MATCH($J601,'SALES Raw'!$J$6:$J$4467,0)),IFERROR(INDEX('CEMIUP0.9 Raw'!$B$6:$B$1712,MATCH($J601,'CEMIUP0.9 Raw'!$B$6:$B$1712,0)),$J601))</f>
        <v>55 M</v>
      </c>
      <c r="C601" s="18" t="str">
        <f aca="false">IF(ISNUMBER($J601),IFERROR(INDEX('TRANS'!$C:$C,MATCH($J601,'TRANS'!$B:$B,0)),IFERROR(INDEX('Catalog'!$B:$B,MATCH($J601,'Catalog'!$A:$A,0)),$B601)),$B601)</f>
        <v>55 M</v>
      </c>
      <c r="D601" s="19" t="n">
        <f aca="false">SUMIFS('SALES Raw'!$C$6:$C$4467,'SALES Raw'!$J$6:$J$4467,$J601,'SALES Raw'!$K$6:$K$4467,"Y")+SUMIFS('CEMIUP0.9 Raw'!$D$6:$D$1712,'CEMIUP0.9 Raw'!$B$6:$B$1712,$J601,'CEMIUP0.9 Raw'!$H$6:$H$1712,"Y")</f>
        <v>17</v>
      </c>
      <c r="E601" s="19" t="n">
        <f aca="false">SUMIFS('SALES Raw'!$D$6:$D$4467,'SALES Raw'!$J$6:$J$4467,$J601,'SALES Raw'!$K$6:$K$4467,"Y")+SUMIFS('CEMIUP0.9 Raw'!$E$6:$E$1712,'CEMIUP0.9 Raw'!$B$6:$B$1712,$J601,'CEMIUP0.9 Raw'!$H$6:$H$1712,"Y")</f>
        <v>1610.48</v>
      </c>
      <c r="F601" s="19" t="n">
        <f aca="false">SUMIFS('SALES Raw'!$E$6:$E$4467,'SALES Raw'!$J$6:$J$4467,$J601,'SALES Raw'!$K$6:$K$4467,"Y")*$H$4+SUMIFS('CEMIUP0.9 Raw'!$F$6:$F$1712,'CEMIUP0.9 Raw'!$B$6:$B$1712,$J601,'CEMIUP0.9 Raw'!$H$6:$H$1712,"Y")</f>
        <v>6.31578947368421</v>
      </c>
      <c r="G601" s="19" t="n">
        <f aca="false">SUMIFS('SALES Raw'!$F$6:$F$4467,'SALES Raw'!$J$6:$J$4467,$J601,'SALES Raw'!$K$6:$K$4467,"Y")*$H$4+SUMIFS('CEMIUP0.9 Raw'!$G$6:$G$1712,'CEMIUP0.9 Raw'!$B$6:$B$1712,$J601,'CEMIUP0.9 Raw'!$H$6:$H$1712,"Y")</f>
        <v>704.690526315789</v>
      </c>
      <c r="H601" s="18" t="s">
        <v>42</v>
      </c>
      <c r="I601" s="18" t="s">
        <v>43</v>
      </c>
      <c r="J601" s="18" t="s">
        <v>210</v>
      </c>
    </row>
    <row r="602" customFormat="false" ht="15" hidden="false" customHeight="false" outlineLevel="0" collapsed="false">
      <c r="A602" s="18" t="str">
        <f aca="false">IF(ISNUMBER($J602),$J602,"")</f>
        <v/>
      </c>
      <c r="B602" s="18" t="str">
        <f aca="false">IFERROR(INDEX('SALES Raw'!$B$6:$B$4467,MATCH($J602,'SALES Raw'!$J$6:$J$4467,0)),IFERROR(INDEX('CEMIUP0.9 Raw'!$B$6:$B$1712,MATCH($J602,'CEMIUP0.9 Raw'!$B$6:$B$1712,0)),$J602))</f>
        <v>15M XL</v>
      </c>
      <c r="C602" s="18" t="str">
        <f aca="false">IF(ISNUMBER($J602),IFERROR(INDEX('TRANS'!$C:$C,MATCH($J602,'TRANS'!$B:$B,0)),IFERROR(INDEX('Catalog'!$B:$B,MATCH($J602,'Catalog'!$A:$A,0)),$B602)),$B602)</f>
        <v>15M XL</v>
      </c>
      <c r="D602" s="19" t="n">
        <f aca="false">SUMIFS('SALES Raw'!$C$6:$C$4467,'SALES Raw'!$J$6:$J$4467,$J602,'SALES Raw'!$K$6:$K$4467,"Y")+SUMIFS('CEMIUP0.9 Raw'!$D$6:$D$1712,'CEMIUP0.9 Raw'!$B$6:$B$1712,$J602,'CEMIUP0.9 Raw'!$H$6:$H$1712,"Y")</f>
        <v>8</v>
      </c>
      <c r="E602" s="19" t="n">
        <f aca="false">SUMIFS('SALES Raw'!$D$6:$D$4467,'SALES Raw'!$J$6:$J$4467,$J602,'SALES Raw'!$K$6:$K$4467,"Y")+SUMIFS('CEMIUP0.9 Raw'!$E$6:$E$1712,'CEMIUP0.9 Raw'!$B$6:$B$1712,$J602,'CEMIUP0.9 Raw'!$H$6:$H$1712,"Y")</f>
        <v>1260.46</v>
      </c>
      <c r="F602" s="19" t="n">
        <f aca="false">SUMIFS('SALES Raw'!$E$6:$E$4467,'SALES Raw'!$J$6:$J$4467,$J602,'SALES Raw'!$K$6:$K$4467,"Y")*$H$4+SUMIFS('CEMIUP0.9 Raw'!$F$6:$F$1712,'CEMIUP0.9 Raw'!$B$6:$B$1712,$J602,'CEMIUP0.9 Raw'!$H$6:$H$1712,"Y")</f>
        <v>6.31578947368421</v>
      </c>
      <c r="G602" s="19" t="n">
        <f aca="false">SUMIFS('SALES Raw'!$F$6:$F$4467,'SALES Raw'!$J$6:$J$4467,$J602,'SALES Raw'!$K$6:$K$4467,"Y")*$H$4+SUMIFS('CEMIUP0.9 Raw'!$G$6:$G$1712,'CEMIUP0.9 Raw'!$B$6:$B$1712,$J602,'CEMIUP0.9 Raw'!$H$6:$H$1712,"Y")</f>
        <v>999.183157894737</v>
      </c>
      <c r="H602" s="18" t="s">
        <v>44</v>
      </c>
      <c r="I602" s="18" t="s">
        <v>43</v>
      </c>
      <c r="J602" s="18" t="s">
        <v>211</v>
      </c>
    </row>
    <row r="603" customFormat="false" ht="15" hidden="false" customHeight="false" outlineLevel="0" collapsed="false">
      <c r="A603" s="18" t="str">
        <f aca="false">IF(ISNUMBER($J603),$J603,"")</f>
        <v/>
      </c>
      <c r="B603" s="18" t="str">
        <f aca="false">IFERROR(INDEX('SALES Raw'!$B$6:$B$4467,MATCH($J603,'SALES Raw'!$J$6:$J$4467,0)),IFERROR(INDEX('CEMIUP0.9 Raw'!$B$6:$B$1712,MATCH($J603,'CEMIUP0.9 Raw'!$B$6:$B$1712,0)),$J603))</f>
        <v>34 XS</v>
      </c>
      <c r="C603" s="18" t="str">
        <f aca="false">IF(ISNUMBER($J603),IFERROR(INDEX('TRANS'!$C:$C,MATCH($J603,'TRANS'!$B:$B,0)),IFERROR(INDEX('Catalog'!$B:$B,MATCH($J603,'Catalog'!$A:$A,0)),$B603)),$B603)</f>
        <v>34 XS</v>
      </c>
      <c r="D603" s="19" t="n">
        <f aca="false">SUMIFS('SALES Raw'!$C$6:$C$4467,'SALES Raw'!$J$6:$J$4467,$J603,'SALES Raw'!$K$6:$K$4467,"Y")+SUMIFS('CEMIUP0.9 Raw'!$D$6:$D$1712,'CEMIUP0.9 Raw'!$B$6:$B$1712,$J603,'CEMIUP0.9 Raw'!$H$6:$H$1712,"Y")</f>
        <v>26</v>
      </c>
      <c r="E603" s="19" t="n">
        <f aca="false">SUMIFS('SALES Raw'!$D$6:$D$4467,'SALES Raw'!$J$6:$J$4467,$J603,'SALES Raw'!$K$6:$K$4467,"Y")+SUMIFS('CEMIUP0.9 Raw'!$E$6:$E$1712,'CEMIUP0.9 Raw'!$B$6:$B$1712,$J603,'CEMIUP0.9 Raw'!$H$6:$H$1712,"Y")</f>
        <v>770.07</v>
      </c>
      <c r="F603" s="19" t="n">
        <f aca="false">SUMIFS('SALES Raw'!$E$6:$E$4467,'SALES Raw'!$J$6:$J$4467,$J603,'SALES Raw'!$K$6:$K$4467,"Y")*$H$4+SUMIFS('CEMIUP0.9 Raw'!$F$6:$F$1712,'CEMIUP0.9 Raw'!$B$6:$B$1712,$J603,'CEMIUP0.9 Raw'!$H$6:$H$1712,"Y")</f>
        <v>6.31578947368421</v>
      </c>
      <c r="G603" s="19" t="n">
        <f aca="false">SUMIFS('SALES Raw'!$F$6:$F$4467,'SALES Raw'!$J$6:$J$4467,$J603,'SALES Raw'!$K$6:$K$4467,"Y")*$H$4+SUMIFS('CEMIUP0.9 Raw'!$G$6:$G$1712,'CEMIUP0.9 Raw'!$B$6:$B$1712,$J603,'CEMIUP0.9 Raw'!$H$6:$H$1712,"Y")</f>
        <v>279.738947368421</v>
      </c>
      <c r="H603" s="18" t="s">
        <v>44</v>
      </c>
      <c r="I603" s="18" t="s">
        <v>48</v>
      </c>
      <c r="J603" s="18" t="s">
        <v>212</v>
      </c>
    </row>
    <row r="604" customFormat="false" ht="15" hidden="false" customHeight="false" outlineLevel="0" collapsed="false">
      <c r="A604" s="18" t="n">
        <f aca="false">IF(ISNUMBER($J604),$J604,"")</f>
        <v>4413420</v>
      </c>
      <c r="B604" s="18" t="str">
        <f aca="false">IFERROR(INDEX('SALES Raw'!$B$6:$B$4467,MATCH($J604,'SALES Raw'!$J$6:$J$4467,0)),IFERROR(INDEX('CEMIUP0.9 Raw'!$B$6:$B$1712,MATCH($J604,'CEMIUP0.9 Raw'!$B$6:$B$1712,0)),$J604))</f>
        <v>SC35L S</v>
      </c>
      <c r="C604" s="18" t="str">
        <f aca="false">IF(ISNUMBER($J604),IFERROR(INDEX('TRANS'!$C:$C,MATCH($J604,'TRANS'!$B:$B,0)),IFERROR(INDEX('Catalog'!$B:$B,MATCH($J604,'Catalog'!$A:$A,0)),$B604)),$B604)</f>
        <v>SC35L  S מגן קרסול שמאל</v>
      </c>
      <c r="D604" s="19" t="n">
        <f aca="false">SUMIFS('SALES Raw'!$C$6:$C$4467,'SALES Raw'!$J$6:$J$4467,$J604,'SALES Raw'!$K$6:$K$4467,"Y")+SUMIFS('CEMIUP0.9 Raw'!$D$6:$D$1712,'CEMIUP0.9 Raw'!$B$6:$B$1712,$J604,'CEMIUP0.9 Raw'!$H$6:$H$1712,"Y")</f>
        <v>10</v>
      </c>
      <c r="E604" s="19" t="n">
        <f aca="false">SUMIFS('SALES Raw'!$D$6:$D$4467,'SALES Raw'!$J$6:$J$4467,$J604,'SALES Raw'!$K$6:$K$4467,"Y")+SUMIFS('CEMIUP0.9 Raw'!$E$6:$E$1712,'CEMIUP0.9 Raw'!$B$6:$B$1712,$J604,'CEMIUP0.9 Raw'!$H$6:$H$1712,"Y")</f>
        <v>1045.076</v>
      </c>
      <c r="F604" s="19" t="n">
        <f aca="false">SUMIFS('SALES Raw'!$E$6:$E$4467,'SALES Raw'!$J$6:$J$4467,$J604,'SALES Raw'!$K$6:$K$4467,"Y")*$H$4+SUMIFS('CEMIUP0.9 Raw'!$F$6:$F$1712,'CEMIUP0.9 Raw'!$B$6:$B$1712,$J604,'CEMIUP0.9 Raw'!$H$6:$H$1712,"Y")</f>
        <v>6.31578947368421</v>
      </c>
      <c r="G604" s="19" t="n">
        <f aca="false">SUMIFS('SALES Raw'!$F$6:$F$4467,'SALES Raw'!$J$6:$J$4467,$J604,'SALES Raw'!$K$6:$K$4467,"Y")*$H$4+SUMIFS('CEMIUP0.9 Raw'!$G$6:$G$1712,'CEMIUP0.9 Raw'!$B$6:$B$1712,$J604,'CEMIUP0.9 Raw'!$H$6:$H$1712,"Y")</f>
        <v>670.973052631579</v>
      </c>
      <c r="H604" s="18" t="s">
        <v>42</v>
      </c>
      <c r="I604" s="18" t="s">
        <v>43</v>
      </c>
      <c r="J604" s="18" t="n">
        <v>4413420</v>
      </c>
    </row>
    <row r="605" customFormat="false" ht="15" hidden="false" customHeight="false" outlineLevel="0" collapsed="false">
      <c r="A605" s="18" t="n">
        <f aca="false">IF(ISNUMBER($J605),$J605,"")</f>
        <v>4408245</v>
      </c>
      <c r="B605" s="18" t="str">
        <f aca="false">IFERROR(INDEX('SALES Raw'!$B$6:$B$4467,MATCH($J605,'SALES Raw'!$J$6:$J$4467,0)),IFERROR(INDEX('CEMIUP0.9 Raw'!$B$6:$B$1712,MATCH($J605,'CEMIUP0.9 Raw'!$B$6:$B$1712,0)),$J605))</f>
        <v>077A XXL</v>
      </c>
      <c r="C605" s="18" t="str">
        <f aca="false">IF(ISNUMBER($J605),IFERROR(INDEX('TRANS'!$C:$C,MATCH($J605,'TRANS'!$B:$B,0)),IFERROR(INDEX('Catalog'!$B:$B,MATCH($J605,'Catalog'!$A:$A,0)),$B605)),$B605)</f>
        <v>077A   XXL חגורת גב עם חיזוקים</v>
      </c>
      <c r="D605" s="19" t="n">
        <f aca="false">SUMIFS('SALES Raw'!$C$6:$C$4467,'SALES Raw'!$J$6:$J$4467,$J605,'SALES Raw'!$K$6:$K$4467,"Y")+SUMIFS('CEMIUP0.9 Raw'!$D$6:$D$1712,'CEMIUP0.9 Raw'!$B$6:$B$1712,$J605,'CEMIUP0.9 Raw'!$H$6:$H$1712,"Y")</f>
        <v>10</v>
      </c>
      <c r="E605" s="19" t="n">
        <f aca="false">SUMIFS('SALES Raw'!$D$6:$D$4467,'SALES Raw'!$J$6:$J$4467,$J605,'SALES Raw'!$K$6:$K$4467,"Y")+SUMIFS('CEMIUP0.9 Raw'!$E$6:$E$1712,'CEMIUP0.9 Raw'!$B$6:$B$1712,$J605,'CEMIUP0.9 Raw'!$H$6:$H$1712,"Y")</f>
        <v>1375.21</v>
      </c>
      <c r="F605" s="19" t="n">
        <f aca="false">SUMIFS('SALES Raw'!$E$6:$E$4467,'SALES Raw'!$J$6:$J$4467,$J605,'SALES Raw'!$K$6:$K$4467,"Y")*$H$4+SUMIFS('CEMIUP0.9 Raw'!$F$6:$F$1712,'CEMIUP0.9 Raw'!$B$6:$B$1712,$J605,'CEMIUP0.9 Raw'!$H$6:$H$1712,"Y")</f>
        <v>5.05263157894737</v>
      </c>
      <c r="G605" s="19" t="n">
        <f aca="false">SUMIFS('SALES Raw'!$F$6:$F$4467,'SALES Raw'!$J$6:$J$4467,$J605,'SALES Raw'!$K$6:$K$4467,"Y")*$H$4+SUMIFS('CEMIUP0.9 Raw'!$G$6:$G$1712,'CEMIUP0.9 Raw'!$B$6:$B$1712,$J605,'CEMIUP0.9 Raw'!$H$6:$H$1712,"Y")</f>
        <v>811.820210526316</v>
      </c>
      <c r="H605" s="18" t="s">
        <v>43</v>
      </c>
      <c r="I605" s="18" t="s">
        <v>42</v>
      </c>
      <c r="J605" s="18" t="n">
        <v>4408245</v>
      </c>
    </row>
    <row r="606" customFormat="false" ht="15" hidden="false" customHeight="false" outlineLevel="0" collapsed="false">
      <c r="A606" s="18" t="n">
        <f aca="false">IF(ISNUMBER($J606),$J606,"")</f>
        <v>4413451</v>
      </c>
      <c r="B606" s="18" t="str">
        <f aca="false">IFERROR(INDEX('SALES Raw'!$B$6:$B$4467,MATCH($J606,'SALES Raw'!$J$6:$J$4467,0)),IFERROR(INDEX('CEMIUP0.9 Raw'!$B$6:$B$1712,MATCH($J606,'CEMIUP0.9 Raw'!$B$6:$B$1712,0)),$J606))</f>
        <v>LF378 L</v>
      </c>
      <c r="C606" s="18" t="str">
        <f aca="false">IF(ISNUMBER($J606),IFERROR(INDEX('TRANS'!$C:$C,MATCH($J606,'TRANS'!$B:$B,0)),IFERROR(INDEX('Catalog'!$B:$B,MATCH($J606,'Catalog'!$A:$A,0)),$B606)),$B606)</f>
        <v>LF378 L מדרס ג'ל לנעלי עקב</v>
      </c>
      <c r="D606" s="19" t="n">
        <f aca="false">SUMIFS('SALES Raw'!$C$6:$C$4467,'SALES Raw'!$J$6:$J$4467,$J606,'SALES Raw'!$K$6:$K$4467,"Y")+SUMIFS('CEMIUP0.9 Raw'!$D$6:$D$1712,'CEMIUP0.9 Raw'!$B$6:$B$1712,$J606,'CEMIUP0.9 Raw'!$H$6:$H$1712,"Y")</f>
        <v>1</v>
      </c>
      <c r="E606" s="19" t="n">
        <f aca="false">SUMIFS('SALES Raw'!$D$6:$D$4467,'SALES Raw'!$J$6:$J$4467,$J606,'SALES Raw'!$K$6:$K$4467,"Y")+SUMIFS('CEMIUP0.9 Raw'!$E$6:$E$1712,'CEMIUP0.9 Raw'!$B$6:$B$1712,$J606,'CEMIUP0.9 Raw'!$H$6:$H$1712,"Y")</f>
        <v>73.55</v>
      </c>
      <c r="F606" s="19" t="n">
        <f aca="false">SUMIFS('SALES Raw'!$E$6:$E$4467,'SALES Raw'!$J$6:$J$4467,$J606,'SALES Raw'!$K$6:$K$4467,"Y")*$H$4+SUMIFS('CEMIUP0.9 Raw'!$F$6:$F$1712,'CEMIUP0.9 Raw'!$B$6:$B$1712,$J606,'CEMIUP0.9 Raw'!$H$6:$H$1712,"Y")</f>
        <v>5.05263157894737</v>
      </c>
      <c r="G606" s="19" t="n">
        <f aca="false">SUMIFS('SALES Raw'!$F$6:$F$4467,'SALES Raw'!$J$6:$J$4467,$J606,'SALES Raw'!$K$6:$K$4467,"Y")*$H$4+SUMIFS('CEMIUP0.9 Raw'!$G$6:$G$1712,'CEMIUP0.9 Raw'!$B$6:$B$1712,$J606,'CEMIUP0.9 Raw'!$H$6:$H$1712,"Y")</f>
        <v>415.903578947369</v>
      </c>
      <c r="H606" s="18" t="s">
        <v>43</v>
      </c>
      <c r="I606" s="18" t="s">
        <v>49</v>
      </c>
      <c r="J606" s="18" t="n">
        <v>4413451</v>
      </c>
    </row>
    <row r="607" customFormat="false" ht="15" hidden="false" customHeight="false" outlineLevel="0" collapsed="false">
      <c r="A607" s="18" t="n">
        <f aca="false">IF(ISNUMBER($J607),$J607,"")</f>
        <v>4413107</v>
      </c>
      <c r="B607" s="18" t="str">
        <f aca="false">IFERROR(INDEX('SALES Raw'!$B$6:$B$4467,MATCH($J607,'SALES Raw'!$J$6:$J$4467,0)),IFERROR(INDEX('CEMIUP0.9 Raw'!$B$6:$B$1712,MATCH($J607,'CEMIUP0.9 Raw'!$B$6:$B$1712,0)),$J607))</f>
        <v>48 L</v>
      </c>
      <c r="C607" s="18" t="str">
        <f aca="false">IF(ISNUMBER($J607),IFERROR(INDEX('TRANS'!$C:$C,MATCH($J607,'TRANS'!$B:$B,0)),IFERROR(INDEX('Catalog'!$B:$B,MATCH($J607,'Catalog'!$A:$A,0)),$B607)),$B607)</f>
        <v>48 L מגן ברך מחמם</v>
      </c>
      <c r="D607" s="19" t="n">
        <f aca="false">SUMIFS('SALES Raw'!$C$6:$C$4467,'SALES Raw'!$J$6:$J$4467,$J607,'SALES Raw'!$K$6:$K$4467,"Y")+SUMIFS('CEMIUP0.9 Raw'!$D$6:$D$1712,'CEMIUP0.9 Raw'!$B$6:$B$1712,$J607,'CEMIUP0.9 Raw'!$H$6:$H$1712,"Y")</f>
        <v>25</v>
      </c>
      <c r="E607" s="19" t="n">
        <f aca="false">SUMIFS('SALES Raw'!$D$6:$D$4467,'SALES Raw'!$J$6:$J$4467,$J607,'SALES Raw'!$K$6:$K$4467,"Y")+SUMIFS('CEMIUP0.9 Raw'!$E$6:$E$1712,'CEMIUP0.9 Raw'!$B$6:$B$1712,$J607,'CEMIUP0.9 Raw'!$H$6:$H$1712,"Y")</f>
        <v>1395.874</v>
      </c>
      <c r="F607" s="19" t="n">
        <f aca="false">SUMIFS('SALES Raw'!$E$6:$E$4467,'SALES Raw'!$J$6:$J$4467,$J607,'SALES Raw'!$K$6:$K$4467,"Y")*$H$4+SUMIFS('CEMIUP0.9 Raw'!$F$6:$F$1712,'CEMIUP0.9 Raw'!$B$6:$B$1712,$J607,'CEMIUP0.9 Raw'!$H$6:$H$1712,"Y")</f>
        <v>5.05263157894737</v>
      </c>
      <c r="G607" s="19" t="n">
        <f aca="false">SUMIFS('SALES Raw'!$F$6:$F$4467,'SALES Raw'!$J$6:$J$4467,$J607,'SALES Raw'!$K$6:$K$4467,"Y")*$H$4+SUMIFS('CEMIUP0.9 Raw'!$G$6:$G$1712,'CEMIUP0.9 Raw'!$B$6:$B$1712,$J607,'CEMIUP0.9 Raw'!$H$6:$H$1712,"Y")</f>
        <v>254.046315789473</v>
      </c>
      <c r="H607" s="18" t="s">
        <v>43</v>
      </c>
      <c r="I607" s="18" t="s">
        <v>46</v>
      </c>
      <c r="J607" s="18" t="n">
        <v>4413107</v>
      </c>
    </row>
    <row r="608" customFormat="false" ht="15" hidden="false" customHeight="false" outlineLevel="0" collapsed="false">
      <c r="A608" s="18" t="n">
        <f aca="false">IF(ISNUMBER($J608),$J608,"")</f>
        <v>4403004</v>
      </c>
      <c r="B608" s="18" t="n">
        <f aca="false">IFERROR(INDEX('SALES Raw'!$B$6:$B$4467,MATCH($J608,'SALES Raw'!$J$6:$J$4467,0)),IFERROR(INDEX('CEMIUP0.9 Raw'!$B$6:$B$1712,MATCH($J608,'CEMIUP0.9 Raw'!$B$6:$B$1712,0)),$J608))</f>
        <v>4403004</v>
      </c>
      <c r="C608" s="18" t="str">
        <f aca="false">IF(ISNUMBER($J608),IFERROR(INDEX('TRANS'!$C:$C,MATCH($J608,'TRANS'!$B:$B,0)),IFERROR(INDEX('Catalog'!$B:$B,MATCH($J608,'Catalog'!$A:$A,0)),$B608)),$B608)</f>
        <v>390G 39-42.גרב.כסף לסכרתיים אפ</v>
      </c>
      <c r="D608" s="19" t="n">
        <f aca="false">SUMIFS('SALES Raw'!$C$6:$C$4467,'SALES Raw'!$J$6:$J$4467,$J608,'SALES Raw'!$K$6:$K$4467,"Y")+SUMIFS('CEMIUP0.9 Raw'!$D$6:$D$1712,'CEMIUP0.9 Raw'!$B$6:$B$1712,$J608,'CEMIUP0.9 Raw'!$H$6:$H$1712,"Y")</f>
        <v>16</v>
      </c>
      <c r="E608" s="19" t="n">
        <f aca="false">SUMIFS('SALES Raw'!$D$6:$D$4467,'SALES Raw'!$J$6:$J$4467,$J608,'SALES Raw'!$K$6:$K$4467,"Y")+SUMIFS('CEMIUP0.9 Raw'!$E$6:$E$1712,'CEMIUP0.9 Raw'!$B$6:$B$1712,$J608,'CEMIUP0.9 Raw'!$H$6:$H$1712,"Y")</f>
        <v>500.045</v>
      </c>
      <c r="F608" s="19" t="n">
        <f aca="false">SUMIFS('SALES Raw'!$E$6:$E$4467,'SALES Raw'!$J$6:$J$4467,$J608,'SALES Raw'!$K$6:$K$4467,"Y")*$H$4+SUMIFS('CEMIUP0.9 Raw'!$F$6:$F$1712,'CEMIUP0.9 Raw'!$B$6:$B$1712,$J608,'CEMIUP0.9 Raw'!$H$6:$H$1712,"Y")</f>
        <v>5.05263157894737</v>
      </c>
      <c r="G608" s="19" t="n">
        <f aca="false">SUMIFS('SALES Raw'!$F$6:$F$4467,'SALES Raw'!$J$6:$J$4467,$J608,'SALES Raw'!$K$6:$K$4467,"Y")*$H$4+SUMIFS('CEMIUP0.9 Raw'!$G$6:$G$1712,'CEMIUP0.9 Raw'!$B$6:$B$1712,$J608,'CEMIUP0.9 Raw'!$H$6:$H$1712,"Y")</f>
        <v>161.386105263158</v>
      </c>
      <c r="H608" s="18" t="s">
        <v>43</v>
      </c>
      <c r="I608" s="18"/>
      <c r="J608" s="18" t="n">
        <v>4403004</v>
      </c>
    </row>
    <row r="609" customFormat="false" ht="15" hidden="false" customHeight="false" outlineLevel="0" collapsed="false">
      <c r="A609" s="18" t="n">
        <f aca="false">IF(ISNUMBER($J609),$J609,"")</f>
        <v>4413276</v>
      </c>
      <c r="B609" s="18" t="str">
        <f aca="false">IFERROR(INDEX('SALES Raw'!$B$6:$B$4467,MATCH($J609,'SALES Raw'!$J$6:$J$4467,0)),IFERROR(INDEX('CEMIUP0.9 Raw'!$B$6:$B$1712,MATCH($J609,'CEMIUP0.9 Raw'!$B$6:$B$1712,0)),$J609))</f>
        <v>LF377 L</v>
      </c>
      <c r="C609" s="18" t="str">
        <f aca="false">IF(ISNUMBER($J609),IFERROR(INDEX('TRANS'!$C:$C,MATCH($J609,'TRANS'!$B:$B,0)),IFERROR(INDEX('Catalog'!$B:$B,MATCH($J609,'Catalog'!$A:$A,0)),$B609)),$B609)</f>
        <v>LF377 L-מדרס סיליקון לנעלי עקב</v>
      </c>
      <c r="D609" s="19" t="n">
        <f aca="false">SUMIFS('SALES Raw'!$C$6:$C$4467,'SALES Raw'!$J$6:$J$4467,$J609,'SALES Raw'!$K$6:$K$4467,"Y")+SUMIFS('CEMIUP0.9 Raw'!$D$6:$D$1712,'CEMIUP0.9 Raw'!$B$6:$B$1712,$J609,'CEMIUP0.9 Raw'!$H$6:$H$1712,"Y")</f>
        <v>4</v>
      </c>
      <c r="E609" s="19" t="n">
        <f aca="false">SUMIFS('SALES Raw'!$D$6:$D$4467,'SALES Raw'!$J$6:$J$4467,$J609,'SALES Raw'!$K$6:$K$4467,"Y")+SUMIFS('CEMIUP0.9 Raw'!$E$6:$E$1712,'CEMIUP0.9 Raw'!$B$6:$B$1712,$J609,'CEMIUP0.9 Raw'!$H$6:$H$1712,"Y")</f>
        <v>107.414</v>
      </c>
      <c r="F609" s="19" t="n">
        <f aca="false">SUMIFS('SALES Raw'!$E$6:$E$4467,'SALES Raw'!$J$6:$J$4467,$J609,'SALES Raw'!$K$6:$K$4467,"Y")*$H$4+SUMIFS('CEMIUP0.9 Raw'!$F$6:$F$1712,'CEMIUP0.9 Raw'!$B$6:$B$1712,$J609,'CEMIUP0.9 Raw'!$H$6:$H$1712,"Y")</f>
        <v>5.05263157894737</v>
      </c>
      <c r="G609" s="19" t="n">
        <f aca="false">SUMIFS('SALES Raw'!$F$6:$F$4467,'SALES Raw'!$J$6:$J$4467,$J609,'SALES Raw'!$K$6:$K$4467,"Y")*$H$4+SUMIFS('CEMIUP0.9 Raw'!$G$6:$G$1712,'CEMIUP0.9 Raw'!$B$6:$B$1712,$J609,'CEMIUP0.9 Raw'!$H$6:$H$1712,"Y")</f>
        <v>210.238736842105</v>
      </c>
      <c r="H609" s="18" t="s">
        <v>43</v>
      </c>
      <c r="I609" s="18" t="s">
        <v>48</v>
      </c>
      <c r="J609" s="18" t="n">
        <v>4413276</v>
      </c>
    </row>
    <row r="610" customFormat="false" ht="15" hidden="false" customHeight="false" outlineLevel="0" collapsed="false">
      <c r="A610" s="18" t="str">
        <f aca="false">IF(ISNUMBER($J610),$J610,"")</f>
        <v/>
      </c>
      <c r="B610" s="18" t="str">
        <f aca="false">IFERROR(INDEX('SALES Raw'!$B$6:$B$4467,MATCH($J610,'SALES Raw'!$J$6:$J$4467,0)),IFERROR(INDEX('CEMIUP0.9 Raw'!$B$6:$B$1712,MATCH($J610,'CEMIUP0.9 Raw'!$B$6:$B$1712,0)),$J610))</f>
        <v>11U XL</v>
      </c>
      <c r="C610" s="18" t="str">
        <f aca="false">IF(ISNUMBER($J610),IFERROR(INDEX('TRANS'!$C:$C,MATCH($J610,'TRANS'!$B:$B,0)),IFERROR(INDEX('Catalog'!$B:$B,MATCH($J610,'Catalog'!$A:$A,0)),$B610)),$B610)</f>
        <v>11U XL</v>
      </c>
      <c r="D610" s="19" t="n">
        <f aca="false">SUMIFS('SALES Raw'!$C$6:$C$4467,'SALES Raw'!$J$6:$J$4467,$J610,'SALES Raw'!$K$6:$K$4467,"Y")+SUMIFS('CEMIUP0.9 Raw'!$D$6:$D$1712,'CEMIUP0.9 Raw'!$B$6:$B$1712,$J610,'CEMIUP0.9 Raw'!$H$6:$H$1712,"Y")</f>
        <v>5</v>
      </c>
      <c r="E610" s="19" t="n">
        <f aca="false">SUMIFS('SALES Raw'!$D$6:$D$4467,'SALES Raw'!$J$6:$J$4467,$J610,'SALES Raw'!$K$6:$K$4467,"Y")+SUMIFS('CEMIUP0.9 Raw'!$E$6:$E$1712,'CEMIUP0.9 Raw'!$B$6:$B$1712,$J610,'CEMIUP0.9 Raw'!$H$6:$H$1712,"Y")</f>
        <v>324.45</v>
      </c>
      <c r="F610" s="19" t="n">
        <f aca="false">SUMIFS('SALES Raw'!$E$6:$E$4467,'SALES Raw'!$J$6:$J$4467,$J610,'SALES Raw'!$K$6:$K$4467,"Y")*$H$4+SUMIFS('CEMIUP0.9 Raw'!$F$6:$F$1712,'CEMIUP0.9 Raw'!$B$6:$B$1712,$J610,'CEMIUP0.9 Raw'!$H$6:$H$1712,"Y")</f>
        <v>5.05263157894737</v>
      </c>
      <c r="G610" s="19" t="n">
        <f aca="false">SUMIFS('SALES Raw'!$F$6:$F$4467,'SALES Raw'!$J$6:$J$4467,$J610,'SALES Raw'!$K$6:$K$4467,"Y")*$H$4+SUMIFS('CEMIUP0.9 Raw'!$G$6:$G$1712,'CEMIUP0.9 Raw'!$B$6:$B$1712,$J610,'CEMIUP0.9 Raw'!$H$6:$H$1712,"Y")</f>
        <v>327.865263157895</v>
      </c>
      <c r="H610" s="18" t="s">
        <v>48</v>
      </c>
      <c r="I610" s="18"/>
      <c r="J610" s="18" t="s">
        <v>213</v>
      </c>
    </row>
    <row r="611" customFormat="false" ht="15" hidden="false" customHeight="false" outlineLevel="0" collapsed="false">
      <c r="A611" s="18" t="str">
        <f aca="false">IF(ISNUMBER($J611),$J611,"")</f>
        <v/>
      </c>
      <c r="B611" s="18" t="str">
        <f aca="false">IFERROR(INDEX('SALES Raw'!$B$6:$B$4467,MATCH($J611,'SALES Raw'!$J$6:$J$4467,0)),IFERROR(INDEX('CEMIUP0.9 Raw'!$B$6:$B$1712,MATCH($J611,'CEMIUP0.9 Raw'!$B$6:$B$1712,0)),$J611))</f>
        <v>079 M</v>
      </c>
      <c r="C611" s="18" t="str">
        <f aca="false">IF(ISNUMBER($J611),IFERROR(INDEX('TRANS'!$C:$C,MATCH($J611,'TRANS'!$B:$B,0)),IFERROR(INDEX('Catalog'!$B:$B,MATCH($J611,'Catalog'!$A:$A,0)),$B611)),$B611)</f>
        <v>079 M</v>
      </c>
      <c r="D611" s="19" t="n">
        <f aca="false">SUMIFS('SALES Raw'!$C$6:$C$4467,'SALES Raw'!$J$6:$J$4467,$J611,'SALES Raw'!$K$6:$K$4467,"Y")+SUMIFS('CEMIUP0.9 Raw'!$D$6:$D$1712,'CEMIUP0.9 Raw'!$B$6:$B$1712,$J611,'CEMIUP0.9 Raw'!$H$6:$H$1712,"Y")</f>
        <v>1</v>
      </c>
      <c r="E611" s="19" t="n">
        <f aca="false">SUMIFS('SALES Raw'!$D$6:$D$4467,'SALES Raw'!$J$6:$J$4467,$J611,'SALES Raw'!$K$6:$K$4467,"Y")+SUMIFS('CEMIUP0.9 Raw'!$E$6:$E$1712,'CEMIUP0.9 Raw'!$B$6:$B$1712,$J611,'CEMIUP0.9 Raw'!$H$6:$H$1712,"Y")</f>
        <v>108.68</v>
      </c>
      <c r="F611" s="19" t="n">
        <f aca="false">SUMIFS('SALES Raw'!$E$6:$E$4467,'SALES Raw'!$J$6:$J$4467,$J611,'SALES Raw'!$K$6:$K$4467,"Y")*$H$4+SUMIFS('CEMIUP0.9 Raw'!$F$6:$F$1712,'CEMIUP0.9 Raw'!$B$6:$B$1712,$J611,'CEMIUP0.9 Raw'!$H$6:$H$1712,"Y")</f>
        <v>5.05263157894737</v>
      </c>
      <c r="G611" s="19" t="n">
        <f aca="false">SUMIFS('SALES Raw'!$F$6:$F$4467,'SALES Raw'!$J$6:$J$4467,$J611,'SALES Raw'!$K$6:$K$4467,"Y")*$H$4+SUMIFS('CEMIUP0.9 Raw'!$G$6:$G$1712,'CEMIUP0.9 Raw'!$B$6:$B$1712,$J611,'CEMIUP0.9 Raw'!$H$6:$H$1712,"Y")</f>
        <v>501.991578947368</v>
      </c>
      <c r="H611" s="18" t="s">
        <v>46</v>
      </c>
      <c r="I611" s="18" t="s">
        <v>53</v>
      </c>
      <c r="J611" s="18" t="s">
        <v>214</v>
      </c>
    </row>
    <row r="612" customFormat="false" ht="15" hidden="false" customHeight="false" outlineLevel="0" collapsed="false">
      <c r="A612" s="18" t="str">
        <f aca="false">IF(ISNUMBER($J612),$J612,"")</f>
        <v/>
      </c>
      <c r="B612" s="18" t="str">
        <f aca="false">IFERROR(INDEX('SALES Raw'!$B$6:$B$4467,MATCH($J612,'SALES Raw'!$J$6:$J$4467,0)),IFERROR(INDEX('CEMIUP0.9 Raw'!$B$6:$B$1712,MATCH($J612,'CEMIUP0.9 Raw'!$B$6:$B$1712,0)),$J612))</f>
        <v>099-S-M</v>
      </c>
      <c r="C612" s="18" t="str">
        <f aca="false">IF(ISNUMBER($J612),IFERROR(INDEX('TRANS'!$C:$C,MATCH($J612,'TRANS'!$B:$B,0)),IFERROR(INDEX('Catalog'!$B:$B,MATCH($J612,'Catalog'!$A:$A,0)),$B612)),$B612)</f>
        <v>099-S-M</v>
      </c>
      <c r="D612" s="19" t="n">
        <f aca="false">SUMIFS('SALES Raw'!$C$6:$C$4467,'SALES Raw'!$J$6:$J$4467,$J612,'SALES Raw'!$K$6:$K$4467,"Y")+SUMIFS('CEMIUP0.9 Raw'!$D$6:$D$1712,'CEMIUP0.9 Raw'!$B$6:$B$1712,$J612,'CEMIUP0.9 Raw'!$H$6:$H$1712,"Y")</f>
        <v>6</v>
      </c>
      <c r="E612" s="19" t="n">
        <f aca="false">SUMIFS('SALES Raw'!$D$6:$D$4467,'SALES Raw'!$J$6:$J$4467,$J612,'SALES Raw'!$K$6:$K$4467,"Y")+SUMIFS('CEMIUP0.9 Raw'!$E$6:$E$1712,'CEMIUP0.9 Raw'!$B$6:$B$1712,$J612,'CEMIUP0.9 Raw'!$H$6:$H$1712,"Y")</f>
        <v>733.9</v>
      </c>
      <c r="F612" s="19" t="n">
        <f aca="false">SUMIFS('SALES Raw'!$E$6:$E$4467,'SALES Raw'!$J$6:$J$4467,$J612,'SALES Raw'!$K$6:$K$4467,"Y")*$H$4+SUMIFS('CEMIUP0.9 Raw'!$F$6:$F$1712,'CEMIUP0.9 Raw'!$B$6:$B$1712,$J612,'CEMIUP0.9 Raw'!$H$6:$H$1712,"Y")</f>
        <v>5.05263157894737</v>
      </c>
      <c r="G612" s="19" t="n">
        <f aca="false">SUMIFS('SALES Raw'!$F$6:$F$4467,'SALES Raw'!$J$6:$J$4467,$J612,'SALES Raw'!$K$6:$K$4467,"Y")*$H$4+SUMIFS('CEMIUP0.9 Raw'!$G$6:$G$1712,'CEMIUP0.9 Raw'!$B$6:$B$1712,$J612,'CEMIUP0.9 Raw'!$H$6:$H$1712,"Y")</f>
        <v>644.753684210526</v>
      </c>
      <c r="H612" s="18" t="s">
        <v>42</v>
      </c>
      <c r="I612" s="18" t="s">
        <v>53</v>
      </c>
      <c r="J612" s="18" t="s">
        <v>215</v>
      </c>
    </row>
    <row r="613" customFormat="false" ht="15" hidden="false" customHeight="false" outlineLevel="0" collapsed="false">
      <c r="A613" s="18" t="str">
        <f aca="false">IF(ISNUMBER($J613),$J613,"")</f>
        <v/>
      </c>
      <c r="B613" s="18" t="str">
        <f aca="false">IFERROR(INDEX('SALES Raw'!$B$6:$B$4467,MATCH($J613,'SALES Raw'!$J$6:$J$4467,0)),IFERROR(INDEX('CEMIUP0.9 Raw'!$B$6:$B$1712,MATCH($J613,'CEMIUP0.9 Raw'!$B$6:$B$1712,0)),$J613))</f>
        <v>11UG XL</v>
      </c>
      <c r="C613" s="18" t="str">
        <f aca="false">IF(ISNUMBER($J613),IFERROR(INDEX('TRANS'!$C:$C,MATCH($J613,'TRANS'!$B:$B,0)),IFERROR(INDEX('Catalog'!$B:$B,MATCH($J613,'Catalog'!$A:$A,0)),$B613)),$B613)</f>
        <v>11UG XL</v>
      </c>
      <c r="D613" s="19" t="n">
        <f aca="false">SUMIFS('SALES Raw'!$C$6:$C$4467,'SALES Raw'!$J$6:$J$4467,$J613,'SALES Raw'!$K$6:$K$4467,"Y")+SUMIFS('CEMIUP0.9 Raw'!$D$6:$D$1712,'CEMIUP0.9 Raw'!$B$6:$B$1712,$J613,'CEMIUP0.9 Raw'!$H$6:$H$1712,"Y")</f>
        <v>8</v>
      </c>
      <c r="E613" s="19" t="n">
        <f aca="false">SUMIFS('SALES Raw'!$D$6:$D$4467,'SALES Raw'!$J$6:$J$4467,$J613,'SALES Raw'!$K$6:$K$4467,"Y")+SUMIFS('CEMIUP0.9 Raw'!$E$6:$E$1712,'CEMIUP0.9 Raw'!$B$6:$B$1712,$J613,'CEMIUP0.9 Raw'!$H$6:$H$1712,"Y")</f>
        <v>1154.59</v>
      </c>
      <c r="F613" s="19" t="n">
        <f aca="false">SUMIFS('SALES Raw'!$E$6:$E$4467,'SALES Raw'!$J$6:$J$4467,$J613,'SALES Raw'!$K$6:$K$4467,"Y")*$H$4+SUMIFS('CEMIUP0.9 Raw'!$F$6:$F$1712,'CEMIUP0.9 Raw'!$B$6:$B$1712,$J613,'CEMIUP0.9 Raw'!$H$6:$H$1712,"Y")</f>
        <v>5.05263157894737</v>
      </c>
      <c r="G613" s="19" t="n">
        <f aca="false">SUMIFS('SALES Raw'!$F$6:$F$4467,'SALES Raw'!$J$6:$J$4467,$J613,'SALES Raw'!$K$6:$K$4467,"Y")*$H$4+SUMIFS('CEMIUP0.9 Raw'!$G$6:$G$1712,'CEMIUP0.9 Raw'!$B$6:$B$1712,$J613,'CEMIUP0.9 Raw'!$H$6:$H$1712,"Y")</f>
        <v>795.486315789474</v>
      </c>
      <c r="H613" s="18" t="s">
        <v>42</v>
      </c>
      <c r="I613" s="18" t="s">
        <v>53</v>
      </c>
      <c r="J613" s="18" t="s">
        <v>216</v>
      </c>
    </row>
    <row r="614" customFormat="false" ht="15" hidden="false" customHeight="false" outlineLevel="0" collapsed="false">
      <c r="A614" s="18" t="str">
        <f aca="false">IF(ISNUMBER($J614),$J614,"")</f>
        <v/>
      </c>
      <c r="B614" s="18" t="str">
        <f aca="false">IFERROR(INDEX('SALES Raw'!$B$6:$B$4467,MATCH($J614,'SALES Raw'!$J$6:$J$4467,0)),IFERROR(INDEX('CEMIUP0.9 Raw'!$B$6:$B$1712,MATCH($J614,'CEMIUP0.9 Raw'!$B$6:$B$1712,0)),$J614))</f>
        <v>48 XXL</v>
      </c>
      <c r="C614" s="18" t="str">
        <f aca="false">IF(ISNUMBER($J614),IFERROR(INDEX('TRANS'!$C:$C,MATCH($J614,'TRANS'!$B:$B,0)),IFERROR(INDEX('Catalog'!$B:$B,MATCH($J614,'Catalog'!$A:$A,0)),$B614)),$B614)</f>
        <v>48 XXL</v>
      </c>
      <c r="D614" s="19" t="n">
        <f aca="false">SUMIFS('SALES Raw'!$C$6:$C$4467,'SALES Raw'!$J$6:$J$4467,$J614,'SALES Raw'!$K$6:$K$4467,"Y")+SUMIFS('CEMIUP0.9 Raw'!$D$6:$D$1712,'CEMIUP0.9 Raw'!$B$6:$B$1712,$J614,'CEMIUP0.9 Raw'!$H$6:$H$1712,"Y")</f>
        <v>7</v>
      </c>
      <c r="E614" s="19" t="n">
        <f aca="false">SUMIFS('SALES Raw'!$D$6:$D$4467,'SALES Raw'!$J$6:$J$4467,$J614,'SALES Raw'!$K$6:$K$4467,"Y")+SUMIFS('CEMIUP0.9 Raw'!$E$6:$E$1712,'CEMIUP0.9 Raw'!$B$6:$B$1712,$J614,'CEMIUP0.9 Raw'!$H$6:$H$1712,"Y")</f>
        <v>579.85</v>
      </c>
      <c r="F614" s="19" t="n">
        <f aca="false">SUMIFS('SALES Raw'!$E$6:$E$4467,'SALES Raw'!$J$6:$J$4467,$J614,'SALES Raw'!$K$6:$K$4467,"Y")*$H$4+SUMIFS('CEMIUP0.9 Raw'!$F$6:$F$1712,'CEMIUP0.9 Raw'!$B$6:$B$1712,$J614,'CEMIUP0.9 Raw'!$H$6:$H$1712,"Y")</f>
        <v>5.05263157894737</v>
      </c>
      <c r="G614" s="19" t="n">
        <f aca="false">SUMIFS('SALES Raw'!$F$6:$F$4467,'SALES Raw'!$J$6:$J$4467,$J614,'SALES Raw'!$K$6:$K$4467,"Y")*$H$4+SUMIFS('CEMIUP0.9 Raw'!$G$6:$G$1712,'CEMIUP0.9 Raw'!$B$6:$B$1712,$J614,'CEMIUP0.9 Raw'!$H$6:$H$1712,"Y")</f>
        <v>504.732631578947</v>
      </c>
      <c r="H614" s="18" t="s">
        <v>42</v>
      </c>
      <c r="I614" s="18" t="s">
        <v>46</v>
      </c>
      <c r="J614" s="18" t="s">
        <v>217</v>
      </c>
    </row>
    <row r="615" customFormat="false" ht="15" hidden="false" customHeight="false" outlineLevel="0" collapsed="false">
      <c r="A615" s="18" t="str">
        <f aca="false">IF(ISNUMBER($J615),$J615,"")</f>
        <v/>
      </c>
      <c r="B615" s="18" t="str">
        <f aca="false">IFERROR(INDEX('SALES Raw'!$B$6:$B$4467,MATCH($J615,'SALES Raw'!$J$6:$J$4467,0)),IFERROR(INDEX('CEMIUP0.9 Raw'!$B$6:$B$1712,MATCH($J615,'CEMIUP0.9 Raw'!$B$6:$B$1712,0)),$J615))</f>
        <v>61 S</v>
      </c>
      <c r="C615" s="18" t="str">
        <f aca="false">IF(ISNUMBER($J615),IFERROR(INDEX('TRANS'!$C:$C,MATCH($J615,'TRANS'!$B:$B,0)),IFERROR(INDEX('Catalog'!$B:$B,MATCH($J615,'Catalog'!$A:$A,0)),$B615)),$B615)</f>
        <v>61 S</v>
      </c>
      <c r="D615" s="19" t="n">
        <f aca="false">SUMIFS('SALES Raw'!$C$6:$C$4467,'SALES Raw'!$J$6:$J$4467,$J615,'SALES Raw'!$K$6:$K$4467,"Y")+SUMIFS('CEMIUP0.9 Raw'!$D$6:$D$1712,'CEMIUP0.9 Raw'!$B$6:$B$1712,$J615,'CEMIUP0.9 Raw'!$H$6:$H$1712,"Y")</f>
        <v>9</v>
      </c>
      <c r="E615" s="19" t="n">
        <f aca="false">SUMIFS('SALES Raw'!$D$6:$D$4467,'SALES Raw'!$J$6:$J$4467,$J615,'SALES Raw'!$K$6:$K$4467,"Y")+SUMIFS('CEMIUP0.9 Raw'!$E$6:$E$1712,'CEMIUP0.9 Raw'!$B$6:$B$1712,$J615,'CEMIUP0.9 Raw'!$H$6:$H$1712,"Y")</f>
        <v>334.48</v>
      </c>
      <c r="F615" s="19" t="n">
        <f aca="false">SUMIFS('SALES Raw'!$E$6:$E$4467,'SALES Raw'!$J$6:$J$4467,$J615,'SALES Raw'!$K$6:$K$4467,"Y")*$H$4+SUMIFS('CEMIUP0.9 Raw'!$F$6:$F$1712,'CEMIUP0.9 Raw'!$B$6:$B$1712,$J615,'CEMIUP0.9 Raw'!$H$6:$H$1712,"Y")</f>
        <v>5.05263157894737</v>
      </c>
      <c r="G615" s="19" t="n">
        <f aca="false">SUMIFS('SALES Raw'!$F$6:$F$4467,'SALES Raw'!$J$6:$J$4467,$J615,'SALES Raw'!$K$6:$K$4467,"Y")*$H$4+SUMIFS('CEMIUP0.9 Raw'!$G$6:$G$1712,'CEMIUP0.9 Raw'!$B$6:$B$1712,$J615,'CEMIUP0.9 Raw'!$H$6:$H$1712,"Y")</f>
        <v>220.686315789474</v>
      </c>
      <c r="H615" s="18" t="s">
        <v>44</v>
      </c>
      <c r="I615" s="18" t="s">
        <v>46</v>
      </c>
      <c r="J615" s="18" t="s">
        <v>218</v>
      </c>
    </row>
    <row r="616" customFormat="false" ht="15" hidden="false" customHeight="false" outlineLevel="0" collapsed="false">
      <c r="A616" s="18" t="str">
        <f aca="false">IF(ISNUMBER($J616),$J616,"")</f>
        <v/>
      </c>
      <c r="B616" s="18" t="str">
        <f aca="false">IFERROR(INDEX('SALES Raw'!$B$6:$B$4467,MATCH($J616,'SALES Raw'!$J$6:$J$4467,0)),IFERROR(INDEX('CEMIUP0.9 Raw'!$B$6:$B$1712,MATCH($J616,'CEMIUP0.9 Raw'!$B$6:$B$1712,0)),$J616))</f>
        <v>56B L</v>
      </c>
      <c r="C616" s="18" t="str">
        <f aca="false">IF(ISNUMBER($J616),IFERROR(INDEX('TRANS'!$C:$C,MATCH($J616,'TRANS'!$B:$B,0)),IFERROR(INDEX('Catalog'!$B:$B,MATCH($J616,'Catalog'!$A:$A,0)),$B616)),$B616)</f>
        <v>56B L</v>
      </c>
      <c r="D616" s="19" t="n">
        <f aca="false">SUMIFS('SALES Raw'!$C$6:$C$4467,'SALES Raw'!$J$6:$J$4467,$J616,'SALES Raw'!$K$6:$K$4467,"Y")+SUMIFS('CEMIUP0.9 Raw'!$D$6:$D$1712,'CEMIUP0.9 Raw'!$B$6:$B$1712,$J616,'CEMIUP0.9 Raw'!$H$6:$H$1712,"Y")</f>
        <v>0</v>
      </c>
      <c r="E616" s="19" t="n">
        <f aca="false">SUMIFS('SALES Raw'!$D$6:$D$4467,'SALES Raw'!$J$6:$J$4467,$J616,'SALES Raw'!$K$6:$K$4467,"Y")+SUMIFS('CEMIUP0.9 Raw'!$E$6:$E$1712,'CEMIUP0.9 Raw'!$B$6:$B$1712,$J616,'CEMIUP0.9 Raw'!$H$6:$H$1712,"Y")</f>
        <v>0</v>
      </c>
      <c r="F616" s="19" t="n">
        <f aca="false">SUMIFS('SALES Raw'!$E$6:$E$4467,'SALES Raw'!$J$6:$J$4467,$J616,'SALES Raw'!$K$6:$K$4467,"Y")*$H$4+SUMIFS('CEMIUP0.9 Raw'!$F$6:$F$1712,'CEMIUP0.9 Raw'!$B$6:$B$1712,$J616,'CEMIUP0.9 Raw'!$H$6:$H$1712,"Y")</f>
        <v>5.05263157894737</v>
      </c>
      <c r="G616" s="19" t="n">
        <f aca="false">SUMIFS('SALES Raw'!$F$6:$F$4467,'SALES Raw'!$J$6:$J$4467,$J616,'SALES Raw'!$K$6:$K$4467,"Y")*$H$4+SUMIFS('CEMIUP0.9 Raw'!$G$6:$G$1712,'CEMIUP0.9 Raw'!$B$6:$B$1712,$J616,'CEMIUP0.9 Raw'!$H$6:$H$1712,"Y")</f>
        <v>411.84</v>
      </c>
      <c r="H616" s="18" t="s">
        <v>44</v>
      </c>
      <c r="I616" s="18" t="s">
        <v>46</v>
      </c>
      <c r="J616" s="18" t="s">
        <v>219</v>
      </c>
    </row>
    <row r="617" customFormat="false" ht="15" hidden="false" customHeight="false" outlineLevel="0" collapsed="false">
      <c r="A617" s="18" t="str">
        <f aca="false">IF(ISNUMBER($J617),$J617,"")</f>
        <v/>
      </c>
      <c r="B617" s="18" t="str">
        <f aca="false">IFERROR(INDEX('SALES Raw'!$B$6:$B$4467,MATCH($J617,'SALES Raw'!$J$6:$J$4467,0)),IFERROR(INDEX('CEMIUP0.9 Raw'!$B$6:$B$1712,MATCH($J617,'CEMIUP0.9 Raw'!$B$6:$B$1712,0)),$J617))</f>
        <v>56B M</v>
      </c>
      <c r="C617" s="18" t="str">
        <f aca="false">IF(ISNUMBER($J617),IFERROR(INDEX('TRANS'!$C:$C,MATCH($J617,'TRANS'!$B:$B,0)),IFERROR(INDEX('Catalog'!$B:$B,MATCH($J617,'Catalog'!$A:$A,0)),$B617)),$B617)</f>
        <v>56B M</v>
      </c>
      <c r="D617" s="19" t="n">
        <f aca="false">SUMIFS('SALES Raw'!$C$6:$C$4467,'SALES Raw'!$J$6:$J$4467,$J617,'SALES Raw'!$K$6:$K$4467,"Y")+SUMIFS('CEMIUP0.9 Raw'!$D$6:$D$1712,'CEMIUP0.9 Raw'!$B$6:$B$1712,$J617,'CEMIUP0.9 Raw'!$H$6:$H$1712,"Y")</f>
        <v>0</v>
      </c>
      <c r="E617" s="19" t="n">
        <f aca="false">SUMIFS('SALES Raw'!$D$6:$D$4467,'SALES Raw'!$J$6:$J$4467,$J617,'SALES Raw'!$K$6:$K$4467,"Y")+SUMIFS('CEMIUP0.9 Raw'!$E$6:$E$1712,'CEMIUP0.9 Raw'!$B$6:$B$1712,$J617,'CEMIUP0.9 Raw'!$H$6:$H$1712,"Y")</f>
        <v>0</v>
      </c>
      <c r="F617" s="19" t="n">
        <f aca="false">SUMIFS('SALES Raw'!$E$6:$E$4467,'SALES Raw'!$J$6:$J$4467,$J617,'SALES Raw'!$K$6:$K$4467,"Y")*$H$4+SUMIFS('CEMIUP0.9 Raw'!$F$6:$F$1712,'CEMIUP0.9 Raw'!$B$6:$B$1712,$J617,'CEMIUP0.9 Raw'!$H$6:$H$1712,"Y")</f>
        <v>5.05263157894737</v>
      </c>
      <c r="G617" s="19" t="n">
        <f aca="false">SUMIFS('SALES Raw'!$F$6:$F$4467,'SALES Raw'!$J$6:$J$4467,$J617,'SALES Raw'!$K$6:$K$4467,"Y")*$H$4+SUMIFS('CEMIUP0.9 Raw'!$G$6:$G$1712,'CEMIUP0.9 Raw'!$B$6:$B$1712,$J617,'CEMIUP0.9 Raw'!$H$6:$H$1712,"Y")</f>
        <v>476.122105263158</v>
      </c>
      <c r="H617" s="18" t="s">
        <v>44</v>
      </c>
      <c r="I617" s="18" t="s">
        <v>42</v>
      </c>
      <c r="J617" s="18" t="s">
        <v>220</v>
      </c>
    </row>
    <row r="618" customFormat="false" ht="15" hidden="false" customHeight="false" outlineLevel="0" collapsed="false">
      <c r="A618" s="18" t="n">
        <f aca="false">IF(ISNUMBER($J618),$J618,"")</f>
        <v>4413419</v>
      </c>
      <c r="B618" s="18" t="str">
        <f aca="false">IFERROR(INDEX('SALES Raw'!$B$6:$B$4467,MATCH($J618,'SALES Raw'!$J$6:$J$4467,0)),IFERROR(INDEX('CEMIUP0.9 Raw'!$B$6:$B$1712,MATCH($J618,'CEMIUP0.9 Raw'!$B$6:$B$1712,0)),$J618))</f>
        <v>SC39 XXL</v>
      </c>
      <c r="C618" s="18" t="str">
        <f aca="false">IF(ISNUMBER($J618),IFERROR(INDEX('TRANS'!$C:$C,MATCH($J618,'TRANS'!$B:$B,0)),IFERROR(INDEX('Catalog'!$B:$B,MATCH($J618,'Catalog'!$A:$A,0)),$B618)),$B618)</f>
        <v>SC39 XXLמגן שוק</v>
      </c>
      <c r="D618" s="19" t="n">
        <f aca="false">SUMIFS('SALES Raw'!$C$6:$C$4467,'SALES Raw'!$J$6:$J$4467,$J618,'SALES Raw'!$K$6:$K$4467,"Y")+SUMIFS('CEMIUP0.9 Raw'!$D$6:$D$1712,'CEMIUP0.9 Raw'!$B$6:$B$1712,$J618,'CEMIUP0.9 Raw'!$H$6:$H$1712,"Y")</f>
        <v>8</v>
      </c>
      <c r="E618" s="19" t="n">
        <f aca="false">SUMIFS('SALES Raw'!$D$6:$D$4467,'SALES Raw'!$J$6:$J$4467,$J618,'SALES Raw'!$K$6:$K$4467,"Y")+SUMIFS('CEMIUP0.9 Raw'!$E$6:$E$1712,'CEMIUP0.9 Raw'!$B$6:$B$1712,$J618,'CEMIUP0.9 Raw'!$H$6:$H$1712,"Y")</f>
        <v>1644.284</v>
      </c>
      <c r="F618" s="19" t="n">
        <f aca="false">SUMIFS('SALES Raw'!$E$6:$E$4467,'SALES Raw'!$J$6:$J$4467,$J618,'SALES Raw'!$K$6:$K$4467,"Y")*$H$4+SUMIFS('CEMIUP0.9 Raw'!$F$6:$F$1712,'CEMIUP0.9 Raw'!$B$6:$B$1712,$J618,'CEMIUP0.9 Raw'!$H$6:$H$1712,"Y")</f>
        <v>5.05263157894737</v>
      </c>
      <c r="G618" s="19" t="n">
        <f aca="false">SUMIFS('SALES Raw'!$F$6:$F$4467,'SALES Raw'!$J$6:$J$4467,$J618,'SALES Raw'!$K$6:$K$4467,"Y")*$H$4+SUMIFS('CEMIUP0.9 Raw'!$G$6:$G$1712,'CEMIUP0.9 Raw'!$B$6:$B$1712,$J618,'CEMIUP0.9 Raw'!$H$6:$H$1712,"Y")</f>
        <v>1255.95789473684</v>
      </c>
      <c r="H618" s="18" t="s">
        <v>42</v>
      </c>
      <c r="I618" s="18" t="s">
        <v>44</v>
      </c>
      <c r="J618" s="18" t="n">
        <v>4413419</v>
      </c>
    </row>
    <row r="619" customFormat="false" ht="15" hidden="false" customHeight="false" outlineLevel="0" collapsed="false">
      <c r="A619" s="18" t="str">
        <f aca="false">IF(ISNUMBER($J619),$J619,"")</f>
        <v/>
      </c>
      <c r="B619" s="18" t="str">
        <f aca="false">IFERROR(INDEX('SALES Raw'!$B$6:$B$4467,MATCH($J619,'SALES Raw'!$J$6:$J$4467,0)),IFERROR(INDEX('CEMIUP0.9 Raw'!$B$6:$B$1712,MATCH($J619,'CEMIUP0.9 Raw'!$B$6:$B$1712,0)),$J619))</f>
        <v>922 XXL</v>
      </c>
      <c r="C619" s="18" t="str">
        <f aca="false">IF(ISNUMBER($J619),IFERROR(INDEX('TRANS'!$C:$C,MATCH($J619,'TRANS'!$B:$B,0)),IFERROR(INDEX('Catalog'!$B:$B,MATCH($J619,'Catalog'!$A:$A,0)),$B619)),$B619)</f>
        <v>922 XXL</v>
      </c>
      <c r="D619" s="19" t="n">
        <f aca="false">SUMIFS('SALES Raw'!$C$6:$C$4467,'SALES Raw'!$J$6:$J$4467,$J619,'SALES Raw'!$K$6:$K$4467,"Y")+SUMIFS('CEMIUP0.9 Raw'!$D$6:$D$1712,'CEMIUP0.9 Raw'!$B$6:$B$1712,$J619,'CEMIUP0.9 Raw'!$H$6:$H$1712,"Y")</f>
        <v>5</v>
      </c>
      <c r="E619" s="19" t="n">
        <f aca="false">SUMIFS('SALES Raw'!$D$6:$D$4467,'SALES Raw'!$J$6:$J$4467,$J619,'SALES Raw'!$K$6:$K$4467,"Y")+SUMIFS('CEMIUP0.9 Raw'!$E$6:$E$1712,'CEMIUP0.9 Raw'!$B$6:$B$1712,$J619,'CEMIUP0.9 Raw'!$H$6:$H$1712,"Y")</f>
        <v>613.69</v>
      </c>
      <c r="F619" s="19" t="n">
        <f aca="false">SUMIFS('SALES Raw'!$E$6:$E$4467,'SALES Raw'!$J$6:$J$4467,$J619,'SALES Raw'!$K$6:$K$4467,"Y")*$H$4+SUMIFS('CEMIUP0.9 Raw'!$F$6:$F$1712,'CEMIUP0.9 Raw'!$B$6:$B$1712,$J619,'CEMIUP0.9 Raw'!$H$6:$H$1712,"Y")</f>
        <v>5.05263157894737</v>
      </c>
      <c r="G619" s="19" t="n">
        <f aca="false">SUMIFS('SALES Raw'!$F$6:$F$4467,'SALES Raw'!$J$6:$J$4467,$J619,'SALES Raw'!$K$6:$K$4467,"Y")*$H$4+SUMIFS('CEMIUP0.9 Raw'!$G$6:$G$1712,'CEMIUP0.9 Raw'!$B$6:$B$1712,$J619,'CEMIUP0.9 Raw'!$H$6:$H$1712,"Y")</f>
        <v>1265.60842105263</v>
      </c>
      <c r="H619" s="18" t="s">
        <v>42</v>
      </c>
      <c r="I619" s="18" t="s">
        <v>44</v>
      </c>
      <c r="J619" s="18" t="s">
        <v>221</v>
      </c>
    </row>
    <row r="620" customFormat="false" ht="15" hidden="false" customHeight="false" outlineLevel="0" collapsed="false">
      <c r="A620" s="18" t="str">
        <f aca="false">IF(ISNUMBER($J620),$J620,"")</f>
        <v/>
      </c>
      <c r="B620" s="18" t="str">
        <f aca="false">IFERROR(INDEX('SALES Raw'!$B$6:$B$4467,MATCH($J620,'SALES Raw'!$J$6:$J$4467,0)),IFERROR(INDEX('CEMIUP0.9 Raw'!$B$6:$B$1712,MATCH($J620,'CEMIUP0.9 Raw'!$B$6:$B$1712,0)),$J620))</f>
        <v>61 L</v>
      </c>
      <c r="C620" s="18" t="str">
        <f aca="false">IF(ISNUMBER($J620),IFERROR(INDEX('TRANS'!$C:$C,MATCH($J620,'TRANS'!$B:$B,0)),IFERROR(INDEX('Catalog'!$B:$B,MATCH($J620,'Catalog'!$A:$A,0)),$B620)),$B620)</f>
        <v>61 L</v>
      </c>
      <c r="D620" s="19" t="n">
        <f aca="false">SUMIFS('SALES Raw'!$C$6:$C$4467,'SALES Raw'!$J$6:$J$4467,$J620,'SALES Raw'!$K$6:$K$4467,"Y")+SUMIFS('CEMIUP0.9 Raw'!$D$6:$D$1712,'CEMIUP0.9 Raw'!$B$6:$B$1712,$J620,'CEMIUP0.9 Raw'!$H$6:$H$1712,"Y")</f>
        <v>7</v>
      </c>
      <c r="E620" s="19" t="n">
        <f aca="false">SUMIFS('SALES Raw'!$D$6:$D$4467,'SALES Raw'!$J$6:$J$4467,$J620,'SALES Raw'!$K$6:$K$4467,"Y")+SUMIFS('CEMIUP0.9 Raw'!$E$6:$E$1712,'CEMIUP0.9 Raw'!$B$6:$B$1712,$J620,'CEMIUP0.9 Raw'!$H$6:$H$1712,"Y")</f>
        <v>232.52</v>
      </c>
      <c r="F620" s="19" t="n">
        <f aca="false">SUMIFS('SALES Raw'!$E$6:$E$4467,'SALES Raw'!$J$6:$J$4467,$J620,'SALES Raw'!$K$6:$K$4467,"Y")*$H$4+SUMIFS('CEMIUP0.9 Raw'!$F$6:$F$1712,'CEMIUP0.9 Raw'!$B$6:$B$1712,$J620,'CEMIUP0.9 Raw'!$H$6:$H$1712,"Y")</f>
        <v>5.05263157894737</v>
      </c>
      <c r="G620" s="19" t="n">
        <f aca="false">SUMIFS('SALES Raw'!$F$6:$F$4467,'SALES Raw'!$J$6:$J$4467,$J620,'SALES Raw'!$K$6:$K$4467,"Y")*$H$4+SUMIFS('CEMIUP0.9 Raw'!$G$6:$G$1712,'CEMIUP0.9 Raw'!$B$6:$B$1712,$J620,'CEMIUP0.9 Raw'!$H$6:$H$1712,"Y")</f>
        <v>272.741052631579</v>
      </c>
      <c r="H620" s="18" t="s">
        <v>44</v>
      </c>
      <c r="I620" s="18"/>
      <c r="J620" s="18" t="s">
        <v>222</v>
      </c>
    </row>
    <row r="621" customFormat="false" ht="15" hidden="false" customHeight="false" outlineLevel="0" collapsed="false">
      <c r="A621" s="18" t="str">
        <f aca="false">IF(ISNUMBER($J621),$J621,"")</f>
        <v/>
      </c>
      <c r="B621" s="18" t="str">
        <f aca="false">IFERROR(INDEX('SALES Raw'!$B$6:$B$4467,MATCH($J621,'SALES Raw'!$J$6:$J$4467,0)),IFERROR(INDEX('CEMIUP0.9 Raw'!$B$6:$B$1712,MATCH($J621,'CEMIUP0.9 Raw'!$B$6:$B$1712,0)),$J621))</f>
        <v>60 XXL</v>
      </c>
      <c r="C621" s="18" t="str">
        <f aca="false">IF(ISNUMBER($J621),IFERROR(INDEX('TRANS'!$C:$C,MATCH($J621,'TRANS'!$B:$B,0)),IFERROR(INDEX('Catalog'!$B:$B,MATCH($J621,'Catalog'!$A:$A,0)),$B621)),$B621)</f>
        <v>60 XXL</v>
      </c>
      <c r="D621" s="19" t="n">
        <f aca="false">SUMIFS('SALES Raw'!$C$6:$C$4467,'SALES Raw'!$J$6:$J$4467,$J621,'SALES Raw'!$K$6:$K$4467,"Y")+SUMIFS('CEMIUP0.9 Raw'!$D$6:$D$1712,'CEMIUP0.9 Raw'!$B$6:$B$1712,$J621,'CEMIUP0.9 Raw'!$H$6:$H$1712,"Y")</f>
        <v>4</v>
      </c>
      <c r="E621" s="19" t="n">
        <f aca="false">SUMIFS('SALES Raw'!$D$6:$D$4467,'SALES Raw'!$J$6:$J$4467,$J621,'SALES Raw'!$K$6:$K$4467,"Y")+SUMIFS('CEMIUP0.9 Raw'!$E$6:$E$1712,'CEMIUP0.9 Raw'!$B$6:$B$1712,$J621,'CEMIUP0.9 Raw'!$H$6:$H$1712,"Y")</f>
        <v>238.65</v>
      </c>
      <c r="F621" s="19" t="n">
        <f aca="false">SUMIFS('SALES Raw'!$E$6:$E$4467,'SALES Raw'!$J$6:$J$4467,$J621,'SALES Raw'!$K$6:$K$4467,"Y")*$H$4+SUMIFS('CEMIUP0.9 Raw'!$F$6:$F$1712,'CEMIUP0.9 Raw'!$B$6:$B$1712,$J621,'CEMIUP0.9 Raw'!$H$6:$H$1712,"Y")</f>
        <v>5.05263157894737</v>
      </c>
      <c r="G621" s="19" t="n">
        <f aca="false">SUMIFS('SALES Raw'!$F$6:$F$4467,'SALES Raw'!$J$6:$J$4467,$J621,'SALES Raw'!$K$6:$K$4467,"Y")*$H$4+SUMIFS('CEMIUP0.9 Raw'!$G$6:$G$1712,'CEMIUP0.9 Raw'!$B$6:$B$1712,$J621,'CEMIUP0.9 Raw'!$H$6:$H$1712,"Y")</f>
        <v>340.787368421053</v>
      </c>
      <c r="H621" s="18" t="s">
        <v>44</v>
      </c>
      <c r="I621" s="18" t="s">
        <v>42</v>
      </c>
      <c r="J621" s="18" t="s">
        <v>223</v>
      </c>
    </row>
    <row r="622" customFormat="false" ht="15" hidden="false" customHeight="false" outlineLevel="0" collapsed="false">
      <c r="A622" s="18" t="n">
        <f aca="false">IF(ISNUMBER($J622),$J622,"")</f>
        <v>4408150</v>
      </c>
      <c r="B622" s="18" t="str">
        <f aca="false">IFERROR(INDEX('SALES Raw'!$B$6:$B$4467,MATCH($J622,'SALES Raw'!$J$6:$J$4467,0)),IFERROR(INDEX('CEMIUP0.9 Raw'!$B$6:$B$1712,MATCH($J622,'CEMIUP0.9 Raw'!$B$6:$B$1712,0)),$J622))</f>
        <v>11TO S</v>
      </c>
      <c r="C622" s="18" t="str">
        <f aca="false">IF(ISNUMBER($J622),IFERROR(INDEX('TRANS'!$C:$C,MATCH($J622,'TRANS'!$B:$B,0)),IFERROR(INDEX('Catalog'!$B:$B,MATCH($J622,'Catalog'!$A:$A,0)),$B622)),$B622)</f>
        <v>11TO S חגורה למנותחי בית החזה</v>
      </c>
      <c r="D622" s="19" t="n">
        <f aca="false">SUMIFS('SALES Raw'!$C$6:$C$4467,'SALES Raw'!$J$6:$J$4467,$J622,'SALES Raw'!$K$6:$K$4467,"Y")+SUMIFS('CEMIUP0.9 Raw'!$D$6:$D$1712,'CEMIUP0.9 Raw'!$B$6:$B$1712,$J622,'CEMIUP0.9 Raw'!$H$6:$H$1712,"Y")</f>
        <v>2</v>
      </c>
      <c r="E622" s="19" t="n">
        <f aca="false">SUMIFS('SALES Raw'!$D$6:$D$4467,'SALES Raw'!$J$6:$J$4467,$J622,'SALES Raw'!$K$6:$K$4467,"Y")+SUMIFS('CEMIUP0.9 Raw'!$E$6:$E$1712,'CEMIUP0.9 Raw'!$B$6:$B$1712,$J622,'CEMIUP0.9 Raw'!$H$6:$H$1712,"Y")</f>
        <v>199.507</v>
      </c>
      <c r="F622" s="19" t="n">
        <f aca="false">SUMIFS('SALES Raw'!$E$6:$E$4467,'SALES Raw'!$J$6:$J$4467,$J622,'SALES Raw'!$K$6:$K$4467,"Y")*$H$4+SUMIFS('CEMIUP0.9 Raw'!$F$6:$F$1712,'CEMIUP0.9 Raw'!$B$6:$B$1712,$J622,'CEMIUP0.9 Raw'!$H$6:$H$1712,"Y")</f>
        <v>5.05263157894737</v>
      </c>
      <c r="G622" s="19" t="n">
        <f aca="false">SUMIFS('SALES Raw'!$F$6:$F$4467,'SALES Raw'!$J$6:$J$4467,$J622,'SALES Raw'!$K$6:$K$4467,"Y")*$H$4+SUMIFS('CEMIUP0.9 Raw'!$G$6:$G$1712,'CEMIUP0.9 Raw'!$B$6:$B$1712,$J622,'CEMIUP0.9 Raw'!$H$6:$H$1712,"Y")</f>
        <v>851.128421052631</v>
      </c>
      <c r="H622" s="18" t="s">
        <v>44</v>
      </c>
      <c r="I622" s="18" t="s">
        <v>42</v>
      </c>
      <c r="J622" s="18" t="n">
        <v>4408150</v>
      </c>
    </row>
    <row r="623" customFormat="false" ht="15" hidden="false" customHeight="false" outlineLevel="0" collapsed="false">
      <c r="A623" s="18" t="str">
        <f aca="false">IF(ISNUMBER($J623),$J623,"")</f>
        <v/>
      </c>
      <c r="B623" s="18" t="str">
        <f aca="false">IFERROR(INDEX('SALES Raw'!$B$6:$B$4467,MATCH($J623,'SALES Raw'!$J$6:$J$4467,0)),IFERROR(INDEX('CEMIUP0.9 Raw'!$B$6:$B$1712,MATCH($J623,'CEMIUP0.9 Raw'!$B$6:$B$1712,0)),$J623))</f>
        <v>75 XS</v>
      </c>
      <c r="C623" s="18" t="str">
        <f aca="false">IF(ISNUMBER($J623),IFERROR(INDEX('TRANS'!$C:$C,MATCH($J623,'TRANS'!$B:$B,0)),IFERROR(INDEX('Catalog'!$B:$B,MATCH($J623,'Catalog'!$A:$A,0)),$B623)),$B623)</f>
        <v>75 XS</v>
      </c>
      <c r="D623" s="19" t="n">
        <f aca="false">SUMIFS('SALES Raw'!$C$6:$C$4467,'SALES Raw'!$J$6:$J$4467,$J623,'SALES Raw'!$K$6:$K$4467,"Y")+SUMIFS('CEMIUP0.9 Raw'!$D$6:$D$1712,'CEMIUP0.9 Raw'!$B$6:$B$1712,$J623,'CEMIUP0.9 Raw'!$H$6:$H$1712,"Y")</f>
        <v>4</v>
      </c>
      <c r="E623" s="19" t="n">
        <f aca="false">SUMIFS('SALES Raw'!$D$6:$D$4467,'SALES Raw'!$J$6:$J$4467,$J623,'SALES Raw'!$K$6:$K$4467,"Y")+SUMIFS('CEMIUP0.9 Raw'!$E$6:$E$1712,'CEMIUP0.9 Raw'!$B$6:$B$1712,$J623,'CEMIUP0.9 Raw'!$H$6:$H$1712,"Y")</f>
        <v>1128.64</v>
      </c>
      <c r="F623" s="19" t="n">
        <f aca="false">SUMIFS('SALES Raw'!$E$6:$E$4467,'SALES Raw'!$J$6:$J$4467,$J623,'SALES Raw'!$K$6:$K$4467,"Y")*$H$4+SUMIFS('CEMIUP0.9 Raw'!$F$6:$F$1712,'CEMIUP0.9 Raw'!$B$6:$B$1712,$J623,'CEMIUP0.9 Raw'!$H$6:$H$1712,"Y")</f>
        <v>5.05263157894737</v>
      </c>
      <c r="G623" s="19" t="n">
        <f aca="false">SUMIFS('SALES Raw'!$F$6:$F$4467,'SALES Raw'!$J$6:$J$4467,$J623,'SALES Raw'!$K$6:$K$4467,"Y")*$H$4+SUMIFS('CEMIUP0.9 Raw'!$G$6:$G$1712,'CEMIUP0.9 Raw'!$B$6:$B$1712,$J623,'CEMIUP0.9 Raw'!$H$6:$H$1712,"Y")</f>
        <v>1255.94526315789</v>
      </c>
      <c r="H623" s="18" t="s">
        <v>42</v>
      </c>
      <c r="I623" s="18" t="s">
        <v>44</v>
      </c>
      <c r="J623" s="18" t="s">
        <v>224</v>
      </c>
    </row>
    <row r="624" customFormat="false" ht="15" hidden="false" customHeight="false" outlineLevel="0" collapsed="false">
      <c r="A624" s="18" t="n">
        <f aca="false">IF(ISNUMBER($J624),$J624,"")</f>
        <v>4408148</v>
      </c>
      <c r="B624" s="18" t="str">
        <f aca="false">IFERROR(INDEX('SALES Raw'!$B$6:$B$4467,MATCH($J624,'SALES Raw'!$J$6:$J$4467,0)),IFERROR(INDEX('CEMIUP0.9 Raw'!$B$6:$B$1712,MATCH($J624,'CEMIUP0.9 Raw'!$B$6:$B$1712,0)),$J624))</f>
        <v>11PS XL</v>
      </c>
      <c r="C624" s="18" t="str">
        <f aca="false">IF(ISNUMBER($J624),IFERROR(INDEX('TRANS'!$C:$C,MATCH($J624,'TRANS'!$B:$B,0)),IFERROR(INDEX('Catalog'!$B:$B,MATCH($J624,'Catalog'!$A:$A,0)),$B624)),$B624)</f>
        <v>11PS XLחגורה למנותחי בטן</v>
      </c>
      <c r="D624" s="19" t="n">
        <f aca="false">SUMIFS('SALES Raw'!$C$6:$C$4467,'SALES Raw'!$J$6:$J$4467,$J624,'SALES Raw'!$K$6:$K$4467,"Y")+SUMIFS('CEMIUP0.9 Raw'!$D$6:$D$1712,'CEMIUP0.9 Raw'!$B$6:$B$1712,$J624,'CEMIUP0.9 Raw'!$H$6:$H$1712,"Y")</f>
        <v>17</v>
      </c>
      <c r="E624" s="19" t="n">
        <f aca="false">SUMIFS('SALES Raw'!$D$6:$D$4467,'SALES Raw'!$J$6:$J$4467,$J624,'SALES Raw'!$K$6:$K$4467,"Y")+SUMIFS('CEMIUP0.9 Raw'!$E$6:$E$1712,'CEMIUP0.9 Raw'!$B$6:$B$1712,$J624,'CEMIUP0.9 Raw'!$H$6:$H$1712,"Y")</f>
        <v>2878.193</v>
      </c>
      <c r="F624" s="19" t="n">
        <f aca="false">SUMIFS('SALES Raw'!$E$6:$E$4467,'SALES Raw'!$J$6:$J$4467,$J624,'SALES Raw'!$K$6:$K$4467,"Y")*$H$4+SUMIFS('CEMIUP0.9 Raw'!$F$6:$F$1712,'CEMIUP0.9 Raw'!$B$6:$B$1712,$J624,'CEMIUP0.9 Raw'!$H$6:$H$1712,"Y")</f>
        <v>5.05263157894737</v>
      </c>
      <c r="G624" s="19" t="n">
        <f aca="false">SUMIFS('SALES Raw'!$F$6:$F$4467,'SALES Raw'!$J$6:$J$4467,$J624,'SALES Raw'!$K$6:$K$4467,"Y")*$H$4+SUMIFS('CEMIUP0.9 Raw'!$G$6:$G$1712,'CEMIUP0.9 Raw'!$B$6:$B$1712,$J624,'CEMIUP0.9 Raw'!$H$6:$H$1712,"Y")</f>
        <v>1148.22315789474</v>
      </c>
      <c r="H624" s="18" t="s">
        <v>42</v>
      </c>
      <c r="I624" s="18" t="s">
        <v>44</v>
      </c>
      <c r="J624" s="18" t="n">
        <v>4408148</v>
      </c>
    </row>
    <row r="625" customFormat="false" ht="15" hidden="false" customHeight="false" outlineLevel="0" collapsed="false">
      <c r="A625" s="18" t="str">
        <f aca="false">IF(ISNUMBER($J625),$J625,"")</f>
        <v/>
      </c>
      <c r="B625" s="18" t="str">
        <f aca="false">IFERROR(INDEX('SALES Raw'!$B$6:$B$4467,MATCH($J625,'SALES Raw'!$J$6:$J$4467,0)),IFERROR(INDEX('CEMIUP0.9 Raw'!$B$6:$B$1712,MATCH($J625,'CEMIUP0.9 Raw'!$B$6:$B$1712,0)),$J625))</f>
        <v>11STOB L</v>
      </c>
      <c r="C625" s="18" t="str">
        <f aca="false">IF(ISNUMBER($J625),IFERROR(INDEX('TRANS'!$C:$C,MATCH($J625,'TRANS'!$B:$B,0)),IFERROR(INDEX('Catalog'!$B:$B,MATCH($J625,'Catalog'!$A:$A,0)),$B625)),$B625)</f>
        <v>11STOB L</v>
      </c>
      <c r="D625" s="19" t="n">
        <f aca="false">SUMIFS('SALES Raw'!$C$6:$C$4467,'SALES Raw'!$J$6:$J$4467,$J625,'SALES Raw'!$K$6:$K$4467,"Y")+SUMIFS('CEMIUP0.9 Raw'!$D$6:$D$1712,'CEMIUP0.9 Raw'!$B$6:$B$1712,$J625,'CEMIUP0.9 Raw'!$H$6:$H$1712,"Y")</f>
        <v>1</v>
      </c>
      <c r="E625" s="19" t="n">
        <f aca="false">SUMIFS('SALES Raw'!$D$6:$D$4467,'SALES Raw'!$J$6:$J$4467,$J625,'SALES Raw'!$K$6:$K$4467,"Y")+SUMIFS('CEMIUP0.9 Raw'!$E$6:$E$1712,'CEMIUP0.9 Raw'!$B$6:$B$1712,$J625,'CEMIUP0.9 Raw'!$H$6:$H$1712,"Y")</f>
        <v>105</v>
      </c>
      <c r="F625" s="19" t="n">
        <f aca="false">SUMIFS('SALES Raw'!$E$6:$E$4467,'SALES Raw'!$J$6:$J$4467,$J625,'SALES Raw'!$K$6:$K$4467,"Y")*$H$4+SUMIFS('CEMIUP0.9 Raw'!$F$6:$F$1712,'CEMIUP0.9 Raw'!$B$6:$B$1712,$J625,'CEMIUP0.9 Raw'!$H$6:$H$1712,"Y")</f>
        <v>5.05263157894737</v>
      </c>
      <c r="G625" s="19" t="n">
        <f aca="false">SUMIFS('SALES Raw'!$F$6:$F$4467,'SALES Raw'!$J$6:$J$4467,$J625,'SALES Raw'!$K$6:$K$4467,"Y")*$H$4+SUMIFS('CEMIUP0.9 Raw'!$G$6:$G$1712,'CEMIUP0.9 Raw'!$B$6:$B$1712,$J625,'CEMIUP0.9 Raw'!$H$6:$H$1712,"Y")</f>
        <v>1386.65684210526</v>
      </c>
      <c r="H625" s="18" t="s">
        <v>42</v>
      </c>
      <c r="I625" s="18" t="s">
        <v>44</v>
      </c>
      <c r="J625" s="18" t="s">
        <v>225</v>
      </c>
    </row>
    <row r="626" customFormat="false" ht="15" hidden="false" customHeight="false" outlineLevel="0" collapsed="false">
      <c r="A626" s="18" t="str">
        <f aca="false">IF(ISNUMBER($J626),$J626,"")</f>
        <v/>
      </c>
      <c r="B626" s="18" t="str">
        <f aca="false">IFERROR(INDEX('SALES Raw'!$B$6:$B$4467,MATCH($J626,'SALES Raw'!$J$6:$J$4467,0)),IFERROR(INDEX('CEMIUP0.9 Raw'!$B$6:$B$1712,MATCH($J626,'CEMIUP0.9 Raw'!$B$6:$B$1712,0)),$J626))</f>
        <v>365 XL</v>
      </c>
      <c r="C626" s="18" t="str">
        <f aca="false">IF(ISNUMBER($J626),IFERROR(INDEX('TRANS'!$C:$C,MATCH($J626,'TRANS'!$B:$B,0)),IFERROR(INDEX('Catalog'!$B:$B,MATCH($J626,'Catalog'!$A:$A,0)),$B626)),$B626)</f>
        <v>365 XL</v>
      </c>
      <c r="D626" s="19" t="n">
        <f aca="false">SUMIFS('SALES Raw'!$C$6:$C$4467,'SALES Raw'!$J$6:$J$4467,$J626,'SALES Raw'!$K$6:$K$4467,"Y")+SUMIFS('CEMIUP0.9 Raw'!$D$6:$D$1712,'CEMIUP0.9 Raw'!$B$6:$B$1712,$J626,'CEMIUP0.9 Raw'!$H$6:$H$1712,"Y")</f>
        <v>0</v>
      </c>
      <c r="E626" s="19" t="n">
        <f aca="false">SUMIFS('SALES Raw'!$D$6:$D$4467,'SALES Raw'!$J$6:$J$4467,$J626,'SALES Raw'!$K$6:$K$4467,"Y")+SUMIFS('CEMIUP0.9 Raw'!$E$6:$E$1712,'CEMIUP0.9 Raw'!$B$6:$B$1712,$J626,'CEMIUP0.9 Raw'!$H$6:$H$1712,"Y")</f>
        <v>0</v>
      </c>
      <c r="F626" s="19" t="n">
        <f aca="false">SUMIFS('SALES Raw'!$E$6:$E$4467,'SALES Raw'!$J$6:$J$4467,$J626,'SALES Raw'!$K$6:$K$4467,"Y")*$H$4+SUMIFS('CEMIUP0.9 Raw'!$F$6:$F$1712,'CEMIUP0.9 Raw'!$B$6:$B$1712,$J626,'CEMIUP0.9 Raw'!$H$6:$H$1712,"Y")</f>
        <v>5.05263157894737</v>
      </c>
      <c r="G626" s="19" t="n">
        <f aca="false">SUMIFS('SALES Raw'!$F$6:$F$4467,'SALES Raw'!$J$6:$J$4467,$J626,'SALES Raw'!$K$6:$K$4467,"Y")*$H$4+SUMIFS('CEMIUP0.9 Raw'!$G$6:$G$1712,'CEMIUP0.9 Raw'!$B$6:$B$1712,$J626,'CEMIUP0.9 Raw'!$H$6:$H$1712,"Y")</f>
        <v>121.616842105263</v>
      </c>
      <c r="H626" s="18" t="s">
        <v>42</v>
      </c>
      <c r="I626" s="18"/>
      <c r="J626" s="18" t="s">
        <v>226</v>
      </c>
    </row>
    <row r="627" customFormat="false" ht="15" hidden="false" customHeight="false" outlineLevel="0" collapsed="false">
      <c r="A627" s="18" t="str">
        <f aca="false">IF(ISNUMBER($J627),$J627,"")</f>
        <v/>
      </c>
      <c r="B627" s="18" t="str">
        <f aca="false">IFERROR(INDEX('SALES Raw'!$B$6:$B$4467,MATCH($J627,'SALES Raw'!$J$6:$J$4467,0)),IFERROR(INDEX('CEMIUP0.9 Raw'!$B$6:$B$1712,MATCH($J627,'CEMIUP0.9 Raw'!$B$6:$B$1712,0)),$J627))</f>
        <v>95G XL</v>
      </c>
      <c r="C627" s="18" t="str">
        <f aca="false">IF(ISNUMBER($J627),IFERROR(INDEX('TRANS'!$C:$C,MATCH($J627,'TRANS'!$B:$B,0)),IFERROR(INDEX('Catalog'!$B:$B,MATCH($J627,'Catalog'!$A:$A,0)),$B627)),$B627)</f>
        <v>95G XL</v>
      </c>
      <c r="D627" s="19" t="n">
        <f aca="false">SUMIFS('SALES Raw'!$C$6:$C$4467,'SALES Raw'!$J$6:$J$4467,$J627,'SALES Raw'!$K$6:$K$4467,"Y")+SUMIFS('CEMIUP0.9 Raw'!$D$6:$D$1712,'CEMIUP0.9 Raw'!$B$6:$B$1712,$J627,'CEMIUP0.9 Raw'!$H$6:$H$1712,"Y")</f>
        <v>1</v>
      </c>
      <c r="E627" s="19" t="n">
        <f aca="false">SUMIFS('SALES Raw'!$D$6:$D$4467,'SALES Raw'!$J$6:$J$4467,$J627,'SALES Raw'!$K$6:$K$4467,"Y")+SUMIFS('CEMIUP0.9 Raw'!$E$6:$E$1712,'CEMIUP0.9 Raw'!$B$6:$B$1712,$J627,'CEMIUP0.9 Raw'!$H$6:$H$1712,"Y")</f>
        <v>47.47</v>
      </c>
      <c r="F627" s="19" t="n">
        <f aca="false">SUMIFS('SALES Raw'!$E$6:$E$4467,'SALES Raw'!$J$6:$J$4467,$J627,'SALES Raw'!$K$6:$K$4467,"Y")*$H$4+SUMIFS('CEMIUP0.9 Raw'!$F$6:$F$1712,'CEMIUP0.9 Raw'!$B$6:$B$1712,$J627,'CEMIUP0.9 Raw'!$H$6:$H$1712,"Y")</f>
        <v>5.05263157894737</v>
      </c>
      <c r="G627" s="19" t="n">
        <f aca="false">SUMIFS('SALES Raw'!$F$6:$F$4467,'SALES Raw'!$J$6:$J$4467,$J627,'SALES Raw'!$K$6:$K$4467,"Y")*$H$4+SUMIFS('CEMIUP0.9 Raw'!$G$6:$G$1712,'CEMIUP0.9 Raw'!$B$6:$B$1712,$J627,'CEMIUP0.9 Raw'!$H$6:$H$1712,"Y")</f>
        <v>159.498947368421</v>
      </c>
      <c r="H627" s="18" t="s">
        <v>42</v>
      </c>
      <c r="I627" s="18"/>
      <c r="J627" s="18" t="s">
        <v>227</v>
      </c>
    </row>
    <row r="628" customFormat="false" ht="15" hidden="false" customHeight="false" outlineLevel="0" collapsed="false">
      <c r="A628" s="18" t="str">
        <f aca="false">IF(ISNUMBER($J628),$J628,"")</f>
        <v/>
      </c>
      <c r="B628" s="18" t="str">
        <f aca="false">IFERROR(INDEX('SALES Raw'!$B$6:$B$4467,MATCH($J628,'SALES Raw'!$J$6:$J$4467,0)),IFERROR(INDEX('CEMIUP0.9 Raw'!$B$6:$B$1712,MATCH($J628,'CEMIUP0.9 Raw'!$B$6:$B$1712,0)),$J628))</f>
        <v>T03 S</v>
      </c>
      <c r="C628" s="18" t="str">
        <f aca="false">IF(ISNUMBER($J628),IFERROR(INDEX('TRANS'!$C:$C,MATCH($J628,'TRANS'!$B:$B,0)),IFERROR(INDEX('Catalog'!$B:$B,MATCH($J628,'Catalog'!$A:$A,0)),$B628)),$B628)</f>
        <v>T03 S</v>
      </c>
      <c r="D628" s="19" t="n">
        <f aca="false">SUMIFS('SALES Raw'!$C$6:$C$4467,'SALES Raw'!$J$6:$J$4467,$J628,'SALES Raw'!$K$6:$K$4467,"Y")+SUMIFS('CEMIUP0.9 Raw'!$D$6:$D$1712,'CEMIUP0.9 Raw'!$B$6:$B$1712,$J628,'CEMIUP0.9 Raw'!$H$6:$H$1712,"Y")</f>
        <v>1</v>
      </c>
      <c r="E628" s="19" t="n">
        <f aca="false">SUMIFS('SALES Raw'!$D$6:$D$4467,'SALES Raw'!$J$6:$J$4467,$J628,'SALES Raw'!$K$6:$K$4467,"Y")+SUMIFS('CEMIUP0.9 Raw'!$E$6:$E$1712,'CEMIUP0.9 Raw'!$B$6:$B$1712,$J628,'CEMIUP0.9 Raw'!$H$6:$H$1712,"Y")</f>
        <v>200.76</v>
      </c>
      <c r="F628" s="19" t="n">
        <f aca="false">SUMIFS('SALES Raw'!$E$6:$E$4467,'SALES Raw'!$J$6:$J$4467,$J628,'SALES Raw'!$K$6:$K$4467,"Y")*$H$4+SUMIFS('CEMIUP0.9 Raw'!$F$6:$F$1712,'CEMIUP0.9 Raw'!$B$6:$B$1712,$J628,'CEMIUP0.9 Raw'!$H$6:$H$1712,"Y")</f>
        <v>5.05263157894737</v>
      </c>
      <c r="G628" s="19" t="n">
        <f aca="false">SUMIFS('SALES Raw'!$F$6:$F$4467,'SALES Raw'!$J$6:$J$4467,$J628,'SALES Raw'!$K$6:$K$4467,"Y")*$H$4+SUMIFS('CEMIUP0.9 Raw'!$G$6:$G$1712,'CEMIUP0.9 Raw'!$B$6:$B$1712,$J628,'CEMIUP0.9 Raw'!$H$6:$H$1712,"Y")</f>
        <v>1014.37894736842</v>
      </c>
      <c r="H628" s="18" t="s">
        <v>42</v>
      </c>
      <c r="I628" s="18"/>
      <c r="J628" s="18" t="s">
        <v>228</v>
      </c>
    </row>
    <row r="629" customFormat="false" ht="15" hidden="false" customHeight="false" outlineLevel="0" collapsed="false">
      <c r="A629" s="18" t="str">
        <f aca="false">IF(ISNUMBER($J629),$J629,"")</f>
        <v/>
      </c>
      <c r="B629" s="18" t="str">
        <f aca="false">IFERROR(INDEX('SALES Raw'!$B$6:$B$4467,MATCH($J629,'SALES Raw'!$J$6:$J$4467,0)),IFERROR(INDEX('CEMIUP0.9 Raw'!$B$6:$B$1712,MATCH($J629,'CEMIUP0.9 Raw'!$B$6:$B$1712,0)),$J629))</f>
        <v>15M L</v>
      </c>
      <c r="C629" s="18" t="str">
        <f aca="false">IF(ISNUMBER($J629),IFERROR(INDEX('TRANS'!$C:$C,MATCH($J629,'TRANS'!$B:$B,0)),IFERROR(INDEX('Catalog'!$B:$B,MATCH($J629,'Catalog'!$A:$A,0)),$B629)),$B629)</f>
        <v>15M L</v>
      </c>
      <c r="D629" s="19" t="n">
        <f aca="false">SUMIFS('SALES Raw'!$C$6:$C$4467,'SALES Raw'!$J$6:$J$4467,$J629,'SALES Raw'!$K$6:$K$4467,"Y")+SUMIFS('CEMIUP0.9 Raw'!$D$6:$D$1712,'CEMIUP0.9 Raw'!$B$6:$B$1712,$J629,'CEMIUP0.9 Raw'!$H$6:$H$1712,"Y")</f>
        <v>12</v>
      </c>
      <c r="E629" s="19" t="n">
        <f aca="false">SUMIFS('SALES Raw'!$D$6:$D$4467,'SALES Raw'!$J$6:$J$4467,$J629,'SALES Raw'!$K$6:$K$4467,"Y")+SUMIFS('CEMIUP0.9 Raw'!$E$6:$E$1712,'CEMIUP0.9 Raw'!$B$6:$B$1712,$J629,'CEMIUP0.9 Raw'!$H$6:$H$1712,"Y")</f>
        <v>1629.95</v>
      </c>
      <c r="F629" s="19" t="n">
        <f aca="false">SUMIFS('SALES Raw'!$E$6:$E$4467,'SALES Raw'!$J$6:$J$4467,$J629,'SALES Raw'!$K$6:$K$4467,"Y")*$H$4+SUMIFS('CEMIUP0.9 Raw'!$F$6:$F$1712,'CEMIUP0.9 Raw'!$B$6:$B$1712,$J629,'CEMIUP0.9 Raw'!$H$6:$H$1712,"Y")</f>
        <v>5.05263157894737</v>
      </c>
      <c r="G629" s="19" t="n">
        <f aca="false">SUMIFS('SALES Raw'!$F$6:$F$4467,'SALES Raw'!$J$6:$J$4467,$J629,'SALES Raw'!$K$6:$K$4467,"Y")*$H$4+SUMIFS('CEMIUP0.9 Raw'!$G$6:$G$1712,'CEMIUP0.9 Raw'!$B$6:$B$1712,$J629,'CEMIUP0.9 Raw'!$H$6:$H$1712,"Y")</f>
        <v>953.242105263158</v>
      </c>
      <c r="H629" s="18" t="s">
        <v>42</v>
      </c>
      <c r="I629" s="18" t="s">
        <v>44</v>
      </c>
      <c r="J629" s="18" t="s">
        <v>229</v>
      </c>
    </row>
    <row r="630" customFormat="false" ht="15" hidden="false" customHeight="false" outlineLevel="0" collapsed="false">
      <c r="A630" s="18" t="n">
        <f aca="false">IF(ISNUMBER($J630),$J630,"")</f>
        <v>4408131</v>
      </c>
      <c r="B630" s="18" t="str">
        <f aca="false">IFERROR(INDEX('SALES Raw'!$B$6:$B$4467,MATCH($J630,'SALES Raw'!$J$6:$J$4467,0)),IFERROR(INDEX('CEMIUP0.9 Raw'!$B$6:$B$1712,MATCH($J630,'CEMIUP0.9 Raw'!$B$6:$B$1712,0)),$J630))</f>
        <v>15W L</v>
      </c>
      <c r="C630" s="18" t="str">
        <f aca="false">IF(ISNUMBER($J630),IFERROR(INDEX('TRANS'!$C:$C,MATCH($J630,'TRANS'!$B:$B,0)),IFERROR(INDEX('Catalog'!$B:$B,MATCH($J630,'Catalog'!$A:$A,0)),$B630)),$B630)</f>
        <v>15W L חגורת צלעות לאשה</v>
      </c>
      <c r="D630" s="19" t="n">
        <f aca="false">SUMIFS('SALES Raw'!$C$6:$C$4467,'SALES Raw'!$J$6:$J$4467,$J630,'SALES Raw'!$K$6:$K$4467,"Y")+SUMIFS('CEMIUP0.9 Raw'!$D$6:$D$1712,'CEMIUP0.9 Raw'!$B$6:$B$1712,$J630,'CEMIUP0.9 Raw'!$H$6:$H$1712,"Y")</f>
        <v>6</v>
      </c>
      <c r="E630" s="19" t="n">
        <f aca="false">SUMIFS('SALES Raw'!$D$6:$D$4467,'SALES Raw'!$J$6:$J$4467,$J630,'SALES Raw'!$K$6:$K$4467,"Y")+SUMIFS('CEMIUP0.9 Raw'!$E$6:$E$1712,'CEMIUP0.9 Raw'!$B$6:$B$1712,$J630,'CEMIUP0.9 Raw'!$H$6:$H$1712,"Y")</f>
        <v>1123.39</v>
      </c>
      <c r="F630" s="19" t="n">
        <f aca="false">SUMIFS('SALES Raw'!$E$6:$E$4467,'SALES Raw'!$J$6:$J$4467,$J630,'SALES Raw'!$K$6:$K$4467,"Y")*$H$4+SUMIFS('CEMIUP0.9 Raw'!$F$6:$F$1712,'CEMIUP0.9 Raw'!$B$6:$B$1712,$J630,'CEMIUP0.9 Raw'!$H$6:$H$1712,"Y")</f>
        <v>5.05263157894737</v>
      </c>
      <c r="G630" s="19" t="n">
        <f aca="false">SUMIFS('SALES Raw'!$F$6:$F$4467,'SALES Raw'!$J$6:$J$4467,$J630,'SALES Raw'!$K$6:$K$4467,"Y")*$H$4+SUMIFS('CEMIUP0.9 Raw'!$G$6:$G$1712,'CEMIUP0.9 Raw'!$B$6:$B$1712,$J630,'CEMIUP0.9 Raw'!$H$6:$H$1712,"Y")</f>
        <v>1124.72336842105</v>
      </c>
      <c r="H630" s="18" t="s">
        <v>42</v>
      </c>
      <c r="I630" s="18" t="s">
        <v>43</v>
      </c>
      <c r="J630" s="18" t="n">
        <v>4408131</v>
      </c>
    </row>
    <row r="631" customFormat="false" ht="15" hidden="false" customHeight="false" outlineLevel="0" collapsed="false">
      <c r="A631" s="18" t="n">
        <f aca="false">IF(ISNUMBER($J631),$J631,"")</f>
        <v>4413399</v>
      </c>
      <c r="B631" s="18" t="str">
        <f aca="false">IFERROR(INDEX('SALES Raw'!$B$6:$B$4467,MATCH($J631,'SALES Raw'!$J$6:$J$4467,0)),IFERROR(INDEX('CEMIUP0.9 Raw'!$B$6:$B$1712,MATCH($J631,'CEMIUP0.9 Raw'!$B$6:$B$1712,0)),$J631))</f>
        <v>21 XS</v>
      </c>
      <c r="C631" s="18" t="str">
        <f aca="false">IF(ISNUMBER($J631),IFERROR(INDEX('TRANS'!$C:$C,MATCH($J631,'TRANS'!$B:$B,0)),IFERROR(INDEX('Catalog'!$B:$B,MATCH($J631,'Catalog'!$A:$A,0)),$B631)),$B631)</f>
        <v>21 XS מגן יד</v>
      </c>
      <c r="D631" s="19" t="n">
        <f aca="false">SUMIFS('SALES Raw'!$C$6:$C$4467,'SALES Raw'!$J$6:$J$4467,$J631,'SALES Raw'!$K$6:$K$4467,"Y")+SUMIFS('CEMIUP0.9 Raw'!$D$6:$D$1712,'CEMIUP0.9 Raw'!$B$6:$B$1712,$J631,'CEMIUP0.9 Raw'!$H$6:$H$1712,"Y")</f>
        <v>1</v>
      </c>
      <c r="E631" s="19" t="n">
        <f aca="false">SUMIFS('SALES Raw'!$D$6:$D$4467,'SALES Raw'!$J$6:$J$4467,$J631,'SALES Raw'!$K$6:$K$4467,"Y")+SUMIFS('CEMIUP0.9 Raw'!$E$6:$E$1712,'CEMIUP0.9 Raw'!$B$6:$B$1712,$J631,'CEMIUP0.9 Raw'!$H$6:$H$1712,"Y")</f>
        <v>45.192</v>
      </c>
      <c r="F631" s="19" t="n">
        <f aca="false">SUMIFS('SALES Raw'!$E$6:$E$4467,'SALES Raw'!$J$6:$J$4467,$J631,'SALES Raw'!$K$6:$K$4467,"Y")*$H$4+SUMIFS('CEMIUP0.9 Raw'!$F$6:$F$1712,'CEMIUP0.9 Raw'!$B$6:$B$1712,$J631,'CEMIUP0.9 Raw'!$H$6:$H$1712,"Y")</f>
        <v>5.05263157894737</v>
      </c>
      <c r="G631" s="19" t="n">
        <f aca="false">SUMIFS('SALES Raw'!$F$6:$F$4467,'SALES Raw'!$J$6:$J$4467,$J631,'SALES Raw'!$K$6:$K$4467,"Y")*$H$4+SUMIFS('CEMIUP0.9 Raw'!$G$6:$G$1712,'CEMIUP0.9 Raw'!$B$6:$B$1712,$J631,'CEMIUP0.9 Raw'!$H$6:$H$1712,"Y")</f>
        <v>192.764210526316</v>
      </c>
      <c r="H631" s="18" t="s">
        <v>46</v>
      </c>
      <c r="I631" s="18" t="s">
        <v>43</v>
      </c>
      <c r="J631" s="18" t="n">
        <v>4413399</v>
      </c>
    </row>
    <row r="632" customFormat="false" ht="15" hidden="false" customHeight="false" outlineLevel="0" collapsed="false">
      <c r="A632" s="18" t="str">
        <f aca="false">IF(ISNUMBER($J632),$J632,"")</f>
        <v/>
      </c>
      <c r="B632" s="18" t="str">
        <f aca="false">IFERROR(INDEX('SALES Raw'!$B$6:$B$4467,MATCH($J632,'SALES Raw'!$J$6:$J$4467,0)),IFERROR(INDEX('CEMIUP0.9 Raw'!$B$6:$B$1712,MATCH($J632,'CEMIUP0.9 Raw'!$B$6:$B$1712,0)),$J632))</f>
        <v>55 XXL</v>
      </c>
      <c r="C632" s="18" t="str">
        <f aca="false">IF(ISNUMBER($J632),IFERROR(INDEX('TRANS'!$C:$C,MATCH($J632,'TRANS'!$B:$B,0)),IFERROR(INDEX('Catalog'!$B:$B,MATCH($J632,'Catalog'!$A:$A,0)),$B632)),$B632)</f>
        <v>55 XXL</v>
      </c>
      <c r="D632" s="19" t="n">
        <f aca="false">SUMIFS('SALES Raw'!$C$6:$C$4467,'SALES Raw'!$J$6:$J$4467,$J632,'SALES Raw'!$K$6:$K$4467,"Y")+SUMIFS('CEMIUP0.9 Raw'!$D$6:$D$1712,'CEMIUP0.9 Raw'!$B$6:$B$1712,$J632,'CEMIUP0.9 Raw'!$H$6:$H$1712,"Y")</f>
        <v>9</v>
      </c>
      <c r="E632" s="19" t="n">
        <f aca="false">SUMIFS('SALES Raw'!$D$6:$D$4467,'SALES Raw'!$J$6:$J$4467,$J632,'SALES Raw'!$K$6:$K$4467,"Y")+SUMIFS('CEMIUP0.9 Raw'!$E$6:$E$1712,'CEMIUP0.9 Raw'!$B$6:$B$1712,$J632,'CEMIUP0.9 Raw'!$H$6:$H$1712,"Y")</f>
        <v>1183.91</v>
      </c>
      <c r="F632" s="19" t="n">
        <f aca="false">SUMIFS('SALES Raw'!$E$6:$E$4467,'SALES Raw'!$J$6:$J$4467,$J632,'SALES Raw'!$K$6:$K$4467,"Y")*$H$4+SUMIFS('CEMIUP0.9 Raw'!$F$6:$F$1712,'CEMIUP0.9 Raw'!$B$6:$B$1712,$J632,'CEMIUP0.9 Raw'!$H$6:$H$1712,"Y")</f>
        <v>5.05263157894737</v>
      </c>
      <c r="G632" s="19" t="n">
        <f aca="false">SUMIFS('SALES Raw'!$F$6:$F$4467,'SALES Raw'!$J$6:$J$4467,$J632,'SALES Raw'!$K$6:$K$4467,"Y")*$H$4+SUMIFS('CEMIUP0.9 Raw'!$G$6:$G$1712,'CEMIUP0.9 Raw'!$B$6:$B$1712,$J632,'CEMIUP0.9 Raw'!$H$6:$H$1712,"Y")</f>
        <v>684.252631578948</v>
      </c>
      <c r="H632" s="18" t="s">
        <v>42</v>
      </c>
      <c r="I632" s="18" t="s">
        <v>43</v>
      </c>
      <c r="J632" s="18" t="s">
        <v>230</v>
      </c>
    </row>
    <row r="633" customFormat="false" ht="15" hidden="false" customHeight="false" outlineLevel="0" collapsed="false">
      <c r="A633" s="18" t="n">
        <f aca="false">IF(ISNUMBER($J633),$J633,"")</f>
        <v>4408089</v>
      </c>
      <c r="B633" s="18" t="str">
        <f aca="false">IFERROR(INDEX('SALES Raw'!$B$6:$B$4467,MATCH($J633,'SALES Raw'!$J$6:$J$4467,0)),IFERROR(INDEX('CEMIUP0.9 Raw'!$B$6:$B$1712,MATCH($J633,'CEMIUP0.9 Raw'!$B$6:$B$1712,0)),$J633))</f>
        <v>T11C S</v>
      </c>
      <c r="C633" s="18" t="str">
        <f aca="false">IF(ISNUMBER($J633),IFERROR(INDEX('TRANS'!$C:$C,MATCH($J633,'TRANS'!$B:$B,0)),IFERROR(INDEX('Catalog'!$B:$B,MATCH($J633,'Catalog'!$A:$A,0)),$B633)),$B633)</f>
        <v>T11C S  חגורת גב פוג'יאמה</v>
      </c>
      <c r="D633" s="19" t="n">
        <f aca="false">SUMIFS('SALES Raw'!$C$6:$C$4467,'SALES Raw'!$J$6:$J$4467,$J633,'SALES Raw'!$K$6:$K$4467,"Y")+SUMIFS('CEMIUP0.9 Raw'!$D$6:$D$1712,'CEMIUP0.9 Raw'!$B$6:$B$1712,$J633,'CEMIUP0.9 Raw'!$H$6:$H$1712,"Y")</f>
        <v>1</v>
      </c>
      <c r="E633" s="19" t="n">
        <f aca="false">SUMIFS('SALES Raw'!$D$6:$D$4467,'SALES Raw'!$J$6:$J$4467,$J633,'SALES Raw'!$K$6:$K$4467,"Y")+SUMIFS('CEMIUP0.9 Raw'!$E$6:$E$1712,'CEMIUP0.9 Raw'!$B$6:$B$1712,$J633,'CEMIUP0.9 Raw'!$H$6:$H$1712,"Y")</f>
        <v>94.68</v>
      </c>
      <c r="F633" s="19" t="n">
        <f aca="false">SUMIFS('SALES Raw'!$E$6:$E$4467,'SALES Raw'!$J$6:$J$4467,$J633,'SALES Raw'!$K$6:$K$4467,"Y")*$H$4+SUMIFS('CEMIUP0.9 Raw'!$F$6:$F$1712,'CEMIUP0.9 Raw'!$B$6:$B$1712,$J633,'CEMIUP0.9 Raw'!$H$6:$H$1712,"Y")</f>
        <v>5.05263157894737</v>
      </c>
      <c r="G633" s="19" t="n">
        <f aca="false">SUMIFS('SALES Raw'!$F$6:$F$4467,'SALES Raw'!$J$6:$J$4467,$J633,'SALES Raw'!$K$6:$K$4467,"Y")*$H$4+SUMIFS('CEMIUP0.9 Raw'!$G$6:$G$1712,'CEMIUP0.9 Raw'!$B$6:$B$1712,$J633,'CEMIUP0.9 Raw'!$H$6:$H$1712,"Y")</f>
        <v>727.495578947369</v>
      </c>
      <c r="H633" s="18" t="s">
        <v>56</v>
      </c>
      <c r="I633" s="18" t="s">
        <v>43</v>
      </c>
      <c r="J633" s="18" t="n">
        <v>4408089</v>
      </c>
    </row>
    <row r="634" customFormat="false" ht="15" hidden="false" customHeight="false" outlineLevel="0" collapsed="false">
      <c r="A634" s="18" t="n">
        <f aca="false">IF(ISNUMBER($J634),$J634,"")</f>
        <v>4413108</v>
      </c>
      <c r="B634" s="18" t="str">
        <f aca="false">IFERROR(INDEX('SALES Raw'!$B$6:$B$4467,MATCH($J634,'SALES Raw'!$J$6:$J$4467,0)),IFERROR(INDEX('CEMIUP0.9 Raw'!$B$6:$B$1712,MATCH($J634,'CEMIUP0.9 Raw'!$B$6:$B$1712,0)),$J634))</f>
        <v>48 M</v>
      </c>
      <c r="C634" s="18" t="str">
        <f aca="false">IF(ISNUMBER($J634),IFERROR(INDEX('TRANS'!$C:$C,MATCH($J634,'TRANS'!$B:$B,0)),IFERROR(INDEX('Catalog'!$B:$B,MATCH($J634,'Catalog'!$A:$A,0)),$B634)),$B634)</f>
        <v>48 M מגן ברך מחמם</v>
      </c>
      <c r="D634" s="19" t="n">
        <f aca="false">SUMIFS('SALES Raw'!$C$6:$C$4467,'SALES Raw'!$J$6:$J$4467,$J634,'SALES Raw'!$K$6:$K$4467,"Y")+SUMIFS('CEMIUP0.9 Raw'!$D$6:$D$1712,'CEMIUP0.9 Raw'!$B$6:$B$1712,$J634,'CEMIUP0.9 Raw'!$H$6:$H$1712,"Y")</f>
        <v>15</v>
      </c>
      <c r="E634" s="19" t="n">
        <f aca="false">SUMIFS('SALES Raw'!$D$6:$D$4467,'SALES Raw'!$J$6:$J$4467,$J634,'SALES Raw'!$K$6:$K$4467,"Y")+SUMIFS('CEMIUP0.9 Raw'!$E$6:$E$1712,'CEMIUP0.9 Raw'!$B$6:$B$1712,$J634,'CEMIUP0.9 Raw'!$H$6:$H$1712,"Y")</f>
        <v>766.216</v>
      </c>
      <c r="F634" s="19" t="n">
        <f aca="false">SUMIFS('SALES Raw'!$E$6:$E$4467,'SALES Raw'!$J$6:$J$4467,$J634,'SALES Raw'!$K$6:$K$4467,"Y")*$H$4+SUMIFS('CEMIUP0.9 Raw'!$F$6:$F$1712,'CEMIUP0.9 Raw'!$B$6:$B$1712,$J634,'CEMIUP0.9 Raw'!$H$6:$H$1712,"Y")</f>
        <v>5.05263157894737</v>
      </c>
      <c r="G634" s="19" t="n">
        <f aca="false">SUMIFS('SALES Raw'!$F$6:$F$4467,'SALES Raw'!$J$6:$J$4467,$J634,'SALES Raw'!$K$6:$K$4467,"Y")*$H$4+SUMIFS('CEMIUP0.9 Raw'!$G$6:$G$1712,'CEMIUP0.9 Raw'!$B$6:$B$1712,$J634,'CEMIUP0.9 Raw'!$H$6:$H$1712,"Y")</f>
        <v>389.081684210527</v>
      </c>
      <c r="H634" s="18" t="s">
        <v>42</v>
      </c>
      <c r="I634" s="18" t="s">
        <v>43</v>
      </c>
      <c r="J634" s="18" t="n">
        <v>4413108</v>
      </c>
    </row>
    <row r="635" customFormat="false" ht="15" hidden="false" customHeight="false" outlineLevel="0" collapsed="false">
      <c r="A635" s="18" t="n">
        <f aca="false">IF(ISNUMBER($J635),$J635,"")</f>
        <v>4413284</v>
      </c>
      <c r="B635" s="18" t="str">
        <f aca="false">IFERROR(INDEX('SALES Raw'!$B$6:$B$4467,MATCH($J635,'SALES Raw'!$J$6:$J$4467,0)),IFERROR(INDEX('CEMIUP0.9 Raw'!$B$6:$B$1712,MATCH($J635,'CEMIUP0.9 Raw'!$B$6:$B$1712,0)),$J635))</f>
        <v>422E XXXL</v>
      </c>
      <c r="C635" s="18" t="str">
        <f aca="false">IF(ISNUMBER($J635),IFERROR(INDEX('TRANS'!$C:$C,MATCH($J635,'TRANS'!$B:$B,0)),IFERROR(INDEX('Catalog'!$B:$B,MATCH($J635,'Catalog'!$A:$A,0)),$B635)),$B635)</f>
        <v>422E XXXL מגן ברך ארוך עם כרית</v>
      </c>
      <c r="D635" s="19" t="n">
        <f aca="false">SUMIFS('SALES Raw'!$C$6:$C$4467,'SALES Raw'!$J$6:$J$4467,$J635,'SALES Raw'!$K$6:$K$4467,"Y")+SUMIFS('CEMIUP0.9 Raw'!$D$6:$D$1712,'CEMIUP0.9 Raw'!$B$6:$B$1712,$J635,'CEMIUP0.9 Raw'!$H$6:$H$1712,"Y")</f>
        <v>6</v>
      </c>
      <c r="E635" s="19" t="n">
        <f aca="false">SUMIFS('SALES Raw'!$D$6:$D$4467,'SALES Raw'!$J$6:$J$4467,$J635,'SALES Raw'!$K$6:$K$4467,"Y")+SUMIFS('CEMIUP0.9 Raw'!$E$6:$E$1712,'CEMIUP0.9 Raw'!$B$6:$B$1712,$J635,'CEMIUP0.9 Raw'!$H$6:$H$1712,"Y")</f>
        <v>825.094</v>
      </c>
      <c r="F635" s="19" t="n">
        <f aca="false">SUMIFS('SALES Raw'!$E$6:$E$4467,'SALES Raw'!$J$6:$J$4467,$J635,'SALES Raw'!$K$6:$K$4467,"Y")*$H$4+SUMIFS('CEMIUP0.9 Raw'!$F$6:$F$1712,'CEMIUP0.9 Raw'!$B$6:$B$1712,$J635,'CEMIUP0.9 Raw'!$H$6:$H$1712,"Y")</f>
        <v>5.05263157894737</v>
      </c>
      <c r="G635" s="19" t="n">
        <f aca="false">SUMIFS('SALES Raw'!$F$6:$F$4467,'SALES Raw'!$J$6:$J$4467,$J635,'SALES Raw'!$K$6:$K$4467,"Y")*$H$4+SUMIFS('CEMIUP0.9 Raw'!$G$6:$G$1712,'CEMIUP0.9 Raw'!$B$6:$B$1712,$J635,'CEMIUP0.9 Raw'!$H$6:$H$1712,"Y")</f>
        <v>981.408</v>
      </c>
      <c r="H635" s="18" t="s">
        <v>44</v>
      </c>
      <c r="I635" s="18" t="s">
        <v>43</v>
      </c>
      <c r="J635" s="18" t="n">
        <v>4413284</v>
      </c>
    </row>
    <row r="636" customFormat="false" ht="15" hidden="false" customHeight="false" outlineLevel="0" collapsed="false">
      <c r="A636" s="18" t="n">
        <f aca="false">IF(ISNUMBER($J636),$J636,"")</f>
        <v>4408050</v>
      </c>
      <c r="B636" s="18" t="str">
        <f aca="false">IFERROR(INDEX('SALES Raw'!$B$6:$B$4467,MATCH($J636,'SALES Raw'!$J$6:$J$4467,0)),IFERROR(INDEX('CEMIUP0.9 Raw'!$B$6:$B$1712,MATCH($J636,'CEMIUP0.9 Raw'!$B$6:$B$1712,0)),$J636))</f>
        <v>20 XXL</v>
      </c>
      <c r="C636" s="18" t="str">
        <f aca="false">IF(ISNUMBER($J636),IFERROR(INDEX('TRANS'!$C:$C,MATCH($J636,'TRANS'!$B:$B,0)),IFERROR(INDEX('Catalog'!$B:$B,MATCH($J636,'Catalog'!$A:$A,0)),$B636)),$B636)</f>
        <v>20 XXL חבק יד מתכוון עם צמדן</v>
      </c>
      <c r="D636" s="19" t="n">
        <f aca="false">SUMIFS('SALES Raw'!$C$6:$C$4467,'SALES Raw'!$J$6:$J$4467,$J636,'SALES Raw'!$K$6:$K$4467,"Y")+SUMIFS('CEMIUP0.9 Raw'!$D$6:$D$1712,'CEMIUP0.9 Raw'!$B$6:$B$1712,$J636,'CEMIUP0.9 Raw'!$H$6:$H$1712,"Y")</f>
        <v>5</v>
      </c>
      <c r="E636" s="19" t="n">
        <f aca="false">SUMIFS('SALES Raw'!$D$6:$D$4467,'SALES Raw'!$J$6:$J$4467,$J636,'SALES Raw'!$K$6:$K$4467,"Y")+SUMIFS('CEMIUP0.9 Raw'!$E$6:$E$1712,'CEMIUP0.9 Raw'!$B$6:$B$1712,$J636,'CEMIUP0.9 Raw'!$H$6:$H$1712,"Y")</f>
        <v>149.957</v>
      </c>
      <c r="F636" s="19" t="n">
        <f aca="false">SUMIFS('SALES Raw'!$E$6:$E$4467,'SALES Raw'!$J$6:$J$4467,$J636,'SALES Raw'!$K$6:$K$4467,"Y")*$H$4+SUMIFS('CEMIUP0.9 Raw'!$F$6:$F$1712,'CEMIUP0.9 Raw'!$B$6:$B$1712,$J636,'CEMIUP0.9 Raw'!$H$6:$H$1712,"Y")</f>
        <v>5.05263157894737</v>
      </c>
      <c r="G636" s="19" t="n">
        <f aca="false">SUMIFS('SALES Raw'!$F$6:$F$4467,'SALES Raw'!$J$6:$J$4467,$J636,'SALES Raw'!$K$6:$K$4467,"Y")*$H$4+SUMIFS('CEMIUP0.9 Raw'!$G$6:$G$1712,'CEMIUP0.9 Raw'!$B$6:$B$1712,$J636,'CEMIUP0.9 Raw'!$H$6:$H$1712,"Y")</f>
        <v>149.197894736842</v>
      </c>
      <c r="H636" s="18" t="s">
        <v>53</v>
      </c>
      <c r="I636" s="18" t="s">
        <v>43</v>
      </c>
      <c r="J636" s="18" t="n">
        <v>4408050</v>
      </c>
    </row>
    <row r="637" customFormat="false" ht="15" hidden="false" customHeight="false" outlineLevel="0" collapsed="false">
      <c r="A637" s="18" t="n">
        <f aca="false">IF(ISNUMBER($J637),$J637,"")</f>
        <v>4403029</v>
      </c>
      <c r="B637" s="18" t="str">
        <f aca="false">IFERROR(INDEX('SALES Raw'!$B$6:$B$4467,MATCH($J637,'SALES Raw'!$J$6:$J$4467,0)),IFERROR(INDEX('CEMIUP0.9 Raw'!$B$6:$B$1712,MATCH($J637,'CEMIUP0.9 Raw'!$B$6:$B$1712,0)),$J637))</f>
        <v>397-39-42</v>
      </c>
      <c r="C637" s="18" t="str">
        <f aca="false">IF(ISNUMBER($J637),IFERROR(INDEX('TRANS'!$C:$C,MATCH($J637,'TRANS'!$B:$B,0)),IFERROR(INDEX('Catalog'!$B:$B,MATCH($J637,'Catalog'!$A:$A,0)),$B637)),$B637)</f>
        <v>397 39-42 גרבי טיסה מידה</v>
      </c>
      <c r="D637" s="19" t="n">
        <f aca="false">SUMIFS('SALES Raw'!$C$6:$C$4467,'SALES Raw'!$J$6:$J$4467,$J637,'SALES Raw'!$K$6:$K$4467,"Y")+SUMIFS('CEMIUP0.9 Raw'!$D$6:$D$1712,'CEMIUP0.9 Raw'!$B$6:$B$1712,$J637,'CEMIUP0.9 Raw'!$H$6:$H$1712,"Y")</f>
        <v>813</v>
      </c>
      <c r="E637" s="19" t="n">
        <f aca="false">SUMIFS('SALES Raw'!$D$6:$D$4467,'SALES Raw'!$J$6:$J$4467,$J637,'SALES Raw'!$K$6:$K$4467,"Y")+SUMIFS('CEMIUP0.9 Raw'!$E$6:$E$1712,'CEMIUP0.9 Raw'!$B$6:$B$1712,$J637,'CEMIUP0.9 Raw'!$H$6:$H$1712,"Y")</f>
        <v>48902.382</v>
      </c>
      <c r="F637" s="19" t="n">
        <f aca="false">SUMIFS('SALES Raw'!$E$6:$E$4467,'SALES Raw'!$J$6:$J$4467,$J637,'SALES Raw'!$K$6:$K$4467,"Y")*$H$4+SUMIFS('CEMIUP0.9 Raw'!$F$6:$F$1712,'CEMIUP0.9 Raw'!$B$6:$B$1712,$J637,'CEMIUP0.9 Raw'!$H$6:$H$1712,"Y")</f>
        <v>3.78947368421053</v>
      </c>
      <c r="G637" s="19" t="n">
        <f aca="false">SUMIFS('SALES Raw'!$F$6:$F$4467,'SALES Raw'!$J$6:$J$4467,$J637,'SALES Raw'!$K$6:$K$4467,"Y")*$H$4+SUMIFS('CEMIUP0.9 Raw'!$G$6:$G$1712,'CEMIUP0.9 Raw'!$B$6:$B$1712,$J637,'CEMIUP0.9 Raw'!$H$6:$H$1712,"Y")</f>
        <v>331.918736842105</v>
      </c>
      <c r="H637" s="18" t="s">
        <v>43</v>
      </c>
      <c r="I637" s="18" t="s">
        <v>42</v>
      </c>
      <c r="J637" s="18" t="n">
        <v>4403029</v>
      </c>
    </row>
    <row r="638" customFormat="false" ht="15" hidden="false" customHeight="false" outlineLevel="0" collapsed="false">
      <c r="A638" s="18" t="n">
        <f aca="false">IF(ISNUMBER($J638),$J638,"")</f>
        <v>4419014</v>
      </c>
      <c r="B638" s="18" t="str">
        <f aca="false">IFERROR(INDEX('SALES Raw'!$B$6:$B$4467,MATCH($J638,'SALES Raw'!$J$6:$J$4467,0)),IFERROR(INDEX('CEMIUP0.9 Raw'!$B$6:$B$1712,MATCH($J638,'CEMIUP0.9 Raw'!$B$6:$B$1712,0)),$J638))</f>
        <v>239TR-L-XL</v>
      </c>
      <c r="C638" s="18" t="str">
        <f aca="false">IF(ISNUMBER($J638),IFERROR(INDEX('TRANS'!$C:$C,MATCH($J638,'TRANS'!$B:$B,0)),IFERROR(INDEX('Catalog'!$B:$B,MATCH($J638,'Catalog'!$A:$A,0)),$B638)),$B638)</f>
        <v>239TR L-XL STRAP4U</v>
      </c>
      <c r="D638" s="19" t="n">
        <f aca="false">SUMIFS('SALES Raw'!$C$6:$C$4467,'SALES Raw'!$J$6:$J$4467,$J638,'SALES Raw'!$K$6:$K$4467,"Y")+SUMIFS('CEMIUP0.9 Raw'!$D$6:$D$1712,'CEMIUP0.9 Raw'!$B$6:$B$1712,$J638,'CEMIUP0.9 Raw'!$H$6:$H$1712,"Y")</f>
        <v>42</v>
      </c>
      <c r="E638" s="19" t="n">
        <f aca="false">SUMIFS('SALES Raw'!$D$6:$D$4467,'SALES Raw'!$J$6:$J$4467,$J638,'SALES Raw'!$K$6:$K$4467,"Y")+SUMIFS('CEMIUP0.9 Raw'!$E$6:$E$1712,'CEMIUP0.9 Raw'!$B$6:$B$1712,$J638,'CEMIUP0.9 Raw'!$H$6:$H$1712,"Y")</f>
        <v>616.677</v>
      </c>
      <c r="F638" s="19" t="n">
        <f aca="false">SUMIFS('SALES Raw'!$E$6:$E$4467,'SALES Raw'!$J$6:$J$4467,$J638,'SALES Raw'!$K$6:$K$4467,"Y")*$H$4+SUMIFS('CEMIUP0.9 Raw'!$F$6:$F$1712,'CEMIUP0.9 Raw'!$B$6:$B$1712,$J638,'CEMIUP0.9 Raw'!$H$6:$H$1712,"Y")</f>
        <v>3.78947368421053</v>
      </c>
      <c r="G638" s="19" t="n">
        <f aca="false">SUMIFS('SALES Raw'!$F$6:$F$4467,'SALES Raw'!$J$6:$J$4467,$J638,'SALES Raw'!$K$6:$K$4467,"Y")*$H$4+SUMIFS('CEMIUP0.9 Raw'!$G$6:$G$1712,'CEMIUP0.9 Raw'!$B$6:$B$1712,$J638,'CEMIUP0.9 Raw'!$H$6:$H$1712,"Y")</f>
        <v>68.9305263157895</v>
      </c>
      <c r="H638" s="18" t="s">
        <v>48</v>
      </c>
      <c r="I638" s="18" t="s">
        <v>42</v>
      </c>
      <c r="J638" s="18" t="n">
        <v>4419014</v>
      </c>
    </row>
    <row r="639" customFormat="false" ht="15" hidden="false" customHeight="false" outlineLevel="0" collapsed="false">
      <c r="A639" s="18" t="n">
        <f aca="false">IF(ISNUMBER($J639),$J639,"")</f>
        <v>4413533</v>
      </c>
      <c r="B639" s="18" t="str">
        <f aca="false">IFERROR(INDEX('SALES Raw'!$B$6:$B$4467,MATCH($J639,'SALES Raw'!$J$6:$J$4467,0)),IFERROR(INDEX('CEMIUP0.9 Raw'!$B$6:$B$1712,MATCH($J639,'CEMIUP0.9 Raw'!$B$6:$B$1712,0)),$J639))</f>
        <v>ST49 0</v>
      </c>
      <c r="C639" s="18" t="str">
        <f aca="false">IF(ISNUMBER($J639),IFERROR(INDEX('TRANS'!$C:$C,MATCH($J639,'TRANS'!$B:$B,0)),IFERROR(INDEX('Catalog'!$B:$B,MATCH($J639,'Catalog'!$A:$A,0)),$B639)),$B639)</f>
        <v>ST49 מגן ירך</v>
      </c>
      <c r="D639" s="19" t="n">
        <f aca="false">SUMIFS('SALES Raw'!$C$6:$C$4467,'SALES Raw'!$J$6:$J$4467,$J639,'SALES Raw'!$K$6:$K$4467,"Y")+SUMIFS('CEMIUP0.9 Raw'!$D$6:$D$1712,'CEMIUP0.9 Raw'!$B$6:$B$1712,$J639,'CEMIUP0.9 Raw'!$H$6:$H$1712,"Y")</f>
        <v>39</v>
      </c>
      <c r="E639" s="19" t="n">
        <f aca="false">SUMIFS('SALES Raw'!$D$6:$D$4467,'SALES Raw'!$J$6:$J$4467,$J639,'SALES Raw'!$K$6:$K$4467,"Y")+SUMIFS('CEMIUP0.9 Raw'!$E$6:$E$1712,'CEMIUP0.9 Raw'!$B$6:$B$1712,$J639,'CEMIUP0.9 Raw'!$H$6:$H$1712,"Y")</f>
        <v>857.13</v>
      </c>
      <c r="F639" s="19" t="n">
        <f aca="false">SUMIFS('SALES Raw'!$E$6:$E$4467,'SALES Raw'!$J$6:$J$4467,$J639,'SALES Raw'!$K$6:$K$4467,"Y")*$H$4+SUMIFS('CEMIUP0.9 Raw'!$F$6:$F$1712,'CEMIUP0.9 Raw'!$B$6:$B$1712,$J639,'CEMIUP0.9 Raw'!$H$6:$H$1712,"Y")</f>
        <v>3.78947368421053</v>
      </c>
      <c r="G639" s="19" t="n">
        <f aca="false">SUMIFS('SALES Raw'!$F$6:$F$4467,'SALES Raw'!$J$6:$J$4467,$J639,'SALES Raw'!$K$6:$K$4467,"Y")*$H$4+SUMIFS('CEMIUP0.9 Raw'!$G$6:$G$1712,'CEMIUP0.9 Raw'!$B$6:$B$1712,$J639,'CEMIUP0.9 Raw'!$H$6:$H$1712,"Y")</f>
        <v>70.6926315789474</v>
      </c>
      <c r="H639" s="18" t="s">
        <v>48</v>
      </c>
      <c r="I639" s="18" t="s">
        <v>46</v>
      </c>
      <c r="J639" s="18" t="n">
        <v>4413533</v>
      </c>
    </row>
    <row r="640" customFormat="false" ht="15" hidden="false" customHeight="false" outlineLevel="0" collapsed="false">
      <c r="A640" s="18" t="n">
        <f aca="false">IF(ISNUMBER($J640),$J640,"")</f>
        <v>4415067</v>
      </c>
      <c r="B640" s="18" t="n">
        <f aca="false">IFERROR(INDEX('SALES Raw'!$B$6:$B$4467,MATCH($J640,'SALES Raw'!$J$6:$J$4467,0)),IFERROR(INDEX('CEMIUP0.9 Raw'!$B$6:$B$1712,MATCH($J640,'CEMIUP0.9 Raw'!$B$6:$B$1712,0)),$J640))</f>
        <v>4415067</v>
      </c>
      <c r="C640" s="18" t="str">
        <f aca="false">IF(ISNUMBER($J640),IFERROR(INDEX('TRANS'!$C:$C,MATCH($J640,'TRANS'!$B:$B,0)),IFERROR(INDEX('Catalog'!$B:$B,MATCH($J640,'Catalog'!$A:$A,0)),$B640)),$B640)</f>
        <v>T28 XL סד לאגודל כפפה</v>
      </c>
      <c r="D640" s="19" t="n">
        <f aca="false">SUMIFS('SALES Raw'!$C$6:$C$4467,'SALES Raw'!$J$6:$J$4467,$J640,'SALES Raw'!$K$6:$K$4467,"Y")+SUMIFS('CEMIUP0.9 Raw'!$D$6:$D$1712,'CEMIUP0.9 Raw'!$B$6:$B$1712,$J640,'CEMIUP0.9 Raw'!$H$6:$H$1712,"Y")</f>
        <v>0</v>
      </c>
      <c r="E640" s="19" t="n">
        <f aca="false">SUMIFS('SALES Raw'!$D$6:$D$4467,'SALES Raw'!$J$6:$J$4467,$J640,'SALES Raw'!$K$6:$K$4467,"Y")+SUMIFS('CEMIUP0.9 Raw'!$E$6:$E$1712,'CEMIUP0.9 Raw'!$B$6:$B$1712,$J640,'CEMIUP0.9 Raw'!$H$6:$H$1712,"Y")</f>
        <v>-11.83</v>
      </c>
      <c r="F640" s="19" t="n">
        <f aca="false">SUMIFS('SALES Raw'!$E$6:$E$4467,'SALES Raw'!$J$6:$J$4467,$J640,'SALES Raw'!$K$6:$K$4467,"Y")*$H$4+SUMIFS('CEMIUP0.9 Raw'!$F$6:$F$1712,'CEMIUP0.9 Raw'!$B$6:$B$1712,$J640,'CEMIUP0.9 Raw'!$H$6:$H$1712,"Y")</f>
        <v>3.78947368421053</v>
      </c>
      <c r="G640" s="19" t="n">
        <f aca="false">SUMIFS('SALES Raw'!$F$6:$F$4467,'SALES Raw'!$J$6:$J$4467,$J640,'SALES Raw'!$K$6:$K$4467,"Y")*$H$4+SUMIFS('CEMIUP0.9 Raw'!$G$6:$G$1712,'CEMIUP0.9 Raw'!$B$6:$B$1712,$J640,'CEMIUP0.9 Raw'!$H$6:$H$1712,"Y")</f>
        <v>241.044631578947</v>
      </c>
      <c r="H640" s="18" t="s">
        <v>43</v>
      </c>
      <c r="I640" s="18"/>
      <c r="J640" s="18" t="n">
        <v>4415067</v>
      </c>
    </row>
    <row r="641" customFormat="false" ht="15" hidden="false" customHeight="false" outlineLevel="0" collapsed="false">
      <c r="A641" s="18" t="n">
        <f aca="false">IF(ISNUMBER($J641),$J641,"")</f>
        <v>4420031</v>
      </c>
      <c r="B641" s="18" t="n">
        <f aca="false">IFERROR(INDEX('SALES Raw'!$B$6:$B$4467,MATCH($J641,'SALES Raw'!$J$6:$J$4467,0)),IFERROR(INDEX('CEMIUP0.9 Raw'!$B$6:$B$1712,MATCH($J641,'CEMIUP0.9 Raw'!$B$6:$B$1712,0)),$J641))</f>
        <v>4420031</v>
      </c>
      <c r="C641" s="18" t="str">
        <f aca="false">IF(ISNUMBER($J641),IFERROR(INDEX('TRANS'!$C:$C,MATCH($J641,'TRANS'!$B:$B,0)),IFERROR(INDEX('Catalog'!$B:$B,MATCH($J641,'Catalog'!$A:$A,0)),$B641)),$B641)</f>
        <v>44-45 רפידת ספורט 376 מידה</v>
      </c>
      <c r="D641" s="19" t="n">
        <f aca="false">SUMIFS('SALES Raw'!$C$6:$C$4467,'SALES Raw'!$J$6:$J$4467,$J641,'SALES Raw'!$K$6:$K$4467,"Y")+SUMIFS('CEMIUP0.9 Raw'!$D$6:$D$1712,'CEMIUP0.9 Raw'!$B$6:$B$1712,$J641,'CEMIUP0.9 Raw'!$H$6:$H$1712,"Y")</f>
        <v>0</v>
      </c>
      <c r="E641" s="19" t="n">
        <f aca="false">SUMIFS('SALES Raw'!$D$6:$D$4467,'SALES Raw'!$J$6:$J$4467,$J641,'SALES Raw'!$K$6:$K$4467,"Y")+SUMIFS('CEMIUP0.9 Raw'!$E$6:$E$1712,'CEMIUP0.9 Raw'!$B$6:$B$1712,$J641,'CEMIUP0.9 Raw'!$H$6:$H$1712,"Y")</f>
        <v>0</v>
      </c>
      <c r="F641" s="19" t="n">
        <f aca="false">SUMIFS('SALES Raw'!$E$6:$E$4467,'SALES Raw'!$J$6:$J$4467,$J641,'SALES Raw'!$K$6:$K$4467,"Y")*$H$4+SUMIFS('CEMIUP0.9 Raw'!$F$6:$F$1712,'CEMIUP0.9 Raw'!$B$6:$B$1712,$J641,'CEMIUP0.9 Raw'!$H$6:$H$1712,"Y")</f>
        <v>3.78947368421053</v>
      </c>
      <c r="G641" s="19" t="n">
        <f aca="false">SUMIFS('SALES Raw'!$F$6:$F$4467,'SALES Raw'!$J$6:$J$4467,$J641,'SALES Raw'!$K$6:$K$4467,"Y")*$H$4+SUMIFS('CEMIUP0.9 Raw'!$G$6:$G$1712,'CEMIUP0.9 Raw'!$B$6:$B$1712,$J641,'CEMIUP0.9 Raw'!$H$6:$H$1712,"Y")</f>
        <v>121.039578947368</v>
      </c>
      <c r="H641" s="18" t="s">
        <v>43</v>
      </c>
      <c r="I641" s="18"/>
      <c r="J641" s="18" t="n">
        <v>4420031</v>
      </c>
    </row>
    <row r="642" customFormat="false" ht="15" hidden="false" customHeight="false" outlineLevel="0" collapsed="false">
      <c r="A642" s="18" t="n">
        <f aca="false">IF(ISNUMBER($J642),$J642,"")</f>
        <v>4420034</v>
      </c>
      <c r="B642" s="18" t="n">
        <f aca="false">IFERROR(INDEX('SALES Raw'!$B$6:$B$4467,MATCH($J642,'SALES Raw'!$J$6:$J$4467,0)),IFERROR(INDEX('CEMIUP0.9 Raw'!$B$6:$B$1712,MATCH($J642,'CEMIUP0.9 Raw'!$B$6:$B$1712,0)),$J642))</f>
        <v>4420034</v>
      </c>
      <c r="C642" s="18" t="str">
        <f aca="false">IF(ISNUMBER($J642),IFERROR(INDEX('TRANS'!$C:$C,MATCH($J642,'TRANS'!$B:$B,0)),IFERROR(INDEX('Catalog'!$B:$B,MATCH($J642,'Catalog'!$A:$A,0)),$B642)),$B642)</f>
        <v>381 HV רצועה אלסטית</v>
      </c>
      <c r="D642" s="19" t="n">
        <f aca="false">SUMIFS('SALES Raw'!$C$6:$C$4467,'SALES Raw'!$J$6:$J$4467,$J642,'SALES Raw'!$K$6:$K$4467,"Y")+SUMIFS('CEMIUP0.9 Raw'!$D$6:$D$1712,'CEMIUP0.9 Raw'!$B$6:$B$1712,$J642,'CEMIUP0.9 Raw'!$H$6:$H$1712,"Y")</f>
        <v>2</v>
      </c>
      <c r="E642" s="19" t="n">
        <f aca="false">SUMIFS('SALES Raw'!$D$6:$D$4467,'SALES Raw'!$J$6:$J$4467,$J642,'SALES Raw'!$K$6:$K$4467,"Y")+SUMIFS('CEMIUP0.9 Raw'!$E$6:$E$1712,'CEMIUP0.9 Raw'!$B$6:$B$1712,$J642,'CEMIUP0.9 Raw'!$H$6:$H$1712,"Y")</f>
        <v>68.705</v>
      </c>
      <c r="F642" s="19" t="n">
        <f aca="false">SUMIFS('SALES Raw'!$E$6:$E$4467,'SALES Raw'!$J$6:$J$4467,$J642,'SALES Raw'!$K$6:$K$4467,"Y")*$H$4+SUMIFS('CEMIUP0.9 Raw'!$F$6:$F$1712,'CEMIUP0.9 Raw'!$B$6:$B$1712,$J642,'CEMIUP0.9 Raw'!$H$6:$H$1712,"Y")</f>
        <v>3.78947368421053</v>
      </c>
      <c r="G642" s="19" t="n">
        <f aca="false">SUMIFS('SALES Raw'!$F$6:$F$4467,'SALES Raw'!$J$6:$J$4467,$J642,'SALES Raw'!$K$6:$K$4467,"Y")*$H$4+SUMIFS('CEMIUP0.9 Raw'!$G$6:$G$1712,'CEMIUP0.9 Raw'!$B$6:$B$1712,$J642,'CEMIUP0.9 Raw'!$H$6:$H$1712,"Y")</f>
        <v>130.235368421053</v>
      </c>
      <c r="H642" s="18" t="s">
        <v>43</v>
      </c>
      <c r="I642" s="18"/>
      <c r="J642" s="18" t="n">
        <v>4420034</v>
      </c>
    </row>
    <row r="643" customFormat="false" ht="15" hidden="false" customHeight="false" outlineLevel="0" collapsed="false">
      <c r="A643" s="18" t="str">
        <f aca="false">IF(ISNUMBER($J643),$J643,"")</f>
        <v/>
      </c>
      <c r="B643" s="18" t="str">
        <f aca="false">IFERROR(INDEX('SALES Raw'!$B$6:$B$4467,MATCH($J643,'SALES Raw'!$J$6:$J$4467,0)),IFERROR(INDEX('CEMIUP0.9 Raw'!$B$6:$B$1712,MATCH($J643,'CEMIUP0.9 Raw'!$B$6:$B$1712,0)),$J643))</f>
        <v>267LB-L-XL</v>
      </c>
      <c r="C643" s="18" t="str">
        <f aca="false">IF(ISNUMBER($J643),IFERROR(INDEX('TRANS'!$C:$C,MATCH($J643,'TRANS'!$B:$B,0)),IFERROR(INDEX('Catalog'!$B:$B,MATCH($J643,'Catalog'!$A:$A,0)),$B643)),$B643)</f>
        <v>267LB-L-XL</v>
      </c>
      <c r="D643" s="19" t="n">
        <f aca="false">SUMIFS('SALES Raw'!$C$6:$C$4467,'SALES Raw'!$J$6:$J$4467,$J643,'SALES Raw'!$K$6:$K$4467,"Y")+SUMIFS('CEMIUP0.9 Raw'!$D$6:$D$1712,'CEMIUP0.9 Raw'!$B$6:$B$1712,$J643,'CEMIUP0.9 Raw'!$H$6:$H$1712,"Y")</f>
        <v>4</v>
      </c>
      <c r="E643" s="19" t="n">
        <f aca="false">SUMIFS('SALES Raw'!$D$6:$D$4467,'SALES Raw'!$J$6:$J$4467,$J643,'SALES Raw'!$K$6:$K$4467,"Y")+SUMIFS('CEMIUP0.9 Raw'!$E$6:$E$1712,'CEMIUP0.9 Raw'!$B$6:$B$1712,$J643,'CEMIUP0.9 Raw'!$H$6:$H$1712,"Y")</f>
        <v>435.23</v>
      </c>
      <c r="F643" s="19" t="n">
        <f aca="false">SUMIFS('SALES Raw'!$E$6:$E$4467,'SALES Raw'!$J$6:$J$4467,$J643,'SALES Raw'!$K$6:$K$4467,"Y")*$H$4+SUMIFS('CEMIUP0.9 Raw'!$F$6:$F$1712,'CEMIUP0.9 Raw'!$B$6:$B$1712,$J643,'CEMIUP0.9 Raw'!$H$6:$H$1712,"Y")</f>
        <v>3.78947368421053</v>
      </c>
      <c r="G643" s="19" t="n">
        <f aca="false">SUMIFS('SALES Raw'!$F$6:$F$4467,'SALES Raw'!$J$6:$J$4467,$J643,'SALES Raw'!$K$6:$K$4467,"Y")*$H$4+SUMIFS('CEMIUP0.9 Raw'!$G$6:$G$1712,'CEMIUP0.9 Raw'!$B$6:$B$1712,$J643,'CEMIUP0.9 Raw'!$H$6:$H$1712,"Y")</f>
        <v>479.873684210526</v>
      </c>
      <c r="H643" s="18" t="s">
        <v>42</v>
      </c>
      <c r="I643" s="18" t="s">
        <v>53</v>
      </c>
      <c r="J643" s="18" t="s">
        <v>231</v>
      </c>
    </row>
    <row r="644" customFormat="false" ht="15" hidden="false" customHeight="false" outlineLevel="0" collapsed="false">
      <c r="A644" s="18" t="str">
        <f aca="false">IF(ISNUMBER($J644),$J644,"")</f>
        <v/>
      </c>
      <c r="B644" s="18" t="str">
        <f aca="false">IFERROR(INDEX('SALES Raw'!$B$6:$B$4467,MATCH($J644,'SALES Raw'!$J$6:$J$4467,0)),IFERROR(INDEX('CEMIUP0.9 Raw'!$B$6:$B$1712,MATCH($J644,'CEMIUP0.9 Raw'!$B$6:$B$1712,0)),$J644))</f>
        <v>394G-35-38</v>
      </c>
      <c r="C644" s="18" t="str">
        <f aca="false">IF(ISNUMBER($J644),IFERROR(INDEX('TRANS'!$C:$C,MATCH($J644,'TRANS'!$B:$B,0)),IFERROR(INDEX('Catalog'!$B:$B,MATCH($J644,'Catalog'!$A:$A,0)),$B644)),$B644)</f>
        <v>394G-35-38</v>
      </c>
      <c r="D644" s="19" t="n">
        <f aca="false">SUMIFS('SALES Raw'!$C$6:$C$4467,'SALES Raw'!$J$6:$J$4467,$J644,'SALES Raw'!$K$6:$K$4467,"Y")+SUMIFS('CEMIUP0.9 Raw'!$D$6:$D$1712,'CEMIUP0.9 Raw'!$B$6:$B$1712,$J644,'CEMIUP0.9 Raw'!$H$6:$H$1712,"Y")</f>
        <v>85</v>
      </c>
      <c r="E644" s="19" t="n">
        <f aca="false">SUMIFS('SALES Raw'!$D$6:$D$4467,'SALES Raw'!$J$6:$J$4467,$J644,'SALES Raw'!$K$6:$K$4467,"Y")+SUMIFS('CEMIUP0.9 Raw'!$E$6:$E$1712,'CEMIUP0.9 Raw'!$B$6:$B$1712,$J644,'CEMIUP0.9 Raw'!$H$6:$H$1712,"Y")</f>
        <v>2260.68</v>
      </c>
      <c r="F644" s="19" t="n">
        <f aca="false">SUMIFS('SALES Raw'!$E$6:$E$4467,'SALES Raw'!$J$6:$J$4467,$J644,'SALES Raw'!$K$6:$K$4467,"Y")*$H$4+SUMIFS('CEMIUP0.9 Raw'!$F$6:$F$1712,'CEMIUP0.9 Raw'!$B$6:$B$1712,$J644,'CEMIUP0.9 Raw'!$H$6:$H$1712,"Y")</f>
        <v>3.78947368421053</v>
      </c>
      <c r="G644" s="19" t="n">
        <f aca="false">SUMIFS('SALES Raw'!$F$6:$F$4467,'SALES Raw'!$J$6:$J$4467,$J644,'SALES Raw'!$K$6:$K$4467,"Y")*$H$4+SUMIFS('CEMIUP0.9 Raw'!$G$6:$G$1712,'CEMIUP0.9 Raw'!$B$6:$B$1712,$J644,'CEMIUP0.9 Raw'!$H$6:$H$1712,"Y")</f>
        <v>131.646315789474</v>
      </c>
      <c r="H644" s="18" t="s">
        <v>42</v>
      </c>
      <c r="I644" s="18" t="s">
        <v>46</v>
      </c>
      <c r="J644" s="18" t="s">
        <v>232</v>
      </c>
    </row>
    <row r="645" customFormat="false" ht="15" hidden="false" customHeight="false" outlineLevel="0" collapsed="false">
      <c r="A645" s="18" t="str">
        <f aca="false">IF(ISNUMBER($J645),$J645,"")</f>
        <v/>
      </c>
      <c r="B645" s="18" t="str">
        <f aca="false">IFERROR(INDEX('SALES Raw'!$B$6:$B$4467,MATCH($J645,'SALES Raw'!$J$6:$J$4467,0)),IFERROR(INDEX('CEMIUP0.9 Raw'!$B$6:$B$1712,MATCH($J645,'CEMIUP0.9 Raw'!$B$6:$B$1712,0)),$J645))</f>
        <v>07AE XL</v>
      </c>
      <c r="C645" s="18" t="str">
        <f aca="false">IF(ISNUMBER($J645),IFERROR(INDEX('TRANS'!$C:$C,MATCH($J645,'TRANS'!$B:$B,0)),IFERROR(INDEX('Catalog'!$B:$B,MATCH($J645,'Catalog'!$A:$A,0)),$B645)),$B645)</f>
        <v>07AE XL</v>
      </c>
      <c r="D645" s="19" t="n">
        <f aca="false">SUMIFS('SALES Raw'!$C$6:$C$4467,'SALES Raw'!$J$6:$J$4467,$J645,'SALES Raw'!$K$6:$K$4467,"Y")+SUMIFS('CEMIUP0.9 Raw'!$D$6:$D$1712,'CEMIUP0.9 Raw'!$B$6:$B$1712,$J645,'CEMIUP0.9 Raw'!$H$6:$H$1712,"Y")</f>
        <v>0</v>
      </c>
      <c r="E645" s="19" t="n">
        <f aca="false">SUMIFS('SALES Raw'!$D$6:$D$4467,'SALES Raw'!$J$6:$J$4467,$J645,'SALES Raw'!$K$6:$K$4467,"Y")+SUMIFS('CEMIUP0.9 Raw'!$E$6:$E$1712,'CEMIUP0.9 Raw'!$B$6:$B$1712,$J645,'CEMIUP0.9 Raw'!$H$6:$H$1712,"Y")</f>
        <v>0</v>
      </c>
      <c r="F645" s="19" t="n">
        <f aca="false">SUMIFS('SALES Raw'!$E$6:$E$4467,'SALES Raw'!$J$6:$J$4467,$J645,'SALES Raw'!$K$6:$K$4467,"Y")*$H$4+SUMIFS('CEMIUP0.9 Raw'!$F$6:$F$1712,'CEMIUP0.9 Raw'!$B$6:$B$1712,$J645,'CEMIUP0.9 Raw'!$H$6:$H$1712,"Y")</f>
        <v>3.78947368421053</v>
      </c>
      <c r="G645" s="19" t="n">
        <f aca="false">SUMIFS('SALES Raw'!$F$6:$F$4467,'SALES Raw'!$J$6:$J$4467,$J645,'SALES Raw'!$K$6:$K$4467,"Y")*$H$4+SUMIFS('CEMIUP0.9 Raw'!$G$6:$G$1712,'CEMIUP0.9 Raw'!$B$6:$B$1712,$J645,'CEMIUP0.9 Raw'!$H$6:$H$1712,"Y")</f>
        <v>1486.53473684211</v>
      </c>
      <c r="H645" s="18" t="s">
        <v>46</v>
      </c>
      <c r="I645" s="18" t="s">
        <v>44</v>
      </c>
      <c r="J645" s="18" t="s">
        <v>233</v>
      </c>
    </row>
    <row r="646" customFormat="false" ht="15" hidden="false" customHeight="false" outlineLevel="0" collapsed="false">
      <c r="A646" s="18" t="str">
        <f aca="false">IF(ISNUMBER($J646),$J646,"")</f>
        <v/>
      </c>
      <c r="B646" s="18" t="str">
        <f aca="false">IFERROR(INDEX('SALES Raw'!$B$6:$B$4467,MATCH($J646,'SALES Raw'!$J$6:$J$4467,0)),IFERROR(INDEX('CEMIUP0.9 Raw'!$B$6:$B$1712,MATCH($J646,'CEMIUP0.9 Raw'!$B$6:$B$1712,0)),$J646))</f>
        <v>25 L</v>
      </c>
      <c r="C646" s="18" t="str">
        <f aca="false">IF(ISNUMBER($J646),IFERROR(INDEX('TRANS'!$C:$C,MATCH($J646,'TRANS'!$B:$B,0)),IFERROR(INDEX('Catalog'!$B:$B,MATCH($J646,'Catalog'!$A:$A,0)),$B646)),$B646)</f>
        <v>25 L</v>
      </c>
      <c r="D646" s="19" t="n">
        <f aca="false">SUMIFS('SALES Raw'!$C$6:$C$4467,'SALES Raw'!$J$6:$J$4467,$J646,'SALES Raw'!$K$6:$K$4467,"Y")+SUMIFS('CEMIUP0.9 Raw'!$D$6:$D$1712,'CEMIUP0.9 Raw'!$B$6:$B$1712,$J646,'CEMIUP0.9 Raw'!$H$6:$H$1712,"Y")</f>
        <v>0</v>
      </c>
      <c r="E646" s="19" t="n">
        <f aca="false">SUMIFS('SALES Raw'!$D$6:$D$4467,'SALES Raw'!$J$6:$J$4467,$J646,'SALES Raw'!$K$6:$K$4467,"Y")+SUMIFS('CEMIUP0.9 Raw'!$E$6:$E$1712,'CEMIUP0.9 Raw'!$B$6:$B$1712,$J646,'CEMIUP0.9 Raw'!$H$6:$H$1712,"Y")</f>
        <v>0</v>
      </c>
      <c r="F646" s="19" t="n">
        <f aca="false">SUMIFS('SALES Raw'!$E$6:$E$4467,'SALES Raw'!$J$6:$J$4467,$J646,'SALES Raw'!$K$6:$K$4467,"Y")*$H$4+SUMIFS('CEMIUP0.9 Raw'!$F$6:$F$1712,'CEMIUP0.9 Raw'!$B$6:$B$1712,$J646,'CEMIUP0.9 Raw'!$H$6:$H$1712,"Y")</f>
        <v>3.78947368421053</v>
      </c>
      <c r="G646" s="19" t="n">
        <f aca="false">SUMIFS('SALES Raw'!$F$6:$F$4467,'SALES Raw'!$J$6:$J$4467,$J646,'SALES Raw'!$K$6:$K$4467,"Y")*$H$4+SUMIFS('CEMIUP0.9 Raw'!$G$6:$G$1712,'CEMIUP0.9 Raw'!$B$6:$B$1712,$J646,'CEMIUP0.9 Raw'!$H$6:$H$1712,"Y")</f>
        <v>252.037894736842</v>
      </c>
      <c r="H646" s="18" t="s">
        <v>46</v>
      </c>
      <c r="I646" s="18"/>
      <c r="J646" s="18" t="s">
        <v>234</v>
      </c>
    </row>
    <row r="647" customFormat="false" ht="15" hidden="false" customHeight="false" outlineLevel="0" collapsed="false">
      <c r="A647" s="18" t="str">
        <f aca="false">IF(ISNUMBER($J647),$J647,"")</f>
        <v/>
      </c>
      <c r="B647" s="18" t="str">
        <f aca="false">IFERROR(INDEX('SALES Raw'!$B$6:$B$4467,MATCH($J647,'SALES Raw'!$J$6:$J$4467,0)),IFERROR(INDEX('CEMIUP0.9 Raw'!$B$6:$B$1712,MATCH($J647,'CEMIUP0.9 Raw'!$B$6:$B$1712,0)),$J647))</f>
        <v>305-35-36</v>
      </c>
      <c r="C647" s="18" t="str">
        <f aca="false">IF(ISNUMBER($J647),IFERROR(INDEX('TRANS'!$C:$C,MATCH($J647,'TRANS'!$B:$B,0)),IFERROR(INDEX('Catalog'!$B:$B,MATCH($J647,'Catalog'!$A:$A,0)),$B647)),$B647)</f>
        <v>305-35-36</v>
      </c>
      <c r="D647" s="19" t="n">
        <f aca="false">SUMIFS('SALES Raw'!$C$6:$C$4467,'SALES Raw'!$J$6:$J$4467,$J647,'SALES Raw'!$K$6:$K$4467,"Y")+SUMIFS('CEMIUP0.9 Raw'!$D$6:$D$1712,'CEMIUP0.9 Raw'!$B$6:$B$1712,$J647,'CEMIUP0.9 Raw'!$H$6:$H$1712,"Y")</f>
        <v>0</v>
      </c>
      <c r="E647" s="19" t="n">
        <f aca="false">SUMIFS('SALES Raw'!$D$6:$D$4467,'SALES Raw'!$J$6:$J$4467,$J647,'SALES Raw'!$K$6:$K$4467,"Y")+SUMIFS('CEMIUP0.9 Raw'!$E$6:$E$1712,'CEMIUP0.9 Raw'!$B$6:$B$1712,$J647,'CEMIUP0.9 Raw'!$H$6:$H$1712,"Y")</f>
        <v>0</v>
      </c>
      <c r="F647" s="19" t="n">
        <f aca="false">SUMIFS('SALES Raw'!$E$6:$E$4467,'SALES Raw'!$J$6:$J$4467,$J647,'SALES Raw'!$K$6:$K$4467,"Y")*$H$4+SUMIFS('CEMIUP0.9 Raw'!$F$6:$F$1712,'CEMIUP0.9 Raw'!$B$6:$B$1712,$J647,'CEMIUP0.9 Raw'!$H$6:$H$1712,"Y")</f>
        <v>3.78947368421053</v>
      </c>
      <c r="G647" s="19" t="n">
        <f aca="false">SUMIFS('SALES Raw'!$F$6:$F$4467,'SALES Raw'!$J$6:$J$4467,$J647,'SALES Raw'!$K$6:$K$4467,"Y")*$H$4+SUMIFS('CEMIUP0.9 Raw'!$G$6:$G$1712,'CEMIUP0.9 Raw'!$B$6:$B$1712,$J647,'CEMIUP0.9 Raw'!$H$6:$H$1712,"Y")</f>
        <v>662.703157894737</v>
      </c>
      <c r="H647" s="18" t="s">
        <v>42</v>
      </c>
      <c r="I647" s="18" t="s">
        <v>46</v>
      </c>
      <c r="J647" s="18" t="s">
        <v>235</v>
      </c>
    </row>
    <row r="648" customFormat="false" ht="15" hidden="false" customHeight="false" outlineLevel="0" collapsed="false">
      <c r="A648" s="18" t="str">
        <f aca="false">IF(ISNUMBER($J648),$J648,"")</f>
        <v/>
      </c>
      <c r="B648" s="18" t="str">
        <f aca="false">IFERROR(INDEX('SALES Raw'!$B$6:$B$4467,MATCH($J648,'SALES Raw'!$J$6:$J$4467,0)),IFERROR(INDEX('CEMIUP0.9 Raw'!$B$6:$B$1712,MATCH($J648,'CEMIUP0.9 Raw'!$B$6:$B$1712,0)),$J648))</f>
        <v>422E XL</v>
      </c>
      <c r="C648" s="18" t="str">
        <f aca="false">IF(ISNUMBER($J648),IFERROR(INDEX('TRANS'!$C:$C,MATCH($J648,'TRANS'!$B:$B,0)),IFERROR(INDEX('Catalog'!$B:$B,MATCH($J648,'Catalog'!$A:$A,0)),$B648)),$B648)</f>
        <v>422E XL</v>
      </c>
      <c r="D648" s="19" t="n">
        <f aca="false">SUMIFS('SALES Raw'!$C$6:$C$4467,'SALES Raw'!$J$6:$J$4467,$J648,'SALES Raw'!$K$6:$K$4467,"Y")+SUMIFS('CEMIUP0.9 Raw'!$D$6:$D$1712,'CEMIUP0.9 Raw'!$B$6:$B$1712,$J648,'CEMIUP0.9 Raw'!$H$6:$H$1712,"Y")</f>
        <v>12</v>
      </c>
      <c r="E648" s="19" t="n">
        <f aca="false">SUMIFS('SALES Raw'!$D$6:$D$4467,'SALES Raw'!$J$6:$J$4467,$J648,'SALES Raw'!$K$6:$K$4467,"Y")+SUMIFS('CEMIUP0.9 Raw'!$E$6:$E$1712,'CEMIUP0.9 Raw'!$B$6:$B$1712,$J648,'CEMIUP0.9 Raw'!$H$6:$H$1712,"Y")</f>
        <v>2139.02</v>
      </c>
      <c r="F648" s="19" t="n">
        <f aca="false">SUMIFS('SALES Raw'!$E$6:$E$4467,'SALES Raw'!$J$6:$J$4467,$J648,'SALES Raw'!$K$6:$K$4467,"Y")*$H$4+SUMIFS('CEMIUP0.9 Raw'!$F$6:$F$1712,'CEMIUP0.9 Raw'!$B$6:$B$1712,$J648,'CEMIUP0.9 Raw'!$H$6:$H$1712,"Y")</f>
        <v>3.78947368421053</v>
      </c>
      <c r="G648" s="19" t="n">
        <f aca="false">SUMIFS('SALES Raw'!$F$6:$F$4467,'SALES Raw'!$J$6:$J$4467,$J648,'SALES Raw'!$K$6:$K$4467,"Y")*$H$4+SUMIFS('CEMIUP0.9 Raw'!$G$6:$G$1712,'CEMIUP0.9 Raw'!$B$6:$B$1712,$J648,'CEMIUP0.9 Raw'!$H$6:$H$1712,"Y")</f>
        <v>510.037894736842</v>
      </c>
      <c r="H648" s="18" t="s">
        <v>53</v>
      </c>
      <c r="I648" s="18" t="s">
        <v>42</v>
      </c>
      <c r="J648" s="18" t="s">
        <v>236</v>
      </c>
    </row>
    <row r="649" customFormat="false" ht="15" hidden="false" customHeight="false" outlineLevel="0" collapsed="false">
      <c r="A649" s="18" t="str">
        <f aca="false">IF(ISNUMBER($J649),$J649,"")</f>
        <v/>
      </c>
      <c r="B649" s="18" t="str">
        <f aca="false">IFERROR(INDEX('SALES Raw'!$B$6:$B$4467,MATCH($J649,'SALES Raw'!$J$6:$J$4467,0)),IFERROR(INDEX('CEMIUP0.9 Raw'!$B$6:$B$1712,MATCH($J649,'CEMIUP0.9 Raw'!$B$6:$B$1712,0)),$J649))</f>
        <v>59LB L</v>
      </c>
      <c r="C649" s="18" t="str">
        <f aca="false">IF(ISNUMBER($J649),IFERROR(INDEX('TRANS'!$C:$C,MATCH($J649,'TRANS'!$B:$B,0)),IFERROR(INDEX('Catalog'!$B:$B,MATCH($J649,'Catalog'!$A:$A,0)),$B649)),$B649)</f>
        <v>59LB L</v>
      </c>
      <c r="D649" s="19" t="n">
        <f aca="false">SUMIFS('SALES Raw'!$C$6:$C$4467,'SALES Raw'!$J$6:$J$4467,$J649,'SALES Raw'!$K$6:$K$4467,"Y")+SUMIFS('CEMIUP0.9 Raw'!$D$6:$D$1712,'CEMIUP0.9 Raw'!$B$6:$B$1712,$J649,'CEMIUP0.9 Raw'!$H$6:$H$1712,"Y")</f>
        <v>5</v>
      </c>
      <c r="E649" s="19" t="n">
        <f aca="false">SUMIFS('SALES Raw'!$D$6:$D$4467,'SALES Raw'!$J$6:$J$4467,$J649,'SALES Raw'!$K$6:$K$4467,"Y")+SUMIFS('CEMIUP0.9 Raw'!$E$6:$E$1712,'CEMIUP0.9 Raw'!$B$6:$B$1712,$J649,'CEMIUP0.9 Raw'!$H$6:$H$1712,"Y")</f>
        <v>1445.82</v>
      </c>
      <c r="F649" s="19" t="n">
        <f aca="false">SUMIFS('SALES Raw'!$E$6:$E$4467,'SALES Raw'!$J$6:$J$4467,$J649,'SALES Raw'!$K$6:$K$4467,"Y")*$H$4+SUMIFS('CEMIUP0.9 Raw'!$F$6:$F$1712,'CEMIUP0.9 Raw'!$B$6:$B$1712,$J649,'CEMIUP0.9 Raw'!$H$6:$H$1712,"Y")</f>
        <v>3.78947368421053</v>
      </c>
      <c r="G649" s="19" t="n">
        <f aca="false">SUMIFS('SALES Raw'!$F$6:$F$4467,'SALES Raw'!$J$6:$J$4467,$J649,'SALES Raw'!$K$6:$K$4467,"Y")*$H$4+SUMIFS('CEMIUP0.9 Raw'!$G$6:$G$1712,'CEMIUP0.9 Raw'!$B$6:$B$1712,$J649,'CEMIUP0.9 Raw'!$H$6:$H$1712,"Y")</f>
        <v>1220.04631578947</v>
      </c>
      <c r="H649" s="18" t="s">
        <v>42</v>
      </c>
      <c r="I649" s="18" t="s">
        <v>46</v>
      </c>
      <c r="J649" s="18" t="s">
        <v>237</v>
      </c>
    </row>
    <row r="650" customFormat="false" ht="15" hidden="false" customHeight="false" outlineLevel="0" collapsed="false">
      <c r="A650" s="18" t="str">
        <f aca="false">IF(ISNUMBER($J650),$J650,"")</f>
        <v/>
      </c>
      <c r="B650" s="18" t="str">
        <f aca="false">IFERROR(INDEX('SALES Raw'!$B$6:$B$4467,MATCH($J650,'SALES Raw'!$J$6:$J$4467,0)),IFERROR(INDEX('CEMIUP0.9 Raw'!$B$6:$B$1712,MATCH($J650,'CEMIUP0.9 Raw'!$B$6:$B$1712,0)),$J650))</f>
        <v>61BL-M</v>
      </c>
      <c r="C650" s="18" t="str">
        <f aca="false">IF(ISNUMBER($J650),IFERROR(INDEX('TRANS'!$C:$C,MATCH($J650,'TRANS'!$B:$B,0)),IFERROR(INDEX('Catalog'!$B:$B,MATCH($J650,'Catalog'!$A:$A,0)),$B650)),$B650)</f>
        <v>61BL-M</v>
      </c>
      <c r="D650" s="19" t="n">
        <f aca="false">SUMIFS('SALES Raw'!$C$6:$C$4467,'SALES Raw'!$J$6:$J$4467,$J650,'SALES Raw'!$K$6:$K$4467,"Y")+SUMIFS('CEMIUP0.9 Raw'!$D$6:$D$1712,'CEMIUP0.9 Raw'!$B$6:$B$1712,$J650,'CEMIUP0.9 Raw'!$H$6:$H$1712,"Y")</f>
        <v>0</v>
      </c>
      <c r="E650" s="19" t="n">
        <f aca="false">SUMIFS('SALES Raw'!$D$6:$D$4467,'SALES Raw'!$J$6:$J$4467,$J650,'SALES Raw'!$K$6:$K$4467,"Y")+SUMIFS('CEMIUP0.9 Raw'!$E$6:$E$1712,'CEMIUP0.9 Raw'!$B$6:$B$1712,$J650,'CEMIUP0.9 Raw'!$H$6:$H$1712,"Y")</f>
        <v>0</v>
      </c>
      <c r="F650" s="19" t="n">
        <f aca="false">SUMIFS('SALES Raw'!$E$6:$E$4467,'SALES Raw'!$J$6:$J$4467,$J650,'SALES Raw'!$K$6:$K$4467,"Y")*$H$4+SUMIFS('CEMIUP0.9 Raw'!$F$6:$F$1712,'CEMIUP0.9 Raw'!$B$6:$B$1712,$J650,'CEMIUP0.9 Raw'!$H$6:$H$1712,"Y")</f>
        <v>3.78947368421053</v>
      </c>
      <c r="G650" s="19" t="n">
        <f aca="false">SUMIFS('SALES Raw'!$F$6:$F$4467,'SALES Raw'!$J$6:$J$4467,$J650,'SALES Raw'!$K$6:$K$4467,"Y")*$H$4+SUMIFS('CEMIUP0.9 Raw'!$G$6:$G$1712,'CEMIUP0.9 Raw'!$B$6:$B$1712,$J650,'CEMIUP0.9 Raw'!$H$6:$H$1712,"Y")</f>
        <v>118.294736842105</v>
      </c>
      <c r="H650" s="18" t="s">
        <v>53</v>
      </c>
      <c r="I650" s="18" t="s">
        <v>46</v>
      </c>
      <c r="J650" s="18" t="s">
        <v>238</v>
      </c>
    </row>
    <row r="651" customFormat="false" ht="15" hidden="false" customHeight="false" outlineLevel="0" collapsed="false">
      <c r="A651" s="18" t="str">
        <f aca="false">IF(ISNUMBER($J651),$J651,"")</f>
        <v/>
      </c>
      <c r="B651" s="18" t="str">
        <f aca="false">IFERROR(INDEX('SALES Raw'!$B$6:$B$4467,MATCH($J651,'SALES Raw'!$J$6:$J$4467,0)),IFERROR(INDEX('CEMIUP0.9 Raw'!$B$6:$B$1712,MATCH($J651,'CEMIUP0.9 Raw'!$B$6:$B$1712,0)),$J651))</f>
        <v>61BL-S</v>
      </c>
      <c r="C651" s="18" t="str">
        <f aca="false">IF(ISNUMBER($J651),IFERROR(INDEX('TRANS'!$C:$C,MATCH($J651,'TRANS'!$B:$B,0)),IFERROR(INDEX('Catalog'!$B:$B,MATCH($J651,'Catalog'!$A:$A,0)),$B651)),$B651)</f>
        <v>61BL-S</v>
      </c>
      <c r="D651" s="19" t="n">
        <f aca="false">SUMIFS('SALES Raw'!$C$6:$C$4467,'SALES Raw'!$J$6:$J$4467,$J651,'SALES Raw'!$K$6:$K$4467,"Y")+SUMIFS('CEMIUP0.9 Raw'!$D$6:$D$1712,'CEMIUP0.9 Raw'!$B$6:$B$1712,$J651,'CEMIUP0.9 Raw'!$H$6:$H$1712,"Y")</f>
        <v>0</v>
      </c>
      <c r="E651" s="19" t="n">
        <f aca="false">SUMIFS('SALES Raw'!$D$6:$D$4467,'SALES Raw'!$J$6:$J$4467,$J651,'SALES Raw'!$K$6:$K$4467,"Y")+SUMIFS('CEMIUP0.9 Raw'!$E$6:$E$1712,'CEMIUP0.9 Raw'!$B$6:$B$1712,$J651,'CEMIUP0.9 Raw'!$H$6:$H$1712,"Y")</f>
        <v>0</v>
      </c>
      <c r="F651" s="19" t="n">
        <f aca="false">SUMIFS('SALES Raw'!$E$6:$E$4467,'SALES Raw'!$J$6:$J$4467,$J651,'SALES Raw'!$K$6:$K$4467,"Y")*$H$4+SUMIFS('CEMIUP0.9 Raw'!$F$6:$F$1712,'CEMIUP0.9 Raw'!$B$6:$B$1712,$J651,'CEMIUP0.9 Raw'!$H$6:$H$1712,"Y")</f>
        <v>3.78947368421053</v>
      </c>
      <c r="G651" s="19" t="n">
        <f aca="false">SUMIFS('SALES Raw'!$F$6:$F$4467,'SALES Raw'!$J$6:$J$4467,$J651,'SALES Raw'!$K$6:$K$4467,"Y")*$H$4+SUMIFS('CEMIUP0.9 Raw'!$G$6:$G$1712,'CEMIUP0.9 Raw'!$B$6:$B$1712,$J651,'CEMIUP0.9 Raw'!$H$6:$H$1712,"Y")</f>
        <v>118.345263157895</v>
      </c>
      <c r="H651" s="18" t="s">
        <v>53</v>
      </c>
      <c r="I651" s="18" t="s">
        <v>46</v>
      </c>
      <c r="J651" s="18" t="s">
        <v>239</v>
      </c>
    </row>
    <row r="652" customFormat="false" ht="15" hidden="false" customHeight="false" outlineLevel="0" collapsed="false">
      <c r="A652" s="18" t="str">
        <f aca="false">IF(ISNUMBER($J652),$J652,"")</f>
        <v/>
      </c>
      <c r="B652" s="18" t="str">
        <f aca="false">IFERROR(INDEX('SALES Raw'!$B$6:$B$4467,MATCH($J652,'SALES Raw'!$J$6:$J$4467,0)),IFERROR(INDEX('CEMIUP0.9 Raw'!$B$6:$B$1712,MATCH($J652,'CEMIUP0.9 Raw'!$B$6:$B$1712,0)),$J652))</f>
        <v>T066B-S-M</v>
      </c>
      <c r="C652" s="18" t="str">
        <f aca="false">IF(ISNUMBER($J652),IFERROR(INDEX('TRANS'!$C:$C,MATCH($J652,'TRANS'!$B:$B,0)),IFERROR(INDEX('Catalog'!$B:$B,MATCH($J652,'Catalog'!$A:$A,0)),$B652)),$B652)</f>
        <v>T066B-S-M</v>
      </c>
      <c r="D652" s="19" t="n">
        <f aca="false">SUMIFS('SALES Raw'!$C$6:$C$4467,'SALES Raw'!$J$6:$J$4467,$J652,'SALES Raw'!$K$6:$K$4467,"Y")+SUMIFS('CEMIUP0.9 Raw'!$D$6:$D$1712,'CEMIUP0.9 Raw'!$B$6:$B$1712,$J652,'CEMIUP0.9 Raw'!$H$6:$H$1712,"Y")</f>
        <v>0</v>
      </c>
      <c r="E652" s="19" t="n">
        <f aca="false">SUMIFS('SALES Raw'!$D$6:$D$4467,'SALES Raw'!$J$6:$J$4467,$J652,'SALES Raw'!$K$6:$K$4467,"Y")+SUMIFS('CEMIUP0.9 Raw'!$E$6:$E$1712,'CEMIUP0.9 Raw'!$B$6:$B$1712,$J652,'CEMIUP0.9 Raw'!$H$6:$H$1712,"Y")</f>
        <v>0</v>
      </c>
      <c r="F652" s="19" t="n">
        <f aca="false">SUMIFS('SALES Raw'!$E$6:$E$4467,'SALES Raw'!$J$6:$J$4467,$J652,'SALES Raw'!$K$6:$K$4467,"Y")*$H$4+SUMIFS('CEMIUP0.9 Raw'!$F$6:$F$1712,'CEMIUP0.9 Raw'!$B$6:$B$1712,$J652,'CEMIUP0.9 Raw'!$H$6:$H$1712,"Y")</f>
        <v>3.78947368421053</v>
      </c>
      <c r="G652" s="19" t="n">
        <f aca="false">SUMIFS('SALES Raw'!$F$6:$F$4467,'SALES Raw'!$J$6:$J$4467,$J652,'SALES Raw'!$K$6:$K$4467,"Y")*$H$4+SUMIFS('CEMIUP0.9 Raw'!$G$6:$G$1712,'CEMIUP0.9 Raw'!$B$6:$B$1712,$J652,'CEMIUP0.9 Raw'!$H$6:$H$1712,"Y")</f>
        <v>359.103157894737</v>
      </c>
      <c r="H652" s="18" t="s">
        <v>53</v>
      </c>
      <c r="I652" s="18" t="s">
        <v>46</v>
      </c>
      <c r="J652" s="18" t="s">
        <v>240</v>
      </c>
    </row>
    <row r="653" customFormat="false" ht="15" hidden="false" customHeight="false" outlineLevel="0" collapsed="false">
      <c r="A653" s="18" t="str">
        <f aca="false">IF(ISNUMBER($J653),$J653,"")</f>
        <v/>
      </c>
      <c r="B653" s="18" t="str">
        <f aca="false">IFERROR(INDEX('SALES Raw'!$B$6:$B$4467,MATCH($J653,'SALES Raw'!$J$6:$J$4467,0)),IFERROR(INDEX('CEMIUP0.9 Raw'!$B$6:$B$1712,MATCH($J653,'CEMIUP0.9 Raw'!$B$6:$B$1712,0)),$J653))</f>
        <v>15M XXL</v>
      </c>
      <c r="C653" s="18" t="str">
        <f aca="false">IF(ISNUMBER($J653),IFERROR(INDEX('TRANS'!$C:$C,MATCH($J653,'TRANS'!$B:$B,0)),IFERROR(INDEX('Catalog'!$B:$B,MATCH($J653,'Catalog'!$A:$A,0)),$B653)),$B653)</f>
        <v>15M XXL</v>
      </c>
      <c r="D653" s="19" t="n">
        <f aca="false">SUMIFS('SALES Raw'!$C$6:$C$4467,'SALES Raw'!$J$6:$J$4467,$J653,'SALES Raw'!$K$6:$K$4467,"Y")+SUMIFS('CEMIUP0.9 Raw'!$D$6:$D$1712,'CEMIUP0.9 Raw'!$B$6:$B$1712,$J653,'CEMIUP0.9 Raw'!$H$6:$H$1712,"Y")</f>
        <v>6</v>
      </c>
      <c r="E653" s="19" t="n">
        <f aca="false">SUMIFS('SALES Raw'!$D$6:$D$4467,'SALES Raw'!$J$6:$J$4467,$J653,'SALES Raw'!$K$6:$K$4467,"Y")+SUMIFS('CEMIUP0.9 Raw'!$E$6:$E$1712,'CEMIUP0.9 Raw'!$B$6:$B$1712,$J653,'CEMIUP0.9 Raw'!$H$6:$H$1712,"Y")</f>
        <v>824.38</v>
      </c>
      <c r="F653" s="19" t="n">
        <f aca="false">SUMIFS('SALES Raw'!$E$6:$E$4467,'SALES Raw'!$J$6:$J$4467,$J653,'SALES Raw'!$K$6:$K$4467,"Y")*$H$4+SUMIFS('CEMIUP0.9 Raw'!$F$6:$F$1712,'CEMIUP0.9 Raw'!$B$6:$B$1712,$J653,'CEMIUP0.9 Raw'!$H$6:$H$1712,"Y")</f>
        <v>3.78947368421053</v>
      </c>
      <c r="G653" s="19" t="n">
        <f aca="false">SUMIFS('SALES Raw'!$F$6:$F$4467,'SALES Raw'!$J$6:$J$4467,$J653,'SALES Raw'!$K$6:$K$4467,"Y")*$H$4+SUMIFS('CEMIUP0.9 Raw'!$G$6:$G$1712,'CEMIUP0.9 Raw'!$B$6:$B$1712,$J653,'CEMIUP0.9 Raw'!$H$6:$H$1712,"Y")</f>
        <v>787.528421052632</v>
      </c>
      <c r="H653" s="18" t="s">
        <v>42</v>
      </c>
      <c r="I653" s="18" t="s">
        <v>44</v>
      </c>
      <c r="J653" s="18" t="s">
        <v>241</v>
      </c>
    </row>
    <row r="654" customFormat="false" ht="15" hidden="false" customHeight="false" outlineLevel="0" collapsed="false">
      <c r="A654" s="18" t="str">
        <f aca="false">IF(ISNUMBER($J654),$J654,"")</f>
        <v/>
      </c>
      <c r="B654" s="18" t="str">
        <f aca="false">IFERROR(INDEX('SALES Raw'!$B$6:$B$4467,MATCH($J654,'SALES Raw'!$J$6:$J$4467,0)),IFERROR(INDEX('CEMIUP0.9 Raw'!$B$6:$B$1712,MATCH($J654,'CEMIUP0.9 Raw'!$B$6:$B$1712,0)),$J654))</f>
        <v>49PS M</v>
      </c>
      <c r="C654" s="18" t="str">
        <f aca="false">IF(ISNUMBER($J654),IFERROR(INDEX('TRANS'!$C:$C,MATCH($J654,'TRANS'!$B:$B,0)),IFERROR(INDEX('Catalog'!$B:$B,MATCH($J654,'Catalog'!$A:$A,0)),$B654)),$B654)</f>
        <v>49PS M</v>
      </c>
      <c r="D654" s="19" t="n">
        <f aca="false">SUMIFS('SALES Raw'!$C$6:$C$4467,'SALES Raw'!$J$6:$J$4467,$J654,'SALES Raw'!$K$6:$K$4467,"Y")+SUMIFS('CEMIUP0.9 Raw'!$D$6:$D$1712,'CEMIUP0.9 Raw'!$B$6:$B$1712,$J654,'CEMIUP0.9 Raw'!$H$6:$H$1712,"Y")</f>
        <v>3</v>
      </c>
      <c r="E654" s="19" t="n">
        <f aca="false">SUMIFS('SALES Raw'!$D$6:$D$4467,'SALES Raw'!$J$6:$J$4467,$J654,'SALES Raw'!$K$6:$K$4467,"Y")+SUMIFS('CEMIUP0.9 Raw'!$E$6:$E$1712,'CEMIUP0.9 Raw'!$B$6:$B$1712,$J654,'CEMIUP0.9 Raw'!$H$6:$H$1712,"Y")</f>
        <v>495.7</v>
      </c>
      <c r="F654" s="19" t="n">
        <f aca="false">SUMIFS('SALES Raw'!$E$6:$E$4467,'SALES Raw'!$J$6:$J$4467,$J654,'SALES Raw'!$K$6:$K$4467,"Y")*$H$4+SUMIFS('CEMIUP0.9 Raw'!$F$6:$F$1712,'CEMIUP0.9 Raw'!$B$6:$B$1712,$J654,'CEMIUP0.9 Raw'!$H$6:$H$1712,"Y")</f>
        <v>3.78947368421053</v>
      </c>
      <c r="G654" s="19" t="n">
        <f aca="false">SUMIFS('SALES Raw'!$F$6:$F$4467,'SALES Raw'!$J$6:$J$4467,$J654,'SALES Raw'!$K$6:$K$4467,"Y")*$H$4+SUMIFS('CEMIUP0.9 Raw'!$G$6:$G$1712,'CEMIUP0.9 Raw'!$B$6:$B$1712,$J654,'CEMIUP0.9 Raw'!$H$6:$H$1712,"Y")</f>
        <v>914.93052631579</v>
      </c>
      <c r="H654" s="18" t="s">
        <v>42</v>
      </c>
      <c r="I654" s="18" t="s">
        <v>46</v>
      </c>
      <c r="J654" s="18" t="s">
        <v>242</v>
      </c>
    </row>
    <row r="655" customFormat="false" ht="15" hidden="false" customHeight="false" outlineLevel="0" collapsed="false">
      <c r="A655" s="18" t="str">
        <f aca="false">IF(ISNUMBER($J655),$J655,"")</f>
        <v/>
      </c>
      <c r="B655" s="18" t="str">
        <f aca="false">IFERROR(INDEX('SALES Raw'!$B$6:$B$4467,MATCH($J655,'SALES Raw'!$J$6:$J$4467,0)),IFERROR(INDEX('CEMIUP0.9 Raw'!$B$6:$B$1712,MATCH($J655,'CEMIUP0.9 Raw'!$B$6:$B$1712,0)),$J655))</f>
        <v>06U S</v>
      </c>
      <c r="C655" s="18" t="str">
        <f aca="false">IF(ISNUMBER($J655),IFERROR(INDEX('TRANS'!$C:$C,MATCH($J655,'TRANS'!$B:$B,0)),IFERROR(INDEX('Catalog'!$B:$B,MATCH($J655,'Catalog'!$A:$A,0)),$B655)),$B655)</f>
        <v>06U S</v>
      </c>
      <c r="D655" s="19" t="n">
        <f aca="false">SUMIFS('SALES Raw'!$C$6:$C$4467,'SALES Raw'!$J$6:$J$4467,$J655,'SALES Raw'!$K$6:$K$4467,"Y")+SUMIFS('CEMIUP0.9 Raw'!$D$6:$D$1712,'CEMIUP0.9 Raw'!$B$6:$B$1712,$J655,'CEMIUP0.9 Raw'!$H$6:$H$1712,"Y")</f>
        <v>6</v>
      </c>
      <c r="E655" s="19" t="n">
        <f aca="false">SUMIFS('SALES Raw'!$D$6:$D$4467,'SALES Raw'!$J$6:$J$4467,$J655,'SALES Raw'!$K$6:$K$4467,"Y")+SUMIFS('CEMIUP0.9 Raw'!$E$6:$E$1712,'CEMIUP0.9 Raw'!$B$6:$B$1712,$J655,'CEMIUP0.9 Raw'!$H$6:$H$1712,"Y")</f>
        <v>1102.79</v>
      </c>
      <c r="F655" s="19" t="n">
        <f aca="false">SUMIFS('SALES Raw'!$E$6:$E$4467,'SALES Raw'!$J$6:$J$4467,$J655,'SALES Raw'!$K$6:$K$4467,"Y")*$H$4+SUMIFS('CEMIUP0.9 Raw'!$F$6:$F$1712,'CEMIUP0.9 Raw'!$B$6:$B$1712,$J655,'CEMIUP0.9 Raw'!$H$6:$H$1712,"Y")</f>
        <v>3.78947368421053</v>
      </c>
      <c r="G655" s="19" t="n">
        <f aca="false">SUMIFS('SALES Raw'!$F$6:$F$4467,'SALES Raw'!$J$6:$J$4467,$J655,'SALES Raw'!$K$6:$K$4467,"Y")*$H$4+SUMIFS('CEMIUP0.9 Raw'!$G$6:$G$1712,'CEMIUP0.9 Raw'!$B$6:$B$1712,$J655,'CEMIUP0.9 Raw'!$H$6:$H$1712,"Y")</f>
        <v>868.888421052632</v>
      </c>
      <c r="H655" s="18" t="s">
        <v>44</v>
      </c>
      <c r="I655" s="18" t="s">
        <v>42</v>
      </c>
      <c r="J655" s="18" t="s">
        <v>243</v>
      </c>
    </row>
    <row r="656" customFormat="false" ht="15" hidden="false" customHeight="false" outlineLevel="0" collapsed="false">
      <c r="A656" s="18" t="str">
        <f aca="false">IF(ISNUMBER($J656),$J656,"")</f>
        <v/>
      </c>
      <c r="B656" s="18" t="str">
        <f aca="false">IFERROR(INDEX('SALES Raw'!$B$6:$B$4467,MATCH($J656,'SALES Raw'!$J$6:$J$4467,0)),IFERROR(INDEX('CEMIUP0.9 Raw'!$B$6:$B$1712,MATCH($J656,'CEMIUP0.9 Raw'!$B$6:$B$1712,0)),$J656))</f>
        <v>T28AC XXL</v>
      </c>
      <c r="C656" s="18" t="str">
        <f aca="false">IF(ISNUMBER($J656),IFERROR(INDEX('TRANS'!$C:$C,MATCH($J656,'TRANS'!$B:$B,0)),IFERROR(INDEX('Catalog'!$B:$B,MATCH($J656,'Catalog'!$A:$A,0)),$B656)),$B656)</f>
        <v>T28AC XXL</v>
      </c>
      <c r="D656" s="19" t="n">
        <f aca="false">SUMIFS('SALES Raw'!$C$6:$C$4467,'SALES Raw'!$J$6:$J$4467,$J656,'SALES Raw'!$K$6:$K$4467,"Y")+SUMIFS('CEMIUP0.9 Raw'!$D$6:$D$1712,'CEMIUP0.9 Raw'!$B$6:$B$1712,$J656,'CEMIUP0.9 Raw'!$H$6:$H$1712,"Y")</f>
        <v>3</v>
      </c>
      <c r="E656" s="19" t="n">
        <f aca="false">SUMIFS('SALES Raw'!$D$6:$D$4467,'SALES Raw'!$J$6:$J$4467,$J656,'SALES Raw'!$K$6:$K$4467,"Y")+SUMIFS('CEMIUP0.9 Raw'!$E$6:$E$1712,'CEMIUP0.9 Raw'!$B$6:$B$1712,$J656,'CEMIUP0.9 Raw'!$H$6:$H$1712,"Y")</f>
        <v>298.91</v>
      </c>
      <c r="F656" s="19" t="n">
        <f aca="false">SUMIFS('SALES Raw'!$E$6:$E$4467,'SALES Raw'!$J$6:$J$4467,$J656,'SALES Raw'!$K$6:$K$4467,"Y")*$H$4+SUMIFS('CEMIUP0.9 Raw'!$F$6:$F$1712,'CEMIUP0.9 Raw'!$B$6:$B$1712,$J656,'CEMIUP0.9 Raw'!$H$6:$H$1712,"Y")</f>
        <v>3.78947368421053</v>
      </c>
      <c r="G656" s="19" t="n">
        <f aca="false">SUMIFS('SALES Raw'!$F$6:$F$4467,'SALES Raw'!$J$6:$J$4467,$J656,'SALES Raw'!$K$6:$K$4467,"Y")*$H$4+SUMIFS('CEMIUP0.9 Raw'!$G$6:$G$1712,'CEMIUP0.9 Raw'!$B$6:$B$1712,$J656,'CEMIUP0.9 Raw'!$H$6:$H$1712,"Y")</f>
        <v>377.583157894737</v>
      </c>
      <c r="H656" s="18" t="s">
        <v>42</v>
      </c>
      <c r="I656" s="18" t="s">
        <v>44</v>
      </c>
      <c r="J656" s="18" t="s">
        <v>244</v>
      </c>
    </row>
    <row r="657" customFormat="false" ht="15" hidden="false" customHeight="false" outlineLevel="0" collapsed="false">
      <c r="A657" s="18" t="str">
        <f aca="false">IF(ISNUMBER($J657),$J657,"")</f>
        <v/>
      </c>
      <c r="B657" s="18" t="str">
        <f aca="false">IFERROR(INDEX('SALES Raw'!$B$6:$B$4467,MATCH($J657,'SALES Raw'!$J$6:$J$4467,0)),IFERROR(INDEX('CEMIUP0.9 Raw'!$B$6:$B$1712,MATCH($J657,'CEMIUP0.9 Raw'!$B$6:$B$1712,0)),$J657))</f>
        <v>322 S</v>
      </c>
      <c r="C657" s="18" t="str">
        <f aca="false">IF(ISNUMBER($J657),IFERROR(INDEX('TRANS'!$C:$C,MATCH($J657,'TRANS'!$B:$B,0)),IFERROR(INDEX('Catalog'!$B:$B,MATCH($J657,'Catalog'!$A:$A,0)),$B657)),$B657)</f>
        <v>322 S</v>
      </c>
      <c r="D657" s="19" t="n">
        <f aca="false">SUMIFS('SALES Raw'!$C$6:$C$4467,'SALES Raw'!$J$6:$J$4467,$J657,'SALES Raw'!$K$6:$K$4467,"Y")+SUMIFS('CEMIUP0.9 Raw'!$D$6:$D$1712,'CEMIUP0.9 Raw'!$B$6:$B$1712,$J657,'CEMIUP0.9 Raw'!$H$6:$H$1712,"Y")</f>
        <v>4</v>
      </c>
      <c r="E657" s="19" t="n">
        <f aca="false">SUMIFS('SALES Raw'!$D$6:$D$4467,'SALES Raw'!$J$6:$J$4467,$J657,'SALES Raw'!$K$6:$K$4467,"Y")+SUMIFS('CEMIUP0.9 Raw'!$E$6:$E$1712,'CEMIUP0.9 Raw'!$B$6:$B$1712,$J657,'CEMIUP0.9 Raw'!$H$6:$H$1712,"Y")</f>
        <v>279.98</v>
      </c>
      <c r="F657" s="19" t="n">
        <f aca="false">SUMIFS('SALES Raw'!$E$6:$E$4467,'SALES Raw'!$J$6:$J$4467,$J657,'SALES Raw'!$K$6:$K$4467,"Y")*$H$4+SUMIFS('CEMIUP0.9 Raw'!$F$6:$F$1712,'CEMIUP0.9 Raw'!$B$6:$B$1712,$J657,'CEMIUP0.9 Raw'!$H$6:$H$1712,"Y")</f>
        <v>3.78947368421053</v>
      </c>
      <c r="G657" s="19" t="n">
        <f aca="false">SUMIFS('SALES Raw'!$F$6:$F$4467,'SALES Raw'!$J$6:$J$4467,$J657,'SALES Raw'!$K$6:$K$4467,"Y")*$H$4+SUMIFS('CEMIUP0.9 Raw'!$G$6:$G$1712,'CEMIUP0.9 Raw'!$B$6:$B$1712,$J657,'CEMIUP0.9 Raw'!$H$6:$H$1712,"Y")</f>
        <v>265.250526315789</v>
      </c>
      <c r="H657" s="18" t="s">
        <v>44</v>
      </c>
      <c r="I657" s="18"/>
      <c r="J657" s="18" t="s">
        <v>245</v>
      </c>
    </row>
    <row r="658" customFormat="false" ht="15" hidden="false" customHeight="false" outlineLevel="0" collapsed="false">
      <c r="A658" s="18" t="str">
        <f aca="false">IF(ISNUMBER($J658),$J658,"")</f>
        <v/>
      </c>
      <c r="B658" s="18" t="str">
        <f aca="false">IFERROR(INDEX('SALES Raw'!$B$6:$B$4467,MATCH($J658,'SALES Raw'!$J$6:$J$4467,0)),IFERROR(INDEX('CEMIUP0.9 Raw'!$B$6:$B$1712,MATCH($J658,'CEMIUP0.9 Raw'!$B$6:$B$1712,0)),$J658))</f>
        <v>079 XXL</v>
      </c>
      <c r="C658" s="18" t="str">
        <f aca="false">IF(ISNUMBER($J658),IFERROR(INDEX('TRANS'!$C:$C,MATCH($J658,'TRANS'!$B:$B,0)),IFERROR(INDEX('Catalog'!$B:$B,MATCH($J658,'Catalog'!$A:$A,0)),$B658)),$B658)</f>
        <v>079 XXL</v>
      </c>
      <c r="D658" s="19" t="n">
        <f aca="false">SUMIFS('SALES Raw'!$C$6:$C$4467,'SALES Raw'!$J$6:$J$4467,$J658,'SALES Raw'!$K$6:$K$4467,"Y")+SUMIFS('CEMIUP0.9 Raw'!$D$6:$D$1712,'CEMIUP0.9 Raw'!$B$6:$B$1712,$J658,'CEMIUP0.9 Raw'!$H$6:$H$1712,"Y")</f>
        <v>0</v>
      </c>
      <c r="E658" s="19" t="n">
        <f aca="false">SUMIFS('SALES Raw'!$D$6:$D$4467,'SALES Raw'!$J$6:$J$4467,$J658,'SALES Raw'!$K$6:$K$4467,"Y")+SUMIFS('CEMIUP0.9 Raw'!$E$6:$E$1712,'CEMIUP0.9 Raw'!$B$6:$B$1712,$J658,'CEMIUP0.9 Raw'!$H$6:$H$1712,"Y")</f>
        <v>0</v>
      </c>
      <c r="F658" s="19" t="n">
        <f aca="false">SUMIFS('SALES Raw'!$E$6:$E$4467,'SALES Raw'!$J$6:$J$4467,$J658,'SALES Raw'!$K$6:$K$4467,"Y")*$H$4+SUMIFS('CEMIUP0.9 Raw'!$F$6:$F$1712,'CEMIUP0.9 Raw'!$B$6:$B$1712,$J658,'CEMIUP0.9 Raw'!$H$6:$H$1712,"Y")</f>
        <v>3.78947368421053</v>
      </c>
      <c r="G658" s="19" t="n">
        <f aca="false">SUMIFS('SALES Raw'!$F$6:$F$4467,'SALES Raw'!$J$6:$J$4467,$J658,'SALES Raw'!$K$6:$K$4467,"Y")*$H$4+SUMIFS('CEMIUP0.9 Raw'!$G$6:$G$1712,'CEMIUP0.9 Raw'!$B$6:$B$1712,$J658,'CEMIUP0.9 Raw'!$H$6:$H$1712,"Y")</f>
        <v>364.673684210526</v>
      </c>
      <c r="H658" s="18" t="s">
        <v>53</v>
      </c>
      <c r="I658" s="18" t="s">
        <v>44</v>
      </c>
      <c r="J658" s="18" t="s">
        <v>246</v>
      </c>
    </row>
    <row r="659" customFormat="false" ht="15" hidden="false" customHeight="false" outlineLevel="0" collapsed="false">
      <c r="A659" s="18" t="str">
        <f aca="false">IF(ISNUMBER($J659),$J659,"")</f>
        <v/>
      </c>
      <c r="B659" s="18" t="str">
        <f aca="false">IFERROR(INDEX('SALES Raw'!$B$6:$B$4467,MATCH($J659,'SALES Raw'!$J$6:$J$4467,0)),IFERROR(INDEX('CEMIUP0.9 Raw'!$B$6:$B$1712,MATCH($J659,'CEMIUP0.9 Raw'!$B$6:$B$1712,0)),$J659))</f>
        <v>T43V L</v>
      </c>
      <c r="C659" s="18" t="str">
        <f aca="false">IF(ISNUMBER($J659),IFERROR(INDEX('TRANS'!$C:$C,MATCH($J659,'TRANS'!$B:$B,0)),IFERROR(INDEX('Catalog'!$B:$B,MATCH($J659,'Catalog'!$A:$A,0)),$B659)),$B659)</f>
        <v>T43V L</v>
      </c>
      <c r="D659" s="19" t="n">
        <f aca="false">SUMIFS('SALES Raw'!$C$6:$C$4467,'SALES Raw'!$J$6:$J$4467,$J659,'SALES Raw'!$K$6:$K$4467,"Y")+SUMIFS('CEMIUP0.9 Raw'!$D$6:$D$1712,'CEMIUP0.9 Raw'!$B$6:$B$1712,$J659,'CEMIUP0.9 Raw'!$H$6:$H$1712,"Y")</f>
        <v>2</v>
      </c>
      <c r="E659" s="19" t="n">
        <f aca="false">SUMIFS('SALES Raw'!$D$6:$D$4467,'SALES Raw'!$J$6:$J$4467,$J659,'SALES Raw'!$K$6:$K$4467,"Y")+SUMIFS('CEMIUP0.9 Raw'!$E$6:$E$1712,'CEMIUP0.9 Raw'!$B$6:$B$1712,$J659,'CEMIUP0.9 Raw'!$H$6:$H$1712,"Y")</f>
        <v>806.12</v>
      </c>
      <c r="F659" s="19" t="n">
        <f aca="false">SUMIFS('SALES Raw'!$E$6:$E$4467,'SALES Raw'!$J$6:$J$4467,$J659,'SALES Raw'!$K$6:$K$4467,"Y")*$H$4+SUMIFS('CEMIUP0.9 Raw'!$F$6:$F$1712,'CEMIUP0.9 Raw'!$B$6:$B$1712,$J659,'CEMIUP0.9 Raw'!$H$6:$H$1712,"Y")</f>
        <v>3.78947368421053</v>
      </c>
      <c r="G659" s="19" t="n">
        <f aca="false">SUMIFS('SALES Raw'!$F$6:$F$4467,'SALES Raw'!$J$6:$J$4467,$J659,'SALES Raw'!$K$6:$K$4467,"Y")*$H$4+SUMIFS('CEMIUP0.9 Raw'!$G$6:$G$1712,'CEMIUP0.9 Raw'!$B$6:$B$1712,$J659,'CEMIUP0.9 Raw'!$H$6:$H$1712,"Y")</f>
        <v>1938.7452631579</v>
      </c>
      <c r="H659" s="18" t="s">
        <v>44</v>
      </c>
      <c r="I659" s="18" t="s">
        <v>42</v>
      </c>
      <c r="J659" s="18" t="s">
        <v>247</v>
      </c>
    </row>
    <row r="660" customFormat="false" ht="15" hidden="false" customHeight="false" outlineLevel="0" collapsed="false">
      <c r="A660" s="18" t="str">
        <f aca="false">IF(ISNUMBER($J660),$J660,"")</f>
        <v/>
      </c>
      <c r="B660" s="18" t="str">
        <f aca="false">IFERROR(INDEX('SALES Raw'!$B$6:$B$4467,MATCH($J660,'SALES Raw'!$J$6:$J$4467,0)),IFERROR(INDEX('CEMIUP0.9 Raw'!$B$6:$B$1712,MATCH($J660,'CEMIUP0.9 Raw'!$B$6:$B$1712,0)),$J660))</f>
        <v>30 XXL</v>
      </c>
      <c r="C660" s="18" t="str">
        <f aca="false">IF(ISNUMBER($J660),IFERROR(INDEX('TRANS'!$C:$C,MATCH($J660,'TRANS'!$B:$B,0)),IFERROR(INDEX('Catalog'!$B:$B,MATCH($J660,'Catalog'!$A:$A,0)),$B660)),$B660)</f>
        <v>30 XXL</v>
      </c>
      <c r="D660" s="19" t="n">
        <f aca="false">SUMIFS('SALES Raw'!$C$6:$C$4467,'SALES Raw'!$J$6:$J$4467,$J660,'SALES Raw'!$K$6:$K$4467,"Y")+SUMIFS('CEMIUP0.9 Raw'!$D$6:$D$1712,'CEMIUP0.9 Raw'!$B$6:$B$1712,$J660,'CEMIUP0.9 Raw'!$H$6:$H$1712,"Y")</f>
        <v>1</v>
      </c>
      <c r="E660" s="19" t="n">
        <f aca="false">SUMIFS('SALES Raw'!$D$6:$D$4467,'SALES Raw'!$J$6:$J$4467,$J660,'SALES Raw'!$K$6:$K$4467,"Y")+SUMIFS('CEMIUP0.9 Raw'!$E$6:$E$1712,'CEMIUP0.9 Raw'!$B$6:$B$1712,$J660,'CEMIUP0.9 Raw'!$H$6:$H$1712,"Y")</f>
        <v>66.51</v>
      </c>
      <c r="F660" s="19" t="n">
        <f aca="false">SUMIFS('SALES Raw'!$E$6:$E$4467,'SALES Raw'!$J$6:$J$4467,$J660,'SALES Raw'!$K$6:$K$4467,"Y")*$H$4+SUMIFS('CEMIUP0.9 Raw'!$F$6:$F$1712,'CEMIUP0.9 Raw'!$B$6:$B$1712,$J660,'CEMIUP0.9 Raw'!$H$6:$H$1712,"Y")</f>
        <v>3.78947368421053</v>
      </c>
      <c r="G660" s="19" t="n">
        <f aca="false">SUMIFS('SALES Raw'!$F$6:$F$4467,'SALES Raw'!$J$6:$J$4467,$J660,'SALES Raw'!$K$6:$K$4467,"Y")*$H$4+SUMIFS('CEMIUP0.9 Raw'!$G$6:$G$1712,'CEMIUP0.9 Raw'!$B$6:$B$1712,$J660,'CEMIUP0.9 Raw'!$H$6:$H$1712,"Y")</f>
        <v>425.305263157895</v>
      </c>
      <c r="H660" s="18" t="s">
        <v>42</v>
      </c>
      <c r="I660" s="18" t="s">
        <v>44</v>
      </c>
      <c r="J660" s="18" t="s">
        <v>248</v>
      </c>
    </row>
    <row r="661" customFormat="false" ht="15" hidden="false" customHeight="false" outlineLevel="0" collapsed="false">
      <c r="A661" s="18" t="str">
        <f aca="false">IF(ISNUMBER($J661),$J661,"")</f>
        <v/>
      </c>
      <c r="B661" s="18" t="str">
        <f aca="false">IFERROR(INDEX('SALES Raw'!$B$6:$B$4467,MATCH($J661,'SALES Raw'!$J$6:$J$4467,0)),IFERROR(INDEX('CEMIUP0.9 Raw'!$B$6:$B$1712,MATCH($J661,'CEMIUP0.9 Raw'!$B$6:$B$1712,0)),$J661))</f>
        <v>11STOB XL</v>
      </c>
      <c r="C661" s="18" t="str">
        <f aca="false">IF(ISNUMBER($J661),IFERROR(INDEX('TRANS'!$C:$C,MATCH($J661,'TRANS'!$B:$B,0)),IFERROR(INDEX('Catalog'!$B:$B,MATCH($J661,'Catalog'!$A:$A,0)),$B661)),$B661)</f>
        <v>11STOB XL</v>
      </c>
      <c r="D661" s="19" t="n">
        <f aca="false">SUMIFS('SALES Raw'!$C$6:$C$4467,'SALES Raw'!$J$6:$J$4467,$J661,'SALES Raw'!$K$6:$K$4467,"Y")+SUMIFS('CEMIUP0.9 Raw'!$D$6:$D$1712,'CEMIUP0.9 Raw'!$B$6:$B$1712,$J661,'CEMIUP0.9 Raw'!$H$6:$H$1712,"Y")</f>
        <v>2</v>
      </c>
      <c r="E661" s="19" t="n">
        <f aca="false">SUMIFS('SALES Raw'!$D$6:$D$4467,'SALES Raw'!$J$6:$J$4467,$J661,'SALES Raw'!$K$6:$K$4467,"Y")+SUMIFS('CEMIUP0.9 Raw'!$E$6:$E$1712,'CEMIUP0.9 Raw'!$B$6:$B$1712,$J661,'CEMIUP0.9 Raw'!$H$6:$H$1712,"Y")</f>
        <v>360.65</v>
      </c>
      <c r="F661" s="19" t="n">
        <f aca="false">SUMIFS('SALES Raw'!$E$6:$E$4467,'SALES Raw'!$J$6:$J$4467,$J661,'SALES Raw'!$K$6:$K$4467,"Y")*$H$4+SUMIFS('CEMIUP0.9 Raw'!$F$6:$F$1712,'CEMIUP0.9 Raw'!$B$6:$B$1712,$J661,'CEMIUP0.9 Raw'!$H$6:$H$1712,"Y")</f>
        <v>3.78947368421053</v>
      </c>
      <c r="G661" s="19" t="n">
        <f aca="false">SUMIFS('SALES Raw'!$F$6:$F$4467,'SALES Raw'!$J$6:$J$4467,$J661,'SALES Raw'!$K$6:$K$4467,"Y")*$H$4+SUMIFS('CEMIUP0.9 Raw'!$G$6:$G$1712,'CEMIUP0.9 Raw'!$B$6:$B$1712,$J661,'CEMIUP0.9 Raw'!$H$6:$H$1712,"Y")</f>
        <v>1101.72631578947</v>
      </c>
      <c r="H661" s="18" t="s">
        <v>42</v>
      </c>
      <c r="I661" s="18" t="s">
        <v>44</v>
      </c>
      <c r="J661" s="18" t="s">
        <v>249</v>
      </c>
    </row>
    <row r="662" customFormat="false" ht="15" hidden="false" customHeight="false" outlineLevel="0" collapsed="false">
      <c r="A662" s="18" t="str">
        <f aca="false">IF(ISNUMBER($J662),$J662,"")</f>
        <v/>
      </c>
      <c r="B662" s="18" t="str">
        <f aca="false">IFERROR(INDEX('SALES Raw'!$B$6:$B$4467,MATCH($J662,'SALES Raw'!$J$6:$J$4467,0)),IFERROR(INDEX('CEMIUP0.9 Raw'!$B$6:$B$1712,MATCH($J662,'CEMIUP0.9 Raw'!$B$6:$B$1712,0)),$J662))</f>
        <v>267LB-S-M</v>
      </c>
      <c r="C662" s="18" t="str">
        <f aca="false">IF(ISNUMBER($J662),IFERROR(INDEX('TRANS'!$C:$C,MATCH($J662,'TRANS'!$B:$B,0)),IFERROR(INDEX('Catalog'!$B:$B,MATCH($J662,'Catalog'!$A:$A,0)),$B662)),$B662)</f>
        <v>267LB-S-M</v>
      </c>
      <c r="D662" s="19" t="n">
        <f aca="false">SUMIFS('SALES Raw'!$C$6:$C$4467,'SALES Raw'!$J$6:$J$4467,$J662,'SALES Raw'!$K$6:$K$4467,"Y")+SUMIFS('CEMIUP0.9 Raw'!$D$6:$D$1712,'CEMIUP0.9 Raw'!$B$6:$B$1712,$J662,'CEMIUP0.9 Raw'!$H$6:$H$1712,"Y")</f>
        <v>1</v>
      </c>
      <c r="E662" s="19" t="n">
        <f aca="false">SUMIFS('SALES Raw'!$D$6:$D$4467,'SALES Raw'!$J$6:$J$4467,$J662,'SALES Raw'!$K$6:$K$4467,"Y")+SUMIFS('CEMIUP0.9 Raw'!$E$6:$E$1712,'CEMIUP0.9 Raw'!$B$6:$B$1712,$J662,'CEMIUP0.9 Raw'!$H$6:$H$1712,"Y")</f>
        <v>167.05</v>
      </c>
      <c r="F662" s="19" t="n">
        <f aca="false">SUMIFS('SALES Raw'!$E$6:$E$4467,'SALES Raw'!$J$6:$J$4467,$J662,'SALES Raw'!$K$6:$K$4467,"Y")*$H$4+SUMIFS('CEMIUP0.9 Raw'!$F$6:$F$1712,'CEMIUP0.9 Raw'!$B$6:$B$1712,$J662,'CEMIUP0.9 Raw'!$H$6:$H$1712,"Y")</f>
        <v>3.78947368421053</v>
      </c>
      <c r="G662" s="19" t="n">
        <f aca="false">SUMIFS('SALES Raw'!$F$6:$F$4467,'SALES Raw'!$J$6:$J$4467,$J662,'SALES Raw'!$K$6:$K$4467,"Y")*$H$4+SUMIFS('CEMIUP0.9 Raw'!$G$6:$G$1712,'CEMIUP0.9 Raw'!$B$6:$B$1712,$J662,'CEMIUP0.9 Raw'!$H$6:$H$1712,"Y")</f>
        <v>542.842105263158</v>
      </c>
      <c r="H662" s="18" t="s">
        <v>42</v>
      </c>
      <c r="I662" s="18" t="s">
        <v>53</v>
      </c>
      <c r="J662" s="18" t="s">
        <v>250</v>
      </c>
    </row>
    <row r="663" customFormat="false" ht="15" hidden="false" customHeight="false" outlineLevel="0" collapsed="false">
      <c r="A663" s="18" t="str">
        <f aca="false">IF(ISNUMBER($J663),$J663,"")</f>
        <v/>
      </c>
      <c r="B663" s="18" t="str">
        <f aca="false">IFERROR(INDEX('SALES Raw'!$B$6:$B$4467,MATCH($J663,'SALES Raw'!$J$6:$J$4467,0)),IFERROR(INDEX('CEMIUP0.9 Raw'!$B$6:$B$1712,MATCH($J663,'CEMIUP0.9 Raw'!$B$6:$B$1712,0)),$J663))</f>
        <v>332B S</v>
      </c>
      <c r="C663" s="18" t="str">
        <f aca="false">IF(ISNUMBER($J663),IFERROR(INDEX('TRANS'!$C:$C,MATCH($J663,'TRANS'!$B:$B,0)),IFERROR(INDEX('Catalog'!$B:$B,MATCH($J663,'Catalog'!$A:$A,0)),$B663)),$B663)</f>
        <v>332B S</v>
      </c>
      <c r="D663" s="19" t="n">
        <f aca="false">SUMIFS('SALES Raw'!$C$6:$C$4467,'SALES Raw'!$J$6:$J$4467,$J663,'SALES Raw'!$K$6:$K$4467,"Y")+SUMIFS('CEMIUP0.9 Raw'!$D$6:$D$1712,'CEMIUP0.9 Raw'!$B$6:$B$1712,$J663,'CEMIUP0.9 Raw'!$H$6:$H$1712,"Y")</f>
        <v>1</v>
      </c>
      <c r="E663" s="19" t="n">
        <f aca="false">SUMIFS('SALES Raw'!$D$6:$D$4467,'SALES Raw'!$J$6:$J$4467,$J663,'SALES Raw'!$K$6:$K$4467,"Y")+SUMIFS('CEMIUP0.9 Raw'!$E$6:$E$1712,'CEMIUP0.9 Raw'!$B$6:$B$1712,$J663,'CEMIUP0.9 Raw'!$H$6:$H$1712,"Y")</f>
        <v>231.2</v>
      </c>
      <c r="F663" s="19" t="n">
        <f aca="false">SUMIFS('SALES Raw'!$E$6:$E$4467,'SALES Raw'!$J$6:$J$4467,$J663,'SALES Raw'!$K$6:$K$4467,"Y")*$H$4+SUMIFS('CEMIUP0.9 Raw'!$F$6:$F$1712,'CEMIUP0.9 Raw'!$B$6:$B$1712,$J663,'CEMIUP0.9 Raw'!$H$6:$H$1712,"Y")</f>
        <v>3.78947368421053</v>
      </c>
      <c r="G663" s="19" t="n">
        <f aca="false">SUMIFS('SALES Raw'!$F$6:$F$4467,'SALES Raw'!$J$6:$J$4467,$J663,'SALES Raw'!$K$6:$K$4467,"Y")*$H$4+SUMIFS('CEMIUP0.9 Raw'!$G$6:$G$1712,'CEMIUP0.9 Raw'!$B$6:$B$1712,$J663,'CEMIUP0.9 Raw'!$H$6:$H$1712,"Y")</f>
        <v>445.642105263158</v>
      </c>
      <c r="H663" s="18" t="s">
        <v>53</v>
      </c>
      <c r="I663" s="18" t="s">
        <v>49</v>
      </c>
      <c r="J663" s="18" t="s">
        <v>251</v>
      </c>
    </row>
    <row r="664" customFormat="false" ht="15" hidden="false" customHeight="false" outlineLevel="0" collapsed="false">
      <c r="A664" s="18" t="str">
        <f aca="false">IF(ISNUMBER($J664),$J664,"")</f>
        <v/>
      </c>
      <c r="B664" s="18" t="str">
        <f aca="false">IFERROR(INDEX('SALES Raw'!$B$6:$B$4467,MATCH($J664,'SALES Raw'!$J$6:$J$4467,0)),IFERROR(INDEX('CEMIUP0.9 Raw'!$B$6:$B$1712,MATCH($J664,'CEMIUP0.9 Raw'!$B$6:$B$1712,0)),$J664))</f>
        <v>18 S</v>
      </c>
      <c r="C664" s="18" t="str">
        <f aca="false">IF(ISNUMBER($J664),IFERROR(INDEX('TRANS'!$C:$C,MATCH($J664,'TRANS'!$B:$B,0)),IFERROR(INDEX('Catalog'!$B:$B,MATCH($J664,'Catalog'!$A:$A,0)),$B664)),$B664)</f>
        <v>18 S</v>
      </c>
      <c r="D664" s="19" t="n">
        <f aca="false">SUMIFS('SALES Raw'!$C$6:$C$4467,'SALES Raw'!$J$6:$J$4467,$J664,'SALES Raw'!$K$6:$K$4467,"Y")+SUMIFS('CEMIUP0.9 Raw'!$D$6:$D$1712,'CEMIUP0.9 Raw'!$B$6:$B$1712,$J664,'CEMIUP0.9 Raw'!$H$6:$H$1712,"Y")</f>
        <v>7</v>
      </c>
      <c r="E664" s="19" t="n">
        <f aca="false">SUMIFS('SALES Raw'!$D$6:$D$4467,'SALES Raw'!$J$6:$J$4467,$J664,'SALES Raw'!$K$6:$K$4467,"Y")+SUMIFS('CEMIUP0.9 Raw'!$E$6:$E$1712,'CEMIUP0.9 Raw'!$B$6:$B$1712,$J664,'CEMIUP0.9 Raw'!$H$6:$H$1712,"Y")</f>
        <v>1699.99</v>
      </c>
      <c r="F664" s="19" t="n">
        <f aca="false">SUMIFS('SALES Raw'!$E$6:$E$4467,'SALES Raw'!$J$6:$J$4467,$J664,'SALES Raw'!$K$6:$K$4467,"Y")*$H$4+SUMIFS('CEMIUP0.9 Raw'!$F$6:$F$1712,'CEMIUP0.9 Raw'!$B$6:$B$1712,$J664,'CEMIUP0.9 Raw'!$H$6:$H$1712,"Y")</f>
        <v>3.78947368421053</v>
      </c>
      <c r="G664" s="19" t="n">
        <f aca="false">SUMIFS('SALES Raw'!$F$6:$F$4467,'SALES Raw'!$J$6:$J$4467,$J664,'SALES Raw'!$K$6:$K$4467,"Y")*$H$4+SUMIFS('CEMIUP0.9 Raw'!$G$6:$G$1712,'CEMIUP0.9 Raw'!$B$6:$B$1712,$J664,'CEMIUP0.9 Raw'!$H$6:$H$1712,"Y")</f>
        <v>1015.59157894737</v>
      </c>
      <c r="H664" s="18" t="s">
        <v>54</v>
      </c>
      <c r="I664" s="18" t="s">
        <v>43</v>
      </c>
      <c r="J664" s="18" t="s">
        <v>252</v>
      </c>
    </row>
    <row r="665" customFormat="false" ht="15" hidden="false" customHeight="false" outlineLevel="0" collapsed="false">
      <c r="A665" s="18" t="str">
        <f aca="false">IF(ISNUMBER($J665),$J665,"")</f>
        <v/>
      </c>
      <c r="B665" s="18" t="str">
        <f aca="false">IFERROR(INDEX('SALES Raw'!$B$6:$B$4467,MATCH($J665,'SALES Raw'!$J$6:$J$4467,0)),IFERROR(INDEX('CEMIUP0.9 Raw'!$B$6:$B$1712,MATCH($J665,'CEMIUP0.9 Raw'!$B$6:$B$1712,0)),$J665))</f>
        <v>07UB XXL</v>
      </c>
      <c r="C665" s="18" t="str">
        <f aca="false">IF(ISNUMBER($J665),IFERROR(INDEX('TRANS'!$C:$C,MATCH($J665,'TRANS'!$B:$B,0)),IFERROR(INDEX('Catalog'!$B:$B,MATCH($J665,'Catalog'!$A:$A,0)),$B665)),$B665)</f>
        <v>07UB XXL</v>
      </c>
      <c r="D665" s="19" t="n">
        <f aca="false">SUMIFS('SALES Raw'!$C$6:$C$4467,'SALES Raw'!$J$6:$J$4467,$J665,'SALES Raw'!$K$6:$K$4467,"Y")+SUMIFS('CEMIUP0.9 Raw'!$D$6:$D$1712,'CEMIUP0.9 Raw'!$B$6:$B$1712,$J665,'CEMIUP0.9 Raw'!$H$6:$H$1712,"Y")</f>
        <v>3</v>
      </c>
      <c r="E665" s="19" t="n">
        <f aca="false">SUMIFS('SALES Raw'!$D$6:$D$4467,'SALES Raw'!$J$6:$J$4467,$J665,'SALES Raw'!$K$6:$K$4467,"Y")+SUMIFS('CEMIUP0.9 Raw'!$E$6:$E$1712,'CEMIUP0.9 Raw'!$B$6:$B$1712,$J665,'CEMIUP0.9 Raw'!$H$6:$H$1712,"Y")</f>
        <v>1081.62</v>
      </c>
      <c r="F665" s="19" t="n">
        <f aca="false">SUMIFS('SALES Raw'!$E$6:$E$4467,'SALES Raw'!$J$6:$J$4467,$J665,'SALES Raw'!$K$6:$K$4467,"Y")*$H$4+SUMIFS('CEMIUP0.9 Raw'!$F$6:$F$1712,'CEMIUP0.9 Raw'!$B$6:$B$1712,$J665,'CEMIUP0.9 Raw'!$H$6:$H$1712,"Y")</f>
        <v>3.78947368421053</v>
      </c>
      <c r="G665" s="19" t="n">
        <f aca="false">SUMIFS('SALES Raw'!$F$6:$F$4467,'SALES Raw'!$J$6:$J$4467,$J665,'SALES Raw'!$K$6:$K$4467,"Y")*$H$4+SUMIFS('CEMIUP0.9 Raw'!$G$6:$G$1712,'CEMIUP0.9 Raw'!$B$6:$B$1712,$J665,'CEMIUP0.9 Raw'!$H$6:$H$1712,"Y")</f>
        <v>1285.94526315789</v>
      </c>
      <c r="H665" s="18" t="s">
        <v>42</v>
      </c>
      <c r="I665" s="18" t="s">
        <v>54</v>
      </c>
      <c r="J665" s="18" t="s">
        <v>253</v>
      </c>
    </row>
    <row r="666" customFormat="false" ht="15" hidden="false" customHeight="false" outlineLevel="0" collapsed="false">
      <c r="A666" s="18" t="str">
        <f aca="false">IF(ISNUMBER($J666),$J666,"")</f>
        <v/>
      </c>
      <c r="B666" s="18" t="str">
        <f aca="false">IFERROR(INDEX('SALES Raw'!$B$6:$B$4467,MATCH($J666,'SALES Raw'!$J$6:$J$4467,0)),IFERROR(INDEX('CEMIUP0.9 Raw'!$B$6:$B$1712,MATCH($J666,'CEMIUP0.9 Raw'!$B$6:$B$1712,0)),$J666))</f>
        <v>07AU XS</v>
      </c>
      <c r="C666" s="18" t="str">
        <f aca="false">IF(ISNUMBER($J666),IFERROR(INDEX('TRANS'!$C:$C,MATCH($J666,'TRANS'!$B:$B,0)),IFERROR(INDEX('Catalog'!$B:$B,MATCH($J666,'Catalog'!$A:$A,0)),$B666)),$B666)</f>
        <v>07AU XS</v>
      </c>
      <c r="D666" s="19" t="n">
        <f aca="false">SUMIFS('SALES Raw'!$C$6:$C$4467,'SALES Raw'!$J$6:$J$4467,$J666,'SALES Raw'!$K$6:$K$4467,"Y")+SUMIFS('CEMIUP0.9 Raw'!$D$6:$D$1712,'CEMIUP0.9 Raw'!$B$6:$B$1712,$J666,'CEMIUP0.9 Raw'!$H$6:$H$1712,"Y")</f>
        <v>0</v>
      </c>
      <c r="E666" s="19" t="n">
        <f aca="false">SUMIFS('SALES Raw'!$D$6:$D$4467,'SALES Raw'!$J$6:$J$4467,$J666,'SALES Raw'!$K$6:$K$4467,"Y")+SUMIFS('CEMIUP0.9 Raw'!$E$6:$E$1712,'CEMIUP0.9 Raw'!$B$6:$B$1712,$J666,'CEMIUP0.9 Raw'!$H$6:$H$1712,"Y")</f>
        <v>0</v>
      </c>
      <c r="F666" s="19" t="n">
        <f aca="false">SUMIFS('SALES Raw'!$E$6:$E$4467,'SALES Raw'!$J$6:$J$4467,$J666,'SALES Raw'!$K$6:$K$4467,"Y")*$H$4+SUMIFS('CEMIUP0.9 Raw'!$F$6:$F$1712,'CEMIUP0.9 Raw'!$B$6:$B$1712,$J666,'CEMIUP0.9 Raw'!$H$6:$H$1712,"Y")</f>
        <v>3.78947368421053</v>
      </c>
      <c r="G666" s="19" t="n">
        <f aca="false">SUMIFS('SALES Raw'!$F$6:$F$4467,'SALES Raw'!$J$6:$J$4467,$J666,'SALES Raw'!$K$6:$K$4467,"Y")*$H$4+SUMIFS('CEMIUP0.9 Raw'!$G$6:$G$1712,'CEMIUP0.9 Raw'!$B$6:$B$1712,$J666,'CEMIUP0.9 Raw'!$H$6:$H$1712,"Y")</f>
        <v>1798.06736842105</v>
      </c>
      <c r="H666" s="18" t="s">
        <v>42</v>
      </c>
      <c r="I666" s="18"/>
      <c r="J666" s="18" t="s">
        <v>254</v>
      </c>
    </row>
    <row r="667" customFormat="false" ht="15" hidden="false" customHeight="false" outlineLevel="0" collapsed="false">
      <c r="A667" s="18" t="str">
        <f aca="false">IF(ISNUMBER($J667),$J667,"")</f>
        <v/>
      </c>
      <c r="B667" s="18" t="str">
        <f aca="false">IFERROR(INDEX('SALES Raw'!$B$6:$B$4467,MATCH($J667,'SALES Raw'!$J$6:$J$4467,0)),IFERROR(INDEX('CEMIUP0.9 Raw'!$B$6:$B$1712,MATCH($J667,'CEMIUP0.9 Raw'!$B$6:$B$1712,0)),$J667))</f>
        <v>11UG XS</v>
      </c>
      <c r="C667" s="18" t="str">
        <f aca="false">IF(ISNUMBER($J667),IFERROR(INDEX('TRANS'!$C:$C,MATCH($J667,'TRANS'!$B:$B,0)),IFERROR(INDEX('Catalog'!$B:$B,MATCH($J667,'Catalog'!$A:$A,0)),$B667)),$B667)</f>
        <v>11UG XS</v>
      </c>
      <c r="D667" s="19" t="n">
        <f aca="false">SUMIFS('SALES Raw'!$C$6:$C$4467,'SALES Raw'!$J$6:$J$4467,$J667,'SALES Raw'!$K$6:$K$4467,"Y")+SUMIFS('CEMIUP0.9 Raw'!$D$6:$D$1712,'CEMIUP0.9 Raw'!$B$6:$B$1712,$J667,'CEMIUP0.9 Raw'!$H$6:$H$1712,"Y")</f>
        <v>1</v>
      </c>
      <c r="E667" s="19" t="n">
        <f aca="false">SUMIFS('SALES Raw'!$D$6:$D$4467,'SALES Raw'!$J$6:$J$4467,$J667,'SALES Raw'!$K$6:$K$4467,"Y")+SUMIFS('CEMIUP0.9 Raw'!$E$6:$E$1712,'CEMIUP0.9 Raw'!$B$6:$B$1712,$J667,'CEMIUP0.9 Raw'!$H$6:$H$1712,"Y")</f>
        <v>186.36</v>
      </c>
      <c r="F667" s="19" t="n">
        <f aca="false">SUMIFS('SALES Raw'!$E$6:$E$4467,'SALES Raw'!$J$6:$J$4467,$J667,'SALES Raw'!$K$6:$K$4467,"Y")*$H$4+SUMIFS('CEMIUP0.9 Raw'!$F$6:$F$1712,'CEMIUP0.9 Raw'!$B$6:$B$1712,$J667,'CEMIUP0.9 Raw'!$H$6:$H$1712,"Y")</f>
        <v>3.78947368421053</v>
      </c>
      <c r="G667" s="19" t="n">
        <f aca="false">SUMIFS('SALES Raw'!$F$6:$F$4467,'SALES Raw'!$J$6:$J$4467,$J667,'SALES Raw'!$K$6:$K$4467,"Y")*$H$4+SUMIFS('CEMIUP0.9 Raw'!$G$6:$G$1712,'CEMIUP0.9 Raw'!$B$6:$B$1712,$J667,'CEMIUP0.9 Raw'!$H$6:$H$1712,"Y")</f>
        <v>682.635789473684</v>
      </c>
      <c r="H667" s="18" t="s">
        <v>42</v>
      </c>
      <c r="I667" s="18"/>
      <c r="J667" s="18" t="s">
        <v>255</v>
      </c>
    </row>
    <row r="668" customFormat="false" ht="15" hidden="false" customHeight="false" outlineLevel="0" collapsed="false">
      <c r="A668" s="18" t="str">
        <f aca="false">IF(ISNUMBER($J668),$J668,"")</f>
        <v/>
      </c>
      <c r="B668" s="18" t="str">
        <f aca="false">IFERROR(INDEX('SALES Raw'!$B$6:$B$4467,MATCH($J668,'SALES Raw'!$J$6:$J$4467,0)),IFERROR(INDEX('CEMIUP0.9 Raw'!$B$6:$B$1712,MATCH($J668,'CEMIUP0.9 Raw'!$B$6:$B$1712,0)),$J668))</f>
        <v>267LC-S-M</v>
      </c>
      <c r="C668" s="18" t="str">
        <f aca="false">IF(ISNUMBER($J668),IFERROR(INDEX('TRANS'!$C:$C,MATCH($J668,'TRANS'!$B:$B,0)),IFERROR(INDEX('Catalog'!$B:$B,MATCH($J668,'Catalog'!$A:$A,0)),$B668)),$B668)</f>
        <v>267LC-S-M</v>
      </c>
      <c r="D668" s="19" t="n">
        <f aca="false">SUMIFS('SALES Raw'!$C$6:$C$4467,'SALES Raw'!$J$6:$J$4467,$J668,'SALES Raw'!$K$6:$K$4467,"Y")+SUMIFS('CEMIUP0.9 Raw'!$D$6:$D$1712,'CEMIUP0.9 Raw'!$B$6:$B$1712,$J668,'CEMIUP0.9 Raw'!$H$6:$H$1712,"Y")</f>
        <v>0</v>
      </c>
      <c r="E668" s="19" t="n">
        <f aca="false">SUMIFS('SALES Raw'!$D$6:$D$4467,'SALES Raw'!$J$6:$J$4467,$J668,'SALES Raw'!$K$6:$K$4467,"Y")+SUMIFS('CEMIUP0.9 Raw'!$E$6:$E$1712,'CEMIUP0.9 Raw'!$B$6:$B$1712,$J668,'CEMIUP0.9 Raw'!$H$6:$H$1712,"Y")</f>
        <v>0</v>
      </c>
      <c r="F668" s="19" t="n">
        <f aca="false">SUMIFS('SALES Raw'!$E$6:$E$4467,'SALES Raw'!$J$6:$J$4467,$J668,'SALES Raw'!$K$6:$K$4467,"Y")*$H$4+SUMIFS('CEMIUP0.9 Raw'!$F$6:$F$1712,'CEMIUP0.9 Raw'!$B$6:$B$1712,$J668,'CEMIUP0.9 Raw'!$H$6:$H$1712,"Y")</f>
        <v>3.78947368421053</v>
      </c>
      <c r="G668" s="19" t="n">
        <f aca="false">SUMIFS('SALES Raw'!$F$6:$F$4467,'SALES Raw'!$J$6:$J$4467,$J668,'SALES Raw'!$K$6:$K$4467,"Y")*$H$4+SUMIFS('CEMIUP0.9 Raw'!$G$6:$G$1712,'CEMIUP0.9 Raw'!$B$6:$B$1712,$J668,'CEMIUP0.9 Raw'!$H$6:$H$1712,"Y")</f>
        <v>744.732631578947</v>
      </c>
      <c r="H668" s="18" t="s">
        <v>42</v>
      </c>
      <c r="I668" s="18"/>
      <c r="J668" s="18" t="s">
        <v>256</v>
      </c>
    </row>
    <row r="669" customFormat="false" ht="15" hidden="false" customHeight="false" outlineLevel="0" collapsed="false">
      <c r="A669" s="18" t="str">
        <f aca="false">IF(ISNUMBER($J669),$J669,"")</f>
        <v/>
      </c>
      <c r="B669" s="18" t="str">
        <f aca="false">IFERROR(INDEX('SALES Raw'!$B$6:$B$4467,MATCH($J669,'SALES Raw'!$J$6:$J$4467,0)),IFERROR(INDEX('CEMIUP0.9 Raw'!$B$6:$B$1712,MATCH($J669,'CEMIUP0.9 Raw'!$B$6:$B$1712,0)),$J669))</f>
        <v>60B XL</v>
      </c>
      <c r="C669" s="18" t="str">
        <f aca="false">IF(ISNUMBER($J669),IFERROR(INDEX('TRANS'!$C:$C,MATCH($J669,'TRANS'!$B:$B,0)),IFERROR(INDEX('Catalog'!$B:$B,MATCH($J669,'Catalog'!$A:$A,0)),$B669)),$B669)</f>
        <v>60B XL</v>
      </c>
      <c r="D669" s="19" t="n">
        <f aca="false">SUMIFS('SALES Raw'!$C$6:$C$4467,'SALES Raw'!$J$6:$J$4467,$J669,'SALES Raw'!$K$6:$K$4467,"Y")+SUMIFS('CEMIUP0.9 Raw'!$D$6:$D$1712,'CEMIUP0.9 Raw'!$B$6:$B$1712,$J669,'CEMIUP0.9 Raw'!$H$6:$H$1712,"Y")</f>
        <v>0</v>
      </c>
      <c r="E669" s="19" t="n">
        <f aca="false">SUMIFS('SALES Raw'!$D$6:$D$4467,'SALES Raw'!$J$6:$J$4467,$J669,'SALES Raw'!$K$6:$K$4467,"Y")+SUMIFS('CEMIUP0.9 Raw'!$E$6:$E$1712,'CEMIUP0.9 Raw'!$B$6:$B$1712,$J669,'CEMIUP0.9 Raw'!$H$6:$H$1712,"Y")</f>
        <v>0</v>
      </c>
      <c r="F669" s="19" t="n">
        <f aca="false">SUMIFS('SALES Raw'!$E$6:$E$4467,'SALES Raw'!$J$6:$J$4467,$J669,'SALES Raw'!$K$6:$K$4467,"Y")*$H$4+SUMIFS('CEMIUP0.9 Raw'!$F$6:$F$1712,'CEMIUP0.9 Raw'!$B$6:$B$1712,$J669,'CEMIUP0.9 Raw'!$H$6:$H$1712,"Y")</f>
        <v>3.78947368421053</v>
      </c>
      <c r="G669" s="19" t="n">
        <f aca="false">SUMIFS('SALES Raw'!$F$6:$F$4467,'SALES Raw'!$J$6:$J$4467,$J669,'SALES Raw'!$K$6:$K$4467,"Y")*$H$4+SUMIFS('CEMIUP0.9 Raw'!$G$6:$G$1712,'CEMIUP0.9 Raw'!$B$6:$B$1712,$J669,'CEMIUP0.9 Raw'!$H$6:$H$1712,"Y")</f>
        <v>328.762105263158</v>
      </c>
      <c r="H669" s="18" t="s">
        <v>42</v>
      </c>
      <c r="I669" s="18"/>
      <c r="J669" s="18" t="s">
        <v>257</v>
      </c>
    </row>
    <row r="670" customFormat="false" ht="15" hidden="false" customHeight="false" outlineLevel="0" collapsed="false">
      <c r="A670" s="18" t="str">
        <f aca="false">IF(ISNUMBER($J670),$J670,"")</f>
        <v/>
      </c>
      <c r="B670" s="18" t="str">
        <f aca="false">IFERROR(INDEX('SALES Raw'!$B$6:$B$4467,MATCH($J670,'SALES Raw'!$J$6:$J$4467,0)),IFERROR(INDEX('CEMIUP0.9 Raw'!$B$6:$B$1712,MATCH($J670,'CEMIUP0.9 Raw'!$B$6:$B$1712,0)),$J670))</f>
        <v>88R- L-XL</v>
      </c>
      <c r="C670" s="18" t="str">
        <f aca="false">IF(ISNUMBER($J670),IFERROR(INDEX('TRANS'!$C:$C,MATCH($J670,'TRANS'!$B:$B,0)),IFERROR(INDEX('Catalog'!$B:$B,MATCH($J670,'Catalog'!$A:$A,0)),$B670)),$B670)</f>
        <v>88R- L-XL</v>
      </c>
      <c r="D670" s="19" t="n">
        <f aca="false">SUMIFS('SALES Raw'!$C$6:$C$4467,'SALES Raw'!$J$6:$J$4467,$J670,'SALES Raw'!$K$6:$K$4467,"Y")+SUMIFS('CEMIUP0.9 Raw'!$D$6:$D$1712,'CEMIUP0.9 Raw'!$B$6:$B$1712,$J670,'CEMIUP0.9 Raw'!$H$6:$H$1712,"Y")</f>
        <v>5</v>
      </c>
      <c r="E670" s="19" t="n">
        <f aca="false">SUMIFS('SALES Raw'!$D$6:$D$4467,'SALES Raw'!$J$6:$J$4467,$J670,'SALES Raw'!$K$6:$K$4467,"Y")+SUMIFS('CEMIUP0.9 Raw'!$E$6:$E$1712,'CEMIUP0.9 Raw'!$B$6:$B$1712,$J670,'CEMIUP0.9 Raw'!$H$6:$H$1712,"Y")</f>
        <v>2557.65</v>
      </c>
      <c r="F670" s="19" t="n">
        <f aca="false">SUMIFS('SALES Raw'!$E$6:$E$4467,'SALES Raw'!$J$6:$J$4467,$J670,'SALES Raw'!$K$6:$K$4467,"Y")*$H$4+SUMIFS('CEMIUP0.9 Raw'!$F$6:$F$1712,'CEMIUP0.9 Raw'!$B$6:$B$1712,$J670,'CEMIUP0.9 Raw'!$H$6:$H$1712,"Y")</f>
        <v>3.78947368421053</v>
      </c>
      <c r="G670" s="19" t="n">
        <f aca="false">SUMIFS('SALES Raw'!$F$6:$F$4467,'SALES Raw'!$J$6:$J$4467,$J670,'SALES Raw'!$K$6:$K$4467,"Y")*$H$4+SUMIFS('CEMIUP0.9 Raw'!$G$6:$G$1712,'CEMIUP0.9 Raw'!$B$6:$B$1712,$J670,'CEMIUP0.9 Raw'!$H$6:$H$1712,"Y")</f>
        <v>1878.37894736842</v>
      </c>
      <c r="H670" s="18" t="s">
        <v>42</v>
      </c>
      <c r="I670" s="18"/>
      <c r="J670" s="18" t="s">
        <v>258</v>
      </c>
    </row>
    <row r="671" customFormat="false" ht="15" hidden="false" customHeight="false" outlineLevel="0" collapsed="false">
      <c r="A671" s="18" t="str">
        <f aca="false">IF(ISNUMBER($J671),$J671,"")</f>
        <v/>
      </c>
      <c r="B671" s="18" t="str">
        <f aca="false">IFERROR(INDEX('SALES Raw'!$B$6:$B$4467,MATCH($J671,'SALES Raw'!$J$6:$J$4467,0)),IFERROR(INDEX('CEMIUP0.9 Raw'!$B$6:$B$1712,MATCH($J671,'CEMIUP0.9 Raw'!$B$6:$B$1712,0)),$J671))</f>
        <v>VMFPCN32 0</v>
      </c>
      <c r="C671" s="18" t="str">
        <f aca="false">IF(ISNUMBER($J671),IFERROR(INDEX('TRANS'!$C:$C,MATCH($J671,'TRANS'!$B:$B,0)),IFERROR(INDEX('Catalog'!$B:$B,MATCH($J671,'Catalog'!$A:$A,0)),$B671)),$B671)</f>
        <v>VMFPCN32 0</v>
      </c>
      <c r="D671" s="19" t="n">
        <f aca="false">SUMIFS('SALES Raw'!$C$6:$C$4467,'SALES Raw'!$J$6:$J$4467,$J671,'SALES Raw'!$K$6:$K$4467,"Y")+SUMIFS('CEMIUP0.9 Raw'!$D$6:$D$1712,'CEMIUP0.9 Raw'!$B$6:$B$1712,$J671,'CEMIUP0.9 Raw'!$H$6:$H$1712,"Y")</f>
        <v>0</v>
      </c>
      <c r="E671" s="19" t="n">
        <f aca="false">SUMIFS('SALES Raw'!$D$6:$D$4467,'SALES Raw'!$J$6:$J$4467,$J671,'SALES Raw'!$K$6:$K$4467,"Y")+SUMIFS('CEMIUP0.9 Raw'!$E$6:$E$1712,'CEMIUP0.9 Raw'!$B$6:$B$1712,$J671,'CEMIUP0.9 Raw'!$H$6:$H$1712,"Y")</f>
        <v>0</v>
      </c>
      <c r="F671" s="19" t="n">
        <f aca="false">SUMIFS('SALES Raw'!$E$6:$E$4467,'SALES Raw'!$J$6:$J$4467,$J671,'SALES Raw'!$K$6:$K$4467,"Y")*$H$4+SUMIFS('CEMIUP0.9 Raw'!$F$6:$F$1712,'CEMIUP0.9 Raw'!$B$6:$B$1712,$J671,'CEMIUP0.9 Raw'!$H$6:$H$1712,"Y")</f>
        <v>3.78947368421053</v>
      </c>
      <c r="G671" s="19" t="n">
        <f aca="false">SUMIFS('SALES Raw'!$F$6:$F$4467,'SALES Raw'!$J$6:$J$4467,$J671,'SALES Raw'!$K$6:$K$4467,"Y")*$H$4+SUMIFS('CEMIUP0.9 Raw'!$G$6:$G$1712,'CEMIUP0.9 Raw'!$B$6:$B$1712,$J671,'CEMIUP0.9 Raw'!$H$6:$H$1712,"Y")</f>
        <v>230.955789473684</v>
      </c>
      <c r="H671" s="18" t="s">
        <v>42</v>
      </c>
      <c r="I671" s="18"/>
      <c r="J671" s="18" t="s">
        <v>259</v>
      </c>
    </row>
    <row r="672" customFormat="false" ht="15" hidden="false" customHeight="false" outlineLevel="0" collapsed="false">
      <c r="A672" s="18" t="str">
        <f aca="false">IF(ISNUMBER($J672),$J672,"")</f>
        <v/>
      </c>
      <c r="B672" s="18" t="str">
        <f aca="false">IFERROR(INDEX('SALES Raw'!$B$6:$B$4467,MATCH($J672,'SALES Raw'!$J$6:$J$4467,0)),IFERROR(INDEX('CEMIUP0.9 Raw'!$B$6:$B$1712,MATCH($J672,'CEMIUP0.9 Raw'!$B$6:$B$1712,0)),$J672))</f>
        <v>18 XXL</v>
      </c>
      <c r="C672" s="18" t="str">
        <f aca="false">IF(ISNUMBER($J672),IFERROR(INDEX('TRANS'!$C:$C,MATCH($J672,'TRANS'!$B:$B,0)),IFERROR(INDEX('Catalog'!$B:$B,MATCH($J672,'Catalog'!$A:$A,0)),$B672)),$B672)</f>
        <v>18 XXL</v>
      </c>
      <c r="D672" s="19" t="n">
        <f aca="false">SUMIFS('SALES Raw'!$C$6:$C$4467,'SALES Raw'!$J$6:$J$4467,$J672,'SALES Raw'!$K$6:$K$4467,"Y")+SUMIFS('CEMIUP0.9 Raw'!$D$6:$D$1712,'CEMIUP0.9 Raw'!$B$6:$B$1712,$J672,'CEMIUP0.9 Raw'!$H$6:$H$1712,"Y")</f>
        <v>6</v>
      </c>
      <c r="E672" s="19" t="n">
        <f aca="false">SUMIFS('SALES Raw'!$D$6:$D$4467,'SALES Raw'!$J$6:$J$4467,$J672,'SALES Raw'!$K$6:$K$4467,"Y")+SUMIFS('CEMIUP0.9 Raw'!$E$6:$E$1712,'CEMIUP0.9 Raw'!$B$6:$B$1712,$J672,'CEMIUP0.9 Raw'!$H$6:$H$1712,"Y")</f>
        <v>1308.25</v>
      </c>
      <c r="F672" s="19" t="n">
        <f aca="false">SUMIFS('SALES Raw'!$E$6:$E$4467,'SALES Raw'!$J$6:$J$4467,$J672,'SALES Raw'!$K$6:$K$4467,"Y")*$H$4+SUMIFS('CEMIUP0.9 Raw'!$F$6:$F$1712,'CEMIUP0.9 Raw'!$B$6:$B$1712,$J672,'CEMIUP0.9 Raw'!$H$6:$H$1712,"Y")</f>
        <v>3.78947368421052</v>
      </c>
      <c r="G672" s="19" t="n">
        <f aca="false">SUMIFS('SALES Raw'!$F$6:$F$4467,'SALES Raw'!$J$6:$J$4467,$J672,'SALES Raw'!$K$6:$K$4467,"Y")*$H$4+SUMIFS('CEMIUP0.9 Raw'!$G$6:$G$1712,'CEMIUP0.9 Raw'!$B$6:$B$1712,$J672,'CEMIUP0.9 Raw'!$H$6:$H$1712,"Y")</f>
        <v>1067.77263157895</v>
      </c>
      <c r="H672" s="18" t="s">
        <v>44</v>
      </c>
      <c r="I672" s="18" t="s">
        <v>54</v>
      </c>
      <c r="J672" s="18" t="s">
        <v>260</v>
      </c>
    </row>
    <row r="673" customFormat="false" ht="15" hidden="false" customHeight="false" outlineLevel="0" collapsed="false">
      <c r="A673" s="18" t="str">
        <f aca="false">IF(ISNUMBER($J673),$J673,"")</f>
        <v/>
      </c>
      <c r="B673" s="18" t="str">
        <f aca="false">IFERROR(INDEX('SALES Raw'!$B$6:$B$4467,MATCH($J673,'SALES Raw'!$J$6:$J$4467,0)),IFERROR(INDEX('CEMIUP0.9 Raw'!$B$6:$B$1712,MATCH($J673,'CEMIUP0.9 Raw'!$B$6:$B$1712,0)),$J673))</f>
        <v>32 M</v>
      </c>
      <c r="C673" s="18" t="str">
        <f aca="false">IF(ISNUMBER($J673),IFERROR(INDEX('TRANS'!$C:$C,MATCH($J673,'TRANS'!$B:$B,0)),IFERROR(INDEX('Catalog'!$B:$B,MATCH($J673,'Catalog'!$A:$A,0)),$B673)),$B673)</f>
        <v>32 M</v>
      </c>
      <c r="D673" s="19" t="n">
        <f aca="false">SUMIFS('SALES Raw'!$C$6:$C$4467,'SALES Raw'!$J$6:$J$4467,$J673,'SALES Raw'!$K$6:$K$4467,"Y")+SUMIFS('CEMIUP0.9 Raw'!$D$6:$D$1712,'CEMIUP0.9 Raw'!$B$6:$B$1712,$J673,'CEMIUP0.9 Raw'!$H$6:$H$1712,"Y")</f>
        <v>1</v>
      </c>
      <c r="E673" s="19" t="n">
        <f aca="false">SUMIFS('SALES Raw'!$D$6:$D$4467,'SALES Raw'!$J$6:$J$4467,$J673,'SALES Raw'!$K$6:$K$4467,"Y")+SUMIFS('CEMIUP0.9 Raw'!$E$6:$E$1712,'CEMIUP0.9 Raw'!$B$6:$B$1712,$J673,'CEMIUP0.9 Raw'!$H$6:$H$1712,"Y")</f>
        <v>505.68</v>
      </c>
      <c r="F673" s="19" t="n">
        <f aca="false">SUMIFS('SALES Raw'!$E$6:$E$4467,'SALES Raw'!$J$6:$J$4467,$J673,'SALES Raw'!$K$6:$K$4467,"Y")*$H$4+SUMIFS('CEMIUP0.9 Raw'!$F$6:$F$1712,'CEMIUP0.9 Raw'!$B$6:$B$1712,$J673,'CEMIUP0.9 Raw'!$H$6:$H$1712,"Y")</f>
        <v>3.78947368421052</v>
      </c>
      <c r="G673" s="19" t="n">
        <f aca="false">SUMIFS('SALES Raw'!$F$6:$F$4467,'SALES Raw'!$J$6:$J$4467,$J673,'SALES Raw'!$K$6:$K$4467,"Y")*$H$4+SUMIFS('CEMIUP0.9 Raw'!$G$6:$G$1712,'CEMIUP0.9 Raw'!$B$6:$B$1712,$J673,'CEMIUP0.9 Raw'!$H$6:$H$1712,"Y")</f>
        <v>1240.50947368421</v>
      </c>
      <c r="H673" s="18" t="s">
        <v>42</v>
      </c>
      <c r="I673" s="18" t="s">
        <v>43</v>
      </c>
      <c r="J673" s="18" t="s">
        <v>261</v>
      </c>
    </row>
    <row r="674" customFormat="false" ht="15" hidden="false" customHeight="false" outlineLevel="0" collapsed="false">
      <c r="A674" s="18" t="str">
        <f aca="false">IF(ISNUMBER($J674),$J674,"")</f>
        <v/>
      </c>
      <c r="B674" s="18" t="str">
        <f aca="false">IFERROR(INDEX('SALES Raw'!$B$6:$B$4467,MATCH($J674,'SALES Raw'!$J$6:$J$4467,0)),IFERROR(INDEX('CEMIUP0.9 Raw'!$B$6:$B$1712,MATCH($J674,'CEMIUP0.9 Raw'!$B$6:$B$1712,0)),$J674))</f>
        <v>T402 M</v>
      </c>
      <c r="C674" s="18" t="str">
        <f aca="false">IF(ISNUMBER($J674),IFERROR(INDEX('TRANS'!$C:$C,MATCH($J674,'TRANS'!$B:$B,0)),IFERROR(INDEX('Catalog'!$B:$B,MATCH($J674,'Catalog'!$A:$A,0)),$B674)),$B674)</f>
        <v>T402 M</v>
      </c>
      <c r="D674" s="19" t="n">
        <f aca="false">SUMIFS('SALES Raw'!$C$6:$C$4467,'SALES Raw'!$J$6:$J$4467,$J674,'SALES Raw'!$K$6:$K$4467,"Y")+SUMIFS('CEMIUP0.9 Raw'!$D$6:$D$1712,'CEMIUP0.9 Raw'!$B$6:$B$1712,$J674,'CEMIUP0.9 Raw'!$H$6:$H$1712,"Y")</f>
        <v>14</v>
      </c>
      <c r="E674" s="19" t="n">
        <f aca="false">SUMIFS('SALES Raw'!$D$6:$D$4467,'SALES Raw'!$J$6:$J$4467,$J674,'SALES Raw'!$K$6:$K$4467,"Y")+SUMIFS('CEMIUP0.9 Raw'!$E$6:$E$1712,'CEMIUP0.9 Raw'!$B$6:$B$1712,$J674,'CEMIUP0.9 Raw'!$H$6:$H$1712,"Y")</f>
        <v>1738.54</v>
      </c>
      <c r="F674" s="19" t="n">
        <f aca="false">SUMIFS('SALES Raw'!$E$6:$E$4467,'SALES Raw'!$J$6:$J$4467,$J674,'SALES Raw'!$K$6:$K$4467,"Y")*$H$4+SUMIFS('CEMIUP0.9 Raw'!$F$6:$F$1712,'CEMIUP0.9 Raw'!$B$6:$B$1712,$J674,'CEMIUP0.9 Raw'!$H$6:$H$1712,"Y")</f>
        <v>3.78947368421052</v>
      </c>
      <c r="G674" s="19" t="n">
        <f aca="false">SUMIFS('SALES Raw'!$F$6:$F$4467,'SALES Raw'!$J$6:$J$4467,$J674,'SALES Raw'!$K$6:$K$4467,"Y")*$H$4+SUMIFS('CEMIUP0.9 Raw'!$G$6:$G$1712,'CEMIUP0.9 Raw'!$B$6:$B$1712,$J674,'CEMIUP0.9 Raw'!$H$6:$H$1712,"Y")</f>
        <v>425.608421052632</v>
      </c>
      <c r="H674" s="18" t="s">
        <v>43</v>
      </c>
      <c r="I674" s="18" t="s">
        <v>42</v>
      </c>
      <c r="J674" s="18" t="s">
        <v>262</v>
      </c>
    </row>
    <row r="675" customFormat="false" ht="15" hidden="false" customHeight="false" outlineLevel="0" collapsed="false">
      <c r="A675" s="18" t="n">
        <f aca="false">IF(ISNUMBER($J675),$J675,"")</f>
        <v>4408091</v>
      </c>
      <c r="B675" s="18" t="str">
        <f aca="false">IFERROR(INDEX('SALES Raw'!$B$6:$B$4467,MATCH($J675,'SALES Raw'!$J$6:$J$4467,0)),IFERROR(INDEX('CEMIUP0.9 Raw'!$B$6:$B$1712,MATCH($J675,'CEMIUP0.9 Raw'!$B$6:$B$1712,0)),$J675))</f>
        <v>T11C M</v>
      </c>
      <c r="C675" s="18" t="str">
        <f aca="false">IF(ISNUMBER($J675),IFERROR(INDEX('TRANS'!$C:$C,MATCH($J675,'TRANS'!$B:$B,0)),IFERROR(INDEX('Catalog'!$B:$B,MATCH($J675,'Catalog'!$A:$A,0)),$B675)),$B675)</f>
        <v>T11C M  חגורת גב פוג'יאמה</v>
      </c>
      <c r="D675" s="19" t="n">
        <f aca="false">SUMIFS('SALES Raw'!$C$6:$C$4467,'SALES Raw'!$J$6:$J$4467,$J675,'SALES Raw'!$K$6:$K$4467,"Y")+SUMIFS('CEMIUP0.9 Raw'!$D$6:$D$1712,'CEMIUP0.9 Raw'!$B$6:$B$1712,$J675,'CEMIUP0.9 Raw'!$H$6:$H$1712,"Y")</f>
        <v>15</v>
      </c>
      <c r="E675" s="19" t="n">
        <f aca="false">SUMIFS('SALES Raw'!$D$6:$D$4467,'SALES Raw'!$J$6:$J$4467,$J675,'SALES Raw'!$K$6:$K$4467,"Y")+SUMIFS('CEMIUP0.9 Raw'!$E$6:$E$1712,'CEMIUP0.9 Raw'!$B$6:$B$1712,$J675,'CEMIUP0.9 Raw'!$H$6:$H$1712,"Y")</f>
        <v>1987.651</v>
      </c>
      <c r="F675" s="19" t="n">
        <f aca="false">SUMIFS('SALES Raw'!$E$6:$E$4467,'SALES Raw'!$J$6:$J$4467,$J675,'SALES Raw'!$K$6:$K$4467,"Y")*$H$4+SUMIFS('CEMIUP0.9 Raw'!$F$6:$F$1712,'CEMIUP0.9 Raw'!$B$6:$B$1712,$J675,'CEMIUP0.9 Raw'!$H$6:$H$1712,"Y")</f>
        <v>3.78947368421052</v>
      </c>
      <c r="G675" s="19" t="n">
        <f aca="false">SUMIFS('SALES Raw'!$F$6:$F$4467,'SALES Raw'!$J$6:$J$4467,$J675,'SALES Raw'!$K$6:$K$4467,"Y")*$H$4+SUMIFS('CEMIUP0.9 Raw'!$G$6:$G$1712,'CEMIUP0.9 Raw'!$B$6:$B$1712,$J675,'CEMIUP0.9 Raw'!$H$6:$H$1712,"Y")</f>
        <v>337.153263157895</v>
      </c>
      <c r="H675" s="18" t="s">
        <v>43</v>
      </c>
      <c r="I675" s="18" t="s">
        <v>44</v>
      </c>
      <c r="J675" s="18" t="n">
        <v>4408091</v>
      </c>
    </row>
    <row r="676" customFormat="false" ht="15" hidden="false" customHeight="false" outlineLevel="0" collapsed="false">
      <c r="A676" s="18" t="n">
        <f aca="false">IF(ISNUMBER($J676),$J676,"")</f>
        <v>4413277</v>
      </c>
      <c r="B676" s="18" t="str">
        <f aca="false">IFERROR(INDEX('SALES Raw'!$B$6:$B$4467,MATCH($J676,'SALES Raw'!$J$6:$J$4467,0)),IFERROR(INDEX('CEMIUP0.9 Raw'!$B$6:$B$1712,MATCH($J676,'CEMIUP0.9 Raw'!$B$6:$B$1712,0)),$J676))</f>
        <v>LF377 M</v>
      </c>
      <c r="C676" s="18" t="str">
        <f aca="false">IF(ISNUMBER($J676),IFERROR(INDEX('TRANS'!$C:$C,MATCH($J676,'TRANS'!$B:$B,0)),IFERROR(INDEX('Catalog'!$B:$B,MATCH($J676,'Catalog'!$A:$A,0)),$B676)),$B676)</f>
        <v>LF377 M-מדרס סיליקון לנעלי עקב</v>
      </c>
      <c r="D676" s="19" t="n">
        <f aca="false">SUMIFS('SALES Raw'!$C$6:$C$4467,'SALES Raw'!$J$6:$J$4467,$J676,'SALES Raw'!$K$6:$K$4467,"Y")+SUMIFS('CEMIUP0.9 Raw'!$D$6:$D$1712,'CEMIUP0.9 Raw'!$B$6:$B$1712,$J676,'CEMIUP0.9 Raw'!$H$6:$H$1712,"Y")</f>
        <v>4</v>
      </c>
      <c r="E676" s="19" t="n">
        <f aca="false">SUMIFS('SALES Raw'!$D$6:$D$4467,'SALES Raw'!$J$6:$J$4467,$J676,'SALES Raw'!$K$6:$K$4467,"Y")+SUMIFS('CEMIUP0.9 Raw'!$E$6:$E$1712,'CEMIUP0.9 Raw'!$B$6:$B$1712,$J676,'CEMIUP0.9 Raw'!$H$6:$H$1712,"Y")</f>
        <v>169.26</v>
      </c>
      <c r="F676" s="19" t="n">
        <f aca="false">SUMIFS('SALES Raw'!$E$6:$E$4467,'SALES Raw'!$J$6:$J$4467,$J676,'SALES Raw'!$K$6:$K$4467,"Y")*$H$4+SUMIFS('CEMIUP0.9 Raw'!$F$6:$F$1712,'CEMIUP0.9 Raw'!$B$6:$B$1712,$J676,'CEMIUP0.9 Raw'!$H$6:$H$1712,"Y")</f>
        <v>3.78947368421052</v>
      </c>
      <c r="G676" s="19" t="n">
        <f aca="false">SUMIFS('SALES Raw'!$F$6:$F$4467,'SALES Raw'!$J$6:$J$4467,$J676,'SALES Raw'!$K$6:$K$4467,"Y")*$H$4+SUMIFS('CEMIUP0.9 Raw'!$G$6:$G$1712,'CEMIUP0.9 Raw'!$B$6:$B$1712,$J676,'CEMIUP0.9 Raw'!$H$6:$H$1712,"Y")</f>
        <v>123.913263157895</v>
      </c>
      <c r="H676" s="18" t="s">
        <v>43</v>
      </c>
      <c r="I676" s="18" t="s">
        <v>48</v>
      </c>
      <c r="J676" s="18" t="n">
        <v>4413277</v>
      </c>
    </row>
    <row r="677" customFormat="false" ht="15" hidden="false" customHeight="false" outlineLevel="0" collapsed="false">
      <c r="A677" s="18" t="str">
        <f aca="false">IF(ISNUMBER($J677),$J677,"")</f>
        <v/>
      </c>
      <c r="B677" s="18" t="str">
        <f aca="false">IFERROR(INDEX('SALES Raw'!$B$6:$B$4467,MATCH($J677,'SALES Raw'!$J$6:$J$4467,0)),IFERROR(INDEX('CEMIUP0.9 Raw'!$B$6:$B$1712,MATCH($J677,'CEMIUP0.9 Raw'!$B$6:$B$1712,0)),$J677))</f>
        <v>15W M</v>
      </c>
      <c r="C677" s="18" t="str">
        <f aca="false">IF(ISNUMBER($J677),IFERROR(INDEX('TRANS'!$C:$C,MATCH($J677,'TRANS'!$B:$B,0)),IFERROR(INDEX('Catalog'!$B:$B,MATCH($J677,'Catalog'!$A:$A,0)),$B677)),$B677)</f>
        <v>15W M</v>
      </c>
      <c r="D677" s="19" t="n">
        <f aca="false">SUMIFS('SALES Raw'!$C$6:$C$4467,'SALES Raw'!$J$6:$J$4467,$J677,'SALES Raw'!$K$6:$K$4467,"Y")+SUMIFS('CEMIUP0.9 Raw'!$D$6:$D$1712,'CEMIUP0.9 Raw'!$B$6:$B$1712,$J677,'CEMIUP0.9 Raw'!$H$6:$H$1712,"Y")</f>
        <v>10</v>
      </c>
      <c r="E677" s="19" t="n">
        <f aca="false">SUMIFS('SALES Raw'!$D$6:$D$4467,'SALES Raw'!$J$6:$J$4467,$J677,'SALES Raw'!$K$6:$K$4467,"Y")+SUMIFS('CEMIUP0.9 Raw'!$E$6:$E$1712,'CEMIUP0.9 Raw'!$B$6:$B$1712,$J677,'CEMIUP0.9 Raw'!$H$6:$H$1712,"Y")</f>
        <v>2031.61</v>
      </c>
      <c r="F677" s="19" t="n">
        <f aca="false">SUMIFS('SALES Raw'!$E$6:$E$4467,'SALES Raw'!$J$6:$J$4467,$J677,'SALES Raw'!$K$6:$K$4467,"Y")*$H$4+SUMIFS('CEMIUP0.9 Raw'!$F$6:$F$1712,'CEMIUP0.9 Raw'!$B$6:$B$1712,$J677,'CEMIUP0.9 Raw'!$H$6:$H$1712,"Y")</f>
        <v>2.52631578947368</v>
      </c>
      <c r="G677" s="19" t="n">
        <f aca="false">SUMIFS('SALES Raw'!$F$6:$F$4467,'SALES Raw'!$J$6:$J$4467,$J677,'SALES Raw'!$K$6:$K$4467,"Y")*$H$4+SUMIFS('CEMIUP0.9 Raw'!$G$6:$G$1712,'CEMIUP0.9 Raw'!$B$6:$B$1712,$J677,'CEMIUP0.9 Raw'!$H$6:$H$1712,"Y")</f>
        <v>355.136842105263</v>
      </c>
      <c r="H677" s="18" t="s">
        <v>44</v>
      </c>
      <c r="I677" s="18" t="s">
        <v>46</v>
      </c>
      <c r="J677" s="18" t="s">
        <v>263</v>
      </c>
    </row>
    <row r="678" customFormat="false" ht="15" hidden="false" customHeight="false" outlineLevel="0" collapsed="false">
      <c r="A678" s="18" t="str">
        <f aca="false">IF(ISNUMBER($J678),$J678,"")</f>
        <v/>
      </c>
      <c r="B678" s="18" t="str">
        <f aca="false">IFERROR(INDEX('SALES Raw'!$B$6:$B$4467,MATCH($J678,'SALES Raw'!$J$6:$J$4467,0)),IFERROR(INDEX('CEMIUP0.9 Raw'!$B$6:$B$1712,MATCH($J678,'CEMIUP0.9 Raw'!$B$6:$B$1712,0)),$J678))</f>
        <v>376-35-37</v>
      </c>
      <c r="C678" s="18" t="str">
        <f aca="false">IF(ISNUMBER($J678),IFERROR(INDEX('TRANS'!$C:$C,MATCH($J678,'TRANS'!$B:$B,0)),IFERROR(INDEX('Catalog'!$B:$B,MATCH($J678,'Catalog'!$A:$A,0)),$B678)),$B678)</f>
        <v>376-35-37</v>
      </c>
      <c r="D678" s="19" t="n">
        <f aca="false">SUMIFS('SALES Raw'!$C$6:$C$4467,'SALES Raw'!$J$6:$J$4467,$J678,'SALES Raw'!$K$6:$K$4467,"Y")+SUMIFS('CEMIUP0.9 Raw'!$D$6:$D$1712,'CEMIUP0.9 Raw'!$B$6:$B$1712,$J678,'CEMIUP0.9 Raw'!$H$6:$H$1712,"Y")</f>
        <v>9</v>
      </c>
      <c r="E678" s="19" t="n">
        <f aca="false">SUMIFS('SALES Raw'!$D$6:$D$4467,'SALES Raw'!$J$6:$J$4467,$J678,'SALES Raw'!$K$6:$K$4467,"Y")+SUMIFS('CEMIUP0.9 Raw'!$E$6:$E$1712,'CEMIUP0.9 Raw'!$B$6:$B$1712,$J678,'CEMIUP0.9 Raw'!$H$6:$H$1712,"Y")</f>
        <v>413.59</v>
      </c>
      <c r="F678" s="19" t="n">
        <f aca="false">SUMIFS('SALES Raw'!$E$6:$E$4467,'SALES Raw'!$J$6:$J$4467,$J678,'SALES Raw'!$K$6:$K$4467,"Y")*$H$4+SUMIFS('CEMIUP0.9 Raw'!$F$6:$F$1712,'CEMIUP0.9 Raw'!$B$6:$B$1712,$J678,'CEMIUP0.9 Raw'!$H$6:$H$1712,"Y")</f>
        <v>2.52631578947368</v>
      </c>
      <c r="G678" s="19" t="n">
        <f aca="false">SUMIFS('SALES Raw'!$F$6:$F$4467,'SALES Raw'!$J$6:$J$4467,$J678,'SALES Raw'!$K$6:$K$4467,"Y")*$H$4+SUMIFS('CEMIUP0.9 Raw'!$G$6:$G$1712,'CEMIUP0.9 Raw'!$B$6:$B$1712,$J678,'CEMIUP0.9 Raw'!$H$6:$H$1712,"Y")</f>
        <v>152.336842105263</v>
      </c>
      <c r="H678" s="18" t="s">
        <v>42</v>
      </c>
      <c r="I678" s="18" t="s">
        <v>46</v>
      </c>
      <c r="J678" s="18" t="s">
        <v>264</v>
      </c>
    </row>
    <row r="679" customFormat="false" ht="15" hidden="false" customHeight="false" outlineLevel="0" collapsed="false">
      <c r="A679" s="18" t="str">
        <f aca="false">IF(ISNUMBER($J679),$J679,"")</f>
        <v/>
      </c>
      <c r="B679" s="18" t="str">
        <f aca="false">IFERROR(INDEX('SALES Raw'!$B$6:$B$4467,MATCH($J679,'SALES Raw'!$J$6:$J$4467,0)),IFERROR(INDEX('CEMIUP0.9 Raw'!$B$6:$B$1712,MATCH($J679,'CEMIUP0.9 Raw'!$B$6:$B$1712,0)),$J679))</f>
        <v>45C XS</v>
      </c>
      <c r="C679" s="18" t="str">
        <f aca="false">IF(ISNUMBER($J679),IFERROR(INDEX('TRANS'!$C:$C,MATCH($J679,'TRANS'!$B:$B,0)),IFERROR(INDEX('Catalog'!$B:$B,MATCH($J679,'Catalog'!$A:$A,0)),$B679)),$B679)</f>
        <v>45C XS</v>
      </c>
      <c r="D679" s="19" t="n">
        <f aca="false">SUMIFS('SALES Raw'!$C$6:$C$4467,'SALES Raw'!$J$6:$J$4467,$J679,'SALES Raw'!$K$6:$K$4467,"Y")+SUMIFS('CEMIUP0.9 Raw'!$D$6:$D$1712,'CEMIUP0.9 Raw'!$B$6:$B$1712,$J679,'CEMIUP0.9 Raw'!$H$6:$H$1712,"Y")</f>
        <v>5</v>
      </c>
      <c r="E679" s="19" t="n">
        <f aca="false">SUMIFS('SALES Raw'!$D$6:$D$4467,'SALES Raw'!$J$6:$J$4467,$J679,'SALES Raw'!$K$6:$K$4467,"Y")+SUMIFS('CEMIUP0.9 Raw'!$E$6:$E$1712,'CEMIUP0.9 Raw'!$B$6:$B$1712,$J679,'CEMIUP0.9 Raw'!$H$6:$H$1712,"Y")</f>
        <v>211.71</v>
      </c>
      <c r="F679" s="19" t="n">
        <f aca="false">SUMIFS('SALES Raw'!$E$6:$E$4467,'SALES Raw'!$J$6:$J$4467,$J679,'SALES Raw'!$K$6:$K$4467,"Y")*$H$4+SUMIFS('CEMIUP0.9 Raw'!$F$6:$F$1712,'CEMIUP0.9 Raw'!$B$6:$B$1712,$J679,'CEMIUP0.9 Raw'!$H$6:$H$1712,"Y")</f>
        <v>2.52631578947368</v>
      </c>
      <c r="G679" s="19" t="n">
        <f aca="false">SUMIFS('SALES Raw'!$F$6:$F$4467,'SALES Raw'!$J$6:$J$4467,$J679,'SALES Raw'!$K$6:$K$4467,"Y")*$H$4+SUMIFS('CEMIUP0.9 Raw'!$G$6:$G$1712,'CEMIUP0.9 Raw'!$B$6:$B$1712,$J679,'CEMIUP0.9 Raw'!$H$6:$H$1712,"Y")</f>
        <v>134.033684210526</v>
      </c>
      <c r="H679" s="18" t="s">
        <v>42</v>
      </c>
      <c r="I679" s="18" t="s">
        <v>46</v>
      </c>
      <c r="J679" s="18" t="s">
        <v>265</v>
      </c>
    </row>
    <row r="680" customFormat="false" ht="15" hidden="false" customHeight="false" outlineLevel="0" collapsed="false">
      <c r="A680" s="18" t="str">
        <f aca="false">IF(ISNUMBER($J680),$J680,"")</f>
        <v/>
      </c>
      <c r="B680" s="18" t="str">
        <f aca="false">IFERROR(INDEX('SALES Raw'!$B$6:$B$4467,MATCH($J680,'SALES Raw'!$J$6:$J$4467,0)),IFERROR(INDEX('CEMIUP0.9 Raw'!$B$6:$B$1712,MATCH($J680,'CEMIUP0.9 Raw'!$B$6:$B$1712,0)),$J680))</f>
        <v>T28A XS</v>
      </c>
      <c r="C680" s="18" t="str">
        <f aca="false">IF(ISNUMBER($J680),IFERROR(INDEX('TRANS'!$C:$C,MATCH($J680,'TRANS'!$B:$B,0)),IFERROR(INDEX('Catalog'!$B:$B,MATCH($J680,'Catalog'!$A:$A,0)),$B680)),$B680)</f>
        <v>T28A XS</v>
      </c>
      <c r="D680" s="19" t="n">
        <f aca="false">SUMIFS('SALES Raw'!$C$6:$C$4467,'SALES Raw'!$J$6:$J$4467,$J680,'SALES Raw'!$K$6:$K$4467,"Y")+SUMIFS('CEMIUP0.9 Raw'!$D$6:$D$1712,'CEMIUP0.9 Raw'!$B$6:$B$1712,$J680,'CEMIUP0.9 Raw'!$H$6:$H$1712,"Y")</f>
        <v>7</v>
      </c>
      <c r="E680" s="19" t="n">
        <f aca="false">SUMIFS('SALES Raw'!$D$6:$D$4467,'SALES Raw'!$J$6:$J$4467,$J680,'SALES Raw'!$K$6:$K$4467,"Y")+SUMIFS('CEMIUP0.9 Raw'!$E$6:$E$1712,'CEMIUP0.9 Raw'!$B$6:$B$1712,$J680,'CEMIUP0.9 Raw'!$H$6:$H$1712,"Y")</f>
        <v>659.44</v>
      </c>
      <c r="F680" s="19" t="n">
        <f aca="false">SUMIFS('SALES Raw'!$E$6:$E$4467,'SALES Raw'!$J$6:$J$4467,$J680,'SALES Raw'!$K$6:$K$4467,"Y")*$H$4+SUMIFS('CEMIUP0.9 Raw'!$F$6:$F$1712,'CEMIUP0.9 Raw'!$B$6:$B$1712,$J680,'CEMIUP0.9 Raw'!$H$6:$H$1712,"Y")</f>
        <v>2.52631578947368</v>
      </c>
      <c r="G680" s="19" t="n">
        <f aca="false">SUMIFS('SALES Raw'!$F$6:$F$4467,'SALES Raw'!$J$6:$J$4467,$J680,'SALES Raw'!$K$6:$K$4467,"Y")*$H$4+SUMIFS('CEMIUP0.9 Raw'!$G$6:$G$1712,'CEMIUP0.9 Raw'!$B$6:$B$1712,$J680,'CEMIUP0.9 Raw'!$H$6:$H$1712,"Y")</f>
        <v>304.888421052632</v>
      </c>
      <c r="H680" s="18" t="s">
        <v>42</v>
      </c>
      <c r="I680" s="18" t="s">
        <v>46</v>
      </c>
      <c r="J680" s="18" t="s">
        <v>266</v>
      </c>
    </row>
    <row r="681" customFormat="false" ht="15" hidden="false" customHeight="false" outlineLevel="0" collapsed="false">
      <c r="A681" s="18" t="str">
        <f aca="false">IF(ISNUMBER($J681),$J681,"")</f>
        <v/>
      </c>
      <c r="B681" s="18" t="str">
        <f aca="false">IFERROR(INDEX('SALES Raw'!$B$6:$B$4467,MATCH($J681,'SALES Raw'!$J$6:$J$4467,0)),IFERROR(INDEX('CEMIUP0.9 Raw'!$B$6:$B$1712,MATCH($J681,'CEMIUP0.9 Raw'!$B$6:$B$1712,0)),$J681))</f>
        <v>41X M</v>
      </c>
      <c r="C681" s="18" t="str">
        <f aca="false">IF(ISNUMBER($J681),IFERROR(INDEX('TRANS'!$C:$C,MATCH($J681,'TRANS'!$B:$B,0)),IFERROR(INDEX('Catalog'!$B:$B,MATCH($J681,'Catalog'!$A:$A,0)),$B681)),$B681)</f>
        <v>41X M</v>
      </c>
      <c r="D681" s="19" t="n">
        <f aca="false">SUMIFS('SALES Raw'!$C$6:$C$4467,'SALES Raw'!$J$6:$J$4467,$J681,'SALES Raw'!$K$6:$K$4467,"Y")+SUMIFS('CEMIUP0.9 Raw'!$D$6:$D$1712,'CEMIUP0.9 Raw'!$B$6:$B$1712,$J681,'CEMIUP0.9 Raw'!$H$6:$H$1712,"Y")</f>
        <v>3</v>
      </c>
      <c r="E681" s="19" t="n">
        <f aca="false">SUMIFS('SALES Raw'!$D$6:$D$4467,'SALES Raw'!$J$6:$J$4467,$J681,'SALES Raw'!$K$6:$K$4467,"Y")+SUMIFS('CEMIUP0.9 Raw'!$E$6:$E$1712,'CEMIUP0.9 Raw'!$B$6:$B$1712,$J681,'CEMIUP0.9 Raw'!$H$6:$H$1712,"Y")</f>
        <v>372.95</v>
      </c>
      <c r="F681" s="19" t="n">
        <f aca="false">SUMIFS('SALES Raw'!$E$6:$E$4467,'SALES Raw'!$J$6:$J$4467,$J681,'SALES Raw'!$K$6:$K$4467,"Y")*$H$4+SUMIFS('CEMIUP0.9 Raw'!$F$6:$F$1712,'CEMIUP0.9 Raw'!$B$6:$B$1712,$J681,'CEMIUP0.9 Raw'!$H$6:$H$1712,"Y")</f>
        <v>2.52631578947368</v>
      </c>
      <c r="G681" s="19" t="n">
        <f aca="false">SUMIFS('SALES Raw'!$F$6:$F$4467,'SALES Raw'!$J$6:$J$4467,$J681,'SALES Raw'!$K$6:$K$4467,"Y")*$H$4+SUMIFS('CEMIUP0.9 Raw'!$G$6:$G$1712,'CEMIUP0.9 Raw'!$B$6:$B$1712,$J681,'CEMIUP0.9 Raw'!$H$6:$H$1712,"Y")</f>
        <v>620.665263157895</v>
      </c>
      <c r="H681" s="18" t="s">
        <v>42</v>
      </c>
      <c r="I681" s="18" t="s">
        <v>46</v>
      </c>
      <c r="J681" s="18" t="s">
        <v>267</v>
      </c>
    </row>
    <row r="682" customFormat="false" ht="15" hidden="false" customHeight="false" outlineLevel="0" collapsed="false">
      <c r="A682" s="18" t="str">
        <f aca="false">IF(ISNUMBER($J682),$J682,"")</f>
        <v/>
      </c>
      <c r="B682" s="18" t="str">
        <f aca="false">IFERROR(INDEX('SALES Raw'!$B$6:$B$4467,MATCH($J682,'SALES Raw'!$J$6:$J$4467,0)),IFERROR(INDEX('CEMIUP0.9 Raw'!$B$6:$B$1712,MATCH($J682,'CEMIUP0.9 Raw'!$B$6:$B$1712,0)),$J682))</f>
        <v>41X XXL</v>
      </c>
      <c r="C682" s="18" t="str">
        <f aca="false">IF(ISNUMBER($J682),IFERROR(INDEX('TRANS'!$C:$C,MATCH($J682,'TRANS'!$B:$B,0)),IFERROR(INDEX('Catalog'!$B:$B,MATCH($J682,'Catalog'!$A:$A,0)),$B682)),$B682)</f>
        <v>41X XXL</v>
      </c>
      <c r="D682" s="19" t="n">
        <f aca="false">SUMIFS('SALES Raw'!$C$6:$C$4467,'SALES Raw'!$J$6:$J$4467,$J682,'SALES Raw'!$K$6:$K$4467,"Y")+SUMIFS('CEMIUP0.9 Raw'!$D$6:$D$1712,'CEMIUP0.9 Raw'!$B$6:$B$1712,$J682,'CEMIUP0.9 Raw'!$H$6:$H$1712,"Y")</f>
        <v>5</v>
      </c>
      <c r="E682" s="19" t="n">
        <f aca="false">SUMIFS('SALES Raw'!$D$6:$D$4467,'SALES Raw'!$J$6:$J$4467,$J682,'SALES Raw'!$K$6:$K$4467,"Y")+SUMIFS('CEMIUP0.9 Raw'!$E$6:$E$1712,'CEMIUP0.9 Raw'!$B$6:$B$1712,$J682,'CEMIUP0.9 Raw'!$H$6:$H$1712,"Y")</f>
        <v>789.22</v>
      </c>
      <c r="F682" s="19" t="n">
        <f aca="false">SUMIFS('SALES Raw'!$E$6:$E$4467,'SALES Raw'!$J$6:$J$4467,$J682,'SALES Raw'!$K$6:$K$4467,"Y")*$H$4+SUMIFS('CEMIUP0.9 Raw'!$F$6:$F$1712,'CEMIUP0.9 Raw'!$B$6:$B$1712,$J682,'CEMIUP0.9 Raw'!$H$6:$H$1712,"Y")</f>
        <v>2.52631578947368</v>
      </c>
      <c r="G682" s="19" t="n">
        <f aca="false">SUMIFS('SALES Raw'!$F$6:$F$4467,'SALES Raw'!$J$6:$J$4467,$J682,'SALES Raw'!$K$6:$K$4467,"Y")*$H$4+SUMIFS('CEMIUP0.9 Raw'!$G$6:$G$1712,'CEMIUP0.9 Raw'!$B$6:$B$1712,$J682,'CEMIUP0.9 Raw'!$H$6:$H$1712,"Y")</f>
        <v>620.665263157895</v>
      </c>
      <c r="H682" s="18" t="s">
        <v>42</v>
      </c>
      <c r="I682" s="18" t="s">
        <v>46</v>
      </c>
      <c r="J682" s="18" t="s">
        <v>268</v>
      </c>
    </row>
    <row r="683" customFormat="false" ht="15" hidden="false" customHeight="false" outlineLevel="0" collapsed="false">
      <c r="A683" s="18" t="str">
        <f aca="false">IF(ISNUMBER($J683),$J683,"")</f>
        <v/>
      </c>
      <c r="B683" s="18" t="str">
        <f aca="false">IFERROR(INDEX('SALES Raw'!$B$6:$B$4467,MATCH($J683,'SALES Raw'!$J$6:$J$4467,0)),IFERROR(INDEX('CEMIUP0.9 Raw'!$B$6:$B$1712,MATCH($J683,'CEMIUP0.9 Raw'!$B$6:$B$1712,0)),$J683))</f>
        <v>422E XXL</v>
      </c>
      <c r="C683" s="18" t="str">
        <f aca="false">IF(ISNUMBER($J683),IFERROR(INDEX('TRANS'!$C:$C,MATCH($J683,'TRANS'!$B:$B,0)),IFERROR(INDEX('Catalog'!$B:$B,MATCH($J683,'Catalog'!$A:$A,0)),$B683)),$B683)</f>
        <v>422E XXL</v>
      </c>
      <c r="D683" s="19" t="n">
        <f aca="false">SUMIFS('SALES Raw'!$C$6:$C$4467,'SALES Raw'!$J$6:$J$4467,$J683,'SALES Raw'!$K$6:$K$4467,"Y")+SUMIFS('CEMIUP0.9 Raw'!$D$6:$D$1712,'CEMIUP0.9 Raw'!$B$6:$B$1712,$J683,'CEMIUP0.9 Raw'!$H$6:$H$1712,"Y")</f>
        <v>7</v>
      </c>
      <c r="E683" s="19" t="n">
        <f aca="false">SUMIFS('SALES Raw'!$D$6:$D$4467,'SALES Raw'!$J$6:$J$4467,$J683,'SALES Raw'!$K$6:$K$4467,"Y")+SUMIFS('CEMIUP0.9 Raw'!$E$6:$E$1712,'CEMIUP0.9 Raw'!$B$6:$B$1712,$J683,'CEMIUP0.9 Raw'!$H$6:$H$1712,"Y")</f>
        <v>1197.51</v>
      </c>
      <c r="F683" s="19" t="n">
        <f aca="false">SUMIFS('SALES Raw'!$E$6:$E$4467,'SALES Raw'!$J$6:$J$4467,$J683,'SALES Raw'!$K$6:$K$4467,"Y")*$H$4+SUMIFS('CEMIUP0.9 Raw'!$F$6:$F$1712,'CEMIUP0.9 Raw'!$B$6:$B$1712,$J683,'CEMIUP0.9 Raw'!$H$6:$H$1712,"Y")</f>
        <v>2.52631578947368</v>
      </c>
      <c r="G683" s="19" t="n">
        <f aca="false">SUMIFS('SALES Raw'!$F$6:$F$4467,'SALES Raw'!$J$6:$J$4467,$J683,'SALES Raw'!$K$6:$K$4467,"Y")*$H$4+SUMIFS('CEMIUP0.9 Raw'!$G$6:$G$1712,'CEMIUP0.9 Raw'!$B$6:$B$1712,$J683,'CEMIUP0.9 Raw'!$H$6:$H$1712,"Y")</f>
        <v>378.164210526316</v>
      </c>
      <c r="H683" s="18" t="s">
        <v>44</v>
      </c>
      <c r="I683" s="18" t="s">
        <v>53</v>
      </c>
      <c r="J683" s="18" t="s">
        <v>269</v>
      </c>
    </row>
    <row r="684" customFormat="false" ht="15" hidden="false" customHeight="false" outlineLevel="0" collapsed="false">
      <c r="A684" s="18" t="str">
        <f aca="false">IF(ISNUMBER($J684),$J684,"")</f>
        <v/>
      </c>
      <c r="B684" s="18" t="str">
        <f aca="false">IFERROR(INDEX('SALES Raw'!$B$6:$B$4467,MATCH($J684,'SALES Raw'!$J$6:$J$4467,0)),IFERROR(INDEX('CEMIUP0.9 Raw'!$B$6:$B$1712,MATCH($J684,'CEMIUP0.9 Raw'!$B$6:$B$1712,0)),$J684))</f>
        <v>422EB XL</v>
      </c>
      <c r="C684" s="18" t="str">
        <f aca="false">IF(ISNUMBER($J684),IFERROR(INDEX('TRANS'!$C:$C,MATCH($J684,'TRANS'!$B:$B,0)),IFERROR(INDEX('Catalog'!$B:$B,MATCH($J684,'Catalog'!$A:$A,0)),$B684)),$B684)</f>
        <v>422EB XL</v>
      </c>
      <c r="D684" s="19" t="n">
        <f aca="false">SUMIFS('SALES Raw'!$C$6:$C$4467,'SALES Raw'!$J$6:$J$4467,$J684,'SALES Raw'!$K$6:$K$4467,"Y")+SUMIFS('CEMIUP0.9 Raw'!$D$6:$D$1712,'CEMIUP0.9 Raw'!$B$6:$B$1712,$J684,'CEMIUP0.9 Raw'!$H$6:$H$1712,"Y")</f>
        <v>4</v>
      </c>
      <c r="E684" s="19" t="n">
        <f aca="false">SUMIFS('SALES Raw'!$D$6:$D$4467,'SALES Raw'!$J$6:$J$4467,$J684,'SALES Raw'!$K$6:$K$4467,"Y")+SUMIFS('CEMIUP0.9 Raw'!$E$6:$E$1712,'CEMIUP0.9 Raw'!$B$6:$B$1712,$J684,'CEMIUP0.9 Raw'!$H$6:$H$1712,"Y")</f>
        <v>977.54</v>
      </c>
      <c r="F684" s="19" t="n">
        <f aca="false">SUMIFS('SALES Raw'!$E$6:$E$4467,'SALES Raw'!$J$6:$J$4467,$J684,'SALES Raw'!$K$6:$K$4467,"Y")*$H$4+SUMIFS('CEMIUP0.9 Raw'!$F$6:$F$1712,'CEMIUP0.9 Raw'!$B$6:$B$1712,$J684,'CEMIUP0.9 Raw'!$H$6:$H$1712,"Y")</f>
        <v>2.52631578947368</v>
      </c>
      <c r="G684" s="19" t="n">
        <f aca="false">SUMIFS('SALES Raw'!$F$6:$F$4467,'SALES Raw'!$J$6:$J$4467,$J684,'SALES Raw'!$K$6:$K$4467,"Y")*$H$4+SUMIFS('CEMIUP0.9 Raw'!$G$6:$G$1712,'CEMIUP0.9 Raw'!$B$6:$B$1712,$J684,'CEMIUP0.9 Raw'!$H$6:$H$1712,"Y")</f>
        <v>721.376842105263</v>
      </c>
      <c r="H684" s="18" t="s">
        <v>44</v>
      </c>
      <c r="I684" s="18" t="s">
        <v>42</v>
      </c>
      <c r="J684" s="18" t="s">
        <v>270</v>
      </c>
    </row>
    <row r="685" customFormat="false" ht="15" hidden="false" customHeight="false" outlineLevel="0" collapsed="false">
      <c r="A685" s="18" t="str">
        <f aca="false">IF(ISNUMBER($J685),$J685,"")</f>
        <v/>
      </c>
      <c r="B685" s="18" t="str">
        <f aca="false">IFERROR(INDEX('SALES Raw'!$B$6:$B$4467,MATCH($J685,'SALES Raw'!$J$6:$J$4467,0)),IFERROR(INDEX('CEMIUP0.9 Raw'!$B$6:$B$1712,MATCH($J685,'CEMIUP0.9 Raw'!$B$6:$B$1712,0)),$J685))</f>
        <v>21 XXL</v>
      </c>
      <c r="C685" s="18" t="str">
        <f aca="false">IF(ISNUMBER($J685),IFERROR(INDEX('TRANS'!$C:$C,MATCH($J685,'TRANS'!$B:$B,0)),IFERROR(INDEX('Catalog'!$B:$B,MATCH($J685,'Catalog'!$A:$A,0)),$B685)),$B685)</f>
        <v>21 XXL</v>
      </c>
      <c r="D685" s="19" t="n">
        <f aca="false">SUMIFS('SALES Raw'!$C$6:$C$4467,'SALES Raw'!$J$6:$J$4467,$J685,'SALES Raw'!$K$6:$K$4467,"Y")+SUMIFS('CEMIUP0.9 Raw'!$D$6:$D$1712,'CEMIUP0.9 Raw'!$B$6:$B$1712,$J685,'CEMIUP0.9 Raw'!$H$6:$H$1712,"Y")</f>
        <v>4</v>
      </c>
      <c r="E685" s="19" t="n">
        <f aca="false">SUMIFS('SALES Raw'!$D$6:$D$4467,'SALES Raw'!$J$6:$J$4467,$J685,'SALES Raw'!$K$6:$K$4467,"Y")+SUMIFS('CEMIUP0.9 Raw'!$E$6:$E$1712,'CEMIUP0.9 Raw'!$B$6:$B$1712,$J685,'CEMIUP0.9 Raw'!$H$6:$H$1712,"Y")</f>
        <v>157.15</v>
      </c>
      <c r="F685" s="19" t="n">
        <f aca="false">SUMIFS('SALES Raw'!$E$6:$E$4467,'SALES Raw'!$J$6:$J$4467,$J685,'SALES Raw'!$K$6:$K$4467,"Y")*$H$4+SUMIFS('CEMIUP0.9 Raw'!$F$6:$F$1712,'CEMIUP0.9 Raw'!$B$6:$B$1712,$J685,'CEMIUP0.9 Raw'!$H$6:$H$1712,"Y")</f>
        <v>2.52631578947368</v>
      </c>
      <c r="G685" s="19" t="n">
        <f aca="false">SUMIFS('SALES Raw'!$F$6:$F$4467,'SALES Raw'!$J$6:$J$4467,$J685,'SALES Raw'!$K$6:$K$4467,"Y")*$H$4+SUMIFS('CEMIUP0.9 Raw'!$G$6:$G$1712,'CEMIUP0.9 Raw'!$B$6:$B$1712,$J685,'CEMIUP0.9 Raw'!$H$6:$H$1712,"Y")</f>
        <v>100.534736842105</v>
      </c>
      <c r="H685" s="18" t="s">
        <v>44</v>
      </c>
      <c r="I685" s="18" t="s">
        <v>53</v>
      </c>
      <c r="J685" s="18" t="s">
        <v>271</v>
      </c>
    </row>
    <row r="686" customFormat="false" ht="15" hidden="false" customHeight="false" outlineLevel="0" collapsed="false">
      <c r="A686" s="18" t="str">
        <f aca="false">IF(ISNUMBER($J686),$J686,"")</f>
        <v/>
      </c>
      <c r="B686" s="18" t="str">
        <f aca="false">IFERROR(INDEX('SALES Raw'!$B$6:$B$4467,MATCH($J686,'SALES Raw'!$J$6:$J$4467,0)),IFERROR(INDEX('CEMIUP0.9 Raw'!$B$6:$B$1712,MATCH($J686,'CEMIUP0.9 Raw'!$B$6:$B$1712,0)),$J686))</f>
        <v>LU302M 0</v>
      </c>
      <c r="C686" s="18" t="str">
        <f aca="false">IF(ISNUMBER($J686),IFERROR(INDEX('TRANS'!$C:$C,MATCH($J686,'TRANS'!$B:$B,0)),IFERROR(INDEX('Catalog'!$B:$B,MATCH($J686,'Catalog'!$A:$A,0)),$B686)),$B686)</f>
        <v>LU302M 0</v>
      </c>
      <c r="D686" s="19" t="n">
        <f aca="false">SUMIFS('SALES Raw'!$C$6:$C$4467,'SALES Raw'!$J$6:$J$4467,$J686,'SALES Raw'!$K$6:$K$4467,"Y")+SUMIFS('CEMIUP0.9 Raw'!$D$6:$D$1712,'CEMIUP0.9 Raw'!$B$6:$B$1712,$J686,'CEMIUP0.9 Raw'!$H$6:$H$1712,"Y")</f>
        <v>11</v>
      </c>
      <c r="E686" s="19" t="n">
        <f aca="false">SUMIFS('SALES Raw'!$D$6:$D$4467,'SALES Raw'!$J$6:$J$4467,$J686,'SALES Raw'!$K$6:$K$4467,"Y")+SUMIFS('CEMIUP0.9 Raw'!$E$6:$E$1712,'CEMIUP0.9 Raw'!$B$6:$B$1712,$J686,'CEMIUP0.9 Raw'!$H$6:$H$1712,"Y")</f>
        <v>188.91</v>
      </c>
      <c r="F686" s="19" t="n">
        <f aca="false">SUMIFS('SALES Raw'!$E$6:$E$4467,'SALES Raw'!$J$6:$J$4467,$J686,'SALES Raw'!$K$6:$K$4467,"Y")*$H$4+SUMIFS('CEMIUP0.9 Raw'!$F$6:$F$1712,'CEMIUP0.9 Raw'!$B$6:$B$1712,$J686,'CEMIUP0.9 Raw'!$H$6:$H$1712,"Y")</f>
        <v>2.52631578947368</v>
      </c>
      <c r="G686" s="19" t="n">
        <f aca="false">SUMIFS('SALES Raw'!$F$6:$F$4467,'SALES Raw'!$J$6:$J$4467,$J686,'SALES Raw'!$K$6:$K$4467,"Y")*$H$4+SUMIFS('CEMIUP0.9 Raw'!$G$6:$G$1712,'CEMIUP0.9 Raw'!$B$6:$B$1712,$J686,'CEMIUP0.9 Raw'!$H$6:$H$1712,"Y")</f>
        <v>0.0252631578947368</v>
      </c>
      <c r="H686" s="18" t="s">
        <v>46</v>
      </c>
      <c r="I686" s="18"/>
      <c r="J686" s="18" t="s">
        <v>272</v>
      </c>
    </row>
    <row r="687" customFormat="false" ht="15" hidden="false" customHeight="false" outlineLevel="0" collapsed="false">
      <c r="A687" s="18" t="str">
        <f aca="false">IF(ISNUMBER($J687),$J687,"")</f>
        <v/>
      </c>
      <c r="B687" s="18" t="str">
        <f aca="false">IFERROR(INDEX('SALES Raw'!$B$6:$B$4467,MATCH($J687,'SALES Raw'!$J$6:$J$4467,0)),IFERROR(INDEX('CEMIUP0.9 Raw'!$B$6:$B$1712,MATCH($J687,'CEMIUP0.9 Raw'!$B$6:$B$1712,0)),$J687))</f>
        <v>LU302W 0</v>
      </c>
      <c r="C687" s="18" t="str">
        <f aca="false">IF(ISNUMBER($J687),IFERROR(INDEX('TRANS'!$C:$C,MATCH($J687,'TRANS'!$B:$B,0)),IFERROR(INDEX('Catalog'!$B:$B,MATCH($J687,'Catalog'!$A:$A,0)),$B687)),$B687)</f>
        <v>LU302W 0</v>
      </c>
      <c r="D687" s="19" t="n">
        <f aca="false">SUMIFS('SALES Raw'!$C$6:$C$4467,'SALES Raw'!$J$6:$J$4467,$J687,'SALES Raw'!$K$6:$K$4467,"Y")+SUMIFS('CEMIUP0.9 Raw'!$D$6:$D$1712,'CEMIUP0.9 Raw'!$B$6:$B$1712,$J687,'CEMIUP0.9 Raw'!$H$6:$H$1712,"Y")</f>
        <v>23</v>
      </c>
      <c r="E687" s="19" t="n">
        <f aca="false">SUMIFS('SALES Raw'!$D$6:$D$4467,'SALES Raw'!$J$6:$J$4467,$J687,'SALES Raw'!$K$6:$K$4467,"Y")+SUMIFS('CEMIUP0.9 Raw'!$E$6:$E$1712,'CEMIUP0.9 Raw'!$B$6:$B$1712,$J687,'CEMIUP0.9 Raw'!$H$6:$H$1712,"Y")</f>
        <v>897.21</v>
      </c>
      <c r="F687" s="19" t="n">
        <f aca="false">SUMIFS('SALES Raw'!$E$6:$E$4467,'SALES Raw'!$J$6:$J$4467,$J687,'SALES Raw'!$K$6:$K$4467,"Y")*$H$4+SUMIFS('CEMIUP0.9 Raw'!$F$6:$F$1712,'CEMIUP0.9 Raw'!$B$6:$B$1712,$J687,'CEMIUP0.9 Raw'!$H$6:$H$1712,"Y")</f>
        <v>2.52631578947368</v>
      </c>
      <c r="G687" s="19" t="n">
        <f aca="false">SUMIFS('SALES Raw'!$F$6:$F$4467,'SALES Raw'!$J$6:$J$4467,$J687,'SALES Raw'!$K$6:$K$4467,"Y")*$H$4+SUMIFS('CEMIUP0.9 Raw'!$G$6:$G$1712,'CEMIUP0.9 Raw'!$B$6:$B$1712,$J687,'CEMIUP0.9 Raw'!$H$6:$H$1712,"Y")</f>
        <v>0.0252631578947368</v>
      </c>
      <c r="H687" s="18" t="s">
        <v>46</v>
      </c>
      <c r="I687" s="18"/>
      <c r="J687" s="18" t="s">
        <v>273</v>
      </c>
    </row>
    <row r="688" customFormat="false" ht="15" hidden="false" customHeight="false" outlineLevel="0" collapsed="false">
      <c r="A688" s="18" t="str">
        <f aca="false">IF(ISNUMBER($J688),$J688,"")</f>
        <v/>
      </c>
      <c r="B688" s="18" t="str">
        <f aca="false">IFERROR(INDEX('SALES Raw'!$B$6:$B$4467,MATCH($J688,'SALES Raw'!$J$6:$J$4467,0)),IFERROR(INDEX('CEMIUP0.9 Raw'!$B$6:$B$1712,MATCH($J688,'CEMIUP0.9 Raw'!$B$6:$B$1712,0)),$J688))</f>
        <v>T46B M</v>
      </c>
      <c r="C688" s="18" t="str">
        <f aca="false">IF(ISNUMBER($J688),IFERROR(INDEX('TRANS'!$C:$C,MATCH($J688,'TRANS'!$B:$B,0)),IFERROR(INDEX('Catalog'!$B:$B,MATCH($J688,'Catalog'!$A:$A,0)),$B688)),$B688)</f>
        <v>T46B M</v>
      </c>
      <c r="D688" s="19" t="n">
        <f aca="false">SUMIFS('SALES Raw'!$C$6:$C$4467,'SALES Raw'!$J$6:$J$4467,$J688,'SALES Raw'!$K$6:$K$4467,"Y")+SUMIFS('CEMIUP0.9 Raw'!$D$6:$D$1712,'CEMIUP0.9 Raw'!$B$6:$B$1712,$J688,'CEMIUP0.9 Raw'!$H$6:$H$1712,"Y")</f>
        <v>0</v>
      </c>
      <c r="E688" s="19" t="n">
        <f aca="false">SUMIFS('SALES Raw'!$D$6:$D$4467,'SALES Raw'!$J$6:$J$4467,$J688,'SALES Raw'!$K$6:$K$4467,"Y")+SUMIFS('CEMIUP0.9 Raw'!$E$6:$E$1712,'CEMIUP0.9 Raw'!$B$6:$B$1712,$J688,'CEMIUP0.9 Raw'!$H$6:$H$1712,"Y")</f>
        <v>0</v>
      </c>
      <c r="F688" s="19" t="n">
        <f aca="false">SUMIFS('SALES Raw'!$E$6:$E$4467,'SALES Raw'!$J$6:$J$4467,$J688,'SALES Raw'!$K$6:$K$4467,"Y")*$H$4+SUMIFS('CEMIUP0.9 Raw'!$F$6:$F$1712,'CEMIUP0.9 Raw'!$B$6:$B$1712,$J688,'CEMIUP0.9 Raw'!$H$6:$H$1712,"Y")</f>
        <v>2.52631578947368</v>
      </c>
      <c r="G688" s="19" t="n">
        <f aca="false">SUMIFS('SALES Raw'!$F$6:$F$4467,'SALES Raw'!$J$6:$J$4467,$J688,'SALES Raw'!$K$6:$K$4467,"Y")*$H$4+SUMIFS('CEMIUP0.9 Raw'!$G$6:$G$1712,'CEMIUP0.9 Raw'!$B$6:$B$1712,$J688,'CEMIUP0.9 Raw'!$H$6:$H$1712,"Y")</f>
        <v>102.581052631579</v>
      </c>
      <c r="H688" s="18" t="s">
        <v>46</v>
      </c>
      <c r="I688" s="18" t="s">
        <v>53</v>
      </c>
      <c r="J688" s="18" t="s">
        <v>274</v>
      </c>
    </row>
    <row r="689" customFormat="false" ht="15" hidden="false" customHeight="false" outlineLevel="0" collapsed="false">
      <c r="A689" s="18" t="str">
        <f aca="false">IF(ISNUMBER($J689),$J689,"")</f>
        <v/>
      </c>
      <c r="B689" s="18" t="str">
        <f aca="false">IFERROR(INDEX('SALES Raw'!$B$6:$B$4467,MATCH($J689,'SALES Raw'!$J$6:$J$4467,0)),IFERROR(INDEX('CEMIUP0.9 Raw'!$B$6:$B$1712,MATCH($J689,'CEMIUP0.9 Raw'!$B$6:$B$1712,0)),$J689))</f>
        <v>T95 XL</v>
      </c>
      <c r="C689" s="18" t="str">
        <f aca="false">IF(ISNUMBER($J689),IFERROR(INDEX('TRANS'!$C:$C,MATCH($J689,'TRANS'!$B:$B,0)),IFERROR(INDEX('Catalog'!$B:$B,MATCH($J689,'Catalog'!$A:$A,0)),$B689)),$B689)</f>
        <v>T95 XL</v>
      </c>
      <c r="D689" s="19" t="n">
        <f aca="false">SUMIFS('SALES Raw'!$C$6:$C$4467,'SALES Raw'!$J$6:$J$4467,$J689,'SALES Raw'!$K$6:$K$4467,"Y")+SUMIFS('CEMIUP0.9 Raw'!$D$6:$D$1712,'CEMIUP0.9 Raw'!$B$6:$B$1712,$J689,'CEMIUP0.9 Raw'!$H$6:$H$1712,"Y")</f>
        <v>1</v>
      </c>
      <c r="E689" s="19" t="n">
        <f aca="false">SUMIFS('SALES Raw'!$D$6:$D$4467,'SALES Raw'!$J$6:$J$4467,$J689,'SALES Raw'!$K$6:$K$4467,"Y")+SUMIFS('CEMIUP0.9 Raw'!$E$6:$E$1712,'CEMIUP0.9 Raw'!$B$6:$B$1712,$J689,'CEMIUP0.9 Raw'!$H$6:$H$1712,"Y")</f>
        <v>85.54</v>
      </c>
      <c r="F689" s="19" t="n">
        <f aca="false">SUMIFS('SALES Raw'!$E$6:$E$4467,'SALES Raw'!$J$6:$J$4467,$J689,'SALES Raw'!$K$6:$K$4467,"Y")*$H$4+SUMIFS('CEMIUP0.9 Raw'!$F$6:$F$1712,'CEMIUP0.9 Raw'!$B$6:$B$1712,$J689,'CEMIUP0.9 Raw'!$H$6:$H$1712,"Y")</f>
        <v>2.52631578947368</v>
      </c>
      <c r="G689" s="19" t="n">
        <f aca="false">SUMIFS('SALES Raw'!$F$6:$F$4467,'SALES Raw'!$J$6:$J$4467,$J689,'SALES Raw'!$K$6:$K$4467,"Y")*$H$4+SUMIFS('CEMIUP0.9 Raw'!$G$6:$G$1712,'CEMIUP0.9 Raw'!$B$6:$B$1712,$J689,'CEMIUP0.9 Raw'!$H$6:$H$1712,"Y")</f>
        <v>303.372631578947</v>
      </c>
      <c r="H689" s="18" t="s">
        <v>46</v>
      </c>
      <c r="I689" s="18"/>
      <c r="J689" s="18" t="s">
        <v>275</v>
      </c>
    </row>
    <row r="690" customFormat="false" ht="15" hidden="false" customHeight="false" outlineLevel="0" collapsed="false">
      <c r="A690" s="18" t="str">
        <f aca="false">IF(ISNUMBER($J690),$J690,"")</f>
        <v/>
      </c>
      <c r="B690" s="18" t="str">
        <f aca="false">IFERROR(INDEX('SALES Raw'!$B$6:$B$4467,MATCH($J690,'SALES Raw'!$J$6:$J$4467,0)),IFERROR(INDEX('CEMIUP0.9 Raw'!$B$6:$B$1712,MATCH($J690,'CEMIUP0.9 Raw'!$B$6:$B$1712,0)),$J690))</f>
        <v>N433D S</v>
      </c>
      <c r="C690" s="18" t="str">
        <f aca="false">IF(ISNUMBER($J690),IFERROR(INDEX('TRANS'!$C:$C,MATCH($J690,'TRANS'!$B:$B,0)),IFERROR(INDEX('Catalog'!$B:$B,MATCH($J690,'Catalog'!$A:$A,0)),$B690)),$B690)</f>
        <v>N433D S</v>
      </c>
      <c r="D690" s="19" t="n">
        <f aca="false">SUMIFS('SALES Raw'!$C$6:$C$4467,'SALES Raw'!$J$6:$J$4467,$J690,'SALES Raw'!$K$6:$K$4467,"Y")+SUMIFS('CEMIUP0.9 Raw'!$D$6:$D$1712,'CEMIUP0.9 Raw'!$B$6:$B$1712,$J690,'CEMIUP0.9 Raw'!$H$6:$H$1712,"Y")</f>
        <v>3</v>
      </c>
      <c r="E690" s="19" t="n">
        <f aca="false">SUMIFS('SALES Raw'!$D$6:$D$4467,'SALES Raw'!$J$6:$J$4467,$J690,'SALES Raw'!$K$6:$K$4467,"Y")+SUMIFS('CEMIUP0.9 Raw'!$E$6:$E$1712,'CEMIUP0.9 Raw'!$B$6:$B$1712,$J690,'CEMIUP0.9 Raw'!$H$6:$H$1712,"Y")</f>
        <v>1149.7</v>
      </c>
      <c r="F690" s="19" t="n">
        <f aca="false">SUMIFS('SALES Raw'!$E$6:$E$4467,'SALES Raw'!$J$6:$J$4467,$J690,'SALES Raw'!$K$6:$K$4467,"Y")*$H$4+SUMIFS('CEMIUP0.9 Raw'!$F$6:$F$1712,'CEMIUP0.9 Raw'!$B$6:$B$1712,$J690,'CEMIUP0.9 Raw'!$H$6:$H$1712,"Y")</f>
        <v>2.52631578947368</v>
      </c>
      <c r="G690" s="19" t="n">
        <f aca="false">SUMIFS('SALES Raw'!$F$6:$F$4467,'SALES Raw'!$J$6:$J$4467,$J690,'SALES Raw'!$K$6:$K$4467,"Y")*$H$4+SUMIFS('CEMIUP0.9 Raw'!$G$6:$G$1712,'CEMIUP0.9 Raw'!$B$6:$B$1712,$J690,'CEMIUP0.9 Raw'!$H$6:$H$1712,"Y")</f>
        <v>1077.65052631579</v>
      </c>
      <c r="H690" s="18" t="s">
        <v>44</v>
      </c>
      <c r="I690" s="18" t="s">
        <v>42</v>
      </c>
      <c r="J690" s="18" t="s">
        <v>276</v>
      </c>
    </row>
    <row r="691" customFormat="false" ht="15" hidden="false" customHeight="false" outlineLevel="0" collapsed="false">
      <c r="A691" s="18" t="str">
        <f aca="false">IF(ISNUMBER($J691),$J691,"")</f>
        <v/>
      </c>
      <c r="B691" s="18" t="str">
        <f aca="false">IFERROR(INDEX('SALES Raw'!$B$6:$B$4467,MATCH($J691,'SALES Raw'!$J$6:$J$4467,0)),IFERROR(INDEX('CEMIUP0.9 Raw'!$B$6:$B$1712,MATCH($J691,'CEMIUP0.9 Raw'!$B$6:$B$1712,0)),$J691))</f>
        <v>332B M</v>
      </c>
      <c r="C691" s="18" t="str">
        <f aca="false">IF(ISNUMBER($J691),IFERROR(INDEX('TRANS'!$C:$C,MATCH($J691,'TRANS'!$B:$B,0)),IFERROR(INDEX('Catalog'!$B:$B,MATCH($J691,'Catalog'!$A:$A,0)),$B691)),$B691)</f>
        <v>332B M</v>
      </c>
      <c r="D691" s="19" t="n">
        <f aca="false">SUMIFS('SALES Raw'!$C$6:$C$4467,'SALES Raw'!$J$6:$J$4467,$J691,'SALES Raw'!$K$6:$K$4467,"Y")+SUMIFS('CEMIUP0.9 Raw'!$D$6:$D$1712,'CEMIUP0.9 Raw'!$B$6:$B$1712,$J691,'CEMIUP0.9 Raw'!$H$6:$H$1712,"Y")</f>
        <v>10</v>
      </c>
      <c r="E691" s="19" t="n">
        <f aca="false">SUMIFS('SALES Raw'!$D$6:$D$4467,'SALES Raw'!$J$6:$J$4467,$J691,'SALES Raw'!$K$6:$K$4467,"Y")+SUMIFS('CEMIUP0.9 Raw'!$E$6:$E$1712,'CEMIUP0.9 Raw'!$B$6:$B$1712,$J691,'CEMIUP0.9 Raw'!$H$6:$H$1712,"Y")</f>
        <v>1690.04</v>
      </c>
      <c r="F691" s="19" t="n">
        <f aca="false">SUMIFS('SALES Raw'!$E$6:$E$4467,'SALES Raw'!$J$6:$J$4467,$J691,'SALES Raw'!$K$6:$K$4467,"Y")*$H$4+SUMIFS('CEMIUP0.9 Raw'!$F$6:$F$1712,'CEMIUP0.9 Raw'!$B$6:$B$1712,$J691,'CEMIUP0.9 Raw'!$H$6:$H$1712,"Y")</f>
        <v>2.52631578947368</v>
      </c>
      <c r="G691" s="19" t="n">
        <f aca="false">SUMIFS('SALES Raw'!$F$6:$F$4467,'SALES Raw'!$J$6:$J$4467,$J691,'SALES Raw'!$K$6:$K$4467,"Y")*$H$4+SUMIFS('CEMIUP0.9 Raw'!$G$6:$G$1712,'CEMIUP0.9 Raw'!$B$6:$B$1712,$J691,'CEMIUP0.9 Raw'!$H$6:$H$1712,"Y")</f>
        <v>164.210526315789</v>
      </c>
      <c r="H691" s="18" t="s">
        <v>53</v>
      </c>
      <c r="I691" s="18" t="s">
        <v>44</v>
      </c>
      <c r="J691" s="18" t="s">
        <v>277</v>
      </c>
    </row>
    <row r="692" customFormat="false" ht="15" hidden="false" customHeight="false" outlineLevel="0" collapsed="false">
      <c r="A692" s="18" t="str">
        <f aca="false">IF(ISNUMBER($J692),$J692,"")</f>
        <v/>
      </c>
      <c r="B692" s="18" t="str">
        <f aca="false">IFERROR(INDEX('SALES Raw'!$B$6:$B$4467,MATCH($J692,'SALES Raw'!$J$6:$J$4467,0)),IFERROR(INDEX('CEMIUP0.9 Raw'!$B$6:$B$1712,MATCH($J692,'CEMIUP0.9 Raw'!$B$6:$B$1712,0)),$J692))</f>
        <v>332B XXL</v>
      </c>
      <c r="C692" s="18" t="str">
        <f aca="false">IF(ISNUMBER($J692),IFERROR(INDEX('TRANS'!$C:$C,MATCH($J692,'TRANS'!$B:$B,0)),IFERROR(INDEX('Catalog'!$B:$B,MATCH($J692,'Catalog'!$A:$A,0)),$B692)),$B692)</f>
        <v>332B XXL</v>
      </c>
      <c r="D692" s="19" t="n">
        <f aca="false">SUMIFS('SALES Raw'!$C$6:$C$4467,'SALES Raw'!$J$6:$J$4467,$J692,'SALES Raw'!$K$6:$K$4467,"Y")+SUMIFS('CEMIUP0.9 Raw'!$D$6:$D$1712,'CEMIUP0.9 Raw'!$B$6:$B$1712,$J692,'CEMIUP0.9 Raw'!$H$6:$H$1712,"Y")</f>
        <v>0</v>
      </c>
      <c r="E692" s="19" t="n">
        <f aca="false">SUMIFS('SALES Raw'!$D$6:$D$4467,'SALES Raw'!$J$6:$J$4467,$J692,'SALES Raw'!$K$6:$K$4467,"Y")+SUMIFS('CEMIUP0.9 Raw'!$E$6:$E$1712,'CEMIUP0.9 Raw'!$B$6:$B$1712,$J692,'CEMIUP0.9 Raw'!$H$6:$H$1712,"Y")</f>
        <v>0</v>
      </c>
      <c r="F692" s="19" t="n">
        <f aca="false">SUMIFS('SALES Raw'!$E$6:$E$4467,'SALES Raw'!$J$6:$J$4467,$J692,'SALES Raw'!$K$6:$K$4467,"Y")*$H$4+SUMIFS('CEMIUP0.9 Raw'!$F$6:$F$1712,'CEMIUP0.9 Raw'!$B$6:$B$1712,$J692,'CEMIUP0.9 Raw'!$H$6:$H$1712,"Y")</f>
        <v>2.52631578947368</v>
      </c>
      <c r="G692" s="19" t="n">
        <f aca="false">SUMIFS('SALES Raw'!$F$6:$F$4467,'SALES Raw'!$J$6:$J$4467,$J692,'SALES Raw'!$K$6:$K$4467,"Y")*$H$4+SUMIFS('CEMIUP0.9 Raw'!$G$6:$G$1712,'CEMIUP0.9 Raw'!$B$6:$B$1712,$J692,'CEMIUP0.9 Raw'!$H$6:$H$1712,"Y")</f>
        <v>376.168421052632</v>
      </c>
      <c r="H692" s="18" t="s">
        <v>44</v>
      </c>
      <c r="I692" s="18" t="s">
        <v>49</v>
      </c>
      <c r="J692" s="18" t="s">
        <v>278</v>
      </c>
    </row>
    <row r="693" customFormat="false" ht="15" hidden="false" customHeight="false" outlineLevel="0" collapsed="false">
      <c r="A693" s="18" t="str">
        <f aca="false">IF(ISNUMBER($J693),$J693,"")</f>
        <v/>
      </c>
      <c r="B693" s="18" t="str">
        <f aca="false">IFERROR(INDEX('SALES Raw'!$B$6:$B$4467,MATCH($J693,'SALES Raw'!$J$6:$J$4467,0)),IFERROR(INDEX('CEMIUP0.9 Raw'!$B$6:$B$1712,MATCH($J693,'CEMIUP0.9 Raw'!$B$6:$B$1712,0)),$J693))</f>
        <v>N433D XXL</v>
      </c>
      <c r="C693" s="18" t="str">
        <f aca="false">IF(ISNUMBER($J693),IFERROR(INDEX('TRANS'!$C:$C,MATCH($J693,'TRANS'!$B:$B,0)),IFERROR(INDEX('Catalog'!$B:$B,MATCH($J693,'Catalog'!$A:$A,0)),$B693)),$B693)</f>
        <v>N433D XXL</v>
      </c>
      <c r="D693" s="19" t="n">
        <f aca="false">SUMIFS('SALES Raw'!$C$6:$C$4467,'SALES Raw'!$J$6:$J$4467,$J693,'SALES Raw'!$K$6:$K$4467,"Y")+SUMIFS('CEMIUP0.9 Raw'!$D$6:$D$1712,'CEMIUP0.9 Raw'!$B$6:$B$1712,$J693,'CEMIUP0.9 Raw'!$H$6:$H$1712,"Y")</f>
        <v>10</v>
      </c>
      <c r="E693" s="19" t="n">
        <f aca="false">SUMIFS('SALES Raw'!$D$6:$D$4467,'SALES Raw'!$J$6:$J$4467,$J693,'SALES Raw'!$K$6:$K$4467,"Y")+SUMIFS('CEMIUP0.9 Raw'!$E$6:$E$1712,'CEMIUP0.9 Raw'!$B$6:$B$1712,$J693,'CEMIUP0.9 Raw'!$H$6:$H$1712,"Y")</f>
        <v>3892.64</v>
      </c>
      <c r="F693" s="19" t="n">
        <f aca="false">SUMIFS('SALES Raw'!$E$6:$E$4467,'SALES Raw'!$J$6:$J$4467,$J693,'SALES Raw'!$K$6:$K$4467,"Y")*$H$4+SUMIFS('CEMIUP0.9 Raw'!$F$6:$F$1712,'CEMIUP0.9 Raw'!$B$6:$B$1712,$J693,'CEMIUP0.9 Raw'!$H$6:$H$1712,"Y")</f>
        <v>2.52631578947368</v>
      </c>
      <c r="G693" s="19" t="n">
        <f aca="false">SUMIFS('SALES Raw'!$F$6:$F$4467,'SALES Raw'!$J$6:$J$4467,$J693,'SALES Raw'!$K$6:$K$4467,"Y")*$H$4+SUMIFS('CEMIUP0.9 Raw'!$G$6:$G$1712,'CEMIUP0.9 Raw'!$B$6:$B$1712,$J693,'CEMIUP0.9 Raw'!$H$6:$H$1712,"Y")</f>
        <v>1190.03368421053</v>
      </c>
      <c r="H693" s="18" t="s">
        <v>44</v>
      </c>
      <c r="I693" s="18" t="s">
        <v>42</v>
      </c>
      <c r="J693" s="18" t="s">
        <v>279</v>
      </c>
    </row>
    <row r="694" customFormat="false" ht="15" hidden="false" customHeight="false" outlineLevel="0" collapsed="false">
      <c r="A694" s="18" t="str">
        <f aca="false">IF(ISNUMBER($J694),$J694,"")</f>
        <v/>
      </c>
      <c r="B694" s="18" t="str">
        <f aca="false">IFERROR(INDEX('SALES Raw'!$B$6:$B$4467,MATCH($J694,'SALES Raw'!$J$6:$J$4467,0)),IFERROR(INDEX('CEMIUP0.9 Raw'!$B$6:$B$1712,MATCH($J694,'CEMIUP0.9 Raw'!$B$6:$B$1712,0)),$J694))</f>
        <v>079 XL</v>
      </c>
      <c r="C694" s="18" t="str">
        <f aca="false">IF(ISNUMBER($J694),IFERROR(INDEX('TRANS'!$C:$C,MATCH($J694,'TRANS'!$B:$B,0)),IFERROR(INDEX('Catalog'!$B:$B,MATCH($J694,'Catalog'!$A:$A,0)),$B694)),$B694)</f>
        <v>079 XL</v>
      </c>
      <c r="D694" s="19" t="n">
        <f aca="false">SUMIFS('SALES Raw'!$C$6:$C$4467,'SALES Raw'!$J$6:$J$4467,$J694,'SALES Raw'!$K$6:$K$4467,"Y")+SUMIFS('CEMIUP0.9 Raw'!$D$6:$D$1712,'CEMIUP0.9 Raw'!$B$6:$B$1712,$J694,'CEMIUP0.9 Raw'!$H$6:$H$1712,"Y")</f>
        <v>-1</v>
      </c>
      <c r="E694" s="19" t="n">
        <f aca="false">SUMIFS('SALES Raw'!$D$6:$D$4467,'SALES Raw'!$J$6:$J$4467,$J694,'SALES Raw'!$K$6:$K$4467,"Y")+SUMIFS('CEMIUP0.9 Raw'!$E$6:$E$1712,'CEMIUP0.9 Raw'!$B$6:$B$1712,$J694,'CEMIUP0.9 Raw'!$H$6:$H$1712,"Y")</f>
        <v>-108.68</v>
      </c>
      <c r="F694" s="19" t="n">
        <f aca="false">SUMIFS('SALES Raw'!$E$6:$E$4467,'SALES Raw'!$J$6:$J$4467,$J694,'SALES Raw'!$K$6:$K$4467,"Y")*$H$4+SUMIFS('CEMIUP0.9 Raw'!$F$6:$F$1712,'CEMIUP0.9 Raw'!$B$6:$B$1712,$J694,'CEMIUP0.9 Raw'!$H$6:$H$1712,"Y")</f>
        <v>2.52631578947368</v>
      </c>
      <c r="G694" s="19" t="n">
        <f aca="false">SUMIFS('SALES Raw'!$F$6:$F$4467,'SALES Raw'!$J$6:$J$4467,$J694,'SALES Raw'!$K$6:$K$4467,"Y")*$H$4+SUMIFS('CEMIUP0.9 Raw'!$G$6:$G$1712,'CEMIUP0.9 Raw'!$B$6:$B$1712,$J694,'CEMIUP0.9 Raw'!$H$6:$H$1712,"Y")</f>
        <v>227.368421052632</v>
      </c>
      <c r="H694" s="18" t="s">
        <v>53</v>
      </c>
      <c r="I694" s="18" t="s">
        <v>44</v>
      </c>
      <c r="J694" s="18" t="s">
        <v>280</v>
      </c>
    </row>
    <row r="695" customFormat="false" ht="15" hidden="false" customHeight="false" outlineLevel="0" collapsed="false">
      <c r="A695" s="18" t="str">
        <f aca="false">IF(ISNUMBER($J695),$J695,"")</f>
        <v/>
      </c>
      <c r="B695" s="18" t="str">
        <f aca="false">IFERROR(INDEX('SALES Raw'!$B$6:$B$4467,MATCH($J695,'SALES Raw'!$J$6:$J$4467,0)),IFERROR(INDEX('CEMIUP0.9 Raw'!$B$6:$B$1712,MATCH($J695,'CEMIUP0.9 Raw'!$B$6:$B$1712,0)),$J695))</f>
        <v>49PS XXL</v>
      </c>
      <c r="C695" s="18" t="str">
        <f aca="false">IF(ISNUMBER($J695),IFERROR(INDEX('TRANS'!$C:$C,MATCH($J695,'TRANS'!$B:$B,0)),IFERROR(INDEX('Catalog'!$B:$B,MATCH($J695,'Catalog'!$A:$A,0)),$B695)),$B695)</f>
        <v>49PS XXL</v>
      </c>
      <c r="D695" s="19" t="n">
        <f aca="false">SUMIFS('SALES Raw'!$C$6:$C$4467,'SALES Raw'!$J$6:$J$4467,$J695,'SALES Raw'!$K$6:$K$4467,"Y")+SUMIFS('CEMIUP0.9 Raw'!$D$6:$D$1712,'CEMIUP0.9 Raw'!$B$6:$B$1712,$J695,'CEMIUP0.9 Raw'!$H$6:$H$1712,"Y")</f>
        <v>3</v>
      </c>
      <c r="E695" s="19" t="n">
        <f aca="false">SUMIFS('SALES Raw'!$D$6:$D$4467,'SALES Raw'!$J$6:$J$4467,$J695,'SALES Raw'!$K$6:$K$4467,"Y")+SUMIFS('CEMIUP0.9 Raw'!$E$6:$E$1712,'CEMIUP0.9 Raw'!$B$6:$B$1712,$J695,'CEMIUP0.9 Raw'!$H$6:$H$1712,"Y")</f>
        <v>722.63</v>
      </c>
      <c r="F695" s="19" t="n">
        <f aca="false">SUMIFS('SALES Raw'!$E$6:$E$4467,'SALES Raw'!$J$6:$J$4467,$J695,'SALES Raw'!$K$6:$K$4467,"Y")*$H$4+SUMIFS('CEMIUP0.9 Raw'!$F$6:$F$1712,'CEMIUP0.9 Raw'!$B$6:$B$1712,$J695,'CEMIUP0.9 Raw'!$H$6:$H$1712,"Y")</f>
        <v>2.52631578947368</v>
      </c>
      <c r="G695" s="19" t="n">
        <f aca="false">SUMIFS('SALES Raw'!$F$6:$F$4467,'SALES Raw'!$J$6:$J$4467,$J695,'SALES Raw'!$K$6:$K$4467,"Y")*$H$4+SUMIFS('CEMIUP0.9 Raw'!$G$6:$G$1712,'CEMIUP0.9 Raw'!$B$6:$B$1712,$J695,'CEMIUP0.9 Raw'!$H$6:$H$1712,"Y")</f>
        <v>473.658947368421</v>
      </c>
      <c r="H695" s="18" t="s">
        <v>44</v>
      </c>
      <c r="I695" s="18" t="s">
        <v>42</v>
      </c>
      <c r="J695" s="18" t="s">
        <v>281</v>
      </c>
    </row>
    <row r="696" customFormat="false" ht="15" hidden="false" customHeight="false" outlineLevel="0" collapsed="false">
      <c r="A696" s="18" t="str">
        <f aca="false">IF(ISNUMBER($J696),$J696,"")</f>
        <v/>
      </c>
      <c r="B696" s="18" t="str">
        <f aca="false">IFERROR(INDEX('SALES Raw'!$B$6:$B$4467,MATCH($J696,'SALES Raw'!$J$6:$J$4467,0)),IFERROR(INDEX('CEMIUP0.9 Raw'!$B$6:$B$1712,MATCH($J696,'CEMIUP0.9 Raw'!$B$6:$B$1712,0)),$J696))</f>
        <v>922 S</v>
      </c>
      <c r="C696" s="18" t="str">
        <f aca="false">IF(ISNUMBER($J696),IFERROR(INDEX('TRANS'!$C:$C,MATCH($J696,'TRANS'!$B:$B,0)),IFERROR(INDEX('Catalog'!$B:$B,MATCH($J696,'Catalog'!$A:$A,0)),$B696)),$B696)</f>
        <v>922 S</v>
      </c>
      <c r="D696" s="19" t="n">
        <f aca="false">SUMIFS('SALES Raw'!$C$6:$C$4467,'SALES Raw'!$J$6:$J$4467,$J696,'SALES Raw'!$K$6:$K$4467,"Y")+SUMIFS('CEMIUP0.9 Raw'!$D$6:$D$1712,'CEMIUP0.9 Raw'!$B$6:$B$1712,$J696,'CEMIUP0.9 Raw'!$H$6:$H$1712,"Y")</f>
        <v>4</v>
      </c>
      <c r="E696" s="19" t="n">
        <f aca="false">SUMIFS('SALES Raw'!$D$6:$D$4467,'SALES Raw'!$J$6:$J$4467,$J696,'SALES Raw'!$K$6:$K$4467,"Y")+SUMIFS('CEMIUP0.9 Raw'!$E$6:$E$1712,'CEMIUP0.9 Raw'!$B$6:$B$1712,$J696,'CEMIUP0.9 Raw'!$H$6:$H$1712,"Y")</f>
        <v>524.69</v>
      </c>
      <c r="F696" s="19" t="n">
        <f aca="false">SUMIFS('SALES Raw'!$E$6:$E$4467,'SALES Raw'!$J$6:$J$4467,$J696,'SALES Raw'!$K$6:$K$4467,"Y")*$H$4+SUMIFS('CEMIUP0.9 Raw'!$F$6:$F$1712,'CEMIUP0.9 Raw'!$B$6:$B$1712,$J696,'CEMIUP0.9 Raw'!$H$6:$H$1712,"Y")</f>
        <v>2.52631578947368</v>
      </c>
      <c r="G696" s="19" t="n">
        <f aca="false">SUMIFS('SALES Raw'!$F$6:$F$4467,'SALES Raw'!$J$6:$J$4467,$J696,'SALES Raw'!$K$6:$K$4467,"Y")*$H$4+SUMIFS('CEMIUP0.9 Raw'!$G$6:$G$1712,'CEMIUP0.9 Raw'!$B$6:$B$1712,$J696,'CEMIUP0.9 Raw'!$H$6:$H$1712,"Y")</f>
        <v>484.711578947368</v>
      </c>
      <c r="H696" s="18" t="s">
        <v>42</v>
      </c>
      <c r="I696" s="18" t="s">
        <v>44</v>
      </c>
      <c r="J696" s="18" t="s">
        <v>282</v>
      </c>
    </row>
    <row r="697" customFormat="false" ht="15" hidden="false" customHeight="false" outlineLevel="0" collapsed="false">
      <c r="A697" s="18" t="str">
        <f aca="false">IF(ISNUMBER($J697),$J697,"")</f>
        <v/>
      </c>
      <c r="B697" s="18" t="str">
        <f aca="false">IFERROR(INDEX('SALES Raw'!$B$6:$B$4467,MATCH($J697,'SALES Raw'!$J$6:$J$4467,0)),IFERROR(INDEX('CEMIUP0.9 Raw'!$B$6:$B$1712,MATCH($J697,'CEMIUP0.9 Raw'!$B$6:$B$1712,0)),$J697))</f>
        <v>30 L</v>
      </c>
      <c r="C697" s="18" t="str">
        <f aca="false">IF(ISNUMBER($J697),IFERROR(INDEX('TRANS'!$C:$C,MATCH($J697,'TRANS'!$B:$B,0)),IFERROR(INDEX('Catalog'!$B:$B,MATCH($J697,'Catalog'!$A:$A,0)),$B697)),$B697)</f>
        <v>30 L</v>
      </c>
      <c r="D697" s="19" t="n">
        <f aca="false">SUMIFS('SALES Raw'!$C$6:$C$4467,'SALES Raw'!$J$6:$J$4467,$J697,'SALES Raw'!$K$6:$K$4467,"Y")+SUMIFS('CEMIUP0.9 Raw'!$D$6:$D$1712,'CEMIUP0.9 Raw'!$B$6:$B$1712,$J697,'CEMIUP0.9 Raw'!$H$6:$H$1712,"Y")</f>
        <v>14</v>
      </c>
      <c r="E697" s="19" t="n">
        <f aca="false">SUMIFS('SALES Raw'!$D$6:$D$4467,'SALES Raw'!$J$6:$J$4467,$J697,'SALES Raw'!$K$6:$K$4467,"Y")+SUMIFS('CEMIUP0.9 Raw'!$E$6:$E$1712,'CEMIUP0.9 Raw'!$B$6:$B$1712,$J697,'CEMIUP0.9 Raw'!$H$6:$H$1712,"Y")</f>
        <v>1074.29</v>
      </c>
      <c r="F697" s="19" t="n">
        <f aca="false">SUMIFS('SALES Raw'!$E$6:$E$4467,'SALES Raw'!$J$6:$J$4467,$J697,'SALES Raw'!$K$6:$K$4467,"Y")*$H$4+SUMIFS('CEMIUP0.9 Raw'!$F$6:$F$1712,'CEMIUP0.9 Raw'!$B$6:$B$1712,$J697,'CEMIUP0.9 Raw'!$H$6:$H$1712,"Y")</f>
        <v>2.52631578947368</v>
      </c>
      <c r="G697" s="19" t="n">
        <f aca="false">SUMIFS('SALES Raw'!$F$6:$F$4467,'SALES Raw'!$J$6:$J$4467,$J697,'SALES Raw'!$K$6:$K$4467,"Y")*$H$4+SUMIFS('CEMIUP0.9 Raw'!$G$6:$G$1712,'CEMIUP0.9 Raw'!$B$6:$B$1712,$J697,'CEMIUP0.9 Raw'!$H$6:$H$1712,"Y")</f>
        <v>303.814736842105</v>
      </c>
      <c r="H697" s="18" t="s">
        <v>42</v>
      </c>
      <c r="I697" s="18" t="s">
        <v>44</v>
      </c>
      <c r="J697" s="18" t="s">
        <v>283</v>
      </c>
    </row>
    <row r="698" customFormat="false" ht="15" hidden="false" customHeight="false" outlineLevel="0" collapsed="false">
      <c r="A698" s="18" t="str">
        <f aca="false">IF(ISNUMBER($J698),$J698,"")</f>
        <v/>
      </c>
      <c r="B698" s="18" t="str">
        <f aca="false">IFERROR(INDEX('SALES Raw'!$B$6:$B$4467,MATCH($J698,'SALES Raw'!$J$6:$J$4467,0)),IFERROR(INDEX('CEMIUP0.9 Raw'!$B$6:$B$1712,MATCH($J698,'CEMIUP0.9 Raw'!$B$6:$B$1712,0)),$J698))</f>
        <v>079 L</v>
      </c>
      <c r="C698" s="18" t="str">
        <f aca="false">IF(ISNUMBER($J698),IFERROR(INDEX('TRANS'!$C:$C,MATCH($J698,'TRANS'!$B:$B,0)),IFERROR(INDEX('Catalog'!$B:$B,MATCH($J698,'Catalog'!$A:$A,0)),$B698)),$B698)</f>
        <v>079 L</v>
      </c>
      <c r="D698" s="19" t="n">
        <f aca="false">SUMIFS('SALES Raw'!$C$6:$C$4467,'SALES Raw'!$J$6:$J$4467,$J698,'SALES Raw'!$K$6:$K$4467,"Y")+SUMIFS('CEMIUP0.9 Raw'!$D$6:$D$1712,'CEMIUP0.9 Raw'!$B$6:$B$1712,$J698,'CEMIUP0.9 Raw'!$H$6:$H$1712,"Y")</f>
        <v>1</v>
      </c>
      <c r="E698" s="19" t="n">
        <f aca="false">SUMIFS('SALES Raw'!$D$6:$D$4467,'SALES Raw'!$J$6:$J$4467,$J698,'SALES Raw'!$K$6:$K$4467,"Y")+SUMIFS('CEMIUP0.9 Raw'!$E$6:$E$1712,'CEMIUP0.9 Raw'!$B$6:$B$1712,$J698,'CEMIUP0.9 Raw'!$H$6:$H$1712,"Y")</f>
        <v>108.68</v>
      </c>
      <c r="F698" s="19" t="n">
        <f aca="false">SUMIFS('SALES Raw'!$E$6:$E$4467,'SALES Raw'!$J$6:$J$4467,$J698,'SALES Raw'!$K$6:$K$4467,"Y")*$H$4+SUMIFS('CEMIUP0.9 Raw'!$F$6:$F$1712,'CEMIUP0.9 Raw'!$B$6:$B$1712,$J698,'CEMIUP0.9 Raw'!$H$6:$H$1712,"Y")</f>
        <v>2.52631578947368</v>
      </c>
      <c r="G698" s="19" t="n">
        <f aca="false">SUMIFS('SALES Raw'!$F$6:$F$4467,'SALES Raw'!$J$6:$J$4467,$J698,'SALES Raw'!$K$6:$K$4467,"Y")*$H$4+SUMIFS('CEMIUP0.9 Raw'!$G$6:$G$1712,'CEMIUP0.9 Raw'!$B$6:$B$1712,$J698,'CEMIUP0.9 Raw'!$H$6:$H$1712,"Y")</f>
        <v>227.368421052632</v>
      </c>
      <c r="H698" s="18" t="s">
        <v>53</v>
      </c>
      <c r="I698" s="18" t="s">
        <v>44</v>
      </c>
      <c r="J698" s="18" t="s">
        <v>284</v>
      </c>
    </row>
    <row r="699" customFormat="false" ht="15" hidden="false" customHeight="false" outlineLevel="0" collapsed="false">
      <c r="A699" s="18" t="str">
        <f aca="false">IF(ISNUMBER($J699),$J699,"")</f>
        <v/>
      </c>
      <c r="B699" s="18" t="str">
        <f aca="false">IFERROR(INDEX('SALES Raw'!$B$6:$B$4467,MATCH($J699,'SALES Raw'!$J$6:$J$4467,0)),IFERROR(INDEX('CEMIUP0.9 Raw'!$B$6:$B$1712,MATCH($J699,'CEMIUP0.9 Raw'!$B$6:$B$1712,0)),$J699))</f>
        <v>59DB L</v>
      </c>
      <c r="C699" s="18" t="str">
        <f aca="false">IF(ISNUMBER($J699),IFERROR(INDEX('TRANS'!$C:$C,MATCH($J699,'TRANS'!$B:$B,0)),IFERROR(INDEX('Catalog'!$B:$B,MATCH($J699,'Catalog'!$A:$A,0)),$B699)),$B699)</f>
        <v>59DB L</v>
      </c>
      <c r="D699" s="19" t="n">
        <f aca="false">SUMIFS('SALES Raw'!$C$6:$C$4467,'SALES Raw'!$J$6:$J$4467,$J699,'SALES Raw'!$K$6:$K$4467,"Y")+SUMIFS('CEMIUP0.9 Raw'!$D$6:$D$1712,'CEMIUP0.9 Raw'!$B$6:$B$1712,$J699,'CEMIUP0.9 Raw'!$H$6:$H$1712,"Y")</f>
        <v>1</v>
      </c>
      <c r="E699" s="19" t="n">
        <f aca="false">SUMIFS('SALES Raw'!$D$6:$D$4467,'SALES Raw'!$J$6:$J$4467,$J699,'SALES Raw'!$K$6:$K$4467,"Y")+SUMIFS('CEMIUP0.9 Raw'!$E$6:$E$1712,'CEMIUP0.9 Raw'!$B$6:$B$1712,$J699,'CEMIUP0.9 Raw'!$H$6:$H$1712,"Y")</f>
        <v>180</v>
      </c>
      <c r="F699" s="19" t="n">
        <f aca="false">SUMIFS('SALES Raw'!$E$6:$E$4467,'SALES Raw'!$J$6:$J$4467,$J699,'SALES Raw'!$K$6:$K$4467,"Y")*$H$4+SUMIFS('CEMIUP0.9 Raw'!$F$6:$F$1712,'CEMIUP0.9 Raw'!$B$6:$B$1712,$J699,'CEMIUP0.9 Raw'!$H$6:$H$1712,"Y")</f>
        <v>2.52631578947368</v>
      </c>
      <c r="G699" s="19" t="n">
        <f aca="false">SUMIFS('SALES Raw'!$F$6:$F$4467,'SALES Raw'!$J$6:$J$4467,$J699,'SALES Raw'!$K$6:$K$4467,"Y")*$H$4+SUMIFS('CEMIUP0.9 Raw'!$G$6:$G$1712,'CEMIUP0.9 Raw'!$B$6:$B$1712,$J699,'CEMIUP0.9 Raw'!$H$6:$H$1712,"Y")</f>
        <v>1362.5052631579</v>
      </c>
      <c r="H699" s="18" t="s">
        <v>42</v>
      </c>
      <c r="I699" s="18" t="s">
        <v>44</v>
      </c>
      <c r="J699" s="18" t="s">
        <v>285</v>
      </c>
    </row>
    <row r="700" customFormat="false" ht="15" hidden="false" customHeight="false" outlineLevel="0" collapsed="false">
      <c r="A700" s="18" t="str">
        <f aca="false">IF(ISNUMBER($J700),$J700,"")</f>
        <v/>
      </c>
      <c r="B700" s="18" t="str">
        <f aca="false">IFERROR(INDEX('SALES Raw'!$B$6:$B$4467,MATCH($J700,'SALES Raw'!$J$6:$J$4467,0)),IFERROR(INDEX('CEMIUP0.9 Raw'!$B$6:$B$1712,MATCH($J700,'CEMIUP0.9 Raw'!$B$6:$B$1712,0)),$J700))</f>
        <v>59DB M</v>
      </c>
      <c r="C700" s="18" t="str">
        <f aca="false">IF(ISNUMBER($J700),IFERROR(INDEX('TRANS'!$C:$C,MATCH($J700,'TRANS'!$B:$B,0)),IFERROR(INDEX('Catalog'!$B:$B,MATCH($J700,'Catalog'!$A:$A,0)),$B700)),$B700)</f>
        <v>59DB M</v>
      </c>
      <c r="D700" s="19" t="n">
        <f aca="false">SUMIFS('SALES Raw'!$C$6:$C$4467,'SALES Raw'!$J$6:$J$4467,$J700,'SALES Raw'!$K$6:$K$4467,"Y")+SUMIFS('CEMIUP0.9 Raw'!$D$6:$D$1712,'CEMIUP0.9 Raw'!$B$6:$B$1712,$J700,'CEMIUP0.9 Raw'!$H$6:$H$1712,"Y")</f>
        <v>1</v>
      </c>
      <c r="E700" s="19" t="n">
        <f aca="false">SUMIFS('SALES Raw'!$D$6:$D$4467,'SALES Raw'!$J$6:$J$4467,$J700,'SALES Raw'!$K$6:$K$4467,"Y")+SUMIFS('CEMIUP0.9 Raw'!$E$6:$E$1712,'CEMIUP0.9 Raw'!$B$6:$B$1712,$J700,'CEMIUP0.9 Raw'!$H$6:$H$1712,"Y")</f>
        <v>180</v>
      </c>
      <c r="F700" s="19" t="n">
        <f aca="false">SUMIFS('SALES Raw'!$E$6:$E$4467,'SALES Raw'!$J$6:$J$4467,$J700,'SALES Raw'!$K$6:$K$4467,"Y")*$H$4+SUMIFS('CEMIUP0.9 Raw'!$F$6:$F$1712,'CEMIUP0.9 Raw'!$B$6:$B$1712,$J700,'CEMIUP0.9 Raw'!$H$6:$H$1712,"Y")</f>
        <v>2.52631578947368</v>
      </c>
      <c r="G700" s="19" t="n">
        <f aca="false">SUMIFS('SALES Raw'!$F$6:$F$4467,'SALES Raw'!$J$6:$J$4467,$J700,'SALES Raw'!$K$6:$K$4467,"Y")*$H$4+SUMIFS('CEMIUP0.9 Raw'!$G$6:$G$1712,'CEMIUP0.9 Raw'!$B$6:$B$1712,$J700,'CEMIUP0.9 Raw'!$H$6:$H$1712,"Y")</f>
        <v>1254.94736842105</v>
      </c>
      <c r="H700" s="18" t="s">
        <v>42</v>
      </c>
      <c r="I700" s="18" t="s">
        <v>44</v>
      </c>
      <c r="J700" s="18" t="s">
        <v>286</v>
      </c>
    </row>
    <row r="701" customFormat="false" ht="15" hidden="false" customHeight="false" outlineLevel="0" collapsed="false">
      <c r="A701" s="18" t="str">
        <f aca="false">IF(ISNUMBER($J701),$J701,"")</f>
        <v/>
      </c>
      <c r="B701" s="18" t="str">
        <f aca="false">IFERROR(INDEX('SALES Raw'!$B$6:$B$4467,MATCH($J701,'SALES Raw'!$J$6:$J$4467,0)),IFERROR(INDEX('CEMIUP0.9 Raw'!$B$6:$B$1712,MATCH($J701,'CEMIUP0.9 Raw'!$B$6:$B$1712,0)),$J701))</f>
        <v>T39 XXL</v>
      </c>
      <c r="C701" s="18" t="str">
        <f aca="false">IF(ISNUMBER($J701),IFERROR(INDEX('TRANS'!$C:$C,MATCH($J701,'TRANS'!$B:$B,0)),IFERROR(INDEX('Catalog'!$B:$B,MATCH($J701,'Catalog'!$A:$A,0)),$B701)),$B701)</f>
        <v>T39 XXL</v>
      </c>
      <c r="D701" s="19" t="n">
        <f aca="false">SUMIFS('SALES Raw'!$C$6:$C$4467,'SALES Raw'!$J$6:$J$4467,$J701,'SALES Raw'!$K$6:$K$4467,"Y")+SUMIFS('CEMIUP0.9 Raw'!$D$6:$D$1712,'CEMIUP0.9 Raw'!$B$6:$B$1712,$J701,'CEMIUP0.9 Raw'!$H$6:$H$1712,"Y")</f>
        <v>2</v>
      </c>
      <c r="E701" s="19" t="n">
        <f aca="false">SUMIFS('SALES Raw'!$D$6:$D$4467,'SALES Raw'!$J$6:$J$4467,$J701,'SALES Raw'!$K$6:$K$4467,"Y")+SUMIFS('CEMIUP0.9 Raw'!$E$6:$E$1712,'CEMIUP0.9 Raw'!$B$6:$B$1712,$J701,'CEMIUP0.9 Raw'!$H$6:$H$1712,"Y")</f>
        <v>302.59</v>
      </c>
      <c r="F701" s="19" t="n">
        <f aca="false">SUMIFS('SALES Raw'!$E$6:$E$4467,'SALES Raw'!$J$6:$J$4467,$J701,'SALES Raw'!$K$6:$K$4467,"Y")*$H$4+SUMIFS('CEMIUP0.9 Raw'!$F$6:$F$1712,'CEMIUP0.9 Raw'!$B$6:$B$1712,$J701,'CEMIUP0.9 Raw'!$H$6:$H$1712,"Y")</f>
        <v>2.52631578947368</v>
      </c>
      <c r="G701" s="19" t="n">
        <f aca="false">SUMIFS('SALES Raw'!$F$6:$F$4467,'SALES Raw'!$J$6:$J$4467,$J701,'SALES Raw'!$K$6:$K$4467,"Y")*$H$4+SUMIFS('CEMIUP0.9 Raw'!$G$6:$G$1712,'CEMIUP0.9 Raw'!$B$6:$B$1712,$J701,'CEMIUP0.9 Raw'!$H$6:$H$1712,"Y")</f>
        <v>382.218947368421</v>
      </c>
      <c r="H701" s="18" t="s">
        <v>44</v>
      </c>
      <c r="I701" s="18" t="s">
        <v>42</v>
      </c>
      <c r="J701" s="18" t="s">
        <v>287</v>
      </c>
    </row>
    <row r="702" customFormat="false" ht="15" hidden="false" customHeight="false" outlineLevel="0" collapsed="false">
      <c r="A702" s="18" t="str">
        <f aca="false">IF(ISNUMBER($J702),$J702,"")</f>
        <v/>
      </c>
      <c r="B702" s="18" t="str">
        <f aca="false">IFERROR(INDEX('SALES Raw'!$B$6:$B$4467,MATCH($J702,'SALES Raw'!$J$6:$J$4467,0)),IFERROR(INDEX('CEMIUP0.9 Raw'!$B$6:$B$1712,MATCH($J702,'CEMIUP0.9 Raw'!$B$6:$B$1712,0)),$J702))</f>
        <v>11STOB M</v>
      </c>
      <c r="C702" s="18" t="str">
        <f aca="false">IF(ISNUMBER($J702),IFERROR(INDEX('TRANS'!$C:$C,MATCH($J702,'TRANS'!$B:$B,0)),IFERROR(INDEX('Catalog'!$B:$B,MATCH($J702,'Catalog'!$A:$A,0)),$B702)),$B702)</f>
        <v>11STOB M</v>
      </c>
      <c r="D702" s="19" t="n">
        <f aca="false">SUMIFS('SALES Raw'!$C$6:$C$4467,'SALES Raw'!$J$6:$J$4467,$J702,'SALES Raw'!$K$6:$K$4467,"Y")+SUMIFS('CEMIUP0.9 Raw'!$D$6:$D$1712,'CEMIUP0.9 Raw'!$B$6:$B$1712,$J702,'CEMIUP0.9 Raw'!$H$6:$H$1712,"Y")</f>
        <v>3</v>
      </c>
      <c r="E702" s="19" t="n">
        <f aca="false">SUMIFS('SALES Raw'!$D$6:$D$4467,'SALES Raw'!$J$6:$J$4467,$J702,'SALES Raw'!$K$6:$K$4467,"Y")+SUMIFS('CEMIUP0.9 Raw'!$E$6:$E$1712,'CEMIUP0.9 Raw'!$B$6:$B$1712,$J702,'CEMIUP0.9 Raw'!$H$6:$H$1712,"Y")</f>
        <v>646.36</v>
      </c>
      <c r="F702" s="19" t="n">
        <f aca="false">SUMIFS('SALES Raw'!$E$6:$E$4467,'SALES Raw'!$J$6:$J$4467,$J702,'SALES Raw'!$K$6:$K$4467,"Y")*$H$4+SUMIFS('CEMIUP0.9 Raw'!$F$6:$F$1712,'CEMIUP0.9 Raw'!$B$6:$B$1712,$J702,'CEMIUP0.9 Raw'!$H$6:$H$1712,"Y")</f>
        <v>2.52631578947368</v>
      </c>
      <c r="G702" s="19" t="n">
        <f aca="false">SUMIFS('SALES Raw'!$F$6:$F$4467,'SALES Raw'!$J$6:$J$4467,$J702,'SALES Raw'!$K$6:$K$4467,"Y")*$H$4+SUMIFS('CEMIUP0.9 Raw'!$G$6:$G$1712,'CEMIUP0.9 Raw'!$B$6:$B$1712,$J702,'CEMIUP0.9 Raw'!$H$6:$H$1712,"Y")</f>
        <v>759.814736842105</v>
      </c>
      <c r="H702" s="18" t="s">
        <v>42</v>
      </c>
      <c r="I702" s="18" t="s">
        <v>44</v>
      </c>
      <c r="J702" s="18" t="s">
        <v>288</v>
      </c>
    </row>
    <row r="703" customFormat="false" ht="15" hidden="false" customHeight="false" outlineLevel="0" collapsed="false">
      <c r="A703" s="18" t="str">
        <f aca="false">IF(ISNUMBER($J703),$J703,"")</f>
        <v/>
      </c>
      <c r="B703" s="18" t="str">
        <f aca="false">IFERROR(INDEX('SALES Raw'!$B$6:$B$4467,MATCH($J703,'SALES Raw'!$J$6:$J$4467,0)),IFERROR(INDEX('CEMIUP0.9 Raw'!$B$6:$B$1712,MATCH($J703,'CEMIUP0.9 Raw'!$B$6:$B$1712,0)),$J703))</f>
        <v>32 XXL</v>
      </c>
      <c r="C703" s="18" t="str">
        <f aca="false">IF(ISNUMBER($J703),IFERROR(INDEX('TRANS'!$C:$C,MATCH($J703,'TRANS'!$B:$B,0)),IFERROR(INDEX('Catalog'!$B:$B,MATCH($J703,'Catalog'!$A:$A,0)),$B703)),$B703)</f>
        <v>32 XXL</v>
      </c>
      <c r="D703" s="19" t="n">
        <f aca="false">SUMIFS('SALES Raw'!$C$6:$C$4467,'SALES Raw'!$J$6:$J$4467,$J703,'SALES Raw'!$K$6:$K$4467,"Y")+SUMIFS('CEMIUP0.9 Raw'!$D$6:$D$1712,'CEMIUP0.9 Raw'!$B$6:$B$1712,$J703,'CEMIUP0.9 Raw'!$H$6:$H$1712,"Y")</f>
        <v>1</v>
      </c>
      <c r="E703" s="19" t="n">
        <f aca="false">SUMIFS('SALES Raw'!$D$6:$D$4467,'SALES Raw'!$J$6:$J$4467,$J703,'SALES Raw'!$K$6:$K$4467,"Y")+SUMIFS('CEMIUP0.9 Raw'!$E$6:$E$1712,'CEMIUP0.9 Raw'!$B$6:$B$1712,$J703,'CEMIUP0.9 Raw'!$H$6:$H$1712,"Y")</f>
        <v>346.19</v>
      </c>
      <c r="F703" s="19" t="n">
        <f aca="false">SUMIFS('SALES Raw'!$E$6:$E$4467,'SALES Raw'!$J$6:$J$4467,$J703,'SALES Raw'!$K$6:$K$4467,"Y")*$H$4+SUMIFS('CEMIUP0.9 Raw'!$F$6:$F$1712,'CEMIUP0.9 Raw'!$B$6:$B$1712,$J703,'CEMIUP0.9 Raw'!$H$6:$H$1712,"Y")</f>
        <v>2.52631578947368</v>
      </c>
      <c r="G703" s="19" t="n">
        <f aca="false">SUMIFS('SALES Raw'!$F$6:$F$4467,'SALES Raw'!$J$6:$J$4467,$J703,'SALES Raw'!$K$6:$K$4467,"Y")*$H$4+SUMIFS('CEMIUP0.9 Raw'!$G$6:$G$1712,'CEMIUP0.9 Raw'!$B$6:$B$1712,$J703,'CEMIUP0.9 Raw'!$H$6:$H$1712,"Y")</f>
        <v>341.052631578947</v>
      </c>
      <c r="H703" s="18" t="s">
        <v>53</v>
      </c>
      <c r="I703" s="18" t="s">
        <v>42</v>
      </c>
      <c r="J703" s="18" t="s">
        <v>289</v>
      </c>
    </row>
    <row r="704" customFormat="false" ht="15" hidden="false" customHeight="false" outlineLevel="0" collapsed="false">
      <c r="A704" s="18" t="str">
        <f aca="false">IF(ISNUMBER($J704),$J704,"")</f>
        <v/>
      </c>
      <c r="B704" s="18" t="str">
        <f aca="false">IFERROR(INDEX('SALES Raw'!$B$6:$B$4467,MATCH($J704,'SALES Raw'!$J$6:$J$4467,0)),IFERROR(INDEX('CEMIUP0.9 Raw'!$B$6:$B$1712,MATCH($J704,'CEMIUP0.9 Raw'!$B$6:$B$1712,0)),$J704))</f>
        <v>267RB XXL</v>
      </c>
      <c r="C704" s="18" t="str">
        <f aca="false">IF(ISNUMBER($J704),IFERROR(INDEX('TRANS'!$C:$C,MATCH($J704,'TRANS'!$B:$B,0)),IFERROR(INDEX('Catalog'!$B:$B,MATCH($J704,'Catalog'!$A:$A,0)),$B704)),$B704)</f>
        <v>267RB XXL</v>
      </c>
      <c r="D704" s="19" t="n">
        <f aca="false">SUMIFS('SALES Raw'!$C$6:$C$4467,'SALES Raw'!$J$6:$J$4467,$J704,'SALES Raw'!$K$6:$K$4467,"Y")+SUMIFS('CEMIUP0.9 Raw'!$D$6:$D$1712,'CEMIUP0.9 Raw'!$B$6:$B$1712,$J704,'CEMIUP0.9 Raw'!$H$6:$H$1712,"Y")</f>
        <v>0</v>
      </c>
      <c r="E704" s="19" t="n">
        <f aca="false">SUMIFS('SALES Raw'!$D$6:$D$4467,'SALES Raw'!$J$6:$J$4467,$J704,'SALES Raw'!$K$6:$K$4467,"Y")+SUMIFS('CEMIUP0.9 Raw'!$E$6:$E$1712,'CEMIUP0.9 Raw'!$B$6:$B$1712,$J704,'CEMIUP0.9 Raw'!$H$6:$H$1712,"Y")</f>
        <v>0</v>
      </c>
      <c r="F704" s="19" t="n">
        <f aca="false">SUMIFS('SALES Raw'!$E$6:$E$4467,'SALES Raw'!$J$6:$J$4467,$J704,'SALES Raw'!$K$6:$K$4467,"Y")*$H$4+SUMIFS('CEMIUP0.9 Raw'!$F$6:$F$1712,'CEMIUP0.9 Raw'!$B$6:$B$1712,$J704,'CEMIUP0.9 Raw'!$H$6:$H$1712,"Y")</f>
        <v>2.52631578947368</v>
      </c>
      <c r="G704" s="19" t="n">
        <f aca="false">SUMIFS('SALES Raw'!$F$6:$F$4467,'SALES Raw'!$J$6:$J$4467,$J704,'SALES Raw'!$K$6:$K$4467,"Y")*$H$4+SUMIFS('CEMIUP0.9 Raw'!$G$6:$G$1712,'CEMIUP0.9 Raw'!$B$6:$B$1712,$J704,'CEMIUP0.9 Raw'!$H$6:$H$1712,"Y")</f>
        <v>231.625263157895</v>
      </c>
      <c r="H704" s="18" t="s">
        <v>53</v>
      </c>
      <c r="I704" s="18" t="s">
        <v>42</v>
      </c>
      <c r="J704" s="18" t="s">
        <v>290</v>
      </c>
    </row>
    <row r="705" customFormat="false" ht="15" hidden="false" customHeight="false" outlineLevel="0" collapsed="false">
      <c r="A705" s="18" t="str">
        <f aca="false">IF(ISNUMBER($J705),$J705,"")</f>
        <v/>
      </c>
      <c r="B705" s="18" t="str">
        <f aca="false">IFERROR(INDEX('SALES Raw'!$B$6:$B$4467,MATCH($J705,'SALES Raw'!$J$6:$J$4467,0)),IFERROR(INDEX('CEMIUP0.9 Raw'!$B$6:$B$1712,MATCH($J705,'CEMIUP0.9 Raw'!$B$6:$B$1712,0)),$J705))</f>
        <v>267RB-S-M</v>
      </c>
      <c r="C705" s="18" t="str">
        <f aca="false">IF(ISNUMBER($J705),IFERROR(INDEX('TRANS'!$C:$C,MATCH($J705,'TRANS'!$B:$B,0)),IFERROR(INDEX('Catalog'!$B:$B,MATCH($J705,'Catalog'!$A:$A,0)),$B705)),$B705)</f>
        <v>267RB-S-M</v>
      </c>
      <c r="D705" s="19" t="n">
        <f aca="false">SUMIFS('SALES Raw'!$C$6:$C$4467,'SALES Raw'!$J$6:$J$4467,$J705,'SALES Raw'!$K$6:$K$4467,"Y")+SUMIFS('CEMIUP0.9 Raw'!$D$6:$D$1712,'CEMIUP0.9 Raw'!$B$6:$B$1712,$J705,'CEMIUP0.9 Raw'!$H$6:$H$1712,"Y")</f>
        <v>2</v>
      </c>
      <c r="E705" s="19" t="n">
        <f aca="false">SUMIFS('SALES Raw'!$D$6:$D$4467,'SALES Raw'!$J$6:$J$4467,$J705,'SALES Raw'!$K$6:$K$4467,"Y")+SUMIFS('CEMIUP0.9 Raw'!$E$6:$E$1712,'CEMIUP0.9 Raw'!$B$6:$B$1712,$J705,'CEMIUP0.9 Raw'!$H$6:$H$1712,"Y")</f>
        <v>363.58</v>
      </c>
      <c r="F705" s="19" t="n">
        <f aca="false">SUMIFS('SALES Raw'!$E$6:$E$4467,'SALES Raw'!$J$6:$J$4467,$J705,'SALES Raw'!$K$6:$K$4467,"Y")*$H$4+SUMIFS('CEMIUP0.9 Raw'!$F$6:$F$1712,'CEMIUP0.9 Raw'!$B$6:$B$1712,$J705,'CEMIUP0.9 Raw'!$H$6:$H$1712,"Y")</f>
        <v>2.52631578947368</v>
      </c>
      <c r="G705" s="19" t="n">
        <f aca="false">SUMIFS('SALES Raw'!$F$6:$F$4467,'SALES Raw'!$J$6:$J$4467,$J705,'SALES Raw'!$K$6:$K$4467,"Y")*$H$4+SUMIFS('CEMIUP0.9 Raw'!$G$6:$G$1712,'CEMIUP0.9 Raw'!$B$6:$B$1712,$J705,'CEMIUP0.9 Raw'!$H$6:$H$1712,"Y")</f>
        <v>319.414736842105</v>
      </c>
      <c r="H705" s="18" t="s">
        <v>53</v>
      </c>
      <c r="I705" s="18" t="s">
        <v>42</v>
      </c>
      <c r="J705" s="18" t="s">
        <v>291</v>
      </c>
    </row>
    <row r="706" customFormat="false" ht="15" hidden="false" customHeight="false" outlineLevel="0" collapsed="false">
      <c r="A706" s="18" t="str">
        <f aca="false">IF(ISNUMBER($J706),$J706,"")</f>
        <v/>
      </c>
      <c r="B706" s="18" t="str">
        <f aca="false">IFERROR(INDEX('SALES Raw'!$B$6:$B$4467,MATCH($J706,'SALES Raw'!$J$6:$J$4467,0)),IFERROR(INDEX('CEMIUP0.9 Raw'!$B$6:$B$1712,MATCH($J706,'CEMIUP0.9 Raw'!$B$6:$B$1712,0)),$J706))</f>
        <v>332C L</v>
      </c>
      <c r="C706" s="18" t="str">
        <f aca="false">IF(ISNUMBER($J706),IFERROR(INDEX('TRANS'!$C:$C,MATCH($J706,'TRANS'!$B:$B,0)),IFERROR(INDEX('Catalog'!$B:$B,MATCH($J706,'Catalog'!$A:$A,0)),$B706)),$B706)</f>
        <v>332C L</v>
      </c>
      <c r="D706" s="19" t="n">
        <f aca="false">SUMIFS('SALES Raw'!$C$6:$C$4467,'SALES Raw'!$J$6:$J$4467,$J706,'SALES Raw'!$K$6:$K$4467,"Y")+SUMIFS('CEMIUP0.9 Raw'!$D$6:$D$1712,'CEMIUP0.9 Raw'!$B$6:$B$1712,$J706,'CEMIUP0.9 Raw'!$H$6:$H$1712,"Y")</f>
        <v>0</v>
      </c>
      <c r="E706" s="19" t="n">
        <f aca="false">SUMIFS('SALES Raw'!$D$6:$D$4467,'SALES Raw'!$J$6:$J$4467,$J706,'SALES Raw'!$K$6:$K$4467,"Y")+SUMIFS('CEMIUP0.9 Raw'!$E$6:$E$1712,'CEMIUP0.9 Raw'!$B$6:$B$1712,$J706,'CEMIUP0.9 Raw'!$H$6:$H$1712,"Y")</f>
        <v>0</v>
      </c>
      <c r="F706" s="19" t="n">
        <f aca="false">SUMIFS('SALES Raw'!$E$6:$E$4467,'SALES Raw'!$J$6:$J$4467,$J706,'SALES Raw'!$K$6:$K$4467,"Y")*$H$4+SUMIFS('CEMIUP0.9 Raw'!$F$6:$F$1712,'CEMIUP0.9 Raw'!$B$6:$B$1712,$J706,'CEMIUP0.9 Raw'!$H$6:$H$1712,"Y")</f>
        <v>2.52631578947368</v>
      </c>
      <c r="G706" s="19" t="n">
        <f aca="false">SUMIFS('SALES Raw'!$F$6:$F$4467,'SALES Raw'!$J$6:$J$4467,$J706,'SALES Raw'!$K$6:$K$4467,"Y")*$H$4+SUMIFS('CEMIUP0.9 Raw'!$G$6:$G$1712,'CEMIUP0.9 Raw'!$B$6:$B$1712,$J706,'CEMIUP0.9 Raw'!$H$6:$H$1712,"Y")</f>
        <v>164.210526315789</v>
      </c>
      <c r="H706" s="18" t="s">
        <v>53</v>
      </c>
      <c r="I706" s="18"/>
      <c r="J706" s="18" t="s">
        <v>292</v>
      </c>
    </row>
    <row r="707" customFormat="false" ht="15" hidden="false" customHeight="false" outlineLevel="0" collapsed="false">
      <c r="A707" s="18" t="str">
        <f aca="false">IF(ISNUMBER($J707),$J707,"")</f>
        <v/>
      </c>
      <c r="B707" s="18" t="str">
        <f aca="false">IFERROR(INDEX('SALES Raw'!$B$6:$B$4467,MATCH($J707,'SALES Raw'!$J$6:$J$4467,0)),IFERROR(INDEX('CEMIUP0.9 Raw'!$B$6:$B$1712,MATCH($J707,'CEMIUP0.9 Raw'!$B$6:$B$1712,0)),$J707))</f>
        <v>332C M</v>
      </c>
      <c r="C707" s="18" t="str">
        <f aca="false">IF(ISNUMBER($J707),IFERROR(INDEX('TRANS'!$C:$C,MATCH($J707,'TRANS'!$B:$B,0)),IFERROR(INDEX('Catalog'!$B:$B,MATCH($J707,'Catalog'!$A:$A,0)),$B707)),$B707)</f>
        <v>332C M</v>
      </c>
      <c r="D707" s="19" t="n">
        <f aca="false">SUMIFS('SALES Raw'!$C$6:$C$4467,'SALES Raw'!$J$6:$J$4467,$J707,'SALES Raw'!$K$6:$K$4467,"Y")+SUMIFS('CEMIUP0.9 Raw'!$D$6:$D$1712,'CEMIUP0.9 Raw'!$B$6:$B$1712,$J707,'CEMIUP0.9 Raw'!$H$6:$H$1712,"Y")</f>
        <v>0</v>
      </c>
      <c r="E707" s="19" t="n">
        <f aca="false">SUMIFS('SALES Raw'!$D$6:$D$4467,'SALES Raw'!$J$6:$J$4467,$J707,'SALES Raw'!$K$6:$K$4467,"Y")+SUMIFS('CEMIUP0.9 Raw'!$E$6:$E$1712,'CEMIUP0.9 Raw'!$B$6:$B$1712,$J707,'CEMIUP0.9 Raw'!$H$6:$H$1712,"Y")</f>
        <v>0</v>
      </c>
      <c r="F707" s="19" t="n">
        <f aca="false">SUMIFS('SALES Raw'!$E$6:$E$4467,'SALES Raw'!$J$6:$J$4467,$J707,'SALES Raw'!$K$6:$K$4467,"Y")*$H$4+SUMIFS('CEMIUP0.9 Raw'!$F$6:$F$1712,'CEMIUP0.9 Raw'!$B$6:$B$1712,$J707,'CEMIUP0.9 Raw'!$H$6:$H$1712,"Y")</f>
        <v>2.52631578947368</v>
      </c>
      <c r="G707" s="19" t="n">
        <f aca="false">SUMIFS('SALES Raw'!$F$6:$F$4467,'SALES Raw'!$J$6:$J$4467,$J707,'SALES Raw'!$K$6:$K$4467,"Y")*$H$4+SUMIFS('CEMIUP0.9 Raw'!$G$6:$G$1712,'CEMIUP0.9 Raw'!$B$6:$B$1712,$J707,'CEMIUP0.9 Raw'!$H$6:$H$1712,"Y")</f>
        <v>164.210526315789</v>
      </c>
      <c r="H707" s="18" t="s">
        <v>53</v>
      </c>
      <c r="I707" s="18"/>
      <c r="J707" s="18" t="s">
        <v>293</v>
      </c>
    </row>
    <row r="708" customFormat="false" ht="15" hidden="false" customHeight="false" outlineLevel="0" collapsed="false">
      <c r="A708" s="18" t="str">
        <f aca="false">IF(ISNUMBER($J708),$J708,"")</f>
        <v/>
      </c>
      <c r="B708" s="18" t="str">
        <f aca="false">IFERROR(INDEX('SALES Raw'!$B$6:$B$4467,MATCH($J708,'SALES Raw'!$J$6:$J$4467,0)),IFERROR(INDEX('CEMIUP0.9 Raw'!$B$6:$B$1712,MATCH($J708,'CEMIUP0.9 Raw'!$B$6:$B$1712,0)),$J708))</f>
        <v>332C S</v>
      </c>
      <c r="C708" s="18" t="str">
        <f aca="false">IF(ISNUMBER($J708),IFERROR(INDEX('TRANS'!$C:$C,MATCH($J708,'TRANS'!$B:$B,0)),IFERROR(INDEX('Catalog'!$B:$B,MATCH($J708,'Catalog'!$A:$A,0)),$B708)),$B708)</f>
        <v>332C S</v>
      </c>
      <c r="D708" s="19" t="n">
        <f aca="false">SUMIFS('SALES Raw'!$C$6:$C$4467,'SALES Raw'!$J$6:$J$4467,$J708,'SALES Raw'!$K$6:$K$4467,"Y")+SUMIFS('CEMIUP0.9 Raw'!$D$6:$D$1712,'CEMIUP0.9 Raw'!$B$6:$B$1712,$J708,'CEMIUP0.9 Raw'!$H$6:$H$1712,"Y")</f>
        <v>0</v>
      </c>
      <c r="E708" s="19" t="n">
        <f aca="false">SUMIFS('SALES Raw'!$D$6:$D$4467,'SALES Raw'!$J$6:$J$4467,$J708,'SALES Raw'!$K$6:$K$4467,"Y")+SUMIFS('CEMIUP0.9 Raw'!$E$6:$E$1712,'CEMIUP0.9 Raw'!$B$6:$B$1712,$J708,'CEMIUP0.9 Raw'!$H$6:$H$1712,"Y")</f>
        <v>0</v>
      </c>
      <c r="F708" s="19" t="n">
        <f aca="false">SUMIFS('SALES Raw'!$E$6:$E$4467,'SALES Raw'!$J$6:$J$4467,$J708,'SALES Raw'!$K$6:$K$4467,"Y")*$H$4+SUMIFS('CEMIUP0.9 Raw'!$F$6:$F$1712,'CEMIUP0.9 Raw'!$B$6:$B$1712,$J708,'CEMIUP0.9 Raw'!$H$6:$H$1712,"Y")</f>
        <v>2.52631578947368</v>
      </c>
      <c r="G708" s="19" t="n">
        <f aca="false">SUMIFS('SALES Raw'!$F$6:$F$4467,'SALES Raw'!$J$6:$J$4467,$J708,'SALES Raw'!$K$6:$K$4467,"Y")*$H$4+SUMIFS('CEMIUP0.9 Raw'!$G$6:$G$1712,'CEMIUP0.9 Raw'!$B$6:$B$1712,$J708,'CEMIUP0.9 Raw'!$H$6:$H$1712,"Y")</f>
        <v>164.210526315789</v>
      </c>
      <c r="H708" s="18" t="s">
        <v>53</v>
      </c>
      <c r="I708" s="18"/>
      <c r="J708" s="18" t="s">
        <v>294</v>
      </c>
    </row>
    <row r="709" customFormat="false" ht="15" hidden="false" customHeight="false" outlineLevel="0" collapsed="false">
      <c r="A709" s="18" t="str">
        <f aca="false">IF(ISNUMBER($J709),$J709,"")</f>
        <v/>
      </c>
      <c r="B709" s="18" t="str">
        <f aca="false">IFERROR(INDEX('SALES Raw'!$B$6:$B$4467,MATCH($J709,'SALES Raw'!$J$6:$J$4467,0)),IFERROR(INDEX('CEMIUP0.9 Raw'!$B$6:$B$1712,MATCH($J709,'CEMIUP0.9 Raw'!$B$6:$B$1712,0)),$J709))</f>
        <v>332C XL</v>
      </c>
      <c r="C709" s="18" t="str">
        <f aca="false">IF(ISNUMBER($J709),IFERROR(INDEX('TRANS'!$C:$C,MATCH($J709,'TRANS'!$B:$B,0)),IFERROR(INDEX('Catalog'!$B:$B,MATCH($J709,'Catalog'!$A:$A,0)),$B709)),$B709)</f>
        <v>332C XL</v>
      </c>
      <c r="D709" s="19" t="n">
        <f aca="false">SUMIFS('SALES Raw'!$C$6:$C$4467,'SALES Raw'!$J$6:$J$4467,$J709,'SALES Raw'!$K$6:$K$4467,"Y")+SUMIFS('CEMIUP0.9 Raw'!$D$6:$D$1712,'CEMIUP0.9 Raw'!$B$6:$B$1712,$J709,'CEMIUP0.9 Raw'!$H$6:$H$1712,"Y")</f>
        <v>0</v>
      </c>
      <c r="E709" s="19" t="n">
        <f aca="false">SUMIFS('SALES Raw'!$D$6:$D$4467,'SALES Raw'!$J$6:$J$4467,$J709,'SALES Raw'!$K$6:$K$4467,"Y")+SUMIFS('CEMIUP0.9 Raw'!$E$6:$E$1712,'CEMIUP0.9 Raw'!$B$6:$B$1712,$J709,'CEMIUP0.9 Raw'!$H$6:$H$1712,"Y")</f>
        <v>0</v>
      </c>
      <c r="F709" s="19" t="n">
        <f aca="false">SUMIFS('SALES Raw'!$E$6:$E$4467,'SALES Raw'!$J$6:$J$4467,$J709,'SALES Raw'!$K$6:$K$4467,"Y")*$H$4+SUMIFS('CEMIUP0.9 Raw'!$F$6:$F$1712,'CEMIUP0.9 Raw'!$B$6:$B$1712,$J709,'CEMIUP0.9 Raw'!$H$6:$H$1712,"Y")</f>
        <v>2.52631578947368</v>
      </c>
      <c r="G709" s="19" t="n">
        <f aca="false">SUMIFS('SALES Raw'!$F$6:$F$4467,'SALES Raw'!$J$6:$J$4467,$J709,'SALES Raw'!$K$6:$K$4467,"Y")*$H$4+SUMIFS('CEMIUP0.9 Raw'!$G$6:$G$1712,'CEMIUP0.9 Raw'!$B$6:$B$1712,$J709,'CEMIUP0.9 Raw'!$H$6:$H$1712,"Y")</f>
        <v>164.210526315789</v>
      </c>
      <c r="H709" s="18" t="s">
        <v>53</v>
      </c>
      <c r="I709" s="18"/>
      <c r="J709" s="18" t="s">
        <v>295</v>
      </c>
    </row>
    <row r="710" customFormat="false" ht="15" hidden="false" customHeight="false" outlineLevel="0" collapsed="false">
      <c r="A710" s="18" t="str">
        <f aca="false">IF(ISNUMBER($J710),$J710,"")</f>
        <v/>
      </c>
      <c r="B710" s="18" t="str">
        <f aca="false">IFERROR(INDEX('SALES Raw'!$B$6:$B$4467,MATCH($J710,'SALES Raw'!$J$6:$J$4467,0)),IFERROR(INDEX('CEMIUP0.9 Raw'!$B$6:$B$1712,MATCH($J710,'CEMIUP0.9 Raw'!$B$6:$B$1712,0)),$J710))</f>
        <v>T066B-L-XL</v>
      </c>
      <c r="C710" s="18" t="str">
        <f aca="false">IF(ISNUMBER($J710),IFERROR(INDEX('TRANS'!$C:$C,MATCH($J710,'TRANS'!$B:$B,0)),IFERROR(INDEX('Catalog'!$B:$B,MATCH($J710,'Catalog'!$A:$A,0)),$B710)),$B710)</f>
        <v>T066B-L-XL</v>
      </c>
      <c r="D710" s="19" t="n">
        <f aca="false">SUMIFS('SALES Raw'!$C$6:$C$4467,'SALES Raw'!$J$6:$J$4467,$J710,'SALES Raw'!$K$6:$K$4467,"Y")+SUMIFS('CEMIUP0.9 Raw'!$D$6:$D$1712,'CEMIUP0.9 Raw'!$B$6:$B$1712,$J710,'CEMIUP0.9 Raw'!$H$6:$H$1712,"Y")</f>
        <v>0</v>
      </c>
      <c r="E710" s="19" t="n">
        <f aca="false">SUMIFS('SALES Raw'!$D$6:$D$4467,'SALES Raw'!$J$6:$J$4467,$J710,'SALES Raw'!$K$6:$K$4467,"Y")+SUMIFS('CEMIUP0.9 Raw'!$E$6:$E$1712,'CEMIUP0.9 Raw'!$B$6:$B$1712,$J710,'CEMIUP0.9 Raw'!$H$6:$H$1712,"Y")</f>
        <v>0</v>
      </c>
      <c r="F710" s="19" t="n">
        <f aca="false">SUMIFS('SALES Raw'!$E$6:$E$4467,'SALES Raw'!$J$6:$J$4467,$J710,'SALES Raw'!$K$6:$K$4467,"Y")*$H$4+SUMIFS('CEMIUP0.9 Raw'!$F$6:$F$1712,'CEMIUP0.9 Raw'!$B$6:$B$1712,$J710,'CEMIUP0.9 Raw'!$H$6:$H$1712,"Y")</f>
        <v>2.52631578947368</v>
      </c>
      <c r="G710" s="19" t="n">
        <f aca="false">SUMIFS('SALES Raw'!$F$6:$F$4467,'SALES Raw'!$J$6:$J$4467,$J710,'SALES Raw'!$K$6:$K$4467,"Y")*$H$4+SUMIFS('CEMIUP0.9 Raw'!$G$6:$G$1712,'CEMIUP0.9 Raw'!$B$6:$B$1712,$J710,'CEMIUP0.9 Raw'!$H$6:$H$1712,"Y")</f>
        <v>359.090526315789</v>
      </c>
      <c r="H710" s="18" t="s">
        <v>53</v>
      </c>
      <c r="I710" s="18"/>
      <c r="J710" s="18" t="s">
        <v>296</v>
      </c>
    </row>
    <row r="711" customFormat="false" ht="15" hidden="false" customHeight="false" outlineLevel="0" collapsed="false">
      <c r="A711" s="18" t="str">
        <f aca="false">IF(ISNUMBER($J711),$J711,"")</f>
        <v/>
      </c>
      <c r="B711" s="18" t="str">
        <f aca="false">IFERROR(INDEX('SALES Raw'!$B$6:$B$4467,MATCH($J711,'SALES Raw'!$J$6:$J$4467,0)),IFERROR(INDEX('CEMIUP0.9 Raw'!$B$6:$B$1712,MATCH($J711,'CEMIUP0.9 Raw'!$B$6:$B$1712,0)),$J711))</f>
        <v>422E M</v>
      </c>
      <c r="C711" s="18" t="str">
        <f aca="false">IF(ISNUMBER($J711),IFERROR(INDEX('TRANS'!$C:$C,MATCH($J711,'TRANS'!$B:$B,0)),IFERROR(INDEX('Catalog'!$B:$B,MATCH($J711,'Catalog'!$A:$A,0)),$B711)),$B711)</f>
        <v>422E M</v>
      </c>
      <c r="D711" s="19" t="n">
        <f aca="false">SUMIFS('SALES Raw'!$C$6:$C$4467,'SALES Raw'!$J$6:$J$4467,$J711,'SALES Raw'!$K$6:$K$4467,"Y")+SUMIFS('CEMIUP0.9 Raw'!$D$6:$D$1712,'CEMIUP0.9 Raw'!$B$6:$B$1712,$J711,'CEMIUP0.9 Raw'!$H$6:$H$1712,"Y")</f>
        <v>0</v>
      </c>
      <c r="E711" s="19" t="n">
        <f aca="false">SUMIFS('SALES Raw'!$D$6:$D$4467,'SALES Raw'!$J$6:$J$4467,$J711,'SALES Raw'!$K$6:$K$4467,"Y")+SUMIFS('CEMIUP0.9 Raw'!$E$6:$E$1712,'CEMIUP0.9 Raw'!$B$6:$B$1712,$J711,'CEMIUP0.9 Raw'!$H$6:$H$1712,"Y")</f>
        <v>0</v>
      </c>
      <c r="F711" s="19" t="n">
        <f aca="false">SUMIFS('SALES Raw'!$E$6:$E$4467,'SALES Raw'!$J$6:$J$4467,$J711,'SALES Raw'!$K$6:$K$4467,"Y")*$H$4+SUMIFS('CEMIUP0.9 Raw'!$F$6:$F$1712,'CEMIUP0.9 Raw'!$B$6:$B$1712,$J711,'CEMIUP0.9 Raw'!$H$6:$H$1712,"Y")</f>
        <v>2.52631578947368</v>
      </c>
      <c r="G711" s="19" t="n">
        <f aca="false">SUMIFS('SALES Raw'!$F$6:$F$4467,'SALES Raw'!$J$6:$J$4467,$J711,'SALES Raw'!$K$6:$K$4467,"Y")*$H$4+SUMIFS('CEMIUP0.9 Raw'!$G$6:$G$1712,'CEMIUP0.9 Raw'!$B$6:$B$1712,$J711,'CEMIUP0.9 Raw'!$H$6:$H$1712,"Y")</f>
        <v>242.526315789474</v>
      </c>
      <c r="H711" s="18" t="s">
        <v>53</v>
      </c>
      <c r="I711" s="18"/>
      <c r="J711" s="18" t="s">
        <v>297</v>
      </c>
    </row>
    <row r="712" customFormat="false" ht="15" hidden="false" customHeight="false" outlineLevel="0" collapsed="false">
      <c r="A712" s="18" t="str">
        <f aca="false">IF(ISNUMBER($J712),$J712,"")</f>
        <v/>
      </c>
      <c r="B712" s="18" t="str">
        <f aca="false">IFERROR(INDEX('SALES Raw'!$B$6:$B$4467,MATCH($J712,'SALES Raw'!$J$6:$J$4467,0)),IFERROR(INDEX('CEMIUP0.9 Raw'!$B$6:$B$1712,MATCH($J712,'CEMIUP0.9 Raw'!$B$6:$B$1712,0)),$J712))</f>
        <v>61BL-L</v>
      </c>
      <c r="C712" s="18" t="str">
        <f aca="false">IF(ISNUMBER($J712),IFERROR(INDEX('TRANS'!$C:$C,MATCH($J712,'TRANS'!$B:$B,0)),IFERROR(INDEX('Catalog'!$B:$B,MATCH($J712,'Catalog'!$A:$A,0)),$B712)),$B712)</f>
        <v>61BL-L</v>
      </c>
      <c r="D712" s="19" t="n">
        <f aca="false">SUMIFS('SALES Raw'!$C$6:$C$4467,'SALES Raw'!$J$6:$J$4467,$J712,'SALES Raw'!$K$6:$K$4467,"Y")+SUMIFS('CEMIUP0.9 Raw'!$D$6:$D$1712,'CEMIUP0.9 Raw'!$B$6:$B$1712,$J712,'CEMIUP0.9 Raw'!$H$6:$H$1712,"Y")</f>
        <v>0</v>
      </c>
      <c r="E712" s="19" t="n">
        <f aca="false">SUMIFS('SALES Raw'!$D$6:$D$4467,'SALES Raw'!$J$6:$J$4467,$J712,'SALES Raw'!$K$6:$K$4467,"Y")+SUMIFS('CEMIUP0.9 Raw'!$E$6:$E$1712,'CEMIUP0.9 Raw'!$B$6:$B$1712,$J712,'CEMIUP0.9 Raw'!$H$6:$H$1712,"Y")</f>
        <v>0</v>
      </c>
      <c r="F712" s="19" t="n">
        <f aca="false">SUMIFS('SALES Raw'!$E$6:$E$4467,'SALES Raw'!$J$6:$J$4467,$J712,'SALES Raw'!$K$6:$K$4467,"Y")*$H$4+SUMIFS('CEMIUP0.9 Raw'!$F$6:$F$1712,'CEMIUP0.9 Raw'!$B$6:$B$1712,$J712,'CEMIUP0.9 Raw'!$H$6:$H$1712,"Y")</f>
        <v>2.52631578947368</v>
      </c>
      <c r="G712" s="19" t="n">
        <f aca="false">SUMIFS('SALES Raw'!$F$6:$F$4467,'SALES Raw'!$J$6:$J$4467,$J712,'SALES Raw'!$K$6:$K$4467,"Y")*$H$4+SUMIFS('CEMIUP0.9 Raw'!$G$6:$G$1712,'CEMIUP0.9 Raw'!$B$6:$B$1712,$J712,'CEMIUP0.9 Raw'!$H$6:$H$1712,"Y")</f>
        <v>118.282105263158</v>
      </c>
      <c r="H712" s="18" t="s">
        <v>53</v>
      </c>
      <c r="I712" s="18"/>
      <c r="J712" s="18" t="s">
        <v>298</v>
      </c>
    </row>
    <row r="713" customFormat="false" ht="15" hidden="false" customHeight="false" outlineLevel="0" collapsed="false">
      <c r="A713" s="18" t="str">
        <f aca="false">IF(ISNUMBER($J713),$J713,"")</f>
        <v/>
      </c>
      <c r="B713" s="18" t="str">
        <f aca="false">IFERROR(INDEX('SALES Raw'!$B$6:$B$4467,MATCH($J713,'SALES Raw'!$J$6:$J$4467,0)),IFERROR(INDEX('CEMIUP0.9 Raw'!$B$6:$B$1712,MATCH($J713,'CEMIUP0.9 Raw'!$B$6:$B$1712,0)),$J713))</f>
        <v>61BL-XL</v>
      </c>
      <c r="C713" s="18" t="str">
        <f aca="false">IF(ISNUMBER($J713),IFERROR(INDEX('TRANS'!$C:$C,MATCH($J713,'TRANS'!$B:$B,0)),IFERROR(INDEX('Catalog'!$B:$B,MATCH($J713,'Catalog'!$A:$A,0)),$B713)),$B713)</f>
        <v>61BL-XL</v>
      </c>
      <c r="D713" s="19" t="n">
        <f aca="false">SUMIFS('SALES Raw'!$C$6:$C$4467,'SALES Raw'!$J$6:$J$4467,$J713,'SALES Raw'!$K$6:$K$4467,"Y")+SUMIFS('CEMIUP0.9 Raw'!$D$6:$D$1712,'CEMIUP0.9 Raw'!$B$6:$B$1712,$J713,'CEMIUP0.9 Raw'!$H$6:$H$1712,"Y")</f>
        <v>0</v>
      </c>
      <c r="E713" s="19" t="n">
        <f aca="false">SUMIFS('SALES Raw'!$D$6:$D$4467,'SALES Raw'!$J$6:$J$4467,$J713,'SALES Raw'!$K$6:$K$4467,"Y")+SUMIFS('CEMIUP0.9 Raw'!$E$6:$E$1712,'CEMIUP0.9 Raw'!$B$6:$B$1712,$J713,'CEMIUP0.9 Raw'!$H$6:$H$1712,"Y")</f>
        <v>0</v>
      </c>
      <c r="F713" s="19" t="n">
        <f aca="false">SUMIFS('SALES Raw'!$E$6:$E$4467,'SALES Raw'!$J$6:$J$4467,$J713,'SALES Raw'!$K$6:$K$4467,"Y")*$H$4+SUMIFS('CEMIUP0.9 Raw'!$F$6:$F$1712,'CEMIUP0.9 Raw'!$B$6:$B$1712,$J713,'CEMIUP0.9 Raw'!$H$6:$H$1712,"Y")</f>
        <v>2.52631578947368</v>
      </c>
      <c r="G713" s="19" t="n">
        <f aca="false">SUMIFS('SALES Raw'!$F$6:$F$4467,'SALES Raw'!$J$6:$J$4467,$J713,'SALES Raw'!$K$6:$K$4467,"Y")*$H$4+SUMIFS('CEMIUP0.9 Raw'!$G$6:$G$1712,'CEMIUP0.9 Raw'!$B$6:$B$1712,$J713,'CEMIUP0.9 Raw'!$H$6:$H$1712,"Y")</f>
        <v>118.282105263158</v>
      </c>
      <c r="H713" s="18" t="s">
        <v>53</v>
      </c>
      <c r="I713" s="18"/>
      <c r="J713" s="18" t="s">
        <v>299</v>
      </c>
    </row>
    <row r="714" customFormat="false" ht="15" hidden="false" customHeight="false" outlineLevel="0" collapsed="false">
      <c r="A714" s="18" t="str">
        <f aca="false">IF(ISNUMBER($J714),$J714,"")</f>
        <v/>
      </c>
      <c r="B714" s="18" t="str">
        <f aca="false">IFERROR(INDEX('SALES Raw'!$B$6:$B$4467,MATCH($J714,'SALES Raw'!$J$6:$J$4467,0)),IFERROR(INDEX('CEMIUP0.9 Raw'!$B$6:$B$1712,MATCH($J714,'CEMIUP0.9 Raw'!$B$6:$B$1712,0)),$J714))</f>
        <v>376-44-46</v>
      </c>
      <c r="C714" s="18" t="str">
        <f aca="false">IF(ISNUMBER($J714),IFERROR(INDEX('TRANS'!$C:$C,MATCH($J714,'TRANS'!$B:$B,0)),IFERROR(INDEX('Catalog'!$B:$B,MATCH($J714,'Catalog'!$A:$A,0)),$B714)),$B714)</f>
        <v>376-44-46</v>
      </c>
      <c r="D714" s="19" t="n">
        <f aca="false">SUMIFS('SALES Raw'!$C$6:$C$4467,'SALES Raw'!$J$6:$J$4467,$J714,'SALES Raw'!$K$6:$K$4467,"Y")+SUMIFS('CEMIUP0.9 Raw'!$D$6:$D$1712,'CEMIUP0.9 Raw'!$B$6:$B$1712,$J714,'CEMIUP0.9 Raw'!$H$6:$H$1712,"Y")</f>
        <v>0</v>
      </c>
      <c r="E714" s="19" t="n">
        <f aca="false">SUMIFS('SALES Raw'!$D$6:$D$4467,'SALES Raw'!$J$6:$J$4467,$J714,'SALES Raw'!$K$6:$K$4467,"Y")+SUMIFS('CEMIUP0.9 Raw'!$E$6:$E$1712,'CEMIUP0.9 Raw'!$B$6:$B$1712,$J714,'CEMIUP0.9 Raw'!$H$6:$H$1712,"Y")</f>
        <v>0</v>
      </c>
      <c r="F714" s="19" t="n">
        <f aca="false">SUMIFS('SALES Raw'!$E$6:$E$4467,'SALES Raw'!$J$6:$J$4467,$J714,'SALES Raw'!$K$6:$K$4467,"Y")*$H$4+SUMIFS('CEMIUP0.9 Raw'!$F$6:$F$1712,'CEMIUP0.9 Raw'!$B$6:$B$1712,$J714,'CEMIUP0.9 Raw'!$H$6:$H$1712,"Y")</f>
        <v>2.52631578947368</v>
      </c>
      <c r="G714" s="19" t="n">
        <f aca="false">SUMIFS('SALES Raw'!$F$6:$F$4467,'SALES Raw'!$J$6:$J$4467,$J714,'SALES Raw'!$K$6:$K$4467,"Y")*$H$4+SUMIFS('CEMIUP0.9 Raw'!$G$6:$G$1712,'CEMIUP0.9 Raw'!$B$6:$B$1712,$J714,'CEMIUP0.9 Raw'!$H$6:$H$1712,"Y")</f>
        <v>88.6863157894737</v>
      </c>
      <c r="H714" s="18" t="s">
        <v>54</v>
      </c>
      <c r="I714" s="18"/>
      <c r="J714" s="18" t="s">
        <v>300</v>
      </c>
    </row>
    <row r="715" customFormat="false" ht="15" hidden="false" customHeight="false" outlineLevel="0" collapsed="false">
      <c r="A715" s="18" t="str">
        <f aca="false">IF(ISNUMBER($J715),$J715,"")</f>
        <v/>
      </c>
      <c r="B715" s="18" t="str">
        <f aca="false">IFERROR(INDEX('SALES Raw'!$B$6:$B$4467,MATCH($J715,'SALES Raw'!$J$6:$J$4467,0)),IFERROR(INDEX('CEMIUP0.9 Raw'!$B$6:$B$1712,MATCH($J715,'CEMIUP0.9 Raw'!$B$6:$B$1712,0)),$J715))</f>
        <v>11 XS</v>
      </c>
      <c r="C715" s="18" t="str">
        <f aca="false">IF(ISNUMBER($J715),IFERROR(INDEX('TRANS'!$C:$C,MATCH($J715,'TRANS'!$B:$B,0)),IFERROR(INDEX('Catalog'!$B:$B,MATCH($J715,'Catalog'!$A:$A,0)),$B715)),$B715)</f>
        <v>11 XS</v>
      </c>
      <c r="D715" s="19" t="n">
        <f aca="false">SUMIFS('SALES Raw'!$C$6:$C$4467,'SALES Raw'!$J$6:$J$4467,$J715,'SALES Raw'!$K$6:$K$4467,"Y")+SUMIFS('CEMIUP0.9 Raw'!$D$6:$D$1712,'CEMIUP0.9 Raw'!$B$6:$B$1712,$J715,'CEMIUP0.9 Raw'!$H$6:$H$1712,"Y")</f>
        <v>0</v>
      </c>
      <c r="E715" s="19" t="n">
        <f aca="false">SUMIFS('SALES Raw'!$D$6:$D$4467,'SALES Raw'!$J$6:$J$4467,$J715,'SALES Raw'!$K$6:$K$4467,"Y")+SUMIFS('CEMIUP0.9 Raw'!$E$6:$E$1712,'CEMIUP0.9 Raw'!$B$6:$B$1712,$J715,'CEMIUP0.9 Raw'!$H$6:$H$1712,"Y")</f>
        <v>0</v>
      </c>
      <c r="F715" s="19" t="n">
        <f aca="false">SUMIFS('SALES Raw'!$E$6:$E$4467,'SALES Raw'!$J$6:$J$4467,$J715,'SALES Raw'!$K$6:$K$4467,"Y")*$H$4+SUMIFS('CEMIUP0.9 Raw'!$F$6:$F$1712,'CEMIUP0.9 Raw'!$B$6:$B$1712,$J715,'CEMIUP0.9 Raw'!$H$6:$H$1712,"Y")</f>
        <v>2.52631578947368</v>
      </c>
      <c r="G715" s="19" t="n">
        <f aca="false">SUMIFS('SALES Raw'!$F$6:$F$4467,'SALES Raw'!$J$6:$J$4467,$J715,'SALES Raw'!$K$6:$K$4467,"Y")*$H$4+SUMIFS('CEMIUP0.9 Raw'!$G$6:$G$1712,'CEMIUP0.9 Raw'!$B$6:$B$1712,$J715,'CEMIUP0.9 Raw'!$H$6:$H$1712,"Y")</f>
        <v>642.063157894737</v>
      </c>
      <c r="H715" s="18" t="s">
        <v>42</v>
      </c>
      <c r="I715" s="18"/>
      <c r="J715" s="18" t="s">
        <v>301</v>
      </c>
    </row>
    <row r="716" customFormat="false" ht="15" hidden="false" customHeight="false" outlineLevel="0" collapsed="false">
      <c r="A716" s="18" t="str">
        <f aca="false">IF(ISNUMBER($J716),$J716,"")</f>
        <v/>
      </c>
      <c r="B716" s="18" t="str">
        <f aca="false">IFERROR(INDEX('SALES Raw'!$B$6:$B$4467,MATCH($J716,'SALES Raw'!$J$6:$J$4467,0)),IFERROR(INDEX('CEMIUP0.9 Raw'!$B$6:$B$1712,MATCH($J716,'CEMIUP0.9 Raw'!$B$6:$B$1712,0)),$J716))</f>
        <v>11PS XS</v>
      </c>
      <c r="C716" s="18" t="str">
        <f aca="false">IF(ISNUMBER($J716),IFERROR(INDEX('TRANS'!$C:$C,MATCH($J716,'TRANS'!$B:$B,0)),IFERROR(INDEX('Catalog'!$B:$B,MATCH($J716,'Catalog'!$A:$A,0)),$B716)),$B716)</f>
        <v>11PS XS</v>
      </c>
      <c r="D716" s="19" t="n">
        <f aca="false">SUMIFS('SALES Raw'!$C$6:$C$4467,'SALES Raw'!$J$6:$J$4467,$J716,'SALES Raw'!$K$6:$K$4467,"Y")+SUMIFS('CEMIUP0.9 Raw'!$D$6:$D$1712,'CEMIUP0.9 Raw'!$B$6:$B$1712,$J716,'CEMIUP0.9 Raw'!$H$6:$H$1712,"Y")</f>
        <v>1</v>
      </c>
      <c r="E716" s="19" t="n">
        <f aca="false">SUMIFS('SALES Raw'!$D$6:$D$4467,'SALES Raw'!$J$6:$J$4467,$J716,'SALES Raw'!$K$6:$K$4467,"Y")+SUMIFS('CEMIUP0.9 Raw'!$E$6:$E$1712,'CEMIUP0.9 Raw'!$B$6:$B$1712,$J716,'CEMIUP0.9 Raw'!$H$6:$H$1712,"Y")</f>
        <v>208.83</v>
      </c>
      <c r="F716" s="19" t="n">
        <f aca="false">SUMIFS('SALES Raw'!$E$6:$E$4467,'SALES Raw'!$J$6:$J$4467,$J716,'SALES Raw'!$K$6:$K$4467,"Y")*$H$4+SUMIFS('CEMIUP0.9 Raw'!$F$6:$F$1712,'CEMIUP0.9 Raw'!$B$6:$B$1712,$J716,'CEMIUP0.9 Raw'!$H$6:$H$1712,"Y")</f>
        <v>2.52631578947368</v>
      </c>
      <c r="G716" s="19" t="n">
        <f aca="false">SUMIFS('SALES Raw'!$F$6:$F$4467,'SALES Raw'!$J$6:$J$4467,$J716,'SALES Raw'!$K$6:$K$4467,"Y")*$H$4+SUMIFS('CEMIUP0.9 Raw'!$G$6:$G$1712,'CEMIUP0.9 Raw'!$B$6:$B$1712,$J716,'CEMIUP0.9 Raw'!$H$6:$H$1712,"Y")</f>
        <v>1006.02947368421</v>
      </c>
      <c r="H716" s="18" t="s">
        <v>42</v>
      </c>
      <c r="I716" s="18"/>
      <c r="J716" s="18" t="s">
        <v>302</v>
      </c>
    </row>
    <row r="717" customFormat="false" ht="15" hidden="false" customHeight="false" outlineLevel="0" collapsed="false">
      <c r="A717" s="18" t="str">
        <f aca="false">IF(ISNUMBER($J717),$J717,"")</f>
        <v/>
      </c>
      <c r="B717" s="18" t="str">
        <f aca="false">IFERROR(INDEX('SALES Raw'!$B$6:$B$4467,MATCH($J717,'SALES Raw'!$J$6:$J$4467,0)),IFERROR(INDEX('CEMIUP0.9 Raw'!$B$6:$B$1712,MATCH($J717,'CEMIUP0.9 Raw'!$B$6:$B$1712,0)),$J717))</f>
        <v>267LC-L-XL</v>
      </c>
      <c r="C717" s="18" t="str">
        <f aca="false">IF(ISNUMBER($J717),IFERROR(INDEX('TRANS'!$C:$C,MATCH($J717,'TRANS'!$B:$B,0)),IFERROR(INDEX('Catalog'!$B:$B,MATCH($J717,'Catalog'!$A:$A,0)),$B717)),$B717)</f>
        <v>267LC-L-XL</v>
      </c>
      <c r="D717" s="19" t="n">
        <f aca="false">SUMIFS('SALES Raw'!$C$6:$C$4467,'SALES Raw'!$J$6:$J$4467,$J717,'SALES Raw'!$K$6:$K$4467,"Y")+SUMIFS('CEMIUP0.9 Raw'!$D$6:$D$1712,'CEMIUP0.9 Raw'!$B$6:$B$1712,$J717,'CEMIUP0.9 Raw'!$H$6:$H$1712,"Y")</f>
        <v>0</v>
      </c>
      <c r="E717" s="19" t="n">
        <f aca="false">SUMIFS('SALES Raw'!$D$6:$D$4467,'SALES Raw'!$J$6:$J$4467,$J717,'SALES Raw'!$K$6:$K$4467,"Y")+SUMIFS('CEMIUP0.9 Raw'!$E$6:$E$1712,'CEMIUP0.9 Raw'!$B$6:$B$1712,$J717,'CEMIUP0.9 Raw'!$H$6:$H$1712,"Y")</f>
        <v>0</v>
      </c>
      <c r="F717" s="19" t="n">
        <f aca="false">SUMIFS('SALES Raw'!$E$6:$E$4467,'SALES Raw'!$J$6:$J$4467,$J717,'SALES Raw'!$K$6:$K$4467,"Y")*$H$4+SUMIFS('CEMIUP0.9 Raw'!$F$6:$F$1712,'CEMIUP0.9 Raw'!$B$6:$B$1712,$J717,'CEMIUP0.9 Raw'!$H$6:$H$1712,"Y")</f>
        <v>2.52631578947368</v>
      </c>
      <c r="G717" s="19" t="n">
        <f aca="false">SUMIFS('SALES Raw'!$F$6:$F$4467,'SALES Raw'!$J$6:$J$4467,$J717,'SALES Raw'!$K$6:$K$4467,"Y")*$H$4+SUMIFS('CEMIUP0.9 Raw'!$G$6:$G$1712,'CEMIUP0.9 Raw'!$B$6:$B$1712,$J717,'CEMIUP0.9 Raw'!$H$6:$H$1712,"Y")</f>
        <v>383.873684210526</v>
      </c>
      <c r="H717" s="18" t="s">
        <v>42</v>
      </c>
      <c r="I717" s="18"/>
      <c r="J717" s="18" t="s">
        <v>303</v>
      </c>
    </row>
    <row r="718" customFormat="false" ht="15" hidden="false" customHeight="false" outlineLevel="0" collapsed="false">
      <c r="A718" s="18" t="str">
        <f aca="false">IF(ISNUMBER($J718),$J718,"")</f>
        <v/>
      </c>
      <c r="B718" s="18" t="str">
        <f aca="false">IFERROR(INDEX('SALES Raw'!$B$6:$B$4467,MATCH($J718,'SALES Raw'!$J$6:$J$4467,0)),IFERROR(INDEX('CEMIUP0.9 Raw'!$B$6:$B$1712,MATCH($J718,'CEMIUP0.9 Raw'!$B$6:$B$1712,0)),$J718))</f>
        <v>267RC-S-M</v>
      </c>
      <c r="C718" s="18" t="str">
        <f aca="false">IF(ISNUMBER($J718),IFERROR(INDEX('TRANS'!$C:$C,MATCH($J718,'TRANS'!$B:$B,0)),IFERROR(INDEX('Catalog'!$B:$B,MATCH($J718,'Catalog'!$A:$A,0)),$B718)),$B718)</f>
        <v>267RC-S-M</v>
      </c>
      <c r="D718" s="19" t="n">
        <f aca="false">SUMIFS('SALES Raw'!$C$6:$C$4467,'SALES Raw'!$J$6:$J$4467,$J718,'SALES Raw'!$K$6:$K$4467,"Y")+SUMIFS('CEMIUP0.9 Raw'!$D$6:$D$1712,'CEMIUP0.9 Raw'!$B$6:$B$1712,$J718,'CEMIUP0.9 Raw'!$H$6:$H$1712,"Y")</f>
        <v>1</v>
      </c>
      <c r="E718" s="19" t="n">
        <f aca="false">SUMIFS('SALES Raw'!$D$6:$D$4467,'SALES Raw'!$J$6:$J$4467,$J718,'SALES Raw'!$K$6:$K$4467,"Y")+SUMIFS('CEMIUP0.9 Raw'!$E$6:$E$1712,'CEMIUP0.9 Raw'!$B$6:$B$1712,$J718,'CEMIUP0.9 Raw'!$H$6:$H$1712,"Y")</f>
        <v>167.05</v>
      </c>
      <c r="F718" s="19" t="n">
        <f aca="false">SUMIFS('SALES Raw'!$E$6:$E$4467,'SALES Raw'!$J$6:$J$4467,$J718,'SALES Raw'!$K$6:$K$4467,"Y")*$H$4+SUMIFS('CEMIUP0.9 Raw'!$F$6:$F$1712,'CEMIUP0.9 Raw'!$B$6:$B$1712,$J718,'CEMIUP0.9 Raw'!$H$6:$H$1712,"Y")</f>
        <v>2.52631578947368</v>
      </c>
      <c r="G718" s="19" t="n">
        <f aca="false">SUMIFS('SALES Raw'!$F$6:$F$4467,'SALES Raw'!$J$6:$J$4467,$J718,'SALES Raw'!$K$6:$K$4467,"Y")*$H$4+SUMIFS('CEMIUP0.9 Raw'!$G$6:$G$1712,'CEMIUP0.9 Raw'!$B$6:$B$1712,$J718,'CEMIUP0.9 Raw'!$H$6:$H$1712,"Y")</f>
        <v>383.886315789474</v>
      </c>
      <c r="H718" s="18" t="s">
        <v>42</v>
      </c>
      <c r="I718" s="18"/>
      <c r="J718" s="18" t="s">
        <v>304</v>
      </c>
    </row>
    <row r="719" customFormat="false" ht="15" hidden="false" customHeight="false" outlineLevel="0" collapsed="false">
      <c r="A719" s="18" t="str">
        <f aca="false">IF(ISNUMBER($J719),$J719,"")</f>
        <v/>
      </c>
      <c r="B719" s="18" t="str">
        <f aca="false">IFERROR(INDEX('SALES Raw'!$B$6:$B$4467,MATCH($J719,'SALES Raw'!$J$6:$J$4467,0)),IFERROR(INDEX('CEMIUP0.9 Raw'!$B$6:$B$1712,MATCH($J719,'CEMIUP0.9 Raw'!$B$6:$B$1712,0)),$J719))</f>
        <v>88R- S-M</v>
      </c>
      <c r="C719" s="18" t="str">
        <f aca="false">IF(ISNUMBER($J719),IFERROR(INDEX('TRANS'!$C:$C,MATCH($J719,'TRANS'!$B:$B,0)),IFERROR(INDEX('Catalog'!$B:$B,MATCH($J719,'Catalog'!$A:$A,0)),$B719)),$B719)</f>
        <v>88R- S-M</v>
      </c>
      <c r="D719" s="19" t="n">
        <f aca="false">SUMIFS('SALES Raw'!$C$6:$C$4467,'SALES Raw'!$J$6:$J$4467,$J719,'SALES Raw'!$K$6:$K$4467,"Y")+SUMIFS('CEMIUP0.9 Raw'!$D$6:$D$1712,'CEMIUP0.9 Raw'!$B$6:$B$1712,$J719,'CEMIUP0.9 Raw'!$H$6:$H$1712,"Y")</f>
        <v>1</v>
      </c>
      <c r="E719" s="19" t="n">
        <f aca="false">SUMIFS('SALES Raw'!$D$6:$D$4467,'SALES Raw'!$J$6:$J$4467,$J719,'SALES Raw'!$K$6:$K$4467,"Y")+SUMIFS('CEMIUP0.9 Raw'!$E$6:$E$1712,'CEMIUP0.9 Raw'!$B$6:$B$1712,$J719,'CEMIUP0.9 Raw'!$H$6:$H$1712,"Y")</f>
        <v>468.15</v>
      </c>
      <c r="F719" s="19" t="n">
        <f aca="false">SUMIFS('SALES Raw'!$E$6:$E$4467,'SALES Raw'!$J$6:$J$4467,$J719,'SALES Raw'!$K$6:$K$4467,"Y")*$H$4+SUMIFS('CEMIUP0.9 Raw'!$F$6:$F$1712,'CEMIUP0.9 Raw'!$B$6:$B$1712,$J719,'CEMIUP0.9 Raw'!$H$6:$H$1712,"Y")</f>
        <v>2.52631578947368</v>
      </c>
      <c r="G719" s="19" t="n">
        <f aca="false">SUMIFS('SALES Raw'!$F$6:$F$4467,'SALES Raw'!$J$6:$J$4467,$J719,'SALES Raw'!$K$6:$K$4467,"Y")*$H$4+SUMIFS('CEMIUP0.9 Raw'!$G$6:$G$1712,'CEMIUP0.9 Raw'!$B$6:$B$1712,$J719,'CEMIUP0.9 Raw'!$H$6:$H$1712,"Y")</f>
        <v>1321.83157894737</v>
      </c>
      <c r="H719" s="18" t="s">
        <v>42</v>
      </c>
      <c r="I719" s="18"/>
      <c r="J719" s="18" t="s">
        <v>305</v>
      </c>
    </row>
    <row r="720" customFormat="false" ht="15" hidden="false" customHeight="false" outlineLevel="0" collapsed="false">
      <c r="A720" s="18" t="str">
        <f aca="false">IF(ISNUMBER($J720),$J720,"")</f>
        <v/>
      </c>
      <c r="B720" s="18" t="str">
        <f aca="false">IFERROR(INDEX('SALES Raw'!$B$6:$B$4467,MATCH($J720,'SALES Raw'!$J$6:$J$4467,0)),IFERROR(INDEX('CEMIUP0.9 Raw'!$B$6:$B$1712,MATCH($J720,'CEMIUP0.9 Raw'!$B$6:$B$1712,0)),$J720))</f>
        <v>VMFPCB31 0</v>
      </c>
      <c r="C720" s="18" t="str">
        <f aca="false">IF(ISNUMBER($J720),IFERROR(INDEX('TRANS'!$C:$C,MATCH($J720,'TRANS'!$B:$B,0)),IFERROR(INDEX('Catalog'!$B:$B,MATCH($J720,'Catalog'!$A:$A,0)),$B720)),$B720)</f>
        <v>VMFPCB31 0</v>
      </c>
      <c r="D720" s="19" t="n">
        <f aca="false">SUMIFS('SALES Raw'!$C$6:$C$4467,'SALES Raw'!$J$6:$J$4467,$J720,'SALES Raw'!$K$6:$K$4467,"Y")+SUMIFS('CEMIUP0.9 Raw'!$D$6:$D$1712,'CEMIUP0.9 Raw'!$B$6:$B$1712,$J720,'CEMIUP0.9 Raw'!$H$6:$H$1712,"Y")</f>
        <v>0</v>
      </c>
      <c r="E720" s="19" t="n">
        <f aca="false">SUMIFS('SALES Raw'!$D$6:$D$4467,'SALES Raw'!$J$6:$J$4467,$J720,'SALES Raw'!$K$6:$K$4467,"Y")+SUMIFS('CEMIUP0.9 Raw'!$E$6:$E$1712,'CEMIUP0.9 Raw'!$B$6:$B$1712,$J720,'CEMIUP0.9 Raw'!$H$6:$H$1712,"Y")</f>
        <v>0</v>
      </c>
      <c r="F720" s="19" t="n">
        <f aca="false">SUMIFS('SALES Raw'!$E$6:$E$4467,'SALES Raw'!$J$6:$J$4467,$J720,'SALES Raw'!$K$6:$K$4467,"Y")*$H$4+SUMIFS('CEMIUP0.9 Raw'!$F$6:$F$1712,'CEMIUP0.9 Raw'!$B$6:$B$1712,$J720,'CEMIUP0.9 Raw'!$H$6:$H$1712,"Y")</f>
        <v>2.52631578947368</v>
      </c>
      <c r="G720" s="19" t="n">
        <f aca="false">SUMIFS('SALES Raw'!$F$6:$F$4467,'SALES Raw'!$J$6:$J$4467,$J720,'SALES Raw'!$K$6:$K$4467,"Y")*$H$4+SUMIFS('CEMIUP0.9 Raw'!$G$6:$G$1712,'CEMIUP0.9 Raw'!$B$6:$B$1712,$J720,'CEMIUP0.9 Raw'!$H$6:$H$1712,"Y")</f>
        <v>76.9768421052632</v>
      </c>
      <c r="H720" s="18" t="s">
        <v>42</v>
      </c>
      <c r="I720" s="18"/>
      <c r="J720" s="18" t="s">
        <v>306</v>
      </c>
    </row>
    <row r="721" customFormat="false" ht="15" hidden="false" customHeight="false" outlineLevel="0" collapsed="false">
      <c r="A721" s="18" t="str">
        <f aca="false">IF(ISNUMBER($J721),$J721,"")</f>
        <v/>
      </c>
      <c r="B721" s="18" t="str">
        <f aca="false">IFERROR(INDEX('SALES Raw'!$B$6:$B$4467,MATCH($J721,'SALES Raw'!$J$6:$J$4467,0)),IFERROR(INDEX('CEMIUP0.9 Raw'!$B$6:$B$1712,MATCH($J721,'CEMIUP0.9 Raw'!$B$6:$B$1712,0)),$J721))</f>
        <v>VMFPCG34 0</v>
      </c>
      <c r="C721" s="18" t="str">
        <f aca="false">IF(ISNUMBER($J721),IFERROR(INDEX('TRANS'!$C:$C,MATCH($J721,'TRANS'!$B:$B,0)),IFERROR(INDEX('Catalog'!$B:$B,MATCH($J721,'Catalog'!$A:$A,0)),$B721)),$B721)</f>
        <v>VMFPCG34 0</v>
      </c>
      <c r="D721" s="19" t="n">
        <f aca="false">SUMIFS('SALES Raw'!$C$6:$C$4467,'SALES Raw'!$J$6:$J$4467,$J721,'SALES Raw'!$K$6:$K$4467,"Y")+SUMIFS('CEMIUP0.9 Raw'!$D$6:$D$1712,'CEMIUP0.9 Raw'!$B$6:$B$1712,$J721,'CEMIUP0.9 Raw'!$H$6:$H$1712,"Y")</f>
        <v>0</v>
      </c>
      <c r="E721" s="19" t="n">
        <f aca="false">SUMIFS('SALES Raw'!$D$6:$D$4467,'SALES Raw'!$J$6:$J$4467,$J721,'SALES Raw'!$K$6:$K$4467,"Y")+SUMIFS('CEMIUP0.9 Raw'!$E$6:$E$1712,'CEMIUP0.9 Raw'!$B$6:$B$1712,$J721,'CEMIUP0.9 Raw'!$H$6:$H$1712,"Y")</f>
        <v>0</v>
      </c>
      <c r="F721" s="19" t="n">
        <f aca="false">SUMIFS('SALES Raw'!$E$6:$E$4467,'SALES Raw'!$J$6:$J$4467,$J721,'SALES Raw'!$K$6:$K$4467,"Y")*$H$4+SUMIFS('CEMIUP0.9 Raw'!$F$6:$F$1712,'CEMIUP0.9 Raw'!$B$6:$B$1712,$J721,'CEMIUP0.9 Raw'!$H$6:$H$1712,"Y")</f>
        <v>2.52631578947368</v>
      </c>
      <c r="G721" s="19" t="n">
        <f aca="false">SUMIFS('SALES Raw'!$F$6:$F$4467,'SALES Raw'!$J$6:$J$4467,$J721,'SALES Raw'!$K$6:$K$4467,"Y")*$H$4+SUMIFS('CEMIUP0.9 Raw'!$G$6:$G$1712,'CEMIUP0.9 Raw'!$B$6:$B$1712,$J721,'CEMIUP0.9 Raw'!$H$6:$H$1712,"Y")</f>
        <v>72.7073684210526</v>
      </c>
      <c r="H721" s="18" t="s">
        <v>42</v>
      </c>
      <c r="I721" s="18"/>
      <c r="J721" s="18" t="s">
        <v>307</v>
      </c>
    </row>
    <row r="722" customFormat="false" ht="15" hidden="false" customHeight="false" outlineLevel="0" collapsed="false">
      <c r="A722" s="18" t="str">
        <f aca="false">IF(ISNUMBER($J722),$J722,"")</f>
        <v/>
      </c>
      <c r="B722" s="18" t="str">
        <f aca="false">IFERROR(INDEX('SALES Raw'!$B$6:$B$4467,MATCH($J722,'SALES Raw'!$J$6:$J$4467,0)),IFERROR(INDEX('CEMIUP0.9 Raw'!$B$6:$B$1712,MATCH($J722,'CEMIUP0.9 Raw'!$B$6:$B$1712,0)),$J722))</f>
        <v>VMSPCL55 0</v>
      </c>
      <c r="C722" s="18" t="str">
        <f aca="false">IF(ISNUMBER($J722),IFERROR(INDEX('TRANS'!$C:$C,MATCH($J722,'TRANS'!$B:$B,0)),IFERROR(INDEX('Catalog'!$B:$B,MATCH($J722,'Catalog'!$A:$A,0)),$B722)),$B722)</f>
        <v>VMSPCL55 0</v>
      </c>
      <c r="D722" s="19" t="n">
        <f aca="false">SUMIFS('SALES Raw'!$C$6:$C$4467,'SALES Raw'!$J$6:$J$4467,$J722,'SALES Raw'!$K$6:$K$4467,"Y")+SUMIFS('CEMIUP0.9 Raw'!$D$6:$D$1712,'CEMIUP0.9 Raw'!$B$6:$B$1712,$J722,'CEMIUP0.9 Raw'!$H$6:$H$1712,"Y")</f>
        <v>0</v>
      </c>
      <c r="E722" s="19" t="n">
        <f aca="false">SUMIFS('SALES Raw'!$D$6:$D$4467,'SALES Raw'!$J$6:$J$4467,$J722,'SALES Raw'!$K$6:$K$4467,"Y")+SUMIFS('CEMIUP0.9 Raw'!$E$6:$E$1712,'CEMIUP0.9 Raw'!$B$6:$B$1712,$J722,'CEMIUP0.9 Raw'!$H$6:$H$1712,"Y")</f>
        <v>0</v>
      </c>
      <c r="F722" s="19" t="n">
        <f aca="false">SUMIFS('SALES Raw'!$E$6:$E$4467,'SALES Raw'!$J$6:$J$4467,$J722,'SALES Raw'!$K$6:$K$4467,"Y")*$H$4+SUMIFS('CEMIUP0.9 Raw'!$F$6:$F$1712,'CEMIUP0.9 Raw'!$B$6:$B$1712,$J722,'CEMIUP0.9 Raw'!$H$6:$H$1712,"Y")</f>
        <v>2.52631578947368</v>
      </c>
      <c r="G722" s="19" t="n">
        <f aca="false">SUMIFS('SALES Raw'!$F$6:$F$4467,'SALES Raw'!$J$6:$J$4467,$J722,'SALES Raw'!$K$6:$K$4467,"Y")*$H$4+SUMIFS('CEMIUP0.9 Raw'!$G$6:$G$1712,'CEMIUP0.9 Raw'!$B$6:$B$1712,$J722,'CEMIUP0.9 Raw'!$H$6:$H$1712,"Y")</f>
        <v>77.0021052631579</v>
      </c>
      <c r="H722" s="18" t="s">
        <v>42</v>
      </c>
      <c r="I722" s="18"/>
      <c r="J722" s="18" t="s">
        <v>308</v>
      </c>
    </row>
    <row r="723" customFormat="false" ht="15" hidden="false" customHeight="false" outlineLevel="0" collapsed="false">
      <c r="A723" s="18" t="str">
        <f aca="false">IF(ISNUMBER($J723),$J723,"")</f>
        <v/>
      </c>
      <c r="B723" s="18" t="str">
        <f aca="false">IFERROR(INDEX('SALES Raw'!$B$6:$B$4467,MATCH($J723,'SALES Raw'!$J$6:$J$4467,0)),IFERROR(INDEX('CEMIUP0.9 Raw'!$B$6:$B$1712,MATCH($J723,'CEMIUP0.9 Raw'!$B$6:$B$1712,0)),$J723))</f>
        <v>VMSPCS48 0</v>
      </c>
      <c r="C723" s="18" t="str">
        <f aca="false">IF(ISNUMBER($J723),IFERROR(INDEX('TRANS'!$C:$C,MATCH($J723,'TRANS'!$B:$B,0)),IFERROR(INDEX('Catalog'!$B:$B,MATCH($J723,'Catalog'!$A:$A,0)),$B723)),$B723)</f>
        <v>VMSPCS48 0</v>
      </c>
      <c r="D723" s="19" t="n">
        <f aca="false">SUMIFS('SALES Raw'!$C$6:$C$4467,'SALES Raw'!$J$6:$J$4467,$J723,'SALES Raw'!$K$6:$K$4467,"Y")+SUMIFS('CEMIUP0.9 Raw'!$D$6:$D$1712,'CEMIUP0.9 Raw'!$B$6:$B$1712,$J723,'CEMIUP0.9 Raw'!$H$6:$H$1712,"Y")</f>
        <v>0</v>
      </c>
      <c r="E723" s="19" t="n">
        <f aca="false">SUMIFS('SALES Raw'!$D$6:$D$4467,'SALES Raw'!$J$6:$J$4467,$J723,'SALES Raw'!$K$6:$K$4467,"Y")+SUMIFS('CEMIUP0.9 Raw'!$E$6:$E$1712,'CEMIUP0.9 Raw'!$B$6:$B$1712,$J723,'CEMIUP0.9 Raw'!$H$6:$H$1712,"Y")</f>
        <v>0</v>
      </c>
      <c r="F723" s="19" t="n">
        <f aca="false">SUMIFS('SALES Raw'!$E$6:$E$4467,'SALES Raw'!$J$6:$J$4467,$J723,'SALES Raw'!$K$6:$K$4467,"Y")*$H$4+SUMIFS('CEMIUP0.9 Raw'!$F$6:$F$1712,'CEMIUP0.9 Raw'!$B$6:$B$1712,$J723,'CEMIUP0.9 Raw'!$H$6:$H$1712,"Y")</f>
        <v>2.52631578947368</v>
      </c>
      <c r="G723" s="19" t="n">
        <f aca="false">SUMIFS('SALES Raw'!$F$6:$F$4467,'SALES Raw'!$J$6:$J$4467,$J723,'SALES Raw'!$K$6:$K$4467,"Y")*$H$4+SUMIFS('CEMIUP0.9 Raw'!$G$6:$G$1712,'CEMIUP0.9 Raw'!$B$6:$B$1712,$J723,'CEMIUP0.9 Raw'!$H$6:$H$1712,"Y")</f>
        <v>0.0252631578947368</v>
      </c>
      <c r="H723" s="18" t="s">
        <v>42</v>
      </c>
      <c r="I723" s="18"/>
      <c r="J723" s="18" t="s">
        <v>309</v>
      </c>
    </row>
    <row r="724" customFormat="false" ht="15" hidden="false" customHeight="false" outlineLevel="0" collapsed="false">
      <c r="A724" s="18" t="str">
        <f aca="false">IF(ISNUMBER($J724),$J724,"")</f>
        <v/>
      </c>
      <c r="B724" s="18" t="str">
        <f aca="false">IFERROR(INDEX('SALES Raw'!$B$6:$B$4467,MATCH($J724,'SALES Raw'!$J$6:$J$4467,0)),IFERROR(INDEX('CEMIUP0.9 Raw'!$B$6:$B$1712,MATCH($J724,'CEMIUP0.9 Raw'!$B$6:$B$1712,0)),$J724))</f>
        <v>T43V XL</v>
      </c>
      <c r="C724" s="18" t="str">
        <f aca="false">IF(ISNUMBER($J724),IFERROR(INDEX('TRANS'!$C:$C,MATCH($J724,'TRANS'!$B:$B,0)),IFERROR(INDEX('Catalog'!$B:$B,MATCH($J724,'Catalog'!$A:$A,0)),$B724)),$B724)</f>
        <v>T43V XL</v>
      </c>
      <c r="D724" s="19" t="n">
        <f aca="false">SUMIFS('SALES Raw'!$C$6:$C$4467,'SALES Raw'!$J$6:$J$4467,$J724,'SALES Raw'!$K$6:$K$4467,"Y")+SUMIFS('CEMIUP0.9 Raw'!$D$6:$D$1712,'CEMIUP0.9 Raw'!$B$6:$B$1712,$J724,'CEMIUP0.9 Raw'!$H$6:$H$1712,"Y")</f>
        <v>0</v>
      </c>
      <c r="E724" s="19" t="n">
        <f aca="false">SUMIFS('SALES Raw'!$D$6:$D$4467,'SALES Raw'!$J$6:$J$4467,$J724,'SALES Raw'!$K$6:$K$4467,"Y")+SUMIFS('CEMIUP0.9 Raw'!$E$6:$E$1712,'CEMIUP0.9 Raw'!$B$6:$B$1712,$J724,'CEMIUP0.9 Raw'!$H$6:$H$1712,"Y")</f>
        <v>0</v>
      </c>
      <c r="F724" s="19" t="n">
        <f aca="false">SUMIFS('SALES Raw'!$E$6:$E$4467,'SALES Raw'!$J$6:$J$4467,$J724,'SALES Raw'!$K$6:$K$4467,"Y")*$H$4+SUMIFS('CEMIUP0.9 Raw'!$F$6:$F$1712,'CEMIUP0.9 Raw'!$B$6:$B$1712,$J724,'CEMIUP0.9 Raw'!$H$6:$H$1712,"Y")</f>
        <v>2.52631578947368</v>
      </c>
      <c r="G724" s="19" t="n">
        <f aca="false">SUMIFS('SALES Raw'!$F$6:$F$4467,'SALES Raw'!$J$6:$J$4467,$J724,'SALES Raw'!$K$6:$K$4467,"Y")*$H$4+SUMIFS('CEMIUP0.9 Raw'!$G$6:$G$1712,'CEMIUP0.9 Raw'!$B$6:$B$1712,$J724,'CEMIUP0.9 Raw'!$H$6:$H$1712,"Y")</f>
        <v>1748.95578947368</v>
      </c>
      <c r="H724" s="18" t="s">
        <v>42</v>
      </c>
      <c r="I724" s="18"/>
      <c r="J724" s="18" t="s">
        <v>310</v>
      </c>
    </row>
    <row r="725" customFormat="false" ht="15" hidden="false" customHeight="false" outlineLevel="0" collapsed="false">
      <c r="A725" s="18" t="str">
        <f aca="false">IF(ISNUMBER($J725),$J725,"")</f>
        <v/>
      </c>
      <c r="B725" s="18" t="str">
        <f aca="false">IFERROR(INDEX('SALES Raw'!$B$6:$B$4467,MATCH($J725,'SALES Raw'!$J$6:$J$4467,0)),IFERROR(INDEX('CEMIUP0.9 Raw'!$B$6:$B$1712,MATCH($J725,'CEMIUP0.9 Raw'!$B$6:$B$1712,0)),$J725))</f>
        <v>T401 L</v>
      </c>
      <c r="C725" s="18" t="str">
        <f aca="false">IF(ISNUMBER($J725),IFERROR(INDEX('TRANS'!$C:$C,MATCH($J725,'TRANS'!$B:$B,0)),IFERROR(INDEX('Catalog'!$B:$B,MATCH($J725,'Catalog'!$A:$A,0)),$B725)),$B725)</f>
        <v>T401 L</v>
      </c>
      <c r="D725" s="19" t="n">
        <f aca="false">SUMIFS('SALES Raw'!$C$6:$C$4467,'SALES Raw'!$J$6:$J$4467,$J725,'SALES Raw'!$K$6:$K$4467,"Y")+SUMIFS('CEMIUP0.9 Raw'!$D$6:$D$1712,'CEMIUP0.9 Raw'!$B$6:$B$1712,$J725,'CEMIUP0.9 Raw'!$H$6:$H$1712,"Y")</f>
        <v>3</v>
      </c>
      <c r="E725" s="19" t="n">
        <f aca="false">SUMIFS('SALES Raw'!$D$6:$D$4467,'SALES Raw'!$J$6:$J$4467,$J725,'SALES Raw'!$K$6:$K$4467,"Y")+SUMIFS('CEMIUP0.9 Raw'!$E$6:$E$1712,'CEMIUP0.9 Raw'!$B$6:$B$1712,$J725,'CEMIUP0.9 Raw'!$H$6:$H$1712,"Y")</f>
        <v>897.21</v>
      </c>
      <c r="F725" s="19" t="n">
        <f aca="false">SUMIFS('SALES Raw'!$E$6:$E$4467,'SALES Raw'!$J$6:$J$4467,$J725,'SALES Raw'!$K$6:$K$4467,"Y")*$H$4+SUMIFS('CEMIUP0.9 Raw'!$F$6:$F$1712,'CEMIUP0.9 Raw'!$B$6:$B$1712,$J725,'CEMIUP0.9 Raw'!$H$6:$H$1712,"Y")</f>
        <v>2.52631578947368</v>
      </c>
      <c r="G725" s="19" t="n">
        <f aca="false">SUMIFS('SALES Raw'!$F$6:$F$4467,'SALES Raw'!$J$6:$J$4467,$J725,'SALES Raw'!$K$6:$K$4467,"Y")*$H$4+SUMIFS('CEMIUP0.9 Raw'!$G$6:$G$1712,'CEMIUP0.9 Raw'!$B$6:$B$1712,$J725,'CEMIUP0.9 Raw'!$H$6:$H$1712,"Y")</f>
        <v>755.545263157895</v>
      </c>
      <c r="H725" s="18" t="s">
        <v>49</v>
      </c>
      <c r="I725" s="18"/>
      <c r="J725" s="18" t="s">
        <v>311</v>
      </c>
    </row>
    <row r="726" customFormat="false" ht="15" hidden="false" customHeight="false" outlineLevel="0" collapsed="false">
      <c r="A726" s="18" t="n">
        <f aca="false">IF(ISNUMBER($J726),$J726,"")</f>
        <v>4413423</v>
      </c>
      <c r="B726" s="18" t="str">
        <f aca="false">IFERROR(INDEX('SALES Raw'!$B$6:$B$4467,MATCH($J726,'SALES Raw'!$J$6:$J$4467,0)),IFERROR(INDEX('CEMIUP0.9 Raw'!$B$6:$B$1712,MATCH($J726,'CEMIUP0.9 Raw'!$B$6:$B$1712,0)),$J726))</f>
        <v>SC35L XL</v>
      </c>
      <c r="C726" s="18" t="str">
        <f aca="false">IF(ISNUMBER($J726),IFERROR(INDEX('TRANS'!$C:$C,MATCH($J726,'TRANS'!$B:$B,0)),IFERROR(INDEX('Catalog'!$B:$B,MATCH($J726,'Catalog'!$A:$A,0)),$B726)),$B726)</f>
        <v>SC35L XL מגן קרסול שמאל</v>
      </c>
      <c r="D726" s="19" t="n">
        <f aca="false">SUMIFS('SALES Raw'!$C$6:$C$4467,'SALES Raw'!$J$6:$J$4467,$J726,'SALES Raw'!$K$6:$K$4467,"Y")+SUMIFS('CEMIUP0.9 Raw'!$D$6:$D$1712,'CEMIUP0.9 Raw'!$B$6:$B$1712,$J726,'CEMIUP0.9 Raw'!$H$6:$H$1712,"Y")</f>
        <v>9</v>
      </c>
      <c r="E726" s="19" t="n">
        <f aca="false">SUMIFS('SALES Raw'!$D$6:$D$4467,'SALES Raw'!$J$6:$J$4467,$J726,'SALES Raw'!$K$6:$K$4467,"Y")+SUMIFS('CEMIUP0.9 Raw'!$E$6:$E$1712,'CEMIUP0.9 Raw'!$B$6:$B$1712,$J726,'CEMIUP0.9 Raw'!$H$6:$H$1712,"Y")</f>
        <v>793.841</v>
      </c>
      <c r="F726" s="19" t="n">
        <f aca="false">SUMIFS('SALES Raw'!$E$6:$E$4467,'SALES Raw'!$J$6:$J$4467,$J726,'SALES Raw'!$K$6:$K$4467,"Y")*$H$4+SUMIFS('CEMIUP0.9 Raw'!$F$6:$F$1712,'CEMIUP0.9 Raw'!$B$6:$B$1712,$J726,'CEMIUP0.9 Raw'!$H$6:$H$1712,"Y")</f>
        <v>2.52631578947368</v>
      </c>
      <c r="G726" s="19" t="n">
        <f aca="false">SUMIFS('SALES Raw'!$F$6:$F$4467,'SALES Raw'!$J$6:$J$4467,$J726,'SALES Raw'!$K$6:$K$4467,"Y")*$H$4+SUMIFS('CEMIUP0.9 Raw'!$G$6:$G$1712,'CEMIUP0.9 Raw'!$B$6:$B$1712,$J726,'CEMIUP0.9 Raw'!$H$6:$H$1712,"Y")</f>
        <v>299.706947368421</v>
      </c>
      <c r="H726" s="18" t="s">
        <v>42</v>
      </c>
      <c r="I726" s="18" t="s">
        <v>43</v>
      </c>
      <c r="J726" s="18" t="n">
        <v>4413423</v>
      </c>
    </row>
    <row r="727" customFormat="false" ht="15" hidden="false" customHeight="false" outlineLevel="0" collapsed="false">
      <c r="A727" s="18" t="str">
        <f aca="false">IF(ISNUMBER($J727),$J727,"")</f>
        <v/>
      </c>
      <c r="B727" s="18" t="str">
        <f aca="false">IFERROR(INDEX('SALES Raw'!$B$6:$B$4467,MATCH($J727,'SALES Raw'!$J$6:$J$4467,0)),IFERROR(INDEX('CEMIUP0.9 Raw'!$B$6:$B$1712,MATCH($J727,'CEMIUP0.9 Raw'!$B$6:$B$1712,0)),$J727))</f>
        <v>49PS XL</v>
      </c>
      <c r="C727" s="18" t="str">
        <f aca="false">IF(ISNUMBER($J727),IFERROR(INDEX('TRANS'!$C:$C,MATCH($J727,'TRANS'!$B:$B,0)),IFERROR(INDEX('Catalog'!$B:$B,MATCH($J727,'Catalog'!$A:$A,0)),$B727)),$B727)</f>
        <v>49PS XL</v>
      </c>
      <c r="D727" s="19" t="n">
        <f aca="false">SUMIFS('SALES Raw'!$C$6:$C$4467,'SALES Raw'!$J$6:$J$4467,$J727,'SALES Raw'!$K$6:$K$4467,"Y")+SUMIFS('CEMIUP0.9 Raw'!$D$6:$D$1712,'CEMIUP0.9 Raw'!$B$6:$B$1712,$J727,'CEMIUP0.9 Raw'!$H$6:$H$1712,"Y")</f>
        <v>1</v>
      </c>
      <c r="E727" s="19" t="n">
        <f aca="false">SUMIFS('SALES Raw'!$D$6:$D$4467,'SALES Raw'!$J$6:$J$4467,$J727,'SALES Raw'!$K$6:$K$4467,"Y")+SUMIFS('CEMIUP0.9 Raw'!$E$6:$E$1712,'CEMIUP0.9 Raw'!$B$6:$B$1712,$J727,'CEMIUP0.9 Raw'!$H$6:$H$1712,"Y")</f>
        <v>241.44</v>
      </c>
      <c r="F727" s="19" t="n">
        <f aca="false">SUMIFS('SALES Raw'!$E$6:$E$4467,'SALES Raw'!$J$6:$J$4467,$J727,'SALES Raw'!$K$6:$K$4467,"Y")*$H$4+SUMIFS('CEMIUP0.9 Raw'!$F$6:$F$1712,'CEMIUP0.9 Raw'!$B$6:$B$1712,$J727,'CEMIUP0.9 Raw'!$H$6:$H$1712,"Y")</f>
        <v>2.52631578947368</v>
      </c>
      <c r="G727" s="19" t="n">
        <f aca="false">SUMIFS('SALES Raw'!$F$6:$F$4467,'SALES Raw'!$J$6:$J$4467,$J727,'SALES Raw'!$K$6:$K$4467,"Y")*$H$4+SUMIFS('CEMIUP0.9 Raw'!$G$6:$G$1712,'CEMIUP0.9 Raw'!$B$6:$B$1712,$J727,'CEMIUP0.9 Raw'!$H$6:$H$1712,"Y")</f>
        <v>337.364210526316</v>
      </c>
      <c r="H727" s="18" t="s">
        <v>46</v>
      </c>
      <c r="I727" s="18" t="s">
        <v>43</v>
      </c>
      <c r="J727" s="18" t="s">
        <v>312</v>
      </c>
    </row>
    <row r="728" customFormat="false" ht="15" hidden="false" customHeight="false" outlineLevel="0" collapsed="false">
      <c r="A728" s="18" t="str">
        <f aca="false">IF(ISNUMBER($J728),$J728,"")</f>
        <v/>
      </c>
      <c r="B728" s="18" t="str">
        <f aca="false">IFERROR(INDEX('SALES Raw'!$B$6:$B$4467,MATCH($J728,'SALES Raw'!$J$6:$J$4467,0)),IFERROR(INDEX('CEMIUP0.9 Raw'!$B$6:$B$1712,MATCH($J728,'CEMIUP0.9 Raw'!$B$6:$B$1712,0)),$J728))</f>
        <v>87 XS</v>
      </c>
      <c r="C728" s="18" t="str">
        <f aca="false">IF(ISNUMBER($J728),IFERROR(INDEX('TRANS'!$C:$C,MATCH($J728,'TRANS'!$B:$B,0)),IFERROR(INDEX('Catalog'!$B:$B,MATCH($J728,'Catalog'!$A:$A,0)),$B728)),$B728)</f>
        <v>87 XS</v>
      </c>
      <c r="D728" s="19" t="n">
        <f aca="false">SUMIFS('SALES Raw'!$C$6:$C$4467,'SALES Raw'!$J$6:$J$4467,$J728,'SALES Raw'!$K$6:$K$4467,"Y")+SUMIFS('CEMIUP0.9 Raw'!$D$6:$D$1712,'CEMIUP0.9 Raw'!$B$6:$B$1712,$J728,'CEMIUP0.9 Raw'!$H$6:$H$1712,"Y")</f>
        <v>0</v>
      </c>
      <c r="E728" s="19" t="n">
        <f aca="false">SUMIFS('SALES Raw'!$D$6:$D$4467,'SALES Raw'!$J$6:$J$4467,$J728,'SALES Raw'!$K$6:$K$4467,"Y")+SUMIFS('CEMIUP0.9 Raw'!$E$6:$E$1712,'CEMIUP0.9 Raw'!$B$6:$B$1712,$J728,'CEMIUP0.9 Raw'!$H$6:$H$1712,"Y")</f>
        <v>0</v>
      </c>
      <c r="F728" s="19" t="n">
        <f aca="false">SUMIFS('SALES Raw'!$E$6:$E$4467,'SALES Raw'!$J$6:$J$4467,$J728,'SALES Raw'!$K$6:$K$4467,"Y")*$H$4+SUMIFS('CEMIUP0.9 Raw'!$F$6:$F$1712,'CEMIUP0.9 Raw'!$B$6:$B$1712,$J728,'CEMIUP0.9 Raw'!$H$6:$H$1712,"Y")</f>
        <v>2.52631578947368</v>
      </c>
      <c r="G728" s="19" t="n">
        <f aca="false">SUMIFS('SALES Raw'!$F$6:$F$4467,'SALES Raw'!$J$6:$J$4467,$J728,'SALES Raw'!$K$6:$K$4467,"Y")*$H$4+SUMIFS('CEMIUP0.9 Raw'!$G$6:$G$1712,'CEMIUP0.9 Raw'!$B$6:$B$1712,$J728,'CEMIUP0.9 Raw'!$H$6:$H$1712,"Y")</f>
        <v>176.842105263158</v>
      </c>
      <c r="H728" s="18" t="s">
        <v>53</v>
      </c>
      <c r="I728" s="18" t="s">
        <v>48</v>
      </c>
      <c r="J728" s="18" t="s">
        <v>313</v>
      </c>
    </row>
    <row r="729" customFormat="false" ht="15" hidden="false" customHeight="false" outlineLevel="0" collapsed="false">
      <c r="A729" s="18" t="str">
        <f aca="false">IF(ISNUMBER($J729),$J729,"")</f>
        <v/>
      </c>
      <c r="B729" s="18" t="str">
        <f aca="false">IFERROR(INDEX('SALES Raw'!$B$6:$B$4467,MATCH($J729,'SALES Raw'!$J$6:$J$4467,0)),IFERROR(INDEX('CEMIUP0.9 Raw'!$B$6:$B$1712,MATCH($J729,'CEMIUP0.9 Raw'!$B$6:$B$1712,0)),$J729))</f>
        <v>48 S</v>
      </c>
      <c r="C729" s="18" t="str">
        <f aca="false">IF(ISNUMBER($J729),IFERROR(INDEX('TRANS'!$C:$C,MATCH($J729,'TRANS'!$B:$B,0)),IFERROR(INDEX('Catalog'!$B:$B,MATCH($J729,'Catalog'!$A:$A,0)),$B729)),$B729)</f>
        <v>48 S</v>
      </c>
      <c r="D729" s="19" t="n">
        <f aca="false">SUMIFS('SALES Raw'!$C$6:$C$4467,'SALES Raw'!$J$6:$J$4467,$J729,'SALES Raw'!$K$6:$K$4467,"Y")+SUMIFS('CEMIUP0.9 Raw'!$D$6:$D$1712,'CEMIUP0.9 Raw'!$B$6:$B$1712,$J729,'CEMIUP0.9 Raw'!$H$6:$H$1712,"Y")</f>
        <v>2</v>
      </c>
      <c r="E729" s="19" t="n">
        <f aca="false">SUMIFS('SALES Raw'!$D$6:$D$4467,'SALES Raw'!$J$6:$J$4467,$J729,'SALES Raw'!$K$6:$K$4467,"Y")+SUMIFS('CEMIUP0.9 Raw'!$E$6:$E$1712,'CEMIUP0.9 Raw'!$B$6:$B$1712,$J729,'CEMIUP0.9 Raw'!$H$6:$H$1712,"Y")</f>
        <v>113.34</v>
      </c>
      <c r="F729" s="19" t="n">
        <f aca="false">SUMIFS('SALES Raw'!$E$6:$E$4467,'SALES Raw'!$J$6:$J$4467,$J729,'SALES Raw'!$K$6:$K$4467,"Y")*$H$4+SUMIFS('CEMIUP0.9 Raw'!$F$6:$F$1712,'CEMIUP0.9 Raw'!$B$6:$B$1712,$J729,'CEMIUP0.9 Raw'!$H$6:$H$1712,"Y")</f>
        <v>2.52631578947368</v>
      </c>
      <c r="G729" s="19" t="n">
        <f aca="false">SUMIFS('SALES Raw'!$F$6:$F$4467,'SALES Raw'!$J$6:$J$4467,$J729,'SALES Raw'!$K$6:$K$4467,"Y")*$H$4+SUMIFS('CEMIUP0.9 Raw'!$G$6:$G$1712,'CEMIUP0.9 Raw'!$B$6:$B$1712,$J729,'CEMIUP0.9 Raw'!$H$6:$H$1712,"Y")</f>
        <v>143.166315789474</v>
      </c>
      <c r="H729" s="18" t="s">
        <v>43</v>
      </c>
      <c r="I729" s="18" t="s">
        <v>46</v>
      </c>
      <c r="J729" s="18" t="s">
        <v>314</v>
      </c>
    </row>
    <row r="730" customFormat="false" ht="15" hidden="false" customHeight="false" outlineLevel="0" collapsed="false">
      <c r="A730" s="18" t="n">
        <f aca="false">IF(ISNUMBER($J730),$J730,"")</f>
        <v>4413089</v>
      </c>
      <c r="B730" s="18" t="str">
        <f aca="false">IFERROR(INDEX('SALES Raw'!$B$6:$B$4467,MATCH($J730,'SALES Raw'!$J$6:$J$4467,0)),IFERROR(INDEX('CEMIUP0.9 Raw'!$B$6:$B$1712,MATCH($J730,'CEMIUP0.9 Raw'!$B$6:$B$1712,0)),$J730))</f>
        <v>422 S</v>
      </c>
      <c r="C730" s="18" t="str">
        <f aca="false">IF(ISNUMBER($J730),IFERROR(INDEX('TRANS'!$C:$C,MATCH($J730,'TRANS'!$B:$B,0)),IFERROR(INDEX('Catalog'!$B:$B,MATCH($J730,'Catalog'!$A:$A,0)),$B730)),$B730)</f>
        <v>422 Sמ.ברך+כרית סיל.סביב לפיקה</v>
      </c>
      <c r="D730" s="19" t="n">
        <f aca="false">SUMIFS('SALES Raw'!$C$6:$C$4467,'SALES Raw'!$J$6:$J$4467,$J730,'SALES Raw'!$K$6:$K$4467,"Y")+SUMIFS('CEMIUP0.9 Raw'!$D$6:$D$1712,'CEMIUP0.9 Raw'!$B$6:$B$1712,$J730,'CEMIUP0.9 Raw'!$H$6:$H$1712,"Y")</f>
        <v>1</v>
      </c>
      <c r="E730" s="19" t="n">
        <f aca="false">SUMIFS('SALES Raw'!$D$6:$D$4467,'SALES Raw'!$J$6:$J$4467,$J730,'SALES Raw'!$K$6:$K$4467,"Y")+SUMIFS('CEMIUP0.9 Raw'!$E$6:$E$1712,'CEMIUP0.9 Raw'!$B$6:$B$1712,$J730,'CEMIUP0.9 Raw'!$H$6:$H$1712,"Y")</f>
        <v>187.45</v>
      </c>
      <c r="F730" s="19" t="n">
        <f aca="false">SUMIFS('SALES Raw'!$E$6:$E$4467,'SALES Raw'!$J$6:$J$4467,$J730,'SALES Raw'!$K$6:$K$4467,"Y")*$H$4+SUMIFS('CEMIUP0.9 Raw'!$F$6:$F$1712,'CEMIUP0.9 Raw'!$B$6:$B$1712,$J730,'CEMIUP0.9 Raw'!$H$6:$H$1712,"Y")</f>
        <v>2.52631578947368</v>
      </c>
      <c r="G730" s="19" t="n">
        <f aca="false">SUMIFS('SALES Raw'!$F$6:$F$4467,'SALES Raw'!$J$6:$J$4467,$J730,'SALES Raw'!$K$6:$K$4467,"Y")*$H$4+SUMIFS('CEMIUP0.9 Raw'!$G$6:$G$1712,'CEMIUP0.9 Raw'!$B$6:$B$1712,$J730,'CEMIUP0.9 Raw'!$H$6:$H$1712,"Y")</f>
        <v>402.200842105263</v>
      </c>
      <c r="H730" s="18" t="s">
        <v>43</v>
      </c>
      <c r="I730" s="18" t="s">
        <v>44</v>
      </c>
      <c r="J730" s="18" t="n">
        <v>4413089</v>
      </c>
    </row>
    <row r="731" customFormat="false" ht="15" hidden="false" customHeight="false" outlineLevel="0" collapsed="false">
      <c r="A731" s="18" t="n">
        <f aca="false">IF(ISNUMBER($J731),$J731,"")</f>
        <v>4413079</v>
      </c>
      <c r="B731" s="18" t="str">
        <f aca="false">IFERROR(INDEX('SALES Raw'!$B$6:$B$4467,MATCH($J731,'SALES Raw'!$J$6:$J$4467,0)),IFERROR(INDEX('CEMIUP0.9 Raw'!$B$6:$B$1712,MATCH($J731,'CEMIUP0.9 Raw'!$B$6:$B$1712,0)),$J731))</f>
        <v>41X XL</v>
      </c>
      <c r="C731" s="18" t="str">
        <f aca="false">IF(ISNUMBER($J731),IFERROR(INDEX('TRANS'!$C:$C,MATCH($J731,'TRANS'!$B:$B,0)),IFERROR(INDEX('Catalog'!$B:$B,MATCH($J731,'Catalog'!$A:$A,0)),$B731)),$B731)</f>
        <v>41X XL מגן ברך מוצלב+מוט</v>
      </c>
      <c r="D731" s="19" t="n">
        <f aca="false">SUMIFS('SALES Raw'!$C$6:$C$4467,'SALES Raw'!$J$6:$J$4467,$J731,'SALES Raw'!$K$6:$K$4467,"Y")+SUMIFS('CEMIUP0.9 Raw'!$D$6:$D$1712,'CEMIUP0.9 Raw'!$B$6:$B$1712,$J731,'CEMIUP0.9 Raw'!$H$6:$H$1712,"Y")</f>
        <v>2</v>
      </c>
      <c r="E731" s="19" t="n">
        <f aca="false">SUMIFS('SALES Raw'!$D$6:$D$4467,'SALES Raw'!$J$6:$J$4467,$J731,'SALES Raw'!$K$6:$K$4467,"Y")+SUMIFS('CEMIUP0.9 Raw'!$E$6:$E$1712,'CEMIUP0.9 Raw'!$B$6:$B$1712,$J731,'CEMIUP0.9 Raw'!$H$6:$H$1712,"Y")</f>
        <v>241.439</v>
      </c>
      <c r="F731" s="19" t="n">
        <f aca="false">SUMIFS('SALES Raw'!$E$6:$E$4467,'SALES Raw'!$J$6:$J$4467,$J731,'SALES Raw'!$K$6:$K$4467,"Y")*$H$4+SUMIFS('CEMIUP0.9 Raw'!$F$6:$F$1712,'CEMIUP0.9 Raw'!$B$6:$B$1712,$J731,'CEMIUP0.9 Raw'!$H$6:$H$1712,"Y")</f>
        <v>2.52631578947368</v>
      </c>
      <c r="G731" s="19" t="n">
        <f aca="false">SUMIFS('SALES Raw'!$F$6:$F$4467,'SALES Raw'!$J$6:$J$4467,$J731,'SALES Raw'!$K$6:$K$4467,"Y")*$H$4+SUMIFS('CEMIUP0.9 Raw'!$G$6:$G$1712,'CEMIUP0.9 Raw'!$B$6:$B$1712,$J731,'CEMIUP0.9 Raw'!$H$6:$H$1712,"Y")</f>
        <v>301.966736842105</v>
      </c>
      <c r="H731" s="18" t="s">
        <v>43</v>
      </c>
      <c r="I731" s="18" t="s">
        <v>53</v>
      </c>
      <c r="J731" s="18" t="n">
        <v>4413079</v>
      </c>
    </row>
    <row r="732" customFormat="false" ht="15" hidden="false" customHeight="false" outlineLevel="0" collapsed="false">
      <c r="A732" s="18" t="n">
        <f aca="false">IF(ISNUMBER($J732),$J732,"")</f>
        <v>4403021</v>
      </c>
      <c r="B732" s="18" t="n">
        <f aca="false">IFERROR(INDEX('SALES Raw'!$B$6:$B$4467,MATCH($J732,'SALES Raw'!$J$6:$J$4467,0)),IFERROR(INDEX('CEMIUP0.9 Raw'!$B$6:$B$1712,MATCH($J732,'CEMIUP0.9 Raw'!$B$6:$B$1712,0)),$J732))</f>
        <v>4403021</v>
      </c>
      <c r="C732" s="18" t="str">
        <f aca="false">IF(ISNUMBER($J732),IFERROR(INDEX('TRANS'!$C:$C,MATCH($J732,'TRANS'!$B:$B,0)),IFERROR(INDEX('Catalog'!$B:$B,MATCH($J732,'Catalog'!$A:$A,0)),$B732)),$B732)</f>
        <v>394G גרב.כסף לסכרתים אפור39-42</v>
      </c>
      <c r="D732" s="19" t="n">
        <f aca="false">SUMIFS('SALES Raw'!$C$6:$C$4467,'SALES Raw'!$J$6:$J$4467,$J732,'SALES Raw'!$K$6:$K$4467,"Y")+SUMIFS('CEMIUP0.9 Raw'!$D$6:$D$1712,'CEMIUP0.9 Raw'!$B$6:$B$1712,$J732,'CEMIUP0.9 Raw'!$H$6:$H$1712,"Y")</f>
        <v>44</v>
      </c>
      <c r="E732" s="19" t="n">
        <f aca="false">SUMIFS('SALES Raw'!$D$6:$D$4467,'SALES Raw'!$J$6:$J$4467,$J732,'SALES Raw'!$K$6:$K$4467,"Y")+SUMIFS('CEMIUP0.9 Raw'!$E$6:$E$1712,'CEMIUP0.9 Raw'!$B$6:$B$1712,$J732,'CEMIUP0.9 Raw'!$H$6:$H$1712,"Y")</f>
        <v>1035.525</v>
      </c>
      <c r="F732" s="19" t="n">
        <f aca="false">SUMIFS('SALES Raw'!$E$6:$E$4467,'SALES Raw'!$J$6:$J$4467,$J732,'SALES Raw'!$K$6:$K$4467,"Y")*$H$4+SUMIFS('CEMIUP0.9 Raw'!$F$6:$F$1712,'CEMIUP0.9 Raw'!$B$6:$B$1712,$J732,'CEMIUP0.9 Raw'!$H$6:$H$1712,"Y")</f>
        <v>2.52631578947368</v>
      </c>
      <c r="G732" s="19" t="n">
        <f aca="false">SUMIFS('SALES Raw'!$F$6:$F$4467,'SALES Raw'!$J$6:$J$4467,$J732,'SALES Raw'!$K$6:$K$4467,"Y")*$H$4+SUMIFS('CEMIUP0.9 Raw'!$G$6:$G$1712,'CEMIUP0.9 Raw'!$B$6:$B$1712,$J732,'CEMIUP0.9 Raw'!$H$6:$H$1712,"Y")</f>
        <v>70.9642105263158</v>
      </c>
      <c r="H732" s="18" t="s">
        <v>43</v>
      </c>
      <c r="I732" s="18"/>
      <c r="J732" s="18" t="n">
        <v>4403021</v>
      </c>
    </row>
    <row r="733" customFormat="false" ht="15" hidden="false" customHeight="false" outlineLevel="0" collapsed="false">
      <c r="A733" s="18" t="n">
        <f aca="false">IF(ISNUMBER($J733),$J733,"")</f>
        <v>4420018</v>
      </c>
      <c r="B733" s="18" t="n">
        <f aca="false">IFERROR(INDEX('SALES Raw'!$B$6:$B$4467,MATCH($J733,'SALES Raw'!$J$6:$J$4467,0)),IFERROR(INDEX('CEMIUP0.9 Raw'!$B$6:$B$1712,MATCH($J733,'CEMIUP0.9 Raw'!$B$6:$B$1712,0)),$J733))</f>
        <v>4420018</v>
      </c>
      <c r="C733" s="18" t="str">
        <f aca="false">IF(ISNUMBER($J733),IFERROR(INDEX('TRANS'!$C:$C,MATCH($J733,'TRANS'!$B:$B,0)),IFERROR(INDEX('Catalog'!$B:$B,MATCH($J733,'Catalog'!$A:$A,0)),$B733)),$B733)</f>
        <v>T90 רצועת טניס אלבו עם פלסטיק</v>
      </c>
      <c r="D733" s="19" t="n">
        <f aca="false">SUMIFS('SALES Raw'!$C$6:$C$4467,'SALES Raw'!$J$6:$J$4467,$J733,'SALES Raw'!$K$6:$K$4467,"Y")+SUMIFS('CEMIUP0.9 Raw'!$D$6:$D$1712,'CEMIUP0.9 Raw'!$B$6:$B$1712,$J733,'CEMIUP0.9 Raw'!$H$6:$H$1712,"Y")</f>
        <v>62</v>
      </c>
      <c r="E733" s="19" t="n">
        <f aca="false">SUMIFS('SALES Raw'!$D$6:$D$4467,'SALES Raw'!$J$6:$J$4467,$J733,'SALES Raw'!$K$6:$K$4467,"Y")+SUMIFS('CEMIUP0.9 Raw'!$E$6:$E$1712,'CEMIUP0.9 Raw'!$B$6:$B$1712,$J733,'CEMIUP0.9 Raw'!$H$6:$H$1712,"Y")</f>
        <v>4776.667</v>
      </c>
      <c r="F733" s="19" t="n">
        <f aca="false">SUMIFS('SALES Raw'!$E$6:$E$4467,'SALES Raw'!$J$6:$J$4467,$J733,'SALES Raw'!$K$6:$K$4467,"Y")*$H$4+SUMIFS('CEMIUP0.9 Raw'!$F$6:$F$1712,'CEMIUP0.9 Raw'!$B$6:$B$1712,$J733,'CEMIUP0.9 Raw'!$H$6:$H$1712,"Y")</f>
        <v>2.52631578947368</v>
      </c>
      <c r="G733" s="19" t="n">
        <f aca="false">SUMIFS('SALES Raw'!$F$6:$F$4467,'SALES Raw'!$J$6:$J$4467,$J733,'SALES Raw'!$K$6:$K$4467,"Y")*$H$4+SUMIFS('CEMIUP0.9 Raw'!$G$6:$G$1712,'CEMIUP0.9 Raw'!$B$6:$B$1712,$J733,'CEMIUP0.9 Raw'!$H$6:$H$1712,"Y")</f>
        <v>133.224</v>
      </c>
      <c r="H733" s="18" t="s">
        <v>48</v>
      </c>
      <c r="I733" s="18" t="s">
        <v>43</v>
      </c>
      <c r="J733" s="18" t="n">
        <v>4420018</v>
      </c>
    </row>
    <row r="734" customFormat="false" ht="15" hidden="false" customHeight="false" outlineLevel="0" collapsed="false">
      <c r="A734" s="18" t="str">
        <f aca="false">IF(ISNUMBER($J734),$J734,"")</f>
        <v/>
      </c>
      <c r="B734" s="18" t="str">
        <f aca="false">IFERROR(INDEX('SALES Raw'!$B$6:$B$4467,MATCH($J734,'SALES Raw'!$J$6:$J$4467,0)),IFERROR(INDEX('CEMIUP0.9 Raw'!$B$6:$B$1712,MATCH($J734,'CEMIUP0.9 Raw'!$B$6:$B$1712,0)),$J734))</f>
        <v>07AU M ח.גב ""איטלקית"" אורירית</v>
      </c>
      <c r="C734" s="18" t="str">
        <f aca="false">IF(ISNUMBER($J734),IFERROR(INDEX('TRANS'!$C:$C,MATCH($J734,'TRANS'!$B:$B,0)),IFERROR(INDEX('Catalog'!$B:$B,MATCH($J734,'Catalog'!$A:$A,0)),$B734)),$B734)</f>
        <v>07AU M ח.גב ""איטלקית"" אורירית</v>
      </c>
      <c r="D734" s="19" t="n">
        <f aca="false">SUMIFS('SALES Raw'!$C$6:$C$4467,'SALES Raw'!$J$6:$J$4467,$J734,'SALES Raw'!$K$6:$K$4467,"Y")+SUMIFS('CEMIUP0.9 Raw'!$D$6:$D$1712,'CEMIUP0.9 Raw'!$B$6:$B$1712,$J734,'CEMIUP0.9 Raw'!$H$6:$H$1712,"Y")</f>
        <v>0</v>
      </c>
      <c r="E734" s="19" t="n">
        <f aca="false">SUMIFS('SALES Raw'!$D$6:$D$4467,'SALES Raw'!$J$6:$J$4467,$J734,'SALES Raw'!$K$6:$K$4467,"Y")+SUMIFS('CEMIUP0.9 Raw'!$E$6:$E$1712,'CEMIUP0.9 Raw'!$B$6:$B$1712,$J734,'CEMIUP0.9 Raw'!$H$6:$H$1712,"Y")</f>
        <v>0</v>
      </c>
      <c r="F734" s="19" t="n">
        <f aca="false">SUMIFS('SALES Raw'!$E$6:$E$4467,'SALES Raw'!$J$6:$J$4467,$J734,'SALES Raw'!$K$6:$K$4467,"Y")*$H$4+SUMIFS('CEMIUP0.9 Raw'!$F$6:$F$1712,'CEMIUP0.9 Raw'!$B$6:$B$1712,$J734,'CEMIUP0.9 Raw'!$H$6:$H$1712,"Y")</f>
        <v>2.52631578947368</v>
      </c>
      <c r="G734" s="19" t="n">
        <f aca="false">SUMIFS('SALES Raw'!$F$6:$F$4467,'SALES Raw'!$J$6:$J$4467,$J734,'SALES Raw'!$K$6:$K$4467,"Y")*$H$4+SUMIFS('CEMIUP0.9 Raw'!$G$6:$G$1712,'CEMIUP0.9 Raw'!$B$6:$B$1712,$J734,'CEMIUP0.9 Raw'!$H$6:$H$1712,"Y")</f>
        <v>403.465263157895</v>
      </c>
      <c r="H734" s="18" t="s">
        <v>48</v>
      </c>
      <c r="I734" s="18"/>
      <c r="J734" s="18" t="s">
        <v>315</v>
      </c>
    </row>
    <row r="735" customFormat="false" ht="15" hidden="false" customHeight="false" outlineLevel="0" collapsed="false">
      <c r="A735" s="18" t="str">
        <f aca="false">IF(ISNUMBER($J735),$J735,"")</f>
        <v/>
      </c>
      <c r="B735" s="18" t="str">
        <f aca="false">IFERROR(INDEX('SALES Raw'!$B$6:$B$4467,MATCH($J735,'SALES Raw'!$J$6:$J$4467,0)),IFERROR(INDEX('CEMIUP0.9 Raw'!$B$6:$B$1712,MATCH($J735,'CEMIUP0.9 Raw'!$B$6:$B$1712,0)),$J735))</f>
        <v>11 S""חגורת בטן""אורירית</v>
      </c>
      <c r="C735" s="18" t="str">
        <f aca="false">IF(ISNUMBER($J735),IFERROR(INDEX('TRANS'!$C:$C,MATCH($J735,'TRANS'!$B:$B,0)),IFERROR(INDEX('Catalog'!$B:$B,MATCH($J735,'Catalog'!$A:$A,0)),$B735)),$B735)</f>
        <v>11 S""חגורת בטן""אורירית</v>
      </c>
      <c r="D735" s="19" t="n">
        <f aca="false">SUMIFS('SALES Raw'!$C$6:$C$4467,'SALES Raw'!$J$6:$J$4467,$J735,'SALES Raw'!$K$6:$K$4467,"Y")+SUMIFS('CEMIUP0.9 Raw'!$D$6:$D$1712,'CEMIUP0.9 Raw'!$B$6:$B$1712,$J735,'CEMIUP0.9 Raw'!$H$6:$H$1712,"Y")</f>
        <v>0</v>
      </c>
      <c r="E735" s="19" t="n">
        <f aca="false">SUMIFS('SALES Raw'!$D$6:$D$4467,'SALES Raw'!$J$6:$J$4467,$J735,'SALES Raw'!$K$6:$K$4467,"Y")+SUMIFS('CEMIUP0.9 Raw'!$E$6:$E$1712,'CEMIUP0.9 Raw'!$B$6:$B$1712,$J735,'CEMIUP0.9 Raw'!$H$6:$H$1712,"Y")</f>
        <v>0</v>
      </c>
      <c r="F735" s="19" t="n">
        <f aca="false">SUMIFS('SALES Raw'!$E$6:$E$4467,'SALES Raw'!$J$6:$J$4467,$J735,'SALES Raw'!$K$6:$K$4467,"Y")*$H$4+SUMIFS('CEMIUP0.9 Raw'!$F$6:$F$1712,'CEMIUP0.9 Raw'!$B$6:$B$1712,$J735,'CEMIUP0.9 Raw'!$H$6:$H$1712,"Y")</f>
        <v>2.52631578947368</v>
      </c>
      <c r="G735" s="19" t="n">
        <f aca="false">SUMIFS('SALES Raw'!$F$6:$F$4467,'SALES Raw'!$J$6:$J$4467,$J735,'SALES Raw'!$K$6:$K$4467,"Y")*$H$4+SUMIFS('CEMIUP0.9 Raw'!$G$6:$G$1712,'CEMIUP0.9 Raw'!$B$6:$B$1712,$J735,'CEMIUP0.9 Raw'!$H$6:$H$1712,"Y")</f>
        <v>166.328842105263</v>
      </c>
      <c r="H735" s="18" t="s">
        <v>48</v>
      </c>
      <c r="I735" s="18"/>
      <c r="J735" s="18" t="s">
        <v>316</v>
      </c>
    </row>
    <row r="736" customFormat="false" ht="15" hidden="false" customHeight="false" outlineLevel="0" collapsed="false">
      <c r="A736" s="18" t="str">
        <f aca="false">IF(ISNUMBER($J736),$J736,"")</f>
        <v/>
      </c>
      <c r="B736" s="18" t="str">
        <f aca="false">IFERROR(INDEX('SALES Raw'!$B$6:$B$4467,MATCH($J736,'SALES Raw'!$J$6:$J$4467,0)),IFERROR(INDEX('CEMIUP0.9 Raw'!$B$6:$B$1712,MATCH($J736,'CEMIUP0.9 Raw'!$B$6:$B$1712,0)),$J736))</f>
        <v>15W XL</v>
      </c>
      <c r="C736" s="18" t="str">
        <f aca="false">IF(ISNUMBER($J736),IFERROR(INDEX('TRANS'!$C:$C,MATCH($J736,'TRANS'!$B:$B,0)),IFERROR(INDEX('Catalog'!$B:$B,MATCH($J736,'Catalog'!$A:$A,0)),$B736)),$B736)</f>
        <v>15W XL</v>
      </c>
      <c r="D736" s="19" t="n">
        <f aca="false">SUMIFS('SALES Raw'!$C$6:$C$4467,'SALES Raw'!$J$6:$J$4467,$J736,'SALES Raw'!$K$6:$K$4467,"Y")+SUMIFS('CEMIUP0.9 Raw'!$D$6:$D$1712,'CEMIUP0.9 Raw'!$B$6:$B$1712,$J736,'CEMIUP0.9 Raw'!$H$6:$H$1712,"Y")</f>
        <v>6</v>
      </c>
      <c r="E736" s="19" t="n">
        <f aca="false">SUMIFS('SALES Raw'!$D$6:$D$4467,'SALES Raw'!$J$6:$J$4467,$J736,'SALES Raw'!$K$6:$K$4467,"Y")+SUMIFS('CEMIUP0.9 Raw'!$E$6:$E$1712,'CEMIUP0.9 Raw'!$B$6:$B$1712,$J736,'CEMIUP0.9 Raw'!$H$6:$H$1712,"Y")</f>
        <v>992.37</v>
      </c>
      <c r="F736" s="19" t="n">
        <f aca="false">SUMIFS('SALES Raw'!$E$6:$E$4467,'SALES Raw'!$J$6:$J$4467,$J736,'SALES Raw'!$K$6:$K$4467,"Y")*$H$4+SUMIFS('CEMIUP0.9 Raw'!$F$6:$F$1712,'CEMIUP0.9 Raw'!$B$6:$B$1712,$J736,'CEMIUP0.9 Raw'!$H$6:$H$1712,"Y")</f>
        <v>1.26315789473684</v>
      </c>
      <c r="G736" s="19" t="n">
        <f aca="false">SUMIFS('SALES Raw'!$F$6:$F$4467,'SALES Raw'!$J$6:$J$4467,$J736,'SALES Raw'!$K$6:$K$4467,"Y")*$H$4+SUMIFS('CEMIUP0.9 Raw'!$G$6:$G$1712,'CEMIUP0.9 Raw'!$B$6:$B$1712,$J736,'CEMIUP0.9 Raw'!$H$6:$H$1712,"Y")</f>
        <v>288.934736842105</v>
      </c>
      <c r="H736" s="18" t="s">
        <v>42</v>
      </c>
      <c r="I736" s="18" t="s">
        <v>46</v>
      </c>
      <c r="J736" s="18" t="s">
        <v>317</v>
      </c>
    </row>
    <row r="737" customFormat="false" ht="15" hidden="false" customHeight="false" outlineLevel="0" collapsed="false">
      <c r="A737" s="18" t="str">
        <f aca="false">IF(ISNUMBER($J737),$J737,"")</f>
        <v/>
      </c>
      <c r="B737" s="18" t="str">
        <f aca="false">IFERROR(INDEX('SALES Raw'!$B$6:$B$4467,MATCH($J737,'SALES Raw'!$J$6:$J$4467,0)),IFERROR(INDEX('CEMIUP0.9 Raw'!$B$6:$B$1712,MATCH($J737,'CEMIUP0.9 Raw'!$B$6:$B$1712,0)),$J737))</f>
        <v>15W XXL</v>
      </c>
      <c r="C737" s="18" t="str">
        <f aca="false">IF(ISNUMBER($J737),IFERROR(INDEX('TRANS'!$C:$C,MATCH($J737,'TRANS'!$B:$B,0)),IFERROR(INDEX('Catalog'!$B:$B,MATCH($J737,'Catalog'!$A:$A,0)),$B737)),$B737)</f>
        <v>15W XXL</v>
      </c>
      <c r="D737" s="19" t="n">
        <f aca="false">SUMIFS('SALES Raw'!$C$6:$C$4467,'SALES Raw'!$J$6:$J$4467,$J737,'SALES Raw'!$K$6:$K$4467,"Y")+SUMIFS('CEMIUP0.9 Raw'!$D$6:$D$1712,'CEMIUP0.9 Raw'!$B$6:$B$1712,$J737,'CEMIUP0.9 Raw'!$H$6:$H$1712,"Y")</f>
        <v>2</v>
      </c>
      <c r="E737" s="19" t="n">
        <f aca="false">SUMIFS('SALES Raw'!$D$6:$D$4467,'SALES Raw'!$J$6:$J$4467,$J737,'SALES Raw'!$K$6:$K$4467,"Y")+SUMIFS('CEMIUP0.9 Raw'!$E$6:$E$1712,'CEMIUP0.9 Raw'!$B$6:$B$1712,$J737,'CEMIUP0.9 Raw'!$H$6:$H$1712,"Y")</f>
        <v>281.14</v>
      </c>
      <c r="F737" s="19" t="n">
        <f aca="false">SUMIFS('SALES Raw'!$E$6:$E$4467,'SALES Raw'!$J$6:$J$4467,$J737,'SALES Raw'!$K$6:$K$4467,"Y")*$H$4+SUMIFS('CEMIUP0.9 Raw'!$F$6:$F$1712,'CEMIUP0.9 Raw'!$B$6:$B$1712,$J737,'CEMIUP0.9 Raw'!$H$6:$H$1712,"Y")</f>
        <v>1.26315789473684</v>
      </c>
      <c r="G737" s="19" t="n">
        <f aca="false">SUMIFS('SALES Raw'!$F$6:$F$4467,'SALES Raw'!$J$6:$J$4467,$J737,'SALES Raw'!$K$6:$K$4467,"Y")*$H$4+SUMIFS('CEMIUP0.9 Raw'!$G$6:$G$1712,'CEMIUP0.9 Raw'!$B$6:$B$1712,$J737,'CEMIUP0.9 Raw'!$H$6:$H$1712,"Y")</f>
        <v>288.922105263158</v>
      </c>
      <c r="H737" s="18" t="s">
        <v>42</v>
      </c>
      <c r="I737" s="18" t="s">
        <v>46</v>
      </c>
      <c r="J737" s="18" t="s">
        <v>318</v>
      </c>
    </row>
    <row r="738" customFormat="false" ht="15" hidden="false" customHeight="false" outlineLevel="0" collapsed="false">
      <c r="A738" s="18" t="str">
        <f aca="false">IF(ISNUMBER($J738),$J738,"")</f>
        <v/>
      </c>
      <c r="B738" s="18" t="str">
        <f aca="false">IFERROR(INDEX('SALES Raw'!$B$6:$B$4467,MATCH($J738,'SALES Raw'!$J$6:$J$4467,0)),IFERROR(INDEX('CEMIUP0.9 Raw'!$B$6:$B$1712,MATCH($J738,'CEMIUP0.9 Raw'!$B$6:$B$1712,0)),$J738))</f>
        <v>30 XL</v>
      </c>
      <c r="C738" s="18" t="str">
        <f aca="false">IF(ISNUMBER($J738),IFERROR(INDEX('TRANS'!$C:$C,MATCH($J738,'TRANS'!$B:$B,0)),IFERROR(INDEX('Catalog'!$B:$B,MATCH($J738,'Catalog'!$A:$A,0)),$B738)),$B738)</f>
        <v>30 XL</v>
      </c>
      <c r="D738" s="19" t="n">
        <f aca="false">SUMIFS('SALES Raw'!$C$6:$C$4467,'SALES Raw'!$J$6:$J$4467,$J738,'SALES Raw'!$K$6:$K$4467,"Y")+SUMIFS('CEMIUP0.9 Raw'!$D$6:$D$1712,'CEMIUP0.9 Raw'!$B$6:$B$1712,$J738,'CEMIUP0.9 Raw'!$H$6:$H$1712,"Y")</f>
        <v>11</v>
      </c>
      <c r="E738" s="19" t="n">
        <f aca="false">SUMIFS('SALES Raw'!$D$6:$D$4467,'SALES Raw'!$J$6:$J$4467,$J738,'SALES Raw'!$K$6:$K$4467,"Y")+SUMIFS('CEMIUP0.9 Raw'!$E$6:$E$1712,'CEMIUP0.9 Raw'!$B$6:$B$1712,$J738,'CEMIUP0.9 Raw'!$H$6:$H$1712,"Y")</f>
        <v>914.86</v>
      </c>
      <c r="F738" s="19" t="n">
        <f aca="false">SUMIFS('SALES Raw'!$E$6:$E$4467,'SALES Raw'!$J$6:$J$4467,$J738,'SALES Raw'!$K$6:$K$4467,"Y")*$H$4+SUMIFS('CEMIUP0.9 Raw'!$F$6:$F$1712,'CEMIUP0.9 Raw'!$B$6:$B$1712,$J738,'CEMIUP0.9 Raw'!$H$6:$H$1712,"Y")</f>
        <v>1.26315789473684</v>
      </c>
      <c r="G738" s="19" t="n">
        <f aca="false">SUMIFS('SALES Raw'!$F$6:$F$4467,'SALES Raw'!$J$6:$J$4467,$J738,'SALES Raw'!$K$6:$K$4467,"Y")*$H$4+SUMIFS('CEMIUP0.9 Raw'!$G$6:$G$1712,'CEMIUP0.9 Raw'!$B$6:$B$1712,$J738,'CEMIUP0.9 Raw'!$H$6:$H$1712,"Y")</f>
        <v>84.0126315789474</v>
      </c>
      <c r="H738" s="18" t="s">
        <v>44</v>
      </c>
      <c r="I738" s="18" t="s">
        <v>46</v>
      </c>
      <c r="J738" s="18" t="s">
        <v>319</v>
      </c>
    </row>
    <row r="739" customFormat="false" ht="15" hidden="false" customHeight="false" outlineLevel="0" collapsed="false">
      <c r="A739" s="18" t="str">
        <f aca="false">IF(ISNUMBER($J739),$J739,"")</f>
        <v/>
      </c>
      <c r="B739" s="18" t="str">
        <f aca="false">IFERROR(INDEX('SALES Raw'!$B$6:$B$4467,MATCH($J739,'SALES Raw'!$J$6:$J$4467,0)),IFERROR(INDEX('CEMIUP0.9 Raw'!$B$6:$B$1712,MATCH($J739,'CEMIUP0.9 Raw'!$B$6:$B$1712,0)),$J739))</f>
        <v>T49 XL</v>
      </c>
      <c r="C739" s="18" t="str">
        <f aca="false">IF(ISNUMBER($J739),IFERROR(INDEX('TRANS'!$C:$C,MATCH($J739,'TRANS'!$B:$B,0)),IFERROR(INDEX('Catalog'!$B:$B,MATCH($J739,'Catalog'!$A:$A,0)),$B739)),$B739)</f>
        <v>T49 XL</v>
      </c>
      <c r="D739" s="19" t="n">
        <f aca="false">SUMIFS('SALES Raw'!$C$6:$C$4467,'SALES Raw'!$J$6:$J$4467,$J739,'SALES Raw'!$K$6:$K$4467,"Y")+SUMIFS('CEMIUP0.9 Raw'!$D$6:$D$1712,'CEMIUP0.9 Raw'!$B$6:$B$1712,$J739,'CEMIUP0.9 Raw'!$H$6:$H$1712,"Y")</f>
        <v>2</v>
      </c>
      <c r="E739" s="19" t="n">
        <f aca="false">SUMIFS('SALES Raw'!$D$6:$D$4467,'SALES Raw'!$J$6:$J$4467,$J739,'SALES Raw'!$K$6:$K$4467,"Y")+SUMIFS('CEMIUP0.9 Raw'!$E$6:$E$1712,'CEMIUP0.9 Raw'!$B$6:$B$1712,$J739,'CEMIUP0.9 Raw'!$H$6:$H$1712,"Y")</f>
        <v>162.33</v>
      </c>
      <c r="F739" s="19" t="n">
        <f aca="false">SUMIFS('SALES Raw'!$E$6:$E$4467,'SALES Raw'!$J$6:$J$4467,$J739,'SALES Raw'!$K$6:$K$4467,"Y")*$H$4+SUMIFS('CEMIUP0.9 Raw'!$F$6:$F$1712,'CEMIUP0.9 Raw'!$B$6:$B$1712,$J739,'CEMIUP0.9 Raw'!$H$6:$H$1712,"Y")</f>
        <v>1.26315789473684</v>
      </c>
      <c r="G739" s="19" t="n">
        <f aca="false">SUMIFS('SALES Raw'!$F$6:$F$4467,'SALES Raw'!$J$6:$J$4467,$J739,'SALES Raw'!$K$6:$K$4467,"Y")*$H$4+SUMIFS('CEMIUP0.9 Raw'!$G$6:$G$1712,'CEMIUP0.9 Raw'!$B$6:$B$1712,$J739,'CEMIUP0.9 Raw'!$H$6:$H$1712,"Y")</f>
        <v>107.696842105263</v>
      </c>
      <c r="H739" s="18" t="s">
        <v>46</v>
      </c>
      <c r="I739" s="18" t="s">
        <v>44</v>
      </c>
      <c r="J739" s="18" t="s">
        <v>320</v>
      </c>
    </row>
    <row r="740" customFormat="false" ht="15" hidden="false" customHeight="false" outlineLevel="0" collapsed="false">
      <c r="A740" s="18" t="str">
        <f aca="false">IF(ISNUMBER($J740),$J740,"")</f>
        <v/>
      </c>
      <c r="B740" s="18" t="str">
        <f aca="false">IFERROR(INDEX('SALES Raw'!$B$6:$B$4467,MATCH($J740,'SALES Raw'!$J$6:$J$4467,0)),IFERROR(INDEX('CEMIUP0.9 Raw'!$B$6:$B$1712,MATCH($J740,'CEMIUP0.9 Raw'!$B$6:$B$1712,0)),$J740))</f>
        <v>78A L</v>
      </c>
      <c r="C740" s="18" t="str">
        <f aca="false">IF(ISNUMBER($J740),IFERROR(INDEX('TRANS'!$C:$C,MATCH($J740,'TRANS'!$B:$B,0)),IFERROR(INDEX('Catalog'!$B:$B,MATCH($J740,'Catalog'!$A:$A,0)),$B740)),$B740)</f>
        <v>78A L</v>
      </c>
      <c r="D740" s="19" t="n">
        <f aca="false">SUMIFS('SALES Raw'!$C$6:$C$4467,'SALES Raw'!$J$6:$J$4467,$J740,'SALES Raw'!$K$6:$K$4467,"Y")+SUMIFS('CEMIUP0.9 Raw'!$D$6:$D$1712,'CEMIUP0.9 Raw'!$B$6:$B$1712,$J740,'CEMIUP0.9 Raw'!$H$6:$H$1712,"Y")</f>
        <v>4</v>
      </c>
      <c r="E740" s="19" t="n">
        <f aca="false">SUMIFS('SALES Raw'!$D$6:$D$4467,'SALES Raw'!$J$6:$J$4467,$J740,'SALES Raw'!$K$6:$K$4467,"Y")+SUMIFS('CEMIUP0.9 Raw'!$E$6:$E$1712,'CEMIUP0.9 Raw'!$B$6:$B$1712,$J740,'CEMIUP0.9 Raw'!$H$6:$H$1712,"Y")</f>
        <v>309.59</v>
      </c>
      <c r="F740" s="19" t="n">
        <f aca="false">SUMIFS('SALES Raw'!$E$6:$E$4467,'SALES Raw'!$J$6:$J$4467,$J740,'SALES Raw'!$K$6:$K$4467,"Y")*$H$4+SUMIFS('CEMIUP0.9 Raw'!$F$6:$F$1712,'CEMIUP0.9 Raw'!$B$6:$B$1712,$J740,'CEMIUP0.9 Raw'!$H$6:$H$1712,"Y")</f>
        <v>1.26315789473684</v>
      </c>
      <c r="G740" s="19" t="n">
        <f aca="false">SUMIFS('SALES Raw'!$F$6:$F$4467,'SALES Raw'!$J$6:$J$4467,$J740,'SALES Raw'!$K$6:$K$4467,"Y")*$H$4+SUMIFS('CEMIUP0.9 Raw'!$G$6:$G$1712,'CEMIUP0.9 Raw'!$B$6:$B$1712,$J740,'CEMIUP0.9 Raw'!$H$6:$H$1712,"Y")</f>
        <v>208.938947368421</v>
      </c>
      <c r="H740" s="18" t="s">
        <v>46</v>
      </c>
      <c r="I740" s="18" t="s">
        <v>44</v>
      </c>
      <c r="J740" s="18" t="s">
        <v>321</v>
      </c>
    </row>
    <row r="741" customFormat="false" ht="15" hidden="false" customHeight="false" outlineLevel="0" collapsed="false">
      <c r="A741" s="18" t="str">
        <f aca="false">IF(ISNUMBER($J741),$J741,"")</f>
        <v/>
      </c>
      <c r="B741" s="18" t="str">
        <f aca="false">IFERROR(INDEX('SALES Raw'!$B$6:$B$4467,MATCH($J741,'SALES Raw'!$J$6:$J$4467,0)),IFERROR(INDEX('CEMIUP0.9 Raw'!$B$6:$B$1712,MATCH($J741,'CEMIUP0.9 Raw'!$B$6:$B$1712,0)),$J741))</f>
        <v>78A M</v>
      </c>
      <c r="C741" s="18" t="str">
        <f aca="false">IF(ISNUMBER($J741),IFERROR(INDEX('TRANS'!$C:$C,MATCH($J741,'TRANS'!$B:$B,0)),IFERROR(INDEX('Catalog'!$B:$B,MATCH($J741,'Catalog'!$A:$A,0)),$B741)),$B741)</f>
        <v>78A M</v>
      </c>
      <c r="D741" s="19" t="n">
        <f aca="false">SUMIFS('SALES Raw'!$C$6:$C$4467,'SALES Raw'!$J$6:$J$4467,$J741,'SALES Raw'!$K$6:$K$4467,"Y")+SUMIFS('CEMIUP0.9 Raw'!$D$6:$D$1712,'CEMIUP0.9 Raw'!$B$6:$B$1712,$J741,'CEMIUP0.9 Raw'!$H$6:$H$1712,"Y")</f>
        <v>6</v>
      </c>
      <c r="E741" s="19" t="n">
        <f aca="false">SUMIFS('SALES Raw'!$D$6:$D$4467,'SALES Raw'!$J$6:$J$4467,$J741,'SALES Raw'!$K$6:$K$4467,"Y")+SUMIFS('CEMIUP0.9 Raw'!$E$6:$E$1712,'CEMIUP0.9 Raw'!$B$6:$B$1712,$J741,'CEMIUP0.9 Raw'!$H$6:$H$1712,"Y")</f>
        <v>499.59</v>
      </c>
      <c r="F741" s="19" t="n">
        <f aca="false">SUMIFS('SALES Raw'!$E$6:$E$4467,'SALES Raw'!$J$6:$J$4467,$J741,'SALES Raw'!$K$6:$K$4467,"Y")*$H$4+SUMIFS('CEMIUP0.9 Raw'!$F$6:$F$1712,'CEMIUP0.9 Raw'!$B$6:$B$1712,$J741,'CEMIUP0.9 Raw'!$H$6:$H$1712,"Y")</f>
        <v>1.26315789473684</v>
      </c>
      <c r="G741" s="19" t="n">
        <f aca="false">SUMIFS('SALES Raw'!$F$6:$F$4467,'SALES Raw'!$J$6:$J$4467,$J741,'SALES Raw'!$K$6:$K$4467,"Y")*$H$4+SUMIFS('CEMIUP0.9 Raw'!$G$6:$G$1712,'CEMIUP0.9 Raw'!$B$6:$B$1712,$J741,'CEMIUP0.9 Raw'!$H$6:$H$1712,"Y")</f>
        <v>208.938947368421</v>
      </c>
      <c r="H741" s="18" t="s">
        <v>46</v>
      </c>
      <c r="I741" s="18" t="s">
        <v>44</v>
      </c>
      <c r="J741" s="18" t="s">
        <v>322</v>
      </c>
    </row>
    <row r="742" customFormat="false" ht="15" hidden="false" customHeight="false" outlineLevel="0" collapsed="false">
      <c r="A742" s="18" t="str">
        <f aca="false">IF(ISNUMBER($J742),$J742,"")</f>
        <v/>
      </c>
      <c r="B742" s="18" t="str">
        <f aca="false">IFERROR(INDEX('SALES Raw'!$B$6:$B$4467,MATCH($J742,'SALES Raw'!$J$6:$J$4467,0)),IFERROR(INDEX('CEMIUP0.9 Raw'!$B$6:$B$1712,MATCH($J742,'CEMIUP0.9 Raw'!$B$6:$B$1712,0)),$J742))</f>
        <v>T45X S</v>
      </c>
      <c r="C742" s="18" t="str">
        <f aca="false">IF(ISNUMBER($J742),IFERROR(INDEX('TRANS'!$C:$C,MATCH($J742,'TRANS'!$B:$B,0)),IFERROR(INDEX('Catalog'!$B:$B,MATCH($J742,'Catalog'!$A:$A,0)),$B742)),$B742)</f>
        <v>T45X S</v>
      </c>
      <c r="D742" s="19" t="n">
        <f aca="false">SUMIFS('SALES Raw'!$C$6:$C$4467,'SALES Raw'!$J$6:$J$4467,$J742,'SALES Raw'!$K$6:$K$4467,"Y")+SUMIFS('CEMIUP0.9 Raw'!$D$6:$D$1712,'CEMIUP0.9 Raw'!$B$6:$B$1712,$J742,'CEMIUP0.9 Raw'!$H$6:$H$1712,"Y")</f>
        <v>1</v>
      </c>
      <c r="E742" s="19" t="n">
        <f aca="false">SUMIFS('SALES Raw'!$D$6:$D$4467,'SALES Raw'!$J$6:$J$4467,$J742,'SALES Raw'!$K$6:$K$4467,"Y")+SUMIFS('CEMIUP0.9 Raw'!$E$6:$E$1712,'CEMIUP0.9 Raw'!$B$6:$B$1712,$J742,'CEMIUP0.9 Raw'!$H$6:$H$1712,"Y")</f>
        <v>80</v>
      </c>
      <c r="F742" s="19" t="n">
        <f aca="false">SUMIFS('SALES Raw'!$E$6:$E$4467,'SALES Raw'!$J$6:$J$4467,$J742,'SALES Raw'!$K$6:$K$4467,"Y")*$H$4+SUMIFS('CEMIUP0.9 Raw'!$F$6:$F$1712,'CEMIUP0.9 Raw'!$B$6:$B$1712,$J742,'CEMIUP0.9 Raw'!$H$6:$H$1712,"Y")</f>
        <v>1.26315789473684</v>
      </c>
      <c r="G742" s="19" t="n">
        <f aca="false">SUMIFS('SALES Raw'!$F$6:$F$4467,'SALES Raw'!$J$6:$J$4467,$J742,'SALES Raw'!$K$6:$K$4467,"Y")*$H$4+SUMIFS('CEMIUP0.9 Raw'!$G$6:$G$1712,'CEMIUP0.9 Raw'!$B$6:$B$1712,$J742,'CEMIUP0.9 Raw'!$H$6:$H$1712,"Y")</f>
        <v>101.077894736842</v>
      </c>
      <c r="H742" s="18" t="s">
        <v>46</v>
      </c>
      <c r="I742" s="18" t="s">
        <v>53</v>
      </c>
      <c r="J742" s="18" t="s">
        <v>323</v>
      </c>
    </row>
    <row r="743" customFormat="false" ht="15" hidden="false" customHeight="false" outlineLevel="0" collapsed="false">
      <c r="A743" s="18" t="str">
        <f aca="false">IF(ISNUMBER($J743),$J743,"")</f>
        <v/>
      </c>
      <c r="B743" s="18" t="str">
        <f aca="false">IFERROR(INDEX('SALES Raw'!$B$6:$B$4467,MATCH($J743,'SALES Raw'!$J$6:$J$4467,0)),IFERROR(INDEX('CEMIUP0.9 Raw'!$B$6:$B$1712,MATCH($J743,'CEMIUP0.9 Raw'!$B$6:$B$1712,0)),$J743))</f>
        <v>T49 L</v>
      </c>
      <c r="C743" s="18" t="str">
        <f aca="false">IF(ISNUMBER($J743),IFERROR(INDEX('TRANS'!$C:$C,MATCH($J743,'TRANS'!$B:$B,0)),IFERROR(INDEX('Catalog'!$B:$B,MATCH($J743,'Catalog'!$A:$A,0)),$B743)),$B743)</f>
        <v>T49 L</v>
      </c>
      <c r="D743" s="19" t="n">
        <f aca="false">SUMIFS('SALES Raw'!$C$6:$C$4467,'SALES Raw'!$J$6:$J$4467,$J743,'SALES Raw'!$K$6:$K$4467,"Y")+SUMIFS('CEMIUP0.9 Raw'!$D$6:$D$1712,'CEMIUP0.9 Raw'!$B$6:$B$1712,$J743,'CEMIUP0.9 Raw'!$H$6:$H$1712,"Y")</f>
        <v>5</v>
      </c>
      <c r="E743" s="19" t="n">
        <f aca="false">SUMIFS('SALES Raw'!$D$6:$D$4467,'SALES Raw'!$J$6:$J$4467,$J743,'SALES Raw'!$K$6:$K$4467,"Y")+SUMIFS('CEMIUP0.9 Raw'!$E$6:$E$1712,'CEMIUP0.9 Raw'!$B$6:$B$1712,$J743,'CEMIUP0.9 Raw'!$H$6:$H$1712,"Y")</f>
        <v>420.41</v>
      </c>
      <c r="F743" s="19" t="n">
        <f aca="false">SUMIFS('SALES Raw'!$E$6:$E$4467,'SALES Raw'!$J$6:$J$4467,$J743,'SALES Raw'!$K$6:$K$4467,"Y")*$H$4+SUMIFS('CEMIUP0.9 Raw'!$F$6:$F$1712,'CEMIUP0.9 Raw'!$B$6:$B$1712,$J743,'CEMIUP0.9 Raw'!$H$6:$H$1712,"Y")</f>
        <v>1.26315789473684</v>
      </c>
      <c r="G743" s="19" t="n">
        <f aca="false">SUMIFS('SALES Raw'!$F$6:$F$4467,'SALES Raw'!$J$6:$J$4467,$J743,'SALES Raw'!$K$6:$K$4467,"Y")*$H$4+SUMIFS('CEMIUP0.9 Raw'!$G$6:$G$1712,'CEMIUP0.9 Raw'!$B$6:$B$1712,$J743,'CEMIUP0.9 Raw'!$H$6:$H$1712,"Y")</f>
        <v>107.696842105263</v>
      </c>
      <c r="H743" s="18" t="s">
        <v>44</v>
      </c>
      <c r="I743" s="18" t="s">
        <v>46</v>
      </c>
      <c r="J743" s="18" t="s">
        <v>324</v>
      </c>
    </row>
    <row r="744" customFormat="false" ht="15" hidden="false" customHeight="false" outlineLevel="0" collapsed="false">
      <c r="A744" s="18" t="str">
        <f aca="false">IF(ISNUMBER($J744),$J744,"")</f>
        <v/>
      </c>
      <c r="B744" s="18" t="str">
        <f aca="false">IFERROR(INDEX('SALES Raw'!$B$6:$B$4467,MATCH($J744,'SALES Raw'!$J$6:$J$4467,0)),IFERROR(INDEX('CEMIUP0.9 Raw'!$B$6:$B$1712,MATCH($J744,'CEMIUP0.9 Raw'!$B$6:$B$1712,0)),$J744))</f>
        <v>SH59D-XL-XXL</v>
      </c>
      <c r="C744" s="18" t="str">
        <f aca="false">IF(ISNUMBER($J744),IFERROR(INDEX('TRANS'!$C:$C,MATCH($J744,'TRANS'!$B:$B,0)),IFERROR(INDEX('Catalog'!$B:$B,MATCH($J744,'Catalog'!$A:$A,0)),$B744)),$B744)</f>
        <v>SH59D-XL-XXL</v>
      </c>
      <c r="D744" s="19" t="n">
        <f aca="false">SUMIFS('SALES Raw'!$C$6:$C$4467,'SALES Raw'!$J$6:$J$4467,$J744,'SALES Raw'!$K$6:$K$4467,"Y")+SUMIFS('CEMIUP0.9 Raw'!$D$6:$D$1712,'CEMIUP0.9 Raw'!$B$6:$B$1712,$J744,'CEMIUP0.9 Raw'!$H$6:$H$1712,"Y")</f>
        <v>0</v>
      </c>
      <c r="E744" s="19" t="n">
        <f aca="false">SUMIFS('SALES Raw'!$D$6:$D$4467,'SALES Raw'!$J$6:$J$4467,$J744,'SALES Raw'!$K$6:$K$4467,"Y")+SUMIFS('CEMIUP0.9 Raw'!$E$6:$E$1712,'CEMIUP0.9 Raw'!$B$6:$B$1712,$J744,'CEMIUP0.9 Raw'!$H$6:$H$1712,"Y")</f>
        <v>0</v>
      </c>
      <c r="F744" s="19" t="n">
        <f aca="false">SUMIFS('SALES Raw'!$E$6:$E$4467,'SALES Raw'!$J$6:$J$4467,$J744,'SALES Raw'!$K$6:$K$4467,"Y")*$H$4+SUMIFS('CEMIUP0.9 Raw'!$F$6:$F$1712,'CEMIUP0.9 Raw'!$B$6:$B$1712,$J744,'CEMIUP0.9 Raw'!$H$6:$H$1712,"Y")</f>
        <v>1.26315789473684</v>
      </c>
      <c r="G744" s="19" t="n">
        <f aca="false">SUMIFS('SALES Raw'!$F$6:$F$4467,'SALES Raw'!$J$6:$J$4467,$J744,'SALES Raw'!$K$6:$K$4467,"Y")*$H$4+SUMIFS('CEMIUP0.9 Raw'!$G$6:$G$1712,'CEMIUP0.9 Raw'!$B$6:$B$1712,$J744,'CEMIUP0.9 Raw'!$H$6:$H$1712,"Y")</f>
        <v>0.0126315789473684</v>
      </c>
      <c r="H744" s="18" t="s">
        <v>46</v>
      </c>
      <c r="I744" s="18"/>
      <c r="J744" s="18" t="s">
        <v>325</v>
      </c>
    </row>
    <row r="745" customFormat="false" ht="15" hidden="false" customHeight="false" outlineLevel="0" collapsed="false">
      <c r="A745" s="18" t="str">
        <f aca="false">IF(ISNUMBER($J745),$J745,"")</f>
        <v/>
      </c>
      <c r="B745" s="18" t="str">
        <f aca="false">IFERROR(INDEX('SALES Raw'!$B$6:$B$4467,MATCH($J745,'SALES Raw'!$J$6:$J$4467,0)),IFERROR(INDEX('CEMIUP0.9 Raw'!$B$6:$B$1712,MATCH($J745,'CEMIUP0.9 Raw'!$B$6:$B$1712,0)),$J745))</f>
        <v>SH660</v>
      </c>
      <c r="C745" s="18" t="str">
        <f aca="false">IF(ISNUMBER($J745),IFERROR(INDEX('TRANS'!$C:$C,MATCH($J745,'TRANS'!$B:$B,0)),IFERROR(INDEX('Catalog'!$B:$B,MATCH($J745,'Catalog'!$A:$A,0)),$B745)),$B745)</f>
        <v>SH660</v>
      </c>
      <c r="D745" s="19" t="n">
        <f aca="false">SUMIFS('SALES Raw'!$C$6:$C$4467,'SALES Raw'!$J$6:$J$4467,$J745,'SALES Raw'!$K$6:$K$4467,"Y")+SUMIFS('CEMIUP0.9 Raw'!$D$6:$D$1712,'CEMIUP0.9 Raw'!$B$6:$B$1712,$J745,'CEMIUP0.9 Raw'!$H$6:$H$1712,"Y")</f>
        <v>0</v>
      </c>
      <c r="E745" s="19" t="n">
        <f aca="false">SUMIFS('SALES Raw'!$D$6:$D$4467,'SALES Raw'!$J$6:$J$4467,$J745,'SALES Raw'!$K$6:$K$4467,"Y")+SUMIFS('CEMIUP0.9 Raw'!$E$6:$E$1712,'CEMIUP0.9 Raw'!$B$6:$B$1712,$J745,'CEMIUP0.9 Raw'!$H$6:$H$1712,"Y")</f>
        <v>0</v>
      </c>
      <c r="F745" s="19" t="n">
        <f aca="false">SUMIFS('SALES Raw'!$E$6:$E$4467,'SALES Raw'!$J$6:$J$4467,$J745,'SALES Raw'!$K$6:$K$4467,"Y")*$H$4+SUMIFS('CEMIUP0.9 Raw'!$F$6:$F$1712,'CEMIUP0.9 Raw'!$B$6:$B$1712,$J745,'CEMIUP0.9 Raw'!$H$6:$H$1712,"Y")</f>
        <v>1.26315789473684</v>
      </c>
      <c r="G745" s="19" t="n">
        <f aca="false">SUMIFS('SALES Raw'!$F$6:$F$4467,'SALES Raw'!$J$6:$J$4467,$J745,'SALES Raw'!$K$6:$K$4467,"Y")*$H$4+SUMIFS('CEMIUP0.9 Raw'!$G$6:$G$1712,'CEMIUP0.9 Raw'!$B$6:$B$1712,$J745,'CEMIUP0.9 Raw'!$H$6:$H$1712,"Y")</f>
        <v>0.0126315789473684</v>
      </c>
      <c r="H745" s="18" t="s">
        <v>46</v>
      </c>
      <c r="I745" s="18"/>
      <c r="J745" s="18" t="s">
        <v>326</v>
      </c>
    </row>
    <row r="746" customFormat="false" ht="15" hidden="false" customHeight="false" outlineLevel="0" collapsed="false">
      <c r="A746" s="18" t="str">
        <f aca="false">IF(ISNUMBER($J746),$J746,"")</f>
        <v/>
      </c>
      <c r="B746" s="18" t="str">
        <f aca="false">IFERROR(INDEX('SALES Raw'!$B$6:$B$4467,MATCH($J746,'SALES Raw'!$J$6:$J$4467,0)),IFERROR(INDEX('CEMIUP0.9 Raw'!$B$6:$B$1712,MATCH($J746,'CEMIUP0.9 Raw'!$B$6:$B$1712,0)),$J746))</f>
        <v>T36B L</v>
      </c>
      <c r="C746" s="18" t="str">
        <f aca="false">IF(ISNUMBER($J746),IFERROR(INDEX('TRANS'!$C:$C,MATCH($J746,'TRANS'!$B:$B,0)),IFERROR(INDEX('Catalog'!$B:$B,MATCH($J746,'Catalog'!$A:$A,0)),$B746)),$B746)</f>
        <v>T36B L</v>
      </c>
      <c r="D746" s="19" t="n">
        <f aca="false">SUMIFS('SALES Raw'!$C$6:$C$4467,'SALES Raw'!$J$6:$J$4467,$J746,'SALES Raw'!$K$6:$K$4467,"Y")+SUMIFS('CEMIUP0.9 Raw'!$D$6:$D$1712,'CEMIUP0.9 Raw'!$B$6:$B$1712,$J746,'CEMIUP0.9 Raw'!$H$6:$H$1712,"Y")</f>
        <v>0</v>
      </c>
      <c r="E746" s="19" t="n">
        <f aca="false">SUMIFS('SALES Raw'!$D$6:$D$4467,'SALES Raw'!$J$6:$J$4467,$J746,'SALES Raw'!$K$6:$K$4467,"Y")+SUMIFS('CEMIUP0.9 Raw'!$E$6:$E$1712,'CEMIUP0.9 Raw'!$B$6:$B$1712,$J746,'CEMIUP0.9 Raw'!$H$6:$H$1712,"Y")</f>
        <v>0</v>
      </c>
      <c r="F746" s="19" t="n">
        <f aca="false">SUMIFS('SALES Raw'!$E$6:$E$4467,'SALES Raw'!$J$6:$J$4467,$J746,'SALES Raw'!$K$6:$K$4467,"Y")*$H$4+SUMIFS('CEMIUP0.9 Raw'!$F$6:$F$1712,'CEMIUP0.9 Raw'!$B$6:$B$1712,$J746,'CEMIUP0.9 Raw'!$H$6:$H$1712,"Y")</f>
        <v>1.26315789473684</v>
      </c>
      <c r="G746" s="19" t="n">
        <f aca="false">SUMIFS('SALES Raw'!$F$6:$F$4467,'SALES Raw'!$J$6:$J$4467,$J746,'SALES Raw'!$K$6:$K$4467,"Y")*$H$4+SUMIFS('CEMIUP0.9 Raw'!$G$6:$G$1712,'CEMIUP0.9 Raw'!$B$6:$B$1712,$J746,'CEMIUP0.9 Raw'!$H$6:$H$1712,"Y")</f>
        <v>0.0126315789473684</v>
      </c>
      <c r="H746" s="18" t="s">
        <v>46</v>
      </c>
      <c r="I746" s="18"/>
      <c r="J746" s="18" t="s">
        <v>327</v>
      </c>
    </row>
    <row r="747" customFormat="false" ht="15" hidden="false" customHeight="false" outlineLevel="0" collapsed="false">
      <c r="A747" s="18" t="str">
        <f aca="false">IF(ISNUMBER($J747),$J747,"")</f>
        <v/>
      </c>
      <c r="B747" s="18" t="str">
        <f aca="false">IFERROR(INDEX('SALES Raw'!$B$6:$B$4467,MATCH($J747,'SALES Raw'!$J$6:$J$4467,0)),IFERROR(INDEX('CEMIUP0.9 Raw'!$B$6:$B$1712,MATCH($J747,'CEMIUP0.9 Raw'!$B$6:$B$1712,0)),$J747))</f>
        <v>07UB-S-M</v>
      </c>
      <c r="C747" s="18" t="str">
        <f aca="false">IF(ISNUMBER($J747),IFERROR(INDEX('TRANS'!$C:$C,MATCH($J747,'TRANS'!$B:$B,0)),IFERROR(INDEX('Catalog'!$B:$B,MATCH($J747,'Catalog'!$A:$A,0)),$B747)),$B747)</f>
        <v>07UB-S-M</v>
      </c>
      <c r="D747" s="19" t="n">
        <f aca="false">SUMIFS('SALES Raw'!$C$6:$C$4467,'SALES Raw'!$J$6:$J$4467,$J747,'SALES Raw'!$K$6:$K$4467,"Y")+SUMIFS('CEMIUP0.9 Raw'!$D$6:$D$1712,'CEMIUP0.9 Raw'!$B$6:$B$1712,$J747,'CEMIUP0.9 Raw'!$H$6:$H$1712,"Y")</f>
        <v>16</v>
      </c>
      <c r="E747" s="19" t="n">
        <f aca="false">SUMIFS('SALES Raw'!$D$6:$D$4467,'SALES Raw'!$J$6:$J$4467,$J747,'SALES Raw'!$K$6:$K$4467,"Y")+SUMIFS('CEMIUP0.9 Raw'!$E$6:$E$1712,'CEMIUP0.9 Raw'!$B$6:$B$1712,$J747,'CEMIUP0.9 Raw'!$H$6:$H$1712,"Y")</f>
        <v>3145.11</v>
      </c>
      <c r="F747" s="19" t="n">
        <f aca="false">SUMIFS('SALES Raw'!$E$6:$E$4467,'SALES Raw'!$J$6:$J$4467,$J747,'SALES Raw'!$K$6:$K$4467,"Y")*$H$4+SUMIFS('CEMIUP0.9 Raw'!$F$6:$F$1712,'CEMIUP0.9 Raw'!$B$6:$B$1712,$J747,'CEMIUP0.9 Raw'!$H$6:$H$1712,"Y")</f>
        <v>1.26315789473684</v>
      </c>
      <c r="G747" s="19" t="n">
        <f aca="false">SUMIFS('SALES Raw'!$F$6:$F$4467,'SALES Raw'!$J$6:$J$4467,$J747,'SALES Raw'!$K$6:$K$4467,"Y")*$H$4+SUMIFS('CEMIUP0.9 Raw'!$G$6:$G$1712,'CEMIUP0.9 Raw'!$B$6:$B$1712,$J747,'CEMIUP0.9 Raw'!$H$6:$H$1712,"Y")</f>
        <v>535.124210526316</v>
      </c>
      <c r="H747" s="18" t="s">
        <v>42</v>
      </c>
      <c r="I747" s="18" t="s">
        <v>46</v>
      </c>
      <c r="J747" s="18" t="s">
        <v>328</v>
      </c>
    </row>
    <row r="748" customFormat="false" ht="15" hidden="false" customHeight="false" outlineLevel="0" collapsed="false">
      <c r="A748" s="18" t="str">
        <f aca="false">IF(ISNUMBER($J748),$J748,"")</f>
        <v/>
      </c>
      <c r="B748" s="18" t="str">
        <f aca="false">IFERROR(INDEX('SALES Raw'!$B$6:$B$4467,MATCH($J748,'SALES Raw'!$J$6:$J$4467,0)),IFERROR(INDEX('CEMIUP0.9 Raw'!$B$6:$B$1712,MATCH($J748,'CEMIUP0.9 Raw'!$B$6:$B$1712,0)),$J748))</f>
        <v>12 M</v>
      </c>
      <c r="C748" s="18" t="str">
        <f aca="false">IF(ISNUMBER($J748),IFERROR(INDEX('TRANS'!$C:$C,MATCH($J748,'TRANS'!$B:$B,0)),IFERROR(INDEX('Catalog'!$B:$B,MATCH($J748,'Catalog'!$A:$A,0)),$B748)),$B748)</f>
        <v>12 M</v>
      </c>
      <c r="D748" s="19" t="n">
        <f aca="false">SUMIFS('SALES Raw'!$C$6:$C$4467,'SALES Raw'!$J$6:$J$4467,$J748,'SALES Raw'!$K$6:$K$4467,"Y")+SUMIFS('CEMIUP0.9 Raw'!$D$6:$D$1712,'CEMIUP0.9 Raw'!$B$6:$B$1712,$J748,'CEMIUP0.9 Raw'!$H$6:$H$1712,"Y")</f>
        <v>0</v>
      </c>
      <c r="E748" s="19" t="n">
        <f aca="false">SUMIFS('SALES Raw'!$D$6:$D$4467,'SALES Raw'!$J$6:$J$4467,$J748,'SALES Raw'!$K$6:$K$4467,"Y")+SUMIFS('CEMIUP0.9 Raw'!$E$6:$E$1712,'CEMIUP0.9 Raw'!$B$6:$B$1712,$J748,'CEMIUP0.9 Raw'!$H$6:$H$1712,"Y")</f>
        <v>0</v>
      </c>
      <c r="F748" s="19" t="n">
        <f aca="false">SUMIFS('SALES Raw'!$E$6:$E$4467,'SALES Raw'!$J$6:$J$4467,$J748,'SALES Raw'!$K$6:$K$4467,"Y")*$H$4+SUMIFS('CEMIUP0.9 Raw'!$F$6:$F$1712,'CEMIUP0.9 Raw'!$B$6:$B$1712,$J748,'CEMIUP0.9 Raw'!$H$6:$H$1712,"Y")</f>
        <v>1.26315789473684</v>
      </c>
      <c r="G748" s="19" t="n">
        <f aca="false">SUMIFS('SALES Raw'!$F$6:$F$4467,'SALES Raw'!$J$6:$J$4467,$J748,'SALES Raw'!$K$6:$K$4467,"Y")*$H$4+SUMIFS('CEMIUP0.9 Raw'!$G$6:$G$1712,'CEMIUP0.9 Raw'!$B$6:$B$1712,$J748,'CEMIUP0.9 Raw'!$H$6:$H$1712,"Y")</f>
        <v>317.646315789474</v>
      </c>
      <c r="H748" s="18" t="s">
        <v>46</v>
      </c>
      <c r="I748" s="18"/>
      <c r="J748" s="18" t="s">
        <v>329</v>
      </c>
    </row>
    <row r="749" customFormat="false" ht="15" hidden="false" customHeight="false" outlineLevel="0" collapsed="false">
      <c r="A749" s="18" t="str">
        <f aca="false">IF(ISNUMBER($J749),$J749,"")</f>
        <v/>
      </c>
      <c r="B749" s="18" t="str">
        <f aca="false">IFERROR(INDEX('SALES Raw'!$B$6:$B$4467,MATCH($J749,'SALES Raw'!$J$6:$J$4467,0)),IFERROR(INDEX('CEMIUP0.9 Raw'!$B$6:$B$1712,MATCH($J749,'CEMIUP0.9 Raw'!$B$6:$B$1712,0)),$J749))</f>
        <v>355 M</v>
      </c>
      <c r="C749" s="18" t="str">
        <f aca="false">IF(ISNUMBER($J749),IFERROR(INDEX('TRANS'!$C:$C,MATCH($J749,'TRANS'!$B:$B,0)),IFERROR(INDEX('Catalog'!$B:$B,MATCH($J749,'Catalog'!$A:$A,0)),$B749)),$B749)</f>
        <v>355 M</v>
      </c>
      <c r="D749" s="19" t="n">
        <f aca="false">SUMIFS('SALES Raw'!$C$6:$C$4467,'SALES Raw'!$J$6:$J$4467,$J749,'SALES Raw'!$K$6:$K$4467,"Y")+SUMIFS('CEMIUP0.9 Raw'!$D$6:$D$1712,'CEMIUP0.9 Raw'!$B$6:$B$1712,$J749,'CEMIUP0.9 Raw'!$H$6:$H$1712,"Y")</f>
        <v>12</v>
      </c>
      <c r="E749" s="19" t="n">
        <f aca="false">SUMIFS('SALES Raw'!$D$6:$D$4467,'SALES Raw'!$J$6:$J$4467,$J749,'SALES Raw'!$K$6:$K$4467,"Y")+SUMIFS('CEMIUP0.9 Raw'!$E$6:$E$1712,'CEMIUP0.9 Raw'!$B$6:$B$1712,$J749,'CEMIUP0.9 Raw'!$H$6:$H$1712,"Y")</f>
        <v>2257.02</v>
      </c>
      <c r="F749" s="19" t="n">
        <f aca="false">SUMIFS('SALES Raw'!$E$6:$E$4467,'SALES Raw'!$J$6:$J$4467,$J749,'SALES Raw'!$K$6:$K$4467,"Y")*$H$4+SUMIFS('CEMIUP0.9 Raw'!$F$6:$F$1712,'CEMIUP0.9 Raw'!$B$6:$B$1712,$J749,'CEMIUP0.9 Raw'!$H$6:$H$1712,"Y")</f>
        <v>1.26315789473684</v>
      </c>
      <c r="G749" s="19" t="n">
        <f aca="false">SUMIFS('SALES Raw'!$F$6:$F$4467,'SALES Raw'!$J$6:$J$4467,$J749,'SALES Raw'!$K$6:$K$4467,"Y")*$H$4+SUMIFS('CEMIUP0.9 Raw'!$G$6:$G$1712,'CEMIUP0.9 Raw'!$B$6:$B$1712,$J749,'CEMIUP0.9 Raw'!$H$6:$H$1712,"Y")</f>
        <v>240.795789473684</v>
      </c>
      <c r="H749" s="18" t="s">
        <v>46</v>
      </c>
      <c r="I749" s="18" t="s">
        <v>44</v>
      </c>
      <c r="J749" s="18" t="s">
        <v>330</v>
      </c>
    </row>
    <row r="750" customFormat="false" ht="15" hidden="false" customHeight="false" outlineLevel="0" collapsed="false">
      <c r="A750" s="18" t="str">
        <f aca="false">IF(ISNUMBER($J750),$J750,"")</f>
        <v/>
      </c>
      <c r="B750" s="18" t="str">
        <f aca="false">IFERROR(INDEX('SALES Raw'!$B$6:$B$4467,MATCH($J750,'SALES Raw'!$J$6:$J$4467,0)),IFERROR(INDEX('CEMIUP0.9 Raw'!$B$6:$B$1712,MATCH($J750,'CEMIUP0.9 Raw'!$B$6:$B$1712,0)),$J750))</f>
        <v>422E L</v>
      </c>
      <c r="C750" s="18" t="str">
        <f aca="false">IF(ISNUMBER($J750),IFERROR(INDEX('TRANS'!$C:$C,MATCH($J750,'TRANS'!$B:$B,0)),IFERROR(INDEX('Catalog'!$B:$B,MATCH($J750,'Catalog'!$A:$A,0)),$B750)),$B750)</f>
        <v>422E L</v>
      </c>
      <c r="D750" s="19" t="n">
        <f aca="false">SUMIFS('SALES Raw'!$C$6:$C$4467,'SALES Raw'!$J$6:$J$4467,$J750,'SALES Raw'!$K$6:$K$4467,"Y")+SUMIFS('CEMIUP0.9 Raw'!$D$6:$D$1712,'CEMIUP0.9 Raw'!$B$6:$B$1712,$J750,'CEMIUP0.9 Raw'!$H$6:$H$1712,"Y")</f>
        <v>2</v>
      </c>
      <c r="E750" s="19" t="n">
        <f aca="false">SUMIFS('SALES Raw'!$D$6:$D$4467,'SALES Raw'!$J$6:$J$4467,$J750,'SALES Raw'!$K$6:$K$4467,"Y")+SUMIFS('CEMIUP0.9 Raw'!$E$6:$E$1712,'CEMIUP0.9 Raw'!$B$6:$B$1712,$J750,'CEMIUP0.9 Raw'!$H$6:$H$1712,"Y")</f>
        <v>735.42</v>
      </c>
      <c r="F750" s="19" t="n">
        <f aca="false">SUMIFS('SALES Raw'!$E$6:$E$4467,'SALES Raw'!$J$6:$J$4467,$J750,'SALES Raw'!$K$6:$K$4467,"Y")*$H$4+SUMIFS('CEMIUP0.9 Raw'!$F$6:$F$1712,'CEMIUP0.9 Raw'!$B$6:$B$1712,$J750,'CEMIUP0.9 Raw'!$H$6:$H$1712,"Y")</f>
        <v>1.26315789473684</v>
      </c>
      <c r="G750" s="19" t="n">
        <f aca="false">SUMIFS('SALES Raw'!$F$6:$F$4467,'SALES Raw'!$J$6:$J$4467,$J750,'SALES Raw'!$K$6:$K$4467,"Y")*$H$4+SUMIFS('CEMIUP0.9 Raw'!$G$6:$G$1712,'CEMIUP0.9 Raw'!$B$6:$B$1712,$J750,'CEMIUP0.9 Raw'!$H$6:$H$1712,"Y")</f>
        <v>240.757894736842</v>
      </c>
      <c r="H750" s="18" t="s">
        <v>42</v>
      </c>
      <c r="I750" s="18" t="s">
        <v>46</v>
      </c>
      <c r="J750" s="18" t="s">
        <v>331</v>
      </c>
    </row>
    <row r="751" customFormat="false" ht="15" hidden="false" customHeight="false" outlineLevel="0" collapsed="false">
      <c r="A751" s="18" t="str">
        <f aca="false">IF(ISNUMBER($J751),$J751,"")</f>
        <v/>
      </c>
      <c r="B751" s="18" t="str">
        <f aca="false">IFERROR(INDEX('SALES Raw'!$B$6:$B$4467,MATCH($J751,'SALES Raw'!$J$6:$J$4467,0)),IFERROR(INDEX('CEMIUP0.9 Raw'!$B$6:$B$1712,MATCH($J751,'CEMIUP0.9 Raw'!$B$6:$B$1712,0)),$J751))</f>
        <v>T26 XL</v>
      </c>
      <c r="C751" s="18" t="str">
        <f aca="false">IF(ISNUMBER($J751),IFERROR(INDEX('TRANS'!$C:$C,MATCH($J751,'TRANS'!$B:$B,0)),IFERROR(INDEX('Catalog'!$B:$B,MATCH($J751,'Catalog'!$A:$A,0)),$B751)),$B751)</f>
        <v>T26 XL</v>
      </c>
      <c r="D751" s="19" t="n">
        <f aca="false">SUMIFS('SALES Raw'!$C$6:$C$4467,'SALES Raw'!$J$6:$J$4467,$J751,'SALES Raw'!$K$6:$K$4467,"Y")+SUMIFS('CEMIUP0.9 Raw'!$D$6:$D$1712,'CEMIUP0.9 Raw'!$B$6:$B$1712,$J751,'CEMIUP0.9 Raw'!$H$6:$H$1712,"Y")</f>
        <v>0</v>
      </c>
      <c r="E751" s="19" t="n">
        <f aca="false">SUMIFS('SALES Raw'!$D$6:$D$4467,'SALES Raw'!$J$6:$J$4467,$J751,'SALES Raw'!$K$6:$K$4467,"Y")+SUMIFS('CEMIUP0.9 Raw'!$E$6:$E$1712,'CEMIUP0.9 Raw'!$B$6:$B$1712,$J751,'CEMIUP0.9 Raw'!$H$6:$H$1712,"Y")</f>
        <v>0</v>
      </c>
      <c r="F751" s="19" t="n">
        <f aca="false">SUMIFS('SALES Raw'!$E$6:$E$4467,'SALES Raw'!$J$6:$J$4467,$J751,'SALES Raw'!$K$6:$K$4467,"Y")*$H$4+SUMIFS('CEMIUP0.9 Raw'!$F$6:$F$1712,'CEMIUP0.9 Raw'!$B$6:$B$1712,$J751,'CEMIUP0.9 Raw'!$H$6:$H$1712,"Y")</f>
        <v>1.26315789473684</v>
      </c>
      <c r="G751" s="19" t="n">
        <f aca="false">SUMIFS('SALES Raw'!$F$6:$F$4467,'SALES Raw'!$J$6:$J$4467,$J751,'SALES Raw'!$K$6:$K$4467,"Y")*$H$4+SUMIFS('CEMIUP0.9 Raw'!$G$6:$G$1712,'CEMIUP0.9 Raw'!$B$6:$B$1712,$J751,'CEMIUP0.9 Raw'!$H$6:$H$1712,"Y")</f>
        <v>184.016842105263</v>
      </c>
      <c r="H751" s="18" t="s">
        <v>46</v>
      </c>
      <c r="I751" s="18"/>
      <c r="J751" s="18" t="s">
        <v>332</v>
      </c>
    </row>
    <row r="752" customFormat="false" ht="15" hidden="false" customHeight="false" outlineLevel="0" collapsed="false">
      <c r="A752" s="18" t="str">
        <f aca="false">IF(ISNUMBER($J752),$J752,"")</f>
        <v/>
      </c>
      <c r="B752" s="18" t="str">
        <f aca="false">IFERROR(INDEX('SALES Raw'!$B$6:$B$4467,MATCH($J752,'SALES Raw'!$J$6:$J$4467,0)),IFERROR(INDEX('CEMIUP0.9 Raw'!$B$6:$B$1712,MATCH($J752,'CEMIUP0.9 Raw'!$B$6:$B$1712,0)),$J752))</f>
        <v>T45 XS</v>
      </c>
      <c r="C752" s="18" t="str">
        <f aca="false">IF(ISNUMBER($J752),IFERROR(INDEX('TRANS'!$C:$C,MATCH($J752,'TRANS'!$B:$B,0)),IFERROR(INDEX('Catalog'!$B:$B,MATCH($J752,'Catalog'!$A:$A,0)),$B752)),$B752)</f>
        <v>T45 XS</v>
      </c>
      <c r="D752" s="19" t="n">
        <f aca="false">SUMIFS('SALES Raw'!$C$6:$C$4467,'SALES Raw'!$J$6:$J$4467,$J752,'SALES Raw'!$K$6:$K$4467,"Y")+SUMIFS('CEMIUP0.9 Raw'!$D$6:$D$1712,'CEMIUP0.9 Raw'!$B$6:$B$1712,$J752,'CEMIUP0.9 Raw'!$H$6:$H$1712,"Y")</f>
        <v>1</v>
      </c>
      <c r="E752" s="19" t="n">
        <f aca="false">SUMIFS('SALES Raw'!$D$6:$D$4467,'SALES Raw'!$J$6:$J$4467,$J752,'SALES Raw'!$K$6:$K$4467,"Y")+SUMIFS('CEMIUP0.9 Raw'!$E$6:$E$1712,'CEMIUP0.9 Raw'!$B$6:$B$1712,$J752,'CEMIUP0.9 Raw'!$H$6:$H$1712,"Y")</f>
        <v>140.56</v>
      </c>
      <c r="F752" s="19" t="n">
        <f aca="false">SUMIFS('SALES Raw'!$E$6:$E$4467,'SALES Raw'!$J$6:$J$4467,$J752,'SALES Raw'!$K$6:$K$4467,"Y")*$H$4+SUMIFS('CEMIUP0.9 Raw'!$F$6:$F$1712,'CEMIUP0.9 Raw'!$B$6:$B$1712,$J752,'CEMIUP0.9 Raw'!$H$6:$H$1712,"Y")</f>
        <v>1.26315789473684</v>
      </c>
      <c r="G752" s="19" t="n">
        <f aca="false">SUMIFS('SALES Raw'!$F$6:$F$4467,'SALES Raw'!$J$6:$J$4467,$J752,'SALES Raw'!$K$6:$K$4467,"Y")*$H$4+SUMIFS('CEMIUP0.9 Raw'!$G$6:$G$1712,'CEMIUP0.9 Raw'!$B$6:$B$1712,$J752,'CEMIUP0.9 Raw'!$H$6:$H$1712,"Y")</f>
        <v>216.669473684211</v>
      </c>
      <c r="H752" s="18" t="s">
        <v>42</v>
      </c>
      <c r="I752" s="18" t="s">
        <v>46</v>
      </c>
      <c r="J752" s="18" t="s">
        <v>333</v>
      </c>
    </row>
    <row r="753" customFormat="false" ht="15" hidden="false" customHeight="false" outlineLevel="0" collapsed="false">
      <c r="A753" s="18" t="str">
        <f aca="false">IF(ISNUMBER($J753),$J753,"")</f>
        <v/>
      </c>
      <c r="B753" s="18" t="str">
        <f aca="false">IFERROR(INDEX('SALES Raw'!$B$6:$B$4467,MATCH($J753,'SALES Raw'!$J$6:$J$4467,0)),IFERROR(INDEX('CEMIUP0.9 Raw'!$B$6:$B$1712,MATCH($J753,'CEMIUP0.9 Raw'!$B$6:$B$1712,0)),$J753))</f>
        <v>422ED XL</v>
      </c>
      <c r="C753" s="18" t="str">
        <f aca="false">IF(ISNUMBER($J753),IFERROR(INDEX('TRANS'!$C:$C,MATCH($J753,'TRANS'!$B:$B,0)),IFERROR(INDEX('Catalog'!$B:$B,MATCH($J753,'Catalog'!$A:$A,0)),$B753)),$B753)</f>
        <v>422ED XL</v>
      </c>
      <c r="D753" s="19" t="n">
        <f aca="false">SUMIFS('SALES Raw'!$C$6:$C$4467,'SALES Raw'!$J$6:$J$4467,$J753,'SALES Raw'!$K$6:$K$4467,"Y")+SUMIFS('CEMIUP0.9 Raw'!$D$6:$D$1712,'CEMIUP0.9 Raw'!$B$6:$B$1712,$J753,'CEMIUP0.9 Raw'!$H$6:$H$1712,"Y")</f>
        <v>1</v>
      </c>
      <c r="E753" s="19" t="n">
        <f aca="false">SUMIFS('SALES Raw'!$D$6:$D$4467,'SALES Raw'!$J$6:$J$4467,$J753,'SALES Raw'!$K$6:$K$4467,"Y")+SUMIFS('CEMIUP0.9 Raw'!$E$6:$E$1712,'CEMIUP0.9 Raw'!$B$6:$B$1712,$J753,'CEMIUP0.9 Raw'!$H$6:$H$1712,"Y")</f>
        <v>330.88</v>
      </c>
      <c r="F753" s="19" t="n">
        <f aca="false">SUMIFS('SALES Raw'!$E$6:$E$4467,'SALES Raw'!$J$6:$J$4467,$J753,'SALES Raw'!$K$6:$K$4467,"Y")*$H$4+SUMIFS('CEMIUP0.9 Raw'!$F$6:$F$1712,'CEMIUP0.9 Raw'!$B$6:$B$1712,$J753,'CEMIUP0.9 Raw'!$H$6:$H$1712,"Y")</f>
        <v>1.26315789473684</v>
      </c>
      <c r="G753" s="19" t="n">
        <f aca="false">SUMIFS('SALES Raw'!$F$6:$F$4467,'SALES Raw'!$J$6:$J$4467,$J753,'SALES Raw'!$K$6:$K$4467,"Y")*$H$4+SUMIFS('CEMIUP0.9 Raw'!$G$6:$G$1712,'CEMIUP0.9 Raw'!$B$6:$B$1712,$J753,'CEMIUP0.9 Raw'!$H$6:$H$1712,"Y")</f>
        <v>417.953684210526</v>
      </c>
      <c r="H753" s="18" t="s">
        <v>44</v>
      </c>
      <c r="I753" s="18"/>
      <c r="J753" s="18" t="s">
        <v>334</v>
      </c>
    </row>
    <row r="754" customFormat="false" ht="15" hidden="false" customHeight="false" outlineLevel="0" collapsed="false">
      <c r="A754" s="18" t="str">
        <f aca="false">IF(ISNUMBER($J754),$J754,"")</f>
        <v/>
      </c>
      <c r="B754" s="18" t="str">
        <f aca="false">IFERROR(INDEX('SALES Raw'!$B$6:$B$4467,MATCH($J754,'SALES Raw'!$J$6:$J$4467,0)),IFERROR(INDEX('CEMIUP0.9 Raw'!$B$6:$B$1712,MATCH($J754,'CEMIUP0.9 Raw'!$B$6:$B$1712,0)),$J754))</f>
        <v>20 XS</v>
      </c>
      <c r="C754" s="18" t="str">
        <f aca="false">IF(ISNUMBER($J754),IFERROR(INDEX('TRANS'!$C:$C,MATCH($J754,'TRANS'!$B:$B,0)),IFERROR(INDEX('Catalog'!$B:$B,MATCH($J754,'Catalog'!$A:$A,0)),$B754)),$B754)</f>
        <v>20 XS</v>
      </c>
      <c r="D754" s="19" t="n">
        <f aca="false">SUMIFS('SALES Raw'!$C$6:$C$4467,'SALES Raw'!$J$6:$J$4467,$J754,'SALES Raw'!$K$6:$K$4467,"Y")+SUMIFS('CEMIUP0.9 Raw'!$D$6:$D$1712,'CEMIUP0.9 Raw'!$B$6:$B$1712,$J754,'CEMIUP0.9 Raw'!$H$6:$H$1712,"Y")</f>
        <v>5</v>
      </c>
      <c r="E754" s="19" t="n">
        <f aca="false">SUMIFS('SALES Raw'!$D$6:$D$4467,'SALES Raw'!$J$6:$J$4467,$J754,'SALES Raw'!$K$6:$K$4467,"Y")+SUMIFS('CEMIUP0.9 Raw'!$E$6:$E$1712,'CEMIUP0.9 Raw'!$B$6:$B$1712,$J754,'CEMIUP0.9 Raw'!$H$6:$H$1712,"Y")</f>
        <v>229.27</v>
      </c>
      <c r="F754" s="19" t="n">
        <f aca="false">SUMIFS('SALES Raw'!$E$6:$E$4467,'SALES Raw'!$J$6:$J$4467,$J754,'SALES Raw'!$K$6:$K$4467,"Y")*$H$4+SUMIFS('CEMIUP0.9 Raw'!$F$6:$F$1712,'CEMIUP0.9 Raw'!$B$6:$B$1712,$J754,'CEMIUP0.9 Raw'!$H$6:$H$1712,"Y")</f>
        <v>1.26315789473684</v>
      </c>
      <c r="G754" s="19" t="n">
        <f aca="false">SUMIFS('SALES Raw'!$F$6:$F$4467,'SALES Raw'!$J$6:$J$4467,$J754,'SALES Raw'!$K$6:$K$4467,"Y")*$H$4+SUMIFS('CEMIUP0.9 Raw'!$G$6:$G$1712,'CEMIUP0.9 Raw'!$B$6:$B$1712,$J754,'CEMIUP0.9 Raw'!$H$6:$H$1712,"Y")</f>
        <v>41.9747368421053</v>
      </c>
      <c r="H754" s="18" t="s">
        <v>53</v>
      </c>
      <c r="I754" s="18" t="s">
        <v>44</v>
      </c>
      <c r="J754" s="18" t="s">
        <v>335</v>
      </c>
    </row>
    <row r="755" customFormat="false" ht="15" hidden="false" customHeight="false" outlineLevel="0" collapsed="false">
      <c r="A755" s="18" t="str">
        <f aca="false">IF(ISNUMBER($J755),$J755,"")</f>
        <v/>
      </c>
      <c r="B755" s="18" t="str">
        <f aca="false">IFERROR(INDEX('SALES Raw'!$B$6:$B$4467,MATCH($J755,'SALES Raw'!$J$6:$J$4467,0)),IFERROR(INDEX('CEMIUP0.9 Raw'!$B$6:$B$1712,MATCH($J755,'CEMIUP0.9 Raw'!$B$6:$B$1712,0)),$J755))</f>
        <v>T49 M</v>
      </c>
      <c r="C755" s="18" t="str">
        <f aca="false">IF(ISNUMBER($J755),IFERROR(INDEX('TRANS'!$C:$C,MATCH($J755,'TRANS'!$B:$B,0)),IFERROR(INDEX('Catalog'!$B:$B,MATCH($J755,'Catalog'!$A:$A,0)),$B755)),$B755)</f>
        <v>T49 M</v>
      </c>
      <c r="D755" s="19" t="n">
        <f aca="false">SUMIFS('SALES Raw'!$C$6:$C$4467,'SALES Raw'!$J$6:$J$4467,$J755,'SALES Raw'!$K$6:$K$4467,"Y")+SUMIFS('CEMIUP0.9 Raw'!$D$6:$D$1712,'CEMIUP0.9 Raw'!$B$6:$B$1712,$J755,'CEMIUP0.9 Raw'!$H$6:$H$1712,"Y")</f>
        <v>6</v>
      </c>
      <c r="E755" s="19" t="n">
        <f aca="false">SUMIFS('SALES Raw'!$D$6:$D$4467,'SALES Raw'!$J$6:$J$4467,$J755,'SALES Raw'!$K$6:$K$4467,"Y")+SUMIFS('CEMIUP0.9 Raw'!$E$6:$E$1712,'CEMIUP0.9 Raw'!$B$6:$B$1712,$J755,'CEMIUP0.9 Raw'!$H$6:$H$1712,"Y")</f>
        <v>505.67</v>
      </c>
      <c r="F755" s="19" t="n">
        <f aca="false">SUMIFS('SALES Raw'!$E$6:$E$4467,'SALES Raw'!$J$6:$J$4467,$J755,'SALES Raw'!$K$6:$K$4467,"Y")*$H$4+SUMIFS('CEMIUP0.9 Raw'!$F$6:$F$1712,'CEMIUP0.9 Raw'!$B$6:$B$1712,$J755,'CEMIUP0.9 Raw'!$H$6:$H$1712,"Y")</f>
        <v>1.26315789473684</v>
      </c>
      <c r="G755" s="19" t="n">
        <f aca="false">SUMIFS('SALES Raw'!$F$6:$F$4467,'SALES Raw'!$J$6:$J$4467,$J755,'SALES Raw'!$K$6:$K$4467,"Y")*$H$4+SUMIFS('CEMIUP0.9 Raw'!$G$6:$G$1712,'CEMIUP0.9 Raw'!$B$6:$B$1712,$J755,'CEMIUP0.9 Raw'!$H$6:$H$1712,"Y")</f>
        <v>107.696842105263</v>
      </c>
      <c r="H755" s="18" t="s">
        <v>44</v>
      </c>
      <c r="I755" s="18"/>
      <c r="J755" s="18" t="s">
        <v>336</v>
      </c>
    </row>
    <row r="756" customFormat="false" ht="15" hidden="false" customHeight="false" outlineLevel="0" collapsed="false">
      <c r="A756" s="18" t="str">
        <f aca="false">IF(ISNUMBER($J756),$J756,"")</f>
        <v/>
      </c>
      <c r="B756" s="18" t="str">
        <f aca="false">IFERROR(INDEX('SALES Raw'!$B$6:$B$4467,MATCH($J756,'SALES Raw'!$J$6:$J$4467,0)),IFERROR(INDEX('CEMIUP0.9 Raw'!$B$6:$B$1712,MATCH($J756,'CEMIUP0.9 Raw'!$B$6:$B$1712,0)),$J756))</f>
        <v>11U M</v>
      </c>
      <c r="C756" s="18" t="str">
        <f aca="false">IF(ISNUMBER($J756),IFERROR(INDEX('TRANS'!$C:$C,MATCH($J756,'TRANS'!$B:$B,0)),IFERROR(INDEX('Catalog'!$B:$B,MATCH($J756,'Catalog'!$A:$A,0)),$B756)),$B756)</f>
        <v>11U M</v>
      </c>
      <c r="D756" s="19" t="n">
        <f aca="false">SUMIFS('SALES Raw'!$C$6:$C$4467,'SALES Raw'!$J$6:$J$4467,$J756,'SALES Raw'!$K$6:$K$4467,"Y")+SUMIFS('CEMIUP0.9 Raw'!$D$6:$D$1712,'CEMIUP0.9 Raw'!$B$6:$B$1712,$J756,'CEMIUP0.9 Raw'!$H$6:$H$1712,"Y")</f>
        <v>7</v>
      </c>
      <c r="E756" s="19" t="n">
        <f aca="false">SUMIFS('SALES Raw'!$D$6:$D$4467,'SALES Raw'!$J$6:$J$4467,$J756,'SALES Raw'!$K$6:$K$4467,"Y")+SUMIFS('CEMIUP0.9 Raw'!$E$6:$E$1712,'CEMIUP0.9 Raw'!$B$6:$B$1712,$J756,'CEMIUP0.9 Raw'!$H$6:$H$1712,"Y")</f>
        <v>554.92</v>
      </c>
      <c r="F756" s="19" t="n">
        <f aca="false">SUMIFS('SALES Raw'!$E$6:$E$4467,'SALES Raw'!$J$6:$J$4467,$J756,'SALES Raw'!$K$6:$K$4467,"Y")*$H$4+SUMIFS('CEMIUP0.9 Raw'!$F$6:$F$1712,'CEMIUP0.9 Raw'!$B$6:$B$1712,$J756,'CEMIUP0.9 Raw'!$H$6:$H$1712,"Y")</f>
        <v>1.26315789473684</v>
      </c>
      <c r="G756" s="19" t="n">
        <f aca="false">SUMIFS('SALES Raw'!$F$6:$F$4467,'SALES Raw'!$J$6:$J$4467,$J756,'SALES Raw'!$K$6:$K$4467,"Y")*$H$4+SUMIFS('CEMIUP0.9 Raw'!$G$6:$G$1712,'CEMIUP0.9 Raw'!$B$6:$B$1712,$J756,'CEMIUP0.9 Raw'!$H$6:$H$1712,"Y")</f>
        <v>130.193684210526</v>
      </c>
      <c r="H756" s="18" t="s">
        <v>44</v>
      </c>
      <c r="I756" s="18" t="s">
        <v>42</v>
      </c>
      <c r="J756" s="18" t="s">
        <v>337</v>
      </c>
    </row>
    <row r="757" customFormat="false" ht="15" hidden="false" customHeight="false" outlineLevel="0" collapsed="false">
      <c r="A757" s="18" t="str">
        <f aca="false">IF(ISNUMBER($J757),$J757,"")</f>
        <v/>
      </c>
      <c r="B757" s="18" t="str">
        <f aca="false">IFERROR(INDEX('SALES Raw'!$B$6:$B$4467,MATCH($J757,'SALES Raw'!$J$6:$J$4467,0)),IFERROR(INDEX('CEMIUP0.9 Raw'!$B$6:$B$1712,MATCH($J757,'CEMIUP0.9 Raw'!$B$6:$B$1712,0)),$J757))</f>
        <v>922B XL</v>
      </c>
      <c r="C757" s="18" t="str">
        <f aca="false">IF(ISNUMBER($J757),IFERROR(INDEX('TRANS'!$C:$C,MATCH($J757,'TRANS'!$B:$B,0)),IFERROR(INDEX('Catalog'!$B:$B,MATCH($J757,'Catalog'!$A:$A,0)),$B757)),$B757)</f>
        <v>922B XL</v>
      </c>
      <c r="D757" s="19" t="n">
        <f aca="false">SUMIFS('SALES Raw'!$C$6:$C$4467,'SALES Raw'!$J$6:$J$4467,$J757,'SALES Raw'!$K$6:$K$4467,"Y")+SUMIFS('CEMIUP0.9 Raw'!$D$6:$D$1712,'CEMIUP0.9 Raw'!$B$6:$B$1712,$J757,'CEMIUP0.9 Raw'!$H$6:$H$1712,"Y")</f>
        <v>7</v>
      </c>
      <c r="E757" s="19" t="n">
        <f aca="false">SUMIFS('SALES Raw'!$D$6:$D$4467,'SALES Raw'!$J$6:$J$4467,$J757,'SALES Raw'!$K$6:$K$4467,"Y")+SUMIFS('CEMIUP0.9 Raw'!$E$6:$E$1712,'CEMIUP0.9 Raw'!$B$6:$B$1712,$J757,'CEMIUP0.9 Raw'!$H$6:$H$1712,"Y")</f>
        <v>922.61</v>
      </c>
      <c r="F757" s="19" t="n">
        <f aca="false">SUMIFS('SALES Raw'!$E$6:$E$4467,'SALES Raw'!$J$6:$J$4467,$J757,'SALES Raw'!$K$6:$K$4467,"Y")*$H$4+SUMIFS('CEMIUP0.9 Raw'!$F$6:$F$1712,'CEMIUP0.9 Raw'!$B$6:$B$1712,$J757,'CEMIUP0.9 Raw'!$H$6:$H$1712,"Y")</f>
        <v>1.26315789473684</v>
      </c>
      <c r="G757" s="19" t="n">
        <f aca="false">SUMIFS('SALES Raw'!$F$6:$F$4467,'SALES Raw'!$J$6:$J$4467,$J757,'SALES Raw'!$K$6:$K$4467,"Y")*$H$4+SUMIFS('CEMIUP0.9 Raw'!$G$6:$G$1712,'CEMIUP0.9 Raw'!$B$6:$B$1712,$J757,'CEMIUP0.9 Raw'!$H$6:$H$1712,"Y")</f>
        <v>113.684210526316</v>
      </c>
      <c r="H757" s="18" t="s">
        <v>53</v>
      </c>
      <c r="I757" s="18" t="s">
        <v>44</v>
      </c>
      <c r="J757" s="18" t="s">
        <v>338</v>
      </c>
    </row>
    <row r="758" customFormat="false" ht="15" hidden="false" customHeight="false" outlineLevel="0" collapsed="false">
      <c r="A758" s="18" t="str">
        <f aca="false">IF(ISNUMBER($J758),$J758,"")</f>
        <v/>
      </c>
      <c r="B758" s="18" t="str">
        <f aca="false">IFERROR(INDEX('SALES Raw'!$B$6:$B$4467,MATCH($J758,'SALES Raw'!$J$6:$J$4467,0)),IFERROR(INDEX('CEMIUP0.9 Raw'!$B$6:$B$1712,MATCH($J758,'CEMIUP0.9 Raw'!$B$6:$B$1712,0)),$J758))</f>
        <v>922B XXL</v>
      </c>
      <c r="C758" s="18" t="str">
        <f aca="false">IF(ISNUMBER($J758),IFERROR(INDEX('TRANS'!$C:$C,MATCH($J758,'TRANS'!$B:$B,0)),IFERROR(INDEX('Catalog'!$B:$B,MATCH($J758,'Catalog'!$A:$A,0)),$B758)),$B758)</f>
        <v>922B XXL</v>
      </c>
      <c r="D758" s="19" t="n">
        <f aca="false">SUMIFS('SALES Raw'!$C$6:$C$4467,'SALES Raw'!$J$6:$J$4467,$J758,'SALES Raw'!$K$6:$K$4467,"Y")+SUMIFS('CEMIUP0.9 Raw'!$D$6:$D$1712,'CEMIUP0.9 Raw'!$B$6:$B$1712,$J758,'CEMIUP0.9 Raw'!$H$6:$H$1712,"Y")</f>
        <v>3</v>
      </c>
      <c r="E758" s="19" t="n">
        <f aca="false">SUMIFS('SALES Raw'!$D$6:$D$4467,'SALES Raw'!$J$6:$J$4467,$J758,'SALES Raw'!$K$6:$K$4467,"Y")+SUMIFS('CEMIUP0.9 Raw'!$E$6:$E$1712,'CEMIUP0.9 Raw'!$B$6:$B$1712,$J758,'CEMIUP0.9 Raw'!$H$6:$H$1712,"Y")</f>
        <v>321.97</v>
      </c>
      <c r="F758" s="19" t="n">
        <f aca="false">SUMIFS('SALES Raw'!$E$6:$E$4467,'SALES Raw'!$J$6:$J$4467,$J758,'SALES Raw'!$K$6:$K$4467,"Y")*$H$4+SUMIFS('CEMIUP0.9 Raw'!$F$6:$F$1712,'CEMIUP0.9 Raw'!$B$6:$B$1712,$J758,'CEMIUP0.9 Raw'!$H$6:$H$1712,"Y")</f>
        <v>1.26315789473684</v>
      </c>
      <c r="G758" s="19" t="n">
        <f aca="false">SUMIFS('SALES Raw'!$F$6:$F$4467,'SALES Raw'!$J$6:$J$4467,$J758,'SALES Raw'!$K$6:$K$4467,"Y")*$H$4+SUMIFS('CEMIUP0.9 Raw'!$G$6:$G$1712,'CEMIUP0.9 Raw'!$B$6:$B$1712,$J758,'CEMIUP0.9 Raw'!$H$6:$H$1712,"Y")</f>
        <v>113.684210526316</v>
      </c>
      <c r="H758" s="18" t="s">
        <v>44</v>
      </c>
      <c r="I758" s="18" t="s">
        <v>53</v>
      </c>
      <c r="J758" s="18" t="s">
        <v>339</v>
      </c>
    </row>
    <row r="759" customFormat="false" ht="15" hidden="false" customHeight="false" outlineLevel="0" collapsed="false">
      <c r="A759" s="18" t="str">
        <f aca="false">IF(ISNUMBER($J759),$J759,"")</f>
        <v/>
      </c>
      <c r="B759" s="18" t="str">
        <f aca="false">IFERROR(INDEX('SALES Raw'!$B$6:$B$4467,MATCH($J759,'SALES Raw'!$J$6:$J$4467,0)),IFERROR(INDEX('CEMIUP0.9 Raw'!$B$6:$B$1712,MATCH($J759,'CEMIUP0.9 Raw'!$B$6:$B$1712,0)),$J759))</f>
        <v>T43V XXL</v>
      </c>
      <c r="C759" s="18" t="str">
        <f aca="false">IF(ISNUMBER($J759),IFERROR(INDEX('TRANS'!$C:$C,MATCH($J759,'TRANS'!$B:$B,0)),IFERROR(INDEX('Catalog'!$B:$B,MATCH($J759,'Catalog'!$A:$A,0)),$B759)),$B759)</f>
        <v>T43V XXL</v>
      </c>
      <c r="D759" s="19" t="n">
        <f aca="false">SUMIFS('SALES Raw'!$C$6:$C$4467,'SALES Raw'!$J$6:$J$4467,$J759,'SALES Raw'!$K$6:$K$4467,"Y")+SUMIFS('CEMIUP0.9 Raw'!$D$6:$D$1712,'CEMIUP0.9 Raw'!$B$6:$B$1712,$J759,'CEMIUP0.9 Raw'!$H$6:$H$1712,"Y")</f>
        <v>2</v>
      </c>
      <c r="E759" s="19" t="n">
        <f aca="false">SUMIFS('SALES Raw'!$D$6:$D$4467,'SALES Raw'!$J$6:$J$4467,$J759,'SALES Raw'!$K$6:$K$4467,"Y")+SUMIFS('CEMIUP0.9 Raw'!$E$6:$E$1712,'CEMIUP0.9 Raw'!$B$6:$B$1712,$J759,'CEMIUP0.9 Raw'!$H$6:$H$1712,"Y")</f>
        <v>1128.8</v>
      </c>
      <c r="F759" s="19" t="n">
        <f aca="false">SUMIFS('SALES Raw'!$E$6:$E$4467,'SALES Raw'!$J$6:$J$4467,$J759,'SALES Raw'!$K$6:$K$4467,"Y")*$H$4+SUMIFS('CEMIUP0.9 Raw'!$F$6:$F$1712,'CEMIUP0.9 Raw'!$B$6:$B$1712,$J759,'CEMIUP0.9 Raw'!$H$6:$H$1712,"Y")</f>
        <v>1.26315789473684</v>
      </c>
      <c r="G759" s="19" t="n">
        <f aca="false">SUMIFS('SALES Raw'!$F$6:$F$4467,'SALES Raw'!$J$6:$J$4467,$J759,'SALES Raw'!$K$6:$K$4467,"Y")*$H$4+SUMIFS('CEMIUP0.9 Raw'!$G$6:$G$1712,'CEMIUP0.9 Raw'!$B$6:$B$1712,$J759,'CEMIUP0.9 Raw'!$H$6:$H$1712,"Y")</f>
        <v>920.488421052632</v>
      </c>
      <c r="H759" s="18" t="s">
        <v>42</v>
      </c>
      <c r="I759" s="18" t="s">
        <v>44</v>
      </c>
      <c r="J759" s="18" t="s">
        <v>340</v>
      </c>
    </row>
    <row r="760" customFormat="false" ht="15" hidden="false" customHeight="false" outlineLevel="0" collapsed="false">
      <c r="A760" s="18" t="str">
        <f aca="false">IF(ISNUMBER($J760),$J760,"")</f>
        <v/>
      </c>
      <c r="B760" s="18" t="str">
        <f aca="false">IFERROR(INDEX('SALES Raw'!$B$6:$B$4467,MATCH($J760,'SALES Raw'!$J$6:$J$4467,0)),IFERROR(INDEX('CEMIUP0.9 Raw'!$B$6:$B$1712,MATCH($J760,'CEMIUP0.9 Raw'!$B$6:$B$1712,0)),$J760))</f>
        <v>355 XL</v>
      </c>
      <c r="C760" s="18" t="str">
        <f aca="false">IF(ISNUMBER($J760),IFERROR(INDEX('TRANS'!$C:$C,MATCH($J760,'TRANS'!$B:$B,0)),IFERROR(INDEX('Catalog'!$B:$B,MATCH($J760,'Catalog'!$A:$A,0)),$B760)),$B760)</f>
        <v>355 XL</v>
      </c>
      <c r="D760" s="19" t="n">
        <f aca="false">SUMIFS('SALES Raw'!$C$6:$C$4467,'SALES Raw'!$J$6:$J$4467,$J760,'SALES Raw'!$K$6:$K$4467,"Y")+SUMIFS('CEMIUP0.9 Raw'!$D$6:$D$1712,'CEMIUP0.9 Raw'!$B$6:$B$1712,$J760,'CEMIUP0.9 Raw'!$H$6:$H$1712,"Y")</f>
        <v>3</v>
      </c>
      <c r="E760" s="19" t="n">
        <f aca="false">SUMIFS('SALES Raw'!$D$6:$D$4467,'SALES Raw'!$J$6:$J$4467,$J760,'SALES Raw'!$K$6:$K$4467,"Y")+SUMIFS('CEMIUP0.9 Raw'!$E$6:$E$1712,'CEMIUP0.9 Raw'!$B$6:$B$1712,$J760,'CEMIUP0.9 Raw'!$H$6:$H$1712,"Y")</f>
        <v>460</v>
      </c>
      <c r="F760" s="19" t="n">
        <f aca="false">SUMIFS('SALES Raw'!$E$6:$E$4467,'SALES Raw'!$J$6:$J$4467,$J760,'SALES Raw'!$K$6:$K$4467,"Y")*$H$4+SUMIFS('CEMIUP0.9 Raw'!$F$6:$F$1712,'CEMIUP0.9 Raw'!$B$6:$B$1712,$J760,'CEMIUP0.9 Raw'!$H$6:$H$1712,"Y")</f>
        <v>1.26315789473684</v>
      </c>
      <c r="G760" s="19" t="n">
        <f aca="false">SUMIFS('SALES Raw'!$F$6:$F$4467,'SALES Raw'!$J$6:$J$4467,$J760,'SALES Raw'!$K$6:$K$4467,"Y")*$H$4+SUMIFS('CEMIUP0.9 Raw'!$G$6:$G$1712,'CEMIUP0.9 Raw'!$B$6:$B$1712,$J760,'CEMIUP0.9 Raw'!$H$6:$H$1712,"Y")</f>
        <v>268.736842105263</v>
      </c>
      <c r="H760" s="18" t="s">
        <v>44</v>
      </c>
      <c r="I760" s="18" t="s">
        <v>53</v>
      </c>
      <c r="J760" s="18" t="s">
        <v>341</v>
      </c>
    </row>
    <row r="761" customFormat="false" ht="15" hidden="false" customHeight="false" outlineLevel="0" collapsed="false">
      <c r="A761" s="18" t="str">
        <f aca="false">IF(ISNUMBER($J761),$J761,"")</f>
        <v/>
      </c>
      <c r="B761" s="18" t="str">
        <f aca="false">IFERROR(INDEX('SALES Raw'!$B$6:$B$4467,MATCH($J761,'SALES Raw'!$J$6:$J$4467,0)),IFERROR(INDEX('CEMIUP0.9 Raw'!$B$6:$B$1712,MATCH($J761,'CEMIUP0.9 Raw'!$B$6:$B$1712,0)),$J761))</f>
        <v>T39 XS</v>
      </c>
      <c r="C761" s="18" t="str">
        <f aca="false">IF(ISNUMBER($J761),IFERROR(INDEX('TRANS'!$C:$C,MATCH($J761,'TRANS'!$B:$B,0)),IFERROR(INDEX('Catalog'!$B:$B,MATCH($J761,'Catalog'!$A:$A,0)),$B761)),$B761)</f>
        <v>T39 XS</v>
      </c>
      <c r="D761" s="19" t="n">
        <f aca="false">SUMIFS('SALES Raw'!$C$6:$C$4467,'SALES Raw'!$J$6:$J$4467,$J761,'SALES Raw'!$K$6:$K$4467,"Y")+SUMIFS('CEMIUP0.9 Raw'!$D$6:$D$1712,'CEMIUP0.9 Raw'!$B$6:$B$1712,$J761,'CEMIUP0.9 Raw'!$H$6:$H$1712,"Y")</f>
        <v>1</v>
      </c>
      <c r="E761" s="19" t="n">
        <f aca="false">SUMIFS('SALES Raw'!$D$6:$D$4467,'SALES Raw'!$J$6:$J$4467,$J761,'SALES Raw'!$K$6:$K$4467,"Y")+SUMIFS('CEMIUP0.9 Raw'!$E$6:$E$1712,'CEMIUP0.9 Raw'!$B$6:$B$1712,$J761,'CEMIUP0.9 Raw'!$H$6:$H$1712,"Y")</f>
        <v>107.76</v>
      </c>
      <c r="F761" s="19" t="n">
        <f aca="false">SUMIFS('SALES Raw'!$E$6:$E$4467,'SALES Raw'!$J$6:$J$4467,$J761,'SALES Raw'!$K$6:$K$4467,"Y")*$H$4+SUMIFS('CEMIUP0.9 Raw'!$F$6:$F$1712,'CEMIUP0.9 Raw'!$B$6:$B$1712,$J761,'CEMIUP0.9 Raw'!$H$6:$H$1712,"Y")</f>
        <v>1.26315789473684</v>
      </c>
      <c r="G761" s="19" t="n">
        <f aca="false">SUMIFS('SALES Raw'!$F$6:$F$4467,'SALES Raw'!$J$6:$J$4467,$J761,'SALES Raw'!$K$6:$K$4467,"Y")*$H$4+SUMIFS('CEMIUP0.9 Raw'!$G$6:$G$1712,'CEMIUP0.9 Raw'!$B$6:$B$1712,$J761,'CEMIUP0.9 Raw'!$H$6:$H$1712,"Y")</f>
        <v>246.101052631579</v>
      </c>
      <c r="H761" s="18" t="s">
        <v>42</v>
      </c>
      <c r="I761" s="18" t="s">
        <v>44</v>
      </c>
      <c r="J761" s="18" t="s">
        <v>342</v>
      </c>
    </row>
    <row r="762" customFormat="false" ht="15" hidden="false" customHeight="false" outlineLevel="0" collapsed="false">
      <c r="A762" s="18" t="str">
        <f aca="false">IF(ISNUMBER($J762),$J762,"")</f>
        <v/>
      </c>
      <c r="B762" s="18" t="str">
        <f aca="false">IFERROR(INDEX('SALES Raw'!$B$6:$B$4467,MATCH($J762,'SALES Raw'!$J$6:$J$4467,0)),IFERROR(INDEX('CEMIUP0.9 Raw'!$B$6:$B$1712,MATCH($J762,'CEMIUP0.9 Raw'!$B$6:$B$1712,0)),$J762))</f>
        <v>11NOR XL</v>
      </c>
      <c r="C762" s="18" t="str">
        <f aca="false">IF(ISNUMBER($J762),IFERROR(INDEX('TRANS'!$C:$C,MATCH($J762,'TRANS'!$B:$B,0)),IFERROR(INDEX('Catalog'!$B:$B,MATCH($J762,'Catalog'!$A:$A,0)),$B762)),$B762)</f>
        <v>11NOR XL</v>
      </c>
      <c r="D762" s="19" t="n">
        <f aca="false">SUMIFS('SALES Raw'!$C$6:$C$4467,'SALES Raw'!$J$6:$J$4467,$J762,'SALES Raw'!$K$6:$K$4467,"Y")+SUMIFS('CEMIUP0.9 Raw'!$D$6:$D$1712,'CEMIUP0.9 Raw'!$B$6:$B$1712,$J762,'CEMIUP0.9 Raw'!$H$6:$H$1712,"Y")</f>
        <v>5</v>
      </c>
      <c r="E762" s="19" t="n">
        <f aca="false">SUMIFS('SALES Raw'!$D$6:$D$4467,'SALES Raw'!$J$6:$J$4467,$J762,'SALES Raw'!$K$6:$K$4467,"Y")+SUMIFS('CEMIUP0.9 Raw'!$E$6:$E$1712,'CEMIUP0.9 Raw'!$B$6:$B$1712,$J762,'CEMIUP0.9 Raw'!$H$6:$H$1712,"Y")</f>
        <v>1569.01</v>
      </c>
      <c r="F762" s="19" t="n">
        <f aca="false">SUMIFS('SALES Raw'!$E$6:$E$4467,'SALES Raw'!$J$6:$J$4467,$J762,'SALES Raw'!$K$6:$K$4467,"Y")*$H$4+SUMIFS('CEMIUP0.9 Raw'!$F$6:$F$1712,'CEMIUP0.9 Raw'!$B$6:$B$1712,$J762,'CEMIUP0.9 Raw'!$H$6:$H$1712,"Y")</f>
        <v>1.26315789473684</v>
      </c>
      <c r="G762" s="19" t="n">
        <f aca="false">SUMIFS('SALES Raw'!$F$6:$F$4467,'SALES Raw'!$J$6:$J$4467,$J762,'SALES Raw'!$K$6:$K$4467,"Y")*$H$4+SUMIFS('CEMIUP0.9 Raw'!$G$6:$G$1712,'CEMIUP0.9 Raw'!$B$6:$B$1712,$J762,'CEMIUP0.9 Raw'!$H$6:$H$1712,"Y")</f>
        <v>208.421052631579</v>
      </c>
      <c r="H762" s="18" t="s">
        <v>44</v>
      </c>
      <c r="I762" s="18" t="s">
        <v>42</v>
      </c>
      <c r="J762" s="18" t="s">
        <v>343</v>
      </c>
    </row>
    <row r="763" customFormat="false" ht="15" hidden="false" customHeight="false" outlineLevel="0" collapsed="false">
      <c r="A763" s="18" t="str">
        <f aca="false">IF(ISNUMBER($J763),$J763,"")</f>
        <v/>
      </c>
      <c r="B763" s="18" t="str">
        <f aca="false">IFERROR(INDEX('SALES Raw'!$B$6:$B$4467,MATCH($J763,'SALES Raw'!$J$6:$J$4467,0)),IFERROR(INDEX('CEMIUP0.9 Raw'!$B$6:$B$1712,MATCH($J763,'CEMIUP0.9 Raw'!$B$6:$B$1712,0)),$J763))</f>
        <v>56B S</v>
      </c>
      <c r="C763" s="18" t="str">
        <f aca="false">IF(ISNUMBER($J763),IFERROR(INDEX('TRANS'!$C:$C,MATCH($J763,'TRANS'!$B:$B,0)),IFERROR(INDEX('Catalog'!$B:$B,MATCH($J763,'Catalog'!$A:$A,0)),$B763)),$B763)</f>
        <v>56B S</v>
      </c>
      <c r="D763" s="19" t="n">
        <f aca="false">SUMIFS('SALES Raw'!$C$6:$C$4467,'SALES Raw'!$J$6:$J$4467,$J763,'SALES Raw'!$K$6:$K$4467,"Y")+SUMIFS('CEMIUP0.9 Raw'!$D$6:$D$1712,'CEMIUP0.9 Raw'!$B$6:$B$1712,$J763,'CEMIUP0.9 Raw'!$H$6:$H$1712,"Y")</f>
        <v>0</v>
      </c>
      <c r="E763" s="19" t="n">
        <f aca="false">SUMIFS('SALES Raw'!$D$6:$D$4467,'SALES Raw'!$J$6:$J$4467,$J763,'SALES Raw'!$K$6:$K$4467,"Y")+SUMIFS('CEMIUP0.9 Raw'!$E$6:$E$1712,'CEMIUP0.9 Raw'!$B$6:$B$1712,$J763,'CEMIUP0.9 Raw'!$H$6:$H$1712,"Y")</f>
        <v>0</v>
      </c>
      <c r="F763" s="19" t="n">
        <f aca="false">SUMIFS('SALES Raw'!$E$6:$E$4467,'SALES Raw'!$J$6:$J$4467,$J763,'SALES Raw'!$K$6:$K$4467,"Y")*$H$4+SUMIFS('CEMIUP0.9 Raw'!$F$6:$F$1712,'CEMIUP0.9 Raw'!$B$6:$B$1712,$J763,'CEMIUP0.9 Raw'!$H$6:$H$1712,"Y")</f>
        <v>1.26315789473684</v>
      </c>
      <c r="G763" s="19" t="n">
        <f aca="false">SUMIFS('SALES Raw'!$F$6:$F$4467,'SALES Raw'!$J$6:$J$4467,$J763,'SALES Raw'!$K$6:$K$4467,"Y")*$H$4+SUMIFS('CEMIUP0.9 Raw'!$G$6:$G$1712,'CEMIUP0.9 Raw'!$B$6:$B$1712,$J763,'CEMIUP0.9 Raw'!$H$6:$H$1712,"Y")</f>
        <v>106.509473684211</v>
      </c>
      <c r="H763" s="18" t="s">
        <v>44</v>
      </c>
      <c r="I763" s="18"/>
      <c r="J763" s="18" t="s">
        <v>344</v>
      </c>
    </row>
    <row r="764" customFormat="false" ht="15" hidden="false" customHeight="false" outlineLevel="0" collapsed="false">
      <c r="A764" s="18" t="str">
        <f aca="false">IF(ISNUMBER($J764),$J764,"")</f>
        <v/>
      </c>
      <c r="B764" s="18" t="str">
        <f aca="false">IFERROR(INDEX('SALES Raw'!$B$6:$B$4467,MATCH($J764,'SALES Raw'!$J$6:$J$4467,0)),IFERROR(INDEX('CEMIUP0.9 Raw'!$B$6:$B$1712,MATCH($J764,'CEMIUP0.9 Raw'!$B$6:$B$1712,0)),$J764))</f>
        <v>VMSPCB50 0</v>
      </c>
      <c r="C764" s="18" t="str">
        <f aca="false">IF(ISNUMBER($J764),IFERROR(INDEX('TRANS'!$C:$C,MATCH($J764,'TRANS'!$B:$B,0)),IFERROR(INDEX('Catalog'!$B:$B,MATCH($J764,'Catalog'!$A:$A,0)),$B764)),$B764)</f>
        <v>VMSPCB50 0</v>
      </c>
      <c r="D764" s="19" t="n">
        <f aca="false">SUMIFS('SALES Raw'!$C$6:$C$4467,'SALES Raw'!$J$6:$J$4467,$J764,'SALES Raw'!$K$6:$K$4467,"Y")+SUMIFS('CEMIUP0.9 Raw'!$D$6:$D$1712,'CEMIUP0.9 Raw'!$B$6:$B$1712,$J764,'CEMIUP0.9 Raw'!$H$6:$H$1712,"Y")</f>
        <v>0</v>
      </c>
      <c r="E764" s="19" t="n">
        <f aca="false">SUMIFS('SALES Raw'!$D$6:$D$4467,'SALES Raw'!$J$6:$J$4467,$J764,'SALES Raw'!$K$6:$K$4467,"Y")+SUMIFS('CEMIUP0.9 Raw'!$E$6:$E$1712,'CEMIUP0.9 Raw'!$B$6:$B$1712,$J764,'CEMIUP0.9 Raw'!$H$6:$H$1712,"Y")</f>
        <v>0</v>
      </c>
      <c r="F764" s="19" t="n">
        <f aca="false">SUMIFS('SALES Raw'!$E$6:$E$4467,'SALES Raw'!$J$6:$J$4467,$J764,'SALES Raw'!$K$6:$K$4467,"Y")*$H$4+SUMIFS('CEMIUP0.9 Raw'!$F$6:$F$1712,'CEMIUP0.9 Raw'!$B$6:$B$1712,$J764,'CEMIUP0.9 Raw'!$H$6:$H$1712,"Y")</f>
        <v>1.26315789473684</v>
      </c>
      <c r="G764" s="19" t="n">
        <f aca="false">SUMIFS('SALES Raw'!$F$6:$F$4467,'SALES Raw'!$J$6:$J$4467,$J764,'SALES Raw'!$K$6:$K$4467,"Y")*$H$4+SUMIFS('CEMIUP0.9 Raw'!$G$6:$G$1712,'CEMIUP0.9 Raw'!$B$6:$B$1712,$J764,'CEMIUP0.9 Raw'!$H$6:$H$1712,"Y")</f>
        <v>44.16</v>
      </c>
      <c r="H764" s="18" t="s">
        <v>44</v>
      </c>
      <c r="I764" s="18"/>
      <c r="J764" s="18" t="s">
        <v>345</v>
      </c>
    </row>
    <row r="765" customFormat="false" ht="15" hidden="false" customHeight="false" outlineLevel="0" collapsed="false">
      <c r="A765" s="18" t="str">
        <f aca="false">IF(ISNUMBER($J765),$J765,"")</f>
        <v/>
      </c>
      <c r="B765" s="18" t="str">
        <f aca="false">IFERROR(INDEX('SALES Raw'!$B$6:$B$4467,MATCH($J765,'SALES Raw'!$J$6:$J$4467,0)),IFERROR(INDEX('CEMIUP0.9 Raw'!$B$6:$B$1712,MATCH($J765,'CEMIUP0.9 Raw'!$B$6:$B$1712,0)),$J765))</f>
        <v>28 XXL</v>
      </c>
      <c r="C765" s="18" t="str">
        <f aca="false">IF(ISNUMBER($J765),IFERROR(INDEX('TRANS'!$C:$C,MATCH($J765,'TRANS'!$B:$B,0)),IFERROR(INDEX('Catalog'!$B:$B,MATCH($J765,'Catalog'!$A:$A,0)),$B765)),$B765)</f>
        <v>28 XXL</v>
      </c>
      <c r="D765" s="19" t="n">
        <f aca="false">SUMIFS('SALES Raw'!$C$6:$C$4467,'SALES Raw'!$J$6:$J$4467,$J765,'SALES Raw'!$K$6:$K$4467,"Y")+SUMIFS('CEMIUP0.9 Raw'!$D$6:$D$1712,'CEMIUP0.9 Raw'!$B$6:$B$1712,$J765,'CEMIUP0.9 Raw'!$H$6:$H$1712,"Y")</f>
        <v>0</v>
      </c>
      <c r="E765" s="19" t="n">
        <f aca="false">SUMIFS('SALES Raw'!$D$6:$D$4467,'SALES Raw'!$J$6:$J$4467,$J765,'SALES Raw'!$K$6:$K$4467,"Y")+SUMIFS('CEMIUP0.9 Raw'!$E$6:$E$1712,'CEMIUP0.9 Raw'!$B$6:$B$1712,$J765,'CEMIUP0.9 Raw'!$H$6:$H$1712,"Y")</f>
        <v>0</v>
      </c>
      <c r="F765" s="19" t="n">
        <f aca="false">SUMIFS('SALES Raw'!$E$6:$E$4467,'SALES Raw'!$J$6:$J$4467,$J765,'SALES Raw'!$K$6:$K$4467,"Y")*$H$4+SUMIFS('CEMIUP0.9 Raw'!$F$6:$F$1712,'CEMIUP0.9 Raw'!$B$6:$B$1712,$J765,'CEMIUP0.9 Raw'!$H$6:$H$1712,"Y")</f>
        <v>1.26315789473684</v>
      </c>
      <c r="G765" s="19" t="n">
        <f aca="false">SUMIFS('SALES Raw'!$F$6:$F$4467,'SALES Raw'!$J$6:$J$4467,$J765,'SALES Raw'!$K$6:$K$4467,"Y")*$H$4+SUMIFS('CEMIUP0.9 Raw'!$G$6:$G$1712,'CEMIUP0.9 Raw'!$B$6:$B$1712,$J765,'CEMIUP0.9 Raw'!$H$6:$H$1712,"Y")</f>
        <v>130.193684210526</v>
      </c>
      <c r="H765" s="18" t="s">
        <v>44</v>
      </c>
      <c r="I765" s="18"/>
      <c r="J765" s="18" t="s">
        <v>346</v>
      </c>
    </row>
    <row r="766" customFormat="false" ht="15" hidden="false" customHeight="false" outlineLevel="0" collapsed="false">
      <c r="A766" s="18" t="str">
        <f aca="false">IF(ISNUMBER($J766),$J766,"")</f>
        <v/>
      </c>
      <c r="B766" s="18" t="str">
        <f aca="false">IFERROR(INDEX('SALES Raw'!$B$6:$B$4467,MATCH($J766,'SALES Raw'!$J$6:$J$4467,0)),IFERROR(INDEX('CEMIUP0.9 Raw'!$B$6:$B$1712,MATCH($J766,'CEMIUP0.9 Raw'!$B$6:$B$1712,0)),$J766))</f>
        <v>11STOB XXL</v>
      </c>
      <c r="C766" s="18" t="str">
        <f aca="false">IF(ISNUMBER($J766),IFERROR(INDEX('TRANS'!$C:$C,MATCH($J766,'TRANS'!$B:$B,0)),IFERROR(INDEX('Catalog'!$B:$B,MATCH($J766,'Catalog'!$A:$A,0)),$B766)),$B766)</f>
        <v>11STOB XXL</v>
      </c>
      <c r="D766" s="19" t="n">
        <f aca="false">SUMIFS('SALES Raw'!$C$6:$C$4467,'SALES Raw'!$J$6:$J$4467,$J766,'SALES Raw'!$K$6:$K$4467,"Y")+SUMIFS('CEMIUP0.9 Raw'!$D$6:$D$1712,'CEMIUP0.9 Raw'!$B$6:$B$1712,$J766,'CEMIUP0.9 Raw'!$H$6:$H$1712,"Y")</f>
        <v>0</v>
      </c>
      <c r="E766" s="19" t="n">
        <f aca="false">SUMIFS('SALES Raw'!$D$6:$D$4467,'SALES Raw'!$J$6:$J$4467,$J766,'SALES Raw'!$K$6:$K$4467,"Y")+SUMIFS('CEMIUP0.9 Raw'!$E$6:$E$1712,'CEMIUP0.9 Raw'!$B$6:$B$1712,$J766,'CEMIUP0.9 Raw'!$H$6:$H$1712,"Y")</f>
        <v>0</v>
      </c>
      <c r="F766" s="19" t="n">
        <f aca="false">SUMIFS('SALES Raw'!$E$6:$E$4467,'SALES Raw'!$J$6:$J$4467,$J766,'SALES Raw'!$K$6:$K$4467,"Y")*$H$4+SUMIFS('CEMIUP0.9 Raw'!$F$6:$F$1712,'CEMIUP0.9 Raw'!$B$6:$B$1712,$J766,'CEMIUP0.9 Raw'!$H$6:$H$1712,"Y")</f>
        <v>1.26315789473684</v>
      </c>
      <c r="G766" s="19" t="n">
        <f aca="false">SUMIFS('SALES Raw'!$F$6:$F$4467,'SALES Raw'!$J$6:$J$4467,$J766,'SALES Raw'!$K$6:$K$4467,"Y")*$H$4+SUMIFS('CEMIUP0.9 Raw'!$G$6:$G$1712,'CEMIUP0.9 Raw'!$B$6:$B$1712,$J766,'CEMIUP0.9 Raw'!$H$6:$H$1712,"Y")</f>
        <v>132.631578947368</v>
      </c>
      <c r="H766" s="18" t="s">
        <v>44</v>
      </c>
      <c r="I766" s="18"/>
      <c r="J766" s="18" t="s">
        <v>347</v>
      </c>
    </row>
    <row r="767" customFormat="false" ht="15" hidden="false" customHeight="false" outlineLevel="0" collapsed="false">
      <c r="A767" s="18" t="str">
        <f aca="false">IF(ISNUMBER($J767),$J767,"")</f>
        <v/>
      </c>
      <c r="B767" s="18" t="str">
        <f aca="false">IFERROR(INDEX('SALES Raw'!$B$6:$B$4467,MATCH($J767,'SALES Raw'!$J$6:$J$4467,0)),IFERROR(INDEX('CEMIUP0.9 Raw'!$B$6:$B$1712,MATCH($J767,'CEMIUP0.9 Raw'!$B$6:$B$1712,0)),$J767))</f>
        <v>88L- L-XL</v>
      </c>
      <c r="C767" s="18" t="str">
        <f aca="false">IF(ISNUMBER($J767),IFERROR(INDEX('TRANS'!$C:$C,MATCH($J767,'TRANS'!$B:$B,0)),IFERROR(INDEX('Catalog'!$B:$B,MATCH($J767,'Catalog'!$A:$A,0)),$B767)),$B767)</f>
        <v>88L- L-XL</v>
      </c>
      <c r="D767" s="19" t="n">
        <f aca="false">SUMIFS('SALES Raw'!$C$6:$C$4467,'SALES Raw'!$J$6:$J$4467,$J767,'SALES Raw'!$K$6:$K$4467,"Y")+SUMIFS('CEMIUP0.9 Raw'!$D$6:$D$1712,'CEMIUP0.9 Raw'!$B$6:$B$1712,$J767,'CEMIUP0.9 Raw'!$H$6:$H$1712,"Y")</f>
        <v>3</v>
      </c>
      <c r="E767" s="19" t="n">
        <f aca="false">SUMIFS('SALES Raw'!$D$6:$D$4467,'SALES Raw'!$J$6:$J$4467,$J767,'SALES Raw'!$K$6:$K$4467,"Y")+SUMIFS('CEMIUP0.9 Raw'!$E$6:$E$1712,'CEMIUP0.9 Raw'!$B$6:$B$1712,$J767,'CEMIUP0.9 Raw'!$H$6:$H$1712,"Y")</f>
        <v>1404.02</v>
      </c>
      <c r="F767" s="19" t="n">
        <f aca="false">SUMIFS('SALES Raw'!$E$6:$E$4467,'SALES Raw'!$J$6:$J$4467,$J767,'SALES Raw'!$K$6:$K$4467,"Y")*$H$4+SUMIFS('CEMIUP0.9 Raw'!$F$6:$F$1712,'CEMIUP0.9 Raw'!$B$6:$B$1712,$J767,'CEMIUP0.9 Raw'!$H$6:$H$1712,"Y")</f>
        <v>1.26315789473684</v>
      </c>
      <c r="G767" s="19" t="n">
        <f aca="false">SUMIFS('SALES Raw'!$F$6:$F$4467,'SALES Raw'!$J$6:$J$4467,$J767,'SALES Raw'!$K$6:$K$4467,"Y")*$H$4+SUMIFS('CEMIUP0.9 Raw'!$G$6:$G$1712,'CEMIUP0.9 Raw'!$B$6:$B$1712,$J767,'CEMIUP0.9 Raw'!$H$6:$H$1712,"Y")</f>
        <v>626.134736842105</v>
      </c>
      <c r="H767" s="18" t="s">
        <v>42</v>
      </c>
      <c r="I767" s="18" t="s">
        <v>44</v>
      </c>
      <c r="J767" s="18" t="s">
        <v>348</v>
      </c>
    </row>
    <row r="768" customFormat="false" ht="15" hidden="false" customHeight="false" outlineLevel="0" collapsed="false">
      <c r="A768" s="18" t="str">
        <f aca="false">IF(ISNUMBER($J768),$J768,"")</f>
        <v/>
      </c>
      <c r="B768" s="18" t="str">
        <f aca="false">IFERROR(INDEX('SALES Raw'!$B$6:$B$4467,MATCH($J768,'SALES Raw'!$J$6:$J$4467,0)),IFERROR(INDEX('CEMIUP0.9 Raw'!$B$6:$B$1712,MATCH($J768,'CEMIUP0.9 Raw'!$B$6:$B$1712,0)),$J768))</f>
        <v>60 XS</v>
      </c>
      <c r="C768" s="18" t="str">
        <f aca="false">IF(ISNUMBER($J768),IFERROR(INDEX('TRANS'!$C:$C,MATCH($J768,'TRANS'!$B:$B,0)),IFERROR(INDEX('Catalog'!$B:$B,MATCH($J768,'Catalog'!$A:$A,0)),$B768)),$B768)</f>
        <v>60 XS</v>
      </c>
      <c r="D768" s="19" t="n">
        <f aca="false">SUMIFS('SALES Raw'!$C$6:$C$4467,'SALES Raw'!$J$6:$J$4467,$J768,'SALES Raw'!$K$6:$K$4467,"Y")+SUMIFS('CEMIUP0.9 Raw'!$D$6:$D$1712,'CEMIUP0.9 Raw'!$B$6:$B$1712,$J768,'CEMIUP0.9 Raw'!$H$6:$H$1712,"Y")</f>
        <v>8</v>
      </c>
      <c r="E768" s="19" t="n">
        <f aca="false">SUMIFS('SALES Raw'!$D$6:$D$4467,'SALES Raw'!$J$6:$J$4467,$J768,'SALES Raw'!$K$6:$K$4467,"Y")+SUMIFS('CEMIUP0.9 Raw'!$E$6:$E$1712,'CEMIUP0.9 Raw'!$B$6:$B$1712,$J768,'CEMIUP0.9 Raw'!$H$6:$H$1712,"Y")</f>
        <v>543.8</v>
      </c>
      <c r="F768" s="19" t="n">
        <f aca="false">SUMIFS('SALES Raw'!$E$6:$E$4467,'SALES Raw'!$J$6:$J$4467,$J768,'SALES Raw'!$K$6:$K$4467,"Y")*$H$4+SUMIFS('CEMIUP0.9 Raw'!$F$6:$F$1712,'CEMIUP0.9 Raw'!$B$6:$B$1712,$J768,'CEMIUP0.9 Raw'!$H$6:$H$1712,"Y")</f>
        <v>1.26315789473684</v>
      </c>
      <c r="G768" s="19" t="n">
        <f aca="false">SUMIFS('SALES Raw'!$F$6:$F$4467,'SALES Raw'!$J$6:$J$4467,$J768,'SALES Raw'!$K$6:$K$4467,"Y")*$H$4+SUMIFS('CEMIUP0.9 Raw'!$G$6:$G$1712,'CEMIUP0.9 Raw'!$B$6:$B$1712,$J768,'CEMIUP0.9 Raw'!$H$6:$H$1712,"Y")</f>
        <v>62.6905263157895</v>
      </c>
      <c r="H768" s="18" t="s">
        <v>53</v>
      </c>
      <c r="I768" s="18" t="s">
        <v>44</v>
      </c>
      <c r="J768" s="18" t="s">
        <v>349</v>
      </c>
    </row>
    <row r="769" customFormat="false" ht="15" hidden="false" customHeight="false" outlineLevel="0" collapsed="false">
      <c r="A769" s="18" t="str">
        <f aca="false">IF(ISNUMBER($J769),$J769,"")</f>
        <v/>
      </c>
      <c r="B769" s="18" t="str">
        <f aca="false">IFERROR(INDEX('SALES Raw'!$B$6:$B$4467,MATCH($J769,'SALES Raw'!$J$6:$J$4467,0)),IFERROR(INDEX('CEMIUP0.9 Raw'!$B$6:$B$1712,MATCH($J769,'CEMIUP0.9 Raw'!$B$6:$B$1712,0)),$J769))</f>
        <v>11PS M</v>
      </c>
      <c r="C769" s="18" t="str">
        <f aca="false">IF(ISNUMBER($J769),IFERROR(INDEX('TRANS'!$C:$C,MATCH($J769,'TRANS'!$B:$B,0)),IFERROR(INDEX('Catalog'!$B:$B,MATCH($J769,'Catalog'!$A:$A,0)),$B769)),$B769)</f>
        <v>11PS M</v>
      </c>
      <c r="D769" s="19" t="n">
        <f aca="false">SUMIFS('SALES Raw'!$C$6:$C$4467,'SALES Raw'!$J$6:$J$4467,$J769,'SALES Raw'!$K$6:$K$4467,"Y")+SUMIFS('CEMIUP0.9 Raw'!$D$6:$D$1712,'CEMIUP0.9 Raw'!$B$6:$B$1712,$J769,'CEMIUP0.9 Raw'!$H$6:$H$1712,"Y")</f>
        <v>6</v>
      </c>
      <c r="E769" s="19" t="n">
        <f aca="false">SUMIFS('SALES Raw'!$D$6:$D$4467,'SALES Raw'!$J$6:$J$4467,$J769,'SALES Raw'!$K$6:$K$4467,"Y")+SUMIFS('CEMIUP0.9 Raw'!$E$6:$E$1712,'CEMIUP0.9 Raw'!$B$6:$B$1712,$J769,'CEMIUP0.9 Raw'!$H$6:$H$1712,"Y")</f>
        <v>1083.27</v>
      </c>
      <c r="F769" s="19" t="n">
        <f aca="false">SUMIFS('SALES Raw'!$E$6:$E$4467,'SALES Raw'!$J$6:$J$4467,$J769,'SALES Raw'!$K$6:$K$4467,"Y")*$H$4+SUMIFS('CEMIUP0.9 Raw'!$F$6:$F$1712,'CEMIUP0.9 Raw'!$B$6:$B$1712,$J769,'CEMIUP0.9 Raw'!$H$6:$H$1712,"Y")</f>
        <v>1.26315789473684</v>
      </c>
      <c r="G769" s="19" t="n">
        <f aca="false">SUMIFS('SALES Raw'!$F$6:$F$4467,'SALES Raw'!$J$6:$J$4467,$J769,'SALES Raw'!$K$6:$K$4467,"Y")*$H$4+SUMIFS('CEMIUP0.9 Raw'!$G$6:$G$1712,'CEMIUP0.9 Raw'!$B$6:$B$1712,$J769,'CEMIUP0.9 Raw'!$H$6:$H$1712,"Y")</f>
        <v>279.296842105263</v>
      </c>
      <c r="H769" s="18" t="s">
        <v>42</v>
      </c>
      <c r="I769" s="18" t="s">
        <v>44</v>
      </c>
      <c r="J769" s="18" t="s">
        <v>350</v>
      </c>
    </row>
    <row r="770" customFormat="false" ht="15" hidden="false" customHeight="false" outlineLevel="0" collapsed="false">
      <c r="A770" s="18" t="str">
        <f aca="false">IF(ISNUMBER($J770),$J770,"")</f>
        <v/>
      </c>
      <c r="B770" s="18" t="str">
        <f aca="false">IFERROR(INDEX('SALES Raw'!$B$6:$B$4467,MATCH($J770,'SALES Raw'!$J$6:$J$4467,0)),IFERROR(INDEX('CEMIUP0.9 Raw'!$B$6:$B$1712,MATCH($J770,'CEMIUP0.9 Raw'!$B$6:$B$1712,0)),$J770))</f>
        <v>422ED XXL</v>
      </c>
      <c r="C770" s="18" t="str">
        <f aca="false">IF(ISNUMBER($J770),IFERROR(INDEX('TRANS'!$C:$C,MATCH($J770,'TRANS'!$B:$B,0)),IFERROR(INDEX('Catalog'!$B:$B,MATCH($J770,'Catalog'!$A:$A,0)),$B770)),$B770)</f>
        <v>422ED XXL</v>
      </c>
      <c r="D770" s="19" t="n">
        <f aca="false">SUMIFS('SALES Raw'!$C$6:$C$4467,'SALES Raw'!$J$6:$J$4467,$J770,'SALES Raw'!$K$6:$K$4467,"Y")+SUMIFS('CEMIUP0.9 Raw'!$D$6:$D$1712,'CEMIUP0.9 Raw'!$B$6:$B$1712,$J770,'CEMIUP0.9 Raw'!$H$6:$H$1712,"Y")</f>
        <v>-1</v>
      </c>
      <c r="E770" s="19" t="n">
        <f aca="false">SUMIFS('SALES Raw'!$D$6:$D$4467,'SALES Raw'!$J$6:$J$4467,$J770,'SALES Raw'!$K$6:$K$4467,"Y")+SUMIFS('CEMIUP0.9 Raw'!$E$6:$E$1712,'CEMIUP0.9 Raw'!$B$6:$B$1712,$J770,'CEMIUP0.9 Raw'!$H$6:$H$1712,"Y")</f>
        <v>-441.17</v>
      </c>
      <c r="F770" s="19" t="n">
        <f aca="false">SUMIFS('SALES Raw'!$E$6:$E$4467,'SALES Raw'!$J$6:$J$4467,$J770,'SALES Raw'!$K$6:$K$4467,"Y")*$H$4+SUMIFS('CEMIUP0.9 Raw'!$F$6:$F$1712,'CEMIUP0.9 Raw'!$B$6:$B$1712,$J770,'CEMIUP0.9 Raw'!$H$6:$H$1712,"Y")</f>
        <v>1.26315789473684</v>
      </c>
      <c r="G770" s="19" t="n">
        <f aca="false">SUMIFS('SALES Raw'!$F$6:$F$4467,'SALES Raw'!$J$6:$J$4467,$J770,'SALES Raw'!$K$6:$K$4467,"Y")*$H$4+SUMIFS('CEMIUP0.9 Raw'!$G$6:$G$1712,'CEMIUP0.9 Raw'!$B$6:$B$1712,$J770,'CEMIUP0.9 Raw'!$H$6:$H$1712,"Y")</f>
        <v>417.953684210526</v>
      </c>
      <c r="H770" s="18" t="s">
        <v>44</v>
      </c>
      <c r="I770" s="18" t="s">
        <v>48</v>
      </c>
      <c r="J770" s="18" t="s">
        <v>351</v>
      </c>
    </row>
    <row r="771" customFormat="false" ht="15" hidden="false" customHeight="false" outlineLevel="0" collapsed="false">
      <c r="A771" s="18" t="str">
        <f aca="false">IF(ISNUMBER($J771),$J771,"")</f>
        <v/>
      </c>
      <c r="B771" s="18" t="str">
        <f aca="false">IFERROR(INDEX('SALES Raw'!$B$6:$B$4467,MATCH($J771,'SALES Raw'!$J$6:$J$4467,0)),IFERROR(INDEX('CEMIUP0.9 Raw'!$B$6:$B$1712,MATCH($J771,'CEMIUP0.9 Raw'!$B$6:$B$1712,0)),$J771))</f>
        <v>T28A XXL</v>
      </c>
      <c r="C771" s="18" t="str">
        <f aca="false">IF(ISNUMBER($J771),IFERROR(INDEX('TRANS'!$C:$C,MATCH($J771,'TRANS'!$B:$B,0)),IFERROR(INDEX('Catalog'!$B:$B,MATCH($J771,'Catalog'!$A:$A,0)),$B771)),$B771)</f>
        <v>T28A XXL</v>
      </c>
      <c r="D771" s="19" t="n">
        <f aca="false">SUMIFS('SALES Raw'!$C$6:$C$4467,'SALES Raw'!$J$6:$J$4467,$J771,'SALES Raw'!$K$6:$K$4467,"Y")+SUMIFS('CEMIUP0.9 Raw'!$D$6:$D$1712,'CEMIUP0.9 Raw'!$B$6:$B$1712,$J771,'CEMIUP0.9 Raw'!$H$6:$H$1712,"Y")</f>
        <v>1</v>
      </c>
      <c r="E771" s="19" t="n">
        <f aca="false">SUMIFS('SALES Raw'!$D$6:$D$4467,'SALES Raw'!$J$6:$J$4467,$J771,'SALES Raw'!$K$6:$K$4467,"Y")+SUMIFS('CEMIUP0.9 Raw'!$E$6:$E$1712,'CEMIUP0.9 Raw'!$B$6:$B$1712,$J771,'CEMIUP0.9 Raw'!$H$6:$H$1712,"Y")</f>
        <v>127.03</v>
      </c>
      <c r="F771" s="19" t="n">
        <f aca="false">SUMIFS('SALES Raw'!$E$6:$E$4467,'SALES Raw'!$J$6:$J$4467,$J771,'SALES Raw'!$K$6:$K$4467,"Y")*$H$4+SUMIFS('CEMIUP0.9 Raw'!$F$6:$F$1712,'CEMIUP0.9 Raw'!$B$6:$B$1712,$J771,'CEMIUP0.9 Raw'!$H$6:$H$1712,"Y")</f>
        <v>1.26315789473684</v>
      </c>
      <c r="G771" s="19" t="n">
        <f aca="false">SUMIFS('SALES Raw'!$F$6:$F$4467,'SALES Raw'!$J$6:$J$4467,$J771,'SALES Raw'!$K$6:$K$4467,"Y")*$H$4+SUMIFS('CEMIUP0.9 Raw'!$G$6:$G$1712,'CEMIUP0.9 Raw'!$B$6:$B$1712,$J771,'CEMIUP0.9 Raw'!$H$6:$H$1712,"Y")</f>
        <v>88.7494736842105</v>
      </c>
      <c r="H771" s="18" t="s">
        <v>44</v>
      </c>
      <c r="I771" s="18" t="s">
        <v>42</v>
      </c>
      <c r="J771" s="18" t="s">
        <v>352</v>
      </c>
    </row>
    <row r="772" customFormat="false" ht="15" hidden="false" customHeight="false" outlineLevel="0" collapsed="false">
      <c r="A772" s="18" t="str">
        <f aca="false">IF(ISNUMBER($J772),$J772,"")</f>
        <v/>
      </c>
      <c r="B772" s="18" t="str">
        <f aca="false">IFERROR(INDEX('SALES Raw'!$B$6:$B$4467,MATCH($J772,'SALES Raw'!$J$6:$J$4467,0)),IFERROR(INDEX('CEMIUP0.9 Raw'!$B$6:$B$1712,MATCH($J772,'CEMIUP0.9 Raw'!$B$6:$B$1712,0)),$J772))</f>
        <v>11NOR M</v>
      </c>
      <c r="C772" s="18" t="str">
        <f aca="false">IF(ISNUMBER($J772),IFERROR(INDEX('TRANS'!$C:$C,MATCH($J772,'TRANS'!$B:$B,0)),IFERROR(INDEX('Catalog'!$B:$B,MATCH($J772,'Catalog'!$A:$A,0)),$B772)),$B772)</f>
        <v>11NOR M</v>
      </c>
      <c r="D772" s="19" t="n">
        <f aca="false">SUMIFS('SALES Raw'!$C$6:$C$4467,'SALES Raw'!$J$6:$J$4467,$J772,'SALES Raw'!$K$6:$K$4467,"Y")+SUMIFS('CEMIUP0.9 Raw'!$D$6:$D$1712,'CEMIUP0.9 Raw'!$B$6:$B$1712,$J772,'CEMIUP0.9 Raw'!$H$6:$H$1712,"Y")</f>
        <v>0</v>
      </c>
      <c r="E772" s="19" t="n">
        <f aca="false">SUMIFS('SALES Raw'!$D$6:$D$4467,'SALES Raw'!$J$6:$J$4467,$J772,'SALES Raw'!$K$6:$K$4467,"Y")+SUMIFS('CEMIUP0.9 Raw'!$E$6:$E$1712,'CEMIUP0.9 Raw'!$B$6:$B$1712,$J772,'CEMIUP0.9 Raw'!$H$6:$H$1712,"Y")</f>
        <v>0</v>
      </c>
      <c r="F772" s="19" t="n">
        <f aca="false">SUMIFS('SALES Raw'!$E$6:$E$4467,'SALES Raw'!$J$6:$J$4467,$J772,'SALES Raw'!$K$6:$K$4467,"Y")*$H$4+SUMIFS('CEMIUP0.9 Raw'!$F$6:$F$1712,'CEMIUP0.9 Raw'!$B$6:$B$1712,$J772,'CEMIUP0.9 Raw'!$H$6:$H$1712,"Y")</f>
        <v>1.26315789473684</v>
      </c>
      <c r="G772" s="19" t="n">
        <f aca="false">SUMIFS('SALES Raw'!$F$6:$F$4467,'SALES Raw'!$J$6:$J$4467,$J772,'SALES Raw'!$K$6:$K$4467,"Y")*$H$4+SUMIFS('CEMIUP0.9 Raw'!$G$6:$G$1712,'CEMIUP0.9 Raw'!$B$6:$B$1712,$J772,'CEMIUP0.9 Raw'!$H$6:$H$1712,"Y")</f>
        <v>208.421052631579</v>
      </c>
      <c r="H772" s="18" t="s">
        <v>44</v>
      </c>
      <c r="I772" s="18"/>
      <c r="J772" s="18" t="s">
        <v>353</v>
      </c>
    </row>
    <row r="773" customFormat="false" ht="15" hidden="false" customHeight="false" outlineLevel="0" collapsed="false">
      <c r="A773" s="18" t="str">
        <f aca="false">IF(ISNUMBER($J773),$J773,"")</f>
        <v/>
      </c>
      <c r="B773" s="18" t="str">
        <f aca="false">IFERROR(INDEX('SALES Raw'!$B$6:$B$4467,MATCH($J773,'SALES Raw'!$J$6:$J$4467,0)),IFERROR(INDEX('CEMIUP0.9 Raw'!$B$6:$B$1712,MATCH($J773,'CEMIUP0.9 Raw'!$B$6:$B$1712,0)),$J773))</f>
        <v>32 S</v>
      </c>
      <c r="C773" s="18" t="str">
        <f aca="false">IF(ISNUMBER($J773),IFERROR(INDEX('TRANS'!$C:$C,MATCH($J773,'TRANS'!$B:$B,0)),IFERROR(INDEX('Catalog'!$B:$B,MATCH($J773,'Catalog'!$A:$A,0)),$B773)),$B773)</f>
        <v>32 S</v>
      </c>
      <c r="D773" s="19" t="n">
        <f aca="false">SUMIFS('SALES Raw'!$C$6:$C$4467,'SALES Raw'!$J$6:$J$4467,$J773,'SALES Raw'!$K$6:$K$4467,"Y")+SUMIFS('CEMIUP0.9 Raw'!$D$6:$D$1712,'CEMIUP0.9 Raw'!$B$6:$B$1712,$J773,'CEMIUP0.9 Raw'!$H$6:$H$1712,"Y")</f>
        <v>0</v>
      </c>
      <c r="E773" s="19" t="n">
        <f aca="false">SUMIFS('SALES Raw'!$D$6:$D$4467,'SALES Raw'!$J$6:$J$4467,$J773,'SALES Raw'!$K$6:$K$4467,"Y")+SUMIFS('CEMIUP0.9 Raw'!$E$6:$E$1712,'CEMIUP0.9 Raw'!$B$6:$B$1712,$J773,'CEMIUP0.9 Raw'!$H$6:$H$1712,"Y")</f>
        <v>0</v>
      </c>
      <c r="F773" s="19" t="n">
        <f aca="false">SUMIFS('SALES Raw'!$E$6:$E$4467,'SALES Raw'!$J$6:$J$4467,$J773,'SALES Raw'!$K$6:$K$4467,"Y")*$H$4+SUMIFS('CEMIUP0.9 Raw'!$F$6:$F$1712,'CEMIUP0.9 Raw'!$B$6:$B$1712,$J773,'CEMIUP0.9 Raw'!$H$6:$H$1712,"Y")</f>
        <v>1.26315789473684</v>
      </c>
      <c r="G773" s="19" t="n">
        <f aca="false">SUMIFS('SALES Raw'!$F$6:$F$4467,'SALES Raw'!$J$6:$J$4467,$J773,'SALES Raw'!$K$6:$K$4467,"Y")*$H$4+SUMIFS('CEMIUP0.9 Raw'!$G$6:$G$1712,'CEMIUP0.9 Raw'!$B$6:$B$1712,$J773,'CEMIUP0.9 Raw'!$H$6:$H$1712,"Y")</f>
        <v>170.513684210526</v>
      </c>
      <c r="H773" s="18" t="s">
        <v>53</v>
      </c>
      <c r="I773" s="18"/>
      <c r="J773" s="18" t="s">
        <v>354</v>
      </c>
    </row>
    <row r="774" customFormat="false" ht="15" hidden="false" customHeight="false" outlineLevel="0" collapsed="false">
      <c r="A774" s="18" t="str">
        <f aca="false">IF(ISNUMBER($J774),$J774,"")</f>
        <v/>
      </c>
      <c r="B774" s="18" t="str">
        <f aca="false">IFERROR(INDEX('SALES Raw'!$B$6:$B$4467,MATCH($J774,'SALES Raw'!$J$6:$J$4467,0)),IFERROR(INDEX('CEMIUP0.9 Raw'!$B$6:$B$1712,MATCH($J774,'CEMIUP0.9 Raw'!$B$6:$B$1712,0)),$J774))</f>
        <v>079 S</v>
      </c>
      <c r="C774" s="18" t="str">
        <f aca="false">IF(ISNUMBER($J774),IFERROR(INDEX('TRANS'!$C:$C,MATCH($J774,'TRANS'!$B:$B,0)),IFERROR(INDEX('Catalog'!$B:$B,MATCH($J774,'Catalog'!$A:$A,0)),$B774)),$B774)</f>
        <v>079 S</v>
      </c>
      <c r="D774" s="19" t="n">
        <f aca="false">SUMIFS('SALES Raw'!$C$6:$C$4467,'SALES Raw'!$J$6:$J$4467,$J774,'SALES Raw'!$K$6:$K$4467,"Y")+SUMIFS('CEMIUP0.9 Raw'!$D$6:$D$1712,'CEMIUP0.9 Raw'!$B$6:$B$1712,$J774,'CEMIUP0.9 Raw'!$H$6:$H$1712,"Y")</f>
        <v>0</v>
      </c>
      <c r="E774" s="19" t="n">
        <f aca="false">SUMIFS('SALES Raw'!$D$6:$D$4467,'SALES Raw'!$J$6:$J$4467,$J774,'SALES Raw'!$K$6:$K$4467,"Y")+SUMIFS('CEMIUP0.9 Raw'!$E$6:$E$1712,'CEMIUP0.9 Raw'!$B$6:$B$1712,$J774,'CEMIUP0.9 Raw'!$H$6:$H$1712,"Y")</f>
        <v>0</v>
      </c>
      <c r="F774" s="19" t="n">
        <f aca="false">SUMIFS('SALES Raw'!$E$6:$E$4467,'SALES Raw'!$J$6:$J$4467,$J774,'SALES Raw'!$K$6:$K$4467,"Y")*$H$4+SUMIFS('CEMIUP0.9 Raw'!$F$6:$F$1712,'CEMIUP0.9 Raw'!$B$6:$B$1712,$J774,'CEMIUP0.9 Raw'!$H$6:$H$1712,"Y")</f>
        <v>1.26315789473684</v>
      </c>
      <c r="G774" s="19" t="n">
        <f aca="false">SUMIFS('SALES Raw'!$F$6:$F$4467,'SALES Raw'!$J$6:$J$4467,$J774,'SALES Raw'!$K$6:$K$4467,"Y")*$H$4+SUMIFS('CEMIUP0.9 Raw'!$G$6:$G$1712,'CEMIUP0.9 Raw'!$B$6:$B$1712,$J774,'CEMIUP0.9 Raw'!$H$6:$H$1712,"Y")</f>
        <v>113.671578947368</v>
      </c>
      <c r="H774" s="18" t="s">
        <v>53</v>
      </c>
      <c r="I774" s="18"/>
      <c r="J774" s="18" t="s">
        <v>355</v>
      </c>
    </row>
    <row r="775" customFormat="false" ht="15" hidden="false" customHeight="false" outlineLevel="0" collapsed="false">
      <c r="A775" s="18" t="str">
        <f aca="false">IF(ISNUMBER($J775),$J775,"")</f>
        <v/>
      </c>
      <c r="B775" s="18" t="str">
        <f aca="false">IFERROR(INDEX('SALES Raw'!$B$6:$B$4467,MATCH($J775,'SALES Raw'!$J$6:$J$4467,0)),IFERROR(INDEX('CEMIUP0.9 Raw'!$B$6:$B$1712,MATCH($J775,'CEMIUP0.9 Raw'!$B$6:$B$1712,0)),$J775))</f>
        <v>267LB XXL</v>
      </c>
      <c r="C775" s="18" t="str">
        <f aca="false">IF(ISNUMBER($J775),IFERROR(INDEX('TRANS'!$C:$C,MATCH($J775,'TRANS'!$B:$B,0)),IFERROR(INDEX('Catalog'!$B:$B,MATCH($J775,'Catalog'!$A:$A,0)),$B775)),$B775)</f>
        <v>267LB XXL</v>
      </c>
      <c r="D775" s="19" t="n">
        <f aca="false">SUMIFS('SALES Raw'!$C$6:$C$4467,'SALES Raw'!$J$6:$J$4467,$J775,'SALES Raw'!$K$6:$K$4467,"Y")+SUMIFS('CEMIUP0.9 Raw'!$D$6:$D$1712,'CEMIUP0.9 Raw'!$B$6:$B$1712,$J775,'CEMIUP0.9 Raw'!$H$6:$H$1712,"Y")</f>
        <v>1</v>
      </c>
      <c r="E775" s="19" t="n">
        <f aca="false">SUMIFS('SALES Raw'!$D$6:$D$4467,'SALES Raw'!$J$6:$J$4467,$J775,'SALES Raw'!$K$6:$K$4467,"Y")+SUMIFS('CEMIUP0.9 Raw'!$E$6:$E$1712,'CEMIUP0.9 Raw'!$B$6:$B$1712,$J775,'CEMIUP0.9 Raw'!$H$6:$H$1712,"Y")</f>
        <v>196.53</v>
      </c>
      <c r="F775" s="19" t="n">
        <f aca="false">SUMIFS('SALES Raw'!$E$6:$E$4467,'SALES Raw'!$J$6:$J$4467,$J775,'SALES Raw'!$K$6:$K$4467,"Y")*$H$4+SUMIFS('CEMIUP0.9 Raw'!$F$6:$F$1712,'CEMIUP0.9 Raw'!$B$6:$B$1712,$J775,'CEMIUP0.9 Raw'!$H$6:$H$1712,"Y")</f>
        <v>1.26315789473684</v>
      </c>
      <c r="G775" s="19" t="n">
        <f aca="false">SUMIFS('SALES Raw'!$F$6:$F$4467,'SALES Raw'!$J$6:$J$4467,$J775,'SALES Raw'!$K$6:$K$4467,"Y")*$H$4+SUMIFS('CEMIUP0.9 Raw'!$G$6:$G$1712,'CEMIUP0.9 Raw'!$B$6:$B$1712,$J775,'CEMIUP0.9 Raw'!$H$6:$H$1712,"Y")</f>
        <v>71.1663157894737</v>
      </c>
      <c r="H775" s="18" t="s">
        <v>53</v>
      </c>
      <c r="I775" s="18" t="s">
        <v>49</v>
      </c>
      <c r="J775" s="18" t="s">
        <v>356</v>
      </c>
    </row>
    <row r="776" customFormat="false" ht="15" hidden="false" customHeight="false" outlineLevel="0" collapsed="false">
      <c r="A776" s="18" t="str">
        <f aca="false">IF(ISNUMBER($J776),$J776,"")</f>
        <v/>
      </c>
      <c r="B776" s="18" t="str">
        <f aca="false">IFERROR(INDEX('SALES Raw'!$B$6:$B$4467,MATCH($J776,'SALES Raw'!$J$6:$J$4467,0)),IFERROR(INDEX('CEMIUP0.9 Raw'!$B$6:$B$1712,MATCH($J776,'CEMIUP0.9 Raw'!$B$6:$B$1712,0)),$J776))</f>
        <v>267RB-L-XL</v>
      </c>
      <c r="C776" s="18" t="str">
        <f aca="false">IF(ISNUMBER($J776),IFERROR(INDEX('TRANS'!$C:$C,MATCH($J776,'TRANS'!$B:$B,0)),IFERROR(INDEX('Catalog'!$B:$B,MATCH($J776,'Catalog'!$A:$A,0)),$B776)),$B776)</f>
        <v>267RB-L-XL</v>
      </c>
      <c r="D776" s="19" t="n">
        <f aca="false">SUMIFS('SALES Raw'!$C$6:$C$4467,'SALES Raw'!$J$6:$J$4467,$J776,'SALES Raw'!$K$6:$K$4467,"Y")+SUMIFS('CEMIUP0.9 Raw'!$D$6:$D$1712,'CEMIUP0.9 Raw'!$B$6:$B$1712,$J776,'CEMIUP0.9 Raw'!$H$6:$H$1712,"Y")</f>
        <v>5</v>
      </c>
      <c r="E776" s="19" t="n">
        <f aca="false">SUMIFS('SALES Raw'!$D$6:$D$4467,'SALES Raw'!$J$6:$J$4467,$J776,'SALES Raw'!$K$6:$K$4467,"Y")+SUMIFS('CEMIUP0.9 Raw'!$E$6:$E$1712,'CEMIUP0.9 Raw'!$B$6:$B$1712,$J776,'CEMIUP0.9 Raw'!$H$6:$H$1712,"Y")</f>
        <v>631.15</v>
      </c>
      <c r="F776" s="19" t="n">
        <f aca="false">SUMIFS('SALES Raw'!$E$6:$E$4467,'SALES Raw'!$J$6:$J$4467,$J776,'SALES Raw'!$K$6:$K$4467,"Y")*$H$4+SUMIFS('CEMIUP0.9 Raw'!$F$6:$F$1712,'CEMIUP0.9 Raw'!$B$6:$B$1712,$J776,'CEMIUP0.9 Raw'!$H$6:$H$1712,"Y")</f>
        <v>1.26315789473684</v>
      </c>
      <c r="G776" s="19" t="n">
        <f aca="false">SUMIFS('SALES Raw'!$F$6:$F$4467,'SALES Raw'!$J$6:$J$4467,$J776,'SALES Raw'!$K$6:$K$4467,"Y")*$H$4+SUMIFS('CEMIUP0.9 Raw'!$G$6:$G$1712,'CEMIUP0.9 Raw'!$B$6:$B$1712,$J776,'CEMIUP0.9 Raw'!$H$6:$H$1712,"Y")</f>
        <v>71.1663157894737</v>
      </c>
      <c r="H776" s="18" t="s">
        <v>53</v>
      </c>
      <c r="I776" s="18" t="s">
        <v>42</v>
      </c>
      <c r="J776" s="18" t="s">
        <v>357</v>
      </c>
    </row>
    <row r="777" customFormat="false" ht="15" hidden="false" customHeight="false" outlineLevel="0" collapsed="false">
      <c r="A777" s="18" t="str">
        <f aca="false">IF(ISNUMBER($J777),$J777,"")</f>
        <v/>
      </c>
      <c r="B777" s="18" t="str">
        <f aca="false">IFERROR(INDEX('SALES Raw'!$B$6:$B$4467,MATCH($J777,'SALES Raw'!$J$6:$J$4467,0)),IFERROR(INDEX('CEMIUP0.9 Raw'!$B$6:$B$1712,MATCH($J777,'CEMIUP0.9 Raw'!$B$6:$B$1712,0)),$J777))</f>
        <v>T46B L</v>
      </c>
      <c r="C777" s="18" t="str">
        <f aca="false">IF(ISNUMBER($J777),IFERROR(INDEX('TRANS'!$C:$C,MATCH($J777,'TRANS'!$B:$B,0)),IFERROR(INDEX('Catalog'!$B:$B,MATCH($J777,'Catalog'!$A:$A,0)),$B777)),$B777)</f>
        <v>T46B L</v>
      </c>
      <c r="D777" s="19" t="n">
        <f aca="false">SUMIFS('SALES Raw'!$C$6:$C$4467,'SALES Raw'!$J$6:$J$4467,$J777,'SALES Raw'!$K$6:$K$4467,"Y")+SUMIFS('CEMIUP0.9 Raw'!$D$6:$D$1712,'CEMIUP0.9 Raw'!$B$6:$B$1712,$J777,'CEMIUP0.9 Raw'!$H$6:$H$1712,"Y")</f>
        <v>0</v>
      </c>
      <c r="E777" s="19" t="n">
        <f aca="false">SUMIFS('SALES Raw'!$D$6:$D$4467,'SALES Raw'!$J$6:$J$4467,$J777,'SALES Raw'!$K$6:$K$4467,"Y")+SUMIFS('CEMIUP0.9 Raw'!$E$6:$E$1712,'CEMIUP0.9 Raw'!$B$6:$B$1712,$J777,'CEMIUP0.9 Raw'!$H$6:$H$1712,"Y")</f>
        <v>0</v>
      </c>
      <c r="F777" s="19" t="n">
        <f aca="false">SUMIFS('SALES Raw'!$E$6:$E$4467,'SALES Raw'!$J$6:$J$4467,$J777,'SALES Raw'!$K$6:$K$4467,"Y")*$H$4+SUMIFS('CEMIUP0.9 Raw'!$F$6:$F$1712,'CEMIUP0.9 Raw'!$B$6:$B$1712,$J777,'CEMIUP0.9 Raw'!$H$6:$H$1712,"Y")</f>
        <v>1.26315789473684</v>
      </c>
      <c r="G777" s="19" t="n">
        <f aca="false">SUMIFS('SALES Raw'!$F$6:$F$4467,'SALES Raw'!$J$6:$J$4467,$J777,'SALES Raw'!$K$6:$K$4467,"Y")*$H$4+SUMIFS('CEMIUP0.9 Raw'!$G$6:$G$1712,'CEMIUP0.9 Raw'!$B$6:$B$1712,$J777,'CEMIUP0.9 Raw'!$H$6:$H$1712,"Y")</f>
        <v>102.568421052632</v>
      </c>
      <c r="H777" s="18" t="s">
        <v>53</v>
      </c>
      <c r="I777" s="18"/>
      <c r="J777" s="18" t="s">
        <v>358</v>
      </c>
    </row>
    <row r="778" customFormat="false" ht="15" hidden="false" customHeight="false" outlineLevel="0" collapsed="false">
      <c r="A778" s="18" t="str">
        <f aca="false">IF(ISNUMBER($J778),$J778,"")</f>
        <v/>
      </c>
      <c r="B778" s="18" t="str">
        <f aca="false">IFERROR(INDEX('SALES Raw'!$B$6:$B$4467,MATCH($J778,'SALES Raw'!$J$6:$J$4467,0)),IFERROR(INDEX('CEMIUP0.9 Raw'!$B$6:$B$1712,MATCH($J778,'CEMIUP0.9 Raw'!$B$6:$B$1712,0)),$J778))</f>
        <v>T46B S</v>
      </c>
      <c r="C778" s="18" t="str">
        <f aca="false">IF(ISNUMBER($J778),IFERROR(INDEX('TRANS'!$C:$C,MATCH($J778,'TRANS'!$B:$B,0)),IFERROR(INDEX('Catalog'!$B:$B,MATCH($J778,'Catalog'!$A:$A,0)),$B778)),$B778)</f>
        <v>T46B S</v>
      </c>
      <c r="D778" s="19" t="n">
        <f aca="false">SUMIFS('SALES Raw'!$C$6:$C$4467,'SALES Raw'!$J$6:$J$4467,$J778,'SALES Raw'!$K$6:$K$4467,"Y")+SUMIFS('CEMIUP0.9 Raw'!$D$6:$D$1712,'CEMIUP0.9 Raw'!$B$6:$B$1712,$J778,'CEMIUP0.9 Raw'!$H$6:$H$1712,"Y")</f>
        <v>0</v>
      </c>
      <c r="E778" s="19" t="n">
        <f aca="false">SUMIFS('SALES Raw'!$D$6:$D$4467,'SALES Raw'!$J$6:$J$4467,$J778,'SALES Raw'!$K$6:$K$4467,"Y")+SUMIFS('CEMIUP0.9 Raw'!$E$6:$E$1712,'CEMIUP0.9 Raw'!$B$6:$B$1712,$J778,'CEMIUP0.9 Raw'!$H$6:$H$1712,"Y")</f>
        <v>0</v>
      </c>
      <c r="F778" s="19" t="n">
        <f aca="false">SUMIFS('SALES Raw'!$E$6:$E$4467,'SALES Raw'!$J$6:$J$4467,$J778,'SALES Raw'!$K$6:$K$4467,"Y")*$H$4+SUMIFS('CEMIUP0.9 Raw'!$F$6:$F$1712,'CEMIUP0.9 Raw'!$B$6:$B$1712,$J778,'CEMIUP0.9 Raw'!$H$6:$H$1712,"Y")</f>
        <v>1.26315789473684</v>
      </c>
      <c r="G778" s="19" t="n">
        <f aca="false">SUMIFS('SALES Raw'!$F$6:$F$4467,'SALES Raw'!$J$6:$J$4467,$J778,'SALES Raw'!$K$6:$K$4467,"Y")*$H$4+SUMIFS('CEMIUP0.9 Raw'!$G$6:$G$1712,'CEMIUP0.9 Raw'!$B$6:$B$1712,$J778,'CEMIUP0.9 Raw'!$H$6:$H$1712,"Y")</f>
        <v>102.581052631579</v>
      </c>
      <c r="H778" s="18" t="s">
        <v>53</v>
      </c>
      <c r="I778" s="18"/>
      <c r="J778" s="18" t="s">
        <v>359</v>
      </c>
    </row>
    <row r="779" customFormat="false" ht="15" hidden="false" customHeight="false" outlineLevel="0" collapsed="false">
      <c r="A779" s="18" t="str">
        <f aca="false">IF(ISNUMBER($J779),$J779,"")</f>
        <v/>
      </c>
      <c r="B779" s="18" t="str">
        <f aca="false">IFERROR(INDEX('SALES Raw'!$B$6:$B$4467,MATCH($J779,'SALES Raw'!$J$6:$J$4467,0)),IFERROR(INDEX('CEMIUP0.9 Raw'!$B$6:$B$1712,MATCH($J779,'CEMIUP0.9 Raw'!$B$6:$B$1712,0)),$J779))</f>
        <v>T46B XL</v>
      </c>
      <c r="C779" s="18" t="str">
        <f aca="false">IF(ISNUMBER($J779),IFERROR(INDEX('TRANS'!$C:$C,MATCH($J779,'TRANS'!$B:$B,0)),IFERROR(INDEX('Catalog'!$B:$B,MATCH($J779,'Catalog'!$A:$A,0)),$B779)),$B779)</f>
        <v>T46B XL</v>
      </c>
      <c r="D779" s="19" t="n">
        <f aca="false">SUMIFS('SALES Raw'!$C$6:$C$4467,'SALES Raw'!$J$6:$J$4467,$J779,'SALES Raw'!$K$6:$K$4467,"Y")+SUMIFS('CEMIUP0.9 Raw'!$D$6:$D$1712,'CEMIUP0.9 Raw'!$B$6:$B$1712,$J779,'CEMIUP0.9 Raw'!$H$6:$H$1712,"Y")</f>
        <v>0</v>
      </c>
      <c r="E779" s="19" t="n">
        <f aca="false">SUMIFS('SALES Raw'!$D$6:$D$4467,'SALES Raw'!$J$6:$J$4467,$J779,'SALES Raw'!$K$6:$K$4467,"Y")+SUMIFS('CEMIUP0.9 Raw'!$E$6:$E$1712,'CEMIUP0.9 Raw'!$B$6:$B$1712,$J779,'CEMIUP0.9 Raw'!$H$6:$H$1712,"Y")</f>
        <v>0</v>
      </c>
      <c r="F779" s="19" t="n">
        <f aca="false">SUMIFS('SALES Raw'!$E$6:$E$4467,'SALES Raw'!$J$6:$J$4467,$J779,'SALES Raw'!$K$6:$K$4467,"Y")*$H$4+SUMIFS('CEMIUP0.9 Raw'!$F$6:$F$1712,'CEMIUP0.9 Raw'!$B$6:$B$1712,$J779,'CEMIUP0.9 Raw'!$H$6:$H$1712,"Y")</f>
        <v>1.26315789473684</v>
      </c>
      <c r="G779" s="19" t="n">
        <f aca="false">SUMIFS('SALES Raw'!$F$6:$F$4467,'SALES Raw'!$J$6:$J$4467,$J779,'SALES Raw'!$K$6:$K$4467,"Y")*$H$4+SUMIFS('CEMIUP0.9 Raw'!$G$6:$G$1712,'CEMIUP0.9 Raw'!$B$6:$B$1712,$J779,'CEMIUP0.9 Raw'!$H$6:$H$1712,"Y")</f>
        <v>102.568421052632</v>
      </c>
      <c r="H779" s="18" t="s">
        <v>53</v>
      </c>
      <c r="I779" s="18"/>
      <c r="J779" s="18" t="s">
        <v>360</v>
      </c>
    </row>
    <row r="780" customFormat="false" ht="15" hidden="false" customHeight="false" outlineLevel="0" collapsed="false">
      <c r="A780" s="18" t="str">
        <f aca="false">IF(ISNUMBER($J780),$J780,"")</f>
        <v/>
      </c>
      <c r="B780" s="18" t="str">
        <f aca="false">IFERROR(INDEX('SALES Raw'!$B$6:$B$4467,MATCH($J780,'SALES Raw'!$J$6:$J$4467,0)),IFERROR(INDEX('CEMIUP0.9 Raw'!$B$6:$B$1712,MATCH($J780,'CEMIUP0.9 Raw'!$B$6:$B$1712,0)),$J780))</f>
        <v>T46B XS</v>
      </c>
      <c r="C780" s="18" t="str">
        <f aca="false">IF(ISNUMBER($J780),IFERROR(INDEX('TRANS'!$C:$C,MATCH($J780,'TRANS'!$B:$B,0)),IFERROR(INDEX('Catalog'!$B:$B,MATCH($J780,'Catalog'!$A:$A,0)),$B780)),$B780)</f>
        <v>T46B XS</v>
      </c>
      <c r="D780" s="19" t="n">
        <f aca="false">SUMIFS('SALES Raw'!$C$6:$C$4467,'SALES Raw'!$J$6:$J$4467,$J780,'SALES Raw'!$K$6:$K$4467,"Y")+SUMIFS('CEMIUP0.9 Raw'!$D$6:$D$1712,'CEMIUP0.9 Raw'!$B$6:$B$1712,$J780,'CEMIUP0.9 Raw'!$H$6:$H$1712,"Y")</f>
        <v>0</v>
      </c>
      <c r="E780" s="19" t="n">
        <f aca="false">SUMIFS('SALES Raw'!$D$6:$D$4467,'SALES Raw'!$J$6:$J$4467,$J780,'SALES Raw'!$K$6:$K$4467,"Y")+SUMIFS('CEMIUP0.9 Raw'!$E$6:$E$1712,'CEMIUP0.9 Raw'!$B$6:$B$1712,$J780,'CEMIUP0.9 Raw'!$H$6:$H$1712,"Y")</f>
        <v>0</v>
      </c>
      <c r="F780" s="19" t="n">
        <f aca="false">SUMIFS('SALES Raw'!$E$6:$E$4467,'SALES Raw'!$J$6:$J$4467,$J780,'SALES Raw'!$K$6:$K$4467,"Y")*$H$4+SUMIFS('CEMIUP0.9 Raw'!$F$6:$F$1712,'CEMIUP0.9 Raw'!$B$6:$B$1712,$J780,'CEMIUP0.9 Raw'!$H$6:$H$1712,"Y")</f>
        <v>1.26315789473684</v>
      </c>
      <c r="G780" s="19" t="n">
        <f aca="false">SUMIFS('SALES Raw'!$F$6:$F$4467,'SALES Raw'!$J$6:$J$4467,$J780,'SALES Raw'!$K$6:$K$4467,"Y")*$H$4+SUMIFS('CEMIUP0.9 Raw'!$G$6:$G$1712,'CEMIUP0.9 Raw'!$B$6:$B$1712,$J780,'CEMIUP0.9 Raw'!$H$6:$H$1712,"Y")</f>
        <v>102.568421052632</v>
      </c>
      <c r="H780" s="18" t="s">
        <v>53</v>
      </c>
      <c r="I780" s="18"/>
      <c r="J780" s="18" t="s">
        <v>361</v>
      </c>
    </row>
    <row r="781" customFormat="false" ht="15" hidden="false" customHeight="false" outlineLevel="0" collapsed="false">
      <c r="A781" s="18" t="str">
        <f aca="false">IF(ISNUMBER($J781),$J781,"")</f>
        <v/>
      </c>
      <c r="B781" s="18" t="str">
        <f aca="false">IFERROR(INDEX('SALES Raw'!$B$6:$B$4467,MATCH($J781,'SALES Raw'!$J$6:$J$4467,0)),IFERROR(INDEX('CEMIUP0.9 Raw'!$B$6:$B$1712,MATCH($J781,'CEMIUP0.9 Raw'!$B$6:$B$1712,0)),$J781))</f>
        <v>922B L</v>
      </c>
      <c r="C781" s="18" t="str">
        <f aca="false">IF(ISNUMBER($J781),IFERROR(INDEX('TRANS'!$C:$C,MATCH($J781,'TRANS'!$B:$B,0)),IFERROR(INDEX('Catalog'!$B:$B,MATCH($J781,'Catalog'!$A:$A,0)),$B781)),$B781)</f>
        <v>922B L</v>
      </c>
      <c r="D781" s="19" t="n">
        <f aca="false">SUMIFS('SALES Raw'!$C$6:$C$4467,'SALES Raw'!$J$6:$J$4467,$J781,'SALES Raw'!$K$6:$K$4467,"Y")+SUMIFS('CEMIUP0.9 Raw'!$D$6:$D$1712,'CEMIUP0.9 Raw'!$B$6:$B$1712,$J781,'CEMIUP0.9 Raw'!$H$6:$H$1712,"Y")</f>
        <v>3</v>
      </c>
      <c r="E781" s="19" t="n">
        <f aca="false">SUMIFS('SALES Raw'!$D$6:$D$4467,'SALES Raw'!$J$6:$J$4467,$J781,'SALES Raw'!$K$6:$K$4467,"Y")+SUMIFS('CEMIUP0.9 Raw'!$E$6:$E$1712,'CEMIUP0.9 Raw'!$B$6:$B$1712,$J781,'CEMIUP0.9 Raw'!$H$6:$H$1712,"Y")</f>
        <v>457.77</v>
      </c>
      <c r="F781" s="19" t="n">
        <f aca="false">SUMIFS('SALES Raw'!$E$6:$E$4467,'SALES Raw'!$J$6:$J$4467,$J781,'SALES Raw'!$K$6:$K$4467,"Y")*$H$4+SUMIFS('CEMIUP0.9 Raw'!$F$6:$F$1712,'CEMIUP0.9 Raw'!$B$6:$B$1712,$J781,'CEMIUP0.9 Raw'!$H$6:$H$1712,"Y")</f>
        <v>1.26315789473684</v>
      </c>
      <c r="G781" s="19" t="n">
        <f aca="false">SUMIFS('SALES Raw'!$F$6:$F$4467,'SALES Raw'!$J$6:$J$4467,$J781,'SALES Raw'!$K$6:$K$4467,"Y")*$H$4+SUMIFS('CEMIUP0.9 Raw'!$G$6:$G$1712,'CEMIUP0.9 Raw'!$B$6:$B$1712,$J781,'CEMIUP0.9 Raw'!$H$6:$H$1712,"Y")</f>
        <v>324.24</v>
      </c>
      <c r="H781" s="18" t="s">
        <v>49</v>
      </c>
      <c r="I781" s="18" t="s">
        <v>53</v>
      </c>
      <c r="J781" s="18" t="s">
        <v>362</v>
      </c>
    </row>
    <row r="782" customFormat="false" ht="15" hidden="false" customHeight="false" outlineLevel="0" collapsed="false">
      <c r="A782" s="18" t="str">
        <f aca="false">IF(ISNUMBER($J782),$J782,"")</f>
        <v/>
      </c>
      <c r="B782" s="18" t="str">
        <f aca="false">IFERROR(INDEX('SALES Raw'!$B$6:$B$4467,MATCH($J782,'SALES Raw'!$J$6:$J$4467,0)),IFERROR(INDEX('CEMIUP0.9 Raw'!$B$6:$B$1712,MATCH($J782,'CEMIUP0.9 Raw'!$B$6:$B$1712,0)),$J782))</f>
        <v>922B S</v>
      </c>
      <c r="C782" s="18" t="str">
        <f aca="false">IF(ISNUMBER($J782),IFERROR(INDEX('TRANS'!$C:$C,MATCH($J782,'TRANS'!$B:$B,0)),IFERROR(INDEX('Catalog'!$B:$B,MATCH($J782,'Catalog'!$A:$A,0)),$B782)),$B782)</f>
        <v>922B S</v>
      </c>
      <c r="D782" s="19" t="n">
        <f aca="false">SUMIFS('SALES Raw'!$C$6:$C$4467,'SALES Raw'!$J$6:$J$4467,$J782,'SALES Raw'!$K$6:$K$4467,"Y")+SUMIFS('CEMIUP0.9 Raw'!$D$6:$D$1712,'CEMIUP0.9 Raw'!$B$6:$B$1712,$J782,'CEMIUP0.9 Raw'!$H$6:$H$1712,"Y")</f>
        <v>0</v>
      </c>
      <c r="E782" s="19" t="n">
        <f aca="false">SUMIFS('SALES Raw'!$D$6:$D$4467,'SALES Raw'!$J$6:$J$4467,$J782,'SALES Raw'!$K$6:$K$4467,"Y")+SUMIFS('CEMIUP0.9 Raw'!$E$6:$E$1712,'CEMIUP0.9 Raw'!$B$6:$B$1712,$J782,'CEMIUP0.9 Raw'!$H$6:$H$1712,"Y")</f>
        <v>0</v>
      </c>
      <c r="F782" s="19" t="n">
        <f aca="false">SUMIFS('SALES Raw'!$E$6:$E$4467,'SALES Raw'!$J$6:$J$4467,$J782,'SALES Raw'!$K$6:$K$4467,"Y")*$H$4+SUMIFS('CEMIUP0.9 Raw'!$F$6:$F$1712,'CEMIUP0.9 Raw'!$B$6:$B$1712,$J782,'CEMIUP0.9 Raw'!$H$6:$H$1712,"Y")</f>
        <v>1.26315789473684</v>
      </c>
      <c r="G782" s="19" t="n">
        <f aca="false">SUMIFS('SALES Raw'!$F$6:$F$4467,'SALES Raw'!$J$6:$J$4467,$J782,'SALES Raw'!$K$6:$K$4467,"Y")*$H$4+SUMIFS('CEMIUP0.9 Raw'!$G$6:$G$1712,'CEMIUP0.9 Raw'!$B$6:$B$1712,$J782,'CEMIUP0.9 Raw'!$H$6:$H$1712,"Y")</f>
        <v>113.684210526316</v>
      </c>
      <c r="H782" s="18" t="s">
        <v>53</v>
      </c>
      <c r="I782" s="18"/>
      <c r="J782" s="18" t="s">
        <v>363</v>
      </c>
    </row>
    <row r="783" customFormat="false" ht="15" hidden="false" customHeight="false" outlineLevel="0" collapsed="false">
      <c r="A783" s="18" t="str">
        <f aca="false">IF(ISNUMBER($J783),$J783,"")</f>
        <v/>
      </c>
      <c r="B783" s="18" t="str">
        <f aca="false">IFERROR(INDEX('SALES Raw'!$B$6:$B$4467,MATCH($J783,'SALES Raw'!$J$6:$J$4467,0)),IFERROR(INDEX('CEMIUP0.9 Raw'!$B$6:$B$1712,MATCH($J783,'CEMIUP0.9 Raw'!$B$6:$B$1712,0)),$J783))</f>
        <v>בונוסים ללקוחות</v>
      </c>
      <c r="C783" s="18" t="str">
        <f aca="false">IF(ISNUMBER($J783),IFERROR(INDEX('TRANS'!$C:$C,MATCH($J783,'TRANS'!$B:$B,0)),IFERROR(INDEX('Catalog'!$B:$B,MATCH($J783,'Catalog'!$A:$A,0)),$B783)),$B783)</f>
        <v>בונוסים ללקוחות</v>
      </c>
      <c r="D783" s="19" t="n">
        <f aca="false">SUMIFS('SALES Raw'!$C$6:$C$4467,'SALES Raw'!$J$6:$J$4467,$J783,'SALES Raw'!$K$6:$K$4467,"Y")+SUMIFS('CEMIUP0.9 Raw'!$D$6:$D$1712,'CEMIUP0.9 Raw'!$B$6:$B$1712,$J783,'CEMIUP0.9 Raw'!$H$6:$H$1712,"Y")</f>
        <v>0</v>
      </c>
      <c r="E783" s="19" t="n">
        <f aca="false">SUMIFS('SALES Raw'!$D$6:$D$4467,'SALES Raw'!$J$6:$J$4467,$J783,'SALES Raw'!$K$6:$K$4467,"Y")+SUMIFS('CEMIUP0.9 Raw'!$E$6:$E$1712,'CEMIUP0.9 Raw'!$B$6:$B$1712,$J783,'CEMIUP0.9 Raw'!$H$6:$H$1712,"Y")</f>
        <v>0</v>
      </c>
      <c r="F783" s="19" t="n">
        <f aca="false">SUMIFS('SALES Raw'!$E$6:$E$4467,'SALES Raw'!$J$6:$J$4467,$J783,'SALES Raw'!$K$6:$K$4467,"Y")*$H$4+SUMIFS('CEMIUP0.9 Raw'!$F$6:$F$1712,'CEMIUP0.9 Raw'!$B$6:$B$1712,$J783,'CEMIUP0.9 Raw'!$H$6:$H$1712,"Y")</f>
        <v>1.26315789473684</v>
      </c>
      <c r="G783" s="19" t="n">
        <f aca="false">SUMIFS('SALES Raw'!$F$6:$F$4467,'SALES Raw'!$J$6:$J$4467,$J783,'SALES Raw'!$K$6:$K$4467,"Y")*$H$4+SUMIFS('CEMIUP0.9 Raw'!$G$6:$G$1712,'CEMIUP0.9 Raw'!$B$6:$B$1712,$J783,'CEMIUP0.9 Raw'!$H$6:$H$1712,"Y")</f>
        <v>532.812631578947</v>
      </c>
      <c r="H783" s="18" t="s">
        <v>54</v>
      </c>
      <c r="I783" s="18"/>
      <c r="J783" s="18" t="s">
        <v>364</v>
      </c>
    </row>
    <row r="784" customFormat="false" ht="15" hidden="false" customHeight="false" outlineLevel="0" collapsed="false">
      <c r="A784" s="18" t="str">
        <f aca="false">IF(ISNUMBER($J784),$J784,"")</f>
        <v/>
      </c>
      <c r="B784" s="18" t="str">
        <f aca="false">IFERROR(INDEX('SALES Raw'!$B$6:$B$4467,MATCH($J784,'SALES Raw'!$J$6:$J$4467,0)),IFERROR(INDEX('CEMIUP0.9 Raw'!$B$6:$B$1712,MATCH($J784,'CEMIUP0.9 Raw'!$B$6:$B$1712,0)),$J784))</f>
        <v>06U XS</v>
      </c>
      <c r="C784" s="18" t="str">
        <f aca="false">IF(ISNUMBER($J784),IFERROR(INDEX('TRANS'!$C:$C,MATCH($J784,'TRANS'!$B:$B,0)),IFERROR(INDEX('Catalog'!$B:$B,MATCH($J784,'Catalog'!$A:$A,0)),$B784)),$B784)</f>
        <v>06U XS</v>
      </c>
      <c r="D784" s="19" t="n">
        <f aca="false">SUMIFS('SALES Raw'!$C$6:$C$4467,'SALES Raw'!$J$6:$J$4467,$J784,'SALES Raw'!$K$6:$K$4467,"Y")+SUMIFS('CEMIUP0.9 Raw'!$D$6:$D$1712,'CEMIUP0.9 Raw'!$B$6:$B$1712,$J784,'CEMIUP0.9 Raw'!$H$6:$H$1712,"Y")</f>
        <v>2</v>
      </c>
      <c r="E784" s="19" t="n">
        <f aca="false">SUMIFS('SALES Raw'!$D$6:$D$4467,'SALES Raw'!$J$6:$J$4467,$J784,'SALES Raw'!$K$6:$K$4467,"Y")+SUMIFS('CEMIUP0.9 Raw'!$E$6:$E$1712,'CEMIUP0.9 Raw'!$B$6:$B$1712,$J784,'CEMIUP0.9 Raw'!$H$6:$H$1712,"Y")</f>
        <v>508.3</v>
      </c>
      <c r="F784" s="19" t="n">
        <f aca="false">SUMIFS('SALES Raw'!$E$6:$E$4467,'SALES Raw'!$J$6:$J$4467,$J784,'SALES Raw'!$K$6:$K$4467,"Y")*$H$4+SUMIFS('CEMIUP0.9 Raw'!$F$6:$F$1712,'CEMIUP0.9 Raw'!$B$6:$B$1712,$J784,'CEMIUP0.9 Raw'!$H$6:$H$1712,"Y")</f>
        <v>1.26315789473684</v>
      </c>
      <c r="G784" s="19" t="n">
        <f aca="false">SUMIFS('SALES Raw'!$F$6:$F$4467,'SALES Raw'!$J$6:$J$4467,$J784,'SALES Raw'!$K$6:$K$4467,"Y")*$H$4+SUMIFS('CEMIUP0.9 Raw'!$G$6:$G$1712,'CEMIUP0.9 Raw'!$B$6:$B$1712,$J784,'CEMIUP0.9 Raw'!$H$6:$H$1712,"Y")</f>
        <v>321.031578947368</v>
      </c>
      <c r="H784" s="18" t="s">
        <v>42</v>
      </c>
      <c r="I784" s="18"/>
      <c r="J784" s="18" t="s">
        <v>365</v>
      </c>
    </row>
    <row r="785" customFormat="false" ht="15" hidden="false" customHeight="false" outlineLevel="0" collapsed="false">
      <c r="A785" s="18" t="str">
        <f aca="false">IF(ISNUMBER($J785),$J785,"")</f>
        <v/>
      </c>
      <c r="B785" s="18" t="str">
        <f aca="false">IFERROR(INDEX('SALES Raw'!$B$6:$B$4467,MATCH($J785,'SALES Raw'!$J$6:$J$4467,0)),IFERROR(INDEX('CEMIUP0.9 Raw'!$B$6:$B$1712,MATCH($J785,'CEMIUP0.9 Raw'!$B$6:$B$1712,0)),$J785))</f>
        <v>07UB XS</v>
      </c>
      <c r="C785" s="18" t="str">
        <f aca="false">IF(ISNUMBER($J785),IFERROR(INDEX('TRANS'!$C:$C,MATCH($J785,'TRANS'!$B:$B,0)),IFERROR(INDEX('Catalog'!$B:$B,MATCH($J785,'Catalog'!$A:$A,0)),$B785)),$B785)</f>
        <v>07UB XS</v>
      </c>
      <c r="D785" s="19" t="n">
        <f aca="false">SUMIFS('SALES Raw'!$C$6:$C$4467,'SALES Raw'!$J$6:$J$4467,$J785,'SALES Raw'!$K$6:$K$4467,"Y")+SUMIFS('CEMIUP0.9 Raw'!$D$6:$D$1712,'CEMIUP0.9 Raw'!$B$6:$B$1712,$J785,'CEMIUP0.9 Raw'!$H$6:$H$1712,"Y")</f>
        <v>0</v>
      </c>
      <c r="E785" s="19" t="n">
        <f aca="false">SUMIFS('SALES Raw'!$D$6:$D$4467,'SALES Raw'!$J$6:$J$4467,$J785,'SALES Raw'!$K$6:$K$4467,"Y")+SUMIFS('CEMIUP0.9 Raw'!$E$6:$E$1712,'CEMIUP0.9 Raw'!$B$6:$B$1712,$J785,'CEMIUP0.9 Raw'!$H$6:$H$1712,"Y")</f>
        <v>0</v>
      </c>
      <c r="F785" s="19" t="n">
        <f aca="false">SUMIFS('SALES Raw'!$E$6:$E$4467,'SALES Raw'!$J$6:$J$4467,$J785,'SALES Raw'!$K$6:$K$4467,"Y")*$H$4+SUMIFS('CEMIUP0.9 Raw'!$F$6:$F$1712,'CEMIUP0.9 Raw'!$B$6:$B$1712,$J785,'CEMIUP0.9 Raw'!$H$6:$H$1712,"Y")</f>
        <v>1.26315789473684</v>
      </c>
      <c r="G785" s="19" t="n">
        <f aca="false">SUMIFS('SALES Raw'!$F$6:$F$4467,'SALES Raw'!$J$6:$J$4467,$J785,'SALES Raw'!$K$6:$K$4467,"Y")*$H$4+SUMIFS('CEMIUP0.9 Raw'!$G$6:$G$1712,'CEMIUP0.9 Raw'!$B$6:$B$1712,$J785,'CEMIUP0.9 Raw'!$H$6:$H$1712,"Y")</f>
        <v>856.26947368421</v>
      </c>
      <c r="H785" s="18" t="s">
        <v>42</v>
      </c>
      <c r="I785" s="18"/>
      <c r="J785" s="18" t="s">
        <v>366</v>
      </c>
    </row>
    <row r="786" customFormat="false" ht="15" hidden="false" customHeight="false" outlineLevel="0" collapsed="false">
      <c r="A786" s="18" t="str">
        <f aca="false">IF(ISNUMBER($J786),$J786,"")</f>
        <v/>
      </c>
      <c r="B786" s="18" t="str">
        <f aca="false">IFERROR(INDEX('SALES Raw'!$B$6:$B$4467,MATCH($J786,'SALES Raw'!$J$6:$J$4467,0)),IFERROR(INDEX('CEMIUP0.9 Raw'!$B$6:$B$1712,MATCH($J786,'CEMIUP0.9 Raw'!$B$6:$B$1712,0)),$J786))</f>
        <v>11EU XS</v>
      </c>
      <c r="C786" s="18" t="str">
        <f aca="false">IF(ISNUMBER($J786),IFERROR(INDEX('TRANS'!$C:$C,MATCH($J786,'TRANS'!$B:$B,0)),IFERROR(INDEX('Catalog'!$B:$B,MATCH($J786,'Catalog'!$A:$A,0)),$B786)),$B786)</f>
        <v>11EU XS</v>
      </c>
      <c r="D786" s="19" t="n">
        <f aca="false">SUMIFS('SALES Raw'!$C$6:$C$4467,'SALES Raw'!$J$6:$J$4467,$J786,'SALES Raw'!$K$6:$K$4467,"Y")+SUMIFS('CEMIUP0.9 Raw'!$D$6:$D$1712,'CEMIUP0.9 Raw'!$B$6:$B$1712,$J786,'CEMIUP0.9 Raw'!$H$6:$H$1712,"Y")</f>
        <v>1</v>
      </c>
      <c r="E786" s="19" t="n">
        <f aca="false">SUMIFS('SALES Raw'!$D$6:$D$4467,'SALES Raw'!$J$6:$J$4467,$J786,'SALES Raw'!$K$6:$K$4467,"Y")+SUMIFS('CEMIUP0.9 Raw'!$E$6:$E$1712,'CEMIUP0.9 Raw'!$B$6:$B$1712,$J786,'CEMIUP0.9 Raw'!$H$6:$H$1712,"Y")</f>
        <v>69</v>
      </c>
      <c r="F786" s="19" t="n">
        <f aca="false">SUMIFS('SALES Raw'!$E$6:$E$4467,'SALES Raw'!$J$6:$J$4467,$J786,'SALES Raw'!$K$6:$K$4467,"Y")*$H$4+SUMIFS('CEMIUP0.9 Raw'!$F$6:$F$1712,'CEMIUP0.9 Raw'!$B$6:$B$1712,$J786,'CEMIUP0.9 Raw'!$H$6:$H$1712,"Y")</f>
        <v>1.26315789473684</v>
      </c>
      <c r="G786" s="19" t="n">
        <f aca="false">SUMIFS('SALES Raw'!$F$6:$F$4467,'SALES Raw'!$J$6:$J$4467,$J786,'SALES Raw'!$K$6:$K$4467,"Y")*$H$4+SUMIFS('CEMIUP0.9 Raw'!$G$6:$G$1712,'CEMIUP0.9 Raw'!$B$6:$B$1712,$J786,'CEMIUP0.9 Raw'!$H$6:$H$1712,"Y")</f>
        <v>251.456842105263</v>
      </c>
      <c r="H786" s="18" t="s">
        <v>42</v>
      </c>
      <c r="I786" s="18" t="s">
        <v>43</v>
      </c>
      <c r="J786" s="18" t="s">
        <v>367</v>
      </c>
    </row>
    <row r="787" customFormat="false" ht="15" hidden="false" customHeight="false" outlineLevel="0" collapsed="false">
      <c r="A787" s="18" t="str">
        <f aca="false">IF(ISNUMBER($J787),$J787,"")</f>
        <v/>
      </c>
      <c r="B787" s="18" t="str">
        <f aca="false">IFERROR(INDEX('SALES Raw'!$B$6:$B$4467,MATCH($J787,'SALES Raw'!$J$6:$J$4467,0)),IFERROR(INDEX('CEMIUP0.9 Raw'!$B$6:$B$1712,MATCH($J787,'CEMIUP0.9 Raw'!$B$6:$B$1712,0)),$J787))</f>
        <v>11NOR L</v>
      </c>
      <c r="C787" s="18" t="str">
        <f aca="false">IF(ISNUMBER($J787),IFERROR(INDEX('TRANS'!$C:$C,MATCH($J787,'TRANS'!$B:$B,0)),IFERROR(INDEX('Catalog'!$B:$B,MATCH($J787,'Catalog'!$A:$A,0)),$B787)),$B787)</f>
        <v>11NOR L</v>
      </c>
      <c r="D787" s="19" t="n">
        <f aca="false">SUMIFS('SALES Raw'!$C$6:$C$4467,'SALES Raw'!$J$6:$J$4467,$J787,'SALES Raw'!$K$6:$K$4467,"Y")+SUMIFS('CEMIUP0.9 Raw'!$D$6:$D$1712,'CEMIUP0.9 Raw'!$B$6:$B$1712,$J787,'CEMIUP0.9 Raw'!$H$6:$H$1712,"Y")</f>
        <v>2</v>
      </c>
      <c r="E787" s="19" t="n">
        <f aca="false">SUMIFS('SALES Raw'!$D$6:$D$4467,'SALES Raw'!$J$6:$J$4467,$J787,'SALES Raw'!$K$6:$K$4467,"Y")+SUMIFS('CEMIUP0.9 Raw'!$E$6:$E$1712,'CEMIUP0.9 Raw'!$B$6:$B$1712,$J787,'CEMIUP0.9 Raw'!$H$6:$H$1712,"Y")</f>
        <v>769.32</v>
      </c>
      <c r="F787" s="19" t="n">
        <f aca="false">SUMIFS('SALES Raw'!$E$6:$E$4467,'SALES Raw'!$J$6:$J$4467,$J787,'SALES Raw'!$K$6:$K$4467,"Y")*$H$4+SUMIFS('CEMIUP0.9 Raw'!$F$6:$F$1712,'CEMIUP0.9 Raw'!$B$6:$B$1712,$J787,'CEMIUP0.9 Raw'!$H$6:$H$1712,"Y")</f>
        <v>1.26315789473684</v>
      </c>
      <c r="G787" s="19" t="n">
        <f aca="false">SUMIFS('SALES Raw'!$F$6:$F$4467,'SALES Raw'!$J$6:$J$4467,$J787,'SALES Raw'!$K$6:$K$4467,"Y")*$H$4+SUMIFS('CEMIUP0.9 Raw'!$G$6:$G$1712,'CEMIUP0.9 Raw'!$B$6:$B$1712,$J787,'CEMIUP0.9 Raw'!$H$6:$H$1712,"Y")</f>
        <v>485.886315789474</v>
      </c>
      <c r="H787" s="18" t="s">
        <v>42</v>
      </c>
      <c r="I787" s="18"/>
      <c r="J787" s="18" t="s">
        <v>368</v>
      </c>
    </row>
    <row r="788" customFormat="false" ht="15" hidden="false" customHeight="false" outlineLevel="0" collapsed="false">
      <c r="A788" s="18" t="str">
        <f aca="false">IF(ISNUMBER($J788),$J788,"")</f>
        <v/>
      </c>
      <c r="B788" s="18" t="str">
        <f aca="false">IFERROR(INDEX('SALES Raw'!$B$6:$B$4467,MATCH($J788,'SALES Raw'!$J$6:$J$4467,0)),IFERROR(INDEX('CEMIUP0.9 Raw'!$B$6:$B$1712,MATCH($J788,'CEMIUP0.9 Raw'!$B$6:$B$1712,0)),$J788))</f>
        <v>13 S</v>
      </c>
      <c r="C788" s="18" t="str">
        <f aca="false">IF(ISNUMBER($J788),IFERROR(INDEX('TRANS'!$C:$C,MATCH($J788,'TRANS'!$B:$B,0)),IFERROR(INDEX('Catalog'!$B:$B,MATCH($J788,'Catalog'!$A:$A,0)),$B788)),$B788)</f>
        <v>13 S</v>
      </c>
      <c r="D788" s="19" t="n">
        <f aca="false">SUMIFS('SALES Raw'!$C$6:$C$4467,'SALES Raw'!$J$6:$J$4467,$J788,'SALES Raw'!$K$6:$K$4467,"Y")+SUMIFS('CEMIUP0.9 Raw'!$D$6:$D$1712,'CEMIUP0.9 Raw'!$B$6:$B$1712,$J788,'CEMIUP0.9 Raw'!$H$6:$H$1712,"Y")</f>
        <v>0</v>
      </c>
      <c r="E788" s="19" t="n">
        <f aca="false">SUMIFS('SALES Raw'!$D$6:$D$4467,'SALES Raw'!$J$6:$J$4467,$J788,'SALES Raw'!$K$6:$K$4467,"Y")+SUMIFS('CEMIUP0.9 Raw'!$E$6:$E$1712,'CEMIUP0.9 Raw'!$B$6:$B$1712,$J788,'CEMIUP0.9 Raw'!$H$6:$H$1712,"Y")</f>
        <v>0</v>
      </c>
      <c r="F788" s="19" t="n">
        <f aca="false">SUMIFS('SALES Raw'!$E$6:$E$4467,'SALES Raw'!$J$6:$J$4467,$J788,'SALES Raw'!$K$6:$K$4467,"Y")*$H$4+SUMIFS('CEMIUP0.9 Raw'!$F$6:$F$1712,'CEMIUP0.9 Raw'!$B$6:$B$1712,$J788,'CEMIUP0.9 Raw'!$H$6:$H$1712,"Y")</f>
        <v>1.26315789473684</v>
      </c>
      <c r="G788" s="19" t="n">
        <f aca="false">SUMIFS('SALES Raw'!$F$6:$F$4467,'SALES Raw'!$J$6:$J$4467,$J788,'SALES Raw'!$K$6:$K$4467,"Y")*$H$4+SUMIFS('CEMIUP0.9 Raw'!$G$6:$G$1712,'CEMIUP0.9 Raw'!$B$6:$B$1712,$J788,'CEMIUP0.9 Raw'!$H$6:$H$1712,"Y")</f>
        <v>304.736842105263</v>
      </c>
      <c r="H788" s="18" t="s">
        <v>42</v>
      </c>
      <c r="I788" s="18"/>
      <c r="J788" s="18" t="s">
        <v>369</v>
      </c>
    </row>
    <row r="789" customFormat="false" ht="15" hidden="false" customHeight="false" outlineLevel="0" collapsed="false">
      <c r="A789" s="18" t="str">
        <f aca="false">IF(ISNUMBER($J789),$J789,"")</f>
        <v/>
      </c>
      <c r="B789" s="18" t="str">
        <f aca="false">IFERROR(INDEX('SALES Raw'!$B$6:$B$4467,MATCH($J789,'SALES Raw'!$J$6:$J$4467,0)),IFERROR(INDEX('CEMIUP0.9 Raw'!$B$6:$B$1712,MATCH($J789,'CEMIUP0.9 Raw'!$B$6:$B$1712,0)),$J789))</f>
        <v>13 XS</v>
      </c>
      <c r="C789" s="18" t="str">
        <f aca="false">IF(ISNUMBER($J789),IFERROR(INDEX('TRANS'!$C:$C,MATCH($J789,'TRANS'!$B:$B,0)),IFERROR(INDEX('Catalog'!$B:$B,MATCH($J789,'Catalog'!$A:$A,0)),$B789)),$B789)</f>
        <v>13 XS</v>
      </c>
      <c r="D789" s="19" t="n">
        <f aca="false">SUMIFS('SALES Raw'!$C$6:$C$4467,'SALES Raw'!$J$6:$J$4467,$J789,'SALES Raw'!$K$6:$K$4467,"Y")+SUMIFS('CEMIUP0.9 Raw'!$D$6:$D$1712,'CEMIUP0.9 Raw'!$B$6:$B$1712,$J789,'CEMIUP0.9 Raw'!$H$6:$H$1712,"Y")</f>
        <v>0</v>
      </c>
      <c r="E789" s="19" t="n">
        <f aca="false">SUMIFS('SALES Raw'!$D$6:$D$4467,'SALES Raw'!$J$6:$J$4467,$J789,'SALES Raw'!$K$6:$K$4467,"Y")+SUMIFS('CEMIUP0.9 Raw'!$E$6:$E$1712,'CEMIUP0.9 Raw'!$B$6:$B$1712,$J789,'CEMIUP0.9 Raw'!$H$6:$H$1712,"Y")</f>
        <v>0</v>
      </c>
      <c r="F789" s="19" t="n">
        <f aca="false">SUMIFS('SALES Raw'!$E$6:$E$4467,'SALES Raw'!$J$6:$J$4467,$J789,'SALES Raw'!$K$6:$K$4467,"Y")*$H$4+SUMIFS('CEMIUP0.9 Raw'!$F$6:$F$1712,'CEMIUP0.9 Raw'!$B$6:$B$1712,$J789,'CEMIUP0.9 Raw'!$H$6:$H$1712,"Y")</f>
        <v>1.26315789473684</v>
      </c>
      <c r="G789" s="19" t="n">
        <f aca="false">SUMIFS('SALES Raw'!$F$6:$F$4467,'SALES Raw'!$J$6:$J$4467,$J789,'SALES Raw'!$K$6:$K$4467,"Y")*$H$4+SUMIFS('CEMIUP0.9 Raw'!$G$6:$G$1712,'CEMIUP0.9 Raw'!$B$6:$B$1712,$J789,'CEMIUP0.9 Raw'!$H$6:$H$1712,"Y")</f>
        <v>358.496842105263</v>
      </c>
      <c r="H789" s="18" t="s">
        <v>42</v>
      </c>
      <c r="I789" s="18"/>
      <c r="J789" s="18" t="s">
        <v>370</v>
      </c>
    </row>
    <row r="790" customFormat="false" ht="15" hidden="false" customHeight="false" outlineLevel="0" collapsed="false">
      <c r="A790" s="18" t="str">
        <f aca="false">IF(ISNUMBER($J790),$J790,"")</f>
        <v/>
      </c>
      <c r="B790" s="18" t="str">
        <f aca="false">IFERROR(INDEX('SALES Raw'!$B$6:$B$4467,MATCH($J790,'SALES Raw'!$J$6:$J$4467,0)),IFERROR(INDEX('CEMIUP0.9 Raw'!$B$6:$B$1712,MATCH($J790,'CEMIUP0.9 Raw'!$B$6:$B$1712,0)),$J790))</f>
        <v>267LC XXL</v>
      </c>
      <c r="C790" s="18" t="str">
        <f aca="false">IF(ISNUMBER($J790),IFERROR(INDEX('TRANS'!$C:$C,MATCH($J790,'TRANS'!$B:$B,0)),IFERROR(INDEX('Catalog'!$B:$B,MATCH($J790,'Catalog'!$A:$A,0)),$B790)),$B790)</f>
        <v>267LC XXL</v>
      </c>
      <c r="D790" s="19" t="n">
        <f aca="false">SUMIFS('SALES Raw'!$C$6:$C$4467,'SALES Raw'!$J$6:$J$4467,$J790,'SALES Raw'!$K$6:$K$4467,"Y")+SUMIFS('CEMIUP0.9 Raw'!$D$6:$D$1712,'CEMIUP0.9 Raw'!$B$6:$B$1712,$J790,'CEMIUP0.9 Raw'!$H$6:$H$1712,"Y")</f>
        <v>0</v>
      </c>
      <c r="E790" s="19" t="n">
        <f aca="false">SUMIFS('SALES Raw'!$D$6:$D$4467,'SALES Raw'!$J$6:$J$4467,$J790,'SALES Raw'!$K$6:$K$4467,"Y")+SUMIFS('CEMIUP0.9 Raw'!$E$6:$E$1712,'CEMIUP0.9 Raw'!$B$6:$B$1712,$J790,'CEMIUP0.9 Raw'!$H$6:$H$1712,"Y")</f>
        <v>0</v>
      </c>
      <c r="F790" s="19" t="n">
        <f aca="false">SUMIFS('SALES Raw'!$E$6:$E$4467,'SALES Raw'!$J$6:$J$4467,$J790,'SALES Raw'!$K$6:$K$4467,"Y")*$H$4+SUMIFS('CEMIUP0.9 Raw'!$F$6:$F$1712,'CEMIUP0.9 Raw'!$B$6:$B$1712,$J790,'CEMIUP0.9 Raw'!$H$6:$H$1712,"Y")</f>
        <v>1.26315789473684</v>
      </c>
      <c r="G790" s="19" t="n">
        <f aca="false">SUMIFS('SALES Raw'!$F$6:$F$4467,'SALES Raw'!$J$6:$J$4467,$J790,'SALES Raw'!$K$6:$K$4467,"Y")*$H$4+SUMIFS('CEMIUP0.9 Raw'!$G$6:$G$1712,'CEMIUP0.9 Raw'!$B$6:$B$1712,$J790,'CEMIUP0.9 Raw'!$H$6:$H$1712,"Y")</f>
        <v>248.235789473684</v>
      </c>
      <c r="H790" s="18" t="s">
        <v>42</v>
      </c>
      <c r="I790" s="18"/>
      <c r="J790" s="18" t="s">
        <v>371</v>
      </c>
    </row>
    <row r="791" customFormat="false" ht="15" hidden="false" customHeight="false" outlineLevel="0" collapsed="false">
      <c r="A791" s="18" t="str">
        <f aca="false">IF(ISNUMBER($J791),$J791,"")</f>
        <v/>
      </c>
      <c r="B791" s="18" t="str">
        <f aca="false">IFERROR(INDEX('SALES Raw'!$B$6:$B$4467,MATCH($J791,'SALES Raw'!$J$6:$J$4467,0)),IFERROR(INDEX('CEMIUP0.9 Raw'!$B$6:$B$1712,MATCH($J791,'CEMIUP0.9 Raw'!$B$6:$B$1712,0)),$J791))</f>
        <v>391W-39-42</v>
      </c>
      <c r="C791" s="18" t="str">
        <f aca="false">IF(ISNUMBER($J791),IFERROR(INDEX('TRANS'!$C:$C,MATCH($J791,'TRANS'!$B:$B,0)),IFERROR(INDEX('Catalog'!$B:$B,MATCH($J791,'Catalog'!$A:$A,0)),$B791)),$B791)</f>
        <v>391W-39-42</v>
      </c>
      <c r="D791" s="19" t="n">
        <f aca="false">SUMIFS('SALES Raw'!$C$6:$C$4467,'SALES Raw'!$J$6:$J$4467,$J791,'SALES Raw'!$K$6:$K$4467,"Y")+SUMIFS('CEMIUP0.9 Raw'!$D$6:$D$1712,'CEMIUP0.9 Raw'!$B$6:$B$1712,$J791,'CEMIUP0.9 Raw'!$H$6:$H$1712,"Y")</f>
        <v>0</v>
      </c>
      <c r="E791" s="19" t="n">
        <f aca="false">SUMIFS('SALES Raw'!$D$6:$D$4467,'SALES Raw'!$J$6:$J$4467,$J791,'SALES Raw'!$K$6:$K$4467,"Y")+SUMIFS('CEMIUP0.9 Raw'!$E$6:$E$1712,'CEMIUP0.9 Raw'!$B$6:$B$1712,$J791,'CEMIUP0.9 Raw'!$H$6:$H$1712,"Y")</f>
        <v>0</v>
      </c>
      <c r="F791" s="19" t="n">
        <f aca="false">SUMIFS('SALES Raw'!$E$6:$E$4467,'SALES Raw'!$J$6:$J$4467,$J791,'SALES Raw'!$K$6:$K$4467,"Y")*$H$4+SUMIFS('CEMIUP0.9 Raw'!$F$6:$F$1712,'CEMIUP0.9 Raw'!$B$6:$B$1712,$J791,'CEMIUP0.9 Raw'!$H$6:$H$1712,"Y")</f>
        <v>1.26315789473684</v>
      </c>
      <c r="G791" s="19" t="n">
        <f aca="false">SUMIFS('SALES Raw'!$F$6:$F$4467,'SALES Raw'!$J$6:$J$4467,$J791,'SALES Raw'!$K$6:$K$4467,"Y")*$H$4+SUMIFS('CEMIUP0.9 Raw'!$G$6:$G$1712,'CEMIUP0.9 Raw'!$B$6:$B$1712,$J791,'CEMIUP0.9 Raw'!$H$6:$H$1712,"Y")</f>
        <v>80.1726315789474</v>
      </c>
      <c r="H791" s="18" t="s">
        <v>42</v>
      </c>
      <c r="I791" s="18"/>
      <c r="J791" s="18" t="s">
        <v>372</v>
      </c>
    </row>
    <row r="792" customFormat="false" ht="15" hidden="false" customHeight="false" outlineLevel="0" collapsed="false">
      <c r="A792" s="18" t="str">
        <f aca="false">IF(ISNUMBER($J792),$J792,"")</f>
        <v/>
      </c>
      <c r="B792" s="18" t="str">
        <f aca="false">IFERROR(INDEX('SALES Raw'!$B$6:$B$4467,MATCH($J792,'SALES Raw'!$J$6:$J$4467,0)),IFERROR(INDEX('CEMIUP0.9 Raw'!$B$6:$B$1712,MATCH($J792,'CEMIUP0.9 Raw'!$B$6:$B$1712,0)),$J792))</f>
        <v>41 XS</v>
      </c>
      <c r="C792" s="18" t="str">
        <f aca="false">IF(ISNUMBER($J792),IFERROR(INDEX('TRANS'!$C:$C,MATCH($J792,'TRANS'!$B:$B,0)),IFERROR(INDEX('Catalog'!$B:$B,MATCH($J792,'Catalog'!$A:$A,0)),$B792)),$B792)</f>
        <v>41 XS</v>
      </c>
      <c r="D792" s="19" t="n">
        <f aca="false">SUMIFS('SALES Raw'!$C$6:$C$4467,'SALES Raw'!$J$6:$J$4467,$J792,'SALES Raw'!$K$6:$K$4467,"Y")+SUMIFS('CEMIUP0.9 Raw'!$D$6:$D$1712,'CEMIUP0.9 Raw'!$B$6:$B$1712,$J792,'CEMIUP0.9 Raw'!$H$6:$H$1712,"Y")</f>
        <v>0</v>
      </c>
      <c r="E792" s="19" t="n">
        <f aca="false">SUMIFS('SALES Raw'!$D$6:$D$4467,'SALES Raw'!$J$6:$J$4467,$J792,'SALES Raw'!$K$6:$K$4467,"Y")+SUMIFS('CEMIUP0.9 Raw'!$E$6:$E$1712,'CEMIUP0.9 Raw'!$B$6:$B$1712,$J792,'CEMIUP0.9 Raw'!$H$6:$H$1712,"Y")</f>
        <v>0</v>
      </c>
      <c r="F792" s="19" t="n">
        <f aca="false">SUMIFS('SALES Raw'!$E$6:$E$4467,'SALES Raw'!$J$6:$J$4467,$J792,'SALES Raw'!$K$6:$K$4467,"Y")*$H$4+SUMIFS('CEMIUP0.9 Raw'!$F$6:$F$1712,'CEMIUP0.9 Raw'!$B$6:$B$1712,$J792,'CEMIUP0.9 Raw'!$H$6:$H$1712,"Y")</f>
        <v>1.26315789473684</v>
      </c>
      <c r="G792" s="19" t="n">
        <f aca="false">SUMIFS('SALES Raw'!$F$6:$F$4467,'SALES Raw'!$J$6:$J$4467,$J792,'SALES Raw'!$K$6:$K$4467,"Y")*$H$4+SUMIFS('CEMIUP0.9 Raw'!$G$6:$G$1712,'CEMIUP0.9 Raw'!$B$6:$B$1712,$J792,'CEMIUP0.9 Raw'!$H$6:$H$1712,"Y")</f>
        <v>260.033684210526</v>
      </c>
      <c r="H792" s="18" t="s">
        <v>42</v>
      </c>
      <c r="I792" s="18"/>
      <c r="J792" s="18" t="s">
        <v>373</v>
      </c>
    </row>
    <row r="793" customFormat="false" ht="15" hidden="false" customHeight="false" outlineLevel="0" collapsed="false">
      <c r="A793" s="18" t="str">
        <f aca="false">IF(ISNUMBER($J793),$J793,"")</f>
        <v/>
      </c>
      <c r="B793" s="18" t="str">
        <f aca="false">IFERROR(INDEX('SALES Raw'!$B$6:$B$4467,MATCH($J793,'SALES Raw'!$J$6:$J$4467,0)),IFERROR(INDEX('CEMIUP0.9 Raw'!$B$6:$B$1712,MATCH($J793,'CEMIUP0.9 Raw'!$B$6:$B$1712,0)),$J793))</f>
        <v>48 XL</v>
      </c>
      <c r="C793" s="18" t="str">
        <f aca="false">IF(ISNUMBER($J793),IFERROR(INDEX('TRANS'!$C:$C,MATCH($J793,'TRANS'!$B:$B,0)),IFERROR(INDEX('Catalog'!$B:$B,MATCH($J793,'Catalog'!$A:$A,0)),$B793)),$B793)</f>
        <v>48 XL</v>
      </c>
      <c r="D793" s="19" t="n">
        <f aca="false">SUMIFS('SALES Raw'!$C$6:$C$4467,'SALES Raw'!$J$6:$J$4467,$J793,'SALES Raw'!$K$6:$K$4467,"Y")+SUMIFS('CEMIUP0.9 Raw'!$D$6:$D$1712,'CEMIUP0.9 Raw'!$B$6:$B$1712,$J793,'CEMIUP0.9 Raw'!$H$6:$H$1712,"Y")</f>
        <v>8</v>
      </c>
      <c r="E793" s="19" t="n">
        <f aca="false">SUMIFS('SALES Raw'!$D$6:$D$4467,'SALES Raw'!$J$6:$J$4467,$J793,'SALES Raw'!$K$6:$K$4467,"Y")+SUMIFS('CEMIUP0.9 Raw'!$E$6:$E$1712,'CEMIUP0.9 Raw'!$B$6:$B$1712,$J793,'CEMIUP0.9 Raw'!$H$6:$H$1712,"Y")</f>
        <v>621.16</v>
      </c>
      <c r="F793" s="19" t="n">
        <f aca="false">SUMIFS('SALES Raw'!$E$6:$E$4467,'SALES Raw'!$J$6:$J$4467,$J793,'SALES Raw'!$K$6:$K$4467,"Y")*$H$4+SUMIFS('CEMIUP0.9 Raw'!$F$6:$F$1712,'CEMIUP0.9 Raw'!$B$6:$B$1712,$J793,'CEMIUP0.9 Raw'!$H$6:$H$1712,"Y")</f>
        <v>1.26315789473684</v>
      </c>
      <c r="G793" s="19" t="n">
        <f aca="false">SUMIFS('SALES Raw'!$F$6:$F$4467,'SALES Raw'!$J$6:$J$4467,$J793,'SALES Raw'!$K$6:$K$4467,"Y")*$H$4+SUMIFS('CEMIUP0.9 Raw'!$G$6:$G$1712,'CEMIUP0.9 Raw'!$B$6:$B$1712,$J793,'CEMIUP0.9 Raw'!$H$6:$H$1712,"Y")</f>
        <v>129.423157894737</v>
      </c>
      <c r="H793" s="18" t="s">
        <v>42</v>
      </c>
      <c r="I793" s="18" t="s">
        <v>43</v>
      </c>
      <c r="J793" s="18" t="s">
        <v>374</v>
      </c>
    </row>
    <row r="794" customFormat="false" ht="15" hidden="false" customHeight="false" outlineLevel="0" collapsed="false">
      <c r="A794" s="18" t="str">
        <f aca="false">IF(ISNUMBER($J794),$J794,"")</f>
        <v/>
      </c>
      <c r="B794" s="18" t="str">
        <f aca="false">IFERROR(INDEX('SALES Raw'!$B$6:$B$4467,MATCH($J794,'SALES Raw'!$J$6:$J$4467,0)),IFERROR(INDEX('CEMIUP0.9 Raw'!$B$6:$B$1712,MATCH($J794,'CEMIUP0.9 Raw'!$B$6:$B$1712,0)),$J794))</f>
        <v>50 XS</v>
      </c>
      <c r="C794" s="18" t="str">
        <f aca="false">IF(ISNUMBER($J794),IFERROR(INDEX('TRANS'!$C:$C,MATCH($J794,'TRANS'!$B:$B,0)),IFERROR(INDEX('Catalog'!$B:$B,MATCH($J794,'Catalog'!$A:$A,0)),$B794)),$B794)</f>
        <v>50 XS</v>
      </c>
      <c r="D794" s="19" t="n">
        <f aca="false">SUMIFS('SALES Raw'!$C$6:$C$4467,'SALES Raw'!$J$6:$J$4467,$J794,'SALES Raw'!$K$6:$K$4467,"Y")+SUMIFS('CEMIUP0.9 Raw'!$D$6:$D$1712,'CEMIUP0.9 Raw'!$B$6:$B$1712,$J794,'CEMIUP0.9 Raw'!$H$6:$H$1712,"Y")</f>
        <v>1</v>
      </c>
      <c r="E794" s="19" t="n">
        <f aca="false">SUMIFS('SALES Raw'!$D$6:$D$4467,'SALES Raw'!$J$6:$J$4467,$J794,'SALES Raw'!$K$6:$K$4467,"Y")+SUMIFS('CEMIUP0.9 Raw'!$E$6:$E$1712,'CEMIUP0.9 Raw'!$B$6:$B$1712,$J794,'CEMIUP0.9 Raw'!$H$6:$H$1712,"Y")</f>
        <v>200.76</v>
      </c>
      <c r="F794" s="19" t="n">
        <f aca="false">SUMIFS('SALES Raw'!$E$6:$E$4467,'SALES Raw'!$J$6:$J$4467,$J794,'SALES Raw'!$K$6:$K$4467,"Y")*$H$4+SUMIFS('CEMIUP0.9 Raw'!$F$6:$F$1712,'CEMIUP0.9 Raw'!$B$6:$B$1712,$J794,'CEMIUP0.9 Raw'!$H$6:$H$1712,"Y")</f>
        <v>1.26315789473684</v>
      </c>
      <c r="G794" s="19" t="n">
        <f aca="false">SUMIFS('SALES Raw'!$F$6:$F$4467,'SALES Raw'!$J$6:$J$4467,$J794,'SALES Raw'!$K$6:$K$4467,"Y")*$H$4+SUMIFS('CEMIUP0.9 Raw'!$G$6:$G$1712,'CEMIUP0.9 Raw'!$B$6:$B$1712,$J794,'CEMIUP0.9 Raw'!$H$6:$H$1712,"Y")</f>
        <v>228.24</v>
      </c>
      <c r="H794" s="18" t="s">
        <v>42</v>
      </c>
      <c r="I794" s="18"/>
      <c r="J794" s="18" t="s">
        <v>375</v>
      </c>
    </row>
    <row r="795" customFormat="false" ht="15" hidden="false" customHeight="false" outlineLevel="0" collapsed="false">
      <c r="A795" s="18" t="str">
        <f aca="false">IF(ISNUMBER($J795),$J795,"")</f>
        <v/>
      </c>
      <c r="B795" s="18" t="str">
        <f aca="false">IFERROR(INDEX('SALES Raw'!$B$6:$B$4467,MATCH($J795,'SALES Raw'!$J$6:$J$4467,0)),IFERROR(INDEX('CEMIUP0.9 Raw'!$B$6:$B$1712,MATCH($J795,'CEMIUP0.9 Raw'!$B$6:$B$1712,0)),$J795))</f>
        <v>59DB S</v>
      </c>
      <c r="C795" s="18" t="str">
        <f aca="false">IF(ISNUMBER($J795),IFERROR(INDEX('TRANS'!$C:$C,MATCH($J795,'TRANS'!$B:$B,0)),IFERROR(INDEX('Catalog'!$B:$B,MATCH($J795,'Catalog'!$A:$A,0)),$B795)),$B795)</f>
        <v>59DB S</v>
      </c>
      <c r="D795" s="19" t="n">
        <f aca="false">SUMIFS('SALES Raw'!$C$6:$C$4467,'SALES Raw'!$J$6:$J$4467,$J795,'SALES Raw'!$K$6:$K$4467,"Y")+SUMIFS('CEMIUP0.9 Raw'!$D$6:$D$1712,'CEMIUP0.9 Raw'!$B$6:$B$1712,$J795,'CEMIUP0.9 Raw'!$H$6:$H$1712,"Y")</f>
        <v>0</v>
      </c>
      <c r="E795" s="19" t="n">
        <f aca="false">SUMIFS('SALES Raw'!$D$6:$D$4467,'SALES Raw'!$J$6:$J$4467,$J795,'SALES Raw'!$K$6:$K$4467,"Y")+SUMIFS('CEMIUP0.9 Raw'!$E$6:$E$1712,'CEMIUP0.9 Raw'!$B$6:$B$1712,$J795,'CEMIUP0.9 Raw'!$H$6:$H$1712,"Y")</f>
        <v>0</v>
      </c>
      <c r="F795" s="19" t="n">
        <f aca="false">SUMIFS('SALES Raw'!$E$6:$E$4467,'SALES Raw'!$J$6:$J$4467,$J795,'SALES Raw'!$K$6:$K$4467,"Y")*$H$4+SUMIFS('CEMIUP0.9 Raw'!$F$6:$F$1712,'CEMIUP0.9 Raw'!$B$6:$B$1712,$J795,'CEMIUP0.9 Raw'!$H$6:$H$1712,"Y")</f>
        <v>1.26315789473684</v>
      </c>
      <c r="G795" s="19" t="n">
        <f aca="false">SUMIFS('SALES Raw'!$F$6:$F$4467,'SALES Raw'!$J$6:$J$4467,$J795,'SALES Raw'!$K$6:$K$4467,"Y")*$H$4+SUMIFS('CEMIUP0.9 Raw'!$G$6:$G$1712,'CEMIUP0.9 Raw'!$B$6:$B$1712,$J795,'CEMIUP0.9 Raw'!$H$6:$H$1712,"Y")</f>
        <v>717.107368421053</v>
      </c>
      <c r="H795" s="18" t="s">
        <v>42</v>
      </c>
      <c r="I795" s="18"/>
      <c r="J795" s="18" t="s">
        <v>376</v>
      </c>
    </row>
    <row r="796" customFormat="false" ht="15" hidden="false" customHeight="false" outlineLevel="0" collapsed="false">
      <c r="A796" s="18" t="str">
        <f aca="false">IF(ISNUMBER($J796),$J796,"")</f>
        <v/>
      </c>
      <c r="B796" s="18" t="str">
        <f aca="false">IFERROR(INDEX('SALES Raw'!$B$6:$B$4467,MATCH($J796,'SALES Raw'!$J$6:$J$4467,0)),IFERROR(INDEX('CEMIUP0.9 Raw'!$B$6:$B$1712,MATCH($J796,'CEMIUP0.9 Raw'!$B$6:$B$1712,0)),$J796))</f>
        <v>59RB XL</v>
      </c>
      <c r="C796" s="18" t="str">
        <f aca="false">IF(ISNUMBER($J796),IFERROR(INDEX('TRANS'!$C:$C,MATCH($J796,'TRANS'!$B:$B,0)),IFERROR(INDEX('Catalog'!$B:$B,MATCH($J796,'Catalog'!$A:$A,0)),$B796)),$B796)</f>
        <v>59RB XL</v>
      </c>
      <c r="D796" s="19" t="n">
        <f aca="false">SUMIFS('SALES Raw'!$C$6:$C$4467,'SALES Raw'!$J$6:$J$4467,$J796,'SALES Raw'!$K$6:$K$4467,"Y")+SUMIFS('CEMIUP0.9 Raw'!$D$6:$D$1712,'CEMIUP0.9 Raw'!$B$6:$B$1712,$J796,'CEMIUP0.9 Raw'!$H$6:$H$1712,"Y")</f>
        <v>0</v>
      </c>
      <c r="E796" s="19" t="n">
        <f aca="false">SUMIFS('SALES Raw'!$D$6:$D$4467,'SALES Raw'!$J$6:$J$4467,$J796,'SALES Raw'!$K$6:$K$4467,"Y")+SUMIFS('CEMIUP0.9 Raw'!$E$6:$E$1712,'CEMIUP0.9 Raw'!$B$6:$B$1712,$J796,'CEMIUP0.9 Raw'!$H$6:$H$1712,"Y")</f>
        <v>0</v>
      </c>
      <c r="F796" s="19" t="n">
        <f aca="false">SUMIFS('SALES Raw'!$E$6:$E$4467,'SALES Raw'!$J$6:$J$4467,$J796,'SALES Raw'!$K$6:$K$4467,"Y")*$H$4+SUMIFS('CEMIUP0.9 Raw'!$F$6:$F$1712,'CEMIUP0.9 Raw'!$B$6:$B$1712,$J796,'CEMIUP0.9 Raw'!$H$6:$H$1712,"Y")</f>
        <v>1.26315789473684</v>
      </c>
      <c r="G796" s="19" t="n">
        <f aca="false">SUMIFS('SALES Raw'!$F$6:$F$4467,'SALES Raw'!$J$6:$J$4467,$J796,'SALES Raw'!$K$6:$K$4467,"Y")*$H$4+SUMIFS('CEMIUP0.9 Raw'!$G$6:$G$1712,'CEMIUP0.9 Raw'!$B$6:$B$1712,$J796,'CEMIUP0.9 Raw'!$H$6:$H$1712,"Y")</f>
        <v>428.084210526316</v>
      </c>
      <c r="H796" s="18" t="s">
        <v>42</v>
      </c>
      <c r="I796" s="18"/>
      <c r="J796" s="18" t="s">
        <v>377</v>
      </c>
    </row>
    <row r="797" customFormat="false" ht="15" hidden="false" customHeight="false" outlineLevel="0" collapsed="false">
      <c r="A797" s="18" t="str">
        <f aca="false">IF(ISNUMBER($J797),$J797,"")</f>
        <v/>
      </c>
      <c r="B797" s="18" t="str">
        <f aca="false">IFERROR(INDEX('SALES Raw'!$B$6:$B$4467,MATCH($J797,'SALES Raw'!$J$6:$J$4467,0)),IFERROR(INDEX('CEMIUP0.9 Raw'!$B$6:$B$1712,MATCH($J797,'CEMIUP0.9 Raw'!$B$6:$B$1712,0)),$J797))</f>
        <v>59RB XXL</v>
      </c>
      <c r="C797" s="18" t="str">
        <f aca="false">IF(ISNUMBER($J797),IFERROR(INDEX('TRANS'!$C:$C,MATCH($J797,'TRANS'!$B:$B,0)),IFERROR(INDEX('Catalog'!$B:$B,MATCH($J797,'Catalog'!$A:$A,0)),$B797)),$B797)</f>
        <v>59RB XXL</v>
      </c>
      <c r="D797" s="19" t="n">
        <f aca="false">SUMIFS('SALES Raw'!$C$6:$C$4467,'SALES Raw'!$J$6:$J$4467,$J797,'SALES Raw'!$K$6:$K$4467,"Y")+SUMIFS('CEMIUP0.9 Raw'!$D$6:$D$1712,'CEMIUP0.9 Raw'!$B$6:$B$1712,$J797,'CEMIUP0.9 Raw'!$H$6:$H$1712,"Y")</f>
        <v>0</v>
      </c>
      <c r="E797" s="19" t="n">
        <f aca="false">SUMIFS('SALES Raw'!$D$6:$D$4467,'SALES Raw'!$J$6:$J$4467,$J797,'SALES Raw'!$K$6:$K$4467,"Y")+SUMIFS('CEMIUP0.9 Raw'!$E$6:$E$1712,'CEMIUP0.9 Raw'!$B$6:$B$1712,$J797,'CEMIUP0.9 Raw'!$H$6:$H$1712,"Y")</f>
        <v>0</v>
      </c>
      <c r="F797" s="19" t="n">
        <f aca="false">SUMIFS('SALES Raw'!$E$6:$E$4467,'SALES Raw'!$J$6:$J$4467,$J797,'SALES Raw'!$K$6:$K$4467,"Y")*$H$4+SUMIFS('CEMIUP0.9 Raw'!$F$6:$F$1712,'CEMIUP0.9 Raw'!$B$6:$B$1712,$J797,'CEMIUP0.9 Raw'!$H$6:$H$1712,"Y")</f>
        <v>1.26315789473684</v>
      </c>
      <c r="G797" s="19" t="n">
        <f aca="false">SUMIFS('SALES Raw'!$F$6:$F$4467,'SALES Raw'!$J$6:$J$4467,$J797,'SALES Raw'!$K$6:$K$4467,"Y")*$H$4+SUMIFS('CEMIUP0.9 Raw'!$G$6:$G$1712,'CEMIUP0.9 Raw'!$B$6:$B$1712,$J797,'CEMIUP0.9 Raw'!$H$6:$H$1712,"Y")</f>
        <v>363.877894736842</v>
      </c>
      <c r="H797" s="18" t="s">
        <v>42</v>
      </c>
      <c r="I797" s="18"/>
      <c r="J797" s="18" t="s">
        <v>378</v>
      </c>
    </row>
    <row r="798" customFormat="false" ht="15" hidden="false" customHeight="false" outlineLevel="0" collapsed="false">
      <c r="A798" s="18" t="str">
        <f aca="false">IF(ISNUMBER($J798),$J798,"")</f>
        <v/>
      </c>
      <c r="B798" s="18" t="str">
        <f aca="false">IFERROR(INDEX('SALES Raw'!$B$6:$B$4467,MATCH($J798,'SALES Raw'!$J$6:$J$4467,0)),IFERROR(INDEX('CEMIUP0.9 Raw'!$B$6:$B$1712,MATCH($J798,'CEMIUP0.9 Raw'!$B$6:$B$1712,0)),$J798))</f>
        <v>60B XXL</v>
      </c>
      <c r="C798" s="18" t="str">
        <f aca="false">IF(ISNUMBER($J798),IFERROR(INDEX('TRANS'!$C:$C,MATCH($J798,'TRANS'!$B:$B,0)),IFERROR(INDEX('Catalog'!$B:$B,MATCH($J798,'Catalog'!$A:$A,0)),$B798)),$B798)</f>
        <v>60B XXL</v>
      </c>
      <c r="D798" s="19" t="n">
        <f aca="false">SUMIFS('SALES Raw'!$C$6:$C$4467,'SALES Raw'!$J$6:$J$4467,$J798,'SALES Raw'!$K$6:$K$4467,"Y")+SUMIFS('CEMIUP0.9 Raw'!$D$6:$D$1712,'CEMIUP0.9 Raw'!$B$6:$B$1712,$J798,'CEMIUP0.9 Raw'!$H$6:$H$1712,"Y")</f>
        <v>0</v>
      </c>
      <c r="E798" s="19" t="n">
        <f aca="false">SUMIFS('SALES Raw'!$D$6:$D$4467,'SALES Raw'!$J$6:$J$4467,$J798,'SALES Raw'!$K$6:$K$4467,"Y")+SUMIFS('CEMIUP0.9 Raw'!$E$6:$E$1712,'CEMIUP0.9 Raw'!$B$6:$B$1712,$J798,'CEMIUP0.9 Raw'!$H$6:$H$1712,"Y")</f>
        <v>0</v>
      </c>
      <c r="F798" s="19" t="n">
        <f aca="false">SUMIFS('SALES Raw'!$E$6:$E$4467,'SALES Raw'!$J$6:$J$4467,$J798,'SALES Raw'!$K$6:$K$4467,"Y")*$H$4+SUMIFS('CEMIUP0.9 Raw'!$F$6:$F$1712,'CEMIUP0.9 Raw'!$B$6:$B$1712,$J798,'CEMIUP0.9 Raw'!$H$6:$H$1712,"Y")</f>
        <v>1.26315789473684</v>
      </c>
      <c r="G798" s="19" t="n">
        <f aca="false">SUMIFS('SALES Raw'!$F$6:$F$4467,'SALES Raw'!$J$6:$J$4467,$J798,'SALES Raw'!$K$6:$K$4467,"Y")*$H$4+SUMIFS('CEMIUP0.9 Raw'!$G$6:$G$1712,'CEMIUP0.9 Raw'!$B$6:$B$1712,$J798,'CEMIUP0.9 Raw'!$H$6:$H$1712,"Y")</f>
        <v>102.025263157895</v>
      </c>
      <c r="H798" s="18" t="s">
        <v>42</v>
      </c>
      <c r="I798" s="18"/>
      <c r="J798" s="18" t="s">
        <v>379</v>
      </c>
    </row>
    <row r="799" customFormat="false" ht="15" hidden="false" customHeight="false" outlineLevel="0" collapsed="false">
      <c r="A799" s="18" t="str">
        <f aca="false">IF(ISNUMBER($J799),$J799,"")</f>
        <v/>
      </c>
      <c r="B799" s="18" t="str">
        <f aca="false">IFERROR(INDEX('SALES Raw'!$B$6:$B$4467,MATCH($J799,'SALES Raw'!$J$6:$J$4467,0)),IFERROR(INDEX('CEMIUP0.9 Raw'!$B$6:$B$1712,MATCH($J799,'CEMIUP0.9 Raw'!$B$6:$B$1712,0)),$J799))</f>
        <v>74 XXL</v>
      </c>
      <c r="C799" s="18" t="str">
        <f aca="false">IF(ISNUMBER($J799),IFERROR(INDEX('TRANS'!$C:$C,MATCH($J799,'TRANS'!$B:$B,0)),IFERROR(INDEX('Catalog'!$B:$B,MATCH($J799,'Catalog'!$A:$A,0)),$B799)),$B799)</f>
        <v>74 XXL</v>
      </c>
      <c r="D799" s="19" t="n">
        <f aca="false">SUMIFS('SALES Raw'!$C$6:$C$4467,'SALES Raw'!$J$6:$J$4467,$J799,'SALES Raw'!$K$6:$K$4467,"Y")+SUMIFS('CEMIUP0.9 Raw'!$D$6:$D$1712,'CEMIUP0.9 Raw'!$B$6:$B$1712,$J799,'CEMIUP0.9 Raw'!$H$6:$H$1712,"Y")</f>
        <v>0</v>
      </c>
      <c r="E799" s="19" t="n">
        <f aca="false">SUMIFS('SALES Raw'!$D$6:$D$4467,'SALES Raw'!$J$6:$J$4467,$J799,'SALES Raw'!$K$6:$K$4467,"Y")+SUMIFS('CEMIUP0.9 Raw'!$E$6:$E$1712,'CEMIUP0.9 Raw'!$B$6:$B$1712,$J799,'CEMIUP0.9 Raw'!$H$6:$H$1712,"Y")</f>
        <v>0</v>
      </c>
      <c r="F799" s="19" t="n">
        <f aca="false">SUMIFS('SALES Raw'!$E$6:$E$4467,'SALES Raw'!$J$6:$J$4467,$J799,'SALES Raw'!$K$6:$K$4467,"Y")*$H$4+SUMIFS('CEMIUP0.9 Raw'!$F$6:$F$1712,'CEMIUP0.9 Raw'!$B$6:$B$1712,$J799,'CEMIUP0.9 Raw'!$H$6:$H$1712,"Y")</f>
        <v>1.26315789473684</v>
      </c>
      <c r="G799" s="19" t="n">
        <f aca="false">SUMIFS('SALES Raw'!$F$6:$F$4467,'SALES Raw'!$J$6:$J$4467,$J799,'SALES Raw'!$K$6:$K$4467,"Y")*$H$4+SUMIFS('CEMIUP0.9 Raw'!$G$6:$G$1712,'CEMIUP0.9 Raw'!$B$6:$B$1712,$J799,'CEMIUP0.9 Raw'!$H$6:$H$1712,"Y")</f>
        <v>399.726315789474</v>
      </c>
      <c r="H799" s="18" t="s">
        <v>42</v>
      </c>
      <c r="I799" s="18"/>
      <c r="J799" s="18" t="s">
        <v>380</v>
      </c>
    </row>
    <row r="800" customFormat="false" ht="15" hidden="false" customHeight="false" outlineLevel="0" collapsed="false">
      <c r="A800" s="18" t="str">
        <f aca="false">IF(ISNUMBER($J800),$J800,"")</f>
        <v/>
      </c>
      <c r="B800" s="18" t="str">
        <f aca="false">IFERROR(INDEX('SALES Raw'!$B$6:$B$4467,MATCH($J800,'SALES Raw'!$J$6:$J$4467,0)),IFERROR(INDEX('CEMIUP0.9 Raw'!$B$6:$B$1712,MATCH($J800,'CEMIUP0.9 Raw'!$B$6:$B$1712,0)),$J800))</f>
        <v>VMFPCW33 0</v>
      </c>
      <c r="C800" s="18" t="str">
        <f aca="false">IF(ISNUMBER($J800),IFERROR(INDEX('TRANS'!$C:$C,MATCH($J800,'TRANS'!$B:$B,0)),IFERROR(INDEX('Catalog'!$B:$B,MATCH($J800,'Catalog'!$A:$A,0)),$B800)),$B800)</f>
        <v>VMFPCW33 0</v>
      </c>
      <c r="D800" s="19" t="n">
        <f aca="false">SUMIFS('SALES Raw'!$C$6:$C$4467,'SALES Raw'!$J$6:$J$4467,$J800,'SALES Raw'!$K$6:$K$4467,"Y")+SUMIFS('CEMIUP0.9 Raw'!$D$6:$D$1712,'CEMIUP0.9 Raw'!$B$6:$B$1712,$J800,'CEMIUP0.9 Raw'!$H$6:$H$1712,"Y")</f>
        <v>0</v>
      </c>
      <c r="E800" s="19" t="n">
        <f aca="false">SUMIFS('SALES Raw'!$D$6:$D$4467,'SALES Raw'!$J$6:$J$4467,$J800,'SALES Raw'!$K$6:$K$4467,"Y")+SUMIFS('CEMIUP0.9 Raw'!$E$6:$E$1712,'CEMIUP0.9 Raw'!$B$6:$B$1712,$J800,'CEMIUP0.9 Raw'!$H$6:$H$1712,"Y")</f>
        <v>0</v>
      </c>
      <c r="F800" s="19" t="n">
        <f aca="false">SUMIFS('SALES Raw'!$E$6:$E$4467,'SALES Raw'!$J$6:$J$4467,$J800,'SALES Raw'!$K$6:$K$4467,"Y")*$H$4+SUMIFS('CEMIUP0.9 Raw'!$F$6:$F$1712,'CEMIUP0.9 Raw'!$B$6:$B$1712,$J800,'CEMIUP0.9 Raw'!$H$6:$H$1712,"Y")</f>
        <v>1.26315789473684</v>
      </c>
      <c r="G800" s="19" t="n">
        <f aca="false">SUMIFS('SALES Raw'!$F$6:$F$4467,'SALES Raw'!$J$6:$J$4467,$J800,'SALES Raw'!$K$6:$K$4467,"Y")*$H$4+SUMIFS('CEMIUP0.9 Raw'!$G$6:$G$1712,'CEMIUP0.9 Raw'!$B$6:$B$1712,$J800,'CEMIUP0.9 Raw'!$H$6:$H$1712,"Y")</f>
        <v>85.5410526315789</v>
      </c>
      <c r="H800" s="18" t="s">
        <v>42</v>
      </c>
      <c r="I800" s="18"/>
      <c r="J800" s="18" t="s">
        <v>381</v>
      </c>
    </row>
    <row r="801" customFormat="false" ht="15" hidden="false" customHeight="false" outlineLevel="0" collapsed="false">
      <c r="A801" s="18" t="str">
        <f aca="false">IF(ISNUMBER($J801),$J801,"")</f>
        <v/>
      </c>
      <c r="B801" s="18" t="str">
        <f aca="false">IFERROR(INDEX('SALES Raw'!$B$6:$B$4467,MATCH($J801,'SALES Raw'!$J$6:$J$4467,0)),IFERROR(INDEX('CEMIUP0.9 Raw'!$B$6:$B$1712,MATCH($J801,'CEMIUP0.9 Raw'!$B$6:$B$1712,0)),$J801))</f>
        <v>VMSPCL46 0</v>
      </c>
      <c r="C801" s="18" t="str">
        <f aca="false">IF(ISNUMBER($J801),IFERROR(INDEX('TRANS'!$C:$C,MATCH($J801,'TRANS'!$B:$B,0)),IFERROR(INDEX('Catalog'!$B:$B,MATCH($J801,'Catalog'!$A:$A,0)),$B801)),$B801)</f>
        <v>VMSPCL46 0</v>
      </c>
      <c r="D801" s="19" t="n">
        <f aca="false">SUMIFS('SALES Raw'!$C$6:$C$4467,'SALES Raw'!$J$6:$J$4467,$J801,'SALES Raw'!$K$6:$K$4467,"Y")+SUMIFS('CEMIUP0.9 Raw'!$D$6:$D$1712,'CEMIUP0.9 Raw'!$B$6:$B$1712,$J801,'CEMIUP0.9 Raw'!$H$6:$H$1712,"Y")</f>
        <v>0</v>
      </c>
      <c r="E801" s="19" t="n">
        <f aca="false">SUMIFS('SALES Raw'!$D$6:$D$4467,'SALES Raw'!$J$6:$J$4467,$J801,'SALES Raw'!$K$6:$K$4467,"Y")+SUMIFS('CEMIUP0.9 Raw'!$E$6:$E$1712,'CEMIUP0.9 Raw'!$B$6:$B$1712,$J801,'CEMIUP0.9 Raw'!$H$6:$H$1712,"Y")</f>
        <v>0</v>
      </c>
      <c r="F801" s="19" t="n">
        <f aca="false">SUMIFS('SALES Raw'!$E$6:$E$4467,'SALES Raw'!$J$6:$J$4467,$J801,'SALES Raw'!$K$6:$K$4467,"Y")*$H$4+SUMIFS('CEMIUP0.9 Raw'!$F$6:$F$1712,'CEMIUP0.9 Raw'!$B$6:$B$1712,$J801,'CEMIUP0.9 Raw'!$H$6:$H$1712,"Y")</f>
        <v>1.26315789473684</v>
      </c>
      <c r="G801" s="19" t="n">
        <f aca="false">SUMIFS('SALES Raw'!$F$6:$F$4467,'SALES Raw'!$J$6:$J$4467,$J801,'SALES Raw'!$K$6:$K$4467,"Y")*$H$4+SUMIFS('CEMIUP0.9 Raw'!$G$6:$G$1712,'CEMIUP0.9 Raw'!$B$6:$B$1712,$J801,'CEMIUP0.9 Raw'!$H$6:$H$1712,"Y")</f>
        <v>0.0126315789473684</v>
      </c>
      <c r="H801" s="18" t="s">
        <v>42</v>
      </c>
      <c r="I801" s="18"/>
      <c r="J801" s="18" t="s">
        <v>382</v>
      </c>
    </row>
    <row r="802" customFormat="false" ht="15" hidden="false" customHeight="false" outlineLevel="0" collapsed="false">
      <c r="A802" s="18" t="str">
        <f aca="false">IF(ISNUMBER($J802),$J802,"")</f>
        <v/>
      </c>
      <c r="B802" s="18" t="str">
        <f aca="false">IFERROR(INDEX('SALES Raw'!$B$6:$B$4467,MATCH($J802,'SALES Raw'!$J$6:$J$4467,0)),IFERROR(INDEX('CEMIUP0.9 Raw'!$B$6:$B$1712,MATCH($J802,'CEMIUP0.9 Raw'!$B$6:$B$1712,0)),$J802))</f>
        <v>VMSPCN51 0</v>
      </c>
      <c r="C802" s="18" t="str">
        <f aca="false">IF(ISNUMBER($J802),IFERROR(INDEX('TRANS'!$C:$C,MATCH($J802,'TRANS'!$B:$B,0)),IFERROR(INDEX('Catalog'!$B:$B,MATCH($J802,'Catalog'!$A:$A,0)),$B802)),$B802)</f>
        <v>VMSPCN51 0</v>
      </c>
      <c r="D802" s="19" t="n">
        <f aca="false">SUMIFS('SALES Raw'!$C$6:$C$4467,'SALES Raw'!$J$6:$J$4467,$J802,'SALES Raw'!$K$6:$K$4467,"Y")+SUMIFS('CEMIUP0.9 Raw'!$D$6:$D$1712,'CEMIUP0.9 Raw'!$B$6:$B$1712,$J802,'CEMIUP0.9 Raw'!$H$6:$H$1712,"Y")</f>
        <v>0</v>
      </c>
      <c r="E802" s="19" t="n">
        <f aca="false">SUMIFS('SALES Raw'!$D$6:$D$4467,'SALES Raw'!$J$6:$J$4467,$J802,'SALES Raw'!$K$6:$K$4467,"Y")+SUMIFS('CEMIUP0.9 Raw'!$E$6:$E$1712,'CEMIUP0.9 Raw'!$B$6:$B$1712,$J802,'CEMIUP0.9 Raw'!$H$6:$H$1712,"Y")</f>
        <v>0</v>
      </c>
      <c r="F802" s="19" t="n">
        <f aca="false">SUMIFS('SALES Raw'!$E$6:$E$4467,'SALES Raw'!$J$6:$J$4467,$J802,'SALES Raw'!$K$6:$K$4467,"Y")*$H$4+SUMIFS('CEMIUP0.9 Raw'!$F$6:$F$1712,'CEMIUP0.9 Raw'!$B$6:$B$1712,$J802,'CEMIUP0.9 Raw'!$H$6:$H$1712,"Y")</f>
        <v>1.26315789473684</v>
      </c>
      <c r="G802" s="19" t="n">
        <f aca="false">SUMIFS('SALES Raw'!$F$6:$F$4467,'SALES Raw'!$J$6:$J$4467,$J802,'SALES Raw'!$K$6:$K$4467,"Y")*$H$4+SUMIFS('CEMIUP0.9 Raw'!$G$6:$G$1712,'CEMIUP0.9 Raw'!$B$6:$B$1712,$J802,'CEMIUP0.9 Raw'!$H$6:$H$1712,"Y")</f>
        <v>0</v>
      </c>
      <c r="H802" s="18" t="s">
        <v>42</v>
      </c>
      <c r="I802" s="18"/>
      <c r="J802" s="18" t="s">
        <v>383</v>
      </c>
    </row>
    <row r="803" customFormat="false" ht="15" hidden="false" customHeight="false" outlineLevel="0" collapsed="false">
      <c r="A803" s="18" t="str">
        <f aca="false">IF(ISNUMBER($J803),$J803,"")</f>
        <v/>
      </c>
      <c r="B803" s="18" t="str">
        <f aca="false">IFERROR(INDEX('SALES Raw'!$B$6:$B$4467,MATCH($J803,'SALES Raw'!$J$6:$J$4467,0)),IFERROR(INDEX('CEMIUP0.9 Raw'!$B$6:$B$1712,MATCH($J803,'CEMIUP0.9 Raw'!$B$6:$B$1712,0)),$J803))</f>
        <v>VMSPCT49 0</v>
      </c>
      <c r="C803" s="18" t="str">
        <f aca="false">IF(ISNUMBER($J803),IFERROR(INDEX('TRANS'!$C:$C,MATCH($J803,'TRANS'!$B:$B,0)),IFERROR(INDEX('Catalog'!$B:$B,MATCH($J803,'Catalog'!$A:$A,0)),$B803)),$B803)</f>
        <v>VMSPCT49 0</v>
      </c>
      <c r="D803" s="19" t="n">
        <f aca="false">SUMIFS('SALES Raw'!$C$6:$C$4467,'SALES Raw'!$J$6:$J$4467,$J803,'SALES Raw'!$K$6:$K$4467,"Y")+SUMIFS('CEMIUP0.9 Raw'!$D$6:$D$1712,'CEMIUP0.9 Raw'!$B$6:$B$1712,$J803,'CEMIUP0.9 Raw'!$H$6:$H$1712,"Y")</f>
        <v>0</v>
      </c>
      <c r="E803" s="19" t="n">
        <f aca="false">SUMIFS('SALES Raw'!$D$6:$D$4467,'SALES Raw'!$J$6:$J$4467,$J803,'SALES Raw'!$K$6:$K$4467,"Y")+SUMIFS('CEMIUP0.9 Raw'!$E$6:$E$1712,'CEMIUP0.9 Raw'!$B$6:$B$1712,$J803,'CEMIUP0.9 Raw'!$H$6:$H$1712,"Y")</f>
        <v>0</v>
      </c>
      <c r="F803" s="19" t="n">
        <f aca="false">SUMIFS('SALES Raw'!$E$6:$E$4467,'SALES Raw'!$J$6:$J$4467,$J803,'SALES Raw'!$K$6:$K$4467,"Y")*$H$4+SUMIFS('CEMIUP0.9 Raw'!$F$6:$F$1712,'CEMIUP0.9 Raw'!$B$6:$B$1712,$J803,'CEMIUP0.9 Raw'!$H$6:$H$1712,"Y")</f>
        <v>1.26315789473684</v>
      </c>
      <c r="G803" s="19" t="n">
        <f aca="false">SUMIFS('SALES Raw'!$F$6:$F$4467,'SALES Raw'!$J$6:$J$4467,$J803,'SALES Raw'!$K$6:$K$4467,"Y")*$H$4+SUMIFS('CEMIUP0.9 Raw'!$G$6:$G$1712,'CEMIUP0.9 Raw'!$B$6:$B$1712,$J803,'CEMIUP0.9 Raw'!$H$6:$H$1712,"Y")</f>
        <v>0.0126315789473684</v>
      </c>
      <c r="H803" s="18" t="s">
        <v>42</v>
      </c>
      <c r="I803" s="18"/>
      <c r="J803" s="18" t="s">
        <v>384</v>
      </c>
    </row>
    <row r="804" customFormat="false" ht="15" hidden="false" customHeight="false" outlineLevel="0" collapsed="false">
      <c r="A804" s="18" t="str">
        <f aca="false">IF(ISNUMBER($J804),$J804,"")</f>
        <v/>
      </c>
      <c r="B804" s="18" t="str">
        <f aca="false">IFERROR(INDEX('SALES Raw'!$B$6:$B$4467,MATCH($J804,'SALES Raw'!$J$6:$J$4467,0)),IFERROR(INDEX('CEMIUP0.9 Raw'!$B$6:$B$1712,MATCH($J804,'CEMIUP0.9 Raw'!$B$6:$B$1712,0)),$J804))</f>
        <v>T35 L</v>
      </c>
      <c r="C804" s="18" t="str">
        <f aca="false">IF(ISNUMBER($J804),IFERROR(INDEX('TRANS'!$C:$C,MATCH($J804,'TRANS'!$B:$B,0)),IFERROR(INDEX('Catalog'!$B:$B,MATCH($J804,'Catalog'!$A:$A,0)),$B804)),$B804)</f>
        <v>T35 L</v>
      </c>
      <c r="D804" s="19" t="n">
        <f aca="false">SUMIFS('SALES Raw'!$C$6:$C$4467,'SALES Raw'!$J$6:$J$4467,$J804,'SALES Raw'!$K$6:$K$4467,"Y")+SUMIFS('CEMIUP0.9 Raw'!$D$6:$D$1712,'CEMIUP0.9 Raw'!$B$6:$B$1712,$J804,'CEMIUP0.9 Raw'!$H$6:$H$1712,"Y")</f>
        <v>6</v>
      </c>
      <c r="E804" s="19" t="n">
        <f aca="false">SUMIFS('SALES Raw'!$D$6:$D$4467,'SALES Raw'!$J$6:$J$4467,$J804,'SALES Raw'!$K$6:$K$4467,"Y")+SUMIFS('CEMIUP0.9 Raw'!$E$6:$E$1712,'CEMIUP0.9 Raw'!$B$6:$B$1712,$J804,'CEMIUP0.9 Raw'!$H$6:$H$1712,"Y")</f>
        <v>817.69</v>
      </c>
      <c r="F804" s="19" t="n">
        <f aca="false">SUMIFS('SALES Raw'!$E$6:$E$4467,'SALES Raw'!$J$6:$J$4467,$J804,'SALES Raw'!$K$6:$K$4467,"Y")*$H$4+SUMIFS('CEMIUP0.9 Raw'!$F$6:$F$1712,'CEMIUP0.9 Raw'!$B$6:$B$1712,$J804,'CEMIUP0.9 Raw'!$H$6:$H$1712,"Y")</f>
        <v>1.26315789473684</v>
      </c>
      <c r="G804" s="19" t="n">
        <f aca="false">SUMIFS('SALES Raw'!$F$6:$F$4467,'SALES Raw'!$J$6:$J$4467,$J804,'SALES Raw'!$K$6:$K$4467,"Y")*$H$4+SUMIFS('CEMIUP0.9 Raw'!$G$6:$G$1712,'CEMIUP0.9 Raw'!$B$6:$B$1712,$J804,'CEMIUP0.9 Raw'!$H$6:$H$1712,"Y")</f>
        <v>151.907368421053</v>
      </c>
      <c r="H804" s="18" t="s">
        <v>42</v>
      </c>
      <c r="I804" s="18"/>
      <c r="J804" s="18" t="s">
        <v>385</v>
      </c>
    </row>
    <row r="805" customFormat="false" ht="15" hidden="false" customHeight="false" outlineLevel="0" collapsed="false">
      <c r="A805" s="18" t="str">
        <f aca="false">IF(ISNUMBER($J805),$J805,"")</f>
        <v/>
      </c>
      <c r="B805" s="18" t="str">
        <f aca="false">IFERROR(INDEX('SALES Raw'!$B$6:$B$4467,MATCH($J805,'SALES Raw'!$J$6:$J$4467,0)),IFERROR(INDEX('CEMIUP0.9 Raw'!$B$6:$B$1712,MATCH($J805,'CEMIUP0.9 Raw'!$B$6:$B$1712,0)),$J805))</f>
        <v>T35 XL</v>
      </c>
      <c r="C805" s="18" t="str">
        <f aca="false">IF(ISNUMBER($J805),IFERROR(INDEX('TRANS'!$C:$C,MATCH($J805,'TRANS'!$B:$B,0)),IFERROR(INDEX('Catalog'!$B:$B,MATCH($J805,'Catalog'!$A:$A,0)),$B805)),$B805)</f>
        <v>T35 XL</v>
      </c>
      <c r="D805" s="19" t="n">
        <f aca="false">SUMIFS('SALES Raw'!$C$6:$C$4467,'SALES Raw'!$J$6:$J$4467,$J805,'SALES Raw'!$K$6:$K$4467,"Y")+SUMIFS('CEMIUP0.9 Raw'!$D$6:$D$1712,'CEMIUP0.9 Raw'!$B$6:$B$1712,$J805,'CEMIUP0.9 Raw'!$H$6:$H$1712,"Y")</f>
        <v>2</v>
      </c>
      <c r="E805" s="19" t="n">
        <f aca="false">SUMIFS('SALES Raw'!$D$6:$D$4467,'SALES Raw'!$J$6:$J$4467,$J805,'SALES Raw'!$K$6:$K$4467,"Y")+SUMIFS('CEMIUP0.9 Raw'!$E$6:$E$1712,'CEMIUP0.9 Raw'!$B$6:$B$1712,$J805,'CEMIUP0.9 Raw'!$H$6:$H$1712,"Y")</f>
        <v>204.42</v>
      </c>
      <c r="F805" s="19" t="n">
        <f aca="false">SUMIFS('SALES Raw'!$E$6:$E$4467,'SALES Raw'!$J$6:$J$4467,$J805,'SALES Raw'!$K$6:$K$4467,"Y")*$H$4+SUMIFS('CEMIUP0.9 Raw'!$F$6:$F$1712,'CEMIUP0.9 Raw'!$B$6:$B$1712,$J805,'CEMIUP0.9 Raw'!$H$6:$H$1712,"Y")</f>
        <v>1.26315789473684</v>
      </c>
      <c r="G805" s="19" t="n">
        <f aca="false">SUMIFS('SALES Raw'!$F$6:$F$4467,'SALES Raw'!$J$6:$J$4467,$J805,'SALES Raw'!$K$6:$K$4467,"Y")*$H$4+SUMIFS('CEMIUP0.9 Raw'!$G$6:$G$1712,'CEMIUP0.9 Raw'!$B$6:$B$1712,$J805,'CEMIUP0.9 Raw'!$H$6:$H$1712,"Y")</f>
        <v>151.894736842105</v>
      </c>
      <c r="H805" s="18" t="s">
        <v>42</v>
      </c>
      <c r="I805" s="18"/>
      <c r="J805" s="18" t="s">
        <v>386</v>
      </c>
    </row>
    <row r="806" customFormat="false" ht="15" hidden="false" customHeight="false" outlineLevel="0" collapsed="false">
      <c r="A806" s="18" t="str">
        <f aca="false">IF(ISNUMBER($J806),$J806,"")</f>
        <v/>
      </c>
      <c r="B806" s="18" t="str">
        <f aca="false">IFERROR(INDEX('SALES Raw'!$B$6:$B$4467,MATCH($J806,'SALES Raw'!$J$6:$J$4467,0)),IFERROR(INDEX('CEMIUP0.9 Raw'!$B$6:$B$1712,MATCH($J806,'CEMIUP0.9 Raw'!$B$6:$B$1712,0)),$J806))</f>
        <v>T35 XXL</v>
      </c>
      <c r="C806" s="18" t="str">
        <f aca="false">IF(ISNUMBER($J806),IFERROR(INDEX('TRANS'!$C:$C,MATCH($J806,'TRANS'!$B:$B,0)),IFERROR(INDEX('Catalog'!$B:$B,MATCH($J806,'Catalog'!$A:$A,0)),$B806)),$B806)</f>
        <v>T35 XXL</v>
      </c>
      <c r="D806" s="19" t="n">
        <f aca="false">SUMIFS('SALES Raw'!$C$6:$C$4467,'SALES Raw'!$J$6:$J$4467,$J806,'SALES Raw'!$K$6:$K$4467,"Y")+SUMIFS('CEMIUP0.9 Raw'!$D$6:$D$1712,'CEMIUP0.9 Raw'!$B$6:$B$1712,$J806,'CEMIUP0.9 Raw'!$H$6:$H$1712,"Y")</f>
        <v>2</v>
      </c>
      <c r="E806" s="19" t="n">
        <f aca="false">SUMIFS('SALES Raw'!$D$6:$D$4467,'SALES Raw'!$J$6:$J$4467,$J806,'SALES Raw'!$K$6:$K$4467,"Y")+SUMIFS('CEMIUP0.9 Raw'!$E$6:$E$1712,'CEMIUP0.9 Raw'!$B$6:$B$1712,$J806,'CEMIUP0.9 Raw'!$H$6:$H$1712,"Y")</f>
        <v>240.5</v>
      </c>
      <c r="F806" s="19" t="n">
        <f aca="false">SUMIFS('SALES Raw'!$E$6:$E$4467,'SALES Raw'!$J$6:$J$4467,$J806,'SALES Raw'!$K$6:$K$4467,"Y")*$H$4+SUMIFS('CEMIUP0.9 Raw'!$F$6:$F$1712,'CEMIUP0.9 Raw'!$B$6:$B$1712,$J806,'CEMIUP0.9 Raw'!$H$6:$H$1712,"Y")</f>
        <v>1.26315789473684</v>
      </c>
      <c r="G806" s="19" t="n">
        <f aca="false">SUMIFS('SALES Raw'!$F$6:$F$4467,'SALES Raw'!$J$6:$J$4467,$J806,'SALES Raw'!$K$6:$K$4467,"Y")*$H$4+SUMIFS('CEMIUP0.9 Raw'!$G$6:$G$1712,'CEMIUP0.9 Raw'!$B$6:$B$1712,$J806,'CEMIUP0.9 Raw'!$H$6:$H$1712,"Y")</f>
        <v>151.894736842105</v>
      </c>
      <c r="H806" s="18" t="s">
        <v>42</v>
      </c>
      <c r="I806" s="18"/>
      <c r="J806" s="18" t="s">
        <v>387</v>
      </c>
    </row>
    <row r="807" customFormat="false" ht="15" hidden="false" customHeight="false" outlineLevel="0" collapsed="false">
      <c r="A807" s="18" t="str">
        <f aca="false">IF(ISNUMBER($J807),$J807,"")</f>
        <v/>
      </c>
      <c r="B807" s="18" t="str">
        <f aca="false">IFERROR(INDEX('SALES Raw'!$B$6:$B$4467,MATCH($J807,'SALES Raw'!$J$6:$J$4467,0)),IFERROR(INDEX('CEMIUP0.9 Raw'!$B$6:$B$1712,MATCH($J807,'CEMIUP0.9 Raw'!$B$6:$B$1712,0)),$J807))</f>
        <v>T42 L</v>
      </c>
      <c r="C807" s="18" t="str">
        <f aca="false">IF(ISNUMBER($J807),IFERROR(INDEX('TRANS'!$C:$C,MATCH($J807,'TRANS'!$B:$B,0)),IFERROR(INDEX('Catalog'!$B:$B,MATCH($J807,'Catalog'!$A:$A,0)),$B807)),$B807)</f>
        <v>T42 L</v>
      </c>
      <c r="D807" s="19" t="n">
        <f aca="false">SUMIFS('SALES Raw'!$C$6:$C$4467,'SALES Raw'!$J$6:$J$4467,$J807,'SALES Raw'!$K$6:$K$4467,"Y")+SUMIFS('CEMIUP0.9 Raw'!$D$6:$D$1712,'CEMIUP0.9 Raw'!$B$6:$B$1712,$J807,'CEMIUP0.9 Raw'!$H$6:$H$1712,"Y")</f>
        <v>3</v>
      </c>
      <c r="E807" s="19" t="n">
        <f aca="false">SUMIFS('SALES Raw'!$D$6:$D$4467,'SALES Raw'!$J$6:$J$4467,$J807,'SALES Raw'!$K$6:$K$4467,"Y")+SUMIFS('CEMIUP0.9 Raw'!$E$6:$E$1712,'CEMIUP0.9 Raw'!$B$6:$B$1712,$J807,'CEMIUP0.9 Raw'!$H$6:$H$1712,"Y")</f>
        <v>877.71</v>
      </c>
      <c r="F807" s="19" t="n">
        <f aca="false">SUMIFS('SALES Raw'!$E$6:$E$4467,'SALES Raw'!$J$6:$J$4467,$J807,'SALES Raw'!$K$6:$K$4467,"Y")*$H$4+SUMIFS('CEMIUP0.9 Raw'!$F$6:$F$1712,'CEMIUP0.9 Raw'!$B$6:$B$1712,$J807,'CEMIUP0.9 Raw'!$H$6:$H$1712,"Y")</f>
        <v>1.26315789473684</v>
      </c>
      <c r="G807" s="19" t="n">
        <f aca="false">SUMIFS('SALES Raw'!$F$6:$F$4467,'SALES Raw'!$J$6:$J$4467,$J807,'SALES Raw'!$K$6:$K$4467,"Y")*$H$4+SUMIFS('CEMIUP0.9 Raw'!$G$6:$G$1712,'CEMIUP0.9 Raw'!$B$6:$B$1712,$J807,'CEMIUP0.9 Raw'!$H$6:$H$1712,"Y")</f>
        <v>337.098947368421</v>
      </c>
      <c r="H807" s="18" t="s">
        <v>42</v>
      </c>
      <c r="I807" s="18"/>
      <c r="J807" s="18" t="s">
        <v>388</v>
      </c>
    </row>
    <row r="808" customFormat="false" ht="15" hidden="false" customHeight="false" outlineLevel="0" collapsed="false">
      <c r="A808" s="18" t="str">
        <f aca="false">IF(ISNUMBER($J808),$J808,"")</f>
        <v/>
      </c>
      <c r="B808" s="18" t="str">
        <f aca="false">IFERROR(INDEX('SALES Raw'!$B$6:$B$4467,MATCH($J808,'SALES Raw'!$J$6:$J$4467,0)),IFERROR(INDEX('CEMIUP0.9 Raw'!$B$6:$B$1712,MATCH($J808,'CEMIUP0.9 Raw'!$B$6:$B$1712,0)),$J808))</f>
        <v>T42 M</v>
      </c>
      <c r="C808" s="18" t="str">
        <f aca="false">IF(ISNUMBER($J808),IFERROR(INDEX('TRANS'!$C:$C,MATCH($J808,'TRANS'!$B:$B,0)),IFERROR(INDEX('Catalog'!$B:$B,MATCH($J808,'Catalog'!$A:$A,0)),$B808)),$B808)</f>
        <v>T42 M</v>
      </c>
      <c r="D808" s="19" t="n">
        <f aca="false">SUMIFS('SALES Raw'!$C$6:$C$4467,'SALES Raw'!$J$6:$J$4467,$J808,'SALES Raw'!$K$6:$K$4467,"Y")+SUMIFS('CEMIUP0.9 Raw'!$D$6:$D$1712,'CEMIUP0.9 Raw'!$B$6:$B$1712,$J808,'CEMIUP0.9 Raw'!$H$6:$H$1712,"Y")</f>
        <v>0</v>
      </c>
      <c r="E808" s="19" t="n">
        <f aca="false">SUMIFS('SALES Raw'!$D$6:$D$4467,'SALES Raw'!$J$6:$J$4467,$J808,'SALES Raw'!$K$6:$K$4467,"Y")+SUMIFS('CEMIUP0.9 Raw'!$E$6:$E$1712,'CEMIUP0.9 Raw'!$B$6:$B$1712,$J808,'CEMIUP0.9 Raw'!$H$6:$H$1712,"Y")</f>
        <v>0</v>
      </c>
      <c r="F808" s="19" t="n">
        <f aca="false">SUMIFS('SALES Raw'!$E$6:$E$4467,'SALES Raw'!$J$6:$J$4467,$J808,'SALES Raw'!$K$6:$K$4467,"Y")*$H$4+SUMIFS('CEMIUP0.9 Raw'!$F$6:$F$1712,'CEMIUP0.9 Raw'!$B$6:$B$1712,$J808,'CEMIUP0.9 Raw'!$H$6:$H$1712,"Y")</f>
        <v>1.26315789473684</v>
      </c>
      <c r="G808" s="19" t="n">
        <f aca="false">SUMIFS('SALES Raw'!$F$6:$F$4467,'SALES Raw'!$J$6:$J$4467,$J808,'SALES Raw'!$K$6:$K$4467,"Y")*$H$4+SUMIFS('CEMIUP0.9 Raw'!$G$6:$G$1712,'CEMIUP0.9 Raw'!$B$6:$B$1712,$J808,'CEMIUP0.9 Raw'!$H$6:$H$1712,"Y")</f>
        <v>374.564210526316</v>
      </c>
      <c r="H808" s="18" t="s">
        <v>42</v>
      </c>
      <c r="I808" s="18"/>
      <c r="J808" s="18" t="s">
        <v>389</v>
      </c>
    </row>
    <row r="809" customFormat="false" ht="15" hidden="false" customHeight="false" outlineLevel="0" collapsed="false">
      <c r="A809" s="18" t="str">
        <f aca="false">IF(ISNUMBER($J809),$J809,"")</f>
        <v/>
      </c>
      <c r="B809" s="18" t="str">
        <f aca="false">IFERROR(INDEX('SALES Raw'!$B$6:$B$4467,MATCH($J809,'SALES Raw'!$J$6:$J$4467,0)),IFERROR(INDEX('CEMIUP0.9 Raw'!$B$6:$B$1712,MATCH($J809,'CEMIUP0.9 Raw'!$B$6:$B$1712,0)),$J809))</f>
        <v>T42X L</v>
      </c>
      <c r="C809" s="18" t="str">
        <f aca="false">IF(ISNUMBER($J809),IFERROR(INDEX('TRANS'!$C:$C,MATCH($J809,'TRANS'!$B:$B,0)),IFERROR(INDEX('Catalog'!$B:$B,MATCH($J809,'Catalog'!$A:$A,0)),$B809)),$B809)</f>
        <v>T42X L</v>
      </c>
      <c r="D809" s="19" t="n">
        <f aca="false">SUMIFS('SALES Raw'!$C$6:$C$4467,'SALES Raw'!$J$6:$J$4467,$J809,'SALES Raw'!$K$6:$K$4467,"Y")+SUMIFS('CEMIUP0.9 Raw'!$D$6:$D$1712,'CEMIUP0.9 Raw'!$B$6:$B$1712,$J809,'CEMIUP0.9 Raw'!$H$6:$H$1712,"Y")</f>
        <v>0</v>
      </c>
      <c r="E809" s="19" t="n">
        <f aca="false">SUMIFS('SALES Raw'!$D$6:$D$4467,'SALES Raw'!$J$6:$J$4467,$J809,'SALES Raw'!$K$6:$K$4467,"Y")+SUMIFS('CEMIUP0.9 Raw'!$E$6:$E$1712,'CEMIUP0.9 Raw'!$B$6:$B$1712,$J809,'CEMIUP0.9 Raw'!$H$6:$H$1712,"Y")</f>
        <v>0</v>
      </c>
      <c r="F809" s="19" t="n">
        <f aca="false">SUMIFS('SALES Raw'!$E$6:$E$4467,'SALES Raw'!$J$6:$J$4467,$J809,'SALES Raw'!$K$6:$K$4467,"Y")*$H$4+SUMIFS('CEMIUP0.9 Raw'!$F$6:$F$1712,'CEMIUP0.9 Raw'!$B$6:$B$1712,$J809,'CEMIUP0.9 Raw'!$H$6:$H$1712,"Y")</f>
        <v>1.26315789473684</v>
      </c>
      <c r="G809" s="19" t="n">
        <f aca="false">SUMIFS('SALES Raw'!$F$6:$F$4467,'SALES Raw'!$J$6:$J$4467,$J809,'SALES Raw'!$K$6:$K$4467,"Y")*$H$4+SUMIFS('CEMIUP0.9 Raw'!$G$6:$G$1712,'CEMIUP0.9 Raw'!$B$6:$B$1712,$J809,'CEMIUP0.9 Raw'!$H$6:$H$1712,"Y")</f>
        <v>389.128421052632</v>
      </c>
      <c r="H809" s="18" t="s">
        <v>42</v>
      </c>
      <c r="I809" s="18"/>
      <c r="J809" s="18" t="s">
        <v>390</v>
      </c>
    </row>
    <row r="810" customFormat="false" ht="15" hidden="false" customHeight="false" outlineLevel="0" collapsed="false">
      <c r="A810" s="18" t="str">
        <f aca="false">IF(ISNUMBER($J810),$J810,"")</f>
        <v/>
      </c>
      <c r="B810" s="18" t="str">
        <f aca="false">IFERROR(INDEX('SALES Raw'!$B$6:$B$4467,MATCH($J810,'SALES Raw'!$J$6:$J$4467,0)),IFERROR(INDEX('CEMIUP0.9 Raw'!$B$6:$B$1712,MATCH($J810,'CEMIUP0.9 Raw'!$B$6:$B$1712,0)),$J810))</f>
        <v>T43 XL</v>
      </c>
      <c r="C810" s="18" t="str">
        <f aca="false">IF(ISNUMBER($J810),IFERROR(INDEX('TRANS'!$C:$C,MATCH($J810,'TRANS'!$B:$B,0)),IFERROR(INDEX('Catalog'!$B:$B,MATCH($J810,'Catalog'!$A:$A,0)),$B810)),$B810)</f>
        <v>T43 XL</v>
      </c>
      <c r="D810" s="19" t="n">
        <f aca="false">SUMIFS('SALES Raw'!$C$6:$C$4467,'SALES Raw'!$J$6:$J$4467,$J810,'SALES Raw'!$K$6:$K$4467,"Y")+SUMIFS('CEMIUP0.9 Raw'!$D$6:$D$1712,'CEMIUP0.9 Raw'!$B$6:$B$1712,$J810,'CEMIUP0.9 Raw'!$H$6:$H$1712,"Y")</f>
        <v>0</v>
      </c>
      <c r="E810" s="19" t="n">
        <f aca="false">SUMIFS('SALES Raw'!$D$6:$D$4467,'SALES Raw'!$J$6:$J$4467,$J810,'SALES Raw'!$K$6:$K$4467,"Y")+SUMIFS('CEMIUP0.9 Raw'!$E$6:$E$1712,'CEMIUP0.9 Raw'!$B$6:$B$1712,$J810,'CEMIUP0.9 Raw'!$H$6:$H$1712,"Y")</f>
        <v>0</v>
      </c>
      <c r="F810" s="19" t="n">
        <f aca="false">SUMIFS('SALES Raw'!$E$6:$E$4467,'SALES Raw'!$J$6:$J$4467,$J810,'SALES Raw'!$K$6:$K$4467,"Y")*$H$4+SUMIFS('CEMIUP0.9 Raw'!$F$6:$F$1712,'CEMIUP0.9 Raw'!$B$6:$B$1712,$J810,'CEMIUP0.9 Raw'!$H$6:$H$1712,"Y")</f>
        <v>1.26315789473684</v>
      </c>
      <c r="G810" s="19" t="n">
        <f aca="false">SUMIFS('SALES Raw'!$F$6:$F$4467,'SALES Raw'!$J$6:$J$4467,$J810,'SALES Raw'!$K$6:$K$4467,"Y")*$H$4+SUMIFS('CEMIUP0.9 Raw'!$G$6:$G$1712,'CEMIUP0.9 Raw'!$B$6:$B$1712,$J810,'CEMIUP0.9 Raw'!$H$6:$H$1712,"Y")</f>
        <v>432.366315789474</v>
      </c>
      <c r="H810" s="18" t="s">
        <v>42</v>
      </c>
      <c r="I810" s="18"/>
      <c r="J810" s="18" t="s">
        <v>391</v>
      </c>
    </row>
    <row r="811" customFormat="false" ht="15" hidden="false" customHeight="false" outlineLevel="0" collapsed="false">
      <c r="A811" s="18" t="str">
        <f aca="false">IF(ISNUMBER($J811),$J811,"")</f>
        <v/>
      </c>
      <c r="B811" s="18" t="str">
        <f aca="false">IFERROR(INDEX('SALES Raw'!$B$6:$B$4467,MATCH($J811,'SALES Raw'!$J$6:$J$4467,0)),IFERROR(INDEX('CEMIUP0.9 Raw'!$B$6:$B$1712,MATCH($J811,'CEMIUP0.9 Raw'!$B$6:$B$1712,0)),$J811))</f>
        <v>T43V M</v>
      </c>
      <c r="C811" s="18" t="str">
        <f aca="false">IF(ISNUMBER($J811),IFERROR(INDEX('TRANS'!$C:$C,MATCH($J811,'TRANS'!$B:$B,0)),IFERROR(INDEX('Catalog'!$B:$B,MATCH($J811,'Catalog'!$A:$A,0)),$B811)),$B811)</f>
        <v>T43V M</v>
      </c>
      <c r="D811" s="19" t="n">
        <f aca="false">SUMIFS('SALES Raw'!$C$6:$C$4467,'SALES Raw'!$J$6:$J$4467,$J811,'SALES Raw'!$K$6:$K$4467,"Y")+SUMIFS('CEMIUP0.9 Raw'!$D$6:$D$1712,'CEMIUP0.9 Raw'!$B$6:$B$1712,$J811,'CEMIUP0.9 Raw'!$H$6:$H$1712,"Y")</f>
        <v>0</v>
      </c>
      <c r="E811" s="19" t="n">
        <f aca="false">SUMIFS('SALES Raw'!$D$6:$D$4467,'SALES Raw'!$J$6:$J$4467,$J811,'SALES Raw'!$K$6:$K$4467,"Y")+SUMIFS('CEMIUP0.9 Raw'!$E$6:$E$1712,'CEMIUP0.9 Raw'!$B$6:$B$1712,$J811,'CEMIUP0.9 Raw'!$H$6:$H$1712,"Y")</f>
        <v>0</v>
      </c>
      <c r="F811" s="19" t="n">
        <f aca="false">SUMIFS('SALES Raw'!$E$6:$E$4467,'SALES Raw'!$J$6:$J$4467,$J811,'SALES Raw'!$K$6:$K$4467,"Y")*$H$4+SUMIFS('CEMIUP0.9 Raw'!$F$6:$F$1712,'CEMIUP0.9 Raw'!$B$6:$B$1712,$J811,'CEMIUP0.9 Raw'!$H$6:$H$1712,"Y")</f>
        <v>1.26315789473684</v>
      </c>
      <c r="G811" s="19" t="n">
        <f aca="false">SUMIFS('SALES Raw'!$F$6:$F$4467,'SALES Raw'!$J$6:$J$4467,$J811,'SALES Raw'!$K$6:$K$4467,"Y")*$H$4+SUMIFS('CEMIUP0.9 Raw'!$G$6:$G$1712,'CEMIUP0.9 Raw'!$B$6:$B$1712,$J811,'CEMIUP0.9 Raw'!$H$6:$H$1712,"Y")</f>
        <v>828.442105263158</v>
      </c>
      <c r="H811" s="18" t="s">
        <v>42</v>
      </c>
      <c r="I811" s="18"/>
      <c r="J811" s="18" t="s">
        <v>392</v>
      </c>
    </row>
    <row r="812" customFormat="false" ht="15" hidden="false" customHeight="false" outlineLevel="0" collapsed="false">
      <c r="A812" s="18" t="str">
        <f aca="false">IF(ISNUMBER($J812),$J812,"")</f>
        <v/>
      </c>
      <c r="B812" s="18" t="str">
        <f aca="false">IFERROR(INDEX('SALES Raw'!$B$6:$B$4467,MATCH($J812,'SALES Raw'!$J$6:$J$4467,0)),IFERROR(INDEX('CEMIUP0.9 Raw'!$B$6:$B$1712,MATCH($J812,'CEMIUP0.9 Raw'!$B$6:$B$1712,0)),$J812))</f>
        <v>322B S</v>
      </c>
      <c r="C812" s="18" t="str">
        <f aca="false">IF(ISNUMBER($J812),IFERROR(INDEX('TRANS'!$C:$C,MATCH($J812,'TRANS'!$B:$B,0)),IFERROR(INDEX('Catalog'!$B:$B,MATCH($J812,'Catalog'!$A:$A,0)),$B812)),$B812)</f>
        <v>322B S</v>
      </c>
      <c r="D812" s="19" t="n">
        <f aca="false">SUMIFS('SALES Raw'!$C$6:$C$4467,'SALES Raw'!$J$6:$J$4467,$J812,'SALES Raw'!$K$6:$K$4467,"Y")+SUMIFS('CEMIUP0.9 Raw'!$D$6:$D$1712,'CEMIUP0.9 Raw'!$B$6:$B$1712,$J812,'CEMIUP0.9 Raw'!$H$6:$H$1712,"Y")</f>
        <v>1</v>
      </c>
      <c r="E812" s="19" t="n">
        <f aca="false">SUMIFS('SALES Raw'!$D$6:$D$4467,'SALES Raw'!$J$6:$J$4467,$J812,'SALES Raw'!$K$6:$K$4467,"Y")+SUMIFS('CEMIUP0.9 Raw'!$E$6:$E$1712,'CEMIUP0.9 Raw'!$B$6:$B$1712,$J812,'CEMIUP0.9 Raw'!$H$6:$H$1712,"Y")</f>
        <v>231.27</v>
      </c>
      <c r="F812" s="19" t="n">
        <f aca="false">SUMIFS('SALES Raw'!$E$6:$E$4467,'SALES Raw'!$J$6:$J$4467,$J812,'SALES Raw'!$K$6:$K$4467,"Y")*$H$4+SUMIFS('CEMIUP0.9 Raw'!$F$6:$F$1712,'CEMIUP0.9 Raw'!$B$6:$B$1712,$J812,'CEMIUP0.9 Raw'!$H$6:$H$1712,"Y")</f>
        <v>1.26315789473684</v>
      </c>
      <c r="G812" s="19" t="n">
        <f aca="false">SUMIFS('SALES Raw'!$F$6:$F$4467,'SALES Raw'!$J$6:$J$4467,$J812,'SALES Raw'!$K$6:$K$4467,"Y")*$H$4+SUMIFS('CEMIUP0.9 Raw'!$G$6:$G$1712,'CEMIUP0.9 Raw'!$B$6:$B$1712,$J812,'CEMIUP0.9 Raw'!$H$6:$H$1712,"Y")</f>
        <v>292.13052631579</v>
      </c>
      <c r="H812" s="18" t="s">
        <v>49</v>
      </c>
      <c r="I812" s="18"/>
      <c r="J812" s="18" t="s">
        <v>393</v>
      </c>
    </row>
    <row r="813" customFormat="false" ht="15" hidden="false" customHeight="false" outlineLevel="0" collapsed="false">
      <c r="A813" s="18" t="str">
        <f aca="false">IF(ISNUMBER($J813),$J813,"")</f>
        <v/>
      </c>
      <c r="B813" s="18" t="str">
        <f aca="false">IFERROR(INDEX('SALES Raw'!$B$6:$B$4467,MATCH($J813,'SALES Raw'!$J$6:$J$4467,0)),IFERROR(INDEX('CEMIUP0.9 Raw'!$B$6:$B$1712,MATCH($J813,'CEMIUP0.9 Raw'!$B$6:$B$1712,0)),$J813))</f>
        <v>322B XL</v>
      </c>
      <c r="C813" s="18" t="str">
        <f aca="false">IF(ISNUMBER($J813),IFERROR(INDEX('TRANS'!$C:$C,MATCH($J813,'TRANS'!$B:$B,0)),IFERROR(INDEX('Catalog'!$B:$B,MATCH($J813,'Catalog'!$A:$A,0)),$B813)),$B813)</f>
        <v>322B XL</v>
      </c>
      <c r="D813" s="19" t="n">
        <f aca="false">SUMIFS('SALES Raw'!$C$6:$C$4467,'SALES Raw'!$J$6:$J$4467,$J813,'SALES Raw'!$K$6:$K$4467,"Y")+SUMIFS('CEMIUP0.9 Raw'!$D$6:$D$1712,'CEMIUP0.9 Raw'!$B$6:$B$1712,$J813,'CEMIUP0.9 Raw'!$H$6:$H$1712,"Y")</f>
        <v>1</v>
      </c>
      <c r="E813" s="19" t="n">
        <f aca="false">SUMIFS('SALES Raw'!$D$6:$D$4467,'SALES Raw'!$J$6:$J$4467,$J813,'SALES Raw'!$K$6:$K$4467,"Y")+SUMIFS('CEMIUP0.9 Raw'!$E$6:$E$1712,'CEMIUP0.9 Raw'!$B$6:$B$1712,$J813,'CEMIUP0.9 Raw'!$H$6:$H$1712,"Y")</f>
        <v>231.27</v>
      </c>
      <c r="F813" s="19" t="n">
        <f aca="false">SUMIFS('SALES Raw'!$E$6:$E$4467,'SALES Raw'!$J$6:$J$4467,$J813,'SALES Raw'!$K$6:$K$4467,"Y")*$H$4+SUMIFS('CEMIUP0.9 Raw'!$F$6:$F$1712,'CEMIUP0.9 Raw'!$B$6:$B$1712,$J813,'CEMIUP0.9 Raw'!$H$6:$H$1712,"Y")</f>
        <v>1.26315789473684</v>
      </c>
      <c r="G813" s="19" t="n">
        <f aca="false">SUMIFS('SALES Raw'!$F$6:$F$4467,'SALES Raw'!$J$6:$J$4467,$J813,'SALES Raw'!$K$6:$K$4467,"Y")*$H$4+SUMIFS('CEMIUP0.9 Raw'!$G$6:$G$1712,'CEMIUP0.9 Raw'!$B$6:$B$1712,$J813,'CEMIUP0.9 Raw'!$H$6:$H$1712,"Y")</f>
        <v>292.13052631579</v>
      </c>
      <c r="H813" s="18" t="s">
        <v>49</v>
      </c>
      <c r="I813" s="18"/>
      <c r="J813" s="18" t="s">
        <v>394</v>
      </c>
    </row>
    <row r="814" customFormat="false" ht="15" hidden="false" customHeight="false" outlineLevel="0" collapsed="false">
      <c r="A814" s="18" t="str">
        <f aca="false">IF(ISNUMBER($J814),$J814,"")</f>
        <v/>
      </c>
      <c r="B814" s="18" t="str">
        <f aca="false">IFERROR(INDEX('SALES Raw'!$B$6:$B$4467,MATCH($J814,'SALES Raw'!$J$6:$J$4467,0)),IFERROR(INDEX('CEMIUP0.9 Raw'!$B$6:$B$1712,MATCH($J814,'CEMIUP0.9 Raw'!$B$6:$B$1712,0)),$J814))</f>
        <v>322B XXL</v>
      </c>
      <c r="C814" s="18" t="str">
        <f aca="false">IF(ISNUMBER($J814),IFERROR(INDEX('TRANS'!$C:$C,MATCH($J814,'TRANS'!$B:$B,0)),IFERROR(INDEX('Catalog'!$B:$B,MATCH($J814,'Catalog'!$A:$A,0)),$B814)),$B814)</f>
        <v>322B XXL</v>
      </c>
      <c r="D814" s="19" t="n">
        <f aca="false">SUMIFS('SALES Raw'!$C$6:$C$4467,'SALES Raw'!$J$6:$J$4467,$J814,'SALES Raw'!$K$6:$K$4467,"Y")+SUMIFS('CEMIUP0.9 Raw'!$D$6:$D$1712,'CEMIUP0.9 Raw'!$B$6:$B$1712,$J814,'CEMIUP0.9 Raw'!$H$6:$H$1712,"Y")</f>
        <v>0</v>
      </c>
      <c r="E814" s="19" t="n">
        <f aca="false">SUMIFS('SALES Raw'!$D$6:$D$4467,'SALES Raw'!$J$6:$J$4467,$J814,'SALES Raw'!$K$6:$K$4467,"Y")+SUMIFS('CEMIUP0.9 Raw'!$E$6:$E$1712,'CEMIUP0.9 Raw'!$B$6:$B$1712,$J814,'CEMIUP0.9 Raw'!$H$6:$H$1712,"Y")</f>
        <v>0</v>
      </c>
      <c r="F814" s="19" t="n">
        <f aca="false">SUMIFS('SALES Raw'!$E$6:$E$4467,'SALES Raw'!$J$6:$J$4467,$J814,'SALES Raw'!$K$6:$K$4467,"Y")*$H$4+SUMIFS('CEMIUP0.9 Raw'!$F$6:$F$1712,'CEMIUP0.9 Raw'!$B$6:$B$1712,$J814,'CEMIUP0.9 Raw'!$H$6:$H$1712,"Y")</f>
        <v>1.26315789473684</v>
      </c>
      <c r="G814" s="19" t="n">
        <f aca="false">SUMIFS('SALES Raw'!$F$6:$F$4467,'SALES Raw'!$J$6:$J$4467,$J814,'SALES Raw'!$K$6:$K$4467,"Y")*$H$4+SUMIFS('CEMIUP0.9 Raw'!$G$6:$G$1712,'CEMIUP0.9 Raw'!$B$6:$B$1712,$J814,'CEMIUP0.9 Raw'!$H$6:$H$1712,"Y")</f>
        <v>292.13052631579</v>
      </c>
      <c r="H814" s="18" t="s">
        <v>49</v>
      </c>
      <c r="I814" s="18"/>
      <c r="J814" s="18" t="s">
        <v>395</v>
      </c>
    </row>
    <row r="815" customFormat="false" ht="15" hidden="false" customHeight="false" outlineLevel="0" collapsed="false">
      <c r="A815" s="18" t="str">
        <f aca="false">IF(ISNUMBER($J815),$J815,"")</f>
        <v/>
      </c>
      <c r="B815" s="18" t="str">
        <f aca="false">IFERROR(INDEX('SALES Raw'!$B$6:$B$4467,MATCH($J815,'SALES Raw'!$J$6:$J$4467,0)),IFERROR(INDEX('CEMIUP0.9 Raw'!$B$6:$B$1712,MATCH($J815,'CEMIUP0.9 Raw'!$B$6:$B$1712,0)),$J815))</f>
        <v>T401 S</v>
      </c>
      <c r="C815" s="18" t="str">
        <f aca="false">IF(ISNUMBER($J815),IFERROR(INDEX('TRANS'!$C:$C,MATCH($J815,'TRANS'!$B:$B,0)),IFERROR(INDEX('Catalog'!$B:$B,MATCH($J815,'Catalog'!$A:$A,0)),$B815)),$B815)</f>
        <v>T401 S</v>
      </c>
      <c r="D815" s="19" t="n">
        <f aca="false">SUMIFS('SALES Raw'!$C$6:$C$4467,'SALES Raw'!$J$6:$J$4467,$J815,'SALES Raw'!$K$6:$K$4467,"Y")+SUMIFS('CEMIUP0.9 Raw'!$D$6:$D$1712,'CEMIUP0.9 Raw'!$B$6:$B$1712,$J815,'CEMIUP0.9 Raw'!$H$6:$H$1712,"Y")</f>
        <v>0</v>
      </c>
      <c r="E815" s="19" t="n">
        <f aca="false">SUMIFS('SALES Raw'!$D$6:$D$4467,'SALES Raw'!$J$6:$J$4467,$J815,'SALES Raw'!$K$6:$K$4467,"Y")+SUMIFS('CEMIUP0.9 Raw'!$E$6:$E$1712,'CEMIUP0.9 Raw'!$B$6:$B$1712,$J815,'CEMIUP0.9 Raw'!$H$6:$H$1712,"Y")</f>
        <v>0</v>
      </c>
      <c r="F815" s="19" t="n">
        <f aca="false">SUMIFS('SALES Raw'!$E$6:$E$4467,'SALES Raw'!$J$6:$J$4467,$J815,'SALES Raw'!$K$6:$K$4467,"Y")*$H$4+SUMIFS('CEMIUP0.9 Raw'!$F$6:$F$1712,'CEMIUP0.9 Raw'!$B$6:$B$1712,$J815,'CEMIUP0.9 Raw'!$H$6:$H$1712,"Y")</f>
        <v>1.26315789473684</v>
      </c>
      <c r="G815" s="19" t="n">
        <f aca="false">SUMIFS('SALES Raw'!$F$6:$F$4467,'SALES Raw'!$J$6:$J$4467,$J815,'SALES Raw'!$K$6:$K$4467,"Y")*$H$4+SUMIFS('CEMIUP0.9 Raw'!$G$6:$G$1712,'CEMIUP0.9 Raw'!$B$6:$B$1712,$J815,'CEMIUP0.9 Raw'!$H$6:$H$1712,"Y")</f>
        <v>377.772631578947</v>
      </c>
      <c r="H815" s="18" t="s">
        <v>49</v>
      </c>
      <c r="I815" s="18"/>
      <c r="J815" s="18" t="s">
        <v>396</v>
      </c>
    </row>
    <row r="816" customFormat="false" ht="15" hidden="false" customHeight="false" outlineLevel="0" collapsed="false">
      <c r="A816" s="18" t="str">
        <f aca="false">IF(ISNUMBER($J816),$J816,"")</f>
        <v/>
      </c>
      <c r="B816" s="18" t="str">
        <f aca="false">IFERROR(INDEX('SALES Raw'!$B$6:$B$4467,MATCH($J816,'SALES Raw'!$J$6:$J$4467,0)),IFERROR(INDEX('CEMIUP0.9 Raw'!$B$6:$B$1712,MATCH($J816,'CEMIUP0.9 Raw'!$B$6:$B$1712,0)),$J816))</f>
        <v>T401 XL</v>
      </c>
      <c r="C816" s="18" t="str">
        <f aca="false">IF(ISNUMBER($J816),IFERROR(INDEX('TRANS'!$C:$C,MATCH($J816,'TRANS'!$B:$B,0)),IFERROR(INDEX('Catalog'!$B:$B,MATCH($J816,'Catalog'!$A:$A,0)),$B816)),$B816)</f>
        <v>T401 XL</v>
      </c>
      <c r="D816" s="19" t="n">
        <f aca="false">SUMIFS('SALES Raw'!$C$6:$C$4467,'SALES Raw'!$J$6:$J$4467,$J816,'SALES Raw'!$K$6:$K$4467,"Y")+SUMIFS('CEMIUP0.9 Raw'!$D$6:$D$1712,'CEMIUP0.9 Raw'!$B$6:$B$1712,$J816,'CEMIUP0.9 Raw'!$H$6:$H$1712,"Y")</f>
        <v>0</v>
      </c>
      <c r="E816" s="19" t="n">
        <f aca="false">SUMIFS('SALES Raw'!$D$6:$D$4467,'SALES Raw'!$J$6:$J$4467,$J816,'SALES Raw'!$K$6:$K$4467,"Y")+SUMIFS('CEMIUP0.9 Raw'!$E$6:$E$1712,'CEMIUP0.9 Raw'!$B$6:$B$1712,$J816,'CEMIUP0.9 Raw'!$H$6:$H$1712,"Y")</f>
        <v>0</v>
      </c>
      <c r="F816" s="19" t="n">
        <f aca="false">SUMIFS('SALES Raw'!$E$6:$E$4467,'SALES Raw'!$J$6:$J$4467,$J816,'SALES Raw'!$K$6:$K$4467,"Y")*$H$4+SUMIFS('CEMIUP0.9 Raw'!$F$6:$F$1712,'CEMIUP0.9 Raw'!$B$6:$B$1712,$J816,'CEMIUP0.9 Raw'!$H$6:$H$1712,"Y")</f>
        <v>1.26315789473684</v>
      </c>
      <c r="G816" s="19" t="n">
        <f aca="false">SUMIFS('SALES Raw'!$F$6:$F$4467,'SALES Raw'!$J$6:$J$4467,$J816,'SALES Raw'!$K$6:$K$4467,"Y")*$H$4+SUMIFS('CEMIUP0.9 Raw'!$G$6:$G$1712,'CEMIUP0.9 Raw'!$B$6:$B$1712,$J816,'CEMIUP0.9 Raw'!$H$6:$H$1712,"Y")</f>
        <v>377.772631578947</v>
      </c>
      <c r="H816" s="18" t="s">
        <v>49</v>
      </c>
      <c r="I816" s="18"/>
      <c r="J816" s="18" t="s">
        <v>397</v>
      </c>
    </row>
    <row r="817" customFormat="false" ht="15" hidden="false" customHeight="false" outlineLevel="0" collapsed="false">
      <c r="A817" s="18" t="str">
        <f aca="false">IF(ISNUMBER($J817),$J817,"")</f>
        <v/>
      </c>
      <c r="B817" s="18" t="str">
        <f aca="false">IFERROR(INDEX('SALES Raw'!$B$6:$B$4467,MATCH($J817,'SALES Raw'!$J$6:$J$4467,0)),IFERROR(INDEX('CEMIUP0.9 Raw'!$B$6:$B$1712,MATCH($J817,'CEMIUP0.9 Raw'!$B$6:$B$1712,0)),$J817))</f>
        <v>11U L</v>
      </c>
      <c r="C817" s="18" t="str">
        <f aca="false">IF(ISNUMBER($J817),IFERROR(INDEX('TRANS'!$C:$C,MATCH($J817,'TRANS'!$B:$B,0)),IFERROR(INDEX('Catalog'!$B:$B,MATCH($J817,'Catalog'!$A:$A,0)),$B817)),$B817)</f>
        <v>11U L</v>
      </c>
      <c r="D817" s="19" t="n">
        <f aca="false">SUMIFS('SALES Raw'!$C$6:$C$4467,'SALES Raw'!$J$6:$J$4467,$J817,'SALES Raw'!$K$6:$K$4467,"Y")+SUMIFS('CEMIUP0.9 Raw'!$D$6:$D$1712,'CEMIUP0.9 Raw'!$B$6:$B$1712,$J817,'CEMIUP0.9 Raw'!$H$6:$H$1712,"Y")</f>
        <v>17</v>
      </c>
      <c r="E817" s="19" t="n">
        <f aca="false">SUMIFS('SALES Raw'!$D$6:$D$4467,'SALES Raw'!$J$6:$J$4467,$J817,'SALES Raw'!$K$6:$K$4467,"Y")+SUMIFS('CEMIUP0.9 Raw'!$E$6:$E$1712,'CEMIUP0.9 Raw'!$B$6:$B$1712,$J817,'CEMIUP0.9 Raw'!$H$6:$H$1712,"Y")</f>
        <v>1175.67</v>
      </c>
      <c r="F817" s="19" t="n">
        <f aca="false">SUMIFS('SALES Raw'!$E$6:$E$4467,'SALES Raw'!$J$6:$J$4467,$J817,'SALES Raw'!$K$6:$K$4467,"Y")*$H$4+SUMIFS('CEMIUP0.9 Raw'!$F$6:$F$1712,'CEMIUP0.9 Raw'!$B$6:$B$1712,$J817,'CEMIUP0.9 Raw'!$H$6:$H$1712,"Y")</f>
        <v>1.26315789473684</v>
      </c>
      <c r="G817" s="19" t="n">
        <f aca="false">SUMIFS('SALES Raw'!$F$6:$F$4467,'SALES Raw'!$J$6:$J$4467,$J817,'SALES Raw'!$K$6:$K$4467,"Y")*$H$4+SUMIFS('CEMIUP0.9 Raw'!$G$6:$G$1712,'CEMIUP0.9 Raw'!$B$6:$B$1712,$J817,'CEMIUP0.9 Raw'!$H$6:$H$1712,"Y")</f>
        <v>81.9663157894737</v>
      </c>
      <c r="H817" s="18" t="s">
        <v>48</v>
      </c>
      <c r="I817" s="18" t="s">
        <v>46</v>
      </c>
      <c r="J817" s="18" t="s">
        <v>398</v>
      </c>
    </row>
    <row r="818" customFormat="false" ht="15" hidden="false" customHeight="false" outlineLevel="0" collapsed="false">
      <c r="A818" s="18" t="n">
        <f aca="false">IF(ISNUMBER($J818),$J818,"")</f>
        <v>4413210</v>
      </c>
      <c r="B818" s="18" t="str">
        <f aca="false">IFERROR(INDEX('SALES Raw'!$B$6:$B$4467,MATCH($J818,'SALES Raw'!$J$6:$J$4467,0)),IFERROR(INDEX('CEMIUP0.9 Raw'!$B$6:$B$1712,MATCH($J818,'CEMIUP0.9 Raw'!$B$6:$B$1712,0)),$J818))</f>
        <v>T95 S</v>
      </c>
      <c r="C818" s="18" t="str">
        <f aca="false">IF(ISNUMBER($J818),IFERROR(INDEX('TRANS'!$C:$C,MATCH($J818,'TRANS'!$B:$B,0)),IFERROR(INDEX('Catalog'!$B:$B,MATCH($J818,'Catalog'!$A:$A,0)),$B818)),$B818)</f>
        <v>T95 S מגן מרפק רגיל</v>
      </c>
      <c r="D818" s="19" t="n">
        <f aca="false">SUMIFS('SALES Raw'!$C$6:$C$4467,'SALES Raw'!$J$6:$J$4467,$J818,'SALES Raw'!$K$6:$K$4467,"Y")+SUMIFS('CEMIUP0.9 Raw'!$D$6:$D$1712,'CEMIUP0.9 Raw'!$B$6:$B$1712,$J818,'CEMIUP0.9 Raw'!$H$6:$H$1712,"Y")</f>
        <v>3</v>
      </c>
      <c r="E818" s="19" t="n">
        <f aca="false">SUMIFS('SALES Raw'!$D$6:$D$4467,'SALES Raw'!$J$6:$J$4467,$J818,'SALES Raw'!$K$6:$K$4467,"Y")+SUMIFS('CEMIUP0.9 Raw'!$E$6:$E$1712,'CEMIUP0.9 Raw'!$B$6:$B$1712,$J818,'CEMIUP0.9 Raw'!$H$6:$H$1712,"Y")</f>
        <v>316.51</v>
      </c>
      <c r="F818" s="19" t="n">
        <f aca="false">SUMIFS('SALES Raw'!$E$6:$E$4467,'SALES Raw'!$J$6:$J$4467,$J818,'SALES Raw'!$K$6:$K$4467,"Y")*$H$4+SUMIFS('CEMIUP0.9 Raw'!$F$6:$F$1712,'CEMIUP0.9 Raw'!$B$6:$B$1712,$J818,'CEMIUP0.9 Raw'!$H$6:$H$1712,"Y")</f>
        <v>1.26315789473684</v>
      </c>
      <c r="G818" s="19" t="n">
        <f aca="false">SUMIFS('SALES Raw'!$F$6:$F$4467,'SALES Raw'!$J$6:$J$4467,$J818,'SALES Raw'!$K$6:$K$4467,"Y")*$H$4+SUMIFS('CEMIUP0.9 Raw'!$G$6:$G$1712,'CEMIUP0.9 Raw'!$B$6:$B$1712,$J818,'CEMIUP0.9 Raw'!$H$6:$H$1712,"Y")</f>
        <v>108.625263157895</v>
      </c>
      <c r="H818" s="18" t="s">
        <v>43</v>
      </c>
      <c r="I818" s="18" t="s">
        <v>46</v>
      </c>
      <c r="J818" s="18" t="n">
        <v>4413210</v>
      </c>
    </row>
    <row r="819" customFormat="false" ht="15" hidden="false" customHeight="false" outlineLevel="0" collapsed="false">
      <c r="A819" s="18" t="str">
        <f aca="false">IF(ISNUMBER($J819),$J819,"")</f>
        <v/>
      </c>
      <c r="B819" s="18" t="str">
        <f aca="false">IFERROR(INDEX('SALES Raw'!$B$6:$B$4467,MATCH($J819,'SALES Raw'!$J$6:$J$4467,0)),IFERROR(INDEX('CEMIUP0.9 Raw'!$B$6:$B$1712,MATCH($J819,'CEMIUP0.9 Raw'!$B$6:$B$1712,0)),$J819))</f>
        <v>422ED L</v>
      </c>
      <c r="C819" s="18" t="str">
        <f aca="false">IF(ISNUMBER($J819),IFERROR(INDEX('TRANS'!$C:$C,MATCH($J819,'TRANS'!$B:$B,0)),IFERROR(INDEX('Catalog'!$B:$B,MATCH($J819,'Catalog'!$A:$A,0)),$B819)),$B819)</f>
        <v>422ED L</v>
      </c>
      <c r="D819" s="19" t="n">
        <f aca="false">SUMIFS('SALES Raw'!$C$6:$C$4467,'SALES Raw'!$J$6:$J$4467,$J819,'SALES Raw'!$K$6:$K$4467,"Y")+SUMIFS('CEMIUP0.9 Raw'!$D$6:$D$1712,'CEMIUP0.9 Raw'!$B$6:$B$1712,$J819,'CEMIUP0.9 Raw'!$H$6:$H$1712,"Y")</f>
        <v>1</v>
      </c>
      <c r="E819" s="19" t="n">
        <f aca="false">SUMIFS('SALES Raw'!$D$6:$D$4467,'SALES Raw'!$J$6:$J$4467,$J819,'SALES Raw'!$K$6:$K$4467,"Y")+SUMIFS('CEMIUP0.9 Raw'!$E$6:$E$1712,'CEMIUP0.9 Raw'!$B$6:$B$1712,$J819,'CEMIUP0.9 Raw'!$H$6:$H$1712,"Y")</f>
        <v>330.88</v>
      </c>
      <c r="F819" s="19" t="n">
        <f aca="false">SUMIFS('SALES Raw'!$E$6:$E$4467,'SALES Raw'!$J$6:$J$4467,$J819,'SALES Raw'!$K$6:$K$4467,"Y")*$H$4+SUMIFS('CEMIUP0.9 Raw'!$F$6:$F$1712,'CEMIUP0.9 Raw'!$B$6:$B$1712,$J819,'CEMIUP0.9 Raw'!$H$6:$H$1712,"Y")</f>
        <v>1.26315789473684</v>
      </c>
      <c r="G819" s="19" t="n">
        <f aca="false">SUMIFS('SALES Raw'!$F$6:$F$4467,'SALES Raw'!$J$6:$J$4467,$J819,'SALES Raw'!$K$6:$K$4467,"Y")*$H$4+SUMIFS('CEMIUP0.9 Raw'!$G$6:$G$1712,'CEMIUP0.9 Raw'!$B$6:$B$1712,$J819,'CEMIUP0.9 Raw'!$H$6:$H$1712,"Y")</f>
        <v>417.953684210526</v>
      </c>
      <c r="H819" s="18" t="s">
        <v>43</v>
      </c>
      <c r="I819" s="18" t="s">
        <v>44</v>
      </c>
      <c r="J819" s="18" t="s">
        <v>399</v>
      </c>
    </row>
    <row r="820" customFormat="false" ht="15" hidden="false" customHeight="false" outlineLevel="0" collapsed="false">
      <c r="A820" s="18" t="str">
        <f aca="false">IF(ISNUMBER($J820),$J820,"")</f>
        <v/>
      </c>
      <c r="B820" s="18" t="str">
        <f aca="false">IFERROR(INDEX('SALES Raw'!$B$6:$B$4467,MATCH($J820,'SALES Raw'!$J$6:$J$4467,0)),IFERROR(INDEX('CEMIUP0.9 Raw'!$B$6:$B$1712,MATCH($J820,'CEMIUP0.9 Raw'!$B$6:$B$1712,0)),$J820))</f>
        <v>59R XXL</v>
      </c>
      <c r="C820" s="18" t="str">
        <f aca="false">IF(ISNUMBER($J820),IFERROR(INDEX('TRANS'!$C:$C,MATCH($J820,'TRANS'!$B:$B,0)),IFERROR(INDEX('Catalog'!$B:$B,MATCH($J820,'Catalog'!$A:$A,0)),$B820)),$B820)</f>
        <v>59R XXL</v>
      </c>
      <c r="D820" s="19" t="n">
        <f aca="false">SUMIFS('SALES Raw'!$C$6:$C$4467,'SALES Raw'!$J$6:$J$4467,$J820,'SALES Raw'!$K$6:$K$4467,"Y")+SUMIFS('CEMIUP0.9 Raw'!$D$6:$D$1712,'CEMIUP0.9 Raw'!$B$6:$B$1712,$J820,'CEMIUP0.9 Raw'!$H$6:$H$1712,"Y")</f>
        <v>1</v>
      </c>
      <c r="E820" s="19" t="n">
        <f aca="false">SUMIFS('SALES Raw'!$D$6:$D$4467,'SALES Raw'!$J$6:$J$4467,$J820,'SALES Raw'!$K$6:$K$4467,"Y")+SUMIFS('CEMIUP0.9 Raw'!$E$6:$E$1712,'CEMIUP0.9 Raw'!$B$6:$B$1712,$J820,'CEMIUP0.9 Raw'!$H$6:$H$1712,"Y")</f>
        <v>140</v>
      </c>
      <c r="F820" s="19" t="n">
        <f aca="false">SUMIFS('SALES Raw'!$E$6:$E$4467,'SALES Raw'!$J$6:$J$4467,$J820,'SALES Raw'!$K$6:$K$4467,"Y")*$H$4+SUMIFS('CEMIUP0.9 Raw'!$F$6:$F$1712,'CEMIUP0.9 Raw'!$B$6:$B$1712,$J820,'CEMIUP0.9 Raw'!$H$6:$H$1712,"Y")</f>
        <v>1.26315789473684</v>
      </c>
      <c r="G820" s="19" t="n">
        <f aca="false">SUMIFS('SALES Raw'!$F$6:$F$4467,'SALES Raw'!$J$6:$J$4467,$J820,'SALES Raw'!$K$6:$K$4467,"Y")*$H$4+SUMIFS('CEMIUP0.9 Raw'!$G$6:$G$1712,'CEMIUP0.9 Raw'!$B$6:$B$1712,$J820,'CEMIUP0.9 Raw'!$H$6:$H$1712,"Y")</f>
        <v>236.778947368421</v>
      </c>
      <c r="H820" s="18" t="s">
        <v>43</v>
      </c>
      <c r="I820" s="18" t="s">
        <v>44</v>
      </c>
      <c r="J820" s="18" t="s">
        <v>400</v>
      </c>
    </row>
    <row r="821" customFormat="false" ht="15" hidden="false" customHeight="false" outlineLevel="0" collapsed="false">
      <c r="A821" s="18" t="n">
        <f aca="false">IF(ISNUMBER($J821),$J821,"")</f>
        <v>4415025</v>
      </c>
      <c r="B821" s="18" t="str">
        <f aca="false">IFERROR(INDEX('SALES Raw'!$B$6:$B$4467,MATCH($J821,'SALES Raw'!$J$6:$J$4467,0)),IFERROR(INDEX('CEMIUP0.9 Raw'!$B$6:$B$1712,MATCH($J821,'CEMIUP0.9 Raw'!$B$6:$B$1712,0)),$J821))</f>
        <v>28 XS</v>
      </c>
      <c r="C821" s="18" t="str">
        <f aca="false">IF(ISNUMBER($J821),IFERROR(INDEX('TRANS'!$C:$C,MATCH($J821,'TRANS'!$B:$B,0)),IFERROR(INDEX('Catalog'!$B:$B,MATCH($J821,'Catalog'!$A:$A,0)),$B821)),$B821)</f>
        <v>28-XS סד לאגודל לאחר שבר</v>
      </c>
      <c r="D821" s="19" t="n">
        <f aca="false">SUMIFS('SALES Raw'!$C$6:$C$4467,'SALES Raw'!$J$6:$J$4467,$J821,'SALES Raw'!$K$6:$K$4467,"Y")+SUMIFS('CEMIUP0.9 Raw'!$D$6:$D$1712,'CEMIUP0.9 Raw'!$B$6:$B$1712,$J821,'CEMIUP0.9 Raw'!$H$6:$H$1712,"Y")</f>
        <v>3</v>
      </c>
      <c r="E821" s="19" t="n">
        <f aca="false">SUMIFS('SALES Raw'!$D$6:$D$4467,'SALES Raw'!$J$6:$J$4467,$J821,'SALES Raw'!$K$6:$K$4467,"Y")+SUMIFS('CEMIUP0.9 Raw'!$E$6:$E$1712,'CEMIUP0.9 Raw'!$B$6:$B$1712,$J821,'CEMIUP0.9 Raw'!$H$6:$H$1712,"Y")</f>
        <v>339.773</v>
      </c>
      <c r="F821" s="19" t="n">
        <f aca="false">SUMIFS('SALES Raw'!$E$6:$E$4467,'SALES Raw'!$J$6:$J$4467,$J821,'SALES Raw'!$K$6:$K$4467,"Y")*$H$4+SUMIFS('CEMIUP0.9 Raw'!$F$6:$F$1712,'CEMIUP0.9 Raw'!$B$6:$B$1712,$J821,'CEMIUP0.9 Raw'!$H$6:$H$1712,"Y")</f>
        <v>1.26315789473684</v>
      </c>
      <c r="G821" s="19" t="n">
        <f aca="false">SUMIFS('SALES Raw'!$F$6:$F$4467,'SALES Raw'!$J$6:$J$4467,$J821,'SALES Raw'!$K$6:$K$4467,"Y")*$H$4+SUMIFS('CEMIUP0.9 Raw'!$G$6:$G$1712,'CEMIUP0.9 Raw'!$B$6:$B$1712,$J821,'CEMIUP0.9 Raw'!$H$6:$H$1712,"Y")</f>
        <v>130.218947368421</v>
      </c>
      <c r="H821" s="18" t="s">
        <v>43</v>
      </c>
      <c r="I821" s="18" t="s">
        <v>42</v>
      </c>
      <c r="J821" s="18" t="n">
        <v>4415025</v>
      </c>
    </row>
    <row r="822" customFormat="false" ht="15" hidden="false" customHeight="false" outlineLevel="0" collapsed="false">
      <c r="A822" s="18" t="n">
        <f aca="false">IF(ISNUMBER($J822),$J822,"")</f>
        <v>4403020</v>
      </c>
      <c r="B822" s="18" t="n">
        <f aca="false">IFERROR(INDEX('SALES Raw'!$B$6:$B$4467,MATCH($J822,'SALES Raw'!$J$6:$J$4467,0)),IFERROR(INDEX('CEMIUP0.9 Raw'!$B$6:$B$1712,MATCH($J822,'CEMIUP0.9 Raw'!$B$6:$B$1712,0)),$J822))</f>
        <v>4403020</v>
      </c>
      <c r="C822" s="18" t="str">
        <f aca="false">IF(ISNUMBER($J822),IFERROR(INDEX('TRANS'!$C:$C,MATCH($J822,'TRANS'!$B:$B,0)),IFERROR(INDEX('Catalog'!$B:$B,MATCH($J822,'Catalog'!$A:$A,0)),$B822)),$B822)</f>
        <v>394G גרב.כסף לסכרתים אפור35-38</v>
      </c>
      <c r="D822" s="19" t="n">
        <f aca="false">SUMIFS('SALES Raw'!$C$6:$C$4467,'SALES Raw'!$J$6:$J$4467,$J822,'SALES Raw'!$K$6:$K$4467,"Y")+SUMIFS('CEMIUP0.9 Raw'!$D$6:$D$1712,'CEMIUP0.9 Raw'!$B$6:$B$1712,$J822,'CEMIUP0.9 Raw'!$H$6:$H$1712,"Y")</f>
        <v>17</v>
      </c>
      <c r="E822" s="19" t="n">
        <f aca="false">SUMIFS('SALES Raw'!$D$6:$D$4467,'SALES Raw'!$J$6:$J$4467,$J822,'SALES Raw'!$K$6:$K$4467,"Y")+SUMIFS('CEMIUP0.9 Raw'!$E$6:$E$1712,'CEMIUP0.9 Raw'!$B$6:$B$1712,$J822,'CEMIUP0.9 Raw'!$H$6:$H$1712,"Y")</f>
        <v>387.842</v>
      </c>
      <c r="F822" s="19" t="n">
        <f aca="false">SUMIFS('SALES Raw'!$E$6:$E$4467,'SALES Raw'!$J$6:$J$4467,$J822,'SALES Raw'!$K$6:$K$4467,"Y")*$H$4+SUMIFS('CEMIUP0.9 Raw'!$F$6:$F$1712,'CEMIUP0.9 Raw'!$B$6:$B$1712,$J822,'CEMIUP0.9 Raw'!$H$6:$H$1712,"Y")</f>
        <v>1.26315789473684</v>
      </c>
      <c r="G822" s="19" t="n">
        <f aca="false">SUMIFS('SALES Raw'!$F$6:$F$4467,'SALES Raw'!$J$6:$J$4467,$J822,'SALES Raw'!$K$6:$K$4467,"Y")*$H$4+SUMIFS('CEMIUP0.9 Raw'!$G$6:$G$1712,'CEMIUP0.9 Raw'!$B$6:$B$1712,$J822,'CEMIUP0.9 Raw'!$H$6:$H$1712,"Y")</f>
        <v>35.4694736842105</v>
      </c>
      <c r="H822" s="18" t="s">
        <v>43</v>
      </c>
      <c r="I822" s="18"/>
      <c r="J822" s="18" t="n">
        <v>4403020</v>
      </c>
    </row>
    <row r="823" customFormat="false" ht="15" hidden="false" customHeight="false" outlineLevel="0" collapsed="false">
      <c r="A823" s="18" t="n">
        <f aca="false">IF(ISNUMBER($J823),$J823,"")</f>
        <v>4403022</v>
      </c>
      <c r="B823" s="18" t="n">
        <f aca="false">IFERROR(INDEX('SALES Raw'!$B$6:$B$4467,MATCH($J823,'SALES Raw'!$J$6:$J$4467,0)),IFERROR(INDEX('CEMIUP0.9 Raw'!$B$6:$B$1712,MATCH($J823,'CEMIUP0.9 Raw'!$B$6:$B$1712,0)),$J823))</f>
        <v>4403022</v>
      </c>
      <c r="C823" s="18" t="str">
        <f aca="false">IF(ISNUMBER($J823),IFERROR(INDEX('TRANS'!$C:$C,MATCH($J823,'TRANS'!$B:$B,0)),IFERROR(INDEX('Catalog'!$B:$B,MATCH($J823,'Catalog'!$A:$A,0)),$B823)),$B823)</f>
        <v>394G גרב.כסף לסכרתים אפור43-46</v>
      </c>
      <c r="D823" s="19" t="n">
        <f aca="false">SUMIFS('SALES Raw'!$C$6:$C$4467,'SALES Raw'!$J$6:$J$4467,$J823,'SALES Raw'!$K$6:$K$4467,"Y")+SUMIFS('CEMIUP0.9 Raw'!$D$6:$D$1712,'CEMIUP0.9 Raw'!$B$6:$B$1712,$J823,'CEMIUP0.9 Raw'!$H$6:$H$1712,"Y")</f>
        <v>46</v>
      </c>
      <c r="E823" s="19" t="n">
        <f aca="false">SUMIFS('SALES Raw'!$D$6:$D$4467,'SALES Raw'!$J$6:$J$4467,$J823,'SALES Raw'!$K$6:$K$4467,"Y")+SUMIFS('CEMIUP0.9 Raw'!$E$6:$E$1712,'CEMIUP0.9 Raw'!$B$6:$B$1712,$J823,'CEMIUP0.9 Raw'!$H$6:$H$1712,"Y")</f>
        <v>1088.748</v>
      </c>
      <c r="F823" s="19" t="n">
        <f aca="false">SUMIFS('SALES Raw'!$E$6:$E$4467,'SALES Raw'!$J$6:$J$4467,$J823,'SALES Raw'!$K$6:$K$4467,"Y")*$H$4+SUMIFS('CEMIUP0.9 Raw'!$F$6:$F$1712,'CEMIUP0.9 Raw'!$B$6:$B$1712,$J823,'CEMIUP0.9 Raw'!$H$6:$H$1712,"Y")</f>
        <v>1.26315789473684</v>
      </c>
      <c r="G823" s="19" t="n">
        <f aca="false">SUMIFS('SALES Raw'!$F$6:$F$4467,'SALES Raw'!$J$6:$J$4467,$J823,'SALES Raw'!$K$6:$K$4467,"Y")*$H$4+SUMIFS('CEMIUP0.9 Raw'!$G$6:$G$1712,'CEMIUP0.9 Raw'!$B$6:$B$1712,$J823,'CEMIUP0.9 Raw'!$H$6:$H$1712,"Y")</f>
        <v>35.4694736842105</v>
      </c>
      <c r="H823" s="18" t="s">
        <v>43</v>
      </c>
      <c r="I823" s="18"/>
      <c r="J823" s="18" t="n">
        <v>4403022</v>
      </c>
    </row>
    <row r="824" customFormat="false" ht="15" hidden="false" customHeight="false" outlineLevel="0" collapsed="false">
      <c r="A824" s="18" t="n">
        <f aca="false">IF(ISNUMBER($J824),$J824,"")</f>
        <v>4408010</v>
      </c>
      <c r="B824" s="18" t="n">
        <f aca="false">IFERROR(INDEX('SALES Raw'!$B$6:$B$4467,MATCH($J824,'SALES Raw'!$J$6:$J$4467,0)),IFERROR(INDEX('CEMIUP0.9 Raw'!$B$6:$B$1712,MATCH($J824,'CEMIUP0.9 Raw'!$B$6:$B$1712,0)),$J824))</f>
        <v>4408010</v>
      </c>
      <c r="C824" s="18" t="str">
        <f aca="false">IF(ISNUMBER($J824),IFERROR(INDEX('TRANS'!$C:$C,MATCH($J824,'TRANS'!$B:$B,0)),IFERROR(INDEX('Catalog'!$B:$B,MATCH($J824,'Catalog'!$A:$A,0)),$B824)),$B824)</f>
        <v>079 L ח.גב סג.כפולה שחור+אדום</v>
      </c>
      <c r="D824" s="19" t="n">
        <f aca="false">SUMIFS('SALES Raw'!$C$6:$C$4467,'SALES Raw'!$J$6:$J$4467,$J824,'SALES Raw'!$K$6:$K$4467,"Y")+SUMIFS('CEMIUP0.9 Raw'!$D$6:$D$1712,'CEMIUP0.9 Raw'!$B$6:$B$1712,$J824,'CEMIUP0.9 Raw'!$H$6:$H$1712,"Y")</f>
        <v>2</v>
      </c>
      <c r="E824" s="19" t="n">
        <f aca="false">SUMIFS('SALES Raw'!$D$6:$D$4467,'SALES Raw'!$J$6:$J$4467,$J824,'SALES Raw'!$K$6:$K$4467,"Y")+SUMIFS('CEMIUP0.9 Raw'!$E$6:$E$1712,'CEMIUP0.9 Raw'!$B$6:$B$1712,$J824,'CEMIUP0.9 Raw'!$H$6:$H$1712,"Y")</f>
        <v>178.087</v>
      </c>
      <c r="F824" s="19" t="n">
        <f aca="false">SUMIFS('SALES Raw'!$E$6:$E$4467,'SALES Raw'!$J$6:$J$4467,$J824,'SALES Raw'!$K$6:$K$4467,"Y")*$H$4+SUMIFS('CEMIUP0.9 Raw'!$F$6:$F$1712,'CEMIUP0.9 Raw'!$B$6:$B$1712,$J824,'CEMIUP0.9 Raw'!$H$6:$H$1712,"Y")</f>
        <v>1.26315789473684</v>
      </c>
      <c r="G824" s="19" t="n">
        <f aca="false">SUMIFS('SALES Raw'!$F$6:$F$4467,'SALES Raw'!$J$6:$J$4467,$J824,'SALES Raw'!$K$6:$K$4467,"Y")*$H$4+SUMIFS('CEMIUP0.9 Raw'!$G$6:$G$1712,'CEMIUP0.9 Raw'!$B$6:$B$1712,$J824,'CEMIUP0.9 Raw'!$H$6:$H$1712,"Y")</f>
        <v>116.671578947368</v>
      </c>
      <c r="H824" s="18" t="s">
        <v>43</v>
      </c>
      <c r="I824" s="18"/>
      <c r="J824" s="18" t="n">
        <v>4408010</v>
      </c>
    </row>
    <row r="825" customFormat="false" ht="15" hidden="false" customHeight="false" outlineLevel="0" collapsed="false">
      <c r="A825" s="18" t="n">
        <f aca="false">IF(ISNUMBER($J825),$J825,"")</f>
        <v>4408012</v>
      </c>
      <c r="B825" s="18" t="n">
        <f aca="false">IFERROR(INDEX('SALES Raw'!$B$6:$B$4467,MATCH($J825,'SALES Raw'!$J$6:$J$4467,0)),IFERROR(INDEX('CEMIUP0.9 Raw'!$B$6:$B$1712,MATCH($J825,'CEMIUP0.9 Raw'!$B$6:$B$1712,0)),$J825))</f>
        <v>4408012</v>
      </c>
      <c r="C825" s="18" t="str">
        <f aca="false">IF(ISNUMBER($J825),IFERROR(INDEX('TRANS'!$C:$C,MATCH($J825,'TRANS'!$B:$B,0)),IFERROR(INDEX('Catalog'!$B:$B,MATCH($J825,'Catalog'!$A:$A,0)),$B825)),$B825)</f>
        <v>079 XL ח.גב סג.כפולה שחור+אדום</v>
      </c>
      <c r="D825" s="19" t="n">
        <f aca="false">SUMIFS('SALES Raw'!$C$6:$C$4467,'SALES Raw'!$J$6:$J$4467,$J825,'SALES Raw'!$K$6:$K$4467,"Y")+SUMIFS('CEMIUP0.9 Raw'!$D$6:$D$1712,'CEMIUP0.9 Raw'!$B$6:$B$1712,$J825,'CEMIUP0.9 Raw'!$H$6:$H$1712,"Y")</f>
        <v>7</v>
      </c>
      <c r="E825" s="19" t="n">
        <f aca="false">SUMIFS('SALES Raw'!$D$6:$D$4467,'SALES Raw'!$J$6:$J$4467,$J825,'SALES Raw'!$K$6:$K$4467,"Y")+SUMIFS('CEMIUP0.9 Raw'!$E$6:$E$1712,'CEMIUP0.9 Raw'!$B$6:$B$1712,$J825,'CEMIUP0.9 Raw'!$H$6:$H$1712,"Y")</f>
        <v>655.382</v>
      </c>
      <c r="F825" s="19" t="n">
        <f aca="false">SUMIFS('SALES Raw'!$E$6:$E$4467,'SALES Raw'!$J$6:$J$4467,$J825,'SALES Raw'!$K$6:$K$4467,"Y")*$H$4+SUMIFS('CEMIUP0.9 Raw'!$F$6:$F$1712,'CEMIUP0.9 Raw'!$B$6:$B$1712,$J825,'CEMIUP0.9 Raw'!$H$6:$H$1712,"Y")</f>
        <v>1.26315789473684</v>
      </c>
      <c r="G825" s="19" t="n">
        <f aca="false">SUMIFS('SALES Raw'!$F$6:$F$4467,'SALES Raw'!$J$6:$J$4467,$J825,'SALES Raw'!$K$6:$K$4467,"Y")*$H$4+SUMIFS('CEMIUP0.9 Raw'!$G$6:$G$1712,'CEMIUP0.9 Raw'!$B$6:$B$1712,$J825,'CEMIUP0.9 Raw'!$H$6:$H$1712,"Y")</f>
        <v>124.947789473684</v>
      </c>
      <c r="H825" s="18" t="s">
        <v>43</v>
      </c>
      <c r="I825" s="18"/>
      <c r="J825" s="18" t="n">
        <v>4408012</v>
      </c>
    </row>
    <row r="826" customFormat="false" ht="15" hidden="false" customHeight="false" outlineLevel="0" collapsed="false">
      <c r="A826" s="18" t="n">
        <f aca="false">IF(ISNUMBER($J826),$J826,"")</f>
        <v>4408030</v>
      </c>
      <c r="B826" s="18" t="n">
        <f aca="false">IFERROR(INDEX('SALES Raw'!$B$6:$B$4467,MATCH($J826,'SALES Raw'!$J$6:$J$4467,0)),IFERROR(INDEX('CEMIUP0.9 Raw'!$B$6:$B$1712,MATCH($J826,'CEMIUP0.9 Raw'!$B$6:$B$1712,0)),$J826))</f>
        <v>4408030</v>
      </c>
      <c r="C826" s="18" t="str">
        <f aca="false">IF(ISNUMBER($J826),IFERROR(INDEX('TRANS'!$C:$C,MATCH($J826,'TRANS'!$B:$B,0)),IFERROR(INDEX('Catalog'!$B:$B,MATCH($J826,'Catalog'!$A:$A,0)),$B826)),$B826)</f>
        <v>10 XXL""חגורת גב ""לומבו</v>
      </c>
      <c r="D826" s="19" t="n">
        <f aca="false">SUMIFS('SALES Raw'!$C$6:$C$4467,'SALES Raw'!$J$6:$J$4467,$J826,'SALES Raw'!$K$6:$K$4467,"Y")+SUMIFS('CEMIUP0.9 Raw'!$D$6:$D$1712,'CEMIUP0.9 Raw'!$B$6:$B$1712,$J826,'CEMIUP0.9 Raw'!$H$6:$H$1712,"Y")</f>
        <v>1</v>
      </c>
      <c r="E826" s="19" t="n">
        <f aca="false">SUMIFS('SALES Raw'!$D$6:$D$4467,'SALES Raw'!$J$6:$J$4467,$J826,'SALES Raw'!$K$6:$K$4467,"Y")+SUMIFS('CEMIUP0.9 Raw'!$E$6:$E$1712,'CEMIUP0.9 Raw'!$B$6:$B$1712,$J826,'CEMIUP0.9 Raw'!$H$6:$H$1712,"Y")</f>
        <v>132.132</v>
      </c>
      <c r="F826" s="19" t="n">
        <f aca="false">SUMIFS('SALES Raw'!$E$6:$E$4467,'SALES Raw'!$J$6:$J$4467,$J826,'SALES Raw'!$K$6:$K$4467,"Y")*$H$4+SUMIFS('CEMIUP0.9 Raw'!$F$6:$F$1712,'CEMIUP0.9 Raw'!$B$6:$B$1712,$J826,'CEMIUP0.9 Raw'!$H$6:$H$1712,"Y")</f>
        <v>1.26315789473684</v>
      </c>
      <c r="G826" s="19" t="n">
        <f aca="false">SUMIFS('SALES Raw'!$F$6:$F$4467,'SALES Raw'!$J$6:$J$4467,$J826,'SALES Raw'!$K$6:$K$4467,"Y")*$H$4+SUMIFS('CEMIUP0.9 Raw'!$G$6:$G$1712,'CEMIUP0.9 Raw'!$B$6:$B$1712,$J826,'CEMIUP0.9 Raw'!$H$6:$H$1712,"Y")</f>
        <v>170.581894736842</v>
      </c>
      <c r="H826" s="18" t="s">
        <v>43</v>
      </c>
      <c r="I826" s="18"/>
      <c r="J826" s="18" t="n">
        <v>4408030</v>
      </c>
    </row>
    <row r="827" customFormat="false" ht="15" hidden="false" customHeight="false" outlineLevel="0" collapsed="false">
      <c r="A827" s="18" t="n">
        <f aca="false">IF(ISNUMBER($J827),$J827,"")</f>
        <v>4408113</v>
      </c>
      <c r="B827" s="18" t="n">
        <f aca="false">IFERROR(INDEX('SALES Raw'!$B$6:$B$4467,MATCH($J827,'SALES Raw'!$J$6:$J$4467,0)),IFERROR(INDEX('CEMIUP0.9 Raw'!$B$6:$B$1712,MATCH($J827,'CEMIUP0.9 Raw'!$B$6:$B$1712,0)),$J827))</f>
        <v>4408113</v>
      </c>
      <c r="C827" s="18" t="str">
        <f aca="false">IF(ISNUMBER($J827),IFERROR(INDEX('TRANS'!$C:$C,MATCH($J827,'TRANS'!$B:$B,0)),IFERROR(INDEX('Catalog'!$B:$B,MATCH($J827,'Catalog'!$A:$A,0)),$B827)),$B827)</f>
        <v>11EU S ח.בטן לאחר ניתוח</v>
      </c>
      <c r="D827" s="19" t="n">
        <f aca="false">SUMIFS('SALES Raw'!$C$6:$C$4467,'SALES Raw'!$J$6:$J$4467,$J827,'SALES Raw'!$K$6:$K$4467,"Y")+SUMIFS('CEMIUP0.9 Raw'!$D$6:$D$1712,'CEMIUP0.9 Raw'!$B$6:$B$1712,$J827,'CEMIUP0.9 Raw'!$H$6:$H$1712,"Y")</f>
        <v>3</v>
      </c>
      <c r="E827" s="19" t="n">
        <f aca="false">SUMIFS('SALES Raw'!$D$6:$D$4467,'SALES Raw'!$J$6:$J$4467,$J827,'SALES Raw'!$K$6:$K$4467,"Y")+SUMIFS('CEMIUP0.9 Raw'!$E$6:$E$1712,'CEMIUP0.9 Raw'!$B$6:$B$1712,$J827,'CEMIUP0.9 Raw'!$H$6:$H$1712,"Y")</f>
        <v>295.022</v>
      </c>
      <c r="F827" s="19" t="n">
        <f aca="false">SUMIFS('SALES Raw'!$E$6:$E$4467,'SALES Raw'!$J$6:$J$4467,$J827,'SALES Raw'!$K$6:$K$4467,"Y")*$H$4+SUMIFS('CEMIUP0.9 Raw'!$F$6:$F$1712,'CEMIUP0.9 Raw'!$B$6:$B$1712,$J827,'CEMIUP0.9 Raw'!$H$6:$H$1712,"Y")</f>
        <v>1.26315789473684</v>
      </c>
      <c r="G827" s="19" t="n">
        <f aca="false">SUMIFS('SALES Raw'!$F$6:$F$4467,'SALES Raw'!$J$6:$J$4467,$J827,'SALES Raw'!$K$6:$K$4467,"Y")*$H$4+SUMIFS('CEMIUP0.9 Raw'!$G$6:$G$1712,'CEMIUP0.9 Raw'!$B$6:$B$1712,$J827,'CEMIUP0.9 Raw'!$H$6:$H$1712,"Y")</f>
        <v>118.165894736842</v>
      </c>
      <c r="H827" s="18" t="s">
        <v>43</v>
      </c>
      <c r="I827" s="18"/>
      <c r="J827" s="18" t="n">
        <v>4408113</v>
      </c>
    </row>
    <row r="828" customFormat="false" ht="15" hidden="false" customHeight="false" outlineLevel="0" collapsed="false">
      <c r="A828" s="18" t="n">
        <f aca="false">IF(ISNUMBER($J828),$J828,"")</f>
        <v>4408235</v>
      </c>
      <c r="B828" s="18" t="n">
        <f aca="false">IFERROR(INDEX('SALES Raw'!$B$6:$B$4467,MATCH($J828,'SALES Raw'!$J$6:$J$4467,0)),IFERROR(INDEX('CEMIUP0.9 Raw'!$B$6:$B$1712,MATCH($J828,'CEMIUP0.9 Raw'!$B$6:$B$1712,0)),$J828))</f>
        <v>4408235</v>
      </c>
      <c r="C828" s="18" t="str">
        <f aca="false">IF(ISNUMBER($J828),IFERROR(INDEX('TRANS'!$C:$C,MATCH($J828,'TRANS'!$B:$B,0)),IFERROR(INDEX('Catalog'!$B:$B,MATCH($J828,'Catalog'!$A:$A,0)),$B828)),$B828)</f>
        <v>078C S'חגורת גב+סגירה כפו בז</v>
      </c>
      <c r="D828" s="19" t="n">
        <f aca="false">SUMIFS('SALES Raw'!$C$6:$C$4467,'SALES Raw'!$J$6:$J$4467,$J828,'SALES Raw'!$K$6:$K$4467,"Y")+SUMIFS('CEMIUP0.9 Raw'!$D$6:$D$1712,'CEMIUP0.9 Raw'!$B$6:$B$1712,$J828,'CEMIUP0.9 Raw'!$H$6:$H$1712,"Y")</f>
        <v>0</v>
      </c>
      <c r="E828" s="19" t="n">
        <f aca="false">SUMIFS('SALES Raw'!$D$6:$D$4467,'SALES Raw'!$J$6:$J$4467,$J828,'SALES Raw'!$K$6:$K$4467,"Y")+SUMIFS('CEMIUP0.9 Raw'!$E$6:$E$1712,'CEMIUP0.9 Raw'!$B$6:$B$1712,$J828,'CEMIUP0.9 Raw'!$H$6:$H$1712,"Y")</f>
        <v>0</v>
      </c>
      <c r="F828" s="19" t="n">
        <f aca="false">SUMIFS('SALES Raw'!$E$6:$E$4467,'SALES Raw'!$J$6:$J$4467,$J828,'SALES Raw'!$K$6:$K$4467,"Y")*$H$4+SUMIFS('CEMIUP0.9 Raw'!$F$6:$F$1712,'CEMIUP0.9 Raw'!$B$6:$B$1712,$J828,'CEMIUP0.9 Raw'!$H$6:$H$1712,"Y")</f>
        <v>1.26315789473684</v>
      </c>
      <c r="G828" s="19" t="n">
        <f aca="false">SUMIFS('SALES Raw'!$F$6:$F$4467,'SALES Raw'!$J$6:$J$4467,$J828,'SALES Raw'!$K$6:$K$4467,"Y")*$H$4+SUMIFS('CEMIUP0.9 Raw'!$G$6:$G$1712,'CEMIUP0.9 Raw'!$B$6:$B$1712,$J828,'CEMIUP0.9 Raw'!$H$6:$H$1712,"Y")</f>
        <v>127.591578947368</v>
      </c>
      <c r="H828" s="18" t="s">
        <v>43</v>
      </c>
      <c r="I828" s="18"/>
      <c r="J828" s="18" t="n">
        <v>4408235</v>
      </c>
    </row>
    <row r="829" customFormat="false" ht="15" hidden="false" customHeight="false" outlineLevel="0" collapsed="false">
      <c r="A829" s="18" t="n">
        <f aca="false">IF(ISNUMBER($J829),$J829,"")</f>
        <v>4413077</v>
      </c>
      <c r="B829" s="18" t="n">
        <f aca="false">IFERROR(INDEX('SALES Raw'!$B$6:$B$4467,MATCH($J829,'SALES Raw'!$J$6:$J$4467,0)),IFERROR(INDEX('CEMIUP0.9 Raw'!$B$6:$B$1712,MATCH($J829,'CEMIUP0.9 Raw'!$B$6:$B$1712,0)),$J829))</f>
        <v>4413077</v>
      </c>
      <c r="C829" s="18" t="str">
        <f aca="false">IF(ISNUMBER($J829),IFERROR(INDEX('TRANS'!$C:$C,MATCH($J829,'TRANS'!$B:$B,0)),IFERROR(INDEX('Catalog'!$B:$B,MATCH($J829,'Catalog'!$A:$A,0)),$B829)),$B829)</f>
        <v>41X M מגן ברך מוצלב+מוט</v>
      </c>
      <c r="D829" s="19" t="n">
        <f aca="false">SUMIFS('SALES Raw'!$C$6:$C$4467,'SALES Raw'!$J$6:$J$4467,$J829,'SALES Raw'!$K$6:$K$4467,"Y")+SUMIFS('CEMIUP0.9 Raw'!$D$6:$D$1712,'CEMIUP0.9 Raw'!$B$6:$B$1712,$J829,'CEMIUP0.9 Raw'!$H$6:$H$1712,"Y")</f>
        <v>0</v>
      </c>
      <c r="E829" s="19" t="n">
        <f aca="false">SUMIFS('SALES Raw'!$D$6:$D$4467,'SALES Raw'!$J$6:$J$4467,$J829,'SALES Raw'!$K$6:$K$4467,"Y")+SUMIFS('CEMIUP0.9 Raw'!$E$6:$E$1712,'CEMIUP0.9 Raw'!$B$6:$B$1712,$J829,'CEMIUP0.9 Raw'!$H$6:$H$1712,"Y")</f>
        <v>0</v>
      </c>
      <c r="F829" s="19" t="n">
        <f aca="false">SUMIFS('SALES Raw'!$E$6:$E$4467,'SALES Raw'!$J$6:$J$4467,$J829,'SALES Raw'!$K$6:$K$4467,"Y")*$H$4+SUMIFS('CEMIUP0.9 Raw'!$F$6:$F$1712,'CEMIUP0.9 Raw'!$B$6:$B$1712,$J829,'CEMIUP0.9 Raw'!$H$6:$H$1712,"Y")</f>
        <v>1.26315789473684</v>
      </c>
      <c r="G829" s="19" t="n">
        <f aca="false">SUMIFS('SALES Raw'!$F$6:$F$4467,'SALES Raw'!$J$6:$J$4467,$J829,'SALES Raw'!$K$6:$K$4467,"Y")*$H$4+SUMIFS('CEMIUP0.9 Raw'!$G$6:$G$1712,'CEMIUP0.9 Raw'!$B$6:$B$1712,$J829,'CEMIUP0.9 Raw'!$H$6:$H$1712,"Y")</f>
        <v>156.213473684211</v>
      </c>
      <c r="H829" s="18" t="s">
        <v>43</v>
      </c>
      <c r="I829" s="18"/>
      <c r="J829" s="18" t="n">
        <v>4413077</v>
      </c>
    </row>
    <row r="830" customFormat="false" ht="15" hidden="false" customHeight="false" outlineLevel="0" collapsed="false">
      <c r="A830" s="18" t="n">
        <f aca="false">IF(ISNUMBER($J830),$J830,"")</f>
        <v>4413106</v>
      </c>
      <c r="B830" s="18" t="n">
        <f aca="false">IFERROR(INDEX('SALES Raw'!$B$6:$B$4467,MATCH($J830,'SALES Raw'!$J$6:$J$4467,0)),IFERROR(INDEX('CEMIUP0.9 Raw'!$B$6:$B$1712,MATCH($J830,'CEMIUP0.9 Raw'!$B$6:$B$1712,0)),$J830))</f>
        <v>4413106</v>
      </c>
      <c r="C830" s="18" t="str">
        <f aca="false">IF(ISNUMBER($J830),IFERROR(INDEX('TRANS'!$C:$C,MATCH($J830,'TRANS'!$B:$B,0)),IFERROR(INDEX('Catalog'!$B:$B,MATCH($J830,'Catalog'!$A:$A,0)),$B830)),$B830)</f>
        <v>48 S מגן ברך מחמם</v>
      </c>
      <c r="D830" s="19" t="n">
        <f aca="false">SUMIFS('SALES Raw'!$C$6:$C$4467,'SALES Raw'!$J$6:$J$4467,$J830,'SALES Raw'!$K$6:$K$4467,"Y")+SUMIFS('CEMIUP0.9 Raw'!$D$6:$D$1712,'CEMIUP0.9 Raw'!$B$6:$B$1712,$J830,'CEMIUP0.9 Raw'!$H$6:$H$1712,"Y")</f>
        <v>3</v>
      </c>
      <c r="E830" s="19" t="n">
        <f aca="false">SUMIFS('SALES Raw'!$D$6:$D$4467,'SALES Raw'!$J$6:$J$4467,$J830,'SALES Raw'!$K$6:$K$4467,"Y")+SUMIFS('CEMIUP0.9 Raw'!$E$6:$E$1712,'CEMIUP0.9 Raw'!$B$6:$B$1712,$J830,'CEMIUP0.9 Raw'!$H$6:$H$1712,"Y")</f>
        <v>154.7</v>
      </c>
      <c r="F830" s="19" t="n">
        <f aca="false">SUMIFS('SALES Raw'!$E$6:$E$4467,'SALES Raw'!$J$6:$J$4467,$J830,'SALES Raw'!$K$6:$K$4467,"Y")*$H$4+SUMIFS('CEMIUP0.9 Raw'!$F$6:$F$1712,'CEMIUP0.9 Raw'!$B$6:$B$1712,$J830,'CEMIUP0.9 Raw'!$H$6:$H$1712,"Y")</f>
        <v>1.26315789473684</v>
      </c>
      <c r="G830" s="19" t="n">
        <f aca="false">SUMIFS('SALES Raw'!$F$6:$F$4467,'SALES Raw'!$J$6:$J$4467,$J830,'SALES Raw'!$K$6:$K$4467,"Y")*$H$4+SUMIFS('CEMIUP0.9 Raw'!$G$6:$G$1712,'CEMIUP0.9 Raw'!$B$6:$B$1712,$J830,'CEMIUP0.9 Raw'!$H$6:$H$1712,"Y")</f>
        <v>65.1751578947368</v>
      </c>
      <c r="H830" s="18" t="s">
        <v>43</v>
      </c>
      <c r="I830" s="18"/>
      <c r="J830" s="18" t="n">
        <v>4413106</v>
      </c>
    </row>
    <row r="831" customFormat="false" ht="15" hidden="false" customHeight="false" outlineLevel="0" collapsed="false">
      <c r="A831" s="18" t="n">
        <f aca="false">IF(ISNUMBER($J831),$J831,"")</f>
        <v>4413109</v>
      </c>
      <c r="B831" s="18" t="n">
        <f aca="false">IFERROR(INDEX('SALES Raw'!$B$6:$B$4467,MATCH($J831,'SALES Raw'!$J$6:$J$4467,0)),IFERROR(INDEX('CEMIUP0.9 Raw'!$B$6:$B$1712,MATCH($J831,'CEMIUP0.9 Raw'!$B$6:$B$1712,0)),$J831))</f>
        <v>4413109</v>
      </c>
      <c r="C831" s="18" t="str">
        <f aca="false">IF(ISNUMBER($J831),IFERROR(INDEX('TRANS'!$C:$C,MATCH($J831,'TRANS'!$B:$B,0)),IFERROR(INDEX('Catalog'!$B:$B,MATCH($J831,'Catalog'!$A:$A,0)),$B831)),$B831)</f>
        <v>48 XL מגן ברך מחמם</v>
      </c>
      <c r="D831" s="19" t="n">
        <f aca="false">SUMIFS('SALES Raw'!$C$6:$C$4467,'SALES Raw'!$J$6:$J$4467,$J831,'SALES Raw'!$K$6:$K$4467,"Y")+SUMIFS('CEMIUP0.9 Raw'!$D$6:$D$1712,'CEMIUP0.9 Raw'!$B$6:$B$1712,$J831,'CEMIUP0.9 Raw'!$H$6:$H$1712,"Y")</f>
        <v>3</v>
      </c>
      <c r="E831" s="19" t="n">
        <f aca="false">SUMIFS('SALES Raw'!$D$6:$D$4467,'SALES Raw'!$J$6:$J$4467,$J831,'SALES Raw'!$K$6:$K$4467,"Y")+SUMIFS('CEMIUP0.9 Raw'!$E$6:$E$1712,'CEMIUP0.9 Raw'!$B$6:$B$1712,$J831,'CEMIUP0.9 Raw'!$H$6:$H$1712,"Y")</f>
        <v>147.875</v>
      </c>
      <c r="F831" s="19" t="n">
        <f aca="false">SUMIFS('SALES Raw'!$E$6:$E$4467,'SALES Raw'!$J$6:$J$4467,$J831,'SALES Raw'!$K$6:$K$4467,"Y")*$H$4+SUMIFS('CEMIUP0.9 Raw'!$F$6:$F$1712,'CEMIUP0.9 Raw'!$B$6:$B$1712,$J831,'CEMIUP0.9 Raw'!$H$6:$H$1712,"Y")</f>
        <v>1.26315789473684</v>
      </c>
      <c r="G831" s="19" t="n">
        <f aca="false">SUMIFS('SALES Raw'!$F$6:$F$4467,'SALES Raw'!$J$6:$J$4467,$J831,'SALES Raw'!$K$6:$K$4467,"Y")*$H$4+SUMIFS('CEMIUP0.9 Raw'!$G$6:$G$1712,'CEMIUP0.9 Raw'!$B$6:$B$1712,$J831,'CEMIUP0.9 Raw'!$H$6:$H$1712,"Y")</f>
        <v>65.1751578947368</v>
      </c>
      <c r="H831" s="18" t="s">
        <v>43</v>
      </c>
      <c r="I831" s="18"/>
      <c r="J831" s="18" t="n">
        <v>4413109</v>
      </c>
    </row>
    <row r="832" customFormat="false" ht="15" hidden="false" customHeight="false" outlineLevel="0" collapsed="false">
      <c r="A832" s="18" t="n">
        <f aca="false">IF(ISNUMBER($J832),$J832,"")</f>
        <v>4413278</v>
      </c>
      <c r="B832" s="18" t="str">
        <f aca="false">IFERROR(INDEX('SALES Raw'!$B$6:$B$4467,MATCH($J832,'SALES Raw'!$J$6:$J$4467,0)),IFERROR(INDEX('CEMIUP0.9 Raw'!$B$6:$B$1712,MATCH($J832,'CEMIUP0.9 Raw'!$B$6:$B$1712,0)),$J832))</f>
        <v>LF377 S</v>
      </c>
      <c r="C832" s="18" t="str">
        <f aca="false">IF(ISNUMBER($J832),IFERROR(INDEX('TRANS'!$C:$C,MATCH($J832,'TRANS'!$B:$B,0)),IFERROR(INDEX('Catalog'!$B:$B,MATCH($J832,'Catalog'!$A:$A,0)),$B832)),$B832)</f>
        <v>LF377 S-מדרס סיליקון לנעלי עקב</v>
      </c>
      <c r="D832" s="19" t="n">
        <f aca="false">SUMIFS('SALES Raw'!$C$6:$C$4467,'SALES Raw'!$J$6:$J$4467,$J832,'SALES Raw'!$K$6:$K$4467,"Y")+SUMIFS('CEMIUP0.9 Raw'!$D$6:$D$1712,'CEMIUP0.9 Raw'!$B$6:$B$1712,$J832,'CEMIUP0.9 Raw'!$H$6:$H$1712,"Y")</f>
        <v>9</v>
      </c>
      <c r="E832" s="19" t="n">
        <f aca="false">SUMIFS('SALES Raw'!$D$6:$D$4467,'SALES Raw'!$J$6:$J$4467,$J832,'SALES Raw'!$K$6:$K$4467,"Y")+SUMIFS('CEMIUP0.9 Raw'!$E$6:$E$1712,'CEMIUP0.9 Raw'!$B$6:$B$1712,$J832,'CEMIUP0.9 Raw'!$H$6:$H$1712,"Y")</f>
        <v>326.485</v>
      </c>
      <c r="F832" s="19" t="n">
        <f aca="false">SUMIFS('SALES Raw'!$E$6:$E$4467,'SALES Raw'!$J$6:$J$4467,$J832,'SALES Raw'!$K$6:$K$4467,"Y")*$H$4+SUMIFS('CEMIUP0.9 Raw'!$F$6:$F$1712,'CEMIUP0.9 Raw'!$B$6:$B$1712,$J832,'CEMIUP0.9 Raw'!$H$6:$H$1712,"Y")</f>
        <v>1.26315789473684</v>
      </c>
      <c r="G832" s="19" t="n">
        <f aca="false">SUMIFS('SALES Raw'!$F$6:$F$4467,'SALES Raw'!$J$6:$J$4467,$J832,'SALES Raw'!$K$6:$K$4467,"Y")*$H$4+SUMIFS('CEMIUP0.9 Raw'!$G$6:$G$1712,'CEMIUP0.9 Raw'!$B$6:$B$1712,$J832,'CEMIUP0.9 Raw'!$H$6:$H$1712,"Y")</f>
        <v>40.0016842105263</v>
      </c>
      <c r="H832" s="18" t="s">
        <v>43</v>
      </c>
      <c r="I832" s="18" t="s">
        <v>48</v>
      </c>
      <c r="J832" s="18" t="n">
        <v>4413278</v>
      </c>
    </row>
    <row r="833" customFormat="false" ht="15" hidden="false" customHeight="false" outlineLevel="0" collapsed="false">
      <c r="A833" s="18" t="n">
        <f aca="false">IF(ISNUMBER($J833),$J833,"")</f>
        <v>4415071</v>
      </c>
      <c r="B833" s="18" t="n">
        <f aca="false">IFERROR(INDEX('SALES Raw'!$B$6:$B$4467,MATCH($J833,'SALES Raw'!$J$6:$J$4467,0)),IFERROR(INDEX('CEMIUP0.9 Raw'!$B$6:$B$1712,MATCH($J833,'CEMIUP0.9 Raw'!$B$6:$B$1712,0)),$J833))</f>
        <v>4415071</v>
      </c>
      <c r="C833" s="18" t="str">
        <f aca="false">IF(ISNUMBER($J833),IFERROR(INDEX('TRANS'!$C:$C,MATCH($J833,'TRANS'!$B:$B,0)),IFERROR(INDEX('Catalog'!$B:$B,MATCH($J833,'Catalog'!$A:$A,0)),$B833)),$B833)</f>
        <v>T28C  XL סד לאגודל כפפה</v>
      </c>
      <c r="D833" s="19" t="n">
        <f aca="false">SUMIFS('SALES Raw'!$C$6:$C$4467,'SALES Raw'!$J$6:$J$4467,$J833,'SALES Raw'!$K$6:$K$4467,"Y")+SUMIFS('CEMIUP0.9 Raw'!$D$6:$D$1712,'CEMIUP0.9 Raw'!$B$6:$B$1712,$J833,'CEMIUP0.9 Raw'!$H$6:$H$1712,"Y")</f>
        <v>4</v>
      </c>
      <c r="E833" s="19" t="n">
        <f aca="false">SUMIFS('SALES Raw'!$D$6:$D$4467,'SALES Raw'!$J$6:$J$4467,$J833,'SALES Raw'!$K$6:$K$4467,"Y")+SUMIFS('CEMIUP0.9 Raw'!$E$6:$E$1712,'CEMIUP0.9 Raw'!$B$6:$B$1712,$J833,'CEMIUP0.9 Raw'!$H$6:$H$1712,"Y")</f>
        <v>249.34</v>
      </c>
      <c r="F833" s="19" t="n">
        <f aca="false">SUMIFS('SALES Raw'!$E$6:$E$4467,'SALES Raw'!$J$6:$J$4467,$J833,'SALES Raw'!$K$6:$K$4467,"Y")*$H$4+SUMIFS('CEMIUP0.9 Raw'!$F$6:$F$1712,'CEMIUP0.9 Raw'!$B$6:$B$1712,$J833,'CEMIUP0.9 Raw'!$H$6:$H$1712,"Y")</f>
        <v>1.26315789473684</v>
      </c>
      <c r="G833" s="19" t="n">
        <f aca="false">SUMIFS('SALES Raw'!$F$6:$F$4467,'SALES Raw'!$J$6:$J$4467,$J833,'SALES Raw'!$K$6:$K$4467,"Y")*$H$4+SUMIFS('CEMIUP0.9 Raw'!$G$6:$G$1712,'CEMIUP0.9 Raw'!$B$6:$B$1712,$J833,'CEMIUP0.9 Raw'!$H$6:$H$1712,"Y")</f>
        <v>81.4976842105263</v>
      </c>
      <c r="H833" s="18" t="s">
        <v>43</v>
      </c>
      <c r="I833" s="18"/>
      <c r="J833" s="18" t="n">
        <v>4415071</v>
      </c>
    </row>
    <row r="834" customFormat="false" ht="15" hidden="false" customHeight="false" outlineLevel="0" collapsed="false">
      <c r="A834" s="18" t="n">
        <f aca="false">IF(ISNUMBER($J834),$J834,"")</f>
        <v>4418006</v>
      </c>
      <c r="B834" s="18" t="n">
        <f aca="false">IFERROR(INDEX('SALES Raw'!$B$6:$B$4467,MATCH($J834,'SALES Raw'!$J$6:$J$4467,0)),IFERROR(INDEX('CEMIUP0.9 Raw'!$B$6:$B$1712,MATCH($J834,'CEMIUP0.9 Raw'!$B$6:$B$1712,0)),$J834))</f>
        <v>4418006</v>
      </c>
      <c r="C834" s="18" t="str">
        <f aca="false">IF(ISNUMBER($J834),IFERROR(INDEX('TRANS'!$C:$C,MATCH($J834,'TRANS'!$B:$B,0)),IFERROR(INDEX('Catalog'!$B:$B,MATCH($J834,'Catalog'!$A:$A,0)),$B834)),$B834)</f>
        <v>63 M צוארון פלסטי מתכוון</v>
      </c>
      <c r="D834" s="19" t="n">
        <f aca="false">SUMIFS('SALES Raw'!$C$6:$C$4467,'SALES Raw'!$J$6:$J$4467,$J834,'SALES Raw'!$K$6:$K$4467,"Y")+SUMIFS('CEMIUP0.9 Raw'!$D$6:$D$1712,'CEMIUP0.9 Raw'!$B$6:$B$1712,$J834,'CEMIUP0.9 Raw'!$H$6:$H$1712,"Y")</f>
        <v>1</v>
      </c>
      <c r="E834" s="19" t="n">
        <f aca="false">SUMIFS('SALES Raw'!$D$6:$D$4467,'SALES Raw'!$J$6:$J$4467,$J834,'SALES Raw'!$K$6:$K$4467,"Y")+SUMIFS('CEMIUP0.9 Raw'!$E$6:$E$1712,'CEMIUP0.9 Raw'!$B$6:$B$1712,$J834,'CEMIUP0.9 Raw'!$H$6:$H$1712,"Y")</f>
        <v>60.515</v>
      </c>
      <c r="F834" s="19" t="n">
        <f aca="false">SUMIFS('SALES Raw'!$E$6:$E$4467,'SALES Raw'!$J$6:$J$4467,$J834,'SALES Raw'!$K$6:$K$4467,"Y")*$H$4+SUMIFS('CEMIUP0.9 Raw'!$F$6:$F$1712,'CEMIUP0.9 Raw'!$B$6:$B$1712,$J834,'CEMIUP0.9 Raw'!$H$6:$H$1712,"Y")</f>
        <v>1.26315789473684</v>
      </c>
      <c r="G834" s="19" t="n">
        <f aca="false">SUMIFS('SALES Raw'!$F$6:$F$4467,'SALES Raw'!$J$6:$J$4467,$J834,'SALES Raw'!$K$6:$K$4467,"Y")*$H$4+SUMIFS('CEMIUP0.9 Raw'!$G$6:$G$1712,'CEMIUP0.9 Raw'!$B$6:$B$1712,$J834,'CEMIUP0.9 Raw'!$H$6:$H$1712,"Y")</f>
        <v>76.44</v>
      </c>
      <c r="H834" s="18" t="s">
        <v>43</v>
      </c>
      <c r="I834" s="18"/>
      <c r="J834" s="18" t="n">
        <v>4418006</v>
      </c>
    </row>
    <row r="835" customFormat="false" ht="15" hidden="false" customHeight="false" outlineLevel="0" collapsed="false">
      <c r="A835" s="18" t="n">
        <f aca="false">IF(ISNUMBER($J835),$J835,"")</f>
        <v>4420004</v>
      </c>
      <c r="B835" s="18" t="n">
        <f aca="false">IFERROR(INDEX('SALES Raw'!$B$6:$B$4467,MATCH($J835,'SALES Raw'!$J$6:$J$4467,0)),IFERROR(INDEX('CEMIUP0.9 Raw'!$B$6:$B$1712,MATCH($J835,'CEMIUP0.9 Raw'!$B$6:$B$1712,0)),$J835))</f>
        <v>4420004</v>
      </c>
      <c r="C835" s="18" t="str">
        <f aca="false">IF(ISNUMBER($J835),IFERROR(INDEX('TRANS'!$C:$C,MATCH($J835,'TRANS'!$B:$B,0)),IFERROR(INDEX('Catalog'!$B:$B,MATCH($J835,'Catalog'!$A:$A,0)),$B835)),$B835)</f>
        <v>377  רפ.אורטופדית ספורט זוג35</v>
      </c>
      <c r="D835" s="19" t="n">
        <f aca="false">SUMIFS('SALES Raw'!$C$6:$C$4467,'SALES Raw'!$J$6:$J$4467,$J835,'SALES Raw'!$K$6:$K$4467,"Y")+SUMIFS('CEMIUP0.9 Raw'!$D$6:$D$1712,'CEMIUP0.9 Raw'!$B$6:$B$1712,$J835,'CEMIUP0.9 Raw'!$H$6:$H$1712,"Y")</f>
        <v>3</v>
      </c>
      <c r="E835" s="19" t="n">
        <f aca="false">SUMIFS('SALES Raw'!$D$6:$D$4467,'SALES Raw'!$J$6:$J$4467,$J835,'SALES Raw'!$K$6:$K$4467,"Y")+SUMIFS('CEMIUP0.9 Raw'!$E$6:$E$1712,'CEMIUP0.9 Raw'!$B$6:$B$1712,$J835,'CEMIUP0.9 Raw'!$H$6:$H$1712,"Y")</f>
        <v>38.857</v>
      </c>
      <c r="F835" s="19" t="n">
        <f aca="false">SUMIFS('SALES Raw'!$E$6:$E$4467,'SALES Raw'!$J$6:$J$4467,$J835,'SALES Raw'!$K$6:$K$4467,"Y")*$H$4+SUMIFS('CEMIUP0.9 Raw'!$F$6:$F$1712,'CEMIUP0.9 Raw'!$B$6:$B$1712,$J835,'CEMIUP0.9 Raw'!$H$6:$H$1712,"Y")</f>
        <v>1.26315789473684</v>
      </c>
      <c r="G835" s="19" t="n">
        <f aca="false">SUMIFS('SALES Raw'!$F$6:$F$4467,'SALES Raw'!$J$6:$J$4467,$J835,'SALES Raw'!$K$6:$K$4467,"Y")*$H$4+SUMIFS('CEMIUP0.9 Raw'!$G$6:$G$1712,'CEMIUP0.9 Raw'!$B$6:$B$1712,$J835,'CEMIUP0.9 Raw'!$H$6:$H$1712,"Y")</f>
        <v>42.4155789473684</v>
      </c>
      <c r="H835" s="18" t="s">
        <v>43</v>
      </c>
      <c r="I835" s="18"/>
      <c r="J835" s="18" t="n">
        <v>4420004</v>
      </c>
    </row>
    <row r="836" customFormat="false" ht="15" hidden="false" customHeight="false" outlineLevel="0" collapsed="false">
      <c r="A836" s="18" t="n">
        <f aca="false">IF(ISNUMBER($J836),$J836,"")</f>
        <v>4420028</v>
      </c>
      <c r="B836" s="18" t="n">
        <f aca="false">IFERROR(INDEX('SALES Raw'!$B$6:$B$4467,MATCH($J836,'SALES Raw'!$J$6:$J$4467,0)),IFERROR(INDEX('CEMIUP0.9 Raw'!$B$6:$B$1712,MATCH($J836,'CEMIUP0.9 Raw'!$B$6:$B$1712,0)),$J836))</f>
        <v>4420028</v>
      </c>
      <c r="C836" s="18" t="str">
        <f aca="false">IF(ISNUMBER($J836),IFERROR(INDEX('TRANS'!$C:$C,MATCH($J836,'TRANS'!$B:$B,0)),IFERROR(INDEX('Catalog'!$B:$B,MATCH($J836,'Catalog'!$A:$A,0)),$B836)),$B836)</f>
        <v>35-37 רפידת ספורט 376 מידה</v>
      </c>
      <c r="D836" s="19" t="n">
        <f aca="false">SUMIFS('SALES Raw'!$C$6:$C$4467,'SALES Raw'!$J$6:$J$4467,$J836,'SALES Raw'!$K$6:$K$4467,"Y")+SUMIFS('CEMIUP0.9 Raw'!$D$6:$D$1712,'CEMIUP0.9 Raw'!$B$6:$B$1712,$J836,'CEMIUP0.9 Raw'!$H$6:$H$1712,"Y")</f>
        <v>-1</v>
      </c>
      <c r="E836" s="19" t="n">
        <f aca="false">SUMIFS('SALES Raw'!$D$6:$D$4467,'SALES Raw'!$J$6:$J$4467,$J836,'SALES Raw'!$K$6:$K$4467,"Y")+SUMIFS('CEMIUP0.9 Raw'!$E$6:$E$1712,'CEMIUP0.9 Raw'!$B$6:$B$1712,$J836,'CEMIUP0.9 Raw'!$H$6:$H$1712,"Y")</f>
        <v>-39.312</v>
      </c>
      <c r="F836" s="19" t="n">
        <f aca="false">SUMIFS('SALES Raw'!$E$6:$E$4467,'SALES Raw'!$J$6:$J$4467,$J836,'SALES Raw'!$K$6:$K$4467,"Y")*$H$4+SUMIFS('CEMIUP0.9 Raw'!$F$6:$F$1712,'CEMIUP0.9 Raw'!$B$6:$B$1712,$J836,'CEMIUP0.9 Raw'!$H$6:$H$1712,"Y")</f>
        <v>1.26315789473684</v>
      </c>
      <c r="G836" s="19" t="n">
        <f aca="false">SUMIFS('SALES Raw'!$F$6:$F$4467,'SALES Raw'!$J$6:$J$4467,$J836,'SALES Raw'!$K$6:$K$4467,"Y")*$H$4+SUMIFS('CEMIUP0.9 Raw'!$G$6:$G$1712,'CEMIUP0.9 Raw'!$B$6:$B$1712,$J836,'CEMIUP0.9 Raw'!$H$6:$H$1712,"Y")</f>
        <v>40.3465263157895</v>
      </c>
      <c r="H836" s="18" t="s">
        <v>43</v>
      </c>
      <c r="I836" s="18"/>
      <c r="J836" s="18" t="n">
        <v>4420028</v>
      </c>
    </row>
    <row r="837" customFormat="false" ht="15" hidden="false" customHeight="false" outlineLevel="0" collapsed="false">
      <c r="A837" s="18" t="n">
        <f aca="false">IF(ISNUMBER($J837),$J837,"")</f>
        <v>4420030</v>
      </c>
      <c r="B837" s="18" t="n">
        <f aca="false">IFERROR(INDEX('SALES Raw'!$B$6:$B$4467,MATCH($J837,'SALES Raw'!$J$6:$J$4467,0)),IFERROR(INDEX('CEMIUP0.9 Raw'!$B$6:$B$1712,MATCH($J837,'CEMIUP0.9 Raw'!$B$6:$B$1712,0)),$J837))</f>
        <v>4420030</v>
      </c>
      <c r="C837" s="18" t="str">
        <f aca="false">IF(ISNUMBER($J837),IFERROR(INDEX('TRANS'!$C:$C,MATCH($J837,'TRANS'!$B:$B,0)),IFERROR(INDEX('Catalog'!$B:$B,MATCH($J837,'Catalog'!$A:$A,0)),$B837)),$B837)</f>
        <v>41-43 רפידת ספורט 376 מידה</v>
      </c>
      <c r="D837" s="19" t="n">
        <f aca="false">SUMIFS('SALES Raw'!$C$6:$C$4467,'SALES Raw'!$J$6:$J$4467,$J837,'SALES Raw'!$K$6:$K$4467,"Y")+SUMIFS('CEMIUP0.9 Raw'!$D$6:$D$1712,'CEMIUP0.9 Raw'!$B$6:$B$1712,$J837,'CEMIUP0.9 Raw'!$H$6:$H$1712,"Y")</f>
        <v>1</v>
      </c>
      <c r="E837" s="19" t="n">
        <f aca="false">SUMIFS('SALES Raw'!$D$6:$D$4467,'SALES Raw'!$J$6:$J$4467,$J837,'SALES Raw'!$K$6:$K$4467,"Y")+SUMIFS('CEMIUP0.9 Raw'!$E$6:$E$1712,'CEMIUP0.9 Raw'!$B$6:$B$1712,$J837,'CEMIUP0.9 Raw'!$H$6:$H$1712,"Y")</f>
        <v>30.03</v>
      </c>
      <c r="F837" s="19" t="n">
        <f aca="false">SUMIFS('SALES Raw'!$E$6:$E$4467,'SALES Raw'!$J$6:$J$4467,$J837,'SALES Raw'!$K$6:$K$4467,"Y")*$H$4+SUMIFS('CEMIUP0.9 Raw'!$F$6:$F$1712,'CEMIUP0.9 Raw'!$B$6:$B$1712,$J837,'CEMIUP0.9 Raw'!$H$6:$H$1712,"Y")</f>
        <v>1.26315789473684</v>
      </c>
      <c r="G837" s="19" t="n">
        <f aca="false">SUMIFS('SALES Raw'!$F$6:$F$4467,'SALES Raw'!$J$6:$J$4467,$J837,'SALES Raw'!$K$6:$K$4467,"Y")*$H$4+SUMIFS('CEMIUP0.9 Raw'!$G$6:$G$1712,'CEMIUP0.9 Raw'!$B$6:$B$1712,$J837,'CEMIUP0.9 Raw'!$H$6:$H$1712,"Y")</f>
        <v>40.3465263157895</v>
      </c>
      <c r="H837" s="18" t="s">
        <v>43</v>
      </c>
      <c r="I837" s="18"/>
      <c r="J837" s="18" t="n">
        <v>4420030</v>
      </c>
    </row>
    <row r="838" customFormat="false" ht="15" hidden="false" customHeight="false" outlineLevel="0" collapsed="false">
      <c r="A838" s="18" t="str">
        <f aca="false">IF(ISNUMBER($J838),$J838,"")</f>
        <v/>
      </c>
      <c r="B838" s="18" t="str">
        <f aca="false">IFERROR(INDEX('SALES Raw'!$B$6:$B$4467,MATCH($J838,'SALES Raw'!$J$6:$J$4467,0)),IFERROR(INDEX('CEMIUP0.9 Raw'!$B$6:$B$1712,MATCH($J838,'CEMIUP0.9 Raw'!$B$6:$B$1712,0)),$J838))</f>
        <v>078C XL</v>
      </c>
      <c r="C838" s="18" t="str">
        <f aca="false">IF(ISNUMBER($J838),IFERROR(INDEX('TRANS'!$C:$C,MATCH($J838,'TRANS'!$B:$B,0)),IFERROR(INDEX('Catalog'!$B:$B,MATCH($J838,'Catalog'!$A:$A,0)),$B838)),$B838)</f>
        <v>078C XL</v>
      </c>
      <c r="D838" s="19" t="n">
        <f aca="false">SUMIFS('SALES Raw'!$C$6:$C$4467,'SALES Raw'!$J$6:$J$4467,$J838,'SALES Raw'!$K$6:$K$4467,"Y")+SUMIFS('CEMIUP0.9 Raw'!$D$6:$D$1712,'CEMIUP0.9 Raw'!$B$6:$B$1712,$J838,'CEMIUP0.9 Raw'!$H$6:$H$1712,"Y")</f>
        <v>0</v>
      </c>
      <c r="E838" s="19" t="n">
        <f aca="false">SUMIFS('SALES Raw'!$D$6:$D$4467,'SALES Raw'!$J$6:$J$4467,$J838,'SALES Raw'!$K$6:$K$4467,"Y")+SUMIFS('CEMIUP0.9 Raw'!$E$6:$E$1712,'CEMIUP0.9 Raw'!$B$6:$B$1712,$J838,'CEMIUP0.9 Raw'!$H$6:$H$1712,"Y")</f>
        <v>0</v>
      </c>
      <c r="F838" s="19" t="n">
        <f aca="false">SUMIFS('SALES Raw'!$E$6:$E$4467,'SALES Raw'!$J$6:$J$4467,$J838,'SALES Raw'!$K$6:$K$4467,"Y")*$H$4+SUMIFS('CEMIUP0.9 Raw'!$F$6:$F$1712,'CEMIUP0.9 Raw'!$B$6:$B$1712,$J838,'CEMIUP0.9 Raw'!$H$6:$H$1712,"Y")</f>
        <v>1.26315789473684</v>
      </c>
      <c r="G838" s="19" t="n">
        <f aca="false">SUMIFS('SALES Raw'!$F$6:$F$4467,'SALES Raw'!$J$6:$J$4467,$J838,'SALES Raw'!$K$6:$K$4467,"Y")*$H$4+SUMIFS('CEMIUP0.9 Raw'!$G$6:$G$1712,'CEMIUP0.9 Raw'!$B$6:$B$1712,$J838,'CEMIUP0.9 Raw'!$H$6:$H$1712,"Y")</f>
        <v>82.1052631578947</v>
      </c>
      <c r="H838" s="18" t="s">
        <v>48</v>
      </c>
      <c r="I838" s="18"/>
      <c r="J838" s="18" t="s">
        <v>401</v>
      </c>
    </row>
    <row r="839" customFormat="false" ht="15" hidden="false" customHeight="false" outlineLevel="0" collapsed="false">
      <c r="A839" s="18" t="str">
        <f aca="false">IF(ISNUMBER($J839),$J839,"")</f>
        <v/>
      </c>
      <c r="B839" s="18" t="str">
        <f aca="false">IFERROR(INDEX('SALES Raw'!$B$6:$B$4467,MATCH($J839,'SALES Raw'!$J$6:$J$4467,0)),IFERROR(INDEX('CEMIUP0.9 Raw'!$B$6:$B$1712,MATCH($J839,'CEMIUP0.9 Raw'!$B$6:$B$1712,0)),$J839))</f>
        <v>07UC-S-M</v>
      </c>
      <c r="C839" s="18" t="str">
        <f aca="false">IF(ISNUMBER($J839),IFERROR(INDEX('TRANS'!$C:$C,MATCH($J839,'TRANS'!$B:$B,0)),IFERROR(INDEX('Catalog'!$B:$B,MATCH($J839,'Catalog'!$A:$A,0)),$B839)),$B839)</f>
        <v>07UC-S-M</v>
      </c>
      <c r="D839" s="19" t="n">
        <f aca="false">SUMIFS('SALES Raw'!$C$6:$C$4467,'SALES Raw'!$J$6:$J$4467,$J839,'SALES Raw'!$K$6:$K$4467,"Y")+SUMIFS('CEMIUP0.9 Raw'!$D$6:$D$1712,'CEMIUP0.9 Raw'!$B$6:$B$1712,$J839,'CEMIUP0.9 Raw'!$H$6:$H$1712,"Y")</f>
        <v>1</v>
      </c>
      <c r="E839" s="19" t="n">
        <f aca="false">SUMIFS('SALES Raw'!$D$6:$D$4467,'SALES Raw'!$J$6:$J$4467,$J839,'SALES Raw'!$K$6:$K$4467,"Y")+SUMIFS('CEMIUP0.9 Raw'!$E$6:$E$1712,'CEMIUP0.9 Raw'!$B$6:$B$1712,$J839,'CEMIUP0.9 Raw'!$H$6:$H$1712,"Y")</f>
        <v>231.97</v>
      </c>
      <c r="F839" s="19" t="n">
        <f aca="false">SUMIFS('SALES Raw'!$E$6:$E$4467,'SALES Raw'!$J$6:$J$4467,$J839,'SALES Raw'!$K$6:$K$4467,"Y")*$H$4+SUMIFS('CEMIUP0.9 Raw'!$F$6:$F$1712,'CEMIUP0.9 Raw'!$B$6:$B$1712,$J839,'CEMIUP0.9 Raw'!$H$6:$H$1712,"Y")</f>
        <v>0</v>
      </c>
      <c r="G839" s="19" t="n">
        <f aca="false">SUMIFS('SALES Raw'!$F$6:$F$4467,'SALES Raw'!$J$6:$J$4467,$J839,'SALES Raw'!$K$6:$K$4467,"Y")*$H$4+SUMIFS('CEMIUP0.9 Raw'!$G$6:$G$1712,'CEMIUP0.9 Raw'!$B$6:$B$1712,$J839,'CEMIUP0.9 Raw'!$H$6:$H$1712,"Y")</f>
        <v>0</v>
      </c>
      <c r="H839" s="18" t="s">
        <v>46</v>
      </c>
      <c r="I839" s="18"/>
      <c r="J839" s="18" t="s">
        <v>402</v>
      </c>
    </row>
    <row r="840" customFormat="false" ht="15" hidden="false" customHeight="false" outlineLevel="0" collapsed="false">
      <c r="A840" s="18" t="str">
        <f aca="false">IF(ISNUMBER($J840),$J840,"")</f>
        <v/>
      </c>
      <c r="B840" s="18" t="str">
        <f aca="false">IFERROR(INDEX('SALES Raw'!$B$6:$B$4467,MATCH($J840,'SALES Raw'!$J$6:$J$4467,0)),IFERROR(INDEX('CEMIUP0.9 Raw'!$B$6:$B$1712,MATCH($J840,'CEMIUP0.9 Raw'!$B$6:$B$1712,0)),$J840))</f>
        <v>09-S-M</v>
      </c>
      <c r="C840" s="18" t="str">
        <f aca="false">IF(ISNUMBER($J840),IFERROR(INDEX('TRANS'!$C:$C,MATCH($J840,'TRANS'!$B:$B,0)),IFERROR(INDEX('Catalog'!$B:$B,MATCH($J840,'Catalog'!$A:$A,0)),$B840)),$B840)</f>
        <v>09-S-M</v>
      </c>
      <c r="D840" s="19" t="n">
        <f aca="false">SUMIFS('SALES Raw'!$C$6:$C$4467,'SALES Raw'!$J$6:$J$4467,$J840,'SALES Raw'!$K$6:$K$4467,"Y")+SUMIFS('CEMIUP0.9 Raw'!$D$6:$D$1712,'CEMIUP0.9 Raw'!$B$6:$B$1712,$J840,'CEMIUP0.9 Raw'!$H$6:$H$1712,"Y")</f>
        <v>1</v>
      </c>
      <c r="E840" s="19" t="n">
        <f aca="false">SUMIFS('SALES Raw'!$D$6:$D$4467,'SALES Raw'!$J$6:$J$4467,$J840,'SALES Raw'!$K$6:$K$4467,"Y")+SUMIFS('CEMIUP0.9 Raw'!$E$6:$E$1712,'CEMIUP0.9 Raw'!$B$6:$B$1712,$J840,'CEMIUP0.9 Raw'!$H$6:$H$1712,"Y")</f>
        <v>137.81</v>
      </c>
      <c r="F840" s="19" t="n">
        <f aca="false">SUMIFS('SALES Raw'!$E$6:$E$4467,'SALES Raw'!$J$6:$J$4467,$J840,'SALES Raw'!$K$6:$K$4467,"Y")*$H$4+SUMIFS('CEMIUP0.9 Raw'!$F$6:$F$1712,'CEMIUP0.9 Raw'!$B$6:$B$1712,$J840,'CEMIUP0.9 Raw'!$H$6:$H$1712,"Y")</f>
        <v>0</v>
      </c>
      <c r="G840" s="19" t="n">
        <f aca="false">SUMIFS('SALES Raw'!$F$6:$F$4467,'SALES Raw'!$J$6:$J$4467,$J840,'SALES Raw'!$K$6:$K$4467,"Y")*$H$4+SUMIFS('CEMIUP0.9 Raw'!$G$6:$G$1712,'CEMIUP0.9 Raw'!$B$6:$B$1712,$J840,'CEMIUP0.9 Raw'!$H$6:$H$1712,"Y")</f>
        <v>0</v>
      </c>
      <c r="H840" s="18" t="s">
        <v>46</v>
      </c>
      <c r="I840" s="18"/>
      <c r="J840" s="18" t="s">
        <v>403</v>
      </c>
    </row>
    <row r="841" customFormat="false" ht="15" hidden="false" customHeight="false" outlineLevel="0" collapsed="false">
      <c r="A841" s="18" t="str">
        <f aca="false">IF(ISNUMBER($J841),$J841,"")</f>
        <v/>
      </c>
      <c r="B841" s="18" t="str">
        <f aca="false">IFERROR(INDEX('SALES Raw'!$B$6:$B$4467,MATCH($J841,'SALES Raw'!$J$6:$J$4467,0)),IFERROR(INDEX('CEMIUP0.9 Raw'!$B$6:$B$1712,MATCH($J841,'CEMIUP0.9 Raw'!$B$6:$B$1712,0)),$J841))</f>
        <v>15M M</v>
      </c>
      <c r="C841" s="18" t="str">
        <f aca="false">IF(ISNUMBER($J841),IFERROR(INDEX('TRANS'!$C:$C,MATCH($J841,'TRANS'!$B:$B,0)),IFERROR(INDEX('Catalog'!$B:$B,MATCH($J841,'Catalog'!$A:$A,0)),$B841)),$B841)</f>
        <v>15M M</v>
      </c>
      <c r="D841" s="19" t="n">
        <f aca="false">SUMIFS('SALES Raw'!$C$6:$C$4467,'SALES Raw'!$J$6:$J$4467,$J841,'SALES Raw'!$K$6:$K$4467,"Y")+SUMIFS('CEMIUP0.9 Raw'!$D$6:$D$1712,'CEMIUP0.9 Raw'!$B$6:$B$1712,$J841,'CEMIUP0.9 Raw'!$H$6:$H$1712,"Y")</f>
        <v>6</v>
      </c>
      <c r="E841" s="19" t="n">
        <f aca="false">SUMIFS('SALES Raw'!$D$6:$D$4467,'SALES Raw'!$J$6:$J$4467,$J841,'SALES Raw'!$K$6:$K$4467,"Y")+SUMIFS('CEMIUP0.9 Raw'!$E$6:$E$1712,'CEMIUP0.9 Raw'!$B$6:$B$1712,$J841,'CEMIUP0.9 Raw'!$H$6:$H$1712,"Y")</f>
        <v>949.78</v>
      </c>
      <c r="F841" s="19" t="n">
        <f aca="false">SUMIFS('SALES Raw'!$E$6:$E$4467,'SALES Raw'!$J$6:$J$4467,$J841,'SALES Raw'!$K$6:$K$4467,"Y")*$H$4+SUMIFS('CEMIUP0.9 Raw'!$F$6:$F$1712,'CEMIUP0.9 Raw'!$B$6:$B$1712,$J841,'CEMIUP0.9 Raw'!$H$6:$H$1712,"Y")</f>
        <v>0</v>
      </c>
      <c r="G841" s="19" t="n">
        <f aca="false">SUMIFS('SALES Raw'!$F$6:$F$4467,'SALES Raw'!$J$6:$J$4467,$J841,'SALES Raw'!$K$6:$K$4467,"Y")*$H$4+SUMIFS('CEMIUP0.9 Raw'!$G$6:$G$1712,'CEMIUP0.9 Raw'!$B$6:$B$1712,$J841,'CEMIUP0.9 Raw'!$H$6:$H$1712,"Y")</f>
        <v>0</v>
      </c>
      <c r="H841" s="18" t="s">
        <v>46</v>
      </c>
      <c r="I841" s="18" t="s">
        <v>44</v>
      </c>
      <c r="J841" s="18" t="s">
        <v>404</v>
      </c>
    </row>
    <row r="842" customFormat="false" ht="15" hidden="false" customHeight="false" outlineLevel="0" collapsed="false">
      <c r="A842" s="18" t="str">
        <f aca="false">IF(ISNUMBER($J842),$J842,"")</f>
        <v/>
      </c>
      <c r="B842" s="18" t="str">
        <f aca="false">IFERROR(INDEX('SALES Raw'!$B$6:$B$4467,MATCH($J842,'SALES Raw'!$J$6:$J$4467,0)),IFERROR(INDEX('CEMIUP0.9 Raw'!$B$6:$B$1712,MATCH($J842,'CEMIUP0.9 Raw'!$B$6:$B$1712,0)),$J842))</f>
        <v>15W S</v>
      </c>
      <c r="C842" s="18" t="str">
        <f aca="false">IF(ISNUMBER($J842),IFERROR(INDEX('TRANS'!$C:$C,MATCH($J842,'TRANS'!$B:$B,0)),IFERROR(INDEX('Catalog'!$B:$B,MATCH($J842,'Catalog'!$A:$A,0)),$B842)),$B842)</f>
        <v>15W S</v>
      </c>
      <c r="D842" s="19" t="n">
        <f aca="false">SUMIFS('SALES Raw'!$C$6:$C$4467,'SALES Raw'!$J$6:$J$4467,$J842,'SALES Raw'!$K$6:$K$4467,"Y")+SUMIFS('CEMIUP0.9 Raw'!$D$6:$D$1712,'CEMIUP0.9 Raw'!$B$6:$B$1712,$J842,'CEMIUP0.9 Raw'!$H$6:$H$1712,"Y")</f>
        <v>6</v>
      </c>
      <c r="E842" s="19" t="n">
        <f aca="false">SUMIFS('SALES Raw'!$D$6:$D$4467,'SALES Raw'!$J$6:$J$4467,$J842,'SALES Raw'!$K$6:$K$4467,"Y")+SUMIFS('CEMIUP0.9 Raw'!$E$6:$E$1712,'CEMIUP0.9 Raw'!$B$6:$B$1712,$J842,'CEMIUP0.9 Raw'!$H$6:$H$1712,"Y")</f>
        <v>1032.49</v>
      </c>
      <c r="F842" s="19" t="n">
        <f aca="false">SUMIFS('SALES Raw'!$E$6:$E$4467,'SALES Raw'!$J$6:$J$4467,$J842,'SALES Raw'!$K$6:$K$4467,"Y")*$H$4+SUMIFS('CEMIUP0.9 Raw'!$F$6:$F$1712,'CEMIUP0.9 Raw'!$B$6:$B$1712,$J842,'CEMIUP0.9 Raw'!$H$6:$H$1712,"Y")</f>
        <v>0</v>
      </c>
      <c r="G842" s="19" t="n">
        <f aca="false">SUMIFS('SALES Raw'!$F$6:$F$4467,'SALES Raw'!$J$6:$J$4467,$J842,'SALES Raw'!$K$6:$K$4467,"Y")*$H$4+SUMIFS('CEMIUP0.9 Raw'!$G$6:$G$1712,'CEMIUP0.9 Raw'!$B$6:$B$1712,$J842,'CEMIUP0.9 Raw'!$H$6:$H$1712,"Y")</f>
        <v>0</v>
      </c>
      <c r="H842" s="18" t="s">
        <v>46</v>
      </c>
      <c r="I842" s="18" t="s">
        <v>44</v>
      </c>
      <c r="J842" s="18" t="s">
        <v>405</v>
      </c>
    </row>
    <row r="843" customFormat="false" ht="15" hidden="false" customHeight="false" outlineLevel="0" collapsed="false">
      <c r="A843" s="18" t="str">
        <f aca="false">IF(ISNUMBER($J843),$J843,"")</f>
        <v/>
      </c>
      <c r="B843" s="18" t="str">
        <f aca="false">IFERROR(INDEX('SALES Raw'!$B$6:$B$4467,MATCH($J843,'SALES Raw'!$J$6:$J$4467,0)),IFERROR(INDEX('CEMIUP0.9 Raw'!$B$6:$B$1712,MATCH($J843,'CEMIUP0.9 Raw'!$B$6:$B$1712,0)),$J843))</f>
        <v>388L 0</v>
      </c>
      <c r="C843" s="18" t="str">
        <f aca="false">IF(ISNUMBER($J843),IFERROR(INDEX('TRANS'!$C:$C,MATCH($J843,'TRANS'!$B:$B,0)),IFERROR(INDEX('Catalog'!$B:$B,MATCH($J843,'Catalog'!$A:$A,0)),$B843)),$B843)</f>
        <v>388L 0</v>
      </c>
      <c r="D843" s="19" t="n">
        <f aca="false">SUMIFS('SALES Raw'!$C$6:$C$4467,'SALES Raw'!$J$6:$J$4467,$J843,'SALES Raw'!$K$6:$K$4467,"Y")+SUMIFS('CEMIUP0.9 Raw'!$D$6:$D$1712,'CEMIUP0.9 Raw'!$B$6:$B$1712,$J843,'CEMIUP0.9 Raw'!$H$6:$H$1712,"Y")</f>
        <v>15</v>
      </c>
      <c r="E843" s="19" t="n">
        <f aca="false">SUMIFS('SALES Raw'!$D$6:$D$4467,'SALES Raw'!$J$6:$J$4467,$J843,'SALES Raw'!$K$6:$K$4467,"Y")+SUMIFS('CEMIUP0.9 Raw'!$E$6:$E$1712,'CEMIUP0.9 Raw'!$B$6:$B$1712,$J843,'CEMIUP0.9 Raw'!$H$6:$H$1712,"Y")</f>
        <v>763.43</v>
      </c>
      <c r="F843" s="19" t="n">
        <f aca="false">SUMIFS('SALES Raw'!$E$6:$E$4467,'SALES Raw'!$J$6:$J$4467,$J843,'SALES Raw'!$K$6:$K$4467,"Y")*$H$4+SUMIFS('CEMIUP0.9 Raw'!$F$6:$F$1712,'CEMIUP0.9 Raw'!$B$6:$B$1712,$J843,'CEMIUP0.9 Raw'!$H$6:$H$1712,"Y")</f>
        <v>0</v>
      </c>
      <c r="G843" s="19" t="n">
        <f aca="false">SUMIFS('SALES Raw'!$F$6:$F$4467,'SALES Raw'!$J$6:$J$4467,$J843,'SALES Raw'!$K$6:$K$4467,"Y")*$H$4+SUMIFS('CEMIUP0.9 Raw'!$G$6:$G$1712,'CEMIUP0.9 Raw'!$B$6:$B$1712,$J843,'CEMIUP0.9 Raw'!$H$6:$H$1712,"Y")</f>
        <v>0</v>
      </c>
      <c r="H843" s="18" t="s">
        <v>46</v>
      </c>
      <c r="I843" s="18" t="s">
        <v>48</v>
      </c>
      <c r="J843" s="18" t="s">
        <v>406</v>
      </c>
    </row>
    <row r="844" customFormat="false" ht="15" hidden="false" customHeight="false" outlineLevel="0" collapsed="false">
      <c r="A844" s="18" t="str">
        <f aca="false">IF(ISNUMBER($J844),$J844,"")</f>
        <v/>
      </c>
      <c r="B844" s="18" t="str">
        <f aca="false">IFERROR(INDEX('SALES Raw'!$B$6:$B$4467,MATCH($J844,'SALES Raw'!$J$6:$J$4467,0)),IFERROR(INDEX('CEMIUP0.9 Raw'!$B$6:$B$1712,MATCH($J844,'CEMIUP0.9 Raw'!$B$6:$B$1712,0)),$J844))</f>
        <v>397-35-38</v>
      </c>
      <c r="C844" s="18" t="str">
        <f aca="false">IF(ISNUMBER($J844),IFERROR(INDEX('TRANS'!$C:$C,MATCH($J844,'TRANS'!$B:$B,0)),IFERROR(INDEX('Catalog'!$B:$B,MATCH($J844,'Catalog'!$A:$A,0)),$B844)),$B844)</f>
        <v>397-35-38</v>
      </c>
      <c r="D844" s="19" t="n">
        <f aca="false">SUMIFS('SALES Raw'!$C$6:$C$4467,'SALES Raw'!$J$6:$J$4467,$J844,'SALES Raw'!$K$6:$K$4467,"Y")+SUMIFS('CEMIUP0.9 Raw'!$D$6:$D$1712,'CEMIUP0.9 Raw'!$B$6:$B$1712,$J844,'CEMIUP0.9 Raw'!$H$6:$H$1712,"Y")</f>
        <v>147</v>
      </c>
      <c r="E844" s="19" t="n">
        <f aca="false">SUMIFS('SALES Raw'!$D$6:$D$4467,'SALES Raw'!$J$6:$J$4467,$J844,'SALES Raw'!$K$6:$K$4467,"Y")+SUMIFS('CEMIUP0.9 Raw'!$E$6:$E$1712,'CEMIUP0.9 Raw'!$B$6:$B$1712,$J844,'CEMIUP0.9 Raw'!$H$6:$H$1712,"Y")</f>
        <v>12612.4</v>
      </c>
      <c r="F844" s="19" t="n">
        <f aca="false">SUMIFS('SALES Raw'!$E$6:$E$4467,'SALES Raw'!$J$6:$J$4467,$J844,'SALES Raw'!$K$6:$K$4467,"Y")*$H$4+SUMIFS('CEMIUP0.9 Raw'!$F$6:$F$1712,'CEMIUP0.9 Raw'!$B$6:$B$1712,$J844,'CEMIUP0.9 Raw'!$H$6:$H$1712,"Y")</f>
        <v>0</v>
      </c>
      <c r="G844" s="19" t="n">
        <f aca="false">SUMIFS('SALES Raw'!$F$6:$F$4467,'SALES Raw'!$J$6:$J$4467,$J844,'SALES Raw'!$K$6:$K$4467,"Y")*$H$4+SUMIFS('CEMIUP0.9 Raw'!$G$6:$G$1712,'CEMIUP0.9 Raw'!$B$6:$B$1712,$J844,'CEMIUP0.9 Raw'!$H$6:$H$1712,"Y")</f>
        <v>0</v>
      </c>
      <c r="H844" s="18" t="s">
        <v>46</v>
      </c>
      <c r="I844" s="18" t="s">
        <v>44</v>
      </c>
      <c r="J844" s="18" t="s">
        <v>407</v>
      </c>
    </row>
    <row r="845" customFormat="false" ht="15" hidden="false" customHeight="false" outlineLevel="0" collapsed="false">
      <c r="A845" s="18" t="str">
        <f aca="false">IF(ISNUMBER($J845),$J845,"")</f>
        <v/>
      </c>
      <c r="B845" s="18" t="str">
        <f aca="false">IFERROR(INDEX('SALES Raw'!$B$6:$B$4467,MATCH($J845,'SALES Raw'!$J$6:$J$4467,0)),IFERROR(INDEX('CEMIUP0.9 Raw'!$B$6:$B$1712,MATCH($J845,'CEMIUP0.9 Raw'!$B$6:$B$1712,0)),$J845))</f>
        <v>397-43-46</v>
      </c>
      <c r="C845" s="18" t="str">
        <f aca="false">IF(ISNUMBER($J845),IFERROR(INDEX('TRANS'!$C:$C,MATCH($J845,'TRANS'!$B:$B,0)),IFERROR(INDEX('Catalog'!$B:$B,MATCH($J845,'Catalog'!$A:$A,0)),$B845)),$B845)</f>
        <v>397-43-46</v>
      </c>
      <c r="D845" s="19" t="n">
        <f aca="false">SUMIFS('SALES Raw'!$C$6:$C$4467,'SALES Raw'!$J$6:$J$4467,$J845,'SALES Raw'!$K$6:$K$4467,"Y")+SUMIFS('CEMIUP0.9 Raw'!$D$6:$D$1712,'CEMIUP0.9 Raw'!$B$6:$B$1712,$J845,'CEMIUP0.9 Raw'!$H$6:$H$1712,"Y")</f>
        <v>271</v>
      </c>
      <c r="E845" s="19" t="n">
        <f aca="false">SUMIFS('SALES Raw'!$D$6:$D$4467,'SALES Raw'!$J$6:$J$4467,$J845,'SALES Raw'!$K$6:$K$4467,"Y")+SUMIFS('CEMIUP0.9 Raw'!$E$6:$E$1712,'CEMIUP0.9 Raw'!$B$6:$B$1712,$J845,'CEMIUP0.9 Raw'!$H$6:$H$1712,"Y")</f>
        <v>22460.22</v>
      </c>
      <c r="F845" s="19" t="n">
        <f aca="false">SUMIFS('SALES Raw'!$E$6:$E$4467,'SALES Raw'!$J$6:$J$4467,$J845,'SALES Raw'!$K$6:$K$4467,"Y")*$H$4+SUMIFS('CEMIUP0.9 Raw'!$F$6:$F$1712,'CEMIUP0.9 Raw'!$B$6:$B$1712,$J845,'CEMIUP0.9 Raw'!$H$6:$H$1712,"Y")</f>
        <v>0</v>
      </c>
      <c r="G845" s="19" t="n">
        <f aca="false">SUMIFS('SALES Raw'!$F$6:$F$4467,'SALES Raw'!$J$6:$J$4467,$J845,'SALES Raw'!$K$6:$K$4467,"Y")*$H$4+SUMIFS('CEMIUP0.9 Raw'!$G$6:$G$1712,'CEMIUP0.9 Raw'!$B$6:$B$1712,$J845,'CEMIUP0.9 Raw'!$H$6:$H$1712,"Y")</f>
        <v>0</v>
      </c>
      <c r="H845" s="18" t="s">
        <v>46</v>
      </c>
      <c r="I845" s="18" t="s">
        <v>44</v>
      </c>
      <c r="J845" s="18" t="s">
        <v>408</v>
      </c>
    </row>
    <row r="846" customFormat="false" ht="15" hidden="false" customHeight="false" outlineLevel="0" collapsed="false">
      <c r="A846" s="18" t="str">
        <f aca="false">IF(ISNUMBER($J846),$J846,"")</f>
        <v/>
      </c>
      <c r="B846" s="18" t="str">
        <f aca="false">IFERROR(INDEX('SALES Raw'!$B$6:$B$4467,MATCH($J846,'SALES Raw'!$J$6:$J$4467,0)),IFERROR(INDEX('CEMIUP0.9 Raw'!$B$6:$B$1712,MATCH($J846,'CEMIUP0.9 Raw'!$B$6:$B$1712,0)),$J846))</f>
        <v>59L XXL</v>
      </c>
      <c r="C846" s="18" t="str">
        <f aca="false">IF(ISNUMBER($J846),IFERROR(INDEX('TRANS'!$C:$C,MATCH($J846,'TRANS'!$B:$B,0)),IFERROR(INDEX('Catalog'!$B:$B,MATCH($J846,'Catalog'!$A:$A,0)),$B846)),$B846)</f>
        <v>59L XXL</v>
      </c>
      <c r="D846" s="19" t="n">
        <f aca="false">SUMIFS('SALES Raw'!$C$6:$C$4467,'SALES Raw'!$J$6:$J$4467,$J846,'SALES Raw'!$K$6:$K$4467,"Y")+SUMIFS('CEMIUP0.9 Raw'!$D$6:$D$1712,'CEMIUP0.9 Raw'!$B$6:$B$1712,$J846,'CEMIUP0.9 Raw'!$H$6:$H$1712,"Y")</f>
        <v>3</v>
      </c>
      <c r="E846" s="19" t="n">
        <f aca="false">SUMIFS('SALES Raw'!$D$6:$D$4467,'SALES Raw'!$J$6:$J$4467,$J846,'SALES Raw'!$K$6:$K$4467,"Y")+SUMIFS('CEMIUP0.9 Raw'!$E$6:$E$1712,'CEMIUP0.9 Raw'!$B$6:$B$1712,$J846,'CEMIUP0.9 Raw'!$H$6:$H$1712,"Y")</f>
        <v>452.45</v>
      </c>
      <c r="F846" s="19" t="n">
        <f aca="false">SUMIFS('SALES Raw'!$E$6:$E$4467,'SALES Raw'!$J$6:$J$4467,$J846,'SALES Raw'!$K$6:$K$4467,"Y")*$H$4+SUMIFS('CEMIUP0.9 Raw'!$F$6:$F$1712,'CEMIUP0.9 Raw'!$B$6:$B$1712,$J846,'CEMIUP0.9 Raw'!$H$6:$H$1712,"Y")</f>
        <v>0</v>
      </c>
      <c r="G846" s="19" t="n">
        <f aca="false">SUMIFS('SALES Raw'!$F$6:$F$4467,'SALES Raw'!$J$6:$J$4467,$J846,'SALES Raw'!$K$6:$K$4467,"Y")*$H$4+SUMIFS('CEMIUP0.9 Raw'!$G$6:$G$1712,'CEMIUP0.9 Raw'!$B$6:$B$1712,$J846,'CEMIUP0.9 Raw'!$H$6:$H$1712,"Y")</f>
        <v>0</v>
      </c>
      <c r="H846" s="18" t="s">
        <v>46</v>
      </c>
      <c r="I846" s="18" t="s">
        <v>44</v>
      </c>
      <c r="J846" s="18" t="s">
        <v>409</v>
      </c>
    </row>
    <row r="847" customFormat="false" ht="15" hidden="false" customHeight="false" outlineLevel="0" collapsed="false">
      <c r="A847" s="18" t="str">
        <f aca="false">IF(ISNUMBER($J847),$J847,"")</f>
        <v/>
      </c>
      <c r="B847" s="18" t="str">
        <f aca="false">IFERROR(INDEX('SALES Raw'!$B$6:$B$4467,MATCH($J847,'SALES Raw'!$J$6:$J$4467,0)),IFERROR(INDEX('CEMIUP0.9 Raw'!$B$6:$B$1712,MATCH($J847,'CEMIUP0.9 Raw'!$B$6:$B$1712,0)),$J847))</f>
        <v>776 L</v>
      </c>
      <c r="C847" s="18" t="str">
        <f aca="false">IF(ISNUMBER($J847),IFERROR(INDEX('TRANS'!$C:$C,MATCH($J847,'TRANS'!$B:$B,0)),IFERROR(INDEX('Catalog'!$B:$B,MATCH($J847,'Catalog'!$A:$A,0)),$B847)),$B847)</f>
        <v>776 L</v>
      </c>
      <c r="D847" s="19" t="n">
        <f aca="false">SUMIFS('SALES Raw'!$C$6:$C$4467,'SALES Raw'!$J$6:$J$4467,$J847,'SALES Raw'!$K$6:$K$4467,"Y")+SUMIFS('CEMIUP0.9 Raw'!$D$6:$D$1712,'CEMIUP0.9 Raw'!$B$6:$B$1712,$J847,'CEMIUP0.9 Raw'!$H$6:$H$1712,"Y")</f>
        <v>18</v>
      </c>
      <c r="E847" s="19" t="n">
        <f aca="false">SUMIFS('SALES Raw'!$D$6:$D$4467,'SALES Raw'!$J$6:$J$4467,$J847,'SALES Raw'!$K$6:$K$4467,"Y")+SUMIFS('CEMIUP0.9 Raw'!$E$6:$E$1712,'CEMIUP0.9 Raw'!$B$6:$B$1712,$J847,'CEMIUP0.9 Raw'!$H$6:$H$1712,"Y")</f>
        <v>8472.08</v>
      </c>
      <c r="F847" s="19" t="n">
        <f aca="false">SUMIFS('SALES Raw'!$E$6:$E$4467,'SALES Raw'!$J$6:$J$4467,$J847,'SALES Raw'!$K$6:$K$4467,"Y")*$H$4+SUMIFS('CEMIUP0.9 Raw'!$F$6:$F$1712,'CEMIUP0.9 Raw'!$B$6:$B$1712,$J847,'CEMIUP0.9 Raw'!$H$6:$H$1712,"Y")</f>
        <v>0</v>
      </c>
      <c r="G847" s="19" t="n">
        <f aca="false">SUMIFS('SALES Raw'!$F$6:$F$4467,'SALES Raw'!$J$6:$J$4467,$J847,'SALES Raw'!$K$6:$K$4467,"Y")*$H$4+SUMIFS('CEMIUP0.9 Raw'!$G$6:$G$1712,'CEMIUP0.9 Raw'!$B$6:$B$1712,$J847,'CEMIUP0.9 Raw'!$H$6:$H$1712,"Y")</f>
        <v>0</v>
      </c>
      <c r="H847" s="18" t="s">
        <v>44</v>
      </c>
      <c r="I847" s="18" t="s">
        <v>42</v>
      </c>
      <c r="J847" s="18" t="s">
        <v>410</v>
      </c>
    </row>
    <row r="848" customFormat="false" ht="15" hidden="false" customHeight="false" outlineLevel="0" collapsed="false">
      <c r="A848" s="18" t="str">
        <f aca="false">IF(ISNUMBER($J848),$J848,"")</f>
        <v/>
      </c>
      <c r="B848" s="18" t="str">
        <f aca="false">IFERROR(INDEX('SALES Raw'!$B$6:$B$4467,MATCH($J848,'SALES Raw'!$J$6:$J$4467,0)),IFERROR(INDEX('CEMIUP0.9 Raw'!$B$6:$B$1712,MATCH($J848,'CEMIUP0.9 Raw'!$B$6:$B$1712,0)),$J848))</f>
        <v>78A XXXL</v>
      </c>
      <c r="C848" s="18" t="str">
        <f aca="false">IF(ISNUMBER($J848),IFERROR(INDEX('TRANS'!$C:$C,MATCH($J848,'TRANS'!$B:$B,0)),IFERROR(INDEX('Catalog'!$B:$B,MATCH($J848,'Catalog'!$A:$A,0)),$B848)),$B848)</f>
        <v>78A XXXL</v>
      </c>
      <c r="D848" s="19" t="n">
        <f aca="false">SUMIFS('SALES Raw'!$C$6:$C$4467,'SALES Raw'!$J$6:$J$4467,$J848,'SALES Raw'!$K$6:$K$4467,"Y")+SUMIFS('CEMIUP0.9 Raw'!$D$6:$D$1712,'CEMIUP0.9 Raw'!$B$6:$B$1712,$J848,'CEMIUP0.9 Raw'!$H$6:$H$1712,"Y")</f>
        <v>1</v>
      </c>
      <c r="E848" s="19" t="n">
        <f aca="false">SUMIFS('SALES Raw'!$D$6:$D$4467,'SALES Raw'!$J$6:$J$4467,$J848,'SALES Raw'!$K$6:$K$4467,"Y")+SUMIFS('CEMIUP0.9 Raw'!$E$6:$E$1712,'CEMIUP0.9 Raw'!$B$6:$B$1712,$J848,'CEMIUP0.9 Raw'!$H$6:$H$1712,"Y")</f>
        <v>165.41</v>
      </c>
      <c r="F848" s="19" t="n">
        <f aca="false">SUMIFS('SALES Raw'!$E$6:$E$4467,'SALES Raw'!$J$6:$J$4467,$J848,'SALES Raw'!$K$6:$K$4467,"Y")*$H$4+SUMIFS('CEMIUP0.9 Raw'!$F$6:$F$1712,'CEMIUP0.9 Raw'!$B$6:$B$1712,$J848,'CEMIUP0.9 Raw'!$H$6:$H$1712,"Y")</f>
        <v>0</v>
      </c>
      <c r="G848" s="19" t="n">
        <f aca="false">SUMIFS('SALES Raw'!$F$6:$F$4467,'SALES Raw'!$J$6:$J$4467,$J848,'SALES Raw'!$K$6:$K$4467,"Y")*$H$4+SUMIFS('CEMIUP0.9 Raw'!$G$6:$G$1712,'CEMIUP0.9 Raw'!$B$6:$B$1712,$J848,'CEMIUP0.9 Raw'!$H$6:$H$1712,"Y")</f>
        <v>0</v>
      </c>
      <c r="H848" s="18" t="s">
        <v>46</v>
      </c>
      <c r="I848" s="18"/>
      <c r="J848" s="18" t="s">
        <v>411</v>
      </c>
    </row>
    <row r="849" customFormat="false" ht="15" hidden="false" customHeight="false" outlineLevel="0" collapsed="false">
      <c r="A849" s="18" t="str">
        <f aca="false">IF(ISNUMBER($J849),$J849,"")</f>
        <v/>
      </c>
      <c r="B849" s="18" t="str">
        <f aca="false">IFERROR(INDEX('SALES Raw'!$B$6:$B$4467,MATCH($J849,'SALES Raw'!$J$6:$J$4467,0)),IFERROR(INDEX('CEMIUP0.9 Raw'!$B$6:$B$1712,MATCH($J849,'CEMIUP0.9 Raw'!$B$6:$B$1712,0)),$J849))</f>
        <v>T28 M</v>
      </c>
      <c r="C849" s="18" t="str">
        <f aca="false">IF(ISNUMBER($J849),IFERROR(INDEX('TRANS'!$C:$C,MATCH($J849,'TRANS'!$B:$B,0)),IFERROR(INDEX('Catalog'!$B:$B,MATCH($J849,'Catalog'!$A:$A,0)),$B849)),$B849)</f>
        <v>T28 M</v>
      </c>
      <c r="D849" s="19" t="n">
        <f aca="false">SUMIFS('SALES Raw'!$C$6:$C$4467,'SALES Raw'!$J$6:$J$4467,$J849,'SALES Raw'!$K$6:$K$4467,"Y")+SUMIFS('CEMIUP0.9 Raw'!$D$6:$D$1712,'CEMIUP0.9 Raw'!$B$6:$B$1712,$J849,'CEMIUP0.9 Raw'!$H$6:$H$1712,"Y")</f>
        <v>1</v>
      </c>
      <c r="E849" s="19" t="n">
        <f aca="false">SUMIFS('SALES Raw'!$D$6:$D$4467,'SALES Raw'!$J$6:$J$4467,$J849,'SALES Raw'!$K$6:$K$4467,"Y")+SUMIFS('CEMIUP0.9 Raw'!$E$6:$E$1712,'CEMIUP0.9 Raw'!$B$6:$B$1712,$J849,'CEMIUP0.9 Raw'!$H$6:$H$1712,"Y")</f>
        <v>70.86</v>
      </c>
      <c r="F849" s="19" t="n">
        <f aca="false">SUMIFS('SALES Raw'!$E$6:$E$4467,'SALES Raw'!$J$6:$J$4467,$J849,'SALES Raw'!$K$6:$K$4467,"Y")*$H$4+SUMIFS('CEMIUP0.9 Raw'!$F$6:$F$1712,'CEMIUP0.9 Raw'!$B$6:$B$1712,$J849,'CEMIUP0.9 Raw'!$H$6:$H$1712,"Y")</f>
        <v>0</v>
      </c>
      <c r="G849" s="19" t="n">
        <f aca="false">SUMIFS('SALES Raw'!$F$6:$F$4467,'SALES Raw'!$J$6:$J$4467,$J849,'SALES Raw'!$K$6:$K$4467,"Y")*$H$4+SUMIFS('CEMIUP0.9 Raw'!$G$6:$G$1712,'CEMIUP0.9 Raw'!$B$6:$B$1712,$J849,'CEMIUP0.9 Raw'!$H$6:$H$1712,"Y")</f>
        <v>0</v>
      </c>
      <c r="H849" s="18" t="s">
        <v>46</v>
      </c>
      <c r="I849" s="18"/>
      <c r="J849" s="18" t="s">
        <v>412</v>
      </c>
    </row>
    <row r="850" customFormat="false" ht="15" hidden="false" customHeight="false" outlineLevel="0" collapsed="false">
      <c r="A850" s="18" t="str">
        <f aca="false">IF(ISNUMBER($J850),$J850,"")</f>
        <v/>
      </c>
      <c r="B850" s="18" t="str">
        <f aca="false">IFERROR(INDEX('SALES Raw'!$B$6:$B$4467,MATCH($J850,'SALES Raw'!$J$6:$J$4467,0)),IFERROR(INDEX('CEMIUP0.9 Raw'!$B$6:$B$1712,MATCH($J850,'CEMIUP0.9 Raw'!$B$6:$B$1712,0)),$J850))</f>
        <v>T40 0</v>
      </c>
      <c r="C850" s="18" t="str">
        <f aca="false">IF(ISNUMBER($J850),IFERROR(INDEX('TRANS'!$C:$C,MATCH($J850,'TRANS'!$B:$B,0)),IFERROR(INDEX('Catalog'!$B:$B,MATCH($J850,'Catalog'!$A:$A,0)),$B850)),$B850)</f>
        <v>T40 0</v>
      </c>
      <c r="D850" s="19" t="n">
        <f aca="false">SUMIFS('SALES Raw'!$C$6:$C$4467,'SALES Raw'!$J$6:$J$4467,$J850,'SALES Raw'!$K$6:$K$4467,"Y")+SUMIFS('CEMIUP0.9 Raw'!$D$6:$D$1712,'CEMIUP0.9 Raw'!$B$6:$B$1712,$J850,'CEMIUP0.9 Raw'!$H$6:$H$1712,"Y")</f>
        <v>2</v>
      </c>
      <c r="E850" s="19" t="n">
        <f aca="false">SUMIFS('SALES Raw'!$D$6:$D$4467,'SALES Raw'!$J$6:$J$4467,$J850,'SALES Raw'!$K$6:$K$4467,"Y")+SUMIFS('CEMIUP0.9 Raw'!$E$6:$E$1712,'CEMIUP0.9 Raw'!$B$6:$B$1712,$J850,'CEMIUP0.9 Raw'!$H$6:$H$1712,"Y")</f>
        <v>170.08</v>
      </c>
      <c r="F850" s="19" t="n">
        <f aca="false">SUMIFS('SALES Raw'!$E$6:$E$4467,'SALES Raw'!$J$6:$J$4467,$J850,'SALES Raw'!$K$6:$K$4467,"Y")*$H$4+SUMIFS('CEMIUP0.9 Raw'!$F$6:$F$1712,'CEMIUP0.9 Raw'!$B$6:$B$1712,$J850,'CEMIUP0.9 Raw'!$H$6:$H$1712,"Y")</f>
        <v>0</v>
      </c>
      <c r="G850" s="19" t="n">
        <f aca="false">SUMIFS('SALES Raw'!$F$6:$F$4467,'SALES Raw'!$J$6:$J$4467,$J850,'SALES Raw'!$K$6:$K$4467,"Y")*$H$4+SUMIFS('CEMIUP0.9 Raw'!$G$6:$G$1712,'CEMIUP0.9 Raw'!$B$6:$B$1712,$J850,'CEMIUP0.9 Raw'!$H$6:$H$1712,"Y")</f>
        <v>0</v>
      </c>
      <c r="H850" s="18" t="s">
        <v>46</v>
      </c>
      <c r="I850" s="18"/>
      <c r="J850" s="18" t="s">
        <v>413</v>
      </c>
    </row>
    <row r="851" customFormat="false" ht="15" hidden="false" customHeight="false" outlineLevel="0" collapsed="false">
      <c r="A851" s="18" t="str">
        <f aca="false">IF(ISNUMBER($J851),$J851,"")</f>
        <v/>
      </c>
      <c r="B851" s="18" t="str">
        <f aca="false">IFERROR(INDEX('SALES Raw'!$B$6:$B$4467,MATCH($J851,'SALES Raw'!$J$6:$J$4467,0)),IFERROR(INDEX('CEMIUP0.9 Raw'!$B$6:$B$1712,MATCH($J851,'CEMIUP0.9 Raw'!$B$6:$B$1712,0)),$J851))</f>
        <v>T49 S</v>
      </c>
      <c r="C851" s="18" t="str">
        <f aca="false">IF(ISNUMBER($J851),IFERROR(INDEX('TRANS'!$C:$C,MATCH($J851,'TRANS'!$B:$B,0)),IFERROR(INDEX('Catalog'!$B:$B,MATCH($J851,'Catalog'!$A:$A,0)),$B851)),$B851)</f>
        <v>T49 S</v>
      </c>
      <c r="D851" s="19" t="n">
        <f aca="false">SUMIFS('SALES Raw'!$C$6:$C$4467,'SALES Raw'!$J$6:$J$4467,$J851,'SALES Raw'!$K$6:$K$4467,"Y")+SUMIFS('CEMIUP0.9 Raw'!$D$6:$D$1712,'CEMIUP0.9 Raw'!$B$6:$B$1712,$J851,'CEMIUP0.9 Raw'!$H$6:$H$1712,"Y")</f>
        <v>2</v>
      </c>
      <c r="E851" s="19" t="n">
        <f aca="false">SUMIFS('SALES Raw'!$D$6:$D$4467,'SALES Raw'!$J$6:$J$4467,$J851,'SALES Raw'!$K$6:$K$4467,"Y")+SUMIFS('CEMIUP0.9 Raw'!$E$6:$E$1712,'CEMIUP0.9 Raw'!$B$6:$B$1712,$J851,'CEMIUP0.9 Raw'!$H$6:$H$1712,"Y")</f>
        <v>164.61</v>
      </c>
      <c r="F851" s="19" t="n">
        <f aca="false">SUMIFS('SALES Raw'!$E$6:$E$4467,'SALES Raw'!$J$6:$J$4467,$J851,'SALES Raw'!$K$6:$K$4467,"Y")*$H$4+SUMIFS('CEMIUP0.9 Raw'!$F$6:$F$1712,'CEMIUP0.9 Raw'!$B$6:$B$1712,$J851,'CEMIUP0.9 Raw'!$H$6:$H$1712,"Y")</f>
        <v>0</v>
      </c>
      <c r="G851" s="19" t="n">
        <f aca="false">SUMIFS('SALES Raw'!$F$6:$F$4467,'SALES Raw'!$J$6:$J$4467,$J851,'SALES Raw'!$K$6:$K$4467,"Y")*$H$4+SUMIFS('CEMIUP0.9 Raw'!$G$6:$G$1712,'CEMIUP0.9 Raw'!$B$6:$B$1712,$J851,'CEMIUP0.9 Raw'!$H$6:$H$1712,"Y")</f>
        <v>0</v>
      </c>
      <c r="H851" s="18" t="s">
        <v>46</v>
      </c>
      <c r="I851" s="18" t="s">
        <v>44</v>
      </c>
      <c r="J851" s="18" t="s">
        <v>414</v>
      </c>
    </row>
    <row r="852" customFormat="false" ht="15" hidden="false" customHeight="false" outlineLevel="0" collapsed="false">
      <c r="A852" s="18" t="str">
        <f aca="false">IF(ISNUMBER($J852),$J852,"")</f>
        <v/>
      </c>
      <c r="B852" s="18" t="str">
        <f aca="false">IFERROR(INDEX('SALES Raw'!$B$6:$B$4467,MATCH($J852,'SALES Raw'!$J$6:$J$4467,0)),IFERROR(INDEX('CEMIUP0.9 Raw'!$B$6:$B$1712,MATCH($J852,'CEMIUP0.9 Raw'!$B$6:$B$1712,0)),$J852))</f>
        <v>T91-S-M</v>
      </c>
      <c r="C852" s="18" t="str">
        <f aca="false">IF(ISNUMBER($J852),IFERROR(INDEX('TRANS'!$C:$C,MATCH($J852,'TRANS'!$B:$B,0)),IFERROR(INDEX('Catalog'!$B:$B,MATCH($J852,'Catalog'!$A:$A,0)),$B852)),$B852)</f>
        <v>T91-S-M</v>
      </c>
      <c r="D852" s="19" t="n">
        <f aca="false">SUMIFS('SALES Raw'!$C$6:$C$4467,'SALES Raw'!$J$6:$J$4467,$J852,'SALES Raw'!$K$6:$K$4467,"Y")+SUMIFS('CEMIUP0.9 Raw'!$D$6:$D$1712,'CEMIUP0.9 Raw'!$B$6:$B$1712,$J852,'CEMIUP0.9 Raw'!$H$6:$H$1712,"Y")</f>
        <v>1</v>
      </c>
      <c r="E852" s="19" t="n">
        <f aca="false">SUMIFS('SALES Raw'!$D$6:$D$4467,'SALES Raw'!$J$6:$J$4467,$J852,'SALES Raw'!$K$6:$K$4467,"Y")+SUMIFS('CEMIUP0.9 Raw'!$E$6:$E$1712,'CEMIUP0.9 Raw'!$B$6:$B$1712,$J852,'CEMIUP0.9 Raw'!$H$6:$H$1712,"Y")</f>
        <v>56.67</v>
      </c>
      <c r="F852" s="19" t="n">
        <f aca="false">SUMIFS('SALES Raw'!$E$6:$E$4467,'SALES Raw'!$J$6:$J$4467,$J852,'SALES Raw'!$K$6:$K$4467,"Y")*$H$4+SUMIFS('CEMIUP0.9 Raw'!$F$6:$F$1712,'CEMIUP0.9 Raw'!$B$6:$B$1712,$J852,'CEMIUP0.9 Raw'!$H$6:$H$1712,"Y")</f>
        <v>0</v>
      </c>
      <c r="G852" s="19" t="n">
        <f aca="false">SUMIFS('SALES Raw'!$F$6:$F$4467,'SALES Raw'!$J$6:$J$4467,$J852,'SALES Raw'!$K$6:$K$4467,"Y")*$H$4+SUMIFS('CEMIUP0.9 Raw'!$G$6:$G$1712,'CEMIUP0.9 Raw'!$B$6:$B$1712,$J852,'CEMIUP0.9 Raw'!$H$6:$H$1712,"Y")</f>
        <v>0</v>
      </c>
      <c r="H852" s="18" t="s">
        <v>46</v>
      </c>
      <c r="I852" s="18"/>
      <c r="J852" s="18" t="s">
        <v>415</v>
      </c>
    </row>
    <row r="853" customFormat="false" ht="15" hidden="false" customHeight="false" outlineLevel="0" collapsed="false">
      <c r="A853" s="18" t="str">
        <f aca="false">IF(ISNUMBER($J853),$J853,"")</f>
        <v/>
      </c>
      <c r="B853" s="18" t="str">
        <f aca="false">IFERROR(INDEX('SALES Raw'!$B$6:$B$4467,MATCH($J853,'SALES Raw'!$J$6:$J$4467,0)),IFERROR(INDEX('CEMIUP0.9 Raw'!$B$6:$B$1712,MATCH($J853,'CEMIUP0.9 Raw'!$B$6:$B$1712,0)),$J853))</f>
        <v>301JM-41-45</v>
      </c>
      <c r="C853" s="18" t="str">
        <f aca="false">IF(ISNUMBER($J853),IFERROR(INDEX('TRANS'!$C:$C,MATCH($J853,'TRANS'!$B:$B,0)),IFERROR(INDEX('Catalog'!$B:$B,MATCH($J853,'Catalog'!$A:$A,0)),$B853)),$B853)</f>
        <v>301JM-41-45</v>
      </c>
      <c r="D853" s="19" t="n">
        <f aca="false">SUMIFS('SALES Raw'!$C$6:$C$4467,'SALES Raw'!$J$6:$J$4467,$J853,'SALES Raw'!$K$6:$K$4467,"Y")+SUMIFS('CEMIUP0.9 Raw'!$D$6:$D$1712,'CEMIUP0.9 Raw'!$B$6:$B$1712,$J853,'CEMIUP0.9 Raw'!$H$6:$H$1712,"Y")</f>
        <v>2</v>
      </c>
      <c r="E853" s="19" t="n">
        <f aca="false">SUMIFS('SALES Raw'!$D$6:$D$4467,'SALES Raw'!$J$6:$J$4467,$J853,'SALES Raw'!$K$6:$K$4467,"Y")+SUMIFS('CEMIUP0.9 Raw'!$E$6:$E$1712,'CEMIUP0.9 Raw'!$B$6:$B$1712,$J853,'CEMIUP0.9 Raw'!$H$6:$H$1712,"Y")</f>
        <v>174.18</v>
      </c>
      <c r="F853" s="19" t="n">
        <f aca="false">SUMIFS('SALES Raw'!$E$6:$E$4467,'SALES Raw'!$J$6:$J$4467,$J853,'SALES Raw'!$K$6:$K$4467,"Y")*$H$4+SUMIFS('CEMIUP0.9 Raw'!$F$6:$F$1712,'CEMIUP0.9 Raw'!$B$6:$B$1712,$J853,'CEMIUP0.9 Raw'!$H$6:$H$1712,"Y")</f>
        <v>0</v>
      </c>
      <c r="G853" s="19" t="n">
        <f aca="false">SUMIFS('SALES Raw'!$F$6:$F$4467,'SALES Raw'!$J$6:$J$4467,$J853,'SALES Raw'!$K$6:$K$4467,"Y")*$H$4+SUMIFS('CEMIUP0.9 Raw'!$G$6:$G$1712,'CEMIUP0.9 Raw'!$B$6:$B$1712,$J853,'CEMIUP0.9 Raw'!$H$6:$H$1712,"Y")</f>
        <v>0</v>
      </c>
      <c r="H853" s="18" t="s">
        <v>46</v>
      </c>
      <c r="I853" s="18" t="s">
        <v>42</v>
      </c>
      <c r="J853" s="18" t="s">
        <v>416</v>
      </c>
    </row>
    <row r="854" customFormat="false" ht="15" hidden="false" customHeight="false" outlineLevel="0" collapsed="false">
      <c r="A854" s="18" t="str">
        <f aca="false">IF(ISNUMBER($J854),$J854,"")</f>
        <v/>
      </c>
      <c r="B854" s="18" t="str">
        <f aca="false">IFERROR(INDEX('SALES Raw'!$B$6:$B$4467,MATCH($J854,'SALES Raw'!$J$6:$J$4467,0)),IFERROR(INDEX('CEMIUP0.9 Raw'!$B$6:$B$1712,MATCH($J854,'CEMIUP0.9 Raw'!$B$6:$B$1712,0)),$J854))</f>
        <v>377-36</v>
      </c>
      <c r="C854" s="18" t="str">
        <f aca="false">IF(ISNUMBER($J854),IFERROR(INDEX('TRANS'!$C:$C,MATCH($J854,'TRANS'!$B:$B,0)),IFERROR(INDEX('Catalog'!$B:$B,MATCH($J854,'Catalog'!$A:$A,0)),$B854)),$B854)</f>
        <v>377-36</v>
      </c>
      <c r="D854" s="19" t="n">
        <f aca="false">SUMIFS('SALES Raw'!$C$6:$C$4467,'SALES Raw'!$J$6:$J$4467,$J854,'SALES Raw'!$K$6:$K$4467,"Y")+SUMIFS('CEMIUP0.9 Raw'!$D$6:$D$1712,'CEMIUP0.9 Raw'!$B$6:$B$1712,$J854,'CEMIUP0.9 Raw'!$H$6:$H$1712,"Y")</f>
        <v>3</v>
      </c>
      <c r="E854" s="19" t="n">
        <f aca="false">SUMIFS('SALES Raw'!$D$6:$D$4467,'SALES Raw'!$J$6:$J$4467,$J854,'SALES Raw'!$K$6:$K$4467,"Y")+SUMIFS('CEMIUP0.9 Raw'!$E$6:$E$1712,'CEMIUP0.9 Raw'!$B$6:$B$1712,$J854,'CEMIUP0.9 Raw'!$H$6:$H$1712,"Y")</f>
        <v>127.82</v>
      </c>
      <c r="F854" s="19" t="n">
        <f aca="false">SUMIFS('SALES Raw'!$E$6:$E$4467,'SALES Raw'!$J$6:$J$4467,$J854,'SALES Raw'!$K$6:$K$4467,"Y")*$H$4+SUMIFS('CEMIUP0.9 Raw'!$F$6:$F$1712,'CEMIUP0.9 Raw'!$B$6:$B$1712,$J854,'CEMIUP0.9 Raw'!$H$6:$H$1712,"Y")</f>
        <v>0</v>
      </c>
      <c r="G854" s="19" t="n">
        <f aca="false">SUMIFS('SALES Raw'!$F$6:$F$4467,'SALES Raw'!$J$6:$J$4467,$J854,'SALES Raw'!$K$6:$K$4467,"Y")*$H$4+SUMIFS('CEMIUP0.9 Raw'!$G$6:$G$1712,'CEMIUP0.9 Raw'!$B$6:$B$1712,$J854,'CEMIUP0.9 Raw'!$H$6:$H$1712,"Y")</f>
        <v>0</v>
      </c>
      <c r="H854" s="18" t="s">
        <v>46</v>
      </c>
      <c r="I854" s="18"/>
      <c r="J854" s="18" t="s">
        <v>417</v>
      </c>
    </row>
    <row r="855" customFormat="false" ht="15" hidden="false" customHeight="false" outlineLevel="0" collapsed="false">
      <c r="A855" s="18" t="str">
        <f aca="false">IF(ISNUMBER($J855),$J855,"")</f>
        <v/>
      </c>
      <c r="B855" s="18" t="str">
        <f aca="false">IFERROR(INDEX('SALES Raw'!$B$6:$B$4467,MATCH($J855,'SALES Raw'!$J$6:$J$4467,0)),IFERROR(INDEX('CEMIUP0.9 Raw'!$B$6:$B$1712,MATCH($J855,'CEMIUP0.9 Raw'!$B$6:$B$1712,0)),$J855))</f>
        <v>422EB XXL</v>
      </c>
      <c r="C855" s="18" t="str">
        <f aca="false">IF(ISNUMBER($J855),IFERROR(INDEX('TRANS'!$C:$C,MATCH($J855,'TRANS'!$B:$B,0)),IFERROR(INDEX('Catalog'!$B:$B,MATCH($J855,'Catalog'!$A:$A,0)),$B855)),$B855)</f>
        <v>422EB XXL</v>
      </c>
      <c r="D855" s="19" t="n">
        <f aca="false">SUMIFS('SALES Raw'!$C$6:$C$4467,'SALES Raw'!$J$6:$J$4467,$J855,'SALES Raw'!$K$6:$K$4467,"Y")+SUMIFS('CEMIUP0.9 Raw'!$D$6:$D$1712,'CEMIUP0.9 Raw'!$B$6:$B$1712,$J855,'CEMIUP0.9 Raw'!$H$6:$H$1712,"Y")</f>
        <v>3</v>
      </c>
      <c r="E855" s="19" t="n">
        <f aca="false">SUMIFS('SALES Raw'!$D$6:$D$4467,'SALES Raw'!$J$6:$J$4467,$J855,'SALES Raw'!$K$6:$K$4467,"Y")+SUMIFS('CEMIUP0.9 Raw'!$E$6:$E$1712,'CEMIUP0.9 Raw'!$B$6:$B$1712,$J855,'CEMIUP0.9 Raw'!$H$6:$H$1712,"Y")</f>
        <v>719</v>
      </c>
      <c r="F855" s="19" t="n">
        <f aca="false">SUMIFS('SALES Raw'!$E$6:$E$4467,'SALES Raw'!$J$6:$J$4467,$J855,'SALES Raw'!$K$6:$K$4467,"Y")*$H$4+SUMIFS('CEMIUP0.9 Raw'!$F$6:$F$1712,'CEMIUP0.9 Raw'!$B$6:$B$1712,$J855,'CEMIUP0.9 Raw'!$H$6:$H$1712,"Y")</f>
        <v>0</v>
      </c>
      <c r="G855" s="19" t="n">
        <f aca="false">SUMIFS('SALES Raw'!$F$6:$F$4467,'SALES Raw'!$J$6:$J$4467,$J855,'SALES Raw'!$K$6:$K$4467,"Y")*$H$4+SUMIFS('CEMIUP0.9 Raw'!$G$6:$G$1712,'CEMIUP0.9 Raw'!$B$6:$B$1712,$J855,'CEMIUP0.9 Raw'!$H$6:$H$1712,"Y")</f>
        <v>0</v>
      </c>
      <c r="H855" s="18" t="s">
        <v>46</v>
      </c>
      <c r="I855" s="18" t="s">
        <v>42</v>
      </c>
      <c r="J855" s="18" t="s">
        <v>418</v>
      </c>
    </row>
    <row r="856" customFormat="false" ht="15" hidden="false" customHeight="false" outlineLevel="0" collapsed="false">
      <c r="A856" s="18" t="str">
        <f aca="false">IF(ISNUMBER($J856),$J856,"")</f>
        <v/>
      </c>
      <c r="B856" s="18" t="str">
        <f aca="false">IFERROR(INDEX('SALES Raw'!$B$6:$B$4467,MATCH($J856,'SALES Raw'!$J$6:$J$4467,0)),IFERROR(INDEX('CEMIUP0.9 Raw'!$B$6:$B$1712,MATCH($J856,'CEMIUP0.9 Raw'!$B$6:$B$1712,0)),$J856))</f>
        <v>422EBD XL</v>
      </c>
      <c r="C856" s="18" t="str">
        <f aca="false">IF(ISNUMBER($J856),IFERROR(INDEX('TRANS'!$C:$C,MATCH($J856,'TRANS'!$B:$B,0)),IFERROR(INDEX('Catalog'!$B:$B,MATCH($J856,'Catalog'!$A:$A,0)),$B856)),$B856)</f>
        <v>422EBD XL</v>
      </c>
      <c r="D856" s="19" t="n">
        <f aca="false">SUMIFS('SALES Raw'!$C$6:$C$4467,'SALES Raw'!$J$6:$J$4467,$J856,'SALES Raw'!$K$6:$K$4467,"Y")+SUMIFS('CEMIUP0.9 Raw'!$D$6:$D$1712,'CEMIUP0.9 Raw'!$B$6:$B$1712,$J856,'CEMIUP0.9 Raw'!$H$6:$H$1712,"Y")</f>
        <v>2</v>
      </c>
      <c r="E856" s="19" t="n">
        <f aca="false">SUMIFS('SALES Raw'!$D$6:$D$4467,'SALES Raw'!$J$6:$J$4467,$J856,'SALES Raw'!$K$6:$K$4467,"Y")+SUMIFS('CEMIUP0.9 Raw'!$E$6:$E$1712,'CEMIUP0.9 Raw'!$B$6:$B$1712,$J856,'CEMIUP0.9 Raw'!$H$6:$H$1712,"Y")</f>
        <v>661.72</v>
      </c>
      <c r="F856" s="19" t="n">
        <f aca="false">SUMIFS('SALES Raw'!$E$6:$E$4467,'SALES Raw'!$J$6:$J$4467,$J856,'SALES Raw'!$K$6:$K$4467,"Y")*$H$4+SUMIFS('CEMIUP0.9 Raw'!$F$6:$F$1712,'CEMIUP0.9 Raw'!$B$6:$B$1712,$J856,'CEMIUP0.9 Raw'!$H$6:$H$1712,"Y")</f>
        <v>0</v>
      </c>
      <c r="G856" s="19" t="n">
        <f aca="false">SUMIFS('SALES Raw'!$F$6:$F$4467,'SALES Raw'!$J$6:$J$4467,$J856,'SALES Raw'!$K$6:$K$4467,"Y")*$H$4+SUMIFS('CEMIUP0.9 Raw'!$G$6:$G$1712,'CEMIUP0.9 Raw'!$B$6:$B$1712,$J856,'CEMIUP0.9 Raw'!$H$6:$H$1712,"Y")</f>
        <v>0</v>
      </c>
      <c r="H856" s="18" t="s">
        <v>46</v>
      </c>
      <c r="I856" s="18" t="s">
        <v>44</v>
      </c>
      <c r="J856" s="18" t="s">
        <v>419</v>
      </c>
    </row>
    <row r="857" customFormat="false" ht="15" hidden="false" customHeight="false" outlineLevel="0" collapsed="false">
      <c r="A857" s="18" t="str">
        <f aca="false">IF(ISNUMBER($J857),$J857,"")</f>
        <v/>
      </c>
      <c r="B857" s="18" t="str">
        <f aca="false">IFERROR(INDEX('SALES Raw'!$B$6:$B$4467,MATCH($J857,'SALES Raw'!$J$6:$J$4467,0)),IFERROR(INDEX('CEMIUP0.9 Raw'!$B$6:$B$1712,MATCH($J857,'CEMIUP0.9 Raw'!$B$6:$B$1712,0)),$J857))</f>
        <v>78AB L</v>
      </c>
      <c r="C857" s="18" t="str">
        <f aca="false">IF(ISNUMBER($J857),IFERROR(INDEX('TRANS'!$C:$C,MATCH($J857,'TRANS'!$B:$B,0)),IFERROR(INDEX('Catalog'!$B:$B,MATCH($J857,'Catalog'!$A:$A,0)),$B857)),$B857)</f>
        <v>78AB L</v>
      </c>
      <c r="D857" s="19" t="n">
        <f aca="false">SUMIFS('SALES Raw'!$C$6:$C$4467,'SALES Raw'!$J$6:$J$4467,$J857,'SALES Raw'!$K$6:$K$4467,"Y")+SUMIFS('CEMIUP0.9 Raw'!$D$6:$D$1712,'CEMIUP0.9 Raw'!$B$6:$B$1712,$J857,'CEMIUP0.9 Raw'!$H$6:$H$1712,"Y")</f>
        <v>3</v>
      </c>
      <c r="E857" s="19" t="n">
        <f aca="false">SUMIFS('SALES Raw'!$D$6:$D$4467,'SALES Raw'!$J$6:$J$4467,$J857,'SALES Raw'!$K$6:$K$4467,"Y")+SUMIFS('CEMIUP0.9 Raw'!$E$6:$E$1712,'CEMIUP0.9 Raw'!$B$6:$B$1712,$J857,'CEMIUP0.9 Raw'!$H$6:$H$1712,"Y")</f>
        <v>355.18</v>
      </c>
      <c r="F857" s="19" t="n">
        <f aca="false">SUMIFS('SALES Raw'!$E$6:$E$4467,'SALES Raw'!$J$6:$J$4467,$J857,'SALES Raw'!$K$6:$K$4467,"Y")*$H$4+SUMIFS('CEMIUP0.9 Raw'!$F$6:$F$1712,'CEMIUP0.9 Raw'!$B$6:$B$1712,$J857,'CEMIUP0.9 Raw'!$H$6:$H$1712,"Y")</f>
        <v>0</v>
      </c>
      <c r="G857" s="19" t="n">
        <f aca="false">SUMIFS('SALES Raw'!$F$6:$F$4467,'SALES Raw'!$J$6:$J$4467,$J857,'SALES Raw'!$K$6:$K$4467,"Y")*$H$4+SUMIFS('CEMIUP0.9 Raw'!$G$6:$G$1712,'CEMIUP0.9 Raw'!$B$6:$B$1712,$J857,'CEMIUP0.9 Raw'!$H$6:$H$1712,"Y")</f>
        <v>0</v>
      </c>
      <c r="H857" s="18" t="s">
        <v>46</v>
      </c>
      <c r="I857" s="18"/>
      <c r="J857" s="18" t="s">
        <v>420</v>
      </c>
    </row>
    <row r="858" customFormat="false" ht="15" hidden="false" customHeight="false" outlineLevel="0" collapsed="false">
      <c r="A858" s="18" t="str">
        <f aca="false">IF(ISNUMBER($J858),$J858,"")</f>
        <v/>
      </c>
      <c r="B858" s="18" t="str">
        <f aca="false">IFERROR(INDEX('SALES Raw'!$B$6:$B$4467,MATCH($J858,'SALES Raw'!$J$6:$J$4467,0)),IFERROR(INDEX('CEMIUP0.9 Raw'!$B$6:$B$1712,MATCH($J858,'CEMIUP0.9 Raw'!$B$6:$B$1712,0)),$J858))</f>
        <v>78AB XL</v>
      </c>
      <c r="C858" s="18" t="str">
        <f aca="false">IF(ISNUMBER($J858),IFERROR(INDEX('TRANS'!$C:$C,MATCH($J858,'TRANS'!$B:$B,0)),IFERROR(INDEX('Catalog'!$B:$B,MATCH($J858,'Catalog'!$A:$A,0)),$B858)),$B858)</f>
        <v>78AB XL</v>
      </c>
      <c r="D858" s="19" t="n">
        <f aca="false">SUMIFS('SALES Raw'!$C$6:$C$4467,'SALES Raw'!$J$6:$J$4467,$J858,'SALES Raw'!$K$6:$K$4467,"Y")+SUMIFS('CEMIUP0.9 Raw'!$D$6:$D$1712,'CEMIUP0.9 Raw'!$B$6:$B$1712,$J858,'CEMIUP0.9 Raw'!$H$6:$H$1712,"Y")</f>
        <v>5</v>
      </c>
      <c r="E858" s="19" t="n">
        <f aca="false">SUMIFS('SALES Raw'!$D$6:$D$4467,'SALES Raw'!$J$6:$J$4467,$J858,'SALES Raw'!$K$6:$K$4467,"Y")+SUMIFS('CEMIUP0.9 Raw'!$E$6:$E$1712,'CEMIUP0.9 Raw'!$B$6:$B$1712,$J858,'CEMIUP0.9 Raw'!$H$6:$H$1712,"Y")</f>
        <v>515.96</v>
      </c>
      <c r="F858" s="19" t="n">
        <f aca="false">SUMIFS('SALES Raw'!$E$6:$E$4467,'SALES Raw'!$J$6:$J$4467,$J858,'SALES Raw'!$K$6:$K$4467,"Y")*$H$4+SUMIFS('CEMIUP0.9 Raw'!$F$6:$F$1712,'CEMIUP0.9 Raw'!$B$6:$B$1712,$J858,'CEMIUP0.9 Raw'!$H$6:$H$1712,"Y")</f>
        <v>0</v>
      </c>
      <c r="G858" s="19" t="n">
        <f aca="false">SUMIFS('SALES Raw'!$F$6:$F$4467,'SALES Raw'!$J$6:$J$4467,$J858,'SALES Raw'!$K$6:$K$4467,"Y")*$H$4+SUMIFS('CEMIUP0.9 Raw'!$G$6:$G$1712,'CEMIUP0.9 Raw'!$B$6:$B$1712,$J858,'CEMIUP0.9 Raw'!$H$6:$H$1712,"Y")</f>
        <v>0</v>
      </c>
      <c r="H858" s="18" t="s">
        <v>46</v>
      </c>
      <c r="I858" s="18" t="s">
        <v>44</v>
      </c>
      <c r="J858" s="18" t="s">
        <v>421</v>
      </c>
    </row>
    <row r="859" customFormat="false" ht="15" hidden="false" customHeight="false" outlineLevel="0" collapsed="false">
      <c r="A859" s="18" t="str">
        <f aca="false">IF(ISNUMBER($J859),$J859,"")</f>
        <v/>
      </c>
      <c r="B859" s="18" t="str">
        <f aca="false">IFERROR(INDEX('SALES Raw'!$B$6:$B$4467,MATCH($J859,'SALES Raw'!$J$6:$J$4467,0)),IFERROR(INDEX('CEMIUP0.9 Raw'!$B$6:$B$1712,MATCH($J859,'CEMIUP0.9 Raw'!$B$6:$B$1712,0)),$J859))</f>
        <v>T95 L</v>
      </c>
      <c r="C859" s="18" t="str">
        <f aca="false">IF(ISNUMBER($J859),IFERROR(INDEX('TRANS'!$C:$C,MATCH($J859,'TRANS'!$B:$B,0)),IFERROR(INDEX('Catalog'!$B:$B,MATCH($J859,'Catalog'!$A:$A,0)),$B859)),$B859)</f>
        <v>T95 L</v>
      </c>
      <c r="D859" s="19" t="n">
        <f aca="false">SUMIFS('SALES Raw'!$C$6:$C$4467,'SALES Raw'!$J$6:$J$4467,$J859,'SALES Raw'!$K$6:$K$4467,"Y")+SUMIFS('CEMIUP0.9 Raw'!$D$6:$D$1712,'CEMIUP0.9 Raw'!$B$6:$B$1712,$J859,'CEMIUP0.9 Raw'!$H$6:$H$1712,"Y")</f>
        <v>9</v>
      </c>
      <c r="E859" s="19" t="n">
        <f aca="false">SUMIFS('SALES Raw'!$D$6:$D$4467,'SALES Raw'!$J$6:$J$4467,$J859,'SALES Raw'!$K$6:$K$4467,"Y")+SUMIFS('CEMIUP0.9 Raw'!$E$6:$E$1712,'CEMIUP0.9 Raw'!$B$6:$B$1712,$J859,'CEMIUP0.9 Raw'!$H$6:$H$1712,"Y")</f>
        <v>775.75</v>
      </c>
      <c r="F859" s="19" t="n">
        <f aca="false">SUMIFS('SALES Raw'!$E$6:$E$4467,'SALES Raw'!$J$6:$J$4467,$J859,'SALES Raw'!$K$6:$K$4467,"Y")*$H$4+SUMIFS('CEMIUP0.9 Raw'!$F$6:$F$1712,'CEMIUP0.9 Raw'!$B$6:$B$1712,$J859,'CEMIUP0.9 Raw'!$H$6:$H$1712,"Y")</f>
        <v>0</v>
      </c>
      <c r="G859" s="19" t="n">
        <f aca="false">SUMIFS('SALES Raw'!$F$6:$F$4467,'SALES Raw'!$J$6:$J$4467,$J859,'SALES Raw'!$K$6:$K$4467,"Y")*$H$4+SUMIFS('CEMIUP0.9 Raw'!$G$6:$G$1712,'CEMIUP0.9 Raw'!$B$6:$B$1712,$J859,'CEMIUP0.9 Raw'!$H$6:$H$1712,"Y")</f>
        <v>0</v>
      </c>
      <c r="H859" s="18" t="s">
        <v>46</v>
      </c>
      <c r="I859" s="18" t="s">
        <v>54</v>
      </c>
      <c r="J859" s="18" t="s">
        <v>422</v>
      </c>
    </row>
    <row r="860" customFormat="false" ht="15" hidden="false" customHeight="false" outlineLevel="0" collapsed="false">
      <c r="A860" s="18" t="str">
        <f aca="false">IF(ISNUMBER($J860),$J860,"")</f>
        <v/>
      </c>
      <c r="B860" s="18" t="str">
        <f aca="false">IFERROR(INDEX('SALES Raw'!$B$6:$B$4467,MATCH($J860,'SALES Raw'!$J$6:$J$4467,0)),IFERROR(INDEX('CEMIUP0.9 Raw'!$B$6:$B$1712,MATCH($J860,'CEMIUP0.9 Raw'!$B$6:$B$1712,0)),$J860))</f>
        <v>10 XXL</v>
      </c>
      <c r="C860" s="18" t="str">
        <f aca="false">IF(ISNUMBER($J860),IFERROR(INDEX('TRANS'!$C:$C,MATCH($J860,'TRANS'!$B:$B,0)),IFERROR(INDEX('Catalog'!$B:$B,MATCH($J860,'Catalog'!$A:$A,0)),$B860)),$B860)</f>
        <v>10 XXL</v>
      </c>
      <c r="D860" s="19" t="n">
        <f aca="false">SUMIFS('SALES Raw'!$C$6:$C$4467,'SALES Raw'!$J$6:$J$4467,$J860,'SALES Raw'!$K$6:$K$4467,"Y")+SUMIFS('CEMIUP0.9 Raw'!$D$6:$D$1712,'CEMIUP0.9 Raw'!$B$6:$B$1712,$J860,'CEMIUP0.9 Raw'!$H$6:$H$1712,"Y")</f>
        <v>24</v>
      </c>
      <c r="E860" s="19" t="n">
        <f aca="false">SUMIFS('SALES Raw'!$D$6:$D$4467,'SALES Raw'!$J$6:$J$4467,$J860,'SALES Raw'!$K$6:$K$4467,"Y")+SUMIFS('CEMIUP0.9 Raw'!$E$6:$E$1712,'CEMIUP0.9 Raw'!$B$6:$B$1712,$J860,'CEMIUP0.9 Raw'!$H$6:$H$1712,"Y")</f>
        <v>3651.29</v>
      </c>
      <c r="F860" s="19" t="n">
        <f aca="false">SUMIFS('SALES Raw'!$E$6:$E$4467,'SALES Raw'!$J$6:$J$4467,$J860,'SALES Raw'!$K$6:$K$4467,"Y")*$H$4+SUMIFS('CEMIUP0.9 Raw'!$F$6:$F$1712,'CEMIUP0.9 Raw'!$B$6:$B$1712,$J860,'CEMIUP0.9 Raw'!$H$6:$H$1712,"Y")</f>
        <v>0</v>
      </c>
      <c r="G860" s="19" t="n">
        <f aca="false">SUMIFS('SALES Raw'!$F$6:$F$4467,'SALES Raw'!$J$6:$J$4467,$J860,'SALES Raw'!$K$6:$K$4467,"Y")*$H$4+SUMIFS('CEMIUP0.9 Raw'!$G$6:$G$1712,'CEMIUP0.9 Raw'!$B$6:$B$1712,$J860,'CEMIUP0.9 Raw'!$H$6:$H$1712,"Y")</f>
        <v>0</v>
      </c>
      <c r="H860" s="18" t="s">
        <v>46</v>
      </c>
      <c r="I860" s="18" t="s">
        <v>42</v>
      </c>
      <c r="J860" s="18" t="s">
        <v>423</v>
      </c>
    </row>
    <row r="861" customFormat="false" ht="15" hidden="false" customHeight="false" outlineLevel="0" collapsed="false">
      <c r="A861" s="18" t="str">
        <f aca="false">IF(ISNUMBER($J861),$J861,"")</f>
        <v/>
      </c>
      <c r="B861" s="18" t="str">
        <f aca="false">IFERROR(INDEX('SALES Raw'!$B$6:$B$4467,MATCH($J861,'SALES Raw'!$J$6:$J$4467,0)),IFERROR(INDEX('CEMIUP0.9 Raw'!$B$6:$B$1712,MATCH($J861,'CEMIUP0.9 Raw'!$B$6:$B$1712,0)),$J861))</f>
        <v>BE CA CB BEIGE</v>
      </c>
      <c r="C861" s="18" t="str">
        <f aca="false">IF(ISNUMBER($J861),IFERROR(INDEX('TRANS'!$C:$C,MATCH($J861,'TRANS'!$B:$B,0)),IFERROR(INDEX('Catalog'!$B:$B,MATCH($J861,'Catalog'!$A:$A,0)),$B861)),$B861)</f>
        <v>BE CA CB BEIGE</v>
      </c>
      <c r="D861" s="19" t="n">
        <f aca="false">SUMIFS('SALES Raw'!$C$6:$C$4467,'SALES Raw'!$J$6:$J$4467,$J861,'SALES Raw'!$K$6:$K$4467,"Y")+SUMIFS('CEMIUP0.9 Raw'!$D$6:$D$1712,'CEMIUP0.9 Raw'!$B$6:$B$1712,$J861,'CEMIUP0.9 Raw'!$H$6:$H$1712,"Y")</f>
        <v>1</v>
      </c>
      <c r="E861" s="19" t="n">
        <f aca="false">SUMIFS('SALES Raw'!$D$6:$D$4467,'SALES Raw'!$J$6:$J$4467,$J861,'SALES Raw'!$K$6:$K$4467,"Y")+SUMIFS('CEMIUP0.9 Raw'!$E$6:$E$1712,'CEMIUP0.9 Raw'!$B$6:$B$1712,$J861,'CEMIUP0.9 Raw'!$H$6:$H$1712,"Y")</f>
        <v>5.5</v>
      </c>
      <c r="F861" s="19" t="n">
        <f aca="false">SUMIFS('SALES Raw'!$E$6:$E$4467,'SALES Raw'!$J$6:$J$4467,$J861,'SALES Raw'!$K$6:$K$4467,"Y")*$H$4+SUMIFS('CEMIUP0.9 Raw'!$F$6:$F$1712,'CEMIUP0.9 Raw'!$B$6:$B$1712,$J861,'CEMIUP0.9 Raw'!$H$6:$H$1712,"Y")</f>
        <v>0</v>
      </c>
      <c r="G861" s="19" t="n">
        <f aca="false">SUMIFS('SALES Raw'!$F$6:$F$4467,'SALES Raw'!$J$6:$J$4467,$J861,'SALES Raw'!$K$6:$K$4467,"Y")*$H$4+SUMIFS('CEMIUP0.9 Raw'!$G$6:$G$1712,'CEMIUP0.9 Raw'!$B$6:$B$1712,$J861,'CEMIUP0.9 Raw'!$H$6:$H$1712,"Y")</f>
        <v>0</v>
      </c>
      <c r="H861" s="18" t="s">
        <v>46</v>
      </c>
      <c r="I861" s="18"/>
      <c r="J861" s="18" t="s">
        <v>424</v>
      </c>
    </row>
    <row r="862" customFormat="false" ht="15" hidden="false" customHeight="false" outlineLevel="0" collapsed="false">
      <c r="A862" s="18" t="str">
        <f aca="false">IF(ISNUMBER($J862),$J862,"")</f>
        <v/>
      </c>
      <c r="B862" s="18" t="str">
        <f aca="false">IFERROR(INDEX('SALES Raw'!$B$6:$B$4467,MATCH($J862,'SALES Raw'!$J$6:$J$4467,0)),IFERROR(INDEX('CEMIUP0.9 Raw'!$B$6:$B$1712,MATCH($J862,'CEMIUP0.9 Raw'!$B$6:$B$1712,0)),$J862))</f>
        <v>BE CA KT BLACK</v>
      </c>
      <c r="C862" s="18" t="str">
        <f aca="false">IF(ISNUMBER($J862),IFERROR(INDEX('TRANS'!$C:$C,MATCH($J862,'TRANS'!$B:$B,0)),IFERROR(INDEX('Catalog'!$B:$B,MATCH($J862,'Catalog'!$A:$A,0)),$B862)),$B862)</f>
        <v>BE CA KT BLACK</v>
      </c>
      <c r="D862" s="19" t="n">
        <f aca="false">SUMIFS('SALES Raw'!$C$6:$C$4467,'SALES Raw'!$J$6:$J$4467,$J862,'SALES Raw'!$K$6:$K$4467,"Y")+SUMIFS('CEMIUP0.9 Raw'!$D$6:$D$1712,'CEMIUP0.9 Raw'!$B$6:$B$1712,$J862,'CEMIUP0.9 Raw'!$H$6:$H$1712,"Y")</f>
        <v>1</v>
      </c>
      <c r="E862" s="19" t="n">
        <f aca="false">SUMIFS('SALES Raw'!$D$6:$D$4467,'SALES Raw'!$J$6:$J$4467,$J862,'SALES Raw'!$K$6:$K$4467,"Y")+SUMIFS('CEMIUP0.9 Raw'!$E$6:$E$1712,'CEMIUP0.9 Raw'!$B$6:$B$1712,$J862,'CEMIUP0.9 Raw'!$H$6:$H$1712,"Y")</f>
        <v>24</v>
      </c>
      <c r="F862" s="19" t="n">
        <f aca="false">SUMIFS('SALES Raw'!$E$6:$E$4467,'SALES Raw'!$J$6:$J$4467,$J862,'SALES Raw'!$K$6:$K$4467,"Y")*$H$4+SUMIFS('CEMIUP0.9 Raw'!$F$6:$F$1712,'CEMIUP0.9 Raw'!$B$6:$B$1712,$J862,'CEMIUP0.9 Raw'!$H$6:$H$1712,"Y")</f>
        <v>0</v>
      </c>
      <c r="G862" s="19" t="n">
        <f aca="false">SUMIFS('SALES Raw'!$F$6:$F$4467,'SALES Raw'!$J$6:$J$4467,$J862,'SALES Raw'!$K$6:$K$4467,"Y")*$H$4+SUMIFS('CEMIUP0.9 Raw'!$G$6:$G$1712,'CEMIUP0.9 Raw'!$B$6:$B$1712,$J862,'CEMIUP0.9 Raw'!$H$6:$H$1712,"Y")</f>
        <v>0</v>
      </c>
      <c r="H862" s="18" t="s">
        <v>46</v>
      </c>
      <c r="I862" s="18"/>
      <c r="J862" s="18" t="s">
        <v>425</v>
      </c>
    </row>
    <row r="863" customFormat="false" ht="15" hidden="false" customHeight="false" outlineLevel="0" collapsed="false">
      <c r="A863" s="18" t="str">
        <f aca="false">IF(ISNUMBER($J863),$J863,"")</f>
        <v/>
      </c>
      <c r="B863" s="18" t="str">
        <f aca="false">IFERROR(INDEX('SALES Raw'!$B$6:$B$4467,MATCH($J863,'SALES Raw'!$J$6:$J$4467,0)),IFERROR(INDEX('CEMIUP0.9 Raw'!$B$6:$B$1712,MATCH($J863,'CEMIUP0.9 Raw'!$B$6:$B$1712,0)),$J863))</f>
        <v>88L XXL</v>
      </c>
      <c r="C863" s="18" t="str">
        <f aca="false">IF(ISNUMBER($J863),IFERROR(INDEX('TRANS'!$C:$C,MATCH($J863,'TRANS'!$B:$B,0)),IFERROR(INDEX('Catalog'!$B:$B,MATCH($J863,'Catalog'!$A:$A,0)),$B863)),$B863)</f>
        <v>88L XXL</v>
      </c>
      <c r="D863" s="19" t="n">
        <f aca="false">SUMIFS('SALES Raw'!$C$6:$C$4467,'SALES Raw'!$J$6:$J$4467,$J863,'SALES Raw'!$K$6:$K$4467,"Y")+SUMIFS('CEMIUP0.9 Raw'!$D$6:$D$1712,'CEMIUP0.9 Raw'!$B$6:$B$1712,$J863,'CEMIUP0.9 Raw'!$H$6:$H$1712,"Y")</f>
        <v>3</v>
      </c>
      <c r="E863" s="19" t="n">
        <f aca="false">SUMIFS('SALES Raw'!$D$6:$D$4467,'SALES Raw'!$J$6:$J$4467,$J863,'SALES Raw'!$K$6:$K$4467,"Y")+SUMIFS('CEMIUP0.9 Raw'!$E$6:$E$1712,'CEMIUP0.9 Raw'!$B$6:$B$1712,$J863,'CEMIUP0.9 Raw'!$H$6:$H$1712,"Y")</f>
        <v>1075.28</v>
      </c>
      <c r="F863" s="19" t="n">
        <f aca="false">SUMIFS('SALES Raw'!$E$6:$E$4467,'SALES Raw'!$J$6:$J$4467,$J863,'SALES Raw'!$K$6:$K$4467,"Y")*$H$4+SUMIFS('CEMIUP0.9 Raw'!$F$6:$F$1712,'CEMIUP0.9 Raw'!$B$6:$B$1712,$J863,'CEMIUP0.9 Raw'!$H$6:$H$1712,"Y")</f>
        <v>0</v>
      </c>
      <c r="G863" s="19" t="n">
        <f aca="false">SUMIFS('SALES Raw'!$F$6:$F$4467,'SALES Raw'!$J$6:$J$4467,$J863,'SALES Raw'!$K$6:$K$4467,"Y")*$H$4+SUMIFS('CEMIUP0.9 Raw'!$G$6:$G$1712,'CEMIUP0.9 Raw'!$B$6:$B$1712,$J863,'CEMIUP0.9 Raw'!$H$6:$H$1712,"Y")</f>
        <v>0</v>
      </c>
      <c r="H863" s="18" t="s">
        <v>46</v>
      </c>
      <c r="I863" s="18" t="s">
        <v>44</v>
      </c>
      <c r="J863" s="18" t="s">
        <v>426</v>
      </c>
    </row>
    <row r="864" customFormat="false" ht="15" hidden="false" customHeight="false" outlineLevel="0" collapsed="false">
      <c r="A864" s="18" t="str">
        <f aca="false">IF(ISNUMBER($J864),$J864,"")</f>
        <v/>
      </c>
      <c r="B864" s="18" t="str">
        <f aca="false">IFERROR(INDEX('SALES Raw'!$B$6:$B$4467,MATCH($J864,'SALES Raw'!$J$6:$J$4467,0)),IFERROR(INDEX('CEMIUP0.9 Raw'!$B$6:$B$1712,MATCH($J864,'CEMIUP0.9 Raw'!$B$6:$B$1712,0)),$J864))</f>
        <v>88L- S-M</v>
      </c>
      <c r="C864" s="18" t="str">
        <f aca="false">IF(ISNUMBER($J864),IFERROR(INDEX('TRANS'!$C:$C,MATCH($J864,'TRANS'!$B:$B,0)),IFERROR(INDEX('Catalog'!$B:$B,MATCH($J864,'Catalog'!$A:$A,0)),$B864)),$B864)</f>
        <v>88L- S-M</v>
      </c>
      <c r="D864" s="19" t="n">
        <f aca="false">SUMIFS('SALES Raw'!$C$6:$C$4467,'SALES Raw'!$J$6:$J$4467,$J864,'SALES Raw'!$K$6:$K$4467,"Y")+SUMIFS('CEMIUP0.9 Raw'!$D$6:$D$1712,'CEMIUP0.9 Raw'!$B$6:$B$1712,$J864,'CEMIUP0.9 Raw'!$H$6:$H$1712,"Y")</f>
        <v>3</v>
      </c>
      <c r="E864" s="19" t="n">
        <f aca="false">SUMIFS('SALES Raw'!$D$6:$D$4467,'SALES Raw'!$J$6:$J$4467,$J864,'SALES Raw'!$K$6:$K$4467,"Y")+SUMIFS('CEMIUP0.9 Raw'!$E$6:$E$1712,'CEMIUP0.9 Raw'!$B$6:$B$1712,$J864,'CEMIUP0.9 Raw'!$H$6:$H$1712,"Y")</f>
        <v>954.11</v>
      </c>
      <c r="F864" s="19" t="n">
        <f aca="false">SUMIFS('SALES Raw'!$E$6:$E$4467,'SALES Raw'!$J$6:$J$4467,$J864,'SALES Raw'!$K$6:$K$4467,"Y")*$H$4+SUMIFS('CEMIUP0.9 Raw'!$F$6:$F$1712,'CEMIUP0.9 Raw'!$B$6:$B$1712,$J864,'CEMIUP0.9 Raw'!$H$6:$H$1712,"Y")</f>
        <v>0</v>
      </c>
      <c r="G864" s="19" t="n">
        <f aca="false">SUMIFS('SALES Raw'!$F$6:$F$4467,'SALES Raw'!$J$6:$J$4467,$J864,'SALES Raw'!$K$6:$K$4467,"Y")*$H$4+SUMIFS('CEMIUP0.9 Raw'!$G$6:$G$1712,'CEMIUP0.9 Raw'!$B$6:$B$1712,$J864,'CEMIUP0.9 Raw'!$H$6:$H$1712,"Y")</f>
        <v>0</v>
      </c>
      <c r="H864" s="18" t="s">
        <v>46</v>
      </c>
      <c r="I864" s="18" t="s">
        <v>42</v>
      </c>
      <c r="J864" s="18" t="s">
        <v>427</v>
      </c>
    </row>
    <row r="865" customFormat="false" ht="15" hidden="false" customHeight="false" outlineLevel="0" collapsed="false">
      <c r="A865" s="18" t="str">
        <f aca="false">IF(ISNUMBER($J865),$J865,"")</f>
        <v/>
      </c>
      <c r="B865" s="18" t="str">
        <f aca="false">IFERROR(INDEX('SALES Raw'!$B$6:$B$4467,MATCH($J865,'SALES Raw'!$J$6:$J$4467,0)),IFERROR(INDEX('CEMIUP0.9 Raw'!$B$6:$B$1712,MATCH($J865,'CEMIUP0.9 Raw'!$B$6:$B$1712,0)),$J865))</f>
        <v>91 0</v>
      </c>
      <c r="C865" s="18" t="str">
        <f aca="false">IF(ISNUMBER($J865),IFERROR(INDEX('TRANS'!$C:$C,MATCH($J865,'TRANS'!$B:$B,0)),IFERROR(INDEX('Catalog'!$B:$B,MATCH($J865,'Catalog'!$A:$A,0)),$B865)),$B865)</f>
        <v>91 0</v>
      </c>
      <c r="D865" s="19" t="n">
        <f aca="false">SUMIFS('SALES Raw'!$C$6:$C$4467,'SALES Raw'!$J$6:$J$4467,$J865,'SALES Raw'!$K$6:$K$4467,"Y")+SUMIFS('CEMIUP0.9 Raw'!$D$6:$D$1712,'CEMIUP0.9 Raw'!$B$6:$B$1712,$J865,'CEMIUP0.9 Raw'!$H$6:$H$1712,"Y")</f>
        <v>4</v>
      </c>
      <c r="E865" s="19" t="n">
        <f aca="false">SUMIFS('SALES Raw'!$D$6:$D$4467,'SALES Raw'!$J$6:$J$4467,$J865,'SALES Raw'!$K$6:$K$4467,"Y")+SUMIFS('CEMIUP0.9 Raw'!$E$6:$E$1712,'CEMIUP0.9 Raw'!$B$6:$B$1712,$J865,'CEMIUP0.9 Raw'!$H$6:$H$1712,"Y")</f>
        <v>348.81</v>
      </c>
      <c r="F865" s="19" t="n">
        <f aca="false">SUMIFS('SALES Raw'!$E$6:$E$4467,'SALES Raw'!$J$6:$J$4467,$J865,'SALES Raw'!$K$6:$K$4467,"Y")*$H$4+SUMIFS('CEMIUP0.9 Raw'!$F$6:$F$1712,'CEMIUP0.9 Raw'!$B$6:$B$1712,$J865,'CEMIUP0.9 Raw'!$H$6:$H$1712,"Y")</f>
        <v>0</v>
      </c>
      <c r="G865" s="19" t="n">
        <f aca="false">SUMIFS('SALES Raw'!$F$6:$F$4467,'SALES Raw'!$J$6:$J$4467,$J865,'SALES Raw'!$K$6:$K$4467,"Y")*$H$4+SUMIFS('CEMIUP0.9 Raw'!$G$6:$G$1712,'CEMIUP0.9 Raw'!$B$6:$B$1712,$J865,'CEMIUP0.9 Raw'!$H$6:$H$1712,"Y")</f>
        <v>0</v>
      </c>
      <c r="H865" s="18" t="s">
        <v>46</v>
      </c>
      <c r="I865" s="18" t="s">
        <v>44</v>
      </c>
      <c r="J865" s="18" t="s">
        <v>428</v>
      </c>
    </row>
    <row r="866" customFormat="false" ht="15" hidden="false" customHeight="false" outlineLevel="0" collapsed="false">
      <c r="A866" s="18" t="str">
        <f aca="false">IF(ISNUMBER($J866),$J866,"")</f>
        <v/>
      </c>
      <c r="B866" s="18" t="str">
        <f aca="false">IFERROR(INDEX('SALES Raw'!$B$6:$B$4467,MATCH($J866,'SALES Raw'!$J$6:$J$4467,0)),IFERROR(INDEX('CEMIUP0.9 Raw'!$B$6:$B$1712,MATCH($J866,'CEMIUP0.9 Raw'!$B$6:$B$1712,0)),$J866))</f>
        <v>KST422 0</v>
      </c>
      <c r="C866" s="18" t="str">
        <f aca="false">IF(ISNUMBER($J866),IFERROR(INDEX('TRANS'!$C:$C,MATCH($J866,'TRANS'!$B:$B,0)),IFERROR(INDEX('Catalog'!$B:$B,MATCH($J866,'Catalog'!$A:$A,0)),$B866)),$B866)</f>
        <v>KST422 0</v>
      </c>
      <c r="D866" s="19" t="n">
        <f aca="false">SUMIFS('SALES Raw'!$C$6:$C$4467,'SALES Raw'!$J$6:$J$4467,$J866,'SALES Raw'!$K$6:$K$4467,"Y")+SUMIFS('CEMIUP0.9 Raw'!$D$6:$D$1712,'CEMIUP0.9 Raw'!$B$6:$B$1712,$J866,'CEMIUP0.9 Raw'!$H$6:$H$1712,"Y")</f>
        <v>1</v>
      </c>
      <c r="E866" s="19" t="n">
        <f aca="false">SUMIFS('SALES Raw'!$D$6:$D$4467,'SALES Raw'!$J$6:$J$4467,$J866,'SALES Raw'!$K$6:$K$4467,"Y")+SUMIFS('CEMIUP0.9 Raw'!$E$6:$E$1712,'CEMIUP0.9 Raw'!$B$6:$B$1712,$J866,'CEMIUP0.9 Raw'!$H$6:$H$1712,"Y")</f>
        <v>0.01</v>
      </c>
      <c r="F866" s="19" t="n">
        <f aca="false">SUMIFS('SALES Raw'!$E$6:$E$4467,'SALES Raw'!$J$6:$J$4467,$J866,'SALES Raw'!$K$6:$K$4467,"Y")*$H$4+SUMIFS('CEMIUP0.9 Raw'!$F$6:$F$1712,'CEMIUP0.9 Raw'!$B$6:$B$1712,$J866,'CEMIUP0.9 Raw'!$H$6:$H$1712,"Y")</f>
        <v>0</v>
      </c>
      <c r="G866" s="19" t="n">
        <f aca="false">SUMIFS('SALES Raw'!$F$6:$F$4467,'SALES Raw'!$J$6:$J$4467,$J866,'SALES Raw'!$K$6:$K$4467,"Y")*$H$4+SUMIFS('CEMIUP0.9 Raw'!$G$6:$G$1712,'CEMIUP0.9 Raw'!$B$6:$B$1712,$J866,'CEMIUP0.9 Raw'!$H$6:$H$1712,"Y")</f>
        <v>0</v>
      </c>
      <c r="H866" s="18" t="s">
        <v>46</v>
      </c>
      <c r="I866" s="18"/>
      <c r="J866" s="18" t="s">
        <v>429</v>
      </c>
    </row>
    <row r="867" customFormat="false" ht="15" hidden="false" customHeight="false" outlineLevel="0" collapsed="false">
      <c r="A867" s="18" t="str">
        <f aca="false">IF(ISNUMBER($J867),$J867,"")</f>
        <v/>
      </c>
      <c r="B867" s="18" t="str">
        <f aca="false">IFERROR(INDEX('SALES Raw'!$B$6:$B$4467,MATCH($J867,'SALES Raw'!$J$6:$J$4467,0)),IFERROR(INDEX('CEMIUP0.9 Raw'!$B$6:$B$1712,MATCH($J867,'CEMIUP0.9 Raw'!$B$6:$B$1712,0)),$J867))</f>
        <v>422 XXL</v>
      </c>
      <c r="C867" s="18" t="str">
        <f aca="false">IF(ISNUMBER($J867),IFERROR(INDEX('TRANS'!$C:$C,MATCH($J867,'TRANS'!$B:$B,0)),IFERROR(INDEX('Catalog'!$B:$B,MATCH($J867,'Catalog'!$A:$A,0)),$B867)),$B867)</f>
        <v>422 XXL</v>
      </c>
      <c r="D867" s="19" t="n">
        <f aca="false">SUMIFS('SALES Raw'!$C$6:$C$4467,'SALES Raw'!$J$6:$J$4467,$J867,'SALES Raw'!$K$6:$K$4467,"Y")+SUMIFS('CEMIUP0.9 Raw'!$D$6:$D$1712,'CEMIUP0.9 Raw'!$B$6:$B$1712,$J867,'CEMIUP0.9 Raw'!$H$6:$H$1712,"Y")</f>
        <v>2</v>
      </c>
      <c r="E867" s="19" t="n">
        <f aca="false">SUMIFS('SALES Raw'!$D$6:$D$4467,'SALES Raw'!$J$6:$J$4467,$J867,'SALES Raw'!$K$6:$K$4467,"Y")+SUMIFS('CEMIUP0.9 Raw'!$E$6:$E$1712,'CEMIUP0.9 Raw'!$B$6:$B$1712,$J867,'CEMIUP0.9 Raw'!$H$6:$H$1712,"Y")</f>
        <v>424.68</v>
      </c>
      <c r="F867" s="19" t="n">
        <f aca="false">SUMIFS('SALES Raw'!$E$6:$E$4467,'SALES Raw'!$J$6:$J$4467,$J867,'SALES Raw'!$K$6:$K$4467,"Y")*$H$4+SUMIFS('CEMIUP0.9 Raw'!$F$6:$F$1712,'CEMIUP0.9 Raw'!$B$6:$B$1712,$J867,'CEMIUP0.9 Raw'!$H$6:$H$1712,"Y")</f>
        <v>0</v>
      </c>
      <c r="G867" s="19" t="n">
        <f aca="false">SUMIFS('SALES Raw'!$F$6:$F$4467,'SALES Raw'!$J$6:$J$4467,$J867,'SALES Raw'!$K$6:$K$4467,"Y")*$H$4+SUMIFS('CEMIUP0.9 Raw'!$G$6:$G$1712,'CEMIUP0.9 Raw'!$B$6:$B$1712,$J867,'CEMIUP0.9 Raw'!$H$6:$H$1712,"Y")</f>
        <v>0</v>
      </c>
      <c r="H867" s="18" t="s">
        <v>46</v>
      </c>
      <c r="I867" s="18" t="s">
        <v>43</v>
      </c>
      <c r="J867" s="18" t="s">
        <v>430</v>
      </c>
    </row>
    <row r="868" customFormat="false" ht="15" hidden="false" customHeight="false" outlineLevel="0" collapsed="false">
      <c r="A868" s="18" t="str">
        <f aca="false">IF(ISNUMBER($J868),$J868,"")</f>
        <v/>
      </c>
      <c r="B868" s="18" t="str">
        <f aca="false">IFERROR(INDEX('SALES Raw'!$B$6:$B$4467,MATCH($J868,'SALES Raw'!$J$6:$J$4467,0)),IFERROR(INDEX('CEMIUP0.9 Raw'!$B$6:$B$1712,MATCH($J868,'CEMIUP0.9 Raw'!$B$6:$B$1712,0)),$J868))</f>
        <v>T95 M</v>
      </c>
      <c r="C868" s="18" t="str">
        <f aca="false">IF(ISNUMBER($J868),IFERROR(INDEX('TRANS'!$C:$C,MATCH($J868,'TRANS'!$B:$B,0)),IFERROR(INDEX('Catalog'!$B:$B,MATCH($J868,'Catalog'!$A:$A,0)),$B868)),$B868)</f>
        <v>T95 M</v>
      </c>
      <c r="D868" s="19" t="n">
        <f aca="false">SUMIFS('SALES Raw'!$C$6:$C$4467,'SALES Raw'!$J$6:$J$4467,$J868,'SALES Raw'!$K$6:$K$4467,"Y")+SUMIFS('CEMIUP0.9 Raw'!$D$6:$D$1712,'CEMIUP0.9 Raw'!$B$6:$B$1712,$J868,'CEMIUP0.9 Raw'!$H$6:$H$1712,"Y")</f>
        <v>5</v>
      </c>
      <c r="E868" s="19" t="n">
        <f aca="false">SUMIFS('SALES Raw'!$D$6:$D$4467,'SALES Raw'!$J$6:$J$4467,$J868,'SALES Raw'!$K$6:$K$4467,"Y")+SUMIFS('CEMIUP0.9 Raw'!$E$6:$E$1712,'CEMIUP0.9 Raw'!$B$6:$B$1712,$J868,'CEMIUP0.9 Raw'!$H$6:$H$1712,"Y")</f>
        <v>550.91</v>
      </c>
      <c r="F868" s="19" t="n">
        <f aca="false">SUMIFS('SALES Raw'!$E$6:$E$4467,'SALES Raw'!$J$6:$J$4467,$J868,'SALES Raw'!$K$6:$K$4467,"Y")*$H$4+SUMIFS('CEMIUP0.9 Raw'!$F$6:$F$1712,'CEMIUP0.9 Raw'!$B$6:$B$1712,$J868,'CEMIUP0.9 Raw'!$H$6:$H$1712,"Y")</f>
        <v>0</v>
      </c>
      <c r="G868" s="19" t="n">
        <f aca="false">SUMIFS('SALES Raw'!$F$6:$F$4467,'SALES Raw'!$J$6:$J$4467,$J868,'SALES Raw'!$K$6:$K$4467,"Y")*$H$4+SUMIFS('CEMIUP0.9 Raw'!$G$6:$G$1712,'CEMIUP0.9 Raw'!$B$6:$B$1712,$J868,'CEMIUP0.9 Raw'!$H$6:$H$1712,"Y")</f>
        <v>0</v>
      </c>
      <c r="H868" s="18" t="s">
        <v>46</v>
      </c>
      <c r="I868" s="18" t="s">
        <v>44</v>
      </c>
      <c r="J868" s="18" t="s">
        <v>431</v>
      </c>
    </row>
    <row r="869" customFormat="false" ht="15" hidden="false" customHeight="false" outlineLevel="0" collapsed="false">
      <c r="A869" s="18" t="str">
        <f aca="false">IF(ISNUMBER($J869),$J869,"")</f>
        <v/>
      </c>
      <c r="B869" s="18" t="str">
        <f aca="false">IFERROR(INDEX('SALES Raw'!$B$6:$B$4467,MATCH($J869,'SALES Raw'!$J$6:$J$4467,0)),IFERROR(INDEX('CEMIUP0.9 Raw'!$B$6:$B$1712,MATCH($J869,'CEMIUP0.9 Raw'!$B$6:$B$1712,0)),$J869))</f>
        <v>422EB XXXL</v>
      </c>
      <c r="C869" s="18" t="str">
        <f aca="false">IF(ISNUMBER($J869),IFERROR(INDEX('TRANS'!$C:$C,MATCH($J869,'TRANS'!$B:$B,0)),IFERROR(INDEX('Catalog'!$B:$B,MATCH($J869,'Catalog'!$A:$A,0)),$B869)),$B869)</f>
        <v>422EB XXXL</v>
      </c>
      <c r="D869" s="19" t="n">
        <f aca="false">SUMIFS('SALES Raw'!$C$6:$C$4467,'SALES Raw'!$J$6:$J$4467,$J869,'SALES Raw'!$K$6:$K$4467,"Y")+SUMIFS('CEMIUP0.9 Raw'!$D$6:$D$1712,'CEMIUP0.9 Raw'!$B$6:$B$1712,$J869,'CEMIUP0.9 Raw'!$H$6:$H$1712,"Y")</f>
        <v>1</v>
      </c>
      <c r="E869" s="19" t="n">
        <f aca="false">SUMIFS('SALES Raw'!$D$6:$D$4467,'SALES Raw'!$J$6:$J$4467,$J869,'SALES Raw'!$K$6:$K$4467,"Y")+SUMIFS('CEMIUP0.9 Raw'!$E$6:$E$1712,'CEMIUP0.9 Raw'!$B$6:$B$1712,$J869,'CEMIUP0.9 Raw'!$H$6:$H$1712,"Y")</f>
        <v>183.85</v>
      </c>
      <c r="F869" s="19" t="n">
        <f aca="false">SUMIFS('SALES Raw'!$E$6:$E$4467,'SALES Raw'!$J$6:$J$4467,$J869,'SALES Raw'!$K$6:$K$4467,"Y")*$H$4+SUMIFS('CEMIUP0.9 Raw'!$F$6:$F$1712,'CEMIUP0.9 Raw'!$B$6:$B$1712,$J869,'CEMIUP0.9 Raw'!$H$6:$H$1712,"Y")</f>
        <v>0</v>
      </c>
      <c r="G869" s="19" t="n">
        <f aca="false">SUMIFS('SALES Raw'!$F$6:$F$4467,'SALES Raw'!$J$6:$J$4467,$J869,'SALES Raw'!$K$6:$K$4467,"Y")*$H$4+SUMIFS('CEMIUP0.9 Raw'!$G$6:$G$1712,'CEMIUP0.9 Raw'!$B$6:$B$1712,$J869,'CEMIUP0.9 Raw'!$H$6:$H$1712,"Y")</f>
        <v>0</v>
      </c>
      <c r="H869" s="18" t="s">
        <v>46</v>
      </c>
      <c r="I869" s="18"/>
      <c r="J869" s="18" t="s">
        <v>432</v>
      </c>
    </row>
    <row r="870" customFormat="false" ht="15" hidden="false" customHeight="false" outlineLevel="0" collapsed="false">
      <c r="A870" s="18" t="str">
        <f aca="false">IF(ISNUMBER($J870),$J870,"")</f>
        <v/>
      </c>
      <c r="B870" s="18" t="str">
        <f aca="false">IFERROR(INDEX('SALES Raw'!$B$6:$B$4467,MATCH($J870,'SALES Raw'!$J$6:$J$4467,0)),IFERROR(INDEX('CEMIUP0.9 Raw'!$B$6:$B$1712,MATCH($J870,'CEMIUP0.9 Raw'!$B$6:$B$1712,0)),$J870))</f>
        <v>322B L</v>
      </c>
      <c r="C870" s="18" t="str">
        <f aca="false">IF(ISNUMBER($J870),IFERROR(INDEX('TRANS'!$C:$C,MATCH($J870,'TRANS'!$B:$B,0)),IFERROR(INDEX('Catalog'!$B:$B,MATCH($J870,'Catalog'!$A:$A,0)),$B870)),$B870)</f>
        <v>322B L</v>
      </c>
      <c r="D870" s="19" t="n">
        <f aca="false">SUMIFS('SALES Raw'!$C$6:$C$4467,'SALES Raw'!$J$6:$J$4467,$J870,'SALES Raw'!$K$6:$K$4467,"Y")+SUMIFS('CEMIUP0.9 Raw'!$D$6:$D$1712,'CEMIUP0.9 Raw'!$B$6:$B$1712,$J870,'CEMIUP0.9 Raw'!$H$6:$H$1712,"Y")</f>
        <v>2</v>
      </c>
      <c r="E870" s="19" t="n">
        <f aca="false">SUMIFS('SALES Raw'!$D$6:$D$4467,'SALES Raw'!$J$6:$J$4467,$J870,'SALES Raw'!$K$6:$K$4467,"Y")+SUMIFS('CEMIUP0.9 Raw'!$E$6:$E$1712,'CEMIUP0.9 Raw'!$B$6:$B$1712,$J870,'CEMIUP0.9 Raw'!$H$6:$H$1712,"Y")</f>
        <v>291.27</v>
      </c>
      <c r="F870" s="19" t="n">
        <f aca="false">SUMIFS('SALES Raw'!$E$6:$E$4467,'SALES Raw'!$J$6:$J$4467,$J870,'SALES Raw'!$K$6:$K$4467,"Y")*$H$4+SUMIFS('CEMIUP0.9 Raw'!$F$6:$F$1712,'CEMIUP0.9 Raw'!$B$6:$B$1712,$J870,'CEMIUP0.9 Raw'!$H$6:$H$1712,"Y")</f>
        <v>0</v>
      </c>
      <c r="G870" s="19" t="n">
        <f aca="false">SUMIFS('SALES Raw'!$F$6:$F$4467,'SALES Raw'!$J$6:$J$4467,$J870,'SALES Raw'!$K$6:$K$4467,"Y")*$H$4+SUMIFS('CEMIUP0.9 Raw'!$G$6:$G$1712,'CEMIUP0.9 Raw'!$B$6:$B$1712,$J870,'CEMIUP0.9 Raw'!$H$6:$H$1712,"Y")</f>
        <v>0</v>
      </c>
      <c r="H870" s="18" t="s">
        <v>44</v>
      </c>
      <c r="I870" s="18" t="s">
        <v>49</v>
      </c>
      <c r="J870" s="18" t="s">
        <v>433</v>
      </c>
    </row>
    <row r="871" customFormat="false" ht="15" hidden="false" customHeight="false" outlineLevel="0" collapsed="false">
      <c r="A871" s="18" t="str">
        <f aca="false">IF(ISNUMBER($J871),$J871,"")</f>
        <v/>
      </c>
      <c r="B871" s="18" t="str">
        <f aca="false">IFERROR(INDEX('SALES Raw'!$B$6:$B$4467,MATCH($J871,'SALES Raw'!$J$6:$J$4467,0)),IFERROR(INDEX('CEMIUP0.9 Raw'!$B$6:$B$1712,MATCH($J871,'CEMIUP0.9 Raw'!$B$6:$B$1712,0)),$J871))</f>
        <v>776 M</v>
      </c>
      <c r="C871" s="18" t="str">
        <f aca="false">IF(ISNUMBER($J871),IFERROR(INDEX('TRANS'!$C:$C,MATCH($J871,'TRANS'!$B:$B,0)),IFERROR(INDEX('Catalog'!$B:$B,MATCH($J871,'Catalog'!$A:$A,0)),$B871)),$B871)</f>
        <v>776 M</v>
      </c>
      <c r="D871" s="19" t="n">
        <f aca="false">SUMIFS('SALES Raw'!$C$6:$C$4467,'SALES Raw'!$J$6:$J$4467,$J871,'SALES Raw'!$K$6:$K$4467,"Y")+SUMIFS('CEMIUP0.9 Raw'!$D$6:$D$1712,'CEMIUP0.9 Raw'!$B$6:$B$1712,$J871,'CEMIUP0.9 Raw'!$H$6:$H$1712,"Y")</f>
        <v>10</v>
      </c>
      <c r="E871" s="19" t="n">
        <f aca="false">SUMIFS('SALES Raw'!$D$6:$D$4467,'SALES Raw'!$J$6:$J$4467,$J871,'SALES Raw'!$K$6:$K$4467,"Y")+SUMIFS('CEMIUP0.9 Raw'!$E$6:$E$1712,'CEMIUP0.9 Raw'!$B$6:$B$1712,$J871,'CEMIUP0.9 Raw'!$H$6:$H$1712,"Y")</f>
        <v>4569.18</v>
      </c>
      <c r="F871" s="19" t="n">
        <f aca="false">SUMIFS('SALES Raw'!$E$6:$E$4467,'SALES Raw'!$J$6:$J$4467,$J871,'SALES Raw'!$K$6:$K$4467,"Y")*$H$4+SUMIFS('CEMIUP0.9 Raw'!$F$6:$F$1712,'CEMIUP0.9 Raw'!$B$6:$B$1712,$J871,'CEMIUP0.9 Raw'!$H$6:$H$1712,"Y")</f>
        <v>0</v>
      </c>
      <c r="G871" s="19" t="n">
        <f aca="false">SUMIFS('SALES Raw'!$F$6:$F$4467,'SALES Raw'!$J$6:$J$4467,$J871,'SALES Raw'!$K$6:$K$4467,"Y")*$H$4+SUMIFS('CEMIUP0.9 Raw'!$G$6:$G$1712,'CEMIUP0.9 Raw'!$B$6:$B$1712,$J871,'CEMIUP0.9 Raw'!$H$6:$H$1712,"Y")</f>
        <v>0</v>
      </c>
      <c r="H871" s="18" t="s">
        <v>44</v>
      </c>
      <c r="I871" s="18" t="s">
        <v>54</v>
      </c>
      <c r="J871" s="18" t="s">
        <v>434</v>
      </c>
    </row>
    <row r="872" customFormat="false" ht="15" hidden="false" customHeight="false" outlineLevel="0" collapsed="false">
      <c r="A872" s="18" t="str">
        <f aca="false">IF(ISNUMBER($J872),$J872,"")</f>
        <v/>
      </c>
      <c r="B872" s="18" t="str">
        <f aca="false">IFERROR(INDEX('SALES Raw'!$B$6:$B$4467,MATCH($J872,'SALES Raw'!$J$6:$J$4467,0)),IFERROR(INDEX('CEMIUP0.9 Raw'!$B$6:$B$1712,MATCH($J872,'CEMIUP0.9 Raw'!$B$6:$B$1712,0)),$J872))</f>
        <v>776 S</v>
      </c>
      <c r="C872" s="18" t="str">
        <f aca="false">IF(ISNUMBER($J872),IFERROR(INDEX('TRANS'!$C:$C,MATCH($J872,'TRANS'!$B:$B,0)),IFERROR(INDEX('Catalog'!$B:$B,MATCH($J872,'Catalog'!$A:$A,0)),$B872)),$B872)</f>
        <v>776 S</v>
      </c>
      <c r="D872" s="19" t="n">
        <f aca="false">SUMIFS('SALES Raw'!$C$6:$C$4467,'SALES Raw'!$J$6:$J$4467,$J872,'SALES Raw'!$K$6:$K$4467,"Y")+SUMIFS('CEMIUP0.9 Raw'!$D$6:$D$1712,'CEMIUP0.9 Raw'!$B$6:$B$1712,$J872,'CEMIUP0.9 Raw'!$H$6:$H$1712,"Y")</f>
        <v>7</v>
      </c>
      <c r="E872" s="19" t="n">
        <f aca="false">SUMIFS('SALES Raw'!$D$6:$D$4467,'SALES Raw'!$J$6:$J$4467,$J872,'SALES Raw'!$K$6:$K$4467,"Y")+SUMIFS('CEMIUP0.9 Raw'!$E$6:$E$1712,'CEMIUP0.9 Raw'!$B$6:$B$1712,$J872,'CEMIUP0.9 Raw'!$H$6:$H$1712,"Y")</f>
        <v>3636.75</v>
      </c>
      <c r="F872" s="19" t="n">
        <f aca="false">SUMIFS('SALES Raw'!$E$6:$E$4467,'SALES Raw'!$J$6:$J$4467,$J872,'SALES Raw'!$K$6:$K$4467,"Y")*$H$4+SUMIFS('CEMIUP0.9 Raw'!$F$6:$F$1712,'CEMIUP0.9 Raw'!$B$6:$B$1712,$J872,'CEMIUP0.9 Raw'!$H$6:$H$1712,"Y")</f>
        <v>0</v>
      </c>
      <c r="G872" s="19" t="n">
        <f aca="false">SUMIFS('SALES Raw'!$F$6:$F$4467,'SALES Raw'!$J$6:$J$4467,$J872,'SALES Raw'!$K$6:$K$4467,"Y")*$H$4+SUMIFS('CEMIUP0.9 Raw'!$G$6:$G$1712,'CEMIUP0.9 Raw'!$B$6:$B$1712,$J872,'CEMIUP0.9 Raw'!$H$6:$H$1712,"Y")</f>
        <v>0</v>
      </c>
      <c r="H872" s="18" t="s">
        <v>44</v>
      </c>
      <c r="I872" s="18" t="s">
        <v>42</v>
      </c>
      <c r="J872" s="18" t="s">
        <v>435</v>
      </c>
    </row>
    <row r="873" customFormat="false" ht="15" hidden="false" customHeight="false" outlineLevel="0" collapsed="false">
      <c r="A873" s="18" t="str">
        <f aca="false">IF(ISNUMBER($J873),$J873,"")</f>
        <v/>
      </c>
      <c r="B873" s="18" t="str">
        <f aca="false">IFERROR(INDEX('SALES Raw'!$B$6:$B$4467,MATCH($J873,'SALES Raw'!$J$6:$J$4467,0)),IFERROR(INDEX('CEMIUP0.9 Raw'!$B$6:$B$1712,MATCH($J873,'CEMIUP0.9 Raw'!$B$6:$B$1712,0)),$J873))</f>
        <v>776 XXL</v>
      </c>
      <c r="C873" s="18" t="str">
        <f aca="false">IF(ISNUMBER($J873),IFERROR(INDEX('TRANS'!$C:$C,MATCH($J873,'TRANS'!$B:$B,0)),IFERROR(INDEX('Catalog'!$B:$B,MATCH($J873,'Catalog'!$A:$A,0)),$B873)),$B873)</f>
        <v>776 XXL</v>
      </c>
      <c r="D873" s="19" t="n">
        <f aca="false">SUMIFS('SALES Raw'!$C$6:$C$4467,'SALES Raw'!$J$6:$J$4467,$J873,'SALES Raw'!$K$6:$K$4467,"Y")+SUMIFS('CEMIUP0.9 Raw'!$D$6:$D$1712,'CEMIUP0.9 Raw'!$B$6:$B$1712,$J873,'CEMIUP0.9 Raw'!$H$6:$H$1712,"Y")</f>
        <v>4</v>
      </c>
      <c r="E873" s="19" t="n">
        <f aca="false">SUMIFS('SALES Raw'!$D$6:$D$4467,'SALES Raw'!$J$6:$J$4467,$J873,'SALES Raw'!$K$6:$K$4467,"Y")+SUMIFS('CEMIUP0.9 Raw'!$E$6:$E$1712,'CEMIUP0.9 Raw'!$B$6:$B$1712,$J873,'CEMIUP0.9 Raw'!$H$6:$H$1712,"Y")</f>
        <v>1406.93</v>
      </c>
      <c r="F873" s="19" t="n">
        <f aca="false">SUMIFS('SALES Raw'!$E$6:$E$4467,'SALES Raw'!$J$6:$J$4467,$J873,'SALES Raw'!$K$6:$K$4467,"Y")*$H$4+SUMIFS('CEMIUP0.9 Raw'!$F$6:$F$1712,'CEMIUP0.9 Raw'!$B$6:$B$1712,$J873,'CEMIUP0.9 Raw'!$H$6:$H$1712,"Y")</f>
        <v>0</v>
      </c>
      <c r="G873" s="19" t="n">
        <f aca="false">SUMIFS('SALES Raw'!$F$6:$F$4467,'SALES Raw'!$J$6:$J$4467,$J873,'SALES Raw'!$K$6:$K$4467,"Y")*$H$4+SUMIFS('CEMIUP0.9 Raw'!$G$6:$G$1712,'CEMIUP0.9 Raw'!$B$6:$B$1712,$J873,'CEMIUP0.9 Raw'!$H$6:$H$1712,"Y")</f>
        <v>0</v>
      </c>
      <c r="H873" s="18" t="s">
        <v>44</v>
      </c>
      <c r="I873" s="18" t="s">
        <v>43</v>
      </c>
      <c r="J873" s="18" t="s">
        <v>436</v>
      </c>
    </row>
    <row r="874" customFormat="false" ht="15" hidden="false" customHeight="false" outlineLevel="0" collapsed="false">
      <c r="A874" s="18" t="str">
        <f aca="false">IF(ISNUMBER($J874),$J874,"")</f>
        <v/>
      </c>
      <c r="B874" s="18" t="str">
        <f aca="false">IFERROR(INDEX('SALES Raw'!$B$6:$B$4467,MATCH($J874,'SALES Raw'!$J$6:$J$4467,0)),IFERROR(INDEX('CEMIUP0.9 Raw'!$B$6:$B$1712,MATCH($J874,'CEMIUP0.9 Raw'!$B$6:$B$1712,0)),$J874))</f>
        <v>422EBU L</v>
      </c>
      <c r="C874" s="18" t="str">
        <f aca="false">IF(ISNUMBER($J874),IFERROR(INDEX('TRANS'!$C:$C,MATCH($J874,'TRANS'!$B:$B,0)),IFERROR(INDEX('Catalog'!$B:$B,MATCH($J874,'Catalog'!$A:$A,0)),$B874)),$B874)</f>
        <v>422EBU L</v>
      </c>
      <c r="D874" s="19" t="n">
        <f aca="false">SUMIFS('SALES Raw'!$C$6:$C$4467,'SALES Raw'!$J$6:$J$4467,$J874,'SALES Raw'!$K$6:$K$4467,"Y")+SUMIFS('CEMIUP0.9 Raw'!$D$6:$D$1712,'CEMIUP0.9 Raw'!$B$6:$B$1712,$J874,'CEMIUP0.9 Raw'!$H$6:$H$1712,"Y")</f>
        <v>9</v>
      </c>
      <c r="E874" s="19" t="n">
        <f aca="false">SUMIFS('SALES Raw'!$D$6:$D$4467,'SALES Raw'!$J$6:$J$4467,$J874,'SALES Raw'!$K$6:$K$4467,"Y")+SUMIFS('CEMIUP0.9 Raw'!$E$6:$E$1712,'CEMIUP0.9 Raw'!$B$6:$B$1712,$J874,'CEMIUP0.9 Raw'!$H$6:$H$1712,"Y")</f>
        <v>977.38</v>
      </c>
      <c r="F874" s="19" t="n">
        <f aca="false">SUMIFS('SALES Raw'!$E$6:$E$4467,'SALES Raw'!$J$6:$J$4467,$J874,'SALES Raw'!$K$6:$K$4467,"Y")*$H$4+SUMIFS('CEMIUP0.9 Raw'!$F$6:$F$1712,'CEMIUP0.9 Raw'!$B$6:$B$1712,$J874,'CEMIUP0.9 Raw'!$H$6:$H$1712,"Y")</f>
        <v>0</v>
      </c>
      <c r="G874" s="19" t="n">
        <f aca="false">SUMIFS('SALES Raw'!$F$6:$F$4467,'SALES Raw'!$J$6:$J$4467,$J874,'SALES Raw'!$K$6:$K$4467,"Y")*$H$4+SUMIFS('CEMIUP0.9 Raw'!$G$6:$G$1712,'CEMIUP0.9 Raw'!$B$6:$B$1712,$J874,'CEMIUP0.9 Raw'!$H$6:$H$1712,"Y")</f>
        <v>0</v>
      </c>
      <c r="H874" s="18" t="s">
        <v>44</v>
      </c>
      <c r="I874" s="18" t="s">
        <v>53</v>
      </c>
      <c r="J874" s="18" t="s">
        <v>437</v>
      </c>
    </row>
    <row r="875" customFormat="false" ht="15" hidden="false" customHeight="false" outlineLevel="0" collapsed="false">
      <c r="A875" s="18" t="str">
        <f aca="false">IF(ISNUMBER($J875),$J875,"")</f>
        <v/>
      </c>
      <c r="B875" s="18" t="str">
        <f aca="false">IFERROR(INDEX('SALES Raw'!$B$6:$B$4467,MATCH($J875,'SALES Raw'!$J$6:$J$4467,0)),IFERROR(INDEX('CEMIUP0.9 Raw'!$B$6:$B$1712,MATCH($J875,'CEMIUP0.9 Raw'!$B$6:$B$1712,0)),$J875))</f>
        <v>422EBU M</v>
      </c>
      <c r="C875" s="18" t="str">
        <f aca="false">IF(ISNUMBER($J875),IFERROR(INDEX('TRANS'!$C:$C,MATCH($J875,'TRANS'!$B:$B,0)),IFERROR(INDEX('Catalog'!$B:$B,MATCH($J875,'Catalog'!$A:$A,0)),$B875)),$B875)</f>
        <v>422EBU M</v>
      </c>
      <c r="D875" s="19" t="n">
        <f aca="false">SUMIFS('SALES Raw'!$C$6:$C$4467,'SALES Raw'!$J$6:$J$4467,$J875,'SALES Raw'!$K$6:$K$4467,"Y")+SUMIFS('CEMIUP0.9 Raw'!$D$6:$D$1712,'CEMIUP0.9 Raw'!$B$6:$B$1712,$J875,'CEMIUP0.9 Raw'!$H$6:$H$1712,"Y")</f>
        <v>8</v>
      </c>
      <c r="E875" s="19" t="n">
        <f aca="false">SUMIFS('SALES Raw'!$D$6:$D$4467,'SALES Raw'!$J$6:$J$4467,$J875,'SALES Raw'!$K$6:$K$4467,"Y")+SUMIFS('CEMIUP0.9 Raw'!$E$6:$E$1712,'CEMIUP0.9 Raw'!$B$6:$B$1712,$J875,'CEMIUP0.9 Raw'!$H$6:$H$1712,"Y")</f>
        <v>735</v>
      </c>
      <c r="F875" s="19" t="n">
        <f aca="false">SUMIFS('SALES Raw'!$E$6:$E$4467,'SALES Raw'!$J$6:$J$4467,$J875,'SALES Raw'!$K$6:$K$4467,"Y")*$H$4+SUMIFS('CEMIUP0.9 Raw'!$F$6:$F$1712,'CEMIUP0.9 Raw'!$B$6:$B$1712,$J875,'CEMIUP0.9 Raw'!$H$6:$H$1712,"Y")</f>
        <v>0</v>
      </c>
      <c r="G875" s="19" t="n">
        <f aca="false">SUMIFS('SALES Raw'!$F$6:$F$4467,'SALES Raw'!$J$6:$J$4467,$J875,'SALES Raw'!$K$6:$K$4467,"Y")*$H$4+SUMIFS('CEMIUP0.9 Raw'!$G$6:$G$1712,'CEMIUP0.9 Raw'!$B$6:$B$1712,$J875,'CEMIUP0.9 Raw'!$H$6:$H$1712,"Y")</f>
        <v>0</v>
      </c>
      <c r="H875" s="18" t="s">
        <v>44</v>
      </c>
      <c r="I875" s="18" t="s">
        <v>53</v>
      </c>
      <c r="J875" s="18" t="s">
        <v>438</v>
      </c>
    </row>
    <row r="876" customFormat="false" ht="15" hidden="false" customHeight="false" outlineLevel="0" collapsed="false">
      <c r="A876" s="18" t="str">
        <f aca="false">IF(ISNUMBER($J876),$J876,"")</f>
        <v/>
      </c>
      <c r="B876" s="18" t="str">
        <f aca="false">IFERROR(INDEX('SALES Raw'!$B$6:$B$4467,MATCH($J876,'SALES Raw'!$J$6:$J$4467,0)),IFERROR(INDEX('CEMIUP0.9 Raw'!$B$6:$B$1712,MATCH($J876,'CEMIUP0.9 Raw'!$B$6:$B$1712,0)),$J876))</f>
        <v>422EBU XXL</v>
      </c>
      <c r="C876" s="18" t="str">
        <f aca="false">IF(ISNUMBER($J876),IFERROR(INDEX('TRANS'!$C:$C,MATCH($J876,'TRANS'!$B:$B,0)),IFERROR(INDEX('Catalog'!$B:$B,MATCH($J876,'Catalog'!$A:$A,0)),$B876)),$B876)</f>
        <v>422EBU XXL</v>
      </c>
      <c r="D876" s="19" t="n">
        <f aca="false">SUMIFS('SALES Raw'!$C$6:$C$4467,'SALES Raw'!$J$6:$J$4467,$J876,'SALES Raw'!$K$6:$K$4467,"Y")+SUMIFS('CEMIUP0.9 Raw'!$D$6:$D$1712,'CEMIUP0.9 Raw'!$B$6:$B$1712,$J876,'CEMIUP0.9 Raw'!$H$6:$H$1712,"Y")</f>
        <v>4</v>
      </c>
      <c r="E876" s="19" t="n">
        <f aca="false">SUMIFS('SALES Raw'!$D$6:$D$4467,'SALES Raw'!$J$6:$J$4467,$J876,'SALES Raw'!$K$6:$K$4467,"Y")+SUMIFS('CEMIUP0.9 Raw'!$E$6:$E$1712,'CEMIUP0.9 Raw'!$B$6:$B$1712,$J876,'CEMIUP0.9 Raw'!$H$6:$H$1712,"Y")</f>
        <v>380</v>
      </c>
      <c r="F876" s="19" t="n">
        <f aca="false">SUMIFS('SALES Raw'!$E$6:$E$4467,'SALES Raw'!$J$6:$J$4467,$J876,'SALES Raw'!$K$6:$K$4467,"Y")*$H$4+SUMIFS('CEMIUP0.9 Raw'!$F$6:$F$1712,'CEMIUP0.9 Raw'!$B$6:$B$1712,$J876,'CEMIUP0.9 Raw'!$H$6:$H$1712,"Y")</f>
        <v>0</v>
      </c>
      <c r="G876" s="19" t="n">
        <f aca="false">SUMIFS('SALES Raw'!$F$6:$F$4467,'SALES Raw'!$J$6:$J$4467,$J876,'SALES Raw'!$K$6:$K$4467,"Y")*$H$4+SUMIFS('CEMIUP0.9 Raw'!$G$6:$G$1712,'CEMIUP0.9 Raw'!$B$6:$B$1712,$J876,'CEMIUP0.9 Raw'!$H$6:$H$1712,"Y")</f>
        <v>0</v>
      </c>
      <c r="H876" s="18" t="s">
        <v>44</v>
      </c>
      <c r="I876" s="18" t="s">
        <v>53</v>
      </c>
      <c r="J876" s="18" t="s">
        <v>439</v>
      </c>
    </row>
    <row r="877" customFormat="false" ht="15" hidden="false" customHeight="false" outlineLevel="0" collapsed="false">
      <c r="A877" s="18" t="str">
        <f aca="false">IF(ISNUMBER($J877),$J877,"")</f>
        <v/>
      </c>
      <c r="B877" s="18" t="str">
        <f aca="false">IFERROR(INDEX('SALES Raw'!$B$6:$B$4467,MATCH($J877,'SALES Raw'!$J$6:$J$4467,0)),IFERROR(INDEX('CEMIUP0.9 Raw'!$B$6:$B$1712,MATCH($J877,'CEMIUP0.9 Raw'!$B$6:$B$1712,0)),$J877))</f>
        <v>422EU L</v>
      </c>
      <c r="C877" s="18" t="str">
        <f aca="false">IF(ISNUMBER($J877),IFERROR(INDEX('TRANS'!$C:$C,MATCH($J877,'TRANS'!$B:$B,0)),IFERROR(INDEX('Catalog'!$B:$B,MATCH($J877,'Catalog'!$A:$A,0)),$B877)),$B877)</f>
        <v>422EU L</v>
      </c>
      <c r="D877" s="19" t="n">
        <f aca="false">SUMIFS('SALES Raw'!$C$6:$C$4467,'SALES Raw'!$J$6:$J$4467,$J877,'SALES Raw'!$K$6:$K$4467,"Y")+SUMIFS('CEMIUP0.9 Raw'!$D$6:$D$1712,'CEMIUP0.9 Raw'!$B$6:$B$1712,$J877,'CEMIUP0.9 Raw'!$H$6:$H$1712,"Y")</f>
        <v>3</v>
      </c>
      <c r="E877" s="19" t="n">
        <f aca="false">SUMIFS('SALES Raw'!$D$6:$D$4467,'SALES Raw'!$J$6:$J$4467,$J877,'SALES Raw'!$K$6:$K$4467,"Y")+SUMIFS('CEMIUP0.9 Raw'!$E$6:$E$1712,'CEMIUP0.9 Raw'!$B$6:$B$1712,$J877,'CEMIUP0.9 Raw'!$H$6:$H$1712,"Y")</f>
        <v>255</v>
      </c>
      <c r="F877" s="19" t="n">
        <f aca="false">SUMIFS('SALES Raw'!$E$6:$E$4467,'SALES Raw'!$J$6:$J$4467,$J877,'SALES Raw'!$K$6:$K$4467,"Y")*$H$4+SUMIFS('CEMIUP0.9 Raw'!$F$6:$F$1712,'CEMIUP0.9 Raw'!$B$6:$B$1712,$J877,'CEMIUP0.9 Raw'!$H$6:$H$1712,"Y")</f>
        <v>0</v>
      </c>
      <c r="G877" s="19" t="n">
        <f aca="false">SUMIFS('SALES Raw'!$F$6:$F$4467,'SALES Raw'!$J$6:$J$4467,$J877,'SALES Raw'!$K$6:$K$4467,"Y")*$H$4+SUMIFS('CEMIUP0.9 Raw'!$G$6:$G$1712,'CEMIUP0.9 Raw'!$B$6:$B$1712,$J877,'CEMIUP0.9 Raw'!$H$6:$H$1712,"Y")</f>
        <v>0</v>
      </c>
      <c r="H877" s="18" t="s">
        <v>44</v>
      </c>
      <c r="I877" s="18" t="s">
        <v>53</v>
      </c>
      <c r="J877" s="18" t="s">
        <v>440</v>
      </c>
    </row>
    <row r="878" customFormat="false" ht="15" hidden="false" customHeight="false" outlineLevel="0" collapsed="false">
      <c r="A878" s="18" t="str">
        <f aca="false">IF(ISNUMBER($J878),$J878,"")</f>
        <v/>
      </c>
      <c r="B878" s="18" t="str">
        <f aca="false">IFERROR(INDEX('SALES Raw'!$B$6:$B$4467,MATCH($J878,'SALES Raw'!$J$6:$J$4467,0)),IFERROR(INDEX('CEMIUP0.9 Raw'!$B$6:$B$1712,MATCH($J878,'CEMIUP0.9 Raw'!$B$6:$B$1712,0)),$J878))</f>
        <v>422EU M</v>
      </c>
      <c r="C878" s="18" t="str">
        <f aca="false">IF(ISNUMBER($J878),IFERROR(INDEX('TRANS'!$C:$C,MATCH($J878,'TRANS'!$B:$B,0)),IFERROR(INDEX('Catalog'!$B:$B,MATCH($J878,'Catalog'!$A:$A,0)),$B878)),$B878)</f>
        <v>422EU M</v>
      </c>
      <c r="D878" s="19" t="n">
        <f aca="false">SUMIFS('SALES Raw'!$C$6:$C$4467,'SALES Raw'!$J$6:$J$4467,$J878,'SALES Raw'!$K$6:$K$4467,"Y")+SUMIFS('CEMIUP0.9 Raw'!$D$6:$D$1712,'CEMIUP0.9 Raw'!$B$6:$B$1712,$J878,'CEMIUP0.9 Raw'!$H$6:$H$1712,"Y")</f>
        <v>8</v>
      </c>
      <c r="E878" s="19" t="n">
        <f aca="false">SUMIFS('SALES Raw'!$D$6:$D$4467,'SALES Raw'!$J$6:$J$4467,$J878,'SALES Raw'!$K$6:$K$4467,"Y")+SUMIFS('CEMIUP0.9 Raw'!$E$6:$E$1712,'CEMIUP0.9 Raw'!$B$6:$B$1712,$J878,'CEMIUP0.9 Raw'!$H$6:$H$1712,"Y")</f>
        <v>690</v>
      </c>
      <c r="F878" s="19" t="n">
        <f aca="false">SUMIFS('SALES Raw'!$E$6:$E$4467,'SALES Raw'!$J$6:$J$4467,$J878,'SALES Raw'!$K$6:$K$4467,"Y")*$H$4+SUMIFS('CEMIUP0.9 Raw'!$F$6:$F$1712,'CEMIUP0.9 Raw'!$B$6:$B$1712,$J878,'CEMIUP0.9 Raw'!$H$6:$H$1712,"Y")</f>
        <v>0</v>
      </c>
      <c r="G878" s="19" t="n">
        <f aca="false">SUMIFS('SALES Raw'!$F$6:$F$4467,'SALES Raw'!$J$6:$J$4467,$J878,'SALES Raw'!$K$6:$K$4467,"Y")*$H$4+SUMIFS('CEMIUP0.9 Raw'!$G$6:$G$1712,'CEMIUP0.9 Raw'!$B$6:$B$1712,$J878,'CEMIUP0.9 Raw'!$H$6:$H$1712,"Y")</f>
        <v>0</v>
      </c>
      <c r="H878" s="18" t="s">
        <v>44</v>
      </c>
      <c r="I878" s="18"/>
      <c r="J878" s="18" t="s">
        <v>441</v>
      </c>
    </row>
    <row r="879" customFormat="false" ht="15" hidden="false" customHeight="false" outlineLevel="0" collapsed="false">
      <c r="A879" s="18" t="str">
        <f aca="false">IF(ISNUMBER($J879),$J879,"")</f>
        <v/>
      </c>
      <c r="B879" s="18" t="str">
        <f aca="false">IFERROR(INDEX('SALES Raw'!$B$6:$B$4467,MATCH($J879,'SALES Raw'!$J$6:$J$4467,0)),IFERROR(INDEX('CEMIUP0.9 Raw'!$B$6:$B$1712,MATCH($J879,'CEMIUP0.9 Raw'!$B$6:$B$1712,0)),$J879))</f>
        <v>422EU XL</v>
      </c>
      <c r="C879" s="18" t="str">
        <f aca="false">IF(ISNUMBER($J879),IFERROR(INDEX('TRANS'!$C:$C,MATCH($J879,'TRANS'!$B:$B,0)),IFERROR(INDEX('Catalog'!$B:$B,MATCH($J879,'Catalog'!$A:$A,0)),$B879)),$B879)</f>
        <v>422EU XL</v>
      </c>
      <c r="D879" s="19" t="n">
        <f aca="false">SUMIFS('SALES Raw'!$C$6:$C$4467,'SALES Raw'!$J$6:$J$4467,$J879,'SALES Raw'!$K$6:$K$4467,"Y")+SUMIFS('CEMIUP0.9 Raw'!$D$6:$D$1712,'CEMIUP0.9 Raw'!$B$6:$B$1712,$J879,'CEMIUP0.9 Raw'!$H$6:$H$1712,"Y")</f>
        <v>13</v>
      </c>
      <c r="E879" s="19" t="n">
        <f aca="false">SUMIFS('SALES Raw'!$D$6:$D$4467,'SALES Raw'!$J$6:$J$4467,$J879,'SALES Raw'!$K$6:$K$4467,"Y")+SUMIFS('CEMIUP0.9 Raw'!$E$6:$E$1712,'CEMIUP0.9 Raw'!$B$6:$B$1712,$J879,'CEMIUP0.9 Raw'!$H$6:$H$1712,"Y")</f>
        <v>1156.02</v>
      </c>
      <c r="F879" s="19" t="n">
        <f aca="false">SUMIFS('SALES Raw'!$E$6:$E$4467,'SALES Raw'!$J$6:$J$4467,$J879,'SALES Raw'!$K$6:$K$4467,"Y")*$H$4+SUMIFS('CEMIUP0.9 Raw'!$F$6:$F$1712,'CEMIUP0.9 Raw'!$B$6:$B$1712,$J879,'CEMIUP0.9 Raw'!$H$6:$H$1712,"Y")</f>
        <v>0</v>
      </c>
      <c r="G879" s="19" t="n">
        <f aca="false">SUMIFS('SALES Raw'!$F$6:$F$4467,'SALES Raw'!$J$6:$J$4467,$J879,'SALES Raw'!$K$6:$K$4467,"Y")*$H$4+SUMIFS('CEMIUP0.9 Raw'!$G$6:$G$1712,'CEMIUP0.9 Raw'!$B$6:$B$1712,$J879,'CEMIUP0.9 Raw'!$H$6:$H$1712,"Y")</f>
        <v>0</v>
      </c>
      <c r="H879" s="18" t="s">
        <v>44</v>
      </c>
      <c r="I879" s="18"/>
      <c r="J879" s="18" t="s">
        <v>442</v>
      </c>
    </row>
    <row r="880" customFormat="false" ht="15" hidden="false" customHeight="false" outlineLevel="0" collapsed="false">
      <c r="A880" s="18" t="str">
        <f aca="false">IF(ISNUMBER($J880),$J880,"")</f>
        <v/>
      </c>
      <c r="B880" s="18" t="str">
        <f aca="false">IFERROR(INDEX('SALES Raw'!$B$6:$B$4467,MATCH($J880,'SALES Raw'!$J$6:$J$4467,0)),IFERROR(INDEX('CEMIUP0.9 Raw'!$B$6:$B$1712,MATCH($J880,'CEMIUP0.9 Raw'!$B$6:$B$1712,0)),$J880))</f>
        <v>422EU XXL</v>
      </c>
      <c r="C880" s="18" t="str">
        <f aca="false">IF(ISNUMBER($J880),IFERROR(INDEX('TRANS'!$C:$C,MATCH($J880,'TRANS'!$B:$B,0)),IFERROR(INDEX('Catalog'!$B:$B,MATCH($J880,'Catalog'!$A:$A,0)),$B880)),$B880)</f>
        <v>422EU XXL</v>
      </c>
      <c r="D880" s="19" t="n">
        <f aca="false">SUMIFS('SALES Raw'!$C$6:$C$4467,'SALES Raw'!$J$6:$J$4467,$J880,'SALES Raw'!$K$6:$K$4467,"Y")+SUMIFS('CEMIUP0.9 Raw'!$D$6:$D$1712,'CEMIUP0.9 Raw'!$B$6:$B$1712,$J880,'CEMIUP0.9 Raw'!$H$6:$H$1712,"Y")</f>
        <v>10</v>
      </c>
      <c r="E880" s="19" t="n">
        <f aca="false">SUMIFS('SALES Raw'!$D$6:$D$4467,'SALES Raw'!$J$6:$J$4467,$J880,'SALES Raw'!$K$6:$K$4467,"Y")+SUMIFS('CEMIUP0.9 Raw'!$E$6:$E$1712,'CEMIUP0.9 Raw'!$B$6:$B$1712,$J880,'CEMIUP0.9 Raw'!$H$6:$H$1712,"Y")</f>
        <v>864.8</v>
      </c>
      <c r="F880" s="19" t="n">
        <f aca="false">SUMIFS('SALES Raw'!$E$6:$E$4467,'SALES Raw'!$J$6:$J$4467,$J880,'SALES Raw'!$K$6:$K$4467,"Y")*$H$4+SUMIFS('CEMIUP0.9 Raw'!$F$6:$F$1712,'CEMIUP0.9 Raw'!$B$6:$B$1712,$J880,'CEMIUP0.9 Raw'!$H$6:$H$1712,"Y")</f>
        <v>0</v>
      </c>
      <c r="G880" s="19" t="n">
        <f aca="false">SUMIFS('SALES Raw'!$F$6:$F$4467,'SALES Raw'!$J$6:$J$4467,$J880,'SALES Raw'!$K$6:$K$4467,"Y")*$H$4+SUMIFS('CEMIUP0.9 Raw'!$G$6:$G$1712,'CEMIUP0.9 Raw'!$B$6:$B$1712,$J880,'CEMIUP0.9 Raw'!$H$6:$H$1712,"Y")</f>
        <v>0</v>
      </c>
      <c r="H880" s="18" t="s">
        <v>44</v>
      </c>
      <c r="I880" s="18"/>
      <c r="J880" s="18" t="s">
        <v>443</v>
      </c>
    </row>
    <row r="881" customFormat="false" ht="15" hidden="false" customHeight="false" outlineLevel="0" collapsed="false">
      <c r="A881" s="18" t="str">
        <f aca="false">IF(ISNUMBER($J881),$J881,"")</f>
        <v/>
      </c>
      <c r="B881" s="18" t="str">
        <f aca="false">IFERROR(INDEX('SALES Raw'!$B$6:$B$4467,MATCH($J881,'SALES Raw'!$J$6:$J$4467,0)),IFERROR(INDEX('CEMIUP0.9 Raw'!$B$6:$B$1712,MATCH($J881,'CEMIUP0.9 Raw'!$B$6:$B$1712,0)),$J881))</f>
        <v>422N L</v>
      </c>
      <c r="C881" s="18" t="str">
        <f aca="false">IF(ISNUMBER($J881),IFERROR(INDEX('TRANS'!$C:$C,MATCH($J881,'TRANS'!$B:$B,0)),IFERROR(INDEX('Catalog'!$B:$B,MATCH($J881,'Catalog'!$A:$A,0)),$B881)),$B881)</f>
        <v>422N L</v>
      </c>
      <c r="D881" s="19" t="n">
        <f aca="false">SUMIFS('SALES Raw'!$C$6:$C$4467,'SALES Raw'!$J$6:$J$4467,$J881,'SALES Raw'!$K$6:$K$4467,"Y")+SUMIFS('CEMIUP0.9 Raw'!$D$6:$D$1712,'CEMIUP0.9 Raw'!$B$6:$B$1712,$J881,'CEMIUP0.9 Raw'!$H$6:$H$1712,"Y")</f>
        <v>2</v>
      </c>
      <c r="E881" s="19" t="n">
        <f aca="false">SUMIFS('SALES Raw'!$D$6:$D$4467,'SALES Raw'!$J$6:$J$4467,$J881,'SALES Raw'!$K$6:$K$4467,"Y")+SUMIFS('CEMIUP0.9 Raw'!$E$6:$E$1712,'CEMIUP0.9 Raw'!$B$6:$B$1712,$J881,'CEMIUP0.9 Raw'!$H$6:$H$1712,"Y")</f>
        <v>305.45</v>
      </c>
      <c r="F881" s="19" t="n">
        <f aca="false">SUMIFS('SALES Raw'!$E$6:$E$4467,'SALES Raw'!$J$6:$J$4467,$J881,'SALES Raw'!$K$6:$K$4467,"Y")*$H$4+SUMIFS('CEMIUP0.9 Raw'!$F$6:$F$1712,'CEMIUP0.9 Raw'!$B$6:$B$1712,$J881,'CEMIUP0.9 Raw'!$H$6:$H$1712,"Y")</f>
        <v>0</v>
      </c>
      <c r="G881" s="19" t="n">
        <f aca="false">SUMIFS('SALES Raw'!$F$6:$F$4467,'SALES Raw'!$J$6:$J$4467,$J881,'SALES Raw'!$K$6:$K$4467,"Y")*$H$4+SUMIFS('CEMIUP0.9 Raw'!$G$6:$G$1712,'CEMIUP0.9 Raw'!$B$6:$B$1712,$J881,'CEMIUP0.9 Raw'!$H$6:$H$1712,"Y")</f>
        <v>0</v>
      </c>
      <c r="H881" s="18" t="s">
        <v>44</v>
      </c>
      <c r="I881" s="18" t="s">
        <v>54</v>
      </c>
      <c r="J881" s="18" t="s">
        <v>444</v>
      </c>
    </row>
    <row r="882" customFormat="false" ht="15" hidden="false" customHeight="false" outlineLevel="0" collapsed="false">
      <c r="A882" s="18" t="str">
        <f aca="false">IF(ISNUMBER($J882),$J882,"")</f>
        <v/>
      </c>
      <c r="B882" s="18" t="str">
        <f aca="false">IFERROR(INDEX('SALES Raw'!$B$6:$B$4467,MATCH($J882,'SALES Raw'!$J$6:$J$4467,0)),IFERROR(INDEX('CEMIUP0.9 Raw'!$B$6:$B$1712,MATCH($J882,'CEMIUP0.9 Raw'!$B$6:$B$1712,0)),$J882))</f>
        <v>422N S</v>
      </c>
      <c r="C882" s="18" t="str">
        <f aca="false">IF(ISNUMBER($J882),IFERROR(INDEX('TRANS'!$C:$C,MATCH($J882,'TRANS'!$B:$B,0)),IFERROR(INDEX('Catalog'!$B:$B,MATCH($J882,'Catalog'!$A:$A,0)),$B882)),$B882)</f>
        <v>422N S</v>
      </c>
      <c r="D882" s="19" t="n">
        <f aca="false">SUMIFS('SALES Raw'!$C$6:$C$4467,'SALES Raw'!$J$6:$J$4467,$J882,'SALES Raw'!$K$6:$K$4467,"Y")+SUMIFS('CEMIUP0.9 Raw'!$D$6:$D$1712,'CEMIUP0.9 Raw'!$B$6:$B$1712,$J882,'CEMIUP0.9 Raw'!$H$6:$H$1712,"Y")</f>
        <v>1</v>
      </c>
      <c r="E882" s="19" t="n">
        <f aca="false">SUMIFS('SALES Raw'!$D$6:$D$4467,'SALES Raw'!$J$6:$J$4467,$J882,'SALES Raw'!$K$6:$K$4467,"Y")+SUMIFS('CEMIUP0.9 Raw'!$E$6:$E$1712,'CEMIUP0.9 Raw'!$B$6:$B$1712,$J882,'CEMIUP0.9 Raw'!$H$6:$H$1712,"Y")</f>
        <v>118</v>
      </c>
      <c r="F882" s="19" t="n">
        <f aca="false">SUMIFS('SALES Raw'!$E$6:$E$4467,'SALES Raw'!$J$6:$J$4467,$J882,'SALES Raw'!$K$6:$K$4467,"Y")*$H$4+SUMIFS('CEMIUP0.9 Raw'!$F$6:$F$1712,'CEMIUP0.9 Raw'!$B$6:$B$1712,$J882,'CEMIUP0.9 Raw'!$H$6:$H$1712,"Y")</f>
        <v>0</v>
      </c>
      <c r="G882" s="19" t="n">
        <f aca="false">SUMIFS('SALES Raw'!$F$6:$F$4467,'SALES Raw'!$J$6:$J$4467,$J882,'SALES Raw'!$K$6:$K$4467,"Y")*$H$4+SUMIFS('CEMIUP0.9 Raw'!$G$6:$G$1712,'CEMIUP0.9 Raw'!$B$6:$B$1712,$J882,'CEMIUP0.9 Raw'!$H$6:$H$1712,"Y")</f>
        <v>0</v>
      </c>
      <c r="H882" s="18" t="s">
        <v>44</v>
      </c>
      <c r="I882" s="18"/>
      <c r="J882" s="18" t="s">
        <v>445</v>
      </c>
    </row>
    <row r="883" customFormat="false" ht="15" hidden="false" customHeight="false" outlineLevel="0" collapsed="false">
      <c r="A883" s="18" t="str">
        <f aca="false">IF(ISNUMBER($J883),$J883,"")</f>
        <v/>
      </c>
      <c r="B883" s="18" t="str">
        <f aca="false">IFERROR(INDEX('SALES Raw'!$B$6:$B$4467,MATCH($J883,'SALES Raw'!$J$6:$J$4467,0)),IFERROR(INDEX('CEMIUP0.9 Raw'!$B$6:$B$1712,MATCH($J883,'CEMIUP0.9 Raw'!$B$6:$B$1712,0)),$J883))</f>
        <v>422N XL</v>
      </c>
      <c r="C883" s="18" t="str">
        <f aca="false">IF(ISNUMBER($J883),IFERROR(INDEX('TRANS'!$C:$C,MATCH($J883,'TRANS'!$B:$B,0)),IFERROR(INDEX('Catalog'!$B:$B,MATCH($J883,'Catalog'!$A:$A,0)),$B883)),$B883)</f>
        <v>422N XL</v>
      </c>
      <c r="D883" s="19" t="n">
        <f aca="false">SUMIFS('SALES Raw'!$C$6:$C$4467,'SALES Raw'!$J$6:$J$4467,$J883,'SALES Raw'!$K$6:$K$4467,"Y")+SUMIFS('CEMIUP0.9 Raw'!$D$6:$D$1712,'CEMIUP0.9 Raw'!$B$6:$B$1712,$J883,'CEMIUP0.9 Raw'!$H$6:$H$1712,"Y")</f>
        <v>4</v>
      </c>
      <c r="E883" s="19" t="n">
        <f aca="false">SUMIFS('SALES Raw'!$D$6:$D$4467,'SALES Raw'!$J$6:$J$4467,$J883,'SALES Raw'!$K$6:$K$4467,"Y")+SUMIFS('CEMIUP0.9 Raw'!$E$6:$E$1712,'CEMIUP0.9 Raw'!$B$6:$B$1712,$J883,'CEMIUP0.9 Raw'!$H$6:$H$1712,"Y")</f>
        <v>680.34</v>
      </c>
      <c r="F883" s="19" t="n">
        <f aca="false">SUMIFS('SALES Raw'!$E$6:$E$4467,'SALES Raw'!$J$6:$J$4467,$J883,'SALES Raw'!$K$6:$K$4467,"Y")*$H$4+SUMIFS('CEMIUP0.9 Raw'!$F$6:$F$1712,'CEMIUP0.9 Raw'!$B$6:$B$1712,$J883,'CEMIUP0.9 Raw'!$H$6:$H$1712,"Y")</f>
        <v>0</v>
      </c>
      <c r="G883" s="19" t="n">
        <f aca="false">SUMIFS('SALES Raw'!$F$6:$F$4467,'SALES Raw'!$J$6:$J$4467,$J883,'SALES Raw'!$K$6:$K$4467,"Y")*$H$4+SUMIFS('CEMIUP0.9 Raw'!$G$6:$G$1712,'CEMIUP0.9 Raw'!$B$6:$B$1712,$J883,'CEMIUP0.9 Raw'!$H$6:$H$1712,"Y")</f>
        <v>0</v>
      </c>
      <c r="H883" s="18" t="s">
        <v>44</v>
      </c>
      <c r="I883" s="18" t="s">
        <v>54</v>
      </c>
      <c r="J883" s="18" t="s">
        <v>446</v>
      </c>
    </row>
    <row r="884" customFormat="false" ht="15" hidden="false" customHeight="false" outlineLevel="0" collapsed="false">
      <c r="A884" s="18" t="str">
        <f aca="false">IF(ISNUMBER($J884),$J884,"")</f>
        <v/>
      </c>
      <c r="B884" s="18" t="str">
        <f aca="false">IFERROR(INDEX('SALES Raw'!$B$6:$B$4467,MATCH($J884,'SALES Raw'!$J$6:$J$4467,0)),IFERROR(INDEX('CEMIUP0.9 Raw'!$B$6:$B$1712,MATCH($J884,'CEMIUP0.9 Raw'!$B$6:$B$1712,0)),$J884))</f>
        <v>T90 0</v>
      </c>
      <c r="C884" s="18" t="str">
        <f aca="false">IF(ISNUMBER($J884),IFERROR(INDEX('TRANS'!$C:$C,MATCH($J884,'TRANS'!$B:$B,0)),IFERROR(INDEX('Catalog'!$B:$B,MATCH($J884,'Catalog'!$A:$A,0)),$B884)),$B884)</f>
        <v>T90 0</v>
      </c>
      <c r="D884" s="19" t="n">
        <f aca="false">SUMIFS('SALES Raw'!$C$6:$C$4467,'SALES Raw'!$J$6:$J$4467,$J884,'SALES Raw'!$K$6:$K$4467,"Y")+SUMIFS('CEMIUP0.9 Raw'!$D$6:$D$1712,'CEMIUP0.9 Raw'!$B$6:$B$1712,$J884,'CEMIUP0.9 Raw'!$H$6:$H$1712,"Y")</f>
        <v>3</v>
      </c>
      <c r="E884" s="19" t="n">
        <f aca="false">SUMIFS('SALES Raw'!$D$6:$D$4467,'SALES Raw'!$J$6:$J$4467,$J884,'SALES Raw'!$K$6:$K$4467,"Y")+SUMIFS('CEMIUP0.9 Raw'!$E$6:$E$1712,'CEMIUP0.9 Raw'!$B$6:$B$1712,$J884,'CEMIUP0.9 Raw'!$H$6:$H$1712,"Y")</f>
        <v>253.38</v>
      </c>
      <c r="F884" s="19" t="n">
        <f aca="false">SUMIFS('SALES Raw'!$E$6:$E$4467,'SALES Raw'!$J$6:$J$4467,$J884,'SALES Raw'!$K$6:$K$4467,"Y")*$H$4+SUMIFS('CEMIUP0.9 Raw'!$F$6:$F$1712,'CEMIUP0.9 Raw'!$B$6:$B$1712,$J884,'CEMIUP0.9 Raw'!$H$6:$H$1712,"Y")</f>
        <v>0</v>
      </c>
      <c r="G884" s="19" t="n">
        <f aca="false">SUMIFS('SALES Raw'!$F$6:$F$4467,'SALES Raw'!$J$6:$J$4467,$J884,'SALES Raw'!$K$6:$K$4467,"Y")*$H$4+SUMIFS('CEMIUP0.9 Raw'!$G$6:$G$1712,'CEMIUP0.9 Raw'!$B$6:$B$1712,$J884,'CEMIUP0.9 Raw'!$H$6:$H$1712,"Y")</f>
        <v>0</v>
      </c>
      <c r="H884" s="18" t="s">
        <v>44</v>
      </c>
      <c r="I884" s="18" t="s">
        <v>53</v>
      </c>
      <c r="J884" s="18" t="s">
        <v>447</v>
      </c>
    </row>
    <row r="885" customFormat="false" ht="15" hidden="false" customHeight="false" outlineLevel="0" collapsed="false">
      <c r="A885" s="18" t="str">
        <f aca="false">IF(ISNUMBER($J885),$J885,"")</f>
        <v/>
      </c>
      <c r="B885" s="18" t="str">
        <f aca="false">IFERROR(INDEX('SALES Raw'!$B$6:$B$4467,MATCH($J885,'SALES Raw'!$J$6:$J$4467,0)),IFERROR(INDEX('CEMIUP0.9 Raw'!$B$6:$B$1712,MATCH($J885,'CEMIUP0.9 Raw'!$B$6:$B$1712,0)),$J885))</f>
        <v>392B-35-38</v>
      </c>
      <c r="C885" s="18" t="str">
        <f aca="false">IF(ISNUMBER($J885),IFERROR(INDEX('TRANS'!$C:$C,MATCH($J885,'TRANS'!$B:$B,0)),IFERROR(INDEX('Catalog'!$B:$B,MATCH($J885,'Catalog'!$A:$A,0)),$B885)),$B885)</f>
        <v>392B-35-38</v>
      </c>
      <c r="D885" s="19" t="n">
        <f aca="false">SUMIFS('SALES Raw'!$C$6:$C$4467,'SALES Raw'!$J$6:$J$4467,$J885,'SALES Raw'!$K$6:$K$4467,"Y")+SUMIFS('CEMIUP0.9 Raw'!$D$6:$D$1712,'CEMIUP0.9 Raw'!$B$6:$B$1712,$J885,'CEMIUP0.9 Raw'!$H$6:$H$1712,"Y")</f>
        <v>51</v>
      </c>
      <c r="E885" s="19" t="n">
        <f aca="false">SUMIFS('SALES Raw'!$D$6:$D$4467,'SALES Raw'!$J$6:$J$4467,$J885,'SALES Raw'!$K$6:$K$4467,"Y")+SUMIFS('CEMIUP0.9 Raw'!$E$6:$E$1712,'CEMIUP0.9 Raw'!$B$6:$B$1712,$J885,'CEMIUP0.9 Raw'!$H$6:$H$1712,"Y")</f>
        <v>892.06</v>
      </c>
      <c r="F885" s="19" t="n">
        <f aca="false">SUMIFS('SALES Raw'!$E$6:$E$4467,'SALES Raw'!$J$6:$J$4467,$J885,'SALES Raw'!$K$6:$K$4467,"Y")*$H$4+SUMIFS('CEMIUP0.9 Raw'!$F$6:$F$1712,'CEMIUP0.9 Raw'!$B$6:$B$1712,$J885,'CEMIUP0.9 Raw'!$H$6:$H$1712,"Y")</f>
        <v>0</v>
      </c>
      <c r="G885" s="19" t="n">
        <f aca="false">SUMIFS('SALES Raw'!$F$6:$F$4467,'SALES Raw'!$J$6:$J$4467,$J885,'SALES Raw'!$K$6:$K$4467,"Y")*$H$4+SUMIFS('CEMIUP0.9 Raw'!$G$6:$G$1712,'CEMIUP0.9 Raw'!$B$6:$B$1712,$J885,'CEMIUP0.9 Raw'!$H$6:$H$1712,"Y")</f>
        <v>0</v>
      </c>
      <c r="H885" s="18" t="s">
        <v>44</v>
      </c>
      <c r="I885" s="18" t="s">
        <v>448</v>
      </c>
      <c r="J885" s="18" t="s">
        <v>449</v>
      </c>
    </row>
    <row r="886" customFormat="false" ht="15" hidden="false" customHeight="false" outlineLevel="0" collapsed="false">
      <c r="A886" s="18" t="str">
        <f aca="false">IF(ISNUMBER($J886),$J886,"")</f>
        <v/>
      </c>
      <c r="B886" s="18" t="str">
        <f aca="false">IFERROR(INDEX('SALES Raw'!$B$6:$B$4467,MATCH($J886,'SALES Raw'!$J$6:$J$4467,0)),IFERROR(INDEX('CEMIUP0.9 Raw'!$B$6:$B$1712,MATCH($J886,'CEMIUP0.9 Raw'!$B$6:$B$1712,0)),$J886))</f>
        <v>392B-39-42</v>
      </c>
      <c r="C886" s="18" t="str">
        <f aca="false">IF(ISNUMBER($J886),IFERROR(INDEX('TRANS'!$C:$C,MATCH($J886,'TRANS'!$B:$B,0)),IFERROR(INDEX('Catalog'!$B:$B,MATCH($J886,'Catalog'!$A:$A,0)),$B886)),$B886)</f>
        <v>392B-39-42</v>
      </c>
      <c r="D886" s="19" t="n">
        <f aca="false">SUMIFS('SALES Raw'!$C$6:$C$4467,'SALES Raw'!$J$6:$J$4467,$J886,'SALES Raw'!$K$6:$K$4467,"Y")+SUMIFS('CEMIUP0.9 Raw'!$D$6:$D$1712,'CEMIUP0.9 Raw'!$B$6:$B$1712,$J886,'CEMIUP0.9 Raw'!$H$6:$H$1712,"Y")</f>
        <v>58</v>
      </c>
      <c r="E886" s="19" t="n">
        <f aca="false">SUMIFS('SALES Raw'!$D$6:$D$4467,'SALES Raw'!$J$6:$J$4467,$J886,'SALES Raw'!$K$6:$K$4467,"Y")+SUMIFS('CEMIUP0.9 Raw'!$E$6:$E$1712,'CEMIUP0.9 Raw'!$B$6:$B$1712,$J886,'CEMIUP0.9 Raw'!$H$6:$H$1712,"Y")</f>
        <v>994.07</v>
      </c>
      <c r="F886" s="19" t="n">
        <f aca="false">SUMIFS('SALES Raw'!$E$6:$E$4467,'SALES Raw'!$J$6:$J$4467,$J886,'SALES Raw'!$K$6:$K$4467,"Y")*$H$4+SUMIFS('CEMIUP0.9 Raw'!$F$6:$F$1712,'CEMIUP0.9 Raw'!$B$6:$B$1712,$J886,'CEMIUP0.9 Raw'!$H$6:$H$1712,"Y")</f>
        <v>0</v>
      </c>
      <c r="G886" s="19" t="n">
        <f aca="false">SUMIFS('SALES Raw'!$F$6:$F$4467,'SALES Raw'!$J$6:$J$4467,$J886,'SALES Raw'!$K$6:$K$4467,"Y")*$H$4+SUMIFS('CEMIUP0.9 Raw'!$G$6:$G$1712,'CEMIUP0.9 Raw'!$B$6:$B$1712,$J886,'CEMIUP0.9 Raw'!$H$6:$H$1712,"Y")</f>
        <v>0</v>
      </c>
      <c r="H886" s="18" t="s">
        <v>44</v>
      </c>
      <c r="I886" s="18" t="s">
        <v>448</v>
      </c>
      <c r="J886" s="18" t="s">
        <v>450</v>
      </c>
    </row>
    <row r="887" customFormat="false" ht="15" hidden="false" customHeight="false" outlineLevel="0" collapsed="false">
      <c r="A887" s="18" t="str">
        <f aca="false">IF(ISNUMBER($J887),$J887,"")</f>
        <v/>
      </c>
      <c r="B887" s="18" t="str">
        <f aca="false">IFERROR(INDEX('SALES Raw'!$B$6:$B$4467,MATCH($J887,'SALES Raw'!$J$6:$J$4467,0)),IFERROR(INDEX('CEMIUP0.9 Raw'!$B$6:$B$1712,MATCH($J887,'CEMIUP0.9 Raw'!$B$6:$B$1712,0)),$J887))</f>
        <v>355 L</v>
      </c>
      <c r="C887" s="18" t="str">
        <f aca="false">IF(ISNUMBER($J887),IFERROR(INDEX('TRANS'!$C:$C,MATCH($J887,'TRANS'!$B:$B,0)),IFERROR(INDEX('Catalog'!$B:$B,MATCH($J887,'Catalog'!$A:$A,0)),$B887)),$B887)</f>
        <v>355 L</v>
      </c>
      <c r="D887" s="19" t="n">
        <f aca="false">SUMIFS('SALES Raw'!$C$6:$C$4467,'SALES Raw'!$J$6:$J$4467,$J887,'SALES Raw'!$K$6:$K$4467,"Y")+SUMIFS('CEMIUP0.9 Raw'!$D$6:$D$1712,'CEMIUP0.9 Raw'!$B$6:$B$1712,$J887,'CEMIUP0.9 Raw'!$H$6:$H$1712,"Y")</f>
        <v>9</v>
      </c>
      <c r="E887" s="19" t="n">
        <f aca="false">SUMIFS('SALES Raw'!$D$6:$D$4467,'SALES Raw'!$J$6:$J$4467,$J887,'SALES Raw'!$K$6:$K$4467,"Y")+SUMIFS('CEMIUP0.9 Raw'!$E$6:$E$1712,'CEMIUP0.9 Raw'!$B$6:$B$1712,$J887,'CEMIUP0.9 Raw'!$H$6:$H$1712,"Y")</f>
        <v>1342.08</v>
      </c>
      <c r="F887" s="19" t="n">
        <f aca="false">SUMIFS('SALES Raw'!$E$6:$E$4467,'SALES Raw'!$J$6:$J$4467,$J887,'SALES Raw'!$K$6:$K$4467,"Y")*$H$4+SUMIFS('CEMIUP0.9 Raw'!$F$6:$F$1712,'CEMIUP0.9 Raw'!$B$6:$B$1712,$J887,'CEMIUP0.9 Raw'!$H$6:$H$1712,"Y")</f>
        <v>0</v>
      </c>
      <c r="G887" s="19" t="n">
        <f aca="false">SUMIFS('SALES Raw'!$F$6:$F$4467,'SALES Raw'!$J$6:$J$4467,$J887,'SALES Raw'!$K$6:$K$4467,"Y")*$H$4+SUMIFS('CEMIUP0.9 Raw'!$G$6:$G$1712,'CEMIUP0.9 Raw'!$B$6:$B$1712,$J887,'CEMIUP0.9 Raw'!$H$6:$H$1712,"Y")</f>
        <v>0</v>
      </c>
      <c r="H887" s="18" t="s">
        <v>44</v>
      </c>
      <c r="I887" s="18" t="s">
        <v>53</v>
      </c>
      <c r="J887" s="18" t="s">
        <v>451</v>
      </c>
    </row>
    <row r="888" customFormat="false" ht="15" hidden="false" customHeight="false" outlineLevel="0" collapsed="false">
      <c r="A888" s="18" t="str">
        <f aca="false">IF(ISNUMBER($J888),$J888,"")</f>
        <v/>
      </c>
      <c r="B888" s="18" t="str">
        <f aca="false">IFERROR(INDEX('SALES Raw'!$B$6:$B$4467,MATCH($J888,'SALES Raw'!$J$6:$J$4467,0)),IFERROR(INDEX('CEMIUP0.9 Raw'!$B$6:$B$1712,MATCH($J888,'CEMIUP0.9 Raw'!$B$6:$B$1712,0)),$J888))</f>
        <v>355 S</v>
      </c>
      <c r="C888" s="18" t="str">
        <f aca="false">IF(ISNUMBER($J888),IFERROR(INDEX('TRANS'!$C:$C,MATCH($J888,'TRANS'!$B:$B,0)),IFERROR(INDEX('Catalog'!$B:$B,MATCH($J888,'Catalog'!$A:$A,0)),$B888)),$B888)</f>
        <v>355 S</v>
      </c>
      <c r="D888" s="19" t="n">
        <f aca="false">SUMIFS('SALES Raw'!$C$6:$C$4467,'SALES Raw'!$J$6:$J$4467,$J888,'SALES Raw'!$K$6:$K$4467,"Y")+SUMIFS('CEMIUP0.9 Raw'!$D$6:$D$1712,'CEMIUP0.9 Raw'!$B$6:$B$1712,$J888,'CEMIUP0.9 Raw'!$H$6:$H$1712,"Y")</f>
        <v>4</v>
      </c>
      <c r="E888" s="19" t="n">
        <f aca="false">SUMIFS('SALES Raw'!$D$6:$D$4467,'SALES Raw'!$J$6:$J$4467,$J888,'SALES Raw'!$K$6:$K$4467,"Y")+SUMIFS('CEMIUP0.9 Raw'!$E$6:$E$1712,'CEMIUP0.9 Raw'!$B$6:$B$1712,$J888,'CEMIUP0.9 Raw'!$H$6:$H$1712,"Y")</f>
        <v>755.51</v>
      </c>
      <c r="F888" s="19" t="n">
        <f aca="false">SUMIFS('SALES Raw'!$E$6:$E$4467,'SALES Raw'!$J$6:$J$4467,$J888,'SALES Raw'!$K$6:$K$4467,"Y")*$H$4+SUMIFS('CEMIUP0.9 Raw'!$F$6:$F$1712,'CEMIUP0.9 Raw'!$B$6:$B$1712,$J888,'CEMIUP0.9 Raw'!$H$6:$H$1712,"Y")</f>
        <v>0</v>
      </c>
      <c r="G888" s="19" t="n">
        <f aca="false">SUMIFS('SALES Raw'!$F$6:$F$4467,'SALES Raw'!$J$6:$J$4467,$J888,'SALES Raw'!$K$6:$K$4467,"Y")*$H$4+SUMIFS('CEMIUP0.9 Raw'!$G$6:$G$1712,'CEMIUP0.9 Raw'!$B$6:$B$1712,$J888,'CEMIUP0.9 Raw'!$H$6:$H$1712,"Y")</f>
        <v>0</v>
      </c>
      <c r="H888" s="18" t="s">
        <v>44</v>
      </c>
      <c r="I888" s="18"/>
      <c r="J888" s="18" t="s">
        <v>452</v>
      </c>
    </row>
    <row r="889" customFormat="false" ht="15" hidden="false" customHeight="false" outlineLevel="0" collapsed="false">
      <c r="A889" s="18" t="str">
        <f aca="false">IF(ISNUMBER($J889),$J889,"")</f>
        <v/>
      </c>
      <c r="B889" s="18" t="str">
        <f aca="false">IFERROR(INDEX('SALES Raw'!$B$6:$B$4467,MATCH($J889,'SALES Raw'!$J$6:$J$4467,0)),IFERROR(INDEX('CEMIUP0.9 Raw'!$B$6:$B$1712,MATCH($J889,'CEMIUP0.9 Raw'!$B$6:$B$1712,0)),$J889))</f>
        <v>305GA-47-48</v>
      </c>
      <c r="C889" s="18" t="str">
        <f aca="false">IF(ISNUMBER($J889),IFERROR(INDEX('TRANS'!$C:$C,MATCH($J889,'TRANS'!$B:$B,0)),IFERROR(INDEX('Catalog'!$B:$B,MATCH($J889,'Catalog'!$A:$A,0)),$B889)),$B889)</f>
        <v>305GA-47-48</v>
      </c>
      <c r="D889" s="19" t="n">
        <f aca="false">SUMIFS('SALES Raw'!$C$6:$C$4467,'SALES Raw'!$J$6:$J$4467,$J889,'SALES Raw'!$K$6:$K$4467,"Y")+SUMIFS('CEMIUP0.9 Raw'!$D$6:$D$1712,'CEMIUP0.9 Raw'!$B$6:$B$1712,$J889,'CEMIUP0.9 Raw'!$H$6:$H$1712,"Y")</f>
        <v>2</v>
      </c>
      <c r="E889" s="19" t="n">
        <f aca="false">SUMIFS('SALES Raw'!$D$6:$D$4467,'SALES Raw'!$J$6:$J$4467,$J889,'SALES Raw'!$K$6:$K$4467,"Y")+SUMIFS('CEMIUP0.9 Raw'!$E$6:$E$1712,'CEMIUP0.9 Raw'!$B$6:$B$1712,$J889,'CEMIUP0.9 Raw'!$H$6:$H$1712,"Y")</f>
        <v>160.02</v>
      </c>
      <c r="F889" s="19" t="n">
        <f aca="false">SUMIFS('SALES Raw'!$E$6:$E$4467,'SALES Raw'!$J$6:$J$4467,$J889,'SALES Raw'!$K$6:$K$4467,"Y")*$H$4+SUMIFS('CEMIUP0.9 Raw'!$F$6:$F$1712,'CEMIUP0.9 Raw'!$B$6:$B$1712,$J889,'CEMIUP0.9 Raw'!$H$6:$H$1712,"Y")</f>
        <v>0</v>
      </c>
      <c r="G889" s="19" t="n">
        <f aca="false">SUMIFS('SALES Raw'!$F$6:$F$4467,'SALES Raw'!$J$6:$J$4467,$J889,'SALES Raw'!$K$6:$K$4467,"Y")*$H$4+SUMIFS('CEMIUP0.9 Raw'!$G$6:$G$1712,'CEMIUP0.9 Raw'!$B$6:$B$1712,$J889,'CEMIUP0.9 Raw'!$H$6:$H$1712,"Y")</f>
        <v>0</v>
      </c>
      <c r="H889" s="18" t="s">
        <v>44</v>
      </c>
      <c r="I889" s="18"/>
      <c r="J889" s="18" t="s">
        <v>453</v>
      </c>
    </row>
    <row r="890" customFormat="false" ht="15" hidden="false" customHeight="false" outlineLevel="0" collapsed="false">
      <c r="A890" s="18" t="str">
        <f aca="false">IF(ISNUMBER($J890),$J890,"")</f>
        <v/>
      </c>
      <c r="B890" s="18" t="str">
        <f aca="false">IFERROR(INDEX('SALES Raw'!$B$6:$B$4467,MATCH($J890,'SALES Raw'!$J$6:$J$4467,0)),IFERROR(INDEX('CEMIUP0.9 Raw'!$B$6:$B$1712,MATCH($J890,'CEMIUP0.9 Raw'!$B$6:$B$1712,0)),$J890))</f>
        <v>06 L</v>
      </c>
      <c r="C890" s="18" t="str">
        <f aca="false">IF(ISNUMBER($J890),IFERROR(INDEX('TRANS'!$C:$C,MATCH($J890,'TRANS'!$B:$B,0)),IFERROR(INDEX('Catalog'!$B:$B,MATCH($J890,'Catalog'!$A:$A,0)),$B890)),$B890)</f>
        <v>06 L</v>
      </c>
      <c r="D890" s="19" t="n">
        <f aca="false">SUMIFS('SALES Raw'!$C$6:$C$4467,'SALES Raw'!$J$6:$J$4467,$J890,'SALES Raw'!$K$6:$K$4467,"Y")+SUMIFS('CEMIUP0.9 Raw'!$D$6:$D$1712,'CEMIUP0.9 Raw'!$B$6:$B$1712,$J890,'CEMIUP0.9 Raw'!$H$6:$H$1712,"Y")</f>
        <v>1</v>
      </c>
      <c r="E890" s="19" t="n">
        <f aca="false">SUMIFS('SALES Raw'!$D$6:$D$4467,'SALES Raw'!$J$6:$J$4467,$J890,'SALES Raw'!$K$6:$K$4467,"Y")+SUMIFS('CEMIUP0.9 Raw'!$E$6:$E$1712,'CEMIUP0.9 Raw'!$B$6:$B$1712,$J890,'CEMIUP0.9 Raw'!$H$6:$H$1712,"Y")</f>
        <v>170.13</v>
      </c>
      <c r="F890" s="19" t="n">
        <f aca="false">SUMIFS('SALES Raw'!$E$6:$E$4467,'SALES Raw'!$J$6:$J$4467,$J890,'SALES Raw'!$K$6:$K$4467,"Y")*$H$4+SUMIFS('CEMIUP0.9 Raw'!$F$6:$F$1712,'CEMIUP0.9 Raw'!$B$6:$B$1712,$J890,'CEMIUP0.9 Raw'!$H$6:$H$1712,"Y")</f>
        <v>0</v>
      </c>
      <c r="G890" s="19" t="n">
        <f aca="false">SUMIFS('SALES Raw'!$F$6:$F$4467,'SALES Raw'!$J$6:$J$4467,$J890,'SALES Raw'!$K$6:$K$4467,"Y")*$H$4+SUMIFS('CEMIUP0.9 Raw'!$G$6:$G$1712,'CEMIUP0.9 Raw'!$B$6:$B$1712,$J890,'CEMIUP0.9 Raw'!$H$6:$H$1712,"Y")</f>
        <v>0</v>
      </c>
      <c r="H890" s="18" t="s">
        <v>44</v>
      </c>
      <c r="I890" s="18"/>
      <c r="J890" s="18" t="s">
        <v>454</v>
      </c>
    </row>
    <row r="891" customFormat="false" ht="15" hidden="false" customHeight="false" outlineLevel="0" collapsed="false">
      <c r="A891" s="18" t="str">
        <f aca="false">IF(ISNUMBER($J891),$J891,"")</f>
        <v/>
      </c>
      <c r="B891" s="18" t="str">
        <f aca="false">IFERROR(INDEX('SALES Raw'!$B$6:$B$4467,MATCH($J891,'SALES Raw'!$J$6:$J$4467,0)),IFERROR(INDEX('CEMIUP0.9 Raw'!$B$6:$B$1712,MATCH($J891,'CEMIUP0.9 Raw'!$B$6:$B$1712,0)),$J891))</f>
        <v>06 XXL</v>
      </c>
      <c r="C891" s="18" t="str">
        <f aca="false">IF(ISNUMBER($J891),IFERROR(INDEX('TRANS'!$C:$C,MATCH($J891,'TRANS'!$B:$B,0)),IFERROR(INDEX('Catalog'!$B:$B,MATCH($J891,'Catalog'!$A:$A,0)),$B891)),$B891)</f>
        <v>06 XXL</v>
      </c>
      <c r="D891" s="19" t="n">
        <f aca="false">SUMIFS('SALES Raw'!$C$6:$C$4467,'SALES Raw'!$J$6:$J$4467,$J891,'SALES Raw'!$K$6:$K$4467,"Y")+SUMIFS('CEMIUP0.9 Raw'!$D$6:$D$1712,'CEMIUP0.9 Raw'!$B$6:$B$1712,$J891,'CEMIUP0.9 Raw'!$H$6:$H$1712,"Y")</f>
        <v>3</v>
      </c>
      <c r="E891" s="19" t="n">
        <f aca="false">SUMIFS('SALES Raw'!$D$6:$D$4467,'SALES Raw'!$J$6:$J$4467,$J891,'SALES Raw'!$K$6:$K$4467,"Y")+SUMIFS('CEMIUP0.9 Raw'!$E$6:$E$1712,'CEMIUP0.9 Raw'!$B$6:$B$1712,$J891,'CEMIUP0.9 Raw'!$H$6:$H$1712,"Y")</f>
        <v>510.35</v>
      </c>
      <c r="F891" s="19" t="n">
        <f aca="false">SUMIFS('SALES Raw'!$E$6:$E$4467,'SALES Raw'!$J$6:$J$4467,$J891,'SALES Raw'!$K$6:$K$4467,"Y")*$H$4+SUMIFS('CEMIUP0.9 Raw'!$F$6:$F$1712,'CEMIUP0.9 Raw'!$B$6:$B$1712,$J891,'CEMIUP0.9 Raw'!$H$6:$H$1712,"Y")</f>
        <v>0</v>
      </c>
      <c r="G891" s="19" t="n">
        <f aca="false">SUMIFS('SALES Raw'!$F$6:$F$4467,'SALES Raw'!$J$6:$J$4467,$J891,'SALES Raw'!$K$6:$K$4467,"Y")*$H$4+SUMIFS('CEMIUP0.9 Raw'!$G$6:$G$1712,'CEMIUP0.9 Raw'!$B$6:$B$1712,$J891,'CEMIUP0.9 Raw'!$H$6:$H$1712,"Y")</f>
        <v>0</v>
      </c>
      <c r="H891" s="18" t="s">
        <v>44</v>
      </c>
      <c r="I891" s="18" t="s">
        <v>54</v>
      </c>
      <c r="J891" s="18" t="s">
        <v>455</v>
      </c>
    </row>
    <row r="892" customFormat="false" ht="15" hidden="false" customHeight="false" outlineLevel="0" collapsed="false">
      <c r="A892" s="18" t="str">
        <f aca="false">IF(ISNUMBER($J892),$J892,"")</f>
        <v/>
      </c>
      <c r="B892" s="18" t="str">
        <f aca="false">IFERROR(INDEX('SALES Raw'!$B$6:$B$4467,MATCH($J892,'SALES Raw'!$J$6:$J$4467,0)),IFERROR(INDEX('CEMIUP0.9 Raw'!$B$6:$B$1712,MATCH($J892,'CEMIUP0.9 Raw'!$B$6:$B$1712,0)),$J892))</f>
        <v>422 M</v>
      </c>
      <c r="C892" s="18" t="str">
        <f aca="false">IF(ISNUMBER($J892),IFERROR(INDEX('TRANS'!$C:$C,MATCH($J892,'TRANS'!$B:$B,0)),IFERROR(INDEX('Catalog'!$B:$B,MATCH($J892,'Catalog'!$A:$A,0)),$B892)),$B892)</f>
        <v>422 M</v>
      </c>
      <c r="D892" s="19" t="n">
        <f aca="false">SUMIFS('SALES Raw'!$C$6:$C$4467,'SALES Raw'!$J$6:$J$4467,$J892,'SALES Raw'!$K$6:$K$4467,"Y")+SUMIFS('CEMIUP0.9 Raw'!$D$6:$D$1712,'CEMIUP0.9 Raw'!$B$6:$B$1712,$J892,'CEMIUP0.9 Raw'!$H$6:$H$1712,"Y")</f>
        <v>2</v>
      </c>
      <c r="E892" s="19" t="n">
        <f aca="false">SUMIFS('SALES Raw'!$D$6:$D$4467,'SALES Raw'!$J$6:$J$4467,$J892,'SALES Raw'!$K$6:$K$4467,"Y")+SUMIFS('CEMIUP0.9 Raw'!$E$6:$E$1712,'CEMIUP0.9 Raw'!$B$6:$B$1712,$J892,'CEMIUP0.9 Raw'!$H$6:$H$1712,"Y")</f>
        <v>374.9</v>
      </c>
      <c r="F892" s="19" t="n">
        <f aca="false">SUMIFS('SALES Raw'!$E$6:$E$4467,'SALES Raw'!$J$6:$J$4467,$J892,'SALES Raw'!$K$6:$K$4467,"Y")*$H$4+SUMIFS('CEMIUP0.9 Raw'!$F$6:$F$1712,'CEMIUP0.9 Raw'!$B$6:$B$1712,$J892,'CEMIUP0.9 Raw'!$H$6:$H$1712,"Y")</f>
        <v>0</v>
      </c>
      <c r="G892" s="19" t="n">
        <f aca="false">SUMIFS('SALES Raw'!$F$6:$F$4467,'SALES Raw'!$J$6:$J$4467,$J892,'SALES Raw'!$K$6:$K$4467,"Y")*$H$4+SUMIFS('CEMIUP0.9 Raw'!$G$6:$G$1712,'CEMIUP0.9 Raw'!$B$6:$B$1712,$J892,'CEMIUP0.9 Raw'!$H$6:$H$1712,"Y")</f>
        <v>0</v>
      </c>
      <c r="H892" s="18" t="s">
        <v>44</v>
      </c>
      <c r="I892" s="18"/>
      <c r="J892" s="18" t="s">
        <v>456</v>
      </c>
    </row>
    <row r="893" customFormat="false" ht="15" hidden="false" customHeight="false" outlineLevel="0" collapsed="false">
      <c r="A893" s="18" t="str">
        <f aca="false">IF(ISNUMBER($J893),$J893,"")</f>
        <v/>
      </c>
      <c r="B893" s="18" t="str">
        <f aca="false">IFERROR(INDEX('SALES Raw'!$B$6:$B$4467,MATCH($J893,'SALES Raw'!$J$6:$J$4467,0)),IFERROR(INDEX('CEMIUP0.9 Raw'!$B$6:$B$1712,MATCH($J893,'CEMIUP0.9 Raw'!$B$6:$B$1712,0)),$J893))</f>
        <v>422 XL</v>
      </c>
      <c r="C893" s="18" t="str">
        <f aca="false">IF(ISNUMBER($J893),IFERROR(INDEX('TRANS'!$C:$C,MATCH($J893,'TRANS'!$B:$B,0)),IFERROR(INDEX('Catalog'!$B:$B,MATCH($J893,'Catalog'!$A:$A,0)),$B893)),$B893)</f>
        <v>422 XL</v>
      </c>
      <c r="D893" s="19" t="n">
        <f aca="false">SUMIFS('SALES Raw'!$C$6:$C$4467,'SALES Raw'!$J$6:$J$4467,$J893,'SALES Raw'!$K$6:$K$4467,"Y")+SUMIFS('CEMIUP0.9 Raw'!$D$6:$D$1712,'CEMIUP0.9 Raw'!$B$6:$B$1712,$J893,'CEMIUP0.9 Raw'!$H$6:$H$1712,"Y")</f>
        <v>3</v>
      </c>
      <c r="E893" s="19" t="n">
        <f aca="false">SUMIFS('SALES Raw'!$D$6:$D$4467,'SALES Raw'!$J$6:$J$4467,$J893,'SALES Raw'!$K$6:$K$4467,"Y")+SUMIFS('CEMIUP0.9 Raw'!$E$6:$E$1712,'CEMIUP0.9 Raw'!$B$6:$B$1712,$J893,'CEMIUP0.9 Raw'!$H$6:$H$1712,"Y")</f>
        <v>631.64</v>
      </c>
      <c r="F893" s="19" t="n">
        <f aca="false">SUMIFS('SALES Raw'!$E$6:$E$4467,'SALES Raw'!$J$6:$J$4467,$J893,'SALES Raw'!$K$6:$K$4467,"Y")*$H$4+SUMIFS('CEMIUP0.9 Raw'!$F$6:$F$1712,'CEMIUP0.9 Raw'!$B$6:$B$1712,$J893,'CEMIUP0.9 Raw'!$H$6:$H$1712,"Y")</f>
        <v>0</v>
      </c>
      <c r="G893" s="19" t="n">
        <f aca="false">SUMIFS('SALES Raw'!$F$6:$F$4467,'SALES Raw'!$J$6:$J$4467,$J893,'SALES Raw'!$K$6:$K$4467,"Y")*$H$4+SUMIFS('CEMIUP0.9 Raw'!$G$6:$G$1712,'CEMIUP0.9 Raw'!$B$6:$B$1712,$J893,'CEMIUP0.9 Raw'!$H$6:$H$1712,"Y")</f>
        <v>0</v>
      </c>
      <c r="H893" s="18" t="s">
        <v>44</v>
      </c>
      <c r="I893" s="18" t="s">
        <v>42</v>
      </c>
      <c r="J893" s="18" t="s">
        <v>457</v>
      </c>
    </row>
    <row r="894" customFormat="false" ht="15" hidden="false" customHeight="false" outlineLevel="0" collapsed="false">
      <c r="A894" s="18" t="str">
        <f aca="false">IF(ISNUMBER($J894),$J894,"")</f>
        <v/>
      </c>
      <c r="B894" s="18" t="str">
        <f aca="false">IFERROR(INDEX('SALES Raw'!$B$6:$B$4467,MATCH($J894,'SALES Raw'!$J$6:$J$4467,0)),IFERROR(INDEX('CEMIUP0.9 Raw'!$B$6:$B$1712,MATCH($J894,'CEMIUP0.9 Raw'!$B$6:$B$1712,0)),$J894))</f>
        <v>422N XXL</v>
      </c>
      <c r="C894" s="18" t="str">
        <f aca="false">IF(ISNUMBER($J894),IFERROR(INDEX('TRANS'!$C:$C,MATCH($J894,'TRANS'!$B:$B,0)),IFERROR(INDEX('Catalog'!$B:$B,MATCH($J894,'Catalog'!$A:$A,0)),$B894)),$B894)</f>
        <v>422N XXL</v>
      </c>
      <c r="D894" s="19" t="n">
        <f aca="false">SUMIFS('SALES Raw'!$C$6:$C$4467,'SALES Raw'!$J$6:$J$4467,$J894,'SALES Raw'!$K$6:$K$4467,"Y")+SUMIFS('CEMIUP0.9 Raw'!$D$6:$D$1712,'CEMIUP0.9 Raw'!$B$6:$B$1712,$J894,'CEMIUP0.9 Raw'!$H$6:$H$1712,"Y")</f>
        <v>3</v>
      </c>
      <c r="E894" s="19" t="n">
        <f aca="false">SUMIFS('SALES Raw'!$D$6:$D$4467,'SALES Raw'!$J$6:$J$4467,$J894,'SALES Raw'!$K$6:$K$4467,"Y")+SUMIFS('CEMIUP0.9 Raw'!$E$6:$E$1712,'CEMIUP0.9 Raw'!$B$6:$B$1712,$J894,'CEMIUP0.9 Raw'!$H$6:$H$1712,"Y")</f>
        <v>714.47</v>
      </c>
      <c r="F894" s="19" t="n">
        <f aca="false">SUMIFS('SALES Raw'!$E$6:$E$4467,'SALES Raw'!$J$6:$J$4467,$J894,'SALES Raw'!$K$6:$K$4467,"Y")*$H$4+SUMIFS('CEMIUP0.9 Raw'!$F$6:$F$1712,'CEMIUP0.9 Raw'!$B$6:$B$1712,$J894,'CEMIUP0.9 Raw'!$H$6:$H$1712,"Y")</f>
        <v>0</v>
      </c>
      <c r="G894" s="19" t="n">
        <f aca="false">SUMIFS('SALES Raw'!$F$6:$F$4467,'SALES Raw'!$J$6:$J$4467,$J894,'SALES Raw'!$K$6:$K$4467,"Y")*$H$4+SUMIFS('CEMIUP0.9 Raw'!$G$6:$G$1712,'CEMIUP0.9 Raw'!$B$6:$B$1712,$J894,'CEMIUP0.9 Raw'!$H$6:$H$1712,"Y")</f>
        <v>0</v>
      </c>
      <c r="H894" s="18" t="s">
        <v>44</v>
      </c>
      <c r="I894" s="18" t="s">
        <v>42</v>
      </c>
      <c r="J894" s="18" t="s">
        <v>458</v>
      </c>
    </row>
    <row r="895" customFormat="false" ht="15" hidden="false" customHeight="false" outlineLevel="0" collapsed="false">
      <c r="A895" s="18" t="str">
        <f aca="false">IF(ISNUMBER($J895),$J895,"")</f>
        <v/>
      </c>
      <c r="B895" s="18" t="str">
        <f aca="false">IFERROR(INDEX('SALES Raw'!$B$6:$B$4467,MATCH($J895,'SALES Raw'!$J$6:$J$4467,0)),IFERROR(INDEX('CEMIUP0.9 Raw'!$B$6:$B$1712,MATCH($J895,'CEMIUP0.9 Raw'!$B$6:$B$1712,0)),$J895))</f>
        <v>85+ S</v>
      </c>
      <c r="C895" s="18" t="str">
        <f aca="false">IF(ISNUMBER($J895),IFERROR(INDEX('TRANS'!$C:$C,MATCH($J895,'TRANS'!$B:$B,0)),IFERROR(INDEX('Catalog'!$B:$B,MATCH($J895,'Catalog'!$A:$A,0)),$B895)),$B895)</f>
        <v>85+ S</v>
      </c>
      <c r="D895" s="19" t="n">
        <f aca="false">SUMIFS('SALES Raw'!$C$6:$C$4467,'SALES Raw'!$J$6:$J$4467,$J895,'SALES Raw'!$K$6:$K$4467,"Y")+SUMIFS('CEMIUP0.9 Raw'!$D$6:$D$1712,'CEMIUP0.9 Raw'!$B$6:$B$1712,$J895,'CEMIUP0.9 Raw'!$H$6:$H$1712,"Y")</f>
        <v>16</v>
      </c>
      <c r="E895" s="19" t="n">
        <f aca="false">SUMIFS('SALES Raw'!$D$6:$D$4467,'SALES Raw'!$J$6:$J$4467,$J895,'SALES Raw'!$K$6:$K$4467,"Y")+SUMIFS('CEMIUP0.9 Raw'!$E$6:$E$1712,'CEMIUP0.9 Raw'!$B$6:$B$1712,$J895,'CEMIUP0.9 Raw'!$H$6:$H$1712,"Y")</f>
        <v>1262.2</v>
      </c>
      <c r="F895" s="19" t="n">
        <f aca="false">SUMIFS('SALES Raw'!$E$6:$E$4467,'SALES Raw'!$J$6:$J$4467,$J895,'SALES Raw'!$K$6:$K$4467,"Y")*$H$4+SUMIFS('CEMIUP0.9 Raw'!$F$6:$F$1712,'CEMIUP0.9 Raw'!$B$6:$B$1712,$J895,'CEMIUP0.9 Raw'!$H$6:$H$1712,"Y")</f>
        <v>0</v>
      </c>
      <c r="G895" s="19" t="n">
        <f aca="false">SUMIFS('SALES Raw'!$F$6:$F$4467,'SALES Raw'!$J$6:$J$4467,$J895,'SALES Raw'!$K$6:$K$4467,"Y")*$H$4+SUMIFS('CEMIUP0.9 Raw'!$G$6:$G$1712,'CEMIUP0.9 Raw'!$B$6:$B$1712,$J895,'CEMIUP0.9 Raw'!$H$6:$H$1712,"Y")</f>
        <v>127.717894736842</v>
      </c>
      <c r="H895" s="18" t="s">
        <v>42</v>
      </c>
      <c r="I895" s="18" t="s">
        <v>53</v>
      </c>
      <c r="J895" s="18" t="s">
        <v>459</v>
      </c>
    </row>
    <row r="896" customFormat="false" ht="15" hidden="false" customHeight="false" outlineLevel="0" collapsed="false">
      <c r="A896" s="18" t="str">
        <f aca="false">IF(ISNUMBER($J896),$J896,"")</f>
        <v/>
      </c>
      <c r="B896" s="18" t="str">
        <f aca="false">IFERROR(INDEX('SALES Raw'!$B$6:$B$4467,MATCH($J896,'SALES Raw'!$J$6:$J$4467,0)),IFERROR(INDEX('CEMIUP0.9 Raw'!$B$6:$B$1712,MATCH($J896,'CEMIUP0.9 Raw'!$B$6:$B$1712,0)),$J896))</f>
        <v>61 XL</v>
      </c>
      <c r="C896" s="18" t="str">
        <f aca="false">IF(ISNUMBER($J896),IFERROR(INDEX('TRANS'!$C:$C,MATCH($J896,'TRANS'!$B:$B,0)),IFERROR(INDEX('Catalog'!$B:$B,MATCH($J896,'Catalog'!$A:$A,0)),$B896)),$B896)</f>
        <v>61 XL</v>
      </c>
      <c r="D896" s="19" t="n">
        <f aca="false">SUMIFS('SALES Raw'!$C$6:$C$4467,'SALES Raw'!$J$6:$J$4467,$J896,'SALES Raw'!$K$6:$K$4467,"Y")+SUMIFS('CEMIUP0.9 Raw'!$D$6:$D$1712,'CEMIUP0.9 Raw'!$B$6:$B$1712,$J896,'CEMIUP0.9 Raw'!$H$6:$H$1712,"Y")</f>
        <v>7</v>
      </c>
      <c r="E896" s="19" t="n">
        <f aca="false">SUMIFS('SALES Raw'!$D$6:$D$4467,'SALES Raw'!$J$6:$J$4467,$J896,'SALES Raw'!$K$6:$K$4467,"Y")+SUMIFS('CEMIUP0.9 Raw'!$E$6:$E$1712,'CEMIUP0.9 Raw'!$B$6:$B$1712,$J896,'CEMIUP0.9 Raw'!$H$6:$H$1712,"Y")</f>
        <v>192.08</v>
      </c>
      <c r="F896" s="19" t="n">
        <f aca="false">SUMIFS('SALES Raw'!$E$6:$E$4467,'SALES Raw'!$J$6:$J$4467,$J896,'SALES Raw'!$K$6:$K$4467,"Y")*$H$4+SUMIFS('CEMIUP0.9 Raw'!$F$6:$F$1712,'CEMIUP0.9 Raw'!$B$6:$B$1712,$J896,'CEMIUP0.9 Raw'!$H$6:$H$1712,"Y")</f>
        <v>0</v>
      </c>
      <c r="G896" s="19" t="n">
        <f aca="false">SUMIFS('SALES Raw'!$F$6:$F$4467,'SALES Raw'!$J$6:$J$4467,$J896,'SALES Raw'!$K$6:$K$4467,"Y")*$H$4+SUMIFS('CEMIUP0.9 Raw'!$G$6:$G$1712,'CEMIUP0.9 Raw'!$B$6:$B$1712,$J896,'CEMIUP0.9 Raw'!$H$6:$H$1712,"Y")</f>
        <v>0</v>
      </c>
      <c r="H896" s="18" t="s">
        <v>44</v>
      </c>
      <c r="I896" s="18"/>
      <c r="J896" s="18" t="s">
        <v>460</v>
      </c>
    </row>
    <row r="897" customFormat="false" ht="15" hidden="false" customHeight="false" outlineLevel="0" collapsed="false">
      <c r="A897" s="18" t="str">
        <f aca="false">IF(ISNUMBER($J897),$J897,"")</f>
        <v/>
      </c>
      <c r="B897" s="18" t="str">
        <f aca="false">IFERROR(INDEX('SALES Raw'!$B$6:$B$4467,MATCH($J897,'SALES Raw'!$J$6:$J$4467,0)),IFERROR(INDEX('CEMIUP0.9 Raw'!$B$6:$B$1712,MATCH($J897,'CEMIUP0.9 Raw'!$B$6:$B$1712,0)),$J897))</f>
        <v>78A S</v>
      </c>
      <c r="C897" s="18" t="str">
        <f aca="false">IF(ISNUMBER($J897),IFERROR(INDEX('TRANS'!$C:$C,MATCH($J897,'TRANS'!$B:$B,0)),IFERROR(INDEX('Catalog'!$B:$B,MATCH($J897,'Catalog'!$A:$A,0)),$B897)),$B897)</f>
        <v>78A S</v>
      </c>
      <c r="D897" s="19" t="n">
        <f aca="false">SUMIFS('SALES Raw'!$C$6:$C$4467,'SALES Raw'!$J$6:$J$4467,$J897,'SALES Raw'!$K$6:$K$4467,"Y")+SUMIFS('CEMIUP0.9 Raw'!$D$6:$D$1712,'CEMIUP0.9 Raw'!$B$6:$B$1712,$J897,'CEMIUP0.9 Raw'!$H$6:$H$1712,"Y")</f>
        <v>3</v>
      </c>
      <c r="E897" s="19" t="n">
        <f aca="false">SUMIFS('SALES Raw'!$D$6:$D$4467,'SALES Raw'!$J$6:$J$4467,$J897,'SALES Raw'!$K$6:$K$4467,"Y")+SUMIFS('CEMIUP0.9 Raw'!$E$6:$E$1712,'CEMIUP0.9 Raw'!$B$6:$B$1712,$J897,'CEMIUP0.9 Raw'!$H$6:$H$1712,"Y")</f>
        <v>355.41</v>
      </c>
      <c r="F897" s="19" t="n">
        <f aca="false">SUMIFS('SALES Raw'!$E$6:$E$4467,'SALES Raw'!$J$6:$J$4467,$J897,'SALES Raw'!$K$6:$K$4467,"Y")*$H$4+SUMIFS('CEMIUP0.9 Raw'!$F$6:$F$1712,'CEMIUP0.9 Raw'!$B$6:$B$1712,$J897,'CEMIUP0.9 Raw'!$H$6:$H$1712,"Y")</f>
        <v>0</v>
      </c>
      <c r="G897" s="19" t="n">
        <f aca="false">SUMIFS('SALES Raw'!$F$6:$F$4467,'SALES Raw'!$J$6:$J$4467,$J897,'SALES Raw'!$K$6:$K$4467,"Y")*$H$4+SUMIFS('CEMIUP0.9 Raw'!$G$6:$G$1712,'CEMIUP0.9 Raw'!$B$6:$B$1712,$J897,'CEMIUP0.9 Raw'!$H$6:$H$1712,"Y")</f>
        <v>0</v>
      </c>
      <c r="H897" s="18" t="s">
        <v>44</v>
      </c>
      <c r="I897" s="18" t="s">
        <v>43</v>
      </c>
      <c r="J897" s="18" t="s">
        <v>461</v>
      </c>
    </row>
    <row r="898" customFormat="false" ht="15" hidden="false" customHeight="false" outlineLevel="0" collapsed="false">
      <c r="A898" s="18" t="str">
        <f aca="false">IF(ISNUMBER($J898),$J898,"")</f>
        <v/>
      </c>
      <c r="B898" s="18" t="str">
        <f aca="false">IFERROR(INDEX('SALES Raw'!$B$6:$B$4467,MATCH($J898,'SALES Raw'!$J$6:$J$4467,0)),IFERROR(INDEX('CEMIUP0.9 Raw'!$B$6:$B$1712,MATCH($J898,'CEMIUP0.9 Raw'!$B$6:$B$1712,0)),$J898))</f>
        <v>78A XL</v>
      </c>
      <c r="C898" s="18" t="str">
        <f aca="false">IF(ISNUMBER($J898),IFERROR(INDEX('TRANS'!$C:$C,MATCH($J898,'TRANS'!$B:$B,0)),IFERROR(INDEX('Catalog'!$B:$B,MATCH($J898,'Catalog'!$A:$A,0)),$B898)),$B898)</f>
        <v>78A XL</v>
      </c>
      <c r="D898" s="19" t="n">
        <f aca="false">SUMIFS('SALES Raw'!$C$6:$C$4467,'SALES Raw'!$J$6:$J$4467,$J898,'SALES Raw'!$K$6:$K$4467,"Y")+SUMIFS('CEMIUP0.9 Raw'!$D$6:$D$1712,'CEMIUP0.9 Raw'!$B$6:$B$1712,$J898,'CEMIUP0.9 Raw'!$H$6:$H$1712,"Y")</f>
        <v>3</v>
      </c>
      <c r="E898" s="19" t="n">
        <f aca="false">SUMIFS('SALES Raw'!$D$6:$D$4467,'SALES Raw'!$J$6:$J$4467,$J898,'SALES Raw'!$K$6:$K$4467,"Y")+SUMIFS('CEMIUP0.9 Raw'!$E$6:$E$1712,'CEMIUP0.9 Raw'!$B$6:$B$1712,$J898,'CEMIUP0.9 Raw'!$H$6:$H$1712,"Y")</f>
        <v>285</v>
      </c>
      <c r="F898" s="19" t="n">
        <f aca="false">SUMIFS('SALES Raw'!$E$6:$E$4467,'SALES Raw'!$J$6:$J$4467,$J898,'SALES Raw'!$K$6:$K$4467,"Y")*$H$4+SUMIFS('CEMIUP0.9 Raw'!$F$6:$F$1712,'CEMIUP0.9 Raw'!$B$6:$B$1712,$J898,'CEMIUP0.9 Raw'!$H$6:$H$1712,"Y")</f>
        <v>0</v>
      </c>
      <c r="G898" s="19" t="n">
        <f aca="false">SUMIFS('SALES Raw'!$F$6:$F$4467,'SALES Raw'!$J$6:$J$4467,$J898,'SALES Raw'!$K$6:$K$4467,"Y")*$H$4+SUMIFS('CEMIUP0.9 Raw'!$G$6:$G$1712,'CEMIUP0.9 Raw'!$B$6:$B$1712,$J898,'CEMIUP0.9 Raw'!$H$6:$H$1712,"Y")</f>
        <v>0</v>
      </c>
      <c r="H898" s="18" t="s">
        <v>44</v>
      </c>
      <c r="I898" s="18"/>
      <c r="J898" s="18" t="s">
        <v>462</v>
      </c>
    </row>
    <row r="899" customFormat="false" ht="15" hidden="false" customHeight="false" outlineLevel="0" collapsed="false">
      <c r="A899" s="18" t="str">
        <f aca="false">IF(ISNUMBER($J899),$J899,"")</f>
        <v/>
      </c>
      <c r="B899" s="18" t="str">
        <f aca="false">IFERROR(INDEX('SALES Raw'!$B$6:$B$4467,MATCH($J899,'SALES Raw'!$J$6:$J$4467,0)),IFERROR(INDEX('CEMIUP0.9 Raw'!$B$6:$B$1712,MATCH($J899,'CEMIUP0.9 Raw'!$B$6:$B$1712,0)),$J899))</f>
        <v>78A XXL</v>
      </c>
      <c r="C899" s="18" t="str">
        <f aca="false">IF(ISNUMBER($J899),IFERROR(INDEX('TRANS'!$C:$C,MATCH($J899,'TRANS'!$B:$B,0)),IFERROR(INDEX('Catalog'!$B:$B,MATCH($J899,'Catalog'!$A:$A,0)),$B899)),$B899)</f>
        <v>78A XXL</v>
      </c>
      <c r="D899" s="19" t="n">
        <f aca="false">SUMIFS('SALES Raw'!$C$6:$C$4467,'SALES Raw'!$J$6:$J$4467,$J899,'SALES Raw'!$K$6:$K$4467,"Y")+SUMIFS('CEMIUP0.9 Raw'!$D$6:$D$1712,'CEMIUP0.9 Raw'!$B$6:$B$1712,$J899,'CEMIUP0.9 Raw'!$H$6:$H$1712,"Y")</f>
        <v>1</v>
      </c>
      <c r="E899" s="19" t="n">
        <f aca="false">SUMIFS('SALES Raw'!$D$6:$D$4467,'SALES Raw'!$J$6:$J$4467,$J899,'SALES Raw'!$K$6:$K$4467,"Y")+SUMIFS('CEMIUP0.9 Raw'!$E$6:$E$1712,'CEMIUP0.9 Raw'!$B$6:$B$1712,$J899,'CEMIUP0.9 Raw'!$H$6:$H$1712,"Y")</f>
        <v>95</v>
      </c>
      <c r="F899" s="19" t="n">
        <f aca="false">SUMIFS('SALES Raw'!$E$6:$E$4467,'SALES Raw'!$J$6:$J$4467,$J899,'SALES Raw'!$K$6:$K$4467,"Y")*$H$4+SUMIFS('CEMIUP0.9 Raw'!$F$6:$F$1712,'CEMIUP0.9 Raw'!$B$6:$B$1712,$J899,'CEMIUP0.9 Raw'!$H$6:$H$1712,"Y")</f>
        <v>0</v>
      </c>
      <c r="G899" s="19" t="n">
        <f aca="false">SUMIFS('SALES Raw'!$F$6:$F$4467,'SALES Raw'!$J$6:$J$4467,$J899,'SALES Raw'!$K$6:$K$4467,"Y")*$H$4+SUMIFS('CEMIUP0.9 Raw'!$G$6:$G$1712,'CEMIUP0.9 Raw'!$B$6:$B$1712,$J899,'CEMIUP0.9 Raw'!$H$6:$H$1712,"Y")</f>
        <v>0</v>
      </c>
      <c r="H899" s="18" t="s">
        <v>44</v>
      </c>
      <c r="I899" s="18"/>
      <c r="J899" s="18" t="s">
        <v>463</v>
      </c>
    </row>
    <row r="900" customFormat="false" ht="15" hidden="false" customHeight="false" outlineLevel="0" collapsed="false">
      <c r="A900" s="18" t="str">
        <f aca="false">IF(ISNUMBER($J900),$J900,"")</f>
        <v/>
      </c>
      <c r="B900" s="18" t="str">
        <f aca="false">IFERROR(INDEX('SALES Raw'!$B$6:$B$4467,MATCH($J900,'SALES Raw'!$J$6:$J$4467,0)),IFERROR(INDEX('CEMIUP0.9 Raw'!$B$6:$B$1712,MATCH($J900,'CEMIUP0.9 Raw'!$B$6:$B$1712,0)),$J900))</f>
        <v>55 S</v>
      </c>
      <c r="C900" s="18" t="str">
        <f aca="false">IF(ISNUMBER($J900),IFERROR(INDEX('TRANS'!$C:$C,MATCH($J900,'TRANS'!$B:$B,0)),IFERROR(INDEX('Catalog'!$B:$B,MATCH($J900,'Catalog'!$A:$A,0)),$B900)),$B900)</f>
        <v>55 S</v>
      </c>
      <c r="D900" s="19" t="n">
        <f aca="false">SUMIFS('SALES Raw'!$C$6:$C$4467,'SALES Raw'!$J$6:$J$4467,$J900,'SALES Raw'!$K$6:$K$4467,"Y")+SUMIFS('CEMIUP0.9 Raw'!$D$6:$D$1712,'CEMIUP0.9 Raw'!$B$6:$B$1712,$J900,'CEMIUP0.9 Raw'!$H$6:$H$1712,"Y")</f>
        <v>2</v>
      </c>
      <c r="E900" s="19" t="n">
        <f aca="false">SUMIFS('SALES Raw'!$D$6:$D$4467,'SALES Raw'!$J$6:$J$4467,$J900,'SALES Raw'!$K$6:$K$4467,"Y")+SUMIFS('CEMIUP0.9 Raw'!$E$6:$E$1712,'CEMIUP0.9 Raw'!$B$6:$B$1712,$J900,'CEMIUP0.9 Raw'!$H$6:$H$1712,"Y")</f>
        <v>168.64</v>
      </c>
      <c r="F900" s="19" t="n">
        <f aca="false">SUMIFS('SALES Raw'!$E$6:$E$4467,'SALES Raw'!$J$6:$J$4467,$J900,'SALES Raw'!$K$6:$K$4467,"Y")*$H$4+SUMIFS('CEMIUP0.9 Raw'!$F$6:$F$1712,'CEMIUP0.9 Raw'!$B$6:$B$1712,$J900,'CEMIUP0.9 Raw'!$H$6:$H$1712,"Y")</f>
        <v>0</v>
      </c>
      <c r="G900" s="19" t="n">
        <f aca="false">SUMIFS('SALES Raw'!$F$6:$F$4467,'SALES Raw'!$J$6:$J$4467,$J900,'SALES Raw'!$K$6:$K$4467,"Y")*$H$4+SUMIFS('CEMIUP0.9 Raw'!$G$6:$G$1712,'CEMIUP0.9 Raw'!$B$6:$B$1712,$J900,'CEMIUP0.9 Raw'!$H$6:$H$1712,"Y")</f>
        <v>0</v>
      </c>
      <c r="H900" s="18" t="s">
        <v>44</v>
      </c>
      <c r="I900" s="18"/>
      <c r="J900" s="18" t="s">
        <v>464</v>
      </c>
    </row>
    <row r="901" customFormat="false" ht="15" hidden="false" customHeight="false" outlineLevel="0" collapsed="false">
      <c r="A901" s="18" t="str">
        <f aca="false">IF(ISNUMBER($J901),$J901,"")</f>
        <v/>
      </c>
      <c r="B901" s="18" t="str">
        <f aca="false">IFERROR(INDEX('SALES Raw'!$B$6:$B$4467,MATCH($J901,'SALES Raw'!$J$6:$J$4467,0)),IFERROR(INDEX('CEMIUP0.9 Raw'!$B$6:$B$1712,MATCH($J901,'CEMIUP0.9 Raw'!$B$6:$B$1712,0)),$J901))</f>
        <v>T433 L</v>
      </c>
      <c r="C901" s="18" t="str">
        <f aca="false">IF(ISNUMBER($J901),IFERROR(INDEX('TRANS'!$C:$C,MATCH($J901,'TRANS'!$B:$B,0)),IFERROR(INDEX('Catalog'!$B:$B,MATCH($J901,'Catalog'!$A:$A,0)),$B901)),$B901)</f>
        <v>T433 L</v>
      </c>
      <c r="D901" s="19" t="n">
        <f aca="false">SUMIFS('SALES Raw'!$C$6:$C$4467,'SALES Raw'!$J$6:$J$4467,$J901,'SALES Raw'!$K$6:$K$4467,"Y")+SUMIFS('CEMIUP0.9 Raw'!$D$6:$D$1712,'CEMIUP0.9 Raw'!$B$6:$B$1712,$J901,'CEMIUP0.9 Raw'!$H$6:$H$1712,"Y")</f>
        <v>0</v>
      </c>
      <c r="E901" s="19" t="n">
        <f aca="false">SUMIFS('SALES Raw'!$D$6:$D$4467,'SALES Raw'!$J$6:$J$4467,$J901,'SALES Raw'!$K$6:$K$4467,"Y")+SUMIFS('CEMIUP0.9 Raw'!$E$6:$E$1712,'CEMIUP0.9 Raw'!$B$6:$B$1712,$J901,'CEMIUP0.9 Raw'!$H$6:$H$1712,"Y")</f>
        <v>0.01</v>
      </c>
      <c r="F901" s="19" t="n">
        <f aca="false">SUMIFS('SALES Raw'!$E$6:$E$4467,'SALES Raw'!$J$6:$J$4467,$J901,'SALES Raw'!$K$6:$K$4467,"Y")*$H$4+SUMIFS('CEMIUP0.9 Raw'!$F$6:$F$1712,'CEMIUP0.9 Raw'!$B$6:$B$1712,$J901,'CEMIUP0.9 Raw'!$H$6:$H$1712,"Y")</f>
        <v>0</v>
      </c>
      <c r="G901" s="19" t="n">
        <f aca="false">SUMIFS('SALES Raw'!$F$6:$F$4467,'SALES Raw'!$J$6:$J$4467,$J901,'SALES Raw'!$K$6:$K$4467,"Y")*$H$4+SUMIFS('CEMIUP0.9 Raw'!$G$6:$G$1712,'CEMIUP0.9 Raw'!$B$6:$B$1712,$J901,'CEMIUP0.9 Raw'!$H$6:$H$1712,"Y")</f>
        <v>0</v>
      </c>
      <c r="H901" s="18" t="s">
        <v>44</v>
      </c>
      <c r="I901" s="18"/>
      <c r="J901" s="18" t="s">
        <v>465</v>
      </c>
    </row>
    <row r="902" customFormat="false" ht="15" hidden="false" customHeight="false" outlineLevel="0" collapsed="false">
      <c r="A902" s="18" t="str">
        <f aca="false">IF(ISNUMBER($J902),$J902,"")</f>
        <v/>
      </c>
      <c r="B902" s="18" t="str">
        <f aca="false">IFERROR(INDEX('SALES Raw'!$B$6:$B$4467,MATCH($J902,'SALES Raw'!$J$6:$J$4467,0)),IFERROR(INDEX('CEMIUP0.9 Raw'!$B$6:$B$1712,MATCH($J902,'CEMIUP0.9 Raw'!$B$6:$B$1712,0)),$J902))</f>
        <v>T26 L</v>
      </c>
      <c r="C902" s="18" t="str">
        <f aca="false">IF(ISNUMBER($J902),IFERROR(INDEX('TRANS'!$C:$C,MATCH($J902,'TRANS'!$B:$B,0)),IFERROR(INDEX('Catalog'!$B:$B,MATCH($J902,'Catalog'!$A:$A,0)),$B902)),$B902)</f>
        <v>T26 L</v>
      </c>
      <c r="D902" s="19" t="n">
        <f aca="false">SUMIFS('SALES Raw'!$C$6:$C$4467,'SALES Raw'!$J$6:$J$4467,$J902,'SALES Raw'!$K$6:$K$4467,"Y")+SUMIFS('CEMIUP0.9 Raw'!$D$6:$D$1712,'CEMIUP0.9 Raw'!$B$6:$B$1712,$J902,'CEMIUP0.9 Raw'!$H$6:$H$1712,"Y")</f>
        <v>-1</v>
      </c>
      <c r="E902" s="19" t="n">
        <f aca="false">SUMIFS('SALES Raw'!$D$6:$D$4467,'SALES Raw'!$J$6:$J$4467,$J902,'SALES Raw'!$K$6:$K$4467,"Y")+SUMIFS('CEMIUP0.9 Raw'!$E$6:$E$1712,'CEMIUP0.9 Raw'!$B$6:$B$1712,$J902,'CEMIUP0.9 Raw'!$H$6:$H$1712,"Y")</f>
        <v>-80.32</v>
      </c>
      <c r="F902" s="19" t="n">
        <f aca="false">SUMIFS('SALES Raw'!$E$6:$E$4467,'SALES Raw'!$J$6:$J$4467,$J902,'SALES Raw'!$K$6:$K$4467,"Y")*$H$4+SUMIFS('CEMIUP0.9 Raw'!$F$6:$F$1712,'CEMIUP0.9 Raw'!$B$6:$B$1712,$J902,'CEMIUP0.9 Raw'!$H$6:$H$1712,"Y")</f>
        <v>0</v>
      </c>
      <c r="G902" s="19" t="n">
        <f aca="false">SUMIFS('SALES Raw'!$F$6:$F$4467,'SALES Raw'!$J$6:$J$4467,$J902,'SALES Raw'!$K$6:$K$4467,"Y")*$H$4+SUMIFS('CEMIUP0.9 Raw'!$G$6:$G$1712,'CEMIUP0.9 Raw'!$B$6:$B$1712,$J902,'CEMIUP0.9 Raw'!$H$6:$H$1712,"Y")</f>
        <v>0</v>
      </c>
      <c r="H902" s="18" t="s">
        <v>44</v>
      </c>
      <c r="I902" s="18"/>
      <c r="J902" s="18" t="s">
        <v>466</v>
      </c>
    </row>
    <row r="903" customFormat="false" ht="15" hidden="false" customHeight="false" outlineLevel="0" collapsed="false">
      <c r="A903" s="18" t="str">
        <f aca="false">IF(ISNUMBER($J903),$J903,"")</f>
        <v/>
      </c>
      <c r="B903" s="18" t="str">
        <f aca="false">IFERROR(INDEX('SALES Raw'!$B$6:$B$4467,MATCH($J903,'SALES Raw'!$J$6:$J$4467,0)),IFERROR(INDEX('CEMIUP0.9 Raw'!$B$6:$B$1712,MATCH($J903,'CEMIUP0.9 Raw'!$B$6:$B$1712,0)),$J903))</f>
        <v>15M S</v>
      </c>
      <c r="C903" s="18" t="str">
        <f aca="false">IF(ISNUMBER($J903),IFERROR(INDEX('TRANS'!$C:$C,MATCH($J903,'TRANS'!$B:$B,0)),IFERROR(INDEX('Catalog'!$B:$B,MATCH($J903,'Catalog'!$A:$A,0)),$B903)),$B903)</f>
        <v>15M S</v>
      </c>
      <c r="D903" s="19" t="n">
        <f aca="false">SUMIFS('SALES Raw'!$C$6:$C$4467,'SALES Raw'!$J$6:$J$4467,$J903,'SALES Raw'!$K$6:$K$4467,"Y")+SUMIFS('CEMIUP0.9 Raw'!$D$6:$D$1712,'CEMIUP0.9 Raw'!$B$6:$B$1712,$J903,'CEMIUP0.9 Raw'!$H$6:$H$1712,"Y")</f>
        <v>2</v>
      </c>
      <c r="E903" s="19" t="n">
        <f aca="false">SUMIFS('SALES Raw'!$D$6:$D$4467,'SALES Raw'!$J$6:$J$4467,$J903,'SALES Raw'!$K$6:$K$4467,"Y")+SUMIFS('CEMIUP0.9 Raw'!$E$6:$E$1712,'CEMIUP0.9 Raw'!$B$6:$B$1712,$J903,'CEMIUP0.9 Raw'!$H$6:$H$1712,"Y")</f>
        <v>281.14</v>
      </c>
      <c r="F903" s="19" t="n">
        <f aca="false">SUMIFS('SALES Raw'!$E$6:$E$4467,'SALES Raw'!$J$6:$J$4467,$J903,'SALES Raw'!$K$6:$K$4467,"Y")*$H$4+SUMIFS('CEMIUP0.9 Raw'!$F$6:$F$1712,'CEMIUP0.9 Raw'!$B$6:$B$1712,$J903,'CEMIUP0.9 Raw'!$H$6:$H$1712,"Y")</f>
        <v>0</v>
      </c>
      <c r="G903" s="19" t="n">
        <f aca="false">SUMIFS('SALES Raw'!$F$6:$F$4467,'SALES Raw'!$J$6:$J$4467,$J903,'SALES Raw'!$K$6:$K$4467,"Y")*$H$4+SUMIFS('CEMIUP0.9 Raw'!$G$6:$G$1712,'CEMIUP0.9 Raw'!$B$6:$B$1712,$J903,'CEMIUP0.9 Raw'!$H$6:$H$1712,"Y")</f>
        <v>0</v>
      </c>
      <c r="H903" s="18" t="s">
        <v>44</v>
      </c>
      <c r="I903" s="18"/>
      <c r="J903" s="18" t="s">
        <v>467</v>
      </c>
    </row>
    <row r="904" customFormat="false" ht="15" hidden="false" customHeight="false" outlineLevel="0" collapsed="false">
      <c r="A904" s="18" t="str">
        <f aca="false">IF(ISNUMBER($J904),$J904,"")</f>
        <v/>
      </c>
      <c r="B904" s="18" t="str">
        <f aca="false">IFERROR(INDEX('SALES Raw'!$B$6:$B$4467,MATCH($J904,'SALES Raw'!$J$6:$J$4467,0)),IFERROR(INDEX('CEMIUP0.9 Raw'!$B$6:$B$1712,MATCH($J904,'CEMIUP0.9 Raw'!$B$6:$B$1712,0)),$J904))</f>
        <v>499 S</v>
      </c>
      <c r="C904" s="18" t="str">
        <f aca="false">IF(ISNUMBER($J904),IFERROR(INDEX('TRANS'!$C:$C,MATCH($J904,'TRANS'!$B:$B,0)),IFERROR(INDEX('Catalog'!$B:$B,MATCH($J904,'Catalog'!$A:$A,0)),$B904)),$B904)</f>
        <v>499 S</v>
      </c>
      <c r="D904" s="19" t="n">
        <f aca="false">SUMIFS('SALES Raw'!$C$6:$C$4467,'SALES Raw'!$J$6:$J$4467,$J904,'SALES Raw'!$K$6:$K$4467,"Y")+SUMIFS('CEMIUP0.9 Raw'!$D$6:$D$1712,'CEMIUP0.9 Raw'!$B$6:$B$1712,$J904,'CEMIUP0.9 Raw'!$H$6:$H$1712,"Y")</f>
        <v>2</v>
      </c>
      <c r="E904" s="19" t="n">
        <f aca="false">SUMIFS('SALES Raw'!$D$6:$D$4467,'SALES Raw'!$J$6:$J$4467,$J904,'SALES Raw'!$K$6:$K$4467,"Y")+SUMIFS('CEMIUP0.9 Raw'!$E$6:$E$1712,'CEMIUP0.9 Raw'!$B$6:$B$1712,$J904,'CEMIUP0.9 Raw'!$H$6:$H$1712,"Y")</f>
        <v>330</v>
      </c>
      <c r="F904" s="19" t="n">
        <f aca="false">SUMIFS('SALES Raw'!$E$6:$E$4467,'SALES Raw'!$J$6:$J$4467,$J904,'SALES Raw'!$K$6:$K$4467,"Y")*$H$4+SUMIFS('CEMIUP0.9 Raw'!$F$6:$F$1712,'CEMIUP0.9 Raw'!$B$6:$B$1712,$J904,'CEMIUP0.9 Raw'!$H$6:$H$1712,"Y")</f>
        <v>0</v>
      </c>
      <c r="G904" s="19" t="n">
        <f aca="false">SUMIFS('SALES Raw'!$F$6:$F$4467,'SALES Raw'!$J$6:$J$4467,$J904,'SALES Raw'!$K$6:$K$4467,"Y")*$H$4+SUMIFS('CEMIUP0.9 Raw'!$G$6:$G$1712,'CEMIUP0.9 Raw'!$B$6:$B$1712,$J904,'CEMIUP0.9 Raw'!$H$6:$H$1712,"Y")</f>
        <v>0</v>
      </c>
      <c r="H904" s="18" t="s">
        <v>44</v>
      </c>
      <c r="I904" s="18"/>
      <c r="J904" s="18" t="s">
        <v>468</v>
      </c>
    </row>
    <row r="905" customFormat="false" ht="15" hidden="false" customHeight="false" outlineLevel="0" collapsed="false">
      <c r="A905" s="18" t="str">
        <f aca="false">IF(ISNUMBER($J905),$J905,"")</f>
        <v/>
      </c>
      <c r="B905" s="18" t="str">
        <f aca="false">IFERROR(INDEX('SALES Raw'!$B$6:$B$4467,MATCH($J905,'SALES Raw'!$J$6:$J$4467,0)),IFERROR(INDEX('CEMIUP0.9 Raw'!$B$6:$B$1712,MATCH($J905,'CEMIUP0.9 Raw'!$B$6:$B$1712,0)),$J905))</f>
        <v>70 M</v>
      </c>
      <c r="C905" s="18" t="str">
        <f aca="false">IF(ISNUMBER($J905),IFERROR(INDEX('TRANS'!$C:$C,MATCH($J905,'TRANS'!$B:$B,0)),IFERROR(INDEX('Catalog'!$B:$B,MATCH($J905,'Catalog'!$A:$A,0)),$B905)),$B905)</f>
        <v>70 M</v>
      </c>
      <c r="D905" s="19" t="n">
        <f aca="false">SUMIFS('SALES Raw'!$C$6:$C$4467,'SALES Raw'!$J$6:$J$4467,$J905,'SALES Raw'!$K$6:$K$4467,"Y")+SUMIFS('CEMIUP0.9 Raw'!$D$6:$D$1712,'CEMIUP0.9 Raw'!$B$6:$B$1712,$J905,'CEMIUP0.9 Raw'!$H$6:$H$1712,"Y")</f>
        <v>0</v>
      </c>
      <c r="E905" s="19" t="n">
        <f aca="false">SUMIFS('SALES Raw'!$D$6:$D$4467,'SALES Raw'!$J$6:$J$4467,$J905,'SALES Raw'!$K$6:$K$4467,"Y")+SUMIFS('CEMIUP0.9 Raw'!$E$6:$E$1712,'CEMIUP0.9 Raw'!$B$6:$B$1712,$J905,'CEMIUP0.9 Raw'!$H$6:$H$1712,"Y")</f>
        <v>-4.02999999999997</v>
      </c>
      <c r="F905" s="19" t="n">
        <f aca="false">SUMIFS('SALES Raw'!$E$6:$E$4467,'SALES Raw'!$J$6:$J$4467,$J905,'SALES Raw'!$K$6:$K$4467,"Y")*$H$4+SUMIFS('CEMIUP0.9 Raw'!$F$6:$F$1712,'CEMIUP0.9 Raw'!$B$6:$B$1712,$J905,'CEMIUP0.9 Raw'!$H$6:$H$1712,"Y")</f>
        <v>0</v>
      </c>
      <c r="G905" s="19" t="n">
        <f aca="false">SUMIFS('SALES Raw'!$F$6:$F$4467,'SALES Raw'!$J$6:$J$4467,$J905,'SALES Raw'!$K$6:$K$4467,"Y")*$H$4+SUMIFS('CEMIUP0.9 Raw'!$G$6:$G$1712,'CEMIUP0.9 Raw'!$B$6:$B$1712,$J905,'CEMIUP0.9 Raw'!$H$6:$H$1712,"Y")</f>
        <v>-128.513684210526</v>
      </c>
      <c r="H905" s="18" t="s">
        <v>44</v>
      </c>
      <c r="I905" s="18"/>
      <c r="J905" s="18" t="s">
        <v>469</v>
      </c>
    </row>
    <row r="906" customFormat="false" ht="15" hidden="false" customHeight="false" outlineLevel="0" collapsed="false">
      <c r="A906" s="18" t="str">
        <f aca="false">IF(ISNUMBER($J906),$J906,"")</f>
        <v/>
      </c>
      <c r="B906" s="18" t="str">
        <f aca="false">IFERROR(INDEX('SALES Raw'!$B$6:$B$4467,MATCH($J906,'SALES Raw'!$J$6:$J$4467,0)),IFERROR(INDEX('CEMIUP0.9 Raw'!$B$6:$B$1712,MATCH($J906,'CEMIUP0.9 Raw'!$B$6:$B$1712,0)),$J906))</f>
        <v>T79B S</v>
      </c>
      <c r="C906" s="18" t="str">
        <f aca="false">IF(ISNUMBER($J906),IFERROR(INDEX('TRANS'!$C:$C,MATCH($J906,'TRANS'!$B:$B,0)),IFERROR(INDEX('Catalog'!$B:$B,MATCH($J906,'Catalog'!$A:$A,0)),$B906)),$B906)</f>
        <v>T79B S</v>
      </c>
      <c r="D906" s="19" t="n">
        <f aca="false">SUMIFS('SALES Raw'!$C$6:$C$4467,'SALES Raw'!$J$6:$J$4467,$J906,'SALES Raw'!$K$6:$K$4467,"Y")+SUMIFS('CEMIUP0.9 Raw'!$D$6:$D$1712,'CEMIUP0.9 Raw'!$B$6:$B$1712,$J906,'CEMIUP0.9 Raw'!$H$6:$H$1712,"Y")</f>
        <v>1</v>
      </c>
      <c r="E906" s="19" t="n">
        <f aca="false">SUMIFS('SALES Raw'!$D$6:$D$4467,'SALES Raw'!$J$6:$J$4467,$J906,'SALES Raw'!$K$6:$K$4467,"Y")+SUMIFS('CEMIUP0.9 Raw'!$E$6:$E$1712,'CEMIUP0.9 Raw'!$B$6:$B$1712,$J906,'CEMIUP0.9 Raw'!$H$6:$H$1712,"Y")</f>
        <v>0</v>
      </c>
      <c r="F906" s="19" t="n">
        <f aca="false">SUMIFS('SALES Raw'!$E$6:$E$4467,'SALES Raw'!$J$6:$J$4467,$J906,'SALES Raw'!$K$6:$K$4467,"Y")*$H$4+SUMIFS('CEMIUP0.9 Raw'!$F$6:$F$1712,'CEMIUP0.9 Raw'!$B$6:$B$1712,$J906,'CEMIUP0.9 Raw'!$H$6:$H$1712,"Y")</f>
        <v>0</v>
      </c>
      <c r="G906" s="19" t="n">
        <f aca="false">SUMIFS('SALES Raw'!$F$6:$F$4467,'SALES Raw'!$J$6:$J$4467,$J906,'SALES Raw'!$K$6:$K$4467,"Y")*$H$4+SUMIFS('CEMIUP0.9 Raw'!$G$6:$G$1712,'CEMIUP0.9 Raw'!$B$6:$B$1712,$J906,'CEMIUP0.9 Raw'!$H$6:$H$1712,"Y")</f>
        <v>0</v>
      </c>
      <c r="H906" s="18" t="s">
        <v>44</v>
      </c>
      <c r="I906" s="18"/>
      <c r="J906" s="18" t="s">
        <v>470</v>
      </c>
    </row>
    <row r="907" customFormat="false" ht="15" hidden="false" customHeight="false" outlineLevel="0" collapsed="false">
      <c r="A907" s="18" t="str">
        <f aca="false">IF(ISNUMBER($J907),$J907,"")</f>
        <v/>
      </c>
      <c r="B907" s="18" t="str">
        <f aca="false">IFERROR(INDEX('SALES Raw'!$B$6:$B$4467,MATCH($J907,'SALES Raw'!$J$6:$J$4467,0)),IFERROR(INDEX('CEMIUP0.9 Raw'!$B$6:$B$1712,MATCH($J907,'CEMIUP0.9 Raw'!$B$6:$B$1712,0)),$J907))</f>
        <v>T79B XS</v>
      </c>
      <c r="C907" s="18" t="str">
        <f aca="false">IF(ISNUMBER($J907),IFERROR(INDEX('TRANS'!$C:$C,MATCH($J907,'TRANS'!$B:$B,0)),IFERROR(INDEX('Catalog'!$B:$B,MATCH($J907,'Catalog'!$A:$A,0)),$B907)),$B907)</f>
        <v>T79B XS</v>
      </c>
      <c r="D907" s="19" t="n">
        <f aca="false">SUMIFS('SALES Raw'!$C$6:$C$4467,'SALES Raw'!$J$6:$J$4467,$J907,'SALES Raw'!$K$6:$K$4467,"Y")+SUMIFS('CEMIUP0.9 Raw'!$D$6:$D$1712,'CEMIUP0.9 Raw'!$B$6:$B$1712,$J907,'CEMIUP0.9 Raw'!$H$6:$H$1712,"Y")</f>
        <v>1</v>
      </c>
      <c r="E907" s="19" t="n">
        <f aca="false">SUMIFS('SALES Raw'!$D$6:$D$4467,'SALES Raw'!$J$6:$J$4467,$J907,'SALES Raw'!$K$6:$K$4467,"Y")+SUMIFS('CEMIUP0.9 Raw'!$E$6:$E$1712,'CEMIUP0.9 Raw'!$B$6:$B$1712,$J907,'CEMIUP0.9 Raw'!$H$6:$H$1712,"Y")</f>
        <v>0.01</v>
      </c>
      <c r="F907" s="19" t="n">
        <f aca="false">SUMIFS('SALES Raw'!$E$6:$E$4467,'SALES Raw'!$J$6:$J$4467,$J907,'SALES Raw'!$K$6:$K$4467,"Y")*$H$4+SUMIFS('CEMIUP0.9 Raw'!$F$6:$F$1712,'CEMIUP0.9 Raw'!$B$6:$B$1712,$J907,'CEMIUP0.9 Raw'!$H$6:$H$1712,"Y")</f>
        <v>0</v>
      </c>
      <c r="G907" s="19" t="n">
        <f aca="false">SUMIFS('SALES Raw'!$F$6:$F$4467,'SALES Raw'!$J$6:$J$4467,$J907,'SALES Raw'!$K$6:$K$4467,"Y")*$H$4+SUMIFS('CEMIUP0.9 Raw'!$G$6:$G$1712,'CEMIUP0.9 Raw'!$B$6:$B$1712,$J907,'CEMIUP0.9 Raw'!$H$6:$H$1712,"Y")</f>
        <v>0</v>
      </c>
      <c r="H907" s="18" t="s">
        <v>44</v>
      </c>
      <c r="I907" s="18"/>
      <c r="J907" s="18" t="s">
        <v>471</v>
      </c>
    </row>
    <row r="908" customFormat="false" ht="15" hidden="false" customHeight="false" outlineLevel="0" collapsed="false">
      <c r="A908" s="18" t="str">
        <f aca="false">IF(ISNUMBER($J908),$J908,"")</f>
        <v/>
      </c>
      <c r="B908" s="18" t="str">
        <f aca="false">IFERROR(INDEX('SALES Raw'!$B$6:$B$4467,MATCH($J908,'SALES Raw'!$J$6:$J$4467,0)),IFERROR(INDEX('CEMIUP0.9 Raw'!$B$6:$B$1712,MATCH($J908,'CEMIUP0.9 Raw'!$B$6:$B$1712,0)),$J908))</f>
        <v>422EU XXXL</v>
      </c>
      <c r="C908" s="18" t="str">
        <f aca="false">IF(ISNUMBER($J908),IFERROR(INDEX('TRANS'!$C:$C,MATCH($J908,'TRANS'!$B:$B,0)),IFERROR(INDEX('Catalog'!$B:$B,MATCH($J908,'Catalog'!$A:$A,0)),$B908)),$B908)</f>
        <v>422EU XXXL</v>
      </c>
      <c r="D908" s="19" t="n">
        <f aca="false">SUMIFS('SALES Raw'!$C$6:$C$4467,'SALES Raw'!$J$6:$J$4467,$J908,'SALES Raw'!$K$6:$K$4467,"Y")+SUMIFS('CEMIUP0.9 Raw'!$D$6:$D$1712,'CEMIUP0.9 Raw'!$B$6:$B$1712,$J908,'CEMIUP0.9 Raw'!$H$6:$H$1712,"Y")</f>
        <v>5</v>
      </c>
      <c r="E908" s="19" t="n">
        <f aca="false">SUMIFS('SALES Raw'!$D$6:$D$4467,'SALES Raw'!$J$6:$J$4467,$J908,'SALES Raw'!$K$6:$K$4467,"Y")+SUMIFS('CEMIUP0.9 Raw'!$E$6:$E$1712,'CEMIUP0.9 Raw'!$B$6:$B$1712,$J908,'CEMIUP0.9 Raw'!$H$6:$H$1712,"Y")</f>
        <v>444.99</v>
      </c>
      <c r="F908" s="19" t="n">
        <f aca="false">SUMIFS('SALES Raw'!$E$6:$E$4467,'SALES Raw'!$J$6:$J$4467,$J908,'SALES Raw'!$K$6:$K$4467,"Y")*$H$4+SUMIFS('CEMIUP0.9 Raw'!$F$6:$F$1712,'CEMIUP0.9 Raw'!$B$6:$B$1712,$J908,'CEMIUP0.9 Raw'!$H$6:$H$1712,"Y")</f>
        <v>0</v>
      </c>
      <c r="G908" s="19" t="n">
        <f aca="false">SUMIFS('SALES Raw'!$F$6:$F$4467,'SALES Raw'!$J$6:$J$4467,$J908,'SALES Raw'!$K$6:$K$4467,"Y")*$H$4+SUMIFS('CEMIUP0.9 Raw'!$G$6:$G$1712,'CEMIUP0.9 Raw'!$B$6:$B$1712,$J908,'CEMIUP0.9 Raw'!$H$6:$H$1712,"Y")</f>
        <v>0</v>
      </c>
      <c r="H908" s="18" t="s">
        <v>44</v>
      </c>
      <c r="I908" s="18"/>
      <c r="J908" s="18" t="s">
        <v>472</v>
      </c>
    </row>
    <row r="909" customFormat="false" ht="15" hidden="false" customHeight="false" outlineLevel="0" collapsed="false">
      <c r="A909" s="18" t="str">
        <f aca="false">IF(ISNUMBER($J909),$J909,"")</f>
        <v/>
      </c>
      <c r="B909" s="18" t="str">
        <f aca="false">IFERROR(INDEX('SALES Raw'!$B$6:$B$4467,MATCH($J909,'SALES Raw'!$J$6:$J$4467,0)),IFERROR(INDEX('CEMIUP0.9 Raw'!$B$6:$B$1712,MATCH($J909,'CEMIUP0.9 Raw'!$B$6:$B$1712,0)),$J909))</f>
        <v>70 L</v>
      </c>
      <c r="C909" s="18" t="str">
        <f aca="false">IF(ISNUMBER($J909),IFERROR(INDEX('TRANS'!$C:$C,MATCH($J909,'TRANS'!$B:$B,0)),IFERROR(INDEX('Catalog'!$B:$B,MATCH($J909,'Catalog'!$A:$A,0)),$B909)),$B909)</f>
        <v>70 L</v>
      </c>
      <c r="D909" s="19" t="n">
        <f aca="false">SUMIFS('SALES Raw'!$C$6:$C$4467,'SALES Raw'!$J$6:$J$4467,$J909,'SALES Raw'!$K$6:$K$4467,"Y")+SUMIFS('CEMIUP0.9 Raw'!$D$6:$D$1712,'CEMIUP0.9 Raw'!$B$6:$B$1712,$J909,'CEMIUP0.9 Raw'!$H$6:$H$1712,"Y")</f>
        <v>1</v>
      </c>
      <c r="E909" s="19" t="n">
        <f aca="false">SUMIFS('SALES Raw'!$D$6:$D$4467,'SALES Raw'!$J$6:$J$4467,$J909,'SALES Raw'!$K$6:$K$4467,"Y")+SUMIFS('CEMIUP0.9 Raw'!$E$6:$E$1712,'CEMIUP0.9 Raw'!$B$6:$B$1712,$J909,'CEMIUP0.9 Raw'!$H$6:$H$1712,"Y")</f>
        <v>214.35</v>
      </c>
      <c r="F909" s="19" t="n">
        <f aca="false">SUMIFS('SALES Raw'!$E$6:$E$4467,'SALES Raw'!$J$6:$J$4467,$J909,'SALES Raw'!$K$6:$K$4467,"Y")*$H$4+SUMIFS('CEMIUP0.9 Raw'!$F$6:$F$1712,'CEMIUP0.9 Raw'!$B$6:$B$1712,$J909,'CEMIUP0.9 Raw'!$H$6:$H$1712,"Y")</f>
        <v>0</v>
      </c>
      <c r="G909" s="19" t="n">
        <f aca="false">SUMIFS('SALES Raw'!$F$6:$F$4467,'SALES Raw'!$J$6:$J$4467,$J909,'SALES Raw'!$K$6:$K$4467,"Y")*$H$4+SUMIFS('CEMIUP0.9 Raw'!$G$6:$G$1712,'CEMIUP0.9 Raw'!$B$6:$B$1712,$J909,'CEMIUP0.9 Raw'!$H$6:$H$1712,"Y")</f>
        <v>0</v>
      </c>
      <c r="H909" s="18" t="s">
        <v>44</v>
      </c>
      <c r="I909" s="18"/>
      <c r="J909" s="18" t="s">
        <v>473</v>
      </c>
    </row>
    <row r="910" customFormat="false" ht="15" hidden="false" customHeight="false" outlineLevel="0" collapsed="false">
      <c r="A910" s="18" t="str">
        <f aca="false">IF(ISNUMBER($J910),$J910,"")</f>
        <v/>
      </c>
      <c r="B910" s="18" t="str">
        <f aca="false">IFERROR(INDEX('SALES Raw'!$B$6:$B$4467,MATCH($J910,'SALES Raw'!$J$6:$J$4467,0)),IFERROR(INDEX('CEMIUP0.9 Raw'!$B$6:$B$1712,MATCH($J910,'CEMIUP0.9 Raw'!$B$6:$B$1712,0)),$J910))</f>
        <v>70 XS</v>
      </c>
      <c r="C910" s="18" t="str">
        <f aca="false">IF(ISNUMBER($J910),IFERROR(INDEX('TRANS'!$C:$C,MATCH($J910,'TRANS'!$B:$B,0)),IFERROR(INDEX('Catalog'!$B:$B,MATCH($J910,'Catalog'!$A:$A,0)),$B910)),$B910)</f>
        <v>70 XS</v>
      </c>
      <c r="D910" s="19" t="n">
        <f aca="false">SUMIFS('SALES Raw'!$C$6:$C$4467,'SALES Raw'!$J$6:$J$4467,$J910,'SALES Raw'!$K$6:$K$4467,"Y")+SUMIFS('CEMIUP0.9 Raw'!$D$6:$D$1712,'CEMIUP0.9 Raw'!$B$6:$B$1712,$J910,'CEMIUP0.9 Raw'!$H$6:$H$1712,"Y")</f>
        <v>4</v>
      </c>
      <c r="E910" s="19" t="n">
        <f aca="false">SUMIFS('SALES Raw'!$D$6:$D$4467,'SALES Raw'!$J$6:$J$4467,$J910,'SALES Raw'!$K$6:$K$4467,"Y")+SUMIFS('CEMIUP0.9 Raw'!$E$6:$E$1712,'CEMIUP0.9 Raw'!$B$6:$B$1712,$J910,'CEMIUP0.9 Raw'!$H$6:$H$1712,"Y")</f>
        <v>881.7</v>
      </c>
      <c r="F910" s="19" t="n">
        <f aca="false">SUMIFS('SALES Raw'!$E$6:$E$4467,'SALES Raw'!$J$6:$J$4467,$J910,'SALES Raw'!$K$6:$K$4467,"Y")*$H$4+SUMIFS('CEMIUP0.9 Raw'!$F$6:$F$1712,'CEMIUP0.9 Raw'!$B$6:$B$1712,$J910,'CEMIUP0.9 Raw'!$H$6:$H$1712,"Y")</f>
        <v>0</v>
      </c>
      <c r="G910" s="19" t="n">
        <f aca="false">SUMIFS('SALES Raw'!$F$6:$F$4467,'SALES Raw'!$J$6:$J$4467,$J910,'SALES Raw'!$K$6:$K$4467,"Y")*$H$4+SUMIFS('CEMIUP0.9 Raw'!$G$6:$G$1712,'CEMIUP0.9 Raw'!$B$6:$B$1712,$J910,'CEMIUP0.9 Raw'!$H$6:$H$1712,"Y")</f>
        <v>0</v>
      </c>
      <c r="H910" s="18" t="s">
        <v>44</v>
      </c>
      <c r="I910" s="18"/>
      <c r="J910" s="18" t="s">
        <v>474</v>
      </c>
    </row>
    <row r="911" customFormat="false" ht="15" hidden="false" customHeight="false" outlineLevel="0" collapsed="false">
      <c r="A911" s="18" t="str">
        <f aca="false">IF(ISNUMBER($J911),$J911,"")</f>
        <v/>
      </c>
      <c r="B911" s="18" t="str">
        <f aca="false">IFERROR(INDEX('SALES Raw'!$B$6:$B$4467,MATCH($J911,'SALES Raw'!$J$6:$J$4467,0)),IFERROR(INDEX('CEMIUP0.9 Raw'!$B$6:$B$1712,MATCH($J911,'CEMIUP0.9 Raw'!$B$6:$B$1712,0)),$J911))</f>
        <v>T32 M</v>
      </c>
      <c r="C911" s="18" t="str">
        <f aca="false">IF(ISNUMBER($J911),IFERROR(INDEX('TRANS'!$C:$C,MATCH($J911,'TRANS'!$B:$B,0)),IFERROR(INDEX('Catalog'!$B:$B,MATCH($J911,'Catalog'!$A:$A,0)),$B911)),$B911)</f>
        <v>T32 M</v>
      </c>
      <c r="D911" s="19" t="n">
        <f aca="false">SUMIFS('SALES Raw'!$C$6:$C$4467,'SALES Raw'!$J$6:$J$4467,$J911,'SALES Raw'!$K$6:$K$4467,"Y")+SUMIFS('CEMIUP0.9 Raw'!$D$6:$D$1712,'CEMIUP0.9 Raw'!$B$6:$B$1712,$J911,'CEMIUP0.9 Raw'!$H$6:$H$1712,"Y")</f>
        <v>-1</v>
      </c>
      <c r="E911" s="19" t="n">
        <f aca="false">SUMIFS('SALES Raw'!$D$6:$D$4467,'SALES Raw'!$J$6:$J$4467,$J911,'SALES Raw'!$K$6:$K$4467,"Y")+SUMIFS('CEMIUP0.9 Raw'!$E$6:$E$1712,'CEMIUP0.9 Raw'!$B$6:$B$1712,$J911,'CEMIUP0.9 Raw'!$H$6:$H$1712,"Y")</f>
        <v>-236.32</v>
      </c>
      <c r="F911" s="19" t="n">
        <f aca="false">SUMIFS('SALES Raw'!$E$6:$E$4467,'SALES Raw'!$J$6:$J$4467,$J911,'SALES Raw'!$K$6:$K$4467,"Y")*$H$4+SUMIFS('CEMIUP0.9 Raw'!$F$6:$F$1712,'CEMIUP0.9 Raw'!$B$6:$B$1712,$J911,'CEMIUP0.9 Raw'!$H$6:$H$1712,"Y")</f>
        <v>0</v>
      </c>
      <c r="G911" s="19" t="n">
        <f aca="false">SUMIFS('SALES Raw'!$F$6:$F$4467,'SALES Raw'!$J$6:$J$4467,$J911,'SALES Raw'!$K$6:$K$4467,"Y")*$H$4+SUMIFS('CEMIUP0.9 Raw'!$G$6:$G$1712,'CEMIUP0.9 Raw'!$B$6:$B$1712,$J911,'CEMIUP0.9 Raw'!$H$6:$H$1712,"Y")</f>
        <v>0</v>
      </c>
      <c r="H911" s="18" t="s">
        <v>44</v>
      </c>
      <c r="I911" s="18"/>
      <c r="J911" s="18" t="s">
        <v>475</v>
      </c>
    </row>
    <row r="912" customFormat="false" ht="15" hidden="false" customHeight="false" outlineLevel="0" collapsed="false">
      <c r="A912" s="18" t="str">
        <f aca="false">IF(ISNUMBER($J912),$J912,"")</f>
        <v/>
      </c>
      <c r="B912" s="18" t="str">
        <f aca="false">IFERROR(INDEX('SALES Raw'!$B$6:$B$4467,MATCH($J912,'SALES Raw'!$J$6:$J$4467,0)),IFERROR(INDEX('CEMIUP0.9 Raw'!$B$6:$B$1712,MATCH($J912,'CEMIUP0.9 Raw'!$B$6:$B$1712,0)),$J912))</f>
        <v>422EBU XL</v>
      </c>
      <c r="C912" s="18" t="str">
        <f aca="false">IF(ISNUMBER($J912),IFERROR(INDEX('TRANS'!$C:$C,MATCH($J912,'TRANS'!$B:$B,0)),IFERROR(INDEX('Catalog'!$B:$B,MATCH($J912,'Catalog'!$A:$A,0)),$B912)),$B912)</f>
        <v>422EBU XL</v>
      </c>
      <c r="D912" s="19" t="n">
        <f aca="false">SUMIFS('SALES Raw'!$C$6:$C$4467,'SALES Raw'!$J$6:$J$4467,$J912,'SALES Raw'!$K$6:$K$4467,"Y")+SUMIFS('CEMIUP0.9 Raw'!$D$6:$D$1712,'CEMIUP0.9 Raw'!$B$6:$B$1712,$J912,'CEMIUP0.9 Raw'!$H$6:$H$1712,"Y")</f>
        <v>7</v>
      </c>
      <c r="E912" s="19" t="n">
        <f aca="false">SUMIFS('SALES Raw'!$D$6:$D$4467,'SALES Raw'!$J$6:$J$4467,$J912,'SALES Raw'!$K$6:$K$4467,"Y")+SUMIFS('CEMIUP0.9 Raw'!$E$6:$E$1712,'CEMIUP0.9 Raw'!$B$6:$B$1712,$J912,'CEMIUP0.9 Raw'!$H$6:$H$1712,"Y")</f>
        <v>713.7</v>
      </c>
      <c r="F912" s="19" t="n">
        <f aca="false">SUMIFS('SALES Raw'!$E$6:$E$4467,'SALES Raw'!$J$6:$J$4467,$J912,'SALES Raw'!$K$6:$K$4467,"Y")*$H$4+SUMIFS('CEMIUP0.9 Raw'!$F$6:$F$1712,'CEMIUP0.9 Raw'!$B$6:$B$1712,$J912,'CEMIUP0.9 Raw'!$H$6:$H$1712,"Y")</f>
        <v>0</v>
      </c>
      <c r="G912" s="19" t="n">
        <f aca="false">SUMIFS('SALES Raw'!$F$6:$F$4467,'SALES Raw'!$J$6:$J$4467,$J912,'SALES Raw'!$K$6:$K$4467,"Y")*$H$4+SUMIFS('CEMIUP0.9 Raw'!$G$6:$G$1712,'CEMIUP0.9 Raw'!$B$6:$B$1712,$J912,'CEMIUP0.9 Raw'!$H$6:$H$1712,"Y")</f>
        <v>0</v>
      </c>
      <c r="H912" s="18" t="s">
        <v>44</v>
      </c>
      <c r="I912" s="18" t="s">
        <v>53</v>
      </c>
      <c r="J912" s="18" t="s">
        <v>476</v>
      </c>
    </row>
    <row r="913" customFormat="false" ht="15" hidden="false" customHeight="false" outlineLevel="0" collapsed="false">
      <c r="A913" s="18" t="str">
        <f aca="false">IF(ISNUMBER($J913),$J913,"")</f>
        <v/>
      </c>
      <c r="B913" s="18" t="str">
        <f aca="false">IFERROR(INDEX('SALES Raw'!$B$6:$B$4467,MATCH($J913,'SALES Raw'!$J$6:$J$4467,0)),IFERROR(INDEX('CEMIUP0.9 Raw'!$B$6:$B$1712,MATCH($J913,'CEMIUP0.9 Raw'!$B$6:$B$1712,0)),$J913))</f>
        <v>T33 XS</v>
      </c>
      <c r="C913" s="18" t="str">
        <f aca="false">IF(ISNUMBER($J913),IFERROR(INDEX('TRANS'!$C:$C,MATCH($J913,'TRANS'!$B:$B,0)),IFERROR(INDEX('Catalog'!$B:$B,MATCH($J913,'Catalog'!$A:$A,0)),$B913)),$B913)</f>
        <v>T33 XS</v>
      </c>
      <c r="D913" s="19" t="n">
        <f aca="false">SUMIFS('SALES Raw'!$C$6:$C$4467,'SALES Raw'!$J$6:$J$4467,$J913,'SALES Raw'!$K$6:$K$4467,"Y")+SUMIFS('CEMIUP0.9 Raw'!$D$6:$D$1712,'CEMIUP0.9 Raw'!$B$6:$B$1712,$J913,'CEMIUP0.9 Raw'!$H$6:$H$1712,"Y")</f>
        <v>1</v>
      </c>
      <c r="E913" s="19" t="n">
        <f aca="false">SUMIFS('SALES Raw'!$D$6:$D$4467,'SALES Raw'!$J$6:$J$4467,$J913,'SALES Raw'!$K$6:$K$4467,"Y")+SUMIFS('CEMIUP0.9 Raw'!$E$6:$E$1712,'CEMIUP0.9 Raw'!$B$6:$B$1712,$J913,'CEMIUP0.9 Raw'!$H$6:$H$1712,"Y")</f>
        <v>110.01</v>
      </c>
      <c r="F913" s="19" t="n">
        <f aca="false">SUMIFS('SALES Raw'!$E$6:$E$4467,'SALES Raw'!$J$6:$J$4467,$J913,'SALES Raw'!$K$6:$K$4467,"Y")*$H$4+SUMIFS('CEMIUP0.9 Raw'!$F$6:$F$1712,'CEMIUP0.9 Raw'!$B$6:$B$1712,$J913,'CEMIUP0.9 Raw'!$H$6:$H$1712,"Y")</f>
        <v>0</v>
      </c>
      <c r="G913" s="19" t="n">
        <f aca="false">SUMIFS('SALES Raw'!$F$6:$F$4467,'SALES Raw'!$J$6:$J$4467,$J913,'SALES Raw'!$K$6:$K$4467,"Y")*$H$4+SUMIFS('CEMIUP0.9 Raw'!$G$6:$G$1712,'CEMIUP0.9 Raw'!$B$6:$B$1712,$J913,'CEMIUP0.9 Raw'!$H$6:$H$1712,"Y")</f>
        <v>0</v>
      </c>
      <c r="H913" s="18" t="s">
        <v>44</v>
      </c>
      <c r="I913" s="18"/>
      <c r="J913" s="18" t="s">
        <v>477</v>
      </c>
    </row>
    <row r="914" customFormat="false" ht="15" hidden="false" customHeight="false" outlineLevel="0" collapsed="false">
      <c r="A914" s="18" t="str">
        <f aca="false">IF(ISNUMBER($J914),$J914,"")</f>
        <v/>
      </c>
      <c r="B914" s="18" t="str">
        <f aca="false">IFERROR(INDEX('SALES Raw'!$B$6:$B$4467,MATCH($J914,'SALES Raw'!$J$6:$J$4467,0)),IFERROR(INDEX('CEMIUP0.9 Raw'!$B$6:$B$1712,MATCH($J914,'CEMIUP0.9 Raw'!$B$6:$B$1712,0)),$J914))</f>
        <v>062 XXL</v>
      </c>
      <c r="C914" s="18" t="str">
        <f aca="false">IF(ISNUMBER($J914),IFERROR(INDEX('TRANS'!$C:$C,MATCH($J914,'TRANS'!$B:$B,0)),IFERROR(INDEX('Catalog'!$B:$B,MATCH($J914,'Catalog'!$A:$A,0)),$B914)),$B914)</f>
        <v>062 XXL</v>
      </c>
      <c r="D914" s="19" t="n">
        <f aca="false">SUMIFS('SALES Raw'!$C$6:$C$4467,'SALES Raw'!$J$6:$J$4467,$J914,'SALES Raw'!$K$6:$K$4467,"Y")+SUMIFS('CEMIUP0.9 Raw'!$D$6:$D$1712,'CEMIUP0.9 Raw'!$B$6:$B$1712,$J914,'CEMIUP0.9 Raw'!$H$6:$H$1712,"Y")</f>
        <v>2</v>
      </c>
      <c r="E914" s="19" t="n">
        <f aca="false">SUMIFS('SALES Raw'!$D$6:$D$4467,'SALES Raw'!$J$6:$J$4467,$J914,'SALES Raw'!$K$6:$K$4467,"Y")+SUMIFS('CEMIUP0.9 Raw'!$E$6:$E$1712,'CEMIUP0.9 Raw'!$B$6:$B$1712,$J914,'CEMIUP0.9 Raw'!$H$6:$H$1712,"Y")</f>
        <v>330.01</v>
      </c>
      <c r="F914" s="19" t="n">
        <f aca="false">SUMIFS('SALES Raw'!$E$6:$E$4467,'SALES Raw'!$J$6:$J$4467,$J914,'SALES Raw'!$K$6:$K$4467,"Y")*$H$4+SUMIFS('CEMIUP0.9 Raw'!$F$6:$F$1712,'CEMIUP0.9 Raw'!$B$6:$B$1712,$J914,'CEMIUP0.9 Raw'!$H$6:$H$1712,"Y")</f>
        <v>0</v>
      </c>
      <c r="G914" s="19" t="n">
        <f aca="false">SUMIFS('SALES Raw'!$F$6:$F$4467,'SALES Raw'!$J$6:$J$4467,$J914,'SALES Raw'!$K$6:$K$4467,"Y")*$H$4+SUMIFS('CEMIUP0.9 Raw'!$G$6:$G$1712,'CEMIUP0.9 Raw'!$B$6:$B$1712,$J914,'CEMIUP0.9 Raw'!$H$6:$H$1712,"Y")</f>
        <v>0</v>
      </c>
      <c r="H914" s="18" t="s">
        <v>44</v>
      </c>
      <c r="I914" s="18" t="s">
        <v>43</v>
      </c>
      <c r="J914" s="18" t="s">
        <v>478</v>
      </c>
    </row>
    <row r="915" customFormat="false" ht="15" hidden="false" customHeight="false" outlineLevel="0" collapsed="false">
      <c r="A915" s="18" t="str">
        <f aca="false">IF(ISNUMBER($J915),$J915,"")</f>
        <v/>
      </c>
      <c r="B915" s="18" t="str">
        <f aca="false">IFERROR(INDEX('SALES Raw'!$B$6:$B$4467,MATCH($J915,'SALES Raw'!$J$6:$J$4467,0)),IFERROR(INDEX('CEMIUP0.9 Raw'!$B$6:$B$1712,MATCH($J915,'CEMIUP0.9 Raw'!$B$6:$B$1712,0)),$J915))</f>
        <v>422EU S</v>
      </c>
      <c r="C915" s="18" t="str">
        <f aca="false">IF(ISNUMBER($J915),IFERROR(INDEX('TRANS'!$C:$C,MATCH($J915,'TRANS'!$B:$B,0)),IFERROR(INDEX('Catalog'!$B:$B,MATCH($J915,'Catalog'!$A:$A,0)),$B915)),$B915)</f>
        <v>422EU S</v>
      </c>
      <c r="D915" s="19" t="n">
        <f aca="false">SUMIFS('SALES Raw'!$C$6:$C$4467,'SALES Raw'!$J$6:$J$4467,$J915,'SALES Raw'!$K$6:$K$4467,"Y")+SUMIFS('CEMIUP0.9 Raw'!$D$6:$D$1712,'CEMIUP0.9 Raw'!$B$6:$B$1712,$J915,'CEMIUP0.9 Raw'!$H$6:$H$1712,"Y")</f>
        <v>1</v>
      </c>
      <c r="E915" s="19" t="n">
        <f aca="false">SUMIFS('SALES Raw'!$D$6:$D$4467,'SALES Raw'!$J$6:$J$4467,$J915,'SALES Raw'!$K$6:$K$4467,"Y")+SUMIFS('CEMIUP0.9 Raw'!$E$6:$E$1712,'CEMIUP0.9 Raw'!$B$6:$B$1712,$J915,'CEMIUP0.9 Raw'!$H$6:$H$1712,"Y")</f>
        <v>95</v>
      </c>
      <c r="F915" s="19" t="n">
        <f aca="false">SUMIFS('SALES Raw'!$E$6:$E$4467,'SALES Raw'!$J$6:$J$4467,$J915,'SALES Raw'!$K$6:$K$4467,"Y")*$H$4+SUMIFS('CEMIUP0.9 Raw'!$F$6:$F$1712,'CEMIUP0.9 Raw'!$B$6:$B$1712,$J915,'CEMIUP0.9 Raw'!$H$6:$H$1712,"Y")</f>
        <v>0</v>
      </c>
      <c r="G915" s="19" t="n">
        <f aca="false">SUMIFS('SALES Raw'!$F$6:$F$4467,'SALES Raw'!$J$6:$J$4467,$J915,'SALES Raw'!$K$6:$K$4467,"Y")*$H$4+SUMIFS('CEMIUP0.9 Raw'!$G$6:$G$1712,'CEMIUP0.9 Raw'!$B$6:$B$1712,$J915,'CEMIUP0.9 Raw'!$H$6:$H$1712,"Y")</f>
        <v>0</v>
      </c>
      <c r="H915" s="18" t="s">
        <v>44</v>
      </c>
      <c r="I915" s="18"/>
      <c r="J915" s="18" t="s">
        <v>479</v>
      </c>
    </row>
    <row r="916" customFormat="false" ht="15" hidden="false" customHeight="false" outlineLevel="0" collapsed="false">
      <c r="A916" s="18" t="str">
        <f aca="false">IF(ISNUMBER($J916),$J916,"")</f>
        <v/>
      </c>
      <c r="B916" s="18" t="str">
        <f aca="false">IFERROR(INDEX('SALES Raw'!$B$6:$B$4467,MATCH($J916,'SALES Raw'!$J$6:$J$4467,0)),IFERROR(INDEX('CEMIUP0.9 Raw'!$B$6:$B$1712,MATCH($J916,'CEMIUP0.9 Raw'!$B$6:$B$1712,0)),$J916))</f>
        <v>422EBD L</v>
      </c>
      <c r="C916" s="18" t="str">
        <f aca="false">IF(ISNUMBER($J916),IFERROR(INDEX('TRANS'!$C:$C,MATCH($J916,'TRANS'!$B:$B,0)),IFERROR(INDEX('Catalog'!$B:$B,MATCH($J916,'Catalog'!$A:$A,0)),$B916)),$B916)</f>
        <v>422EBD L</v>
      </c>
      <c r="D916" s="19" t="n">
        <f aca="false">SUMIFS('SALES Raw'!$C$6:$C$4467,'SALES Raw'!$J$6:$J$4467,$J916,'SALES Raw'!$K$6:$K$4467,"Y")+SUMIFS('CEMIUP0.9 Raw'!$D$6:$D$1712,'CEMIUP0.9 Raw'!$B$6:$B$1712,$J916,'CEMIUP0.9 Raw'!$H$6:$H$1712,"Y")</f>
        <v>1</v>
      </c>
      <c r="E916" s="19" t="n">
        <f aca="false">SUMIFS('SALES Raw'!$D$6:$D$4467,'SALES Raw'!$J$6:$J$4467,$J916,'SALES Raw'!$K$6:$K$4467,"Y")+SUMIFS('CEMIUP0.9 Raw'!$E$6:$E$1712,'CEMIUP0.9 Raw'!$B$6:$B$1712,$J916,'CEMIUP0.9 Raw'!$H$6:$H$1712,"Y")</f>
        <v>330.86</v>
      </c>
      <c r="F916" s="19" t="n">
        <f aca="false">SUMIFS('SALES Raw'!$E$6:$E$4467,'SALES Raw'!$J$6:$J$4467,$J916,'SALES Raw'!$K$6:$K$4467,"Y")*$H$4+SUMIFS('CEMIUP0.9 Raw'!$F$6:$F$1712,'CEMIUP0.9 Raw'!$B$6:$B$1712,$J916,'CEMIUP0.9 Raw'!$H$6:$H$1712,"Y")</f>
        <v>0</v>
      </c>
      <c r="G916" s="19" t="n">
        <f aca="false">SUMIFS('SALES Raw'!$F$6:$F$4467,'SALES Raw'!$J$6:$J$4467,$J916,'SALES Raw'!$K$6:$K$4467,"Y")*$H$4+SUMIFS('CEMIUP0.9 Raw'!$G$6:$G$1712,'CEMIUP0.9 Raw'!$B$6:$B$1712,$J916,'CEMIUP0.9 Raw'!$H$6:$H$1712,"Y")</f>
        <v>0</v>
      </c>
      <c r="H916" s="18" t="s">
        <v>44</v>
      </c>
      <c r="I916" s="18"/>
      <c r="J916" s="18" t="s">
        <v>480</v>
      </c>
    </row>
    <row r="917" customFormat="false" ht="15" hidden="false" customHeight="false" outlineLevel="0" collapsed="false">
      <c r="A917" s="18" t="str">
        <f aca="false">IF(ISNUMBER($J917),$J917,"")</f>
        <v/>
      </c>
      <c r="B917" s="18" t="str">
        <f aca="false">IFERROR(INDEX('SALES Raw'!$B$6:$B$4467,MATCH($J917,'SALES Raw'!$J$6:$J$4467,0)),IFERROR(INDEX('CEMIUP0.9 Raw'!$B$6:$B$1712,MATCH($J917,'CEMIUP0.9 Raw'!$B$6:$B$1712,0)),$J917))</f>
        <v>422N+ L</v>
      </c>
      <c r="C917" s="18" t="str">
        <f aca="false">IF(ISNUMBER($J917),IFERROR(INDEX('TRANS'!$C:$C,MATCH($J917,'TRANS'!$B:$B,0)),IFERROR(INDEX('Catalog'!$B:$B,MATCH($J917,'Catalog'!$A:$A,0)),$B917)),$B917)</f>
        <v>422N+ L</v>
      </c>
      <c r="D917" s="19" t="n">
        <f aca="false">SUMIFS('SALES Raw'!$C$6:$C$4467,'SALES Raw'!$J$6:$J$4467,$J917,'SALES Raw'!$K$6:$K$4467,"Y")+SUMIFS('CEMIUP0.9 Raw'!$D$6:$D$1712,'CEMIUP0.9 Raw'!$B$6:$B$1712,$J917,'CEMIUP0.9 Raw'!$H$6:$H$1712,"Y")</f>
        <v>2</v>
      </c>
      <c r="E917" s="19" t="n">
        <f aca="false">SUMIFS('SALES Raw'!$D$6:$D$4467,'SALES Raw'!$J$6:$J$4467,$J917,'SALES Raw'!$K$6:$K$4467,"Y")+SUMIFS('CEMIUP0.9 Raw'!$E$6:$E$1712,'CEMIUP0.9 Raw'!$B$6:$B$1712,$J917,'CEMIUP0.9 Raw'!$H$6:$H$1712,"Y")</f>
        <v>527.3</v>
      </c>
      <c r="F917" s="19" t="n">
        <f aca="false">SUMIFS('SALES Raw'!$E$6:$E$4467,'SALES Raw'!$J$6:$J$4467,$J917,'SALES Raw'!$K$6:$K$4467,"Y")*$H$4+SUMIFS('CEMIUP0.9 Raw'!$F$6:$F$1712,'CEMIUP0.9 Raw'!$B$6:$B$1712,$J917,'CEMIUP0.9 Raw'!$H$6:$H$1712,"Y")</f>
        <v>0</v>
      </c>
      <c r="G917" s="19" t="n">
        <f aca="false">SUMIFS('SALES Raw'!$F$6:$F$4467,'SALES Raw'!$J$6:$J$4467,$J917,'SALES Raw'!$K$6:$K$4467,"Y")*$H$4+SUMIFS('CEMIUP0.9 Raw'!$G$6:$G$1712,'CEMIUP0.9 Raw'!$B$6:$B$1712,$J917,'CEMIUP0.9 Raw'!$H$6:$H$1712,"Y")</f>
        <v>0</v>
      </c>
      <c r="H917" s="18" t="s">
        <v>44</v>
      </c>
      <c r="I917" s="18" t="s">
        <v>42</v>
      </c>
      <c r="J917" s="18" t="s">
        <v>481</v>
      </c>
    </row>
    <row r="918" customFormat="false" ht="15" hidden="false" customHeight="false" outlineLevel="0" collapsed="false">
      <c r="A918" s="18" t="str">
        <f aca="false">IF(ISNUMBER($J918),$J918,"")</f>
        <v/>
      </c>
      <c r="B918" s="18" t="str">
        <f aca="false">IFERROR(INDEX('SALES Raw'!$B$6:$B$4467,MATCH($J918,'SALES Raw'!$J$6:$J$4467,0)),IFERROR(INDEX('CEMIUP0.9 Raw'!$B$6:$B$1712,MATCH($J918,'CEMIUP0.9 Raw'!$B$6:$B$1712,0)),$J918))</f>
        <v>422N+ M</v>
      </c>
      <c r="C918" s="18" t="str">
        <f aca="false">IF(ISNUMBER($J918),IFERROR(INDEX('TRANS'!$C:$C,MATCH($J918,'TRANS'!$B:$B,0)),IFERROR(INDEX('Catalog'!$B:$B,MATCH($J918,'Catalog'!$A:$A,0)),$B918)),$B918)</f>
        <v>422N+ M</v>
      </c>
      <c r="D918" s="19" t="n">
        <f aca="false">SUMIFS('SALES Raw'!$C$6:$C$4467,'SALES Raw'!$J$6:$J$4467,$J918,'SALES Raw'!$K$6:$K$4467,"Y")+SUMIFS('CEMIUP0.9 Raw'!$D$6:$D$1712,'CEMIUP0.9 Raw'!$B$6:$B$1712,$J918,'CEMIUP0.9 Raw'!$H$6:$H$1712,"Y")</f>
        <v>2</v>
      </c>
      <c r="E918" s="19" t="n">
        <f aca="false">SUMIFS('SALES Raw'!$D$6:$D$4467,'SALES Raw'!$J$6:$J$4467,$J918,'SALES Raw'!$K$6:$K$4467,"Y")+SUMIFS('CEMIUP0.9 Raw'!$E$6:$E$1712,'CEMIUP0.9 Raw'!$B$6:$B$1712,$J918,'CEMIUP0.9 Raw'!$H$6:$H$1712,"Y")</f>
        <v>527.31</v>
      </c>
      <c r="F918" s="19" t="n">
        <f aca="false">SUMIFS('SALES Raw'!$E$6:$E$4467,'SALES Raw'!$J$6:$J$4467,$J918,'SALES Raw'!$K$6:$K$4467,"Y")*$H$4+SUMIFS('CEMIUP0.9 Raw'!$F$6:$F$1712,'CEMIUP0.9 Raw'!$B$6:$B$1712,$J918,'CEMIUP0.9 Raw'!$H$6:$H$1712,"Y")</f>
        <v>0</v>
      </c>
      <c r="G918" s="19" t="n">
        <f aca="false">SUMIFS('SALES Raw'!$F$6:$F$4467,'SALES Raw'!$J$6:$J$4467,$J918,'SALES Raw'!$K$6:$K$4467,"Y")*$H$4+SUMIFS('CEMIUP0.9 Raw'!$G$6:$G$1712,'CEMIUP0.9 Raw'!$B$6:$B$1712,$J918,'CEMIUP0.9 Raw'!$H$6:$H$1712,"Y")</f>
        <v>0</v>
      </c>
      <c r="H918" s="18" t="s">
        <v>44</v>
      </c>
      <c r="I918" s="18" t="s">
        <v>42</v>
      </c>
      <c r="J918" s="18" t="s">
        <v>482</v>
      </c>
    </row>
    <row r="919" customFormat="false" ht="15" hidden="false" customHeight="false" outlineLevel="0" collapsed="false">
      <c r="A919" s="18" t="str">
        <f aca="false">IF(ISNUMBER($J919),$J919,"")</f>
        <v/>
      </c>
      <c r="B919" s="18" t="str">
        <f aca="false">IFERROR(INDEX('SALES Raw'!$B$6:$B$4467,MATCH($J919,'SALES Raw'!$J$6:$J$4467,0)),IFERROR(INDEX('CEMIUP0.9 Raw'!$B$6:$B$1712,MATCH($J919,'CEMIUP0.9 Raw'!$B$6:$B$1712,0)),$J919))</f>
        <v>422N+ S</v>
      </c>
      <c r="C919" s="18" t="str">
        <f aca="false">IF(ISNUMBER($J919),IFERROR(INDEX('TRANS'!$C:$C,MATCH($J919,'TRANS'!$B:$B,0)),IFERROR(INDEX('Catalog'!$B:$B,MATCH($J919,'Catalog'!$A:$A,0)),$B919)),$B919)</f>
        <v>422N+ S</v>
      </c>
      <c r="D919" s="19" t="n">
        <f aca="false">SUMIFS('SALES Raw'!$C$6:$C$4467,'SALES Raw'!$J$6:$J$4467,$J919,'SALES Raw'!$K$6:$K$4467,"Y")+SUMIFS('CEMIUP0.9 Raw'!$D$6:$D$1712,'CEMIUP0.9 Raw'!$B$6:$B$1712,$J919,'CEMIUP0.9 Raw'!$H$6:$H$1712,"Y")</f>
        <v>1</v>
      </c>
      <c r="E919" s="19" t="n">
        <f aca="false">SUMIFS('SALES Raw'!$D$6:$D$4467,'SALES Raw'!$J$6:$J$4467,$J919,'SALES Raw'!$K$6:$K$4467,"Y")+SUMIFS('CEMIUP0.9 Raw'!$E$6:$E$1712,'CEMIUP0.9 Raw'!$B$6:$B$1712,$J919,'CEMIUP0.9 Raw'!$H$6:$H$1712,"Y")</f>
        <v>203.23</v>
      </c>
      <c r="F919" s="19" t="n">
        <f aca="false">SUMIFS('SALES Raw'!$E$6:$E$4467,'SALES Raw'!$J$6:$J$4467,$J919,'SALES Raw'!$K$6:$K$4467,"Y")*$H$4+SUMIFS('CEMIUP0.9 Raw'!$F$6:$F$1712,'CEMIUP0.9 Raw'!$B$6:$B$1712,$J919,'CEMIUP0.9 Raw'!$H$6:$H$1712,"Y")</f>
        <v>0</v>
      </c>
      <c r="G919" s="19" t="n">
        <f aca="false">SUMIFS('SALES Raw'!$F$6:$F$4467,'SALES Raw'!$J$6:$J$4467,$J919,'SALES Raw'!$K$6:$K$4467,"Y")*$H$4+SUMIFS('CEMIUP0.9 Raw'!$G$6:$G$1712,'CEMIUP0.9 Raw'!$B$6:$B$1712,$J919,'CEMIUP0.9 Raw'!$H$6:$H$1712,"Y")</f>
        <v>0</v>
      </c>
      <c r="H919" s="18" t="s">
        <v>44</v>
      </c>
      <c r="I919" s="18"/>
      <c r="J919" s="18" t="s">
        <v>483</v>
      </c>
    </row>
    <row r="920" customFormat="false" ht="15" hidden="false" customHeight="false" outlineLevel="0" collapsed="false">
      <c r="A920" s="18" t="str">
        <f aca="false">IF(ISNUMBER($J920),$J920,"")</f>
        <v/>
      </c>
      <c r="B920" s="18" t="str">
        <f aca="false">IFERROR(INDEX('SALES Raw'!$B$6:$B$4467,MATCH($J920,'SALES Raw'!$J$6:$J$4467,0)),IFERROR(INDEX('CEMIUP0.9 Raw'!$B$6:$B$1712,MATCH($J920,'CEMIUP0.9 Raw'!$B$6:$B$1712,0)),$J920))</f>
        <v>422N+ XL</v>
      </c>
      <c r="C920" s="18" t="str">
        <f aca="false">IF(ISNUMBER($J920),IFERROR(INDEX('TRANS'!$C:$C,MATCH($J920,'TRANS'!$B:$B,0)),IFERROR(INDEX('Catalog'!$B:$B,MATCH($J920,'Catalog'!$A:$A,0)),$B920)),$B920)</f>
        <v>422N+ XL</v>
      </c>
      <c r="D920" s="19" t="n">
        <f aca="false">SUMIFS('SALES Raw'!$C$6:$C$4467,'SALES Raw'!$J$6:$J$4467,$J920,'SALES Raw'!$K$6:$K$4467,"Y")+SUMIFS('CEMIUP0.9 Raw'!$D$6:$D$1712,'CEMIUP0.9 Raw'!$B$6:$B$1712,$J920,'CEMIUP0.9 Raw'!$H$6:$H$1712,"Y")</f>
        <v>1</v>
      </c>
      <c r="E920" s="19" t="n">
        <f aca="false">SUMIFS('SALES Raw'!$D$6:$D$4467,'SALES Raw'!$J$6:$J$4467,$J920,'SALES Raw'!$K$6:$K$4467,"Y")+SUMIFS('CEMIUP0.9 Raw'!$E$6:$E$1712,'CEMIUP0.9 Raw'!$B$6:$B$1712,$J920,'CEMIUP0.9 Raw'!$H$6:$H$1712,"Y")</f>
        <v>203.23</v>
      </c>
      <c r="F920" s="19" t="n">
        <f aca="false">SUMIFS('SALES Raw'!$E$6:$E$4467,'SALES Raw'!$J$6:$J$4467,$J920,'SALES Raw'!$K$6:$K$4467,"Y")*$H$4+SUMIFS('CEMIUP0.9 Raw'!$F$6:$F$1712,'CEMIUP0.9 Raw'!$B$6:$B$1712,$J920,'CEMIUP0.9 Raw'!$H$6:$H$1712,"Y")</f>
        <v>0</v>
      </c>
      <c r="G920" s="19" t="n">
        <f aca="false">SUMIFS('SALES Raw'!$F$6:$F$4467,'SALES Raw'!$J$6:$J$4467,$J920,'SALES Raw'!$K$6:$K$4467,"Y")*$H$4+SUMIFS('CEMIUP0.9 Raw'!$G$6:$G$1712,'CEMIUP0.9 Raw'!$B$6:$B$1712,$J920,'CEMIUP0.9 Raw'!$H$6:$H$1712,"Y")</f>
        <v>0</v>
      </c>
      <c r="H920" s="18" t="s">
        <v>44</v>
      </c>
      <c r="I920" s="18"/>
      <c r="J920" s="18" t="s">
        <v>484</v>
      </c>
    </row>
    <row r="921" customFormat="false" ht="15" hidden="false" customHeight="false" outlineLevel="0" collapsed="false">
      <c r="A921" s="18" t="str">
        <f aca="false">IF(ISNUMBER($J921),$J921,"")</f>
        <v/>
      </c>
      <c r="B921" s="18" t="str">
        <f aca="false">IFERROR(INDEX('SALES Raw'!$B$6:$B$4467,MATCH($J921,'SALES Raw'!$J$6:$J$4467,0)),IFERROR(INDEX('CEMIUP0.9 Raw'!$B$6:$B$1712,MATCH($J921,'CEMIUP0.9 Raw'!$B$6:$B$1712,0)),$J921))</f>
        <v>49PS S</v>
      </c>
      <c r="C921" s="18" t="str">
        <f aca="false">IF(ISNUMBER($J921),IFERROR(INDEX('TRANS'!$C:$C,MATCH($J921,'TRANS'!$B:$B,0)),IFERROR(INDEX('Catalog'!$B:$B,MATCH($J921,'Catalog'!$A:$A,0)),$B921)),$B921)</f>
        <v>49PS S</v>
      </c>
      <c r="D921" s="19" t="n">
        <f aca="false">SUMIFS('SALES Raw'!$C$6:$C$4467,'SALES Raw'!$J$6:$J$4467,$J921,'SALES Raw'!$K$6:$K$4467,"Y")+SUMIFS('CEMIUP0.9 Raw'!$D$6:$D$1712,'CEMIUP0.9 Raw'!$B$6:$B$1712,$J921,'CEMIUP0.9 Raw'!$H$6:$H$1712,"Y")</f>
        <v>1</v>
      </c>
      <c r="E921" s="19" t="n">
        <f aca="false">SUMIFS('SALES Raw'!$D$6:$D$4467,'SALES Raw'!$J$6:$J$4467,$J921,'SALES Raw'!$K$6:$K$4467,"Y")+SUMIFS('CEMIUP0.9 Raw'!$E$6:$E$1712,'CEMIUP0.9 Raw'!$B$6:$B$1712,$J921,'CEMIUP0.9 Raw'!$H$6:$H$1712,"Y")</f>
        <v>133.54</v>
      </c>
      <c r="F921" s="19" t="n">
        <f aca="false">SUMIFS('SALES Raw'!$E$6:$E$4467,'SALES Raw'!$J$6:$J$4467,$J921,'SALES Raw'!$K$6:$K$4467,"Y")*$H$4+SUMIFS('CEMIUP0.9 Raw'!$F$6:$F$1712,'CEMIUP0.9 Raw'!$B$6:$B$1712,$J921,'CEMIUP0.9 Raw'!$H$6:$H$1712,"Y")</f>
        <v>0</v>
      </c>
      <c r="G921" s="19" t="n">
        <f aca="false">SUMIFS('SALES Raw'!$F$6:$F$4467,'SALES Raw'!$J$6:$J$4467,$J921,'SALES Raw'!$K$6:$K$4467,"Y")*$H$4+SUMIFS('CEMIUP0.9 Raw'!$G$6:$G$1712,'CEMIUP0.9 Raw'!$B$6:$B$1712,$J921,'CEMIUP0.9 Raw'!$H$6:$H$1712,"Y")</f>
        <v>0</v>
      </c>
      <c r="H921" s="18" t="s">
        <v>44</v>
      </c>
      <c r="I921" s="18"/>
      <c r="J921" s="18" t="s">
        <v>485</v>
      </c>
    </row>
    <row r="922" customFormat="false" ht="15" hidden="false" customHeight="false" outlineLevel="0" collapsed="false">
      <c r="A922" s="18" t="str">
        <f aca="false">IF(ISNUMBER($J922),$J922,"")</f>
        <v/>
      </c>
      <c r="B922" s="18" t="str">
        <f aca="false">IFERROR(INDEX('SALES Raw'!$B$6:$B$4467,MATCH($J922,'SALES Raw'!$J$6:$J$4467,0)),IFERROR(INDEX('CEMIUP0.9 Raw'!$B$6:$B$1712,MATCH($J922,'CEMIUP0.9 Raw'!$B$6:$B$1712,0)),$J922))</f>
        <v>49PS XS</v>
      </c>
      <c r="C922" s="18" t="str">
        <f aca="false">IF(ISNUMBER($J922),IFERROR(INDEX('TRANS'!$C:$C,MATCH($J922,'TRANS'!$B:$B,0)),IFERROR(INDEX('Catalog'!$B:$B,MATCH($J922,'Catalog'!$A:$A,0)),$B922)),$B922)</f>
        <v>49PS XS</v>
      </c>
      <c r="D922" s="19" t="n">
        <f aca="false">SUMIFS('SALES Raw'!$C$6:$C$4467,'SALES Raw'!$J$6:$J$4467,$J922,'SALES Raw'!$K$6:$K$4467,"Y")+SUMIFS('CEMIUP0.9 Raw'!$D$6:$D$1712,'CEMIUP0.9 Raw'!$B$6:$B$1712,$J922,'CEMIUP0.9 Raw'!$H$6:$H$1712,"Y")</f>
        <v>1</v>
      </c>
      <c r="E922" s="19" t="n">
        <f aca="false">SUMIFS('SALES Raw'!$D$6:$D$4467,'SALES Raw'!$J$6:$J$4467,$J922,'SALES Raw'!$K$6:$K$4467,"Y")+SUMIFS('CEMIUP0.9 Raw'!$E$6:$E$1712,'CEMIUP0.9 Raw'!$B$6:$B$1712,$J922,'CEMIUP0.9 Raw'!$H$6:$H$1712,"Y")</f>
        <v>133.54</v>
      </c>
      <c r="F922" s="19" t="n">
        <f aca="false">SUMIFS('SALES Raw'!$E$6:$E$4467,'SALES Raw'!$J$6:$J$4467,$J922,'SALES Raw'!$K$6:$K$4467,"Y")*$H$4+SUMIFS('CEMIUP0.9 Raw'!$F$6:$F$1712,'CEMIUP0.9 Raw'!$B$6:$B$1712,$J922,'CEMIUP0.9 Raw'!$H$6:$H$1712,"Y")</f>
        <v>0</v>
      </c>
      <c r="G922" s="19" t="n">
        <f aca="false">SUMIFS('SALES Raw'!$F$6:$F$4467,'SALES Raw'!$J$6:$J$4467,$J922,'SALES Raw'!$K$6:$K$4467,"Y")*$H$4+SUMIFS('CEMIUP0.9 Raw'!$G$6:$G$1712,'CEMIUP0.9 Raw'!$B$6:$B$1712,$J922,'CEMIUP0.9 Raw'!$H$6:$H$1712,"Y")</f>
        <v>0</v>
      </c>
      <c r="H922" s="18" t="s">
        <v>44</v>
      </c>
      <c r="I922" s="18"/>
      <c r="J922" s="18" t="s">
        <v>486</v>
      </c>
    </row>
    <row r="923" customFormat="false" ht="15" hidden="false" customHeight="false" outlineLevel="0" collapsed="false">
      <c r="A923" s="18" t="str">
        <f aca="false">IF(ISNUMBER($J923),$J923,"")</f>
        <v/>
      </c>
      <c r="B923" s="18" t="str">
        <f aca="false">IFERROR(INDEX('SALES Raw'!$B$6:$B$4467,MATCH($J923,'SALES Raw'!$J$6:$J$4467,0)),IFERROR(INDEX('CEMIUP0.9 Raw'!$B$6:$B$1712,MATCH($J923,'CEMIUP0.9 Raw'!$B$6:$B$1712,0)),$J923))</f>
        <v>922B M</v>
      </c>
      <c r="C923" s="18" t="str">
        <f aca="false">IF(ISNUMBER($J923),IFERROR(INDEX('TRANS'!$C:$C,MATCH($J923,'TRANS'!$B:$B,0)),IFERROR(INDEX('Catalog'!$B:$B,MATCH($J923,'Catalog'!$A:$A,0)),$B923)),$B923)</f>
        <v>922B M</v>
      </c>
      <c r="D923" s="19" t="n">
        <f aca="false">SUMIFS('SALES Raw'!$C$6:$C$4467,'SALES Raw'!$J$6:$J$4467,$J923,'SALES Raw'!$K$6:$K$4467,"Y")+SUMIFS('CEMIUP0.9 Raw'!$D$6:$D$1712,'CEMIUP0.9 Raw'!$B$6:$B$1712,$J923,'CEMIUP0.9 Raw'!$H$6:$H$1712,"Y")</f>
        <v>4</v>
      </c>
      <c r="E923" s="19" t="n">
        <f aca="false">SUMIFS('SALES Raw'!$D$6:$D$4467,'SALES Raw'!$J$6:$J$4467,$J923,'SALES Raw'!$K$6:$K$4467,"Y")+SUMIFS('CEMIUP0.9 Raw'!$E$6:$E$1712,'CEMIUP0.9 Raw'!$B$6:$B$1712,$J923,'CEMIUP0.9 Raw'!$H$6:$H$1712,"Y")</f>
        <v>600.64</v>
      </c>
      <c r="F923" s="19" t="n">
        <f aca="false">SUMIFS('SALES Raw'!$E$6:$E$4467,'SALES Raw'!$J$6:$J$4467,$J923,'SALES Raw'!$K$6:$K$4467,"Y")*$H$4+SUMIFS('CEMIUP0.9 Raw'!$F$6:$F$1712,'CEMIUP0.9 Raw'!$B$6:$B$1712,$J923,'CEMIUP0.9 Raw'!$H$6:$H$1712,"Y")</f>
        <v>0</v>
      </c>
      <c r="G923" s="19" t="n">
        <f aca="false">SUMIFS('SALES Raw'!$F$6:$F$4467,'SALES Raw'!$J$6:$J$4467,$J923,'SALES Raw'!$K$6:$K$4467,"Y")*$H$4+SUMIFS('CEMIUP0.9 Raw'!$G$6:$G$1712,'CEMIUP0.9 Raw'!$B$6:$B$1712,$J923,'CEMIUP0.9 Raw'!$H$6:$H$1712,"Y")</f>
        <v>0</v>
      </c>
      <c r="H923" s="18" t="s">
        <v>44</v>
      </c>
      <c r="I923" s="18" t="s">
        <v>53</v>
      </c>
      <c r="J923" s="18" t="s">
        <v>487</v>
      </c>
    </row>
    <row r="924" customFormat="false" ht="15" hidden="false" customHeight="false" outlineLevel="0" collapsed="false">
      <c r="A924" s="18" t="str">
        <f aca="false">IF(ISNUMBER($J924),$J924,"")</f>
        <v/>
      </c>
      <c r="B924" s="18" t="str">
        <f aca="false">IFERROR(INDEX('SALES Raw'!$B$6:$B$4467,MATCH($J924,'SALES Raw'!$J$6:$J$4467,0)),IFERROR(INDEX('CEMIUP0.9 Raw'!$B$6:$B$1712,MATCH($J924,'CEMIUP0.9 Raw'!$B$6:$B$1712,0)),$J924))</f>
        <v>FC316 0</v>
      </c>
      <c r="C924" s="18" t="str">
        <f aca="false">IF(ISNUMBER($J924),IFERROR(INDEX('TRANS'!$C:$C,MATCH($J924,'TRANS'!$B:$B,0)),IFERROR(INDEX('Catalog'!$B:$B,MATCH($J924,'Catalog'!$A:$A,0)),$B924)),$B924)</f>
        <v>FC316 0</v>
      </c>
      <c r="D924" s="19" t="n">
        <f aca="false">SUMIFS('SALES Raw'!$C$6:$C$4467,'SALES Raw'!$J$6:$J$4467,$J924,'SALES Raw'!$K$6:$K$4467,"Y")+SUMIFS('CEMIUP0.9 Raw'!$D$6:$D$1712,'CEMIUP0.9 Raw'!$B$6:$B$1712,$J924,'CEMIUP0.9 Raw'!$H$6:$H$1712,"Y")</f>
        <v>-4</v>
      </c>
      <c r="E924" s="19" t="n">
        <f aca="false">SUMIFS('SALES Raw'!$D$6:$D$4467,'SALES Raw'!$J$6:$J$4467,$J924,'SALES Raw'!$K$6:$K$4467,"Y")+SUMIFS('CEMIUP0.9 Raw'!$E$6:$E$1712,'CEMIUP0.9 Raw'!$B$6:$B$1712,$J924,'CEMIUP0.9 Raw'!$H$6:$H$1712,"Y")</f>
        <v>-151.53</v>
      </c>
      <c r="F924" s="19" t="n">
        <f aca="false">SUMIFS('SALES Raw'!$E$6:$E$4467,'SALES Raw'!$J$6:$J$4467,$J924,'SALES Raw'!$K$6:$K$4467,"Y")*$H$4+SUMIFS('CEMIUP0.9 Raw'!$F$6:$F$1712,'CEMIUP0.9 Raw'!$B$6:$B$1712,$J924,'CEMIUP0.9 Raw'!$H$6:$H$1712,"Y")</f>
        <v>0</v>
      </c>
      <c r="G924" s="19" t="n">
        <f aca="false">SUMIFS('SALES Raw'!$F$6:$F$4467,'SALES Raw'!$J$6:$J$4467,$J924,'SALES Raw'!$K$6:$K$4467,"Y")*$H$4+SUMIFS('CEMIUP0.9 Raw'!$G$6:$G$1712,'CEMIUP0.9 Raw'!$B$6:$B$1712,$J924,'CEMIUP0.9 Raw'!$H$6:$H$1712,"Y")</f>
        <v>0</v>
      </c>
      <c r="H924" s="18" t="s">
        <v>53</v>
      </c>
      <c r="I924" s="18" t="s">
        <v>43</v>
      </c>
      <c r="J924" s="18" t="s">
        <v>488</v>
      </c>
    </row>
    <row r="925" customFormat="false" ht="15" hidden="false" customHeight="false" outlineLevel="0" collapsed="false">
      <c r="A925" s="18" t="str">
        <f aca="false">IF(ISNUMBER($J925),$J925,"")</f>
        <v/>
      </c>
      <c r="B925" s="18" t="str">
        <f aca="false">IFERROR(INDEX('SALES Raw'!$B$6:$B$4467,MATCH($J925,'SALES Raw'!$J$6:$J$4467,0)),IFERROR(INDEX('CEMIUP0.9 Raw'!$B$6:$B$1712,MATCH($J925,'CEMIUP0.9 Raw'!$B$6:$B$1712,0)),$J925))</f>
        <v>422EBU S</v>
      </c>
      <c r="C925" s="18" t="str">
        <f aca="false">IF(ISNUMBER($J925),IFERROR(INDEX('TRANS'!$C:$C,MATCH($J925,'TRANS'!$B:$B,0)),IFERROR(INDEX('Catalog'!$B:$B,MATCH($J925,'Catalog'!$A:$A,0)),$B925)),$B925)</f>
        <v>422EBU S</v>
      </c>
      <c r="D925" s="19" t="n">
        <f aca="false">SUMIFS('SALES Raw'!$C$6:$C$4467,'SALES Raw'!$J$6:$J$4467,$J925,'SALES Raw'!$K$6:$K$4467,"Y")+SUMIFS('CEMIUP0.9 Raw'!$D$6:$D$1712,'CEMIUP0.9 Raw'!$B$6:$B$1712,$J925,'CEMIUP0.9 Raw'!$H$6:$H$1712,"Y")</f>
        <v>3</v>
      </c>
      <c r="E925" s="19" t="n">
        <f aca="false">SUMIFS('SALES Raw'!$D$6:$D$4467,'SALES Raw'!$J$6:$J$4467,$J925,'SALES Raw'!$K$6:$K$4467,"Y")+SUMIFS('CEMIUP0.9 Raw'!$E$6:$E$1712,'CEMIUP0.9 Raw'!$B$6:$B$1712,$J925,'CEMIUP0.9 Raw'!$H$6:$H$1712,"Y")</f>
        <v>285</v>
      </c>
      <c r="F925" s="19" t="n">
        <f aca="false">SUMIFS('SALES Raw'!$E$6:$E$4467,'SALES Raw'!$J$6:$J$4467,$J925,'SALES Raw'!$K$6:$K$4467,"Y")*$H$4+SUMIFS('CEMIUP0.9 Raw'!$F$6:$F$1712,'CEMIUP0.9 Raw'!$B$6:$B$1712,$J925,'CEMIUP0.9 Raw'!$H$6:$H$1712,"Y")</f>
        <v>0</v>
      </c>
      <c r="G925" s="19" t="n">
        <f aca="false">SUMIFS('SALES Raw'!$F$6:$F$4467,'SALES Raw'!$J$6:$J$4467,$J925,'SALES Raw'!$K$6:$K$4467,"Y")*$H$4+SUMIFS('CEMIUP0.9 Raw'!$G$6:$G$1712,'CEMIUP0.9 Raw'!$B$6:$B$1712,$J925,'CEMIUP0.9 Raw'!$H$6:$H$1712,"Y")</f>
        <v>0</v>
      </c>
      <c r="H925" s="18" t="s">
        <v>53</v>
      </c>
      <c r="I925" s="18"/>
      <c r="J925" s="18" t="s">
        <v>489</v>
      </c>
    </row>
    <row r="926" customFormat="false" ht="15" hidden="false" customHeight="false" outlineLevel="0" collapsed="false">
      <c r="A926" s="18" t="str">
        <f aca="false">IF(ISNUMBER($J926),$J926,"")</f>
        <v/>
      </c>
      <c r="B926" s="18" t="str">
        <f aca="false">IFERROR(INDEX('SALES Raw'!$B$6:$B$4467,MATCH($J926,'SALES Raw'!$J$6:$J$4467,0)),IFERROR(INDEX('CEMIUP0.9 Raw'!$B$6:$B$1712,MATCH($J926,'CEMIUP0.9 Raw'!$B$6:$B$1712,0)),$J926))</f>
        <v>392B-43-46</v>
      </c>
      <c r="C926" s="18" t="str">
        <f aca="false">IF(ISNUMBER($J926),IFERROR(INDEX('TRANS'!$C:$C,MATCH($J926,'TRANS'!$B:$B,0)),IFERROR(INDEX('Catalog'!$B:$B,MATCH($J926,'Catalog'!$A:$A,0)),$B926)),$B926)</f>
        <v>392B-43-46</v>
      </c>
      <c r="D926" s="19" t="n">
        <f aca="false">SUMIFS('SALES Raw'!$C$6:$C$4467,'SALES Raw'!$J$6:$J$4467,$J926,'SALES Raw'!$K$6:$K$4467,"Y")+SUMIFS('CEMIUP0.9 Raw'!$D$6:$D$1712,'CEMIUP0.9 Raw'!$B$6:$B$1712,$J926,'CEMIUP0.9 Raw'!$H$6:$H$1712,"Y")</f>
        <v>34</v>
      </c>
      <c r="E926" s="19" t="n">
        <f aca="false">SUMIFS('SALES Raw'!$D$6:$D$4467,'SALES Raw'!$J$6:$J$4467,$J926,'SALES Raw'!$K$6:$K$4467,"Y")+SUMIFS('CEMIUP0.9 Raw'!$E$6:$E$1712,'CEMIUP0.9 Raw'!$B$6:$B$1712,$J926,'CEMIUP0.9 Raw'!$H$6:$H$1712,"Y")</f>
        <v>578</v>
      </c>
      <c r="F926" s="19" t="n">
        <f aca="false">SUMIFS('SALES Raw'!$E$6:$E$4467,'SALES Raw'!$J$6:$J$4467,$J926,'SALES Raw'!$K$6:$K$4467,"Y")*$H$4+SUMIFS('CEMIUP0.9 Raw'!$F$6:$F$1712,'CEMIUP0.9 Raw'!$B$6:$B$1712,$J926,'CEMIUP0.9 Raw'!$H$6:$H$1712,"Y")</f>
        <v>0</v>
      </c>
      <c r="G926" s="19" t="n">
        <f aca="false">SUMIFS('SALES Raw'!$F$6:$F$4467,'SALES Raw'!$J$6:$J$4467,$J926,'SALES Raw'!$K$6:$K$4467,"Y")*$H$4+SUMIFS('CEMIUP0.9 Raw'!$G$6:$G$1712,'CEMIUP0.9 Raw'!$B$6:$B$1712,$J926,'CEMIUP0.9 Raw'!$H$6:$H$1712,"Y")</f>
        <v>0</v>
      </c>
      <c r="H926" s="18" t="s">
        <v>448</v>
      </c>
      <c r="I926" s="18"/>
      <c r="J926" s="18" t="s">
        <v>490</v>
      </c>
    </row>
    <row r="927" customFormat="false" ht="15" hidden="false" customHeight="false" outlineLevel="0" collapsed="false">
      <c r="A927" s="18" t="str">
        <f aca="false">IF(ISNUMBER($J927),$J927,"")</f>
        <v/>
      </c>
      <c r="B927" s="18" t="str">
        <f aca="false">IFERROR(INDEX('SALES Raw'!$B$6:$B$4467,MATCH($J927,'SALES Raw'!$J$6:$J$4467,0)),IFERROR(INDEX('CEMIUP0.9 Raw'!$B$6:$B$1712,MATCH($J927,'CEMIUP0.9 Raw'!$B$6:$B$1712,0)),$J927))</f>
        <v>392G-43-46</v>
      </c>
      <c r="C927" s="18" t="str">
        <f aca="false">IF(ISNUMBER($J927),IFERROR(INDEX('TRANS'!$C:$C,MATCH($J927,'TRANS'!$B:$B,0)),IFERROR(INDEX('Catalog'!$B:$B,MATCH($J927,'Catalog'!$A:$A,0)),$B927)),$B927)</f>
        <v>392G-43-46</v>
      </c>
      <c r="D927" s="19" t="n">
        <f aca="false">SUMIFS('SALES Raw'!$C$6:$C$4467,'SALES Raw'!$J$6:$J$4467,$J927,'SALES Raw'!$K$6:$K$4467,"Y")+SUMIFS('CEMIUP0.9 Raw'!$D$6:$D$1712,'CEMIUP0.9 Raw'!$B$6:$B$1712,$J927,'CEMIUP0.9 Raw'!$H$6:$H$1712,"Y")</f>
        <v>60</v>
      </c>
      <c r="E927" s="19" t="n">
        <f aca="false">SUMIFS('SALES Raw'!$D$6:$D$4467,'SALES Raw'!$J$6:$J$4467,$J927,'SALES Raw'!$K$6:$K$4467,"Y")+SUMIFS('CEMIUP0.9 Raw'!$E$6:$E$1712,'CEMIUP0.9 Raw'!$B$6:$B$1712,$J927,'CEMIUP0.9 Raw'!$H$6:$H$1712,"Y")</f>
        <v>1020</v>
      </c>
      <c r="F927" s="19" t="n">
        <f aca="false">SUMIFS('SALES Raw'!$E$6:$E$4467,'SALES Raw'!$J$6:$J$4467,$J927,'SALES Raw'!$K$6:$K$4467,"Y")*$H$4+SUMIFS('CEMIUP0.9 Raw'!$F$6:$F$1712,'CEMIUP0.9 Raw'!$B$6:$B$1712,$J927,'CEMIUP0.9 Raw'!$H$6:$H$1712,"Y")</f>
        <v>0</v>
      </c>
      <c r="G927" s="19" t="n">
        <f aca="false">SUMIFS('SALES Raw'!$F$6:$F$4467,'SALES Raw'!$J$6:$J$4467,$J927,'SALES Raw'!$K$6:$K$4467,"Y")*$H$4+SUMIFS('CEMIUP0.9 Raw'!$G$6:$G$1712,'CEMIUP0.9 Raw'!$B$6:$B$1712,$J927,'CEMIUP0.9 Raw'!$H$6:$H$1712,"Y")</f>
        <v>0</v>
      </c>
      <c r="H927" s="18" t="s">
        <v>448</v>
      </c>
      <c r="I927" s="18"/>
      <c r="J927" s="18" t="s">
        <v>491</v>
      </c>
    </row>
    <row r="928" customFormat="false" ht="15" hidden="false" customHeight="false" outlineLevel="0" collapsed="false">
      <c r="A928" s="18" t="str">
        <f aca="false">IF(ISNUMBER($J928),$J928,"")</f>
        <v/>
      </c>
      <c r="B928" s="18" t="str">
        <f aca="false">IFERROR(INDEX('SALES Raw'!$B$6:$B$4467,MATCH($J928,'SALES Raw'!$J$6:$J$4467,0)),IFERROR(INDEX('CEMIUP0.9 Raw'!$B$6:$B$1712,MATCH($J928,'CEMIUP0.9 Raw'!$B$6:$B$1712,0)),$J928))</f>
        <v>396 0</v>
      </c>
      <c r="C928" s="18" t="str">
        <f aca="false">IF(ISNUMBER($J928),IFERROR(INDEX('TRANS'!$C:$C,MATCH($J928,'TRANS'!$B:$B,0)),IFERROR(INDEX('Catalog'!$B:$B,MATCH($J928,'Catalog'!$A:$A,0)),$B928)),$B928)</f>
        <v>396 0</v>
      </c>
      <c r="D928" s="19" t="n">
        <f aca="false">SUMIFS('SALES Raw'!$C$6:$C$4467,'SALES Raw'!$J$6:$J$4467,$J928,'SALES Raw'!$K$6:$K$4467,"Y")+SUMIFS('CEMIUP0.9 Raw'!$D$6:$D$1712,'CEMIUP0.9 Raw'!$B$6:$B$1712,$J928,'CEMIUP0.9 Raw'!$H$6:$H$1712,"Y")</f>
        <v>179</v>
      </c>
      <c r="E928" s="19" t="n">
        <f aca="false">SUMIFS('SALES Raw'!$D$6:$D$4467,'SALES Raw'!$J$6:$J$4467,$J928,'SALES Raw'!$K$6:$K$4467,"Y")+SUMIFS('CEMIUP0.9 Raw'!$E$6:$E$1712,'CEMIUP0.9 Raw'!$B$6:$B$1712,$J928,'CEMIUP0.9 Raw'!$H$6:$H$1712,"Y")</f>
        <v>1790</v>
      </c>
      <c r="F928" s="19" t="n">
        <f aca="false">SUMIFS('SALES Raw'!$E$6:$E$4467,'SALES Raw'!$J$6:$J$4467,$J928,'SALES Raw'!$K$6:$K$4467,"Y")*$H$4+SUMIFS('CEMIUP0.9 Raw'!$F$6:$F$1712,'CEMIUP0.9 Raw'!$B$6:$B$1712,$J928,'CEMIUP0.9 Raw'!$H$6:$H$1712,"Y")</f>
        <v>0</v>
      </c>
      <c r="G928" s="19" t="n">
        <f aca="false">SUMIFS('SALES Raw'!$F$6:$F$4467,'SALES Raw'!$J$6:$J$4467,$J928,'SALES Raw'!$K$6:$K$4467,"Y")*$H$4+SUMIFS('CEMIUP0.9 Raw'!$G$6:$G$1712,'CEMIUP0.9 Raw'!$B$6:$B$1712,$J928,'CEMIUP0.9 Raw'!$H$6:$H$1712,"Y")</f>
        <v>0</v>
      </c>
      <c r="H928" s="18" t="s">
        <v>448</v>
      </c>
      <c r="I928" s="18"/>
      <c r="J928" s="18" t="s">
        <v>492</v>
      </c>
    </row>
    <row r="929" customFormat="false" ht="15" hidden="false" customHeight="false" outlineLevel="0" collapsed="false">
      <c r="A929" s="18" t="str">
        <f aca="false">IF(ISNUMBER($J929),$J929,"")</f>
        <v/>
      </c>
      <c r="B929" s="18" t="str">
        <f aca="false">IFERROR(INDEX('SALES Raw'!$B$6:$B$4467,MATCH($J929,'SALES Raw'!$J$6:$J$4467,0)),IFERROR(INDEX('CEMIUP0.9 Raw'!$B$6:$B$1712,MATCH($J929,'CEMIUP0.9 Raw'!$B$6:$B$1712,0)),$J929))</f>
        <v>(NO ITEM CODE)</v>
      </c>
      <c r="C929" s="18" t="str">
        <f aca="false">IF(ISNUMBER($J929),IFERROR(INDEX('TRANS'!$C:$C,MATCH($J929,'TRANS'!$B:$B,0)),IFERROR(INDEX('Catalog'!$B:$B,MATCH($J929,'Catalog'!$A:$A,0)),$B929)),$B929)</f>
        <v>(NO ITEM CODE)</v>
      </c>
      <c r="D929" s="19" t="n">
        <f aca="false">SUMIFS('SALES Raw'!$C$6:$C$4467,'SALES Raw'!$J$6:$J$4467,$J929,'SALES Raw'!$K$6:$K$4467,"Y")+SUMIFS('CEMIUP0.9 Raw'!$D$6:$D$1712,'CEMIUP0.9 Raw'!$B$6:$B$1712,$J929,'CEMIUP0.9 Raw'!$H$6:$H$1712,"Y")</f>
        <v>0</v>
      </c>
      <c r="E929" s="19" t="n">
        <f aca="false">SUMIFS('SALES Raw'!$D$6:$D$4467,'SALES Raw'!$J$6:$J$4467,$J929,'SALES Raw'!$K$6:$K$4467,"Y")+SUMIFS('CEMIUP0.9 Raw'!$E$6:$E$1712,'CEMIUP0.9 Raw'!$B$6:$B$1712,$J929,'CEMIUP0.9 Raw'!$H$6:$H$1712,"Y")</f>
        <v>-2545.41</v>
      </c>
      <c r="F929" s="19" t="n">
        <f aca="false">SUMIFS('SALES Raw'!$E$6:$E$4467,'SALES Raw'!$J$6:$J$4467,$J929,'SALES Raw'!$K$6:$K$4467,"Y")*$H$4+SUMIFS('CEMIUP0.9 Raw'!$F$6:$F$1712,'CEMIUP0.9 Raw'!$B$6:$B$1712,$J929,'CEMIUP0.9 Raw'!$H$6:$H$1712,"Y")</f>
        <v>0</v>
      </c>
      <c r="G929" s="19" t="n">
        <f aca="false">SUMIFS('SALES Raw'!$F$6:$F$4467,'SALES Raw'!$J$6:$J$4467,$J929,'SALES Raw'!$K$6:$K$4467,"Y")*$H$4+SUMIFS('CEMIUP0.9 Raw'!$G$6:$G$1712,'CEMIUP0.9 Raw'!$B$6:$B$1712,$J929,'CEMIUP0.9 Raw'!$H$6:$H$1712,"Y")</f>
        <v>0</v>
      </c>
      <c r="H929" s="18" t="s">
        <v>42</v>
      </c>
      <c r="I929" s="18"/>
      <c r="J929" s="18" t="s">
        <v>493</v>
      </c>
    </row>
    <row r="930" customFormat="false" ht="15" hidden="false" customHeight="false" outlineLevel="0" collapsed="false">
      <c r="A930" s="18" t="str">
        <f aca="false">IF(ISNUMBER($J930),$J930,"")</f>
        <v/>
      </c>
      <c r="B930" s="18" t="str">
        <f aca="false">IFERROR(INDEX('SALES Raw'!$B$6:$B$4467,MATCH($J930,'SALES Raw'!$J$6:$J$4467,0)),IFERROR(INDEX('CEMIUP0.9 Raw'!$B$6:$B$1712,MATCH($J930,'CEMIUP0.9 Raw'!$B$6:$B$1712,0)),$J930))</f>
        <v>062 M</v>
      </c>
      <c r="C930" s="18" t="str">
        <f aca="false">IF(ISNUMBER($J930),IFERROR(INDEX('TRANS'!$C:$C,MATCH($J930,'TRANS'!$B:$B,0)),IFERROR(INDEX('Catalog'!$B:$B,MATCH($J930,'Catalog'!$A:$A,0)),$B930)),$B930)</f>
        <v>062 M</v>
      </c>
      <c r="D930" s="19" t="n">
        <f aca="false">SUMIFS('SALES Raw'!$C$6:$C$4467,'SALES Raw'!$J$6:$J$4467,$J930,'SALES Raw'!$K$6:$K$4467,"Y")+SUMIFS('CEMIUP0.9 Raw'!$D$6:$D$1712,'CEMIUP0.9 Raw'!$B$6:$B$1712,$J930,'CEMIUP0.9 Raw'!$H$6:$H$1712,"Y")</f>
        <v>1</v>
      </c>
      <c r="E930" s="19" t="n">
        <f aca="false">SUMIFS('SALES Raw'!$D$6:$D$4467,'SALES Raw'!$J$6:$J$4467,$J930,'SALES Raw'!$K$6:$K$4467,"Y")+SUMIFS('CEMIUP0.9 Raw'!$E$6:$E$1712,'CEMIUP0.9 Raw'!$B$6:$B$1712,$J930,'CEMIUP0.9 Raw'!$H$6:$H$1712,"Y")</f>
        <v>444.83</v>
      </c>
      <c r="F930" s="19" t="n">
        <f aca="false">SUMIFS('SALES Raw'!$E$6:$E$4467,'SALES Raw'!$J$6:$J$4467,$J930,'SALES Raw'!$K$6:$K$4467,"Y")*$H$4+SUMIFS('CEMIUP0.9 Raw'!$F$6:$F$1712,'CEMIUP0.9 Raw'!$B$6:$B$1712,$J930,'CEMIUP0.9 Raw'!$H$6:$H$1712,"Y")</f>
        <v>0</v>
      </c>
      <c r="G930" s="19" t="n">
        <f aca="false">SUMIFS('SALES Raw'!$F$6:$F$4467,'SALES Raw'!$J$6:$J$4467,$J930,'SALES Raw'!$K$6:$K$4467,"Y")*$H$4+SUMIFS('CEMIUP0.9 Raw'!$G$6:$G$1712,'CEMIUP0.9 Raw'!$B$6:$B$1712,$J930,'CEMIUP0.9 Raw'!$H$6:$H$1712,"Y")</f>
        <v>0</v>
      </c>
      <c r="H930" s="18" t="s">
        <v>42</v>
      </c>
      <c r="I930" s="18"/>
      <c r="J930" s="18" t="s">
        <v>494</v>
      </c>
    </row>
    <row r="931" customFormat="false" ht="15" hidden="false" customHeight="false" outlineLevel="0" collapsed="false">
      <c r="A931" s="18" t="str">
        <f aca="false">IF(ISNUMBER($J931),$J931,"")</f>
        <v/>
      </c>
      <c r="B931" s="18" t="str">
        <f aca="false">IFERROR(INDEX('SALES Raw'!$B$6:$B$4467,MATCH($J931,'SALES Raw'!$J$6:$J$4467,0)),IFERROR(INDEX('CEMIUP0.9 Raw'!$B$6:$B$1712,MATCH($J931,'CEMIUP0.9 Raw'!$B$6:$B$1712,0)),$J931))</f>
        <v>062 S</v>
      </c>
      <c r="C931" s="18" t="str">
        <f aca="false">IF(ISNUMBER($J931),IFERROR(INDEX('TRANS'!$C:$C,MATCH($J931,'TRANS'!$B:$B,0)),IFERROR(INDEX('Catalog'!$B:$B,MATCH($J931,'Catalog'!$A:$A,0)),$B931)),$B931)</f>
        <v>062 S</v>
      </c>
      <c r="D931" s="19" t="n">
        <f aca="false">SUMIFS('SALES Raw'!$C$6:$C$4467,'SALES Raw'!$J$6:$J$4467,$J931,'SALES Raw'!$K$6:$K$4467,"Y")+SUMIFS('CEMIUP0.9 Raw'!$D$6:$D$1712,'CEMIUP0.9 Raw'!$B$6:$B$1712,$J931,'CEMIUP0.9 Raw'!$H$6:$H$1712,"Y")</f>
        <v>1</v>
      </c>
      <c r="E931" s="19" t="n">
        <f aca="false">SUMIFS('SALES Raw'!$D$6:$D$4467,'SALES Raw'!$J$6:$J$4467,$J931,'SALES Raw'!$K$6:$K$4467,"Y")+SUMIFS('CEMIUP0.9 Raw'!$E$6:$E$1712,'CEMIUP0.9 Raw'!$B$6:$B$1712,$J931,'CEMIUP0.9 Raw'!$H$6:$H$1712,"Y")</f>
        <v>444.83</v>
      </c>
      <c r="F931" s="19" t="n">
        <f aca="false">SUMIFS('SALES Raw'!$E$6:$E$4467,'SALES Raw'!$J$6:$J$4467,$J931,'SALES Raw'!$K$6:$K$4467,"Y")*$H$4+SUMIFS('CEMIUP0.9 Raw'!$F$6:$F$1712,'CEMIUP0.9 Raw'!$B$6:$B$1712,$J931,'CEMIUP0.9 Raw'!$H$6:$H$1712,"Y")</f>
        <v>0</v>
      </c>
      <c r="G931" s="19" t="n">
        <f aca="false">SUMIFS('SALES Raw'!$F$6:$F$4467,'SALES Raw'!$J$6:$J$4467,$J931,'SALES Raw'!$K$6:$K$4467,"Y")*$H$4+SUMIFS('CEMIUP0.9 Raw'!$G$6:$G$1712,'CEMIUP0.9 Raw'!$B$6:$B$1712,$J931,'CEMIUP0.9 Raw'!$H$6:$H$1712,"Y")</f>
        <v>0</v>
      </c>
      <c r="H931" s="18" t="s">
        <v>42</v>
      </c>
      <c r="I931" s="18"/>
      <c r="J931" s="18" t="s">
        <v>495</v>
      </c>
    </row>
    <row r="932" customFormat="false" ht="15" hidden="false" customHeight="false" outlineLevel="0" collapsed="false">
      <c r="A932" s="18" t="str">
        <f aca="false">IF(ISNUMBER($J932),$J932,"")</f>
        <v/>
      </c>
      <c r="B932" s="18" t="str">
        <f aca="false">IFERROR(INDEX('SALES Raw'!$B$6:$B$4467,MATCH($J932,'SALES Raw'!$J$6:$J$4467,0)),IFERROR(INDEX('CEMIUP0.9 Raw'!$B$6:$B$1712,MATCH($J932,'CEMIUP0.9 Raw'!$B$6:$B$1712,0)),$J932))</f>
        <v>062 XL</v>
      </c>
      <c r="C932" s="18" t="str">
        <f aca="false">IF(ISNUMBER($J932),IFERROR(INDEX('TRANS'!$C:$C,MATCH($J932,'TRANS'!$B:$B,0)),IFERROR(INDEX('Catalog'!$B:$B,MATCH($J932,'Catalog'!$A:$A,0)),$B932)),$B932)</f>
        <v>062 XL</v>
      </c>
      <c r="D932" s="19" t="n">
        <f aca="false">SUMIFS('SALES Raw'!$C$6:$C$4467,'SALES Raw'!$J$6:$J$4467,$J932,'SALES Raw'!$K$6:$K$4467,"Y")+SUMIFS('CEMIUP0.9 Raw'!$D$6:$D$1712,'CEMIUP0.9 Raw'!$B$6:$B$1712,$J932,'CEMIUP0.9 Raw'!$H$6:$H$1712,"Y")</f>
        <v>5</v>
      </c>
      <c r="E932" s="19" t="n">
        <f aca="false">SUMIFS('SALES Raw'!$D$6:$D$4467,'SALES Raw'!$J$6:$J$4467,$J932,'SALES Raw'!$K$6:$K$4467,"Y")+SUMIFS('CEMIUP0.9 Raw'!$E$6:$E$1712,'CEMIUP0.9 Raw'!$B$6:$B$1712,$J932,'CEMIUP0.9 Raw'!$H$6:$H$1712,"Y")</f>
        <v>1645.89</v>
      </c>
      <c r="F932" s="19" t="n">
        <f aca="false">SUMIFS('SALES Raw'!$E$6:$E$4467,'SALES Raw'!$J$6:$J$4467,$J932,'SALES Raw'!$K$6:$K$4467,"Y")*$H$4+SUMIFS('CEMIUP0.9 Raw'!$F$6:$F$1712,'CEMIUP0.9 Raw'!$B$6:$B$1712,$J932,'CEMIUP0.9 Raw'!$H$6:$H$1712,"Y")</f>
        <v>0</v>
      </c>
      <c r="G932" s="19" t="n">
        <f aca="false">SUMIFS('SALES Raw'!$F$6:$F$4467,'SALES Raw'!$J$6:$J$4467,$J932,'SALES Raw'!$K$6:$K$4467,"Y")*$H$4+SUMIFS('CEMIUP0.9 Raw'!$G$6:$G$1712,'CEMIUP0.9 Raw'!$B$6:$B$1712,$J932,'CEMIUP0.9 Raw'!$H$6:$H$1712,"Y")</f>
        <v>0</v>
      </c>
      <c r="H932" s="18" t="s">
        <v>42</v>
      </c>
      <c r="I932" s="18"/>
      <c r="J932" s="18" t="s">
        <v>496</v>
      </c>
    </row>
    <row r="933" customFormat="false" ht="15" hidden="false" customHeight="false" outlineLevel="0" collapsed="false">
      <c r="A933" s="18" t="str">
        <f aca="false">IF(ISNUMBER($J933),$J933,"")</f>
        <v/>
      </c>
      <c r="B933" s="18" t="str">
        <f aca="false">IFERROR(INDEX('SALES Raw'!$B$6:$B$4467,MATCH($J933,'SALES Raw'!$J$6:$J$4467,0)),IFERROR(INDEX('CEMIUP0.9 Raw'!$B$6:$B$1712,MATCH($J933,'CEMIUP0.9 Raw'!$B$6:$B$1712,0)),$J933))</f>
        <v>10 S</v>
      </c>
      <c r="C933" s="18" t="str">
        <f aca="false">IF(ISNUMBER($J933),IFERROR(INDEX('TRANS'!$C:$C,MATCH($J933,'TRANS'!$B:$B,0)),IFERROR(INDEX('Catalog'!$B:$B,MATCH($J933,'Catalog'!$A:$A,0)),$B933)),$B933)</f>
        <v>10 S</v>
      </c>
      <c r="D933" s="19" t="n">
        <f aca="false">SUMIFS('SALES Raw'!$C$6:$C$4467,'SALES Raw'!$J$6:$J$4467,$J933,'SALES Raw'!$K$6:$K$4467,"Y")+SUMIFS('CEMIUP0.9 Raw'!$D$6:$D$1712,'CEMIUP0.9 Raw'!$B$6:$B$1712,$J933,'CEMIUP0.9 Raw'!$H$6:$H$1712,"Y")</f>
        <v>1</v>
      </c>
      <c r="E933" s="19" t="n">
        <f aca="false">SUMIFS('SALES Raw'!$D$6:$D$4467,'SALES Raw'!$J$6:$J$4467,$J933,'SALES Raw'!$K$6:$K$4467,"Y")+SUMIFS('CEMIUP0.9 Raw'!$E$6:$E$1712,'CEMIUP0.9 Raw'!$B$6:$B$1712,$J933,'CEMIUP0.9 Raw'!$H$6:$H$1712,"Y")</f>
        <v>223.66</v>
      </c>
      <c r="F933" s="19" t="n">
        <f aca="false">SUMIFS('SALES Raw'!$E$6:$E$4467,'SALES Raw'!$J$6:$J$4467,$J933,'SALES Raw'!$K$6:$K$4467,"Y")*$H$4+SUMIFS('CEMIUP0.9 Raw'!$F$6:$F$1712,'CEMIUP0.9 Raw'!$B$6:$B$1712,$J933,'CEMIUP0.9 Raw'!$H$6:$H$1712,"Y")</f>
        <v>0</v>
      </c>
      <c r="G933" s="19" t="n">
        <f aca="false">SUMIFS('SALES Raw'!$F$6:$F$4467,'SALES Raw'!$J$6:$J$4467,$J933,'SALES Raw'!$K$6:$K$4467,"Y")*$H$4+SUMIFS('CEMIUP0.9 Raw'!$G$6:$G$1712,'CEMIUP0.9 Raw'!$B$6:$B$1712,$J933,'CEMIUP0.9 Raw'!$H$6:$H$1712,"Y")</f>
        <v>0</v>
      </c>
      <c r="H933" s="18" t="s">
        <v>42</v>
      </c>
      <c r="I933" s="18"/>
      <c r="J933" s="18" t="s">
        <v>497</v>
      </c>
    </row>
    <row r="934" customFormat="false" ht="15" hidden="false" customHeight="false" outlineLevel="0" collapsed="false">
      <c r="A934" s="18" t="n">
        <f aca="false">IF(ISNUMBER($J934),$J934,"")</f>
        <v>4408145</v>
      </c>
      <c r="B934" s="18" t="str">
        <f aca="false">IFERROR(INDEX('SALES Raw'!$B$6:$B$4467,MATCH($J934,'SALES Raw'!$J$6:$J$4467,0)),IFERROR(INDEX('CEMIUP0.9 Raw'!$B$6:$B$1712,MATCH($J934,'CEMIUP0.9 Raw'!$B$6:$B$1712,0)),$J934))</f>
        <v>11PS S</v>
      </c>
      <c r="C934" s="18" t="str">
        <f aca="false">IF(ISNUMBER($J934),IFERROR(INDEX('TRANS'!$C:$C,MATCH($J934,'TRANS'!$B:$B,0)),IFERROR(INDEX('Catalog'!$B:$B,MATCH($J934,'Catalog'!$A:$A,0)),$B934)),$B934)</f>
        <v>11PS Sחגורה למנותחי בטן</v>
      </c>
      <c r="D934" s="19" t="n">
        <f aca="false">SUMIFS('SALES Raw'!$C$6:$C$4467,'SALES Raw'!$J$6:$J$4467,$J934,'SALES Raw'!$K$6:$K$4467,"Y")+SUMIFS('CEMIUP0.9 Raw'!$D$6:$D$1712,'CEMIUP0.9 Raw'!$B$6:$B$1712,$J934,'CEMIUP0.9 Raw'!$H$6:$H$1712,"Y")</f>
        <v>4</v>
      </c>
      <c r="E934" s="19" t="n">
        <f aca="false">SUMIFS('SALES Raw'!$D$6:$D$4467,'SALES Raw'!$J$6:$J$4467,$J934,'SALES Raw'!$K$6:$K$4467,"Y")+SUMIFS('CEMIUP0.9 Raw'!$E$6:$E$1712,'CEMIUP0.9 Raw'!$B$6:$B$1712,$J934,'CEMIUP0.9 Raw'!$H$6:$H$1712,"Y")</f>
        <v>717.99</v>
      </c>
      <c r="F934" s="19" t="n">
        <f aca="false">SUMIFS('SALES Raw'!$E$6:$E$4467,'SALES Raw'!$J$6:$J$4467,$J934,'SALES Raw'!$K$6:$K$4467,"Y")*$H$4+SUMIFS('CEMIUP0.9 Raw'!$F$6:$F$1712,'CEMIUP0.9 Raw'!$B$6:$B$1712,$J934,'CEMIUP0.9 Raw'!$H$6:$H$1712,"Y")</f>
        <v>0</v>
      </c>
      <c r="G934" s="19" t="n">
        <f aca="false">SUMIFS('SALES Raw'!$F$6:$F$4467,'SALES Raw'!$J$6:$J$4467,$J934,'SALES Raw'!$K$6:$K$4467,"Y")*$H$4+SUMIFS('CEMIUP0.9 Raw'!$G$6:$G$1712,'CEMIUP0.9 Raw'!$B$6:$B$1712,$J934,'CEMIUP0.9 Raw'!$H$6:$H$1712,"Y")</f>
        <v>0</v>
      </c>
      <c r="H934" s="18" t="s">
        <v>42</v>
      </c>
      <c r="I934" s="18" t="s">
        <v>43</v>
      </c>
      <c r="J934" s="18" t="n">
        <v>4408145</v>
      </c>
    </row>
    <row r="935" customFormat="false" ht="15" hidden="false" customHeight="false" outlineLevel="0" collapsed="false">
      <c r="A935" s="18" t="str">
        <f aca="false">IF(ISNUMBER($J935),$J935,"")</f>
        <v/>
      </c>
      <c r="B935" s="18" t="str">
        <f aca="false">IFERROR(INDEX('SALES Raw'!$B$6:$B$4467,MATCH($J935,'SALES Raw'!$J$6:$J$4467,0)),IFERROR(INDEX('CEMIUP0.9 Raw'!$B$6:$B$1712,MATCH($J935,'CEMIUP0.9 Raw'!$B$6:$B$1712,0)),$J935))</f>
        <v>11STOB S</v>
      </c>
      <c r="C935" s="18" t="str">
        <f aca="false">IF(ISNUMBER($J935),IFERROR(INDEX('TRANS'!$C:$C,MATCH($J935,'TRANS'!$B:$B,0)),IFERROR(INDEX('Catalog'!$B:$B,MATCH($J935,'Catalog'!$A:$A,0)),$B935)),$B935)</f>
        <v>11STOB S</v>
      </c>
      <c r="D935" s="19" t="n">
        <f aca="false">SUMIFS('SALES Raw'!$C$6:$C$4467,'SALES Raw'!$J$6:$J$4467,$J935,'SALES Raw'!$K$6:$K$4467,"Y")+SUMIFS('CEMIUP0.9 Raw'!$D$6:$D$1712,'CEMIUP0.9 Raw'!$B$6:$B$1712,$J935,'CEMIUP0.9 Raw'!$H$6:$H$1712,"Y")</f>
        <v>3</v>
      </c>
      <c r="E935" s="19" t="n">
        <f aca="false">SUMIFS('SALES Raw'!$D$6:$D$4467,'SALES Raw'!$J$6:$J$4467,$J935,'SALES Raw'!$K$6:$K$4467,"Y")+SUMIFS('CEMIUP0.9 Raw'!$E$6:$E$1712,'CEMIUP0.9 Raw'!$B$6:$B$1712,$J935,'CEMIUP0.9 Raw'!$H$6:$H$1712,"Y")</f>
        <v>902.28</v>
      </c>
      <c r="F935" s="19" t="n">
        <f aca="false">SUMIFS('SALES Raw'!$E$6:$E$4467,'SALES Raw'!$J$6:$J$4467,$J935,'SALES Raw'!$K$6:$K$4467,"Y")*$H$4+SUMIFS('CEMIUP0.9 Raw'!$F$6:$F$1712,'CEMIUP0.9 Raw'!$B$6:$B$1712,$J935,'CEMIUP0.9 Raw'!$H$6:$H$1712,"Y")</f>
        <v>0</v>
      </c>
      <c r="G935" s="19" t="n">
        <f aca="false">SUMIFS('SALES Raw'!$F$6:$F$4467,'SALES Raw'!$J$6:$J$4467,$J935,'SALES Raw'!$K$6:$K$4467,"Y")*$H$4+SUMIFS('CEMIUP0.9 Raw'!$G$6:$G$1712,'CEMIUP0.9 Raw'!$B$6:$B$1712,$J935,'CEMIUP0.9 Raw'!$H$6:$H$1712,"Y")</f>
        <v>0</v>
      </c>
      <c r="H935" s="18" t="s">
        <v>42</v>
      </c>
      <c r="I935" s="18"/>
      <c r="J935" s="18" t="s">
        <v>498</v>
      </c>
    </row>
    <row r="936" customFormat="false" ht="15" hidden="false" customHeight="false" outlineLevel="0" collapsed="false">
      <c r="A936" s="18" t="str">
        <f aca="false">IF(ISNUMBER($J936),$J936,"")</f>
        <v/>
      </c>
      <c r="B936" s="18" t="str">
        <f aca="false">IFERROR(INDEX('SALES Raw'!$B$6:$B$4467,MATCH($J936,'SALES Raw'!$J$6:$J$4467,0)),IFERROR(INDEX('CEMIUP0.9 Raw'!$B$6:$B$1712,MATCH($J936,'CEMIUP0.9 Raw'!$B$6:$B$1712,0)),$J936))</f>
        <v>13B L</v>
      </c>
      <c r="C936" s="18" t="str">
        <f aca="false">IF(ISNUMBER($J936),IFERROR(INDEX('TRANS'!$C:$C,MATCH($J936,'TRANS'!$B:$B,0)),IFERROR(INDEX('Catalog'!$B:$B,MATCH($J936,'Catalog'!$A:$A,0)),$B936)),$B936)</f>
        <v>13B L</v>
      </c>
      <c r="D936" s="19" t="n">
        <f aca="false">SUMIFS('SALES Raw'!$C$6:$C$4467,'SALES Raw'!$J$6:$J$4467,$J936,'SALES Raw'!$K$6:$K$4467,"Y")+SUMIFS('CEMIUP0.9 Raw'!$D$6:$D$1712,'CEMIUP0.9 Raw'!$B$6:$B$1712,$J936,'CEMIUP0.9 Raw'!$H$6:$H$1712,"Y")</f>
        <v>1</v>
      </c>
      <c r="E936" s="19" t="n">
        <f aca="false">SUMIFS('SALES Raw'!$D$6:$D$4467,'SALES Raw'!$J$6:$J$4467,$J936,'SALES Raw'!$K$6:$K$4467,"Y")+SUMIFS('CEMIUP0.9 Raw'!$E$6:$E$1712,'CEMIUP0.9 Raw'!$B$6:$B$1712,$J936,'CEMIUP0.9 Raw'!$H$6:$H$1712,"Y")</f>
        <v>97.17</v>
      </c>
      <c r="F936" s="19" t="n">
        <f aca="false">SUMIFS('SALES Raw'!$E$6:$E$4467,'SALES Raw'!$J$6:$J$4467,$J936,'SALES Raw'!$K$6:$K$4467,"Y")*$H$4+SUMIFS('CEMIUP0.9 Raw'!$F$6:$F$1712,'CEMIUP0.9 Raw'!$B$6:$B$1712,$J936,'CEMIUP0.9 Raw'!$H$6:$H$1712,"Y")</f>
        <v>0</v>
      </c>
      <c r="G936" s="19" t="n">
        <f aca="false">SUMIFS('SALES Raw'!$F$6:$F$4467,'SALES Raw'!$J$6:$J$4467,$J936,'SALES Raw'!$K$6:$K$4467,"Y")*$H$4+SUMIFS('CEMIUP0.9 Raw'!$G$6:$G$1712,'CEMIUP0.9 Raw'!$B$6:$B$1712,$J936,'CEMIUP0.9 Raw'!$H$6:$H$1712,"Y")</f>
        <v>0</v>
      </c>
      <c r="H936" s="18" t="s">
        <v>42</v>
      </c>
      <c r="I936" s="18"/>
      <c r="J936" s="18" t="s">
        <v>499</v>
      </c>
    </row>
    <row r="937" customFormat="false" ht="15" hidden="false" customHeight="false" outlineLevel="0" collapsed="false">
      <c r="A937" s="18" t="str">
        <f aca="false">IF(ISNUMBER($J937),$J937,"")</f>
        <v/>
      </c>
      <c r="B937" s="18" t="str">
        <f aca="false">IFERROR(INDEX('SALES Raw'!$B$6:$B$4467,MATCH($J937,'SALES Raw'!$J$6:$J$4467,0)),IFERROR(INDEX('CEMIUP0.9 Raw'!$B$6:$B$1712,MATCH($J937,'CEMIUP0.9 Raw'!$B$6:$B$1712,0)),$J937))</f>
        <v>13B M</v>
      </c>
      <c r="C937" s="18" t="str">
        <f aca="false">IF(ISNUMBER($J937),IFERROR(INDEX('TRANS'!$C:$C,MATCH($J937,'TRANS'!$B:$B,0)),IFERROR(INDEX('Catalog'!$B:$B,MATCH($J937,'Catalog'!$A:$A,0)),$B937)),$B937)</f>
        <v>13B M</v>
      </c>
      <c r="D937" s="19" t="n">
        <f aca="false">SUMIFS('SALES Raw'!$C$6:$C$4467,'SALES Raw'!$J$6:$J$4467,$J937,'SALES Raw'!$K$6:$K$4467,"Y")+SUMIFS('CEMIUP0.9 Raw'!$D$6:$D$1712,'CEMIUP0.9 Raw'!$B$6:$B$1712,$J937,'CEMIUP0.9 Raw'!$H$6:$H$1712,"Y")</f>
        <v>1</v>
      </c>
      <c r="E937" s="19" t="n">
        <f aca="false">SUMIFS('SALES Raw'!$D$6:$D$4467,'SALES Raw'!$J$6:$J$4467,$J937,'SALES Raw'!$K$6:$K$4467,"Y")+SUMIFS('CEMIUP0.9 Raw'!$E$6:$E$1712,'CEMIUP0.9 Raw'!$B$6:$B$1712,$J937,'CEMIUP0.9 Raw'!$H$6:$H$1712,"Y")</f>
        <v>106.69</v>
      </c>
      <c r="F937" s="19" t="n">
        <f aca="false">SUMIFS('SALES Raw'!$E$6:$E$4467,'SALES Raw'!$J$6:$J$4467,$J937,'SALES Raw'!$K$6:$K$4467,"Y")*$H$4+SUMIFS('CEMIUP0.9 Raw'!$F$6:$F$1712,'CEMIUP0.9 Raw'!$B$6:$B$1712,$J937,'CEMIUP0.9 Raw'!$H$6:$H$1712,"Y")</f>
        <v>0</v>
      </c>
      <c r="G937" s="19" t="n">
        <f aca="false">SUMIFS('SALES Raw'!$F$6:$F$4467,'SALES Raw'!$J$6:$J$4467,$J937,'SALES Raw'!$K$6:$K$4467,"Y")*$H$4+SUMIFS('CEMIUP0.9 Raw'!$G$6:$G$1712,'CEMIUP0.9 Raw'!$B$6:$B$1712,$J937,'CEMIUP0.9 Raw'!$H$6:$H$1712,"Y")</f>
        <v>0</v>
      </c>
      <c r="H937" s="18" t="s">
        <v>42</v>
      </c>
      <c r="I937" s="18"/>
      <c r="J937" s="18" t="s">
        <v>500</v>
      </c>
    </row>
    <row r="938" customFormat="false" ht="15" hidden="false" customHeight="false" outlineLevel="0" collapsed="false">
      <c r="A938" s="18" t="str">
        <f aca="false">IF(ISNUMBER($J938),$J938,"")</f>
        <v/>
      </c>
      <c r="B938" s="18" t="str">
        <f aca="false">IFERROR(INDEX('SALES Raw'!$B$6:$B$4467,MATCH($J938,'SALES Raw'!$J$6:$J$4467,0)),IFERROR(INDEX('CEMIUP0.9 Raw'!$B$6:$B$1712,MATCH($J938,'CEMIUP0.9 Raw'!$B$6:$B$1712,0)),$J938))</f>
        <v>267RC-L-XL</v>
      </c>
      <c r="C938" s="18" t="str">
        <f aca="false">IF(ISNUMBER($J938),IFERROR(INDEX('TRANS'!$C:$C,MATCH($J938,'TRANS'!$B:$B,0)),IFERROR(INDEX('Catalog'!$B:$B,MATCH($J938,'Catalog'!$A:$A,0)),$B938)),$B938)</f>
        <v>267RC-L-XL</v>
      </c>
      <c r="D938" s="19" t="n">
        <f aca="false">SUMIFS('SALES Raw'!$C$6:$C$4467,'SALES Raw'!$J$6:$J$4467,$J938,'SALES Raw'!$K$6:$K$4467,"Y")+SUMIFS('CEMIUP0.9 Raw'!$D$6:$D$1712,'CEMIUP0.9 Raw'!$B$6:$B$1712,$J938,'CEMIUP0.9 Raw'!$H$6:$H$1712,"Y")</f>
        <v>1</v>
      </c>
      <c r="E938" s="19" t="n">
        <f aca="false">SUMIFS('SALES Raw'!$D$6:$D$4467,'SALES Raw'!$J$6:$J$4467,$J938,'SALES Raw'!$K$6:$K$4467,"Y")+SUMIFS('CEMIUP0.9 Raw'!$E$6:$E$1712,'CEMIUP0.9 Raw'!$B$6:$B$1712,$J938,'CEMIUP0.9 Raw'!$H$6:$H$1712,"Y")</f>
        <v>167.05</v>
      </c>
      <c r="F938" s="19" t="n">
        <f aca="false">SUMIFS('SALES Raw'!$E$6:$E$4467,'SALES Raw'!$J$6:$J$4467,$J938,'SALES Raw'!$K$6:$K$4467,"Y")*$H$4+SUMIFS('CEMIUP0.9 Raw'!$F$6:$F$1712,'CEMIUP0.9 Raw'!$B$6:$B$1712,$J938,'CEMIUP0.9 Raw'!$H$6:$H$1712,"Y")</f>
        <v>0</v>
      </c>
      <c r="G938" s="19" t="n">
        <f aca="false">SUMIFS('SALES Raw'!$F$6:$F$4467,'SALES Raw'!$J$6:$J$4467,$J938,'SALES Raw'!$K$6:$K$4467,"Y")*$H$4+SUMIFS('CEMIUP0.9 Raw'!$G$6:$G$1712,'CEMIUP0.9 Raw'!$B$6:$B$1712,$J938,'CEMIUP0.9 Raw'!$H$6:$H$1712,"Y")</f>
        <v>0</v>
      </c>
      <c r="H938" s="18" t="s">
        <v>42</v>
      </c>
      <c r="I938" s="18"/>
      <c r="J938" s="18" t="s">
        <v>501</v>
      </c>
    </row>
    <row r="939" customFormat="false" ht="15" hidden="false" customHeight="false" outlineLevel="0" collapsed="false">
      <c r="A939" s="18" t="str">
        <f aca="false">IF(ISNUMBER($J939),$J939,"")</f>
        <v/>
      </c>
      <c r="B939" s="18" t="str">
        <f aca="false">IFERROR(INDEX('SALES Raw'!$B$6:$B$4467,MATCH($J939,'SALES Raw'!$J$6:$J$4467,0)),IFERROR(INDEX('CEMIUP0.9 Raw'!$B$6:$B$1712,MATCH($J939,'CEMIUP0.9 Raw'!$B$6:$B$1712,0)),$J939))</f>
        <v>41 XXL</v>
      </c>
      <c r="C939" s="18" t="str">
        <f aca="false">IF(ISNUMBER($J939),IFERROR(INDEX('TRANS'!$C:$C,MATCH($J939,'TRANS'!$B:$B,0)),IFERROR(INDEX('Catalog'!$B:$B,MATCH($J939,'Catalog'!$A:$A,0)),$B939)),$B939)</f>
        <v>41 XXL</v>
      </c>
      <c r="D939" s="19" t="n">
        <f aca="false">SUMIFS('SALES Raw'!$C$6:$C$4467,'SALES Raw'!$J$6:$J$4467,$J939,'SALES Raw'!$K$6:$K$4467,"Y")+SUMIFS('CEMIUP0.9 Raw'!$D$6:$D$1712,'CEMIUP0.9 Raw'!$B$6:$B$1712,$J939,'CEMIUP0.9 Raw'!$H$6:$H$1712,"Y")</f>
        <v>5</v>
      </c>
      <c r="E939" s="19" t="n">
        <f aca="false">SUMIFS('SALES Raw'!$D$6:$D$4467,'SALES Raw'!$J$6:$J$4467,$J939,'SALES Raw'!$K$6:$K$4467,"Y")+SUMIFS('CEMIUP0.9 Raw'!$E$6:$E$1712,'CEMIUP0.9 Raw'!$B$6:$B$1712,$J939,'CEMIUP0.9 Raw'!$H$6:$H$1712,"Y")</f>
        <v>961.9</v>
      </c>
      <c r="F939" s="19" t="n">
        <f aca="false">SUMIFS('SALES Raw'!$E$6:$E$4467,'SALES Raw'!$J$6:$J$4467,$J939,'SALES Raw'!$K$6:$K$4467,"Y")*$H$4+SUMIFS('CEMIUP0.9 Raw'!$F$6:$F$1712,'CEMIUP0.9 Raw'!$B$6:$B$1712,$J939,'CEMIUP0.9 Raw'!$H$6:$H$1712,"Y")</f>
        <v>0</v>
      </c>
      <c r="G939" s="19" t="n">
        <f aca="false">SUMIFS('SALES Raw'!$F$6:$F$4467,'SALES Raw'!$J$6:$J$4467,$J939,'SALES Raw'!$K$6:$K$4467,"Y")*$H$4+SUMIFS('CEMIUP0.9 Raw'!$G$6:$G$1712,'CEMIUP0.9 Raw'!$B$6:$B$1712,$J939,'CEMIUP0.9 Raw'!$H$6:$H$1712,"Y")</f>
        <v>0</v>
      </c>
      <c r="H939" s="18" t="s">
        <v>42</v>
      </c>
      <c r="I939" s="18"/>
      <c r="J939" s="18" t="s">
        <v>502</v>
      </c>
    </row>
    <row r="940" customFormat="false" ht="15" hidden="false" customHeight="false" outlineLevel="0" collapsed="false">
      <c r="A940" s="18" t="str">
        <f aca="false">IF(ISNUMBER($J940),$J940,"")</f>
        <v/>
      </c>
      <c r="B940" s="18" t="str">
        <f aca="false">IFERROR(INDEX('SALES Raw'!$B$6:$B$4467,MATCH($J940,'SALES Raw'!$J$6:$J$4467,0)),IFERROR(INDEX('CEMIUP0.9 Raw'!$B$6:$B$1712,MATCH($J940,'CEMIUP0.9 Raw'!$B$6:$B$1712,0)),$J940))</f>
        <v>41X S</v>
      </c>
      <c r="C940" s="18" t="str">
        <f aca="false">IF(ISNUMBER($J940),IFERROR(INDEX('TRANS'!$C:$C,MATCH($J940,'TRANS'!$B:$B,0)),IFERROR(INDEX('Catalog'!$B:$B,MATCH($J940,'Catalog'!$A:$A,0)),$B940)),$B940)</f>
        <v>41X S</v>
      </c>
      <c r="D940" s="19" t="n">
        <f aca="false">SUMIFS('SALES Raw'!$C$6:$C$4467,'SALES Raw'!$J$6:$J$4467,$J940,'SALES Raw'!$K$6:$K$4467,"Y")+SUMIFS('CEMIUP0.9 Raw'!$D$6:$D$1712,'CEMIUP0.9 Raw'!$B$6:$B$1712,$J940,'CEMIUP0.9 Raw'!$H$6:$H$1712,"Y")</f>
        <v>1</v>
      </c>
      <c r="E940" s="19" t="n">
        <f aca="false">SUMIFS('SALES Raw'!$D$6:$D$4467,'SALES Raw'!$J$6:$J$4467,$J940,'SALES Raw'!$K$6:$K$4467,"Y")+SUMIFS('CEMIUP0.9 Raw'!$E$6:$E$1712,'CEMIUP0.9 Raw'!$B$6:$B$1712,$J940,'CEMIUP0.9 Raw'!$H$6:$H$1712,"Y")</f>
        <v>245.68</v>
      </c>
      <c r="F940" s="19" t="n">
        <f aca="false">SUMIFS('SALES Raw'!$E$6:$E$4467,'SALES Raw'!$J$6:$J$4467,$J940,'SALES Raw'!$K$6:$K$4467,"Y")*$H$4+SUMIFS('CEMIUP0.9 Raw'!$F$6:$F$1712,'CEMIUP0.9 Raw'!$B$6:$B$1712,$J940,'CEMIUP0.9 Raw'!$H$6:$H$1712,"Y")</f>
        <v>0</v>
      </c>
      <c r="G940" s="19" t="n">
        <f aca="false">SUMIFS('SALES Raw'!$F$6:$F$4467,'SALES Raw'!$J$6:$J$4467,$J940,'SALES Raw'!$K$6:$K$4467,"Y")*$H$4+SUMIFS('CEMIUP0.9 Raw'!$G$6:$G$1712,'CEMIUP0.9 Raw'!$B$6:$B$1712,$J940,'CEMIUP0.9 Raw'!$H$6:$H$1712,"Y")</f>
        <v>0</v>
      </c>
      <c r="H940" s="18" t="s">
        <v>42</v>
      </c>
      <c r="I940" s="18"/>
      <c r="J940" s="18" t="s">
        <v>503</v>
      </c>
    </row>
    <row r="941" customFormat="false" ht="15" hidden="false" customHeight="false" outlineLevel="0" collapsed="false">
      <c r="A941" s="18" t="str">
        <f aca="false">IF(ISNUMBER($J941),$J941,"")</f>
        <v/>
      </c>
      <c r="B941" s="18" t="str">
        <f aca="false">IFERROR(INDEX('SALES Raw'!$B$6:$B$4467,MATCH($J941,'SALES Raw'!$J$6:$J$4467,0)),IFERROR(INDEX('CEMIUP0.9 Raw'!$B$6:$B$1712,MATCH($J941,'CEMIUP0.9 Raw'!$B$6:$B$1712,0)),$J941))</f>
        <v>422N+ XXL</v>
      </c>
      <c r="C941" s="18" t="str">
        <f aca="false">IF(ISNUMBER($J941),IFERROR(INDEX('TRANS'!$C:$C,MATCH($J941,'TRANS'!$B:$B,0)),IFERROR(INDEX('Catalog'!$B:$B,MATCH($J941,'Catalog'!$A:$A,0)),$B941)),$B941)</f>
        <v>422N+ XXL</v>
      </c>
      <c r="D941" s="19" t="n">
        <f aca="false">SUMIFS('SALES Raw'!$C$6:$C$4467,'SALES Raw'!$J$6:$J$4467,$J941,'SALES Raw'!$K$6:$K$4467,"Y")+SUMIFS('CEMIUP0.9 Raw'!$D$6:$D$1712,'CEMIUP0.9 Raw'!$B$6:$B$1712,$J941,'CEMIUP0.9 Raw'!$H$6:$H$1712,"Y")</f>
        <v>1</v>
      </c>
      <c r="E941" s="19" t="n">
        <f aca="false">SUMIFS('SALES Raw'!$D$6:$D$4467,'SALES Raw'!$J$6:$J$4467,$J941,'SALES Raw'!$K$6:$K$4467,"Y")+SUMIFS('CEMIUP0.9 Raw'!$E$6:$E$1712,'CEMIUP0.9 Raw'!$B$6:$B$1712,$J941,'CEMIUP0.9 Raw'!$H$6:$H$1712,"Y")</f>
        <v>305.01</v>
      </c>
      <c r="F941" s="19" t="n">
        <f aca="false">SUMIFS('SALES Raw'!$E$6:$E$4467,'SALES Raw'!$J$6:$J$4467,$J941,'SALES Raw'!$K$6:$K$4467,"Y")*$H$4+SUMIFS('CEMIUP0.9 Raw'!$F$6:$F$1712,'CEMIUP0.9 Raw'!$B$6:$B$1712,$J941,'CEMIUP0.9 Raw'!$H$6:$H$1712,"Y")</f>
        <v>0</v>
      </c>
      <c r="G941" s="19" t="n">
        <f aca="false">SUMIFS('SALES Raw'!$F$6:$F$4467,'SALES Raw'!$J$6:$J$4467,$J941,'SALES Raw'!$K$6:$K$4467,"Y")*$H$4+SUMIFS('CEMIUP0.9 Raw'!$G$6:$G$1712,'CEMIUP0.9 Raw'!$B$6:$B$1712,$J941,'CEMIUP0.9 Raw'!$H$6:$H$1712,"Y")</f>
        <v>0</v>
      </c>
      <c r="H941" s="18" t="s">
        <v>42</v>
      </c>
      <c r="I941" s="18"/>
      <c r="J941" s="18" t="s">
        <v>504</v>
      </c>
    </row>
    <row r="942" customFormat="false" ht="15" hidden="false" customHeight="false" outlineLevel="0" collapsed="false">
      <c r="A942" s="18" t="str">
        <f aca="false">IF(ISNUMBER($J942),$J942,"")</f>
        <v/>
      </c>
      <c r="B942" s="18" t="str">
        <f aca="false">IFERROR(INDEX('SALES Raw'!$B$6:$B$4467,MATCH($J942,'SALES Raw'!$J$6:$J$4467,0)),IFERROR(INDEX('CEMIUP0.9 Raw'!$B$6:$B$1712,MATCH($J942,'CEMIUP0.9 Raw'!$B$6:$B$1712,0)),$J942))</f>
        <v>48 XS</v>
      </c>
      <c r="C942" s="18" t="str">
        <f aca="false">IF(ISNUMBER($J942),IFERROR(INDEX('TRANS'!$C:$C,MATCH($J942,'TRANS'!$B:$B,0)),IFERROR(INDEX('Catalog'!$B:$B,MATCH($J942,'Catalog'!$A:$A,0)),$B942)),$B942)</f>
        <v>48 XS</v>
      </c>
      <c r="D942" s="19" t="n">
        <f aca="false">SUMIFS('SALES Raw'!$C$6:$C$4467,'SALES Raw'!$J$6:$J$4467,$J942,'SALES Raw'!$K$6:$K$4467,"Y")+SUMIFS('CEMIUP0.9 Raw'!$D$6:$D$1712,'CEMIUP0.9 Raw'!$B$6:$B$1712,$J942,'CEMIUP0.9 Raw'!$H$6:$H$1712,"Y")</f>
        <v>1</v>
      </c>
      <c r="E942" s="19" t="n">
        <f aca="false">SUMIFS('SALES Raw'!$D$6:$D$4467,'SALES Raw'!$J$6:$J$4467,$J942,'SALES Raw'!$K$6:$K$4467,"Y")+SUMIFS('CEMIUP0.9 Raw'!$E$6:$E$1712,'CEMIUP0.9 Raw'!$B$6:$B$1712,$J942,'CEMIUP0.9 Raw'!$H$6:$H$1712,"Y")</f>
        <v>87.09</v>
      </c>
      <c r="F942" s="19" t="n">
        <f aca="false">SUMIFS('SALES Raw'!$E$6:$E$4467,'SALES Raw'!$J$6:$J$4467,$J942,'SALES Raw'!$K$6:$K$4467,"Y")*$H$4+SUMIFS('CEMIUP0.9 Raw'!$F$6:$F$1712,'CEMIUP0.9 Raw'!$B$6:$B$1712,$J942,'CEMIUP0.9 Raw'!$H$6:$H$1712,"Y")</f>
        <v>0</v>
      </c>
      <c r="G942" s="19" t="n">
        <f aca="false">SUMIFS('SALES Raw'!$F$6:$F$4467,'SALES Raw'!$J$6:$J$4467,$J942,'SALES Raw'!$K$6:$K$4467,"Y")*$H$4+SUMIFS('CEMIUP0.9 Raw'!$G$6:$G$1712,'CEMIUP0.9 Raw'!$B$6:$B$1712,$J942,'CEMIUP0.9 Raw'!$H$6:$H$1712,"Y")</f>
        <v>0</v>
      </c>
      <c r="H942" s="18" t="s">
        <v>42</v>
      </c>
      <c r="I942" s="18"/>
      <c r="J942" s="18" t="s">
        <v>505</v>
      </c>
    </row>
    <row r="943" customFormat="false" ht="15" hidden="false" customHeight="false" outlineLevel="0" collapsed="false">
      <c r="A943" s="18" t="str">
        <f aca="false">IF(ISNUMBER($J943),$J943,"")</f>
        <v/>
      </c>
      <c r="B943" s="18" t="str">
        <f aca="false">IFERROR(INDEX('SALES Raw'!$B$6:$B$4467,MATCH($J943,'SALES Raw'!$J$6:$J$4467,0)),IFERROR(INDEX('CEMIUP0.9 Raw'!$B$6:$B$1712,MATCH($J943,'CEMIUP0.9 Raw'!$B$6:$B$1712,0)),$J943))</f>
        <v>59DB XL</v>
      </c>
      <c r="C943" s="18" t="str">
        <f aca="false">IF(ISNUMBER($J943),IFERROR(INDEX('TRANS'!$C:$C,MATCH($J943,'TRANS'!$B:$B,0)),IFERROR(INDEX('Catalog'!$B:$B,MATCH($J943,'Catalog'!$A:$A,0)),$B943)),$B943)</f>
        <v>59DB XL</v>
      </c>
      <c r="D943" s="19" t="n">
        <f aca="false">SUMIFS('SALES Raw'!$C$6:$C$4467,'SALES Raw'!$J$6:$J$4467,$J943,'SALES Raw'!$K$6:$K$4467,"Y")+SUMIFS('CEMIUP0.9 Raw'!$D$6:$D$1712,'CEMIUP0.9 Raw'!$B$6:$B$1712,$J943,'CEMIUP0.9 Raw'!$H$6:$H$1712,"Y")</f>
        <v>1</v>
      </c>
      <c r="E943" s="19" t="n">
        <f aca="false">SUMIFS('SALES Raw'!$D$6:$D$4467,'SALES Raw'!$J$6:$J$4467,$J943,'SALES Raw'!$K$6:$K$4467,"Y")+SUMIFS('CEMIUP0.9 Raw'!$E$6:$E$1712,'CEMIUP0.9 Raw'!$B$6:$B$1712,$J943,'CEMIUP0.9 Raw'!$H$6:$H$1712,"Y")</f>
        <v>482.55</v>
      </c>
      <c r="F943" s="19" t="n">
        <f aca="false">SUMIFS('SALES Raw'!$E$6:$E$4467,'SALES Raw'!$J$6:$J$4467,$J943,'SALES Raw'!$K$6:$K$4467,"Y")*$H$4+SUMIFS('CEMIUP0.9 Raw'!$F$6:$F$1712,'CEMIUP0.9 Raw'!$B$6:$B$1712,$J943,'CEMIUP0.9 Raw'!$H$6:$H$1712,"Y")</f>
        <v>0</v>
      </c>
      <c r="G943" s="19" t="n">
        <f aca="false">SUMIFS('SALES Raw'!$F$6:$F$4467,'SALES Raw'!$J$6:$J$4467,$J943,'SALES Raw'!$K$6:$K$4467,"Y")*$H$4+SUMIFS('CEMIUP0.9 Raw'!$G$6:$G$1712,'CEMIUP0.9 Raw'!$B$6:$B$1712,$J943,'CEMIUP0.9 Raw'!$H$6:$H$1712,"Y")</f>
        <v>0</v>
      </c>
      <c r="H943" s="18" t="s">
        <v>42</v>
      </c>
      <c r="I943" s="18"/>
      <c r="J943" s="18" t="s">
        <v>506</v>
      </c>
    </row>
    <row r="944" customFormat="false" ht="15" hidden="false" customHeight="false" outlineLevel="0" collapsed="false">
      <c r="A944" s="18" t="str">
        <f aca="false">IF(ISNUMBER($J944),$J944,"")</f>
        <v/>
      </c>
      <c r="B944" s="18" t="str">
        <f aca="false">IFERROR(INDEX('SALES Raw'!$B$6:$B$4467,MATCH($J944,'SALES Raw'!$J$6:$J$4467,0)),IFERROR(INDEX('CEMIUP0.9 Raw'!$B$6:$B$1712,MATCH($J944,'CEMIUP0.9 Raw'!$B$6:$B$1712,0)),$J944))</f>
        <v>86U XL</v>
      </c>
      <c r="C944" s="18" t="str">
        <f aca="false">IF(ISNUMBER($J944),IFERROR(INDEX('TRANS'!$C:$C,MATCH($J944,'TRANS'!$B:$B,0)),IFERROR(INDEX('Catalog'!$B:$B,MATCH($J944,'Catalog'!$A:$A,0)),$B944)),$B944)</f>
        <v>86U XL</v>
      </c>
      <c r="D944" s="19" t="n">
        <f aca="false">SUMIFS('SALES Raw'!$C$6:$C$4467,'SALES Raw'!$J$6:$J$4467,$J944,'SALES Raw'!$K$6:$K$4467,"Y")+SUMIFS('CEMIUP0.9 Raw'!$D$6:$D$1712,'CEMIUP0.9 Raw'!$B$6:$B$1712,$J944,'CEMIUP0.9 Raw'!$H$6:$H$1712,"Y")</f>
        <v>1</v>
      </c>
      <c r="E944" s="19" t="n">
        <f aca="false">SUMIFS('SALES Raw'!$D$6:$D$4467,'SALES Raw'!$J$6:$J$4467,$J944,'SALES Raw'!$K$6:$K$4467,"Y")+SUMIFS('CEMIUP0.9 Raw'!$E$6:$E$1712,'CEMIUP0.9 Raw'!$B$6:$B$1712,$J944,'CEMIUP0.9 Raw'!$H$6:$H$1712,"Y")</f>
        <v>211.78</v>
      </c>
      <c r="F944" s="19" t="n">
        <f aca="false">SUMIFS('SALES Raw'!$E$6:$E$4467,'SALES Raw'!$J$6:$J$4467,$J944,'SALES Raw'!$K$6:$K$4467,"Y")*$H$4+SUMIFS('CEMIUP0.9 Raw'!$F$6:$F$1712,'CEMIUP0.9 Raw'!$B$6:$B$1712,$J944,'CEMIUP0.9 Raw'!$H$6:$H$1712,"Y")</f>
        <v>0</v>
      </c>
      <c r="G944" s="19" t="n">
        <f aca="false">SUMIFS('SALES Raw'!$F$6:$F$4467,'SALES Raw'!$J$6:$J$4467,$J944,'SALES Raw'!$K$6:$K$4467,"Y")*$H$4+SUMIFS('CEMIUP0.9 Raw'!$G$6:$G$1712,'CEMIUP0.9 Raw'!$B$6:$B$1712,$J944,'CEMIUP0.9 Raw'!$H$6:$H$1712,"Y")</f>
        <v>0</v>
      </c>
      <c r="H944" s="18" t="s">
        <v>42</v>
      </c>
      <c r="I944" s="18"/>
      <c r="J944" s="18" t="s">
        <v>507</v>
      </c>
    </row>
    <row r="945" customFormat="false" ht="15" hidden="false" customHeight="false" outlineLevel="0" collapsed="false">
      <c r="A945" s="18" t="str">
        <f aca="false">IF(ISNUMBER($J945),$J945,"")</f>
        <v/>
      </c>
      <c r="B945" s="18" t="str">
        <f aca="false">IFERROR(INDEX('SALES Raw'!$B$6:$B$4467,MATCH($J945,'SALES Raw'!$J$6:$J$4467,0)),IFERROR(INDEX('CEMIUP0.9 Raw'!$B$6:$B$1712,MATCH($J945,'CEMIUP0.9 Raw'!$B$6:$B$1712,0)),$J945))</f>
        <v>86U XXL</v>
      </c>
      <c r="C945" s="18" t="str">
        <f aca="false">IF(ISNUMBER($J945),IFERROR(INDEX('TRANS'!$C:$C,MATCH($J945,'TRANS'!$B:$B,0)),IFERROR(INDEX('Catalog'!$B:$B,MATCH($J945,'Catalog'!$A:$A,0)),$B945)),$B945)</f>
        <v>86U XXL</v>
      </c>
      <c r="D945" s="19" t="n">
        <f aca="false">SUMIFS('SALES Raw'!$C$6:$C$4467,'SALES Raw'!$J$6:$J$4467,$J945,'SALES Raw'!$K$6:$K$4467,"Y")+SUMIFS('CEMIUP0.9 Raw'!$D$6:$D$1712,'CEMIUP0.9 Raw'!$B$6:$B$1712,$J945,'CEMIUP0.9 Raw'!$H$6:$H$1712,"Y")</f>
        <v>2</v>
      </c>
      <c r="E945" s="19" t="n">
        <f aca="false">SUMIFS('SALES Raw'!$D$6:$D$4467,'SALES Raw'!$J$6:$J$4467,$J945,'SALES Raw'!$K$6:$K$4467,"Y")+SUMIFS('CEMIUP0.9 Raw'!$E$6:$E$1712,'CEMIUP0.9 Raw'!$B$6:$B$1712,$J945,'CEMIUP0.9 Raw'!$H$6:$H$1712,"Y")</f>
        <v>334.11</v>
      </c>
      <c r="F945" s="19" t="n">
        <f aca="false">SUMIFS('SALES Raw'!$E$6:$E$4467,'SALES Raw'!$J$6:$J$4467,$J945,'SALES Raw'!$K$6:$K$4467,"Y")*$H$4+SUMIFS('CEMIUP0.9 Raw'!$F$6:$F$1712,'CEMIUP0.9 Raw'!$B$6:$B$1712,$J945,'CEMIUP0.9 Raw'!$H$6:$H$1712,"Y")</f>
        <v>0</v>
      </c>
      <c r="G945" s="19" t="n">
        <f aca="false">SUMIFS('SALES Raw'!$F$6:$F$4467,'SALES Raw'!$J$6:$J$4467,$J945,'SALES Raw'!$K$6:$K$4467,"Y")*$H$4+SUMIFS('CEMIUP0.9 Raw'!$G$6:$G$1712,'CEMIUP0.9 Raw'!$B$6:$B$1712,$J945,'CEMIUP0.9 Raw'!$H$6:$H$1712,"Y")</f>
        <v>0</v>
      </c>
      <c r="H945" s="18" t="s">
        <v>42</v>
      </c>
      <c r="I945" s="18"/>
      <c r="J945" s="18" t="s">
        <v>508</v>
      </c>
    </row>
    <row r="946" customFormat="false" ht="15" hidden="false" customHeight="false" outlineLevel="0" collapsed="false">
      <c r="A946" s="18" t="str">
        <f aca="false">IF(ISNUMBER($J946),$J946,"")</f>
        <v/>
      </c>
      <c r="B946" s="18" t="str">
        <f aca="false">IFERROR(INDEX('SALES Raw'!$B$6:$B$4467,MATCH($J946,'SALES Raw'!$J$6:$J$4467,0)),IFERROR(INDEX('CEMIUP0.9 Raw'!$B$6:$B$1712,MATCH($J946,'CEMIUP0.9 Raw'!$B$6:$B$1712,0)),$J946))</f>
        <v>88R XXL</v>
      </c>
      <c r="C946" s="18" t="str">
        <f aca="false">IF(ISNUMBER($J946),IFERROR(INDEX('TRANS'!$C:$C,MATCH($J946,'TRANS'!$B:$B,0)),IFERROR(INDEX('Catalog'!$B:$B,MATCH($J946,'Catalog'!$A:$A,0)),$B946)),$B946)</f>
        <v>88R XXL</v>
      </c>
      <c r="D946" s="19" t="n">
        <f aca="false">SUMIFS('SALES Raw'!$C$6:$C$4467,'SALES Raw'!$J$6:$J$4467,$J946,'SALES Raw'!$K$6:$K$4467,"Y")+SUMIFS('CEMIUP0.9 Raw'!$D$6:$D$1712,'CEMIUP0.9 Raw'!$B$6:$B$1712,$J946,'CEMIUP0.9 Raw'!$H$6:$H$1712,"Y")</f>
        <v>1</v>
      </c>
      <c r="E946" s="19" t="n">
        <f aca="false">SUMIFS('SALES Raw'!$D$6:$D$4467,'SALES Raw'!$J$6:$J$4467,$J946,'SALES Raw'!$K$6:$K$4467,"Y")+SUMIFS('CEMIUP0.9 Raw'!$E$6:$E$1712,'CEMIUP0.9 Raw'!$B$6:$B$1712,$J946,'CEMIUP0.9 Raw'!$H$6:$H$1712,"Y")</f>
        <v>550.76</v>
      </c>
      <c r="F946" s="19" t="n">
        <f aca="false">SUMIFS('SALES Raw'!$E$6:$E$4467,'SALES Raw'!$J$6:$J$4467,$J946,'SALES Raw'!$K$6:$K$4467,"Y")*$H$4+SUMIFS('CEMIUP0.9 Raw'!$F$6:$F$1712,'CEMIUP0.9 Raw'!$B$6:$B$1712,$J946,'CEMIUP0.9 Raw'!$H$6:$H$1712,"Y")</f>
        <v>0</v>
      </c>
      <c r="G946" s="19" t="n">
        <f aca="false">SUMIFS('SALES Raw'!$F$6:$F$4467,'SALES Raw'!$J$6:$J$4467,$J946,'SALES Raw'!$K$6:$K$4467,"Y")*$H$4+SUMIFS('CEMIUP0.9 Raw'!$G$6:$G$1712,'CEMIUP0.9 Raw'!$B$6:$B$1712,$J946,'CEMIUP0.9 Raw'!$H$6:$H$1712,"Y")</f>
        <v>0</v>
      </c>
      <c r="H946" s="18" t="s">
        <v>42</v>
      </c>
      <c r="I946" s="18"/>
      <c r="J946" s="18" t="s">
        <v>509</v>
      </c>
    </row>
    <row r="947" customFormat="false" ht="15" hidden="false" customHeight="false" outlineLevel="0" collapsed="false">
      <c r="A947" s="18" t="str">
        <f aca="false">IF(ISNUMBER($J947),$J947,"")</f>
        <v/>
      </c>
      <c r="B947" s="18" t="str">
        <f aca="false">IFERROR(INDEX('SALES Raw'!$B$6:$B$4467,MATCH($J947,'SALES Raw'!$J$6:$J$4467,0)),IFERROR(INDEX('CEMIUP0.9 Raw'!$B$6:$B$1712,MATCH($J947,'CEMIUP0.9 Raw'!$B$6:$B$1712,0)),$J947))</f>
        <v>KST27R 0</v>
      </c>
      <c r="C947" s="18" t="str">
        <f aca="false">IF(ISNUMBER($J947),IFERROR(INDEX('TRANS'!$C:$C,MATCH($J947,'TRANS'!$B:$B,0)),IFERROR(INDEX('Catalog'!$B:$B,MATCH($J947,'Catalog'!$A:$A,0)),$B947)),$B947)</f>
        <v>KST27R 0</v>
      </c>
      <c r="D947" s="19" t="n">
        <f aca="false">SUMIFS('SALES Raw'!$C$6:$C$4467,'SALES Raw'!$J$6:$J$4467,$J947,'SALES Raw'!$K$6:$K$4467,"Y")+SUMIFS('CEMIUP0.9 Raw'!$D$6:$D$1712,'CEMIUP0.9 Raw'!$B$6:$B$1712,$J947,'CEMIUP0.9 Raw'!$H$6:$H$1712,"Y")</f>
        <v>2</v>
      </c>
      <c r="E947" s="19" t="n">
        <f aca="false">SUMIFS('SALES Raw'!$D$6:$D$4467,'SALES Raw'!$J$6:$J$4467,$J947,'SALES Raw'!$K$6:$K$4467,"Y")+SUMIFS('CEMIUP0.9 Raw'!$E$6:$E$1712,'CEMIUP0.9 Raw'!$B$6:$B$1712,$J947,'CEMIUP0.9 Raw'!$H$6:$H$1712,"Y")</f>
        <v>153.02</v>
      </c>
      <c r="F947" s="19" t="n">
        <f aca="false">SUMIFS('SALES Raw'!$E$6:$E$4467,'SALES Raw'!$J$6:$J$4467,$J947,'SALES Raw'!$K$6:$K$4467,"Y")*$H$4+SUMIFS('CEMIUP0.9 Raw'!$F$6:$F$1712,'CEMIUP0.9 Raw'!$B$6:$B$1712,$J947,'CEMIUP0.9 Raw'!$H$6:$H$1712,"Y")</f>
        <v>0</v>
      </c>
      <c r="G947" s="19" t="n">
        <f aca="false">SUMIFS('SALES Raw'!$F$6:$F$4467,'SALES Raw'!$J$6:$J$4467,$J947,'SALES Raw'!$K$6:$K$4467,"Y")*$H$4+SUMIFS('CEMIUP0.9 Raw'!$G$6:$G$1712,'CEMIUP0.9 Raw'!$B$6:$B$1712,$J947,'CEMIUP0.9 Raw'!$H$6:$H$1712,"Y")</f>
        <v>0</v>
      </c>
      <c r="H947" s="18" t="s">
        <v>42</v>
      </c>
      <c r="I947" s="18"/>
      <c r="J947" s="18" t="s">
        <v>510</v>
      </c>
    </row>
    <row r="948" customFormat="false" ht="15" hidden="false" customHeight="false" outlineLevel="0" collapsed="false">
      <c r="A948" s="18" t="str">
        <f aca="false">IF(ISNUMBER($J948),$J948,"")</f>
        <v/>
      </c>
      <c r="B948" s="18" t="str">
        <f aca="false">IFERROR(INDEX('SALES Raw'!$B$6:$B$4467,MATCH($J948,'SALES Raw'!$J$6:$J$4467,0)),IFERROR(INDEX('CEMIUP0.9 Raw'!$B$6:$B$1712,MATCH($J948,'CEMIUP0.9 Raw'!$B$6:$B$1712,0)),$J948))</f>
        <v>T20C XS</v>
      </c>
      <c r="C948" s="18" t="str">
        <f aca="false">IF(ISNUMBER($J948),IFERROR(INDEX('TRANS'!$C:$C,MATCH($J948,'TRANS'!$B:$B,0)),IFERROR(INDEX('Catalog'!$B:$B,MATCH($J948,'Catalog'!$A:$A,0)),$B948)),$B948)</f>
        <v>T20C XS</v>
      </c>
      <c r="D948" s="19" t="n">
        <f aca="false">SUMIFS('SALES Raw'!$C$6:$C$4467,'SALES Raw'!$J$6:$J$4467,$J948,'SALES Raw'!$K$6:$K$4467,"Y")+SUMIFS('CEMIUP0.9 Raw'!$D$6:$D$1712,'CEMIUP0.9 Raw'!$B$6:$B$1712,$J948,'CEMIUP0.9 Raw'!$H$6:$H$1712,"Y")</f>
        <v>1</v>
      </c>
      <c r="E948" s="19" t="n">
        <f aca="false">SUMIFS('SALES Raw'!$D$6:$D$4467,'SALES Raw'!$J$6:$J$4467,$J948,'SALES Raw'!$K$6:$K$4467,"Y")+SUMIFS('CEMIUP0.9 Raw'!$E$6:$E$1712,'CEMIUP0.9 Raw'!$B$6:$B$1712,$J948,'CEMIUP0.9 Raw'!$H$6:$H$1712,"Y")</f>
        <v>51.46</v>
      </c>
      <c r="F948" s="19" t="n">
        <f aca="false">SUMIFS('SALES Raw'!$E$6:$E$4467,'SALES Raw'!$J$6:$J$4467,$J948,'SALES Raw'!$K$6:$K$4467,"Y")*$H$4+SUMIFS('CEMIUP0.9 Raw'!$F$6:$F$1712,'CEMIUP0.9 Raw'!$B$6:$B$1712,$J948,'CEMIUP0.9 Raw'!$H$6:$H$1712,"Y")</f>
        <v>0</v>
      </c>
      <c r="G948" s="19" t="n">
        <f aca="false">SUMIFS('SALES Raw'!$F$6:$F$4467,'SALES Raw'!$J$6:$J$4467,$J948,'SALES Raw'!$K$6:$K$4467,"Y")*$H$4+SUMIFS('CEMIUP0.9 Raw'!$G$6:$G$1712,'CEMIUP0.9 Raw'!$B$6:$B$1712,$J948,'CEMIUP0.9 Raw'!$H$6:$H$1712,"Y")</f>
        <v>0</v>
      </c>
      <c r="H948" s="18" t="s">
        <v>42</v>
      </c>
      <c r="I948" s="18"/>
      <c r="J948" s="18" t="s">
        <v>511</v>
      </c>
    </row>
    <row r="949" customFormat="false" ht="15" hidden="false" customHeight="false" outlineLevel="0" collapsed="false">
      <c r="A949" s="18" t="str">
        <f aca="false">IF(ISNUMBER($J949),$J949,"")</f>
        <v/>
      </c>
      <c r="B949" s="18" t="str">
        <f aca="false">IFERROR(INDEX('SALES Raw'!$B$6:$B$4467,MATCH($J949,'SALES Raw'!$J$6:$J$4467,0)),IFERROR(INDEX('CEMIUP0.9 Raw'!$B$6:$B$1712,MATCH($J949,'CEMIUP0.9 Raw'!$B$6:$B$1712,0)),$J949))</f>
        <v>T28AC XS</v>
      </c>
      <c r="C949" s="18" t="str">
        <f aca="false">IF(ISNUMBER($J949),IFERROR(INDEX('TRANS'!$C:$C,MATCH($J949,'TRANS'!$B:$B,0)),IFERROR(INDEX('Catalog'!$B:$B,MATCH($J949,'Catalog'!$A:$A,0)),$B949)),$B949)</f>
        <v>T28AC XS</v>
      </c>
      <c r="D949" s="19" t="n">
        <f aca="false">SUMIFS('SALES Raw'!$C$6:$C$4467,'SALES Raw'!$J$6:$J$4467,$J949,'SALES Raw'!$K$6:$K$4467,"Y")+SUMIFS('CEMIUP0.9 Raw'!$D$6:$D$1712,'CEMIUP0.9 Raw'!$B$6:$B$1712,$J949,'CEMIUP0.9 Raw'!$H$6:$H$1712,"Y")</f>
        <v>5</v>
      </c>
      <c r="E949" s="19" t="n">
        <f aca="false">SUMIFS('SALES Raw'!$D$6:$D$4467,'SALES Raw'!$J$6:$J$4467,$J949,'SALES Raw'!$K$6:$K$4467,"Y")+SUMIFS('CEMIUP0.9 Raw'!$E$6:$E$1712,'CEMIUP0.9 Raw'!$B$6:$B$1712,$J949,'CEMIUP0.9 Raw'!$H$6:$H$1712,"Y")</f>
        <v>477.15</v>
      </c>
      <c r="F949" s="19" t="n">
        <f aca="false">SUMIFS('SALES Raw'!$E$6:$E$4467,'SALES Raw'!$J$6:$J$4467,$J949,'SALES Raw'!$K$6:$K$4467,"Y")*$H$4+SUMIFS('CEMIUP0.9 Raw'!$F$6:$F$1712,'CEMIUP0.9 Raw'!$B$6:$B$1712,$J949,'CEMIUP0.9 Raw'!$H$6:$H$1712,"Y")</f>
        <v>0</v>
      </c>
      <c r="G949" s="19" t="n">
        <f aca="false">SUMIFS('SALES Raw'!$F$6:$F$4467,'SALES Raw'!$J$6:$J$4467,$J949,'SALES Raw'!$K$6:$K$4467,"Y")*$H$4+SUMIFS('CEMIUP0.9 Raw'!$G$6:$G$1712,'CEMIUP0.9 Raw'!$B$6:$B$1712,$J949,'CEMIUP0.9 Raw'!$H$6:$H$1712,"Y")</f>
        <v>0</v>
      </c>
      <c r="H949" s="18" t="s">
        <v>42</v>
      </c>
      <c r="I949" s="18" t="s">
        <v>43</v>
      </c>
      <c r="J949" s="18" t="s">
        <v>512</v>
      </c>
    </row>
    <row r="950" customFormat="false" ht="15" hidden="false" customHeight="false" outlineLevel="0" collapsed="false">
      <c r="A950" s="18" t="str">
        <f aca="false">IF(ISNUMBER($J950),$J950,"")</f>
        <v/>
      </c>
      <c r="B950" s="18" t="str">
        <f aca="false">IFERROR(INDEX('SALES Raw'!$B$6:$B$4467,MATCH($J950,'SALES Raw'!$J$6:$J$4467,0)),IFERROR(INDEX('CEMIUP0.9 Raw'!$B$6:$B$1712,MATCH($J950,'CEMIUP0.9 Raw'!$B$6:$B$1712,0)),$J950))</f>
        <v>T35 M</v>
      </c>
      <c r="C950" s="18" t="str">
        <f aca="false">IF(ISNUMBER($J950),IFERROR(INDEX('TRANS'!$C:$C,MATCH($J950,'TRANS'!$B:$B,0)),IFERROR(INDEX('Catalog'!$B:$B,MATCH($J950,'Catalog'!$A:$A,0)),$B950)),$B950)</f>
        <v>T35 M</v>
      </c>
      <c r="D950" s="19" t="n">
        <f aca="false">SUMIFS('SALES Raw'!$C$6:$C$4467,'SALES Raw'!$J$6:$J$4467,$J950,'SALES Raw'!$K$6:$K$4467,"Y")+SUMIFS('CEMIUP0.9 Raw'!$D$6:$D$1712,'CEMIUP0.9 Raw'!$B$6:$B$1712,$J950,'CEMIUP0.9 Raw'!$H$6:$H$1712,"Y")</f>
        <v>5</v>
      </c>
      <c r="E950" s="19" t="n">
        <f aca="false">SUMIFS('SALES Raw'!$D$6:$D$4467,'SALES Raw'!$J$6:$J$4467,$J950,'SALES Raw'!$K$6:$K$4467,"Y")+SUMIFS('CEMIUP0.9 Raw'!$E$6:$E$1712,'CEMIUP0.9 Raw'!$B$6:$B$1712,$J950,'CEMIUP0.9 Raw'!$H$6:$H$1712,"Y")</f>
        <v>577.2</v>
      </c>
      <c r="F950" s="19" t="n">
        <f aca="false">SUMIFS('SALES Raw'!$E$6:$E$4467,'SALES Raw'!$J$6:$J$4467,$J950,'SALES Raw'!$K$6:$K$4467,"Y")*$H$4+SUMIFS('CEMIUP0.9 Raw'!$F$6:$F$1712,'CEMIUP0.9 Raw'!$B$6:$B$1712,$J950,'CEMIUP0.9 Raw'!$H$6:$H$1712,"Y")</f>
        <v>0</v>
      </c>
      <c r="G950" s="19" t="n">
        <f aca="false">SUMIFS('SALES Raw'!$F$6:$F$4467,'SALES Raw'!$J$6:$J$4467,$J950,'SALES Raw'!$K$6:$K$4467,"Y")*$H$4+SUMIFS('CEMIUP0.9 Raw'!$G$6:$G$1712,'CEMIUP0.9 Raw'!$B$6:$B$1712,$J950,'CEMIUP0.9 Raw'!$H$6:$H$1712,"Y")</f>
        <v>0</v>
      </c>
      <c r="H950" s="18" t="s">
        <v>42</v>
      </c>
      <c r="I950" s="18"/>
      <c r="J950" s="18" t="s">
        <v>513</v>
      </c>
    </row>
    <row r="951" customFormat="false" ht="15" hidden="false" customHeight="false" outlineLevel="0" collapsed="false">
      <c r="A951" s="18" t="str">
        <f aca="false">IF(ISNUMBER($J951),$J951,"")</f>
        <v/>
      </c>
      <c r="B951" s="18" t="str">
        <f aca="false">IFERROR(INDEX('SALES Raw'!$B$6:$B$4467,MATCH($J951,'SALES Raw'!$J$6:$J$4467,0)),IFERROR(INDEX('CEMIUP0.9 Raw'!$B$6:$B$1712,MATCH($J951,'CEMIUP0.9 Raw'!$B$6:$B$1712,0)),$J951))</f>
        <v>T42 XL</v>
      </c>
      <c r="C951" s="18" t="str">
        <f aca="false">IF(ISNUMBER($J951),IFERROR(INDEX('TRANS'!$C:$C,MATCH($J951,'TRANS'!$B:$B,0)),IFERROR(INDEX('Catalog'!$B:$B,MATCH($J951,'Catalog'!$A:$A,0)),$B951)),$B951)</f>
        <v>T42 XL</v>
      </c>
      <c r="D951" s="19" t="n">
        <f aca="false">SUMIFS('SALES Raw'!$C$6:$C$4467,'SALES Raw'!$J$6:$J$4467,$J951,'SALES Raw'!$K$6:$K$4467,"Y")+SUMIFS('CEMIUP0.9 Raw'!$D$6:$D$1712,'CEMIUP0.9 Raw'!$B$6:$B$1712,$J951,'CEMIUP0.9 Raw'!$H$6:$H$1712,"Y")</f>
        <v>1</v>
      </c>
      <c r="E951" s="19" t="n">
        <f aca="false">SUMIFS('SALES Raw'!$D$6:$D$4467,'SALES Raw'!$J$6:$J$4467,$J951,'SALES Raw'!$K$6:$K$4467,"Y")+SUMIFS('CEMIUP0.9 Raw'!$E$6:$E$1712,'CEMIUP0.9 Raw'!$B$6:$B$1712,$J951,'CEMIUP0.9 Raw'!$H$6:$H$1712,"Y")</f>
        <v>296.53</v>
      </c>
      <c r="F951" s="19" t="n">
        <f aca="false">SUMIFS('SALES Raw'!$E$6:$E$4467,'SALES Raw'!$J$6:$J$4467,$J951,'SALES Raw'!$K$6:$K$4467,"Y")*$H$4+SUMIFS('CEMIUP0.9 Raw'!$F$6:$F$1712,'CEMIUP0.9 Raw'!$B$6:$B$1712,$J951,'CEMIUP0.9 Raw'!$H$6:$H$1712,"Y")</f>
        <v>0</v>
      </c>
      <c r="G951" s="19" t="n">
        <f aca="false">SUMIFS('SALES Raw'!$F$6:$F$4467,'SALES Raw'!$J$6:$J$4467,$J951,'SALES Raw'!$K$6:$K$4467,"Y")*$H$4+SUMIFS('CEMIUP0.9 Raw'!$G$6:$G$1712,'CEMIUP0.9 Raw'!$B$6:$B$1712,$J951,'CEMIUP0.9 Raw'!$H$6:$H$1712,"Y")</f>
        <v>0</v>
      </c>
      <c r="H951" s="18" t="s">
        <v>42</v>
      </c>
      <c r="I951" s="18"/>
      <c r="J951" s="18" t="s">
        <v>514</v>
      </c>
    </row>
    <row r="952" customFormat="false" ht="15" hidden="false" customHeight="false" outlineLevel="0" collapsed="false">
      <c r="A952" s="18" t="str">
        <f aca="false">IF(ISNUMBER($J952),$J952,"")</f>
        <v/>
      </c>
      <c r="B952" s="18" t="str">
        <f aca="false">IFERROR(INDEX('SALES Raw'!$B$6:$B$4467,MATCH($J952,'SALES Raw'!$J$6:$J$4467,0)),IFERROR(INDEX('CEMIUP0.9 Raw'!$B$6:$B$1712,MATCH($J952,'CEMIUP0.9 Raw'!$B$6:$B$1712,0)),$J952))</f>
        <v>T43 XXL</v>
      </c>
      <c r="C952" s="18" t="str">
        <f aca="false">IF(ISNUMBER($J952),IFERROR(INDEX('TRANS'!$C:$C,MATCH($J952,'TRANS'!$B:$B,0)),IFERROR(INDEX('Catalog'!$B:$B,MATCH($J952,'Catalog'!$A:$A,0)),$B952)),$B952)</f>
        <v>T43 XXL</v>
      </c>
      <c r="D952" s="19" t="n">
        <f aca="false">SUMIFS('SALES Raw'!$C$6:$C$4467,'SALES Raw'!$J$6:$J$4467,$J952,'SALES Raw'!$K$6:$K$4467,"Y")+SUMIFS('CEMIUP0.9 Raw'!$D$6:$D$1712,'CEMIUP0.9 Raw'!$B$6:$B$1712,$J952,'CEMIUP0.9 Raw'!$H$6:$H$1712,"Y")</f>
        <v>1</v>
      </c>
      <c r="E952" s="19" t="n">
        <f aca="false">SUMIFS('SALES Raw'!$D$6:$D$4467,'SALES Raw'!$J$6:$J$4467,$J952,'SALES Raw'!$K$6:$K$4467,"Y")+SUMIFS('CEMIUP0.9 Raw'!$E$6:$E$1712,'CEMIUP0.9 Raw'!$B$6:$B$1712,$J952,'CEMIUP0.9 Raw'!$H$6:$H$1712,"Y")</f>
        <v>342.29</v>
      </c>
      <c r="F952" s="19" t="n">
        <f aca="false">SUMIFS('SALES Raw'!$E$6:$E$4467,'SALES Raw'!$J$6:$J$4467,$J952,'SALES Raw'!$K$6:$K$4467,"Y")*$H$4+SUMIFS('CEMIUP0.9 Raw'!$F$6:$F$1712,'CEMIUP0.9 Raw'!$B$6:$B$1712,$J952,'CEMIUP0.9 Raw'!$H$6:$H$1712,"Y")</f>
        <v>0</v>
      </c>
      <c r="G952" s="19" t="n">
        <f aca="false">SUMIFS('SALES Raw'!$F$6:$F$4467,'SALES Raw'!$J$6:$J$4467,$J952,'SALES Raw'!$K$6:$K$4467,"Y")*$H$4+SUMIFS('CEMIUP0.9 Raw'!$G$6:$G$1712,'CEMIUP0.9 Raw'!$B$6:$B$1712,$J952,'CEMIUP0.9 Raw'!$H$6:$H$1712,"Y")</f>
        <v>0</v>
      </c>
      <c r="H952" s="18" t="s">
        <v>42</v>
      </c>
      <c r="I952" s="18"/>
      <c r="J952" s="18" t="s">
        <v>515</v>
      </c>
    </row>
    <row r="953" customFormat="false" ht="15" hidden="false" customHeight="false" outlineLevel="0" collapsed="false">
      <c r="A953" s="18" t="str">
        <f aca="false">IF(ISNUMBER($J953),$J953,"")</f>
        <v/>
      </c>
      <c r="B953" s="18" t="str">
        <f aca="false">IFERROR(INDEX('SALES Raw'!$B$6:$B$4467,MATCH($J953,'SALES Raw'!$J$6:$J$4467,0)),IFERROR(INDEX('CEMIUP0.9 Raw'!$B$6:$B$1712,MATCH($J953,'CEMIUP0.9 Raw'!$B$6:$B$1712,0)),$J953))</f>
        <v>T95 XS</v>
      </c>
      <c r="C953" s="18" t="str">
        <f aca="false">IF(ISNUMBER($J953),IFERROR(INDEX('TRANS'!$C:$C,MATCH($J953,'TRANS'!$B:$B,0)),IFERROR(INDEX('Catalog'!$B:$B,MATCH($J953,'Catalog'!$A:$A,0)),$B953)),$B953)</f>
        <v>T95 XS</v>
      </c>
      <c r="D953" s="19" t="n">
        <f aca="false">SUMIFS('SALES Raw'!$C$6:$C$4467,'SALES Raw'!$J$6:$J$4467,$J953,'SALES Raw'!$K$6:$K$4467,"Y")+SUMIFS('CEMIUP0.9 Raw'!$D$6:$D$1712,'CEMIUP0.9 Raw'!$B$6:$B$1712,$J953,'CEMIUP0.9 Raw'!$H$6:$H$1712,"Y")</f>
        <v>2</v>
      </c>
      <c r="E953" s="19" t="n">
        <f aca="false">SUMIFS('SALES Raw'!$D$6:$D$4467,'SALES Raw'!$J$6:$J$4467,$J953,'SALES Raw'!$K$6:$K$4467,"Y")+SUMIFS('CEMIUP0.9 Raw'!$E$6:$E$1712,'CEMIUP0.9 Raw'!$B$6:$B$1712,$J953,'CEMIUP0.9 Raw'!$H$6:$H$1712,"Y")</f>
        <v>342.2</v>
      </c>
      <c r="F953" s="19" t="n">
        <f aca="false">SUMIFS('SALES Raw'!$E$6:$E$4467,'SALES Raw'!$J$6:$J$4467,$J953,'SALES Raw'!$K$6:$K$4467,"Y")*$H$4+SUMIFS('CEMIUP0.9 Raw'!$F$6:$F$1712,'CEMIUP0.9 Raw'!$B$6:$B$1712,$J953,'CEMIUP0.9 Raw'!$H$6:$H$1712,"Y")</f>
        <v>0</v>
      </c>
      <c r="G953" s="19" t="n">
        <f aca="false">SUMIFS('SALES Raw'!$F$6:$F$4467,'SALES Raw'!$J$6:$J$4467,$J953,'SALES Raw'!$K$6:$K$4467,"Y")*$H$4+SUMIFS('CEMIUP0.9 Raw'!$G$6:$G$1712,'CEMIUP0.9 Raw'!$B$6:$B$1712,$J953,'CEMIUP0.9 Raw'!$H$6:$H$1712,"Y")</f>
        <v>0</v>
      </c>
      <c r="H953" s="18" t="s">
        <v>42</v>
      </c>
      <c r="I953" s="18"/>
      <c r="J953" s="18" t="s">
        <v>516</v>
      </c>
    </row>
    <row r="954" customFormat="false" ht="15" hidden="false" customHeight="false" outlineLevel="0" collapsed="false">
      <c r="A954" s="18" t="str">
        <f aca="false">IF(ISNUMBER($J954),$J954,"")</f>
        <v/>
      </c>
      <c r="B954" s="18" t="str">
        <f aca="false">IFERROR(INDEX('SALES Raw'!$B$6:$B$4467,MATCH($J954,'SALES Raw'!$J$6:$J$4467,0)),IFERROR(INDEX('CEMIUP0.9 Raw'!$B$6:$B$1712,MATCH($J954,'CEMIUP0.9 Raw'!$B$6:$B$1712,0)),$J954))</f>
        <v>הנחה 200 ש"ח</v>
      </c>
      <c r="C954" s="18" t="str">
        <f aca="false">IF(ISNUMBER($J954),IFERROR(INDEX('TRANS'!$C:$C,MATCH($J954,'TRANS'!$B:$B,0)),IFERROR(INDEX('Catalog'!$B:$B,MATCH($J954,'Catalog'!$A:$A,0)),$B954)),$B954)</f>
        <v>הנחה 200 ש"ח</v>
      </c>
      <c r="D954" s="19" t="n">
        <f aca="false">SUMIFS('SALES Raw'!$C$6:$C$4467,'SALES Raw'!$J$6:$J$4467,$J954,'SALES Raw'!$K$6:$K$4467,"Y")+SUMIFS('CEMIUP0.9 Raw'!$D$6:$D$1712,'CEMIUP0.9 Raw'!$B$6:$B$1712,$J954,'CEMIUP0.9 Raw'!$H$6:$H$1712,"Y")</f>
        <v>0</v>
      </c>
      <c r="E954" s="19" t="n">
        <f aca="false">SUMIFS('SALES Raw'!$D$6:$D$4467,'SALES Raw'!$J$6:$J$4467,$J954,'SALES Raw'!$K$6:$K$4467,"Y")+SUMIFS('CEMIUP0.9 Raw'!$E$6:$E$1712,'CEMIUP0.9 Raw'!$B$6:$B$1712,$J954,'CEMIUP0.9 Raw'!$H$6:$H$1712,"Y")</f>
        <v>0</v>
      </c>
      <c r="F954" s="19" t="n">
        <f aca="false">SUMIFS('SALES Raw'!$E$6:$E$4467,'SALES Raw'!$J$6:$J$4467,$J954,'SALES Raw'!$K$6:$K$4467,"Y")*$H$4+SUMIFS('CEMIUP0.9 Raw'!$F$6:$F$1712,'CEMIUP0.9 Raw'!$B$6:$B$1712,$J954,'CEMIUP0.9 Raw'!$H$6:$H$1712,"Y")</f>
        <v>0</v>
      </c>
      <c r="G954" s="19" t="n">
        <f aca="false">SUMIFS('SALES Raw'!$F$6:$F$4467,'SALES Raw'!$J$6:$J$4467,$J954,'SALES Raw'!$K$6:$K$4467,"Y")*$H$4+SUMIFS('CEMIUP0.9 Raw'!$G$6:$G$1712,'CEMIUP0.9 Raw'!$B$6:$B$1712,$J954,'CEMIUP0.9 Raw'!$H$6:$H$1712,"Y")</f>
        <v>-213.877894736842</v>
      </c>
      <c r="H954" s="18" t="s">
        <v>42</v>
      </c>
      <c r="I954" s="18"/>
      <c r="J954" s="18" t="s">
        <v>517</v>
      </c>
    </row>
    <row r="955" customFormat="false" ht="15" hidden="false" customHeight="false" outlineLevel="0" collapsed="false">
      <c r="A955" s="18" t="str">
        <f aca="false">IF(ISNUMBER($J955),$J955,"")</f>
        <v/>
      </c>
      <c r="B955" s="18" t="str">
        <f aca="false">IFERROR(INDEX('SALES Raw'!$B$6:$B$4467,MATCH($J955,'SALES Raw'!$J$6:$J$4467,0)),IFERROR(INDEX('CEMIUP0.9 Raw'!$B$6:$B$1712,MATCH($J955,'CEMIUP0.9 Raw'!$B$6:$B$1712,0)),$J955))</f>
        <v>הנחות לקוחות</v>
      </c>
      <c r="C955" s="18" t="str">
        <f aca="false">IF(ISNUMBER($J955),IFERROR(INDEX('TRANS'!$C:$C,MATCH($J955,'TRANS'!$B:$B,0)),IFERROR(INDEX('Catalog'!$B:$B,MATCH($J955,'Catalog'!$A:$A,0)),$B955)),$B955)</f>
        <v>הנחות לקוחות</v>
      </c>
      <c r="D955" s="19" t="n">
        <f aca="false">SUMIFS('SALES Raw'!$C$6:$C$4467,'SALES Raw'!$J$6:$J$4467,$J955,'SALES Raw'!$K$6:$K$4467,"Y")+SUMIFS('CEMIUP0.9 Raw'!$D$6:$D$1712,'CEMIUP0.9 Raw'!$B$6:$B$1712,$J955,'CEMIUP0.9 Raw'!$H$6:$H$1712,"Y")</f>
        <v>2</v>
      </c>
      <c r="E955" s="19" t="n">
        <f aca="false">SUMIFS('SALES Raw'!$D$6:$D$4467,'SALES Raw'!$J$6:$J$4467,$J955,'SALES Raw'!$K$6:$K$4467,"Y")+SUMIFS('CEMIUP0.9 Raw'!$E$6:$E$1712,'CEMIUP0.9 Raw'!$B$6:$B$1712,$J955,'CEMIUP0.9 Raw'!$H$6:$H$1712,"Y")</f>
        <v>181.43</v>
      </c>
      <c r="F955" s="19" t="n">
        <f aca="false">SUMIFS('SALES Raw'!$E$6:$E$4467,'SALES Raw'!$J$6:$J$4467,$J955,'SALES Raw'!$K$6:$K$4467,"Y")*$H$4+SUMIFS('CEMIUP0.9 Raw'!$F$6:$F$1712,'CEMIUP0.9 Raw'!$B$6:$B$1712,$J955,'CEMIUP0.9 Raw'!$H$6:$H$1712,"Y")</f>
        <v>0</v>
      </c>
      <c r="G955" s="19" t="n">
        <f aca="false">SUMIFS('SALES Raw'!$F$6:$F$4467,'SALES Raw'!$J$6:$J$4467,$J955,'SALES Raw'!$K$6:$K$4467,"Y")*$H$4+SUMIFS('CEMIUP0.9 Raw'!$G$6:$G$1712,'CEMIUP0.9 Raw'!$B$6:$B$1712,$J955,'CEMIUP0.9 Raw'!$H$6:$H$1712,"Y")</f>
        <v>0</v>
      </c>
      <c r="H955" s="18" t="s">
        <v>42</v>
      </c>
      <c r="I955" s="18"/>
      <c r="J955" s="18" t="s">
        <v>518</v>
      </c>
    </row>
    <row r="956" customFormat="false" ht="15" hidden="false" customHeight="false" outlineLevel="0" collapsed="false">
      <c r="A956" s="18" t="str">
        <f aca="false">IF(ISNUMBER($J956),$J956,"")</f>
        <v/>
      </c>
      <c r="B956" s="18" t="str">
        <f aca="false">IFERROR(INDEX('SALES Raw'!$B$6:$B$4467,MATCH($J956,'SALES Raw'!$J$6:$J$4467,0)),IFERROR(INDEX('CEMIUP0.9 Raw'!$B$6:$B$1712,MATCH($J956,'CEMIUP0.9 Raw'!$B$6:$B$1712,0)),$J956))</f>
        <v>95G XXL</v>
      </c>
      <c r="C956" s="18" t="str">
        <f aca="false">IF(ISNUMBER($J956),IFERROR(INDEX('TRANS'!$C:$C,MATCH($J956,'TRANS'!$B:$B,0)),IFERROR(INDEX('Catalog'!$B:$B,MATCH($J956,'Catalog'!$A:$A,0)),$B956)),$B956)</f>
        <v>95G XXL</v>
      </c>
      <c r="D956" s="19" t="n">
        <f aca="false">SUMIFS('SALES Raw'!$C$6:$C$4467,'SALES Raw'!$J$6:$J$4467,$J956,'SALES Raw'!$K$6:$K$4467,"Y")+SUMIFS('CEMIUP0.9 Raw'!$D$6:$D$1712,'CEMIUP0.9 Raw'!$B$6:$B$1712,$J956,'CEMIUP0.9 Raw'!$H$6:$H$1712,"Y")</f>
        <v>1</v>
      </c>
      <c r="E956" s="19" t="n">
        <f aca="false">SUMIFS('SALES Raw'!$D$6:$D$4467,'SALES Raw'!$J$6:$J$4467,$J956,'SALES Raw'!$K$6:$K$4467,"Y")+SUMIFS('CEMIUP0.9 Raw'!$E$6:$E$1712,'CEMIUP0.9 Raw'!$B$6:$B$1712,$J956,'CEMIUP0.9 Raw'!$H$6:$H$1712,"Y")</f>
        <v>55.85</v>
      </c>
      <c r="F956" s="19" t="n">
        <f aca="false">SUMIFS('SALES Raw'!$E$6:$E$4467,'SALES Raw'!$J$6:$J$4467,$J956,'SALES Raw'!$K$6:$K$4467,"Y")*$H$4+SUMIFS('CEMIUP0.9 Raw'!$F$6:$F$1712,'CEMIUP0.9 Raw'!$B$6:$B$1712,$J956,'CEMIUP0.9 Raw'!$H$6:$H$1712,"Y")</f>
        <v>0</v>
      </c>
      <c r="G956" s="19" t="n">
        <f aca="false">SUMIFS('SALES Raw'!$F$6:$F$4467,'SALES Raw'!$J$6:$J$4467,$J956,'SALES Raw'!$K$6:$K$4467,"Y")*$H$4+SUMIFS('CEMIUP0.9 Raw'!$G$6:$G$1712,'CEMIUP0.9 Raw'!$B$6:$B$1712,$J956,'CEMIUP0.9 Raw'!$H$6:$H$1712,"Y")</f>
        <v>0</v>
      </c>
      <c r="H956" s="18" t="s">
        <v>49</v>
      </c>
      <c r="I956" s="18"/>
      <c r="J956" s="18" t="s">
        <v>519</v>
      </c>
    </row>
    <row r="957" customFormat="false" ht="15" hidden="false" customHeight="false" outlineLevel="0" collapsed="false">
      <c r="A957" s="18" t="str">
        <f aca="false">IF(ISNUMBER($J957),$J957,"")</f>
        <v/>
      </c>
      <c r="B957" s="18" t="str">
        <f aca="false">IFERROR(INDEX('SALES Raw'!$B$6:$B$4467,MATCH($J957,'SALES Raw'!$J$6:$J$4467,0)),IFERROR(INDEX('CEMIUP0.9 Raw'!$B$6:$B$1712,MATCH($J957,'CEMIUP0.9 Raw'!$B$6:$B$1712,0)),$J957))</f>
        <v>T401 M</v>
      </c>
      <c r="C957" s="18" t="str">
        <f aca="false">IF(ISNUMBER($J957),IFERROR(INDEX('TRANS'!$C:$C,MATCH($J957,'TRANS'!$B:$B,0)),IFERROR(INDEX('Catalog'!$B:$B,MATCH($J957,'Catalog'!$A:$A,0)),$B957)),$B957)</f>
        <v>T401 M</v>
      </c>
      <c r="D957" s="19" t="n">
        <f aca="false">SUMIFS('SALES Raw'!$C$6:$C$4467,'SALES Raw'!$J$6:$J$4467,$J957,'SALES Raw'!$K$6:$K$4467,"Y")+SUMIFS('CEMIUP0.9 Raw'!$D$6:$D$1712,'CEMIUP0.9 Raw'!$B$6:$B$1712,$J957,'CEMIUP0.9 Raw'!$H$6:$H$1712,"Y")</f>
        <v>2</v>
      </c>
      <c r="E957" s="19" t="n">
        <f aca="false">SUMIFS('SALES Raw'!$D$6:$D$4467,'SALES Raw'!$J$6:$J$4467,$J957,'SALES Raw'!$K$6:$K$4467,"Y")+SUMIFS('CEMIUP0.9 Raw'!$E$6:$E$1712,'CEMIUP0.9 Raw'!$B$6:$B$1712,$J957,'CEMIUP0.9 Raw'!$H$6:$H$1712,"Y")</f>
        <v>598.14</v>
      </c>
      <c r="F957" s="19" t="n">
        <f aca="false">SUMIFS('SALES Raw'!$E$6:$E$4467,'SALES Raw'!$J$6:$J$4467,$J957,'SALES Raw'!$K$6:$K$4467,"Y")*$H$4+SUMIFS('CEMIUP0.9 Raw'!$F$6:$F$1712,'CEMIUP0.9 Raw'!$B$6:$B$1712,$J957,'CEMIUP0.9 Raw'!$H$6:$H$1712,"Y")</f>
        <v>0</v>
      </c>
      <c r="G957" s="19" t="n">
        <f aca="false">SUMIFS('SALES Raw'!$F$6:$F$4467,'SALES Raw'!$J$6:$J$4467,$J957,'SALES Raw'!$K$6:$K$4467,"Y")*$H$4+SUMIFS('CEMIUP0.9 Raw'!$G$6:$G$1712,'CEMIUP0.9 Raw'!$B$6:$B$1712,$J957,'CEMIUP0.9 Raw'!$H$6:$H$1712,"Y")</f>
        <v>0</v>
      </c>
      <c r="H957" s="18" t="s">
        <v>49</v>
      </c>
      <c r="I957" s="18"/>
      <c r="J957" s="18" t="s">
        <v>520</v>
      </c>
    </row>
    <row r="958" customFormat="false" ht="15" hidden="false" customHeight="false" outlineLevel="0" collapsed="false">
      <c r="A958" s="18" t="n">
        <f aca="false">IF(ISNUMBER($J958),$J958,"")</f>
        <v>4404000</v>
      </c>
      <c r="B958" s="18" t="n">
        <f aca="false">IFERROR(INDEX('SALES Raw'!$B$6:$B$4467,MATCH($J958,'SALES Raw'!$J$6:$J$4467,0)),IFERROR(INDEX('CEMIUP0.9 Raw'!$B$6:$B$1712,MATCH($J958,'CEMIUP0.9 Raw'!$B$6:$B$1712,0)),$J958))</f>
        <v>4404000</v>
      </c>
      <c r="C958" s="18" t="str">
        <f aca="false">IF(ISNUMBER($J958),IFERROR(INDEX('TRANS'!$C:$C,MATCH($J958,'TRANS'!$B:$B,0)),IFERROR(INDEX('Catalog'!$B:$B,MATCH($J958,'Catalog'!$A:$A,0)),$B958)),$B958)</f>
        <v>FC330Z-תתדאו'אנטי בקט.לנעל120</v>
      </c>
      <c r="D958" s="19" t="n">
        <f aca="false">SUMIFS('SALES Raw'!$C$6:$C$4467,'SALES Raw'!$J$6:$J$4467,$J958,'SALES Raw'!$K$6:$K$4467,"Y")+SUMIFS('CEMIUP0.9 Raw'!$D$6:$D$1712,'CEMIUP0.9 Raw'!$B$6:$B$1712,$J958,'CEMIUP0.9 Raw'!$H$6:$H$1712,"Y")</f>
        <v>-6</v>
      </c>
      <c r="E958" s="19" t="n">
        <f aca="false">SUMIFS('SALES Raw'!$D$6:$D$4467,'SALES Raw'!$J$6:$J$4467,$J958,'SALES Raw'!$K$6:$K$4467,"Y")+SUMIFS('CEMIUP0.9 Raw'!$E$6:$E$1712,'CEMIUP0.9 Raw'!$B$6:$B$1712,$J958,'CEMIUP0.9 Raw'!$H$6:$H$1712,"Y")</f>
        <v>-157.703</v>
      </c>
      <c r="F958" s="19" t="n">
        <f aca="false">SUMIFS('SALES Raw'!$E$6:$E$4467,'SALES Raw'!$J$6:$J$4467,$J958,'SALES Raw'!$K$6:$K$4467,"Y")*$H$4+SUMIFS('CEMIUP0.9 Raw'!$F$6:$F$1712,'CEMIUP0.9 Raw'!$B$6:$B$1712,$J958,'CEMIUP0.9 Raw'!$H$6:$H$1712,"Y")</f>
        <v>0</v>
      </c>
      <c r="G958" s="19" t="n">
        <f aca="false">SUMIFS('SALES Raw'!$F$6:$F$4467,'SALES Raw'!$J$6:$J$4467,$J958,'SALES Raw'!$K$6:$K$4467,"Y")*$H$4+SUMIFS('CEMIUP0.9 Raw'!$G$6:$G$1712,'CEMIUP0.9 Raw'!$B$6:$B$1712,$J958,'CEMIUP0.9 Raw'!$H$6:$H$1712,"Y")</f>
        <v>0</v>
      </c>
      <c r="H958" s="18" t="s">
        <v>43</v>
      </c>
      <c r="I958" s="18"/>
      <c r="J958" s="18" t="n">
        <v>4404000</v>
      </c>
    </row>
    <row r="959" customFormat="false" ht="15" hidden="false" customHeight="false" outlineLevel="0" collapsed="false">
      <c r="A959" s="18" t="n">
        <f aca="false">IF(ISNUMBER($J959),$J959,"")</f>
        <v>4408003</v>
      </c>
      <c r="B959" s="18" t="n">
        <f aca="false">IFERROR(INDEX('SALES Raw'!$B$6:$B$4467,MATCH($J959,'SALES Raw'!$J$6:$J$4467,0)),IFERROR(INDEX('CEMIUP0.9 Raw'!$B$6:$B$1712,MATCH($J959,'CEMIUP0.9 Raw'!$B$6:$B$1712,0)),$J959))</f>
        <v>4408003</v>
      </c>
      <c r="C959" s="18" t="str">
        <f aca="false">IF(ISNUMBER($J959),IFERROR(INDEX('TRANS'!$C:$C,MATCH($J959,'TRANS'!$B:$B,0)),IFERROR(INDEX('Catalog'!$B:$B,MATCH($J959,'Catalog'!$A:$A,0)),$B959)),$B959)</f>
        <v>06 M  ""ח.גב קלה ""מיקדו</v>
      </c>
      <c r="D959" s="19" t="n">
        <f aca="false">SUMIFS('SALES Raw'!$C$6:$C$4467,'SALES Raw'!$J$6:$J$4467,$J959,'SALES Raw'!$K$6:$K$4467,"Y")+SUMIFS('CEMIUP0.9 Raw'!$D$6:$D$1712,'CEMIUP0.9 Raw'!$B$6:$B$1712,$J959,'CEMIUP0.9 Raw'!$H$6:$H$1712,"Y")</f>
        <v>-1</v>
      </c>
      <c r="E959" s="19" t="n">
        <f aca="false">SUMIFS('SALES Raw'!$D$6:$D$4467,'SALES Raw'!$J$6:$J$4467,$J959,'SALES Raw'!$K$6:$K$4467,"Y")+SUMIFS('CEMIUP0.9 Raw'!$E$6:$E$1712,'CEMIUP0.9 Raw'!$B$6:$B$1712,$J959,'CEMIUP0.9 Raw'!$H$6:$H$1712,"Y")</f>
        <v>-154.791</v>
      </c>
      <c r="F959" s="19" t="n">
        <f aca="false">SUMIFS('SALES Raw'!$E$6:$E$4467,'SALES Raw'!$J$6:$J$4467,$J959,'SALES Raw'!$K$6:$K$4467,"Y")*$H$4+SUMIFS('CEMIUP0.9 Raw'!$F$6:$F$1712,'CEMIUP0.9 Raw'!$B$6:$B$1712,$J959,'CEMIUP0.9 Raw'!$H$6:$H$1712,"Y")</f>
        <v>0</v>
      </c>
      <c r="G959" s="19" t="n">
        <f aca="false">SUMIFS('SALES Raw'!$F$6:$F$4467,'SALES Raw'!$J$6:$J$4467,$J959,'SALES Raw'!$K$6:$K$4467,"Y")*$H$4+SUMIFS('CEMIUP0.9 Raw'!$G$6:$G$1712,'CEMIUP0.9 Raw'!$B$6:$B$1712,$J959,'CEMIUP0.9 Raw'!$H$6:$H$1712,"Y")</f>
        <v>0</v>
      </c>
      <c r="H959" s="18" t="s">
        <v>43</v>
      </c>
      <c r="I959" s="18"/>
      <c r="J959" s="18" t="n">
        <v>4408003</v>
      </c>
    </row>
    <row r="960" customFormat="false" ht="15" hidden="false" customHeight="false" outlineLevel="0" collapsed="false">
      <c r="A960" s="18" t="n">
        <f aca="false">IF(ISNUMBER($J960),$J960,"")</f>
        <v>4408004</v>
      </c>
      <c r="B960" s="18" t="n">
        <f aca="false">IFERROR(INDEX('SALES Raw'!$B$6:$B$4467,MATCH($J960,'SALES Raw'!$J$6:$J$4467,0)),IFERROR(INDEX('CEMIUP0.9 Raw'!$B$6:$B$1712,MATCH($J960,'CEMIUP0.9 Raw'!$B$6:$B$1712,0)),$J960))</f>
        <v>4408004</v>
      </c>
      <c r="C960" s="18" t="str">
        <f aca="false">IF(ISNUMBER($J960),IFERROR(INDEX('TRANS'!$C:$C,MATCH($J960,'TRANS'!$B:$B,0)),IFERROR(INDEX('Catalog'!$B:$B,MATCH($J960,'Catalog'!$A:$A,0)),$B960)),$B960)</f>
        <v>06 XL ""ח.גב קלה ""מיקדו</v>
      </c>
      <c r="D960" s="19" t="n">
        <f aca="false">SUMIFS('SALES Raw'!$C$6:$C$4467,'SALES Raw'!$J$6:$J$4467,$J960,'SALES Raw'!$K$6:$K$4467,"Y")+SUMIFS('CEMIUP0.9 Raw'!$D$6:$D$1712,'CEMIUP0.9 Raw'!$B$6:$B$1712,$J960,'CEMIUP0.9 Raw'!$H$6:$H$1712,"Y")</f>
        <v>1</v>
      </c>
      <c r="E960" s="19" t="n">
        <f aca="false">SUMIFS('SALES Raw'!$D$6:$D$4467,'SALES Raw'!$J$6:$J$4467,$J960,'SALES Raw'!$K$6:$K$4467,"Y")+SUMIFS('CEMIUP0.9 Raw'!$E$6:$E$1712,'CEMIUP0.9 Raw'!$B$6:$B$1712,$J960,'CEMIUP0.9 Raw'!$H$6:$H$1712,"Y")</f>
        <v>154.791</v>
      </c>
      <c r="F960" s="19" t="n">
        <f aca="false">SUMIFS('SALES Raw'!$E$6:$E$4467,'SALES Raw'!$J$6:$J$4467,$J960,'SALES Raw'!$K$6:$K$4467,"Y")*$H$4+SUMIFS('CEMIUP0.9 Raw'!$F$6:$F$1712,'CEMIUP0.9 Raw'!$B$6:$B$1712,$J960,'CEMIUP0.9 Raw'!$H$6:$H$1712,"Y")</f>
        <v>0</v>
      </c>
      <c r="G960" s="19" t="n">
        <f aca="false">SUMIFS('SALES Raw'!$F$6:$F$4467,'SALES Raw'!$J$6:$J$4467,$J960,'SALES Raw'!$K$6:$K$4467,"Y")*$H$4+SUMIFS('CEMIUP0.9 Raw'!$G$6:$G$1712,'CEMIUP0.9 Raw'!$B$6:$B$1712,$J960,'CEMIUP0.9 Raw'!$H$6:$H$1712,"Y")</f>
        <v>0</v>
      </c>
      <c r="H960" s="18" t="s">
        <v>43</v>
      </c>
      <c r="I960" s="18"/>
      <c r="J960" s="18" t="n">
        <v>4408004</v>
      </c>
    </row>
    <row r="961" customFormat="false" ht="15" hidden="false" customHeight="false" outlineLevel="0" collapsed="false">
      <c r="A961" s="18" t="n">
        <f aca="false">IF(ISNUMBER($J961),$J961,"")</f>
        <v>4408009</v>
      </c>
      <c r="B961" s="18" t="n">
        <f aca="false">IFERROR(INDEX('SALES Raw'!$B$6:$B$4467,MATCH($J961,'SALES Raw'!$J$6:$J$4467,0)),IFERROR(INDEX('CEMIUP0.9 Raw'!$B$6:$B$1712,MATCH($J961,'CEMIUP0.9 Raw'!$B$6:$B$1712,0)),$J961))</f>
        <v>4408009</v>
      </c>
      <c r="C961" s="18" t="str">
        <f aca="false">IF(ISNUMBER($J961),IFERROR(INDEX('TRANS'!$C:$C,MATCH($J961,'TRANS'!$B:$B,0)),IFERROR(INDEX('Catalog'!$B:$B,MATCH($J961,'Catalog'!$A:$A,0)),$B961)),$B961)</f>
        <v>079 S ח.גב סג. כפולה שחור+אדום</v>
      </c>
      <c r="D961" s="19" t="n">
        <f aca="false">SUMIFS('SALES Raw'!$C$6:$C$4467,'SALES Raw'!$J$6:$J$4467,$J961,'SALES Raw'!$K$6:$K$4467,"Y")+SUMIFS('CEMIUP0.9 Raw'!$D$6:$D$1712,'CEMIUP0.9 Raw'!$B$6:$B$1712,$J961,'CEMIUP0.9 Raw'!$H$6:$H$1712,"Y")</f>
        <v>3</v>
      </c>
      <c r="E961" s="19" t="n">
        <f aca="false">SUMIFS('SALES Raw'!$D$6:$D$4467,'SALES Raw'!$J$6:$J$4467,$J961,'SALES Raw'!$K$6:$K$4467,"Y")+SUMIFS('CEMIUP0.9 Raw'!$E$6:$E$1712,'CEMIUP0.9 Raw'!$B$6:$B$1712,$J961,'CEMIUP0.9 Raw'!$H$6:$H$1712,"Y")</f>
        <v>237.419</v>
      </c>
      <c r="F961" s="19" t="n">
        <f aca="false">SUMIFS('SALES Raw'!$E$6:$E$4467,'SALES Raw'!$J$6:$J$4467,$J961,'SALES Raw'!$K$6:$K$4467,"Y")*$H$4+SUMIFS('CEMIUP0.9 Raw'!$F$6:$F$1712,'CEMIUP0.9 Raw'!$B$6:$B$1712,$J961,'CEMIUP0.9 Raw'!$H$6:$H$1712,"Y")</f>
        <v>0</v>
      </c>
      <c r="G961" s="19" t="n">
        <f aca="false">SUMIFS('SALES Raw'!$F$6:$F$4467,'SALES Raw'!$J$6:$J$4467,$J961,'SALES Raw'!$K$6:$K$4467,"Y")*$H$4+SUMIFS('CEMIUP0.9 Raw'!$G$6:$G$1712,'CEMIUP0.9 Raw'!$B$6:$B$1712,$J961,'CEMIUP0.9 Raw'!$H$6:$H$1712,"Y")</f>
        <v>8.27621052631579</v>
      </c>
      <c r="H961" s="18" t="s">
        <v>43</v>
      </c>
      <c r="I961" s="18"/>
      <c r="J961" s="18" t="n">
        <v>4408009</v>
      </c>
    </row>
    <row r="962" customFormat="false" ht="15" hidden="false" customHeight="false" outlineLevel="0" collapsed="false">
      <c r="A962" s="18" t="n">
        <f aca="false">IF(ISNUMBER($J962),$J962,"")</f>
        <v>4408011</v>
      </c>
      <c r="B962" s="18" t="n">
        <f aca="false">IFERROR(INDEX('SALES Raw'!$B$6:$B$4467,MATCH($J962,'SALES Raw'!$J$6:$J$4467,0)),IFERROR(INDEX('CEMIUP0.9 Raw'!$B$6:$B$1712,MATCH($J962,'CEMIUP0.9 Raw'!$B$6:$B$1712,0)),$J962))</f>
        <v>4408011</v>
      </c>
      <c r="C962" s="18" t="str">
        <f aca="false">IF(ISNUMBER($J962),IFERROR(INDEX('TRANS'!$C:$C,MATCH($J962,'TRANS'!$B:$B,0)),IFERROR(INDEX('Catalog'!$B:$B,MATCH($J962,'Catalog'!$A:$A,0)),$B962)),$B962)</f>
        <v>079  M ח.גב סג.כפולה שחור+אדום</v>
      </c>
      <c r="D962" s="19" t="n">
        <f aca="false">SUMIFS('SALES Raw'!$C$6:$C$4467,'SALES Raw'!$J$6:$J$4467,$J962,'SALES Raw'!$K$6:$K$4467,"Y")+SUMIFS('CEMIUP0.9 Raw'!$D$6:$D$1712,'CEMIUP0.9 Raw'!$B$6:$B$1712,$J962,'CEMIUP0.9 Raw'!$H$6:$H$1712,"Y")</f>
        <v>3</v>
      </c>
      <c r="E962" s="19" t="n">
        <f aca="false">SUMIFS('SALES Raw'!$D$6:$D$4467,'SALES Raw'!$J$6:$J$4467,$J962,'SALES Raw'!$K$6:$K$4467,"Y")+SUMIFS('CEMIUP0.9 Raw'!$E$6:$E$1712,'CEMIUP0.9 Raw'!$B$6:$B$1712,$J962,'CEMIUP0.9 Raw'!$H$6:$H$1712,"Y")</f>
        <v>243.971</v>
      </c>
      <c r="F962" s="19" t="n">
        <f aca="false">SUMIFS('SALES Raw'!$E$6:$E$4467,'SALES Raw'!$J$6:$J$4467,$J962,'SALES Raw'!$K$6:$K$4467,"Y")*$H$4+SUMIFS('CEMIUP0.9 Raw'!$F$6:$F$1712,'CEMIUP0.9 Raw'!$B$6:$B$1712,$J962,'CEMIUP0.9 Raw'!$H$6:$H$1712,"Y")</f>
        <v>0</v>
      </c>
      <c r="G962" s="19" t="n">
        <f aca="false">SUMIFS('SALES Raw'!$F$6:$F$4467,'SALES Raw'!$J$6:$J$4467,$J962,'SALES Raw'!$K$6:$K$4467,"Y")*$H$4+SUMIFS('CEMIUP0.9 Raw'!$G$6:$G$1712,'CEMIUP0.9 Raw'!$B$6:$B$1712,$J962,'CEMIUP0.9 Raw'!$H$6:$H$1712,"Y")</f>
        <v>0</v>
      </c>
      <c r="H962" s="18" t="s">
        <v>43</v>
      </c>
      <c r="I962" s="18"/>
      <c r="J962" s="18" t="n">
        <v>4408011</v>
      </c>
    </row>
    <row r="963" customFormat="false" ht="15" hidden="false" customHeight="false" outlineLevel="0" collapsed="false">
      <c r="A963" s="18" t="n">
        <f aca="false">IF(ISNUMBER($J963),$J963,"")</f>
        <v>4408013</v>
      </c>
      <c r="B963" s="18" t="n">
        <f aca="false">IFERROR(INDEX('SALES Raw'!$B$6:$B$4467,MATCH($J963,'SALES Raw'!$J$6:$J$4467,0)),IFERROR(INDEX('CEMIUP0.9 Raw'!$B$6:$B$1712,MATCH($J963,'CEMIUP0.9 Raw'!$B$6:$B$1712,0)),$J963))</f>
        <v>4408013</v>
      </c>
      <c r="C963" s="18" t="str">
        <f aca="false">IF(ISNUMBER($J963),IFERROR(INDEX('TRANS'!$C:$C,MATCH($J963,'TRANS'!$B:$B,0)),IFERROR(INDEX('Catalog'!$B:$B,MATCH($J963,'Catalog'!$A:$A,0)),$B963)),$B963)</f>
        <v>079 XXLח.גב סג.כפולה שחור+אדום</v>
      </c>
      <c r="D963" s="19" t="n">
        <f aca="false">SUMIFS('SALES Raw'!$C$6:$C$4467,'SALES Raw'!$J$6:$J$4467,$J963,'SALES Raw'!$K$6:$K$4467,"Y")+SUMIFS('CEMIUP0.9 Raw'!$D$6:$D$1712,'CEMIUP0.9 Raw'!$B$6:$B$1712,$J963,'CEMIUP0.9 Raw'!$H$6:$H$1712,"Y")</f>
        <v>5</v>
      </c>
      <c r="E963" s="19" t="n">
        <f aca="false">SUMIFS('SALES Raw'!$D$6:$D$4467,'SALES Raw'!$J$6:$J$4467,$J963,'SALES Raw'!$K$6:$K$4467,"Y")+SUMIFS('CEMIUP0.9 Raw'!$E$6:$E$1712,'CEMIUP0.9 Raw'!$B$6:$B$1712,$J963,'CEMIUP0.9 Raw'!$H$6:$H$1712,"Y")</f>
        <v>428.61</v>
      </c>
      <c r="F963" s="19" t="n">
        <f aca="false">SUMIFS('SALES Raw'!$E$6:$E$4467,'SALES Raw'!$J$6:$J$4467,$J963,'SALES Raw'!$K$6:$K$4467,"Y")*$H$4+SUMIFS('CEMIUP0.9 Raw'!$F$6:$F$1712,'CEMIUP0.9 Raw'!$B$6:$B$1712,$J963,'CEMIUP0.9 Raw'!$H$6:$H$1712,"Y")</f>
        <v>0</v>
      </c>
      <c r="G963" s="19" t="n">
        <f aca="false">SUMIFS('SALES Raw'!$F$6:$F$4467,'SALES Raw'!$J$6:$J$4467,$J963,'SALES Raw'!$K$6:$K$4467,"Y")*$H$4+SUMIFS('CEMIUP0.9 Raw'!$G$6:$G$1712,'CEMIUP0.9 Raw'!$B$6:$B$1712,$J963,'CEMIUP0.9 Raw'!$H$6:$H$1712,"Y")</f>
        <v>0</v>
      </c>
      <c r="H963" s="18" t="s">
        <v>43</v>
      </c>
      <c r="I963" s="18"/>
      <c r="J963" s="18" t="n">
        <v>4408013</v>
      </c>
    </row>
    <row r="964" customFormat="false" ht="15" hidden="false" customHeight="false" outlineLevel="0" collapsed="false">
      <c r="A964" s="18" t="n">
        <f aca="false">IF(ISNUMBER($J964),$J964,"")</f>
        <v>4408024</v>
      </c>
      <c r="B964" s="18" t="n">
        <f aca="false">IFERROR(INDEX('SALES Raw'!$B$6:$B$4467,MATCH($J964,'SALES Raw'!$J$6:$J$4467,0)),IFERROR(INDEX('CEMIUP0.9 Raw'!$B$6:$B$1712,MATCH($J964,'CEMIUP0.9 Raw'!$B$6:$B$1712,0)),$J964))</f>
        <v>4408024</v>
      </c>
      <c r="C964" s="18" t="str">
        <f aca="false">IF(ISNUMBER($J964),IFERROR(INDEX('TRANS'!$C:$C,MATCH($J964,'TRANS'!$B:$B,0)),IFERROR(INDEX('Catalog'!$B:$B,MATCH($J964,'Catalog'!$A:$A,0)),$B964)),$B964)</f>
        <v>07UC L-XLח.גב אמר+סגירה כפ.חום</v>
      </c>
      <c r="D964" s="19" t="n">
        <f aca="false">SUMIFS('SALES Raw'!$C$6:$C$4467,'SALES Raw'!$J$6:$J$4467,$J964,'SALES Raw'!$K$6:$K$4467,"Y")+SUMIFS('CEMIUP0.9 Raw'!$D$6:$D$1712,'CEMIUP0.9 Raw'!$B$6:$B$1712,$J964,'CEMIUP0.9 Raw'!$H$6:$H$1712,"Y")</f>
        <v>1</v>
      </c>
      <c r="E964" s="19" t="n">
        <f aca="false">SUMIFS('SALES Raw'!$D$6:$D$4467,'SALES Raw'!$J$6:$J$4467,$J964,'SALES Raw'!$K$6:$K$4467,"Y")+SUMIFS('CEMIUP0.9 Raw'!$E$6:$E$1712,'CEMIUP0.9 Raw'!$B$6:$B$1712,$J964,'CEMIUP0.9 Raw'!$H$6:$H$1712,"Y")</f>
        <v>210.756</v>
      </c>
      <c r="F964" s="19" t="n">
        <f aca="false">SUMIFS('SALES Raw'!$E$6:$E$4467,'SALES Raw'!$J$6:$J$4467,$J964,'SALES Raw'!$K$6:$K$4467,"Y")*$H$4+SUMIFS('CEMIUP0.9 Raw'!$F$6:$F$1712,'CEMIUP0.9 Raw'!$B$6:$B$1712,$J964,'CEMIUP0.9 Raw'!$H$6:$H$1712,"Y")</f>
        <v>0</v>
      </c>
      <c r="G964" s="19" t="n">
        <f aca="false">SUMIFS('SALES Raw'!$F$6:$F$4467,'SALES Raw'!$J$6:$J$4467,$J964,'SALES Raw'!$K$6:$K$4467,"Y")*$H$4+SUMIFS('CEMIUP0.9 Raw'!$G$6:$G$1712,'CEMIUP0.9 Raw'!$B$6:$B$1712,$J964,'CEMIUP0.9 Raw'!$H$6:$H$1712,"Y")</f>
        <v>0</v>
      </c>
      <c r="H964" s="18" t="s">
        <v>43</v>
      </c>
      <c r="I964" s="18"/>
      <c r="J964" s="18" t="n">
        <v>4408024</v>
      </c>
    </row>
    <row r="965" customFormat="false" ht="15" hidden="false" customHeight="false" outlineLevel="0" collapsed="false">
      <c r="A965" s="18" t="n">
        <f aca="false">IF(ISNUMBER($J965),$J965,"")</f>
        <v>4408026</v>
      </c>
      <c r="B965" s="18" t="n">
        <f aca="false">IFERROR(INDEX('SALES Raw'!$B$6:$B$4467,MATCH($J965,'SALES Raw'!$J$6:$J$4467,0)),IFERROR(INDEX('CEMIUP0.9 Raw'!$B$6:$B$1712,MATCH($J965,'CEMIUP0.9 Raw'!$B$6:$B$1712,0)),$J965))</f>
        <v>4408026</v>
      </c>
      <c r="C965" s="18" t="str">
        <f aca="false">IF(ISNUMBER($J965),IFERROR(INDEX('TRANS'!$C:$C,MATCH($J965,'TRANS'!$B:$B,0)),IFERROR(INDEX('Catalog'!$B:$B,MATCH($J965,'Catalog'!$A:$A,0)),$B965)),$B965)</f>
        <v>10 S ""חגורת גב ""לומבו</v>
      </c>
      <c r="D965" s="19" t="n">
        <f aca="false">SUMIFS('SALES Raw'!$C$6:$C$4467,'SALES Raw'!$J$6:$J$4467,$J965,'SALES Raw'!$K$6:$K$4467,"Y")+SUMIFS('CEMIUP0.9 Raw'!$D$6:$D$1712,'CEMIUP0.9 Raw'!$B$6:$B$1712,$J965,'CEMIUP0.9 Raw'!$H$6:$H$1712,"Y")</f>
        <v>0</v>
      </c>
      <c r="E965" s="19" t="n">
        <f aca="false">SUMIFS('SALES Raw'!$D$6:$D$4467,'SALES Raw'!$J$6:$J$4467,$J965,'SALES Raw'!$K$6:$K$4467,"Y")+SUMIFS('CEMIUP0.9 Raw'!$E$6:$E$1712,'CEMIUP0.9 Raw'!$B$6:$B$1712,$J965,'CEMIUP0.9 Raw'!$H$6:$H$1712,"Y")</f>
        <v>0</v>
      </c>
      <c r="F965" s="19" t="n">
        <f aca="false">SUMIFS('SALES Raw'!$E$6:$E$4467,'SALES Raw'!$J$6:$J$4467,$J965,'SALES Raw'!$K$6:$K$4467,"Y")*$H$4+SUMIFS('CEMIUP0.9 Raw'!$F$6:$F$1712,'CEMIUP0.9 Raw'!$B$6:$B$1712,$J965,'CEMIUP0.9 Raw'!$H$6:$H$1712,"Y")</f>
        <v>0</v>
      </c>
      <c r="G965" s="19" t="n">
        <f aca="false">SUMIFS('SALES Raw'!$F$6:$F$4467,'SALES Raw'!$J$6:$J$4467,$J965,'SALES Raw'!$K$6:$K$4467,"Y")*$H$4+SUMIFS('CEMIUP0.9 Raw'!$G$6:$G$1712,'CEMIUP0.9 Raw'!$B$6:$B$1712,$J965,'CEMIUP0.9 Raw'!$H$6:$H$1712,"Y")</f>
        <v>15.7477894736842</v>
      </c>
      <c r="H965" s="18" t="s">
        <v>43</v>
      </c>
      <c r="I965" s="18"/>
      <c r="J965" s="18" t="n">
        <v>4408026</v>
      </c>
    </row>
    <row r="966" customFormat="false" ht="15" hidden="false" customHeight="false" outlineLevel="0" collapsed="false">
      <c r="A966" s="18" t="n">
        <f aca="false">IF(ISNUMBER($J966),$J966,"")</f>
        <v>4408059</v>
      </c>
      <c r="B966" s="18" t="n">
        <f aca="false">IFERROR(INDEX('SALES Raw'!$B$6:$B$4467,MATCH($J966,'SALES Raw'!$J$6:$J$4467,0)),IFERROR(INDEX('CEMIUP0.9 Raw'!$B$6:$B$1712,MATCH($J966,'CEMIUP0.9 Raw'!$B$6:$B$1712,0)),$J966))</f>
        <v>4408059</v>
      </c>
      <c r="C966" s="18" t="str">
        <f aca="false">IF(ISNUMBER($J966),IFERROR(INDEX('TRANS'!$C:$C,MATCH($J966,'TRANS'!$B:$B,0)),IFERROR(INDEX('Catalog'!$B:$B,MATCH($J966,'Catalog'!$A:$A,0)),$B966)),$B966)</f>
        <v>25 L חבק יד אגודלי</v>
      </c>
      <c r="D966" s="19" t="n">
        <f aca="false">SUMIFS('SALES Raw'!$C$6:$C$4467,'SALES Raw'!$J$6:$J$4467,$J966,'SALES Raw'!$K$6:$K$4467,"Y")+SUMIFS('CEMIUP0.9 Raw'!$D$6:$D$1712,'CEMIUP0.9 Raw'!$B$6:$B$1712,$J966,'CEMIUP0.9 Raw'!$H$6:$H$1712,"Y")</f>
        <v>2</v>
      </c>
      <c r="E966" s="19" t="n">
        <f aca="false">SUMIFS('SALES Raw'!$D$6:$D$4467,'SALES Raw'!$J$6:$J$4467,$J966,'SALES Raw'!$K$6:$K$4467,"Y")+SUMIFS('CEMIUP0.9 Raw'!$E$6:$E$1712,'CEMIUP0.9 Raw'!$B$6:$B$1712,$J966,'CEMIUP0.9 Raw'!$H$6:$H$1712,"Y")</f>
        <v>120.666</v>
      </c>
      <c r="F966" s="19" t="n">
        <f aca="false">SUMIFS('SALES Raw'!$E$6:$E$4467,'SALES Raw'!$J$6:$J$4467,$J966,'SALES Raw'!$K$6:$K$4467,"Y")*$H$4+SUMIFS('CEMIUP0.9 Raw'!$F$6:$F$1712,'CEMIUP0.9 Raw'!$B$6:$B$1712,$J966,'CEMIUP0.9 Raw'!$H$6:$H$1712,"Y")</f>
        <v>0</v>
      </c>
      <c r="G966" s="19" t="n">
        <f aca="false">SUMIFS('SALES Raw'!$F$6:$F$4467,'SALES Raw'!$J$6:$J$4467,$J966,'SALES Raw'!$K$6:$K$4467,"Y")*$H$4+SUMIFS('CEMIUP0.9 Raw'!$G$6:$G$1712,'CEMIUP0.9 Raw'!$B$6:$B$1712,$J966,'CEMIUP0.9 Raw'!$H$6:$H$1712,"Y")</f>
        <v>0</v>
      </c>
      <c r="H966" s="18" t="s">
        <v>43</v>
      </c>
      <c r="I966" s="18"/>
      <c r="J966" s="18" t="n">
        <v>4408059</v>
      </c>
    </row>
    <row r="967" customFormat="false" ht="15" hidden="false" customHeight="false" outlineLevel="0" collapsed="false">
      <c r="A967" s="18" t="n">
        <f aca="false">IF(ISNUMBER($J967),$J967,"")</f>
        <v>4408060</v>
      </c>
      <c r="B967" s="18" t="n">
        <f aca="false">IFERROR(INDEX('SALES Raw'!$B$6:$B$4467,MATCH($J967,'SALES Raw'!$J$6:$J$4467,0)),IFERROR(INDEX('CEMIUP0.9 Raw'!$B$6:$B$1712,MATCH($J967,'CEMIUP0.9 Raw'!$B$6:$B$1712,0)),$J967))</f>
        <v>4408060</v>
      </c>
      <c r="C967" s="18" t="str">
        <f aca="false">IF(ISNUMBER($J967),IFERROR(INDEX('TRANS'!$C:$C,MATCH($J967,'TRANS'!$B:$B,0)),IFERROR(INDEX('Catalog'!$B:$B,MATCH($J967,'Catalog'!$A:$A,0)),$B967)),$B967)</f>
        <v>25 M חבק יד אגודלי</v>
      </c>
      <c r="D967" s="19" t="n">
        <f aca="false">SUMIFS('SALES Raw'!$C$6:$C$4467,'SALES Raw'!$J$6:$J$4467,$J967,'SALES Raw'!$K$6:$K$4467,"Y")+SUMIFS('CEMIUP0.9 Raw'!$D$6:$D$1712,'CEMIUP0.9 Raw'!$B$6:$B$1712,$J967,'CEMIUP0.9 Raw'!$H$6:$H$1712,"Y")</f>
        <v>-1</v>
      </c>
      <c r="E967" s="19" t="n">
        <f aca="false">SUMIFS('SALES Raw'!$D$6:$D$4467,'SALES Raw'!$J$6:$J$4467,$J967,'SALES Raw'!$K$6:$K$4467,"Y")+SUMIFS('CEMIUP0.9 Raw'!$E$6:$E$1712,'CEMIUP0.9 Raw'!$B$6:$B$1712,$J967,'CEMIUP0.9 Raw'!$H$6:$H$1712,"Y")</f>
        <v>-46.319</v>
      </c>
      <c r="F967" s="19" t="n">
        <f aca="false">SUMIFS('SALES Raw'!$E$6:$E$4467,'SALES Raw'!$J$6:$J$4467,$J967,'SALES Raw'!$K$6:$K$4467,"Y")*$H$4+SUMIFS('CEMIUP0.9 Raw'!$F$6:$F$1712,'CEMIUP0.9 Raw'!$B$6:$B$1712,$J967,'CEMIUP0.9 Raw'!$H$6:$H$1712,"Y")</f>
        <v>0</v>
      </c>
      <c r="G967" s="19" t="n">
        <f aca="false">SUMIFS('SALES Raw'!$F$6:$F$4467,'SALES Raw'!$J$6:$J$4467,$J967,'SALES Raw'!$K$6:$K$4467,"Y")*$H$4+SUMIFS('CEMIUP0.9 Raw'!$G$6:$G$1712,'CEMIUP0.9 Raw'!$B$6:$B$1712,$J967,'CEMIUP0.9 Raw'!$H$6:$H$1712,"Y")</f>
        <v>0</v>
      </c>
      <c r="H967" s="18" t="s">
        <v>43</v>
      </c>
      <c r="I967" s="18"/>
      <c r="J967" s="18" t="n">
        <v>4408060</v>
      </c>
    </row>
    <row r="968" customFormat="false" ht="15" hidden="false" customHeight="false" outlineLevel="0" collapsed="false">
      <c r="A968" s="18" t="n">
        <f aca="false">IF(ISNUMBER($J968),$J968,"")</f>
        <v>4408061</v>
      </c>
      <c r="B968" s="18" t="n">
        <f aca="false">IFERROR(INDEX('SALES Raw'!$B$6:$B$4467,MATCH($J968,'SALES Raw'!$J$6:$J$4467,0)),IFERROR(INDEX('CEMIUP0.9 Raw'!$B$6:$B$1712,MATCH($J968,'CEMIUP0.9 Raw'!$B$6:$B$1712,0)),$J968))</f>
        <v>4408061</v>
      </c>
      <c r="C968" s="18" t="str">
        <f aca="false">IF(ISNUMBER($J968),IFERROR(INDEX('TRANS'!$C:$C,MATCH($J968,'TRANS'!$B:$B,0)),IFERROR(INDEX('Catalog'!$B:$B,MATCH($J968,'Catalog'!$A:$A,0)),$B968)),$B968)</f>
        <v>25 S חבק יד אגודלי</v>
      </c>
      <c r="D968" s="19" t="n">
        <f aca="false">SUMIFS('SALES Raw'!$C$6:$C$4467,'SALES Raw'!$J$6:$J$4467,$J968,'SALES Raw'!$K$6:$K$4467,"Y")+SUMIFS('CEMIUP0.9 Raw'!$D$6:$D$1712,'CEMIUP0.9 Raw'!$B$6:$B$1712,$J968,'CEMIUP0.9 Raw'!$H$6:$H$1712,"Y")</f>
        <v>0</v>
      </c>
      <c r="E968" s="19" t="n">
        <f aca="false">SUMIFS('SALES Raw'!$D$6:$D$4467,'SALES Raw'!$J$6:$J$4467,$J968,'SALES Raw'!$K$6:$K$4467,"Y")+SUMIFS('CEMIUP0.9 Raw'!$E$6:$E$1712,'CEMIUP0.9 Raw'!$B$6:$B$1712,$J968,'CEMIUP0.9 Raw'!$H$6:$H$1712,"Y")</f>
        <v>7.098</v>
      </c>
      <c r="F968" s="19" t="n">
        <f aca="false">SUMIFS('SALES Raw'!$E$6:$E$4467,'SALES Raw'!$J$6:$J$4467,$J968,'SALES Raw'!$K$6:$K$4467,"Y")*$H$4+SUMIFS('CEMIUP0.9 Raw'!$F$6:$F$1712,'CEMIUP0.9 Raw'!$B$6:$B$1712,$J968,'CEMIUP0.9 Raw'!$H$6:$H$1712,"Y")</f>
        <v>0</v>
      </c>
      <c r="G968" s="19" t="n">
        <f aca="false">SUMIFS('SALES Raw'!$F$6:$F$4467,'SALES Raw'!$J$6:$J$4467,$J968,'SALES Raw'!$K$6:$K$4467,"Y")*$H$4+SUMIFS('CEMIUP0.9 Raw'!$G$6:$G$1712,'CEMIUP0.9 Raw'!$B$6:$B$1712,$J968,'CEMIUP0.9 Raw'!$H$6:$H$1712,"Y")</f>
        <v>0</v>
      </c>
      <c r="H968" s="18" t="s">
        <v>43</v>
      </c>
      <c r="I968" s="18"/>
      <c r="J968" s="18" t="n">
        <v>4408061</v>
      </c>
    </row>
    <row r="969" customFormat="false" ht="15" hidden="false" customHeight="false" outlineLevel="0" collapsed="false">
      <c r="A969" s="18" t="n">
        <f aca="false">IF(ISNUMBER($J969),$J969,"")</f>
        <v>4408085</v>
      </c>
      <c r="B969" s="18" t="n">
        <f aca="false">IFERROR(INDEX('SALES Raw'!$B$6:$B$4467,MATCH($J969,'SALES Raw'!$J$6:$J$4467,0)),IFERROR(INDEX('CEMIUP0.9 Raw'!$B$6:$B$1712,MATCH($J969,'CEMIUP0.9 Raw'!$B$6:$B$1712,0)),$J969))</f>
        <v>4408085</v>
      </c>
      <c r="C969" s="18" t="str">
        <f aca="false">IF(ISNUMBER($J969),IFERROR(INDEX('TRANS'!$C:$C,MATCH($J969,'TRANS'!$B:$B,0)),IFERROR(INDEX('Catalog'!$B:$B,MATCH($J969,'Catalog'!$A:$A,0)),$B969)),$B969)</f>
        <v>922M.מחבק יד לטניס כרית סילי</v>
      </c>
      <c r="D969" s="19" t="n">
        <f aca="false">SUMIFS('SALES Raw'!$C$6:$C$4467,'SALES Raw'!$J$6:$J$4467,$J969,'SALES Raw'!$K$6:$K$4467,"Y")+SUMIFS('CEMIUP0.9 Raw'!$D$6:$D$1712,'CEMIUP0.9 Raw'!$B$6:$B$1712,$J969,'CEMIUP0.9 Raw'!$H$6:$H$1712,"Y")</f>
        <v>1</v>
      </c>
      <c r="E969" s="19" t="n">
        <f aca="false">SUMIFS('SALES Raw'!$D$6:$D$4467,'SALES Raw'!$J$6:$J$4467,$J969,'SALES Raw'!$K$6:$K$4467,"Y")+SUMIFS('CEMIUP0.9 Raw'!$E$6:$E$1712,'CEMIUP0.9 Raw'!$B$6:$B$1712,$J969,'CEMIUP0.9 Raw'!$H$6:$H$1712,"Y")</f>
        <v>129.22</v>
      </c>
      <c r="F969" s="19" t="n">
        <f aca="false">SUMIFS('SALES Raw'!$E$6:$E$4467,'SALES Raw'!$J$6:$J$4467,$J969,'SALES Raw'!$K$6:$K$4467,"Y")*$H$4+SUMIFS('CEMIUP0.9 Raw'!$F$6:$F$1712,'CEMIUP0.9 Raw'!$B$6:$B$1712,$J969,'CEMIUP0.9 Raw'!$H$6:$H$1712,"Y")</f>
        <v>0</v>
      </c>
      <c r="G969" s="19" t="n">
        <f aca="false">SUMIFS('SALES Raw'!$F$6:$F$4467,'SALES Raw'!$J$6:$J$4467,$J969,'SALES Raw'!$K$6:$K$4467,"Y")*$H$4+SUMIFS('CEMIUP0.9 Raw'!$G$6:$G$1712,'CEMIUP0.9 Raw'!$B$6:$B$1712,$J969,'CEMIUP0.9 Raw'!$H$6:$H$1712,"Y")</f>
        <v>0</v>
      </c>
      <c r="H969" s="18" t="s">
        <v>43</v>
      </c>
      <c r="I969" s="18"/>
      <c r="J969" s="18" t="n">
        <v>4408085</v>
      </c>
    </row>
    <row r="970" customFormat="false" ht="15" hidden="false" customHeight="false" outlineLevel="0" collapsed="false">
      <c r="A970" s="18" t="n">
        <f aca="false">IF(ISNUMBER($J970),$J970,"")</f>
        <v>4408100</v>
      </c>
      <c r="B970" s="18" t="n">
        <f aca="false">IFERROR(INDEX('SALES Raw'!$B$6:$B$4467,MATCH($J970,'SALES Raw'!$J$6:$J$4467,0)),IFERROR(INDEX('CEMIUP0.9 Raw'!$B$6:$B$1712,MATCH($J970,'CEMIUP0.9 Raw'!$B$6:$B$1712,0)),$J970))</f>
        <v>4408100</v>
      </c>
      <c r="C970" s="18" t="str">
        <f aca="false">IF(ISNUMBER($J970),IFERROR(INDEX('TRANS'!$C:$C,MATCH($J970,'TRANS'!$B:$B,0)),IFERROR(INDEX('Catalog'!$B:$B,MATCH($J970,'Catalog'!$A:$A,0)),$B970)),$B970)</f>
        <v>11U Lחגורת בטן וחזה אחרי ניתוח</v>
      </c>
      <c r="D970" s="19" t="n">
        <f aca="false">SUMIFS('SALES Raw'!$C$6:$C$4467,'SALES Raw'!$J$6:$J$4467,$J970,'SALES Raw'!$K$6:$K$4467,"Y")+SUMIFS('CEMIUP0.9 Raw'!$D$6:$D$1712,'CEMIUP0.9 Raw'!$B$6:$B$1712,$J970,'CEMIUP0.9 Raw'!$H$6:$H$1712,"Y")</f>
        <v>1</v>
      </c>
      <c r="E970" s="19" t="n">
        <f aca="false">SUMIFS('SALES Raw'!$D$6:$D$4467,'SALES Raw'!$J$6:$J$4467,$J970,'SALES Raw'!$K$6:$K$4467,"Y")+SUMIFS('CEMIUP0.9 Raw'!$E$6:$E$1712,'CEMIUP0.9 Raw'!$B$6:$B$1712,$J970,'CEMIUP0.9 Raw'!$H$6:$H$1712,"Y")</f>
        <v>85.995</v>
      </c>
      <c r="F970" s="19" t="n">
        <f aca="false">SUMIFS('SALES Raw'!$E$6:$E$4467,'SALES Raw'!$J$6:$J$4467,$J970,'SALES Raw'!$K$6:$K$4467,"Y")*$H$4+SUMIFS('CEMIUP0.9 Raw'!$F$6:$F$1712,'CEMIUP0.9 Raw'!$B$6:$B$1712,$J970,'CEMIUP0.9 Raw'!$H$6:$H$1712,"Y")</f>
        <v>0</v>
      </c>
      <c r="G970" s="19" t="n">
        <f aca="false">SUMIFS('SALES Raw'!$F$6:$F$4467,'SALES Raw'!$J$6:$J$4467,$J970,'SALES Raw'!$K$6:$K$4467,"Y")*$H$4+SUMIFS('CEMIUP0.9 Raw'!$G$6:$G$1712,'CEMIUP0.9 Raw'!$B$6:$B$1712,$J970,'CEMIUP0.9 Raw'!$H$6:$H$1712,"Y")</f>
        <v>0</v>
      </c>
      <c r="H970" s="18" t="s">
        <v>43</v>
      </c>
      <c r="I970" s="18"/>
      <c r="J970" s="18" t="n">
        <v>4408100</v>
      </c>
    </row>
    <row r="971" customFormat="false" ht="15" hidden="false" customHeight="false" outlineLevel="0" collapsed="false">
      <c r="A971" s="18" t="n">
        <f aca="false">IF(ISNUMBER($J971),$J971,"")</f>
        <v>4408105</v>
      </c>
      <c r="B971" s="18" t="n">
        <f aca="false">IFERROR(INDEX('SALES Raw'!$B$6:$B$4467,MATCH($J971,'SALES Raw'!$J$6:$J$4467,0)),IFERROR(INDEX('CEMIUP0.9 Raw'!$B$6:$B$1712,MATCH($J971,'CEMIUP0.9 Raw'!$B$6:$B$1712,0)),$J971))</f>
        <v>4408105</v>
      </c>
      <c r="C971" s="18" t="str">
        <f aca="false">IF(ISNUMBER($J971),IFERROR(INDEX('TRANS'!$C:$C,MATCH($J971,'TRANS'!$B:$B,0)),IFERROR(INDEX('Catalog'!$B:$B,MATCH($J971,'Catalog'!$A:$A,0)),$B971)),$B971)</f>
        <v>19 S-M חגורת הריון בכאב חזק</v>
      </c>
      <c r="D971" s="19" t="n">
        <f aca="false">SUMIFS('SALES Raw'!$C$6:$C$4467,'SALES Raw'!$J$6:$J$4467,$J971,'SALES Raw'!$K$6:$K$4467,"Y")+SUMIFS('CEMIUP0.9 Raw'!$D$6:$D$1712,'CEMIUP0.9 Raw'!$B$6:$B$1712,$J971,'CEMIUP0.9 Raw'!$H$6:$H$1712,"Y")</f>
        <v>1</v>
      </c>
      <c r="E971" s="19" t="n">
        <f aca="false">SUMIFS('SALES Raw'!$D$6:$D$4467,'SALES Raw'!$J$6:$J$4467,$J971,'SALES Raw'!$K$6:$K$4467,"Y")+SUMIFS('CEMIUP0.9 Raw'!$E$6:$E$1712,'CEMIUP0.9 Raw'!$B$6:$B$1712,$J971,'CEMIUP0.9 Raw'!$H$6:$H$1712,"Y")</f>
        <v>193.83</v>
      </c>
      <c r="F971" s="19" t="n">
        <f aca="false">SUMIFS('SALES Raw'!$E$6:$E$4467,'SALES Raw'!$J$6:$J$4467,$J971,'SALES Raw'!$K$6:$K$4467,"Y")*$H$4+SUMIFS('CEMIUP0.9 Raw'!$F$6:$F$1712,'CEMIUP0.9 Raw'!$B$6:$B$1712,$J971,'CEMIUP0.9 Raw'!$H$6:$H$1712,"Y")</f>
        <v>0</v>
      </c>
      <c r="G971" s="19" t="n">
        <f aca="false">SUMIFS('SALES Raw'!$F$6:$F$4467,'SALES Raw'!$J$6:$J$4467,$J971,'SALES Raw'!$K$6:$K$4467,"Y")*$H$4+SUMIFS('CEMIUP0.9 Raw'!$G$6:$G$1712,'CEMIUP0.9 Raw'!$B$6:$B$1712,$J971,'CEMIUP0.9 Raw'!$H$6:$H$1712,"Y")</f>
        <v>0</v>
      </c>
      <c r="H971" s="18" t="s">
        <v>43</v>
      </c>
      <c r="I971" s="18"/>
      <c r="J971" s="18" t="n">
        <v>4408105</v>
      </c>
    </row>
    <row r="972" customFormat="false" ht="15" hidden="false" customHeight="false" outlineLevel="0" collapsed="false">
      <c r="A972" s="18" t="n">
        <f aca="false">IF(ISNUMBER($J972),$J972,"")</f>
        <v>4408122</v>
      </c>
      <c r="B972" s="18" t="n">
        <f aca="false">IFERROR(INDEX('SALES Raw'!$B$6:$B$4467,MATCH($J972,'SALES Raw'!$J$6:$J$4467,0)),IFERROR(INDEX('CEMIUP0.9 Raw'!$B$6:$B$1712,MATCH($J972,'CEMIUP0.9 Raw'!$B$6:$B$1712,0)),$J972))</f>
        <v>4408122</v>
      </c>
      <c r="C972" s="18" t="str">
        <f aca="false">IF(ISNUMBER($J972),IFERROR(INDEX('TRANS'!$C:$C,MATCH($J972,'TRANS'!$B:$B,0)),IFERROR(INDEX('Catalog'!$B:$B,MATCH($J972,'Catalog'!$A:$A,0)),$B972)),$B972)</f>
        <v>15M L חגורת צלעות לגבר</v>
      </c>
      <c r="D972" s="19" t="n">
        <f aca="false">SUMIFS('SALES Raw'!$C$6:$C$4467,'SALES Raw'!$J$6:$J$4467,$J972,'SALES Raw'!$K$6:$K$4467,"Y")+SUMIFS('CEMIUP0.9 Raw'!$D$6:$D$1712,'CEMIUP0.9 Raw'!$B$6:$B$1712,$J972,'CEMIUP0.9 Raw'!$H$6:$H$1712,"Y")</f>
        <v>2</v>
      </c>
      <c r="E972" s="19" t="n">
        <f aca="false">SUMIFS('SALES Raw'!$D$6:$D$4467,'SALES Raw'!$J$6:$J$4467,$J972,'SALES Raw'!$K$6:$K$4467,"Y")+SUMIFS('CEMIUP0.9 Raw'!$E$6:$E$1712,'CEMIUP0.9 Raw'!$B$6:$B$1712,$J972,'CEMIUP0.9 Raw'!$H$6:$H$1712,"Y")</f>
        <v>248.339</v>
      </c>
      <c r="F972" s="19" t="n">
        <f aca="false">SUMIFS('SALES Raw'!$E$6:$E$4467,'SALES Raw'!$J$6:$J$4467,$J972,'SALES Raw'!$K$6:$K$4467,"Y")*$H$4+SUMIFS('CEMIUP0.9 Raw'!$F$6:$F$1712,'CEMIUP0.9 Raw'!$B$6:$B$1712,$J972,'CEMIUP0.9 Raw'!$H$6:$H$1712,"Y")</f>
        <v>0</v>
      </c>
      <c r="G972" s="19" t="n">
        <f aca="false">SUMIFS('SALES Raw'!$F$6:$F$4467,'SALES Raw'!$J$6:$J$4467,$J972,'SALES Raw'!$K$6:$K$4467,"Y")*$H$4+SUMIFS('CEMIUP0.9 Raw'!$G$6:$G$1712,'CEMIUP0.9 Raw'!$B$6:$B$1712,$J972,'CEMIUP0.9 Raw'!$H$6:$H$1712,"Y")</f>
        <v>0</v>
      </c>
      <c r="H972" s="18" t="s">
        <v>43</v>
      </c>
      <c r="I972" s="18"/>
      <c r="J972" s="18" t="n">
        <v>4408122</v>
      </c>
    </row>
    <row r="973" customFormat="false" ht="15" hidden="false" customHeight="false" outlineLevel="0" collapsed="false">
      <c r="A973" s="18" t="n">
        <f aca="false">IF(ISNUMBER($J973),$J973,"")</f>
        <v>4408126</v>
      </c>
      <c r="B973" s="18" t="n">
        <f aca="false">IFERROR(INDEX('SALES Raw'!$B$6:$B$4467,MATCH($J973,'SALES Raw'!$J$6:$J$4467,0)),IFERROR(INDEX('CEMIUP0.9 Raw'!$B$6:$B$1712,MATCH($J973,'CEMIUP0.9 Raw'!$B$6:$B$1712,0)),$J973))</f>
        <v>4408126</v>
      </c>
      <c r="C973" s="18" t="str">
        <f aca="false">IF(ISNUMBER($J973),IFERROR(INDEX('TRANS'!$C:$C,MATCH($J973,'TRANS'!$B:$B,0)),IFERROR(INDEX('Catalog'!$B:$B,MATCH($J973,'Catalog'!$A:$A,0)),$B973)),$B973)</f>
        <v>15W XL חגורת צלעות לאשה</v>
      </c>
      <c r="D973" s="19" t="n">
        <f aca="false">SUMIFS('SALES Raw'!$C$6:$C$4467,'SALES Raw'!$J$6:$J$4467,$J973,'SALES Raw'!$K$6:$K$4467,"Y")+SUMIFS('CEMIUP0.9 Raw'!$D$6:$D$1712,'CEMIUP0.9 Raw'!$B$6:$B$1712,$J973,'CEMIUP0.9 Raw'!$H$6:$H$1712,"Y")</f>
        <v>1</v>
      </c>
      <c r="E973" s="19" t="n">
        <f aca="false">SUMIFS('SALES Raw'!$D$6:$D$4467,'SALES Raw'!$J$6:$J$4467,$J973,'SALES Raw'!$K$6:$K$4467,"Y")+SUMIFS('CEMIUP0.9 Raw'!$E$6:$E$1712,'CEMIUP0.9 Raw'!$B$6:$B$1712,$J973,'CEMIUP0.9 Raw'!$H$6:$H$1712,"Y")</f>
        <v>127.946</v>
      </c>
      <c r="F973" s="19" t="n">
        <f aca="false">SUMIFS('SALES Raw'!$E$6:$E$4467,'SALES Raw'!$J$6:$J$4467,$J973,'SALES Raw'!$K$6:$K$4467,"Y")*$H$4+SUMIFS('CEMIUP0.9 Raw'!$F$6:$F$1712,'CEMIUP0.9 Raw'!$B$6:$B$1712,$J973,'CEMIUP0.9 Raw'!$H$6:$H$1712,"Y")</f>
        <v>0</v>
      </c>
      <c r="G973" s="19" t="n">
        <f aca="false">SUMIFS('SALES Raw'!$F$6:$F$4467,'SALES Raw'!$J$6:$J$4467,$J973,'SALES Raw'!$K$6:$K$4467,"Y")*$H$4+SUMIFS('CEMIUP0.9 Raw'!$G$6:$G$1712,'CEMIUP0.9 Raw'!$B$6:$B$1712,$J973,'CEMIUP0.9 Raw'!$H$6:$H$1712,"Y")</f>
        <v>0</v>
      </c>
      <c r="H973" s="18" t="s">
        <v>43</v>
      </c>
      <c r="I973" s="18"/>
      <c r="J973" s="18" t="n">
        <v>4408126</v>
      </c>
    </row>
    <row r="974" customFormat="false" ht="15" hidden="false" customHeight="false" outlineLevel="0" collapsed="false">
      <c r="A974" s="18" t="n">
        <f aca="false">IF(ISNUMBER($J974),$J974,"")</f>
        <v>4408129</v>
      </c>
      <c r="B974" s="18" t="n">
        <f aca="false">IFERROR(INDEX('SALES Raw'!$B$6:$B$4467,MATCH($J974,'SALES Raw'!$J$6:$J$4467,0)),IFERROR(INDEX('CEMIUP0.9 Raw'!$B$6:$B$1712,MATCH($J974,'CEMIUP0.9 Raw'!$B$6:$B$1712,0)),$J974))</f>
        <v>4408129</v>
      </c>
      <c r="C974" s="18" t="str">
        <f aca="false">IF(ISNUMBER($J974),IFERROR(INDEX('TRANS'!$C:$C,MATCH($J974,'TRANS'!$B:$B,0)),IFERROR(INDEX('Catalog'!$B:$B,MATCH($J974,'Catalog'!$A:$A,0)),$B974)),$B974)</f>
        <v>15M M חגורת צלעות לגבר</v>
      </c>
      <c r="D974" s="19" t="n">
        <f aca="false">SUMIFS('SALES Raw'!$C$6:$C$4467,'SALES Raw'!$J$6:$J$4467,$J974,'SALES Raw'!$K$6:$K$4467,"Y")+SUMIFS('CEMIUP0.9 Raw'!$D$6:$D$1712,'CEMIUP0.9 Raw'!$B$6:$B$1712,$J974,'CEMIUP0.9 Raw'!$H$6:$H$1712,"Y")</f>
        <v>1</v>
      </c>
      <c r="E974" s="19" t="n">
        <f aca="false">SUMIFS('SALES Raw'!$D$6:$D$4467,'SALES Raw'!$J$6:$J$4467,$J974,'SALES Raw'!$K$6:$K$4467,"Y")+SUMIFS('CEMIUP0.9 Raw'!$E$6:$E$1712,'CEMIUP0.9 Raw'!$B$6:$B$1712,$J974,'CEMIUP0.9 Raw'!$H$6:$H$1712,"Y")</f>
        <v>127.946</v>
      </c>
      <c r="F974" s="19" t="n">
        <f aca="false">SUMIFS('SALES Raw'!$E$6:$E$4467,'SALES Raw'!$J$6:$J$4467,$J974,'SALES Raw'!$K$6:$K$4467,"Y")*$H$4+SUMIFS('CEMIUP0.9 Raw'!$F$6:$F$1712,'CEMIUP0.9 Raw'!$B$6:$B$1712,$J974,'CEMIUP0.9 Raw'!$H$6:$H$1712,"Y")</f>
        <v>0</v>
      </c>
      <c r="G974" s="19" t="n">
        <f aca="false">SUMIFS('SALES Raw'!$F$6:$F$4467,'SALES Raw'!$J$6:$J$4467,$J974,'SALES Raw'!$K$6:$K$4467,"Y")*$H$4+SUMIFS('CEMIUP0.9 Raw'!$G$6:$G$1712,'CEMIUP0.9 Raw'!$B$6:$B$1712,$J974,'CEMIUP0.9 Raw'!$H$6:$H$1712,"Y")</f>
        <v>0</v>
      </c>
      <c r="H974" s="18" t="s">
        <v>43</v>
      </c>
      <c r="I974" s="18"/>
      <c r="J974" s="18" t="n">
        <v>4408129</v>
      </c>
    </row>
    <row r="975" customFormat="false" ht="15" hidden="false" customHeight="false" outlineLevel="0" collapsed="false">
      <c r="A975" s="18" t="n">
        <f aca="false">IF(ISNUMBER($J975),$J975,"")</f>
        <v>4408140</v>
      </c>
      <c r="B975" s="18" t="n">
        <f aca="false">IFERROR(INDEX('SALES Raw'!$B$6:$B$4467,MATCH($J975,'SALES Raw'!$J$6:$J$4467,0)),IFERROR(INDEX('CEMIUP0.9 Raw'!$B$6:$B$1712,MATCH($J975,'CEMIUP0.9 Raw'!$B$6:$B$1712,0)),$J975))</f>
        <v>4408140</v>
      </c>
      <c r="C975" s="18" t="str">
        <f aca="false">IF(ISNUMBER($J975),IFERROR(INDEX('TRANS'!$C:$C,MATCH($J975,'TRANS'!$B:$B,0)),IFERROR(INDEX('Catalog'!$B:$B,MATCH($J975,'Catalog'!$A:$A,0)),$B975)),$B975)</f>
        <v>06W S חגורת גב לנשים</v>
      </c>
      <c r="D975" s="19" t="n">
        <f aca="false">SUMIFS('SALES Raw'!$C$6:$C$4467,'SALES Raw'!$J$6:$J$4467,$J975,'SALES Raw'!$K$6:$K$4467,"Y")+SUMIFS('CEMIUP0.9 Raw'!$D$6:$D$1712,'CEMIUP0.9 Raw'!$B$6:$B$1712,$J975,'CEMIUP0.9 Raw'!$H$6:$H$1712,"Y")</f>
        <v>1</v>
      </c>
      <c r="E975" s="19" t="n">
        <f aca="false">SUMIFS('SALES Raw'!$D$6:$D$4467,'SALES Raw'!$J$6:$J$4467,$J975,'SALES Raw'!$K$6:$K$4467,"Y")+SUMIFS('CEMIUP0.9 Raw'!$E$6:$E$1712,'CEMIUP0.9 Raw'!$B$6:$B$1712,$J975,'CEMIUP0.9 Raw'!$H$6:$H$1712,"Y")</f>
        <v>140.504</v>
      </c>
      <c r="F975" s="19" t="n">
        <f aca="false">SUMIFS('SALES Raw'!$E$6:$E$4467,'SALES Raw'!$J$6:$J$4467,$J975,'SALES Raw'!$K$6:$K$4467,"Y")*$H$4+SUMIFS('CEMIUP0.9 Raw'!$F$6:$F$1712,'CEMIUP0.9 Raw'!$B$6:$B$1712,$J975,'CEMIUP0.9 Raw'!$H$6:$H$1712,"Y")</f>
        <v>0</v>
      </c>
      <c r="G975" s="19" t="n">
        <f aca="false">SUMIFS('SALES Raw'!$F$6:$F$4467,'SALES Raw'!$J$6:$J$4467,$J975,'SALES Raw'!$K$6:$K$4467,"Y")*$H$4+SUMIFS('CEMIUP0.9 Raw'!$G$6:$G$1712,'CEMIUP0.9 Raw'!$B$6:$B$1712,$J975,'CEMIUP0.9 Raw'!$H$6:$H$1712,"Y")</f>
        <v>0</v>
      </c>
      <c r="H975" s="18" t="s">
        <v>43</v>
      </c>
      <c r="I975" s="18"/>
      <c r="J975" s="18" t="n">
        <v>4408140</v>
      </c>
    </row>
    <row r="976" customFormat="false" ht="15" hidden="false" customHeight="false" outlineLevel="0" collapsed="false">
      <c r="A976" s="18" t="n">
        <f aca="false">IF(ISNUMBER($J976),$J976,"")</f>
        <v>4408141</v>
      </c>
      <c r="B976" s="18" t="n">
        <f aca="false">IFERROR(INDEX('SALES Raw'!$B$6:$B$4467,MATCH($J976,'SALES Raw'!$J$6:$J$4467,0)),IFERROR(INDEX('CEMIUP0.9 Raw'!$B$6:$B$1712,MATCH($J976,'CEMIUP0.9 Raw'!$B$6:$B$1712,0)),$J976))</f>
        <v>4408141</v>
      </c>
      <c r="C976" s="18" t="str">
        <f aca="false">IF(ISNUMBER($J976),IFERROR(INDEX('TRANS'!$C:$C,MATCH($J976,'TRANS'!$B:$B,0)),IFERROR(INDEX('Catalog'!$B:$B,MATCH($J976,'Catalog'!$A:$A,0)),$B976)),$B976)</f>
        <v>776 S  ח.גב גבוהה</v>
      </c>
      <c r="D976" s="19" t="n">
        <f aca="false">SUMIFS('SALES Raw'!$C$6:$C$4467,'SALES Raw'!$J$6:$J$4467,$J976,'SALES Raw'!$K$6:$K$4467,"Y")+SUMIFS('CEMIUP0.9 Raw'!$D$6:$D$1712,'CEMIUP0.9 Raw'!$B$6:$B$1712,$J976,'CEMIUP0.9 Raw'!$H$6:$H$1712,"Y")</f>
        <v>1</v>
      </c>
      <c r="E976" s="19" t="n">
        <f aca="false">SUMIFS('SALES Raw'!$D$6:$D$4467,'SALES Raw'!$J$6:$J$4467,$J976,'SALES Raw'!$K$6:$K$4467,"Y")+SUMIFS('CEMIUP0.9 Raw'!$E$6:$E$1712,'CEMIUP0.9 Raw'!$B$6:$B$1712,$J976,'CEMIUP0.9 Raw'!$H$6:$H$1712,"Y")</f>
        <v>430.157</v>
      </c>
      <c r="F976" s="19" t="n">
        <f aca="false">SUMIFS('SALES Raw'!$E$6:$E$4467,'SALES Raw'!$J$6:$J$4467,$J976,'SALES Raw'!$K$6:$K$4467,"Y")*$H$4+SUMIFS('CEMIUP0.9 Raw'!$F$6:$F$1712,'CEMIUP0.9 Raw'!$B$6:$B$1712,$J976,'CEMIUP0.9 Raw'!$H$6:$H$1712,"Y")</f>
        <v>0</v>
      </c>
      <c r="G976" s="19" t="n">
        <f aca="false">SUMIFS('SALES Raw'!$F$6:$F$4467,'SALES Raw'!$J$6:$J$4467,$J976,'SALES Raw'!$K$6:$K$4467,"Y")*$H$4+SUMIFS('CEMIUP0.9 Raw'!$G$6:$G$1712,'CEMIUP0.9 Raw'!$B$6:$B$1712,$J976,'CEMIUP0.9 Raw'!$H$6:$H$1712,"Y")</f>
        <v>0</v>
      </c>
      <c r="H976" s="18" t="s">
        <v>43</v>
      </c>
      <c r="I976" s="18"/>
      <c r="J976" s="18" t="n">
        <v>4408141</v>
      </c>
    </row>
    <row r="977" customFormat="false" ht="15" hidden="false" customHeight="false" outlineLevel="0" collapsed="false">
      <c r="A977" s="18" t="n">
        <f aca="false">IF(ISNUMBER($J977),$J977,"")</f>
        <v>4408142</v>
      </c>
      <c r="B977" s="18" t="n">
        <f aca="false">IFERROR(INDEX('SALES Raw'!$B$6:$B$4467,MATCH($J977,'SALES Raw'!$J$6:$J$4467,0)),IFERROR(INDEX('CEMIUP0.9 Raw'!$B$6:$B$1712,MATCH($J977,'CEMIUP0.9 Raw'!$B$6:$B$1712,0)),$J977))</f>
        <v>4408142</v>
      </c>
      <c r="C977" s="18" t="str">
        <f aca="false">IF(ISNUMBER($J977),IFERROR(INDEX('TRANS'!$C:$C,MATCH($J977,'TRANS'!$B:$B,0)),IFERROR(INDEX('Catalog'!$B:$B,MATCH($J977,'Catalog'!$A:$A,0)),$B977)),$B977)</f>
        <v>776 M  ח.גב גבוהה</v>
      </c>
      <c r="D977" s="19" t="n">
        <f aca="false">SUMIFS('SALES Raw'!$C$6:$C$4467,'SALES Raw'!$J$6:$J$4467,$J977,'SALES Raw'!$K$6:$K$4467,"Y")+SUMIFS('CEMIUP0.9 Raw'!$D$6:$D$1712,'CEMIUP0.9 Raw'!$B$6:$B$1712,$J977,'CEMIUP0.9 Raw'!$H$6:$H$1712,"Y")</f>
        <v>1</v>
      </c>
      <c r="E977" s="19" t="n">
        <f aca="false">SUMIFS('SALES Raw'!$D$6:$D$4467,'SALES Raw'!$J$6:$J$4467,$J977,'SALES Raw'!$K$6:$K$4467,"Y")+SUMIFS('CEMIUP0.9 Raw'!$E$6:$E$1712,'CEMIUP0.9 Raw'!$B$6:$B$1712,$J977,'CEMIUP0.9 Raw'!$H$6:$H$1712,"Y")</f>
        <v>430.157</v>
      </c>
      <c r="F977" s="19" t="n">
        <f aca="false">SUMIFS('SALES Raw'!$E$6:$E$4467,'SALES Raw'!$J$6:$J$4467,$J977,'SALES Raw'!$K$6:$K$4467,"Y")*$H$4+SUMIFS('CEMIUP0.9 Raw'!$F$6:$F$1712,'CEMIUP0.9 Raw'!$B$6:$B$1712,$J977,'CEMIUP0.9 Raw'!$H$6:$H$1712,"Y")</f>
        <v>0</v>
      </c>
      <c r="G977" s="19" t="n">
        <f aca="false">SUMIFS('SALES Raw'!$F$6:$F$4467,'SALES Raw'!$J$6:$J$4467,$J977,'SALES Raw'!$K$6:$K$4467,"Y")*$H$4+SUMIFS('CEMIUP0.9 Raw'!$G$6:$G$1712,'CEMIUP0.9 Raw'!$B$6:$B$1712,$J977,'CEMIUP0.9 Raw'!$H$6:$H$1712,"Y")</f>
        <v>0</v>
      </c>
      <c r="H977" s="18" t="s">
        <v>43</v>
      </c>
      <c r="I977" s="18"/>
      <c r="J977" s="18" t="n">
        <v>4408142</v>
      </c>
    </row>
    <row r="978" customFormat="false" ht="15" hidden="false" customHeight="false" outlineLevel="0" collapsed="false">
      <c r="A978" s="18" t="n">
        <f aca="false">IF(ISNUMBER($J978),$J978,"")</f>
        <v>4408175</v>
      </c>
      <c r="B978" s="18" t="n">
        <f aca="false">IFERROR(INDEX('SALES Raw'!$B$6:$B$4467,MATCH($J978,'SALES Raw'!$J$6:$J$4467,0)),IFERROR(INDEX('CEMIUP0.9 Raw'!$B$6:$B$1712,MATCH($J978,'CEMIUP0.9 Raw'!$B$6:$B$1712,0)),$J978))</f>
        <v>4408175</v>
      </c>
      <c r="C978" s="18" t="str">
        <f aca="false">IF(ISNUMBER($J978),IFERROR(INDEX('TRANS'!$C:$C,MATCH($J978,'TRANS'!$B:$B,0)),IFERROR(INDEX('Catalog'!$B:$B,MATCH($J978,'Catalog'!$A:$A,0)),$B978)),$B978)</f>
        <v>11 XS  חגורת בטן</v>
      </c>
      <c r="D978" s="19" t="n">
        <f aca="false">SUMIFS('SALES Raw'!$C$6:$C$4467,'SALES Raw'!$J$6:$J$4467,$J978,'SALES Raw'!$K$6:$K$4467,"Y")+SUMIFS('CEMIUP0.9 Raw'!$D$6:$D$1712,'CEMIUP0.9 Raw'!$B$6:$B$1712,$J978,'CEMIUP0.9 Raw'!$H$6:$H$1712,"Y")</f>
        <v>2</v>
      </c>
      <c r="E978" s="19" t="n">
        <f aca="false">SUMIFS('SALES Raw'!$D$6:$D$4467,'SALES Raw'!$J$6:$J$4467,$J978,'SALES Raw'!$K$6:$K$4467,"Y")+SUMIFS('CEMIUP0.9 Raw'!$E$6:$E$1712,'CEMIUP0.9 Raw'!$B$6:$B$1712,$J978,'CEMIUP0.9 Raw'!$H$6:$H$1712,"Y")</f>
        <v>192.647</v>
      </c>
      <c r="F978" s="19" t="n">
        <f aca="false">SUMIFS('SALES Raw'!$E$6:$E$4467,'SALES Raw'!$J$6:$J$4467,$J978,'SALES Raw'!$K$6:$K$4467,"Y")*$H$4+SUMIFS('CEMIUP0.9 Raw'!$F$6:$F$1712,'CEMIUP0.9 Raw'!$B$6:$B$1712,$J978,'CEMIUP0.9 Raw'!$H$6:$H$1712,"Y")</f>
        <v>0</v>
      </c>
      <c r="G978" s="19" t="n">
        <f aca="false">SUMIFS('SALES Raw'!$F$6:$F$4467,'SALES Raw'!$J$6:$J$4467,$J978,'SALES Raw'!$K$6:$K$4467,"Y")*$H$4+SUMIFS('CEMIUP0.9 Raw'!$G$6:$G$1712,'CEMIUP0.9 Raw'!$B$6:$B$1712,$J978,'CEMIUP0.9 Raw'!$H$6:$H$1712,"Y")</f>
        <v>0</v>
      </c>
      <c r="H978" s="18" t="s">
        <v>43</v>
      </c>
      <c r="I978" s="18"/>
      <c r="J978" s="18" t="n">
        <v>4408175</v>
      </c>
    </row>
    <row r="979" customFormat="false" ht="15" hidden="false" customHeight="false" outlineLevel="0" collapsed="false">
      <c r="A979" s="18" t="n">
        <f aca="false">IF(ISNUMBER($J979),$J979,"")</f>
        <v>4408177</v>
      </c>
      <c r="B979" s="18" t="n">
        <f aca="false">IFERROR(INDEX('SALES Raw'!$B$6:$B$4467,MATCH($J979,'SALES Raw'!$J$6:$J$4467,0)),IFERROR(INDEX('CEMIUP0.9 Raw'!$B$6:$B$1712,MATCH($J979,'CEMIUP0.9 Raw'!$B$6:$B$1712,0)),$J979))</f>
        <v>4408177</v>
      </c>
      <c r="C979" s="18" t="str">
        <f aca="false">IF(ISNUMBER($J979),IFERROR(INDEX('TRANS'!$C:$C,MATCH($J979,'TRANS'!$B:$B,0)),IFERROR(INDEX('Catalog'!$B:$B,MATCH($J979,'Catalog'!$A:$A,0)),$B979)),$B979)</f>
        <v>13 M חגורה לשבר טבור</v>
      </c>
      <c r="D979" s="19" t="n">
        <f aca="false">SUMIFS('SALES Raw'!$C$6:$C$4467,'SALES Raw'!$J$6:$J$4467,$J979,'SALES Raw'!$K$6:$K$4467,"Y")+SUMIFS('CEMIUP0.9 Raw'!$D$6:$D$1712,'CEMIUP0.9 Raw'!$B$6:$B$1712,$J979,'CEMIUP0.9 Raw'!$H$6:$H$1712,"Y")</f>
        <v>1</v>
      </c>
      <c r="E979" s="19" t="n">
        <f aca="false">SUMIFS('SALES Raw'!$D$6:$D$4467,'SALES Raw'!$J$6:$J$4467,$J979,'SALES Raw'!$K$6:$K$4467,"Y")+SUMIFS('CEMIUP0.9 Raw'!$E$6:$E$1712,'CEMIUP0.9 Raw'!$B$6:$B$1712,$J979,'CEMIUP0.9 Raw'!$H$6:$H$1712,"Y")</f>
        <v>142.87</v>
      </c>
      <c r="F979" s="19" t="n">
        <f aca="false">SUMIFS('SALES Raw'!$E$6:$E$4467,'SALES Raw'!$J$6:$J$4467,$J979,'SALES Raw'!$K$6:$K$4467,"Y")*$H$4+SUMIFS('CEMIUP0.9 Raw'!$F$6:$F$1712,'CEMIUP0.9 Raw'!$B$6:$B$1712,$J979,'CEMIUP0.9 Raw'!$H$6:$H$1712,"Y")</f>
        <v>0</v>
      </c>
      <c r="G979" s="19" t="n">
        <f aca="false">SUMIFS('SALES Raw'!$F$6:$F$4467,'SALES Raw'!$J$6:$J$4467,$J979,'SALES Raw'!$K$6:$K$4467,"Y")*$H$4+SUMIFS('CEMIUP0.9 Raw'!$G$6:$G$1712,'CEMIUP0.9 Raw'!$B$6:$B$1712,$J979,'CEMIUP0.9 Raw'!$H$6:$H$1712,"Y")</f>
        <v>0</v>
      </c>
      <c r="H979" s="18" t="s">
        <v>43</v>
      </c>
      <c r="I979" s="18"/>
      <c r="J979" s="18" t="n">
        <v>4408177</v>
      </c>
    </row>
    <row r="980" customFormat="false" ht="15" hidden="false" customHeight="false" outlineLevel="0" collapsed="false">
      <c r="A980" s="18" t="n">
        <f aca="false">IF(ISNUMBER($J980),$J980,"")</f>
        <v>4408178</v>
      </c>
      <c r="B980" s="18" t="n">
        <f aca="false">IFERROR(INDEX('SALES Raw'!$B$6:$B$4467,MATCH($J980,'SALES Raw'!$J$6:$J$4467,0)),IFERROR(INDEX('CEMIUP0.9 Raw'!$B$6:$B$1712,MATCH($J980,'CEMIUP0.9 Raw'!$B$6:$B$1712,0)),$J980))</f>
        <v>4408178</v>
      </c>
      <c r="C980" s="18" t="str">
        <f aca="false">IF(ISNUMBER($J980),IFERROR(INDEX('TRANS'!$C:$C,MATCH($J980,'TRANS'!$B:$B,0)),IFERROR(INDEX('Catalog'!$B:$B,MATCH($J980,'Catalog'!$A:$A,0)),$B980)),$B980)</f>
        <v>13 L חגורה לשבר טבור</v>
      </c>
      <c r="D980" s="19" t="n">
        <f aca="false">SUMIFS('SALES Raw'!$C$6:$C$4467,'SALES Raw'!$J$6:$J$4467,$J980,'SALES Raw'!$K$6:$K$4467,"Y")+SUMIFS('CEMIUP0.9 Raw'!$D$6:$D$1712,'CEMIUP0.9 Raw'!$B$6:$B$1712,$J980,'CEMIUP0.9 Raw'!$H$6:$H$1712,"Y")</f>
        <v>1</v>
      </c>
      <c r="E980" s="19" t="n">
        <f aca="false">SUMIFS('SALES Raw'!$D$6:$D$4467,'SALES Raw'!$J$6:$J$4467,$J980,'SALES Raw'!$K$6:$K$4467,"Y")+SUMIFS('CEMIUP0.9 Raw'!$E$6:$E$1712,'CEMIUP0.9 Raw'!$B$6:$B$1712,$J980,'CEMIUP0.9 Raw'!$H$6:$H$1712,"Y")</f>
        <v>161.889</v>
      </c>
      <c r="F980" s="19" t="n">
        <f aca="false">SUMIFS('SALES Raw'!$E$6:$E$4467,'SALES Raw'!$J$6:$J$4467,$J980,'SALES Raw'!$K$6:$K$4467,"Y")*$H$4+SUMIFS('CEMIUP0.9 Raw'!$F$6:$F$1712,'CEMIUP0.9 Raw'!$B$6:$B$1712,$J980,'CEMIUP0.9 Raw'!$H$6:$H$1712,"Y")</f>
        <v>0</v>
      </c>
      <c r="G980" s="19" t="n">
        <f aca="false">SUMIFS('SALES Raw'!$F$6:$F$4467,'SALES Raw'!$J$6:$J$4467,$J980,'SALES Raw'!$K$6:$K$4467,"Y")*$H$4+SUMIFS('CEMIUP0.9 Raw'!$G$6:$G$1712,'CEMIUP0.9 Raw'!$B$6:$B$1712,$J980,'CEMIUP0.9 Raw'!$H$6:$H$1712,"Y")</f>
        <v>0</v>
      </c>
      <c r="H980" s="18" t="s">
        <v>43</v>
      </c>
      <c r="I980" s="18"/>
      <c r="J980" s="18" t="n">
        <v>4408178</v>
      </c>
    </row>
    <row r="981" customFormat="false" ht="15" hidden="false" customHeight="false" outlineLevel="0" collapsed="false">
      <c r="A981" s="18" t="n">
        <f aca="false">IF(ISNUMBER($J981),$J981,"")</f>
        <v>4408225</v>
      </c>
      <c r="B981" s="18" t="n">
        <f aca="false">IFERROR(INDEX('SALES Raw'!$B$6:$B$4467,MATCH($J981,'SALES Raw'!$J$6:$J$4467,0)),IFERROR(INDEX('CEMIUP0.9 Raw'!$B$6:$B$1712,MATCH($J981,'CEMIUP0.9 Raw'!$B$6:$B$1712,0)),$J981))</f>
        <v>4408225</v>
      </c>
      <c r="C981" s="18" t="str">
        <f aca="false">IF(ISNUMBER($J981),IFERROR(INDEX('TRANS'!$C:$C,MATCH($J981,'TRANS'!$B:$B,0)),IFERROR(INDEX('Catalog'!$B:$B,MATCH($J981,'Catalog'!$A:$A,0)),$B981)),$B981)</f>
        <v>M 11 אפורUG חגורת בטן</v>
      </c>
      <c r="D981" s="19" t="n">
        <f aca="false">SUMIFS('SALES Raw'!$C$6:$C$4467,'SALES Raw'!$J$6:$J$4467,$J981,'SALES Raw'!$K$6:$K$4467,"Y")+SUMIFS('CEMIUP0.9 Raw'!$D$6:$D$1712,'CEMIUP0.9 Raw'!$B$6:$B$1712,$J981,'CEMIUP0.9 Raw'!$H$6:$H$1712,"Y")</f>
        <v>3</v>
      </c>
      <c r="E981" s="19" t="n">
        <f aca="false">SUMIFS('SALES Raw'!$D$6:$D$4467,'SALES Raw'!$J$6:$J$4467,$J981,'SALES Raw'!$K$6:$K$4467,"Y")+SUMIFS('CEMIUP0.9 Raw'!$E$6:$E$1712,'CEMIUP0.9 Raw'!$B$6:$B$1712,$J981,'CEMIUP0.9 Raw'!$H$6:$H$1712,"Y")</f>
        <v>262.717</v>
      </c>
      <c r="F981" s="19" t="n">
        <f aca="false">SUMIFS('SALES Raw'!$E$6:$E$4467,'SALES Raw'!$J$6:$J$4467,$J981,'SALES Raw'!$K$6:$K$4467,"Y")*$H$4+SUMIFS('CEMIUP0.9 Raw'!$F$6:$F$1712,'CEMIUP0.9 Raw'!$B$6:$B$1712,$J981,'CEMIUP0.9 Raw'!$H$6:$H$1712,"Y")</f>
        <v>0</v>
      </c>
      <c r="G981" s="19" t="n">
        <f aca="false">SUMIFS('SALES Raw'!$F$6:$F$4467,'SALES Raw'!$J$6:$J$4467,$J981,'SALES Raw'!$K$6:$K$4467,"Y")*$H$4+SUMIFS('CEMIUP0.9 Raw'!$G$6:$G$1712,'CEMIUP0.9 Raw'!$B$6:$B$1712,$J981,'CEMIUP0.9 Raw'!$H$6:$H$1712,"Y")</f>
        <v>0</v>
      </c>
      <c r="H981" s="18" t="s">
        <v>43</v>
      </c>
      <c r="I981" s="18"/>
      <c r="J981" s="18" t="n">
        <v>4408225</v>
      </c>
    </row>
    <row r="982" customFormat="false" ht="15" hidden="false" customHeight="false" outlineLevel="0" collapsed="false">
      <c r="A982" s="18" t="n">
        <f aca="false">IF(ISNUMBER($J982),$J982,"")</f>
        <v>4408227</v>
      </c>
      <c r="B982" s="18" t="n">
        <f aca="false">IFERROR(INDEX('SALES Raw'!$B$6:$B$4467,MATCH($J982,'SALES Raw'!$J$6:$J$4467,0)),IFERROR(INDEX('CEMIUP0.9 Raw'!$B$6:$B$1712,MATCH($J982,'CEMIUP0.9 Raw'!$B$6:$B$1712,0)),$J982))</f>
        <v>4408227</v>
      </c>
      <c r="C982" s="18" t="str">
        <f aca="false">IF(ISNUMBER($J982),IFERROR(INDEX('TRANS'!$C:$C,MATCH($J982,'TRANS'!$B:$B,0)),IFERROR(INDEX('Catalog'!$B:$B,MATCH($J982,'Catalog'!$A:$A,0)),$B982)),$B982)</f>
        <v>XL 11 אפורUG חגורת בטן</v>
      </c>
      <c r="D982" s="19" t="n">
        <f aca="false">SUMIFS('SALES Raw'!$C$6:$C$4467,'SALES Raw'!$J$6:$J$4467,$J982,'SALES Raw'!$K$6:$K$4467,"Y")+SUMIFS('CEMIUP0.9 Raw'!$D$6:$D$1712,'CEMIUP0.9 Raw'!$B$6:$B$1712,$J982,'CEMIUP0.9 Raw'!$H$6:$H$1712,"Y")</f>
        <v>1</v>
      </c>
      <c r="E982" s="19" t="n">
        <f aca="false">SUMIFS('SALES Raw'!$D$6:$D$4467,'SALES Raw'!$J$6:$J$4467,$J982,'SALES Raw'!$K$6:$K$4467,"Y")+SUMIFS('CEMIUP0.9 Raw'!$E$6:$E$1712,'CEMIUP0.9 Raw'!$B$6:$B$1712,$J982,'CEMIUP0.9 Raw'!$H$6:$H$1712,"Y")</f>
        <v>93.821</v>
      </c>
      <c r="F982" s="19" t="n">
        <f aca="false">SUMIFS('SALES Raw'!$E$6:$E$4467,'SALES Raw'!$J$6:$J$4467,$J982,'SALES Raw'!$K$6:$K$4467,"Y")*$H$4+SUMIFS('CEMIUP0.9 Raw'!$F$6:$F$1712,'CEMIUP0.9 Raw'!$B$6:$B$1712,$J982,'CEMIUP0.9 Raw'!$H$6:$H$1712,"Y")</f>
        <v>0</v>
      </c>
      <c r="G982" s="19" t="n">
        <f aca="false">SUMIFS('SALES Raw'!$F$6:$F$4467,'SALES Raw'!$J$6:$J$4467,$J982,'SALES Raw'!$K$6:$K$4467,"Y")*$H$4+SUMIFS('CEMIUP0.9 Raw'!$G$6:$G$1712,'CEMIUP0.9 Raw'!$B$6:$B$1712,$J982,'CEMIUP0.9 Raw'!$H$6:$H$1712,"Y")</f>
        <v>0</v>
      </c>
      <c r="H982" s="18" t="s">
        <v>43</v>
      </c>
      <c r="I982" s="18"/>
      <c r="J982" s="18" t="n">
        <v>4408227</v>
      </c>
    </row>
    <row r="983" customFormat="false" ht="15" hidden="false" customHeight="false" outlineLevel="0" collapsed="false">
      <c r="A983" s="18" t="n">
        <f aca="false">IF(ISNUMBER($J983),$J983,"")</f>
        <v>4408234</v>
      </c>
      <c r="B983" s="18" t="n">
        <f aca="false">IFERROR(INDEX('SALES Raw'!$B$6:$B$4467,MATCH($J983,'SALES Raw'!$J$6:$J$4467,0)),IFERROR(INDEX('CEMIUP0.9 Raw'!$B$6:$B$1712,MATCH($J983,'CEMIUP0.9 Raw'!$B$6:$B$1712,0)),$J983))</f>
        <v>4408234</v>
      </c>
      <c r="C983" s="18" t="str">
        <f aca="false">IF(ISNUMBER($J983),IFERROR(INDEX('TRANS'!$C:$C,MATCH($J983,'TRANS'!$B:$B,0)),IFERROR(INDEX('Catalog'!$B:$B,MATCH($J983,'Catalog'!$A:$A,0)),$B983)),$B983)</f>
        <v>078C M'חגורת גב+סגירה כפו בז</v>
      </c>
      <c r="D983" s="19" t="n">
        <f aca="false">SUMIFS('SALES Raw'!$C$6:$C$4467,'SALES Raw'!$J$6:$J$4467,$J983,'SALES Raw'!$K$6:$K$4467,"Y")+SUMIFS('CEMIUP0.9 Raw'!$D$6:$D$1712,'CEMIUP0.9 Raw'!$B$6:$B$1712,$J983,'CEMIUP0.9 Raw'!$H$6:$H$1712,"Y")</f>
        <v>-1</v>
      </c>
      <c r="E983" s="19" t="n">
        <f aca="false">SUMIFS('SALES Raw'!$D$6:$D$4467,'SALES Raw'!$J$6:$J$4467,$J983,'SALES Raw'!$K$6:$K$4467,"Y")+SUMIFS('CEMIUP0.9 Raw'!$E$6:$E$1712,'CEMIUP0.9 Raw'!$B$6:$B$1712,$J983,'CEMIUP0.9 Raw'!$H$6:$H$1712,"Y")</f>
        <v>-121.303</v>
      </c>
      <c r="F983" s="19" t="n">
        <f aca="false">SUMIFS('SALES Raw'!$E$6:$E$4467,'SALES Raw'!$J$6:$J$4467,$J983,'SALES Raw'!$K$6:$K$4467,"Y")*$H$4+SUMIFS('CEMIUP0.9 Raw'!$F$6:$F$1712,'CEMIUP0.9 Raw'!$B$6:$B$1712,$J983,'CEMIUP0.9 Raw'!$H$6:$H$1712,"Y")</f>
        <v>0</v>
      </c>
      <c r="G983" s="19" t="n">
        <f aca="false">SUMIFS('SALES Raw'!$F$6:$F$4467,'SALES Raw'!$J$6:$J$4467,$J983,'SALES Raw'!$K$6:$K$4467,"Y")*$H$4+SUMIFS('CEMIUP0.9 Raw'!$G$6:$G$1712,'CEMIUP0.9 Raw'!$B$6:$B$1712,$J983,'CEMIUP0.9 Raw'!$H$6:$H$1712,"Y")</f>
        <v>-42.6454736842105</v>
      </c>
      <c r="H983" s="18" t="s">
        <v>43</v>
      </c>
      <c r="I983" s="18"/>
      <c r="J983" s="18" t="n">
        <v>4408234</v>
      </c>
    </row>
    <row r="984" customFormat="false" ht="15" hidden="false" customHeight="false" outlineLevel="0" collapsed="false">
      <c r="A984" s="18" t="n">
        <f aca="false">IF(ISNUMBER($J984),$J984,"")</f>
        <v>4413000</v>
      </c>
      <c r="B984" s="18" t="n">
        <f aca="false">IFERROR(INDEX('SALES Raw'!$B$6:$B$4467,MATCH($J984,'SALES Raw'!$J$6:$J$4467,0)),IFERROR(INDEX('CEMIUP0.9 Raw'!$B$6:$B$1712,MATCH($J984,'CEMIUP0.9 Raw'!$B$6:$B$1712,0)),$J984))</f>
        <v>4413000</v>
      </c>
      <c r="C984" s="18" t="str">
        <f aca="false">IF(ISNUMBER($J984),IFERROR(INDEX('TRANS'!$C:$C,MATCH($J984,'TRANS'!$B:$B,0)),IFERROR(INDEX('Catalog'!$B:$B,MATCH($J984,'Catalog'!$A:$A,0)),$B984)),$B984)</f>
        <v>30 S מגן קרסול מתכוון עם סקוטש</v>
      </c>
      <c r="D984" s="19" t="n">
        <f aca="false">SUMIFS('SALES Raw'!$C$6:$C$4467,'SALES Raw'!$J$6:$J$4467,$J984,'SALES Raw'!$K$6:$K$4467,"Y")+SUMIFS('CEMIUP0.9 Raw'!$D$6:$D$1712,'CEMIUP0.9 Raw'!$B$6:$B$1712,$J984,'CEMIUP0.9 Raw'!$H$6:$H$1712,"Y")</f>
        <v>6</v>
      </c>
      <c r="E984" s="19" t="n">
        <f aca="false">SUMIFS('SALES Raw'!$D$6:$D$4467,'SALES Raw'!$J$6:$J$4467,$J984,'SALES Raw'!$K$6:$K$4467,"Y")+SUMIFS('CEMIUP0.9 Raw'!$E$6:$E$1712,'CEMIUP0.9 Raw'!$B$6:$B$1712,$J984,'CEMIUP0.9 Raw'!$H$6:$H$1712,"Y")</f>
        <v>353.717</v>
      </c>
      <c r="F984" s="19" t="n">
        <f aca="false">SUMIFS('SALES Raw'!$E$6:$E$4467,'SALES Raw'!$J$6:$J$4467,$J984,'SALES Raw'!$K$6:$K$4467,"Y")*$H$4+SUMIFS('CEMIUP0.9 Raw'!$F$6:$F$1712,'CEMIUP0.9 Raw'!$B$6:$B$1712,$J984,'CEMIUP0.9 Raw'!$H$6:$H$1712,"Y")</f>
        <v>0</v>
      </c>
      <c r="G984" s="19" t="n">
        <f aca="false">SUMIFS('SALES Raw'!$F$6:$F$4467,'SALES Raw'!$J$6:$J$4467,$J984,'SALES Raw'!$K$6:$K$4467,"Y")*$H$4+SUMIFS('CEMIUP0.9 Raw'!$G$6:$G$1712,'CEMIUP0.9 Raw'!$B$6:$B$1712,$J984,'CEMIUP0.9 Raw'!$H$6:$H$1712,"Y")</f>
        <v>0</v>
      </c>
      <c r="H984" s="18" t="s">
        <v>43</v>
      </c>
      <c r="I984" s="18"/>
      <c r="J984" s="18" t="n">
        <v>4413000</v>
      </c>
    </row>
    <row r="985" customFormat="false" ht="15" hidden="false" customHeight="false" outlineLevel="0" collapsed="false">
      <c r="A985" s="18" t="n">
        <f aca="false">IF(ISNUMBER($J985),$J985,"")</f>
        <v>4413002</v>
      </c>
      <c r="B985" s="18" t="n">
        <f aca="false">IFERROR(INDEX('SALES Raw'!$B$6:$B$4467,MATCH($J985,'SALES Raw'!$J$6:$J$4467,0)),IFERROR(INDEX('CEMIUP0.9 Raw'!$B$6:$B$1712,MATCH($J985,'CEMIUP0.9 Raw'!$B$6:$B$1712,0)),$J985))</f>
        <v>4413002</v>
      </c>
      <c r="C985" s="18" t="str">
        <f aca="false">IF(ISNUMBER($J985),IFERROR(INDEX('TRANS'!$C:$C,MATCH($J985,'TRANS'!$B:$B,0)),IFERROR(INDEX('Catalog'!$B:$B,MATCH($J985,'Catalog'!$A:$A,0)),$B985)),$B985)</f>
        <v>30 L מגן קרסול מתכוון עם סקוטש</v>
      </c>
      <c r="D985" s="19" t="n">
        <f aca="false">SUMIFS('SALES Raw'!$C$6:$C$4467,'SALES Raw'!$J$6:$J$4467,$J985,'SALES Raw'!$K$6:$K$4467,"Y")+SUMIFS('CEMIUP0.9 Raw'!$D$6:$D$1712,'CEMIUP0.9 Raw'!$B$6:$B$1712,$J985,'CEMIUP0.9 Raw'!$H$6:$H$1712,"Y")</f>
        <v>14</v>
      </c>
      <c r="E985" s="19" t="n">
        <f aca="false">SUMIFS('SALES Raw'!$D$6:$D$4467,'SALES Raw'!$J$6:$J$4467,$J985,'SALES Raw'!$K$6:$K$4467,"Y")+SUMIFS('CEMIUP0.9 Raw'!$E$6:$E$1712,'CEMIUP0.9 Raw'!$B$6:$B$1712,$J985,'CEMIUP0.9 Raw'!$H$6:$H$1712,"Y")</f>
        <v>834.47</v>
      </c>
      <c r="F985" s="19" t="n">
        <f aca="false">SUMIFS('SALES Raw'!$E$6:$E$4467,'SALES Raw'!$J$6:$J$4467,$J985,'SALES Raw'!$K$6:$K$4467,"Y")*$H$4+SUMIFS('CEMIUP0.9 Raw'!$F$6:$F$1712,'CEMIUP0.9 Raw'!$B$6:$B$1712,$J985,'CEMIUP0.9 Raw'!$H$6:$H$1712,"Y")</f>
        <v>0</v>
      </c>
      <c r="G985" s="19" t="n">
        <f aca="false">SUMIFS('SALES Raw'!$F$6:$F$4467,'SALES Raw'!$J$6:$J$4467,$J985,'SALES Raw'!$K$6:$K$4467,"Y")*$H$4+SUMIFS('CEMIUP0.9 Raw'!$G$6:$G$1712,'CEMIUP0.9 Raw'!$B$6:$B$1712,$J985,'CEMIUP0.9 Raw'!$H$6:$H$1712,"Y")</f>
        <v>0</v>
      </c>
      <c r="H985" s="18" t="s">
        <v>43</v>
      </c>
      <c r="I985" s="18"/>
      <c r="J985" s="18" t="n">
        <v>4413002</v>
      </c>
    </row>
    <row r="986" customFormat="false" ht="15" hidden="false" customHeight="false" outlineLevel="0" collapsed="false">
      <c r="A986" s="18" t="n">
        <f aca="false">IF(ISNUMBER($J986),$J986,"")</f>
        <v>4413003</v>
      </c>
      <c r="B986" s="18" t="n">
        <f aca="false">IFERROR(INDEX('SALES Raw'!$B$6:$B$4467,MATCH($J986,'SALES Raw'!$J$6:$J$4467,0)),IFERROR(INDEX('CEMIUP0.9 Raw'!$B$6:$B$1712,MATCH($J986,'CEMIUP0.9 Raw'!$B$6:$B$1712,0)),$J986))</f>
        <v>4413003</v>
      </c>
      <c r="C986" s="18" t="str">
        <f aca="false">IF(ISNUMBER($J986),IFERROR(INDEX('TRANS'!$C:$C,MATCH($J986,'TRANS'!$B:$B,0)),IFERROR(INDEX('Catalog'!$B:$B,MATCH($J986,'Catalog'!$A:$A,0)),$B986)),$B986)</f>
        <v>30 M מגן קרסול מתכוון עם סקוטש</v>
      </c>
      <c r="D986" s="19" t="n">
        <f aca="false">SUMIFS('SALES Raw'!$C$6:$C$4467,'SALES Raw'!$J$6:$J$4467,$J986,'SALES Raw'!$K$6:$K$4467,"Y")+SUMIFS('CEMIUP0.9 Raw'!$D$6:$D$1712,'CEMIUP0.9 Raw'!$B$6:$B$1712,$J986,'CEMIUP0.9 Raw'!$H$6:$H$1712,"Y")</f>
        <v>6</v>
      </c>
      <c r="E986" s="19" t="n">
        <f aca="false">SUMIFS('SALES Raw'!$D$6:$D$4467,'SALES Raw'!$J$6:$J$4467,$J986,'SALES Raw'!$K$6:$K$4467,"Y")+SUMIFS('CEMIUP0.9 Raw'!$E$6:$E$1712,'CEMIUP0.9 Raw'!$B$6:$B$1712,$J986,'CEMIUP0.9 Raw'!$H$6:$H$1712,"Y")</f>
        <v>339.521</v>
      </c>
      <c r="F986" s="19" t="n">
        <f aca="false">SUMIFS('SALES Raw'!$E$6:$E$4467,'SALES Raw'!$J$6:$J$4467,$J986,'SALES Raw'!$K$6:$K$4467,"Y")*$H$4+SUMIFS('CEMIUP0.9 Raw'!$F$6:$F$1712,'CEMIUP0.9 Raw'!$B$6:$B$1712,$J986,'CEMIUP0.9 Raw'!$H$6:$H$1712,"Y")</f>
        <v>0</v>
      </c>
      <c r="G986" s="19" t="n">
        <f aca="false">SUMIFS('SALES Raw'!$F$6:$F$4467,'SALES Raw'!$J$6:$J$4467,$J986,'SALES Raw'!$K$6:$K$4467,"Y")*$H$4+SUMIFS('CEMIUP0.9 Raw'!$G$6:$G$1712,'CEMIUP0.9 Raw'!$B$6:$B$1712,$J986,'CEMIUP0.9 Raw'!$H$6:$H$1712,"Y")</f>
        <v>0</v>
      </c>
      <c r="H986" s="18" t="s">
        <v>43</v>
      </c>
      <c r="I986" s="18"/>
      <c r="J986" s="18" t="n">
        <v>4413003</v>
      </c>
    </row>
    <row r="987" customFormat="false" ht="15" hidden="false" customHeight="false" outlineLevel="0" collapsed="false">
      <c r="A987" s="18" t="n">
        <f aca="false">IF(ISNUMBER($J987),$J987,"")</f>
        <v>4413004</v>
      </c>
      <c r="B987" s="18" t="n">
        <f aca="false">IFERROR(INDEX('SALES Raw'!$B$6:$B$4467,MATCH($J987,'SALES Raw'!$J$6:$J$4467,0)),IFERROR(INDEX('CEMIUP0.9 Raw'!$B$6:$B$1712,MATCH($J987,'CEMIUP0.9 Raw'!$B$6:$B$1712,0)),$J987))</f>
        <v>4413004</v>
      </c>
      <c r="C987" s="18" t="str">
        <f aca="false">IF(ISNUMBER($J987),IFERROR(INDEX('TRANS'!$C:$C,MATCH($J987,'TRANS'!$B:$B,0)),IFERROR(INDEX('Catalog'!$B:$B,MATCH($J987,'Catalog'!$A:$A,0)),$B987)),$B987)</f>
        <v>30 XL מגן קרסול מתכוון סקוטש</v>
      </c>
      <c r="D987" s="19" t="n">
        <f aca="false">SUMIFS('SALES Raw'!$C$6:$C$4467,'SALES Raw'!$J$6:$J$4467,$J987,'SALES Raw'!$K$6:$K$4467,"Y")+SUMIFS('CEMIUP0.9 Raw'!$D$6:$D$1712,'CEMIUP0.9 Raw'!$B$6:$B$1712,$J987,'CEMIUP0.9 Raw'!$H$6:$H$1712,"Y")</f>
        <v>11</v>
      </c>
      <c r="E987" s="19" t="n">
        <f aca="false">SUMIFS('SALES Raw'!$D$6:$D$4467,'SALES Raw'!$J$6:$J$4467,$J987,'SALES Raw'!$K$6:$K$4467,"Y")+SUMIFS('CEMIUP0.9 Raw'!$E$6:$E$1712,'CEMIUP0.9 Raw'!$B$6:$B$1712,$J987,'CEMIUP0.9 Raw'!$H$6:$H$1712,"Y")</f>
        <v>647.465</v>
      </c>
      <c r="F987" s="19" t="n">
        <f aca="false">SUMIFS('SALES Raw'!$E$6:$E$4467,'SALES Raw'!$J$6:$J$4467,$J987,'SALES Raw'!$K$6:$K$4467,"Y")*$H$4+SUMIFS('CEMIUP0.9 Raw'!$F$6:$F$1712,'CEMIUP0.9 Raw'!$B$6:$B$1712,$J987,'CEMIUP0.9 Raw'!$H$6:$H$1712,"Y")</f>
        <v>0</v>
      </c>
      <c r="G987" s="19" t="n">
        <f aca="false">SUMIFS('SALES Raw'!$F$6:$F$4467,'SALES Raw'!$J$6:$J$4467,$J987,'SALES Raw'!$K$6:$K$4467,"Y")*$H$4+SUMIFS('CEMIUP0.9 Raw'!$G$6:$G$1712,'CEMIUP0.9 Raw'!$B$6:$B$1712,$J987,'CEMIUP0.9 Raw'!$H$6:$H$1712,"Y")</f>
        <v>0</v>
      </c>
      <c r="H987" s="18" t="s">
        <v>43</v>
      </c>
      <c r="I987" s="18"/>
      <c r="J987" s="18" t="n">
        <v>4413004</v>
      </c>
    </row>
    <row r="988" customFormat="false" ht="15" hidden="false" customHeight="false" outlineLevel="0" collapsed="false">
      <c r="A988" s="18" t="n">
        <f aca="false">IF(ISNUMBER($J988),$J988,"")</f>
        <v>4413005</v>
      </c>
      <c r="B988" s="18" t="n">
        <f aca="false">IFERROR(INDEX('SALES Raw'!$B$6:$B$4467,MATCH($J988,'SALES Raw'!$J$6:$J$4467,0)),IFERROR(INDEX('CEMIUP0.9 Raw'!$B$6:$B$1712,MATCH($J988,'CEMIUP0.9 Raw'!$B$6:$B$1712,0)),$J988))</f>
        <v>4413005</v>
      </c>
      <c r="C988" s="18" t="str">
        <f aca="false">IF(ISNUMBER($J988),IFERROR(INDEX('TRANS'!$C:$C,MATCH($J988,'TRANS'!$B:$B,0)),IFERROR(INDEX('Catalog'!$B:$B,MATCH($J988,'Catalog'!$A:$A,0)),$B988)),$B988)</f>
        <v>30 XXL מגן קרסול מתכוון+סקוטש</v>
      </c>
      <c r="D988" s="19" t="n">
        <f aca="false">SUMIFS('SALES Raw'!$C$6:$C$4467,'SALES Raw'!$J$6:$J$4467,$J988,'SALES Raw'!$K$6:$K$4467,"Y")+SUMIFS('CEMIUP0.9 Raw'!$D$6:$D$1712,'CEMIUP0.9 Raw'!$B$6:$B$1712,$J988,'CEMIUP0.9 Raw'!$H$6:$H$1712,"Y")</f>
        <v>2</v>
      </c>
      <c r="E988" s="19" t="n">
        <f aca="false">SUMIFS('SALES Raw'!$D$6:$D$4467,'SALES Raw'!$J$6:$J$4467,$J988,'SALES Raw'!$K$6:$K$4467,"Y")+SUMIFS('CEMIUP0.9 Raw'!$E$6:$E$1712,'CEMIUP0.9 Raw'!$B$6:$B$1712,$J988,'CEMIUP0.9 Raw'!$H$6:$H$1712,"Y")</f>
        <v>118.664</v>
      </c>
      <c r="F988" s="19" t="n">
        <f aca="false">SUMIFS('SALES Raw'!$E$6:$E$4467,'SALES Raw'!$J$6:$J$4467,$J988,'SALES Raw'!$K$6:$K$4467,"Y")*$H$4+SUMIFS('CEMIUP0.9 Raw'!$F$6:$F$1712,'CEMIUP0.9 Raw'!$B$6:$B$1712,$J988,'CEMIUP0.9 Raw'!$H$6:$H$1712,"Y")</f>
        <v>0</v>
      </c>
      <c r="G988" s="19" t="n">
        <f aca="false">SUMIFS('SALES Raw'!$F$6:$F$4467,'SALES Raw'!$J$6:$J$4467,$J988,'SALES Raw'!$K$6:$K$4467,"Y")*$H$4+SUMIFS('CEMIUP0.9 Raw'!$G$6:$G$1712,'CEMIUP0.9 Raw'!$B$6:$B$1712,$J988,'CEMIUP0.9 Raw'!$H$6:$H$1712,"Y")</f>
        <v>0</v>
      </c>
      <c r="H988" s="18" t="s">
        <v>43</v>
      </c>
      <c r="I988" s="18"/>
      <c r="J988" s="18" t="n">
        <v>4413005</v>
      </c>
    </row>
    <row r="989" customFormat="false" ht="15" hidden="false" customHeight="false" outlineLevel="0" collapsed="false">
      <c r="A989" s="18" t="n">
        <f aca="false">IF(ISNUMBER($J989),$J989,"")</f>
        <v>4413045</v>
      </c>
      <c r="B989" s="18" t="n">
        <f aca="false">IFERROR(INDEX('SALES Raw'!$B$6:$B$4467,MATCH($J989,'SALES Raw'!$J$6:$J$4467,0)),IFERROR(INDEX('CEMIUP0.9 Raw'!$B$6:$B$1712,MATCH($J989,'CEMIUP0.9 Raw'!$B$6:$B$1712,0)),$J989))</f>
        <v>4413045</v>
      </c>
      <c r="C989" s="18" t="str">
        <f aca="false">IF(ISNUMBER($J989),IFERROR(INDEX('TRANS'!$C:$C,MATCH($J989,'TRANS'!$B:$B,0)),IFERROR(INDEX('Catalog'!$B:$B,MATCH($J989,'Catalog'!$A:$A,0)),$B989)),$B989)</f>
        <v>34 XS מגן קרסול עקב סגור</v>
      </c>
      <c r="D989" s="19" t="n">
        <f aca="false">SUMIFS('SALES Raw'!$C$6:$C$4467,'SALES Raw'!$J$6:$J$4467,$J989,'SALES Raw'!$K$6:$K$4467,"Y")+SUMIFS('CEMIUP0.9 Raw'!$D$6:$D$1712,'CEMIUP0.9 Raw'!$B$6:$B$1712,$J989,'CEMIUP0.9 Raw'!$H$6:$H$1712,"Y")</f>
        <v>10</v>
      </c>
      <c r="E989" s="19" t="n">
        <f aca="false">SUMIFS('SALES Raw'!$D$6:$D$4467,'SALES Raw'!$J$6:$J$4467,$J989,'SALES Raw'!$K$6:$K$4467,"Y")+SUMIFS('CEMIUP0.9 Raw'!$E$6:$E$1712,'CEMIUP0.9 Raw'!$B$6:$B$1712,$J989,'CEMIUP0.9 Raw'!$H$6:$H$1712,"Y")</f>
        <v>399.672</v>
      </c>
      <c r="F989" s="19" t="n">
        <f aca="false">SUMIFS('SALES Raw'!$E$6:$E$4467,'SALES Raw'!$J$6:$J$4467,$J989,'SALES Raw'!$K$6:$K$4467,"Y")*$H$4+SUMIFS('CEMIUP0.9 Raw'!$F$6:$F$1712,'CEMIUP0.9 Raw'!$B$6:$B$1712,$J989,'CEMIUP0.9 Raw'!$H$6:$H$1712,"Y")</f>
        <v>0</v>
      </c>
      <c r="G989" s="19" t="n">
        <f aca="false">SUMIFS('SALES Raw'!$F$6:$F$4467,'SALES Raw'!$J$6:$J$4467,$J989,'SALES Raw'!$K$6:$K$4467,"Y")*$H$4+SUMIFS('CEMIUP0.9 Raw'!$G$6:$G$1712,'CEMIUP0.9 Raw'!$B$6:$B$1712,$J989,'CEMIUP0.9 Raw'!$H$6:$H$1712,"Y")</f>
        <v>0</v>
      </c>
      <c r="H989" s="18" t="s">
        <v>43</v>
      </c>
      <c r="I989" s="18"/>
      <c r="J989" s="18" t="n">
        <v>4413045</v>
      </c>
    </row>
    <row r="990" customFormat="false" ht="15" hidden="false" customHeight="false" outlineLevel="0" collapsed="false">
      <c r="A990" s="18" t="n">
        <f aca="false">IF(ISNUMBER($J990),$J990,"")</f>
        <v>4413069</v>
      </c>
      <c r="B990" s="18" t="n">
        <f aca="false">IFERROR(INDEX('SALES Raw'!$B$6:$B$4467,MATCH($J990,'SALES Raw'!$J$6:$J$4467,0)),IFERROR(INDEX('CEMIUP0.9 Raw'!$B$6:$B$1712,MATCH($J990,'CEMIUP0.9 Raw'!$B$6:$B$1712,0)),$J990))</f>
        <v>4413069</v>
      </c>
      <c r="C990" s="18" t="str">
        <f aca="false">IF(ISNUMBER($J990),IFERROR(INDEX('TRANS'!$C:$C,MATCH($J990,'TRANS'!$B:$B,0)),IFERROR(INDEX('Catalog'!$B:$B,MATCH($J990,'Catalog'!$A:$A,0)),$B990)),$B990)</f>
        <v>388L סד לילה לבוהן</v>
      </c>
      <c r="D990" s="19" t="n">
        <f aca="false">SUMIFS('SALES Raw'!$C$6:$C$4467,'SALES Raw'!$J$6:$J$4467,$J990,'SALES Raw'!$K$6:$K$4467,"Y")+SUMIFS('CEMIUP0.9 Raw'!$D$6:$D$1712,'CEMIUP0.9 Raw'!$B$6:$B$1712,$J990,'CEMIUP0.9 Raw'!$H$6:$H$1712,"Y")</f>
        <v>-2</v>
      </c>
      <c r="E990" s="19" t="n">
        <f aca="false">SUMIFS('SALES Raw'!$D$6:$D$4467,'SALES Raw'!$J$6:$J$4467,$J990,'SALES Raw'!$K$6:$K$4467,"Y")+SUMIFS('CEMIUP0.9 Raw'!$E$6:$E$1712,'CEMIUP0.9 Raw'!$B$6:$B$1712,$J990,'CEMIUP0.9 Raw'!$H$6:$H$1712,"Y")</f>
        <v>-138.411</v>
      </c>
      <c r="F990" s="19" t="n">
        <f aca="false">SUMIFS('SALES Raw'!$E$6:$E$4467,'SALES Raw'!$J$6:$J$4467,$J990,'SALES Raw'!$K$6:$K$4467,"Y")*$H$4+SUMIFS('CEMIUP0.9 Raw'!$F$6:$F$1712,'CEMIUP0.9 Raw'!$B$6:$B$1712,$J990,'CEMIUP0.9 Raw'!$H$6:$H$1712,"Y")</f>
        <v>0</v>
      </c>
      <c r="G990" s="19" t="n">
        <f aca="false">SUMIFS('SALES Raw'!$F$6:$F$4467,'SALES Raw'!$J$6:$J$4467,$J990,'SALES Raw'!$K$6:$K$4467,"Y")*$H$4+SUMIFS('CEMIUP0.9 Raw'!$G$6:$G$1712,'CEMIUP0.9 Raw'!$B$6:$B$1712,$J990,'CEMIUP0.9 Raw'!$H$6:$H$1712,"Y")</f>
        <v>0</v>
      </c>
      <c r="H990" s="18" t="s">
        <v>43</v>
      </c>
      <c r="I990" s="18"/>
      <c r="J990" s="18" t="n">
        <v>4413069</v>
      </c>
    </row>
    <row r="991" customFormat="false" ht="15" hidden="false" customHeight="false" outlineLevel="0" collapsed="false">
      <c r="A991" s="18" t="n">
        <f aca="false">IF(ISNUMBER($J991),$J991,"")</f>
        <v>4413070</v>
      </c>
      <c r="B991" s="18" t="n">
        <f aca="false">IFERROR(INDEX('SALES Raw'!$B$6:$B$4467,MATCH($J991,'SALES Raw'!$J$6:$J$4467,0)),IFERROR(INDEX('CEMIUP0.9 Raw'!$B$6:$B$1712,MATCH($J991,'CEMIUP0.9 Raw'!$B$6:$B$1712,0)),$J991))</f>
        <v>4413070</v>
      </c>
      <c r="C991" s="18" t="str">
        <f aca="false">IF(ISNUMBER($J991),IFERROR(INDEX('TRANS'!$C:$C,MATCH($J991,'TRANS'!$B:$B,0)),IFERROR(INDEX('Catalog'!$B:$B,MATCH($J991,'Catalog'!$A:$A,0)),$B991)),$B991)</f>
        <v>388R סד לילה לבוהן</v>
      </c>
      <c r="D991" s="19" t="n">
        <f aca="false">SUMIFS('SALES Raw'!$C$6:$C$4467,'SALES Raw'!$J$6:$J$4467,$J991,'SALES Raw'!$K$6:$K$4467,"Y")+SUMIFS('CEMIUP0.9 Raw'!$D$6:$D$1712,'CEMIUP0.9 Raw'!$B$6:$B$1712,$J991,'CEMIUP0.9 Raw'!$H$6:$H$1712,"Y")</f>
        <v>-1</v>
      </c>
      <c r="E991" s="19" t="n">
        <f aca="false">SUMIFS('SALES Raw'!$D$6:$D$4467,'SALES Raw'!$J$6:$J$4467,$J991,'SALES Raw'!$K$6:$K$4467,"Y")+SUMIFS('CEMIUP0.9 Raw'!$E$6:$E$1712,'CEMIUP0.9 Raw'!$B$6:$B$1712,$J991,'CEMIUP0.9 Raw'!$H$6:$H$1712,"Y")</f>
        <v>-67.34</v>
      </c>
      <c r="F991" s="19" t="n">
        <f aca="false">SUMIFS('SALES Raw'!$E$6:$E$4467,'SALES Raw'!$J$6:$J$4467,$J991,'SALES Raw'!$K$6:$K$4467,"Y")*$H$4+SUMIFS('CEMIUP0.9 Raw'!$F$6:$F$1712,'CEMIUP0.9 Raw'!$B$6:$B$1712,$J991,'CEMIUP0.9 Raw'!$H$6:$H$1712,"Y")</f>
        <v>0</v>
      </c>
      <c r="G991" s="19" t="n">
        <f aca="false">SUMIFS('SALES Raw'!$F$6:$F$4467,'SALES Raw'!$J$6:$J$4467,$J991,'SALES Raw'!$K$6:$K$4467,"Y")*$H$4+SUMIFS('CEMIUP0.9 Raw'!$G$6:$G$1712,'CEMIUP0.9 Raw'!$B$6:$B$1712,$J991,'CEMIUP0.9 Raw'!$H$6:$H$1712,"Y")</f>
        <v>0</v>
      </c>
      <c r="H991" s="18" t="s">
        <v>43</v>
      </c>
      <c r="I991" s="18"/>
      <c r="J991" s="18" t="n">
        <v>4413070</v>
      </c>
    </row>
    <row r="992" customFormat="false" ht="15" hidden="false" customHeight="false" outlineLevel="0" collapsed="false">
      <c r="A992" s="18" t="n">
        <f aca="false">IF(ISNUMBER($J992),$J992,"")</f>
        <v>4413087</v>
      </c>
      <c r="B992" s="18" t="n">
        <f aca="false">IFERROR(INDEX('SALES Raw'!$B$6:$B$4467,MATCH($J992,'SALES Raw'!$J$6:$J$4467,0)),IFERROR(INDEX('CEMIUP0.9 Raw'!$B$6:$B$1712,MATCH($J992,'CEMIUP0.9 Raw'!$B$6:$B$1712,0)),$J992))</f>
        <v>4413087</v>
      </c>
      <c r="C992" s="18" t="str">
        <f aca="false">IF(ISNUMBER($J992),IFERROR(INDEX('TRANS'!$C:$C,MATCH($J992,'TRANS'!$B:$B,0)),IFERROR(INDEX('Catalog'!$B:$B,MATCH($J992,'Catalog'!$A:$A,0)),$B992)),$B992)</f>
        <v>422 Lמ.ברך+כרית סיל.סביב לפיקה</v>
      </c>
      <c r="D992" s="19" t="n">
        <f aca="false">SUMIFS('SALES Raw'!$C$6:$C$4467,'SALES Raw'!$J$6:$J$4467,$J992,'SALES Raw'!$K$6:$K$4467,"Y")+SUMIFS('CEMIUP0.9 Raw'!$D$6:$D$1712,'CEMIUP0.9 Raw'!$B$6:$B$1712,$J992,'CEMIUP0.9 Raw'!$H$6:$H$1712,"Y")</f>
        <v>5</v>
      </c>
      <c r="E992" s="19" t="n">
        <f aca="false">SUMIFS('SALES Raw'!$D$6:$D$4467,'SALES Raw'!$J$6:$J$4467,$J992,'SALES Raw'!$K$6:$K$4467,"Y")+SUMIFS('CEMIUP0.9 Raw'!$E$6:$E$1712,'CEMIUP0.9 Raw'!$B$6:$B$1712,$J992,'CEMIUP0.9 Raw'!$H$6:$H$1712,"Y")</f>
        <v>818.545</v>
      </c>
      <c r="F992" s="19" t="n">
        <f aca="false">SUMIFS('SALES Raw'!$E$6:$E$4467,'SALES Raw'!$J$6:$J$4467,$J992,'SALES Raw'!$K$6:$K$4467,"Y")*$H$4+SUMIFS('CEMIUP0.9 Raw'!$F$6:$F$1712,'CEMIUP0.9 Raw'!$B$6:$B$1712,$J992,'CEMIUP0.9 Raw'!$H$6:$H$1712,"Y")</f>
        <v>0</v>
      </c>
      <c r="G992" s="19" t="n">
        <f aca="false">SUMIFS('SALES Raw'!$F$6:$F$4467,'SALES Raw'!$J$6:$J$4467,$J992,'SALES Raw'!$K$6:$K$4467,"Y")*$H$4+SUMIFS('CEMIUP0.9 Raw'!$G$6:$G$1712,'CEMIUP0.9 Raw'!$B$6:$B$1712,$J992,'CEMIUP0.9 Raw'!$H$6:$H$1712,"Y")</f>
        <v>0</v>
      </c>
      <c r="H992" s="18" t="s">
        <v>43</v>
      </c>
      <c r="I992" s="18"/>
      <c r="J992" s="18" t="n">
        <v>4413087</v>
      </c>
    </row>
    <row r="993" customFormat="false" ht="15" hidden="false" customHeight="false" outlineLevel="0" collapsed="false">
      <c r="A993" s="18" t="n">
        <f aca="false">IF(ISNUMBER($J993),$J993,"")</f>
        <v>4413088</v>
      </c>
      <c r="B993" s="18" t="n">
        <f aca="false">IFERROR(INDEX('SALES Raw'!$B$6:$B$4467,MATCH($J993,'SALES Raw'!$J$6:$J$4467,0)),IFERROR(INDEX('CEMIUP0.9 Raw'!$B$6:$B$1712,MATCH($J993,'CEMIUP0.9 Raw'!$B$6:$B$1712,0)),$J993))</f>
        <v>4413088</v>
      </c>
      <c r="C993" s="18" t="str">
        <f aca="false">IF(ISNUMBER($J993),IFERROR(INDEX('TRANS'!$C:$C,MATCH($J993,'TRANS'!$B:$B,0)),IFERROR(INDEX('Catalog'!$B:$B,MATCH($J993,'Catalog'!$A:$A,0)),$B993)),$B993)</f>
        <v>422 Mמ.ברך+כרית סיל.סביב לפיקה</v>
      </c>
      <c r="D993" s="19" t="n">
        <f aca="false">SUMIFS('SALES Raw'!$C$6:$C$4467,'SALES Raw'!$J$6:$J$4467,$J993,'SALES Raw'!$K$6:$K$4467,"Y")+SUMIFS('CEMIUP0.9 Raw'!$D$6:$D$1712,'CEMIUP0.9 Raw'!$B$6:$B$1712,$J993,'CEMIUP0.9 Raw'!$H$6:$H$1712,"Y")</f>
        <v>2</v>
      </c>
      <c r="E993" s="19" t="n">
        <f aca="false">SUMIFS('SALES Raw'!$D$6:$D$4467,'SALES Raw'!$J$6:$J$4467,$J993,'SALES Raw'!$K$6:$K$4467,"Y")+SUMIFS('CEMIUP0.9 Raw'!$E$6:$E$1712,'CEMIUP0.9 Raw'!$B$6:$B$1712,$J993,'CEMIUP0.9 Raw'!$H$6:$H$1712,"Y")</f>
        <v>318.227</v>
      </c>
      <c r="F993" s="19" t="n">
        <f aca="false">SUMIFS('SALES Raw'!$E$6:$E$4467,'SALES Raw'!$J$6:$J$4467,$J993,'SALES Raw'!$K$6:$K$4467,"Y")*$H$4+SUMIFS('CEMIUP0.9 Raw'!$F$6:$F$1712,'CEMIUP0.9 Raw'!$B$6:$B$1712,$J993,'CEMIUP0.9 Raw'!$H$6:$H$1712,"Y")</f>
        <v>0</v>
      </c>
      <c r="G993" s="19" t="n">
        <f aca="false">SUMIFS('SALES Raw'!$F$6:$F$4467,'SALES Raw'!$J$6:$J$4467,$J993,'SALES Raw'!$K$6:$K$4467,"Y")*$H$4+SUMIFS('CEMIUP0.9 Raw'!$G$6:$G$1712,'CEMIUP0.9 Raw'!$B$6:$B$1712,$J993,'CEMIUP0.9 Raw'!$H$6:$H$1712,"Y")</f>
        <v>0</v>
      </c>
      <c r="H993" s="18" t="s">
        <v>43</v>
      </c>
      <c r="I993" s="18"/>
      <c r="J993" s="18" t="n">
        <v>4413088</v>
      </c>
    </row>
    <row r="994" customFormat="false" ht="15" hidden="false" customHeight="false" outlineLevel="0" collapsed="false">
      <c r="A994" s="18" t="n">
        <f aca="false">IF(ISNUMBER($J994),$J994,"")</f>
        <v>4413090</v>
      </c>
      <c r="B994" s="18" t="n">
        <f aca="false">IFERROR(INDEX('SALES Raw'!$B$6:$B$4467,MATCH($J994,'SALES Raw'!$J$6:$J$4467,0)),IFERROR(INDEX('CEMIUP0.9 Raw'!$B$6:$B$1712,MATCH($J994,'CEMIUP0.9 Raw'!$B$6:$B$1712,0)),$J994))</f>
        <v>4413090</v>
      </c>
      <c r="C994" s="18" t="str">
        <f aca="false">IF(ISNUMBER($J994),IFERROR(INDEX('TRANS'!$C:$C,MATCH($J994,'TRANS'!$B:$B,0)),IFERROR(INDEX('Catalog'!$B:$B,MATCH($J994,'Catalog'!$A:$A,0)),$B994)),$B994)</f>
        <v>422 XLמ.ברך+כרית סיל.סביב לפיק</v>
      </c>
      <c r="D994" s="19" t="n">
        <f aca="false">SUMIFS('SALES Raw'!$C$6:$C$4467,'SALES Raw'!$J$6:$J$4467,$J994,'SALES Raw'!$K$6:$K$4467,"Y")+SUMIFS('CEMIUP0.9 Raw'!$D$6:$D$1712,'CEMIUP0.9 Raw'!$B$6:$B$1712,$J994,'CEMIUP0.9 Raw'!$H$6:$H$1712,"Y")</f>
        <v>8</v>
      </c>
      <c r="E994" s="19" t="n">
        <f aca="false">SUMIFS('SALES Raw'!$D$6:$D$4467,'SALES Raw'!$J$6:$J$4467,$J994,'SALES Raw'!$K$6:$K$4467,"Y")+SUMIFS('CEMIUP0.9 Raw'!$E$6:$E$1712,'CEMIUP0.9 Raw'!$B$6:$B$1712,$J994,'CEMIUP0.9 Raw'!$H$6:$H$1712,"Y")</f>
        <v>1318.772</v>
      </c>
      <c r="F994" s="19" t="n">
        <f aca="false">SUMIFS('SALES Raw'!$E$6:$E$4467,'SALES Raw'!$J$6:$J$4467,$J994,'SALES Raw'!$K$6:$K$4467,"Y")*$H$4+SUMIFS('CEMIUP0.9 Raw'!$F$6:$F$1712,'CEMIUP0.9 Raw'!$B$6:$B$1712,$J994,'CEMIUP0.9 Raw'!$H$6:$H$1712,"Y")</f>
        <v>0</v>
      </c>
      <c r="G994" s="19" t="n">
        <f aca="false">SUMIFS('SALES Raw'!$F$6:$F$4467,'SALES Raw'!$J$6:$J$4467,$J994,'SALES Raw'!$K$6:$K$4467,"Y")*$H$4+SUMIFS('CEMIUP0.9 Raw'!$G$6:$G$1712,'CEMIUP0.9 Raw'!$B$6:$B$1712,$J994,'CEMIUP0.9 Raw'!$H$6:$H$1712,"Y")</f>
        <v>0</v>
      </c>
      <c r="H994" s="18" t="s">
        <v>43</v>
      </c>
      <c r="I994" s="18"/>
      <c r="J994" s="18" t="n">
        <v>4413090</v>
      </c>
    </row>
    <row r="995" customFormat="false" ht="15" hidden="false" customHeight="false" outlineLevel="0" collapsed="false">
      <c r="A995" s="18" t="n">
        <f aca="false">IF(ISNUMBER($J995),$J995,"")</f>
        <v>4413091</v>
      </c>
      <c r="B995" s="18" t="n">
        <f aca="false">IFERROR(INDEX('SALES Raw'!$B$6:$B$4467,MATCH($J995,'SALES Raw'!$J$6:$J$4467,0)),IFERROR(INDEX('CEMIUP0.9 Raw'!$B$6:$B$1712,MATCH($J995,'CEMIUP0.9 Raw'!$B$6:$B$1712,0)),$J995))</f>
        <v>4413091</v>
      </c>
      <c r="C995" s="18" t="str">
        <f aca="false">IF(ISNUMBER($J995),IFERROR(INDEX('TRANS'!$C:$C,MATCH($J995,'TRANS'!$B:$B,0)),IFERROR(INDEX('Catalog'!$B:$B,MATCH($J995,'Catalog'!$A:$A,0)),$B995)),$B995)</f>
        <v>422 XXLמ.ברך+כרית סיל.סב. פיקה</v>
      </c>
      <c r="D995" s="19" t="n">
        <f aca="false">SUMIFS('SALES Raw'!$C$6:$C$4467,'SALES Raw'!$J$6:$J$4467,$J995,'SALES Raw'!$K$6:$K$4467,"Y")+SUMIFS('CEMIUP0.9 Raw'!$D$6:$D$1712,'CEMIUP0.9 Raw'!$B$6:$B$1712,$J995,'CEMIUP0.9 Raw'!$H$6:$H$1712,"Y")</f>
        <v>2</v>
      </c>
      <c r="E995" s="19" t="n">
        <f aca="false">SUMIFS('SALES Raw'!$D$6:$D$4467,'SALES Raw'!$J$6:$J$4467,$J995,'SALES Raw'!$K$6:$K$4467,"Y")+SUMIFS('CEMIUP0.9 Raw'!$E$6:$E$1712,'CEMIUP0.9 Raw'!$B$6:$B$1712,$J995,'CEMIUP0.9 Raw'!$H$6:$H$1712,"Y")</f>
        <v>341.159</v>
      </c>
      <c r="F995" s="19" t="n">
        <f aca="false">SUMIFS('SALES Raw'!$E$6:$E$4467,'SALES Raw'!$J$6:$J$4467,$J995,'SALES Raw'!$K$6:$K$4467,"Y")*$H$4+SUMIFS('CEMIUP0.9 Raw'!$F$6:$F$1712,'CEMIUP0.9 Raw'!$B$6:$B$1712,$J995,'CEMIUP0.9 Raw'!$H$6:$H$1712,"Y")</f>
        <v>0</v>
      </c>
      <c r="G995" s="19" t="n">
        <f aca="false">SUMIFS('SALES Raw'!$F$6:$F$4467,'SALES Raw'!$J$6:$J$4467,$J995,'SALES Raw'!$K$6:$K$4467,"Y")*$H$4+SUMIFS('CEMIUP0.9 Raw'!$G$6:$G$1712,'CEMIUP0.9 Raw'!$B$6:$B$1712,$J995,'CEMIUP0.9 Raw'!$H$6:$H$1712,"Y")</f>
        <v>0</v>
      </c>
      <c r="H995" s="18" t="s">
        <v>43</v>
      </c>
      <c r="I995" s="18"/>
      <c r="J995" s="18" t="n">
        <v>4413091</v>
      </c>
    </row>
    <row r="996" customFormat="false" ht="15" hidden="false" customHeight="false" outlineLevel="0" collapsed="false">
      <c r="A996" s="18" t="n">
        <f aca="false">IF(ISNUMBER($J996),$J996,"")</f>
        <v>4413110</v>
      </c>
      <c r="B996" s="18" t="n">
        <f aca="false">IFERROR(INDEX('SALES Raw'!$B$6:$B$4467,MATCH($J996,'SALES Raw'!$J$6:$J$4467,0)),IFERROR(INDEX('CEMIUP0.9 Raw'!$B$6:$B$1712,MATCH($J996,'CEMIUP0.9 Raw'!$B$6:$B$1712,0)),$J996))</f>
        <v>4413110</v>
      </c>
      <c r="C996" s="18" t="str">
        <f aca="false">IF(ISNUMBER($J996),IFERROR(INDEX('TRANS'!$C:$C,MATCH($J996,'TRANS'!$B:$B,0)),IFERROR(INDEX('Catalog'!$B:$B,MATCH($J996,'Catalog'!$A:$A,0)),$B996)),$B996)</f>
        <v>48 XXL מגן ברך מחמם</v>
      </c>
      <c r="D996" s="19" t="n">
        <f aca="false">SUMIFS('SALES Raw'!$C$6:$C$4467,'SALES Raw'!$J$6:$J$4467,$J996,'SALES Raw'!$K$6:$K$4467,"Y")+SUMIFS('CEMIUP0.9 Raw'!$D$6:$D$1712,'CEMIUP0.9 Raw'!$B$6:$B$1712,$J996,'CEMIUP0.9 Raw'!$H$6:$H$1712,"Y")</f>
        <v>2</v>
      </c>
      <c r="E996" s="19" t="n">
        <f aca="false">SUMIFS('SALES Raw'!$D$6:$D$4467,'SALES Raw'!$J$6:$J$4467,$J996,'SALES Raw'!$K$6:$K$4467,"Y")+SUMIFS('CEMIUP0.9 Raw'!$E$6:$E$1712,'CEMIUP0.9 Raw'!$B$6:$B$1712,$J996,'CEMIUP0.9 Raw'!$H$6:$H$1712,"Y")</f>
        <v>96.278</v>
      </c>
      <c r="F996" s="19" t="n">
        <f aca="false">SUMIFS('SALES Raw'!$E$6:$E$4467,'SALES Raw'!$J$6:$J$4467,$J996,'SALES Raw'!$K$6:$K$4467,"Y")*$H$4+SUMIFS('CEMIUP0.9 Raw'!$F$6:$F$1712,'CEMIUP0.9 Raw'!$B$6:$B$1712,$J996,'CEMIUP0.9 Raw'!$H$6:$H$1712,"Y")</f>
        <v>0</v>
      </c>
      <c r="G996" s="19" t="n">
        <f aca="false">SUMIFS('SALES Raw'!$F$6:$F$4467,'SALES Raw'!$J$6:$J$4467,$J996,'SALES Raw'!$K$6:$K$4467,"Y")*$H$4+SUMIFS('CEMIUP0.9 Raw'!$G$6:$G$1712,'CEMIUP0.9 Raw'!$B$6:$B$1712,$J996,'CEMIUP0.9 Raw'!$H$6:$H$1712,"Y")</f>
        <v>0</v>
      </c>
      <c r="H996" s="18" t="s">
        <v>43</v>
      </c>
      <c r="I996" s="18"/>
      <c r="J996" s="18" t="n">
        <v>4413110</v>
      </c>
    </row>
    <row r="997" customFormat="false" ht="15" hidden="false" customHeight="false" outlineLevel="0" collapsed="false">
      <c r="A997" s="18" t="n">
        <f aca="false">IF(ISNUMBER($J997),$J997,"")</f>
        <v>4413120</v>
      </c>
      <c r="B997" s="18" t="n">
        <f aca="false">IFERROR(INDEX('SALES Raw'!$B$6:$B$4467,MATCH($J997,'SALES Raw'!$J$6:$J$4467,0)),IFERROR(INDEX('CEMIUP0.9 Raw'!$B$6:$B$1712,MATCH($J997,'CEMIUP0.9 Raw'!$B$6:$B$1712,0)),$J997))</f>
        <v>4413120</v>
      </c>
      <c r="C997" s="18" t="str">
        <f aca="false">IF(ISNUMBER($J997),IFERROR(INDEX('TRANS'!$C:$C,MATCH($J997,'TRANS'!$B:$B,0)),IFERROR(INDEX('Catalog'!$B:$B,MATCH($J997,'Catalog'!$A:$A,0)),$B997)),$B997)</f>
        <v>50 XXL מתלה אשכים לאחר ניתוח</v>
      </c>
      <c r="D997" s="19" t="n">
        <f aca="false">SUMIFS('SALES Raw'!$C$6:$C$4467,'SALES Raw'!$J$6:$J$4467,$J997,'SALES Raw'!$K$6:$K$4467,"Y")+SUMIFS('CEMIUP0.9 Raw'!$D$6:$D$1712,'CEMIUP0.9 Raw'!$B$6:$B$1712,$J997,'CEMIUP0.9 Raw'!$H$6:$H$1712,"Y")</f>
        <v>5</v>
      </c>
      <c r="E997" s="19" t="n">
        <f aca="false">SUMIFS('SALES Raw'!$D$6:$D$4467,'SALES Raw'!$J$6:$J$4467,$J997,'SALES Raw'!$K$6:$K$4467,"Y")+SUMIFS('CEMIUP0.9 Raw'!$E$6:$E$1712,'CEMIUP0.9 Raw'!$B$6:$B$1712,$J997,'CEMIUP0.9 Raw'!$H$6:$H$1712,"Y")</f>
        <v>444.626</v>
      </c>
      <c r="F997" s="19" t="n">
        <f aca="false">SUMIFS('SALES Raw'!$E$6:$E$4467,'SALES Raw'!$J$6:$J$4467,$J997,'SALES Raw'!$K$6:$K$4467,"Y")*$H$4+SUMIFS('CEMIUP0.9 Raw'!$F$6:$F$1712,'CEMIUP0.9 Raw'!$B$6:$B$1712,$J997,'CEMIUP0.9 Raw'!$H$6:$H$1712,"Y")</f>
        <v>0</v>
      </c>
      <c r="G997" s="19" t="n">
        <f aca="false">SUMIFS('SALES Raw'!$F$6:$F$4467,'SALES Raw'!$J$6:$J$4467,$J997,'SALES Raw'!$K$6:$K$4467,"Y")*$H$4+SUMIFS('CEMIUP0.9 Raw'!$G$6:$G$1712,'CEMIUP0.9 Raw'!$B$6:$B$1712,$J997,'CEMIUP0.9 Raw'!$H$6:$H$1712,"Y")</f>
        <v>0</v>
      </c>
      <c r="H997" s="18" t="s">
        <v>43</v>
      </c>
      <c r="I997" s="18"/>
      <c r="J997" s="18" t="n">
        <v>4413120</v>
      </c>
    </row>
    <row r="998" customFormat="false" ht="15" hidden="false" customHeight="false" outlineLevel="0" collapsed="false">
      <c r="A998" s="18" t="n">
        <f aca="false">IF(ISNUMBER($J998),$J998,"")</f>
        <v>4413166</v>
      </c>
      <c r="B998" s="18" t="n">
        <f aca="false">IFERROR(INDEX('SALES Raw'!$B$6:$B$4467,MATCH($J998,'SALES Raw'!$J$6:$J$4467,0)),IFERROR(INDEX('CEMIUP0.9 Raw'!$B$6:$B$1712,MATCH($J998,'CEMIUP0.9 Raw'!$B$6:$B$1712,0)),$J998))</f>
        <v>4413166</v>
      </c>
      <c r="C998" s="18" t="str">
        <f aca="false">IF(ISNUMBER($J998),IFERROR(INDEX('TRANS'!$C:$C,MATCH($J998,'TRANS'!$B:$B,0)),IFERROR(INDEX('Catalog'!$B:$B,MATCH($J998,'Catalog'!$A:$A,0)),$B998)),$B998)</f>
        <v>80 S תתמתלה ליד רצועה</v>
      </c>
      <c r="D998" s="19" t="n">
        <f aca="false">SUMIFS('SALES Raw'!$C$6:$C$4467,'SALES Raw'!$J$6:$J$4467,$J998,'SALES Raw'!$K$6:$K$4467,"Y")+SUMIFS('CEMIUP0.9 Raw'!$D$6:$D$1712,'CEMIUP0.9 Raw'!$B$6:$B$1712,$J998,'CEMIUP0.9 Raw'!$H$6:$H$1712,"Y")</f>
        <v>-1</v>
      </c>
      <c r="E998" s="19" t="n">
        <f aca="false">SUMIFS('SALES Raw'!$D$6:$D$4467,'SALES Raw'!$J$6:$J$4467,$J998,'SALES Raw'!$K$6:$K$4467,"Y")+SUMIFS('CEMIUP0.9 Raw'!$E$6:$E$1712,'CEMIUP0.9 Raw'!$B$6:$B$1712,$J998,'CEMIUP0.9 Raw'!$H$6:$H$1712,"Y")</f>
        <v>-34.398</v>
      </c>
      <c r="F998" s="19" t="n">
        <f aca="false">SUMIFS('SALES Raw'!$E$6:$E$4467,'SALES Raw'!$J$6:$J$4467,$J998,'SALES Raw'!$K$6:$K$4467,"Y")*$H$4+SUMIFS('CEMIUP0.9 Raw'!$F$6:$F$1712,'CEMIUP0.9 Raw'!$B$6:$B$1712,$J998,'CEMIUP0.9 Raw'!$H$6:$H$1712,"Y")</f>
        <v>0</v>
      </c>
      <c r="G998" s="19" t="n">
        <f aca="false">SUMIFS('SALES Raw'!$F$6:$F$4467,'SALES Raw'!$J$6:$J$4467,$J998,'SALES Raw'!$K$6:$K$4467,"Y")*$H$4+SUMIFS('CEMIUP0.9 Raw'!$G$6:$G$1712,'CEMIUP0.9 Raw'!$B$6:$B$1712,$J998,'CEMIUP0.9 Raw'!$H$6:$H$1712,"Y")</f>
        <v>0</v>
      </c>
      <c r="H998" s="18" t="s">
        <v>43</v>
      </c>
      <c r="I998" s="18"/>
      <c r="J998" s="18" t="n">
        <v>4413166</v>
      </c>
    </row>
    <row r="999" customFormat="false" ht="15" hidden="false" customHeight="false" outlineLevel="0" collapsed="false">
      <c r="A999" s="18" t="n">
        <f aca="false">IF(ISNUMBER($J999),$J999,"")</f>
        <v>4413169</v>
      </c>
      <c r="B999" s="18" t="n">
        <f aca="false">IFERROR(INDEX('SALES Raw'!$B$6:$B$4467,MATCH($J999,'SALES Raw'!$J$6:$J$4467,0)),IFERROR(INDEX('CEMIUP0.9 Raw'!$B$6:$B$1712,MATCH($J999,'CEMIUP0.9 Raw'!$B$6:$B$1712,0)),$J999))</f>
        <v>4413169</v>
      </c>
      <c r="C999" s="18" t="str">
        <f aca="false">IF(ISNUMBER($J999),IFERROR(INDEX('TRANS'!$C:$C,MATCH($J999,'TRANS'!$B:$B,0)),IFERROR(INDEX('Catalog'!$B:$B,MATCH($J999,'Catalog'!$A:$A,0)),$B999)),$B999)</f>
        <v>T402 S מיצב פיקה</v>
      </c>
      <c r="D999" s="19" t="n">
        <f aca="false">SUMIFS('SALES Raw'!$C$6:$C$4467,'SALES Raw'!$J$6:$J$4467,$J999,'SALES Raw'!$K$6:$K$4467,"Y")+SUMIFS('CEMIUP0.9 Raw'!$D$6:$D$1712,'CEMIUP0.9 Raw'!$B$6:$B$1712,$J999,'CEMIUP0.9 Raw'!$H$6:$H$1712,"Y")</f>
        <v>1</v>
      </c>
      <c r="E999" s="19" t="n">
        <f aca="false">SUMIFS('SALES Raw'!$D$6:$D$4467,'SALES Raw'!$J$6:$J$4467,$J999,'SALES Raw'!$K$6:$K$4467,"Y")+SUMIFS('CEMIUP0.9 Raw'!$E$6:$E$1712,'CEMIUP0.9 Raw'!$B$6:$B$1712,$J999,'CEMIUP0.9 Raw'!$H$6:$H$1712,"Y")</f>
        <v>86.086</v>
      </c>
      <c r="F999" s="19" t="n">
        <f aca="false">SUMIFS('SALES Raw'!$E$6:$E$4467,'SALES Raw'!$J$6:$J$4467,$J999,'SALES Raw'!$K$6:$K$4467,"Y")*$H$4+SUMIFS('CEMIUP0.9 Raw'!$F$6:$F$1712,'CEMIUP0.9 Raw'!$B$6:$B$1712,$J999,'CEMIUP0.9 Raw'!$H$6:$H$1712,"Y")</f>
        <v>0</v>
      </c>
      <c r="G999" s="19" t="n">
        <f aca="false">SUMIFS('SALES Raw'!$F$6:$F$4467,'SALES Raw'!$J$6:$J$4467,$J999,'SALES Raw'!$K$6:$K$4467,"Y")*$H$4+SUMIFS('CEMIUP0.9 Raw'!$G$6:$G$1712,'CEMIUP0.9 Raw'!$B$6:$B$1712,$J999,'CEMIUP0.9 Raw'!$H$6:$H$1712,"Y")</f>
        <v>0</v>
      </c>
      <c r="H999" s="18" t="s">
        <v>43</v>
      </c>
      <c r="I999" s="18"/>
      <c r="J999" s="18" t="n">
        <v>4413169</v>
      </c>
    </row>
    <row r="1000" customFormat="false" ht="15" hidden="false" customHeight="false" outlineLevel="0" collapsed="false">
      <c r="A1000" s="18" t="n">
        <f aca="false">IF(ISNUMBER($J1000),$J1000,"")</f>
        <v>4413170</v>
      </c>
      <c r="B1000" s="18" t="n">
        <f aca="false">IFERROR(INDEX('SALES Raw'!$B$6:$B$4467,MATCH($J1000,'SALES Raw'!$J$6:$J$4467,0)),IFERROR(INDEX('CEMIUP0.9 Raw'!$B$6:$B$1712,MATCH($J1000,'CEMIUP0.9 Raw'!$B$6:$B$1712,0)),$J1000))</f>
        <v>4413170</v>
      </c>
      <c r="C1000" s="18" t="str">
        <f aca="false">IF(ISNUMBER($J1000),IFERROR(INDEX('TRANS'!$C:$C,MATCH($J1000,'TRANS'!$B:$B,0)),IFERROR(INDEX('Catalog'!$B:$B,MATCH($J1000,'Catalog'!$A:$A,0)),$B1000)),$B1000)</f>
        <v>T402 M מיצב פיקה</v>
      </c>
      <c r="D1000" s="19" t="n">
        <f aca="false">SUMIFS('SALES Raw'!$C$6:$C$4467,'SALES Raw'!$J$6:$J$4467,$J1000,'SALES Raw'!$K$6:$K$4467,"Y")+SUMIFS('CEMIUP0.9 Raw'!$D$6:$D$1712,'CEMIUP0.9 Raw'!$B$6:$B$1712,$J1000,'CEMIUP0.9 Raw'!$H$6:$H$1712,"Y")</f>
        <v>1</v>
      </c>
      <c r="E1000" s="19" t="n">
        <f aca="false">SUMIFS('SALES Raw'!$D$6:$D$4467,'SALES Raw'!$J$6:$J$4467,$J1000,'SALES Raw'!$K$6:$K$4467,"Y")+SUMIFS('CEMIUP0.9 Raw'!$E$6:$E$1712,'CEMIUP0.9 Raw'!$B$6:$B$1712,$J1000,'CEMIUP0.9 Raw'!$H$6:$H$1712,"Y")</f>
        <v>85.995</v>
      </c>
      <c r="F1000" s="19" t="n">
        <f aca="false">SUMIFS('SALES Raw'!$E$6:$E$4467,'SALES Raw'!$J$6:$J$4467,$J1000,'SALES Raw'!$K$6:$K$4467,"Y")*$H$4+SUMIFS('CEMIUP0.9 Raw'!$F$6:$F$1712,'CEMIUP0.9 Raw'!$B$6:$B$1712,$J1000,'CEMIUP0.9 Raw'!$H$6:$H$1712,"Y")</f>
        <v>0</v>
      </c>
      <c r="G1000" s="19" t="n">
        <f aca="false">SUMIFS('SALES Raw'!$F$6:$F$4467,'SALES Raw'!$J$6:$J$4467,$J1000,'SALES Raw'!$K$6:$K$4467,"Y")*$H$4+SUMIFS('CEMIUP0.9 Raw'!$G$6:$G$1712,'CEMIUP0.9 Raw'!$B$6:$B$1712,$J1000,'CEMIUP0.9 Raw'!$H$6:$H$1712,"Y")</f>
        <v>0</v>
      </c>
      <c r="H1000" s="18" t="s">
        <v>43</v>
      </c>
      <c r="I1000" s="18"/>
      <c r="J1000" s="18" t="n">
        <v>4413170</v>
      </c>
    </row>
    <row r="1001" customFormat="false" ht="15" hidden="false" customHeight="false" outlineLevel="0" collapsed="false">
      <c r="A1001" s="18" t="n">
        <f aca="false">IF(ISNUMBER($J1001),$J1001,"")</f>
        <v>4413171</v>
      </c>
      <c r="B1001" s="18" t="n">
        <f aca="false">IFERROR(INDEX('SALES Raw'!$B$6:$B$4467,MATCH($J1001,'SALES Raw'!$J$6:$J$4467,0)),IFERROR(INDEX('CEMIUP0.9 Raw'!$B$6:$B$1712,MATCH($J1001,'CEMIUP0.9 Raw'!$B$6:$B$1712,0)),$J1001))</f>
        <v>4413171</v>
      </c>
      <c r="C1001" s="18" t="str">
        <f aca="false">IF(ISNUMBER($J1001),IFERROR(INDEX('TRANS'!$C:$C,MATCH($J1001,'TRANS'!$B:$B,0)),IFERROR(INDEX('Catalog'!$B:$B,MATCH($J1001,'Catalog'!$A:$A,0)),$B1001)),$B1001)</f>
        <v>T402 L מיצב פיקה</v>
      </c>
      <c r="D1001" s="19" t="n">
        <f aca="false">SUMIFS('SALES Raw'!$C$6:$C$4467,'SALES Raw'!$J$6:$J$4467,$J1001,'SALES Raw'!$K$6:$K$4467,"Y")+SUMIFS('CEMIUP0.9 Raw'!$D$6:$D$1712,'CEMIUP0.9 Raw'!$B$6:$B$1712,$J1001,'CEMIUP0.9 Raw'!$H$6:$H$1712,"Y")</f>
        <v>3</v>
      </c>
      <c r="E1001" s="19" t="n">
        <f aca="false">SUMIFS('SALES Raw'!$D$6:$D$4467,'SALES Raw'!$J$6:$J$4467,$J1001,'SALES Raw'!$K$6:$K$4467,"Y")+SUMIFS('CEMIUP0.9 Raw'!$E$6:$E$1712,'CEMIUP0.9 Raw'!$B$6:$B$1712,$J1001,'CEMIUP0.9 Raw'!$H$6:$H$1712,"Y")</f>
        <v>246.701</v>
      </c>
      <c r="F1001" s="19" t="n">
        <f aca="false">SUMIFS('SALES Raw'!$E$6:$E$4467,'SALES Raw'!$J$6:$J$4467,$J1001,'SALES Raw'!$K$6:$K$4467,"Y")*$H$4+SUMIFS('CEMIUP0.9 Raw'!$F$6:$F$1712,'CEMIUP0.9 Raw'!$B$6:$B$1712,$J1001,'CEMIUP0.9 Raw'!$H$6:$H$1712,"Y")</f>
        <v>0</v>
      </c>
      <c r="G1001" s="19" t="n">
        <f aca="false">SUMIFS('SALES Raw'!$F$6:$F$4467,'SALES Raw'!$J$6:$J$4467,$J1001,'SALES Raw'!$K$6:$K$4467,"Y")*$H$4+SUMIFS('CEMIUP0.9 Raw'!$G$6:$G$1712,'CEMIUP0.9 Raw'!$B$6:$B$1712,$J1001,'CEMIUP0.9 Raw'!$H$6:$H$1712,"Y")</f>
        <v>0</v>
      </c>
      <c r="H1001" s="18" t="s">
        <v>43</v>
      </c>
      <c r="I1001" s="18"/>
      <c r="J1001" s="18" t="n">
        <v>4413171</v>
      </c>
    </row>
    <row r="1002" customFormat="false" ht="15" hidden="false" customHeight="false" outlineLevel="0" collapsed="false">
      <c r="A1002" s="18" t="n">
        <f aca="false">IF(ISNUMBER($J1002),$J1002,"")</f>
        <v>4413172</v>
      </c>
      <c r="B1002" s="18" t="n">
        <f aca="false">IFERROR(INDEX('SALES Raw'!$B$6:$B$4467,MATCH($J1002,'SALES Raw'!$J$6:$J$4467,0)),IFERROR(INDEX('CEMIUP0.9 Raw'!$B$6:$B$1712,MATCH($J1002,'CEMIUP0.9 Raw'!$B$6:$B$1712,0)),$J1002))</f>
        <v>4413172</v>
      </c>
      <c r="C1002" s="18" t="str">
        <f aca="false">IF(ISNUMBER($J1002),IFERROR(INDEX('TRANS'!$C:$C,MATCH($J1002,'TRANS'!$B:$B,0)),IFERROR(INDEX('Catalog'!$B:$B,MATCH($J1002,'Catalog'!$A:$A,0)),$B1002)),$B1002)</f>
        <v>T402 XL מיצב פיקה</v>
      </c>
      <c r="D1002" s="19" t="n">
        <f aca="false">SUMIFS('SALES Raw'!$C$6:$C$4467,'SALES Raw'!$J$6:$J$4467,$J1002,'SALES Raw'!$K$6:$K$4467,"Y")+SUMIFS('CEMIUP0.9 Raw'!$D$6:$D$1712,'CEMIUP0.9 Raw'!$B$6:$B$1712,$J1002,'CEMIUP0.9 Raw'!$H$6:$H$1712,"Y")</f>
        <v>4</v>
      </c>
      <c r="E1002" s="19" t="n">
        <f aca="false">SUMIFS('SALES Raw'!$D$6:$D$4467,'SALES Raw'!$J$6:$J$4467,$J1002,'SALES Raw'!$K$6:$K$4467,"Y")+SUMIFS('CEMIUP0.9 Raw'!$E$6:$E$1712,'CEMIUP0.9 Raw'!$B$6:$B$1712,$J1002,'CEMIUP0.9 Raw'!$H$6:$H$1712,"Y")</f>
        <v>332.696</v>
      </c>
      <c r="F1002" s="19" t="n">
        <f aca="false">SUMIFS('SALES Raw'!$E$6:$E$4467,'SALES Raw'!$J$6:$J$4467,$J1002,'SALES Raw'!$K$6:$K$4467,"Y")*$H$4+SUMIFS('CEMIUP0.9 Raw'!$F$6:$F$1712,'CEMIUP0.9 Raw'!$B$6:$B$1712,$J1002,'CEMIUP0.9 Raw'!$H$6:$H$1712,"Y")</f>
        <v>0</v>
      </c>
      <c r="G1002" s="19" t="n">
        <f aca="false">SUMIFS('SALES Raw'!$F$6:$F$4467,'SALES Raw'!$J$6:$J$4467,$J1002,'SALES Raw'!$K$6:$K$4467,"Y")*$H$4+SUMIFS('CEMIUP0.9 Raw'!$G$6:$G$1712,'CEMIUP0.9 Raw'!$B$6:$B$1712,$J1002,'CEMIUP0.9 Raw'!$H$6:$H$1712,"Y")</f>
        <v>0</v>
      </c>
      <c r="H1002" s="18" t="s">
        <v>43</v>
      </c>
      <c r="I1002" s="18"/>
      <c r="J1002" s="18" t="n">
        <v>4413172</v>
      </c>
    </row>
    <row r="1003" customFormat="false" ht="15" hidden="false" customHeight="false" outlineLevel="0" collapsed="false">
      <c r="A1003" s="18" t="n">
        <f aca="false">IF(ISNUMBER($J1003),$J1003,"")</f>
        <v>4413173</v>
      </c>
      <c r="B1003" s="18" t="n">
        <f aca="false">IFERROR(INDEX('SALES Raw'!$B$6:$B$4467,MATCH($J1003,'SALES Raw'!$J$6:$J$4467,0)),IFERROR(INDEX('CEMIUP0.9 Raw'!$B$6:$B$1712,MATCH($J1003,'CEMIUP0.9 Raw'!$B$6:$B$1712,0)),$J1003))</f>
        <v>4413173</v>
      </c>
      <c r="C1003" s="18" t="str">
        <f aca="false">IF(ISNUMBER($J1003),IFERROR(INDEX('TRANS'!$C:$C,MATCH($J1003,'TRANS'!$B:$B,0)),IFERROR(INDEX('Catalog'!$B:$B,MATCH($J1003,'Catalog'!$A:$A,0)),$B1003)),$B1003)</f>
        <v>T402 XXL מיצב פיקה</v>
      </c>
      <c r="D1003" s="19" t="n">
        <f aca="false">SUMIFS('SALES Raw'!$C$6:$C$4467,'SALES Raw'!$J$6:$J$4467,$J1003,'SALES Raw'!$K$6:$K$4467,"Y")+SUMIFS('CEMIUP0.9 Raw'!$D$6:$D$1712,'CEMIUP0.9 Raw'!$B$6:$B$1712,$J1003,'CEMIUP0.9 Raw'!$H$6:$H$1712,"Y")</f>
        <v>1</v>
      </c>
      <c r="E1003" s="19" t="n">
        <f aca="false">SUMIFS('SALES Raw'!$D$6:$D$4467,'SALES Raw'!$J$6:$J$4467,$J1003,'SALES Raw'!$K$6:$K$4467,"Y")+SUMIFS('CEMIUP0.9 Raw'!$E$6:$E$1712,'CEMIUP0.9 Raw'!$B$6:$B$1712,$J1003,'CEMIUP0.9 Raw'!$H$6:$H$1712,"Y")</f>
        <v>74.62</v>
      </c>
      <c r="F1003" s="19" t="n">
        <f aca="false">SUMIFS('SALES Raw'!$E$6:$E$4467,'SALES Raw'!$J$6:$J$4467,$J1003,'SALES Raw'!$K$6:$K$4467,"Y")*$H$4+SUMIFS('CEMIUP0.9 Raw'!$F$6:$F$1712,'CEMIUP0.9 Raw'!$B$6:$B$1712,$J1003,'CEMIUP0.9 Raw'!$H$6:$H$1712,"Y")</f>
        <v>0</v>
      </c>
      <c r="G1003" s="19" t="n">
        <f aca="false">SUMIFS('SALES Raw'!$F$6:$F$4467,'SALES Raw'!$J$6:$J$4467,$J1003,'SALES Raw'!$K$6:$K$4467,"Y")*$H$4+SUMIFS('CEMIUP0.9 Raw'!$G$6:$G$1712,'CEMIUP0.9 Raw'!$B$6:$B$1712,$J1003,'CEMIUP0.9 Raw'!$H$6:$H$1712,"Y")</f>
        <v>0</v>
      </c>
      <c r="H1003" s="18" t="s">
        <v>43</v>
      </c>
      <c r="I1003" s="18"/>
      <c r="J1003" s="18" t="n">
        <v>4413173</v>
      </c>
    </row>
    <row r="1004" customFormat="false" ht="15" hidden="false" customHeight="false" outlineLevel="0" collapsed="false">
      <c r="A1004" s="18" t="n">
        <f aca="false">IF(ISNUMBER($J1004),$J1004,"")</f>
        <v>4413174</v>
      </c>
      <c r="B1004" s="18" t="n">
        <f aca="false">IFERROR(INDEX('SALES Raw'!$B$6:$B$4467,MATCH($J1004,'SALES Raw'!$J$6:$J$4467,0)),IFERROR(INDEX('CEMIUP0.9 Raw'!$B$6:$B$1712,MATCH($J1004,'CEMIUP0.9 Raw'!$B$6:$B$1712,0)),$J1004))</f>
        <v>4413174</v>
      </c>
      <c r="C1004" s="18" t="str">
        <f aca="false">IF(ISNUMBER($J1004),IFERROR(INDEX('TRANS'!$C:$C,MATCH($J1004,'TRANS'!$B:$B,0)),IFERROR(INDEX('Catalog'!$B:$B,MATCH($J1004,'Catalog'!$A:$A,0)),$B1004)),$B1004)</f>
        <v>85+ Sמתלה ליד)כיס(+רצועת חיזוק</v>
      </c>
      <c r="D1004" s="19" t="n">
        <f aca="false">SUMIFS('SALES Raw'!$C$6:$C$4467,'SALES Raw'!$J$6:$J$4467,$J1004,'SALES Raw'!$K$6:$K$4467,"Y")+SUMIFS('CEMIUP0.9 Raw'!$D$6:$D$1712,'CEMIUP0.9 Raw'!$B$6:$B$1712,$J1004,'CEMIUP0.9 Raw'!$H$6:$H$1712,"Y")</f>
        <v>1</v>
      </c>
      <c r="E1004" s="19" t="n">
        <f aca="false">SUMIFS('SALES Raw'!$D$6:$D$4467,'SALES Raw'!$J$6:$J$4467,$J1004,'SALES Raw'!$K$6:$K$4467,"Y")+SUMIFS('CEMIUP0.9 Raw'!$E$6:$E$1712,'CEMIUP0.9 Raw'!$B$6:$B$1712,$J1004,'CEMIUP0.9 Raw'!$H$6:$H$1712,"Y")</f>
        <v>85.995</v>
      </c>
      <c r="F1004" s="19" t="n">
        <f aca="false">SUMIFS('SALES Raw'!$E$6:$E$4467,'SALES Raw'!$J$6:$J$4467,$J1004,'SALES Raw'!$K$6:$K$4467,"Y")*$H$4+SUMIFS('CEMIUP0.9 Raw'!$F$6:$F$1712,'CEMIUP0.9 Raw'!$B$6:$B$1712,$J1004,'CEMIUP0.9 Raw'!$H$6:$H$1712,"Y")</f>
        <v>0</v>
      </c>
      <c r="G1004" s="19" t="n">
        <f aca="false">SUMIFS('SALES Raw'!$F$6:$F$4467,'SALES Raw'!$J$6:$J$4467,$J1004,'SALES Raw'!$K$6:$K$4467,"Y")*$H$4+SUMIFS('CEMIUP0.9 Raw'!$G$6:$G$1712,'CEMIUP0.9 Raw'!$B$6:$B$1712,$J1004,'CEMIUP0.9 Raw'!$H$6:$H$1712,"Y")</f>
        <v>0</v>
      </c>
      <c r="H1004" s="18" t="s">
        <v>43</v>
      </c>
      <c r="I1004" s="18"/>
      <c r="J1004" s="18" t="n">
        <v>4413174</v>
      </c>
    </row>
    <row r="1005" customFormat="false" ht="15" hidden="false" customHeight="false" outlineLevel="0" collapsed="false">
      <c r="A1005" s="18" t="n">
        <f aca="false">IF(ISNUMBER($J1005),$J1005,"")</f>
        <v>4413178</v>
      </c>
      <c r="B1005" s="18" t="n">
        <f aca="false">IFERROR(INDEX('SALES Raw'!$B$6:$B$4467,MATCH($J1005,'SALES Raw'!$J$6:$J$4467,0)),IFERROR(INDEX('CEMIUP0.9 Raw'!$B$6:$B$1712,MATCH($J1005,'CEMIUP0.9 Raw'!$B$6:$B$1712,0)),$J1005))</f>
        <v>4413178</v>
      </c>
      <c r="C1005" s="18" t="str">
        <f aca="false">IF(ISNUMBER($J1005),IFERROR(INDEX('TRANS'!$C:$C,MATCH($J1005,'TRANS'!$B:$B,0)),IFERROR(INDEX('Catalog'!$B:$B,MATCH($J1005,'Catalog'!$A:$A,0)),$B1005)),$B1005)</f>
        <v>T39 XL מגן שוק</v>
      </c>
      <c r="D1005" s="19" t="n">
        <f aca="false">SUMIFS('SALES Raw'!$C$6:$C$4467,'SALES Raw'!$J$6:$J$4467,$J1005,'SALES Raw'!$K$6:$K$4467,"Y")+SUMIFS('CEMIUP0.9 Raw'!$D$6:$D$1712,'CEMIUP0.9 Raw'!$B$6:$B$1712,$J1005,'CEMIUP0.9 Raw'!$H$6:$H$1712,"Y")</f>
        <v>1</v>
      </c>
      <c r="E1005" s="19" t="n">
        <f aca="false">SUMIFS('SALES Raw'!$D$6:$D$4467,'SALES Raw'!$J$6:$J$4467,$J1005,'SALES Raw'!$K$6:$K$4467,"Y")+SUMIFS('CEMIUP0.9 Raw'!$E$6:$E$1712,'CEMIUP0.9 Raw'!$B$6:$B$1712,$J1005,'CEMIUP0.9 Raw'!$H$6:$H$1712,"Y")</f>
        <v>84.994</v>
      </c>
      <c r="F1005" s="19" t="n">
        <f aca="false">SUMIFS('SALES Raw'!$E$6:$E$4467,'SALES Raw'!$J$6:$J$4467,$J1005,'SALES Raw'!$K$6:$K$4467,"Y")*$H$4+SUMIFS('CEMIUP0.9 Raw'!$F$6:$F$1712,'CEMIUP0.9 Raw'!$B$6:$B$1712,$J1005,'CEMIUP0.9 Raw'!$H$6:$H$1712,"Y")</f>
        <v>0</v>
      </c>
      <c r="G1005" s="19" t="n">
        <f aca="false">SUMIFS('SALES Raw'!$F$6:$F$4467,'SALES Raw'!$J$6:$J$4467,$J1005,'SALES Raw'!$K$6:$K$4467,"Y")*$H$4+SUMIFS('CEMIUP0.9 Raw'!$G$6:$G$1712,'CEMIUP0.9 Raw'!$B$6:$B$1712,$J1005,'CEMIUP0.9 Raw'!$H$6:$H$1712,"Y")</f>
        <v>0</v>
      </c>
      <c r="H1005" s="18" t="s">
        <v>43</v>
      </c>
      <c r="I1005" s="18"/>
      <c r="J1005" s="18" t="n">
        <v>4413178</v>
      </c>
    </row>
    <row r="1006" customFormat="false" ht="15" hidden="false" customHeight="false" outlineLevel="0" collapsed="false">
      <c r="A1006" s="18" t="n">
        <f aca="false">IF(ISNUMBER($J1006),$J1006,"")</f>
        <v>4413179</v>
      </c>
      <c r="B1006" s="18" t="n">
        <f aca="false">IFERROR(INDEX('SALES Raw'!$B$6:$B$4467,MATCH($J1006,'SALES Raw'!$J$6:$J$4467,0)),IFERROR(INDEX('CEMIUP0.9 Raw'!$B$6:$B$1712,MATCH($J1006,'CEMIUP0.9 Raw'!$B$6:$B$1712,0)),$J1006))</f>
        <v>4413179</v>
      </c>
      <c r="C1006" s="18" t="str">
        <f aca="false">IF(ISNUMBER($J1006),IFERROR(INDEX('TRANS'!$C:$C,MATCH($J1006,'TRANS'!$B:$B,0)),IFERROR(INDEX('Catalog'!$B:$B,MATCH($J1006,'Catalog'!$A:$A,0)),$B1006)),$B1006)</f>
        <v>T39  M מגן שוק</v>
      </c>
      <c r="D1006" s="19" t="n">
        <f aca="false">SUMIFS('SALES Raw'!$C$6:$C$4467,'SALES Raw'!$J$6:$J$4467,$J1006,'SALES Raw'!$K$6:$K$4467,"Y")+SUMIFS('CEMIUP0.9 Raw'!$D$6:$D$1712,'CEMIUP0.9 Raw'!$B$6:$B$1712,$J1006,'CEMIUP0.9 Raw'!$H$6:$H$1712,"Y")</f>
        <v>4</v>
      </c>
      <c r="E1006" s="19" t="n">
        <f aca="false">SUMIFS('SALES Raw'!$D$6:$D$4467,'SALES Raw'!$J$6:$J$4467,$J1006,'SALES Raw'!$K$6:$K$4467,"Y")+SUMIFS('CEMIUP0.9 Raw'!$E$6:$E$1712,'CEMIUP0.9 Raw'!$B$6:$B$1712,$J1006,'CEMIUP0.9 Raw'!$H$6:$H$1712,"Y")</f>
        <v>366.093</v>
      </c>
      <c r="F1006" s="19" t="n">
        <f aca="false">SUMIFS('SALES Raw'!$E$6:$E$4467,'SALES Raw'!$J$6:$J$4467,$J1006,'SALES Raw'!$K$6:$K$4467,"Y")*$H$4+SUMIFS('CEMIUP0.9 Raw'!$F$6:$F$1712,'CEMIUP0.9 Raw'!$B$6:$B$1712,$J1006,'CEMIUP0.9 Raw'!$H$6:$H$1712,"Y")</f>
        <v>0</v>
      </c>
      <c r="G1006" s="19" t="n">
        <f aca="false">SUMIFS('SALES Raw'!$F$6:$F$4467,'SALES Raw'!$J$6:$J$4467,$J1006,'SALES Raw'!$K$6:$K$4467,"Y")*$H$4+SUMIFS('CEMIUP0.9 Raw'!$G$6:$G$1712,'CEMIUP0.9 Raw'!$B$6:$B$1712,$J1006,'CEMIUP0.9 Raw'!$H$6:$H$1712,"Y")</f>
        <v>0</v>
      </c>
      <c r="H1006" s="18" t="s">
        <v>43</v>
      </c>
      <c r="I1006" s="18"/>
      <c r="J1006" s="18" t="n">
        <v>4413179</v>
      </c>
    </row>
    <row r="1007" customFormat="false" ht="15" hidden="false" customHeight="false" outlineLevel="0" collapsed="false">
      <c r="A1007" s="18" t="n">
        <f aca="false">IF(ISNUMBER($J1007),$J1007,"")</f>
        <v>4413181</v>
      </c>
      <c r="B1007" s="18" t="n">
        <f aca="false">IFERROR(INDEX('SALES Raw'!$B$6:$B$4467,MATCH($J1007,'SALES Raw'!$J$6:$J$4467,0)),IFERROR(INDEX('CEMIUP0.9 Raw'!$B$6:$B$1712,MATCH($J1007,'CEMIUP0.9 Raw'!$B$6:$B$1712,0)),$J1007))</f>
        <v>4413181</v>
      </c>
      <c r="C1007" s="18" t="str">
        <f aca="false">IF(ISNUMBER($J1007),IFERROR(INDEX('TRANS'!$C:$C,MATCH($J1007,'TRANS'!$B:$B,0)),IFERROR(INDEX('Catalog'!$B:$B,MATCH($J1007,'Catalog'!$A:$A,0)),$B1007)),$B1007)</f>
        <v>T39  L מגן שוק</v>
      </c>
      <c r="D1007" s="19" t="n">
        <f aca="false">SUMIFS('SALES Raw'!$C$6:$C$4467,'SALES Raw'!$J$6:$J$4467,$J1007,'SALES Raw'!$K$6:$K$4467,"Y")+SUMIFS('CEMIUP0.9 Raw'!$D$6:$D$1712,'CEMIUP0.9 Raw'!$B$6:$B$1712,$J1007,'CEMIUP0.9 Raw'!$H$6:$H$1712,"Y")</f>
        <v>3</v>
      </c>
      <c r="E1007" s="19" t="n">
        <f aca="false">SUMIFS('SALES Raw'!$D$6:$D$4467,'SALES Raw'!$J$6:$J$4467,$J1007,'SALES Raw'!$K$6:$K$4467,"Y")+SUMIFS('CEMIUP0.9 Raw'!$E$6:$E$1712,'CEMIUP0.9 Raw'!$B$6:$B$1712,$J1007,'CEMIUP0.9 Raw'!$H$6:$H$1712,"Y")</f>
        <v>281.099</v>
      </c>
      <c r="F1007" s="19" t="n">
        <f aca="false">SUMIFS('SALES Raw'!$E$6:$E$4467,'SALES Raw'!$J$6:$J$4467,$J1007,'SALES Raw'!$K$6:$K$4467,"Y")*$H$4+SUMIFS('CEMIUP0.9 Raw'!$F$6:$F$1712,'CEMIUP0.9 Raw'!$B$6:$B$1712,$J1007,'CEMIUP0.9 Raw'!$H$6:$H$1712,"Y")</f>
        <v>0</v>
      </c>
      <c r="G1007" s="19" t="n">
        <f aca="false">SUMIFS('SALES Raw'!$F$6:$F$4467,'SALES Raw'!$J$6:$J$4467,$J1007,'SALES Raw'!$K$6:$K$4467,"Y")*$H$4+SUMIFS('CEMIUP0.9 Raw'!$G$6:$G$1712,'CEMIUP0.9 Raw'!$B$6:$B$1712,$J1007,'CEMIUP0.9 Raw'!$H$6:$H$1712,"Y")</f>
        <v>0</v>
      </c>
      <c r="H1007" s="18" t="s">
        <v>43</v>
      </c>
      <c r="I1007" s="18"/>
      <c r="J1007" s="18" t="n">
        <v>4413181</v>
      </c>
    </row>
    <row r="1008" customFormat="false" ht="15" hidden="false" customHeight="false" outlineLevel="0" collapsed="false">
      <c r="A1008" s="18" t="n">
        <f aca="false">IF(ISNUMBER($J1008),$J1008,"")</f>
        <v>4413225</v>
      </c>
      <c r="B1008" s="18" t="n">
        <f aca="false">IFERROR(INDEX('SALES Raw'!$B$6:$B$4467,MATCH($J1008,'SALES Raw'!$J$6:$J$4467,0)),IFERROR(INDEX('CEMIUP0.9 Raw'!$B$6:$B$1712,MATCH($J1008,'CEMIUP0.9 Raw'!$B$6:$B$1712,0)),$J1008))</f>
        <v>4413225</v>
      </c>
      <c r="C1008" s="18" t="str">
        <f aca="false">IF(ISNUMBER($J1008),IFERROR(INDEX('TRANS'!$C:$C,MATCH($J1008,'TRANS'!$B:$B,0)),IFERROR(INDEX('Catalog'!$B:$B,MATCH($J1008,'Catalog'!$A:$A,0)),$B1008)),$B1008)</f>
        <v>T45X M מגן ברך רגיל</v>
      </c>
      <c r="D1008" s="19" t="n">
        <f aca="false">SUMIFS('SALES Raw'!$C$6:$C$4467,'SALES Raw'!$J$6:$J$4467,$J1008,'SALES Raw'!$K$6:$K$4467,"Y")+SUMIFS('CEMIUP0.9 Raw'!$D$6:$D$1712,'CEMIUP0.9 Raw'!$B$6:$B$1712,$J1008,'CEMIUP0.9 Raw'!$H$6:$H$1712,"Y")</f>
        <v>1</v>
      </c>
      <c r="E1008" s="19" t="n">
        <f aca="false">SUMIFS('SALES Raw'!$D$6:$D$4467,'SALES Raw'!$J$6:$J$4467,$J1008,'SALES Raw'!$K$6:$K$4467,"Y")+SUMIFS('CEMIUP0.9 Raw'!$E$6:$E$1712,'CEMIUP0.9 Raw'!$B$6:$B$1712,$J1008,'CEMIUP0.9 Raw'!$H$6:$H$1712,"Y")</f>
        <v>107.926</v>
      </c>
      <c r="F1008" s="19" t="n">
        <f aca="false">SUMIFS('SALES Raw'!$E$6:$E$4467,'SALES Raw'!$J$6:$J$4467,$J1008,'SALES Raw'!$K$6:$K$4467,"Y")*$H$4+SUMIFS('CEMIUP0.9 Raw'!$F$6:$F$1712,'CEMIUP0.9 Raw'!$B$6:$B$1712,$J1008,'CEMIUP0.9 Raw'!$H$6:$H$1712,"Y")</f>
        <v>0</v>
      </c>
      <c r="G1008" s="19" t="n">
        <f aca="false">SUMIFS('SALES Raw'!$F$6:$F$4467,'SALES Raw'!$J$6:$J$4467,$J1008,'SALES Raw'!$K$6:$K$4467,"Y")*$H$4+SUMIFS('CEMIUP0.9 Raw'!$G$6:$G$1712,'CEMIUP0.9 Raw'!$B$6:$B$1712,$J1008,'CEMIUP0.9 Raw'!$H$6:$H$1712,"Y")</f>
        <v>0</v>
      </c>
      <c r="H1008" s="18" t="s">
        <v>43</v>
      </c>
      <c r="I1008" s="18"/>
      <c r="J1008" s="18" t="n">
        <v>4413225</v>
      </c>
    </row>
    <row r="1009" customFormat="false" ht="15" hidden="false" customHeight="false" outlineLevel="0" collapsed="false">
      <c r="A1009" s="18" t="n">
        <f aca="false">IF(ISNUMBER($J1009),$J1009,"")</f>
        <v>4413226</v>
      </c>
      <c r="B1009" s="18" t="n">
        <f aca="false">IFERROR(INDEX('SALES Raw'!$B$6:$B$4467,MATCH($J1009,'SALES Raw'!$J$6:$J$4467,0)),IFERROR(INDEX('CEMIUP0.9 Raw'!$B$6:$B$1712,MATCH($J1009,'CEMIUP0.9 Raw'!$B$6:$B$1712,0)),$J1009))</f>
        <v>4413226</v>
      </c>
      <c r="C1009" s="18" t="str">
        <f aca="false">IF(ISNUMBER($J1009),IFERROR(INDEX('TRANS'!$C:$C,MATCH($J1009,'TRANS'!$B:$B,0)),IFERROR(INDEX('Catalog'!$B:$B,MATCH($J1009,'Catalog'!$A:$A,0)),$B1009)),$B1009)</f>
        <v>T45X L מגן ברך רגיל</v>
      </c>
      <c r="D1009" s="19" t="n">
        <f aca="false">SUMIFS('SALES Raw'!$C$6:$C$4467,'SALES Raw'!$J$6:$J$4467,$J1009,'SALES Raw'!$K$6:$K$4467,"Y")+SUMIFS('CEMIUP0.9 Raw'!$D$6:$D$1712,'CEMIUP0.9 Raw'!$B$6:$B$1712,$J1009,'CEMIUP0.9 Raw'!$H$6:$H$1712,"Y")</f>
        <v>2</v>
      </c>
      <c r="E1009" s="19" t="n">
        <f aca="false">SUMIFS('SALES Raw'!$D$6:$D$4467,'SALES Raw'!$J$6:$J$4467,$J1009,'SALES Raw'!$K$6:$K$4467,"Y")+SUMIFS('CEMIUP0.9 Raw'!$E$6:$E$1712,'CEMIUP0.9 Raw'!$B$6:$B$1712,$J1009,'CEMIUP0.9 Raw'!$H$6:$H$1712,"Y")</f>
        <v>215.761</v>
      </c>
      <c r="F1009" s="19" t="n">
        <f aca="false">SUMIFS('SALES Raw'!$E$6:$E$4467,'SALES Raw'!$J$6:$J$4467,$J1009,'SALES Raw'!$K$6:$K$4467,"Y")*$H$4+SUMIFS('CEMIUP0.9 Raw'!$F$6:$F$1712,'CEMIUP0.9 Raw'!$B$6:$B$1712,$J1009,'CEMIUP0.9 Raw'!$H$6:$H$1712,"Y")</f>
        <v>0</v>
      </c>
      <c r="G1009" s="19" t="n">
        <f aca="false">SUMIFS('SALES Raw'!$F$6:$F$4467,'SALES Raw'!$J$6:$J$4467,$J1009,'SALES Raw'!$K$6:$K$4467,"Y")*$H$4+SUMIFS('CEMIUP0.9 Raw'!$G$6:$G$1712,'CEMIUP0.9 Raw'!$B$6:$B$1712,$J1009,'CEMIUP0.9 Raw'!$H$6:$H$1712,"Y")</f>
        <v>0</v>
      </c>
      <c r="H1009" s="18" t="s">
        <v>43</v>
      </c>
      <c r="I1009" s="18"/>
      <c r="J1009" s="18" t="n">
        <v>4413226</v>
      </c>
    </row>
    <row r="1010" customFormat="false" ht="15" hidden="false" customHeight="false" outlineLevel="0" collapsed="false">
      <c r="A1010" s="18" t="n">
        <f aca="false">IF(ISNUMBER($J1010),$J1010,"")</f>
        <v>4413262</v>
      </c>
      <c r="B1010" s="18" t="n">
        <f aca="false">IFERROR(INDEX('SALES Raw'!$B$6:$B$4467,MATCH($J1010,'SALES Raw'!$J$6:$J$4467,0)),IFERROR(INDEX('CEMIUP0.9 Raw'!$B$6:$B$1712,MATCH($J1010,'CEMIUP0.9 Raw'!$B$6:$B$1712,0)),$J1010))</f>
        <v>4413262</v>
      </c>
      <c r="C1010" s="18" t="str">
        <f aca="false">IF(ISNUMBER($J1010),IFERROR(INDEX('TRANS'!$C:$C,MATCH($J1010,'TRANS'!$B:$B,0)),IFERROR(INDEX('Catalog'!$B:$B,MATCH($J1010,'Catalog'!$A:$A,0)),$B1010)),$B1010)</f>
        <v>76 XXL מישר כתפיים רחב</v>
      </c>
      <c r="D1010" s="19" t="n">
        <f aca="false">SUMIFS('SALES Raw'!$C$6:$C$4467,'SALES Raw'!$J$6:$J$4467,$J1010,'SALES Raw'!$K$6:$K$4467,"Y")+SUMIFS('CEMIUP0.9 Raw'!$D$6:$D$1712,'CEMIUP0.9 Raw'!$B$6:$B$1712,$J1010,'CEMIUP0.9 Raw'!$H$6:$H$1712,"Y")</f>
        <v>2</v>
      </c>
      <c r="E1010" s="19" t="n">
        <f aca="false">SUMIFS('SALES Raw'!$D$6:$D$4467,'SALES Raw'!$J$6:$J$4467,$J1010,'SALES Raw'!$K$6:$K$4467,"Y")+SUMIFS('CEMIUP0.9 Raw'!$E$6:$E$1712,'CEMIUP0.9 Raw'!$B$6:$B$1712,$J1010,'CEMIUP0.9 Raw'!$H$6:$H$1712,"Y")</f>
        <v>372.554</v>
      </c>
      <c r="F1010" s="19" t="n">
        <f aca="false">SUMIFS('SALES Raw'!$E$6:$E$4467,'SALES Raw'!$J$6:$J$4467,$J1010,'SALES Raw'!$K$6:$K$4467,"Y")*$H$4+SUMIFS('CEMIUP0.9 Raw'!$F$6:$F$1712,'CEMIUP0.9 Raw'!$B$6:$B$1712,$J1010,'CEMIUP0.9 Raw'!$H$6:$H$1712,"Y")</f>
        <v>0</v>
      </c>
      <c r="G1010" s="19" t="n">
        <f aca="false">SUMIFS('SALES Raw'!$F$6:$F$4467,'SALES Raw'!$J$6:$J$4467,$J1010,'SALES Raw'!$K$6:$K$4467,"Y")*$H$4+SUMIFS('CEMIUP0.9 Raw'!$G$6:$G$1712,'CEMIUP0.9 Raw'!$B$6:$B$1712,$J1010,'CEMIUP0.9 Raw'!$H$6:$H$1712,"Y")</f>
        <v>0</v>
      </c>
      <c r="H1010" s="18" t="s">
        <v>43</v>
      </c>
      <c r="I1010" s="18"/>
      <c r="J1010" s="18" t="n">
        <v>4413262</v>
      </c>
    </row>
    <row r="1011" customFormat="false" ht="15" hidden="false" customHeight="false" outlineLevel="0" collapsed="false">
      <c r="A1011" s="18" t="n">
        <f aca="false">IF(ISNUMBER($J1011),$J1011,"")</f>
        <v>4413282</v>
      </c>
      <c r="B1011" s="18" t="n">
        <f aca="false">IFERROR(INDEX('SALES Raw'!$B$6:$B$4467,MATCH($J1011,'SALES Raw'!$J$6:$J$4467,0)),IFERROR(INDEX('CEMIUP0.9 Raw'!$B$6:$B$1712,MATCH($J1011,'CEMIUP0.9 Raw'!$B$6:$B$1712,0)),$J1011))</f>
        <v>4413282</v>
      </c>
      <c r="C1011" s="18" t="str">
        <f aca="false">IF(ISNUMBER($J1011),IFERROR(INDEX('TRANS'!$C:$C,MATCH($J1011,'TRANS'!$B:$B,0)),IFERROR(INDEX('Catalog'!$B:$B,MATCH($J1011,'Catalog'!$A:$A,0)),$B1011)),$B1011)</f>
        <v>422E XL מגן ברך ארוך עם כרית</v>
      </c>
      <c r="D1011" s="19" t="n">
        <f aca="false">SUMIFS('SALES Raw'!$C$6:$C$4467,'SALES Raw'!$J$6:$J$4467,$J1011,'SALES Raw'!$K$6:$K$4467,"Y")+SUMIFS('CEMIUP0.9 Raw'!$D$6:$D$1712,'CEMIUP0.9 Raw'!$B$6:$B$1712,$J1011,'CEMIUP0.9 Raw'!$H$6:$H$1712,"Y")</f>
        <v>0</v>
      </c>
      <c r="E1011" s="19" t="n">
        <f aca="false">SUMIFS('SALES Raw'!$D$6:$D$4467,'SALES Raw'!$J$6:$J$4467,$J1011,'SALES Raw'!$K$6:$K$4467,"Y")+SUMIFS('CEMIUP0.9 Raw'!$E$6:$E$1712,'CEMIUP0.9 Raw'!$B$6:$B$1712,$J1011,'CEMIUP0.9 Raw'!$H$6:$H$1712,"Y")</f>
        <v>-12.285</v>
      </c>
      <c r="F1011" s="19" t="n">
        <f aca="false">SUMIFS('SALES Raw'!$E$6:$E$4467,'SALES Raw'!$J$6:$J$4467,$J1011,'SALES Raw'!$K$6:$K$4467,"Y")*$H$4+SUMIFS('CEMIUP0.9 Raw'!$F$6:$F$1712,'CEMIUP0.9 Raw'!$B$6:$B$1712,$J1011,'CEMIUP0.9 Raw'!$H$6:$H$1712,"Y")</f>
        <v>0</v>
      </c>
      <c r="G1011" s="19" t="n">
        <f aca="false">SUMIFS('SALES Raw'!$F$6:$F$4467,'SALES Raw'!$J$6:$J$4467,$J1011,'SALES Raw'!$K$6:$K$4467,"Y")*$H$4+SUMIFS('CEMIUP0.9 Raw'!$G$6:$G$1712,'CEMIUP0.9 Raw'!$B$6:$B$1712,$J1011,'CEMIUP0.9 Raw'!$H$6:$H$1712,"Y")</f>
        <v>0</v>
      </c>
      <c r="H1011" s="18" t="s">
        <v>43</v>
      </c>
      <c r="I1011" s="18"/>
      <c r="J1011" s="18" t="n">
        <v>4413282</v>
      </c>
    </row>
    <row r="1012" customFormat="false" ht="15" hidden="false" customHeight="false" outlineLevel="0" collapsed="false">
      <c r="A1012" s="18" t="n">
        <f aca="false">IF(ISNUMBER($J1012),$J1012,"")</f>
        <v>4413283</v>
      </c>
      <c r="B1012" s="18" t="n">
        <f aca="false">IFERROR(INDEX('SALES Raw'!$B$6:$B$4467,MATCH($J1012,'SALES Raw'!$J$6:$J$4467,0)),IFERROR(INDEX('CEMIUP0.9 Raw'!$B$6:$B$1712,MATCH($J1012,'CEMIUP0.9 Raw'!$B$6:$B$1712,0)),$J1012))</f>
        <v>4413283</v>
      </c>
      <c r="C1012" s="18" t="str">
        <f aca="false">IF(ISNUMBER($J1012),IFERROR(INDEX('TRANS'!$C:$C,MATCH($J1012,'TRANS'!$B:$B,0)),IFERROR(INDEX('Catalog'!$B:$B,MATCH($J1012,'Catalog'!$A:$A,0)),$B1012)),$B1012)</f>
        <v>422E XXL מגן ברך ארוך עם כרית</v>
      </c>
      <c r="D1012" s="19" t="n">
        <f aca="false">SUMIFS('SALES Raw'!$C$6:$C$4467,'SALES Raw'!$J$6:$J$4467,$J1012,'SALES Raw'!$K$6:$K$4467,"Y")+SUMIFS('CEMIUP0.9 Raw'!$D$6:$D$1712,'CEMIUP0.9 Raw'!$B$6:$B$1712,$J1012,'CEMIUP0.9 Raw'!$H$6:$H$1712,"Y")</f>
        <v>1</v>
      </c>
      <c r="E1012" s="19" t="n">
        <f aca="false">SUMIFS('SALES Raw'!$D$6:$D$4467,'SALES Raw'!$J$6:$J$4467,$J1012,'SALES Raw'!$K$6:$K$4467,"Y")+SUMIFS('CEMIUP0.9 Raw'!$E$6:$E$1712,'CEMIUP0.9 Raw'!$B$6:$B$1712,$J1012,'CEMIUP0.9 Raw'!$H$6:$H$1712,"Y")</f>
        <v>172.718</v>
      </c>
      <c r="F1012" s="19" t="n">
        <f aca="false">SUMIFS('SALES Raw'!$E$6:$E$4467,'SALES Raw'!$J$6:$J$4467,$J1012,'SALES Raw'!$K$6:$K$4467,"Y")*$H$4+SUMIFS('CEMIUP0.9 Raw'!$F$6:$F$1712,'CEMIUP0.9 Raw'!$B$6:$B$1712,$J1012,'CEMIUP0.9 Raw'!$H$6:$H$1712,"Y")</f>
        <v>0</v>
      </c>
      <c r="G1012" s="19" t="n">
        <f aca="false">SUMIFS('SALES Raw'!$F$6:$F$4467,'SALES Raw'!$J$6:$J$4467,$J1012,'SALES Raw'!$K$6:$K$4467,"Y")*$H$4+SUMIFS('CEMIUP0.9 Raw'!$G$6:$G$1712,'CEMIUP0.9 Raw'!$B$6:$B$1712,$J1012,'CEMIUP0.9 Raw'!$H$6:$H$1712,"Y")</f>
        <v>0</v>
      </c>
      <c r="H1012" s="18" t="s">
        <v>43</v>
      </c>
      <c r="I1012" s="18"/>
      <c r="J1012" s="18" t="n">
        <v>4413283</v>
      </c>
    </row>
    <row r="1013" customFormat="false" ht="15" hidden="false" customHeight="false" outlineLevel="0" collapsed="false">
      <c r="A1013" s="18" t="n">
        <f aca="false">IF(ISNUMBER($J1013),$J1013,"")</f>
        <v>4413324</v>
      </c>
      <c r="B1013" s="18" t="n">
        <f aca="false">IFERROR(INDEX('SALES Raw'!$B$6:$B$4467,MATCH($J1013,'SALES Raw'!$J$6:$J$4467,0)),IFERROR(INDEX('CEMIUP0.9 Raw'!$B$6:$B$1712,MATCH($J1013,'CEMIUP0.9 Raw'!$B$6:$B$1712,0)),$J1013))</f>
        <v>4413324</v>
      </c>
      <c r="C1013" s="18" t="str">
        <f aca="false">IF(ISNUMBER($J1013),IFERROR(INDEX('TRANS'!$C:$C,MATCH($J1013,'TRANS'!$B:$B,0)),IFERROR(INDEX('Catalog'!$B:$B,MATCH($J1013,'Catalog'!$A:$A,0)),$B1013)),$B1013)</f>
        <v>35 XS מגן קרסול לבן</v>
      </c>
      <c r="D1013" s="19" t="n">
        <f aca="false">SUMIFS('SALES Raw'!$C$6:$C$4467,'SALES Raw'!$J$6:$J$4467,$J1013,'SALES Raw'!$K$6:$K$4467,"Y")+SUMIFS('CEMIUP0.9 Raw'!$D$6:$D$1712,'CEMIUP0.9 Raw'!$B$6:$B$1712,$J1013,'CEMIUP0.9 Raw'!$H$6:$H$1712,"Y")</f>
        <v>8</v>
      </c>
      <c r="E1013" s="19" t="n">
        <f aca="false">SUMIFS('SALES Raw'!$D$6:$D$4467,'SALES Raw'!$J$6:$J$4467,$J1013,'SALES Raw'!$K$6:$K$4467,"Y")+SUMIFS('CEMIUP0.9 Raw'!$E$6:$E$1712,'CEMIUP0.9 Raw'!$B$6:$B$1712,$J1013,'CEMIUP0.9 Raw'!$H$6:$H$1712,"Y")</f>
        <v>219.219</v>
      </c>
      <c r="F1013" s="19" t="n">
        <f aca="false">SUMIFS('SALES Raw'!$E$6:$E$4467,'SALES Raw'!$J$6:$J$4467,$J1013,'SALES Raw'!$K$6:$K$4467,"Y")*$H$4+SUMIFS('CEMIUP0.9 Raw'!$F$6:$F$1712,'CEMIUP0.9 Raw'!$B$6:$B$1712,$J1013,'CEMIUP0.9 Raw'!$H$6:$H$1712,"Y")</f>
        <v>0</v>
      </c>
      <c r="G1013" s="19" t="n">
        <f aca="false">SUMIFS('SALES Raw'!$F$6:$F$4467,'SALES Raw'!$J$6:$J$4467,$J1013,'SALES Raw'!$K$6:$K$4467,"Y")*$H$4+SUMIFS('CEMIUP0.9 Raw'!$G$6:$G$1712,'CEMIUP0.9 Raw'!$B$6:$B$1712,$J1013,'CEMIUP0.9 Raw'!$H$6:$H$1712,"Y")</f>
        <v>0</v>
      </c>
      <c r="H1013" s="18" t="s">
        <v>43</v>
      </c>
      <c r="I1013" s="18"/>
      <c r="J1013" s="18" t="n">
        <v>4413324</v>
      </c>
    </row>
    <row r="1014" customFormat="false" ht="15" hidden="false" customHeight="false" outlineLevel="0" collapsed="false">
      <c r="A1014" s="18" t="n">
        <f aca="false">IF(ISNUMBER($J1014),$J1014,"")</f>
        <v>4413335</v>
      </c>
      <c r="B1014" s="18" t="n">
        <f aca="false">IFERROR(INDEX('SALES Raw'!$B$6:$B$4467,MATCH($J1014,'SALES Raw'!$J$6:$J$4467,0)),IFERROR(INDEX('CEMIUP0.9 Raw'!$B$6:$B$1712,MATCH($J1014,'CEMIUP0.9 Raw'!$B$6:$B$1712,0)),$J1014))</f>
        <v>4413335</v>
      </c>
      <c r="C1014" s="18" t="str">
        <f aca="false">IF(ISNUMBER($J1014),IFERROR(INDEX('TRANS'!$C:$C,MATCH($J1014,'TRANS'!$B:$B,0)),IFERROR(INDEX('Catalog'!$B:$B,MATCH($J1014,'Catalog'!$A:$A,0)),$B1014)),$B1014)</f>
        <v>322-S מגן קרסול+כרית סילקון</v>
      </c>
      <c r="D1014" s="19" t="n">
        <f aca="false">SUMIFS('SALES Raw'!$C$6:$C$4467,'SALES Raw'!$J$6:$J$4467,$J1014,'SALES Raw'!$K$6:$K$4467,"Y")+SUMIFS('CEMIUP0.9 Raw'!$D$6:$D$1712,'CEMIUP0.9 Raw'!$B$6:$B$1712,$J1014,'CEMIUP0.9 Raw'!$H$6:$H$1712,"Y")</f>
        <v>2</v>
      </c>
      <c r="E1014" s="19" t="n">
        <f aca="false">SUMIFS('SALES Raw'!$D$6:$D$4467,'SALES Raw'!$J$6:$J$4467,$J1014,'SALES Raw'!$K$6:$K$4467,"Y")+SUMIFS('CEMIUP0.9 Raw'!$E$6:$E$1712,'CEMIUP0.9 Raw'!$B$6:$B$1712,$J1014,'CEMIUP0.9 Raw'!$H$6:$H$1712,"Y")</f>
        <v>232.505</v>
      </c>
      <c r="F1014" s="19" t="n">
        <f aca="false">SUMIFS('SALES Raw'!$E$6:$E$4467,'SALES Raw'!$J$6:$J$4467,$J1014,'SALES Raw'!$K$6:$K$4467,"Y")*$H$4+SUMIFS('CEMIUP0.9 Raw'!$F$6:$F$1712,'CEMIUP0.9 Raw'!$B$6:$B$1712,$J1014,'CEMIUP0.9 Raw'!$H$6:$H$1712,"Y")</f>
        <v>0</v>
      </c>
      <c r="G1014" s="19" t="n">
        <f aca="false">SUMIFS('SALES Raw'!$F$6:$F$4467,'SALES Raw'!$J$6:$J$4467,$J1014,'SALES Raw'!$K$6:$K$4467,"Y")*$H$4+SUMIFS('CEMIUP0.9 Raw'!$G$6:$G$1712,'CEMIUP0.9 Raw'!$B$6:$B$1712,$J1014,'CEMIUP0.9 Raw'!$H$6:$H$1712,"Y")</f>
        <v>0</v>
      </c>
      <c r="H1014" s="18" t="s">
        <v>43</v>
      </c>
      <c r="I1014" s="18"/>
      <c r="J1014" s="18" t="n">
        <v>4413335</v>
      </c>
    </row>
    <row r="1015" customFormat="false" ht="15" hidden="false" customHeight="false" outlineLevel="0" collapsed="false">
      <c r="A1015" s="18" t="n">
        <f aca="false">IF(ISNUMBER($J1015),$J1015,"")</f>
        <v>4413336</v>
      </c>
      <c r="B1015" s="18" t="n">
        <f aca="false">IFERROR(INDEX('SALES Raw'!$B$6:$B$4467,MATCH($J1015,'SALES Raw'!$J$6:$J$4467,0)),IFERROR(INDEX('CEMIUP0.9 Raw'!$B$6:$B$1712,MATCH($J1015,'CEMIUP0.9 Raw'!$B$6:$B$1712,0)),$J1015))</f>
        <v>4413336</v>
      </c>
      <c r="C1015" s="18" t="str">
        <f aca="false">IF(ISNUMBER($J1015),IFERROR(INDEX('TRANS'!$C:$C,MATCH($J1015,'TRANS'!$B:$B,0)),IFERROR(INDEX('Catalog'!$B:$B,MATCH($J1015,'Catalog'!$A:$A,0)),$B1015)),$B1015)</f>
        <v>322-M מגן קרסול+כרית סילקון</v>
      </c>
      <c r="D1015" s="19" t="n">
        <f aca="false">SUMIFS('SALES Raw'!$C$6:$C$4467,'SALES Raw'!$J$6:$J$4467,$J1015,'SALES Raw'!$K$6:$K$4467,"Y")+SUMIFS('CEMIUP0.9 Raw'!$D$6:$D$1712,'CEMIUP0.9 Raw'!$B$6:$B$1712,$J1015,'CEMIUP0.9 Raw'!$H$6:$H$1712,"Y")</f>
        <v>1</v>
      </c>
      <c r="E1015" s="19" t="n">
        <f aca="false">SUMIFS('SALES Raw'!$D$6:$D$4467,'SALES Raw'!$J$6:$J$4467,$J1015,'SALES Raw'!$K$6:$K$4467,"Y")+SUMIFS('CEMIUP0.9 Raw'!$E$6:$E$1712,'CEMIUP0.9 Raw'!$B$6:$B$1712,$J1015,'CEMIUP0.9 Raw'!$H$6:$H$1712,"Y")</f>
        <v>116.389</v>
      </c>
      <c r="F1015" s="19" t="n">
        <f aca="false">SUMIFS('SALES Raw'!$E$6:$E$4467,'SALES Raw'!$J$6:$J$4467,$J1015,'SALES Raw'!$K$6:$K$4467,"Y")*$H$4+SUMIFS('CEMIUP0.9 Raw'!$F$6:$F$1712,'CEMIUP0.9 Raw'!$B$6:$B$1712,$J1015,'CEMIUP0.9 Raw'!$H$6:$H$1712,"Y")</f>
        <v>0</v>
      </c>
      <c r="G1015" s="19" t="n">
        <f aca="false">SUMIFS('SALES Raw'!$F$6:$F$4467,'SALES Raw'!$J$6:$J$4467,$J1015,'SALES Raw'!$K$6:$K$4467,"Y")*$H$4+SUMIFS('CEMIUP0.9 Raw'!$G$6:$G$1712,'CEMIUP0.9 Raw'!$B$6:$B$1712,$J1015,'CEMIUP0.9 Raw'!$H$6:$H$1712,"Y")</f>
        <v>0</v>
      </c>
      <c r="H1015" s="18" t="s">
        <v>43</v>
      </c>
      <c r="I1015" s="18"/>
      <c r="J1015" s="18" t="n">
        <v>4413336</v>
      </c>
    </row>
    <row r="1016" customFormat="false" ht="15" hidden="false" customHeight="false" outlineLevel="0" collapsed="false">
      <c r="A1016" s="18" t="n">
        <f aca="false">IF(ISNUMBER($J1016),$J1016,"")</f>
        <v>4413338</v>
      </c>
      <c r="B1016" s="18" t="n">
        <f aca="false">IFERROR(INDEX('SALES Raw'!$B$6:$B$4467,MATCH($J1016,'SALES Raw'!$J$6:$J$4467,0)),IFERROR(INDEX('CEMIUP0.9 Raw'!$B$6:$B$1712,MATCH($J1016,'CEMIUP0.9 Raw'!$B$6:$B$1712,0)),$J1016))</f>
        <v>4413338</v>
      </c>
      <c r="C1016" s="18" t="str">
        <f aca="false">IF(ISNUMBER($J1016),IFERROR(INDEX('TRANS'!$C:$C,MATCH($J1016,'TRANS'!$B:$B,0)),IFERROR(INDEX('Catalog'!$B:$B,MATCH($J1016,'Catalog'!$A:$A,0)),$B1016)),$B1016)</f>
        <v>322XXLמגן קרסול+כרית סילקון</v>
      </c>
      <c r="D1016" s="19" t="n">
        <f aca="false">SUMIFS('SALES Raw'!$C$6:$C$4467,'SALES Raw'!$J$6:$J$4467,$J1016,'SALES Raw'!$K$6:$K$4467,"Y")+SUMIFS('CEMIUP0.9 Raw'!$D$6:$D$1712,'CEMIUP0.9 Raw'!$B$6:$B$1712,$J1016,'CEMIUP0.9 Raw'!$H$6:$H$1712,"Y")</f>
        <v>1</v>
      </c>
      <c r="E1016" s="19" t="n">
        <f aca="false">SUMIFS('SALES Raw'!$D$6:$D$4467,'SALES Raw'!$J$6:$J$4467,$J1016,'SALES Raw'!$K$6:$K$4467,"Y")+SUMIFS('CEMIUP0.9 Raw'!$E$6:$E$1712,'CEMIUP0.9 Raw'!$B$6:$B$1712,$J1016,'CEMIUP0.9 Raw'!$H$6:$H$1712,"Y")</f>
        <v>116.116</v>
      </c>
      <c r="F1016" s="19" t="n">
        <f aca="false">SUMIFS('SALES Raw'!$E$6:$E$4467,'SALES Raw'!$J$6:$J$4467,$J1016,'SALES Raw'!$K$6:$K$4467,"Y")*$H$4+SUMIFS('CEMIUP0.9 Raw'!$F$6:$F$1712,'CEMIUP0.9 Raw'!$B$6:$B$1712,$J1016,'CEMIUP0.9 Raw'!$H$6:$H$1712,"Y")</f>
        <v>0</v>
      </c>
      <c r="G1016" s="19" t="n">
        <f aca="false">SUMIFS('SALES Raw'!$F$6:$F$4467,'SALES Raw'!$J$6:$J$4467,$J1016,'SALES Raw'!$K$6:$K$4467,"Y")*$H$4+SUMIFS('CEMIUP0.9 Raw'!$G$6:$G$1712,'CEMIUP0.9 Raw'!$B$6:$B$1712,$J1016,'CEMIUP0.9 Raw'!$H$6:$H$1712,"Y")</f>
        <v>0</v>
      </c>
      <c r="H1016" s="18" t="s">
        <v>43</v>
      </c>
      <c r="I1016" s="18"/>
      <c r="J1016" s="18" t="n">
        <v>4413338</v>
      </c>
    </row>
    <row r="1017" customFormat="false" ht="15" hidden="false" customHeight="false" outlineLevel="0" collapsed="false">
      <c r="A1017" s="18" t="n">
        <f aca="false">IF(ISNUMBER($J1017),$J1017,"")</f>
        <v>4413341</v>
      </c>
      <c r="B1017" s="18" t="n">
        <f aca="false">IFERROR(INDEX('SALES Raw'!$B$6:$B$4467,MATCH($J1017,'SALES Raw'!$J$6:$J$4467,0)),IFERROR(INDEX('CEMIUP0.9 Raw'!$B$6:$B$1712,MATCH($J1017,'CEMIUP0.9 Raw'!$B$6:$B$1712,0)),$J1017))</f>
        <v>4413341</v>
      </c>
      <c r="C1017" s="18" t="str">
        <f aca="false">IF(ISNUMBER($J1017),IFERROR(INDEX('TRANS'!$C:$C,MATCH($J1017,'TRANS'!$B:$B,0)),IFERROR(INDEX('Catalog'!$B:$B,MATCH($J1017,'Catalog'!$A:$A,0)),$B1017)),$B1017)</f>
        <v>422N L מ.ברך אפור+כרית סיליקון</v>
      </c>
      <c r="D1017" s="19" t="n">
        <f aca="false">SUMIFS('SALES Raw'!$C$6:$C$4467,'SALES Raw'!$J$6:$J$4467,$J1017,'SALES Raw'!$K$6:$K$4467,"Y")+SUMIFS('CEMIUP0.9 Raw'!$D$6:$D$1712,'CEMIUP0.9 Raw'!$B$6:$B$1712,$J1017,'CEMIUP0.9 Raw'!$H$6:$H$1712,"Y")</f>
        <v>3</v>
      </c>
      <c r="E1017" s="19" t="n">
        <f aca="false">SUMIFS('SALES Raw'!$D$6:$D$4467,'SALES Raw'!$J$6:$J$4467,$J1017,'SALES Raw'!$K$6:$K$4467,"Y")+SUMIFS('CEMIUP0.9 Raw'!$E$6:$E$1712,'CEMIUP0.9 Raw'!$B$6:$B$1712,$J1017,'CEMIUP0.9 Raw'!$H$6:$H$1712,"Y")</f>
        <v>466.284</v>
      </c>
      <c r="F1017" s="19" t="n">
        <f aca="false">SUMIFS('SALES Raw'!$E$6:$E$4467,'SALES Raw'!$J$6:$J$4467,$J1017,'SALES Raw'!$K$6:$K$4467,"Y")*$H$4+SUMIFS('CEMIUP0.9 Raw'!$F$6:$F$1712,'CEMIUP0.9 Raw'!$B$6:$B$1712,$J1017,'CEMIUP0.9 Raw'!$H$6:$H$1712,"Y")</f>
        <v>0</v>
      </c>
      <c r="G1017" s="19" t="n">
        <f aca="false">SUMIFS('SALES Raw'!$F$6:$F$4467,'SALES Raw'!$J$6:$J$4467,$J1017,'SALES Raw'!$K$6:$K$4467,"Y")*$H$4+SUMIFS('CEMIUP0.9 Raw'!$G$6:$G$1712,'CEMIUP0.9 Raw'!$B$6:$B$1712,$J1017,'CEMIUP0.9 Raw'!$H$6:$H$1712,"Y")</f>
        <v>0</v>
      </c>
      <c r="H1017" s="18" t="s">
        <v>43</v>
      </c>
      <c r="I1017" s="18"/>
      <c r="J1017" s="18" t="n">
        <v>4413341</v>
      </c>
    </row>
    <row r="1018" customFormat="false" ht="15" hidden="false" customHeight="false" outlineLevel="0" collapsed="false">
      <c r="A1018" s="18" t="n">
        <f aca="false">IF(ISNUMBER($J1018),$J1018,"")</f>
        <v>4413342</v>
      </c>
      <c r="B1018" s="18" t="n">
        <f aca="false">IFERROR(INDEX('SALES Raw'!$B$6:$B$4467,MATCH($J1018,'SALES Raw'!$J$6:$J$4467,0)),IFERROR(INDEX('CEMIUP0.9 Raw'!$B$6:$B$1712,MATCH($J1018,'CEMIUP0.9 Raw'!$B$6:$B$1712,0)),$J1018))</f>
        <v>4413342</v>
      </c>
      <c r="C1018" s="18" t="str">
        <f aca="false">IF(ISNUMBER($J1018),IFERROR(INDEX('TRANS'!$C:$C,MATCH($J1018,'TRANS'!$B:$B,0)),IFERROR(INDEX('Catalog'!$B:$B,MATCH($J1018,'Catalog'!$A:$A,0)),$B1018)),$B1018)</f>
        <v>422N M מ.ברך אפור+כרית סיליקון</v>
      </c>
      <c r="D1018" s="19" t="n">
        <f aca="false">SUMIFS('SALES Raw'!$C$6:$C$4467,'SALES Raw'!$J$6:$J$4467,$J1018,'SALES Raw'!$K$6:$K$4467,"Y")+SUMIFS('CEMIUP0.9 Raw'!$D$6:$D$1712,'CEMIUP0.9 Raw'!$B$6:$B$1712,$J1018,'CEMIUP0.9 Raw'!$H$6:$H$1712,"Y")</f>
        <v>4</v>
      </c>
      <c r="E1018" s="19" t="n">
        <f aca="false">SUMIFS('SALES Raw'!$D$6:$D$4467,'SALES Raw'!$J$6:$J$4467,$J1018,'SALES Raw'!$K$6:$K$4467,"Y")+SUMIFS('CEMIUP0.9 Raw'!$E$6:$E$1712,'CEMIUP0.9 Raw'!$B$6:$B$1712,$J1018,'CEMIUP0.9 Raw'!$H$6:$H$1712,"Y")</f>
        <v>623.441</v>
      </c>
      <c r="F1018" s="19" t="n">
        <f aca="false">SUMIFS('SALES Raw'!$E$6:$E$4467,'SALES Raw'!$J$6:$J$4467,$J1018,'SALES Raw'!$K$6:$K$4467,"Y")*$H$4+SUMIFS('CEMIUP0.9 Raw'!$F$6:$F$1712,'CEMIUP0.9 Raw'!$B$6:$B$1712,$J1018,'CEMIUP0.9 Raw'!$H$6:$H$1712,"Y")</f>
        <v>0</v>
      </c>
      <c r="G1018" s="19" t="n">
        <f aca="false">SUMIFS('SALES Raw'!$F$6:$F$4467,'SALES Raw'!$J$6:$J$4467,$J1018,'SALES Raw'!$K$6:$K$4467,"Y")*$H$4+SUMIFS('CEMIUP0.9 Raw'!$G$6:$G$1712,'CEMIUP0.9 Raw'!$B$6:$B$1712,$J1018,'CEMIUP0.9 Raw'!$H$6:$H$1712,"Y")</f>
        <v>0</v>
      </c>
      <c r="H1018" s="18" t="s">
        <v>43</v>
      </c>
      <c r="I1018" s="18"/>
      <c r="J1018" s="18" t="n">
        <v>4413342</v>
      </c>
    </row>
    <row r="1019" customFormat="false" ht="15" hidden="false" customHeight="false" outlineLevel="0" collapsed="false">
      <c r="A1019" s="18" t="n">
        <f aca="false">IF(ISNUMBER($J1019),$J1019,"")</f>
        <v>4413344</v>
      </c>
      <c r="B1019" s="18" t="n">
        <f aca="false">IFERROR(INDEX('SALES Raw'!$B$6:$B$4467,MATCH($J1019,'SALES Raw'!$J$6:$J$4467,0)),IFERROR(INDEX('CEMIUP0.9 Raw'!$B$6:$B$1712,MATCH($J1019,'CEMIUP0.9 Raw'!$B$6:$B$1712,0)),$J1019))</f>
        <v>4413344</v>
      </c>
      <c r="C1019" s="18" t="str">
        <f aca="false">IF(ISNUMBER($J1019),IFERROR(INDEX('TRANS'!$C:$C,MATCH($J1019,'TRANS'!$B:$B,0)),IFERROR(INDEX('Catalog'!$B:$B,MATCH($J1019,'Catalog'!$A:$A,0)),$B1019)),$B1019)</f>
        <v>422N XLמ.ברך אפור+כרית סיליקון</v>
      </c>
      <c r="D1019" s="19" t="n">
        <f aca="false">SUMIFS('SALES Raw'!$C$6:$C$4467,'SALES Raw'!$J$6:$J$4467,$J1019,'SALES Raw'!$K$6:$K$4467,"Y")+SUMIFS('CEMIUP0.9 Raw'!$D$6:$D$1712,'CEMIUP0.9 Raw'!$B$6:$B$1712,$J1019,'CEMIUP0.9 Raw'!$H$6:$H$1712,"Y")</f>
        <v>1</v>
      </c>
      <c r="E1019" s="19" t="n">
        <f aca="false">SUMIFS('SALES Raw'!$D$6:$D$4467,'SALES Raw'!$J$6:$J$4467,$J1019,'SALES Raw'!$K$6:$K$4467,"Y")+SUMIFS('CEMIUP0.9 Raw'!$E$6:$E$1712,'CEMIUP0.9 Raw'!$B$6:$B$1712,$J1019,'CEMIUP0.9 Raw'!$H$6:$H$1712,"Y")</f>
        <v>159.25</v>
      </c>
      <c r="F1019" s="19" t="n">
        <f aca="false">SUMIFS('SALES Raw'!$E$6:$E$4467,'SALES Raw'!$J$6:$J$4467,$J1019,'SALES Raw'!$K$6:$K$4467,"Y")*$H$4+SUMIFS('CEMIUP0.9 Raw'!$F$6:$F$1712,'CEMIUP0.9 Raw'!$B$6:$B$1712,$J1019,'CEMIUP0.9 Raw'!$H$6:$H$1712,"Y")</f>
        <v>0</v>
      </c>
      <c r="G1019" s="19" t="n">
        <f aca="false">SUMIFS('SALES Raw'!$F$6:$F$4467,'SALES Raw'!$J$6:$J$4467,$J1019,'SALES Raw'!$K$6:$K$4467,"Y")*$H$4+SUMIFS('CEMIUP0.9 Raw'!$G$6:$G$1712,'CEMIUP0.9 Raw'!$B$6:$B$1712,$J1019,'CEMIUP0.9 Raw'!$H$6:$H$1712,"Y")</f>
        <v>0</v>
      </c>
      <c r="H1019" s="18" t="s">
        <v>43</v>
      </c>
      <c r="I1019" s="18"/>
      <c r="J1019" s="18" t="n">
        <v>4413344</v>
      </c>
    </row>
    <row r="1020" customFormat="false" ht="15" hidden="false" customHeight="false" outlineLevel="0" collapsed="false">
      <c r="A1020" s="18" t="n">
        <f aca="false">IF(ISNUMBER($J1020),$J1020,"")</f>
        <v>4413345</v>
      </c>
      <c r="B1020" s="18" t="n">
        <f aca="false">IFERROR(INDEX('SALES Raw'!$B$6:$B$4467,MATCH($J1020,'SALES Raw'!$J$6:$J$4467,0)),IFERROR(INDEX('CEMIUP0.9 Raw'!$B$6:$B$1712,MATCH($J1020,'CEMIUP0.9 Raw'!$B$6:$B$1712,0)),$J1020))</f>
        <v>4413345</v>
      </c>
      <c r="C1020" s="18" t="str">
        <f aca="false">IF(ISNUMBER($J1020),IFERROR(INDEX('TRANS'!$C:$C,MATCH($J1020,'TRANS'!$B:$B,0)),IFERROR(INDEX('Catalog'!$B:$B,MATCH($J1020,'Catalog'!$A:$A,0)),$B1020)),$B1020)</f>
        <v>422N XXL.מ.ברך אפור+כרית סיליק</v>
      </c>
      <c r="D1020" s="19" t="n">
        <f aca="false">SUMIFS('SALES Raw'!$C$6:$C$4467,'SALES Raw'!$J$6:$J$4467,$J1020,'SALES Raw'!$K$6:$K$4467,"Y")+SUMIFS('CEMIUP0.9 Raw'!$D$6:$D$1712,'CEMIUP0.9 Raw'!$B$6:$B$1712,$J1020,'CEMIUP0.9 Raw'!$H$6:$H$1712,"Y")</f>
        <v>3</v>
      </c>
      <c r="E1020" s="19" t="n">
        <f aca="false">SUMIFS('SALES Raw'!$D$6:$D$4467,'SALES Raw'!$J$6:$J$4467,$J1020,'SALES Raw'!$K$6:$K$4467,"Y")+SUMIFS('CEMIUP0.9 Raw'!$E$6:$E$1712,'CEMIUP0.9 Raw'!$B$6:$B$1712,$J1020,'CEMIUP0.9 Raw'!$H$6:$H$1712,"Y")</f>
        <v>477.568</v>
      </c>
      <c r="F1020" s="19" t="n">
        <f aca="false">SUMIFS('SALES Raw'!$E$6:$E$4467,'SALES Raw'!$J$6:$J$4467,$J1020,'SALES Raw'!$K$6:$K$4467,"Y")*$H$4+SUMIFS('CEMIUP0.9 Raw'!$F$6:$F$1712,'CEMIUP0.9 Raw'!$B$6:$B$1712,$J1020,'CEMIUP0.9 Raw'!$H$6:$H$1712,"Y")</f>
        <v>0</v>
      </c>
      <c r="G1020" s="19" t="n">
        <f aca="false">SUMIFS('SALES Raw'!$F$6:$F$4467,'SALES Raw'!$J$6:$J$4467,$J1020,'SALES Raw'!$K$6:$K$4467,"Y")*$H$4+SUMIFS('CEMIUP0.9 Raw'!$G$6:$G$1712,'CEMIUP0.9 Raw'!$B$6:$B$1712,$J1020,'CEMIUP0.9 Raw'!$H$6:$H$1712,"Y")</f>
        <v>0</v>
      </c>
      <c r="H1020" s="18" t="s">
        <v>43</v>
      </c>
      <c r="I1020" s="18"/>
      <c r="J1020" s="18" t="n">
        <v>4413345</v>
      </c>
    </row>
    <row r="1021" customFormat="false" ht="15" hidden="false" customHeight="false" outlineLevel="0" collapsed="false">
      <c r="A1021" s="18" t="n">
        <f aca="false">IF(ISNUMBER($J1021),$J1021,"")</f>
        <v>4413403</v>
      </c>
      <c r="B1021" s="18" t="n">
        <f aca="false">IFERROR(INDEX('SALES Raw'!$B$6:$B$4467,MATCH($J1021,'SALES Raw'!$J$6:$J$4467,0)),IFERROR(INDEX('CEMIUP0.9 Raw'!$B$6:$B$1712,MATCH($J1021,'CEMIUP0.9 Raw'!$B$6:$B$1712,0)),$J1021))</f>
        <v>4413403</v>
      </c>
      <c r="C1021" s="18" t="str">
        <f aca="false">IF(ISNUMBER($J1021),IFERROR(INDEX('TRANS'!$C:$C,MATCH($J1021,'TRANS'!$B:$B,0)),IFERROR(INDEX('Catalog'!$B:$B,MATCH($J1021,'Catalog'!$A:$A,0)),$B1021)),$B1021)</f>
        <v>78A L מגן למפרק כתף</v>
      </c>
      <c r="D1021" s="19" t="n">
        <f aca="false">SUMIFS('SALES Raw'!$C$6:$C$4467,'SALES Raw'!$J$6:$J$4467,$J1021,'SALES Raw'!$K$6:$K$4467,"Y")+SUMIFS('CEMIUP0.9 Raw'!$D$6:$D$1712,'CEMIUP0.9 Raw'!$B$6:$B$1712,$J1021,'CEMIUP0.9 Raw'!$H$6:$H$1712,"Y")</f>
        <v>-1</v>
      </c>
      <c r="E1021" s="19" t="n">
        <f aca="false">SUMIFS('SALES Raw'!$D$6:$D$4467,'SALES Raw'!$J$6:$J$4467,$J1021,'SALES Raw'!$K$6:$K$4467,"Y")+SUMIFS('CEMIUP0.9 Raw'!$E$6:$E$1712,'CEMIUP0.9 Raw'!$B$6:$B$1712,$J1021,'CEMIUP0.9 Raw'!$H$6:$H$1712,"Y")</f>
        <v>-150.514</v>
      </c>
      <c r="F1021" s="19" t="n">
        <f aca="false">SUMIFS('SALES Raw'!$E$6:$E$4467,'SALES Raw'!$J$6:$J$4467,$J1021,'SALES Raw'!$K$6:$K$4467,"Y")*$H$4+SUMIFS('CEMIUP0.9 Raw'!$F$6:$F$1712,'CEMIUP0.9 Raw'!$B$6:$B$1712,$J1021,'CEMIUP0.9 Raw'!$H$6:$H$1712,"Y")</f>
        <v>0</v>
      </c>
      <c r="G1021" s="19" t="n">
        <f aca="false">SUMIFS('SALES Raw'!$F$6:$F$4467,'SALES Raw'!$J$6:$J$4467,$J1021,'SALES Raw'!$K$6:$K$4467,"Y")*$H$4+SUMIFS('CEMIUP0.9 Raw'!$G$6:$G$1712,'CEMIUP0.9 Raw'!$B$6:$B$1712,$J1021,'CEMIUP0.9 Raw'!$H$6:$H$1712,"Y")</f>
        <v>0</v>
      </c>
      <c r="H1021" s="18" t="s">
        <v>43</v>
      </c>
      <c r="I1021" s="18"/>
      <c r="J1021" s="18" t="n">
        <v>4413403</v>
      </c>
    </row>
    <row r="1022" customFormat="false" ht="15" hidden="false" customHeight="false" outlineLevel="0" collapsed="false">
      <c r="A1022" s="18" t="n">
        <f aca="false">IF(ISNUMBER($J1022),$J1022,"")</f>
        <v>4413444</v>
      </c>
      <c r="B1022" s="18" t="n">
        <f aca="false">IFERROR(INDEX('SALES Raw'!$B$6:$B$4467,MATCH($J1022,'SALES Raw'!$J$6:$J$4467,0)),IFERROR(INDEX('CEMIUP0.9 Raw'!$B$6:$B$1712,MATCH($J1022,'CEMIUP0.9 Raw'!$B$6:$B$1712,0)),$J1022))</f>
        <v>4413444</v>
      </c>
      <c r="C1022" s="18" t="str">
        <f aca="false">IF(ISNUMBER($J1022),IFERROR(INDEX('TRANS'!$C:$C,MATCH($J1022,'TRANS'!$B:$B,0)),IFERROR(INDEX('Catalog'!$B:$B,MATCH($J1022,'Catalog'!$A:$A,0)),$B1022)),$B1022)</f>
        <v>302SP M מדרס ג'ל ספורט לגבר</v>
      </c>
      <c r="D1022" s="19" t="n">
        <f aca="false">SUMIFS('SALES Raw'!$C$6:$C$4467,'SALES Raw'!$J$6:$J$4467,$J1022,'SALES Raw'!$K$6:$K$4467,"Y")+SUMIFS('CEMIUP0.9 Raw'!$D$6:$D$1712,'CEMIUP0.9 Raw'!$B$6:$B$1712,$J1022,'CEMIUP0.9 Raw'!$H$6:$H$1712,"Y")</f>
        <v>-2</v>
      </c>
      <c r="E1022" s="19" t="n">
        <f aca="false">SUMIFS('SALES Raw'!$D$6:$D$4467,'SALES Raw'!$J$6:$J$4467,$J1022,'SALES Raw'!$K$6:$K$4467,"Y")+SUMIFS('CEMIUP0.9 Raw'!$E$6:$E$1712,'CEMIUP0.9 Raw'!$B$6:$B$1712,$J1022,'CEMIUP0.9 Raw'!$H$6:$H$1712,"Y")</f>
        <v>-131.495</v>
      </c>
      <c r="F1022" s="19" t="n">
        <f aca="false">SUMIFS('SALES Raw'!$E$6:$E$4467,'SALES Raw'!$J$6:$J$4467,$J1022,'SALES Raw'!$K$6:$K$4467,"Y")*$H$4+SUMIFS('CEMIUP0.9 Raw'!$F$6:$F$1712,'CEMIUP0.9 Raw'!$B$6:$B$1712,$J1022,'CEMIUP0.9 Raw'!$H$6:$H$1712,"Y")</f>
        <v>0</v>
      </c>
      <c r="G1022" s="19" t="n">
        <f aca="false">SUMIFS('SALES Raw'!$F$6:$F$4467,'SALES Raw'!$J$6:$J$4467,$J1022,'SALES Raw'!$K$6:$K$4467,"Y")*$H$4+SUMIFS('CEMIUP0.9 Raw'!$G$6:$G$1712,'CEMIUP0.9 Raw'!$B$6:$B$1712,$J1022,'CEMIUP0.9 Raw'!$H$6:$H$1712,"Y")</f>
        <v>0</v>
      </c>
      <c r="H1022" s="18" t="s">
        <v>43</v>
      </c>
      <c r="I1022" s="18"/>
      <c r="J1022" s="18" t="n">
        <v>4413444</v>
      </c>
    </row>
    <row r="1023" customFormat="false" ht="15" hidden="false" customHeight="false" outlineLevel="0" collapsed="false">
      <c r="A1023" s="18" t="n">
        <f aca="false">IF(ISNUMBER($J1023),$J1023,"")</f>
        <v>4413464</v>
      </c>
      <c r="B1023" s="18" t="n">
        <f aca="false">IFERROR(INDEX('SALES Raw'!$B$6:$B$4467,MATCH($J1023,'SALES Raw'!$J$6:$J$4467,0)),IFERROR(INDEX('CEMIUP0.9 Raw'!$B$6:$B$1712,MATCH($J1023,'CEMIUP0.9 Raw'!$B$6:$B$1712,0)),$J1023))</f>
        <v>4413464</v>
      </c>
      <c r="C1023" s="18" t="str">
        <f aca="false">IF(ISNUMBER($J1023),IFERROR(INDEX('TRANS'!$C:$C,MATCH($J1023,'TRANS'!$B:$B,0)),IFERROR(INDEX('Catalog'!$B:$B,MATCH($J1023,'Catalog'!$A:$A,0)),$B1023)),$B1023)</f>
        <v>605XL מסכה אלה</v>
      </c>
      <c r="D1023" s="19" t="n">
        <f aca="false">SUMIFS('SALES Raw'!$C$6:$C$4467,'SALES Raw'!$J$6:$J$4467,$J1023,'SALES Raw'!$K$6:$K$4467,"Y")+SUMIFS('CEMIUP0.9 Raw'!$D$6:$D$1712,'CEMIUP0.9 Raw'!$B$6:$B$1712,$J1023,'CEMIUP0.9 Raw'!$H$6:$H$1712,"Y")</f>
        <v>-4</v>
      </c>
      <c r="E1023" s="19" t="n">
        <f aca="false">SUMIFS('SALES Raw'!$D$6:$D$4467,'SALES Raw'!$J$6:$J$4467,$J1023,'SALES Raw'!$K$6:$K$4467,"Y")+SUMIFS('CEMIUP0.9 Raw'!$E$6:$E$1712,'CEMIUP0.9 Raw'!$B$6:$B$1712,$J1023,'CEMIUP0.9 Raw'!$H$6:$H$1712,"Y")</f>
        <v>-29.575</v>
      </c>
      <c r="F1023" s="19" t="n">
        <f aca="false">SUMIFS('SALES Raw'!$E$6:$E$4467,'SALES Raw'!$J$6:$J$4467,$J1023,'SALES Raw'!$K$6:$K$4467,"Y")*$H$4+SUMIFS('CEMIUP0.9 Raw'!$F$6:$F$1712,'CEMIUP0.9 Raw'!$B$6:$B$1712,$J1023,'CEMIUP0.9 Raw'!$H$6:$H$1712,"Y")</f>
        <v>0</v>
      </c>
      <c r="G1023" s="19" t="n">
        <f aca="false">SUMIFS('SALES Raw'!$F$6:$F$4467,'SALES Raw'!$J$6:$J$4467,$J1023,'SALES Raw'!$K$6:$K$4467,"Y")*$H$4+SUMIFS('CEMIUP0.9 Raw'!$G$6:$G$1712,'CEMIUP0.9 Raw'!$B$6:$B$1712,$J1023,'CEMIUP0.9 Raw'!$H$6:$H$1712,"Y")</f>
        <v>0</v>
      </c>
      <c r="H1023" s="18" t="s">
        <v>43</v>
      </c>
      <c r="I1023" s="18"/>
      <c r="J1023" s="18" t="n">
        <v>4413464</v>
      </c>
    </row>
    <row r="1024" customFormat="false" ht="15" hidden="false" customHeight="false" outlineLevel="0" collapsed="false">
      <c r="A1024" s="18" t="n">
        <f aca="false">IF(ISNUMBER($J1024),$J1024,"")</f>
        <v>4413482</v>
      </c>
      <c r="B1024" s="18" t="n">
        <f aca="false">IFERROR(INDEX('SALES Raw'!$B$6:$B$4467,MATCH($J1024,'SALES Raw'!$J$6:$J$4467,0)),IFERROR(INDEX('CEMIUP0.9 Raw'!$B$6:$B$1712,MATCH($J1024,'CEMIUP0.9 Raw'!$B$6:$B$1712,0)),$J1024))</f>
        <v>4413482</v>
      </c>
      <c r="C1024" s="18" t="str">
        <f aca="false">IF(ISNUMBER($J1024),IFERROR(INDEX('TRANS'!$C:$C,MATCH($J1024,'TRANS'!$B:$B,0)),IFERROR(INDEX('Catalog'!$B:$B,MATCH($J1024,'Catalog'!$A:$A,0)),$B1024)),$B1024)</f>
        <v>310Lמדרס 3/4לכאבי דורבן וספורט</v>
      </c>
      <c r="D1024" s="19" t="n">
        <f aca="false">SUMIFS('SALES Raw'!$C$6:$C$4467,'SALES Raw'!$J$6:$J$4467,$J1024,'SALES Raw'!$K$6:$K$4467,"Y")+SUMIFS('CEMIUP0.9 Raw'!$D$6:$D$1712,'CEMIUP0.9 Raw'!$B$6:$B$1712,$J1024,'CEMIUP0.9 Raw'!$H$6:$H$1712,"Y")</f>
        <v>-1</v>
      </c>
      <c r="E1024" s="19" t="n">
        <f aca="false">SUMIFS('SALES Raw'!$D$6:$D$4467,'SALES Raw'!$J$6:$J$4467,$J1024,'SALES Raw'!$K$6:$K$4467,"Y")+SUMIFS('CEMIUP0.9 Raw'!$E$6:$E$1712,'CEMIUP0.9 Raw'!$B$6:$B$1712,$J1024,'CEMIUP0.9 Raw'!$H$6:$H$1712,"Y")</f>
        <v>-68.796</v>
      </c>
      <c r="F1024" s="19" t="n">
        <f aca="false">SUMIFS('SALES Raw'!$E$6:$E$4467,'SALES Raw'!$J$6:$J$4467,$J1024,'SALES Raw'!$K$6:$K$4467,"Y")*$H$4+SUMIFS('CEMIUP0.9 Raw'!$F$6:$F$1712,'CEMIUP0.9 Raw'!$B$6:$B$1712,$J1024,'CEMIUP0.9 Raw'!$H$6:$H$1712,"Y")</f>
        <v>0</v>
      </c>
      <c r="G1024" s="19" t="n">
        <f aca="false">SUMIFS('SALES Raw'!$F$6:$F$4467,'SALES Raw'!$J$6:$J$4467,$J1024,'SALES Raw'!$K$6:$K$4467,"Y")*$H$4+SUMIFS('CEMIUP0.9 Raw'!$G$6:$G$1712,'CEMIUP0.9 Raw'!$B$6:$B$1712,$J1024,'CEMIUP0.9 Raw'!$H$6:$H$1712,"Y")</f>
        <v>0</v>
      </c>
      <c r="H1024" s="18" t="s">
        <v>43</v>
      </c>
      <c r="I1024" s="18"/>
      <c r="J1024" s="18" t="n">
        <v>4413482</v>
      </c>
    </row>
    <row r="1025" customFormat="false" ht="15" hidden="false" customHeight="false" outlineLevel="0" collapsed="false">
      <c r="A1025" s="18" t="n">
        <f aca="false">IF(ISNUMBER($J1025),$J1025,"")</f>
        <v>4413530</v>
      </c>
      <c r="B1025" s="18" t="n">
        <f aca="false">IFERROR(INDEX('SALES Raw'!$B$6:$B$4467,MATCH($J1025,'SALES Raw'!$J$6:$J$4467,0)),IFERROR(INDEX('CEMIUP0.9 Raw'!$B$6:$B$1712,MATCH($J1025,'CEMIUP0.9 Raw'!$B$6:$B$1712,0)),$J1025))</f>
        <v>4413530</v>
      </c>
      <c r="C1025" s="18" t="str">
        <f aca="false">IF(ISNUMBER($J1025),IFERROR(INDEX('TRANS'!$C:$C,MATCH($J1025,'TRANS'!$B:$B,0)),IFERROR(INDEX('Catalog'!$B:$B,MATCH($J1025,'Catalog'!$A:$A,0)),$B1025)),$B1025)</f>
        <v>35C XXL מגן קרסול חום</v>
      </c>
      <c r="D1025" s="19" t="n">
        <f aca="false">SUMIFS('SALES Raw'!$C$6:$C$4467,'SALES Raw'!$J$6:$J$4467,$J1025,'SALES Raw'!$K$6:$K$4467,"Y")+SUMIFS('CEMIUP0.9 Raw'!$D$6:$D$1712,'CEMIUP0.9 Raw'!$B$6:$B$1712,$J1025,'CEMIUP0.9 Raw'!$H$6:$H$1712,"Y")</f>
        <v>1</v>
      </c>
      <c r="E1025" s="19" t="n">
        <f aca="false">SUMIFS('SALES Raw'!$D$6:$D$4467,'SALES Raw'!$J$6:$J$4467,$J1025,'SALES Raw'!$K$6:$K$4467,"Y")+SUMIFS('CEMIUP0.9 Raw'!$E$6:$E$1712,'CEMIUP0.9 Raw'!$B$6:$B$1712,$J1025,'CEMIUP0.9 Raw'!$H$6:$H$1712,"Y")</f>
        <v>26.208</v>
      </c>
      <c r="F1025" s="19" t="n">
        <f aca="false">SUMIFS('SALES Raw'!$E$6:$E$4467,'SALES Raw'!$J$6:$J$4467,$J1025,'SALES Raw'!$K$6:$K$4467,"Y")*$H$4+SUMIFS('CEMIUP0.9 Raw'!$F$6:$F$1712,'CEMIUP0.9 Raw'!$B$6:$B$1712,$J1025,'CEMIUP0.9 Raw'!$H$6:$H$1712,"Y")</f>
        <v>0</v>
      </c>
      <c r="G1025" s="19" t="n">
        <f aca="false">SUMIFS('SALES Raw'!$F$6:$F$4467,'SALES Raw'!$J$6:$J$4467,$J1025,'SALES Raw'!$K$6:$K$4467,"Y")*$H$4+SUMIFS('CEMIUP0.9 Raw'!$G$6:$G$1712,'CEMIUP0.9 Raw'!$B$6:$B$1712,$J1025,'CEMIUP0.9 Raw'!$H$6:$H$1712,"Y")</f>
        <v>0</v>
      </c>
      <c r="H1025" s="18" t="s">
        <v>43</v>
      </c>
      <c r="I1025" s="18"/>
      <c r="J1025" s="18" t="n">
        <v>4413530</v>
      </c>
    </row>
    <row r="1026" customFormat="false" ht="15" hidden="false" customHeight="false" outlineLevel="0" collapsed="false">
      <c r="A1026" s="18" t="n">
        <f aca="false">IF(ISNUMBER($J1026),$J1026,"")</f>
        <v>4415012</v>
      </c>
      <c r="B1026" s="18" t="n">
        <f aca="false">IFERROR(INDEX('SALES Raw'!$B$6:$B$4467,MATCH($J1026,'SALES Raw'!$J$6:$J$4467,0)),IFERROR(INDEX('CEMIUP0.9 Raw'!$B$6:$B$1712,MATCH($J1026,'CEMIUP0.9 Raw'!$B$6:$B$1712,0)),$J1026))</f>
        <v>4415012</v>
      </c>
      <c r="C1026" s="18" t="str">
        <f aca="false">IF(ISNUMBER($J1026),IFERROR(INDEX('TRANS'!$C:$C,MATCH($J1026,'TRANS'!$B:$B,0)),IFERROR(INDEX('Catalog'!$B:$B,MATCH($J1026,'Catalog'!$A:$A,0)),$B1026)),$B1026)</f>
        <v>32 M  סד קרסול+מוטות אלומיניום</v>
      </c>
      <c r="D1026" s="19" t="n">
        <f aca="false">SUMIFS('SALES Raw'!$C$6:$C$4467,'SALES Raw'!$J$6:$J$4467,$J1026,'SALES Raw'!$K$6:$K$4467,"Y")+SUMIFS('CEMIUP0.9 Raw'!$D$6:$D$1712,'CEMIUP0.9 Raw'!$B$6:$B$1712,$J1026,'CEMIUP0.9 Raw'!$H$6:$H$1712,"Y")</f>
        <v>1</v>
      </c>
      <c r="E1026" s="19" t="n">
        <f aca="false">SUMIFS('SALES Raw'!$D$6:$D$4467,'SALES Raw'!$J$6:$J$4467,$J1026,'SALES Raw'!$K$6:$K$4467,"Y")+SUMIFS('CEMIUP0.9 Raw'!$E$6:$E$1712,'CEMIUP0.9 Raw'!$B$6:$B$1712,$J1026,'CEMIUP0.9 Raw'!$H$6:$H$1712,"Y")</f>
        <v>180.726</v>
      </c>
      <c r="F1026" s="19" t="n">
        <f aca="false">SUMIFS('SALES Raw'!$E$6:$E$4467,'SALES Raw'!$J$6:$J$4467,$J1026,'SALES Raw'!$K$6:$K$4467,"Y")*$H$4+SUMIFS('CEMIUP0.9 Raw'!$F$6:$F$1712,'CEMIUP0.9 Raw'!$B$6:$B$1712,$J1026,'CEMIUP0.9 Raw'!$H$6:$H$1712,"Y")</f>
        <v>0</v>
      </c>
      <c r="G1026" s="19" t="n">
        <f aca="false">SUMIFS('SALES Raw'!$F$6:$F$4467,'SALES Raw'!$J$6:$J$4467,$J1026,'SALES Raw'!$K$6:$K$4467,"Y")*$H$4+SUMIFS('CEMIUP0.9 Raw'!$G$6:$G$1712,'CEMIUP0.9 Raw'!$B$6:$B$1712,$J1026,'CEMIUP0.9 Raw'!$H$6:$H$1712,"Y")</f>
        <v>0</v>
      </c>
      <c r="H1026" s="18" t="s">
        <v>43</v>
      </c>
      <c r="I1026" s="18"/>
      <c r="J1026" s="18" t="n">
        <v>4415012</v>
      </c>
    </row>
    <row r="1027" customFormat="false" ht="15" hidden="false" customHeight="false" outlineLevel="0" collapsed="false">
      <c r="A1027" s="18" t="n">
        <f aca="false">IF(ISNUMBER($J1027),$J1027,"")</f>
        <v>4415070</v>
      </c>
      <c r="B1027" s="18" t="n">
        <f aca="false">IFERROR(INDEX('SALES Raw'!$B$6:$B$4467,MATCH($J1027,'SALES Raw'!$J$6:$J$4467,0)),IFERROR(INDEX('CEMIUP0.9 Raw'!$B$6:$B$1712,MATCH($J1027,'CEMIUP0.9 Raw'!$B$6:$B$1712,0)),$J1027))</f>
        <v>4415070</v>
      </c>
      <c r="C1027" s="18" t="str">
        <f aca="false">IF(ISNUMBER($J1027),IFERROR(INDEX('TRANS'!$C:$C,MATCH($J1027,'TRANS'!$B:$B,0)),IFERROR(INDEX('Catalog'!$B:$B,MATCH($J1027,'Catalog'!$A:$A,0)),$B1027)),$B1027)</f>
        <v>T28C M סד לאגודל כפפה</v>
      </c>
      <c r="D1027" s="19" t="n">
        <f aca="false">SUMIFS('SALES Raw'!$C$6:$C$4467,'SALES Raw'!$J$6:$J$4467,$J1027,'SALES Raw'!$K$6:$K$4467,"Y")+SUMIFS('CEMIUP0.9 Raw'!$D$6:$D$1712,'CEMIUP0.9 Raw'!$B$6:$B$1712,$J1027,'CEMIUP0.9 Raw'!$H$6:$H$1712,"Y")</f>
        <v>1</v>
      </c>
      <c r="E1027" s="19" t="n">
        <f aca="false">SUMIFS('SALES Raw'!$D$6:$D$4467,'SALES Raw'!$J$6:$J$4467,$J1027,'SALES Raw'!$K$6:$K$4467,"Y")+SUMIFS('CEMIUP0.9 Raw'!$E$6:$E$1712,'CEMIUP0.9 Raw'!$B$6:$B$1712,$J1027,'CEMIUP0.9 Raw'!$H$6:$H$1712,"Y")</f>
        <v>60.151</v>
      </c>
      <c r="F1027" s="19" t="n">
        <f aca="false">SUMIFS('SALES Raw'!$E$6:$E$4467,'SALES Raw'!$J$6:$J$4467,$J1027,'SALES Raw'!$K$6:$K$4467,"Y")*$H$4+SUMIFS('CEMIUP0.9 Raw'!$F$6:$F$1712,'CEMIUP0.9 Raw'!$B$6:$B$1712,$J1027,'CEMIUP0.9 Raw'!$H$6:$H$1712,"Y")</f>
        <v>0</v>
      </c>
      <c r="G1027" s="19" t="n">
        <f aca="false">SUMIFS('SALES Raw'!$F$6:$F$4467,'SALES Raw'!$J$6:$J$4467,$J1027,'SALES Raw'!$K$6:$K$4467,"Y")*$H$4+SUMIFS('CEMIUP0.9 Raw'!$G$6:$G$1712,'CEMIUP0.9 Raw'!$B$6:$B$1712,$J1027,'CEMIUP0.9 Raw'!$H$6:$H$1712,"Y")</f>
        <v>0</v>
      </c>
      <c r="H1027" s="18" t="s">
        <v>43</v>
      </c>
      <c r="I1027" s="18"/>
      <c r="J1027" s="18" t="n">
        <v>4415070</v>
      </c>
    </row>
    <row r="1028" customFormat="false" ht="15" hidden="false" customHeight="false" outlineLevel="0" collapsed="false">
      <c r="A1028" s="18" t="n">
        <f aca="false">IF(ISNUMBER($J1028),$J1028,"")</f>
        <v>4415083</v>
      </c>
      <c r="B1028" s="18" t="n">
        <f aca="false">IFERROR(INDEX('SALES Raw'!$B$6:$B$4467,MATCH($J1028,'SALES Raw'!$J$6:$J$4467,0)),IFERROR(INDEX('CEMIUP0.9 Raw'!$B$6:$B$1712,MATCH($J1028,'CEMIUP0.9 Raw'!$B$6:$B$1712,0)),$J1028))</f>
        <v>4415083</v>
      </c>
      <c r="C1028" s="18" t="str">
        <f aca="false">IF(ISNUMBER($J1028),IFERROR(INDEX('TRANS'!$C:$C,MATCH($J1028,'TRANS'!$B:$B,0)),IFERROR(INDEX('Catalog'!$B:$B,MATCH($J1028,'Catalog'!$A:$A,0)),$B1028)),$B1028)</f>
        <v>T33  M  סד לקרסול</v>
      </c>
      <c r="D1028" s="19" t="n">
        <f aca="false">SUMIFS('SALES Raw'!$C$6:$C$4467,'SALES Raw'!$J$6:$J$4467,$J1028,'SALES Raw'!$K$6:$K$4467,"Y")+SUMIFS('CEMIUP0.9 Raw'!$D$6:$D$1712,'CEMIUP0.9 Raw'!$B$6:$B$1712,$J1028,'CEMIUP0.9 Raw'!$H$6:$H$1712,"Y")</f>
        <v>4</v>
      </c>
      <c r="E1028" s="19" t="n">
        <f aca="false">SUMIFS('SALES Raw'!$D$6:$D$4467,'SALES Raw'!$J$6:$J$4467,$J1028,'SALES Raw'!$K$6:$K$4467,"Y")+SUMIFS('CEMIUP0.9 Raw'!$E$6:$E$1712,'CEMIUP0.9 Raw'!$B$6:$B$1712,$J1028,'CEMIUP0.9 Raw'!$H$6:$H$1712,"Y")</f>
        <v>399.035</v>
      </c>
      <c r="F1028" s="19" t="n">
        <f aca="false">SUMIFS('SALES Raw'!$E$6:$E$4467,'SALES Raw'!$J$6:$J$4467,$J1028,'SALES Raw'!$K$6:$K$4467,"Y")*$H$4+SUMIFS('CEMIUP0.9 Raw'!$F$6:$F$1712,'CEMIUP0.9 Raw'!$B$6:$B$1712,$J1028,'CEMIUP0.9 Raw'!$H$6:$H$1712,"Y")</f>
        <v>0</v>
      </c>
      <c r="G1028" s="19" t="n">
        <f aca="false">SUMIFS('SALES Raw'!$F$6:$F$4467,'SALES Raw'!$J$6:$J$4467,$J1028,'SALES Raw'!$K$6:$K$4467,"Y")*$H$4+SUMIFS('CEMIUP0.9 Raw'!$G$6:$G$1712,'CEMIUP0.9 Raw'!$B$6:$B$1712,$J1028,'CEMIUP0.9 Raw'!$H$6:$H$1712,"Y")</f>
        <v>0</v>
      </c>
      <c r="H1028" s="18" t="s">
        <v>43</v>
      </c>
      <c r="I1028" s="18"/>
      <c r="J1028" s="18" t="n">
        <v>4415083</v>
      </c>
    </row>
    <row r="1029" customFormat="false" ht="15" hidden="false" customHeight="false" outlineLevel="0" collapsed="false">
      <c r="A1029" s="18" t="n">
        <f aca="false">IF(ISNUMBER($J1029),$J1029,"")</f>
        <v>4415084</v>
      </c>
      <c r="B1029" s="18" t="n">
        <f aca="false">IFERROR(INDEX('SALES Raw'!$B$6:$B$4467,MATCH($J1029,'SALES Raw'!$J$6:$J$4467,0)),IFERROR(INDEX('CEMIUP0.9 Raw'!$B$6:$B$1712,MATCH($J1029,'CEMIUP0.9 Raw'!$B$6:$B$1712,0)),$J1029))</f>
        <v>4415084</v>
      </c>
      <c r="C1029" s="18" t="str">
        <f aca="false">IF(ISNUMBER($J1029),IFERROR(INDEX('TRANS'!$C:$C,MATCH($J1029,'TRANS'!$B:$B,0)),IFERROR(INDEX('Catalog'!$B:$B,MATCH($J1029,'Catalog'!$A:$A,0)),$B1029)),$B1029)</f>
        <v>T33  L  סד לקרסול</v>
      </c>
      <c r="D1029" s="19" t="n">
        <f aca="false">SUMIFS('SALES Raw'!$C$6:$C$4467,'SALES Raw'!$J$6:$J$4467,$J1029,'SALES Raw'!$K$6:$K$4467,"Y")+SUMIFS('CEMIUP0.9 Raw'!$D$6:$D$1712,'CEMIUP0.9 Raw'!$B$6:$B$1712,$J1029,'CEMIUP0.9 Raw'!$H$6:$H$1712,"Y")</f>
        <v>4</v>
      </c>
      <c r="E1029" s="19" t="n">
        <f aca="false">SUMIFS('SALES Raw'!$D$6:$D$4467,'SALES Raw'!$J$6:$J$4467,$J1029,'SALES Raw'!$K$6:$K$4467,"Y")+SUMIFS('CEMIUP0.9 Raw'!$E$6:$E$1712,'CEMIUP0.9 Raw'!$B$6:$B$1712,$J1029,'CEMIUP0.9 Raw'!$H$6:$H$1712,"Y")</f>
        <v>409.318</v>
      </c>
      <c r="F1029" s="19" t="n">
        <f aca="false">SUMIFS('SALES Raw'!$E$6:$E$4467,'SALES Raw'!$J$6:$J$4467,$J1029,'SALES Raw'!$K$6:$K$4467,"Y")*$H$4+SUMIFS('CEMIUP0.9 Raw'!$F$6:$F$1712,'CEMIUP0.9 Raw'!$B$6:$B$1712,$J1029,'CEMIUP0.9 Raw'!$H$6:$H$1712,"Y")</f>
        <v>0</v>
      </c>
      <c r="G1029" s="19" t="n">
        <f aca="false">SUMIFS('SALES Raw'!$F$6:$F$4467,'SALES Raw'!$J$6:$J$4467,$J1029,'SALES Raw'!$K$6:$K$4467,"Y")*$H$4+SUMIFS('CEMIUP0.9 Raw'!$G$6:$G$1712,'CEMIUP0.9 Raw'!$B$6:$B$1712,$J1029,'CEMIUP0.9 Raw'!$H$6:$H$1712,"Y")</f>
        <v>0</v>
      </c>
      <c r="H1029" s="18" t="s">
        <v>43</v>
      </c>
      <c r="I1029" s="18"/>
      <c r="J1029" s="18" t="n">
        <v>4415084</v>
      </c>
    </row>
    <row r="1030" customFormat="false" ht="15" hidden="false" customHeight="false" outlineLevel="0" collapsed="false">
      <c r="A1030" s="18" t="n">
        <f aca="false">IF(ISNUMBER($J1030),$J1030,"")</f>
        <v>4415089</v>
      </c>
      <c r="B1030" s="18" t="n">
        <f aca="false">IFERROR(INDEX('SALES Raw'!$B$6:$B$4467,MATCH($J1030,'SALES Raw'!$J$6:$J$4467,0)),IFERROR(INDEX('CEMIUP0.9 Raw'!$B$6:$B$1712,MATCH($J1030,'CEMIUP0.9 Raw'!$B$6:$B$1712,0)),$J1030))</f>
        <v>4415089</v>
      </c>
      <c r="C1030" s="18" t="str">
        <f aca="false">IF(ISNUMBER($J1030),IFERROR(INDEX('TRANS'!$C:$C,MATCH($J1030,'TRANS'!$B:$B,0)),IFERROR(INDEX('Catalog'!$B:$B,MATCH($J1030,'Catalog'!$A:$A,0)),$B1030)),$B1030)</f>
        <v>27L M סד ליד שמאל</v>
      </c>
      <c r="D1030" s="19" t="n">
        <f aca="false">SUMIFS('SALES Raw'!$C$6:$C$4467,'SALES Raw'!$J$6:$J$4467,$J1030,'SALES Raw'!$K$6:$K$4467,"Y")+SUMIFS('CEMIUP0.9 Raw'!$D$6:$D$1712,'CEMIUP0.9 Raw'!$B$6:$B$1712,$J1030,'CEMIUP0.9 Raw'!$H$6:$H$1712,"Y")</f>
        <v>1</v>
      </c>
      <c r="E1030" s="19" t="n">
        <f aca="false">SUMIFS('SALES Raw'!$D$6:$D$4467,'SALES Raw'!$J$6:$J$4467,$J1030,'SALES Raw'!$K$6:$K$4467,"Y")+SUMIFS('CEMIUP0.9 Raw'!$E$6:$E$1712,'CEMIUP0.9 Raw'!$B$6:$B$1712,$J1030,'CEMIUP0.9 Raw'!$H$6:$H$1712,"Y")</f>
        <v>81.991</v>
      </c>
      <c r="F1030" s="19" t="n">
        <f aca="false">SUMIFS('SALES Raw'!$E$6:$E$4467,'SALES Raw'!$J$6:$J$4467,$J1030,'SALES Raw'!$K$6:$K$4467,"Y")*$H$4+SUMIFS('CEMIUP0.9 Raw'!$F$6:$F$1712,'CEMIUP0.9 Raw'!$B$6:$B$1712,$J1030,'CEMIUP0.9 Raw'!$H$6:$H$1712,"Y")</f>
        <v>0</v>
      </c>
      <c r="G1030" s="19" t="n">
        <f aca="false">SUMIFS('SALES Raw'!$F$6:$F$4467,'SALES Raw'!$J$6:$J$4467,$J1030,'SALES Raw'!$K$6:$K$4467,"Y")*$H$4+SUMIFS('CEMIUP0.9 Raw'!$G$6:$G$1712,'CEMIUP0.9 Raw'!$B$6:$B$1712,$J1030,'CEMIUP0.9 Raw'!$H$6:$H$1712,"Y")</f>
        <v>0</v>
      </c>
      <c r="H1030" s="18" t="s">
        <v>43</v>
      </c>
      <c r="I1030" s="18"/>
      <c r="J1030" s="18" t="n">
        <v>4415089</v>
      </c>
    </row>
    <row r="1031" customFormat="false" ht="15" hidden="false" customHeight="false" outlineLevel="0" collapsed="false">
      <c r="A1031" s="18" t="n">
        <f aca="false">IF(ISNUMBER($J1031),$J1031,"")</f>
        <v>4415090</v>
      </c>
      <c r="B1031" s="18" t="n">
        <f aca="false">IFERROR(INDEX('SALES Raw'!$B$6:$B$4467,MATCH($J1031,'SALES Raw'!$J$6:$J$4467,0)),IFERROR(INDEX('CEMIUP0.9 Raw'!$B$6:$B$1712,MATCH($J1031,'CEMIUP0.9 Raw'!$B$6:$B$1712,0)),$J1031))</f>
        <v>4415090</v>
      </c>
      <c r="C1031" s="18" t="str">
        <f aca="false">IF(ISNUMBER($J1031),IFERROR(INDEX('TRANS'!$C:$C,MATCH($J1031,'TRANS'!$B:$B,0)),IFERROR(INDEX('Catalog'!$B:$B,MATCH($J1031,'Catalog'!$A:$A,0)),$B1031)),$B1031)</f>
        <v>27L L סד ליד שמאל</v>
      </c>
      <c r="D1031" s="19" t="n">
        <f aca="false">SUMIFS('SALES Raw'!$C$6:$C$4467,'SALES Raw'!$J$6:$J$4467,$J1031,'SALES Raw'!$K$6:$K$4467,"Y")+SUMIFS('CEMIUP0.9 Raw'!$D$6:$D$1712,'CEMIUP0.9 Raw'!$B$6:$B$1712,$J1031,'CEMIUP0.9 Raw'!$H$6:$H$1712,"Y")</f>
        <v>1</v>
      </c>
      <c r="E1031" s="19" t="n">
        <f aca="false">SUMIFS('SALES Raw'!$D$6:$D$4467,'SALES Raw'!$J$6:$J$4467,$J1031,'SALES Raw'!$K$6:$K$4467,"Y")+SUMIFS('CEMIUP0.9 Raw'!$E$6:$E$1712,'CEMIUP0.9 Raw'!$B$6:$B$1712,$J1031,'CEMIUP0.9 Raw'!$H$6:$H$1712,"Y")</f>
        <v>81.991</v>
      </c>
      <c r="F1031" s="19" t="n">
        <f aca="false">SUMIFS('SALES Raw'!$E$6:$E$4467,'SALES Raw'!$J$6:$J$4467,$J1031,'SALES Raw'!$K$6:$K$4467,"Y")*$H$4+SUMIFS('CEMIUP0.9 Raw'!$F$6:$F$1712,'CEMIUP0.9 Raw'!$B$6:$B$1712,$J1031,'CEMIUP0.9 Raw'!$H$6:$H$1712,"Y")</f>
        <v>0</v>
      </c>
      <c r="G1031" s="19" t="n">
        <f aca="false">SUMIFS('SALES Raw'!$F$6:$F$4467,'SALES Raw'!$J$6:$J$4467,$J1031,'SALES Raw'!$K$6:$K$4467,"Y")*$H$4+SUMIFS('CEMIUP0.9 Raw'!$G$6:$G$1712,'CEMIUP0.9 Raw'!$B$6:$B$1712,$J1031,'CEMIUP0.9 Raw'!$H$6:$H$1712,"Y")</f>
        <v>0</v>
      </c>
      <c r="H1031" s="18" t="s">
        <v>43</v>
      </c>
      <c r="I1031" s="18"/>
      <c r="J1031" s="18" t="n">
        <v>4415090</v>
      </c>
    </row>
    <row r="1032" customFormat="false" ht="15" hidden="false" customHeight="false" outlineLevel="0" collapsed="false">
      <c r="A1032" s="18" t="n">
        <f aca="false">IF(ISNUMBER($J1032),$J1032,"")</f>
        <v>4415120</v>
      </c>
      <c r="B1032" s="18" t="n">
        <f aca="false">IFERROR(INDEX('SALES Raw'!$B$6:$B$4467,MATCH($J1032,'SALES Raw'!$J$6:$J$4467,0)),IFERROR(INDEX('CEMIUP0.9 Raw'!$B$6:$B$1712,MATCH($J1032,'CEMIUP0.9 Raw'!$B$6:$B$1712,0)),$J1032))</f>
        <v>4415120</v>
      </c>
      <c r="C1032" s="18" t="str">
        <f aca="false">IF(ISNUMBER($J1032),IFERROR(INDEX('TRANS'!$C:$C,MATCH($J1032,'TRANS'!$B:$B,0)),IFERROR(INDEX('Catalog'!$B:$B,MATCH($J1032,'Catalog'!$A:$A,0)),$B1032)),$B1032)</f>
        <v>T33 XXL סד לקרסול</v>
      </c>
      <c r="D1032" s="19" t="n">
        <f aca="false">SUMIFS('SALES Raw'!$C$6:$C$4467,'SALES Raw'!$J$6:$J$4467,$J1032,'SALES Raw'!$K$6:$K$4467,"Y")+SUMIFS('CEMIUP0.9 Raw'!$D$6:$D$1712,'CEMIUP0.9 Raw'!$B$6:$B$1712,$J1032,'CEMIUP0.9 Raw'!$H$6:$H$1712,"Y")</f>
        <v>1</v>
      </c>
      <c r="E1032" s="19" t="n">
        <f aca="false">SUMIFS('SALES Raw'!$D$6:$D$4467,'SALES Raw'!$J$6:$J$4467,$J1032,'SALES Raw'!$K$6:$K$4467,"Y")+SUMIFS('CEMIUP0.9 Raw'!$E$6:$E$1712,'CEMIUP0.9 Raw'!$B$6:$B$1712,$J1032,'CEMIUP0.9 Raw'!$H$6:$H$1712,"Y")</f>
        <v>124.67</v>
      </c>
      <c r="F1032" s="19" t="n">
        <f aca="false">SUMIFS('SALES Raw'!$E$6:$E$4467,'SALES Raw'!$J$6:$J$4467,$J1032,'SALES Raw'!$K$6:$K$4467,"Y")*$H$4+SUMIFS('CEMIUP0.9 Raw'!$F$6:$F$1712,'CEMIUP0.9 Raw'!$B$6:$B$1712,$J1032,'CEMIUP0.9 Raw'!$H$6:$H$1712,"Y")</f>
        <v>0</v>
      </c>
      <c r="G1032" s="19" t="n">
        <f aca="false">SUMIFS('SALES Raw'!$F$6:$F$4467,'SALES Raw'!$J$6:$J$4467,$J1032,'SALES Raw'!$K$6:$K$4467,"Y")*$H$4+SUMIFS('CEMIUP0.9 Raw'!$G$6:$G$1712,'CEMIUP0.9 Raw'!$B$6:$B$1712,$J1032,'CEMIUP0.9 Raw'!$H$6:$H$1712,"Y")</f>
        <v>0</v>
      </c>
      <c r="H1032" s="18" t="s">
        <v>43</v>
      </c>
      <c r="I1032" s="18"/>
      <c r="J1032" s="18" t="n">
        <v>4415120</v>
      </c>
    </row>
    <row r="1033" customFormat="false" ht="15" hidden="false" customHeight="false" outlineLevel="0" collapsed="false">
      <c r="A1033" s="18" t="n">
        <f aca="false">IF(ISNUMBER($J1033),$J1033,"")</f>
        <v>4415131</v>
      </c>
      <c r="B1033" s="18" t="n">
        <f aca="false">IFERROR(INDEX('SALES Raw'!$B$6:$B$4467,MATCH($J1033,'SALES Raw'!$J$6:$J$4467,0)),IFERROR(INDEX('CEMIUP0.9 Raw'!$B$6:$B$1712,MATCH($J1033,'CEMIUP0.9 Raw'!$B$6:$B$1712,0)),$J1033))</f>
        <v>4415131</v>
      </c>
      <c r="C1033" s="18" t="str">
        <f aca="false">IF(ISNUMBER($J1033),IFERROR(INDEX('TRANS'!$C:$C,MATCH($J1033,'TRANS'!$B:$B,0)),IFERROR(INDEX('Catalog'!$B:$B,MATCH($J1033,'Catalog'!$A:$A,0)),$B1033)),$B1033)</f>
        <v>T27L M סד ליד שמאל</v>
      </c>
      <c r="D1033" s="19" t="n">
        <f aca="false">SUMIFS('SALES Raw'!$C$6:$C$4467,'SALES Raw'!$J$6:$J$4467,$J1033,'SALES Raw'!$K$6:$K$4467,"Y")+SUMIFS('CEMIUP0.9 Raw'!$D$6:$D$1712,'CEMIUP0.9 Raw'!$B$6:$B$1712,$J1033,'CEMIUP0.9 Raw'!$H$6:$H$1712,"Y")</f>
        <v>1</v>
      </c>
      <c r="E1033" s="19" t="n">
        <f aca="false">SUMIFS('SALES Raw'!$D$6:$D$4467,'SALES Raw'!$J$6:$J$4467,$J1033,'SALES Raw'!$K$6:$K$4467,"Y")+SUMIFS('CEMIUP0.9 Raw'!$E$6:$E$1712,'CEMIUP0.9 Raw'!$B$6:$B$1712,$J1033,'CEMIUP0.9 Raw'!$H$6:$H$1712,"Y")</f>
        <v>85.995</v>
      </c>
      <c r="F1033" s="19" t="n">
        <f aca="false">SUMIFS('SALES Raw'!$E$6:$E$4467,'SALES Raw'!$J$6:$J$4467,$J1033,'SALES Raw'!$K$6:$K$4467,"Y")*$H$4+SUMIFS('CEMIUP0.9 Raw'!$F$6:$F$1712,'CEMIUP0.9 Raw'!$B$6:$B$1712,$J1033,'CEMIUP0.9 Raw'!$H$6:$H$1712,"Y")</f>
        <v>0</v>
      </c>
      <c r="G1033" s="19" t="n">
        <f aca="false">SUMIFS('SALES Raw'!$F$6:$F$4467,'SALES Raw'!$J$6:$J$4467,$J1033,'SALES Raw'!$K$6:$K$4467,"Y")*$H$4+SUMIFS('CEMIUP0.9 Raw'!$G$6:$G$1712,'CEMIUP0.9 Raw'!$B$6:$B$1712,$J1033,'CEMIUP0.9 Raw'!$H$6:$H$1712,"Y")</f>
        <v>0</v>
      </c>
      <c r="H1033" s="18" t="s">
        <v>43</v>
      </c>
      <c r="I1033" s="18"/>
      <c r="J1033" s="18" t="n">
        <v>4415131</v>
      </c>
    </row>
    <row r="1034" customFormat="false" ht="15" hidden="false" customHeight="false" outlineLevel="0" collapsed="false">
      <c r="A1034" s="18" t="n">
        <f aca="false">IF(ISNUMBER($J1034),$J1034,"")</f>
        <v>4415164</v>
      </c>
      <c r="B1034" s="18" t="n">
        <f aca="false">IFERROR(INDEX('SALES Raw'!$B$6:$B$4467,MATCH($J1034,'SALES Raw'!$J$6:$J$4467,0)),IFERROR(INDEX('CEMIUP0.9 Raw'!$B$6:$B$1712,MATCH($J1034,'CEMIUP0.9 Raw'!$B$6:$B$1712,0)),$J1034))</f>
        <v>4415164</v>
      </c>
      <c r="C1034" s="18" t="str">
        <f aca="false">IF(ISNUMBER($J1034),IFERROR(INDEX('TRANS'!$C:$C,MATCH($J1034,'TRANS'!$B:$B,0)),IFERROR(INDEX('Catalog'!$B:$B,MATCH($J1034,'Catalog'!$A:$A,0)),$B1034)),$B1034)</f>
        <v>267LC  L-XL 'סד יד שמאל בז</v>
      </c>
      <c r="D1034" s="19" t="n">
        <f aca="false">SUMIFS('SALES Raw'!$C$6:$C$4467,'SALES Raw'!$J$6:$J$4467,$J1034,'SALES Raw'!$K$6:$K$4467,"Y")+SUMIFS('CEMIUP0.9 Raw'!$D$6:$D$1712,'CEMIUP0.9 Raw'!$B$6:$B$1712,$J1034,'CEMIUP0.9 Raw'!$H$6:$H$1712,"Y")</f>
        <v>1</v>
      </c>
      <c r="E1034" s="19" t="n">
        <f aca="false">SUMIFS('SALES Raw'!$D$6:$D$4467,'SALES Raw'!$J$6:$J$4467,$J1034,'SALES Raw'!$K$6:$K$4467,"Y")+SUMIFS('CEMIUP0.9 Raw'!$E$6:$E$1712,'CEMIUP0.9 Raw'!$B$6:$B$1712,$J1034,'CEMIUP0.9 Raw'!$H$6:$H$1712,"Y")</f>
        <v>98.917</v>
      </c>
      <c r="F1034" s="19" t="n">
        <f aca="false">SUMIFS('SALES Raw'!$E$6:$E$4467,'SALES Raw'!$J$6:$J$4467,$J1034,'SALES Raw'!$K$6:$K$4467,"Y")*$H$4+SUMIFS('CEMIUP0.9 Raw'!$F$6:$F$1712,'CEMIUP0.9 Raw'!$B$6:$B$1712,$J1034,'CEMIUP0.9 Raw'!$H$6:$H$1712,"Y")</f>
        <v>0</v>
      </c>
      <c r="G1034" s="19" t="n">
        <f aca="false">SUMIFS('SALES Raw'!$F$6:$F$4467,'SALES Raw'!$J$6:$J$4467,$J1034,'SALES Raw'!$K$6:$K$4467,"Y")*$H$4+SUMIFS('CEMIUP0.9 Raw'!$G$6:$G$1712,'CEMIUP0.9 Raw'!$B$6:$B$1712,$J1034,'CEMIUP0.9 Raw'!$H$6:$H$1712,"Y")</f>
        <v>0</v>
      </c>
      <c r="H1034" s="18" t="s">
        <v>43</v>
      </c>
      <c r="I1034" s="18"/>
      <c r="J1034" s="18" t="n">
        <v>4415164</v>
      </c>
    </row>
    <row r="1035" customFormat="false" ht="15" hidden="false" customHeight="false" outlineLevel="0" collapsed="false">
      <c r="A1035" s="18" t="n">
        <f aca="false">IF(ISNUMBER($J1035),$J1035,"")</f>
        <v>4415165</v>
      </c>
      <c r="B1035" s="18" t="n">
        <f aca="false">IFERROR(INDEX('SALES Raw'!$B$6:$B$4467,MATCH($J1035,'SALES Raw'!$J$6:$J$4467,0)),IFERROR(INDEX('CEMIUP0.9 Raw'!$B$6:$B$1712,MATCH($J1035,'CEMIUP0.9 Raw'!$B$6:$B$1712,0)),$J1035))</f>
        <v>4415165</v>
      </c>
      <c r="C1035" s="18" t="str">
        <f aca="false">IF(ISNUMBER($J1035),IFERROR(INDEX('TRANS'!$C:$C,MATCH($J1035,'TRANS'!$B:$B,0)),IFERROR(INDEX('Catalog'!$B:$B,MATCH($J1035,'Catalog'!$A:$A,0)),$B1035)),$B1035)</f>
        <v>267LC   S-M'סד יד שמאל בז</v>
      </c>
      <c r="D1035" s="19" t="n">
        <f aca="false">SUMIFS('SALES Raw'!$C$6:$C$4467,'SALES Raw'!$J$6:$J$4467,$J1035,'SALES Raw'!$K$6:$K$4467,"Y")+SUMIFS('CEMIUP0.9 Raw'!$D$6:$D$1712,'CEMIUP0.9 Raw'!$B$6:$B$1712,$J1035,'CEMIUP0.9 Raw'!$H$6:$H$1712,"Y")</f>
        <v>1</v>
      </c>
      <c r="E1035" s="19" t="n">
        <f aca="false">SUMIFS('SALES Raw'!$D$6:$D$4467,'SALES Raw'!$J$6:$J$4467,$J1035,'SALES Raw'!$K$6:$K$4467,"Y")+SUMIFS('CEMIUP0.9 Raw'!$E$6:$E$1712,'CEMIUP0.9 Raw'!$B$6:$B$1712,$J1035,'CEMIUP0.9 Raw'!$H$6:$H$1712,"Y")</f>
        <v>98.917</v>
      </c>
      <c r="F1035" s="19" t="n">
        <f aca="false">SUMIFS('SALES Raw'!$E$6:$E$4467,'SALES Raw'!$J$6:$J$4467,$J1035,'SALES Raw'!$K$6:$K$4467,"Y")*$H$4+SUMIFS('CEMIUP0.9 Raw'!$F$6:$F$1712,'CEMIUP0.9 Raw'!$B$6:$B$1712,$J1035,'CEMIUP0.9 Raw'!$H$6:$H$1712,"Y")</f>
        <v>0</v>
      </c>
      <c r="G1035" s="19" t="n">
        <f aca="false">SUMIFS('SALES Raw'!$F$6:$F$4467,'SALES Raw'!$J$6:$J$4467,$J1035,'SALES Raw'!$K$6:$K$4467,"Y")*$H$4+SUMIFS('CEMIUP0.9 Raw'!$G$6:$G$1712,'CEMIUP0.9 Raw'!$B$6:$B$1712,$J1035,'CEMIUP0.9 Raw'!$H$6:$H$1712,"Y")</f>
        <v>0</v>
      </c>
      <c r="H1035" s="18" t="s">
        <v>43</v>
      </c>
      <c r="I1035" s="18"/>
      <c r="J1035" s="18" t="n">
        <v>4415165</v>
      </c>
    </row>
    <row r="1036" customFormat="false" ht="15" hidden="false" customHeight="false" outlineLevel="0" collapsed="false">
      <c r="A1036" s="18" t="n">
        <f aca="false">IF(ISNUMBER($J1036),$J1036,"")</f>
        <v>4415167</v>
      </c>
      <c r="B1036" s="18" t="n">
        <f aca="false">IFERROR(INDEX('SALES Raw'!$B$6:$B$4467,MATCH($J1036,'SALES Raw'!$J$6:$J$4467,0)),IFERROR(INDEX('CEMIUP0.9 Raw'!$B$6:$B$1712,MATCH($J1036,'CEMIUP0.9 Raw'!$B$6:$B$1712,0)),$J1036))</f>
        <v>4415167</v>
      </c>
      <c r="C1036" s="18" t="str">
        <f aca="false">IF(ISNUMBER($J1036),IFERROR(INDEX('TRANS'!$C:$C,MATCH($J1036,'TRANS'!$B:$B,0)),IFERROR(INDEX('Catalog'!$B:$B,MATCH($J1036,'Catalog'!$A:$A,0)),$B1036)),$B1036)</f>
        <v>267RC  L-XL 'סד יד ימין בז</v>
      </c>
      <c r="D1036" s="19" t="n">
        <f aca="false">SUMIFS('SALES Raw'!$C$6:$C$4467,'SALES Raw'!$J$6:$J$4467,$J1036,'SALES Raw'!$K$6:$K$4467,"Y")+SUMIFS('CEMIUP0.9 Raw'!$D$6:$D$1712,'CEMIUP0.9 Raw'!$B$6:$B$1712,$J1036,'CEMIUP0.9 Raw'!$H$6:$H$1712,"Y")</f>
        <v>1</v>
      </c>
      <c r="E1036" s="19" t="n">
        <f aca="false">SUMIFS('SALES Raw'!$D$6:$D$4467,'SALES Raw'!$J$6:$J$4467,$J1036,'SALES Raw'!$K$6:$K$4467,"Y")+SUMIFS('CEMIUP0.9 Raw'!$E$6:$E$1712,'CEMIUP0.9 Raw'!$B$6:$B$1712,$J1036,'CEMIUP0.9 Raw'!$H$6:$H$1712,"Y")</f>
        <v>98.917</v>
      </c>
      <c r="F1036" s="19" t="n">
        <f aca="false">SUMIFS('SALES Raw'!$E$6:$E$4467,'SALES Raw'!$J$6:$J$4467,$J1036,'SALES Raw'!$K$6:$K$4467,"Y")*$H$4+SUMIFS('CEMIUP0.9 Raw'!$F$6:$F$1712,'CEMIUP0.9 Raw'!$B$6:$B$1712,$J1036,'CEMIUP0.9 Raw'!$H$6:$H$1712,"Y")</f>
        <v>0</v>
      </c>
      <c r="G1036" s="19" t="n">
        <f aca="false">SUMIFS('SALES Raw'!$F$6:$F$4467,'SALES Raw'!$J$6:$J$4467,$J1036,'SALES Raw'!$K$6:$K$4467,"Y")*$H$4+SUMIFS('CEMIUP0.9 Raw'!$G$6:$G$1712,'CEMIUP0.9 Raw'!$B$6:$B$1712,$J1036,'CEMIUP0.9 Raw'!$H$6:$H$1712,"Y")</f>
        <v>0</v>
      </c>
      <c r="H1036" s="18" t="s">
        <v>43</v>
      </c>
      <c r="I1036" s="18"/>
      <c r="J1036" s="18" t="n">
        <v>4415167</v>
      </c>
    </row>
    <row r="1037" customFormat="false" ht="15" hidden="false" customHeight="false" outlineLevel="0" collapsed="false">
      <c r="A1037" s="18" t="n">
        <f aca="false">IF(ISNUMBER($J1037),$J1037,"")</f>
        <v>4415168</v>
      </c>
      <c r="B1037" s="18" t="n">
        <f aca="false">IFERROR(INDEX('SALES Raw'!$B$6:$B$4467,MATCH($J1037,'SALES Raw'!$J$6:$J$4467,0)),IFERROR(INDEX('CEMIUP0.9 Raw'!$B$6:$B$1712,MATCH($J1037,'CEMIUP0.9 Raw'!$B$6:$B$1712,0)),$J1037))</f>
        <v>4415168</v>
      </c>
      <c r="C1037" s="18" t="str">
        <f aca="false">IF(ISNUMBER($J1037),IFERROR(INDEX('TRANS'!$C:$C,MATCH($J1037,'TRANS'!$B:$B,0)),IFERROR(INDEX('Catalog'!$B:$B,MATCH($J1037,'Catalog'!$A:$A,0)),$B1037)),$B1037)</f>
        <v>267RC  S-M 'סד יד ימין בז</v>
      </c>
      <c r="D1037" s="19" t="n">
        <f aca="false">SUMIFS('SALES Raw'!$C$6:$C$4467,'SALES Raw'!$J$6:$J$4467,$J1037,'SALES Raw'!$K$6:$K$4467,"Y")+SUMIFS('CEMIUP0.9 Raw'!$D$6:$D$1712,'CEMIUP0.9 Raw'!$B$6:$B$1712,$J1037,'CEMIUP0.9 Raw'!$H$6:$H$1712,"Y")</f>
        <v>1</v>
      </c>
      <c r="E1037" s="19" t="n">
        <f aca="false">SUMIFS('SALES Raw'!$D$6:$D$4467,'SALES Raw'!$J$6:$J$4467,$J1037,'SALES Raw'!$K$6:$K$4467,"Y")+SUMIFS('CEMIUP0.9 Raw'!$E$6:$E$1712,'CEMIUP0.9 Raw'!$B$6:$B$1712,$J1037,'CEMIUP0.9 Raw'!$H$6:$H$1712,"Y")</f>
        <v>98.917</v>
      </c>
      <c r="F1037" s="19" t="n">
        <f aca="false">SUMIFS('SALES Raw'!$E$6:$E$4467,'SALES Raw'!$J$6:$J$4467,$J1037,'SALES Raw'!$K$6:$K$4467,"Y")*$H$4+SUMIFS('CEMIUP0.9 Raw'!$F$6:$F$1712,'CEMIUP0.9 Raw'!$B$6:$B$1712,$J1037,'CEMIUP0.9 Raw'!$H$6:$H$1712,"Y")</f>
        <v>0</v>
      </c>
      <c r="G1037" s="19" t="n">
        <f aca="false">SUMIFS('SALES Raw'!$F$6:$F$4467,'SALES Raw'!$J$6:$J$4467,$J1037,'SALES Raw'!$K$6:$K$4467,"Y")*$H$4+SUMIFS('CEMIUP0.9 Raw'!$G$6:$G$1712,'CEMIUP0.9 Raw'!$B$6:$B$1712,$J1037,'CEMIUP0.9 Raw'!$H$6:$H$1712,"Y")</f>
        <v>0</v>
      </c>
      <c r="H1037" s="18" t="s">
        <v>43</v>
      </c>
      <c r="I1037" s="18"/>
      <c r="J1037" s="18" t="n">
        <v>4415168</v>
      </c>
    </row>
    <row r="1038" customFormat="false" ht="15" hidden="false" customHeight="false" outlineLevel="0" collapsed="false">
      <c r="A1038" s="18" t="n">
        <f aca="false">IF(ISNUMBER($J1038),$J1038,"")</f>
        <v>4415170</v>
      </c>
      <c r="B1038" s="18" t="n">
        <f aca="false">IFERROR(INDEX('SALES Raw'!$B$6:$B$4467,MATCH($J1038,'SALES Raw'!$J$6:$J$4467,0)),IFERROR(INDEX('CEMIUP0.9 Raw'!$B$6:$B$1712,MATCH($J1038,'CEMIUP0.9 Raw'!$B$6:$B$1712,0)),$J1038))</f>
        <v>4415170</v>
      </c>
      <c r="C1038" s="18" t="str">
        <f aca="false">IF(ISNUMBER($J1038),IFERROR(INDEX('TRANS'!$C:$C,MATCH($J1038,'TRANS'!$B:$B,0)),IFERROR(INDEX('Catalog'!$B:$B,MATCH($J1038,'Catalog'!$A:$A,0)),$B1038)),$B1038)</f>
        <v>267LB  L-XLסד יד שמאל שחור</v>
      </c>
      <c r="D1038" s="19" t="n">
        <f aca="false">SUMIFS('SALES Raw'!$C$6:$C$4467,'SALES Raw'!$J$6:$J$4467,$J1038,'SALES Raw'!$K$6:$K$4467,"Y")+SUMIFS('CEMIUP0.9 Raw'!$D$6:$D$1712,'CEMIUP0.9 Raw'!$B$6:$B$1712,$J1038,'CEMIUP0.9 Raw'!$H$6:$H$1712,"Y")</f>
        <v>1</v>
      </c>
      <c r="E1038" s="19" t="n">
        <f aca="false">SUMIFS('SALES Raw'!$D$6:$D$4467,'SALES Raw'!$J$6:$J$4467,$J1038,'SALES Raw'!$K$6:$K$4467,"Y")+SUMIFS('CEMIUP0.9 Raw'!$E$6:$E$1712,'CEMIUP0.9 Raw'!$B$6:$B$1712,$J1038,'CEMIUP0.9 Raw'!$H$6:$H$1712,"Y")</f>
        <v>98.917</v>
      </c>
      <c r="F1038" s="19" t="n">
        <f aca="false">SUMIFS('SALES Raw'!$E$6:$E$4467,'SALES Raw'!$J$6:$J$4467,$J1038,'SALES Raw'!$K$6:$K$4467,"Y")*$H$4+SUMIFS('CEMIUP0.9 Raw'!$F$6:$F$1712,'CEMIUP0.9 Raw'!$B$6:$B$1712,$J1038,'CEMIUP0.9 Raw'!$H$6:$H$1712,"Y")</f>
        <v>0</v>
      </c>
      <c r="G1038" s="19" t="n">
        <f aca="false">SUMIFS('SALES Raw'!$F$6:$F$4467,'SALES Raw'!$J$6:$J$4467,$J1038,'SALES Raw'!$K$6:$K$4467,"Y")*$H$4+SUMIFS('CEMIUP0.9 Raw'!$G$6:$G$1712,'CEMIUP0.9 Raw'!$B$6:$B$1712,$J1038,'CEMIUP0.9 Raw'!$H$6:$H$1712,"Y")</f>
        <v>0</v>
      </c>
      <c r="H1038" s="18" t="s">
        <v>43</v>
      </c>
      <c r="I1038" s="18"/>
      <c r="J1038" s="18" t="n">
        <v>4415170</v>
      </c>
    </row>
    <row r="1039" customFormat="false" ht="15" hidden="false" customHeight="false" outlineLevel="0" collapsed="false">
      <c r="A1039" s="18" t="n">
        <f aca="false">IF(ISNUMBER($J1039),$J1039,"")</f>
        <v>4415171</v>
      </c>
      <c r="B1039" s="18" t="n">
        <f aca="false">IFERROR(INDEX('SALES Raw'!$B$6:$B$4467,MATCH($J1039,'SALES Raw'!$J$6:$J$4467,0)),IFERROR(INDEX('CEMIUP0.9 Raw'!$B$6:$B$1712,MATCH($J1039,'CEMIUP0.9 Raw'!$B$6:$B$1712,0)),$J1039))</f>
        <v>4415171</v>
      </c>
      <c r="C1039" s="18" t="str">
        <f aca="false">IF(ISNUMBER($J1039),IFERROR(INDEX('TRANS'!$C:$C,MATCH($J1039,'TRANS'!$B:$B,0)),IFERROR(INDEX('Catalog'!$B:$B,MATCH($J1039,'Catalog'!$A:$A,0)),$B1039)),$B1039)</f>
        <v>267LB  S-M סד יד שמאל שחור</v>
      </c>
      <c r="D1039" s="19" t="n">
        <f aca="false">SUMIFS('SALES Raw'!$C$6:$C$4467,'SALES Raw'!$J$6:$J$4467,$J1039,'SALES Raw'!$K$6:$K$4467,"Y")+SUMIFS('CEMIUP0.9 Raw'!$D$6:$D$1712,'CEMIUP0.9 Raw'!$B$6:$B$1712,$J1039,'CEMIUP0.9 Raw'!$H$6:$H$1712,"Y")</f>
        <v>1</v>
      </c>
      <c r="E1039" s="19" t="n">
        <f aca="false">SUMIFS('SALES Raw'!$D$6:$D$4467,'SALES Raw'!$J$6:$J$4467,$J1039,'SALES Raw'!$K$6:$K$4467,"Y")+SUMIFS('CEMIUP0.9 Raw'!$E$6:$E$1712,'CEMIUP0.9 Raw'!$B$6:$B$1712,$J1039,'CEMIUP0.9 Raw'!$H$6:$H$1712,"Y")</f>
        <v>98.917</v>
      </c>
      <c r="F1039" s="19" t="n">
        <f aca="false">SUMIFS('SALES Raw'!$E$6:$E$4467,'SALES Raw'!$J$6:$J$4467,$J1039,'SALES Raw'!$K$6:$K$4467,"Y")*$H$4+SUMIFS('CEMIUP0.9 Raw'!$F$6:$F$1712,'CEMIUP0.9 Raw'!$B$6:$B$1712,$J1039,'CEMIUP0.9 Raw'!$H$6:$H$1712,"Y")</f>
        <v>0</v>
      </c>
      <c r="G1039" s="19" t="n">
        <f aca="false">SUMIFS('SALES Raw'!$F$6:$F$4467,'SALES Raw'!$J$6:$J$4467,$J1039,'SALES Raw'!$K$6:$K$4467,"Y")*$H$4+SUMIFS('CEMIUP0.9 Raw'!$G$6:$G$1712,'CEMIUP0.9 Raw'!$B$6:$B$1712,$J1039,'CEMIUP0.9 Raw'!$H$6:$H$1712,"Y")</f>
        <v>0</v>
      </c>
      <c r="H1039" s="18" t="s">
        <v>43</v>
      </c>
      <c r="I1039" s="18"/>
      <c r="J1039" s="18" t="n">
        <v>4415171</v>
      </c>
    </row>
    <row r="1040" customFormat="false" ht="15" hidden="false" customHeight="false" outlineLevel="0" collapsed="false">
      <c r="A1040" s="18" t="n">
        <f aca="false">IF(ISNUMBER($J1040),$J1040,"")</f>
        <v>4415173</v>
      </c>
      <c r="B1040" s="18" t="n">
        <f aca="false">IFERROR(INDEX('SALES Raw'!$B$6:$B$4467,MATCH($J1040,'SALES Raw'!$J$6:$J$4467,0)),IFERROR(INDEX('CEMIUP0.9 Raw'!$B$6:$B$1712,MATCH($J1040,'CEMIUP0.9 Raw'!$B$6:$B$1712,0)),$J1040))</f>
        <v>4415173</v>
      </c>
      <c r="C1040" s="18" t="str">
        <f aca="false">IF(ISNUMBER($J1040),IFERROR(INDEX('TRANS'!$C:$C,MATCH($J1040,'TRANS'!$B:$B,0)),IFERROR(INDEX('Catalog'!$B:$B,MATCH($J1040,'Catalog'!$A:$A,0)),$B1040)),$B1040)</f>
        <v>267RB  L-XLסד יד ימין שחור</v>
      </c>
      <c r="D1040" s="19" t="n">
        <f aca="false">SUMIFS('SALES Raw'!$C$6:$C$4467,'SALES Raw'!$J$6:$J$4467,$J1040,'SALES Raw'!$K$6:$K$4467,"Y")+SUMIFS('CEMIUP0.9 Raw'!$D$6:$D$1712,'CEMIUP0.9 Raw'!$B$6:$B$1712,$J1040,'CEMIUP0.9 Raw'!$H$6:$H$1712,"Y")</f>
        <v>1</v>
      </c>
      <c r="E1040" s="19" t="n">
        <f aca="false">SUMIFS('SALES Raw'!$D$6:$D$4467,'SALES Raw'!$J$6:$J$4467,$J1040,'SALES Raw'!$K$6:$K$4467,"Y")+SUMIFS('CEMIUP0.9 Raw'!$E$6:$E$1712,'CEMIUP0.9 Raw'!$B$6:$B$1712,$J1040,'CEMIUP0.9 Raw'!$H$6:$H$1712,"Y")</f>
        <v>98.917</v>
      </c>
      <c r="F1040" s="19" t="n">
        <f aca="false">SUMIFS('SALES Raw'!$E$6:$E$4467,'SALES Raw'!$J$6:$J$4467,$J1040,'SALES Raw'!$K$6:$K$4467,"Y")*$H$4+SUMIFS('CEMIUP0.9 Raw'!$F$6:$F$1712,'CEMIUP0.9 Raw'!$B$6:$B$1712,$J1040,'CEMIUP0.9 Raw'!$H$6:$H$1712,"Y")</f>
        <v>0</v>
      </c>
      <c r="G1040" s="19" t="n">
        <f aca="false">SUMIFS('SALES Raw'!$F$6:$F$4467,'SALES Raw'!$J$6:$J$4467,$J1040,'SALES Raw'!$K$6:$K$4467,"Y")*$H$4+SUMIFS('CEMIUP0.9 Raw'!$G$6:$G$1712,'CEMIUP0.9 Raw'!$B$6:$B$1712,$J1040,'CEMIUP0.9 Raw'!$H$6:$H$1712,"Y")</f>
        <v>0</v>
      </c>
      <c r="H1040" s="18" t="s">
        <v>43</v>
      </c>
      <c r="I1040" s="18"/>
      <c r="J1040" s="18" t="n">
        <v>4415173</v>
      </c>
    </row>
    <row r="1041" customFormat="false" ht="15" hidden="false" customHeight="false" outlineLevel="0" collapsed="false">
      <c r="A1041" s="18" t="n">
        <f aca="false">IF(ISNUMBER($J1041),$J1041,"")</f>
        <v>4415174</v>
      </c>
      <c r="B1041" s="18" t="n">
        <f aca="false">IFERROR(INDEX('SALES Raw'!$B$6:$B$4467,MATCH($J1041,'SALES Raw'!$J$6:$J$4467,0)),IFERROR(INDEX('CEMIUP0.9 Raw'!$B$6:$B$1712,MATCH($J1041,'CEMIUP0.9 Raw'!$B$6:$B$1712,0)),$J1041))</f>
        <v>4415174</v>
      </c>
      <c r="C1041" s="18" t="str">
        <f aca="false">IF(ISNUMBER($J1041),IFERROR(INDEX('TRANS'!$C:$C,MATCH($J1041,'TRANS'!$B:$B,0)),IFERROR(INDEX('Catalog'!$B:$B,MATCH($J1041,'Catalog'!$A:$A,0)),$B1041)),$B1041)</f>
        <v>267RB  S-M סד יד ימין שחור</v>
      </c>
      <c r="D1041" s="19" t="n">
        <f aca="false">SUMIFS('SALES Raw'!$C$6:$C$4467,'SALES Raw'!$J$6:$J$4467,$J1041,'SALES Raw'!$K$6:$K$4467,"Y")+SUMIFS('CEMIUP0.9 Raw'!$D$6:$D$1712,'CEMIUP0.9 Raw'!$B$6:$B$1712,$J1041,'CEMIUP0.9 Raw'!$H$6:$H$1712,"Y")</f>
        <v>1</v>
      </c>
      <c r="E1041" s="19" t="n">
        <f aca="false">SUMIFS('SALES Raw'!$D$6:$D$4467,'SALES Raw'!$J$6:$J$4467,$J1041,'SALES Raw'!$K$6:$K$4467,"Y")+SUMIFS('CEMIUP0.9 Raw'!$E$6:$E$1712,'CEMIUP0.9 Raw'!$B$6:$B$1712,$J1041,'CEMIUP0.9 Raw'!$H$6:$H$1712,"Y")</f>
        <v>98.917</v>
      </c>
      <c r="F1041" s="19" t="n">
        <f aca="false">SUMIFS('SALES Raw'!$E$6:$E$4467,'SALES Raw'!$J$6:$J$4467,$J1041,'SALES Raw'!$K$6:$K$4467,"Y")*$H$4+SUMIFS('CEMIUP0.9 Raw'!$F$6:$F$1712,'CEMIUP0.9 Raw'!$B$6:$B$1712,$J1041,'CEMIUP0.9 Raw'!$H$6:$H$1712,"Y")</f>
        <v>0</v>
      </c>
      <c r="G1041" s="19" t="n">
        <f aca="false">SUMIFS('SALES Raw'!$F$6:$F$4467,'SALES Raw'!$J$6:$J$4467,$J1041,'SALES Raw'!$K$6:$K$4467,"Y")*$H$4+SUMIFS('CEMIUP0.9 Raw'!$G$6:$G$1712,'CEMIUP0.9 Raw'!$B$6:$B$1712,$J1041,'CEMIUP0.9 Raw'!$H$6:$H$1712,"Y")</f>
        <v>0</v>
      </c>
      <c r="H1041" s="18" t="s">
        <v>43</v>
      </c>
      <c r="I1041" s="18"/>
      <c r="J1041" s="18" t="n">
        <v>4415174</v>
      </c>
    </row>
    <row r="1042" customFormat="false" ht="15" hidden="false" customHeight="false" outlineLevel="0" collapsed="false">
      <c r="A1042" s="18" t="n">
        <f aca="false">IF(ISNUMBER($J1042),$J1042,"")</f>
        <v>4417001</v>
      </c>
      <c r="B1042" s="18" t="n">
        <f aca="false">IFERROR(INDEX('SALES Raw'!$B$6:$B$4467,MATCH($J1042,'SALES Raw'!$J$6:$J$4467,0)),IFERROR(INDEX('CEMIUP0.9 Raw'!$B$6:$B$1712,MATCH($J1042,'CEMIUP0.9 Raw'!$B$6:$B$1712,0)),$J1042))</f>
        <v>4417001</v>
      </c>
      <c r="C1042" s="18" t="str">
        <f aca="false">IF(ISNUMBER($J1042),IFERROR(INDEX('TRANS'!$C:$C,MATCH($J1042,'TRANS'!$B:$B,0)),IFERROR(INDEX('Catalog'!$B:$B,MATCH($J1042,'Catalog'!$A:$A,0)),$B1042)),$B1042)</f>
        <v>PD343-פומפיה מאבן להסר.עור</v>
      </c>
      <c r="D1042" s="19" t="n">
        <f aca="false">SUMIFS('SALES Raw'!$C$6:$C$4467,'SALES Raw'!$J$6:$J$4467,$J1042,'SALES Raw'!$K$6:$K$4467,"Y")+SUMIFS('CEMIUP0.9 Raw'!$D$6:$D$1712,'CEMIUP0.9 Raw'!$B$6:$B$1712,$J1042,'CEMIUP0.9 Raw'!$H$6:$H$1712,"Y")</f>
        <v>-1</v>
      </c>
      <c r="E1042" s="19" t="n">
        <f aca="false">SUMIFS('SALES Raw'!$D$6:$D$4467,'SALES Raw'!$J$6:$J$4467,$J1042,'SALES Raw'!$K$6:$K$4467,"Y")+SUMIFS('CEMIUP0.9 Raw'!$E$6:$E$1712,'CEMIUP0.9 Raw'!$B$6:$B$1712,$J1042,'CEMIUP0.9 Raw'!$H$6:$H$1712,"Y")</f>
        <v>-8.19</v>
      </c>
      <c r="F1042" s="19" t="n">
        <f aca="false">SUMIFS('SALES Raw'!$E$6:$E$4467,'SALES Raw'!$J$6:$J$4467,$J1042,'SALES Raw'!$K$6:$K$4467,"Y")*$H$4+SUMIFS('CEMIUP0.9 Raw'!$F$6:$F$1712,'CEMIUP0.9 Raw'!$B$6:$B$1712,$J1042,'CEMIUP0.9 Raw'!$H$6:$H$1712,"Y")</f>
        <v>0</v>
      </c>
      <c r="G1042" s="19" t="n">
        <f aca="false">SUMIFS('SALES Raw'!$F$6:$F$4467,'SALES Raw'!$J$6:$J$4467,$J1042,'SALES Raw'!$K$6:$K$4467,"Y")*$H$4+SUMIFS('CEMIUP0.9 Raw'!$G$6:$G$1712,'CEMIUP0.9 Raw'!$B$6:$B$1712,$J1042,'CEMIUP0.9 Raw'!$H$6:$H$1712,"Y")</f>
        <v>0</v>
      </c>
      <c r="H1042" s="18" t="s">
        <v>43</v>
      </c>
      <c r="I1042" s="18"/>
      <c r="J1042" s="18" t="n">
        <v>4417001</v>
      </c>
    </row>
    <row r="1043" customFormat="false" ht="15" hidden="false" customHeight="false" outlineLevel="0" collapsed="false">
      <c r="A1043" s="18" t="n">
        <f aca="false">IF(ISNUMBER($J1043),$J1043,"")</f>
        <v>4418004</v>
      </c>
      <c r="B1043" s="18" t="n">
        <f aca="false">IFERROR(INDEX('SALES Raw'!$B$6:$B$4467,MATCH($J1043,'SALES Raw'!$J$6:$J$4467,0)),IFERROR(INDEX('CEMIUP0.9 Raw'!$B$6:$B$1712,MATCH($J1043,'CEMIUP0.9 Raw'!$B$6:$B$1712,0)),$J1043))</f>
        <v>4418004</v>
      </c>
      <c r="C1043" s="18" t="str">
        <f aca="false">IF(ISNUMBER($J1043),IFERROR(INDEX('TRANS'!$C:$C,MATCH($J1043,'TRANS'!$B:$B,0)),IFERROR(INDEX('Catalog'!$B:$B,MATCH($J1043,'Catalog'!$A:$A,0)),$B1043)),$B1043)</f>
        <v>60 XXL צוארון ספוגי</v>
      </c>
      <c r="D1043" s="19" t="n">
        <f aca="false">SUMIFS('SALES Raw'!$C$6:$C$4467,'SALES Raw'!$J$6:$J$4467,$J1043,'SALES Raw'!$K$6:$K$4467,"Y")+SUMIFS('CEMIUP0.9 Raw'!$D$6:$D$1712,'CEMIUP0.9 Raw'!$B$6:$B$1712,$J1043,'CEMIUP0.9 Raw'!$H$6:$H$1712,"Y")</f>
        <v>2</v>
      </c>
      <c r="E1043" s="19" t="n">
        <f aca="false">SUMIFS('SALES Raw'!$D$6:$D$4467,'SALES Raw'!$J$6:$J$4467,$J1043,'SALES Raw'!$K$6:$K$4467,"Y")+SUMIFS('CEMIUP0.9 Raw'!$E$6:$E$1712,'CEMIUP0.9 Raw'!$B$6:$B$1712,$J1043,'CEMIUP0.9 Raw'!$H$6:$H$1712,"Y")</f>
        <v>90.272</v>
      </c>
      <c r="F1043" s="19" t="n">
        <f aca="false">SUMIFS('SALES Raw'!$E$6:$E$4467,'SALES Raw'!$J$6:$J$4467,$J1043,'SALES Raw'!$K$6:$K$4467,"Y")*$H$4+SUMIFS('CEMIUP0.9 Raw'!$F$6:$F$1712,'CEMIUP0.9 Raw'!$B$6:$B$1712,$J1043,'CEMIUP0.9 Raw'!$H$6:$H$1712,"Y")</f>
        <v>0</v>
      </c>
      <c r="G1043" s="19" t="n">
        <f aca="false">SUMIFS('SALES Raw'!$F$6:$F$4467,'SALES Raw'!$J$6:$J$4467,$J1043,'SALES Raw'!$K$6:$K$4467,"Y")*$H$4+SUMIFS('CEMIUP0.9 Raw'!$G$6:$G$1712,'CEMIUP0.9 Raw'!$B$6:$B$1712,$J1043,'CEMIUP0.9 Raw'!$H$6:$H$1712,"Y")</f>
        <v>0</v>
      </c>
      <c r="H1043" s="18" t="s">
        <v>43</v>
      </c>
      <c r="I1043" s="18"/>
      <c r="J1043" s="18" t="n">
        <v>4418004</v>
      </c>
    </row>
    <row r="1044" customFormat="false" ht="15" hidden="false" customHeight="false" outlineLevel="0" collapsed="false">
      <c r="A1044" s="18" t="n">
        <f aca="false">IF(ISNUMBER($J1044),$J1044,"")</f>
        <v>4419002</v>
      </c>
      <c r="B1044" s="18" t="n">
        <f aca="false">IFERROR(INDEX('SALES Raw'!$B$6:$B$4467,MATCH($J1044,'SALES Raw'!$J$6:$J$4467,0)),IFERROR(INDEX('CEMIUP0.9 Raw'!$B$6:$B$1712,MATCH($J1044,'CEMIUP0.9 Raw'!$B$6:$B$1712,0)),$J1044))</f>
        <v>4419002</v>
      </c>
      <c r="C1044" s="18" t="str">
        <f aca="false">IF(ISNUMBER($J1044),IFERROR(INDEX('TRANS'!$C:$C,MATCH($J1044,'TRANS'!$B:$B,0)),IFERROR(INDEX('Catalog'!$B:$B,MATCH($J1044,'Catalog'!$A:$A,0)),$B1044)),$B1044)</f>
        <v>FC311-תתקרם דאודורנט לכף הרגל</v>
      </c>
      <c r="D1044" s="19" t="n">
        <f aca="false">SUMIFS('SALES Raw'!$C$6:$C$4467,'SALES Raw'!$J$6:$J$4467,$J1044,'SALES Raw'!$K$6:$K$4467,"Y")+SUMIFS('CEMIUP0.9 Raw'!$D$6:$D$1712,'CEMIUP0.9 Raw'!$B$6:$B$1712,$J1044,'CEMIUP0.9 Raw'!$H$6:$H$1712,"Y")</f>
        <v>-1</v>
      </c>
      <c r="E1044" s="19" t="n">
        <f aca="false">SUMIFS('SALES Raw'!$D$6:$D$4467,'SALES Raw'!$J$6:$J$4467,$J1044,'SALES Raw'!$K$6:$K$4467,"Y")+SUMIFS('CEMIUP0.9 Raw'!$E$6:$E$1712,'CEMIUP0.9 Raw'!$B$6:$B$1712,$J1044,'CEMIUP0.9 Raw'!$H$6:$H$1712,"Y")</f>
        <v>-27.027</v>
      </c>
      <c r="F1044" s="19" t="n">
        <f aca="false">SUMIFS('SALES Raw'!$E$6:$E$4467,'SALES Raw'!$J$6:$J$4467,$J1044,'SALES Raw'!$K$6:$K$4467,"Y")*$H$4+SUMIFS('CEMIUP0.9 Raw'!$F$6:$F$1712,'CEMIUP0.9 Raw'!$B$6:$B$1712,$J1044,'CEMIUP0.9 Raw'!$H$6:$H$1712,"Y")</f>
        <v>0</v>
      </c>
      <c r="G1044" s="19" t="n">
        <f aca="false">SUMIFS('SALES Raw'!$F$6:$F$4467,'SALES Raw'!$J$6:$J$4467,$J1044,'SALES Raw'!$K$6:$K$4467,"Y")*$H$4+SUMIFS('CEMIUP0.9 Raw'!$G$6:$G$1712,'CEMIUP0.9 Raw'!$B$6:$B$1712,$J1044,'CEMIUP0.9 Raw'!$H$6:$H$1712,"Y")</f>
        <v>0</v>
      </c>
      <c r="H1044" s="18" t="s">
        <v>43</v>
      </c>
      <c r="I1044" s="18"/>
      <c r="J1044" s="18" t="n">
        <v>4419002</v>
      </c>
    </row>
    <row r="1045" customFormat="false" ht="15" hidden="false" customHeight="false" outlineLevel="0" collapsed="false">
      <c r="A1045" s="18" t="n">
        <f aca="false">IF(ISNUMBER($J1045),$J1045,"")</f>
        <v>4419003</v>
      </c>
      <c r="B1045" s="18" t="n">
        <f aca="false">IFERROR(INDEX('SALES Raw'!$B$6:$B$4467,MATCH($J1045,'SALES Raw'!$J$6:$J$4467,0)),IFERROR(INDEX('CEMIUP0.9 Raw'!$B$6:$B$1712,MATCH($J1045,'CEMIUP0.9 Raw'!$B$6:$B$1712,0)),$J1045))</f>
        <v>4419003</v>
      </c>
      <c r="C1045" s="18" t="str">
        <f aca="false">IF(ISNUMBER($J1045),IFERROR(INDEX('TRANS'!$C:$C,MATCH($J1045,'TRANS'!$B:$B,0)),IFERROR(INDEX('Catalog'!$B:$B,MATCH($J1045,'Catalog'!$A:$A,0)),$B1045)),$B1045)</f>
        <v>FC310-תתקרם הגנה לכף הרגל</v>
      </c>
      <c r="D1045" s="19" t="n">
        <f aca="false">SUMIFS('SALES Raw'!$C$6:$C$4467,'SALES Raw'!$J$6:$J$4467,$J1045,'SALES Raw'!$K$6:$K$4467,"Y")+SUMIFS('CEMIUP0.9 Raw'!$D$6:$D$1712,'CEMIUP0.9 Raw'!$B$6:$B$1712,$J1045,'CEMIUP0.9 Raw'!$H$6:$H$1712,"Y")</f>
        <v>-5</v>
      </c>
      <c r="E1045" s="19" t="n">
        <f aca="false">SUMIFS('SALES Raw'!$D$6:$D$4467,'SALES Raw'!$J$6:$J$4467,$J1045,'SALES Raw'!$K$6:$K$4467,"Y")+SUMIFS('CEMIUP0.9 Raw'!$E$6:$E$1712,'CEMIUP0.9 Raw'!$B$6:$B$1712,$J1045,'CEMIUP0.9 Raw'!$H$6:$H$1712,"Y")</f>
        <v>-150.696</v>
      </c>
      <c r="F1045" s="19" t="n">
        <f aca="false">SUMIFS('SALES Raw'!$E$6:$E$4467,'SALES Raw'!$J$6:$J$4467,$J1045,'SALES Raw'!$K$6:$K$4467,"Y")*$H$4+SUMIFS('CEMIUP0.9 Raw'!$F$6:$F$1712,'CEMIUP0.9 Raw'!$B$6:$B$1712,$J1045,'CEMIUP0.9 Raw'!$H$6:$H$1712,"Y")</f>
        <v>0</v>
      </c>
      <c r="G1045" s="19" t="n">
        <f aca="false">SUMIFS('SALES Raw'!$F$6:$F$4467,'SALES Raw'!$J$6:$J$4467,$J1045,'SALES Raw'!$K$6:$K$4467,"Y")*$H$4+SUMIFS('CEMIUP0.9 Raw'!$G$6:$G$1712,'CEMIUP0.9 Raw'!$B$6:$B$1712,$J1045,'CEMIUP0.9 Raw'!$H$6:$H$1712,"Y")</f>
        <v>0</v>
      </c>
      <c r="H1045" s="18" t="s">
        <v>43</v>
      </c>
      <c r="I1045" s="18"/>
      <c r="J1045" s="18" t="n">
        <v>4419003</v>
      </c>
    </row>
    <row r="1046" customFormat="false" ht="15" hidden="false" customHeight="false" outlineLevel="0" collapsed="false">
      <c r="A1046" s="18" t="n">
        <f aca="false">IF(ISNUMBER($J1046),$J1046,"")</f>
        <v>4419004</v>
      </c>
      <c r="B1046" s="18" t="n">
        <f aca="false">IFERROR(INDEX('SALES Raw'!$B$6:$B$4467,MATCH($J1046,'SALES Raw'!$J$6:$J$4467,0)),IFERROR(INDEX('CEMIUP0.9 Raw'!$B$6:$B$1712,MATCH($J1046,'CEMIUP0.9 Raw'!$B$6:$B$1712,0)),$J1046))</f>
        <v>4419004</v>
      </c>
      <c r="C1046" s="18" t="str">
        <f aca="false">IF(ISNUMBER($J1046),IFERROR(INDEX('TRANS'!$C:$C,MATCH($J1046,'TRANS'!$B:$B,0)),IFERROR(INDEX('Catalog'!$B:$B,MATCH($J1046,'Catalog'!$A:$A,0)),$B1046)),$B1046)</f>
        <v>FC312-תתקרם מירוק גרגרי פילינג</v>
      </c>
      <c r="D1046" s="19" t="n">
        <f aca="false">SUMIFS('SALES Raw'!$C$6:$C$4467,'SALES Raw'!$J$6:$J$4467,$J1046,'SALES Raw'!$K$6:$K$4467,"Y")+SUMIFS('CEMIUP0.9 Raw'!$D$6:$D$1712,'CEMIUP0.9 Raw'!$B$6:$B$1712,$J1046,'CEMIUP0.9 Raw'!$H$6:$H$1712,"Y")</f>
        <v>-1</v>
      </c>
      <c r="E1046" s="19" t="n">
        <f aca="false">SUMIFS('SALES Raw'!$D$6:$D$4467,'SALES Raw'!$J$6:$J$4467,$J1046,'SALES Raw'!$K$6:$K$4467,"Y")+SUMIFS('CEMIUP0.9 Raw'!$E$6:$E$1712,'CEMIUP0.9 Raw'!$B$6:$B$1712,$J1046,'CEMIUP0.9 Raw'!$H$6:$H$1712,"Y")</f>
        <v>-27.027</v>
      </c>
      <c r="F1046" s="19" t="n">
        <f aca="false">SUMIFS('SALES Raw'!$E$6:$E$4467,'SALES Raw'!$J$6:$J$4467,$J1046,'SALES Raw'!$K$6:$K$4467,"Y")*$H$4+SUMIFS('CEMIUP0.9 Raw'!$F$6:$F$1712,'CEMIUP0.9 Raw'!$B$6:$B$1712,$J1046,'CEMIUP0.9 Raw'!$H$6:$H$1712,"Y")</f>
        <v>0</v>
      </c>
      <c r="G1046" s="19" t="n">
        <f aca="false">SUMIFS('SALES Raw'!$F$6:$F$4467,'SALES Raw'!$J$6:$J$4467,$J1046,'SALES Raw'!$K$6:$K$4467,"Y")*$H$4+SUMIFS('CEMIUP0.9 Raw'!$G$6:$G$1712,'CEMIUP0.9 Raw'!$B$6:$B$1712,$J1046,'CEMIUP0.9 Raw'!$H$6:$H$1712,"Y")</f>
        <v>0</v>
      </c>
      <c r="H1046" s="18" t="s">
        <v>43</v>
      </c>
      <c r="I1046" s="18"/>
      <c r="J1046" s="18" t="n">
        <v>4419004</v>
      </c>
    </row>
    <row r="1047" customFormat="false" ht="15" hidden="false" customHeight="false" outlineLevel="0" collapsed="false">
      <c r="A1047" s="18" t="n">
        <f aca="false">IF(ISNUMBER($J1047),$J1047,"")</f>
        <v>4419012</v>
      </c>
      <c r="B1047" s="18" t="n">
        <f aca="false">IFERROR(INDEX('SALES Raw'!$B$6:$B$4467,MATCH($J1047,'SALES Raw'!$J$6:$J$4467,0)),IFERROR(INDEX('CEMIUP0.9 Raw'!$B$6:$B$1712,MATCH($J1047,'CEMIUP0.9 Raw'!$B$6:$B$1712,0)),$J1047))</f>
        <v>4419012</v>
      </c>
      <c r="C1047" s="18" t="str">
        <f aca="false">IF(ISNUMBER($J1047),IFERROR(INDEX('TRANS'!$C:$C,MATCH($J1047,'TRANS'!$B:$B,0)),IFERROR(INDEX('Catalog'!$B:$B,MATCH($J1047,'Catalog'!$A:$A,0)),$B1047)),$B1047)</f>
        <v>239P S-M STRAP4U</v>
      </c>
      <c r="D1047" s="19" t="n">
        <f aca="false">SUMIFS('SALES Raw'!$C$6:$C$4467,'SALES Raw'!$J$6:$J$4467,$J1047,'SALES Raw'!$K$6:$K$4467,"Y")+SUMIFS('CEMIUP0.9 Raw'!$D$6:$D$1712,'CEMIUP0.9 Raw'!$B$6:$B$1712,$J1047,'CEMIUP0.9 Raw'!$H$6:$H$1712,"Y")</f>
        <v>-4</v>
      </c>
      <c r="E1047" s="19" t="n">
        <f aca="false">SUMIFS('SALES Raw'!$D$6:$D$4467,'SALES Raw'!$J$6:$J$4467,$J1047,'SALES Raw'!$K$6:$K$4467,"Y")+SUMIFS('CEMIUP0.9 Raw'!$E$6:$E$1712,'CEMIUP0.9 Raw'!$B$6:$B$1712,$J1047,'CEMIUP0.9 Raw'!$H$6:$H$1712,"Y")</f>
        <v>-48.685</v>
      </c>
      <c r="F1047" s="19" t="n">
        <f aca="false">SUMIFS('SALES Raw'!$E$6:$E$4467,'SALES Raw'!$J$6:$J$4467,$J1047,'SALES Raw'!$K$6:$K$4467,"Y")*$H$4+SUMIFS('CEMIUP0.9 Raw'!$F$6:$F$1712,'CEMIUP0.9 Raw'!$B$6:$B$1712,$J1047,'CEMIUP0.9 Raw'!$H$6:$H$1712,"Y")</f>
        <v>0</v>
      </c>
      <c r="G1047" s="19" t="n">
        <f aca="false">SUMIFS('SALES Raw'!$F$6:$F$4467,'SALES Raw'!$J$6:$J$4467,$J1047,'SALES Raw'!$K$6:$K$4467,"Y")*$H$4+SUMIFS('CEMIUP0.9 Raw'!$G$6:$G$1712,'CEMIUP0.9 Raw'!$B$6:$B$1712,$J1047,'CEMIUP0.9 Raw'!$H$6:$H$1712,"Y")</f>
        <v>0</v>
      </c>
      <c r="H1047" s="18" t="s">
        <v>43</v>
      </c>
      <c r="I1047" s="18"/>
      <c r="J1047" s="18" t="n">
        <v>4419012</v>
      </c>
    </row>
    <row r="1048" customFormat="false" ht="15" hidden="false" customHeight="false" outlineLevel="0" collapsed="false">
      <c r="A1048" s="18" t="n">
        <f aca="false">IF(ISNUMBER($J1048),$J1048,"")</f>
        <v>4420005</v>
      </c>
      <c r="B1048" s="18" t="n">
        <f aca="false">IFERROR(INDEX('SALES Raw'!$B$6:$B$4467,MATCH($J1048,'SALES Raw'!$J$6:$J$4467,0)),IFERROR(INDEX('CEMIUP0.9 Raw'!$B$6:$B$1712,MATCH($J1048,'CEMIUP0.9 Raw'!$B$6:$B$1712,0)),$J1048))</f>
        <v>4420005</v>
      </c>
      <c r="C1048" s="18" t="str">
        <f aca="false">IF(ISNUMBER($J1048),IFERROR(INDEX('TRANS'!$C:$C,MATCH($J1048,'TRANS'!$B:$B,0)),IFERROR(INDEX('Catalog'!$B:$B,MATCH($J1048,'Catalog'!$A:$A,0)),$B1048)),$B1048)</f>
        <v>377 רפ.אורטופדית ספורט זוג36</v>
      </c>
      <c r="D1048" s="19" t="n">
        <f aca="false">SUMIFS('SALES Raw'!$C$6:$C$4467,'SALES Raw'!$J$6:$J$4467,$J1048,'SALES Raw'!$K$6:$K$4467,"Y")+SUMIFS('CEMIUP0.9 Raw'!$D$6:$D$1712,'CEMIUP0.9 Raw'!$B$6:$B$1712,$J1048,'CEMIUP0.9 Raw'!$H$6:$H$1712,"Y")</f>
        <v>3</v>
      </c>
      <c r="E1048" s="19" t="n">
        <f aca="false">SUMIFS('SALES Raw'!$D$6:$D$4467,'SALES Raw'!$J$6:$J$4467,$J1048,'SALES Raw'!$K$6:$K$4467,"Y")+SUMIFS('CEMIUP0.9 Raw'!$E$6:$E$1712,'CEMIUP0.9 Raw'!$B$6:$B$1712,$J1048,'CEMIUP0.9 Raw'!$H$6:$H$1712,"Y")</f>
        <v>113.75</v>
      </c>
      <c r="F1048" s="19" t="n">
        <f aca="false">SUMIFS('SALES Raw'!$E$6:$E$4467,'SALES Raw'!$J$6:$J$4467,$J1048,'SALES Raw'!$K$6:$K$4467,"Y")*$H$4+SUMIFS('CEMIUP0.9 Raw'!$F$6:$F$1712,'CEMIUP0.9 Raw'!$B$6:$B$1712,$J1048,'CEMIUP0.9 Raw'!$H$6:$H$1712,"Y")</f>
        <v>0</v>
      </c>
      <c r="G1048" s="19" t="n">
        <f aca="false">SUMIFS('SALES Raw'!$F$6:$F$4467,'SALES Raw'!$J$6:$J$4467,$J1048,'SALES Raw'!$K$6:$K$4467,"Y")*$H$4+SUMIFS('CEMIUP0.9 Raw'!$G$6:$G$1712,'CEMIUP0.9 Raw'!$B$6:$B$1712,$J1048,'CEMIUP0.9 Raw'!$H$6:$H$1712,"Y")</f>
        <v>3.79326315789474</v>
      </c>
      <c r="H1048" s="18" t="s">
        <v>43</v>
      </c>
      <c r="I1048" s="18"/>
      <c r="J1048" s="18" t="n">
        <v>4420005</v>
      </c>
    </row>
    <row r="1049" customFormat="false" ht="15" hidden="false" customHeight="false" outlineLevel="0" collapsed="false">
      <c r="A1049" s="18" t="n">
        <f aca="false">IF(ISNUMBER($J1049),$J1049,"")</f>
        <v>4420007</v>
      </c>
      <c r="B1049" s="18" t="n">
        <f aca="false">IFERROR(INDEX('SALES Raw'!$B$6:$B$4467,MATCH($J1049,'SALES Raw'!$J$6:$J$4467,0)),IFERROR(INDEX('CEMIUP0.9 Raw'!$B$6:$B$1712,MATCH($J1049,'CEMIUP0.9 Raw'!$B$6:$B$1712,0)),$J1049))</f>
        <v>4420007</v>
      </c>
      <c r="C1049" s="18" t="str">
        <f aca="false">IF(ISNUMBER($J1049),IFERROR(INDEX('TRANS'!$C:$C,MATCH($J1049,'TRANS'!$B:$B,0)),IFERROR(INDEX('Catalog'!$B:$B,MATCH($J1049,'Catalog'!$A:$A,0)),$B1049)),$B1049)</f>
        <v>377   רפ.ורטופדית ספורט זוג38</v>
      </c>
      <c r="D1049" s="19" t="n">
        <f aca="false">SUMIFS('SALES Raw'!$C$6:$C$4467,'SALES Raw'!$J$6:$J$4467,$J1049,'SALES Raw'!$K$6:$K$4467,"Y")+SUMIFS('CEMIUP0.9 Raw'!$D$6:$D$1712,'CEMIUP0.9 Raw'!$B$6:$B$1712,$J1049,'CEMIUP0.9 Raw'!$H$6:$H$1712,"Y")</f>
        <v>2</v>
      </c>
      <c r="E1049" s="19" t="n">
        <f aca="false">SUMIFS('SALES Raw'!$D$6:$D$4467,'SALES Raw'!$J$6:$J$4467,$J1049,'SALES Raw'!$K$6:$K$4467,"Y")+SUMIFS('CEMIUP0.9 Raw'!$E$6:$E$1712,'CEMIUP0.9 Raw'!$B$6:$B$1712,$J1049,'CEMIUP0.9 Raw'!$H$6:$H$1712,"Y")</f>
        <v>74.165</v>
      </c>
      <c r="F1049" s="19" t="n">
        <f aca="false">SUMIFS('SALES Raw'!$E$6:$E$4467,'SALES Raw'!$J$6:$J$4467,$J1049,'SALES Raw'!$K$6:$K$4467,"Y")*$H$4+SUMIFS('CEMIUP0.9 Raw'!$F$6:$F$1712,'CEMIUP0.9 Raw'!$B$6:$B$1712,$J1049,'CEMIUP0.9 Raw'!$H$6:$H$1712,"Y")</f>
        <v>0</v>
      </c>
      <c r="G1049" s="19" t="n">
        <f aca="false">SUMIFS('SALES Raw'!$F$6:$F$4467,'SALES Raw'!$J$6:$J$4467,$J1049,'SALES Raw'!$K$6:$K$4467,"Y")*$H$4+SUMIFS('CEMIUP0.9 Raw'!$G$6:$G$1712,'CEMIUP0.9 Raw'!$B$6:$B$1712,$J1049,'CEMIUP0.9 Raw'!$H$6:$H$1712,"Y")</f>
        <v>0</v>
      </c>
      <c r="H1049" s="18" t="s">
        <v>43</v>
      </c>
      <c r="I1049" s="18"/>
      <c r="J1049" s="18" t="n">
        <v>4420007</v>
      </c>
    </row>
    <row r="1050" customFormat="false" ht="15" hidden="false" customHeight="false" outlineLevel="0" collapsed="false">
      <c r="A1050" s="18" t="n">
        <f aca="false">IF(ISNUMBER($J1050),$J1050,"")</f>
        <v>4420010</v>
      </c>
      <c r="B1050" s="18" t="n">
        <f aca="false">IFERROR(INDEX('SALES Raw'!$B$6:$B$4467,MATCH($J1050,'SALES Raw'!$J$6:$J$4467,0)),IFERROR(INDEX('CEMIUP0.9 Raw'!$B$6:$B$1712,MATCH($J1050,'CEMIUP0.9 Raw'!$B$6:$B$1712,0)),$J1050))</f>
        <v>4420010</v>
      </c>
      <c r="C1050" s="18" t="str">
        <f aca="false">IF(ISNUMBER($J1050),IFERROR(INDEX('TRANS'!$C:$C,MATCH($J1050,'TRANS'!$B:$B,0)),IFERROR(INDEX('Catalog'!$B:$B,MATCH($J1050,'Catalog'!$A:$A,0)),$B1050)),$B1050)</f>
        <v>377  רפידה אורטופ.ספורט זוג41</v>
      </c>
      <c r="D1050" s="19" t="n">
        <f aca="false">SUMIFS('SALES Raw'!$C$6:$C$4467,'SALES Raw'!$J$6:$J$4467,$J1050,'SALES Raw'!$K$6:$K$4467,"Y")+SUMIFS('CEMIUP0.9 Raw'!$D$6:$D$1712,'CEMIUP0.9 Raw'!$B$6:$B$1712,$J1050,'CEMIUP0.9 Raw'!$H$6:$H$1712,"Y")</f>
        <v>6</v>
      </c>
      <c r="E1050" s="19" t="n">
        <f aca="false">SUMIFS('SALES Raw'!$D$6:$D$4467,'SALES Raw'!$J$6:$J$4467,$J1050,'SALES Raw'!$K$6:$K$4467,"Y")+SUMIFS('CEMIUP0.9 Raw'!$E$6:$E$1712,'CEMIUP0.9 Raw'!$B$6:$B$1712,$J1050,'CEMIUP0.9 Raw'!$H$6:$H$1712,"Y")</f>
        <v>224.861</v>
      </c>
      <c r="F1050" s="19" t="n">
        <f aca="false">SUMIFS('SALES Raw'!$E$6:$E$4467,'SALES Raw'!$J$6:$J$4467,$J1050,'SALES Raw'!$K$6:$K$4467,"Y")*$H$4+SUMIFS('CEMIUP0.9 Raw'!$F$6:$F$1712,'CEMIUP0.9 Raw'!$B$6:$B$1712,$J1050,'CEMIUP0.9 Raw'!$H$6:$H$1712,"Y")</f>
        <v>0</v>
      </c>
      <c r="G1050" s="19" t="n">
        <f aca="false">SUMIFS('SALES Raw'!$F$6:$F$4467,'SALES Raw'!$J$6:$J$4467,$J1050,'SALES Raw'!$K$6:$K$4467,"Y")*$H$4+SUMIFS('CEMIUP0.9 Raw'!$G$6:$G$1712,'CEMIUP0.9 Raw'!$B$6:$B$1712,$J1050,'CEMIUP0.9 Raw'!$H$6:$H$1712,"Y")</f>
        <v>0</v>
      </c>
      <c r="H1050" s="18" t="s">
        <v>43</v>
      </c>
      <c r="I1050" s="18"/>
      <c r="J1050" s="18" t="n">
        <v>4420010</v>
      </c>
    </row>
    <row r="1051" customFormat="false" ht="15" hidden="false" customHeight="false" outlineLevel="0" collapsed="false">
      <c r="A1051" s="18" t="n">
        <f aca="false">IF(ISNUMBER($J1051),$J1051,"")</f>
        <v>4422003</v>
      </c>
      <c r="B1051" s="18" t="n">
        <f aca="false">IFERROR(INDEX('SALES Raw'!$B$6:$B$4467,MATCH($J1051,'SALES Raw'!$J$6:$J$4467,0)),IFERROR(INDEX('CEMIUP0.9 Raw'!$B$6:$B$1712,MATCH($J1051,'CEMIUP0.9 Raw'!$B$6:$B$1712,0)),$J1051))</f>
        <v>4422003</v>
      </c>
      <c r="C1051" s="18" t="str">
        <f aca="false">IF(ISNUMBER($J1051),IFERROR(INDEX('TRANS'!$C:$C,MATCH($J1051,'TRANS'!$B:$B,0)),IFERROR(INDEX('Catalog'!$B:$B,MATCH($J1051,'Catalog'!$A:$A,0)),$B1051)),$B1051)</f>
        <v>FC331Z- 120 תתתרסיס מרענן לרגל</v>
      </c>
      <c r="D1051" s="19" t="n">
        <f aca="false">SUMIFS('SALES Raw'!$C$6:$C$4467,'SALES Raw'!$J$6:$J$4467,$J1051,'SALES Raw'!$K$6:$K$4467,"Y")+SUMIFS('CEMIUP0.9 Raw'!$D$6:$D$1712,'CEMIUP0.9 Raw'!$B$6:$B$1712,$J1051,'CEMIUP0.9 Raw'!$H$6:$H$1712,"Y")</f>
        <v>-1</v>
      </c>
      <c r="E1051" s="19" t="n">
        <f aca="false">SUMIFS('SALES Raw'!$D$6:$D$4467,'SALES Raw'!$J$6:$J$4467,$J1051,'SALES Raw'!$K$6:$K$4467,"Y")+SUMIFS('CEMIUP0.9 Raw'!$E$6:$E$1712,'CEMIUP0.9 Raw'!$B$6:$B$1712,$J1051,'CEMIUP0.9 Raw'!$H$6:$H$1712,"Y")</f>
        <v>-33.215</v>
      </c>
      <c r="F1051" s="19" t="n">
        <f aca="false">SUMIFS('SALES Raw'!$E$6:$E$4467,'SALES Raw'!$J$6:$J$4467,$J1051,'SALES Raw'!$K$6:$K$4467,"Y")*$H$4+SUMIFS('CEMIUP0.9 Raw'!$F$6:$F$1712,'CEMIUP0.9 Raw'!$B$6:$B$1712,$J1051,'CEMIUP0.9 Raw'!$H$6:$H$1712,"Y")</f>
        <v>0</v>
      </c>
      <c r="G1051" s="19" t="n">
        <f aca="false">SUMIFS('SALES Raw'!$F$6:$F$4467,'SALES Raw'!$J$6:$J$4467,$J1051,'SALES Raw'!$K$6:$K$4467,"Y")*$H$4+SUMIFS('CEMIUP0.9 Raw'!$G$6:$G$1712,'CEMIUP0.9 Raw'!$B$6:$B$1712,$J1051,'CEMIUP0.9 Raw'!$H$6:$H$1712,"Y")</f>
        <v>0</v>
      </c>
      <c r="H1051" s="18" t="s">
        <v>43</v>
      </c>
      <c r="I1051" s="18"/>
      <c r="J1051" s="18" t="n">
        <v>4422003</v>
      </c>
    </row>
    <row r="1052" customFormat="false" ht="15" hidden="false" customHeight="false" outlineLevel="0" collapsed="false">
      <c r="A1052" s="18" t="str">
        <f aca="false">IF(ISNUMBER($J1052),$J1052,"")</f>
        <v/>
      </c>
      <c r="B1052" s="18" t="str">
        <f aca="false">IFERROR(INDEX('SALES Raw'!$B$6:$B$4467,MATCH($J1052,'SALES Raw'!$J$6:$J$4467,0)),IFERROR(INDEX('CEMIUP0.9 Raw'!$B$6:$B$1712,MATCH($J1052,'CEMIUP0.9 Raw'!$B$6:$B$1712,0)),$J1052))</f>
        <v>30 S</v>
      </c>
      <c r="C1052" s="18" t="str">
        <f aca="false">IF(ISNUMBER($J1052),IFERROR(INDEX('TRANS'!$C:$C,MATCH($J1052,'TRANS'!$B:$B,0)),IFERROR(INDEX('Catalog'!$B:$B,MATCH($J1052,'Catalog'!$A:$A,0)),$B1052)),$B1052)</f>
        <v>30 S</v>
      </c>
      <c r="D1052" s="19" t="n">
        <f aca="false">SUMIFS('SALES Raw'!$C$6:$C$4467,'SALES Raw'!$J$6:$J$4467,$J1052,'SALES Raw'!$K$6:$K$4467,"Y")+SUMIFS('CEMIUP0.9 Raw'!$D$6:$D$1712,'CEMIUP0.9 Raw'!$B$6:$B$1712,$J1052,'CEMIUP0.9 Raw'!$H$6:$H$1712,"Y")</f>
        <v>3</v>
      </c>
      <c r="E1052" s="19" t="n">
        <f aca="false">SUMIFS('SALES Raw'!$D$6:$D$4467,'SALES Raw'!$J$6:$J$4467,$J1052,'SALES Raw'!$K$6:$K$4467,"Y")+SUMIFS('CEMIUP0.9 Raw'!$E$6:$E$1712,'CEMIUP0.9 Raw'!$B$6:$B$1712,$J1052,'CEMIUP0.9 Raw'!$H$6:$H$1712,"Y")</f>
        <v>198.4</v>
      </c>
      <c r="F1052" s="19" t="n">
        <f aca="false">SUMIFS('SALES Raw'!$E$6:$E$4467,'SALES Raw'!$J$6:$J$4467,$J1052,'SALES Raw'!$K$6:$K$4467,"Y")*$H$4+SUMIFS('CEMIUP0.9 Raw'!$F$6:$F$1712,'CEMIUP0.9 Raw'!$B$6:$B$1712,$J1052,'CEMIUP0.9 Raw'!$H$6:$H$1712,"Y")</f>
        <v>0</v>
      </c>
      <c r="G1052" s="19" t="n">
        <f aca="false">SUMIFS('SALES Raw'!$F$6:$F$4467,'SALES Raw'!$J$6:$J$4467,$J1052,'SALES Raw'!$K$6:$K$4467,"Y")*$H$4+SUMIFS('CEMIUP0.9 Raw'!$G$6:$G$1712,'CEMIUP0.9 Raw'!$B$6:$B$1712,$J1052,'CEMIUP0.9 Raw'!$H$6:$H$1712,"Y")</f>
        <v>0</v>
      </c>
      <c r="H1052" s="18" t="s">
        <v>43</v>
      </c>
      <c r="I1052" s="18"/>
      <c r="J1052" s="18" t="s">
        <v>521</v>
      </c>
    </row>
    <row r="1053" customFormat="false" ht="15" hidden="false" customHeight="false" outlineLevel="0" collapsed="false">
      <c r="A1053" s="18" t="str">
        <f aca="false">IF(ISNUMBER($J1053),$J1053,"")</f>
        <v/>
      </c>
      <c r="B1053" s="18" t="str">
        <f aca="false">IFERROR(INDEX('SALES Raw'!$B$6:$B$4467,MATCH($J1053,'SALES Raw'!$J$6:$J$4467,0)),IFERROR(INDEX('CEMIUP0.9 Raw'!$B$6:$B$1712,MATCH($J1053,'CEMIUP0.9 Raw'!$B$6:$B$1712,0)),$J1053))</f>
        <v>078C L</v>
      </c>
      <c r="C1053" s="18" t="str">
        <f aca="false">IF(ISNUMBER($J1053),IFERROR(INDEX('TRANS'!$C:$C,MATCH($J1053,'TRANS'!$B:$B,0)),IFERROR(INDEX('Catalog'!$B:$B,MATCH($J1053,'Catalog'!$A:$A,0)),$B1053)),$B1053)</f>
        <v>078C L</v>
      </c>
      <c r="D1053" s="19" t="n">
        <f aca="false">SUMIFS('SALES Raw'!$C$6:$C$4467,'SALES Raw'!$J$6:$J$4467,$J1053,'SALES Raw'!$K$6:$K$4467,"Y")+SUMIFS('CEMIUP0.9 Raw'!$D$6:$D$1712,'CEMIUP0.9 Raw'!$B$6:$B$1712,$J1053,'CEMIUP0.9 Raw'!$H$6:$H$1712,"Y")</f>
        <v>2</v>
      </c>
      <c r="E1053" s="19" t="n">
        <f aca="false">SUMIFS('SALES Raw'!$D$6:$D$4467,'SALES Raw'!$J$6:$J$4467,$J1053,'SALES Raw'!$K$6:$K$4467,"Y")+SUMIFS('CEMIUP0.9 Raw'!$E$6:$E$1712,'CEMIUP0.9 Raw'!$B$6:$B$1712,$J1053,'CEMIUP0.9 Raw'!$H$6:$H$1712,"Y")</f>
        <v>130</v>
      </c>
      <c r="F1053" s="19" t="n">
        <f aca="false">SUMIFS('SALES Raw'!$E$6:$E$4467,'SALES Raw'!$J$6:$J$4467,$J1053,'SALES Raw'!$K$6:$K$4467,"Y")*$H$4+SUMIFS('CEMIUP0.9 Raw'!$F$6:$F$1712,'CEMIUP0.9 Raw'!$B$6:$B$1712,$J1053,'CEMIUP0.9 Raw'!$H$6:$H$1712,"Y")</f>
        <v>0</v>
      </c>
      <c r="G1053" s="19" t="n">
        <f aca="false">SUMIFS('SALES Raw'!$F$6:$F$4467,'SALES Raw'!$J$6:$J$4467,$J1053,'SALES Raw'!$K$6:$K$4467,"Y")*$H$4+SUMIFS('CEMIUP0.9 Raw'!$G$6:$G$1712,'CEMIUP0.9 Raw'!$B$6:$B$1712,$J1053,'CEMIUP0.9 Raw'!$H$6:$H$1712,"Y")</f>
        <v>0</v>
      </c>
      <c r="H1053" s="18" t="s">
        <v>48</v>
      </c>
      <c r="I1053" s="18"/>
      <c r="J1053" s="18" t="s">
        <v>522</v>
      </c>
    </row>
    <row r="1054" customFormat="false" ht="15" hidden="false" customHeight="false" outlineLevel="0" collapsed="false">
      <c r="A1054" s="18" t="str">
        <f aca="false">IF(ISNUMBER($J1054),$J1054,"")</f>
        <v/>
      </c>
      <c r="B1054" s="18" t="str">
        <f aca="false">IFERROR(INDEX('SALES Raw'!$B$6:$B$4467,MATCH($J1054,'SALES Raw'!$J$6:$J$4467,0)),IFERROR(INDEX('CEMIUP0.9 Raw'!$B$6:$B$1712,MATCH($J1054,'CEMIUP0.9 Raw'!$B$6:$B$1712,0)),$J1054))</f>
        <v>078C M</v>
      </c>
      <c r="C1054" s="18" t="str">
        <f aca="false">IF(ISNUMBER($J1054),IFERROR(INDEX('TRANS'!$C:$C,MATCH($J1054,'TRANS'!$B:$B,0)),IFERROR(INDEX('Catalog'!$B:$B,MATCH($J1054,'Catalog'!$A:$A,0)),$B1054)),$B1054)</f>
        <v>078C M</v>
      </c>
      <c r="D1054" s="19" t="n">
        <f aca="false">SUMIFS('SALES Raw'!$C$6:$C$4467,'SALES Raw'!$J$6:$J$4467,$J1054,'SALES Raw'!$K$6:$K$4467,"Y")+SUMIFS('CEMIUP0.9 Raw'!$D$6:$D$1712,'CEMIUP0.9 Raw'!$B$6:$B$1712,$J1054,'CEMIUP0.9 Raw'!$H$6:$H$1712,"Y")</f>
        <v>2</v>
      </c>
      <c r="E1054" s="19" t="n">
        <f aca="false">SUMIFS('SALES Raw'!$D$6:$D$4467,'SALES Raw'!$J$6:$J$4467,$J1054,'SALES Raw'!$K$6:$K$4467,"Y")+SUMIFS('CEMIUP0.9 Raw'!$E$6:$E$1712,'CEMIUP0.9 Raw'!$B$6:$B$1712,$J1054,'CEMIUP0.9 Raw'!$H$6:$H$1712,"Y")</f>
        <v>130</v>
      </c>
      <c r="F1054" s="19" t="n">
        <f aca="false">SUMIFS('SALES Raw'!$E$6:$E$4467,'SALES Raw'!$J$6:$J$4467,$J1054,'SALES Raw'!$K$6:$K$4467,"Y")*$H$4+SUMIFS('CEMIUP0.9 Raw'!$F$6:$F$1712,'CEMIUP0.9 Raw'!$B$6:$B$1712,$J1054,'CEMIUP0.9 Raw'!$H$6:$H$1712,"Y")</f>
        <v>0</v>
      </c>
      <c r="G1054" s="19" t="n">
        <f aca="false">SUMIFS('SALES Raw'!$F$6:$F$4467,'SALES Raw'!$J$6:$J$4467,$J1054,'SALES Raw'!$K$6:$K$4467,"Y")*$H$4+SUMIFS('CEMIUP0.9 Raw'!$G$6:$G$1712,'CEMIUP0.9 Raw'!$B$6:$B$1712,$J1054,'CEMIUP0.9 Raw'!$H$6:$H$1712,"Y")</f>
        <v>0</v>
      </c>
      <c r="H1054" s="18" t="s">
        <v>48</v>
      </c>
      <c r="I1054" s="18"/>
      <c r="J1054" s="18" t="s">
        <v>523</v>
      </c>
    </row>
    <row r="1055" customFormat="false" ht="15" hidden="false" customHeight="false" outlineLevel="0" collapsed="false">
      <c r="A1055" s="18" t="n">
        <f aca="false">IF(ISNUMBER($J1055),$J1055,"")</f>
        <v>4403028</v>
      </c>
      <c r="B1055" s="18" t="n">
        <f aca="false">IFERROR(INDEX('SALES Raw'!$B$6:$B$4467,MATCH($J1055,'SALES Raw'!$J$6:$J$4467,0)),IFERROR(INDEX('CEMIUP0.9 Raw'!$B$6:$B$1712,MATCH($J1055,'CEMIUP0.9 Raw'!$B$6:$B$1712,0)),$J1055))</f>
        <v>4403028</v>
      </c>
      <c r="C1055" s="18" t="str">
        <f aca="false">IF(ISNUMBER($J1055),IFERROR(INDEX('TRANS'!$C:$C,MATCH($J1055,'TRANS'!$B:$B,0)),IFERROR(INDEX('Catalog'!$B:$B,MATCH($J1055,'Catalog'!$A:$A,0)),$B1055)),$B1055)</f>
        <v>397 35-38 גרבי טיסה מידה</v>
      </c>
      <c r="D1055" s="19" t="n">
        <f aca="false">SUMIFS('SALES Raw'!$C$6:$C$4467,'SALES Raw'!$J$6:$J$4467,$J1055,'SALES Raw'!$K$6:$K$4467,"Y")+SUMIFS('CEMIUP0.9 Raw'!$D$6:$D$1712,'CEMIUP0.9 Raw'!$B$6:$B$1712,$J1055,'CEMIUP0.9 Raw'!$H$6:$H$1712,"Y")</f>
        <v>125</v>
      </c>
      <c r="E1055" s="19" t="n">
        <f aca="false">SUMIFS('SALES Raw'!$D$6:$D$4467,'SALES Raw'!$J$6:$J$4467,$J1055,'SALES Raw'!$K$6:$K$4467,"Y")+SUMIFS('CEMIUP0.9 Raw'!$E$6:$E$1712,'CEMIUP0.9 Raw'!$B$6:$B$1712,$J1055,'CEMIUP0.9 Raw'!$H$6:$H$1712,"Y")</f>
        <v>6693.323</v>
      </c>
      <c r="F1055" s="19" t="n">
        <f aca="false">SUMIFS('SALES Raw'!$E$6:$E$4467,'SALES Raw'!$J$6:$J$4467,$J1055,'SALES Raw'!$K$6:$K$4467,"Y")*$H$4+SUMIFS('CEMIUP0.9 Raw'!$F$6:$F$1712,'CEMIUP0.9 Raw'!$B$6:$B$1712,$J1055,'CEMIUP0.9 Raw'!$H$6:$H$1712,"Y")</f>
        <v>-1.26315789473684</v>
      </c>
      <c r="G1055" s="19" t="n">
        <f aca="false">SUMIFS('SALES Raw'!$F$6:$F$4467,'SALES Raw'!$J$6:$J$4467,$J1055,'SALES Raw'!$K$6:$K$4467,"Y")*$H$4+SUMIFS('CEMIUP0.9 Raw'!$G$6:$G$1712,'CEMIUP0.9 Raw'!$B$6:$B$1712,$J1055,'CEMIUP0.9 Raw'!$H$6:$H$1712,"Y")</f>
        <v>-60.6922105263158</v>
      </c>
      <c r="H1055" s="18" t="s">
        <v>43</v>
      </c>
      <c r="I1055" s="18"/>
      <c r="J1055" s="18" t="n">
        <v>4403028</v>
      </c>
    </row>
    <row r="1056" customFormat="false" ht="15" hidden="false" customHeight="false" outlineLevel="0" collapsed="false">
      <c r="A1056" s="18" t="n">
        <f aca="false">IF(ISNUMBER($J1056),$J1056,"")</f>
        <v>4408041</v>
      </c>
      <c r="B1056" s="18" t="n">
        <f aca="false">IFERROR(INDEX('SALES Raw'!$B$6:$B$4467,MATCH($J1056,'SALES Raw'!$J$6:$J$4467,0)),IFERROR(INDEX('CEMIUP0.9 Raw'!$B$6:$B$1712,MATCH($J1056,'CEMIUP0.9 Raw'!$B$6:$B$1712,0)),$J1056))</f>
        <v>4408041</v>
      </c>
      <c r="C1056" s="18" t="str">
        <f aca="false">IF(ISNUMBER($J1056),IFERROR(INDEX('TRANS'!$C:$C,MATCH($J1056,'TRANS'!$B:$B,0)),IFERROR(INDEX('Catalog'!$B:$B,MATCH($J1056,'Catalog'!$A:$A,0)),$B1056)),$B1056)</f>
        <v>18 S ח.הריון מכנס למניעת כאבים</v>
      </c>
      <c r="D1056" s="19" t="n">
        <f aca="false">SUMIFS('SALES Raw'!$C$6:$C$4467,'SALES Raw'!$J$6:$J$4467,$J1056,'SALES Raw'!$K$6:$K$4467,"Y")+SUMIFS('CEMIUP0.9 Raw'!$D$6:$D$1712,'CEMIUP0.9 Raw'!$B$6:$B$1712,$J1056,'CEMIUP0.9 Raw'!$H$6:$H$1712,"Y")</f>
        <v>0</v>
      </c>
      <c r="E1056" s="19" t="n">
        <f aca="false">SUMIFS('SALES Raw'!$D$6:$D$4467,'SALES Raw'!$J$6:$J$4467,$J1056,'SALES Raw'!$K$6:$K$4467,"Y")+SUMIFS('CEMIUP0.9 Raw'!$E$6:$E$1712,'CEMIUP0.9 Raw'!$B$6:$B$1712,$J1056,'CEMIUP0.9 Raw'!$H$6:$H$1712,"Y")</f>
        <v>0</v>
      </c>
      <c r="F1056" s="19" t="n">
        <f aca="false">SUMIFS('SALES Raw'!$E$6:$E$4467,'SALES Raw'!$J$6:$J$4467,$J1056,'SALES Raw'!$K$6:$K$4467,"Y")*$H$4+SUMIFS('CEMIUP0.9 Raw'!$F$6:$F$1712,'CEMIUP0.9 Raw'!$B$6:$B$1712,$J1056,'CEMIUP0.9 Raw'!$H$6:$H$1712,"Y")</f>
        <v>-1.26315789473684</v>
      </c>
      <c r="G1056" s="19" t="n">
        <f aca="false">SUMIFS('SALES Raw'!$F$6:$F$4467,'SALES Raw'!$J$6:$J$4467,$J1056,'SALES Raw'!$K$6:$K$4467,"Y")*$H$4+SUMIFS('CEMIUP0.9 Raw'!$G$6:$G$1712,'CEMIUP0.9 Raw'!$B$6:$B$1712,$J1056,'CEMIUP0.9 Raw'!$H$6:$H$1712,"Y")</f>
        <v>-284.494736842105</v>
      </c>
      <c r="H1056" s="18" t="s">
        <v>43</v>
      </c>
      <c r="I1056" s="18"/>
      <c r="J1056" s="18" t="n">
        <v>4408041</v>
      </c>
    </row>
    <row r="1057" customFormat="false" ht="15" hidden="false" customHeight="false" outlineLevel="0" collapsed="false">
      <c r="A1057" s="18" t="n">
        <f aca="false">IF(ISNUMBER($J1057),$J1057,"")</f>
        <v>4408042</v>
      </c>
      <c r="B1057" s="18" t="n">
        <f aca="false">IFERROR(INDEX('SALES Raw'!$B$6:$B$4467,MATCH($J1057,'SALES Raw'!$J$6:$J$4467,0)),IFERROR(INDEX('CEMIUP0.9 Raw'!$B$6:$B$1712,MATCH($J1057,'CEMIUP0.9 Raw'!$B$6:$B$1712,0)),$J1057))</f>
        <v>4408042</v>
      </c>
      <c r="C1057" s="18" t="str">
        <f aca="false">IF(ISNUMBER($J1057),IFERROR(INDEX('TRANS'!$C:$C,MATCH($J1057,'TRANS'!$B:$B,0)),IFERROR(INDEX('Catalog'!$B:$B,MATCH($J1057,'Catalog'!$A:$A,0)),$B1057)),$B1057)</f>
        <v>18 L ח.הריון מכנס למניעת כאבים</v>
      </c>
      <c r="D1057" s="19" t="n">
        <f aca="false">SUMIFS('SALES Raw'!$C$6:$C$4467,'SALES Raw'!$J$6:$J$4467,$J1057,'SALES Raw'!$K$6:$K$4467,"Y")+SUMIFS('CEMIUP0.9 Raw'!$D$6:$D$1712,'CEMIUP0.9 Raw'!$B$6:$B$1712,$J1057,'CEMIUP0.9 Raw'!$H$6:$H$1712,"Y")</f>
        <v>-1</v>
      </c>
      <c r="E1057" s="19" t="n">
        <f aca="false">SUMIFS('SALES Raw'!$D$6:$D$4467,'SALES Raw'!$J$6:$J$4467,$J1057,'SALES Raw'!$K$6:$K$4467,"Y")+SUMIFS('CEMIUP0.9 Raw'!$E$6:$E$1712,'CEMIUP0.9 Raw'!$B$6:$B$1712,$J1057,'CEMIUP0.9 Raw'!$H$6:$H$1712,"Y")</f>
        <v>-279.552</v>
      </c>
      <c r="F1057" s="19" t="n">
        <f aca="false">SUMIFS('SALES Raw'!$E$6:$E$4467,'SALES Raw'!$J$6:$J$4467,$J1057,'SALES Raw'!$K$6:$K$4467,"Y")*$H$4+SUMIFS('CEMIUP0.9 Raw'!$F$6:$F$1712,'CEMIUP0.9 Raw'!$B$6:$B$1712,$J1057,'CEMIUP0.9 Raw'!$H$6:$H$1712,"Y")</f>
        <v>-1.26315789473684</v>
      </c>
      <c r="G1057" s="19" t="n">
        <f aca="false">SUMIFS('SALES Raw'!$F$6:$F$4467,'SALES Raw'!$J$6:$J$4467,$J1057,'SALES Raw'!$K$6:$K$4467,"Y")*$H$4+SUMIFS('CEMIUP0.9 Raw'!$G$6:$G$1712,'CEMIUP0.9 Raw'!$B$6:$B$1712,$J1057,'CEMIUP0.9 Raw'!$H$6:$H$1712,"Y")</f>
        <v>-284.494736842105</v>
      </c>
      <c r="H1057" s="18" t="s">
        <v>43</v>
      </c>
      <c r="I1057" s="18"/>
      <c r="J1057" s="18" t="n">
        <v>4408042</v>
      </c>
    </row>
    <row r="1058" customFormat="false" ht="15" hidden="false" customHeight="false" outlineLevel="0" collapsed="false">
      <c r="A1058" s="18" t="n">
        <f aca="false">IF(ISNUMBER($J1058),$J1058,"")</f>
        <v>4408043</v>
      </c>
      <c r="B1058" s="18" t="n">
        <f aca="false">IFERROR(INDEX('SALES Raw'!$B$6:$B$4467,MATCH($J1058,'SALES Raw'!$J$6:$J$4467,0)),IFERROR(INDEX('CEMIUP0.9 Raw'!$B$6:$B$1712,MATCH($J1058,'CEMIUP0.9 Raw'!$B$6:$B$1712,0)),$J1058))</f>
        <v>4408043</v>
      </c>
      <c r="C1058" s="18" t="str">
        <f aca="false">IF(ISNUMBER($J1058),IFERROR(INDEX('TRANS'!$C:$C,MATCH($J1058,'TRANS'!$B:$B,0)),IFERROR(INDEX('Catalog'!$B:$B,MATCH($J1058,'Catalog'!$A:$A,0)),$B1058)),$B1058)</f>
        <v>18 M ח.הריון מכנס למניעת כאבים</v>
      </c>
      <c r="D1058" s="19" t="n">
        <f aca="false">SUMIFS('SALES Raw'!$C$6:$C$4467,'SALES Raw'!$J$6:$J$4467,$J1058,'SALES Raw'!$K$6:$K$4467,"Y")+SUMIFS('CEMIUP0.9 Raw'!$D$6:$D$1712,'CEMIUP0.9 Raw'!$B$6:$B$1712,$J1058,'CEMIUP0.9 Raw'!$H$6:$H$1712,"Y")</f>
        <v>0</v>
      </c>
      <c r="E1058" s="19" t="n">
        <f aca="false">SUMIFS('SALES Raw'!$D$6:$D$4467,'SALES Raw'!$J$6:$J$4467,$J1058,'SALES Raw'!$K$6:$K$4467,"Y")+SUMIFS('CEMIUP0.9 Raw'!$E$6:$E$1712,'CEMIUP0.9 Raw'!$B$6:$B$1712,$J1058,'CEMIUP0.9 Raw'!$H$6:$H$1712,"Y")</f>
        <v>0</v>
      </c>
      <c r="F1058" s="19" t="n">
        <f aca="false">SUMIFS('SALES Raw'!$E$6:$E$4467,'SALES Raw'!$J$6:$J$4467,$J1058,'SALES Raw'!$K$6:$K$4467,"Y")*$H$4+SUMIFS('CEMIUP0.9 Raw'!$F$6:$F$1712,'CEMIUP0.9 Raw'!$B$6:$B$1712,$J1058,'CEMIUP0.9 Raw'!$H$6:$H$1712,"Y")</f>
        <v>-1.26315789473684</v>
      </c>
      <c r="G1058" s="19" t="n">
        <f aca="false">SUMIFS('SALES Raw'!$F$6:$F$4467,'SALES Raw'!$J$6:$J$4467,$J1058,'SALES Raw'!$K$6:$K$4467,"Y")*$H$4+SUMIFS('CEMIUP0.9 Raw'!$G$6:$G$1712,'CEMIUP0.9 Raw'!$B$6:$B$1712,$J1058,'CEMIUP0.9 Raw'!$H$6:$H$1712,"Y")</f>
        <v>-284.494736842105</v>
      </c>
      <c r="H1058" s="18" t="s">
        <v>43</v>
      </c>
      <c r="I1058" s="18"/>
      <c r="J1058" s="18" t="n">
        <v>4408043</v>
      </c>
    </row>
    <row r="1059" customFormat="false" ht="15" hidden="false" customHeight="false" outlineLevel="0" collapsed="false">
      <c r="A1059" s="18" t="n">
        <f aca="false">IF(ISNUMBER($J1059),$J1059,"")</f>
        <v>4408044</v>
      </c>
      <c r="B1059" s="18" t="n">
        <f aca="false">IFERROR(INDEX('SALES Raw'!$B$6:$B$4467,MATCH($J1059,'SALES Raw'!$J$6:$J$4467,0)),IFERROR(INDEX('CEMIUP0.9 Raw'!$B$6:$B$1712,MATCH($J1059,'CEMIUP0.9 Raw'!$B$6:$B$1712,0)),$J1059))</f>
        <v>4408044</v>
      </c>
      <c r="C1059" s="18" t="str">
        <f aca="false">IF(ISNUMBER($J1059),IFERROR(INDEX('TRANS'!$C:$C,MATCH($J1059,'TRANS'!$B:$B,0)),IFERROR(INDEX('Catalog'!$B:$B,MATCH($J1059,'Catalog'!$A:$A,0)),$B1059)),$B1059)</f>
        <v>18  XL.ח.הריון מכנס למניעת כאב</v>
      </c>
      <c r="D1059" s="19" t="n">
        <f aca="false">SUMIFS('SALES Raw'!$C$6:$C$4467,'SALES Raw'!$J$6:$J$4467,$J1059,'SALES Raw'!$K$6:$K$4467,"Y")+SUMIFS('CEMIUP0.9 Raw'!$D$6:$D$1712,'CEMIUP0.9 Raw'!$B$6:$B$1712,$J1059,'CEMIUP0.9 Raw'!$H$6:$H$1712,"Y")</f>
        <v>0</v>
      </c>
      <c r="E1059" s="19" t="n">
        <f aca="false">SUMIFS('SALES Raw'!$D$6:$D$4467,'SALES Raw'!$J$6:$J$4467,$J1059,'SALES Raw'!$K$6:$K$4467,"Y")+SUMIFS('CEMIUP0.9 Raw'!$E$6:$E$1712,'CEMIUP0.9 Raw'!$B$6:$B$1712,$J1059,'CEMIUP0.9 Raw'!$H$6:$H$1712,"Y")</f>
        <v>0</v>
      </c>
      <c r="F1059" s="19" t="n">
        <f aca="false">SUMIFS('SALES Raw'!$E$6:$E$4467,'SALES Raw'!$J$6:$J$4467,$J1059,'SALES Raw'!$K$6:$K$4467,"Y")*$H$4+SUMIFS('CEMIUP0.9 Raw'!$F$6:$F$1712,'CEMIUP0.9 Raw'!$B$6:$B$1712,$J1059,'CEMIUP0.9 Raw'!$H$6:$H$1712,"Y")</f>
        <v>-1.26315789473684</v>
      </c>
      <c r="G1059" s="19" t="n">
        <f aca="false">SUMIFS('SALES Raw'!$F$6:$F$4467,'SALES Raw'!$J$6:$J$4467,$J1059,'SALES Raw'!$K$6:$K$4467,"Y")*$H$4+SUMIFS('CEMIUP0.9 Raw'!$G$6:$G$1712,'CEMIUP0.9 Raw'!$B$6:$B$1712,$J1059,'CEMIUP0.9 Raw'!$H$6:$H$1712,"Y")</f>
        <v>-284.494736842105</v>
      </c>
      <c r="H1059" s="18" t="s">
        <v>43</v>
      </c>
      <c r="I1059" s="18"/>
      <c r="J1059" s="18" t="n">
        <v>4408044</v>
      </c>
    </row>
    <row r="1060" customFormat="false" ht="15" hidden="false" customHeight="false" outlineLevel="0" collapsed="false">
      <c r="A1060" s="18" t="n">
        <f aca="false">IF(ISNUMBER($J1060),$J1060,"")</f>
        <v>4408062</v>
      </c>
      <c r="B1060" s="18" t="n">
        <f aca="false">IFERROR(INDEX('SALES Raw'!$B$6:$B$4467,MATCH($J1060,'SALES Raw'!$J$6:$J$4467,0)),IFERROR(INDEX('CEMIUP0.9 Raw'!$B$6:$B$1712,MATCH($J1060,'CEMIUP0.9 Raw'!$B$6:$B$1712,0)),$J1060))</f>
        <v>4408062</v>
      </c>
      <c r="C1060" s="18" t="str">
        <f aca="false">IF(ISNUMBER($J1060),IFERROR(INDEX('TRANS'!$C:$C,MATCH($J1060,'TRANS'!$B:$B,0)),IFERROR(INDEX('Catalog'!$B:$B,MATCH($J1060,'Catalog'!$A:$A,0)),$B1060)),$B1060)</f>
        <v>25 XL חבק יד אגודלי</v>
      </c>
      <c r="D1060" s="19" t="n">
        <f aca="false">SUMIFS('SALES Raw'!$C$6:$C$4467,'SALES Raw'!$J$6:$J$4467,$J1060,'SALES Raw'!$K$6:$K$4467,"Y")+SUMIFS('CEMIUP0.9 Raw'!$D$6:$D$1712,'CEMIUP0.9 Raw'!$B$6:$B$1712,$J1060,'CEMIUP0.9 Raw'!$H$6:$H$1712,"Y")</f>
        <v>2</v>
      </c>
      <c r="E1060" s="19" t="n">
        <f aca="false">SUMIFS('SALES Raw'!$D$6:$D$4467,'SALES Raw'!$J$6:$J$4467,$J1060,'SALES Raw'!$K$6:$K$4467,"Y")+SUMIFS('CEMIUP0.9 Raw'!$E$6:$E$1712,'CEMIUP0.9 Raw'!$B$6:$B$1712,$J1060,'CEMIUP0.9 Raw'!$H$6:$H$1712,"Y")</f>
        <v>120.393</v>
      </c>
      <c r="F1060" s="19" t="n">
        <f aca="false">SUMIFS('SALES Raw'!$E$6:$E$4467,'SALES Raw'!$J$6:$J$4467,$J1060,'SALES Raw'!$K$6:$K$4467,"Y")*$H$4+SUMIFS('CEMIUP0.9 Raw'!$F$6:$F$1712,'CEMIUP0.9 Raw'!$B$6:$B$1712,$J1060,'CEMIUP0.9 Raw'!$H$6:$H$1712,"Y")</f>
        <v>-1.26315789473684</v>
      </c>
      <c r="G1060" s="19" t="n">
        <f aca="false">SUMIFS('SALES Raw'!$F$6:$F$4467,'SALES Raw'!$J$6:$J$4467,$J1060,'SALES Raw'!$K$6:$K$4467,"Y")*$H$4+SUMIFS('CEMIUP0.9 Raw'!$G$6:$G$1712,'CEMIUP0.9 Raw'!$B$6:$B$1712,$J1060,'CEMIUP0.9 Raw'!$H$6:$H$1712,"Y")</f>
        <v>-61.152</v>
      </c>
      <c r="H1060" s="18" t="s">
        <v>43</v>
      </c>
      <c r="I1060" s="18"/>
      <c r="J1060" s="18" t="n">
        <v>4408062</v>
      </c>
    </row>
    <row r="1061" customFormat="false" ht="15" hidden="false" customHeight="false" outlineLevel="0" collapsed="false">
      <c r="A1061" s="18" t="n">
        <f aca="false">IF(ISNUMBER($J1061),$J1061,"")</f>
        <v>4408130</v>
      </c>
      <c r="B1061" s="18" t="n">
        <f aca="false">IFERROR(INDEX('SALES Raw'!$B$6:$B$4467,MATCH($J1061,'SALES Raw'!$J$6:$J$4467,0)),IFERROR(INDEX('CEMIUP0.9 Raw'!$B$6:$B$1712,MATCH($J1061,'CEMIUP0.9 Raw'!$B$6:$B$1712,0)),$J1061))</f>
        <v>4408130</v>
      </c>
      <c r="C1061" s="18" t="str">
        <f aca="false">IF(ISNUMBER($J1061),IFERROR(INDEX('TRANS'!$C:$C,MATCH($J1061,'TRANS'!$B:$B,0)),IFERROR(INDEX('Catalog'!$B:$B,MATCH($J1061,'Catalog'!$A:$A,0)),$B1061)),$B1061)</f>
        <v>15W M חגורת צלעות לאשה</v>
      </c>
      <c r="D1061" s="19" t="n">
        <f aca="false">SUMIFS('SALES Raw'!$C$6:$C$4467,'SALES Raw'!$J$6:$J$4467,$J1061,'SALES Raw'!$K$6:$K$4467,"Y")+SUMIFS('CEMIUP0.9 Raw'!$D$6:$D$1712,'CEMIUP0.9 Raw'!$B$6:$B$1712,$J1061,'CEMIUP0.9 Raw'!$H$6:$H$1712,"Y")</f>
        <v>0</v>
      </c>
      <c r="E1061" s="19" t="n">
        <f aca="false">SUMIFS('SALES Raw'!$D$6:$D$4467,'SALES Raw'!$J$6:$J$4467,$J1061,'SALES Raw'!$K$6:$K$4467,"Y")+SUMIFS('CEMIUP0.9 Raw'!$E$6:$E$1712,'CEMIUP0.9 Raw'!$B$6:$B$1712,$J1061,'CEMIUP0.9 Raw'!$H$6:$H$1712,"Y")</f>
        <v>0</v>
      </c>
      <c r="F1061" s="19" t="n">
        <f aca="false">SUMIFS('SALES Raw'!$E$6:$E$4467,'SALES Raw'!$J$6:$J$4467,$J1061,'SALES Raw'!$K$6:$K$4467,"Y")*$H$4+SUMIFS('CEMIUP0.9 Raw'!$F$6:$F$1712,'CEMIUP0.9 Raw'!$B$6:$B$1712,$J1061,'CEMIUP0.9 Raw'!$H$6:$H$1712,"Y")</f>
        <v>-1.26315789473684</v>
      </c>
      <c r="G1061" s="19" t="n">
        <f aca="false">SUMIFS('SALES Raw'!$F$6:$F$4467,'SALES Raw'!$J$6:$J$4467,$J1061,'SALES Raw'!$K$6:$K$4467,"Y")*$H$4+SUMIFS('CEMIUP0.9 Raw'!$G$6:$G$1712,'CEMIUP0.9 Raw'!$B$6:$B$1712,$J1061,'CEMIUP0.9 Raw'!$H$6:$H$1712,"Y")</f>
        <v>-161.616</v>
      </c>
      <c r="H1061" s="18" t="s">
        <v>43</v>
      </c>
      <c r="I1061" s="18"/>
      <c r="J1061" s="18" t="n">
        <v>4408130</v>
      </c>
    </row>
    <row r="1062" customFormat="false" ht="15" hidden="false" customHeight="false" outlineLevel="0" collapsed="false">
      <c r="A1062" s="18" t="n">
        <f aca="false">IF(ISNUMBER($J1062),$J1062,"")</f>
        <v>4408229</v>
      </c>
      <c r="B1062" s="18" t="n">
        <f aca="false">IFERROR(INDEX('SALES Raw'!$B$6:$B$4467,MATCH($J1062,'SALES Raw'!$J$6:$J$4467,0)),IFERROR(INDEX('CEMIUP0.9 Raw'!$B$6:$B$1712,MATCH($J1062,'CEMIUP0.9 Raw'!$B$6:$B$1712,0)),$J1062))</f>
        <v>4408229</v>
      </c>
      <c r="C1062" s="18" t="str">
        <f aca="false">IF(ISNUMBER($J1062),IFERROR(INDEX('TRANS'!$C:$C,MATCH($J1062,'TRANS'!$B:$B,0)),IFERROR(INDEX('Catalog'!$B:$B,MATCH($J1062,'Catalog'!$A:$A,0)),$B1062)),$B1062)</f>
        <v>XXL 11אפורUGחגורת בטן</v>
      </c>
      <c r="D1062" s="19" t="n">
        <f aca="false">SUMIFS('SALES Raw'!$C$6:$C$4467,'SALES Raw'!$J$6:$J$4467,$J1062,'SALES Raw'!$K$6:$K$4467,"Y")+SUMIFS('CEMIUP0.9 Raw'!$D$6:$D$1712,'CEMIUP0.9 Raw'!$B$6:$B$1712,$J1062,'CEMIUP0.9 Raw'!$H$6:$H$1712,"Y")</f>
        <v>1</v>
      </c>
      <c r="E1062" s="19" t="n">
        <f aca="false">SUMIFS('SALES Raw'!$D$6:$D$4467,'SALES Raw'!$J$6:$J$4467,$J1062,'SALES Raw'!$K$6:$K$4467,"Y")+SUMIFS('CEMIUP0.9 Raw'!$E$6:$E$1712,'CEMIUP0.9 Raw'!$B$6:$B$1712,$J1062,'CEMIUP0.9 Raw'!$H$6:$H$1712,"Y")</f>
        <v>93.821</v>
      </c>
      <c r="F1062" s="19" t="n">
        <f aca="false">SUMIFS('SALES Raw'!$E$6:$E$4467,'SALES Raw'!$J$6:$J$4467,$J1062,'SALES Raw'!$K$6:$K$4467,"Y")*$H$4+SUMIFS('CEMIUP0.9 Raw'!$F$6:$F$1712,'CEMIUP0.9 Raw'!$B$6:$B$1712,$J1062,'CEMIUP0.9 Raw'!$H$6:$H$1712,"Y")</f>
        <v>-1.26315789473684</v>
      </c>
      <c r="G1062" s="19" t="n">
        <f aca="false">SUMIFS('SALES Raw'!$F$6:$F$4467,'SALES Raw'!$J$6:$J$4467,$J1062,'SALES Raw'!$K$6:$K$4467,"Y")*$H$4+SUMIFS('CEMIUP0.9 Raw'!$G$6:$G$1712,'CEMIUP0.9 Raw'!$B$6:$B$1712,$J1062,'CEMIUP0.9 Raw'!$H$6:$H$1712,"Y")</f>
        <v>-106.671157894737</v>
      </c>
      <c r="H1062" s="18" t="s">
        <v>43</v>
      </c>
      <c r="I1062" s="18"/>
      <c r="J1062" s="18" t="n">
        <v>4408229</v>
      </c>
    </row>
    <row r="1063" customFormat="false" ht="15" hidden="false" customHeight="false" outlineLevel="0" collapsed="false">
      <c r="A1063" s="18" t="n">
        <f aca="false">IF(ISNUMBER($J1063),$J1063,"")</f>
        <v>4413019</v>
      </c>
      <c r="B1063" s="18" t="n">
        <f aca="false">IFERROR(INDEX('SALES Raw'!$B$6:$B$4467,MATCH($J1063,'SALES Raw'!$J$6:$J$4467,0)),IFERROR(INDEX('CEMIUP0.9 Raw'!$B$6:$B$1712,MATCH($J1063,'CEMIUP0.9 Raw'!$B$6:$B$1712,0)),$J1063))</f>
        <v>4413019</v>
      </c>
      <c r="C1063" s="18" t="str">
        <f aca="false">IF(ISNUMBER($J1063),IFERROR(INDEX('TRANS'!$C:$C,MATCH($J1063,'TRANS'!$B:$B,0)),IFERROR(INDEX('Catalog'!$B:$B,MATCH($J1063,'Catalog'!$A:$A,0)),$B1063)),$B1063)</f>
        <v>303 39-40 מדרסי סיליק.לח.סכרת</v>
      </c>
      <c r="D1063" s="19" t="n">
        <f aca="false">SUMIFS('SALES Raw'!$C$6:$C$4467,'SALES Raw'!$J$6:$J$4467,$J1063,'SALES Raw'!$K$6:$K$4467,"Y")+SUMIFS('CEMIUP0.9 Raw'!$D$6:$D$1712,'CEMIUP0.9 Raw'!$B$6:$B$1712,$J1063,'CEMIUP0.9 Raw'!$H$6:$H$1712,"Y")</f>
        <v>0</v>
      </c>
      <c r="E1063" s="19" t="n">
        <f aca="false">SUMIFS('SALES Raw'!$D$6:$D$4467,'SALES Raw'!$J$6:$J$4467,$J1063,'SALES Raw'!$K$6:$K$4467,"Y")+SUMIFS('CEMIUP0.9 Raw'!$E$6:$E$1712,'CEMIUP0.9 Raw'!$B$6:$B$1712,$J1063,'CEMIUP0.9 Raw'!$H$6:$H$1712,"Y")</f>
        <v>0</v>
      </c>
      <c r="F1063" s="19" t="n">
        <f aca="false">SUMIFS('SALES Raw'!$E$6:$E$4467,'SALES Raw'!$J$6:$J$4467,$J1063,'SALES Raw'!$K$6:$K$4467,"Y")*$H$4+SUMIFS('CEMIUP0.9 Raw'!$F$6:$F$1712,'CEMIUP0.9 Raw'!$B$6:$B$1712,$J1063,'CEMIUP0.9 Raw'!$H$6:$H$1712,"Y")</f>
        <v>-1.26315789473684</v>
      </c>
      <c r="G1063" s="19" t="n">
        <f aca="false">SUMIFS('SALES Raw'!$F$6:$F$4467,'SALES Raw'!$J$6:$J$4467,$J1063,'SALES Raw'!$K$6:$K$4467,"Y")*$H$4+SUMIFS('CEMIUP0.9 Raw'!$G$6:$G$1712,'CEMIUP0.9 Raw'!$B$6:$B$1712,$J1063,'CEMIUP0.9 Raw'!$H$6:$H$1712,"Y")</f>
        <v>-81.7275789473684</v>
      </c>
      <c r="H1063" s="18" t="s">
        <v>43</v>
      </c>
      <c r="I1063" s="18"/>
      <c r="J1063" s="18" t="n">
        <v>4413019</v>
      </c>
    </row>
    <row r="1064" customFormat="false" ht="15" hidden="false" customHeight="false" outlineLevel="0" collapsed="false">
      <c r="A1064" s="18" t="n">
        <f aca="false">IF(ISNUMBER($J1064),$J1064,"")</f>
        <v>4413021</v>
      </c>
      <c r="B1064" s="18" t="n">
        <f aca="false">IFERROR(INDEX('SALES Raw'!$B$6:$B$4467,MATCH($J1064,'SALES Raw'!$J$6:$J$4467,0)),IFERROR(INDEX('CEMIUP0.9 Raw'!$B$6:$B$1712,MATCH($J1064,'CEMIUP0.9 Raw'!$B$6:$B$1712,0)),$J1064))</f>
        <v>4413021</v>
      </c>
      <c r="C1064" s="18" t="str">
        <f aca="false">IF(ISNUMBER($J1064),IFERROR(INDEX('TRANS'!$C:$C,MATCH($J1064,'TRANS'!$B:$B,0)),IFERROR(INDEX('Catalog'!$B:$B,MATCH($J1064,'Catalog'!$A:$A,0)),$B1064)),$B1064)</f>
        <v>303 43-44 מדרסי סיליק.לח.סכרת</v>
      </c>
      <c r="D1064" s="19" t="n">
        <f aca="false">SUMIFS('SALES Raw'!$C$6:$C$4467,'SALES Raw'!$J$6:$J$4467,$J1064,'SALES Raw'!$K$6:$K$4467,"Y")+SUMIFS('CEMIUP0.9 Raw'!$D$6:$D$1712,'CEMIUP0.9 Raw'!$B$6:$B$1712,$J1064,'CEMIUP0.9 Raw'!$H$6:$H$1712,"Y")</f>
        <v>10</v>
      </c>
      <c r="E1064" s="19" t="n">
        <f aca="false">SUMIFS('SALES Raw'!$D$6:$D$4467,'SALES Raw'!$J$6:$J$4467,$J1064,'SALES Raw'!$K$6:$K$4467,"Y")+SUMIFS('CEMIUP0.9 Raw'!$E$6:$E$1712,'CEMIUP0.9 Raw'!$B$6:$B$1712,$J1064,'CEMIUP0.9 Raw'!$H$6:$H$1712,"Y")</f>
        <v>1009.19</v>
      </c>
      <c r="F1064" s="19" t="n">
        <f aca="false">SUMIFS('SALES Raw'!$E$6:$E$4467,'SALES Raw'!$J$6:$J$4467,$J1064,'SALES Raw'!$K$6:$K$4467,"Y")*$H$4+SUMIFS('CEMIUP0.9 Raw'!$F$6:$F$1712,'CEMIUP0.9 Raw'!$B$6:$B$1712,$J1064,'CEMIUP0.9 Raw'!$H$6:$H$1712,"Y")</f>
        <v>-1.26315789473684</v>
      </c>
      <c r="G1064" s="19" t="n">
        <f aca="false">SUMIFS('SALES Raw'!$F$6:$F$4467,'SALES Raw'!$J$6:$J$4467,$J1064,'SALES Raw'!$K$6:$K$4467,"Y")*$H$4+SUMIFS('CEMIUP0.9 Raw'!$G$6:$G$1712,'CEMIUP0.9 Raw'!$B$6:$B$1712,$J1064,'CEMIUP0.9 Raw'!$H$6:$H$1712,"Y")</f>
        <v>-108.970105263158</v>
      </c>
      <c r="H1064" s="18" t="s">
        <v>43</v>
      </c>
      <c r="I1064" s="18"/>
      <c r="J1064" s="18" t="n">
        <v>4413021</v>
      </c>
    </row>
    <row r="1065" customFormat="false" ht="15" hidden="false" customHeight="false" outlineLevel="0" collapsed="false">
      <c r="A1065" s="18" t="n">
        <f aca="false">IF(ISNUMBER($J1065),$J1065,"")</f>
        <v>4413116</v>
      </c>
      <c r="B1065" s="18" t="n">
        <f aca="false">IFERROR(INDEX('SALES Raw'!$B$6:$B$4467,MATCH($J1065,'SALES Raw'!$J$6:$J$4467,0)),IFERROR(INDEX('CEMIUP0.9 Raw'!$B$6:$B$1712,MATCH($J1065,'CEMIUP0.9 Raw'!$B$6:$B$1712,0)),$J1065))</f>
        <v>4413116</v>
      </c>
      <c r="C1065" s="18" t="str">
        <f aca="false">IF(ISNUMBER($J1065),IFERROR(INDEX('TRANS'!$C:$C,MATCH($J1065,'TRANS'!$B:$B,0)),IFERROR(INDEX('Catalog'!$B:$B,MATCH($J1065,'Catalog'!$A:$A,0)),$B1065)),$B1065)</f>
        <v>50 S מתלה אשכים לאחר ניתוח</v>
      </c>
      <c r="D1065" s="19" t="n">
        <f aca="false">SUMIFS('SALES Raw'!$C$6:$C$4467,'SALES Raw'!$J$6:$J$4467,$J1065,'SALES Raw'!$K$6:$K$4467,"Y")+SUMIFS('CEMIUP0.9 Raw'!$D$6:$D$1712,'CEMIUP0.9 Raw'!$B$6:$B$1712,$J1065,'CEMIUP0.9 Raw'!$H$6:$H$1712,"Y")</f>
        <v>0</v>
      </c>
      <c r="E1065" s="19" t="n">
        <f aca="false">SUMIFS('SALES Raw'!$D$6:$D$4467,'SALES Raw'!$J$6:$J$4467,$J1065,'SALES Raw'!$K$6:$K$4467,"Y")+SUMIFS('CEMIUP0.9 Raw'!$E$6:$E$1712,'CEMIUP0.9 Raw'!$B$6:$B$1712,$J1065,'CEMIUP0.9 Raw'!$H$6:$H$1712,"Y")</f>
        <v>0</v>
      </c>
      <c r="F1065" s="19" t="n">
        <f aca="false">SUMIFS('SALES Raw'!$E$6:$E$4467,'SALES Raw'!$J$6:$J$4467,$J1065,'SALES Raw'!$K$6:$K$4467,"Y")*$H$4+SUMIFS('CEMIUP0.9 Raw'!$F$6:$F$1712,'CEMIUP0.9 Raw'!$B$6:$B$1712,$J1065,'CEMIUP0.9 Raw'!$H$6:$H$1712,"Y")</f>
        <v>-1.26315789473684</v>
      </c>
      <c r="G1065" s="19" t="n">
        <f aca="false">SUMIFS('SALES Raw'!$F$6:$F$4467,'SALES Raw'!$J$6:$J$4467,$J1065,'SALES Raw'!$K$6:$K$4467,"Y")*$H$4+SUMIFS('CEMIUP0.9 Raw'!$G$6:$G$1712,'CEMIUP0.9 Raw'!$B$6:$B$1712,$J1065,'CEMIUP0.9 Raw'!$H$6:$H$1712,"Y")</f>
        <v>-102.073263157895</v>
      </c>
      <c r="H1065" s="18" t="s">
        <v>43</v>
      </c>
      <c r="I1065" s="18"/>
      <c r="J1065" s="18" t="n">
        <v>4413116</v>
      </c>
    </row>
    <row r="1066" customFormat="false" ht="15" hidden="false" customHeight="false" outlineLevel="0" collapsed="false">
      <c r="A1066" s="18" t="n">
        <f aca="false">IF(ISNUMBER($J1066),$J1066,"")</f>
        <v>4413123</v>
      </c>
      <c r="B1066" s="18" t="n">
        <f aca="false">IFERROR(INDEX('SALES Raw'!$B$6:$B$4467,MATCH($J1066,'SALES Raw'!$J$6:$J$4467,0)),IFERROR(INDEX('CEMIUP0.9 Raw'!$B$6:$B$1712,MATCH($J1066,'CEMIUP0.9 Raw'!$B$6:$B$1712,0)),$J1066))</f>
        <v>4413123</v>
      </c>
      <c r="C1066" s="18" t="str">
        <f aca="false">IF(ISNUMBER($J1066),IFERROR(INDEX('TRANS'!$C:$C,MATCH($J1066,'TRANS'!$B:$B,0)),IFERROR(INDEX('Catalog'!$B:$B,MATCH($J1066,'Catalog'!$A:$A,0)),$B1066)),$B1066)</f>
        <v>55 M מתלה אשכים לספורטאים</v>
      </c>
      <c r="D1066" s="19" t="n">
        <f aca="false">SUMIFS('SALES Raw'!$C$6:$C$4467,'SALES Raw'!$J$6:$J$4467,$J1066,'SALES Raw'!$K$6:$K$4467,"Y")+SUMIFS('CEMIUP0.9 Raw'!$D$6:$D$1712,'CEMIUP0.9 Raw'!$B$6:$B$1712,$J1066,'CEMIUP0.9 Raw'!$H$6:$H$1712,"Y")</f>
        <v>2</v>
      </c>
      <c r="E1066" s="19" t="n">
        <f aca="false">SUMIFS('SALES Raw'!$D$6:$D$4467,'SALES Raw'!$J$6:$J$4467,$J1066,'SALES Raw'!$K$6:$K$4467,"Y")+SUMIFS('CEMIUP0.9 Raw'!$E$6:$E$1712,'CEMIUP0.9 Raw'!$B$6:$B$1712,$J1066,'CEMIUP0.9 Raw'!$H$6:$H$1712,"Y")</f>
        <v>146.146</v>
      </c>
      <c r="F1066" s="19" t="n">
        <f aca="false">SUMIFS('SALES Raw'!$E$6:$E$4467,'SALES Raw'!$J$6:$J$4467,$J1066,'SALES Raw'!$K$6:$K$4467,"Y")*$H$4+SUMIFS('CEMIUP0.9 Raw'!$F$6:$F$1712,'CEMIUP0.9 Raw'!$B$6:$B$1712,$J1066,'CEMIUP0.9 Raw'!$H$6:$H$1712,"Y")</f>
        <v>-1.26315789473684</v>
      </c>
      <c r="G1066" s="19" t="n">
        <f aca="false">SUMIFS('SALES Raw'!$F$6:$F$4467,'SALES Raw'!$J$6:$J$4467,$J1066,'SALES Raw'!$K$6:$K$4467,"Y")*$H$4+SUMIFS('CEMIUP0.9 Raw'!$G$6:$G$1712,'CEMIUP0.9 Raw'!$B$6:$B$1712,$J1066,'CEMIUP0.9 Raw'!$H$6:$H$1712,"Y")</f>
        <v>-92.3027368421053</v>
      </c>
      <c r="H1066" s="18" t="s">
        <v>43</v>
      </c>
      <c r="I1066" s="18"/>
      <c r="J1066" s="18" t="n">
        <v>4413123</v>
      </c>
    </row>
    <row r="1067" customFormat="false" ht="15" hidden="false" customHeight="false" outlineLevel="0" collapsed="false">
      <c r="A1067" s="18" t="n">
        <f aca="false">IF(ISNUMBER($J1067),$J1067,"")</f>
        <v>4416006</v>
      </c>
      <c r="B1067" s="18" t="n">
        <f aca="false">IFERROR(INDEX('SALES Raw'!$B$6:$B$4467,MATCH($J1067,'SALES Raw'!$J$6:$J$4467,0)),IFERROR(INDEX('CEMIUP0.9 Raw'!$B$6:$B$1712,MATCH($J1067,'CEMIUP0.9 Raw'!$B$6:$B$1712,0)),$J1067))</f>
        <v>4416006</v>
      </c>
      <c r="C1067" s="18" t="str">
        <f aca="false">IF(ISNUMBER($J1067),IFERROR(INDEX('TRANS'!$C:$C,MATCH($J1067,'TRANS'!$B:$B,0)),IFERROR(INDEX('Catalog'!$B:$B,MATCH($J1067,'Catalog'!$A:$A,0)),$B1067)),$B1067)</f>
        <v>308 Sעקבים סיליק.כחול לדורבן</v>
      </c>
      <c r="D1067" s="19" t="n">
        <f aca="false">SUMIFS('SALES Raw'!$C$6:$C$4467,'SALES Raw'!$J$6:$J$4467,$J1067,'SALES Raw'!$K$6:$K$4467,"Y")+SUMIFS('CEMIUP0.9 Raw'!$D$6:$D$1712,'CEMIUP0.9 Raw'!$B$6:$B$1712,$J1067,'CEMIUP0.9 Raw'!$H$6:$H$1712,"Y")</f>
        <v>-1</v>
      </c>
      <c r="E1067" s="19" t="n">
        <f aca="false">SUMIFS('SALES Raw'!$D$6:$D$4467,'SALES Raw'!$J$6:$J$4467,$J1067,'SALES Raw'!$K$6:$K$4467,"Y")+SUMIFS('CEMIUP0.9 Raw'!$E$6:$E$1712,'CEMIUP0.9 Raw'!$B$6:$B$1712,$J1067,'CEMIUP0.9 Raw'!$H$6:$H$1712,"Y")</f>
        <v>-23.023</v>
      </c>
      <c r="F1067" s="19" t="n">
        <f aca="false">SUMIFS('SALES Raw'!$E$6:$E$4467,'SALES Raw'!$J$6:$J$4467,$J1067,'SALES Raw'!$K$6:$K$4467,"Y")*$H$4+SUMIFS('CEMIUP0.9 Raw'!$F$6:$F$1712,'CEMIUP0.9 Raw'!$B$6:$B$1712,$J1067,'CEMIUP0.9 Raw'!$H$6:$H$1712,"Y")</f>
        <v>-1.26315789473684</v>
      </c>
      <c r="G1067" s="19" t="n">
        <f aca="false">SUMIFS('SALES Raw'!$F$6:$F$4467,'SALES Raw'!$J$6:$J$4467,$J1067,'SALES Raw'!$K$6:$K$4467,"Y")*$H$4+SUMIFS('CEMIUP0.9 Raw'!$G$6:$G$1712,'CEMIUP0.9 Raw'!$B$6:$B$1712,$J1067,'CEMIUP0.9 Raw'!$H$6:$H$1712,"Y")</f>
        <v>-67.1292631578947</v>
      </c>
      <c r="H1067" s="18" t="s">
        <v>43</v>
      </c>
      <c r="I1067" s="18"/>
      <c r="J1067" s="18" t="n">
        <v>4416006</v>
      </c>
    </row>
    <row r="1068" customFormat="false" ht="15" hidden="false" customHeight="false" outlineLevel="0" collapsed="false">
      <c r="A1068" s="18" t="n">
        <f aca="false">IF(ISNUMBER($J1068),$J1068,"")</f>
        <v>4420008</v>
      </c>
      <c r="B1068" s="18" t="n">
        <f aca="false">IFERROR(INDEX('SALES Raw'!$B$6:$B$4467,MATCH($J1068,'SALES Raw'!$J$6:$J$4467,0)),IFERROR(INDEX('CEMIUP0.9 Raw'!$B$6:$B$1712,MATCH($J1068,'CEMIUP0.9 Raw'!$B$6:$B$1712,0)),$J1068))</f>
        <v>4420008</v>
      </c>
      <c r="C1068" s="18" t="str">
        <f aca="false">IF(ISNUMBER($J1068),IFERROR(INDEX('TRANS'!$C:$C,MATCH($J1068,'TRANS'!$B:$B,0)),IFERROR(INDEX('Catalog'!$B:$B,MATCH($J1068,'Catalog'!$A:$A,0)),$B1068)),$B1068)</f>
        <v>377  רפ.אורטופדית ספורט זוג39</v>
      </c>
      <c r="D1068" s="19" t="n">
        <f aca="false">SUMIFS('SALES Raw'!$C$6:$C$4467,'SALES Raw'!$J$6:$J$4467,$J1068,'SALES Raw'!$K$6:$K$4467,"Y")+SUMIFS('CEMIUP0.9 Raw'!$D$6:$D$1712,'CEMIUP0.9 Raw'!$B$6:$B$1712,$J1068,'CEMIUP0.9 Raw'!$H$6:$H$1712,"Y")</f>
        <v>2</v>
      </c>
      <c r="E1068" s="19" t="n">
        <f aca="false">SUMIFS('SALES Raw'!$D$6:$D$4467,'SALES Raw'!$J$6:$J$4467,$J1068,'SALES Raw'!$K$6:$K$4467,"Y")+SUMIFS('CEMIUP0.9 Raw'!$E$6:$E$1712,'CEMIUP0.9 Raw'!$B$6:$B$1712,$J1068,'CEMIUP0.9 Raw'!$H$6:$H$1712,"Y")</f>
        <v>76.713</v>
      </c>
      <c r="F1068" s="19" t="n">
        <f aca="false">SUMIFS('SALES Raw'!$E$6:$E$4467,'SALES Raw'!$J$6:$J$4467,$J1068,'SALES Raw'!$K$6:$K$4467,"Y")*$H$4+SUMIFS('CEMIUP0.9 Raw'!$F$6:$F$1712,'CEMIUP0.9 Raw'!$B$6:$B$1712,$J1068,'CEMIUP0.9 Raw'!$H$6:$H$1712,"Y")</f>
        <v>-1.26315789473684</v>
      </c>
      <c r="G1068" s="19" t="n">
        <f aca="false">SUMIFS('SALES Raw'!$F$6:$F$4467,'SALES Raw'!$J$6:$J$4467,$J1068,'SALES Raw'!$K$6:$K$4467,"Y")*$H$4+SUMIFS('CEMIUP0.9 Raw'!$G$6:$G$1712,'CEMIUP0.9 Raw'!$B$6:$B$1712,$J1068,'CEMIUP0.9 Raw'!$H$6:$H$1712,"Y")</f>
        <v>-41.9557894736842</v>
      </c>
      <c r="H1068" s="18" t="s">
        <v>43</v>
      </c>
      <c r="I1068" s="18"/>
      <c r="J1068" s="18" t="n">
        <v>4420008</v>
      </c>
    </row>
    <row r="1069" customFormat="false" ht="15" hidden="false" customHeight="false" outlineLevel="0" collapsed="false">
      <c r="A1069" s="18" t="n">
        <f aca="false">IF(ISNUMBER($J1069),$J1069,"")</f>
        <v>4420009</v>
      </c>
      <c r="B1069" s="18" t="n">
        <f aca="false">IFERROR(INDEX('SALES Raw'!$B$6:$B$4467,MATCH($J1069,'SALES Raw'!$J$6:$J$4467,0)),IFERROR(INDEX('CEMIUP0.9 Raw'!$B$6:$B$1712,MATCH($J1069,'CEMIUP0.9 Raw'!$B$6:$B$1712,0)),$J1069))</f>
        <v>4420009</v>
      </c>
      <c r="C1069" s="18" t="str">
        <f aca="false">IF(ISNUMBER($J1069),IFERROR(INDEX('TRANS'!$C:$C,MATCH($J1069,'TRANS'!$B:$B,0)),IFERROR(INDEX('Catalog'!$B:$B,MATCH($J1069,'Catalog'!$A:$A,0)),$B1069)),$B1069)</f>
        <v>377  רפ.אורטופדית ספורט זוג40</v>
      </c>
      <c r="D1069" s="19" t="n">
        <f aca="false">SUMIFS('SALES Raw'!$C$6:$C$4467,'SALES Raw'!$J$6:$J$4467,$J1069,'SALES Raw'!$K$6:$K$4467,"Y")+SUMIFS('CEMIUP0.9 Raw'!$D$6:$D$1712,'CEMIUP0.9 Raw'!$B$6:$B$1712,$J1069,'CEMIUP0.9 Raw'!$H$6:$H$1712,"Y")</f>
        <v>0</v>
      </c>
      <c r="E1069" s="19" t="n">
        <f aca="false">SUMIFS('SALES Raw'!$D$6:$D$4467,'SALES Raw'!$J$6:$J$4467,$J1069,'SALES Raw'!$K$6:$K$4467,"Y")+SUMIFS('CEMIUP0.9 Raw'!$E$6:$E$1712,'CEMIUP0.9 Raw'!$B$6:$B$1712,$J1069,'CEMIUP0.9 Raw'!$H$6:$H$1712,"Y")</f>
        <v>0</v>
      </c>
      <c r="F1069" s="19" t="n">
        <f aca="false">SUMIFS('SALES Raw'!$E$6:$E$4467,'SALES Raw'!$J$6:$J$4467,$J1069,'SALES Raw'!$K$6:$K$4467,"Y")*$H$4+SUMIFS('CEMIUP0.9 Raw'!$F$6:$F$1712,'CEMIUP0.9 Raw'!$B$6:$B$1712,$J1069,'CEMIUP0.9 Raw'!$H$6:$H$1712,"Y")</f>
        <v>-1.26315789473684</v>
      </c>
      <c r="G1069" s="19" t="n">
        <f aca="false">SUMIFS('SALES Raw'!$F$6:$F$4467,'SALES Raw'!$J$6:$J$4467,$J1069,'SALES Raw'!$K$6:$K$4467,"Y")*$H$4+SUMIFS('CEMIUP0.9 Raw'!$G$6:$G$1712,'CEMIUP0.9 Raw'!$B$6:$B$1712,$J1069,'CEMIUP0.9 Raw'!$H$6:$H$1712,"Y")</f>
        <v>-41.9557894736842</v>
      </c>
      <c r="H1069" s="18" t="s">
        <v>43</v>
      </c>
      <c r="I1069" s="18"/>
      <c r="J1069" s="18" t="n">
        <v>4420009</v>
      </c>
    </row>
    <row r="1070" customFormat="false" ht="15" hidden="false" customHeight="false" outlineLevel="0" collapsed="false">
      <c r="A1070" s="18" t="n">
        <f aca="false">IF(ISNUMBER($J1070),$J1070,"")</f>
        <v>4420012</v>
      </c>
      <c r="B1070" s="18" t="n">
        <f aca="false">IFERROR(INDEX('SALES Raw'!$B$6:$B$4467,MATCH($J1070,'SALES Raw'!$J$6:$J$4467,0)),IFERROR(INDEX('CEMIUP0.9 Raw'!$B$6:$B$1712,MATCH($J1070,'CEMIUP0.9 Raw'!$B$6:$B$1712,0)),$J1070))</f>
        <v>4420012</v>
      </c>
      <c r="C1070" s="18" t="str">
        <f aca="false">IF(ISNUMBER($J1070),IFERROR(INDEX('TRANS'!$C:$C,MATCH($J1070,'TRANS'!$B:$B,0)),IFERROR(INDEX('Catalog'!$B:$B,MATCH($J1070,'Catalog'!$A:$A,0)),$B1070)),$B1070)</f>
        <v>377   רפידה אורט.ספורט זוג43</v>
      </c>
      <c r="D1070" s="19" t="n">
        <f aca="false">SUMIFS('SALES Raw'!$C$6:$C$4467,'SALES Raw'!$J$6:$J$4467,$J1070,'SALES Raw'!$K$6:$K$4467,"Y")+SUMIFS('CEMIUP0.9 Raw'!$D$6:$D$1712,'CEMIUP0.9 Raw'!$B$6:$B$1712,$J1070,'CEMIUP0.9 Raw'!$H$6:$H$1712,"Y")</f>
        <v>0</v>
      </c>
      <c r="E1070" s="19" t="n">
        <f aca="false">SUMIFS('SALES Raw'!$D$6:$D$4467,'SALES Raw'!$J$6:$J$4467,$J1070,'SALES Raw'!$K$6:$K$4467,"Y")+SUMIFS('CEMIUP0.9 Raw'!$E$6:$E$1712,'CEMIUP0.9 Raw'!$B$6:$B$1712,$J1070,'CEMIUP0.9 Raw'!$H$6:$H$1712,"Y")</f>
        <v>0</v>
      </c>
      <c r="F1070" s="19" t="n">
        <f aca="false">SUMIFS('SALES Raw'!$E$6:$E$4467,'SALES Raw'!$J$6:$J$4467,$J1070,'SALES Raw'!$K$6:$K$4467,"Y")*$H$4+SUMIFS('CEMIUP0.9 Raw'!$F$6:$F$1712,'CEMIUP0.9 Raw'!$B$6:$B$1712,$J1070,'CEMIUP0.9 Raw'!$H$6:$H$1712,"Y")</f>
        <v>-1.26315789473684</v>
      </c>
      <c r="G1070" s="19" t="n">
        <f aca="false">SUMIFS('SALES Raw'!$F$6:$F$4467,'SALES Raw'!$J$6:$J$4467,$J1070,'SALES Raw'!$K$6:$K$4467,"Y")*$H$4+SUMIFS('CEMIUP0.9 Raw'!$G$6:$G$1712,'CEMIUP0.9 Raw'!$B$6:$B$1712,$J1070,'CEMIUP0.9 Raw'!$H$6:$H$1712,"Y")</f>
        <v>-41.9557894736842</v>
      </c>
      <c r="H1070" s="18" t="s">
        <v>43</v>
      </c>
      <c r="I1070" s="18"/>
      <c r="J1070" s="18" t="n">
        <v>4420012</v>
      </c>
    </row>
    <row r="1071" customFormat="false" ht="15" hidden="false" customHeight="false" outlineLevel="0" collapsed="false">
      <c r="A1071" s="18" t="str">
        <f aca="false">IF(ISNUMBER($J1071),$J1071,"")</f>
        <v/>
      </c>
      <c r="B1071" s="18" t="str">
        <f aca="false">IFERROR(INDEX('SALES Raw'!$B$6:$B$4467,MATCH($J1071,'SALES Raw'!$J$6:$J$4467,0)),IFERROR(INDEX('CEMIUP0.9 Raw'!$B$6:$B$1712,MATCH($J1071,'CEMIUP0.9 Raw'!$B$6:$B$1712,0)),$J1071))</f>
        <v>062 L</v>
      </c>
      <c r="C1071" s="18" t="str">
        <f aca="false">IF(ISNUMBER($J1071),IFERROR(INDEX('TRANS'!$C:$C,MATCH($J1071,'TRANS'!$B:$B,0)),IFERROR(INDEX('Catalog'!$B:$B,MATCH($J1071,'Catalog'!$A:$A,0)),$B1071)),$B1071)</f>
        <v>062 L</v>
      </c>
      <c r="D1071" s="19" t="n">
        <f aca="false">SUMIFS('SALES Raw'!$C$6:$C$4467,'SALES Raw'!$J$6:$J$4467,$J1071,'SALES Raw'!$K$6:$K$4467,"Y")+SUMIFS('CEMIUP0.9 Raw'!$D$6:$D$1712,'CEMIUP0.9 Raw'!$B$6:$B$1712,$J1071,'CEMIUP0.9 Raw'!$H$6:$H$1712,"Y")</f>
        <v>2</v>
      </c>
      <c r="E1071" s="19" t="n">
        <f aca="false">SUMIFS('SALES Raw'!$D$6:$D$4467,'SALES Raw'!$J$6:$J$4467,$J1071,'SALES Raw'!$K$6:$K$4467,"Y")+SUMIFS('CEMIUP0.9 Raw'!$E$6:$E$1712,'CEMIUP0.9 Raw'!$B$6:$B$1712,$J1071,'CEMIUP0.9 Raw'!$H$6:$H$1712,"Y")</f>
        <v>609.82</v>
      </c>
      <c r="F1071" s="19" t="n">
        <f aca="false">SUMIFS('SALES Raw'!$E$6:$E$4467,'SALES Raw'!$J$6:$J$4467,$J1071,'SALES Raw'!$K$6:$K$4467,"Y")*$H$4+SUMIFS('CEMIUP0.9 Raw'!$F$6:$F$1712,'CEMIUP0.9 Raw'!$B$6:$B$1712,$J1071,'CEMIUP0.9 Raw'!$H$6:$H$1712,"Y")</f>
        <v>-1.26315789473684</v>
      </c>
      <c r="G1071" s="19" t="n">
        <f aca="false">SUMIFS('SALES Raw'!$F$6:$F$4467,'SALES Raw'!$J$6:$J$4467,$J1071,'SALES Raw'!$K$6:$K$4467,"Y")*$H$4+SUMIFS('CEMIUP0.9 Raw'!$G$6:$G$1712,'CEMIUP0.9 Raw'!$B$6:$B$1712,$J1071,'CEMIUP0.9 Raw'!$H$6:$H$1712,"Y")</f>
        <v>-310.787368421053</v>
      </c>
      <c r="H1071" s="18" t="s">
        <v>44</v>
      </c>
      <c r="I1071" s="18" t="s">
        <v>42</v>
      </c>
      <c r="J1071" s="18" t="s">
        <v>524</v>
      </c>
    </row>
    <row r="1072" customFormat="false" ht="15" hidden="false" customHeight="false" outlineLevel="0" collapsed="false">
      <c r="A1072" s="18" t="str">
        <f aca="false">IF(ISNUMBER($J1072),$J1072,"")</f>
        <v/>
      </c>
      <c r="B1072" s="18" t="str">
        <f aca="false">IFERROR(INDEX('SALES Raw'!$B$6:$B$4467,MATCH($J1072,'SALES Raw'!$J$6:$J$4467,0)),IFERROR(INDEX('CEMIUP0.9 Raw'!$B$6:$B$1712,MATCH($J1072,'CEMIUP0.9 Raw'!$B$6:$B$1712,0)),$J1072))</f>
        <v>07AF XL</v>
      </c>
      <c r="C1072" s="18" t="str">
        <f aca="false">IF(ISNUMBER($J1072),IFERROR(INDEX('TRANS'!$C:$C,MATCH($J1072,'TRANS'!$B:$B,0)),IFERROR(INDEX('Catalog'!$B:$B,MATCH($J1072,'Catalog'!$A:$A,0)),$B1072)),$B1072)</f>
        <v>07AF XL</v>
      </c>
      <c r="D1072" s="19" t="n">
        <f aca="false">SUMIFS('SALES Raw'!$C$6:$C$4467,'SALES Raw'!$J$6:$J$4467,$J1072,'SALES Raw'!$K$6:$K$4467,"Y")+SUMIFS('CEMIUP0.9 Raw'!$D$6:$D$1712,'CEMIUP0.9 Raw'!$B$6:$B$1712,$J1072,'CEMIUP0.9 Raw'!$H$6:$H$1712,"Y")</f>
        <v>0</v>
      </c>
      <c r="E1072" s="19" t="n">
        <f aca="false">SUMIFS('SALES Raw'!$D$6:$D$4467,'SALES Raw'!$J$6:$J$4467,$J1072,'SALES Raw'!$K$6:$K$4467,"Y")+SUMIFS('CEMIUP0.9 Raw'!$E$6:$E$1712,'CEMIUP0.9 Raw'!$B$6:$B$1712,$J1072,'CEMIUP0.9 Raw'!$H$6:$H$1712,"Y")</f>
        <v>0</v>
      </c>
      <c r="F1072" s="19" t="n">
        <f aca="false">SUMIFS('SALES Raw'!$E$6:$E$4467,'SALES Raw'!$J$6:$J$4467,$J1072,'SALES Raw'!$K$6:$K$4467,"Y")*$H$4+SUMIFS('CEMIUP0.9 Raw'!$F$6:$F$1712,'CEMIUP0.9 Raw'!$B$6:$B$1712,$J1072,'CEMIUP0.9 Raw'!$H$6:$H$1712,"Y")</f>
        <v>-1.26315789473684</v>
      </c>
      <c r="G1072" s="19" t="n">
        <f aca="false">SUMIFS('SALES Raw'!$F$6:$F$4467,'SALES Raw'!$J$6:$J$4467,$J1072,'SALES Raw'!$K$6:$K$4467,"Y")*$H$4+SUMIFS('CEMIUP0.9 Raw'!$G$6:$G$1712,'CEMIUP0.9 Raw'!$B$6:$B$1712,$J1072,'CEMIUP0.9 Raw'!$H$6:$H$1712,"Y")</f>
        <v>-495.562105263158</v>
      </c>
      <c r="H1072" s="18" t="s">
        <v>46</v>
      </c>
      <c r="I1072" s="18"/>
      <c r="J1072" s="18" t="s">
        <v>525</v>
      </c>
    </row>
    <row r="1073" customFormat="false" ht="15" hidden="false" customHeight="false" outlineLevel="0" collapsed="false">
      <c r="A1073" s="18" t="str">
        <f aca="false">IF(ISNUMBER($J1073),$J1073,"")</f>
        <v/>
      </c>
      <c r="B1073" s="18" t="str">
        <f aca="false">IFERROR(INDEX('SALES Raw'!$B$6:$B$4467,MATCH($J1073,'SALES Raw'!$J$6:$J$4467,0)),IFERROR(INDEX('CEMIUP0.9 Raw'!$B$6:$B$1712,MATCH($J1073,'CEMIUP0.9 Raw'!$B$6:$B$1712,0)),$J1073))</f>
        <v>776 XL</v>
      </c>
      <c r="C1073" s="18" t="str">
        <f aca="false">IF(ISNUMBER($J1073),IFERROR(INDEX('TRANS'!$C:$C,MATCH($J1073,'TRANS'!$B:$B,0)),IFERROR(INDEX('Catalog'!$B:$B,MATCH($J1073,'Catalog'!$A:$A,0)),$B1073)),$B1073)</f>
        <v>776 XL</v>
      </c>
      <c r="D1073" s="19" t="n">
        <f aca="false">SUMIFS('SALES Raw'!$C$6:$C$4467,'SALES Raw'!$J$6:$J$4467,$J1073,'SALES Raw'!$K$6:$K$4467,"Y")+SUMIFS('CEMIUP0.9 Raw'!$D$6:$D$1712,'CEMIUP0.9 Raw'!$B$6:$B$1712,$J1073,'CEMIUP0.9 Raw'!$H$6:$H$1712,"Y")</f>
        <v>13</v>
      </c>
      <c r="E1073" s="19" t="n">
        <f aca="false">SUMIFS('SALES Raw'!$D$6:$D$4467,'SALES Raw'!$J$6:$J$4467,$J1073,'SALES Raw'!$K$6:$K$4467,"Y")+SUMIFS('CEMIUP0.9 Raw'!$E$6:$E$1712,'CEMIUP0.9 Raw'!$B$6:$B$1712,$J1073,'CEMIUP0.9 Raw'!$H$6:$H$1712,"Y")</f>
        <v>5844.18</v>
      </c>
      <c r="F1073" s="19" t="n">
        <f aca="false">SUMIFS('SALES Raw'!$E$6:$E$4467,'SALES Raw'!$J$6:$J$4467,$J1073,'SALES Raw'!$K$6:$K$4467,"Y")*$H$4+SUMIFS('CEMIUP0.9 Raw'!$F$6:$F$1712,'CEMIUP0.9 Raw'!$B$6:$B$1712,$J1073,'CEMIUP0.9 Raw'!$H$6:$H$1712,"Y")</f>
        <v>-1.26315789473684</v>
      </c>
      <c r="G1073" s="19" t="n">
        <f aca="false">SUMIFS('SALES Raw'!$F$6:$F$4467,'SALES Raw'!$J$6:$J$4467,$J1073,'SALES Raw'!$K$6:$K$4467,"Y")*$H$4+SUMIFS('CEMIUP0.9 Raw'!$G$6:$G$1712,'CEMIUP0.9 Raw'!$B$6:$B$1712,$J1073,'CEMIUP0.9 Raw'!$H$6:$H$1712,"Y")</f>
        <v>-442.105263157895</v>
      </c>
      <c r="H1073" s="18" t="s">
        <v>44</v>
      </c>
      <c r="I1073" s="18" t="s">
        <v>54</v>
      </c>
      <c r="J1073" s="18" t="s">
        <v>526</v>
      </c>
    </row>
    <row r="1074" customFormat="false" ht="15" hidden="false" customHeight="false" outlineLevel="0" collapsed="false">
      <c r="A1074" s="18" t="str">
        <f aca="false">IF(ISNUMBER($J1074),$J1074,"")</f>
        <v/>
      </c>
      <c r="B1074" s="18" t="str">
        <f aca="false">IFERROR(INDEX('SALES Raw'!$B$6:$B$4467,MATCH($J1074,'SALES Raw'!$J$6:$J$4467,0)),IFERROR(INDEX('CEMIUP0.9 Raw'!$B$6:$B$1712,MATCH($J1074,'CEMIUP0.9 Raw'!$B$6:$B$1712,0)),$J1074))</f>
        <v>777 XXL</v>
      </c>
      <c r="C1074" s="18" t="str">
        <f aca="false">IF(ISNUMBER($J1074),IFERROR(INDEX('TRANS'!$C:$C,MATCH($J1074,'TRANS'!$B:$B,0)),IFERROR(INDEX('Catalog'!$B:$B,MATCH($J1074,'Catalog'!$A:$A,0)),$B1074)),$B1074)</f>
        <v>777 XXL</v>
      </c>
      <c r="D1074" s="19" t="n">
        <f aca="false">SUMIFS('SALES Raw'!$C$6:$C$4467,'SALES Raw'!$J$6:$J$4467,$J1074,'SALES Raw'!$K$6:$K$4467,"Y")+SUMIFS('CEMIUP0.9 Raw'!$D$6:$D$1712,'CEMIUP0.9 Raw'!$B$6:$B$1712,$J1074,'CEMIUP0.9 Raw'!$H$6:$H$1712,"Y")</f>
        <v>0</v>
      </c>
      <c r="E1074" s="19" t="n">
        <f aca="false">SUMIFS('SALES Raw'!$D$6:$D$4467,'SALES Raw'!$J$6:$J$4467,$J1074,'SALES Raw'!$K$6:$K$4467,"Y")+SUMIFS('CEMIUP0.9 Raw'!$E$6:$E$1712,'CEMIUP0.9 Raw'!$B$6:$B$1712,$J1074,'CEMIUP0.9 Raw'!$H$6:$H$1712,"Y")</f>
        <v>0</v>
      </c>
      <c r="F1074" s="19" t="n">
        <f aca="false">SUMIFS('SALES Raw'!$E$6:$E$4467,'SALES Raw'!$J$6:$J$4467,$J1074,'SALES Raw'!$K$6:$K$4467,"Y")*$H$4+SUMIFS('CEMIUP0.9 Raw'!$F$6:$F$1712,'CEMIUP0.9 Raw'!$B$6:$B$1712,$J1074,'CEMIUP0.9 Raw'!$H$6:$H$1712,"Y")</f>
        <v>-1.26315789473684</v>
      </c>
      <c r="G1074" s="19" t="n">
        <f aca="false">SUMIFS('SALES Raw'!$F$6:$F$4467,'SALES Raw'!$J$6:$J$4467,$J1074,'SALES Raw'!$K$6:$K$4467,"Y")*$H$4+SUMIFS('CEMIUP0.9 Raw'!$G$6:$G$1712,'CEMIUP0.9 Raw'!$B$6:$B$1712,$J1074,'CEMIUP0.9 Raw'!$H$6:$H$1712,"Y")</f>
        <v>-567.738947368421</v>
      </c>
      <c r="H1074" s="18" t="s">
        <v>46</v>
      </c>
      <c r="I1074" s="18"/>
      <c r="J1074" s="18" t="s">
        <v>527</v>
      </c>
    </row>
    <row r="1075" customFormat="false" ht="15" hidden="false" customHeight="false" outlineLevel="0" collapsed="false">
      <c r="A1075" s="18" t="str">
        <f aca="false">IF(ISNUMBER($J1075),$J1075,"")</f>
        <v/>
      </c>
      <c r="B1075" s="18" t="str">
        <f aca="false">IFERROR(INDEX('SALES Raw'!$B$6:$B$4467,MATCH($J1075,'SALES Raw'!$J$6:$J$4467,0)),IFERROR(INDEX('CEMIUP0.9 Raw'!$B$6:$B$1712,MATCH($J1075,'CEMIUP0.9 Raw'!$B$6:$B$1712,0)),$J1075))</f>
        <v>777-L-XL</v>
      </c>
      <c r="C1075" s="18" t="str">
        <f aca="false">IF(ISNUMBER($J1075),IFERROR(INDEX('TRANS'!$C:$C,MATCH($J1075,'TRANS'!$B:$B,0)),IFERROR(INDEX('Catalog'!$B:$B,MATCH($J1075,'Catalog'!$A:$A,0)),$B1075)),$B1075)</f>
        <v>777-L-XL</v>
      </c>
      <c r="D1075" s="19" t="n">
        <f aca="false">SUMIFS('SALES Raw'!$C$6:$C$4467,'SALES Raw'!$J$6:$J$4467,$J1075,'SALES Raw'!$K$6:$K$4467,"Y")+SUMIFS('CEMIUP0.9 Raw'!$D$6:$D$1712,'CEMIUP0.9 Raw'!$B$6:$B$1712,$J1075,'CEMIUP0.9 Raw'!$H$6:$H$1712,"Y")</f>
        <v>0</v>
      </c>
      <c r="E1075" s="19" t="n">
        <f aca="false">SUMIFS('SALES Raw'!$D$6:$D$4467,'SALES Raw'!$J$6:$J$4467,$J1075,'SALES Raw'!$K$6:$K$4467,"Y")+SUMIFS('CEMIUP0.9 Raw'!$E$6:$E$1712,'CEMIUP0.9 Raw'!$B$6:$B$1712,$J1075,'CEMIUP0.9 Raw'!$H$6:$H$1712,"Y")</f>
        <v>0</v>
      </c>
      <c r="F1075" s="19" t="n">
        <f aca="false">SUMIFS('SALES Raw'!$E$6:$E$4467,'SALES Raw'!$J$6:$J$4467,$J1075,'SALES Raw'!$K$6:$K$4467,"Y")*$H$4+SUMIFS('CEMIUP0.9 Raw'!$F$6:$F$1712,'CEMIUP0.9 Raw'!$B$6:$B$1712,$J1075,'CEMIUP0.9 Raw'!$H$6:$H$1712,"Y")</f>
        <v>-1.26315789473684</v>
      </c>
      <c r="G1075" s="19" t="n">
        <f aca="false">SUMIFS('SALES Raw'!$F$6:$F$4467,'SALES Raw'!$J$6:$J$4467,$J1075,'SALES Raw'!$K$6:$K$4467,"Y")*$H$4+SUMIFS('CEMIUP0.9 Raw'!$G$6:$G$1712,'CEMIUP0.9 Raw'!$B$6:$B$1712,$J1075,'CEMIUP0.9 Raw'!$H$6:$H$1712,"Y")</f>
        <v>-567.738947368421</v>
      </c>
      <c r="H1075" s="18" t="s">
        <v>46</v>
      </c>
      <c r="I1075" s="18"/>
      <c r="J1075" s="18" t="s">
        <v>528</v>
      </c>
    </row>
    <row r="1076" customFormat="false" ht="15" hidden="false" customHeight="false" outlineLevel="0" collapsed="false">
      <c r="A1076" s="18" t="str">
        <f aca="false">IF(ISNUMBER($J1076),$J1076,"")</f>
        <v/>
      </c>
      <c r="B1076" s="18" t="str">
        <f aca="false">IFERROR(INDEX('SALES Raw'!$B$6:$B$4467,MATCH($J1076,'SALES Raw'!$J$6:$J$4467,0)),IFERROR(INDEX('CEMIUP0.9 Raw'!$B$6:$B$1712,MATCH($J1076,'CEMIUP0.9 Raw'!$B$6:$B$1712,0)),$J1076))</f>
        <v>T433 XL</v>
      </c>
      <c r="C1076" s="18" t="str">
        <f aca="false">IF(ISNUMBER($J1076),IFERROR(INDEX('TRANS'!$C:$C,MATCH($J1076,'TRANS'!$B:$B,0)),IFERROR(INDEX('Catalog'!$B:$B,MATCH($J1076,'Catalog'!$A:$A,0)),$B1076)),$B1076)</f>
        <v>T433 XL</v>
      </c>
      <c r="D1076" s="19" t="n">
        <f aca="false">SUMIFS('SALES Raw'!$C$6:$C$4467,'SALES Raw'!$J$6:$J$4467,$J1076,'SALES Raw'!$K$6:$K$4467,"Y")+SUMIFS('CEMIUP0.9 Raw'!$D$6:$D$1712,'CEMIUP0.9 Raw'!$B$6:$B$1712,$J1076,'CEMIUP0.9 Raw'!$H$6:$H$1712,"Y")</f>
        <v>1</v>
      </c>
      <c r="E1076" s="19" t="n">
        <f aca="false">SUMIFS('SALES Raw'!$D$6:$D$4467,'SALES Raw'!$J$6:$J$4467,$J1076,'SALES Raw'!$K$6:$K$4467,"Y")+SUMIFS('CEMIUP0.9 Raw'!$E$6:$E$1712,'CEMIUP0.9 Raw'!$B$6:$B$1712,$J1076,'CEMIUP0.9 Raw'!$H$6:$H$1712,"Y")</f>
        <v>330.88</v>
      </c>
      <c r="F1076" s="19" t="n">
        <f aca="false">SUMIFS('SALES Raw'!$E$6:$E$4467,'SALES Raw'!$J$6:$J$4467,$J1076,'SALES Raw'!$K$6:$K$4467,"Y")*$H$4+SUMIFS('CEMIUP0.9 Raw'!$F$6:$F$1712,'CEMIUP0.9 Raw'!$B$6:$B$1712,$J1076,'CEMIUP0.9 Raw'!$H$6:$H$1712,"Y")</f>
        <v>-1.26315789473684</v>
      </c>
      <c r="G1076" s="19" t="n">
        <f aca="false">SUMIFS('SALES Raw'!$F$6:$F$4467,'SALES Raw'!$J$6:$J$4467,$J1076,'SALES Raw'!$K$6:$K$4467,"Y")*$H$4+SUMIFS('CEMIUP0.9 Raw'!$G$6:$G$1712,'CEMIUP0.9 Raw'!$B$6:$B$1712,$J1076,'CEMIUP0.9 Raw'!$H$6:$H$1712,"Y")</f>
        <v>-240</v>
      </c>
      <c r="H1076" s="18" t="s">
        <v>46</v>
      </c>
      <c r="I1076" s="18" t="s">
        <v>44</v>
      </c>
      <c r="J1076" s="18" t="s">
        <v>529</v>
      </c>
    </row>
    <row r="1077" customFormat="false" ht="15" hidden="false" customHeight="false" outlineLevel="0" collapsed="false">
      <c r="A1077" s="18" t="str">
        <f aca="false">IF(ISNUMBER($J1077),$J1077,"")</f>
        <v/>
      </c>
      <c r="B1077" s="18" t="str">
        <f aca="false">IFERROR(INDEX('SALES Raw'!$B$6:$B$4467,MATCH($J1077,'SALES Raw'!$J$6:$J$4467,0)),IFERROR(INDEX('CEMIUP0.9 Raw'!$B$6:$B$1712,MATCH($J1077,'CEMIUP0.9 Raw'!$B$6:$B$1712,0)),$J1077))</f>
        <v>422 L</v>
      </c>
      <c r="C1077" s="18" t="str">
        <f aca="false">IF(ISNUMBER($J1077),IFERROR(INDEX('TRANS'!$C:$C,MATCH($J1077,'TRANS'!$B:$B,0)),IFERROR(INDEX('Catalog'!$B:$B,MATCH($J1077,'Catalog'!$A:$A,0)),$B1077)),$B1077)</f>
        <v>422 L</v>
      </c>
      <c r="D1077" s="19" t="n">
        <f aca="false">SUMIFS('SALES Raw'!$C$6:$C$4467,'SALES Raw'!$J$6:$J$4467,$J1077,'SALES Raw'!$K$6:$K$4467,"Y")+SUMIFS('CEMIUP0.9 Raw'!$D$6:$D$1712,'CEMIUP0.9 Raw'!$B$6:$B$1712,$J1077,'CEMIUP0.9 Raw'!$H$6:$H$1712,"Y")</f>
        <v>2</v>
      </c>
      <c r="E1077" s="19" t="n">
        <f aca="false">SUMIFS('SALES Raw'!$D$6:$D$4467,'SALES Raw'!$J$6:$J$4467,$J1077,'SALES Raw'!$K$6:$K$4467,"Y")+SUMIFS('CEMIUP0.9 Raw'!$E$6:$E$1712,'CEMIUP0.9 Raw'!$B$6:$B$1712,$J1077,'CEMIUP0.9 Raw'!$H$6:$H$1712,"Y")</f>
        <v>437.38</v>
      </c>
      <c r="F1077" s="19" t="n">
        <f aca="false">SUMIFS('SALES Raw'!$E$6:$E$4467,'SALES Raw'!$J$6:$J$4467,$J1077,'SALES Raw'!$K$6:$K$4467,"Y")*$H$4+SUMIFS('CEMIUP0.9 Raw'!$F$6:$F$1712,'CEMIUP0.9 Raw'!$B$6:$B$1712,$J1077,'CEMIUP0.9 Raw'!$H$6:$H$1712,"Y")</f>
        <v>-1.26315789473684</v>
      </c>
      <c r="G1077" s="19" t="n">
        <f aca="false">SUMIFS('SALES Raw'!$F$6:$F$4467,'SALES Raw'!$J$6:$J$4467,$J1077,'SALES Raw'!$K$6:$K$4467,"Y")*$H$4+SUMIFS('CEMIUP0.9 Raw'!$G$6:$G$1712,'CEMIUP0.9 Raw'!$B$6:$B$1712,$J1077,'CEMIUP0.9 Raw'!$H$6:$H$1712,"Y")</f>
        <v>-315.701052631579</v>
      </c>
      <c r="H1077" s="18" t="s">
        <v>44</v>
      </c>
      <c r="I1077" s="18" t="s">
        <v>46</v>
      </c>
      <c r="J1077" s="18" t="s">
        <v>530</v>
      </c>
    </row>
    <row r="1078" customFormat="false" ht="15" hidden="false" customHeight="false" outlineLevel="0" collapsed="false">
      <c r="A1078" s="18" t="str">
        <f aca="false">IF(ISNUMBER($J1078),$J1078,"")</f>
        <v/>
      </c>
      <c r="B1078" s="18" t="str">
        <f aca="false">IFERROR(INDEX('SALES Raw'!$B$6:$B$4467,MATCH($J1078,'SALES Raw'!$J$6:$J$4467,0)),IFERROR(INDEX('CEMIUP0.9 Raw'!$B$6:$B$1712,MATCH($J1078,'CEMIUP0.9 Raw'!$B$6:$B$1712,0)),$J1078))</f>
        <v>T433 M</v>
      </c>
      <c r="C1078" s="18" t="str">
        <f aca="false">IF(ISNUMBER($J1078),IFERROR(INDEX('TRANS'!$C:$C,MATCH($J1078,'TRANS'!$B:$B,0)),IFERROR(INDEX('Catalog'!$B:$B,MATCH($J1078,'Catalog'!$A:$A,0)),$B1078)),$B1078)</f>
        <v>T433 M</v>
      </c>
      <c r="D1078" s="19" t="n">
        <f aca="false">SUMIFS('SALES Raw'!$C$6:$C$4467,'SALES Raw'!$J$6:$J$4467,$J1078,'SALES Raw'!$K$6:$K$4467,"Y")+SUMIFS('CEMIUP0.9 Raw'!$D$6:$D$1712,'CEMIUP0.9 Raw'!$B$6:$B$1712,$J1078,'CEMIUP0.9 Raw'!$H$6:$H$1712,"Y")</f>
        <v>1</v>
      </c>
      <c r="E1078" s="19" t="n">
        <f aca="false">SUMIFS('SALES Raw'!$D$6:$D$4467,'SALES Raw'!$J$6:$J$4467,$J1078,'SALES Raw'!$K$6:$K$4467,"Y")+SUMIFS('CEMIUP0.9 Raw'!$E$6:$E$1712,'CEMIUP0.9 Raw'!$B$6:$B$1712,$J1078,'CEMIUP0.9 Raw'!$H$6:$H$1712,"Y")</f>
        <v>190</v>
      </c>
      <c r="F1078" s="19" t="n">
        <f aca="false">SUMIFS('SALES Raw'!$E$6:$E$4467,'SALES Raw'!$J$6:$J$4467,$J1078,'SALES Raw'!$K$6:$K$4467,"Y")*$H$4+SUMIFS('CEMIUP0.9 Raw'!$F$6:$F$1712,'CEMIUP0.9 Raw'!$B$6:$B$1712,$J1078,'CEMIUP0.9 Raw'!$H$6:$H$1712,"Y")</f>
        <v>-1.26315789473684</v>
      </c>
      <c r="G1078" s="19" t="n">
        <f aca="false">SUMIFS('SALES Raw'!$F$6:$F$4467,'SALES Raw'!$J$6:$J$4467,$J1078,'SALES Raw'!$K$6:$K$4467,"Y")*$H$4+SUMIFS('CEMIUP0.9 Raw'!$G$6:$G$1712,'CEMIUP0.9 Raw'!$B$6:$B$1712,$J1078,'CEMIUP0.9 Raw'!$H$6:$H$1712,"Y")</f>
        <v>-240</v>
      </c>
      <c r="H1078" s="18" t="s">
        <v>44</v>
      </c>
      <c r="I1078" s="18"/>
      <c r="J1078" s="18" t="s">
        <v>531</v>
      </c>
    </row>
    <row r="1079" customFormat="false" ht="15" hidden="false" customHeight="false" outlineLevel="0" collapsed="false">
      <c r="A1079" s="18" t="str">
        <f aca="false">IF(ISNUMBER($J1079),$J1079,"")</f>
        <v/>
      </c>
      <c r="B1079" s="18" t="str">
        <f aca="false">IFERROR(INDEX('SALES Raw'!$B$6:$B$4467,MATCH($J1079,'SALES Raw'!$J$6:$J$4467,0)),IFERROR(INDEX('CEMIUP0.9 Raw'!$B$6:$B$1712,MATCH($J1079,'CEMIUP0.9 Raw'!$B$6:$B$1712,0)),$J1079))</f>
        <v>MSG001FW</v>
      </c>
      <c r="C1079" s="18" t="str">
        <f aca="false">IF(ISNUMBER($J1079),IFERROR(INDEX('TRANS'!$C:$C,MATCH($J1079,'TRANS'!$B:$B,0)),IFERROR(INDEX('Catalog'!$B:$B,MATCH($J1079,'Catalog'!$A:$A,0)),$B1079)),$B1079)</f>
        <v>MSG001FW</v>
      </c>
      <c r="D1079" s="19" t="n">
        <f aca="false">SUMIFS('SALES Raw'!$C$6:$C$4467,'SALES Raw'!$J$6:$J$4467,$J1079,'SALES Raw'!$K$6:$K$4467,"Y")+SUMIFS('CEMIUP0.9 Raw'!$D$6:$D$1712,'CEMIUP0.9 Raw'!$B$6:$B$1712,$J1079,'CEMIUP0.9 Raw'!$H$6:$H$1712,"Y")</f>
        <v>0</v>
      </c>
      <c r="E1079" s="19" t="n">
        <f aca="false">SUMIFS('SALES Raw'!$D$6:$D$4467,'SALES Raw'!$J$6:$J$4467,$J1079,'SALES Raw'!$K$6:$K$4467,"Y")+SUMIFS('CEMIUP0.9 Raw'!$E$6:$E$1712,'CEMIUP0.9 Raw'!$B$6:$B$1712,$J1079,'CEMIUP0.9 Raw'!$H$6:$H$1712,"Y")</f>
        <v>0</v>
      </c>
      <c r="F1079" s="19" t="n">
        <f aca="false">SUMIFS('SALES Raw'!$E$6:$E$4467,'SALES Raw'!$J$6:$J$4467,$J1079,'SALES Raw'!$K$6:$K$4467,"Y")*$H$4+SUMIFS('CEMIUP0.9 Raw'!$F$6:$F$1712,'CEMIUP0.9 Raw'!$B$6:$B$1712,$J1079,'CEMIUP0.9 Raw'!$H$6:$H$1712,"Y")</f>
        <v>-1.26315789473684</v>
      </c>
      <c r="G1079" s="19" t="n">
        <f aca="false">SUMIFS('SALES Raw'!$F$6:$F$4467,'SALES Raw'!$J$6:$J$4467,$J1079,'SALES Raw'!$K$6:$K$4467,"Y")*$H$4+SUMIFS('CEMIUP0.9 Raw'!$G$6:$G$1712,'CEMIUP0.9 Raw'!$B$6:$B$1712,$J1079,'CEMIUP0.9 Raw'!$H$6:$H$1712,"Y")</f>
        <v>-663.06947368421</v>
      </c>
      <c r="H1079" s="18" t="s">
        <v>44</v>
      </c>
      <c r="I1079" s="18"/>
      <c r="J1079" s="18" t="s">
        <v>532</v>
      </c>
    </row>
    <row r="1080" customFormat="false" ht="15" hidden="false" customHeight="false" outlineLevel="0" collapsed="false">
      <c r="A1080" s="18" t="n">
        <f aca="false">IF(ISNUMBER($J1080),$J1080,"")</f>
        <v>4413153</v>
      </c>
      <c r="B1080" s="18" t="n">
        <f aca="false">IFERROR(INDEX('SALES Raw'!$B$6:$B$4467,MATCH($J1080,'SALES Raw'!$J$6:$J$4467,0)),IFERROR(INDEX('CEMIUP0.9 Raw'!$B$6:$B$1712,MATCH($J1080,'CEMIUP0.9 Raw'!$B$6:$B$1712,0)),$J1080))</f>
        <v>4413153</v>
      </c>
      <c r="C1080" s="18" t="str">
        <f aca="false">IF(ISNUMBER($J1080),IFERROR(INDEX('TRANS'!$C:$C,MATCH($J1080,'TRANS'!$B:$B,0)),IFERROR(INDEX('Catalog'!$B:$B,MATCH($J1080,'Catalog'!$A:$A,0)),$B1080)),$B1080)</f>
        <v>305GA מדרס אורטופ.מתכוון35-36</v>
      </c>
      <c r="D1080" s="19" t="n">
        <f aca="false">SUMIFS('SALES Raw'!$C$6:$C$4467,'SALES Raw'!$J$6:$J$4467,$J1080,'SALES Raw'!$K$6:$K$4467,"Y")+SUMIFS('CEMIUP0.9 Raw'!$D$6:$D$1712,'CEMIUP0.9 Raw'!$B$6:$B$1712,$J1080,'CEMIUP0.9 Raw'!$H$6:$H$1712,"Y")</f>
        <v>6</v>
      </c>
      <c r="E1080" s="19" t="n">
        <f aca="false">SUMIFS('SALES Raw'!$D$6:$D$4467,'SALES Raw'!$J$6:$J$4467,$J1080,'SALES Raw'!$K$6:$K$4467,"Y")+SUMIFS('CEMIUP0.9 Raw'!$E$6:$E$1712,'CEMIUP0.9 Raw'!$B$6:$B$1712,$J1080,'CEMIUP0.9 Raw'!$H$6:$H$1712,"Y")</f>
        <v>381.017</v>
      </c>
      <c r="F1080" s="19" t="n">
        <f aca="false">SUMIFS('SALES Raw'!$E$6:$E$4467,'SALES Raw'!$J$6:$J$4467,$J1080,'SALES Raw'!$K$6:$K$4467,"Y")*$H$4+SUMIFS('CEMIUP0.9 Raw'!$F$6:$F$1712,'CEMIUP0.9 Raw'!$B$6:$B$1712,$J1080,'CEMIUP0.9 Raw'!$H$6:$H$1712,"Y")</f>
        <v>-2.52631578947368</v>
      </c>
      <c r="G1080" s="19" t="n">
        <f aca="false">SUMIFS('SALES Raw'!$F$6:$F$4467,'SALES Raw'!$J$6:$J$4467,$J1080,'SALES Raw'!$K$6:$K$4467,"Y")*$H$4+SUMIFS('CEMIUP0.9 Raw'!$G$6:$G$1712,'CEMIUP0.9 Raw'!$B$6:$B$1712,$J1080,'CEMIUP0.9 Raw'!$H$6:$H$1712,"Y")</f>
        <v>-211.848</v>
      </c>
      <c r="H1080" s="18" t="s">
        <v>43</v>
      </c>
      <c r="I1080" s="18"/>
      <c r="J1080" s="18" t="n">
        <v>4413153</v>
      </c>
    </row>
    <row r="1081" customFormat="false" ht="15" hidden="false" customHeight="false" outlineLevel="0" collapsed="false">
      <c r="A1081" s="18" t="n">
        <f aca="false">IF(ISNUMBER($J1081),$J1081,"")</f>
        <v>4413339</v>
      </c>
      <c r="B1081" s="18" t="n">
        <f aca="false">IFERROR(INDEX('SALES Raw'!$B$6:$B$4467,MATCH($J1081,'SALES Raw'!$J$6:$J$4467,0)),IFERROR(INDEX('CEMIUP0.9 Raw'!$B$6:$B$1712,MATCH($J1081,'CEMIUP0.9 Raw'!$B$6:$B$1712,0)),$J1081))</f>
        <v>4413339</v>
      </c>
      <c r="C1081" s="18" t="str">
        <f aca="false">IF(ISNUMBER($J1081),IFERROR(INDEX('TRANS'!$C:$C,MATCH($J1081,'TRANS'!$B:$B,0)),IFERROR(INDEX('Catalog'!$B:$B,MATCH($J1081,'Catalog'!$A:$A,0)),$B1081)),$B1081)</f>
        <v>922XXLמגן מרפק+כרית סילקון</v>
      </c>
      <c r="D1081" s="19" t="n">
        <f aca="false">SUMIFS('SALES Raw'!$C$6:$C$4467,'SALES Raw'!$J$6:$J$4467,$J1081,'SALES Raw'!$K$6:$K$4467,"Y")+SUMIFS('CEMIUP0.9 Raw'!$D$6:$D$1712,'CEMIUP0.9 Raw'!$B$6:$B$1712,$J1081,'CEMIUP0.9 Raw'!$H$6:$H$1712,"Y")</f>
        <v>0</v>
      </c>
      <c r="E1081" s="19" t="n">
        <f aca="false">SUMIFS('SALES Raw'!$D$6:$D$4467,'SALES Raw'!$J$6:$J$4467,$J1081,'SALES Raw'!$K$6:$K$4467,"Y")+SUMIFS('CEMIUP0.9 Raw'!$E$6:$E$1712,'CEMIUP0.9 Raw'!$B$6:$B$1712,$J1081,'CEMIUP0.9 Raw'!$H$6:$H$1712,"Y")</f>
        <v>0</v>
      </c>
      <c r="F1081" s="19" t="n">
        <f aca="false">SUMIFS('SALES Raw'!$E$6:$E$4467,'SALES Raw'!$J$6:$J$4467,$J1081,'SALES Raw'!$K$6:$K$4467,"Y")*$H$4+SUMIFS('CEMIUP0.9 Raw'!$F$6:$F$1712,'CEMIUP0.9 Raw'!$B$6:$B$1712,$J1081,'CEMIUP0.9 Raw'!$H$6:$H$1712,"Y")</f>
        <v>-2.52631578947368</v>
      </c>
      <c r="G1081" s="19" t="n">
        <f aca="false">SUMIFS('SALES Raw'!$F$6:$F$4467,'SALES Raw'!$J$6:$J$4467,$J1081,'SALES Raw'!$K$6:$K$4467,"Y")*$H$4+SUMIFS('CEMIUP0.9 Raw'!$G$6:$G$1712,'CEMIUP0.9 Raw'!$B$6:$B$1712,$J1081,'CEMIUP0.9 Raw'!$H$6:$H$1712,"Y")</f>
        <v>-325.875789473684</v>
      </c>
      <c r="H1081" s="18" t="s">
        <v>43</v>
      </c>
      <c r="I1081" s="18"/>
      <c r="J1081" s="18" t="n">
        <v>4413339</v>
      </c>
    </row>
    <row r="1082" customFormat="false" ht="15" hidden="false" customHeight="false" outlineLevel="0" collapsed="false">
      <c r="A1082" s="18" t="n">
        <f aca="false">IF(ISNUMBER($J1082),$J1082,"")</f>
        <v>4415091</v>
      </c>
      <c r="B1082" s="18" t="n">
        <f aca="false">IFERROR(INDEX('SALES Raw'!$B$6:$B$4467,MATCH($J1082,'SALES Raw'!$J$6:$J$4467,0)),IFERROR(INDEX('CEMIUP0.9 Raw'!$B$6:$B$1712,MATCH($J1082,'CEMIUP0.9 Raw'!$B$6:$B$1712,0)),$J1082))</f>
        <v>4415091</v>
      </c>
      <c r="C1082" s="18" t="str">
        <f aca="false">IF(ISNUMBER($J1082),IFERROR(INDEX('TRANS'!$C:$C,MATCH($J1082,'TRANS'!$B:$B,0)),IFERROR(INDEX('Catalog'!$B:$B,MATCH($J1082,'Catalog'!$A:$A,0)),$B1082)),$B1082)</f>
        <v>27L XLסד ליד שמאל</v>
      </c>
      <c r="D1082" s="19" t="n">
        <f aca="false">SUMIFS('SALES Raw'!$C$6:$C$4467,'SALES Raw'!$J$6:$J$4467,$J1082,'SALES Raw'!$K$6:$K$4467,"Y")+SUMIFS('CEMIUP0.9 Raw'!$D$6:$D$1712,'CEMIUP0.9 Raw'!$B$6:$B$1712,$J1082,'CEMIUP0.9 Raw'!$H$6:$H$1712,"Y")</f>
        <v>0</v>
      </c>
      <c r="E1082" s="19" t="n">
        <f aca="false">SUMIFS('SALES Raw'!$D$6:$D$4467,'SALES Raw'!$J$6:$J$4467,$J1082,'SALES Raw'!$K$6:$K$4467,"Y")+SUMIFS('CEMIUP0.9 Raw'!$E$6:$E$1712,'CEMIUP0.9 Raw'!$B$6:$B$1712,$J1082,'CEMIUP0.9 Raw'!$H$6:$H$1712,"Y")</f>
        <v>0</v>
      </c>
      <c r="F1082" s="19" t="n">
        <f aca="false">SUMIFS('SALES Raw'!$E$6:$E$4467,'SALES Raw'!$J$6:$J$4467,$J1082,'SALES Raw'!$K$6:$K$4467,"Y")*$H$4+SUMIFS('CEMIUP0.9 Raw'!$F$6:$F$1712,'CEMIUP0.9 Raw'!$B$6:$B$1712,$J1082,'CEMIUP0.9 Raw'!$H$6:$H$1712,"Y")</f>
        <v>-2.52631578947368</v>
      </c>
      <c r="G1082" s="19" t="n">
        <f aca="false">SUMIFS('SALES Raw'!$F$6:$F$4467,'SALES Raw'!$J$6:$J$4467,$J1082,'SALES Raw'!$K$6:$K$4467,"Y")*$H$4+SUMIFS('CEMIUP0.9 Raw'!$G$6:$G$1712,'CEMIUP0.9 Raw'!$B$6:$B$1712,$J1082,'CEMIUP0.9 Raw'!$H$6:$H$1712,"Y")</f>
        <v>-222.997894736842</v>
      </c>
      <c r="H1082" s="18" t="s">
        <v>43</v>
      </c>
      <c r="I1082" s="18"/>
      <c r="J1082" s="18" t="n">
        <v>4415091</v>
      </c>
    </row>
    <row r="1083" customFormat="false" ht="15" hidden="false" customHeight="false" outlineLevel="0" collapsed="false">
      <c r="A1083" s="18" t="str">
        <f aca="false">IF(ISNUMBER($J1083),$J1083,"")</f>
        <v/>
      </c>
      <c r="B1083" s="18" t="str">
        <f aca="false">IFERROR(INDEX('SALES Raw'!$B$6:$B$4467,MATCH($J1083,'SALES Raw'!$J$6:$J$4467,0)),IFERROR(INDEX('CEMIUP0.9 Raw'!$B$6:$B$1712,MATCH($J1083,'CEMIUP0.9 Raw'!$B$6:$B$1712,0)),$J1083))</f>
        <v>T402 S</v>
      </c>
      <c r="C1083" s="18" t="str">
        <f aca="false">IF(ISNUMBER($J1083),IFERROR(INDEX('TRANS'!$C:$C,MATCH($J1083,'TRANS'!$B:$B,0)),IFERROR(INDEX('Catalog'!$B:$B,MATCH($J1083,'Catalog'!$A:$A,0)),$B1083)),$B1083)</f>
        <v>T402 S</v>
      </c>
      <c r="D1083" s="19" t="n">
        <f aca="false">SUMIFS('SALES Raw'!$C$6:$C$4467,'SALES Raw'!$J$6:$J$4467,$J1083,'SALES Raw'!$K$6:$K$4467,"Y")+SUMIFS('CEMIUP0.9 Raw'!$D$6:$D$1712,'CEMIUP0.9 Raw'!$B$6:$B$1712,$J1083,'CEMIUP0.9 Raw'!$H$6:$H$1712,"Y")</f>
        <v>4</v>
      </c>
      <c r="E1083" s="19" t="n">
        <f aca="false">SUMIFS('SALES Raw'!$D$6:$D$4467,'SALES Raw'!$J$6:$J$4467,$J1083,'SALES Raw'!$K$6:$K$4467,"Y")+SUMIFS('CEMIUP0.9 Raw'!$E$6:$E$1712,'CEMIUP0.9 Raw'!$B$6:$B$1712,$J1083,'CEMIUP0.9 Raw'!$H$6:$H$1712,"Y")</f>
        <v>431.05</v>
      </c>
      <c r="F1083" s="19" t="n">
        <f aca="false">SUMIFS('SALES Raw'!$E$6:$E$4467,'SALES Raw'!$J$6:$J$4467,$J1083,'SALES Raw'!$K$6:$K$4467,"Y")*$H$4+SUMIFS('CEMIUP0.9 Raw'!$F$6:$F$1712,'CEMIUP0.9 Raw'!$B$6:$B$1712,$J1083,'CEMIUP0.9 Raw'!$H$6:$H$1712,"Y")</f>
        <v>-2.52631578947368</v>
      </c>
      <c r="G1083" s="19" t="n">
        <f aca="false">SUMIFS('SALES Raw'!$F$6:$F$4467,'SALES Raw'!$J$6:$J$4467,$J1083,'SALES Raw'!$K$6:$K$4467,"Y")*$H$4+SUMIFS('CEMIUP0.9 Raw'!$G$6:$G$1712,'CEMIUP0.9 Raw'!$B$6:$B$1712,$J1083,'CEMIUP0.9 Raw'!$H$6:$H$1712,"Y")</f>
        <v>-239.077894736842</v>
      </c>
      <c r="H1083" s="18" t="s">
        <v>46</v>
      </c>
      <c r="I1083" s="18" t="s">
        <v>42</v>
      </c>
      <c r="J1083" s="18" t="s">
        <v>533</v>
      </c>
    </row>
    <row r="1084" customFormat="false" ht="15" hidden="false" customHeight="false" outlineLevel="0" collapsed="false">
      <c r="A1084" s="18" t="str">
        <f aca="false">IF(ISNUMBER($J1084),$J1084,"")</f>
        <v/>
      </c>
      <c r="B1084" s="18" t="str">
        <f aca="false">IFERROR(INDEX('SALES Raw'!$B$6:$B$4467,MATCH($J1084,'SALES Raw'!$J$6:$J$4467,0)),IFERROR(INDEX('CEMIUP0.9 Raw'!$B$6:$B$1712,MATCH($J1084,'CEMIUP0.9 Raw'!$B$6:$B$1712,0)),$J1084))</f>
        <v>07AF L</v>
      </c>
      <c r="C1084" s="18" t="str">
        <f aca="false">IF(ISNUMBER($J1084),IFERROR(INDEX('TRANS'!$C:$C,MATCH($J1084,'TRANS'!$B:$B,0)),IFERROR(INDEX('Catalog'!$B:$B,MATCH($J1084,'Catalog'!$A:$A,0)),$B1084)),$B1084)</f>
        <v>07AF L</v>
      </c>
      <c r="D1084" s="19" t="n">
        <f aca="false">SUMIFS('SALES Raw'!$C$6:$C$4467,'SALES Raw'!$J$6:$J$4467,$J1084,'SALES Raw'!$K$6:$K$4467,"Y")+SUMIFS('CEMIUP0.9 Raw'!$D$6:$D$1712,'CEMIUP0.9 Raw'!$B$6:$B$1712,$J1084,'CEMIUP0.9 Raw'!$H$6:$H$1712,"Y")</f>
        <v>0</v>
      </c>
      <c r="E1084" s="19" t="n">
        <f aca="false">SUMIFS('SALES Raw'!$D$6:$D$4467,'SALES Raw'!$J$6:$J$4467,$J1084,'SALES Raw'!$K$6:$K$4467,"Y")+SUMIFS('CEMIUP0.9 Raw'!$E$6:$E$1712,'CEMIUP0.9 Raw'!$B$6:$B$1712,$J1084,'CEMIUP0.9 Raw'!$H$6:$H$1712,"Y")</f>
        <v>0</v>
      </c>
      <c r="F1084" s="19" t="n">
        <f aca="false">SUMIFS('SALES Raw'!$E$6:$E$4467,'SALES Raw'!$J$6:$J$4467,$J1084,'SALES Raw'!$K$6:$K$4467,"Y")*$H$4+SUMIFS('CEMIUP0.9 Raw'!$F$6:$F$1712,'CEMIUP0.9 Raw'!$B$6:$B$1712,$J1084,'CEMIUP0.9 Raw'!$H$6:$H$1712,"Y")</f>
        <v>-2.52631578947368</v>
      </c>
      <c r="G1084" s="19" t="n">
        <f aca="false">SUMIFS('SALES Raw'!$F$6:$F$4467,'SALES Raw'!$J$6:$J$4467,$J1084,'SALES Raw'!$K$6:$K$4467,"Y")*$H$4+SUMIFS('CEMIUP0.9 Raw'!$G$6:$G$1712,'CEMIUP0.9 Raw'!$B$6:$B$1712,$J1084,'CEMIUP0.9 Raw'!$H$6:$H$1712,"Y")</f>
        <v>-991.124210526316</v>
      </c>
      <c r="H1084" s="18" t="s">
        <v>46</v>
      </c>
      <c r="I1084" s="18"/>
      <c r="J1084" s="18" t="s">
        <v>534</v>
      </c>
    </row>
    <row r="1085" customFormat="false" ht="15" hidden="false" customHeight="false" outlineLevel="0" collapsed="false">
      <c r="A1085" s="18" t="str">
        <f aca="false">IF(ISNUMBER($J1085),$J1085,"")</f>
        <v/>
      </c>
      <c r="B1085" s="18" t="str">
        <f aca="false">IFERROR(INDEX('SALES Raw'!$B$6:$B$4467,MATCH($J1085,'SALES Raw'!$J$6:$J$4467,0)),IFERROR(INDEX('CEMIUP0.9 Raw'!$B$6:$B$1712,MATCH($J1085,'CEMIUP0.9 Raw'!$B$6:$B$1712,0)),$J1085))</f>
        <v>777-S-M</v>
      </c>
      <c r="C1085" s="18" t="str">
        <f aca="false">IF(ISNUMBER($J1085),IFERROR(INDEX('TRANS'!$C:$C,MATCH($J1085,'TRANS'!$B:$B,0)),IFERROR(INDEX('Catalog'!$B:$B,MATCH($J1085,'Catalog'!$A:$A,0)),$B1085)),$B1085)</f>
        <v>777-S-M</v>
      </c>
      <c r="D1085" s="19" t="n">
        <f aca="false">SUMIFS('SALES Raw'!$C$6:$C$4467,'SALES Raw'!$J$6:$J$4467,$J1085,'SALES Raw'!$K$6:$K$4467,"Y")+SUMIFS('CEMIUP0.9 Raw'!$D$6:$D$1712,'CEMIUP0.9 Raw'!$B$6:$B$1712,$J1085,'CEMIUP0.9 Raw'!$H$6:$H$1712,"Y")</f>
        <v>0</v>
      </c>
      <c r="E1085" s="19" t="n">
        <f aca="false">SUMIFS('SALES Raw'!$D$6:$D$4467,'SALES Raw'!$J$6:$J$4467,$J1085,'SALES Raw'!$K$6:$K$4467,"Y")+SUMIFS('CEMIUP0.9 Raw'!$E$6:$E$1712,'CEMIUP0.9 Raw'!$B$6:$B$1712,$J1085,'CEMIUP0.9 Raw'!$H$6:$H$1712,"Y")</f>
        <v>0</v>
      </c>
      <c r="F1085" s="19" t="n">
        <f aca="false">SUMIFS('SALES Raw'!$E$6:$E$4467,'SALES Raw'!$J$6:$J$4467,$J1085,'SALES Raw'!$K$6:$K$4467,"Y")*$H$4+SUMIFS('CEMIUP0.9 Raw'!$F$6:$F$1712,'CEMIUP0.9 Raw'!$B$6:$B$1712,$J1085,'CEMIUP0.9 Raw'!$H$6:$H$1712,"Y")</f>
        <v>-2.52631578947368</v>
      </c>
      <c r="G1085" s="19" t="n">
        <f aca="false">SUMIFS('SALES Raw'!$F$6:$F$4467,'SALES Raw'!$J$6:$J$4467,$J1085,'SALES Raw'!$K$6:$K$4467,"Y")*$H$4+SUMIFS('CEMIUP0.9 Raw'!$G$6:$G$1712,'CEMIUP0.9 Raw'!$B$6:$B$1712,$J1085,'CEMIUP0.9 Raw'!$H$6:$H$1712,"Y")</f>
        <v>-1135.47789473684</v>
      </c>
      <c r="H1085" s="18" t="s">
        <v>46</v>
      </c>
      <c r="I1085" s="18"/>
      <c r="J1085" s="18" t="s">
        <v>535</v>
      </c>
    </row>
    <row r="1086" customFormat="false" ht="15" hidden="false" customHeight="false" outlineLevel="0" collapsed="false">
      <c r="A1086" s="18" t="str">
        <f aca="false">IF(ISNUMBER($J1086),$J1086,"")</f>
        <v/>
      </c>
      <c r="B1086" s="18" t="str">
        <f aca="false">IFERROR(INDEX('SALES Raw'!$B$6:$B$4467,MATCH($J1086,'SALES Raw'!$J$6:$J$4467,0)),IFERROR(INDEX('CEMIUP0.9 Raw'!$B$6:$B$1712,MATCH($J1086,'CEMIUP0.9 Raw'!$B$6:$B$1712,0)),$J1086))</f>
        <v>FC341 0</v>
      </c>
      <c r="C1086" s="18" t="str">
        <f aca="false">IF(ISNUMBER($J1086),IFERROR(INDEX('TRANS'!$C:$C,MATCH($J1086,'TRANS'!$B:$B,0)),IFERROR(INDEX('Catalog'!$B:$B,MATCH($J1086,'Catalog'!$A:$A,0)),$B1086)),$B1086)</f>
        <v>FC341 0</v>
      </c>
      <c r="D1086" s="19" t="n">
        <f aca="false">SUMIFS('SALES Raw'!$C$6:$C$4467,'SALES Raw'!$J$6:$J$4467,$J1086,'SALES Raw'!$K$6:$K$4467,"Y")+SUMIFS('CEMIUP0.9 Raw'!$D$6:$D$1712,'CEMIUP0.9 Raw'!$B$6:$B$1712,$J1086,'CEMIUP0.9 Raw'!$H$6:$H$1712,"Y")</f>
        <v>-3</v>
      </c>
      <c r="E1086" s="19" t="n">
        <f aca="false">SUMIFS('SALES Raw'!$D$6:$D$4467,'SALES Raw'!$J$6:$J$4467,$J1086,'SALES Raw'!$K$6:$K$4467,"Y")+SUMIFS('CEMIUP0.9 Raw'!$E$6:$E$1712,'CEMIUP0.9 Raw'!$B$6:$B$1712,$J1086,'CEMIUP0.9 Raw'!$H$6:$H$1712,"Y")</f>
        <v>-106.72</v>
      </c>
      <c r="F1086" s="19" t="n">
        <f aca="false">SUMIFS('SALES Raw'!$E$6:$E$4467,'SALES Raw'!$J$6:$J$4467,$J1086,'SALES Raw'!$K$6:$K$4467,"Y")*$H$4+SUMIFS('CEMIUP0.9 Raw'!$F$6:$F$1712,'CEMIUP0.9 Raw'!$B$6:$B$1712,$J1086,'CEMIUP0.9 Raw'!$H$6:$H$1712,"Y")</f>
        <v>-3.78947368421053</v>
      </c>
      <c r="G1086" s="19" t="n">
        <f aca="false">SUMIFS('SALES Raw'!$F$6:$F$4467,'SALES Raw'!$J$6:$J$4467,$J1086,'SALES Raw'!$K$6:$K$4467,"Y")*$H$4+SUMIFS('CEMIUP0.9 Raw'!$G$6:$G$1712,'CEMIUP0.9 Raw'!$B$6:$B$1712,$J1086,'CEMIUP0.9 Raw'!$H$6:$H$1712,"Y")</f>
        <v>-134.804210526316</v>
      </c>
      <c r="H1086" s="18" t="s">
        <v>44</v>
      </c>
      <c r="I1086" s="18" t="s">
        <v>46</v>
      </c>
      <c r="J1086" s="18" t="s">
        <v>536</v>
      </c>
    </row>
    <row r="1087" customFormat="false" ht="15" hidden="false" customHeight="false" outlineLevel="0" collapsed="false">
      <c r="A1087" s="18" t="str">
        <f aca="false">IF(ISNUMBER($J1087),$J1087,"")</f>
        <v/>
      </c>
      <c r="B1087" s="18" t="str">
        <f aca="false">IFERROR(INDEX('SALES Raw'!$B$6:$B$4467,MATCH($J1087,'SALES Raw'!$J$6:$J$4467,0)),IFERROR(INDEX('CEMIUP0.9 Raw'!$B$6:$B$1712,MATCH($J1087,'CEMIUP0.9 Raw'!$B$6:$B$1712,0)),$J1087))</f>
        <v>60B XS</v>
      </c>
      <c r="C1087" s="18" t="str">
        <f aca="false">IF(ISNUMBER($J1087),IFERROR(INDEX('TRANS'!$C:$C,MATCH($J1087,'TRANS'!$B:$B,0)),IFERROR(INDEX('Catalog'!$B:$B,MATCH($J1087,'Catalog'!$A:$A,0)),$B1087)),$B1087)</f>
        <v>60B XS</v>
      </c>
      <c r="D1087" s="19" t="n">
        <f aca="false">SUMIFS('SALES Raw'!$C$6:$C$4467,'SALES Raw'!$J$6:$J$4467,$J1087,'SALES Raw'!$K$6:$K$4467,"Y")+SUMIFS('CEMIUP0.9 Raw'!$D$6:$D$1712,'CEMIUP0.9 Raw'!$B$6:$B$1712,$J1087,'CEMIUP0.9 Raw'!$H$6:$H$1712,"Y")</f>
        <v>20</v>
      </c>
      <c r="E1087" s="19" t="n">
        <f aca="false">SUMIFS('SALES Raw'!$D$6:$D$4467,'SALES Raw'!$J$6:$J$4467,$J1087,'SALES Raw'!$K$6:$K$4467,"Y")+SUMIFS('CEMIUP0.9 Raw'!$E$6:$E$1712,'CEMIUP0.9 Raw'!$B$6:$B$1712,$J1087,'CEMIUP0.9 Raw'!$H$6:$H$1712,"Y")</f>
        <v>1113.05</v>
      </c>
      <c r="F1087" s="19" t="n">
        <f aca="false">SUMIFS('SALES Raw'!$E$6:$E$4467,'SALES Raw'!$J$6:$J$4467,$J1087,'SALES Raw'!$K$6:$K$4467,"Y")*$H$4+SUMIFS('CEMIUP0.9 Raw'!$F$6:$F$1712,'CEMIUP0.9 Raw'!$B$6:$B$1712,$J1087,'CEMIUP0.9 Raw'!$H$6:$H$1712,"Y")</f>
        <v>-3.78947368421053</v>
      </c>
      <c r="G1087" s="19" t="n">
        <f aca="false">SUMIFS('SALES Raw'!$F$6:$F$4467,'SALES Raw'!$J$6:$J$4467,$J1087,'SALES Raw'!$K$6:$K$4467,"Y")*$H$4+SUMIFS('CEMIUP0.9 Raw'!$G$6:$G$1712,'CEMIUP0.9 Raw'!$B$6:$B$1712,$J1087,'CEMIUP0.9 Raw'!$H$6:$H$1712,"Y")</f>
        <v>-221.014736842105</v>
      </c>
      <c r="H1087" s="18" t="s">
        <v>42</v>
      </c>
      <c r="I1087" s="18" t="s">
        <v>53</v>
      </c>
      <c r="J1087" s="18" t="s">
        <v>537</v>
      </c>
    </row>
    <row r="1088" customFormat="false" ht="15" hidden="false" customHeight="false" outlineLevel="0" collapsed="false">
      <c r="A1088" s="18" t="n">
        <f aca="false">IF(ISNUMBER($J1088),$J1088,"")</f>
        <v>4403030</v>
      </c>
      <c r="B1088" s="18" t="n">
        <f aca="false">IFERROR(INDEX('SALES Raw'!$B$6:$B$4467,MATCH($J1088,'SALES Raw'!$J$6:$J$4467,0)),IFERROR(INDEX('CEMIUP0.9 Raw'!$B$6:$B$1712,MATCH($J1088,'CEMIUP0.9 Raw'!$B$6:$B$1712,0)),$J1088))</f>
        <v>4403030</v>
      </c>
      <c r="C1088" s="18" t="str">
        <f aca="false">IF(ISNUMBER($J1088),IFERROR(INDEX('TRANS'!$C:$C,MATCH($J1088,'TRANS'!$B:$B,0)),IFERROR(INDEX('Catalog'!$B:$B,MATCH($J1088,'Catalog'!$A:$A,0)),$B1088)),$B1088)</f>
        <v>397 43-46 גרבי טיסה מידה</v>
      </c>
      <c r="D1088" s="19" t="n">
        <f aca="false">SUMIFS('SALES Raw'!$C$6:$C$4467,'SALES Raw'!$J$6:$J$4467,$J1088,'SALES Raw'!$K$6:$K$4467,"Y")+SUMIFS('CEMIUP0.9 Raw'!$D$6:$D$1712,'CEMIUP0.9 Raw'!$B$6:$B$1712,$J1088,'CEMIUP0.9 Raw'!$H$6:$H$1712,"Y")</f>
        <v>211</v>
      </c>
      <c r="E1088" s="19" t="n">
        <f aca="false">SUMIFS('SALES Raw'!$D$6:$D$4467,'SALES Raw'!$J$6:$J$4467,$J1088,'SALES Raw'!$K$6:$K$4467,"Y")+SUMIFS('CEMIUP0.9 Raw'!$E$6:$E$1712,'CEMIUP0.9 Raw'!$B$6:$B$1712,$J1088,'CEMIUP0.9 Raw'!$H$6:$H$1712,"Y")</f>
        <v>11367.629</v>
      </c>
      <c r="F1088" s="19" t="n">
        <f aca="false">SUMIFS('SALES Raw'!$E$6:$E$4467,'SALES Raw'!$J$6:$J$4467,$J1088,'SALES Raw'!$K$6:$K$4467,"Y")*$H$4+SUMIFS('CEMIUP0.9 Raw'!$F$6:$F$1712,'CEMIUP0.9 Raw'!$B$6:$B$1712,$J1088,'CEMIUP0.9 Raw'!$H$6:$H$1712,"Y")</f>
        <v>-3.78947368421053</v>
      </c>
      <c r="G1088" s="19" t="n">
        <f aca="false">SUMIFS('SALES Raw'!$F$6:$F$4467,'SALES Raw'!$J$6:$J$4467,$J1088,'SALES Raw'!$K$6:$K$4467,"Y")*$H$4+SUMIFS('CEMIUP0.9 Raw'!$G$6:$G$1712,'CEMIUP0.9 Raw'!$B$6:$B$1712,$J1088,'CEMIUP0.9 Raw'!$H$6:$H$1712,"Y")</f>
        <v>-188.973473684211</v>
      </c>
      <c r="H1088" s="18" t="s">
        <v>43</v>
      </c>
      <c r="I1088" s="18"/>
      <c r="J1088" s="18" t="n">
        <v>4403030</v>
      </c>
    </row>
    <row r="1089" customFormat="false" ht="15" hidden="false" customHeight="false" outlineLevel="0" collapsed="false">
      <c r="A1089" s="18" t="n">
        <f aca="false">IF(ISNUMBER($J1089),$J1089,"")</f>
        <v>4409002</v>
      </c>
      <c r="B1089" s="18" t="n">
        <f aca="false">IFERROR(INDEX('SALES Raw'!$B$6:$B$4467,MATCH($J1089,'SALES Raw'!$J$6:$J$4467,0)),IFERROR(INDEX('CEMIUP0.9 Raw'!$B$6:$B$1712,MATCH($J1089,'CEMIUP0.9 Raw'!$B$6:$B$1712,0)),$J1089))</f>
        <v>4409002</v>
      </c>
      <c r="C1089" s="18" t="str">
        <f aca="false">IF(ISNUMBER($J1089),IFERROR(INDEX('TRANS'!$C:$C,MATCH($J1089,'TRANS'!$B:$B,0)),IFERROR(INDEX('Catalog'!$B:$B,MATCH($J1089,'Catalog'!$A:$A,0)),$B1089)),$B1089)</f>
        <v>FC341-טיפות נגד פטרת הציפורן</v>
      </c>
      <c r="D1089" s="19" t="n">
        <f aca="false">SUMIFS('SALES Raw'!$C$6:$C$4467,'SALES Raw'!$J$6:$J$4467,$J1089,'SALES Raw'!$K$6:$K$4467,"Y")+SUMIFS('CEMIUP0.9 Raw'!$D$6:$D$1712,'CEMIUP0.9 Raw'!$B$6:$B$1712,$J1089,'CEMIUP0.9 Raw'!$H$6:$H$1712,"Y")</f>
        <v>-21</v>
      </c>
      <c r="E1089" s="19" t="n">
        <f aca="false">SUMIFS('SALES Raw'!$D$6:$D$4467,'SALES Raw'!$J$6:$J$4467,$J1089,'SALES Raw'!$K$6:$K$4467,"Y")+SUMIFS('CEMIUP0.9 Raw'!$E$6:$E$1712,'CEMIUP0.9 Raw'!$B$6:$B$1712,$J1089,'CEMIUP0.9 Raw'!$H$6:$H$1712,"Y")</f>
        <v>-737.828</v>
      </c>
      <c r="F1089" s="19" t="n">
        <f aca="false">SUMIFS('SALES Raw'!$E$6:$E$4467,'SALES Raw'!$J$6:$J$4467,$J1089,'SALES Raw'!$K$6:$K$4467,"Y")*$H$4+SUMIFS('CEMIUP0.9 Raw'!$F$6:$F$1712,'CEMIUP0.9 Raw'!$B$6:$B$1712,$J1089,'CEMIUP0.9 Raw'!$H$6:$H$1712,"Y")</f>
        <v>-5.05263157894737</v>
      </c>
      <c r="G1089" s="19" t="n">
        <f aca="false">SUMIFS('SALES Raw'!$F$6:$F$4467,'SALES Raw'!$J$6:$J$4467,$J1089,'SALES Raw'!$K$6:$K$4467,"Y")*$H$4+SUMIFS('CEMIUP0.9 Raw'!$G$6:$G$1712,'CEMIUP0.9 Raw'!$B$6:$B$1712,$J1089,'CEMIUP0.9 Raw'!$H$6:$H$1712,"Y")</f>
        <v>-130.235368421053</v>
      </c>
      <c r="H1089" s="18" t="s">
        <v>43</v>
      </c>
      <c r="I1089" s="18"/>
      <c r="J1089" s="18" t="n">
        <v>4409002</v>
      </c>
    </row>
    <row r="1090" customFormat="false" ht="15" hidden="false" customHeight="false" outlineLevel="0" collapsed="false">
      <c r="A1090" s="18" t="n">
        <f aca="false">IF(ISNUMBER($J1090),$J1090,"")</f>
        <v>4419010</v>
      </c>
      <c r="B1090" s="18" t="n">
        <f aca="false">IFERROR(INDEX('SALES Raw'!$B$6:$B$4467,MATCH($J1090,'SALES Raw'!$J$6:$J$4467,0)),IFERROR(INDEX('CEMIUP0.9 Raw'!$B$6:$B$1712,MATCH($J1090,'CEMIUP0.9 Raw'!$B$6:$B$1712,0)),$J1090))</f>
        <v>4419010</v>
      </c>
      <c r="C1090" s="18" t="str">
        <f aca="false">IF(ISNUMBER($J1090),IFERROR(INDEX('TRANS'!$C:$C,MATCH($J1090,'TRANS'!$B:$B,0)),IFERROR(INDEX('Catalog'!$B:$B,MATCH($J1090,'Catalog'!$A:$A,0)),$B1090)),$B1090)</f>
        <v>FC316   קרם רגליים שיקומי</v>
      </c>
      <c r="D1090" s="19" t="n">
        <f aca="false">SUMIFS('SALES Raw'!$C$6:$C$4467,'SALES Raw'!$J$6:$J$4467,$J1090,'SALES Raw'!$K$6:$K$4467,"Y")+SUMIFS('CEMIUP0.9 Raw'!$D$6:$D$1712,'CEMIUP0.9 Raw'!$B$6:$B$1712,$J1090,'CEMIUP0.9 Raw'!$H$6:$H$1712,"Y")</f>
        <v>-17</v>
      </c>
      <c r="E1090" s="19" t="n">
        <f aca="false">SUMIFS('SALES Raw'!$D$6:$D$4467,'SALES Raw'!$J$6:$J$4467,$J1090,'SALES Raw'!$K$6:$K$4467,"Y")+SUMIFS('CEMIUP0.9 Raw'!$E$6:$E$1712,'CEMIUP0.9 Raw'!$B$6:$B$1712,$J1090,'CEMIUP0.9 Raw'!$H$6:$H$1712,"Y")</f>
        <v>-699.062</v>
      </c>
      <c r="F1090" s="19" t="n">
        <f aca="false">SUMIFS('SALES Raw'!$E$6:$E$4467,'SALES Raw'!$J$6:$J$4467,$J1090,'SALES Raw'!$K$6:$K$4467,"Y")*$H$4+SUMIFS('CEMIUP0.9 Raw'!$F$6:$F$1712,'CEMIUP0.9 Raw'!$B$6:$B$1712,$J1090,'CEMIUP0.9 Raw'!$H$6:$H$1712,"Y")</f>
        <v>-5.05263157894737</v>
      </c>
      <c r="G1090" s="19" t="n">
        <f aca="false">SUMIFS('SALES Raw'!$F$6:$F$4467,'SALES Raw'!$J$6:$J$4467,$J1090,'SALES Raw'!$K$6:$K$4467,"Y")*$H$4+SUMIFS('CEMIUP0.9 Raw'!$G$6:$G$1712,'CEMIUP0.9 Raw'!$B$6:$B$1712,$J1090,'CEMIUP0.9 Raw'!$H$6:$H$1712,"Y")</f>
        <v>-152.305263157895</v>
      </c>
      <c r="H1090" s="18" t="s">
        <v>43</v>
      </c>
      <c r="I1090" s="18"/>
      <c r="J1090" s="18" t="n">
        <v>4419010</v>
      </c>
    </row>
    <row r="1091" customFormat="false" ht="15" hidden="false" customHeight="false" outlineLevel="0" collapsed="false">
      <c r="A1091" s="18" t="str">
        <f aca="false">IF(ISNUMBER($J1091),$J1091,"")</f>
        <v/>
      </c>
      <c r="B1091" s="18" t="str">
        <f aca="false">IFERROR(INDEX('SALES Raw'!$B$6:$B$4467,MATCH($J1091,'SALES Raw'!$J$6:$J$4467,0)),IFERROR(INDEX('CEMIUP0.9 Raw'!$B$6:$B$1712,MATCH($J1091,'CEMIUP0.9 Raw'!$B$6:$B$1712,0)),$J1091))</f>
        <v>239P-S-M</v>
      </c>
      <c r="C1091" s="18" t="str">
        <f aca="false">IF(ISNUMBER($J1091),IFERROR(INDEX('TRANS'!$C:$C,MATCH($J1091,'TRANS'!$B:$B,0)),IFERROR(INDEX('Catalog'!$B:$B,MATCH($J1091,'Catalog'!$A:$A,0)),$B1091)),$B1091)</f>
        <v>239P-S-M</v>
      </c>
      <c r="D1091" s="19" t="n">
        <f aca="false">SUMIFS('SALES Raw'!$C$6:$C$4467,'SALES Raw'!$J$6:$J$4467,$J1091,'SALES Raw'!$K$6:$K$4467,"Y")+SUMIFS('CEMIUP0.9 Raw'!$D$6:$D$1712,'CEMIUP0.9 Raw'!$B$6:$B$1712,$J1091,'CEMIUP0.9 Raw'!$H$6:$H$1712,"Y")</f>
        <v>72</v>
      </c>
      <c r="E1091" s="19" t="n">
        <f aca="false">SUMIFS('SALES Raw'!$D$6:$D$4467,'SALES Raw'!$J$6:$J$4467,$J1091,'SALES Raw'!$K$6:$K$4467,"Y")+SUMIFS('CEMIUP0.9 Raw'!$E$6:$E$1712,'CEMIUP0.9 Raw'!$B$6:$B$1712,$J1091,'CEMIUP0.9 Raw'!$H$6:$H$1712,"Y")</f>
        <v>1032.31</v>
      </c>
      <c r="F1091" s="19" t="n">
        <f aca="false">SUMIFS('SALES Raw'!$E$6:$E$4467,'SALES Raw'!$J$6:$J$4467,$J1091,'SALES Raw'!$K$6:$K$4467,"Y")*$H$4+SUMIFS('CEMIUP0.9 Raw'!$F$6:$F$1712,'CEMIUP0.9 Raw'!$B$6:$B$1712,$J1091,'CEMIUP0.9 Raw'!$H$6:$H$1712,"Y")</f>
        <v>-11.3684210526316</v>
      </c>
      <c r="G1091" s="19" t="n">
        <f aca="false">SUMIFS('SALES Raw'!$F$6:$F$4467,'SALES Raw'!$J$6:$J$4467,$J1091,'SALES Raw'!$K$6:$K$4467,"Y")*$H$4+SUMIFS('CEMIUP0.9 Raw'!$G$6:$G$1712,'CEMIUP0.9 Raw'!$B$6:$B$1712,$J1091,'CEMIUP0.9 Raw'!$H$6:$H$1712,"Y")</f>
        <v>-69.5747368421053</v>
      </c>
      <c r="H1091" s="18" t="s">
        <v>42</v>
      </c>
      <c r="I1091" s="18" t="s">
        <v>46</v>
      </c>
      <c r="J1091" s="18" t="s">
        <v>538</v>
      </c>
    </row>
  </sheetData>
  <mergeCells count="2">
    <mergeCell ref="A3:J3"/>
    <mergeCell ref="A4:F4"/>
  </mergeCells>
  <conditionalFormatting sqref="A7:J1091">
    <cfRule type="expression" priority="2" aboveAverage="0" equalAverage="0" bottom="0" percent="0" rank="0" text="" dxfId="0">
      <formula>AND(OR($D7&lt;&gt;0,$E7&lt;&gt;0),$F7=0,$G7=0)</formula>
    </cfRule>
    <cfRule type="expression" priority="3" aboveAverage="0" equalAverage="0" bottom="0" percent="0" rank="0" text="" dxfId="1">
      <formula>AND($D7=0,$E7=0,OR($F7&lt;&gt;0,$G7&lt;&gt;0))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2"/>
  </cols>
  <sheetData>
    <row r="1" customFormat="false" ht="15.75" hidden="false" customHeight="true" outlineLevel="0" collapsed="false">
      <c r="A1" s="13" t="s">
        <v>8</v>
      </c>
    </row>
    <row r="2" customFormat="false" ht="15" hidden="false" customHeight="true" outlineLevel="0" collapsed="false">
      <c r="A2" s="3" t="s">
        <v>1</v>
      </c>
      <c r="B2" s="4" t="n">
        <v>46290</v>
      </c>
    </row>
    <row r="3" customFormat="false" ht="32.25" hidden="false" customHeight="true" outlineLevel="0" collapsed="false">
      <c r="A3" s="5" t="s">
        <v>539</v>
      </c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14" t="s">
        <v>540</v>
      </c>
      <c r="B4" s="14"/>
      <c r="C4" s="14"/>
      <c r="D4" s="14"/>
      <c r="E4" s="14"/>
      <c r="F4" s="14"/>
      <c r="G4" s="15" t="s">
        <v>31</v>
      </c>
      <c r="H4" s="16" t="n">
        <f aca="false">12/9.5</f>
        <v>1.26315789473684</v>
      </c>
    </row>
    <row r="6" customFormat="false" ht="15" hidden="false" customHeight="true" outlineLevel="0" collapsed="false">
      <c r="A6" s="17" t="s">
        <v>32</v>
      </c>
      <c r="B6" s="17" t="s">
        <v>33</v>
      </c>
      <c r="C6" s="17" t="s">
        <v>34</v>
      </c>
      <c r="D6" s="17" t="s">
        <v>35</v>
      </c>
      <c r="E6" s="17" t="s">
        <v>36</v>
      </c>
      <c r="F6" s="17" t="s">
        <v>37</v>
      </c>
      <c r="G6" s="17" t="s">
        <v>38</v>
      </c>
      <c r="H6" s="17" t="s">
        <v>541</v>
      </c>
    </row>
    <row r="7" customFormat="false" ht="15" hidden="false" customHeight="true" outlineLevel="0" collapsed="false">
      <c r="A7" s="18" t="str">
        <f aca="false">'SALES Raw'!G1997</f>
        <v/>
      </c>
      <c r="B7" s="18" t="str">
        <f aca="false">'SALES Raw'!B1997</f>
        <v>LU302M 0</v>
      </c>
      <c r="C7" s="18" t="str">
        <f aca="false">'SALES Raw'!H1997</f>
        <v>LU302M 0</v>
      </c>
      <c r="D7" s="19" t="n">
        <f aca="false">'SALES Raw'!C1997</f>
        <v>6300</v>
      </c>
      <c r="E7" s="19" t="n">
        <f aca="false">'SALES Raw'!D1997</f>
        <v>297486</v>
      </c>
      <c r="F7" s="19" t="n">
        <f aca="false">'SALES Raw'!E1997*$H$4</f>
        <v>8033.68421052632</v>
      </c>
      <c r="G7" s="19" t="n">
        <f aca="false">'SALES Raw'!F1997*$H$4</f>
        <v>379350.568421053</v>
      </c>
      <c r="H7" s="18" t="str">
        <f aca="false">'SALES Raw'!A1997</f>
        <v>111 - Superpharm Life</v>
      </c>
    </row>
    <row r="8" customFormat="false" ht="15" hidden="false" customHeight="true" outlineLevel="0" collapsed="false">
      <c r="A8" s="18" t="str">
        <f aca="false">'SALES Raw'!G2009</f>
        <v/>
      </c>
      <c r="B8" s="18" t="str">
        <f aca="false">'SALES Raw'!B2009</f>
        <v>LU370 0</v>
      </c>
      <c r="C8" s="18" t="str">
        <f aca="false">'SALES Raw'!H2009</f>
        <v>LU370 0</v>
      </c>
      <c r="D8" s="19" t="n">
        <f aca="false">'SALES Raw'!C2009</f>
        <v>14000</v>
      </c>
      <c r="E8" s="19" t="n">
        <f aca="false">'SALES Raw'!D2009</f>
        <v>105840</v>
      </c>
      <c r="F8" s="19" t="n">
        <f aca="false">'SALES Raw'!E2009*$H$4</f>
        <v>7578.94736842105</v>
      </c>
      <c r="G8" s="19" t="n">
        <f aca="false">'SALES Raw'!F2009*$H$4</f>
        <v>57296.8421052632</v>
      </c>
      <c r="H8" s="18" t="str">
        <f aca="false">'SALES Raw'!A2009</f>
        <v>111 - Superpharm Life</v>
      </c>
    </row>
    <row r="9" customFormat="false" ht="15" hidden="false" customHeight="true" outlineLevel="0" collapsed="false">
      <c r="A9" s="18" t="str">
        <f aca="false">'SALES Raw'!G2011</f>
        <v/>
      </c>
      <c r="B9" s="18" t="str">
        <f aca="false">'SALES Raw'!B2011</f>
        <v>LU374 0</v>
      </c>
      <c r="C9" s="18" t="str">
        <f aca="false">'SALES Raw'!H2011</f>
        <v>LU374 0</v>
      </c>
      <c r="D9" s="19" t="n">
        <f aca="false">'SALES Raw'!C2011</f>
        <v>9000</v>
      </c>
      <c r="E9" s="19" t="n">
        <f aca="false">'SALES Raw'!D2011</f>
        <v>88020</v>
      </c>
      <c r="F9" s="19" t="n">
        <f aca="false">'SALES Raw'!E2011*$H$4</f>
        <v>7578.94736842105</v>
      </c>
      <c r="G9" s="19" t="n">
        <f aca="false">'SALES Raw'!F2011*$H$4</f>
        <v>74122.1052631579</v>
      </c>
      <c r="H9" s="18" t="str">
        <f aca="false">'SALES Raw'!A2011</f>
        <v>111 - Superpharm Life</v>
      </c>
    </row>
    <row r="10" customFormat="false" ht="15" hidden="false" customHeight="true" outlineLevel="0" collapsed="false">
      <c r="A10" s="18" t="str">
        <f aca="false">'SALES Raw'!G2002</f>
        <v/>
      </c>
      <c r="B10" s="18" t="str">
        <f aca="false">'SALES Raw'!B2002</f>
        <v>LU364-S-L</v>
      </c>
      <c r="C10" s="18" t="str">
        <f aca="false">'SALES Raw'!H2002</f>
        <v>LU364-S-L</v>
      </c>
      <c r="D10" s="19" t="n">
        <f aca="false">'SALES Raw'!C2002</f>
        <v>8100</v>
      </c>
      <c r="E10" s="19" t="n">
        <f aca="false">'SALES Raw'!D2002</f>
        <v>81891</v>
      </c>
      <c r="F10" s="19" t="n">
        <f aca="false">'SALES Raw'!E2002*$H$4</f>
        <v>6821.05263157895</v>
      </c>
      <c r="G10" s="19" t="n">
        <f aca="false">'SALES Raw'!F2002*$H$4</f>
        <v>68960.8421052632</v>
      </c>
      <c r="H10" s="18" t="str">
        <f aca="false">'SALES Raw'!A2002</f>
        <v>111 - Superpharm Life</v>
      </c>
    </row>
    <row r="11" customFormat="false" ht="15" hidden="false" customHeight="true" outlineLevel="0" collapsed="false">
      <c r="A11" s="18" t="str">
        <f aca="false">'SALES Raw'!G2010</f>
        <v/>
      </c>
      <c r="B11" s="18" t="str">
        <f aca="false">'SALES Raw'!B2010</f>
        <v>LU372 0</v>
      </c>
      <c r="C11" s="18" t="str">
        <f aca="false">'SALES Raw'!H2010</f>
        <v>LU372 0</v>
      </c>
      <c r="D11" s="19" t="n">
        <f aca="false">'SALES Raw'!C2010</f>
        <v>9600</v>
      </c>
      <c r="E11" s="19" t="n">
        <f aca="false">'SALES Raw'!D2010</f>
        <v>93888</v>
      </c>
      <c r="F11" s="19" t="n">
        <f aca="false">'SALES Raw'!E2010*$H$4</f>
        <v>6063.15789473684</v>
      </c>
      <c r="G11" s="19" t="n">
        <f aca="false">'SALES Raw'!F2010*$H$4</f>
        <v>59297.6842105263</v>
      </c>
      <c r="H11" s="18" t="str">
        <f aca="false">'SALES Raw'!A2010</f>
        <v>111 - Superpharm Life</v>
      </c>
    </row>
    <row r="12" customFormat="false" ht="15" hidden="false" customHeight="true" outlineLevel="0" collapsed="false">
      <c r="A12" s="18" t="str">
        <f aca="false">'SALES Raw'!G2001</f>
        <v/>
      </c>
      <c r="B12" s="18" t="str">
        <f aca="false">'SALES Raw'!B2001</f>
        <v>LU313 0</v>
      </c>
      <c r="C12" s="18" t="str">
        <f aca="false">'SALES Raw'!H2001</f>
        <v>LU313 0</v>
      </c>
      <c r="D12" s="19" t="n">
        <f aca="false">'SALES Raw'!C2001</f>
        <v>4320</v>
      </c>
      <c r="E12" s="19" t="n">
        <f aca="false">'SALES Raw'!D2001</f>
        <v>67910.4</v>
      </c>
      <c r="F12" s="19" t="n">
        <f aca="false">'SALES Raw'!E2001*$H$4</f>
        <v>5456.84210526316</v>
      </c>
      <c r="G12" s="19" t="n">
        <f aca="false">'SALES Raw'!F2001*$H$4</f>
        <v>85781.5578947368</v>
      </c>
      <c r="H12" s="18" t="str">
        <f aca="false">'SALES Raw'!A2001</f>
        <v>111 - Superpharm Life</v>
      </c>
    </row>
    <row r="13" customFormat="false" ht="15" hidden="false" customHeight="true" outlineLevel="0" collapsed="false">
      <c r="A13" s="18" t="str">
        <f aca="false">'SALES Raw'!G2016</f>
        <v/>
      </c>
      <c r="B13" s="18" t="str">
        <f aca="false">'SALES Raw'!B2016</f>
        <v>LUPD344 0</v>
      </c>
      <c r="C13" s="18" t="str">
        <f aca="false">'SALES Raw'!H2016</f>
        <v>LUPD344 0</v>
      </c>
      <c r="D13" s="19" t="n">
        <f aca="false">'SALES Raw'!C2016</f>
        <v>7000</v>
      </c>
      <c r="E13" s="19" t="n">
        <f aca="false">'SALES Raw'!D2016</f>
        <v>39270</v>
      </c>
      <c r="F13" s="19" t="n">
        <f aca="false">'SALES Raw'!E2016*$H$4</f>
        <v>4136.84210526316</v>
      </c>
      <c r="G13" s="19" t="n">
        <f aca="false">'SALES Raw'!F2016*$H$4</f>
        <v>23207.6842105263</v>
      </c>
      <c r="H13" s="18" t="str">
        <f aca="false">'SALES Raw'!A2016</f>
        <v>111 - Superpharm Life</v>
      </c>
    </row>
    <row r="14" customFormat="false" ht="15" hidden="false" customHeight="true" outlineLevel="0" collapsed="false">
      <c r="A14" s="18" t="str">
        <f aca="false">'SALES Raw'!G2006</f>
        <v/>
      </c>
      <c r="B14" s="18" t="str">
        <f aca="false">'SALES Raw'!B2006</f>
        <v>LU3655 0</v>
      </c>
      <c r="C14" s="18" t="str">
        <f aca="false">'SALES Raw'!H2006</f>
        <v>LU3655 0</v>
      </c>
      <c r="D14" s="19" t="n">
        <f aca="false">'SALES Raw'!C2006</f>
        <v>17820</v>
      </c>
      <c r="E14" s="19" t="n">
        <f aca="false">'SALES Raw'!D2006</f>
        <v>219007.8</v>
      </c>
      <c r="F14" s="19" t="n">
        <f aca="false">'SALES Raw'!E2006*$H$4</f>
        <v>3789.47368421053</v>
      </c>
      <c r="G14" s="19" t="n">
        <f aca="false">'SALES Raw'!F2006*$H$4</f>
        <v>46572.6315789474</v>
      </c>
      <c r="H14" s="18" t="str">
        <f aca="false">'SALES Raw'!A2006</f>
        <v>111 - Superpharm Life</v>
      </c>
    </row>
    <row r="15" customFormat="false" ht="15" hidden="false" customHeight="true" outlineLevel="0" collapsed="false">
      <c r="A15" s="18" t="str">
        <f aca="false">'SALES Raw'!G2013</f>
        <v/>
      </c>
      <c r="B15" s="18" t="str">
        <f aca="false">'SALES Raw'!B2013</f>
        <v>LULF373 0</v>
      </c>
      <c r="C15" s="18" t="str">
        <f aca="false">'SALES Raw'!H2013</f>
        <v>LULF373 0</v>
      </c>
      <c r="D15" s="19" t="n">
        <f aca="false">'SALES Raw'!C2013</f>
        <v>4200</v>
      </c>
      <c r="E15" s="19" t="n">
        <f aca="false">'SALES Raw'!D2013</f>
        <v>61824</v>
      </c>
      <c r="F15" s="19" t="n">
        <f aca="false">'SALES Raw'!E2013*$H$4</f>
        <v>3536.84210526316</v>
      </c>
      <c r="G15" s="19" t="n">
        <f aca="false">'SALES Raw'!F2013*$H$4</f>
        <v>52062.3157894737</v>
      </c>
      <c r="H15" s="18" t="str">
        <f aca="false">'SALES Raw'!A2013</f>
        <v>111 - Superpharm Life</v>
      </c>
    </row>
    <row r="16" customFormat="false" ht="15" hidden="false" customHeight="true" outlineLevel="0" collapsed="false">
      <c r="A16" s="18" t="str">
        <f aca="false">'SALES Raw'!G2007</f>
        <v/>
      </c>
      <c r="B16" s="18" t="str">
        <f aca="false">'SALES Raw'!B2007</f>
        <v>LU366S 0</v>
      </c>
      <c r="C16" s="18" t="str">
        <f aca="false">'SALES Raw'!H2007</f>
        <v>LU366S 0</v>
      </c>
      <c r="D16" s="19" t="n">
        <f aca="false">'SALES Raw'!C2007</f>
        <v>4860</v>
      </c>
      <c r="E16" s="19" t="n">
        <f aca="false">'SALES Raw'!D2007</f>
        <v>47239.2</v>
      </c>
      <c r="F16" s="19" t="n">
        <f aca="false">'SALES Raw'!E2007*$H$4</f>
        <v>3069.47368421053</v>
      </c>
      <c r="G16" s="19" t="n">
        <f aca="false">'SALES Raw'!F2007*$H$4</f>
        <v>29835.2842105263</v>
      </c>
      <c r="H16" s="18" t="str">
        <f aca="false">'SALES Raw'!A2007</f>
        <v>111 - Superpharm Life</v>
      </c>
    </row>
    <row r="17" customFormat="false" ht="15" hidden="false" customHeight="true" outlineLevel="0" collapsed="false">
      <c r="A17" s="18" t="str">
        <f aca="false">'SALES Raw'!G1998</f>
        <v/>
      </c>
      <c r="B17" s="18" t="str">
        <f aca="false">'SALES Raw'!B1998</f>
        <v>LU302W 0</v>
      </c>
      <c r="C17" s="18" t="str">
        <f aca="false">'SALES Raw'!H1998</f>
        <v>LU302W 0</v>
      </c>
      <c r="D17" s="19" t="n">
        <f aca="false">'SALES Raw'!C1998</f>
        <v>2400</v>
      </c>
      <c r="E17" s="19" t="n">
        <f aca="false">'SALES Raw'!D1998</f>
        <v>113328</v>
      </c>
      <c r="F17" s="19" t="n">
        <f aca="false">'SALES Raw'!E1998*$H$4</f>
        <v>3031.57894736842</v>
      </c>
      <c r="G17" s="19" t="n">
        <f aca="false">'SALES Raw'!F1998*$H$4</f>
        <v>143151.157894737</v>
      </c>
      <c r="H17" s="18" t="str">
        <f aca="false">'SALES Raw'!A1998</f>
        <v>111 - Superpharm Life</v>
      </c>
    </row>
    <row r="18" customFormat="false" ht="15" hidden="false" customHeight="true" outlineLevel="0" collapsed="false">
      <c r="A18" s="18" t="str">
        <f aca="false">'SALES Raw'!G2000</f>
        <v/>
      </c>
      <c r="B18" s="18" t="str">
        <f aca="false">'SALES Raw'!B2000</f>
        <v>LU308 M</v>
      </c>
      <c r="C18" s="18" t="str">
        <f aca="false">'SALES Raw'!H2000</f>
        <v>LU308 M</v>
      </c>
      <c r="D18" s="19" t="n">
        <f aca="false">'SALES Raw'!C2000</f>
        <v>2400</v>
      </c>
      <c r="E18" s="19" t="n">
        <f aca="false">'SALES Raw'!D2000</f>
        <v>94656</v>
      </c>
      <c r="F18" s="19" t="n">
        <f aca="false">'SALES Raw'!E2000*$H$4</f>
        <v>3031.57894736842</v>
      </c>
      <c r="G18" s="19" t="n">
        <f aca="false">'SALES Raw'!F2000*$H$4</f>
        <v>119565.473684211</v>
      </c>
      <c r="H18" s="18" t="str">
        <f aca="false">'SALES Raw'!A2000</f>
        <v>111 - Superpharm Life</v>
      </c>
    </row>
    <row r="19" customFormat="false" ht="15" hidden="false" customHeight="true" outlineLevel="0" collapsed="false">
      <c r="A19" s="18" t="str">
        <f aca="false">'SALES Raw'!G2015</f>
        <v/>
      </c>
      <c r="B19" s="18" t="str">
        <f aca="false">'SALES Raw'!B2015</f>
        <v>LUPD342 0</v>
      </c>
      <c r="C19" s="18" t="str">
        <f aca="false">'SALES Raw'!H2015</f>
        <v>LUPD342 0</v>
      </c>
      <c r="D19" s="19" t="n">
        <f aca="false">'SALES Raw'!C2015</f>
        <v>4152</v>
      </c>
      <c r="E19" s="19" t="n">
        <f aca="false">'SALES Raw'!D2015</f>
        <v>73822.56</v>
      </c>
      <c r="F19" s="19" t="n">
        <f aca="false">'SALES Raw'!E2015*$H$4</f>
        <v>3031.57894736842</v>
      </c>
      <c r="G19" s="19" t="n">
        <f aca="false">'SALES Raw'!F2015*$H$4</f>
        <v>53901.4736842105</v>
      </c>
      <c r="H19" s="18" t="str">
        <f aca="false">'SALES Raw'!A2015</f>
        <v>111 - Superpharm Life</v>
      </c>
    </row>
    <row r="20" customFormat="false" ht="15" hidden="false" customHeight="true" outlineLevel="0" collapsed="false">
      <c r="A20" s="18" t="str">
        <f aca="false">'SALES Raw'!G2005</f>
        <v/>
      </c>
      <c r="B20" s="18" t="str">
        <f aca="false">'SALES Raw'!B2005</f>
        <v>LU365-S-L</v>
      </c>
      <c r="C20" s="18" t="str">
        <f aca="false">'SALES Raw'!H2005</f>
        <v>LU365-S-L</v>
      </c>
      <c r="D20" s="19" t="n">
        <f aca="false">'SALES Raw'!C2005</f>
        <v>4860</v>
      </c>
      <c r="E20" s="19" t="n">
        <f aca="false">'SALES Raw'!D2005</f>
        <v>47239.2</v>
      </c>
      <c r="F20" s="19" t="n">
        <f aca="false">'SALES Raw'!E2005*$H$4</f>
        <v>2728.42105263158</v>
      </c>
      <c r="G20" s="19" t="n">
        <f aca="false">'SALES Raw'!F2005*$H$4</f>
        <v>26520.2526315789</v>
      </c>
      <c r="H20" s="18" t="str">
        <f aca="false">'SALES Raw'!A2005</f>
        <v>111 - Superpharm Life</v>
      </c>
    </row>
    <row r="21" customFormat="false" ht="15" hidden="false" customHeight="true" outlineLevel="0" collapsed="false">
      <c r="A21" s="18" t="str">
        <f aca="false">'SALES Raw'!G2014</f>
        <v/>
      </c>
      <c r="B21" s="18" t="str">
        <f aca="false">'SALES Raw'!B2014</f>
        <v>LUPD340 0</v>
      </c>
      <c r="C21" s="18" t="str">
        <f aca="false">'SALES Raw'!H2014</f>
        <v>LUPD340 0</v>
      </c>
      <c r="D21" s="19" t="n">
        <f aca="false">'SALES Raw'!C2014</f>
        <v>5400</v>
      </c>
      <c r="E21" s="19" t="n">
        <f aca="false">'SALES Raw'!D2014</f>
        <v>47844</v>
      </c>
      <c r="F21" s="19" t="n">
        <f aca="false">'SALES Raw'!E2014*$H$4</f>
        <v>2273.68421052632</v>
      </c>
      <c r="G21" s="19" t="n">
        <f aca="false">'SALES Raw'!F2014*$H$4</f>
        <v>20144.8421052632</v>
      </c>
      <c r="H21" s="18" t="str">
        <f aca="false">'SALES Raw'!A2014</f>
        <v>111 - Superpharm Life</v>
      </c>
    </row>
    <row r="22" customFormat="false" ht="15" hidden="false" customHeight="true" outlineLevel="0" collapsed="false">
      <c r="A22" s="18" t="str">
        <f aca="false">'SALES Raw'!G1999</f>
        <v/>
      </c>
      <c r="B22" s="18" t="str">
        <f aca="false">'SALES Raw'!B1999</f>
        <v>LU308 L</v>
      </c>
      <c r="C22" s="18" t="str">
        <f aca="false">'SALES Raw'!H1999</f>
        <v>LU308 L</v>
      </c>
      <c r="D22" s="19" t="n">
        <f aca="false">'SALES Raw'!C1999</f>
        <v>1600</v>
      </c>
      <c r="E22" s="19" t="n">
        <f aca="false">'SALES Raw'!D1999</f>
        <v>63104</v>
      </c>
      <c r="F22" s="19" t="n">
        <f aca="false">'SALES Raw'!E1999*$H$4</f>
        <v>2021.05263157895</v>
      </c>
      <c r="G22" s="19" t="n">
        <f aca="false">'SALES Raw'!F1999*$H$4</f>
        <v>79710.3157894737</v>
      </c>
      <c r="H22" s="18" t="str">
        <f aca="false">'SALES Raw'!A1999</f>
        <v>111 - Superpharm Life</v>
      </c>
    </row>
    <row r="23" customFormat="false" ht="15" hidden="false" customHeight="true" outlineLevel="0" collapsed="false">
      <c r="A23" s="18" t="str">
        <f aca="false">'SALES Raw'!G2012</f>
        <v/>
      </c>
      <c r="B23" s="18" t="str">
        <f aca="false">'SALES Raw'!B2012</f>
        <v>LULF370 0</v>
      </c>
      <c r="C23" s="18" t="str">
        <f aca="false">'SALES Raw'!H2012</f>
        <v>LULF370 0</v>
      </c>
      <c r="D23" s="19" t="n">
        <f aca="false">'SALES Raw'!C2012</f>
        <v>3200</v>
      </c>
      <c r="E23" s="19" t="n">
        <f aca="false">'SALES Raw'!D2012</f>
        <v>45856</v>
      </c>
      <c r="F23" s="19" t="n">
        <f aca="false">'SALES Raw'!E2012*$H$4</f>
        <v>2021.05263157895</v>
      </c>
      <c r="G23" s="19" t="n">
        <f aca="false">'SALES Raw'!F2012*$H$4</f>
        <v>28961.6842105263</v>
      </c>
      <c r="H23" s="18" t="str">
        <f aca="false">'SALES Raw'!A2012</f>
        <v>111 - Superpharm Life</v>
      </c>
    </row>
    <row r="24" customFormat="false" ht="15" hidden="false" customHeight="true" outlineLevel="0" collapsed="false">
      <c r="A24" s="18" t="str">
        <f aca="false">'SALES Raw'!G2003</f>
        <v/>
      </c>
      <c r="B24" s="18" t="str">
        <f aca="false">'SALES Raw'!B2003</f>
        <v>LU364 XL</v>
      </c>
      <c r="C24" s="18" t="str">
        <f aca="false">'SALES Raw'!H2003</f>
        <v>LU364 XL</v>
      </c>
      <c r="D24" s="19" t="n">
        <f aca="false">'SALES Raw'!C2003</f>
        <v>4050</v>
      </c>
      <c r="E24" s="19" t="n">
        <f aca="false">'SALES Raw'!D2003</f>
        <v>40945.5</v>
      </c>
      <c r="F24" s="19" t="n">
        <f aca="false">'SALES Raw'!E2003*$H$4</f>
        <v>1705.26315789474</v>
      </c>
      <c r="G24" s="19" t="n">
        <f aca="false">'SALES Raw'!F2003*$H$4</f>
        <v>17240.2105263158</v>
      </c>
      <c r="H24" s="18" t="str">
        <f aca="false">'SALES Raw'!A2003</f>
        <v>111 - Superpharm Life</v>
      </c>
    </row>
    <row r="25" customFormat="false" ht="15" hidden="false" customHeight="true" outlineLevel="0" collapsed="false">
      <c r="A25" s="18" t="str">
        <f aca="false">'SALES Raw'!G2008</f>
        <v/>
      </c>
      <c r="B25" s="18" t="str">
        <f aca="false">'SALES Raw'!B2008</f>
        <v>LU3677S 0</v>
      </c>
      <c r="C25" s="18" t="str">
        <f aca="false">'SALES Raw'!H2008</f>
        <v>LU3677S 0</v>
      </c>
      <c r="D25" s="19" t="n">
        <f aca="false">'SALES Raw'!C2008</f>
        <v>1350</v>
      </c>
      <c r="E25" s="19" t="n">
        <f aca="false">'SALES Raw'!D2008</f>
        <v>18306</v>
      </c>
      <c r="F25" s="19" t="n">
        <f aca="false">'SALES Raw'!E2008*$H$4</f>
        <v>1705.26315789474</v>
      </c>
      <c r="G25" s="19" t="n">
        <f aca="false">'SALES Raw'!F2008*$H$4</f>
        <v>23123.3684210526</v>
      </c>
      <c r="H25" s="18" t="str">
        <f aca="false">'SALES Raw'!A2008</f>
        <v>111 - Superpharm Life</v>
      </c>
    </row>
    <row r="26" customFormat="false" ht="15" hidden="false" customHeight="true" outlineLevel="0" collapsed="false">
      <c r="A26" s="18" t="str">
        <f aca="false">'SALES Raw'!G2004</f>
        <v/>
      </c>
      <c r="B26" s="18" t="str">
        <f aca="false">'SALES Raw'!B2004</f>
        <v>LU3641 0</v>
      </c>
      <c r="C26" s="18" t="str">
        <f aca="false">'SALES Raw'!H2004</f>
        <v>LU3641 0</v>
      </c>
      <c r="D26" s="19" t="n">
        <f aca="false">'SALES Raw'!C2004</f>
        <v>3780</v>
      </c>
      <c r="E26" s="19" t="n">
        <f aca="false">'SALES Raw'!D2004</f>
        <v>53751.6</v>
      </c>
      <c r="F26" s="19" t="n">
        <f aca="false">'SALES Raw'!E2004*$H$4</f>
        <v>1275.78947368421</v>
      </c>
      <c r="G26" s="19" t="n">
        <f aca="false">'SALES Raw'!F2004*$H$4</f>
        <v>18141.7263157895</v>
      </c>
      <c r="H26" s="18" t="str">
        <f aca="false">'SALES Raw'!A2004</f>
        <v>111 - Superpharm Life</v>
      </c>
    </row>
    <row r="27" customFormat="false" ht="15" hidden="false" customHeight="true" outlineLevel="0" collapsed="false">
      <c r="A27" s="18" t="str">
        <f aca="false">'SALES Raw'!G1996</f>
        <v/>
      </c>
      <c r="B27" s="18" t="str">
        <f aca="false">'SALES Raw'!B1996</f>
        <v>(NO ITEM CODE)</v>
      </c>
      <c r="C27" s="18" t="str">
        <f aca="false">'SALES Raw'!H1996</f>
        <v>(NO ITEM CODE)</v>
      </c>
      <c r="D27" s="19" t="n">
        <f aca="false">'SALES Raw'!C1996</f>
        <v>0</v>
      </c>
      <c r="E27" s="19" t="n">
        <f aca="false">'SALES Raw'!D1996</f>
        <v>7427.59</v>
      </c>
      <c r="F27" s="19" t="n">
        <f aca="false">'SALES Raw'!E1996*$H$4</f>
        <v>0</v>
      </c>
      <c r="G27" s="19" t="n">
        <f aca="false">'SALES Raw'!F1996*$H$4</f>
        <v>0</v>
      </c>
      <c r="H27" s="18" t="str">
        <f aca="false">'SALES Raw'!A1996</f>
        <v>111 - Superpharm Life</v>
      </c>
    </row>
  </sheetData>
  <mergeCells count="2">
    <mergeCell ref="A3:H3"/>
    <mergeCell ref="A4:F4"/>
  </mergeCells>
  <conditionalFormatting sqref="A7:H27">
    <cfRule type="expression" priority="2" aboveAverage="0" equalAverage="0" bottom="0" percent="0" rank="0" text="" dxfId="2">
      <formula>AND(OR($D7&lt;&gt;0,$E7&lt;&gt;0),$F7=0,$G7=0)</formula>
    </cfRule>
    <cfRule type="expression" priority="3" aboveAverage="0" equalAverage="0" bottom="0" percent="0" rank="0" text="" dxfId="3">
      <formula>AND($D7=0,$E7=0,OR($F7&lt;&gt;0,$G7&lt;&gt;0))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2"/>
  </cols>
  <sheetData>
    <row r="1" customFormat="false" ht="15.75" hidden="false" customHeight="true" outlineLevel="0" collapsed="false">
      <c r="A1" s="13" t="s">
        <v>10</v>
      </c>
    </row>
    <row r="2" customFormat="false" ht="15" hidden="false" customHeight="true" outlineLevel="0" collapsed="false">
      <c r="A2" s="3" t="s">
        <v>1</v>
      </c>
      <c r="B2" s="4" t="n">
        <v>46290</v>
      </c>
    </row>
    <row r="3" customFormat="false" ht="32.25" hidden="false" customHeight="true" outlineLevel="0" collapsed="false">
      <c r="A3" s="5" t="s">
        <v>542</v>
      </c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14" t="s">
        <v>540</v>
      </c>
      <c r="B4" s="14"/>
      <c r="C4" s="14"/>
      <c r="D4" s="14"/>
      <c r="E4" s="14"/>
      <c r="F4" s="14"/>
      <c r="G4" s="15" t="s">
        <v>31</v>
      </c>
      <c r="H4" s="16" t="n">
        <f aca="false">12/9.5</f>
        <v>1.26315789473684</v>
      </c>
    </row>
    <row r="6" customFormat="false" ht="15" hidden="false" customHeight="true" outlineLevel="0" collapsed="false">
      <c r="A6" s="17" t="s">
        <v>32</v>
      </c>
      <c r="B6" s="17" t="s">
        <v>33</v>
      </c>
      <c r="C6" s="17" t="s">
        <v>34</v>
      </c>
      <c r="D6" s="17" t="s">
        <v>35</v>
      </c>
      <c r="E6" s="17" t="s">
        <v>36</v>
      </c>
      <c r="F6" s="17" t="s">
        <v>37</v>
      </c>
      <c r="G6" s="17" t="s">
        <v>38</v>
      </c>
      <c r="H6" s="17" t="s">
        <v>541</v>
      </c>
    </row>
    <row r="7" customFormat="false" ht="15" hidden="false" customHeight="true" outlineLevel="0" collapsed="false">
      <c r="A7" s="18" t="str">
        <f aca="false">'SALES Raw'!G2041</f>
        <v/>
      </c>
      <c r="B7" s="18" t="str">
        <f aca="false">'SALES Raw'!B2041</f>
        <v>KST25 0</v>
      </c>
      <c r="C7" s="18" t="str">
        <f aca="false">'SALES Raw'!H2041</f>
        <v>KST25 0</v>
      </c>
      <c r="D7" s="19" t="n">
        <f aca="false">'SALES Raw'!C2041</f>
        <v>21480</v>
      </c>
      <c r="E7" s="19" t="n">
        <f aca="false">'SALES Raw'!D2041</f>
        <v>344287.2</v>
      </c>
      <c r="F7" s="19" t="n">
        <f aca="false">'SALES Raw'!E2041*$H$4</f>
        <v>19086.3157894737</v>
      </c>
      <c r="G7" s="19" t="n">
        <f aca="false">'SALES Raw'!F2041*$H$4</f>
        <v>286867.326315789</v>
      </c>
      <c r="H7" s="18" t="str">
        <f aca="false">'SALES Raw'!A2041</f>
        <v>112 - Kupat Holim Clalit</v>
      </c>
    </row>
    <row r="8" customFormat="false" ht="15" hidden="false" customHeight="true" outlineLevel="0" collapsed="false">
      <c r="A8" s="18" t="str">
        <f aca="false">'SALES Raw'!G2047</f>
        <v/>
      </c>
      <c r="B8" s="18" t="str">
        <f aca="false">'SALES Raw'!B2047</f>
        <v>KST422 0</v>
      </c>
      <c r="C8" s="18" t="str">
        <f aca="false">'SALES Raw'!H2047</f>
        <v>KST422 0</v>
      </c>
      <c r="D8" s="19" t="n">
        <f aca="false">'SALES Raw'!C2047</f>
        <v>13299</v>
      </c>
      <c r="E8" s="19" t="n">
        <f aca="false">'SALES Raw'!D2047</f>
        <v>577794.6</v>
      </c>
      <c r="F8" s="19" t="n">
        <f aca="false">'SALES Raw'!E2047*$H$4</f>
        <v>12112.4210526316</v>
      </c>
      <c r="G8" s="19" t="n">
        <f aca="false">'SALES Raw'!F2047*$H$4</f>
        <v>501454.231578947</v>
      </c>
      <c r="H8" s="18" t="str">
        <f aca="false">'SALES Raw'!A2047</f>
        <v>112 - Kupat Holim Clalit</v>
      </c>
    </row>
    <row r="9" customFormat="false" ht="15" hidden="false" customHeight="true" outlineLevel="0" collapsed="false">
      <c r="A9" s="18" t="str">
        <f aca="false">'SALES Raw'!G2029</f>
        <v/>
      </c>
      <c r="B9" s="18" t="str">
        <f aca="false">'SALES Raw'!B2029</f>
        <v>K45 L</v>
      </c>
      <c r="C9" s="18" t="str">
        <f aca="false">'SALES Raw'!H2029</f>
        <v>K45 L</v>
      </c>
      <c r="D9" s="19" t="n">
        <f aca="false">'SALES Raw'!C2029</f>
        <v>9480</v>
      </c>
      <c r="E9" s="19" t="n">
        <f aca="false">'SALES Raw'!D2029</f>
        <v>118622.4</v>
      </c>
      <c r="F9" s="19" t="n">
        <f aca="false">'SALES Raw'!E2029*$H$4</f>
        <v>10307.3684210526</v>
      </c>
      <c r="G9" s="19" t="n">
        <f aca="false">'SALES Raw'!F2029*$H$4</f>
        <v>123276.126315789</v>
      </c>
      <c r="H9" s="18" t="str">
        <f aca="false">'SALES Raw'!A2029</f>
        <v>112 - Kupat Holim Clalit</v>
      </c>
    </row>
    <row r="10" customFormat="false" ht="15" hidden="false" customHeight="true" outlineLevel="0" collapsed="false">
      <c r="A10" s="18" t="str">
        <f aca="false">'SALES Raw'!G2032</f>
        <v/>
      </c>
      <c r="B10" s="18" t="str">
        <f aca="false">'SALES Raw'!B2032</f>
        <v>K45 XL</v>
      </c>
      <c r="C10" s="18" t="str">
        <f aca="false">'SALES Raw'!H2032</f>
        <v>K45 XL</v>
      </c>
      <c r="D10" s="19" t="n">
        <f aca="false">'SALES Raw'!C2032</f>
        <v>9960</v>
      </c>
      <c r="E10" s="19" t="n">
        <f aca="false">'SALES Raw'!D2032</f>
        <v>124737.6</v>
      </c>
      <c r="F10" s="19" t="n">
        <f aca="false">'SALES Raw'!E2032*$H$4</f>
        <v>8640</v>
      </c>
      <c r="G10" s="19" t="n">
        <f aca="false">'SALES Raw'!F2032*$H$4</f>
        <v>103334.4</v>
      </c>
      <c r="H10" s="18" t="str">
        <f aca="false">'SALES Raw'!A2032</f>
        <v>112 - Kupat Holim Clalit</v>
      </c>
    </row>
    <row r="11" customFormat="false" ht="15" hidden="false" customHeight="true" outlineLevel="0" collapsed="false">
      <c r="A11" s="18" t="str">
        <f aca="false">'SALES Raw'!G2046</f>
        <v/>
      </c>
      <c r="B11" s="18" t="str">
        <f aca="false">'SALES Raw'!B2046</f>
        <v>KST37 0</v>
      </c>
      <c r="C11" s="18" t="str">
        <f aca="false">'SALES Raw'!H2046</f>
        <v>KST37 0</v>
      </c>
      <c r="D11" s="19" t="n">
        <f aca="false">'SALES Raw'!C2046</f>
        <v>7800</v>
      </c>
      <c r="E11" s="19" t="n">
        <f aca="false">'SALES Raw'!D2046</f>
        <v>145066.8</v>
      </c>
      <c r="F11" s="19" t="n">
        <f aca="false">'SALES Raw'!E2046*$H$4</f>
        <v>7730.52631578947</v>
      </c>
      <c r="G11" s="19" t="n">
        <f aca="false">'SALES Raw'!F2046*$H$4</f>
        <v>135516.126315789</v>
      </c>
      <c r="H11" s="18" t="str">
        <f aca="false">'SALES Raw'!A2046</f>
        <v>112 - Kupat Holim Clalit</v>
      </c>
    </row>
    <row r="12" customFormat="false" ht="15" hidden="false" customHeight="true" outlineLevel="0" collapsed="false">
      <c r="A12" s="18" t="str">
        <f aca="false">'SALES Raw'!G2017</f>
        <v/>
      </c>
      <c r="B12" s="18" t="str">
        <f aca="false">'SALES Raw'!B2017</f>
        <v>K078 L</v>
      </c>
      <c r="C12" s="18" t="str">
        <f aca="false">'SALES Raw'!H2017</f>
        <v>K078 L</v>
      </c>
      <c r="D12" s="19" t="n">
        <f aca="false">'SALES Raw'!C2017</f>
        <v>7450</v>
      </c>
      <c r="E12" s="19" t="n">
        <f aca="false">'SALES Raw'!D2017</f>
        <v>422328</v>
      </c>
      <c r="F12" s="19" t="n">
        <f aca="false">'SALES Raw'!E2017*$H$4</f>
        <v>6315.78947368421</v>
      </c>
      <c r="G12" s="19" t="n">
        <f aca="false">'SALES Raw'!F2017*$H$4</f>
        <v>343642.105263158</v>
      </c>
      <c r="H12" s="18" t="str">
        <f aca="false">'SALES Raw'!A2017</f>
        <v>112 - Kupat Holim Clalit</v>
      </c>
    </row>
    <row r="13" customFormat="false" ht="15" hidden="false" customHeight="true" outlineLevel="0" collapsed="false">
      <c r="A13" s="18" t="str">
        <f aca="false">'SALES Raw'!G2045</f>
        <v/>
      </c>
      <c r="B13" s="18" t="str">
        <f aca="false">'SALES Raw'!B2045</f>
        <v>KST28 0</v>
      </c>
      <c r="C13" s="18" t="str">
        <f aca="false">'SALES Raw'!H2045</f>
        <v>KST28 0</v>
      </c>
      <c r="D13" s="19" t="n">
        <f aca="false">'SALES Raw'!C2045</f>
        <v>6240</v>
      </c>
      <c r="E13" s="19" t="n">
        <f aca="false">'SALES Raw'!D2045</f>
        <v>119520</v>
      </c>
      <c r="F13" s="19" t="n">
        <f aca="false">'SALES Raw'!E2045*$H$4</f>
        <v>6260.21052631579</v>
      </c>
      <c r="G13" s="19" t="n">
        <f aca="false">'SALES Raw'!F2045*$H$4</f>
        <v>111431.747368421</v>
      </c>
      <c r="H13" s="18" t="str">
        <f aca="false">'SALES Raw'!A2045</f>
        <v>112 - Kupat Holim Clalit</v>
      </c>
    </row>
    <row r="14" customFormat="false" ht="15" hidden="false" customHeight="true" outlineLevel="0" collapsed="false">
      <c r="A14" s="18" t="str">
        <f aca="false">'SALES Raw'!G2028</f>
        <v/>
      </c>
      <c r="B14" s="18" t="str">
        <f aca="false">'SALES Raw'!B2028</f>
        <v>K35 XL</v>
      </c>
      <c r="C14" s="18" t="str">
        <f aca="false">'SALES Raw'!H2028</f>
        <v>K35 XL</v>
      </c>
      <c r="D14" s="19" t="n">
        <f aca="false">'SALES Raw'!C2028</f>
        <v>5400</v>
      </c>
      <c r="E14" s="19" t="n">
        <f aca="false">'SALES Raw'!D2028</f>
        <v>68580</v>
      </c>
      <c r="F14" s="19" t="n">
        <f aca="false">'SALES Raw'!E2028*$H$4</f>
        <v>5911.57894736842</v>
      </c>
      <c r="G14" s="19" t="n">
        <f aca="false">'SALES Raw'!F2028*$H$4</f>
        <v>75077.052631579</v>
      </c>
      <c r="H14" s="18" t="str">
        <f aca="false">'SALES Raw'!A2028</f>
        <v>112 - Kupat Holim Clalit</v>
      </c>
    </row>
    <row r="15" customFormat="false" ht="15" hidden="false" customHeight="true" outlineLevel="0" collapsed="false">
      <c r="A15" s="18" t="str">
        <f aca="false">'SALES Raw'!G2030</f>
        <v/>
      </c>
      <c r="B15" s="18" t="str">
        <f aca="false">'SALES Raw'!B2030</f>
        <v>K45 M</v>
      </c>
      <c r="C15" s="18" t="str">
        <f aca="false">'SALES Raw'!H2030</f>
        <v>K45 M</v>
      </c>
      <c r="D15" s="19" t="n">
        <f aca="false">'SALES Raw'!C2030</f>
        <v>6720</v>
      </c>
      <c r="E15" s="19" t="n">
        <f aca="false">'SALES Raw'!D2030</f>
        <v>87360</v>
      </c>
      <c r="F15" s="19" t="n">
        <f aca="false">'SALES Raw'!E2030*$H$4</f>
        <v>5760</v>
      </c>
      <c r="G15" s="19" t="n">
        <f aca="false">'SALES Raw'!F2030*$H$4</f>
        <v>74880</v>
      </c>
      <c r="H15" s="18" t="str">
        <f aca="false">'SALES Raw'!A2030</f>
        <v>112 - Kupat Holim Clalit</v>
      </c>
    </row>
    <row r="16" customFormat="false" ht="15" hidden="false" customHeight="true" outlineLevel="0" collapsed="false">
      <c r="A16" s="18" t="str">
        <f aca="false">'SALES Raw'!G2025</f>
        <v/>
      </c>
      <c r="B16" s="18" t="str">
        <f aca="false">'SALES Raw'!B2025</f>
        <v>K35 L</v>
      </c>
      <c r="C16" s="18" t="str">
        <f aca="false">'SALES Raw'!H2025</f>
        <v>K35 L</v>
      </c>
      <c r="D16" s="19" t="n">
        <f aca="false">'SALES Raw'!C2025</f>
        <v>7320</v>
      </c>
      <c r="E16" s="19" t="n">
        <f aca="false">'SALES Raw'!D2025</f>
        <v>92964</v>
      </c>
      <c r="F16" s="19" t="n">
        <f aca="false">'SALES Raw'!E2025*$H$4</f>
        <v>5305.26315789474</v>
      </c>
      <c r="G16" s="19" t="n">
        <f aca="false">'SALES Raw'!F2025*$H$4</f>
        <v>67376.8421052632</v>
      </c>
      <c r="H16" s="18" t="str">
        <f aca="false">'SALES Raw'!A2025</f>
        <v>112 - Kupat Holim Clalit</v>
      </c>
    </row>
    <row r="17" customFormat="false" ht="15" hidden="false" customHeight="true" outlineLevel="0" collapsed="false">
      <c r="A17" s="18" t="str">
        <f aca="false">'SALES Raw'!G2040</f>
        <v/>
      </c>
      <c r="B17" s="18" t="str">
        <f aca="false">'SALES Raw'!B2040</f>
        <v>KST20 0</v>
      </c>
      <c r="C17" s="18" t="str">
        <f aca="false">'SALES Raw'!H2040</f>
        <v>KST20 0</v>
      </c>
      <c r="D17" s="19" t="n">
        <f aca="false">'SALES Raw'!C2040</f>
        <v>4920</v>
      </c>
      <c r="E17" s="19" t="n">
        <f aca="false">'SALES Raw'!D2040</f>
        <v>66912</v>
      </c>
      <c r="F17" s="19" t="n">
        <f aca="false">'SALES Raw'!E2040*$H$4</f>
        <v>5153.68421052632</v>
      </c>
      <c r="G17" s="19" t="n">
        <f aca="false">'SALES Raw'!F2040*$H$4</f>
        <v>70090.1052631579</v>
      </c>
      <c r="H17" s="18" t="str">
        <f aca="false">'SALES Raw'!A2040</f>
        <v>112 - Kupat Holim Clalit</v>
      </c>
    </row>
    <row r="18" customFormat="false" ht="15" hidden="false" customHeight="true" outlineLevel="0" collapsed="false">
      <c r="A18" s="18" t="str">
        <f aca="false">'SALES Raw'!G2043</f>
        <v/>
      </c>
      <c r="B18" s="18" t="str">
        <f aca="false">'SALES Raw'!B2043</f>
        <v>KST27R 0</v>
      </c>
      <c r="C18" s="18" t="str">
        <f aca="false">'SALES Raw'!H2043</f>
        <v>KST27R 0</v>
      </c>
      <c r="D18" s="19" t="n">
        <f aca="false">'SALES Raw'!C2043</f>
        <v>5600</v>
      </c>
      <c r="E18" s="19" t="n">
        <f aca="false">'SALES Raw'!D2043</f>
        <v>135200</v>
      </c>
      <c r="F18" s="19" t="n">
        <f aca="false">'SALES Raw'!E2043*$H$4</f>
        <v>4951.57894736842</v>
      </c>
      <c r="G18" s="19" t="n">
        <f aca="false">'SALES Raw'!F2043*$H$4</f>
        <v>111410.526315789</v>
      </c>
      <c r="H18" s="18" t="str">
        <f aca="false">'SALES Raw'!A2043</f>
        <v>112 - Kupat Holim Clalit</v>
      </c>
    </row>
    <row r="19" customFormat="false" ht="15" hidden="false" customHeight="true" outlineLevel="0" collapsed="false">
      <c r="A19" s="18" t="str">
        <f aca="false">'SALES Raw'!G2026</f>
        <v/>
      </c>
      <c r="B19" s="18" t="str">
        <f aca="false">'SALES Raw'!B2026</f>
        <v>K35 M</v>
      </c>
      <c r="C19" s="18" t="str">
        <f aca="false">'SALES Raw'!H2026</f>
        <v>K35 M</v>
      </c>
      <c r="D19" s="19" t="n">
        <f aca="false">'SALES Raw'!C2026</f>
        <v>4920</v>
      </c>
      <c r="E19" s="19" t="n">
        <f aca="false">'SALES Raw'!D2026</f>
        <v>62484</v>
      </c>
      <c r="F19" s="19" t="n">
        <f aca="false">'SALES Raw'!E2026*$H$4</f>
        <v>4698.94736842105</v>
      </c>
      <c r="G19" s="19" t="n">
        <f aca="false">'SALES Raw'!F2026*$H$4</f>
        <v>59676.6315789474</v>
      </c>
      <c r="H19" s="18" t="str">
        <f aca="false">'SALES Raw'!A2026</f>
        <v>112 - Kupat Holim Clalit</v>
      </c>
    </row>
    <row r="20" customFormat="false" ht="15" hidden="false" customHeight="true" outlineLevel="0" collapsed="false">
      <c r="A20" s="18" t="str">
        <f aca="false">'SALES Raw'!G2019</f>
        <v/>
      </c>
      <c r="B20" s="18" t="str">
        <f aca="false">'SALES Raw'!B2019</f>
        <v>K078 XL</v>
      </c>
      <c r="C20" s="18" t="str">
        <f aca="false">'SALES Raw'!H2019</f>
        <v>K078 XL</v>
      </c>
      <c r="D20" s="19" t="n">
        <f aca="false">'SALES Raw'!C2019</f>
        <v>5850</v>
      </c>
      <c r="E20" s="19" t="n">
        <f aca="false">'SALES Raw'!D2019</f>
        <v>332000</v>
      </c>
      <c r="F20" s="19" t="n">
        <f aca="false">'SALES Raw'!E2019*$H$4</f>
        <v>4673.68421052632</v>
      </c>
      <c r="G20" s="19" t="n">
        <f aca="false">'SALES Raw'!F2019*$H$4</f>
        <v>254295.157894737</v>
      </c>
      <c r="H20" s="18" t="str">
        <f aca="false">'SALES Raw'!A2019</f>
        <v>112 - Kupat Holim Clalit</v>
      </c>
    </row>
    <row r="21" customFormat="false" ht="15" hidden="false" customHeight="true" outlineLevel="0" collapsed="false">
      <c r="A21" s="18" t="str">
        <f aca="false">'SALES Raw'!G2049</f>
        <v/>
      </c>
      <c r="B21" s="18" t="str">
        <f aca="false">'SALES Raw'!B2049</f>
        <v>KST95 0</v>
      </c>
      <c r="C21" s="18" t="str">
        <f aca="false">'SALES Raw'!H2049</f>
        <v>KST95 0</v>
      </c>
      <c r="D21" s="19" t="n">
        <f aca="false">'SALES Raw'!C2049</f>
        <v>5040</v>
      </c>
      <c r="E21" s="19" t="n">
        <f aca="false">'SALES Raw'!D2049</f>
        <v>114775.2</v>
      </c>
      <c r="F21" s="19" t="n">
        <f aca="false">'SALES Raw'!E2049*$H$4</f>
        <v>4244.21052631579</v>
      </c>
      <c r="G21" s="19" t="n">
        <f aca="false">'SALES Raw'!F2049*$H$4</f>
        <v>90274.3578947368</v>
      </c>
      <c r="H21" s="18" t="str">
        <f aca="false">'SALES Raw'!A2049</f>
        <v>112 - Kupat Holim Clalit</v>
      </c>
    </row>
    <row r="22" customFormat="false" ht="15" hidden="false" customHeight="true" outlineLevel="0" collapsed="false">
      <c r="A22" s="18" t="str">
        <f aca="false">'SALES Raw'!G2042</f>
        <v/>
      </c>
      <c r="B22" s="18" t="str">
        <f aca="false">'SALES Raw'!B2042</f>
        <v>KST27L 0</v>
      </c>
      <c r="C22" s="18" t="str">
        <f aca="false">'SALES Raw'!H2042</f>
        <v>KST27L 0</v>
      </c>
      <c r="D22" s="19" t="n">
        <f aca="false">'SALES Raw'!C2042</f>
        <v>4157</v>
      </c>
      <c r="E22" s="19" t="n">
        <f aca="false">'SALES Raw'!D2042</f>
        <v>99932.5</v>
      </c>
      <c r="F22" s="19" t="n">
        <f aca="false">'SALES Raw'!E2042*$H$4</f>
        <v>4242.94736842105</v>
      </c>
      <c r="G22" s="19" t="n">
        <f aca="false">'SALES Raw'!F2042*$H$4</f>
        <v>95466.3157894737</v>
      </c>
      <c r="H22" s="18" t="str">
        <f aca="false">'SALES Raw'!A2042</f>
        <v>112 - Kupat Holim Clalit</v>
      </c>
    </row>
    <row r="23" customFormat="false" ht="15" hidden="false" customHeight="true" outlineLevel="0" collapsed="false">
      <c r="A23" s="18" t="str">
        <f aca="false">'SALES Raw'!G2048</f>
        <v/>
      </c>
      <c r="B23" s="18" t="str">
        <f aca="false">'SALES Raw'!B2048</f>
        <v>KST91 0</v>
      </c>
      <c r="C23" s="18" t="str">
        <f aca="false">'SALES Raw'!H2048</f>
        <v>KST91 0</v>
      </c>
      <c r="D23" s="19" t="n">
        <f aca="false">'SALES Raw'!C2048</f>
        <v>4080</v>
      </c>
      <c r="E23" s="19" t="n">
        <f aca="false">'SALES Raw'!D2048</f>
        <v>77112</v>
      </c>
      <c r="F23" s="19" t="n">
        <f aca="false">'SALES Raw'!E2048*$H$4</f>
        <v>3789.47368421053</v>
      </c>
      <c r="G23" s="19" t="n">
        <f aca="false">'SALES Raw'!F2048*$H$4</f>
        <v>71621.052631579</v>
      </c>
      <c r="H23" s="18" t="str">
        <f aca="false">'SALES Raw'!A2048</f>
        <v>112 - Kupat Holim Clalit</v>
      </c>
    </row>
    <row r="24" customFormat="false" ht="15" hidden="false" customHeight="true" outlineLevel="0" collapsed="false">
      <c r="A24" s="18" t="str">
        <f aca="false">'SALES Raw'!G2018</f>
        <v/>
      </c>
      <c r="B24" s="18" t="str">
        <f aca="false">'SALES Raw'!B2018</f>
        <v>K078 M</v>
      </c>
      <c r="C24" s="18" t="str">
        <f aca="false">'SALES Raw'!H2018</f>
        <v>K078 M</v>
      </c>
      <c r="D24" s="19" t="n">
        <f aca="false">'SALES Raw'!C2018</f>
        <v>3800</v>
      </c>
      <c r="E24" s="19" t="n">
        <f aca="false">'SALES Raw'!D2018</f>
        <v>215142.5</v>
      </c>
      <c r="F24" s="19" t="n">
        <f aca="false">'SALES Raw'!E2018*$H$4</f>
        <v>2778.94736842105</v>
      </c>
      <c r="G24" s="19" t="n">
        <f aca="false">'SALES Raw'!F2018*$H$4</f>
        <v>151202.526315789</v>
      </c>
      <c r="H24" s="18" t="str">
        <f aca="false">'SALES Raw'!A2018</f>
        <v>112 - Kupat Holim Clalit</v>
      </c>
    </row>
    <row r="25" customFormat="false" ht="15" hidden="false" customHeight="true" outlineLevel="0" collapsed="false">
      <c r="A25" s="18" t="str">
        <f aca="false">'SALES Raw'!G2027</f>
        <v/>
      </c>
      <c r="B25" s="18" t="str">
        <f aca="false">'SALES Raw'!B2027</f>
        <v>K35 S</v>
      </c>
      <c r="C25" s="18" t="str">
        <f aca="false">'SALES Raw'!H2027</f>
        <v>K35 S</v>
      </c>
      <c r="D25" s="19" t="n">
        <f aca="false">'SALES Raw'!C2027</f>
        <v>1920</v>
      </c>
      <c r="E25" s="19" t="n">
        <f aca="false">'SALES Raw'!D2027</f>
        <v>24384</v>
      </c>
      <c r="F25" s="19" t="n">
        <f aca="false">'SALES Raw'!E2027*$H$4</f>
        <v>1970.52631578947</v>
      </c>
      <c r="G25" s="19" t="n">
        <f aca="false">'SALES Raw'!F2027*$H$4</f>
        <v>25025.6842105263</v>
      </c>
      <c r="H25" s="18" t="str">
        <f aca="false">'SALES Raw'!A2027</f>
        <v>112 - Kupat Holim Clalit</v>
      </c>
    </row>
    <row r="26" customFormat="false" ht="15" hidden="false" customHeight="true" outlineLevel="0" collapsed="false">
      <c r="A26" s="18" t="str">
        <f aca="false">'SALES Raw'!G2031</f>
        <v/>
      </c>
      <c r="B26" s="18" t="str">
        <f aca="false">'SALES Raw'!B2031</f>
        <v>K45 S</v>
      </c>
      <c r="C26" s="18" t="str">
        <f aca="false">'SALES Raw'!H2031</f>
        <v>K45 S</v>
      </c>
      <c r="D26" s="19" t="n">
        <f aca="false">'SALES Raw'!C2031</f>
        <v>2040</v>
      </c>
      <c r="E26" s="19" t="n">
        <f aca="false">'SALES Raw'!D2031</f>
        <v>26520</v>
      </c>
      <c r="F26" s="19" t="n">
        <f aca="false">'SALES Raw'!E2031*$H$4</f>
        <v>1818.94736842105</v>
      </c>
      <c r="G26" s="19" t="n">
        <f aca="false">'SALES Raw'!F2031*$H$4</f>
        <v>23646.3157894737</v>
      </c>
      <c r="H26" s="18" t="str">
        <f aca="false">'SALES Raw'!A2031</f>
        <v>112 - Kupat Holim Clalit</v>
      </c>
    </row>
    <row r="27" customFormat="false" ht="15" hidden="false" customHeight="true" outlineLevel="0" collapsed="false">
      <c r="A27" s="18" t="str">
        <f aca="false">'SALES Raw'!G2035</f>
        <v/>
      </c>
      <c r="B27" s="18" t="str">
        <f aca="false">'SALES Raw'!B2035</f>
        <v>K801 0</v>
      </c>
      <c r="C27" s="18" t="str">
        <f aca="false">'SALES Raw'!H2035</f>
        <v>K801 0</v>
      </c>
      <c r="D27" s="19" t="n">
        <f aca="false">'SALES Raw'!C2035</f>
        <v>1680</v>
      </c>
      <c r="E27" s="19" t="n">
        <f aca="false">'SALES Raw'!D2035</f>
        <v>28560</v>
      </c>
      <c r="F27" s="19" t="n">
        <f aca="false">'SALES Raw'!E2035*$H$4</f>
        <v>1818.94736842105</v>
      </c>
      <c r="G27" s="19" t="n">
        <f aca="false">'SALES Raw'!F2035*$H$4</f>
        <v>30922.1052631579</v>
      </c>
      <c r="H27" s="18" t="str">
        <f aca="false">'SALES Raw'!A2035</f>
        <v>112 - Kupat Holim Clalit</v>
      </c>
    </row>
    <row r="28" customFormat="false" ht="15" hidden="false" customHeight="true" outlineLevel="0" collapsed="false">
      <c r="A28" s="18" t="str">
        <f aca="false">'SALES Raw'!G2020</f>
        <v/>
      </c>
      <c r="B28" s="18" t="str">
        <f aca="false">'SALES Raw'!B2020</f>
        <v>K078 XXL</v>
      </c>
      <c r="C28" s="18" t="str">
        <f aca="false">'SALES Raw'!H2020</f>
        <v>K078 XXL</v>
      </c>
      <c r="D28" s="19" t="n">
        <f aca="false">'SALES Raw'!C2020</f>
        <v>2565</v>
      </c>
      <c r="E28" s="19" t="n">
        <f aca="false">'SALES Raw'!D2020</f>
        <v>146555.55</v>
      </c>
      <c r="F28" s="19" t="n">
        <f aca="false">'SALES Raw'!E2020*$H$4</f>
        <v>1648.42105263158</v>
      </c>
      <c r="G28" s="19" t="n">
        <f aca="false">'SALES Raw'!F2020*$H$4</f>
        <v>89690.5894736842</v>
      </c>
      <c r="H28" s="18" t="str">
        <f aca="false">'SALES Raw'!A2020</f>
        <v>112 - Kupat Holim Clalit</v>
      </c>
    </row>
    <row r="29" customFormat="false" ht="15" hidden="false" customHeight="true" outlineLevel="0" collapsed="false">
      <c r="A29" s="18" t="str">
        <f aca="false">'SALES Raw'!G2039</f>
        <v/>
      </c>
      <c r="B29" s="18" t="str">
        <f aca="false">'SALES Raw'!B2039</f>
        <v>KST11 0</v>
      </c>
      <c r="C29" s="18" t="str">
        <f aca="false">'SALES Raw'!H2039</f>
        <v>KST11 0</v>
      </c>
      <c r="D29" s="19" t="n">
        <f aca="false">'SALES Raw'!C2039</f>
        <v>1700</v>
      </c>
      <c r="E29" s="19" t="n">
        <f aca="false">'SALES Raw'!D2039</f>
        <v>53890</v>
      </c>
      <c r="F29" s="19" t="n">
        <f aca="false">'SALES Raw'!E2039*$H$4</f>
        <v>1578.94736842105</v>
      </c>
      <c r="G29" s="19" t="n">
        <f aca="false">'SALES Raw'!F2039*$H$4</f>
        <v>50052.6315789474</v>
      </c>
      <c r="H29" s="18" t="str">
        <f aca="false">'SALES Raw'!A2039</f>
        <v>112 - Kupat Holim Clalit</v>
      </c>
    </row>
    <row r="30" customFormat="false" ht="15" hidden="false" customHeight="true" outlineLevel="0" collapsed="false">
      <c r="A30" s="18" t="str">
        <f aca="false">'SALES Raw'!G2036</f>
        <v/>
      </c>
      <c r="B30" s="18" t="str">
        <f aca="false">'SALES Raw'!B2036</f>
        <v>K85 L</v>
      </c>
      <c r="C30" s="18" t="str">
        <f aca="false">'SALES Raw'!H2036</f>
        <v>K85 L</v>
      </c>
      <c r="D30" s="19" t="n">
        <f aca="false">'SALES Raw'!C2036</f>
        <v>1360</v>
      </c>
      <c r="E30" s="19" t="n">
        <f aca="false">'SALES Raw'!D2036</f>
        <v>46240</v>
      </c>
      <c r="F30" s="19" t="n">
        <f aca="false">'SALES Raw'!E2036*$H$4</f>
        <v>1313.68421052632</v>
      </c>
      <c r="G30" s="19" t="n">
        <f aca="false">'SALES Raw'!F2036*$H$4</f>
        <v>44665.2631578947</v>
      </c>
      <c r="H30" s="18" t="str">
        <f aca="false">'SALES Raw'!A2036</f>
        <v>112 - Kupat Holim Clalit</v>
      </c>
    </row>
    <row r="31" customFormat="false" ht="15" hidden="false" customHeight="true" outlineLevel="0" collapsed="false">
      <c r="A31" s="18" t="str">
        <f aca="false">'SALES Raw'!G2021</f>
        <v/>
      </c>
      <c r="B31" s="18" t="str">
        <f aca="false">'SALES Raw'!B2021</f>
        <v>K11U L</v>
      </c>
      <c r="C31" s="18" t="str">
        <f aca="false">'SALES Raw'!H2021</f>
        <v>K11U L</v>
      </c>
      <c r="D31" s="19" t="n">
        <f aca="false">'SALES Raw'!C2021</f>
        <v>1400</v>
      </c>
      <c r="E31" s="19" t="n">
        <f aca="false">'SALES Raw'!D2021</f>
        <v>62020</v>
      </c>
      <c r="F31" s="19" t="n">
        <f aca="false">'SALES Raw'!E2021*$H$4</f>
        <v>1263.15789473684</v>
      </c>
      <c r="G31" s="19" t="n">
        <f aca="false">'SALES Raw'!F2021*$H$4</f>
        <v>55957.8947368421</v>
      </c>
      <c r="H31" s="18" t="str">
        <f aca="false">'SALES Raw'!A2021</f>
        <v>112 - Kupat Holim Clalit</v>
      </c>
    </row>
    <row r="32" customFormat="false" ht="15" hidden="false" customHeight="true" outlineLevel="0" collapsed="false">
      <c r="A32" s="18" t="str">
        <f aca="false">'SALES Raw'!G2023</f>
        <v/>
      </c>
      <c r="B32" s="18" t="str">
        <f aca="false">'SALES Raw'!B2023</f>
        <v>K11U XL</v>
      </c>
      <c r="C32" s="18" t="str">
        <f aca="false">'SALES Raw'!H2023</f>
        <v>K11U XL</v>
      </c>
      <c r="D32" s="19" t="n">
        <f aca="false">'SALES Raw'!C2023</f>
        <v>1300</v>
      </c>
      <c r="E32" s="19" t="n">
        <f aca="false">'SALES Raw'!D2023</f>
        <v>57590</v>
      </c>
      <c r="F32" s="19" t="n">
        <f aca="false">'SALES Raw'!E2023*$H$4</f>
        <v>1136.84210526316</v>
      </c>
      <c r="G32" s="19" t="n">
        <f aca="false">'SALES Raw'!F2023*$H$4</f>
        <v>50362.1052631579</v>
      </c>
      <c r="H32" s="18" t="str">
        <f aca="false">'SALES Raw'!A2023</f>
        <v>112 - Kupat Holim Clalit</v>
      </c>
    </row>
    <row r="33" customFormat="false" ht="15" hidden="false" customHeight="true" outlineLevel="0" collapsed="false">
      <c r="A33" s="18" t="str">
        <f aca="false">'SALES Raw'!G2033</f>
        <v/>
      </c>
      <c r="B33" s="18" t="str">
        <f aca="false">'SALES Raw'!B2033</f>
        <v>K61 L</v>
      </c>
      <c r="C33" s="18" t="str">
        <f aca="false">'SALES Raw'!H2033</f>
        <v>K61 L</v>
      </c>
      <c r="D33" s="19" t="n">
        <f aca="false">'SALES Raw'!C2033</f>
        <v>1500</v>
      </c>
      <c r="E33" s="19" t="n">
        <f aca="false">'SALES Raw'!D2033</f>
        <v>32400</v>
      </c>
      <c r="F33" s="19" t="n">
        <f aca="false">'SALES Raw'!E2033*$H$4</f>
        <v>1136.84210526316</v>
      </c>
      <c r="G33" s="19" t="n">
        <f aca="false">'SALES Raw'!F2033*$H$4</f>
        <v>24555.7894736842</v>
      </c>
      <c r="H33" s="18" t="str">
        <f aca="false">'SALES Raw'!A2033</f>
        <v>112 - Kupat Holim Clalit</v>
      </c>
    </row>
    <row r="34" customFormat="false" ht="15" hidden="false" customHeight="true" outlineLevel="0" collapsed="false">
      <c r="A34" s="18" t="str">
        <f aca="false">'SALES Raw'!G2024</f>
        <v/>
      </c>
      <c r="B34" s="18" t="str">
        <f aca="false">'SALES Raw'!B2024</f>
        <v>K11U XXL</v>
      </c>
      <c r="C34" s="18" t="str">
        <f aca="false">'SALES Raw'!H2024</f>
        <v>K11U XXL</v>
      </c>
      <c r="D34" s="19" t="n">
        <f aca="false">'SALES Raw'!C2024</f>
        <v>945</v>
      </c>
      <c r="E34" s="19" t="n">
        <f aca="false">'SALES Raw'!D2024</f>
        <v>41863.5</v>
      </c>
      <c r="F34" s="19" t="n">
        <f aca="false">'SALES Raw'!E2024*$H$4</f>
        <v>909.473684210526</v>
      </c>
      <c r="G34" s="19" t="n">
        <f aca="false">'SALES Raw'!F2024*$H$4</f>
        <v>40289.6842105263</v>
      </c>
      <c r="H34" s="18" t="str">
        <f aca="false">'SALES Raw'!A2024</f>
        <v>112 - Kupat Holim Clalit</v>
      </c>
    </row>
    <row r="35" customFormat="false" ht="15" hidden="false" customHeight="true" outlineLevel="0" collapsed="false">
      <c r="A35" s="18" t="str">
        <f aca="false">'SALES Raw'!G2037</f>
        <v/>
      </c>
      <c r="B35" s="18" t="str">
        <f aca="false">'SALES Raw'!B2037</f>
        <v>K85 M</v>
      </c>
      <c r="C35" s="18" t="str">
        <f aca="false">'SALES Raw'!H2037</f>
        <v>K85 M</v>
      </c>
      <c r="D35" s="19" t="n">
        <f aca="false">'SALES Raw'!C2037</f>
        <v>800</v>
      </c>
      <c r="E35" s="19" t="n">
        <f aca="false">'SALES Raw'!D2037</f>
        <v>27200</v>
      </c>
      <c r="F35" s="19" t="n">
        <f aca="false">'SALES Raw'!E2037*$H$4</f>
        <v>909.473684210526</v>
      </c>
      <c r="G35" s="19" t="n">
        <f aca="false">'SALES Raw'!F2037*$H$4</f>
        <v>30922.1052631579</v>
      </c>
      <c r="H35" s="18" t="str">
        <f aca="false">'SALES Raw'!A2037</f>
        <v>112 - Kupat Holim Clalit</v>
      </c>
    </row>
    <row r="36" customFormat="false" ht="15" hidden="false" customHeight="true" outlineLevel="0" collapsed="false">
      <c r="A36" s="18" t="str">
        <f aca="false">'SALES Raw'!G2034</f>
        <v/>
      </c>
      <c r="B36" s="18" t="str">
        <f aca="false">'SALES Raw'!B2034</f>
        <v>K61 M</v>
      </c>
      <c r="C36" s="18" t="str">
        <f aca="false">'SALES Raw'!H2034</f>
        <v>K61 M</v>
      </c>
      <c r="D36" s="19" t="n">
        <f aca="false">'SALES Raw'!C2034</f>
        <v>720</v>
      </c>
      <c r="E36" s="19" t="n">
        <f aca="false">'SALES Raw'!D2034</f>
        <v>15552</v>
      </c>
      <c r="F36" s="19" t="n">
        <f aca="false">'SALES Raw'!E2034*$H$4</f>
        <v>833.684210526316</v>
      </c>
      <c r="G36" s="19" t="n">
        <f aca="false">'SALES Raw'!F2034*$H$4</f>
        <v>18007.5789473684</v>
      </c>
      <c r="H36" s="18" t="str">
        <f aca="false">'SALES Raw'!A2034</f>
        <v>112 - Kupat Holim Clalit</v>
      </c>
    </row>
    <row r="37" customFormat="false" ht="15" hidden="false" customHeight="true" outlineLevel="0" collapsed="false">
      <c r="A37" s="18" t="str">
        <f aca="false">'SALES Raw'!G2022</f>
        <v/>
      </c>
      <c r="B37" s="18" t="str">
        <f aca="false">'SALES Raw'!B2022</f>
        <v>K11U M</v>
      </c>
      <c r="C37" s="18" t="str">
        <f aca="false">'SALES Raw'!H2022</f>
        <v>K11U M</v>
      </c>
      <c r="D37" s="19" t="n">
        <f aca="false">'SALES Raw'!C2022</f>
        <v>950</v>
      </c>
      <c r="E37" s="19" t="n">
        <f aca="false">'SALES Raw'!D2022</f>
        <v>42085</v>
      </c>
      <c r="F37" s="19" t="n">
        <f aca="false">'SALES Raw'!E2022*$H$4</f>
        <v>821.052631578947</v>
      </c>
      <c r="G37" s="19" t="n">
        <f aca="false">'SALES Raw'!F2022*$H$4</f>
        <v>36372.6315789474</v>
      </c>
      <c r="H37" s="18" t="str">
        <f aca="false">'SALES Raw'!A2022</f>
        <v>112 - Kupat Holim Clalit</v>
      </c>
    </row>
    <row r="38" customFormat="false" ht="15" hidden="false" customHeight="true" outlineLevel="0" collapsed="false">
      <c r="A38" s="18" t="str">
        <f aca="false">'SALES Raw'!G2044</f>
        <v/>
      </c>
      <c r="B38" s="18" t="str">
        <f aca="false">'SALES Raw'!B2044</f>
        <v>ST27L 0</v>
      </c>
      <c r="C38" s="18" t="str">
        <f aca="false">'SALES Raw'!H2044</f>
        <v>ST27L 0</v>
      </c>
      <c r="D38" s="19" t="n">
        <f aca="false">'SALES Raw'!C2044</f>
        <v>-1</v>
      </c>
      <c r="E38" s="19" t="n">
        <f aca="false">'SALES Raw'!D2044</f>
        <v>-62.43</v>
      </c>
      <c r="F38" s="19" t="n">
        <f aca="false">'SALES Raw'!E2044*$H$4</f>
        <v>0</v>
      </c>
      <c r="G38" s="19" t="n">
        <f aca="false">'SALES Raw'!F2044*$H$4</f>
        <v>0</v>
      </c>
      <c r="H38" s="18" t="str">
        <f aca="false">'SALES Raw'!A2044</f>
        <v>112 - Kupat Holim Clalit</v>
      </c>
    </row>
    <row r="39" customFormat="false" ht="15" hidden="false" customHeight="true" outlineLevel="0" collapsed="false">
      <c r="A39" s="18" t="str">
        <f aca="false">'SALES Raw'!G2038</f>
        <v/>
      </c>
      <c r="B39" s="18" t="str">
        <f aca="false">'SALES Raw'!B2038</f>
        <v>99 General</v>
      </c>
      <c r="C39" s="18" t="str">
        <f aca="false">'SALES Raw'!H2038</f>
        <v>99 General</v>
      </c>
      <c r="D39" s="19" t="n">
        <f aca="false">'SALES Raw'!C2038</f>
        <v>0</v>
      </c>
      <c r="E39" s="19" t="n">
        <f aca="false">'SALES Raw'!D2038</f>
        <v>0</v>
      </c>
      <c r="F39" s="19" t="n">
        <f aca="false">'SALES Raw'!E2038*$H$4</f>
        <v>-2.52631578947368</v>
      </c>
      <c r="G39" s="19" t="n">
        <f aca="false">'SALES Raw'!F2038*$H$4</f>
        <v>-1485.47368421053</v>
      </c>
      <c r="H39" s="18" t="str">
        <f aca="false">'SALES Raw'!A2038</f>
        <v>112 - Kupat Holim Clalit</v>
      </c>
    </row>
  </sheetData>
  <mergeCells count="2">
    <mergeCell ref="A3:H3"/>
    <mergeCell ref="A4:F4"/>
  </mergeCells>
  <conditionalFormatting sqref="A7:H39">
    <cfRule type="expression" priority="2" aboveAverage="0" equalAverage="0" bottom="0" percent="0" rank="0" text="" dxfId="2">
      <formula>AND(OR($D7&lt;&gt;0,$E7&lt;&gt;0),$F7=0,$G7=0)</formula>
    </cfRule>
    <cfRule type="expression" priority="3" aboveAverage="0" equalAverage="0" bottom="0" percent="0" rank="0" text="" dxfId="3">
      <formula>AND($D7=0,$E7=0,OR($F7&lt;&gt;0,$G7&lt;&gt;0))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18"/>
    <col collapsed="false" customWidth="true" hidden="false" outlineLevel="0" max="11" min="10" style="1" width="16"/>
    <col collapsed="false" customWidth="true" hidden="false" outlineLevel="0" max="13" min="13" style="1" width="26"/>
  </cols>
  <sheetData>
    <row r="1" customFormat="false" ht="15.75" hidden="false" customHeight="true" outlineLevel="0" collapsed="false">
      <c r="A1" s="13" t="s">
        <v>543</v>
      </c>
      <c r="L1" s="20" t="s">
        <v>544</v>
      </c>
      <c r="M1" s="1" t="s">
        <v>46</v>
      </c>
    </row>
    <row r="2" customFormat="false" ht="15" hidden="false" customHeight="true" outlineLevel="0" collapsed="false">
      <c r="A2" s="3" t="s">
        <v>1</v>
      </c>
      <c r="B2" s="4" t="n">
        <v>46290</v>
      </c>
      <c r="M2" s="1" t="s">
        <v>44</v>
      </c>
    </row>
    <row r="3" customFormat="false" ht="32.25" hidden="false" customHeight="true" outlineLevel="0" collapsed="false">
      <c r="A3" s="21" t="s">
        <v>545</v>
      </c>
      <c r="B3" s="21"/>
      <c r="C3" s="21"/>
      <c r="D3" s="21"/>
      <c r="E3" s="21"/>
      <c r="F3" s="21"/>
      <c r="G3" s="21"/>
      <c r="H3" s="21"/>
      <c r="I3" s="21"/>
      <c r="M3" s="1" t="s">
        <v>53</v>
      </c>
    </row>
    <row r="4" customFormat="false" ht="15" hidden="false" customHeight="true" outlineLevel="0" collapsed="false">
      <c r="M4" s="1" t="s">
        <v>61</v>
      </c>
    </row>
    <row r="5" customFormat="false" ht="26.25" hidden="false" customHeight="true" outlineLevel="0" collapsed="false">
      <c r="A5" s="17" t="s">
        <v>546</v>
      </c>
      <c r="B5" s="17" t="s">
        <v>547</v>
      </c>
      <c r="C5" s="17" t="s">
        <v>548</v>
      </c>
      <c r="D5" s="17" t="s">
        <v>549</v>
      </c>
      <c r="E5" s="17" t="s">
        <v>550</v>
      </c>
      <c r="F5" s="17" t="s">
        <v>551</v>
      </c>
      <c r="G5" s="17" t="s">
        <v>32</v>
      </c>
      <c r="H5" s="17" t="s">
        <v>552</v>
      </c>
      <c r="I5" s="17" t="s">
        <v>553</v>
      </c>
      <c r="J5" s="7" t="s">
        <v>554</v>
      </c>
      <c r="K5" s="7" t="s">
        <v>555</v>
      </c>
      <c r="M5" s="1" t="s">
        <v>95</v>
      </c>
    </row>
    <row r="6" customFormat="false" ht="15" hidden="false" customHeight="true" outlineLevel="0" collapsed="false">
      <c r="A6" s="8" t="s">
        <v>46</v>
      </c>
      <c r="B6" s="8" t="s">
        <v>556</v>
      </c>
      <c r="C6" s="19" t="n">
        <v>2</v>
      </c>
      <c r="D6" s="19" t="n">
        <v>302.46</v>
      </c>
      <c r="E6" s="19" t="n">
        <v>0</v>
      </c>
      <c r="F6" s="19" t="n">
        <v>0</v>
      </c>
      <c r="G6" s="8" t="n">
        <f aca="false">IFERROR(INDEX('TRANS'!$B:$B,MATCH($B6,'TRANS'!$A:$A,0)),IFERROR(INDEX('TRANS'!$B:$B,MATCH(TRIM(SUBSTITUTE($B6,CHAR(160)," ")),'TRANS'!$D:$D,0)),IFERROR(INDEX('Catalog'!$A:$A,MATCH($B6,'Catalog'!$B:$B,0)),IFERROR(INDEX('Catalog'!$A:$A,MATCH(TRIM(SUBSTITUTE($B6,CHAR(160)," ")),'Catalog'!$C:$C,0)),""))))</f>
        <v>4413127</v>
      </c>
      <c r="H6" s="8" t="str">
        <f aca="false">IFERROR(INDEX('TRANS'!$C:$C,MATCH($B6,'TRANS'!$A:$A,0)),IFERROR(INDEX('Catalog'!$B:$B,MATCH($G6,'Catalog'!$A:$A,0)),$B6))</f>
        <v>75 Lמיישר כתף יציב יישור גב צר</v>
      </c>
      <c r="I6" s="8" t="str">
        <f aca="false">IF($G6="","Unmatched","Matched")</f>
        <v>Matched</v>
      </c>
      <c r="J6" s="8" t="n">
        <f aca="false">IF($G6&lt;&gt;"",$G6,$B6)</f>
        <v>4413127</v>
      </c>
      <c r="K6" s="8" t="str">
        <f aca="false">IF(COUNTIF($M$1:$M$10,$A6)&gt;0,"Y","N")</f>
        <v>Y</v>
      </c>
      <c r="M6" s="1" t="s">
        <v>56</v>
      </c>
    </row>
    <row r="7" customFormat="false" ht="15" hidden="false" customHeight="true" outlineLevel="0" collapsed="false">
      <c r="A7" s="8" t="s">
        <v>46</v>
      </c>
      <c r="B7" s="8" t="s">
        <v>557</v>
      </c>
      <c r="C7" s="19" t="n">
        <v>2</v>
      </c>
      <c r="D7" s="19" t="n">
        <v>302.46</v>
      </c>
      <c r="E7" s="19" t="n">
        <v>0</v>
      </c>
      <c r="F7" s="19" t="n">
        <v>0</v>
      </c>
      <c r="G7" s="8" t="n">
        <f aca="false">IFERROR(INDEX('TRANS'!$B:$B,MATCH($B7,'TRANS'!$A:$A,0)),IFERROR(INDEX('TRANS'!$B:$B,MATCH(TRIM(SUBSTITUTE($B7,CHAR(160)," ")),'TRANS'!$D:$D,0)),IFERROR(INDEX('Catalog'!$A:$A,MATCH($B7,'Catalog'!$B:$B,0)),IFERROR(INDEX('Catalog'!$A:$A,MATCH(TRIM(SUBSTITUTE($B7,CHAR(160)," ")),'Catalog'!$C:$C,0)),""))))</f>
        <v>4413129</v>
      </c>
      <c r="H7" s="8" t="str">
        <f aca="false">IFERROR(INDEX('TRANS'!$C:$C,MATCH($B7,'TRANS'!$A:$A,0)),IFERROR(INDEX('Catalog'!$B:$B,MATCH($G7,'Catalog'!$A:$A,0)),$B7))</f>
        <v>75 XLמיישר כתף יציב יישור ג.צר</v>
      </c>
      <c r="I7" s="8" t="str">
        <f aca="false">IF($G7="","Unmatched","Matched")</f>
        <v>Matched</v>
      </c>
      <c r="J7" s="8" t="n">
        <f aca="false">IF($G7&lt;&gt;"",$G7,$B7)</f>
        <v>4413129</v>
      </c>
      <c r="K7" s="8" t="str">
        <f aca="false">IF(COUNTIF($M$1:$M$10,$A7)&gt;0,"Y","N")</f>
        <v>Y</v>
      </c>
      <c r="M7" s="1" t="s">
        <v>448</v>
      </c>
    </row>
    <row r="8" customFormat="false" ht="15" hidden="false" customHeight="true" outlineLevel="0" collapsed="false">
      <c r="A8" s="8" t="s">
        <v>46</v>
      </c>
      <c r="B8" s="8" t="s">
        <v>558</v>
      </c>
      <c r="C8" s="19" t="n">
        <v>69</v>
      </c>
      <c r="D8" s="19" t="n">
        <v>5398.3</v>
      </c>
      <c r="E8" s="19" t="n">
        <v>31</v>
      </c>
      <c r="F8" s="19" t="n">
        <v>2358.14</v>
      </c>
      <c r="G8" s="8" t="n">
        <f aca="false">IFERROR(INDEX('TRANS'!$B:$B,MATCH($B8,'TRANS'!$A:$A,0)),IFERROR(INDEX('TRANS'!$B:$B,MATCH(TRIM(SUBSTITUTE($B8,CHAR(160)," ")),'TRANS'!$D:$D,0)),IFERROR(INDEX('Catalog'!$A:$A,MATCH($B8,'Catalog'!$B:$B,0)),IFERROR(INDEX('Catalog'!$A:$A,MATCH(TRIM(SUBSTITUTE($B8,CHAR(160)," ")),'Catalog'!$C:$C,0)),""))))</f>
        <v>4413453</v>
      </c>
      <c r="H8" s="8" t="str">
        <f aca="false">IFERROR(INDEX('TRANS'!$C:$C,MATCH($B8,'TRANS'!$A:$A,0)),IFERROR(INDEX('Catalog'!$B:$B,MATCH($G8,'Catalog'!$A:$A,0)),$B8))</f>
        <v>AC75 מישר כתפיים אקטיב</v>
      </c>
      <c r="I8" s="8" t="str">
        <f aca="false">IF($G8="","Unmatched","Matched")</f>
        <v>Matched</v>
      </c>
      <c r="J8" s="8" t="n">
        <f aca="false">IF($G8&lt;&gt;"",$G8,$B8)</f>
        <v>4413453</v>
      </c>
      <c r="K8" s="8" t="str">
        <f aca="false">IF(COUNTIF($M$1:$M$10,$A8)&gt;0,"Y","N")</f>
        <v>Y</v>
      </c>
      <c r="M8" s="1" t="s">
        <v>54</v>
      </c>
    </row>
    <row r="9" customFormat="false" ht="15" hidden="false" customHeight="true" outlineLevel="0" collapsed="false">
      <c r="A9" s="8" t="s">
        <v>46</v>
      </c>
      <c r="B9" s="8" t="s">
        <v>559</v>
      </c>
      <c r="C9" s="19" t="n">
        <v>1</v>
      </c>
      <c r="D9" s="19" t="n">
        <v>94.5</v>
      </c>
      <c r="E9" s="19" t="n">
        <v>0</v>
      </c>
      <c r="F9" s="19" t="n">
        <v>0</v>
      </c>
      <c r="G9" s="8" t="n">
        <f aca="false">IFERROR(INDEX('TRANS'!$B:$B,MATCH($B9,'TRANS'!$A:$A,0)),IFERROR(INDEX('TRANS'!$B:$B,MATCH(TRIM(SUBSTITUTE($B9,CHAR(160)," ")),'TRANS'!$D:$D,0)),IFERROR(INDEX('Catalog'!$A:$A,MATCH($B9,'Catalog'!$B:$B,0)),IFERROR(INDEX('Catalog'!$A:$A,MATCH(TRIM(SUBSTITUTE($B9,CHAR(160)," ")),'Catalog'!$C:$C,0)),""))))</f>
        <v>4408093</v>
      </c>
      <c r="H9" s="8" t="str">
        <f aca="false">IFERROR(INDEX('TRANS'!$C:$C,MATCH($B9,'TRANS'!$A:$A,0)),IFERROR(INDEX('Catalog'!$B:$B,MATCH($G9,'Catalog'!$A:$A,0)),$B9))</f>
        <v>T11C XXL חגורת גב פוג'יאמה</v>
      </c>
      <c r="I9" s="8" t="str">
        <f aca="false">IF($G9="","Unmatched","Matched")</f>
        <v>Matched</v>
      </c>
      <c r="J9" s="8" t="n">
        <f aca="false">IF($G9&lt;&gt;"",$G9,$B9)</f>
        <v>4408093</v>
      </c>
      <c r="K9" s="8" t="str">
        <f aca="false">IF(COUNTIF($M$1:$M$10,$A9)&gt;0,"Y","N")</f>
        <v>Y</v>
      </c>
      <c r="M9" s="1" t="s">
        <v>42</v>
      </c>
    </row>
    <row r="10" customFormat="false" ht="15" hidden="false" customHeight="true" outlineLevel="0" collapsed="false">
      <c r="A10" s="8" t="s">
        <v>46</v>
      </c>
      <c r="B10" s="8" t="s">
        <v>560</v>
      </c>
      <c r="C10" s="19" t="n">
        <v>12</v>
      </c>
      <c r="D10" s="19" t="n">
        <v>1079.57</v>
      </c>
      <c r="E10" s="19" t="n">
        <v>4</v>
      </c>
      <c r="F10" s="19" t="n">
        <v>412.29</v>
      </c>
      <c r="G10" s="8" t="n">
        <f aca="false">IFERROR(INDEX('TRANS'!$B:$B,MATCH($B10,'TRANS'!$A:$A,0)),IFERROR(INDEX('TRANS'!$B:$B,MATCH(TRIM(SUBSTITUTE($B10,CHAR(160)," ")),'TRANS'!$D:$D,0)),IFERROR(INDEX('Catalog'!$A:$A,MATCH($B10,'Catalog'!$B:$B,0)),IFERROR(INDEX('Catalog'!$A:$A,MATCH(TRIM(SUBSTITUTE($B10,CHAR(160)," ")),'Catalog'!$C:$C,0)),""))))</f>
        <v>4413328</v>
      </c>
      <c r="H10" s="8" t="str">
        <f aca="false">IFERROR(INDEX('TRANS'!$C:$C,MATCH($B10,'TRANS'!$A:$A,0)),IFERROR(INDEX('Catalog'!$B:$B,MATCH($G10,'Catalog'!$A:$A,0)),$B10))</f>
        <v>AC43D מגן ברך + צירים</v>
      </c>
      <c r="I10" s="8" t="str">
        <f aca="false">IF($G10="","Unmatched","Matched")</f>
        <v>Matched</v>
      </c>
      <c r="J10" s="8" t="n">
        <f aca="false">IF($G10&lt;&gt;"",$G10,$B10)</f>
        <v>4413328</v>
      </c>
      <c r="K10" s="8" t="str">
        <f aca="false">IF(COUNTIF($M$1:$M$10,$A10)&gt;0,"Y","N")</f>
        <v>Y</v>
      </c>
      <c r="M10" s="1" t="s">
        <v>49</v>
      </c>
    </row>
    <row r="11" customFormat="false" ht="15" hidden="false" customHeight="true" outlineLevel="0" collapsed="false">
      <c r="A11" s="8" t="s">
        <v>46</v>
      </c>
      <c r="B11" s="8" t="s">
        <v>57</v>
      </c>
      <c r="C11" s="19" t="n">
        <v>33</v>
      </c>
      <c r="D11" s="19" t="n">
        <v>983.03</v>
      </c>
      <c r="E11" s="19" t="n">
        <v>9</v>
      </c>
      <c r="F11" s="19" t="n">
        <v>272</v>
      </c>
      <c r="G11" s="8" t="str">
        <f aca="false">IFERROR(INDEX('TRANS'!$B:$B,MATCH($B11,'TRANS'!$A:$A,0)),IFERROR(INDEX('TRANS'!$B:$B,MATCH(TRIM(SUBSTITUTE($B11,CHAR(160)," ")),'TRANS'!$D:$D,0)),IFERROR(INDEX('Catalog'!$A:$A,MATCH($B11,'Catalog'!$B:$B,0)),IFERROR(INDEX('Catalog'!$A:$A,MATCH(TRIM(SUBSTITUTE($B11,CHAR(160)," ")),'Catalog'!$C:$C,0)),""))))</f>
        <v/>
      </c>
      <c r="H11" s="8" t="str">
        <f aca="false">IFERROR(INDEX('TRANS'!$C:$C,MATCH($B11,'TRANS'!$A:$A,0)),IFERROR(INDEX('Catalog'!$B:$B,MATCH($G11,'Catalog'!$A:$A,0)),$B11))</f>
        <v>M93</v>
      </c>
      <c r="I11" s="8" t="str">
        <f aca="false">IF($G11="","Unmatched","Matched")</f>
        <v>Unmatched</v>
      </c>
      <c r="J11" s="8" t="str">
        <f aca="false">IF($G11&lt;&gt;"",$G11,$B11)</f>
        <v>M93</v>
      </c>
      <c r="K11" s="8" t="str">
        <f aca="false">IF(COUNTIF($M$1:$M$10,$A11)&gt;0,"Y","N")</f>
        <v>Y</v>
      </c>
    </row>
    <row r="12" customFormat="false" ht="15" hidden="false" customHeight="true" outlineLevel="0" collapsed="false">
      <c r="A12" s="8" t="s">
        <v>46</v>
      </c>
      <c r="B12" s="8" t="s">
        <v>135</v>
      </c>
      <c r="C12" s="19" t="n">
        <v>2</v>
      </c>
      <c r="D12" s="19" t="n">
        <v>211.72</v>
      </c>
      <c r="E12" s="19" t="n">
        <v>5</v>
      </c>
      <c r="F12" s="19" t="n">
        <v>538.82</v>
      </c>
      <c r="G12" s="8" t="str">
        <f aca="false">IFERROR(INDEX('TRANS'!$B:$B,MATCH($B12,'TRANS'!$A:$A,0)),IFERROR(INDEX('TRANS'!$B:$B,MATCH(TRIM(SUBSTITUTE($B12,CHAR(160)," ")),'TRANS'!$D:$D,0)),IFERROR(INDEX('Catalog'!$A:$A,MATCH($B12,'Catalog'!$B:$B,0)),IFERROR(INDEX('Catalog'!$A:$A,MATCH(TRIM(SUBSTITUTE($B12,CHAR(160)," ")),'Catalog'!$C:$C,0)),""))))</f>
        <v/>
      </c>
      <c r="H12" s="8" t="str">
        <f aca="false">IFERROR(INDEX('TRANS'!$C:$C,MATCH($B12,'TRANS'!$A:$A,0)),IFERROR(INDEX('Catalog'!$B:$B,MATCH($G12,'Catalog'!$A:$A,0)),$B12))</f>
        <v>T39 XL</v>
      </c>
      <c r="I12" s="8" t="str">
        <f aca="false">IF($G12="","Unmatched","Matched")</f>
        <v>Unmatched</v>
      </c>
      <c r="J12" s="8" t="str">
        <f aca="false">IF($G12&lt;&gt;"",$G12,$B12)</f>
        <v>T39 XL</v>
      </c>
      <c r="K12" s="8" t="str">
        <f aca="false">IF(COUNTIF($M$1:$M$10,$A12)&gt;0,"Y","N")</f>
        <v>Y</v>
      </c>
    </row>
    <row r="13" customFormat="false" ht="15" hidden="false" customHeight="true" outlineLevel="0" collapsed="false">
      <c r="A13" s="8" t="s">
        <v>46</v>
      </c>
      <c r="B13" s="8" t="s">
        <v>120</v>
      </c>
      <c r="C13" s="19" t="n">
        <v>1</v>
      </c>
      <c r="D13" s="19" t="n">
        <v>140.57</v>
      </c>
      <c r="E13" s="19" t="n">
        <v>0</v>
      </c>
      <c r="F13" s="19" t="n">
        <v>0</v>
      </c>
      <c r="G13" s="8" t="str">
        <f aca="false">IFERROR(INDEX('TRANS'!$B:$B,MATCH($B13,'TRANS'!$A:$A,0)),IFERROR(INDEX('TRANS'!$B:$B,MATCH(TRIM(SUBSTITUTE($B13,CHAR(160)," ")),'TRANS'!$D:$D,0)),IFERROR(INDEX('Catalog'!$A:$A,MATCH($B13,'Catalog'!$B:$B,0)),IFERROR(INDEX('Catalog'!$A:$A,MATCH(TRIM(SUBSTITUTE($B13,CHAR(160)," ")),'Catalog'!$C:$C,0)),""))))</f>
        <v/>
      </c>
      <c r="H13" s="8" t="str">
        <f aca="false">IFERROR(INDEX('TRANS'!$C:$C,MATCH($B13,'TRANS'!$A:$A,0)),IFERROR(INDEX('Catalog'!$B:$B,MATCH($G13,'Catalog'!$A:$A,0)),$B13))</f>
        <v>06U M</v>
      </c>
      <c r="I13" s="8" t="str">
        <f aca="false">IF($G13="","Unmatched","Matched")</f>
        <v>Unmatched</v>
      </c>
      <c r="J13" s="8" t="str">
        <f aca="false">IF($G13&lt;&gt;"",$G13,$B13)</f>
        <v>06U M</v>
      </c>
      <c r="K13" s="8" t="str">
        <f aca="false">IF(COUNTIF($M$1:$M$10,$A13)&gt;0,"Y","N")</f>
        <v>Y</v>
      </c>
    </row>
    <row r="14" customFormat="false" ht="15" hidden="false" customHeight="true" outlineLevel="0" collapsed="false">
      <c r="A14" s="8" t="s">
        <v>46</v>
      </c>
      <c r="B14" s="8" t="s">
        <v>561</v>
      </c>
      <c r="C14" s="19" t="n">
        <v>9</v>
      </c>
      <c r="D14" s="19" t="n">
        <v>1045.57</v>
      </c>
      <c r="E14" s="19" t="n">
        <v>18</v>
      </c>
      <c r="F14" s="19" t="n">
        <v>2567.47</v>
      </c>
      <c r="G14" s="8" t="n">
        <f aca="false">IFERROR(INDEX('TRANS'!$B:$B,MATCH($B14,'TRANS'!$A:$A,0)),IFERROR(INDEX('TRANS'!$B:$B,MATCH(TRIM(SUBSTITUTE($B14,CHAR(160)," ")),'TRANS'!$D:$D,0)),IFERROR(INDEX('Catalog'!$A:$A,MATCH($B14,'Catalog'!$B:$B,0)),IFERROR(INDEX('Catalog'!$A:$A,MATCH(TRIM(SUBSTITUTE($B14,CHAR(160)," ")),'Catalog'!$C:$C,0)),""))))</f>
        <v>4408192</v>
      </c>
      <c r="H14" s="8" t="str">
        <f aca="false">IFERROR(INDEX('TRANS'!$C:$C,MATCH($B14,'TRANS'!$A:$A,0)),IFERROR(INDEX('Catalog'!$B:$B,MATCH($G14,'Catalog'!$A:$A,0)),$B14))</f>
        <v>078 L חגורת גב +סגירה</v>
      </c>
      <c r="I14" s="8" t="str">
        <f aca="false">IF($G14="","Unmatched","Matched")</f>
        <v>Matched</v>
      </c>
      <c r="J14" s="8" t="n">
        <f aca="false">IF($G14&lt;&gt;"",$G14,$B14)</f>
        <v>4408192</v>
      </c>
      <c r="K14" s="8" t="str">
        <f aca="false">IF(COUNTIF($M$1:$M$10,$A14)&gt;0,"Y","N")</f>
        <v>Y</v>
      </c>
    </row>
    <row r="15" customFormat="false" ht="15" hidden="false" customHeight="true" outlineLevel="0" collapsed="false">
      <c r="A15" s="8" t="s">
        <v>46</v>
      </c>
      <c r="B15" s="8" t="s">
        <v>562</v>
      </c>
      <c r="C15" s="19" t="n">
        <v>6</v>
      </c>
      <c r="D15" s="19" t="n">
        <v>645.81</v>
      </c>
      <c r="E15" s="19" t="n">
        <v>16</v>
      </c>
      <c r="F15" s="19" t="n">
        <v>2407.69</v>
      </c>
      <c r="G15" s="8" t="n">
        <f aca="false">IFERROR(INDEX('TRANS'!$B:$B,MATCH($B15,'TRANS'!$A:$A,0)),IFERROR(INDEX('TRANS'!$B:$B,MATCH(TRIM(SUBSTITUTE($B15,CHAR(160)," ")),'TRANS'!$D:$D,0)),IFERROR(INDEX('Catalog'!$A:$A,MATCH($B15,'Catalog'!$B:$B,0)),IFERROR(INDEX('Catalog'!$A:$A,MATCH(TRIM(SUBSTITUTE($B15,CHAR(160)," ")),'Catalog'!$C:$C,0)),""))))</f>
        <v>4408218</v>
      </c>
      <c r="H15" s="8" t="str">
        <f aca="false">IFERROR(INDEX('TRANS'!$C:$C,MATCH($B15,'TRANS'!$A:$A,0)),IFERROR(INDEX('Catalog'!$B:$B,MATCH($G15,'Catalog'!$A:$A,0)),$B15))</f>
        <v>078XL חגורת גב +סגירה כפולה</v>
      </c>
      <c r="I15" s="8" t="str">
        <f aca="false">IF($G15="","Unmatched","Matched")</f>
        <v>Matched</v>
      </c>
      <c r="J15" s="8" t="n">
        <f aca="false">IF($G15&lt;&gt;"",$G15,$B15)</f>
        <v>4408218</v>
      </c>
      <c r="K15" s="8" t="str">
        <f aca="false">IF(COUNTIF($M$1:$M$10,$A15)&gt;0,"Y","N")</f>
        <v>Y</v>
      </c>
    </row>
    <row r="16" customFormat="false" ht="15" hidden="false" customHeight="true" outlineLevel="0" collapsed="false">
      <c r="A16" s="8" t="s">
        <v>46</v>
      </c>
      <c r="B16" s="8" t="s">
        <v>563</v>
      </c>
      <c r="C16" s="19" t="n">
        <v>2</v>
      </c>
      <c r="D16" s="19" t="n">
        <v>234.26</v>
      </c>
      <c r="E16" s="19" t="n">
        <v>4</v>
      </c>
      <c r="F16" s="19" t="n">
        <v>351.41</v>
      </c>
      <c r="G16" s="8" t="n">
        <f aca="false">IFERROR(INDEX('TRANS'!$B:$B,MATCH($B16,'TRANS'!$A:$A,0)),IFERROR(INDEX('TRANS'!$B:$B,MATCH(TRIM(SUBSTITUTE($B16,CHAR(160)," ")),'TRANS'!$D:$D,0)),IFERROR(INDEX('Catalog'!$A:$A,MATCH($B16,'Catalog'!$B:$B,0)),IFERROR(INDEX('Catalog'!$A:$A,MATCH(TRIM(SUBSTITUTE($B16,CHAR(160)," ")),'Catalog'!$C:$C,0)),""))))</f>
        <v>4408220</v>
      </c>
      <c r="H16" s="8" t="str">
        <f aca="false">IFERROR(INDEX('TRANS'!$C:$C,MATCH($B16,'TRANS'!$A:$A,0)),IFERROR(INDEX('Catalog'!$B:$B,MATCH($G16,'Catalog'!$A:$A,0)),$B16))</f>
        <v>078G-M חגורת גב אפורה</v>
      </c>
      <c r="I16" s="8" t="str">
        <f aca="false">IF($G16="","Unmatched","Matched")</f>
        <v>Matched</v>
      </c>
      <c r="J16" s="8" t="n">
        <f aca="false">IF($G16&lt;&gt;"",$G16,$B16)</f>
        <v>4408220</v>
      </c>
      <c r="K16" s="8" t="str">
        <f aca="false">IF(COUNTIF($M$1:$M$10,$A16)&gt;0,"Y","N")</f>
        <v>Y</v>
      </c>
    </row>
    <row r="17" customFormat="false" ht="15" hidden="false" customHeight="true" outlineLevel="0" collapsed="false">
      <c r="A17" s="8" t="s">
        <v>46</v>
      </c>
      <c r="B17" s="8" t="s">
        <v>214</v>
      </c>
      <c r="C17" s="19" t="n">
        <v>0</v>
      </c>
      <c r="D17" s="19" t="n">
        <v>0</v>
      </c>
      <c r="E17" s="19" t="n">
        <v>2</v>
      </c>
      <c r="F17" s="19" t="n">
        <v>217.41</v>
      </c>
      <c r="G17" s="8" t="str">
        <f aca="false">IFERROR(INDEX('TRANS'!$B:$B,MATCH($B17,'TRANS'!$A:$A,0)),IFERROR(INDEX('TRANS'!$B:$B,MATCH(TRIM(SUBSTITUTE($B17,CHAR(160)," ")),'TRANS'!$D:$D,0)),IFERROR(INDEX('Catalog'!$A:$A,MATCH($B17,'Catalog'!$B:$B,0)),IFERROR(INDEX('Catalog'!$A:$A,MATCH(TRIM(SUBSTITUTE($B17,CHAR(160)," ")),'Catalog'!$C:$C,0)),""))))</f>
        <v/>
      </c>
      <c r="H17" s="8" t="str">
        <f aca="false">IFERROR(INDEX('TRANS'!$C:$C,MATCH($B17,'TRANS'!$A:$A,0)),IFERROR(INDEX('Catalog'!$B:$B,MATCH($G17,'Catalog'!$A:$A,0)),$B17))</f>
        <v>079 M</v>
      </c>
      <c r="I17" s="8" t="str">
        <f aca="false">IF($G17="","Unmatched","Matched")</f>
        <v>Unmatched</v>
      </c>
      <c r="J17" s="8" t="str">
        <f aca="false">IF($G17&lt;&gt;"",$G17,$B17)</f>
        <v>079 M</v>
      </c>
      <c r="K17" s="8" t="str">
        <f aca="false">IF(COUNTIF($M$1:$M$10,$A17)&gt;0,"Y","N")</f>
        <v>Y</v>
      </c>
    </row>
    <row r="18" customFormat="false" ht="15" hidden="false" customHeight="true" outlineLevel="0" collapsed="false">
      <c r="A18" s="8" t="s">
        <v>46</v>
      </c>
      <c r="B18" s="8" t="s">
        <v>402</v>
      </c>
      <c r="C18" s="19" t="n">
        <v>1</v>
      </c>
      <c r="D18" s="19" t="n">
        <v>231.97</v>
      </c>
      <c r="E18" s="19" t="n">
        <v>0</v>
      </c>
      <c r="F18" s="19" t="n">
        <v>0</v>
      </c>
      <c r="G18" s="8" t="str">
        <f aca="false">IFERROR(INDEX('TRANS'!$B:$B,MATCH($B18,'TRANS'!$A:$A,0)),IFERROR(INDEX('TRANS'!$B:$B,MATCH(TRIM(SUBSTITUTE($B18,CHAR(160)," ")),'TRANS'!$D:$D,0)),IFERROR(INDEX('Catalog'!$A:$A,MATCH($B18,'Catalog'!$B:$B,0)),IFERROR(INDEX('Catalog'!$A:$A,MATCH(TRIM(SUBSTITUTE($B18,CHAR(160)," ")),'Catalog'!$C:$C,0)),""))))</f>
        <v/>
      </c>
      <c r="H18" s="8" t="str">
        <f aca="false">IFERROR(INDEX('TRANS'!$C:$C,MATCH($B18,'TRANS'!$A:$A,0)),IFERROR(INDEX('Catalog'!$B:$B,MATCH($G18,'Catalog'!$A:$A,0)),$B18))</f>
        <v>07UC-S-M</v>
      </c>
      <c r="I18" s="8" t="str">
        <f aca="false">IF($G18="","Unmatched","Matched")</f>
        <v>Unmatched</v>
      </c>
      <c r="J18" s="8" t="str">
        <f aca="false">IF($G18&lt;&gt;"",$G18,$B18)</f>
        <v>07UC-S-M</v>
      </c>
      <c r="K18" s="8" t="str">
        <f aca="false">IF(COUNTIF($M$1:$M$10,$A18)&gt;0,"Y","N")</f>
        <v>Y</v>
      </c>
    </row>
    <row r="19" customFormat="false" ht="15" hidden="false" customHeight="true" outlineLevel="0" collapsed="false">
      <c r="A19" s="8" t="s">
        <v>46</v>
      </c>
      <c r="B19" s="8" t="s">
        <v>403</v>
      </c>
      <c r="C19" s="19" t="n">
        <v>1</v>
      </c>
      <c r="D19" s="19" t="n">
        <v>137.81</v>
      </c>
      <c r="E19" s="19" t="n">
        <v>0</v>
      </c>
      <c r="F19" s="19" t="n">
        <v>0</v>
      </c>
      <c r="G19" s="8" t="str">
        <f aca="false">IFERROR(INDEX('TRANS'!$B:$B,MATCH($B19,'TRANS'!$A:$A,0)),IFERROR(INDEX('TRANS'!$B:$B,MATCH(TRIM(SUBSTITUTE($B19,CHAR(160)," ")),'TRANS'!$D:$D,0)),IFERROR(INDEX('Catalog'!$A:$A,MATCH($B19,'Catalog'!$B:$B,0)),IFERROR(INDEX('Catalog'!$A:$A,MATCH(TRIM(SUBSTITUTE($B19,CHAR(160)," ")),'Catalog'!$C:$C,0)),""))))</f>
        <v/>
      </c>
      <c r="H19" s="8" t="str">
        <f aca="false">IFERROR(INDEX('TRANS'!$C:$C,MATCH($B19,'TRANS'!$A:$A,0)),IFERROR(INDEX('Catalog'!$B:$B,MATCH($G19,'Catalog'!$A:$A,0)),$B19))</f>
        <v>09-S-M</v>
      </c>
      <c r="I19" s="8" t="str">
        <f aca="false">IF($G19="","Unmatched","Matched")</f>
        <v>Unmatched</v>
      </c>
      <c r="J19" s="8" t="str">
        <f aca="false">IF($G19&lt;&gt;"",$G19,$B19)</f>
        <v>09-S-M</v>
      </c>
      <c r="K19" s="8" t="str">
        <f aca="false">IF(COUNTIF($M$1:$M$10,$A19)&gt;0,"Y","N")</f>
        <v>Y</v>
      </c>
    </row>
    <row r="20" customFormat="false" ht="15" hidden="false" customHeight="true" outlineLevel="0" collapsed="false">
      <c r="A20" s="8" t="s">
        <v>46</v>
      </c>
      <c r="B20" s="8" t="s">
        <v>125</v>
      </c>
      <c r="C20" s="19" t="n">
        <v>0</v>
      </c>
      <c r="D20" s="19" t="n">
        <v>0</v>
      </c>
      <c r="E20" s="19" t="n">
        <v>1</v>
      </c>
      <c r="F20" s="19" t="n">
        <v>137.3</v>
      </c>
      <c r="G20" s="8" t="str">
        <f aca="false">IFERROR(INDEX('TRANS'!$B:$B,MATCH($B20,'TRANS'!$A:$A,0)),IFERROR(INDEX('TRANS'!$B:$B,MATCH(TRIM(SUBSTITUTE($B20,CHAR(160)," ")),'TRANS'!$D:$D,0)),IFERROR(INDEX('Catalog'!$A:$A,MATCH($B20,'Catalog'!$B:$B,0)),IFERROR(INDEX('Catalog'!$A:$A,MATCH(TRIM(SUBSTITUTE($B20,CHAR(160)," ")),'Catalog'!$C:$C,0)),""))))</f>
        <v/>
      </c>
      <c r="H20" s="8" t="str">
        <f aca="false">IFERROR(INDEX('TRANS'!$C:$C,MATCH($B20,'TRANS'!$A:$A,0)),IFERROR(INDEX('Catalog'!$B:$B,MATCH($G20,'Catalog'!$A:$A,0)),$B20))</f>
        <v>099-L-XL</v>
      </c>
      <c r="I20" s="8" t="str">
        <f aca="false">IF($G20="","Unmatched","Matched")</f>
        <v>Unmatched</v>
      </c>
      <c r="J20" s="8" t="str">
        <f aca="false">IF($G20&lt;&gt;"",$G20,$B20)</f>
        <v>099-L-XL</v>
      </c>
      <c r="K20" s="8" t="str">
        <f aca="false">IF(COUNTIF($M$1:$M$10,$A20)&gt;0,"Y","N")</f>
        <v>Y</v>
      </c>
    </row>
    <row r="21" customFormat="false" ht="15" hidden="false" customHeight="true" outlineLevel="0" collapsed="false">
      <c r="A21" s="8" t="s">
        <v>46</v>
      </c>
      <c r="B21" s="8" t="s">
        <v>215</v>
      </c>
      <c r="C21" s="19" t="n">
        <v>1</v>
      </c>
      <c r="D21" s="19" t="n">
        <v>137.29</v>
      </c>
      <c r="E21" s="19" t="n">
        <v>0</v>
      </c>
      <c r="F21" s="19" t="n">
        <v>0.01</v>
      </c>
      <c r="G21" s="8" t="str">
        <f aca="false">IFERROR(INDEX('TRANS'!$B:$B,MATCH($B21,'TRANS'!$A:$A,0)),IFERROR(INDEX('TRANS'!$B:$B,MATCH(TRIM(SUBSTITUTE($B21,CHAR(160)," ")),'TRANS'!$D:$D,0)),IFERROR(INDEX('Catalog'!$A:$A,MATCH($B21,'Catalog'!$B:$B,0)),IFERROR(INDEX('Catalog'!$A:$A,MATCH(TRIM(SUBSTITUTE($B21,CHAR(160)," ")),'Catalog'!$C:$C,0)),""))))</f>
        <v/>
      </c>
      <c r="H21" s="8" t="str">
        <f aca="false">IFERROR(INDEX('TRANS'!$C:$C,MATCH($B21,'TRANS'!$A:$A,0)),IFERROR(INDEX('Catalog'!$B:$B,MATCH($G21,'Catalog'!$A:$A,0)),$B21))</f>
        <v>099-S-M</v>
      </c>
      <c r="I21" s="8" t="str">
        <f aca="false">IF($G21="","Unmatched","Matched")</f>
        <v>Unmatched</v>
      </c>
      <c r="J21" s="8" t="str">
        <f aca="false">IF($G21&lt;&gt;"",$G21,$B21)</f>
        <v>099-S-M</v>
      </c>
      <c r="K21" s="8" t="str">
        <f aca="false">IF(COUNTIF($M$1:$M$10,$A21)&gt;0,"Y","N")</f>
        <v>Y</v>
      </c>
    </row>
    <row r="22" customFormat="false" ht="15" hidden="false" customHeight="true" outlineLevel="0" collapsed="false">
      <c r="A22" s="8" t="s">
        <v>46</v>
      </c>
      <c r="B22" s="8" t="s">
        <v>564</v>
      </c>
      <c r="C22" s="19" t="n">
        <v>11</v>
      </c>
      <c r="D22" s="19" t="n">
        <v>1454.63</v>
      </c>
      <c r="E22" s="19" t="n">
        <v>0</v>
      </c>
      <c r="F22" s="19" t="n">
        <v>0</v>
      </c>
      <c r="G22" s="8" t="n">
        <f aca="false">IFERROR(INDEX('TRANS'!$B:$B,MATCH($B22,'TRANS'!$A:$A,0)),IFERROR(INDEX('TRANS'!$B:$B,MATCH(TRIM(SUBSTITUTE($B22,CHAR(160)," ")),'TRANS'!$D:$D,0)),IFERROR(INDEX('Catalog'!$A:$A,MATCH($B22,'Catalog'!$B:$B,0)),IFERROR(INDEX('Catalog'!$A:$A,MATCH(TRIM(SUBSTITUTE($B22,CHAR(160)," ")),'Catalog'!$C:$C,0)),""))))</f>
        <v>4408027</v>
      </c>
      <c r="H22" s="8" t="str">
        <f aca="false">IFERROR(INDEX('TRANS'!$C:$C,MATCH($B22,'TRANS'!$A:$A,0)),IFERROR(INDEX('Catalog'!$B:$B,MATCH($G22,'Catalog'!$A:$A,0)),$B22))</f>
        <v>10 L """"חגורת גב """"לומבו</v>
      </c>
      <c r="I22" s="8" t="str">
        <f aca="false">IF($G22="","Unmatched","Matched")</f>
        <v>Matched</v>
      </c>
      <c r="J22" s="8" t="n">
        <f aca="false">IF($G22&lt;&gt;"",$G22,$B22)</f>
        <v>4408027</v>
      </c>
      <c r="K22" s="8" t="str">
        <f aca="false">IF(COUNTIF($M$1:$M$10,$A22)&gt;0,"Y","N")</f>
        <v>Y</v>
      </c>
    </row>
    <row r="23" customFormat="false" ht="15" hidden="false" customHeight="true" outlineLevel="0" collapsed="false">
      <c r="A23" s="8" t="s">
        <v>46</v>
      </c>
      <c r="B23" s="8" t="s">
        <v>565</v>
      </c>
      <c r="C23" s="19" t="n">
        <v>1</v>
      </c>
      <c r="D23" s="19" t="n">
        <v>151.23</v>
      </c>
      <c r="E23" s="19" t="n">
        <v>0</v>
      </c>
      <c r="F23" s="19" t="n">
        <v>0</v>
      </c>
      <c r="G23" s="8" t="n">
        <f aca="false">IFERROR(INDEX('TRANS'!$B:$B,MATCH($B23,'TRANS'!$A:$A,0)),IFERROR(INDEX('TRANS'!$B:$B,MATCH(TRIM(SUBSTITUTE($B23,CHAR(160)," ")),'TRANS'!$D:$D,0)),IFERROR(INDEX('Catalog'!$A:$A,MATCH($B23,'Catalog'!$B:$B,0)),IFERROR(INDEX('Catalog'!$A:$A,MATCH(TRIM(SUBSTITUTE($B23,CHAR(160)," ")),'Catalog'!$C:$C,0)),""))))</f>
        <v>4408028</v>
      </c>
      <c r="H23" s="8" t="str">
        <f aca="false">IFERROR(INDEX('TRANS'!$C:$C,MATCH($B23,'TRANS'!$A:$A,0)),IFERROR(INDEX('Catalog'!$B:$B,MATCH($G23,'Catalog'!$A:$A,0)),$B23))</f>
        <v>10 M """"חגורת גב """"לומבו</v>
      </c>
      <c r="I23" s="8" t="str">
        <f aca="false">IF($G23="","Unmatched","Matched")</f>
        <v>Matched</v>
      </c>
      <c r="J23" s="8" t="n">
        <f aca="false">IF($G23&lt;&gt;"",$G23,$B23)</f>
        <v>4408028</v>
      </c>
      <c r="K23" s="8" t="str">
        <f aca="false">IF(COUNTIF($M$1:$M$10,$A23)&gt;0,"Y","N")</f>
        <v>Y</v>
      </c>
    </row>
    <row r="24" customFormat="false" ht="15" hidden="false" customHeight="true" outlineLevel="0" collapsed="false">
      <c r="A24" s="8" t="s">
        <v>46</v>
      </c>
      <c r="B24" s="8" t="s">
        <v>566</v>
      </c>
      <c r="C24" s="19" t="n">
        <v>12</v>
      </c>
      <c r="D24" s="19" t="n">
        <v>1602.46</v>
      </c>
      <c r="E24" s="19" t="n">
        <v>0</v>
      </c>
      <c r="F24" s="19" t="n">
        <v>0</v>
      </c>
      <c r="G24" s="8" t="n">
        <f aca="false">IFERROR(INDEX('TRANS'!$B:$B,MATCH($B24,'TRANS'!$A:$A,0)),IFERROR(INDEX('TRANS'!$B:$B,MATCH(TRIM(SUBSTITUTE($B24,CHAR(160)," ")),'TRANS'!$D:$D,0)),IFERROR(INDEX('Catalog'!$A:$A,MATCH($B24,'Catalog'!$B:$B,0)),IFERROR(INDEX('Catalog'!$A:$A,MATCH(TRIM(SUBSTITUTE($B24,CHAR(160)," ")),'Catalog'!$C:$C,0)),""))))</f>
        <v>4408029</v>
      </c>
      <c r="H24" s="8" t="str">
        <f aca="false">IFERROR(INDEX('TRANS'!$C:$C,MATCH($B24,'TRANS'!$A:$A,0)),IFERROR(INDEX('Catalog'!$B:$B,MATCH($G24,'Catalog'!$A:$A,0)),$B24))</f>
        <v>10 XL """"חגורת גב """"לומבו</v>
      </c>
      <c r="I24" s="8" t="str">
        <f aca="false">IF($G24="","Unmatched","Matched")</f>
        <v>Matched</v>
      </c>
      <c r="J24" s="8" t="n">
        <f aca="false">IF($G24&lt;&gt;"",$G24,$B24)</f>
        <v>4408029</v>
      </c>
      <c r="K24" s="8" t="str">
        <f aca="false">IF(COUNTIF($M$1:$M$10,$A24)&gt;0,"Y","N")</f>
        <v>Y</v>
      </c>
    </row>
    <row r="25" customFormat="false" ht="15" hidden="false" customHeight="true" outlineLevel="0" collapsed="false">
      <c r="A25" s="8" t="s">
        <v>46</v>
      </c>
      <c r="B25" s="8" t="s">
        <v>567</v>
      </c>
      <c r="C25" s="19" t="n">
        <v>1</v>
      </c>
      <c r="D25" s="19" t="n">
        <v>103.96</v>
      </c>
      <c r="E25" s="19" t="n">
        <v>0</v>
      </c>
      <c r="F25" s="19" t="n">
        <v>0</v>
      </c>
      <c r="G25" s="8" t="n">
        <f aca="false">IFERROR(INDEX('TRANS'!$B:$B,MATCH($B25,'TRANS'!$A:$A,0)),IFERROR(INDEX('TRANS'!$B:$B,MATCH(TRIM(SUBSTITUTE($B25,CHAR(160)," ")),'TRANS'!$D:$D,0)),IFERROR(INDEX('Catalog'!$A:$A,MATCH($B25,'Catalog'!$B:$B,0)),IFERROR(INDEX('Catalog'!$A:$A,MATCH(TRIM(SUBSTITUTE($B25,CHAR(160)," ")),'Catalog'!$C:$C,0)),""))))</f>
        <v>4408033</v>
      </c>
      <c r="H25" s="8" t="str">
        <f aca="false">IFERROR(INDEX('TRANS'!$C:$C,MATCH($B25,'TRANS'!$A:$A,0)),IFERROR(INDEX('Catalog'!$B:$B,MATCH($G25,'Catalog'!$A:$A,0)),$B25))</f>
        <v>11 M""""חגורת בטן""""אורירית</v>
      </c>
      <c r="I25" s="8" t="str">
        <f aca="false">IF($G25="","Unmatched","Matched")</f>
        <v>Matched</v>
      </c>
      <c r="J25" s="8" t="n">
        <f aca="false">IF($G25&lt;&gt;"",$G25,$B25)</f>
        <v>4408033</v>
      </c>
      <c r="K25" s="8" t="str">
        <f aca="false">IF(COUNTIF($M$1:$M$10,$A25)&gt;0,"Y","N")</f>
        <v>Y</v>
      </c>
    </row>
    <row r="26" customFormat="false" ht="15" hidden="false" customHeight="true" outlineLevel="0" collapsed="false">
      <c r="A26" s="8" t="s">
        <v>46</v>
      </c>
      <c r="B26" s="8" t="s">
        <v>568</v>
      </c>
      <c r="C26" s="19" t="n">
        <v>0</v>
      </c>
      <c r="D26" s="19" t="n">
        <v>0</v>
      </c>
      <c r="E26" s="19" t="n">
        <v>1</v>
      </c>
      <c r="F26" s="19" t="n">
        <v>110.11</v>
      </c>
      <c r="G26" s="8" t="n">
        <f aca="false">IFERROR(INDEX('TRANS'!$B:$B,MATCH($B26,'TRANS'!$A:$A,0)),IFERROR(INDEX('TRANS'!$B:$B,MATCH(TRIM(SUBSTITUTE($B26,CHAR(160)," ")),'TRANS'!$D:$D,0)),IFERROR(INDEX('Catalog'!$A:$A,MATCH($B26,'Catalog'!$B:$B,0)),IFERROR(INDEX('Catalog'!$A:$A,MATCH(TRIM(SUBSTITUTE($B26,CHAR(160)," ")),'Catalog'!$C:$C,0)),""))))</f>
        <v>4408115</v>
      </c>
      <c r="H26" s="8" t="str">
        <f aca="false">IFERROR(INDEX('TRANS'!$C:$C,MATCH($B26,'TRANS'!$A:$A,0)),IFERROR(INDEX('Catalog'!$B:$B,MATCH($G26,'Catalog'!$A:$A,0)),$B26))</f>
        <v>11EU L ח.בטן לאחר ניתוח</v>
      </c>
      <c r="I26" s="8" t="str">
        <f aca="false">IF($G26="","Unmatched","Matched")</f>
        <v>Matched</v>
      </c>
      <c r="J26" s="8" t="n">
        <f aca="false">IF($G26&lt;&gt;"",$G26,$B26)</f>
        <v>4408115</v>
      </c>
      <c r="K26" s="8" t="str">
        <f aca="false">IF(COUNTIF($M$1:$M$10,$A26)&gt;0,"Y","N")</f>
        <v>Y</v>
      </c>
    </row>
    <row r="27" customFormat="false" ht="15" hidden="false" customHeight="true" outlineLevel="0" collapsed="false">
      <c r="A27" s="8" t="s">
        <v>46</v>
      </c>
      <c r="B27" s="8" t="s">
        <v>569</v>
      </c>
      <c r="C27" s="19" t="n">
        <v>1</v>
      </c>
      <c r="D27" s="19" t="n">
        <v>110.15</v>
      </c>
      <c r="E27" s="19" t="n">
        <v>1</v>
      </c>
      <c r="F27" s="19" t="n">
        <v>85</v>
      </c>
      <c r="G27" s="8" t="n">
        <f aca="false">IFERROR(INDEX('TRANS'!$B:$B,MATCH($B27,'TRANS'!$A:$A,0)),IFERROR(INDEX('TRANS'!$B:$B,MATCH(TRIM(SUBSTITUTE($B27,CHAR(160)," ")),'TRANS'!$D:$D,0)),IFERROR(INDEX('Catalog'!$A:$A,MATCH($B27,'Catalog'!$B:$B,0)),IFERROR(INDEX('Catalog'!$A:$A,MATCH(TRIM(SUBSTITUTE($B27,CHAR(160)," ")),'Catalog'!$C:$C,0)),""))))</f>
        <v>4408114</v>
      </c>
      <c r="H27" s="8" t="str">
        <f aca="false">IFERROR(INDEX('TRANS'!$C:$C,MATCH($B27,'TRANS'!$A:$A,0)),IFERROR(INDEX('Catalog'!$B:$B,MATCH($G27,'Catalog'!$A:$A,0)),$B27))</f>
        <v>11EU M ח.בטן לאחר ניתוח</v>
      </c>
      <c r="I27" s="8" t="str">
        <f aca="false">IF($G27="","Unmatched","Matched")</f>
        <v>Matched</v>
      </c>
      <c r="J27" s="8" t="n">
        <f aca="false">IF($G27&lt;&gt;"",$G27,$B27)</f>
        <v>4408114</v>
      </c>
      <c r="K27" s="8" t="str">
        <f aca="false">IF(COUNTIF($M$1:$M$10,$A27)&gt;0,"Y","N")</f>
        <v>Y</v>
      </c>
    </row>
    <row r="28" customFormat="false" ht="15" hidden="false" customHeight="true" outlineLevel="0" collapsed="false">
      <c r="A28" s="8" t="s">
        <v>46</v>
      </c>
      <c r="B28" s="8" t="s">
        <v>156</v>
      </c>
      <c r="C28" s="19" t="n">
        <v>0</v>
      </c>
      <c r="D28" s="19" t="n">
        <v>0</v>
      </c>
      <c r="E28" s="19" t="n">
        <v>1</v>
      </c>
      <c r="F28" s="19" t="n">
        <v>110.11</v>
      </c>
      <c r="G28" s="8" t="str">
        <f aca="false">IFERROR(INDEX('TRANS'!$B:$B,MATCH($B28,'TRANS'!$A:$A,0)),IFERROR(INDEX('TRANS'!$B:$B,MATCH(TRIM(SUBSTITUTE($B28,CHAR(160)," ")),'TRANS'!$D:$D,0)),IFERROR(INDEX('Catalog'!$A:$A,MATCH($B28,'Catalog'!$B:$B,0)),IFERROR(INDEX('Catalog'!$A:$A,MATCH(TRIM(SUBSTITUTE($B28,CHAR(160)," ")),'Catalog'!$C:$C,0)),""))))</f>
        <v/>
      </c>
      <c r="H28" s="8" t="str">
        <f aca="false">IFERROR(INDEX('TRANS'!$C:$C,MATCH($B28,'TRANS'!$A:$A,0)),IFERROR(INDEX('Catalog'!$B:$B,MATCH($G28,'Catalog'!$A:$A,0)),$B28))</f>
        <v>11EU S</v>
      </c>
      <c r="I28" s="8" t="str">
        <f aca="false">IF($G28="","Unmatched","Matched")</f>
        <v>Unmatched</v>
      </c>
      <c r="J28" s="8" t="str">
        <f aca="false">IF($G28&lt;&gt;"",$G28,$B28)</f>
        <v>11EU S</v>
      </c>
      <c r="K28" s="8" t="str">
        <f aca="false">IF(COUNTIF($M$1:$M$10,$A28)&gt;0,"Y","N")</f>
        <v>Y</v>
      </c>
    </row>
    <row r="29" customFormat="false" ht="15" hidden="false" customHeight="true" outlineLevel="0" collapsed="false">
      <c r="A29" s="8" t="s">
        <v>46</v>
      </c>
      <c r="B29" s="8" t="s">
        <v>570</v>
      </c>
      <c r="C29" s="19" t="n">
        <v>2</v>
      </c>
      <c r="D29" s="19" t="n">
        <v>376.88</v>
      </c>
      <c r="E29" s="19" t="n">
        <v>0</v>
      </c>
      <c r="F29" s="19" t="n">
        <v>0</v>
      </c>
      <c r="G29" s="8" t="n">
        <f aca="false">IFERROR(INDEX('TRANS'!$B:$B,MATCH($B29,'TRANS'!$A:$A,0)),IFERROR(INDEX('TRANS'!$B:$B,MATCH(TRIM(SUBSTITUTE($B29,CHAR(160)," ")),'TRANS'!$D:$D,0)),IFERROR(INDEX('Catalog'!$A:$A,MATCH($B29,'Catalog'!$B:$B,0)),IFERROR(INDEX('Catalog'!$A:$A,MATCH(TRIM(SUBSTITUTE($B29,CHAR(160)," ")),'Catalog'!$C:$C,0)),""))))</f>
        <v>4408263</v>
      </c>
      <c r="H29" s="8" t="str">
        <f aca="false">IFERROR(INDEX('TRANS'!$C:$C,MATCH($B29,'TRANS'!$A:$A,0)),IFERROR(INDEX('Catalog'!$B:$B,MATCH($G29,'Catalog'!$A:$A,0)),$B29))</f>
        <v>11STO XXL חגורה אחרי ניתוח</v>
      </c>
      <c r="I29" s="8" t="str">
        <f aca="false">IF($G29="","Unmatched","Matched")</f>
        <v>Matched</v>
      </c>
      <c r="J29" s="8" t="n">
        <f aca="false">IF($G29&lt;&gt;"",$G29,$B29)</f>
        <v>4408263</v>
      </c>
      <c r="K29" s="8" t="str">
        <f aca="false">IF(COUNTIF($M$1:$M$10,$A29)&gt;0,"Y","N")</f>
        <v>Y</v>
      </c>
    </row>
    <row r="30" customFormat="false" ht="15" hidden="false" customHeight="true" outlineLevel="0" collapsed="false">
      <c r="A30" s="8" t="s">
        <v>46</v>
      </c>
      <c r="B30" s="8" t="s">
        <v>571</v>
      </c>
      <c r="C30" s="19" t="n">
        <v>1</v>
      </c>
      <c r="D30" s="19" t="n">
        <v>155.95</v>
      </c>
      <c r="E30" s="19" t="n">
        <v>1</v>
      </c>
      <c r="F30" s="19" t="n">
        <v>313.95</v>
      </c>
      <c r="G30" s="8" t="n">
        <f aca="false">IFERROR(INDEX('TRANS'!$B:$B,MATCH($B30,'TRANS'!$A:$A,0)),IFERROR(INDEX('TRANS'!$B:$B,MATCH(TRIM(SUBSTITUTE($B30,CHAR(160)," ")),'TRANS'!$D:$D,0)),IFERROR(INDEX('Catalog'!$A:$A,MATCH($B30,'Catalog'!$B:$B,0)),IFERROR(INDEX('Catalog'!$A:$A,MATCH(TRIM(SUBSTITUTE($B30,CHAR(160)," ")),'Catalog'!$C:$C,0)),""))))</f>
        <v>4408154</v>
      </c>
      <c r="H30" s="8" t="str">
        <f aca="false">IFERROR(INDEX('TRANS'!$C:$C,MATCH($B30,'TRANS'!$A:$A,0)),IFERROR(INDEX('Catalog'!$B:$B,MATCH($G30,'Catalog'!$A:$A,0)),$B30))</f>
        <v>11TO XXLחגורה למנותחי בית החזה</v>
      </c>
      <c r="I30" s="8" t="str">
        <f aca="false">IF($G30="","Unmatched","Matched")</f>
        <v>Matched</v>
      </c>
      <c r="J30" s="8" t="n">
        <f aca="false">IF($G30&lt;&gt;"",$G30,$B30)</f>
        <v>4408154</v>
      </c>
      <c r="K30" s="8" t="str">
        <f aca="false">IF(COUNTIF($M$1:$M$10,$A30)&gt;0,"Y","N")</f>
        <v>Y</v>
      </c>
    </row>
    <row r="31" customFormat="false" ht="15" hidden="false" customHeight="true" outlineLevel="0" collapsed="false">
      <c r="A31" s="8" t="s">
        <v>46</v>
      </c>
      <c r="B31" s="8" t="s">
        <v>128</v>
      </c>
      <c r="C31" s="19" t="n">
        <v>1</v>
      </c>
      <c r="D31" s="19" t="n">
        <v>94.5</v>
      </c>
      <c r="E31" s="19" t="n">
        <v>0</v>
      </c>
      <c r="F31" s="19" t="n">
        <v>0</v>
      </c>
      <c r="G31" s="8" t="str">
        <f aca="false">IFERROR(INDEX('TRANS'!$B:$B,MATCH($B31,'TRANS'!$A:$A,0)),IFERROR(INDEX('TRANS'!$B:$B,MATCH(TRIM(SUBSTITUTE($B31,CHAR(160)," ")),'TRANS'!$D:$D,0)),IFERROR(INDEX('Catalog'!$A:$A,MATCH($B31,'Catalog'!$B:$B,0)),IFERROR(INDEX('Catalog'!$A:$A,MATCH(TRIM(SUBSTITUTE($B31,CHAR(160)," ")),'Catalog'!$C:$C,0)),""))))</f>
        <v/>
      </c>
      <c r="H31" s="8" t="str">
        <f aca="false">IFERROR(INDEX('TRANS'!$C:$C,MATCH($B31,'TRANS'!$A:$A,0)),IFERROR(INDEX('Catalog'!$B:$B,MATCH($G31,'Catalog'!$A:$A,0)),$B31))</f>
        <v>11UG M</v>
      </c>
      <c r="I31" s="8" t="str">
        <f aca="false">IF($G31="","Unmatched","Matched")</f>
        <v>Unmatched</v>
      </c>
      <c r="J31" s="8" t="str">
        <f aca="false">IF($G31&lt;&gt;"",$G31,$B31)</f>
        <v>11UG M</v>
      </c>
      <c r="K31" s="8" t="str">
        <f aca="false">IF(COUNTIF($M$1:$M$10,$A31)&gt;0,"Y","N")</f>
        <v>Y</v>
      </c>
    </row>
    <row r="32" customFormat="false" ht="15" hidden="false" customHeight="true" outlineLevel="0" collapsed="false">
      <c r="A32" s="8" t="s">
        <v>46</v>
      </c>
      <c r="B32" s="8" t="s">
        <v>216</v>
      </c>
      <c r="C32" s="19" t="n">
        <v>1</v>
      </c>
      <c r="D32" s="19" t="n">
        <v>103.07</v>
      </c>
      <c r="E32" s="19" t="n">
        <v>0</v>
      </c>
      <c r="F32" s="19" t="n">
        <v>0</v>
      </c>
      <c r="G32" s="8" t="str">
        <f aca="false">IFERROR(INDEX('TRANS'!$B:$B,MATCH($B32,'TRANS'!$A:$A,0)),IFERROR(INDEX('TRANS'!$B:$B,MATCH(TRIM(SUBSTITUTE($B32,CHAR(160)," ")),'TRANS'!$D:$D,0)),IFERROR(INDEX('Catalog'!$A:$A,MATCH($B32,'Catalog'!$B:$B,0)),IFERROR(INDEX('Catalog'!$A:$A,MATCH(TRIM(SUBSTITUTE($B32,CHAR(160)," ")),'Catalog'!$C:$C,0)),""))))</f>
        <v/>
      </c>
      <c r="H32" s="8" t="str">
        <f aca="false">IFERROR(INDEX('TRANS'!$C:$C,MATCH($B32,'TRANS'!$A:$A,0)),IFERROR(INDEX('Catalog'!$B:$B,MATCH($G32,'Catalog'!$A:$A,0)),$B32))</f>
        <v>11UG XL</v>
      </c>
      <c r="I32" s="8" t="str">
        <f aca="false">IF($G32="","Unmatched","Matched")</f>
        <v>Unmatched</v>
      </c>
      <c r="J32" s="8" t="str">
        <f aca="false">IF($G32&lt;&gt;"",$G32,$B32)</f>
        <v>11UG XL</v>
      </c>
      <c r="K32" s="8" t="str">
        <f aca="false">IF(COUNTIF($M$1:$M$10,$A32)&gt;0,"Y","N")</f>
        <v>Y</v>
      </c>
    </row>
    <row r="33" customFormat="false" ht="15" hidden="false" customHeight="true" outlineLevel="0" collapsed="false">
      <c r="A33" s="8" t="s">
        <v>46</v>
      </c>
      <c r="B33" s="8" t="s">
        <v>137</v>
      </c>
      <c r="C33" s="19" t="n">
        <v>1</v>
      </c>
      <c r="D33" s="19" t="n">
        <v>94.5</v>
      </c>
      <c r="E33" s="19" t="n">
        <v>0</v>
      </c>
      <c r="F33" s="19" t="n">
        <v>0</v>
      </c>
      <c r="G33" s="8" t="str">
        <f aca="false">IFERROR(INDEX('TRANS'!$B:$B,MATCH($B33,'TRANS'!$A:$A,0)),IFERROR(INDEX('TRANS'!$B:$B,MATCH(TRIM(SUBSTITUTE($B33,CHAR(160)," ")),'TRANS'!$D:$D,0)),IFERROR(INDEX('Catalog'!$A:$A,MATCH($B33,'Catalog'!$B:$B,0)),IFERROR(INDEX('Catalog'!$A:$A,MATCH(TRIM(SUBSTITUTE($B33,CHAR(160)," ")),'Catalog'!$C:$C,0)),""))))</f>
        <v/>
      </c>
      <c r="H33" s="8" t="str">
        <f aca="false">IFERROR(INDEX('TRANS'!$C:$C,MATCH($B33,'TRANS'!$A:$A,0)),IFERROR(INDEX('Catalog'!$B:$B,MATCH($G33,'Catalog'!$A:$A,0)),$B33))</f>
        <v>11UG XXL</v>
      </c>
      <c r="I33" s="8" t="str">
        <f aca="false">IF($G33="","Unmatched","Matched")</f>
        <v>Unmatched</v>
      </c>
      <c r="J33" s="8" t="str">
        <f aca="false">IF($G33&lt;&gt;"",$G33,$B33)</f>
        <v>11UG XXL</v>
      </c>
      <c r="K33" s="8" t="str">
        <f aca="false">IF(COUNTIF($M$1:$M$10,$A33)&gt;0,"Y","N")</f>
        <v>Y</v>
      </c>
    </row>
    <row r="34" customFormat="false" ht="15" hidden="false" customHeight="true" outlineLevel="0" collapsed="false">
      <c r="A34" s="8" t="s">
        <v>46</v>
      </c>
      <c r="B34" s="8" t="s">
        <v>185</v>
      </c>
      <c r="C34" s="19" t="n">
        <v>1</v>
      </c>
      <c r="D34" s="19" t="n">
        <v>156.97</v>
      </c>
      <c r="E34" s="19" t="n">
        <v>1</v>
      </c>
      <c r="F34" s="19" t="n">
        <v>115</v>
      </c>
      <c r="G34" s="8" t="str">
        <f aca="false">IFERROR(INDEX('TRANS'!$B:$B,MATCH($B34,'TRANS'!$A:$A,0)),IFERROR(INDEX('TRANS'!$B:$B,MATCH(TRIM(SUBSTITUTE($B34,CHAR(160)," ")),'TRANS'!$D:$D,0)),IFERROR(INDEX('Catalog'!$A:$A,MATCH($B34,'Catalog'!$B:$B,0)),IFERROR(INDEX('Catalog'!$A:$A,MATCH(TRIM(SUBSTITUTE($B34,CHAR(160)," ")),'Catalog'!$C:$C,0)),""))))</f>
        <v/>
      </c>
      <c r="H34" s="8" t="str">
        <f aca="false">IFERROR(INDEX('TRANS'!$C:$C,MATCH($B34,'TRANS'!$A:$A,0)),IFERROR(INDEX('Catalog'!$B:$B,MATCH($G34,'Catalog'!$A:$A,0)),$B34))</f>
        <v>13 L</v>
      </c>
      <c r="I34" s="8" t="str">
        <f aca="false">IF($G34="","Unmatched","Matched")</f>
        <v>Unmatched</v>
      </c>
      <c r="J34" s="8" t="str">
        <f aca="false">IF($G34&lt;&gt;"",$G34,$B34)</f>
        <v>13 L</v>
      </c>
      <c r="K34" s="8" t="str">
        <f aca="false">IF(COUNTIF($M$1:$M$10,$A34)&gt;0,"Y","N")</f>
        <v>Y</v>
      </c>
    </row>
    <row r="35" customFormat="false" ht="15" hidden="false" customHeight="true" outlineLevel="0" collapsed="false">
      <c r="A35" s="8" t="s">
        <v>46</v>
      </c>
      <c r="B35" s="8" t="s">
        <v>153</v>
      </c>
      <c r="C35" s="19" t="n">
        <v>0</v>
      </c>
      <c r="D35" s="19" t="n">
        <v>0</v>
      </c>
      <c r="E35" s="19" t="n">
        <v>2</v>
      </c>
      <c r="F35" s="19" t="n">
        <v>126.46</v>
      </c>
      <c r="G35" s="8" t="str">
        <f aca="false">IFERROR(INDEX('TRANS'!$B:$B,MATCH($B35,'TRANS'!$A:$A,0)),IFERROR(INDEX('TRANS'!$B:$B,MATCH(TRIM(SUBSTITUTE($B35,CHAR(160)," ")),'TRANS'!$D:$D,0)),IFERROR(INDEX('Catalog'!$A:$A,MATCH($B35,'Catalog'!$B:$B,0)),IFERROR(INDEX('Catalog'!$A:$A,MATCH(TRIM(SUBSTITUTE($B35,CHAR(160)," ")),'Catalog'!$C:$C,0)),""))))</f>
        <v/>
      </c>
      <c r="H35" s="8" t="str">
        <f aca="false">IFERROR(INDEX('TRANS'!$C:$C,MATCH($B35,'TRANS'!$A:$A,0)),IFERROR(INDEX('Catalog'!$B:$B,MATCH($G35,'Catalog'!$A:$A,0)),$B35))</f>
        <v>13B S</v>
      </c>
      <c r="I35" s="8" t="str">
        <f aca="false">IF($G35="","Unmatched","Matched")</f>
        <v>Unmatched</v>
      </c>
      <c r="J35" s="8" t="str">
        <f aca="false">IF($G35&lt;&gt;"",$G35,$B35)</f>
        <v>13B S</v>
      </c>
      <c r="K35" s="8" t="str">
        <f aca="false">IF(COUNTIF($M$1:$M$10,$A35)&gt;0,"Y","N")</f>
        <v>Y</v>
      </c>
    </row>
    <row r="36" customFormat="false" ht="15" hidden="false" customHeight="true" outlineLevel="0" collapsed="false">
      <c r="A36" s="8" t="s">
        <v>46</v>
      </c>
      <c r="B36" s="8" t="s">
        <v>572</v>
      </c>
      <c r="C36" s="19" t="n">
        <v>3</v>
      </c>
      <c r="D36" s="19" t="n">
        <v>692.4</v>
      </c>
      <c r="E36" s="19" t="n">
        <v>1</v>
      </c>
      <c r="F36" s="19" t="n">
        <v>0.01</v>
      </c>
      <c r="G36" s="8" t="n">
        <f aca="false">IFERROR(INDEX('TRANS'!$B:$B,MATCH($B36,'TRANS'!$A:$A,0)),IFERROR(INDEX('TRANS'!$B:$B,MATCH(TRIM(SUBSTITUTE($B36,CHAR(160)," ")),'TRANS'!$D:$D,0)),IFERROR(INDEX('Catalog'!$A:$A,MATCH($B36,'Catalog'!$B:$B,0)),IFERROR(INDEX('Catalog'!$A:$A,MATCH(TRIM(SUBSTITUTE($B36,CHAR(160)," ")),'Catalog'!$C:$C,0)),""))))</f>
        <v>4408203</v>
      </c>
      <c r="H36" s="8" t="str">
        <f aca="false">IFERROR(INDEX('TRANS'!$C:$C,MATCH($B36,'TRANS'!$A:$A,0)),IFERROR(INDEX('Catalog'!$B:$B,MATCH($G36,'Catalog'!$A:$A,0)),$B36))</f>
        <v>14 0 חגורה למנותחי בית חזה</v>
      </c>
      <c r="I36" s="8" t="str">
        <f aca="false">IF($G36="","Unmatched","Matched")</f>
        <v>Matched</v>
      </c>
      <c r="J36" s="8" t="n">
        <f aca="false">IF($G36&lt;&gt;"",$G36,$B36)</f>
        <v>4408203</v>
      </c>
      <c r="K36" s="8" t="str">
        <f aca="false">IF(COUNTIF($M$1:$M$10,$A36)&gt;0,"Y","N")</f>
        <v>Y</v>
      </c>
    </row>
    <row r="37" customFormat="false" ht="15" hidden="false" customHeight="true" outlineLevel="0" collapsed="false">
      <c r="A37" s="8" t="s">
        <v>46</v>
      </c>
      <c r="B37" s="8" t="s">
        <v>229</v>
      </c>
      <c r="C37" s="19" t="n">
        <v>3</v>
      </c>
      <c r="D37" s="19" t="n">
        <v>421.71</v>
      </c>
      <c r="E37" s="19" t="n">
        <v>0</v>
      </c>
      <c r="F37" s="19" t="n">
        <v>0</v>
      </c>
      <c r="G37" s="8" t="str">
        <f aca="false">IFERROR(INDEX('TRANS'!$B:$B,MATCH($B37,'TRANS'!$A:$A,0)),IFERROR(INDEX('TRANS'!$B:$B,MATCH(TRIM(SUBSTITUTE($B37,CHAR(160)," ")),'TRANS'!$D:$D,0)),IFERROR(INDEX('Catalog'!$A:$A,MATCH($B37,'Catalog'!$B:$B,0)),IFERROR(INDEX('Catalog'!$A:$A,MATCH(TRIM(SUBSTITUTE($B37,CHAR(160)," ")),'Catalog'!$C:$C,0)),""))))</f>
        <v/>
      </c>
      <c r="H37" s="8" t="str">
        <f aca="false">IFERROR(INDEX('TRANS'!$C:$C,MATCH($B37,'TRANS'!$A:$A,0)),IFERROR(INDEX('Catalog'!$B:$B,MATCH($G37,'Catalog'!$A:$A,0)),$B37))</f>
        <v>15M L</v>
      </c>
      <c r="I37" s="8" t="str">
        <f aca="false">IF($G37="","Unmatched","Matched")</f>
        <v>Unmatched</v>
      </c>
      <c r="J37" s="8" t="str">
        <f aca="false">IF($G37&lt;&gt;"",$G37,$B37)</f>
        <v>15M L</v>
      </c>
      <c r="K37" s="8" t="str">
        <f aca="false">IF(COUNTIF($M$1:$M$10,$A37)&gt;0,"Y","N")</f>
        <v>Y</v>
      </c>
    </row>
    <row r="38" customFormat="false" ht="15" hidden="false" customHeight="true" outlineLevel="0" collapsed="false">
      <c r="A38" s="8" t="s">
        <v>46</v>
      </c>
      <c r="B38" s="8" t="s">
        <v>404</v>
      </c>
      <c r="C38" s="19" t="n">
        <v>1</v>
      </c>
      <c r="D38" s="19" t="n">
        <v>140.57</v>
      </c>
      <c r="E38" s="19" t="n">
        <v>0</v>
      </c>
      <c r="F38" s="19" t="n">
        <v>0</v>
      </c>
      <c r="G38" s="8" t="str">
        <f aca="false">IFERROR(INDEX('TRANS'!$B:$B,MATCH($B38,'TRANS'!$A:$A,0)),IFERROR(INDEX('TRANS'!$B:$B,MATCH(TRIM(SUBSTITUTE($B38,CHAR(160)," ")),'TRANS'!$D:$D,0)),IFERROR(INDEX('Catalog'!$A:$A,MATCH($B38,'Catalog'!$B:$B,0)),IFERROR(INDEX('Catalog'!$A:$A,MATCH(TRIM(SUBSTITUTE($B38,CHAR(160)," ")),'Catalog'!$C:$C,0)),""))))</f>
        <v/>
      </c>
      <c r="H38" s="8" t="str">
        <f aca="false">IFERROR(INDEX('TRANS'!$C:$C,MATCH($B38,'TRANS'!$A:$A,0)),IFERROR(INDEX('Catalog'!$B:$B,MATCH($G38,'Catalog'!$A:$A,0)),$B38))</f>
        <v>15M M</v>
      </c>
      <c r="I38" s="8" t="str">
        <f aca="false">IF($G38="","Unmatched","Matched")</f>
        <v>Unmatched</v>
      </c>
      <c r="J38" s="8" t="str">
        <f aca="false">IF($G38&lt;&gt;"",$G38,$B38)</f>
        <v>15M M</v>
      </c>
      <c r="K38" s="8" t="str">
        <f aca="false">IF(COUNTIF($M$1:$M$10,$A38)&gt;0,"Y","N")</f>
        <v>Y</v>
      </c>
    </row>
    <row r="39" customFormat="false" ht="15" hidden="false" customHeight="true" outlineLevel="0" collapsed="false">
      <c r="A39" s="8" t="s">
        <v>46</v>
      </c>
      <c r="B39" s="8" t="s">
        <v>573</v>
      </c>
      <c r="C39" s="19" t="n">
        <v>1</v>
      </c>
      <c r="D39" s="19" t="n">
        <v>140.57</v>
      </c>
      <c r="E39" s="19" t="n">
        <v>0</v>
      </c>
      <c r="F39" s="19" t="n">
        <v>0</v>
      </c>
      <c r="G39" s="8" t="n">
        <f aca="false">IFERROR(INDEX('TRANS'!$B:$B,MATCH($B39,'TRANS'!$A:$A,0)),IFERROR(INDEX('TRANS'!$B:$B,MATCH(TRIM(SUBSTITUTE($B39,CHAR(160)," ")),'TRANS'!$D:$D,0)),IFERROR(INDEX('Catalog'!$A:$A,MATCH($B39,'Catalog'!$B:$B,0)),IFERROR(INDEX('Catalog'!$A:$A,MATCH(TRIM(SUBSTITUTE($B39,CHAR(160)," ")),'Catalog'!$C:$C,0)),""))))</f>
        <v>4408131</v>
      </c>
      <c r="H39" s="8" t="str">
        <f aca="false">IFERROR(INDEX('TRANS'!$C:$C,MATCH($B39,'TRANS'!$A:$A,0)),IFERROR(INDEX('Catalog'!$B:$B,MATCH($G39,'Catalog'!$A:$A,0)),$B39))</f>
        <v>15W L חגורת צלעות לאשה</v>
      </c>
      <c r="I39" s="8" t="str">
        <f aca="false">IF($G39="","Unmatched","Matched")</f>
        <v>Matched</v>
      </c>
      <c r="J39" s="8" t="n">
        <f aca="false">IF($G39&lt;&gt;"",$G39,$B39)</f>
        <v>4408131</v>
      </c>
      <c r="K39" s="8" t="str">
        <f aca="false">IF(COUNTIF($M$1:$M$10,$A39)&gt;0,"Y","N")</f>
        <v>Y</v>
      </c>
    </row>
    <row r="40" customFormat="false" ht="15" hidden="false" customHeight="true" outlineLevel="0" collapsed="false">
      <c r="A40" s="8" t="s">
        <v>46</v>
      </c>
      <c r="B40" s="8" t="s">
        <v>263</v>
      </c>
      <c r="C40" s="19" t="n">
        <v>1</v>
      </c>
      <c r="D40" s="19" t="n">
        <v>140.57</v>
      </c>
      <c r="E40" s="19" t="n">
        <v>0</v>
      </c>
      <c r="F40" s="19" t="n">
        <v>0</v>
      </c>
      <c r="G40" s="8" t="str">
        <f aca="false">IFERROR(INDEX('TRANS'!$B:$B,MATCH($B40,'TRANS'!$A:$A,0)),IFERROR(INDEX('TRANS'!$B:$B,MATCH(TRIM(SUBSTITUTE($B40,CHAR(160)," ")),'TRANS'!$D:$D,0)),IFERROR(INDEX('Catalog'!$A:$A,MATCH($B40,'Catalog'!$B:$B,0)),IFERROR(INDEX('Catalog'!$A:$A,MATCH(TRIM(SUBSTITUTE($B40,CHAR(160)," ")),'Catalog'!$C:$C,0)),""))))</f>
        <v/>
      </c>
      <c r="H40" s="8" t="str">
        <f aca="false">IFERROR(INDEX('TRANS'!$C:$C,MATCH($B40,'TRANS'!$A:$A,0)),IFERROR(INDEX('Catalog'!$B:$B,MATCH($G40,'Catalog'!$A:$A,0)),$B40))</f>
        <v>15W M</v>
      </c>
      <c r="I40" s="8" t="str">
        <f aca="false">IF($G40="","Unmatched","Matched")</f>
        <v>Unmatched</v>
      </c>
      <c r="J40" s="8" t="str">
        <f aca="false">IF($G40&lt;&gt;"",$G40,$B40)</f>
        <v>15W M</v>
      </c>
      <c r="K40" s="8" t="str">
        <f aca="false">IF(COUNTIF($M$1:$M$10,$A40)&gt;0,"Y","N")</f>
        <v>Y</v>
      </c>
    </row>
    <row r="41" customFormat="false" ht="15" hidden="false" customHeight="true" outlineLevel="0" collapsed="false">
      <c r="A41" s="8" t="s">
        <v>46</v>
      </c>
      <c r="B41" s="8" t="s">
        <v>405</v>
      </c>
      <c r="C41" s="19" t="n">
        <v>2</v>
      </c>
      <c r="D41" s="19" t="n">
        <v>281.14</v>
      </c>
      <c r="E41" s="19" t="n">
        <v>0</v>
      </c>
      <c r="F41" s="19" t="n">
        <v>0</v>
      </c>
      <c r="G41" s="8" t="str">
        <f aca="false">IFERROR(INDEX('TRANS'!$B:$B,MATCH($B41,'TRANS'!$A:$A,0)),IFERROR(INDEX('TRANS'!$B:$B,MATCH(TRIM(SUBSTITUTE($B41,CHAR(160)," ")),'TRANS'!$D:$D,0)),IFERROR(INDEX('Catalog'!$A:$A,MATCH($B41,'Catalog'!$B:$B,0)),IFERROR(INDEX('Catalog'!$A:$A,MATCH(TRIM(SUBSTITUTE($B41,CHAR(160)," ")),'Catalog'!$C:$C,0)),""))))</f>
        <v/>
      </c>
      <c r="H41" s="8" t="str">
        <f aca="false">IFERROR(INDEX('TRANS'!$C:$C,MATCH($B41,'TRANS'!$A:$A,0)),IFERROR(INDEX('Catalog'!$B:$B,MATCH($G41,'Catalog'!$A:$A,0)),$B41))</f>
        <v>15W S</v>
      </c>
      <c r="I41" s="8" t="str">
        <f aca="false">IF($G41="","Unmatched","Matched")</f>
        <v>Unmatched</v>
      </c>
      <c r="J41" s="8" t="str">
        <f aca="false">IF($G41&lt;&gt;"",$G41,$B41)</f>
        <v>15W S</v>
      </c>
      <c r="K41" s="8" t="str">
        <f aca="false">IF(COUNTIF($M$1:$M$10,$A41)&gt;0,"Y","N")</f>
        <v>Y</v>
      </c>
    </row>
    <row r="42" customFormat="false" ht="15" hidden="false" customHeight="true" outlineLevel="0" collapsed="false">
      <c r="A42" s="8" t="s">
        <v>46</v>
      </c>
      <c r="B42" s="8" t="s">
        <v>317</v>
      </c>
      <c r="C42" s="19" t="n">
        <v>1</v>
      </c>
      <c r="D42" s="19" t="n">
        <v>140.57</v>
      </c>
      <c r="E42" s="19" t="n">
        <v>0</v>
      </c>
      <c r="F42" s="19" t="n">
        <v>0</v>
      </c>
      <c r="G42" s="8" t="str">
        <f aca="false">IFERROR(INDEX('TRANS'!$B:$B,MATCH($B42,'TRANS'!$A:$A,0)),IFERROR(INDEX('TRANS'!$B:$B,MATCH(TRIM(SUBSTITUTE($B42,CHAR(160)," ")),'TRANS'!$D:$D,0)),IFERROR(INDEX('Catalog'!$A:$A,MATCH($B42,'Catalog'!$B:$B,0)),IFERROR(INDEX('Catalog'!$A:$A,MATCH(TRIM(SUBSTITUTE($B42,CHAR(160)," ")),'Catalog'!$C:$C,0)),""))))</f>
        <v/>
      </c>
      <c r="H42" s="8" t="str">
        <f aca="false">IFERROR(INDEX('TRANS'!$C:$C,MATCH($B42,'TRANS'!$A:$A,0)),IFERROR(INDEX('Catalog'!$B:$B,MATCH($G42,'Catalog'!$A:$A,0)),$B42))</f>
        <v>15W XL</v>
      </c>
      <c r="I42" s="8" t="str">
        <f aca="false">IF($G42="","Unmatched","Matched")</f>
        <v>Unmatched</v>
      </c>
      <c r="J42" s="8" t="str">
        <f aca="false">IF($G42&lt;&gt;"",$G42,$B42)</f>
        <v>15W XL</v>
      </c>
      <c r="K42" s="8" t="str">
        <f aca="false">IF(COUNTIF($M$1:$M$10,$A42)&gt;0,"Y","N")</f>
        <v>Y</v>
      </c>
    </row>
    <row r="43" customFormat="false" ht="15" hidden="false" customHeight="true" outlineLevel="0" collapsed="false">
      <c r="A43" s="8" t="s">
        <v>46</v>
      </c>
      <c r="B43" s="8" t="s">
        <v>318</v>
      </c>
      <c r="C43" s="19" t="n">
        <v>1</v>
      </c>
      <c r="D43" s="19" t="n">
        <v>140.57</v>
      </c>
      <c r="E43" s="19" t="n">
        <v>0</v>
      </c>
      <c r="F43" s="19" t="n">
        <v>0</v>
      </c>
      <c r="G43" s="8" t="str">
        <f aca="false">IFERROR(INDEX('TRANS'!$B:$B,MATCH($B43,'TRANS'!$A:$A,0)),IFERROR(INDEX('TRANS'!$B:$B,MATCH(TRIM(SUBSTITUTE($B43,CHAR(160)," ")),'TRANS'!$D:$D,0)),IFERROR(INDEX('Catalog'!$A:$A,MATCH($B43,'Catalog'!$B:$B,0)),IFERROR(INDEX('Catalog'!$A:$A,MATCH(TRIM(SUBSTITUTE($B43,CHAR(160)," ")),'Catalog'!$C:$C,0)),""))))</f>
        <v/>
      </c>
      <c r="H43" s="8" t="str">
        <f aca="false">IFERROR(INDEX('TRANS'!$C:$C,MATCH($B43,'TRANS'!$A:$A,0)),IFERROR(INDEX('Catalog'!$B:$B,MATCH($G43,'Catalog'!$A:$A,0)),$B43))</f>
        <v>15W XXL</v>
      </c>
      <c r="I43" s="8" t="str">
        <f aca="false">IF($G43="","Unmatched","Matched")</f>
        <v>Unmatched</v>
      </c>
      <c r="J43" s="8" t="str">
        <f aca="false">IF($G43&lt;&gt;"",$G43,$B43)</f>
        <v>15W XXL</v>
      </c>
      <c r="K43" s="8" t="str">
        <f aca="false">IF(COUNTIF($M$1:$M$10,$A43)&gt;0,"Y","N")</f>
        <v>Y</v>
      </c>
    </row>
    <row r="44" customFormat="false" ht="15" hidden="false" customHeight="true" outlineLevel="0" collapsed="false">
      <c r="A44" s="8" t="s">
        <v>46</v>
      </c>
      <c r="B44" s="8" t="s">
        <v>574</v>
      </c>
      <c r="C44" s="19" t="n">
        <v>1</v>
      </c>
      <c r="D44" s="19" t="n">
        <v>126.51</v>
      </c>
      <c r="E44" s="19" t="n">
        <v>1</v>
      </c>
      <c r="F44" s="19" t="n">
        <v>126.51</v>
      </c>
      <c r="G44" s="8" t="n">
        <f aca="false">IFERROR(INDEX('TRANS'!$B:$B,MATCH($B44,'TRANS'!$A:$A,0)),IFERROR(INDEX('TRANS'!$B:$B,MATCH(TRIM(SUBSTITUTE($B44,CHAR(160)," ")),'TRANS'!$D:$D,0)),IFERROR(INDEX('Catalog'!$A:$A,MATCH($B44,'Catalog'!$B:$B,0)),IFERROR(INDEX('Catalog'!$A:$A,MATCH(TRIM(SUBSTITUTE($B44,CHAR(160)," ")),'Catalog'!$C:$C,0)),""))))</f>
        <v>4408230</v>
      </c>
      <c r="H44" s="8" t="str">
        <f aca="false">IFERROR(INDEX('TRANS'!$C:$C,MATCH($B44,'TRANS'!$A:$A,0)),IFERROR(INDEX('Catalog'!$B:$B,MATCH($G44,'Catalog'!$A:$A,0)),$B44))</f>
        <v>16 L-XL חגורת הריון</v>
      </c>
      <c r="I44" s="8" t="str">
        <f aca="false">IF($G44="","Unmatched","Matched")</f>
        <v>Matched</v>
      </c>
      <c r="J44" s="8" t="n">
        <f aca="false">IF($G44&lt;&gt;"",$G44,$B44)</f>
        <v>4408230</v>
      </c>
      <c r="K44" s="8" t="str">
        <f aca="false">IF(COUNTIF($M$1:$M$10,$A44)&gt;0,"Y","N")</f>
        <v>Y</v>
      </c>
    </row>
    <row r="45" customFormat="false" ht="15" hidden="false" customHeight="true" outlineLevel="0" collapsed="false">
      <c r="A45" s="8" t="s">
        <v>46</v>
      </c>
      <c r="B45" s="8" t="s">
        <v>575</v>
      </c>
      <c r="C45" s="19" t="n">
        <v>1</v>
      </c>
      <c r="D45" s="19" t="n">
        <v>0.01</v>
      </c>
      <c r="E45" s="19" t="n">
        <v>1</v>
      </c>
      <c r="F45" s="19" t="n">
        <v>126.51</v>
      </c>
      <c r="G45" s="8" t="n">
        <f aca="false">IFERROR(INDEX('TRANS'!$B:$B,MATCH($B45,'TRANS'!$A:$A,0)),IFERROR(INDEX('TRANS'!$B:$B,MATCH(TRIM(SUBSTITUTE($B45,CHAR(160)," ")),'TRANS'!$D:$D,0)),IFERROR(INDEX('Catalog'!$A:$A,MATCH($B45,'Catalog'!$B:$B,0)),IFERROR(INDEX('Catalog'!$A:$A,MATCH(TRIM(SUBSTITUTE($B45,CHAR(160)," ")),'Catalog'!$C:$C,0)),""))))</f>
        <v>4408231</v>
      </c>
      <c r="H45" s="8" t="str">
        <f aca="false">IFERROR(INDEX('TRANS'!$C:$C,MATCH($B45,'TRANS'!$A:$A,0)),IFERROR(INDEX('Catalog'!$B:$B,MATCH($G45,'Catalog'!$A:$A,0)),$B45))</f>
        <v>16 S-M חגורת הריון</v>
      </c>
      <c r="I45" s="8" t="str">
        <f aca="false">IF($G45="","Unmatched","Matched")</f>
        <v>Matched</v>
      </c>
      <c r="J45" s="8" t="n">
        <f aca="false">IF($G45&lt;&gt;"",$G45,$B45)</f>
        <v>4408231</v>
      </c>
      <c r="K45" s="8" t="str">
        <f aca="false">IF(COUNTIF($M$1:$M$10,$A45)&gt;0,"Y","N")</f>
        <v>Y</v>
      </c>
    </row>
    <row r="46" customFormat="false" ht="15" hidden="false" customHeight="true" outlineLevel="0" collapsed="false">
      <c r="A46" s="8" t="s">
        <v>46</v>
      </c>
      <c r="B46" s="8" t="s">
        <v>576</v>
      </c>
      <c r="C46" s="19" t="n">
        <v>7</v>
      </c>
      <c r="D46" s="19" t="n">
        <v>250.32</v>
      </c>
      <c r="E46" s="19" t="n">
        <v>0</v>
      </c>
      <c r="F46" s="19" t="n">
        <v>0</v>
      </c>
      <c r="G46" s="8" t="n">
        <f aca="false">IFERROR(INDEX('TRANS'!$B:$B,MATCH($B46,'TRANS'!$A:$A,0)),IFERROR(INDEX('TRANS'!$B:$B,MATCH(TRIM(SUBSTITUTE($B46,CHAR(160)," ")),'TRANS'!$D:$D,0)),IFERROR(INDEX('Catalog'!$A:$A,MATCH($B46,'Catalog'!$B:$B,0)),IFERROR(INDEX('Catalog'!$A:$A,MATCH(TRIM(SUBSTITUTE($B46,CHAR(160)," ")),'Catalog'!$C:$C,0)),""))))</f>
        <v>4408053</v>
      </c>
      <c r="H46" s="8" t="str">
        <f aca="false">IFERROR(INDEX('TRANS'!$C:$C,MATCH($B46,'TRANS'!$A:$A,0)),IFERROR(INDEX('Catalog'!$B:$B,MATCH($G46,'Catalog'!$A:$A,0)),$B46))</f>
        <v>21 M  חבק יד ארוך</v>
      </c>
      <c r="I46" s="8" t="str">
        <f aca="false">IF($G46="","Unmatched","Matched")</f>
        <v>Matched</v>
      </c>
      <c r="J46" s="8" t="n">
        <f aca="false">IF($G46&lt;&gt;"",$G46,$B46)</f>
        <v>4408053</v>
      </c>
      <c r="K46" s="8" t="str">
        <f aca="false">IF(COUNTIF($M$1:$M$10,$A46)&gt;0,"Y","N")</f>
        <v>Y</v>
      </c>
    </row>
    <row r="47" customFormat="false" ht="15" hidden="false" customHeight="true" outlineLevel="0" collapsed="false">
      <c r="A47" s="8" t="s">
        <v>46</v>
      </c>
      <c r="B47" s="8" t="s">
        <v>577</v>
      </c>
      <c r="C47" s="19" t="n">
        <v>3</v>
      </c>
      <c r="D47" s="19" t="n">
        <v>112.37</v>
      </c>
      <c r="E47" s="19" t="n">
        <v>2</v>
      </c>
      <c r="F47" s="19" t="n">
        <v>74.91</v>
      </c>
      <c r="G47" s="8" t="n">
        <f aca="false">IFERROR(INDEX('TRANS'!$B:$B,MATCH($B47,'TRANS'!$A:$A,0)),IFERROR(INDEX('TRANS'!$B:$B,MATCH(TRIM(SUBSTITUTE($B47,CHAR(160)," ")),'TRANS'!$D:$D,0)),IFERROR(INDEX('Catalog'!$A:$A,MATCH($B47,'Catalog'!$B:$B,0)),IFERROR(INDEX('Catalog'!$A:$A,MATCH(TRIM(SUBSTITUTE($B47,CHAR(160)," ")),'Catalog'!$C:$C,0)),""))))</f>
        <v>4411017</v>
      </c>
      <c r="H47" s="8" t="str">
        <f aca="false">IFERROR(INDEX('TRANS'!$C:$C,MATCH($B47,'TRANS'!$A:$A,0)),IFERROR(INDEX('Catalog'!$B:$B,MATCH($G47,'Catalog'!$A:$A,0)),$B47))</f>
        <v>211L כפפות לחץ</v>
      </c>
      <c r="I47" s="8" t="str">
        <f aca="false">IF($G47="","Unmatched","Matched")</f>
        <v>Matched</v>
      </c>
      <c r="J47" s="8" t="n">
        <f aca="false">IF($G47&lt;&gt;"",$G47,$B47)</f>
        <v>4411017</v>
      </c>
      <c r="K47" s="8" t="str">
        <f aca="false">IF(COUNTIF($M$1:$M$10,$A47)&gt;0,"Y","N")</f>
        <v>Y</v>
      </c>
    </row>
    <row r="48" customFormat="false" ht="15" hidden="false" customHeight="true" outlineLevel="0" collapsed="false">
      <c r="A48" s="8" t="s">
        <v>46</v>
      </c>
      <c r="B48" s="8" t="s">
        <v>578</v>
      </c>
      <c r="C48" s="19" t="n">
        <v>4</v>
      </c>
      <c r="D48" s="19" t="n">
        <v>145.41</v>
      </c>
      <c r="E48" s="19" t="n">
        <v>0</v>
      </c>
      <c r="F48" s="19" t="n">
        <v>0</v>
      </c>
      <c r="G48" s="8" t="n">
        <f aca="false">IFERROR(INDEX('TRANS'!$B:$B,MATCH($B48,'TRANS'!$A:$A,0)),IFERROR(INDEX('TRANS'!$B:$B,MATCH(TRIM(SUBSTITUTE($B48,CHAR(160)," ")),'TRANS'!$D:$D,0)),IFERROR(INDEX('Catalog'!$A:$A,MATCH($B48,'Catalog'!$B:$B,0)),IFERROR(INDEX('Catalog'!$A:$A,MATCH(TRIM(SUBSTITUTE($B48,CHAR(160)," ")),'Catalog'!$C:$C,0)),""))))</f>
        <v>4411018</v>
      </c>
      <c r="H48" s="8" t="str">
        <f aca="false">IFERROR(INDEX('TRANS'!$C:$C,MATCH($B48,'TRANS'!$A:$A,0)),IFERROR(INDEX('Catalog'!$B:$B,MATCH($G48,'Catalog'!$A:$A,0)),$B48))</f>
        <v>211M כפפות לחץ</v>
      </c>
      <c r="I48" s="8" t="str">
        <f aca="false">IF($G48="","Unmatched","Matched")</f>
        <v>Matched</v>
      </c>
      <c r="J48" s="8" t="n">
        <f aca="false">IF($G48&lt;&gt;"",$G48,$B48)</f>
        <v>4411018</v>
      </c>
      <c r="K48" s="8" t="str">
        <f aca="false">IF(COUNTIF($M$1:$M$10,$A48)&gt;0,"Y","N")</f>
        <v>Y</v>
      </c>
    </row>
    <row r="49" customFormat="false" ht="15" hidden="false" customHeight="true" outlineLevel="0" collapsed="false">
      <c r="A49" s="8" t="s">
        <v>46</v>
      </c>
      <c r="B49" s="8" t="s">
        <v>579</v>
      </c>
      <c r="C49" s="19" t="n">
        <v>2</v>
      </c>
      <c r="D49" s="19" t="n">
        <v>37.46</v>
      </c>
      <c r="E49" s="19" t="n">
        <v>0</v>
      </c>
      <c r="F49" s="19" t="n">
        <v>0</v>
      </c>
      <c r="G49" s="8" t="n">
        <f aca="false">IFERROR(INDEX('TRANS'!$B:$B,MATCH($B49,'TRANS'!$A:$A,0)),IFERROR(INDEX('TRANS'!$B:$B,MATCH(TRIM(SUBSTITUTE($B49,CHAR(160)," ")),'TRANS'!$D:$D,0)),IFERROR(INDEX('Catalog'!$A:$A,MATCH($B49,'Catalog'!$B:$B,0)),IFERROR(INDEX('Catalog'!$A:$A,MATCH(TRIM(SUBSTITUTE($B49,CHAR(160)," ")),'Catalog'!$C:$C,0)),""))))</f>
        <v>4411019</v>
      </c>
      <c r="H49" s="8" t="str">
        <f aca="false">IFERROR(INDEX('TRANS'!$C:$C,MATCH($B49,'TRANS'!$A:$A,0)),IFERROR(INDEX('Catalog'!$B:$B,MATCH($G49,'Catalog'!$A:$A,0)),$B49))</f>
        <v>211S כפפות לחץ</v>
      </c>
      <c r="I49" s="8" t="str">
        <f aca="false">IF($G49="","Unmatched","Matched")</f>
        <v>Matched</v>
      </c>
      <c r="J49" s="8" t="n">
        <f aca="false">IF($G49&lt;&gt;"",$G49,$B49)</f>
        <v>4411019</v>
      </c>
      <c r="K49" s="8" t="str">
        <f aca="false">IF(COUNTIF($M$1:$M$10,$A49)&gt;0,"Y","N")</f>
        <v>Y</v>
      </c>
    </row>
    <row r="50" customFormat="false" ht="15" hidden="false" customHeight="true" outlineLevel="0" collapsed="false">
      <c r="A50" s="8" t="s">
        <v>46</v>
      </c>
      <c r="B50" s="8" t="s">
        <v>580</v>
      </c>
      <c r="C50" s="19" t="n">
        <v>5</v>
      </c>
      <c r="D50" s="19" t="n">
        <v>194.59</v>
      </c>
      <c r="E50" s="19" t="n">
        <v>0</v>
      </c>
      <c r="F50" s="19" t="n">
        <v>0</v>
      </c>
      <c r="G50" s="8" t="n">
        <f aca="false">IFERROR(INDEX('TRANS'!$B:$B,MATCH($B50,'TRANS'!$A:$A,0)),IFERROR(INDEX('TRANS'!$B:$B,MATCH(TRIM(SUBSTITUTE($B50,CHAR(160)," ")),'TRANS'!$D:$D,0)),IFERROR(INDEX('Catalog'!$A:$A,MATCH($B50,'Catalog'!$B:$B,0)),IFERROR(INDEX('Catalog'!$A:$A,MATCH(TRIM(SUBSTITUTE($B50,CHAR(160)," ")),'Catalog'!$C:$C,0)),""))))</f>
        <v>4411021</v>
      </c>
      <c r="H50" s="8" t="str">
        <f aca="false">IFERROR(INDEX('TRANS'!$C:$C,MATCH($B50,'TRANS'!$A:$A,0)),IFERROR(INDEX('Catalog'!$B:$B,MATCH($G50,'Catalog'!$A:$A,0)),$B50))</f>
        <v>212L כפפות אגודל לחץ</v>
      </c>
      <c r="I50" s="8" t="str">
        <f aca="false">IF($G50="","Unmatched","Matched")</f>
        <v>Matched</v>
      </c>
      <c r="J50" s="8" t="n">
        <f aca="false">IF($G50&lt;&gt;"",$G50,$B50)</f>
        <v>4411021</v>
      </c>
      <c r="K50" s="8" t="str">
        <f aca="false">IF(COUNTIF($M$1:$M$10,$A50)&gt;0,"Y","N")</f>
        <v>Y</v>
      </c>
    </row>
    <row r="51" customFormat="false" ht="15" hidden="false" customHeight="true" outlineLevel="0" collapsed="false">
      <c r="A51" s="8" t="s">
        <v>46</v>
      </c>
      <c r="B51" s="8" t="s">
        <v>581</v>
      </c>
      <c r="C51" s="19" t="n">
        <v>21</v>
      </c>
      <c r="D51" s="19" t="n">
        <v>811.15</v>
      </c>
      <c r="E51" s="19" t="n">
        <v>2</v>
      </c>
      <c r="F51" s="19" t="n">
        <v>68.98</v>
      </c>
      <c r="G51" s="8" t="n">
        <f aca="false">IFERROR(INDEX('TRANS'!$B:$B,MATCH($B51,'TRANS'!$A:$A,0)),IFERROR(INDEX('TRANS'!$B:$B,MATCH(TRIM(SUBSTITUTE($B51,CHAR(160)," ")),'TRANS'!$D:$D,0)),IFERROR(INDEX('Catalog'!$A:$A,MATCH($B51,'Catalog'!$B:$B,0)),IFERROR(INDEX('Catalog'!$A:$A,MATCH(TRIM(SUBSTITUTE($B51,CHAR(160)," ")),'Catalog'!$C:$C,0)),""))))</f>
        <v>4411022</v>
      </c>
      <c r="H51" s="8" t="str">
        <f aca="false">IFERROR(INDEX('TRANS'!$C:$C,MATCH($B51,'TRANS'!$A:$A,0)),IFERROR(INDEX('Catalog'!$B:$B,MATCH($G51,'Catalog'!$A:$A,0)),$B51))</f>
        <v>212M כפפות אגודל לחץ</v>
      </c>
      <c r="I51" s="8" t="str">
        <f aca="false">IF($G51="","Unmatched","Matched")</f>
        <v>Matched</v>
      </c>
      <c r="J51" s="8" t="n">
        <f aca="false">IF($G51&lt;&gt;"",$G51,$B51)</f>
        <v>4411022</v>
      </c>
      <c r="K51" s="8" t="str">
        <f aca="false">IF(COUNTIF($M$1:$M$10,$A51)&gt;0,"Y","N")</f>
        <v>Y</v>
      </c>
    </row>
    <row r="52" customFormat="false" ht="15" hidden="false" customHeight="true" outlineLevel="0" collapsed="false">
      <c r="A52" s="8" t="s">
        <v>46</v>
      </c>
      <c r="B52" s="8" t="s">
        <v>582</v>
      </c>
      <c r="C52" s="19" t="n">
        <v>11</v>
      </c>
      <c r="D52" s="19" t="n">
        <v>397.93</v>
      </c>
      <c r="E52" s="19" t="n">
        <v>7</v>
      </c>
      <c r="F52" s="19" t="n">
        <v>260.31</v>
      </c>
      <c r="G52" s="8" t="n">
        <f aca="false">IFERROR(INDEX('TRANS'!$B:$B,MATCH($B52,'TRANS'!$A:$A,0)),IFERROR(INDEX('TRANS'!$B:$B,MATCH(TRIM(SUBSTITUTE($B52,CHAR(160)," ")),'TRANS'!$D:$D,0)),IFERROR(INDEX('Catalog'!$A:$A,MATCH($B52,'Catalog'!$B:$B,0)),IFERROR(INDEX('Catalog'!$A:$A,MATCH(TRIM(SUBSTITUTE($B52,CHAR(160)," ")),'Catalog'!$C:$C,0)),""))))</f>
        <v>4411023</v>
      </c>
      <c r="H52" s="8" t="str">
        <f aca="false">IFERROR(INDEX('TRANS'!$C:$C,MATCH($B52,'TRANS'!$A:$A,0)),IFERROR(INDEX('Catalog'!$B:$B,MATCH($G52,'Catalog'!$A:$A,0)),$B52))</f>
        <v>212S כפפות אגודל לחץ</v>
      </c>
      <c r="I52" s="8" t="str">
        <f aca="false">IF($G52="","Unmatched","Matched")</f>
        <v>Matched</v>
      </c>
      <c r="J52" s="8" t="n">
        <f aca="false">IF($G52&lt;&gt;"",$G52,$B52)</f>
        <v>4411023</v>
      </c>
      <c r="K52" s="8" t="str">
        <f aca="false">IF(COUNTIF($M$1:$M$10,$A52)&gt;0,"Y","N")</f>
        <v>Y</v>
      </c>
    </row>
    <row r="53" customFormat="false" ht="15" hidden="false" customHeight="true" outlineLevel="0" collapsed="false">
      <c r="A53" s="8" t="s">
        <v>46</v>
      </c>
      <c r="B53" s="8" t="s">
        <v>583</v>
      </c>
      <c r="C53" s="19" t="n">
        <v>9</v>
      </c>
      <c r="D53" s="19" t="n">
        <v>243.37</v>
      </c>
      <c r="E53" s="19" t="n">
        <v>2</v>
      </c>
      <c r="F53" s="19" t="n">
        <v>30.43</v>
      </c>
      <c r="G53" s="8" t="n">
        <f aca="false">IFERROR(INDEX('TRANS'!$B:$B,MATCH($B53,'TRANS'!$A:$A,0)),IFERROR(INDEX('TRANS'!$B:$B,MATCH(TRIM(SUBSTITUTE($B53,CHAR(160)," ")),'TRANS'!$D:$D,0)),IFERROR(INDEX('Catalog'!$A:$A,MATCH($B53,'Catalog'!$B:$B,0)),IFERROR(INDEX('Catalog'!$A:$A,MATCH(TRIM(SUBSTITUTE($B53,CHAR(160)," ")),'Catalog'!$C:$C,0)),""))))</f>
        <v>4415029</v>
      </c>
      <c r="H53" s="8" t="str">
        <f aca="false">IFERROR(INDEX('TRANS'!$C:$C,MATCH($B53,'TRANS'!$A:$A,0)),IFERROR(INDEX('Catalog'!$B:$B,MATCH($G53,'Catalog'!$A:$A,0)),$B53))</f>
        <v>סד קיבוע לאצבע הדק</v>
      </c>
      <c r="I53" s="8" t="str">
        <f aca="false">IF($G53="","Unmatched","Matched")</f>
        <v>Matched</v>
      </c>
      <c r="J53" s="8" t="n">
        <f aca="false">IF($G53&lt;&gt;"",$G53,$B53)</f>
        <v>4415029</v>
      </c>
      <c r="K53" s="8" t="str">
        <f aca="false">IF(COUNTIF($M$1:$M$10,$A53)&gt;0,"Y","N")</f>
        <v>Y</v>
      </c>
    </row>
    <row r="54" customFormat="false" ht="15" hidden="false" customHeight="true" outlineLevel="0" collapsed="false">
      <c r="A54" s="8" t="s">
        <v>46</v>
      </c>
      <c r="B54" s="8" t="s">
        <v>584</v>
      </c>
      <c r="C54" s="19" t="n">
        <v>7</v>
      </c>
      <c r="D54" s="19" t="n">
        <v>140.76</v>
      </c>
      <c r="E54" s="19" t="n">
        <v>1</v>
      </c>
      <c r="F54" s="19" t="n">
        <v>0.01</v>
      </c>
      <c r="G54" s="8" t="n">
        <f aca="false">IFERROR(INDEX('TRANS'!$B:$B,MATCH($B54,'TRANS'!$A:$A,0)),IFERROR(INDEX('TRANS'!$B:$B,MATCH(TRIM(SUBSTITUTE($B54,CHAR(160)," ")),'TRANS'!$D:$D,0)),IFERROR(INDEX('Catalog'!$A:$A,MATCH($B54,'Catalog'!$B:$B,0)),IFERROR(INDEX('Catalog'!$A:$A,MATCH(TRIM(SUBSTITUTE($B54,CHAR(160)," ")),'Catalog'!$C:$C,0)),""))))</f>
        <v>4415162</v>
      </c>
      <c r="H54" s="8" t="str">
        <f aca="false">IFERROR(INDEX('TRANS'!$C:$C,MATCH($B54,'TRANS'!$A:$A,0)),IFERROR(INDEX('Catalog'!$B:$B,MATCH($G54,'Catalog'!$A:$A,0)),$B54))</f>
        <v>238L סד ליישור אצבע</v>
      </c>
      <c r="I54" s="8" t="str">
        <f aca="false">IF($G54="","Unmatched","Matched")</f>
        <v>Matched</v>
      </c>
      <c r="J54" s="8" t="n">
        <f aca="false">IF($G54&lt;&gt;"",$G54,$B54)</f>
        <v>4415162</v>
      </c>
      <c r="K54" s="8" t="str">
        <f aca="false">IF(COUNTIF($M$1:$M$10,$A54)&gt;0,"Y","N")</f>
        <v>Y</v>
      </c>
    </row>
    <row r="55" customFormat="false" ht="15" hidden="false" customHeight="true" outlineLevel="0" collapsed="false">
      <c r="A55" s="8" t="s">
        <v>46</v>
      </c>
      <c r="B55" s="8" t="s">
        <v>585</v>
      </c>
      <c r="C55" s="19" t="n">
        <v>1</v>
      </c>
      <c r="D55" s="19" t="n">
        <v>20.11</v>
      </c>
      <c r="E55" s="19" t="n">
        <v>0</v>
      </c>
      <c r="F55" s="19" t="n">
        <v>0</v>
      </c>
      <c r="G55" s="8" t="n">
        <f aca="false">IFERROR(INDEX('TRANS'!$B:$B,MATCH($B55,'TRANS'!$A:$A,0)),IFERROR(INDEX('TRANS'!$B:$B,MATCH(TRIM(SUBSTITUTE($B55,CHAR(160)," ")),'TRANS'!$D:$D,0)),IFERROR(INDEX('Catalog'!$A:$A,MATCH($B55,'Catalog'!$B:$B,0)),IFERROR(INDEX('Catalog'!$A:$A,MATCH(TRIM(SUBSTITUTE($B55,CHAR(160)," ")),'Catalog'!$C:$C,0)),""))))</f>
        <v>4415160</v>
      </c>
      <c r="H55" s="8" t="str">
        <f aca="false">IFERROR(INDEX('TRANS'!$C:$C,MATCH($B55,'TRANS'!$A:$A,0)),IFERROR(INDEX('Catalog'!$B:$B,MATCH($G55,'Catalog'!$A:$A,0)),$B55))</f>
        <v>238S סד ליישור אצבע</v>
      </c>
      <c r="I55" s="8" t="str">
        <f aca="false">IF($G55="","Unmatched","Matched")</f>
        <v>Matched</v>
      </c>
      <c r="J55" s="8" t="n">
        <f aca="false">IF($G55&lt;&gt;"",$G55,$B55)</f>
        <v>4415160</v>
      </c>
      <c r="K55" s="8" t="str">
        <f aca="false">IF(COUNTIF($M$1:$M$10,$A55)&gt;0,"Y","N")</f>
        <v>Y</v>
      </c>
    </row>
    <row r="56" customFormat="false" ht="15" hidden="false" customHeight="true" outlineLevel="0" collapsed="false">
      <c r="A56" s="8" t="s">
        <v>46</v>
      </c>
      <c r="B56" s="8" t="s">
        <v>586</v>
      </c>
      <c r="C56" s="19" t="n">
        <v>8</v>
      </c>
      <c r="D56" s="19" t="n">
        <v>191.7</v>
      </c>
      <c r="E56" s="19" t="n">
        <v>0</v>
      </c>
      <c r="F56" s="19" t="n">
        <v>0</v>
      </c>
      <c r="G56" s="8" t="n">
        <f aca="false">IFERROR(INDEX('TRANS'!$B:$B,MATCH($B56,'TRANS'!$A:$A,0)),IFERROR(INDEX('TRANS'!$B:$B,MATCH(TRIM(SUBSTITUTE($B56,CHAR(160)," ")),'TRANS'!$D:$D,0)),IFERROR(INDEX('Catalog'!$A:$A,MATCH($B56,'Catalog'!$B:$B,0)),IFERROR(INDEX('Catalog'!$A:$A,MATCH(TRIM(SUBSTITUTE($B56,CHAR(160)," ")),'Catalog'!$C:$C,0)),""))))</f>
        <v>4419013</v>
      </c>
      <c r="H56" s="8" t="str">
        <f aca="false">IFERROR(INDEX('TRANS'!$C:$C,MATCH($B56,'TRANS'!$A:$A,0)),IFERROR(INDEX('Catalog'!$B:$B,MATCH($G56,'Catalog'!$A:$A,0)),$B56))</f>
        <v>239B L-XL STRAP4U</v>
      </c>
      <c r="I56" s="8" t="str">
        <f aca="false">IF($G56="","Unmatched","Matched")</f>
        <v>Matched</v>
      </c>
      <c r="J56" s="8" t="n">
        <f aca="false">IF($G56&lt;&gt;"",$G56,$B56)</f>
        <v>4419013</v>
      </c>
      <c r="K56" s="8" t="str">
        <f aca="false">IF(COUNTIF($M$1:$M$10,$A56)&gt;0,"Y","N")</f>
        <v>Y</v>
      </c>
    </row>
    <row r="57" customFormat="false" ht="15" hidden="false" customHeight="true" outlineLevel="0" collapsed="false">
      <c r="A57" s="8" t="s">
        <v>46</v>
      </c>
      <c r="B57" s="8" t="s">
        <v>587</v>
      </c>
      <c r="C57" s="19" t="n">
        <v>8</v>
      </c>
      <c r="D57" s="19" t="n">
        <v>191.39</v>
      </c>
      <c r="E57" s="19" t="n">
        <v>1</v>
      </c>
      <c r="F57" s="19" t="n">
        <v>24.26</v>
      </c>
      <c r="G57" s="8" t="n">
        <f aca="false">IFERROR(INDEX('TRANS'!$B:$B,MATCH($B57,'TRANS'!$A:$A,0)),IFERROR(INDEX('TRANS'!$B:$B,MATCH(TRIM(SUBSTITUTE($B57,CHAR(160)," ")),'TRANS'!$D:$D,0)),IFERROR(INDEX('Catalog'!$A:$A,MATCH($B57,'Catalog'!$B:$B,0)),IFERROR(INDEX('Catalog'!$A:$A,MATCH(TRIM(SUBSTITUTE($B57,CHAR(160)," ")),'Catalog'!$C:$C,0)),""))))</f>
        <v>4419011</v>
      </c>
      <c r="H57" s="8" t="str">
        <f aca="false">IFERROR(INDEX('TRANS'!$C:$C,MATCH($B57,'TRANS'!$A:$A,0)),IFERROR(INDEX('Catalog'!$B:$B,MATCH($G57,'Catalog'!$A:$A,0)),$B57))</f>
        <v>239B S-M STRAP4U</v>
      </c>
      <c r="I57" s="8" t="str">
        <f aca="false">IF($G57="","Unmatched","Matched")</f>
        <v>Matched</v>
      </c>
      <c r="J57" s="8" t="n">
        <f aca="false">IF($G57&lt;&gt;"",$G57,$B57)</f>
        <v>4419011</v>
      </c>
      <c r="K57" s="8" t="str">
        <f aca="false">IF(COUNTIF($M$1:$M$10,$A57)&gt;0,"Y","N")</f>
        <v>Y</v>
      </c>
    </row>
    <row r="58" customFormat="false" ht="15" hidden="false" customHeight="true" outlineLevel="0" collapsed="false">
      <c r="A58" s="8" t="s">
        <v>46</v>
      </c>
      <c r="B58" s="8" t="s">
        <v>588</v>
      </c>
      <c r="C58" s="19" t="n">
        <v>7</v>
      </c>
      <c r="D58" s="19" t="n">
        <v>172.22</v>
      </c>
      <c r="E58" s="19" t="n">
        <v>0</v>
      </c>
      <c r="F58" s="19" t="n">
        <v>0</v>
      </c>
      <c r="G58" s="8" t="n">
        <f aca="false">IFERROR(INDEX('TRANS'!$B:$B,MATCH($B58,'TRANS'!$A:$A,0)),IFERROR(INDEX('TRANS'!$B:$B,MATCH(TRIM(SUBSTITUTE($B58,CHAR(160)," ")),'TRANS'!$D:$D,0)),IFERROR(INDEX('Catalog'!$A:$A,MATCH($B58,'Catalog'!$B:$B,0)),IFERROR(INDEX('Catalog'!$A:$A,MATCH(TRIM(SUBSTITUTE($B58,CHAR(160)," ")),'Catalog'!$C:$C,0)),""))))</f>
        <v>4419014</v>
      </c>
      <c r="H58" s="8" t="str">
        <f aca="false">IFERROR(INDEX('TRANS'!$C:$C,MATCH($B58,'TRANS'!$A:$A,0)),IFERROR(INDEX('Catalog'!$B:$B,MATCH($G58,'Catalog'!$A:$A,0)),$B58))</f>
        <v>239TR L-XL STRAP4U</v>
      </c>
      <c r="I58" s="8" t="str">
        <f aca="false">IF($G58="","Unmatched","Matched")</f>
        <v>Matched</v>
      </c>
      <c r="J58" s="8" t="n">
        <f aca="false">IF($G58&lt;&gt;"",$G58,$B58)</f>
        <v>4419014</v>
      </c>
      <c r="K58" s="8" t="str">
        <f aca="false">IF(COUNTIF($M$1:$M$10,$A58)&gt;0,"Y","N")</f>
        <v>Y</v>
      </c>
    </row>
    <row r="59" customFormat="false" ht="15" hidden="false" customHeight="true" outlineLevel="0" collapsed="false">
      <c r="A59" s="8" t="s">
        <v>46</v>
      </c>
      <c r="B59" s="8" t="s">
        <v>589</v>
      </c>
      <c r="C59" s="19" t="n">
        <v>4</v>
      </c>
      <c r="D59" s="19" t="n">
        <v>183.01</v>
      </c>
      <c r="E59" s="19" t="n">
        <v>5</v>
      </c>
      <c r="F59" s="19" t="n">
        <v>172.43</v>
      </c>
      <c r="G59" s="8" t="n">
        <f aca="false">IFERROR(INDEX('TRANS'!$B:$B,MATCH($B59,'TRANS'!$A:$A,0)),IFERROR(INDEX('TRANS'!$B:$B,MATCH(TRIM(SUBSTITUTE($B59,CHAR(160)," ")),'TRANS'!$D:$D,0)),IFERROR(INDEX('Catalog'!$A:$A,MATCH($B59,'Catalog'!$B:$B,0)),IFERROR(INDEX('Catalog'!$A:$A,MATCH(TRIM(SUBSTITUTE($B59,CHAR(160)," ")),'Catalog'!$C:$C,0)),""))))</f>
        <v>4421005</v>
      </c>
      <c r="H59" s="8" t="str">
        <f aca="false">IFERROR(INDEX('TRANS'!$C:$C,MATCH($B59,'TRANS'!$A:$A,0)),IFERROR(INDEX('Catalog'!$B:$B,MATCH($G59,'Catalog'!$A:$A,0)),$B59))</f>
        <v>שרוול לגבס קצר יד</v>
      </c>
      <c r="I59" s="8" t="str">
        <f aca="false">IF($G59="","Unmatched","Matched")</f>
        <v>Matched</v>
      </c>
      <c r="J59" s="8" t="n">
        <f aca="false">IF($G59&lt;&gt;"",$G59,$B59)</f>
        <v>4421005</v>
      </c>
      <c r="K59" s="8" t="str">
        <f aca="false">IF(COUNTIF($M$1:$M$10,$A59)&gt;0,"Y","N")</f>
        <v>Y</v>
      </c>
    </row>
    <row r="60" customFormat="false" ht="15" hidden="false" customHeight="true" outlineLevel="0" collapsed="false">
      <c r="A60" s="8" t="s">
        <v>46</v>
      </c>
      <c r="B60" s="8" t="s">
        <v>590</v>
      </c>
      <c r="C60" s="19" t="n">
        <v>5</v>
      </c>
      <c r="D60" s="19" t="n">
        <v>206.61</v>
      </c>
      <c r="E60" s="19" t="n">
        <v>9</v>
      </c>
      <c r="F60" s="19" t="n">
        <v>327.42</v>
      </c>
      <c r="G60" s="8" t="n">
        <f aca="false">IFERROR(INDEX('TRANS'!$B:$B,MATCH($B60,'TRANS'!$A:$A,0)),IFERROR(INDEX('TRANS'!$B:$B,MATCH(TRIM(SUBSTITUTE($B60,CHAR(160)," ")),'TRANS'!$D:$D,0)),IFERROR(INDEX('Catalog'!$A:$A,MATCH($B60,'Catalog'!$B:$B,0)),IFERROR(INDEX('Catalog'!$A:$A,MATCH(TRIM(SUBSTITUTE($B60,CHAR(160)," ")),'Catalog'!$C:$C,0)),""))))</f>
        <v>4421006</v>
      </c>
      <c r="H60" s="8" t="str">
        <f aca="false">IFERROR(INDEX('TRANS'!$C:$C,MATCH($B60,'TRANS'!$A:$A,0)),IFERROR(INDEX('Catalog'!$B:$B,MATCH($G60,'Catalog'!$A:$A,0)),$B60))</f>
        <v>שרוול לגבס ארוך יד</v>
      </c>
      <c r="I60" s="8" t="str">
        <f aca="false">IF($G60="","Unmatched","Matched")</f>
        <v>Matched</v>
      </c>
      <c r="J60" s="8" t="n">
        <f aca="false">IF($G60&lt;&gt;"",$G60,$B60)</f>
        <v>4421006</v>
      </c>
      <c r="K60" s="8" t="str">
        <f aca="false">IF(COUNTIF($M$1:$M$10,$A60)&gt;0,"Y","N")</f>
        <v>Y</v>
      </c>
    </row>
    <row r="61" customFormat="false" ht="15" hidden="false" customHeight="true" outlineLevel="0" collapsed="false">
      <c r="A61" s="8" t="s">
        <v>46</v>
      </c>
      <c r="B61" s="8" t="s">
        <v>591</v>
      </c>
      <c r="C61" s="19" t="n">
        <v>1</v>
      </c>
      <c r="D61" s="19" t="n">
        <v>103.07</v>
      </c>
      <c r="E61" s="19" t="n">
        <v>0</v>
      </c>
      <c r="F61" s="19" t="n">
        <v>0</v>
      </c>
      <c r="G61" s="8" t="n">
        <f aca="false">IFERROR(INDEX('TRANS'!$B:$B,MATCH($B61,'TRANS'!$A:$A,0)),IFERROR(INDEX('TRANS'!$B:$B,MATCH(TRIM(SUBSTITUTE($B61,CHAR(160)," ")),'TRANS'!$D:$D,0)),IFERROR(INDEX('Catalog'!$A:$A,MATCH($B61,'Catalog'!$B:$B,0)),IFERROR(INDEX('Catalog'!$A:$A,MATCH(TRIM(SUBSTITUTE($B61,CHAR(160)," ")),'Catalog'!$C:$C,0)),""))))</f>
        <v>4415004</v>
      </c>
      <c r="H61" s="8" t="str">
        <f aca="false">IFERROR(INDEX('TRANS'!$C:$C,MATCH($B61,'TRANS'!$A:$A,0)),IFERROR(INDEX('Catalog'!$B:$B,MATCH($G61,'Catalog'!$A:$A,0)),$B61))</f>
        <v>26 XXL סד ליד דו צדדי לאחר שבר</v>
      </c>
      <c r="I61" s="8" t="str">
        <f aca="false">IF($G61="","Unmatched","Matched")</f>
        <v>Matched</v>
      </c>
      <c r="J61" s="8" t="n">
        <f aca="false">IF($G61&lt;&gt;"",$G61,$B61)</f>
        <v>4415004</v>
      </c>
      <c r="K61" s="8" t="str">
        <f aca="false">IF(COUNTIF($M$1:$M$10,$A61)&gt;0,"Y","N")</f>
        <v>Y</v>
      </c>
    </row>
    <row r="62" customFormat="false" ht="15" hidden="false" customHeight="true" outlineLevel="0" collapsed="false">
      <c r="A62" s="8" t="s">
        <v>46</v>
      </c>
      <c r="B62" s="8" t="s">
        <v>592</v>
      </c>
      <c r="C62" s="19" t="n">
        <v>6</v>
      </c>
      <c r="D62" s="19" t="n">
        <v>453.61</v>
      </c>
      <c r="E62" s="19" t="n">
        <v>7</v>
      </c>
      <c r="F62" s="19" t="n">
        <v>159.28</v>
      </c>
      <c r="G62" s="8" t="n">
        <f aca="false">IFERROR(INDEX('TRANS'!$B:$B,MATCH($B62,'TRANS'!$A:$A,0)),IFERROR(INDEX('TRANS'!$B:$B,MATCH(TRIM(SUBSTITUTE($B62,CHAR(160)," ")),'TRANS'!$D:$D,0)),IFERROR(INDEX('Catalog'!$A:$A,MATCH($B62,'Catalog'!$B:$B,0)),IFERROR(INDEX('Catalog'!$A:$A,MATCH(TRIM(SUBSTITUTE($B62,CHAR(160)," ")),'Catalog'!$C:$C,0)),""))))</f>
        <v>4415158</v>
      </c>
      <c r="H62" s="8" t="str">
        <f aca="false">IFERROR(INDEX('TRANS'!$C:$C,MATCH($B62,'TRANS'!$A:$A,0)),IFERROR(INDEX('Catalog'!$B:$B,MATCH($G62,'Catalog'!$A:$A,0)),$B62))</f>
        <v>266 סד ליד דו צדדי</v>
      </c>
      <c r="I62" s="8" t="str">
        <f aca="false">IF($G62="","Unmatched","Matched")</f>
        <v>Matched</v>
      </c>
      <c r="J62" s="8" t="n">
        <f aca="false">IF($G62&lt;&gt;"",$G62,$B62)</f>
        <v>4415158</v>
      </c>
      <c r="K62" s="8" t="str">
        <f aca="false">IF(COUNTIF($M$1:$M$10,$A62)&gt;0,"Y","N")</f>
        <v>Y</v>
      </c>
    </row>
    <row r="63" customFormat="false" ht="15" hidden="false" customHeight="true" outlineLevel="0" collapsed="false">
      <c r="A63" s="8" t="s">
        <v>46</v>
      </c>
      <c r="B63" s="8" t="s">
        <v>231</v>
      </c>
      <c r="C63" s="19" t="n">
        <v>1</v>
      </c>
      <c r="D63" s="19" t="n">
        <v>108.7</v>
      </c>
      <c r="E63" s="19" t="n">
        <v>0</v>
      </c>
      <c r="F63" s="19" t="n">
        <v>0</v>
      </c>
      <c r="G63" s="8" t="str">
        <f aca="false">IFERROR(INDEX('TRANS'!$B:$B,MATCH($B63,'TRANS'!$A:$A,0)),IFERROR(INDEX('TRANS'!$B:$B,MATCH(TRIM(SUBSTITUTE($B63,CHAR(160)," ")),'TRANS'!$D:$D,0)),IFERROR(INDEX('Catalog'!$A:$A,MATCH($B63,'Catalog'!$B:$B,0)),IFERROR(INDEX('Catalog'!$A:$A,MATCH(TRIM(SUBSTITUTE($B63,CHAR(160)," ")),'Catalog'!$C:$C,0)),""))))</f>
        <v/>
      </c>
      <c r="H63" s="8" t="str">
        <f aca="false">IFERROR(INDEX('TRANS'!$C:$C,MATCH($B63,'TRANS'!$A:$A,0)),IFERROR(INDEX('Catalog'!$B:$B,MATCH($G63,'Catalog'!$A:$A,0)),$B63))</f>
        <v>267LB-L-XL</v>
      </c>
      <c r="I63" s="8" t="str">
        <f aca="false">IF($G63="","Unmatched","Matched")</f>
        <v>Unmatched</v>
      </c>
      <c r="J63" s="8" t="str">
        <f aca="false">IF($G63&lt;&gt;"",$G63,$B63)</f>
        <v>267LB-L-XL</v>
      </c>
      <c r="K63" s="8" t="str">
        <f aca="false">IF(COUNTIF($M$1:$M$10,$A63)&gt;0,"Y","N")</f>
        <v>Y</v>
      </c>
    </row>
    <row r="64" customFormat="false" ht="15" hidden="false" customHeight="true" outlineLevel="0" collapsed="false">
      <c r="A64" s="8" t="s">
        <v>46</v>
      </c>
      <c r="B64" s="8" t="s">
        <v>593</v>
      </c>
      <c r="C64" s="19" t="n">
        <v>4</v>
      </c>
      <c r="D64" s="19" t="n">
        <v>387.6</v>
      </c>
      <c r="E64" s="19" t="n">
        <v>6</v>
      </c>
      <c r="F64" s="19" t="n">
        <v>300.01</v>
      </c>
      <c r="G64" s="8" t="n">
        <f aca="false">IFERROR(INDEX('TRANS'!$B:$B,MATCH($B64,'TRANS'!$A:$A,0)),IFERROR(INDEX('TRANS'!$B:$B,MATCH(TRIM(SUBSTITUTE($B64,CHAR(160)," ")),'TRANS'!$D:$D,0)),IFERROR(INDEX('Catalog'!$A:$A,MATCH($B64,'Catalog'!$B:$B,0)),IFERROR(INDEX('Catalog'!$A:$A,MATCH(TRIM(SUBSTITUTE($B64,CHAR(160)," ")),'Catalog'!$C:$C,0)),""))))</f>
        <v>4415159</v>
      </c>
      <c r="H64" s="8" t="str">
        <f aca="false">IFERROR(INDEX('TRANS'!$C:$C,MATCH($B64,'TRANS'!$A:$A,0)),IFERROR(INDEX('Catalog'!$B:$B,MATCH($G64,'Catalog'!$A:$A,0)),$B64))</f>
        <v>268 סד לאגודל</v>
      </c>
      <c r="I64" s="8" t="str">
        <f aca="false">IF($G64="","Unmatched","Matched")</f>
        <v>Matched</v>
      </c>
      <c r="J64" s="8" t="n">
        <f aca="false">IF($G64&lt;&gt;"",$G64,$B64)</f>
        <v>4415159</v>
      </c>
      <c r="K64" s="8" t="str">
        <f aca="false">IF(COUNTIF($M$1:$M$10,$A64)&gt;0,"Y","N")</f>
        <v>Y</v>
      </c>
    </row>
    <row r="65" customFormat="false" ht="15" hidden="false" customHeight="true" outlineLevel="0" collapsed="false">
      <c r="A65" s="8" t="s">
        <v>46</v>
      </c>
      <c r="B65" s="8" t="s">
        <v>594</v>
      </c>
      <c r="C65" s="19" t="n">
        <v>2</v>
      </c>
      <c r="D65" s="19" t="n">
        <v>187.68</v>
      </c>
      <c r="E65" s="19" t="n">
        <v>0</v>
      </c>
      <c r="F65" s="19" t="n">
        <v>0</v>
      </c>
      <c r="G65" s="8" t="n">
        <f aca="false">IFERROR(INDEX('TRANS'!$B:$B,MATCH($B65,'TRANS'!$A:$A,0)),IFERROR(INDEX('TRANS'!$B:$B,MATCH(TRIM(SUBSTITUTE($B65,CHAR(160)," ")),'TRANS'!$D:$D,0)),IFERROR(INDEX('Catalog'!$A:$A,MATCH($B65,'Catalog'!$B:$B,0)),IFERROR(INDEX('Catalog'!$A:$A,MATCH(TRIM(SUBSTITUTE($B65,CHAR(160)," ")),'Catalog'!$C:$C,0)),""))))</f>
        <v>4415006</v>
      </c>
      <c r="H65" s="8" t="str">
        <f aca="false">IFERROR(INDEX('TRANS'!$C:$C,MATCH($B65,'TRANS'!$A:$A,0)),IFERROR(INDEX('Catalog'!$B:$B,MATCH($G65,'Catalog'!$A:$A,0)),$B65))</f>
        <v>28 M סד לאגודל לאחר שבר</v>
      </c>
      <c r="I65" s="8" t="str">
        <f aca="false">IF($G65="","Unmatched","Matched")</f>
        <v>Matched</v>
      </c>
      <c r="J65" s="8" t="n">
        <f aca="false">IF($G65&lt;&gt;"",$G65,$B65)</f>
        <v>4415006</v>
      </c>
      <c r="K65" s="8" t="str">
        <f aca="false">IF(COUNTIF($M$1:$M$10,$A65)&gt;0,"Y","N")</f>
        <v>Y</v>
      </c>
    </row>
    <row r="66" customFormat="false" ht="15" hidden="false" customHeight="true" outlineLevel="0" collapsed="false">
      <c r="A66" s="8" t="s">
        <v>46</v>
      </c>
      <c r="B66" s="8" t="s">
        <v>173</v>
      </c>
      <c r="C66" s="19" t="n">
        <v>0</v>
      </c>
      <c r="D66" s="19" t="n">
        <v>0</v>
      </c>
      <c r="E66" s="19" t="n">
        <v>1</v>
      </c>
      <c r="F66" s="19" t="n">
        <v>66.51</v>
      </c>
      <c r="G66" s="8" t="str">
        <f aca="false">IFERROR(INDEX('TRANS'!$B:$B,MATCH($B66,'TRANS'!$A:$A,0)),IFERROR(INDEX('TRANS'!$B:$B,MATCH(TRIM(SUBSTITUTE($B66,CHAR(160)," ")),'TRANS'!$D:$D,0)),IFERROR(INDEX('Catalog'!$A:$A,MATCH($B66,'Catalog'!$B:$B,0)),IFERROR(INDEX('Catalog'!$A:$A,MATCH(TRIM(SUBSTITUTE($B66,CHAR(160)," ")),'Catalog'!$C:$C,0)),""))))</f>
        <v/>
      </c>
      <c r="H66" s="8" t="str">
        <f aca="false">IFERROR(INDEX('TRANS'!$C:$C,MATCH($B66,'TRANS'!$A:$A,0)),IFERROR(INDEX('Catalog'!$B:$B,MATCH($G66,'Catalog'!$A:$A,0)),$B66))</f>
        <v>30 M</v>
      </c>
      <c r="I66" s="8" t="str">
        <f aca="false">IF($G66="","Unmatched","Matched")</f>
        <v>Unmatched</v>
      </c>
      <c r="J66" s="8" t="str">
        <f aca="false">IF($G66&lt;&gt;"",$G66,$B66)</f>
        <v>30 M</v>
      </c>
      <c r="K66" s="8" t="str">
        <f aca="false">IF(COUNTIF($M$1:$M$10,$A66)&gt;0,"Y","N")</f>
        <v>Y</v>
      </c>
    </row>
    <row r="67" customFormat="false" ht="15" hidden="false" customHeight="true" outlineLevel="0" collapsed="false">
      <c r="A67" s="8" t="s">
        <v>46</v>
      </c>
      <c r="B67" s="8" t="s">
        <v>319</v>
      </c>
      <c r="C67" s="19" t="n">
        <v>1</v>
      </c>
      <c r="D67" s="19" t="n">
        <v>66.51</v>
      </c>
      <c r="E67" s="19" t="n">
        <v>0</v>
      </c>
      <c r="F67" s="19" t="n">
        <v>0</v>
      </c>
      <c r="G67" s="8" t="str">
        <f aca="false">IFERROR(INDEX('TRANS'!$B:$B,MATCH($B67,'TRANS'!$A:$A,0)),IFERROR(INDEX('TRANS'!$B:$B,MATCH(TRIM(SUBSTITUTE($B67,CHAR(160)," ")),'TRANS'!$D:$D,0)),IFERROR(INDEX('Catalog'!$A:$A,MATCH($B67,'Catalog'!$B:$B,0)),IFERROR(INDEX('Catalog'!$A:$A,MATCH(TRIM(SUBSTITUTE($B67,CHAR(160)," ")),'Catalog'!$C:$C,0)),""))))</f>
        <v/>
      </c>
      <c r="H67" s="8" t="str">
        <f aca="false">IFERROR(INDEX('TRANS'!$C:$C,MATCH($B67,'TRANS'!$A:$A,0)),IFERROR(INDEX('Catalog'!$B:$B,MATCH($G67,'Catalog'!$A:$A,0)),$B67))</f>
        <v>30 XL</v>
      </c>
      <c r="I67" s="8" t="str">
        <f aca="false">IF($G67="","Unmatched","Matched")</f>
        <v>Unmatched</v>
      </c>
      <c r="J67" s="8" t="str">
        <f aca="false">IF($G67&lt;&gt;"",$G67,$B67)</f>
        <v>30 XL</v>
      </c>
      <c r="K67" s="8" t="str">
        <f aca="false">IF(COUNTIF($M$1:$M$10,$A67)&gt;0,"Y","N")</f>
        <v>Y</v>
      </c>
    </row>
    <row r="68" customFormat="false" ht="15" hidden="false" customHeight="true" outlineLevel="0" collapsed="false">
      <c r="A68" s="8" t="s">
        <v>46</v>
      </c>
      <c r="B68" s="8" t="s">
        <v>595</v>
      </c>
      <c r="C68" s="19" t="n">
        <v>42</v>
      </c>
      <c r="D68" s="19" t="n">
        <v>869.48</v>
      </c>
      <c r="E68" s="19" t="n">
        <v>1</v>
      </c>
      <c r="F68" s="19" t="n">
        <v>0.01</v>
      </c>
      <c r="G68" s="8" t="n">
        <f aca="false">IFERROR(INDEX('TRANS'!$B:$B,MATCH($B68,'TRANS'!$A:$A,0)),IFERROR(INDEX('TRANS'!$B:$B,MATCH(TRIM(SUBSTITUTE($B68,CHAR(160)," ")),'TRANS'!$D:$D,0)),IFERROR(INDEX('Catalog'!$A:$A,MATCH($B68,'Catalog'!$B:$B,0)),IFERROR(INDEX('Catalog'!$A:$A,MATCH(TRIM(SUBSTITUTE($B68,CHAR(160)," ")),'Catalog'!$C:$C,0)),""))))</f>
        <v>4413348</v>
      </c>
      <c r="H68" s="8" t="str">
        <f aca="false">IFERROR(INDEX('TRANS'!$C:$C,MATCH($B68,'TRANS'!$A:$A,0)),IFERROR(INDEX('Catalog'!$B:$B,MATCH($G68,'Catalog'!$A:$A,0)),$B68))</f>
        <v>302 מדרס ג'ל לגבר</v>
      </c>
      <c r="I68" s="8" t="str">
        <f aca="false">IF($G68="","Unmatched","Matched")</f>
        <v>Matched</v>
      </c>
      <c r="J68" s="8" t="n">
        <f aca="false">IF($G68&lt;&gt;"",$G68,$B68)</f>
        <v>4413348</v>
      </c>
      <c r="K68" s="8" t="str">
        <f aca="false">IF(COUNTIF($M$1:$M$10,$A68)&gt;0,"Y","N")</f>
        <v>Y</v>
      </c>
    </row>
    <row r="69" customFormat="false" ht="15" hidden="false" customHeight="true" outlineLevel="0" collapsed="false">
      <c r="A69" s="8" t="s">
        <v>46</v>
      </c>
      <c r="B69" s="8" t="s">
        <v>596</v>
      </c>
      <c r="C69" s="19" t="n">
        <v>174</v>
      </c>
      <c r="D69" s="19" t="n">
        <v>355.54</v>
      </c>
      <c r="E69" s="19" t="n">
        <v>2</v>
      </c>
      <c r="F69" s="19" t="n">
        <v>71.21</v>
      </c>
      <c r="G69" s="8" t="n">
        <f aca="false">IFERROR(INDEX('TRANS'!$B:$B,MATCH($B69,'TRANS'!$A:$A,0)),IFERROR(INDEX('TRANS'!$B:$B,MATCH(TRIM(SUBSTITUTE($B69,CHAR(160)," ")),'TRANS'!$D:$D,0)),IFERROR(INDEX('Catalog'!$A:$A,MATCH($B69,'Catalog'!$B:$B,0)),IFERROR(INDEX('Catalog'!$A:$A,MATCH(TRIM(SUBSTITUTE($B69,CHAR(160)," ")),'Catalog'!$C:$C,0)),""))))</f>
        <v>4413372</v>
      </c>
      <c r="H69" s="8" t="str">
        <f aca="false">IFERROR(INDEX('TRANS'!$C:$C,MATCH($B69,'TRANS'!$A:$A,0)),IFERROR(INDEX('Catalog'!$B:$B,MATCH($G69,'Catalog'!$A:$A,0)),$B69))</f>
        <v>302 W מדרס לאישה</v>
      </c>
      <c r="I69" s="8" t="str">
        <f aca="false">IF($G69="","Unmatched","Matched")</f>
        <v>Matched</v>
      </c>
      <c r="J69" s="8" t="n">
        <f aca="false">IF($G69&lt;&gt;"",$G69,$B69)</f>
        <v>4413372</v>
      </c>
      <c r="K69" s="8" t="str">
        <f aca="false">IF(COUNTIF($M$1:$M$10,$A69)&gt;0,"Y","N")</f>
        <v>Y</v>
      </c>
    </row>
    <row r="70" customFormat="false" ht="15" hidden="false" customHeight="true" outlineLevel="0" collapsed="false">
      <c r="A70" s="8" t="s">
        <v>46</v>
      </c>
      <c r="B70" s="8" t="s">
        <v>597</v>
      </c>
      <c r="C70" s="19" t="n">
        <v>5</v>
      </c>
      <c r="D70" s="19" t="n">
        <v>499.72</v>
      </c>
      <c r="E70" s="19" t="n">
        <v>3</v>
      </c>
      <c r="F70" s="19" t="n">
        <v>156.18</v>
      </c>
      <c r="G70" s="8" t="n">
        <f aca="false">IFERROR(INDEX('TRANS'!$B:$B,MATCH($B70,'TRANS'!$A:$A,0)),IFERROR(INDEX('TRANS'!$B:$B,MATCH(TRIM(SUBSTITUTE($B70,CHAR(160)," ")),'TRANS'!$D:$D,0)),IFERROR(INDEX('Catalog'!$A:$A,MATCH($B70,'Catalog'!$B:$B,0)),IFERROR(INDEX('Catalog'!$A:$A,MATCH(TRIM(SUBSTITUTE($B70,CHAR(160)," ")),'Catalog'!$C:$C,0)),""))))</f>
        <v>4413155</v>
      </c>
      <c r="H70" s="8" t="str">
        <f aca="false">IFERROR(INDEX('TRANS'!$C:$C,MATCH($B70,'TRANS'!$A:$A,0)),IFERROR(INDEX('Catalog'!$B:$B,MATCH($G70,'Catalog'!$A:$A,0)),$B70))</f>
        <v>305GA מדרס אורטופ.מתכוון39-40</v>
      </c>
      <c r="I70" s="8" t="str">
        <f aca="false">IF($G70="","Unmatched","Matched")</f>
        <v>Matched</v>
      </c>
      <c r="J70" s="8" t="n">
        <f aca="false">IF($G70&lt;&gt;"",$G70,$B70)</f>
        <v>4413155</v>
      </c>
      <c r="K70" s="8" t="str">
        <f aca="false">IF(COUNTIF($M$1:$M$10,$A70)&gt;0,"Y","N")</f>
        <v>Y</v>
      </c>
    </row>
    <row r="71" customFormat="false" ht="15" hidden="false" customHeight="true" outlineLevel="0" collapsed="false">
      <c r="A71" s="8" t="s">
        <v>46</v>
      </c>
      <c r="B71" s="8" t="s">
        <v>598</v>
      </c>
      <c r="C71" s="19" t="n">
        <v>4</v>
      </c>
      <c r="D71" s="19" t="n">
        <v>404.47</v>
      </c>
      <c r="E71" s="19" t="n">
        <v>1</v>
      </c>
      <c r="F71" s="19" t="n">
        <v>62.47</v>
      </c>
      <c r="G71" s="8" t="n">
        <f aca="false">IFERROR(INDEX('TRANS'!$B:$B,MATCH($B71,'TRANS'!$A:$A,0)),IFERROR(INDEX('TRANS'!$B:$B,MATCH(TRIM(SUBSTITUTE($B71,CHAR(160)," ")),'TRANS'!$D:$D,0)),IFERROR(INDEX('Catalog'!$A:$A,MATCH($B71,'Catalog'!$B:$B,0)),IFERROR(INDEX('Catalog'!$A:$A,MATCH(TRIM(SUBSTITUTE($B71,CHAR(160)," ")),'Catalog'!$C:$C,0)),""))))</f>
        <v>4413156</v>
      </c>
      <c r="H71" s="8" t="str">
        <f aca="false">IFERROR(INDEX('TRANS'!$C:$C,MATCH($B71,'TRANS'!$A:$A,0)),IFERROR(INDEX('Catalog'!$B:$B,MATCH($G71,'Catalog'!$A:$A,0)),$B71))</f>
        <v>305GA מדרס אורטופ.מתכוון41-42</v>
      </c>
      <c r="I71" s="8" t="str">
        <f aca="false">IF($G71="","Unmatched","Matched")</f>
        <v>Matched</v>
      </c>
      <c r="J71" s="8" t="n">
        <f aca="false">IF($G71&lt;&gt;"",$G71,$B71)</f>
        <v>4413156</v>
      </c>
      <c r="K71" s="8" t="str">
        <f aca="false">IF(COUNTIF($M$1:$M$10,$A71)&gt;0,"Y","N")</f>
        <v>Y</v>
      </c>
    </row>
    <row r="72" customFormat="false" ht="15" hidden="false" customHeight="true" outlineLevel="0" collapsed="false">
      <c r="A72" s="8" t="s">
        <v>46</v>
      </c>
      <c r="B72" s="8" t="s">
        <v>599</v>
      </c>
      <c r="C72" s="19" t="n">
        <v>2</v>
      </c>
      <c r="D72" s="19" t="n">
        <v>185.84</v>
      </c>
      <c r="E72" s="19" t="n">
        <v>1</v>
      </c>
      <c r="F72" s="19" t="n">
        <v>93.7</v>
      </c>
      <c r="G72" s="8" t="n">
        <f aca="false">IFERROR(INDEX('TRANS'!$B:$B,MATCH($B72,'TRANS'!$A:$A,0)),IFERROR(INDEX('TRANS'!$B:$B,MATCH(TRIM(SUBSTITUTE($B72,CHAR(160)," ")),'TRANS'!$D:$D,0)),IFERROR(INDEX('Catalog'!$A:$A,MATCH($B72,'Catalog'!$B:$B,0)),IFERROR(INDEX('Catalog'!$A:$A,MATCH(TRIM(SUBSTITUTE($B72,CHAR(160)," ")),'Catalog'!$C:$C,0)),""))))</f>
        <v>4413157</v>
      </c>
      <c r="H72" s="8" t="str">
        <f aca="false">IFERROR(INDEX('TRANS'!$C:$C,MATCH($B72,'TRANS'!$A:$A,0)),IFERROR(INDEX('Catalog'!$B:$B,MATCH($G72,'Catalog'!$A:$A,0)),$B72))</f>
        <v>305GA מדרס אורטופ.מתכוון43-44</v>
      </c>
      <c r="I72" s="8" t="str">
        <f aca="false">IF($G72="","Unmatched","Matched")</f>
        <v>Matched</v>
      </c>
      <c r="J72" s="8" t="n">
        <f aca="false">IF($G72&lt;&gt;"",$G72,$B72)</f>
        <v>4413157</v>
      </c>
      <c r="K72" s="8" t="str">
        <f aca="false">IF(COUNTIF($M$1:$M$10,$A72)&gt;0,"Y","N")</f>
        <v>Y</v>
      </c>
    </row>
    <row r="73" customFormat="false" ht="15" hidden="false" customHeight="true" outlineLevel="0" collapsed="false">
      <c r="A73" s="8" t="s">
        <v>46</v>
      </c>
      <c r="B73" s="8" t="s">
        <v>600</v>
      </c>
      <c r="C73" s="19" t="n">
        <v>1</v>
      </c>
      <c r="D73" s="19" t="n">
        <v>93.7</v>
      </c>
      <c r="E73" s="19" t="n">
        <v>1</v>
      </c>
      <c r="F73" s="19" t="n">
        <v>93.7</v>
      </c>
      <c r="G73" s="8" t="n">
        <f aca="false">IFERROR(INDEX('TRANS'!$B:$B,MATCH($B73,'TRANS'!$A:$A,0)),IFERROR(INDEX('TRANS'!$B:$B,MATCH(TRIM(SUBSTITUTE($B73,CHAR(160)," ")),'TRANS'!$D:$D,0)),IFERROR(INDEX('Catalog'!$A:$A,MATCH($B73,'Catalog'!$B:$B,0)),IFERROR(INDEX('Catalog'!$A:$A,MATCH(TRIM(SUBSTITUTE($B73,CHAR(160)," ")),'Catalog'!$C:$C,0)),""))))</f>
        <v>4413158</v>
      </c>
      <c r="H73" s="8" t="str">
        <f aca="false">IFERROR(INDEX('TRANS'!$C:$C,MATCH($B73,'TRANS'!$A:$A,0)),IFERROR(INDEX('Catalog'!$B:$B,MATCH($G73,'Catalog'!$A:$A,0)),$B73))</f>
        <v>305GA מדרס אורטופ.מתכוון45-46</v>
      </c>
      <c r="I73" s="8" t="str">
        <f aca="false">IF($G73="","Unmatched","Matched")</f>
        <v>Matched</v>
      </c>
      <c r="J73" s="8" t="n">
        <f aca="false">IF($G73&lt;&gt;"",$G73,$B73)</f>
        <v>4413158</v>
      </c>
      <c r="K73" s="8" t="str">
        <f aca="false">IF(COUNTIF($M$1:$M$10,$A73)&gt;0,"Y","N")</f>
        <v>Y</v>
      </c>
    </row>
    <row r="74" customFormat="false" ht="15" hidden="false" customHeight="true" outlineLevel="0" collapsed="false">
      <c r="A74" s="8" t="s">
        <v>46</v>
      </c>
      <c r="B74" s="8" t="s">
        <v>601</v>
      </c>
      <c r="C74" s="19" t="n">
        <v>2</v>
      </c>
      <c r="D74" s="19" t="n">
        <v>175.71</v>
      </c>
      <c r="E74" s="19" t="n">
        <v>1</v>
      </c>
      <c r="F74" s="19" t="n">
        <v>83.43</v>
      </c>
      <c r="G74" s="8" t="n">
        <f aca="false">IFERROR(INDEX('TRANS'!$B:$B,MATCH($B74,'TRANS'!$A:$A,0)),IFERROR(INDEX('TRANS'!$B:$B,MATCH(TRIM(SUBSTITUTE($B74,CHAR(160)," ")),'TRANS'!$D:$D,0)),IFERROR(INDEX('Catalog'!$A:$A,MATCH($B74,'Catalog'!$B:$B,0)),IFERROR(INDEX('Catalog'!$A:$A,MATCH(TRIM(SUBSTITUTE($B74,CHAR(160)," ")),'Catalog'!$C:$C,0)),""))))</f>
        <v>4416000</v>
      </c>
      <c r="H74" s="8" t="str">
        <f aca="false">IFERROR(INDEX('TRANS'!$C:$C,MATCH($B74,'TRANS'!$A:$A,0)),IFERROR(INDEX('Catalog'!$B:$B,MATCH($G74,'Catalog'!$A:$A,0)),$B74))</f>
        <v>307 L עקבים לדורבן-זוג כריות</v>
      </c>
      <c r="I74" s="8" t="str">
        <f aca="false">IF($G74="","Unmatched","Matched")</f>
        <v>Matched</v>
      </c>
      <c r="J74" s="8" t="n">
        <f aca="false">IF($G74&lt;&gt;"",$G74,$B74)</f>
        <v>4416000</v>
      </c>
      <c r="K74" s="8" t="str">
        <f aca="false">IF(COUNTIF($M$1:$M$10,$A74)&gt;0,"Y","N")</f>
        <v>Y</v>
      </c>
    </row>
    <row r="75" customFormat="false" ht="15" hidden="false" customHeight="true" outlineLevel="0" collapsed="false">
      <c r="A75" s="8" t="s">
        <v>46</v>
      </c>
      <c r="B75" s="8" t="s">
        <v>602</v>
      </c>
      <c r="C75" s="19" t="n">
        <v>4</v>
      </c>
      <c r="D75" s="19" t="n">
        <v>342.56</v>
      </c>
      <c r="E75" s="19" t="n">
        <v>5</v>
      </c>
      <c r="F75" s="19" t="n">
        <v>436.86</v>
      </c>
      <c r="G75" s="8" t="n">
        <f aca="false">IFERROR(INDEX('TRANS'!$B:$B,MATCH($B75,'TRANS'!$A:$A,0)),IFERROR(INDEX('TRANS'!$B:$B,MATCH(TRIM(SUBSTITUTE($B75,CHAR(160)," ")),'TRANS'!$D:$D,0)),IFERROR(INDEX('Catalog'!$A:$A,MATCH($B75,'Catalog'!$B:$B,0)),IFERROR(INDEX('Catalog'!$A:$A,MATCH(TRIM(SUBSTITUTE($B75,CHAR(160)," ")),'Catalog'!$C:$C,0)),""))))</f>
        <v>4416001</v>
      </c>
      <c r="H75" s="8" t="str">
        <f aca="false">IFERROR(INDEX('TRANS'!$C:$C,MATCH($B75,'TRANS'!$A:$A,0)),IFERROR(INDEX('Catalog'!$B:$B,MATCH($G75,'Catalog'!$A:$A,0)),$B75))</f>
        <v>307 M עקבים לדורבן-זוג כריות</v>
      </c>
      <c r="I75" s="8" t="str">
        <f aca="false">IF($G75="","Unmatched","Matched")</f>
        <v>Matched</v>
      </c>
      <c r="J75" s="8" t="n">
        <f aca="false">IF($G75&lt;&gt;"",$G75,$B75)</f>
        <v>4416001</v>
      </c>
      <c r="K75" s="8" t="str">
        <f aca="false">IF(COUNTIF($M$1:$M$10,$A75)&gt;0,"Y","N")</f>
        <v>Y</v>
      </c>
    </row>
    <row r="76" customFormat="false" ht="15" hidden="false" customHeight="true" outlineLevel="0" collapsed="false">
      <c r="A76" s="8" t="s">
        <v>46</v>
      </c>
      <c r="B76" s="8" t="s">
        <v>603</v>
      </c>
      <c r="C76" s="19" t="n">
        <v>1</v>
      </c>
      <c r="D76" s="19" t="n">
        <v>92.14</v>
      </c>
      <c r="E76" s="19" t="n">
        <v>0</v>
      </c>
      <c r="F76" s="19" t="n">
        <v>0</v>
      </c>
      <c r="G76" s="8" t="n">
        <f aca="false">IFERROR(INDEX('TRANS'!$B:$B,MATCH($B76,'TRANS'!$A:$A,0)),IFERROR(INDEX('TRANS'!$B:$B,MATCH(TRIM(SUBSTITUTE($B76,CHAR(160)," ")),'TRANS'!$D:$D,0)),IFERROR(INDEX('Catalog'!$A:$A,MATCH($B76,'Catalog'!$B:$B,0)),IFERROR(INDEX('Catalog'!$A:$A,MATCH(TRIM(SUBSTITUTE($B76,CHAR(160)," ")),'Catalog'!$C:$C,0)),""))))</f>
        <v>4411016</v>
      </c>
      <c r="H76" s="8" t="str">
        <f aca="false">IFERROR(INDEX('TRANS'!$C:$C,MATCH($B76,'TRANS'!$A:$A,0)),IFERROR(INDEX('Catalog'!$B:$B,MATCH($G76,'Catalog'!$A:$A,0)),$B76))</f>
        <v>307 XL כרית סיליקון לעקב</v>
      </c>
      <c r="I76" s="8" t="str">
        <f aca="false">IF($G76="","Unmatched","Matched")</f>
        <v>Matched</v>
      </c>
      <c r="J76" s="8" t="n">
        <f aca="false">IF($G76&lt;&gt;"",$G76,$B76)</f>
        <v>4411016</v>
      </c>
      <c r="K76" s="8" t="str">
        <f aca="false">IF(COUNTIF($M$1:$M$10,$A76)&gt;0,"Y","N")</f>
        <v>Y</v>
      </c>
    </row>
    <row r="77" customFormat="false" ht="15" hidden="false" customHeight="true" outlineLevel="0" collapsed="false">
      <c r="A77" s="8" t="s">
        <v>46</v>
      </c>
      <c r="B77" s="8" t="s">
        <v>604</v>
      </c>
      <c r="C77" s="19" t="n">
        <v>4</v>
      </c>
      <c r="D77" s="19" t="n">
        <v>263.82</v>
      </c>
      <c r="E77" s="19" t="n">
        <v>4</v>
      </c>
      <c r="F77" s="19" t="n">
        <v>243.53</v>
      </c>
      <c r="G77" s="8" t="n">
        <f aca="false">IFERROR(INDEX('TRANS'!$B:$B,MATCH($B77,'TRANS'!$A:$A,0)),IFERROR(INDEX('TRANS'!$B:$B,MATCH(TRIM(SUBSTITUTE($B77,CHAR(160)," ")),'TRANS'!$D:$D,0)),IFERROR(INDEX('Catalog'!$A:$A,MATCH($B77,'Catalog'!$B:$B,0)),IFERROR(INDEX('Catalog'!$A:$A,MATCH(TRIM(SUBSTITUTE($B77,CHAR(160)," ")),'Catalog'!$C:$C,0)),""))))</f>
        <v>4416005</v>
      </c>
      <c r="H77" s="8" t="str">
        <f aca="false">IFERROR(INDEX('TRANS'!$C:$C,MATCH($B77,'TRANS'!$A:$A,0)),IFERROR(INDEX('Catalog'!$B:$B,MATCH($G77,'Catalog'!$A:$A,0)),$B77))</f>
        <v>308 Mעקבים סיליק.כחול לדורבן</v>
      </c>
      <c r="I77" s="8" t="str">
        <f aca="false">IF($G77="","Unmatched","Matched")</f>
        <v>Matched</v>
      </c>
      <c r="J77" s="8" t="n">
        <f aca="false">IF($G77&lt;&gt;"",$G77,$B77)</f>
        <v>4416005</v>
      </c>
      <c r="K77" s="8" t="str">
        <f aca="false">IF(COUNTIF($M$1:$M$10,$A77)&gt;0,"Y","N")</f>
        <v>Y</v>
      </c>
    </row>
    <row r="78" customFormat="false" ht="15" hidden="false" customHeight="true" outlineLevel="0" collapsed="false">
      <c r="A78" s="8" t="s">
        <v>46</v>
      </c>
      <c r="B78" s="8" t="s">
        <v>605</v>
      </c>
      <c r="C78" s="19" t="n">
        <v>7</v>
      </c>
      <c r="D78" s="19" t="n">
        <v>134.09</v>
      </c>
      <c r="E78" s="19" t="n">
        <v>1</v>
      </c>
      <c r="F78" s="19" t="n">
        <v>0.01</v>
      </c>
      <c r="G78" s="8" t="n">
        <f aca="false">IFERROR(INDEX('TRANS'!$B:$B,MATCH($B78,'TRANS'!$A:$A,0)),IFERROR(INDEX('TRANS'!$B:$B,MATCH(TRIM(SUBSTITUTE($B78,CHAR(160)," ")),'TRANS'!$D:$D,0)),IFERROR(INDEX('Catalog'!$A:$A,MATCH($B78,'Catalog'!$B:$B,0)),IFERROR(INDEX('Catalog'!$A:$A,MATCH(TRIM(SUBSTITUTE($B78,CHAR(160)," ")),'Catalog'!$C:$C,0)),""))))</f>
        <v>4413033</v>
      </c>
      <c r="H78" s="8" t="str">
        <f aca="false">IFERROR(INDEX('TRANS'!$C:$C,MATCH($B78,'TRANS'!$A:$A,0)),IFERROR(INDEX('Catalog'!$B:$B,MATCH($G78,'Catalog'!$A:$A,0)),$B78))</f>
        <v>311'מדב.ג'ל למניעת שפשוף 5 יח</v>
      </c>
      <c r="I78" s="8" t="str">
        <f aca="false">IF($G78="","Unmatched","Matched")</f>
        <v>Matched</v>
      </c>
      <c r="J78" s="8" t="n">
        <f aca="false">IF($G78&lt;&gt;"",$G78,$B78)</f>
        <v>4413033</v>
      </c>
      <c r="K78" s="8" t="str">
        <f aca="false">IF(COUNTIF($M$1:$M$10,$A78)&gt;0,"Y","N")</f>
        <v>Y</v>
      </c>
    </row>
    <row r="79" customFormat="false" ht="15" hidden="false" customHeight="true" outlineLevel="0" collapsed="false">
      <c r="A79" s="8" t="s">
        <v>46</v>
      </c>
      <c r="B79" s="8" t="s">
        <v>606</v>
      </c>
      <c r="C79" s="19" t="n">
        <v>7</v>
      </c>
      <c r="D79" s="19" t="n">
        <v>148.81</v>
      </c>
      <c r="E79" s="19" t="n">
        <v>1</v>
      </c>
      <c r="F79" s="19" t="n">
        <v>21.98</v>
      </c>
      <c r="G79" s="8" t="n">
        <f aca="false">IFERROR(INDEX('TRANS'!$B:$B,MATCH($B79,'TRANS'!$A:$A,0)),IFERROR(INDEX('TRANS'!$B:$B,MATCH(TRIM(SUBSTITUTE($B79,CHAR(160)," ")),'TRANS'!$D:$D,0)),IFERROR(INDEX('Catalog'!$A:$A,MATCH($B79,'Catalog'!$B:$B,0)),IFERROR(INDEX('Catalog'!$A:$A,MATCH(TRIM(SUBSTITUTE($B79,CHAR(160)," ")),'Catalog'!$C:$C,0)),""))))</f>
        <v>4413034</v>
      </c>
      <c r="H79" s="8" t="str">
        <f aca="false">IFERROR(INDEX('TRANS'!$C:$C,MATCH($B79,'TRANS'!$A:$A,0)),IFERROR(INDEX('Catalog'!$B:$B,MATCH($G79,'Catalog'!$A:$A,0)),$B79))</f>
        <v>312 9 מ""""ס להתאמהX5 מדבקה גדולה</v>
      </c>
      <c r="I79" s="8" t="str">
        <f aca="false">IF($G79="","Unmatched","Matched")</f>
        <v>Matched</v>
      </c>
      <c r="J79" s="8" t="n">
        <f aca="false">IF($G79&lt;&gt;"",$G79,$B79)</f>
        <v>4413034</v>
      </c>
      <c r="K79" s="8" t="str">
        <f aca="false">IF(COUNTIF($M$1:$M$10,$A79)&gt;0,"Y","N")</f>
        <v>Y</v>
      </c>
    </row>
    <row r="80" customFormat="false" ht="15" hidden="false" customHeight="true" outlineLevel="0" collapsed="false">
      <c r="A80" s="8" t="s">
        <v>46</v>
      </c>
      <c r="B80" s="8" t="s">
        <v>607</v>
      </c>
      <c r="C80" s="19" t="n">
        <v>7</v>
      </c>
      <c r="D80" s="19" t="n">
        <v>133.6</v>
      </c>
      <c r="E80" s="19" t="n">
        <v>1</v>
      </c>
      <c r="F80" s="19" t="n">
        <v>23.86</v>
      </c>
      <c r="G80" s="8" t="n">
        <f aca="false">IFERROR(INDEX('TRANS'!$B:$B,MATCH($B80,'TRANS'!$A:$A,0)),IFERROR(INDEX('TRANS'!$B:$B,MATCH(TRIM(SUBSTITUTE($B80,CHAR(160)," ")),'TRANS'!$D:$D,0)),IFERROR(INDEX('Catalog'!$A:$A,MATCH($B80,'Catalog'!$B:$B,0)),IFERROR(INDEX('Catalog'!$A:$A,MATCH(TRIM(SUBSTITUTE($B80,CHAR(160)," ")),'Catalog'!$C:$C,0)),""))))</f>
        <v>4415297</v>
      </c>
      <c r="H80" s="8" t="str">
        <f aca="false">IFERROR(INDEX('TRANS'!$C:$C,MATCH($B80,'TRANS'!$A:$A,0)),IFERROR(INDEX('Catalog'!$B:$B,MATCH($G80,'Catalog'!$A:$A,0)),$B80))</f>
        <v>313 סט פלסטרים נגד שפשופים</v>
      </c>
      <c r="I80" s="8" t="str">
        <f aca="false">IF($G80="","Unmatched","Matched")</f>
        <v>Matched</v>
      </c>
      <c r="J80" s="8" t="n">
        <f aca="false">IF($G80&lt;&gt;"",$G80,$B80)</f>
        <v>4415297</v>
      </c>
      <c r="K80" s="8" t="str">
        <f aca="false">IF(COUNTIF($M$1:$M$10,$A80)&gt;0,"Y","N")</f>
        <v>Y</v>
      </c>
    </row>
    <row r="81" customFormat="false" ht="15" hidden="false" customHeight="true" outlineLevel="0" collapsed="false">
      <c r="A81" s="8" t="s">
        <v>46</v>
      </c>
      <c r="B81" s="8" t="s">
        <v>608</v>
      </c>
      <c r="C81" s="19" t="n">
        <v>0</v>
      </c>
      <c r="D81" s="19" t="n">
        <v>0</v>
      </c>
      <c r="E81" s="19" t="n">
        <v>1</v>
      </c>
      <c r="F81" s="19" t="n">
        <v>212.75</v>
      </c>
      <c r="G81" s="8" t="n">
        <f aca="false">IFERROR(INDEX('TRANS'!$B:$B,MATCH($B81,'TRANS'!$A:$A,0)),IFERROR(INDEX('TRANS'!$B:$B,MATCH(TRIM(SUBSTITUTE($B81,CHAR(160)," ")),'TRANS'!$D:$D,0)),IFERROR(INDEX('Catalog'!$A:$A,MATCH($B81,'Catalog'!$B:$B,0)),IFERROR(INDEX('Catalog'!$A:$A,MATCH(TRIM(SUBSTITUTE($B81,CHAR(160)," ")),'Catalog'!$C:$C,0)),""))))</f>
        <v>4415013</v>
      </c>
      <c r="H81" s="8" t="str">
        <f aca="false">IFERROR(INDEX('TRANS'!$C:$C,MATCH($B81,'TRANS'!$A:$A,0)),IFERROR(INDEX('Catalog'!$B:$B,MATCH($G81,'Catalog'!$A:$A,0)),$B81))</f>
        <v>32 XL סד קרסול+מוטות אלומיניום</v>
      </c>
      <c r="I81" s="8" t="str">
        <f aca="false">IF($G81="","Unmatched","Matched")</f>
        <v>Matched</v>
      </c>
      <c r="J81" s="8" t="n">
        <f aca="false">IF($G81&lt;&gt;"",$G81,$B81)</f>
        <v>4415013</v>
      </c>
      <c r="K81" s="8" t="str">
        <f aca="false">IF(COUNTIF($M$1:$M$10,$A81)&gt;0,"Y","N")</f>
        <v>Y</v>
      </c>
    </row>
    <row r="82" customFormat="false" ht="15" hidden="false" customHeight="true" outlineLevel="0" collapsed="false">
      <c r="A82" s="8" t="s">
        <v>46</v>
      </c>
      <c r="B82" s="8" t="s">
        <v>609</v>
      </c>
      <c r="C82" s="19" t="n">
        <v>4</v>
      </c>
      <c r="D82" s="19" t="n">
        <v>83.75</v>
      </c>
      <c r="E82" s="19" t="n">
        <v>0</v>
      </c>
      <c r="F82" s="19" t="n">
        <v>0</v>
      </c>
      <c r="G82" s="8" t="n">
        <f aca="false">IFERROR(INDEX('TRANS'!$B:$B,MATCH($B82,'TRANS'!$A:$A,0)),IFERROR(INDEX('TRANS'!$B:$B,MATCH(TRIM(SUBSTITUTE($B82,CHAR(160)," ")),'TRANS'!$D:$D,0)),IFERROR(INDEX('Catalog'!$A:$A,MATCH($B82,'Catalog'!$B:$B,0)),IFERROR(INDEX('Catalog'!$A:$A,MATCH(TRIM(SUBSTITUTE($B82,CHAR(160)," ")),'Catalog'!$C:$C,0)),""))))</f>
        <v>4402007</v>
      </c>
      <c r="H82" s="8" t="str">
        <f aca="false">IFERROR(INDEX('TRANS'!$C:$C,MATCH($B82,'TRANS'!$A:$A,0)),IFERROR(INDEX('Catalog'!$B:$B,MATCH($G82,'Catalog'!$A:$A,0)),$B82))</f>
        <v>320 בליסטר פלסטר</v>
      </c>
      <c r="I82" s="8" t="str">
        <f aca="false">IF($G82="","Unmatched","Matched")</f>
        <v>Matched</v>
      </c>
      <c r="J82" s="8" t="n">
        <f aca="false">IF($G82&lt;&gt;"",$G82,$B82)</f>
        <v>4402007</v>
      </c>
      <c r="K82" s="8" t="str">
        <f aca="false">IF(COUNTIF($M$1:$M$10,$A82)&gt;0,"Y","N")</f>
        <v>Y</v>
      </c>
    </row>
    <row r="83" customFormat="false" ht="15" hidden="false" customHeight="true" outlineLevel="0" collapsed="false">
      <c r="A83" s="8" t="s">
        <v>46</v>
      </c>
      <c r="B83" s="8" t="s">
        <v>610</v>
      </c>
      <c r="C83" s="19" t="n">
        <v>1</v>
      </c>
      <c r="D83" s="19" t="n">
        <v>127.91</v>
      </c>
      <c r="E83" s="19" t="n">
        <v>0</v>
      </c>
      <c r="F83" s="19" t="n">
        <v>0</v>
      </c>
      <c r="G83" s="8" t="n">
        <f aca="false">IFERROR(INDEX('TRANS'!$B:$B,MATCH($B83,'TRANS'!$A:$A,0)),IFERROR(INDEX('TRANS'!$B:$B,MATCH(TRIM(SUBSTITUTE($B83,CHAR(160)," ")),'TRANS'!$D:$D,0)),IFERROR(INDEX('Catalog'!$A:$A,MATCH($B83,'Catalog'!$B:$B,0)),IFERROR(INDEX('Catalog'!$A:$A,MATCH(TRIM(SUBSTITUTE($B83,CHAR(160)," ")),'Catalog'!$C:$C,0)),""))))</f>
        <v>4413347</v>
      </c>
      <c r="H83" s="8" t="str">
        <f aca="false">IFERROR(INDEX('TRANS'!$C:$C,MATCH($B83,'TRANS'!$A:$A,0)),IFERROR(INDEX('Catalog'!$B:$B,MATCH($G83,'Catalog'!$A:$A,0)),$B83))</f>
        <v>322-L מגן קרסול+כרית סילקון</v>
      </c>
      <c r="I83" s="8" t="str">
        <f aca="false">IF($G83="","Unmatched","Matched")</f>
        <v>Matched</v>
      </c>
      <c r="J83" s="8" t="n">
        <f aca="false">IF($G83&lt;&gt;"",$G83,$B83)</f>
        <v>4413347</v>
      </c>
      <c r="K83" s="8" t="str">
        <f aca="false">IF(COUNTIF($M$1:$M$10,$A83)&gt;0,"Y","N")</f>
        <v>Y</v>
      </c>
    </row>
    <row r="84" customFormat="false" ht="15" hidden="false" customHeight="true" outlineLevel="0" collapsed="false">
      <c r="A84" s="8" t="s">
        <v>46</v>
      </c>
      <c r="B84" s="8" t="s">
        <v>207</v>
      </c>
      <c r="C84" s="19" t="n">
        <v>1</v>
      </c>
      <c r="D84" s="19" t="n">
        <v>123.23</v>
      </c>
      <c r="E84" s="19" t="n">
        <v>1</v>
      </c>
      <c r="F84" s="19" t="n">
        <v>123.23</v>
      </c>
      <c r="G84" s="8" t="str">
        <f aca="false">IFERROR(INDEX('TRANS'!$B:$B,MATCH($B84,'TRANS'!$A:$A,0)),IFERROR(INDEX('TRANS'!$B:$B,MATCH(TRIM(SUBSTITUTE($B84,CHAR(160)," ")),'TRANS'!$D:$D,0)),IFERROR(INDEX('Catalog'!$A:$A,MATCH($B84,'Catalog'!$B:$B,0)),IFERROR(INDEX('Catalog'!$A:$A,MATCH(TRIM(SUBSTITUTE($B84,CHAR(160)," ")),'Catalog'!$C:$C,0)),""))))</f>
        <v/>
      </c>
      <c r="H84" s="8" t="str">
        <f aca="false">IFERROR(INDEX('TRANS'!$C:$C,MATCH($B84,'TRANS'!$A:$A,0)),IFERROR(INDEX('Catalog'!$B:$B,MATCH($G84,'Catalog'!$A:$A,0)),$B84))</f>
        <v>332B L</v>
      </c>
      <c r="I84" s="8" t="str">
        <f aca="false">IF($G84="","Unmatched","Matched")</f>
        <v>Unmatched</v>
      </c>
      <c r="J84" s="8" t="str">
        <f aca="false">IF($G84&lt;&gt;"",$G84,$B84)</f>
        <v>332B L</v>
      </c>
      <c r="K84" s="8" t="str">
        <f aca="false">IF(COUNTIF($M$1:$M$10,$A84)&gt;0,"Y","N")</f>
        <v>Y</v>
      </c>
    </row>
    <row r="85" customFormat="false" ht="15" hidden="false" customHeight="true" outlineLevel="0" collapsed="false">
      <c r="A85" s="8" t="s">
        <v>46</v>
      </c>
      <c r="B85" s="8" t="s">
        <v>611</v>
      </c>
      <c r="C85" s="19" t="n">
        <v>3</v>
      </c>
      <c r="D85" s="19" t="n">
        <v>213.55</v>
      </c>
      <c r="E85" s="19" t="n">
        <v>0</v>
      </c>
      <c r="F85" s="19" t="n">
        <v>0</v>
      </c>
      <c r="G85" s="8" t="n">
        <f aca="false">IFERROR(INDEX('TRANS'!$B:$B,MATCH($B85,'TRANS'!$A:$A,0)),IFERROR(INDEX('TRANS'!$B:$B,MATCH(TRIM(SUBSTITUTE($B85,CHAR(160)," ")),'TRANS'!$D:$D,0)),IFERROR(INDEX('Catalog'!$A:$A,MATCH($B85,'Catalog'!$B:$B,0)),IFERROR(INDEX('Catalog'!$A:$A,MATCH(TRIM(SUBSTITUTE($B85,CHAR(160)," ")),'Catalog'!$C:$C,0)),""))))</f>
        <v>4413161</v>
      </c>
      <c r="H85" s="8" t="str">
        <f aca="false">IFERROR(INDEX('TRANS'!$C:$C,MATCH($B85,'TRANS'!$A:$A,0)),IFERROR(INDEX('Catalog'!$B:$B,MATCH($G85,'Catalog'!$A:$A,0)),$B85))</f>
        <v>34+ L מגן קרסול עקב סגור+רצוע</v>
      </c>
      <c r="I85" s="8" t="str">
        <f aca="false">IF($G85="","Unmatched","Matched")</f>
        <v>Matched</v>
      </c>
      <c r="J85" s="8" t="n">
        <f aca="false">IF($G85&lt;&gt;"",$G85,$B85)</f>
        <v>4413161</v>
      </c>
      <c r="K85" s="8" t="str">
        <f aca="false">IF(COUNTIF($M$1:$M$10,$A85)&gt;0,"Y","N")</f>
        <v>Y</v>
      </c>
    </row>
    <row r="86" customFormat="false" ht="15" hidden="false" customHeight="true" outlineLevel="0" collapsed="false">
      <c r="A86" s="8" t="s">
        <v>46</v>
      </c>
      <c r="B86" s="8" t="s">
        <v>612</v>
      </c>
      <c r="C86" s="19" t="n">
        <v>1</v>
      </c>
      <c r="D86" s="19" t="n">
        <v>70.26</v>
      </c>
      <c r="E86" s="19" t="n">
        <v>0</v>
      </c>
      <c r="F86" s="19" t="n">
        <v>0</v>
      </c>
      <c r="G86" s="8" t="n">
        <f aca="false">IFERROR(INDEX('TRANS'!$B:$B,MATCH($B86,'TRANS'!$A:$A,0)),IFERROR(INDEX('TRANS'!$B:$B,MATCH(TRIM(SUBSTITUTE($B86,CHAR(160)," ")),'TRANS'!$D:$D,0)),IFERROR(INDEX('Catalog'!$A:$A,MATCH($B86,'Catalog'!$B:$B,0)),IFERROR(INDEX('Catalog'!$A:$A,MATCH(TRIM(SUBSTITUTE($B86,CHAR(160)," ")),'Catalog'!$C:$C,0)),""))))</f>
        <v>4413162</v>
      </c>
      <c r="H86" s="8" t="str">
        <f aca="false">IFERROR(INDEX('TRANS'!$C:$C,MATCH($B86,'TRANS'!$A:$A,0)),IFERROR(INDEX('Catalog'!$B:$B,MATCH($G86,'Catalog'!$A:$A,0)),$B86))</f>
        <v>34+XL מגן קרסול עקב סגור+רצוע</v>
      </c>
      <c r="I86" s="8" t="str">
        <f aca="false">IF($G86="","Unmatched","Matched")</f>
        <v>Matched</v>
      </c>
      <c r="J86" s="8" t="n">
        <f aca="false">IF($G86&lt;&gt;"",$G86,$B86)</f>
        <v>4413162</v>
      </c>
      <c r="K86" s="8" t="str">
        <f aca="false">IF(COUNTIF($M$1:$M$10,$A86)&gt;0,"Y","N")</f>
        <v>Y</v>
      </c>
    </row>
    <row r="87" customFormat="false" ht="15" hidden="false" customHeight="true" outlineLevel="0" collapsed="false">
      <c r="A87" s="8" t="s">
        <v>46</v>
      </c>
      <c r="B87" s="8" t="s">
        <v>613</v>
      </c>
      <c r="C87" s="19" t="n">
        <v>7</v>
      </c>
      <c r="D87" s="19" t="n">
        <v>220.39</v>
      </c>
      <c r="E87" s="19" t="n">
        <v>5</v>
      </c>
      <c r="F87" s="19" t="n">
        <v>123.56</v>
      </c>
      <c r="G87" s="8" t="n">
        <f aca="false">IFERROR(INDEX('TRANS'!$B:$B,MATCH($B87,'TRANS'!$A:$A,0)),IFERROR(INDEX('TRANS'!$B:$B,MATCH(TRIM(SUBSTITUTE($B87,CHAR(160)," ")),'TRANS'!$D:$D,0)),IFERROR(INDEX('Catalog'!$A:$A,MATCH($B87,'Catalog'!$B:$B,0)),IFERROR(INDEX('Catalog'!$A:$A,MATCH(TRIM(SUBSTITUTE($B87,CHAR(160)," ")),'Catalog'!$C:$C,0)),""))))</f>
        <v>4413048</v>
      </c>
      <c r="H87" s="8" t="str">
        <f aca="false">IFERROR(INDEX('TRANS'!$C:$C,MATCH($B87,'TRANS'!$A:$A,0)),IFERROR(INDEX('Catalog'!$B:$B,MATCH($G87,'Catalog'!$A:$A,0)),$B87))</f>
        <v>35 L מגן קרסול לבן</v>
      </c>
      <c r="I87" s="8" t="str">
        <f aca="false">IF($G87="","Unmatched","Matched")</f>
        <v>Matched</v>
      </c>
      <c r="J87" s="8" t="n">
        <f aca="false">IF($G87&lt;&gt;"",$G87,$B87)</f>
        <v>4413048</v>
      </c>
      <c r="K87" s="8" t="str">
        <f aca="false">IF(COUNTIF($M$1:$M$10,$A87)&gt;0,"Y","N")</f>
        <v>Y</v>
      </c>
    </row>
    <row r="88" customFormat="false" ht="15" hidden="false" customHeight="true" outlineLevel="0" collapsed="false">
      <c r="A88" s="8" t="s">
        <v>46</v>
      </c>
      <c r="B88" s="8" t="s">
        <v>614</v>
      </c>
      <c r="C88" s="19" t="n">
        <v>3</v>
      </c>
      <c r="D88" s="19" t="n">
        <v>102.98</v>
      </c>
      <c r="E88" s="19" t="n">
        <v>1</v>
      </c>
      <c r="F88" s="19" t="n">
        <v>30.89</v>
      </c>
      <c r="G88" s="8" t="n">
        <f aca="false">IFERROR(INDEX('TRANS'!$B:$B,MATCH($B88,'TRANS'!$A:$A,0)),IFERROR(INDEX('TRANS'!$B:$B,MATCH(TRIM(SUBSTITUTE($B88,CHAR(160)," ")),'TRANS'!$D:$D,0)),IFERROR(INDEX('Catalog'!$A:$A,MATCH($B88,'Catalog'!$B:$B,0)),IFERROR(INDEX('Catalog'!$A:$A,MATCH(TRIM(SUBSTITUTE($B88,CHAR(160)," ")),'Catalog'!$C:$C,0)),""))))</f>
        <v>4413049</v>
      </c>
      <c r="H88" s="8" t="str">
        <f aca="false">IFERROR(INDEX('TRANS'!$C:$C,MATCH($B88,'TRANS'!$A:$A,0)),IFERROR(INDEX('Catalog'!$B:$B,MATCH($G88,'Catalog'!$A:$A,0)),$B88))</f>
        <v>35 M מגן קרסול לבן</v>
      </c>
      <c r="I88" s="8" t="str">
        <f aca="false">IF($G88="","Unmatched","Matched")</f>
        <v>Matched</v>
      </c>
      <c r="J88" s="8" t="n">
        <f aca="false">IF($G88&lt;&gt;"",$G88,$B88)</f>
        <v>4413049</v>
      </c>
      <c r="K88" s="8" t="str">
        <f aca="false">IF(COUNTIF($M$1:$M$10,$A88)&gt;0,"Y","N")</f>
        <v>Y</v>
      </c>
    </row>
    <row r="89" customFormat="false" ht="15" hidden="false" customHeight="true" outlineLevel="0" collapsed="false">
      <c r="A89" s="8" t="s">
        <v>46</v>
      </c>
      <c r="B89" s="8" t="s">
        <v>615</v>
      </c>
      <c r="C89" s="19" t="n">
        <v>1</v>
      </c>
      <c r="D89" s="19" t="n">
        <v>30.89</v>
      </c>
      <c r="E89" s="19" t="n">
        <v>2</v>
      </c>
      <c r="F89" s="19" t="n">
        <v>61.78</v>
      </c>
      <c r="G89" s="8" t="n">
        <f aca="false">IFERROR(INDEX('TRANS'!$B:$B,MATCH($B89,'TRANS'!$A:$A,0)),IFERROR(INDEX('TRANS'!$B:$B,MATCH(TRIM(SUBSTITUTE($B89,CHAR(160)," ")),'TRANS'!$D:$D,0)),IFERROR(INDEX('Catalog'!$A:$A,MATCH($B89,'Catalog'!$B:$B,0)),IFERROR(INDEX('Catalog'!$A:$A,MATCH(TRIM(SUBSTITUTE($B89,CHAR(160)," ")),'Catalog'!$C:$C,0)),""))))</f>
        <v>4413490</v>
      </c>
      <c r="H89" s="8" t="str">
        <f aca="false">IFERROR(INDEX('TRANS'!$C:$C,MATCH($B89,'TRANS'!$A:$A,0)),IFERROR(INDEX('Catalog'!$B:$B,MATCH($G89,'Catalog'!$A:$A,0)),$B89))</f>
        <v>35B L מגן קרסול שחור</v>
      </c>
      <c r="I89" s="8" t="str">
        <f aca="false">IF($G89="","Unmatched","Matched")</f>
        <v>Matched</v>
      </c>
      <c r="J89" s="8" t="n">
        <f aca="false">IF($G89&lt;&gt;"",$G89,$B89)</f>
        <v>4413490</v>
      </c>
      <c r="K89" s="8" t="str">
        <f aca="false">IF(COUNTIF($M$1:$M$10,$A89)&gt;0,"Y","N")</f>
        <v>Y</v>
      </c>
    </row>
    <row r="90" customFormat="false" ht="15" hidden="false" customHeight="true" outlineLevel="0" collapsed="false">
      <c r="A90" s="8" t="s">
        <v>46</v>
      </c>
      <c r="B90" s="8" t="s">
        <v>616</v>
      </c>
      <c r="C90" s="19" t="n">
        <v>6</v>
      </c>
      <c r="D90" s="19" t="n">
        <v>137.76</v>
      </c>
      <c r="E90" s="19" t="n">
        <v>0</v>
      </c>
      <c r="F90" s="19" t="n">
        <v>0</v>
      </c>
      <c r="G90" s="8" t="n">
        <f aca="false">IFERROR(INDEX('TRANS'!$B:$B,MATCH($B90,'TRANS'!$A:$A,0)),IFERROR(INDEX('TRANS'!$B:$B,MATCH(TRIM(SUBSTITUTE($B90,CHAR(160)," ")),'TRANS'!$D:$D,0)),IFERROR(INDEX('Catalog'!$A:$A,MATCH($B90,'Catalog'!$B:$B,0)),IFERROR(INDEX('Catalog'!$A:$A,MATCH(TRIM(SUBSTITUTE($B90,CHAR(160)," ")),'Catalog'!$C:$C,0)),""))))</f>
        <v>4413492</v>
      </c>
      <c r="H90" s="8" t="str">
        <f aca="false">IFERROR(INDEX('TRANS'!$C:$C,MATCH($B90,'TRANS'!$A:$A,0)),IFERROR(INDEX('Catalog'!$B:$B,MATCH($G90,'Catalog'!$A:$A,0)),$B90))</f>
        <v>35B M מגן קרסול שחור</v>
      </c>
      <c r="I90" s="8" t="str">
        <f aca="false">IF($G90="","Unmatched","Matched")</f>
        <v>Matched</v>
      </c>
      <c r="J90" s="8" t="n">
        <f aca="false">IF($G90&lt;&gt;"",$G90,$B90)</f>
        <v>4413492</v>
      </c>
      <c r="K90" s="8" t="str">
        <f aca="false">IF(COUNTIF($M$1:$M$10,$A90)&gt;0,"Y","N")</f>
        <v>Y</v>
      </c>
    </row>
    <row r="91" customFormat="false" ht="15" hidden="false" customHeight="true" outlineLevel="0" collapsed="false">
      <c r="A91" s="8" t="s">
        <v>46</v>
      </c>
      <c r="B91" s="8" t="s">
        <v>617</v>
      </c>
      <c r="C91" s="19" t="n">
        <v>2</v>
      </c>
      <c r="D91" s="19" t="n">
        <v>59.49</v>
      </c>
      <c r="E91" s="19" t="n">
        <v>0</v>
      </c>
      <c r="F91" s="19" t="n">
        <v>0</v>
      </c>
      <c r="G91" s="8" t="n">
        <f aca="false">IFERROR(INDEX('TRANS'!$B:$B,MATCH($B91,'TRANS'!$A:$A,0)),IFERROR(INDEX('TRANS'!$B:$B,MATCH(TRIM(SUBSTITUTE($B91,CHAR(160)," ")),'TRANS'!$D:$D,0)),IFERROR(INDEX('Catalog'!$A:$A,MATCH($B91,'Catalog'!$B:$B,0)),IFERROR(INDEX('Catalog'!$A:$A,MATCH(TRIM(SUBSTITUTE($B91,CHAR(160)," ")),'Catalog'!$C:$C,0)),""))))</f>
        <v>4413493</v>
      </c>
      <c r="H91" s="8" t="str">
        <f aca="false">IFERROR(INDEX('TRANS'!$C:$C,MATCH($B91,'TRANS'!$A:$A,0)),IFERROR(INDEX('Catalog'!$B:$B,MATCH($G91,'Catalog'!$A:$A,0)),$B91))</f>
        <v>35B S מגן קרסול שחור</v>
      </c>
      <c r="I91" s="8" t="str">
        <f aca="false">IF($G91="","Unmatched","Matched")</f>
        <v>Matched</v>
      </c>
      <c r="J91" s="8" t="n">
        <f aca="false">IF($G91&lt;&gt;"",$G91,$B91)</f>
        <v>4413493</v>
      </c>
      <c r="K91" s="8" t="str">
        <f aca="false">IF(COUNTIF($M$1:$M$10,$A91)&gt;0,"Y","N")</f>
        <v>Y</v>
      </c>
    </row>
    <row r="92" customFormat="false" ht="15" hidden="false" customHeight="true" outlineLevel="0" collapsed="false">
      <c r="A92" s="8" t="s">
        <v>46</v>
      </c>
      <c r="B92" s="8" t="s">
        <v>618</v>
      </c>
      <c r="C92" s="19" t="n">
        <v>1</v>
      </c>
      <c r="D92" s="19" t="n">
        <v>30.89</v>
      </c>
      <c r="E92" s="19" t="n">
        <v>0</v>
      </c>
      <c r="F92" s="19" t="n">
        <v>0</v>
      </c>
      <c r="G92" s="8" t="n">
        <f aca="false">IFERROR(INDEX('TRANS'!$B:$B,MATCH($B92,'TRANS'!$A:$A,0)),IFERROR(INDEX('TRANS'!$B:$B,MATCH(TRIM(SUBSTITUTE($B92,CHAR(160)," ")),'TRANS'!$D:$D,0)),IFERROR(INDEX('Catalog'!$A:$A,MATCH($B92,'Catalog'!$B:$B,0)),IFERROR(INDEX('Catalog'!$A:$A,MATCH(TRIM(SUBSTITUTE($B92,CHAR(160)," ")),'Catalog'!$C:$C,0)),""))))</f>
        <v>4413491</v>
      </c>
      <c r="H92" s="8" t="str">
        <f aca="false">IFERROR(INDEX('TRANS'!$C:$C,MATCH($B92,'TRANS'!$A:$A,0)),IFERROR(INDEX('Catalog'!$B:$B,MATCH($G92,'Catalog'!$A:$A,0)),$B92))</f>
        <v>35B XL מגן קרסול שחור</v>
      </c>
      <c r="I92" s="8" t="str">
        <f aca="false">IF($G92="","Unmatched","Matched")</f>
        <v>Matched</v>
      </c>
      <c r="J92" s="8" t="n">
        <f aca="false">IF($G92&lt;&gt;"",$G92,$B92)</f>
        <v>4413491</v>
      </c>
      <c r="K92" s="8" t="str">
        <f aca="false">IF(COUNTIF($M$1:$M$10,$A92)&gt;0,"Y","N")</f>
        <v>Y</v>
      </c>
    </row>
    <row r="93" customFormat="false" ht="15" hidden="false" customHeight="true" outlineLevel="0" collapsed="false">
      <c r="A93" s="8" t="s">
        <v>46</v>
      </c>
      <c r="B93" s="8" t="s">
        <v>619</v>
      </c>
      <c r="C93" s="19" t="n">
        <v>7</v>
      </c>
      <c r="D93" s="19" t="n">
        <v>216.23</v>
      </c>
      <c r="E93" s="19" t="n">
        <v>0</v>
      </c>
      <c r="F93" s="19" t="n">
        <v>0</v>
      </c>
      <c r="G93" s="8" t="n">
        <f aca="false">IFERROR(INDEX('TRANS'!$B:$B,MATCH($B93,'TRANS'!$A:$A,0)),IFERROR(INDEX('TRANS'!$B:$B,MATCH(TRIM(SUBSTITUTE($B93,CHAR(160)," ")),'TRANS'!$D:$D,0)),IFERROR(INDEX('Catalog'!$A:$A,MATCH($B93,'Catalog'!$B:$B,0)),IFERROR(INDEX('Catalog'!$A:$A,MATCH(TRIM(SUBSTITUTE($B93,CHAR(160)," ")),'Catalog'!$C:$C,0)),""))))</f>
        <v>4413494</v>
      </c>
      <c r="H93" s="8" t="str">
        <f aca="false">IFERROR(INDEX('TRANS'!$C:$C,MATCH($B93,'TRANS'!$A:$A,0)),IFERROR(INDEX('Catalog'!$B:$B,MATCH($G93,'Catalog'!$A:$A,0)),$B93))</f>
        <v>35B XXL מגן קרסול שחור</v>
      </c>
      <c r="I93" s="8" t="str">
        <f aca="false">IF($G93="","Unmatched","Matched")</f>
        <v>Matched</v>
      </c>
      <c r="J93" s="8" t="n">
        <f aca="false">IF($G93&lt;&gt;"",$G93,$B93)</f>
        <v>4413494</v>
      </c>
      <c r="K93" s="8" t="str">
        <f aca="false">IF(COUNTIF($M$1:$M$10,$A93)&gt;0,"Y","N")</f>
        <v>Y</v>
      </c>
    </row>
    <row r="94" customFormat="false" ht="15" hidden="false" customHeight="true" outlineLevel="0" collapsed="false">
      <c r="A94" s="8" t="s">
        <v>46</v>
      </c>
      <c r="B94" s="8" t="s">
        <v>620</v>
      </c>
      <c r="C94" s="19" t="n">
        <v>3</v>
      </c>
      <c r="D94" s="19" t="n">
        <v>92.68</v>
      </c>
      <c r="E94" s="19" t="n">
        <v>0</v>
      </c>
      <c r="F94" s="19" t="n">
        <v>0</v>
      </c>
      <c r="G94" s="8" t="n">
        <f aca="false">IFERROR(INDEX('TRANS'!$B:$B,MATCH($B94,'TRANS'!$A:$A,0)),IFERROR(INDEX('TRANS'!$B:$B,MATCH(TRIM(SUBSTITUTE($B94,CHAR(160)," ")),'TRANS'!$D:$D,0)),IFERROR(INDEX('Catalog'!$A:$A,MATCH($B94,'Catalog'!$B:$B,0)),IFERROR(INDEX('Catalog'!$A:$A,MATCH(TRIM(SUBSTITUTE($B94,CHAR(160)," ")),'Catalog'!$C:$C,0)),""))))</f>
        <v>4413053</v>
      </c>
      <c r="H94" s="8" t="str">
        <f aca="false">IFERROR(INDEX('TRANS'!$C:$C,MATCH($B94,'TRANS'!$A:$A,0)),IFERROR(INDEX('Catalog'!$B:$B,MATCH($G94,'Catalog'!$A:$A,0)),$B94))</f>
        <v>35C L מגן קרסול חום</v>
      </c>
      <c r="I94" s="8" t="str">
        <f aca="false">IF($G94="","Unmatched","Matched")</f>
        <v>Matched</v>
      </c>
      <c r="J94" s="8" t="n">
        <f aca="false">IF($G94&lt;&gt;"",$G94,$B94)</f>
        <v>4413053</v>
      </c>
      <c r="K94" s="8" t="str">
        <f aca="false">IF(COUNTIF($M$1:$M$10,$A94)&gt;0,"Y","N")</f>
        <v>Y</v>
      </c>
    </row>
    <row r="95" customFormat="false" ht="15" hidden="false" customHeight="true" outlineLevel="0" collapsed="false">
      <c r="A95" s="8" t="s">
        <v>46</v>
      </c>
      <c r="B95" s="8" t="s">
        <v>621</v>
      </c>
      <c r="C95" s="19" t="n">
        <v>4</v>
      </c>
      <c r="D95" s="19" t="n">
        <v>119.46</v>
      </c>
      <c r="E95" s="19" t="n">
        <v>1</v>
      </c>
      <c r="F95" s="19" t="n">
        <v>30.89</v>
      </c>
      <c r="G95" s="8" t="n">
        <f aca="false">IFERROR(INDEX('TRANS'!$B:$B,MATCH($B95,'TRANS'!$A:$A,0)),IFERROR(INDEX('TRANS'!$B:$B,MATCH(TRIM(SUBSTITUTE($B95,CHAR(160)," ")),'TRANS'!$D:$D,0)),IFERROR(INDEX('Catalog'!$A:$A,MATCH($B95,'Catalog'!$B:$B,0)),IFERROR(INDEX('Catalog'!$A:$A,MATCH(TRIM(SUBSTITUTE($B95,CHAR(160)," ")),'Catalog'!$C:$C,0)),""))))</f>
        <v>4413054</v>
      </c>
      <c r="H95" s="8" t="str">
        <f aca="false">IFERROR(INDEX('TRANS'!$C:$C,MATCH($B95,'TRANS'!$A:$A,0)),IFERROR(INDEX('Catalog'!$B:$B,MATCH($G95,'Catalog'!$A:$A,0)),$B95))</f>
        <v>35C M מגן קרסול חום</v>
      </c>
      <c r="I95" s="8" t="str">
        <f aca="false">IF($G95="","Unmatched","Matched")</f>
        <v>Matched</v>
      </c>
      <c r="J95" s="8" t="n">
        <f aca="false">IF($G95&lt;&gt;"",$G95,$B95)</f>
        <v>4413054</v>
      </c>
      <c r="K95" s="8" t="str">
        <f aca="false">IF(COUNTIF($M$1:$M$10,$A95)&gt;0,"Y","N")</f>
        <v>Y</v>
      </c>
    </row>
    <row r="96" customFormat="false" ht="15" hidden="false" customHeight="true" outlineLevel="0" collapsed="false">
      <c r="A96" s="8" t="s">
        <v>46</v>
      </c>
      <c r="B96" s="8" t="s">
        <v>622</v>
      </c>
      <c r="C96" s="19" t="n">
        <v>5</v>
      </c>
      <c r="D96" s="19" t="n">
        <v>154.46</v>
      </c>
      <c r="E96" s="19" t="n">
        <v>0</v>
      </c>
      <c r="F96" s="19" t="n">
        <v>0</v>
      </c>
      <c r="G96" s="8" t="n">
        <f aca="false">IFERROR(INDEX('TRANS'!$B:$B,MATCH($B96,'TRANS'!$A:$A,0)),IFERROR(INDEX('TRANS'!$B:$B,MATCH(TRIM(SUBSTITUTE($B96,CHAR(160)," ")),'TRANS'!$D:$D,0)),IFERROR(INDEX('Catalog'!$A:$A,MATCH($B96,'Catalog'!$B:$B,0)),IFERROR(INDEX('Catalog'!$A:$A,MATCH(TRIM(SUBSTITUTE($B96,CHAR(160)," ")),'Catalog'!$C:$C,0)),""))))</f>
        <v>4413052</v>
      </c>
      <c r="H96" s="8" t="str">
        <f aca="false">IFERROR(INDEX('TRANS'!$C:$C,MATCH($B96,'TRANS'!$A:$A,0)),IFERROR(INDEX('Catalog'!$B:$B,MATCH($G96,'Catalog'!$A:$A,0)),$B96))</f>
        <v>35C S מגן קרסול חום</v>
      </c>
      <c r="I96" s="8" t="str">
        <f aca="false">IF($G96="","Unmatched","Matched")</f>
        <v>Matched</v>
      </c>
      <c r="J96" s="8" t="n">
        <f aca="false">IF($G96&lt;&gt;"",$G96,$B96)</f>
        <v>4413052</v>
      </c>
      <c r="K96" s="8" t="str">
        <f aca="false">IF(COUNTIF($M$1:$M$10,$A96)&gt;0,"Y","N")</f>
        <v>Y</v>
      </c>
    </row>
    <row r="97" customFormat="false" ht="15" hidden="false" customHeight="true" outlineLevel="0" collapsed="false">
      <c r="A97" s="8" t="s">
        <v>46</v>
      </c>
      <c r="B97" s="8" t="s">
        <v>161</v>
      </c>
      <c r="C97" s="19" t="n">
        <v>5</v>
      </c>
      <c r="D97" s="19" t="n">
        <v>154.45</v>
      </c>
      <c r="E97" s="19" t="n">
        <v>1</v>
      </c>
      <c r="F97" s="19" t="n">
        <v>30.89</v>
      </c>
      <c r="G97" s="8" t="str">
        <f aca="false">IFERROR(INDEX('TRANS'!$B:$B,MATCH($B97,'TRANS'!$A:$A,0)),IFERROR(INDEX('TRANS'!$B:$B,MATCH(TRIM(SUBSTITUTE($B97,CHAR(160)," ")),'TRANS'!$D:$D,0)),IFERROR(INDEX('Catalog'!$A:$A,MATCH($B97,'Catalog'!$B:$B,0)),IFERROR(INDEX('Catalog'!$A:$A,MATCH(TRIM(SUBSTITUTE($B97,CHAR(160)," ")),'Catalog'!$C:$C,0)),""))))</f>
        <v/>
      </c>
      <c r="H97" s="8" t="str">
        <f aca="false">IFERROR(INDEX('TRANS'!$C:$C,MATCH($B97,'TRANS'!$A:$A,0)),IFERROR(INDEX('Catalog'!$B:$B,MATCH($G97,'Catalog'!$A:$A,0)),$B97))</f>
        <v>35C XS</v>
      </c>
      <c r="I97" s="8" t="str">
        <f aca="false">IF($G97="","Unmatched","Matched")</f>
        <v>Unmatched</v>
      </c>
      <c r="J97" s="8" t="str">
        <f aca="false">IF($G97&lt;&gt;"",$G97,$B97)</f>
        <v>35C XS</v>
      </c>
      <c r="K97" s="8" t="str">
        <f aca="false">IF(COUNTIF($M$1:$M$10,$A97)&gt;0,"Y","N")</f>
        <v>Y</v>
      </c>
    </row>
    <row r="98" customFormat="false" ht="15" hidden="false" customHeight="true" outlineLevel="0" collapsed="false">
      <c r="A98" s="8" t="s">
        <v>46</v>
      </c>
      <c r="B98" s="8" t="s">
        <v>189</v>
      </c>
      <c r="C98" s="19" t="n">
        <v>10</v>
      </c>
      <c r="D98" s="19" t="n">
        <v>308.94</v>
      </c>
      <c r="E98" s="19" t="n">
        <v>0</v>
      </c>
      <c r="F98" s="19" t="n">
        <v>0</v>
      </c>
      <c r="G98" s="8" t="str">
        <f aca="false">IFERROR(INDEX('TRANS'!$B:$B,MATCH($B98,'TRANS'!$A:$A,0)),IFERROR(INDEX('TRANS'!$B:$B,MATCH(TRIM(SUBSTITUTE($B98,CHAR(160)," ")),'TRANS'!$D:$D,0)),IFERROR(INDEX('Catalog'!$A:$A,MATCH($B98,'Catalog'!$B:$B,0)),IFERROR(INDEX('Catalog'!$A:$A,MATCH(TRIM(SUBSTITUTE($B98,CHAR(160)," ")),'Catalog'!$C:$C,0)),""))))</f>
        <v/>
      </c>
      <c r="H98" s="8" t="str">
        <f aca="false">IFERROR(INDEX('TRANS'!$C:$C,MATCH($B98,'TRANS'!$A:$A,0)),IFERROR(INDEX('Catalog'!$B:$B,MATCH($G98,'Catalog'!$A:$A,0)),$B98))</f>
        <v>35C XXL</v>
      </c>
      <c r="I98" s="8" t="str">
        <f aca="false">IF($G98="","Unmatched","Matched")</f>
        <v>Unmatched</v>
      </c>
      <c r="J98" s="8" t="str">
        <f aca="false">IF($G98&lt;&gt;"",$G98,$B98)</f>
        <v>35C XXL</v>
      </c>
      <c r="K98" s="8" t="str">
        <f aca="false">IF(COUNTIF($M$1:$M$10,$A98)&gt;0,"Y","N")</f>
        <v>Y</v>
      </c>
    </row>
    <row r="99" customFormat="false" ht="15" hidden="false" customHeight="true" outlineLevel="0" collapsed="false">
      <c r="A99" s="8" t="s">
        <v>46</v>
      </c>
      <c r="B99" s="8" t="s">
        <v>623</v>
      </c>
      <c r="C99" s="19" t="n">
        <v>7</v>
      </c>
      <c r="D99" s="19" t="n">
        <v>302.75</v>
      </c>
      <c r="E99" s="19" t="n">
        <v>6</v>
      </c>
      <c r="F99" s="19" t="n">
        <v>239.72</v>
      </c>
      <c r="G99" s="8" t="n">
        <f aca="false">IFERROR(INDEX('TRANS'!$B:$B,MATCH($B99,'TRANS'!$A:$A,0)),IFERROR(INDEX('TRANS'!$B:$B,MATCH(TRIM(SUBSTITUTE($B99,CHAR(160)," ")),'TRANS'!$D:$D,0)),IFERROR(INDEX('Catalog'!$A:$A,MATCH($B99,'Catalog'!$B:$B,0)),IFERROR(INDEX('Catalog'!$A:$A,MATCH(TRIM(SUBSTITUTE($B99,CHAR(160)," ")),'Catalog'!$C:$C,0)),""))))</f>
        <v>4421007</v>
      </c>
      <c r="H99" s="8" t="str">
        <f aca="false">IFERROR(INDEX('TRANS'!$C:$C,MATCH($B99,'TRANS'!$A:$A,0)),IFERROR(INDEX('Catalog'!$B:$B,MATCH($G99,'Catalog'!$A:$A,0)),$B99))</f>
        <v>שרוול לגבס קצר רגל</v>
      </c>
      <c r="I99" s="8" t="str">
        <f aca="false">IF($G99="","Unmatched","Matched")</f>
        <v>Matched</v>
      </c>
      <c r="J99" s="8" t="n">
        <f aca="false">IF($G99&lt;&gt;"",$G99,$B99)</f>
        <v>4421007</v>
      </c>
      <c r="K99" s="8" t="str">
        <f aca="false">IF(COUNTIF($M$1:$M$10,$A99)&gt;0,"Y","N")</f>
        <v>Y</v>
      </c>
    </row>
    <row r="100" customFormat="false" ht="15" hidden="false" customHeight="true" outlineLevel="0" collapsed="false">
      <c r="A100" s="8" t="s">
        <v>46</v>
      </c>
      <c r="B100" s="8" t="s">
        <v>624</v>
      </c>
      <c r="C100" s="19" t="n">
        <v>4</v>
      </c>
      <c r="D100" s="19" t="n">
        <v>219.77</v>
      </c>
      <c r="E100" s="19" t="n">
        <v>5</v>
      </c>
      <c r="F100" s="19" t="n">
        <v>234.11</v>
      </c>
      <c r="G100" s="8" t="n">
        <f aca="false">IFERROR(INDEX('TRANS'!$B:$B,MATCH($B100,'TRANS'!$A:$A,0)),IFERROR(INDEX('TRANS'!$B:$B,MATCH(TRIM(SUBSTITUTE($B100,CHAR(160)," ")),'TRANS'!$D:$D,0)),IFERROR(INDEX('Catalog'!$A:$A,MATCH($B100,'Catalog'!$B:$B,0)),IFERROR(INDEX('Catalog'!$A:$A,MATCH(TRIM(SUBSTITUTE($B100,CHAR(160)," ")),'Catalog'!$C:$C,0)),""))))</f>
        <v>4421008</v>
      </c>
      <c r="H100" s="8" t="str">
        <f aca="false">IFERROR(INDEX('TRANS'!$C:$C,MATCH($B100,'TRANS'!$A:$A,0)),IFERROR(INDEX('Catalog'!$B:$B,MATCH($G100,'Catalog'!$A:$A,0)),$B100))</f>
        <v>שרוול לגבס ארוך רגל</v>
      </c>
      <c r="I100" s="8" t="str">
        <f aca="false">IF($G100="","Unmatched","Matched")</f>
        <v>Matched</v>
      </c>
      <c r="J100" s="8" t="n">
        <f aca="false">IF($G100&lt;&gt;"",$G100,$B100)</f>
        <v>4421008</v>
      </c>
      <c r="K100" s="8" t="str">
        <f aca="false">IF(COUNTIF($M$1:$M$10,$A100)&gt;0,"Y","N")</f>
        <v>Y</v>
      </c>
    </row>
    <row r="101" customFormat="false" ht="15" hidden="false" customHeight="true" outlineLevel="0" collapsed="false">
      <c r="A101" s="8" t="s">
        <v>46</v>
      </c>
      <c r="B101" s="8" t="s">
        <v>625</v>
      </c>
      <c r="C101" s="19" t="n">
        <v>11</v>
      </c>
      <c r="D101" s="19" t="n">
        <v>649.42</v>
      </c>
      <c r="E101" s="19" t="n">
        <v>0</v>
      </c>
      <c r="F101" s="19" t="n">
        <v>0</v>
      </c>
      <c r="G101" s="8" t="n">
        <f aca="false">IFERROR(INDEX('TRANS'!$B:$B,MATCH($B101,'TRANS'!$A:$A,0)),IFERROR(INDEX('TRANS'!$B:$B,MATCH(TRIM(SUBSTITUTE($B101,CHAR(160)," ")),'TRANS'!$D:$D,0)),IFERROR(INDEX('Catalog'!$A:$A,MATCH($B101,'Catalog'!$B:$B,0)),IFERROR(INDEX('Catalog'!$A:$A,MATCH(TRIM(SUBSTITUTE($B101,CHAR(160)," ")),'Catalog'!$C:$C,0)),""))))</f>
        <v>4421001</v>
      </c>
      <c r="H101" s="8" t="str">
        <f aca="false">IFERROR(INDEX('TRANS'!$C:$C,MATCH($B101,'TRANS'!$A:$A,0)),IFERROR(INDEX('Catalog'!$B:$B,MATCH($G101,'Catalog'!$A:$A,0)),$B101))</f>
        <v>3611 שרוול מטטרזלי מסיליקון</v>
      </c>
      <c r="I101" s="8" t="str">
        <f aca="false">IF($G101="","Unmatched","Matched")</f>
        <v>Matched</v>
      </c>
      <c r="J101" s="8" t="n">
        <f aca="false">IF($G101&lt;&gt;"",$G101,$B101)</f>
        <v>4421001</v>
      </c>
      <c r="K101" s="8" t="str">
        <f aca="false">IF(COUNTIF($M$1:$M$10,$A101)&gt;0,"Y","N")</f>
        <v>Y</v>
      </c>
    </row>
    <row r="102" customFormat="false" ht="15" hidden="false" customHeight="true" outlineLevel="0" collapsed="false">
      <c r="A102" s="8" t="s">
        <v>46</v>
      </c>
      <c r="B102" s="8" t="s">
        <v>626</v>
      </c>
      <c r="C102" s="19" t="n">
        <v>15</v>
      </c>
      <c r="D102" s="19" t="n">
        <v>449.2</v>
      </c>
      <c r="E102" s="19" t="n">
        <v>21</v>
      </c>
      <c r="F102" s="19" t="n">
        <v>638.85</v>
      </c>
      <c r="G102" s="8" t="n">
        <f aca="false">IFERROR(INDEX('TRANS'!$B:$B,MATCH($B102,'TRANS'!$A:$A,0)),IFERROR(INDEX('TRANS'!$B:$B,MATCH(TRIM(SUBSTITUTE($B102,CHAR(160)," ")),'TRANS'!$D:$D,0)),IFERROR(INDEX('Catalog'!$A:$A,MATCH($B102,'Catalog'!$B:$B,0)),IFERROR(INDEX('Catalog'!$A:$A,MATCH(TRIM(SUBSTITUTE($B102,CHAR(160)," ")),'Catalog'!$C:$C,0)),""))))</f>
        <v>4411000</v>
      </c>
      <c r="H102" s="8" t="str">
        <f aca="false">IFERROR(INDEX('TRANS'!$C:$C,MATCH($B102,'TRANS'!$A:$A,0)),IFERROR(INDEX('Catalog'!$B:$B,MATCH($G102,'Catalog'!$A:$A,0)),$B102))</f>
        <v>כרית מטטרזלי סיליקון362</v>
      </c>
      <c r="I102" s="8" t="str">
        <f aca="false">IF($G102="","Unmatched","Matched")</f>
        <v>Matched</v>
      </c>
      <c r="J102" s="8" t="n">
        <f aca="false">IF($G102&lt;&gt;"",$G102,$B102)</f>
        <v>4411000</v>
      </c>
      <c r="K102" s="8" t="str">
        <f aca="false">IF(COUNTIF($M$1:$M$10,$A102)&gt;0,"Y","N")</f>
        <v>Y</v>
      </c>
    </row>
    <row r="103" customFormat="false" ht="15" hidden="false" customHeight="true" outlineLevel="0" collapsed="false">
      <c r="A103" s="8" t="s">
        <v>46</v>
      </c>
      <c r="B103" s="8" t="s">
        <v>627</v>
      </c>
      <c r="C103" s="19" t="n">
        <v>2</v>
      </c>
      <c r="D103" s="19" t="n">
        <v>65.54</v>
      </c>
      <c r="E103" s="19" t="n">
        <v>7</v>
      </c>
      <c r="F103" s="19" t="n">
        <v>229.37</v>
      </c>
      <c r="G103" s="8" t="n">
        <f aca="false">IFERROR(INDEX('TRANS'!$B:$B,MATCH($B103,'TRANS'!$A:$A,0)),IFERROR(INDEX('TRANS'!$B:$B,MATCH(TRIM(SUBSTITUTE($B103,CHAR(160)," ")),'TRANS'!$D:$D,0)),IFERROR(INDEX('Catalog'!$A:$A,MATCH($B103,'Catalog'!$B:$B,0)),IFERROR(INDEX('Catalog'!$A:$A,MATCH(TRIM(SUBSTITUTE($B103,CHAR(160)," ")),'Catalog'!$C:$C,0)),""))))</f>
        <v>4413058</v>
      </c>
      <c r="H103" s="8" t="str">
        <f aca="false">IFERROR(INDEX('TRANS'!$C:$C,MATCH($B103,'TRANS'!$A:$A,0)),IFERROR(INDEX('Catalog'!$B:$B,MATCH($G103,'Catalog'!$A:$A,0)),$B103))</f>
        <v>3622S מדבקה לשחרור לחץ 2 יח</v>
      </c>
      <c r="I103" s="8" t="str">
        <f aca="false">IF($G103="","Unmatched","Matched")</f>
        <v>Matched</v>
      </c>
      <c r="J103" s="8" t="n">
        <f aca="false">IF($G103&lt;&gt;"",$G103,$B103)</f>
        <v>4413058</v>
      </c>
      <c r="K103" s="8" t="str">
        <f aca="false">IF(COUNTIF($M$1:$M$10,$A103)&gt;0,"Y","N")</f>
        <v>Y</v>
      </c>
    </row>
    <row r="104" customFormat="false" ht="15" hidden="false" customHeight="true" outlineLevel="0" collapsed="false">
      <c r="A104" s="8" t="s">
        <v>46</v>
      </c>
      <c r="B104" s="8" t="s">
        <v>628</v>
      </c>
      <c r="C104" s="19" t="n">
        <v>16</v>
      </c>
      <c r="D104" s="19" t="n">
        <v>408.33</v>
      </c>
      <c r="E104" s="19" t="n">
        <v>0</v>
      </c>
      <c r="F104" s="19" t="n">
        <v>0</v>
      </c>
      <c r="G104" s="8" t="n">
        <f aca="false">IFERROR(INDEX('TRANS'!$B:$B,MATCH($B104,'TRANS'!$A:$A,0)),IFERROR(INDEX('TRANS'!$B:$B,MATCH(TRIM(SUBSTITUTE($B104,CHAR(160)," ")),'TRANS'!$D:$D,0)),IFERROR(INDEX('Catalog'!$A:$A,MATCH($B104,'Catalog'!$B:$B,0)),IFERROR(INDEX('Catalog'!$A:$A,MATCH(TRIM(SUBSTITUTE($B104,CHAR(160)," ")),'Catalog'!$C:$C,0)),""))))</f>
        <v>4411001</v>
      </c>
      <c r="H104" s="8" t="str">
        <f aca="false">IFERROR(INDEX('TRANS'!$C:$C,MATCH($B104,'TRANS'!$A:$A,0)),IFERROR(INDEX('Catalog'!$B:$B,MATCH($G104,'Catalog'!$A:$A,0)),$B104))</f>
        <v>3623 כרית ליישור אצבע פטיש</v>
      </c>
      <c r="I104" s="8" t="str">
        <f aca="false">IF($G104="","Unmatched","Matched")</f>
        <v>Matched</v>
      </c>
      <c r="J104" s="8" t="n">
        <f aca="false">IF($G104&lt;&gt;"",$G104,$B104)</f>
        <v>4411001</v>
      </c>
      <c r="K104" s="8" t="str">
        <f aca="false">IF(COUNTIF($M$1:$M$10,$A104)&gt;0,"Y","N")</f>
        <v>Y</v>
      </c>
    </row>
    <row r="105" customFormat="false" ht="15" hidden="false" customHeight="true" outlineLevel="0" collapsed="false">
      <c r="A105" s="8" t="s">
        <v>46</v>
      </c>
      <c r="B105" s="8" t="s">
        <v>59</v>
      </c>
      <c r="C105" s="19" t="n">
        <v>2</v>
      </c>
      <c r="D105" s="19" t="n">
        <v>56.16</v>
      </c>
      <c r="E105" s="19" t="n">
        <v>19</v>
      </c>
      <c r="F105" s="19" t="n">
        <v>508.36</v>
      </c>
      <c r="G105" s="8" t="str">
        <f aca="false">IFERROR(INDEX('TRANS'!$B:$B,MATCH($B105,'TRANS'!$A:$A,0)),IFERROR(INDEX('TRANS'!$B:$B,MATCH(TRIM(SUBSTITUTE($B105,CHAR(160)," ")),'TRANS'!$D:$D,0)),IFERROR(INDEX('Catalog'!$A:$A,MATCH($B105,'Catalog'!$B:$B,0)),IFERROR(INDEX('Catalog'!$A:$A,MATCH(TRIM(SUBSTITUTE($B105,CHAR(160)," ")),'Catalog'!$C:$C,0)),""))))</f>
        <v/>
      </c>
      <c r="H105" s="8" t="str">
        <f aca="false">IFERROR(INDEX('TRANS'!$C:$C,MATCH($B105,'TRANS'!$A:$A,0)),IFERROR(INDEX('Catalog'!$B:$B,MATCH($G105,'Catalog'!$A:$A,0)),$B105))</f>
        <v>363 L/R</v>
      </c>
      <c r="I105" s="8" t="str">
        <f aca="false">IF($G105="","Unmatched","Matched")</f>
        <v>Unmatched</v>
      </c>
      <c r="J105" s="8" t="str">
        <f aca="false">IF($G105&lt;&gt;"",$G105,$B105)</f>
        <v>363 L/R</v>
      </c>
      <c r="K105" s="8" t="str">
        <f aca="false">IF(COUNTIF($M$1:$M$10,$A105)&gt;0,"Y","N")</f>
        <v>Y</v>
      </c>
    </row>
    <row r="106" customFormat="false" ht="15" hidden="false" customHeight="true" outlineLevel="0" collapsed="false">
      <c r="A106" s="8" t="s">
        <v>46</v>
      </c>
      <c r="B106" s="8" t="s">
        <v>629</v>
      </c>
      <c r="C106" s="19" t="n">
        <v>28</v>
      </c>
      <c r="D106" s="19" t="n">
        <v>379.94</v>
      </c>
      <c r="E106" s="19" t="n">
        <v>11</v>
      </c>
      <c r="F106" s="19" t="n">
        <v>159.3</v>
      </c>
      <c r="G106" s="8" t="n">
        <f aca="false">IFERROR(INDEX('TRANS'!$B:$B,MATCH($B106,'TRANS'!$A:$A,0)),IFERROR(INDEX('TRANS'!$B:$B,MATCH(TRIM(SUBSTITUTE($B106,CHAR(160)," ")),'TRANS'!$D:$D,0)),IFERROR(INDEX('Catalog'!$A:$A,MATCH($B106,'Catalog'!$B:$B,0)),IFERROR(INDEX('Catalog'!$A:$A,MATCH(TRIM(SUBSTITUTE($B106,CHAR(160)," ")),'Catalog'!$C:$C,0)),""))))</f>
        <v>4413059</v>
      </c>
      <c r="H106" s="8" t="str">
        <f aca="false">IFERROR(INDEX('TRANS'!$C:$C,MATCH($B106,'TRANS'!$A:$A,0)),IFERROR(INDEX('Catalog'!$B:$B,MATCH($G106,'Catalog'!$A:$A,0)),$B106))</f>
        <v>364S Lמפר.אצבע סיליק. ליבל.זוג</v>
      </c>
      <c r="I106" s="8" t="str">
        <f aca="false">IF($G106="","Unmatched","Matched")</f>
        <v>Matched</v>
      </c>
      <c r="J106" s="8" t="n">
        <f aca="false">IF($G106&lt;&gt;"",$G106,$B106)</f>
        <v>4413059</v>
      </c>
      <c r="K106" s="8" t="str">
        <f aca="false">IF(COUNTIF($M$1:$M$10,$A106)&gt;0,"Y","N")</f>
        <v>Y</v>
      </c>
    </row>
    <row r="107" customFormat="false" ht="15" hidden="false" customHeight="true" outlineLevel="0" collapsed="false">
      <c r="A107" s="8" t="s">
        <v>46</v>
      </c>
      <c r="B107" s="8" t="s">
        <v>630</v>
      </c>
      <c r="C107" s="19" t="n">
        <v>3</v>
      </c>
      <c r="D107" s="19" t="n">
        <v>42.41</v>
      </c>
      <c r="E107" s="19" t="n">
        <v>15</v>
      </c>
      <c r="F107" s="19" t="n">
        <v>217.23</v>
      </c>
      <c r="G107" s="8" t="n">
        <f aca="false">IFERROR(INDEX('TRANS'!$B:$B,MATCH($B107,'TRANS'!$A:$A,0)),IFERROR(INDEX('TRANS'!$B:$B,MATCH(TRIM(SUBSTITUTE($B107,CHAR(160)," ")),'TRANS'!$D:$D,0)),IFERROR(INDEX('Catalog'!$A:$A,MATCH($B107,'Catalog'!$B:$B,0)),IFERROR(INDEX('Catalog'!$A:$A,MATCH(TRIM(SUBSTITUTE($B107,CHAR(160)," ")),'Catalog'!$C:$C,0)),""))))</f>
        <v>4413060</v>
      </c>
      <c r="H107" s="8" t="str">
        <f aca="false">IFERROR(INDEX('TRANS'!$C:$C,MATCH($B107,'TRANS'!$A:$A,0)),IFERROR(INDEX('Catalog'!$B:$B,MATCH($G107,'Catalog'!$A:$A,0)),$B107))</f>
        <v>364 XLמפריד אצבע סיליקון ליבלת</v>
      </c>
      <c r="I107" s="8" t="str">
        <f aca="false">IF($G107="","Unmatched","Matched")</f>
        <v>Matched</v>
      </c>
      <c r="J107" s="8" t="n">
        <f aca="false">IF($G107&lt;&gt;"",$G107,$B107)</f>
        <v>4413060</v>
      </c>
      <c r="K107" s="8" t="str">
        <f aca="false">IF(COUNTIF($M$1:$M$10,$A107)&gt;0,"Y","N")</f>
        <v>Y</v>
      </c>
    </row>
    <row r="108" customFormat="false" ht="15" hidden="false" customHeight="true" outlineLevel="0" collapsed="false">
      <c r="A108" s="8" t="s">
        <v>46</v>
      </c>
      <c r="B108" s="8" t="s">
        <v>631</v>
      </c>
      <c r="C108" s="19" t="n">
        <v>13</v>
      </c>
      <c r="D108" s="19" t="n">
        <v>273.58</v>
      </c>
      <c r="E108" s="19" t="n">
        <v>0</v>
      </c>
      <c r="F108" s="19" t="n">
        <v>0</v>
      </c>
      <c r="G108" s="8" t="n">
        <f aca="false">IFERROR(INDEX('TRANS'!$B:$B,MATCH($B108,'TRANS'!$A:$A,0)),IFERROR(INDEX('TRANS'!$B:$B,MATCH(TRIM(SUBSTITUTE($B108,CHAR(160)," ")),'TRANS'!$D:$D,0)),IFERROR(INDEX('Catalog'!$A:$A,MATCH($B108,'Catalog'!$B:$B,0)),IFERROR(INDEX('Catalog'!$A:$A,MATCH(TRIM(SUBSTITUTE($B108,CHAR(160)," ")),'Catalog'!$C:$C,0)),""))))</f>
        <v>4413061</v>
      </c>
      <c r="H108" s="8" t="str">
        <f aca="false">IFERROR(INDEX('TRANS'!$C:$C,MATCH($B108,'TRANS'!$A:$A,0)),IFERROR(INDEX('Catalog'!$B:$B,MATCH($G108,'Catalog'!$A:$A,0)),$B108))</f>
        <v>3641-מיישר בוהן סיליקון קשיח</v>
      </c>
      <c r="I108" s="8" t="str">
        <f aca="false">IF($G108="","Unmatched","Matched")</f>
        <v>Matched</v>
      </c>
      <c r="J108" s="8" t="n">
        <f aca="false">IF($G108&lt;&gt;"",$G108,$B108)</f>
        <v>4413061</v>
      </c>
      <c r="K108" s="8" t="str">
        <f aca="false">IF(COUNTIF($M$1:$M$10,$A108)&gt;0,"Y","N")</f>
        <v>Y</v>
      </c>
    </row>
    <row r="109" customFormat="false" ht="15" hidden="false" customHeight="true" outlineLevel="0" collapsed="false">
      <c r="A109" s="8" t="s">
        <v>46</v>
      </c>
      <c r="B109" s="8" t="s">
        <v>632</v>
      </c>
      <c r="C109" s="19" t="n">
        <v>24</v>
      </c>
      <c r="D109" s="19" t="n">
        <v>320.13</v>
      </c>
      <c r="E109" s="19" t="n">
        <v>7</v>
      </c>
      <c r="F109" s="19" t="n">
        <v>86.91</v>
      </c>
      <c r="G109" s="8" t="n">
        <f aca="false">IFERROR(INDEX('TRANS'!$B:$B,MATCH($B109,'TRANS'!$A:$A,0)),IFERROR(INDEX('TRANS'!$B:$B,MATCH(TRIM(SUBSTITUTE($B109,CHAR(160)," ")),'TRANS'!$D:$D,0)),IFERROR(INDEX('Catalog'!$A:$A,MATCH($B109,'Catalog'!$B:$B,0)),IFERROR(INDEX('Catalog'!$A:$A,MATCH(TRIM(SUBSTITUTE($B109,CHAR(160)," ")),'Catalog'!$C:$C,0)),""))))</f>
        <v>4409000</v>
      </c>
      <c r="H109" s="8" t="str">
        <f aca="false">IFERROR(INDEX('TRANS'!$C:$C,MATCH($B109,'TRANS'!$A:$A,0)),IFERROR(INDEX('Catalog'!$B:$B,MATCH($G109,'Catalog'!$A:$A,0)),$B109))</f>
        <v>365 S-Lטבעת אלסטית מסיליקון</v>
      </c>
      <c r="I109" s="8" t="str">
        <f aca="false">IF($G109="","Unmatched","Matched")</f>
        <v>Matched</v>
      </c>
      <c r="J109" s="8" t="n">
        <f aca="false">IF($G109&lt;&gt;"",$G109,$B109)</f>
        <v>4409000</v>
      </c>
      <c r="K109" s="8" t="str">
        <f aca="false">IF(COUNTIF($M$1:$M$10,$A109)&gt;0,"Y","N")</f>
        <v>Y</v>
      </c>
    </row>
    <row r="110" customFormat="false" ht="15" hidden="false" customHeight="true" outlineLevel="0" collapsed="false">
      <c r="A110" s="8" t="s">
        <v>46</v>
      </c>
      <c r="B110" s="8" t="s">
        <v>633</v>
      </c>
      <c r="C110" s="19" t="n">
        <v>73</v>
      </c>
      <c r="D110" s="19" t="n">
        <v>1325.76</v>
      </c>
      <c r="E110" s="19" t="n">
        <v>41</v>
      </c>
      <c r="F110" s="19" t="n">
        <v>742.82</v>
      </c>
      <c r="G110" s="8" t="n">
        <f aca="false">IFERROR(INDEX('TRANS'!$B:$B,MATCH($B110,'TRANS'!$A:$A,0)),IFERROR(INDEX('TRANS'!$B:$B,MATCH(TRIM(SUBSTITUTE($B110,CHAR(160)," ")),'TRANS'!$D:$D,0)),IFERROR(INDEX('Catalog'!$A:$A,MATCH($B110,'Catalog'!$B:$B,0)),IFERROR(INDEX('Catalog'!$A:$A,MATCH(TRIM(SUBSTITUTE($B110,CHAR(160)," ")),'Catalog'!$C:$C,0)),""))))</f>
        <v>4421000</v>
      </c>
      <c r="H110" s="8" t="str">
        <f aca="false">IFERROR(INDEX('TRANS'!$C:$C,MATCH($B110,'TRANS'!$A:$A,0)),IFERROR(INDEX('Catalog'!$B:$B,MATCH($G110,'Catalog'!$A:$A,0)),$B110))</f>
        <v>3655 שרוול מסיליקון לאצבע</v>
      </c>
      <c r="I110" s="8" t="str">
        <f aca="false">IF($G110="","Unmatched","Matched")</f>
        <v>Matched</v>
      </c>
      <c r="J110" s="8" t="n">
        <f aca="false">IF($G110&lt;&gt;"",$G110,$B110)</f>
        <v>4421000</v>
      </c>
      <c r="K110" s="8" t="str">
        <f aca="false">IF(COUNTIF($M$1:$M$10,$A110)&gt;0,"Y","N")</f>
        <v>Y</v>
      </c>
    </row>
    <row r="111" customFormat="false" ht="15" hidden="false" customHeight="true" outlineLevel="0" collapsed="false">
      <c r="A111" s="8" t="s">
        <v>46</v>
      </c>
      <c r="B111" s="8" t="s">
        <v>634</v>
      </c>
      <c r="C111" s="19" t="n">
        <v>14</v>
      </c>
      <c r="D111" s="19" t="n">
        <v>842.46</v>
      </c>
      <c r="E111" s="19" t="n">
        <v>1</v>
      </c>
      <c r="F111" s="19" t="n">
        <v>66.51</v>
      </c>
      <c r="G111" s="8" t="n">
        <f aca="false">IFERROR(INDEX('TRANS'!$B:$B,MATCH($B111,'TRANS'!$A:$A,0)),IFERROR(INDEX('TRANS'!$B:$B,MATCH(TRIM(SUBSTITUTE($B111,CHAR(160)," ")),'TRANS'!$D:$D,0)),IFERROR(INDEX('Catalog'!$A:$A,MATCH($B111,'Catalog'!$B:$B,0)),IFERROR(INDEX('Catalog'!$A:$A,MATCH(TRIM(SUBSTITUTE($B111,CHAR(160)," ")),'Catalog'!$C:$C,0)),""))))</f>
        <v>4413340</v>
      </c>
      <c r="H111" s="8" t="str">
        <f aca="false">IFERROR(INDEX('TRANS'!$C:$C,MATCH($B111,'TRANS'!$A:$A,0)),IFERROR(INDEX('Catalog'!$B:$B,MATCH($G111,'Catalog'!$A:$A,0)),$B111))</f>
        <v>3666 מפריד הלוקס</v>
      </c>
      <c r="I111" s="8" t="str">
        <f aca="false">IF($G111="","Unmatched","Matched")</f>
        <v>Matched</v>
      </c>
      <c r="J111" s="8" t="n">
        <f aca="false">IF($G111&lt;&gt;"",$G111,$B111)</f>
        <v>4413340</v>
      </c>
      <c r="K111" s="8" t="str">
        <f aca="false">IF(COUNTIF($M$1:$M$10,$A111)&gt;0,"Y","N")</f>
        <v>Y</v>
      </c>
    </row>
    <row r="112" customFormat="false" ht="15" hidden="false" customHeight="true" outlineLevel="0" collapsed="false">
      <c r="A112" s="8" t="s">
        <v>46</v>
      </c>
      <c r="B112" s="8" t="s">
        <v>635</v>
      </c>
      <c r="C112" s="19" t="n">
        <v>4</v>
      </c>
      <c r="D112" s="19" t="n">
        <v>131.07</v>
      </c>
      <c r="E112" s="19" t="n">
        <v>2</v>
      </c>
      <c r="F112" s="19" t="n">
        <v>65.53</v>
      </c>
      <c r="G112" s="8" t="n">
        <f aca="false">IFERROR(INDEX('TRANS'!$B:$B,MATCH($B112,'TRANS'!$A:$A,0)),IFERROR(INDEX('TRANS'!$B:$B,MATCH(TRIM(SUBSTITUTE($B112,CHAR(160)," ")),'TRANS'!$D:$D,0)),IFERROR(INDEX('Catalog'!$A:$A,MATCH($B112,'Catalog'!$B:$B,0)),IFERROR(INDEX('Catalog'!$A:$A,MATCH(TRIM(SUBSTITUTE($B112,CHAR(160)," ")),'Catalog'!$C:$C,0)),""))))</f>
        <v>4413307</v>
      </c>
      <c r="H112" s="8" t="str">
        <f aca="false">IFERROR(INDEX('TRANS'!$C:$C,MATCH($B112,'TRANS'!$A:$A,0)),IFERROR(INDEX('Catalog'!$B:$B,MATCH($G112,'Catalog'!$A:$A,0)),$B112))</f>
        <v>URI 3667 מגן בוניון</v>
      </c>
      <c r="I112" s="8" t="str">
        <f aca="false">IF($G112="","Unmatched","Matched")</f>
        <v>Matched</v>
      </c>
      <c r="J112" s="8" t="n">
        <f aca="false">IF($G112&lt;&gt;"",$G112,$B112)</f>
        <v>4413307</v>
      </c>
      <c r="K112" s="8" t="str">
        <f aca="false">IF(COUNTIF($M$1:$M$10,$A112)&gt;0,"Y","N")</f>
        <v>Y</v>
      </c>
    </row>
    <row r="113" customFormat="false" ht="15" hidden="false" customHeight="true" outlineLevel="0" collapsed="false">
      <c r="A113" s="8" t="s">
        <v>46</v>
      </c>
      <c r="B113" s="8" t="s">
        <v>636</v>
      </c>
      <c r="C113" s="19" t="n">
        <v>5</v>
      </c>
      <c r="D113" s="19" t="n">
        <v>66.97</v>
      </c>
      <c r="E113" s="19" t="n">
        <v>0</v>
      </c>
      <c r="F113" s="19" t="n">
        <v>0</v>
      </c>
      <c r="G113" s="8" t="n">
        <f aca="false">IFERROR(INDEX('TRANS'!$B:$B,MATCH($B113,'TRANS'!$A:$A,0)),IFERROR(INDEX('TRANS'!$B:$B,MATCH(TRIM(SUBSTITUTE($B113,CHAR(160)," ")),'TRANS'!$D:$D,0)),IFERROR(INDEX('Catalog'!$A:$A,MATCH($B113,'Catalog'!$B:$B,0)),IFERROR(INDEX('Catalog'!$A:$A,MATCH(TRIM(SUBSTITUTE($B113,CHAR(160)," ")),'Catalog'!$C:$C,0)),""))))</f>
        <v>4413063</v>
      </c>
      <c r="H113" s="8" t="str">
        <f aca="false">IFERROR(INDEX('TRANS'!$C:$C,MATCH($B113,'TRANS'!$A:$A,0)),IFERROR(INDEX('Catalog'!$B:$B,MATCH($G113,'Catalog'!$A:$A,0)),$B113))</f>
        <v>366S-'מדבק.לשחרור לחץ מיבלת2יח</v>
      </c>
      <c r="I113" s="8" t="str">
        <f aca="false">IF($G113="","Unmatched","Matched")</f>
        <v>Matched</v>
      </c>
      <c r="J113" s="8" t="n">
        <f aca="false">IF($G113&lt;&gt;"",$G113,$B113)</f>
        <v>4413063</v>
      </c>
      <c r="K113" s="8" t="str">
        <f aca="false">IF(COUNTIF($M$1:$M$10,$A113)&gt;0,"Y","N")</f>
        <v>Y</v>
      </c>
    </row>
    <row r="114" customFormat="false" ht="15" hidden="false" customHeight="true" outlineLevel="0" collapsed="false">
      <c r="A114" s="8" t="s">
        <v>46</v>
      </c>
      <c r="B114" s="8" t="s">
        <v>637</v>
      </c>
      <c r="C114" s="19" t="n">
        <v>4</v>
      </c>
      <c r="D114" s="19" t="n">
        <v>149.82</v>
      </c>
      <c r="E114" s="19" t="n">
        <v>2</v>
      </c>
      <c r="F114" s="19" t="n">
        <v>74.9</v>
      </c>
      <c r="G114" s="8" t="n">
        <f aca="false">IFERROR(INDEX('TRANS'!$B:$B,MATCH($B114,'TRANS'!$A:$A,0)),IFERROR(INDEX('TRANS'!$B:$B,MATCH(TRIM(SUBSTITUTE($B114,CHAR(160)," ")),'TRANS'!$D:$D,0)),IFERROR(INDEX('Catalog'!$A:$A,MATCH($B114,'Catalog'!$B:$B,0)),IFERROR(INDEX('Catalog'!$A:$A,MATCH(TRIM(SUBSTITUTE($B114,CHAR(160)," ")),'Catalog'!$C:$C,0)),""))))</f>
        <v>4421003</v>
      </c>
      <c r="H114" s="8" t="str">
        <f aca="false">IFERROR(INDEX('TRANS'!$C:$C,MATCH($B114,'TRANS'!$A:$A,0)),IFERROR(INDEX('Catalog'!$B:$B,MATCH($G114,'Catalog'!$A:$A,0)),$B114))</f>
        <v>3672 שרוול מגן לבוניון</v>
      </c>
      <c r="I114" s="8" t="str">
        <f aca="false">IF($G114="","Unmatched","Matched")</f>
        <v>Matched</v>
      </c>
      <c r="J114" s="8" t="n">
        <f aca="false">IF($G114&lt;&gt;"",$G114,$B114)</f>
        <v>4421003</v>
      </c>
      <c r="K114" s="8" t="str">
        <f aca="false">IF(COUNTIF($M$1:$M$10,$A114)&gt;0,"Y","N")</f>
        <v>Y</v>
      </c>
    </row>
    <row r="115" customFormat="false" ht="15" hidden="false" customHeight="true" outlineLevel="0" collapsed="false">
      <c r="A115" s="8" t="s">
        <v>46</v>
      </c>
      <c r="B115" s="8" t="s">
        <v>638</v>
      </c>
      <c r="C115" s="19" t="n">
        <v>32</v>
      </c>
      <c r="D115" s="19" t="n">
        <v>1261.32</v>
      </c>
      <c r="E115" s="19" t="n">
        <v>11</v>
      </c>
      <c r="F115" s="19" t="n">
        <v>402.66</v>
      </c>
      <c r="G115" s="8" t="n">
        <f aca="false">IFERROR(INDEX('TRANS'!$B:$B,MATCH($B115,'TRANS'!$A:$A,0)),IFERROR(INDEX('TRANS'!$B:$B,MATCH(TRIM(SUBSTITUTE($B115,CHAR(160)," ")),'TRANS'!$D:$D,0)),IFERROR(INDEX('Catalog'!$A:$A,MATCH($B115,'Catalog'!$B:$B,0)),IFERROR(INDEX('Catalog'!$A:$A,MATCH(TRIM(SUBSTITUTE($B115,CHAR(160)," ")),'Catalog'!$C:$C,0)),""))))</f>
        <v>4413370</v>
      </c>
      <c r="H115" s="8" t="str">
        <f aca="false">IFERROR(INDEX('TRANS'!$C:$C,MATCH($B115,'TRANS'!$A:$A,0)),IFERROR(INDEX('Catalog'!$B:$B,MATCH($G115,'Catalog'!$A:$A,0)),$B115))</f>
        <v>3674 0 מ.בוניון+מפריד אצבע</v>
      </c>
      <c r="I115" s="8" t="str">
        <f aca="false">IF($G115="","Unmatched","Matched")</f>
        <v>Matched</v>
      </c>
      <c r="J115" s="8" t="n">
        <f aca="false">IF($G115&lt;&gt;"",$G115,$B115)</f>
        <v>4413370</v>
      </c>
      <c r="K115" s="8" t="str">
        <f aca="false">IF(COUNTIF($M$1:$M$10,$A115)&gt;0,"Y","N")</f>
        <v>Y</v>
      </c>
    </row>
    <row r="116" customFormat="false" ht="15" hidden="false" customHeight="true" outlineLevel="0" collapsed="false">
      <c r="A116" s="8" t="s">
        <v>46</v>
      </c>
      <c r="B116" s="8" t="s">
        <v>639</v>
      </c>
      <c r="C116" s="19" t="n">
        <v>0</v>
      </c>
      <c r="D116" s="19" t="n">
        <v>0</v>
      </c>
      <c r="E116" s="19" t="n">
        <v>7</v>
      </c>
      <c r="F116" s="19" t="n">
        <v>212.94</v>
      </c>
      <c r="G116" s="8" t="n">
        <f aca="false">IFERROR(INDEX('TRANS'!$B:$B,MATCH($B116,'TRANS'!$A:$A,0)),IFERROR(INDEX('TRANS'!$B:$B,MATCH(TRIM(SUBSTITUTE($B116,CHAR(160)," ")),'TRANS'!$D:$D,0)),IFERROR(INDEX('Catalog'!$A:$A,MATCH($B116,'Catalog'!$B:$B,0)),IFERROR(INDEX('Catalog'!$A:$A,MATCH(TRIM(SUBSTITUTE($B116,CHAR(160)," ")),'Catalog'!$C:$C,0)),""))))</f>
        <v>4413371</v>
      </c>
      <c r="H116" s="8" t="str">
        <f aca="false">IFERROR(INDEX('TRANS'!$C:$C,MATCH($B116,'TRANS'!$A:$A,0)),IFERROR(INDEX('Catalog'!$B:$B,MATCH($G116,'Catalog'!$A:$A,0)),$B116))</f>
        <v>3675    מגן זרת מסיליקון</v>
      </c>
      <c r="I116" s="8" t="str">
        <f aca="false">IF($G116="","Unmatched","Matched")</f>
        <v>Matched</v>
      </c>
      <c r="J116" s="8" t="n">
        <f aca="false">IF($G116&lt;&gt;"",$G116,$B116)</f>
        <v>4413371</v>
      </c>
      <c r="K116" s="8" t="str">
        <f aca="false">IF(COUNTIF($M$1:$M$10,$A116)&gt;0,"Y","N")</f>
        <v>Y</v>
      </c>
    </row>
    <row r="117" customFormat="false" ht="15" hidden="false" customHeight="true" outlineLevel="0" collapsed="false">
      <c r="A117" s="8" t="s">
        <v>46</v>
      </c>
      <c r="B117" s="8" t="s">
        <v>640</v>
      </c>
      <c r="C117" s="19" t="n">
        <v>27</v>
      </c>
      <c r="D117" s="19" t="n">
        <v>601.58</v>
      </c>
      <c r="E117" s="19" t="n">
        <v>3</v>
      </c>
      <c r="F117" s="19" t="n">
        <v>71.58</v>
      </c>
      <c r="G117" s="8" t="n">
        <f aca="false">IFERROR(INDEX('TRANS'!$B:$B,MATCH($B117,'TRANS'!$A:$A,0)),IFERROR(INDEX('TRANS'!$B:$B,MATCH(TRIM(SUBSTITUTE($B117,CHAR(160)," ")),'TRANS'!$D:$D,0)),IFERROR(INDEX('Catalog'!$A:$A,MATCH($B117,'Catalog'!$B:$B,0)),IFERROR(INDEX('Catalog'!$A:$A,MATCH(TRIM(SUBSTITUTE($B117,CHAR(160)," ")),'Catalog'!$C:$C,0)),""))))</f>
        <v>4401000</v>
      </c>
      <c r="H117" s="8" t="str">
        <f aca="false">IFERROR(INDEX('TRANS'!$C:$C,MATCH($B117,'TRANS'!$A:$A,0)),IFERROR(INDEX('Catalog'!$B:$B,MATCH($G117,'Catalog'!$A:$A,0)),$B117))</f>
        <v>369  S-L אצבעון מסיליקון יחידה</v>
      </c>
      <c r="I117" s="8" t="str">
        <f aca="false">IF($G117="","Unmatched","Matched")</f>
        <v>Matched</v>
      </c>
      <c r="J117" s="8" t="n">
        <f aca="false">IF($G117&lt;&gt;"",$G117,$B117)</f>
        <v>4401000</v>
      </c>
      <c r="K117" s="8" t="str">
        <f aca="false">IF(COUNTIF($M$1:$M$10,$A117)&gt;0,"Y","N")</f>
        <v>Y</v>
      </c>
    </row>
    <row r="118" customFormat="false" ht="15" hidden="false" customHeight="true" outlineLevel="0" collapsed="false">
      <c r="A118" s="8" t="s">
        <v>46</v>
      </c>
      <c r="B118" s="8" t="s">
        <v>641</v>
      </c>
      <c r="C118" s="19" t="n">
        <v>19</v>
      </c>
      <c r="D118" s="19" t="n">
        <v>453.02</v>
      </c>
      <c r="E118" s="19" t="n">
        <v>7</v>
      </c>
      <c r="F118" s="19" t="n">
        <v>162.43</v>
      </c>
      <c r="G118" s="8" t="n">
        <f aca="false">IFERROR(INDEX('TRANS'!$B:$B,MATCH($B118,'TRANS'!$A:$A,0)),IFERROR(INDEX('TRANS'!$B:$B,MATCH(TRIM(SUBSTITUTE($B118,CHAR(160)," ")),'TRANS'!$D:$D,0)),IFERROR(INDEX('Catalog'!$A:$A,MATCH($B118,'Catalog'!$B:$B,0)),IFERROR(INDEX('Catalog'!$A:$A,MATCH(TRIM(SUBSTITUTE($B118,CHAR(160)," ")),'Catalog'!$C:$C,0)),""))))</f>
        <v>4401001</v>
      </c>
      <c r="H118" s="8" t="str">
        <f aca="false">IFERROR(INDEX('TRANS'!$C:$C,MATCH($B118,'TRANS'!$A:$A,0)),IFERROR(INDEX('Catalog'!$B:$B,MATCH($G118,'Catalog'!$A:$A,0)),$B118))</f>
        <v>369   XL אצבעון מסיליקון יחידה</v>
      </c>
      <c r="I118" s="8" t="str">
        <f aca="false">IF($G118="","Unmatched","Matched")</f>
        <v>Matched</v>
      </c>
      <c r="J118" s="8" t="n">
        <f aca="false">IF($G118&lt;&gt;"",$G118,$B118)</f>
        <v>4401001</v>
      </c>
      <c r="K118" s="8" t="str">
        <f aca="false">IF(COUNTIF($M$1:$M$10,$A118)&gt;0,"Y","N")</f>
        <v>Y</v>
      </c>
    </row>
    <row r="119" customFormat="false" ht="15" hidden="false" customHeight="true" outlineLevel="0" collapsed="false">
      <c r="A119" s="8" t="s">
        <v>46</v>
      </c>
      <c r="B119" s="8" t="s">
        <v>642</v>
      </c>
      <c r="C119" s="19" t="n">
        <v>13</v>
      </c>
      <c r="D119" s="19" t="n">
        <v>148.77</v>
      </c>
      <c r="E119" s="19" t="n">
        <v>15</v>
      </c>
      <c r="F119" s="19" t="n">
        <v>172.7</v>
      </c>
      <c r="G119" s="8" t="n">
        <f aca="false">IFERROR(INDEX('TRANS'!$B:$B,MATCH($B119,'TRANS'!$A:$A,0)),IFERROR(INDEX('TRANS'!$B:$B,MATCH(TRIM(SUBSTITUTE($B119,CHAR(160)," ")),'TRANS'!$D:$D,0)),IFERROR(INDEX('Catalog'!$A:$A,MATCH($B119,'Catalog'!$B:$B,0)),IFERROR(INDEX('Catalog'!$A:$A,MATCH(TRIM(SUBSTITUTE($B119,CHAR(160)," ")),'Catalog'!$C:$C,0)),""))))</f>
        <v>4420000</v>
      </c>
      <c r="H119" s="8" t="str">
        <f aca="false">IFERROR(INDEX('TRANS'!$C:$C,MATCH($B119,'TRANS'!$A:$A,0)),IFERROR(INDEX('Catalog'!$B:$B,MATCH($G119,'Catalog'!$A:$A,0)),$B119))</f>
        <v>370  רפידת נוחות-זוג</v>
      </c>
      <c r="I119" s="8" t="str">
        <f aca="false">IF($G119="","Unmatched","Matched")</f>
        <v>Matched</v>
      </c>
      <c r="J119" s="8" t="n">
        <f aca="false">IF($G119&lt;&gt;"",$G119,$B119)</f>
        <v>4420000</v>
      </c>
      <c r="K119" s="8" t="str">
        <f aca="false">IF(COUNTIF($M$1:$M$10,$A119)&gt;0,"Y","N")</f>
        <v>Y</v>
      </c>
    </row>
    <row r="120" customFormat="false" ht="15" hidden="false" customHeight="true" outlineLevel="0" collapsed="false">
      <c r="A120" s="8" t="s">
        <v>46</v>
      </c>
      <c r="B120" s="8" t="s">
        <v>643</v>
      </c>
      <c r="C120" s="19" t="n">
        <v>16</v>
      </c>
      <c r="D120" s="19" t="n">
        <v>205.98</v>
      </c>
      <c r="E120" s="19" t="n">
        <v>0</v>
      </c>
      <c r="F120" s="19" t="n">
        <v>0</v>
      </c>
      <c r="G120" s="8" t="n">
        <f aca="false">IFERROR(INDEX('TRANS'!$B:$B,MATCH($B120,'TRANS'!$A:$A,0)),IFERROR(INDEX('TRANS'!$B:$B,MATCH(TRIM(SUBSTITUTE($B120,CHAR(160)," ")),'TRANS'!$D:$D,0)),IFERROR(INDEX('Catalog'!$A:$A,MATCH($B120,'Catalog'!$B:$B,0)),IFERROR(INDEX('Catalog'!$A:$A,MATCH(TRIM(SUBSTITUTE($B120,CHAR(160)," ")),'Catalog'!$C:$C,0)),""))))</f>
        <v>4420027</v>
      </c>
      <c r="H120" s="8" t="str">
        <f aca="false">IFERROR(INDEX('TRANS'!$C:$C,MATCH($B120,'TRANS'!$A:$A,0)),IFERROR(INDEX('Catalog'!$B:$B,MATCH($G120,'Catalog'!$A:$A,0)),$B120))</f>
        <v>370K 0 רפידת לילדים אנטי ריח</v>
      </c>
      <c r="I120" s="8" t="str">
        <f aca="false">IF($G120="","Unmatched","Matched")</f>
        <v>Matched</v>
      </c>
      <c r="J120" s="8" t="n">
        <f aca="false">IF($G120&lt;&gt;"",$G120,$B120)</f>
        <v>4420027</v>
      </c>
      <c r="K120" s="8" t="str">
        <f aca="false">IF(COUNTIF($M$1:$M$10,$A120)&gt;0,"Y","N")</f>
        <v>Y</v>
      </c>
    </row>
    <row r="121" customFormat="false" ht="15" hidden="false" customHeight="true" outlineLevel="0" collapsed="false">
      <c r="A121" s="8" t="s">
        <v>46</v>
      </c>
      <c r="B121" s="8" t="s">
        <v>644</v>
      </c>
      <c r="C121" s="19" t="n">
        <v>25</v>
      </c>
      <c r="D121" s="19" t="n">
        <v>302.73</v>
      </c>
      <c r="E121" s="19" t="n">
        <v>17</v>
      </c>
      <c r="F121" s="19" t="n">
        <v>206.42</v>
      </c>
      <c r="G121" s="8" t="n">
        <f aca="false">IFERROR(INDEX('TRANS'!$B:$B,MATCH($B121,'TRANS'!$A:$A,0)),IFERROR(INDEX('TRANS'!$B:$B,MATCH(TRIM(SUBSTITUTE($B121,CHAR(160)," ")),'TRANS'!$D:$D,0)),IFERROR(INDEX('Catalog'!$A:$A,MATCH($B121,'Catalog'!$B:$B,0)),IFERROR(INDEX('Catalog'!$A:$A,MATCH(TRIM(SUBSTITUTE($B121,CHAR(160)," ")),'Catalog'!$C:$C,0)),""))))</f>
        <v>4420001</v>
      </c>
      <c r="H121" s="8" t="str">
        <f aca="false">IFERROR(INDEX('TRANS'!$C:$C,MATCH($B121,'TRANS'!$A:$A,0)),IFERROR(INDEX('Catalog'!$B:$B,MATCH($G121,'Catalog'!$A:$A,0)),$B121))</f>
        <v>371 רפידת מגבת כותנה-זוג</v>
      </c>
      <c r="I121" s="8" t="str">
        <f aca="false">IF($G121="","Unmatched","Matched")</f>
        <v>Matched</v>
      </c>
      <c r="J121" s="8" t="n">
        <f aca="false">IF($G121&lt;&gt;"",$G121,$B121)</f>
        <v>4420001</v>
      </c>
      <c r="K121" s="8" t="str">
        <f aca="false">IF(COUNTIF($M$1:$M$10,$A121)&gt;0,"Y","N")</f>
        <v>Y</v>
      </c>
    </row>
    <row r="122" customFormat="false" ht="15" hidden="false" customHeight="true" outlineLevel="0" collapsed="false">
      <c r="A122" s="8" t="s">
        <v>46</v>
      </c>
      <c r="B122" s="8" t="s">
        <v>645</v>
      </c>
      <c r="C122" s="19" t="n">
        <v>17</v>
      </c>
      <c r="D122" s="19" t="n">
        <v>238.75</v>
      </c>
      <c r="E122" s="19" t="n">
        <v>7</v>
      </c>
      <c r="F122" s="19" t="n">
        <v>92.55</v>
      </c>
      <c r="G122" s="8" t="n">
        <f aca="false">IFERROR(INDEX('TRANS'!$B:$B,MATCH($B122,'TRANS'!$A:$A,0)),IFERROR(INDEX('TRANS'!$B:$B,MATCH(TRIM(SUBSTITUTE($B122,CHAR(160)," ")),'TRANS'!$D:$D,0)),IFERROR(INDEX('Catalog'!$A:$A,MATCH($B122,'Catalog'!$B:$B,0)),IFERROR(INDEX('Catalog'!$A:$A,MATCH(TRIM(SUBSTITUTE($B122,CHAR(160)," ")),'Catalog'!$C:$C,0)),""))))</f>
        <v>4420002</v>
      </c>
      <c r="H122" s="8" t="str">
        <f aca="false">IFERROR(INDEX('TRANS'!$C:$C,MATCH($B122,'TRANS'!$A:$A,0)),IFERROR(INDEX('Catalog'!$B:$B,MATCH($G122,'Catalog'!$A:$A,0)),$B122))</f>
        <v>372 רפידת אנטי ריח -זוג</v>
      </c>
      <c r="I122" s="8" t="str">
        <f aca="false">IF($G122="","Unmatched","Matched")</f>
        <v>Matched</v>
      </c>
      <c r="J122" s="8" t="n">
        <f aca="false">IF($G122&lt;&gt;"",$G122,$B122)</f>
        <v>4420002</v>
      </c>
      <c r="K122" s="8" t="str">
        <f aca="false">IF(COUNTIF($M$1:$M$10,$A122)&gt;0,"Y","N")</f>
        <v>Y</v>
      </c>
    </row>
    <row r="123" customFormat="false" ht="15" hidden="false" customHeight="true" outlineLevel="0" collapsed="false">
      <c r="A123" s="8" t="s">
        <v>46</v>
      </c>
      <c r="B123" s="8" t="s">
        <v>646</v>
      </c>
      <c r="C123" s="19" t="n">
        <v>7</v>
      </c>
      <c r="D123" s="19" t="n">
        <v>106.81</v>
      </c>
      <c r="E123" s="19" t="n">
        <v>0</v>
      </c>
      <c r="F123" s="19" t="n">
        <v>0</v>
      </c>
      <c r="G123" s="8" t="n">
        <f aca="false">IFERROR(INDEX('TRANS'!$B:$B,MATCH($B123,'TRANS'!$A:$A,0)),IFERROR(INDEX('TRANS'!$B:$B,MATCH(TRIM(SUBSTITUTE($B123,CHAR(160)," ")),'TRANS'!$D:$D,0)),IFERROR(INDEX('Catalog'!$A:$A,MATCH($B123,'Catalog'!$B:$B,0)),IFERROR(INDEX('Catalog'!$A:$A,MATCH(TRIM(SUBSTITUTE($B123,CHAR(160)," ")),'Catalog'!$C:$C,0)),""))))</f>
        <v>4420003</v>
      </c>
      <c r="H123" s="8" t="str">
        <f aca="false">IFERROR(INDEX('TRANS'!$C:$C,MATCH($B123,'TRANS'!$A:$A,0)),IFERROR(INDEX('Catalog'!$B:$B,MATCH($G123,'Catalog'!$A:$A,0)),$B123))</f>
        <v>374 רפידת בולמת זעזועים -זוג</v>
      </c>
      <c r="I123" s="8" t="str">
        <f aca="false">IF($G123="","Unmatched","Matched")</f>
        <v>Matched</v>
      </c>
      <c r="J123" s="8" t="n">
        <f aca="false">IF($G123&lt;&gt;"",$G123,$B123)</f>
        <v>4420003</v>
      </c>
      <c r="K123" s="8" t="str">
        <f aca="false">IF(COUNTIF($M$1:$M$10,$A123)&gt;0,"Y","N")</f>
        <v>Y</v>
      </c>
    </row>
    <row r="124" customFormat="false" ht="15" hidden="false" customHeight="true" outlineLevel="0" collapsed="false">
      <c r="A124" s="8" t="s">
        <v>46</v>
      </c>
      <c r="B124" s="8" t="s">
        <v>264</v>
      </c>
      <c r="C124" s="19" t="n">
        <v>4</v>
      </c>
      <c r="D124" s="19" t="n">
        <v>134.24</v>
      </c>
      <c r="E124" s="19" t="n">
        <v>0</v>
      </c>
      <c r="F124" s="19" t="n">
        <v>0</v>
      </c>
      <c r="G124" s="8" t="str">
        <f aca="false">IFERROR(INDEX('TRANS'!$B:$B,MATCH($B124,'TRANS'!$A:$A,0)),IFERROR(INDEX('TRANS'!$B:$B,MATCH(TRIM(SUBSTITUTE($B124,CHAR(160)," ")),'TRANS'!$D:$D,0)),IFERROR(INDEX('Catalog'!$A:$A,MATCH($B124,'Catalog'!$B:$B,0)),IFERROR(INDEX('Catalog'!$A:$A,MATCH(TRIM(SUBSTITUTE($B124,CHAR(160)," ")),'Catalog'!$C:$C,0)),""))))</f>
        <v/>
      </c>
      <c r="H124" s="8" t="str">
        <f aca="false">IFERROR(INDEX('TRANS'!$C:$C,MATCH($B124,'TRANS'!$A:$A,0)),IFERROR(INDEX('Catalog'!$B:$B,MATCH($G124,'Catalog'!$A:$A,0)),$B124))</f>
        <v>376-35-37</v>
      </c>
      <c r="I124" s="8" t="str">
        <f aca="false">IF($G124="","Unmatched","Matched")</f>
        <v>Unmatched</v>
      </c>
      <c r="J124" s="8" t="str">
        <f aca="false">IF($G124&lt;&gt;"",$G124,$B124)</f>
        <v>376-35-37</v>
      </c>
      <c r="K124" s="8" t="str">
        <f aca="false">IF(COUNTIF($M$1:$M$10,$A124)&gt;0,"Y","N")</f>
        <v>Y</v>
      </c>
    </row>
    <row r="125" customFormat="false" ht="15" hidden="false" customHeight="true" outlineLevel="0" collapsed="false">
      <c r="A125" s="8" t="s">
        <v>46</v>
      </c>
      <c r="B125" s="8" t="s">
        <v>121</v>
      </c>
      <c r="C125" s="19" t="n">
        <v>4</v>
      </c>
      <c r="D125" s="19" t="n">
        <v>140.43</v>
      </c>
      <c r="E125" s="19" t="n">
        <v>1</v>
      </c>
      <c r="F125" s="19" t="n">
        <v>35.11</v>
      </c>
      <c r="G125" s="8" t="str">
        <f aca="false">IFERROR(INDEX('TRANS'!$B:$B,MATCH($B125,'TRANS'!$A:$A,0)),IFERROR(INDEX('TRANS'!$B:$B,MATCH(TRIM(SUBSTITUTE($B125,CHAR(160)," ")),'TRANS'!$D:$D,0)),IFERROR(INDEX('Catalog'!$A:$A,MATCH($B125,'Catalog'!$B:$B,0)),IFERROR(INDEX('Catalog'!$A:$A,MATCH(TRIM(SUBSTITUTE($B125,CHAR(160)," ")),'Catalog'!$C:$C,0)),""))))</f>
        <v/>
      </c>
      <c r="H125" s="8" t="str">
        <f aca="false">IFERROR(INDEX('TRANS'!$C:$C,MATCH($B125,'TRANS'!$A:$A,0)),IFERROR(INDEX('Catalog'!$B:$B,MATCH($G125,'Catalog'!$A:$A,0)),$B125))</f>
        <v>376-38-40</v>
      </c>
      <c r="I125" s="8" t="str">
        <f aca="false">IF($G125="","Unmatched","Matched")</f>
        <v>Unmatched</v>
      </c>
      <c r="J125" s="8" t="str">
        <f aca="false">IF($G125&lt;&gt;"",$G125,$B125)</f>
        <v>376-38-40</v>
      </c>
      <c r="K125" s="8" t="str">
        <f aca="false">IF(COUNTIF($M$1:$M$10,$A125)&gt;0,"Y","N")</f>
        <v>Y</v>
      </c>
    </row>
    <row r="126" customFormat="false" ht="15" hidden="false" customHeight="true" outlineLevel="0" collapsed="false">
      <c r="A126" s="8" t="s">
        <v>46</v>
      </c>
      <c r="B126" s="8" t="s">
        <v>78</v>
      </c>
      <c r="C126" s="19" t="n">
        <v>11</v>
      </c>
      <c r="D126" s="19" t="n">
        <v>386.19</v>
      </c>
      <c r="E126" s="19" t="n">
        <v>1</v>
      </c>
      <c r="F126" s="19" t="n">
        <v>35.11</v>
      </c>
      <c r="G126" s="8" t="str">
        <f aca="false">IFERROR(INDEX('TRANS'!$B:$B,MATCH($B126,'TRANS'!$A:$A,0)),IFERROR(INDEX('TRANS'!$B:$B,MATCH(TRIM(SUBSTITUTE($B126,CHAR(160)," ")),'TRANS'!$D:$D,0)),IFERROR(INDEX('Catalog'!$A:$A,MATCH($B126,'Catalog'!$B:$B,0)),IFERROR(INDEX('Catalog'!$A:$A,MATCH(TRIM(SUBSTITUTE($B126,CHAR(160)," ")),'Catalog'!$C:$C,0)),""))))</f>
        <v/>
      </c>
      <c r="H126" s="8" t="str">
        <f aca="false">IFERROR(INDEX('TRANS'!$C:$C,MATCH($B126,'TRANS'!$A:$A,0)),IFERROR(INDEX('Catalog'!$B:$B,MATCH($G126,'Catalog'!$A:$A,0)),$B126))</f>
        <v>376-41-43</v>
      </c>
      <c r="I126" s="8" t="str">
        <f aca="false">IF($G126="","Unmatched","Matched")</f>
        <v>Unmatched</v>
      </c>
      <c r="J126" s="8" t="str">
        <f aca="false">IF($G126&lt;&gt;"",$G126,$B126)</f>
        <v>376-41-43</v>
      </c>
      <c r="K126" s="8" t="str">
        <f aca="false">IF(COUNTIF($M$1:$M$10,$A126)&gt;0,"Y","N")</f>
        <v>Y</v>
      </c>
    </row>
    <row r="127" customFormat="false" ht="15" hidden="false" customHeight="true" outlineLevel="0" collapsed="false">
      <c r="A127" s="8" t="s">
        <v>46</v>
      </c>
      <c r="B127" s="8" t="s">
        <v>81</v>
      </c>
      <c r="C127" s="19" t="n">
        <v>6</v>
      </c>
      <c r="D127" s="19" t="n">
        <v>199.01</v>
      </c>
      <c r="E127" s="19" t="n">
        <v>0</v>
      </c>
      <c r="F127" s="19" t="n">
        <v>0</v>
      </c>
      <c r="G127" s="8" t="str">
        <f aca="false">IFERROR(INDEX('TRANS'!$B:$B,MATCH($B127,'TRANS'!$A:$A,0)),IFERROR(INDEX('TRANS'!$B:$B,MATCH(TRIM(SUBSTITUTE($B127,CHAR(160)," ")),'TRANS'!$D:$D,0)),IFERROR(INDEX('Catalog'!$A:$A,MATCH($B127,'Catalog'!$B:$B,0)),IFERROR(INDEX('Catalog'!$A:$A,MATCH(TRIM(SUBSTITUTE($B127,CHAR(160)," ")),'Catalog'!$C:$C,0)),""))))</f>
        <v/>
      </c>
      <c r="H127" s="8" t="str">
        <f aca="false">IFERROR(INDEX('TRANS'!$C:$C,MATCH($B127,'TRANS'!$A:$A,0)),IFERROR(INDEX('Catalog'!$B:$B,MATCH($G127,'Catalog'!$A:$A,0)),$B127))</f>
        <v>376-44-45</v>
      </c>
      <c r="I127" s="8" t="str">
        <f aca="false">IF($G127="","Unmatched","Matched")</f>
        <v>Unmatched</v>
      </c>
      <c r="J127" s="8" t="str">
        <f aca="false">IF($G127&lt;&gt;"",$G127,$B127)</f>
        <v>376-44-45</v>
      </c>
      <c r="K127" s="8" t="str">
        <f aca="false">IF(COUNTIF($M$1:$M$10,$A127)&gt;0,"Y","N")</f>
        <v>Y</v>
      </c>
    </row>
    <row r="128" customFormat="false" ht="15" hidden="false" customHeight="true" outlineLevel="0" collapsed="false">
      <c r="A128" s="8" t="s">
        <v>46</v>
      </c>
      <c r="B128" s="8" t="s">
        <v>647</v>
      </c>
      <c r="C128" s="19" t="n">
        <v>2</v>
      </c>
      <c r="D128" s="19" t="n">
        <v>66.84</v>
      </c>
      <c r="E128" s="19" t="n">
        <v>1</v>
      </c>
      <c r="F128" s="19" t="n">
        <v>31.73</v>
      </c>
      <c r="G128" s="8" t="n">
        <f aca="false">IFERROR(INDEX('TRANS'!$B:$B,MATCH($B128,'TRANS'!$A:$A,0)),IFERROR(INDEX('TRANS'!$B:$B,MATCH(TRIM(SUBSTITUTE($B128,CHAR(160)," ")),'TRANS'!$D:$D,0)),IFERROR(INDEX('Catalog'!$A:$A,MATCH($B128,'Catalog'!$B:$B,0)),IFERROR(INDEX('Catalog'!$A:$A,MATCH(TRIM(SUBSTITUTE($B128,CHAR(160)," ")),'Catalog'!$C:$C,0)),""))))</f>
        <v>4420032</v>
      </c>
      <c r="H128" s="8" t="str">
        <f aca="false">IFERROR(INDEX('TRANS'!$C:$C,MATCH($B128,'TRANS'!$A:$A,0)),IFERROR(INDEX('Catalog'!$B:$B,MATCH($G128,'Catalog'!$A:$A,0)),$B128))</f>
        <v>46-47 רפידת ספורט 376 מידה</v>
      </c>
      <c r="I128" s="8" t="str">
        <f aca="false">IF($G128="","Unmatched","Matched")</f>
        <v>Matched</v>
      </c>
      <c r="J128" s="8" t="n">
        <f aca="false">IF($G128&lt;&gt;"",$G128,$B128)</f>
        <v>4420032</v>
      </c>
      <c r="K128" s="8" t="str">
        <f aca="false">IF(COUNTIF($M$1:$M$10,$A128)&gt;0,"Y","N")</f>
        <v>Y</v>
      </c>
    </row>
    <row r="129" customFormat="false" ht="15" hidden="false" customHeight="true" outlineLevel="0" collapsed="false">
      <c r="A129" s="8" t="s">
        <v>46</v>
      </c>
      <c r="B129" s="8" t="s">
        <v>648</v>
      </c>
      <c r="C129" s="19" t="n">
        <v>1</v>
      </c>
      <c r="D129" s="19" t="n">
        <v>89.01</v>
      </c>
      <c r="E129" s="19" t="n">
        <v>2</v>
      </c>
      <c r="F129" s="19" t="n">
        <v>178.02</v>
      </c>
      <c r="G129" s="8" t="n">
        <f aca="false">IFERROR(INDEX('TRANS'!$B:$B,MATCH($B129,'TRANS'!$A:$A,0)),IFERROR(INDEX('TRANS'!$B:$B,MATCH(TRIM(SUBSTITUTE($B129,CHAR(160)," ")),'TRANS'!$D:$D,0)),IFERROR(INDEX('Catalog'!$A:$A,MATCH($B129,'Catalog'!$B:$B,0)),IFERROR(INDEX('Catalog'!$A:$A,MATCH(TRIM(SUBSTITUTE($B129,CHAR(160)," ")),'Catalog'!$C:$C,0)),""))))</f>
        <v>4408069</v>
      </c>
      <c r="H129" s="8" t="str">
        <f aca="false">IFERROR(INDEX('TRANS'!$C:$C,MATCH($B129,'TRANS'!$A:$A,0)),IFERROR(INDEX('Catalog'!$B:$B,MATCH($G129,'Catalog'!$A:$A,0)),$B129))</f>
        <v>38 .חבישת""""הלוקס ולגוס""""לאחר נית</v>
      </c>
      <c r="I129" s="8" t="str">
        <f aca="false">IF($G129="","Unmatched","Matched")</f>
        <v>Matched</v>
      </c>
      <c r="J129" s="8" t="n">
        <f aca="false">IF($G129&lt;&gt;"",$G129,$B129)</f>
        <v>4408069</v>
      </c>
      <c r="K129" s="8" t="str">
        <f aca="false">IF(COUNTIF($M$1:$M$10,$A129)&gt;0,"Y","N")</f>
        <v>Y</v>
      </c>
    </row>
    <row r="130" customFormat="false" ht="15" hidden="false" customHeight="true" outlineLevel="0" collapsed="false">
      <c r="A130" s="8" t="s">
        <v>46</v>
      </c>
      <c r="B130" s="8" t="s">
        <v>649</v>
      </c>
      <c r="C130" s="19" t="n">
        <v>16</v>
      </c>
      <c r="D130" s="19" t="n">
        <v>767.87</v>
      </c>
      <c r="E130" s="19" t="n">
        <v>2</v>
      </c>
      <c r="F130" s="19" t="n">
        <v>94.59</v>
      </c>
      <c r="G130" s="8" t="n">
        <f aca="false">IFERROR(INDEX('TRANS'!$B:$B,MATCH($B130,'TRANS'!$A:$A,0)),IFERROR(INDEX('TRANS'!$B:$B,MATCH(TRIM(SUBSTITUTE($B130,CHAR(160)," ")),'TRANS'!$D:$D,0)),IFERROR(INDEX('Catalog'!$A:$A,MATCH($B130,'Catalog'!$B:$B,0)),IFERROR(INDEX('Catalog'!$A:$A,MATCH(TRIM(SUBSTITUTE($B130,CHAR(160)," ")),'Catalog'!$C:$C,0)),""))))</f>
        <v>4413452</v>
      </c>
      <c r="H130" s="8" t="str">
        <f aca="false">IFERROR(INDEX('TRANS'!$C:$C,MATCH($B130,'TRANS'!$A:$A,0)),IFERROR(INDEX('Catalog'!$B:$B,MATCH($G130,'Catalog'!$A:$A,0)),$B130))</f>
        <v>386  מיישר בוניון-האלוקס ולגוס</v>
      </c>
      <c r="I130" s="8" t="str">
        <f aca="false">IF($G130="","Unmatched","Matched")</f>
        <v>Matched</v>
      </c>
      <c r="J130" s="8" t="n">
        <f aca="false">IF($G130&lt;&gt;"",$G130,$B130)</f>
        <v>4413452</v>
      </c>
      <c r="K130" s="8" t="str">
        <f aca="false">IF(COUNTIF($M$1:$M$10,$A130)&gt;0,"Y","N")</f>
        <v>Y</v>
      </c>
    </row>
    <row r="131" customFormat="false" ht="15" hidden="false" customHeight="true" outlineLevel="0" collapsed="false">
      <c r="A131" s="8" t="s">
        <v>46</v>
      </c>
      <c r="B131" s="8" t="s">
        <v>406</v>
      </c>
      <c r="C131" s="19" t="n">
        <v>1</v>
      </c>
      <c r="D131" s="19" t="n">
        <v>73.23</v>
      </c>
      <c r="E131" s="19" t="n">
        <v>0</v>
      </c>
      <c r="F131" s="19" t="n">
        <v>0</v>
      </c>
      <c r="G131" s="8" t="str">
        <f aca="false">IFERROR(INDEX('TRANS'!$B:$B,MATCH($B131,'TRANS'!$A:$A,0)),IFERROR(INDEX('TRANS'!$B:$B,MATCH(TRIM(SUBSTITUTE($B131,CHAR(160)," ")),'TRANS'!$D:$D,0)),IFERROR(INDEX('Catalog'!$A:$A,MATCH($B131,'Catalog'!$B:$B,0)),IFERROR(INDEX('Catalog'!$A:$A,MATCH(TRIM(SUBSTITUTE($B131,CHAR(160)," ")),'Catalog'!$C:$C,0)),""))))</f>
        <v/>
      </c>
      <c r="H131" s="8" t="str">
        <f aca="false">IFERROR(INDEX('TRANS'!$C:$C,MATCH($B131,'TRANS'!$A:$A,0)),IFERROR(INDEX('Catalog'!$B:$B,MATCH($G131,'Catalog'!$A:$A,0)),$B131))</f>
        <v>388L 0</v>
      </c>
      <c r="I131" s="8" t="str">
        <f aca="false">IF($G131="","Unmatched","Matched")</f>
        <v>Unmatched</v>
      </c>
      <c r="J131" s="8" t="str">
        <f aca="false">IF($G131&lt;&gt;"",$G131,$B131)</f>
        <v>388L 0</v>
      </c>
      <c r="K131" s="8" t="str">
        <f aca="false">IF(COUNTIF($M$1:$M$10,$A131)&gt;0,"Y","N")</f>
        <v>Y</v>
      </c>
    </row>
    <row r="132" customFormat="false" ht="15" hidden="false" customHeight="true" outlineLevel="0" collapsed="false">
      <c r="A132" s="8" t="s">
        <v>46</v>
      </c>
      <c r="B132" s="8" t="s">
        <v>650</v>
      </c>
      <c r="C132" s="19" t="n">
        <v>10</v>
      </c>
      <c r="D132" s="19" t="n">
        <v>694.82</v>
      </c>
      <c r="E132" s="19" t="n">
        <v>5</v>
      </c>
      <c r="F132" s="19" t="n">
        <v>294.19</v>
      </c>
      <c r="G132" s="8" t="n">
        <f aca="false">IFERROR(INDEX('TRANS'!$B:$B,MATCH($B132,'TRANS'!$A:$A,0)),IFERROR(INDEX('TRANS'!$B:$B,MATCH(TRIM(SUBSTITUTE($B132,CHAR(160)," ")),'TRANS'!$D:$D,0)),IFERROR(INDEX('Catalog'!$A:$A,MATCH($B132,'Catalog'!$B:$B,0)),IFERROR(INDEX('Catalog'!$A:$A,MATCH(TRIM(SUBSTITUTE($B132,CHAR(160)," ")),'Catalog'!$C:$C,0)),""))))</f>
        <v>4415298</v>
      </c>
      <c r="H132" s="8" t="str">
        <f aca="false">IFERROR(INDEX('TRANS'!$C:$C,MATCH($B132,'TRANS'!$A:$A,0)),IFERROR(INDEX('Catalog'!$B:$B,MATCH($G132,'Catalog'!$A:$A,0)),$B132))</f>
        <v>388B L סד לילה שחור לבוהן שמאל</v>
      </c>
      <c r="I132" s="8" t="str">
        <f aca="false">IF($G132="","Unmatched","Matched")</f>
        <v>Matched</v>
      </c>
      <c r="J132" s="8" t="n">
        <f aca="false">IF($G132&lt;&gt;"",$G132,$B132)</f>
        <v>4415298</v>
      </c>
      <c r="K132" s="8" t="str">
        <f aca="false">IF(COUNTIF($M$1:$M$10,$A132)&gt;0,"Y","N")</f>
        <v>Y</v>
      </c>
    </row>
    <row r="133" customFormat="false" ht="15" hidden="false" customHeight="true" outlineLevel="0" collapsed="false">
      <c r="A133" s="8" t="s">
        <v>46</v>
      </c>
      <c r="B133" s="8" t="s">
        <v>651</v>
      </c>
      <c r="C133" s="19" t="n">
        <v>13</v>
      </c>
      <c r="D133" s="19" t="n">
        <v>1037.59</v>
      </c>
      <c r="E133" s="19" t="n">
        <v>3</v>
      </c>
      <c r="F133" s="19" t="n">
        <v>193.55</v>
      </c>
      <c r="G133" s="8" t="n">
        <f aca="false">IFERROR(INDEX('TRANS'!$B:$B,MATCH($B133,'TRANS'!$A:$A,0)),IFERROR(INDEX('TRANS'!$B:$B,MATCH(TRIM(SUBSTITUTE($B133,CHAR(160)," ")),'TRANS'!$D:$D,0)),IFERROR(INDEX('Catalog'!$A:$A,MATCH($B133,'Catalog'!$B:$B,0)),IFERROR(INDEX('Catalog'!$A:$A,MATCH(TRIM(SUBSTITUTE($B133,CHAR(160)," ")),'Catalog'!$C:$C,0)),""))))</f>
        <v>4415299</v>
      </c>
      <c r="H133" s="8" t="str">
        <f aca="false">IFERROR(INDEX('TRANS'!$C:$C,MATCH($B133,'TRANS'!$A:$A,0)),IFERROR(INDEX('Catalog'!$B:$B,MATCH($G133,'Catalog'!$A:$A,0)),$B133))</f>
        <v>388B L סד לילה שחור לבוהן ימין</v>
      </c>
      <c r="I133" s="8" t="str">
        <f aca="false">IF($G133="","Unmatched","Matched")</f>
        <v>Matched</v>
      </c>
      <c r="J133" s="8" t="n">
        <f aca="false">IF($G133&lt;&gt;"",$G133,$B133)</f>
        <v>4415299</v>
      </c>
      <c r="K133" s="8" t="str">
        <f aca="false">IF(COUNTIF($M$1:$M$10,$A133)&gt;0,"Y","N")</f>
        <v>Y</v>
      </c>
    </row>
    <row r="134" customFormat="false" ht="15" hidden="false" customHeight="true" outlineLevel="0" collapsed="false">
      <c r="A134" s="8" t="s">
        <v>46</v>
      </c>
      <c r="B134" s="8" t="s">
        <v>652</v>
      </c>
      <c r="C134" s="19" t="n">
        <v>3</v>
      </c>
      <c r="D134" s="19" t="n">
        <v>105.32</v>
      </c>
      <c r="E134" s="19" t="n">
        <v>2</v>
      </c>
      <c r="F134" s="19" t="n">
        <v>70.22</v>
      </c>
      <c r="G134" s="8" t="n">
        <f aca="false">IFERROR(INDEX('TRANS'!$B:$B,MATCH($B134,'TRANS'!$A:$A,0)),IFERROR(INDEX('TRANS'!$B:$B,MATCH(TRIM(SUBSTITUTE($B134,CHAR(160)," ")),'TRANS'!$D:$D,0)),IFERROR(INDEX('Catalog'!$A:$A,MATCH($B134,'Catalog'!$B:$B,0)),IFERROR(INDEX('Catalog'!$A:$A,MATCH(TRIM(SUBSTITUTE($B134,CHAR(160)," ")),'Catalog'!$C:$C,0)),""))))</f>
        <v>4403000</v>
      </c>
      <c r="H134" s="8" t="str">
        <f aca="false">IFERROR(INDEX('TRANS'!$C:$C,MATCH($B134,'TRANS'!$A:$A,0)),IFERROR(INDEX('Catalog'!$B:$B,MATCH($G134,'Catalog'!$A:$A,0)),$B134))</f>
        <v>390B גרב.כסף לסכרתים שחור35-38</v>
      </c>
      <c r="I134" s="8" t="str">
        <f aca="false">IF($G134="","Unmatched","Matched")</f>
        <v>Matched</v>
      </c>
      <c r="J134" s="8" t="n">
        <f aca="false">IF($G134&lt;&gt;"",$G134,$B134)</f>
        <v>4403000</v>
      </c>
      <c r="K134" s="8" t="str">
        <f aca="false">IF(COUNTIF($M$1:$M$10,$A134)&gt;0,"Y","N")</f>
        <v>Y</v>
      </c>
    </row>
    <row r="135" customFormat="false" ht="15" hidden="false" customHeight="true" outlineLevel="0" collapsed="false">
      <c r="A135" s="8" t="s">
        <v>46</v>
      </c>
      <c r="B135" s="8" t="s">
        <v>653</v>
      </c>
      <c r="C135" s="19" t="n">
        <v>6</v>
      </c>
      <c r="D135" s="19" t="n">
        <v>267.08</v>
      </c>
      <c r="E135" s="19" t="n">
        <v>11</v>
      </c>
      <c r="F135" s="19" t="n">
        <v>479.4</v>
      </c>
      <c r="G135" s="8" t="n">
        <f aca="false">IFERROR(INDEX('TRANS'!$B:$B,MATCH($B135,'TRANS'!$A:$A,0)),IFERROR(INDEX('TRANS'!$B:$B,MATCH(TRIM(SUBSTITUTE($B135,CHAR(160)," ")),'TRANS'!$D:$D,0)),IFERROR(INDEX('Catalog'!$A:$A,MATCH($B135,'Catalog'!$B:$B,0)),IFERROR(INDEX('Catalog'!$A:$A,MATCH(TRIM(SUBSTITUTE($B135,CHAR(160)," ")),'Catalog'!$C:$C,0)),""))))</f>
        <v>4403001</v>
      </c>
      <c r="H135" s="8" t="str">
        <f aca="false">IFERROR(INDEX('TRANS'!$C:$C,MATCH($B135,'TRANS'!$A:$A,0)),IFERROR(INDEX('Catalog'!$B:$B,MATCH($G135,'Catalog'!$A:$A,0)),$B135))</f>
        <v>390B 39-42.גרב.כסף לסכרתיים שח</v>
      </c>
      <c r="I135" s="8" t="str">
        <f aca="false">IF($G135="","Unmatched","Matched")</f>
        <v>Matched</v>
      </c>
      <c r="J135" s="8" t="n">
        <f aca="false">IF($G135&lt;&gt;"",$G135,$B135)</f>
        <v>4403001</v>
      </c>
      <c r="K135" s="8" t="str">
        <f aca="false">IF(COUNTIF($M$1:$M$10,$A135)&gt;0,"Y","N")</f>
        <v>Y</v>
      </c>
    </row>
    <row r="136" customFormat="false" ht="15" hidden="false" customHeight="true" outlineLevel="0" collapsed="false">
      <c r="A136" s="8" t="s">
        <v>46</v>
      </c>
      <c r="B136" s="8" t="s">
        <v>654</v>
      </c>
      <c r="C136" s="19" t="n">
        <v>63</v>
      </c>
      <c r="D136" s="19" t="n">
        <v>1782.52</v>
      </c>
      <c r="E136" s="19" t="n">
        <v>31</v>
      </c>
      <c r="F136" s="19" t="n">
        <v>1138.05</v>
      </c>
      <c r="G136" s="8" t="n">
        <f aca="false">IFERROR(INDEX('TRANS'!$B:$B,MATCH($B136,'TRANS'!$A:$A,0)),IFERROR(INDEX('TRANS'!$B:$B,MATCH(TRIM(SUBSTITUTE($B136,CHAR(160)," ")),'TRANS'!$D:$D,0)),IFERROR(INDEX('Catalog'!$A:$A,MATCH($B136,'Catalog'!$B:$B,0)),IFERROR(INDEX('Catalog'!$A:$A,MATCH(TRIM(SUBSTITUTE($B136,CHAR(160)," ")),'Catalog'!$C:$C,0)),""))))</f>
        <v>4403002</v>
      </c>
      <c r="H136" s="8" t="str">
        <f aca="false">IFERROR(INDEX('TRANS'!$C:$C,MATCH($B136,'TRANS'!$A:$A,0)),IFERROR(INDEX('Catalog'!$B:$B,MATCH($G136,'Catalog'!$A:$A,0)),$B136))</f>
        <v>390B 43-46.גרב.כסף לסכרתיים שח</v>
      </c>
      <c r="I136" s="8" t="str">
        <f aca="false">IF($G136="","Unmatched","Matched")</f>
        <v>Matched</v>
      </c>
      <c r="J136" s="8" t="n">
        <f aca="false">IF($G136&lt;&gt;"",$G136,$B136)</f>
        <v>4403002</v>
      </c>
      <c r="K136" s="8" t="str">
        <f aca="false">IF(COUNTIF($M$1:$M$10,$A136)&gt;0,"Y","N")</f>
        <v>Y</v>
      </c>
    </row>
    <row r="137" customFormat="false" ht="15" hidden="false" customHeight="true" outlineLevel="0" collapsed="false">
      <c r="A137" s="8" t="s">
        <v>46</v>
      </c>
      <c r="B137" s="8" t="s">
        <v>655</v>
      </c>
      <c r="C137" s="19" t="n">
        <v>2</v>
      </c>
      <c r="D137" s="19" t="n">
        <v>70.22</v>
      </c>
      <c r="E137" s="19" t="n">
        <v>0</v>
      </c>
      <c r="F137" s="19" t="n">
        <v>0</v>
      </c>
      <c r="G137" s="8" t="n">
        <f aca="false">IFERROR(INDEX('TRANS'!$B:$B,MATCH($B137,'TRANS'!$A:$A,0)),IFERROR(INDEX('TRANS'!$B:$B,MATCH(TRIM(SUBSTITUTE($B137,CHAR(160)," ")),'TRANS'!$D:$D,0)),IFERROR(INDEX('Catalog'!$A:$A,MATCH($B137,'Catalog'!$B:$B,0)),IFERROR(INDEX('Catalog'!$A:$A,MATCH(TRIM(SUBSTITUTE($B137,CHAR(160)," ")),'Catalog'!$C:$C,0)),""))))</f>
        <v>4403003</v>
      </c>
      <c r="H137" s="8" t="str">
        <f aca="false">IFERROR(INDEX('TRANS'!$C:$C,MATCH($B137,'TRANS'!$A:$A,0)),IFERROR(INDEX('Catalog'!$B:$B,MATCH($G137,'Catalog'!$A:$A,0)),$B137))</f>
        <v>390G ג.כסף לסכרתיים אפור35-38</v>
      </c>
      <c r="I137" s="8" t="str">
        <f aca="false">IF($G137="","Unmatched","Matched")</f>
        <v>Matched</v>
      </c>
      <c r="J137" s="8" t="n">
        <f aca="false">IF($G137&lt;&gt;"",$G137,$B137)</f>
        <v>4403003</v>
      </c>
      <c r="K137" s="8" t="str">
        <f aca="false">IF(COUNTIF($M$1:$M$10,$A137)&gt;0,"Y","N")</f>
        <v>Y</v>
      </c>
    </row>
    <row r="138" customFormat="false" ht="15" hidden="false" customHeight="true" outlineLevel="0" collapsed="false">
      <c r="A138" s="8" t="s">
        <v>46</v>
      </c>
      <c r="B138" s="8" t="s">
        <v>107</v>
      </c>
      <c r="C138" s="19" t="n">
        <v>3</v>
      </c>
      <c r="D138" s="19" t="n">
        <v>105.32</v>
      </c>
      <c r="E138" s="19" t="n">
        <v>3</v>
      </c>
      <c r="F138" s="19" t="n">
        <v>105.33</v>
      </c>
      <c r="G138" s="8" t="str">
        <f aca="false">IFERROR(INDEX('TRANS'!$B:$B,MATCH($B138,'TRANS'!$A:$A,0)),IFERROR(INDEX('TRANS'!$B:$B,MATCH(TRIM(SUBSTITUTE($B138,CHAR(160)," ")),'TRANS'!$D:$D,0)),IFERROR(INDEX('Catalog'!$A:$A,MATCH($B138,'Catalog'!$B:$B,0)),IFERROR(INDEX('Catalog'!$A:$A,MATCH(TRIM(SUBSTITUTE($B138,CHAR(160)," ")),'Catalog'!$C:$C,0)),""))))</f>
        <v/>
      </c>
      <c r="H138" s="8" t="str">
        <f aca="false">IFERROR(INDEX('TRANS'!$C:$C,MATCH($B138,'TRANS'!$A:$A,0)),IFERROR(INDEX('Catalog'!$B:$B,MATCH($G138,'Catalog'!$A:$A,0)),$B138))</f>
        <v>390G-39-42</v>
      </c>
      <c r="I138" s="8" t="str">
        <f aca="false">IF($G138="","Unmatched","Matched")</f>
        <v>Unmatched</v>
      </c>
      <c r="J138" s="8" t="str">
        <f aca="false">IF($G138&lt;&gt;"",$G138,$B138)</f>
        <v>390G-39-42</v>
      </c>
      <c r="K138" s="8" t="str">
        <f aca="false">IF(COUNTIF($M$1:$M$10,$A138)&gt;0,"Y","N")</f>
        <v>Y</v>
      </c>
    </row>
    <row r="139" customFormat="false" ht="15" hidden="false" customHeight="true" outlineLevel="0" collapsed="false">
      <c r="A139" s="8" t="s">
        <v>46</v>
      </c>
      <c r="B139" s="8" t="s">
        <v>656</v>
      </c>
      <c r="C139" s="19" t="n">
        <v>30</v>
      </c>
      <c r="D139" s="19" t="n">
        <v>954.55</v>
      </c>
      <c r="E139" s="19" t="n">
        <v>0</v>
      </c>
      <c r="F139" s="19" t="n">
        <v>0</v>
      </c>
      <c r="G139" s="8" t="n">
        <f aca="false">IFERROR(INDEX('TRANS'!$B:$B,MATCH($B139,'TRANS'!$A:$A,0)),IFERROR(INDEX('TRANS'!$B:$B,MATCH(TRIM(SUBSTITUTE($B139,CHAR(160)," ")),'TRANS'!$D:$D,0)),IFERROR(INDEX('Catalog'!$A:$A,MATCH($B139,'Catalog'!$B:$B,0)),IFERROR(INDEX('Catalog'!$A:$A,MATCH(TRIM(SUBSTITUTE($B139,CHAR(160)," ")),'Catalog'!$C:$C,0)),""))))</f>
        <v>4403005</v>
      </c>
      <c r="H139" s="8" t="str">
        <f aca="false">IFERROR(INDEX('TRANS'!$C:$C,MATCH($B139,'TRANS'!$A:$A,0)),IFERROR(INDEX('Catalog'!$B:$B,MATCH($G139,'Catalog'!$A:$A,0)),$B139))</f>
        <v>G390.43-46 גרבי כסף לסכרת מידה</v>
      </c>
      <c r="I139" s="8" t="str">
        <f aca="false">IF($G139="","Unmatched","Matched")</f>
        <v>Matched</v>
      </c>
      <c r="J139" s="8" t="n">
        <f aca="false">IF($G139&lt;&gt;"",$G139,$B139)</f>
        <v>4403005</v>
      </c>
      <c r="K139" s="8" t="str">
        <f aca="false">IF(COUNTIF($M$1:$M$10,$A139)&gt;0,"Y","N")</f>
        <v>Y</v>
      </c>
    </row>
    <row r="140" customFormat="false" ht="15" hidden="false" customHeight="true" outlineLevel="0" collapsed="false">
      <c r="A140" s="8" t="s">
        <v>46</v>
      </c>
      <c r="B140" s="8" t="s">
        <v>657</v>
      </c>
      <c r="C140" s="19" t="n">
        <v>2</v>
      </c>
      <c r="D140" s="19" t="n">
        <v>68.82</v>
      </c>
      <c r="E140" s="19" t="n">
        <v>0</v>
      </c>
      <c r="F140" s="19" t="n">
        <v>0</v>
      </c>
      <c r="G140" s="8" t="n">
        <f aca="false">IFERROR(INDEX('TRANS'!$B:$B,MATCH($B140,'TRANS'!$A:$A,0)),IFERROR(INDEX('TRANS'!$B:$B,MATCH(TRIM(SUBSTITUTE($B140,CHAR(160)," ")),'TRANS'!$D:$D,0)),IFERROR(INDEX('Catalog'!$A:$A,MATCH($B140,'Catalog'!$B:$B,0)),IFERROR(INDEX('Catalog'!$A:$A,MATCH(TRIM(SUBSTITUTE($B140,CHAR(160)," ")),'Catalog'!$C:$C,0)),""))))</f>
        <v>4403007</v>
      </c>
      <c r="H140" s="8" t="str">
        <f aca="false">IFERROR(INDEX('TRANS'!$C:$C,MATCH($B140,'TRANS'!$A:$A,0)),IFERROR(INDEX('Catalog'!$B:$B,MATCH($G140,'Catalog'!$A:$A,0)),$B140))</f>
        <v>390W גרב.כסף לסכרתיים לבן39-42</v>
      </c>
      <c r="I140" s="8" t="str">
        <f aca="false">IF($G140="","Unmatched","Matched")</f>
        <v>Matched</v>
      </c>
      <c r="J140" s="8" t="n">
        <f aca="false">IF($G140&lt;&gt;"",$G140,$B140)</f>
        <v>4403007</v>
      </c>
      <c r="K140" s="8" t="str">
        <f aca="false">IF(COUNTIF($M$1:$M$10,$A140)&gt;0,"Y","N")</f>
        <v>Y</v>
      </c>
    </row>
    <row r="141" customFormat="false" ht="15" hidden="false" customHeight="true" outlineLevel="0" collapsed="false">
      <c r="A141" s="8" t="s">
        <v>46</v>
      </c>
      <c r="B141" s="8" t="s">
        <v>658</v>
      </c>
      <c r="C141" s="19" t="n">
        <v>10</v>
      </c>
      <c r="D141" s="19" t="n">
        <v>275.4</v>
      </c>
      <c r="E141" s="19" t="n">
        <v>0</v>
      </c>
      <c r="F141" s="19" t="n">
        <v>0</v>
      </c>
      <c r="G141" s="8" t="n">
        <f aca="false">IFERROR(INDEX('TRANS'!$B:$B,MATCH($B141,'TRANS'!$A:$A,0)),IFERROR(INDEX('TRANS'!$B:$B,MATCH(TRIM(SUBSTITUTE($B141,CHAR(160)," ")),'TRANS'!$D:$D,0)),IFERROR(INDEX('Catalog'!$A:$A,MATCH($B141,'Catalog'!$B:$B,0)),IFERROR(INDEX('Catalog'!$A:$A,MATCH(TRIM(SUBSTITUTE($B141,CHAR(160)," ")),'Catalog'!$C:$C,0)),""))))</f>
        <v>4403017</v>
      </c>
      <c r="H141" s="8" t="str">
        <f aca="false">IFERROR(INDEX('TRANS'!$C:$C,MATCH($B141,'TRANS'!$A:$A,0)),IFERROR(INDEX('Catalog'!$B:$B,MATCH($G141,'Catalog'!$A:$A,0)),$B141))</f>
        <v>394B גרב.כסף לסכרתים שחור35-38</v>
      </c>
      <c r="I141" s="8" t="str">
        <f aca="false">IF($G141="","Unmatched","Matched")</f>
        <v>Matched</v>
      </c>
      <c r="J141" s="8" t="n">
        <f aca="false">IF($G141&lt;&gt;"",$G141,$B141)</f>
        <v>4403017</v>
      </c>
      <c r="K141" s="8" t="str">
        <f aca="false">IF(COUNTIF($M$1:$M$10,$A141)&gt;0,"Y","N")</f>
        <v>Y</v>
      </c>
    </row>
    <row r="142" customFormat="false" ht="15" hidden="false" customHeight="true" outlineLevel="0" collapsed="false">
      <c r="A142" s="8" t="s">
        <v>46</v>
      </c>
      <c r="B142" s="8" t="s">
        <v>659</v>
      </c>
      <c r="C142" s="19" t="n">
        <v>28</v>
      </c>
      <c r="D142" s="19" t="n">
        <v>765.38</v>
      </c>
      <c r="E142" s="19" t="n">
        <v>0</v>
      </c>
      <c r="F142" s="19" t="n">
        <v>0</v>
      </c>
      <c r="G142" s="8" t="n">
        <f aca="false">IFERROR(INDEX('TRANS'!$B:$B,MATCH($B142,'TRANS'!$A:$A,0)),IFERROR(INDEX('TRANS'!$B:$B,MATCH(TRIM(SUBSTITUTE($B142,CHAR(160)," ")),'TRANS'!$D:$D,0)),IFERROR(INDEX('Catalog'!$A:$A,MATCH($B142,'Catalog'!$B:$B,0)),IFERROR(INDEX('Catalog'!$A:$A,MATCH(TRIM(SUBSTITUTE($B142,CHAR(160)," ")),'Catalog'!$C:$C,0)),""))))</f>
        <v>4403018</v>
      </c>
      <c r="H142" s="8" t="str">
        <f aca="false">IFERROR(INDEX('TRANS'!$C:$C,MATCH($B142,'TRANS'!$A:$A,0)),IFERROR(INDEX('Catalog'!$B:$B,MATCH($G142,'Catalog'!$A:$A,0)),$B142))</f>
        <v>394B גרב.כסף לסכרתים שחור39-42</v>
      </c>
      <c r="I142" s="8" t="str">
        <f aca="false">IF($G142="","Unmatched","Matched")</f>
        <v>Matched</v>
      </c>
      <c r="J142" s="8" t="n">
        <f aca="false">IF($G142&lt;&gt;"",$G142,$B142)</f>
        <v>4403018</v>
      </c>
      <c r="K142" s="8" t="str">
        <f aca="false">IF(COUNTIF($M$1:$M$10,$A142)&gt;0,"Y","N")</f>
        <v>Y</v>
      </c>
    </row>
    <row r="143" customFormat="false" ht="15" hidden="false" customHeight="true" outlineLevel="0" collapsed="false">
      <c r="A143" s="8" t="s">
        <v>46</v>
      </c>
      <c r="B143" s="8" t="s">
        <v>660</v>
      </c>
      <c r="C143" s="19" t="n">
        <v>63</v>
      </c>
      <c r="D143" s="19" t="n">
        <v>1674.81</v>
      </c>
      <c r="E143" s="19" t="n">
        <v>5</v>
      </c>
      <c r="F143" s="19" t="n">
        <v>140.4</v>
      </c>
      <c r="G143" s="8" t="n">
        <f aca="false">IFERROR(INDEX('TRANS'!$B:$B,MATCH($B143,'TRANS'!$A:$A,0)),IFERROR(INDEX('TRANS'!$B:$B,MATCH(TRIM(SUBSTITUTE($B143,CHAR(160)," ")),'TRANS'!$D:$D,0)),IFERROR(INDEX('Catalog'!$A:$A,MATCH($B143,'Catalog'!$B:$B,0)),IFERROR(INDEX('Catalog'!$A:$A,MATCH(TRIM(SUBSTITUTE($B143,CHAR(160)," ")),'Catalog'!$C:$C,0)),""))))</f>
        <v>4403019</v>
      </c>
      <c r="H143" s="8" t="str">
        <f aca="false">IFERROR(INDEX('TRANS'!$C:$C,MATCH($B143,'TRANS'!$A:$A,0)),IFERROR(INDEX('Catalog'!$B:$B,MATCH($G143,'Catalog'!$A:$A,0)),$B143))</f>
        <v>394B גרב.כסף לסכרתים שחור43-46</v>
      </c>
      <c r="I143" s="8" t="str">
        <f aca="false">IF($G143="","Unmatched","Matched")</f>
        <v>Matched</v>
      </c>
      <c r="J143" s="8" t="n">
        <f aca="false">IF($G143&lt;&gt;"",$G143,$B143)</f>
        <v>4403019</v>
      </c>
      <c r="K143" s="8" t="str">
        <f aca="false">IF(COUNTIF($M$1:$M$10,$A143)&gt;0,"Y","N")</f>
        <v>Y</v>
      </c>
    </row>
    <row r="144" customFormat="false" ht="15" hidden="false" customHeight="true" outlineLevel="0" collapsed="false">
      <c r="A144" s="8" t="s">
        <v>46</v>
      </c>
      <c r="B144" s="8" t="s">
        <v>232</v>
      </c>
      <c r="C144" s="19" t="n">
        <v>0</v>
      </c>
      <c r="D144" s="19" t="n">
        <v>0</v>
      </c>
      <c r="E144" s="19" t="n">
        <v>1</v>
      </c>
      <c r="F144" s="19" t="n">
        <v>28.08</v>
      </c>
      <c r="G144" s="8" t="str">
        <f aca="false">IFERROR(INDEX('TRANS'!$B:$B,MATCH($B144,'TRANS'!$A:$A,0)),IFERROR(INDEX('TRANS'!$B:$B,MATCH(TRIM(SUBSTITUTE($B144,CHAR(160)," ")),'TRANS'!$D:$D,0)),IFERROR(INDEX('Catalog'!$A:$A,MATCH($B144,'Catalog'!$B:$B,0)),IFERROR(INDEX('Catalog'!$A:$A,MATCH(TRIM(SUBSTITUTE($B144,CHAR(160)," ")),'Catalog'!$C:$C,0)),""))))</f>
        <v/>
      </c>
      <c r="H144" s="8" t="str">
        <f aca="false">IFERROR(INDEX('TRANS'!$C:$C,MATCH($B144,'TRANS'!$A:$A,0)),IFERROR(INDEX('Catalog'!$B:$B,MATCH($G144,'Catalog'!$A:$A,0)),$B144))</f>
        <v>394G-35-38</v>
      </c>
      <c r="I144" s="8" t="str">
        <f aca="false">IF($G144="","Unmatched","Matched")</f>
        <v>Unmatched</v>
      </c>
      <c r="J144" s="8" t="str">
        <f aca="false">IF($G144&lt;&gt;"",$G144,$B144)</f>
        <v>394G-35-38</v>
      </c>
      <c r="K144" s="8" t="str">
        <f aca="false">IF(COUNTIF($M$1:$M$10,$A144)&gt;0,"Y","N")</f>
        <v>Y</v>
      </c>
    </row>
    <row r="145" customFormat="false" ht="15" hidden="false" customHeight="true" outlineLevel="0" collapsed="false">
      <c r="A145" s="8" t="s">
        <v>46</v>
      </c>
      <c r="B145" s="8" t="s">
        <v>83</v>
      </c>
      <c r="C145" s="19" t="n">
        <v>4</v>
      </c>
      <c r="D145" s="19" t="n">
        <v>105.27</v>
      </c>
      <c r="E145" s="19" t="n">
        <v>3</v>
      </c>
      <c r="F145" s="19" t="n">
        <v>84.24</v>
      </c>
      <c r="G145" s="8" t="str">
        <f aca="false">IFERROR(INDEX('TRANS'!$B:$B,MATCH($B145,'TRANS'!$A:$A,0)),IFERROR(INDEX('TRANS'!$B:$B,MATCH(TRIM(SUBSTITUTE($B145,CHAR(160)," ")),'TRANS'!$D:$D,0)),IFERROR(INDEX('Catalog'!$A:$A,MATCH($B145,'Catalog'!$B:$B,0)),IFERROR(INDEX('Catalog'!$A:$A,MATCH(TRIM(SUBSTITUTE($B145,CHAR(160)," ")),'Catalog'!$C:$C,0)),""))))</f>
        <v/>
      </c>
      <c r="H145" s="8" t="str">
        <f aca="false">IFERROR(INDEX('TRANS'!$C:$C,MATCH($B145,'TRANS'!$A:$A,0)),IFERROR(INDEX('Catalog'!$B:$B,MATCH($G145,'Catalog'!$A:$A,0)),$B145))</f>
        <v>394G-39-42</v>
      </c>
      <c r="I145" s="8" t="str">
        <f aca="false">IF($G145="","Unmatched","Matched")</f>
        <v>Unmatched</v>
      </c>
      <c r="J145" s="8" t="str">
        <f aca="false">IF($G145&lt;&gt;"",$G145,$B145)</f>
        <v>394G-39-42</v>
      </c>
      <c r="K145" s="8" t="str">
        <f aca="false">IF(COUNTIF($M$1:$M$10,$A145)&gt;0,"Y","N")</f>
        <v>Y</v>
      </c>
    </row>
    <row r="146" customFormat="false" ht="15" hidden="false" customHeight="true" outlineLevel="0" collapsed="false">
      <c r="A146" s="8" t="s">
        <v>46</v>
      </c>
      <c r="B146" s="8" t="s">
        <v>661</v>
      </c>
      <c r="C146" s="19" t="n">
        <v>6</v>
      </c>
      <c r="D146" s="19" t="n">
        <v>168.5</v>
      </c>
      <c r="E146" s="19" t="n">
        <v>1</v>
      </c>
      <c r="F146" s="19" t="n">
        <v>28.08</v>
      </c>
      <c r="G146" s="8" t="n">
        <f aca="false">IFERROR(INDEX('TRANS'!$B:$B,MATCH($B146,'TRANS'!$A:$A,0)),IFERROR(INDEX('TRANS'!$B:$B,MATCH(TRIM(SUBSTITUTE($B146,CHAR(160)," ")),'TRANS'!$D:$D,0)),IFERROR(INDEX('Catalog'!$A:$A,MATCH($B146,'Catalog'!$B:$B,0)),IFERROR(INDEX('Catalog'!$A:$A,MATCH(TRIM(SUBSTITUTE($B146,CHAR(160)," ")),'Catalog'!$C:$C,0)),""))))</f>
        <v>4403023</v>
      </c>
      <c r="H146" s="8" t="str">
        <f aca="false">IFERROR(INDEX('TRANS'!$C:$C,MATCH($B146,'TRANS'!$A:$A,0)),IFERROR(INDEX('Catalog'!$B:$B,MATCH($G146,'Catalog'!$A:$A,0)),$B146))</f>
        <v>394W 35-38 גרב.כסף לסכרתים לבן</v>
      </c>
      <c r="I146" s="8" t="str">
        <f aca="false">IF($G146="","Unmatched","Matched")</f>
        <v>Matched</v>
      </c>
      <c r="J146" s="8" t="n">
        <f aca="false">IF($G146&lt;&gt;"",$G146,$B146)</f>
        <v>4403023</v>
      </c>
      <c r="K146" s="8" t="str">
        <f aca="false">IF(COUNTIF($M$1:$M$10,$A146)&gt;0,"Y","N")</f>
        <v>Y</v>
      </c>
    </row>
    <row r="147" customFormat="false" ht="15" hidden="false" customHeight="true" outlineLevel="0" collapsed="false">
      <c r="A147" s="8" t="s">
        <v>46</v>
      </c>
      <c r="B147" s="8" t="s">
        <v>662</v>
      </c>
      <c r="C147" s="19" t="n">
        <v>17</v>
      </c>
      <c r="D147" s="19" t="n">
        <v>475.02</v>
      </c>
      <c r="E147" s="19" t="n">
        <v>4</v>
      </c>
      <c r="F147" s="19" t="n">
        <v>112.33</v>
      </c>
      <c r="G147" s="8" t="n">
        <f aca="false">IFERROR(INDEX('TRANS'!$B:$B,MATCH($B147,'TRANS'!$A:$A,0)),IFERROR(INDEX('TRANS'!$B:$B,MATCH(TRIM(SUBSTITUTE($B147,CHAR(160)," ")),'TRANS'!$D:$D,0)),IFERROR(INDEX('Catalog'!$A:$A,MATCH($B147,'Catalog'!$B:$B,0)),IFERROR(INDEX('Catalog'!$A:$A,MATCH(TRIM(SUBSTITUTE($B147,CHAR(160)," ")),'Catalog'!$C:$C,0)),""))))</f>
        <v>4403024</v>
      </c>
      <c r="H147" s="8" t="str">
        <f aca="false">IFERROR(INDEX('TRANS'!$C:$C,MATCH($B147,'TRANS'!$A:$A,0)),IFERROR(INDEX('Catalog'!$B:$B,MATCH($G147,'Catalog'!$A:$A,0)),$B147))</f>
        <v>394W 39-42 גרב.כסף לסכרתים לבן</v>
      </c>
      <c r="I147" s="8" t="str">
        <f aca="false">IF($G147="","Unmatched","Matched")</f>
        <v>Matched</v>
      </c>
      <c r="J147" s="8" t="n">
        <f aca="false">IF($G147&lt;&gt;"",$G147,$B147)</f>
        <v>4403024</v>
      </c>
      <c r="K147" s="8" t="str">
        <f aca="false">IF(COUNTIF($M$1:$M$10,$A147)&gt;0,"Y","N")</f>
        <v>Y</v>
      </c>
    </row>
    <row r="148" customFormat="false" ht="15" hidden="false" customHeight="true" outlineLevel="0" collapsed="false">
      <c r="A148" s="8" t="s">
        <v>46</v>
      </c>
      <c r="B148" s="8" t="s">
        <v>663</v>
      </c>
      <c r="C148" s="19" t="n">
        <v>8</v>
      </c>
      <c r="D148" s="19" t="n">
        <v>210.42</v>
      </c>
      <c r="E148" s="19" t="n">
        <v>6</v>
      </c>
      <c r="F148" s="19" t="n">
        <v>168.49</v>
      </c>
      <c r="G148" s="8" t="n">
        <f aca="false">IFERROR(INDEX('TRANS'!$B:$B,MATCH($B148,'TRANS'!$A:$A,0)),IFERROR(INDEX('TRANS'!$B:$B,MATCH(TRIM(SUBSTITUTE($B148,CHAR(160)," ")),'TRANS'!$D:$D,0)),IFERROR(INDEX('Catalog'!$A:$A,MATCH($B148,'Catalog'!$B:$B,0)),IFERROR(INDEX('Catalog'!$A:$A,MATCH(TRIM(SUBSTITUTE($B148,CHAR(160)," ")),'Catalog'!$C:$C,0)),""))))</f>
        <v>4403025</v>
      </c>
      <c r="H148" s="8" t="str">
        <f aca="false">IFERROR(INDEX('TRANS'!$C:$C,MATCH($B148,'TRANS'!$A:$A,0)),IFERROR(INDEX('Catalog'!$B:$B,MATCH($G148,'Catalog'!$A:$A,0)),$B148))</f>
        <v>394W 43-46 גרב.כסף לסכרתים לבן</v>
      </c>
      <c r="I148" s="8" t="str">
        <f aca="false">IF($G148="","Unmatched","Matched")</f>
        <v>Matched</v>
      </c>
      <c r="J148" s="8" t="n">
        <f aca="false">IF($G148&lt;&gt;"",$G148,$B148)</f>
        <v>4403025</v>
      </c>
      <c r="K148" s="8" t="str">
        <f aca="false">IF(COUNTIF($M$1:$M$10,$A148)&gt;0,"Y","N")</f>
        <v>Y</v>
      </c>
    </row>
    <row r="149" customFormat="false" ht="15" hidden="false" customHeight="true" outlineLevel="0" collapsed="false">
      <c r="A149" s="8" t="s">
        <v>46</v>
      </c>
      <c r="B149" s="8" t="s">
        <v>664</v>
      </c>
      <c r="C149" s="19" t="n">
        <v>0</v>
      </c>
      <c r="D149" s="19" t="n">
        <v>0</v>
      </c>
      <c r="E149" s="19" t="n">
        <v>2</v>
      </c>
      <c r="F149" s="19" t="n">
        <v>30.46</v>
      </c>
      <c r="G149" s="8" t="n">
        <f aca="false">IFERROR(INDEX('TRANS'!$B:$B,MATCH($B149,'TRANS'!$A:$A,0)),IFERROR(INDEX('TRANS'!$B:$B,MATCH(TRIM(SUBSTITUTE($B149,CHAR(160)," ")),'TRANS'!$D:$D,0)),IFERROR(INDEX('Catalog'!$A:$A,MATCH($B149,'Catalog'!$B:$B,0)),IFERROR(INDEX('Catalog'!$A:$A,MATCH(TRIM(SUBSTITUTE($B149,CHAR(160)," ")),'Catalog'!$C:$C,0)),""))))</f>
        <v>4403044</v>
      </c>
      <c r="H149" s="8" t="str">
        <f aca="false">IFERROR(INDEX('TRANS'!$C:$C,MATCH($B149,'TRANS'!$A:$A,0)),IFERROR(INDEX('Catalog'!$B:$B,MATCH($G149,'Catalog'!$A:$A,0)),$B149))</f>
        <v>395B גרבי קיץ אנטי בקטריא39-42</v>
      </c>
      <c r="I149" s="8" t="str">
        <f aca="false">IF($G149="","Unmatched","Matched")</f>
        <v>Matched</v>
      </c>
      <c r="J149" s="8" t="n">
        <f aca="false">IF($G149&lt;&gt;"",$G149,$B149)</f>
        <v>4403044</v>
      </c>
      <c r="K149" s="8" t="str">
        <f aca="false">IF(COUNTIF($M$1:$M$10,$A149)&gt;0,"Y","N")</f>
        <v>Y</v>
      </c>
    </row>
    <row r="150" customFormat="false" ht="15" hidden="false" customHeight="true" outlineLevel="0" collapsed="false">
      <c r="A150" s="8" t="s">
        <v>46</v>
      </c>
      <c r="B150" s="8" t="s">
        <v>665</v>
      </c>
      <c r="C150" s="19" t="n">
        <v>0</v>
      </c>
      <c r="D150" s="19" t="n">
        <v>0</v>
      </c>
      <c r="E150" s="19" t="n">
        <v>28</v>
      </c>
      <c r="F150" s="19" t="n">
        <v>851.08</v>
      </c>
      <c r="G150" s="8" t="n">
        <f aca="false">IFERROR(INDEX('TRANS'!$B:$B,MATCH($B150,'TRANS'!$A:$A,0)),IFERROR(INDEX('TRANS'!$B:$B,MATCH(TRIM(SUBSTITUTE($B150,CHAR(160)," ")),'TRANS'!$D:$D,0)),IFERROR(INDEX('Catalog'!$A:$A,MATCH($B150,'Catalog'!$B:$B,0)),IFERROR(INDEX('Catalog'!$A:$A,MATCH(TRIM(SUBSTITUTE($B150,CHAR(160)," ")),'Catalog'!$C:$C,0)),""))))</f>
        <v>4403045</v>
      </c>
      <c r="H150" s="8" t="str">
        <f aca="false">IFERROR(INDEX('TRANS'!$C:$C,MATCH($B150,'TRANS'!$A:$A,0)),IFERROR(INDEX('Catalog'!$B:$B,MATCH($G150,'Catalog'!$A:$A,0)),$B150))</f>
        <v>395B גרבי קיץ אנטי בקטריא43-46</v>
      </c>
      <c r="I150" s="8" t="str">
        <f aca="false">IF($G150="","Unmatched","Matched")</f>
        <v>Matched</v>
      </c>
      <c r="J150" s="8" t="n">
        <f aca="false">IF($G150&lt;&gt;"",$G150,$B150)</f>
        <v>4403045</v>
      </c>
      <c r="K150" s="8" t="str">
        <f aca="false">IF(COUNTIF($M$1:$M$10,$A150)&gt;0,"Y","N")</f>
        <v>Y</v>
      </c>
    </row>
    <row r="151" customFormat="false" ht="15" hidden="false" customHeight="true" outlineLevel="0" collapsed="false">
      <c r="A151" s="8" t="s">
        <v>46</v>
      </c>
      <c r="B151" s="8" t="s">
        <v>407</v>
      </c>
      <c r="C151" s="19" t="n">
        <v>25</v>
      </c>
      <c r="D151" s="19" t="n">
        <v>1576.22</v>
      </c>
      <c r="E151" s="19" t="n">
        <v>0</v>
      </c>
      <c r="F151" s="19" t="n">
        <v>0</v>
      </c>
      <c r="G151" s="8" t="str">
        <f aca="false">IFERROR(INDEX('TRANS'!$B:$B,MATCH($B151,'TRANS'!$A:$A,0)),IFERROR(INDEX('TRANS'!$B:$B,MATCH(TRIM(SUBSTITUTE($B151,CHAR(160)," ")),'TRANS'!$D:$D,0)),IFERROR(INDEX('Catalog'!$A:$A,MATCH($B151,'Catalog'!$B:$B,0)),IFERROR(INDEX('Catalog'!$A:$A,MATCH(TRIM(SUBSTITUTE($B151,CHAR(160)," ")),'Catalog'!$C:$C,0)),""))))</f>
        <v/>
      </c>
      <c r="H151" s="8" t="str">
        <f aca="false">IFERROR(INDEX('TRANS'!$C:$C,MATCH($B151,'TRANS'!$A:$A,0)),IFERROR(INDEX('Catalog'!$B:$B,MATCH($G151,'Catalog'!$A:$A,0)),$B151))</f>
        <v>397-35-38</v>
      </c>
      <c r="I151" s="8" t="str">
        <f aca="false">IF($G151="","Unmatched","Matched")</f>
        <v>Unmatched</v>
      </c>
      <c r="J151" s="8" t="str">
        <f aca="false">IF($G151&lt;&gt;"",$G151,$B151)</f>
        <v>397-35-38</v>
      </c>
      <c r="K151" s="8" t="str">
        <f aca="false">IF(COUNTIF($M$1:$M$10,$A151)&gt;0,"Y","N")</f>
        <v>Y</v>
      </c>
    </row>
    <row r="152" customFormat="false" ht="15" hidden="false" customHeight="true" outlineLevel="0" collapsed="false">
      <c r="A152" s="8" t="s">
        <v>46</v>
      </c>
      <c r="B152" s="8" t="s">
        <v>666</v>
      </c>
      <c r="C152" s="19" t="n">
        <v>35</v>
      </c>
      <c r="D152" s="19" t="n">
        <v>2280.99</v>
      </c>
      <c r="E152" s="19" t="n">
        <v>0</v>
      </c>
      <c r="F152" s="19" t="n">
        <v>0</v>
      </c>
      <c r="G152" s="8" t="n">
        <f aca="false">IFERROR(INDEX('TRANS'!$B:$B,MATCH($B152,'TRANS'!$A:$A,0)),IFERROR(INDEX('TRANS'!$B:$B,MATCH(TRIM(SUBSTITUTE($B152,CHAR(160)," ")),'TRANS'!$D:$D,0)),IFERROR(INDEX('Catalog'!$A:$A,MATCH($B152,'Catalog'!$B:$B,0)),IFERROR(INDEX('Catalog'!$A:$A,MATCH(TRIM(SUBSTITUTE($B152,CHAR(160)," ")),'Catalog'!$C:$C,0)),""))))</f>
        <v>4403029</v>
      </c>
      <c r="H152" s="8" t="str">
        <f aca="false">IFERROR(INDEX('TRANS'!$C:$C,MATCH($B152,'TRANS'!$A:$A,0)),IFERROR(INDEX('Catalog'!$B:$B,MATCH($G152,'Catalog'!$A:$A,0)),$B152))</f>
        <v>397 39-42 גרבי טיסה מידה</v>
      </c>
      <c r="I152" s="8" t="str">
        <f aca="false">IF($G152="","Unmatched","Matched")</f>
        <v>Matched</v>
      </c>
      <c r="J152" s="8" t="n">
        <f aca="false">IF($G152&lt;&gt;"",$G152,$B152)</f>
        <v>4403029</v>
      </c>
      <c r="K152" s="8" t="str">
        <f aca="false">IF(COUNTIF($M$1:$M$10,$A152)&gt;0,"Y","N")</f>
        <v>Y</v>
      </c>
    </row>
    <row r="153" customFormat="false" ht="15" hidden="false" customHeight="true" outlineLevel="0" collapsed="false">
      <c r="A153" s="8" t="s">
        <v>46</v>
      </c>
      <c r="B153" s="8" t="s">
        <v>408</v>
      </c>
      <c r="C153" s="19" t="n">
        <v>18</v>
      </c>
      <c r="D153" s="19" t="n">
        <v>1156.07</v>
      </c>
      <c r="E153" s="19" t="n">
        <v>0</v>
      </c>
      <c r="F153" s="19" t="n">
        <v>0</v>
      </c>
      <c r="G153" s="8" t="str">
        <f aca="false">IFERROR(INDEX('TRANS'!$B:$B,MATCH($B153,'TRANS'!$A:$A,0)),IFERROR(INDEX('TRANS'!$B:$B,MATCH(TRIM(SUBSTITUTE($B153,CHAR(160)," ")),'TRANS'!$D:$D,0)),IFERROR(INDEX('Catalog'!$A:$A,MATCH($B153,'Catalog'!$B:$B,0)),IFERROR(INDEX('Catalog'!$A:$A,MATCH(TRIM(SUBSTITUTE($B153,CHAR(160)," ")),'Catalog'!$C:$C,0)),""))))</f>
        <v/>
      </c>
      <c r="H153" s="8" t="str">
        <f aca="false">IFERROR(INDEX('TRANS'!$C:$C,MATCH($B153,'TRANS'!$A:$A,0)),IFERROR(INDEX('Catalog'!$B:$B,MATCH($G153,'Catalog'!$A:$A,0)),$B153))</f>
        <v>397-43-46</v>
      </c>
      <c r="I153" s="8" t="str">
        <f aca="false">IF($G153="","Unmatched","Matched")</f>
        <v>Unmatched</v>
      </c>
      <c r="J153" s="8" t="str">
        <f aca="false">IF($G153&lt;&gt;"",$G153,$B153)</f>
        <v>397-43-46</v>
      </c>
      <c r="K153" s="8" t="str">
        <f aca="false">IF(COUNTIF($M$1:$M$10,$A153)&gt;0,"Y","N")</f>
        <v>Y</v>
      </c>
    </row>
    <row r="154" customFormat="false" ht="15" hidden="false" customHeight="true" outlineLevel="0" collapsed="false">
      <c r="A154" s="8" t="s">
        <v>46</v>
      </c>
      <c r="B154" s="8" t="s">
        <v>667</v>
      </c>
      <c r="C154" s="19" t="n">
        <v>0</v>
      </c>
      <c r="D154" s="19" t="n">
        <v>0</v>
      </c>
      <c r="E154" s="19" t="n">
        <v>8</v>
      </c>
      <c r="F154" s="19" t="n">
        <v>442.63</v>
      </c>
      <c r="G154" s="8" t="n">
        <f aca="false">IFERROR(INDEX('TRANS'!$B:$B,MATCH($B154,'TRANS'!$A:$A,0)),IFERROR(INDEX('TRANS'!$B:$B,MATCH(TRIM(SUBSTITUTE($B154,CHAR(160)," ")),'TRANS'!$D:$D,0)),IFERROR(INDEX('Catalog'!$A:$A,MATCH($B154,'Catalog'!$B:$B,0)),IFERROR(INDEX('Catalog'!$A:$A,MATCH(TRIM(SUBSTITUTE($B154,CHAR(160)," ")),'Catalog'!$C:$C,0)),""))))</f>
        <v>4403041</v>
      </c>
      <c r="H154" s="8" t="str">
        <f aca="false">IFERROR(INDEX('TRANS'!$C:$C,MATCH($B154,'TRANS'!$A:$A,0)),IFERROR(INDEX('Catalog'!$B:$B,MATCH($G154,'Catalog'!$A:$A,0)),$B154))</f>
        <v>397A-גרבי טיסה אנטי בקטרי35-38</v>
      </c>
      <c r="I154" s="8" t="str">
        <f aca="false">IF($G154="","Unmatched","Matched")</f>
        <v>Matched</v>
      </c>
      <c r="J154" s="8" t="n">
        <f aca="false">IF($G154&lt;&gt;"",$G154,$B154)</f>
        <v>4403041</v>
      </c>
      <c r="K154" s="8" t="str">
        <f aca="false">IF(COUNTIF($M$1:$M$10,$A154)&gt;0,"Y","N")</f>
        <v>Y</v>
      </c>
    </row>
    <row r="155" customFormat="false" ht="15" hidden="false" customHeight="true" outlineLevel="0" collapsed="false">
      <c r="A155" s="8" t="s">
        <v>46</v>
      </c>
      <c r="B155" s="8" t="s">
        <v>668</v>
      </c>
      <c r="C155" s="19" t="n">
        <v>0</v>
      </c>
      <c r="D155" s="19" t="n">
        <v>0</v>
      </c>
      <c r="E155" s="19" t="n">
        <v>20</v>
      </c>
      <c r="F155" s="19" t="n">
        <v>1275.35</v>
      </c>
      <c r="G155" s="8" t="n">
        <f aca="false">IFERROR(INDEX('TRANS'!$B:$B,MATCH($B155,'TRANS'!$A:$A,0)),IFERROR(INDEX('TRANS'!$B:$B,MATCH(TRIM(SUBSTITUTE($B155,CHAR(160)," ")),'TRANS'!$D:$D,0)),IFERROR(INDEX('Catalog'!$A:$A,MATCH($B155,'Catalog'!$B:$B,0)),IFERROR(INDEX('Catalog'!$A:$A,MATCH(TRIM(SUBSTITUTE($B155,CHAR(160)," ")),'Catalog'!$C:$C,0)),""))))</f>
        <v>4403042</v>
      </c>
      <c r="H155" s="8" t="str">
        <f aca="false">IFERROR(INDEX('TRANS'!$C:$C,MATCH($B155,'TRANS'!$A:$A,0)),IFERROR(INDEX('Catalog'!$B:$B,MATCH($G155,'Catalog'!$A:$A,0)),$B155))</f>
        <v>397A-גרבי טיסה אנטי בקטרי39-42</v>
      </c>
      <c r="I155" s="8" t="str">
        <f aca="false">IF($G155="","Unmatched","Matched")</f>
        <v>Matched</v>
      </c>
      <c r="J155" s="8" t="n">
        <f aca="false">IF($G155&lt;&gt;"",$G155,$B155)</f>
        <v>4403042</v>
      </c>
      <c r="K155" s="8" t="str">
        <f aca="false">IF(COUNTIF($M$1:$M$10,$A155)&gt;0,"Y","N")</f>
        <v>Y</v>
      </c>
    </row>
    <row r="156" customFormat="false" ht="15" hidden="false" customHeight="true" outlineLevel="0" collapsed="false">
      <c r="A156" s="8" t="s">
        <v>46</v>
      </c>
      <c r="B156" s="8" t="s">
        <v>669</v>
      </c>
      <c r="C156" s="19" t="n">
        <v>0</v>
      </c>
      <c r="D156" s="19" t="n">
        <v>0</v>
      </c>
      <c r="E156" s="19" t="n">
        <v>20</v>
      </c>
      <c r="F156" s="19" t="n">
        <v>1264.67</v>
      </c>
      <c r="G156" s="8" t="n">
        <f aca="false">IFERROR(INDEX('TRANS'!$B:$B,MATCH($B156,'TRANS'!$A:$A,0)),IFERROR(INDEX('TRANS'!$B:$B,MATCH(TRIM(SUBSTITUTE($B156,CHAR(160)," ")),'TRANS'!$D:$D,0)),IFERROR(INDEX('Catalog'!$A:$A,MATCH($B156,'Catalog'!$B:$B,0)),IFERROR(INDEX('Catalog'!$A:$A,MATCH(TRIM(SUBSTITUTE($B156,CHAR(160)," ")),'Catalog'!$C:$C,0)),""))))</f>
        <v>4403043</v>
      </c>
      <c r="H156" s="8" t="str">
        <f aca="false">IFERROR(INDEX('TRANS'!$C:$C,MATCH($B156,'TRANS'!$A:$A,0)),IFERROR(INDEX('Catalog'!$B:$B,MATCH($G156,'Catalog'!$A:$A,0)),$B156))</f>
        <v>397A-גרבי טיסה אנטי בקטרי43-46</v>
      </c>
      <c r="I156" s="8" t="str">
        <f aca="false">IF($G156="","Unmatched","Matched")</f>
        <v>Matched</v>
      </c>
      <c r="J156" s="8" t="n">
        <f aca="false">IF($G156&lt;&gt;"",$G156,$B156)</f>
        <v>4403043</v>
      </c>
      <c r="K156" s="8" t="str">
        <f aca="false">IF(COUNTIF($M$1:$M$10,$A156)&gt;0,"Y","N")</f>
        <v>Y</v>
      </c>
    </row>
    <row r="157" customFormat="false" ht="15" hidden="false" customHeight="true" outlineLevel="0" collapsed="false">
      <c r="A157" s="8" t="s">
        <v>46</v>
      </c>
      <c r="B157" s="8" t="s">
        <v>670</v>
      </c>
      <c r="C157" s="19" t="n">
        <v>16</v>
      </c>
      <c r="D157" s="19" t="n">
        <v>876.61</v>
      </c>
      <c r="E157" s="19" t="n">
        <v>10</v>
      </c>
      <c r="F157" s="19" t="n">
        <v>519.81</v>
      </c>
      <c r="G157" s="8" t="n">
        <f aca="false">IFERROR(INDEX('TRANS'!$B:$B,MATCH($B157,'TRANS'!$A:$A,0)),IFERROR(INDEX('TRANS'!$B:$B,MATCH(TRIM(SUBSTITUTE($B157,CHAR(160)," ")),'TRANS'!$D:$D,0)),IFERROR(INDEX('Catalog'!$A:$A,MATCH($B157,'Catalog'!$B:$B,0)),IFERROR(INDEX('Catalog'!$A:$A,MATCH(TRIM(SUBSTITUTE($B157,CHAR(160)," ")),'Catalog'!$C:$C,0)),""))))</f>
        <v>4420016</v>
      </c>
      <c r="H157" s="8" t="str">
        <f aca="false">IFERROR(INDEX('TRANS'!$C:$C,MATCH($B157,'TRANS'!$A:$A,0)),IFERROR(INDEX('Catalog'!$B:$B,MATCH($G157,'Catalog'!$A:$A,0)),$B157))</f>
        <v>40-רצועת פיקה לברך</v>
      </c>
      <c r="I157" s="8" t="str">
        <f aca="false">IF($G157="","Unmatched","Matched")</f>
        <v>Matched</v>
      </c>
      <c r="J157" s="8" t="n">
        <f aca="false">IF($G157&lt;&gt;"",$G157,$B157)</f>
        <v>4420016</v>
      </c>
      <c r="K157" s="8" t="str">
        <f aca="false">IF(COUNTIF($M$1:$M$10,$A157)&gt;0,"Y","N")</f>
        <v>Y</v>
      </c>
    </row>
    <row r="158" customFormat="false" ht="15" hidden="false" customHeight="true" outlineLevel="0" collapsed="false">
      <c r="A158" s="8" t="s">
        <v>46</v>
      </c>
      <c r="B158" s="8" t="s">
        <v>671</v>
      </c>
      <c r="C158" s="19" t="n">
        <v>0</v>
      </c>
      <c r="D158" s="19" t="n">
        <v>0</v>
      </c>
      <c r="E158" s="19" t="n">
        <v>3</v>
      </c>
      <c r="F158" s="19" t="n">
        <v>283.9</v>
      </c>
      <c r="G158" s="8" t="n">
        <f aca="false">IFERROR(INDEX('TRANS'!$B:$B,MATCH($B158,'TRANS'!$A:$A,0)),IFERROR(INDEX('TRANS'!$B:$B,MATCH(TRIM(SUBSTITUTE($B158,CHAR(160)," ")),'TRANS'!$D:$D,0)),IFERROR(INDEX('Catalog'!$A:$A,MATCH($B158,'Catalog'!$B:$B,0)),IFERROR(INDEX('Catalog'!$A:$A,MATCH(TRIM(SUBSTITUTE($B158,CHAR(160)," ")),'Catalog'!$C:$C,0)),""))))</f>
        <v>4420017</v>
      </c>
      <c r="H158" s="8" t="str">
        <f aca="false">IFERROR(INDEX('TRANS'!$C:$C,MATCH($B158,'TRANS'!$A:$A,0)),IFERROR(INDEX('Catalog'!$B:$B,MATCH($G158,'Catalog'!$A:$A,0)),$B158))</f>
        <v>4022 רצועת """"פיקה""""+כרית</v>
      </c>
      <c r="I158" s="8" t="str">
        <f aca="false">IF($G158="","Unmatched","Matched")</f>
        <v>Matched</v>
      </c>
      <c r="J158" s="8" t="n">
        <f aca="false">IF($G158&lt;&gt;"",$G158,$B158)</f>
        <v>4420017</v>
      </c>
      <c r="K158" s="8" t="str">
        <f aca="false">IF(COUNTIF($M$1:$M$10,$A158)&gt;0,"Y","N")</f>
        <v>Y</v>
      </c>
    </row>
    <row r="159" customFormat="false" ht="15" hidden="false" customHeight="true" outlineLevel="0" collapsed="false">
      <c r="A159" s="8" t="s">
        <v>46</v>
      </c>
      <c r="B159" s="8" t="s">
        <v>672</v>
      </c>
      <c r="C159" s="19" t="n">
        <v>3</v>
      </c>
      <c r="D159" s="19" t="n">
        <v>399.35</v>
      </c>
      <c r="E159" s="19" t="n">
        <v>0</v>
      </c>
      <c r="F159" s="19" t="n">
        <v>0</v>
      </c>
      <c r="G159" s="8" t="n">
        <f aca="false">IFERROR(INDEX('TRANS'!$B:$B,MATCH($B159,'TRANS'!$A:$A,0)),IFERROR(INDEX('TRANS'!$B:$B,MATCH(TRIM(SUBSTITUTE($B159,CHAR(160)," ")),'TRANS'!$D:$D,0)),IFERROR(INDEX('Catalog'!$A:$A,MATCH($B159,'Catalog'!$B:$B,0)),IFERROR(INDEX('Catalog'!$A:$A,MATCH(TRIM(SUBSTITUTE($B159,CHAR(160)," ")),'Catalog'!$C:$C,0)),""))))</f>
        <v>4413076</v>
      </c>
      <c r="H159" s="8" t="str">
        <f aca="false">IFERROR(INDEX('TRANS'!$C:$C,MATCH($B159,'TRANS'!$A:$A,0)),IFERROR(INDEX('Catalog'!$B:$B,MATCH($G159,'Catalog'!$A:$A,0)),$B159))</f>
        <v>41X L מגן ברך מוצלב+מוט</v>
      </c>
      <c r="I159" s="8" t="str">
        <f aca="false">IF($G159="","Unmatched","Matched")</f>
        <v>Matched</v>
      </c>
      <c r="J159" s="8" t="n">
        <f aca="false">IF($G159&lt;&gt;"",$G159,$B159)</f>
        <v>4413076</v>
      </c>
      <c r="K159" s="8" t="str">
        <f aca="false">IF(COUNTIF($M$1:$M$10,$A159)&gt;0,"Y","N")</f>
        <v>Y</v>
      </c>
    </row>
    <row r="160" customFormat="false" ht="15" hidden="false" customHeight="true" outlineLevel="0" collapsed="false">
      <c r="A160" s="8" t="s">
        <v>46</v>
      </c>
      <c r="B160" s="8" t="s">
        <v>673</v>
      </c>
      <c r="C160" s="19" t="n">
        <v>3</v>
      </c>
      <c r="D160" s="19" t="n">
        <v>91.53</v>
      </c>
      <c r="E160" s="19" t="n">
        <v>0</v>
      </c>
      <c r="F160" s="19" t="n">
        <v>0</v>
      </c>
      <c r="G160" s="8" t="n">
        <f aca="false">IFERROR(INDEX('TRANS'!$B:$B,MATCH($B160,'TRANS'!$A:$A,0)),IFERROR(INDEX('TRANS'!$B:$B,MATCH(TRIM(SUBSTITUTE($B160,CHAR(160)," ")),'TRANS'!$D:$D,0)),IFERROR(INDEX('Catalog'!$A:$A,MATCH($B160,'Catalog'!$B:$B,0)),IFERROR(INDEX('Catalog'!$A:$A,MATCH(TRIM(SUBSTITUTE($B160,CHAR(160)," ")),'Catalog'!$C:$C,0)),""))))</f>
        <v>4413094</v>
      </c>
      <c r="H160" s="8" t="str">
        <f aca="false">IFERROR(INDEX('TRANS'!$C:$C,MATCH($B160,'TRANS'!$A:$A,0)),IFERROR(INDEX('Catalog'!$B:$B,MATCH($G160,'Catalog'!$A:$A,0)),$B160))</f>
        <v>45 S מגן ברך לבן</v>
      </c>
      <c r="I160" s="8" t="str">
        <f aca="false">IF($G160="","Unmatched","Matched")</f>
        <v>Matched</v>
      </c>
      <c r="J160" s="8" t="n">
        <f aca="false">IF($G160&lt;&gt;"",$G160,$B160)</f>
        <v>4413094</v>
      </c>
      <c r="K160" s="8" t="str">
        <f aca="false">IF(COUNTIF($M$1:$M$10,$A160)&gt;0,"Y","N")</f>
        <v>Y</v>
      </c>
    </row>
    <row r="161" customFormat="false" ht="15" hidden="false" customHeight="true" outlineLevel="0" collapsed="false">
      <c r="A161" s="8" t="s">
        <v>46</v>
      </c>
      <c r="B161" s="8" t="s">
        <v>674</v>
      </c>
      <c r="C161" s="19" t="n">
        <v>3</v>
      </c>
      <c r="D161" s="19" t="n">
        <v>91.53</v>
      </c>
      <c r="E161" s="19" t="n">
        <v>0</v>
      </c>
      <c r="F161" s="19" t="n">
        <v>0</v>
      </c>
      <c r="G161" s="8" t="n">
        <f aca="false">IFERROR(INDEX('TRANS'!$B:$B,MATCH($B161,'TRANS'!$A:$A,0)),IFERROR(INDEX('TRANS'!$B:$B,MATCH(TRIM(SUBSTITUTE($B161,CHAR(160)," ")),'TRANS'!$D:$D,0)),IFERROR(INDEX('Catalog'!$A:$A,MATCH($B161,'Catalog'!$B:$B,0)),IFERROR(INDEX('Catalog'!$A:$A,MATCH(TRIM(SUBSTITUTE($B161,CHAR(160)," ")),'Catalog'!$C:$C,0)),""))))</f>
        <v>4413095</v>
      </c>
      <c r="H161" s="8" t="str">
        <f aca="false">IFERROR(INDEX('TRANS'!$C:$C,MATCH($B161,'TRANS'!$A:$A,0)),IFERROR(INDEX('Catalog'!$B:$B,MATCH($G161,'Catalog'!$A:$A,0)),$B161))</f>
        <v>45 XL מגן ברך לבן</v>
      </c>
      <c r="I161" s="8" t="str">
        <f aca="false">IF($G161="","Unmatched","Matched")</f>
        <v>Matched</v>
      </c>
      <c r="J161" s="8" t="n">
        <f aca="false">IF($G161&lt;&gt;"",$G161,$B161)</f>
        <v>4413095</v>
      </c>
      <c r="K161" s="8" t="str">
        <f aca="false">IF(COUNTIF($M$1:$M$10,$A161)&gt;0,"Y","N")</f>
        <v>Y</v>
      </c>
    </row>
    <row r="162" customFormat="false" ht="15" hidden="false" customHeight="true" outlineLevel="0" collapsed="false">
      <c r="A162" s="8" t="s">
        <v>46</v>
      </c>
      <c r="B162" s="8" t="s">
        <v>675</v>
      </c>
      <c r="C162" s="19" t="n">
        <v>4</v>
      </c>
      <c r="D162" s="19" t="n">
        <v>133.86</v>
      </c>
      <c r="E162" s="19" t="n">
        <v>5</v>
      </c>
      <c r="F162" s="19" t="n">
        <v>154.46</v>
      </c>
      <c r="G162" s="8" t="n">
        <f aca="false">IFERROR(INDEX('TRANS'!$B:$B,MATCH($B162,'TRANS'!$A:$A,0)),IFERROR(INDEX('TRANS'!$B:$B,MATCH(TRIM(SUBSTITUTE($B162,CHAR(160)," ")),'TRANS'!$D:$D,0)),IFERROR(INDEX('Catalog'!$A:$A,MATCH($B162,'Catalog'!$B:$B,0)),IFERROR(INDEX('Catalog'!$A:$A,MATCH(TRIM(SUBSTITUTE($B162,CHAR(160)," ")),'Catalog'!$C:$C,0)),""))))</f>
        <v>4413495</v>
      </c>
      <c r="H162" s="8" t="str">
        <f aca="false">IFERROR(INDEX('TRANS'!$C:$C,MATCH($B162,'TRANS'!$A:$A,0)),IFERROR(INDEX('Catalog'!$B:$B,MATCH($G162,'Catalog'!$A:$A,0)),$B162))</f>
        <v>45B L מגן ברך שחור</v>
      </c>
      <c r="I162" s="8" t="str">
        <f aca="false">IF($G162="","Unmatched","Matched")</f>
        <v>Matched</v>
      </c>
      <c r="J162" s="8" t="n">
        <f aca="false">IF($G162&lt;&gt;"",$G162,$B162)</f>
        <v>4413495</v>
      </c>
      <c r="K162" s="8" t="str">
        <f aca="false">IF(COUNTIF($M$1:$M$10,$A162)&gt;0,"Y","N")</f>
        <v>Y</v>
      </c>
    </row>
    <row r="163" customFormat="false" ht="15" hidden="false" customHeight="true" outlineLevel="0" collapsed="false">
      <c r="A163" s="8" t="s">
        <v>46</v>
      </c>
      <c r="B163" s="8" t="s">
        <v>676</v>
      </c>
      <c r="C163" s="19" t="n">
        <v>13</v>
      </c>
      <c r="D163" s="19" t="n">
        <v>365.91</v>
      </c>
      <c r="E163" s="19" t="n">
        <v>5</v>
      </c>
      <c r="F163" s="19" t="n">
        <v>154.46</v>
      </c>
      <c r="G163" s="8" t="n">
        <f aca="false">IFERROR(INDEX('TRANS'!$B:$B,MATCH($B163,'TRANS'!$A:$A,0)),IFERROR(INDEX('TRANS'!$B:$B,MATCH(TRIM(SUBSTITUTE($B163,CHAR(160)," ")),'TRANS'!$D:$D,0)),IFERROR(INDEX('Catalog'!$A:$A,MATCH($B163,'Catalog'!$B:$B,0)),IFERROR(INDEX('Catalog'!$A:$A,MATCH(TRIM(SUBSTITUTE($B163,CHAR(160)," ")),'Catalog'!$C:$C,0)),""))))</f>
        <v>4413497</v>
      </c>
      <c r="H163" s="8" t="str">
        <f aca="false">IFERROR(INDEX('TRANS'!$C:$C,MATCH($B163,'TRANS'!$A:$A,0)),IFERROR(INDEX('Catalog'!$B:$B,MATCH($G163,'Catalog'!$A:$A,0)),$B163))</f>
        <v>45B M מגן ברך שחור</v>
      </c>
      <c r="I163" s="8" t="str">
        <f aca="false">IF($G163="","Unmatched","Matched")</f>
        <v>Matched</v>
      </c>
      <c r="J163" s="8" t="n">
        <f aca="false">IF($G163&lt;&gt;"",$G163,$B163)</f>
        <v>4413497</v>
      </c>
      <c r="K163" s="8" t="str">
        <f aca="false">IF(COUNTIF($M$1:$M$10,$A163)&gt;0,"Y","N")</f>
        <v>Y</v>
      </c>
    </row>
    <row r="164" customFormat="false" ht="15" hidden="false" customHeight="true" outlineLevel="0" collapsed="false">
      <c r="A164" s="8" t="s">
        <v>46</v>
      </c>
      <c r="B164" s="8" t="s">
        <v>677</v>
      </c>
      <c r="C164" s="19" t="n">
        <v>8</v>
      </c>
      <c r="D164" s="19" t="n">
        <v>245.99</v>
      </c>
      <c r="E164" s="19" t="n">
        <v>0</v>
      </c>
      <c r="F164" s="19" t="n">
        <v>0</v>
      </c>
      <c r="G164" s="8" t="n">
        <f aca="false">IFERROR(INDEX('TRANS'!$B:$B,MATCH($B164,'TRANS'!$A:$A,0)),IFERROR(INDEX('TRANS'!$B:$B,MATCH(TRIM(SUBSTITUTE($B164,CHAR(160)," ")),'TRANS'!$D:$D,0)),IFERROR(INDEX('Catalog'!$A:$A,MATCH($B164,'Catalog'!$B:$B,0)),IFERROR(INDEX('Catalog'!$A:$A,MATCH(TRIM(SUBSTITUTE($B164,CHAR(160)," ")),'Catalog'!$C:$C,0)),""))))</f>
        <v>4413098</v>
      </c>
      <c r="H164" s="8" t="str">
        <f aca="false">IFERROR(INDEX('TRANS'!$C:$C,MATCH($B164,'TRANS'!$A:$A,0)),IFERROR(INDEX('Catalog'!$B:$B,MATCH($G164,'Catalog'!$A:$A,0)),$B164))</f>
        <v>45C L מגן ברך חום</v>
      </c>
      <c r="I164" s="8" t="str">
        <f aca="false">IF($G164="","Unmatched","Matched")</f>
        <v>Matched</v>
      </c>
      <c r="J164" s="8" t="n">
        <f aca="false">IF($G164&lt;&gt;"",$G164,$B164)</f>
        <v>4413098</v>
      </c>
      <c r="K164" s="8" t="str">
        <f aca="false">IF(COUNTIF($M$1:$M$10,$A164)&gt;0,"Y","N")</f>
        <v>Y</v>
      </c>
    </row>
    <row r="165" customFormat="false" ht="15" hidden="false" customHeight="true" outlineLevel="0" collapsed="false">
      <c r="A165" s="8" t="s">
        <v>46</v>
      </c>
      <c r="B165" s="8" t="s">
        <v>678</v>
      </c>
      <c r="C165" s="19" t="n">
        <v>20</v>
      </c>
      <c r="D165" s="19" t="n">
        <v>613.74</v>
      </c>
      <c r="E165" s="19" t="n">
        <v>2</v>
      </c>
      <c r="F165" s="19" t="n">
        <v>61.78</v>
      </c>
      <c r="G165" s="8" t="n">
        <f aca="false">IFERROR(INDEX('TRANS'!$B:$B,MATCH($B165,'TRANS'!$A:$A,0)),IFERROR(INDEX('TRANS'!$B:$B,MATCH(TRIM(SUBSTITUTE($B165,CHAR(160)," ")),'TRANS'!$D:$D,0)),IFERROR(INDEX('Catalog'!$A:$A,MATCH($B165,'Catalog'!$B:$B,0)),IFERROR(INDEX('Catalog'!$A:$A,MATCH(TRIM(SUBSTITUTE($B165,CHAR(160)," ")),'Catalog'!$C:$C,0)),""))))</f>
        <v>4413099</v>
      </c>
      <c r="H165" s="8" t="str">
        <f aca="false">IFERROR(INDEX('TRANS'!$C:$C,MATCH($B165,'TRANS'!$A:$A,0)),IFERROR(INDEX('Catalog'!$B:$B,MATCH($G165,'Catalog'!$A:$A,0)),$B165))</f>
        <v>45C M מגן ברך חום</v>
      </c>
      <c r="I165" s="8" t="str">
        <f aca="false">IF($G165="","Unmatched","Matched")</f>
        <v>Matched</v>
      </c>
      <c r="J165" s="8" t="n">
        <f aca="false">IF($G165&lt;&gt;"",$G165,$B165)</f>
        <v>4413099</v>
      </c>
      <c r="K165" s="8" t="str">
        <f aca="false">IF(COUNTIF($M$1:$M$10,$A165)&gt;0,"Y","N")</f>
        <v>Y</v>
      </c>
    </row>
    <row r="166" customFormat="false" ht="15" hidden="false" customHeight="true" outlineLevel="0" collapsed="false">
      <c r="A166" s="8" t="s">
        <v>46</v>
      </c>
      <c r="B166" s="8" t="s">
        <v>679</v>
      </c>
      <c r="C166" s="19" t="n">
        <v>3</v>
      </c>
      <c r="D166" s="19" t="n">
        <v>92.68</v>
      </c>
      <c r="E166" s="19" t="n">
        <v>1</v>
      </c>
      <c r="F166" s="19" t="n">
        <v>30.89</v>
      </c>
      <c r="G166" s="8" t="n">
        <f aca="false">IFERROR(INDEX('TRANS'!$B:$B,MATCH($B166,'TRANS'!$A:$A,0)),IFERROR(INDEX('TRANS'!$B:$B,MATCH(TRIM(SUBSTITUTE($B166,CHAR(160)," ")),'TRANS'!$D:$D,0)),IFERROR(INDEX('Catalog'!$A:$A,MATCH($B166,'Catalog'!$B:$B,0)),IFERROR(INDEX('Catalog'!$A:$A,MATCH(TRIM(SUBSTITUTE($B166,CHAR(160)," ")),'Catalog'!$C:$C,0)),""))))</f>
        <v>4413097</v>
      </c>
      <c r="H166" s="8" t="str">
        <f aca="false">IFERROR(INDEX('TRANS'!$C:$C,MATCH($B166,'TRANS'!$A:$A,0)),IFERROR(INDEX('Catalog'!$B:$B,MATCH($G166,'Catalog'!$A:$A,0)),$B166))</f>
        <v>45C S מגן ברך חום</v>
      </c>
      <c r="I166" s="8" t="str">
        <f aca="false">IF($G166="","Unmatched","Matched")</f>
        <v>Matched</v>
      </c>
      <c r="J166" s="8" t="n">
        <f aca="false">IF($G166&lt;&gt;"",$G166,$B166)</f>
        <v>4413097</v>
      </c>
      <c r="K166" s="8" t="str">
        <f aca="false">IF(COUNTIF($M$1:$M$10,$A166)&gt;0,"Y","N")</f>
        <v>Y</v>
      </c>
    </row>
    <row r="167" customFormat="false" ht="15" hidden="false" customHeight="true" outlineLevel="0" collapsed="false">
      <c r="A167" s="8" t="s">
        <v>46</v>
      </c>
      <c r="B167" s="8" t="s">
        <v>680</v>
      </c>
      <c r="C167" s="19" t="n">
        <v>4</v>
      </c>
      <c r="D167" s="19" t="n">
        <v>123.57</v>
      </c>
      <c r="E167" s="19" t="n">
        <v>1</v>
      </c>
      <c r="F167" s="19" t="n">
        <v>30.89</v>
      </c>
      <c r="G167" s="8" t="n">
        <f aca="false">IFERROR(INDEX('TRANS'!$B:$B,MATCH($B167,'TRANS'!$A:$A,0)),IFERROR(INDEX('TRANS'!$B:$B,MATCH(TRIM(SUBSTITUTE($B167,CHAR(160)," ")),'TRANS'!$D:$D,0)),IFERROR(INDEX('Catalog'!$A:$A,MATCH($B167,'Catalog'!$B:$B,0)),IFERROR(INDEX('Catalog'!$A:$A,MATCH(TRIM(SUBSTITUTE($B167,CHAR(160)," ")),'Catalog'!$C:$C,0)),""))))</f>
        <v>4413100</v>
      </c>
      <c r="H167" s="8" t="str">
        <f aca="false">IFERROR(INDEX('TRANS'!$C:$C,MATCH($B167,'TRANS'!$A:$A,0)),IFERROR(INDEX('Catalog'!$B:$B,MATCH($G167,'Catalog'!$A:$A,0)),$B167))</f>
        <v>45C XL מגן ברך חום</v>
      </c>
      <c r="I167" s="8" t="str">
        <f aca="false">IF($G167="","Unmatched","Matched")</f>
        <v>Matched</v>
      </c>
      <c r="J167" s="8" t="n">
        <f aca="false">IF($G167&lt;&gt;"",$G167,$B167)</f>
        <v>4413100</v>
      </c>
      <c r="K167" s="8" t="str">
        <f aca="false">IF(COUNTIF($M$1:$M$10,$A167)&gt;0,"Y","N")</f>
        <v>Y</v>
      </c>
    </row>
    <row r="168" customFormat="false" ht="15" hidden="false" customHeight="true" outlineLevel="0" collapsed="false">
      <c r="A168" s="8" t="s">
        <v>46</v>
      </c>
      <c r="B168" s="8" t="s">
        <v>265</v>
      </c>
      <c r="C168" s="19" t="n">
        <v>2</v>
      </c>
      <c r="D168" s="19" t="n">
        <v>72.08</v>
      </c>
      <c r="E168" s="19" t="n">
        <v>0</v>
      </c>
      <c r="F168" s="19" t="n">
        <v>0</v>
      </c>
      <c r="G168" s="8" t="str">
        <f aca="false">IFERROR(INDEX('TRANS'!$B:$B,MATCH($B168,'TRANS'!$A:$A,0)),IFERROR(INDEX('TRANS'!$B:$B,MATCH(TRIM(SUBSTITUTE($B168,CHAR(160)," ")),'TRANS'!$D:$D,0)),IFERROR(INDEX('Catalog'!$A:$A,MATCH($B168,'Catalog'!$B:$B,0)),IFERROR(INDEX('Catalog'!$A:$A,MATCH(TRIM(SUBSTITUTE($B168,CHAR(160)," ")),'Catalog'!$C:$C,0)),""))))</f>
        <v/>
      </c>
      <c r="H168" s="8" t="str">
        <f aca="false">IFERROR(INDEX('TRANS'!$C:$C,MATCH($B168,'TRANS'!$A:$A,0)),IFERROR(INDEX('Catalog'!$B:$B,MATCH($G168,'Catalog'!$A:$A,0)),$B168))</f>
        <v>45C XS</v>
      </c>
      <c r="I168" s="8" t="str">
        <f aca="false">IF($G168="","Unmatched","Matched")</f>
        <v>Unmatched</v>
      </c>
      <c r="J168" s="8" t="str">
        <f aca="false">IF($G168&lt;&gt;"",$G168,$B168)</f>
        <v>45C XS</v>
      </c>
      <c r="K168" s="8" t="str">
        <f aca="false">IF(COUNTIF($M$1:$M$10,$A168)&gt;0,"Y","N")</f>
        <v>Y</v>
      </c>
    </row>
    <row r="169" customFormat="false" ht="15" hidden="false" customHeight="true" outlineLevel="0" collapsed="false">
      <c r="A169" s="8" t="s">
        <v>46</v>
      </c>
      <c r="B169" s="8" t="s">
        <v>84</v>
      </c>
      <c r="C169" s="19" t="n">
        <v>6</v>
      </c>
      <c r="D169" s="19" t="n">
        <v>184.21</v>
      </c>
      <c r="E169" s="19" t="n">
        <v>0</v>
      </c>
      <c r="F169" s="19" t="n">
        <v>0</v>
      </c>
      <c r="G169" s="8" t="str">
        <f aca="false">IFERROR(INDEX('TRANS'!$B:$B,MATCH($B169,'TRANS'!$A:$A,0)),IFERROR(INDEX('TRANS'!$B:$B,MATCH(TRIM(SUBSTITUTE($B169,CHAR(160)," ")),'TRANS'!$D:$D,0)),IFERROR(INDEX('Catalog'!$A:$A,MATCH($B169,'Catalog'!$B:$B,0)),IFERROR(INDEX('Catalog'!$A:$A,MATCH(TRIM(SUBSTITUTE($B169,CHAR(160)," ")),'Catalog'!$C:$C,0)),""))))</f>
        <v/>
      </c>
      <c r="H169" s="8" t="str">
        <f aca="false">IFERROR(INDEX('TRANS'!$C:$C,MATCH($B169,'TRANS'!$A:$A,0)),IFERROR(INDEX('Catalog'!$B:$B,MATCH($G169,'Catalog'!$A:$A,0)),$B169))</f>
        <v>45C XXL</v>
      </c>
      <c r="I169" s="8" t="str">
        <f aca="false">IF($G169="","Unmatched","Matched")</f>
        <v>Unmatched</v>
      </c>
      <c r="J169" s="8" t="str">
        <f aca="false">IF($G169&lt;&gt;"",$G169,$B169)</f>
        <v>45C XXL</v>
      </c>
      <c r="K169" s="8" t="str">
        <f aca="false">IF(COUNTIF($M$1:$M$10,$A169)&gt;0,"Y","N")</f>
        <v>Y</v>
      </c>
    </row>
    <row r="170" customFormat="false" ht="15" hidden="false" customHeight="true" outlineLevel="0" collapsed="false">
      <c r="A170" s="8" t="s">
        <v>46</v>
      </c>
      <c r="B170" s="8" t="s">
        <v>681</v>
      </c>
      <c r="C170" s="19" t="n">
        <v>0</v>
      </c>
      <c r="D170" s="19" t="n">
        <v>0</v>
      </c>
      <c r="E170" s="19" t="n">
        <v>6</v>
      </c>
      <c r="F170" s="19" t="n">
        <v>224.72</v>
      </c>
      <c r="G170" s="8" t="n">
        <f aca="false">IFERROR(INDEX('TRANS'!$B:$B,MATCH($B170,'TRANS'!$A:$A,0)),IFERROR(INDEX('TRANS'!$B:$B,MATCH(TRIM(SUBSTITUTE($B170,CHAR(160)," ")),'TRANS'!$D:$D,0)),IFERROR(INDEX('Catalog'!$A:$A,MATCH($B170,'Catalog'!$B:$B,0)),IFERROR(INDEX('Catalog'!$A:$A,MATCH(TRIM(SUBSTITUTE($B170,CHAR(160)," ")),'Catalog'!$C:$C,0)),""))))</f>
        <v>4413104</v>
      </c>
      <c r="H170" s="8" t="str">
        <f aca="false">IFERROR(INDEX('TRANS'!$C:$C,MATCH($B170,'TRANS'!$A:$A,0)),IFERROR(INDEX('Catalog'!$B:$B,MATCH($G170,'Catalog'!$A:$A,0)),$B170))</f>
        <v>45E XLמגן ברך ארוך לבן</v>
      </c>
      <c r="I170" s="8" t="str">
        <f aca="false">IF($G170="","Unmatched","Matched")</f>
        <v>Matched</v>
      </c>
      <c r="J170" s="8" t="n">
        <f aca="false">IF($G170&lt;&gt;"",$G170,$B170)</f>
        <v>4413104</v>
      </c>
      <c r="K170" s="8" t="str">
        <f aca="false">IF(COUNTIF($M$1:$M$10,$A170)&gt;0,"Y","N")</f>
        <v>Y</v>
      </c>
    </row>
    <row r="171" customFormat="false" ht="15" hidden="false" customHeight="true" outlineLevel="0" collapsed="false">
      <c r="A171" s="8" t="s">
        <v>46</v>
      </c>
      <c r="B171" s="8" t="s">
        <v>682</v>
      </c>
      <c r="C171" s="19" t="n">
        <v>1</v>
      </c>
      <c r="D171" s="19" t="n">
        <v>37.46</v>
      </c>
      <c r="E171" s="19" t="n">
        <v>0</v>
      </c>
      <c r="F171" s="19" t="n">
        <v>0</v>
      </c>
      <c r="G171" s="8" t="n">
        <f aca="false">IFERROR(INDEX('TRANS'!$B:$B,MATCH($B171,'TRANS'!$A:$A,0)),IFERROR(INDEX('TRANS'!$B:$B,MATCH(TRIM(SUBSTITUTE($B171,CHAR(160)," ")),'TRANS'!$D:$D,0)),IFERROR(INDEX('Catalog'!$A:$A,MATCH($B171,'Catalog'!$B:$B,0)),IFERROR(INDEX('Catalog'!$A:$A,MATCH(TRIM(SUBSTITUTE($B171,CHAR(160)," ")),'Catalog'!$C:$C,0)),""))))</f>
        <v>4413105</v>
      </c>
      <c r="H171" s="8" t="str">
        <f aca="false">IFERROR(INDEX('TRANS'!$C:$C,MATCH($B171,'TRANS'!$A:$A,0)),IFERROR(INDEX('Catalog'!$B:$B,MATCH($G171,'Catalog'!$A:$A,0)),$B171))</f>
        <v>45E XXLמגן ברך ארוך לבן</v>
      </c>
      <c r="I171" s="8" t="str">
        <f aca="false">IF($G171="","Unmatched","Matched")</f>
        <v>Matched</v>
      </c>
      <c r="J171" s="8" t="n">
        <f aca="false">IF($G171&lt;&gt;"",$G171,$B171)</f>
        <v>4413105</v>
      </c>
      <c r="K171" s="8" t="str">
        <f aca="false">IF(COUNTIF($M$1:$M$10,$A171)&gt;0,"Y","N")</f>
        <v>Y</v>
      </c>
    </row>
    <row r="172" customFormat="false" ht="15" hidden="false" customHeight="true" outlineLevel="0" collapsed="false">
      <c r="A172" s="8" t="s">
        <v>46</v>
      </c>
      <c r="B172" s="8" t="s">
        <v>683</v>
      </c>
      <c r="C172" s="19" t="n">
        <v>5</v>
      </c>
      <c r="D172" s="19" t="n">
        <v>185.69</v>
      </c>
      <c r="E172" s="19" t="n">
        <v>0</v>
      </c>
      <c r="F172" s="19" t="n">
        <v>0</v>
      </c>
      <c r="G172" s="8" t="n">
        <f aca="false">IFERROR(INDEX('TRANS'!$B:$B,MATCH($B172,'TRANS'!$A:$A,0)),IFERROR(INDEX('TRANS'!$B:$B,MATCH(TRIM(SUBSTITUTE($B172,CHAR(160)," ")),'TRANS'!$D:$D,0)),IFERROR(INDEX('Catalog'!$A:$A,MATCH($B172,'Catalog'!$B:$B,0)),IFERROR(INDEX('Catalog'!$A:$A,MATCH(TRIM(SUBSTITUTE($B172,CHAR(160)," ")),'Catalog'!$C:$C,0)),""))))</f>
        <v>4413396</v>
      </c>
      <c r="H172" s="8" t="str">
        <f aca="false">IFERROR(INDEX('TRANS'!$C:$C,MATCH($B172,'TRANS'!$A:$A,0)),IFERROR(INDEX('Catalog'!$B:$B,MATCH($G172,'Catalog'!$A:$A,0)),$B172))</f>
        <v>45EC L 'מגן ברך ארוך בז</v>
      </c>
      <c r="I172" s="8" t="str">
        <f aca="false">IF($G172="","Unmatched","Matched")</f>
        <v>Matched</v>
      </c>
      <c r="J172" s="8" t="n">
        <f aca="false">IF($G172&lt;&gt;"",$G172,$B172)</f>
        <v>4413396</v>
      </c>
      <c r="K172" s="8" t="str">
        <f aca="false">IF(COUNTIF($M$1:$M$10,$A172)&gt;0,"Y","N")</f>
        <v>Y</v>
      </c>
    </row>
    <row r="173" customFormat="false" ht="15" hidden="false" customHeight="true" outlineLevel="0" collapsed="false">
      <c r="A173" s="8" t="s">
        <v>46</v>
      </c>
      <c r="B173" s="8" t="s">
        <v>684</v>
      </c>
      <c r="C173" s="19" t="n">
        <v>5</v>
      </c>
      <c r="D173" s="19" t="n">
        <v>199.76</v>
      </c>
      <c r="E173" s="19" t="n">
        <v>2</v>
      </c>
      <c r="F173" s="19" t="n">
        <v>74.91</v>
      </c>
      <c r="G173" s="8" t="n">
        <f aca="false">IFERROR(INDEX('TRANS'!$B:$B,MATCH($B173,'TRANS'!$A:$A,0)),IFERROR(INDEX('TRANS'!$B:$B,MATCH(TRIM(SUBSTITUTE($B173,CHAR(160)," ")),'TRANS'!$D:$D,0)),IFERROR(INDEX('Catalog'!$A:$A,MATCH($B173,'Catalog'!$B:$B,0)),IFERROR(INDEX('Catalog'!$A:$A,MATCH(TRIM(SUBSTITUTE($B173,CHAR(160)," ")),'Catalog'!$C:$C,0)),""))))</f>
        <v>4413395</v>
      </c>
      <c r="H173" s="8" t="str">
        <f aca="false">IFERROR(INDEX('TRANS'!$C:$C,MATCH($B173,'TRANS'!$A:$A,0)),IFERROR(INDEX('Catalog'!$B:$B,MATCH($G173,'Catalog'!$A:$A,0)),$B173))</f>
        <v>45EC M 'מגן ברך ארוך בז</v>
      </c>
      <c r="I173" s="8" t="str">
        <f aca="false">IF($G173="","Unmatched","Matched")</f>
        <v>Matched</v>
      </c>
      <c r="J173" s="8" t="n">
        <f aca="false">IF($G173&lt;&gt;"",$G173,$B173)</f>
        <v>4413395</v>
      </c>
      <c r="K173" s="8" t="str">
        <f aca="false">IF(COUNTIF($M$1:$M$10,$A173)&gt;0,"Y","N")</f>
        <v>Y</v>
      </c>
    </row>
    <row r="174" customFormat="false" ht="15" hidden="false" customHeight="true" outlineLevel="0" collapsed="false">
      <c r="A174" s="8" t="s">
        <v>46</v>
      </c>
      <c r="B174" s="8" t="s">
        <v>685</v>
      </c>
      <c r="C174" s="19" t="n">
        <v>3</v>
      </c>
      <c r="D174" s="19" t="n">
        <v>110.82</v>
      </c>
      <c r="E174" s="19" t="n">
        <v>0</v>
      </c>
      <c r="F174" s="19" t="n">
        <v>0</v>
      </c>
      <c r="G174" s="8" t="n">
        <f aca="false">IFERROR(INDEX('TRANS'!$B:$B,MATCH($B174,'TRANS'!$A:$A,0)),IFERROR(INDEX('TRANS'!$B:$B,MATCH(TRIM(SUBSTITUTE($B174,CHAR(160)," ")),'TRANS'!$D:$D,0)),IFERROR(INDEX('Catalog'!$A:$A,MATCH($B174,'Catalog'!$B:$B,0)),IFERROR(INDEX('Catalog'!$A:$A,MATCH(TRIM(SUBSTITUTE($B174,CHAR(160)," ")),'Catalog'!$C:$C,0)),""))))</f>
        <v>4413397</v>
      </c>
      <c r="H174" s="8" t="str">
        <f aca="false">IFERROR(INDEX('TRANS'!$C:$C,MATCH($B174,'TRANS'!$A:$A,0)),IFERROR(INDEX('Catalog'!$B:$B,MATCH($G174,'Catalog'!$A:$A,0)),$B174))</f>
        <v>45EC XL'מגן ברך ארוך בז</v>
      </c>
      <c r="I174" s="8" t="str">
        <f aca="false">IF($G174="","Unmatched","Matched")</f>
        <v>Matched</v>
      </c>
      <c r="J174" s="8" t="n">
        <f aca="false">IF($G174&lt;&gt;"",$G174,$B174)</f>
        <v>4413397</v>
      </c>
      <c r="K174" s="8" t="str">
        <f aca="false">IF(COUNTIF($M$1:$M$10,$A174)&gt;0,"Y","N")</f>
        <v>Y</v>
      </c>
    </row>
    <row r="175" customFormat="false" ht="15" hidden="false" customHeight="true" outlineLevel="0" collapsed="false">
      <c r="A175" s="8" t="s">
        <v>46</v>
      </c>
      <c r="B175" s="8" t="s">
        <v>686</v>
      </c>
      <c r="C175" s="19" t="n">
        <v>4</v>
      </c>
      <c r="D175" s="19" t="n">
        <v>148.24</v>
      </c>
      <c r="E175" s="19" t="n">
        <v>1</v>
      </c>
      <c r="F175" s="19" t="n">
        <v>37.46</v>
      </c>
      <c r="G175" s="8" t="n">
        <f aca="false">IFERROR(INDEX('TRANS'!$B:$B,MATCH($B175,'TRANS'!$A:$A,0)),IFERROR(INDEX('TRANS'!$B:$B,MATCH(TRIM(SUBSTITUTE($B175,CHAR(160)," ")),'TRANS'!$D:$D,0)),IFERROR(INDEX('Catalog'!$A:$A,MATCH($B175,'Catalog'!$B:$B,0)),IFERROR(INDEX('Catalog'!$A:$A,MATCH(TRIM(SUBSTITUTE($B175,CHAR(160)," ")),'Catalog'!$C:$C,0)),""))))</f>
        <v>4413398</v>
      </c>
      <c r="H175" s="8" t="str">
        <f aca="false">IFERROR(INDEX('TRANS'!$C:$C,MATCH($B175,'TRANS'!$A:$A,0)),IFERROR(INDEX('Catalog'!$B:$B,MATCH($G175,'Catalog'!$A:$A,0)),$B175))</f>
        <v>45EC XXL'מגן ברך ארוך בז</v>
      </c>
      <c r="I175" s="8" t="str">
        <f aca="false">IF($G175="","Unmatched","Matched")</f>
        <v>Matched</v>
      </c>
      <c r="J175" s="8" t="n">
        <f aca="false">IF($G175&lt;&gt;"",$G175,$B175)</f>
        <v>4413398</v>
      </c>
      <c r="K175" s="8" t="str">
        <f aca="false">IF(COUNTIF($M$1:$M$10,$A175)&gt;0,"Y","N")</f>
        <v>Y</v>
      </c>
    </row>
    <row r="176" customFormat="false" ht="15" hidden="false" customHeight="true" outlineLevel="0" collapsed="false">
      <c r="A176" s="8" t="s">
        <v>46</v>
      </c>
      <c r="B176" s="8" t="s">
        <v>217</v>
      </c>
      <c r="C176" s="19" t="n">
        <v>1</v>
      </c>
      <c r="D176" s="19" t="n">
        <v>56.67</v>
      </c>
      <c r="E176" s="19" t="n">
        <v>0</v>
      </c>
      <c r="F176" s="19" t="n">
        <v>0</v>
      </c>
      <c r="G176" s="8" t="str">
        <f aca="false">IFERROR(INDEX('TRANS'!$B:$B,MATCH($B176,'TRANS'!$A:$A,0)),IFERROR(INDEX('TRANS'!$B:$B,MATCH(TRIM(SUBSTITUTE($B176,CHAR(160)," ")),'TRANS'!$D:$D,0)),IFERROR(INDEX('Catalog'!$A:$A,MATCH($B176,'Catalog'!$B:$B,0)),IFERROR(INDEX('Catalog'!$A:$A,MATCH(TRIM(SUBSTITUTE($B176,CHAR(160)," ")),'Catalog'!$C:$C,0)),""))))</f>
        <v/>
      </c>
      <c r="H176" s="8" t="str">
        <f aca="false">IFERROR(INDEX('TRANS'!$C:$C,MATCH($B176,'TRANS'!$A:$A,0)),IFERROR(INDEX('Catalog'!$B:$B,MATCH($G176,'Catalog'!$A:$A,0)),$B176))</f>
        <v>48 XXL</v>
      </c>
      <c r="I176" s="8" t="str">
        <f aca="false">IF($G176="","Unmatched","Matched")</f>
        <v>Unmatched</v>
      </c>
      <c r="J176" s="8" t="str">
        <f aca="false">IF($G176&lt;&gt;"",$G176,$B176)</f>
        <v>48 XXL</v>
      </c>
      <c r="K176" s="8" t="str">
        <f aca="false">IF(COUNTIF($M$1:$M$10,$A176)&gt;0,"Y","N")</f>
        <v>Y</v>
      </c>
    </row>
    <row r="177" customFormat="false" ht="15" hidden="false" customHeight="true" outlineLevel="0" collapsed="false">
      <c r="A177" s="8" t="s">
        <v>46</v>
      </c>
      <c r="B177" s="8" t="s">
        <v>687</v>
      </c>
      <c r="C177" s="19" t="n">
        <v>1</v>
      </c>
      <c r="D177" s="19" t="n">
        <v>84.32</v>
      </c>
      <c r="E177" s="19" t="n">
        <v>0</v>
      </c>
      <c r="F177" s="19" t="n">
        <v>0</v>
      </c>
      <c r="G177" s="8" t="n">
        <f aca="false">IFERROR(INDEX('TRANS'!$B:$B,MATCH($B177,'TRANS'!$A:$A,0)),IFERROR(INDEX('TRANS'!$B:$B,MATCH(TRIM(SUBSTITUTE($B177,CHAR(160)," ")),'TRANS'!$D:$D,0)),IFERROR(INDEX('Catalog'!$A:$A,MATCH($B177,'Catalog'!$B:$B,0)),IFERROR(INDEX('Catalog'!$A:$A,MATCH(TRIM(SUBSTITUTE($B177,CHAR(160)," ")),'Catalog'!$C:$C,0)),""))))</f>
        <v>4413124</v>
      </c>
      <c r="H177" s="8" t="str">
        <f aca="false">IFERROR(INDEX('TRANS'!$C:$C,MATCH($B177,'TRANS'!$A:$A,0)),IFERROR(INDEX('Catalog'!$B:$B,MATCH($G177,'Catalog'!$A:$A,0)),$B177))</f>
        <v>55 XL מתלה אשכים לספורטאים</v>
      </c>
      <c r="I177" s="8" t="str">
        <f aca="false">IF($G177="","Unmatched","Matched")</f>
        <v>Matched</v>
      </c>
      <c r="J177" s="8" t="n">
        <f aca="false">IF($G177&lt;&gt;"",$G177,$B177)</f>
        <v>4413124</v>
      </c>
      <c r="K177" s="8" t="str">
        <f aca="false">IF(COUNTIF($M$1:$M$10,$A177)&gt;0,"Y","N")</f>
        <v>Y</v>
      </c>
    </row>
    <row r="178" customFormat="false" ht="15" hidden="false" customHeight="true" outlineLevel="0" collapsed="false">
      <c r="A178" s="8" t="s">
        <v>46</v>
      </c>
      <c r="B178" s="8" t="s">
        <v>688</v>
      </c>
      <c r="C178" s="19" t="n">
        <v>5</v>
      </c>
      <c r="D178" s="19" t="n">
        <v>874.8</v>
      </c>
      <c r="E178" s="19" t="n">
        <v>2</v>
      </c>
      <c r="F178" s="19" t="n">
        <v>280.01</v>
      </c>
      <c r="G178" s="8" t="n">
        <f aca="false">IFERROR(INDEX('TRANS'!$B:$B,MATCH($B178,'TRANS'!$A:$A,0)),IFERROR(INDEX('TRANS'!$B:$B,MATCH(TRIM(SUBSTITUTE($B178,CHAR(160)," ")),'TRANS'!$D:$D,0)),IFERROR(INDEX('Catalog'!$A:$A,MATCH($B178,'Catalog'!$B:$B,0)),IFERROR(INDEX('Catalog'!$A:$A,MATCH(TRIM(SUBSTITUTE($B178,CHAR(160)," ")),'Catalog'!$C:$C,0)),""))))</f>
        <v>4408076</v>
      </c>
      <c r="H178" s="8" t="str">
        <f aca="false">IFERROR(INDEX('TRANS'!$C:$C,MATCH($B178,'TRANS'!$A:$A,0)),IFERROR(INDEX('Catalog'!$B:$B,MATCH($G178,'Catalog'!$A:$A,0)),$B178))</f>
        <v>59L L חגורת שבר לצד שמאל</v>
      </c>
      <c r="I178" s="8" t="str">
        <f aca="false">IF($G178="","Unmatched","Matched")</f>
        <v>Matched</v>
      </c>
      <c r="J178" s="8" t="n">
        <f aca="false">IF($G178&lt;&gt;"",$G178,$B178)</f>
        <v>4408076</v>
      </c>
      <c r="K178" s="8" t="str">
        <f aca="false">IF(COUNTIF($M$1:$M$10,$A178)&gt;0,"Y","N")</f>
        <v>Y</v>
      </c>
    </row>
    <row r="179" customFormat="false" ht="15" hidden="false" customHeight="true" outlineLevel="0" collapsed="false">
      <c r="A179" s="8" t="s">
        <v>46</v>
      </c>
      <c r="B179" s="8" t="s">
        <v>409</v>
      </c>
      <c r="C179" s="19" t="n">
        <v>2</v>
      </c>
      <c r="D179" s="19" t="n">
        <v>312.45</v>
      </c>
      <c r="E179" s="19" t="n">
        <v>0</v>
      </c>
      <c r="F179" s="19" t="n">
        <v>0</v>
      </c>
      <c r="G179" s="8" t="str">
        <f aca="false">IFERROR(INDEX('TRANS'!$B:$B,MATCH($B179,'TRANS'!$A:$A,0)),IFERROR(INDEX('TRANS'!$B:$B,MATCH(TRIM(SUBSTITUTE($B179,CHAR(160)," ")),'TRANS'!$D:$D,0)),IFERROR(INDEX('Catalog'!$A:$A,MATCH($B179,'Catalog'!$B:$B,0)),IFERROR(INDEX('Catalog'!$A:$A,MATCH(TRIM(SUBSTITUTE($B179,CHAR(160)," ")),'Catalog'!$C:$C,0)),""))))</f>
        <v/>
      </c>
      <c r="H179" s="8" t="str">
        <f aca="false">IFERROR(INDEX('TRANS'!$C:$C,MATCH($B179,'TRANS'!$A:$A,0)),IFERROR(INDEX('Catalog'!$B:$B,MATCH($G179,'Catalog'!$A:$A,0)),$B179))</f>
        <v>59L XXL</v>
      </c>
      <c r="I179" s="8" t="str">
        <f aca="false">IF($G179="","Unmatched","Matched")</f>
        <v>Unmatched</v>
      </c>
      <c r="J179" s="8" t="str">
        <f aca="false">IF($G179&lt;&gt;"",$G179,$B179)</f>
        <v>59L XXL</v>
      </c>
      <c r="K179" s="8" t="str">
        <f aca="false">IF(COUNTIF($M$1:$M$10,$A179)&gt;0,"Y","N")</f>
        <v>Y</v>
      </c>
    </row>
    <row r="180" customFormat="false" ht="15" hidden="false" customHeight="true" outlineLevel="0" collapsed="false">
      <c r="A180" s="8" t="s">
        <v>46</v>
      </c>
      <c r="B180" s="8" t="s">
        <v>689</v>
      </c>
      <c r="C180" s="19" t="n">
        <v>2</v>
      </c>
      <c r="D180" s="19" t="n">
        <v>371.77</v>
      </c>
      <c r="E180" s="19" t="n">
        <v>2</v>
      </c>
      <c r="F180" s="19" t="n">
        <v>280</v>
      </c>
      <c r="G180" s="8" t="n">
        <f aca="false">IFERROR(INDEX('TRANS'!$B:$B,MATCH($B180,'TRANS'!$A:$A,0)),IFERROR(INDEX('TRANS'!$B:$B,MATCH(TRIM(SUBSTITUTE($B180,CHAR(160)," ")),'TRANS'!$D:$D,0)),IFERROR(INDEX('Catalog'!$A:$A,MATCH($B180,'Catalog'!$B:$B,0)),IFERROR(INDEX('Catalog'!$A:$A,MATCH(TRIM(SUBSTITUTE($B180,CHAR(160)," ")),'Catalog'!$C:$C,0)),""))))</f>
        <v>4408081</v>
      </c>
      <c r="H180" s="8" t="str">
        <f aca="false">IFERROR(INDEX('TRANS'!$C:$C,MATCH($B180,'TRANS'!$A:$A,0)),IFERROR(INDEX('Catalog'!$B:$B,MATCH($G180,'Catalog'!$A:$A,0)),$B180))</f>
        <v>59R M חגורת שבר לצד ימין</v>
      </c>
      <c r="I180" s="8" t="str">
        <f aca="false">IF($G180="","Unmatched","Matched")</f>
        <v>Matched</v>
      </c>
      <c r="J180" s="8" t="n">
        <f aca="false">IF($G180&lt;&gt;"",$G180,$B180)</f>
        <v>4408081</v>
      </c>
      <c r="K180" s="8" t="str">
        <f aca="false">IF(COUNTIF($M$1:$M$10,$A180)&gt;0,"Y","N")</f>
        <v>Y</v>
      </c>
    </row>
    <row r="181" customFormat="false" ht="15" hidden="false" customHeight="true" outlineLevel="0" collapsed="false">
      <c r="A181" s="8" t="s">
        <v>46</v>
      </c>
      <c r="B181" s="8" t="s">
        <v>690</v>
      </c>
      <c r="C181" s="19" t="n">
        <v>5</v>
      </c>
      <c r="D181" s="19" t="n">
        <v>880.41</v>
      </c>
      <c r="E181" s="19" t="n">
        <v>0</v>
      </c>
      <c r="F181" s="19" t="n">
        <v>0</v>
      </c>
      <c r="G181" s="8" t="n">
        <f aca="false">IFERROR(INDEX('TRANS'!$B:$B,MATCH($B181,'TRANS'!$A:$A,0)),IFERROR(INDEX('TRANS'!$B:$B,MATCH(TRIM(SUBSTITUTE($B181,CHAR(160)," ")),'TRANS'!$D:$D,0)),IFERROR(INDEX('Catalog'!$A:$A,MATCH($B181,'Catalog'!$B:$B,0)),IFERROR(INDEX('Catalog'!$A:$A,MATCH(TRIM(SUBSTITUTE($B181,CHAR(160)," ")),'Catalog'!$C:$C,0)),""))))</f>
        <v>4408079</v>
      </c>
      <c r="H181" s="8" t="str">
        <f aca="false">IFERROR(INDEX('TRANS'!$C:$C,MATCH($B181,'TRANS'!$A:$A,0)),IFERROR(INDEX('Catalog'!$B:$B,MATCH($G181,'Catalog'!$A:$A,0)),$B181))</f>
        <v>59R S חגורת שבר לצד ימין</v>
      </c>
      <c r="I181" s="8" t="str">
        <f aca="false">IF($G181="","Unmatched","Matched")</f>
        <v>Matched</v>
      </c>
      <c r="J181" s="8" t="n">
        <f aca="false">IF($G181&lt;&gt;"",$G181,$B181)</f>
        <v>4408079</v>
      </c>
      <c r="K181" s="8" t="str">
        <f aca="false">IF(COUNTIF($M$1:$M$10,$A181)&gt;0,"Y","N")</f>
        <v>Y</v>
      </c>
    </row>
    <row r="182" customFormat="false" ht="15" hidden="false" customHeight="true" outlineLevel="0" collapsed="false">
      <c r="A182" s="8" t="s">
        <v>46</v>
      </c>
      <c r="B182" s="8" t="s">
        <v>691</v>
      </c>
      <c r="C182" s="19" t="n">
        <v>5</v>
      </c>
      <c r="D182" s="19" t="n">
        <v>247.99</v>
      </c>
      <c r="E182" s="19" t="n">
        <v>7</v>
      </c>
      <c r="F182" s="19" t="n">
        <v>347.45</v>
      </c>
      <c r="G182" s="8" t="n">
        <f aca="false">IFERROR(INDEX('TRANS'!$B:$B,MATCH($B182,'TRANS'!$A:$A,0)),IFERROR(INDEX('TRANS'!$B:$B,MATCH(TRIM(SUBSTITUTE($B182,CHAR(160)," ")),'TRANS'!$D:$D,0)),IFERROR(INDEX('Catalog'!$A:$A,MATCH($B182,'Catalog'!$B:$B,0)),IFERROR(INDEX('Catalog'!$A:$A,MATCH(TRIM(SUBSTITUTE($B182,CHAR(160)," ")),'Catalog'!$C:$C,0)),""))))</f>
        <v>4418001</v>
      </c>
      <c r="H182" s="8" t="str">
        <f aca="false">IFERROR(INDEX('TRANS'!$C:$C,MATCH($B182,'TRANS'!$A:$A,0)),IFERROR(INDEX('Catalog'!$B:$B,MATCH($G182,'Catalog'!$A:$A,0)),$B182))</f>
        <v>60 M צוארון ספוגי</v>
      </c>
      <c r="I182" s="8" t="str">
        <f aca="false">IF($G182="","Unmatched","Matched")</f>
        <v>Matched</v>
      </c>
      <c r="J182" s="8" t="n">
        <f aca="false">IF($G182&lt;&gt;"",$G182,$B182)</f>
        <v>4418001</v>
      </c>
      <c r="K182" s="8" t="str">
        <f aca="false">IF(COUNTIF($M$1:$M$10,$A182)&gt;0,"Y","N")</f>
        <v>Y</v>
      </c>
    </row>
    <row r="183" customFormat="false" ht="15" hidden="false" customHeight="true" outlineLevel="0" collapsed="false">
      <c r="A183" s="8" t="s">
        <v>46</v>
      </c>
      <c r="B183" s="8" t="s">
        <v>692</v>
      </c>
      <c r="C183" s="19" t="n">
        <v>5</v>
      </c>
      <c r="D183" s="19" t="n">
        <v>248.17</v>
      </c>
      <c r="E183" s="19" t="n">
        <v>0</v>
      </c>
      <c r="F183" s="19" t="n">
        <v>0</v>
      </c>
      <c r="G183" s="8" t="n">
        <f aca="false">IFERROR(INDEX('TRANS'!$B:$B,MATCH($B183,'TRANS'!$A:$A,0)),IFERROR(INDEX('TRANS'!$B:$B,MATCH(TRIM(SUBSTITUTE($B183,CHAR(160)," ")),'TRANS'!$D:$D,0)),IFERROR(INDEX('Catalog'!$A:$A,MATCH($B183,'Catalog'!$B:$B,0)),IFERROR(INDEX('Catalog'!$A:$A,MATCH(TRIM(SUBSTITUTE($B183,CHAR(160)," ")),'Catalog'!$C:$C,0)),""))))</f>
        <v>4418002</v>
      </c>
      <c r="H183" s="8" t="str">
        <f aca="false">IFERROR(INDEX('TRANS'!$C:$C,MATCH($B183,'TRANS'!$A:$A,0)),IFERROR(INDEX('Catalog'!$B:$B,MATCH($G183,'Catalog'!$A:$A,0)),$B183))</f>
        <v>60 S צוארון ספוגי</v>
      </c>
      <c r="I183" s="8" t="str">
        <f aca="false">IF($G183="","Unmatched","Matched")</f>
        <v>Matched</v>
      </c>
      <c r="J183" s="8" t="n">
        <f aca="false">IF($G183&lt;&gt;"",$G183,$B183)</f>
        <v>4418002</v>
      </c>
      <c r="K183" s="8" t="str">
        <f aca="false">IF(COUNTIF($M$1:$M$10,$A183)&gt;0,"Y","N")</f>
        <v>Y</v>
      </c>
    </row>
    <row r="184" customFormat="false" ht="15" hidden="false" customHeight="true" outlineLevel="0" collapsed="false">
      <c r="A184" s="8" t="s">
        <v>46</v>
      </c>
      <c r="B184" s="8" t="s">
        <v>218</v>
      </c>
      <c r="C184" s="19" t="n">
        <v>1</v>
      </c>
      <c r="D184" s="19" t="n">
        <v>46.82</v>
      </c>
      <c r="E184" s="19" t="n">
        <v>0</v>
      </c>
      <c r="F184" s="19" t="n">
        <v>0</v>
      </c>
      <c r="G184" s="8" t="str">
        <f aca="false">IFERROR(INDEX('TRANS'!$B:$B,MATCH($B184,'TRANS'!$A:$A,0)),IFERROR(INDEX('TRANS'!$B:$B,MATCH(TRIM(SUBSTITUTE($B184,CHAR(160)," ")),'TRANS'!$D:$D,0)),IFERROR(INDEX('Catalog'!$A:$A,MATCH($B184,'Catalog'!$B:$B,0)),IFERROR(INDEX('Catalog'!$A:$A,MATCH(TRIM(SUBSTITUTE($B184,CHAR(160)," ")),'Catalog'!$C:$C,0)),""))))</f>
        <v/>
      </c>
      <c r="H184" s="8" t="str">
        <f aca="false">IFERROR(INDEX('TRANS'!$C:$C,MATCH($B184,'TRANS'!$A:$A,0)),IFERROR(INDEX('Catalog'!$B:$B,MATCH($G184,'Catalog'!$A:$A,0)),$B184))</f>
        <v>61 S</v>
      </c>
      <c r="I184" s="8" t="str">
        <f aca="false">IF($G184="","Unmatched","Matched")</f>
        <v>Unmatched</v>
      </c>
      <c r="J184" s="8" t="str">
        <f aca="false">IF($G184&lt;&gt;"",$G184,$B184)</f>
        <v>61 S</v>
      </c>
      <c r="K184" s="8" t="str">
        <f aca="false">IF(COUNTIF($M$1:$M$10,$A184)&gt;0,"Y","N")</f>
        <v>Y</v>
      </c>
    </row>
    <row r="185" customFormat="false" ht="15" hidden="false" customHeight="true" outlineLevel="0" collapsed="false">
      <c r="A185" s="8" t="s">
        <v>46</v>
      </c>
      <c r="B185" s="8" t="s">
        <v>45</v>
      </c>
      <c r="C185" s="19" t="n">
        <v>186</v>
      </c>
      <c r="D185" s="19" t="n">
        <v>25326.99</v>
      </c>
      <c r="E185" s="19" t="n">
        <v>80</v>
      </c>
      <c r="F185" s="19" t="n">
        <v>14621.8</v>
      </c>
      <c r="G185" s="8" t="str">
        <f aca="false">IFERROR(INDEX('TRANS'!$B:$B,MATCH($B185,'TRANS'!$A:$A,0)),IFERROR(INDEX('TRANS'!$B:$B,MATCH(TRIM(SUBSTITUTE($B185,CHAR(160)," ")),'TRANS'!$D:$D,0)),IFERROR(INDEX('Catalog'!$A:$A,MATCH($B185,'Catalog'!$B:$B,0)),IFERROR(INDEX('Catalog'!$A:$A,MATCH(TRIM(SUBSTITUTE($B185,CHAR(160)," ")),'Catalog'!$C:$C,0)),""))))</f>
        <v/>
      </c>
      <c r="H185" s="8" t="str">
        <f aca="false">IFERROR(INDEX('TRANS'!$C:$C,MATCH($B185,'TRANS'!$A:$A,0)),IFERROR(INDEX('Catalog'!$B:$B,MATCH($G185,'Catalog'!$A:$A,0)),$B185))</f>
        <v>67 0</v>
      </c>
      <c r="I185" s="8" t="str">
        <f aca="false">IF($G185="","Unmatched","Matched")</f>
        <v>Unmatched</v>
      </c>
      <c r="J185" s="8" t="str">
        <f aca="false">IF($G185&lt;&gt;"",$G185,$B185)</f>
        <v>67 0</v>
      </c>
      <c r="K185" s="8" t="str">
        <f aca="false">IF(COUNTIF($M$1:$M$10,$A185)&gt;0,"Y","N")</f>
        <v>Y</v>
      </c>
    </row>
    <row r="186" customFormat="false" ht="15" hidden="false" customHeight="true" outlineLevel="0" collapsed="false">
      <c r="A186" s="8" t="s">
        <v>46</v>
      </c>
      <c r="B186" s="8" t="s">
        <v>693</v>
      </c>
      <c r="C186" s="19" t="n">
        <v>1</v>
      </c>
      <c r="D186" s="19" t="n">
        <v>164.01</v>
      </c>
      <c r="E186" s="19" t="n">
        <v>0</v>
      </c>
      <c r="F186" s="19" t="n">
        <v>0</v>
      </c>
      <c r="G186" s="8" t="n">
        <f aca="false">IFERROR(INDEX('TRANS'!$B:$B,MATCH($B186,'TRANS'!$A:$A,0)),IFERROR(INDEX('TRANS'!$B:$B,MATCH(TRIM(SUBSTITUTE($B186,CHAR(160)," ")),'TRANS'!$D:$D,0)),IFERROR(INDEX('Catalog'!$A:$A,MATCH($B186,'Catalog'!$B:$B,0)),IFERROR(INDEX('Catalog'!$A:$A,MATCH(TRIM(SUBSTITUTE($B186,CHAR(160)," ")),'Catalog'!$C:$C,0)),""))))</f>
        <v>4413130</v>
      </c>
      <c r="H186" s="8" t="str">
        <f aca="false">IFERROR(INDEX('TRANS'!$C:$C,MATCH($B186,'TRANS'!$A:$A,0)),IFERROR(INDEX('Catalog'!$B:$B,MATCH($G186,'Catalog'!$A:$A,0)),$B186))</f>
        <v>75  XXL מיישר כתף יציב ישור צר</v>
      </c>
      <c r="I186" s="8" t="str">
        <f aca="false">IF($G186="","Unmatched","Matched")</f>
        <v>Matched</v>
      </c>
      <c r="J186" s="8" t="n">
        <f aca="false">IF($G186&lt;&gt;"",$G186,$B186)</f>
        <v>4413130</v>
      </c>
      <c r="K186" s="8" t="str">
        <f aca="false">IF(COUNTIF($M$1:$M$10,$A186)&gt;0,"Y","N")</f>
        <v>Y</v>
      </c>
    </row>
    <row r="187" customFormat="false" ht="15" hidden="false" customHeight="true" outlineLevel="0" collapsed="false">
      <c r="A187" s="8" t="s">
        <v>46</v>
      </c>
      <c r="B187" s="8" t="s">
        <v>694</v>
      </c>
      <c r="C187" s="19" t="n">
        <v>2</v>
      </c>
      <c r="D187" s="19" t="n">
        <v>421.76</v>
      </c>
      <c r="E187" s="19" t="n">
        <v>1</v>
      </c>
      <c r="F187" s="19" t="n">
        <v>190.63</v>
      </c>
      <c r="G187" s="8" t="n">
        <f aca="false">IFERROR(INDEX('TRANS'!$B:$B,MATCH($B187,'TRANS'!$A:$A,0)),IFERROR(INDEX('TRANS'!$B:$B,MATCH(TRIM(SUBSTITUTE($B187,CHAR(160)," ")),'TRANS'!$D:$D,0)),IFERROR(INDEX('Catalog'!$A:$A,MATCH($B187,'Catalog'!$B:$B,0)),IFERROR(INDEX('Catalog'!$A:$A,MATCH(TRIM(SUBSTITUTE($B187,CHAR(160)," ")),'Catalog'!$C:$C,0)),""))))</f>
        <v>4413132</v>
      </c>
      <c r="H187" s="8" t="str">
        <f aca="false">IFERROR(INDEX('TRANS'!$C:$C,MATCH($B187,'TRANS'!$A:$A,0)),IFERROR(INDEX('Catalog'!$B:$B,MATCH($G187,'Catalog'!$A:$A,0)),$B187))</f>
        <v>76 Lמיישר כתף יציב יישור רחב</v>
      </c>
      <c r="I187" s="8" t="str">
        <f aca="false">IF($G187="","Unmatched","Matched")</f>
        <v>Matched</v>
      </c>
      <c r="J187" s="8" t="n">
        <f aca="false">IF($G187&lt;&gt;"",$G187,$B187)</f>
        <v>4413132</v>
      </c>
      <c r="K187" s="8" t="str">
        <f aca="false">IF(COUNTIF($M$1:$M$10,$A187)&gt;0,"Y","N")</f>
        <v>Y</v>
      </c>
    </row>
    <row r="188" customFormat="false" ht="15" hidden="false" customHeight="true" outlineLevel="0" collapsed="false">
      <c r="A188" s="8" t="s">
        <v>46</v>
      </c>
      <c r="B188" s="8" t="s">
        <v>695</v>
      </c>
      <c r="C188" s="19" t="n">
        <v>2</v>
      </c>
      <c r="D188" s="19" t="n">
        <v>409.38</v>
      </c>
      <c r="E188" s="19" t="n">
        <v>0</v>
      </c>
      <c r="F188" s="19" t="n">
        <v>0</v>
      </c>
      <c r="G188" s="8" t="n">
        <f aca="false">IFERROR(INDEX('TRANS'!$B:$B,MATCH($B188,'TRANS'!$A:$A,0)),IFERROR(INDEX('TRANS'!$B:$B,MATCH(TRIM(SUBSTITUTE($B188,CHAR(160)," ")),'TRANS'!$D:$D,0)),IFERROR(INDEX('Catalog'!$A:$A,MATCH($B188,'Catalog'!$B:$B,0)),IFERROR(INDEX('Catalog'!$A:$A,MATCH(TRIM(SUBSTITUTE($B188,CHAR(160)," ")),'Catalog'!$C:$C,0)),""))))</f>
        <v>4413134</v>
      </c>
      <c r="H188" s="8" t="str">
        <f aca="false">IFERROR(INDEX('TRANS'!$C:$C,MATCH($B188,'TRANS'!$A:$A,0)),IFERROR(INDEX('Catalog'!$B:$B,MATCH($G188,'Catalog'!$A:$A,0)),$B188))</f>
        <v>76 XLמיישר כתף יציב יישור רחב</v>
      </c>
      <c r="I188" s="8" t="str">
        <f aca="false">IF($G188="","Unmatched","Matched")</f>
        <v>Matched</v>
      </c>
      <c r="J188" s="8" t="n">
        <f aca="false">IF($G188&lt;&gt;"",$G188,$B188)</f>
        <v>4413134</v>
      </c>
      <c r="K188" s="8" t="str">
        <f aca="false">IF(COUNTIF($M$1:$M$10,$A188)&gt;0,"Y","N")</f>
        <v>Y</v>
      </c>
    </row>
    <row r="189" customFormat="false" ht="15" hidden="false" customHeight="true" outlineLevel="0" collapsed="false">
      <c r="A189" s="8" t="s">
        <v>46</v>
      </c>
      <c r="B189" s="8" t="s">
        <v>154</v>
      </c>
      <c r="C189" s="19" t="n">
        <v>4</v>
      </c>
      <c r="D189" s="19" t="n">
        <v>806.39</v>
      </c>
      <c r="E189" s="19" t="n">
        <v>0</v>
      </c>
      <c r="F189" s="19" t="n">
        <v>0</v>
      </c>
      <c r="G189" s="8" t="str">
        <f aca="false">IFERROR(INDEX('TRANS'!$B:$B,MATCH($B189,'TRANS'!$A:$A,0)),IFERROR(INDEX('TRANS'!$B:$B,MATCH(TRIM(SUBSTITUTE($B189,CHAR(160)," ")),'TRANS'!$D:$D,0)),IFERROR(INDEX('Catalog'!$A:$A,MATCH($B189,'Catalog'!$B:$B,0)),IFERROR(INDEX('Catalog'!$A:$A,MATCH(TRIM(SUBSTITUTE($B189,CHAR(160)," ")),'Catalog'!$C:$C,0)),""))))</f>
        <v/>
      </c>
      <c r="H189" s="8" t="str">
        <f aca="false">IFERROR(INDEX('TRANS'!$C:$C,MATCH($B189,'TRANS'!$A:$A,0)),IFERROR(INDEX('Catalog'!$B:$B,MATCH($G189,'Catalog'!$A:$A,0)),$B189))</f>
        <v>76 XS</v>
      </c>
      <c r="I189" s="8" t="str">
        <f aca="false">IF($G189="","Unmatched","Matched")</f>
        <v>Unmatched</v>
      </c>
      <c r="J189" s="8" t="str">
        <f aca="false">IF($G189&lt;&gt;"",$G189,$B189)</f>
        <v>76 XS</v>
      </c>
      <c r="K189" s="8" t="str">
        <f aca="false">IF(COUNTIF($M$1:$M$10,$A189)&gt;0,"Y","N")</f>
        <v>Y</v>
      </c>
    </row>
    <row r="190" customFormat="false" ht="15" hidden="false" customHeight="true" outlineLevel="0" collapsed="false">
      <c r="A190" s="8" t="s">
        <v>46</v>
      </c>
      <c r="B190" s="8" t="s">
        <v>410</v>
      </c>
      <c r="C190" s="19" t="n">
        <v>1</v>
      </c>
      <c r="D190" s="19" t="n">
        <v>472.9</v>
      </c>
      <c r="E190" s="19" t="n">
        <v>-1</v>
      </c>
      <c r="F190" s="19" t="n">
        <v>-350</v>
      </c>
      <c r="G190" s="8" t="str">
        <f aca="false">IFERROR(INDEX('TRANS'!$B:$B,MATCH($B190,'TRANS'!$A:$A,0)),IFERROR(INDEX('TRANS'!$B:$B,MATCH(TRIM(SUBSTITUTE($B190,CHAR(160)," ")),'TRANS'!$D:$D,0)),IFERROR(INDEX('Catalog'!$A:$A,MATCH($B190,'Catalog'!$B:$B,0)),IFERROR(INDEX('Catalog'!$A:$A,MATCH(TRIM(SUBSTITUTE($B190,CHAR(160)," ")),'Catalog'!$C:$C,0)),""))))</f>
        <v/>
      </c>
      <c r="H190" s="8" t="str">
        <f aca="false">IFERROR(INDEX('TRANS'!$C:$C,MATCH($B190,'TRANS'!$A:$A,0)),IFERROR(INDEX('Catalog'!$B:$B,MATCH($G190,'Catalog'!$A:$A,0)),$B190))</f>
        <v>776 L</v>
      </c>
      <c r="I190" s="8" t="str">
        <f aca="false">IF($G190="","Unmatched","Matched")</f>
        <v>Unmatched</v>
      </c>
      <c r="J190" s="8" t="str">
        <f aca="false">IF($G190&lt;&gt;"",$G190,$B190)</f>
        <v>776 L</v>
      </c>
      <c r="K190" s="8" t="str">
        <f aca="false">IF(COUNTIF($M$1:$M$10,$A190)&gt;0,"Y","N")</f>
        <v>Y</v>
      </c>
    </row>
    <row r="191" customFormat="false" ht="15" hidden="false" customHeight="true" outlineLevel="0" collapsed="false">
      <c r="A191" s="8" t="s">
        <v>46</v>
      </c>
      <c r="B191" s="8" t="s">
        <v>411</v>
      </c>
      <c r="C191" s="19" t="n">
        <v>1</v>
      </c>
      <c r="D191" s="19" t="n">
        <v>165.41</v>
      </c>
      <c r="E191" s="19" t="n">
        <v>0</v>
      </c>
      <c r="F191" s="19" t="n">
        <v>0</v>
      </c>
      <c r="G191" s="8" t="str">
        <f aca="false">IFERROR(INDEX('TRANS'!$B:$B,MATCH($B191,'TRANS'!$A:$A,0)),IFERROR(INDEX('TRANS'!$B:$B,MATCH(TRIM(SUBSTITUTE($B191,CHAR(160)," ")),'TRANS'!$D:$D,0)),IFERROR(INDEX('Catalog'!$A:$A,MATCH($B191,'Catalog'!$B:$B,0)),IFERROR(INDEX('Catalog'!$A:$A,MATCH(TRIM(SUBSTITUTE($B191,CHAR(160)," ")),'Catalog'!$C:$C,0)),""))))</f>
        <v/>
      </c>
      <c r="H191" s="8" t="str">
        <f aca="false">IFERROR(INDEX('TRANS'!$C:$C,MATCH($B191,'TRANS'!$A:$A,0)),IFERROR(INDEX('Catalog'!$B:$B,MATCH($G191,'Catalog'!$A:$A,0)),$B191))</f>
        <v>78A XXXL</v>
      </c>
      <c r="I191" s="8" t="str">
        <f aca="false">IF($G191="","Unmatched","Matched")</f>
        <v>Unmatched</v>
      </c>
      <c r="J191" s="8" t="str">
        <f aca="false">IF($G191&lt;&gt;"",$G191,$B191)</f>
        <v>78A XXXL</v>
      </c>
      <c r="K191" s="8" t="str">
        <f aca="false">IF(COUNTIF($M$1:$M$10,$A191)&gt;0,"Y","N")</f>
        <v>Y</v>
      </c>
    </row>
    <row r="192" customFormat="false" ht="15" hidden="false" customHeight="true" outlineLevel="0" collapsed="false">
      <c r="A192" s="8" t="s">
        <v>46</v>
      </c>
      <c r="B192" s="8" t="s">
        <v>696</v>
      </c>
      <c r="C192" s="19" t="n">
        <v>56</v>
      </c>
      <c r="D192" s="19" t="n">
        <v>1122.26</v>
      </c>
      <c r="E192" s="19" t="n">
        <v>42</v>
      </c>
      <c r="F192" s="19" t="n">
        <v>820.25</v>
      </c>
      <c r="G192" s="8" t="n">
        <f aca="false">IFERROR(INDEX('TRANS'!$B:$B,MATCH($B192,'TRANS'!$A:$A,0)),IFERROR(INDEX('TRANS'!$B:$B,MATCH(TRIM(SUBSTITUTE($B192,CHAR(160)," ")),'TRANS'!$D:$D,0)),IFERROR(INDEX('Catalog'!$A:$A,MATCH($B192,'Catalog'!$B:$B,0)),IFERROR(INDEX('Catalog'!$A:$A,MATCH(TRIM(SUBSTITUTE($B192,CHAR(160)," ")),'Catalog'!$C:$C,0)),""))))</f>
        <v>4422000</v>
      </c>
      <c r="H192" s="8" t="str">
        <f aca="false">IFERROR(INDEX('TRANS'!$C:$C,MATCH($B192,'TRANS'!$A:$A,0)),IFERROR(INDEX('Catalog'!$B:$B,MATCH($G192,'Catalog'!$A:$A,0)),$B192))</f>
        <v>801  תחבושת אלסטית מקררת</v>
      </c>
      <c r="I192" s="8" t="str">
        <f aca="false">IF($G192="","Unmatched","Matched")</f>
        <v>Matched</v>
      </c>
      <c r="J192" s="8" t="n">
        <f aca="false">IF($G192&lt;&gt;"",$G192,$B192)</f>
        <v>4422000</v>
      </c>
      <c r="K192" s="8" t="str">
        <f aca="false">IF(COUNTIF($M$1:$M$10,$A192)&gt;0,"Y","N")</f>
        <v>Y</v>
      </c>
    </row>
    <row r="193" customFormat="false" ht="15" hidden="false" customHeight="true" outlineLevel="0" collapsed="false">
      <c r="A193" s="8" t="s">
        <v>46</v>
      </c>
      <c r="B193" s="8" t="s">
        <v>697</v>
      </c>
      <c r="C193" s="19" t="n">
        <v>2</v>
      </c>
      <c r="D193" s="19" t="n">
        <v>39.29</v>
      </c>
      <c r="E193" s="19" t="n">
        <v>7</v>
      </c>
      <c r="F193" s="19" t="n">
        <v>92.3</v>
      </c>
      <c r="G193" s="8" t="n">
        <f aca="false">IFERROR(INDEX('TRANS'!$B:$B,MATCH($B193,'TRANS'!$A:$A,0)),IFERROR(INDEX('TRANS'!$B:$B,MATCH(TRIM(SUBSTITUTE($B193,CHAR(160)," ")),'TRANS'!$D:$D,0)),IFERROR(INDEX('Catalog'!$A:$A,MATCH($B193,'Catalog'!$B:$B,0)),IFERROR(INDEX('Catalog'!$A:$A,MATCH(TRIM(SUBSTITUTE($B193,CHAR(160)," ")),'Catalog'!$C:$C,0)),""))))</f>
        <v>4409011</v>
      </c>
      <c r="H193" s="8" t="str">
        <f aca="false">IFERROR(INDEX('TRANS'!$C:$C,MATCH($B193,'TRANS'!$A:$A,0)),IFERROR(INDEX('Catalog'!$B:$B,MATCH($G193,'Catalog'!$A:$A,0)),$B193))</f>
        <v>804AT-B      טייפ חבישה לספורט</v>
      </c>
      <c r="I193" s="8" t="str">
        <f aca="false">IF($G193="","Unmatched","Matched")</f>
        <v>Matched</v>
      </c>
      <c r="J193" s="8" t="n">
        <f aca="false">IF($G193&lt;&gt;"",$G193,$B193)</f>
        <v>4409011</v>
      </c>
      <c r="K193" s="8" t="str">
        <f aca="false">IF(COUNTIF($M$1:$M$10,$A193)&gt;0,"Y","N")</f>
        <v>Y</v>
      </c>
    </row>
    <row r="194" customFormat="false" ht="15" hidden="false" customHeight="true" outlineLevel="0" collapsed="false">
      <c r="A194" s="8" t="s">
        <v>46</v>
      </c>
      <c r="B194" s="8" t="s">
        <v>698</v>
      </c>
      <c r="C194" s="19" t="n">
        <v>0</v>
      </c>
      <c r="D194" s="19" t="n">
        <v>0</v>
      </c>
      <c r="E194" s="19" t="n">
        <v>8</v>
      </c>
      <c r="F194" s="19" t="n">
        <v>92.31</v>
      </c>
      <c r="G194" s="8" t="n">
        <f aca="false">IFERROR(INDEX('TRANS'!$B:$B,MATCH($B194,'TRANS'!$A:$A,0)),IFERROR(INDEX('TRANS'!$B:$B,MATCH(TRIM(SUBSTITUTE($B194,CHAR(160)," ")),'TRANS'!$D:$D,0)),IFERROR(INDEX('Catalog'!$A:$A,MATCH($B194,'Catalog'!$B:$B,0)),IFERROR(INDEX('Catalog'!$A:$A,MATCH(TRIM(SUBSTITUTE($B194,CHAR(160)," ")),'Catalog'!$C:$C,0)),""))))</f>
        <v>4409013</v>
      </c>
      <c r="H194" s="8" t="str">
        <f aca="false">IFERROR(INDEX('TRANS'!$C:$C,MATCH($B194,'TRANS'!$A:$A,0)),IFERROR(INDEX('Catalog'!$B:$B,MATCH($G194,'Catalog'!$A:$A,0)),$B194))</f>
        <v>804AT-BL     טייפ חבישה לספורט</v>
      </c>
      <c r="I194" s="8" t="str">
        <f aca="false">IF($G194="","Unmatched","Matched")</f>
        <v>Matched</v>
      </c>
      <c r="J194" s="8" t="n">
        <f aca="false">IF($G194&lt;&gt;"",$G194,$B194)</f>
        <v>4409013</v>
      </c>
      <c r="K194" s="8" t="str">
        <f aca="false">IF(COUNTIF($M$1:$M$10,$A194)&gt;0,"Y","N")</f>
        <v>Y</v>
      </c>
    </row>
    <row r="195" customFormat="false" ht="15" hidden="false" customHeight="true" outlineLevel="0" collapsed="false">
      <c r="A195" s="8" t="s">
        <v>46</v>
      </c>
      <c r="B195" s="8" t="s">
        <v>699</v>
      </c>
      <c r="C195" s="19" t="n">
        <v>7</v>
      </c>
      <c r="D195" s="19" t="n">
        <v>121.06</v>
      </c>
      <c r="E195" s="19" t="n">
        <v>7</v>
      </c>
      <c r="F195" s="19" t="n">
        <v>92.29</v>
      </c>
      <c r="G195" s="8" t="n">
        <f aca="false">IFERROR(INDEX('TRANS'!$B:$B,MATCH($B195,'TRANS'!$A:$A,0)),IFERROR(INDEX('TRANS'!$B:$B,MATCH(TRIM(SUBSTITUTE($B195,CHAR(160)," ")),'TRANS'!$D:$D,0)),IFERROR(INDEX('Catalog'!$A:$A,MATCH($B195,'Catalog'!$B:$B,0)),IFERROR(INDEX('Catalog'!$A:$A,MATCH(TRIM(SUBSTITUTE($B195,CHAR(160)," ")),'Catalog'!$C:$C,0)),""))))</f>
        <v>4409012</v>
      </c>
      <c r="H195" s="8" t="str">
        <f aca="false">IFERROR(INDEX('TRANS'!$C:$C,MATCH($B195,'TRANS'!$A:$A,0)),IFERROR(INDEX('Catalog'!$B:$B,MATCH($G195,'Catalog'!$A:$A,0)),$B195))</f>
        <v>804AT-C      טייפ חבישה לספורט</v>
      </c>
      <c r="I195" s="8" t="str">
        <f aca="false">IF($G195="","Unmatched","Matched")</f>
        <v>Matched</v>
      </c>
      <c r="J195" s="8" t="n">
        <f aca="false">IF($G195&lt;&gt;"",$G195,$B195)</f>
        <v>4409012</v>
      </c>
      <c r="K195" s="8" t="str">
        <f aca="false">IF(COUNTIF($M$1:$M$10,$A195)&gt;0,"Y","N")</f>
        <v>Y</v>
      </c>
    </row>
    <row r="196" customFormat="false" ht="15" hidden="false" customHeight="true" outlineLevel="0" collapsed="false">
      <c r="A196" s="8" t="s">
        <v>46</v>
      </c>
      <c r="B196" s="8" t="s">
        <v>700</v>
      </c>
      <c r="C196" s="19" t="n">
        <v>1</v>
      </c>
      <c r="D196" s="19" t="n">
        <v>17.29</v>
      </c>
      <c r="E196" s="19" t="n">
        <v>0</v>
      </c>
      <c r="F196" s="19" t="n">
        <v>0</v>
      </c>
      <c r="G196" s="8" t="n">
        <f aca="false">IFERROR(INDEX('TRANS'!$B:$B,MATCH($B196,'TRANS'!$A:$A,0)),IFERROR(INDEX('TRANS'!$B:$B,MATCH(TRIM(SUBSTITUTE($B196,CHAR(160)," ")),'TRANS'!$D:$D,0)),IFERROR(INDEX('Catalog'!$A:$A,MATCH($B196,'Catalog'!$B:$B,0)),IFERROR(INDEX('Catalog'!$A:$A,MATCH(TRIM(SUBSTITUTE($B196,CHAR(160)," ")),'Catalog'!$C:$C,0)),""))))</f>
        <v>4401012</v>
      </c>
      <c r="H196" s="8" t="str">
        <f aca="false">IFERROR(INDEX('TRANS'!$C:$C,MATCH($B196,'TRANS'!$A:$A,0)),IFERROR(INDEX('Catalog'!$B:$B,MATCH($G196,'Catalog'!$A:$A,0)),$B196))</f>
        <v>805AT-B אתלטיק טייפ שחור 20מ""""מ</v>
      </c>
      <c r="I196" s="8" t="str">
        <f aca="false">IF($G196="","Unmatched","Matched")</f>
        <v>Matched</v>
      </c>
      <c r="J196" s="8" t="n">
        <f aca="false">IF($G196&lt;&gt;"",$G196,$B196)</f>
        <v>4401012</v>
      </c>
      <c r="K196" s="8" t="str">
        <f aca="false">IF(COUNTIF($M$1:$M$10,$A196)&gt;0,"Y","N")</f>
        <v>Y</v>
      </c>
    </row>
    <row r="197" customFormat="false" ht="15" hidden="false" customHeight="true" outlineLevel="0" collapsed="false">
      <c r="A197" s="8" t="s">
        <v>46</v>
      </c>
      <c r="B197" s="8" t="s">
        <v>701</v>
      </c>
      <c r="C197" s="19" t="n">
        <v>2</v>
      </c>
      <c r="D197" s="19" t="n">
        <v>34.58</v>
      </c>
      <c r="E197" s="19" t="n">
        <v>0</v>
      </c>
      <c r="F197" s="19" t="n">
        <v>0</v>
      </c>
      <c r="G197" s="8" t="n">
        <f aca="false">IFERROR(INDEX('TRANS'!$B:$B,MATCH($B197,'TRANS'!$A:$A,0)),IFERROR(INDEX('TRANS'!$B:$B,MATCH(TRIM(SUBSTITUTE($B197,CHAR(160)," ")),'TRANS'!$D:$D,0)),IFERROR(INDEX('Catalog'!$A:$A,MATCH($B197,'Catalog'!$B:$B,0)),IFERROR(INDEX('Catalog'!$A:$A,MATCH(TRIM(SUBSTITUTE($B197,CHAR(160)," ")),'Catalog'!$C:$C,0)),""))))</f>
        <v>4401011</v>
      </c>
      <c r="H197" s="8" t="str">
        <f aca="false">IFERROR(INDEX('TRANS'!$C:$C,MATCH($B197,'TRANS'!$A:$A,0)),IFERROR(INDEX('Catalog'!$B:$B,MATCH($G197,'Catalog'!$A:$A,0)),$B197))</f>
        <v>805AT-Cאתלטיק טייפ בז' 20מ""""מ20</v>
      </c>
      <c r="I197" s="8" t="str">
        <f aca="false">IF($G197="","Unmatched","Matched")</f>
        <v>Matched</v>
      </c>
      <c r="J197" s="8" t="n">
        <f aca="false">IF($G197&lt;&gt;"",$G197,$B197)</f>
        <v>4401011</v>
      </c>
      <c r="K197" s="8" t="str">
        <f aca="false">IF(COUNTIF($M$1:$M$10,$A197)&gt;0,"Y","N")</f>
        <v>Y</v>
      </c>
    </row>
    <row r="198" customFormat="false" ht="15" hidden="false" customHeight="true" outlineLevel="0" collapsed="false">
      <c r="A198" s="8" t="s">
        <v>46</v>
      </c>
      <c r="B198" s="8" t="s">
        <v>702</v>
      </c>
      <c r="C198" s="19" t="n">
        <v>0</v>
      </c>
      <c r="D198" s="19" t="n">
        <v>0</v>
      </c>
      <c r="E198" s="19" t="n">
        <v>8</v>
      </c>
      <c r="F198" s="19" t="n">
        <v>100.85</v>
      </c>
      <c r="G198" s="8" t="n">
        <f aca="false">IFERROR(INDEX('TRANS'!$B:$B,MATCH($B198,'TRANS'!$A:$A,0)),IFERROR(INDEX('TRANS'!$B:$B,MATCH(TRIM(SUBSTITUTE($B198,CHAR(160)," ")),'TRANS'!$D:$D,0)),IFERROR(INDEX('Catalog'!$A:$A,MATCH($B198,'Catalog'!$B:$B,0)),IFERROR(INDEX('Catalog'!$A:$A,MATCH(TRIM(SUBSTITUTE($B198,CHAR(160)," ")),'Catalog'!$C:$C,0)),""))))</f>
        <v>4422032</v>
      </c>
      <c r="H198" s="8" t="str">
        <f aca="false">IFERROR(INDEX('TRANS'!$C:$C,MATCH($B198,'TRANS'!$A:$A,0)),IFERROR(INDEX('Catalog'!$B:$B,MATCH($G198,'Catalog'!$A:$A,0)),$B198))</f>
        <v>807B-Bתחבושת נצמדת שחור 20 מ""""מ</v>
      </c>
      <c r="I198" s="8" t="str">
        <f aca="false">IF($G198="","Unmatched","Matched")</f>
        <v>Matched</v>
      </c>
      <c r="J198" s="8" t="n">
        <f aca="false">IF($G198&lt;&gt;"",$G198,$B198)</f>
        <v>4422032</v>
      </c>
      <c r="K198" s="8" t="str">
        <f aca="false">IF(COUNTIF($M$1:$M$10,$A198)&gt;0,"Y","N")</f>
        <v>Y</v>
      </c>
    </row>
    <row r="199" customFormat="false" ht="15" hidden="false" customHeight="true" outlineLevel="0" collapsed="false">
      <c r="A199" s="8" t="s">
        <v>46</v>
      </c>
      <c r="B199" s="8" t="s">
        <v>703</v>
      </c>
      <c r="C199" s="19" t="n">
        <v>2</v>
      </c>
      <c r="D199" s="19" t="n">
        <v>23.55</v>
      </c>
      <c r="E199" s="19" t="n">
        <v>0</v>
      </c>
      <c r="F199" s="19" t="n">
        <v>0</v>
      </c>
      <c r="G199" s="8" t="n">
        <f aca="false">IFERROR(INDEX('TRANS'!$B:$B,MATCH($B199,'TRANS'!$A:$A,0)),IFERROR(INDEX('TRANS'!$B:$B,MATCH(TRIM(SUBSTITUTE($B199,CHAR(160)," ")),'TRANS'!$D:$D,0)),IFERROR(INDEX('Catalog'!$A:$A,MATCH($B199,'Catalog'!$B:$B,0)),IFERROR(INDEX('Catalog'!$A:$A,MATCH(TRIM(SUBSTITUTE($B199,CHAR(160)," ")),'Catalog'!$C:$C,0)),""))))</f>
        <v>4422033</v>
      </c>
      <c r="H199" s="8" t="str">
        <f aca="false">IFERROR(INDEX('TRANS'!$C:$C,MATCH($B199,'TRANS'!$A:$A,0)),IFERROR(INDEX('Catalog'!$B:$B,MATCH($G199,'Catalog'!$A:$A,0)),$B199))</f>
        <v>807CB-BLתחבושת נצמדת כחול20מ""""מ</v>
      </c>
      <c r="I199" s="8" t="str">
        <f aca="false">IF($G199="","Unmatched","Matched")</f>
        <v>Matched</v>
      </c>
      <c r="J199" s="8" t="n">
        <f aca="false">IF($G199&lt;&gt;"",$G199,$B199)</f>
        <v>4422033</v>
      </c>
      <c r="K199" s="8" t="str">
        <f aca="false">IF(COUNTIF($M$1:$M$10,$A199)&gt;0,"Y","N")</f>
        <v>Y</v>
      </c>
    </row>
    <row r="200" customFormat="false" ht="15" hidden="false" customHeight="true" outlineLevel="0" collapsed="false">
      <c r="A200" s="8" t="s">
        <v>46</v>
      </c>
      <c r="B200" s="8" t="s">
        <v>704</v>
      </c>
      <c r="C200" s="19" t="n">
        <v>5</v>
      </c>
      <c r="D200" s="19" t="n">
        <v>68.67</v>
      </c>
      <c r="E200" s="19" t="n">
        <v>-1</v>
      </c>
      <c r="F200" s="19" t="n">
        <v>-16.81</v>
      </c>
      <c r="G200" s="8" t="n">
        <f aca="false">IFERROR(INDEX('TRANS'!$B:$B,MATCH($B200,'TRANS'!$A:$A,0)),IFERROR(INDEX('TRANS'!$B:$B,MATCH(TRIM(SUBSTITUTE($B200,CHAR(160)," ")),'TRANS'!$D:$D,0)),IFERROR(INDEX('Catalog'!$A:$A,MATCH($B200,'Catalog'!$B:$B,0)),IFERROR(INDEX('Catalog'!$A:$A,MATCH(TRIM(SUBSTITUTE($B200,CHAR(160)," ")),'Catalog'!$C:$C,0)),""))))</f>
        <v>4422031</v>
      </c>
      <c r="H200" s="8" t="str">
        <f aca="false">IFERROR(INDEX('TRANS'!$C:$C,MATCH($B200,'TRANS'!$A:$A,0)),IFERROR(INDEX('Catalog'!$B:$B,MATCH($G200,'Catalog'!$A:$A,0)),$B200))</f>
        <v>807CB-Cתחבושת נצמדת בז' 20 מ""""מ</v>
      </c>
      <c r="I200" s="8" t="str">
        <f aca="false">IF($G200="","Unmatched","Matched")</f>
        <v>Matched</v>
      </c>
      <c r="J200" s="8" t="n">
        <f aca="false">IF($G200&lt;&gt;"",$G200,$B200)</f>
        <v>4422031</v>
      </c>
      <c r="K200" s="8" t="str">
        <f aca="false">IF(COUNTIF($M$1:$M$10,$A200)&gt;0,"Y","N")</f>
        <v>Y</v>
      </c>
    </row>
    <row r="201" customFormat="false" ht="15" hidden="false" customHeight="true" outlineLevel="0" collapsed="false">
      <c r="A201" s="8" t="s">
        <v>46</v>
      </c>
      <c r="B201" s="8" t="s">
        <v>705</v>
      </c>
      <c r="C201" s="19" t="n">
        <v>9</v>
      </c>
      <c r="D201" s="19" t="n">
        <v>389.59</v>
      </c>
      <c r="E201" s="19" t="n">
        <v>17</v>
      </c>
      <c r="F201" s="19" t="n">
        <v>914.38</v>
      </c>
      <c r="G201" s="8" t="n">
        <f aca="false">IFERROR(INDEX('TRANS'!$B:$B,MATCH($B201,'TRANS'!$A:$A,0)),IFERROR(INDEX('TRANS'!$B:$B,MATCH(TRIM(SUBSTITUTE($B201,CHAR(160)," ")),'TRANS'!$D:$D,0)),IFERROR(INDEX('Catalog'!$A:$A,MATCH($B201,'Catalog'!$B:$B,0)),IFERROR(INDEX('Catalog'!$A:$A,MATCH(TRIM(SUBSTITUTE($B201,CHAR(160)," ")),'Catalog'!$C:$C,0)),""))))</f>
        <v>4409017</v>
      </c>
      <c r="H201" s="8" t="str">
        <f aca="false">IFERROR(INDEX('TRANS'!$C:$C,MATCH($B201,'TRANS'!$A:$A,0)),IFERROR(INDEX('Catalog'!$B:$B,MATCH($G201,'Catalog'!$A:$A,0)),$B201))</f>
        <v>808KT-B        טייפ קינזיולוגי</v>
      </c>
      <c r="I201" s="8" t="str">
        <f aca="false">IF($G201="","Unmatched","Matched")</f>
        <v>Matched</v>
      </c>
      <c r="J201" s="8" t="n">
        <f aca="false">IF($G201&lt;&gt;"",$G201,$B201)</f>
        <v>4409017</v>
      </c>
      <c r="K201" s="8" t="str">
        <f aca="false">IF(COUNTIF($M$1:$M$10,$A201)&gt;0,"Y","N")</f>
        <v>Y</v>
      </c>
    </row>
    <row r="202" customFormat="false" ht="15" hidden="false" customHeight="true" outlineLevel="0" collapsed="false">
      <c r="A202" s="8" t="s">
        <v>46</v>
      </c>
      <c r="B202" s="8" t="s">
        <v>706</v>
      </c>
      <c r="C202" s="19" t="n">
        <v>13</v>
      </c>
      <c r="D202" s="19" t="n">
        <v>658.5</v>
      </c>
      <c r="E202" s="19" t="n">
        <v>8</v>
      </c>
      <c r="F202" s="19" t="n">
        <v>491.66</v>
      </c>
      <c r="G202" s="8" t="n">
        <f aca="false">IFERROR(INDEX('TRANS'!$B:$B,MATCH($B202,'TRANS'!$A:$A,0)),IFERROR(INDEX('TRANS'!$B:$B,MATCH(TRIM(SUBSTITUTE($B202,CHAR(160)," ")),'TRANS'!$D:$D,0)),IFERROR(INDEX('Catalog'!$A:$A,MATCH($B202,'Catalog'!$B:$B,0)),IFERROR(INDEX('Catalog'!$A:$A,MATCH(TRIM(SUBSTITUTE($B202,CHAR(160)," ")),'Catalog'!$C:$C,0)),""))))</f>
        <v>4409016</v>
      </c>
      <c r="H202" s="8" t="str">
        <f aca="false">IFERROR(INDEX('TRANS'!$C:$C,MATCH($B202,'TRANS'!$A:$A,0)),IFERROR(INDEX('Catalog'!$B:$B,MATCH($G202,'Catalog'!$A:$A,0)),$B202))</f>
        <v>808KT-C        טייפ קינזיולוגי</v>
      </c>
      <c r="I202" s="8" t="str">
        <f aca="false">IF($G202="","Unmatched","Matched")</f>
        <v>Matched</v>
      </c>
      <c r="J202" s="8" t="n">
        <f aca="false">IF($G202&lt;&gt;"",$G202,$B202)</f>
        <v>4409016</v>
      </c>
      <c r="K202" s="8" t="str">
        <f aca="false">IF(COUNTIF($M$1:$M$10,$A202)&gt;0,"Y","N")</f>
        <v>Y</v>
      </c>
    </row>
    <row r="203" customFormat="false" ht="15" hidden="false" customHeight="true" outlineLevel="0" collapsed="false">
      <c r="A203" s="8" t="s">
        <v>46</v>
      </c>
      <c r="B203" s="8" t="s">
        <v>707</v>
      </c>
      <c r="C203" s="19" t="n">
        <v>4</v>
      </c>
      <c r="D203" s="19" t="n">
        <v>204.93</v>
      </c>
      <c r="E203" s="19" t="n">
        <v>0</v>
      </c>
      <c r="F203" s="19" t="n">
        <v>0</v>
      </c>
      <c r="G203" s="8" t="n">
        <f aca="false">IFERROR(INDEX('TRANS'!$B:$B,MATCH($B203,'TRANS'!$A:$A,0)),IFERROR(INDEX('TRANS'!$B:$B,MATCH(TRIM(SUBSTITUTE($B203,CHAR(160)," ")),'TRANS'!$D:$D,0)),IFERROR(INDEX('Catalog'!$A:$A,MATCH($B203,'Catalog'!$B:$B,0)),IFERROR(INDEX('Catalog'!$A:$A,MATCH(TRIM(SUBSTITUTE($B203,CHAR(160)," ")),'Catalog'!$C:$C,0)),""))))</f>
        <v>4411015</v>
      </c>
      <c r="H203" s="8" t="str">
        <f aca="false">IFERROR(INDEX('TRANS'!$C:$C,MATCH($B203,'TRANS'!$A:$A,0)),IFERROR(INDEX('Catalog'!$B:$B,MATCH($G203,'Catalog'!$A:$A,0)),$B203))</f>
        <v>820 0 כרית חום וקור</v>
      </c>
      <c r="I203" s="8" t="str">
        <f aca="false">IF($G203="","Unmatched","Matched")</f>
        <v>Matched</v>
      </c>
      <c r="J203" s="8" t="n">
        <f aca="false">IF($G203&lt;&gt;"",$G203,$B203)</f>
        <v>4411015</v>
      </c>
      <c r="K203" s="8" t="str">
        <f aca="false">IF(COUNTIF($M$1:$M$10,$A203)&gt;0,"Y","N")</f>
        <v>Y</v>
      </c>
    </row>
    <row r="204" customFormat="false" ht="15" hidden="false" customHeight="true" outlineLevel="0" collapsed="false">
      <c r="A204" s="8" t="s">
        <v>46</v>
      </c>
      <c r="B204" s="8" t="s">
        <v>64</v>
      </c>
      <c r="C204" s="19" t="n">
        <v>5</v>
      </c>
      <c r="D204" s="19" t="n">
        <v>765.27</v>
      </c>
      <c r="E204" s="19" t="n">
        <v>3</v>
      </c>
      <c r="F204" s="19" t="n">
        <v>384.23</v>
      </c>
      <c r="G204" s="8" t="str">
        <f aca="false">IFERROR(INDEX('TRANS'!$B:$B,MATCH($B204,'TRANS'!$A:$A,0)),IFERROR(INDEX('TRANS'!$B:$B,MATCH(TRIM(SUBSTITUTE($B204,CHAR(160)," ")),'TRANS'!$D:$D,0)),IFERROR(INDEX('Catalog'!$A:$A,MATCH($B204,'Catalog'!$B:$B,0)),IFERROR(INDEX('Catalog'!$A:$A,MATCH(TRIM(SUBSTITUTE($B204,CHAR(160)," ")),'Catalog'!$C:$C,0)),""))))</f>
        <v/>
      </c>
      <c r="H204" s="8" t="str">
        <f aca="false">IFERROR(INDEX('TRANS'!$C:$C,MATCH($B204,'TRANS'!$A:$A,0)),IFERROR(INDEX('Catalog'!$B:$B,MATCH($G204,'Catalog'!$A:$A,0)),$B204))</f>
        <v>84-L-XXL</v>
      </c>
      <c r="I204" s="8" t="str">
        <f aca="false">IF($G204="","Unmatched","Matched")</f>
        <v>Unmatched</v>
      </c>
      <c r="J204" s="8" t="str">
        <f aca="false">IF($G204&lt;&gt;"",$G204,$B204)</f>
        <v>84-L-XXL</v>
      </c>
      <c r="K204" s="8" t="str">
        <f aca="false">IF(COUNTIF($M$1:$M$10,$A204)&gt;0,"Y","N")</f>
        <v>Y</v>
      </c>
    </row>
    <row r="205" customFormat="false" ht="15" hidden="false" customHeight="true" outlineLevel="0" collapsed="false">
      <c r="A205" s="8" t="s">
        <v>46</v>
      </c>
      <c r="B205" s="8" t="s">
        <v>62</v>
      </c>
      <c r="C205" s="19" t="n">
        <v>2</v>
      </c>
      <c r="D205" s="19" t="n">
        <v>281.14</v>
      </c>
      <c r="E205" s="19" t="n">
        <v>6</v>
      </c>
      <c r="F205" s="19" t="n">
        <v>796.56</v>
      </c>
      <c r="G205" s="8" t="str">
        <f aca="false">IFERROR(INDEX('TRANS'!$B:$B,MATCH($B205,'TRANS'!$A:$A,0)),IFERROR(INDEX('TRANS'!$B:$B,MATCH(TRIM(SUBSTITUTE($B205,CHAR(160)," ")),'TRANS'!$D:$D,0)),IFERROR(INDEX('Catalog'!$A:$A,MATCH($B205,'Catalog'!$B:$B,0)),IFERROR(INDEX('Catalog'!$A:$A,MATCH(TRIM(SUBSTITUTE($B205,CHAR(160)," ")),'Catalog'!$C:$C,0)),""))))</f>
        <v/>
      </c>
      <c r="H205" s="8" t="str">
        <f aca="false">IFERROR(INDEX('TRANS'!$C:$C,MATCH($B205,'TRANS'!$A:$A,0)),IFERROR(INDEX('Catalog'!$B:$B,MATCH($G205,'Catalog'!$A:$A,0)),$B205))</f>
        <v>84-S-M</v>
      </c>
      <c r="I205" s="8" t="str">
        <f aca="false">IF($G205="","Unmatched","Matched")</f>
        <v>Unmatched</v>
      </c>
      <c r="J205" s="8" t="str">
        <f aca="false">IF($G205&lt;&gt;"",$G205,$B205)</f>
        <v>84-S-M</v>
      </c>
      <c r="K205" s="8" t="str">
        <f aca="false">IF(COUNTIF($M$1:$M$10,$A205)&gt;0,"Y","N")</f>
        <v>Y</v>
      </c>
    </row>
    <row r="206" customFormat="false" ht="15" hidden="false" customHeight="true" outlineLevel="0" collapsed="false">
      <c r="A206" s="8" t="s">
        <v>46</v>
      </c>
      <c r="B206" s="8" t="s">
        <v>708</v>
      </c>
      <c r="C206" s="19" t="n">
        <v>2</v>
      </c>
      <c r="D206" s="19" t="n">
        <v>98</v>
      </c>
      <c r="E206" s="19" t="n">
        <v>1</v>
      </c>
      <c r="F206" s="19" t="n">
        <v>56.67</v>
      </c>
      <c r="G206" s="8" t="n">
        <f aca="false">IFERROR(INDEX('TRANS'!$B:$B,MATCH($B206,'TRANS'!$A:$A,0)),IFERROR(INDEX('TRANS'!$B:$B,MATCH(TRIM(SUBSTITUTE($B206,CHAR(160)," ")),'TRANS'!$D:$D,0)),IFERROR(INDEX('Catalog'!$A:$A,MATCH($B206,'Catalog'!$B:$B,0)),IFERROR(INDEX('Catalog'!$A:$A,MATCH(TRIM(SUBSTITUTE($B206,CHAR(160)," ")),'Catalog'!$C:$C,0)),""))))</f>
        <v>4413135</v>
      </c>
      <c r="H206" s="8" t="str">
        <f aca="false">IFERROR(INDEX('TRANS'!$C:$C,MATCH($B206,'TRANS'!$A:$A,0)),IFERROR(INDEX('Catalog'!$B:$B,MATCH($G206,'Catalog'!$A:$A,0)),$B206))</f>
        <v>85 L (מתלה ליד )כיס</v>
      </c>
      <c r="I206" s="8" t="str">
        <f aca="false">IF($G206="","Unmatched","Matched")</f>
        <v>Matched</v>
      </c>
      <c r="J206" s="8" t="n">
        <f aca="false">IF($G206&lt;&gt;"",$G206,$B206)</f>
        <v>4413135</v>
      </c>
      <c r="K206" s="8" t="str">
        <f aca="false">IF(COUNTIF($M$1:$M$10,$A206)&gt;0,"Y","N")</f>
        <v>Y</v>
      </c>
    </row>
    <row r="207" customFormat="false" ht="15" hidden="false" customHeight="true" outlineLevel="0" collapsed="false">
      <c r="A207" s="8" t="s">
        <v>46</v>
      </c>
      <c r="B207" s="8" t="s">
        <v>709</v>
      </c>
      <c r="C207" s="19" t="n">
        <v>3</v>
      </c>
      <c r="D207" s="19" t="n">
        <v>164.56</v>
      </c>
      <c r="E207" s="19" t="n">
        <v>0</v>
      </c>
      <c r="F207" s="19" t="n">
        <v>0</v>
      </c>
      <c r="G207" s="8" t="n">
        <f aca="false">IFERROR(INDEX('TRANS'!$B:$B,MATCH($B207,'TRANS'!$A:$A,0)),IFERROR(INDEX('TRANS'!$B:$B,MATCH(TRIM(SUBSTITUTE($B207,CHAR(160)," ")),'TRANS'!$D:$D,0)),IFERROR(INDEX('Catalog'!$A:$A,MATCH($B207,'Catalog'!$B:$B,0)),IFERROR(INDEX('Catalog'!$A:$A,MATCH(TRIM(SUBSTITUTE($B207,CHAR(160)," ")),'Catalog'!$C:$C,0)),""))))</f>
        <v>4413136</v>
      </c>
      <c r="H207" s="8" t="str">
        <f aca="false">IFERROR(INDEX('TRANS'!$C:$C,MATCH($B207,'TRANS'!$A:$A,0)),IFERROR(INDEX('Catalog'!$B:$B,MATCH($G207,'Catalog'!$A:$A,0)),$B207))</f>
        <v>85 M (מתלה ליד )כיס</v>
      </c>
      <c r="I207" s="8" t="str">
        <f aca="false">IF($G207="","Unmatched","Matched")</f>
        <v>Matched</v>
      </c>
      <c r="J207" s="8" t="n">
        <f aca="false">IF($G207&lt;&gt;"",$G207,$B207)</f>
        <v>4413136</v>
      </c>
      <c r="K207" s="8" t="str">
        <f aca="false">IF(COUNTIF($M$1:$M$10,$A207)&gt;0,"Y","N")</f>
        <v>Y</v>
      </c>
    </row>
    <row r="208" customFormat="false" ht="15" hidden="false" customHeight="true" outlineLevel="0" collapsed="false">
      <c r="A208" s="8" t="s">
        <v>46</v>
      </c>
      <c r="B208" s="8" t="s">
        <v>710</v>
      </c>
      <c r="C208" s="19" t="n">
        <v>1</v>
      </c>
      <c r="D208" s="19" t="n">
        <v>56.67</v>
      </c>
      <c r="E208" s="19" t="n">
        <v>2</v>
      </c>
      <c r="F208" s="19" t="n">
        <v>97.99</v>
      </c>
      <c r="G208" s="8" t="n">
        <f aca="false">IFERROR(INDEX('TRANS'!$B:$B,MATCH($B208,'TRANS'!$A:$A,0)),IFERROR(INDEX('TRANS'!$B:$B,MATCH(TRIM(SUBSTITUTE($B208,CHAR(160)," ")),'TRANS'!$D:$D,0)),IFERROR(INDEX('Catalog'!$A:$A,MATCH($B208,'Catalog'!$B:$B,0)),IFERROR(INDEX('Catalog'!$A:$A,MATCH(TRIM(SUBSTITUTE($B208,CHAR(160)," ")),'Catalog'!$C:$C,0)),""))))</f>
        <v>4413138</v>
      </c>
      <c r="H208" s="8" t="str">
        <f aca="false">IFERROR(INDEX('TRANS'!$C:$C,MATCH($B208,'TRANS'!$A:$A,0)),IFERROR(INDEX('Catalog'!$B:$B,MATCH($G208,'Catalog'!$A:$A,0)),$B208))</f>
        <v>85 XL (מתלה ליד )כיס</v>
      </c>
      <c r="I208" s="8" t="str">
        <f aca="false">IF($G208="","Unmatched","Matched")</f>
        <v>Matched</v>
      </c>
      <c r="J208" s="8" t="n">
        <f aca="false">IF($G208&lt;&gt;"",$G208,$B208)</f>
        <v>4413138</v>
      </c>
      <c r="K208" s="8" t="str">
        <f aca="false">IF(COUNTIF($M$1:$M$10,$A208)&gt;0,"Y","N")</f>
        <v>Y</v>
      </c>
    </row>
    <row r="209" customFormat="false" ht="15" hidden="false" customHeight="true" outlineLevel="0" collapsed="false">
      <c r="A209" s="8" t="s">
        <v>46</v>
      </c>
      <c r="B209" s="8" t="s">
        <v>711</v>
      </c>
      <c r="C209" s="19" t="n">
        <v>9</v>
      </c>
      <c r="D209" s="19" t="n">
        <v>498.6</v>
      </c>
      <c r="E209" s="19" t="n">
        <v>3</v>
      </c>
      <c r="F209" s="19" t="n">
        <v>140.24</v>
      </c>
      <c r="G209" s="8" t="n">
        <f aca="false">IFERROR(INDEX('TRANS'!$B:$B,MATCH($B209,'TRANS'!$A:$A,0)),IFERROR(INDEX('TRANS'!$B:$B,MATCH(TRIM(SUBSTITUTE($B209,CHAR(160)," ")),'TRANS'!$D:$D,0)),IFERROR(INDEX('Catalog'!$A:$A,MATCH($B209,'Catalog'!$B:$B,0)),IFERROR(INDEX('Catalog'!$A:$A,MATCH(TRIM(SUBSTITUTE($B209,CHAR(160)," ")),'Catalog'!$C:$C,0)),""))))</f>
        <v>4413516</v>
      </c>
      <c r="H209" s="8" t="str">
        <f aca="false">IFERROR(INDEX('TRANS'!$C:$C,MATCH($B209,'TRANS'!$A:$A,0)),IFERROR(INDEX('Catalog'!$B:$B,MATCH($G209,'Catalog'!$A:$A,0)),$B209))</f>
        <v>85B L מתלה רשת לזרוע שחור</v>
      </c>
      <c r="I209" s="8" t="str">
        <f aca="false">IF($G209="","Unmatched","Matched")</f>
        <v>Matched</v>
      </c>
      <c r="J209" s="8" t="n">
        <f aca="false">IF($G209&lt;&gt;"",$G209,$B209)</f>
        <v>4413516</v>
      </c>
      <c r="K209" s="8" t="str">
        <f aca="false">IF(COUNTIF($M$1:$M$10,$A209)&gt;0,"Y","N")</f>
        <v>Y</v>
      </c>
    </row>
    <row r="210" customFormat="false" ht="15" hidden="false" customHeight="true" outlineLevel="0" collapsed="false">
      <c r="A210" s="8" t="s">
        <v>46</v>
      </c>
      <c r="B210" s="8" t="s">
        <v>712</v>
      </c>
      <c r="C210" s="19" t="n">
        <v>5</v>
      </c>
      <c r="D210" s="19" t="n">
        <v>253.15</v>
      </c>
      <c r="E210" s="19" t="n">
        <v>0</v>
      </c>
      <c r="F210" s="19" t="n">
        <v>7.67</v>
      </c>
      <c r="G210" s="8" t="n">
        <f aca="false">IFERROR(INDEX('TRANS'!$B:$B,MATCH($B210,'TRANS'!$A:$A,0)),IFERROR(INDEX('TRANS'!$B:$B,MATCH(TRIM(SUBSTITUTE($B210,CHAR(160)," ")),'TRANS'!$D:$D,0)),IFERROR(INDEX('Catalog'!$A:$A,MATCH($B210,'Catalog'!$B:$B,0)),IFERROR(INDEX('Catalog'!$A:$A,MATCH(TRIM(SUBSTITUTE($B210,CHAR(160)," ")),'Catalog'!$C:$C,0)),""))))</f>
        <v>4413517</v>
      </c>
      <c r="H210" s="8" t="str">
        <f aca="false">IFERROR(INDEX('TRANS'!$C:$C,MATCH($B210,'TRANS'!$A:$A,0)),IFERROR(INDEX('Catalog'!$B:$B,MATCH($G210,'Catalog'!$A:$A,0)),$B210))</f>
        <v>85B M מתלה רשת לזרוע שחור</v>
      </c>
      <c r="I210" s="8" t="str">
        <f aca="false">IF($G210="","Unmatched","Matched")</f>
        <v>Matched</v>
      </c>
      <c r="J210" s="8" t="n">
        <f aca="false">IF($G210&lt;&gt;"",$G210,$B210)</f>
        <v>4413517</v>
      </c>
      <c r="K210" s="8" t="str">
        <f aca="false">IF(COUNTIF($M$1:$M$10,$A210)&gt;0,"Y","N")</f>
        <v>Y</v>
      </c>
    </row>
    <row r="211" customFormat="false" ht="15" hidden="false" customHeight="true" outlineLevel="0" collapsed="false">
      <c r="A211" s="8" t="s">
        <v>46</v>
      </c>
      <c r="B211" s="8" t="s">
        <v>713</v>
      </c>
      <c r="C211" s="19" t="n">
        <v>4</v>
      </c>
      <c r="D211" s="19" t="n">
        <v>204.03</v>
      </c>
      <c r="E211" s="19" t="n">
        <v>0</v>
      </c>
      <c r="F211" s="19" t="n">
        <v>0</v>
      </c>
      <c r="G211" s="8" t="n">
        <f aca="false">IFERROR(INDEX('TRANS'!$B:$B,MATCH($B211,'TRANS'!$A:$A,0)),IFERROR(INDEX('TRANS'!$B:$B,MATCH(TRIM(SUBSTITUTE($B211,CHAR(160)," ")),'TRANS'!$D:$D,0)),IFERROR(INDEX('Catalog'!$A:$A,MATCH($B211,'Catalog'!$B:$B,0)),IFERROR(INDEX('Catalog'!$A:$A,MATCH(TRIM(SUBSTITUTE($B211,CHAR(160)," ")),'Catalog'!$C:$C,0)),""))))</f>
        <v>4413519</v>
      </c>
      <c r="H211" s="8" t="str">
        <f aca="false">IFERROR(INDEX('TRANS'!$C:$C,MATCH($B211,'TRANS'!$A:$A,0)),IFERROR(INDEX('Catalog'!$B:$B,MATCH($G211,'Catalog'!$A:$A,0)),$B211))</f>
        <v>85B S מתלה רשת לזרוע שחור</v>
      </c>
      <c r="I211" s="8" t="str">
        <f aca="false">IF($G211="","Unmatched","Matched")</f>
        <v>Matched</v>
      </c>
      <c r="J211" s="8" t="n">
        <f aca="false">IF($G211&lt;&gt;"",$G211,$B211)</f>
        <v>4413519</v>
      </c>
      <c r="K211" s="8" t="str">
        <f aca="false">IF(COUNTIF($M$1:$M$10,$A211)&gt;0,"Y","N")</f>
        <v>Y</v>
      </c>
    </row>
    <row r="212" customFormat="false" ht="15" hidden="false" customHeight="true" outlineLevel="0" collapsed="false">
      <c r="A212" s="8" t="s">
        <v>46</v>
      </c>
      <c r="B212" s="8" t="s">
        <v>714</v>
      </c>
      <c r="C212" s="19" t="n">
        <v>7</v>
      </c>
      <c r="D212" s="19" t="n">
        <v>388.07</v>
      </c>
      <c r="E212" s="19" t="n">
        <v>3</v>
      </c>
      <c r="F212" s="19" t="n">
        <v>154.67</v>
      </c>
      <c r="G212" s="8" t="n">
        <f aca="false">IFERROR(INDEX('TRANS'!$B:$B,MATCH($B212,'TRANS'!$A:$A,0)),IFERROR(INDEX('TRANS'!$B:$B,MATCH(TRIM(SUBSTITUTE($B212,CHAR(160)," ")),'TRANS'!$D:$D,0)),IFERROR(INDEX('Catalog'!$A:$A,MATCH($B212,'Catalog'!$B:$B,0)),IFERROR(INDEX('Catalog'!$A:$A,MATCH(TRIM(SUBSTITUTE($B212,CHAR(160)," ")),'Catalog'!$C:$C,0)),""))))</f>
        <v>4413518</v>
      </c>
      <c r="H212" s="8" t="str">
        <f aca="false">IFERROR(INDEX('TRANS'!$C:$C,MATCH($B212,'TRANS'!$A:$A,0)),IFERROR(INDEX('Catalog'!$B:$B,MATCH($G212,'Catalog'!$A:$A,0)),$B212))</f>
        <v>85B XL מתלה רשת לזרוע שחור</v>
      </c>
      <c r="I212" s="8" t="str">
        <f aca="false">IF($G212="","Unmatched","Matched")</f>
        <v>Matched</v>
      </c>
      <c r="J212" s="8" t="n">
        <f aca="false">IF($G212&lt;&gt;"",$G212,$B212)</f>
        <v>4413518</v>
      </c>
      <c r="K212" s="8" t="str">
        <f aca="false">IF(COUNTIF($M$1:$M$10,$A212)&gt;0,"Y","N")</f>
        <v>Y</v>
      </c>
    </row>
    <row r="213" customFormat="false" ht="15" hidden="false" customHeight="true" outlineLevel="0" collapsed="false">
      <c r="A213" s="8" t="s">
        <v>46</v>
      </c>
      <c r="B213" s="8" t="s">
        <v>715</v>
      </c>
      <c r="C213" s="19" t="n">
        <v>17</v>
      </c>
      <c r="D213" s="19" t="n">
        <v>831.59</v>
      </c>
      <c r="E213" s="19" t="n">
        <v>2</v>
      </c>
      <c r="F213" s="19" t="n">
        <v>103.96</v>
      </c>
      <c r="G213" s="8" t="n">
        <f aca="false">IFERROR(INDEX('TRANS'!$B:$B,MATCH($B213,'TRANS'!$A:$A,0)),IFERROR(INDEX('TRANS'!$B:$B,MATCH(TRIM(SUBSTITUTE($B213,CHAR(160)," ")),'TRANS'!$D:$D,0)),IFERROR(INDEX('Catalog'!$A:$A,MATCH($B213,'Catalog'!$B:$B,0)),IFERROR(INDEX('Catalog'!$A:$A,MATCH(TRIM(SUBSTITUTE($B213,CHAR(160)," ")),'Catalog'!$C:$C,0)),""))))</f>
        <v>4413455</v>
      </c>
      <c r="H213" s="8" t="str">
        <f aca="false">IFERROR(INDEX('TRANS'!$C:$C,MATCH($B213,'TRANS'!$A:$A,0)),IFERROR(INDEX('Catalog'!$B:$B,MATCH($G213,'Catalog'!$A:$A,0)),$B213))</f>
        <v>85K מתלה ליד לילדים</v>
      </c>
      <c r="I213" s="8" t="str">
        <f aca="false">IF($G213="","Unmatched","Matched")</f>
        <v>Matched</v>
      </c>
      <c r="J213" s="8" t="n">
        <f aca="false">IF($G213&lt;&gt;"",$G213,$B213)</f>
        <v>4413455</v>
      </c>
      <c r="K213" s="8" t="str">
        <f aca="false">IF(COUNTIF($M$1:$M$10,$A213)&gt;0,"Y","N")</f>
        <v>Y</v>
      </c>
    </row>
    <row r="214" customFormat="false" ht="15" hidden="false" customHeight="true" outlineLevel="0" collapsed="false">
      <c r="A214" s="8" t="s">
        <v>46</v>
      </c>
      <c r="B214" s="8" t="s">
        <v>716</v>
      </c>
      <c r="C214" s="19" t="n">
        <v>7</v>
      </c>
      <c r="D214" s="19" t="n">
        <v>216.25</v>
      </c>
      <c r="E214" s="19" t="n">
        <v>0</v>
      </c>
      <c r="F214" s="19" t="n">
        <v>0</v>
      </c>
      <c r="G214" s="8" t="n">
        <f aca="false">IFERROR(INDEX('TRANS'!$B:$B,MATCH($B214,'TRANS'!$A:$A,0)),IFERROR(INDEX('TRANS'!$B:$B,MATCH(TRIM(SUBSTITUTE($B214,CHAR(160)," ")),'TRANS'!$D:$D,0)),IFERROR(INDEX('Catalog'!$A:$A,MATCH($B214,'Catalog'!$B:$B,0)),IFERROR(INDEX('Catalog'!$A:$A,MATCH(TRIM(SUBSTITUTE($B214,CHAR(160)," ")),'Catalog'!$C:$C,0)),""))))</f>
        <v>4413140</v>
      </c>
      <c r="H214" s="8" t="str">
        <f aca="false">IFERROR(INDEX('TRANS'!$C:$C,MATCH($B214,'TRANS'!$A:$A,0)),IFERROR(INDEX('Catalog'!$B:$B,MATCH($G214,'Catalog'!$A:$A,0)),$B214))</f>
        <v>95 M מגן מרפק רגיל לבן</v>
      </c>
      <c r="I214" s="8" t="str">
        <f aca="false">IF($G214="","Unmatched","Matched")</f>
        <v>Matched</v>
      </c>
      <c r="J214" s="8" t="n">
        <f aca="false">IF($G214&lt;&gt;"",$G214,$B214)</f>
        <v>4413140</v>
      </c>
      <c r="K214" s="8" t="str">
        <f aca="false">IF(COUNTIF($M$1:$M$10,$A214)&gt;0,"Y","N")</f>
        <v>Y</v>
      </c>
    </row>
    <row r="215" customFormat="false" ht="15" hidden="false" customHeight="true" outlineLevel="0" collapsed="false">
      <c r="A215" s="8" t="s">
        <v>46</v>
      </c>
      <c r="B215" s="8" t="s">
        <v>717</v>
      </c>
      <c r="C215" s="19" t="n">
        <v>1</v>
      </c>
      <c r="D215" s="19" t="n">
        <v>30.89</v>
      </c>
      <c r="E215" s="19" t="n">
        <v>0</v>
      </c>
      <c r="F215" s="19" t="n">
        <v>0</v>
      </c>
      <c r="G215" s="8" t="n">
        <f aca="false">IFERROR(INDEX('TRANS'!$B:$B,MATCH($B215,'TRANS'!$A:$A,0)),IFERROR(INDEX('TRANS'!$B:$B,MATCH(TRIM(SUBSTITUTE($B215,CHAR(160)," ")),'TRANS'!$D:$D,0)),IFERROR(INDEX('Catalog'!$A:$A,MATCH($B215,'Catalog'!$B:$B,0)),IFERROR(INDEX('Catalog'!$A:$A,MATCH(TRIM(SUBSTITUTE($B215,CHAR(160)," ")),'Catalog'!$C:$C,0)),""))))</f>
        <v>4413500</v>
      </c>
      <c r="H215" s="8" t="str">
        <f aca="false">IFERROR(INDEX('TRANS'!$C:$C,MATCH($B215,'TRANS'!$A:$A,0)),IFERROR(INDEX('Catalog'!$B:$B,MATCH($G215,'Catalog'!$A:$A,0)),$B215))</f>
        <v>95B L מגן מרפק שחור</v>
      </c>
      <c r="I215" s="8" t="str">
        <f aca="false">IF($G215="","Unmatched","Matched")</f>
        <v>Matched</v>
      </c>
      <c r="J215" s="8" t="n">
        <f aca="false">IF($G215&lt;&gt;"",$G215,$B215)</f>
        <v>4413500</v>
      </c>
      <c r="K215" s="8" t="str">
        <f aca="false">IF(COUNTIF($M$1:$M$10,$A215)&gt;0,"Y","N")</f>
        <v>Y</v>
      </c>
    </row>
    <row r="216" customFormat="false" ht="15" hidden="false" customHeight="true" outlineLevel="0" collapsed="false">
      <c r="A216" s="8" t="s">
        <v>46</v>
      </c>
      <c r="B216" s="8" t="s">
        <v>718</v>
      </c>
      <c r="C216" s="19" t="n">
        <v>3</v>
      </c>
      <c r="D216" s="19" t="n">
        <v>92.67</v>
      </c>
      <c r="E216" s="19" t="n">
        <v>0</v>
      </c>
      <c r="F216" s="19" t="n">
        <v>0</v>
      </c>
      <c r="G216" s="8" t="n">
        <f aca="false">IFERROR(INDEX('TRANS'!$B:$B,MATCH($B216,'TRANS'!$A:$A,0)),IFERROR(INDEX('TRANS'!$B:$B,MATCH(TRIM(SUBSTITUTE($B216,CHAR(160)," ")),'TRANS'!$D:$D,0)),IFERROR(INDEX('Catalog'!$A:$A,MATCH($B216,'Catalog'!$B:$B,0)),IFERROR(INDEX('Catalog'!$A:$A,MATCH(TRIM(SUBSTITUTE($B216,CHAR(160)," ")),'Catalog'!$C:$C,0)),""))))</f>
        <v>4413501</v>
      </c>
      <c r="H216" s="8" t="str">
        <f aca="false">IFERROR(INDEX('TRANS'!$C:$C,MATCH($B216,'TRANS'!$A:$A,0)),IFERROR(INDEX('Catalog'!$B:$B,MATCH($G216,'Catalog'!$A:$A,0)),$B216))</f>
        <v>95B M מגן מרפק שחור</v>
      </c>
      <c r="I216" s="8" t="str">
        <f aca="false">IF($G216="","Unmatched","Matched")</f>
        <v>Matched</v>
      </c>
      <c r="J216" s="8" t="n">
        <f aca="false">IF($G216&lt;&gt;"",$G216,$B216)</f>
        <v>4413501</v>
      </c>
      <c r="K216" s="8" t="str">
        <f aca="false">IF(COUNTIF($M$1:$M$10,$A216)&gt;0,"Y","N")</f>
        <v>Y</v>
      </c>
    </row>
    <row r="217" customFormat="false" ht="15" hidden="false" customHeight="true" outlineLevel="0" collapsed="false">
      <c r="A217" s="8" t="s">
        <v>46</v>
      </c>
      <c r="B217" s="8" t="s">
        <v>719</v>
      </c>
      <c r="C217" s="19" t="n">
        <v>1</v>
      </c>
      <c r="D217" s="19" t="n">
        <v>30.91</v>
      </c>
      <c r="E217" s="19" t="n">
        <v>0</v>
      </c>
      <c r="F217" s="19" t="n">
        <v>0</v>
      </c>
      <c r="G217" s="8" t="n">
        <f aca="false">IFERROR(INDEX('TRANS'!$B:$B,MATCH($B217,'TRANS'!$A:$A,0)),IFERROR(INDEX('TRANS'!$B:$B,MATCH(TRIM(SUBSTITUTE($B217,CHAR(160)," ")),'TRANS'!$D:$D,0)),IFERROR(INDEX('Catalog'!$A:$A,MATCH($B217,'Catalog'!$B:$B,0)),IFERROR(INDEX('Catalog'!$A:$A,MATCH(TRIM(SUBSTITUTE($B217,CHAR(160)," ")),'Catalog'!$C:$C,0)),""))))</f>
        <v>4413502</v>
      </c>
      <c r="H217" s="8" t="str">
        <f aca="false">IFERROR(INDEX('TRANS'!$C:$C,MATCH($B217,'TRANS'!$A:$A,0)),IFERROR(INDEX('Catalog'!$B:$B,MATCH($G217,'Catalog'!$A:$A,0)),$B217))</f>
        <v>95B S מגן מרפק שחור</v>
      </c>
      <c r="I217" s="8" t="str">
        <f aca="false">IF($G217="","Unmatched","Matched")</f>
        <v>Matched</v>
      </c>
      <c r="J217" s="8" t="n">
        <f aca="false">IF($G217&lt;&gt;"",$G217,$B217)</f>
        <v>4413502</v>
      </c>
      <c r="K217" s="8" t="str">
        <f aca="false">IF(COUNTIF($M$1:$M$10,$A217)&gt;0,"Y","N")</f>
        <v>Y</v>
      </c>
    </row>
    <row r="218" customFormat="false" ht="15" hidden="false" customHeight="true" outlineLevel="0" collapsed="false">
      <c r="A218" s="8" t="s">
        <v>46</v>
      </c>
      <c r="B218" s="8" t="s">
        <v>720</v>
      </c>
      <c r="C218" s="19" t="n">
        <v>1</v>
      </c>
      <c r="D218" s="19" t="n">
        <v>30.89</v>
      </c>
      <c r="E218" s="19" t="n">
        <v>0</v>
      </c>
      <c r="F218" s="19" t="n">
        <v>0</v>
      </c>
      <c r="G218" s="8" t="n">
        <f aca="false">IFERROR(INDEX('TRANS'!$B:$B,MATCH($B218,'TRANS'!$A:$A,0)),IFERROR(INDEX('TRANS'!$B:$B,MATCH(TRIM(SUBSTITUTE($B218,CHAR(160)," ")),'TRANS'!$D:$D,0)),IFERROR(INDEX('Catalog'!$A:$A,MATCH($B218,'Catalog'!$B:$B,0)),IFERROR(INDEX('Catalog'!$A:$A,MATCH(TRIM(SUBSTITUTE($B218,CHAR(160)," ")),'Catalog'!$C:$C,0)),""))))</f>
        <v>4413503</v>
      </c>
      <c r="H218" s="8" t="str">
        <f aca="false">IFERROR(INDEX('TRANS'!$C:$C,MATCH($B218,'TRANS'!$A:$A,0)),IFERROR(INDEX('Catalog'!$B:$B,MATCH($G218,'Catalog'!$A:$A,0)),$B218))</f>
        <v>95B XL מגן מרפק שחור</v>
      </c>
      <c r="I218" s="8" t="str">
        <f aca="false">IF($G218="","Unmatched","Matched")</f>
        <v>Matched</v>
      </c>
      <c r="J218" s="8" t="n">
        <f aca="false">IF($G218&lt;&gt;"",$G218,$B218)</f>
        <v>4413503</v>
      </c>
      <c r="K218" s="8" t="str">
        <f aca="false">IF(COUNTIF($M$1:$M$10,$A218)&gt;0,"Y","N")</f>
        <v>Y</v>
      </c>
    </row>
    <row r="219" customFormat="false" ht="15" hidden="false" customHeight="true" outlineLevel="0" collapsed="false">
      <c r="A219" s="8" t="s">
        <v>46</v>
      </c>
      <c r="B219" s="8" t="s">
        <v>721</v>
      </c>
      <c r="C219" s="19" t="n">
        <v>4</v>
      </c>
      <c r="D219" s="19" t="n">
        <v>133.87</v>
      </c>
      <c r="E219" s="19" t="n">
        <v>0</v>
      </c>
      <c r="F219" s="19" t="n">
        <v>-13.26</v>
      </c>
      <c r="G219" s="8" t="n">
        <f aca="false">IFERROR(INDEX('TRANS'!$B:$B,MATCH($B219,'TRANS'!$A:$A,0)),IFERROR(INDEX('TRANS'!$B:$B,MATCH(TRIM(SUBSTITUTE($B219,CHAR(160)," ")),'TRANS'!$D:$D,0)),IFERROR(INDEX('Catalog'!$A:$A,MATCH($B219,'Catalog'!$B:$B,0)),IFERROR(INDEX('Catalog'!$A:$A,MATCH(TRIM(SUBSTITUTE($B219,CHAR(160)," ")),'Catalog'!$C:$C,0)),""))))</f>
        <v>4413365</v>
      </c>
      <c r="H219" s="8" t="str">
        <f aca="false">IFERROR(INDEX('TRANS'!$C:$C,MATCH($B219,'TRANS'!$A:$A,0)),IFERROR(INDEX('Catalog'!$B:$B,MATCH($G219,'Catalog'!$A:$A,0)),$B219))</f>
        <v>95C L 'מגן מרפק בז</v>
      </c>
      <c r="I219" s="8" t="str">
        <f aca="false">IF($G219="","Unmatched","Matched")</f>
        <v>Matched</v>
      </c>
      <c r="J219" s="8" t="n">
        <f aca="false">IF($G219&lt;&gt;"",$G219,$B219)</f>
        <v>4413365</v>
      </c>
      <c r="K219" s="8" t="str">
        <f aca="false">IF(COUNTIF($M$1:$M$10,$A219)&gt;0,"Y","N")</f>
        <v>Y</v>
      </c>
    </row>
    <row r="220" customFormat="false" ht="15" hidden="false" customHeight="true" outlineLevel="0" collapsed="false">
      <c r="A220" s="8" t="s">
        <v>46</v>
      </c>
      <c r="B220" s="8" t="s">
        <v>722</v>
      </c>
      <c r="C220" s="19" t="n">
        <v>4</v>
      </c>
      <c r="D220" s="19" t="n">
        <v>122.42</v>
      </c>
      <c r="E220" s="19" t="n">
        <v>0</v>
      </c>
      <c r="F220" s="19" t="n">
        <v>0</v>
      </c>
      <c r="G220" s="8" t="n">
        <f aca="false">IFERROR(INDEX('TRANS'!$B:$B,MATCH($B220,'TRANS'!$A:$A,0)),IFERROR(INDEX('TRANS'!$B:$B,MATCH(TRIM(SUBSTITUTE($B220,CHAR(160)," ")),'TRANS'!$D:$D,0)),IFERROR(INDEX('Catalog'!$A:$A,MATCH($B220,'Catalog'!$B:$B,0)),IFERROR(INDEX('Catalog'!$A:$A,MATCH(TRIM(SUBSTITUTE($B220,CHAR(160)," ")),'Catalog'!$C:$C,0)),""))))</f>
        <v>4413364</v>
      </c>
      <c r="H220" s="8" t="str">
        <f aca="false">IFERROR(INDEX('TRANS'!$C:$C,MATCH($B220,'TRANS'!$A:$A,0)),IFERROR(INDEX('Catalog'!$B:$B,MATCH($G220,'Catalog'!$A:$A,0)),$B220))</f>
        <v>95C M 'מגן מרפק בז</v>
      </c>
      <c r="I220" s="8" t="str">
        <f aca="false">IF($G220="","Unmatched","Matched")</f>
        <v>Matched</v>
      </c>
      <c r="J220" s="8" t="n">
        <f aca="false">IF($G220&lt;&gt;"",$G220,$B220)</f>
        <v>4413364</v>
      </c>
      <c r="K220" s="8" t="str">
        <f aca="false">IF(COUNTIF($M$1:$M$10,$A220)&gt;0,"Y","N")</f>
        <v>Y</v>
      </c>
    </row>
    <row r="221" customFormat="false" ht="15" hidden="false" customHeight="true" outlineLevel="0" collapsed="false">
      <c r="A221" s="8" t="s">
        <v>46</v>
      </c>
      <c r="B221" s="8" t="s">
        <v>723</v>
      </c>
      <c r="C221" s="19" t="n">
        <v>97</v>
      </c>
      <c r="D221" s="19" t="n">
        <v>7095.97</v>
      </c>
      <c r="E221" s="19" t="n">
        <v>8</v>
      </c>
      <c r="F221" s="19" t="n">
        <v>703.11</v>
      </c>
      <c r="G221" s="8" t="n">
        <f aca="false">IFERROR(INDEX('TRANS'!$B:$B,MATCH($B221,'TRANS'!$A:$A,0)),IFERROR(INDEX('TRANS'!$B:$B,MATCH(TRIM(SUBSTITUTE($B221,CHAR(160)," ")),'TRANS'!$D:$D,0)),IFERROR(INDEX('Catalog'!$A:$A,MATCH($B221,'Catalog'!$B:$B,0)),IFERROR(INDEX('Catalog'!$A:$A,MATCH(TRIM(SUBSTITUTE($B221,CHAR(160)," ")),'Catalog'!$C:$C,0)),""))))</f>
        <v>4408205</v>
      </c>
      <c r="H221" s="8" t="str">
        <f aca="false">IFERROR(INDEX('TRANS'!$C:$C,MATCH($B221,'TRANS'!$A:$A,0)),IFERROR(INDEX('Catalog'!$B:$B,MATCH($G221,'Catalog'!$A:$A,0)),$B221))</f>
        <v>AC-07 חגורת גב עם תמיכות</v>
      </c>
      <c r="I221" s="8" t="str">
        <f aca="false">IF($G221="","Unmatched","Matched")</f>
        <v>Matched</v>
      </c>
      <c r="J221" s="8" t="n">
        <f aca="false">IF($G221&lt;&gt;"",$G221,$B221)</f>
        <v>4408205</v>
      </c>
      <c r="K221" s="8" t="str">
        <f aca="false">IF(COUNTIF($M$1:$M$10,$A221)&gt;0,"Y","N")</f>
        <v>Y</v>
      </c>
    </row>
    <row r="222" customFormat="false" ht="15" hidden="false" customHeight="true" outlineLevel="0" collapsed="false">
      <c r="A222" s="8" t="s">
        <v>46</v>
      </c>
      <c r="B222" s="8" t="s">
        <v>724</v>
      </c>
      <c r="C222" s="19" t="n">
        <v>6</v>
      </c>
      <c r="D222" s="19" t="n">
        <v>366.47</v>
      </c>
      <c r="E222" s="19" t="n">
        <v>1</v>
      </c>
      <c r="F222" s="19" t="n">
        <v>0.01</v>
      </c>
      <c r="G222" s="8" t="n">
        <f aca="false">IFERROR(INDEX('TRANS'!$B:$B,MATCH($B222,'TRANS'!$A:$A,0)),IFERROR(INDEX('TRANS'!$B:$B,MATCH(TRIM(SUBSTITUTE($B222,CHAR(160)," ")),'TRANS'!$D:$D,0)),IFERROR(INDEX('Catalog'!$A:$A,MATCH($B222,'Catalog'!$B:$B,0)),IFERROR(INDEX('Catalog'!$A:$A,MATCH(TRIM(SUBSTITUTE($B222,CHAR(160)," ")),'Catalog'!$C:$C,0)),""))))</f>
        <v>4408206</v>
      </c>
      <c r="H222" s="8" t="str">
        <f aca="false">IFERROR(INDEX('TRANS'!$C:$C,MATCH($B222,'TRANS'!$A:$A,0)),IFERROR(INDEX('Catalog'!$B:$B,MATCH($G222,'Catalog'!$A:$A,0)),$B222))</f>
        <v>AC-11 חגורת בטן קלה</v>
      </c>
      <c r="I222" s="8" t="str">
        <f aca="false">IF($G222="","Unmatched","Matched")</f>
        <v>Matched</v>
      </c>
      <c r="J222" s="8" t="n">
        <f aca="false">IF($G222&lt;&gt;"",$G222,$B222)</f>
        <v>4408206</v>
      </c>
      <c r="K222" s="8" t="str">
        <f aca="false">IF(COUNTIF($M$1:$M$10,$A222)&gt;0,"Y","N")</f>
        <v>Y</v>
      </c>
    </row>
    <row r="223" customFormat="false" ht="15" hidden="false" customHeight="true" outlineLevel="0" collapsed="false">
      <c r="A223" s="8" t="s">
        <v>46</v>
      </c>
      <c r="B223" s="8" t="s">
        <v>725</v>
      </c>
      <c r="C223" s="19" t="n">
        <v>6</v>
      </c>
      <c r="D223" s="19" t="n">
        <v>211.17</v>
      </c>
      <c r="E223" s="19" t="n">
        <v>11</v>
      </c>
      <c r="F223" s="19" t="n">
        <v>363.77</v>
      </c>
      <c r="G223" s="8" t="n">
        <f aca="false">IFERROR(INDEX('TRANS'!$B:$B,MATCH($B223,'TRANS'!$A:$A,0)),IFERROR(INDEX('TRANS'!$B:$B,MATCH(TRIM(SUBSTITUTE($B223,CHAR(160)," ")),'TRANS'!$D:$D,0)),IFERROR(INDEX('Catalog'!$A:$A,MATCH($B223,'Catalog'!$B:$B,0)),IFERROR(INDEX('Catalog'!$A:$A,MATCH(TRIM(SUBSTITUTE($B223,CHAR(160)," ")),'Catalog'!$C:$C,0)),""))))</f>
        <v>4408207</v>
      </c>
      <c r="H223" s="8" t="str">
        <f aca="false">IFERROR(INDEX('TRANS'!$C:$C,MATCH($B223,'TRANS'!$A:$A,0)),IFERROR(INDEX('Catalog'!$B:$B,MATCH($G223,'Catalog'!$A:$A,0)),$B223))</f>
        <v>AC-25 חבק לשורש כף היד</v>
      </c>
      <c r="I223" s="8" t="str">
        <f aca="false">IF($G223="","Unmatched","Matched")</f>
        <v>Matched</v>
      </c>
      <c r="J223" s="8" t="n">
        <f aca="false">IF($G223&lt;&gt;"",$G223,$B223)</f>
        <v>4408207</v>
      </c>
      <c r="K223" s="8" t="str">
        <f aca="false">IF(COUNTIF($M$1:$M$10,$A223)&gt;0,"Y","N")</f>
        <v>Y</v>
      </c>
    </row>
    <row r="224" customFormat="false" ht="15" hidden="false" customHeight="true" outlineLevel="0" collapsed="false">
      <c r="A224" s="8" t="s">
        <v>46</v>
      </c>
      <c r="B224" s="8" t="s">
        <v>726</v>
      </c>
      <c r="C224" s="19" t="n">
        <v>4</v>
      </c>
      <c r="D224" s="19" t="n">
        <v>180.59</v>
      </c>
      <c r="E224" s="19" t="n">
        <v>2</v>
      </c>
      <c r="F224" s="19" t="n">
        <v>93.64</v>
      </c>
      <c r="G224" s="8" t="n">
        <f aca="false">IFERROR(INDEX('TRANS'!$B:$B,MATCH($B224,'TRANS'!$A:$A,0)),IFERROR(INDEX('TRANS'!$B:$B,MATCH(TRIM(SUBSTITUTE($B224,CHAR(160)," ")),'TRANS'!$D:$D,0)),IFERROR(INDEX('Catalog'!$A:$A,MATCH($B224,'Catalog'!$B:$B,0)),IFERROR(INDEX('Catalog'!$A:$A,MATCH(TRIM(SUBSTITUTE($B224,CHAR(160)," ")),'Catalog'!$C:$C,0)),""))))</f>
        <v>4415026</v>
      </c>
      <c r="H224" s="8" t="str">
        <f aca="false">IFERROR(INDEX('TRANS'!$C:$C,MATCH($B224,'TRANS'!$A:$A,0)),IFERROR(INDEX('Catalog'!$B:$B,MATCH($G224,'Catalog'!$A:$A,0)),$B224))</f>
        <v>AC-27L סד לש.כף יד שמאל</v>
      </c>
      <c r="I224" s="8" t="str">
        <f aca="false">IF($G224="","Unmatched","Matched")</f>
        <v>Matched</v>
      </c>
      <c r="J224" s="8" t="n">
        <f aca="false">IF($G224&lt;&gt;"",$G224,$B224)</f>
        <v>4415026</v>
      </c>
      <c r="K224" s="8" t="str">
        <f aca="false">IF(COUNTIF($M$1:$M$10,$A224)&gt;0,"Y","N")</f>
        <v>Y</v>
      </c>
    </row>
    <row r="225" customFormat="false" ht="15" hidden="false" customHeight="true" outlineLevel="0" collapsed="false">
      <c r="A225" s="8" t="s">
        <v>46</v>
      </c>
      <c r="B225" s="8" t="s">
        <v>727</v>
      </c>
      <c r="C225" s="19" t="n">
        <v>3</v>
      </c>
      <c r="D225" s="19" t="n">
        <v>46.84</v>
      </c>
      <c r="E225" s="19" t="n">
        <v>2</v>
      </c>
      <c r="F225" s="19" t="n">
        <v>46.83</v>
      </c>
      <c r="G225" s="8" t="n">
        <f aca="false">IFERROR(INDEX('TRANS'!$B:$B,MATCH($B225,'TRANS'!$A:$A,0)),IFERROR(INDEX('TRANS'!$B:$B,MATCH(TRIM(SUBSTITUTE($B225,CHAR(160)," ")),'TRANS'!$D:$D,0)),IFERROR(INDEX('Catalog'!$A:$A,MATCH($B225,'Catalog'!$B:$B,0)),IFERROR(INDEX('Catalog'!$A:$A,MATCH(TRIM(SUBSTITUTE($B225,CHAR(160)," ")),'Catalog'!$C:$C,0)),""))))</f>
        <v>4415027</v>
      </c>
      <c r="H225" s="8" t="str">
        <f aca="false">IFERROR(INDEX('TRANS'!$C:$C,MATCH($B225,'TRANS'!$A:$A,0)),IFERROR(INDEX('Catalog'!$B:$B,MATCH($G225,'Catalog'!$A:$A,0)),$B225))</f>
        <v>AC-27R סד לש.כף יד ימין</v>
      </c>
      <c r="I225" s="8" t="str">
        <f aca="false">IF($G225="","Unmatched","Matched")</f>
        <v>Matched</v>
      </c>
      <c r="J225" s="8" t="n">
        <f aca="false">IF($G225&lt;&gt;"",$G225,$B225)</f>
        <v>4415027</v>
      </c>
      <c r="K225" s="8" t="str">
        <f aca="false">IF(COUNTIF($M$1:$M$10,$A225)&gt;0,"Y","N")</f>
        <v>Y</v>
      </c>
    </row>
    <row r="226" customFormat="false" ht="15" hidden="false" customHeight="true" outlineLevel="0" collapsed="false">
      <c r="A226" s="8" t="s">
        <v>46</v>
      </c>
      <c r="B226" s="8" t="s">
        <v>728</v>
      </c>
      <c r="C226" s="19" t="n">
        <v>71</v>
      </c>
      <c r="D226" s="19" t="n">
        <v>2760.42</v>
      </c>
      <c r="E226" s="19" t="n">
        <v>21</v>
      </c>
      <c r="F226" s="19" t="n">
        <v>818.99</v>
      </c>
      <c r="G226" s="8" t="n">
        <f aca="false">IFERROR(INDEX('TRANS'!$B:$B,MATCH($B226,'TRANS'!$A:$A,0)),IFERROR(INDEX('TRANS'!$B:$B,MATCH(TRIM(SUBSTITUTE($B226,CHAR(160)," ")),'TRANS'!$D:$D,0)),IFERROR(INDEX('Catalog'!$A:$A,MATCH($B226,'Catalog'!$B:$B,0)),IFERROR(INDEX('Catalog'!$A:$A,MATCH(TRIM(SUBSTITUTE($B226,CHAR(160)," ")),'Catalog'!$C:$C,0)),""))))</f>
        <v>4415028</v>
      </c>
      <c r="H226" s="8" t="str">
        <f aca="false">IFERROR(INDEX('TRANS'!$C:$C,MATCH($B226,'TRANS'!$A:$A,0)),IFERROR(INDEX('Catalog'!$B:$B,MATCH($G226,'Catalog'!$A:$A,0)),$B226))</f>
        <v>AC-28 סד לאגודל</v>
      </c>
      <c r="I226" s="8" t="str">
        <f aca="false">IF($G226="","Unmatched","Matched")</f>
        <v>Matched</v>
      </c>
      <c r="J226" s="8" t="n">
        <f aca="false">IF($G226&lt;&gt;"",$G226,$B226)</f>
        <v>4415028</v>
      </c>
      <c r="K226" s="8" t="str">
        <f aca="false">IF(COUNTIF($M$1:$M$10,$A226)&gt;0,"Y","N")</f>
        <v>Y</v>
      </c>
    </row>
    <row r="227" customFormat="false" ht="15" hidden="false" customHeight="true" outlineLevel="0" collapsed="false">
      <c r="A227" s="8" t="s">
        <v>46</v>
      </c>
      <c r="B227" s="8" t="s">
        <v>729</v>
      </c>
      <c r="C227" s="19" t="n">
        <v>12</v>
      </c>
      <c r="D227" s="19" t="n">
        <v>361.3</v>
      </c>
      <c r="E227" s="19" t="n">
        <v>7</v>
      </c>
      <c r="F227" s="19" t="n">
        <v>206.15</v>
      </c>
      <c r="G227" s="8" t="n">
        <f aca="false">IFERROR(INDEX('TRANS'!$B:$B,MATCH($B227,'TRANS'!$A:$A,0)),IFERROR(INDEX('TRANS'!$B:$B,MATCH(TRIM(SUBSTITUTE($B227,CHAR(160)," ")),'TRANS'!$D:$D,0)),IFERROR(INDEX('Catalog'!$A:$A,MATCH($B227,'Catalog'!$B:$B,0)),IFERROR(INDEX('Catalog'!$A:$A,MATCH(TRIM(SUBSTITUTE($B227,CHAR(160)," ")),'Catalog'!$C:$C,0)),""))))</f>
        <v>4413326</v>
      </c>
      <c r="H227" s="8" t="str">
        <f aca="false">IFERROR(INDEX('TRANS'!$C:$C,MATCH($B227,'TRANS'!$A:$A,0)),IFERROR(INDEX('Catalog'!$B:$B,MATCH($G227,'Catalog'!$A:$A,0)),$B227))</f>
        <v>AC37 מגן קרסול נושם</v>
      </c>
      <c r="I227" s="8" t="str">
        <f aca="false">IF($G227="","Unmatched","Matched")</f>
        <v>Matched</v>
      </c>
      <c r="J227" s="8" t="n">
        <f aca="false">IF($G227&lt;&gt;"",$G227,$B227)</f>
        <v>4413326</v>
      </c>
      <c r="K227" s="8" t="str">
        <f aca="false">IF(COUNTIF($M$1:$M$10,$A227)&gt;0,"Y","N")</f>
        <v>Y</v>
      </c>
    </row>
    <row r="228" customFormat="false" ht="15" hidden="false" customHeight="true" outlineLevel="0" collapsed="false">
      <c r="A228" s="8" t="s">
        <v>46</v>
      </c>
      <c r="B228" s="8" t="s">
        <v>730</v>
      </c>
      <c r="C228" s="19" t="n">
        <v>9</v>
      </c>
      <c r="D228" s="19" t="n">
        <v>767.44</v>
      </c>
      <c r="E228" s="19" t="n">
        <v>5</v>
      </c>
      <c r="F228" s="19" t="n">
        <v>395.12</v>
      </c>
      <c r="G228" s="8" t="n">
        <f aca="false">IFERROR(INDEX('TRANS'!$B:$B,MATCH($B228,'TRANS'!$A:$A,0)),IFERROR(INDEX('TRANS'!$B:$B,MATCH(TRIM(SUBSTITUTE($B228,CHAR(160)," ")),'TRANS'!$D:$D,0)),IFERROR(INDEX('Catalog'!$A:$A,MATCH($B228,'Catalog'!$B:$B,0)),IFERROR(INDEX('Catalog'!$A:$A,MATCH(TRIM(SUBSTITUTE($B228,CHAR(160)," ")),'Catalog'!$C:$C,0)),""))))</f>
        <v>4420026</v>
      </c>
      <c r="H228" s="8" t="str">
        <f aca="false">IFERROR(INDEX('TRANS'!$C:$C,MATCH($B228,'TRANS'!$A:$A,0)),IFERROR(INDEX('Catalog'!$B:$B,MATCH($G228,'Catalog'!$A:$A,0)),$B228))</f>
        <v>AC40 רצועה לפיקת הברך</v>
      </c>
      <c r="I228" s="8" t="str">
        <f aca="false">IF($G228="","Unmatched","Matched")</f>
        <v>Matched</v>
      </c>
      <c r="J228" s="8" t="n">
        <f aca="false">IF($G228&lt;&gt;"",$G228,$B228)</f>
        <v>4420026</v>
      </c>
      <c r="K228" s="8" t="str">
        <f aca="false">IF(COUNTIF($M$1:$M$10,$A228)&gt;0,"Y","N")</f>
        <v>Y</v>
      </c>
    </row>
    <row r="229" customFormat="false" ht="15" hidden="false" customHeight="true" outlineLevel="0" collapsed="false">
      <c r="A229" s="8" t="s">
        <v>46</v>
      </c>
      <c r="B229" s="8" t="s">
        <v>731</v>
      </c>
      <c r="C229" s="19" t="n">
        <v>10</v>
      </c>
      <c r="D229" s="19" t="n">
        <v>750.91</v>
      </c>
      <c r="E229" s="19" t="n">
        <v>3</v>
      </c>
      <c r="F229" s="19" t="n">
        <v>224.84</v>
      </c>
      <c r="G229" s="8" t="n">
        <f aca="false">IFERROR(INDEX('TRANS'!$B:$B,MATCH($B229,'TRANS'!$A:$A,0)),IFERROR(INDEX('TRANS'!$B:$B,MATCH(TRIM(SUBSTITUTE($B229,CHAR(160)," ")),'TRANS'!$D:$D,0)),IFERROR(INDEX('Catalog'!$A:$A,MATCH($B229,'Catalog'!$B:$B,0)),IFERROR(INDEX('Catalog'!$A:$A,MATCH(TRIM(SUBSTITUTE($B229,CHAR(160)," ")),'Catalog'!$C:$C,0)),""))))</f>
        <v>4413329</v>
      </c>
      <c r="H229" s="8" t="str">
        <f aca="false">IFERROR(INDEX('TRANS'!$C:$C,MATCH($B229,'TRANS'!$A:$A,0)),IFERROR(INDEX('Catalog'!$B:$B,MATCH($G229,'Catalog'!$A:$A,0)),$B229))</f>
        <v>AC45X מגן ברך עם תמיכות</v>
      </c>
      <c r="I229" s="8" t="str">
        <f aca="false">IF($G229="","Unmatched","Matched")</f>
        <v>Matched</v>
      </c>
      <c r="J229" s="8" t="n">
        <f aca="false">IF($G229&lt;&gt;"",$G229,$B229)</f>
        <v>4413329</v>
      </c>
      <c r="K229" s="8" t="str">
        <f aca="false">IF(COUNTIF($M$1:$M$10,$A229)&gt;0,"Y","N")</f>
        <v>Y</v>
      </c>
    </row>
    <row r="230" customFormat="false" ht="15" hidden="false" customHeight="true" outlineLevel="0" collapsed="false">
      <c r="A230" s="8" t="s">
        <v>46</v>
      </c>
      <c r="B230" s="8" t="s">
        <v>732</v>
      </c>
      <c r="C230" s="19" t="n">
        <v>13</v>
      </c>
      <c r="D230" s="19" t="n">
        <v>910.42</v>
      </c>
      <c r="E230" s="19" t="n">
        <v>7</v>
      </c>
      <c r="F230" s="19" t="n">
        <v>493.83</v>
      </c>
      <c r="G230" s="8" t="n">
        <f aca="false">IFERROR(INDEX('TRANS'!$B:$B,MATCH($B230,'TRANS'!$A:$A,0)),IFERROR(INDEX('TRANS'!$B:$B,MATCH(TRIM(SUBSTITUTE($B230,CHAR(160)," ")),'TRANS'!$D:$D,0)),IFERROR(INDEX('Catalog'!$A:$A,MATCH($B230,'Catalog'!$B:$B,0)),IFERROR(INDEX('Catalog'!$A:$A,MATCH(TRIM(SUBSTITUTE($B230,CHAR(160)," ")),'Catalog'!$C:$C,0)),""))))</f>
        <v>4413456</v>
      </c>
      <c r="H230" s="8" t="str">
        <f aca="false">IFERROR(INDEX('TRANS'!$C:$C,MATCH($B230,'TRANS'!$A:$A,0)),IFERROR(INDEX('Catalog'!$B:$B,MATCH($G230,'Catalog'!$A:$A,0)),$B230))</f>
        <v>AC75 XXL  מיישר כתפיים אקטיב</v>
      </c>
      <c r="I230" s="8" t="str">
        <f aca="false">IF($G230="","Unmatched","Matched")</f>
        <v>Matched</v>
      </c>
      <c r="J230" s="8" t="n">
        <f aca="false">IF($G230&lt;&gt;"",$G230,$B230)</f>
        <v>4413456</v>
      </c>
      <c r="K230" s="8" t="str">
        <f aca="false">IF(COUNTIF($M$1:$M$10,$A230)&gt;0,"Y","N")</f>
        <v>Y</v>
      </c>
    </row>
    <row r="231" customFormat="false" ht="15" hidden="false" customHeight="true" outlineLevel="0" collapsed="false">
      <c r="A231" s="8" t="s">
        <v>46</v>
      </c>
      <c r="B231" s="8" t="s">
        <v>733</v>
      </c>
      <c r="C231" s="19" t="n">
        <v>48</v>
      </c>
      <c r="D231" s="19" t="n">
        <v>1793.19</v>
      </c>
      <c r="E231" s="19" t="n">
        <v>12</v>
      </c>
      <c r="F231" s="19" t="n">
        <v>440.4</v>
      </c>
      <c r="G231" s="8" t="n">
        <f aca="false">IFERROR(INDEX('TRANS'!$B:$B,MATCH($B231,'TRANS'!$A:$A,0)),IFERROR(INDEX('TRANS'!$B:$B,MATCH(TRIM(SUBSTITUTE($B231,CHAR(160)," ")),'TRANS'!$D:$D,0)),IFERROR(INDEX('Catalog'!$A:$A,MATCH($B231,'Catalog'!$B:$B,0)),IFERROR(INDEX('Catalog'!$A:$A,MATCH(TRIM(SUBSTITUTE($B231,CHAR(160)," ")),'Catalog'!$C:$C,0)),""))))</f>
        <v>4408208</v>
      </c>
      <c r="H231" s="8" t="str">
        <f aca="false">IFERROR(INDEX('TRANS'!$C:$C,MATCH($B231,'TRANS'!$A:$A,0)),IFERROR(INDEX('Catalog'!$B:$B,MATCH($G231,'Catalog'!$A:$A,0)),$B231))</f>
        <v>AC91 חבק טניס</v>
      </c>
      <c r="I231" s="8" t="str">
        <f aca="false">IF($G231="","Unmatched","Matched")</f>
        <v>Matched</v>
      </c>
      <c r="J231" s="8" t="n">
        <f aca="false">IF($G231&lt;&gt;"",$G231,$B231)</f>
        <v>4408208</v>
      </c>
      <c r="K231" s="8" t="str">
        <f aca="false">IF(COUNTIF($M$1:$M$10,$A231)&gt;0,"Y","N")</f>
        <v>Y</v>
      </c>
    </row>
    <row r="232" customFormat="false" ht="15" hidden="false" customHeight="true" outlineLevel="0" collapsed="false">
      <c r="A232" s="8" t="s">
        <v>46</v>
      </c>
      <c r="B232" s="8" t="s">
        <v>734</v>
      </c>
      <c r="C232" s="19" t="n">
        <v>15</v>
      </c>
      <c r="D232" s="19" t="n">
        <v>573.36</v>
      </c>
      <c r="E232" s="19" t="n">
        <v>7</v>
      </c>
      <c r="F232" s="19" t="n">
        <v>290.89</v>
      </c>
      <c r="G232" s="8" t="n">
        <f aca="false">IFERROR(INDEX('TRANS'!$B:$B,MATCH($B232,'TRANS'!$A:$A,0)),IFERROR(INDEX('TRANS'!$B:$B,MATCH(TRIM(SUBSTITUTE($B232,CHAR(160)," ")),'TRANS'!$D:$D,0)),IFERROR(INDEX('Catalog'!$A:$A,MATCH($B232,'Catalog'!$B:$B,0)),IFERROR(INDEX('Catalog'!$A:$A,MATCH(TRIM(SUBSTITUTE($B232,CHAR(160)," ")),'Catalog'!$C:$C,0)),""))))</f>
        <v>4413331</v>
      </c>
      <c r="H232" s="8" t="str">
        <f aca="false">IFERROR(INDEX('TRANS'!$C:$C,MATCH($B232,'TRANS'!$A:$A,0)),IFERROR(INDEX('Catalog'!$B:$B,MATCH($G232,'Catalog'!$A:$A,0)),$B232))</f>
        <v>AC95 מגן מרפק</v>
      </c>
      <c r="I232" s="8" t="str">
        <f aca="false">IF($G232="","Unmatched","Matched")</f>
        <v>Matched</v>
      </c>
      <c r="J232" s="8" t="n">
        <f aca="false">IF($G232&lt;&gt;"",$G232,$B232)</f>
        <v>4413331</v>
      </c>
      <c r="K232" s="8" t="str">
        <f aca="false">IF(COUNTIF($M$1:$M$10,$A232)&gt;0,"Y","N")</f>
        <v>Y</v>
      </c>
    </row>
    <row r="233" customFormat="false" ht="15" hidden="false" customHeight="true" outlineLevel="0" collapsed="false">
      <c r="A233" s="8" t="s">
        <v>46</v>
      </c>
      <c r="B233" s="8" t="s">
        <v>735</v>
      </c>
      <c r="C233" s="19" t="n">
        <v>13</v>
      </c>
      <c r="D233" s="19" t="n">
        <v>182.32</v>
      </c>
      <c r="E233" s="19" t="n">
        <v>2</v>
      </c>
      <c r="F233" s="19" t="n">
        <v>28.03</v>
      </c>
      <c r="G233" s="8" t="n">
        <f aca="false">IFERROR(INDEX('TRANS'!$B:$B,MATCH($B233,'TRANS'!$A:$A,0)),IFERROR(INDEX('TRANS'!$B:$B,MATCH(TRIM(SUBSTITUTE($B233,CHAR(160)," ")),'TRANS'!$D:$D,0)),IFERROR(INDEX('Catalog'!$A:$A,MATCH($B233,'Catalog'!$B:$B,0)),IFERROR(INDEX('Catalog'!$A:$A,MATCH(TRIM(SUBSTITUTE($B233,CHAR(160)," ")),'Catalog'!$C:$C,0)),""))))</f>
        <v>4413149</v>
      </c>
      <c r="H233" s="8" t="str">
        <f aca="false">IFERROR(INDEX('TRANS'!$C:$C,MATCH($B233,'TRANS'!$A:$A,0)),IFERROR(INDEX('Catalog'!$B:$B,MATCH($G233,'Catalog'!$A:$A,0)),$B233))</f>
        <v>FC321-מלח אמבט לכף הרגל</v>
      </c>
      <c r="I233" s="8" t="str">
        <f aca="false">IF($G233="","Unmatched","Matched")</f>
        <v>Matched</v>
      </c>
      <c r="J233" s="8" t="n">
        <f aca="false">IF($G233&lt;&gt;"",$G233,$B233)</f>
        <v>4413149</v>
      </c>
      <c r="K233" s="8" t="str">
        <f aca="false">IF(COUNTIF($M$1:$M$10,$A233)&gt;0,"Y","N")</f>
        <v>Y</v>
      </c>
    </row>
    <row r="234" customFormat="false" ht="15" hidden="false" customHeight="true" outlineLevel="0" collapsed="false">
      <c r="A234" s="8" t="s">
        <v>46</v>
      </c>
      <c r="B234" s="8" t="s">
        <v>736</v>
      </c>
      <c r="C234" s="19" t="n">
        <v>312</v>
      </c>
      <c r="D234" s="19" t="n">
        <v>8797.86</v>
      </c>
      <c r="E234" s="19" t="n">
        <v>105</v>
      </c>
      <c r="F234" s="19" t="n">
        <v>2265.05</v>
      </c>
      <c r="G234" s="8" t="n">
        <f aca="false">IFERROR(INDEX('TRANS'!$B:$B,MATCH($B234,'TRANS'!$A:$A,0)),IFERROR(INDEX('TRANS'!$B:$B,MATCH(TRIM(SUBSTITUTE($B234,CHAR(160)," ")),'TRANS'!$D:$D,0)),IFERROR(INDEX('Catalog'!$A:$A,MATCH($B234,'Catalog'!$B:$B,0)),IFERROR(INDEX('Catalog'!$A:$A,MATCH(TRIM(SUBSTITUTE($B234,CHAR(160)," ")),'Catalog'!$C:$C,0)),""))))</f>
        <v>4422035</v>
      </c>
      <c r="H234" s="8" t="str">
        <f aca="false">IFERROR(INDEX('TRANS'!$C:$C,MATCH($B234,'TRANS'!$A:$A,0)),IFERROR(INDEX('Catalog'!$B:$B,MATCH($G234,'Catalog'!$A:$A,0)),$B234))</f>
        <v>FCתרסיס דאודורנט אנטיבק.נעל333</v>
      </c>
      <c r="I234" s="8" t="str">
        <f aca="false">IF($G234="","Unmatched","Matched")</f>
        <v>Matched</v>
      </c>
      <c r="J234" s="8" t="n">
        <f aca="false">IF($G234&lt;&gt;"",$G234,$B234)</f>
        <v>4422035</v>
      </c>
      <c r="K234" s="8" t="str">
        <f aca="false">IF(COUNTIF($M$1:$M$10,$A234)&gt;0,"Y","N")</f>
        <v>Y</v>
      </c>
    </row>
    <row r="235" customFormat="false" ht="15" hidden="false" customHeight="true" outlineLevel="0" collapsed="false">
      <c r="A235" s="8" t="s">
        <v>46</v>
      </c>
      <c r="B235" s="8" t="s">
        <v>737</v>
      </c>
      <c r="C235" s="19" t="n">
        <v>37</v>
      </c>
      <c r="D235" s="19" t="n">
        <v>849.2</v>
      </c>
      <c r="E235" s="19" t="n">
        <v>8</v>
      </c>
      <c r="F235" s="19" t="n">
        <v>205.77</v>
      </c>
      <c r="G235" s="8" t="n">
        <f aca="false">IFERROR(INDEX('TRANS'!$B:$B,MATCH($B235,'TRANS'!$A:$A,0)),IFERROR(INDEX('TRANS'!$B:$B,MATCH(TRIM(SUBSTITUTE($B235,CHAR(160)," ")),'TRANS'!$D:$D,0)),IFERROR(INDEX('Catalog'!$A:$A,MATCH($B235,'Catalog'!$B:$B,0)),IFERROR(INDEX('Catalog'!$A:$A,MATCH(TRIM(SUBSTITUTE($B235,CHAR(160)," ")),'Catalog'!$C:$C,0)),""))))</f>
        <v>4409004</v>
      </c>
      <c r="H235" s="8" t="str">
        <f aca="false">IFERROR(INDEX('TRANS'!$C:$C,MATCH($B235,'TRANS'!$A:$A,0)),IFERROR(INDEX('Catalog'!$B:$B,MATCH($G235,'Catalog'!$A:$A,0)),$B235))</f>
        <v>FC335 טלק מעושר באלוורה</v>
      </c>
      <c r="I235" s="8" t="str">
        <f aca="false">IF($G235="","Unmatched","Matched")</f>
        <v>Matched</v>
      </c>
      <c r="J235" s="8" t="n">
        <f aca="false">IF($G235&lt;&gt;"",$G235,$B235)</f>
        <v>4409004</v>
      </c>
      <c r="K235" s="8" t="str">
        <f aca="false">IF(COUNTIF($M$1:$M$10,$A235)&gt;0,"Y","N")</f>
        <v>Y</v>
      </c>
    </row>
    <row r="236" customFormat="false" ht="15" hidden="false" customHeight="true" outlineLevel="0" collapsed="false">
      <c r="A236" s="8" t="s">
        <v>46</v>
      </c>
      <c r="B236" s="8" t="s">
        <v>536</v>
      </c>
      <c r="C236" s="19" t="n">
        <v>0</v>
      </c>
      <c r="D236" s="19" t="n">
        <v>0</v>
      </c>
      <c r="E236" s="19" t="n">
        <v>-3</v>
      </c>
      <c r="F236" s="19" t="n">
        <v>-106.72</v>
      </c>
      <c r="G236" s="8" t="str">
        <f aca="false">IFERROR(INDEX('TRANS'!$B:$B,MATCH($B236,'TRANS'!$A:$A,0)),IFERROR(INDEX('TRANS'!$B:$B,MATCH(TRIM(SUBSTITUTE($B236,CHAR(160)," ")),'TRANS'!$D:$D,0)),IFERROR(INDEX('Catalog'!$A:$A,MATCH($B236,'Catalog'!$B:$B,0)),IFERROR(INDEX('Catalog'!$A:$A,MATCH(TRIM(SUBSTITUTE($B236,CHAR(160)," ")),'Catalog'!$C:$C,0)),""))))</f>
        <v/>
      </c>
      <c r="H236" s="8" t="str">
        <f aca="false">IFERROR(INDEX('TRANS'!$C:$C,MATCH($B236,'TRANS'!$A:$A,0)),IFERROR(INDEX('Catalog'!$B:$B,MATCH($G236,'Catalog'!$A:$A,0)),$B236))</f>
        <v>FC341 0</v>
      </c>
      <c r="I236" s="8" t="str">
        <f aca="false">IF($G236="","Unmatched","Matched")</f>
        <v>Unmatched</v>
      </c>
      <c r="J236" s="8" t="str">
        <f aca="false">IF($G236&lt;&gt;"",$G236,$B236)</f>
        <v>FC341 0</v>
      </c>
      <c r="K236" s="8" t="str">
        <f aca="false">IF(COUNTIF($M$1:$M$10,$A236)&gt;0,"Y","N")</f>
        <v>Y</v>
      </c>
    </row>
    <row r="237" customFormat="false" ht="15" hidden="false" customHeight="true" outlineLevel="0" collapsed="false">
      <c r="A237" s="8" t="s">
        <v>46</v>
      </c>
      <c r="B237" s="8" t="s">
        <v>738</v>
      </c>
      <c r="C237" s="19" t="n">
        <v>28</v>
      </c>
      <c r="D237" s="19" t="n">
        <v>1001.53</v>
      </c>
      <c r="E237" s="19" t="n">
        <v>3</v>
      </c>
      <c r="F237" s="19" t="n">
        <v>73.05</v>
      </c>
      <c r="G237" s="8" t="n">
        <f aca="false">IFERROR(INDEX('TRANS'!$B:$B,MATCH($B237,'TRANS'!$A:$A,0)),IFERROR(INDEX('TRANS'!$B:$B,MATCH(TRIM(SUBSTITUTE($B237,CHAR(160)," ")),'TRANS'!$D:$D,0)),IFERROR(INDEX('Catalog'!$A:$A,MATCH($B237,'Catalog'!$B:$B,0)),IFERROR(INDEX('Catalog'!$A:$A,MATCH(TRIM(SUBSTITUTE($B237,CHAR(160)," ")),'Catalog'!$C:$C,0)),""))))</f>
        <v>4414000</v>
      </c>
      <c r="H237" s="8" t="str">
        <f aca="false">IFERROR(INDEX('TRANS'!$C:$C,MATCH($B237,'TRANS'!$A:$A,0)),IFERROR(INDEX('Catalog'!$B:$B,MATCH($G237,'Catalog'!$A:$A,0)),$B237))</f>
        <v>FC342-נוזל לציפורן חודרנית</v>
      </c>
      <c r="I237" s="8" t="str">
        <f aca="false">IF($G237="","Unmatched","Matched")</f>
        <v>Matched</v>
      </c>
      <c r="J237" s="8" t="n">
        <f aca="false">IF($G237&lt;&gt;"",$G237,$B237)</f>
        <v>4414000</v>
      </c>
      <c r="K237" s="8" t="str">
        <f aca="false">IF(COUNTIF($M$1:$M$10,$A237)&gt;0,"Y","N")</f>
        <v>Y</v>
      </c>
    </row>
    <row r="238" customFormat="false" ht="15" hidden="false" customHeight="true" outlineLevel="0" collapsed="false">
      <c r="A238" s="8" t="s">
        <v>46</v>
      </c>
      <c r="B238" s="8" t="s">
        <v>739</v>
      </c>
      <c r="C238" s="19" t="n">
        <v>12</v>
      </c>
      <c r="D238" s="19" t="n">
        <v>286.31</v>
      </c>
      <c r="E238" s="19" t="n">
        <v>7</v>
      </c>
      <c r="F238" s="19" t="n">
        <v>167</v>
      </c>
      <c r="G238" s="8" t="n">
        <f aca="false">IFERROR(INDEX('TRANS'!$B:$B,MATCH($B238,'TRANS'!$A:$A,0)),IFERROR(INDEX('TRANS'!$B:$B,MATCH(TRIM(SUBSTITUTE($B238,CHAR(160)," ")),'TRANS'!$D:$D,0)),IFERROR(INDEX('Catalog'!$A:$A,MATCH($B238,'Catalog'!$B:$B,0)),IFERROR(INDEX('Catalog'!$A:$A,MATCH(TRIM(SUBSTITUTE($B238,CHAR(160)," ")),'Catalog'!$C:$C,0)),""))))</f>
        <v>4413056</v>
      </c>
      <c r="H238" s="8" t="str">
        <f aca="false">IFERROR(INDEX('TRANS'!$C:$C,MATCH($B238,'TRANS'!$A:$A,0)),IFERROR(INDEX('Catalog'!$B:$B,MATCH($G238,'Catalog'!$A:$A,0)),$B238))</f>
        <v>LF360 מדרס מטטרזלי לנעלי עקב</v>
      </c>
      <c r="I238" s="8" t="str">
        <f aca="false">IF($G238="","Unmatched","Matched")</f>
        <v>Matched</v>
      </c>
      <c r="J238" s="8" t="n">
        <f aca="false">IF($G238&lt;&gt;"",$G238,$B238)</f>
        <v>4413056</v>
      </c>
      <c r="K238" s="8" t="str">
        <f aca="false">IF(COUNTIF($M$1:$M$10,$A238)&gt;0,"Y","N")</f>
        <v>Y</v>
      </c>
    </row>
    <row r="239" customFormat="false" ht="15" hidden="false" customHeight="true" outlineLevel="0" collapsed="false">
      <c r="A239" s="8" t="s">
        <v>46</v>
      </c>
      <c r="B239" s="8" t="s">
        <v>740</v>
      </c>
      <c r="C239" s="19" t="n">
        <v>3</v>
      </c>
      <c r="D239" s="19" t="n">
        <v>64.55</v>
      </c>
      <c r="E239" s="19" t="n">
        <v>0</v>
      </c>
      <c r="F239" s="19" t="n">
        <v>0</v>
      </c>
      <c r="G239" s="8" t="n">
        <f aca="false">IFERROR(INDEX('TRANS'!$B:$B,MATCH($B239,'TRANS'!$A:$A,0)),IFERROR(INDEX('TRANS'!$B:$B,MATCH(TRIM(SUBSTITUTE($B239,CHAR(160)," ")),'TRANS'!$D:$D,0)),IFERROR(INDEX('Catalog'!$A:$A,MATCH($B239,'Catalog'!$B:$B,0)),IFERROR(INDEX('Catalog'!$A:$A,MATCH(TRIM(SUBSTITUTE($B239,CHAR(160)," ")),'Catalog'!$C:$C,0)),""))))</f>
        <v>4420024</v>
      </c>
      <c r="H239" s="8" t="str">
        <f aca="false">IFERROR(INDEX('TRANS'!$C:$C,MATCH($B239,'TRANS'!$A:$A,0)),IFERROR(INDEX('Catalog'!$B:$B,MATCH($G239,'Catalog'!$A:$A,0)),$B239))</f>
        <v>LFריפוד סיליק.לכרית כף הרגל373</v>
      </c>
      <c r="I239" s="8" t="str">
        <f aca="false">IF($G239="","Unmatched","Matched")</f>
        <v>Matched</v>
      </c>
      <c r="J239" s="8" t="n">
        <f aca="false">IF($G239&lt;&gt;"",$G239,$B239)</f>
        <v>4420024</v>
      </c>
      <c r="K239" s="8" t="str">
        <f aca="false">IF(COUNTIF($M$1:$M$10,$A239)&gt;0,"Y","N")</f>
        <v>Y</v>
      </c>
    </row>
    <row r="240" customFormat="false" ht="15" hidden="false" customHeight="true" outlineLevel="0" collapsed="false">
      <c r="A240" s="8" t="s">
        <v>46</v>
      </c>
      <c r="B240" s="8" t="s">
        <v>741</v>
      </c>
      <c r="C240" s="19" t="n">
        <v>2</v>
      </c>
      <c r="D240" s="19" t="n">
        <v>23.87</v>
      </c>
      <c r="E240" s="19" t="n">
        <v>0</v>
      </c>
      <c r="F240" s="19" t="n">
        <v>0</v>
      </c>
      <c r="G240" s="8" t="n">
        <f aca="false">IFERROR(INDEX('TRANS'!$B:$B,MATCH($B240,'TRANS'!$A:$A,0)),IFERROR(INDEX('TRANS'!$B:$B,MATCH(TRIM(SUBSTITUTE($B240,CHAR(160)," ")),'TRANS'!$D:$D,0)),IFERROR(INDEX('Catalog'!$A:$A,MATCH($B240,'Catalog'!$B:$B,0)),IFERROR(INDEX('Catalog'!$A:$A,MATCH(TRIM(SUBSTITUTE($B240,CHAR(160)," ")),'Catalog'!$C:$C,0)),""))))</f>
        <v>4420025</v>
      </c>
      <c r="H240" s="8" t="str">
        <f aca="false">IFERROR(INDEX('TRANS'!$C:$C,MATCH($B240,'TRANS'!$A:$A,0)),IFERROR(INDEX('Catalog'!$B:$B,MATCH($G240,'Catalog'!$A:$A,0)),$B240))</f>
        <v>LF374 ריפוד סיליק.לעקב תחתון</v>
      </c>
      <c r="I240" s="8" t="str">
        <f aca="false">IF($G240="","Unmatched","Matched")</f>
        <v>Matched</v>
      </c>
      <c r="J240" s="8" t="n">
        <f aca="false">IF($G240&lt;&gt;"",$G240,$B240)</f>
        <v>4420025</v>
      </c>
      <c r="K240" s="8" t="str">
        <f aca="false">IF(COUNTIF($M$1:$M$10,$A240)&gt;0,"Y","N")</f>
        <v>Y</v>
      </c>
    </row>
    <row r="241" customFormat="false" ht="15" hidden="false" customHeight="true" outlineLevel="0" collapsed="false">
      <c r="A241" s="8" t="s">
        <v>46</v>
      </c>
      <c r="B241" s="8" t="s">
        <v>742</v>
      </c>
      <c r="C241" s="19" t="n">
        <v>19</v>
      </c>
      <c r="D241" s="19" t="n">
        <v>273.44</v>
      </c>
      <c r="E241" s="19" t="n">
        <v>1</v>
      </c>
      <c r="F241" s="19" t="n">
        <v>14.48</v>
      </c>
      <c r="G241" s="8" t="n">
        <f aca="false">IFERROR(INDEX('TRANS'!$B:$B,MATCH($B241,'TRANS'!$A:$A,0)),IFERROR(INDEX('TRANS'!$B:$B,MATCH(TRIM(SUBSTITUTE($B241,CHAR(160)," ")),'TRANS'!$D:$D,0)),IFERROR(INDEX('Catalog'!$A:$A,MATCH($B241,'Catalog'!$B:$B,0)),IFERROR(INDEX('Catalog'!$A:$A,MATCH(TRIM(SUBSTITUTE($B241,CHAR(160)," ")),'Catalog'!$C:$C,0)),""))))</f>
        <v>4419006</v>
      </c>
      <c r="H241" s="8" t="str">
        <f aca="false">IFERROR(INDEX('TRANS'!$C:$C,MATCH($B241,'TRANS'!$A:$A,0)),IFERROR(INDEX('Catalog'!$B:$B,MATCH($G241,'Catalog'!$A:$A,0)),$B241))</f>
        <v>PD340-קוצץ ציפורניים</v>
      </c>
      <c r="I241" s="8" t="str">
        <f aca="false">IF($G241="","Unmatched","Matched")</f>
        <v>Matched</v>
      </c>
      <c r="J241" s="8" t="n">
        <f aca="false">IF($G241&lt;&gt;"",$G241,$B241)</f>
        <v>4419006</v>
      </c>
      <c r="K241" s="8" t="str">
        <f aca="false">IF(COUNTIF($M$1:$M$10,$A241)&gt;0,"Y","N")</f>
        <v>Y</v>
      </c>
    </row>
    <row r="242" customFormat="false" ht="15" hidden="false" customHeight="true" outlineLevel="0" collapsed="false">
      <c r="A242" s="8" t="s">
        <v>46</v>
      </c>
      <c r="B242" s="8" t="s">
        <v>743</v>
      </c>
      <c r="C242" s="19" t="n">
        <v>7</v>
      </c>
      <c r="D242" s="19" t="n">
        <v>206.36</v>
      </c>
      <c r="E242" s="19" t="n">
        <v>0</v>
      </c>
      <c r="F242" s="19" t="n">
        <v>0</v>
      </c>
      <c r="G242" s="8" t="n">
        <f aca="false">IFERROR(INDEX('TRANS'!$B:$B,MATCH($B242,'TRANS'!$A:$A,0)),IFERROR(INDEX('TRANS'!$B:$B,MATCH(TRIM(SUBSTITUTE($B242,CHAR(160)," ")),'TRANS'!$D:$D,0)),IFERROR(INDEX('Catalog'!$A:$A,MATCH($B242,'Catalog'!$B:$B,0)),IFERROR(INDEX('Catalog'!$A:$A,MATCH(TRIM(SUBSTITUTE($B242,CHAR(160)," ")),'Catalog'!$C:$C,0)),""))))</f>
        <v>4413150</v>
      </c>
      <c r="H242" s="8" t="str">
        <f aca="false">IFERROR(INDEX('TRANS'!$C:$C,MATCH($B242,'TRANS'!$A:$A,0)),IFERROR(INDEX('Catalog'!$B:$B,MATCH($G242,'Catalog'!$A:$A,0)),$B242))</f>
        <v>PD341-מקצוע להסרת עור קשה</v>
      </c>
      <c r="I242" s="8" t="str">
        <f aca="false">IF($G242="","Unmatched","Matched")</f>
        <v>Matched</v>
      </c>
      <c r="J242" s="8" t="n">
        <f aca="false">IF($G242&lt;&gt;"",$G242,$B242)</f>
        <v>4413150</v>
      </c>
      <c r="K242" s="8" t="str">
        <f aca="false">IF(COUNTIF($M$1:$M$10,$A242)&gt;0,"Y","N")</f>
        <v>Y</v>
      </c>
    </row>
    <row r="243" customFormat="false" ht="15" hidden="false" customHeight="true" outlineLevel="0" collapsed="false">
      <c r="A243" s="8" t="s">
        <v>46</v>
      </c>
      <c r="B243" s="8" t="s">
        <v>744</v>
      </c>
      <c r="C243" s="19" t="n">
        <v>3</v>
      </c>
      <c r="D243" s="19" t="n">
        <v>75.81</v>
      </c>
      <c r="E243" s="19" t="n">
        <v>0</v>
      </c>
      <c r="F243" s="19" t="n">
        <v>0</v>
      </c>
      <c r="G243" s="8" t="n">
        <f aca="false">IFERROR(INDEX('TRANS'!$B:$B,MATCH($B243,'TRANS'!$A:$A,0)),IFERROR(INDEX('TRANS'!$B:$B,MATCH(TRIM(SUBSTITUTE($B243,CHAR(160)," ")),'TRANS'!$D:$D,0)),IFERROR(INDEX('Catalog'!$A:$A,MATCH($B243,'Catalog'!$B:$B,0)),IFERROR(INDEX('Catalog'!$A:$A,MATCH(TRIM(SUBSTITUTE($B243,CHAR(160)," ")),'Catalog'!$C:$C,0)),""))))</f>
        <v>4417000</v>
      </c>
      <c r="H243" s="8" t="str">
        <f aca="false">IFERROR(INDEX('TRANS'!$C:$C,MATCH($B243,'TRANS'!$A:$A,0)),IFERROR(INDEX('Catalog'!$B:$B,MATCH($G243,'Catalog'!$A:$A,0)),$B243))</f>
        <v>PD342-פומפיה להסרת עור קשה</v>
      </c>
      <c r="I243" s="8" t="str">
        <f aca="false">IF($G243="","Unmatched","Matched")</f>
        <v>Matched</v>
      </c>
      <c r="J243" s="8" t="n">
        <f aca="false">IF($G243&lt;&gt;"",$G243,$B243)</f>
        <v>4417000</v>
      </c>
      <c r="K243" s="8" t="str">
        <f aca="false">IF(COUNTIF($M$1:$M$10,$A243)&gt;0,"Y","N")</f>
        <v>Y</v>
      </c>
    </row>
    <row r="244" customFormat="false" ht="15" hidden="false" customHeight="true" outlineLevel="0" collapsed="false">
      <c r="A244" s="8" t="s">
        <v>46</v>
      </c>
      <c r="B244" s="8" t="s">
        <v>745</v>
      </c>
      <c r="C244" s="19" t="n">
        <v>9</v>
      </c>
      <c r="D244" s="19" t="n">
        <v>78.87</v>
      </c>
      <c r="E244" s="19" t="n">
        <v>2</v>
      </c>
      <c r="F244" s="19" t="n">
        <v>16.87</v>
      </c>
      <c r="G244" s="8" t="n">
        <f aca="false">IFERROR(INDEX('TRANS'!$B:$B,MATCH($B244,'TRANS'!$A:$A,0)),IFERROR(INDEX('TRANS'!$B:$B,MATCH(TRIM(SUBSTITUTE($B244,CHAR(160)," ")),'TRANS'!$D:$D,0)),IFERROR(INDEX('Catalog'!$A:$A,MATCH($B244,'Catalog'!$B:$B,0)),IFERROR(INDEX('Catalog'!$A:$A,MATCH(TRIM(SUBSTITUTE($B244,CHAR(160)," ")),'Catalog'!$C:$C,0)),""))))</f>
        <v>4401002</v>
      </c>
      <c r="H244" s="8" t="str">
        <f aca="false">IFERROR(INDEX('TRANS'!$C:$C,MATCH($B244,'TRANS'!$A:$A,0)),IFERROR(INDEX('Catalog'!$B:$B,MATCH($G244,'Catalog'!$A:$A,0)),$B244))</f>
        <v>PD 344-אבן טבעית להסרת עור קשה</v>
      </c>
      <c r="I244" s="8" t="str">
        <f aca="false">IF($G244="","Unmatched","Matched")</f>
        <v>Matched</v>
      </c>
      <c r="J244" s="8" t="n">
        <f aca="false">IF($G244&lt;&gt;"",$G244,$B244)</f>
        <v>4401002</v>
      </c>
      <c r="K244" s="8" t="str">
        <f aca="false">IF(COUNTIF($M$1:$M$10,$A244)&gt;0,"Y","N")</f>
        <v>Y</v>
      </c>
    </row>
    <row r="245" customFormat="false" ht="15" hidden="false" customHeight="true" outlineLevel="0" collapsed="false">
      <c r="A245" s="8" t="s">
        <v>46</v>
      </c>
      <c r="B245" s="8" t="s">
        <v>746</v>
      </c>
      <c r="C245" s="19" t="n">
        <v>6</v>
      </c>
      <c r="D245" s="19" t="n">
        <v>58.76</v>
      </c>
      <c r="E245" s="19" t="n">
        <v>2</v>
      </c>
      <c r="F245" s="19" t="n">
        <v>19.58</v>
      </c>
      <c r="G245" s="8" t="n">
        <f aca="false">IFERROR(INDEX('TRANS'!$B:$B,MATCH($B245,'TRANS'!$A:$A,0)),IFERROR(INDEX('TRANS'!$B:$B,MATCH(TRIM(SUBSTITUTE($B245,CHAR(160)," ")),'TRANS'!$D:$D,0)),IFERROR(INDEX('Catalog'!$A:$A,MATCH($B245,'Catalog'!$B:$B,0)),IFERROR(INDEX('Catalog'!$A:$A,MATCH(TRIM(SUBSTITUTE($B245,CHAR(160)," ")),'Catalog'!$C:$C,0)),""))))</f>
        <v>4415080</v>
      </c>
      <c r="H245" s="8" t="str">
        <f aca="false">IFERROR(INDEX('TRANS'!$C:$C,MATCH($B245,'TRANS'!$A:$A,0)),IFERROR(INDEX('Catalog'!$B:$B,MATCH($G245,'Catalog'!$A:$A,0)),$B245))</f>
        <v>PD346-10 סכינים למקצוע</v>
      </c>
      <c r="I245" s="8" t="str">
        <f aca="false">IF($G245="","Unmatched","Matched")</f>
        <v>Matched</v>
      </c>
      <c r="J245" s="8" t="n">
        <f aca="false">IF($G245&lt;&gt;"",$G245,$B245)</f>
        <v>4415080</v>
      </c>
      <c r="K245" s="8" t="str">
        <f aca="false">IF(COUNTIF($M$1:$M$10,$A245)&gt;0,"Y","N")</f>
        <v>Y</v>
      </c>
    </row>
    <row r="246" customFormat="false" ht="15" hidden="false" customHeight="true" outlineLevel="0" collapsed="false">
      <c r="A246" s="8" t="s">
        <v>46</v>
      </c>
      <c r="B246" s="8" t="s">
        <v>747</v>
      </c>
      <c r="C246" s="19" t="n">
        <v>14</v>
      </c>
      <c r="D246" s="19" t="n">
        <v>1038.8</v>
      </c>
      <c r="E246" s="19" t="n">
        <v>4</v>
      </c>
      <c r="F246" s="19" t="n">
        <v>365.74</v>
      </c>
      <c r="G246" s="8" t="n">
        <f aca="false">IFERROR(INDEX('TRANS'!$B:$B,MATCH($B246,'TRANS'!$A:$A,0)),IFERROR(INDEX('TRANS'!$B:$B,MATCH(TRIM(SUBSTITUTE($B246,CHAR(160)," ")),'TRANS'!$D:$D,0)),IFERROR(INDEX('Catalog'!$A:$A,MATCH($B246,'Catalog'!$B:$B,0)),IFERROR(INDEX('Catalog'!$A:$A,MATCH(TRIM(SUBSTITUTE($B246,CHAR(160)," ")),'Catalog'!$C:$C,0)),""))))</f>
        <v>4408249</v>
      </c>
      <c r="H246" s="8" t="str">
        <f aca="false">IFERROR(INDEX('TRANS'!$C:$C,MATCH($B246,'TRANS'!$A:$A,0)),IFERROR(INDEX('Catalog'!$B:$B,MATCH($G246,'Catalog'!$A:$A,0)),$B246))</f>
        <v>SC25  L חבק יד</v>
      </c>
      <c r="I246" s="8" t="str">
        <f aca="false">IF($G246="","Unmatched","Matched")</f>
        <v>Matched</v>
      </c>
      <c r="J246" s="8" t="n">
        <f aca="false">IF($G246&lt;&gt;"",$G246,$B246)</f>
        <v>4408249</v>
      </c>
      <c r="K246" s="8" t="str">
        <f aca="false">IF(COUNTIF($M$1:$M$10,$A246)&gt;0,"Y","N")</f>
        <v>Y</v>
      </c>
    </row>
    <row r="247" customFormat="false" ht="15" hidden="false" customHeight="true" outlineLevel="0" collapsed="false">
      <c r="A247" s="8" t="s">
        <v>46</v>
      </c>
      <c r="B247" s="8" t="s">
        <v>748</v>
      </c>
      <c r="C247" s="19" t="n">
        <v>14</v>
      </c>
      <c r="D247" s="19" t="n">
        <v>1152.04</v>
      </c>
      <c r="E247" s="19" t="n">
        <v>8</v>
      </c>
      <c r="F247" s="19" t="n">
        <v>618.26</v>
      </c>
      <c r="G247" s="8" t="n">
        <f aca="false">IFERROR(INDEX('TRANS'!$B:$B,MATCH($B247,'TRANS'!$A:$A,0)),IFERROR(INDEX('TRANS'!$B:$B,MATCH(TRIM(SUBSTITUTE($B247,CHAR(160)," ")),'TRANS'!$D:$D,0)),IFERROR(INDEX('Catalog'!$A:$A,MATCH($B247,'Catalog'!$B:$B,0)),IFERROR(INDEX('Catalog'!$A:$A,MATCH(TRIM(SUBSTITUTE($B247,CHAR(160)," ")),'Catalog'!$C:$C,0)),""))))</f>
        <v>4408248</v>
      </c>
      <c r="H247" s="8" t="str">
        <f aca="false">IFERROR(INDEX('TRANS'!$C:$C,MATCH($B247,'TRANS'!$A:$A,0)),IFERROR(INDEX('Catalog'!$B:$B,MATCH($G247,'Catalog'!$A:$A,0)),$B247))</f>
        <v>SC25  M חבק יד</v>
      </c>
      <c r="I247" s="8" t="str">
        <f aca="false">IF($G247="","Unmatched","Matched")</f>
        <v>Matched</v>
      </c>
      <c r="J247" s="8" t="n">
        <f aca="false">IF($G247&lt;&gt;"",$G247,$B247)</f>
        <v>4408248</v>
      </c>
      <c r="K247" s="8" t="str">
        <f aca="false">IF(COUNTIF($M$1:$M$10,$A247)&gt;0,"Y","N")</f>
        <v>Y</v>
      </c>
    </row>
    <row r="248" customFormat="false" ht="15" hidden="false" customHeight="true" outlineLevel="0" collapsed="false">
      <c r="A248" s="8" t="s">
        <v>46</v>
      </c>
      <c r="B248" s="8" t="s">
        <v>749</v>
      </c>
      <c r="C248" s="19" t="n">
        <v>10</v>
      </c>
      <c r="D248" s="19" t="n">
        <v>779.93</v>
      </c>
      <c r="E248" s="19" t="n">
        <v>0</v>
      </c>
      <c r="F248" s="19" t="n">
        <v>0</v>
      </c>
      <c r="G248" s="8" t="n">
        <f aca="false">IFERROR(INDEX('TRANS'!$B:$B,MATCH($B248,'TRANS'!$A:$A,0)),IFERROR(INDEX('TRANS'!$B:$B,MATCH(TRIM(SUBSTITUTE($B248,CHAR(160)," ")),'TRANS'!$D:$D,0)),IFERROR(INDEX('Catalog'!$A:$A,MATCH($B248,'Catalog'!$B:$B,0)),IFERROR(INDEX('Catalog'!$A:$A,MATCH(TRIM(SUBSTITUTE($B248,CHAR(160)," ")),'Catalog'!$C:$C,0)),""))))</f>
        <v>4408247</v>
      </c>
      <c r="H248" s="8" t="str">
        <f aca="false">IFERROR(INDEX('TRANS'!$C:$C,MATCH($B248,'TRANS'!$A:$A,0)),IFERROR(INDEX('Catalog'!$B:$B,MATCH($G248,'Catalog'!$A:$A,0)),$B248))</f>
        <v>SC25  S חבק יד</v>
      </c>
      <c r="I248" s="8" t="str">
        <f aca="false">IF($G248="","Unmatched","Matched")</f>
        <v>Matched</v>
      </c>
      <c r="J248" s="8" t="n">
        <f aca="false">IF($G248&lt;&gt;"",$G248,$B248)</f>
        <v>4408247</v>
      </c>
      <c r="K248" s="8" t="str">
        <f aca="false">IF(COUNTIF($M$1:$M$10,$A248)&gt;0,"Y","N")</f>
        <v>Y</v>
      </c>
    </row>
    <row r="249" customFormat="false" ht="15" hidden="false" customHeight="true" outlineLevel="0" collapsed="false">
      <c r="A249" s="8" t="s">
        <v>46</v>
      </c>
      <c r="B249" s="8" t="s">
        <v>750</v>
      </c>
      <c r="C249" s="19" t="n">
        <v>9</v>
      </c>
      <c r="D249" s="19" t="n">
        <v>691.7</v>
      </c>
      <c r="E249" s="19" t="n">
        <v>13</v>
      </c>
      <c r="F249" s="19" t="n">
        <v>1180.3</v>
      </c>
      <c r="G249" s="8" t="n">
        <f aca="false">IFERROR(INDEX('TRANS'!$B:$B,MATCH($B249,'TRANS'!$A:$A,0)),IFERROR(INDEX('TRANS'!$B:$B,MATCH(TRIM(SUBSTITUTE($B249,CHAR(160)," ")),'TRANS'!$D:$D,0)),IFERROR(INDEX('Catalog'!$A:$A,MATCH($B249,'Catalog'!$B:$B,0)),IFERROR(INDEX('Catalog'!$A:$A,MATCH(TRIM(SUBSTITUTE($B249,CHAR(160)," ")),'Catalog'!$C:$C,0)),""))))</f>
        <v>4408250</v>
      </c>
      <c r="H249" s="8" t="str">
        <f aca="false">IFERROR(INDEX('TRANS'!$C:$C,MATCH($B249,'TRANS'!$A:$A,0)),IFERROR(INDEX('Catalog'!$B:$B,MATCH($G249,'Catalog'!$A:$A,0)),$B249))</f>
        <v>SC25 XL חבק יד</v>
      </c>
      <c r="I249" s="8" t="str">
        <f aca="false">IF($G249="","Unmatched","Matched")</f>
        <v>Matched</v>
      </c>
      <c r="J249" s="8" t="n">
        <f aca="false">IF($G249&lt;&gt;"",$G249,$B249)</f>
        <v>4408250</v>
      </c>
      <c r="K249" s="8" t="str">
        <f aca="false">IF(COUNTIF($M$1:$M$10,$A249)&gt;0,"Y","N")</f>
        <v>Y</v>
      </c>
    </row>
    <row r="250" customFormat="false" ht="15" hidden="false" customHeight="true" outlineLevel="0" collapsed="false">
      <c r="A250" s="8" t="s">
        <v>46</v>
      </c>
      <c r="B250" s="8" t="s">
        <v>751</v>
      </c>
      <c r="C250" s="19" t="n">
        <v>2</v>
      </c>
      <c r="D250" s="19" t="n">
        <v>170.96</v>
      </c>
      <c r="E250" s="19" t="n">
        <v>0</v>
      </c>
      <c r="F250" s="19" t="n">
        <v>0</v>
      </c>
      <c r="G250" s="8" t="n">
        <f aca="false">IFERROR(INDEX('TRANS'!$B:$B,MATCH($B250,'TRANS'!$A:$A,0)),IFERROR(INDEX('TRANS'!$B:$B,MATCH(TRIM(SUBSTITUTE($B250,CHAR(160)," ")),'TRANS'!$D:$D,0)),IFERROR(INDEX('Catalog'!$A:$A,MATCH($B250,'Catalog'!$B:$B,0)),IFERROR(INDEX('Catalog'!$A:$A,MATCH(TRIM(SUBSTITUTE($B250,CHAR(160)," ")),'Catalog'!$C:$C,0)),""))))</f>
        <v>4413422</v>
      </c>
      <c r="H250" s="8" t="str">
        <f aca="false">IFERROR(INDEX('TRANS'!$C:$C,MATCH($B250,'TRANS'!$A:$A,0)),IFERROR(INDEX('Catalog'!$B:$B,MATCH($G250,'Catalog'!$A:$A,0)),$B250))</f>
        <v>SC35L  L מגן קרסול שמאל</v>
      </c>
      <c r="I250" s="8" t="str">
        <f aca="false">IF($G250="","Unmatched","Matched")</f>
        <v>Matched</v>
      </c>
      <c r="J250" s="8" t="n">
        <f aca="false">IF($G250&lt;&gt;"",$G250,$B250)</f>
        <v>4413422</v>
      </c>
      <c r="K250" s="8" t="str">
        <f aca="false">IF(COUNTIF($M$1:$M$10,$A250)&gt;0,"Y","N")</f>
        <v>Y</v>
      </c>
    </row>
    <row r="251" customFormat="false" ht="15" hidden="false" customHeight="true" outlineLevel="0" collapsed="false">
      <c r="A251" s="8" t="s">
        <v>46</v>
      </c>
      <c r="B251" s="8" t="s">
        <v>752</v>
      </c>
      <c r="C251" s="19" t="n">
        <v>1</v>
      </c>
      <c r="D251" s="19" t="n">
        <v>77.29</v>
      </c>
      <c r="E251" s="19" t="n">
        <v>0</v>
      </c>
      <c r="F251" s="19" t="n">
        <v>0</v>
      </c>
      <c r="G251" s="8" t="n">
        <f aca="false">IFERROR(INDEX('TRANS'!$B:$B,MATCH($B251,'TRANS'!$A:$A,0)),IFERROR(INDEX('TRANS'!$B:$B,MATCH(TRIM(SUBSTITUTE($B251,CHAR(160)," ")),'TRANS'!$D:$D,0)),IFERROR(INDEX('Catalog'!$A:$A,MATCH($B251,'Catalog'!$B:$B,0)),IFERROR(INDEX('Catalog'!$A:$A,MATCH(TRIM(SUBSTITUTE($B251,CHAR(160)," ")),'Catalog'!$C:$C,0)),""))))</f>
        <v>4413423</v>
      </c>
      <c r="H251" s="8" t="str">
        <f aca="false">IFERROR(INDEX('TRANS'!$C:$C,MATCH($B251,'TRANS'!$A:$A,0)),IFERROR(INDEX('Catalog'!$B:$B,MATCH($G251,'Catalog'!$A:$A,0)),$B251))</f>
        <v>SC35L XL מגן קרסול שמאל</v>
      </c>
      <c r="I251" s="8" t="str">
        <f aca="false">IF($G251="","Unmatched","Matched")</f>
        <v>Matched</v>
      </c>
      <c r="J251" s="8" t="n">
        <f aca="false">IF($G251&lt;&gt;"",$G251,$B251)</f>
        <v>4413423</v>
      </c>
      <c r="K251" s="8" t="str">
        <f aca="false">IF(COUNTIF($M$1:$M$10,$A251)&gt;0,"Y","N")</f>
        <v>Y</v>
      </c>
    </row>
    <row r="252" customFormat="false" ht="15" hidden="false" customHeight="true" outlineLevel="0" collapsed="false">
      <c r="A252" s="8" t="s">
        <v>46</v>
      </c>
      <c r="B252" s="8" t="s">
        <v>753</v>
      </c>
      <c r="C252" s="19" t="n">
        <v>2</v>
      </c>
      <c r="D252" s="19" t="n">
        <v>170.96</v>
      </c>
      <c r="E252" s="19" t="n">
        <v>1</v>
      </c>
      <c r="F252" s="19" t="n">
        <v>93.67</v>
      </c>
      <c r="G252" s="8" t="n">
        <f aca="false">IFERROR(INDEX('TRANS'!$B:$B,MATCH($B252,'TRANS'!$A:$A,0)),IFERROR(INDEX('TRANS'!$B:$B,MATCH(TRIM(SUBSTITUTE($B252,CHAR(160)," ")),'TRANS'!$D:$D,0)),IFERROR(INDEX('Catalog'!$A:$A,MATCH($B252,'Catalog'!$B:$B,0)),IFERROR(INDEX('Catalog'!$A:$A,MATCH(TRIM(SUBSTITUTE($B252,CHAR(160)," ")),'Catalog'!$C:$C,0)),""))))</f>
        <v>4413426</v>
      </c>
      <c r="H252" s="8" t="str">
        <f aca="false">IFERROR(INDEX('TRANS'!$C:$C,MATCH($B252,'TRANS'!$A:$A,0)),IFERROR(INDEX('Catalog'!$B:$B,MATCH($G252,'Catalog'!$A:$A,0)),$B252))</f>
        <v>SC35R  L מגן קרסול ימין</v>
      </c>
      <c r="I252" s="8" t="str">
        <f aca="false">IF($G252="","Unmatched","Matched")</f>
        <v>Matched</v>
      </c>
      <c r="J252" s="8" t="n">
        <f aca="false">IF($G252&lt;&gt;"",$G252,$B252)</f>
        <v>4413426</v>
      </c>
      <c r="K252" s="8" t="str">
        <f aca="false">IF(COUNTIF($M$1:$M$10,$A252)&gt;0,"Y","N")</f>
        <v>Y</v>
      </c>
    </row>
    <row r="253" customFormat="false" ht="15" hidden="false" customHeight="true" outlineLevel="0" collapsed="false">
      <c r="A253" s="8" t="s">
        <v>46</v>
      </c>
      <c r="B253" s="8" t="s">
        <v>754</v>
      </c>
      <c r="C253" s="19" t="n">
        <v>6</v>
      </c>
      <c r="D253" s="19" t="n">
        <v>446</v>
      </c>
      <c r="E253" s="19" t="n">
        <v>0</v>
      </c>
      <c r="F253" s="19" t="n">
        <v>0</v>
      </c>
      <c r="G253" s="8" t="n">
        <f aca="false">IFERROR(INDEX('TRANS'!$B:$B,MATCH($B253,'TRANS'!$A:$A,0)),IFERROR(INDEX('TRANS'!$B:$B,MATCH(TRIM(SUBSTITUTE($B253,CHAR(160)," ")),'TRANS'!$D:$D,0)),IFERROR(INDEX('Catalog'!$A:$A,MATCH($B253,'Catalog'!$B:$B,0)),IFERROR(INDEX('Catalog'!$A:$A,MATCH(TRIM(SUBSTITUTE($B253,CHAR(160)," ")),'Catalog'!$C:$C,0)),""))))</f>
        <v>4413425</v>
      </c>
      <c r="H253" s="8" t="str">
        <f aca="false">IFERROR(INDEX('TRANS'!$C:$C,MATCH($B253,'TRANS'!$A:$A,0)),IFERROR(INDEX('Catalog'!$B:$B,MATCH($G253,'Catalog'!$A:$A,0)),$B253))</f>
        <v>SC35R  M מגן קרסול ימין</v>
      </c>
      <c r="I253" s="8" t="str">
        <f aca="false">IF($G253="","Unmatched","Matched")</f>
        <v>Matched</v>
      </c>
      <c r="J253" s="8" t="n">
        <f aca="false">IF($G253&lt;&gt;"",$G253,$B253)</f>
        <v>4413425</v>
      </c>
      <c r="K253" s="8" t="str">
        <f aca="false">IF(COUNTIF($M$1:$M$10,$A253)&gt;0,"Y","N")</f>
        <v>Y</v>
      </c>
    </row>
    <row r="254" customFormat="false" ht="15" hidden="false" customHeight="true" outlineLevel="0" collapsed="false">
      <c r="A254" s="8" t="s">
        <v>46</v>
      </c>
      <c r="B254" s="8" t="s">
        <v>755</v>
      </c>
      <c r="C254" s="19" t="n">
        <v>1</v>
      </c>
      <c r="D254" s="19" t="n">
        <v>93.68</v>
      </c>
      <c r="E254" s="19" t="n">
        <v>0</v>
      </c>
      <c r="F254" s="19" t="n">
        <v>0</v>
      </c>
      <c r="G254" s="8" t="n">
        <f aca="false">IFERROR(INDEX('TRANS'!$B:$B,MATCH($B254,'TRANS'!$A:$A,0)),IFERROR(INDEX('TRANS'!$B:$B,MATCH(TRIM(SUBSTITUTE($B254,CHAR(160)," ")),'TRANS'!$D:$D,0)),IFERROR(INDEX('Catalog'!$A:$A,MATCH($B254,'Catalog'!$B:$B,0)),IFERROR(INDEX('Catalog'!$A:$A,MATCH(TRIM(SUBSTITUTE($B254,CHAR(160)," ")),'Catalog'!$C:$C,0)),""))))</f>
        <v>4413424</v>
      </c>
      <c r="H254" s="8" t="str">
        <f aca="false">IFERROR(INDEX('TRANS'!$C:$C,MATCH($B254,'TRANS'!$A:$A,0)),IFERROR(INDEX('Catalog'!$B:$B,MATCH($G254,'Catalog'!$A:$A,0)),$B254))</f>
        <v>SC35R  S מגן קרסול ימין</v>
      </c>
      <c r="I254" s="8" t="str">
        <f aca="false">IF($G254="","Unmatched","Matched")</f>
        <v>Matched</v>
      </c>
      <c r="J254" s="8" t="n">
        <f aca="false">IF($G254&lt;&gt;"",$G254,$B254)</f>
        <v>4413424</v>
      </c>
      <c r="K254" s="8" t="str">
        <f aca="false">IF(COUNTIF($M$1:$M$10,$A254)&gt;0,"Y","N")</f>
        <v>Y</v>
      </c>
    </row>
    <row r="255" customFormat="false" ht="15" hidden="false" customHeight="true" outlineLevel="0" collapsed="false">
      <c r="A255" s="8" t="s">
        <v>46</v>
      </c>
      <c r="B255" s="8" t="s">
        <v>756</v>
      </c>
      <c r="C255" s="19" t="n">
        <v>11</v>
      </c>
      <c r="D255" s="19" t="n">
        <v>1590.62</v>
      </c>
      <c r="E255" s="19" t="n">
        <v>0</v>
      </c>
      <c r="F255" s="19" t="n">
        <v>0</v>
      </c>
      <c r="G255" s="8" t="n">
        <f aca="false">IFERROR(INDEX('TRANS'!$B:$B,MATCH($B255,'TRANS'!$A:$A,0)),IFERROR(INDEX('TRANS'!$B:$B,MATCH(TRIM(SUBSTITUTE($B255,CHAR(160)," ")),'TRANS'!$D:$D,0)),IFERROR(INDEX('Catalog'!$A:$A,MATCH($B255,'Catalog'!$B:$B,0)),IFERROR(INDEX('Catalog'!$A:$A,MATCH(TRIM(SUBSTITUTE($B255,CHAR(160)," ")),'Catalog'!$C:$C,0)),""))))</f>
        <v>4413416</v>
      </c>
      <c r="H255" s="8" t="str">
        <f aca="false">IFERROR(INDEX('TRANS'!$C:$C,MATCH($B255,'TRANS'!$A:$A,0)),IFERROR(INDEX('Catalog'!$B:$B,MATCH($G255,'Catalog'!$A:$A,0)),$B255))</f>
        <v>SC39  M מגן שוק</v>
      </c>
      <c r="I255" s="8" t="str">
        <f aca="false">IF($G255="","Unmatched","Matched")</f>
        <v>Matched</v>
      </c>
      <c r="J255" s="8" t="n">
        <f aca="false">IF($G255&lt;&gt;"",$G255,$B255)</f>
        <v>4413416</v>
      </c>
      <c r="K255" s="8" t="str">
        <f aca="false">IF(COUNTIF($M$1:$M$10,$A255)&gt;0,"Y","N")</f>
        <v>Y</v>
      </c>
    </row>
    <row r="256" customFormat="false" ht="15" hidden="false" customHeight="true" outlineLevel="0" collapsed="false">
      <c r="A256" s="8" t="s">
        <v>46</v>
      </c>
      <c r="B256" s="8" t="s">
        <v>757</v>
      </c>
      <c r="C256" s="19" t="n">
        <v>11</v>
      </c>
      <c r="D256" s="19" t="n">
        <v>1266.8</v>
      </c>
      <c r="E256" s="19" t="n">
        <v>3</v>
      </c>
      <c r="F256" s="19" t="n">
        <v>365.49</v>
      </c>
      <c r="G256" s="8" t="n">
        <f aca="false">IFERROR(INDEX('TRANS'!$B:$B,MATCH($B256,'TRANS'!$A:$A,0)),IFERROR(INDEX('TRANS'!$B:$B,MATCH(TRIM(SUBSTITUTE($B256,CHAR(160)," ")),'TRANS'!$D:$D,0)),IFERROR(INDEX('Catalog'!$A:$A,MATCH($B256,'Catalog'!$B:$B,0)),IFERROR(INDEX('Catalog'!$A:$A,MATCH(TRIM(SUBSTITUTE($B256,CHAR(160)," ")),'Catalog'!$C:$C,0)),""))))</f>
        <v>4413439</v>
      </c>
      <c r="H256" s="8" t="str">
        <f aca="false">IFERROR(INDEX('TRANS'!$C:$C,MATCH($B256,'TRANS'!$A:$A,0)),IFERROR(INDEX('Catalog'!$B:$B,MATCH($G256,'Catalog'!$A:$A,0)),$B256))</f>
        <v>SC422  M מגן ברך</v>
      </c>
      <c r="I256" s="8" t="str">
        <f aca="false">IF($G256="","Unmatched","Matched")</f>
        <v>Matched</v>
      </c>
      <c r="J256" s="8" t="n">
        <f aca="false">IF($G256&lt;&gt;"",$G256,$B256)</f>
        <v>4413439</v>
      </c>
      <c r="K256" s="8" t="str">
        <f aca="false">IF(COUNTIF($M$1:$M$10,$A256)&gt;0,"Y","N")</f>
        <v>Y</v>
      </c>
    </row>
    <row r="257" customFormat="false" ht="15" hidden="false" customHeight="true" outlineLevel="0" collapsed="false">
      <c r="A257" s="8" t="s">
        <v>46</v>
      </c>
      <c r="B257" s="8" t="s">
        <v>758</v>
      </c>
      <c r="C257" s="19" t="n">
        <v>1</v>
      </c>
      <c r="D257" s="19" t="n">
        <v>140.57</v>
      </c>
      <c r="E257" s="19" t="n">
        <v>1</v>
      </c>
      <c r="F257" s="19" t="n">
        <v>140.57</v>
      </c>
      <c r="G257" s="8" t="n">
        <f aca="false">IFERROR(INDEX('TRANS'!$B:$B,MATCH($B257,'TRANS'!$A:$A,0)),IFERROR(INDEX('TRANS'!$B:$B,MATCH(TRIM(SUBSTITUTE($B257,CHAR(160)," ")),'TRANS'!$D:$D,0)),IFERROR(INDEX('Catalog'!$A:$A,MATCH($B257,'Catalog'!$B:$B,0)),IFERROR(INDEX('Catalog'!$A:$A,MATCH(TRIM(SUBSTITUTE($B257,CHAR(160)," ")),'Catalog'!$C:$C,0)),""))))</f>
        <v>4413442</v>
      </c>
      <c r="H257" s="8" t="str">
        <f aca="false">IFERROR(INDEX('TRANS'!$C:$C,MATCH($B257,'TRANS'!$A:$A,0)),IFERROR(INDEX('Catalog'!$B:$B,MATCH($G257,'Catalog'!$A:$A,0)),$B257))</f>
        <v>SC422 XXLמגן ברך</v>
      </c>
      <c r="I257" s="8" t="str">
        <f aca="false">IF($G257="","Unmatched","Matched")</f>
        <v>Matched</v>
      </c>
      <c r="J257" s="8" t="n">
        <f aca="false">IF($G257&lt;&gt;"",$G257,$B257)</f>
        <v>4413442</v>
      </c>
      <c r="K257" s="8" t="str">
        <f aca="false">IF(COUNTIF($M$1:$M$10,$A257)&gt;0,"Y","N")</f>
        <v>Y</v>
      </c>
    </row>
    <row r="258" customFormat="false" ht="15" hidden="false" customHeight="true" outlineLevel="0" collapsed="false">
      <c r="A258" s="8" t="s">
        <v>46</v>
      </c>
      <c r="B258" s="8" t="s">
        <v>759</v>
      </c>
      <c r="C258" s="19" t="n">
        <v>7</v>
      </c>
      <c r="D258" s="19" t="n">
        <v>482.11</v>
      </c>
      <c r="E258" s="19" t="n">
        <v>0</v>
      </c>
      <c r="F258" s="19" t="n">
        <v>0</v>
      </c>
      <c r="G258" s="8" t="n">
        <f aca="false">IFERROR(INDEX('TRANS'!$B:$B,MATCH($B258,'TRANS'!$A:$A,0)),IFERROR(INDEX('TRANS'!$B:$B,MATCH(TRIM(SUBSTITUTE($B258,CHAR(160)," ")),'TRANS'!$D:$D,0)),IFERROR(INDEX('Catalog'!$A:$A,MATCH($B258,'Catalog'!$B:$B,0)),IFERROR(INDEX('Catalog'!$A:$A,MATCH(TRIM(SUBSTITUTE($B258,CHAR(160)," ")),'Catalog'!$C:$C,0)),""))))</f>
        <v>4413407</v>
      </c>
      <c r="H258" s="8" t="str">
        <f aca="false">IFERROR(INDEX('TRANS'!$C:$C,MATCH($B258,'TRANS'!$A:$A,0)),IFERROR(INDEX('Catalog'!$B:$B,MATCH($G258,'Catalog'!$A:$A,0)),$B258))</f>
        <v>SC95 L מגן מרפק</v>
      </c>
      <c r="I258" s="8" t="str">
        <f aca="false">IF($G258="","Unmatched","Matched")</f>
        <v>Matched</v>
      </c>
      <c r="J258" s="8" t="n">
        <f aca="false">IF($G258&lt;&gt;"",$G258,$B258)</f>
        <v>4413407</v>
      </c>
      <c r="K258" s="8" t="str">
        <f aca="false">IF(COUNTIF($M$1:$M$10,$A258)&gt;0,"Y","N")</f>
        <v>Y</v>
      </c>
    </row>
    <row r="259" customFormat="false" ht="15" hidden="false" customHeight="true" outlineLevel="0" collapsed="false">
      <c r="A259" s="8" t="s">
        <v>46</v>
      </c>
      <c r="B259" s="8" t="s">
        <v>760</v>
      </c>
      <c r="C259" s="19" t="n">
        <v>4</v>
      </c>
      <c r="D259" s="19" t="n">
        <v>309.19</v>
      </c>
      <c r="E259" s="19" t="n">
        <v>0</v>
      </c>
      <c r="F259" s="19" t="n">
        <v>0</v>
      </c>
      <c r="G259" s="8" t="n">
        <f aca="false">IFERROR(INDEX('TRANS'!$B:$B,MATCH($B259,'TRANS'!$A:$A,0)),IFERROR(INDEX('TRANS'!$B:$B,MATCH(TRIM(SUBSTITUTE($B259,CHAR(160)," ")),'TRANS'!$D:$D,0)),IFERROR(INDEX('Catalog'!$A:$A,MATCH($B259,'Catalog'!$B:$B,0)),IFERROR(INDEX('Catalog'!$A:$A,MATCH(TRIM(SUBSTITUTE($B259,CHAR(160)," ")),'Catalog'!$C:$C,0)),""))))</f>
        <v>4413406</v>
      </c>
      <c r="H259" s="8" t="str">
        <f aca="false">IFERROR(INDEX('TRANS'!$C:$C,MATCH($B259,'TRANS'!$A:$A,0)),IFERROR(INDEX('Catalog'!$B:$B,MATCH($G259,'Catalog'!$A:$A,0)),$B259))</f>
        <v>SC95 M מגן מרפק</v>
      </c>
      <c r="I259" s="8" t="str">
        <f aca="false">IF($G259="","Unmatched","Matched")</f>
        <v>Matched</v>
      </c>
      <c r="J259" s="8" t="n">
        <f aca="false">IF($G259&lt;&gt;"",$G259,$B259)</f>
        <v>4413406</v>
      </c>
      <c r="K259" s="8" t="str">
        <f aca="false">IF(COUNTIF($M$1:$M$10,$A259)&gt;0,"Y","N")</f>
        <v>Y</v>
      </c>
    </row>
    <row r="260" customFormat="false" ht="15" hidden="false" customHeight="true" outlineLevel="0" collapsed="false">
      <c r="A260" s="8" t="s">
        <v>46</v>
      </c>
      <c r="B260" s="8" t="s">
        <v>761</v>
      </c>
      <c r="C260" s="19" t="n">
        <v>9</v>
      </c>
      <c r="D260" s="19" t="n">
        <v>740.36</v>
      </c>
      <c r="E260" s="19" t="n">
        <v>-1</v>
      </c>
      <c r="F260" s="19" t="n">
        <v>-93.67</v>
      </c>
      <c r="G260" s="8" t="n">
        <f aca="false">IFERROR(INDEX('TRANS'!$B:$B,MATCH($B260,'TRANS'!$A:$A,0)),IFERROR(INDEX('TRANS'!$B:$B,MATCH(TRIM(SUBSTITUTE($B260,CHAR(160)," ")),'TRANS'!$D:$D,0)),IFERROR(INDEX('Catalog'!$A:$A,MATCH($B260,'Catalog'!$B:$B,0)),IFERROR(INDEX('Catalog'!$A:$A,MATCH(TRIM(SUBSTITUTE($B260,CHAR(160)," ")),'Catalog'!$C:$C,0)),""))))</f>
        <v>4413405</v>
      </c>
      <c r="H260" s="8" t="str">
        <f aca="false">IFERROR(INDEX('TRANS'!$C:$C,MATCH($B260,'TRANS'!$A:$A,0)),IFERROR(INDEX('Catalog'!$B:$B,MATCH($G260,'Catalog'!$A:$A,0)),$B260))</f>
        <v>SC95 S מגן מרפק</v>
      </c>
      <c r="I260" s="8" t="str">
        <f aca="false">IF($G260="","Unmatched","Matched")</f>
        <v>Matched</v>
      </c>
      <c r="J260" s="8" t="n">
        <f aca="false">IF($G260&lt;&gt;"",$G260,$B260)</f>
        <v>4413405</v>
      </c>
      <c r="K260" s="8" t="str">
        <f aca="false">IF(COUNTIF($M$1:$M$10,$A260)&gt;0,"Y","N")</f>
        <v>Y</v>
      </c>
    </row>
    <row r="261" customFormat="false" ht="15" hidden="false" customHeight="true" outlineLevel="0" collapsed="false">
      <c r="A261" s="8" t="s">
        <v>46</v>
      </c>
      <c r="B261" s="8" t="s">
        <v>762</v>
      </c>
      <c r="C261" s="19" t="n">
        <v>0</v>
      </c>
      <c r="D261" s="19" t="n">
        <v>0</v>
      </c>
      <c r="E261" s="19" t="n">
        <v>2</v>
      </c>
      <c r="F261" s="19" t="n">
        <v>164.02</v>
      </c>
      <c r="G261" s="8" t="n">
        <f aca="false">IFERROR(INDEX('TRANS'!$B:$B,MATCH($B261,'TRANS'!$A:$A,0)),IFERROR(INDEX('TRANS'!$B:$B,MATCH(TRIM(SUBSTITUTE($B261,CHAR(160)," ")),'TRANS'!$D:$D,0)),IFERROR(INDEX('Catalog'!$A:$A,MATCH($B261,'Catalog'!$B:$B,0)),IFERROR(INDEX('Catalog'!$A:$A,MATCH(TRIM(SUBSTITUTE($B261,CHAR(160)," ")),'Catalog'!$C:$C,0)),""))))</f>
        <v>4413534</v>
      </c>
      <c r="H261" s="8" t="str">
        <f aca="false">IFERROR(INDEX('TRANS'!$C:$C,MATCH($B261,'TRANS'!$A:$A,0)),IFERROR(INDEX('Catalog'!$B:$B,MATCH($G261,'Catalog'!$A:$A,0)),$B261))</f>
        <v>SH333 מקבע קרסול</v>
      </c>
      <c r="I261" s="8" t="str">
        <f aca="false">IF($G261="","Unmatched","Matched")</f>
        <v>Matched</v>
      </c>
      <c r="J261" s="8" t="n">
        <f aca="false">IF($G261&lt;&gt;"",$G261,$B261)</f>
        <v>4413534</v>
      </c>
      <c r="K261" s="8" t="str">
        <f aca="false">IF(COUNTIF($M$1:$M$10,$A261)&gt;0,"Y","N")</f>
        <v>Y</v>
      </c>
    </row>
    <row r="262" customFormat="false" ht="15" hidden="false" customHeight="true" outlineLevel="0" collapsed="false">
      <c r="A262" s="8" t="s">
        <v>46</v>
      </c>
      <c r="B262" s="8" t="s">
        <v>763</v>
      </c>
      <c r="C262" s="19" t="n">
        <v>4</v>
      </c>
      <c r="D262" s="19" t="n">
        <v>943.6</v>
      </c>
      <c r="E262" s="19" t="n">
        <v>1</v>
      </c>
      <c r="F262" s="19" t="n">
        <v>210.89</v>
      </c>
      <c r="G262" s="8" t="n">
        <f aca="false">IFERROR(INDEX('TRANS'!$B:$B,MATCH($B262,'TRANS'!$A:$A,0)),IFERROR(INDEX('TRANS'!$B:$B,MATCH(TRIM(SUBSTITUTE($B262,CHAR(160)," ")),'TRANS'!$D:$D,0)),IFERROR(INDEX('Catalog'!$A:$A,MATCH($B262,'Catalog'!$B:$B,0)),IFERROR(INDEX('Catalog'!$A:$A,MATCH(TRIM(SUBSTITUTE($B262,CHAR(160)," ")),'Catalog'!$C:$C,0)),""))))</f>
        <v>4422041</v>
      </c>
      <c r="H262" s="8" t="str">
        <f aca="false">IFERROR(INDEX('TRANS'!$C:$C,MATCH($B262,'TRANS'!$A:$A,0)),IFERROR(INDEX('Catalog'!$B:$B,MATCH($G262,'Catalog'!$A:$A,0)),$B262))</f>
        <v>SH422 5 תומך ברך גנושילד</v>
      </c>
      <c r="I262" s="8" t="str">
        <f aca="false">IF($G262="","Unmatched","Matched")</f>
        <v>Matched</v>
      </c>
      <c r="J262" s="8" t="n">
        <f aca="false">IF($G262&lt;&gt;"",$G262,$B262)</f>
        <v>4422041</v>
      </c>
      <c r="K262" s="8" t="str">
        <f aca="false">IF(COUNTIF($M$1:$M$10,$A262)&gt;0,"Y","N")</f>
        <v>Y</v>
      </c>
    </row>
    <row r="263" customFormat="false" ht="15" hidden="false" customHeight="true" outlineLevel="0" collapsed="false">
      <c r="A263" s="8" t="s">
        <v>46</v>
      </c>
      <c r="B263" s="8" t="s">
        <v>764</v>
      </c>
      <c r="C263" s="19" t="n">
        <v>18</v>
      </c>
      <c r="D263" s="19" t="n">
        <v>1385.33</v>
      </c>
      <c r="E263" s="19" t="n">
        <v>8</v>
      </c>
      <c r="F263" s="19" t="n">
        <v>520.01</v>
      </c>
      <c r="G263" s="8" t="n">
        <f aca="false">IFERROR(INDEX('TRANS'!$B:$B,MATCH($B263,'TRANS'!$A:$A,0)),IFERROR(INDEX('TRANS'!$B:$B,MATCH(TRIM(SUBSTITUTE($B263,CHAR(160)," ")),'TRANS'!$D:$D,0)),IFERROR(INDEX('Catalog'!$A:$A,MATCH($B263,'Catalog'!$B:$B,0)),IFERROR(INDEX('Catalog'!$A:$A,MATCH(TRIM(SUBSTITUTE($B263,CHAR(160)," ")),'Catalog'!$C:$C,0)),""))))</f>
        <v>4403035</v>
      </c>
      <c r="H263" s="8" t="str">
        <f aca="false">IFERROR(INDEX('TRANS'!$C:$C,MATCH($B263,'TRANS'!$A:$A,0)),IFERROR(INDEX('Catalog'!$B:$B,MATCH($G263,'Catalog'!$A:$A,0)),$B263))</f>
        <v>ST3555L-XLגרב לילה לטיפ.בדורבן</v>
      </c>
      <c r="I263" s="8" t="str">
        <f aca="false">IF($G263="","Unmatched","Matched")</f>
        <v>Matched</v>
      </c>
      <c r="J263" s="8" t="n">
        <f aca="false">IF($G263&lt;&gt;"",$G263,$B263)</f>
        <v>4403035</v>
      </c>
      <c r="K263" s="8" t="str">
        <f aca="false">IF(COUNTIF($M$1:$M$10,$A263)&gt;0,"Y","N")</f>
        <v>Y</v>
      </c>
    </row>
    <row r="264" customFormat="false" ht="15" hidden="false" customHeight="true" outlineLevel="0" collapsed="false">
      <c r="A264" s="8" t="s">
        <v>46</v>
      </c>
      <c r="B264" s="8" t="s">
        <v>765</v>
      </c>
      <c r="C264" s="19" t="n">
        <v>17</v>
      </c>
      <c r="D264" s="19" t="n">
        <v>1296.07</v>
      </c>
      <c r="E264" s="19" t="n">
        <v>8</v>
      </c>
      <c r="F264" s="19" t="n">
        <v>520.02</v>
      </c>
      <c r="G264" s="8" t="n">
        <f aca="false">IFERROR(INDEX('TRANS'!$B:$B,MATCH($B264,'TRANS'!$A:$A,0)),IFERROR(INDEX('TRANS'!$B:$B,MATCH(TRIM(SUBSTITUTE($B264,CHAR(160)," ")),'TRANS'!$D:$D,0)),IFERROR(INDEX('Catalog'!$A:$A,MATCH($B264,'Catalog'!$B:$B,0)),IFERROR(INDEX('Catalog'!$A:$A,MATCH(TRIM(SUBSTITUTE($B264,CHAR(160)," ")),'Catalog'!$C:$C,0)),""))))</f>
        <v>4403034</v>
      </c>
      <c r="H264" s="8" t="str">
        <f aca="false">IFERROR(INDEX('TRANS'!$C:$C,MATCH($B264,'TRANS'!$A:$A,0)),IFERROR(INDEX('Catalog'!$B:$B,MATCH($G264,'Catalog'!$A:$A,0)),$B264))</f>
        <v>ST3555 S-Mגרב לילה לטיפ.בדורבן</v>
      </c>
      <c r="I264" s="8" t="str">
        <f aca="false">IF($G264="","Unmatched","Matched")</f>
        <v>Matched</v>
      </c>
      <c r="J264" s="8" t="n">
        <f aca="false">IF($G264&lt;&gt;"",$G264,$B264)</f>
        <v>4403034</v>
      </c>
      <c r="K264" s="8" t="str">
        <f aca="false">IF(COUNTIF($M$1:$M$10,$A264)&gt;0,"Y","N")</f>
        <v>Y</v>
      </c>
    </row>
    <row r="265" customFormat="false" ht="15" hidden="false" customHeight="true" outlineLevel="0" collapsed="false">
      <c r="A265" s="8" t="s">
        <v>46</v>
      </c>
      <c r="B265" s="8" t="s">
        <v>105</v>
      </c>
      <c r="C265" s="19" t="n">
        <v>1</v>
      </c>
      <c r="D265" s="19" t="n">
        <v>111.04</v>
      </c>
      <c r="E265" s="19" t="n">
        <v>2</v>
      </c>
      <c r="F265" s="19" t="n">
        <v>222.08</v>
      </c>
      <c r="G265" s="8" t="str">
        <f aca="false">IFERROR(INDEX('TRANS'!$B:$B,MATCH($B265,'TRANS'!$A:$A,0)),IFERROR(INDEX('TRANS'!$B:$B,MATCH(TRIM(SUBSTITUTE($B265,CHAR(160)," ")),'TRANS'!$D:$D,0)),IFERROR(INDEX('Catalog'!$A:$A,MATCH($B265,'Catalog'!$B:$B,0)),IFERROR(INDEX('Catalog'!$A:$A,MATCH(TRIM(SUBSTITUTE($B265,CHAR(160)," ")),'Catalog'!$C:$C,0)),""))))</f>
        <v/>
      </c>
      <c r="H265" s="8" t="str">
        <f aca="false">IFERROR(INDEX('TRANS'!$C:$C,MATCH($B265,'TRANS'!$A:$A,0)),IFERROR(INDEX('Catalog'!$B:$B,MATCH($G265,'Catalog'!$A:$A,0)),$B265))</f>
        <v>T03 L</v>
      </c>
      <c r="I265" s="8" t="str">
        <f aca="false">IF($G265="","Unmatched","Matched")</f>
        <v>Unmatched</v>
      </c>
      <c r="J265" s="8" t="str">
        <f aca="false">IF($G265&lt;&gt;"",$G265,$B265)</f>
        <v>T03 L</v>
      </c>
      <c r="K265" s="8" t="str">
        <f aca="false">IF(COUNTIF($M$1:$M$10,$A265)&gt;0,"Y","N")</f>
        <v>Y</v>
      </c>
    </row>
    <row r="266" customFormat="false" ht="15" hidden="false" customHeight="true" outlineLevel="0" collapsed="false">
      <c r="A266" s="8" t="s">
        <v>46</v>
      </c>
      <c r="B266" s="8" t="s">
        <v>141</v>
      </c>
      <c r="C266" s="19" t="n">
        <v>2</v>
      </c>
      <c r="D266" s="19" t="n">
        <v>222.08</v>
      </c>
      <c r="E266" s="19" t="n">
        <v>1</v>
      </c>
      <c r="F266" s="19" t="n">
        <v>111.04</v>
      </c>
      <c r="G266" s="8" t="str">
        <f aca="false">IFERROR(INDEX('TRANS'!$B:$B,MATCH($B266,'TRANS'!$A:$A,0)),IFERROR(INDEX('TRANS'!$B:$B,MATCH(TRIM(SUBSTITUTE($B266,CHAR(160)," ")),'TRANS'!$D:$D,0)),IFERROR(INDEX('Catalog'!$A:$A,MATCH($B266,'Catalog'!$B:$B,0)),IFERROR(INDEX('Catalog'!$A:$A,MATCH(TRIM(SUBSTITUTE($B266,CHAR(160)," ")),'Catalog'!$C:$C,0)),""))))</f>
        <v/>
      </c>
      <c r="H266" s="8" t="str">
        <f aca="false">IFERROR(INDEX('TRANS'!$C:$C,MATCH($B266,'TRANS'!$A:$A,0)),IFERROR(INDEX('Catalog'!$B:$B,MATCH($G266,'Catalog'!$A:$A,0)),$B266))</f>
        <v>T03 M</v>
      </c>
      <c r="I266" s="8" t="str">
        <f aca="false">IF($G266="","Unmatched","Matched")</f>
        <v>Unmatched</v>
      </c>
      <c r="J266" s="8" t="str">
        <f aca="false">IF($G266&lt;&gt;"",$G266,$B266)</f>
        <v>T03 M</v>
      </c>
      <c r="K266" s="8" t="str">
        <f aca="false">IF(COUNTIF($M$1:$M$10,$A266)&gt;0,"Y","N")</f>
        <v>Y</v>
      </c>
    </row>
    <row r="267" customFormat="false" ht="15" hidden="false" customHeight="true" outlineLevel="0" collapsed="false">
      <c r="A267" s="8" t="s">
        <v>46</v>
      </c>
      <c r="B267" s="8" t="s">
        <v>162</v>
      </c>
      <c r="C267" s="19" t="n">
        <v>1</v>
      </c>
      <c r="D267" s="19" t="n">
        <v>111.04</v>
      </c>
      <c r="E267" s="19" t="n">
        <v>1</v>
      </c>
      <c r="F267" s="19" t="n">
        <v>111.04</v>
      </c>
      <c r="G267" s="8" t="str">
        <f aca="false">IFERROR(INDEX('TRANS'!$B:$B,MATCH($B267,'TRANS'!$A:$A,0)),IFERROR(INDEX('TRANS'!$B:$B,MATCH(TRIM(SUBSTITUTE($B267,CHAR(160)," ")),'TRANS'!$D:$D,0)),IFERROR(INDEX('Catalog'!$A:$A,MATCH($B267,'Catalog'!$B:$B,0)),IFERROR(INDEX('Catalog'!$A:$A,MATCH(TRIM(SUBSTITUTE($B267,CHAR(160)," ")),'Catalog'!$C:$C,0)),""))))</f>
        <v/>
      </c>
      <c r="H267" s="8" t="str">
        <f aca="false">IFERROR(INDEX('TRANS'!$C:$C,MATCH($B267,'TRANS'!$A:$A,0)),IFERROR(INDEX('Catalog'!$B:$B,MATCH($G267,'Catalog'!$A:$A,0)),$B267))</f>
        <v>T03 XXL</v>
      </c>
      <c r="I267" s="8" t="str">
        <f aca="false">IF($G267="","Unmatched","Matched")</f>
        <v>Unmatched</v>
      </c>
      <c r="J267" s="8" t="str">
        <f aca="false">IF($G267&lt;&gt;"",$G267,$B267)</f>
        <v>T03 XXL</v>
      </c>
      <c r="K267" s="8" t="str">
        <f aca="false">IF(COUNTIF($M$1:$M$10,$A267)&gt;0,"Y","N")</f>
        <v>Y</v>
      </c>
    </row>
    <row r="268" customFormat="false" ht="15" hidden="false" customHeight="true" outlineLevel="0" collapsed="false">
      <c r="A268" s="8" t="s">
        <v>46</v>
      </c>
      <c r="B268" s="8" t="s">
        <v>766</v>
      </c>
      <c r="C268" s="19" t="n">
        <v>3</v>
      </c>
      <c r="D268" s="19" t="n">
        <v>283.89</v>
      </c>
      <c r="E268" s="19" t="n">
        <v>0</v>
      </c>
      <c r="F268" s="19" t="n">
        <v>0</v>
      </c>
      <c r="G268" s="8" t="n">
        <f aca="false">IFERROR(INDEX('TRANS'!$B:$B,MATCH($B268,'TRANS'!$A:$A,0)),IFERROR(INDEX('TRANS'!$B:$B,MATCH(TRIM(SUBSTITUTE($B268,CHAR(160)," ")),'TRANS'!$D:$D,0)),IFERROR(INDEX('Catalog'!$A:$A,MATCH($B268,'Catalog'!$B:$B,0)),IFERROR(INDEX('Catalog'!$A:$A,MATCH(TRIM(SUBSTITUTE($B268,CHAR(160)," ")),'Catalog'!$C:$C,0)),""))))</f>
        <v>4408092</v>
      </c>
      <c r="H268" s="8" t="str">
        <f aca="false">IFERROR(INDEX('TRANS'!$C:$C,MATCH($B268,'TRANS'!$A:$A,0)),IFERROR(INDEX('Catalog'!$B:$B,MATCH($G268,'Catalog'!$A:$A,0)),$B268))</f>
        <v>T11C XL חגורת גב פוג'יאמה</v>
      </c>
      <c r="I268" s="8" t="str">
        <f aca="false">IF($G268="","Unmatched","Matched")</f>
        <v>Matched</v>
      </c>
      <c r="J268" s="8" t="n">
        <f aca="false">IF($G268&lt;&gt;"",$G268,$B268)</f>
        <v>4408092</v>
      </c>
      <c r="K268" s="8" t="str">
        <f aca="false">IF(COUNTIF($M$1:$M$10,$A268)&gt;0,"Y","N")</f>
        <v>Y</v>
      </c>
    </row>
    <row r="269" customFormat="false" ht="15" hidden="false" customHeight="true" outlineLevel="0" collapsed="false">
      <c r="A269" s="8" t="s">
        <v>46</v>
      </c>
      <c r="B269" s="8" t="s">
        <v>767</v>
      </c>
      <c r="C269" s="19" t="n">
        <v>2</v>
      </c>
      <c r="D269" s="19" t="n">
        <v>71.14</v>
      </c>
      <c r="E269" s="19" t="n">
        <v>0</v>
      </c>
      <c r="F269" s="19" t="n">
        <v>0</v>
      </c>
      <c r="G269" s="8" t="n">
        <f aca="false">IFERROR(INDEX('TRANS'!$B:$B,MATCH($B269,'TRANS'!$A:$A,0)),IFERROR(INDEX('TRANS'!$B:$B,MATCH(TRIM(SUBSTITUTE($B269,CHAR(160)," ")),'TRANS'!$D:$D,0)),IFERROR(INDEX('Catalog'!$A:$A,MATCH($B269,'Catalog'!$B:$B,0)),IFERROR(INDEX('Catalog'!$A:$A,MATCH(TRIM(SUBSTITUTE($B269,CHAR(160)," ")),'Catalog'!$C:$C,0)),""))))</f>
        <v>4408095</v>
      </c>
      <c r="H269" s="8" t="str">
        <f aca="false">IFERROR(INDEX('TRANS'!$C:$C,MATCH($B269,'TRANS'!$A:$A,0)),IFERROR(INDEX('Catalog'!$B:$B,MATCH($G269,'Catalog'!$A:$A,0)),$B269))</f>
        <v>T20 L-XL  חבק יד עם צמדן</v>
      </c>
      <c r="I269" s="8" t="str">
        <f aca="false">IF($G269="","Unmatched","Matched")</f>
        <v>Matched</v>
      </c>
      <c r="J269" s="8" t="n">
        <f aca="false">IF($G269&lt;&gt;"",$G269,$B269)</f>
        <v>4408095</v>
      </c>
      <c r="K269" s="8" t="str">
        <f aca="false">IF(COUNTIF($M$1:$M$10,$A269)&gt;0,"Y","N")</f>
        <v>Y</v>
      </c>
    </row>
    <row r="270" customFormat="false" ht="15" hidden="false" customHeight="true" outlineLevel="0" collapsed="false">
      <c r="A270" s="8" t="s">
        <v>46</v>
      </c>
      <c r="B270" s="8" t="s">
        <v>768</v>
      </c>
      <c r="C270" s="19" t="n">
        <v>3</v>
      </c>
      <c r="D270" s="19" t="n">
        <v>106.72</v>
      </c>
      <c r="E270" s="19" t="n">
        <v>0</v>
      </c>
      <c r="F270" s="19" t="n">
        <v>0</v>
      </c>
      <c r="G270" s="8" t="n">
        <f aca="false">IFERROR(INDEX('TRANS'!$B:$B,MATCH($B270,'TRANS'!$A:$A,0)),IFERROR(INDEX('TRANS'!$B:$B,MATCH(TRIM(SUBSTITUTE($B270,CHAR(160)," ")),'TRANS'!$D:$D,0)),IFERROR(INDEX('Catalog'!$A:$A,MATCH($B270,'Catalog'!$B:$B,0)),IFERROR(INDEX('Catalog'!$A:$A,MATCH(TRIM(SUBSTITUTE($B270,CHAR(160)," ")),'Catalog'!$C:$C,0)),""))))</f>
        <v>4408097</v>
      </c>
      <c r="H270" s="8" t="str">
        <f aca="false">IFERROR(INDEX('TRANS'!$C:$C,MATCH($B270,'TRANS'!$A:$A,0)),IFERROR(INDEX('Catalog'!$B:$B,MATCH($G270,'Catalog'!$A:$A,0)),$B270))</f>
        <v>T20C L-XL חבק יד עם צמדן חום</v>
      </c>
      <c r="I270" s="8" t="str">
        <f aca="false">IF($G270="","Unmatched","Matched")</f>
        <v>Matched</v>
      </c>
      <c r="J270" s="8" t="n">
        <f aca="false">IF($G270&lt;&gt;"",$G270,$B270)</f>
        <v>4408097</v>
      </c>
      <c r="K270" s="8" t="str">
        <f aca="false">IF(COUNTIF($M$1:$M$10,$A270)&gt;0,"Y","N")</f>
        <v>Y</v>
      </c>
    </row>
    <row r="271" customFormat="false" ht="15" hidden="false" customHeight="true" outlineLevel="0" collapsed="false">
      <c r="A271" s="8" t="s">
        <v>46</v>
      </c>
      <c r="B271" s="8" t="s">
        <v>769</v>
      </c>
      <c r="C271" s="19" t="n">
        <v>4</v>
      </c>
      <c r="D271" s="19" t="n">
        <v>141.95</v>
      </c>
      <c r="E271" s="19" t="n">
        <v>0</v>
      </c>
      <c r="F271" s="19" t="n">
        <v>0</v>
      </c>
      <c r="G271" s="8" t="n">
        <f aca="false">IFERROR(INDEX('TRANS'!$B:$B,MATCH($B271,'TRANS'!$A:$A,0)),IFERROR(INDEX('TRANS'!$B:$B,MATCH(TRIM(SUBSTITUTE($B271,CHAR(160)," ")),'TRANS'!$D:$D,0)),IFERROR(INDEX('Catalog'!$A:$A,MATCH($B271,'Catalog'!$B:$B,0)),IFERROR(INDEX('Catalog'!$A:$A,MATCH(TRIM(SUBSTITUTE($B271,CHAR(160)," ")),'Catalog'!$C:$C,0)),""))))</f>
        <v>4408096</v>
      </c>
      <c r="H271" s="8" t="str">
        <f aca="false">IFERROR(INDEX('TRANS'!$C:$C,MATCH($B271,'TRANS'!$A:$A,0)),IFERROR(INDEX('Catalog'!$B:$B,MATCH($G271,'Catalog'!$A:$A,0)),$B271))</f>
        <v>T20C S-M חבק יד עם צמדןחום</v>
      </c>
      <c r="I271" s="8" t="str">
        <f aca="false">IF($G271="","Unmatched","Matched")</f>
        <v>Matched</v>
      </c>
      <c r="J271" s="8" t="n">
        <f aca="false">IF($G271&lt;&gt;"",$G271,$B271)</f>
        <v>4408096</v>
      </c>
      <c r="K271" s="8" t="str">
        <f aca="false">IF(COUNTIF($M$1:$M$10,$A271)&gt;0,"Y","N")</f>
        <v>Y</v>
      </c>
    </row>
    <row r="272" customFormat="false" ht="15" hidden="false" customHeight="true" outlineLevel="0" collapsed="false">
      <c r="A272" s="8" t="s">
        <v>46</v>
      </c>
      <c r="B272" s="8" t="s">
        <v>770</v>
      </c>
      <c r="C272" s="19" t="n">
        <v>10</v>
      </c>
      <c r="D272" s="19" t="n">
        <v>522.98</v>
      </c>
      <c r="E272" s="19" t="n">
        <v>1</v>
      </c>
      <c r="F272" s="19" t="n">
        <v>0.01</v>
      </c>
      <c r="G272" s="8" t="n">
        <f aca="false">IFERROR(INDEX('TRANS'!$B:$B,MATCH($B272,'TRANS'!$A:$A,0)),IFERROR(INDEX('TRANS'!$B:$B,MATCH(TRIM(SUBSTITUTE($B272,CHAR(160)," ")),'TRANS'!$D:$D,0)),IFERROR(INDEX('Catalog'!$A:$A,MATCH($B272,'Catalog'!$B:$B,0)),IFERROR(INDEX('Catalog'!$A:$A,MATCH(TRIM(SUBSTITUTE($B272,CHAR(160)," ")),'Catalog'!$C:$C,0)),""))))</f>
        <v>4408098</v>
      </c>
      <c r="H272" s="8" t="str">
        <f aca="false">IFERROR(INDEX('TRANS'!$C:$C,MATCH($B272,'TRANS'!$A:$A,0)),IFERROR(INDEX('Catalog'!$B:$B,MATCH($G272,'Catalog'!$A:$A,0)),$B272))</f>
        <v>T25-חבק יד אגודלי</v>
      </c>
      <c r="I272" s="8" t="str">
        <f aca="false">IF($G272="","Unmatched","Matched")</f>
        <v>Matched</v>
      </c>
      <c r="J272" s="8" t="n">
        <f aca="false">IF($G272&lt;&gt;"",$G272,$B272)</f>
        <v>4408098</v>
      </c>
      <c r="K272" s="8" t="str">
        <f aca="false">IF(COUNTIF($M$1:$M$10,$A272)&gt;0,"Y","N")</f>
        <v>Y</v>
      </c>
    </row>
    <row r="273" customFormat="false" ht="15" hidden="false" customHeight="true" outlineLevel="0" collapsed="false">
      <c r="A273" s="8" t="s">
        <v>46</v>
      </c>
      <c r="B273" s="8" t="s">
        <v>412</v>
      </c>
      <c r="C273" s="19" t="n">
        <v>1</v>
      </c>
      <c r="D273" s="19" t="n">
        <v>70.86</v>
      </c>
      <c r="E273" s="19" t="n">
        <v>0</v>
      </c>
      <c r="F273" s="19" t="n">
        <v>0</v>
      </c>
      <c r="G273" s="8" t="str">
        <f aca="false">IFERROR(INDEX('TRANS'!$B:$B,MATCH($B273,'TRANS'!$A:$A,0)),IFERROR(INDEX('TRANS'!$B:$B,MATCH(TRIM(SUBSTITUTE($B273,CHAR(160)," ")),'TRANS'!$D:$D,0)),IFERROR(INDEX('Catalog'!$A:$A,MATCH($B273,'Catalog'!$B:$B,0)),IFERROR(INDEX('Catalog'!$A:$A,MATCH(TRIM(SUBSTITUTE($B273,CHAR(160)," ")),'Catalog'!$C:$C,0)),""))))</f>
        <v/>
      </c>
      <c r="H273" s="8" t="str">
        <f aca="false">IFERROR(INDEX('TRANS'!$C:$C,MATCH($B273,'TRANS'!$A:$A,0)),IFERROR(INDEX('Catalog'!$B:$B,MATCH($G273,'Catalog'!$A:$A,0)),$B273))</f>
        <v>T28 M</v>
      </c>
      <c r="I273" s="8" t="str">
        <f aca="false">IF($G273="","Unmatched","Matched")</f>
        <v>Unmatched</v>
      </c>
      <c r="J273" s="8" t="str">
        <f aca="false">IF($G273&lt;&gt;"",$G273,$B273)</f>
        <v>T28 M</v>
      </c>
      <c r="K273" s="8" t="str">
        <f aca="false">IF(COUNTIF($M$1:$M$10,$A273)&gt;0,"Y","N")</f>
        <v>Y</v>
      </c>
    </row>
    <row r="274" customFormat="false" ht="15" hidden="false" customHeight="true" outlineLevel="0" collapsed="false">
      <c r="A274" s="8" t="s">
        <v>46</v>
      </c>
      <c r="B274" s="8" t="s">
        <v>266</v>
      </c>
      <c r="C274" s="19" t="n">
        <v>1</v>
      </c>
      <c r="D274" s="19" t="n">
        <v>70.26</v>
      </c>
      <c r="E274" s="19" t="n">
        <v>0</v>
      </c>
      <c r="F274" s="19" t="n">
        <v>0</v>
      </c>
      <c r="G274" s="8" t="str">
        <f aca="false">IFERROR(INDEX('TRANS'!$B:$B,MATCH($B274,'TRANS'!$A:$A,0)),IFERROR(INDEX('TRANS'!$B:$B,MATCH(TRIM(SUBSTITUTE($B274,CHAR(160)," ")),'TRANS'!$D:$D,0)),IFERROR(INDEX('Catalog'!$A:$A,MATCH($B274,'Catalog'!$B:$B,0)),IFERROR(INDEX('Catalog'!$A:$A,MATCH(TRIM(SUBSTITUTE($B274,CHAR(160)," ")),'Catalog'!$C:$C,0)),""))))</f>
        <v/>
      </c>
      <c r="H274" s="8" t="str">
        <f aca="false">IFERROR(INDEX('TRANS'!$C:$C,MATCH($B274,'TRANS'!$A:$A,0)),IFERROR(INDEX('Catalog'!$B:$B,MATCH($G274,'Catalog'!$A:$A,0)),$B274))</f>
        <v>T28A XS</v>
      </c>
      <c r="I274" s="8" t="str">
        <f aca="false">IF($G274="","Unmatched","Matched")</f>
        <v>Unmatched</v>
      </c>
      <c r="J274" s="8" t="str">
        <f aca="false">IF($G274&lt;&gt;"",$G274,$B274)</f>
        <v>T28A XS</v>
      </c>
      <c r="K274" s="8" t="str">
        <f aca="false">IF(COUNTIF($M$1:$M$10,$A274)&gt;0,"Y","N")</f>
        <v>Y</v>
      </c>
    </row>
    <row r="275" customFormat="false" ht="15" hidden="false" customHeight="true" outlineLevel="0" collapsed="false">
      <c r="A275" s="8" t="s">
        <v>46</v>
      </c>
      <c r="B275" s="8" t="s">
        <v>771</v>
      </c>
      <c r="C275" s="19" t="n">
        <v>1</v>
      </c>
      <c r="D275" s="19" t="n">
        <v>70.26</v>
      </c>
      <c r="E275" s="19" t="n">
        <v>0</v>
      </c>
      <c r="F275" s="19" t="n">
        <v>0</v>
      </c>
      <c r="G275" s="8" t="n">
        <f aca="false">IFERROR(INDEX('TRANS'!$B:$B,MATCH($B275,'TRANS'!$A:$A,0)),IFERROR(INDEX('TRANS'!$B:$B,MATCH(TRIM(SUBSTITUTE($B275,CHAR(160)," ")),'TRANS'!$D:$D,0)),IFERROR(INDEX('Catalog'!$A:$A,MATCH($B275,'Catalog'!$B:$B,0)),IFERROR(INDEX('Catalog'!$A:$A,MATCH(TRIM(SUBSTITUTE($B275,CHAR(160)," ")),'Catalog'!$C:$C,0)),""))))</f>
        <v>4415075</v>
      </c>
      <c r="H275" s="8" t="str">
        <f aca="false">IFERROR(INDEX('TRANS'!$C:$C,MATCH($B275,'TRANS'!$A:$A,0)),IFERROR(INDEX('Catalog'!$B:$B,MATCH($G275,'Catalog'!$A:$A,0)),$B275))</f>
        <v>T28AC L-XL סד לאגודל</v>
      </c>
      <c r="I275" s="8" t="str">
        <f aca="false">IF($G275="","Unmatched","Matched")</f>
        <v>Matched</v>
      </c>
      <c r="J275" s="8" t="n">
        <f aca="false">IF($G275&lt;&gt;"",$G275,$B275)</f>
        <v>4415075</v>
      </c>
      <c r="K275" s="8" t="str">
        <f aca="false">IF(COUNTIF($M$1:$M$10,$A275)&gt;0,"Y","N")</f>
        <v>Y</v>
      </c>
    </row>
    <row r="276" customFormat="false" ht="15" hidden="false" customHeight="true" outlineLevel="0" collapsed="false">
      <c r="A276" s="8" t="s">
        <v>46</v>
      </c>
      <c r="B276" s="8" t="s">
        <v>772</v>
      </c>
      <c r="C276" s="19" t="n">
        <v>1</v>
      </c>
      <c r="D276" s="19" t="n">
        <v>70.26</v>
      </c>
      <c r="E276" s="19" t="n">
        <v>1</v>
      </c>
      <c r="F276" s="19" t="n">
        <v>70.26</v>
      </c>
      <c r="G276" s="8" t="n">
        <f aca="false">IFERROR(INDEX('TRANS'!$B:$B,MATCH($B276,'TRANS'!$A:$A,0)),IFERROR(INDEX('TRANS'!$B:$B,MATCH(TRIM(SUBSTITUTE($B276,CHAR(160)," ")),'TRANS'!$D:$D,0)),IFERROR(INDEX('Catalog'!$A:$A,MATCH($B276,'Catalog'!$B:$B,0)),IFERROR(INDEX('Catalog'!$A:$A,MATCH(TRIM(SUBSTITUTE($B276,CHAR(160)," ")),'Catalog'!$C:$C,0)),""))))</f>
        <v>4415074</v>
      </c>
      <c r="H276" s="8" t="str">
        <f aca="false">IFERROR(INDEX('TRANS'!$C:$C,MATCH($B276,'TRANS'!$A:$A,0)),IFERROR(INDEX('Catalog'!$B:$B,MATCH($G276,'Catalog'!$A:$A,0)),$B276))</f>
        <v>T28AC S-M סד לאגודל</v>
      </c>
      <c r="I276" s="8" t="str">
        <f aca="false">IF($G276="","Unmatched","Matched")</f>
        <v>Matched</v>
      </c>
      <c r="J276" s="8" t="n">
        <f aca="false">IF($G276&lt;&gt;"",$G276,$B276)</f>
        <v>4415074</v>
      </c>
      <c r="K276" s="8" t="str">
        <f aca="false">IF(COUNTIF($M$1:$M$10,$A276)&gt;0,"Y","N")</f>
        <v>Y</v>
      </c>
    </row>
    <row r="277" customFormat="false" ht="15" hidden="false" customHeight="true" outlineLevel="0" collapsed="false">
      <c r="A277" s="8" t="s">
        <v>46</v>
      </c>
      <c r="B277" s="8" t="s">
        <v>118</v>
      </c>
      <c r="C277" s="19" t="n">
        <v>0</v>
      </c>
      <c r="D277" s="19" t="n">
        <v>0</v>
      </c>
      <c r="E277" s="19" t="n">
        <v>1</v>
      </c>
      <c r="F277" s="19" t="n">
        <v>140.57</v>
      </c>
      <c r="G277" s="8" t="str">
        <f aca="false">IFERROR(INDEX('TRANS'!$B:$B,MATCH($B277,'TRANS'!$A:$A,0)),IFERROR(INDEX('TRANS'!$B:$B,MATCH(TRIM(SUBSTITUTE($B277,CHAR(160)," ")),'TRANS'!$D:$D,0)),IFERROR(INDEX('Catalog'!$A:$A,MATCH($B277,'Catalog'!$B:$B,0)),IFERROR(INDEX('Catalog'!$A:$A,MATCH(TRIM(SUBSTITUTE($B277,CHAR(160)," ")),'Catalog'!$C:$C,0)),""))))</f>
        <v/>
      </c>
      <c r="H277" s="8" t="str">
        <f aca="false">IFERROR(INDEX('TRANS'!$C:$C,MATCH($B277,'TRANS'!$A:$A,0)),IFERROR(INDEX('Catalog'!$B:$B,MATCH($G277,'Catalog'!$A:$A,0)),$B277))</f>
        <v>T33 XL</v>
      </c>
      <c r="I277" s="8" t="str">
        <f aca="false">IF($G277="","Unmatched","Matched")</f>
        <v>Unmatched</v>
      </c>
      <c r="J277" s="8" t="str">
        <f aca="false">IF($G277&lt;&gt;"",$G277,$B277)</f>
        <v>T33 XL</v>
      </c>
      <c r="K277" s="8" t="str">
        <f aca="false">IF(COUNTIF($M$1:$M$10,$A277)&gt;0,"Y","N")</f>
        <v>Y</v>
      </c>
    </row>
    <row r="278" customFormat="false" ht="15" hidden="false" customHeight="true" outlineLevel="0" collapsed="false">
      <c r="A278" s="8" t="s">
        <v>46</v>
      </c>
      <c r="B278" s="8" t="s">
        <v>413</v>
      </c>
      <c r="C278" s="19" t="n">
        <v>2</v>
      </c>
      <c r="D278" s="19" t="n">
        <v>170.08</v>
      </c>
      <c r="E278" s="19" t="n">
        <v>0</v>
      </c>
      <c r="F278" s="19" t="n">
        <v>0</v>
      </c>
      <c r="G278" s="8" t="str">
        <f aca="false">IFERROR(INDEX('TRANS'!$B:$B,MATCH($B278,'TRANS'!$A:$A,0)),IFERROR(INDEX('TRANS'!$B:$B,MATCH(TRIM(SUBSTITUTE($B278,CHAR(160)," ")),'TRANS'!$D:$D,0)),IFERROR(INDEX('Catalog'!$A:$A,MATCH($B278,'Catalog'!$B:$B,0)),IFERROR(INDEX('Catalog'!$A:$A,MATCH(TRIM(SUBSTITUTE($B278,CHAR(160)," ")),'Catalog'!$C:$C,0)),""))))</f>
        <v/>
      </c>
      <c r="H278" s="8" t="str">
        <f aca="false">IFERROR(INDEX('TRANS'!$C:$C,MATCH($B278,'TRANS'!$A:$A,0)),IFERROR(INDEX('Catalog'!$B:$B,MATCH($G278,'Catalog'!$A:$A,0)),$B278))</f>
        <v>T40 0</v>
      </c>
      <c r="I278" s="8" t="str">
        <f aca="false">IF($G278="","Unmatched","Matched")</f>
        <v>Unmatched</v>
      </c>
      <c r="J278" s="8" t="str">
        <f aca="false">IF($G278&lt;&gt;"",$G278,$B278)</f>
        <v>T40 0</v>
      </c>
      <c r="K278" s="8" t="str">
        <f aca="false">IF(COUNTIF($M$1:$M$10,$A278)&gt;0,"Y","N")</f>
        <v>Y</v>
      </c>
    </row>
    <row r="279" customFormat="false" ht="15" hidden="false" customHeight="true" outlineLevel="0" collapsed="false">
      <c r="A279" s="8" t="s">
        <v>46</v>
      </c>
      <c r="B279" s="8" t="s">
        <v>124</v>
      </c>
      <c r="C279" s="19" t="n">
        <v>2</v>
      </c>
      <c r="D279" s="19" t="n">
        <v>189.26</v>
      </c>
      <c r="E279" s="19" t="n">
        <v>0</v>
      </c>
      <c r="F279" s="19" t="n">
        <v>0</v>
      </c>
      <c r="G279" s="8" t="str">
        <f aca="false">IFERROR(INDEX('TRANS'!$B:$B,MATCH($B279,'TRANS'!$A:$A,0)),IFERROR(INDEX('TRANS'!$B:$B,MATCH(TRIM(SUBSTITUTE($B279,CHAR(160)," ")),'TRANS'!$D:$D,0)),IFERROR(INDEX('Catalog'!$A:$A,MATCH($B279,'Catalog'!$B:$B,0)),IFERROR(INDEX('Catalog'!$A:$A,MATCH(TRIM(SUBSTITUTE($B279,CHAR(160)," ")),'Catalog'!$C:$C,0)),""))))</f>
        <v/>
      </c>
      <c r="H279" s="8" t="str">
        <f aca="false">IFERROR(INDEX('TRANS'!$C:$C,MATCH($B279,'TRANS'!$A:$A,0)),IFERROR(INDEX('Catalog'!$B:$B,MATCH($G279,'Catalog'!$A:$A,0)),$B279))</f>
        <v>T402 L</v>
      </c>
      <c r="I279" s="8" t="str">
        <f aca="false">IF($G279="","Unmatched","Matched")</f>
        <v>Unmatched</v>
      </c>
      <c r="J279" s="8" t="str">
        <f aca="false">IF($G279&lt;&gt;"",$G279,$B279)</f>
        <v>T402 L</v>
      </c>
      <c r="K279" s="8" t="str">
        <f aca="false">IF(COUNTIF($M$1:$M$10,$A279)&gt;0,"Y","N")</f>
        <v>Y</v>
      </c>
    </row>
    <row r="280" customFormat="false" ht="15" hidden="false" customHeight="true" outlineLevel="0" collapsed="false">
      <c r="A280" s="8" t="s">
        <v>46</v>
      </c>
      <c r="B280" s="8" t="s">
        <v>262</v>
      </c>
      <c r="C280" s="19" t="n">
        <v>2</v>
      </c>
      <c r="D280" s="19" t="n">
        <v>189</v>
      </c>
      <c r="E280" s="19" t="n">
        <v>0</v>
      </c>
      <c r="F280" s="19" t="n">
        <v>0</v>
      </c>
      <c r="G280" s="8" t="str">
        <f aca="false">IFERROR(INDEX('TRANS'!$B:$B,MATCH($B280,'TRANS'!$A:$A,0)),IFERROR(INDEX('TRANS'!$B:$B,MATCH(TRIM(SUBSTITUTE($B280,CHAR(160)," ")),'TRANS'!$D:$D,0)),IFERROR(INDEX('Catalog'!$A:$A,MATCH($B280,'Catalog'!$B:$B,0)),IFERROR(INDEX('Catalog'!$A:$A,MATCH(TRIM(SUBSTITUTE($B280,CHAR(160)," ")),'Catalog'!$C:$C,0)),""))))</f>
        <v/>
      </c>
      <c r="H280" s="8" t="str">
        <f aca="false">IFERROR(INDEX('TRANS'!$C:$C,MATCH($B280,'TRANS'!$A:$A,0)),IFERROR(INDEX('Catalog'!$B:$B,MATCH($G280,'Catalog'!$A:$A,0)),$B280))</f>
        <v>T402 M</v>
      </c>
      <c r="I280" s="8" t="str">
        <f aca="false">IF($G280="","Unmatched","Matched")</f>
        <v>Unmatched</v>
      </c>
      <c r="J280" s="8" t="str">
        <f aca="false">IF($G280&lt;&gt;"",$G280,$B280)</f>
        <v>T402 M</v>
      </c>
      <c r="K280" s="8" t="str">
        <f aca="false">IF(COUNTIF($M$1:$M$10,$A280)&gt;0,"Y","N")</f>
        <v>Y</v>
      </c>
    </row>
    <row r="281" customFormat="false" ht="15" hidden="false" customHeight="true" outlineLevel="0" collapsed="false">
      <c r="A281" s="8" t="s">
        <v>46</v>
      </c>
      <c r="B281" s="8" t="s">
        <v>533</v>
      </c>
      <c r="C281" s="19" t="n">
        <v>2</v>
      </c>
      <c r="D281" s="19" t="n">
        <v>189</v>
      </c>
      <c r="E281" s="19" t="n">
        <v>0</v>
      </c>
      <c r="F281" s="19" t="n">
        <v>0</v>
      </c>
      <c r="G281" s="8" t="str">
        <f aca="false">IFERROR(INDEX('TRANS'!$B:$B,MATCH($B281,'TRANS'!$A:$A,0)),IFERROR(INDEX('TRANS'!$B:$B,MATCH(TRIM(SUBSTITUTE($B281,CHAR(160)," ")),'TRANS'!$D:$D,0)),IFERROR(INDEX('Catalog'!$A:$A,MATCH($B281,'Catalog'!$B:$B,0)),IFERROR(INDEX('Catalog'!$A:$A,MATCH(TRIM(SUBSTITUTE($B281,CHAR(160)," ")),'Catalog'!$C:$C,0)),""))))</f>
        <v/>
      </c>
      <c r="H281" s="8" t="str">
        <f aca="false">IFERROR(INDEX('TRANS'!$C:$C,MATCH($B281,'TRANS'!$A:$A,0)),IFERROR(INDEX('Catalog'!$B:$B,MATCH($G281,'Catalog'!$A:$A,0)),$B281))</f>
        <v>T402 S</v>
      </c>
      <c r="I281" s="8" t="str">
        <f aca="false">IF($G281="","Unmatched","Matched")</f>
        <v>Unmatched</v>
      </c>
      <c r="J281" s="8" t="str">
        <f aca="false">IF($G281&lt;&gt;"",$G281,$B281)</f>
        <v>T402 S</v>
      </c>
      <c r="K281" s="8" t="str">
        <f aca="false">IF(COUNTIF($M$1:$M$10,$A281)&gt;0,"Y","N")</f>
        <v>Y</v>
      </c>
    </row>
    <row r="282" customFormat="false" ht="15" hidden="false" customHeight="true" outlineLevel="0" collapsed="false">
      <c r="A282" s="8" t="s">
        <v>46</v>
      </c>
      <c r="B282" s="8" t="s">
        <v>142</v>
      </c>
      <c r="C282" s="19" t="n">
        <v>0</v>
      </c>
      <c r="D282" s="19" t="n">
        <v>0</v>
      </c>
      <c r="E282" s="19" t="n">
        <v>1</v>
      </c>
      <c r="F282" s="19" t="n">
        <v>94.63</v>
      </c>
      <c r="G282" s="8" t="str">
        <f aca="false">IFERROR(INDEX('TRANS'!$B:$B,MATCH($B282,'TRANS'!$A:$A,0)),IFERROR(INDEX('TRANS'!$B:$B,MATCH(TRIM(SUBSTITUTE($B282,CHAR(160)," ")),'TRANS'!$D:$D,0)),IFERROR(INDEX('Catalog'!$A:$A,MATCH($B282,'Catalog'!$B:$B,0)),IFERROR(INDEX('Catalog'!$A:$A,MATCH(TRIM(SUBSTITUTE($B282,CHAR(160)," ")),'Catalog'!$C:$C,0)),""))))</f>
        <v/>
      </c>
      <c r="H282" s="8" t="str">
        <f aca="false">IFERROR(INDEX('TRANS'!$C:$C,MATCH($B282,'TRANS'!$A:$A,0)),IFERROR(INDEX('Catalog'!$B:$B,MATCH($G282,'Catalog'!$A:$A,0)),$B282))</f>
        <v>T402 XL</v>
      </c>
      <c r="I282" s="8" t="str">
        <f aca="false">IF($G282="","Unmatched","Matched")</f>
        <v>Unmatched</v>
      </c>
      <c r="J282" s="8" t="str">
        <f aca="false">IF($G282&lt;&gt;"",$G282,$B282)</f>
        <v>T402 XL</v>
      </c>
      <c r="K282" s="8" t="str">
        <f aca="false">IF(COUNTIF($M$1:$M$10,$A282)&gt;0,"Y","N")</f>
        <v>Y</v>
      </c>
    </row>
    <row r="283" customFormat="false" ht="15" hidden="false" customHeight="true" outlineLevel="0" collapsed="false">
      <c r="A283" s="8" t="s">
        <v>46</v>
      </c>
      <c r="B283" s="8" t="s">
        <v>773</v>
      </c>
      <c r="C283" s="19" t="n">
        <v>2</v>
      </c>
      <c r="D283" s="19" t="n">
        <v>210.84</v>
      </c>
      <c r="E283" s="19" t="n">
        <v>0</v>
      </c>
      <c r="F283" s="19" t="n">
        <v>0</v>
      </c>
      <c r="G283" s="8" t="n">
        <f aca="false">IFERROR(INDEX('TRANS'!$B:$B,MATCH($B283,'TRANS'!$A:$A,0)),IFERROR(INDEX('TRANS'!$B:$B,MATCH(TRIM(SUBSTITUTE($B283,CHAR(160)," ")),'TRANS'!$D:$D,0)),IFERROR(INDEX('Catalog'!$A:$A,MATCH($B283,'Catalog'!$B:$B,0)),IFERROR(INDEX('Catalog'!$A:$A,MATCH(TRIM(SUBSTITUTE($B283,CHAR(160)," ")),'Catalog'!$C:$C,0)),""))))</f>
        <v>4413183</v>
      </c>
      <c r="H283" s="8" t="str">
        <f aca="false">IFERROR(INDEX('TRANS'!$C:$C,MATCH($B283,'TRANS'!$A:$A,0)),IFERROR(INDEX('Catalog'!$B:$B,MATCH($G283,'Catalog'!$A:$A,0)),$B283))</f>
        <v>T 45 M מגן ברך רגיל</v>
      </c>
      <c r="I283" s="8" t="str">
        <f aca="false">IF($G283="","Unmatched","Matched")</f>
        <v>Matched</v>
      </c>
      <c r="J283" s="8" t="n">
        <f aca="false">IF($G283&lt;&gt;"",$G283,$B283)</f>
        <v>4413183</v>
      </c>
      <c r="K283" s="8" t="str">
        <f aca="false">IF(COUNTIF($M$1:$M$10,$A283)&gt;0,"Y","N")</f>
        <v>Y</v>
      </c>
    </row>
    <row r="284" customFormat="false" ht="15" hidden="false" customHeight="true" outlineLevel="0" collapsed="false">
      <c r="A284" s="8" t="s">
        <v>46</v>
      </c>
      <c r="B284" s="8" t="s">
        <v>414</v>
      </c>
      <c r="C284" s="19" t="n">
        <v>1</v>
      </c>
      <c r="D284" s="19" t="n">
        <v>85.04</v>
      </c>
      <c r="E284" s="19" t="n">
        <v>0</v>
      </c>
      <c r="F284" s="19" t="n">
        <v>0</v>
      </c>
      <c r="G284" s="8" t="str">
        <f aca="false">IFERROR(INDEX('TRANS'!$B:$B,MATCH($B284,'TRANS'!$A:$A,0)),IFERROR(INDEX('TRANS'!$B:$B,MATCH(TRIM(SUBSTITUTE($B284,CHAR(160)," ")),'TRANS'!$D:$D,0)),IFERROR(INDEX('Catalog'!$A:$A,MATCH($B284,'Catalog'!$B:$B,0)),IFERROR(INDEX('Catalog'!$A:$A,MATCH(TRIM(SUBSTITUTE($B284,CHAR(160)," ")),'Catalog'!$C:$C,0)),""))))</f>
        <v/>
      </c>
      <c r="H284" s="8" t="str">
        <f aca="false">IFERROR(INDEX('TRANS'!$C:$C,MATCH($B284,'TRANS'!$A:$A,0)),IFERROR(INDEX('Catalog'!$B:$B,MATCH($G284,'Catalog'!$A:$A,0)),$B284))</f>
        <v>T49 S</v>
      </c>
      <c r="I284" s="8" t="str">
        <f aca="false">IF($G284="","Unmatched","Matched")</f>
        <v>Unmatched</v>
      </c>
      <c r="J284" s="8" t="str">
        <f aca="false">IF($G284&lt;&gt;"",$G284,$B284)</f>
        <v>T49 S</v>
      </c>
      <c r="K284" s="8" t="str">
        <f aca="false">IF(COUNTIF($M$1:$M$10,$A284)&gt;0,"Y","N")</f>
        <v>Y</v>
      </c>
    </row>
    <row r="285" customFormat="false" ht="15" hidden="false" customHeight="true" outlineLevel="0" collapsed="false">
      <c r="A285" s="8" t="s">
        <v>46</v>
      </c>
      <c r="B285" s="8" t="s">
        <v>320</v>
      </c>
      <c r="C285" s="19" t="n">
        <v>1</v>
      </c>
      <c r="D285" s="19" t="n">
        <v>77.07</v>
      </c>
      <c r="E285" s="19" t="n">
        <v>1</v>
      </c>
      <c r="F285" s="19" t="n">
        <v>85.26</v>
      </c>
      <c r="G285" s="8" t="str">
        <f aca="false">IFERROR(INDEX('TRANS'!$B:$B,MATCH($B285,'TRANS'!$A:$A,0)),IFERROR(INDEX('TRANS'!$B:$B,MATCH(TRIM(SUBSTITUTE($B285,CHAR(160)," ")),'TRANS'!$D:$D,0)),IFERROR(INDEX('Catalog'!$A:$A,MATCH($B285,'Catalog'!$B:$B,0)),IFERROR(INDEX('Catalog'!$A:$A,MATCH(TRIM(SUBSTITUTE($B285,CHAR(160)," ")),'Catalog'!$C:$C,0)),""))))</f>
        <v/>
      </c>
      <c r="H285" s="8" t="str">
        <f aca="false">IFERROR(INDEX('TRANS'!$C:$C,MATCH($B285,'TRANS'!$A:$A,0)),IFERROR(INDEX('Catalog'!$B:$B,MATCH($G285,'Catalog'!$A:$A,0)),$B285))</f>
        <v>T49 XL</v>
      </c>
      <c r="I285" s="8" t="str">
        <f aca="false">IF($G285="","Unmatched","Matched")</f>
        <v>Unmatched</v>
      </c>
      <c r="J285" s="8" t="str">
        <f aca="false">IF($G285&lt;&gt;"",$G285,$B285)</f>
        <v>T49 XL</v>
      </c>
      <c r="K285" s="8" t="str">
        <f aca="false">IF(COUNTIF($M$1:$M$10,$A285)&gt;0,"Y","N")</f>
        <v>Y</v>
      </c>
    </row>
    <row r="286" customFormat="false" ht="15" hidden="false" customHeight="true" outlineLevel="0" collapsed="false">
      <c r="A286" s="8" t="s">
        <v>46</v>
      </c>
      <c r="B286" s="8" t="s">
        <v>774</v>
      </c>
      <c r="C286" s="19" t="n">
        <v>5</v>
      </c>
      <c r="D286" s="19" t="n">
        <v>787.91</v>
      </c>
      <c r="E286" s="19" t="n">
        <v>2</v>
      </c>
      <c r="F286" s="19" t="n">
        <v>260</v>
      </c>
      <c r="G286" s="8" t="n">
        <f aca="false">IFERROR(INDEX('TRANS'!$B:$B,MATCH($B286,'TRANS'!$A:$A,0)),IFERROR(INDEX('TRANS'!$B:$B,MATCH(TRIM(SUBSTITUTE($B286,CHAR(160)," ")),'TRANS'!$D:$D,0)),IFERROR(INDEX('Catalog'!$A:$A,MATCH($B286,'Catalog'!$B:$B,0)),IFERROR(INDEX('Catalog'!$A:$A,MATCH(TRIM(SUBSTITUTE($B286,CHAR(160)," ")),'Catalog'!$C:$C,0)),""))))</f>
        <v>4422006</v>
      </c>
      <c r="H286" s="8" t="str">
        <f aca="false">IFERROR(INDEX('TRANS'!$C:$C,MATCH($B286,'TRANS'!$A:$A,0)),IFERROR(INDEX('Catalog'!$B:$B,MATCH($G286,'Catalog'!$A:$A,0)),$B286))</f>
        <v>T78 L תומך זרוע וכתף</v>
      </c>
      <c r="I286" s="8" t="str">
        <f aca="false">IF($G286="","Unmatched","Matched")</f>
        <v>Matched</v>
      </c>
      <c r="J286" s="8" t="n">
        <f aca="false">IF($G286&lt;&gt;"",$G286,$B286)</f>
        <v>4422006</v>
      </c>
      <c r="K286" s="8" t="str">
        <f aca="false">IF(COUNTIF($M$1:$M$10,$A286)&gt;0,"Y","N")</f>
        <v>Y</v>
      </c>
    </row>
    <row r="287" customFormat="false" ht="15" hidden="false" customHeight="true" outlineLevel="0" collapsed="false">
      <c r="A287" s="8" t="s">
        <v>46</v>
      </c>
      <c r="B287" s="8" t="s">
        <v>415</v>
      </c>
      <c r="C287" s="19" t="n">
        <v>1</v>
      </c>
      <c r="D287" s="19" t="n">
        <v>56.67</v>
      </c>
      <c r="E287" s="19" t="n">
        <v>0</v>
      </c>
      <c r="F287" s="19" t="n">
        <v>0</v>
      </c>
      <c r="G287" s="8" t="str">
        <f aca="false">IFERROR(INDEX('TRANS'!$B:$B,MATCH($B287,'TRANS'!$A:$A,0)),IFERROR(INDEX('TRANS'!$B:$B,MATCH(TRIM(SUBSTITUTE($B287,CHAR(160)," ")),'TRANS'!$D:$D,0)),IFERROR(INDEX('Catalog'!$A:$A,MATCH($B287,'Catalog'!$B:$B,0)),IFERROR(INDEX('Catalog'!$A:$A,MATCH(TRIM(SUBSTITUTE($B287,CHAR(160)," ")),'Catalog'!$C:$C,0)),""))))</f>
        <v/>
      </c>
      <c r="H287" s="8" t="str">
        <f aca="false">IFERROR(INDEX('TRANS'!$C:$C,MATCH($B287,'TRANS'!$A:$A,0)),IFERROR(INDEX('Catalog'!$B:$B,MATCH($G287,'Catalog'!$A:$A,0)),$B287))</f>
        <v>T91-S-M</v>
      </c>
      <c r="I287" s="8" t="str">
        <f aca="false">IF($G287="","Unmatched","Matched")</f>
        <v>Unmatched</v>
      </c>
      <c r="J287" s="8" t="str">
        <f aca="false">IF($G287&lt;&gt;"",$G287,$B287)</f>
        <v>T91-S-M</v>
      </c>
      <c r="K287" s="8" t="str">
        <f aca="false">IF(COUNTIF($M$1:$M$10,$A287)&gt;0,"Y","N")</f>
        <v>Y</v>
      </c>
    </row>
    <row r="288" customFormat="false" ht="15" hidden="false" customHeight="true" outlineLevel="0" collapsed="false">
      <c r="A288" s="8" t="s">
        <v>46</v>
      </c>
      <c r="B288" s="8" t="s">
        <v>524</v>
      </c>
      <c r="C288" s="19" t="n">
        <v>0</v>
      </c>
      <c r="D288" s="19" t="n">
        <v>0</v>
      </c>
      <c r="E288" s="19" t="n">
        <v>-1</v>
      </c>
      <c r="F288" s="19" t="n">
        <v>-246.04</v>
      </c>
      <c r="G288" s="8" t="str">
        <f aca="false">IFERROR(INDEX('TRANS'!$B:$B,MATCH($B288,'TRANS'!$A:$A,0)),IFERROR(INDEX('TRANS'!$B:$B,MATCH(TRIM(SUBSTITUTE($B288,CHAR(160)," ")),'TRANS'!$D:$D,0)),IFERROR(INDEX('Catalog'!$A:$A,MATCH($B288,'Catalog'!$B:$B,0)),IFERROR(INDEX('Catalog'!$A:$A,MATCH(TRIM(SUBSTITUTE($B288,CHAR(160)," ")),'Catalog'!$C:$C,0)),""))))</f>
        <v/>
      </c>
      <c r="H288" s="8" t="str">
        <f aca="false">IFERROR(INDEX('TRANS'!$C:$C,MATCH($B288,'TRANS'!$A:$A,0)),IFERROR(INDEX('Catalog'!$B:$B,MATCH($G288,'Catalog'!$A:$A,0)),$B288))</f>
        <v>062 L</v>
      </c>
      <c r="I288" s="8" t="str">
        <f aca="false">IF($G288="","Unmatched","Matched")</f>
        <v>Unmatched</v>
      </c>
      <c r="J288" s="8" t="str">
        <f aca="false">IF($G288&lt;&gt;"",$G288,$B288)</f>
        <v>062 L</v>
      </c>
      <c r="K288" s="8" t="str">
        <f aca="false">IF(COUNTIF($M$1:$M$10,$A288)&gt;0,"Y","N")</f>
        <v>Y</v>
      </c>
    </row>
    <row r="289" customFormat="false" ht="15" hidden="false" customHeight="true" outlineLevel="0" collapsed="false">
      <c r="A289" s="8" t="s">
        <v>46</v>
      </c>
      <c r="B289" s="8" t="s">
        <v>775</v>
      </c>
      <c r="C289" s="19" t="n">
        <v>0</v>
      </c>
      <c r="D289" s="19" t="n">
        <v>0</v>
      </c>
      <c r="E289" s="19" t="n">
        <v>3</v>
      </c>
      <c r="F289" s="19" t="n">
        <v>234.28</v>
      </c>
      <c r="G289" s="8" t="n">
        <f aca="false">IFERROR(INDEX('TRANS'!$B:$B,MATCH($B289,'TRANS'!$A:$A,0)),IFERROR(INDEX('TRANS'!$B:$B,MATCH(TRIM(SUBSTITUTE($B289,CHAR(160)," ")),'TRANS'!$D:$D,0)),IFERROR(INDEX('Catalog'!$A:$A,MATCH($B289,'Catalog'!$B:$B,0)),IFERROR(INDEX('Catalog'!$A:$A,MATCH(TRIM(SUBSTITUTE($B289,CHAR(160)," ")),'Catalog'!$C:$C,0)),""))))</f>
        <v>4408221</v>
      </c>
      <c r="H289" s="8" t="str">
        <f aca="false">IFERROR(INDEX('TRANS'!$C:$C,MATCH($B289,'TRANS'!$A:$A,0)),IFERROR(INDEX('Catalog'!$B:$B,MATCH($G289,'Catalog'!$A:$A,0)),$B289))</f>
        <v>078G-L חגורת גב אפורה</v>
      </c>
      <c r="I289" s="8" t="str">
        <f aca="false">IF($G289="","Unmatched","Matched")</f>
        <v>Matched</v>
      </c>
      <c r="J289" s="8" t="n">
        <f aca="false">IF($G289&lt;&gt;"",$G289,$B289)</f>
        <v>4408221</v>
      </c>
      <c r="K289" s="8" t="str">
        <f aca="false">IF(COUNTIF($M$1:$M$10,$A289)&gt;0,"Y","N")</f>
        <v>Y</v>
      </c>
    </row>
    <row r="290" customFormat="false" ht="15" hidden="false" customHeight="true" outlineLevel="0" collapsed="false">
      <c r="A290" s="8" t="s">
        <v>46</v>
      </c>
      <c r="B290" s="8" t="s">
        <v>776</v>
      </c>
      <c r="C290" s="19" t="n">
        <v>0</v>
      </c>
      <c r="D290" s="19" t="n">
        <v>0</v>
      </c>
      <c r="E290" s="19" t="n">
        <v>3</v>
      </c>
      <c r="F290" s="19" t="n">
        <v>234.28</v>
      </c>
      <c r="G290" s="8" t="n">
        <f aca="false">IFERROR(INDEX('TRANS'!$B:$B,MATCH($B290,'TRANS'!$A:$A,0)),IFERROR(INDEX('TRANS'!$B:$B,MATCH(TRIM(SUBSTITUTE($B290,CHAR(160)," ")),'TRANS'!$D:$D,0)),IFERROR(INDEX('Catalog'!$A:$A,MATCH($B290,'Catalog'!$B:$B,0)),IFERROR(INDEX('Catalog'!$A:$A,MATCH(TRIM(SUBSTITUTE($B290,CHAR(160)," ")),'Catalog'!$C:$C,0)),""))))</f>
        <v>4408222</v>
      </c>
      <c r="H290" s="8" t="str">
        <f aca="false">IFERROR(INDEX('TRANS'!$C:$C,MATCH($B290,'TRANS'!$A:$A,0)),IFERROR(INDEX('Catalog'!$B:$B,MATCH($G290,'Catalog'!$A:$A,0)),$B290))</f>
        <v>078G-XLחגורת גב אפורה</v>
      </c>
      <c r="I290" s="8" t="str">
        <f aca="false">IF($G290="","Unmatched","Matched")</f>
        <v>Matched</v>
      </c>
      <c r="J290" s="8" t="n">
        <f aca="false">IF($G290&lt;&gt;"",$G290,$B290)</f>
        <v>4408222</v>
      </c>
      <c r="K290" s="8" t="str">
        <f aca="false">IF(COUNTIF($M$1:$M$10,$A290)&gt;0,"Y","N")</f>
        <v>Y</v>
      </c>
    </row>
    <row r="291" customFormat="false" ht="15" hidden="false" customHeight="true" outlineLevel="0" collapsed="false">
      <c r="A291" s="8" t="s">
        <v>46</v>
      </c>
      <c r="B291" s="8" t="s">
        <v>777</v>
      </c>
      <c r="C291" s="19" t="n">
        <v>0</v>
      </c>
      <c r="D291" s="19" t="n">
        <v>0</v>
      </c>
      <c r="E291" s="19" t="n">
        <v>3</v>
      </c>
      <c r="F291" s="19" t="n">
        <v>234.28</v>
      </c>
      <c r="G291" s="8" t="n">
        <f aca="false">IFERROR(INDEX('TRANS'!$B:$B,MATCH($B291,'TRANS'!$A:$A,0)),IFERROR(INDEX('TRANS'!$B:$B,MATCH(TRIM(SUBSTITUTE($B291,CHAR(160)," ")),'TRANS'!$D:$D,0)),IFERROR(INDEX('Catalog'!$A:$A,MATCH($B291,'Catalog'!$B:$B,0)),IFERROR(INDEX('Catalog'!$A:$A,MATCH(TRIM(SUBSTITUTE($B291,CHAR(160)," ")),'Catalog'!$C:$C,0)),""))))</f>
        <v>4408223</v>
      </c>
      <c r="H291" s="8" t="str">
        <f aca="false">IFERROR(INDEX('TRANS'!$C:$C,MATCH($B291,'TRANS'!$A:$A,0)),IFERROR(INDEX('Catalog'!$B:$B,MATCH($G291,'Catalog'!$A:$A,0)),$B291))</f>
        <v>078G-XXLחגורת גב אפורה</v>
      </c>
      <c r="I291" s="8" t="str">
        <f aca="false">IF($G291="","Unmatched","Matched")</f>
        <v>Matched</v>
      </c>
      <c r="J291" s="8" t="n">
        <f aca="false">IF($G291&lt;&gt;"",$G291,$B291)</f>
        <v>4408223</v>
      </c>
      <c r="K291" s="8" t="str">
        <f aca="false">IF(COUNTIF($M$1:$M$10,$A291)&gt;0,"Y","N")</f>
        <v>Y</v>
      </c>
    </row>
    <row r="292" customFormat="false" ht="15" hidden="false" customHeight="true" outlineLevel="0" collapsed="false">
      <c r="A292" s="8" t="s">
        <v>46</v>
      </c>
      <c r="B292" s="8" t="s">
        <v>233</v>
      </c>
      <c r="C292" s="19" t="n">
        <v>0</v>
      </c>
      <c r="D292" s="19" t="n">
        <v>0</v>
      </c>
      <c r="E292" s="19" t="n">
        <v>2</v>
      </c>
      <c r="F292" s="19" t="n">
        <v>784.56</v>
      </c>
      <c r="G292" s="8" t="str">
        <f aca="false">IFERROR(INDEX('TRANS'!$B:$B,MATCH($B292,'TRANS'!$A:$A,0)),IFERROR(INDEX('TRANS'!$B:$B,MATCH(TRIM(SUBSTITUTE($B292,CHAR(160)," ")),'TRANS'!$D:$D,0)),IFERROR(INDEX('Catalog'!$A:$A,MATCH($B292,'Catalog'!$B:$B,0)),IFERROR(INDEX('Catalog'!$A:$A,MATCH(TRIM(SUBSTITUTE($B292,CHAR(160)," ")),'Catalog'!$C:$C,0)),""))))</f>
        <v/>
      </c>
      <c r="H292" s="8" t="str">
        <f aca="false">IFERROR(INDEX('TRANS'!$C:$C,MATCH($B292,'TRANS'!$A:$A,0)),IFERROR(INDEX('Catalog'!$B:$B,MATCH($G292,'Catalog'!$A:$A,0)),$B292))</f>
        <v>07AE XL</v>
      </c>
      <c r="I292" s="8" t="str">
        <f aca="false">IF($G292="","Unmatched","Matched")</f>
        <v>Unmatched</v>
      </c>
      <c r="J292" s="8" t="str">
        <f aca="false">IF($G292&lt;&gt;"",$G292,$B292)</f>
        <v>07AE XL</v>
      </c>
      <c r="K292" s="8" t="str">
        <f aca="false">IF(COUNTIF($M$1:$M$10,$A292)&gt;0,"Y","N")</f>
        <v>Y</v>
      </c>
    </row>
    <row r="293" customFormat="false" ht="15" hidden="false" customHeight="true" outlineLevel="0" collapsed="false">
      <c r="A293" s="8" t="s">
        <v>46</v>
      </c>
      <c r="B293" s="8" t="s">
        <v>534</v>
      </c>
      <c r="C293" s="19" t="n">
        <v>0</v>
      </c>
      <c r="D293" s="19" t="n">
        <v>0</v>
      </c>
      <c r="E293" s="19" t="n">
        <v>-2</v>
      </c>
      <c r="F293" s="19" t="n">
        <v>-784.64</v>
      </c>
      <c r="G293" s="8" t="str">
        <f aca="false">IFERROR(INDEX('TRANS'!$B:$B,MATCH($B293,'TRANS'!$A:$A,0)),IFERROR(INDEX('TRANS'!$B:$B,MATCH(TRIM(SUBSTITUTE($B293,CHAR(160)," ")),'TRANS'!$D:$D,0)),IFERROR(INDEX('Catalog'!$A:$A,MATCH($B293,'Catalog'!$B:$B,0)),IFERROR(INDEX('Catalog'!$A:$A,MATCH(TRIM(SUBSTITUTE($B293,CHAR(160)," ")),'Catalog'!$C:$C,0)),""))))</f>
        <v/>
      </c>
      <c r="H293" s="8" t="str">
        <f aca="false">IFERROR(INDEX('TRANS'!$C:$C,MATCH($B293,'TRANS'!$A:$A,0)),IFERROR(INDEX('Catalog'!$B:$B,MATCH($G293,'Catalog'!$A:$A,0)),$B293))</f>
        <v>07AF L</v>
      </c>
      <c r="I293" s="8" t="str">
        <f aca="false">IF($G293="","Unmatched","Matched")</f>
        <v>Unmatched</v>
      </c>
      <c r="J293" s="8" t="str">
        <f aca="false">IF($G293&lt;&gt;"",$G293,$B293)</f>
        <v>07AF L</v>
      </c>
      <c r="K293" s="8" t="str">
        <f aca="false">IF(COUNTIF($M$1:$M$10,$A293)&gt;0,"Y","N")</f>
        <v>Y</v>
      </c>
    </row>
    <row r="294" customFormat="false" ht="15" hidden="false" customHeight="true" outlineLevel="0" collapsed="false">
      <c r="A294" s="8" t="s">
        <v>46</v>
      </c>
      <c r="B294" s="8" t="s">
        <v>525</v>
      </c>
      <c r="C294" s="19" t="n">
        <v>0</v>
      </c>
      <c r="D294" s="19" t="n">
        <v>0</v>
      </c>
      <c r="E294" s="19" t="n">
        <v>-1</v>
      </c>
      <c r="F294" s="19" t="n">
        <v>-392.32</v>
      </c>
      <c r="G294" s="8" t="str">
        <f aca="false">IFERROR(INDEX('TRANS'!$B:$B,MATCH($B294,'TRANS'!$A:$A,0)),IFERROR(INDEX('TRANS'!$B:$B,MATCH(TRIM(SUBSTITUTE($B294,CHAR(160)," ")),'TRANS'!$D:$D,0)),IFERROR(INDEX('Catalog'!$A:$A,MATCH($B294,'Catalog'!$B:$B,0)),IFERROR(INDEX('Catalog'!$A:$A,MATCH(TRIM(SUBSTITUTE($B294,CHAR(160)," ")),'Catalog'!$C:$C,0)),""))))</f>
        <v/>
      </c>
      <c r="H294" s="8" t="str">
        <f aca="false">IFERROR(INDEX('TRANS'!$C:$C,MATCH($B294,'TRANS'!$A:$A,0)),IFERROR(INDEX('Catalog'!$B:$B,MATCH($G294,'Catalog'!$A:$A,0)),$B294))</f>
        <v>07AF XL</v>
      </c>
      <c r="I294" s="8" t="str">
        <f aca="false">IF($G294="","Unmatched","Matched")</f>
        <v>Unmatched</v>
      </c>
      <c r="J294" s="8" t="str">
        <f aca="false">IF($G294&lt;&gt;"",$G294,$B294)</f>
        <v>07AF XL</v>
      </c>
      <c r="K294" s="8" t="str">
        <f aca="false">IF(COUNTIF($M$1:$M$10,$A294)&gt;0,"Y","N")</f>
        <v>Y</v>
      </c>
    </row>
    <row r="295" customFormat="false" ht="15" hidden="false" customHeight="true" outlineLevel="0" collapsed="false">
      <c r="A295" s="8" t="s">
        <v>46</v>
      </c>
      <c r="B295" s="8" t="s">
        <v>778</v>
      </c>
      <c r="C295" s="19" t="n">
        <v>3</v>
      </c>
      <c r="D295" s="19" t="n">
        <v>280.1</v>
      </c>
      <c r="E295" s="19" t="n">
        <v>0</v>
      </c>
      <c r="F295" s="19" t="n">
        <v>0</v>
      </c>
      <c r="G295" s="8" t="n">
        <f aca="false">IFERROR(INDEX('TRANS'!$B:$B,MATCH($B295,'TRANS'!$A:$A,0)),IFERROR(INDEX('TRANS'!$B:$B,MATCH(TRIM(SUBSTITUTE($B295,CHAR(160)," ")),'TRANS'!$D:$D,0)),IFERROR(INDEX('Catalog'!$A:$A,MATCH($B295,'Catalog'!$B:$B,0)),IFERROR(INDEX('Catalog'!$A:$A,MATCH(TRIM(SUBSTITUTE($B295,CHAR(160)," ")),'Catalog'!$C:$C,0)),""))))</f>
        <v>4408116</v>
      </c>
      <c r="H295" s="8" t="str">
        <f aca="false">IFERROR(INDEX('TRANS'!$C:$C,MATCH($B295,'TRANS'!$A:$A,0)),IFERROR(INDEX('Catalog'!$B:$B,MATCH($G295,'Catalog'!$A:$A,0)),$B295))</f>
        <v>11EU XLח.בטן לאחר ניתוח</v>
      </c>
      <c r="I295" s="8" t="str">
        <f aca="false">IF($G295="","Unmatched","Matched")</f>
        <v>Matched</v>
      </c>
      <c r="J295" s="8" t="n">
        <f aca="false">IF($G295&lt;&gt;"",$G295,$B295)</f>
        <v>4408116</v>
      </c>
      <c r="K295" s="8" t="str">
        <f aca="false">IF(COUNTIF($M$1:$M$10,$A295)&gt;0,"Y","N")</f>
        <v>Y</v>
      </c>
    </row>
    <row r="296" customFormat="false" ht="15" hidden="false" customHeight="true" outlineLevel="0" collapsed="false">
      <c r="A296" s="8" t="s">
        <v>46</v>
      </c>
      <c r="B296" s="8" t="s">
        <v>779</v>
      </c>
      <c r="C296" s="19" t="n">
        <v>0</v>
      </c>
      <c r="D296" s="19" t="n">
        <v>0</v>
      </c>
      <c r="E296" s="19" t="n">
        <v>2</v>
      </c>
      <c r="F296" s="19" t="n">
        <v>271.77</v>
      </c>
      <c r="G296" s="8" t="n">
        <f aca="false">IFERROR(INDEX('TRANS'!$B:$B,MATCH($B296,'TRANS'!$A:$A,0)),IFERROR(INDEX('TRANS'!$B:$B,MATCH(TRIM(SUBSTITUTE($B296,CHAR(160)," ")),'TRANS'!$D:$D,0)),IFERROR(INDEX('Catalog'!$A:$A,MATCH($B296,'Catalog'!$B:$B,0)),IFERROR(INDEX('Catalog'!$A:$A,MATCH(TRIM(SUBSTITUTE($B296,CHAR(160)," ")),'Catalog'!$C:$C,0)),""))))</f>
        <v>4408149</v>
      </c>
      <c r="H296" s="8" t="str">
        <f aca="false">IFERROR(INDEX('TRANS'!$C:$C,MATCH($B296,'TRANS'!$A:$A,0)),IFERROR(INDEX('Catalog'!$B:$B,MATCH($G296,'Catalog'!$A:$A,0)),$B296))</f>
        <v>11PS XXLחגורה למנותחי בטן</v>
      </c>
      <c r="I296" s="8" t="str">
        <f aca="false">IF($G296="","Unmatched","Matched")</f>
        <v>Matched</v>
      </c>
      <c r="J296" s="8" t="n">
        <f aca="false">IF($G296&lt;&gt;"",$G296,$B296)</f>
        <v>4408149</v>
      </c>
      <c r="K296" s="8" t="str">
        <f aca="false">IF(COUNTIF($M$1:$M$10,$A296)&gt;0,"Y","N")</f>
        <v>Y</v>
      </c>
    </row>
    <row r="297" customFormat="false" ht="15" hidden="false" customHeight="true" outlineLevel="0" collapsed="false">
      <c r="A297" s="8" t="s">
        <v>46</v>
      </c>
      <c r="B297" s="8" t="s">
        <v>780</v>
      </c>
      <c r="C297" s="19" t="n">
        <v>2</v>
      </c>
      <c r="D297" s="19" t="n">
        <v>210</v>
      </c>
      <c r="E297" s="19" t="n">
        <v>1</v>
      </c>
      <c r="F297" s="19" t="n">
        <v>0.01</v>
      </c>
      <c r="G297" s="8" t="n">
        <f aca="false">IFERROR(INDEX('TRANS'!$B:$B,MATCH($B297,'TRANS'!$A:$A,0)),IFERROR(INDEX('TRANS'!$B:$B,MATCH(TRIM(SUBSTITUTE($B297,CHAR(160)," ")),'TRANS'!$D:$D,0)),IFERROR(INDEX('Catalog'!$A:$A,MATCH($B297,'Catalog'!$B:$B,0)),IFERROR(INDEX('Catalog'!$A:$A,MATCH(TRIM(SUBSTITUTE($B297,CHAR(160)," ")),'Catalog'!$C:$C,0)),""))))</f>
        <v>4408262</v>
      </c>
      <c r="H297" s="8" t="str">
        <f aca="false">IFERROR(INDEX('TRANS'!$C:$C,MATCH($B297,'TRANS'!$A:$A,0)),IFERROR(INDEX('Catalog'!$B:$B,MATCH($G297,'Catalog'!$A:$A,0)),$B297))</f>
        <v>11STO XL  חגורה אחרי ניתוח</v>
      </c>
      <c r="I297" s="8" t="str">
        <f aca="false">IF($G297="","Unmatched","Matched")</f>
        <v>Matched</v>
      </c>
      <c r="J297" s="8" t="n">
        <f aca="false">IF($G297&lt;&gt;"",$G297,$B297)</f>
        <v>4408262</v>
      </c>
      <c r="K297" s="8" t="str">
        <f aca="false">IF(COUNTIF($M$1:$M$10,$A297)&gt;0,"Y","N")</f>
        <v>Y</v>
      </c>
    </row>
    <row r="298" customFormat="false" ht="15" hidden="false" customHeight="true" outlineLevel="0" collapsed="false">
      <c r="A298" s="8" t="s">
        <v>46</v>
      </c>
      <c r="B298" s="8" t="s">
        <v>781</v>
      </c>
      <c r="C298" s="19" t="n">
        <v>1</v>
      </c>
      <c r="D298" s="19" t="n">
        <v>130</v>
      </c>
      <c r="E298" s="19" t="n">
        <v>0</v>
      </c>
      <c r="F298" s="19" t="n">
        <v>0</v>
      </c>
      <c r="G298" s="8" t="n">
        <f aca="false">IFERROR(INDEX('TRANS'!$B:$B,MATCH($B298,'TRANS'!$A:$A,0)),IFERROR(INDEX('TRANS'!$B:$B,MATCH(TRIM(SUBSTITUTE($B298,CHAR(160)," ")),'TRANS'!$D:$D,0)),IFERROR(INDEX('Catalog'!$A:$A,MATCH($B298,'Catalog'!$B:$B,0)),IFERROR(INDEX('Catalog'!$A:$A,MATCH(TRIM(SUBSTITUTE($B298,CHAR(160)," ")),'Catalog'!$C:$C,0)),""))))</f>
        <v>4408153</v>
      </c>
      <c r="H298" s="8" t="str">
        <f aca="false">IFERROR(INDEX('TRANS'!$C:$C,MATCH($B298,'TRANS'!$A:$A,0)),IFERROR(INDEX('Catalog'!$B:$B,MATCH($G298,'Catalog'!$A:$A,0)),$B298))</f>
        <v>11TO XLחגורה למנותחי בית החזה</v>
      </c>
      <c r="I298" s="8" t="str">
        <f aca="false">IF($G298="","Unmatched","Matched")</f>
        <v>Matched</v>
      </c>
      <c r="J298" s="8" t="n">
        <f aca="false">IF($G298&lt;&gt;"",$G298,$B298)</f>
        <v>4408153</v>
      </c>
      <c r="K298" s="8" t="str">
        <f aca="false">IF(COUNTIF($M$1:$M$10,$A298)&gt;0,"Y","N")</f>
        <v>Y</v>
      </c>
    </row>
    <row r="299" customFormat="false" ht="15" hidden="false" customHeight="true" outlineLevel="0" collapsed="false">
      <c r="A299" s="8" t="s">
        <v>46</v>
      </c>
      <c r="B299" s="8" t="s">
        <v>174</v>
      </c>
      <c r="C299" s="19" t="n">
        <v>0</v>
      </c>
      <c r="D299" s="19" t="n">
        <v>0</v>
      </c>
      <c r="E299" s="19" t="n">
        <v>1</v>
      </c>
      <c r="F299" s="19" t="n">
        <v>115</v>
      </c>
      <c r="G299" s="8" t="str">
        <f aca="false">IFERROR(INDEX('TRANS'!$B:$B,MATCH($B299,'TRANS'!$A:$A,0)),IFERROR(INDEX('TRANS'!$B:$B,MATCH(TRIM(SUBSTITUTE($B299,CHAR(160)," ")),'TRANS'!$D:$D,0)),IFERROR(INDEX('Catalog'!$A:$A,MATCH($B299,'Catalog'!$B:$B,0)),IFERROR(INDEX('Catalog'!$A:$A,MATCH(TRIM(SUBSTITUTE($B299,CHAR(160)," ")),'Catalog'!$C:$C,0)),""))))</f>
        <v/>
      </c>
      <c r="H299" s="8" t="str">
        <f aca="false">IFERROR(INDEX('TRANS'!$C:$C,MATCH($B299,'TRANS'!$A:$A,0)),IFERROR(INDEX('Catalog'!$B:$B,MATCH($G299,'Catalog'!$A:$A,0)),$B299))</f>
        <v>13 M</v>
      </c>
      <c r="I299" s="8" t="str">
        <f aca="false">IF($G299="","Unmatched","Matched")</f>
        <v>Unmatched</v>
      </c>
      <c r="J299" s="8" t="str">
        <f aca="false">IF($G299&lt;&gt;"",$G299,$B299)</f>
        <v>13 M</v>
      </c>
      <c r="K299" s="8" t="str">
        <f aca="false">IF(COUNTIF($M$1:$M$10,$A299)&gt;0,"Y","N")</f>
        <v>Y</v>
      </c>
    </row>
    <row r="300" customFormat="false" ht="15" hidden="false" customHeight="true" outlineLevel="0" collapsed="false">
      <c r="A300" s="8" t="s">
        <v>46</v>
      </c>
      <c r="B300" s="8" t="s">
        <v>782</v>
      </c>
      <c r="C300" s="19" t="n">
        <v>2</v>
      </c>
      <c r="D300" s="19" t="n">
        <v>198</v>
      </c>
      <c r="E300" s="19" t="n">
        <v>0</v>
      </c>
      <c r="F300" s="19" t="n">
        <v>0</v>
      </c>
      <c r="G300" s="8" t="n">
        <f aca="false">IFERROR(INDEX('TRANS'!$B:$B,MATCH($B300,'TRANS'!$A:$A,0)),IFERROR(INDEX('TRANS'!$B:$B,MATCH(TRIM(SUBSTITUTE($B300,CHAR(160)," ")),'TRANS'!$D:$D,0)),IFERROR(INDEX('Catalog'!$A:$A,MATCH($B300,'Catalog'!$B:$B,0)),IFERROR(INDEX('Catalog'!$A:$A,MATCH(TRIM(SUBSTITUTE($B300,CHAR(160)," ")),'Catalog'!$C:$C,0)),""))))</f>
        <v>4408180</v>
      </c>
      <c r="H300" s="8" t="str">
        <f aca="false">IFERROR(INDEX('TRANS'!$C:$C,MATCH($B300,'TRANS'!$A:$A,0)),IFERROR(INDEX('Catalog'!$B:$B,MATCH($G300,'Catalog'!$A:$A,0)),$B300))</f>
        <v>13 XXL חגורה לשבר טבור</v>
      </c>
      <c r="I300" s="8" t="str">
        <f aca="false">IF($G300="","Unmatched","Matched")</f>
        <v>Matched</v>
      </c>
      <c r="J300" s="8" t="n">
        <f aca="false">IF($G300&lt;&gt;"",$G300,$B300)</f>
        <v>4408180</v>
      </c>
      <c r="K300" s="8" t="str">
        <f aca="false">IF(COUNTIF($M$1:$M$10,$A300)&gt;0,"Y","N")</f>
        <v>Y</v>
      </c>
    </row>
    <row r="301" customFormat="false" ht="15" hidden="false" customHeight="true" outlineLevel="0" collapsed="false">
      <c r="A301" s="8" t="s">
        <v>46</v>
      </c>
      <c r="B301" s="8" t="s">
        <v>783</v>
      </c>
      <c r="C301" s="19" t="n">
        <v>3</v>
      </c>
      <c r="D301" s="19" t="n">
        <v>103.24</v>
      </c>
      <c r="E301" s="19" t="n">
        <v>4</v>
      </c>
      <c r="F301" s="19" t="n">
        <v>159.18</v>
      </c>
      <c r="G301" s="8" t="n">
        <f aca="false">IFERROR(INDEX('TRANS'!$B:$B,MATCH($B301,'TRANS'!$A:$A,0)),IFERROR(INDEX('TRANS'!$B:$B,MATCH(TRIM(SUBSTITUTE($B301,CHAR(160)," ")),'TRANS'!$D:$D,0)),IFERROR(INDEX('Catalog'!$A:$A,MATCH($B301,'Catalog'!$B:$B,0)),IFERROR(INDEX('Catalog'!$A:$A,MATCH(TRIM(SUBSTITUTE($B301,CHAR(160)," ")),'Catalog'!$C:$C,0)),""))))</f>
        <v>4408052</v>
      </c>
      <c r="H301" s="8" t="str">
        <f aca="false">IFERROR(INDEX('TRANS'!$C:$C,MATCH($B301,'TRANS'!$A:$A,0)),IFERROR(INDEX('Catalog'!$B:$B,MATCH($G301,'Catalog'!$A:$A,0)),$B301))</f>
        <v>21 L  חבק יד ארוך</v>
      </c>
      <c r="I301" s="8" t="str">
        <f aca="false">IF($G301="","Unmatched","Matched")</f>
        <v>Matched</v>
      </c>
      <c r="J301" s="8" t="n">
        <f aca="false">IF($G301&lt;&gt;"",$G301,$B301)</f>
        <v>4408052</v>
      </c>
      <c r="K301" s="8" t="str">
        <f aca="false">IF(COUNTIF($M$1:$M$10,$A301)&gt;0,"Y","N")</f>
        <v>Y</v>
      </c>
    </row>
    <row r="302" customFormat="false" ht="15" hidden="false" customHeight="true" outlineLevel="0" collapsed="false">
      <c r="A302" s="8" t="s">
        <v>46</v>
      </c>
      <c r="B302" s="8" t="s">
        <v>784</v>
      </c>
      <c r="C302" s="19" t="n">
        <v>2</v>
      </c>
      <c r="D302" s="19" t="n">
        <v>65.46</v>
      </c>
      <c r="E302" s="19" t="n">
        <v>5</v>
      </c>
      <c r="F302" s="19" t="n">
        <v>198.97</v>
      </c>
      <c r="G302" s="8" t="n">
        <f aca="false">IFERROR(INDEX('TRANS'!$B:$B,MATCH($B302,'TRANS'!$A:$A,0)),IFERROR(INDEX('TRANS'!$B:$B,MATCH(TRIM(SUBSTITUTE($B302,CHAR(160)," ")),'TRANS'!$D:$D,0)),IFERROR(INDEX('Catalog'!$A:$A,MATCH($B302,'Catalog'!$B:$B,0)),IFERROR(INDEX('Catalog'!$A:$A,MATCH(TRIM(SUBSTITUTE($B302,CHAR(160)," ")),'Catalog'!$C:$C,0)),""))))</f>
        <v>4408051</v>
      </c>
      <c r="H302" s="8" t="str">
        <f aca="false">IFERROR(INDEX('TRANS'!$C:$C,MATCH($B302,'TRANS'!$A:$A,0)),IFERROR(INDEX('Catalog'!$B:$B,MATCH($G302,'Catalog'!$A:$A,0)),$B302))</f>
        <v>21 S  חבק יד ארוך</v>
      </c>
      <c r="I302" s="8" t="str">
        <f aca="false">IF($G302="","Unmatched","Matched")</f>
        <v>Matched</v>
      </c>
      <c r="J302" s="8" t="n">
        <f aca="false">IF($G302&lt;&gt;"",$G302,$B302)</f>
        <v>4408051</v>
      </c>
      <c r="K302" s="8" t="str">
        <f aca="false">IF(COUNTIF($M$1:$M$10,$A302)&gt;0,"Y","N")</f>
        <v>Y</v>
      </c>
    </row>
    <row r="303" customFormat="false" ht="15" hidden="false" customHeight="true" outlineLevel="0" collapsed="false">
      <c r="A303" s="8" t="s">
        <v>46</v>
      </c>
      <c r="B303" s="8" t="s">
        <v>785</v>
      </c>
      <c r="C303" s="19" t="n">
        <v>4</v>
      </c>
      <c r="D303" s="19" t="n">
        <v>141.01</v>
      </c>
      <c r="E303" s="19" t="n">
        <v>6</v>
      </c>
      <c r="F303" s="19" t="n">
        <v>238.76</v>
      </c>
      <c r="G303" s="8" t="n">
        <f aca="false">IFERROR(INDEX('TRANS'!$B:$B,MATCH($B303,'TRANS'!$A:$A,0)),IFERROR(INDEX('TRANS'!$B:$B,MATCH(TRIM(SUBSTITUTE($B303,CHAR(160)," ")),'TRANS'!$D:$D,0)),IFERROR(INDEX('Catalog'!$A:$A,MATCH($B303,'Catalog'!$B:$B,0)),IFERROR(INDEX('Catalog'!$A:$A,MATCH(TRIM(SUBSTITUTE($B303,CHAR(160)," ")),'Catalog'!$C:$C,0)),""))))</f>
        <v>4408054</v>
      </c>
      <c r="H303" s="8" t="str">
        <f aca="false">IFERROR(INDEX('TRANS'!$C:$C,MATCH($B303,'TRANS'!$A:$A,0)),IFERROR(INDEX('Catalog'!$B:$B,MATCH($G303,'Catalog'!$A:$A,0)),$B303))</f>
        <v>21 XL חבק יד ארוך</v>
      </c>
      <c r="I303" s="8" t="str">
        <f aca="false">IF($G303="","Unmatched","Matched")</f>
        <v>Matched</v>
      </c>
      <c r="J303" s="8" t="n">
        <f aca="false">IF($G303&lt;&gt;"",$G303,$B303)</f>
        <v>4408054</v>
      </c>
      <c r="K303" s="8" t="str">
        <f aca="false">IF(COUNTIF($M$1:$M$10,$A303)&gt;0,"Y","N")</f>
        <v>Y</v>
      </c>
    </row>
    <row r="304" customFormat="false" ht="15" hidden="false" customHeight="true" outlineLevel="0" collapsed="false">
      <c r="A304" s="8" t="s">
        <v>46</v>
      </c>
      <c r="B304" s="8" t="s">
        <v>786</v>
      </c>
      <c r="C304" s="19" t="n">
        <v>0</v>
      </c>
      <c r="D304" s="19" t="n">
        <v>0</v>
      </c>
      <c r="E304" s="19" t="n">
        <v>3</v>
      </c>
      <c r="F304" s="19" t="n">
        <v>119.39</v>
      </c>
      <c r="G304" s="8" t="n">
        <f aca="false">IFERROR(INDEX('TRANS'!$B:$B,MATCH($B304,'TRANS'!$A:$A,0)),IFERROR(INDEX('TRANS'!$B:$B,MATCH(TRIM(SUBSTITUTE($B304,CHAR(160)," ")),'TRANS'!$D:$D,0)),IFERROR(INDEX('Catalog'!$A:$A,MATCH($B304,'Catalog'!$B:$B,0)),IFERROR(INDEX('Catalog'!$A:$A,MATCH(TRIM(SUBSTITUTE($B304,CHAR(160)," ")),'Catalog'!$C:$C,0)),""))))</f>
        <v>4413399</v>
      </c>
      <c r="H304" s="8" t="str">
        <f aca="false">IFERROR(INDEX('TRANS'!$C:$C,MATCH($B304,'TRANS'!$A:$A,0)),IFERROR(INDEX('Catalog'!$B:$B,MATCH($G304,'Catalog'!$A:$A,0)),$B304))</f>
        <v>21 XS מגן יד</v>
      </c>
      <c r="I304" s="8" t="str">
        <f aca="false">IF($G304="","Unmatched","Matched")</f>
        <v>Matched</v>
      </c>
      <c r="J304" s="8" t="n">
        <f aca="false">IF($G304&lt;&gt;"",$G304,$B304)</f>
        <v>4413399</v>
      </c>
      <c r="K304" s="8" t="str">
        <f aca="false">IF(COUNTIF($M$1:$M$10,$A304)&gt;0,"Y","N")</f>
        <v>Y</v>
      </c>
    </row>
    <row r="305" customFormat="false" ht="15" hidden="false" customHeight="true" outlineLevel="0" collapsed="false">
      <c r="A305" s="8" t="s">
        <v>46</v>
      </c>
      <c r="B305" s="8" t="s">
        <v>234</v>
      </c>
      <c r="C305" s="19" t="n">
        <v>0</v>
      </c>
      <c r="D305" s="19" t="n">
        <v>0</v>
      </c>
      <c r="E305" s="19" t="n">
        <v>3</v>
      </c>
      <c r="F305" s="19" t="n">
        <v>199.53</v>
      </c>
      <c r="G305" s="8" t="str">
        <f aca="false">IFERROR(INDEX('TRANS'!$B:$B,MATCH($B305,'TRANS'!$A:$A,0)),IFERROR(INDEX('TRANS'!$B:$B,MATCH(TRIM(SUBSTITUTE($B305,CHAR(160)," ")),'TRANS'!$D:$D,0)),IFERROR(INDEX('Catalog'!$A:$A,MATCH($B305,'Catalog'!$B:$B,0)),IFERROR(INDEX('Catalog'!$A:$A,MATCH(TRIM(SUBSTITUTE($B305,CHAR(160)," ")),'Catalog'!$C:$C,0)),""))))</f>
        <v/>
      </c>
      <c r="H305" s="8" t="str">
        <f aca="false">IFERROR(INDEX('TRANS'!$C:$C,MATCH($B305,'TRANS'!$A:$A,0)),IFERROR(INDEX('Catalog'!$B:$B,MATCH($G305,'Catalog'!$A:$A,0)),$B305))</f>
        <v>25 L</v>
      </c>
      <c r="I305" s="8" t="str">
        <f aca="false">IF($G305="","Unmatched","Matched")</f>
        <v>Unmatched</v>
      </c>
      <c r="J305" s="8" t="str">
        <f aca="false">IF($G305&lt;&gt;"",$G305,$B305)</f>
        <v>25 L</v>
      </c>
      <c r="K305" s="8" t="str">
        <f aca="false">IF(COUNTIF($M$1:$M$10,$A305)&gt;0,"Y","N")</f>
        <v>Y</v>
      </c>
    </row>
    <row r="306" customFormat="false" ht="15" hidden="false" customHeight="true" outlineLevel="0" collapsed="false">
      <c r="A306" s="8" t="s">
        <v>46</v>
      </c>
      <c r="B306" s="8" t="s">
        <v>787</v>
      </c>
      <c r="C306" s="19" t="n">
        <v>4</v>
      </c>
      <c r="D306" s="19" t="n">
        <v>412.29</v>
      </c>
      <c r="E306" s="19" t="n">
        <v>0</v>
      </c>
      <c r="F306" s="19" t="n">
        <v>0</v>
      </c>
      <c r="G306" s="8" t="n">
        <f aca="false">IFERROR(INDEX('TRANS'!$B:$B,MATCH($B306,'TRANS'!$A:$A,0)),IFERROR(INDEX('TRANS'!$B:$B,MATCH(TRIM(SUBSTITUTE($B306,CHAR(160)," ")),'TRANS'!$D:$D,0)),IFERROR(INDEX('Catalog'!$A:$A,MATCH($B306,'Catalog'!$B:$B,0)),IFERROR(INDEX('Catalog'!$A:$A,MATCH(TRIM(SUBSTITUTE($B306,CHAR(160)," ")),'Catalog'!$C:$C,0)),""))))</f>
        <v>4415002</v>
      </c>
      <c r="H306" s="8" t="str">
        <f aca="false">IFERROR(INDEX('TRANS'!$C:$C,MATCH($B306,'TRANS'!$A:$A,0)),IFERROR(INDEX('Catalog'!$B:$B,MATCH($G306,'Catalog'!$A:$A,0)),$B306))</f>
        <v>26 S סד ליד דו צדדי לאחר שבר</v>
      </c>
      <c r="I306" s="8" t="str">
        <f aca="false">IF($G306="","Unmatched","Matched")</f>
        <v>Matched</v>
      </c>
      <c r="J306" s="8" t="n">
        <f aca="false">IF($G306&lt;&gt;"",$G306,$B306)</f>
        <v>4415002</v>
      </c>
      <c r="K306" s="8" t="str">
        <f aca="false">IF(COUNTIF($M$1:$M$10,$A306)&gt;0,"Y","N")</f>
        <v>Y</v>
      </c>
    </row>
    <row r="307" customFormat="false" ht="15" hidden="false" customHeight="true" outlineLevel="0" collapsed="false">
      <c r="A307" s="8" t="s">
        <v>46</v>
      </c>
      <c r="B307" s="8" t="s">
        <v>788</v>
      </c>
      <c r="C307" s="19" t="n">
        <v>0</v>
      </c>
      <c r="D307" s="19" t="n">
        <v>0</v>
      </c>
      <c r="E307" s="19" t="n">
        <v>2</v>
      </c>
      <c r="F307" s="19" t="n">
        <v>142.39</v>
      </c>
      <c r="G307" s="8" t="n">
        <f aca="false">IFERROR(INDEX('TRANS'!$B:$B,MATCH($B307,'TRANS'!$A:$A,0)),IFERROR(INDEX('TRANS'!$B:$B,MATCH(TRIM(SUBSTITUTE($B307,CHAR(160)," ")),'TRANS'!$D:$D,0)),IFERROR(INDEX('Catalog'!$A:$A,MATCH($B307,'Catalog'!$B:$B,0)),IFERROR(INDEX('Catalog'!$A:$A,MATCH(TRIM(SUBSTITUTE($B307,CHAR(160)," ")),'Catalog'!$C:$C,0)),""))))</f>
        <v>4420036</v>
      </c>
      <c r="H307" s="8" t="str">
        <f aca="false">IFERROR(INDEX('TRANS'!$C:$C,MATCH($B307,'TRANS'!$A:$A,0)),IFERROR(INDEX('Catalog'!$B:$B,MATCH($G307,'Catalog'!$A:$A,0)),$B307))</f>
        <v>301CM 41-45 'רפידת ג'ל בז</v>
      </c>
      <c r="I307" s="8" t="str">
        <f aca="false">IF($G307="","Unmatched","Matched")</f>
        <v>Matched</v>
      </c>
      <c r="J307" s="8" t="n">
        <f aca="false">IF($G307&lt;&gt;"",$G307,$B307)</f>
        <v>4420036</v>
      </c>
      <c r="K307" s="8" t="str">
        <f aca="false">IF(COUNTIF($M$1:$M$10,$A307)&gt;0,"Y","N")</f>
        <v>Y</v>
      </c>
    </row>
    <row r="308" customFormat="false" ht="15" hidden="false" customHeight="true" outlineLevel="0" collapsed="false">
      <c r="A308" s="8" t="s">
        <v>46</v>
      </c>
      <c r="B308" s="8" t="s">
        <v>789</v>
      </c>
      <c r="C308" s="19" t="n">
        <v>0</v>
      </c>
      <c r="D308" s="19" t="n">
        <v>0</v>
      </c>
      <c r="E308" s="19" t="n">
        <v>3</v>
      </c>
      <c r="F308" s="19" t="n">
        <v>213.59</v>
      </c>
      <c r="G308" s="8" t="n">
        <f aca="false">IFERROR(INDEX('TRANS'!$B:$B,MATCH($B308,'TRANS'!$A:$A,0)),IFERROR(INDEX('TRANS'!$B:$B,MATCH(TRIM(SUBSTITUTE($B308,CHAR(160)," ")),'TRANS'!$D:$D,0)),IFERROR(INDEX('Catalog'!$A:$A,MATCH($B308,'Catalog'!$B:$B,0)),IFERROR(INDEX('Catalog'!$A:$A,MATCH(TRIM(SUBSTITUTE($B308,CHAR(160)," ")),'Catalog'!$C:$C,0)),""))))</f>
        <v>4420035</v>
      </c>
      <c r="H308" s="8" t="str">
        <f aca="false">IFERROR(INDEX('TRANS'!$C:$C,MATCH($B308,'TRANS'!$A:$A,0)),IFERROR(INDEX('Catalog'!$B:$B,MATCH($G308,'Catalog'!$A:$A,0)),$B308))</f>
        <v>301CW 36-40 'רפידת ג'ל בז</v>
      </c>
      <c r="I308" s="8" t="str">
        <f aca="false">IF($G308="","Unmatched","Matched")</f>
        <v>Matched</v>
      </c>
      <c r="J308" s="8" t="n">
        <f aca="false">IF($G308&lt;&gt;"",$G308,$B308)</f>
        <v>4420035</v>
      </c>
      <c r="K308" s="8" t="str">
        <f aca="false">IF(COUNTIF($M$1:$M$10,$A308)&gt;0,"Y","N")</f>
        <v>Y</v>
      </c>
    </row>
    <row r="309" customFormat="false" ht="15" hidden="false" customHeight="true" outlineLevel="0" collapsed="false">
      <c r="A309" s="8" t="s">
        <v>46</v>
      </c>
      <c r="B309" s="8" t="s">
        <v>416</v>
      </c>
      <c r="C309" s="19" t="n">
        <v>1</v>
      </c>
      <c r="D309" s="19" t="n">
        <v>71.2</v>
      </c>
      <c r="E309" s="19" t="n">
        <v>0</v>
      </c>
      <c r="F309" s="19" t="n">
        <v>0</v>
      </c>
      <c r="G309" s="8" t="str">
        <f aca="false">IFERROR(INDEX('TRANS'!$B:$B,MATCH($B309,'TRANS'!$A:$A,0)),IFERROR(INDEX('TRANS'!$B:$B,MATCH(TRIM(SUBSTITUTE($B309,CHAR(160)," ")),'TRANS'!$D:$D,0)),IFERROR(INDEX('Catalog'!$A:$A,MATCH($B309,'Catalog'!$B:$B,0)),IFERROR(INDEX('Catalog'!$A:$A,MATCH(TRIM(SUBSTITUTE($B309,CHAR(160)," ")),'Catalog'!$C:$C,0)),""))))</f>
        <v/>
      </c>
      <c r="H309" s="8" t="str">
        <f aca="false">IFERROR(INDEX('TRANS'!$C:$C,MATCH($B309,'TRANS'!$A:$A,0)),IFERROR(INDEX('Catalog'!$B:$B,MATCH($G309,'Catalog'!$A:$A,0)),$B309))</f>
        <v>301JM-41-45</v>
      </c>
      <c r="I309" s="8" t="str">
        <f aca="false">IF($G309="","Unmatched","Matched")</f>
        <v>Unmatched</v>
      </c>
      <c r="J309" s="8" t="str">
        <f aca="false">IF($G309&lt;&gt;"",$G309,$B309)</f>
        <v>301JM-41-45</v>
      </c>
      <c r="K309" s="8" t="str">
        <f aca="false">IF(COUNTIF($M$1:$M$10,$A309)&gt;0,"Y","N")</f>
        <v>Y</v>
      </c>
    </row>
    <row r="310" customFormat="false" ht="15" hidden="false" customHeight="true" outlineLevel="0" collapsed="false">
      <c r="A310" s="8" t="s">
        <v>46</v>
      </c>
      <c r="B310" s="8" t="s">
        <v>235</v>
      </c>
      <c r="C310" s="19" t="n">
        <v>0</v>
      </c>
      <c r="D310" s="19" t="n">
        <v>0</v>
      </c>
      <c r="E310" s="19" t="n">
        <v>-1</v>
      </c>
      <c r="F310" s="19" t="n">
        <v>-93.69</v>
      </c>
      <c r="G310" s="8" t="str">
        <f aca="false">IFERROR(INDEX('TRANS'!$B:$B,MATCH($B310,'TRANS'!$A:$A,0)),IFERROR(INDEX('TRANS'!$B:$B,MATCH(TRIM(SUBSTITUTE($B310,CHAR(160)," ")),'TRANS'!$D:$D,0)),IFERROR(INDEX('Catalog'!$A:$A,MATCH($B310,'Catalog'!$B:$B,0)),IFERROR(INDEX('Catalog'!$A:$A,MATCH(TRIM(SUBSTITUTE($B310,CHAR(160)," ")),'Catalog'!$C:$C,0)),""))))</f>
        <v/>
      </c>
      <c r="H310" s="8" t="str">
        <f aca="false">IFERROR(INDEX('TRANS'!$C:$C,MATCH($B310,'TRANS'!$A:$A,0)),IFERROR(INDEX('Catalog'!$B:$B,MATCH($G310,'Catalog'!$A:$A,0)),$B310))</f>
        <v>305-35-36</v>
      </c>
      <c r="I310" s="8" t="str">
        <f aca="false">IF($G310="","Unmatched","Matched")</f>
        <v>Unmatched</v>
      </c>
      <c r="J310" s="8" t="str">
        <f aca="false">IF($G310&lt;&gt;"",$G310,$B310)</f>
        <v>305-35-36</v>
      </c>
      <c r="K310" s="8" t="str">
        <f aca="false">IF(COUNTIF($M$1:$M$10,$A310)&gt;0,"Y","N")</f>
        <v>Y</v>
      </c>
    </row>
    <row r="311" customFormat="false" ht="15" hidden="false" customHeight="true" outlineLevel="0" collapsed="false">
      <c r="A311" s="8" t="s">
        <v>46</v>
      </c>
      <c r="B311" s="8" t="s">
        <v>790</v>
      </c>
      <c r="C311" s="19" t="n">
        <v>2</v>
      </c>
      <c r="D311" s="19" t="n">
        <v>152.43</v>
      </c>
      <c r="E311" s="19" t="n">
        <v>3</v>
      </c>
      <c r="F311" s="19" t="n">
        <v>210.78</v>
      </c>
      <c r="G311" s="8" t="n">
        <f aca="false">IFERROR(INDEX('TRANS'!$B:$B,MATCH($B311,'TRANS'!$A:$A,0)),IFERROR(INDEX('TRANS'!$B:$B,MATCH(TRIM(SUBSTITUTE($B311,CHAR(160)," ")),'TRANS'!$D:$D,0)),IFERROR(INDEX('Catalog'!$A:$A,MATCH($B311,'Catalog'!$B:$B,0)),IFERROR(INDEX('Catalog'!$A:$A,MATCH(TRIM(SUBSTITUTE($B311,CHAR(160)," ")),'Catalog'!$C:$C,0)),""))))</f>
        <v>4413160</v>
      </c>
      <c r="H311" s="8" t="str">
        <f aca="false">IFERROR(INDEX('TRANS'!$C:$C,MATCH($B311,'TRANS'!$A:$A,0)),IFERROR(INDEX('Catalog'!$B:$B,MATCH($G311,'Catalog'!$A:$A,0)),$B311))</f>
        <v>34+ M מגן קרסול עקב סגור+רצוע</v>
      </c>
      <c r="I311" s="8" t="str">
        <f aca="false">IF($G311="","Unmatched","Matched")</f>
        <v>Matched</v>
      </c>
      <c r="J311" s="8" t="n">
        <f aca="false">IF($G311&lt;&gt;"",$G311,$B311)</f>
        <v>4413160</v>
      </c>
      <c r="K311" s="8" t="str">
        <f aca="false">IF(COUNTIF($M$1:$M$10,$A311)&gt;0,"Y","N")</f>
        <v>Y</v>
      </c>
    </row>
    <row r="312" customFormat="false" ht="15" hidden="false" customHeight="true" outlineLevel="0" collapsed="false">
      <c r="A312" s="8" t="s">
        <v>46</v>
      </c>
      <c r="B312" s="8" t="s">
        <v>791</v>
      </c>
      <c r="C312" s="19" t="n">
        <v>4</v>
      </c>
      <c r="D312" s="19" t="n">
        <v>174.79</v>
      </c>
      <c r="E312" s="19" t="n">
        <v>8</v>
      </c>
      <c r="F312" s="19" t="n">
        <v>299.64</v>
      </c>
      <c r="G312" s="8" t="n">
        <f aca="false">IFERROR(INDEX('TRANS'!$B:$B,MATCH($B312,'TRANS'!$A:$A,0)),IFERROR(INDEX('TRANS'!$B:$B,MATCH(TRIM(SUBSTITUTE($B312,CHAR(160)," ")),'TRANS'!$D:$D,0)),IFERROR(INDEX('Catalog'!$A:$A,MATCH($B312,'Catalog'!$B:$B,0)),IFERROR(INDEX('Catalog'!$A:$A,MATCH(TRIM(SUBSTITUTE($B312,CHAR(160)," ")),'Catalog'!$C:$C,0)),""))))</f>
        <v>4403040</v>
      </c>
      <c r="H312" s="8" t="str">
        <f aca="false">IFERROR(INDEX('TRANS'!$C:$C,MATCH($B312,'TRANS'!$A:$A,0)),IFERROR(INDEX('Catalog'!$B:$B,MATCH($G312,'Catalog'!$A:$A,0)),$B312))</f>
        <v>3444B גרבי ג'ל לריכוך עור העקב</v>
      </c>
      <c r="I312" s="8" t="str">
        <f aca="false">IF($G312="","Unmatched","Matched")</f>
        <v>Matched</v>
      </c>
      <c r="J312" s="8" t="n">
        <f aca="false">IF($G312&lt;&gt;"",$G312,$B312)</f>
        <v>4403040</v>
      </c>
      <c r="K312" s="8" t="str">
        <f aca="false">IF(COUNTIF($M$1:$M$10,$A312)&gt;0,"Y","N")</f>
        <v>Y</v>
      </c>
    </row>
    <row r="313" customFormat="false" ht="15" hidden="false" customHeight="true" outlineLevel="0" collapsed="false">
      <c r="A313" s="8" t="s">
        <v>46</v>
      </c>
      <c r="B313" s="8" t="s">
        <v>792</v>
      </c>
      <c r="C313" s="19" t="n">
        <v>2</v>
      </c>
      <c r="D313" s="19" t="n">
        <v>61.79</v>
      </c>
      <c r="E313" s="19" t="n">
        <v>0</v>
      </c>
      <c r="F313" s="19" t="n">
        <v>0</v>
      </c>
      <c r="G313" s="8" t="n">
        <f aca="false">IFERROR(INDEX('TRANS'!$B:$B,MATCH($B313,'TRANS'!$A:$A,0)),IFERROR(INDEX('TRANS'!$B:$B,MATCH(TRIM(SUBSTITUTE($B313,CHAR(160)," ")),'TRANS'!$D:$D,0)),IFERROR(INDEX('Catalog'!$A:$A,MATCH($B313,'Catalog'!$B:$B,0)),IFERROR(INDEX('Catalog'!$A:$A,MATCH(TRIM(SUBSTITUTE($B313,CHAR(160)," ")),'Catalog'!$C:$C,0)),""))))</f>
        <v>4413047</v>
      </c>
      <c r="H313" s="8" t="str">
        <f aca="false">IFERROR(INDEX('TRANS'!$C:$C,MATCH($B313,'TRANS'!$A:$A,0)),IFERROR(INDEX('Catalog'!$B:$B,MATCH($G313,'Catalog'!$A:$A,0)),$B313))</f>
        <v>35 S מגן קרסול לבן</v>
      </c>
      <c r="I313" s="8" t="str">
        <f aca="false">IF($G313="","Unmatched","Matched")</f>
        <v>Matched</v>
      </c>
      <c r="J313" s="8" t="n">
        <f aca="false">IF($G313&lt;&gt;"",$G313,$B313)</f>
        <v>4413047</v>
      </c>
      <c r="K313" s="8" t="str">
        <f aca="false">IF(COUNTIF($M$1:$M$10,$A313)&gt;0,"Y","N")</f>
        <v>Y</v>
      </c>
    </row>
    <row r="314" customFormat="false" ht="15" hidden="false" customHeight="true" outlineLevel="0" collapsed="false">
      <c r="A314" s="8" t="s">
        <v>46</v>
      </c>
      <c r="B314" s="8" t="s">
        <v>793</v>
      </c>
      <c r="C314" s="19" t="n">
        <v>2</v>
      </c>
      <c r="D314" s="19" t="n">
        <v>61.79</v>
      </c>
      <c r="E314" s="19" t="n">
        <v>2</v>
      </c>
      <c r="F314" s="19" t="n">
        <v>61.78</v>
      </c>
      <c r="G314" s="8" t="n">
        <f aca="false">IFERROR(INDEX('TRANS'!$B:$B,MATCH($B314,'TRANS'!$A:$A,0)),IFERROR(INDEX('TRANS'!$B:$B,MATCH(TRIM(SUBSTITUTE($B314,CHAR(160)," ")),'TRANS'!$D:$D,0)),IFERROR(INDEX('Catalog'!$A:$A,MATCH($B314,'Catalog'!$B:$B,0)),IFERROR(INDEX('Catalog'!$A:$A,MATCH(TRIM(SUBSTITUTE($B314,CHAR(160)," ")),'Catalog'!$C:$C,0)),""))))</f>
        <v>4413050</v>
      </c>
      <c r="H314" s="8" t="str">
        <f aca="false">IFERROR(INDEX('TRANS'!$C:$C,MATCH($B314,'TRANS'!$A:$A,0)),IFERROR(INDEX('Catalog'!$B:$B,MATCH($G314,'Catalog'!$A:$A,0)),$B314))</f>
        <v>35 XL מגן קרסול לבן</v>
      </c>
      <c r="I314" s="8" t="str">
        <f aca="false">IF($G314="","Unmatched","Matched")</f>
        <v>Matched</v>
      </c>
      <c r="J314" s="8" t="n">
        <f aca="false">IF($G314&lt;&gt;"",$G314,$B314)</f>
        <v>4413050</v>
      </c>
      <c r="K314" s="8" t="str">
        <f aca="false">IF(COUNTIF($M$1:$M$10,$A314)&gt;0,"Y","N")</f>
        <v>Y</v>
      </c>
    </row>
    <row r="315" customFormat="false" ht="15" hidden="false" customHeight="true" outlineLevel="0" collapsed="false">
      <c r="A315" s="8" t="s">
        <v>46</v>
      </c>
      <c r="B315" s="8" t="s">
        <v>134</v>
      </c>
      <c r="C315" s="19" t="n">
        <v>0</v>
      </c>
      <c r="D315" s="19" t="n">
        <v>0</v>
      </c>
      <c r="E315" s="19" t="n">
        <v>4</v>
      </c>
      <c r="F315" s="19" t="n">
        <v>123.57</v>
      </c>
      <c r="G315" s="8" t="str">
        <f aca="false">IFERROR(INDEX('TRANS'!$B:$B,MATCH($B315,'TRANS'!$A:$A,0)),IFERROR(INDEX('TRANS'!$B:$B,MATCH(TRIM(SUBSTITUTE($B315,CHAR(160)," ")),'TRANS'!$D:$D,0)),IFERROR(INDEX('Catalog'!$A:$A,MATCH($B315,'Catalog'!$B:$B,0)),IFERROR(INDEX('Catalog'!$A:$A,MATCH(TRIM(SUBSTITUTE($B315,CHAR(160)," ")),'Catalog'!$C:$C,0)),""))))</f>
        <v/>
      </c>
      <c r="H315" s="8" t="str">
        <f aca="false">IFERROR(INDEX('TRANS'!$C:$C,MATCH($B315,'TRANS'!$A:$A,0)),IFERROR(INDEX('Catalog'!$B:$B,MATCH($G315,'Catalog'!$A:$A,0)),$B315))</f>
        <v>35 XS</v>
      </c>
      <c r="I315" s="8" t="str">
        <f aca="false">IF($G315="","Unmatched","Matched")</f>
        <v>Unmatched</v>
      </c>
      <c r="J315" s="8" t="str">
        <f aca="false">IF($G315&lt;&gt;"",$G315,$B315)</f>
        <v>35 XS</v>
      </c>
      <c r="K315" s="8" t="str">
        <f aca="false">IF(COUNTIF($M$1:$M$10,$A315)&gt;0,"Y","N")</f>
        <v>Y</v>
      </c>
    </row>
    <row r="316" customFormat="false" ht="15" hidden="false" customHeight="true" outlineLevel="0" collapsed="false">
      <c r="A316" s="8" t="s">
        <v>46</v>
      </c>
      <c r="B316" s="8" t="s">
        <v>794</v>
      </c>
      <c r="C316" s="19" t="n">
        <v>2</v>
      </c>
      <c r="D316" s="19" t="n">
        <v>61.79</v>
      </c>
      <c r="E316" s="19" t="n">
        <v>0</v>
      </c>
      <c r="F316" s="19" t="n">
        <v>0</v>
      </c>
      <c r="G316" s="8" t="n">
        <f aca="false">IFERROR(INDEX('TRANS'!$B:$B,MATCH($B316,'TRANS'!$A:$A,0)),IFERROR(INDEX('TRANS'!$B:$B,MATCH(TRIM(SUBSTITUTE($B316,CHAR(160)," ")),'TRANS'!$D:$D,0)),IFERROR(INDEX('Catalog'!$A:$A,MATCH($B316,'Catalog'!$B:$B,0)),IFERROR(INDEX('Catalog'!$A:$A,MATCH(TRIM(SUBSTITUTE($B316,CHAR(160)," ")),'Catalog'!$C:$C,0)),""))))</f>
        <v>4413051</v>
      </c>
      <c r="H316" s="8" t="str">
        <f aca="false">IFERROR(INDEX('TRANS'!$C:$C,MATCH($B316,'TRANS'!$A:$A,0)),IFERROR(INDEX('Catalog'!$B:$B,MATCH($G316,'Catalog'!$A:$A,0)),$B316))</f>
        <v>35 XXL מגן קרסול לבן</v>
      </c>
      <c r="I316" s="8" t="str">
        <f aca="false">IF($G316="","Unmatched","Matched")</f>
        <v>Matched</v>
      </c>
      <c r="J316" s="8" t="n">
        <f aca="false">IF($G316&lt;&gt;"",$G316,$B316)</f>
        <v>4413051</v>
      </c>
      <c r="K316" s="8" t="str">
        <f aca="false">IF(COUNTIF($M$1:$M$10,$A316)&gt;0,"Y","N")</f>
        <v>Y</v>
      </c>
    </row>
    <row r="317" customFormat="false" ht="15" hidden="false" customHeight="true" outlineLevel="0" collapsed="false">
      <c r="A317" s="8" t="s">
        <v>46</v>
      </c>
      <c r="B317" s="8" t="s">
        <v>795</v>
      </c>
      <c r="C317" s="19" t="n">
        <v>2</v>
      </c>
      <c r="D317" s="19" t="n">
        <v>61.79</v>
      </c>
      <c r="E317" s="19" t="n">
        <v>0</v>
      </c>
      <c r="F317" s="19" t="n">
        <v>0</v>
      </c>
      <c r="G317" s="8" t="n">
        <f aca="false">IFERROR(INDEX('TRANS'!$B:$B,MATCH($B317,'TRANS'!$A:$A,0)),IFERROR(INDEX('TRANS'!$B:$B,MATCH(TRIM(SUBSTITUTE($B317,CHAR(160)," ")),'TRANS'!$D:$D,0)),IFERROR(INDEX('Catalog'!$A:$A,MATCH($B317,'Catalog'!$B:$B,0)),IFERROR(INDEX('Catalog'!$A:$A,MATCH(TRIM(SUBSTITUTE($B317,CHAR(160)," ")),'Catalog'!$C:$C,0)),""))))</f>
        <v>4413055</v>
      </c>
      <c r="H317" s="8" t="str">
        <f aca="false">IFERROR(INDEX('TRANS'!$C:$C,MATCH($B317,'TRANS'!$A:$A,0)),IFERROR(INDEX('Catalog'!$B:$B,MATCH($G317,'Catalog'!$A:$A,0)),$B317))</f>
        <v>35C XL מגן קרסול חום</v>
      </c>
      <c r="I317" s="8" t="str">
        <f aca="false">IF($G317="","Unmatched","Matched")</f>
        <v>Matched</v>
      </c>
      <c r="J317" s="8" t="n">
        <f aca="false">IF($G317&lt;&gt;"",$G317,$B317)</f>
        <v>4413055</v>
      </c>
      <c r="K317" s="8" t="str">
        <f aca="false">IF(COUNTIF($M$1:$M$10,$A317)&gt;0,"Y","N")</f>
        <v>Y</v>
      </c>
    </row>
    <row r="318" customFormat="false" ht="15" hidden="false" customHeight="true" outlineLevel="0" collapsed="false">
      <c r="A318" s="8" t="s">
        <v>46</v>
      </c>
      <c r="B318" s="8" t="s">
        <v>417</v>
      </c>
      <c r="C318" s="19" t="n">
        <v>3</v>
      </c>
      <c r="D318" s="19" t="n">
        <v>127.82</v>
      </c>
      <c r="E318" s="19" t="n">
        <v>0</v>
      </c>
      <c r="F318" s="19" t="n">
        <v>0</v>
      </c>
      <c r="G318" s="8" t="str">
        <f aca="false">IFERROR(INDEX('TRANS'!$B:$B,MATCH($B318,'TRANS'!$A:$A,0)),IFERROR(INDEX('TRANS'!$B:$B,MATCH(TRIM(SUBSTITUTE($B318,CHAR(160)," ")),'TRANS'!$D:$D,0)),IFERROR(INDEX('Catalog'!$A:$A,MATCH($B318,'Catalog'!$B:$B,0)),IFERROR(INDEX('Catalog'!$A:$A,MATCH(TRIM(SUBSTITUTE($B318,CHAR(160)," ")),'Catalog'!$C:$C,0)),""))))</f>
        <v/>
      </c>
      <c r="H318" s="8" t="str">
        <f aca="false">IFERROR(INDEX('TRANS'!$C:$C,MATCH($B318,'TRANS'!$A:$A,0)),IFERROR(INDEX('Catalog'!$B:$B,MATCH($G318,'Catalog'!$A:$A,0)),$B318))</f>
        <v>377-36</v>
      </c>
      <c r="I318" s="8" t="str">
        <f aca="false">IF($G318="","Unmatched","Matched")</f>
        <v>Unmatched</v>
      </c>
      <c r="J318" s="8" t="str">
        <f aca="false">IF($G318&lt;&gt;"",$G318,$B318)</f>
        <v>377-36</v>
      </c>
      <c r="K318" s="8" t="str">
        <f aca="false">IF(COUNTIF($M$1:$M$10,$A318)&gt;0,"Y","N")</f>
        <v>Y</v>
      </c>
    </row>
    <row r="319" customFormat="false" ht="15" hidden="false" customHeight="true" outlineLevel="0" collapsed="false">
      <c r="A319" s="8" t="s">
        <v>46</v>
      </c>
      <c r="B319" s="8" t="s">
        <v>176</v>
      </c>
      <c r="C319" s="19" t="n">
        <v>0</v>
      </c>
      <c r="D319" s="19" t="n">
        <v>0</v>
      </c>
      <c r="E319" s="19" t="n">
        <v>6</v>
      </c>
      <c r="F319" s="19" t="n">
        <v>255.64</v>
      </c>
      <c r="G319" s="8" t="str">
        <f aca="false">IFERROR(INDEX('TRANS'!$B:$B,MATCH($B319,'TRANS'!$A:$A,0)),IFERROR(INDEX('TRANS'!$B:$B,MATCH(TRIM(SUBSTITUTE($B319,CHAR(160)," ")),'TRANS'!$D:$D,0)),IFERROR(INDEX('Catalog'!$A:$A,MATCH($B319,'Catalog'!$B:$B,0)),IFERROR(INDEX('Catalog'!$A:$A,MATCH(TRIM(SUBSTITUTE($B319,CHAR(160)," ")),'Catalog'!$C:$C,0)),""))))</f>
        <v/>
      </c>
      <c r="H319" s="8" t="str">
        <f aca="false">IFERROR(INDEX('TRANS'!$C:$C,MATCH($B319,'TRANS'!$A:$A,0)),IFERROR(INDEX('Catalog'!$B:$B,MATCH($G319,'Catalog'!$A:$A,0)),$B319))</f>
        <v>377-41</v>
      </c>
      <c r="I319" s="8" t="str">
        <f aca="false">IF($G319="","Unmatched","Matched")</f>
        <v>Unmatched</v>
      </c>
      <c r="J319" s="8" t="str">
        <f aca="false">IF($G319&lt;&gt;"",$G319,$B319)</f>
        <v>377-41</v>
      </c>
      <c r="K319" s="8" t="str">
        <f aca="false">IF(COUNTIF($M$1:$M$10,$A319)&gt;0,"Y","N")</f>
        <v>Y</v>
      </c>
    </row>
    <row r="320" customFormat="false" ht="15" hidden="false" customHeight="true" outlineLevel="0" collapsed="false">
      <c r="A320" s="8" t="s">
        <v>46</v>
      </c>
      <c r="B320" s="8" t="s">
        <v>796</v>
      </c>
      <c r="C320" s="19" t="n">
        <v>12</v>
      </c>
      <c r="D320" s="19" t="n">
        <v>324</v>
      </c>
      <c r="E320" s="19" t="n">
        <v>0</v>
      </c>
      <c r="F320" s="19" t="n">
        <v>0</v>
      </c>
      <c r="G320" s="8" t="n">
        <f aca="false">IFERROR(INDEX('TRANS'!$B:$B,MATCH($B320,'TRANS'!$A:$A,0)),IFERROR(INDEX('TRANS'!$B:$B,MATCH(TRIM(SUBSTITUTE($B320,CHAR(160)," ")),'TRANS'!$D:$D,0)),IFERROR(INDEX('Catalog'!$A:$A,MATCH($B320,'Catalog'!$B:$B,0)),IFERROR(INDEX('Catalog'!$A:$A,MATCH(TRIM(SUBSTITUTE($B320,CHAR(160)," ")),'Catalog'!$C:$C,0)),""))))</f>
        <v>4403008</v>
      </c>
      <c r="H320" s="8" t="str">
        <f aca="false">IFERROR(INDEX('TRANS'!$C:$C,MATCH($B320,'TRANS'!$A:$A,0)),IFERROR(INDEX('Catalog'!$B:$B,MATCH($G320,'Catalog'!$A:$A,0)),$B320))</f>
        <v>390W גרב.כסף לסכרתיים לבן43-46</v>
      </c>
      <c r="I320" s="8" t="str">
        <f aca="false">IF($G320="","Unmatched","Matched")</f>
        <v>Matched</v>
      </c>
      <c r="J320" s="8" t="n">
        <f aca="false">IF($G320&lt;&gt;"",$G320,$B320)</f>
        <v>4403008</v>
      </c>
      <c r="K320" s="8" t="str">
        <f aca="false">IF(COUNTIF($M$1:$M$10,$A320)&gt;0,"Y","N")</f>
        <v>Y</v>
      </c>
    </row>
    <row r="321" customFormat="false" ht="15" hidden="false" customHeight="true" outlineLevel="0" collapsed="false">
      <c r="A321" s="8" t="s">
        <v>46</v>
      </c>
      <c r="B321" s="8" t="s">
        <v>797</v>
      </c>
      <c r="C321" s="19" t="n">
        <v>4</v>
      </c>
      <c r="D321" s="19" t="n">
        <v>472.53</v>
      </c>
      <c r="E321" s="19" t="n">
        <v>0</v>
      </c>
      <c r="F321" s="19" t="n">
        <v>0</v>
      </c>
      <c r="G321" s="8" t="n">
        <f aca="false">IFERROR(INDEX('TRANS'!$B:$B,MATCH($B321,'TRANS'!$A:$A,0)),IFERROR(INDEX('TRANS'!$B:$B,MATCH(TRIM(SUBSTITUTE($B321,CHAR(160)," ")),'TRANS'!$D:$D,0)),IFERROR(INDEX('Catalog'!$A:$A,MATCH($B321,'Catalog'!$B:$B,0)),IFERROR(INDEX('Catalog'!$A:$A,MATCH(TRIM(SUBSTITUTE($B321,CHAR(160)," ")),'Catalog'!$C:$C,0)),""))))</f>
        <v>4413072</v>
      </c>
      <c r="H321" s="8" t="str">
        <f aca="false">IFERROR(INDEX('TRANS'!$C:$C,MATCH($B321,'TRANS'!$A:$A,0)),IFERROR(INDEX('Catalog'!$B:$B,MATCH($G321,'Catalog'!$A:$A,0)),$B321))</f>
        <v>41 Lמ.ברך מוצלב+ספירלות בצדדים</v>
      </c>
      <c r="I321" s="8" t="str">
        <f aca="false">IF($G321="","Unmatched","Matched")</f>
        <v>Matched</v>
      </c>
      <c r="J321" s="8" t="n">
        <f aca="false">IF($G321&lt;&gt;"",$G321,$B321)</f>
        <v>4413072</v>
      </c>
      <c r="K321" s="8" t="str">
        <f aca="false">IF(COUNTIF($M$1:$M$10,$A321)&gt;0,"Y","N")</f>
        <v>Y</v>
      </c>
    </row>
    <row r="322" customFormat="false" ht="15" hidden="false" customHeight="true" outlineLevel="0" collapsed="false">
      <c r="A322" s="8" t="s">
        <v>46</v>
      </c>
      <c r="B322" s="8" t="s">
        <v>267</v>
      </c>
      <c r="C322" s="19" t="n">
        <v>2</v>
      </c>
      <c r="D322" s="19" t="n">
        <v>255.18</v>
      </c>
      <c r="E322" s="19" t="n">
        <v>0</v>
      </c>
      <c r="F322" s="19" t="n">
        <v>0</v>
      </c>
      <c r="G322" s="8" t="str">
        <f aca="false">IFERROR(INDEX('TRANS'!$B:$B,MATCH($B322,'TRANS'!$A:$A,0)),IFERROR(INDEX('TRANS'!$B:$B,MATCH(TRIM(SUBSTITUTE($B322,CHAR(160)," ")),'TRANS'!$D:$D,0)),IFERROR(INDEX('Catalog'!$A:$A,MATCH($B322,'Catalog'!$B:$B,0)),IFERROR(INDEX('Catalog'!$A:$A,MATCH(TRIM(SUBSTITUTE($B322,CHAR(160)," ")),'Catalog'!$C:$C,0)),""))))</f>
        <v/>
      </c>
      <c r="H322" s="8" t="str">
        <f aca="false">IFERROR(INDEX('TRANS'!$C:$C,MATCH($B322,'TRANS'!$A:$A,0)),IFERROR(INDEX('Catalog'!$B:$B,MATCH($G322,'Catalog'!$A:$A,0)),$B322))</f>
        <v>41X M</v>
      </c>
      <c r="I322" s="8" t="str">
        <f aca="false">IF($G322="","Unmatched","Matched")</f>
        <v>Unmatched</v>
      </c>
      <c r="J322" s="8" t="str">
        <f aca="false">IF($G322&lt;&gt;"",$G322,$B322)</f>
        <v>41X M</v>
      </c>
      <c r="K322" s="8" t="str">
        <f aca="false">IF(COUNTIF($M$1:$M$10,$A322)&gt;0,"Y","N")</f>
        <v>Y</v>
      </c>
    </row>
    <row r="323" customFormat="false" ht="15" hidden="false" customHeight="true" outlineLevel="0" collapsed="false">
      <c r="A323" s="8" t="s">
        <v>46</v>
      </c>
      <c r="B323" s="8" t="s">
        <v>268</v>
      </c>
      <c r="C323" s="19" t="n">
        <v>4</v>
      </c>
      <c r="D323" s="19" t="n">
        <v>543.54</v>
      </c>
      <c r="E323" s="19" t="n">
        <v>0</v>
      </c>
      <c r="F323" s="19" t="n">
        <v>0</v>
      </c>
      <c r="G323" s="8" t="str">
        <f aca="false">IFERROR(INDEX('TRANS'!$B:$B,MATCH($B323,'TRANS'!$A:$A,0)),IFERROR(INDEX('TRANS'!$B:$B,MATCH(TRIM(SUBSTITUTE($B323,CHAR(160)," ")),'TRANS'!$D:$D,0)),IFERROR(INDEX('Catalog'!$A:$A,MATCH($B323,'Catalog'!$B:$B,0)),IFERROR(INDEX('Catalog'!$A:$A,MATCH(TRIM(SUBSTITUTE($B323,CHAR(160)," ")),'Catalog'!$C:$C,0)),""))))</f>
        <v/>
      </c>
      <c r="H323" s="8" t="str">
        <f aca="false">IFERROR(INDEX('TRANS'!$C:$C,MATCH($B323,'TRANS'!$A:$A,0)),IFERROR(INDEX('Catalog'!$B:$B,MATCH($G323,'Catalog'!$A:$A,0)),$B323))</f>
        <v>41X XXL</v>
      </c>
      <c r="I323" s="8" t="str">
        <f aca="false">IF($G323="","Unmatched","Matched")</f>
        <v>Unmatched</v>
      </c>
      <c r="J323" s="8" t="str">
        <f aca="false">IF($G323&lt;&gt;"",$G323,$B323)</f>
        <v>41X XXL</v>
      </c>
      <c r="K323" s="8" t="str">
        <f aca="false">IF(COUNTIF($M$1:$M$10,$A323)&gt;0,"Y","N")</f>
        <v>Y</v>
      </c>
    </row>
    <row r="324" customFormat="false" ht="15" hidden="false" customHeight="true" outlineLevel="0" collapsed="false">
      <c r="A324" s="8" t="s">
        <v>46</v>
      </c>
      <c r="B324" s="8" t="s">
        <v>236</v>
      </c>
      <c r="C324" s="19" t="n">
        <v>5</v>
      </c>
      <c r="D324" s="19" t="n">
        <v>866.13</v>
      </c>
      <c r="E324" s="19" t="n">
        <v>0</v>
      </c>
      <c r="F324" s="19" t="n">
        <v>0</v>
      </c>
      <c r="G324" s="8" t="str">
        <f aca="false">IFERROR(INDEX('TRANS'!$B:$B,MATCH($B324,'TRANS'!$A:$A,0)),IFERROR(INDEX('TRANS'!$B:$B,MATCH(TRIM(SUBSTITUTE($B324,CHAR(160)," ")),'TRANS'!$D:$D,0)),IFERROR(INDEX('Catalog'!$A:$A,MATCH($B324,'Catalog'!$B:$B,0)),IFERROR(INDEX('Catalog'!$A:$A,MATCH(TRIM(SUBSTITUTE($B324,CHAR(160)," ")),'Catalog'!$C:$C,0)),""))))</f>
        <v/>
      </c>
      <c r="H324" s="8" t="str">
        <f aca="false">IFERROR(INDEX('TRANS'!$C:$C,MATCH($B324,'TRANS'!$A:$A,0)),IFERROR(INDEX('Catalog'!$B:$B,MATCH($G324,'Catalog'!$A:$A,0)),$B324))</f>
        <v>422E XL</v>
      </c>
      <c r="I324" s="8" t="str">
        <f aca="false">IF($G324="","Unmatched","Matched")</f>
        <v>Unmatched</v>
      </c>
      <c r="J324" s="8" t="str">
        <f aca="false">IF($G324&lt;&gt;"",$G324,$B324)</f>
        <v>422E XL</v>
      </c>
      <c r="K324" s="8" t="str">
        <f aca="false">IF(COUNTIF($M$1:$M$10,$A324)&gt;0,"Y","N")</f>
        <v>Y</v>
      </c>
    </row>
    <row r="325" customFormat="false" ht="15" hidden="false" customHeight="true" outlineLevel="0" collapsed="false">
      <c r="A325" s="8" t="s">
        <v>46</v>
      </c>
      <c r="B325" s="8" t="s">
        <v>269</v>
      </c>
      <c r="C325" s="19" t="n">
        <v>2</v>
      </c>
      <c r="D325" s="19" t="n">
        <v>256</v>
      </c>
      <c r="E325" s="19" t="n">
        <v>0</v>
      </c>
      <c r="F325" s="19" t="n">
        <v>0</v>
      </c>
      <c r="G325" s="8" t="str">
        <f aca="false">IFERROR(INDEX('TRANS'!$B:$B,MATCH($B325,'TRANS'!$A:$A,0)),IFERROR(INDEX('TRANS'!$B:$B,MATCH(TRIM(SUBSTITUTE($B325,CHAR(160)," ")),'TRANS'!$D:$D,0)),IFERROR(INDEX('Catalog'!$A:$A,MATCH($B325,'Catalog'!$B:$B,0)),IFERROR(INDEX('Catalog'!$A:$A,MATCH(TRIM(SUBSTITUTE($B325,CHAR(160)," ")),'Catalog'!$C:$C,0)),""))))</f>
        <v/>
      </c>
      <c r="H325" s="8" t="str">
        <f aca="false">IFERROR(INDEX('TRANS'!$C:$C,MATCH($B325,'TRANS'!$A:$A,0)),IFERROR(INDEX('Catalog'!$B:$B,MATCH($G325,'Catalog'!$A:$A,0)),$B325))</f>
        <v>422E XXL</v>
      </c>
      <c r="I325" s="8" t="str">
        <f aca="false">IF($G325="","Unmatched","Matched")</f>
        <v>Unmatched</v>
      </c>
      <c r="J325" s="8" t="str">
        <f aca="false">IF($G325&lt;&gt;"",$G325,$B325)</f>
        <v>422E XXL</v>
      </c>
      <c r="K325" s="8" t="str">
        <f aca="false">IF(COUNTIF($M$1:$M$10,$A325)&gt;0,"Y","N")</f>
        <v>Y</v>
      </c>
    </row>
    <row r="326" customFormat="false" ht="15" hidden="false" customHeight="true" outlineLevel="0" collapsed="false">
      <c r="A326" s="8" t="s">
        <v>46</v>
      </c>
      <c r="B326" s="8" t="s">
        <v>146</v>
      </c>
      <c r="C326" s="19" t="n">
        <v>3</v>
      </c>
      <c r="D326" s="19" t="n">
        <v>664.15</v>
      </c>
      <c r="E326" s="19" t="n">
        <v>1</v>
      </c>
      <c r="F326" s="19" t="n">
        <v>183.86</v>
      </c>
      <c r="G326" s="8" t="str">
        <f aca="false">IFERROR(INDEX('TRANS'!$B:$B,MATCH($B326,'TRANS'!$A:$A,0)),IFERROR(INDEX('TRANS'!$B:$B,MATCH(TRIM(SUBSTITUTE($B326,CHAR(160)," ")),'TRANS'!$D:$D,0)),IFERROR(INDEX('Catalog'!$A:$A,MATCH($B326,'Catalog'!$B:$B,0)),IFERROR(INDEX('Catalog'!$A:$A,MATCH(TRIM(SUBSTITUTE($B326,CHAR(160)," ")),'Catalog'!$C:$C,0)),""))))</f>
        <v/>
      </c>
      <c r="H326" s="8" t="str">
        <f aca="false">IFERROR(INDEX('TRANS'!$C:$C,MATCH($B326,'TRANS'!$A:$A,0)),IFERROR(INDEX('Catalog'!$B:$B,MATCH($G326,'Catalog'!$A:$A,0)),$B326))</f>
        <v>422EB L</v>
      </c>
      <c r="I326" s="8" t="str">
        <f aca="false">IF($G326="","Unmatched","Matched")</f>
        <v>Unmatched</v>
      </c>
      <c r="J326" s="8" t="str">
        <f aca="false">IF($G326&lt;&gt;"",$G326,$B326)</f>
        <v>422EB L</v>
      </c>
      <c r="K326" s="8" t="str">
        <f aca="false">IF(COUNTIF($M$1:$M$10,$A326)&gt;0,"Y","N")</f>
        <v>Y</v>
      </c>
    </row>
    <row r="327" customFormat="false" ht="15" hidden="false" customHeight="true" outlineLevel="0" collapsed="false">
      <c r="A327" s="8" t="s">
        <v>46</v>
      </c>
      <c r="B327" s="8" t="s">
        <v>270</v>
      </c>
      <c r="C327" s="19" t="n">
        <v>3</v>
      </c>
      <c r="D327" s="19" t="n">
        <v>609.83</v>
      </c>
      <c r="E327" s="19" t="n">
        <v>0</v>
      </c>
      <c r="F327" s="19" t="n">
        <v>0</v>
      </c>
      <c r="G327" s="8" t="str">
        <f aca="false">IFERROR(INDEX('TRANS'!$B:$B,MATCH($B327,'TRANS'!$A:$A,0)),IFERROR(INDEX('TRANS'!$B:$B,MATCH(TRIM(SUBSTITUTE($B327,CHAR(160)," ")),'TRANS'!$D:$D,0)),IFERROR(INDEX('Catalog'!$A:$A,MATCH($B327,'Catalog'!$B:$B,0)),IFERROR(INDEX('Catalog'!$A:$A,MATCH(TRIM(SUBSTITUTE($B327,CHAR(160)," ")),'Catalog'!$C:$C,0)),""))))</f>
        <v/>
      </c>
      <c r="H327" s="8" t="str">
        <f aca="false">IFERROR(INDEX('TRANS'!$C:$C,MATCH($B327,'TRANS'!$A:$A,0)),IFERROR(INDEX('Catalog'!$B:$B,MATCH($G327,'Catalog'!$A:$A,0)),$B327))</f>
        <v>422EB XL</v>
      </c>
      <c r="I327" s="8" t="str">
        <f aca="false">IF($G327="","Unmatched","Matched")</f>
        <v>Unmatched</v>
      </c>
      <c r="J327" s="8" t="str">
        <f aca="false">IF($G327&lt;&gt;"",$G327,$B327)</f>
        <v>422EB XL</v>
      </c>
      <c r="K327" s="8" t="str">
        <f aca="false">IF(COUNTIF($M$1:$M$10,$A327)&gt;0,"Y","N")</f>
        <v>Y</v>
      </c>
    </row>
    <row r="328" customFormat="false" ht="15" hidden="false" customHeight="true" outlineLevel="0" collapsed="false">
      <c r="A328" s="8" t="s">
        <v>46</v>
      </c>
      <c r="B328" s="8" t="s">
        <v>418</v>
      </c>
      <c r="C328" s="19" t="n">
        <v>2</v>
      </c>
      <c r="D328" s="19" t="n">
        <v>406.45</v>
      </c>
      <c r="E328" s="19" t="n">
        <v>0</v>
      </c>
      <c r="F328" s="19" t="n">
        <v>0</v>
      </c>
      <c r="G328" s="8" t="str">
        <f aca="false">IFERROR(INDEX('TRANS'!$B:$B,MATCH($B328,'TRANS'!$A:$A,0)),IFERROR(INDEX('TRANS'!$B:$B,MATCH(TRIM(SUBSTITUTE($B328,CHAR(160)," ")),'TRANS'!$D:$D,0)),IFERROR(INDEX('Catalog'!$A:$A,MATCH($B328,'Catalog'!$B:$B,0)),IFERROR(INDEX('Catalog'!$A:$A,MATCH(TRIM(SUBSTITUTE($B328,CHAR(160)," ")),'Catalog'!$C:$C,0)),""))))</f>
        <v/>
      </c>
      <c r="H328" s="8" t="str">
        <f aca="false">IFERROR(INDEX('TRANS'!$C:$C,MATCH($B328,'TRANS'!$A:$A,0)),IFERROR(INDEX('Catalog'!$B:$B,MATCH($G328,'Catalog'!$A:$A,0)),$B328))</f>
        <v>422EB XXL</v>
      </c>
      <c r="I328" s="8" t="str">
        <f aca="false">IF($G328="","Unmatched","Matched")</f>
        <v>Unmatched</v>
      </c>
      <c r="J328" s="8" t="str">
        <f aca="false">IF($G328&lt;&gt;"",$G328,$B328)</f>
        <v>422EB XXL</v>
      </c>
      <c r="K328" s="8" t="str">
        <f aca="false">IF(COUNTIF($M$1:$M$10,$A328)&gt;0,"Y","N")</f>
        <v>Y</v>
      </c>
    </row>
    <row r="329" customFormat="false" ht="15" hidden="false" customHeight="true" outlineLevel="0" collapsed="false">
      <c r="A329" s="8" t="s">
        <v>46</v>
      </c>
      <c r="B329" s="8" t="s">
        <v>419</v>
      </c>
      <c r="C329" s="19" t="n">
        <v>1</v>
      </c>
      <c r="D329" s="19" t="n">
        <v>330.86</v>
      </c>
      <c r="E329" s="19" t="n">
        <v>0</v>
      </c>
      <c r="F329" s="19" t="n">
        <v>0</v>
      </c>
      <c r="G329" s="8" t="str">
        <f aca="false">IFERROR(INDEX('TRANS'!$B:$B,MATCH($B329,'TRANS'!$A:$A,0)),IFERROR(INDEX('TRANS'!$B:$B,MATCH(TRIM(SUBSTITUTE($B329,CHAR(160)," ")),'TRANS'!$D:$D,0)),IFERROR(INDEX('Catalog'!$A:$A,MATCH($B329,'Catalog'!$B:$B,0)),IFERROR(INDEX('Catalog'!$A:$A,MATCH(TRIM(SUBSTITUTE($B329,CHAR(160)," ")),'Catalog'!$C:$C,0)),""))))</f>
        <v/>
      </c>
      <c r="H329" s="8" t="str">
        <f aca="false">IFERROR(INDEX('TRANS'!$C:$C,MATCH($B329,'TRANS'!$A:$A,0)),IFERROR(INDEX('Catalog'!$B:$B,MATCH($G329,'Catalog'!$A:$A,0)),$B329))</f>
        <v>422EBD XL</v>
      </c>
      <c r="I329" s="8" t="str">
        <f aca="false">IF($G329="","Unmatched","Matched")</f>
        <v>Unmatched</v>
      </c>
      <c r="J329" s="8" t="str">
        <f aca="false">IF($G329&lt;&gt;"",$G329,$B329)</f>
        <v>422EBD XL</v>
      </c>
      <c r="K329" s="8" t="str">
        <f aca="false">IF(COUNTIF($M$1:$M$10,$A329)&gt;0,"Y","N")</f>
        <v>Y</v>
      </c>
    </row>
    <row r="330" customFormat="false" ht="15" hidden="false" customHeight="true" outlineLevel="0" collapsed="false">
      <c r="A330" s="8" t="s">
        <v>46</v>
      </c>
      <c r="B330" s="8" t="s">
        <v>798</v>
      </c>
      <c r="C330" s="19" t="n">
        <v>4</v>
      </c>
      <c r="D330" s="19" t="n">
        <v>144.17</v>
      </c>
      <c r="E330" s="19" t="n">
        <v>0</v>
      </c>
      <c r="F330" s="19" t="n">
        <v>0</v>
      </c>
      <c r="G330" s="8" t="n">
        <f aca="false">IFERROR(INDEX('TRANS'!$B:$B,MATCH($B330,'TRANS'!$A:$A,0)),IFERROR(INDEX('TRANS'!$B:$B,MATCH(TRIM(SUBSTITUTE($B330,CHAR(160)," ")),'TRANS'!$D:$D,0)),IFERROR(INDEX('Catalog'!$A:$A,MATCH($B330,'Catalog'!$B:$B,0)),IFERROR(INDEX('Catalog'!$A:$A,MATCH(TRIM(SUBSTITUTE($B330,CHAR(160)," ")),'Catalog'!$C:$C,0)),""))))</f>
        <v>4413092</v>
      </c>
      <c r="H330" s="8" t="str">
        <f aca="false">IFERROR(INDEX('TRANS'!$C:$C,MATCH($B330,'TRANS'!$A:$A,0)),IFERROR(INDEX('Catalog'!$B:$B,MATCH($G330,'Catalog'!$A:$A,0)),$B330))</f>
        <v>45 L מגן ברך לבן</v>
      </c>
      <c r="I330" s="8" t="str">
        <f aca="false">IF($G330="","Unmatched","Matched")</f>
        <v>Matched</v>
      </c>
      <c r="J330" s="8" t="n">
        <f aca="false">IF($G330&lt;&gt;"",$G330,$B330)</f>
        <v>4413092</v>
      </c>
      <c r="K330" s="8" t="str">
        <f aca="false">IF(COUNTIF($M$1:$M$10,$A330)&gt;0,"Y","N")</f>
        <v>Y</v>
      </c>
    </row>
    <row r="331" customFormat="false" ht="15" hidden="false" customHeight="true" outlineLevel="0" collapsed="false">
      <c r="A331" s="8" t="s">
        <v>46</v>
      </c>
      <c r="B331" s="8" t="s">
        <v>799</v>
      </c>
      <c r="C331" s="19" t="n">
        <v>9</v>
      </c>
      <c r="D331" s="19" t="n">
        <v>295.67</v>
      </c>
      <c r="E331" s="19" t="n">
        <v>1</v>
      </c>
      <c r="F331" s="19" t="n">
        <v>0.01</v>
      </c>
      <c r="G331" s="8" t="n">
        <f aca="false">IFERROR(INDEX('TRANS'!$B:$B,MATCH($B331,'TRANS'!$A:$A,0)),IFERROR(INDEX('TRANS'!$B:$B,MATCH(TRIM(SUBSTITUTE($B331,CHAR(160)," ")),'TRANS'!$D:$D,0)),IFERROR(INDEX('Catalog'!$A:$A,MATCH($B331,'Catalog'!$B:$B,0)),IFERROR(INDEX('Catalog'!$A:$A,MATCH(TRIM(SUBSTITUTE($B331,CHAR(160)," ")),'Catalog'!$C:$C,0)),""))))</f>
        <v>4413093</v>
      </c>
      <c r="H331" s="8" t="str">
        <f aca="false">IFERROR(INDEX('TRANS'!$C:$C,MATCH($B331,'TRANS'!$A:$A,0)),IFERROR(INDEX('Catalog'!$B:$B,MATCH($G331,'Catalog'!$A:$A,0)),$B331))</f>
        <v>45 M מגן ברך לבן</v>
      </c>
      <c r="I331" s="8" t="str">
        <f aca="false">IF($G331="","Unmatched","Matched")</f>
        <v>Matched</v>
      </c>
      <c r="J331" s="8" t="n">
        <f aca="false">IF($G331&lt;&gt;"",$G331,$B331)</f>
        <v>4413093</v>
      </c>
      <c r="K331" s="8" t="str">
        <f aca="false">IF(COUNTIF($M$1:$M$10,$A331)&gt;0,"Y","N")</f>
        <v>Y</v>
      </c>
    </row>
    <row r="332" customFormat="false" ht="15" hidden="false" customHeight="true" outlineLevel="0" collapsed="false">
      <c r="A332" s="8" t="s">
        <v>46</v>
      </c>
      <c r="B332" s="8" t="s">
        <v>800</v>
      </c>
      <c r="C332" s="19" t="n">
        <v>2</v>
      </c>
      <c r="D332" s="19" t="n">
        <v>61.79</v>
      </c>
      <c r="E332" s="19" t="n">
        <v>0</v>
      </c>
      <c r="F332" s="19" t="n">
        <v>0</v>
      </c>
      <c r="G332" s="8" t="n">
        <f aca="false">IFERROR(INDEX('TRANS'!$B:$B,MATCH($B332,'TRANS'!$A:$A,0)),IFERROR(INDEX('TRANS'!$B:$B,MATCH(TRIM(SUBSTITUTE($B332,CHAR(160)," ")),'TRANS'!$D:$D,0)),IFERROR(INDEX('Catalog'!$A:$A,MATCH($B332,'Catalog'!$B:$B,0)),IFERROR(INDEX('Catalog'!$A:$A,MATCH(TRIM(SUBSTITUTE($B332,CHAR(160)," ")),'Catalog'!$C:$C,0)),""))))</f>
        <v>4413096</v>
      </c>
      <c r="H332" s="8" t="str">
        <f aca="false">IFERROR(INDEX('TRANS'!$C:$C,MATCH($B332,'TRANS'!$A:$A,0)),IFERROR(INDEX('Catalog'!$B:$B,MATCH($G332,'Catalog'!$A:$A,0)),$B332))</f>
        <v>45 XXL מגן ברך לבן</v>
      </c>
      <c r="I332" s="8" t="str">
        <f aca="false">IF($G332="","Unmatched","Matched")</f>
        <v>Matched</v>
      </c>
      <c r="J332" s="8" t="n">
        <f aca="false">IF($G332&lt;&gt;"",$G332,$B332)</f>
        <v>4413096</v>
      </c>
      <c r="K332" s="8" t="str">
        <f aca="false">IF(COUNTIF($M$1:$M$10,$A332)&gt;0,"Y","N")</f>
        <v>Y</v>
      </c>
    </row>
    <row r="333" customFormat="false" ht="15" hidden="false" customHeight="true" outlineLevel="0" collapsed="false">
      <c r="A333" s="8" t="s">
        <v>46</v>
      </c>
      <c r="B333" s="8" t="s">
        <v>801</v>
      </c>
      <c r="C333" s="19" t="n">
        <v>1</v>
      </c>
      <c r="D333" s="19" t="n">
        <v>41.19</v>
      </c>
      <c r="E333" s="19" t="n">
        <v>4</v>
      </c>
      <c r="F333" s="19" t="n">
        <v>123.57</v>
      </c>
      <c r="G333" s="8" t="n">
        <f aca="false">IFERROR(INDEX('TRANS'!$B:$B,MATCH($B333,'TRANS'!$A:$A,0)),IFERROR(INDEX('TRANS'!$B:$B,MATCH(TRIM(SUBSTITUTE($B333,CHAR(160)," ")),'TRANS'!$D:$D,0)),IFERROR(INDEX('Catalog'!$A:$A,MATCH($B333,'Catalog'!$B:$B,0)),IFERROR(INDEX('Catalog'!$A:$A,MATCH(TRIM(SUBSTITUTE($B333,CHAR(160)," ")),'Catalog'!$C:$C,0)),""))))</f>
        <v>4413498</v>
      </c>
      <c r="H333" s="8" t="str">
        <f aca="false">IFERROR(INDEX('TRANS'!$C:$C,MATCH($B333,'TRANS'!$A:$A,0)),IFERROR(INDEX('Catalog'!$B:$B,MATCH($G333,'Catalog'!$A:$A,0)),$B333))</f>
        <v>45B S מגן ברך שחור</v>
      </c>
      <c r="I333" s="8" t="str">
        <f aca="false">IF($G333="","Unmatched","Matched")</f>
        <v>Matched</v>
      </c>
      <c r="J333" s="8" t="n">
        <f aca="false">IF($G333&lt;&gt;"",$G333,$B333)</f>
        <v>4413498</v>
      </c>
      <c r="K333" s="8" t="str">
        <f aca="false">IF(COUNTIF($M$1:$M$10,$A333)&gt;0,"Y","N")</f>
        <v>Y</v>
      </c>
    </row>
    <row r="334" customFormat="false" ht="15" hidden="false" customHeight="true" outlineLevel="0" collapsed="false">
      <c r="A334" s="8" t="s">
        <v>46</v>
      </c>
      <c r="B334" s="8" t="s">
        <v>802</v>
      </c>
      <c r="C334" s="19" t="n">
        <v>0</v>
      </c>
      <c r="D334" s="19" t="n">
        <v>0</v>
      </c>
      <c r="E334" s="19" t="n">
        <v>4</v>
      </c>
      <c r="F334" s="19" t="n">
        <v>123.57</v>
      </c>
      <c r="G334" s="8" t="n">
        <f aca="false">IFERROR(INDEX('TRANS'!$B:$B,MATCH($B334,'TRANS'!$A:$A,0)),IFERROR(INDEX('TRANS'!$B:$B,MATCH(TRIM(SUBSTITUTE($B334,CHAR(160)," ")),'TRANS'!$D:$D,0)),IFERROR(INDEX('Catalog'!$A:$A,MATCH($B334,'Catalog'!$B:$B,0)),IFERROR(INDEX('Catalog'!$A:$A,MATCH(TRIM(SUBSTITUTE($B334,CHAR(160)," ")),'Catalog'!$C:$C,0)),""))))</f>
        <v>4413496</v>
      </c>
      <c r="H334" s="8" t="str">
        <f aca="false">IFERROR(INDEX('TRANS'!$C:$C,MATCH($B334,'TRANS'!$A:$A,0)),IFERROR(INDEX('Catalog'!$B:$B,MATCH($G334,'Catalog'!$A:$A,0)),$B334))</f>
        <v>45B XL מגן ברך שחור</v>
      </c>
      <c r="I334" s="8" t="str">
        <f aca="false">IF($G334="","Unmatched","Matched")</f>
        <v>Matched</v>
      </c>
      <c r="J334" s="8" t="n">
        <f aca="false">IF($G334&lt;&gt;"",$G334,$B334)</f>
        <v>4413496</v>
      </c>
      <c r="K334" s="8" t="str">
        <f aca="false">IF(COUNTIF($M$1:$M$10,$A334)&gt;0,"Y","N")</f>
        <v>Y</v>
      </c>
    </row>
    <row r="335" customFormat="false" ht="15" hidden="false" customHeight="true" outlineLevel="0" collapsed="false">
      <c r="A335" s="8" t="s">
        <v>46</v>
      </c>
      <c r="B335" s="8" t="s">
        <v>803</v>
      </c>
      <c r="C335" s="19" t="n">
        <v>0</v>
      </c>
      <c r="D335" s="19" t="n">
        <v>0</v>
      </c>
      <c r="E335" s="19" t="n">
        <v>3</v>
      </c>
      <c r="F335" s="19" t="n">
        <v>80.32</v>
      </c>
      <c r="G335" s="8" t="n">
        <f aca="false">IFERROR(INDEX('TRANS'!$B:$B,MATCH($B335,'TRANS'!$A:$A,0)),IFERROR(INDEX('TRANS'!$B:$B,MATCH(TRIM(SUBSTITUTE($B335,CHAR(160)," ")),'TRANS'!$D:$D,0)),IFERROR(INDEX('Catalog'!$A:$A,MATCH($B335,'Catalog'!$B:$B,0)),IFERROR(INDEX('Catalog'!$A:$A,MATCH(TRIM(SUBSTITUTE($B335,CHAR(160)," ")),'Catalog'!$C:$C,0)),""))))</f>
        <v>4413499</v>
      </c>
      <c r="H335" s="8" t="str">
        <f aca="false">IFERROR(INDEX('TRANS'!$C:$C,MATCH($B335,'TRANS'!$A:$A,0)),IFERROR(INDEX('Catalog'!$B:$B,MATCH($G335,'Catalog'!$A:$A,0)),$B335))</f>
        <v>45B XXLמגן ברך שחור</v>
      </c>
      <c r="I335" s="8" t="str">
        <f aca="false">IF($G335="","Unmatched","Matched")</f>
        <v>Matched</v>
      </c>
      <c r="J335" s="8" t="n">
        <f aca="false">IF($G335&lt;&gt;"",$G335,$B335)</f>
        <v>4413499</v>
      </c>
      <c r="K335" s="8" t="str">
        <f aca="false">IF(COUNTIF($M$1:$M$10,$A335)&gt;0,"Y","N")</f>
        <v>Y</v>
      </c>
    </row>
    <row r="336" customFormat="false" ht="15" hidden="false" customHeight="true" outlineLevel="0" collapsed="false">
      <c r="A336" s="8" t="s">
        <v>46</v>
      </c>
      <c r="B336" s="8" t="s">
        <v>804</v>
      </c>
      <c r="C336" s="19" t="n">
        <v>2</v>
      </c>
      <c r="D336" s="19" t="n">
        <v>71.76</v>
      </c>
      <c r="E336" s="19" t="n">
        <v>2</v>
      </c>
      <c r="F336" s="19" t="n">
        <v>74.92</v>
      </c>
      <c r="G336" s="8" t="n">
        <f aca="false">IFERROR(INDEX('TRANS'!$B:$B,MATCH($B336,'TRANS'!$A:$A,0)),IFERROR(INDEX('TRANS'!$B:$B,MATCH(TRIM(SUBSTITUTE($B336,CHAR(160)," ")),'TRANS'!$D:$D,0)),IFERROR(INDEX('Catalog'!$A:$A,MATCH($B336,'Catalog'!$B:$B,0)),IFERROR(INDEX('Catalog'!$A:$A,MATCH(TRIM(SUBSTITUTE($B336,CHAR(160)," ")),'Catalog'!$C:$C,0)),""))))</f>
        <v>4413102</v>
      </c>
      <c r="H336" s="8" t="str">
        <f aca="false">IFERROR(INDEX('TRANS'!$C:$C,MATCH($B336,'TRANS'!$A:$A,0)),IFERROR(INDEX('Catalog'!$B:$B,MATCH($G336,'Catalog'!$A:$A,0)),$B336))</f>
        <v>45E  L        מגן ברך ארוך לבן</v>
      </c>
      <c r="I336" s="8" t="str">
        <f aca="false">IF($G336="","Unmatched","Matched")</f>
        <v>Matched</v>
      </c>
      <c r="J336" s="8" t="n">
        <f aca="false">IF($G336&lt;&gt;"",$G336,$B336)</f>
        <v>4413102</v>
      </c>
      <c r="K336" s="8" t="str">
        <f aca="false">IF(COUNTIF($M$1:$M$10,$A336)&gt;0,"Y","N")</f>
        <v>Y</v>
      </c>
    </row>
    <row r="337" customFormat="false" ht="15" hidden="false" customHeight="true" outlineLevel="0" collapsed="false">
      <c r="A337" s="8" t="s">
        <v>46</v>
      </c>
      <c r="B337" s="8" t="s">
        <v>805</v>
      </c>
      <c r="C337" s="19" t="n">
        <v>0</v>
      </c>
      <c r="D337" s="19" t="n">
        <v>0</v>
      </c>
      <c r="E337" s="19" t="n">
        <v>3</v>
      </c>
      <c r="F337" s="19" t="n">
        <v>112.36</v>
      </c>
      <c r="G337" s="8" t="n">
        <f aca="false">IFERROR(INDEX('TRANS'!$B:$B,MATCH($B337,'TRANS'!$A:$A,0)),IFERROR(INDEX('TRANS'!$B:$B,MATCH(TRIM(SUBSTITUTE($B337,CHAR(160)," ")),'TRANS'!$D:$D,0)),IFERROR(INDEX('Catalog'!$A:$A,MATCH($B337,'Catalog'!$B:$B,0)),IFERROR(INDEX('Catalog'!$A:$A,MATCH(TRIM(SUBSTITUTE($B337,CHAR(160)," ")),'Catalog'!$C:$C,0)),""))))</f>
        <v>4413103</v>
      </c>
      <c r="H337" s="8" t="str">
        <f aca="false">IFERROR(INDEX('TRANS'!$C:$C,MATCH($B337,'TRANS'!$A:$A,0)),IFERROR(INDEX('Catalog'!$B:$B,MATCH($G337,'Catalog'!$A:$A,0)),$B337))</f>
        <v>45E Mמגן ברך ארוך לבן</v>
      </c>
      <c r="I337" s="8" t="str">
        <f aca="false">IF($G337="","Unmatched","Matched")</f>
        <v>Matched</v>
      </c>
      <c r="J337" s="8" t="n">
        <f aca="false">IF($G337&lt;&gt;"",$G337,$B337)</f>
        <v>4413103</v>
      </c>
      <c r="K337" s="8" t="str">
        <f aca="false">IF(COUNTIF($M$1:$M$10,$A337)&gt;0,"Y","N")</f>
        <v>Y</v>
      </c>
    </row>
    <row r="338" customFormat="false" ht="15" hidden="false" customHeight="true" outlineLevel="0" collapsed="false">
      <c r="A338" s="8" t="s">
        <v>46</v>
      </c>
      <c r="B338" s="8" t="s">
        <v>806</v>
      </c>
      <c r="C338" s="19" t="n">
        <v>0</v>
      </c>
      <c r="D338" s="19" t="n">
        <v>0</v>
      </c>
      <c r="E338" s="19" t="n">
        <v>3</v>
      </c>
      <c r="F338" s="19" t="n">
        <v>112.36</v>
      </c>
      <c r="G338" s="8" t="n">
        <f aca="false">IFERROR(INDEX('TRANS'!$B:$B,MATCH($B338,'TRANS'!$A:$A,0)),IFERROR(INDEX('TRANS'!$B:$B,MATCH(TRIM(SUBSTITUTE($B338,CHAR(160)," ")),'TRANS'!$D:$D,0)),IFERROR(INDEX('Catalog'!$A:$A,MATCH($B338,'Catalog'!$B:$B,0)),IFERROR(INDEX('Catalog'!$A:$A,MATCH(TRIM(SUBSTITUTE($B338,CHAR(160)," ")),'Catalog'!$C:$C,0)),""))))</f>
        <v>4413101</v>
      </c>
      <c r="H338" s="8" t="str">
        <f aca="false">IFERROR(INDEX('TRANS'!$C:$C,MATCH($B338,'TRANS'!$A:$A,0)),IFERROR(INDEX('Catalog'!$B:$B,MATCH($G338,'Catalog'!$A:$A,0)),$B338))</f>
        <v>45E Sמגן ברך ארוך לבן</v>
      </c>
      <c r="I338" s="8" t="str">
        <f aca="false">IF($G338="","Unmatched","Matched")</f>
        <v>Matched</v>
      </c>
      <c r="J338" s="8" t="n">
        <f aca="false">IF($G338&lt;&gt;"",$G338,$B338)</f>
        <v>4413101</v>
      </c>
      <c r="K338" s="8" t="str">
        <f aca="false">IF(COUNTIF($M$1:$M$10,$A338)&gt;0,"Y","N")</f>
        <v>Y</v>
      </c>
    </row>
    <row r="339" customFormat="false" ht="15" hidden="false" customHeight="true" outlineLevel="0" collapsed="false">
      <c r="A339" s="8" t="s">
        <v>46</v>
      </c>
      <c r="B339" s="8" t="s">
        <v>807</v>
      </c>
      <c r="C339" s="19" t="n">
        <v>2</v>
      </c>
      <c r="D339" s="19" t="n">
        <v>74.91</v>
      </c>
      <c r="E339" s="19" t="n">
        <v>0</v>
      </c>
      <c r="F339" s="19" t="n">
        <v>0</v>
      </c>
      <c r="G339" s="8" t="n">
        <f aca="false">IFERROR(INDEX('TRANS'!$B:$B,MATCH($B339,'TRANS'!$A:$A,0)),IFERROR(INDEX('TRANS'!$B:$B,MATCH(TRIM(SUBSTITUTE($B339,CHAR(160)," ")),'TRANS'!$D:$D,0)),IFERROR(INDEX('Catalog'!$A:$A,MATCH($B339,'Catalog'!$B:$B,0)),IFERROR(INDEX('Catalog'!$A:$A,MATCH(TRIM(SUBSTITUTE($B339,CHAR(160)," ")),'Catalog'!$C:$C,0)),""))))</f>
        <v>4413394</v>
      </c>
      <c r="H339" s="8" t="str">
        <f aca="false">IFERROR(INDEX('TRANS'!$C:$C,MATCH($B339,'TRANS'!$A:$A,0)),IFERROR(INDEX('Catalog'!$B:$B,MATCH($G339,'Catalog'!$A:$A,0)),$B339))</f>
        <v>45EC S 'מגן ברך ארוך בז</v>
      </c>
      <c r="I339" s="8" t="str">
        <f aca="false">IF($G339="","Unmatched","Matched")</f>
        <v>Matched</v>
      </c>
      <c r="J339" s="8" t="n">
        <f aca="false">IF($G339&lt;&gt;"",$G339,$B339)</f>
        <v>4413394</v>
      </c>
      <c r="K339" s="8" t="str">
        <f aca="false">IF(COUNTIF($M$1:$M$10,$A339)&gt;0,"Y","N")</f>
        <v>Y</v>
      </c>
    </row>
    <row r="340" customFormat="false" ht="15" hidden="false" customHeight="true" outlineLevel="0" collapsed="false">
      <c r="A340" s="8" t="s">
        <v>46</v>
      </c>
      <c r="B340" s="8" t="s">
        <v>808</v>
      </c>
      <c r="C340" s="19" t="n">
        <v>6</v>
      </c>
      <c r="D340" s="19" t="n">
        <v>340.04</v>
      </c>
      <c r="E340" s="19" t="n">
        <v>0</v>
      </c>
      <c r="F340" s="19" t="n">
        <v>0</v>
      </c>
      <c r="G340" s="8" t="n">
        <f aca="false">IFERROR(INDEX('TRANS'!$B:$B,MATCH($B340,'TRANS'!$A:$A,0)),IFERROR(INDEX('TRANS'!$B:$B,MATCH(TRIM(SUBSTITUTE($B340,CHAR(160)," ")),'TRANS'!$D:$D,0)),IFERROR(INDEX('Catalog'!$A:$A,MATCH($B340,'Catalog'!$B:$B,0)),IFERROR(INDEX('Catalog'!$A:$A,MATCH(TRIM(SUBSTITUTE($B340,CHAR(160)," ")),'Catalog'!$C:$C,0)),""))))</f>
        <v>4413107</v>
      </c>
      <c r="H340" s="8" t="str">
        <f aca="false">IFERROR(INDEX('TRANS'!$C:$C,MATCH($B340,'TRANS'!$A:$A,0)),IFERROR(INDEX('Catalog'!$B:$B,MATCH($G340,'Catalog'!$A:$A,0)),$B340))</f>
        <v>48 L מגן ברך מחמם</v>
      </c>
      <c r="I340" s="8" t="str">
        <f aca="false">IF($G340="","Unmatched","Matched")</f>
        <v>Matched</v>
      </c>
      <c r="J340" s="8" t="n">
        <f aca="false">IF($G340&lt;&gt;"",$G340,$B340)</f>
        <v>4413107</v>
      </c>
      <c r="K340" s="8" t="str">
        <f aca="false">IF(COUNTIF($M$1:$M$10,$A340)&gt;0,"Y","N")</f>
        <v>Y</v>
      </c>
    </row>
    <row r="341" customFormat="false" ht="15" hidden="false" customHeight="true" outlineLevel="0" collapsed="false">
      <c r="A341" s="8" t="s">
        <v>46</v>
      </c>
      <c r="B341" s="8" t="s">
        <v>314</v>
      </c>
      <c r="C341" s="19" t="n">
        <v>2</v>
      </c>
      <c r="D341" s="19" t="n">
        <v>113.34</v>
      </c>
      <c r="E341" s="19" t="n">
        <v>0</v>
      </c>
      <c r="F341" s="19" t="n">
        <v>0</v>
      </c>
      <c r="G341" s="8" t="str">
        <f aca="false">IFERROR(INDEX('TRANS'!$B:$B,MATCH($B341,'TRANS'!$A:$A,0)),IFERROR(INDEX('TRANS'!$B:$B,MATCH(TRIM(SUBSTITUTE($B341,CHAR(160)," ")),'TRANS'!$D:$D,0)),IFERROR(INDEX('Catalog'!$A:$A,MATCH($B341,'Catalog'!$B:$B,0)),IFERROR(INDEX('Catalog'!$A:$A,MATCH(TRIM(SUBSTITUTE($B341,CHAR(160)," ")),'Catalog'!$C:$C,0)),""))))</f>
        <v/>
      </c>
      <c r="H341" s="8" t="str">
        <f aca="false">IFERROR(INDEX('TRANS'!$C:$C,MATCH($B341,'TRANS'!$A:$A,0)),IFERROR(INDEX('Catalog'!$B:$B,MATCH($G341,'Catalog'!$A:$A,0)),$B341))</f>
        <v>48 S</v>
      </c>
      <c r="I341" s="8" t="str">
        <f aca="false">IF($G341="","Unmatched","Matched")</f>
        <v>Unmatched</v>
      </c>
      <c r="J341" s="8" t="str">
        <f aca="false">IF($G341&lt;&gt;"",$G341,$B341)</f>
        <v>48 S</v>
      </c>
      <c r="K341" s="8" t="str">
        <f aca="false">IF(COUNTIF($M$1:$M$10,$A341)&gt;0,"Y","N")</f>
        <v>Y</v>
      </c>
    </row>
    <row r="342" customFormat="false" ht="15" hidden="false" customHeight="true" outlineLevel="0" collapsed="false">
      <c r="A342" s="8" t="s">
        <v>46</v>
      </c>
      <c r="B342" s="8" t="s">
        <v>809</v>
      </c>
      <c r="C342" s="19" t="n">
        <v>9</v>
      </c>
      <c r="D342" s="19" t="n">
        <v>309.77</v>
      </c>
      <c r="E342" s="19" t="n">
        <v>0</v>
      </c>
      <c r="F342" s="19" t="n">
        <v>0</v>
      </c>
      <c r="G342" s="8" t="n">
        <f aca="false">IFERROR(INDEX('TRANS'!$B:$B,MATCH($B342,'TRANS'!$A:$A,0)),IFERROR(INDEX('TRANS'!$B:$B,MATCH(TRIM(SUBSTITUTE($B342,CHAR(160)," ")),'TRANS'!$D:$D,0)),IFERROR(INDEX('Catalog'!$A:$A,MATCH($B342,'Catalog'!$B:$B,0)),IFERROR(INDEX('Catalog'!$A:$A,MATCH(TRIM(SUBSTITUTE($B342,CHAR(160)," ")),'Catalog'!$C:$C,0)),""))))</f>
        <v>4413112</v>
      </c>
      <c r="H342" s="8" t="str">
        <f aca="false">IFERROR(INDEX('TRANS'!$C:$C,MATCH($B342,'TRANS'!$A:$A,0)),IFERROR(INDEX('Catalog'!$B:$B,MATCH($G342,'Catalog'!$A:$A,0)),$B342))</f>
        <v>49  L מגן ירך</v>
      </c>
      <c r="I342" s="8" t="str">
        <f aca="false">IF($G342="","Unmatched","Matched")</f>
        <v>Matched</v>
      </c>
      <c r="J342" s="8" t="n">
        <f aca="false">IF($G342&lt;&gt;"",$G342,$B342)</f>
        <v>4413112</v>
      </c>
      <c r="K342" s="8" t="str">
        <f aca="false">IF(COUNTIF($M$1:$M$10,$A342)&gt;0,"Y","N")</f>
        <v>Y</v>
      </c>
    </row>
    <row r="343" customFormat="false" ht="15" hidden="false" customHeight="true" outlineLevel="0" collapsed="false">
      <c r="A343" s="8" t="s">
        <v>46</v>
      </c>
      <c r="B343" s="8" t="s">
        <v>810</v>
      </c>
      <c r="C343" s="19" t="n">
        <v>6</v>
      </c>
      <c r="D343" s="19" t="n">
        <v>210.64</v>
      </c>
      <c r="E343" s="19" t="n">
        <v>10</v>
      </c>
      <c r="F343" s="19" t="n">
        <v>351.07</v>
      </c>
      <c r="G343" s="8" t="n">
        <f aca="false">IFERROR(INDEX('TRANS'!$B:$B,MATCH($B343,'TRANS'!$A:$A,0)),IFERROR(INDEX('TRANS'!$B:$B,MATCH(TRIM(SUBSTITUTE($B343,CHAR(160)," ")),'TRANS'!$D:$D,0)),IFERROR(INDEX('Catalog'!$A:$A,MATCH($B343,'Catalog'!$B:$B,0)),IFERROR(INDEX('Catalog'!$A:$A,MATCH(TRIM(SUBSTITUTE($B343,CHAR(160)," ")),'Catalog'!$C:$C,0)),""))))</f>
        <v>4413113</v>
      </c>
      <c r="H343" s="8" t="str">
        <f aca="false">IFERROR(INDEX('TRANS'!$C:$C,MATCH($B343,'TRANS'!$A:$A,0)),IFERROR(INDEX('Catalog'!$B:$B,MATCH($G343,'Catalog'!$A:$A,0)),$B343))</f>
        <v>49  M מגן ירך</v>
      </c>
      <c r="I343" s="8" t="str">
        <f aca="false">IF($G343="","Unmatched","Matched")</f>
        <v>Matched</v>
      </c>
      <c r="J343" s="8" t="n">
        <f aca="false">IF($G343&lt;&gt;"",$G343,$B343)</f>
        <v>4413113</v>
      </c>
      <c r="K343" s="8" t="str">
        <f aca="false">IF(COUNTIF($M$1:$M$10,$A343)&gt;0,"Y","N")</f>
        <v>Y</v>
      </c>
    </row>
    <row r="344" customFormat="false" ht="15" hidden="false" customHeight="true" outlineLevel="0" collapsed="false">
      <c r="A344" s="8" t="s">
        <v>46</v>
      </c>
      <c r="B344" s="8" t="s">
        <v>811</v>
      </c>
      <c r="C344" s="19" t="n">
        <v>5</v>
      </c>
      <c r="D344" s="19" t="n">
        <v>175.54</v>
      </c>
      <c r="E344" s="19" t="n">
        <v>4</v>
      </c>
      <c r="F344" s="19" t="n">
        <v>140.43</v>
      </c>
      <c r="G344" s="8" t="n">
        <f aca="false">IFERROR(INDEX('TRANS'!$B:$B,MATCH($B344,'TRANS'!$A:$A,0)),IFERROR(INDEX('TRANS'!$B:$B,MATCH(TRIM(SUBSTITUTE($B344,CHAR(160)," ")),'TRANS'!$D:$D,0)),IFERROR(INDEX('Catalog'!$A:$A,MATCH($B344,'Catalog'!$B:$B,0)),IFERROR(INDEX('Catalog'!$A:$A,MATCH(TRIM(SUBSTITUTE($B344,CHAR(160)," ")),'Catalog'!$C:$C,0)),""))))</f>
        <v>4413111</v>
      </c>
      <c r="H344" s="8" t="str">
        <f aca="false">IFERROR(INDEX('TRANS'!$C:$C,MATCH($B344,'TRANS'!$A:$A,0)),IFERROR(INDEX('Catalog'!$B:$B,MATCH($G344,'Catalog'!$A:$A,0)),$B344))</f>
        <v>49  S מגן ירך</v>
      </c>
      <c r="I344" s="8" t="str">
        <f aca="false">IF($G344="","Unmatched","Matched")</f>
        <v>Matched</v>
      </c>
      <c r="J344" s="8" t="n">
        <f aca="false">IF($G344&lt;&gt;"",$G344,$B344)</f>
        <v>4413111</v>
      </c>
      <c r="K344" s="8" t="str">
        <f aca="false">IF(COUNTIF($M$1:$M$10,$A344)&gt;0,"Y","N")</f>
        <v>Y</v>
      </c>
    </row>
    <row r="345" customFormat="false" ht="15" hidden="false" customHeight="true" outlineLevel="0" collapsed="false">
      <c r="A345" s="8" t="s">
        <v>46</v>
      </c>
      <c r="B345" s="8" t="s">
        <v>812</v>
      </c>
      <c r="C345" s="19" t="n">
        <v>4</v>
      </c>
      <c r="D345" s="19" t="n">
        <v>140.43</v>
      </c>
      <c r="E345" s="19" t="n">
        <v>0</v>
      </c>
      <c r="F345" s="19" t="n">
        <v>0</v>
      </c>
      <c r="G345" s="8" t="n">
        <f aca="false">IFERROR(INDEX('TRANS'!$B:$B,MATCH($B345,'TRANS'!$A:$A,0)),IFERROR(INDEX('TRANS'!$B:$B,MATCH(TRIM(SUBSTITUTE($B345,CHAR(160)," ")),'TRANS'!$D:$D,0)),IFERROR(INDEX('Catalog'!$A:$A,MATCH($B345,'Catalog'!$B:$B,0)),IFERROR(INDEX('Catalog'!$A:$A,MATCH(TRIM(SUBSTITUTE($B345,CHAR(160)," ")),'Catalog'!$C:$C,0)),""))))</f>
        <v>4413114</v>
      </c>
      <c r="H345" s="8" t="str">
        <f aca="false">IFERROR(INDEX('TRANS'!$C:$C,MATCH($B345,'TRANS'!$A:$A,0)),IFERROR(INDEX('Catalog'!$B:$B,MATCH($G345,'Catalog'!$A:$A,0)),$B345))</f>
        <v>49 XL מגן ירך</v>
      </c>
      <c r="I345" s="8" t="str">
        <f aca="false">IF($G345="","Unmatched","Matched")</f>
        <v>Matched</v>
      </c>
      <c r="J345" s="8" t="n">
        <f aca="false">IF($G345&lt;&gt;"",$G345,$B345)</f>
        <v>4413114</v>
      </c>
      <c r="K345" s="8" t="str">
        <f aca="false">IF(COUNTIF($M$1:$M$10,$A345)&gt;0,"Y","N")</f>
        <v>Y</v>
      </c>
    </row>
    <row r="346" customFormat="false" ht="15" hidden="false" customHeight="true" outlineLevel="0" collapsed="false">
      <c r="A346" s="8" t="s">
        <v>46</v>
      </c>
      <c r="B346" s="8" t="s">
        <v>312</v>
      </c>
      <c r="C346" s="19" t="n">
        <v>0</v>
      </c>
      <c r="D346" s="19" t="n">
        <v>0</v>
      </c>
      <c r="E346" s="19" t="n">
        <v>1</v>
      </c>
      <c r="F346" s="19" t="n">
        <v>133.54</v>
      </c>
      <c r="G346" s="8" t="str">
        <f aca="false">IFERROR(INDEX('TRANS'!$B:$B,MATCH($B346,'TRANS'!$A:$A,0)),IFERROR(INDEX('TRANS'!$B:$B,MATCH(TRIM(SUBSTITUTE($B346,CHAR(160)," ")),'TRANS'!$D:$D,0)),IFERROR(INDEX('Catalog'!$A:$A,MATCH($B346,'Catalog'!$B:$B,0)),IFERROR(INDEX('Catalog'!$A:$A,MATCH(TRIM(SUBSTITUTE($B346,CHAR(160)," ")),'Catalog'!$C:$C,0)),""))))</f>
        <v/>
      </c>
      <c r="H346" s="8" t="str">
        <f aca="false">IFERROR(INDEX('TRANS'!$C:$C,MATCH($B346,'TRANS'!$A:$A,0)),IFERROR(INDEX('Catalog'!$B:$B,MATCH($G346,'Catalog'!$A:$A,0)),$B346))</f>
        <v>49PS XL</v>
      </c>
      <c r="I346" s="8" t="str">
        <f aca="false">IF($G346="","Unmatched","Matched")</f>
        <v>Unmatched</v>
      </c>
      <c r="J346" s="8" t="str">
        <f aca="false">IF($G346&lt;&gt;"",$G346,$B346)</f>
        <v>49PS XL</v>
      </c>
      <c r="K346" s="8" t="str">
        <f aca="false">IF(COUNTIF($M$1:$M$10,$A346)&gt;0,"Y","N")</f>
        <v>Y</v>
      </c>
    </row>
    <row r="347" customFormat="false" ht="15" hidden="false" customHeight="true" outlineLevel="0" collapsed="false">
      <c r="A347" s="8" t="s">
        <v>46</v>
      </c>
      <c r="B347" s="8" t="s">
        <v>209</v>
      </c>
      <c r="C347" s="19" t="n">
        <v>0</v>
      </c>
      <c r="D347" s="19" t="n">
        <v>0</v>
      </c>
      <c r="E347" s="19" t="n">
        <v>2</v>
      </c>
      <c r="F347" s="19" t="n">
        <v>222.07</v>
      </c>
      <c r="G347" s="8" t="str">
        <f aca="false">IFERROR(INDEX('TRANS'!$B:$B,MATCH($B347,'TRANS'!$A:$A,0)),IFERROR(INDEX('TRANS'!$B:$B,MATCH(TRIM(SUBSTITUTE($B347,CHAR(160)," ")),'TRANS'!$D:$D,0)),IFERROR(INDEX('Catalog'!$A:$A,MATCH($B347,'Catalog'!$B:$B,0)),IFERROR(INDEX('Catalog'!$A:$A,MATCH(TRIM(SUBSTITUTE($B347,CHAR(160)," ")),'Catalog'!$C:$C,0)),""))))</f>
        <v/>
      </c>
      <c r="H347" s="8" t="str">
        <f aca="false">IFERROR(INDEX('TRANS'!$C:$C,MATCH($B347,'TRANS'!$A:$A,0)),IFERROR(INDEX('Catalog'!$B:$B,MATCH($G347,'Catalog'!$A:$A,0)),$B347))</f>
        <v>50 S</v>
      </c>
      <c r="I347" s="8" t="str">
        <f aca="false">IF($G347="","Unmatched","Matched")</f>
        <v>Unmatched</v>
      </c>
      <c r="J347" s="8" t="str">
        <f aca="false">IF($G347&lt;&gt;"",$G347,$B347)</f>
        <v>50 S</v>
      </c>
      <c r="K347" s="8" t="str">
        <f aca="false">IF(COUNTIF($M$1:$M$10,$A347)&gt;0,"Y","N")</f>
        <v>Y</v>
      </c>
    </row>
    <row r="348" customFormat="false" ht="15" hidden="false" customHeight="true" outlineLevel="0" collapsed="false">
      <c r="A348" s="8" t="s">
        <v>46</v>
      </c>
      <c r="B348" s="8" t="s">
        <v>813</v>
      </c>
      <c r="C348" s="19" t="n">
        <v>4</v>
      </c>
      <c r="D348" s="19" t="n">
        <v>1111.42</v>
      </c>
      <c r="E348" s="19" t="n">
        <v>1</v>
      </c>
      <c r="F348" s="19" t="n">
        <v>0.01</v>
      </c>
      <c r="G348" s="8" t="n">
        <f aca="false">IFERROR(INDEX('TRANS'!$B:$B,MATCH($B348,'TRANS'!$A:$A,0)),IFERROR(INDEX('TRANS'!$B:$B,MATCH(TRIM(SUBSTITUTE($B348,CHAR(160)," ")),'TRANS'!$D:$D,0)),IFERROR(INDEX('Catalog'!$A:$A,MATCH($B348,'Catalog'!$B:$B,0)),IFERROR(INDEX('Catalog'!$A:$A,MATCH(TRIM(SUBSTITUTE($B348,CHAR(160)," ")),'Catalog'!$C:$C,0)),""))))</f>
        <v>4408071</v>
      </c>
      <c r="H348" s="8" t="str">
        <f aca="false">IFERROR(INDEX('TRANS'!$C:$C,MATCH($B348,'TRANS'!$A:$A,0)),IFERROR(INDEX('Catalog'!$B:$B,MATCH($G348,'Catalog'!$A:$A,0)),$B348))</f>
        <v>59D L חגורת שבר דו צדדי</v>
      </c>
      <c r="I348" s="8" t="str">
        <f aca="false">IF($G348="","Unmatched","Matched")</f>
        <v>Matched</v>
      </c>
      <c r="J348" s="8" t="n">
        <f aca="false">IF($G348&lt;&gt;"",$G348,$B348)</f>
        <v>4408071</v>
      </c>
      <c r="K348" s="8" t="str">
        <f aca="false">IF(COUNTIF($M$1:$M$10,$A348)&gt;0,"Y","N")</f>
        <v>Y</v>
      </c>
    </row>
    <row r="349" customFormat="false" ht="15" hidden="false" customHeight="true" outlineLevel="0" collapsed="false">
      <c r="A349" s="8" t="s">
        <v>46</v>
      </c>
      <c r="B349" s="8" t="s">
        <v>814</v>
      </c>
      <c r="C349" s="19" t="n">
        <v>1</v>
      </c>
      <c r="D349" s="19" t="n">
        <v>125</v>
      </c>
      <c r="E349" s="19" t="n">
        <v>4</v>
      </c>
      <c r="F349" s="19" t="n">
        <v>560</v>
      </c>
      <c r="G349" s="8" t="n">
        <f aca="false">IFERROR(INDEX('TRANS'!$B:$B,MATCH($B349,'TRANS'!$A:$A,0)),IFERROR(INDEX('TRANS'!$B:$B,MATCH(TRIM(SUBSTITUTE($B349,CHAR(160)," ")),'TRANS'!$D:$D,0)),IFERROR(INDEX('Catalog'!$A:$A,MATCH($B349,'Catalog'!$B:$B,0)),IFERROR(INDEX('Catalog'!$A:$A,MATCH(TRIM(SUBSTITUTE($B349,CHAR(160)," ")),'Catalog'!$C:$C,0)),""))))</f>
        <v>4408077</v>
      </c>
      <c r="H349" s="8" t="str">
        <f aca="false">IFERROR(INDEX('TRANS'!$C:$C,MATCH($B349,'TRANS'!$A:$A,0)),IFERROR(INDEX('Catalog'!$B:$B,MATCH($G349,'Catalog'!$A:$A,0)),$B349))</f>
        <v>59L M חגורת שבר לצד שמאל</v>
      </c>
      <c r="I349" s="8" t="str">
        <f aca="false">IF($G349="","Unmatched","Matched")</f>
        <v>Matched</v>
      </c>
      <c r="J349" s="8" t="n">
        <f aca="false">IF($G349&lt;&gt;"",$G349,$B349)</f>
        <v>4408077</v>
      </c>
      <c r="K349" s="8" t="str">
        <f aca="false">IF(COUNTIF($M$1:$M$10,$A349)&gt;0,"Y","N")</f>
        <v>Y</v>
      </c>
    </row>
    <row r="350" customFormat="false" ht="15" hidden="false" customHeight="true" outlineLevel="0" collapsed="false">
      <c r="A350" s="8" t="s">
        <v>46</v>
      </c>
      <c r="B350" s="8" t="s">
        <v>815</v>
      </c>
      <c r="C350" s="19" t="n">
        <v>4</v>
      </c>
      <c r="D350" s="19" t="n">
        <v>574.44</v>
      </c>
      <c r="E350" s="19" t="n">
        <v>2</v>
      </c>
      <c r="F350" s="19" t="n">
        <v>280</v>
      </c>
      <c r="G350" s="8" t="n">
        <f aca="false">IFERROR(INDEX('TRANS'!$B:$B,MATCH($B350,'TRANS'!$A:$A,0)),IFERROR(INDEX('TRANS'!$B:$B,MATCH(TRIM(SUBSTITUTE($B350,CHAR(160)," ")),'TRANS'!$D:$D,0)),IFERROR(INDEX('Catalog'!$A:$A,MATCH($B350,'Catalog'!$B:$B,0)),IFERROR(INDEX('Catalog'!$A:$A,MATCH(TRIM(SUBSTITUTE($B350,CHAR(160)," ")),'Catalog'!$C:$C,0)),""))))</f>
        <v>4408075</v>
      </c>
      <c r="H350" s="8" t="str">
        <f aca="false">IFERROR(INDEX('TRANS'!$C:$C,MATCH($B350,'TRANS'!$A:$A,0)),IFERROR(INDEX('Catalog'!$B:$B,MATCH($G350,'Catalog'!$A:$A,0)),$B350))</f>
        <v>59L S חגורת שבר לצד שמאל</v>
      </c>
      <c r="I350" s="8" t="str">
        <f aca="false">IF($G350="","Unmatched","Matched")</f>
        <v>Matched</v>
      </c>
      <c r="J350" s="8" t="n">
        <f aca="false">IF($G350&lt;&gt;"",$G350,$B350)</f>
        <v>4408075</v>
      </c>
      <c r="K350" s="8" t="str">
        <f aca="false">IF(COUNTIF($M$1:$M$10,$A350)&gt;0,"Y","N")</f>
        <v>Y</v>
      </c>
    </row>
    <row r="351" customFormat="false" ht="15" hidden="false" customHeight="true" outlineLevel="0" collapsed="false">
      <c r="A351" s="8" t="s">
        <v>46</v>
      </c>
      <c r="B351" s="8" t="s">
        <v>816</v>
      </c>
      <c r="C351" s="19" t="n">
        <v>2</v>
      </c>
      <c r="D351" s="19" t="n">
        <v>280.01</v>
      </c>
      <c r="E351" s="19" t="n">
        <v>0</v>
      </c>
      <c r="F351" s="19" t="n">
        <v>0</v>
      </c>
      <c r="G351" s="8" t="n">
        <f aca="false">IFERROR(INDEX('TRANS'!$B:$B,MATCH($B351,'TRANS'!$A:$A,0)),IFERROR(INDEX('TRANS'!$B:$B,MATCH(TRIM(SUBSTITUTE($B351,CHAR(160)," ")),'TRANS'!$D:$D,0)),IFERROR(INDEX('Catalog'!$A:$A,MATCH($B351,'Catalog'!$B:$B,0)),IFERROR(INDEX('Catalog'!$A:$A,MATCH(TRIM(SUBSTITUTE($B351,CHAR(160)," ")),'Catalog'!$C:$C,0)),""))))</f>
        <v>4408078</v>
      </c>
      <c r="H351" s="8" t="str">
        <f aca="false">IFERROR(INDEX('TRANS'!$C:$C,MATCH($B351,'TRANS'!$A:$A,0)),IFERROR(INDEX('Catalog'!$B:$B,MATCH($G351,'Catalog'!$A:$A,0)),$B351))</f>
        <v>59L XLחגורת שבר לצד שמאל</v>
      </c>
      <c r="I351" s="8" t="str">
        <f aca="false">IF($G351="","Unmatched","Matched")</f>
        <v>Matched</v>
      </c>
      <c r="J351" s="8" t="n">
        <f aca="false">IF($G351&lt;&gt;"",$G351,$B351)</f>
        <v>4408078</v>
      </c>
      <c r="K351" s="8" t="str">
        <f aca="false">IF(COUNTIF($M$1:$M$10,$A351)&gt;0,"Y","N")</f>
        <v>Y</v>
      </c>
    </row>
    <row r="352" customFormat="false" ht="15" hidden="false" customHeight="true" outlineLevel="0" collapsed="false">
      <c r="A352" s="8" t="s">
        <v>46</v>
      </c>
      <c r="B352" s="8" t="s">
        <v>817</v>
      </c>
      <c r="C352" s="19" t="n">
        <v>3</v>
      </c>
      <c r="D352" s="19" t="n">
        <v>405</v>
      </c>
      <c r="E352" s="19" t="n">
        <v>1</v>
      </c>
      <c r="F352" s="19" t="n">
        <v>34.24</v>
      </c>
      <c r="G352" s="8" t="n">
        <f aca="false">IFERROR(INDEX('TRANS'!$B:$B,MATCH($B352,'TRANS'!$A:$A,0)),IFERROR(INDEX('TRANS'!$B:$B,MATCH(TRIM(SUBSTITUTE($B352,CHAR(160)," ")),'TRANS'!$D:$D,0)),IFERROR(INDEX('Catalog'!$A:$A,MATCH($B352,'Catalog'!$B:$B,0)),IFERROR(INDEX('Catalog'!$A:$A,MATCH(TRIM(SUBSTITUTE($B352,CHAR(160)," ")),'Catalog'!$C:$C,0)),""))))</f>
        <v>4408080</v>
      </c>
      <c r="H352" s="8" t="str">
        <f aca="false">IFERROR(INDEX('TRANS'!$C:$C,MATCH($B352,'TRANS'!$A:$A,0)),IFERROR(INDEX('Catalog'!$B:$B,MATCH($G352,'Catalog'!$A:$A,0)),$B352))</f>
        <v>59R L חגורת שבר לצד ימין</v>
      </c>
      <c r="I352" s="8" t="str">
        <f aca="false">IF($G352="","Unmatched","Matched")</f>
        <v>Matched</v>
      </c>
      <c r="J352" s="8" t="n">
        <f aca="false">IF($G352&lt;&gt;"",$G352,$B352)</f>
        <v>4408080</v>
      </c>
      <c r="K352" s="8" t="str">
        <f aca="false">IF(COUNTIF($M$1:$M$10,$A352)&gt;0,"Y","N")</f>
        <v>Y</v>
      </c>
    </row>
    <row r="353" customFormat="false" ht="15" hidden="false" customHeight="true" outlineLevel="0" collapsed="false">
      <c r="A353" s="8" t="s">
        <v>46</v>
      </c>
      <c r="B353" s="8" t="s">
        <v>818</v>
      </c>
      <c r="C353" s="19" t="n">
        <v>1</v>
      </c>
      <c r="D353" s="19" t="n">
        <v>125</v>
      </c>
      <c r="E353" s="19" t="n">
        <v>2</v>
      </c>
      <c r="F353" s="19" t="n">
        <v>280</v>
      </c>
      <c r="G353" s="8" t="n">
        <f aca="false">IFERROR(INDEX('TRANS'!$B:$B,MATCH($B353,'TRANS'!$A:$A,0)),IFERROR(INDEX('TRANS'!$B:$B,MATCH(TRIM(SUBSTITUTE($B353,CHAR(160)," ")),'TRANS'!$D:$D,0)),IFERROR(INDEX('Catalog'!$A:$A,MATCH($B353,'Catalog'!$B:$B,0)),IFERROR(INDEX('Catalog'!$A:$A,MATCH(TRIM(SUBSTITUTE($B353,CHAR(160)," ")),'Catalog'!$C:$C,0)),""))))</f>
        <v>4408082</v>
      </c>
      <c r="H353" s="8" t="str">
        <f aca="false">IFERROR(INDEX('TRANS'!$C:$C,MATCH($B353,'TRANS'!$A:$A,0)),IFERROR(INDEX('Catalog'!$B:$B,MATCH($G353,'Catalog'!$A:$A,0)),$B353))</f>
        <v>59R XL חגורת שבר לצד ימין</v>
      </c>
      <c r="I353" s="8" t="str">
        <f aca="false">IF($G353="","Unmatched","Matched")</f>
        <v>Matched</v>
      </c>
      <c r="J353" s="8" t="n">
        <f aca="false">IF($G353&lt;&gt;"",$G353,$B353)</f>
        <v>4408082</v>
      </c>
      <c r="K353" s="8" t="str">
        <f aca="false">IF(COUNTIF($M$1:$M$10,$A353)&gt;0,"Y","N")</f>
        <v>Y</v>
      </c>
    </row>
    <row r="354" customFormat="false" ht="15" hidden="false" customHeight="true" outlineLevel="0" collapsed="false">
      <c r="A354" s="8" t="s">
        <v>46</v>
      </c>
      <c r="B354" s="8" t="s">
        <v>819</v>
      </c>
      <c r="C354" s="19" t="n">
        <v>0</v>
      </c>
      <c r="D354" s="19" t="n">
        <v>0</v>
      </c>
      <c r="E354" s="19" t="n">
        <v>3</v>
      </c>
      <c r="F354" s="19" t="n">
        <v>148.9</v>
      </c>
      <c r="G354" s="8" t="n">
        <f aca="false">IFERROR(INDEX('TRANS'!$B:$B,MATCH($B354,'TRANS'!$A:$A,0)),IFERROR(INDEX('TRANS'!$B:$B,MATCH(TRIM(SUBSTITUTE($B354,CHAR(160)," ")),'TRANS'!$D:$D,0)),IFERROR(INDEX('Catalog'!$A:$A,MATCH($B354,'Catalog'!$B:$B,0)),IFERROR(INDEX('Catalog'!$A:$A,MATCH(TRIM(SUBSTITUTE($B354,CHAR(160)," ")),'Catalog'!$C:$C,0)),""))))</f>
        <v>4418003</v>
      </c>
      <c r="H354" s="8" t="str">
        <f aca="false">IFERROR(INDEX('TRANS'!$C:$C,MATCH($B354,'TRANS'!$A:$A,0)),IFERROR(INDEX('Catalog'!$B:$B,MATCH($G354,'Catalog'!$A:$A,0)),$B354))</f>
        <v>60 XL צוארון ספוגי</v>
      </c>
      <c r="I354" s="8" t="str">
        <f aca="false">IF($G354="","Unmatched","Matched")</f>
        <v>Matched</v>
      </c>
      <c r="J354" s="8" t="n">
        <f aca="false">IF($G354&lt;&gt;"",$G354,$B354)</f>
        <v>4418003</v>
      </c>
      <c r="K354" s="8" t="str">
        <f aca="false">IF(COUNTIF($M$1:$M$10,$A354)&gt;0,"Y","N")</f>
        <v>Y</v>
      </c>
    </row>
    <row r="355" customFormat="false" ht="15" hidden="false" customHeight="true" outlineLevel="0" collapsed="false">
      <c r="A355" s="8" t="s">
        <v>46</v>
      </c>
      <c r="B355" s="8" t="s">
        <v>109</v>
      </c>
      <c r="C355" s="19" t="n">
        <v>0</v>
      </c>
      <c r="D355" s="19" t="n">
        <v>0</v>
      </c>
      <c r="E355" s="19" t="n">
        <v>2</v>
      </c>
      <c r="F355" s="19" t="n">
        <v>133.02</v>
      </c>
      <c r="G355" s="8" t="str">
        <f aca="false">IFERROR(INDEX('TRANS'!$B:$B,MATCH($B355,'TRANS'!$A:$A,0)),IFERROR(INDEX('TRANS'!$B:$B,MATCH(TRIM(SUBSTITUTE($B355,CHAR(160)," ")),'TRANS'!$D:$D,0)),IFERROR(INDEX('Catalog'!$A:$A,MATCH($B355,'Catalog'!$B:$B,0)),IFERROR(INDEX('Catalog'!$A:$A,MATCH(TRIM(SUBSTITUTE($B355,CHAR(160)," ")),'Catalog'!$C:$C,0)),""))))</f>
        <v/>
      </c>
      <c r="H355" s="8" t="str">
        <f aca="false">IFERROR(INDEX('TRANS'!$C:$C,MATCH($B355,'TRANS'!$A:$A,0)),IFERROR(INDEX('Catalog'!$B:$B,MATCH($G355,'Catalog'!$A:$A,0)),$B355))</f>
        <v>63 M</v>
      </c>
      <c r="I355" s="8" t="str">
        <f aca="false">IF($G355="","Unmatched","Matched")</f>
        <v>Unmatched</v>
      </c>
      <c r="J355" s="8" t="str">
        <f aca="false">IF($G355&lt;&gt;"",$G355,$B355)</f>
        <v>63 M</v>
      </c>
      <c r="K355" s="8" t="str">
        <f aca="false">IF(COUNTIF($M$1:$M$10,$A355)&gt;0,"Y","N")</f>
        <v>Y</v>
      </c>
    </row>
    <row r="356" customFormat="false" ht="15" hidden="false" customHeight="true" outlineLevel="0" collapsed="false">
      <c r="A356" s="8" t="s">
        <v>46</v>
      </c>
      <c r="B356" s="8" t="s">
        <v>157</v>
      </c>
      <c r="C356" s="19" t="n">
        <v>0</v>
      </c>
      <c r="D356" s="19" t="n">
        <v>0</v>
      </c>
      <c r="E356" s="19" t="n">
        <v>2</v>
      </c>
      <c r="F356" s="19" t="n">
        <v>133.02</v>
      </c>
      <c r="G356" s="8" t="str">
        <f aca="false">IFERROR(INDEX('TRANS'!$B:$B,MATCH($B356,'TRANS'!$A:$A,0)),IFERROR(INDEX('TRANS'!$B:$B,MATCH(TRIM(SUBSTITUTE($B356,CHAR(160)," ")),'TRANS'!$D:$D,0)),IFERROR(INDEX('Catalog'!$A:$A,MATCH($B356,'Catalog'!$B:$B,0)),IFERROR(INDEX('Catalog'!$A:$A,MATCH(TRIM(SUBSTITUTE($B356,CHAR(160)," ")),'Catalog'!$C:$C,0)),""))))</f>
        <v/>
      </c>
      <c r="H356" s="8" t="str">
        <f aca="false">IFERROR(INDEX('TRANS'!$C:$C,MATCH($B356,'TRANS'!$A:$A,0)),IFERROR(INDEX('Catalog'!$B:$B,MATCH($G356,'Catalog'!$A:$A,0)),$B356))</f>
        <v>63 S</v>
      </c>
      <c r="I356" s="8" t="str">
        <f aca="false">IF($G356="","Unmatched","Matched")</f>
        <v>Unmatched</v>
      </c>
      <c r="J356" s="8" t="str">
        <f aca="false">IF($G356&lt;&gt;"",$G356,$B356)</f>
        <v>63 S</v>
      </c>
      <c r="K356" s="8" t="str">
        <f aca="false">IF(COUNTIF($M$1:$M$10,$A356)&gt;0,"Y","N")</f>
        <v>Y</v>
      </c>
    </row>
    <row r="357" customFormat="false" ht="15" hidden="false" customHeight="true" outlineLevel="0" collapsed="false">
      <c r="A357" s="8" t="s">
        <v>46</v>
      </c>
      <c r="B357" s="8" t="s">
        <v>820</v>
      </c>
      <c r="C357" s="19" t="n">
        <v>0</v>
      </c>
      <c r="D357" s="19" t="n">
        <v>0</v>
      </c>
      <c r="E357" s="19" t="n">
        <v>2</v>
      </c>
      <c r="F357" s="19" t="n">
        <v>259.99</v>
      </c>
      <c r="G357" s="8" t="n">
        <f aca="false">IFERROR(INDEX('TRANS'!$B:$B,MATCH($B357,'TRANS'!$A:$A,0)),IFERROR(INDEX('TRANS'!$B:$B,MATCH(TRIM(SUBSTITUTE($B357,CHAR(160)," ")),'TRANS'!$D:$D,0)),IFERROR(INDEX('Catalog'!$A:$A,MATCH($B357,'Catalog'!$B:$B,0)),IFERROR(INDEX('Catalog'!$A:$A,MATCH(TRIM(SUBSTITUTE($B357,CHAR(160)," ")),'Catalog'!$C:$C,0)),""))))</f>
        <v>4413165</v>
      </c>
      <c r="H357" s="8" t="str">
        <f aca="false">IFERROR(INDEX('TRANS'!$C:$C,MATCH($B357,'TRANS'!$A:$A,0)),IFERROR(INDEX('Catalog'!$B:$B,MATCH($G357,'Catalog'!$A:$A,0)),$B357))</f>
        <v>74 L-XL מיצב כתפיים</v>
      </c>
      <c r="I357" s="8" t="str">
        <f aca="false">IF($G357="","Unmatched","Matched")</f>
        <v>Matched</v>
      </c>
      <c r="J357" s="8" t="n">
        <f aca="false">IF($G357&lt;&gt;"",$G357,$B357)</f>
        <v>4413165</v>
      </c>
      <c r="K357" s="8" t="str">
        <f aca="false">IF(COUNTIF($M$1:$M$10,$A357)&gt;0,"Y","N")</f>
        <v>Y</v>
      </c>
    </row>
    <row r="358" customFormat="false" ht="15" hidden="false" customHeight="true" outlineLevel="0" collapsed="false">
      <c r="A358" s="8" t="s">
        <v>46</v>
      </c>
      <c r="B358" s="8" t="s">
        <v>821</v>
      </c>
      <c r="C358" s="19" t="n">
        <v>0</v>
      </c>
      <c r="D358" s="19" t="n">
        <v>0</v>
      </c>
      <c r="E358" s="19" t="n">
        <v>2</v>
      </c>
      <c r="F358" s="19" t="n">
        <v>319.99</v>
      </c>
      <c r="G358" s="8" t="n">
        <f aca="false">IFERROR(INDEX('TRANS'!$B:$B,MATCH($B358,'TRANS'!$A:$A,0)),IFERROR(INDEX('TRANS'!$B:$B,MATCH(TRIM(SUBSTITUTE($B358,CHAR(160)," ")),'TRANS'!$D:$D,0)),IFERROR(INDEX('Catalog'!$A:$A,MATCH($B358,'Catalog'!$B:$B,0)),IFERROR(INDEX('Catalog'!$A:$A,MATCH(TRIM(SUBSTITUTE($B358,CHAR(160)," ")),'Catalog'!$C:$C,0)),""))))</f>
        <v>4413131</v>
      </c>
      <c r="H358" s="8" t="str">
        <f aca="false">IFERROR(INDEX('TRANS'!$C:$C,MATCH($B358,'TRANS'!$A:$A,0)),IFERROR(INDEX('Catalog'!$B:$B,MATCH($G358,'Catalog'!$A:$A,0)),$B358))</f>
        <v>76 Sמיישר כתף יציב יישור ג.רחב</v>
      </c>
      <c r="I358" s="8" t="str">
        <f aca="false">IF($G358="","Unmatched","Matched")</f>
        <v>Matched</v>
      </c>
      <c r="J358" s="8" t="n">
        <f aca="false">IF($G358&lt;&gt;"",$G358,$B358)</f>
        <v>4413131</v>
      </c>
      <c r="K358" s="8" t="str">
        <f aca="false">IF(COUNTIF($M$1:$M$10,$A358)&gt;0,"Y","N")</f>
        <v>Y</v>
      </c>
    </row>
    <row r="359" customFormat="false" ht="15" hidden="false" customHeight="true" outlineLevel="0" collapsed="false">
      <c r="A359" s="8" t="s">
        <v>46</v>
      </c>
      <c r="B359" s="8" t="s">
        <v>526</v>
      </c>
      <c r="C359" s="19" t="n">
        <v>0</v>
      </c>
      <c r="D359" s="19" t="n">
        <v>0</v>
      </c>
      <c r="E359" s="19" t="n">
        <v>-1</v>
      </c>
      <c r="F359" s="19" t="n">
        <v>-350</v>
      </c>
      <c r="G359" s="8" t="str">
        <f aca="false">IFERROR(INDEX('TRANS'!$B:$B,MATCH($B359,'TRANS'!$A:$A,0)),IFERROR(INDEX('TRANS'!$B:$B,MATCH(TRIM(SUBSTITUTE($B359,CHAR(160)," ")),'TRANS'!$D:$D,0)),IFERROR(INDEX('Catalog'!$A:$A,MATCH($B359,'Catalog'!$B:$B,0)),IFERROR(INDEX('Catalog'!$A:$A,MATCH(TRIM(SUBSTITUTE($B359,CHAR(160)," ")),'Catalog'!$C:$C,0)),""))))</f>
        <v/>
      </c>
      <c r="H359" s="8" t="str">
        <f aca="false">IFERROR(INDEX('TRANS'!$C:$C,MATCH($B359,'TRANS'!$A:$A,0)),IFERROR(INDEX('Catalog'!$B:$B,MATCH($G359,'Catalog'!$A:$A,0)),$B359))</f>
        <v>776 XL</v>
      </c>
      <c r="I359" s="8" t="str">
        <f aca="false">IF($G359="","Unmatched","Matched")</f>
        <v>Unmatched</v>
      </c>
      <c r="J359" s="8" t="str">
        <f aca="false">IF($G359&lt;&gt;"",$G359,$B359)</f>
        <v>776 XL</v>
      </c>
      <c r="K359" s="8" t="str">
        <f aca="false">IF(COUNTIF($M$1:$M$10,$A359)&gt;0,"Y","N")</f>
        <v>Y</v>
      </c>
    </row>
    <row r="360" customFormat="false" ht="15" hidden="false" customHeight="true" outlineLevel="0" collapsed="false">
      <c r="A360" s="8" t="s">
        <v>46</v>
      </c>
      <c r="B360" s="8" t="s">
        <v>527</v>
      </c>
      <c r="C360" s="19" t="n">
        <v>0</v>
      </c>
      <c r="D360" s="19" t="n">
        <v>0</v>
      </c>
      <c r="E360" s="19" t="n">
        <v>-1</v>
      </c>
      <c r="F360" s="19" t="n">
        <v>-449.46</v>
      </c>
      <c r="G360" s="8" t="str">
        <f aca="false">IFERROR(INDEX('TRANS'!$B:$B,MATCH($B360,'TRANS'!$A:$A,0)),IFERROR(INDEX('TRANS'!$B:$B,MATCH(TRIM(SUBSTITUTE($B360,CHAR(160)," ")),'TRANS'!$D:$D,0)),IFERROR(INDEX('Catalog'!$A:$A,MATCH($B360,'Catalog'!$B:$B,0)),IFERROR(INDEX('Catalog'!$A:$A,MATCH(TRIM(SUBSTITUTE($B360,CHAR(160)," ")),'Catalog'!$C:$C,0)),""))))</f>
        <v/>
      </c>
      <c r="H360" s="8" t="str">
        <f aca="false">IFERROR(INDEX('TRANS'!$C:$C,MATCH($B360,'TRANS'!$A:$A,0)),IFERROR(INDEX('Catalog'!$B:$B,MATCH($G360,'Catalog'!$A:$A,0)),$B360))</f>
        <v>777 XXL</v>
      </c>
      <c r="I360" s="8" t="str">
        <f aca="false">IF($G360="","Unmatched","Matched")</f>
        <v>Unmatched</v>
      </c>
      <c r="J360" s="8" t="str">
        <f aca="false">IF($G360&lt;&gt;"",$G360,$B360)</f>
        <v>777 XXL</v>
      </c>
      <c r="K360" s="8" t="str">
        <f aca="false">IF(COUNTIF($M$1:$M$10,$A360)&gt;0,"Y","N")</f>
        <v>Y</v>
      </c>
    </row>
    <row r="361" customFormat="false" ht="15" hidden="false" customHeight="true" outlineLevel="0" collapsed="false">
      <c r="A361" s="8" t="s">
        <v>46</v>
      </c>
      <c r="B361" s="8" t="s">
        <v>528</v>
      </c>
      <c r="C361" s="19" t="n">
        <v>0</v>
      </c>
      <c r="D361" s="19" t="n">
        <v>0</v>
      </c>
      <c r="E361" s="19" t="n">
        <v>-1</v>
      </c>
      <c r="F361" s="19" t="n">
        <v>-449.46</v>
      </c>
      <c r="G361" s="8" t="str">
        <f aca="false">IFERROR(INDEX('TRANS'!$B:$B,MATCH($B361,'TRANS'!$A:$A,0)),IFERROR(INDEX('TRANS'!$B:$B,MATCH(TRIM(SUBSTITUTE($B361,CHAR(160)," ")),'TRANS'!$D:$D,0)),IFERROR(INDEX('Catalog'!$A:$A,MATCH($B361,'Catalog'!$B:$B,0)),IFERROR(INDEX('Catalog'!$A:$A,MATCH(TRIM(SUBSTITUTE($B361,CHAR(160)," ")),'Catalog'!$C:$C,0)),""))))</f>
        <v/>
      </c>
      <c r="H361" s="8" t="str">
        <f aca="false">IFERROR(INDEX('TRANS'!$C:$C,MATCH($B361,'TRANS'!$A:$A,0)),IFERROR(INDEX('Catalog'!$B:$B,MATCH($G361,'Catalog'!$A:$A,0)),$B361))</f>
        <v>777-L-XL</v>
      </c>
      <c r="I361" s="8" t="str">
        <f aca="false">IF($G361="","Unmatched","Matched")</f>
        <v>Unmatched</v>
      </c>
      <c r="J361" s="8" t="str">
        <f aca="false">IF($G361&lt;&gt;"",$G361,$B361)</f>
        <v>777-L-XL</v>
      </c>
      <c r="K361" s="8" t="str">
        <f aca="false">IF(COUNTIF($M$1:$M$10,$A361)&gt;0,"Y","N")</f>
        <v>Y</v>
      </c>
    </row>
    <row r="362" customFormat="false" ht="15" hidden="false" customHeight="true" outlineLevel="0" collapsed="false">
      <c r="A362" s="8" t="s">
        <v>46</v>
      </c>
      <c r="B362" s="8" t="s">
        <v>535</v>
      </c>
      <c r="C362" s="19" t="n">
        <v>0</v>
      </c>
      <c r="D362" s="19" t="n">
        <v>0</v>
      </c>
      <c r="E362" s="19" t="n">
        <v>-2</v>
      </c>
      <c r="F362" s="19" t="n">
        <v>-898.92</v>
      </c>
      <c r="G362" s="8" t="str">
        <f aca="false">IFERROR(INDEX('TRANS'!$B:$B,MATCH($B362,'TRANS'!$A:$A,0)),IFERROR(INDEX('TRANS'!$B:$B,MATCH(TRIM(SUBSTITUTE($B362,CHAR(160)," ")),'TRANS'!$D:$D,0)),IFERROR(INDEX('Catalog'!$A:$A,MATCH($B362,'Catalog'!$B:$B,0)),IFERROR(INDEX('Catalog'!$A:$A,MATCH(TRIM(SUBSTITUTE($B362,CHAR(160)," ")),'Catalog'!$C:$C,0)),""))))</f>
        <v/>
      </c>
      <c r="H362" s="8" t="str">
        <f aca="false">IFERROR(INDEX('TRANS'!$C:$C,MATCH($B362,'TRANS'!$A:$A,0)),IFERROR(INDEX('Catalog'!$B:$B,MATCH($G362,'Catalog'!$A:$A,0)),$B362))</f>
        <v>777-S-M</v>
      </c>
      <c r="I362" s="8" t="str">
        <f aca="false">IF($G362="","Unmatched","Matched")</f>
        <v>Unmatched</v>
      </c>
      <c r="J362" s="8" t="str">
        <f aca="false">IF($G362&lt;&gt;"",$G362,$B362)</f>
        <v>777-S-M</v>
      </c>
      <c r="K362" s="8" t="str">
        <f aca="false">IF(COUNTIF($M$1:$M$10,$A362)&gt;0,"Y","N")</f>
        <v>Y</v>
      </c>
    </row>
    <row r="363" customFormat="false" ht="15" hidden="false" customHeight="true" outlineLevel="0" collapsed="false">
      <c r="A363" s="8" t="s">
        <v>46</v>
      </c>
      <c r="B363" s="8" t="s">
        <v>321</v>
      </c>
      <c r="C363" s="19" t="n">
        <v>0</v>
      </c>
      <c r="D363" s="19" t="n">
        <v>0</v>
      </c>
      <c r="E363" s="19" t="n">
        <v>1</v>
      </c>
      <c r="F363" s="19" t="n">
        <v>165.41</v>
      </c>
      <c r="G363" s="8" t="str">
        <f aca="false">IFERROR(INDEX('TRANS'!$B:$B,MATCH($B363,'TRANS'!$A:$A,0)),IFERROR(INDEX('TRANS'!$B:$B,MATCH(TRIM(SUBSTITUTE($B363,CHAR(160)," ")),'TRANS'!$D:$D,0)),IFERROR(INDEX('Catalog'!$A:$A,MATCH($B363,'Catalog'!$B:$B,0)),IFERROR(INDEX('Catalog'!$A:$A,MATCH(TRIM(SUBSTITUTE($B363,CHAR(160)," ")),'Catalog'!$C:$C,0)),""))))</f>
        <v/>
      </c>
      <c r="H363" s="8" t="str">
        <f aca="false">IFERROR(INDEX('TRANS'!$C:$C,MATCH($B363,'TRANS'!$A:$A,0)),IFERROR(INDEX('Catalog'!$B:$B,MATCH($G363,'Catalog'!$A:$A,0)),$B363))</f>
        <v>78A L</v>
      </c>
      <c r="I363" s="8" t="str">
        <f aca="false">IF($G363="","Unmatched","Matched")</f>
        <v>Unmatched</v>
      </c>
      <c r="J363" s="8" t="str">
        <f aca="false">IF($G363&lt;&gt;"",$G363,$B363)</f>
        <v>78A L</v>
      </c>
      <c r="K363" s="8" t="str">
        <f aca="false">IF(COUNTIF($M$1:$M$10,$A363)&gt;0,"Y","N")</f>
        <v>Y</v>
      </c>
    </row>
    <row r="364" customFormat="false" ht="15" hidden="false" customHeight="true" outlineLevel="0" collapsed="false">
      <c r="A364" s="8" t="s">
        <v>46</v>
      </c>
      <c r="B364" s="8" t="s">
        <v>322</v>
      </c>
      <c r="C364" s="19" t="n">
        <v>0</v>
      </c>
      <c r="D364" s="19" t="n">
        <v>0</v>
      </c>
      <c r="E364" s="19" t="n">
        <v>1</v>
      </c>
      <c r="F364" s="19" t="n">
        <v>165.41</v>
      </c>
      <c r="G364" s="8" t="str">
        <f aca="false">IFERROR(INDEX('TRANS'!$B:$B,MATCH($B364,'TRANS'!$A:$A,0)),IFERROR(INDEX('TRANS'!$B:$B,MATCH(TRIM(SUBSTITUTE($B364,CHAR(160)," ")),'TRANS'!$D:$D,0)),IFERROR(INDEX('Catalog'!$A:$A,MATCH($B364,'Catalog'!$B:$B,0)),IFERROR(INDEX('Catalog'!$A:$A,MATCH(TRIM(SUBSTITUTE($B364,CHAR(160)," ")),'Catalog'!$C:$C,0)),""))))</f>
        <v/>
      </c>
      <c r="H364" s="8" t="str">
        <f aca="false">IFERROR(INDEX('TRANS'!$C:$C,MATCH($B364,'TRANS'!$A:$A,0)),IFERROR(INDEX('Catalog'!$B:$B,MATCH($G364,'Catalog'!$A:$A,0)),$B364))</f>
        <v>78A M</v>
      </c>
      <c r="I364" s="8" t="str">
        <f aca="false">IF($G364="","Unmatched","Matched")</f>
        <v>Unmatched</v>
      </c>
      <c r="J364" s="8" t="str">
        <f aca="false">IF($G364&lt;&gt;"",$G364,$B364)</f>
        <v>78A M</v>
      </c>
      <c r="K364" s="8" t="str">
        <f aca="false">IF(COUNTIF($M$1:$M$10,$A364)&gt;0,"Y","N")</f>
        <v>Y</v>
      </c>
    </row>
    <row r="365" customFormat="false" ht="15" hidden="false" customHeight="true" outlineLevel="0" collapsed="false">
      <c r="A365" s="8" t="s">
        <v>46</v>
      </c>
      <c r="B365" s="8" t="s">
        <v>420</v>
      </c>
      <c r="C365" s="19" t="n">
        <v>3</v>
      </c>
      <c r="D365" s="19" t="n">
        <v>355.18</v>
      </c>
      <c r="E365" s="19" t="n">
        <v>0</v>
      </c>
      <c r="F365" s="19" t="n">
        <v>0</v>
      </c>
      <c r="G365" s="8" t="str">
        <f aca="false">IFERROR(INDEX('TRANS'!$B:$B,MATCH($B365,'TRANS'!$A:$A,0)),IFERROR(INDEX('TRANS'!$B:$B,MATCH(TRIM(SUBSTITUTE($B365,CHAR(160)," ")),'TRANS'!$D:$D,0)),IFERROR(INDEX('Catalog'!$A:$A,MATCH($B365,'Catalog'!$B:$B,0)),IFERROR(INDEX('Catalog'!$A:$A,MATCH(TRIM(SUBSTITUTE($B365,CHAR(160)," ")),'Catalog'!$C:$C,0)),""))))</f>
        <v/>
      </c>
      <c r="H365" s="8" t="str">
        <f aca="false">IFERROR(INDEX('TRANS'!$C:$C,MATCH($B365,'TRANS'!$A:$A,0)),IFERROR(INDEX('Catalog'!$B:$B,MATCH($G365,'Catalog'!$A:$A,0)),$B365))</f>
        <v>78AB L</v>
      </c>
      <c r="I365" s="8" t="str">
        <f aca="false">IF($G365="","Unmatched","Matched")</f>
        <v>Unmatched</v>
      </c>
      <c r="J365" s="8" t="str">
        <f aca="false">IF($G365&lt;&gt;"",$G365,$B365)</f>
        <v>78AB L</v>
      </c>
      <c r="K365" s="8" t="str">
        <f aca="false">IF(COUNTIF($M$1:$M$10,$A365)&gt;0,"Y","N")</f>
        <v>Y</v>
      </c>
    </row>
    <row r="366" customFormat="false" ht="15" hidden="false" customHeight="true" outlineLevel="0" collapsed="false">
      <c r="A366" s="8" t="s">
        <v>46</v>
      </c>
      <c r="B366" s="8" t="s">
        <v>421</v>
      </c>
      <c r="C366" s="19" t="n">
        <v>3</v>
      </c>
      <c r="D366" s="19" t="n">
        <v>355.16</v>
      </c>
      <c r="E366" s="19" t="n">
        <v>0</v>
      </c>
      <c r="F366" s="19" t="n">
        <v>0</v>
      </c>
      <c r="G366" s="8" t="str">
        <f aca="false">IFERROR(INDEX('TRANS'!$B:$B,MATCH($B366,'TRANS'!$A:$A,0)),IFERROR(INDEX('TRANS'!$B:$B,MATCH(TRIM(SUBSTITUTE($B366,CHAR(160)," ")),'TRANS'!$D:$D,0)),IFERROR(INDEX('Catalog'!$A:$A,MATCH($B366,'Catalog'!$B:$B,0)),IFERROR(INDEX('Catalog'!$A:$A,MATCH(TRIM(SUBSTITUTE($B366,CHAR(160)," ")),'Catalog'!$C:$C,0)),""))))</f>
        <v/>
      </c>
      <c r="H366" s="8" t="str">
        <f aca="false">IFERROR(INDEX('TRANS'!$C:$C,MATCH($B366,'TRANS'!$A:$A,0)),IFERROR(INDEX('Catalog'!$B:$B,MATCH($G366,'Catalog'!$A:$A,0)),$B366))</f>
        <v>78AB XL</v>
      </c>
      <c r="I366" s="8" t="str">
        <f aca="false">IF($G366="","Unmatched","Matched")</f>
        <v>Unmatched</v>
      </c>
      <c r="J366" s="8" t="str">
        <f aca="false">IF($G366&lt;&gt;"",$G366,$B366)</f>
        <v>78AB XL</v>
      </c>
      <c r="K366" s="8" t="str">
        <f aca="false">IF(COUNTIF($M$1:$M$10,$A366)&gt;0,"Y","N")</f>
        <v>Y</v>
      </c>
    </row>
    <row r="367" customFormat="false" ht="15" hidden="false" customHeight="true" outlineLevel="0" collapsed="false">
      <c r="A367" s="8" t="s">
        <v>46</v>
      </c>
      <c r="B367" s="8" t="s">
        <v>822</v>
      </c>
      <c r="C367" s="19" t="n">
        <v>0</v>
      </c>
      <c r="D367" s="19" t="n">
        <v>0</v>
      </c>
      <c r="E367" s="19" t="n">
        <v>7</v>
      </c>
      <c r="F367" s="19" t="n">
        <v>75.01</v>
      </c>
      <c r="G367" s="8" t="n">
        <f aca="false">IFERROR(INDEX('TRANS'!$B:$B,MATCH($B367,'TRANS'!$A:$A,0)),IFERROR(INDEX('TRANS'!$B:$B,MATCH(TRIM(SUBSTITUTE($B367,CHAR(160)," ")),'TRANS'!$D:$D,0)),IFERROR(INDEX('Catalog'!$A:$A,MATCH($B367,'Catalog'!$B:$B,0)),IFERROR(INDEX('Catalog'!$A:$A,MATCH(TRIM(SUBSTITUTE($B367,CHAR(160)," ")),'Catalog'!$C:$C,0)),""))))</f>
        <v>4409010</v>
      </c>
      <c r="H367" s="8" t="str">
        <f aca="false">IFERROR(INDEX('TRANS'!$C:$C,MATCH($B367,'TRANS'!$A:$A,0)),IFERROR(INDEX('Catalog'!$B:$B,MATCH($G367,'Catalog'!$A:$A,0)),$B367))</f>
        <v>804AT-W      טייפ חבישה לספורט</v>
      </c>
      <c r="I367" s="8" t="str">
        <f aca="false">IF($G367="","Unmatched","Matched")</f>
        <v>Matched</v>
      </c>
      <c r="J367" s="8" t="n">
        <f aca="false">IF($G367&lt;&gt;"",$G367,$B367)</f>
        <v>4409010</v>
      </c>
      <c r="K367" s="8" t="str">
        <f aca="false">IF(COUNTIF($M$1:$M$10,$A367)&gt;0,"Y","N")</f>
        <v>Y</v>
      </c>
    </row>
    <row r="368" customFormat="false" ht="15" hidden="false" customHeight="true" outlineLevel="0" collapsed="false">
      <c r="A368" s="8" t="s">
        <v>46</v>
      </c>
      <c r="B368" s="8" t="s">
        <v>823</v>
      </c>
      <c r="C368" s="19" t="n">
        <v>18</v>
      </c>
      <c r="D368" s="19" t="n">
        <v>207.33</v>
      </c>
      <c r="E368" s="19" t="n">
        <v>0</v>
      </c>
      <c r="F368" s="19" t="n">
        <v>0</v>
      </c>
      <c r="G368" s="8" t="n">
        <f aca="false">IFERROR(INDEX('TRANS'!$B:$B,MATCH($B368,'TRANS'!$A:$A,0)),IFERROR(INDEX('TRANS'!$B:$B,MATCH(TRIM(SUBSTITUTE($B368,CHAR(160)," ")),'TRANS'!$D:$D,0)),IFERROR(INDEX('Catalog'!$A:$A,MATCH($B368,'Catalog'!$B:$B,0)),IFERROR(INDEX('Catalog'!$A:$A,MATCH(TRIM(SUBSTITUTE($B368,CHAR(160)," ")),'Catalog'!$C:$C,0)),""))))</f>
        <v>4422024</v>
      </c>
      <c r="H368" s="8" t="str">
        <f aca="false">IFERROR(INDEX('TRANS'!$C:$C,MATCH($B368,'TRANS'!$A:$A,0)),IFERROR(INDEX('Catalog'!$B:$B,MATCH($G368,'Catalog'!$A:$A,0)),$B368))</f>
        <v>806CB-BLACK      תחבושת א.נצמ</v>
      </c>
      <c r="I368" s="8" t="str">
        <f aca="false">IF($G368="","Unmatched","Matched")</f>
        <v>Matched</v>
      </c>
      <c r="J368" s="8" t="n">
        <f aca="false">IF($G368&lt;&gt;"",$G368,$B368)</f>
        <v>4422024</v>
      </c>
      <c r="K368" s="8" t="str">
        <f aca="false">IF(COUNTIF($M$1:$M$10,$A368)&gt;0,"Y","N")</f>
        <v>Y</v>
      </c>
    </row>
    <row r="369" customFormat="false" ht="15" hidden="false" customHeight="true" outlineLevel="0" collapsed="false">
      <c r="A369" s="8" t="s">
        <v>46</v>
      </c>
      <c r="B369" s="8" t="s">
        <v>824</v>
      </c>
      <c r="C369" s="19" t="n">
        <v>13</v>
      </c>
      <c r="D369" s="19" t="n">
        <v>131.69</v>
      </c>
      <c r="E369" s="19" t="n">
        <v>1</v>
      </c>
      <c r="F369" s="19" t="n">
        <v>0.01</v>
      </c>
      <c r="G369" s="8" t="n">
        <f aca="false">IFERROR(INDEX('TRANS'!$B:$B,MATCH($B369,'TRANS'!$A:$A,0)),IFERROR(INDEX('TRANS'!$B:$B,MATCH(TRIM(SUBSTITUTE($B369,CHAR(160)," ")),'TRANS'!$D:$D,0)),IFERROR(INDEX('Catalog'!$A:$A,MATCH($B369,'Catalog'!$B:$B,0)),IFERROR(INDEX('Catalog'!$A:$A,MATCH(TRIM(SUBSTITUTE($B369,CHAR(160)," ")),'Catalog'!$C:$C,0)),""))))</f>
        <v>4422023</v>
      </c>
      <c r="H369" s="8" t="str">
        <f aca="false">IFERROR(INDEX('TRANS'!$C:$C,MATCH($B369,'TRANS'!$A:$A,0)),IFERROR(INDEX('Catalog'!$B:$B,MATCH($G369,'Catalog'!$A:$A,0)),$B369))</f>
        <v>806CB-BEIGE      תחבושת א.נצמ</v>
      </c>
      <c r="I369" s="8" t="str">
        <f aca="false">IF($G369="","Unmatched","Matched")</f>
        <v>Matched</v>
      </c>
      <c r="J369" s="8" t="n">
        <f aca="false">IF($G369&lt;&gt;"",$G369,$B369)</f>
        <v>4422023</v>
      </c>
      <c r="K369" s="8" t="str">
        <f aca="false">IF(COUNTIF($M$1:$M$10,$A369)&gt;0,"Y","N")</f>
        <v>Y</v>
      </c>
    </row>
    <row r="370" customFormat="false" ht="15" hidden="false" customHeight="true" outlineLevel="0" collapsed="false">
      <c r="A370" s="8" t="s">
        <v>46</v>
      </c>
      <c r="B370" s="8" t="s">
        <v>825</v>
      </c>
      <c r="C370" s="19" t="n">
        <v>15</v>
      </c>
      <c r="D370" s="19" t="n">
        <v>190.79</v>
      </c>
      <c r="E370" s="19" t="n">
        <v>0</v>
      </c>
      <c r="F370" s="19" t="n">
        <v>0</v>
      </c>
      <c r="G370" s="8" t="n">
        <f aca="false">IFERROR(INDEX('TRANS'!$B:$B,MATCH($B370,'TRANS'!$A:$A,0)),IFERROR(INDEX('TRANS'!$B:$B,MATCH(TRIM(SUBSTITUTE($B370,CHAR(160)," ")),'TRANS'!$D:$D,0)),IFERROR(INDEX('Catalog'!$A:$A,MATCH($B370,'Catalog'!$B:$B,0)),IFERROR(INDEX('Catalog'!$A:$A,MATCH(TRIM(SUBSTITUTE($B370,CHAR(160)," ")),'Catalog'!$C:$C,0)),""))))</f>
        <v>4422025</v>
      </c>
      <c r="H370" s="8" t="str">
        <f aca="false">IFERROR(INDEX('TRANS'!$C:$C,MATCH($B370,'TRANS'!$A:$A,0)),IFERROR(INDEX('Catalog'!$B:$B,MATCH($G370,'Catalog'!$A:$A,0)),$B370))</f>
        <v>806CB-GREEN      תחבושת א.נצמ</v>
      </c>
      <c r="I370" s="8" t="str">
        <f aca="false">IF($G370="","Unmatched","Matched")</f>
        <v>Matched</v>
      </c>
      <c r="J370" s="8" t="n">
        <f aca="false">IF($G370&lt;&gt;"",$G370,$B370)</f>
        <v>4422025</v>
      </c>
      <c r="K370" s="8" t="str">
        <f aca="false">IF(COUNTIF($M$1:$M$10,$A370)&gt;0,"Y","N")</f>
        <v>Y</v>
      </c>
    </row>
    <row r="371" customFormat="false" ht="15" hidden="false" customHeight="true" outlineLevel="0" collapsed="false">
      <c r="A371" s="8" t="s">
        <v>46</v>
      </c>
      <c r="B371" s="8" t="s">
        <v>826</v>
      </c>
      <c r="C371" s="19" t="n">
        <v>7</v>
      </c>
      <c r="D371" s="19" t="n">
        <v>91.33</v>
      </c>
      <c r="E371" s="19" t="n">
        <v>0</v>
      </c>
      <c r="F371" s="19" t="n">
        <v>0</v>
      </c>
      <c r="G371" s="8" t="n">
        <f aca="false">IFERROR(INDEX('TRANS'!$B:$B,MATCH($B371,'TRANS'!$A:$A,0)),IFERROR(INDEX('TRANS'!$B:$B,MATCH(TRIM(SUBSTITUTE($B371,CHAR(160)," ")),'TRANS'!$D:$D,0)),IFERROR(INDEX('Catalog'!$A:$A,MATCH($B371,'Catalog'!$B:$B,0)),IFERROR(INDEX('Catalog'!$A:$A,MATCH(TRIM(SUBSTITUTE($B371,CHAR(160)," ")),'Catalog'!$C:$C,0)),""))))</f>
        <v>4422026</v>
      </c>
      <c r="H371" s="8" t="str">
        <f aca="false">IFERROR(INDEX('TRANS'!$C:$C,MATCH($B371,'TRANS'!$A:$A,0)),IFERROR(INDEX('Catalog'!$B:$B,MATCH($G371,'Catalog'!$A:$A,0)),$B371))</f>
        <v>806CB-PINK       תחבושת א.נצמ</v>
      </c>
      <c r="I371" s="8" t="str">
        <f aca="false">IF($G371="","Unmatched","Matched")</f>
        <v>Matched</v>
      </c>
      <c r="J371" s="8" t="n">
        <f aca="false">IF($G371&lt;&gt;"",$G371,$B371)</f>
        <v>4422026</v>
      </c>
      <c r="K371" s="8" t="str">
        <f aca="false">IF(COUNTIF($M$1:$M$10,$A371)&gt;0,"Y","N")</f>
        <v>Y</v>
      </c>
    </row>
    <row r="372" customFormat="false" ht="15" hidden="false" customHeight="true" outlineLevel="0" collapsed="false">
      <c r="A372" s="8" t="s">
        <v>46</v>
      </c>
      <c r="B372" s="8" t="s">
        <v>827</v>
      </c>
      <c r="C372" s="19" t="n">
        <v>2</v>
      </c>
      <c r="D372" s="19" t="n">
        <v>139.99</v>
      </c>
      <c r="E372" s="19" t="n">
        <v>2</v>
      </c>
      <c r="F372" s="19" t="n">
        <v>139.99</v>
      </c>
      <c r="G372" s="8" t="n">
        <f aca="false">IFERROR(INDEX('TRANS'!$B:$B,MATCH($B372,'TRANS'!$A:$A,0)),IFERROR(INDEX('TRANS'!$B:$B,MATCH(TRIM(SUBSTITUTE($B372,CHAR(160)," ")),'TRANS'!$D:$D,0)),IFERROR(INDEX('Catalog'!$A:$A,MATCH($B372,'Catalog'!$B:$B,0)),IFERROR(INDEX('Catalog'!$A:$A,MATCH(TRIM(SUBSTITUTE($B372,CHAR(160)," ")),'Catalog'!$C:$C,0)),""))))</f>
        <v>4413176</v>
      </c>
      <c r="H372" s="8" t="str">
        <f aca="false">IFERROR(INDEX('TRANS'!$C:$C,MATCH($B372,'TRANS'!$A:$A,0)),IFERROR(INDEX('Catalog'!$B:$B,MATCH($G372,'Catalog'!$A:$A,0)),$B372))</f>
        <v>85+ Lמתלה ליד)כיס(+רצועת חיזוק</v>
      </c>
      <c r="I372" s="8" t="str">
        <f aca="false">IF($G372="","Unmatched","Matched")</f>
        <v>Matched</v>
      </c>
      <c r="J372" s="8" t="n">
        <f aca="false">IF($G372&lt;&gt;"",$G372,$B372)</f>
        <v>4413176</v>
      </c>
      <c r="K372" s="8" t="str">
        <f aca="false">IF(COUNTIF($M$1:$M$10,$A372)&gt;0,"Y","N")</f>
        <v>Y</v>
      </c>
    </row>
    <row r="373" customFormat="false" ht="15" hidden="false" customHeight="true" outlineLevel="0" collapsed="false">
      <c r="A373" s="8" t="s">
        <v>46</v>
      </c>
      <c r="B373" s="8" t="s">
        <v>828</v>
      </c>
      <c r="C373" s="19" t="n">
        <v>1</v>
      </c>
      <c r="D373" s="19" t="n">
        <v>119.77</v>
      </c>
      <c r="E373" s="19" t="n">
        <v>2</v>
      </c>
      <c r="F373" s="19" t="n">
        <v>139.99</v>
      </c>
      <c r="G373" s="8" t="n">
        <f aca="false">IFERROR(INDEX('TRANS'!$B:$B,MATCH($B373,'TRANS'!$A:$A,0)),IFERROR(INDEX('TRANS'!$B:$B,MATCH(TRIM(SUBSTITUTE($B373,CHAR(160)," ")),'TRANS'!$D:$D,0)),IFERROR(INDEX('Catalog'!$A:$A,MATCH($B373,'Catalog'!$B:$B,0)),IFERROR(INDEX('Catalog'!$A:$A,MATCH(TRIM(SUBSTITUTE($B373,CHAR(160)," ")),'Catalog'!$C:$C,0)),""))))</f>
        <v>4413175</v>
      </c>
      <c r="H373" s="8" t="str">
        <f aca="false">IFERROR(INDEX('TRANS'!$C:$C,MATCH($B373,'TRANS'!$A:$A,0)),IFERROR(INDEX('Catalog'!$B:$B,MATCH($G373,'Catalog'!$A:$A,0)),$B373))</f>
        <v>85+ Mמתלה ליד)כיס(+רצועת חיזוק</v>
      </c>
      <c r="I373" s="8" t="str">
        <f aca="false">IF($G373="","Unmatched","Matched")</f>
        <v>Matched</v>
      </c>
      <c r="J373" s="8" t="n">
        <f aca="false">IF($G373&lt;&gt;"",$G373,$B373)</f>
        <v>4413175</v>
      </c>
      <c r="K373" s="8" t="str">
        <f aca="false">IF(COUNTIF($M$1:$M$10,$A373)&gt;0,"Y","N")</f>
        <v>Y</v>
      </c>
    </row>
    <row r="374" customFormat="false" ht="15" hidden="false" customHeight="true" outlineLevel="0" collapsed="false">
      <c r="A374" s="8" t="s">
        <v>46</v>
      </c>
      <c r="B374" s="8" t="s">
        <v>829</v>
      </c>
      <c r="C374" s="19" t="n">
        <v>0</v>
      </c>
      <c r="D374" s="19" t="n">
        <v>0</v>
      </c>
      <c r="E374" s="19" t="n">
        <v>2</v>
      </c>
      <c r="F374" s="19" t="n">
        <v>139.99</v>
      </c>
      <c r="G374" s="8" t="n">
        <f aca="false">IFERROR(INDEX('TRANS'!$B:$B,MATCH($B374,'TRANS'!$A:$A,0)),IFERROR(INDEX('TRANS'!$B:$B,MATCH(TRIM(SUBSTITUTE($B374,CHAR(160)," ")),'TRANS'!$D:$D,0)),IFERROR(INDEX('Catalog'!$A:$A,MATCH($B374,'Catalog'!$B:$B,0)),IFERROR(INDEX('Catalog'!$A:$A,MATCH(TRIM(SUBSTITUTE($B374,CHAR(160)," ")),'Catalog'!$C:$C,0)),""))))</f>
        <v>4413177</v>
      </c>
      <c r="H374" s="8" t="str">
        <f aca="false">IFERROR(INDEX('TRANS'!$C:$C,MATCH($B374,'TRANS'!$A:$A,0)),IFERROR(INDEX('Catalog'!$B:$B,MATCH($G374,'Catalog'!$A:$A,0)),$B374))</f>
        <v>85+ XLמתלה ליד)כיס(רצועת חיזוק</v>
      </c>
      <c r="I374" s="8" t="str">
        <f aca="false">IF($G374="","Unmatched","Matched")</f>
        <v>Matched</v>
      </c>
      <c r="J374" s="8" t="n">
        <f aca="false">IF($G374&lt;&gt;"",$G374,$B374)</f>
        <v>4413177</v>
      </c>
      <c r="K374" s="8" t="str">
        <f aca="false">IF(COUNTIF($M$1:$M$10,$A374)&gt;0,"Y","N")</f>
        <v>Y</v>
      </c>
    </row>
    <row r="375" customFormat="false" ht="15" hidden="false" customHeight="true" outlineLevel="0" collapsed="false">
      <c r="A375" s="8" t="s">
        <v>46</v>
      </c>
      <c r="B375" s="8" t="s">
        <v>830</v>
      </c>
      <c r="C375" s="19" t="n">
        <v>2</v>
      </c>
      <c r="D375" s="19" t="n">
        <v>254.01</v>
      </c>
      <c r="E375" s="19" t="n">
        <v>0</v>
      </c>
      <c r="F375" s="19" t="n">
        <v>0</v>
      </c>
      <c r="G375" s="8" t="n">
        <f aca="false">IFERROR(INDEX('TRANS'!$B:$B,MATCH($B375,'TRANS'!$A:$A,0)),IFERROR(INDEX('TRANS'!$B:$B,MATCH(TRIM(SUBSTITUTE($B375,CHAR(160)," ")),'TRANS'!$D:$D,0)),IFERROR(INDEX('Catalog'!$A:$A,MATCH($B375,'Catalog'!$B:$B,0)),IFERROR(INDEX('Catalog'!$A:$A,MATCH(TRIM(SUBSTITUTE($B375,CHAR(160)," ")),'Catalog'!$C:$C,0)),""))))</f>
        <v>4413197</v>
      </c>
      <c r="H375" s="8" t="str">
        <f aca="false">IFERROR(INDEX('TRANS'!$C:$C,MATCH($B375,'TRANS'!$A:$A,0)),IFERROR(INDEX('Catalog'!$B:$B,MATCH($G375,'Catalog'!$A:$A,0)),$B375))</f>
        <v>87 L מקבע כתף ויד</v>
      </c>
      <c r="I375" s="8" t="str">
        <f aca="false">IF($G375="","Unmatched","Matched")</f>
        <v>Matched</v>
      </c>
      <c r="J375" s="8" t="n">
        <f aca="false">IF($G375&lt;&gt;"",$G375,$B375)</f>
        <v>4413197</v>
      </c>
      <c r="K375" s="8" t="str">
        <f aca="false">IF(COUNTIF($M$1:$M$10,$A375)&gt;0,"Y","N")</f>
        <v>Y</v>
      </c>
    </row>
    <row r="376" customFormat="false" ht="15" hidden="false" customHeight="true" outlineLevel="0" collapsed="false">
      <c r="A376" s="8" t="s">
        <v>46</v>
      </c>
      <c r="B376" s="8" t="s">
        <v>831</v>
      </c>
      <c r="C376" s="19" t="n">
        <v>1</v>
      </c>
      <c r="D376" s="19" t="n">
        <v>127</v>
      </c>
      <c r="E376" s="19" t="n">
        <v>0</v>
      </c>
      <c r="F376" s="19" t="n">
        <v>0</v>
      </c>
      <c r="G376" s="8" t="n">
        <f aca="false">IFERROR(INDEX('TRANS'!$B:$B,MATCH($B376,'TRANS'!$A:$A,0)),IFERROR(INDEX('TRANS'!$B:$B,MATCH(TRIM(SUBSTITUTE($B376,CHAR(160)," ")),'TRANS'!$D:$D,0)),IFERROR(INDEX('Catalog'!$A:$A,MATCH($B376,'Catalog'!$B:$B,0)),IFERROR(INDEX('Catalog'!$A:$A,MATCH(TRIM(SUBSTITUTE($B376,CHAR(160)," ")),'Catalog'!$C:$C,0)),""))))</f>
        <v>4413196</v>
      </c>
      <c r="H376" s="8" t="str">
        <f aca="false">IFERROR(INDEX('TRANS'!$C:$C,MATCH($B376,'TRANS'!$A:$A,0)),IFERROR(INDEX('Catalog'!$B:$B,MATCH($G376,'Catalog'!$A:$A,0)),$B376))</f>
        <v>87 M מקבע כתף ויד</v>
      </c>
      <c r="I376" s="8" t="str">
        <f aca="false">IF($G376="","Unmatched","Matched")</f>
        <v>Matched</v>
      </c>
      <c r="J376" s="8" t="n">
        <f aca="false">IF($G376&lt;&gt;"",$G376,$B376)</f>
        <v>4413196</v>
      </c>
      <c r="K376" s="8" t="str">
        <f aca="false">IF(COUNTIF($M$1:$M$10,$A376)&gt;0,"Y","N")</f>
        <v>Y</v>
      </c>
    </row>
    <row r="377" customFormat="false" ht="15" hidden="false" customHeight="true" outlineLevel="0" collapsed="false">
      <c r="A377" s="8" t="s">
        <v>46</v>
      </c>
      <c r="B377" s="8" t="s">
        <v>832</v>
      </c>
      <c r="C377" s="19" t="n">
        <v>1</v>
      </c>
      <c r="D377" s="19" t="n">
        <v>127</v>
      </c>
      <c r="E377" s="19" t="n">
        <v>1</v>
      </c>
      <c r="F377" s="19" t="n">
        <v>140</v>
      </c>
      <c r="G377" s="8" t="n">
        <f aca="false">IFERROR(INDEX('TRANS'!$B:$B,MATCH($B377,'TRANS'!$A:$A,0)),IFERROR(INDEX('TRANS'!$B:$B,MATCH(TRIM(SUBSTITUTE($B377,CHAR(160)," ")),'TRANS'!$D:$D,0)),IFERROR(INDEX('Catalog'!$A:$A,MATCH($B377,'Catalog'!$B:$B,0)),IFERROR(INDEX('Catalog'!$A:$A,MATCH(TRIM(SUBSTITUTE($B377,CHAR(160)," ")),'Catalog'!$C:$C,0)),""))))</f>
        <v>4413198</v>
      </c>
      <c r="H377" s="8" t="str">
        <f aca="false">IFERROR(INDEX('TRANS'!$C:$C,MATCH($B377,'TRANS'!$A:$A,0)),IFERROR(INDEX('Catalog'!$B:$B,MATCH($G377,'Catalog'!$A:$A,0)),$B377))</f>
        <v>87 XL מקבע כתף ויד</v>
      </c>
      <c r="I377" s="8" t="str">
        <f aca="false">IF($G377="","Unmatched","Matched")</f>
        <v>Matched</v>
      </c>
      <c r="J377" s="8" t="n">
        <f aca="false">IF($G377&lt;&gt;"",$G377,$B377)</f>
        <v>4413198</v>
      </c>
      <c r="K377" s="8" t="str">
        <f aca="false">IF(COUNTIF($M$1:$M$10,$A377)&gt;0,"Y","N")</f>
        <v>Y</v>
      </c>
    </row>
    <row r="378" customFormat="false" ht="15" hidden="false" customHeight="true" outlineLevel="0" collapsed="false">
      <c r="A378" s="8" t="s">
        <v>46</v>
      </c>
      <c r="B378" s="8" t="s">
        <v>833</v>
      </c>
      <c r="C378" s="19" t="n">
        <v>14</v>
      </c>
      <c r="D378" s="19" t="n">
        <v>1176.31</v>
      </c>
      <c r="E378" s="19" t="n">
        <v>1</v>
      </c>
      <c r="F378" s="19" t="n">
        <v>76.23</v>
      </c>
      <c r="G378" s="8" t="n">
        <f aca="false">IFERROR(INDEX('TRANS'!$B:$B,MATCH($B378,'TRANS'!$A:$A,0)),IFERROR(INDEX('TRANS'!$B:$B,MATCH(TRIM(SUBSTITUTE($B378,CHAR(160)," ")),'TRANS'!$D:$D,0)),IFERROR(INDEX('Catalog'!$A:$A,MATCH($B378,'Catalog'!$B:$B,0)),IFERROR(INDEX('Catalog'!$A:$A,MATCH(TRIM(SUBSTITUTE($B378,CHAR(160)," ")),'Catalog'!$C:$C,0)),""))))</f>
        <v>4408266</v>
      </c>
      <c r="H378" s="8" t="str">
        <f aca="false">IFERROR(INDEX('TRANS'!$C:$C,MATCH($B378,'TRANS'!$A:$A,0)),IFERROR(INDEX('Catalog'!$B:$B,MATCH($G378,'Catalog'!$A:$A,0)),$B378))</f>
        <v>91B חבק טניס אלבו</v>
      </c>
      <c r="I378" s="8" t="str">
        <f aca="false">IF($G378="","Unmatched","Matched")</f>
        <v>Matched</v>
      </c>
      <c r="J378" s="8" t="n">
        <f aca="false">IF($G378&lt;&gt;"",$G378,$B378)</f>
        <v>4408266</v>
      </c>
      <c r="K378" s="8" t="str">
        <f aca="false">IF(COUNTIF($M$1:$M$10,$A378)&gt;0,"Y","N")</f>
        <v>Y</v>
      </c>
    </row>
    <row r="379" customFormat="false" ht="15" hidden="false" customHeight="true" outlineLevel="0" collapsed="false">
      <c r="A379" s="8" t="s">
        <v>46</v>
      </c>
      <c r="B379" s="8" t="s">
        <v>834</v>
      </c>
      <c r="C379" s="19" t="n">
        <v>0</v>
      </c>
      <c r="D379" s="19" t="n">
        <v>0</v>
      </c>
      <c r="E379" s="19" t="n">
        <v>4</v>
      </c>
      <c r="F379" s="19" t="n">
        <v>360</v>
      </c>
      <c r="G379" s="8" t="n">
        <f aca="false">IFERROR(INDEX('TRANS'!$B:$B,MATCH($B379,'TRANS'!$A:$A,0)),IFERROR(INDEX('TRANS'!$B:$B,MATCH(TRIM(SUBSTITUTE($B379,CHAR(160)," ")),'TRANS'!$D:$D,0)),IFERROR(INDEX('Catalog'!$A:$A,MATCH($B379,'Catalog'!$B:$B,0)),IFERROR(INDEX('Catalog'!$A:$A,MATCH(TRIM(SUBSTITUTE($B379,CHAR(160)," ")),'Catalog'!$C:$C,0)),""))))</f>
        <v>4408084</v>
      </c>
      <c r="H379" s="8" t="str">
        <f aca="false">IFERROR(INDEX('TRANS'!$C:$C,MATCH($B379,'TRANS'!$A:$A,0)),IFERROR(INDEX('Catalog'!$B:$B,MATCH($G379,'Catalog'!$A:$A,0)),$B379))</f>
        <v>922L.חבק יד לטניס כרית סיליק</v>
      </c>
      <c r="I379" s="8" t="str">
        <f aca="false">IF($G379="","Unmatched","Matched")</f>
        <v>Matched</v>
      </c>
      <c r="J379" s="8" t="n">
        <f aca="false">IF($G379&lt;&gt;"",$G379,$B379)</f>
        <v>4408084</v>
      </c>
      <c r="K379" s="8" t="str">
        <f aca="false">IF(COUNTIF($M$1:$M$10,$A379)&gt;0,"Y","N")</f>
        <v>Y</v>
      </c>
    </row>
    <row r="380" customFormat="false" ht="15" hidden="false" customHeight="true" outlineLevel="0" collapsed="false">
      <c r="A380" s="8" t="s">
        <v>46</v>
      </c>
      <c r="B380" s="8" t="s">
        <v>835</v>
      </c>
      <c r="C380" s="19" t="n">
        <v>2</v>
      </c>
      <c r="D380" s="19" t="n">
        <v>180</v>
      </c>
      <c r="E380" s="19" t="n">
        <v>0</v>
      </c>
      <c r="F380" s="19" t="n">
        <v>0</v>
      </c>
      <c r="G380" s="8" t="n">
        <f aca="false">IFERROR(INDEX('TRANS'!$B:$B,MATCH($B380,'TRANS'!$A:$A,0)),IFERROR(INDEX('TRANS'!$B:$B,MATCH(TRIM(SUBSTITUTE($B380,CHAR(160)," ")),'TRANS'!$D:$D,0)),IFERROR(INDEX('Catalog'!$A:$A,MATCH($B380,'Catalog'!$B:$B,0)),IFERROR(INDEX('Catalog'!$A:$A,MATCH(TRIM(SUBSTITUTE($B380,CHAR(160)," ")),'Catalog'!$C:$C,0)),""))))</f>
        <v>4408087</v>
      </c>
      <c r="H380" s="8" t="str">
        <f aca="false">IFERROR(INDEX('TRANS'!$C:$C,MATCH($B380,'TRANS'!$A:$A,0)),IFERROR(INDEX('Catalog'!$B:$B,MATCH($G380,'Catalog'!$A:$A,0)),$B380))</f>
        <v>922XLחבק יד לטניס כרית סיליק</v>
      </c>
      <c r="I380" s="8" t="str">
        <f aca="false">IF($G380="","Unmatched","Matched")</f>
        <v>Matched</v>
      </c>
      <c r="J380" s="8" t="n">
        <f aca="false">IF($G380&lt;&gt;"",$G380,$B380)</f>
        <v>4408087</v>
      </c>
      <c r="K380" s="8" t="str">
        <f aca="false">IF(COUNTIF($M$1:$M$10,$A380)&gt;0,"Y","N")</f>
        <v>Y</v>
      </c>
    </row>
    <row r="381" customFormat="false" ht="15" hidden="false" customHeight="true" outlineLevel="0" collapsed="false">
      <c r="A381" s="8" t="s">
        <v>46</v>
      </c>
      <c r="B381" s="8" t="s">
        <v>836</v>
      </c>
      <c r="C381" s="19" t="n">
        <v>2</v>
      </c>
      <c r="D381" s="19" t="n">
        <v>61.79</v>
      </c>
      <c r="E381" s="19" t="n">
        <v>2</v>
      </c>
      <c r="F381" s="19" t="n">
        <v>61.78</v>
      </c>
      <c r="G381" s="8" t="n">
        <f aca="false">IFERROR(INDEX('TRANS'!$B:$B,MATCH($B381,'TRANS'!$A:$A,0)),IFERROR(INDEX('TRANS'!$B:$B,MATCH(TRIM(SUBSTITUTE($B381,CHAR(160)," ")),'TRANS'!$D:$D,0)),IFERROR(INDEX('Catalog'!$A:$A,MATCH($B381,'Catalog'!$B:$B,0)),IFERROR(INDEX('Catalog'!$A:$A,MATCH(TRIM(SUBSTITUTE($B381,CHAR(160)," ")),'Catalog'!$C:$C,0)),""))))</f>
        <v>4413139</v>
      </c>
      <c r="H381" s="8" t="str">
        <f aca="false">IFERROR(INDEX('TRANS'!$C:$C,MATCH($B381,'TRANS'!$A:$A,0)),IFERROR(INDEX('Catalog'!$B:$B,MATCH($G381,'Catalog'!$A:$A,0)),$B381))</f>
        <v>95 L מגן מרפק רגיל לבן</v>
      </c>
      <c r="I381" s="8" t="str">
        <f aca="false">IF($G381="","Unmatched","Matched")</f>
        <v>Matched</v>
      </c>
      <c r="J381" s="8" t="n">
        <f aca="false">IF($G381&lt;&gt;"",$G381,$B381)</f>
        <v>4413139</v>
      </c>
      <c r="K381" s="8" t="str">
        <f aca="false">IF(COUNTIF($M$1:$M$10,$A381)&gt;0,"Y","N")</f>
        <v>Y</v>
      </c>
    </row>
    <row r="382" customFormat="false" ht="15" hidden="false" customHeight="true" outlineLevel="0" collapsed="false">
      <c r="A382" s="8" t="s">
        <v>46</v>
      </c>
      <c r="B382" s="8" t="s">
        <v>837</v>
      </c>
      <c r="C382" s="19" t="n">
        <v>2</v>
      </c>
      <c r="D382" s="19" t="n">
        <v>61.79</v>
      </c>
      <c r="E382" s="19" t="n">
        <v>4</v>
      </c>
      <c r="F382" s="19" t="n">
        <v>123.57</v>
      </c>
      <c r="G382" s="8" t="n">
        <f aca="false">IFERROR(INDEX('TRANS'!$B:$B,MATCH($B382,'TRANS'!$A:$A,0)),IFERROR(INDEX('TRANS'!$B:$B,MATCH(TRIM(SUBSTITUTE($B382,CHAR(160)," ")),'TRANS'!$D:$D,0)),IFERROR(INDEX('Catalog'!$A:$A,MATCH($B382,'Catalog'!$B:$B,0)),IFERROR(INDEX('Catalog'!$A:$A,MATCH(TRIM(SUBSTITUTE($B382,CHAR(160)," ")),'Catalog'!$C:$C,0)),""))))</f>
        <v>4413141</v>
      </c>
      <c r="H382" s="8" t="str">
        <f aca="false">IFERROR(INDEX('TRANS'!$C:$C,MATCH($B382,'TRANS'!$A:$A,0)),IFERROR(INDEX('Catalog'!$B:$B,MATCH($G382,'Catalog'!$A:$A,0)),$B382))</f>
        <v>95 S מגן מרפק רגיל לבן</v>
      </c>
      <c r="I382" s="8" t="str">
        <f aca="false">IF($G382="","Unmatched","Matched")</f>
        <v>Matched</v>
      </c>
      <c r="J382" s="8" t="n">
        <f aca="false">IF($G382&lt;&gt;"",$G382,$B382)</f>
        <v>4413141</v>
      </c>
      <c r="K382" s="8" t="str">
        <f aca="false">IF(COUNTIF($M$1:$M$10,$A382)&gt;0,"Y","N")</f>
        <v>Y</v>
      </c>
    </row>
    <row r="383" customFormat="false" ht="15" hidden="false" customHeight="true" outlineLevel="0" collapsed="false">
      <c r="A383" s="8" t="s">
        <v>46</v>
      </c>
      <c r="B383" s="8" t="s">
        <v>838</v>
      </c>
      <c r="C383" s="19" t="n">
        <v>2</v>
      </c>
      <c r="D383" s="19" t="n">
        <v>61.79</v>
      </c>
      <c r="E383" s="19" t="n">
        <v>1</v>
      </c>
      <c r="F383" s="19" t="n">
        <v>0.01</v>
      </c>
      <c r="G383" s="8" t="n">
        <f aca="false">IFERROR(INDEX('TRANS'!$B:$B,MATCH($B383,'TRANS'!$A:$A,0)),IFERROR(INDEX('TRANS'!$B:$B,MATCH(TRIM(SUBSTITUTE($B383,CHAR(160)," ")),'TRANS'!$D:$D,0)),IFERROR(INDEX('Catalog'!$A:$A,MATCH($B383,'Catalog'!$B:$B,0)),IFERROR(INDEX('Catalog'!$A:$A,MATCH(TRIM(SUBSTITUTE($B383,CHAR(160)," ")),'Catalog'!$C:$C,0)),""))))</f>
        <v>4413142</v>
      </c>
      <c r="H383" s="8" t="str">
        <f aca="false">IFERROR(INDEX('TRANS'!$C:$C,MATCH($B383,'TRANS'!$A:$A,0)),IFERROR(INDEX('Catalog'!$B:$B,MATCH($G383,'Catalog'!$A:$A,0)),$B383))</f>
        <v>95 XL מגן מרפק רגיל לבן</v>
      </c>
      <c r="I383" s="8" t="str">
        <f aca="false">IF($G383="","Unmatched","Matched")</f>
        <v>Matched</v>
      </c>
      <c r="J383" s="8" t="n">
        <f aca="false">IF($G383&lt;&gt;"",$G383,$B383)</f>
        <v>4413142</v>
      </c>
      <c r="K383" s="8" t="str">
        <f aca="false">IF(COUNTIF($M$1:$M$10,$A383)&gt;0,"Y","N")</f>
        <v>Y</v>
      </c>
    </row>
    <row r="384" customFormat="false" ht="15" hidden="false" customHeight="true" outlineLevel="0" collapsed="false">
      <c r="A384" s="8" t="s">
        <v>46</v>
      </c>
      <c r="B384" s="8" t="s">
        <v>839</v>
      </c>
      <c r="C384" s="19" t="n">
        <v>3</v>
      </c>
      <c r="D384" s="19" t="n">
        <v>91.53</v>
      </c>
      <c r="E384" s="19" t="n">
        <v>0</v>
      </c>
      <c r="F384" s="19" t="n">
        <v>0</v>
      </c>
      <c r="G384" s="8" t="n">
        <f aca="false">IFERROR(INDEX('TRANS'!$B:$B,MATCH($B384,'TRANS'!$A:$A,0)),IFERROR(INDEX('TRANS'!$B:$B,MATCH(TRIM(SUBSTITUTE($B384,CHAR(160)," ")),'TRANS'!$D:$D,0)),IFERROR(INDEX('Catalog'!$A:$A,MATCH($B384,'Catalog'!$B:$B,0)),IFERROR(INDEX('Catalog'!$A:$A,MATCH(TRIM(SUBSTITUTE($B384,CHAR(160)," ")),'Catalog'!$C:$C,0)),""))))</f>
        <v>4413366</v>
      </c>
      <c r="H384" s="8" t="str">
        <f aca="false">IFERROR(INDEX('TRANS'!$C:$C,MATCH($B384,'TRANS'!$A:$A,0)),IFERROR(INDEX('Catalog'!$B:$B,MATCH($G384,'Catalog'!$A:$A,0)),$B384))</f>
        <v>95C S 'מגן מרפק בז</v>
      </c>
      <c r="I384" s="8" t="str">
        <f aca="false">IF($G384="","Unmatched","Matched")</f>
        <v>Matched</v>
      </c>
      <c r="J384" s="8" t="n">
        <f aca="false">IF($G384&lt;&gt;"",$G384,$B384)</f>
        <v>4413366</v>
      </c>
      <c r="K384" s="8" t="str">
        <f aca="false">IF(COUNTIF($M$1:$M$10,$A384)&gt;0,"Y","N")</f>
        <v>Y</v>
      </c>
    </row>
    <row r="385" customFormat="false" ht="15" hidden="false" customHeight="true" outlineLevel="0" collapsed="false">
      <c r="A385" s="8" t="s">
        <v>46</v>
      </c>
      <c r="B385" s="8" t="s">
        <v>840</v>
      </c>
      <c r="C385" s="19" t="n">
        <v>2</v>
      </c>
      <c r="D385" s="19" t="n">
        <v>61.79</v>
      </c>
      <c r="E385" s="19" t="n">
        <v>0</v>
      </c>
      <c r="F385" s="19" t="n">
        <v>0</v>
      </c>
      <c r="G385" s="8" t="n">
        <f aca="false">IFERROR(INDEX('TRANS'!$B:$B,MATCH($B385,'TRANS'!$A:$A,0)),IFERROR(INDEX('TRANS'!$B:$B,MATCH(TRIM(SUBSTITUTE($B385,CHAR(160)," ")),'TRANS'!$D:$D,0)),IFERROR(INDEX('Catalog'!$A:$A,MATCH($B385,'Catalog'!$B:$B,0)),IFERROR(INDEX('Catalog'!$A:$A,MATCH(TRIM(SUBSTITUTE($B385,CHAR(160)," ")),'Catalog'!$C:$C,0)),""))))</f>
        <v>4413367</v>
      </c>
      <c r="H385" s="8" t="str">
        <f aca="false">IFERROR(INDEX('TRANS'!$C:$C,MATCH($B385,'TRANS'!$A:$A,0)),IFERROR(INDEX('Catalog'!$B:$B,MATCH($G385,'Catalog'!$A:$A,0)),$B385))</f>
        <v>95C XL'מגן מרפק בז</v>
      </c>
      <c r="I385" s="8" t="str">
        <f aca="false">IF($G385="","Unmatched","Matched")</f>
        <v>Matched</v>
      </c>
      <c r="J385" s="8" t="n">
        <f aca="false">IF($G385&lt;&gt;"",$G385,$B385)</f>
        <v>4413367</v>
      </c>
      <c r="K385" s="8" t="str">
        <f aca="false">IF(COUNTIF($M$1:$M$10,$A385)&gt;0,"Y","N")</f>
        <v>Y</v>
      </c>
    </row>
    <row r="386" customFormat="false" ht="15" hidden="false" customHeight="true" outlineLevel="0" collapsed="false">
      <c r="A386" s="8" t="s">
        <v>46</v>
      </c>
      <c r="B386" s="8" t="s">
        <v>177</v>
      </c>
      <c r="C386" s="19" t="n">
        <v>0</v>
      </c>
      <c r="D386" s="19" t="n">
        <v>0</v>
      </c>
      <c r="E386" s="19" t="n">
        <v>6</v>
      </c>
      <c r="F386" s="19" t="n">
        <v>25.25</v>
      </c>
      <c r="G386" s="8" t="str">
        <f aca="false">IFERROR(INDEX('TRANS'!$B:$B,MATCH($B386,'TRANS'!$A:$A,0)),IFERROR(INDEX('TRANS'!$B:$B,MATCH(TRIM(SUBSTITUTE($B386,CHAR(160)," ")),'TRANS'!$D:$D,0)),IFERROR(INDEX('Catalog'!$A:$A,MATCH($B386,'Catalog'!$B:$B,0)),IFERROR(INDEX('Catalog'!$A:$A,MATCH(TRIM(SUBSTITUTE($B386,CHAR(160)," ")),'Catalog'!$C:$C,0)),""))))</f>
        <v/>
      </c>
      <c r="H386" s="8" t="str">
        <f aca="false">IFERROR(INDEX('TRANS'!$C:$C,MATCH($B386,'TRANS'!$A:$A,0)),IFERROR(INDEX('Catalog'!$B:$B,MATCH($G386,'Catalog'!$A:$A,0)),$B386))</f>
        <v>LUPD344 0</v>
      </c>
      <c r="I386" s="8" t="str">
        <f aca="false">IF($G386="","Unmatched","Matched")</f>
        <v>Unmatched</v>
      </c>
      <c r="J386" s="8" t="str">
        <f aca="false">IF($G386&lt;&gt;"",$G386,$B386)</f>
        <v>LUPD344 0</v>
      </c>
      <c r="K386" s="8" t="str">
        <f aca="false">IF(COUNTIF($M$1:$M$10,$A386)&gt;0,"Y","N")</f>
        <v>Y</v>
      </c>
    </row>
    <row r="387" customFormat="false" ht="15" hidden="false" customHeight="true" outlineLevel="0" collapsed="false">
      <c r="A387" s="8" t="s">
        <v>46</v>
      </c>
      <c r="B387" s="8" t="s">
        <v>841</v>
      </c>
      <c r="C387" s="19" t="n">
        <v>3</v>
      </c>
      <c r="D387" s="19" t="n">
        <v>290.41</v>
      </c>
      <c r="E387" s="19" t="n">
        <v>0</v>
      </c>
      <c r="F387" s="19" t="n">
        <v>0</v>
      </c>
      <c r="G387" s="8" t="n">
        <f aca="false">IFERROR(INDEX('TRANS'!$B:$B,MATCH($B387,'TRANS'!$A:$A,0)),IFERROR(INDEX('TRANS'!$B:$B,MATCH(TRIM(SUBSTITUTE($B387,CHAR(160)," ")),'TRANS'!$D:$D,0)),IFERROR(INDEX('Catalog'!$A:$A,MATCH($B387,'Catalog'!$B:$B,0)),IFERROR(INDEX('Catalog'!$A:$A,MATCH(TRIM(SUBSTITUTE($B387,CHAR(160)," ")),'Catalog'!$C:$C,0)),""))))</f>
        <v>4413421</v>
      </c>
      <c r="H387" s="8" t="str">
        <f aca="false">IFERROR(INDEX('TRANS'!$C:$C,MATCH($B387,'TRANS'!$A:$A,0)),IFERROR(INDEX('Catalog'!$B:$B,MATCH($G387,'Catalog'!$A:$A,0)),$B387))</f>
        <v>SC35L  M מגן קרסול שמאל</v>
      </c>
      <c r="I387" s="8" t="str">
        <f aca="false">IF($G387="","Unmatched","Matched")</f>
        <v>Matched</v>
      </c>
      <c r="J387" s="8" t="n">
        <f aca="false">IF($G387&lt;&gt;"",$G387,$B387)</f>
        <v>4413421</v>
      </c>
      <c r="K387" s="8" t="str">
        <f aca="false">IF(COUNTIF($M$1:$M$10,$A387)&gt;0,"Y","N")</f>
        <v>Y</v>
      </c>
    </row>
    <row r="388" customFormat="false" ht="15" hidden="false" customHeight="true" outlineLevel="0" collapsed="false">
      <c r="A388" s="8" t="s">
        <v>46</v>
      </c>
      <c r="B388" s="8" t="s">
        <v>842</v>
      </c>
      <c r="C388" s="19" t="n">
        <v>2</v>
      </c>
      <c r="D388" s="19" t="n">
        <v>328.05</v>
      </c>
      <c r="E388" s="19" t="n">
        <v>0</v>
      </c>
      <c r="F388" s="19" t="n">
        <v>0</v>
      </c>
      <c r="G388" s="8" t="n">
        <f aca="false">IFERROR(INDEX('TRANS'!$B:$B,MATCH($B388,'TRANS'!$A:$A,0)),IFERROR(INDEX('TRANS'!$B:$B,MATCH(TRIM(SUBSTITUTE($B388,CHAR(160)," ")),'TRANS'!$D:$D,0)),IFERROR(INDEX('Catalog'!$A:$A,MATCH($B388,'Catalog'!$B:$B,0)),IFERROR(INDEX('Catalog'!$A:$A,MATCH(TRIM(SUBSTITUTE($B388,CHAR(160)," ")),'Catalog'!$C:$C,0)),""))))</f>
        <v>4413417</v>
      </c>
      <c r="H388" s="8" t="str">
        <f aca="false">IFERROR(INDEX('TRANS'!$C:$C,MATCH($B388,'TRANS'!$A:$A,0)),IFERROR(INDEX('Catalog'!$B:$B,MATCH($G388,'Catalog'!$A:$A,0)),$B388))</f>
        <v>SC39  L מגן שוק</v>
      </c>
      <c r="I388" s="8" t="str">
        <f aca="false">IF($G388="","Unmatched","Matched")</f>
        <v>Matched</v>
      </c>
      <c r="J388" s="8" t="n">
        <f aca="false">IF($G388&lt;&gt;"",$G388,$B388)</f>
        <v>4413417</v>
      </c>
      <c r="K388" s="8" t="str">
        <f aca="false">IF(COUNTIF($M$1:$M$10,$A388)&gt;0,"Y","N")</f>
        <v>Y</v>
      </c>
    </row>
    <row r="389" customFormat="false" ht="15" hidden="false" customHeight="true" outlineLevel="0" collapsed="false">
      <c r="A389" s="8" t="s">
        <v>46</v>
      </c>
      <c r="B389" s="8" t="s">
        <v>843</v>
      </c>
      <c r="C389" s="19" t="n">
        <v>2</v>
      </c>
      <c r="D389" s="19" t="n">
        <v>328.05</v>
      </c>
      <c r="E389" s="19" t="n">
        <v>0</v>
      </c>
      <c r="F389" s="19" t="n">
        <v>0</v>
      </c>
      <c r="G389" s="8" t="n">
        <f aca="false">IFERROR(INDEX('TRANS'!$B:$B,MATCH($B389,'TRANS'!$A:$A,0)),IFERROR(INDEX('TRANS'!$B:$B,MATCH(TRIM(SUBSTITUTE($B389,CHAR(160)," ")),'TRANS'!$D:$D,0)),IFERROR(INDEX('Catalog'!$A:$A,MATCH($B389,'Catalog'!$B:$B,0)),IFERROR(INDEX('Catalog'!$A:$A,MATCH(TRIM(SUBSTITUTE($B389,CHAR(160)," ")),'Catalog'!$C:$C,0)),""))))</f>
        <v>4413415</v>
      </c>
      <c r="H389" s="8" t="str">
        <f aca="false">IFERROR(INDEX('TRANS'!$C:$C,MATCH($B389,'TRANS'!$A:$A,0)),IFERROR(INDEX('Catalog'!$B:$B,MATCH($G389,'Catalog'!$A:$A,0)),$B389))</f>
        <v>SC39  S מגן שוק</v>
      </c>
      <c r="I389" s="8" t="str">
        <f aca="false">IF($G389="","Unmatched","Matched")</f>
        <v>Matched</v>
      </c>
      <c r="J389" s="8" t="n">
        <f aca="false">IF($G389&lt;&gt;"",$G389,$B389)</f>
        <v>4413415</v>
      </c>
      <c r="K389" s="8" t="str">
        <f aca="false">IF(COUNTIF($M$1:$M$10,$A389)&gt;0,"Y","N")</f>
        <v>Y</v>
      </c>
    </row>
    <row r="390" customFormat="false" ht="15" hidden="false" customHeight="true" outlineLevel="0" collapsed="false">
      <c r="A390" s="8" t="s">
        <v>46</v>
      </c>
      <c r="B390" s="8" t="s">
        <v>844</v>
      </c>
      <c r="C390" s="19" t="n">
        <v>2</v>
      </c>
      <c r="D390" s="19" t="n">
        <v>281.14</v>
      </c>
      <c r="E390" s="19" t="n">
        <v>4</v>
      </c>
      <c r="F390" s="19" t="n">
        <v>421.73</v>
      </c>
      <c r="G390" s="8" t="n">
        <f aca="false">IFERROR(INDEX('TRANS'!$B:$B,MATCH($B390,'TRANS'!$A:$A,0)),IFERROR(INDEX('TRANS'!$B:$B,MATCH(TRIM(SUBSTITUTE($B390,CHAR(160)," ")),'TRANS'!$D:$D,0)),IFERROR(INDEX('Catalog'!$A:$A,MATCH($B390,'Catalog'!$B:$B,0)),IFERROR(INDEX('Catalog'!$A:$A,MATCH(TRIM(SUBSTITUTE($B390,CHAR(160)," ")),'Catalog'!$C:$C,0)),""))))</f>
        <v>4413440</v>
      </c>
      <c r="H390" s="8" t="str">
        <f aca="false">IFERROR(INDEX('TRANS'!$C:$C,MATCH($B390,'TRANS'!$A:$A,0)),IFERROR(INDEX('Catalog'!$B:$B,MATCH($G390,'Catalog'!$A:$A,0)),$B390))</f>
        <v>SC422  L מגן ברך</v>
      </c>
      <c r="I390" s="8" t="str">
        <f aca="false">IF($G390="","Unmatched","Matched")</f>
        <v>Matched</v>
      </c>
      <c r="J390" s="8" t="n">
        <f aca="false">IF($G390&lt;&gt;"",$G390,$B390)</f>
        <v>4413440</v>
      </c>
      <c r="K390" s="8" t="str">
        <f aca="false">IF(COUNTIF($M$1:$M$10,$A390)&gt;0,"Y","N")</f>
        <v>Y</v>
      </c>
    </row>
    <row r="391" customFormat="false" ht="15" hidden="false" customHeight="true" outlineLevel="0" collapsed="false">
      <c r="A391" s="8" t="s">
        <v>46</v>
      </c>
      <c r="B391" s="8" t="s">
        <v>845</v>
      </c>
      <c r="C391" s="19" t="n">
        <v>5</v>
      </c>
      <c r="D391" s="19" t="n">
        <v>843.43</v>
      </c>
      <c r="E391" s="19" t="n">
        <v>0</v>
      </c>
      <c r="F391" s="19" t="n">
        <v>0</v>
      </c>
      <c r="G391" s="8" t="n">
        <f aca="false">IFERROR(INDEX('TRANS'!$B:$B,MATCH($B391,'TRANS'!$A:$A,0)),IFERROR(INDEX('TRANS'!$B:$B,MATCH(TRIM(SUBSTITUTE($B391,CHAR(160)," ")),'TRANS'!$D:$D,0)),IFERROR(INDEX('Catalog'!$A:$A,MATCH($B391,'Catalog'!$B:$B,0)),IFERROR(INDEX('Catalog'!$A:$A,MATCH(TRIM(SUBSTITUTE($B391,CHAR(160)," ")),'Catalog'!$C:$C,0)),""))))</f>
        <v>4413438</v>
      </c>
      <c r="H391" s="8" t="str">
        <f aca="false">IFERROR(INDEX('TRANS'!$C:$C,MATCH($B391,'TRANS'!$A:$A,0)),IFERROR(INDEX('Catalog'!$B:$B,MATCH($G391,'Catalog'!$A:$A,0)),$B391))</f>
        <v>SC422  S מגן ברך</v>
      </c>
      <c r="I391" s="8" t="str">
        <f aca="false">IF($G391="","Unmatched","Matched")</f>
        <v>Matched</v>
      </c>
      <c r="J391" s="8" t="n">
        <f aca="false">IF($G391&lt;&gt;"",$G391,$B391)</f>
        <v>4413438</v>
      </c>
      <c r="K391" s="8" t="str">
        <f aca="false">IF(COUNTIF($M$1:$M$10,$A391)&gt;0,"Y","N")</f>
        <v>Y</v>
      </c>
    </row>
    <row r="392" customFormat="false" ht="15" hidden="false" customHeight="true" outlineLevel="0" collapsed="false">
      <c r="A392" s="8" t="s">
        <v>46</v>
      </c>
      <c r="B392" s="8" t="s">
        <v>846</v>
      </c>
      <c r="C392" s="19" t="n">
        <v>0</v>
      </c>
      <c r="D392" s="19" t="n">
        <v>0</v>
      </c>
      <c r="E392" s="19" t="n">
        <v>2</v>
      </c>
      <c r="F392" s="19" t="n">
        <v>281.15</v>
      </c>
      <c r="G392" s="8" t="n">
        <f aca="false">IFERROR(INDEX('TRANS'!$B:$B,MATCH($B392,'TRANS'!$A:$A,0)),IFERROR(INDEX('TRANS'!$B:$B,MATCH(TRIM(SUBSTITUTE($B392,CHAR(160)," ")),'TRANS'!$D:$D,0)),IFERROR(INDEX('Catalog'!$A:$A,MATCH($B392,'Catalog'!$B:$B,0)),IFERROR(INDEX('Catalog'!$A:$A,MATCH(TRIM(SUBSTITUTE($B392,CHAR(160)," ")),'Catalog'!$C:$C,0)),""))))</f>
        <v>4413441</v>
      </c>
      <c r="H392" s="8" t="str">
        <f aca="false">IFERROR(INDEX('TRANS'!$C:$C,MATCH($B392,'TRANS'!$A:$A,0)),IFERROR(INDEX('Catalog'!$B:$B,MATCH($G392,'Catalog'!$A:$A,0)),$B392))</f>
        <v>SC422 XL מגן ברך</v>
      </c>
      <c r="I392" s="8" t="str">
        <f aca="false">IF($G392="","Unmatched","Matched")</f>
        <v>Matched</v>
      </c>
      <c r="J392" s="8" t="n">
        <f aca="false">IF($G392&lt;&gt;"",$G392,$B392)</f>
        <v>4413441</v>
      </c>
      <c r="K392" s="8" t="str">
        <f aca="false">IF(COUNTIF($M$1:$M$10,$A392)&gt;0,"Y","N")</f>
        <v>Y</v>
      </c>
    </row>
    <row r="393" customFormat="false" ht="15" hidden="false" customHeight="true" outlineLevel="0" collapsed="false">
      <c r="A393" s="8" t="s">
        <v>46</v>
      </c>
      <c r="B393" s="8" t="s">
        <v>847</v>
      </c>
      <c r="C393" s="19" t="n">
        <v>2</v>
      </c>
      <c r="D393" s="19" t="n">
        <v>154.59</v>
      </c>
      <c r="E393" s="19" t="n">
        <v>2</v>
      </c>
      <c r="F393" s="19" t="n">
        <v>199.84</v>
      </c>
      <c r="G393" s="8" t="n">
        <f aca="false">IFERROR(INDEX('TRANS'!$B:$B,MATCH($B393,'TRANS'!$A:$A,0)),IFERROR(INDEX('TRANS'!$B:$B,MATCH(TRIM(SUBSTITUTE($B393,CHAR(160)," ")),'TRANS'!$D:$D,0)),IFERROR(INDEX('Catalog'!$A:$A,MATCH($B393,'Catalog'!$B:$B,0)),IFERROR(INDEX('Catalog'!$A:$A,MATCH(TRIM(SUBSTITUTE($B393,CHAR(160)," ")),'Catalog'!$C:$C,0)),""))))</f>
        <v>4413408</v>
      </c>
      <c r="H393" s="8" t="str">
        <f aca="false">IFERROR(INDEX('TRANS'!$C:$C,MATCH($B393,'TRANS'!$A:$A,0)),IFERROR(INDEX('Catalog'!$B:$B,MATCH($G393,'Catalog'!$A:$A,0)),$B393))</f>
        <v>SC95 XLמגן מרפק</v>
      </c>
      <c r="I393" s="8" t="str">
        <f aca="false">IF($G393="","Unmatched","Matched")</f>
        <v>Matched</v>
      </c>
      <c r="J393" s="8" t="n">
        <f aca="false">IF($G393&lt;&gt;"",$G393,$B393)</f>
        <v>4413408</v>
      </c>
      <c r="K393" s="8" t="str">
        <f aca="false">IF(COUNTIF($M$1:$M$10,$A393)&gt;0,"Y","N")</f>
        <v>Y</v>
      </c>
    </row>
    <row r="394" customFormat="false" ht="15" hidden="false" customHeight="true" outlineLevel="0" collapsed="false">
      <c r="A394" s="8" t="s">
        <v>46</v>
      </c>
      <c r="B394" s="8" t="s">
        <v>138</v>
      </c>
      <c r="C394" s="19" t="n">
        <v>0</v>
      </c>
      <c r="D394" s="19" t="n">
        <v>0</v>
      </c>
      <c r="E394" s="19" t="n">
        <v>6</v>
      </c>
      <c r="F394" s="19" t="n">
        <v>210.02</v>
      </c>
      <c r="G394" s="8" t="str">
        <f aca="false">IFERROR(INDEX('TRANS'!$B:$B,MATCH($B394,'TRANS'!$A:$A,0)),IFERROR(INDEX('TRANS'!$B:$B,MATCH(TRIM(SUBSTITUTE($B394,CHAR(160)," ")),'TRANS'!$D:$D,0)),IFERROR(INDEX('Catalog'!$A:$A,MATCH($B394,'Catalog'!$B:$B,0)),IFERROR(INDEX('Catalog'!$A:$A,MATCH(TRIM(SUBSTITUTE($B394,CHAR(160)," ")),'Catalog'!$C:$C,0)),""))))</f>
        <v/>
      </c>
      <c r="H394" s="8" t="str">
        <f aca="false">IFERROR(INDEX('TRANS'!$C:$C,MATCH($B394,'TRANS'!$A:$A,0)),IFERROR(INDEX('Catalog'!$B:$B,MATCH($G394,'Catalog'!$A:$A,0)),$B394))</f>
        <v>SP302W 0</v>
      </c>
      <c r="I394" s="8" t="str">
        <f aca="false">IF($G394="","Unmatched","Matched")</f>
        <v>Unmatched</v>
      </c>
      <c r="J394" s="8" t="str">
        <f aca="false">IF($G394&lt;&gt;"",$G394,$B394)</f>
        <v>SP302W 0</v>
      </c>
      <c r="K394" s="8" t="str">
        <f aca="false">IF(COUNTIF($M$1:$M$10,$A394)&gt;0,"Y","N")</f>
        <v>Y</v>
      </c>
    </row>
    <row r="395" customFormat="false" ht="15" hidden="false" customHeight="true" outlineLevel="0" collapsed="false">
      <c r="A395" s="8" t="s">
        <v>46</v>
      </c>
      <c r="B395" s="8" t="s">
        <v>94</v>
      </c>
      <c r="C395" s="19" t="n">
        <v>4</v>
      </c>
      <c r="D395" s="19" t="n">
        <v>620</v>
      </c>
      <c r="E395" s="19" t="n">
        <v>0</v>
      </c>
      <c r="F395" s="19" t="n">
        <v>0</v>
      </c>
      <c r="G395" s="8" t="str">
        <f aca="false">IFERROR(INDEX('TRANS'!$B:$B,MATCH($B395,'TRANS'!$A:$A,0)),IFERROR(INDEX('TRANS'!$B:$B,MATCH(TRIM(SUBSTITUTE($B395,CHAR(160)," ")),'TRANS'!$D:$D,0)),IFERROR(INDEX('Catalog'!$A:$A,MATCH($B395,'Catalog'!$B:$B,0)),IFERROR(INDEX('Catalog'!$A:$A,MATCH(TRIM(SUBSTITUTE($B395,CHAR(160)," ")),'Catalog'!$C:$C,0)),""))))</f>
        <v/>
      </c>
      <c r="H395" s="8" t="str">
        <f aca="false">IFERROR(INDEX('TRANS'!$C:$C,MATCH($B395,'TRANS'!$A:$A,0)),IFERROR(INDEX('Catalog'!$B:$B,MATCH($G395,'Catalog'!$A:$A,0)),$B395))</f>
        <v>ST433D 0</v>
      </c>
      <c r="I395" s="8" t="str">
        <f aca="false">IF($G395="","Unmatched","Matched")</f>
        <v>Unmatched</v>
      </c>
      <c r="J395" s="8" t="str">
        <f aca="false">IF($G395&lt;&gt;"",$G395,$B395)</f>
        <v>ST433D 0</v>
      </c>
      <c r="K395" s="8" t="str">
        <f aca="false">IF(COUNTIF($M$1:$M$10,$A395)&gt;0,"Y","N")</f>
        <v>Y</v>
      </c>
    </row>
    <row r="396" customFormat="false" ht="15" hidden="false" customHeight="true" outlineLevel="0" collapsed="false">
      <c r="A396" s="8" t="s">
        <v>46</v>
      </c>
      <c r="B396" s="8" t="s">
        <v>147</v>
      </c>
      <c r="C396" s="19" t="n">
        <v>0</v>
      </c>
      <c r="D396" s="19" t="n">
        <v>0</v>
      </c>
      <c r="E396" s="19" t="n">
        <v>1</v>
      </c>
      <c r="F396" s="19" t="n">
        <v>111.04</v>
      </c>
      <c r="G396" s="8" t="str">
        <f aca="false">IFERROR(INDEX('TRANS'!$B:$B,MATCH($B396,'TRANS'!$A:$A,0)),IFERROR(INDEX('TRANS'!$B:$B,MATCH(TRIM(SUBSTITUTE($B396,CHAR(160)," ")),'TRANS'!$D:$D,0)),IFERROR(INDEX('Catalog'!$A:$A,MATCH($B396,'Catalog'!$B:$B,0)),IFERROR(INDEX('Catalog'!$A:$A,MATCH(TRIM(SUBSTITUTE($B396,CHAR(160)," ")),'Catalog'!$C:$C,0)),""))))</f>
        <v/>
      </c>
      <c r="H396" s="8" t="str">
        <f aca="false">IFERROR(INDEX('TRANS'!$C:$C,MATCH($B396,'TRANS'!$A:$A,0)),IFERROR(INDEX('Catalog'!$B:$B,MATCH($G396,'Catalog'!$A:$A,0)),$B396))</f>
        <v>T03 XL</v>
      </c>
      <c r="I396" s="8" t="str">
        <f aca="false">IF($G396="","Unmatched","Matched")</f>
        <v>Unmatched</v>
      </c>
      <c r="J396" s="8" t="str">
        <f aca="false">IF($G396&lt;&gt;"",$G396,$B396)</f>
        <v>T03 XL</v>
      </c>
      <c r="K396" s="8" t="str">
        <f aca="false">IF(COUNTIF($M$1:$M$10,$A396)&gt;0,"Y","N")</f>
        <v>Y</v>
      </c>
    </row>
    <row r="397" customFormat="false" ht="15" hidden="false" customHeight="true" outlineLevel="0" collapsed="false">
      <c r="A397" s="8" t="s">
        <v>46</v>
      </c>
      <c r="B397" s="8" t="s">
        <v>848</v>
      </c>
      <c r="C397" s="19" t="n">
        <v>7</v>
      </c>
      <c r="D397" s="19" t="n">
        <v>343.36</v>
      </c>
      <c r="E397" s="19" t="n">
        <v>0</v>
      </c>
      <c r="F397" s="19" t="n">
        <v>0</v>
      </c>
      <c r="G397" s="8" t="n">
        <f aca="false">IFERROR(INDEX('TRANS'!$B:$B,MATCH($B397,'TRANS'!$A:$A,0)),IFERROR(INDEX('TRANS'!$B:$B,MATCH(TRIM(SUBSTITUTE($B397,CHAR(160)," ")),'TRANS'!$D:$D,0)),IFERROR(INDEX('Catalog'!$A:$A,MATCH($B397,'Catalog'!$B:$B,0)),IFERROR(INDEX('Catalog'!$A:$A,MATCH(TRIM(SUBSTITUTE($B397,CHAR(160)," ")),'Catalog'!$C:$C,0)),""))))</f>
        <v>4408264</v>
      </c>
      <c r="H397" s="8" t="str">
        <f aca="false">IFERROR(INDEX('TRANS'!$C:$C,MATCH($B397,'TRANS'!$A:$A,0)),IFERROR(INDEX('Catalog'!$B:$B,MATCH($G397,'Catalog'!$A:$A,0)),$B397))</f>
        <v>T25B   חבק יד אגודלי</v>
      </c>
      <c r="I397" s="8" t="str">
        <f aca="false">IF($G397="","Unmatched","Matched")</f>
        <v>Matched</v>
      </c>
      <c r="J397" s="8" t="n">
        <f aca="false">IF($G397&lt;&gt;"",$G397,$B397)</f>
        <v>4408264</v>
      </c>
      <c r="K397" s="8" t="str">
        <f aca="false">IF(COUNTIF($M$1:$M$10,$A397)&gt;0,"Y","N")</f>
        <v>Y</v>
      </c>
    </row>
    <row r="398" customFormat="false" ht="15" hidden="false" customHeight="true" outlineLevel="0" collapsed="false">
      <c r="A398" s="8" t="s">
        <v>46</v>
      </c>
      <c r="B398" s="8" t="s">
        <v>110</v>
      </c>
      <c r="C398" s="19" t="n">
        <v>1</v>
      </c>
      <c r="D398" s="19" t="n">
        <v>107.76</v>
      </c>
      <c r="E398" s="19" t="n">
        <v>0</v>
      </c>
      <c r="F398" s="19" t="n">
        <v>0</v>
      </c>
      <c r="G398" s="8" t="str">
        <f aca="false">IFERROR(INDEX('TRANS'!$B:$B,MATCH($B398,'TRANS'!$A:$A,0)),IFERROR(INDEX('TRANS'!$B:$B,MATCH(TRIM(SUBSTITUTE($B398,CHAR(160)," ")),'TRANS'!$D:$D,0)),IFERROR(INDEX('Catalog'!$A:$A,MATCH($B398,'Catalog'!$B:$B,0)),IFERROR(INDEX('Catalog'!$A:$A,MATCH(TRIM(SUBSTITUTE($B398,CHAR(160)," ")),'Catalog'!$C:$C,0)),""))))</f>
        <v/>
      </c>
      <c r="H398" s="8" t="str">
        <f aca="false">IFERROR(INDEX('TRANS'!$C:$C,MATCH($B398,'TRANS'!$A:$A,0)),IFERROR(INDEX('Catalog'!$B:$B,MATCH($G398,'Catalog'!$A:$A,0)),$B398))</f>
        <v>T39 M</v>
      </c>
      <c r="I398" s="8" t="str">
        <f aca="false">IF($G398="","Unmatched","Matched")</f>
        <v>Unmatched</v>
      </c>
      <c r="J398" s="8" t="str">
        <f aca="false">IF($G398&lt;&gt;"",$G398,$B398)</f>
        <v>T39 M</v>
      </c>
      <c r="K398" s="8" t="str">
        <f aca="false">IF(COUNTIF($M$1:$M$10,$A398)&gt;0,"Y","N")</f>
        <v>Y</v>
      </c>
    </row>
    <row r="399" customFormat="false" ht="15" hidden="false" customHeight="true" outlineLevel="0" collapsed="false">
      <c r="A399" s="8" t="s">
        <v>46</v>
      </c>
      <c r="B399" s="8" t="s">
        <v>849</v>
      </c>
      <c r="C399" s="19" t="n">
        <v>2</v>
      </c>
      <c r="D399" s="19" t="n">
        <v>215.52</v>
      </c>
      <c r="E399" s="19" t="n">
        <v>1</v>
      </c>
      <c r="F399" s="19" t="n">
        <v>93.39</v>
      </c>
      <c r="G399" s="8" t="n">
        <f aca="false">IFERROR(INDEX('TRANS'!$B:$B,MATCH($B399,'TRANS'!$A:$A,0)),IFERROR(INDEX('TRANS'!$B:$B,MATCH(TRIM(SUBSTITUTE($B399,CHAR(160)," ")),'TRANS'!$D:$D,0)),IFERROR(INDEX('Catalog'!$A:$A,MATCH($B399,'Catalog'!$B:$B,0)),IFERROR(INDEX('Catalog'!$A:$A,MATCH(TRIM(SUBSTITUTE($B399,CHAR(160)," ")),'Catalog'!$C:$C,0)),""))))</f>
        <v>4413180</v>
      </c>
      <c r="H399" s="8" t="str">
        <f aca="false">IFERROR(INDEX('TRANS'!$C:$C,MATCH($B399,'TRANS'!$A:$A,0)),IFERROR(INDEX('Catalog'!$B:$B,MATCH($G399,'Catalog'!$A:$A,0)),$B399))</f>
        <v>T39  S מגן שוק</v>
      </c>
      <c r="I399" s="8" t="str">
        <f aca="false">IF($G399="","Unmatched","Matched")</f>
        <v>Matched</v>
      </c>
      <c r="J399" s="8" t="n">
        <f aca="false">IF($G399&lt;&gt;"",$G399,$B399)</f>
        <v>4413180</v>
      </c>
      <c r="K399" s="8" t="str">
        <f aca="false">IF(COUNTIF($M$1:$M$10,$A399)&gt;0,"Y","N")</f>
        <v>Y</v>
      </c>
    </row>
    <row r="400" customFormat="false" ht="15" hidden="false" customHeight="true" outlineLevel="0" collapsed="false">
      <c r="A400" s="8" t="s">
        <v>46</v>
      </c>
      <c r="B400" s="8" t="s">
        <v>529</v>
      </c>
      <c r="C400" s="19" t="n">
        <v>1</v>
      </c>
      <c r="D400" s="19" t="n">
        <v>330.88</v>
      </c>
      <c r="E400" s="19" t="n">
        <v>0</v>
      </c>
      <c r="F400" s="19" t="n">
        <v>0</v>
      </c>
      <c r="G400" s="8" t="str">
        <f aca="false">IFERROR(INDEX('TRANS'!$B:$B,MATCH($B400,'TRANS'!$A:$A,0)),IFERROR(INDEX('TRANS'!$B:$B,MATCH(TRIM(SUBSTITUTE($B400,CHAR(160)," ")),'TRANS'!$D:$D,0)),IFERROR(INDEX('Catalog'!$A:$A,MATCH($B400,'Catalog'!$B:$B,0)),IFERROR(INDEX('Catalog'!$A:$A,MATCH(TRIM(SUBSTITUTE($B400,CHAR(160)," ")),'Catalog'!$C:$C,0)),""))))</f>
        <v/>
      </c>
      <c r="H400" s="8" t="str">
        <f aca="false">IFERROR(INDEX('TRANS'!$C:$C,MATCH($B400,'TRANS'!$A:$A,0)),IFERROR(INDEX('Catalog'!$B:$B,MATCH($G400,'Catalog'!$A:$A,0)),$B400))</f>
        <v>T433 XL</v>
      </c>
      <c r="I400" s="8" t="str">
        <f aca="false">IF($G400="","Unmatched","Matched")</f>
        <v>Unmatched</v>
      </c>
      <c r="J400" s="8" t="str">
        <f aca="false">IF($G400&lt;&gt;"",$G400,$B400)</f>
        <v>T433 XL</v>
      </c>
      <c r="K400" s="8" t="str">
        <f aca="false">IF(COUNTIF($M$1:$M$10,$A400)&gt;0,"Y","N")</f>
        <v>Y</v>
      </c>
    </row>
    <row r="401" customFormat="false" ht="15" hidden="false" customHeight="true" outlineLevel="0" collapsed="false">
      <c r="A401" s="8" t="s">
        <v>46</v>
      </c>
      <c r="B401" s="8" t="s">
        <v>168</v>
      </c>
      <c r="C401" s="19" t="n">
        <v>1</v>
      </c>
      <c r="D401" s="19" t="n">
        <v>107.16</v>
      </c>
      <c r="E401" s="19" t="n">
        <v>1</v>
      </c>
      <c r="F401" s="19" t="n">
        <v>80</v>
      </c>
      <c r="G401" s="8" t="str">
        <f aca="false">IFERROR(INDEX('TRANS'!$B:$B,MATCH($B401,'TRANS'!$A:$A,0)),IFERROR(INDEX('TRANS'!$B:$B,MATCH(TRIM(SUBSTITUTE($B401,CHAR(160)," ")),'TRANS'!$D:$D,0)),IFERROR(INDEX('Catalog'!$A:$A,MATCH($B401,'Catalog'!$B:$B,0)),IFERROR(INDEX('Catalog'!$A:$A,MATCH(TRIM(SUBSTITUTE($B401,CHAR(160)," ")),'Catalog'!$C:$C,0)),""))))</f>
        <v/>
      </c>
      <c r="H401" s="8" t="str">
        <f aca="false">IFERROR(INDEX('TRANS'!$C:$C,MATCH($B401,'TRANS'!$A:$A,0)),IFERROR(INDEX('Catalog'!$B:$B,MATCH($G401,'Catalog'!$A:$A,0)),$B401))</f>
        <v>T45X L</v>
      </c>
      <c r="I401" s="8" t="str">
        <f aca="false">IF($G401="","Unmatched","Matched")</f>
        <v>Unmatched</v>
      </c>
      <c r="J401" s="8" t="str">
        <f aca="false">IF($G401&lt;&gt;"",$G401,$B401)</f>
        <v>T45X L</v>
      </c>
      <c r="K401" s="8" t="str">
        <f aca="false">IF(COUNTIF($M$1:$M$10,$A401)&gt;0,"Y","N")</f>
        <v>Y</v>
      </c>
    </row>
    <row r="402" customFormat="false" ht="15" hidden="false" customHeight="true" outlineLevel="0" collapsed="false">
      <c r="A402" s="8" t="s">
        <v>46</v>
      </c>
      <c r="B402" s="8" t="s">
        <v>188</v>
      </c>
      <c r="C402" s="19" t="n">
        <v>0</v>
      </c>
      <c r="D402" s="19" t="n">
        <v>0</v>
      </c>
      <c r="E402" s="19" t="n">
        <v>1</v>
      </c>
      <c r="F402" s="19" t="n">
        <v>80</v>
      </c>
      <c r="G402" s="8" t="str">
        <f aca="false">IFERROR(INDEX('TRANS'!$B:$B,MATCH($B402,'TRANS'!$A:$A,0)),IFERROR(INDEX('TRANS'!$B:$B,MATCH(TRIM(SUBSTITUTE($B402,CHAR(160)," ")),'TRANS'!$D:$D,0)),IFERROR(INDEX('Catalog'!$A:$A,MATCH($B402,'Catalog'!$B:$B,0)),IFERROR(INDEX('Catalog'!$A:$A,MATCH(TRIM(SUBSTITUTE($B402,CHAR(160)," ")),'Catalog'!$C:$C,0)),""))))</f>
        <v/>
      </c>
      <c r="H402" s="8" t="str">
        <f aca="false">IFERROR(INDEX('TRANS'!$C:$C,MATCH($B402,'TRANS'!$A:$A,0)),IFERROR(INDEX('Catalog'!$B:$B,MATCH($G402,'Catalog'!$A:$A,0)),$B402))</f>
        <v>T45X M</v>
      </c>
      <c r="I402" s="8" t="str">
        <f aca="false">IF($G402="","Unmatched","Matched")</f>
        <v>Unmatched</v>
      </c>
      <c r="J402" s="8" t="str">
        <f aca="false">IF($G402&lt;&gt;"",$G402,$B402)</f>
        <v>T45X M</v>
      </c>
      <c r="K402" s="8" t="str">
        <f aca="false">IF(COUNTIF($M$1:$M$10,$A402)&gt;0,"Y","N")</f>
        <v>Y</v>
      </c>
    </row>
    <row r="403" customFormat="false" ht="15" hidden="false" customHeight="true" outlineLevel="0" collapsed="false">
      <c r="A403" s="8" t="s">
        <v>46</v>
      </c>
      <c r="B403" s="8" t="s">
        <v>323</v>
      </c>
      <c r="C403" s="19" t="n">
        <v>0</v>
      </c>
      <c r="D403" s="19" t="n">
        <v>0</v>
      </c>
      <c r="E403" s="19" t="n">
        <v>1</v>
      </c>
      <c r="F403" s="19" t="n">
        <v>80.02</v>
      </c>
      <c r="G403" s="8" t="str">
        <f aca="false">IFERROR(INDEX('TRANS'!$B:$B,MATCH($B403,'TRANS'!$A:$A,0)),IFERROR(INDEX('TRANS'!$B:$B,MATCH(TRIM(SUBSTITUTE($B403,CHAR(160)," ")),'TRANS'!$D:$D,0)),IFERROR(INDEX('Catalog'!$A:$A,MATCH($B403,'Catalog'!$B:$B,0)),IFERROR(INDEX('Catalog'!$A:$A,MATCH(TRIM(SUBSTITUTE($B403,CHAR(160)," ")),'Catalog'!$C:$C,0)),""))))</f>
        <v/>
      </c>
      <c r="H403" s="8" t="str">
        <f aca="false">IFERROR(INDEX('TRANS'!$C:$C,MATCH($B403,'TRANS'!$A:$A,0)),IFERROR(INDEX('Catalog'!$B:$B,MATCH($G403,'Catalog'!$A:$A,0)),$B403))</f>
        <v>T45X S</v>
      </c>
      <c r="I403" s="8" t="str">
        <f aca="false">IF($G403="","Unmatched","Matched")</f>
        <v>Unmatched</v>
      </c>
      <c r="J403" s="8" t="str">
        <f aca="false">IF($G403&lt;&gt;"",$G403,$B403)</f>
        <v>T45X S</v>
      </c>
      <c r="K403" s="8" t="str">
        <f aca="false">IF(COUNTIF($M$1:$M$10,$A403)&gt;0,"Y","N")</f>
        <v>Y</v>
      </c>
    </row>
    <row r="404" customFormat="false" ht="15" hidden="false" customHeight="true" outlineLevel="0" collapsed="false">
      <c r="A404" s="8" t="s">
        <v>46</v>
      </c>
      <c r="B404" s="8" t="s">
        <v>850</v>
      </c>
      <c r="C404" s="19" t="n">
        <v>0</v>
      </c>
      <c r="D404" s="19" t="n">
        <v>0</v>
      </c>
      <c r="E404" s="19" t="n">
        <v>1</v>
      </c>
      <c r="F404" s="19" t="n">
        <v>80</v>
      </c>
      <c r="G404" s="8" t="n">
        <f aca="false">IFERROR(INDEX('TRANS'!$B:$B,MATCH($B404,'TRANS'!$A:$A,0)),IFERROR(INDEX('TRANS'!$B:$B,MATCH(TRIM(SUBSTITUTE($B404,CHAR(160)," ")),'TRANS'!$D:$D,0)),IFERROR(INDEX('Catalog'!$A:$A,MATCH($B404,'Catalog'!$B:$B,0)),IFERROR(INDEX('Catalog'!$A:$A,MATCH(TRIM(SUBSTITUTE($B404,CHAR(160)," ")),'Catalog'!$C:$C,0)),""))))</f>
        <v>4413260</v>
      </c>
      <c r="H404" s="8" t="str">
        <f aca="false">IFERROR(INDEX('TRANS'!$C:$C,MATCH($B404,'TRANS'!$A:$A,0)),IFERROR(INDEX('Catalog'!$B:$B,MATCH($G404,'Catalog'!$A:$A,0)),$B404))</f>
        <v>T45X-XXLמגן ברך רגיל</v>
      </c>
      <c r="I404" s="8" t="str">
        <f aca="false">IF($G404="","Unmatched","Matched")</f>
        <v>Matched</v>
      </c>
      <c r="J404" s="8" t="n">
        <f aca="false">IF($G404&lt;&gt;"",$G404,$B404)</f>
        <v>4413260</v>
      </c>
      <c r="K404" s="8" t="str">
        <f aca="false">IF(COUNTIF($M$1:$M$10,$A404)&gt;0,"Y","N")</f>
        <v>Y</v>
      </c>
    </row>
    <row r="405" customFormat="false" ht="15" hidden="false" customHeight="true" outlineLevel="0" collapsed="false">
      <c r="A405" s="8" t="s">
        <v>46</v>
      </c>
      <c r="B405" s="8" t="s">
        <v>324</v>
      </c>
      <c r="C405" s="19" t="n">
        <v>2</v>
      </c>
      <c r="D405" s="19" t="n">
        <v>170.52</v>
      </c>
      <c r="E405" s="19" t="n">
        <v>0</v>
      </c>
      <c r="F405" s="19" t="n">
        <v>0</v>
      </c>
      <c r="G405" s="8" t="str">
        <f aca="false">IFERROR(INDEX('TRANS'!$B:$B,MATCH($B405,'TRANS'!$A:$A,0)),IFERROR(INDEX('TRANS'!$B:$B,MATCH(TRIM(SUBSTITUTE($B405,CHAR(160)," ")),'TRANS'!$D:$D,0)),IFERROR(INDEX('Catalog'!$A:$A,MATCH($B405,'Catalog'!$B:$B,0)),IFERROR(INDEX('Catalog'!$A:$A,MATCH(TRIM(SUBSTITUTE($B405,CHAR(160)," ")),'Catalog'!$C:$C,0)),""))))</f>
        <v/>
      </c>
      <c r="H405" s="8" t="str">
        <f aca="false">IFERROR(INDEX('TRANS'!$C:$C,MATCH($B405,'TRANS'!$A:$A,0)),IFERROR(INDEX('Catalog'!$B:$B,MATCH($G405,'Catalog'!$A:$A,0)),$B405))</f>
        <v>T49 L</v>
      </c>
      <c r="I405" s="8" t="str">
        <f aca="false">IF($G405="","Unmatched","Matched")</f>
        <v>Unmatched</v>
      </c>
      <c r="J405" s="8" t="str">
        <f aca="false">IF($G405&lt;&gt;"",$G405,$B405)</f>
        <v>T49 L</v>
      </c>
      <c r="K405" s="8" t="str">
        <f aca="false">IF(COUNTIF($M$1:$M$10,$A405)&gt;0,"Y","N")</f>
        <v>Y</v>
      </c>
    </row>
    <row r="406" customFormat="false" ht="15" hidden="false" customHeight="true" outlineLevel="0" collapsed="false">
      <c r="A406" s="8" t="s">
        <v>46</v>
      </c>
      <c r="B406" s="8" t="s">
        <v>851</v>
      </c>
      <c r="C406" s="19" t="n">
        <v>2</v>
      </c>
      <c r="D406" s="19" t="n">
        <v>258</v>
      </c>
      <c r="E406" s="19" t="n">
        <v>1</v>
      </c>
      <c r="F406" s="19" t="n">
        <v>130</v>
      </c>
      <c r="G406" s="8" t="n">
        <f aca="false">IFERROR(INDEX('TRANS'!$B:$B,MATCH($B406,'TRANS'!$A:$A,0)),IFERROR(INDEX('TRANS'!$B:$B,MATCH(TRIM(SUBSTITUTE($B406,CHAR(160)," ")),'TRANS'!$D:$D,0)),IFERROR(INDEX('Catalog'!$A:$A,MATCH($B406,'Catalog'!$B:$B,0)),IFERROR(INDEX('Catalog'!$A:$A,MATCH(TRIM(SUBSTITUTE($B406,CHAR(160)," ")),'Catalog'!$C:$C,0)),""))))</f>
        <v>4422005</v>
      </c>
      <c r="H406" s="8" t="str">
        <f aca="false">IFERROR(INDEX('TRANS'!$C:$C,MATCH($B406,'TRANS'!$A:$A,0)),IFERROR(INDEX('Catalog'!$B:$B,MATCH($G406,'Catalog'!$A:$A,0)),$B406))</f>
        <v>T78 M תומך זרוע וכתף</v>
      </c>
      <c r="I406" s="8" t="str">
        <f aca="false">IF($G406="","Unmatched","Matched")</f>
        <v>Matched</v>
      </c>
      <c r="J406" s="8" t="n">
        <f aca="false">IF($G406&lt;&gt;"",$G406,$B406)</f>
        <v>4422005</v>
      </c>
      <c r="K406" s="8" t="str">
        <f aca="false">IF(COUNTIF($M$1:$M$10,$A406)&gt;0,"Y","N")</f>
        <v>Y</v>
      </c>
    </row>
    <row r="407" customFormat="false" ht="15" hidden="false" customHeight="true" outlineLevel="0" collapsed="false">
      <c r="A407" s="8" t="s">
        <v>46</v>
      </c>
      <c r="B407" s="8" t="s">
        <v>422</v>
      </c>
      <c r="C407" s="19" t="n">
        <v>6</v>
      </c>
      <c r="D407" s="19" t="n">
        <v>500.94</v>
      </c>
      <c r="E407" s="19" t="n">
        <v>0</v>
      </c>
      <c r="F407" s="19" t="n">
        <v>0</v>
      </c>
      <c r="G407" s="8" t="str">
        <f aca="false">IFERROR(INDEX('TRANS'!$B:$B,MATCH($B407,'TRANS'!$A:$A,0)),IFERROR(INDEX('TRANS'!$B:$B,MATCH(TRIM(SUBSTITUTE($B407,CHAR(160)," ")),'TRANS'!$D:$D,0)),IFERROR(INDEX('Catalog'!$A:$A,MATCH($B407,'Catalog'!$B:$B,0)),IFERROR(INDEX('Catalog'!$A:$A,MATCH(TRIM(SUBSTITUTE($B407,CHAR(160)," ")),'Catalog'!$C:$C,0)),""))))</f>
        <v/>
      </c>
      <c r="H407" s="8" t="str">
        <f aca="false">IFERROR(INDEX('TRANS'!$C:$C,MATCH($B407,'TRANS'!$A:$A,0)),IFERROR(INDEX('Catalog'!$B:$B,MATCH($G407,'Catalog'!$A:$A,0)),$B407))</f>
        <v>T95 L</v>
      </c>
      <c r="I407" s="8" t="str">
        <f aca="false">IF($G407="","Unmatched","Matched")</f>
        <v>Unmatched</v>
      </c>
      <c r="J407" s="8" t="str">
        <f aca="false">IF($G407&lt;&gt;"",$G407,$B407)</f>
        <v>T95 L</v>
      </c>
      <c r="K407" s="8" t="str">
        <f aca="false">IF(COUNTIF($M$1:$M$10,$A407)&gt;0,"Y","N")</f>
        <v>Y</v>
      </c>
    </row>
    <row r="408" customFormat="false" ht="15" hidden="false" customHeight="true" outlineLevel="0" collapsed="false">
      <c r="A408" s="8" t="s">
        <v>46</v>
      </c>
      <c r="B408" s="8" t="s">
        <v>852</v>
      </c>
      <c r="C408" s="19" t="n">
        <v>3</v>
      </c>
      <c r="D408" s="19" t="n">
        <v>315</v>
      </c>
      <c r="E408" s="19" t="n">
        <v>15</v>
      </c>
      <c r="F408" s="19" t="n">
        <v>2130.06</v>
      </c>
      <c r="G408" s="8" t="n">
        <f aca="false">IFERROR(INDEX('TRANS'!$B:$B,MATCH($B408,'TRANS'!$A:$A,0)),IFERROR(INDEX('TRANS'!$B:$B,MATCH(TRIM(SUBSTITUTE($B408,CHAR(160)," ")),'TRANS'!$D:$D,0)),IFERROR(INDEX('Catalog'!$A:$A,MATCH($B408,'Catalog'!$B:$B,0)),IFERROR(INDEX('Catalog'!$A:$A,MATCH(TRIM(SUBSTITUTE($B408,CHAR(160)," ")),'Catalog'!$C:$C,0)),""))))</f>
        <v>4408190</v>
      </c>
      <c r="H408" s="8" t="str">
        <f aca="false">IFERROR(INDEX('TRANS'!$C:$C,MATCH($B408,'TRANS'!$A:$A,0)),IFERROR(INDEX('Catalog'!$B:$B,MATCH($G408,'Catalog'!$A:$A,0)),$B408))</f>
        <v>M078 חגורת גב +סגירה כפולה</v>
      </c>
      <c r="I408" s="8" t="str">
        <f aca="false">IF($G408="","Unmatched","Matched")</f>
        <v>Matched</v>
      </c>
      <c r="J408" s="8" t="n">
        <f aca="false">IF($G408&lt;&gt;"",$G408,$B408)</f>
        <v>4408190</v>
      </c>
      <c r="K408" s="8" t="str">
        <f aca="false">IF(COUNTIF($M$1:$M$10,$A408)&gt;0,"Y","N")</f>
        <v>Y</v>
      </c>
    </row>
    <row r="409" customFormat="false" ht="15" hidden="false" customHeight="true" outlineLevel="0" collapsed="false">
      <c r="A409" s="8" t="s">
        <v>46</v>
      </c>
      <c r="B409" s="8" t="s">
        <v>853</v>
      </c>
      <c r="C409" s="19" t="n">
        <v>0</v>
      </c>
      <c r="D409" s="19" t="n">
        <v>0</v>
      </c>
      <c r="E409" s="19" t="n">
        <v>11</v>
      </c>
      <c r="F409" s="19" t="n">
        <v>1701.8</v>
      </c>
      <c r="G409" s="8" t="n">
        <f aca="false">IFERROR(INDEX('TRANS'!$B:$B,MATCH($B409,'TRANS'!$A:$A,0)),IFERROR(INDEX('TRANS'!$B:$B,MATCH(TRIM(SUBSTITUTE($B409,CHAR(160)," ")),'TRANS'!$D:$D,0)),IFERROR(INDEX('Catalog'!$A:$A,MATCH($B409,'Catalog'!$B:$B,0)),IFERROR(INDEX('Catalog'!$A:$A,MATCH(TRIM(SUBSTITUTE($B409,CHAR(160)," ")),'Catalog'!$C:$C,0)),""))))</f>
        <v>4408217</v>
      </c>
      <c r="H409" s="8" t="str">
        <f aca="false">IFERROR(INDEX('TRANS'!$C:$C,MATCH($B409,'TRANS'!$A:$A,0)),IFERROR(INDEX('Catalog'!$B:$B,MATCH($G409,'Catalog'!$A:$A,0)),$B409))</f>
        <v>S078 חגורת גב +סגירה כפולה</v>
      </c>
      <c r="I409" s="8" t="str">
        <f aca="false">IF($G409="","Unmatched","Matched")</f>
        <v>Matched</v>
      </c>
      <c r="J409" s="8" t="n">
        <f aca="false">IF($G409&lt;&gt;"",$G409,$B409)</f>
        <v>4408217</v>
      </c>
      <c r="K409" s="8" t="str">
        <f aca="false">IF(COUNTIF($M$1:$M$10,$A409)&gt;0,"Y","N")</f>
        <v>Y</v>
      </c>
    </row>
    <row r="410" customFormat="false" ht="15" hidden="false" customHeight="true" outlineLevel="0" collapsed="false">
      <c r="A410" s="8" t="s">
        <v>46</v>
      </c>
      <c r="B410" s="8" t="s">
        <v>854</v>
      </c>
      <c r="C410" s="19" t="n">
        <v>0</v>
      </c>
      <c r="D410" s="19" t="n">
        <v>0</v>
      </c>
      <c r="E410" s="19" t="n">
        <v>2</v>
      </c>
      <c r="F410" s="19" t="n">
        <v>320</v>
      </c>
      <c r="G410" s="8" t="n">
        <f aca="false">IFERROR(INDEX('TRANS'!$B:$B,MATCH($B410,'TRANS'!$A:$A,0)),IFERROR(INDEX('TRANS'!$B:$B,MATCH(TRIM(SUBSTITUTE($B410,CHAR(160)," ")),'TRANS'!$D:$D,0)),IFERROR(INDEX('Catalog'!$A:$A,MATCH($B410,'Catalog'!$B:$B,0)),IFERROR(INDEX('Catalog'!$A:$A,MATCH(TRIM(SUBSTITUTE($B410,CHAR(160)," ")),'Catalog'!$C:$C,0)),""))))</f>
        <v>4408265</v>
      </c>
      <c r="H410" s="8" t="str">
        <f aca="false">IFERROR(INDEX('TRANS'!$C:$C,MATCH($B410,'TRANS'!$A:$A,0)),IFERROR(INDEX('Catalog'!$B:$B,MATCH($G410,'Catalog'!$A:$A,0)),$B410))</f>
        <v>078XXL חגורת גב +סגירה כפולה</v>
      </c>
      <c r="I410" s="8" t="str">
        <f aca="false">IF($G410="","Unmatched","Matched")</f>
        <v>Matched</v>
      </c>
      <c r="J410" s="8" t="n">
        <f aca="false">IF($G410&lt;&gt;"",$G410,$B410)</f>
        <v>4408265</v>
      </c>
      <c r="K410" s="8" t="str">
        <f aca="false">IF(COUNTIF($M$1:$M$10,$A410)&gt;0,"Y","N")</f>
        <v>Y</v>
      </c>
    </row>
    <row r="411" customFormat="false" ht="15" hidden="false" customHeight="true" outlineLevel="0" collapsed="false">
      <c r="A411" s="8" t="s">
        <v>46</v>
      </c>
      <c r="B411" s="8" t="s">
        <v>423</v>
      </c>
      <c r="C411" s="19" t="n">
        <v>11</v>
      </c>
      <c r="D411" s="19" t="n">
        <v>1609.27</v>
      </c>
      <c r="E411" s="19" t="n">
        <v>0</v>
      </c>
      <c r="F411" s="19" t="n">
        <v>0</v>
      </c>
      <c r="G411" s="8" t="str">
        <f aca="false">IFERROR(INDEX('TRANS'!$B:$B,MATCH($B411,'TRANS'!$A:$A,0)),IFERROR(INDEX('TRANS'!$B:$B,MATCH(TRIM(SUBSTITUTE($B411,CHAR(160)," ")),'TRANS'!$D:$D,0)),IFERROR(INDEX('Catalog'!$A:$A,MATCH($B411,'Catalog'!$B:$B,0)),IFERROR(INDEX('Catalog'!$A:$A,MATCH(TRIM(SUBSTITUTE($B411,CHAR(160)," ")),'Catalog'!$C:$C,0)),""))))</f>
        <v/>
      </c>
      <c r="H411" s="8" t="str">
        <f aca="false">IFERROR(INDEX('TRANS'!$C:$C,MATCH($B411,'TRANS'!$A:$A,0)),IFERROR(INDEX('Catalog'!$B:$B,MATCH($G411,'Catalog'!$A:$A,0)),$B411))</f>
        <v>10 XXL</v>
      </c>
      <c r="I411" s="8" t="str">
        <f aca="false">IF($G411="","Unmatched","Matched")</f>
        <v>Unmatched</v>
      </c>
      <c r="J411" s="8" t="str">
        <f aca="false">IF($G411&lt;&gt;"",$G411,$B411)</f>
        <v>10 XXL</v>
      </c>
      <c r="K411" s="8" t="str">
        <f aca="false">IF(COUNTIF($M$1:$M$10,$A411)&gt;0,"Y","N")</f>
        <v>Y</v>
      </c>
    </row>
    <row r="412" customFormat="false" ht="15" hidden="false" customHeight="true" outlineLevel="0" collapsed="false">
      <c r="A412" s="8" t="s">
        <v>46</v>
      </c>
      <c r="B412" s="8" t="s">
        <v>855</v>
      </c>
      <c r="C412" s="19" t="n">
        <v>1</v>
      </c>
      <c r="D412" s="19" t="n">
        <v>100.58</v>
      </c>
      <c r="E412" s="19" t="n">
        <v>0</v>
      </c>
      <c r="F412" s="19" t="n">
        <v>0</v>
      </c>
      <c r="G412" s="8" t="n">
        <f aca="false">IFERROR(INDEX('TRANS'!$B:$B,MATCH($B412,'TRANS'!$A:$A,0)),IFERROR(INDEX('TRANS'!$B:$B,MATCH(TRIM(SUBSTITUTE($B412,CHAR(160)," ")),'TRANS'!$D:$D,0)),IFERROR(INDEX('Catalog'!$A:$A,MATCH($B412,'Catalog'!$B:$B,0)),IFERROR(INDEX('Catalog'!$A:$A,MATCH(TRIM(SUBSTITUTE($B412,CHAR(160)," ")),'Catalog'!$C:$C,0)),""))))</f>
        <v>4408032</v>
      </c>
      <c r="H412" s="8" t="str">
        <f aca="false">IFERROR(INDEX('TRANS'!$C:$C,MATCH($B412,'TRANS'!$A:$A,0)),IFERROR(INDEX('Catalog'!$B:$B,MATCH($G412,'Catalog'!$A:$A,0)),$B412))</f>
        <v>11 L""""חגורת בטן""""אורירית</v>
      </c>
      <c r="I412" s="8" t="str">
        <f aca="false">IF($G412="","Unmatched","Matched")</f>
        <v>Matched</v>
      </c>
      <c r="J412" s="8" t="n">
        <f aca="false">IF($G412&lt;&gt;"",$G412,$B412)</f>
        <v>4408032</v>
      </c>
      <c r="K412" s="8" t="str">
        <f aca="false">IF(COUNTIF($M$1:$M$10,$A412)&gt;0,"Y","N")</f>
        <v>Y</v>
      </c>
    </row>
    <row r="413" customFormat="false" ht="15" hidden="false" customHeight="true" outlineLevel="0" collapsed="false">
      <c r="A413" s="8" t="s">
        <v>46</v>
      </c>
      <c r="B413" s="8" t="s">
        <v>856</v>
      </c>
      <c r="C413" s="19" t="n">
        <v>1</v>
      </c>
      <c r="D413" s="19" t="n">
        <v>220.21</v>
      </c>
      <c r="E413" s="19" t="n">
        <v>1</v>
      </c>
      <c r="F413" s="19" t="n">
        <v>99.53</v>
      </c>
      <c r="G413" s="8" t="n">
        <f aca="false">IFERROR(INDEX('TRANS'!$B:$B,MATCH($B413,'TRANS'!$A:$A,0)),IFERROR(INDEX('TRANS'!$B:$B,MATCH(TRIM(SUBSTITUTE($B413,CHAR(160)," ")),'TRANS'!$D:$D,0)),IFERROR(INDEX('Catalog'!$A:$A,MATCH($B413,'Catalog'!$B:$B,0)),IFERROR(INDEX('Catalog'!$A:$A,MATCH(TRIM(SUBSTITUTE($B413,CHAR(160)," ")),'Catalog'!$C:$C,0)),""))))</f>
        <v>4408132</v>
      </c>
      <c r="H413" s="8" t="str">
        <f aca="false">IFERROR(INDEX('TRANS'!$C:$C,MATCH($B413,'TRANS'!$A:$A,0)),IFERROR(INDEX('Catalog'!$B:$B,MATCH($G413,'Catalog'!$A:$A,0)),$B413))</f>
        <v>11EU XXL חגורת בטןלאחר ניתוח</v>
      </c>
      <c r="I413" s="8" t="str">
        <f aca="false">IF($G413="","Unmatched","Matched")</f>
        <v>Matched</v>
      </c>
      <c r="J413" s="8" t="n">
        <f aca="false">IF($G413&lt;&gt;"",$G413,$B413)</f>
        <v>4408132</v>
      </c>
      <c r="K413" s="8" t="str">
        <f aca="false">IF(COUNTIF($M$1:$M$10,$A413)&gt;0,"Y","N")</f>
        <v>Y</v>
      </c>
    </row>
    <row r="414" customFormat="false" ht="15" hidden="false" customHeight="true" outlineLevel="0" collapsed="false">
      <c r="A414" s="8" t="s">
        <v>46</v>
      </c>
      <c r="B414" s="8" t="s">
        <v>857</v>
      </c>
      <c r="C414" s="19" t="n">
        <v>1</v>
      </c>
      <c r="D414" s="19" t="n">
        <v>221.8</v>
      </c>
      <c r="E414" s="19" t="n">
        <v>0</v>
      </c>
      <c r="F414" s="19" t="n">
        <v>0</v>
      </c>
      <c r="G414" s="8" t="n">
        <f aca="false">IFERROR(INDEX('TRANS'!$B:$B,MATCH($B414,'TRANS'!$A:$A,0)),IFERROR(INDEX('TRANS'!$B:$B,MATCH(TRIM(SUBSTITUTE($B414,CHAR(160)," ")),'TRANS'!$D:$D,0)),IFERROR(INDEX('Catalog'!$A:$A,MATCH($B414,'Catalog'!$B:$B,0)),IFERROR(INDEX('Catalog'!$A:$A,MATCH(TRIM(SUBSTITUTE($B414,CHAR(160)," ")),'Catalog'!$C:$C,0)),""))))</f>
        <v>4408261</v>
      </c>
      <c r="H414" s="8" t="str">
        <f aca="false">IFERROR(INDEX('TRANS'!$C:$C,MATCH($B414,'TRANS'!$A:$A,0)),IFERROR(INDEX('Catalog'!$B:$B,MATCH($G414,'Catalog'!$A:$A,0)),$B414))</f>
        <v>11STO L חגורה אחרי ניתוח</v>
      </c>
      <c r="I414" s="8" t="str">
        <f aca="false">IF($G414="","Unmatched","Matched")</f>
        <v>Matched</v>
      </c>
      <c r="J414" s="8" t="n">
        <f aca="false">IF($G414&lt;&gt;"",$G414,$B414)</f>
        <v>4408261</v>
      </c>
      <c r="K414" s="8" t="str">
        <f aca="false">IF(COUNTIF($M$1:$M$10,$A414)&gt;0,"Y","N")</f>
        <v>Y</v>
      </c>
    </row>
    <row r="415" customFormat="false" ht="15" hidden="false" customHeight="true" outlineLevel="0" collapsed="false">
      <c r="A415" s="8" t="s">
        <v>46</v>
      </c>
      <c r="B415" s="8" t="s">
        <v>858</v>
      </c>
      <c r="C415" s="19" t="n">
        <v>0</v>
      </c>
      <c r="D415" s="19" t="n">
        <v>0</v>
      </c>
      <c r="E415" s="19" t="n">
        <v>1</v>
      </c>
      <c r="F415" s="19" t="n">
        <v>0.01</v>
      </c>
      <c r="G415" s="8" t="n">
        <f aca="false">IFERROR(INDEX('TRANS'!$B:$B,MATCH($B415,'TRANS'!$A:$A,0)),IFERROR(INDEX('TRANS'!$B:$B,MATCH(TRIM(SUBSTITUTE($B415,CHAR(160)," ")),'TRANS'!$D:$D,0)),IFERROR(INDEX('Catalog'!$A:$A,MATCH($B415,'Catalog'!$B:$B,0)),IFERROR(INDEX('Catalog'!$A:$A,MATCH(TRIM(SUBSTITUTE($B415,CHAR(160)," ")),'Catalog'!$C:$C,0)),""))))</f>
        <v>4408152</v>
      </c>
      <c r="H415" s="8" t="str">
        <f aca="false">IFERROR(INDEX('TRANS'!$C:$C,MATCH($B415,'TRANS'!$A:$A,0)),IFERROR(INDEX('Catalog'!$B:$B,MATCH($G415,'Catalog'!$A:$A,0)),$B415))</f>
        <v>11TO L חגורה למנותחי בית החזה</v>
      </c>
      <c r="I415" s="8" t="str">
        <f aca="false">IF($G415="","Unmatched","Matched")</f>
        <v>Matched</v>
      </c>
      <c r="J415" s="8" t="n">
        <f aca="false">IF($G415&lt;&gt;"",$G415,$B415)</f>
        <v>4408152</v>
      </c>
      <c r="K415" s="8" t="str">
        <f aca="false">IF(COUNTIF($M$1:$M$10,$A415)&gt;0,"Y","N")</f>
        <v>Y</v>
      </c>
    </row>
    <row r="416" customFormat="false" ht="15" hidden="false" customHeight="true" outlineLevel="0" collapsed="false">
      <c r="A416" s="8" t="s">
        <v>46</v>
      </c>
      <c r="B416" s="8" t="s">
        <v>398</v>
      </c>
      <c r="C416" s="19" t="n">
        <v>1</v>
      </c>
      <c r="D416" s="19" t="n">
        <v>137.43</v>
      </c>
      <c r="E416" s="19" t="n">
        <v>0</v>
      </c>
      <c r="F416" s="19" t="n">
        <v>0</v>
      </c>
      <c r="G416" s="8" t="str">
        <f aca="false">IFERROR(INDEX('TRANS'!$B:$B,MATCH($B416,'TRANS'!$A:$A,0)),IFERROR(INDEX('TRANS'!$B:$B,MATCH(TRIM(SUBSTITUTE($B416,CHAR(160)," ")),'TRANS'!$D:$D,0)),IFERROR(INDEX('Catalog'!$A:$A,MATCH($B416,'Catalog'!$B:$B,0)),IFERROR(INDEX('Catalog'!$A:$A,MATCH(TRIM(SUBSTITUTE($B416,CHAR(160)," ")),'Catalog'!$C:$C,0)),""))))</f>
        <v/>
      </c>
      <c r="H416" s="8" t="str">
        <f aca="false">IFERROR(INDEX('TRANS'!$C:$C,MATCH($B416,'TRANS'!$A:$A,0)),IFERROR(INDEX('Catalog'!$B:$B,MATCH($G416,'Catalog'!$A:$A,0)),$B416))</f>
        <v>11U L</v>
      </c>
      <c r="I416" s="8" t="str">
        <f aca="false">IF($G416="","Unmatched","Matched")</f>
        <v>Unmatched</v>
      </c>
      <c r="J416" s="8" t="str">
        <f aca="false">IF($G416&lt;&gt;"",$G416,$B416)</f>
        <v>11U L</v>
      </c>
      <c r="K416" s="8" t="str">
        <f aca="false">IF(COUNTIF($M$1:$M$10,$A416)&gt;0,"Y","N")</f>
        <v>Y</v>
      </c>
    </row>
    <row r="417" customFormat="false" ht="15" hidden="false" customHeight="true" outlineLevel="0" collapsed="false">
      <c r="A417" s="8" t="s">
        <v>46</v>
      </c>
      <c r="B417" s="8" t="s">
        <v>859</v>
      </c>
      <c r="C417" s="19" t="n">
        <v>0</v>
      </c>
      <c r="D417" s="19" t="n">
        <v>0</v>
      </c>
      <c r="E417" s="19" t="n">
        <v>1</v>
      </c>
      <c r="F417" s="19" t="n">
        <v>0.01</v>
      </c>
      <c r="G417" s="8" t="n">
        <f aca="false">IFERROR(INDEX('TRANS'!$B:$B,MATCH($B417,'TRANS'!$A:$A,0)),IFERROR(INDEX('TRANS'!$B:$B,MATCH(TRIM(SUBSTITUTE($B417,CHAR(160)," ")),'TRANS'!$D:$D,0)),IFERROR(INDEX('Catalog'!$A:$A,MATCH($B417,'Catalog'!$B:$B,0)),IFERROR(INDEX('Catalog'!$A:$A,MATCH(TRIM(SUBSTITUTE($B417,CHAR(160)," ")),'Catalog'!$C:$C,0)),""))))</f>
        <v>4408275</v>
      </c>
      <c r="H417" s="8" t="str">
        <f aca="false">IFERROR(INDEX('TRANS'!$C:$C,MATCH($B417,'TRANS'!$A:$A,0)),IFERROR(INDEX('Catalog'!$B:$B,MATCH($G417,'Catalog'!$A:$A,0)),$B417))</f>
        <v>202  ONE SIZE חבק יד</v>
      </c>
      <c r="I417" s="8" t="str">
        <f aca="false">IF($G417="","Unmatched","Matched")</f>
        <v>Matched</v>
      </c>
      <c r="J417" s="8" t="n">
        <f aca="false">IF($G417&lt;&gt;"",$G417,$B417)</f>
        <v>4408275</v>
      </c>
      <c r="K417" s="8" t="str">
        <f aca="false">IF(COUNTIF($M$1:$M$10,$A417)&gt;0,"Y","N")</f>
        <v>Y</v>
      </c>
    </row>
    <row r="418" customFormat="false" ht="15" hidden="false" customHeight="true" outlineLevel="0" collapsed="false">
      <c r="A418" s="8" t="s">
        <v>46</v>
      </c>
      <c r="B418" s="8" t="s">
        <v>271</v>
      </c>
      <c r="C418" s="19" t="n">
        <v>1</v>
      </c>
      <c r="D418" s="19" t="n">
        <v>37.77</v>
      </c>
      <c r="E418" s="19" t="n">
        <v>0</v>
      </c>
      <c r="F418" s="19" t="n">
        <v>0</v>
      </c>
      <c r="G418" s="8" t="str">
        <f aca="false">IFERROR(INDEX('TRANS'!$B:$B,MATCH($B418,'TRANS'!$A:$A,0)),IFERROR(INDEX('TRANS'!$B:$B,MATCH(TRIM(SUBSTITUTE($B418,CHAR(160)," ")),'TRANS'!$D:$D,0)),IFERROR(INDEX('Catalog'!$A:$A,MATCH($B418,'Catalog'!$B:$B,0)),IFERROR(INDEX('Catalog'!$A:$A,MATCH(TRIM(SUBSTITUTE($B418,CHAR(160)," ")),'Catalog'!$C:$C,0)),""))))</f>
        <v/>
      </c>
      <c r="H418" s="8" t="str">
        <f aca="false">IFERROR(INDEX('TRANS'!$C:$C,MATCH($B418,'TRANS'!$A:$A,0)),IFERROR(INDEX('Catalog'!$B:$B,MATCH($G418,'Catalog'!$A:$A,0)),$B418))</f>
        <v>21 XXL</v>
      </c>
      <c r="I418" s="8" t="str">
        <f aca="false">IF($G418="","Unmatched","Matched")</f>
        <v>Unmatched</v>
      </c>
      <c r="J418" s="8" t="str">
        <f aca="false">IF($G418&lt;&gt;"",$G418,$B418)</f>
        <v>21 XXL</v>
      </c>
      <c r="K418" s="8" t="str">
        <f aca="false">IF(COUNTIF($M$1:$M$10,$A418)&gt;0,"Y","N")</f>
        <v>Y</v>
      </c>
    </row>
    <row r="419" customFormat="false" ht="15" hidden="false" customHeight="true" outlineLevel="0" collapsed="false">
      <c r="A419" s="8" t="s">
        <v>46</v>
      </c>
      <c r="B419" s="8" t="s">
        <v>860</v>
      </c>
      <c r="C419" s="19" t="n">
        <v>1</v>
      </c>
      <c r="D419" s="19" t="n">
        <v>156.18</v>
      </c>
      <c r="E419" s="19" t="n">
        <v>0</v>
      </c>
      <c r="F419" s="19" t="n">
        <v>0</v>
      </c>
      <c r="G419" s="8" t="n">
        <f aca="false">IFERROR(INDEX('TRANS'!$B:$B,MATCH($B419,'TRANS'!$A:$A,0)),IFERROR(INDEX('TRANS'!$B:$B,MATCH(TRIM(SUBSTITUTE($B419,CHAR(160)," ")),'TRANS'!$D:$D,0)),IFERROR(INDEX('Catalog'!$A:$A,MATCH($B419,'Catalog'!$B:$B,0)),IFERROR(INDEX('Catalog'!$A:$A,MATCH(TRIM(SUBSTITUTE($B419,CHAR(160)," ")),'Catalog'!$C:$C,0)),""))))</f>
        <v>4411026</v>
      </c>
      <c r="H419" s="8" t="str">
        <f aca="false">IFERROR(INDEX('TRANS'!$C:$C,MATCH($B419,'TRANS'!$A:$A,0)),IFERROR(INDEX('Catalog'!$B:$B,MATCH($G419,'Catalog'!$A:$A,0)),$B419))</f>
        <v>213CTSL L שמאל CTS כפפות</v>
      </c>
      <c r="I419" s="8" t="str">
        <f aca="false">IF($G419="","Unmatched","Matched")</f>
        <v>Matched</v>
      </c>
      <c r="J419" s="8" t="n">
        <f aca="false">IF($G419&lt;&gt;"",$G419,$B419)</f>
        <v>4411026</v>
      </c>
      <c r="K419" s="8" t="str">
        <f aca="false">IF(COUNTIF($M$1:$M$10,$A419)&gt;0,"Y","N")</f>
        <v>Y</v>
      </c>
    </row>
    <row r="420" customFormat="false" ht="15" hidden="false" customHeight="true" outlineLevel="0" collapsed="false">
      <c r="A420" s="8" t="s">
        <v>46</v>
      </c>
      <c r="B420" s="8" t="s">
        <v>861</v>
      </c>
      <c r="C420" s="19" t="n">
        <v>2</v>
      </c>
      <c r="D420" s="19" t="n">
        <v>312.36</v>
      </c>
      <c r="E420" s="19" t="n">
        <v>2</v>
      </c>
      <c r="F420" s="19" t="n">
        <v>238.24</v>
      </c>
      <c r="G420" s="8" t="n">
        <f aca="false">IFERROR(INDEX('TRANS'!$B:$B,MATCH($B420,'TRANS'!$A:$A,0)),IFERROR(INDEX('TRANS'!$B:$B,MATCH(TRIM(SUBSTITUTE($B420,CHAR(160)," ")),'TRANS'!$D:$D,0)),IFERROR(INDEX('Catalog'!$A:$A,MATCH($B420,'Catalog'!$B:$B,0)),IFERROR(INDEX('Catalog'!$A:$A,MATCH(TRIM(SUBSTITUTE($B420,CHAR(160)," ")),'Catalog'!$C:$C,0)),""))))</f>
        <v>4411027</v>
      </c>
      <c r="H420" s="8" t="str">
        <f aca="false">IFERROR(INDEX('TRANS'!$C:$C,MATCH($B420,'TRANS'!$A:$A,0)),IFERROR(INDEX('Catalog'!$B:$B,MATCH($G420,'Catalog'!$A:$A,0)),$B420))</f>
        <v>213CTSL M שמאל CTS כפפות</v>
      </c>
      <c r="I420" s="8" t="str">
        <f aca="false">IF($G420="","Unmatched","Matched")</f>
        <v>Matched</v>
      </c>
      <c r="J420" s="8" t="n">
        <f aca="false">IF($G420&lt;&gt;"",$G420,$B420)</f>
        <v>4411027</v>
      </c>
      <c r="K420" s="8" t="str">
        <f aca="false">IF(COUNTIF($M$1:$M$10,$A420)&gt;0,"Y","N")</f>
        <v>Y</v>
      </c>
    </row>
    <row r="421" customFormat="false" ht="15" hidden="false" customHeight="true" outlineLevel="0" collapsed="false">
      <c r="A421" s="8" t="s">
        <v>46</v>
      </c>
      <c r="B421" s="8" t="s">
        <v>862</v>
      </c>
      <c r="C421" s="19" t="n">
        <v>3</v>
      </c>
      <c r="D421" s="19" t="n">
        <v>460.61</v>
      </c>
      <c r="E421" s="19" t="n">
        <v>0</v>
      </c>
      <c r="F421" s="19" t="n">
        <v>-148.25</v>
      </c>
      <c r="G421" s="8" t="n">
        <f aca="false">IFERROR(INDEX('TRANS'!$B:$B,MATCH($B421,'TRANS'!$A:$A,0)),IFERROR(INDEX('TRANS'!$B:$B,MATCH(TRIM(SUBSTITUTE($B421,CHAR(160)," ")),'TRANS'!$D:$D,0)),IFERROR(INDEX('Catalog'!$A:$A,MATCH($B421,'Catalog'!$B:$B,0)),IFERROR(INDEX('Catalog'!$A:$A,MATCH(TRIM(SUBSTITUTE($B421,CHAR(160)," ")),'Catalog'!$C:$C,0)),""))))</f>
        <v>4411028</v>
      </c>
      <c r="H421" s="8" t="str">
        <f aca="false">IFERROR(INDEX('TRANS'!$C:$C,MATCH($B421,'TRANS'!$A:$A,0)),IFERROR(INDEX('Catalog'!$B:$B,MATCH($G421,'Catalog'!$A:$A,0)),$B421))</f>
        <v>213CTSL S שמאל CTS כפפות</v>
      </c>
      <c r="I421" s="8" t="str">
        <f aca="false">IF($G421="","Unmatched","Matched")</f>
        <v>Matched</v>
      </c>
      <c r="J421" s="8" t="n">
        <f aca="false">IF($G421&lt;&gt;"",$G421,$B421)</f>
        <v>4411028</v>
      </c>
      <c r="K421" s="8" t="str">
        <f aca="false">IF(COUNTIF($M$1:$M$10,$A421)&gt;0,"Y","N")</f>
        <v>Y</v>
      </c>
    </row>
    <row r="422" customFormat="false" ht="15" hidden="false" customHeight="true" outlineLevel="0" collapsed="false">
      <c r="A422" s="8" t="s">
        <v>46</v>
      </c>
      <c r="B422" s="8" t="s">
        <v>863</v>
      </c>
      <c r="C422" s="19" t="n">
        <v>3</v>
      </c>
      <c r="D422" s="19" t="n">
        <v>312.37</v>
      </c>
      <c r="E422" s="19" t="n">
        <v>0</v>
      </c>
      <c r="F422" s="19" t="n">
        <v>0</v>
      </c>
      <c r="G422" s="8" t="n">
        <f aca="false">IFERROR(INDEX('TRANS'!$B:$B,MATCH($B422,'TRANS'!$A:$A,0)),IFERROR(INDEX('TRANS'!$B:$B,MATCH(TRIM(SUBSTITUTE($B422,CHAR(160)," ")),'TRANS'!$D:$D,0)),IFERROR(INDEX('Catalog'!$A:$A,MATCH($B422,'Catalog'!$B:$B,0)),IFERROR(INDEX('Catalog'!$A:$A,MATCH(TRIM(SUBSTITUTE($B422,CHAR(160)," ")),'Catalog'!$C:$C,0)),""))))</f>
        <v>4411029</v>
      </c>
      <c r="H422" s="8" t="str">
        <f aca="false">IFERROR(INDEX('TRANS'!$C:$C,MATCH($B422,'TRANS'!$A:$A,0)),IFERROR(INDEX('Catalog'!$B:$B,MATCH($G422,'Catalog'!$A:$A,0)),$B422))</f>
        <v>213CTSR L ימין CTS כפפות</v>
      </c>
      <c r="I422" s="8" t="str">
        <f aca="false">IF($G422="","Unmatched","Matched")</f>
        <v>Matched</v>
      </c>
      <c r="J422" s="8" t="n">
        <f aca="false">IF($G422&lt;&gt;"",$G422,$B422)</f>
        <v>4411029</v>
      </c>
      <c r="K422" s="8" t="str">
        <f aca="false">IF(COUNTIF($M$1:$M$10,$A422)&gt;0,"Y","N")</f>
        <v>Y</v>
      </c>
    </row>
    <row r="423" customFormat="false" ht="15" hidden="false" customHeight="true" outlineLevel="0" collapsed="false">
      <c r="A423" s="8" t="s">
        <v>46</v>
      </c>
      <c r="B423" s="8" t="s">
        <v>864</v>
      </c>
      <c r="C423" s="19" t="n">
        <v>3</v>
      </c>
      <c r="D423" s="19" t="n">
        <v>468.54</v>
      </c>
      <c r="E423" s="19" t="n">
        <v>1</v>
      </c>
      <c r="F423" s="19" t="n">
        <v>0.01</v>
      </c>
      <c r="G423" s="8" t="n">
        <f aca="false">IFERROR(INDEX('TRANS'!$B:$B,MATCH($B423,'TRANS'!$A:$A,0)),IFERROR(INDEX('TRANS'!$B:$B,MATCH(TRIM(SUBSTITUTE($B423,CHAR(160)," ")),'TRANS'!$D:$D,0)),IFERROR(INDEX('Catalog'!$A:$A,MATCH($B423,'Catalog'!$B:$B,0)),IFERROR(INDEX('Catalog'!$A:$A,MATCH(TRIM(SUBSTITUTE($B423,CHAR(160)," ")),'Catalog'!$C:$C,0)),""))))</f>
        <v>4411030</v>
      </c>
      <c r="H423" s="8" t="str">
        <f aca="false">IFERROR(INDEX('TRANS'!$C:$C,MATCH($B423,'TRANS'!$A:$A,0)),IFERROR(INDEX('Catalog'!$B:$B,MATCH($G423,'Catalog'!$A:$A,0)),$B423))</f>
        <v>213CTSR M ימין CTS כפפות</v>
      </c>
      <c r="I423" s="8" t="str">
        <f aca="false">IF($G423="","Unmatched","Matched")</f>
        <v>Matched</v>
      </c>
      <c r="J423" s="8" t="n">
        <f aca="false">IF($G423&lt;&gt;"",$G423,$B423)</f>
        <v>4411030</v>
      </c>
      <c r="K423" s="8" t="str">
        <f aca="false">IF(COUNTIF($M$1:$M$10,$A423)&gt;0,"Y","N")</f>
        <v>Y</v>
      </c>
    </row>
    <row r="424" customFormat="false" ht="15" hidden="false" customHeight="true" outlineLevel="0" collapsed="false">
      <c r="A424" s="8" t="s">
        <v>46</v>
      </c>
      <c r="B424" s="8" t="s">
        <v>865</v>
      </c>
      <c r="C424" s="19" t="n">
        <v>4</v>
      </c>
      <c r="D424" s="19" t="n">
        <v>616.79</v>
      </c>
      <c r="E424" s="19" t="n">
        <v>0</v>
      </c>
      <c r="F424" s="19" t="n">
        <v>-42.36</v>
      </c>
      <c r="G424" s="8" t="n">
        <f aca="false">IFERROR(INDEX('TRANS'!$B:$B,MATCH($B424,'TRANS'!$A:$A,0)),IFERROR(INDEX('TRANS'!$B:$B,MATCH(TRIM(SUBSTITUTE($B424,CHAR(160)," ")),'TRANS'!$D:$D,0)),IFERROR(INDEX('Catalog'!$A:$A,MATCH($B424,'Catalog'!$B:$B,0)),IFERROR(INDEX('Catalog'!$A:$A,MATCH(TRIM(SUBSTITUTE($B424,CHAR(160)," ")),'Catalog'!$C:$C,0)),""))))</f>
        <v>4411031</v>
      </c>
      <c r="H424" s="8" t="str">
        <f aca="false">IFERROR(INDEX('TRANS'!$C:$C,MATCH($B424,'TRANS'!$A:$A,0)),IFERROR(INDEX('Catalog'!$B:$B,MATCH($G424,'Catalog'!$A:$A,0)),$B424))</f>
        <v>213CTS  S ימין CTS כפפות</v>
      </c>
      <c r="I424" s="8" t="str">
        <f aca="false">IF($G424="","Unmatched","Matched")</f>
        <v>Matched</v>
      </c>
      <c r="J424" s="8" t="n">
        <f aca="false">IF($G424&lt;&gt;"",$G424,$B424)</f>
        <v>4411031</v>
      </c>
      <c r="K424" s="8" t="str">
        <f aca="false">IF(COUNTIF($M$1:$M$10,$A424)&gt;0,"Y","N")</f>
        <v>Y</v>
      </c>
    </row>
    <row r="425" customFormat="false" ht="15" hidden="false" customHeight="true" outlineLevel="0" collapsed="false">
      <c r="A425" s="8" t="s">
        <v>46</v>
      </c>
      <c r="B425" s="8" t="s">
        <v>538</v>
      </c>
      <c r="C425" s="19" t="n">
        <v>6</v>
      </c>
      <c r="D425" s="19" t="n">
        <v>153.36</v>
      </c>
      <c r="E425" s="19" t="n">
        <v>0</v>
      </c>
      <c r="F425" s="19" t="n">
        <v>0</v>
      </c>
      <c r="G425" s="8" t="str">
        <f aca="false">IFERROR(INDEX('TRANS'!$B:$B,MATCH($B425,'TRANS'!$A:$A,0)),IFERROR(INDEX('TRANS'!$B:$B,MATCH(TRIM(SUBSTITUTE($B425,CHAR(160)," ")),'TRANS'!$D:$D,0)),IFERROR(INDEX('Catalog'!$A:$A,MATCH($B425,'Catalog'!$B:$B,0)),IFERROR(INDEX('Catalog'!$A:$A,MATCH(TRIM(SUBSTITUTE($B425,CHAR(160)," ")),'Catalog'!$C:$C,0)),""))))</f>
        <v/>
      </c>
      <c r="H425" s="8" t="str">
        <f aca="false">IFERROR(INDEX('TRANS'!$C:$C,MATCH($B425,'TRANS'!$A:$A,0)),IFERROR(INDEX('Catalog'!$B:$B,MATCH($G425,'Catalog'!$A:$A,0)),$B425))</f>
        <v>239P-S-M</v>
      </c>
      <c r="I425" s="8" t="str">
        <f aca="false">IF($G425="","Unmatched","Matched")</f>
        <v>Unmatched</v>
      </c>
      <c r="J425" s="8" t="str">
        <f aca="false">IF($G425&lt;&gt;"",$G425,$B425)</f>
        <v>239P-S-M</v>
      </c>
      <c r="K425" s="8" t="str">
        <f aca="false">IF(COUNTIF($M$1:$M$10,$A425)&gt;0,"Y","N")</f>
        <v>Y</v>
      </c>
    </row>
    <row r="426" customFormat="false" ht="15" hidden="false" customHeight="true" outlineLevel="0" collapsed="false">
      <c r="A426" s="8" t="s">
        <v>46</v>
      </c>
      <c r="B426" s="8" t="s">
        <v>178</v>
      </c>
      <c r="C426" s="19" t="n">
        <v>2</v>
      </c>
      <c r="D426" s="19" t="n">
        <v>206.14</v>
      </c>
      <c r="E426" s="19" t="n">
        <v>0</v>
      </c>
      <c r="F426" s="19" t="n">
        <v>0</v>
      </c>
      <c r="G426" s="8" t="str">
        <f aca="false">IFERROR(INDEX('TRANS'!$B:$B,MATCH($B426,'TRANS'!$A:$A,0)),IFERROR(INDEX('TRANS'!$B:$B,MATCH(TRIM(SUBSTITUTE($B426,CHAR(160)," ")),'TRANS'!$D:$D,0)),IFERROR(INDEX('Catalog'!$A:$A,MATCH($B426,'Catalog'!$B:$B,0)),IFERROR(INDEX('Catalog'!$A:$A,MATCH(TRIM(SUBSTITUTE($B426,CHAR(160)," ")),'Catalog'!$C:$C,0)),""))))</f>
        <v/>
      </c>
      <c r="H426" s="8" t="str">
        <f aca="false">IFERROR(INDEX('TRANS'!$C:$C,MATCH($B426,'TRANS'!$A:$A,0)),IFERROR(INDEX('Catalog'!$B:$B,MATCH($G426,'Catalog'!$A:$A,0)),$B426))</f>
        <v>26 XS</v>
      </c>
      <c r="I426" s="8" t="str">
        <f aca="false">IF($G426="","Unmatched","Matched")</f>
        <v>Unmatched</v>
      </c>
      <c r="J426" s="8" t="str">
        <f aca="false">IF($G426&lt;&gt;"",$G426,$B426)</f>
        <v>26 XS</v>
      </c>
      <c r="K426" s="8" t="str">
        <f aca="false">IF(COUNTIF($M$1:$M$10,$A426)&gt;0,"Y","N")</f>
        <v>Y</v>
      </c>
    </row>
    <row r="427" customFormat="false" ht="15" hidden="false" customHeight="true" outlineLevel="0" collapsed="false">
      <c r="A427" s="8" t="s">
        <v>46</v>
      </c>
      <c r="B427" s="8" t="s">
        <v>272</v>
      </c>
      <c r="C427" s="19" t="n">
        <v>11</v>
      </c>
      <c r="D427" s="19" t="n">
        <v>188.91</v>
      </c>
      <c r="E427" s="19" t="n">
        <v>2</v>
      </c>
      <c r="F427" s="19" t="n">
        <v>0.02</v>
      </c>
      <c r="G427" s="8" t="str">
        <f aca="false">IFERROR(INDEX('TRANS'!$B:$B,MATCH($B427,'TRANS'!$A:$A,0)),IFERROR(INDEX('TRANS'!$B:$B,MATCH(TRIM(SUBSTITUTE($B427,CHAR(160)," ")),'TRANS'!$D:$D,0)),IFERROR(INDEX('Catalog'!$A:$A,MATCH($B427,'Catalog'!$B:$B,0)),IFERROR(INDEX('Catalog'!$A:$A,MATCH(TRIM(SUBSTITUTE($B427,CHAR(160)," ")),'Catalog'!$C:$C,0)),""))))</f>
        <v/>
      </c>
      <c r="H427" s="8" t="str">
        <f aca="false">IFERROR(INDEX('TRANS'!$C:$C,MATCH($B427,'TRANS'!$A:$A,0)),IFERROR(INDEX('Catalog'!$B:$B,MATCH($G427,'Catalog'!$A:$A,0)),$B427))</f>
        <v>LU302M 0</v>
      </c>
      <c r="I427" s="8" t="str">
        <f aca="false">IF($G427="","Unmatched","Matched")</f>
        <v>Unmatched</v>
      </c>
      <c r="J427" s="8" t="str">
        <f aca="false">IF($G427&lt;&gt;"",$G427,$B427)</f>
        <v>LU302M 0</v>
      </c>
      <c r="K427" s="8" t="str">
        <f aca="false">IF(COUNTIF($M$1:$M$10,$A427)&gt;0,"Y","N")</f>
        <v>Y</v>
      </c>
    </row>
    <row r="428" customFormat="false" ht="15" hidden="false" customHeight="true" outlineLevel="0" collapsed="false">
      <c r="A428" s="8" t="s">
        <v>46</v>
      </c>
      <c r="B428" s="8" t="s">
        <v>273</v>
      </c>
      <c r="C428" s="19" t="n">
        <v>23</v>
      </c>
      <c r="D428" s="19" t="n">
        <v>897.21</v>
      </c>
      <c r="E428" s="19" t="n">
        <v>2</v>
      </c>
      <c r="F428" s="19" t="n">
        <v>0.02</v>
      </c>
      <c r="G428" s="8" t="str">
        <f aca="false">IFERROR(INDEX('TRANS'!$B:$B,MATCH($B428,'TRANS'!$A:$A,0)),IFERROR(INDEX('TRANS'!$B:$B,MATCH(TRIM(SUBSTITUTE($B428,CHAR(160)," ")),'TRANS'!$D:$D,0)),IFERROR(INDEX('Catalog'!$A:$A,MATCH($B428,'Catalog'!$B:$B,0)),IFERROR(INDEX('Catalog'!$A:$A,MATCH(TRIM(SUBSTITUTE($B428,CHAR(160)," ")),'Catalog'!$C:$C,0)),""))))</f>
        <v/>
      </c>
      <c r="H428" s="8" t="str">
        <f aca="false">IFERROR(INDEX('TRANS'!$C:$C,MATCH($B428,'TRANS'!$A:$A,0)),IFERROR(INDEX('Catalog'!$B:$B,MATCH($G428,'Catalog'!$A:$A,0)),$B428))</f>
        <v>LU302W 0</v>
      </c>
      <c r="I428" s="8" t="str">
        <f aca="false">IF($G428="","Unmatched","Matched")</f>
        <v>Unmatched</v>
      </c>
      <c r="J428" s="8" t="str">
        <f aca="false">IF($G428&lt;&gt;"",$G428,$B428)</f>
        <v>LU302W 0</v>
      </c>
      <c r="K428" s="8" t="str">
        <f aca="false">IF(COUNTIF($M$1:$M$10,$A428)&gt;0,"Y","N")</f>
        <v>Y</v>
      </c>
    </row>
    <row r="429" customFormat="false" ht="15" hidden="false" customHeight="true" outlineLevel="0" collapsed="false">
      <c r="A429" s="8" t="s">
        <v>46</v>
      </c>
      <c r="B429" s="8" t="s">
        <v>866</v>
      </c>
      <c r="C429" s="19" t="n">
        <v>0</v>
      </c>
      <c r="D429" s="19" t="n">
        <v>0</v>
      </c>
      <c r="E429" s="19" t="n">
        <v>1</v>
      </c>
      <c r="F429" s="19" t="n">
        <v>127.91</v>
      </c>
      <c r="G429" s="8" t="n">
        <f aca="false">IFERROR(INDEX('TRANS'!$B:$B,MATCH($B429,'TRANS'!$A:$A,0)),IFERROR(INDEX('TRANS'!$B:$B,MATCH(TRIM(SUBSTITUTE($B429,CHAR(160)," ")),'TRANS'!$D:$D,0)),IFERROR(INDEX('Catalog'!$A:$A,MATCH($B429,'Catalog'!$B:$B,0)),IFERROR(INDEX('Catalog'!$A:$A,MATCH(TRIM(SUBSTITUTE($B429,CHAR(160)," ")),'Catalog'!$C:$C,0)),""))))</f>
        <v>4413337</v>
      </c>
      <c r="H429" s="8" t="str">
        <f aca="false">IFERROR(INDEX('TRANS'!$C:$C,MATCH($B429,'TRANS'!$A:$A,0)),IFERROR(INDEX('Catalog'!$B:$B,MATCH($G429,'Catalog'!$A:$A,0)),$B429))</f>
        <v>322XL מגן קרסול+כרית סילקון</v>
      </c>
      <c r="I429" s="8" t="str">
        <f aca="false">IF($G429="","Unmatched","Matched")</f>
        <v>Matched</v>
      </c>
      <c r="J429" s="8" t="n">
        <f aca="false">IF($G429&lt;&gt;"",$G429,$B429)</f>
        <v>4413337</v>
      </c>
      <c r="K429" s="8" t="str">
        <f aca="false">IF(COUNTIF($M$1:$M$10,$A429)&gt;0,"Y","N")</f>
        <v>Y</v>
      </c>
    </row>
    <row r="430" customFormat="false" ht="15" hidden="false" customHeight="true" outlineLevel="0" collapsed="false">
      <c r="A430" s="8" t="s">
        <v>46</v>
      </c>
      <c r="B430" s="8" t="s">
        <v>867</v>
      </c>
      <c r="C430" s="19" t="n">
        <v>1</v>
      </c>
      <c r="D430" s="19" t="n">
        <v>132.51</v>
      </c>
      <c r="E430" s="19" t="n">
        <v>0</v>
      </c>
      <c r="F430" s="19" t="n">
        <v>0</v>
      </c>
      <c r="G430" s="8" t="n">
        <f aca="false">IFERROR(INDEX('TRANS'!$B:$B,MATCH($B430,'TRANS'!$A:$A,0)),IFERROR(INDEX('TRANS'!$B:$B,MATCH(TRIM(SUBSTITUTE($B430,CHAR(160)," ")),'TRANS'!$D:$D,0)),IFERROR(INDEX('Catalog'!$A:$A,MATCH($B430,'Catalog'!$B:$B,0)),IFERROR(INDEX('Catalog'!$A:$A,MATCH(TRIM(SUBSTITUTE($B430,CHAR(160)," ")),'Catalog'!$C:$C,0)),""))))</f>
        <v>4415019</v>
      </c>
      <c r="H430" s="8" t="str">
        <f aca="false">IFERROR(INDEX('TRANS'!$C:$C,MATCH($B430,'TRANS'!$A:$A,0)),IFERROR(INDEX('Catalog'!$B:$B,MATCH($G430,'Catalog'!$A:$A,0)),$B430))</f>
        <v>333 סד לקרסול עם כריות אויר</v>
      </c>
      <c r="I430" s="8" t="str">
        <f aca="false">IF($G430="","Unmatched","Matched")</f>
        <v>Matched</v>
      </c>
      <c r="J430" s="8" t="n">
        <f aca="false">IF($G430&lt;&gt;"",$G430,$B430)</f>
        <v>4415019</v>
      </c>
      <c r="K430" s="8" t="str">
        <f aca="false">IF(COUNTIF($M$1:$M$10,$A430)&gt;0,"Y","N")</f>
        <v>Y</v>
      </c>
    </row>
    <row r="431" customFormat="false" ht="15" hidden="false" customHeight="true" outlineLevel="0" collapsed="false">
      <c r="A431" s="8" t="s">
        <v>46</v>
      </c>
      <c r="B431" s="8" t="s">
        <v>190</v>
      </c>
      <c r="C431" s="19" t="n">
        <v>0</v>
      </c>
      <c r="D431" s="19" t="n">
        <v>0</v>
      </c>
      <c r="E431" s="19" t="n">
        <v>1</v>
      </c>
      <c r="F431" s="19" t="n">
        <v>0.01</v>
      </c>
      <c r="G431" s="8" t="str">
        <f aca="false">IFERROR(INDEX('TRANS'!$B:$B,MATCH($B431,'TRANS'!$A:$A,0)),IFERROR(INDEX('TRANS'!$B:$B,MATCH(TRIM(SUBSTITUTE($B431,CHAR(160)," ")),'TRANS'!$D:$D,0)),IFERROR(INDEX('Catalog'!$A:$A,MATCH($B431,'Catalog'!$B:$B,0)),IFERROR(INDEX('Catalog'!$A:$A,MATCH(TRIM(SUBSTITUTE($B431,CHAR(160)," ")),'Catalog'!$C:$C,0)),""))))</f>
        <v/>
      </c>
      <c r="H431" s="8" t="str">
        <f aca="false">IFERROR(INDEX('TRANS'!$C:$C,MATCH($B431,'TRANS'!$A:$A,0)),IFERROR(INDEX('Catalog'!$B:$B,MATCH($G431,'Catalog'!$A:$A,0)),$B431))</f>
        <v>364XL+ 0</v>
      </c>
      <c r="I431" s="8" t="str">
        <f aca="false">IF($G431="","Unmatched","Matched")</f>
        <v>Unmatched</v>
      </c>
      <c r="J431" s="8" t="str">
        <f aca="false">IF($G431&lt;&gt;"",$G431,$B431)</f>
        <v>364XL+ 0</v>
      </c>
      <c r="K431" s="8" t="str">
        <f aca="false">IF(COUNTIF($M$1:$M$10,$A431)&gt;0,"Y","N")</f>
        <v>Y</v>
      </c>
    </row>
    <row r="432" customFormat="false" ht="15" hidden="false" customHeight="true" outlineLevel="0" collapsed="false">
      <c r="A432" s="8" t="s">
        <v>46</v>
      </c>
      <c r="B432" s="8" t="s">
        <v>868</v>
      </c>
      <c r="C432" s="19" t="n">
        <v>3</v>
      </c>
      <c r="D432" s="19" t="n">
        <v>47.07</v>
      </c>
      <c r="E432" s="19" t="n">
        <v>1</v>
      </c>
      <c r="F432" s="19" t="n">
        <v>12.67</v>
      </c>
      <c r="G432" s="8" t="n">
        <f aca="false">IFERROR(INDEX('TRANS'!$B:$B,MATCH($B432,'TRANS'!$A:$A,0)),IFERROR(INDEX('TRANS'!$B:$B,MATCH(TRIM(SUBSTITUTE($B432,CHAR(160)," ")),'TRANS'!$D:$D,0)),IFERROR(INDEX('Catalog'!$A:$A,MATCH($B432,'Catalog'!$B:$B,0)),IFERROR(INDEX('Catalog'!$A:$A,MATCH(TRIM(SUBSTITUTE($B432,CHAR(160)," ")),'Catalog'!$C:$C,0)),""))))</f>
        <v>4409001</v>
      </c>
      <c r="H432" s="8" t="str">
        <f aca="false">IFERROR(INDEX('TRANS'!$C:$C,MATCH($B432,'TRANS'!$A:$A,0)),IFERROR(INDEX('Catalog'!$B:$B,MATCH($G432,'Catalog'!$A:$A,0)),$B432))</f>
        <v>365  X-Lטבעת אלסטית מסיליקון</v>
      </c>
      <c r="I432" s="8" t="str">
        <f aca="false">IF($G432="","Unmatched","Matched")</f>
        <v>Matched</v>
      </c>
      <c r="J432" s="8" t="n">
        <f aca="false">IF($G432&lt;&gt;"",$G432,$B432)</f>
        <v>4409001</v>
      </c>
      <c r="K432" s="8" t="str">
        <f aca="false">IF(COUNTIF($M$1:$M$10,$A432)&gt;0,"Y","N")</f>
        <v>Y</v>
      </c>
    </row>
    <row r="433" customFormat="false" ht="15" hidden="false" customHeight="true" outlineLevel="0" collapsed="false">
      <c r="A433" s="8" t="s">
        <v>46</v>
      </c>
      <c r="B433" s="8" t="s">
        <v>869</v>
      </c>
      <c r="C433" s="19" t="n">
        <v>14</v>
      </c>
      <c r="D433" s="19" t="n">
        <v>1678.58</v>
      </c>
      <c r="E433" s="19" t="n">
        <v>0</v>
      </c>
      <c r="F433" s="19" t="n">
        <v>0</v>
      </c>
      <c r="G433" s="8" t="n">
        <f aca="false">IFERROR(INDEX('TRANS'!$B:$B,MATCH($B433,'TRANS'!$A:$A,0)),IFERROR(INDEX('TRANS'!$B:$B,MATCH(TRIM(SUBSTITUTE($B433,CHAR(160)," ")),'TRANS'!$D:$D,0)),IFERROR(INDEX('Catalog'!$A:$A,MATCH($B433,'Catalog'!$B:$B,0)),IFERROR(INDEX('Catalog'!$A:$A,MATCH(TRIM(SUBSTITUTE($B433,CHAR(160)," ")),'Catalog'!$C:$C,0)),""))))</f>
        <v>4413523</v>
      </c>
      <c r="H433" s="8" t="str">
        <f aca="false">IFERROR(INDEX('TRANS'!$C:$C,MATCH($B433,'TRANS'!$A:$A,0)),IFERROR(INDEX('Catalog'!$B:$B,MATCH($G433,'Catalog'!$A:$A,0)),$B433))</f>
        <v>35-38 מדרסי אפיק ג'ל נוחות</v>
      </c>
      <c r="I433" s="8" t="str">
        <f aca="false">IF($G433="","Unmatched","Matched")</f>
        <v>Matched</v>
      </c>
      <c r="J433" s="8" t="n">
        <f aca="false">IF($G433&lt;&gt;"",$G433,$B433)</f>
        <v>4413523</v>
      </c>
      <c r="K433" s="8" t="str">
        <f aca="false">IF(COUNTIF($M$1:$M$10,$A433)&gt;0,"Y","N")</f>
        <v>Y</v>
      </c>
    </row>
    <row r="434" customFormat="false" ht="15" hidden="false" customHeight="true" outlineLevel="0" collapsed="false">
      <c r="A434" s="8" t="s">
        <v>46</v>
      </c>
      <c r="B434" s="8" t="s">
        <v>870</v>
      </c>
      <c r="C434" s="19" t="n">
        <v>5</v>
      </c>
      <c r="D434" s="19" t="n">
        <v>789.17</v>
      </c>
      <c r="E434" s="19" t="n">
        <v>1</v>
      </c>
      <c r="F434" s="19" t="n">
        <v>0.01</v>
      </c>
      <c r="G434" s="8" t="n">
        <f aca="false">IFERROR(INDEX('TRANS'!$B:$B,MATCH($B434,'TRANS'!$A:$A,0)),IFERROR(INDEX('TRANS'!$B:$B,MATCH(TRIM(SUBSTITUTE($B434,CHAR(160)," ")),'TRANS'!$D:$D,0)),IFERROR(INDEX('Catalog'!$A:$A,MATCH($B434,'Catalog'!$B:$B,0)),IFERROR(INDEX('Catalog'!$A:$A,MATCH(TRIM(SUBSTITUTE($B434,CHAR(160)," ")),'Catalog'!$C:$C,0)),""))))</f>
        <v>4413524</v>
      </c>
      <c r="H434" s="8" t="str">
        <f aca="false">IFERROR(INDEX('TRANS'!$C:$C,MATCH($B434,'TRANS'!$A:$A,0)),IFERROR(INDEX('Catalog'!$B:$B,MATCH($G434,'Catalog'!$A:$A,0)),$B434))</f>
        <v>39-42 מדרסי אפיק ג'ל נוחות</v>
      </c>
      <c r="I434" s="8" t="str">
        <f aca="false">IF($G434="","Unmatched","Matched")</f>
        <v>Matched</v>
      </c>
      <c r="J434" s="8" t="n">
        <f aca="false">IF($G434&lt;&gt;"",$G434,$B434)</f>
        <v>4413524</v>
      </c>
      <c r="K434" s="8" t="str">
        <f aca="false">IF(COUNTIF($M$1:$M$10,$A434)&gt;0,"Y","N")</f>
        <v>Y</v>
      </c>
    </row>
    <row r="435" customFormat="false" ht="15" hidden="false" customHeight="true" outlineLevel="0" collapsed="false">
      <c r="A435" s="8" t="s">
        <v>46</v>
      </c>
      <c r="B435" s="8" t="s">
        <v>871</v>
      </c>
      <c r="C435" s="19" t="n">
        <v>8</v>
      </c>
      <c r="D435" s="19" t="n">
        <v>693.87</v>
      </c>
      <c r="E435" s="19" t="n">
        <v>1</v>
      </c>
      <c r="F435" s="19" t="n">
        <v>107.16</v>
      </c>
      <c r="G435" s="8" t="n">
        <f aca="false">IFERROR(INDEX('TRANS'!$B:$B,MATCH($B435,'TRANS'!$A:$A,0)),IFERROR(INDEX('TRANS'!$B:$B,MATCH(TRIM(SUBSTITUTE($B435,CHAR(160)," ")),'TRANS'!$D:$D,0)),IFERROR(INDEX('Catalog'!$A:$A,MATCH($B435,'Catalog'!$B:$B,0)),IFERROR(INDEX('Catalog'!$A:$A,MATCH(TRIM(SUBSTITUTE($B435,CHAR(160)," ")),'Catalog'!$C:$C,0)),""))))</f>
        <v>4413525</v>
      </c>
      <c r="H435" s="8" t="str">
        <f aca="false">IFERROR(INDEX('TRANS'!$C:$C,MATCH($B435,'TRANS'!$A:$A,0)),IFERROR(INDEX('Catalog'!$B:$B,MATCH($G435,'Catalog'!$A:$A,0)),$B435))</f>
        <v>43-47 מדרסי אפיק ג'ל נוחות</v>
      </c>
      <c r="I435" s="8" t="str">
        <f aca="false">IF($G435="","Unmatched","Matched")</f>
        <v>Matched</v>
      </c>
      <c r="J435" s="8" t="n">
        <f aca="false">IF($G435&lt;&gt;"",$G435,$B435)</f>
        <v>4413525</v>
      </c>
      <c r="K435" s="8" t="str">
        <f aca="false">IF(COUNTIF($M$1:$M$10,$A435)&gt;0,"Y","N")</f>
        <v>Y</v>
      </c>
    </row>
    <row r="436" customFormat="false" ht="15" hidden="false" customHeight="true" outlineLevel="0" collapsed="false">
      <c r="A436" s="8" t="s">
        <v>46</v>
      </c>
      <c r="B436" s="8" t="s">
        <v>872</v>
      </c>
      <c r="C436" s="19" t="n">
        <v>2</v>
      </c>
      <c r="D436" s="19" t="n">
        <v>0.02</v>
      </c>
      <c r="E436" s="19" t="n">
        <v>0</v>
      </c>
      <c r="F436" s="19" t="n">
        <v>0</v>
      </c>
      <c r="G436" s="8" t="n">
        <f aca="false">IFERROR(INDEX('TRANS'!$B:$B,MATCH($B436,'TRANS'!$A:$A,0)),IFERROR(INDEX('TRANS'!$B:$B,MATCH(TRIM(SUBSTITUTE($B436,CHAR(160)," ")),'TRANS'!$D:$D,0)),IFERROR(INDEX('Catalog'!$A:$A,MATCH($B436,'Catalog'!$B:$B,0)),IFERROR(INDEX('Catalog'!$A:$A,MATCH(TRIM(SUBSTITUTE($B436,CHAR(160)," ")),'Catalog'!$C:$C,0)),""))))</f>
        <v>4413520</v>
      </c>
      <c r="H436" s="8" t="str">
        <f aca="false">IFERROR(INDEX('TRANS'!$C:$C,MATCH($B436,'TRANS'!$A:$A,0)),IFERROR(INDEX('Catalog'!$B:$B,MATCH($G436,'Catalog'!$A:$A,0)),$B436))</f>
        <v>מדרסי אפיק ג'ל מולט.ספורט35-38</v>
      </c>
      <c r="I436" s="8" t="str">
        <f aca="false">IF($G436="","Unmatched","Matched")</f>
        <v>Matched</v>
      </c>
      <c r="J436" s="8" t="n">
        <f aca="false">IF($G436&lt;&gt;"",$G436,$B436)</f>
        <v>4413520</v>
      </c>
      <c r="K436" s="8" t="str">
        <f aca="false">IF(COUNTIF($M$1:$M$10,$A436)&gt;0,"Y","N")</f>
        <v>Y</v>
      </c>
    </row>
    <row r="437" customFormat="false" ht="15" hidden="false" customHeight="true" outlineLevel="0" collapsed="false">
      <c r="A437" s="8" t="s">
        <v>46</v>
      </c>
      <c r="B437" s="8" t="s">
        <v>873</v>
      </c>
      <c r="C437" s="19" t="n">
        <v>5</v>
      </c>
      <c r="D437" s="19" t="n">
        <v>580.24</v>
      </c>
      <c r="E437" s="19" t="n">
        <v>1</v>
      </c>
      <c r="F437" s="19" t="n">
        <v>0.01</v>
      </c>
      <c r="G437" s="8" t="n">
        <f aca="false">IFERROR(INDEX('TRANS'!$B:$B,MATCH($B437,'TRANS'!$A:$A,0)),IFERROR(INDEX('TRANS'!$B:$B,MATCH(TRIM(SUBSTITUTE($B437,CHAR(160)," ")),'TRANS'!$D:$D,0)),IFERROR(INDEX('Catalog'!$A:$A,MATCH($B437,'Catalog'!$B:$B,0)),IFERROR(INDEX('Catalog'!$A:$A,MATCH(TRIM(SUBSTITUTE($B437,CHAR(160)," ")),'Catalog'!$C:$C,0)),""))))</f>
        <v>4413521</v>
      </c>
      <c r="H437" s="8" t="str">
        <f aca="false">IFERROR(INDEX('TRANS'!$C:$C,MATCH($B437,'TRANS'!$A:$A,0)),IFERROR(INDEX('Catalog'!$B:$B,MATCH($G437,'Catalog'!$A:$A,0)),$B437))</f>
        <v>מדרסי אפיק ג'ל מולטי ספור39-42</v>
      </c>
      <c r="I437" s="8" t="str">
        <f aca="false">IF($G437="","Unmatched","Matched")</f>
        <v>Matched</v>
      </c>
      <c r="J437" s="8" t="n">
        <f aca="false">IF($G437&lt;&gt;"",$G437,$B437)</f>
        <v>4413521</v>
      </c>
      <c r="K437" s="8" t="str">
        <f aca="false">IF(COUNTIF($M$1:$M$10,$A437)&gt;0,"Y","N")</f>
        <v>Y</v>
      </c>
    </row>
    <row r="438" customFormat="false" ht="15" hidden="false" customHeight="true" outlineLevel="0" collapsed="false">
      <c r="A438" s="8" t="s">
        <v>46</v>
      </c>
      <c r="B438" s="8" t="s">
        <v>874</v>
      </c>
      <c r="C438" s="19" t="n">
        <v>8</v>
      </c>
      <c r="D438" s="19" t="n">
        <v>794.57</v>
      </c>
      <c r="E438" s="19" t="n">
        <v>2</v>
      </c>
      <c r="F438" s="19" t="n">
        <v>214.32</v>
      </c>
      <c r="G438" s="8" t="n">
        <f aca="false">IFERROR(INDEX('TRANS'!$B:$B,MATCH($B438,'TRANS'!$A:$A,0)),IFERROR(INDEX('TRANS'!$B:$B,MATCH(TRIM(SUBSTITUTE($B438,CHAR(160)," ")),'TRANS'!$D:$D,0)),IFERROR(INDEX('Catalog'!$A:$A,MATCH($B438,'Catalog'!$B:$B,0)),IFERROR(INDEX('Catalog'!$A:$A,MATCH(TRIM(SUBSTITUTE($B438,CHAR(160)," ")),'Catalog'!$C:$C,0)),""))))</f>
        <v>4413522</v>
      </c>
      <c r="H438" s="8" t="str">
        <f aca="false">IFERROR(INDEX('TRANS'!$C:$C,MATCH($B438,'TRANS'!$A:$A,0)),IFERROR(INDEX('Catalog'!$B:$B,MATCH($G438,'Catalog'!$A:$A,0)),$B438))</f>
        <v>מדרסי אפיק ג'ל מולט.ספורט43-47</v>
      </c>
      <c r="I438" s="8" t="str">
        <f aca="false">IF($G438="","Unmatched","Matched")</f>
        <v>Matched</v>
      </c>
      <c r="J438" s="8" t="n">
        <f aca="false">IF($G438&lt;&gt;"",$G438,$B438)</f>
        <v>4413522</v>
      </c>
      <c r="K438" s="8" t="str">
        <f aca="false">IF(COUNTIF($M$1:$M$10,$A438)&gt;0,"Y","N")</f>
        <v>Y</v>
      </c>
    </row>
    <row r="439" customFormat="false" ht="15" hidden="false" customHeight="true" outlineLevel="0" collapsed="false">
      <c r="A439" s="8" t="s">
        <v>46</v>
      </c>
      <c r="B439" s="8" t="s">
        <v>875</v>
      </c>
      <c r="C439" s="19" t="n">
        <v>1</v>
      </c>
      <c r="D439" s="19" t="n">
        <v>0.01</v>
      </c>
      <c r="E439" s="19" t="n">
        <v>0</v>
      </c>
      <c r="F439" s="19" t="n">
        <v>0</v>
      </c>
      <c r="G439" s="8" t="n">
        <f aca="false">IFERROR(INDEX('TRANS'!$B:$B,MATCH($B439,'TRANS'!$A:$A,0)),IFERROR(INDEX('TRANS'!$B:$B,MATCH(TRIM(SUBSTITUTE($B439,CHAR(160)," ")),'TRANS'!$D:$D,0)),IFERROR(INDEX('Catalog'!$A:$A,MATCH($B439,'Catalog'!$B:$B,0)),IFERROR(INDEX('Catalog'!$A:$A,MATCH(TRIM(SUBSTITUTE($B439,CHAR(160)," ")),'Catalog'!$C:$C,0)),""))))</f>
        <v>4413527</v>
      </c>
      <c r="H439" s="8" t="str">
        <f aca="false">IFERROR(INDEX('TRANS'!$C:$C,MATCH($B439,'TRANS'!$A:$A,0)),IFERROR(INDEX('Catalog'!$B:$B,MATCH($G439,'Catalog'!$A:$A,0)),$B439))</f>
        <v>35-38 מדרסי אפיק ג'ל עבודה</v>
      </c>
      <c r="I439" s="8" t="str">
        <f aca="false">IF($G439="","Unmatched","Matched")</f>
        <v>Matched</v>
      </c>
      <c r="J439" s="8" t="n">
        <f aca="false">IF($G439&lt;&gt;"",$G439,$B439)</f>
        <v>4413527</v>
      </c>
      <c r="K439" s="8" t="str">
        <f aca="false">IF(COUNTIF($M$1:$M$10,$A439)&gt;0,"Y","N")</f>
        <v>Y</v>
      </c>
    </row>
    <row r="440" customFormat="false" ht="15" hidden="false" customHeight="true" outlineLevel="0" collapsed="false">
      <c r="A440" s="8" t="s">
        <v>46</v>
      </c>
      <c r="B440" s="8" t="s">
        <v>876</v>
      </c>
      <c r="C440" s="19" t="n">
        <v>1</v>
      </c>
      <c r="D440" s="19" t="n">
        <v>157.51</v>
      </c>
      <c r="E440" s="19" t="n">
        <v>1</v>
      </c>
      <c r="F440" s="19" t="n">
        <v>0.01</v>
      </c>
      <c r="G440" s="8" t="n">
        <f aca="false">IFERROR(INDEX('TRANS'!$B:$B,MATCH($B440,'TRANS'!$A:$A,0)),IFERROR(INDEX('TRANS'!$B:$B,MATCH(TRIM(SUBSTITUTE($B440,CHAR(160)," ")),'TRANS'!$D:$D,0)),IFERROR(INDEX('Catalog'!$A:$A,MATCH($B440,'Catalog'!$B:$B,0)),IFERROR(INDEX('Catalog'!$A:$A,MATCH(TRIM(SUBSTITUTE($B440,CHAR(160)," ")),'Catalog'!$C:$C,0)),""))))</f>
        <v>4413528</v>
      </c>
      <c r="H440" s="8" t="str">
        <f aca="false">IFERROR(INDEX('TRANS'!$C:$C,MATCH($B440,'TRANS'!$A:$A,0)),IFERROR(INDEX('Catalog'!$B:$B,MATCH($G440,'Catalog'!$A:$A,0)),$B440))</f>
        <v>39-42 מדרסי אפיק ג'ל עבודה</v>
      </c>
      <c r="I440" s="8" t="str">
        <f aca="false">IF($G440="","Unmatched","Matched")</f>
        <v>Matched</v>
      </c>
      <c r="J440" s="8" t="n">
        <f aca="false">IF($G440&lt;&gt;"",$G440,$B440)</f>
        <v>4413528</v>
      </c>
      <c r="K440" s="8" t="str">
        <f aca="false">IF(COUNTIF($M$1:$M$10,$A440)&gt;0,"Y","N")</f>
        <v>Y</v>
      </c>
    </row>
    <row r="441" customFormat="false" ht="15" hidden="false" customHeight="true" outlineLevel="0" collapsed="false">
      <c r="A441" s="8" t="s">
        <v>46</v>
      </c>
      <c r="B441" s="8" t="s">
        <v>877</v>
      </c>
      <c r="C441" s="19" t="n">
        <v>4</v>
      </c>
      <c r="D441" s="19" t="n">
        <v>552.1</v>
      </c>
      <c r="E441" s="19" t="n">
        <v>1</v>
      </c>
      <c r="F441" s="19" t="n">
        <v>107.16</v>
      </c>
      <c r="G441" s="8" t="n">
        <f aca="false">IFERROR(INDEX('TRANS'!$B:$B,MATCH($B441,'TRANS'!$A:$A,0)),IFERROR(INDEX('TRANS'!$B:$B,MATCH(TRIM(SUBSTITUTE($B441,CHAR(160)," ")),'TRANS'!$D:$D,0)),IFERROR(INDEX('Catalog'!$A:$A,MATCH($B441,'Catalog'!$B:$B,0)),IFERROR(INDEX('Catalog'!$A:$A,MATCH(TRIM(SUBSTITUTE($B441,CHAR(160)," ")),'Catalog'!$C:$C,0)),""))))</f>
        <v>4413529</v>
      </c>
      <c r="H441" s="8" t="str">
        <f aca="false">IFERROR(INDEX('TRANS'!$C:$C,MATCH($B441,'TRANS'!$A:$A,0)),IFERROR(INDEX('Catalog'!$B:$B,MATCH($G441,'Catalog'!$A:$A,0)),$B441))</f>
        <v>43-47 מדרסי אפיק ג'ל עבודה</v>
      </c>
      <c r="I441" s="8" t="str">
        <f aca="false">IF($G441="","Unmatched","Matched")</f>
        <v>Matched</v>
      </c>
      <c r="J441" s="8" t="n">
        <f aca="false">IF($G441&lt;&gt;"",$G441,$B441)</f>
        <v>4413529</v>
      </c>
      <c r="K441" s="8" t="str">
        <f aca="false">IF(COUNTIF($M$1:$M$10,$A441)&gt;0,"Y","N")</f>
        <v>Y</v>
      </c>
    </row>
    <row r="442" customFormat="false" ht="15" hidden="false" customHeight="true" outlineLevel="0" collapsed="false">
      <c r="A442" s="8" t="s">
        <v>46</v>
      </c>
      <c r="B442" s="8" t="s">
        <v>191</v>
      </c>
      <c r="C442" s="19" t="n">
        <v>0</v>
      </c>
      <c r="D442" s="19" t="n">
        <v>0</v>
      </c>
      <c r="E442" s="19" t="n">
        <v>1</v>
      </c>
      <c r="F442" s="19" t="n">
        <v>0.01</v>
      </c>
      <c r="G442" s="8" t="str">
        <f aca="false">IFERROR(INDEX('TRANS'!$B:$B,MATCH($B442,'TRANS'!$A:$A,0)),IFERROR(INDEX('TRANS'!$B:$B,MATCH(TRIM(SUBSTITUTE($B442,CHAR(160)," ")),'TRANS'!$D:$D,0)),IFERROR(INDEX('Catalog'!$A:$A,MATCH($B442,'Catalog'!$B:$B,0)),IFERROR(INDEX('Catalog'!$A:$A,MATCH(TRIM(SUBSTITUTE($B442,CHAR(160)," ")),'Catalog'!$C:$C,0)),""))))</f>
        <v/>
      </c>
      <c r="H442" s="8" t="str">
        <f aca="false">IFERROR(INDEX('TRANS'!$C:$C,MATCH($B442,'TRANS'!$A:$A,0)),IFERROR(INDEX('Catalog'!$B:$B,MATCH($G442,'Catalog'!$A:$A,0)),$B442))</f>
        <v>391W-35-38</v>
      </c>
      <c r="I442" s="8" t="str">
        <f aca="false">IF($G442="","Unmatched","Matched")</f>
        <v>Unmatched</v>
      </c>
      <c r="J442" s="8" t="str">
        <f aca="false">IF($G442&lt;&gt;"",$G442,$B442)</f>
        <v>391W-35-38</v>
      </c>
      <c r="K442" s="8" t="str">
        <f aca="false">IF(COUNTIF($M$1:$M$10,$A442)&gt;0,"Y","N")</f>
        <v>Y</v>
      </c>
    </row>
    <row r="443" customFormat="false" ht="15" hidden="false" customHeight="true" outlineLevel="0" collapsed="false">
      <c r="A443" s="8" t="s">
        <v>46</v>
      </c>
      <c r="B443" s="8" t="s">
        <v>219</v>
      </c>
      <c r="C443" s="19" t="n">
        <v>0</v>
      </c>
      <c r="D443" s="19" t="n">
        <v>0</v>
      </c>
      <c r="E443" s="19" t="n">
        <v>1</v>
      </c>
      <c r="F443" s="19" t="n">
        <v>84.32</v>
      </c>
      <c r="G443" s="8" t="str">
        <f aca="false">IFERROR(INDEX('TRANS'!$B:$B,MATCH($B443,'TRANS'!$A:$A,0)),IFERROR(INDEX('TRANS'!$B:$B,MATCH(TRIM(SUBSTITUTE($B443,CHAR(160)," ")),'TRANS'!$D:$D,0)),IFERROR(INDEX('Catalog'!$A:$A,MATCH($B443,'Catalog'!$B:$B,0)),IFERROR(INDEX('Catalog'!$A:$A,MATCH(TRIM(SUBSTITUTE($B443,CHAR(160)," ")),'Catalog'!$C:$C,0)),""))))</f>
        <v/>
      </c>
      <c r="H443" s="8" t="str">
        <f aca="false">IFERROR(INDEX('TRANS'!$C:$C,MATCH($B443,'TRANS'!$A:$A,0)),IFERROR(INDEX('Catalog'!$B:$B,MATCH($G443,'Catalog'!$A:$A,0)),$B443))</f>
        <v>56B L</v>
      </c>
      <c r="I443" s="8" t="str">
        <f aca="false">IF($G443="","Unmatched","Matched")</f>
        <v>Unmatched</v>
      </c>
      <c r="J443" s="8" t="str">
        <f aca="false">IF($G443&lt;&gt;"",$G443,$B443)</f>
        <v>56B L</v>
      </c>
      <c r="K443" s="8" t="str">
        <f aca="false">IF(COUNTIF($M$1:$M$10,$A443)&gt;0,"Y","N")</f>
        <v>Y</v>
      </c>
    </row>
    <row r="444" customFormat="false" ht="15" hidden="false" customHeight="true" outlineLevel="0" collapsed="false">
      <c r="A444" s="8" t="s">
        <v>46</v>
      </c>
      <c r="B444" s="8" t="s">
        <v>878</v>
      </c>
      <c r="C444" s="19" t="n">
        <v>0</v>
      </c>
      <c r="D444" s="19" t="n">
        <v>0</v>
      </c>
      <c r="E444" s="19" t="n">
        <v>1</v>
      </c>
      <c r="F444" s="19" t="n">
        <v>0.01</v>
      </c>
      <c r="G444" s="8" t="n">
        <f aca="false">IFERROR(INDEX('TRANS'!$B:$B,MATCH($B444,'TRANS'!$A:$A,0)),IFERROR(INDEX('TRANS'!$B:$B,MATCH(TRIM(SUBSTITUTE($B444,CHAR(160)," ")),'TRANS'!$D:$D,0)),IFERROR(INDEX('Catalog'!$A:$A,MATCH($B444,'Catalog'!$B:$B,0)),IFERROR(INDEX('Catalog'!$A:$A,MATCH(TRIM(SUBSTITUTE($B444,CHAR(160)," ")),'Catalog'!$C:$C,0)),""))))</f>
        <v>4408072</v>
      </c>
      <c r="H444" s="8" t="str">
        <f aca="false">IFERROR(INDEX('TRANS'!$C:$C,MATCH($B444,'TRANS'!$A:$A,0)),IFERROR(INDEX('Catalog'!$B:$B,MATCH($G444,'Catalog'!$A:$A,0)),$B444))</f>
        <v>59D M חגורת שבר דו צדדי</v>
      </c>
      <c r="I444" s="8" t="str">
        <f aca="false">IF($G444="","Unmatched","Matched")</f>
        <v>Matched</v>
      </c>
      <c r="J444" s="8" t="n">
        <f aca="false">IF($G444&lt;&gt;"",$G444,$B444)</f>
        <v>4408072</v>
      </c>
      <c r="K444" s="8" t="str">
        <f aca="false">IF(COUNTIF($M$1:$M$10,$A444)&gt;0,"Y","N")</f>
        <v>Y</v>
      </c>
    </row>
    <row r="445" customFormat="false" ht="15" hidden="false" customHeight="true" outlineLevel="0" collapsed="false">
      <c r="A445" s="8" t="s">
        <v>46</v>
      </c>
      <c r="B445" s="8" t="s">
        <v>879</v>
      </c>
      <c r="C445" s="19" t="n">
        <v>0</v>
      </c>
      <c r="D445" s="19" t="n">
        <v>0</v>
      </c>
      <c r="E445" s="19" t="n">
        <v>1</v>
      </c>
      <c r="F445" s="19" t="n">
        <v>0.01</v>
      </c>
      <c r="G445" s="8" t="n">
        <f aca="false">IFERROR(INDEX('TRANS'!$B:$B,MATCH($B445,'TRANS'!$A:$A,0)),IFERROR(INDEX('TRANS'!$B:$B,MATCH(TRIM(SUBSTITUTE($B445,CHAR(160)," ")),'TRANS'!$D:$D,0)),IFERROR(INDEX('Catalog'!$A:$A,MATCH($B445,'Catalog'!$B:$B,0)),IFERROR(INDEX('Catalog'!$A:$A,MATCH(TRIM(SUBSTITUTE($B445,CHAR(160)," ")),'Catalog'!$C:$C,0)),""))))</f>
        <v>4408070</v>
      </c>
      <c r="H445" s="8" t="str">
        <f aca="false">IFERROR(INDEX('TRANS'!$C:$C,MATCH($B445,'TRANS'!$A:$A,0)),IFERROR(INDEX('Catalog'!$B:$B,MATCH($G445,'Catalog'!$A:$A,0)),$B445))</f>
        <v>59D S חגורת שבר דו צדדי</v>
      </c>
      <c r="I445" s="8" t="str">
        <f aca="false">IF($G445="","Unmatched","Matched")</f>
        <v>Matched</v>
      </c>
      <c r="J445" s="8" t="n">
        <f aca="false">IF($G445&lt;&gt;"",$G445,$B445)</f>
        <v>4408070</v>
      </c>
      <c r="K445" s="8" t="str">
        <f aca="false">IF(COUNTIF($M$1:$M$10,$A445)&gt;0,"Y","N")</f>
        <v>Y</v>
      </c>
    </row>
    <row r="446" customFormat="false" ht="15" hidden="false" customHeight="true" outlineLevel="0" collapsed="false">
      <c r="A446" s="8" t="s">
        <v>46</v>
      </c>
      <c r="B446" s="8" t="s">
        <v>237</v>
      </c>
      <c r="C446" s="19" t="n">
        <v>1</v>
      </c>
      <c r="D446" s="19" t="n">
        <v>174.95</v>
      </c>
      <c r="E446" s="19" t="n">
        <v>0</v>
      </c>
      <c r="F446" s="19" t="n">
        <v>0</v>
      </c>
      <c r="G446" s="8" t="str">
        <f aca="false">IFERROR(INDEX('TRANS'!$B:$B,MATCH($B446,'TRANS'!$A:$A,0)),IFERROR(INDEX('TRANS'!$B:$B,MATCH(TRIM(SUBSTITUTE($B446,CHAR(160)," ")),'TRANS'!$D:$D,0)),IFERROR(INDEX('Catalog'!$A:$A,MATCH($B446,'Catalog'!$B:$B,0)),IFERROR(INDEX('Catalog'!$A:$A,MATCH(TRIM(SUBSTITUTE($B446,CHAR(160)," ")),'Catalog'!$C:$C,0)),""))))</f>
        <v/>
      </c>
      <c r="H446" s="8" t="str">
        <f aca="false">IFERROR(INDEX('TRANS'!$C:$C,MATCH($B446,'TRANS'!$A:$A,0)),IFERROR(INDEX('Catalog'!$B:$B,MATCH($G446,'Catalog'!$A:$A,0)),$B446))</f>
        <v>59LB L</v>
      </c>
      <c r="I446" s="8" t="str">
        <f aca="false">IF($G446="","Unmatched","Matched")</f>
        <v>Unmatched</v>
      </c>
      <c r="J446" s="8" t="str">
        <f aca="false">IF($G446&lt;&gt;"",$G446,$B446)</f>
        <v>59LB L</v>
      </c>
      <c r="K446" s="8" t="str">
        <f aca="false">IF(COUNTIF($M$1:$M$10,$A446)&gt;0,"Y","N")</f>
        <v>Y</v>
      </c>
    </row>
    <row r="447" customFormat="false" ht="15" hidden="false" customHeight="true" outlineLevel="0" collapsed="false">
      <c r="A447" s="8" t="s">
        <v>46</v>
      </c>
      <c r="B447" s="8" t="s">
        <v>238</v>
      </c>
      <c r="C447" s="19" t="n">
        <v>0</v>
      </c>
      <c r="D447" s="19" t="n">
        <v>0</v>
      </c>
      <c r="E447" s="19" t="n">
        <v>1</v>
      </c>
      <c r="F447" s="19" t="n">
        <v>0.01</v>
      </c>
      <c r="G447" s="8" t="str">
        <f aca="false">IFERROR(INDEX('TRANS'!$B:$B,MATCH($B447,'TRANS'!$A:$A,0)),IFERROR(INDEX('TRANS'!$B:$B,MATCH(TRIM(SUBSTITUTE($B447,CHAR(160)," ")),'TRANS'!$D:$D,0)),IFERROR(INDEX('Catalog'!$A:$A,MATCH($B447,'Catalog'!$B:$B,0)),IFERROR(INDEX('Catalog'!$A:$A,MATCH(TRIM(SUBSTITUTE($B447,CHAR(160)," ")),'Catalog'!$C:$C,0)),""))))</f>
        <v/>
      </c>
      <c r="H447" s="8" t="str">
        <f aca="false">IFERROR(INDEX('TRANS'!$C:$C,MATCH($B447,'TRANS'!$A:$A,0)),IFERROR(INDEX('Catalog'!$B:$B,MATCH($G447,'Catalog'!$A:$A,0)),$B447))</f>
        <v>61BL-M</v>
      </c>
      <c r="I447" s="8" t="str">
        <f aca="false">IF($G447="","Unmatched","Matched")</f>
        <v>Unmatched</v>
      </c>
      <c r="J447" s="8" t="str">
        <f aca="false">IF($G447&lt;&gt;"",$G447,$B447)</f>
        <v>61BL-M</v>
      </c>
      <c r="K447" s="8" t="str">
        <f aca="false">IF(COUNTIF($M$1:$M$10,$A447)&gt;0,"Y","N")</f>
        <v>Y</v>
      </c>
    </row>
    <row r="448" customFormat="false" ht="15" hidden="false" customHeight="true" outlineLevel="0" collapsed="false">
      <c r="A448" s="8" t="s">
        <v>46</v>
      </c>
      <c r="B448" s="8" t="s">
        <v>239</v>
      </c>
      <c r="C448" s="19" t="n">
        <v>0</v>
      </c>
      <c r="D448" s="19" t="n">
        <v>0</v>
      </c>
      <c r="E448" s="19" t="n">
        <v>1</v>
      </c>
      <c r="F448" s="19" t="n">
        <v>0.01</v>
      </c>
      <c r="G448" s="8" t="str">
        <f aca="false">IFERROR(INDEX('TRANS'!$B:$B,MATCH($B448,'TRANS'!$A:$A,0)),IFERROR(INDEX('TRANS'!$B:$B,MATCH(TRIM(SUBSTITUTE($B448,CHAR(160)," ")),'TRANS'!$D:$D,0)),IFERROR(INDEX('Catalog'!$A:$A,MATCH($B448,'Catalog'!$B:$B,0)),IFERROR(INDEX('Catalog'!$A:$A,MATCH(TRIM(SUBSTITUTE($B448,CHAR(160)," ")),'Catalog'!$C:$C,0)),""))))</f>
        <v/>
      </c>
      <c r="H448" s="8" t="str">
        <f aca="false">IFERROR(INDEX('TRANS'!$C:$C,MATCH($B448,'TRANS'!$A:$A,0)),IFERROR(INDEX('Catalog'!$B:$B,MATCH($G448,'Catalog'!$A:$A,0)),$B448))</f>
        <v>61BL-S</v>
      </c>
      <c r="I448" s="8" t="str">
        <f aca="false">IF($G448="","Unmatched","Matched")</f>
        <v>Unmatched</v>
      </c>
      <c r="J448" s="8" t="str">
        <f aca="false">IF($G448&lt;&gt;"",$G448,$B448)</f>
        <v>61BL-S</v>
      </c>
      <c r="K448" s="8" t="str">
        <f aca="false">IF(COUNTIF($M$1:$M$10,$A448)&gt;0,"Y","N")</f>
        <v>Y</v>
      </c>
    </row>
    <row r="449" customFormat="false" ht="15" hidden="false" customHeight="true" outlineLevel="0" collapsed="false">
      <c r="A449" s="8" t="s">
        <v>46</v>
      </c>
      <c r="B449" s="8" t="s">
        <v>136</v>
      </c>
      <c r="C449" s="19" t="n">
        <v>0</v>
      </c>
      <c r="D449" s="19" t="n">
        <v>0</v>
      </c>
      <c r="E449" s="19" t="n">
        <v>1</v>
      </c>
      <c r="F449" s="19" t="n">
        <v>0.01</v>
      </c>
      <c r="G449" s="8" t="str">
        <f aca="false">IFERROR(INDEX('TRANS'!$B:$B,MATCH($B449,'TRANS'!$A:$A,0)),IFERROR(INDEX('TRANS'!$B:$B,MATCH(TRIM(SUBSTITUTE($B449,CHAR(160)," ")),'TRANS'!$D:$D,0)),IFERROR(INDEX('Catalog'!$A:$A,MATCH($B449,'Catalog'!$B:$B,0)),IFERROR(INDEX('Catalog'!$A:$A,MATCH(TRIM(SUBSTITUTE($B449,CHAR(160)," ")),'Catalog'!$C:$C,0)),""))))</f>
        <v/>
      </c>
      <c r="H449" s="8" t="str">
        <f aca="false">IFERROR(INDEX('TRANS'!$C:$C,MATCH($B449,'TRANS'!$A:$A,0)),IFERROR(INDEX('Catalog'!$B:$B,MATCH($G449,'Catalog'!$A:$A,0)),$B449))</f>
        <v>621B-S</v>
      </c>
      <c r="I449" s="8" t="str">
        <f aca="false">IF($G449="","Unmatched","Matched")</f>
        <v>Unmatched</v>
      </c>
      <c r="J449" s="8" t="str">
        <f aca="false">IF($G449&lt;&gt;"",$G449,$B449)</f>
        <v>621B-S</v>
      </c>
      <c r="K449" s="8" t="str">
        <f aca="false">IF(COUNTIF($M$1:$M$10,$A449)&gt;0,"Y","N")</f>
        <v>Y</v>
      </c>
    </row>
    <row r="450" customFormat="false" ht="15" hidden="false" customHeight="true" outlineLevel="0" collapsed="false">
      <c r="A450" s="8" t="s">
        <v>46</v>
      </c>
      <c r="B450" s="8" t="s">
        <v>119</v>
      </c>
      <c r="C450" s="19" t="n">
        <v>250</v>
      </c>
      <c r="D450" s="19" t="n">
        <v>0</v>
      </c>
      <c r="E450" s="19" t="n">
        <v>0</v>
      </c>
      <c r="F450" s="19" t="n">
        <v>0</v>
      </c>
      <c r="G450" s="8" t="str">
        <f aca="false">IFERROR(INDEX('TRANS'!$B:$B,MATCH($B450,'TRANS'!$A:$A,0)),IFERROR(INDEX('TRANS'!$B:$B,MATCH(TRIM(SUBSTITUTE($B450,CHAR(160)," ")),'TRANS'!$D:$D,0)),IFERROR(INDEX('Catalog'!$A:$A,MATCH($B450,'Catalog'!$B:$B,0)),IFERROR(INDEX('Catalog'!$A:$A,MATCH(TRIM(SUBSTITUTE($B450,CHAR(160)," ")),'Catalog'!$C:$C,0)),""))))</f>
        <v/>
      </c>
      <c r="H450" s="8" t="str">
        <f aca="false">IFERROR(INDEX('TRANS'!$C:$C,MATCH($B450,'TRANS'!$A:$A,0)),IFERROR(INDEX('Catalog'!$B:$B,MATCH($G450,'Catalog'!$A:$A,0)),$B450))</f>
        <v>67600000</v>
      </c>
      <c r="I450" s="8" t="str">
        <f aca="false">IF($G450="","Unmatched","Matched")</f>
        <v>Unmatched</v>
      </c>
      <c r="J450" s="8" t="str">
        <f aca="false">IF($G450&lt;&gt;"",$G450,$B450)</f>
        <v>67600000</v>
      </c>
      <c r="K450" s="8" t="str">
        <f aca="false">IF(COUNTIF($M$1:$M$10,$A450)&gt;0,"Y","N")</f>
        <v>Y</v>
      </c>
    </row>
    <row r="451" customFormat="false" ht="15" hidden="false" customHeight="true" outlineLevel="0" collapsed="false">
      <c r="A451" s="8" t="s">
        <v>46</v>
      </c>
      <c r="B451" s="8" t="s">
        <v>104</v>
      </c>
      <c r="C451" s="19" t="n">
        <v>40</v>
      </c>
      <c r="D451" s="19" t="n">
        <v>0.23</v>
      </c>
      <c r="E451" s="19" t="n">
        <v>15</v>
      </c>
      <c r="F451" s="19" t="n">
        <v>0.15</v>
      </c>
      <c r="G451" s="8" t="str">
        <f aca="false">IFERROR(INDEX('TRANS'!$B:$B,MATCH($B451,'TRANS'!$A:$A,0)),IFERROR(INDEX('TRANS'!$B:$B,MATCH(TRIM(SUBSTITUTE($B451,CHAR(160)," ")),'TRANS'!$D:$D,0)),IFERROR(INDEX('Catalog'!$A:$A,MATCH($B451,'Catalog'!$B:$B,0)),IFERROR(INDEX('Catalog'!$A:$A,MATCH(TRIM(SUBSTITUTE($B451,CHAR(160)," ")),'Catalog'!$C:$C,0)),""))))</f>
        <v/>
      </c>
      <c r="H451" s="8" t="str">
        <f aca="false">IFERROR(INDEX('TRANS'!$C:$C,MATCH($B451,'TRANS'!$A:$A,0)),IFERROR(INDEX('Catalog'!$B:$B,MATCH($G451,'Catalog'!$A:$A,0)),$B451))</f>
        <v>67800020</v>
      </c>
      <c r="I451" s="8" t="str">
        <f aca="false">IF($G451="","Unmatched","Matched")</f>
        <v>Unmatched</v>
      </c>
      <c r="J451" s="8" t="str">
        <f aca="false">IF($G451&lt;&gt;"",$G451,$B451)</f>
        <v>67800020</v>
      </c>
      <c r="K451" s="8" t="str">
        <f aca="false">IF(COUNTIF($M$1:$M$10,$A451)&gt;0,"Y","N")</f>
        <v>Y</v>
      </c>
    </row>
    <row r="452" customFormat="false" ht="15" hidden="false" customHeight="true" outlineLevel="0" collapsed="false">
      <c r="A452" s="8" t="s">
        <v>46</v>
      </c>
      <c r="B452" s="8" t="s">
        <v>132</v>
      </c>
      <c r="C452" s="19" t="n">
        <v>12</v>
      </c>
      <c r="D452" s="19" t="n">
        <v>0.08</v>
      </c>
      <c r="E452" s="19" t="n">
        <v>9</v>
      </c>
      <c r="F452" s="19" t="n">
        <v>0.09</v>
      </c>
      <c r="G452" s="8" t="str">
        <f aca="false">IFERROR(INDEX('TRANS'!$B:$B,MATCH($B452,'TRANS'!$A:$A,0)),IFERROR(INDEX('TRANS'!$B:$B,MATCH(TRIM(SUBSTITUTE($B452,CHAR(160)," ")),'TRANS'!$D:$D,0)),IFERROR(INDEX('Catalog'!$A:$A,MATCH($B452,'Catalog'!$B:$B,0)),IFERROR(INDEX('Catalog'!$A:$A,MATCH(TRIM(SUBSTITUTE($B452,CHAR(160)," ")),'Catalog'!$C:$C,0)),""))))</f>
        <v/>
      </c>
      <c r="H452" s="8" t="str">
        <f aca="false">IFERROR(INDEX('TRANS'!$C:$C,MATCH($B452,'TRANS'!$A:$A,0)),IFERROR(INDEX('Catalog'!$B:$B,MATCH($G452,'Catalog'!$A:$A,0)),$B452))</f>
        <v>67813000</v>
      </c>
      <c r="I452" s="8" t="str">
        <f aca="false">IF($G452="","Unmatched","Matched")</f>
        <v>Unmatched</v>
      </c>
      <c r="J452" s="8" t="str">
        <f aca="false">IF($G452&lt;&gt;"",$G452,$B452)</f>
        <v>67813000</v>
      </c>
      <c r="K452" s="8" t="str">
        <f aca="false">IF(COUNTIF($M$1:$M$10,$A452)&gt;0,"Y","N")</f>
        <v>Y</v>
      </c>
    </row>
    <row r="453" customFormat="false" ht="15" hidden="false" customHeight="true" outlineLevel="0" collapsed="false">
      <c r="A453" s="8" t="s">
        <v>46</v>
      </c>
      <c r="B453" s="8" t="s">
        <v>880</v>
      </c>
      <c r="C453" s="19" t="n">
        <v>0</v>
      </c>
      <c r="D453" s="19" t="n">
        <v>0</v>
      </c>
      <c r="E453" s="19" t="n">
        <v>1</v>
      </c>
      <c r="F453" s="19" t="n">
        <v>301.82</v>
      </c>
      <c r="G453" s="8" t="n">
        <f aca="false">IFERROR(INDEX('TRANS'!$B:$B,MATCH($B453,'TRANS'!$A:$A,0)),IFERROR(INDEX('TRANS'!$B:$B,MATCH(TRIM(SUBSTITUTE($B453,CHAR(160)," ")),'TRANS'!$D:$D,0)),IFERROR(INDEX('Catalog'!$A:$A,MATCH($B453,'Catalog'!$B:$B,0)),IFERROR(INDEX('Catalog'!$A:$A,MATCH(TRIM(SUBSTITUTE($B453,CHAR(160)," ")),'Catalog'!$C:$C,0)),""))))</f>
        <v>4408274</v>
      </c>
      <c r="H453" s="8" t="str">
        <f aca="false">IFERROR(INDEX('TRANS'!$C:$C,MATCH($B453,'TRANS'!$A:$A,0)),IFERROR(INDEX('Catalog'!$B:$B,MATCH($G453,'Catalog'!$A:$A,0)),$B453))</f>
        <v>70N L חגורת פאבליק</v>
      </c>
      <c r="I453" s="8" t="str">
        <f aca="false">IF($G453="","Unmatched","Matched")</f>
        <v>Matched</v>
      </c>
      <c r="J453" s="8" t="n">
        <f aca="false">IF($G453&lt;&gt;"",$G453,$B453)</f>
        <v>4408274</v>
      </c>
      <c r="K453" s="8" t="str">
        <f aca="false">IF(COUNTIF($M$1:$M$10,$A453)&gt;0,"Y","N")</f>
        <v>Y</v>
      </c>
    </row>
    <row r="454" customFormat="false" ht="15" hidden="false" customHeight="true" outlineLevel="0" collapsed="false">
      <c r="A454" s="8" t="s">
        <v>46</v>
      </c>
      <c r="B454" s="8" t="s">
        <v>881</v>
      </c>
      <c r="C454" s="19" t="n">
        <v>0</v>
      </c>
      <c r="D454" s="19" t="n">
        <v>0</v>
      </c>
      <c r="E454" s="19" t="n">
        <v>1</v>
      </c>
      <c r="F454" s="19" t="n">
        <v>0.01</v>
      </c>
      <c r="G454" s="8" t="n">
        <f aca="false">IFERROR(INDEX('TRANS'!$B:$B,MATCH($B454,'TRANS'!$A:$A,0)),IFERROR(INDEX('TRANS'!$B:$B,MATCH(TRIM(SUBSTITUTE($B454,CHAR(160)," ")),'TRANS'!$D:$D,0)),IFERROR(INDEX('Catalog'!$A:$A,MATCH($B454,'Catalog'!$B:$B,0)),IFERROR(INDEX('Catalog'!$A:$A,MATCH(TRIM(SUBSTITUTE($B454,CHAR(160)," ")),'Catalog'!$C:$C,0)),""))))</f>
        <v>4408273</v>
      </c>
      <c r="H454" s="8" t="str">
        <f aca="false">IFERROR(INDEX('TRANS'!$C:$C,MATCH($B454,'TRANS'!$A:$A,0)),IFERROR(INDEX('Catalog'!$B:$B,MATCH($G454,'Catalog'!$A:$A,0)),$B454))</f>
        <v>70N M חגורת פאבליק</v>
      </c>
      <c r="I454" s="8" t="str">
        <f aca="false">IF($G454="","Unmatched","Matched")</f>
        <v>Matched</v>
      </c>
      <c r="J454" s="8" t="n">
        <f aca="false">IF($G454&lt;&gt;"",$G454,$B454)</f>
        <v>4408273</v>
      </c>
      <c r="K454" s="8" t="str">
        <f aca="false">IF(COUNTIF($M$1:$M$10,$A454)&gt;0,"Y","N")</f>
        <v>Y</v>
      </c>
    </row>
    <row r="455" customFormat="false" ht="15" hidden="false" customHeight="true" outlineLevel="0" collapsed="false">
      <c r="A455" s="8" t="s">
        <v>46</v>
      </c>
      <c r="B455" s="8" t="s">
        <v>882</v>
      </c>
      <c r="C455" s="19" t="n">
        <v>1</v>
      </c>
      <c r="D455" s="19" t="n">
        <v>0.01</v>
      </c>
      <c r="E455" s="19" t="n">
        <v>0</v>
      </c>
      <c r="F455" s="19" t="n">
        <v>0</v>
      </c>
      <c r="G455" s="8" t="n">
        <f aca="false">IFERROR(INDEX('TRANS'!$B:$B,MATCH($B455,'TRANS'!$A:$A,0)),IFERROR(INDEX('TRANS'!$B:$B,MATCH(TRIM(SUBSTITUTE($B455,CHAR(160)," ")),'TRANS'!$D:$D,0)),IFERROR(INDEX('Catalog'!$A:$A,MATCH($B455,'Catalog'!$B:$B,0)),IFERROR(INDEX('Catalog'!$A:$A,MATCH(TRIM(SUBSTITUTE($B455,CHAR(160)," ")),'Catalog'!$C:$C,0)),""))))</f>
        <v>4408272</v>
      </c>
      <c r="H455" s="8" t="str">
        <f aca="false">IFERROR(INDEX('TRANS'!$C:$C,MATCH($B455,'TRANS'!$A:$A,0)),IFERROR(INDEX('Catalog'!$B:$B,MATCH($G455,'Catalog'!$A:$A,0)),$B455))</f>
        <v>70N S חגורת פאבליק</v>
      </c>
      <c r="I455" s="8" t="str">
        <f aca="false">IF($G455="","Unmatched","Matched")</f>
        <v>Matched</v>
      </c>
      <c r="J455" s="8" t="n">
        <f aca="false">IF($G455&lt;&gt;"",$G455,$B455)</f>
        <v>4408272</v>
      </c>
      <c r="K455" s="8" t="str">
        <f aca="false">IF(COUNTIF($M$1:$M$10,$A455)&gt;0,"Y","N")</f>
        <v>Y</v>
      </c>
    </row>
    <row r="456" customFormat="false" ht="15" hidden="false" customHeight="true" outlineLevel="0" collapsed="false">
      <c r="A456" s="8" t="s">
        <v>46</v>
      </c>
      <c r="B456" s="8" t="s">
        <v>883</v>
      </c>
      <c r="C456" s="19" t="n">
        <v>1</v>
      </c>
      <c r="D456" s="19" t="n">
        <v>431.17</v>
      </c>
      <c r="E456" s="19" t="n">
        <v>0</v>
      </c>
      <c r="F456" s="19" t="n">
        <v>0</v>
      </c>
      <c r="G456" s="8" t="n">
        <f aca="false">IFERROR(INDEX('TRANS'!$B:$B,MATCH($B456,'TRANS'!$A:$A,0)),IFERROR(INDEX('TRANS'!$B:$B,MATCH(TRIM(SUBSTITUTE($B456,CHAR(160)," ")),'TRANS'!$D:$D,0)),IFERROR(INDEX('Catalog'!$A:$A,MATCH($B456,'Catalog'!$B:$B,0)),IFERROR(INDEX('Catalog'!$A:$A,MATCH(TRIM(SUBSTITUTE($B456,CHAR(160)," ")),'Catalog'!$C:$C,0)),""))))</f>
        <v>4408271</v>
      </c>
      <c r="H456" s="8" t="str">
        <f aca="false">IFERROR(INDEX('TRANS'!$C:$C,MATCH($B456,'TRANS'!$A:$A,0)),IFERROR(INDEX('Catalog'!$B:$B,MATCH($G456,'Catalog'!$A:$A,0)),$B456))</f>
        <v>70N XS חגורת פאבליק</v>
      </c>
      <c r="I456" s="8" t="str">
        <f aca="false">IF($G456="","Unmatched","Matched")</f>
        <v>Matched</v>
      </c>
      <c r="J456" s="8" t="n">
        <f aca="false">IF($G456&lt;&gt;"",$G456,$B456)</f>
        <v>4408271</v>
      </c>
      <c r="K456" s="8" t="str">
        <f aca="false">IF(COUNTIF($M$1:$M$10,$A456)&gt;0,"Y","N")</f>
        <v>Y</v>
      </c>
    </row>
    <row r="457" customFormat="false" ht="15" hidden="false" customHeight="true" outlineLevel="0" collapsed="false">
      <c r="A457" s="8" t="s">
        <v>46</v>
      </c>
      <c r="B457" s="8" t="s">
        <v>884</v>
      </c>
      <c r="C457" s="19" t="n">
        <v>8</v>
      </c>
      <c r="D457" s="19" t="n">
        <v>100.07</v>
      </c>
      <c r="E457" s="19" t="n">
        <v>0</v>
      </c>
      <c r="F457" s="19" t="n">
        <v>0</v>
      </c>
      <c r="G457" s="8" t="n">
        <f aca="false">IFERROR(INDEX('TRANS'!$B:$B,MATCH($B457,'TRANS'!$A:$A,0)),IFERROR(INDEX('TRANS'!$B:$B,MATCH(TRIM(SUBSTITUTE($B457,CHAR(160)," ")),'TRANS'!$D:$D,0)),IFERROR(INDEX('Catalog'!$A:$A,MATCH($B457,'Catalog'!$B:$B,0)),IFERROR(INDEX('Catalog'!$A:$A,MATCH(TRIM(SUBSTITUTE($B457,CHAR(160)," ")),'Catalog'!$C:$C,0)),""))))</f>
        <v>4401013</v>
      </c>
      <c r="H457" s="8" t="str">
        <f aca="false">IFERROR(INDEX('TRANS'!$C:$C,MATCH($B457,'TRANS'!$A:$A,0)),IFERROR(INDEX('Catalog'!$B:$B,MATCH($G457,'Catalog'!$A:$A,0)),$B457))</f>
        <v>805AT-BLאתלטיק טייפ כחול 20מ""""מ</v>
      </c>
      <c r="I457" s="8" t="str">
        <f aca="false">IF($G457="","Unmatched","Matched")</f>
        <v>Matched</v>
      </c>
      <c r="J457" s="8" t="n">
        <f aca="false">IF($G457&lt;&gt;"",$G457,$B457)</f>
        <v>4401013</v>
      </c>
      <c r="K457" s="8" t="str">
        <f aca="false">IF(COUNTIF($M$1:$M$10,$A457)&gt;0,"Y","N")</f>
        <v>Y</v>
      </c>
    </row>
    <row r="458" customFormat="false" ht="15" hidden="false" customHeight="true" outlineLevel="0" collapsed="false">
      <c r="A458" s="8" t="s">
        <v>46</v>
      </c>
      <c r="B458" s="8" t="s">
        <v>424</v>
      </c>
      <c r="C458" s="19" t="n">
        <v>1</v>
      </c>
      <c r="D458" s="19" t="n">
        <v>5.5</v>
      </c>
      <c r="E458" s="19" t="n">
        <v>0</v>
      </c>
      <c r="F458" s="19" t="n">
        <v>0</v>
      </c>
      <c r="G458" s="8" t="str">
        <f aca="false">IFERROR(INDEX('TRANS'!$B:$B,MATCH($B458,'TRANS'!$A:$A,0)),IFERROR(INDEX('TRANS'!$B:$B,MATCH(TRIM(SUBSTITUTE($B458,CHAR(160)," ")),'TRANS'!$D:$D,0)),IFERROR(INDEX('Catalog'!$A:$A,MATCH($B458,'Catalog'!$B:$B,0)),IFERROR(INDEX('Catalog'!$A:$A,MATCH(TRIM(SUBSTITUTE($B458,CHAR(160)," ")),'Catalog'!$C:$C,0)),""))))</f>
        <v/>
      </c>
      <c r="H458" s="8" t="str">
        <f aca="false">IFERROR(INDEX('TRANS'!$C:$C,MATCH($B458,'TRANS'!$A:$A,0)),IFERROR(INDEX('Catalog'!$B:$B,MATCH($G458,'Catalog'!$A:$A,0)),$B458))</f>
        <v>BE CA CB BEIGE</v>
      </c>
      <c r="I458" s="8" t="str">
        <f aca="false">IF($G458="","Unmatched","Matched")</f>
        <v>Unmatched</v>
      </c>
      <c r="J458" s="8" t="str">
        <f aca="false">IF($G458&lt;&gt;"",$G458,$B458)</f>
        <v>BE CA CB BEIGE</v>
      </c>
      <c r="K458" s="8" t="str">
        <f aca="false">IF(COUNTIF($M$1:$M$10,$A458)&gt;0,"Y","N")</f>
        <v>Y</v>
      </c>
    </row>
    <row r="459" customFormat="false" ht="15" hidden="false" customHeight="true" outlineLevel="0" collapsed="false">
      <c r="A459" s="8" t="s">
        <v>46</v>
      </c>
      <c r="B459" s="8" t="s">
        <v>885</v>
      </c>
      <c r="C459" s="19" t="n">
        <v>0</v>
      </c>
      <c r="D459" s="19" t="n">
        <v>0</v>
      </c>
      <c r="E459" s="19" t="n">
        <v>1</v>
      </c>
      <c r="F459" s="19" t="n">
        <v>0.01</v>
      </c>
      <c r="G459" s="8" t="n">
        <f aca="false">IFERROR(INDEX('TRANS'!$B:$B,MATCH($B459,'TRANS'!$A:$A,0)),IFERROR(INDEX('TRANS'!$B:$B,MATCH(TRIM(SUBSTITUTE($B459,CHAR(160)," ")),'TRANS'!$D:$D,0)),IFERROR(INDEX('Catalog'!$A:$A,MATCH($B459,'Catalog'!$B:$B,0)),IFERROR(INDEX('Catalog'!$A:$A,MATCH(TRIM(SUBSTITUTE($B459,CHAR(160)," ")),'Catalog'!$C:$C,0)),""))))</f>
        <v>4422034</v>
      </c>
      <c r="H459" s="8" t="str">
        <f aca="false">IFERROR(INDEX('TRANS'!$C:$C,MATCH($B459,'TRANS'!$A:$A,0)),IFERROR(INDEX('Catalog'!$B:$B,MATCH($G459,'Catalog'!$A:$A,0)),$B459))</f>
        <v>807CB-P תחבושת נצמדת ורוד 20ממ</v>
      </c>
      <c r="I459" s="8" t="str">
        <f aca="false">IF($G459="","Unmatched","Matched")</f>
        <v>Matched</v>
      </c>
      <c r="J459" s="8" t="n">
        <f aca="false">IF($G459&lt;&gt;"",$G459,$B459)</f>
        <v>4422034</v>
      </c>
      <c r="K459" s="8" t="str">
        <f aca="false">IF(COUNTIF($M$1:$M$10,$A459)&gt;0,"Y","N")</f>
        <v>Y</v>
      </c>
    </row>
    <row r="460" customFormat="false" ht="15" hidden="false" customHeight="true" outlineLevel="0" collapsed="false">
      <c r="A460" s="8" t="s">
        <v>46</v>
      </c>
      <c r="B460" s="8" t="s">
        <v>886</v>
      </c>
      <c r="C460" s="19" t="n">
        <v>3</v>
      </c>
      <c r="D460" s="19" t="n">
        <v>189.18</v>
      </c>
      <c r="E460" s="19" t="n">
        <v>10</v>
      </c>
      <c r="F460" s="19" t="n">
        <v>630.6</v>
      </c>
      <c r="G460" s="8" t="n">
        <f aca="false">IFERROR(INDEX('TRANS'!$B:$B,MATCH($B460,'TRANS'!$A:$A,0)),IFERROR(INDEX('TRANS'!$B:$B,MATCH(TRIM(SUBSTITUTE($B460,CHAR(160)," ")),'TRANS'!$D:$D,0)),IFERROR(INDEX('Catalog'!$A:$A,MATCH($B460,'Catalog'!$B:$B,0)),IFERROR(INDEX('Catalog'!$A:$A,MATCH(TRIM(SUBSTITUTE($B460,CHAR(160)," ")),'Catalog'!$C:$C,0)),""))))</f>
        <v>4409015</v>
      </c>
      <c r="H460" s="8" t="str">
        <f aca="false">IFERROR(INDEX('TRANS'!$C:$C,MATCH($B460,'TRANS'!$A:$A,0)),IFERROR(INDEX('Catalog'!$B:$B,MATCH($G460,'Catalog'!$A:$A,0)),$B460))</f>
        <v>808KT-BL       טייפ קינזיולוגי</v>
      </c>
      <c r="I460" s="8" t="str">
        <f aca="false">IF($G460="","Unmatched","Matched")</f>
        <v>Matched</v>
      </c>
      <c r="J460" s="8" t="n">
        <f aca="false">IF($G460&lt;&gt;"",$G460,$B460)</f>
        <v>4409015</v>
      </c>
      <c r="K460" s="8" t="str">
        <f aca="false">IF(COUNTIF($M$1:$M$10,$A460)&gt;0,"Y","N")</f>
        <v>Y</v>
      </c>
    </row>
    <row r="461" customFormat="false" ht="15" hidden="false" customHeight="true" outlineLevel="0" collapsed="false">
      <c r="A461" s="8" t="s">
        <v>46</v>
      </c>
      <c r="B461" s="8" t="s">
        <v>887</v>
      </c>
      <c r="C461" s="19" t="n">
        <v>5</v>
      </c>
      <c r="D461" s="19" t="n">
        <v>252.25</v>
      </c>
      <c r="E461" s="19" t="n">
        <v>0</v>
      </c>
      <c r="F461" s="19" t="n">
        <v>0</v>
      </c>
      <c r="G461" s="8" t="n">
        <f aca="false">IFERROR(INDEX('TRANS'!$B:$B,MATCH($B461,'TRANS'!$A:$A,0)),IFERROR(INDEX('TRANS'!$B:$B,MATCH(TRIM(SUBSTITUTE($B461,CHAR(160)," ")),'TRANS'!$D:$D,0)),IFERROR(INDEX('Catalog'!$A:$A,MATCH($B461,'Catalog'!$B:$B,0)),IFERROR(INDEX('Catalog'!$A:$A,MATCH(TRIM(SUBSTITUTE($B461,CHAR(160)," ")),'Catalog'!$C:$C,0)),""))))</f>
        <v>4409014</v>
      </c>
      <c r="H461" s="8" t="str">
        <f aca="false">IFERROR(INDEX('TRANS'!$C:$C,MATCH($B461,'TRANS'!$A:$A,0)),IFERROR(INDEX('Catalog'!$B:$B,MATCH($G461,'Catalog'!$A:$A,0)),$B461))</f>
        <v>808KT-P        טייפ קינזיולוגי</v>
      </c>
      <c r="I461" s="8" t="str">
        <f aca="false">IF($G461="","Unmatched","Matched")</f>
        <v>Matched</v>
      </c>
      <c r="J461" s="8" t="n">
        <f aca="false">IF($G461&lt;&gt;"",$G461,$B461)</f>
        <v>4409014</v>
      </c>
      <c r="K461" s="8" t="str">
        <f aca="false">IF(COUNTIF($M$1:$M$10,$A461)&gt;0,"Y","N")</f>
        <v>Y</v>
      </c>
    </row>
    <row r="462" customFormat="false" ht="15" hidden="false" customHeight="true" outlineLevel="0" collapsed="false">
      <c r="A462" s="8" t="s">
        <v>46</v>
      </c>
      <c r="B462" s="8" t="s">
        <v>79</v>
      </c>
      <c r="C462" s="19" t="n">
        <v>1</v>
      </c>
      <c r="D462" s="19" t="n">
        <v>62.97</v>
      </c>
      <c r="E462" s="19" t="n">
        <v>1</v>
      </c>
      <c r="F462" s="19" t="n">
        <v>42.75</v>
      </c>
      <c r="G462" s="8" t="str">
        <f aca="false">IFERROR(INDEX('TRANS'!$B:$B,MATCH($B462,'TRANS'!$A:$A,0)),IFERROR(INDEX('TRANS'!$B:$B,MATCH(TRIM(SUBSTITUTE($B462,CHAR(160)," ")),'TRANS'!$D:$D,0)),IFERROR(INDEX('Catalog'!$A:$A,MATCH($B462,'Catalog'!$B:$B,0)),IFERROR(INDEX('Catalog'!$A:$A,MATCH(TRIM(SUBSTITUTE($B462,CHAR(160)," ")),'Catalog'!$C:$C,0)),""))))</f>
        <v/>
      </c>
      <c r="H462" s="8" t="str">
        <f aca="false">IFERROR(INDEX('TRANS'!$C:$C,MATCH($B462,'TRANS'!$A:$A,0)),IFERROR(INDEX('Catalog'!$B:$B,MATCH($G462,'Catalog'!$A:$A,0)),$B462))</f>
        <v>808KTP-BL</v>
      </c>
      <c r="I462" s="8" t="str">
        <f aca="false">IF($G462="","Unmatched","Matched")</f>
        <v>Unmatched</v>
      </c>
      <c r="J462" s="8" t="str">
        <f aca="false">IF($G462&lt;&gt;"",$G462,$B462)</f>
        <v>808KTP-BL</v>
      </c>
      <c r="K462" s="8" t="str">
        <f aca="false">IF(COUNTIF($M$1:$M$10,$A462)&gt;0,"Y","N")</f>
        <v>Y</v>
      </c>
    </row>
    <row r="463" customFormat="false" ht="15" hidden="false" customHeight="true" outlineLevel="0" collapsed="false">
      <c r="A463" s="8" t="s">
        <v>46</v>
      </c>
      <c r="B463" s="8" t="s">
        <v>425</v>
      </c>
      <c r="C463" s="19" t="n">
        <v>1</v>
      </c>
      <c r="D463" s="19" t="n">
        <v>24</v>
      </c>
      <c r="E463" s="19" t="n">
        <v>0</v>
      </c>
      <c r="F463" s="19" t="n">
        <v>0</v>
      </c>
      <c r="G463" s="8" t="str">
        <f aca="false">IFERROR(INDEX('TRANS'!$B:$B,MATCH($B463,'TRANS'!$A:$A,0)),IFERROR(INDEX('TRANS'!$B:$B,MATCH(TRIM(SUBSTITUTE($B463,CHAR(160)," ")),'TRANS'!$D:$D,0)),IFERROR(INDEX('Catalog'!$A:$A,MATCH($B463,'Catalog'!$B:$B,0)),IFERROR(INDEX('Catalog'!$A:$A,MATCH(TRIM(SUBSTITUTE($B463,CHAR(160)," ")),'Catalog'!$C:$C,0)),""))))</f>
        <v/>
      </c>
      <c r="H463" s="8" t="str">
        <f aca="false">IFERROR(INDEX('TRANS'!$C:$C,MATCH($B463,'TRANS'!$A:$A,0)),IFERROR(INDEX('Catalog'!$B:$B,MATCH($G463,'Catalog'!$A:$A,0)),$B463))</f>
        <v>BE CA KT BLACK</v>
      </c>
      <c r="I463" s="8" t="str">
        <f aca="false">IF($G463="","Unmatched","Matched")</f>
        <v>Unmatched</v>
      </c>
      <c r="J463" s="8" t="str">
        <f aca="false">IF($G463&lt;&gt;"",$G463,$B463)</f>
        <v>BE CA KT BLACK</v>
      </c>
      <c r="K463" s="8" t="str">
        <f aca="false">IF(COUNTIF($M$1:$M$10,$A463)&gt;0,"Y","N")</f>
        <v>Y</v>
      </c>
    </row>
    <row r="464" customFormat="false" ht="15" hidden="false" customHeight="true" outlineLevel="0" collapsed="false">
      <c r="A464" s="8" t="s">
        <v>46</v>
      </c>
      <c r="B464" s="8" t="s">
        <v>116</v>
      </c>
      <c r="C464" s="19" t="n">
        <v>0</v>
      </c>
      <c r="D464" s="19" t="n">
        <v>0</v>
      </c>
      <c r="E464" s="19" t="n">
        <v>2</v>
      </c>
      <c r="F464" s="19" t="n">
        <v>0.02</v>
      </c>
      <c r="G464" s="8" t="str">
        <f aca="false">IFERROR(INDEX('TRANS'!$B:$B,MATCH($B464,'TRANS'!$A:$A,0)),IFERROR(INDEX('TRANS'!$B:$B,MATCH(TRIM(SUBSTITUTE($B464,CHAR(160)," ")),'TRANS'!$D:$D,0)),IFERROR(INDEX('Catalog'!$A:$A,MATCH($B464,'Catalog'!$B:$B,0)),IFERROR(INDEX('Catalog'!$A:$A,MATCH(TRIM(SUBSTITUTE($B464,CHAR(160)," ")),'Catalog'!$C:$C,0)),""))))</f>
        <v/>
      </c>
      <c r="H464" s="8" t="str">
        <f aca="false">IFERROR(INDEX('TRANS'!$C:$C,MATCH($B464,'TRANS'!$A:$A,0)),IFERROR(INDEX('Catalog'!$B:$B,MATCH($G464,'Catalog'!$A:$A,0)),$B464))</f>
        <v>809PW-C</v>
      </c>
      <c r="I464" s="8" t="str">
        <f aca="false">IF($G464="","Unmatched","Matched")</f>
        <v>Unmatched</v>
      </c>
      <c r="J464" s="8" t="str">
        <f aca="false">IF($G464&lt;&gt;"",$G464,$B464)</f>
        <v>809PW-C</v>
      </c>
      <c r="K464" s="8" t="str">
        <f aca="false">IF(COUNTIF($M$1:$M$10,$A464)&gt;0,"Y","N")</f>
        <v>Y</v>
      </c>
    </row>
    <row r="465" customFormat="false" ht="15" hidden="false" customHeight="true" outlineLevel="0" collapsed="false">
      <c r="A465" s="8" t="s">
        <v>46</v>
      </c>
      <c r="B465" s="8" t="s">
        <v>426</v>
      </c>
      <c r="C465" s="19" t="n">
        <v>1</v>
      </c>
      <c r="D465" s="19" t="n">
        <v>302.5</v>
      </c>
      <c r="E465" s="19" t="n">
        <v>0</v>
      </c>
      <c r="F465" s="19" t="n">
        <v>0</v>
      </c>
      <c r="G465" s="8" t="str">
        <f aca="false">IFERROR(INDEX('TRANS'!$B:$B,MATCH($B465,'TRANS'!$A:$A,0)),IFERROR(INDEX('TRANS'!$B:$B,MATCH(TRIM(SUBSTITUTE($B465,CHAR(160)," ")),'TRANS'!$D:$D,0)),IFERROR(INDEX('Catalog'!$A:$A,MATCH($B465,'Catalog'!$B:$B,0)),IFERROR(INDEX('Catalog'!$A:$A,MATCH(TRIM(SUBSTITUTE($B465,CHAR(160)," ")),'Catalog'!$C:$C,0)),""))))</f>
        <v/>
      </c>
      <c r="H465" s="8" t="str">
        <f aca="false">IFERROR(INDEX('TRANS'!$C:$C,MATCH($B465,'TRANS'!$A:$A,0)),IFERROR(INDEX('Catalog'!$B:$B,MATCH($G465,'Catalog'!$A:$A,0)),$B465))</f>
        <v>88L XXL</v>
      </c>
      <c r="I465" s="8" t="str">
        <f aca="false">IF($G465="","Unmatched","Matched")</f>
        <v>Unmatched</v>
      </c>
      <c r="J465" s="8" t="str">
        <f aca="false">IF($G465&lt;&gt;"",$G465,$B465)</f>
        <v>88L XXL</v>
      </c>
      <c r="K465" s="8" t="str">
        <f aca="false">IF(COUNTIF($M$1:$M$10,$A465)&gt;0,"Y","N")</f>
        <v>Y</v>
      </c>
    </row>
    <row r="466" customFormat="false" ht="15" hidden="false" customHeight="true" outlineLevel="0" collapsed="false">
      <c r="A466" s="8" t="s">
        <v>46</v>
      </c>
      <c r="B466" s="8" t="s">
        <v>427</v>
      </c>
      <c r="C466" s="19" t="n">
        <v>2</v>
      </c>
      <c r="D466" s="19" t="n">
        <v>403.35</v>
      </c>
      <c r="E466" s="19" t="n">
        <v>0</v>
      </c>
      <c r="F466" s="19" t="n">
        <v>0</v>
      </c>
      <c r="G466" s="8" t="str">
        <f aca="false">IFERROR(INDEX('TRANS'!$B:$B,MATCH($B466,'TRANS'!$A:$A,0)),IFERROR(INDEX('TRANS'!$B:$B,MATCH(TRIM(SUBSTITUTE($B466,CHAR(160)," ")),'TRANS'!$D:$D,0)),IFERROR(INDEX('Catalog'!$A:$A,MATCH($B466,'Catalog'!$B:$B,0)),IFERROR(INDEX('Catalog'!$A:$A,MATCH(TRIM(SUBSTITUTE($B466,CHAR(160)," ")),'Catalog'!$C:$C,0)),""))))</f>
        <v/>
      </c>
      <c r="H466" s="8" t="str">
        <f aca="false">IFERROR(INDEX('TRANS'!$C:$C,MATCH($B466,'TRANS'!$A:$A,0)),IFERROR(INDEX('Catalog'!$B:$B,MATCH($G466,'Catalog'!$A:$A,0)),$B466))</f>
        <v>88L- S-M</v>
      </c>
      <c r="I466" s="8" t="str">
        <f aca="false">IF($G466="","Unmatched","Matched")</f>
        <v>Unmatched</v>
      </c>
      <c r="J466" s="8" t="str">
        <f aca="false">IF($G466&lt;&gt;"",$G466,$B466)</f>
        <v>88L- S-M</v>
      </c>
      <c r="K466" s="8" t="str">
        <f aca="false">IF(COUNTIF($M$1:$M$10,$A466)&gt;0,"Y","N")</f>
        <v>Y</v>
      </c>
    </row>
    <row r="467" customFormat="false" ht="15" hidden="false" customHeight="true" outlineLevel="0" collapsed="false">
      <c r="A467" s="8" t="s">
        <v>46</v>
      </c>
      <c r="B467" s="8" t="s">
        <v>428</v>
      </c>
      <c r="C467" s="19" t="n">
        <v>1</v>
      </c>
      <c r="D467" s="19" t="n">
        <v>107.09</v>
      </c>
      <c r="E467" s="19" t="n">
        <v>0</v>
      </c>
      <c r="F467" s="19" t="n">
        <v>0</v>
      </c>
      <c r="G467" s="8" t="str">
        <f aca="false">IFERROR(INDEX('TRANS'!$B:$B,MATCH($B467,'TRANS'!$A:$A,0)),IFERROR(INDEX('TRANS'!$B:$B,MATCH(TRIM(SUBSTITUTE($B467,CHAR(160)," ")),'TRANS'!$D:$D,0)),IFERROR(INDEX('Catalog'!$A:$A,MATCH($B467,'Catalog'!$B:$B,0)),IFERROR(INDEX('Catalog'!$A:$A,MATCH(TRIM(SUBSTITUTE($B467,CHAR(160)," ")),'Catalog'!$C:$C,0)),""))))</f>
        <v/>
      </c>
      <c r="H467" s="8" t="str">
        <f aca="false">IFERROR(INDEX('TRANS'!$C:$C,MATCH($B467,'TRANS'!$A:$A,0)),IFERROR(INDEX('Catalog'!$B:$B,MATCH($G467,'Catalog'!$A:$A,0)),$B467))</f>
        <v>91 0</v>
      </c>
      <c r="I467" s="8" t="str">
        <f aca="false">IF($G467="","Unmatched","Matched")</f>
        <v>Unmatched</v>
      </c>
      <c r="J467" s="8" t="str">
        <f aca="false">IF($G467&lt;&gt;"",$G467,$B467)</f>
        <v>91 0</v>
      </c>
      <c r="K467" s="8" t="str">
        <f aca="false">IF(COUNTIF($M$1:$M$10,$A467)&gt;0,"Y","N")</f>
        <v>Y</v>
      </c>
    </row>
    <row r="468" customFormat="false" ht="15" hidden="false" customHeight="true" outlineLevel="0" collapsed="false">
      <c r="A468" s="8" t="s">
        <v>46</v>
      </c>
      <c r="B468" s="8" t="s">
        <v>888</v>
      </c>
      <c r="C468" s="19" t="n">
        <v>10</v>
      </c>
      <c r="D468" s="19" t="n">
        <v>301.94</v>
      </c>
      <c r="E468" s="19" t="n">
        <v>0</v>
      </c>
      <c r="F468" s="19" t="n">
        <v>0</v>
      </c>
      <c r="G468" s="8" t="n">
        <f aca="false">IFERROR(INDEX('TRANS'!$B:$B,MATCH($B468,'TRANS'!$A:$A,0)),IFERROR(INDEX('TRANS'!$B:$B,MATCH(TRIM(SUBSTITUTE($B468,CHAR(160)," ")),'TRANS'!$D:$D,0)),IFERROR(INDEX('Catalog'!$A:$A,MATCH($B468,'Catalog'!$B:$B,0)),IFERROR(INDEX('Catalog'!$A:$A,MATCH(TRIM(SUBSTITUTE($B468,CHAR(160)," ")),'Catalog'!$C:$C,0)),""))))</f>
        <v>4422036</v>
      </c>
      <c r="H468" s="8" t="str">
        <f aca="false">IFERROR(INDEX('TRANS'!$C:$C,MATCH($B468,'TRANS'!$A:$A,0)),IFERROR(INDEX('Catalog'!$B:$B,MATCH($G468,'Catalog'!$A:$A,0)),$B468))</f>
        <v>FC334  תרסיס דאודורנט לכף הרגל</v>
      </c>
      <c r="I468" s="8" t="str">
        <f aca="false">IF($G468="","Unmatched","Matched")</f>
        <v>Matched</v>
      </c>
      <c r="J468" s="8" t="n">
        <f aca="false">IF($G468&lt;&gt;"",$G468,$B468)</f>
        <v>4422036</v>
      </c>
      <c r="K468" s="8" t="str">
        <f aca="false">IF(COUNTIF($M$1:$M$10,$A468)&gt;0,"Y","N")</f>
        <v>Y</v>
      </c>
    </row>
    <row r="469" customFormat="false" ht="15" hidden="false" customHeight="true" outlineLevel="0" collapsed="false">
      <c r="A469" s="8" t="s">
        <v>46</v>
      </c>
      <c r="B469" s="8" t="s">
        <v>889</v>
      </c>
      <c r="C469" s="19" t="n">
        <v>1</v>
      </c>
      <c r="D469" s="19" t="n">
        <v>0.01</v>
      </c>
      <c r="E469" s="19" t="n">
        <v>0</v>
      </c>
      <c r="F469" s="19" t="n">
        <v>0</v>
      </c>
      <c r="G469" s="8" t="n">
        <f aca="false">IFERROR(INDEX('TRANS'!$B:$B,MATCH($B469,'TRANS'!$A:$A,0)),IFERROR(INDEX('TRANS'!$B:$B,MATCH(TRIM(SUBSTITUTE($B469,CHAR(160)," ")),'TRANS'!$D:$D,0)),IFERROR(INDEX('Catalog'!$A:$A,MATCH($B469,'Catalog'!$B:$B,0)),IFERROR(INDEX('Catalog'!$A:$A,MATCH(TRIM(SUBSTITUTE($B469,CHAR(160)," ")),'Catalog'!$C:$C,0)),""))))</f>
        <v>4420022</v>
      </c>
      <c r="H469" s="8" t="str">
        <f aca="false">IFERROR(INDEX('TRANS'!$C:$C,MATCH($B469,'TRANS'!$A:$A,0)),IFERROR(INDEX('Catalog'!$B:$B,MATCH($G469,'Catalog'!$A:$A,0)),$B469))</f>
        <v>LF370 ריפוד סיליקון לעקב אחורי</v>
      </c>
      <c r="I469" s="8" t="str">
        <f aca="false">IF($G469="","Unmatched","Matched")</f>
        <v>Matched</v>
      </c>
      <c r="J469" s="8" t="n">
        <f aca="false">IF($G469&lt;&gt;"",$G469,$B469)</f>
        <v>4420022</v>
      </c>
      <c r="K469" s="8" t="str">
        <f aca="false">IF(COUNTIF($M$1:$M$10,$A469)&gt;0,"Y","N")</f>
        <v>Y</v>
      </c>
    </row>
    <row r="470" customFormat="false" ht="15" hidden="false" customHeight="true" outlineLevel="0" collapsed="false">
      <c r="A470" s="8" t="s">
        <v>46</v>
      </c>
      <c r="B470" s="8" t="s">
        <v>51</v>
      </c>
      <c r="C470" s="19" t="n">
        <v>1</v>
      </c>
      <c r="D470" s="19" t="n">
        <v>42.29</v>
      </c>
      <c r="E470" s="19" t="n">
        <v>0</v>
      </c>
      <c r="F470" s="19" t="n">
        <v>0</v>
      </c>
      <c r="G470" s="8" t="str">
        <f aca="false">IFERROR(INDEX('TRANS'!$B:$B,MATCH($B470,'TRANS'!$A:$A,0)),IFERROR(INDEX('TRANS'!$B:$B,MATCH(TRIM(SUBSTITUTE($B470,CHAR(160)," ")),'TRANS'!$D:$D,0)),IFERROR(INDEX('Catalog'!$A:$A,MATCH($B470,'Catalog'!$B:$B,0)),IFERROR(INDEX('Catalog'!$A:$A,MATCH(TRIM(SUBSTITUTE($B470,CHAR(160)," ")),'Catalog'!$C:$C,0)),""))))</f>
        <v/>
      </c>
      <c r="H470" s="8" t="str">
        <f aca="false">IFERROR(INDEX('TRANS'!$C:$C,MATCH($B470,'TRANS'!$A:$A,0)),IFERROR(INDEX('Catalog'!$B:$B,MATCH($G470,'Catalog'!$A:$A,0)),$B470))</f>
        <v>M94</v>
      </c>
      <c r="I470" s="8" t="str">
        <f aca="false">IF($G470="","Unmatched","Matched")</f>
        <v>Unmatched</v>
      </c>
      <c r="J470" s="8" t="str">
        <f aca="false">IF($G470&lt;&gt;"",$G470,$B470)</f>
        <v>M94</v>
      </c>
      <c r="K470" s="8" t="str">
        <f aca="false">IF(COUNTIF($M$1:$M$10,$A470)&gt;0,"Y","N")</f>
        <v>Y</v>
      </c>
    </row>
    <row r="471" customFormat="false" ht="15" hidden="false" customHeight="true" outlineLevel="0" collapsed="false">
      <c r="A471" s="8" t="s">
        <v>46</v>
      </c>
      <c r="B471" s="8" t="s">
        <v>71</v>
      </c>
      <c r="C471" s="19" t="n">
        <v>0</v>
      </c>
      <c r="D471" s="19" t="n">
        <v>0</v>
      </c>
      <c r="E471" s="19" t="n">
        <v>3</v>
      </c>
      <c r="F471" s="19" t="n">
        <v>508.43</v>
      </c>
      <c r="G471" s="8" t="str">
        <f aca="false">IFERROR(INDEX('TRANS'!$B:$B,MATCH($B471,'TRANS'!$A:$A,0)),IFERROR(INDEX('TRANS'!$B:$B,MATCH(TRIM(SUBSTITUTE($B471,CHAR(160)," ")),'TRANS'!$D:$D,0)),IFERROR(INDEX('Catalog'!$A:$A,MATCH($B471,'Catalog'!$B:$B,0)),IFERROR(INDEX('Catalog'!$A:$A,MATCH(TRIM(SUBSTITUTE($B471,CHAR(160)," ")),'Catalog'!$C:$C,0)),""))))</f>
        <v/>
      </c>
      <c r="H471" s="8" t="str">
        <f aca="false">IFERROR(INDEX('TRANS'!$C:$C,MATCH($B471,'TRANS'!$A:$A,0)),IFERROR(INDEX('Catalog'!$B:$B,MATCH($G471,'Catalog'!$A:$A,0)),$B471))</f>
        <v>MSG001FB 0</v>
      </c>
      <c r="I471" s="8" t="str">
        <f aca="false">IF($G471="","Unmatched","Matched")</f>
        <v>Unmatched</v>
      </c>
      <c r="J471" s="8" t="str">
        <f aca="false">IF($G471&lt;&gt;"",$G471,$B471)</f>
        <v>MSG001FB 0</v>
      </c>
      <c r="K471" s="8" t="str">
        <f aca="false">IF(COUNTIF($M$1:$M$10,$A471)&gt;0,"Y","N")</f>
        <v>Y</v>
      </c>
    </row>
    <row r="472" customFormat="false" ht="15" hidden="false" customHeight="true" outlineLevel="0" collapsed="false">
      <c r="A472" s="8" t="s">
        <v>46</v>
      </c>
      <c r="B472" s="8" t="s">
        <v>76</v>
      </c>
      <c r="C472" s="19" t="n">
        <v>0</v>
      </c>
      <c r="D472" s="19" t="n">
        <v>0</v>
      </c>
      <c r="E472" s="19" t="n">
        <v>2</v>
      </c>
      <c r="F472" s="19" t="n">
        <v>0</v>
      </c>
      <c r="G472" s="8" t="str">
        <f aca="false">IFERROR(INDEX('TRANS'!$B:$B,MATCH($B472,'TRANS'!$A:$A,0)),IFERROR(INDEX('TRANS'!$B:$B,MATCH(TRIM(SUBSTITUTE($B472,CHAR(160)," ")),'TRANS'!$D:$D,0)),IFERROR(INDEX('Catalog'!$A:$A,MATCH($B472,'Catalog'!$B:$B,0)),IFERROR(INDEX('Catalog'!$A:$A,MATCH(TRIM(SUBSTITUTE($B472,CHAR(160)," ")),'Catalog'!$C:$C,0)),""))))</f>
        <v/>
      </c>
      <c r="H472" s="8" t="str">
        <f aca="false">IFERROR(INDEX('TRANS'!$C:$C,MATCH($B472,'TRANS'!$A:$A,0)),IFERROR(INDEX('Catalog'!$B:$B,MATCH($G472,'Catalog'!$A:$A,0)),$B472))</f>
        <v>MSG002S 0</v>
      </c>
      <c r="I472" s="8" t="str">
        <f aca="false">IF($G472="","Unmatched","Matched")</f>
        <v>Unmatched</v>
      </c>
      <c r="J472" s="8" t="str">
        <f aca="false">IF($G472&lt;&gt;"",$G472,$B472)</f>
        <v>MSG002S 0</v>
      </c>
      <c r="K472" s="8" t="str">
        <f aca="false">IF(COUNTIF($M$1:$M$10,$A472)&gt;0,"Y","N")</f>
        <v>Y</v>
      </c>
    </row>
    <row r="473" customFormat="false" ht="15" hidden="false" customHeight="true" outlineLevel="0" collapsed="false">
      <c r="A473" s="8" t="s">
        <v>46</v>
      </c>
      <c r="B473" s="8" t="s">
        <v>139</v>
      </c>
      <c r="C473" s="19" t="n">
        <v>4</v>
      </c>
      <c r="D473" s="19" t="n">
        <v>1186.25</v>
      </c>
      <c r="E473" s="19" t="n">
        <v>2</v>
      </c>
      <c r="F473" s="19" t="n">
        <v>593.14</v>
      </c>
      <c r="G473" s="8" t="str">
        <f aca="false">IFERROR(INDEX('TRANS'!$B:$B,MATCH($B473,'TRANS'!$A:$A,0)),IFERROR(INDEX('TRANS'!$B:$B,MATCH(TRIM(SUBSTITUTE($B473,CHAR(160)," ")),'TRANS'!$D:$D,0)),IFERROR(INDEX('Catalog'!$A:$A,MATCH($B473,'Catalog'!$B:$B,0)),IFERROR(INDEX('Catalog'!$A:$A,MATCH(TRIM(SUBSTITUTE($B473,CHAR(160)," ")),'Catalog'!$C:$C,0)),""))))</f>
        <v/>
      </c>
      <c r="H473" s="8" t="str">
        <f aca="false">IFERROR(INDEX('TRANS'!$C:$C,MATCH($B473,'TRANS'!$A:$A,0)),IFERROR(INDEX('Catalog'!$B:$B,MATCH($G473,'Catalog'!$A:$A,0)),$B473))</f>
        <v>N433D M</v>
      </c>
      <c r="I473" s="8" t="str">
        <f aca="false">IF($G473="","Unmatched","Matched")</f>
        <v>Unmatched</v>
      </c>
      <c r="J473" s="8" t="str">
        <f aca="false">IF($G473&lt;&gt;"",$G473,$B473)</f>
        <v>N433D M</v>
      </c>
      <c r="K473" s="8" t="str">
        <f aca="false">IF(COUNTIF($M$1:$M$10,$A473)&gt;0,"Y","N")</f>
        <v>Y</v>
      </c>
    </row>
    <row r="474" customFormat="false" ht="15" hidden="false" customHeight="true" outlineLevel="0" collapsed="false">
      <c r="A474" s="8" t="s">
        <v>46</v>
      </c>
      <c r="B474" s="8" t="s">
        <v>122</v>
      </c>
      <c r="C474" s="19" t="n">
        <v>0</v>
      </c>
      <c r="D474" s="19" t="n">
        <v>0</v>
      </c>
      <c r="E474" s="19" t="n">
        <v>2</v>
      </c>
      <c r="F474" s="19" t="n">
        <v>593.14</v>
      </c>
      <c r="G474" s="8" t="str">
        <f aca="false">IFERROR(INDEX('TRANS'!$B:$B,MATCH($B474,'TRANS'!$A:$A,0)),IFERROR(INDEX('TRANS'!$B:$B,MATCH(TRIM(SUBSTITUTE($B474,CHAR(160)," ")),'TRANS'!$D:$D,0)),IFERROR(INDEX('Catalog'!$A:$A,MATCH($B474,'Catalog'!$B:$B,0)),IFERROR(INDEX('Catalog'!$A:$A,MATCH(TRIM(SUBSTITUTE($B474,CHAR(160)," ")),'Catalog'!$C:$C,0)),""))))</f>
        <v/>
      </c>
      <c r="H474" s="8" t="str">
        <f aca="false">IFERROR(INDEX('TRANS'!$C:$C,MATCH($B474,'TRANS'!$A:$A,0)),IFERROR(INDEX('Catalog'!$B:$B,MATCH($G474,'Catalog'!$A:$A,0)),$B474))</f>
        <v>N433D XL</v>
      </c>
      <c r="I474" s="8" t="str">
        <f aca="false">IF($G474="","Unmatched","Matched")</f>
        <v>Unmatched</v>
      </c>
      <c r="J474" s="8" t="str">
        <f aca="false">IF($G474&lt;&gt;"",$G474,$B474)</f>
        <v>N433D XL</v>
      </c>
      <c r="K474" s="8" t="str">
        <f aca="false">IF(COUNTIF($M$1:$M$10,$A474)&gt;0,"Y","N")</f>
        <v>Y</v>
      </c>
    </row>
    <row r="475" customFormat="false" ht="15" hidden="false" customHeight="true" outlineLevel="0" collapsed="false">
      <c r="A475" s="8" t="s">
        <v>46</v>
      </c>
      <c r="B475" s="8" t="s">
        <v>890</v>
      </c>
      <c r="C475" s="19" t="n">
        <v>1</v>
      </c>
      <c r="D475" s="19" t="n">
        <v>281.17</v>
      </c>
      <c r="E475" s="19" t="n">
        <v>1</v>
      </c>
      <c r="F475" s="19" t="n">
        <v>196.82</v>
      </c>
      <c r="G475" s="8" t="n">
        <f aca="false">IFERROR(INDEX('TRANS'!$B:$B,MATCH($B475,'TRANS'!$A:$A,0)),IFERROR(INDEX('TRANS'!$B:$B,MATCH(TRIM(SUBSTITUTE($B475,CHAR(160)," ")),'TRANS'!$D:$D,0)),IFERROR(INDEX('Catalog'!$A:$A,MATCH($B475,'Catalog'!$B:$B,0)),IFERROR(INDEX('Catalog'!$A:$A,MATCH(TRIM(SUBSTITUTE($B475,CHAR(160)," ")),'Catalog'!$C:$C,0)),""))))</f>
        <v>4422037</v>
      </c>
      <c r="H475" s="8" t="str">
        <f aca="false">IFERROR(INDEX('TRANS'!$C:$C,MATCH($B475,'TRANS'!$A:$A,0)),IFERROR(INDEX('Catalog'!$B:$B,MATCH($G475,'Catalog'!$A:$A,0)),$B475))</f>
        <v>SH422 1 תומך ברך גנושילד</v>
      </c>
      <c r="I475" s="8" t="str">
        <f aca="false">IF($G475="","Unmatched","Matched")</f>
        <v>Matched</v>
      </c>
      <c r="J475" s="8" t="n">
        <f aca="false">IF($G475&lt;&gt;"",$G475,$B475)</f>
        <v>4422037</v>
      </c>
      <c r="K475" s="8" t="str">
        <f aca="false">IF(COUNTIF($M$1:$M$10,$A475)&gt;0,"Y","N")</f>
        <v>Y</v>
      </c>
    </row>
    <row r="476" customFormat="false" ht="15" hidden="false" customHeight="true" outlineLevel="0" collapsed="false">
      <c r="A476" s="8" t="s">
        <v>46</v>
      </c>
      <c r="B476" s="8" t="s">
        <v>891</v>
      </c>
      <c r="C476" s="19" t="n">
        <v>1</v>
      </c>
      <c r="D476" s="19" t="n">
        <v>281.17</v>
      </c>
      <c r="E476" s="19" t="n">
        <v>2</v>
      </c>
      <c r="F476" s="19" t="n">
        <v>381.27</v>
      </c>
      <c r="G476" s="8" t="n">
        <f aca="false">IFERROR(INDEX('TRANS'!$B:$B,MATCH($B476,'TRANS'!$A:$A,0)),IFERROR(INDEX('TRANS'!$B:$B,MATCH(TRIM(SUBSTITUTE($B476,CHAR(160)," ")),'TRANS'!$D:$D,0)),IFERROR(INDEX('Catalog'!$A:$A,MATCH($B476,'Catalog'!$B:$B,0)),IFERROR(INDEX('Catalog'!$A:$A,MATCH(TRIM(SUBSTITUTE($B476,CHAR(160)," ")),'Catalog'!$C:$C,0)),""))))</f>
        <v>4422038</v>
      </c>
      <c r="H476" s="8" t="str">
        <f aca="false">IFERROR(INDEX('TRANS'!$C:$C,MATCH($B476,'TRANS'!$A:$A,0)),IFERROR(INDEX('Catalog'!$B:$B,MATCH($G476,'Catalog'!$A:$A,0)),$B476))</f>
        <v>SH422 2 תומך ברך גנושילד</v>
      </c>
      <c r="I476" s="8" t="str">
        <f aca="false">IF($G476="","Unmatched","Matched")</f>
        <v>Matched</v>
      </c>
      <c r="J476" s="8" t="n">
        <f aca="false">IF($G476&lt;&gt;"",$G476,$B476)</f>
        <v>4422038</v>
      </c>
      <c r="K476" s="8" t="str">
        <f aca="false">IF(COUNTIF($M$1:$M$10,$A476)&gt;0,"Y","N")</f>
        <v>Y</v>
      </c>
    </row>
    <row r="477" customFormat="false" ht="15" hidden="false" customHeight="true" outlineLevel="0" collapsed="false">
      <c r="A477" s="8" t="s">
        <v>46</v>
      </c>
      <c r="B477" s="8" t="s">
        <v>892</v>
      </c>
      <c r="C477" s="19" t="n">
        <v>4</v>
      </c>
      <c r="D477" s="19" t="n">
        <v>1034.14</v>
      </c>
      <c r="E477" s="19" t="n">
        <v>4</v>
      </c>
      <c r="F477" s="19" t="n">
        <v>953.17</v>
      </c>
      <c r="G477" s="8" t="n">
        <f aca="false">IFERROR(INDEX('TRANS'!$B:$B,MATCH($B477,'TRANS'!$A:$A,0)),IFERROR(INDEX('TRANS'!$B:$B,MATCH(TRIM(SUBSTITUTE($B477,CHAR(160)," ")),'TRANS'!$D:$D,0)),IFERROR(INDEX('Catalog'!$A:$A,MATCH($B477,'Catalog'!$B:$B,0)),IFERROR(INDEX('Catalog'!$A:$A,MATCH(TRIM(SUBSTITUTE($B477,CHAR(160)," ")),'Catalog'!$C:$C,0)),""))))</f>
        <v>4422039</v>
      </c>
      <c r="H477" s="8" t="str">
        <f aca="false">IFERROR(INDEX('TRANS'!$C:$C,MATCH($B477,'TRANS'!$A:$A,0)),IFERROR(INDEX('Catalog'!$B:$B,MATCH($G477,'Catalog'!$A:$A,0)),$B477))</f>
        <v>SH422 3 תומך ברך גנושילד</v>
      </c>
      <c r="I477" s="8" t="str">
        <f aca="false">IF($G477="","Unmatched","Matched")</f>
        <v>Matched</v>
      </c>
      <c r="J477" s="8" t="n">
        <f aca="false">IF($G477&lt;&gt;"",$G477,$B477)</f>
        <v>4422039</v>
      </c>
      <c r="K477" s="8" t="str">
        <f aca="false">IF(COUNTIF($M$1:$M$10,$A477)&gt;0,"Y","N")</f>
        <v>Y</v>
      </c>
    </row>
    <row r="478" customFormat="false" ht="15" hidden="false" customHeight="true" outlineLevel="0" collapsed="false">
      <c r="A478" s="8" t="s">
        <v>46</v>
      </c>
      <c r="B478" s="8" t="s">
        <v>893</v>
      </c>
      <c r="C478" s="19" t="n">
        <v>10</v>
      </c>
      <c r="D478" s="19" t="n">
        <v>2581.31</v>
      </c>
      <c r="E478" s="19" t="n">
        <v>1</v>
      </c>
      <c r="F478" s="19" t="n">
        <v>0.01</v>
      </c>
      <c r="G478" s="8" t="n">
        <f aca="false">IFERROR(INDEX('TRANS'!$B:$B,MATCH($B478,'TRANS'!$A:$A,0)),IFERROR(INDEX('TRANS'!$B:$B,MATCH(TRIM(SUBSTITUTE($B478,CHAR(160)," ")),'TRANS'!$D:$D,0)),IFERROR(INDEX('Catalog'!$A:$A,MATCH($B478,'Catalog'!$B:$B,0)),IFERROR(INDEX('Catalog'!$A:$A,MATCH(TRIM(SUBSTITUTE($B478,CHAR(160)," ")),'Catalog'!$C:$C,0)),""))))</f>
        <v>4422040</v>
      </c>
      <c r="H478" s="8" t="str">
        <f aca="false">IFERROR(INDEX('TRANS'!$C:$C,MATCH($B478,'TRANS'!$A:$A,0)),IFERROR(INDEX('Catalog'!$B:$B,MATCH($G478,'Catalog'!$A:$A,0)),$B478))</f>
        <v>SH422 4 תומך ברך גנושילד</v>
      </c>
      <c r="I478" s="8" t="str">
        <f aca="false">IF($G478="","Unmatched","Matched")</f>
        <v>Matched</v>
      </c>
      <c r="J478" s="8" t="n">
        <f aca="false">IF($G478&lt;&gt;"",$G478,$B478)</f>
        <v>4422040</v>
      </c>
      <c r="K478" s="8" t="str">
        <f aca="false">IF(COUNTIF($M$1:$M$10,$A478)&gt;0,"Y","N")</f>
        <v>Y</v>
      </c>
    </row>
    <row r="479" customFormat="false" ht="15" hidden="false" customHeight="true" outlineLevel="0" collapsed="false">
      <c r="A479" s="8" t="s">
        <v>46</v>
      </c>
      <c r="B479" s="8" t="s">
        <v>894</v>
      </c>
      <c r="C479" s="19" t="n">
        <v>1</v>
      </c>
      <c r="D479" s="19" t="n">
        <v>281.17</v>
      </c>
      <c r="E479" s="19" t="n">
        <v>1</v>
      </c>
      <c r="F479" s="19" t="n">
        <v>0.01</v>
      </c>
      <c r="G479" s="8" t="n">
        <f aca="false">IFERROR(INDEX('TRANS'!$B:$B,MATCH($B479,'TRANS'!$A:$A,0)),IFERROR(INDEX('TRANS'!$B:$B,MATCH(TRIM(SUBSTITUTE($B479,CHAR(160)," ")),'TRANS'!$D:$D,0)),IFERROR(INDEX('Catalog'!$A:$A,MATCH($B479,'Catalog'!$B:$B,0)),IFERROR(INDEX('Catalog'!$A:$A,MATCH(TRIM(SUBSTITUTE($B479,CHAR(160)," ")),'Catalog'!$C:$C,0)),""))))</f>
        <v>4422042</v>
      </c>
      <c r="H479" s="8" t="str">
        <f aca="false">IFERROR(INDEX('TRANS'!$C:$C,MATCH($B479,'TRANS'!$A:$A,0)),IFERROR(INDEX('Catalog'!$B:$B,MATCH($G479,'Catalog'!$A:$A,0)),$B479))</f>
        <v>SH422 6 תומך ברך גנושילד</v>
      </c>
      <c r="I479" s="8" t="str">
        <f aca="false">IF($G479="","Unmatched","Matched")</f>
        <v>Matched</v>
      </c>
      <c r="J479" s="8" t="n">
        <f aca="false">IF($G479&lt;&gt;"",$G479,$B479)</f>
        <v>4422042</v>
      </c>
      <c r="K479" s="8" t="str">
        <f aca="false">IF(COUNTIF($M$1:$M$10,$A479)&gt;0,"Y","N")</f>
        <v>Y</v>
      </c>
    </row>
    <row r="480" customFormat="false" ht="15" hidden="false" customHeight="true" outlineLevel="0" collapsed="false">
      <c r="A480" s="8" t="s">
        <v>46</v>
      </c>
      <c r="B480" s="8" t="s">
        <v>325</v>
      </c>
      <c r="C480" s="19" t="n">
        <v>0</v>
      </c>
      <c r="D480" s="19" t="n">
        <v>0</v>
      </c>
      <c r="E480" s="19" t="n">
        <v>1</v>
      </c>
      <c r="F480" s="19" t="n">
        <v>0.01</v>
      </c>
      <c r="G480" s="8" t="str">
        <f aca="false">IFERROR(INDEX('TRANS'!$B:$B,MATCH($B480,'TRANS'!$A:$A,0)),IFERROR(INDEX('TRANS'!$B:$B,MATCH(TRIM(SUBSTITUTE($B480,CHAR(160)," ")),'TRANS'!$D:$D,0)),IFERROR(INDEX('Catalog'!$A:$A,MATCH($B480,'Catalog'!$B:$B,0)),IFERROR(INDEX('Catalog'!$A:$A,MATCH(TRIM(SUBSTITUTE($B480,CHAR(160)," ")),'Catalog'!$C:$C,0)),""))))</f>
        <v/>
      </c>
      <c r="H480" s="8" t="str">
        <f aca="false">IFERROR(INDEX('TRANS'!$C:$C,MATCH($B480,'TRANS'!$A:$A,0)),IFERROR(INDEX('Catalog'!$B:$B,MATCH($G480,'Catalog'!$A:$A,0)),$B480))</f>
        <v>SH59D-XL-XXL</v>
      </c>
      <c r="I480" s="8" t="str">
        <f aca="false">IF($G480="","Unmatched","Matched")</f>
        <v>Unmatched</v>
      </c>
      <c r="J480" s="8" t="str">
        <f aca="false">IF($G480&lt;&gt;"",$G480,$B480)</f>
        <v>SH59D-XL-XXL</v>
      </c>
      <c r="K480" s="8" t="str">
        <f aca="false">IF(COUNTIF($M$1:$M$10,$A480)&gt;0,"Y","N")</f>
        <v>Y</v>
      </c>
    </row>
    <row r="481" customFormat="false" ht="15" hidden="false" customHeight="true" outlineLevel="0" collapsed="false">
      <c r="A481" s="8" t="s">
        <v>46</v>
      </c>
      <c r="B481" s="8" t="s">
        <v>326</v>
      </c>
      <c r="C481" s="19" t="n">
        <v>0</v>
      </c>
      <c r="D481" s="19" t="n">
        <v>0</v>
      </c>
      <c r="E481" s="19" t="n">
        <v>1</v>
      </c>
      <c r="F481" s="19" t="n">
        <v>0.01</v>
      </c>
      <c r="G481" s="8" t="str">
        <f aca="false">IFERROR(INDEX('TRANS'!$B:$B,MATCH($B481,'TRANS'!$A:$A,0)),IFERROR(INDEX('TRANS'!$B:$B,MATCH(TRIM(SUBSTITUTE($B481,CHAR(160)," ")),'TRANS'!$D:$D,0)),IFERROR(INDEX('Catalog'!$A:$A,MATCH($B481,'Catalog'!$B:$B,0)),IFERROR(INDEX('Catalog'!$A:$A,MATCH(TRIM(SUBSTITUTE($B481,CHAR(160)," ")),'Catalog'!$C:$C,0)),""))))</f>
        <v/>
      </c>
      <c r="H481" s="8" t="str">
        <f aca="false">IFERROR(INDEX('TRANS'!$C:$C,MATCH($B481,'TRANS'!$A:$A,0)),IFERROR(INDEX('Catalog'!$B:$B,MATCH($G481,'Catalog'!$A:$A,0)),$B481))</f>
        <v>SH660</v>
      </c>
      <c r="I481" s="8" t="str">
        <f aca="false">IF($G481="","Unmatched","Matched")</f>
        <v>Unmatched</v>
      </c>
      <c r="J481" s="8" t="str">
        <f aca="false">IF($G481&lt;&gt;"",$G481,$B481)</f>
        <v>SH660</v>
      </c>
      <c r="K481" s="8" t="str">
        <f aca="false">IF(COUNTIF($M$1:$M$10,$A481)&gt;0,"Y","N")</f>
        <v>Y</v>
      </c>
    </row>
    <row r="482" customFormat="false" ht="15" hidden="false" customHeight="true" outlineLevel="0" collapsed="false">
      <c r="A482" s="8" t="s">
        <v>46</v>
      </c>
      <c r="B482" s="8" t="s">
        <v>72</v>
      </c>
      <c r="C482" s="19" t="n">
        <v>0</v>
      </c>
      <c r="D482" s="19" t="n">
        <v>0</v>
      </c>
      <c r="E482" s="19" t="n">
        <v>1</v>
      </c>
      <c r="F482" s="19" t="n">
        <v>468.68</v>
      </c>
      <c r="G482" s="8" t="str">
        <f aca="false">IFERROR(INDEX('TRANS'!$B:$B,MATCH($B482,'TRANS'!$A:$A,0)),IFERROR(INDEX('TRANS'!$B:$B,MATCH(TRIM(SUBSTITUTE($B482,CHAR(160)," ")),'TRANS'!$D:$D,0)),IFERROR(INDEX('Catalog'!$A:$A,MATCH($B482,'Catalog'!$B:$B,0)),IFERROR(INDEX('Catalog'!$A:$A,MATCH(TRIM(SUBSTITUTE($B482,CHAR(160)," ")),'Catalog'!$C:$C,0)),""))))</f>
        <v/>
      </c>
      <c r="H482" s="8" t="str">
        <f aca="false">IFERROR(INDEX('TRANS'!$C:$C,MATCH($B482,'TRANS'!$A:$A,0)),IFERROR(INDEX('Catalog'!$B:$B,MATCH($G482,'Catalog'!$A:$A,0)),$B482))</f>
        <v>SH776 L</v>
      </c>
      <c r="I482" s="8" t="str">
        <f aca="false">IF($G482="","Unmatched","Matched")</f>
        <v>Unmatched</v>
      </c>
      <c r="J482" s="8" t="str">
        <f aca="false">IF($G482&lt;&gt;"",$G482,$B482)</f>
        <v>SH776 L</v>
      </c>
      <c r="K482" s="8" t="str">
        <f aca="false">IF(COUNTIF($M$1:$M$10,$A482)&gt;0,"Y","N")</f>
        <v>Y</v>
      </c>
    </row>
    <row r="483" customFormat="false" ht="15" hidden="false" customHeight="true" outlineLevel="0" collapsed="false">
      <c r="A483" s="8" t="s">
        <v>46</v>
      </c>
      <c r="B483" s="8" t="s">
        <v>895</v>
      </c>
      <c r="C483" s="19" t="n">
        <v>3</v>
      </c>
      <c r="D483" s="19" t="n">
        <v>162.37</v>
      </c>
      <c r="E483" s="19" t="n">
        <v>0</v>
      </c>
      <c r="F483" s="19" t="n">
        <v>0</v>
      </c>
      <c r="G483" s="8" t="n">
        <f aca="false">IFERROR(INDEX('TRANS'!$B:$B,MATCH($B483,'TRANS'!$A:$A,0)),IFERROR(INDEX('TRANS'!$B:$B,MATCH(TRIM(SUBSTITUTE($B483,CHAR(160)," ")),'TRANS'!$D:$D,0)),IFERROR(INDEX('Catalog'!$A:$A,MATCH($B483,'Catalog'!$B:$B,0)),IFERROR(INDEX('Catalog'!$A:$A,MATCH(TRIM(SUBSTITUTE($B483,CHAR(160)," ")),'Catalog'!$C:$C,0)),""))))</f>
        <v>4408270</v>
      </c>
      <c r="H483" s="8" t="str">
        <f aca="false">IFERROR(INDEX('TRANS'!$C:$C,MATCH($B483,'TRANS'!$A:$A,0)),IFERROR(INDEX('Catalog'!$B:$B,MATCH($G483,'Catalog'!$A:$A,0)),$B483))</f>
        <v>ST11  חגורת בטן</v>
      </c>
      <c r="I483" s="8" t="str">
        <f aca="false">IF($G483="","Unmatched","Matched")</f>
        <v>Matched</v>
      </c>
      <c r="J483" s="8" t="n">
        <f aca="false">IF($G483&lt;&gt;"",$G483,$B483)</f>
        <v>4408270</v>
      </c>
      <c r="K483" s="8" t="str">
        <f aca="false">IF(COUNTIF($M$1:$M$10,$A483)&gt;0,"Y","N")</f>
        <v>Y</v>
      </c>
    </row>
    <row r="484" customFormat="false" ht="15" hidden="false" customHeight="true" outlineLevel="0" collapsed="false">
      <c r="A484" s="8" t="s">
        <v>46</v>
      </c>
      <c r="B484" s="8" t="s">
        <v>896</v>
      </c>
      <c r="C484" s="19" t="n">
        <v>2</v>
      </c>
      <c r="D484" s="19" t="n">
        <v>41.3</v>
      </c>
      <c r="E484" s="19" t="n">
        <v>0</v>
      </c>
      <c r="F484" s="19" t="n">
        <v>0</v>
      </c>
      <c r="G484" s="8" t="n">
        <f aca="false">IFERROR(INDEX('TRANS'!$B:$B,MATCH($B484,'TRANS'!$A:$A,0)),IFERROR(INDEX('TRANS'!$B:$B,MATCH(TRIM(SUBSTITUTE($B484,CHAR(160)," ")),'TRANS'!$D:$D,0)),IFERROR(INDEX('Catalog'!$A:$A,MATCH($B484,'Catalog'!$B:$B,0)),IFERROR(INDEX('Catalog'!$A:$A,MATCH(TRIM(SUBSTITUTE($B484,CHAR(160)," ")),'Catalog'!$C:$C,0)),""))))</f>
        <v>4408268</v>
      </c>
      <c r="H484" s="8" t="str">
        <f aca="false">IFERROR(INDEX('TRANS'!$C:$C,MATCH($B484,'TRANS'!$A:$A,0)),IFERROR(INDEX('Catalog'!$B:$B,MATCH($G484,'Catalog'!$A:$A,0)),$B484))</f>
        <v>ST20 חבק יד</v>
      </c>
      <c r="I484" s="8" t="str">
        <f aca="false">IF($G484="","Unmatched","Matched")</f>
        <v>Matched</v>
      </c>
      <c r="J484" s="8" t="n">
        <f aca="false">IF($G484&lt;&gt;"",$G484,$B484)</f>
        <v>4408268</v>
      </c>
      <c r="K484" s="8" t="str">
        <f aca="false">IF(COUNTIF($M$1:$M$10,$A484)&gt;0,"Y","N")</f>
        <v>Y</v>
      </c>
    </row>
    <row r="485" customFormat="false" ht="15" hidden="false" customHeight="true" outlineLevel="0" collapsed="false">
      <c r="A485" s="8" t="s">
        <v>46</v>
      </c>
      <c r="B485" s="8" t="s">
        <v>897</v>
      </c>
      <c r="C485" s="19" t="n">
        <v>6</v>
      </c>
      <c r="D485" s="19" t="n">
        <v>218.46</v>
      </c>
      <c r="E485" s="19" t="n">
        <v>20</v>
      </c>
      <c r="F485" s="19" t="n">
        <v>873.8</v>
      </c>
      <c r="G485" s="8" t="n">
        <f aca="false">IFERROR(INDEX('TRANS'!$B:$B,MATCH($B485,'TRANS'!$A:$A,0)),IFERROR(INDEX('TRANS'!$B:$B,MATCH(TRIM(SUBSTITUTE($B485,CHAR(160)," ")),'TRANS'!$D:$D,0)),IFERROR(INDEX('Catalog'!$A:$A,MATCH($B485,'Catalog'!$B:$B,0)),IFERROR(INDEX('Catalog'!$A:$A,MATCH(TRIM(SUBSTITUTE($B485,CHAR(160)," ")),'Catalog'!$C:$C,0)),""))))</f>
        <v>4408267</v>
      </c>
      <c r="H485" s="8" t="str">
        <f aca="false">IFERROR(INDEX('TRANS'!$C:$C,MATCH($B485,'TRANS'!$A:$A,0)),IFERROR(INDEX('Catalog'!$B:$B,MATCH($G485,'Catalog'!$A:$A,0)),$B485))</f>
        <v>ST25 חבק שורש לכף היד</v>
      </c>
      <c r="I485" s="8" t="str">
        <f aca="false">IF($G485="","Unmatched","Matched")</f>
        <v>Matched</v>
      </c>
      <c r="J485" s="8" t="n">
        <f aca="false">IF($G485&lt;&gt;"",$G485,$B485)</f>
        <v>4408267</v>
      </c>
      <c r="K485" s="8" t="str">
        <f aca="false">IF(COUNTIF($M$1:$M$10,$A485)&gt;0,"Y","N")</f>
        <v>Y</v>
      </c>
    </row>
    <row r="486" customFormat="false" ht="15" hidden="false" customHeight="true" outlineLevel="0" collapsed="false">
      <c r="A486" s="8" t="s">
        <v>46</v>
      </c>
      <c r="B486" s="8" t="s">
        <v>74</v>
      </c>
      <c r="C486" s="19" t="n">
        <v>1</v>
      </c>
      <c r="D486" s="19" t="n">
        <v>62.43</v>
      </c>
      <c r="E486" s="19" t="n">
        <v>0</v>
      </c>
      <c r="F486" s="19" t="n">
        <v>0</v>
      </c>
      <c r="G486" s="8" t="str">
        <f aca="false">IFERROR(INDEX('TRANS'!$B:$B,MATCH($B486,'TRANS'!$A:$A,0)),IFERROR(INDEX('TRANS'!$B:$B,MATCH(TRIM(SUBSTITUTE($B486,CHAR(160)," ")),'TRANS'!$D:$D,0)),IFERROR(INDEX('Catalog'!$A:$A,MATCH($B486,'Catalog'!$B:$B,0)),IFERROR(INDEX('Catalog'!$A:$A,MATCH(TRIM(SUBSTITUTE($B486,CHAR(160)," ")),'Catalog'!$C:$C,0)),""))))</f>
        <v/>
      </c>
      <c r="H486" s="8" t="str">
        <f aca="false">IFERROR(INDEX('TRANS'!$C:$C,MATCH($B486,'TRANS'!$A:$A,0)),IFERROR(INDEX('Catalog'!$B:$B,MATCH($G486,'Catalog'!$A:$A,0)),$B486))</f>
        <v>ST27L 0</v>
      </c>
      <c r="I486" s="8" t="str">
        <f aca="false">IF($G486="","Unmatched","Matched")</f>
        <v>Unmatched</v>
      </c>
      <c r="J486" s="8" t="str">
        <f aca="false">IF($G486&lt;&gt;"",$G486,$B486)</f>
        <v>ST27L 0</v>
      </c>
      <c r="K486" s="8" t="str">
        <f aca="false">IF(COUNTIF($M$1:$M$10,$A486)&gt;0,"Y","N")</f>
        <v>Y</v>
      </c>
    </row>
    <row r="487" customFormat="false" ht="15" hidden="false" customHeight="true" outlineLevel="0" collapsed="false">
      <c r="A487" s="8" t="s">
        <v>46</v>
      </c>
      <c r="B487" s="8" t="s">
        <v>70</v>
      </c>
      <c r="C487" s="19" t="n">
        <v>1</v>
      </c>
      <c r="D487" s="19" t="n">
        <v>62.43</v>
      </c>
      <c r="E487" s="19" t="n">
        <v>0</v>
      </c>
      <c r="F487" s="19" t="n">
        <v>0</v>
      </c>
      <c r="G487" s="8" t="str">
        <f aca="false">IFERROR(INDEX('TRANS'!$B:$B,MATCH($B487,'TRANS'!$A:$A,0)),IFERROR(INDEX('TRANS'!$B:$B,MATCH(TRIM(SUBSTITUTE($B487,CHAR(160)," ")),'TRANS'!$D:$D,0)),IFERROR(INDEX('Catalog'!$A:$A,MATCH($B487,'Catalog'!$B:$B,0)),IFERROR(INDEX('Catalog'!$A:$A,MATCH(TRIM(SUBSTITUTE($B487,CHAR(160)," ")),'Catalog'!$C:$C,0)),""))))</f>
        <v/>
      </c>
      <c r="H487" s="8" t="str">
        <f aca="false">IFERROR(INDEX('TRANS'!$C:$C,MATCH($B487,'TRANS'!$A:$A,0)),IFERROR(INDEX('Catalog'!$B:$B,MATCH($G487,'Catalog'!$A:$A,0)),$B487))</f>
        <v>ST27R 0</v>
      </c>
      <c r="I487" s="8" t="str">
        <f aca="false">IF($G487="","Unmatched","Matched")</f>
        <v>Unmatched</v>
      </c>
      <c r="J487" s="8" t="str">
        <f aca="false">IF($G487&lt;&gt;"",$G487,$B487)</f>
        <v>ST27R 0</v>
      </c>
      <c r="K487" s="8" t="str">
        <f aca="false">IF(COUNTIF($M$1:$M$10,$A487)&gt;0,"Y","N")</f>
        <v>Y</v>
      </c>
    </row>
    <row r="488" customFormat="false" ht="15" hidden="false" customHeight="true" outlineLevel="0" collapsed="false">
      <c r="A488" s="8" t="s">
        <v>46</v>
      </c>
      <c r="B488" s="8" t="s">
        <v>898</v>
      </c>
      <c r="C488" s="19" t="n">
        <v>2</v>
      </c>
      <c r="D488" s="19" t="n">
        <v>57.07</v>
      </c>
      <c r="E488" s="19" t="n">
        <v>2</v>
      </c>
      <c r="F488" s="19" t="n">
        <v>28.1</v>
      </c>
      <c r="G488" s="8" t="n">
        <f aca="false">IFERROR(INDEX('TRANS'!$B:$B,MATCH($B488,'TRANS'!$A:$A,0)),IFERROR(INDEX('TRANS'!$B:$B,MATCH(TRIM(SUBSTITUTE($B488,CHAR(160)," ")),'TRANS'!$D:$D,0)),IFERROR(INDEX('Catalog'!$A:$A,MATCH($B488,'Catalog'!$B:$B,0)),IFERROR(INDEX('Catalog'!$A:$A,MATCH(TRIM(SUBSTITUTE($B488,CHAR(160)," ")),'Catalog'!$C:$C,0)),""))))</f>
        <v>4415177</v>
      </c>
      <c r="H488" s="8" t="str">
        <f aca="false">IFERROR(INDEX('TRANS'!$C:$C,MATCH($B488,'TRANS'!$A:$A,0)),IFERROR(INDEX('Catalog'!$B:$B,MATCH($G488,'Catalog'!$A:$A,0)),$B488))</f>
        <v>ST28 סד אגודלי עם מוט תמיכה</v>
      </c>
      <c r="I488" s="8" t="str">
        <f aca="false">IF($G488="","Unmatched","Matched")</f>
        <v>Matched</v>
      </c>
      <c r="J488" s="8" t="n">
        <f aca="false">IF($G488&lt;&gt;"",$G488,$B488)</f>
        <v>4415177</v>
      </c>
      <c r="K488" s="8" t="str">
        <f aca="false">IF(COUNTIF($M$1:$M$10,$A488)&gt;0,"Y","N")</f>
        <v>Y</v>
      </c>
    </row>
    <row r="489" customFormat="false" ht="15" hidden="false" customHeight="true" outlineLevel="0" collapsed="false">
      <c r="A489" s="8" t="s">
        <v>46</v>
      </c>
      <c r="B489" s="8" t="s">
        <v>899</v>
      </c>
      <c r="C489" s="19" t="n">
        <v>4</v>
      </c>
      <c r="D489" s="19" t="n">
        <v>140.44</v>
      </c>
      <c r="E489" s="19" t="n">
        <v>1</v>
      </c>
      <c r="F489" s="19" t="n">
        <v>0.01</v>
      </c>
      <c r="G489" s="8" t="n">
        <f aca="false">IFERROR(INDEX('TRANS'!$B:$B,MATCH($B489,'TRANS'!$A:$A,0)),IFERROR(INDEX('TRANS'!$B:$B,MATCH(TRIM(SUBSTITUTE($B489,CHAR(160)," ")),'TRANS'!$D:$D,0)),IFERROR(INDEX('Catalog'!$A:$A,MATCH($B489,'Catalog'!$B:$B,0)),IFERROR(INDEX('Catalog'!$A:$A,MATCH(TRIM(SUBSTITUTE($B489,CHAR(160)," ")),'Catalog'!$C:$C,0)),""))))</f>
        <v>4408269</v>
      </c>
      <c r="H489" s="8" t="str">
        <f aca="false">IFERROR(INDEX('TRANS'!$C:$C,MATCH($B489,'TRANS'!$A:$A,0)),IFERROR(INDEX('Catalog'!$B:$B,MATCH($G489,'Catalog'!$A:$A,0)),$B489))</f>
        <v>ST37 חבק לקרסול</v>
      </c>
      <c r="I489" s="8" t="str">
        <f aca="false">IF($G489="","Unmatched","Matched")</f>
        <v>Matched</v>
      </c>
      <c r="J489" s="8" t="n">
        <f aca="false">IF($G489&lt;&gt;"",$G489,$B489)</f>
        <v>4408269</v>
      </c>
      <c r="K489" s="8" t="str">
        <f aca="false">IF(COUNTIF($M$1:$M$10,$A489)&gt;0,"Y","N")</f>
        <v>Y</v>
      </c>
    </row>
    <row r="490" customFormat="false" ht="15" hidden="false" customHeight="true" outlineLevel="0" collapsed="false">
      <c r="A490" s="8" t="s">
        <v>46</v>
      </c>
      <c r="B490" s="8" t="s">
        <v>429</v>
      </c>
      <c r="C490" s="19" t="n">
        <v>1</v>
      </c>
      <c r="D490" s="19" t="n">
        <v>0.01</v>
      </c>
      <c r="E490" s="19" t="n">
        <v>0</v>
      </c>
      <c r="F490" s="19" t="n">
        <v>0</v>
      </c>
      <c r="G490" s="8" t="str">
        <f aca="false">IFERROR(INDEX('TRANS'!$B:$B,MATCH($B490,'TRANS'!$A:$A,0)),IFERROR(INDEX('TRANS'!$B:$B,MATCH(TRIM(SUBSTITUTE($B490,CHAR(160)," ")),'TRANS'!$D:$D,0)),IFERROR(INDEX('Catalog'!$A:$A,MATCH($B490,'Catalog'!$B:$B,0)),IFERROR(INDEX('Catalog'!$A:$A,MATCH(TRIM(SUBSTITUTE($B490,CHAR(160)," ")),'Catalog'!$C:$C,0)),""))))</f>
        <v/>
      </c>
      <c r="H490" s="8" t="str">
        <f aca="false">IFERROR(INDEX('TRANS'!$C:$C,MATCH($B490,'TRANS'!$A:$A,0)),IFERROR(INDEX('Catalog'!$B:$B,MATCH($G490,'Catalog'!$A:$A,0)),$B490))</f>
        <v>KST422 0</v>
      </c>
      <c r="I490" s="8" t="str">
        <f aca="false">IF($G490="","Unmatched","Matched")</f>
        <v>Unmatched</v>
      </c>
      <c r="J490" s="8" t="str">
        <f aca="false">IF($G490&lt;&gt;"",$G490,$B490)</f>
        <v>KST422 0</v>
      </c>
      <c r="K490" s="8" t="str">
        <f aca="false">IF(COUNTIF($M$1:$M$10,$A490)&gt;0,"Y","N")</f>
        <v>Y</v>
      </c>
    </row>
    <row r="491" customFormat="false" ht="15" hidden="false" customHeight="true" outlineLevel="0" collapsed="false">
      <c r="A491" s="8" t="s">
        <v>46</v>
      </c>
      <c r="B491" s="8" t="s">
        <v>900</v>
      </c>
      <c r="C491" s="19" t="n">
        <v>4</v>
      </c>
      <c r="D491" s="19" t="n">
        <v>249.88</v>
      </c>
      <c r="E491" s="19" t="n">
        <v>2</v>
      </c>
      <c r="F491" s="19" t="n">
        <v>124.94</v>
      </c>
      <c r="G491" s="8" t="n">
        <f aca="false">IFERROR(INDEX('TRANS'!$B:$B,MATCH($B491,'TRANS'!$A:$A,0)),IFERROR(INDEX('TRANS'!$B:$B,MATCH(TRIM(SUBSTITUTE($B491,CHAR(160)," ")),'TRANS'!$D:$D,0)),IFERROR(INDEX('Catalog'!$A:$A,MATCH($B491,'Catalog'!$B:$B,0)),IFERROR(INDEX('Catalog'!$A:$A,MATCH(TRIM(SUBSTITUTE($B491,CHAR(160)," ")),'Catalog'!$C:$C,0)),""))))</f>
        <v>4402011</v>
      </c>
      <c r="H491" s="8" t="str">
        <f aca="false">IFERROR(INDEX('TRANS'!$C:$C,MATCH($B491,'TRANS'!$A:$A,0)),IFERROR(INDEX('Catalog'!$B:$B,MATCH($G491,'Catalog'!$A:$A,0)),$B491))</f>
        <v>S-XLST422 מגן ברך+כרית ג'ל</v>
      </c>
      <c r="I491" s="8" t="str">
        <f aca="false">IF($G491="","Unmatched","Matched")</f>
        <v>Matched</v>
      </c>
      <c r="J491" s="8" t="n">
        <f aca="false">IF($G491&lt;&gt;"",$G491,$B491)</f>
        <v>4402011</v>
      </c>
      <c r="K491" s="8" t="str">
        <f aca="false">IF(COUNTIF($M$1:$M$10,$A491)&gt;0,"Y","N")</f>
        <v>Y</v>
      </c>
    </row>
    <row r="492" customFormat="false" ht="15" hidden="false" customHeight="true" outlineLevel="0" collapsed="false">
      <c r="A492" s="8" t="s">
        <v>46</v>
      </c>
      <c r="B492" s="8" t="s">
        <v>901</v>
      </c>
      <c r="C492" s="19" t="n">
        <v>3</v>
      </c>
      <c r="D492" s="19" t="n">
        <v>441.11</v>
      </c>
      <c r="E492" s="19" t="n">
        <v>0</v>
      </c>
      <c r="F492" s="19" t="n">
        <v>0</v>
      </c>
      <c r="G492" s="8" t="n">
        <f aca="false">IFERROR(INDEX('TRANS'!$B:$B,MATCH($B492,'TRANS'!$A:$A,0)),IFERROR(INDEX('TRANS'!$B:$B,MATCH(TRIM(SUBSTITUTE($B492,CHAR(160)," ")),'TRANS'!$D:$D,0)),IFERROR(INDEX('Catalog'!$A:$A,MATCH($B492,'Catalog'!$B:$B,0)),IFERROR(INDEX('Catalog'!$A:$A,MATCH(TRIM(SUBSTITUTE($B492,CHAR(160)," ")),'Catalog'!$C:$C,0)),""))))</f>
        <v>4413532</v>
      </c>
      <c r="H492" s="8" t="str">
        <f aca="false">IFERROR(INDEX('TRANS'!$C:$C,MATCH($B492,'TRANS'!$A:$A,0)),IFERROR(INDEX('Catalog'!$B:$B,MATCH($G492,'Catalog'!$A:$A,0)),$B492))</f>
        <v>ST433 H מגן ברך עם ציר</v>
      </c>
      <c r="I492" s="8" t="str">
        <f aca="false">IF($G492="","Unmatched","Matched")</f>
        <v>Matched</v>
      </c>
      <c r="J492" s="8" t="n">
        <f aca="false">IF($G492&lt;&gt;"",$G492,$B492)</f>
        <v>4413532</v>
      </c>
      <c r="K492" s="8" t="str">
        <f aca="false">IF(COUNTIF($M$1:$M$10,$A492)&gt;0,"Y","N")</f>
        <v>Y</v>
      </c>
    </row>
    <row r="493" customFormat="false" ht="15" hidden="false" customHeight="true" outlineLevel="0" collapsed="false">
      <c r="A493" s="8" t="s">
        <v>46</v>
      </c>
      <c r="B493" s="8" t="s">
        <v>902</v>
      </c>
      <c r="C493" s="19" t="n">
        <v>2</v>
      </c>
      <c r="D493" s="19" t="n">
        <v>50.57</v>
      </c>
      <c r="E493" s="19" t="n">
        <v>0</v>
      </c>
      <c r="F493" s="19" t="n">
        <v>0</v>
      </c>
      <c r="G493" s="8" t="n">
        <f aca="false">IFERROR(INDEX('TRANS'!$B:$B,MATCH($B493,'TRANS'!$A:$A,0)),IFERROR(INDEX('TRANS'!$B:$B,MATCH(TRIM(SUBSTITUTE($B493,CHAR(160)," ")),'TRANS'!$D:$D,0)),IFERROR(INDEX('Catalog'!$A:$A,MATCH($B493,'Catalog'!$B:$B,0)),IFERROR(INDEX('Catalog'!$A:$A,MATCH(TRIM(SUBSTITUTE($B493,CHAR(160)," ")),'Catalog'!$C:$C,0)),""))))</f>
        <v>4413533</v>
      </c>
      <c r="H493" s="8" t="str">
        <f aca="false">IFERROR(INDEX('TRANS'!$C:$C,MATCH($B493,'TRANS'!$A:$A,0)),IFERROR(INDEX('Catalog'!$B:$B,MATCH($G493,'Catalog'!$A:$A,0)),$B493))</f>
        <v>ST49 מגן ירך</v>
      </c>
      <c r="I493" s="8" t="str">
        <f aca="false">IF($G493="","Unmatched","Matched")</f>
        <v>Matched</v>
      </c>
      <c r="J493" s="8" t="n">
        <f aca="false">IF($G493&lt;&gt;"",$G493,$B493)</f>
        <v>4413533</v>
      </c>
      <c r="K493" s="8" t="str">
        <f aca="false">IF(COUNTIF($M$1:$M$10,$A493)&gt;0,"Y","N")</f>
        <v>Y</v>
      </c>
    </row>
    <row r="494" customFormat="false" ht="15" hidden="false" customHeight="true" outlineLevel="0" collapsed="false">
      <c r="A494" s="8" t="s">
        <v>46</v>
      </c>
      <c r="B494" s="8" t="s">
        <v>903</v>
      </c>
      <c r="C494" s="19" t="n">
        <v>3</v>
      </c>
      <c r="D494" s="19" t="n">
        <v>94.87</v>
      </c>
      <c r="E494" s="19" t="n">
        <v>0</v>
      </c>
      <c r="F494" s="19" t="n">
        <v>0</v>
      </c>
      <c r="G494" s="8" t="n">
        <f aca="false">IFERROR(INDEX('TRANS'!$B:$B,MATCH($B494,'TRANS'!$A:$A,0)),IFERROR(INDEX('TRANS'!$B:$B,MATCH(TRIM(SUBSTITUTE($B494,CHAR(160)," ")),'TRANS'!$D:$D,0)),IFERROR(INDEX('Catalog'!$A:$A,MATCH($B494,'Catalog'!$B:$B,0)),IFERROR(INDEX('Catalog'!$A:$A,MATCH(TRIM(SUBSTITUTE($B494,CHAR(160)," ")),'Catalog'!$C:$C,0)),""))))</f>
        <v>4413531</v>
      </c>
      <c r="H494" s="8" t="str">
        <f aca="false">IFERROR(INDEX('TRANS'!$C:$C,MATCH($B494,'TRANS'!$A:$A,0)),IFERROR(INDEX('Catalog'!$B:$B,MATCH($G494,'Catalog'!$A:$A,0)),$B494))</f>
        <v>ST91 מגן מרפק לטניס</v>
      </c>
      <c r="I494" s="8" t="str">
        <f aca="false">IF($G494="","Unmatched","Matched")</f>
        <v>Matched</v>
      </c>
      <c r="J494" s="8" t="n">
        <f aca="false">IF($G494&lt;&gt;"",$G494,$B494)</f>
        <v>4413531</v>
      </c>
      <c r="K494" s="8" t="str">
        <f aca="false">IF(COUNTIF($M$1:$M$10,$A494)&gt;0,"Y","N")</f>
        <v>Y</v>
      </c>
    </row>
    <row r="495" customFormat="false" ht="15" hidden="false" customHeight="true" outlineLevel="0" collapsed="false">
      <c r="A495" s="8" t="s">
        <v>46</v>
      </c>
      <c r="B495" s="8" t="s">
        <v>240</v>
      </c>
      <c r="C495" s="19" t="n">
        <v>0</v>
      </c>
      <c r="D495" s="19" t="n">
        <v>0</v>
      </c>
      <c r="E495" s="19" t="n">
        <v>1</v>
      </c>
      <c r="F495" s="19" t="n">
        <v>0.01</v>
      </c>
      <c r="G495" s="8" t="str">
        <f aca="false">IFERROR(INDEX('TRANS'!$B:$B,MATCH($B495,'TRANS'!$A:$A,0)),IFERROR(INDEX('TRANS'!$B:$B,MATCH(TRIM(SUBSTITUTE($B495,CHAR(160)," ")),'TRANS'!$D:$D,0)),IFERROR(INDEX('Catalog'!$A:$A,MATCH($B495,'Catalog'!$B:$B,0)),IFERROR(INDEX('Catalog'!$A:$A,MATCH(TRIM(SUBSTITUTE($B495,CHAR(160)," ")),'Catalog'!$C:$C,0)),""))))</f>
        <v/>
      </c>
      <c r="H495" s="8" t="str">
        <f aca="false">IFERROR(INDEX('TRANS'!$C:$C,MATCH($B495,'TRANS'!$A:$A,0)),IFERROR(INDEX('Catalog'!$B:$B,MATCH($G495,'Catalog'!$A:$A,0)),$B495))</f>
        <v>T066B-S-M</v>
      </c>
      <c r="I495" s="8" t="str">
        <f aca="false">IF($G495="","Unmatched","Matched")</f>
        <v>Unmatched</v>
      </c>
      <c r="J495" s="8" t="str">
        <f aca="false">IF($G495&lt;&gt;"",$G495,$B495)</f>
        <v>T066B-S-M</v>
      </c>
      <c r="K495" s="8" t="str">
        <f aca="false">IF(COUNTIF($M$1:$M$10,$A495)&gt;0,"Y","N")</f>
        <v>Y</v>
      </c>
    </row>
    <row r="496" customFormat="false" ht="15" hidden="false" customHeight="true" outlineLevel="0" collapsed="false">
      <c r="A496" s="8" t="s">
        <v>46</v>
      </c>
      <c r="B496" s="8" t="s">
        <v>904</v>
      </c>
      <c r="C496" s="19" t="n">
        <v>5</v>
      </c>
      <c r="D496" s="19" t="n">
        <v>271.94</v>
      </c>
      <c r="E496" s="19" t="n">
        <v>0</v>
      </c>
      <c r="F496" s="19" t="n">
        <v>0</v>
      </c>
      <c r="G496" s="8" t="n">
        <f aca="false">IFERROR(INDEX('TRANS'!$B:$B,MATCH($B496,'TRANS'!$A:$A,0)),IFERROR(INDEX('TRANS'!$B:$B,MATCH(TRIM(SUBSTITUTE($B496,CHAR(160)," ")),'TRANS'!$D:$D,0)),IFERROR(INDEX('Catalog'!$A:$A,MATCH($B496,'Catalog'!$B:$B,0)),IFERROR(INDEX('Catalog'!$A:$A,MATCH(TRIM(SUBSTITUTE($B496,CHAR(160)," ")),'Catalog'!$C:$C,0)),""))))</f>
        <v>4408099</v>
      </c>
      <c r="H496" s="8" t="str">
        <f aca="false">IFERROR(INDEX('TRANS'!$C:$C,MATCH($B496,'TRANS'!$A:$A,0)),IFERROR(INDEX('Catalog'!$B:$B,MATCH($G496,'Catalog'!$A:$A,0)),$B496))</f>
        <v>T25C-חבק יד אגודלי</v>
      </c>
      <c r="I496" s="8" t="str">
        <f aca="false">IF($G496="","Unmatched","Matched")</f>
        <v>Matched</v>
      </c>
      <c r="J496" s="8" t="n">
        <f aca="false">IF($G496&lt;&gt;"",$G496,$B496)</f>
        <v>4408099</v>
      </c>
      <c r="K496" s="8" t="str">
        <f aca="false">IF(COUNTIF($M$1:$M$10,$A496)&gt;0,"Y","N")</f>
        <v>Y</v>
      </c>
    </row>
    <row r="497" customFormat="false" ht="15" hidden="false" customHeight="true" outlineLevel="0" collapsed="false">
      <c r="A497" s="8" t="s">
        <v>46</v>
      </c>
      <c r="B497" s="8" t="s">
        <v>327</v>
      </c>
      <c r="C497" s="19" t="n">
        <v>0</v>
      </c>
      <c r="D497" s="19" t="n">
        <v>0</v>
      </c>
      <c r="E497" s="19" t="n">
        <v>1</v>
      </c>
      <c r="F497" s="19" t="n">
        <v>0.01</v>
      </c>
      <c r="G497" s="8" t="str">
        <f aca="false">IFERROR(INDEX('TRANS'!$B:$B,MATCH($B497,'TRANS'!$A:$A,0)),IFERROR(INDEX('TRANS'!$B:$B,MATCH(TRIM(SUBSTITUTE($B497,CHAR(160)," ")),'TRANS'!$D:$D,0)),IFERROR(INDEX('Catalog'!$A:$A,MATCH($B497,'Catalog'!$B:$B,0)),IFERROR(INDEX('Catalog'!$A:$A,MATCH(TRIM(SUBSTITUTE($B497,CHAR(160)," ")),'Catalog'!$C:$C,0)),""))))</f>
        <v/>
      </c>
      <c r="H497" s="8" t="str">
        <f aca="false">IFERROR(INDEX('TRANS'!$C:$C,MATCH($B497,'TRANS'!$A:$A,0)),IFERROR(INDEX('Catalog'!$B:$B,MATCH($G497,'Catalog'!$A:$A,0)),$B497))</f>
        <v>T36B L</v>
      </c>
      <c r="I497" s="8" t="str">
        <f aca="false">IF($G497="","Unmatched","Matched")</f>
        <v>Unmatched</v>
      </c>
      <c r="J497" s="8" t="str">
        <f aca="false">IF($G497&lt;&gt;"",$G497,$B497)</f>
        <v>T36B L</v>
      </c>
      <c r="K497" s="8" t="str">
        <f aca="false">IF(COUNTIF($M$1:$M$10,$A497)&gt;0,"Y","N")</f>
        <v>Y</v>
      </c>
    </row>
    <row r="498" customFormat="false" ht="15" hidden="false" customHeight="true" outlineLevel="0" collapsed="false">
      <c r="A498" s="8" t="s">
        <v>46</v>
      </c>
      <c r="B498" s="8" t="s">
        <v>88</v>
      </c>
      <c r="C498" s="19" t="n">
        <v>2</v>
      </c>
      <c r="D498" s="19" t="n">
        <v>227.36</v>
      </c>
      <c r="E498" s="19" t="n">
        <v>1</v>
      </c>
      <c r="F498" s="19" t="n">
        <v>0.01</v>
      </c>
      <c r="G498" s="8" t="str">
        <f aca="false">IFERROR(INDEX('TRANS'!$B:$B,MATCH($B498,'TRANS'!$A:$A,0)),IFERROR(INDEX('TRANS'!$B:$B,MATCH(TRIM(SUBSTITUTE($B498,CHAR(160)," ")),'TRANS'!$D:$D,0)),IFERROR(INDEX('Catalog'!$A:$A,MATCH($B498,'Catalog'!$B:$B,0)),IFERROR(INDEX('Catalog'!$A:$A,MATCH(TRIM(SUBSTITUTE($B498,CHAR(160)," ")),'Catalog'!$C:$C,0)),""))))</f>
        <v/>
      </c>
      <c r="H498" s="8" t="str">
        <f aca="false">IFERROR(INDEX('TRANS'!$C:$C,MATCH($B498,'TRANS'!$A:$A,0)),IFERROR(INDEX('Catalog'!$B:$B,MATCH($G498,'Catalog'!$A:$A,0)),$B498))</f>
        <v>T40B 0</v>
      </c>
      <c r="I498" s="8" t="str">
        <f aca="false">IF($G498="","Unmatched","Matched")</f>
        <v>Unmatched</v>
      </c>
      <c r="J498" s="8" t="str">
        <f aca="false">IF($G498&lt;&gt;"",$G498,$B498)</f>
        <v>T40B 0</v>
      </c>
      <c r="K498" s="8" t="str">
        <f aca="false">IF(COUNTIF($M$1:$M$10,$A498)&gt;0,"Y","N")</f>
        <v>Y</v>
      </c>
    </row>
    <row r="499" customFormat="false" ht="15" hidden="false" customHeight="true" outlineLevel="0" collapsed="false">
      <c r="A499" s="8" t="s">
        <v>46</v>
      </c>
      <c r="B499" s="8" t="s">
        <v>274</v>
      </c>
      <c r="C499" s="19" t="n">
        <v>0</v>
      </c>
      <c r="D499" s="19" t="n">
        <v>0</v>
      </c>
      <c r="E499" s="19" t="n">
        <v>1</v>
      </c>
      <c r="F499" s="19" t="n">
        <v>0.01</v>
      </c>
      <c r="G499" s="8" t="str">
        <f aca="false">IFERROR(INDEX('TRANS'!$B:$B,MATCH($B499,'TRANS'!$A:$A,0)),IFERROR(INDEX('TRANS'!$B:$B,MATCH(TRIM(SUBSTITUTE($B499,CHAR(160)," ")),'TRANS'!$D:$D,0)),IFERROR(INDEX('Catalog'!$A:$A,MATCH($B499,'Catalog'!$B:$B,0)),IFERROR(INDEX('Catalog'!$A:$A,MATCH(TRIM(SUBSTITUTE($B499,CHAR(160)," ")),'Catalog'!$C:$C,0)),""))))</f>
        <v/>
      </c>
      <c r="H499" s="8" t="str">
        <f aca="false">IFERROR(INDEX('TRANS'!$C:$C,MATCH($B499,'TRANS'!$A:$A,0)),IFERROR(INDEX('Catalog'!$B:$B,MATCH($G499,'Catalog'!$A:$A,0)),$B499))</f>
        <v>T46B M</v>
      </c>
      <c r="I499" s="8" t="str">
        <f aca="false">IF($G499="","Unmatched","Matched")</f>
        <v>Unmatched</v>
      </c>
      <c r="J499" s="8" t="str">
        <f aca="false">IF($G499&lt;&gt;"",$G499,$B499)</f>
        <v>T46B M</v>
      </c>
      <c r="K499" s="8" t="str">
        <f aca="false">IF(COUNTIF($M$1:$M$10,$A499)&gt;0,"Y","N")</f>
        <v>Y</v>
      </c>
    </row>
    <row r="500" customFormat="false" ht="15" hidden="false" customHeight="true" outlineLevel="0" collapsed="false">
      <c r="A500" s="8" t="s">
        <v>46</v>
      </c>
      <c r="B500" s="8" t="s">
        <v>905</v>
      </c>
      <c r="C500" s="19" t="n">
        <v>2</v>
      </c>
      <c r="D500" s="19" t="n">
        <v>171.08</v>
      </c>
      <c r="E500" s="19" t="n">
        <v>0</v>
      </c>
      <c r="F500" s="19" t="n">
        <v>0</v>
      </c>
      <c r="G500" s="8" t="n">
        <f aca="false">IFERROR(INDEX('TRANS'!$B:$B,MATCH($B500,'TRANS'!$A:$A,0)),IFERROR(INDEX('TRANS'!$B:$B,MATCH(TRIM(SUBSTITUTE($B500,CHAR(160)," ")),'TRANS'!$D:$D,0)),IFERROR(INDEX('Catalog'!$A:$A,MATCH($B500,'Catalog'!$B:$B,0)),IFERROR(INDEX('Catalog'!$A:$A,MATCH(TRIM(SUBSTITUTE($B500,CHAR(160)," ")),'Catalog'!$C:$C,0)),""))))</f>
        <v>4413210</v>
      </c>
      <c r="H500" s="8" t="str">
        <f aca="false">IFERROR(INDEX('TRANS'!$C:$C,MATCH($B500,'TRANS'!$A:$A,0)),IFERROR(INDEX('Catalog'!$B:$B,MATCH($G500,'Catalog'!$A:$A,0)),$B500))</f>
        <v>T95 S מגן מרפק רגיל</v>
      </c>
      <c r="I500" s="8" t="str">
        <f aca="false">IF($G500="","Unmatched","Matched")</f>
        <v>Matched</v>
      </c>
      <c r="J500" s="8" t="n">
        <f aca="false">IF($G500&lt;&gt;"",$G500,$B500)</f>
        <v>4413210</v>
      </c>
      <c r="K500" s="8" t="str">
        <f aca="false">IF(COUNTIF($M$1:$M$10,$A500)&gt;0,"Y","N")</f>
        <v>Y</v>
      </c>
    </row>
    <row r="501" customFormat="false" ht="15" hidden="false" customHeight="true" outlineLevel="0" collapsed="false">
      <c r="A501" s="8" t="s">
        <v>46</v>
      </c>
      <c r="B501" s="8" t="s">
        <v>275</v>
      </c>
      <c r="C501" s="19" t="n">
        <v>1</v>
      </c>
      <c r="D501" s="19" t="n">
        <v>85.54</v>
      </c>
      <c r="E501" s="19" t="n">
        <v>2</v>
      </c>
      <c r="F501" s="19" t="n">
        <v>240.17</v>
      </c>
      <c r="G501" s="8" t="str">
        <f aca="false">IFERROR(INDEX('TRANS'!$B:$B,MATCH($B501,'TRANS'!$A:$A,0)),IFERROR(INDEX('TRANS'!$B:$B,MATCH(TRIM(SUBSTITUTE($B501,CHAR(160)," ")),'TRANS'!$D:$D,0)),IFERROR(INDEX('Catalog'!$A:$A,MATCH($B501,'Catalog'!$B:$B,0)),IFERROR(INDEX('Catalog'!$A:$A,MATCH(TRIM(SUBSTITUTE($B501,CHAR(160)," ")),'Catalog'!$C:$C,0)),""))))</f>
        <v/>
      </c>
      <c r="H501" s="8" t="str">
        <f aca="false">IFERROR(INDEX('TRANS'!$C:$C,MATCH($B501,'TRANS'!$A:$A,0)),IFERROR(INDEX('Catalog'!$B:$B,MATCH($G501,'Catalog'!$A:$A,0)),$B501))</f>
        <v>T95 XL</v>
      </c>
      <c r="I501" s="8" t="str">
        <f aca="false">IF($G501="","Unmatched","Matched")</f>
        <v>Unmatched</v>
      </c>
      <c r="J501" s="8" t="str">
        <f aca="false">IF($G501&lt;&gt;"",$G501,$B501)</f>
        <v>T95 XL</v>
      </c>
      <c r="K501" s="8" t="str">
        <f aca="false">IF(COUNTIF($M$1:$M$10,$A501)&gt;0,"Y","N")</f>
        <v>Y</v>
      </c>
    </row>
    <row r="502" customFormat="false" ht="15" hidden="false" customHeight="true" outlineLevel="0" collapsed="false">
      <c r="A502" s="8" t="s">
        <v>46</v>
      </c>
      <c r="B502" s="8" t="s">
        <v>328</v>
      </c>
      <c r="C502" s="19" t="n">
        <v>3</v>
      </c>
      <c r="D502" s="19" t="n">
        <v>880.76</v>
      </c>
      <c r="E502" s="19" t="n">
        <v>0</v>
      </c>
      <c r="F502" s="19" t="n">
        <v>0</v>
      </c>
      <c r="G502" s="8" t="str">
        <f aca="false">IFERROR(INDEX('TRANS'!$B:$B,MATCH($B502,'TRANS'!$A:$A,0)),IFERROR(INDEX('TRANS'!$B:$B,MATCH(TRIM(SUBSTITUTE($B502,CHAR(160)," ")),'TRANS'!$D:$D,0)),IFERROR(INDEX('Catalog'!$A:$A,MATCH($B502,'Catalog'!$B:$B,0)),IFERROR(INDEX('Catalog'!$A:$A,MATCH(TRIM(SUBSTITUTE($B502,CHAR(160)," ")),'Catalog'!$C:$C,0)),""))))</f>
        <v/>
      </c>
      <c r="H502" s="8" t="str">
        <f aca="false">IFERROR(INDEX('TRANS'!$C:$C,MATCH($B502,'TRANS'!$A:$A,0)),IFERROR(INDEX('Catalog'!$B:$B,MATCH($G502,'Catalog'!$A:$A,0)),$B502))</f>
        <v>07UB-S-M</v>
      </c>
      <c r="I502" s="8" t="str">
        <f aca="false">IF($G502="","Unmatched","Matched")</f>
        <v>Unmatched</v>
      </c>
      <c r="J502" s="8" t="str">
        <f aca="false">IF($G502&lt;&gt;"",$G502,$B502)</f>
        <v>07UB-S-M</v>
      </c>
      <c r="K502" s="8" t="str">
        <f aca="false">IF(COUNTIF($M$1:$M$10,$A502)&gt;0,"Y","N")</f>
        <v>Y</v>
      </c>
    </row>
    <row r="503" customFormat="false" ht="15" hidden="false" customHeight="true" outlineLevel="0" collapsed="false">
      <c r="A503" s="8" t="s">
        <v>46</v>
      </c>
      <c r="B503" s="8" t="s">
        <v>329</v>
      </c>
      <c r="C503" s="19" t="n">
        <v>0</v>
      </c>
      <c r="D503" s="19" t="n">
        <v>0</v>
      </c>
      <c r="E503" s="19" t="n">
        <v>1</v>
      </c>
      <c r="F503" s="19" t="n">
        <v>251.47</v>
      </c>
      <c r="G503" s="8" t="str">
        <f aca="false">IFERROR(INDEX('TRANS'!$B:$B,MATCH($B503,'TRANS'!$A:$A,0)),IFERROR(INDEX('TRANS'!$B:$B,MATCH(TRIM(SUBSTITUTE($B503,CHAR(160)," ")),'TRANS'!$D:$D,0)),IFERROR(INDEX('Catalog'!$A:$A,MATCH($B503,'Catalog'!$B:$B,0)),IFERROR(INDEX('Catalog'!$A:$A,MATCH(TRIM(SUBSTITUTE($B503,CHAR(160)," ")),'Catalog'!$C:$C,0)),""))))</f>
        <v/>
      </c>
      <c r="H503" s="8" t="str">
        <f aca="false">IFERROR(INDEX('TRANS'!$C:$C,MATCH($B503,'TRANS'!$A:$A,0)),IFERROR(INDEX('Catalog'!$B:$B,MATCH($G503,'Catalog'!$A:$A,0)),$B503))</f>
        <v>12 M</v>
      </c>
      <c r="I503" s="8" t="str">
        <f aca="false">IF($G503="","Unmatched","Matched")</f>
        <v>Unmatched</v>
      </c>
      <c r="J503" s="8" t="str">
        <f aca="false">IF($G503&lt;&gt;"",$G503,$B503)</f>
        <v>12 M</v>
      </c>
      <c r="K503" s="8" t="str">
        <f aca="false">IF(COUNTIF($M$1:$M$10,$A503)&gt;0,"Y","N")</f>
        <v>Y</v>
      </c>
    </row>
    <row r="504" customFormat="false" ht="15" hidden="false" customHeight="true" outlineLevel="0" collapsed="false">
      <c r="A504" s="8" t="s">
        <v>46</v>
      </c>
      <c r="B504" s="8" t="s">
        <v>330</v>
      </c>
      <c r="C504" s="19" t="n">
        <v>0</v>
      </c>
      <c r="D504" s="19" t="n">
        <v>0</v>
      </c>
      <c r="E504" s="19" t="n">
        <v>1</v>
      </c>
      <c r="F504" s="19" t="n">
        <v>190.63</v>
      </c>
      <c r="G504" s="8" t="str">
        <f aca="false">IFERROR(INDEX('TRANS'!$B:$B,MATCH($B504,'TRANS'!$A:$A,0)),IFERROR(INDEX('TRANS'!$B:$B,MATCH(TRIM(SUBSTITUTE($B504,CHAR(160)," ")),'TRANS'!$D:$D,0)),IFERROR(INDEX('Catalog'!$A:$A,MATCH($B504,'Catalog'!$B:$B,0)),IFERROR(INDEX('Catalog'!$A:$A,MATCH(TRIM(SUBSTITUTE($B504,CHAR(160)," ")),'Catalog'!$C:$C,0)),""))))</f>
        <v/>
      </c>
      <c r="H504" s="8" t="str">
        <f aca="false">IFERROR(INDEX('TRANS'!$C:$C,MATCH($B504,'TRANS'!$A:$A,0)),IFERROR(INDEX('Catalog'!$B:$B,MATCH($G504,'Catalog'!$A:$A,0)),$B504))</f>
        <v>355 M</v>
      </c>
      <c r="I504" s="8" t="str">
        <f aca="false">IF($G504="","Unmatched","Matched")</f>
        <v>Unmatched</v>
      </c>
      <c r="J504" s="8" t="str">
        <f aca="false">IF($G504&lt;&gt;"",$G504,$B504)</f>
        <v>355 M</v>
      </c>
      <c r="K504" s="8" t="str">
        <f aca="false">IF(COUNTIF($M$1:$M$10,$A504)&gt;0,"Y","N")</f>
        <v>Y</v>
      </c>
    </row>
    <row r="505" customFormat="false" ht="15" hidden="false" customHeight="true" outlineLevel="0" collapsed="false">
      <c r="A505" s="8" t="s">
        <v>46</v>
      </c>
      <c r="B505" s="8" t="s">
        <v>145</v>
      </c>
      <c r="C505" s="19" t="n">
        <v>4</v>
      </c>
      <c r="D505" s="19" t="n">
        <v>121.83</v>
      </c>
      <c r="E505" s="19" t="n">
        <v>0</v>
      </c>
      <c r="F505" s="19" t="n">
        <v>0</v>
      </c>
      <c r="G505" s="8" t="str">
        <f aca="false">IFERROR(INDEX('TRANS'!$B:$B,MATCH($B505,'TRANS'!$A:$A,0)),IFERROR(INDEX('TRANS'!$B:$B,MATCH(TRIM(SUBSTITUTE($B505,CHAR(160)," ")),'TRANS'!$D:$D,0)),IFERROR(INDEX('Catalog'!$A:$A,MATCH($B505,'Catalog'!$B:$B,0)),IFERROR(INDEX('Catalog'!$A:$A,MATCH(TRIM(SUBSTITUTE($B505,CHAR(160)," ")),'Catalog'!$C:$C,0)),""))))</f>
        <v/>
      </c>
      <c r="H505" s="8" t="str">
        <f aca="false">IFERROR(INDEX('TRANS'!$C:$C,MATCH($B505,'TRANS'!$A:$A,0)),IFERROR(INDEX('Catalog'!$B:$B,MATCH($G505,'Catalog'!$A:$A,0)),$B505))</f>
        <v>394G-43-46</v>
      </c>
      <c r="I505" s="8" t="str">
        <f aca="false">IF($G505="","Unmatched","Matched")</f>
        <v>Unmatched</v>
      </c>
      <c r="J505" s="8" t="str">
        <f aca="false">IF($G505&lt;&gt;"",$G505,$B505)</f>
        <v>394G-43-46</v>
      </c>
      <c r="K505" s="8" t="str">
        <f aca="false">IF(COUNTIF($M$1:$M$10,$A505)&gt;0,"Y","N")</f>
        <v>Y</v>
      </c>
    </row>
    <row r="506" customFormat="false" ht="15" hidden="false" customHeight="true" outlineLevel="0" collapsed="false">
      <c r="A506" s="8" t="s">
        <v>46</v>
      </c>
      <c r="B506" s="8" t="s">
        <v>430</v>
      </c>
      <c r="C506" s="19" t="n">
        <v>1</v>
      </c>
      <c r="D506" s="19" t="n">
        <v>237.23</v>
      </c>
      <c r="E506" s="19" t="n">
        <v>0</v>
      </c>
      <c r="F506" s="19" t="n">
        <v>0</v>
      </c>
      <c r="G506" s="8" t="str">
        <f aca="false">IFERROR(INDEX('TRANS'!$B:$B,MATCH($B506,'TRANS'!$A:$A,0)),IFERROR(INDEX('TRANS'!$B:$B,MATCH(TRIM(SUBSTITUTE($B506,CHAR(160)," ")),'TRANS'!$D:$D,0)),IFERROR(INDEX('Catalog'!$A:$A,MATCH($B506,'Catalog'!$B:$B,0)),IFERROR(INDEX('Catalog'!$A:$A,MATCH(TRIM(SUBSTITUTE($B506,CHAR(160)," ")),'Catalog'!$C:$C,0)),""))))</f>
        <v/>
      </c>
      <c r="H506" s="8" t="str">
        <f aca="false">IFERROR(INDEX('TRANS'!$C:$C,MATCH($B506,'TRANS'!$A:$A,0)),IFERROR(INDEX('Catalog'!$B:$B,MATCH($G506,'Catalog'!$A:$A,0)),$B506))</f>
        <v>422 XXL</v>
      </c>
      <c r="I506" s="8" t="str">
        <f aca="false">IF($G506="","Unmatched","Matched")</f>
        <v>Unmatched</v>
      </c>
      <c r="J506" s="8" t="str">
        <f aca="false">IF($G506&lt;&gt;"",$G506,$B506)</f>
        <v>422 XXL</v>
      </c>
      <c r="K506" s="8" t="str">
        <f aca="false">IF(COUNTIF($M$1:$M$10,$A506)&gt;0,"Y","N")</f>
        <v>Y</v>
      </c>
    </row>
    <row r="507" customFormat="false" ht="15" hidden="false" customHeight="true" outlineLevel="0" collapsed="false">
      <c r="A507" s="8" t="s">
        <v>46</v>
      </c>
      <c r="B507" s="8" t="s">
        <v>331</v>
      </c>
      <c r="C507" s="19" t="n">
        <v>2</v>
      </c>
      <c r="D507" s="19" t="n">
        <v>735.42</v>
      </c>
      <c r="E507" s="19" t="n">
        <v>0</v>
      </c>
      <c r="F507" s="19" t="n">
        <v>0</v>
      </c>
      <c r="G507" s="8" t="str">
        <f aca="false">IFERROR(INDEX('TRANS'!$B:$B,MATCH($B507,'TRANS'!$A:$A,0)),IFERROR(INDEX('TRANS'!$B:$B,MATCH(TRIM(SUBSTITUTE($B507,CHAR(160)," ")),'TRANS'!$D:$D,0)),IFERROR(INDEX('Catalog'!$A:$A,MATCH($B507,'Catalog'!$B:$B,0)),IFERROR(INDEX('Catalog'!$A:$A,MATCH(TRIM(SUBSTITUTE($B507,CHAR(160)," ")),'Catalog'!$C:$C,0)),""))))</f>
        <v/>
      </c>
      <c r="H507" s="8" t="str">
        <f aca="false">IFERROR(INDEX('TRANS'!$C:$C,MATCH($B507,'TRANS'!$A:$A,0)),IFERROR(INDEX('Catalog'!$B:$B,MATCH($G507,'Catalog'!$A:$A,0)),$B507))</f>
        <v>422E L</v>
      </c>
      <c r="I507" s="8" t="str">
        <f aca="false">IF($G507="","Unmatched","Matched")</f>
        <v>Unmatched</v>
      </c>
      <c r="J507" s="8" t="str">
        <f aca="false">IF($G507&lt;&gt;"",$G507,$B507)</f>
        <v>422E L</v>
      </c>
      <c r="K507" s="8" t="str">
        <f aca="false">IF(COUNTIF($M$1:$M$10,$A507)&gt;0,"Y","N")</f>
        <v>Y</v>
      </c>
    </row>
    <row r="508" customFormat="false" ht="15" hidden="false" customHeight="true" outlineLevel="0" collapsed="false">
      <c r="A508" s="8" t="s">
        <v>46</v>
      </c>
      <c r="B508" s="8" t="s">
        <v>906</v>
      </c>
      <c r="C508" s="19" t="n">
        <v>1</v>
      </c>
      <c r="D508" s="19" t="n">
        <v>78.25</v>
      </c>
      <c r="E508" s="19" t="n">
        <v>0</v>
      </c>
      <c r="F508" s="19" t="n">
        <v>0</v>
      </c>
      <c r="G508" s="8" t="n">
        <f aca="false">IFERROR(INDEX('TRANS'!$B:$B,MATCH($B508,'TRANS'!$A:$A,0)),IFERROR(INDEX('TRANS'!$B:$B,MATCH(TRIM(SUBSTITUTE($B508,CHAR(160)," ")),'TRANS'!$D:$D,0)),IFERROR(INDEX('Catalog'!$A:$A,MATCH($B508,'Catalog'!$B:$B,0)),IFERROR(INDEX('Catalog'!$A:$A,MATCH(TRIM(SUBSTITUTE($B508,CHAR(160)," ")),'Catalog'!$C:$C,0)),""))))</f>
        <v>4413330</v>
      </c>
      <c r="H508" s="8" t="str">
        <f aca="false">IFERROR(INDEX('TRANS'!$C:$C,MATCH($B508,'TRANS'!$A:$A,0)),IFERROR(INDEX('Catalog'!$B:$B,MATCH($G508,'Catalog'!$A:$A,0)),$B508))</f>
        <v>AC49 מגן ירך</v>
      </c>
      <c r="I508" s="8" t="str">
        <f aca="false">IF($G508="","Unmatched","Matched")</f>
        <v>Matched</v>
      </c>
      <c r="J508" s="8" t="n">
        <f aca="false">IF($G508&lt;&gt;"",$G508,$B508)</f>
        <v>4413330</v>
      </c>
      <c r="K508" s="8" t="str">
        <f aca="false">IF(COUNTIF($M$1:$M$10,$A508)&gt;0,"Y","N")</f>
        <v>Y</v>
      </c>
    </row>
    <row r="509" customFormat="false" ht="15" hidden="false" customHeight="true" outlineLevel="0" collapsed="false">
      <c r="A509" s="8" t="s">
        <v>46</v>
      </c>
      <c r="B509" s="8" t="s">
        <v>47</v>
      </c>
      <c r="C509" s="19" t="n">
        <v>2</v>
      </c>
      <c r="D509" s="19" t="n">
        <v>33.72</v>
      </c>
      <c r="E509" s="19" t="n">
        <v>0</v>
      </c>
      <c r="F509" s="19" t="n">
        <v>0</v>
      </c>
      <c r="G509" s="8" t="str">
        <f aca="false">IFERROR(INDEX('TRANS'!$B:$B,MATCH($B509,'TRANS'!$A:$A,0)),IFERROR(INDEX('TRANS'!$B:$B,MATCH(TRIM(SUBSTITUTE($B509,CHAR(160)," ")),'TRANS'!$D:$D,0)),IFERROR(INDEX('Catalog'!$A:$A,MATCH($B509,'Catalog'!$B:$B,0)),IFERROR(INDEX('Catalog'!$A:$A,MATCH(TRIM(SUBSTITUTE($B509,CHAR(160)," ")),'Catalog'!$C:$C,0)),""))))</f>
        <v/>
      </c>
      <c r="H509" s="8" t="str">
        <f aca="false">IFERROR(INDEX('TRANS'!$C:$C,MATCH($B509,'TRANS'!$A:$A,0)),IFERROR(INDEX('Catalog'!$B:$B,MATCH($G509,'Catalog'!$A:$A,0)),$B509))</f>
        <v>M95</v>
      </c>
      <c r="I509" s="8" t="str">
        <f aca="false">IF($G509="","Unmatched","Matched")</f>
        <v>Unmatched</v>
      </c>
      <c r="J509" s="8" t="str">
        <f aca="false">IF($G509&lt;&gt;"",$G509,$B509)</f>
        <v>M95</v>
      </c>
      <c r="K509" s="8" t="str">
        <f aca="false">IF(COUNTIF($M$1:$M$10,$A509)&gt;0,"Y","N")</f>
        <v>Y</v>
      </c>
    </row>
    <row r="510" customFormat="false" ht="15" hidden="false" customHeight="true" outlineLevel="0" collapsed="false">
      <c r="A510" s="8" t="s">
        <v>46</v>
      </c>
      <c r="B510" s="8" t="s">
        <v>129</v>
      </c>
      <c r="C510" s="19" t="n">
        <v>1</v>
      </c>
      <c r="D510" s="19" t="n">
        <v>296.56</v>
      </c>
      <c r="E510" s="19" t="n">
        <v>2</v>
      </c>
      <c r="F510" s="19" t="n">
        <v>593.14</v>
      </c>
      <c r="G510" s="8" t="str">
        <f aca="false">IFERROR(INDEX('TRANS'!$B:$B,MATCH($B510,'TRANS'!$A:$A,0)),IFERROR(INDEX('TRANS'!$B:$B,MATCH(TRIM(SUBSTITUTE($B510,CHAR(160)," ")),'TRANS'!$D:$D,0)),IFERROR(INDEX('Catalog'!$A:$A,MATCH($B510,'Catalog'!$B:$B,0)),IFERROR(INDEX('Catalog'!$A:$A,MATCH(TRIM(SUBSTITUTE($B510,CHAR(160)," ")),'Catalog'!$C:$C,0)),""))))</f>
        <v/>
      </c>
      <c r="H510" s="8" t="str">
        <f aca="false">IFERROR(INDEX('TRANS'!$C:$C,MATCH($B510,'TRANS'!$A:$A,0)),IFERROR(INDEX('Catalog'!$B:$B,MATCH($G510,'Catalog'!$A:$A,0)),$B510))</f>
        <v>N433D L</v>
      </c>
      <c r="I510" s="8" t="str">
        <f aca="false">IF($G510="","Unmatched","Matched")</f>
        <v>Unmatched</v>
      </c>
      <c r="J510" s="8" t="str">
        <f aca="false">IF($G510&lt;&gt;"",$G510,$B510)</f>
        <v>N433D L</v>
      </c>
      <c r="K510" s="8" t="str">
        <f aca="false">IF(COUNTIF($M$1:$M$10,$A510)&gt;0,"Y","N")</f>
        <v>Y</v>
      </c>
    </row>
    <row r="511" customFormat="false" ht="15" hidden="false" customHeight="true" outlineLevel="0" collapsed="false">
      <c r="A511" s="8" t="s">
        <v>46</v>
      </c>
      <c r="B511" s="8" t="s">
        <v>276</v>
      </c>
      <c r="C511" s="19" t="n">
        <v>1</v>
      </c>
      <c r="D511" s="19" t="n">
        <v>296.56</v>
      </c>
      <c r="E511" s="19" t="n">
        <v>0</v>
      </c>
      <c r="F511" s="19" t="n">
        <v>0</v>
      </c>
      <c r="G511" s="8" t="str">
        <f aca="false">IFERROR(INDEX('TRANS'!$B:$B,MATCH($B511,'TRANS'!$A:$A,0)),IFERROR(INDEX('TRANS'!$B:$B,MATCH(TRIM(SUBSTITUTE($B511,CHAR(160)," ")),'TRANS'!$D:$D,0)),IFERROR(INDEX('Catalog'!$A:$A,MATCH($B511,'Catalog'!$B:$B,0)),IFERROR(INDEX('Catalog'!$A:$A,MATCH(TRIM(SUBSTITUTE($B511,CHAR(160)," ")),'Catalog'!$C:$C,0)),""))))</f>
        <v/>
      </c>
      <c r="H511" s="8" t="str">
        <f aca="false">IFERROR(INDEX('TRANS'!$C:$C,MATCH($B511,'TRANS'!$A:$A,0)),IFERROR(INDEX('Catalog'!$B:$B,MATCH($G511,'Catalog'!$A:$A,0)),$B511))</f>
        <v>N433D S</v>
      </c>
      <c r="I511" s="8" t="str">
        <f aca="false">IF($G511="","Unmatched","Matched")</f>
        <v>Unmatched</v>
      </c>
      <c r="J511" s="8" t="str">
        <f aca="false">IF($G511&lt;&gt;"",$G511,$B511)</f>
        <v>N433D S</v>
      </c>
      <c r="K511" s="8" t="str">
        <f aca="false">IF(COUNTIF($M$1:$M$10,$A511)&gt;0,"Y","N")</f>
        <v>Y</v>
      </c>
    </row>
    <row r="512" customFormat="false" ht="15" hidden="false" customHeight="true" outlineLevel="0" collapsed="false">
      <c r="A512" s="8" t="s">
        <v>46</v>
      </c>
      <c r="B512" s="8" t="s">
        <v>332</v>
      </c>
      <c r="C512" s="19" t="n">
        <v>0</v>
      </c>
      <c r="D512" s="19" t="n">
        <v>0</v>
      </c>
      <c r="E512" s="19" t="n">
        <v>1</v>
      </c>
      <c r="F512" s="19" t="n">
        <v>145.68</v>
      </c>
      <c r="G512" s="8" t="str">
        <f aca="false">IFERROR(INDEX('TRANS'!$B:$B,MATCH($B512,'TRANS'!$A:$A,0)),IFERROR(INDEX('TRANS'!$B:$B,MATCH(TRIM(SUBSTITUTE($B512,CHAR(160)," ")),'TRANS'!$D:$D,0)),IFERROR(INDEX('Catalog'!$A:$A,MATCH($B512,'Catalog'!$B:$B,0)),IFERROR(INDEX('Catalog'!$A:$A,MATCH(TRIM(SUBSTITUTE($B512,CHAR(160)," ")),'Catalog'!$C:$C,0)),""))))</f>
        <v/>
      </c>
      <c r="H512" s="8" t="str">
        <f aca="false">IFERROR(INDEX('TRANS'!$C:$C,MATCH($B512,'TRANS'!$A:$A,0)),IFERROR(INDEX('Catalog'!$B:$B,MATCH($G512,'Catalog'!$A:$A,0)),$B512))</f>
        <v>T26 XL</v>
      </c>
      <c r="I512" s="8" t="str">
        <f aca="false">IF($G512="","Unmatched","Matched")</f>
        <v>Unmatched</v>
      </c>
      <c r="J512" s="8" t="str">
        <f aca="false">IF($G512&lt;&gt;"",$G512,$B512)</f>
        <v>T26 XL</v>
      </c>
      <c r="K512" s="8" t="str">
        <f aca="false">IF(COUNTIF($M$1:$M$10,$A512)&gt;0,"Y","N")</f>
        <v>Y</v>
      </c>
    </row>
    <row r="513" customFormat="false" ht="15" hidden="false" customHeight="true" outlineLevel="0" collapsed="false">
      <c r="A513" s="8" t="s">
        <v>46</v>
      </c>
      <c r="B513" s="8" t="s">
        <v>907</v>
      </c>
      <c r="C513" s="19" t="n">
        <v>1</v>
      </c>
      <c r="D513" s="19" t="n">
        <v>107.16</v>
      </c>
      <c r="E513" s="19" t="n">
        <v>0</v>
      </c>
      <c r="F513" s="19" t="n">
        <v>0</v>
      </c>
      <c r="G513" s="8" t="n">
        <f aca="false">IFERROR(INDEX('TRANS'!$B:$B,MATCH($B513,'TRANS'!$A:$A,0)),IFERROR(INDEX('TRANS'!$B:$B,MATCH(TRIM(SUBSTITUTE($B513,CHAR(160)," ")),'TRANS'!$D:$D,0)),IFERROR(INDEX('Catalog'!$A:$A,MATCH($B513,'Catalog'!$B:$B,0)),IFERROR(INDEX('Catalog'!$A:$A,MATCH(TRIM(SUBSTITUTE($B513,CHAR(160)," ")),'Catalog'!$C:$C,0)),""))))</f>
        <v>4413224</v>
      </c>
      <c r="H513" s="8" t="str">
        <f aca="false">IFERROR(INDEX('TRANS'!$C:$C,MATCH($B513,'TRANS'!$A:$A,0)),IFERROR(INDEX('Catalog'!$B:$B,MATCH($G513,'Catalog'!$A:$A,0)),$B513))</f>
        <v>T45X XL מגן ברך רגיל</v>
      </c>
      <c r="I513" s="8" t="str">
        <f aca="false">IF($G513="","Unmatched","Matched")</f>
        <v>Matched</v>
      </c>
      <c r="J513" s="8" t="n">
        <f aca="false">IF($G513&lt;&gt;"",$G513,$B513)</f>
        <v>4413224</v>
      </c>
      <c r="K513" s="8" t="str">
        <f aca="false">IF(COUNTIF($M$1:$M$10,$A513)&gt;0,"Y","N")</f>
        <v>Y</v>
      </c>
    </row>
    <row r="514" customFormat="false" ht="15" hidden="false" customHeight="true" outlineLevel="0" collapsed="false">
      <c r="A514" s="8" t="s">
        <v>46</v>
      </c>
      <c r="B514" s="8" t="s">
        <v>431</v>
      </c>
      <c r="C514" s="19" t="n">
        <v>1</v>
      </c>
      <c r="D514" s="19" t="n">
        <v>64.16</v>
      </c>
      <c r="E514" s="19" t="n">
        <v>0</v>
      </c>
      <c r="F514" s="19" t="n">
        <v>0</v>
      </c>
      <c r="G514" s="8" t="str">
        <f aca="false">IFERROR(INDEX('TRANS'!$B:$B,MATCH($B514,'TRANS'!$A:$A,0)),IFERROR(INDEX('TRANS'!$B:$B,MATCH(TRIM(SUBSTITUTE($B514,CHAR(160)," ")),'TRANS'!$D:$D,0)),IFERROR(INDEX('Catalog'!$A:$A,MATCH($B514,'Catalog'!$B:$B,0)),IFERROR(INDEX('Catalog'!$A:$A,MATCH(TRIM(SUBSTITUTE($B514,CHAR(160)," ")),'Catalog'!$C:$C,0)),""))))</f>
        <v/>
      </c>
      <c r="H514" s="8" t="str">
        <f aca="false">IFERROR(INDEX('TRANS'!$C:$C,MATCH($B514,'TRANS'!$A:$A,0)),IFERROR(INDEX('Catalog'!$B:$B,MATCH($G514,'Catalog'!$A:$A,0)),$B514))</f>
        <v>T95 M</v>
      </c>
      <c r="I514" s="8" t="str">
        <f aca="false">IF($G514="","Unmatched","Matched")</f>
        <v>Unmatched</v>
      </c>
      <c r="J514" s="8" t="str">
        <f aca="false">IF($G514&lt;&gt;"",$G514,$B514)</f>
        <v>T95 M</v>
      </c>
      <c r="K514" s="8" t="str">
        <f aca="false">IF(COUNTIF($M$1:$M$10,$A514)&gt;0,"Y","N")</f>
        <v>Y</v>
      </c>
    </row>
    <row r="515" customFormat="false" ht="15" hidden="false" customHeight="true" outlineLevel="0" collapsed="false">
      <c r="A515" s="8" t="s">
        <v>46</v>
      </c>
      <c r="B515" s="8" t="s">
        <v>241</v>
      </c>
      <c r="C515" s="19" t="n">
        <v>1</v>
      </c>
      <c r="D515" s="19" t="n">
        <v>119.87</v>
      </c>
      <c r="E515" s="19" t="n">
        <v>0</v>
      </c>
      <c r="F515" s="19" t="n">
        <v>0</v>
      </c>
      <c r="G515" s="8" t="str">
        <f aca="false">IFERROR(INDEX('TRANS'!$B:$B,MATCH($B515,'TRANS'!$A:$A,0)),IFERROR(INDEX('TRANS'!$B:$B,MATCH(TRIM(SUBSTITUTE($B515,CHAR(160)," ")),'TRANS'!$D:$D,0)),IFERROR(INDEX('Catalog'!$A:$A,MATCH($B515,'Catalog'!$B:$B,0)),IFERROR(INDEX('Catalog'!$A:$A,MATCH(TRIM(SUBSTITUTE($B515,CHAR(160)," ")),'Catalog'!$C:$C,0)),""))))</f>
        <v/>
      </c>
      <c r="H515" s="8" t="str">
        <f aca="false">IFERROR(INDEX('TRANS'!$C:$C,MATCH($B515,'TRANS'!$A:$A,0)),IFERROR(INDEX('Catalog'!$B:$B,MATCH($G515,'Catalog'!$A:$A,0)),$B515))</f>
        <v>15M XXL</v>
      </c>
      <c r="I515" s="8" t="str">
        <f aca="false">IF($G515="","Unmatched","Matched")</f>
        <v>Unmatched</v>
      </c>
      <c r="J515" s="8" t="str">
        <f aca="false">IF($G515&lt;&gt;"",$G515,$B515)</f>
        <v>15M XXL</v>
      </c>
      <c r="K515" s="8" t="str">
        <f aca="false">IF(COUNTIF($M$1:$M$10,$A515)&gt;0,"Y","N")</f>
        <v>Y</v>
      </c>
    </row>
    <row r="516" customFormat="false" ht="15" hidden="false" customHeight="true" outlineLevel="0" collapsed="false">
      <c r="A516" s="8" t="s">
        <v>46</v>
      </c>
      <c r="B516" s="8" t="s">
        <v>908</v>
      </c>
      <c r="C516" s="19" t="n">
        <v>1</v>
      </c>
      <c r="D516" s="19" t="n">
        <v>30.04</v>
      </c>
      <c r="E516" s="19" t="n">
        <v>0</v>
      </c>
      <c r="F516" s="19" t="n">
        <v>0</v>
      </c>
      <c r="G516" s="8" t="n">
        <f aca="false">IFERROR(INDEX('TRANS'!$B:$B,MATCH($B516,'TRANS'!$A:$A,0)),IFERROR(INDEX('TRANS'!$B:$B,MATCH(TRIM(SUBSTITUTE($B516,CHAR(160)," ")),'TRANS'!$D:$D,0)),IFERROR(INDEX('Catalog'!$A:$A,MATCH($B516,'Catalog'!$B:$B,0)),IFERROR(INDEX('Catalog'!$A:$A,MATCH(TRIM(SUBSTITUTE($B516,CHAR(160)," ")),'Catalog'!$C:$C,0)),""))))</f>
        <v>4408049</v>
      </c>
      <c r="H516" s="8" t="str">
        <f aca="false">IFERROR(INDEX('TRANS'!$C:$C,MATCH($B516,'TRANS'!$A:$A,0)),IFERROR(INDEX('Catalog'!$B:$B,MATCH($G516,'Catalog'!$A:$A,0)),$B516))</f>
        <v>20 XL חבק יד מתכוון עם צמדן</v>
      </c>
      <c r="I516" s="8" t="str">
        <f aca="false">IF($G516="","Unmatched","Matched")</f>
        <v>Matched</v>
      </c>
      <c r="J516" s="8" t="n">
        <f aca="false">IF($G516&lt;&gt;"",$G516,$B516)</f>
        <v>4408049</v>
      </c>
      <c r="K516" s="8" t="str">
        <f aca="false">IF(COUNTIF($M$1:$M$10,$A516)&gt;0,"Y","N")</f>
        <v>Y</v>
      </c>
    </row>
    <row r="517" customFormat="false" ht="15" hidden="false" customHeight="true" outlineLevel="0" collapsed="false">
      <c r="A517" s="8" t="s">
        <v>46</v>
      </c>
      <c r="B517" s="8" t="s">
        <v>909</v>
      </c>
      <c r="C517" s="19" t="n">
        <v>2</v>
      </c>
      <c r="D517" s="19" t="n">
        <v>105.84</v>
      </c>
      <c r="E517" s="19" t="n">
        <v>0</v>
      </c>
      <c r="F517" s="19" t="n">
        <v>0</v>
      </c>
      <c r="G517" s="8" t="n">
        <f aca="false">IFERROR(INDEX('TRANS'!$B:$B,MATCH($B517,'TRANS'!$A:$A,0)),IFERROR(INDEX('TRANS'!$B:$B,MATCH(TRIM(SUBSTITUTE($B517,CHAR(160)," ")),'TRANS'!$D:$D,0)),IFERROR(INDEX('Catalog'!$A:$A,MATCH($B517,'Catalog'!$B:$B,0)),IFERROR(INDEX('Catalog'!$A:$A,MATCH(TRIM(SUBSTITUTE($B517,CHAR(160)," ")),'Catalog'!$C:$C,0)),""))))</f>
        <v>4416003</v>
      </c>
      <c r="H517" s="8" t="str">
        <f aca="false">IFERROR(INDEX('TRANS'!$C:$C,MATCH($B517,'TRANS'!$A:$A,0)),IFERROR(INDEX('Catalog'!$B:$B,MATCH($G517,'Catalog'!$A:$A,0)),$B517))</f>
        <v>308 Lעקבים סיליקון כחול לדורבן</v>
      </c>
      <c r="I517" s="8" t="str">
        <f aca="false">IF($G517="","Unmatched","Matched")</f>
        <v>Matched</v>
      </c>
      <c r="J517" s="8" t="n">
        <f aca="false">IF($G517&lt;&gt;"",$G517,$B517)</f>
        <v>4416003</v>
      </c>
      <c r="K517" s="8" t="str">
        <f aca="false">IF(COUNTIF($M$1:$M$10,$A517)&gt;0,"Y","N")</f>
        <v>Y</v>
      </c>
    </row>
    <row r="518" customFormat="false" ht="15" hidden="false" customHeight="true" outlineLevel="0" collapsed="false">
      <c r="A518" s="8" t="s">
        <v>46</v>
      </c>
      <c r="B518" s="8" t="s">
        <v>910</v>
      </c>
      <c r="C518" s="19" t="n">
        <v>1</v>
      </c>
      <c r="D518" s="19" t="n">
        <v>56.66</v>
      </c>
      <c r="E518" s="19" t="n">
        <v>0</v>
      </c>
      <c r="F518" s="19" t="n">
        <v>0</v>
      </c>
      <c r="G518" s="8" t="n">
        <f aca="false">IFERROR(INDEX('TRANS'!$B:$B,MATCH($B518,'TRANS'!$A:$A,0)),IFERROR(INDEX('TRANS'!$B:$B,MATCH(TRIM(SUBSTITUTE($B518,CHAR(160)," ")),'TRANS'!$D:$D,0)),IFERROR(INDEX('Catalog'!$A:$A,MATCH($B518,'Catalog'!$B:$B,0)),IFERROR(INDEX('Catalog'!$A:$A,MATCH(TRIM(SUBSTITUTE($B518,CHAR(160)," ")),'Catalog'!$C:$C,0)),""))))</f>
        <v>4413043</v>
      </c>
      <c r="H518" s="8" t="str">
        <f aca="false">IFERROR(INDEX('TRANS'!$C:$C,MATCH($B518,'TRANS'!$A:$A,0)),IFERROR(INDEX('Catalog'!$B:$B,MATCH($G518,'Catalog'!$A:$A,0)),$B518))</f>
        <v>34  L מגן קרסול עקב סגור</v>
      </c>
      <c r="I518" s="8" t="str">
        <f aca="false">IF($G518="","Unmatched","Matched")</f>
        <v>Matched</v>
      </c>
      <c r="J518" s="8" t="n">
        <f aca="false">IF($G518&lt;&gt;"",$G518,$B518)</f>
        <v>4413043</v>
      </c>
      <c r="K518" s="8" t="str">
        <f aca="false">IF(COUNTIF($M$1:$M$10,$A518)&gt;0,"Y","N")</f>
        <v>Y</v>
      </c>
    </row>
    <row r="519" customFormat="false" ht="15" hidden="false" customHeight="true" outlineLevel="0" collapsed="false">
      <c r="A519" s="8" t="s">
        <v>46</v>
      </c>
      <c r="B519" s="8" t="s">
        <v>530</v>
      </c>
      <c r="C519" s="19" t="n">
        <v>1</v>
      </c>
      <c r="D519" s="19" t="n">
        <v>249.93</v>
      </c>
      <c r="E519" s="19" t="n">
        <v>-1</v>
      </c>
      <c r="F519" s="19" t="n">
        <v>-249.93</v>
      </c>
      <c r="G519" s="8" t="str">
        <f aca="false">IFERROR(INDEX('TRANS'!$B:$B,MATCH($B519,'TRANS'!$A:$A,0)),IFERROR(INDEX('TRANS'!$B:$B,MATCH(TRIM(SUBSTITUTE($B519,CHAR(160)," ")),'TRANS'!$D:$D,0)),IFERROR(INDEX('Catalog'!$A:$A,MATCH($B519,'Catalog'!$B:$B,0)),IFERROR(INDEX('Catalog'!$A:$A,MATCH(TRIM(SUBSTITUTE($B519,CHAR(160)," ")),'Catalog'!$C:$C,0)),""))))</f>
        <v/>
      </c>
      <c r="H519" s="8" t="str">
        <f aca="false">IFERROR(INDEX('TRANS'!$C:$C,MATCH($B519,'TRANS'!$A:$A,0)),IFERROR(INDEX('Catalog'!$B:$B,MATCH($G519,'Catalog'!$A:$A,0)),$B519))</f>
        <v>422 L</v>
      </c>
      <c r="I519" s="8" t="str">
        <f aca="false">IF($G519="","Unmatched","Matched")</f>
        <v>Unmatched</v>
      </c>
      <c r="J519" s="8" t="str">
        <f aca="false">IF($G519&lt;&gt;"",$G519,$B519)</f>
        <v>422 L</v>
      </c>
      <c r="K519" s="8" t="str">
        <f aca="false">IF(COUNTIF($M$1:$M$10,$A519)&gt;0,"Y","N")</f>
        <v>Y</v>
      </c>
    </row>
    <row r="520" customFormat="false" ht="15" hidden="false" customHeight="true" outlineLevel="0" collapsed="false">
      <c r="A520" s="8" t="s">
        <v>46</v>
      </c>
      <c r="B520" s="8" t="s">
        <v>432</v>
      </c>
      <c r="C520" s="19" t="n">
        <v>1</v>
      </c>
      <c r="D520" s="19" t="n">
        <v>183.85</v>
      </c>
      <c r="E520" s="19" t="n">
        <v>0</v>
      </c>
      <c r="F520" s="19" t="n">
        <v>0</v>
      </c>
      <c r="G520" s="8" t="str">
        <f aca="false">IFERROR(INDEX('TRANS'!$B:$B,MATCH($B520,'TRANS'!$A:$A,0)),IFERROR(INDEX('TRANS'!$B:$B,MATCH(TRIM(SUBSTITUTE($B520,CHAR(160)," ")),'TRANS'!$D:$D,0)),IFERROR(INDEX('Catalog'!$A:$A,MATCH($B520,'Catalog'!$B:$B,0)),IFERROR(INDEX('Catalog'!$A:$A,MATCH(TRIM(SUBSTITUTE($B520,CHAR(160)," ")),'Catalog'!$C:$C,0)),""))))</f>
        <v/>
      </c>
      <c r="H520" s="8" t="str">
        <f aca="false">IFERROR(INDEX('TRANS'!$C:$C,MATCH($B520,'TRANS'!$A:$A,0)),IFERROR(INDEX('Catalog'!$B:$B,MATCH($G520,'Catalog'!$A:$A,0)),$B520))</f>
        <v>422EB XXXL</v>
      </c>
      <c r="I520" s="8" t="str">
        <f aca="false">IF($G520="","Unmatched","Matched")</f>
        <v>Unmatched</v>
      </c>
      <c r="J520" s="8" t="str">
        <f aca="false">IF($G520&lt;&gt;"",$G520,$B520)</f>
        <v>422EB XXXL</v>
      </c>
      <c r="K520" s="8" t="str">
        <f aca="false">IF(COUNTIF($M$1:$M$10,$A520)&gt;0,"Y","N")</f>
        <v>Y</v>
      </c>
    </row>
    <row r="521" customFormat="false" ht="15" hidden="false" customHeight="true" outlineLevel="0" collapsed="false">
      <c r="A521" s="8" t="s">
        <v>46</v>
      </c>
      <c r="B521" s="8" t="s">
        <v>911</v>
      </c>
      <c r="C521" s="19" t="n">
        <v>1</v>
      </c>
      <c r="D521" s="19" t="n">
        <v>52.89</v>
      </c>
      <c r="E521" s="19" t="n">
        <v>0</v>
      </c>
      <c r="F521" s="19" t="n">
        <v>0</v>
      </c>
      <c r="G521" s="8" t="n">
        <f aca="false">IFERROR(INDEX('TRANS'!$B:$B,MATCH($B521,'TRANS'!$A:$A,0)),IFERROR(INDEX('TRANS'!$B:$B,MATCH(TRIM(SUBSTITUTE($B521,CHAR(160)," ")),'TRANS'!$D:$D,0)),IFERROR(INDEX('Catalog'!$A:$A,MATCH($B521,'Catalog'!$B:$B,0)),IFERROR(INDEX('Catalog'!$A:$A,MATCH(TRIM(SUBSTITUTE($B521,CHAR(160)," ")),'Catalog'!$C:$C,0)),""))))</f>
        <v>4413108</v>
      </c>
      <c r="H521" s="8" t="str">
        <f aca="false">IFERROR(INDEX('TRANS'!$C:$C,MATCH($B521,'TRANS'!$A:$A,0)),IFERROR(INDEX('Catalog'!$B:$B,MATCH($G521,'Catalog'!$A:$A,0)),$B521))</f>
        <v>48 M מגן ברך מחמם</v>
      </c>
      <c r="I521" s="8" t="str">
        <f aca="false">IF($G521="","Unmatched","Matched")</f>
        <v>Matched</v>
      </c>
      <c r="J521" s="8" t="n">
        <f aca="false">IF($G521&lt;&gt;"",$G521,$B521)</f>
        <v>4413108</v>
      </c>
      <c r="K521" s="8" t="str">
        <f aca="false">IF(COUNTIF($M$1:$M$10,$A521)&gt;0,"Y","N")</f>
        <v>Y</v>
      </c>
    </row>
    <row r="522" customFormat="false" ht="15" hidden="false" customHeight="true" outlineLevel="0" collapsed="false">
      <c r="A522" s="8" t="s">
        <v>46</v>
      </c>
      <c r="B522" s="8" t="s">
        <v>242</v>
      </c>
      <c r="C522" s="19" t="n">
        <v>1</v>
      </c>
      <c r="D522" s="19" t="n">
        <v>120.72</v>
      </c>
      <c r="E522" s="19" t="n">
        <v>0</v>
      </c>
      <c r="F522" s="19" t="n">
        <v>0</v>
      </c>
      <c r="G522" s="8" t="str">
        <f aca="false">IFERROR(INDEX('TRANS'!$B:$B,MATCH($B522,'TRANS'!$A:$A,0)),IFERROR(INDEX('TRANS'!$B:$B,MATCH(TRIM(SUBSTITUTE($B522,CHAR(160)," ")),'TRANS'!$D:$D,0)),IFERROR(INDEX('Catalog'!$A:$A,MATCH($B522,'Catalog'!$B:$B,0)),IFERROR(INDEX('Catalog'!$A:$A,MATCH(TRIM(SUBSTITUTE($B522,CHAR(160)," ")),'Catalog'!$C:$C,0)),""))))</f>
        <v/>
      </c>
      <c r="H522" s="8" t="str">
        <f aca="false">IFERROR(INDEX('TRANS'!$C:$C,MATCH($B522,'TRANS'!$A:$A,0)),IFERROR(INDEX('Catalog'!$B:$B,MATCH($G522,'Catalog'!$A:$A,0)),$B522))</f>
        <v>49PS M</v>
      </c>
      <c r="I522" s="8" t="str">
        <f aca="false">IF($G522="","Unmatched","Matched")</f>
        <v>Unmatched</v>
      </c>
      <c r="J522" s="8" t="str">
        <f aca="false">IF($G522&lt;&gt;"",$G522,$B522)</f>
        <v>49PS M</v>
      </c>
      <c r="K522" s="8" t="str">
        <f aca="false">IF(COUNTIF($M$1:$M$10,$A522)&gt;0,"Y","N")</f>
        <v>Y</v>
      </c>
    </row>
    <row r="523" customFormat="false" ht="15" hidden="false" customHeight="true" outlineLevel="0" collapsed="false">
      <c r="A523" s="8" t="s">
        <v>46</v>
      </c>
      <c r="B523" s="8" t="s">
        <v>80</v>
      </c>
      <c r="C523" s="19" t="n">
        <v>0</v>
      </c>
      <c r="D523" s="19" t="n">
        <v>0</v>
      </c>
      <c r="E523" s="19" t="n">
        <v>1</v>
      </c>
      <c r="F523" s="19" t="n">
        <v>62.43</v>
      </c>
      <c r="G523" s="8" t="str">
        <f aca="false">IFERROR(INDEX('TRANS'!$B:$B,MATCH($B523,'TRANS'!$A:$A,0)),IFERROR(INDEX('TRANS'!$B:$B,MATCH(TRIM(SUBSTITUTE($B523,CHAR(160)," ")),'TRANS'!$D:$D,0)),IFERROR(INDEX('Catalog'!$A:$A,MATCH($B523,'Catalog'!$B:$B,0)),IFERROR(INDEX('Catalog'!$A:$A,MATCH(TRIM(SUBSTITUTE($B523,CHAR(160)," ")),'Catalog'!$C:$C,0)),""))))</f>
        <v/>
      </c>
      <c r="H523" s="8" t="str">
        <f aca="false">IFERROR(INDEX('TRANS'!$C:$C,MATCH($B523,'TRANS'!$A:$A,0)),IFERROR(INDEX('Catalog'!$B:$B,MATCH($G523,'Catalog'!$A:$A,0)),$B523))</f>
        <v>ST45X 0</v>
      </c>
      <c r="I523" s="8" t="str">
        <f aca="false">IF($G523="","Unmatched","Matched")</f>
        <v>Unmatched</v>
      </c>
      <c r="J523" s="8" t="str">
        <f aca="false">IF($G523&lt;&gt;"",$G523,$B523)</f>
        <v>ST45X 0</v>
      </c>
      <c r="K523" s="8" t="str">
        <f aca="false">IF(COUNTIF($M$1:$M$10,$A523)&gt;0,"Y","N")</f>
        <v>Y</v>
      </c>
    </row>
    <row r="524" customFormat="false" ht="15" hidden="false" customHeight="true" outlineLevel="0" collapsed="false">
      <c r="A524" s="8" t="s">
        <v>46</v>
      </c>
      <c r="B524" s="8" t="s">
        <v>912</v>
      </c>
      <c r="C524" s="19" t="n">
        <v>0</v>
      </c>
      <c r="D524" s="19" t="n">
        <v>0</v>
      </c>
      <c r="E524" s="19" t="n">
        <v>1</v>
      </c>
      <c r="F524" s="19" t="n">
        <v>63.51</v>
      </c>
      <c r="G524" s="8" t="n">
        <f aca="false">IFERROR(INDEX('TRANS'!$B:$B,MATCH($B524,'TRANS'!$A:$A,0)),IFERROR(INDEX('TRANS'!$B:$B,MATCH(TRIM(SUBSTITUTE($B524,CHAR(160)," ")),'TRANS'!$D:$D,0)),IFERROR(INDEX('Catalog'!$A:$A,MATCH($B524,'Catalog'!$B:$B,0)),IFERROR(INDEX('Catalog'!$A:$A,MATCH(TRIM(SUBSTITUTE($B524,CHAR(160)," ")),'Catalog'!$C:$C,0)),""))))</f>
        <v>4415072</v>
      </c>
      <c r="H524" s="8" t="str">
        <f aca="false">IFERROR(INDEX('TRANS'!$C:$C,MATCH($B524,'TRANS'!$A:$A,0)),IFERROR(INDEX('Catalog'!$B:$B,MATCH($G524,'Catalog'!$A:$A,0)),$B524))</f>
        <v>T28A S-M סד לאגודל</v>
      </c>
      <c r="I524" s="8" t="str">
        <f aca="false">IF($G524="","Unmatched","Matched")</f>
        <v>Matched</v>
      </c>
      <c r="J524" s="8" t="n">
        <f aca="false">IF($G524&lt;&gt;"",$G524,$B524)</f>
        <v>4415072</v>
      </c>
      <c r="K524" s="8" t="str">
        <f aca="false">IF(COUNTIF($M$1:$M$10,$A524)&gt;0,"Y","N")</f>
        <v>Y</v>
      </c>
    </row>
    <row r="525" customFormat="false" ht="15" hidden="false" customHeight="true" outlineLevel="0" collapsed="false">
      <c r="A525" s="8" t="s">
        <v>46</v>
      </c>
      <c r="B525" s="8" t="s">
        <v>333</v>
      </c>
      <c r="C525" s="19" t="n">
        <v>1</v>
      </c>
      <c r="D525" s="19" t="n">
        <v>140.56</v>
      </c>
      <c r="E525" s="19" t="n">
        <v>0</v>
      </c>
      <c r="F525" s="19" t="n">
        <v>0</v>
      </c>
      <c r="G525" s="8" t="str">
        <f aca="false">IFERROR(INDEX('TRANS'!$B:$B,MATCH($B525,'TRANS'!$A:$A,0)),IFERROR(INDEX('TRANS'!$B:$B,MATCH(TRIM(SUBSTITUTE($B525,CHAR(160)," ")),'TRANS'!$D:$D,0)),IFERROR(INDEX('Catalog'!$A:$A,MATCH($B525,'Catalog'!$B:$B,0)),IFERROR(INDEX('Catalog'!$A:$A,MATCH(TRIM(SUBSTITUTE($B525,CHAR(160)," ")),'Catalog'!$C:$C,0)),""))))</f>
        <v/>
      </c>
      <c r="H525" s="8" t="str">
        <f aca="false">IFERROR(INDEX('TRANS'!$C:$C,MATCH($B525,'TRANS'!$A:$A,0)),IFERROR(INDEX('Catalog'!$B:$B,MATCH($G525,'Catalog'!$A:$A,0)),$B525))</f>
        <v>T45 XS</v>
      </c>
      <c r="I525" s="8" t="str">
        <f aca="false">IF($G525="","Unmatched","Matched")</f>
        <v>Unmatched</v>
      </c>
      <c r="J525" s="8" t="str">
        <f aca="false">IF($G525&lt;&gt;"",$G525,$B525)</f>
        <v>T45 XS</v>
      </c>
      <c r="K525" s="8" t="str">
        <f aca="false">IF(COUNTIF($M$1:$M$10,$A525)&gt;0,"Y","N")</f>
        <v>Y</v>
      </c>
    </row>
    <row r="526" customFormat="false" ht="15" hidden="false" customHeight="true" outlineLevel="0" collapsed="false">
      <c r="A526" s="8" t="s">
        <v>44</v>
      </c>
      <c r="B526" s="8" t="s">
        <v>913</v>
      </c>
      <c r="C526" s="19" t="n">
        <v>13</v>
      </c>
      <c r="D526" s="19" t="n">
        <v>1128.44</v>
      </c>
      <c r="E526" s="19" t="n">
        <v>5</v>
      </c>
      <c r="F526" s="19" t="n">
        <v>434.5</v>
      </c>
      <c r="G526" s="8" t="n">
        <f aca="false">IFERROR(INDEX('TRANS'!$B:$B,MATCH($B526,'TRANS'!$A:$A,0)),IFERROR(INDEX('TRANS'!$B:$B,MATCH(TRIM(SUBSTITUTE($B526,CHAR(160)," ")),'TRANS'!$D:$D,0)),IFERROR(INDEX('Catalog'!$A:$A,MATCH($B526,'Catalog'!$B:$B,0)),IFERROR(INDEX('Catalog'!$A:$A,MATCH(TRIM(SUBSTITUTE($B526,CHAR(160)," ")),'Catalog'!$C:$C,0)),""))))</f>
        <v>4408135</v>
      </c>
      <c r="H526" s="8" t="str">
        <f aca="false">IFERROR(INDEX('TRANS'!$C:$C,MATCH($B526,'TRANS'!$A:$A,0)),IFERROR(INDEX('Catalog'!$B:$B,MATCH($G526,'Catalog'!$A:$A,0)),$B526))</f>
        <v>077A L-XLחגורת גב</v>
      </c>
      <c r="I526" s="8" t="str">
        <f aca="false">IF($G526="","Unmatched","Matched")</f>
        <v>Matched</v>
      </c>
      <c r="J526" s="8" t="n">
        <f aca="false">IF($G526&lt;&gt;"",$G526,$B526)</f>
        <v>4408135</v>
      </c>
      <c r="K526" s="8" t="str">
        <f aca="false">IF(COUNTIF($M$1:$M$10,$A526)&gt;0,"Y","N")</f>
        <v>Y</v>
      </c>
    </row>
    <row r="527" customFormat="false" ht="15" hidden="false" customHeight="true" outlineLevel="0" collapsed="false">
      <c r="A527" s="8" t="s">
        <v>44</v>
      </c>
      <c r="B527" s="8" t="s">
        <v>914</v>
      </c>
      <c r="C527" s="19" t="n">
        <v>10</v>
      </c>
      <c r="D527" s="19" t="n">
        <v>854.75</v>
      </c>
      <c r="E527" s="19" t="n">
        <v>2</v>
      </c>
      <c r="F527" s="19" t="n">
        <v>169.96</v>
      </c>
      <c r="G527" s="8" t="n">
        <f aca="false">IFERROR(INDEX('TRANS'!$B:$B,MATCH($B527,'TRANS'!$A:$A,0)),IFERROR(INDEX('TRANS'!$B:$B,MATCH(TRIM(SUBSTITUTE($B527,CHAR(160)," ")),'TRANS'!$D:$D,0)),IFERROR(INDEX('Catalog'!$A:$A,MATCH($B527,'Catalog'!$B:$B,0)),IFERROR(INDEX('Catalog'!$A:$A,MATCH(TRIM(SUBSTITUTE($B527,CHAR(160)," ")),'Catalog'!$C:$C,0)),""))))</f>
        <v>4408134</v>
      </c>
      <c r="H527" s="8" t="str">
        <f aca="false">IFERROR(INDEX('TRANS'!$C:$C,MATCH($B527,'TRANS'!$A:$A,0)),IFERROR(INDEX('Catalog'!$B:$B,MATCH($G527,'Catalog'!$A:$A,0)),$B527))</f>
        <v>077A S-M חגורת גב</v>
      </c>
      <c r="I527" s="8" t="str">
        <f aca="false">IF($G527="","Unmatched","Matched")</f>
        <v>Matched</v>
      </c>
      <c r="J527" s="8" t="n">
        <f aca="false">IF($G527&lt;&gt;"",$G527,$B527)</f>
        <v>4408134</v>
      </c>
      <c r="K527" s="8" t="str">
        <f aca="false">IF(COUNTIF($M$1:$M$10,$A527)&gt;0,"Y","N")</f>
        <v>Y</v>
      </c>
    </row>
    <row r="528" customFormat="false" ht="15" hidden="false" customHeight="true" outlineLevel="0" collapsed="false">
      <c r="A528" s="8" t="s">
        <v>44</v>
      </c>
      <c r="B528" s="8" t="s">
        <v>561</v>
      </c>
      <c r="C528" s="19" t="n">
        <v>88</v>
      </c>
      <c r="D528" s="19" t="n">
        <v>7620.26</v>
      </c>
      <c r="E528" s="19" t="n">
        <v>80</v>
      </c>
      <c r="F528" s="19" t="n">
        <v>7200.16</v>
      </c>
      <c r="G528" s="8" t="n">
        <f aca="false">IFERROR(INDEX('TRANS'!$B:$B,MATCH($B528,'TRANS'!$A:$A,0)),IFERROR(INDEX('TRANS'!$B:$B,MATCH(TRIM(SUBSTITUTE($B528,CHAR(160)," ")),'TRANS'!$D:$D,0)),IFERROR(INDEX('Catalog'!$A:$A,MATCH($B528,'Catalog'!$B:$B,0)),IFERROR(INDEX('Catalog'!$A:$A,MATCH(TRIM(SUBSTITUTE($B528,CHAR(160)," ")),'Catalog'!$C:$C,0)),""))))</f>
        <v>4408192</v>
      </c>
      <c r="H528" s="8" t="str">
        <f aca="false">IFERROR(INDEX('TRANS'!$C:$C,MATCH($B528,'TRANS'!$A:$A,0)),IFERROR(INDEX('Catalog'!$B:$B,MATCH($G528,'Catalog'!$A:$A,0)),$B528))</f>
        <v>078 L חגורת גב +סגירה</v>
      </c>
      <c r="I528" s="8" t="str">
        <f aca="false">IF($G528="","Unmatched","Matched")</f>
        <v>Matched</v>
      </c>
      <c r="J528" s="8" t="n">
        <f aca="false">IF($G528&lt;&gt;"",$G528,$B528)</f>
        <v>4408192</v>
      </c>
      <c r="K528" s="8" t="str">
        <f aca="false">IF(COUNTIF($M$1:$M$10,$A528)&gt;0,"Y","N")</f>
        <v>Y</v>
      </c>
    </row>
    <row r="529" customFormat="false" ht="15" hidden="false" customHeight="true" outlineLevel="0" collapsed="false">
      <c r="A529" s="8" t="s">
        <v>44</v>
      </c>
      <c r="B529" s="8" t="s">
        <v>852</v>
      </c>
      <c r="C529" s="19" t="n">
        <v>38</v>
      </c>
      <c r="D529" s="19" t="n">
        <v>3270.12</v>
      </c>
      <c r="E529" s="19" t="n">
        <v>43</v>
      </c>
      <c r="F529" s="19" t="n">
        <v>3870.1</v>
      </c>
      <c r="G529" s="8" t="n">
        <f aca="false">IFERROR(INDEX('TRANS'!$B:$B,MATCH($B529,'TRANS'!$A:$A,0)),IFERROR(INDEX('TRANS'!$B:$B,MATCH(TRIM(SUBSTITUTE($B529,CHAR(160)," ")),'TRANS'!$D:$D,0)),IFERROR(INDEX('Catalog'!$A:$A,MATCH($B529,'Catalog'!$B:$B,0)),IFERROR(INDEX('Catalog'!$A:$A,MATCH(TRIM(SUBSTITUTE($B529,CHAR(160)," ")),'Catalog'!$C:$C,0)),""))))</f>
        <v>4408190</v>
      </c>
      <c r="H529" s="8" t="str">
        <f aca="false">IFERROR(INDEX('TRANS'!$C:$C,MATCH($B529,'TRANS'!$A:$A,0)),IFERROR(INDEX('Catalog'!$B:$B,MATCH($G529,'Catalog'!$A:$A,0)),$B529))</f>
        <v>M078 חגורת גב +סגירה כפולה</v>
      </c>
      <c r="I529" s="8" t="str">
        <f aca="false">IF($G529="","Unmatched","Matched")</f>
        <v>Matched</v>
      </c>
      <c r="J529" s="8" t="n">
        <f aca="false">IF($G529&lt;&gt;"",$G529,$B529)</f>
        <v>4408190</v>
      </c>
      <c r="K529" s="8" t="str">
        <f aca="false">IF(COUNTIF($M$1:$M$10,$A529)&gt;0,"Y","N")</f>
        <v>Y</v>
      </c>
    </row>
    <row r="530" customFormat="false" ht="15" hidden="false" customHeight="true" outlineLevel="0" collapsed="false">
      <c r="A530" s="8" t="s">
        <v>44</v>
      </c>
      <c r="B530" s="8" t="s">
        <v>562</v>
      </c>
      <c r="C530" s="19" t="n">
        <v>70</v>
      </c>
      <c r="D530" s="19" t="n">
        <v>5925.2</v>
      </c>
      <c r="E530" s="19" t="n">
        <v>62</v>
      </c>
      <c r="F530" s="19" t="n">
        <v>5580.01</v>
      </c>
      <c r="G530" s="8" t="n">
        <f aca="false">IFERROR(INDEX('TRANS'!$B:$B,MATCH($B530,'TRANS'!$A:$A,0)),IFERROR(INDEX('TRANS'!$B:$B,MATCH(TRIM(SUBSTITUTE($B530,CHAR(160)," ")),'TRANS'!$D:$D,0)),IFERROR(INDEX('Catalog'!$A:$A,MATCH($B530,'Catalog'!$B:$B,0)),IFERROR(INDEX('Catalog'!$A:$A,MATCH(TRIM(SUBSTITUTE($B530,CHAR(160)," ")),'Catalog'!$C:$C,0)),""))))</f>
        <v>4408218</v>
      </c>
      <c r="H530" s="8" t="str">
        <f aca="false">IFERROR(INDEX('TRANS'!$C:$C,MATCH($B530,'TRANS'!$A:$A,0)),IFERROR(INDEX('Catalog'!$B:$B,MATCH($G530,'Catalog'!$A:$A,0)),$B530))</f>
        <v>078XL חגורת גב +סגירה כפולה</v>
      </c>
      <c r="I530" s="8" t="str">
        <f aca="false">IF($G530="","Unmatched","Matched")</f>
        <v>Matched</v>
      </c>
      <c r="J530" s="8" t="n">
        <f aca="false">IF($G530&lt;&gt;"",$G530,$B530)</f>
        <v>4408218</v>
      </c>
      <c r="K530" s="8" t="str">
        <f aca="false">IF(COUNTIF($M$1:$M$10,$A530)&gt;0,"Y","N")</f>
        <v>Y</v>
      </c>
    </row>
    <row r="531" customFormat="false" ht="15" hidden="false" customHeight="true" outlineLevel="0" collapsed="false">
      <c r="A531" s="8" t="s">
        <v>44</v>
      </c>
      <c r="B531" s="8" t="s">
        <v>854</v>
      </c>
      <c r="C531" s="19" t="n">
        <v>37</v>
      </c>
      <c r="D531" s="19" t="n">
        <v>3240.13</v>
      </c>
      <c r="E531" s="19" t="n">
        <v>24</v>
      </c>
      <c r="F531" s="19" t="n">
        <v>2160.02</v>
      </c>
      <c r="G531" s="8" t="n">
        <f aca="false">IFERROR(INDEX('TRANS'!$B:$B,MATCH($B531,'TRANS'!$A:$A,0)),IFERROR(INDEX('TRANS'!$B:$B,MATCH(TRIM(SUBSTITUTE($B531,CHAR(160)," ")),'TRANS'!$D:$D,0)),IFERROR(INDEX('Catalog'!$A:$A,MATCH($B531,'Catalog'!$B:$B,0)),IFERROR(INDEX('Catalog'!$A:$A,MATCH(TRIM(SUBSTITUTE($B531,CHAR(160)," ")),'Catalog'!$C:$C,0)),""))))</f>
        <v>4408265</v>
      </c>
      <c r="H531" s="8" t="str">
        <f aca="false">IFERROR(INDEX('TRANS'!$C:$C,MATCH($B531,'TRANS'!$A:$A,0)),IFERROR(INDEX('Catalog'!$B:$B,MATCH($G531,'Catalog'!$A:$A,0)),$B531))</f>
        <v>078XXL חגורת גב +סגירה כפולה</v>
      </c>
      <c r="I531" s="8" t="str">
        <f aca="false">IF($G531="","Unmatched","Matched")</f>
        <v>Matched</v>
      </c>
      <c r="J531" s="8" t="n">
        <f aca="false">IF($G531&lt;&gt;"",$G531,$B531)</f>
        <v>4408265</v>
      </c>
      <c r="K531" s="8" t="str">
        <f aca="false">IF(COUNTIF($M$1:$M$10,$A531)&gt;0,"Y","N")</f>
        <v>Y</v>
      </c>
    </row>
    <row r="532" customFormat="false" ht="15" hidden="false" customHeight="true" outlineLevel="0" collapsed="false">
      <c r="A532" s="8" t="s">
        <v>44</v>
      </c>
      <c r="B532" s="8" t="s">
        <v>775</v>
      </c>
      <c r="C532" s="19" t="n">
        <v>29</v>
      </c>
      <c r="D532" s="19" t="n">
        <v>2936.67</v>
      </c>
      <c r="E532" s="19" t="n">
        <v>14</v>
      </c>
      <c r="F532" s="19" t="n">
        <v>1886.27</v>
      </c>
      <c r="G532" s="8" t="n">
        <f aca="false">IFERROR(INDEX('TRANS'!$B:$B,MATCH($B532,'TRANS'!$A:$A,0)),IFERROR(INDEX('TRANS'!$B:$B,MATCH(TRIM(SUBSTITUTE($B532,CHAR(160)," ")),'TRANS'!$D:$D,0)),IFERROR(INDEX('Catalog'!$A:$A,MATCH($B532,'Catalog'!$B:$B,0)),IFERROR(INDEX('Catalog'!$A:$A,MATCH(TRIM(SUBSTITUTE($B532,CHAR(160)," ")),'Catalog'!$C:$C,0)),""))))</f>
        <v>4408221</v>
      </c>
      <c r="H532" s="8" t="str">
        <f aca="false">IFERROR(INDEX('TRANS'!$C:$C,MATCH($B532,'TRANS'!$A:$A,0)),IFERROR(INDEX('Catalog'!$B:$B,MATCH($G532,'Catalog'!$A:$A,0)),$B532))</f>
        <v>078G-L חגורת גב אפורה</v>
      </c>
      <c r="I532" s="8" t="str">
        <f aca="false">IF($G532="","Unmatched","Matched")</f>
        <v>Matched</v>
      </c>
      <c r="J532" s="8" t="n">
        <f aca="false">IF($G532&lt;&gt;"",$G532,$B532)</f>
        <v>4408221</v>
      </c>
      <c r="K532" s="8" t="str">
        <f aca="false">IF(COUNTIF($M$1:$M$10,$A532)&gt;0,"Y","N")</f>
        <v>Y</v>
      </c>
    </row>
    <row r="533" customFormat="false" ht="15" hidden="false" customHeight="true" outlineLevel="0" collapsed="false">
      <c r="A533" s="8" t="s">
        <v>44</v>
      </c>
      <c r="B533" s="8" t="s">
        <v>563</v>
      </c>
      <c r="C533" s="19" t="n">
        <v>17</v>
      </c>
      <c r="D533" s="19" t="n">
        <v>1780.65</v>
      </c>
      <c r="E533" s="19" t="n">
        <v>-3</v>
      </c>
      <c r="F533" s="19" t="n">
        <v>-43.5100000000001</v>
      </c>
      <c r="G533" s="8" t="n">
        <f aca="false">IFERROR(INDEX('TRANS'!$B:$B,MATCH($B533,'TRANS'!$A:$A,0)),IFERROR(INDEX('TRANS'!$B:$B,MATCH(TRIM(SUBSTITUTE($B533,CHAR(160)," ")),'TRANS'!$D:$D,0)),IFERROR(INDEX('Catalog'!$A:$A,MATCH($B533,'Catalog'!$B:$B,0)),IFERROR(INDEX('Catalog'!$A:$A,MATCH(TRIM(SUBSTITUTE($B533,CHAR(160)," ")),'Catalog'!$C:$C,0)),""))))</f>
        <v>4408220</v>
      </c>
      <c r="H533" s="8" t="str">
        <f aca="false">IFERROR(INDEX('TRANS'!$C:$C,MATCH($B533,'TRANS'!$A:$A,0)),IFERROR(INDEX('Catalog'!$B:$B,MATCH($G533,'Catalog'!$A:$A,0)),$B533))</f>
        <v>078G-M חגורת גב אפורה</v>
      </c>
      <c r="I533" s="8" t="str">
        <f aca="false">IF($G533="","Unmatched","Matched")</f>
        <v>Matched</v>
      </c>
      <c r="J533" s="8" t="n">
        <f aca="false">IF($G533&lt;&gt;"",$G533,$B533)</f>
        <v>4408220</v>
      </c>
      <c r="K533" s="8" t="str">
        <f aca="false">IF(COUNTIF($M$1:$M$10,$A533)&gt;0,"Y","N")</f>
        <v>Y</v>
      </c>
    </row>
    <row r="534" customFormat="false" ht="15" hidden="false" customHeight="true" outlineLevel="0" collapsed="false">
      <c r="A534" s="8" t="s">
        <v>44</v>
      </c>
      <c r="B534" s="8" t="s">
        <v>776</v>
      </c>
      <c r="C534" s="19" t="n">
        <v>59</v>
      </c>
      <c r="D534" s="19" t="n">
        <v>5869.12</v>
      </c>
      <c r="E534" s="19" t="n">
        <v>7</v>
      </c>
      <c r="F534" s="19" t="n">
        <v>943.1</v>
      </c>
      <c r="G534" s="8" t="n">
        <f aca="false">IFERROR(INDEX('TRANS'!$B:$B,MATCH($B534,'TRANS'!$A:$A,0)),IFERROR(INDEX('TRANS'!$B:$B,MATCH(TRIM(SUBSTITUTE($B534,CHAR(160)," ")),'TRANS'!$D:$D,0)),IFERROR(INDEX('Catalog'!$A:$A,MATCH($B534,'Catalog'!$B:$B,0)),IFERROR(INDEX('Catalog'!$A:$A,MATCH(TRIM(SUBSTITUTE($B534,CHAR(160)," ")),'Catalog'!$C:$C,0)),""))))</f>
        <v>4408222</v>
      </c>
      <c r="H534" s="8" t="str">
        <f aca="false">IFERROR(INDEX('TRANS'!$C:$C,MATCH($B534,'TRANS'!$A:$A,0)),IFERROR(INDEX('Catalog'!$B:$B,MATCH($G534,'Catalog'!$A:$A,0)),$B534))</f>
        <v>078G-XLחגורת גב אפורה</v>
      </c>
      <c r="I534" s="8" t="str">
        <f aca="false">IF($G534="","Unmatched","Matched")</f>
        <v>Matched</v>
      </c>
      <c r="J534" s="8" t="n">
        <f aca="false">IF($G534&lt;&gt;"",$G534,$B534)</f>
        <v>4408222</v>
      </c>
      <c r="K534" s="8" t="str">
        <f aca="false">IF(COUNTIF($M$1:$M$10,$A534)&gt;0,"Y","N")</f>
        <v>Y</v>
      </c>
    </row>
    <row r="535" customFormat="false" ht="15" hidden="false" customHeight="true" outlineLevel="0" collapsed="false">
      <c r="A535" s="8" t="s">
        <v>44</v>
      </c>
      <c r="B535" s="8" t="s">
        <v>777</v>
      </c>
      <c r="C535" s="19" t="n">
        <v>14</v>
      </c>
      <c r="D535" s="19" t="n">
        <v>1409.75</v>
      </c>
      <c r="E535" s="19" t="n">
        <v>4</v>
      </c>
      <c r="F535" s="19" t="n">
        <v>468.54</v>
      </c>
      <c r="G535" s="8" t="n">
        <f aca="false">IFERROR(INDEX('TRANS'!$B:$B,MATCH($B535,'TRANS'!$A:$A,0)),IFERROR(INDEX('TRANS'!$B:$B,MATCH(TRIM(SUBSTITUTE($B535,CHAR(160)," ")),'TRANS'!$D:$D,0)),IFERROR(INDEX('Catalog'!$A:$A,MATCH($B535,'Catalog'!$B:$B,0)),IFERROR(INDEX('Catalog'!$A:$A,MATCH(TRIM(SUBSTITUTE($B535,CHAR(160)," ")),'Catalog'!$C:$C,0)),""))))</f>
        <v>4408223</v>
      </c>
      <c r="H535" s="8" t="str">
        <f aca="false">IFERROR(INDEX('TRANS'!$C:$C,MATCH($B535,'TRANS'!$A:$A,0)),IFERROR(INDEX('Catalog'!$B:$B,MATCH($G535,'Catalog'!$A:$A,0)),$B535))</f>
        <v>078G-XXLחגורת גב אפורה</v>
      </c>
      <c r="I535" s="8" t="str">
        <f aca="false">IF($G535="","Unmatched","Matched")</f>
        <v>Matched</v>
      </c>
      <c r="J535" s="8" t="n">
        <f aca="false">IF($G535&lt;&gt;"",$G535,$B535)</f>
        <v>4408223</v>
      </c>
      <c r="K535" s="8" t="str">
        <f aca="false">IF(COUNTIF($M$1:$M$10,$A535)&gt;0,"Y","N")</f>
        <v>Y</v>
      </c>
    </row>
    <row r="536" customFormat="false" ht="15" hidden="false" customHeight="true" outlineLevel="0" collapsed="false">
      <c r="A536" s="8" t="s">
        <v>44</v>
      </c>
      <c r="B536" s="8" t="s">
        <v>860</v>
      </c>
      <c r="C536" s="19" t="n">
        <v>20</v>
      </c>
      <c r="D536" s="19" t="n">
        <v>1800.3</v>
      </c>
      <c r="E536" s="19" t="n">
        <v>3</v>
      </c>
      <c r="F536" s="19" t="n">
        <v>270</v>
      </c>
      <c r="G536" s="8" t="n">
        <f aca="false">IFERROR(INDEX('TRANS'!$B:$B,MATCH($B536,'TRANS'!$A:$A,0)),IFERROR(INDEX('TRANS'!$B:$B,MATCH(TRIM(SUBSTITUTE($B536,CHAR(160)," ")),'TRANS'!$D:$D,0)),IFERROR(INDEX('Catalog'!$A:$A,MATCH($B536,'Catalog'!$B:$B,0)),IFERROR(INDEX('Catalog'!$A:$A,MATCH(TRIM(SUBSTITUTE($B536,CHAR(160)," ")),'Catalog'!$C:$C,0)),""))))</f>
        <v>4411026</v>
      </c>
      <c r="H536" s="8" t="str">
        <f aca="false">IFERROR(INDEX('TRANS'!$C:$C,MATCH($B536,'TRANS'!$A:$A,0)),IFERROR(INDEX('Catalog'!$B:$B,MATCH($G536,'Catalog'!$A:$A,0)),$B536))</f>
        <v>213CTSL L שמאל CTS כפפות</v>
      </c>
      <c r="I536" s="8" t="str">
        <f aca="false">IF($G536="","Unmatched","Matched")</f>
        <v>Matched</v>
      </c>
      <c r="J536" s="8" t="n">
        <f aca="false">IF($G536&lt;&gt;"",$G536,$B536)</f>
        <v>4411026</v>
      </c>
      <c r="K536" s="8" t="str">
        <f aca="false">IF(COUNTIF($M$1:$M$10,$A536)&gt;0,"Y","N")</f>
        <v>Y</v>
      </c>
    </row>
    <row r="537" customFormat="false" ht="15" hidden="false" customHeight="true" outlineLevel="0" collapsed="false">
      <c r="A537" s="8" t="s">
        <v>44</v>
      </c>
      <c r="B537" s="8" t="s">
        <v>861</v>
      </c>
      <c r="C537" s="19" t="n">
        <v>23</v>
      </c>
      <c r="D537" s="19" t="n">
        <v>2070.3</v>
      </c>
      <c r="E537" s="19" t="n">
        <v>9</v>
      </c>
      <c r="F537" s="19" t="n">
        <v>810</v>
      </c>
      <c r="G537" s="8" t="n">
        <f aca="false">IFERROR(INDEX('TRANS'!$B:$B,MATCH($B537,'TRANS'!$A:$A,0)),IFERROR(INDEX('TRANS'!$B:$B,MATCH(TRIM(SUBSTITUTE($B537,CHAR(160)," ")),'TRANS'!$D:$D,0)),IFERROR(INDEX('Catalog'!$A:$A,MATCH($B537,'Catalog'!$B:$B,0)),IFERROR(INDEX('Catalog'!$A:$A,MATCH(TRIM(SUBSTITUTE($B537,CHAR(160)," ")),'Catalog'!$C:$C,0)),""))))</f>
        <v>4411027</v>
      </c>
      <c r="H537" s="8" t="str">
        <f aca="false">IFERROR(INDEX('TRANS'!$C:$C,MATCH($B537,'TRANS'!$A:$A,0)),IFERROR(INDEX('Catalog'!$B:$B,MATCH($G537,'Catalog'!$A:$A,0)),$B537))</f>
        <v>213CTSL M שמאל CTS כפפות</v>
      </c>
      <c r="I537" s="8" t="str">
        <f aca="false">IF($G537="","Unmatched","Matched")</f>
        <v>Matched</v>
      </c>
      <c r="J537" s="8" t="n">
        <f aca="false">IF($G537&lt;&gt;"",$G537,$B537)</f>
        <v>4411027</v>
      </c>
      <c r="K537" s="8" t="str">
        <f aca="false">IF(COUNTIF($M$1:$M$10,$A537)&gt;0,"Y","N")</f>
        <v>Y</v>
      </c>
    </row>
    <row r="538" customFormat="false" ht="15" hidden="false" customHeight="true" outlineLevel="0" collapsed="false">
      <c r="A538" s="8" t="s">
        <v>44</v>
      </c>
      <c r="B538" s="8" t="s">
        <v>862</v>
      </c>
      <c r="C538" s="19" t="n">
        <v>15</v>
      </c>
      <c r="D538" s="19" t="n">
        <v>1350.3</v>
      </c>
      <c r="E538" s="19" t="n">
        <v>7</v>
      </c>
      <c r="F538" s="19" t="n">
        <v>630</v>
      </c>
      <c r="G538" s="8" t="n">
        <f aca="false">IFERROR(INDEX('TRANS'!$B:$B,MATCH($B538,'TRANS'!$A:$A,0)),IFERROR(INDEX('TRANS'!$B:$B,MATCH(TRIM(SUBSTITUTE($B538,CHAR(160)," ")),'TRANS'!$D:$D,0)),IFERROR(INDEX('Catalog'!$A:$A,MATCH($B538,'Catalog'!$B:$B,0)),IFERROR(INDEX('Catalog'!$A:$A,MATCH(TRIM(SUBSTITUTE($B538,CHAR(160)," ")),'Catalog'!$C:$C,0)),""))))</f>
        <v>4411028</v>
      </c>
      <c r="H538" s="8" t="str">
        <f aca="false">IFERROR(INDEX('TRANS'!$C:$C,MATCH($B538,'TRANS'!$A:$A,0)),IFERROR(INDEX('Catalog'!$B:$B,MATCH($G538,'Catalog'!$A:$A,0)),$B538))</f>
        <v>213CTSL S שמאל CTS כפפות</v>
      </c>
      <c r="I538" s="8" t="str">
        <f aca="false">IF($G538="","Unmatched","Matched")</f>
        <v>Matched</v>
      </c>
      <c r="J538" s="8" t="n">
        <f aca="false">IF($G538&lt;&gt;"",$G538,$B538)</f>
        <v>4411028</v>
      </c>
      <c r="K538" s="8" t="str">
        <f aca="false">IF(COUNTIF($M$1:$M$10,$A538)&gt;0,"Y","N")</f>
        <v>Y</v>
      </c>
    </row>
    <row r="539" customFormat="false" ht="15" hidden="false" customHeight="true" outlineLevel="0" collapsed="false">
      <c r="A539" s="8" t="s">
        <v>44</v>
      </c>
      <c r="B539" s="8" t="s">
        <v>863</v>
      </c>
      <c r="C539" s="19" t="n">
        <v>22</v>
      </c>
      <c r="D539" s="19" t="n">
        <v>1980.3</v>
      </c>
      <c r="E539" s="19" t="n">
        <v>4</v>
      </c>
      <c r="F539" s="19" t="n">
        <v>360</v>
      </c>
      <c r="G539" s="8" t="n">
        <f aca="false">IFERROR(INDEX('TRANS'!$B:$B,MATCH($B539,'TRANS'!$A:$A,0)),IFERROR(INDEX('TRANS'!$B:$B,MATCH(TRIM(SUBSTITUTE($B539,CHAR(160)," ")),'TRANS'!$D:$D,0)),IFERROR(INDEX('Catalog'!$A:$A,MATCH($B539,'Catalog'!$B:$B,0)),IFERROR(INDEX('Catalog'!$A:$A,MATCH(TRIM(SUBSTITUTE($B539,CHAR(160)," ")),'Catalog'!$C:$C,0)),""))))</f>
        <v>4411029</v>
      </c>
      <c r="H539" s="8" t="str">
        <f aca="false">IFERROR(INDEX('TRANS'!$C:$C,MATCH($B539,'TRANS'!$A:$A,0)),IFERROR(INDEX('Catalog'!$B:$B,MATCH($G539,'Catalog'!$A:$A,0)),$B539))</f>
        <v>213CTSR L ימין CTS כפפות</v>
      </c>
      <c r="I539" s="8" t="str">
        <f aca="false">IF($G539="","Unmatched","Matched")</f>
        <v>Matched</v>
      </c>
      <c r="J539" s="8" t="n">
        <f aca="false">IF($G539&lt;&gt;"",$G539,$B539)</f>
        <v>4411029</v>
      </c>
      <c r="K539" s="8" t="str">
        <f aca="false">IF(COUNTIF($M$1:$M$10,$A539)&gt;0,"Y","N")</f>
        <v>Y</v>
      </c>
    </row>
    <row r="540" customFormat="false" ht="15" hidden="false" customHeight="true" outlineLevel="0" collapsed="false">
      <c r="A540" s="8" t="s">
        <v>44</v>
      </c>
      <c r="B540" s="8" t="s">
        <v>864</v>
      </c>
      <c r="C540" s="19" t="n">
        <v>24</v>
      </c>
      <c r="D540" s="19" t="n">
        <v>2160.3</v>
      </c>
      <c r="E540" s="19" t="n">
        <v>9</v>
      </c>
      <c r="F540" s="19" t="n">
        <v>810</v>
      </c>
      <c r="G540" s="8" t="n">
        <f aca="false">IFERROR(INDEX('TRANS'!$B:$B,MATCH($B540,'TRANS'!$A:$A,0)),IFERROR(INDEX('TRANS'!$B:$B,MATCH(TRIM(SUBSTITUTE($B540,CHAR(160)," ")),'TRANS'!$D:$D,0)),IFERROR(INDEX('Catalog'!$A:$A,MATCH($B540,'Catalog'!$B:$B,0)),IFERROR(INDEX('Catalog'!$A:$A,MATCH(TRIM(SUBSTITUTE($B540,CHAR(160)," ")),'Catalog'!$C:$C,0)),""))))</f>
        <v>4411030</v>
      </c>
      <c r="H540" s="8" t="str">
        <f aca="false">IFERROR(INDEX('TRANS'!$C:$C,MATCH($B540,'TRANS'!$A:$A,0)),IFERROR(INDEX('Catalog'!$B:$B,MATCH($G540,'Catalog'!$A:$A,0)),$B540))</f>
        <v>213CTSR M ימין CTS כפפות</v>
      </c>
      <c r="I540" s="8" t="str">
        <f aca="false">IF($G540="","Unmatched","Matched")</f>
        <v>Matched</v>
      </c>
      <c r="J540" s="8" t="n">
        <f aca="false">IF($G540&lt;&gt;"",$G540,$B540)</f>
        <v>4411030</v>
      </c>
      <c r="K540" s="8" t="str">
        <f aca="false">IF(COUNTIF($M$1:$M$10,$A540)&gt;0,"Y","N")</f>
        <v>Y</v>
      </c>
    </row>
    <row r="541" customFormat="false" ht="15" hidden="false" customHeight="true" outlineLevel="0" collapsed="false">
      <c r="A541" s="8" t="s">
        <v>44</v>
      </c>
      <c r="B541" s="8" t="s">
        <v>865</v>
      </c>
      <c r="C541" s="19" t="n">
        <v>17</v>
      </c>
      <c r="D541" s="19" t="n">
        <v>1530.3</v>
      </c>
      <c r="E541" s="19" t="n">
        <v>12</v>
      </c>
      <c r="F541" s="19" t="n">
        <v>1080.01</v>
      </c>
      <c r="G541" s="8" t="n">
        <f aca="false">IFERROR(INDEX('TRANS'!$B:$B,MATCH($B541,'TRANS'!$A:$A,0)),IFERROR(INDEX('TRANS'!$B:$B,MATCH(TRIM(SUBSTITUTE($B541,CHAR(160)," ")),'TRANS'!$D:$D,0)),IFERROR(INDEX('Catalog'!$A:$A,MATCH($B541,'Catalog'!$B:$B,0)),IFERROR(INDEX('Catalog'!$A:$A,MATCH(TRIM(SUBSTITUTE($B541,CHAR(160)," ")),'Catalog'!$C:$C,0)),""))))</f>
        <v>4411031</v>
      </c>
      <c r="H541" s="8" t="str">
        <f aca="false">IFERROR(INDEX('TRANS'!$C:$C,MATCH($B541,'TRANS'!$A:$A,0)),IFERROR(INDEX('Catalog'!$B:$B,MATCH($G541,'Catalog'!$A:$A,0)),$B541))</f>
        <v>213CTS  S ימין CTS כפפות</v>
      </c>
      <c r="I541" s="8" t="str">
        <f aca="false">IF($G541="","Unmatched","Matched")</f>
        <v>Matched</v>
      </c>
      <c r="J541" s="8" t="n">
        <f aca="false">IF($G541&lt;&gt;"",$G541,$B541)</f>
        <v>4411031</v>
      </c>
      <c r="K541" s="8" t="str">
        <f aca="false">IF(COUNTIF($M$1:$M$10,$A541)&gt;0,"Y","N")</f>
        <v>Y</v>
      </c>
    </row>
    <row r="542" customFormat="false" ht="15" hidden="false" customHeight="true" outlineLevel="0" collapsed="false">
      <c r="A542" s="8" t="s">
        <v>44</v>
      </c>
      <c r="B542" s="8" t="s">
        <v>583</v>
      </c>
      <c r="C542" s="19" t="n">
        <v>20</v>
      </c>
      <c r="D542" s="19" t="n">
        <v>600.13</v>
      </c>
      <c r="E542" s="19" t="n">
        <v>27</v>
      </c>
      <c r="F542" s="19" t="n">
        <v>821.34</v>
      </c>
      <c r="G542" s="8" t="n">
        <f aca="false">IFERROR(INDEX('TRANS'!$B:$B,MATCH($B542,'TRANS'!$A:$A,0)),IFERROR(INDEX('TRANS'!$B:$B,MATCH(TRIM(SUBSTITUTE($B542,CHAR(160)," ")),'TRANS'!$D:$D,0)),IFERROR(INDEX('Catalog'!$A:$A,MATCH($B542,'Catalog'!$B:$B,0)),IFERROR(INDEX('Catalog'!$A:$A,MATCH(TRIM(SUBSTITUTE($B542,CHAR(160)," ")),'Catalog'!$C:$C,0)),""))))</f>
        <v>4415029</v>
      </c>
      <c r="H542" s="8" t="str">
        <f aca="false">IFERROR(INDEX('TRANS'!$C:$C,MATCH($B542,'TRANS'!$A:$A,0)),IFERROR(INDEX('Catalog'!$B:$B,MATCH($G542,'Catalog'!$A:$A,0)),$B542))</f>
        <v>סד קיבוע לאצבע הדק</v>
      </c>
      <c r="I542" s="8" t="str">
        <f aca="false">IF($G542="","Unmatched","Matched")</f>
        <v>Matched</v>
      </c>
      <c r="J542" s="8" t="n">
        <f aca="false">IF($G542&lt;&gt;"",$G542,$B542)</f>
        <v>4415029</v>
      </c>
      <c r="K542" s="8" t="str">
        <f aca="false">IF(COUNTIF($M$1:$M$10,$A542)&gt;0,"Y","N")</f>
        <v>Y</v>
      </c>
    </row>
    <row r="543" customFormat="false" ht="15" hidden="false" customHeight="true" outlineLevel="0" collapsed="false">
      <c r="A543" s="8" t="s">
        <v>44</v>
      </c>
      <c r="B543" s="8" t="s">
        <v>592</v>
      </c>
      <c r="C543" s="19" t="n">
        <v>62</v>
      </c>
      <c r="D543" s="19" t="n">
        <v>3632.56</v>
      </c>
      <c r="E543" s="19" t="n">
        <v>52</v>
      </c>
      <c r="F543" s="19" t="n">
        <v>3137.43</v>
      </c>
      <c r="G543" s="8" t="n">
        <f aca="false">IFERROR(INDEX('TRANS'!$B:$B,MATCH($B543,'TRANS'!$A:$A,0)),IFERROR(INDEX('TRANS'!$B:$B,MATCH(TRIM(SUBSTITUTE($B543,CHAR(160)," ")),'TRANS'!$D:$D,0)),IFERROR(INDEX('Catalog'!$A:$A,MATCH($B543,'Catalog'!$B:$B,0)),IFERROR(INDEX('Catalog'!$A:$A,MATCH(TRIM(SUBSTITUTE($B543,CHAR(160)," ")),'Catalog'!$C:$C,0)),""))))</f>
        <v>4415158</v>
      </c>
      <c r="H543" s="8" t="str">
        <f aca="false">IFERROR(INDEX('TRANS'!$C:$C,MATCH($B543,'TRANS'!$A:$A,0)),IFERROR(INDEX('Catalog'!$B:$B,MATCH($G543,'Catalog'!$A:$A,0)),$B543))</f>
        <v>266 סד ליד דו צדדי</v>
      </c>
      <c r="I543" s="8" t="str">
        <f aca="false">IF($G543="","Unmatched","Matched")</f>
        <v>Matched</v>
      </c>
      <c r="J543" s="8" t="n">
        <f aca="false">IF($G543&lt;&gt;"",$G543,$B543)</f>
        <v>4415158</v>
      </c>
      <c r="K543" s="8" t="str">
        <f aca="false">IF(COUNTIF($M$1:$M$10,$A543)&gt;0,"Y","N")</f>
        <v>Y</v>
      </c>
    </row>
    <row r="544" customFormat="false" ht="15" hidden="false" customHeight="true" outlineLevel="0" collapsed="false">
      <c r="A544" s="8" t="s">
        <v>44</v>
      </c>
      <c r="B544" s="8" t="s">
        <v>910</v>
      </c>
      <c r="C544" s="19" t="n">
        <v>26</v>
      </c>
      <c r="D544" s="19" t="n">
        <v>1170.25</v>
      </c>
      <c r="E544" s="19" t="n">
        <v>14</v>
      </c>
      <c r="F544" s="19" t="n">
        <v>649.25</v>
      </c>
      <c r="G544" s="8" t="n">
        <f aca="false">IFERROR(INDEX('TRANS'!$B:$B,MATCH($B544,'TRANS'!$A:$A,0)),IFERROR(INDEX('TRANS'!$B:$B,MATCH(TRIM(SUBSTITUTE($B544,CHAR(160)," ")),'TRANS'!$D:$D,0)),IFERROR(INDEX('Catalog'!$A:$A,MATCH($B544,'Catalog'!$B:$B,0)),IFERROR(INDEX('Catalog'!$A:$A,MATCH(TRIM(SUBSTITUTE($B544,CHAR(160)," ")),'Catalog'!$C:$C,0)),""))))</f>
        <v>4413043</v>
      </c>
      <c r="H544" s="8" t="str">
        <f aca="false">IFERROR(INDEX('TRANS'!$C:$C,MATCH($B544,'TRANS'!$A:$A,0)),IFERROR(INDEX('Catalog'!$B:$B,MATCH($G544,'Catalog'!$A:$A,0)),$B544))</f>
        <v>34  L מגן קרסול עקב סגור</v>
      </c>
      <c r="I544" s="8" t="str">
        <f aca="false">IF($G544="","Unmatched","Matched")</f>
        <v>Matched</v>
      </c>
      <c r="J544" s="8" t="n">
        <f aca="false">IF($G544&lt;&gt;"",$G544,$B544)</f>
        <v>4413043</v>
      </c>
      <c r="K544" s="8" t="str">
        <f aca="false">IF(COUNTIF($M$1:$M$10,$A544)&gt;0,"Y","N")</f>
        <v>Y</v>
      </c>
    </row>
    <row r="545" customFormat="false" ht="15" hidden="false" customHeight="true" outlineLevel="0" collapsed="false">
      <c r="A545" s="8" t="s">
        <v>44</v>
      </c>
      <c r="B545" s="8" t="s">
        <v>915</v>
      </c>
      <c r="C545" s="19" t="n">
        <v>20</v>
      </c>
      <c r="D545" s="19" t="n">
        <v>900.62</v>
      </c>
      <c r="E545" s="19" t="n">
        <v>12</v>
      </c>
      <c r="F545" s="19" t="n">
        <v>561.87</v>
      </c>
      <c r="G545" s="8" t="n">
        <f aca="false">IFERROR(INDEX('TRANS'!$B:$B,MATCH($B545,'TRANS'!$A:$A,0)),IFERROR(INDEX('TRANS'!$B:$B,MATCH(TRIM(SUBSTITUTE($B545,CHAR(160)," ")),'TRANS'!$D:$D,0)),IFERROR(INDEX('Catalog'!$A:$A,MATCH($B545,'Catalog'!$B:$B,0)),IFERROR(INDEX('Catalog'!$A:$A,MATCH(TRIM(SUBSTITUTE($B545,CHAR(160)," ")),'Catalog'!$C:$C,0)),""))))</f>
        <v>4413041</v>
      </c>
      <c r="H545" s="8" t="str">
        <f aca="false">IFERROR(INDEX('TRANS'!$C:$C,MATCH($B545,'TRANS'!$A:$A,0)),IFERROR(INDEX('Catalog'!$B:$B,MATCH($G545,'Catalog'!$A:$A,0)),$B545))</f>
        <v>34  M מגן קרסול עקב סגור</v>
      </c>
      <c r="I545" s="8" t="str">
        <f aca="false">IF($G545="","Unmatched","Matched")</f>
        <v>Matched</v>
      </c>
      <c r="J545" s="8" t="n">
        <f aca="false">IF($G545&lt;&gt;"",$G545,$B545)</f>
        <v>4413041</v>
      </c>
      <c r="K545" s="8" t="str">
        <f aca="false">IF(COUNTIF($M$1:$M$10,$A545)&gt;0,"Y","N")</f>
        <v>Y</v>
      </c>
    </row>
    <row r="546" customFormat="false" ht="15" hidden="false" customHeight="true" outlineLevel="0" collapsed="false">
      <c r="A546" s="8" t="s">
        <v>44</v>
      </c>
      <c r="B546" s="8" t="s">
        <v>916</v>
      </c>
      <c r="C546" s="19" t="n">
        <v>17</v>
      </c>
      <c r="D546" s="19" t="n">
        <v>778.65</v>
      </c>
      <c r="E546" s="19" t="n">
        <v>5</v>
      </c>
      <c r="F546" s="19" t="n">
        <v>227.86</v>
      </c>
      <c r="G546" s="8" t="n">
        <f aca="false">IFERROR(INDEX('TRANS'!$B:$B,MATCH($B546,'TRANS'!$A:$A,0)),IFERROR(INDEX('TRANS'!$B:$B,MATCH(TRIM(SUBSTITUTE($B546,CHAR(160)," ")),'TRANS'!$D:$D,0)),IFERROR(INDEX('Catalog'!$A:$A,MATCH($B546,'Catalog'!$B:$B,0)),IFERROR(INDEX('Catalog'!$A:$A,MATCH(TRIM(SUBSTITUTE($B546,CHAR(160)," ")),'Catalog'!$C:$C,0)),""))))</f>
        <v>4413044</v>
      </c>
      <c r="H546" s="8" t="str">
        <f aca="false">IFERROR(INDEX('TRANS'!$C:$C,MATCH($B546,'TRANS'!$A:$A,0)),IFERROR(INDEX('Catalog'!$B:$B,MATCH($G546,'Catalog'!$A:$A,0)),$B546))</f>
        <v>34 XL מגן קרסול עקב סגור</v>
      </c>
      <c r="I546" s="8" t="str">
        <f aca="false">IF($G546="","Unmatched","Matched")</f>
        <v>Matched</v>
      </c>
      <c r="J546" s="8" t="n">
        <f aca="false">IF($G546&lt;&gt;"",$G546,$B546)</f>
        <v>4413044</v>
      </c>
      <c r="K546" s="8" t="str">
        <f aca="false">IF(COUNTIF($M$1:$M$10,$A546)&gt;0,"Y","N")</f>
        <v>Y</v>
      </c>
    </row>
    <row r="547" customFormat="false" ht="15" hidden="false" customHeight="true" outlineLevel="0" collapsed="false">
      <c r="A547" s="8" t="s">
        <v>44</v>
      </c>
      <c r="B547" s="8" t="s">
        <v>633</v>
      </c>
      <c r="C547" s="19" t="n">
        <v>193</v>
      </c>
      <c r="D547" s="19" t="n">
        <v>3544.33</v>
      </c>
      <c r="E547" s="19" t="n">
        <v>214</v>
      </c>
      <c r="F547" s="19" t="n">
        <v>3965.46</v>
      </c>
      <c r="G547" s="8" t="n">
        <f aca="false">IFERROR(INDEX('TRANS'!$B:$B,MATCH($B547,'TRANS'!$A:$A,0)),IFERROR(INDEX('TRANS'!$B:$B,MATCH(TRIM(SUBSTITUTE($B547,CHAR(160)," ")),'TRANS'!$D:$D,0)),IFERROR(INDEX('Catalog'!$A:$A,MATCH($B547,'Catalog'!$B:$B,0)),IFERROR(INDEX('Catalog'!$A:$A,MATCH(TRIM(SUBSTITUTE($B547,CHAR(160)," ")),'Catalog'!$C:$C,0)),""))))</f>
        <v>4421000</v>
      </c>
      <c r="H547" s="8" t="str">
        <f aca="false">IFERROR(INDEX('TRANS'!$C:$C,MATCH($B547,'TRANS'!$A:$A,0)),IFERROR(INDEX('Catalog'!$B:$B,MATCH($G547,'Catalog'!$A:$A,0)),$B547))</f>
        <v>3655 שרוול מסיליקון לאצבע</v>
      </c>
      <c r="I547" s="8" t="str">
        <f aca="false">IF($G547="","Unmatched","Matched")</f>
        <v>Matched</v>
      </c>
      <c r="J547" s="8" t="n">
        <f aca="false">IF($G547&lt;&gt;"",$G547,$B547)</f>
        <v>4421000</v>
      </c>
      <c r="K547" s="8" t="str">
        <f aca="false">IF(COUNTIF($M$1:$M$10,$A547)&gt;0,"Y","N")</f>
        <v>Y</v>
      </c>
    </row>
    <row r="548" customFormat="false" ht="15" hidden="false" customHeight="true" outlineLevel="0" collapsed="false">
      <c r="A548" s="8" t="s">
        <v>44</v>
      </c>
      <c r="B548" s="8" t="s">
        <v>658</v>
      </c>
      <c r="C548" s="19" t="n">
        <v>109</v>
      </c>
      <c r="D548" s="19" t="n">
        <v>2569.68</v>
      </c>
      <c r="E548" s="19" t="n">
        <v>57</v>
      </c>
      <c r="F548" s="19" t="n">
        <v>1124.8</v>
      </c>
      <c r="G548" s="8" t="n">
        <f aca="false">IFERROR(INDEX('TRANS'!$B:$B,MATCH($B548,'TRANS'!$A:$A,0)),IFERROR(INDEX('TRANS'!$B:$B,MATCH(TRIM(SUBSTITUTE($B548,CHAR(160)," ")),'TRANS'!$D:$D,0)),IFERROR(INDEX('Catalog'!$A:$A,MATCH($B548,'Catalog'!$B:$B,0)),IFERROR(INDEX('Catalog'!$A:$A,MATCH(TRIM(SUBSTITUTE($B548,CHAR(160)," ")),'Catalog'!$C:$C,0)),""))))</f>
        <v>4403017</v>
      </c>
      <c r="H548" s="8" t="str">
        <f aca="false">IFERROR(INDEX('TRANS'!$C:$C,MATCH($B548,'TRANS'!$A:$A,0)),IFERROR(INDEX('Catalog'!$B:$B,MATCH($G548,'Catalog'!$A:$A,0)),$B548))</f>
        <v>394B גרב.כסף לסכרתים שחור35-38</v>
      </c>
      <c r="I548" s="8" t="str">
        <f aca="false">IF($G548="","Unmatched","Matched")</f>
        <v>Matched</v>
      </c>
      <c r="J548" s="8" t="n">
        <f aca="false">IF($G548&lt;&gt;"",$G548,$B548)</f>
        <v>4403017</v>
      </c>
      <c r="K548" s="8" t="str">
        <f aca="false">IF(COUNTIF($M$1:$M$10,$A548)&gt;0,"Y","N")</f>
        <v>Y</v>
      </c>
    </row>
    <row r="549" customFormat="false" ht="15" hidden="false" customHeight="true" outlineLevel="0" collapsed="false">
      <c r="A549" s="8" t="s">
        <v>44</v>
      </c>
      <c r="B549" s="8" t="s">
        <v>659</v>
      </c>
      <c r="C549" s="19" t="n">
        <v>326</v>
      </c>
      <c r="D549" s="19" t="n">
        <v>7739.01</v>
      </c>
      <c r="E549" s="19" t="n">
        <v>7</v>
      </c>
      <c r="F549" s="19" t="n">
        <v>174.98</v>
      </c>
      <c r="G549" s="8" t="n">
        <f aca="false">IFERROR(INDEX('TRANS'!$B:$B,MATCH($B549,'TRANS'!$A:$A,0)),IFERROR(INDEX('TRANS'!$B:$B,MATCH(TRIM(SUBSTITUTE($B549,CHAR(160)," ")),'TRANS'!$D:$D,0)),IFERROR(INDEX('Catalog'!$A:$A,MATCH($B549,'Catalog'!$B:$B,0)),IFERROR(INDEX('Catalog'!$A:$A,MATCH(TRIM(SUBSTITUTE($B549,CHAR(160)," ")),'Catalog'!$C:$C,0)),""))))</f>
        <v>4403018</v>
      </c>
      <c r="H549" s="8" t="str">
        <f aca="false">IFERROR(INDEX('TRANS'!$C:$C,MATCH($B549,'TRANS'!$A:$A,0)),IFERROR(INDEX('Catalog'!$B:$B,MATCH($G549,'Catalog'!$A:$A,0)),$B549))</f>
        <v>394B גרב.כסף לסכרתים שחור39-42</v>
      </c>
      <c r="I549" s="8" t="str">
        <f aca="false">IF($G549="","Unmatched","Matched")</f>
        <v>Matched</v>
      </c>
      <c r="J549" s="8" t="n">
        <f aca="false">IF($G549&lt;&gt;"",$G549,$B549)</f>
        <v>4403018</v>
      </c>
      <c r="K549" s="8" t="str">
        <f aca="false">IF(COUNTIF($M$1:$M$10,$A549)&gt;0,"Y","N")</f>
        <v>Y</v>
      </c>
    </row>
    <row r="550" customFormat="false" ht="15" hidden="false" customHeight="true" outlineLevel="0" collapsed="false">
      <c r="A550" s="8" t="s">
        <v>44</v>
      </c>
      <c r="B550" s="8" t="s">
        <v>660</v>
      </c>
      <c r="C550" s="19" t="n">
        <v>374</v>
      </c>
      <c r="D550" s="19" t="n">
        <v>8728.94</v>
      </c>
      <c r="E550" s="19" t="n">
        <v>54</v>
      </c>
      <c r="F550" s="19" t="n">
        <v>1349.68</v>
      </c>
      <c r="G550" s="8" t="n">
        <f aca="false">IFERROR(INDEX('TRANS'!$B:$B,MATCH($B550,'TRANS'!$A:$A,0)),IFERROR(INDEX('TRANS'!$B:$B,MATCH(TRIM(SUBSTITUTE($B550,CHAR(160)," ")),'TRANS'!$D:$D,0)),IFERROR(INDEX('Catalog'!$A:$A,MATCH($B550,'Catalog'!$B:$B,0)),IFERROR(INDEX('Catalog'!$A:$A,MATCH(TRIM(SUBSTITUTE($B550,CHAR(160)," ")),'Catalog'!$C:$C,0)),""))))</f>
        <v>4403019</v>
      </c>
      <c r="H550" s="8" t="str">
        <f aca="false">IFERROR(INDEX('TRANS'!$C:$C,MATCH($B550,'TRANS'!$A:$A,0)),IFERROR(INDEX('Catalog'!$B:$B,MATCH($G550,'Catalog'!$A:$A,0)),$B550))</f>
        <v>394B גרב.כסף לסכרתים שחור43-46</v>
      </c>
      <c r="I550" s="8" t="str">
        <f aca="false">IF($G550="","Unmatched","Matched")</f>
        <v>Matched</v>
      </c>
      <c r="J550" s="8" t="n">
        <f aca="false">IF($G550&lt;&gt;"",$G550,$B550)</f>
        <v>4403019</v>
      </c>
      <c r="K550" s="8" t="str">
        <f aca="false">IF(COUNTIF($M$1:$M$10,$A550)&gt;0,"Y","N")</f>
        <v>Y</v>
      </c>
    </row>
    <row r="551" customFormat="false" ht="15" hidden="false" customHeight="true" outlineLevel="0" collapsed="false">
      <c r="A551" s="8" t="s">
        <v>44</v>
      </c>
      <c r="B551" s="8" t="s">
        <v>664</v>
      </c>
      <c r="C551" s="19" t="n">
        <v>0</v>
      </c>
      <c r="D551" s="19" t="n">
        <v>0</v>
      </c>
      <c r="E551" s="19" t="n">
        <v>171</v>
      </c>
      <c r="F551" s="19" t="n">
        <v>4947.36</v>
      </c>
      <c r="G551" s="8" t="n">
        <f aca="false">IFERROR(INDEX('TRANS'!$B:$B,MATCH($B551,'TRANS'!$A:$A,0)),IFERROR(INDEX('TRANS'!$B:$B,MATCH(TRIM(SUBSTITUTE($B551,CHAR(160)," ")),'TRANS'!$D:$D,0)),IFERROR(INDEX('Catalog'!$A:$A,MATCH($B551,'Catalog'!$B:$B,0)),IFERROR(INDEX('Catalog'!$A:$A,MATCH(TRIM(SUBSTITUTE($B551,CHAR(160)," ")),'Catalog'!$C:$C,0)),""))))</f>
        <v>4403044</v>
      </c>
      <c r="H551" s="8" t="str">
        <f aca="false">IFERROR(INDEX('TRANS'!$C:$C,MATCH($B551,'TRANS'!$A:$A,0)),IFERROR(INDEX('Catalog'!$B:$B,MATCH($G551,'Catalog'!$A:$A,0)),$B551))</f>
        <v>395B גרבי קיץ אנטי בקטריא39-42</v>
      </c>
      <c r="I551" s="8" t="str">
        <f aca="false">IF($G551="","Unmatched","Matched")</f>
        <v>Matched</v>
      </c>
      <c r="J551" s="8" t="n">
        <f aca="false">IF($G551&lt;&gt;"",$G551,$B551)</f>
        <v>4403044</v>
      </c>
      <c r="K551" s="8" t="str">
        <f aca="false">IF(COUNTIF($M$1:$M$10,$A551)&gt;0,"Y","N")</f>
        <v>Y</v>
      </c>
    </row>
    <row r="552" customFormat="false" ht="15" hidden="false" customHeight="true" outlineLevel="0" collapsed="false">
      <c r="A552" s="8" t="s">
        <v>44</v>
      </c>
      <c r="B552" s="8" t="s">
        <v>665</v>
      </c>
      <c r="C552" s="19" t="n">
        <v>0</v>
      </c>
      <c r="D552" s="19" t="n">
        <v>0</v>
      </c>
      <c r="E552" s="19" t="n">
        <v>237</v>
      </c>
      <c r="F552" s="19" t="n">
        <v>6903.62</v>
      </c>
      <c r="G552" s="8" t="n">
        <f aca="false">IFERROR(INDEX('TRANS'!$B:$B,MATCH($B552,'TRANS'!$A:$A,0)),IFERROR(INDEX('TRANS'!$B:$B,MATCH(TRIM(SUBSTITUTE($B552,CHAR(160)," ")),'TRANS'!$D:$D,0)),IFERROR(INDEX('Catalog'!$A:$A,MATCH($B552,'Catalog'!$B:$B,0)),IFERROR(INDEX('Catalog'!$A:$A,MATCH(TRIM(SUBSTITUTE($B552,CHAR(160)," ")),'Catalog'!$C:$C,0)),""))))</f>
        <v>4403045</v>
      </c>
      <c r="H552" s="8" t="str">
        <f aca="false">IFERROR(INDEX('TRANS'!$C:$C,MATCH($B552,'TRANS'!$A:$A,0)),IFERROR(INDEX('Catalog'!$B:$B,MATCH($G552,'Catalog'!$A:$A,0)),$B552))</f>
        <v>395B גרבי קיץ אנטי בקטריא43-46</v>
      </c>
      <c r="I552" s="8" t="str">
        <f aca="false">IF($G552="","Unmatched","Matched")</f>
        <v>Matched</v>
      </c>
      <c r="J552" s="8" t="n">
        <f aca="false">IF($G552&lt;&gt;"",$G552,$B552)</f>
        <v>4403045</v>
      </c>
      <c r="K552" s="8" t="str">
        <f aca="false">IF(COUNTIF($M$1:$M$10,$A552)&gt;0,"Y","N")</f>
        <v>Y</v>
      </c>
    </row>
    <row r="553" customFormat="false" ht="15" hidden="false" customHeight="true" outlineLevel="0" collapsed="false">
      <c r="A553" s="8" t="s">
        <v>44</v>
      </c>
      <c r="B553" s="8" t="s">
        <v>667</v>
      </c>
      <c r="C553" s="19" t="n">
        <v>1</v>
      </c>
      <c r="D553" s="19" t="n">
        <v>63.23</v>
      </c>
      <c r="E553" s="19" t="n">
        <v>45</v>
      </c>
      <c r="F553" s="19" t="n">
        <v>2815.93</v>
      </c>
      <c r="G553" s="8" t="n">
        <f aca="false">IFERROR(INDEX('TRANS'!$B:$B,MATCH($B553,'TRANS'!$A:$A,0)),IFERROR(INDEX('TRANS'!$B:$B,MATCH(TRIM(SUBSTITUTE($B553,CHAR(160)," ")),'TRANS'!$D:$D,0)),IFERROR(INDEX('Catalog'!$A:$A,MATCH($B553,'Catalog'!$B:$B,0)),IFERROR(INDEX('Catalog'!$A:$A,MATCH(TRIM(SUBSTITUTE($B553,CHAR(160)," ")),'Catalog'!$C:$C,0)),""))))</f>
        <v>4403041</v>
      </c>
      <c r="H553" s="8" t="str">
        <f aca="false">IFERROR(INDEX('TRANS'!$C:$C,MATCH($B553,'TRANS'!$A:$A,0)),IFERROR(INDEX('Catalog'!$B:$B,MATCH($G553,'Catalog'!$A:$A,0)),$B553))</f>
        <v>397A-גרבי טיסה אנטי בקטרי35-38</v>
      </c>
      <c r="I553" s="8" t="str">
        <f aca="false">IF($G553="","Unmatched","Matched")</f>
        <v>Matched</v>
      </c>
      <c r="J553" s="8" t="n">
        <f aca="false">IF($G553&lt;&gt;"",$G553,$B553)</f>
        <v>4403041</v>
      </c>
      <c r="K553" s="8" t="str">
        <f aca="false">IF(COUNTIF($M$1:$M$10,$A553)&gt;0,"Y","N")</f>
        <v>Y</v>
      </c>
    </row>
    <row r="554" customFormat="false" ht="15" hidden="false" customHeight="true" outlineLevel="0" collapsed="false">
      <c r="A554" s="8" t="s">
        <v>44</v>
      </c>
      <c r="B554" s="8" t="s">
        <v>668</v>
      </c>
      <c r="C554" s="19" t="n">
        <v>0</v>
      </c>
      <c r="D554" s="19" t="n">
        <v>0</v>
      </c>
      <c r="E554" s="19" t="n">
        <v>66</v>
      </c>
      <c r="F554" s="19" t="n">
        <v>4126.94</v>
      </c>
      <c r="G554" s="8" t="n">
        <f aca="false">IFERROR(INDEX('TRANS'!$B:$B,MATCH($B554,'TRANS'!$A:$A,0)),IFERROR(INDEX('TRANS'!$B:$B,MATCH(TRIM(SUBSTITUTE($B554,CHAR(160)," ")),'TRANS'!$D:$D,0)),IFERROR(INDEX('Catalog'!$A:$A,MATCH($B554,'Catalog'!$B:$B,0)),IFERROR(INDEX('Catalog'!$A:$A,MATCH(TRIM(SUBSTITUTE($B554,CHAR(160)," ")),'Catalog'!$C:$C,0)),""))))</f>
        <v>4403042</v>
      </c>
      <c r="H554" s="8" t="str">
        <f aca="false">IFERROR(INDEX('TRANS'!$C:$C,MATCH($B554,'TRANS'!$A:$A,0)),IFERROR(INDEX('Catalog'!$B:$B,MATCH($G554,'Catalog'!$A:$A,0)),$B554))</f>
        <v>397A-גרבי טיסה אנטי בקטרי39-42</v>
      </c>
      <c r="I554" s="8" t="str">
        <f aca="false">IF($G554="","Unmatched","Matched")</f>
        <v>Matched</v>
      </c>
      <c r="J554" s="8" t="n">
        <f aca="false">IF($G554&lt;&gt;"",$G554,$B554)</f>
        <v>4403042</v>
      </c>
      <c r="K554" s="8" t="str">
        <f aca="false">IF(COUNTIF($M$1:$M$10,$A554)&gt;0,"Y","N")</f>
        <v>Y</v>
      </c>
    </row>
    <row r="555" customFormat="false" ht="15" hidden="false" customHeight="true" outlineLevel="0" collapsed="false">
      <c r="A555" s="8" t="s">
        <v>44</v>
      </c>
      <c r="B555" s="8" t="s">
        <v>669</v>
      </c>
      <c r="C555" s="19" t="n">
        <v>3</v>
      </c>
      <c r="D555" s="19" t="n">
        <v>189.7</v>
      </c>
      <c r="E555" s="19" t="n">
        <v>48</v>
      </c>
      <c r="F555" s="19" t="n">
        <v>3001.39</v>
      </c>
      <c r="G555" s="8" t="n">
        <f aca="false">IFERROR(INDEX('TRANS'!$B:$B,MATCH($B555,'TRANS'!$A:$A,0)),IFERROR(INDEX('TRANS'!$B:$B,MATCH(TRIM(SUBSTITUTE($B555,CHAR(160)," ")),'TRANS'!$D:$D,0)),IFERROR(INDEX('Catalog'!$A:$A,MATCH($B555,'Catalog'!$B:$B,0)),IFERROR(INDEX('Catalog'!$A:$A,MATCH(TRIM(SUBSTITUTE($B555,CHAR(160)," ")),'Catalog'!$C:$C,0)),""))))</f>
        <v>4403043</v>
      </c>
      <c r="H555" s="8" t="str">
        <f aca="false">IFERROR(INDEX('TRANS'!$C:$C,MATCH($B555,'TRANS'!$A:$A,0)),IFERROR(INDEX('Catalog'!$B:$B,MATCH($G555,'Catalog'!$A:$A,0)),$B555))</f>
        <v>397A-גרבי טיסה אנטי בקטרי43-46</v>
      </c>
      <c r="I555" s="8" t="str">
        <f aca="false">IF($G555="","Unmatched","Matched")</f>
        <v>Matched</v>
      </c>
      <c r="J555" s="8" t="n">
        <f aca="false">IF($G555&lt;&gt;"",$G555,$B555)</f>
        <v>4403043</v>
      </c>
      <c r="K555" s="8" t="str">
        <f aca="false">IF(COUNTIF($M$1:$M$10,$A555)&gt;0,"Y","N")</f>
        <v>Y</v>
      </c>
    </row>
    <row r="556" customFormat="false" ht="15" hidden="false" customHeight="true" outlineLevel="0" collapsed="false">
      <c r="A556" s="8" t="s">
        <v>44</v>
      </c>
      <c r="B556" s="8" t="s">
        <v>675</v>
      </c>
      <c r="C556" s="19" t="n">
        <v>10</v>
      </c>
      <c r="D556" s="19" t="n">
        <v>285.13</v>
      </c>
      <c r="E556" s="19" t="n">
        <v>5</v>
      </c>
      <c r="F556" s="19" t="n">
        <v>154.47</v>
      </c>
      <c r="G556" s="8" t="n">
        <f aca="false">IFERROR(INDEX('TRANS'!$B:$B,MATCH($B556,'TRANS'!$A:$A,0)),IFERROR(INDEX('TRANS'!$B:$B,MATCH(TRIM(SUBSTITUTE($B556,CHAR(160)," ")),'TRANS'!$D:$D,0)),IFERROR(INDEX('Catalog'!$A:$A,MATCH($B556,'Catalog'!$B:$B,0)),IFERROR(INDEX('Catalog'!$A:$A,MATCH(TRIM(SUBSTITUTE($B556,CHAR(160)," ")),'Catalog'!$C:$C,0)),""))))</f>
        <v>4413495</v>
      </c>
      <c r="H556" s="8" t="str">
        <f aca="false">IFERROR(INDEX('TRANS'!$C:$C,MATCH($B556,'TRANS'!$A:$A,0)),IFERROR(INDEX('Catalog'!$B:$B,MATCH($G556,'Catalog'!$A:$A,0)),$B556))</f>
        <v>45B L מגן ברך שחור</v>
      </c>
      <c r="I556" s="8" t="str">
        <f aca="false">IF($G556="","Unmatched","Matched")</f>
        <v>Matched</v>
      </c>
      <c r="J556" s="8" t="n">
        <f aca="false">IF($G556&lt;&gt;"",$G556,$B556)</f>
        <v>4413495</v>
      </c>
      <c r="K556" s="8" t="str">
        <f aca="false">IF(COUNTIF($M$1:$M$10,$A556)&gt;0,"Y","N")</f>
        <v>Y</v>
      </c>
    </row>
    <row r="557" customFormat="false" ht="15" hidden="false" customHeight="true" outlineLevel="0" collapsed="false">
      <c r="A557" s="8" t="s">
        <v>44</v>
      </c>
      <c r="B557" s="8" t="s">
        <v>677</v>
      </c>
      <c r="C557" s="19" t="n">
        <v>44</v>
      </c>
      <c r="D557" s="19" t="n">
        <v>1320.36</v>
      </c>
      <c r="E557" s="19" t="n">
        <v>22</v>
      </c>
      <c r="F557" s="19" t="n">
        <v>608.04</v>
      </c>
      <c r="G557" s="8" t="n">
        <f aca="false">IFERROR(INDEX('TRANS'!$B:$B,MATCH($B557,'TRANS'!$A:$A,0)),IFERROR(INDEX('TRANS'!$B:$B,MATCH(TRIM(SUBSTITUTE($B557,CHAR(160)," ")),'TRANS'!$D:$D,0)),IFERROR(INDEX('Catalog'!$A:$A,MATCH($B557,'Catalog'!$B:$B,0)),IFERROR(INDEX('Catalog'!$A:$A,MATCH(TRIM(SUBSTITUTE($B557,CHAR(160)," ")),'Catalog'!$C:$C,0)),""))))</f>
        <v>4413098</v>
      </c>
      <c r="H557" s="8" t="str">
        <f aca="false">IFERROR(INDEX('TRANS'!$C:$C,MATCH($B557,'TRANS'!$A:$A,0)),IFERROR(INDEX('Catalog'!$B:$B,MATCH($G557,'Catalog'!$A:$A,0)),$B557))</f>
        <v>45C L מגן ברך חום</v>
      </c>
      <c r="I557" s="8" t="str">
        <f aca="false">IF($G557="","Unmatched","Matched")</f>
        <v>Matched</v>
      </c>
      <c r="J557" s="8" t="n">
        <f aca="false">IF($G557&lt;&gt;"",$G557,$B557)</f>
        <v>4413098</v>
      </c>
      <c r="K557" s="8" t="str">
        <f aca="false">IF(COUNTIF($M$1:$M$10,$A557)&gt;0,"Y","N")</f>
        <v>Y</v>
      </c>
    </row>
    <row r="558" customFormat="false" ht="15" hidden="false" customHeight="true" outlineLevel="0" collapsed="false">
      <c r="A558" s="8" t="s">
        <v>44</v>
      </c>
      <c r="B558" s="8" t="s">
        <v>678</v>
      </c>
      <c r="C558" s="19" t="n">
        <v>23</v>
      </c>
      <c r="D558" s="19" t="n">
        <v>630.59</v>
      </c>
      <c r="E558" s="19" t="n">
        <v>20</v>
      </c>
      <c r="F558" s="19" t="n">
        <v>567.12</v>
      </c>
      <c r="G558" s="8" t="n">
        <f aca="false">IFERROR(INDEX('TRANS'!$B:$B,MATCH($B558,'TRANS'!$A:$A,0)),IFERROR(INDEX('TRANS'!$B:$B,MATCH(TRIM(SUBSTITUTE($B558,CHAR(160)," ")),'TRANS'!$D:$D,0)),IFERROR(INDEX('Catalog'!$A:$A,MATCH($B558,'Catalog'!$B:$B,0)),IFERROR(INDEX('Catalog'!$A:$A,MATCH(TRIM(SUBSTITUTE($B558,CHAR(160)," ")),'Catalog'!$C:$C,0)),""))))</f>
        <v>4413099</v>
      </c>
      <c r="H558" s="8" t="str">
        <f aca="false">IFERROR(INDEX('TRANS'!$C:$C,MATCH($B558,'TRANS'!$A:$A,0)),IFERROR(INDEX('Catalog'!$B:$B,MATCH($G558,'Catalog'!$A:$A,0)),$B558))</f>
        <v>45C M מגן ברך חום</v>
      </c>
      <c r="I558" s="8" t="str">
        <f aca="false">IF($G558="","Unmatched","Matched")</f>
        <v>Matched</v>
      </c>
      <c r="J558" s="8" t="n">
        <f aca="false">IF($G558&lt;&gt;"",$G558,$B558)</f>
        <v>4413099</v>
      </c>
      <c r="K558" s="8" t="str">
        <f aca="false">IF(COUNTIF($M$1:$M$10,$A558)&gt;0,"Y","N")</f>
        <v>Y</v>
      </c>
    </row>
    <row r="559" customFormat="false" ht="15" hidden="false" customHeight="true" outlineLevel="0" collapsed="false">
      <c r="A559" s="8" t="s">
        <v>44</v>
      </c>
      <c r="B559" s="8" t="s">
        <v>680</v>
      </c>
      <c r="C559" s="19" t="n">
        <v>46</v>
      </c>
      <c r="D559" s="19" t="n">
        <v>1277.91</v>
      </c>
      <c r="E559" s="19" t="n">
        <v>33</v>
      </c>
      <c r="F559" s="19" t="n">
        <v>913.1</v>
      </c>
      <c r="G559" s="8" t="n">
        <f aca="false">IFERROR(INDEX('TRANS'!$B:$B,MATCH($B559,'TRANS'!$A:$A,0)),IFERROR(INDEX('TRANS'!$B:$B,MATCH(TRIM(SUBSTITUTE($B559,CHAR(160)," ")),'TRANS'!$D:$D,0)),IFERROR(INDEX('Catalog'!$A:$A,MATCH($B559,'Catalog'!$B:$B,0)),IFERROR(INDEX('Catalog'!$A:$A,MATCH(TRIM(SUBSTITUTE($B559,CHAR(160)," ")),'Catalog'!$C:$C,0)),""))))</f>
        <v>4413100</v>
      </c>
      <c r="H559" s="8" t="str">
        <f aca="false">IFERROR(INDEX('TRANS'!$C:$C,MATCH($B559,'TRANS'!$A:$A,0)),IFERROR(INDEX('Catalog'!$B:$B,MATCH($G559,'Catalog'!$A:$A,0)),$B559))</f>
        <v>45C XL מגן ברך חום</v>
      </c>
      <c r="I559" s="8" t="str">
        <f aca="false">IF($G559="","Unmatched","Matched")</f>
        <v>Matched</v>
      </c>
      <c r="J559" s="8" t="n">
        <f aca="false">IF($G559&lt;&gt;"",$G559,$B559)</f>
        <v>4413100</v>
      </c>
      <c r="K559" s="8" t="str">
        <f aca="false">IF(COUNTIF($M$1:$M$10,$A559)&gt;0,"Y","N")</f>
        <v>Y</v>
      </c>
    </row>
    <row r="560" customFormat="false" ht="15" hidden="false" customHeight="true" outlineLevel="0" collapsed="false">
      <c r="A560" s="8" t="s">
        <v>44</v>
      </c>
      <c r="B560" s="8" t="s">
        <v>813</v>
      </c>
      <c r="C560" s="19" t="n">
        <v>30</v>
      </c>
      <c r="D560" s="19" t="n">
        <v>5221.71</v>
      </c>
      <c r="E560" s="19" t="n">
        <v>15</v>
      </c>
      <c r="F560" s="19" t="n">
        <v>2677.97</v>
      </c>
      <c r="G560" s="8" t="n">
        <f aca="false">IFERROR(INDEX('TRANS'!$B:$B,MATCH($B560,'TRANS'!$A:$A,0)),IFERROR(INDEX('TRANS'!$B:$B,MATCH(TRIM(SUBSTITUTE($B560,CHAR(160)," ")),'TRANS'!$D:$D,0)),IFERROR(INDEX('Catalog'!$A:$A,MATCH($B560,'Catalog'!$B:$B,0)),IFERROR(INDEX('Catalog'!$A:$A,MATCH(TRIM(SUBSTITUTE($B560,CHAR(160)," ")),'Catalog'!$C:$C,0)),""))))</f>
        <v>4408071</v>
      </c>
      <c r="H560" s="8" t="str">
        <f aca="false">IFERROR(INDEX('TRANS'!$C:$C,MATCH($B560,'TRANS'!$A:$A,0)),IFERROR(INDEX('Catalog'!$B:$B,MATCH($G560,'Catalog'!$A:$A,0)),$B560))</f>
        <v>59D L חגורת שבר דו צדדי</v>
      </c>
      <c r="I560" s="8" t="str">
        <f aca="false">IF($G560="","Unmatched","Matched")</f>
        <v>Matched</v>
      </c>
      <c r="J560" s="8" t="n">
        <f aca="false">IF($G560&lt;&gt;"",$G560,$B560)</f>
        <v>4408071</v>
      </c>
      <c r="K560" s="8" t="str">
        <f aca="false">IF(COUNTIF($M$1:$M$10,$A560)&gt;0,"Y","N")</f>
        <v>Y</v>
      </c>
    </row>
    <row r="561" customFormat="false" ht="15" hidden="false" customHeight="true" outlineLevel="0" collapsed="false">
      <c r="A561" s="8" t="s">
        <v>44</v>
      </c>
      <c r="B561" s="8" t="s">
        <v>688</v>
      </c>
      <c r="C561" s="19" t="n">
        <v>20</v>
      </c>
      <c r="D561" s="19" t="n">
        <v>2735.76</v>
      </c>
      <c r="E561" s="19" t="n">
        <v>11</v>
      </c>
      <c r="F561" s="19" t="n">
        <v>1515.38</v>
      </c>
      <c r="G561" s="8" t="n">
        <f aca="false">IFERROR(INDEX('TRANS'!$B:$B,MATCH($B561,'TRANS'!$A:$A,0)),IFERROR(INDEX('TRANS'!$B:$B,MATCH(TRIM(SUBSTITUTE($B561,CHAR(160)," ")),'TRANS'!$D:$D,0)),IFERROR(INDEX('Catalog'!$A:$A,MATCH($B561,'Catalog'!$B:$B,0)),IFERROR(INDEX('Catalog'!$A:$A,MATCH(TRIM(SUBSTITUTE($B561,CHAR(160)," ")),'Catalog'!$C:$C,0)),""))))</f>
        <v>4408076</v>
      </c>
      <c r="H561" s="8" t="str">
        <f aca="false">IFERROR(INDEX('TRANS'!$C:$C,MATCH($B561,'TRANS'!$A:$A,0)),IFERROR(INDEX('Catalog'!$B:$B,MATCH($G561,'Catalog'!$A:$A,0)),$B561))</f>
        <v>59L L חגורת שבר לצד שמאל</v>
      </c>
      <c r="I561" s="8" t="str">
        <f aca="false">IF($G561="","Unmatched","Matched")</f>
        <v>Matched</v>
      </c>
      <c r="J561" s="8" t="n">
        <f aca="false">IF($G561&lt;&gt;"",$G561,$B561)</f>
        <v>4408076</v>
      </c>
      <c r="K561" s="8" t="str">
        <f aca="false">IF(COUNTIF($M$1:$M$10,$A561)&gt;0,"Y","N")</f>
        <v>Y</v>
      </c>
    </row>
    <row r="562" customFormat="false" ht="15" hidden="false" customHeight="true" outlineLevel="0" collapsed="false">
      <c r="A562" s="8" t="s">
        <v>44</v>
      </c>
      <c r="B562" s="8" t="s">
        <v>814</v>
      </c>
      <c r="C562" s="19" t="n">
        <v>34</v>
      </c>
      <c r="D562" s="19" t="n">
        <v>4567.3</v>
      </c>
      <c r="E562" s="19" t="n">
        <v>17</v>
      </c>
      <c r="F562" s="19" t="n">
        <v>2330.76</v>
      </c>
      <c r="G562" s="8" t="n">
        <f aca="false">IFERROR(INDEX('TRANS'!$B:$B,MATCH($B562,'TRANS'!$A:$A,0)),IFERROR(INDEX('TRANS'!$B:$B,MATCH(TRIM(SUBSTITUTE($B562,CHAR(160)," ")),'TRANS'!$D:$D,0)),IFERROR(INDEX('Catalog'!$A:$A,MATCH($B562,'Catalog'!$B:$B,0)),IFERROR(INDEX('Catalog'!$A:$A,MATCH(TRIM(SUBSTITUTE($B562,CHAR(160)," ")),'Catalog'!$C:$C,0)),""))))</f>
        <v>4408077</v>
      </c>
      <c r="H562" s="8" t="str">
        <f aca="false">IFERROR(INDEX('TRANS'!$C:$C,MATCH($B562,'TRANS'!$A:$A,0)),IFERROR(INDEX('Catalog'!$B:$B,MATCH($G562,'Catalog'!$A:$A,0)),$B562))</f>
        <v>59L M חגורת שבר לצד שמאל</v>
      </c>
      <c r="I562" s="8" t="str">
        <f aca="false">IF($G562="","Unmatched","Matched")</f>
        <v>Matched</v>
      </c>
      <c r="J562" s="8" t="n">
        <f aca="false">IF($G562&lt;&gt;"",$G562,$B562)</f>
        <v>4408077</v>
      </c>
      <c r="K562" s="8" t="str">
        <f aca="false">IF(COUNTIF($M$1:$M$10,$A562)&gt;0,"Y","N")</f>
        <v>Y</v>
      </c>
    </row>
    <row r="563" customFormat="false" ht="15" hidden="false" customHeight="true" outlineLevel="0" collapsed="false">
      <c r="A563" s="8" t="s">
        <v>44</v>
      </c>
      <c r="B563" s="8" t="s">
        <v>817</v>
      </c>
      <c r="C563" s="19" t="n">
        <v>22</v>
      </c>
      <c r="D563" s="19" t="n">
        <v>2896.91</v>
      </c>
      <c r="E563" s="19" t="n">
        <v>9</v>
      </c>
      <c r="F563" s="19" t="n">
        <v>1309.24</v>
      </c>
      <c r="G563" s="8" t="n">
        <f aca="false">IFERROR(INDEX('TRANS'!$B:$B,MATCH($B563,'TRANS'!$A:$A,0)),IFERROR(INDEX('TRANS'!$B:$B,MATCH(TRIM(SUBSTITUTE($B563,CHAR(160)," ")),'TRANS'!$D:$D,0)),IFERROR(INDEX('Catalog'!$A:$A,MATCH($B563,'Catalog'!$B:$B,0)),IFERROR(INDEX('Catalog'!$A:$A,MATCH(TRIM(SUBSTITUTE($B563,CHAR(160)," ")),'Catalog'!$C:$C,0)),""))))</f>
        <v>4408080</v>
      </c>
      <c r="H563" s="8" t="str">
        <f aca="false">IFERROR(INDEX('TRANS'!$C:$C,MATCH($B563,'TRANS'!$A:$A,0)),IFERROR(INDEX('Catalog'!$B:$B,MATCH($G563,'Catalog'!$A:$A,0)),$B563))</f>
        <v>59R L חגורת שבר לצד ימין</v>
      </c>
      <c r="I563" s="8" t="str">
        <f aca="false">IF($G563="","Unmatched","Matched")</f>
        <v>Matched</v>
      </c>
      <c r="J563" s="8" t="n">
        <f aca="false">IF($G563&lt;&gt;"",$G563,$B563)</f>
        <v>4408080</v>
      </c>
      <c r="K563" s="8" t="str">
        <f aca="false">IF(COUNTIF($M$1:$M$10,$A563)&gt;0,"Y","N")</f>
        <v>Y</v>
      </c>
    </row>
    <row r="564" customFormat="false" ht="15" hidden="false" customHeight="true" outlineLevel="0" collapsed="false">
      <c r="A564" s="8" t="s">
        <v>44</v>
      </c>
      <c r="B564" s="8" t="s">
        <v>689</v>
      </c>
      <c r="C564" s="19" t="n">
        <v>42</v>
      </c>
      <c r="D564" s="19" t="n">
        <v>5523.43</v>
      </c>
      <c r="E564" s="19" t="n">
        <v>30</v>
      </c>
      <c r="F564" s="19" t="n">
        <v>4175.37</v>
      </c>
      <c r="G564" s="8" t="n">
        <f aca="false">IFERROR(INDEX('TRANS'!$B:$B,MATCH($B564,'TRANS'!$A:$A,0)),IFERROR(INDEX('TRANS'!$B:$B,MATCH(TRIM(SUBSTITUTE($B564,CHAR(160)," ")),'TRANS'!$D:$D,0)),IFERROR(INDEX('Catalog'!$A:$A,MATCH($B564,'Catalog'!$B:$B,0)),IFERROR(INDEX('Catalog'!$A:$A,MATCH(TRIM(SUBSTITUTE($B564,CHAR(160)," ")),'Catalog'!$C:$C,0)),""))))</f>
        <v>4408081</v>
      </c>
      <c r="H564" s="8" t="str">
        <f aca="false">IFERROR(INDEX('TRANS'!$C:$C,MATCH($B564,'TRANS'!$A:$A,0)),IFERROR(INDEX('Catalog'!$B:$B,MATCH($G564,'Catalog'!$A:$A,0)),$B564))</f>
        <v>59R M חגורת שבר לצד ימין</v>
      </c>
      <c r="I564" s="8" t="str">
        <f aca="false">IF($G564="","Unmatched","Matched")</f>
        <v>Matched</v>
      </c>
      <c r="J564" s="8" t="n">
        <f aca="false">IF($G564&lt;&gt;"",$G564,$B564)</f>
        <v>4408081</v>
      </c>
      <c r="K564" s="8" t="str">
        <f aca="false">IF(COUNTIF($M$1:$M$10,$A564)&gt;0,"Y","N")</f>
        <v>Y</v>
      </c>
    </row>
    <row r="565" customFormat="false" ht="15" hidden="false" customHeight="true" outlineLevel="0" collapsed="false">
      <c r="A565" s="8" t="s">
        <v>44</v>
      </c>
      <c r="B565" s="8" t="s">
        <v>917</v>
      </c>
      <c r="C565" s="19" t="n">
        <v>36</v>
      </c>
      <c r="D565" s="19" t="n">
        <v>1786.7</v>
      </c>
      <c r="E565" s="19" t="n">
        <v>19</v>
      </c>
      <c r="F565" s="19" t="n">
        <v>936.43</v>
      </c>
      <c r="G565" s="8" t="n">
        <f aca="false">IFERROR(INDEX('TRANS'!$B:$B,MATCH($B565,'TRANS'!$A:$A,0)),IFERROR(INDEX('TRANS'!$B:$B,MATCH(TRIM(SUBSTITUTE($B565,CHAR(160)," ")),'TRANS'!$D:$D,0)),IFERROR(INDEX('Catalog'!$A:$A,MATCH($B565,'Catalog'!$B:$B,0)),IFERROR(INDEX('Catalog'!$A:$A,MATCH(TRIM(SUBSTITUTE($B565,CHAR(160)," ")),'Catalog'!$C:$C,0)),""))))</f>
        <v>4418000</v>
      </c>
      <c r="H565" s="8" t="str">
        <f aca="false">IFERROR(INDEX('TRANS'!$C:$C,MATCH($B565,'TRANS'!$A:$A,0)),IFERROR(INDEX('Catalog'!$B:$B,MATCH($G565,'Catalog'!$A:$A,0)),$B565))</f>
        <v>60 L צוארון ספוגי</v>
      </c>
      <c r="I565" s="8" t="str">
        <f aca="false">IF($G565="","Unmatched","Matched")</f>
        <v>Matched</v>
      </c>
      <c r="J565" s="8" t="n">
        <f aca="false">IF($G565&lt;&gt;"",$G565,$B565)</f>
        <v>4418000</v>
      </c>
      <c r="K565" s="8" t="str">
        <f aca="false">IF(COUNTIF($M$1:$M$10,$A565)&gt;0,"Y","N")</f>
        <v>Y</v>
      </c>
    </row>
    <row r="566" customFormat="false" ht="15" hidden="false" customHeight="true" outlineLevel="0" collapsed="false">
      <c r="A566" s="8" t="s">
        <v>44</v>
      </c>
      <c r="B566" s="8" t="s">
        <v>691</v>
      </c>
      <c r="C566" s="19" t="n">
        <v>50</v>
      </c>
      <c r="D566" s="19" t="n">
        <v>2481.29</v>
      </c>
      <c r="E566" s="19" t="n">
        <v>16</v>
      </c>
      <c r="F566" s="19" t="n">
        <v>794.09</v>
      </c>
      <c r="G566" s="8" t="n">
        <f aca="false">IFERROR(INDEX('TRANS'!$B:$B,MATCH($B566,'TRANS'!$A:$A,0)),IFERROR(INDEX('TRANS'!$B:$B,MATCH(TRIM(SUBSTITUTE($B566,CHAR(160)," ")),'TRANS'!$D:$D,0)),IFERROR(INDEX('Catalog'!$A:$A,MATCH($B566,'Catalog'!$B:$B,0)),IFERROR(INDEX('Catalog'!$A:$A,MATCH(TRIM(SUBSTITUTE($B566,CHAR(160)," ")),'Catalog'!$C:$C,0)),""))))</f>
        <v>4418001</v>
      </c>
      <c r="H566" s="8" t="str">
        <f aca="false">IFERROR(INDEX('TRANS'!$C:$C,MATCH($B566,'TRANS'!$A:$A,0)),IFERROR(INDEX('Catalog'!$B:$B,MATCH($G566,'Catalog'!$A:$A,0)),$B566))</f>
        <v>60 M צוארון ספוגי</v>
      </c>
      <c r="I566" s="8" t="str">
        <f aca="false">IF($G566="","Unmatched","Matched")</f>
        <v>Matched</v>
      </c>
      <c r="J566" s="8" t="n">
        <f aca="false">IF($G566&lt;&gt;"",$G566,$B566)</f>
        <v>4418001</v>
      </c>
      <c r="K566" s="8" t="str">
        <f aca="false">IF(COUNTIF($M$1:$M$10,$A566)&gt;0,"Y","N")</f>
        <v>Y</v>
      </c>
    </row>
    <row r="567" customFormat="false" ht="15" hidden="false" customHeight="true" outlineLevel="0" collapsed="false">
      <c r="A567" s="8" t="s">
        <v>44</v>
      </c>
      <c r="B567" s="8" t="s">
        <v>692</v>
      </c>
      <c r="C567" s="19" t="n">
        <v>24</v>
      </c>
      <c r="D567" s="19" t="n">
        <v>1191.06</v>
      </c>
      <c r="E567" s="19" t="n">
        <v>10</v>
      </c>
      <c r="F567" s="19" t="n">
        <v>496.32</v>
      </c>
      <c r="G567" s="8" t="n">
        <f aca="false">IFERROR(INDEX('TRANS'!$B:$B,MATCH($B567,'TRANS'!$A:$A,0)),IFERROR(INDEX('TRANS'!$B:$B,MATCH(TRIM(SUBSTITUTE($B567,CHAR(160)," ")),'TRANS'!$D:$D,0)),IFERROR(INDEX('Catalog'!$A:$A,MATCH($B567,'Catalog'!$B:$B,0)),IFERROR(INDEX('Catalog'!$A:$A,MATCH(TRIM(SUBSTITUTE($B567,CHAR(160)," ")),'Catalog'!$C:$C,0)),""))))</f>
        <v>4418002</v>
      </c>
      <c r="H567" s="8" t="str">
        <f aca="false">IFERROR(INDEX('TRANS'!$C:$C,MATCH($B567,'TRANS'!$A:$A,0)),IFERROR(INDEX('Catalog'!$B:$B,MATCH($G567,'Catalog'!$A:$A,0)),$B567))</f>
        <v>60 S צוארון ספוגי</v>
      </c>
      <c r="I567" s="8" t="str">
        <f aca="false">IF($G567="","Unmatched","Matched")</f>
        <v>Matched</v>
      </c>
      <c r="J567" s="8" t="n">
        <f aca="false">IF($G567&lt;&gt;"",$G567,$B567)</f>
        <v>4418002</v>
      </c>
      <c r="K567" s="8" t="str">
        <f aca="false">IF(COUNTIF($M$1:$M$10,$A567)&gt;0,"Y","N")</f>
        <v>Y</v>
      </c>
    </row>
    <row r="568" customFormat="false" ht="15" hidden="false" customHeight="true" outlineLevel="0" collapsed="false">
      <c r="A568" s="8" t="s">
        <v>44</v>
      </c>
      <c r="B568" s="8" t="s">
        <v>881</v>
      </c>
      <c r="C568" s="19" t="n">
        <v>89</v>
      </c>
      <c r="D568" s="19" t="n">
        <v>22242.73</v>
      </c>
      <c r="E568" s="19" t="n">
        <v>81</v>
      </c>
      <c r="F568" s="19" t="n">
        <v>20455.04</v>
      </c>
      <c r="G568" s="8" t="n">
        <f aca="false">IFERROR(INDEX('TRANS'!$B:$B,MATCH($B568,'TRANS'!$A:$A,0)),IFERROR(INDEX('TRANS'!$B:$B,MATCH(TRIM(SUBSTITUTE($B568,CHAR(160)," ")),'TRANS'!$D:$D,0)),IFERROR(INDEX('Catalog'!$A:$A,MATCH($B568,'Catalog'!$B:$B,0)),IFERROR(INDEX('Catalog'!$A:$A,MATCH(TRIM(SUBSTITUTE($B568,CHAR(160)," ")),'Catalog'!$C:$C,0)),""))))</f>
        <v>4408273</v>
      </c>
      <c r="H568" s="8" t="str">
        <f aca="false">IFERROR(INDEX('TRANS'!$C:$C,MATCH($B568,'TRANS'!$A:$A,0)),IFERROR(INDEX('Catalog'!$B:$B,MATCH($G568,'Catalog'!$A:$A,0)),$B568))</f>
        <v>70N M חגורת פאבליק</v>
      </c>
      <c r="I568" s="8" t="str">
        <f aca="false">IF($G568="","Unmatched","Matched")</f>
        <v>Matched</v>
      </c>
      <c r="J568" s="8" t="n">
        <f aca="false">IF($G568&lt;&gt;"",$G568,$B568)</f>
        <v>4408273</v>
      </c>
      <c r="K568" s="8" t="str">
        <f aca="false">IF(COUNTIF($M$1:$M$10,$A568)&gt;0,"Y","N")</f>
        <v>Y</v>
      </c>
    </row>
    <row r="569" customFormat="false" ht="15" hidden="false" customHeight="true" outlineLevel="0" collapsed="false">
      <c r="A569" s="8" t="s">
        <v>44</v>
      </c>
      <c r="B569" s="8" t="s">
        <v>882</v>
      </c>
      <c r="C569" s="19" t="n">
        <v>140</v>
      </c>
      <c r="D569" s="19" t="n">
        <v>34014.09</v>
      </c>
      <c r="E569" s="19" t="n">
        <v>169</v>
      </c>
      <c r="F569" s="19" t="n">
        <v>42271.95</v>
      </c>
      <c r="G569" s="8" t="n">
        <f aca="false">IFERROR(INDEX('TRANS'!$B:$B,MATCH($B569,'TRANS'!$A:$A,0)),IFERROR(INDEX('TRANS'!$B:$B,MATCH(TRIM(SUBSTITUTE($B569,CHAR(160)," ")),'TRANS'!$D:$D,0)),IFERROR(INDEX('Catalog'!$A:$A,MATCH($B569,'Catalog'!$B:$B,0)),IFERROR(INDEX('Catalog'!$A:$A,MATCH(TRIM(SUBSTITUTE($B569,CHAR(160)," ")),'Catalog'!$C:$C,0)),""))))</f>
        <v>4408272</v>
      </c>
      <c r="H569" s="8" t="str">
        <f aca="false">IFERROR(INDEX('TRANS'!$C:$C,MATCH($B569,'TRANS'!$A:$A,0)),IFERROR(INDEX('Catalog'!$B:$B,MATCH($G569,'Catalog'!$A:$A,0)),$B569))</f>
        <v>70N S חגורת פאבליק</v>
      </c>
      <c r="I569" s="8" t="str">
        <f aca="false">IF($G569="","Unmatched","Matched")</f>
        <v>Matched</v>
      </c>
      <c r="J569" s="8" t="n">
        <f aca="false">IF($G569&lt;&gt;"",$G569,$B569)</f>
        <v>4408272</v>
      </c>
      <c r="K569" s="8" t="str">
        <f aca="false">IF(COUNTIF($M$1:$M$10,$A569)&gt;0,"Y","N")</f>
        <v>Y</v>
      </c>
    </row>
    <row r="570" customFormat="false" ht="15" hidden="false" customHeight="true" outlineLevel="0" collapsed="false">
      <c r="A570" s="8" t="s">
        <v>44</v>
      </c>
      <c r="B570" s="8" t="s">
        <v>883</v>
      </c>
      <c r="C570" s="19" t="n">
        <v>169</v>
      </c>
      <c r="D570" s="19" t="n">
        <v>41162.17</v>
      </c>
      <c r="E570" s="19" t="n">
        <v>182</v>
      </c>
      <c r="F570" s="19" t="n">
        <v>45686.37</v>
      </c>
      <c r="G570" s="8" t="n">
        <f aca="false">IFERROR(INDEX('TRANS'!$B:$B,MATCH($B570,'TRANS'!$A:$A,0)),IFERROR(INDEX('TRANS'!$B:$B,MATCH(TRIM(SUBSTITUTE($B570,CHAR(160)," ")),'TRANS'!$D:$D,0)),IFERROR(INDEX('Catalog'!$A:$A,MATCH($B570,'Catalog'!$B:$B,0)),IFERROR(INDEX('Catalog'!$A:$A,MATCH(TRIM(SUBSTITUTE($B570,CHAR(160)," ")),'Catalog'!$C:$C,0)),""))))</f>
        <v>4408271</v>
      </c>
      <c r="H570" s="8" t="str">
        <f aca="false">IFERROR(INDEX('TRANS'!$C:$C,MATCH($B570,'TRANS'!$A:$A,0)),IFERROR(INDEX('Catalog'!$B:$B,MATCH($G570,'Catalog'!$A:$A,0)),$B570))</f>
        <v>70N XS חגורת פאבליק</v>
      </c>
      <c r="I570" s="8" t="str">
        <f aca="false">IF($G570="","Unmatched","Matched")</f>
        <v>Matched</v>
      </c>
      <c r="J570" s="8" t="n">
        <f aca="false">IF($G570&lt;&gt;"",$G570,$B570)</f>
        <v>4408271</v>
      </c>
      <c r="K570" s="8" t="str">
        <f aca="false">IF(COUNTIF($M$1:$M$10,$A570)&gt;0,"Y","N")</f>
        <v>Y</v>
      </c>
    </row>
    <row r="571" customFormat="false" ht="15" hidden="false" customHeight="true" outlineLevel="0" collapsed="false">
      <c r="A571" s="8" t="s">
        <v>44</v>
      </c>
      <c r="B571" s="8" t="s">
        <v>695</v>
      </c>
      <c r="C571" s="19" t="n">
        <v>26</v>
      </c>
      <c r="D571" s="19" t="n">
        <v>4064.18</v>
      </c>
      <c r="E571" s="19" t="n">
        <v>12</v>
      </c>
      <c r="F571" s="19" t="n">
        <v>1920.03</v>
      </c>
      <c r="G571" s="8" t="n">
        <f aca="false">IFERROR(INDEX('TRANS'!$B:$B,MATCH($B571,'TRANS'!$A:$A,0)),IFERROR(INDEX('TRANS'!$B:$B,MATCH(TRIM(SUBSTITUTE($B571,CHAR(160)," ")),'TRANS'!$D:$D,0)),IFERROR(INDEX('Catalog'!$A:$A,MATCH($B571,'Catalog'!$B:$B,0)),IFERROR(INDEX('Catalog'!$A:$A,MATCH(TRIM(SUBSTITUTE($B571,CHAR(160)," ")),'Catalog'!$C:$C,0)),""))))</f>
        <v>4413134</v>
      </c>
      <c r="H571" s="8" t="str">
        <f aca="false">IFERROR(INDEX('TRANS'!$C:$C,MATCH($B571,'TRANS'!$A:$A,0)),IFERROR(INDEX('Catalog'!$B:$B,MATCH($G571,'Catalog'!$A:$A,0)),$B571))</f>
        <v>76 XLמיישר כתף יציב יישור רחב</v>
      </c>
      <c r="I571" s="8" t="str">
        <f aca="false">IF($G571="","Unmatched","Matched")</f>
        <v>Matched</v>
      </c>
      <c r="J571" s="8" t="n">
        <f aca="false">IF($G571&lt;&gt;"",$G571,$B571)</f>
        <v>4413134</v>
      </c>
      <c r="K571" s="8" t="str">
        <f aca="false">IF(COUNTIF($M$1:$M$10,$A571)&gt;0,"Y","N")</f>
        <v>Y</v>
      </c>
    </row>
    <row r="572" customFormat="false" ht="15" hidden="false" customHeight="true" outlineLevel="0" collapsed="false">
      <c r="A572" s="8" t="s">
        <v>44</v>
      </c>
      <c r="B572" s="8" t="s">
        <v>526</v>
      </c>
      <c r="C572" s="19" t="n">
        <v>9</v>
      </c>
      <c r="D572" s="19" t="n">
        <v>3063</v>
      </c>
      <c r="E572" s="19" t="n">
        <v>0</v>
      </c>
      <c r="F572" s="19" t="n">
        <v>0</v>
      </c>
      <c r="G572" s="8" t="str">
        <f aca="false">IFERROR(INDEX('TRANS'!$B:$B,MATCH($B572,'TRANS'!$A:$A,0)),IFERROR(INDEX('TRANS'!$B:$B,MATCH(TRIM(SUBSTITUTE($B572,CHAR(160)," ")),'TRANS'!$D:$D,0)),IFERROR(INDEX('Catalog'!$A:$A,MATCH($B572,'Catalog'!$B:$B,0)),IFERROR(INDEX('Catalog'!$A:$A,MATCH(TRIM(SUBSTITUTE($B572,CHAR(160)," ")),'Catalog'!$C:$C,0)),""))))</f>
        <v/>
      </c>
      <c r="H572" s="8" t="str">
        <f aca="false">IFERROR(INDEX('TRANS'!$C:$C,MATCH($B572,'TRANS'!$A:$A,0)),IFERROR(INDEX('Catalog'!$B:$B,MATCH($G572,'Catalog'!$A:$A,0)),$B572))</f>
        <v>776 XL</v>
      </c>
      <c r="I572" s="8" t="str">
        <f aca="false">IF($G572="","Unmatched","Matched")</f>
        <v>Unmatched</v>
      </c>
      <c r="J572" s="8" t="str">
        <f aca="false">IF($G572&lt;&gt;"",$G572,$B572)</f>
        <v>776 XL</v>
      </c>
      <c r="K572" s="8" t="str">
        <f aca="false">IF(COUNTIF($M$1:$M$10,$A572)&gt;0,"Y","N")</f>
        <v>Y</v>
      </c>
    </row>
    <row r="573" customFormat="false" ht="15" hidden="false" customHeight="true" outlineLevel="0" collapsed="false">
      <c r="A573" s="8" t="s">
        <v>44</v>
      </c>
      <c r="B573" s="8" t="s">
        <v>708</v>
      </c>
      <c r="C573" s="19" t="n">
        <v>55</v>
      </c>
      <c r="D573" s="19" t="n">
        <v>2694.86</v>
      </c>
      <c r="E573" s="19" t="n">
        <v>42</v>
      </c>
      <c r="F573" s="19" t="n">
        <v>2057.87</v>
      </c>
      <c r="G573" s="8" t="n">
        <f aca="false">IFERROR(INDEX('TRANS'!$B:$B,MATCH($B573,'TRANS'!$A:$A,0)),IFERROR(INDEX('TRANS'!$B:$B,MATCH(TRIM(SUBSTITUTE($B573,CHAR(160)," ")),'TRANS'!$D:$D,0)),IFERROR(INDEX('Catalog'!$A:$A,MATCH($B573,'Catalog'!$B:$B,0)),IFERROR(INDEX('Catalog'!$A:$A,MATCH(TRIM(SUBSTITUTE($B573,CHAR(160)," ")),'Catalog'!$C:$C,0)),""))))</f>
        <v>4413135</v>
      </c>
      <c r="H573" s="8" t="str">
        <f aca="false">IFERROR(INDEX('TRANS'!$C:$C,MATCH($B573,'TRANS'!$A:$A,0)),IFERROR(INDEX('Catalog'!$B:$B,MATCH($G573,'Catalog'!$A:$A,0)),$B573))</f>
        <v>85 L (מתלה ליד )כיס</v>
      </c>
      <c r="I573" s="8" t="str">
        <f aca="false">IF($G573="","Unmatched","Matched")</f>
        <v>Matched</v>
      </c>
      <c r="J573" s="8" t="n">
        <f aca="false">IF($G573&lt;&gt;"",$G573,$B573)</f>
        <v>4413135</v>
      </c>
      <c r="K573" s="8" t="str">
        <f aca="false">IF(COUNTIF($M$1:$M$10,$A573)&gt;0,"Y","N")</f>
        <v>Y</v>
      </c>
    </row>
    <row r="574" customFormat="false" ht="15" hidden="false" customHeight="true" outlineLevel="0" collapsed="false">
      <c r="A574" s="8" t="s">
        <v>44</v>
      </c>
      <c r="B574" s="8" t="s">
        <v>709</v>
      </c>
      <c r="C574" s="19" t="n">
        <v>59</v>
      </c>
      <c r="D574" s="19" t="n">
        <v>2890.94</v>
      </c>
      <c r="E574" s="19" t="n">
        <v>29</v>
      </c>
      <c r="F574" s="19" t="n">
        <v>1420.92</v>
      </c>
      <c r="G574" s="8" t="n">
        <f aca="false">IFERROR(INDEX('TRANS'!$B:$B,MATCH($B574,'TRANS'!$A:$A,0)),IFERROR(INDEX('TRANS'!$B:$B,MATCH(TRIM(SUBSTITUTE($B574,CHAR(160)," ")),'TRANS'!$D:$D,0)),IFERROR(INDEX('Catalog'!$A:$A,MATCH($B574,'Catalog'!$B:$B,0)),IFERROR(INDEX('Catalog'!$A:$A,MATCH(TRIM(SUBSTITUTE($B574,CHAR(160)," ")),'Catalog'!$C:$C,0)),""))))</f>
        <v>4413136</v>
      </c>
      <c r="H574" s="8" t="str">
        <f aca="false">IFERROR(INDEX('TRANS'!$C:$C,MATCH($B574,'TRANS'!$A:$A,0)),IFERROR(INDEX('Catalog'!$B:$B,MATCH($G574,'Catalog'!$A:$A,0)),$B574))</f>
        <v>85 M (מתלה ליד )כיס</v>
      </c>
      <c r="I574" s="8" t="str">
        <f aca="false">IF($G574="","Unmatched","Matched")</f>
        <v>Matched</v>
      </c>
      <c r="J574" s="8" t="n">
        <f aca="false">IF($G574&lt;&gt;"",$G574,$B574)</f>
        <v>4413136</v>
      </c>
      <c r="K574" s="8" t="str">
        <f aca="false">IF(COUNTIF($M$1:$M$10,$A574)&gt;0,"Y","N")</f>
        <v>Y</v>
      </c>
    </row>
    <row r="575" customFormat="false" ht="15" hidden="false" customHeight="true" outlineLevel="0" collapsed="false">
      <c r="A575" s="8" t="s">
        <v>44</v>
      </c>
      <c r="B575" s="8" t="s">
        <v>710</v>
      </c>
      <c r="C575" s="19" t="n">
        <v>25</v>
      </c>
      <c r="D575" s="19" t="n">
        <v>1224.98</v>
      </c>
      <c r="E575" s="19" t="n">
        <v>28</v>
      </c>
      <c r="F575" s="19" t="n">
        <v>1371.96</v>
      </c>
      <c r="G575" s="8" t="n">
        <f aca="false">IFERROR(INDEX('TRANS'!$B:$B,MATCH($B575,'TRANS'!$A:$A,0)),IFERROR(INDEX('TRANS'!$B:$B,MATCH(TRIM(SUBSTITUTE($B575,CHAR(160)," ")),'TRANS'!$D:$D,0)),IFERROR(INDEX('Catalog'!$A:$A,MATCH($B575,'Catalog'!$B:$B,0)),IFERROR(INDEX('Catalog'!$A:$A,MATCH(TRIM(SUBSTITUTE($B575,CHAR(160)," ")),'Catalog'!$C:$C,0)),""))))</f>
        <v>4413138</v>
      </c>
      <c r="H575" s="8" t="str">
        <f aca="false">IFERROR(INDEX('TRANS'!$C:$C,MATCH($B575,'TRANS'!$A:$A,0)),IFERROR(INDEX('Catalog'!$B:$B,MATCH($G575,'Catalog'!$A:$A,0)),$B575))</f>
        <v>85 XL (מתלה ליד )כיס</v>
      </c>
      <c r="I575" s="8" t="str">
        <f aca="false">IF($G575="","Unmatched","Matched")</f>
        <v>Matched</v>
      </c>
      <c r="J575" s="8" t="n">
        <f aca="false">IF($G575&lt;&gt;"",$G575,$B575)</f>
        <v>4413138</v>
      </c>
      <c r="K575" s="8" t="str">
        <f aca="false">IF(COUNTIF($M$1:$M$10,$A575)&gt;0,"Y","N")</f>
        <v>Y</v>
      </c>
    </row>
    <row r="576" customFormat="false" ht="15" hidden="false" customHeight="true" outlineLevel="0" collapsed="false">
      <c r="A576" s="8" t="s">
        <v>44</v>
      </c>
      <c r="B576" s="8" t="s">
        <v>711</v>
      </c>
      <c r="C576" s="19" t="n">
        <v>97</v>
      </c>
      <c r="D576" s="19" t="n">
        <v>4808.33</v>
      </c>
      <c r="E576" s="19" t="n">
        <v>59</v>
      </c>
      <c r="F576" s="19" t="n">
        <v>2890.9</v>
      </c>
      <c r="G576" s="8" t="n">
        <f aca="false">IFERROR(INDEX('TRANS'!$B:$B,MATCH($B576,'TRANS'!$A:$A,0)),IFERROR(INDEX('TRANS'!$B:$B,MATCH(TRIM(SUBSTITUTE($B576,CHAR(160)," ")),'TRANS'!$D:$D,0)),IFERROR(INDEX('Catalog'!$A:$A,MATCH($B576,'Catalog'!$B:$B,0)),IFERROR(INDEX('Catalog'!$A:$A,MATCH(TRIM(SUBSTITUTE($B576,CHAR(160)," ")),'Catalog'!$C:$C,0)),""))))</f>
        <v>4413516</v>
      </c>
      <c r="H576" s="8" t="str">
        <f aca="false">IFERROR(INDEX('TRANS'!$C:$C,MATCH($B576,'TRANS'!$A:$A,0)),IFERROR(INDEX('Catalog'!$B:$B,MATCH($G576,'Catalog'!$A:$A,0)),$B576))</f>
        <v>85B L מתלה רשת לזרוע שחור</v>
      </c>
      <c r="I576" s="8" t="str">
        <f aca="false">IF($G576="","Unmatched","Matched")</f>
        <v>Matched</v>
      </c>
      <c r="J576" s="8" t="n">
        <f aca="false">IF($G576&lt;&gt;"",$G576,$B576)</f>
        <v>4413516</v>
      </c>
      <c r="K576" s="8" t="str">
        <f aca="false">IF(COUNTIF($M$1:$M$10,$A576)&gt;0,"Y","N")</f>
        <v>Y</v>
      </c>
    </row>
    <row r="577" customFormat="false" ht="15" hidden="false" customHeight="true" outlineLevel="0" collapsed="false">
      <c r="A577" s="8" t="s">
        <v>44</v>
      </c>
      <c r="B577" s="8" t="s">
        <v>712</v>
      </c>
      <c r="C577" s="19" t="n">
        <v>51</v>
      </c>
      <c r="D577" s="19" t="n">
        <v>2529.61</v>
      </c>
      <c r="E577" s="19" t="n">
        <v>38</v>
      </c>
      <c r="F577" s="19" t="n">
        <v>1861.94</v>
      </c>
      <c r="G577" s="8" t="n">
        <f aca="false">IFERROR(INDEX('TRANS'!$B:$B,MATCH($B577,'TRANS'!$A:$A,0)),IFERROR(INDEX('TRANS'!$B:$B,MATCH(TRIM(SUBSTITUTE($B577,CHAR(160)," ")),'TRANS'!$D:$D,0)),IFERROR(INDEX('Catalog'!$A:$A,MATCH($B577,'Catalog'!$B:$B,0)),IFERROR(INDEX('Catalog'!$A:$A,MATCH(TRIM(SUBSTITUTE($B577,CHAR(160)," ")),'Catalog'!$C:$C,0)),""))))</f>
        <v>4413517</v>
      </c>
      <c r="H577" s="8" t="str">
        <f aca="false">IFERROR(INDEX('TRANS'!$C:$C,MATCH($B577,'TRANS'!$A:$A,0)),IFERROR(INDEX('Catalog'!$B:$B,MATCH($G577,'Catalog'!$A:$A,0)),$B577))</f>
        <v>85B M מתלה רשת לזרוע שחור</v>
      </c>
      <c r="I577" s="8" t="str">
        <f aca="false">IF($G577="","Unmatched","Matched")</f>
        <v>Matched</v>
      </c>
      <c r="J577" s="8" t="n">
        <f aca="false">IF($G577&lt;&gt;"",$G577,$B577)</f>
        <v>4413517</v>
      </c>
      <c r="K577" s="8" t="str">
        <f aca="false">IF(COUNTIF($M$1:$M$10,$A577)&gt;0,"Y","N")</f>
        <v>Y</v>
      </c>
    </row>
    <row r="578" customFormat="false" ht="15" hidden="false" customHeight="true" outlineLevel="0" collapsed="false">
      <c r="A578" s="8" t="s">
        <v>44</v>
      </c>
      <c r="B578" s="8" t="s">
        <v>714</v>
      </c>
      <c r="C578" s="19" t="n">
        <v>50</v>
      </c>
      <c r="D578" s="19" t="n">
        <v>2557.39</v>
      </c>
      <c r="E578" s="19" t="n">
        <v>22</v>
      </c>
      <c r="F578" s="19" t="n">
        <v>1077.95</v>
      </c>
      <c r="G578" s="8" t="n">
        <f aca="false">IFERROR(INDEX('TRANS'!$B:$B,MATCH($B578,'TRANS'!$A:$A,0)),IFERROR(INDEX('TRANS'!$B:$B,MATCH(TRIM(SUBSTITUTE($B578,CHAR(160)," ")),'TRANS'!$D:$D,0)),IFERROR(INDEX('Catalog'!$A:$A,MATCH($B578,'Catalog'!$B:$B,0)),IFERROR(INDEX('Catalog'!$A:$A,MATCH(TRIM(SUBSTITUTE($B578,CHAR(160)," ")),'Catalog'!$C:$C,0)),""))))</f>
        <v>4413518</v>
      </c>
      <c r="H578" s="8" t="str">
        <f aca="false">IFERROR(INDEX('TRANS'!$C:$C,MATCH($B578,'TRANS'!$A:$A,0)),IFERROR(INDEX('Catalog'!$B:$B,MATCH($G578,'Catalog'!$A:$A,0)),$B578))</f>
        <v>85B XL מתלה רשת לזרוע שחור</v>
      </c>
      <c r="I578" s="8" t="str">
        <f aca="false">IF($G578="","Unmatched","Matched")</f>
        <v>Matched</v>
      </c>
      <c r="J578" s="8" t="n">
        <f aca="false">IF($G578&lt;&gt;"",$G578,$B578)</f>
        <v>4413518</v>
      </c>
      <c r="K578" s="8" t="str">
        <f aca="false">IF(COUNTIF($M$1:$M$10,$A578)&gt;0,"Y","N")</f>
        <v>Y</v>
      </c>
    </row>
    <row r="579" customFormat="false" ht="15" hidden="false" customHeight="true" outlineLevel="0" collapsed="false">
      <c r="A579" s="8" t="s">
        <v>44</v>
      </c>
      <c r="B579" s="8" t="s">
        <v>830</v>
      </c>
      <c r="C579" s="19" t="n">
        <v>224</v>
      </c>
      <c r="D579" s="19" t="n">
        <v>30369.76</v>
      </c>
      <c r="E579" s="19" t="n">
        <v>175</v>
      </c>
      <c r="F579" s="19" t="n">
        <v>24500.36</v>
      </c>
      <c r="G579" s="8" t="n">
        <f aca="false">IFERROR(INDEX('TRANS'!$B:$B,MATCH($B579,'TRANS'!$A:$A,0)),IFERROR(INDEX('TRANS'!$B:$B,MATCH(TRIM(SUBSTITUTE($B579,CHAR(160)," ")),'TRANS'!$D:$D,0)),IFERROR(INDEX('Catalog'!$A:$A,MATCH($B579,'Catalog'!$B:$B,0)),IFERROR(INDEX('Catalog'!$A:$A,MATCH(TRIM(SUBSTITUTE($B579,CHAR(160)," ")),'Catalog'!$C:$C,0)),""))))</f>
        <v>4413197</v>
      </c>
      <c r="H579" s="8" t="str">
        <f aca="false">IFERROR(INDEX('TRANS'!$C:$C,MATCH($B579,'TRANS'!$A:$A,0)),IFERROR(INDEX('Catalog'!$B:$B,MATCH($G579,'Catalog'!$A:$A,0)),$B579))</f>
        <v>87 L מקבע כתף ויד</v>
      </c>
      <c r="I579" s="8" t="str">
        <f aca="false">IF($G579="","Unmatched","Matched")</f>
        <v>Matched</v>
      </c>
      <c r="J579" s="8" t="n">
        <f aca="false">IF($G579&lt;&gt;"",$G579,$B579)</f>
        <v>4413197</v>
      </c>
      <c r="K579" s="8" t="str">
        <f aca="false">IF(COUNTIF($M$1:$M$10,$A579)&gt;0,"Y","N")</f>
        <v>Y</v>
      </c>
    </row>
    <row r="580" customFormat="false" ht="15" hidden="false" customHeight="true" outlineLevel="0" collapsed="false">
      <c r="A580" s="8" t="s">
        <v>44</v>
      </c>
      <c r="B580" s="8" t="s">
        <v>918</v>
      </c>
      <c r="C580" s="19" t="n">
        <v>13</v>
      </c>
      <c r="D580" s="19" t="n">
        <v>1743.81</v>
      </c>
      <c r="E580" s="19" t="n">
        <v>9</v>
      </c>
      <c r="F580" s="19" t="n">
        <v>1260.07</v>
      </c>
      <c r="G580" s="8" t="n">
        <f aca="false">IFERROR(INDEX('TRANS'!$B:$B,MATCH($B580,'TRANS'!$A:$A,0)),IFERROR(INDEX('TRANS'!$B:$B,MATCH(TRIM(SUBSTITUTE($B580,CHAR(160)," ")),'TRANS'!$D:$D,0)),IFERROR(INDEX('Catalog'!$A:$A,MATCH($B580,'Catalog'!$B:$B,0)),IFERROR(INDEX('Catalog'!$A:$A,MATCH(TRIM(SUBSTITUTE($B580,CHAR(160)," ")),'Catalog'!$C:$C,0)),""))))</f>
        <v>4413195</v>
      </c>
      <c r="H580" s="8" t="str">
        <f aca="false">IFERROR(INDEX('TRANS'!$C:$C,MATCH($B580,'TRANS'!$A:$A,0)),IFERROR(INDEX('Catalog'!$B:$B,MATCH($G580,'Catalog'!$A:$A,0)),$B580))</f>
        <v>87 S מקבע כתף ויד</v>
      </c>
      <c r="I580" s="8" t="str">
        <f aca="false">IF($G580="","Unmatched","Matched")</f>
        <v>Matched</v>
      </c>
      <c r="J580" s="8" t="n">
        <f aca="false">IF($G580&lt;&gt;"",$G580,$B580)</f>
        <v>4413195</v>
      </c>
      <c r="K580" s="8" t="str">
        <f aca="false">IF(COUNTIF($M$1:$M$10,$A580)&gt;0,"Y","N")</f>
        <v>Y</v>
      </c>
    </row>
    <row r="581" customFormat="false" ht="15" hidden="false" customHeight="true" outlineLevel="0" collapsed="false">
      <c r="A581" s="8" t="s">
        <v>44</v>
      </c>
      <c r="B581" s="8" t="s">
        <v>57</v>
      </c>
      <c r="C581" s="19" t="n">
        <v>46</v>
      </c>
      <c r="D581" s="19" t="n">
        <v>1407.25</v>
      </c>
      <c r="E581" s="19" t="n">
        <v>23</v>
      </c>
      <c r="F581" s="19" t="n">
        <v>679.07</v>
      </c>
      <c r="G581" s="8" t="str">
        <f aca="false">IFERROR(INDEX('TRANS'!$B:$B,MATCH($B581,'TRANS'!$A:$A,0)),IFERROR(INDEX('TRANS'!$B:$B,MATCH(TRIM(SUBSTITUTE($B581,CHAR(160)," ")),'TRANS'!$D:$D,0)),IFERROR(INDEX('Catalog'!$A:$A,MATCH($B581,'Catalog'!$B:$B,0)),IFERROR(INDEX('Catalog'!$A:$A,MATCH(TRIM(SUBSTITUTE($B581,CHAR(160)," ")),'Catalog'!$C:$C,0)),""))))</f>
        <v/>
      </c>
      <c r="H581" s="8" t="str">
        <f aca="false">IFERROR(INDEX('TRANS'!$C:$C,MATCH($B581,'TRANS'!$A:$A,0)),IFERROR(INDEX('Catalog'!$B:$B,MATCH($G581,'Catalog'!$A:$A,0)),$B581))</f>
        <v>M93</v>
      </c>
      <c r="I581" s="8" t="str">
        <f aca="false">IF($G581="","Unmatched","Matched")</f>
        <v>Unmatched</v>
      </c>
      <c r="J581" s="8" t="str">
        <f aca="false">IF($G581&lt;&gt;"",$G581,$B581)</f>
        <v>M93</v>
      </c>
      <c r="K581" s="8" t="str">
        <f aca="false">IF(COUNTIF($M$1:$M$10,$A581)&gt;0,"Y","N")</f>
        <v>Y</v>
      </c>
    </row>
    <row r="582" customFormat="false" ht="15" hidden="false" customHeight="true" outlineLevel="0" collapsed="false">
      <c r="A582" s="8" t="s">
        <v>44</v>
      </c>
      <c r="B582" s="8" t="s">
        <v>763</v>
      </c>
      <c r="C582" s="19" t="n">
        <v>42</v>
      </c>
      <c r="D582" s="19" t="n">
        <v>4801.24</v>
      </c>
      <c r="E582" s="19" t="n">
        <v>28</v>
      </c>
      <c r="F582" s="19" t="n">
        <v>3000</v>
      </c>
      <c r="G582" s="8" t="n">
        <f aca="false">IFERROR(INDEX('TRANS'!$B:$B,MATCH($B582,'TRANS'!$A:$A,0)),IFERROR(INDEX('TRANS'!$B:$B,MATCH(TRIM(SUBSTITUTE($B582,CHAR(160)," ")),'TRANS'!$D:$D,0)),IFERROR(INDEX('Catalog'!$A:$A,MATCH($B582,'Catalog'!$B:$B,0)),IFERROR(INDEX('Catalog'!$A:$A,MATCH(TRIM(SUBSTITUTE($B582,CHAR(160)," ")),'Catalog'!$C:$C,0)),""))))</f>
        <v>4422041</v>
      </c>
      <c r="H582" s="8" t="str">
        <f aca="false">IFERROR(INDEX('TRANS'!$C:$C,MATCH($B582,'TRANS'!$A:$A,0)),IFERROR(INDEX('Catalog'!$B:$B,MATCH($G582,'Catalog'!$A:$A,0)),$B582))</f>
        <v>SH422 5 תומך ברך גנושילד</v>
      </c>
      <c r="I582" s="8" t="str">
        <f aca="false">IF($G582="","Unmatched","Matched")</f>
        <v>Matched</v>
      </c>
      <c r="J582" s="8" t="n">
        <f aca="false">IF($G582&lt;&gt;"",$G582,$B582)</f>
        <v>4422041</v>
      </c>
      <c r="K582" s="8" t="str">
        <f aca="false">IF(COUNTIF($M$1:$M$10,$A582)&gt;0,"Y","N")</f>
        <v>Y</v>
      </c>
    </row>
    <row r="583" customFormat="false" ht="15" hidden="false" customHeight="true" outlineLevel="0" collapsed="false">
      <c r="A583" s="8" t="s">
        <v>44</v>
      </c>
      <c r="B583" s="8" t="s">
        <v>72</v>
      </c>
      <c r="C583" s="19" t="n">
        <v>0</v>
      </c>
      <c r="D583" s="19" t="n">
        <v>0</v>
      </c>
      <c r="E583" s="19" t="n">
        <v>23</v>
      </c>
      <c r="F583" s="19" t="n">
        <v>8075</v>
      </c>
      <c r="G583" s="8" t="str">
        <f aca="false">IFERROR(INDEX('TRANS'!$B:$B,MATCH($B583,'TRANS'!$A:$A,0)),IFERROR(INDEX('TRANS'!$B:$B,MATCH(TRIM(SUBSTITUTE($B583,CHAR(160)," ")),'TRANS'!$D:$D,0)),IFERROR(INDEX('Catalog'!$A:$A,MATCH($B583,'Catalog'!$B:$B,0)),IFERROR(INDEX('Catalog'!$A:$A,MATCH(TRIM(SUBSTITUTE($B583,CHAR(160)," ")),'Catalog'!$C:$C,0)),""))))</f>
        <v/>
      </c>
      <c r="H583" s="8" t="str">
        <f aca="false">IFERROR(INDEX('TRANS'!$C:$C,MATCH($B583,'TRANS'!$A:$A,0)),IFERROR(INDEX('Catalog'!$B:$B,MATCH($G583,'Catalog'!$A:$A,0)),$B583))</f>
        <v>SH776 L</v>
      </c>
      <c r="I583" s="8" t="str">
        <f aca="false">IF($G583="","Unmatched","Matched")</f>
        <v>Unmatched</v>
      </c>
      <c r="J583" s="8" t="str">
        <f aca="false">IF($G583&lt;&gt;"",$G583,$B583)</f>
        <v>SH776 L</v>
      </c>
      <c r="K583" s="8" t="str">
        <f aca="false">IF(COUNTIF($M$1:$M$10,$A583)&gt;0,"Y","N")</f>
        <v>Y</v>
      </c>
    </row>
    <row r="584" customFormat="false" ht="15" hidden="false" customHeight="true" outlineLevel="0" collapsed="false">
      <c r="A584" s="8" t="s">
        <v>44</v>
      </c>
      <c r="B584" s="8" t="s">
        <v>86</v>
      </c>
      <c r="C584" s="19" t="n">
        <v>0</v>
      </c>
      <c r="D584" s="19" t="n">
        <v>0</v>
      </c>
      <c r="E584" s="19" t="n">
        <v>19</v>
      </c>
      <c r="F584" s="19" t="n">
        <v>6650.03</v>
      </c>
      <c r="G584" s="8" t="str">
        <f aca="false">IFERROR(INDEX('TRANS'!$B:$B,MATCH($B584,'TRANS'!$A:$A,0)),IFERROR(INDEX('TRANS'!$B:$B,MATCH(TRIM(SUBSTITUTE($B584,CHAR(160)," ")),'TRANS'!$D:$D,0)),IFERROR(INDEX('Catalog'!$A:$A,MATCH($B584,'Catalog'!$B:$B,0)),IFERROR(INDEX('Catalog'!$A:$A,MATCH(TRIM(SUBSTITUTE($B584,CHAR(160)," ")),'Catalog'!$C:$C,0)),""))))</f>
        <v/>
      </c>
      <c r="H584" s="8" t="str">
        <f aca="false">IFERROR(INDEX('TRANS'!$C:$C,MATCH($B584,'TRANS'!$A:$A,0)),IFERROR(INDEX('Catalog'!$B:$B,MATCH($G584,'Catalog'!$A:$A,0)),$B584))</f>
        <v>SH776 XL</v>
      </c>
      <c r="I584" s="8" t="str">
        <f aca="false">IF($G584="","Unmatched","Matched")</f>
        <v>Unmatched</v>
      </c>
      <c r="J584" s="8" t="str">
        <f aca="false">IF($G584&lt;&gt;"",$G584,$B584)</f>
        <v>SH776 XL</v>
      </c>
      <c r="K584" s="8" t="str">
        <f aca="false">IF(COUNTIF($M$1:$M$10,$A584)&gt;0,"Y","N")</f>
        <v>Y</v>
      </c>
    </row>
    <row r="585" customFormat="false" ht="15" hidden="false" customHeight="true" outlineLevel="0" collapsed="false">
      <c r="A585" s="8" t="s">
        <v>44</v>
      </c>
      <c r="B585" s="8" t="s">
        <v>848</v>
      </c>
      <c r="C585" s="19" t="n">
        <v>50</v>
      </c>
      <c r="D585" s="19" t="n">
        <v>2043.02</v>
      </c>
      <c r="E585" s="19" t="n">
        <v>15</v>
      </c>
      <c r="F585" s="19" t="n">
        <v>702.33</v>
      </c>
      <c r="G585" s="8" t="n">
        <f aca="false">IFERROR(INDEX('TRANS'!$B:$B,MATCH($B585,'TRANS'!$A:$A,0)),IFERROR(INDEX('TRANS'!$B:$B,MATCH(TRIM(SUBSTITUTE($B585,CHAR(160)," ")),'TRANS'!$D:$D,0)),IFERROR(INDEX('Catalog'!$A:$A,MATCH($B585,'Catalog'!$B:$B,0)),IFERROR(INDEX('Catalog'!$A:$A,MATCH(TRIM(SUBSTITUTE($B585,CHAR(160)," ")),'Catalog'!$C:$C,0)),""))))</f>
        <v>4408264</v>
      </c>
      <c r="H585" s="8" t="str">
        <f aca="false">IFERROR(INDEX('TRANS'!$C:$C,MATCH($B585,'TRANS'!$A:$A,0)),IFERROR(INDEX('Catalog'!$B:$B,MATCH($G585,'Catalog'!$A:$A,0)),$B585))</f>
        <v>T25B   חבק יד אגודלי</v>
      </c>
      <c r="I585" s="8" t="str">
        <f aca="false">IF($G585="","Unmatched","Matched")</f>
        <v>Matched</v>
      </c>
      <c r="J585" s="8" t="n">
        <f aca="false">IF($G585&lt;&gt;"",$G585,$B585)</f>
        <v>4408264</v>
      </c>
      <c r="K585" s="8" t="str">
        <f aca="false">IF(COUNTIF($M$1:$M$10,$A585)&gt;0,"Y","N")</f>
        <v>Y</v>
      </c>
    </row>
    <row r="586" customFormat="false" ht="15" hidden="false" customHeight="true" outlineLevel="0" collapsed="false">
      <c r="A586" s="8" t="s">
        <v>44</v>
      </c>
      <c r="B586" s="8" t="s">
        <v>124</v>
      </c>
      <c r="C586" s="19" t="n">
        <v>11</v>
      </c>
      <c r="D586" s="19" t="n">
        <v>1015.62</v>
      </c>
      <c r="E586" s="19" t="n">
        <v>3</v>
      </c>
      <c r="F586" s="19" t="n">
        <v>271.29</v>
      </c>
      <c r="G586" s="8" t="str">
        <f aca="false">IFERROR(INDEX('TRANS'!$B:$B,MATCH($B586,'TRANS'!$A:$A,0)),IFERROR(INDEX('TRANS'!$B:$B,MATCH(TRIM(SUBSTITUTE($B586,CHAR(160)," ")),'TRANS'!$D:$D,0)),IFERROR(INDEX('Catalog'!$A:$A,MATCH($B586,'Catalog'!$B:$B,0)),IFERROR(INDEX('Catalog'!$A:$A,MATCH(TRIM(SUBSTITUTE($B586,CHAR(160)," ")),'Catalog'!$C:$C,0)),""))))</f>
        <v/>
      </c>
      <c r="H586" s="8" t="str">
        <f aca="false">IFERROR(INDEX('TRANS'!$C:$C,MATCH($B586,'TRANS'!$A:$A,0)),IFERROR(INDEX('Catalog'!$B:$B,MATCH($G586,'Catalog'!$A:$A,0)),$B586))</f>
        <v>T402 L</v>
      </c>
      <c r="I586" s="8" t="str">
        <f aca="false">IF($G586="","Unmatched","Matched")</f>
        <v>Unmatched</v>
      </c>
      <c r="J586" s="8" t="str">
        <f aca="false">IF($G586&lt;&gt;"",$G586,$B586)</f>
        <v>T402 L</v>
      </c>
      <c r="K586" s="8" t="str">
        <f aca="false">IF(COUNTIF($M$1:$M$10,$A586)&gt;0,"Y","N")</f>
        <v>Y</v>
      </c>
    </row>
    <row r="587" customFormat="false" ht="15" hidden="false" customHeight="true" outlineLevel="0" collapsed="false">
      <c r="A587" s="8" t="s">
        <v>44</v>
      </c>
      <c r="B587" s="8" t="s">
        <v>774</v>
      </c>
      <c r="C587" s="19" t="n">
        <v>67</v>
      </c>
      <c r="D587" s="19" t="n">
        <v>8683.86</v>
      </c>
      <c r="E587" s="19" t="n">
        <v>43</v>
      </c>
      <c r="F587" s="19" t="n">
        <v>5589.84</v>
      </c>
      <c r="G587" s="8" t="n">
        <f aca="false">IFERROR(INDEX('TRANS'!$B:$B,MATCH($B587,'TRANS'!$A:$A,0)),IFERROR(INDEX('TRANS'!$B:$B,MATCH(TRIM(SUBSTITUTE($B587,CHAR(160)," ")),'TRANS'!$D:$D,0)),IFERROR(INDEX('Catalog'!$A:$A,MATCH($B587,'Catalog'!$B:$B,0)),IFERROR(INDEX('Catalog'!$A:$A,MATCH(TRIM(SUBSTITUTE($B587,CHAR(160)," ")),'Catalog'!$C:$C,0)),""))))</f>
        <v>4422006</v>
      </c>
      <c r="H587" s="8" t="str">
        <f aca="false">IFERROR(INDEX('TRANS'!$C:$C,MATCH($B587,'TRANS'!$A:$A,0)),IFERROR(INDEX('Catalog'!$B:$B,MATCH($G587,'Catalog'!$A:$A,0)),$B587))</f>
        <v>T78 L תומך זרוע וכתף</v>
      </c>
      <c r="I587" s="8" t="str">
        <f aca="false">IF($G587="","Unmatched","Matched")</f>
        <v>Matched</v>
      </c>
      <c r="J587" s="8" t="n">
        <f aca="false">IF($G587&lt;&gt;"",$G587,$B587)</f>
        <v>4422006</v>
      </c>
      <c r="K587" s="8" t="str">
        <f aca="false">IF(COUNTIF($M$1:$M$10,$A587)&gt;0,"Y","N")</f>
        <v>Y</v>
      </c>
    </row>
    <row r="588" customFormat="false" ht="15" hidden="false" customHeight="true" outlineLevel="0" collapsed="false">
      <c r="A588" s="8" t="s">
        <v>44</v>
      </c>
      <c r="B588" s="8" t="s">
        <v>851</v>
      </c>
      <c r="C588" s="19" t="n">
        <v>78</v>
      </c>
      <c r="D588" s="19" t="n">
        <v>10108.89</v>
      </c>
      <c r="E588" s="19" t="n">
        <v>41</v>
      </c>
      <c r="F588" s="19" t="n">
        <v>5329.85</v>
      </c>
      <c r="G588" s="8" t="n">
        <f aca="false">IFERROR(INDEX('TRANS'!$B:$B,MATCH($B588,'TRANS'!$A:$A,0)),IFERROR(INDEX('TRANS'!$B:$B,MATCH(TRIM(SUBSTITUTE($B588,CHAR(160)," ")),'TRANS'!$D:$D,0)),IFERROR(INDEX('Catalog'!$A:$A,MATCH($B588,'Catalog'!$B:$B,0)),IFERROR(INDEX('Catalog'!$A:$A,MATCH(TRIM(SUBSTITUTE($B588,CHAR(160)," ")),'Catalog'!$C:$C,0)),""))))</f>
        <v>4422005</v>
      </c>
      <c r="H588" s="8" t="str">
        <f aca="false">IFERROR(INDEX('TRANS'!$C:$C,MATCH($B588,'TRANS'!$A:$A,0)),IFERROR(INDEX('Catalog'!$B:$B,MATCH($G588,'Catalog'!$A:$A,0)),$B588))</f>
        <v>T78 M תומך זרוע וכתף</v>
      </c>
      <c r="I588" s="8" t="str">
        <f aca="false">IF($G588="","Unmatched","Matched")</f>
        <v>Matched</v>
      </c>
      <c r="J588" s="8" t="n">
        <f aca="false">IF($G588&lt;&gt;"",$G588,$B588)</f>
        <v>4422005</v>
      </c>
      <c r="K588" s="8" t="str">
        <f aca="false">IF(COUNTIF($M$1:$M$10,$A588)&gt;0,"Y","N")</f>
        <v>Y</v>
      </c>
    </row>
    <row r="589" customFormat="false" ht="15" hidden="false" customHeight="true" outlineLevel="0" collapsed="false">
      <c r="A589" s="8" t="s">
        <v>44</v>
      </c>
      <c r="B589" s="8" t="s">
        <v>919</v>
      </c>
      <c r="C589" s="19" t="n">
        <v>43</v>
      </c>
      <c r="D589" s="19" t="n">
        <v>5576.92</v>
      </c>
      <c r="E589" s="19" t="n">
        <v>22</v>
      </c>
      <c r="F589" s="19" t="n">
        <v>2859.92</v>
      </c>
      <c r="G589" s="8" t="n">
        <f aca="false">IFERROR(INDEX('TRANS'!$B:$B,MATCH($B589,'TRANS'!$A:$A,0)),IFERROR(INDEX('TRANS'!$B:$B,MATCH(TRIM(SUBSTITUTE($B589,CHAR(160)," ")),'TRANS'!$D:$D,0)),IFERROR(INDEX('Catalog'!$A:$A,MATCH($B589,'Catalog'!$B:$B,0)),IFERROR(INDEX('Catalog'!$A:$A,MATCH(TRIM(SUBSTITUTE($B589,CHAR(160)," ")),'Catalog'!$C:$C,0)),""))))</f>
        <v>4422004</v>
      </c>
      <c r="H589" s="8" t="str">
        <f aca="false">IFERROR(INDEX('TRANS'!$C:$C,MATCH($B589,'TRANS'!$A:$A,0)),IFERROR(INDEX('Catalog'!$B:$B,MATCH($G589,'Catalog'!$A:$A,0)),$B589))</f>
        <v>T78 S תומך זרוע וכתף</v>
      </c>
      <c r="I589" s="8" t="str">
        <f aca="false">IF($G589="","Unmatched","Matched")</f>
        <v>Matched</v>
      </c>
      <c r="J589" s="8" t="n">
        <f aca="false">IF($G589&lt;&gt;"",$G589,$B589)</f>
        <v>4422004</v>
      </c>
      <c r="K589" s="8" t="str">
        <f aca="false">IF(COUNTIF($M$1:$M$10,$A589)&gt;0,"Y","N")</f>
        <v>Y</v>
      </c>
    </row>
    <row r="590" customFormat="false" ht="15" hidden="false" customHeight="true" outlineLevel="0" collapsed="false">
      <c r="A590" s="8" t="s">
        <v>44</v>
      </c>
      <c r="B590" s="8" t="s">
        <v>853</v>
      </c>
      <c r="C590" s="19" t="n">
        <v>3</v>
      </c>
      <c r="D590" s="19" t="n">
        <v>239.99</v>
      </c>
      <c r="E590" s="19" t="n">
        <v>9</v>
      </c>
      <c r="F590" s="19" t="n">
        <v>810.02</v>
      </c>
      <c r="G590" s="8" t="n">
        <f aca="false">IFERROR(INDEX('TRANS'!$B:$B,MATCH($B590,'TRANS'!$A:$A,0)),IFERROR(INDEX('TRANS'!$B:$B,MATCH(TRIM(SUBSTITUTE($B590,CHAR(160)," ")),'TRANS'!$D:$D,0)),IFERROR(INDEX('Catalog'!$A:$A,MATCH($B590,'Catalog'!$B:$B,0)),IFERROR(INDEX('Catalog'!$A:$A,MATCH(TRIM(SUBSTITUTE($B590,CHAR(160)," ")),'Catalog'!$C:$C,0)),""))))</f>
        <v>4408217</v>
      </c>
      <c r="H590" s="8" t="str">
        <f aca="false">IFERROR(INDEX('TRANS'!$C:$C,MATCH($B590,'TRANS'!$A:$A,0)),IFERROR(INDEX('Catalog'!$B:$B,MATCH($G590,'Catalog'!$A:$A,0)),$B590))</f>
        <v>S078 חגורת גב +סגירה כפולה</v>
      </c>
      <c r="I590" s="8" t="str">
        <f aca="false">IF($G590="","Unmatched","Matched")</f>
        <v>Matched</v>
      </c>
      <c r="J590" s="8" t="n">
        <f aca="false">IF($G590&lt;&gt;"",$G590,$B590)</f>
        <v>4408217</v>
      </c>
      <c r="K590" s="8" t="str">
        <f aca="false">IF(COUNTIF($M$1:$M$10,$A590)&gt;0,"Y","N")</f>
        <v>Y</v>
      </c>
    </row>
    <row r="591" customFormat="false" ht="15" hidden="false" customHeight="true" outlineLevel="0" collapsed="false">
      <c r="A591" s="8" t="s">
        <v>44</v>
      </c>
      <c r="B591" s="8" t="s">
        <v>778</v>
      </c>
      <c r="C591" s="19" t="n">
        <v>35</v>
      </c>
      <c r="D591" s="19" t="n">
        <v>2815.87</v>
      </c>
      <c r="E591" s="19" t="n">
        <v>21</v>
      </c>
      <c r="F591" s="19" t="n">
        <v>1784.93</v>
      </c>
      <c r="G591" s="8" t="n">
        <f aca="false">IFERROR(INDEX('TRANS'!$B:$B,MATCH($B591,'TRANS'!$A:$A,0)),IFERROR(INDEX('TRANS'!$B:$B,MATCH(TRIM(SUBSTITUTE($B591,CHAR(160)," ")),'TRANS'!$D:$D,0)),IFERROR(INDEX('Catalog'!$A:$A,MATCH($B591,'Catalog'!$B:$B,0)),IFERROR(INDEX('Catalog'!$A:$A,MATCH(TRIM(SUBSTITUTE($B591,CHAR(160)," ")),'Catalog'!$C:$C,0)),""))))</f>
        <v>4408116</v>
      </c>
      <c r="H591" s="8" t="str">
        <f aca="false">IFERROR(INDEX('TRANS'!$C:$C,MATCH($B591,'TRANS'!$A:$A,0)),IFERROR(INDEX('Catalog'!$B:$B,MATCH($G591,'Catalog'!$A:$A,0)),$B591))</f>
        <v>11EU XLח.בטן לאחר ניתוח</v>
      </c>
      <c r="I591" s="8" t="str">
        <f aca="false">IF($G591="","Unmatched","Matched")</f>
        <v>Matched</v>
      </c>
      <c r="J591" s="8" t="n">
        <f aca="false">IF($G591&lt;&gt;"",$G591,$B591)</f>
        <v>4408116</v>
      </c>
      <c r="K591" s="8" t="str">
        <f aca="false">IF(COUNTIF($M$1:$M$10,$A591)&gt;0,"Y","N")</f>
        <v>Y</v>
      </c>
    </row>
    <row r="592" customFormat="false" ht="15" hidden="false" customHeight="true" outlineLevel="0" collapsed="false">
      <c r="A592" s="8" t="s">
        <v>44</v>
      </c>
      <c r="B592" s="8" t="s">
        <v>920</v>
      </c>
      <c r="C592" s="19" t="n">
        <v>1</v>
      </c>
      <c r="D592" s="19" t="n">
        <v>118.54</v>
      </c>
      <c r="E592" s="19" t="n">
        <v>4</v>
      </c>
      <c r="F592" s="19" t="n">
        <v>474.17</v>
      </c>
      <c r="G592" s="8" t="n">
        <f aca="false">IFERROR(INDEX('TRANS'!$B:$B,MATCH($B592,'TRANS'!$A:$A,0)),IFERROR(INDEX('TRANS'!$B:$B,MATCH(TRIM(SUBSTITUTE($B592,CHAR(160)," ")),'TRANS'!$D:$D,0)),IFERROR(INDEX('Catalog'!$A:$A,MATCH($B592,'Catalog'!$B:$B,0)),IFERROR(INDEX('Catalog'!$A:$A,MATCH(TRIM(SUBSTITUTE($B592,CHAR(160)," ")),'Catalog'!$C:$C,0)),""))))</f>
        <v>4413018</v>
      </c>
      <c r="H592" s="8" t="str">
        <f aca="false">IFERROR(INDEX('TRANS'!$C:$C,MATCH($B592,'TRANS'!$A:$A,0)),IFERROR(INDEX('Catalog'!$B:$B,MATCH($G592,'Catalog'!$A:$A,0)),$B592))</f>
        <v>303 37-38 מדרסי סיליק.לח.סכרת</v>
      </c>
      <c r="I592" s="8" t="str">
        <f aca="false">IF($G592="","Unmatched","Matched")</f>
        <v>Matched</v>
      </c>
      <c r="J592" s="8" t="n">
        <f aca="false">IF($G592&lt;&gt;"",$G592,$B592)</f>
        <v>4413018</v>
      </c>
      <c r="K592" s="8" t="str">
        <f aca="false">IF(COUNTIF($M$1:$M$10,$A592)&gt;0,"Y","N")</f>
        <v>Y</v>
      </c>
    </row>
    <row r="593" customFormat="false" ht="15" hidden="false" customHeight="true" outlineLevel="0" collapsed="false">
      <c r="A593" s="8" t="s">
        <v>44</v>
      </c>
      <c r="B593" s="8" t="s">
        <v>126</v>
      </c>
      <c r="C593" s="19" t="n">
        <v>4</v>
      </c>
      <c r="D593" s="19" t="n">
        <v>474.16</v>
      </c>
      <c r="E593" s="19" t="n">
        <v>6</v>
      </c>
      <c r="F593" s="19" t="n">
        <v>711.22</v>
      </c>
      <c r="G593" s="8" t="str">
        <f aca="false">IFERROR(INDEX('TRANS'!$B:$B,MATCH($B593,'TRANS'!$A:$A,0)),IFERROR(INDEX('TRANS'!$B:$B,MATCH(TRIM(SUBSTITUTE($B593,CHAR(160)," ")),'TRANS'!$D:$D,0)),IFERROR(INDEX('Catalog'!$A:$A,MATCH($B593,'Catalog'!$B:$B,0)),IFERROR(INDEX('Catalog'!$A:$A,MATCH(TRIM(SUBSTITUTE($B593,CHAR(160)," ")),'Catalog'!$C:$C,0)),""))))</f>
        <v/>
      </c>
      <c r="H593" s="8" t="str">
        <f aca="false">IFERROR(INDEX('TRANS'!$C:$C,MATCH($B593,'TRANS'!$A:$A,0)),IFERROR(INDEX('Catalog'!$B:$B,MATCH($G593,'Catalog'!$A:$A,0)),$B593))</f>
        <v>303-39-40</v>
      </c>
      <c r="I593" s="8" t="str">
        <f aca="false">IF($G593="","Unmatched","Matched")</f>
        <v>Unmatched</v>
      </c>
      <c r="J593" s="8" t="str">
        <f aca="false">IF($G593&lt;&gt;"",$G593,$B593)</f>
        <v>303-39-40</v>
      </c>
      <c r="K593" s="8" t="str">
        <f aca="false">IF(COUNTIF($M$1:$M$10,$A593)&gt;0,"Y","N")</f>
        <v>Y</v>
      </c>
    </row>
    <row r="594" customFormat="false" ht="15" hidden="false" customHeight="true" outlineLevel="0" collapsed="false">
      <c r="A594" s="8" t="s">
        <v>44</v>
      </c>
      <c r="B594" s="8" t="s">
        <v>921</v>
      </c>
      <c r="C594" s="19" t="n">
        <v>5</v>
      </c>
      <c r="D594" s="19" t="n">
        <v>592.7</v>
      </c>
      <c r="E594" s="19" t="n">
        <v>12</v>
      </c>
      <c r="F594" s="19" t="n">
        <v>1228.38</v>
      </c>
      <c r="G594" s="8" t="n">
        <f aca="false">IFERROR(INDEX('TRANS'!$B:$B,MATCH($B594,'TRANS'!$A:$A,0)),IFERROR(INDEX('TRANS'!$B:$B,MATCH(TRIM(SUBSTITUTE($B594,CHAR(160)," ")),'TRANS'!$D:$D,0)),IFERROR(INDEX('Catalog'!$A:$A,MATCH($B594,'Catalog'!$B:$B,0)),IFERROR(INDEX('Catalog'!$A:$A,MATCH(TRIM(SUBSTITUTE($B594,CHAR(160)," ")),'Catalog'!$C:$C,0)),""))))</f>
        <v>4413020</v>
      </c>
      <c r="H594" s="8" t="str">
        <f aca="false">IFERROR(INDEX('TRANS'!$C:$C,MATCH($B594,'TRANS'!$A:$A,0)),IFERROR(INDEX('Catalog'!$B:$B,MATCH($G594,'Catalog'!$A:$A,0)),$B594))</f>
        <v>303 41-42 מדרסי סיליק.לח.סכרת</v>
      </c>
      <c r="I594" s="8" t="str">
        <f aca="false">IF($G594="","Unmatched","Matched")</f>
        <v>Matched</v>
      </c>
      <c r="J594" s="8" t="n">
        <f aca="false">IF($G594&lt;&gt;"",$G594,$B594)</f>
        <v>4413020</v>
      </c>
      <c r="K594" s="8" t="str">
        <f aca="false">IF(COUNTIF($M$1:$M$10,$A594)&gt;0,"Y","N")</f>
        <v>Y</v>
      </c>
    </row>
    <row r="595" customFormat="false" ht="15" hidden="false" customHeight="true" outlineLevel="0" collapsed="false">
      <c r="A595" s="8" t="s">
        <v>44</v>
      </c>
      <c r="B595" s="8" t="s">
        <v>111</v>
      </c>
      <c r="C595" s="19" t="n">
        <v>14</v>
      </c>
      <c r="D595" s="19" t="n">
        <v>1658.79</v>
      </c>
      <c r="E595" s="19" t="n">
        <v>8</v>
      </c>
      <c r="F595" s="19" t="n">
        <v>793.04</v>
      </c>
      <c r="G595" s="8" t="str">
        <f aca="false">IFERROR(INDEX('TRANS'!$B:$B,MATCH($B595,'TRANS'!$A:$A,0)),IFERROR(INDEX('TRANS'!$B:$B,MATCH(TRIM(SUBSTITUTE($B595,CHAR(160)," ")),'TRANS'!$D:$D,0)),IFERROR(INDEX('Catalog'!$A:$A,MATCH($B595,'Catalog'!$B:$B,0)),IFERROR(INDEX('Catalog'!$A:$A,MATCH(TRIM(SUBSTITUTE($B595,CHAR(160)," ")),'Catalog'!$C:$C,0)),""))))</f>
        <v/>
      </c>
      <c r="H595" s="8" t="str">
        <f aca="false">IFERROR(INDEX('TRANS'!$C:$C,MATCH($B595,'TRANS'!$A:$A,0)),IFERROR(INDEX('Catalog'!$B:$B,MATCH($G595,'Catalog'!$A:$A,0)),$B595))</f>
        <v>303-43-44</v>
      </c>
      <c r="I595" s="8" t="str">
        <f aca="false">IF($G595="","Unmatched","Matched")</f>
        <v>Unmatched</v>
      </c>
      <c r="J595" s="8" t="str">
        <f aca="false">IF($G595&lt;&gt;"",$G595,$B595)</f>
        <v>303-43-44</v>
      </c>
      <c r="K595" s="8" t="str">
        <f aca="false">IF(COUNTIF($M$1:$M$10,$A595)&gt;0,"Y","N")</f>
        <v>Y</v>
      </c>
    </row>
    <row r="596" customFormat="false" ht="15" hidden="false" customHeight="true" outlineLevel="0" collapsed="false">
      <c r="A596" s="8" t="s">
        <v>44</v>
      </c>
      <c r="B596" s="8" t="s">
        <v>922</v>
      </c>
      <c r="C596" s="19" t="n">
        <v>12</v>
      </c>
      <c r="D596" s="19" t="n">
        <v>1421.97</v>
      </c>
      <c r="E596" s="19" t="n">
        <v>9</v>
      </c>
      <c r="F596" s="19" t="n">
        <v>911.58</v>
      </c>
      <c r="G596" s="8" t="n">
        <f aca="false">IFERROR(INDEX('TRANS'!$B:$B,MATCH($B596,'TRANS'!$A:$A,0)),IFERROR(INDEX('TRANS'!$B:$B,MATCH(TRIM(SUBSTITUTE($B596,CHAR(160)," ")),'TRANS'!$D:$D,0)),IFERROR(INDEX('Catalog'!$A:$A,MATCH($B596,'Catalog'!$B:$B,0)),IFERROR(INDEX('Catalog'!$A:$A,MATCH(TRIM(SUBSTITUTE($B596,CHAR(160)," ")),'Catalog'!$C:$C,0)),""))))</f>
        <v>4413022</v>
      </c>
      <c r="H596" s="8" t="str">
        <f aca="false">IFERROR(INDEX('TRANS'!$C:$C,MATCH($B596,'TRANS'!$A:$A,0)),IFERROR(INDEX('Catalog'!$B:$B,MATCH($G596,'Catalog'!$A:$A,0)),$B596))</f>
        <v>303 45-46 מדרסי סיליק.לח.סכרת</v>
      </c>
      <c r="I596" s="8" t="str">
        <f aca="false">IF($G596="","Unmatched","Matched")</f>
        <v>Matched</v>
      </c>
      <c r="J596" s="8" t="n">
        <f aca="false">IF($G596&lt;&gt;"",$G596,$B596)</f>
        <v>4413022</v>
      </c>
      <c r="K596" s="8" t="str">
        <f aca="false">IF(COUNTIF($M$1:$M$10,$A596)&gt;0,"Y","N")</f>
        <v>Y</v>
      </c>
    </row>
    <row r="597" customFormat="false" ht="15" hidden="false" customHeight="true" outlineLevel="0" collapsed="false">
      <c r="A597" s="8" t="s">
        <v>44</v>
      </c>
      <c r="B597" s="8" t="s">
        <v>601</v>
      </c>
      <c r="C597" s="19" t="n">
        <v>33</v>
      </c>
      <c r="D597" s="19" t="n">
        <v>2290.18</v>
      </c>
      <c r="E597" s="19" t="n">
        <v>23</v>
      </c>
      <c r="F597" s="19" t="n">
        <v>1835.74</v>
      </c>
      <c r="G597" s="8" t="n">
        <f aca="false">IFERROR(INDEX('TRANS'!$B:$B,MATCH($B597,'TRANS'!$A:$A,0)),IFERROR(INDEX('TRANS'!$B:$B,MATCH(TRIM(SUBSTITUTE($B597,CHAR(160)," ")),'TRANS'!$D:$D,0)),IFERROR(INDEX('Catalog'!$A:$A,MATCH($B597,'Catalog'!$B:$B,0)),IFERROR(INDEX('Catalog'!$A:$A,MATCH(TRIM(SUBSTITUTE($B597,CHAR(160)," ")),'Catalog'!$C:$C,0)),""))))</f>
        <v>4416000</v>
      </c>
      <c r="H597" s="8" t="str">
        <f aca="false">IFERROR(INDEX('TRANS'!$C:$C,MATCH($B597,'TRANS'!$A:$A,0)),IFERROR(INDEX('Catalog'!$B:$B,MATCH($G597,'Catalog'!$A:$A,0)),$B597))</f>
        <v>307 L עקבים לדורבן-זוג כריות</v>
      </c>
      <c r="I597" s="8" t="str">
        <f aca="false">IF($G597="","Unmatched","Matched")</f>
        <v>Matched</v>
      </c>
      <c r="J597" s="8" t="n">
        <f aca="false">IF($G597&lt;&gt;"",$G597,$B597)</f>
        <v>4416000</v>
      </c>
      <c r="K597" s="8" t="str">
        <f aca="false">IF(COUNTIF($M$1:$M$10,$A597)&gt;0,"Y","N")</f>
        <v>Y</v>
      </c>
    </row>
    <row r="598" customFormat="false" ht="15" hidden="false" customHeight="true" outlineLevel="0" collapsed="false">
      <c r="A598" s="8" t="s">
        <v>44</v>
      </c>
      <c r="B598" s="8" t="s">
        <v>602</v>
      </c>
      <c r="C598" s="19" t="n">
        <v>24</v>
      </c>
      <c r="D598" s="19" t="n">
        <v>1661.55</v>
      </c>
      <c r="E598" s="19" t="n">
        <v>22</v>
      </c>
      <c r="F598" s="19" t="n">
        <v>1725.01</v>
      </c>
      <c r="G598" s="8" t="n">
        <f aca="false">IFERROR(INDEX('TRANS'!$B:$B,MATCH($B598,'TRANS'!$A:$A,0)),IFERROR(INDEX('TRANS'!$B:$B,MATCH(TRIM(SUBSTITUTE($B598,CHAR(160)," ")),'TRANS'!$D:$D,0)),IFERROR(INDEX('Catalog'!$A:$A,MATCH($B598,'Catalog'!$B:$B,0)),IFERROR(INDEX('Catalog'!$A:$A,MATCH(TRIM(SUBSTITUTE($B598,CHAR(160)," ")),'Catalog'!$C:$C,0)),""))))</f>
        <v>4416001</v>
      </c>
      <c r="H598" s="8" t="str">
        <f aca="false">IFERROR(INDEX('TRANS'!$C:$C,MATCH($B598,'TRANS'!$A:$A,0)),IFERROR(INDEX('Catalog'!$B:$B,MATCH($G598,'Catalog'!$A:$A,0)),$B598))</f>
        <v>307 M עקבים לדורבן-זוג כריות</v>
      </c>
      <c r="I598" s="8" t="str">
        <f aca="false">IF($G598="","Unmatched","Matched")</f>
        <v>Matched</v>
      </c>
      <c r="J598" s="8" t="n">
        <f aca="false">IF($G598&lt;&gt;"",$G598,$B598)</f>
        <v>4416001</v>
      </c>
      <c r="K598" s="8" t="str">
        <f aca="false">IF(COUNTIF($M$1:$M$10,$A598)&gt;0,"Y","N")</f>
        <v>Y</v>
      </c>
    </row>
    <row r="599" customFormat="false" ht="15" hidden="false" customHeight="true" outlineLevel="0" collapsed="false">
      <c r="A599" s="8" t="s">
        <v>44</v>
      </c>
      <c r="B599" s="8" t="s">
        <v>603</v>
      </c>
      <c r="C599" s="19" t="n">
        <v>21</v>
      </c>
      <c r="D599" s="19" t="n">
        <v>1433.15</v>
      </c>
      <c r="E599" s="19" t="n">
        <v>13</v>
      </c>
      <c r="F599" s="19" t="n">
        <v>1212.13</v>
      </c>
      <c r="G599" s="8" t="n">
        <f aca="false">IFERROR(INDEX('TRANS'!$B:$B,MATCH($B599,'TRANS'!$A:$A,0)),IFERROR(INDEX('TRANS'!$B:$B,MATCH(TRIM(SUBSTITUTE($B599,CHAR(160)," ")),'TRANS'!$D:$D,0)),IFERROR(INDEX('Catalog'!$A:$A,MATCH($B599,'Catalog'!$B:$B,0)),IFERROR(INDEX('Catalog'!$A:$A,MATCH(TRIM(SUBSTITUTE($B599,CHAR(160)," ")),'Catalog'!$C:$C,0)),""))))</f>
        <v>4411016</v>
      </c>
      <c r="H599" s="8" t="str">
        <f aca="false">IFERROR(INDEX('TRANS'!$C:$C,MATCH($B599,'TRANS'!$A:$A,0)),IFERROR(INDEX('Catalog'!$B:$B,MATCH($G599,'Catalog'!$A:$A,0)),$B599))</f>
        <v>307 XL כרית סיליקון לעקב</v>
      </c>
      <c r="I599" s="8" t="str">
        <f aca="false">IF($G599="","Unmatched","Matched")</f>
        <v>Matched</v>
      </c>
      <c r="J599" s="8" t="n">
        <f aca="false">IF($G599&lt;&gt;"",$G599,$B599)</f>
        <v>4411016</v>
      </c>
      <c r="K599" s="8" t="str">
        <f aca="false">IF(COUNTIF($M$1:$M$10,$A599)&gt;0,"Y","N")</f>
        <v>Y</v>
      </c>
    </row>
    <row r="600" customFormat="false" ht="15" hidden="false" customHeight="true" outlineLevel="0" collapsed="false">
      <c r="A600" s="8" t="s">
        <v>44</v>
      </c>
      <c r="B600" s="8" t="s">
        <v>831</v>
      </c>
      <c r="C600" s="19" t="n">
        <v>178</v>
      </c>
      <c r="D600" s="19" t="n">
        <v>24223.45</v>
      </c>
      <c r="E600" s="19" t="n">
        <v>107</v>
      </c>
      <c r="F600" s="19" t="n">
        <v>14980.23</v>
      </c>
      <c r="G600" s="8" t="n">
        <f aca="false">IFERROR(INDEX('TRANS'!$B:$B,MATCH($B600,'TRANS'!$A:$A,0)),IFERROR(INDEX('TRANS'!$B:$B,MATCH(TRIM(SUBSTITUTE($B600,CHAR(160)," ")),'TRANS'!$D:$D,0)),IFERROR(INDEX('Catalog'!$A:$A,MATCH($B600,'Catalog'!$B:$B,0)),IFERROR(INDEX('Catalog'!$A:$A,MATCH(TRIM(SUBSTITUTE($B600,CHAR(160)," ")),'Catalog'!$C:$C,0)),""))))</f>
        <v>4413196</v>
      </c>
      <c r="H600" s="8" t="str">
        <f aca="false">IFERROR(INDEX('TRANS'!$C:$C,MATCH($B600,'TRANS'!$A:$A,0)),IFERROR(INDEX('Catalog'!$B:$B,MATCH($G600,'Catalog'!$A:$A,0)),$B600))</f>
        <v>87 M מקבע כתף ויד</v>
      </c>
      <c r="I600" s="8" t="str">
        <f aca="false">IF($G600="","Unmatched","Matched")</f>
        <v>Matched</v>
      </c>
      <c r="J600" s="8" t="n">
        <f aca="false">IF($G600&lt;&gt;"",$G600,$B600)</f>
        <v>4413196</v>
      </c>
      <c r="K600" s="8" t="str">
        <f aca="false">IF(COUNTIF($M$1:$M$10,$A600)&gt;0,"Y","N")</f>
        <v>Y</v>
      </c>
    </row>
    <row r="601" customFormat="false" ht="15" hidden="false" customHeight="true" outlineLevel="0" collapsed="false">
      <c r="A601" s="8" t="s">
        <v>44</v>
      </c>
      <c r="B601" s="8" t="s">
        <v>832</v>
      </c>
      <c r="C601" s="19" t="n">
        <v>136</v>
      </c>
      <c r="D601" s="19" t="n">
        <v>18501.11</v>
      </c>
      <c r="E601" s="19" t="n">
        <v>109</v>
      </c>
      <c r="F601" s="19" t="n">
        <v>15260.15</v>
      </c>
      <c r="G601" s="8" t="n">
        <f aca="false">IFERROR(INDEX('TRANS'!$B:$B,MATCH($B601,'TRANS'!$A:$A,0)),IFERROR(INDEX('TRANS'!$B:$B,MATCH(TRIM(SUBSTITUTE($B601,CHAR(160)," ")),'TRANS'!$D:$D,0)),IFERROR(INDEX('Catalog'!$A:$A,MATCH($B601,'Catalog'!$B:$B,0)),IFERROR(INDEX('Catalog'!$A:$A,MATCH(TRIM(SUBSTITUTE($B601,CHAR(160)," ")),'Catalog'!$C:$C,0)),""))))</f>
        <v>4413198</v>
      </c>
      <c r="H601" s="8" t="str">
        <f aca="false">IFERROR(INDEX('TRANS'!$C:$C,MATCH($B601,'TRANS'!$A:$A,0)),IFERROR(INDEX('Catalog'!$B:$B,MATCH($G601,'Catalog'!$A:$A,0)),$B601))</f>
        <v>87 XL מקבע כתף ויד</v>
      </c>
      <c r="I601" s="8" t="str">
        <f aca="false">IF($G601="","Unmatched","Matched")</f>
        <v>Matched</v>
      </c>
      <c r="J601" s="8" t="n">
        <f aca="false">IF($G601&lt;&gt;"",$G601,$B601)</f>
        <v>4413198</v>
      </c>
      <c r="K601" s="8" t="str">
        <f aca="false">IF(COUNTIF($M$1:$M$10,$A601)&gt;0,"Y","N")</f>
        <v>Y</v>
      </c>
    </row>
    <row r="602" customFormat="false" ht="15" hidden="false" customHeight="true" outlineLevel="0" collapsed="false">
      <c r="A602" s="8" t="s">
        <v>44</v>
      </c>
      <c r="B602" s="8" t="s">
        <v>560</v>
      </c>
      <c r="C602" s="19" t="n">
        <v>22</v>
      </c>
      <c r="D602" s="19" t="n">
        <v>2224.72</v>
      </c>
      <c r="E602" s="19" t="n">
        <v>21</v>
      </c>
      <c r="F602" s="19" t="n">
        <v>2164.51</v>
      </c>
      <c r="G602" s="8" t="n">
        <f aca="false">IFERROR(INDEX('TRANS'!$B:$B,MATCH($B602,'TRANS'!$A:$A,0)),IFERROR(INDEX('TRANS'!$B:$B,MATCH(TRIM(SUBSTITUTE($B602,CHAR(160)," ")),'TRANS'!$D:$D,0)),IFERROR(INDEX('Catalog'!$A:$A,MATCH($B602,'Catalog'!$B:$B,0)),IFERROR(INDEX('Catalog'!$A:$A,MATCH(TRIM(SUBSTITUTE($B602,CHAR(160)," ")),'Catalog'!$C:$C,0)),""))))</f>
        <v>4413328</v>
      </c>
      <c r="H602" s="8" t="str">
        <f aca="false">IFERROR(INDEX('TRANS'!$C:$C,MATCH($B602,'TRANS'!$A:$A,0)),IFERROR(INDEX('Catalog'!$B:$B,MATCH($G602,'Catalog'!$A:$A,0)),$B602))</f>
        <v>AC43D מגן ברך + צירים</v>
      </c>
      <c r="I602" s="8" t="str">
        <f aca="false">IF($G602="","Unmatched","Matched")</f>
        <v>Matched</v>
      </c>
      <c r="J602" s="8" t="n">
        <f aca="false">IF($G602&lt;&gt;"",$G602,$B602)</f>
        <v>4413328</v>
      </c>
      <c r="K602" s="8" t="str">
        <f aca="false">IF(COUNTIF($M$1:$M$10,$A602)&gt;0,"Y","N")</f>
        <v>Y</v>
      </c>
    </row>
    <row r="603" customFormat="false" ht="15" hidden="false" customHeight="true" outlineLevel="0" collapsed="false">
      <c r="A603" s="8" t="s">
        <v>44</v>
      </c>
      <c r="B603" s="8" t="s">
        <v>857</v>
      </c>
      <c r="C603" s="19" t="n">
        <v>58</v>
      </c>
      <c r="D603" s="19" t="n">
        <v>5957.14</v>
      </c>
      <c r="E603" s="19" t="n">
        <v>46</v>
      </c>
      <c r="F603" s="19" t="n">
        <v>4796.82</v>
      </c>
      <c r="G603" s="8" t="n">
        <f aca="false">IFERROR(INDEX('TRANS'!$B:$B,MATCH($B603,'TRANS'!$A:$A,0)),IFERROR(INDEX('TRANS'!$B:$B,MATCH(TRIM(SUBSTITUTE($B603,CHAR(160)," ")),'TRANS'!$D:$D,0)),IFERROR(INDEX('Catalog'!$A:$A,MATCH($B603,'Catalog'!$B:$B,0)),IFERROR(INDEX('Catalog'!$A:$A,MATCH(TRIM(SUBSTITUTE($B603,CHAR(160)," ")),'Catalog'!$C:$C,0)),""))))</f>
        <v>4408261</v>
      </c>
      <c r="H603" s="8" t="str">
        <f aca="false">IFERROR(INDEX('TRANS'!$C:$C,MATCH($B603,'TRANS'!$A:$A,0)),IFERROR(INDEX('Catalog'!$B:$B,MATCH($G603,'Catalog'!$A:$A,0)),$B603))</f>
        <v>11STO L חגורה אחרי ניתוח</v>
      </c>
      <c r="I603" s="8" t="str">
        <f aca="false">IF($G603="","Unmatched","Matched")</f>
        <v>Matched</v>
      </c>
      <c r="J603" s="8" t="n">
        <f aca="false">IF($G603&lt;&gt;"",$G603,$B603)</f>
        <v>4408261</v>
      </c>
      <c r="K603" s="8" t="str">
        <f aca="false">IF(COUNTIF($M$1:$M$10,$A603)&gt;0,"Y","N")</f>
        <v>Y</v>
      </c>
    </row>
    <row r="604" customFormat="false" ht="15" hidden="false" customHeight="true" outlineLevel="0" collapsed="false">
      <c r="A604" s="8" t="s">
        <v>44</v>
      </c>
      <c r="B604" s="8" t="s">
        <v>923</v>
      </c>
      <c r="C604" s="19" t="n">
        <v>51</v>
      </c>
      <c r="D604" s="19" t="n">
        <v>7010.04</v>
      </c>
      <c r="E604" s="19" t="n">
        <v>35</v>
      </c>
      <c r="F604" s="19" t="n">
        <v>4900.04</v>
      </c>
      <c r="G604" s="8" t="n">
        <f aca="false">IFERROR(INDEX('TRANS'!$B:$B,MATCH($B604,'TRANS'!$A:$A,0)),IFERROR(INDEX('TRANS'!$B:$B,MATCH(TRIM(SUBSTITUTE($B604,CHAR(160)," ")),'TRANS'!$D:$D,0)),IFERROR(INDEX('Catalog'!$A:$A,MATCH($B604,'Catalog'!$B:$B,0)),IFERROR(INDEX('Catalog'!$A:$A,MATCH(TRIM(SUBSTITUTE($B604,CHAR(160)," ")),'Catalog'!$C:$C,0)),""))))</f>
        <v>4413204</v>
      </c>
      <c r="H604" s="8" t="str">
        <f aca="false">IFERROR(INDEX('TRANS'!$C:$C,MATCH($B604,'TRANS'!$A:$A,0)),IFERROR(INDEX('Catalog'!$B:$B,MATCH($G604,'Catalog'!$A:$A,0)),$B604))</f>
        <v>87 XXL מקבע כתף ויד</v>
      </c>
      <c r="I604" s="8" t="str">
        <f aca="false">IF($G604="","Unmatched","Matched")</f>
        <v>Matched</v>
      </c>
      <c r="J604" s="8" t="n">
        <f aca="false">IF($G604&lt;&gt;"",$G604,$B604)</f>
        <v>4413204</v>
      </c>
      <c r="K604" s="8" t="str">
        <f aca="false">IF(COUNTIF($M$1:$M$10,$A604)&gt;0,"Y","N")</f>
        <v>Y</v>
      </c>
    </row>
    <row r="605" customFormat="false" ht="15" hidden="false" customHeight="true" outlineLevel="0" collapsed="false">
      <c r="A605" s="8" t="s">
        <v>44</v>
      </c>
      <c r="B605" s="8" t="s">
        <v>924</v>
      </c>
      <c r="C605" s="19" t="n">
        <v>43</v>
      </c>
      <c r="D605" s="19" t="n">
        <v>4415.37</v>
      </c>
      <c r="E605" s="19" t="n">
        <v>26</v>
      </c>
      <c r="F605" s="19" t="n">
        <v>2696.88</v>
      </c>
      <c r="G605" s="8" t="n">
        <f aca="false">IFERROR(INDEX('TRANS'!$B:$B,MATCH($B605,'TRANS'!$A:$A,0)),IFERROR(INDEX('TRANS'!$B:$B,MATCH(TRIM(SUBSTITUTE($B605,CHAR(160)," ")),'TRANS'!$D:$D,0)),IFERROR(INDEX('Catalog'!$A:$A,MATCH($B605,'Catalog'!$B:$B,0)),IFERROR(INDEX('Catalog'!$A:$A,MATCH(TRIM(SUBSTITUTE($B605,CHAR(160)," ")),'Catalog'!$C:$C,0)),""))))</f>
        <v>4408260</v>
      </c>
      <c r="H605" s="8" t="str">
        <f aca="false">IFERROR(INDEX('TRANS'!$C:$C,MATCH($B605,'TRANS'!$A:$A,0)),IFERROR(INDEX('Catalog'!$B:$B,MATCH($G605,'Catalog'!$A:$A,0)),$B605))</f>
        <v>11STO M חגורה אחרי ניתוח</v>
      </c>
      <c r="I605" s="8" t="str">
        <f aca="false">IF($G605="","Unmatched","Matched")</f>
        <v>Matched</v>
      </c>
      <c r="J605" s="8" t="n">
        <f aca="false">IF($G605&lt;&gt;"",$G605,$B605)</f>
        <v>4408260</v>
      </c>
      <c r="K605" s="8" t="str">
        <f aca="false">IF(COUNTIF($M$1:$M$10,$A605)&gt;0,"Y","N")</f>
        <v>Y</v>
      </c>
    </row>
    <row r="606" customFormat="false" ht="15" hidden="false" customHeight="true" outlineLevel="0" collapsed="false">
      <c r="A606" s="8" t="s">
        <v>44</v>
      </c>
      <c r="B606" s="8" t="s">
        <v>780</v>
      </c>
      <c r="C606" s="19" t="n">
        <v>64</v>
      </c>
      <c r="D606" s="19" t="n">
        <v>6776.37</v>
      </c>
      <c r="E606" s="19" t="n">
        <v>40</v>
      </c>
      <c r="F606" s="19" t="n">
        <v>4200.04</v>
      </c>
      <c r="G606" s="8" t="n">
        <f aca="false">IFERROR(INDEX('TRANS'!$B:$B,MATCH($B606,'TRANS'!$A:$A,0)),IFERROR(INDEX('TRANS'!$B:$B,MATCH(TRIM(SUBSTITUTE($B606,CHAR(160)," ")),'TRANS'!$D:$D,0)),IFERROR(INDEX('Catalog'!$A:$A,MATCH($B606,'Catalog'!$B:$B,0)),IFERROR(INDEX('Catalog'!$A:$A,MATCH(TRIM(SUBSTITUTE($B606,CHAR(160)," ")),'Catalog'!$C:$C,0)),""))))</f>
        <v>4408262</v>
      </c>
      <c r="H606" s="8" t="str">
        <f aca="false">IFERROR(INDEX('TRANS'!$C:$C,MATCH($B606,'TRANS'!$A:$A,0)),IFERROR(INDEX('Catalog'!$B:$B,MATCH($G606,'Catalog'!$A:$A,0)),$B606))</f>
        <v>11STO XL  חגורה אחרי ניתוח</v>
      </c>
      <c r="I606" s="8" t="str">
        <f aca="false">IF($G606="","Unmatched","Matched")</f>
        <v>Matched</v>
      </c>
      <c r="J606" s="8" t="n">
        <f aca="false">IF($G606&lt;&gt;"",$G606,$B606)</f>
        <v>4408262</v>
      </c>
      <c r="K606" s="8" t="str">
        <f aca="false">IF(COUNTIF($M$1:$M$10,$A606)&gt;0,"Y","N")</f>
        <v>Y</v>
      </c>
    </row>
    <row r="607" customFormat="false" ht="15" hidden="false" customHeight="true" outlineLevel="0" collapsed="false">
      <c r="A607" s="8" t="s">
        <v>44</v>
      </c>
      <c r="B607" s="8" t="s">
        <v>570</v>
      </c>
      <c r="C607" s="19" t="n">
        <v>51</v>
      </c>
      <c r="D607" s="19" t="n">
        <v>5416.7</v>
      </c>
      <c r="E607" s="19" t="n">
        <v>28</v>
      </c>
      <c r="F607" s="19" t="n">
        <v>3150.05</v>
      </c>
      <c r="G607" s="8" t="n">
        <f aca="false">IFERROR(INDEX('TRANS'!$B:$B,MATCH($B607,'TRANS'!$A:$A,0)),IFERROR(INDEX('TRANS'!$B:$B,MATCH(TRIM(SUBSTITUTE($B607,CHAR(160)," ")),'TRANS'!$D:$D,0)),IFERROR(INDEX('Catalog'!$A:$A,MATCH($B607,'Catalog'!$B:$B,0)),IFERROR(INDEX('Catalog'!$A:$A,MATCH(TRIM(SUBSTITUTE($B607,CHAR(160)," ")),'Catalog'!$C:$C,0)),""))))</f>
        <v>4408263</v>
      </c>
      <c r="H607" s="8" t="str">
        <f aca="false">IFERROR(INDEX('TRANS'!$C:$C,MATCH($B607,'TRANS'!$A:$A,0)),IFERROR(INDEX('Catalog'!$B:$B,MATCH($G607,'Catalog'!$A:$A,0)),$B607))</f>
        <v>11STO XXL חגורה אחרי ניתוח</v>
      </c>
      <c r="I607" s="8" t="str">
        <f aca="false">IF($G607="","Unmatched","Matched")</f>
        <v>Matched</v>
      </c>
      <c r="J607" s="8" t="n">
        <f aca="false">IF($G607&lt;&gt;"",$G607,$B607)</f>
        <v>4408263</v>
      </c>
      <c r="K607" s="8" t="str">
        <f aca="false">IF(COUNTIF($M$1:$M$10,$A607)&gt;0,"Y","N")</f>
        <v>Y</v>
      </c>
    </row>
    <row r="608" customFormat="false" ht="15" hidden="false" customHeight="true" outlineLevel="0" collapsed="false">
      <c r="A608" s="8" t="s">
        <v>44</v>
      </c>
      <c r="B608" s="8" t="s">
        <v>858</v>
      </c>
      <c r="C608" s="19" t="n">
        <v>16</v>
      </c>
      <c r="D608" s="19" t="n">
        <v>2291.7</v>
      </c>
      <c r="E608" s="19" t="n">
        <v>14</v>
      </c>
      <c r="F608" s="19" t="n">
        <v>1820.03</v>
      </c>
      <c r="G608" s="8" t="n">
        <f aca="false">IFERROR(INDEX('TRANS'!$B:$B,MATCH($B608,'TRANS'!$A:$A,0)),IFERROR(INDEX('TRANS'!$B:$B,MATCH(TRIM(SUBSTITUTE($B608,CHAR(160)," ")),'TRANS'!$D:$D,0)),IFERROR(INDEX('Catalog'!$A:$A,MATCH($B608,'Catalog'!$B:$B,0)),IFERROR(INDEX('Catalog'!$A:$A,MATCH(TRIM(SUBSTITUTE($B608,CHAR(160)," ")),'Catalog'!$C:$C,0)),""))))</f>
        <v>4408152</v>
      </c>
      <c r="H608" s="8" t="str">
        <f aca="false">IFERROR(INDEX('TRANS'!$C:$C,MATCH($B608,'TRANS'!$A:$A,0)),IFERROR(INDEX('Catalog'!$B:$B,MATCH($G608,'Catalog'!$A:$A,0)),$B608))</f>
        <v>11TO L חגורה למנותחי בית החזה</v>
      </c>
      <c r="I608" s="8" t="str">
        <f aca="false">IF($G608="","Unmatched","Matched")</f>
        <v>Matched</v>
      </c>
      <c r="J608" s="8" t="n">
        <f aca="false">IF($G608&lt;&gt;"",$G608,$B608)</f>
        <v>4408152</v>
      </c>
      <c r="K608" s="8" t="str">
        <f aca="false">IF(COUNTIF($M$1:$M$10,$A608)&gt;0,"Y","N")</f>
        <v>Y</v>
      </c>
    </row>
    <row r="609" customFormat="false" ht="15" hidden="false" customHeight="true" outlineLevel="0" collapsed="false">
      <c r="A609" s="8" t="s">
        <v>44</v>
      </c>
      <c r="B609" s="8" t="s">
        <v>925</v>
      </c>
      <c r="C609" s="19" t="n">
        <v>1</v>
      </c>
      <c r="D609" s="19" t="n">
        <v>130.01</v>
      </c>
      <c r="E609" s="19" t="n">
        <v>3</v>
      </c>
      <c r="F609" s="19" t="n">
        <v>390</v>
      </c>
      <c r="G609" s="8" t="n">
        <f aca="false">IFERROR(INDEX('TRANS'!$B:$B,MATCH($B609,'TRANS'!$A:$A,0)),IFERROR(INDEX('TRANS'!$B:$B,MATCH(TRIM(SUBSTITUTE($B609,CHAR(160)," ")),'TRANS'!$D:$D,0)),IFERROR(INDEX('Catalog'!$A:$A,MATCH($B609,'Catalog'!$B:$B,0)),IFERROR(INDEX('Catalog'!$A:$A,MATCH(TRIM(SUBSTITUTE($B609,CHAR(160)," ")),'Catalog'!$C:$C,0)),""))))</f>
        <v>4408151</v>
      </c>
      <c r="H609" s="8" t="str">
        <f aca="false">IFERROR(INDEX('TRANS'!$C:$C,MATCH($B609,'TRANS'!$A:$A,0)),IFERROR(INDEX('Catalog'!$B:$B,MATCH($G609,'Catalog'!$A:$A,0)),$B609))</f>
        <v>11TO M חגורה למנותחי בית החזה</v>
      </c>
      <c r="I609" s="8" t="str">
        <f aca="false">IF($G609="","Unmatched","Matched")</f>
        <v>Matched</v>
      </c>
      <c r="J609" s="8" t="n">
        <f aca="false">IF($G609&lt;&gt;"",$G609,$B609)</f>
        <v>4408151</v>
      </c>
      <c r="K609" s="8" t="str">
        <f aca="false">IF(COUNTIF($M$1:$M$10,$A609)&gt;0,"Y","N")</f>
        <v>Y</v>
      </c>
    </row>
    <row r="610" customFormat="false" ht="15" hidden="false" customHeight="true" outlineLevel="0" collapsed="false">
      <c r="A610" s="8" t="s">
        <v>44</v>
      </c>
      <c r="B610" s="8" t="s">
        <v>781</v>
      </c>
      <c r="C610" s="19" t="n">
        <v>40</v>
      </c>
      <c r="D610" s="19" t="n">
        <v>5598.45</v>
      </c>
      <c r="E610" s="19" t="n">
        <v>26</v>
      </c>
      <c r="F610" s="19" t="n">
        <v>3379.96</v>
      </c>
      <c r="G610" s="8" t="n">
        <f aca="false">IFERROR(INDEX('TRANS'!$B:$B,MATCH($B610,'TRANS'!$A:$A,0)),IFERROR(INDEX('TRANS'!$B:$B,MATCH(TRIM(SUBSTITUTE($B610,CHAR(160)," ")),'TRANS'!$D:$D,0)),IFERROR(INDEX('Catalog'!$A:$A,MATCH($B610,'Catalog'!$B:$B,0)),IFERROR(INDEX('Catalog'!$A:$A,MATCH(TRIM(SUBSTITUTE($B610,CHAR(160)," ")),'Catalog'!$C:$C,0)),""))))</f>
        <v>4408153</v>
      </c>
      <c r="H610" s="8" t="str">
        <f aca="false">IFERROR(INDEX('TRANS'!$C:$C,MATCH($B610,'TRANS'!$A:$A,0)),IFERROR(INDEX('Catalog'!$B:$B,MATCH($G610,'Catalog'!$A:$A,0)),$B610))</f>
        <v>11TO XLחגורה למנותחי בית החזה</v>
      </c>
      <c r="I610" s="8" t="str">
        <f aca="false">IF($G610="","Unmatched","Matched")</f>
        <v>Matched</v>
      </c>
      <c r="J610" s="8" t="n">
        <f aca="false">IF($G610&lt;&gt;"",$G610,$B610)</f>
        <v>4408153</v>
      </c>
      <c r="K610" s="8" t="str">
        <f aca="false">IF(COUNTIF($M$1:$M$10,$A610)&gt;0,"Y","N")</f>
        <v>Y</v>
      </c>
    </row>
    <row r="611" customFormat="false" ht="15" hidden="false" customHeight="true" outlineLevel="0" collapsed="false">
      <c r="A611" s="8" t="s">
        <v>44</v>
      </c>
      <c r="B611" s="8" t="s">
        <v>571</v>
      </c>
      <c r="C611" s="19" t="n">
        <v>68</v>
      </c>
      <c r="D611" s="19" t="n">
        <v>9400.21</v>
      </c>
      <c r="E611" s="19" t="n">
        <v>73</v>
      </c>
      <c r="F611" s="19" t="n">
        <v>9489.82</v>
      </c>
      <c r="G611" s="8" t="n">
        <f aca="false">IFERROR(INDEX('TRANS'!$B:$B,MATCH($B611,'TRANS'!$A:$A,0)),IFERROR(INDEX('TRANS'!$B:$B,MATCH(TRIM(SUBSTITUTE($B611,CHAR(160)," ")),'TRANS'!$D:$D,0)),IFERROR(INDEX('Catalog'!$A:$A,MATCH($B611,'Catalog'!$B:$B,0)),IFERROR(INDEX('Catalog'!$A:$A,MATCH(TRIM(SUBSTITUTE($B611,CHAR(160)," ")),'Catalog'!$C:$C,0)),""))))</f>
        <v>4408154</v>
      </c>
      <c r="H611" s="8" t="str">
        <f aca="false">IFERROR(INDEX('TRANS'!$C:$C,MATCH($B611,'TRANS'!$A:$A,0)),IFERROR(INDEX('Catalog'!$B:$B,MATCH($G611,'Catalog'!$A:$A,0)),$B611))</f>
        <v>11TO XXLחגורה למנותחי בית החזה</v>
      </c>
      <c r="I611" s="8" t="str">
        <f aca="false">IF($G611="","Unmatched","Matched")</f>
        <v>Matched</v>
      </c>
      <c r="J611" s="8" t="n">
        <f aca="false">IF($G611&lt;&gt;"",$G611,$B611)</f>
        <v>4408154</v>
      </c>
      <c r="K611" s="8" t="str">
        <f aca="false">IF(COUNTIF($M$1:$M$10,$A611)&gt;0,"Y","N")</f>
        <v>Y</v>
      </c>
    </row>
    <row r="612" customFormat="false" ht="15" hidden="false" customHeight="true" outlineLevel="0" collapsed="false">
      <c r="A612" s="8" t="s">
        <v>44</v>
      </c>
      <c r="B612" s="8" t="s">
        <v>572</v>
      </c>
      <c r="C612" s="19" t="n">
        <v>61</v>
      </c>
      <c r="D612" s="19" t="n">
        <v>10275.08</v>
      </c>
      <c r="E612" s="19" t="n">
        <v>30</v>
      </c>
      <c r="F612" s="19" t="n">
        <v>5078.82</v>
      </c>
      <c r="G612" s="8" t="n">
        <f aca="false">IFERROR(INDEX('TRANS'!$B:$B,MATCH($B612,'TRANS'!$A:$A,0)),IFERROR(INDEX('TRANS'!$B:$B,MATCH(TRIM(SUBSTITUTE($B612,CHAR(160)," ")),'TRANS'!$D:$D,0)),IFERROR(INDEX('Catalog'!$A:$A,MATCH($B612,'Catalog'!$B:$B,0)),IFERROR(INDEX('Catalog'!$A:$A,MATCH(TRIM(SUBSTITUTE($B612,CHAR(160)," ")),'Catalog'!$C:$C,0)),""))))</f>
        <v>4408203</v>
      </c>
      <c r="H612" s="8" t="str">
        <f aca="false">IFERROR(INDEX('TRANS'!$C:$C,MATCH($B612,'TRANS'!$A:$A,0)),IFERROR(INDEX('Catalog'!$B:$B,MATCH($G612,'Catalog'!$A:$A,0)),$B612))</f>
        <v>14 0 חגורה למנותחי בית חזה</v>
      </c>
      <c r="I612" s="8" t="str">
        <f aca="false">IF($G612="","Unmatched","Matched")</f>
        <v>Matched</v>
      </c>
      <c r="J612" s="8" t="n">
        <f aca="false">IF($G612&lt;&gt;"",$G612,$B612)</f>
        <v>4408203</v>
      </c>
      <c r="K612" s="8" t="str">
        <f aca="false">IF(COUNTIF($M$1:$M$10,$A612)&gt;0,"Y","N")</f>
        <v>Y</v>
      </c>
    </row>
    <row r="613" customFormat="false" ht="15" hidden="false" customHeight="true" outlineLevel="0" collapsed="false">
      <c r="A613" s="8" t="s">
        <v>44</v>
      </c>
      <c r="B613" s="8" t="s">
        <v>584</v>
      </c>
      <c r="C613" s="19" t="n">
        <v>75</v>
      </c>
      <c r="D613" s="19" t="n">
        <v>1492.71</v>
      </c>
      <c r="E613" s="19" t="n">
        <v>76</v>
      </c>
      <c r="F613" s="19" t="n">
        <v>1528.15</v>
      </c>
      <c r="G613" s="8" t="n">
        <f aca="false">IFERROR(INDEX('TRANS'!$B:$B,MATCH($B613,'TRANS'!$A:$A,0)),IFERROR(INDEX('TRANS'!$B:$B,MATCH(TRIM(SUBSTITUTE($B613,CHAR(160)," ")),'TRANS'!$D:$D,0)),IFERROR(INDEX('Catalog'!$A:$A,MATCH($B613,'Catalog'!$B:$B,0)),IFERROR(INDEX('Catalog'!$A:$A,MATCH(TRIM(SUBSTITUTE($B613,CHAR(160)," ")),'Catalog'!$C:$C,0)),""))))</f>
        <v>4415162</v>
      </c>
      <c r="H613" s="8" t="str">
        <f aca="false">IFERROR(INDEX('TRANS'!$C:$C,MATCH($B613,'TRANS'!$A:$A,0)),IFERROR(INDEX('Catalog'!$B:$B,MATCH($G613,'Catalog'!$A:$A,0)),$B613))</f>
        <v>238L סד ליישור אצבע</v>
      </c>
      <c r="I613" s="8" t="str">
        <f aca="false">IF($G613="","Unmatched","Matched")</f>
        <v>Matched</v>
      </c>
      <c r="J613" s="8" t="n">
        <f aca="false">IF($G613&lt;&gt;"",$G613,$B613)</f>
        <v>4415162</v>
      </c>
      <c r="K613" s="8" t="str">
        <f aca="false">IF(COUNTIF($M$1:$M$10,$A613)&gt;0,"Y","N")</f>
        <v>Y</v>
      </c>
    </row>
    <row r="614" customFormat="false" ht="15" hidden="false" customHeight="true" outlineLevel="0" collapsed="false">
      <c r="A614" s="8" t="s">
        <v>44</v>
      </c>
      <c r="B614" s="8" t="s">
        <v>926</v>
      </c>
      <c r="C614" s="19" t="n">
        <v>84</v>
      </c>
      <c r="D614" s="19" t="n">
        <v>1658.33</v>
      </c>
      <c r="E614" s="19" t="n">
        <v>86</v>
      </c>
      <c r="F614" s="19" t="n">
        <v>1729.21</v>
      </c>
      <c r="G614" s="8" t="n">
        <f aca="false">IFERROR(INDEX('TRANS'!$B:$B,MATCH($B614,'TRANS'!$A:$A,0)),IFERROR(INDEX('TRANS'!$B:$B,MATCH(TRIM(SUBSTITUTE($B614,CHAR(160)," ")),'TRANS'!$D:$D,0)),IFERROR(INDEX('Catalog'!$A:$A,MATCH($B614,'Catalog'!$B:$B,0)),IFERROR(INDEX('Catalog'!$A:$A,MATCH(TRIM(SUBSTITUTE($B614,CHAR(160)," ")),'Catalog'!$C:$C,0)),""))))</f>
        <v>4415161</v>
      </c>
      <c r="H614" s="8" t="str">
        <f aca="false">IFERROR(INDEX('TRANS'!$C:$C,MATCH($B614,'TRANS'!$A:$A,0)),IFERROR(INDEX('Catalog'!$B:$B,MATCH($G614,'Catalog'!$A:$A,0)),$B614))</f>
        <v>238M סד ליישור אצבע</v>
      </c>
      <c r="I614" s="8" t="str">
        <f aca="false">IF($G614="","Unmatched","Matched")</f>
        <v>Matched</v>
      </c>
      <c r="J614" s="8" t="n">
        <f aca="false">IF($G614&lt;&gt;"",$G614,$B614)</f>
        <v>4415161</v>
      </c>
      <c r="K614" s="8" t="str">
        <f aca="false">IF(COUNTIF($M$1:$M$10,$A614)&gt;0,"Y","N")</f>
        <v>Y</v>
      </c>
    </row>
    <row r="615" customFormat="false" ht="15" hidden="false" customHeight="true" outlineLevel="0" collapsed="false">
      <c r="A615" s="8" t="s">
        <v>44</v>
      </c>
      <c r="B615" s="8" t="s">
        <v>585</v>
      </c>
      <c r="C615" s="19" t="n">
        <v>69</v>
      </c>
      <c r="D615" s="19" t="n">
        <v>1374.29</v>
      </c>
      <c r="E615" s="19" t="n">
        <v>53</v>
      </c>
      <c r="F615" s="19" t="n">
        <v>1065.68</v>
      </c>
      <c r="G615" s="8" t="n">
        <f aca="false">IFERROR(INDEX('TRANS'!$B:$B,MATCH($B615,'TRANS'!$A:$A,0)),IFERROR(INDEX('TRANS'!$B:$B,MATCH(TRIM(SUBSTITUTE($B615,CHAR(160)," ")),'TRANS'!$D:$D,0)),IFERROR(INDEX('Catalog'!$A:$A,MATCH($B615,'Catalog'!$B:$B,0)),IFERROR(INDEX('Catalog'!$A:$A,MATCH(TRIM(SUBSTITUTE($B615,CHAR(160)," ")),'Catalog'!$C:$C,0)),""))))</f>
        <v>4415160</v>
      </c>
      <c r="H615" s="8" t="str">
        <f aca="false">IFERROR(INDEX('TRANS'!$C:$C,MATCH($B615,'TRANS'!$A:$A,0)),IFERROR(INDEX('Catalog'!$B:$B,MATCH($G615,'Catalog'!$A:$A,0)),$B615))</f>
        <v>238S סד ליישור אצבע</v>
      </c>
      <c r="I615" s="8" t="str">
        <f aca="false">IF($G615="","Unmatched","Matched")</f>
        <v>Matched</v>
      </c>
      <c r="J615" s="8" t="n">
        <f aca="false">IF($G615&lt;&gt;"",$G615,$B615)</f>
        <v>4415160</v>
      </c>
      <c r="K615" s="8" t="str">
        <f aca="false">IF(COUNTIF($M$1:$M$10,$A615)&gt;0,"Y","N")</f>
        <v>Y</v>
      </c>
    </row>
    <row r="616" customFormat="false" ht="15" hidden="false" customHeight="true" outlineLevel="0" collapsed="false">
      <c r="A616" s="8" t="s">
        <v>44</v>
      </c>
      <c r="B616" s="8" t="s">
        <v>927</v>
      </c>
      <c r="C616" s="19" t="n">
        <v>38</v>
      </c>
      <c r="D616" s="19" t="n">
        <v>746.55</v>
      </c>
      <c r="E616" s="19" t="n">
        <v>29</v>
      </c>
      <c r="F616" s="19" t="n">
        <v>583.13</v>
      </c>
      <c r="G616" s="8" t="n">
        <f aca="false">IFERROR(INDEX('TRANS'!$B:$B,MATCH($B616,'TRANS'!$A:$A,0)),IFERROR(INDEX('TRANS'!$B:$B,MATCH(TRIM(SUBSTITUTE($B616,CHAR(160)," ")),'TRANS'!$D:$D,0)),IFERROR(INDEX('Catalog'!$A:$A,MATCH($B616,'Catalog'!$B:$B,0)),IFERROR(INDEX('Catalog'!$A:$A,MATCH(TRIM(SUBSTITUTE($B616,CHAR(160)," ")),'Catalog'!$C:$C,0)),""))))</f>
        <v>4415163</v>
      </c>
      <c r="H616" s="8" t="str">
        <f aca="false">IFERROR(INDEX('TRANS'!$C:$C,MATCH($B616,'TRANS'!$A:$A,0)),IFERROR(INDEX('Catalog'!$B:$B,MATCH($G616,'Catalog'!$A:$A,0)),$B616))</f>
        <v>238XL סד ליישור אצבע</v>
      </c>
      <c r="I616" s="8" t="str">
        <f aca="false">IF($G616="","Unmatched","Matched")</f>
        <v>Matched</v>
      </c>
      <c r="J616" s="8" t="n">
        <f aca="false">IF($G616&lt;&gt;"",$G616,$B616)</f>
        <v>4415163</v>
      </c>
      <c r="K616" s="8" t="str">
        <f aca="false">IF(COUNTIF($M$1:$M$10,$A616)&gt;0,"Y","N")</f>
        <v>Y</v>
      </c>
    </row>
    <row r="617" customFormat="false" ht="15" hidden="false" customHeight="true" outlineLevel="0" collapsed="false">
      <c r="A617" s="8" t="s">
        <v>44</v>
      </c>
      <c r="B617" s="8" t="s">
        <v>589</v>
      </c>
      <c r="C617" s="19" t="n">
        <v>53</v>
      </c>
      <c r="D617" s="19" t="n">
        <v>2075.38</v>
      </c>
      <c r="E617" s="19" t="n">
        <v>59</v>
      </c>
      <c r="F617" s="19" t="n">
        <v>2342.59</v>
      </c>
      <c r="G617" s="8" t="n">
        <f aca="false">IFERROR(INDEX('TRANS'!$B:$B,MATCH($B617,'TRANS'!$A:$A,0)),IFERROR(INDEX('TRANS'!$B:$B,MATCH(TRIM(SUBSTITUTE($B617,CHAR(160)," ")),'TRANS'!$D:$D,0)),IFERROR(INDEX('Catalog'!$A:$A,MATCH($B617,'Catalog'!$B:$B,0)),IFERROR(INDEX('Catalog'!$A:$A,MATCH(TRIM(SUBSTITUTE($B617,CHAR(160)," ")),'Catalog'!$C:$C,0)),""))))</f>
        <v>4421005</v>
      </c>
      <c r="H617" s="8" t="str">
        <f aca="false">IFERROR(INDEX('TRANS'!$C:$C,MATCH($B617,'TRANS'!$A:$A,0)),IFERROR(INDEX('Catalog'!$B:$B,MATCH($G617,'Catalog'!$A:$A,0)),$B617))</f>
        <v>שרוול לגבס קצר יד</v>
      </c>
      <c r="I617" s="8" t="str">
        <f aca="false">IF($G617="","Unmatched","Matched")</f>
        <v>Matched</v>
      </c>
      <c r="J617" s="8" t="n">
        <f aca="false">IF($G617&lt;&gt;"",$G617,$B617)</f>
        <v>4421005</v>
      </c>
      <c r="K617" s="8" t="str">
        <f aca="false">IF(COUNTIF($M$1:$M$10,$A617)&gt;0,"Y","N")</f>
        <v>Y</v>
      </c>
    </row>
    <row r="618" customFormat="false" ht="15" hidden="false" customHeight="true" outlineLevel="0" collapsed="false">
      <c r="A618" s="8" t="s">
        <v>44</v>
      </c>
      <c r="B618" s="8" t="s">
        <v>590</v>
      </c>
      <c r="C618" s="19" t="n">
        <v>80</v>
      </c>
      <c r="D618" s="19" t="n">
        <v>3308.28</v>
      </c>
      <c r="E618" s="19" t="n">
        <v>55</v>
      </c>
      <c r="F618" s="19" t="n">
        <v>2311.77</v>
      </c>
      <c r="G618" s="8" t="n">
        <f aca="false">IFERROR(INDEX('TRANS'!$B:$B,MATCH($B618,'TRANS'!$A:$A,0)),IFERROR(INDEX('TRANS'!$B:$B,MATCH(TRIM(SUBSTITUTE($B618,CHAR(160)," ")),'TRANS'!$D:$D,0)),IFERROR(INDEX('Catalog'!$A:$A,MATCH($B618,'Catalog'!$B:$B,0)),IFERROR(INDEX('Catalog'!$A:$A,MATCH(TRIM(SUBSTITUTE($B618,CHAR(160)," ")),'Catalog'!$C:$C,0)),""))))</f>
        <v>4421006</v>
      </c>
      <c r="H618" s="8" t="str">
        <f aca="false">IFERROR(INDEX('TRANS'!$C:$C,MATCH($B618,'TRANS'!$A:$A,0)),IFERROR(INDEX('Catalog'!$B:$B,MATCH($G618,'Catalog'!$A:$A,0)),$B618))</f>
        <v>שרוול לגבס ארוך יד</v>
      </c>
      <c r="I618" s="8" t="str">
        <f aca="false">IF($G618="","Unmatched","Matched")</f>
        <v>Matched</v>
      </c>
      <c r="J618" s="8" t="n">
        <f aca="false">IF($G618&lt;&gt;"",$G618,$B618)</f>
        <v>4421006</v>
      </c>
      <c r="K618" s="8" t="str">
        <f aca="false">IF(COUNTIF($M$1:$M$10,$A618)&gt;0,"Y","N")</f>
        <v>Y</v>
      </c>
    </row>
    <row r="619" customFormat="false" ht="15" hidden="false" customHeight="true" outlineLevel="0" collapsed="false">
      <c r="A619" s="8" t="s">
        <v>44</v>
      </c>
      <c r="B619" s="8" t="s">
        <v>593</v>
      </c>
      <c r="C619" s="19" t="n">
        <v>65</v>
      </c>
      <c r="D619" s="19" t="n">
        <v>4853.2</v>
      </c>
      <c r="E619" s="19" t="n">
        <v>46</v>
      </c>
      <c r="F619" s="19" t="n">
        <v>3493.66</v>
      </c>
      <c r="G619" s="8" t="n">
        <f aca="false">IFERROR(INDEX('TRANS'!$B:$B,MATCH($B619,'TRANS'!$A:$A,0)),IFERROR(INDEX('TRANS'!$B:$B,MATCH(TRIM(SUBSTITUTE($B619,CHAR(160)," ")),'TRANS'!$D:$D,0)),IFERROR(INDEX('Catalog'!$A:$A,MATCH($B619,'Catalog'!$B:$B,0)),IFERROR(INDEX('Catalog'!$A:$A,MATCH(TRIM(SUBSTITUTE($B619,CHAR(160)," ")),'Catalog'!$C:$C,0)),""))))</f>
        <v>4415159</v>
      </c>
      <c r="H619" s="8" t="str">
        <f aca="false">IFERROR(INDEX('TRANS'!$C:$C,MATCH($B619,'TRANS'!$A:$A,0)),IFERROR(INDEX('Catalog'!$B:$B,MATCH($G619,'Catalog'!$A:$A,0)),$B619))</f>
        <v>268 סד לאגודל</v>
      </c>
      <c r="I619" s="8" t="str">
        <f aca="false">IF($G619="","Unmatched","Matched")</f>
        <v>Matched</v>
      </c>
      <c r="J619" s="8" t="n">
        <f aca="false">IF($G619&lt;&gt;"",$G619,$B619)</f>
        <v>4415159</v>
      </c>
      <c r="K619" s="8" t="str">
        <f aca="false">IF(COUNTIF($M$1:$M$10,$A619)&gt;0,"Y","N")</f>
        <v>Y</v>
      </c>
    </row>
    <row r="620" customFormat="false" ht="15" hidden="false" customHeight="true" outlineLevel="0" collapsed="false">
      <c r="A620" s="8" t="s">
        <v>44</v>
      </c>
      <c r="B620" s="8" t="s">
        <v>595</v>
      </c>
      <c r="C620" s="19" t="n">
        <v>17</v>
      </c>
      <c r="D620" s="19" t="n">
        <v>1045.75</v>
      </c>
      <c r="E620" s="19" t="n">
        <v>12</v>
      </c>
      <c r="F620" s="19" t="n">
        <v>831.97</v>
      </c>
      <c r="G620" s="8" t="n">
        <f aca="false">IFERROR(INDEX('TRANS'!$B:$B,MATCH($B620,'TRANS'!$A:$A,0)),IFERROR(INDEX('TRANS'!$B:$B,MATCH(TRIM(SUBSTITUTE($B620,CHAR(160)," ")),'TRANS'!$D:$D,0)),IFERROR(INDEX('Catalog'!$A:$A,MATCH($B620,'Catalog'!$B:$B,0)),IFERROR(INDEX('Catalog'!$A:$A,MATCH(TRIM(SUBSTITUTE($B620,CHAR(160)," ")),'Catalog'!$C:$C,0)),""))))</f>
        <v>4413348</v>
      </c>
      <c r="H620" s="8" t="str">
        <f aca="false">IFERROR(INDEX('TRANS'!$C:$C,MATCH($B620,'TRANS'!$A:$A,0)),IFERROR(INDEX('Catalog'!$B:$B,MATCH($G620,'Catalog'!$A:$A,0)),$B620))</f>
        <v>302 מדרס ג'ל לגבר</v>
      </c>
      <c r="I620" s="8" t="str">
        <f aca="false">IF($G620="","Unmatched","Matched")</f>
        <v>Matched</v>
      </c>
      <c r="J620" s="8" t="n">
        <f aca="false">IF($G620&lt;&gt;"",$G620,$B620)</f>
        <v>4413348</v>
      </c>
      <c r="K620" s="8" t="str">
        <f aca="false">IF(COUNTIF($M$1:$M$10,$A620)&gt;0,"Y","N")</f>
        <v>Y</v>
      </c>
    </row>
    <row r="621" customFormat="false" ht="15" hidden="false" customHeight="true" outlineLevel="0" collapsed="false">
      <c r="A621" s="8" t="s">
        <v>44</v>
      </c>
      <c r="B621" s="8" t="s">
        <v>596</v>
      </c>
      <c r="C621" s="19" t="n">
        <v>18</v>
      </c>
      <c r="D621" s="19" t="n">
        <v>1085.18</v>
      </c>
      <c r="E621" s="19" t="n">
        <v>7</v>
      </c>
      <c r="F621" s="19" t="n">
        <v>475.98</v>
      </c>
      <c r="G621" s="8" t="n">
        <f aca="false">IFERROR(INDEX('TRANS'!$B:$B,MATCH($B621,'TRANS'!$A:$A,0)),IFERROR(INDEX('TRANS'!$B:$B,MATCH(TRIM(SUBSTITUTE($B621,CHAR(160)," ")),'TRANS'!$D:$D,0)),IFERROR(INDEX('Catalog'!$A:$A,MATCH($B621,'Catalog'!$B:$B,0)),IFERROR(INDEX('Catalog'!$A:$A,MATCH(TRIM(SUBSTITUTE($B621,CHAR(160)," ")),'Catalog'!$C:$C,0)),""))))</f>
        <v>4413372</v>
      </c>
      <c r="H621" s="8" t="str">
        <f aca="false">IFERROR(INDEX('TRANS'!$C:$C,MATCH($B621,'TRANS'!$A:$A,0)),IFERROR(INDEX('Catalog'!$B:$B,MATCH($G621,'Catalog'!$A:$A,0)),$B621))</f>
        <v>302 W מדרס לאישה</v>
      </c>
      <c r="I621" s="8" t="str">
        <f aca="false">IF($G621="","Unmatched","Matched")</f>
        <v>Matched</v>
      </c>
      <c r="J621" s="8" t="n">
        <f aca="false">IF($G621&lt;&gt;"",$G621,$B621)</f>
        <v>4413372</v>
      </c>
      <c r="K621" s="8" t="str">
        <f aca="false">IF(COUNTIF($M$1:$M$10,$A621)&gt;0,"Y","N")</f>
        <v>Y</v>
      </c>
    </row>
    <row r="622" customFormat="false" ht="15" hidden="false" customHeight="true" outlineLevel="0" collapsed="false">
      <c r="A622" s="8" t="s">
        <v>44</v>
      </c>
      <c r="B622" s="8" t="s">
        <v>179</v>
      </c>
      <c r="C622" s="19" t="n">
        <v>4</v>
      </c>
      <c r="D622" s="19" t="n">
        <v>279.99</v>
      </c>
      <c r="E622" s="19" t="n">
        <v>6</v>
      </c>
      <c r="F622" s="19" t="n">
        <v>419.98</v>
      </c>
      <c r="G622" s="8" t="str">
        <f aca="false">IFERROR(INDEX('TRANS'!$B:$B,MATCH($B622,'TRANS'!$A:$A,0)),IFERROR(INDEX('TRANS'!$B:$B,MATCH(TRIM(SUBSTITUTE($B622,CHAR(160)," ")),'TRANS'!$D:$D,0)),IFERROR(INDEX('Catalog'!$A:$A,MATCH($B622,'Catalog'!$B:$B,0)),IFERROR(INDEX('Catalog'!$A:$A,MATCH(TRIM(SUBSTITUTE($B622,CHAR(160)," ")),'Catalog'!$C:$C,0)),""))))</f>
        <v/>
      </c>
      <c r="H622" s="8" t="str">
        <f aca="false">IFERROR(INDEX('TRANS'!$C:$C,MATCH($B622,'TRANS'!$A:$A,0)),IFERROR(INDEX('Catalog'!$B:$B,MATCH($G622,'Catalog'!$A:$A,0)),$B622))</f>
        <v>322 M</v>
      </c>
      <c r="I622" s="8" t="str">
        <f aca="false">IF($G622="","Unmatched","Matched")</f>
        <v>Unmatched</v>
      </c>
      <c r="J622" s="8" t="str">
        <f aca="false">IF($G622&lt;&gt;"",$G622,$B622)</f>
        <v>322 M</v>
      </c>
      <c r="K622" s="8" t="str">
        <f aca="false">IF(COUNTIF($M$1:$M$10,$A622)&gt;0,"Y","N")</f>
        <v>Y</v>
      </c>
    </row>
    <row r="623" customFormat="false" ht="15" hidden="false" customHeight="true" outlineLevel="0" collapsed="false">
      <c r="A623" s="8" t="s">
        <v>44</v>
      </c>
      <c r="B623" s="8" t="s">
        <v>433</v>
      </c>
      <c r="C623" s="19" t="n">
        <v>1</v>
      </c>
      <c r="D623" s="19" t="n">
        <v>60</v>
      </c>
      <c r="E623" s="19" t="n">
        <v>0</v>
      </c>
      <c r="F623" s="19" t="n">
        <v>0</v>
      </c>
      <c r="G623" s="8" t="str">
        <f aca="false">IFERROR(INDEX('TRANS'!$B:$B,MATCH($B623,'TRANS'!$A:$A,0)),IFERROR(INDEX('TRANS'!$B:$B,MATCH(TRIM(SUBSTITUTE($B623,CHAR(160)," ")),'TRANS'!$D:$D,0)),IFERROR(INDEX('Catalog'!$A:$A,MATCH($B623,'Catalog'!$B:$B,0)),IFERROR(INDEX('Catalog'!$A:$A,MATCH(TRIM(SUBSTITUTE($B623,CHAR(160)," ")),'Catalog'!$C:$C,0)),""))))</f>
        <v/>
      </c>
      <c r="H623" s="8" t="str">
        <f aca="false">IFERROR(INDEX('TRANS'!$C:$C,MATCH($B623,'TRANS'!$A:$A,0)),IFERROR(INDEX('Catalog'!$B:$B,MATCH($G623,'Catalog'!$A:$A,0)),$B623))</f>
        <v>322B L</v>
      </c>
      <c r="I623" s="8" t="str">
        <f aca="false">IF($G623="","Unmatched","Matched")</f>
        <v>Unmatched</v>
      </c>
      <c r="J623" s="8" t="str">
        <f aca="false">IF($G623&lt;&gt;"",$G623,$B623)</f>
        <v>322B L</v>
      </c>
      <c r="K623" s="8" t="str">
        <f aca="false">IF(COUNTIF($M$1:$M$10,$A623)&gt;0,"Y","N")</f>
        <v>Y</v>
      </c>
    </row>
    <row r="624" customFormat="false" ht="15" hidden="false" customHeight="true" outlineLevel="0" collapsed="false">
      <c r="A624" s="8" t="s">
        <v>44</v>
      </c>
      <c r="B624" s="8" t="s">
        <v>207</v>
      </c>
      <c r="C624" s="19" t="n">
        <v>9</v>
      </c>
      <c r="D624" s="19" t="n">
        <v>692.17</v>
      </c>
      <c r="E624" s="19" t="n">
        <v>1</v>
      </c>
      <c r="F624" s="19" t="n">
        <v>75</v>
      </c>
      <c r="G624" s="8" t="str">
        <f aca="false">IFERROR(INDEX('TRANS'!$B:$B,MATCH($B624,'TRANS'!$A:$A,0)),IFERROR(INDEX('TRANS'!$B:$B,MATCH(TRIM(SUBSTITUTE($B624,CHAR(160)," ")),'TRANS'!$D:$D,0)),IFERROR(INDEX('Catalog'!$A:$A,MATCH($B624,'Catalog'!$B:$B,0)),IFERROR(INDEX('Catalog'!$A:$A,MATCH(TRIM(SUBSTITUTE($B624,CHAR(160)," ")),'Catalog'!$C:$C,0)),""))))</f>
        <v/>
      </c>
      <c r="H624" s="8" t="str">
        <f aca="false">IFERROR(INDEX('TRANS'!$C:$C,MATCH($B624,'TRANS'!$A:$A,0)),IFERROR(INDEX('Catalog'!$B:$B,MATCH($G624,'Catalog'!$A:$A,0)),$B624))</f>
        <v>332B L</v>
      </c>
      <c r="I624" s="8" t="str">
        <f aca="false">IF($G624="","Unmatched","Matched")</f>
        <v>Unmatched</v>
      </c>
      <c r="J624" s="8" t="str">
        <f aca="false">IF($G624&lt;&gt;"",$G624,$B624)</f>
        <v>332B L</v>
      </c>
      <c r="K624" s="8" t="str">
        <f aca="false">IF(COUNTIF($M$1:$M$10,$A624)&gt;0,"Y","N")</f>
        <v>Y</v>
      </c>
    </row>
    <row r="625" customFormat="false" ht="15" hidden="false" customHeight="true" outlineLevel="0" collapsed="false">
      <c r="A625" s="8" t="s">
        <v>44</v>
      </c>
      <c r="B625" s="8" t="s">
        <v>277</v>
      </c>
      <c r="C625" s="19" t="n">
        <v>3</v>
      </c>
      <c r="D625" s="19" t="n">
        <v>230.01</v>
      </c>
      <c r="E625" s="19" t="n">
        <v>0</v>
      </c>
      <c r="F625" s="19" t="n">
        <v>0</v>
      </c>
      <c r="G625" s="8" t="str">
        <f aca="false">IFERROR(INDEX('TRANS'!$B:$B,MATCH($B625,'TRANS'!$A:$A,0)),IFERROR(INDEX('TRANS'!$B:$B,MATCH(TRIM(SUBSTITUTE($B625,CHAR(160)," ")),'TRANS'!$D:$D,0)),IFERROR(INDEX('Catalog'!$A:$A,MATCH($B625,'Catalog'!$B:$B,0)),IFERROR(INDEX('Catalog'!$A:$A,MATCH(TRIM(SUBSTITUTE($B625,CHAR(160)," ")),'Catalog'!$C:$C,0)),""))))</f>
        <v/>
      </c>
      <c r="H625" s="8" t="str">
        <f aca="false">IFERROR(INDEX('TRANS'!$C:$C,MATCH($B625,'TRANS'!$A:$A,0)),IFERROR(INDEX('Catalog'!$B:$B,MATCH($G625,'Catalog'!$A:$A,0)),$B625))</f>
        <v>332B M</v>
      </c>
      <c r="I625" s="8" t="str">
        <f aca="false">IF($G625="","Unmatched","Matched")</f>
        <v>Unmatched</v>
      </c>
      <c r="J625" s="8" t="str">
        <f aca="false">IF($G625&lt;&gt;"",$G625,$B625)</f>
        <v>332B M</v>
      </c>
      <c r="K625" s="8" t="str">
        <f aca="false">IF(COUNTIF($M$1:$M$10,$A625)&gt;0,"Y","N")</f>
        <v>Y</v>
      </c>
    </row>
    <row r="626" customFormat="false" ht="15" hidden="false" customHeight="true" outlineLevel="0" collapsed="false">
      <c r="A626" s="8" t="s">
        <v>44</v>
      </c>
      <c r="B626" s="8" t="s">
        <v>192</v>
      </c>
      <c r="C626" s="19" t="n">
        <v>4</v>
      </c>
      <c r="D626" s="19" t="n">
        <v>325</v>
      </c>
      <c r="E626" s="19" t="n">
        <v>2</v>
      </c>
      <c r="F626" s="19" t="n">
        <v>150</v>
      </c>
      <c r="G626" s="8" t="str">
        <f aca="false">IFERROR(INDEX('TRANS'!$B:$B,MATCH($B626,'TRANS'!$A:$A,0)),IFERROR(INDEX('TRANS'!$B:$B,MATCH(TRIM(SUBSTITUTE($B626,CHAR(160)," ")),'TRANS'!$D:$D,0)),IFERROR(INDEX('Catalog'!$A:$A,MATCH($B626,'Catalog'!$B:$B,0)),IFERROR(INDEX('Catalog'!$A:$A,MATCH(TRIM(SUBSTITUTE($B626,CHAR(160)," ")),'Catalog'!$C:$C,0)),""))))</f>
        <v/>
      </c>
      <c r="H626" s="8" t="str">
        <f aca="false">IFERROR(INDEX('TRANS'!$C:$C,MATCH($B626,'TRANS'!$A:$A,0)),IFERROR(INDEX('Catalog'!$B:$B,MATCH($G626,'Catalog'!$A:$A,0)),$B626))</f>
        <v>332B XL</v>
      </c>
      <c r="I626" s="8" t="str">
        <f aca="false">IF($G626="","Unmatched","Matched")</f>
        <v>Unmatched</v>
      </c>
      <c r="J626" s="8" t="str">
        <f aca="false">IF($G626&lt;&gt;"",$G626,$B626)</f>
        <v>332B XL</v>
      </c>
      <c r="K626" s="8" t="str">
        <f aca="false">IF(COUNTIF($M$1:$M$10,$A626)&gt;0,"Y","N")</f>
        <v>Y</v>
      </c>
    </row>
    <row r="627" customFormat="false" ht="15" hidden="false" customHeight="true" outlineLevel="0" collapsed="false">
      <c r="A627" s="8" t="s">
        <v>44</v>
      </c>
      <c r="B627" s="8" t="s">
        <v>278</v>
      </c>
      <c r="C627" s="19" t="n">
        <v>0</v>
      </c>
      <c r="D627" s="19" t="n">
        <v>0</v>
      </c>
      <c r="E627" s="19" t="n">
        <v>1</v>
      </c>
      <c r="F627" s="19" t="n">
        <v>75</v>
      </c>
      <c r="G627" s="8" t="str">
        <f aca="false">IFERROR(INDEX('TRANS'!$B:$B,MATCH($B627,'TRANS'!$A:$A,0)),IFERROR(INDEX('TRANS'!$B:$B,MATCH(TRIM(SUBSTITUTE($B627,CHAR(160)," ")),'TRANS'!$D:$D,0)),IFERROR(INDEX('Catalog'!$A:$A,MATCH($B627,'Catalog'!$B:$B,0)),IFERROR(INDEX('Catalog'!$A:$A,MATCH(TRIM(SUBSTITUTE($B627,CHAR(160)," ")),'Catalog'!$C:$C,0)),""))))</f>
        <v/>
      </c>
      <c r="H627" s="8" t="str">
        <f aca="false">IFERROR(INDEX('TRANS'!$C:$C,MATCH($B627,'TRANS'!$A:$A,0)),IFERROR(INDEX('Catalog'!$B:$B,MATCH($G627,'Catalog'!$A:$A,0)),$B627))</f>
        <v>332B XXL</v>
      </c>
      <c r="I627" s="8" t="str">
        <f aca="false">IF($G627="","Unmatched","Matched")</f>
        <v>Unmatched</v>
      </c>
      <c r="J627" s="8" t="str">
        <f aca="false">IF($G627&lt;&gt;"",$G627,$B627)</f>
        <v>332B XXL</v>
      </c>
      <c r="K627" s="8" t="str">
        <f aca="false">IF(COUNTIF($M$1:$M$10,$A627)&gt;0,"Y","N")</f>
        <v>Y</v>
      </c>
    </row>
    <row r="628" customFormat="false" ht="15" hidden="false" customHeight="true" outlineLevel="0" collapsed="false">
      <c r="A628" s="8" t="s">
        <v>44</v>
      </c>
      <c r="B628" s="8" t="s">
        <v>623</v>
      </c>
      <c r="C628" s="19" t="n">
        <v>83</v>
      </c>
      <c r="D628" s="19" t="n">
        <v>3706.12</v>
      </c>
      <c r="E628" s="19" t="n">
        <v>81</v>
      </c>
      <c r="F628" s="19" t="n">
        <v>3637.77</v>
      </c>
      <c r="G628" s="8" t="n">
        <f aca="false">IFERROR(INDEX('TRANS'!$B:$B,MATCH($B628,'TRANS'!$A:$A,0)),IFERROR(INDEX('TRANS'!$B:$B,MATCH(TRIM(SUBSTITUTE($B628,CHAR(160)," ")),'TRANS'!$D:$D,0)),IFERROR(INDEX('Catalog'!$A:$A,MATCH($B628,'Catalog'!$B:$B,0)),IFERROR(INDEX('Catalog'!$A:$A,MATCH(TRIM(SUBSTITUTE($B628,CHAR(160)," ")),'Catalog'!$C:$C,0)),""))))</f>
        <v>4421007</v>
      </c>
      <c r="H628" s="8" t="str">
        <f aca="false">IFERROR(INDEX('TRANS'!$C:$C,MATCH($B628,'TRANS'!$A:$A,0)),IFERROR(INDEX('Catalog'!$B:$B,MATCH($G628,'Catalog'!$A:$A,0)),$B628))</f>
        <v>שרוול לגבס קצר רגל</v>
      </c>
      <c r="I628" s="8" t="str">
        <f aca="false">IF($G628="","Unmatched","Matched")</f>
        <v>Matched</v>
      </c>
      <c r="J628" s="8" t="n">
        <f aca="false">IF($G628&lt;&gt;"",$G628,$B628)</f>
        <v>4421007</v>
      </c>
      <c r="K628" s="8" t="str">
        <f aca="false">IF(COUNTIF($M$1:$M$10,$A628)&gt;0,"Y","N")</f>
        <v>Y</v>
      </c>
    </row>
    <row r="629" customFormat="false" ht="15" hidden="false" customHeight="true" outlineLevel="0" collapsed="false">
      <c r="A629" s="8" t="s">
        <v>44</v>
      </c>
      <c r="B629" s="8" t="s">
        <v>624</v>
      </c>
      <c r="C629" s="19" t="n">
        <v>72</v>
      </c>
      <c r="D629" s="19" t="n">
        <v>3352.43</v>
      </c>
      <c r="E629" s="19" t="n">
        <v>67</v>
      </c>
      <c r="F629" s="19" t="n">
        <v>3133.94</v>
      </c>
      <c r="G629" s="8" t="n">
        <f aca="false">IFERROR(INDEX('TRANS'!$B:$B,MATCH($B629,'TRANS'!$A:$A,0)),IFERROR(INDEX('TRANS'!$B:$B,MATCH(TRIM(SUBSTITUTE($B629,CHAR(160)," ")),'TRANS'!$D:$D,0)),IFERROR(INDEX('Catalog'!$A:$A,MATCH($B629,'Catalog'!$B:$B,0)),IFERROR(INDEX('Catalog'!$A:$A,MATCH(TRIM(SUBSTITUTE($B629,CHAR(160)," ")),'Catalog'!$C:$C,0)),""))))</f>
        <v>4421008</v>
      </c>
      <c r="H629" s="8" t="str">
        <f aca="false">IFERROR(INDEX('TRANS'!$C:$C,MATCH($B629,'TRANS'!$A:$A,0)),IFERROR(INDEX('Catalog'!$B:$B,MATCH($G629,'Catalog'!$A:$A,0)),$B629))</f>
        <v>שרוול לגבס ארוך רגל</v>
      </c>
      <c r="I629" s="8" t="str">
        <f aca="false">IF($G629="","Unmatched","Matched")</f>
        <v>Matched</v>
      </c>
      <c r="J629" s="8" t="n">
        <f aca="false">IF($G629&lt;&gt;"",$G629,$B629)</f>
        <v>4421008</v>
      </c>
      <c r="K629" s="8" t="str">
        <f aca="false">IF(COUNTIF($M$1:$M$10,$A629)&gt;0,"Y","N")</f>
        <v>Y</v>
      </c>
    </row>
    <row r="630" customFormat="false" ht="15" hidden="false" customHeight="true" outlineLevel="0" collapsed="false">
      <c r="A630" s="8" t="s">
        <v>44</v>
      </c>
      <c r="B630" s="8" t="s">
        <v>640</v>
      </c>
      <c r="C630" s="19" t="n">
        <v>52</v>
      </c>
      <c r="D630" s="19" t="n">
        <v>1176.69</v>
      </c>
      <c r="E630" s="19" t="n">
        <v>40</v>
      </c>
      <c r="F630" s="19" t="n">
        <v>922.49</v>
      </c>
      <c r="G630" s="8" t="n">
        <f aca="false">IFERROR(INDEX('TRANS'!$B:$B,MATCH($B630,'TRANS'!$A:$A,0)),IFERROR(INDEX('TRANS'!$B:$B,MATCH(TRIM(SUBSTITUTE($B630,CHAR(160)," ")),'TRANS'!$D:$D,0)),IFERROR(INDEX('Catalog'!$A:$A,MATCH($B630,'Catalog'!$B:$B,0)),IFERROR(INDEX('Catalog'!$A:$A,MATCH(TRIM(SUBSTITUTE($B630,CHAR(160)," ")),'Catalog'!$C:$C,0)),""))))</f>
        <v>4401000</v>
      </c>
      <c r="H630" s="8" t="str">
        <f aca="false">IFERROR(INDEX('TRANS'!$C:$C,MATCH($B630,'TRANS'!$A:$A,0)),IFERROR(INDEX('Catalog'!$B:$B,MATCH($G630,'Catalog'!$A:$A,0)),$B630))</f>
        <v>369  S-L אצבעון מסיליקון יחידה</v>
      </c>
      <c r="I630" s="8" t="str">
        <f aca="false">IF($G630="","Unmatched","Matched")</f>
        <v>Matched</v>
      </c>
      <c r="J630" s="8" t="n">
        <f aca="false">IF($G630&lt;&gt;"",$G630,$B630)</f>
        <v>4401000</v>
      </c>
      <c r="K630" s="8" t="str">
        <f aca="false">IF(COUNTIF($M$1:$M$10,$A630)&gt;0,"Y","N")</f>
        <v>Y</v>
      </c>
    </row>
    <row r="631" customFormat="false" ht="15" hidden="false" customHeight="true" outlineLevel="0" collapsed="false">
      <c r="A631" s="8" t="s">
        <v>44</v>
      </c>
      <c r="B631" s="8" t="s">
        <v>641</v>
      </c>
      <c r="C631" s="19" t="n">
        <v>75</v>
      </c>
      <c r="D631" s="19" t="n">
        <v>1911.92</v>
      </c>
      <c r="E631" s="19" t="n">
        <v>36</v>
      </c>
      <c r="F631" s="19" t="n">
        <v>908.18</v>
      </c>
      <c r="G631" s="8" t="n">
        <f aca="false">IFERROR(INDEX('TRANS'!$B:$B,MATCH($B631,'TRANS'!$A:$A,0)),IFERROR(INDEX('TRANS'!$B:$B,MATCH(TRIM(SUBSTITUTE($B631,CHAR(160)," ")),'TRANS'!$D:$D,0)),IFERROR(INDEX('Catalog'!$A:$A,MATCH($B631,'Catalog'!$B:$B,0)),IFERROR(INDEX('Catalog'!$A:$A,MATCH(TRIM(SUBSTITUTE($B631,CHAR(160)," ")),'Catalog'!$C:$C,0)),""))))</f>
        <v>4401001</v>
      </c>
      <c r="H631" s="8" t="str">
        <f aca="false">IFERROR(INDEX('TRANS'!$C:$C,MATCH($B631,'TRANS'!$A:$A,0)),IFERROR(INDEX('Catalog'!$B:$B,MATCH($G631,'Catalog'!$A:$A,0)),$B631))</f>
        <v>369   XL אצבעון מסיליקון יחידה</v>
      </c>
      <c r="I631" s="8" t="str">
        <f aca="false">IF($G631="","Unmatched","Matched")</f>
        <v>Matched</v>
      </c>
      <c r="J631" s="8" t="n">
        <f aca="false">IF($G631&lt;&gt;"",$G631,$B631)</f>
        <v>4401001</v>
      </c>
      <c r="K631" s="8" t="str">
        <f aca="false">IF(COUNTIF($M$1:$M$10,$A631)&gt;0,"Y","N")</f>
        <v>Y</v>
      </c>
    </row>
    <row r="632" customFormat="false" ht="15" hidden="false" customHeight="true" outlineLevel="0" collapsed="false">
      <c r="A632" s="8" t="s">
        <v>44</v>
      </c>
      <c r="B632" s="8" t="s">
        <v>650</v>
      </c>
      <c r="C632" s="19" t="n">
        <v>49</v>
      </c>
      <c r="D632" s="19" t="n">
        <v>2940</v>
      </c>
      <c r="E632" s="19" t="n">
        <v>51</v>
      </c>
      <c r="F632" s="19" t="n">
        <v>3060</v>
      </c>
      <c r="G632" s="8" t="n">
        <f aca="false">IFERROR(INDEX('TRANS'!$B:$B,MATCH($B632,'TRANS'!$A:$A,0)),IFERROR(INDEX('TRANS'!$B:$B,MATCH(TRIM(SUBSTITUTE($B632,CHAR(160)," ")),'TRANS'!$D:$D,0)),IFERROR(INDEX('Catalog'!$A:$A,MATCH($B632,'Catalog'!$B:$B,0)),IFERROR(INDEX('Catalog'!$A:$A,MATCH(TRIM(SUBSTITUTE($B632,CHAR(160)," ")),'Catalog'!$C:$C,0)),""))))</f>
        <v>4415298</v>
      </c>
      <c r="H632" s="8" t="str">
        <f aca="false">IFERROR(INDEX('TRANS'!$C:$C,MATCH($B632,'TRANS'!$A:$A,0)),IFERROR(INDEX('Catalog'!$B:$B,MATCH($G632,'Catalog'!$A:$A,0)),$B632))</f>
        <v>388B L סד לילה שחור לבוהן שמאל</v>
      </c>
      <c r="I632" s="8" t="str">
        <f aca="false">IF($G632="","Unmatched","Matched")</f>
        <v>Matched</v>
      </c>
      <c r="J632" s="8" t="n">
        <f aca="false">IF($G632&lt;&gt;"",$G632,$B632)</f>
        <v>4415298</v>
      </c>
      <c r="K632" s="8" t="str">
        <f aca="false">IF(COUNTIF($M$1:$M$10,$A632)&gt;0,"Y","N")</f>
        <v>Y</v>
      </c>
    </row>
    <row r="633" customFormat="false" ht="15" hidden="false" customHeight="true" outlineLevel="0" collapsed="false">
      <c r="A633" s="8" t="s">
        <v>44</v>
      </c>
      <c r="B633" s="8" t="s">
        <v>651</v>
      </c>
      <c r="C633" s="19" t="n">
        <v>61</v>
      </c>
      <c r="D633" s="19" t="n">
        <v>3600.01</v>
      </c>
      <c r="E633" s="19" t="n">
        <v>50</v>
      </c>
      <c r="F633" s="19" t="n">
        <v>3000</v>
      </c>
      <c r="G633" s="8" t="n">
        <f aca="false">IFERROR(INDEX('TRANS'!$B:$B,MATCH($B633,'TRANS'!$A:$A,0)),IFERROR(INDEX('TRANS'!$B:$B,MATCH(TRIM(SUBSTITUTE($B633,CHAR(160)," ")),'TRANS'!$D:$D,0)),IFERROR(INDEX('Catalog'!$A:$A,MATCH($B633,'Catalog'!$B:$B,0)),IFERROR(INDEX('Catalog'!$A:$A,MATCH(TRIM(SUBSTITUTE($B633,CHAR(160)," ")),'Catalog'!$C:$C,0)),""))))</f>
        <v>4415299</v>
      </c>
      <c r="H633" s="8" t="str">
        <f aca="false">IFERROR(INDEX('TRANS'!$C:$C,MATCH($B633,'TRANS'!$A:$A,0)),IFERROR(INDEX('Catalog'!$B:$B,MATCH($G633,'Catalog'!$A:$A,0)),$B633))</f>
        <v>388B L סד לילה שחור לבוהן ימין</v>
      </c>
      <c r="I633" s="8" t="str">
        <f aca="false">IF($G633="","Unmatched","Matched")</f>
        <v>Matched</v>
      </c>
      <c r="J633" s="8" t="n">
        <f aca="false">IF($G633&lt;&gt;"",$G633,$B633)</f>
        <v>4415299</v>
      </c>
      <c r="K633" s="8" t="str">
        <f aca="false">IF(COUNTIF($M$1:$M$10,$A633)&gt;0,"Y","N")</f>
        <v>Y</v>
      </c>
    </row>
    <row r="634" customFormat="false" ht="15" hidden="false" customHeight="true" outlineLevel="0" collapsed="false">
      <c r="A634" s="8" t="s">
        <v>44</v>
      </c>
      <c r="B634" s="8" t="s">
        <v>232</v>
      </c>
      <c r="C634" s="19" t="n">
        <v>17</v>
      </c>
      <c r="D634" s="19" t="n">
        <v>424.94</v>
      </c>
      <c r="E634" s="19" t="n">
        <v>0</v>
      </c>
      <c r="F634" s="19" t="n">
        <v>0</v>
      </c>
      <c r="G634" s="8" t="str">
        <f aca="false">IFERROR(INDEX('TRANS'!$B:$B,MATCH($B634,'TRANS'!$A:$A,0)),IFERROR(INDEX('TRANS'!$B:$B,MATCH(TRIM(SUBSTITUTE($B634,CHAR(160)," ")),'TRANS'!$D:$D,0)),IFERROR(INDEX('Catalog'!$A:$A,MATCH($B634,'Catalog'!$B:$B,0)),IFERROR(INDEX('Catalog'!$A:$A,MATCH(TRIM(SUBSTITUTE($B634,CHAR(160)," ")),'Catalog'!$C:$C,0)),""))))</f>
        <v/>
      </c>
      <c r="H634" s="8" t="str">
        <f aca="false">IFERROR(INDEX('TRANS'!$C:$C,MATCH($B634,'TRANS'!$A:$A,0)),IFERROR(INDEX('Catalog'!$B:$B,MATCH($G634,'Catalog'!$A:$A,0)),$B634))</f>
        <v>394G-35-38</v>
      </c>
      <c r="I634" s="8" t="str">
        <f aca="false">IF($G634="","Unmatched","Matched")</f>
        <v>Unmatched</v>
      </c>
      <c r="J634" s="8" t="str">
        <f aca="false">IF($G634&lt;&gt;"",$G634,$B634)</f>
        <v>394G-35-38</v>
      </c>
      <c r="K634" s="8" t="str">
        <f aca="false">IF(COUNTIF($M$1:$M$10,$A634)&gt;0,"Y","N")</f>
        <v>Y</v>
      </c>
    </row>
    <row r="635" customFormat="false" ht="15" hidden="false" customHeight="true" outlineLevel="0" collapsed="false">
      <c r="A635" s="8" t="s">
        <v>44</v>
      </c>
      <c r="B635" s="8" t="s">
        <v>83</v>
      </c>
      <c r="C635" s="19" t="n">
        <v>52</v>
      </c>
      <c r="D635" s="19" t="n">
        <v>1299.82</v>
      </c>
      <c r="E635" s="19" t="n">
        <v>0</v>
      </c>
      <c r="F635" s="19" t="n">
        <v>0</v>
      </c>
      <c r="G635" s="8" t="str">
        <f aca="false">IFERROR(INDEX('TRANS'!$B:$B,MATCH($B635,'TRANS'!$A:$A,0)),IFERROR(INDEX('TRANS'!$B:$B,MATCH(TRIM(SUBSTITUTE($B635,CHAR(160)," ")),'TRANS'!$D:$D,0)),IFERROR(INDEX('Catalog'!$A:$A,MATCH($B635,'Catalog'!$B:$B,0)),IFERROR(INDEX('Catalog'!$A:$A,MATCH(TRIM(SUBSTITUTE($B635,CHAR(160)," ")),'Catalog'!$C:$C,0)),""))))</f>
        <v/>
      </c>
      <c r="H635" s="8" t="str">
        <f aca="false">IFERROR(INDEX('TRANS'!$C:$C,MATCH($B635,'TRANS'!$A:$A,0)),IFERROR(INDEX('Catalog'!$B:$B,MATCH($G635,'Catalog'!$A:$A,0)),$B635))</f>
        <v>394G-39-42</v>
      </c>
      <c r="I635" s="8" t="str">
        <f aca="false">IF($G635="","Unmatched","Matched")</f>
        <v>Unmatched</v>
      </c>
      <c r="J635" s="8" t="str">
        <f aca="false">IF($G635&lt;&gt;"",$G635,$B635)</f>
        <v>394G-39-42</v>
      </c>
      <c r="K635" s="8" t="str">
        <f aca="false">IF(COUNTIF($M$1:$M$10,$A635)&gt;0,"Y","N")</f>
        <v>Y</v>
      </c>
    </row>
    <row r="636" customFormat="false" ht="15" hidden="false" customHeight="true" outlineLevel="0" collapsed="false">
      <c r="A636" s="8" t="s">
        <v>44</v>
      </c>
      <c r="B636" s="8" t="s">
        <v>661</v>
      </c>
      <c r="C636" s="19" t="n">
        <v>70</v>
      </c>
      <c r="D636" s="19" t="n">
        <v>1544.8</v>
      </c>
      <c r="E636" s="19" t="n">
        <v>31</v>
      </c>
      <c r="F636" s="19" t="n">
        <v>749.8</v>
      </c>
      <c r="G636" s="8" t="n">
        <f aca="false">IFERROR(INDEX('TRANS'!$B:$B,MATCH($B636,'TRANS'!$A:$A,0)),IFERROR(INDEX('TRANS'!$B:$B,MATCH(TRIM(SUBSTITUTE($B636,CHAR(160)," ")),'TRANS'!$D:$D,0)),IFERROR(INDEX('Catalog'!$A:$A,MATCH($B636,'Catalog'!$B:$B,0)),IFERROR(INDEX('Catalog'!$A:$A,MATCH(TRIM(SUBSTITUTE($B636,CHAR(160)," ")),'Catalog'!$C:$C,0)),""))))</f>
        <v>4403023</v>
      </c>
      <c r="H636" s="8" t="str">
        <f aca="false">IFERROR(INDEX('TRANS'!$C:$C,MATCH($B636,'TRANS'!$A:$A,0)),IFERROR(INDEX('Catalog'!$B:$B,MATCH($G636,'Catalog'!$A:$A,0)),$B636))</f>
        <v>394W 35-38 גרב.כסף לסכרתים לבן</v>
      </c>
      <c r="I636" s="8" t="str">
        <f aca="false">IF($G636="","Unmatched","Matched")</f>
        <v>Matched</v>
      </c>
      <c r="J636" s="8" t="n">
        <f aca="false">IF($G636&lt;&gt;"",$G636,$B636)</f>
        <v>4403023</v>
      </c>
      <c r="K636" s="8" t="str">
        <f aca="false">IF(COUNTIF($M$1:$M$10,$A636)&gt;0,"Y","N")</f>
        <v>Y</v>
      </c>
    </row>
    <row r="637" customFormat="false" ht="15" hidden="false" customHeight="true" outlineLevel="0" collapsed="false">
      <c r="A637" s="8" t="s">
        <v>44</v>
      </c>
      <c r="B637" s="8" t="s">
        <v>662</v>
      </c>
      <c r="C637" s="19" t="n">
        <v>135</v>
      </c>
      <c r="D637" s="19" t="n">
        <v>3164.62</v>
      </c>
      <c r="E637" s="19" t="n">
        <v>32</v>
      </c>
      <c r="F637" s="19" t="n">
        <v>899.77</v>
      </c>
      <c r="G637" s="8" t="n">
        <f aca="false">IFERROR(INDEX('TRANS'!$B:$B,MATCH($B637,'TRANS'!$A:$A,0)),IFERROR(INDEX('TRANS'!$B:$B,MATCH(TRIM(SUBSTITUTE($B637,CHAR(160)," ")),'TRANS'!$D:$D,0)),IFERROR(INDEX('Catalog'!$A:$A,MATCH($B637,'Catalog'!$B:$B,0)),IFERROR(INDEX('Catalog'!$A:$A,MATCH(TRIM(SUBSTITUTE($B637,CHAR(160)," ")),'Catalog'!$C:$C,0)),""))))</f>
        <v>4403024</v>
      </c>
      <c r="H637" s="8" t="str">
        <f aca="false">IFERROR(INDEX('TRANS'!$C:$C,MATCH($B637,'TRANS'!$A:$A,0)),IFERROR(INDEX('Catalog'!$B:$B,MATCH($G637,'Catalog'!$A:$A,0)),$B637))</f>
        <v>394W 39-42 גרב.כסף לסכרתים לבן</v>
      </c>
      <c r="I637" s="8" t="str">
        <f aca="false">IF($G637="","Unmatched","Matched")</f>
        <v>Matched</v>
      </c>
      <c r="J637" s="8" t="n">
        <f aca="false">IF($G637&lt;&gt;"",$G637,$B637)</f>
        <v>4403024</v>
      </c>
      <c r="K637" s="8" t="str">
        <f aca="false">IF(COUNTIF($M$1:$M$10,$A637)&gt;0,"Y","N")</f>
        <v>Y</v>
      </c>
    </row>
    <row r="638" customFormat="false" ht="15" hidden="false" customHeight="true" outlineLevel="0" collapsed="false">
      <c r="A638" s="8" t="s">
        <v>44</v>
      </c>
      <c r="B638" s="8" t="s">
        <v>663</v>
      </c>
      <c r="C638" s="19" t="n">
        <v>153</v>
      </c>
      <c r="D638" s="19" t="n">
        <v>3164.8</v>
      </c>
      <c r="E638" s="19" t="n">
        <v>102</v>
      </c>
      <c r="F638" s="19" t="n">
        <v>2499.48</v>
      </c>
      <c r="G638" s="8" t="n">
        <f aca="false">IFERROR(INDEX('TRANS'!$B:$B,MATCH($B638,'TRANS'!$A:$A,0)),IFERROR(INDEX('TRANS'!$B:$B,MATCH(TRIM(SUBSTITUTE($B638,CHAR(160)," ")),'TRANS'!$D:$D,0)),IFERROR(INDEX('Catalog'!$A:$A,MATCH($B638,'Catalog'!$B:$B,0)),IFERROR(INDEX('Catalog'!$A:$A,MATCH(TRIM(SUBSTITUTE($B638,CHAR(160)," ")),'Catalog'!$C:$C,0)),""))))</f>
        <v>4403025</v>
      </c>
      <c r="H638" s="8" t="str">
        <f aca="false">IFERROR(INDEX('TRANS'!$C:$C,MATCH($B638,'TRANS'!$A:$A,0)),IFERROR(INDEX('Catalog'!$B:$B,MATCH($G638,'Catalog'!$A:$A,0)),$B638))</f>
        <v>394W 43-46 גרב.כסף לסכרתים לבן</v>
      </c>
      <c r="I638" s="8" t="str">
        <f aca="false">IF($G638="","Unmatched","Matched")</f>
        <v>Matched</v>
      </c>
      <c r="J638" s="8" t="n">
        <f aca="false">IF($G638&lt;&gt;"",$G638,$B638)</f>
        <v>4403025</v>
      </c>
      <c r="K638" s="8" t="str">
        <f aca="false">IF(COUNTIF($M$1:$M$10,$A638)&gt;0,"Y","N")</f>
        <v>Y</v>
      </c>
    </row>
    <row r="639" customFormat="false" ht="15" hidden="false" customHeight="true" outlineLevel="0" collapsed="false">
      <c r="A639" s="8" t="s">
        <v>44</v>
      </c>
      <c r="B639" s="8" t="s">
        <v>60</v>
      </c>
      <c r="C639" s="19" t="n">
        <v>0</v>
      </c>
      <c r="D639" s="19" t="n">
        <v>0</v>
      </c>
      <c r="E639" s="19" t="n">
        <v>13</v>
      </c>
      <c r="F639" s="19" t="n">
        <v>379.24</v>
      </c>
      <c r="G639" s="8" t="str">
        <f aca="false">IFERROR(INDEX('TRANS'!$B:$B,MATCH($B639,'TRANS'!$A:$A,0)),IFERROR(INDEX('TRANS'!$B:$B,MATCH(TRIM(SUBSTITUTE($B639,CHAR(160)," ")),'TRANS'!$D:$D,0)),IFERROR(INDEX('Catalog'!$A:$A,MATCH($B639,'Catalog'!$B:$B,0)),IFERROR(INDEX('Catalog'!$A:$A,MATCH(TRIM(SUBSTITUTE($B639,CHAR(160)," ")),'Catalog'!$C:$C,0)),""))))</f>
        <v/>
      </c>
      <c r="H639" s="8" t="str">
        <f aca="false">IFERROR(INDEX('TRANS'!$C:$C,MATCH($B639,'TRANS'!$A:$A,0)),IFERROR(INDEX('Catalog'!$B:$B,MATCH($G639,'Catalog'!$A:$A,0)),$B639))</f>
        <v>395W-39-42</v>
      </c>
      <c r="I639" s="8" t="str">
        <f aca="false">IF($G639="","Unmatched","Matched")</f>
        <v>Unmatched</v>
      </c>
      <c r="J639" s="8" t="str">
        <f aca="false">IF($G639&lt;&gt;"",$G639,$B639)</f>
        <v>395W-39-42</v>
      </c>
      <c r="K639" s="8" t="str">
        <f aca="false">IF(COUNTIF($M$1:$M$10,$A639)&gt;0,"Y","N")</f>
        <v>Y</v>
      </c>
    </row>
    <row r="640" customFormat="false" ht="15" hidden="false" customHeight="true" outlineLevel="0" collapsed="false">
      <c r="A640" s="8" t="s">
        <v>44</v>
      </c>
      <c r="B640" s="8" t="s">
        <v>407</v>
      </c>
      <c r="C640" s="19" t="n">
        <v>30</v>
      </c>
      <c r="D640" s="19" t="n">
        <v>1832.56</v>
      </c>
      <c r="E640" s="19" t="n">
        <v>0</v>
      </c>
      <c r="F640" s="19" t="n">
        <v>0</v>
      </c>
      <c r="G640" s="8" t="str">
        <f aca="false">IFERROR(INDEX('TRANS'!$B:$B,MATCH($B640,'TRANS'!$A:$A,0)),IFERROR(INDEX('TRANS'!$B:$B,MATCH(TRIM(SUBSTITUTE($B640,CHAR(160)," ")),'TRANS'!$D:$D,0)),IFERROR(INDEX('Catalog'!$A:$A,MATCH($B640,'Catalog'!$B:$B,0)),IFERROR(INDEX('Catalog'!$A:$A,MATCH(TRIM(SUBSTITUTE($B640,CHAR(160)," ")),'Catalog'!$C:$C,0)),""))))</f>
        <v/>
      </c>
      <c r="H640" s="8" t="str">
        <f aca="false">IFERROR(INDEX('TRANS'!$C:$C,MATCH($B640,'TRANS'!$A:$A,0)),IFERROR(INDEX('Catalog'!$B:$B,MATCH($G640,'Catalog'!$A:$A,0)),$B640))</f>
        <v>397-35-38</v>
      </c>
      <c r="I640" s="8" t="str">
        <f aca="false">IF($G640="","Unmatched","Matched")</f>
        <v>Unmatched</v>
      </c>
      <c r="J640" s="8" t="str">
        <f aca="false">IF($G640&lt;&gt;"",$G640,$B640)</f>
        <v>397-35-38</v>
      </c>
      <c r="K640" s="8" t="str">
        <f aca="false">IF(COUNTIF($M$1:$M$10,$A640)&gt;0,"Y","N")</f>
        <v>Y</v>
      </c>
    </row>
    <row r="641" customFormat="false" ht="15" hidden="false" customHeight="true" outlineLevel="0" collapsed="false">
      <c r="A641" s="8" t="s">
        <v>44</v>
      </c>
      <c r="B641" s="8" t="s">
        <v>666</v>
      </c>
      <c r="C641" s="19" t="n">
        <v>60</v>
      </c>
      <c r="D641" s="19" t="n">
        <v>3699.96</v>
      </c>
      <c r="E641" s="19" t="n">
        <v>0</v>
      </c>
      <c r="F641" s="19" t="n">
        <v>0</v>
      </c>
      <c r="G641" s="8" t="n">
        <f aca="false">IFERROR(INDEX('TRANS'!$B:$B,MATCH($B641,'TRANS'!$A:$A,0)),IFERROR(INDEX('TRANS'!$B:$B,MATCH(TRIM(SUBSTITUTE($B641,CHAR(160)," ")),'TRANS'!$D:$D,0)),IFERROR(INDEX('Catalog'!$A:$A,MATCH($B641,'Catalog'!$B:$B,0)),IFERROR(INDEX('Catalog'!$A:$A,MATCH(TRIM(SUBSTITUTE($B641,CHAR(160)," ")),'Catalog'!$C:$C,0)),""))))</f>
        <v>4403029</v>
      </c>
      <c r="H641" s="8" t="str">
        <f aca="false">IFERROR(INDEX('TRANS'!$C:$C,MATCH($B641,'TRANS'!$A:$A,0)),IFERROR(INDEX('Catalog'!$B:$B,MATCH($G641,'Catalog'!$A:$A,0)),$B641))</f>
        <v>397 39-42 גרבי טיסה מידה</v>
      </c>
      <c r="I641" s="8" t="str">
        <f aca="false">IF($G641="","Unmatched","Matched")</f>
        <v>Matched</v>
      </c>
      <c r="J641" s="8" t="n">
        <f aca="false">IF($G641&lt;&gt;"",$G641,$B641)</f>
        <v>4403029</v>
      </c>
      <c r="K641" s="8" t="str">
        <f aca="false">IF(COUNTIF($M$1:$M$10,$A641)&gt;0,"Y","N")</f>
        <v>Y</v>
      </c>
    </row>
    <row r="642" customFormat="false" ht="15" hidden="false" customHeight="true" outlineLevel="0" collapsed="false">
      <c r="A642" s="8" t="s">
        <v>44</v>
      </c>
      <c r="B642" s="8" t="s">
        <v>809</v>
      </c>
      <c r="C642" s="19" t="n">
        <v>1</v>
      </c>
      <c r="D642" s="19" t="n">
        <v>35.11</v>
      </c>
      <c r="E642" s="19" t="n">
        <v>3</v>
      </c>
      <c r="F642" s="19" t="n">
        <v>105.33</v>
      </c>
      <c r="G642" s="8" t="n">
        <f aca="false">IFERROR(INDEX('TRANS'!$B:$B,MATCH($B642,'TRANS'!$A:$A,0)),IFERROR(INDEX('TRANS'!$B:$B,MATCH(TRIM(SUBSTITUTE($B642,CHAR(160)," ")),'TRANS'!$D:$D,0)),IFERROR(INDEX('Catalog'!$A:$A,MATCH($B642,'Catalog'!$B:$B,0)),IFERROR(INDEX('Catalog'!$A:$A,MATCH(TRIM(SUBSTITUTE($B642,CHAR(160)," ")),'Catalog'!$C:$C,0)),""))))</f>
        <v>4413112</v>
      </c>
      <c r="H642" s="8" t="str">
        <f aca="false">IFERROR(INDEX('TRANS'!$C:$C,MATCH($B642,'TRANS'!$A:$A,0)),IFERROR(INDEX('Catalog'!$B:$B,MATCH($G642,'Catalog'!$A:$A,0)),$B642))</f>
        <v>49  L מגן ירך</v>
      </c>
      <c r="I642" s="8" t="str">
        <f aca="false">IF($G642="","Unmatched","Matched")</f>
        <v>Matched</v>
      </c>
      <c r="J642" s="8" t="n">
        <f aca="false">IF($G642&lt;&gt;"",$G642,$B642)</f>
        <v>4413112</v>
      </c>
      <c r="K642" s="8" t="str">
        <f aca="false">IF(COUNTIF($M$1:$M$10,$A642)&gt;0,"Y","N")</f>
        <v>Y</v>
      </c>
    </row>
    <row r="643" customFormat="false" ht="15" hidden="false" customHeight="true" outlineLevel="0" collapsed="false">
      <c r="A643" s="8" t="s">
        <v>44</v>
      </c>
      <c r="B643" s="8" t="s">
        <v>810</v>
      </c>
      <c r="C643" s="19" t="n">
        <v>0</v>
      </c>
      <c r="D643" s="19" t="n">
        <v>0</v>
      </c>
      <c r="E643" s="19" t="n">
        <v>2</v>
      </c>
      <c r="F643" s="19" t="n">
        <v>70.22</v>
      </c>
      <c r="G643" s="8" t="n">
        <f aca="false">IFERROR(INDEX('TRANS'!$B:$B,MATCH($B643,'TRANS'!$A:$A,0)),IFERROR(INDEX('TRANS'!$B:$B,MATCH(TRIM(SUBSTITUTE($B643,CHAR(160)," ")),'TRANS'!$D:$D,0)),IFERROR(INDEX('Catalog'!$A:$A,MATCH($B643,'Catalog'!$B:$B,0)),IFERROR(INDEX('Catalog'!$A:$A,MATCH(TRIM(SUBSTITUTE($B643,CHAR(160)," ")),'Catalog'!$C:$C,0)),""))))</f>
        <v>4413113</v>
      </c>
      <c r="H643" s="8" t="str">
        <f aca="false">IFERROR(INDEX('TRANS'!$C:$C,MATCH($B643,'TRANS'!$A:$A,0)),IFERROR(INDEX('Catalog'!$B:$B,MATCH($G643,'Catalog'!$A:$A,0)),$B643))</f>
        <v>49  M מגן ירך</v>
      </c>
      <c r="I643" s="8" t="str">
        <f aca="false">IF($G643="","Unmatched","Matched")</f>
        <v>Matched</v>
      </c>
      <c r="J643" s="8" t="n">
        <f aca="false">IF($G643&lt;&gt;"",$G643,$B643)</f>
        <v>4413113</v>
      </c>
      <c r="K643" s="8" t="str">
        <f aca="false">IF(COUNTIF($M$1:$M$10,$A643)&gt;0,"Y","N")</f>
        <v>Y</v>
      </c>
    </row>
    <row r="644" customFormat="false" ht="15" hidden="false" customHeight="true" outlineLevel="0" collapsed="false">
      <c r="A644" s="8" t="s">
        <v>44</v>
      </c>
      <c r="B644" s="8" t="s">
        <v>812</v>
      </c>
      <c r="C644" s="19" t="n">
        <v>1</v>
      </c>
      <c r="D644" s="19" t="n">
        <v>35.1</v>
      </c>
      <c r="E644" s="19" t="n">
        <v>2</v>
      </c>
      <c r="F644" s="19" t="n">
        <v>70.22</v>
      </c>
      <c r="G644" s="8" t="n">
        <f aca="false">IFERROR(INDEX('TRANS'!$B:$B,MATCH($B644,'TRANS'!$A:$A,0)),IFERROR(INDEX('TRANS'!$B:$B,MATCH(TRIM(SUBSTITUTE($B644,CHAR(160)," ")),'TRANS'!$D:$D,0)),IFERROR(INDEX('Catalog'!$A:$A,MATCH($B644,'Catalog'!$B:$B,0)),IFERROR(INDEX('Catalog'!$A:$A,MATCH(TRIM(SUBSTITUTE($B644,CHAR(160)," ")),'Catalog'!$C:$C,0)),""))))</f>
        <v>4413114</v>
      </c>
      <c r="H644" s="8" t="str">
        <f aca="false">IFERROR(INDEX('TRANS'!$C:$C,MATCH($B644,'TRANS'!$A:$A,0)),IFERROR(INDEX('Catalog'!$B:$B,MATCH($G644,'Catalog'!$A:$A,0)),$B644))</f>
        <v>49 XL מגן ירך</v>
      </c>
      <c r="I644" s="8" t="str">
        <f aca="false">IF($G644="","Unmatched","Matched")</f>
        <v>Matched</v>
      </c>
      <c r="J644" s="8" t="n">
        <f aca="false">IF($G644&lt;&gt;"",$G644,$B644)</f>
        <v>4413114</v>
      </c>
      <c r="K644" s="8" t="str">
        <f aca="false">IF(COUNTIF($M$1:$M$10,$A644)&gt;0,"Y","N")</f>
        <v>Y</v>
      </c>
    </row>
    <row r="645" customFormat="false" ht="15" hidden="false" customHeight="true" outlineLevel="0" collapsed="false">
      <c r="A645" s="8" t="s">
        <v>44</v>
      </c>
      <c r="B645" s="8" t="s">
        <v>928</v>
      </c>
      <c r="C645" s="19" t="n">
        <v>0</v>
      </c>
      <c r="D645" s="19" t="n">
        <v>0</v>
      </c>
      <c r="E645" s="19" t="n">
        <v>1</v>
      </c>
      <c r="F645" s="19" t="n">
        <v>35.11</v>
      </c>
      <c r="G645" s="8" t="n">
        <f aca="false">IFERROR(INDEX('TRANS'!$B:$B,MATCH($B645,'TRANS'!$A:$A,0)),IFERROR(INDEX('TRANS'!$B:$B,MATCH(TRIM(SUBSTITUTE($B645,CHAR(160)," ")),'TRANS'!$D:$D,0)),IFERROR(INDEX('Catalog'!$A:$A,MATCH($B645,'Catalog'!$B:$B,0)),IFERROR(INDEX('Catalog'!$A:$A,MATCH(TRIM(SUBSTITUTE($B645,CHAR(160)," ")),'Catalog'!$C:$C,0)),""))))</f>
        <v>4413115</v>
      </c>
      <c r="H645" s="8" t="str">
        <f aca="false">IFERROR(INDEX('TRANS'!$C:$C,MATCH($B645,'TRANS'!$A:$A,0)),IFERROR(INDEX('Catalog'!$B:$B,MATCH($G645,'Catalog'!$A:$A,0)),$B645))</f>
        <v>49 XXL מגן ירך</v>
      </c>
      <c r="I645" s="8" t="str">
        <f aca="false">IF($G645="","Unmatched","Matched")</f>
        <v>Matched</v>
      </c>
      <c r="J645" s="8" t="n">
        <f aca="false">IF($G645&lt;&gt;"",$G645,$B645)</f>
        <v>4413115</v>
      </c>
      <c r="K645" s="8" t="str">
        <f aca="false">IF(COUNTIF($M$1:$M$10,$A645)&gt;0,"Y","N")</f>
        <v>Y</v>
      </c>
    </row>
    <row r="646" customFormat="false" ht="15" hidden="false" customHeight="true" outlineLevel="0" collapsed="false">
      <c r="A646" s="8" t="s">
        <v>44</v>
      </c>
      <c r="B646" s="8" t="s">
        <v>929</v>
      </c>
      <c r="C646" s="19" t="n">
        <v>6</v>
      </c>
      <c r="D646" s="19" t="n">
        <v>412.71</v>
      </c>
      <c r="E646" s="19" t="n">
        <v>2</v>
      </c>
      <c r="F646" s="19" t="n">
        <v>163</v>
      </c>
      <c r="G646" s="8" t="n">
        <f aca="false">IFERROR(INDEX('TRANS'!$B:$B,MATCH($B646,'TRANS'!$A:$A,0)),IFERROR(INDEX('TRANS'!$B:$B,MATCH(TRIM(SUBSTITUTE($B646,CHAR(160)," ")),'TRANS'!$D:$D,0)),IFERROR(INDEX('Catalog'!$A:$A,MATCH($B646,'Catalog'!$B:$B,0)),IFERROR(INDEX('Catalog'!$A:$A,MATCH(TRIM(SUBSTITUTE($B646,CHAR(160)," ")),'Catalog'!$C:$C,0)),""))))</f>
        <v>4413122</v>
      </c>
      <c r="H646" s="8" t="str">
        <f aca="false">IFERROR(INDEX('TRANS'!$C:$C,MATCH($B646,'TRANS'!$A:$A,0)),IFERROR(INDEX('Catalog'!$B:$B,MATCH($G646,'Catalog'!$A:$A,0)),$B646))</f>
        <v>55 L מתלה אשכים לספורטאים</v>
      </c>
      <c r="I646" s="8" t="str">
        <f aca="false">IF($G646="","Unmatched","Matched")</f>
        <v>Matched</v>
      </c>
      <c r="J646" s="8" t="n">
        <f aca="false">IF($G646&lt;&gt;"",$G646,$B646)</f>
        <v>4413122</v>
      </c>
      <c r="K646" s="8" t="str">
        <f aca="false">IF(COUNTIF($M$1:$M$10,$A646)&gt;0,"Y","N")</f>
        <v>Y</v>
      </c>
    </row>
    <row r="647" customFormat="false" ht="15" hidden="false" customHeight="true" outlineLevel="0" collapsed="false">
      <c r="A647" s="8" t="s">
        <v>44</v>
      </c>
      <c r="B647" s="8" t="s">
        <v>210</v>
      </c>
      <c r="C647" s="19" t="n">
        <v>12</v>
      </c>
      <c r="D647" s="19" t="n">
        <v>935.57</v>
      </c>
      <c r="E647" s="19" t="n">
        <v>1</v>
      </c>
      <c r="F647" s="19" t="n">
        <v>84.32</v>
      </c>
      <c r="G647" s="8" t="str">
        <f aca="false">IFERROR(INDEX('TRANS'!$B:$B,MATCH($B647,'TRANS'!$A:$A,0)),IFERROR(INDEX('TRANS'!$B:$B,MATCH(TRIM(SUBSTITUTE($B647,CHAR(160)," ")),'TRANS'!$D:$D,0)),IFERROR(INDEX('Catalog'!$A:$A,MATCH($B647,'Catalog'!$B:$B,0)),IFERROR(INDEX('Catalog'!$A:$A,MATCH(TRIM(SUBSTITUTE($B647,CHAR(160)," ")),'Catalog'!$C:$C,0)),""))))</f>
        <v/>
      </c>
      <c r="H647" s="8" t="str">
        <f aca="false">IFERROR(INDEX('TRANS'!$C:$C,MATCH($B647,'TRANS'!$A:$A,0)),IFERROR(INDEX('Catalog'!$B:$B,MATCH($G647,'Catalog'!$A:$A,0)),$B647))</f>
        <v>55 M</v>
      </c>
      <c r="I647" s="8" t="str">
        <f aca="false">IF($G647="","Unmatched","Matched")</f>
        <v>Unmatched</v>
      </c>
      <c r="J647" s="8" t="str">
        <f aca="false">IF($G647&lt;&gt;"",$G647,$B647)</f>
        <v>55 M</v>
      </c>
      <c r="K647" s="8" t="str">
        <f aca="false">IF(COUNTIF($M$1:$M$10,$A647)&gt;0,"Y","N")</f>
        <v>Y</v>
      </c>
    </row>
    <row r="648" customFormat="false" ht="15" hidden="false" customHeight="true" outlineLevel="0" collapsed="false">
      <c r="A648" s="8" t="s">
        <v>44</v>
      </c>
      <c r="B648" s="8" t="s">
        <v>219</v>
      </c>
      <c r="C648" s="19" t="n">
        <v>0</v>
      </c>
      <c r="D648" s="19" t="n">
        <v>0</v>
      </c>
      <c r="E648" s="19" t="n">
        <v>3</v>
      </c>
      <c r="F648" s="19" t="n">
        <v>241.72</v>
      </c>
      <c r="G648" s="8" t="str">
        <f aca="false">IFERROR(INDEX('TRANS'!$B:$B,MATCH($B648,'TRANS'!$A:$A,0)),IFERROR(INDEX('TRANS'!$B:$B,MATCH(TRIM(SUBSTITUTE($B648,CHAR(160)," ")),'TRANS'!$D:$D,0)),IFERROR(INDEX('Catalog'!$A:$A,MATCH($B648,'Catalog'!$B:$B,0)),IFERROR(INDEX('Catalog'!$A:$A,MATCH(TRIM(SUBSTITUTE($B648,CHAR(160)," ")),'Catalog'!$C:$C,0)),""))))</f>
        <v/>
      </c>
      <c r="H648" s="8" t="str">
        <f aca="false">IFERROR(INDEX('TRANS'!$C:$C,MATCH($B648,'TRANS'!$A:$A,0)),IFERROR(INDEX('Catalog'!$B:$B,MATCH($G648,'Catalog'!$A:$A,0)),$B648))</f>
        <v>56B L</v>
      </c>
      <c r="I648" s="8" t="str">
        <f aca="false">IF($G648="","Unmatched","Matched")</f>
        <v>Unmatched</v>
      </c>
      <c r="J648" s="8" t="str">
        <f aca="false">IF($G648&lt;&gt;"",$G648,$B648)</f>
        <v>56B L</v>
      </c>
      <c r="K648" s="8" t="str">
        <f aca="false">IF(COUNTIF($M$1:$M$10,$A648)&gt;0,"Y","N")</f>
        <v>Y</v>
      </c>
    </row>
    <row r="649" customFormat="false" ht="15" hidden="false" customHeight="true" outlineLevel="0" collapsed="false">
      <c r="A649" s="8" t="s">
        <v>44</v>
      </c>
      <c r="B649" s="8" t="s">
        <v>220</v>
      </c>
      <c r="C649" s="19" t="n">
        <v>0</v>
      </c>
      <c r="D649" s="19" t="n">
        <v>0</v>
      </c>
      <c r="E649" s="19" t="n">
        <v>3</v>
      </c>
      <c r="F649" s="19" t="n">
        <v>247.34</v>
      </c>
      <c r="G649" s="8" t="str">
        <f aca="false">IFERROR(INDEX('TRANS'!$B:$B,MATCH($B649,'TRANS'!$A:$A,0)),IFERROR(INDEX('TRANS'!$B:$B,MATCH(TRIM(SUBSTITUTE($B649,CHAR(160)," ")),'TRANS'!$D:$D,0)),IFERROR(INDEX('Catalog'!$A:$A,MATCH($B649,'Catalog'!$B:$B,0)),IFERROR(INDEX('Catalog'!$A:$A,MATCH(TRIM(SUBSTITUTE($B649,CHAR(160)," ")),'Catalog'!$C:$C,0)),""))))</f>
        <v/>
      </c>
      <c r="H649" s="8" t="str">
        <f aca="false">IFERROR(INDEX('TRANS'!$C:$C,MATCH($B649,'TRANS'!$A:$A,0)),IFERROR(INDEX('Catalog'!$B:$B,MATCH($G649,'Catalog'!$A:$A,0)),$B649))</f>
        <v>56B M</v>
      </c>
      <c r="I649" s="8" t="str">
        <f aca="false">IF($G649="","Unmatched","Matched")</f>
        <v>Unmatched</v>
      </c>
      <c r="J649" s="8" t="str">
        <f aca="false">IF($G649&lt;&gt;"",$G649,$B649)</f>
        <v>56B M</v>
      </c>
      <c r="K649" s="8" t="str">
        <f aca="false">IF(COUNTIF($M$1:$M$10,$A649)&gt;0,"Y","N")</f>
        <v>Y</v>
      </c>
    </row>
    <row r="650" customFormat="false" ht="15" hidden="false" customHeight="true" outlineLevel="0" collapsed="false">
      <c r="A650" s="8" t="s">
        <v>44</v>
      </c>
      <c r="B650" s="8" t="s">
        <v>172</v>
      </c>
      <c r="C650" s="19" t="n">
        <v>0</v>
      </c>
      <c r="D650" s="19" t="n">
        <v>0</v>
      </c>
      <c r="E650" s="19" t="n">
        <v>3</v>
      </c>
      <c r="F650" s="19" t="n">
        <v>241.72</v>
      </c>
      <c r="G650" s="8" t="str">
        <f aca="false">IFERROR(INDEX('TRANS'!$B:$B,MATCH($B650,'TRANS'!$A:$A,0)),IFERROR(INDEX('TRANS'!$B:$B,MATCH(TRIM(SUBSTITUTE($B650,CHAR(160)," ")),'TRANS'!$D:$D,0)),IFERROR(INDEX('Catalog'!$A:$A,MATCH($B650,'Catalog'!$B:$B,0)),IFERROR(INDEX('Catalog'!$A:$A,MATCH(TRIM(SUBSTITUTE($B650,CHAR(160)," ")),'Catalog'!$C:$C,0)),""))))</f>
        <v/>
      </c>
      <c r="H650" s="8" t="str">
        <f aca="false">IFERROR(INDEX('TRANS'!$C:$C,MATCH($B650,'TRANS'!$A:$A,0)),IFERROR(INDEX('Catalog'!$B:$B,MATCH($G650,'Catalog'!$A:$A,0)),$B650))</f>
        <v>56B XL</v>
      </c>
      <c r="I650" s="8" t="str">
        <f aca="false">IF($G650="","Unmatched","Matched")</f>
        <v>Unmatched</v>
      </c>
      <c r="J650" s="8" t="str">
        <f aca="false">IF($G650&lt;&gt;"",$G650,$B650)</f>
        <v>56B XL</v>
      </c>
      <c r="K650" s="8" t="str">
        <f aca="false">IF(COUNTIF($M$1:$M$10,$A650)&gt;0,"Y","N")</f>
        <v>Y</v>
      </c>
    </row>
    <row r="651" customFormat="false" ht="15" hidden="false" customHeight="true" outlineLevel="0" collapsed="false">
      <c r="A651" s="8" t="s">
        <v>44</v>
      </c>
      <c r="B651" s="8" t="s">
        <v>690</v>
      </c>
      <c r="C651" s="19" t="n">
        <v>15</v>
      </c>
      <c r="D651" s="19" t="n">
        <v>1981.14</v>
      </c>
      <c r="E651" s="19" t="n">
        <v>9</v>
      </c>
      <c r="F651" s="19" t="n">
        <v>1260</v>
      </c>
      <c r="G651" s="8" t="n">
        <f aca="false">IFERROR(INDEX('TRANS'!$B:$B,MATCH($B651,'TRANS'!$A:$A,0)),IFERROR(INDEX('TRANS'!$B:$B,MATCH(TRIM(SUBSTITUTE($B651,CHAR(160)," ")),'TRANS'!$D:$D,0)),IFERROR(INDEX('Catalog'!$A:$A,MATCH($B651,'Catalog'!$B:$B,0)),IFERROR(INDEX('Catalog'!$A:$A,MATCH(TRIM(SUBSTITUTE($B651,CHAR(160)," ")),'Catalog'!$C:$C,0)),""))))</f>
        <v>4408079</v>
      </c>
      <c r="H651" s="8" t="str">
        <f aca="false">IFERROR(INDEX('TRANS'!$C:$C,MATCH($B651,'TRANS'!$A:$A,0)),IFERROR(INDEX('Catalog'!$B:$B,MATCH($G651,'Catalog'!$A:$A,0)),$B651))</f>
        <v>59R S חגורת שבר לצד ימין</v>
      </c>
      <c r="I651" s="8" t="str">
        <f aca="false">IF($G651="","Unmatched","Matched")</f>
        <v>Matched</v>
      </c>
      <c r="J651" s="8" t="n">
        <f aca="false">IF($G651&lt;&gt;"",$G651,$B651)</f>
        <v>4408079</v>
      </c>
      <c r="K651" s="8" t="str">
        <f aca="false">IF(COUNTIF($M$1:$M$10,$A651)&gt;0,"Y","N")</f>
        <v>Y</v>
      </c>
    </row>
    <row r="652" customFormat="false" ht="15" hidden="false" customHeight="true" outlineLevel="0" collapsed="false">
      <c r="A652" s="8" t="s">
        <v>44</v>
      </c>
      <c r="B652" s="8" t="s">
        <v>96</v>
      </c>
      <c r="C652" s="19" t="n">
        <v>35</v>
      </c>
      <c r="D652" s="19" t="n">
        <v>1980.07</v>
      </c>
      <c r="E652" s="19" t="n">
        <v>16</v>
      </c>
      <c r="F652" s="19" t="n">
        <v>1064.16</v>
      </c>
      <c r="G652" s="8" t="str">
        <f aca="false">IFERROR(INDEX('TRANS'!$B:$B,MATCH($B652,'TRANS'!$A:$A,0)),IFERROR(INDEX('TRANS'!$B:$B,MATCH(TRIM(SUBSTITUTE($B652,CHAR(160)," ")),'TRANS'!$D:$D,0)),IFERROR(INDEX('Catalog'!$A:$A,MATCH($B652,'Catalog'!$B:$B,0)),IFERROR(INDEX('Catalog'!$A:$A,MATCH(TRIM(SUBSTITUTE($B652,CHAR(160)," ")),'Catalog'!$C:$C,0)),""))))</f>
        <v/>
      </c>
      <c r="H652" s="8" t="str">
        <f aca="false">IFERROR(INDEX('TRANS'!$C:$C,MATCH($B652,'TRANS'!$A:$A,0)),IFERROR(INDEX('Catalog'!$B:$B,MATCH($G652,'Catalog'!$A:$A,0)),$B652))</f>
        <v>63 L</v>
      </c>
      <c r="I652" s="8" t="str">
        <f aca="false">IF($G652="","Unmatched","Matched")</f>
        <v>Unmatched</v>
      </c>
      <c r="J652" s="8" t="str">
        <f aca="false">IF($G652&lt;&gt;"",$G652,$B652)</f>
        <v>63 L</v>
      </c>
      <c r="K652" s="8" t="str">
        <f aca="false">IF(COUNTIF($M$1:$M$10,$A652)&gt;0,"Y","N")</f>
        <v>Y</v>
      </c>
    </row>
    <row r="653" customFormat="false" ht="15" hidden="false" customHeight="true" outlineLevel="0" collapsed="false">
      <c r="A653" s="8" t="s">
        <v>44</v>
      </c>
      <c r="B653" s="8" t="s">
        <v>109</v>
      </c>
      <c r="C653" s="19" t="n">
        <v>30</v>
      </c>
      <c r="D653" s="19" t="n">
        <v>1730.05</v>
      </c>
      <c r="E653" s="19" t="n">
        <v>8</v>
      </c>
      <c r="F653" s="19" t="n">
        <v>532.09</v>
      </c>
      <c r="G653" s="8" t="str">
        <f aca="false">IFERROR(INDEX('TRANS'!$B:$B,MATCH($B653,'TRANS'!$A:$A,0)),IFERROR(INDEX('TRANS'!$B:$B,MATCH(TRIM(SUBSTITUTE($B653,CHAR(160)," ")),'TRANS'!$D:$D,0)),IFERROR(INDEX('Catalog'!$A:$A,MATCH($B653,'Catalog'!$B:$B,0)),IFERROR(INDEX('Catalog'!$A:$A,MATCH(TRIM(SUBSTITUTE($B653,CHAR(160)," ")),'Catalog'!$C:$C,0)),""))))</f>
        <v/>
      </c>
      <c r="H653" s="8" t="str">
        <f aca="false">IFERROR(INDEX('TRANS'!$C:$C,MATCH($B653,'TRANS'!$A:$A,0)),IFERROR(INDEX('Catalog'!$B:$B,MATCH($G653,'Catalog'!$A:$A,0)),$B653))</f>
        <v>63 M</v>
      </c>
      <c r="I653" s="8" t="str">
        <f aca="false">IF($G653="","Unmatched","Matched")</f>
        <v>Unmatched</v>
      </c>
      <c r="J653" s="8" t="str">
        <f aca="false">IF($G653&lt;&gt;"",$G653,$B653)</f>
        <v>63 M</v>
      </c>
      <c r="K653" s="8" t="str">
        <f aca="false">IF(COUNTIF($M$1:$M$10,$A653)&gt;0,"Y","N")</f>
        <v>Y</v>
      </c>
    </row>
    <row r="654" customFormat="false" ht="15" hidden="false" customHeight="true" outlineLevel="0" collapsed="false">
      <c r="A654" s="8" t="s">
        <v>44</v>
      </c>
      <c r="B654" s="8" t="s">
        <v>45</v>
      </c>
      <c r="C654" s="19" t="n">
        <v>316</v>
      </c>
      <c r="D654" s="19" t="n">
        <v>41094.77</v>
      </c>
      <c r="E654" s="19" t="n">
        <v>263</v>
      </c>
      <c r="F654" s="19" t="n">
        <v>43552.48</v>
      </c>
      <c r="G654" s="8" t="str">
        <f aca="false">IFERROR(INDEX('TRANS'!$B:$B,MATCH($B654,'TRANS'!$A:$A,0)),IFERROR(INDEX('TRANS'!$B:$B,MATCH(TRIM(SUBSTITUTE($B654,CHAR(160)," ")),'TRANS'!$D:$D,0)),IFERROR(INDEX('Catalog'!$A:$A,MATCH($B654,'Catalog'!$B:$B,0)),IFERROR(INDEX('Catalog'!$A:$A,MATCH(TRIM(SUBSTITUTE($B654,CHAR(160)," ")),'Catalog'!$C:$C,0)),""))))</f>
        <v/>
      </c>
      <c r="H654" s="8" t="str">
        <f aca="false">IFERROR(INDEX('TRANS'!$C:$C,MATCH($B654,'TRANS'!$A:$A,0)),IFERROR(INDEX('Catalog'!$B:$B,MATCH($G654,'Catalog'!$A:$A,0)),$B654))</f>
        <v>67 0</v>
      </c>
      <c r="I654" s="8" t="str">
        <f aca="false">IF($G654="","Unmatched","Matched")</f>
        <v>Unmatched</v>
      </c>
      <c r="J654" s="8" t="str">
        <f aca="false">IF($G654&lt;&gt;"",$G654,$B654)</f>
        <v>67 0</v>
      </c>
      <c r="K654" s="8" t="str">
        <f aca="false">IF(COUNTIF($M$1:$M$10,$A654)&gt;0,"Y","N")</f>
        <v>Y</v>
      </c>
    </row>
    <row r="655" customFormat="false" ht="15" hidden="false" customHeight="true" outlineLevel="0" collapsed="false">
      <c r="A655" s="8" t="s">
        <v>44</v>
      </c>
      <c r="B655" s="8" t="s">
        <v>880</v>
      </c>
      <c r="C655" s="19" t="n">
        <v>15</v>
      </c>
      <c r="D655" s="19" t="n">
        <v>3807.34</v>
      </c>
      <c r="E655" s="19" t="n">
        <v>18</v>
      </c>
      <c r="F655" s="19" t="n">
        <v>4399.53</v>
      </c>
      <c r="G655" s="8" t="n">
        <f aca="false">IFERROR(INDEX('TRANS'!$B:$B,MATCH($B655,'TRANS'!$A:$A,0)),IFERROR(INDEX('TRANS'!$B:$B,MATCH(TRIM(SUBSTITUTE($B655,CHAR(160)," ")),'TRANS'!$D:$D,0)),IFERROR(INDEX('Catalog'!$A:$A,MATCH($B655,'Catalog'!$B:$B,0)),IFERROR(INDEX('Catalog'!$A:$A,MATCH(TRIM(SUBSTITUTE($B655,CHAR(160)," ")),'Catalog'!$C:$C,0)),""))))</f>
        <v>4408274</v>
      </c>
      <c r="H655" s="8" t="str">
        <f aca="false">IFERROR(INDEX('TRANS'!$C:$C,MATCH($B655,'TRANS'!$A:$A,0)),IFERROR(INDEX('Catalog'!$B:$B,MATCH($G655,'Catalog'!$A:$A,0)),$B655))</f>
        <v>70N L חגורת פאבליק</v>
      </c>
      <c r="I655" s="8" t="str">
        <f aca="false">IF($G655="","Unmatched","Matched")</f>
        <v>Matched</v>
      </c>
      <c r="J655" s="8" t="n">
        <f aca="false">IF($G655&lt;&gt;"",$G655,$B655)</f>
        <v>4408274</v>
      </c>
      <c r="K655" s="8" t="str">
        <f aca="false">IF(COUNTIF($M$1:$M$10,$A655)&gt;0,"Y","N")</f>
        <v>Y</v>
      </c>
    </row>
    <row r="656" customFormat="false" ht="15" hidden="false" customHeight="true" outlineLevel="0" collapsed="false">
      <c r="A656" s="8" t="s">
        <v>44</v>
      </c>
      <c r="B656" s="8" t="s">
        <v>930</v>
      </c>
      <c r="C656" s="19" t="n">
        <v>7</v>
      </c>
      <c r="D656" s="19" t="n">
        <v>1135.29</v>
      </c>
      <c r="E656" s="19" t="n">
        <v>12</v>
      </c>
      <c r="F656" s="19" t="n">
        <v>1946.25</v>
      </c>
      <c r="G656" s="8" t="n">
        <f aca="false">IFERROR(INDEX('TRANS'!$B:$B,MATCH($B656,'TRANS'!$A:$A,0)),IFERROR(INDEX('TRANS'!$B:$B,MATCH(TRIM(SUBSTITUTE($B656,CHAR(160)," ")),'TRANS'!$D:$D,0)),IFERROR(INDEX('Catalog'!$A:$A,MATCH($B656,'Catalog'!$B:$B,0)),IFERROR(INDEX('Catalog'!$A:$A,MATCH(TRIM(SUBSTITUTE($B656,CHAR(160)," ")),'Catalog'!$C:$C,0)),""))))</f>
        <v>4413128</v>
      </c>
      <c r="H656" s="8" t="str">
        <f aca="false">IFERROR(INDEX('TRANS'!$C:$C,MATCH($B656,'TRANS'!$A:$A,0)),IFERROR(INDEX('Catalog'!$B:$B,MATCH($G656,'Catalog'!$A:$A,0)),$B656))</f>
        <v>75 Mמיישר כתף יציב יישור גב צר</v>
      </c>
      <c r="I656" s="8" t="str">
        <f aca="false">IF($G656="","Unmatched","Matched")</f>
        <v>Matched</v>
      </c>
      <c r="J656" s="8" t="n">
        <f aca="false">IF($G656&lt;&gt;"",$G656,$B656)</f>
        <v>4413128</v>
      </c>
      <c r="K656" s="8" t="str">
        <f aca="false">IF(COUNTIF($M$1:$M$10,$A656)&gt;0,"Y","N")</f>
        <v>Y</v>
      </c>
    </row>
    <row r="657" customFormat="false" ht="15" hidden="false" customHeight="true" outlineLevel="0" collapsed="false">
      <c r="A657" s="8" t="s">
        <v>44</v>
      </c>
      <c r="B657" s="8" t="s">
        <v>434</v>
      </c>
      <c r="C657" s="19" t="n">
        <v>6</v>
      </c>
      <c r="D657" s="19" t="n">
        <v>2042.04</v>
      </c>
      <c r="E657" s="19" t="n">
        <v>0</v>
      </c>
      <c r="F657" s="19" t="n">
        <v>0</v>
      </c>
      <c r="G657" s="8" t="str">
        <f aca="false">IFERROR(INDEX('TRANS'!$B:$B,MATCH($B657,'TRANS'!$A:$A,0)),IFERROR(INDEX('TRANS'!$B:$B,MATCH(TRIM(SUBSTITUTE($B657,CHAR(160)," ")),'TRANS'!$D:$D,0)),IFERROR(INDEX('Catalog'!$A:$A,MATCH($B657,'Catalog'!$B:$B,0)),IFERROR(INDEX('Catalog'!$A:$A,MATCH(TRIM(SUBSTITUTE($B657,CHAR(160)," ")),'Catalog'!$C:$C,0)),""))))</f>
        <v/>
      </c>
      <c r="H657" s="8" t="str">
        <f aca="false">IFERROR(INDEX('TRANS'!$C:$C,MATCH($B657,'TRANS'!$A:$A,0)),IFERROR(INDEX('Catalog'!$B:$B,MATCH($G657,'Catalog'!$A:$A,0)),$B657))</f>
        <v>776 M</v>
      </c>
      <c r="I657" s="8" t="str">
        <f aca="false">IF($G657="","Unmatched","Matched")</f>
        <v>Unmatched</v>
      </c>
      <c r="J657" s="8" t="str">
        <f aca="false">IF($G657&lt;&gt;"",$G657,$B657)</f>
        <v>776 M</v>
      </c>
      <c r="K657" s="8" t="str">
        <f aca="false">IF(COUNTIF($M$1:$M$10,$A657)&gt;0,"Y","N")</f>
        <v>Y</v>
      </c>
    </row>
    <row r="658" customFormat="false" ht="15" hidden="false" customHeight="true" outlineLevel="0" collapsed="false">
      <c r="A658" s="8" t="s">
        <v>44</v>
      </c>
      <c r="B658" s="8" t="s">
        <v>435</v>
      </c>
      <c r="C658" s="19" t="n">
        <v>4</v>
      </c>
      <c r="D658" s="19" t="n">
        <v>1371</v>
      </c>
      <c r="E658" s="19" t="n">
        <v>0</v>
      </c>
      <c r="F658" s="19" t="n">
        <v>0</v>
      </c>
      <c r="G658" s="8" t="str">
        <f aca="false">IFERROR(INDEX('TRANS'!$B:$B,MATCH($B658,'TRANS'!$A:$A,0)),IFERROR(INDEX('TRANS'!$B:$B,MATCH(TRIM(SUBSTITUTE($B658,CHAR(160)," ")),'TRANS'!$D:$D,0)),IFERROR(INDEX('Catalog'!$A:$A,MATCH($B658,'Catalog'!$B:$B,0)),IFERROR(INDEX('Catalog'!$A:$A,MATCH(TRIM(SUBSTITUTE($B658,CHAR(160)," ")),'Catalog'!$C:$C,0)),""))))</f>
        <v/>
      </c>
      <c r="H658" s="8" t="str">
        <f aca="false">IFERROR(INDEX('TRANS'!$C:$C,MATCH($B658,'TRANS'!$A:$A,0)),IFERROR(INDEX('Catalog'!$B:$B,MATCH($G658,'Catalog'!$A:$A,0)),$B658))</f>
        <v>776 S</v>
      </c>
      <c r="I658" s="8" t="str">
        <f aca="false">IF($G658="","Unmatched","Matched")</f>
        <v>Unmatched</v>
      </c>
      <c r="J658" s="8" t="str">
        <f aca="false">IF($G658&lt;&gt;"",$G658,$B658)</f>
        <v>776 S</v>
      </c>
      <c r="K658" s="8" t="str">
        <f aca="false">IF(COUNTIF($M$1:$M$10,$A658)&gt;0,"Y","N")</f>
        <v>Y</v>
      </c>
    </row>
    <row r="659" customFormat="false" ht="15" hidden="false" customHeight="true" outlineLevel="0" collapsed="false">
      <c r="A659" s="8" t="s">
        <v>44</v>
      </c>
      <c r="B659" s="8" t="s">
        <v>436</v>
      </c>
      <c r="C659" s="19" t="n">
        <v>3</v>
      </c>
      <c r="D659" s="19" t="n">
        <v>934.03</v>
      </c>
      <c r="E659" s="19" t="n">
        <v>0</v>
      </c>
      <c r="F659" s="19" t="n">
        <v>0</v>
      </c>
      <c r="G659" s="8" t="str">
        <f aca="false">IFERROR(INDEX('TRANS'!$B:$B,MATCH($B659,'TRANS'!$A:$A,0)),IFERROR(INDEX('TRANS'!$B:$B,MATCH(TRIM(SUBSTITUTE($B659,CHAR(160)," ")),'TRANS'!$D:$D,0)),IFERROR(INDEX('Catalog'!$A:$A,MATCH($B659,'Catalog'!$B:$B,0)),IFERROR(INDEX('Catalog'!$A:$A,MATCH(TRIM(SUBSTITUTE($B659,CHAR(160)," ")),'Catalog'!$C:$C,0)),""))))</f>
        <v/>
      </c>
      <c r="H659" s="8" t="str">
        <f aca="false">IFERROR(INDEX('TRANS'!$C:$C,MATCH($B659,'TRANS'!$A:$A,0)),IFERROR(INDEX('Catalog'!$B:$B,MATCH($G659,'Catalog'!$A:$A,0)),$B659))</f>
        <v>776 XXL</v>
      </c>
      <c r="I659" s="8" t="str">
        <f aca="false">IF($G659="","Unmatched","Matched")</f>
        <v>Unmatched</v>
      </c>
      <c r="J659" s="8" t="str">
        <f aca="false">IF($G659&lt;&gt;"",$G659,$B659)</f>
        <v>776 XXL</v>
      </c>
      <c r="K659" s="8" t="str">
        <f aca="false">IF(COUNTIF($M$1:$M$10,$A659)&gt;0,"Y","N")</f>
        <v>Y</v>
      </c>
    </row>
    <row r="660" customFormat="false" ht="15" hidden="false" customHeight="true" outlineLevel="0" collapsed="false">
      <c r="A660" s="8" t="s">
        <v>44</v>
      </c>
      <c r="B660" s="8" t="s">
        <v>321</v>
      </c>
      <c r="C660" s="19" t="n">
        <v>4</v>
      </c>
      <c r="D660" s="19" t="n">
        <v>309.59</v>
      </c>
      <c r="E660" s="19" t="n">
        <v>0</v>
      </c>
      <c r="F660" s="19" t="n">
        <v>0</v>
      </c>
      <c r="G660" s="8" t="str">
        <f aca="false">IFERROR(INDEX('TRANS'!$B:$B,MATCH($B660,'TRANS'!$A:$A,0)),IFERROR(INDEX('TRANS'!$B:$B,MATCH(TRIM(SUBSTITUTE($B660,CHAR(160)," ")),'TRANS'!$D:$D,0)),IFERROR(INDEX('Catalog'!$A:$A,MATCH($B660,'Catalog'!$B:$B,0)),IFERROR(INDEX('Catalog'!$A:$A,MATCH(TRIM(SUBSTITUTE($B660,CHAR(160)," ")),'Catalog'!$C:$C,0)),""))))</f>
        <v/>
      </c>
      <c r="H660" s="8" t="str">
        <f aca="false">IFERROR(INDEX('TRANS'!$C:$C,MATCH($B660,'TRANS'!$A:$A,0)),IFERROR(INDEX('Catalog'!$B:$B,MATCH($G660,'Catalog'!$A:$A,0)),$B660))</f>
        <v>78A L</v>
      </c>
      <c r="I660" s="8" t="str">
        <f aca="false">IF($G660="","Unmatched","Matched")</f>
        <v>Unmatched</v>
      </c>
      <c r="J660" s="8" t="str">
        <f aca="false">IF($G660&lt;&gt;"",$G660,$B660)</f>
        <v>78A L</v>
      </c>
      <c r="K660" s="8" t="str">
        <f aca="false">IF(COUNTIF($M$1:$M$10,$A660)&gt;0,"Y","N")</f>
        <v>Y</v>
      </c>
    </row>
    <row r="661" customFormat="false" ht="15" hidden="false" customHeight="true" outlineLevel="0" collapsed="false">
      <c r="A661" s="8" t="s">
        <v>44</v>
      </c>
      <c r="B661" s="8" t="s">
        <v>322</v>
      </c>
      <c r="C661" s="19" t="n">
        <v>6</v>
      </c>
      <c r="D661" s="19" t="n">
        <v>499.59</v>
      </c>
      <c r="E661" s="19" t="n">
        <v>0</v>
      </c>
      <c r="F661" s="19" t="n">
        <v>0</v>
      </c>
      <c r="G661" s="8" t="str">
        <f aca="false">IFERROR(INDEX('TRANS'!$B:$B,MATCH($B661,'TRANS'!$A:$A,0)),IFERROR(INDEX('TRANS'!$B:$B,MATCH(TRIM(SUBSTITUTE($B661,CHAR(160)," ")),'TRANS'!$D:$D,0)),IFERROR(INDEX('Catalog'!$A:$A,MATCH($B661,'Catalog'!$B:$B,0)),IFERROR(INDEX('Catalog'!$A:$A,MATCH(TRIM(SUBSTITUTE($B661,CHAR(160)," ")),'Catalog'!$C:$C,0)),""))))</f>
        <v/>
      </c>
      <c r="H661" s="8" t="str">
        <f aca="false">IFERROR(INDEX('TRANS'!$C:$C,MATCH($B661,'TRANS'!$A:$A,0)),IFERROR(INDEX('Catalog'!$B:$B,MATCH($G661,'Catalog'!$A:$A,0)),$B661))</f>
        <v>78A M</v>
      </c>
      <c r="I661" s="8" t="str">
        <f aca="false">IF($G661="","Unmatched","Matched")</f>
        <v>Unmatched</v>
      </c>
      <c r="J661" s="8" t="str">
        <f aca="false">IF($G661&lt;&gt;"",$G661,$B661)</f>
        <v>78A M</v>
      </c>
      <c r="K661" s="8" t="str">
        <f aca="false">IF(COUNTIF($M$1:$M$10,$A661)&gt;0,"Y","N")</f>
        <v>Y</v>
      </c>
    </row>
    <row r="662" customFormat="false" ht="15" hidden="false" customHeight="true" outlineLevel="0" collapsed="false">
      <c r="A662" s="8" t="s">
        <v>44</v>
      </c>
      <c r="B662" s="8" t="s">
        <v>731</v>
      </c>
      <c r="C662" s="19" t="n">
        <v>81</v>
      </c>
      <c r="D662" s="19" t="n">
        <v>5922.26</v>
      </c>
      <c r="E662" s="19" t="n">
        <v>66</v>
      </c>
      <c r="F662" s="19" t="n">
        <v>4946.48</v>
      </c>
      <c r="G662" s="8" t="n">
        <f aca="false">IFERROR(INDEX('TRANS'!$B:$B,MATCH($B662,'TRANS'!$A:$A,0)),IFERROR(INDEX('TRANS'!$B:$B,MATCH(TRIM(SUBSTITUTE($B662,CHAR(160)," ")),'TRANS'!$D:$D,0)),IFERROR(INDEX('Catalog'!$A:$A,MATCH($B662,'Catalog'!$B:$B,0)),IFERROR(INDEX('Catalog'!$A:$A,MATCH(TRIM(SUBSTITUTE($B662,CHAR(160)," ")),'Catalog'!$C:$C,0)),""))))</f>
        <v>4413329</v>
      </c>
      <c r="H662" s="8" t="str">
        <f aca="false">IFERROR(INDEX('TRANS'!$C:$C,MATCH($B662,'TRANS'!$A:$A,0)),IFERROR(INDEX('Catalog'!$B:$B,MATCH($G662,'Catalog'!$A:$A,0)),$B662))</f>
        <v>AC45X מגן ברך עם תמיכות</v>
      </c>
      <c r="I662" s="8" t="str">
        <f aca="false">IF($G662="","Unmatched","Matched")</f>
        <v>Matched</v>
      </c>
      <c r="J662" s="8" t="n">
        <f aca="false">IF($G662&lt;&gt;"",$G662,$B662)</f>
        <v>4413329</v>
      </c>
      <c r="K662" s="8" t="str">
        <f aca="false">IF(COUNTIF($M$1:$M$10,$A662)&gt;0,"Y","N")</f>
        <v>Y</v>
      </c>
    </row>
    <row r="663" customFormat="false" ht="15" hidden="false" customHeight="true" outlineLevel="0" collapsed="false">
      <c r="A663" s="8" t="s">
        <v>44</v>
      </c>
      <c r="B663" s="8" t="s">
        <v>558</v>
      </c>
      <c r="C663" s="19" t="n">
        <v>212</v>
      </c>
      <c r="D663" s="19" t="n">
        <v>14964.85</v>
      </c>
      <c r="E663" s="19" t="n">
        <v>163</v>
      </c>
      <c r="F663" s="19" t="n">
        <v>12803</v>
      </c>
      <c r="G663" s="8" t="n">
        <f aca="false">IFERROR(INDEX('TRANS'!$B:$B,MATCH($B663,'TRANS'!$A:$A,0)),IFERROR(INDEX('TRANS'!$B:$B,MATCH(TRIM(SUBSTITUTE($B663,CHAR(160)," ")),'TRANS'!$D:$D,0)),IFERROR(INDEX('Catalog'!$A:$A,MATCH($B663,'Catalog'!$B:$B,0)),IFERROR(INDEX('Catalog'!$A:$A,MATCH(TRIM(SUBSTITUTE($B663,CHAR(160)," ")),'Catalog'!$C:$C,0)),""))))</f>
        <v>4413453</v>
      </c>
      <c r="H663" s="8" t="str">
        <f aca="false">IFERROR(INDEX('TRANS'!$C:$C,MATCH($B663,'TRANS'!$A:$A,0)),IFERROR(INDEX('Catalog'!$B:$B,MATCH($G663,'Catalog'!$A:$A,0)),$B663))</f>
        <v>AC75 מישר כתפיים אקטיב</v>
      </c>
      <c r="I663" s="8" t="str">
        <f aca="false">IF($G663="","Unmatched","Matched")</f>
        <v>Matched</v>
      </c>
      <c r="J663" s="8" t="n">
        <f aca="false">IF($G663&lt;&gt;"",$G663,$B663)</f>
        <v>4413453</v>
      </c>
      <c r="K663" s="8" t="str">
        <f aca="false">IF(COUNTIF($M$1:$M$10,$A663)&gt;0,"Y","N")</f>
        <v>Y</v>
      </c>
    </row>
    <row r="664" customFormat="false" ht="15" hidden="false" customHeight="true" outlineLevel="0" collapsed="false">
      <c r="A664" s="8" t="s">
        <v>44</v>
      </c>
      <c r="B664" s="8" t="s">
        <v>129</v>
      </c>
      <c r="C664" s="19" t="n">
        <v>11</v>
      </c>
      <c r="D664" s="19" t="n">
        <v>2683.86</v>
      </c>
      <c r="E664" s="19" t="n">
        <v>1</v>
      </c>
      <c r="F664" s="19" t="n">
        <v>260.01</v>
      </c>
      <c r="G664" s="8" t="str">
        <f aca="false">IFERROR(INDEX('TRANS'!$B:$B,MATCH($B664,'TRANS'!$A:$A,0)),IFERROR(INDEX('TRANS'!$B:$B,MATCH(TRIM(SUBSTITUTE($B664,CHAR(160)," ")),'TRANS'!$D:$D,0)),IFERROR(INDEX('Catalog'!$A:$A,MATCH($B664,'Catalog'!$B:$B,0)),IFERROR(INDEX('Catalog'!$A:$A,MATCH(TRIM(SUBSTITUTE($B664,CHAR(160)," ")),'Catalog'!$C:$C,0)),""))))</f>
        <v/>
      </c>
      <c r="H664" s="8" t="str">
        <f aca="false">IFERROR(INDEX('TRANS'!$C:$C,MATCH($B664,'TRANS'!$A:$A,0)),IFERROR(INDEX('Catalog'!$B:$B,MATCH($G664,'Catalog'!$A:$A,0)),$B664))</f>
        <v>N433D L</v>
      </c>
      <c r="I664" s="8" t="str">
        <f aca="false">IF($G664="","Unmatched","Matched")</f>
        <v>Unmatched</v>
      </c>
      <c r="J664" s="8" t="str">
        <f aca="false">IF($G664&lt;&gt;"",$G664,$B664)</f>
        <v>N433D L</v>
      </c>
      <c r="K664" s="8" t="str">
        <f aca="false">IF(COUNTIF($M$1:$M$10,$A664)&gt;0,"Y","N")</f>
        <v>Y</v>
      </c>
    </row>
    <row r="665" customFormat="false" ht="15" hidden="false" customHeight="true" outlineLevel="0" collapsed="false">
      <c r="A665" s="8" t="s">
        <v>44</v>
      </c>
      <c r="B665" s="8" t="s">
        <v>139</v>
      </c>
      <c r="C665" s="19" t="n">
        <v>5</v>
      </c>
      <c r="D665" s="19" t="n">
        <v>1300</v>
      </c>
      <c r="E665" s="19" t="n">
        <v>2</v>
      </c>
      <c r="F665" s="19" t="n">
        <v>520</v>
      </c>
      <c r="G665" s="8" t="str">
        <f aca="false">IFERROR(INDEX('TRANS'!$B:$B,MATCH($B665,'TRANS'!$A:$A,0)),IFERROR(INDEX('TRANS'!$B:$B,MATCH(TRIM(SUBSTITUTE($B665,CHAR(160)," ")),'TRANS'!$D:$D,0)),IFERROR(INDEX('Catalog'!$A:$A,MATCH($B665,'Catalog'!$B:$B,0)),IFERROR(INDEX('Catalog'!$A:$A,MATCH(TRIM(SUBSTITUTE($B665,CHAR(160)," ")),'Catalog'!$C:$C,0)),""))))</f>
        <v/>
      </c>
      <c r="H665" s="8" t="str">
        <f aca="false">IFERROR(INDEX('TRANS'!$C:$C,MATCH($B665,'TRANS'!$A:$A,0)),IFERROR(INDEX('Catalog'!$B:$B,MATCH($G665,'Catalog'!$A:$A,0)),$B665))</f>
        <v>N433D M</v>
      </c>
      <c r="I665" s="8" t="str">
        <f aca="false">IF($G665="","Unmatched","Matched")</f>
        <v>Unmatched</v>
      </c>
      <c r="J665" s="8" t="str">
        <f aca="false">IF($G665&lt;&gt;"",$G665,$B665)</f>
        <v>N433D M</v>
      </c>
      <c r="K665" s="8" t="str">
        <f aca="false">IF(COUNTIF($M$1:$M$10,$A665)&gt;0,"Y","N")</f>
        <v>Y</v>
      </c>
    </row>
    <row r="666" customFormat="false" ht="15" hidden="false" customHeight="true" outlineLevel="0" collapsed="false">
      <c r="A666" s="8" t="s">
        <v>44</v>
      </c>
      <c r="B666" s="8" t="s">
        <v>122</v>
      </c>
      <c r="C666" s="19" t="n">
        <v>6</v>
      </c>
      <c r="D666" s="19" t="n">
        <v>1453.88</v>
      </c>
      <c r="E666" s="19" t="n">
        <v>7</v>
      </c>
      <c r="F666" s="19" t="n">
        <v>1819.99</v>
      </c>
      <c r="G666" s="8" t="str">
        <f aca="false">IFERROR(INDEX('TRANS'!$B:$B,MATCH($B666,'TRANS'!$A:$A,0)),IFERROR(INDEX('TRANS'!$B:$B,MATCH(TRIM(SUBSTITUTE($B666,CHAR(160)," ")),'TRANS'!$D:$D,0)),IFERROR(INDEX('Catalog'!$A:$A,MATCH($B666,'Catalog'!$B:$B,0)),IFERROR(INDEX('Catalog'!$A:$A,MATCH(TRIM(SUBSTITUTE($B666,CHAR(160)," ")),'Catalog'!$C:$C,0)),""))))</f>
        <v/>
      </c>
      <c r="H666" s="8" t="str">
        <f aca="false">IFERROR(INDEX('TRANS'!$C:$C,MATCH($B666,'TRANS'!$A:$A,0)),IFERROR(INDEX('Catalog'!$B:$B,MATCH($G666,'Catalog'!$A:$A,0)),$B666))</f>
        <v>N433D XL</v>
      </c>
      <c r="I666" s="8" t="str">
        <f aca="false">IF($G666="","Unmatched","Matched")</f>
        <v>Unmatched</v>
      </c>
      <c r="J666" s="8" t="str">
        <f aca="false">IF($G666&lt;&gt;"",$G666,$B666)</f>
        <v>N433D XL</v>
      </c>
      <c r="K666" s="8" t="str">
        <f aca="false">IF(COUNTIF($M$1:$M$10,$A666)&gt;0,"Y","N")</f>
        <v>Y</v>
      </c>
    </row>
    <row r="667" customFormat="false" ht="15" hidden="false" customHeight="true" outlineLevel="0" collapsed="false">
      <c r="A667" s="8" t="s">
        <v>44</v>
      </c>
      <c r="B667" s="8" t="s">
        <v>279</v>
      </c>
      <c r="C667" s="19" t="n">
        <v>4</v>
      </c>
      <c r="D667" s="19" t="n">
        <v>933.85</v>
      </c>
      <c r="E667" s="19" t="n">
        <v>1</v>
      </c>
      <c r="F667" s="19" t="n">
        <v>260</v>
      </c>
      <c r="G667" s="8" t="str">
        <f aca="false">IFERROR(INDEX('TRANS'!$B:$B,MATCH($B667,'TRANS'!$A:$A,0)),IFERROR(INDEX('TRANS'!$B:$B,MATCH(TRIM(SUBSTITUTE($B667,CHAR(160)," ")),'TRANS'!$D:$D,0)),IFERROR(INDEX('Catalog'!$A:$A,MATCH($B667,'Catalog'!$B:$B,0)),IFERROR(INDEX('Catalog'!$A:$A,MATCH(TRIM(SUBSTITUTE($B667,CHAR(160)," ")),'Catalog'!$C:$C,0)),""))))</f>
        <v/>
      </c>
      <c r="H667" s="8" t="str">
        <f aca="false">IFERROR(INDEX('TRANS'!$C:$C,MATCH($B667,'TRANS'!$A:$A,0)),IFERROR(INDEX('Catalog'!$B:$B,MATCH($G667,'Catalog'!$A:$A,0)),$B667))</f>
        <v>N433D XXL</v>
      </c>
      <c r="I667" s="8" t="str">
        <f aca="false">IF($G667="","Unmatched","Matched")</f>
        <v>Unmatched</v>
      </c>
      <c r="J667" s="8" t="str">
        <f aca="false">IF($G667&lt;&gt;"",$G667,$B667)</f>
        <v>N433D XXL</v>
      </c>
      <c r="K667" s="8" t="str">
        <f aca="false">IF(COUNTIF($M$1:$M$10,$A667)&gt;0,"Y","N")</f>
        <v>Y</v>
      </c>
    </row>
    <row r="668" customFormat="false" ht="15" hidden="false" customHeight="true" outlineLevel="0" collapsed="false">
      <c r="A668" s="8" t="s">
        <v>44</v>
      </c>
      <c r="B668" s="8" t="s">
        <v>842</v>
      </c>
      <c r="C668" s="19" t="n">
        <v>7</v>
      </c>
      <c r="D668" s="19" t="n">
        <v>1091.89</v>
      </c>
      <c r="E668" s="19" t="n">
        <v>6</v>
      </c>
      <c r="F668" s="19" t="n">
        <v>984.14</v>
      </c>
      <c r="G668" s="8" t="n">
        <f aca="false">IFERROR(INDEX('TRANS'!$B:$B,MATCH($B668,'TRANS'!$A:$A,0)),IFERROR(INDEX('TRANS'!$B:$B,MATCH(TRIM(SUBSTITUTE($B668,CHAR(160)," ")),'TRANS'!$D:$D,0)),IFERROR(INDEX('Catalog'!$A:$A,MATCH($B668,'Catalog'!$B:$B,0)),IFERROR(INDEX('Catalog'!$A:$A,MATCH(TRIM(SUBSTITUTE($B668,CHAR(160)," ")),'Catalog'!$C:$C,0)),""))))</f>
        <v>4413417</v>
      </c>
      <c r="H668" s="8" t="str">
        <f aca="false">IFERROR(INDEX('TRANS'!$C:$C,MATCH($B668,'TRANS'!$A:$A,0)),IFERROR(INDEX('Catalog'!$B:$B,MATCH($G668,'Catalog'!$A:$A,0)),$B668))</f>
        <v>SC39  L מגן שוק</v>
      </c>
      <c r="I668" s="8" t="str">
        <f aca="false">IF($G668="","Unmatched","Matched")</f>
        <v>Matched</v>
      </c>
      <c r="J668" s="8" t="n">
        <f aca="false">IF($G668&lt;&gt;"",$G668,$B668)</f>
        <v>4413417</v>
      </c>
      <c r="K668" s="8" t="str">
        <f aca="false">IF(COUNTIF($M$1:$M$10,$A668)&gt;0,"Y","N")</f>
        <v>Y</v>
      </c>
    </row>
    <row r="669" customFormat="false" ht="15" hidden="false" customHeight="true" outlineLevel="0" collapsed="false">
      <c r="A669" s="8" t="s">
        <v>44</v>
      </c>
      <c r="B669" s="8" t="s">
        <v>931</v>
      </c>
      <c r="C669" s="19" t="n">
        <v>8</v>
      </c>
      <c r="D669" s="19" t="n">
        <v>1218.38</v>
      </c>
      <c r="E669" s="19" t="n">
        <v>2</v>
      </c>
      <c r="F669" s="19" t="n">
        <v>328.04</v>
      </c>
      <c r="G669" s="8" t="n">
        <f aca="false">IFERROR(INDEX('TRANS'!$B:$B,MATCH($B669,'TRANS'!$A:$A,0)),IFERROR(INDEX('TRANS'!$B:$B,MATCH(TRIM(SUBSTITUTE($B669,CHAR(160)," ")),'TRANS'!$D:$D,0)),IFERROR(INDEX('Catalog'!$A:$A,MATCH($B669,'Catalog'!$B:$B,0)),IFERROR(INDEX('Catalog'!$A:$A,MATCH(TRIM(SUBSTITUTE($B669,CHAR(160)," ")),'Catalog'!$C:$C,0)),""))))</f>
        <v>4413418</v>
      </c>
      <c r="H669" s="8" t="str">
        <f aca="false">IFERROR(INDEX('TRANS'!$C:$C,MATCH($B669,'TRANS'!$A:$A,0)),IFERROR(INDEX('Catalog'!$B:$B,MATCH($G669,'Catalog'!$A:$A,0)),$B669))</f>
        <v>SC39 XL מגן שוק</v>
      </c>
      <c r="I669" s="8" t="str">
        <f aca="false">IF($G669="","Unmatched","Matched")</f>
        <v>Matched</v>
      </c>
      <c r="J669" s="8" t="n">
        <f aca="false">IF($G669&lt;&gt;"",$G669,$B669)</f>
        <v>4413418</v>
      </c>
      <c r="K669" s="8" t="str">
        <f aca="false">IF(COUNTIF($M$1:$M$10,$A669)&gt;0,"Y","N")</f>
        <v>Y</v>
      </c>
    </row>
    <row r="670" customFormat="false" ht="15" hidden="false" customHeight="true" outlineLevel="0" collapsed="false">
      <c r="A670" s="8" t="s">
        <v>44</v>
      </c>
      <c r="B670" s="8" t="s">
        <v>932</v>
      </c>
      <c r="C670" s="19" t="n">
        <v>3</v>
      </c>
      <c r="D670" s="19" t="n">
        <v>492.08</v>
      </c>
      <c r="E670" s="19" t="n">
        <v>1</v>
      </c>
      <c r="F670" s="19" t="n">
        <v>164.02</v>
      </c>
      <c r="G670" s="8" t="n">
        <f aca="false">IFERROR(INDEX('TRANS'!$B:$B,MATCH($B670,'TRANS'!$A:$A,0)),IFERROR(INDEX('TRANS'!$B:$B,MATCH(TRIM(SUBSTITUTE($B670,CHAR(160)," ")),'TRANS'!$D:$D,0)),IFERROR(INDEX('Catalog'!$A:$A,MATCH($B670,'Catalog'!$B:$B,0)),IFERROR(INDEX('Catalog'!$A:$A,MATCH(TRIM(SUBSTITUTE($B670,CHAR(160)," ")),'Catalog'!$C:$C,0)),""))))</f>
        <v>4413419</v>
      </c>
      <c r="H670" s="8" t="str">
        <f aca="false">IFERROR(INDEX('TRANS'!$C:$C,MATCH($B670,'TRANS'!$A:$A,0)),IFERROR(INDEX('Catalog'!$B:$B,MATCH($G670,'Catalog'!$A:$A,0)),$B670))</f>
        <v>SC39 XXLמגן שוק</v>
      </c>
      <c r="I670" s="8" t="str">
        <f aca="false">IF($G670="","Unmatched","Matched")</f>
        <v>Matched</v>
      </c>
      <c r="J670" s="8" t="n">
        <f aca="false">IF($G670&lt;&gt;"",$G670,$B670)</f>
        <v>4413419</v>
      </c>
      <c r="K670" s="8" t="str">
        <f aca="false">IF(COUNTIF($M$1:$M$10,$A670)&gt;0,"Y","N")</f>
        <v>Y</v>
      </c>
    </row>
    <row r="671" customFormat="false" ht="15" hidden="false" customHeight="true" outlineLevel="0" collapsed="false">
      <c r="A671" s="8" t="s">
        <v>44</v>
      </c>
      <c r="B671" s="8" t="s">
        <v>101</v>
      </c>
      <c r="C671" s="19" t="n">
        <v>0</v>
      </c>
      <c r="D671" s="19" t="n">
        <v>0</v>
      </c>
      <c r="E671" s="19" t="n">
        <v>18</v>
      </c>
      <c r="F671" s="19" t="n">
        <v>6325.1</v>
      </c>
      <c r="G671" s="8" t="str">
        <f aca="false">IFERROR(INDEX('TRANS'!$B:$B,MATCH($B671,'TRANS'!$A:$A,0)),IFERROR(INDEX('TRANS'!$B:$B,MATCH(TRIM(SUBSTITUTE($B671,CHAR(160)," ")),'TRANS'!$D:$D,0)),IFERROR(INDEX('Catalog'!$A:$A,MATCH($B671,'Catalog'!$B:$B,0)),IFERROR(INDEX('Catalog'!$A:$A,MATCH(TRIM(SUBSTITUTE($B671,CHAR(160)," ")),'Catalog'!$C:$C,0)),""))))</f>
        <v/>
      </c>
      <c r="H671" s="8" t="str">
        <f aca="false">IFERROR(INDEX('TRANS'!$C:$C,MATCH($B671,'TRANS'!$A:$A,0)),IFERROR(INDEX('Catalog'!$B:$B,MATCH($G671,'Catalog'!$A:$A,0)),$B671))</f>
        <v>SH776 M</v>
      </c>
      <c r="I671" s="8" t="str">
        <f aca="false">IF($G671="","Unmatched","Matched")</f>
        <v>Unmatched</v>
      </c>
      <c r="J671" s="8" t="str">
        <f aca="false">IF($G671&lt;&gt;"",$G671,$B671)</f>
        <v>SH776 M</v>
      </c>
      <c r="K671" s="8" t="str">
        <f aca="false">IF(COUNTIF($M$1:$M$10,$A671)&gt;0,"Y","N")</f>
        <v>Y</v>
      </c>
    </row>
    <row r="672" customFormat="false" ht="15" hidden="false" customHeight="true" outlineLevel="0" collapsed="false">
      <c r="A672" s="8" t="s">
        <v>44</v>
      </c>
      <c r="B672" s="8" t="s">
        <v>142</v>
      </c>
      <c r="C672" s="19" t="n">
        <v>7</v>
      </c>
      <c r="D672" s="19" t="n">
        <v>656.12</v>
      </c>
      <c r="E672" s="19" t="n">
        <v>4</v>
      </c>
      <c r="F672" s="19" t="n">
        <v>353.3</v>
      </c>
      <c r="G672" s="8" t="str">
        <f aca="false">IFERROR(INDEX('TRANS'!$B:$B,MATCH($B672,'TRANS'!$A:$A,0)),IFERROR(INDEX('TRANS'!$B:$B,MATCH(TRIM(SUBSTITUTE($B672,CHAR(160)," ")),'TRANS'!$D:$D,0)),IFERROR(INDEX('Catalog'!$A:$A,MATCH($B672,'Catalog'!$B:$B,0)),IFERROR(INDEX('Catalog'!$A:$A,MATCH(TRIM(SUBSTITUTE($B672,CHAR(160)," ")),'Catalog'!$C:$C,0)),""))))</f>
        <v/>
      </c>
      <c r="H672" s="8" t="str">
        <f aca="false">IFERROR(INDEX('TRANS'!$C:$C,MATCH($B672,'TRANS'!$A:$A,0)),IFERROR(INDEX('Catalog'!$B:$B,MATCH($G672,'Catalog'!$A:$A,0)),$B672))</f>
        <v>T402 XL</v>
      </c>
      <c r="I672" s="8" t="str">
        <f aca="false">IF($G672="","Unmatched","Matched")</f>
        <v>Unmatched</v>
      </c>
      <c r="J672" s="8" t="str">
        <f aca="false">IF($G672&lt;&gt;"",$G672,$B672)</f>
        <v>T402 XL</v>
      </c>
      <c r="K672" s="8" t="str">
        <f aca="false">IF(COUNTIF($M$1:$M$10,$A672)&gt;0,"Y","N")</f>
        <v>Y</v>
      </c>
    </row>
    <row r="673" customFormat="false" ht="15" hidden="false" customHeight="true" outlineLevel="0" collapsed="false">
      <c r="A673" s="8" t="s">
        <v>44</v>
      </c>
      <c r="B673" s="8" t="s">
        <v>158</v>
      </c>
      <c r="C673" s="19" t="n">
        <v>9</v>
      </c>
      <c r="D673" s="19" t="n">
        <v>838.96</v>
      </c>
      <c r="E673" s="19" t="n">
        <v>5</v>
      </c>
      <c r="F673" s="19" t="n">
        <v>460.56</v>
      </c>
      <c r="G673" s="8" t="str">
        <f aca="false">IFERROR(INDEX('TRANS'!$B:$B,MATCH($B673,'TRANS'!$A:$A,0)),IFERROR(INDEX('TRANS'!$B:$B,MATCH(TRIM(SUBSTITUTE($B673,CHAR(160)," ")),'TRANS'!$D:$D,0)),IFERROR(INDEX('Catalog'!$A:$A,MATCH($B673,'Catalog'!$B:$B,0)),IFERROR(INDEX('Catalog'!$A:$A,MATCH(TRIM(SUBSTITUTE($B673,CHAR(160)," ")),'Catalog'!$C:$C,0)),""))))</f>
        <v/>
      </c>
      <c r="H673" s="8" t="str">
        <f aca="false">IFERROR(INDEX('TRANS'!$C:$C,MATCH($B673,'TRANS'!$A:$A,0)),IFERROR(INDEX('Catalog'!$B:$B,MATCH($G673,'Catalog'!$A:$A,0)),$B673))</f>
        <v>T402 XXL</v>
      </c>
      <c r="I673" s="8" t="str">
        <f aca="false">IF($G673="","Unmatched","Matched")</f>
        <v>Unmatched</v>
      </c>
      <c r="J673" s="8" t="str">
        <f aca="false">IF($G673&lt;&gt;"",$G673,$B673)</f>
        <v>T402 XXL</v>
      </c>
      <c r="K673" s="8" t="str">
        <f aca="false">IF(COUNTIF($M$1:$M$10,$A673)&gt;0,"Y","N")</f>
        <v>Y</v>
      </c>
    </row>
    <row r="674" customFormat="false" ht="15" hidden="false" customHeight="true" outlineLevel="0" collapsed="false">
      <c r="A674" s="8" t="s">
        <v>44</v>
      </c>
      <c r="B674" s="8" t="s">
        <v>933</v>
      </c>
      <c r="C674" s="19" t="n">
        <v>22</v>
      </c>
      <c r="D674" s="19" t="n">
        <v>2853.93</v>
      </c>
      <c r="E674" s="19" t="n">
        <v>11</v>
      </c>
      <c r="F674" s="19" t="n">
        <v>1429.97</v>
      </c>
      <c r="G674" s="8" t="n">
        <f aca="false">IFERROR(INDEX('TRANS'!$B:$B,MATCH($B674,'TRANS'!$A:$A,0)),IFERROR(INDEX('TRANS'!$B:$B,MATCH(TRIM(SUBSTITUTE($B674,CHAR(160)," ")),'TRANS'!$D:$D,0)),IFERROR(INDEX('Catalog'!$A:$A,MATCH($B674,'Catalog'!$B:$B,0)),IFERROR(INDEX('Catalog'!$A:$A,MATCH(TRIM(SUBSTITUTE($B674,CHAR(160)," ")),'Catalog'!$C:$C,0)),""))))</f>
        <v>4422009</v>
      </c>
      <c r="H674" s="8" t="str">
        <f aca="false">IFERROR(INDEX('TRANS'!$C:$C,MATCH($B674,'TRANS'!$A:$A,0)),IFERROR(INDEX('Catalog'!$B:$B,MATCH($G674,'Catalog'!$A:$A,0)),$B674))</f>
        <v>T78 XXL תומך זרוע וכתף</v>
      </c>
      <c r="I674" s="8" t="str">
        <f aca="false">IF($G674="","Unmatched","Matched")</f>
        <v>Matched</v>
      </c>
      <c r="J674" s="8" t="n">
        <f aca="false">IF($G674&lt;&gt;"",$G674,$B674)</f>
        <v>4422009</v>
      </c>
      <c r="K674" s="8" t="str">
        <f aca="false">IF(COUNTIF($M$1:$M$10,$A674)&gt;0,"Y","N")</f>
        <v>Y</v>
      </c>
    </row>
    <row r="675" customFormat="false" ht="15" hidden="false" customHeight="true" outlineLevel="0" collapsed="false">
      <c r="A675" s="8" t="s">
        <v>44</v>
      </c>
      <c r="B675" s="8" t="s">
        <v>567</v>
      </c>
      <c r="C675" s="19" t="n">
        <v>25</v>
      </c>
      <c r="D675" s="19" t="n">
        <v>2124.87</v>
      </c>
      <c r="E675" s="19" t="n">
        <v>20</v>
      </c>
      <c r="F675" s="19" t="n">
        <v>1699.92</v>
      </c>
      <c r="G675" s="8" t="n">
        <f aca="false">IFERROR(INDEX('TRANS'!$B:$B,MATCH($B675,'TRANS'!$A:$A,0)),IFERROR(INDEX('TRANS'!$B:$B,MATCH(TRIM(SUBSTITUTE($B675,CHAR(160)," ")),'TRANS'!$D:$D,0)),IFERROR(INDEX('Catalog'!$A:$A,MATCH($B675,'Catalog'!$B:$B,0)),IFERROR(INDEX('Catalog'!$A:$A,MATCH(TRIM(SUBSTITUTE($B675,CHAR(160)," ")),'Catalog'!$C:$C,0)),""))))</f>
        <v>4408033</v>
      </c>
      <c r="H675" s="8" t="str">
        <f aca="false">IFERROR(INDEX('TRANS'!$C:$C,MATCH($B675,'TRANS'!$A:$A,0)),IFERROR(INDEX('Catalog'!$B:$B,MATCH($G675,'Catalog'!$A:$A,0)),$B675))</f>
        <v>11 M""""חגורת בטן""""אורירית</v>
      </c>
      <c r="I675" s="8" t="str">
        <f aca="false">IF($G675="","Unmatched","Matched")</f>
        <v>Matched</v>
      </c>
      <c r="J675" s="8" t="n">
        <f aca="false">IF($G675&lt;&gt;"",$G675,$B675)</f>
        <v>4408033</v>
      </c>
      <c r="K675" s="8" t="str">
        <f aca="false">IF(COUNTIF($M$1:$M$10,$A675)&gt;0,"Y","N")</f>
        <v>Y</v>
      </c>
    </row>
    <row r="676" customFormat="false" ht="15" hidden="false" customHeight="true" outlineLevel="0" collapsed="false">
      <c r="A676" s="8" t="s">
        <v>44</v>
      </c>
      <c r="B676" s="8" t="s">
        <v>569</v>
      </c>
      <c r="C676" s="19" t="n">
        <v>6</v>
      </c>
      <c r="D676" s="19" t="n">
        <v>477.85</v>
      </c>
      <c r="E676" s="19" t="n">
        <v>6</v>
      </c>
      <c r="F676" s="19" t="n">
        <v>510.01</v>
      </c>
      <c r="G676" s="8" t="n">
        <f aca="false">IFERROR(INDEX('TRANS'!$B:$B,MATCH($B676,'TRANS'!$A:$A,0)),IFERROR(INDEX('TRANS'!$B:$B,MATCH(TRIM(SUBSTITUTE($B676,CHAR(160)," ")),'TRANS'!$D:$D,0)),IFERROR(INDEX('Catalog'!$A:$A,MATCH($B676,'Catalog'!$B:$B,0)),IFERROR(INDEX('Catalog'!$A:$A,MATCH(TRIM(SUBSTITUTE($B676,CHAR(160)," ")),'Catalog'!$C:$C,0)),""))))</f>
        <v>4408114</v>
      </c>
      <c r="H676" s="8" t="str">
        <f aca="false">IFERROR(INDEX('TRANS'!$C:$C,MATCH($B676,'TRANS'!$A:$A,0)),IFERROR(INDEX('Catalog'!$B:$B,MATCH($G676,'Catalog'!$A:$A,0)),$B676))</f>
        <v>11EU M ח.בטן לאחר ניתוח</v>
      </c>
      <c r="I676" s="8" t="str">
        <f aca="false">IF($G676="","Unmatched","Matched")</f>
        <v>Matched</v>
      </c>
      <c r="J676" s="8" t="n">
        <f aca="false">IF($G676&lt;&gt;"",$G676,$B676)</f>
        <v>4408114</v>
      </c>
      <c r="K676" s="8" t="str">
        <f aca="false">IF(COUNTIF($M$1:$M$10,$A676)&gt;0,"Y","N")</f>
        <v>Y</v>
      </c>
    </row>
    <row r="677" customFormat="false" ht="15" hidden="false" customHeight="true" outlineLevel="0" collapsed="false">
      <c r="A677" s="8" t="s">
        <v>44</v>
      </c>
      <c r="B677" s="8" t="s">
        <v>856</v>
      </c>
      <c r="C677" s="19" t="n">
        <v>39</v>
      </c>
      <c r="D677" s="19" t="n">
        <v>3043.98</v>
      </c>
      <c r="E677" s="19" t="n">
        <v>16</v>
      </c>
      <c r="F677" s="19" t="n">
        <v>1359.98</v>
      </c>
      <c r="G677" s="8" t="n">
        <f aca="false">IFERROR(INDEX('TRANS'!$B:$B,MATCH($B677,'TRANS'!$A:$A,0)),IFERROR(INDEX('TRANS'!$B:$B,MATCH(TRIM(SUBSTITUTE($B677,CHAR(160)," ")),'TRANS'!$D:$D,0)),IFERROR(INDEX('Catalog'!$A:$A,MATCH($B677,'Catalog'!$B:$B,0)),IFERROR(INDEX('Catalog'!$A:$A,MATCH(TRIM(SUBSTITUTE($B677,CHAR(160)," ")),'Catalog'!$C:$C,0)),""))))</f>
        <v>4408132</v>
      </c>
      <c r="H677" s="8" t="str">
        <f aca="false">IFERROR(INDEX('TRANS'!$C:$C,MATCH($B677,'TRANS'!$A:$A,0)),IFERROR(INDEX('Catalog'!$B:$B,MATCH($G677,'Catalog'!$A:$A,0)),$B677))</f>
        <v>11EU XXL חגורת בטןלאחר ניתוח</v>
      </c>
      <c r="I677" s="8" t="str">
        <f aca="false">IF($G677="","Unmatched","Matched")</f>
        <v>Matched</v>
      </c>
      <c r="J677" s="8" t="n">
        <f aca="false">IF($G677&lt;&gt;"",$G677,$B677)</f>
        <v>4408132</v>
      </c>
      <c r="K677" s="8" t="str">
        <f aca="false">IF(COUNTIF($M$1:$M$10,$A677)&gt;0,"Y","N")</f>
        <v>Y</v>
      </c>
    </row>
    <row r="678" customFormat="false" ht="15" hidden="false" customHeight="true" outlineLevel="0" collapsed="false">
      <c r="A678" s="8" t="s">
        <v>44</v>
      </c>
      <c r="B678" s="8" t="s">
        <v>890</v>
      </c>
      <c r="C678" s="19" t="n">
        <v>12</v>
      </c>
      <c r="D678" s="19" t="n">
        <v>1440.01</v>
      </c>
      <c r="E678" s="19" t="n">
        <v>7</v>
      </c>
      <c r="F678" s="19" t="n">
        <v>839.99</v>
      </c>
      <c r="G678" s="8" t="n">
        <f aca="false">IFERROR(INDEX('TRANS'!$B:$B,MATCH($B678,'TRANS'!$A:$A,0)),IFERROR(INDEX('TRANS'!$B:$B,MATCH(TRIM(SUBSTITUTE($B678,CHAR(160)," ")),'TRANS'!$D:$D,0)),IFERROR(INDEX('Catalog'!$A:$A,MATCH($B678,'Catalog'!$B:$B,0)),IFERROR(INDEX('Catalog'!$A:$A,MATCH(TRIM(SUBSTITUTE($B678,CHAR(160)," ")),'Catalog'!$C:$C,0)),""))))</f>
        <v>4422037</v>
      </c>
      <c r="H678" s="8" t="str">
        <f aca="false">IFERROR(INDEX('TRANS'!$C:$C,MATCH($B678,'TRANS'!$A:$A,0)),IFERROR(INDEX('Catalog'!$B:$B,MATCH($G678,'Catalog'!$A:$A,0)),$B678))</f>
        <v>SH422 1 תומך ברך גנושילד</v>
      </c>
      <c r="I678" s="8" t="str">
        <f aca="false">IF($G678="","Unmatched","Matched")</f>
        <v>Matched</v>
      </c>
      <c r="J678" s="8" t="n">
        <f aca="false">IF($G678&lt;&gt;"",$G678,$B678)</f>
        <v>4422037</v>
      </c>
      <c r="K678" s="8" t="str">
        <f aca="false">IF(COUNTIF($M$1:$M$10,$A678)&gt;0,"Y","N")</f>
        <v>Y</v>
      </c>
    </row>
    <row r="679" customFormat="false" ht="15" hidden="false" customHeight="true" outlineLevel="0" collapsed="false">
      <c r="A679" s="8" t="s">
        <v>44</v>
      </c>
      <c r="B679" s="8" t="s">
        <v>891</v>
      </c>
      <c r="C679" s="19" t="n">
        <v>22</v>
      </c>
      <c r="D679" s="19" t="n">
        <v>2640</v>
      </c>
      <c r="E679" s="19" t="n">
        <v>16</v>
      </c>
      <c r="F679" s="19" t="n">
        <v>1680.01</v>
      </c>
      <c r="G679" s="8" t="n">
        <f aca="false">IFERROR(INDEX('TRANS'!$B:$B,MATCH($B679,'TRANS'!$A:$A,0)),IFERROR(INDEX('TRANS'!$B:$B,MATCH(TRIM(SUBSTITUTE($B679,CHAR(160)," ")),'TRANS'!$D:$D,0)),IFERROR(INDEX('Catalog'!$A:$A,MATCH($B679,'Catalog'!$B:$B,0)),IFERROR(INDEX('Catalog'!$A:$A,MATCH(TRIM(SUBSTITUTE($B679,CHAR(160)," ")),'Catalog'!$C:$C,0)),""))))</f>
        <v>4422038</v>
      </c>
      <c r="H679" s="8" t="str">
        <f aca="false">IFERROR(INDEX('TRANS'!$C:$C,MATCH($B679,'TRANS'!$A:$A,0)),IFERROR(INDEX('Catalog'!$B:$B,MATCH($G679,'Catalog'!$A:$A,0)),$B679))</f>
        <v>SH422 2 תומך ברך גנושילד</v>
      </c>
      <c r="I679" s="8" t="str">
        <f aca="false">IF($G679="","Unmatched","Matched")</f>
        <v>Matched</v>
      </c>
      <c r="J679" s="8" t="n">
        <f aca="false">IF($G679&lt;&gt;"",$G679,$B679)</f>
        <v>4422038</v>
      </c>
      <c r="K679" s="8" t="str">
        <f aca="false">IF(COUNTIF($M$1:$M$10,$A679)&gt;0,"Y","N")</f>
        <v>Y</v>
      </c>
    </row>
    <row r="680" customFormat="false" ht="15" hidden="false" customHeight="true" outlineLevel="0" collapsed="false">
      <c r="A680" s="8" t="s">
        <v>44</v>
      </c>
      <c r="B680" s="8" t="s">
        <v>892</v>
      </c>
      <c r="C680" s="19" t="n">
        <v>39</v>
      </c>
      <c r="D680" s="19" t="n">
        <v>4441.21</v>
      </c>
      <c r="E680" s="19" t="n">
        <v>29</v>
      </c>
      <c r="F680" s="19" t="n">
        <v>3360.02</v>
      </c>
      <c r="G680" s="8" t="n">
        <f aca="false">IFERROR(INDEX('TRANS'!$B:$B,MATCH($B680,'TRANS'!$A:$A,0)),IFERROR(INDEX('TRANS'!$B:$B,MATCH(TRIM(SUBSTITUTE($B680,CHAR(160)," ")),'TRANS'!$D:$D,0)),IFERROR(INDEX('Catalog'!$A:$A,MATCH($B680,'Catalog'!$B:$B,0)),IFERROR(INDEX('Catalog'!$A:$A,MATCH(TRIM(SUBSTITUTE($B680,CHAR(160)," ")),'Catalog'!$C:$C,0)),""))))</f>
        <v>4422039</v>
      </c>
      <c r="H680" s="8" t="str">
        <f aca="false">IFERROR(INDEX('TRANS'!$C:$C,MATCH($B680,'TRANS'!$A:$A,0)),IFERROR(INDEX('Catalog'!$B:$B,MATCH($G680,'Catalog'!$A:$A,0)),$B680))</f>
        <v>SH422 3 תומך ברך גנושילד</v>
      </c>
      <c r="I680" s="8" t="str">
        <f aca="false">IF($G680="","Unmatched","Matched")</f>
        <v>Matched</v>
      </c>
      <c r="J680" s="8" t="n">
        <f aca="false">IF($G680&lt;&gt;"",$G680,$B680)</f>
        <v>4422039</v>
      </c>
      <c r="K680" s="8" t="str">
        <f aca="false">IF(COUNTIF($M$1:$M$10,$A680)&gt;0,"Y","N")</f>
        <v>Y</v>
      </c>
    </row>
    <row r="681" customFormat="false" ht="15" hidden="false" customHeight="true" outlineLevel="0" collapsed="false">
      <c r="A681" s="8" t="s">
        <v>44</v>
      </c>
      <c r="B681" s="8" t="s">
        <v>893</v>
      </c>
      <c r="C681" s="19" t="n">
        <v>42</v>
      </c>
      <c r="D681" s="19" t="n">
        <v>5041.2</v>
      </c>
      <c r="E681" s="19" t="n">
        <v>37</v>
      </c>
      <c r="F681" s="19" t="n">
        <v>4080.02</v>
      </c>
      <c r="G681" s="8" t="n">
        <f aca="false">IFERROR(INDEX('TRANS'!$B:$B,MATCH($B681,'TRANS'!$A:$A,0)),IFERROR(INDEX('TRANS'!$B:$B,MATCH(TRIM(SUBSTITUTE($B681,CHAR(160)," ")),'TRANS'!$D:$D,0)),IFERROR(INDEX('Catalog'!$A:$A,MATCH($B681,'Catalog'!$B:$B,0)),IFERROR(INDEX('Catalog'!$A:$A,MATCH(TRIM(SUBSTITUTE($B681,CHAR(160)," ")),'Catalog'!$C:$C,0)),""))))</f>
        <v>4422040</v>
      </c>
      <c r="H681" s="8" t="str">
        <f aca="false">IFERROR(INDEX('TRANS'!$C:$C,MATCH($B681,'TRANS'!$A:$A,0)),IFERROR(INDEX('Catalog'!$B:$B,MATCH($G681,'Catalog'!$A:$A,0)),$B681))</f>
        <v>SH422 4 תומך ברך גנושילד</v>
      </c>
      <c r="I681" s="8" t="str">
        <f aca="false">IF($G681="","Unmatched","Matched")</f>
        <v>Matched</v>
      </c>
      <c r="J681" s="8" t="n">
        <f aca="false">IF($G681&lt;&gt;"",$G681,$B681)</f>
        <v>4422040</v>
      </c>
      <c r="K681" s="8" t="str">
        <f aca="false">IF(COUNTIF($M$1:$M$10,$A681)&gt;0,"Y","N")</f>
        <v>Y</v>
      </c>
    </row>
    <row r="682" customFormat="false" ht="15" hidden="false" customHeight="true" outlineLevel="0" collapsed="false">
      <c r="A682" s="8" t="s">
        <v>44</v>
      </c>
      <c r="B682" s="8" t="s">
        <v>934</v>
      </c>
      <c r="C682" s="19" t="n">
        <v>13</v>
      </c>
      <c r="D682" s="19" t="n">
        <v>1702.63</v>
      </c>
      <c r="E682" s="19" t="n">
        <v>6</v>
      </c>
      <c r="F682" s="19" t="n">
        <v>843.46</v>
      </c>
      <c r="G682" s="8" t="n">
        <f aca="false">IFERROR(INDEX('TRANS'!$B:$B,MATCH($B682,'TRANS'!$A:$A,0)),IFERROR(INDEX('TRANS'!$B:$B,MATCH(TRIM(SUBSTITUTE($B682,CHAR(160)," ")),'TRANS'!$D:$D,0)),IFERROR(INDEX('Catalog'!$A:$A,MATCH($B682,'Catalog'!$B:$B,0)),IFERROR(INDEX('Catalog'!$A:$A,MATCH(TRIM(SUBSTITUTE($B682,CHAR(160)," ")),'Catalog'!$C:$C,0)),""))))</f>
        <v>4408119</v>
      </c>
      <c r="H682" s="8" t="str">
        <f aca="false">IFERROR(INDEX('TRANS'!$C:$C,MATCH($B682,'TRANS'!$A:$A,0)),IFERROR(INDEX('Catalog'!$B:$B,MATCH($G682,'Catalog'!$A:$A,0)),$B682))</f>
        <v>06U L ח.בטן מותנית צר</v>
      </c>
      <c r="I682" s="8" t="str">
        <f aca="false">IF($G682="","Unmatched","Matched")</f>
        <v>Matched</v>
      </c>
      <c r="J682" s="8" t="n">
        <f aca="false">IF($G682&lt;&gt;"",$G682,$B682)</f>
        <v>4408119</v>
      </c>
      <c r="K682" s="8" t="str">
        <f aca="false">IF(COUNTIF($M$1:$M$10,$A682)&gt;0,"Y","N")</f>
        <v>Y</v>
      </c>
    </row>
    <row r="683" customFormat="false" ht="15" hidden="false" customHeight="true" outlineLevel="0" collapsed="false">
      <c r="A683" s="8" t="s">
        <v>44</v>
      </c>
      <c r="B683" s="8" t="s">
        <v>120</v>
      </c>
      <c r="C683" s="19" t="n">
        <v>12</v>
      </c>
      <c r="D683" s="19" t="n">
        <v>1603.69</v>
      </c>
      <c r="E683" s="19" t="n">
        <v>7</v>
      </c>
      <c r="F683" s="19" t="n">
        <v>984.02</v>
      </c>
      <c r="G683" s="8" t="str">
        <f aca="false">IFERROR(INDEX('TRANS'!$B:$B,MATCH($B683,'TRANS'!$A:$A,0)),IFERROR(INDEX('TRANS'!$B:$B,MATCH(TRIM(SUBSTITUTE($B683,CHAR(160)," ")),'TRANS'!$D:$D,0)),IFERROR(INDEX('Catalog'!$A:$A,MATCH($B683,'Catalog'!$B:$B,0)),IFERROR(INDEX('Catalog'!$A:$A,MATCH(TRIM(SUBSTITUTE($B683,CHAR(160)," ")),'Catalog'!$C:$C,0)),""))))</f>
        <v/>
      </c>
      <c r="H683" s="8" t="str">
        <f aca="false">IFERROR(INDEX('TRANS'!$C:$C,MATCH($B683,'TRANS'!$A:$A,0)),IFERROR(INDEX('Catalog'!$B:$B,MATCH($G683,'Catalog'!$A:$A,0)),$B683))</f>
        <v>06U M</v>
      </c>
      <c r="I683" s="8" t="str">
        <f aca="false">IF($G683="","Unmatched","Matched")</f>
        <v>Unmatched</v>
      </c>
      <c r="J683" s="8" t="str">
        <f aca="false">IF($G683&lt;&gt;"",$G683,$B683)</f>
        <v>06U M</v>
      </c>
      <c r="K683" s="8" t="str">
        <f aca="false">IF(COUNTIF($M$1:$M$10,$A683)&gt;0,"Y","N")</f>
        <v>Y</v>
      </c>
    </row>
    <row r="684" customFormat="false" ht="15" hidden="false" customHeight="true" outlineLevel="0" collapsed="false">
      <c r="A684" s="8" t="s">
        <v>44</v>
      </c>
      <c r="B684" s="8" t="s">
        <v>243</v>
      </c>
      <c r="C684" s="19" t="n">
        <v>3</v>
      </c>
      <c r="D684" s="19" t="n">
        <v>380.16</v>
      </c>
      <c r="E684" s="19" t="n">
        <v>2</v>
      </c>
      <c r="F684" s="19" t="n">
        <v>281.18</v>
      </c>
      <c r="G684" s="8" t="str">
        <f aca="false">IFERROR(INDEX('TRANS'!$B:$B,MATCH($B684,'TRANS'!$A:$A,0)),IFERROR(INDEX('TRANS'!$B:$B,MATCH(TRIM(SUBSTITUTE($B684,CHAR(160)," ")),'TRANS'!$D:$D,0)),IFERROR(INDEX('Catalog'!$A:$A,MATCH($B684,'Catalog'!$B:$B,0)),IFERROR(INDEX('Catalog'!$A:$A,MATCH(TRIM(SUBSTITUTE($B684,CHAR(160)," ")),'Catalog'!$C:$C,0)),""))))</f>
        <v/>
      </c>
      <c r="H684" s="8" t="str">
        <f aca="false">IFERROR(INDEX('TRANS'!$C:$C,MATCH($B684,'TRANS'!$A:$A,0)),IFERROR(INDEX('Catalog'!$B:$B,MATCH($G684,'Catalog'!$A:$A,0)),$B684))</f>
        <v>06U S</v>
      </c>
      <c r="I684" s="8" t="str">
        <f aca="false">IF($G684="","Unmatched","Matched")</f>
        <v>Unmatched</v>
      </c>
      <c r="J684" s="8" t="str">
        <f aca="false">IF($G684&lt;&gt;"",$G684,$B684)</f>
        <v>06U S</v>
      </c>
      <c r="K684" s="8" t="str">
        <f aca="false">IF(COUNTIF($M$1:$M$10,$A684)&gt;0,"Y","N")</f>
        <v>Y</v>
      </c>
    </row>
    <row r="685" customFormat="false" ht="15" hidden="false" customHeight="true" outlineLevel="0" collapsed="false">
      <c r="A685" s="8" t="s">
        <v>44</v>
      </c>
      <c r="B685" s="8" t="s">
        <v>935</v>
      </c>
      <c r="C685" s="19" t="n">
        <v>11</v>
      </c>
      <c r="D685" s="19" t="n">
        <v>1380.01</v>
      </c>
      <c r="E685" s="19" t="n">
        <v>6</v>
      </c>
      <c r="F685" s="19" t="n">
        <v>843.45</v>
      </c>
      <c r="G685" s="8" t="n">
        <f aca="false">IFERROR(INDEX('TRANS'!$B:$B,MATCH($B685,'TRANS'!$A:$A,0)),IFERROR(INDEX('TRANS'!$B:$B,MATCH(TRIM(SUBSTITUTE($B685,CHAR(160)," ")),'TRANS'!$D:$D,0)),IFERROR(INDEX('Catalog'!$A:$A,MATCH($B685,'Catalog'!$B:$B,0)),IFERROR(INDEX('Catalog'!$A:$A,MATCH(TRIM(SUBSTITUTE($B685,CHAR(160)," ")),'Catalog'!$C:$C,0)),""))))</f>
        <v>4408120</v>
      </c>
      <c r="H685" s="8" t="str">
        <f aca="false">IFERROR(INDEX('TRANS'!$C:$C,MATCH($B685,'TRANS'!$A:$A,0)),IFERROR(INDEX('Catalog'!$B:$B,MATCH($G685,'Catalog'!$A:$A,0)),$B685))</f>
        <v>06U XL ח.בטן מותנית צר</v>
      </c>
      <c r="I685" s="8" t="str">
        <f aca="false">IF($G685="","Unmatched","Matched")</f>
        <v>Matched</v>
      </c>
      <c r="J685" s="8" t="n">
        <f aca="false">IF($G685&lt;&gt;"",$G685,$B685)</f>
        <v>4408120</v>
      </c>
      <c r="K685" s="8" t="str">
        <f aca="false">IF(COUNTIF($M$1:$M$10,$A685)&gt;0,"Y","N")</f>
        <v>Y</v>
      </c>
    </row>
    <row r="686" customFormat="false" ht="15" hidden="false" customHeight="true" outlineLevel="0" collapsed="false">
      <c r="A686" s="8" t="s">
        <v>44</v>
      </c>
      <c r="B686" s="8" t="s">
        <v>280</v>
      </c>
      <c r="C686" s="19" t="n">
        <v>-1</v>
      </c>
      <c r="D686" s="19" t="n">
        <v>-108.68</v>
      </c>
      <c r="E686" s="19" t="n">
        <v>0</v>
      </c>
      <c r="F686" s="19" t="n">
        <v>0</v>
      </c>
      <c r="G686" s="8" t="str">
        <f aca="false">IFERROR(INDEX('TRANS'!$B:$B,MATCH($B686,'TRANS'!$A:$A,0)),IFERROR(INDEX('TRANS'!$B:$B,MATCH(TRIM(SUBSTITUTE($B686,CHAR(160)," ")),'TRANS'!$D:$D,0)),IFERROR(INDEX('Catalog'!$A:$A,MATCH($B686,'Catalog'!$B:$B,0)),IFERROR(INDEX('Catalog'!$A:$A,MATCH(TRIM(SUBSTITUTE($B686,CHAR(160)," ")),'Catalog'!$C:$C,0)),""))))</f>
        <v/>
      </c>
      <c r="H686" s="8" t="str">
        <f aca="false">IFERROR(INDEX('TRANS'!$C:$C,MATCH($B686,'TRANS'!$A:$A,0)),IFERROR(INDEX('Catalog'!$B:$B,MATCH($G686,'Catalog'!$A:$A,0)),$B686))</f>
        <v>079 XL</v>
      </c>
      <c r="I686" s="8" t="str">
        <f aca="false">IF($G686="","Unmatched","Matched")</f>
        <v>Unmatched</v>
      </c>
      <c r="J686" s="8" t="str">
        <f aca="false">IF($G686&lt;&gt;"",$G686,$B686)</f>
        <v>079 XL</v>
      </c>
      <c r="K686" s="8" t="str">
        <f aca="false">IF(COUNTIF($M$1:$M$10,$A686)&gt;0,"Y","N")</f>
        <v>Y</v>
      </c>
    </row>
    <row r="687" customFormat="false" ht="15" hidden="false" customHeight="true" outlineLevel="0" collapsed="false">
      <c r="A687" s="8" t="s">
        <v>44</v>
      </c>
      <c r="B687" s="8" t="s">
        <v>125</v>
      </c>
      <c r="C687" s="19" t="n">
        <v>15</v>
      </c>
      <c r="D687" s="19" t="n">
        <v>1387.12</v>
      </c>
      <c r="E687" s="19" t="n">
        <v>-1</v>
      </c>
      <c r="F687" s="19" t="n">
        <v>-69.98</v>
      </c>
      <c r="G687" s="8" t="str">
        <f aca="false">IFERROR(INDEX('TRANS'!$B:$B,MATCH($B687,'TRANS'!$A:$A,0)),IFERROR(INDEX('TRANS'!$B:$B,MATCH(TRIM(SUBSTITUTE($B687,CHAR(160)," ")),'TRANS'!$D:$D,0)),IFERROR(INDEX('Catalog'!$A:$A,MATCH($B687,'Catalog'!$B:$B,0)),IFERROR(INDEX('Catalog'!$A:$A,MATCH(TRIM(SUBSTITUTE($B687,CHAR(160)," ")),'Catalog'!$C:$C,0)),""))))</f>
        <v/>
      </c>
      <c r="H687" s="8" t="str">
        <f aca="false">IFERROR(INDEX('TRANS'!$C:$C,MATCH($B687,'TRANS'!$A:$A,0)),IFERROR(INDEX('Catalog'!$B:$B,MATCH($G687,'Catalog'!$A:$A,0)),$B687))</f>
        <v>099-L-XL</v>
      </c>
      <c r="I687" s="8" t="str">
        <f aca="false">IF($G687="","Unmatched","Matched")</f>
        <v>Unmatched</v>
      </c>
      <c r="J687" s="8" t="str">
        <f aca="false">IF($G687&lt;&gt;"",$G687,$B687)</f>
        <v>099-L-XL</v>
      </c>
      <c r="K687" s="8" t="str">
        <f aca="false">IF(COUNTIF($M$1:$M$10,$A687)&gt;0,"Y","N")</f>
        <v>Y</v>
      </c>
    </row>
    <row r="688" customFormat="false" ht="15" hidden="false" customHeight="true" outlineLevel="0" collapsed="false">
      <c r="A688" s="8" t="s">
        <v>44</v>
      </c>
      <c r="B688" s="8" t="s">
        <v>855</v>
      </c>
      <c r="C688" s="19" t="n">
        <v>61</v>
      </c>
      <c r="D688" s="19" t="n">
        <v>5184.78</v>
      </c>
      <c r="E688" s="19" t="n">
        <v>21</v>
      </c>
      <c r="F688" s="19" t="n">
        <v>1784.82</v>
      </c>
      <c r="G688" s="8" t="n">
        <f aca="false">IFERROR(INDEX('TRANS'!$B:$B,MATCH($B688,'TRANS'!$A:$A,0)),IFERROR(INDEX('TRANS'!$B:$B,MATCH(TRIM(SUBSTITUTE($B688,CHAR(160)," ")),'TRANS'!$D:$D,0)),IFERROR(INDEX('Catalog'!$A:$A,MATCH($B688,'Catalog'!$B:$B,0)),IFERROR(INDEX('Catalog'!$A:$A,MATCH(TRIM(SUBSTITUTE($B688,CHAR(160)," ")),'Catalog'!$C:$C,0)),""))))</f>
        <v>4408032</v>
      </c>
      <c r="H688" s="8" t="str">
        <f aca="false">IFERROR(INDEX('TRANS'!$C:$C,MATCH($B688,'TRANS'!$A:$A,0)),IFERROR(INDEX('Catalog'!$B:$B,MATCH($G688,'Catalog'!$A:$A,0)),$B688))</f>
        <v>11 L""""חגורת בטן""""אורירית</v>
      </c>
      <c r="I688" s="8" t="str">
        <f aca="false">IF($G688="","Unmatched","Matched")</f>
        <v>Matched</v>
      </c>
      <c r="J688" s="8" t="n">
        <f aca="false">IF($G688&lt;&gt;"",$G688,$B688)</f>
        <v>4408032</v>
      </c>
      <c r="K688" s="8" t="str">
        <f aca="false">IF(COUNTIF($M$1:$M$10,$A688)&gt;0,"Y","N")</f>
        <v>Y</v>
      </c>
    </row>
    <row r="689" customFormat="false" ht="15" hidden="false" customHeight="true" outlineLevel="0" collapsed="false">
      <c r="A689" s="8" t="s">
        <v>44</v>
      </c>
      <c r="B689" s="8" t="s">
        <v>936</v>
      </c>
      <c r="C689" s="19" t="n">
        <v>42</v>
      </c>
      <c r="D689" s="19" t="n">
        <v>3569.81</v>
      </c>
      <c r="E689" s="19" t="n">
        <v>23</v>
      </c>
      <c r="F689" s="19" t="n">
        <v>1954.81</v>
      </c>
      <c r="G689" s="8" t="n">
        <f aca="false">IFERROR(INDEX('TRANS'!$B:$B,MATCH($B689,'TRANS'!$A:$A,0)),IFERROR(INDEX('TRANS'!$B:$B,MATCH(TRIM(SUBSTITUTE($B689,CHAR(160)," ")),'TRANS'!$D:$D,0)),IFERROR(INDEX('Catalog'!$A:$A,MATCH($B689,'Catalog'!$B:$B,0)),IFERROR(INDEX('Catalog'!$A:$A,MATCH(TRIM(SUBSTITUTE($B689,CHAR(160)," ")),'Catalog'!$C:$C,0)),""))))</f>
        <v>4408034</v>
      </c>
      <c r="H689" s="8" t="str">
        <f aca="false">IFERROR(INDEX('TRANS'!$C:$C,MATCH($B689,'TRANS'!$A:$A,0)),IFERROR(INDEX('Catalog'!$B:$B,MATCH($G689,'Catalog'!$A:$A,0)),$B689))</f>
        <v>11 XL""""חגורת בטן""""אורירית</v>
      </c>
      <c r="I689" s="8" t="str">
        <f aca="false">IF($G689="","Unmatched","Matched")</f>
        <v>Matched</v>
      </c>
      <c r="J689" s="8" t="n">
        <f aca="false">IF($G689&lt;&gt;"",$G689,$B689)</f>
        <v>4408034</v>
      </c>
      <c r="K689" s="8" t="str">
        <f aca="false">IF(COUNTIF($M$1:$M$10,$A689)&gt;0,"Y","N")</f>
        <v>Y</v>
      </c>
    </row>
    <row r="690" customFormat="false" ht="15" hidden="false" customHeight="true" outlineLevel="0" collapsed="false">
      <c r="A690" s="8" t="s">
        <v>44</v>
      </c>
      <c r="B690" s="8" t="s">
        <v>937</v>
      </c>
      <c r="C690" s="19" t="n">
        <v>40</v>
      </c>
      <c r="D690" s="19" t="n">
        <v>3739.29</v>
      </c>
      <c r="E690" s="19" t="n">
        <v>22</v>
      </c>
      <c r="F690" s="19" t="n">
        <v>1869.77</v>
      </c>
      <c r="G690" s="8" t="n">
        <f aca="false">IFERROR(INDEX('TRANS'!$B:$B,MATCH($B690,'TRANS'!$A:$A,0)),IFERROR(INDEX('TRANS'!$B:$B,MATCH(TRIM(SUBSTITUTE($B690,CHAR(160)," ")),'TRANS'!$D:$D,0)),IFERROR(INDEX('Catalog'!$A:$A,MATCH($B690,'Catalog'!$B:$B,0)),IFERROR(INDEX('Catalog'!$A:$A,MATCH(TRIM(SUBSTITUTE($B690,CHAR(160)," ")),'Catalog'!$C:$C,0)),""))))</f>
        <v>4408035</v>
      </c>
      <c r="H690" s="8" t="str">
        <f aca="false">IFERROR(INDEX('TRANS'!$C:$C,MATCH($B690,'TRANS'!$A:$A,0)),IFERROR(INDEX('Catalog'!$B:$B,MATCH($G690,'Catalog'!$A:$A,0)),$B690))</f>
        <v>11 XXL""""חגורת בטן""""אורירית</v>
      </c>
      <c r="I690" s="8" t="str">
        <f aca="false">IF($G690="","Unmatched","Matched")</f>
        <v>Matched</v>
      </c>
      <c r="J690" s="8" t="n">
        <f aca="false">IF($G690&lt;&gt;"",$G690,$B690)</f>
        <v>4408035</v>
      </c>
      <c r="K690" s="8" t="str">
        <f aca="false">IF(COUNTIF($M$1:$M$10,$A690)&gt;0,"Y","N")</f>
        <v>Y</v>
      </c>
    </row>
    <row r="691" customFormat="false" ht="15" hidden="false" customHeight="true" outlineLevel="0" collapsed="false">
      <c r="A691" s="8" t="s">
        <v>44</v>
      </c>
      <c r="B691" s="8" t="s">
        <v>73</v>
      </c>
      <c r="C691" s="19" t="n">
        <v>13</v>
      </c>
      <c r="D691" s="19" t="n">
        <v>1689.98</v>
      </c>
      <c r="E691" s="19" t="n">
        <v>32</v>
      </c>
      <c r="F691" s="19" t="n">
        <v>4549.43</v>
      </c>
      <c r="G691" s="8" t="str">
        <f aca="false">IFERROR(INDEX('TRANS'!$B:$B,MATCH($B691,'TRANS'!$A:$A,0)),IFERROR(INDEX('TRANS'!$B:$B,MATCH(TRIM(SUBSTITUTE($B691,CHAR(160)," ")),'TRANS'!$D:$D,0)),IFERROR(INDEX('Catalog'!$A:$A,MATCH($B691,'Catalog'!$B:$B,0)),IFERROR(INDEX('Catalog'!$A:$A,MATCH(TRIM(SUBSTITUTE($B691,CHAR(160)," ")),'Catalog'!$C:$C,0)),""))))</f>
        <v/>
      </c>
      <c r="H691" s="8" t="str">
        <f aca="false">IFERROR(INDEX('TRANS'!$C:$C,MATCH($B691,'TRANS'!$A:$A,0)),IFERROR(INDEX('Catalog'!$B:$B,MATCH($G691,'Catalog'!$A:$A,0)),$B691))</f>
        <v>11TO XXXL</v>
      </c>
      <c r="I691" s="8" t="str">
        <f aca="false">IF($G691="","Unmatched","Matched")</f>
        <v>Unmatched</v>
      </c>
      <c r="J691" s="8" t="str">
        <f aca="false">IF($G691&lt;&gt;"",$G691,$B691)</f>
        <v>11TO XXXL</v>
      </c>
      <c r="K691" s="8" t="str">
        <f aca="false">IF(COUNTIF($M$1:$M$10,$A691)&gt;0,"Y","N")</f>
        <v>Y</v>
      </c>
    </row>
    <row r="692" customFormat="false" ht="15" hidden="false" customHeight="true" outlineLevel="0" collapsed="false">
      <c r="A692" s="8" t="s">
        <v>44</v>
      </c>
      <c r="B692" s="8" t="s">
        <v>185</v>
      </c>
      <c r="C692" s="19" t="n">
        <v>3</v>
      </c>
      <c r="D692" s="19" t="n">
        <v>314.98</v>
      </c>
      <c r="E692" s="19" t="n">
        <v>2</v>
      </c>
      <c r="F692" s="19" t="n">
        <v>229.99</v>
      </c>
      <c r="G692" s="8" t="str">
        <f aca="false">IFERROR(INDEX('TRANS'!$B:$B,MATCH($B692,'TRANS'!$A:$A,0)),IFERROR(INDEX('TRANS'!$B:$B,MATCH(TRIM(SUBSTITUTE($B692,CHAR(160)," ")),'TRANS'!$D:$D,0)),IFERROR(INDEX('Catalog'!$A:$A,MATCH($B692,'Catalog'!$B:$B,0)),IFERROR(INDEX('Catalog'!$A:$A,MATCH(TRIM(SUBSTITUTE($B692,CHAR(160)," ")),'Catalog'!$C:$C,0)),""))))</f>
        <v/>
      </c>
      <c r="H692" s="8" t="str">
        <f aca="false">IFERROR(INDEX('TRANS'!$C:$C,MATCH($B692,'TRANS'!$A:$A,0)),IFERROR(INDEX('Catalog'!$B:$B,MATCH($G692,'Catalog'!$A:$A,0)),$B692))</f>
        <v>13 L</v>
      </c>
      <c r="I692" s="8" t="str">
        <f aca="false">IF($G692="","Unmatched","Matched")</f>
        <v>Unmatched</v>
      </c>
      <c r="J692" s="8" t="str">
        <f aca="false">IF($G692&lt;&gt;"",$G692,$B692)</f>
        <v>13 L</v>
      </c>
      <c r="K692" s="8" t="str">
        <f aca="false">IF(COUNTIF($M$1:$M$10,$A692)&gt;0,"Y","N")</f>
        <v>Y</v>
      </c>
    </row>
    <row r="693" customFormat="false" ht="15" hidden="false" customHeight="true" outlineLevel="0" collapsed="false">
      <c r="A693" s="8" t="s">
        <v>44</v>
      </c>
      <c r="B693" s="8" t="s">
        <v>174</v>
      </c>
      <c r="C693" s="19" t="n">
        <v>1</v>
      </c>
      <c r="D693" s="19" t="n">
        <v>100.97</v>
      </c>
      <c r="E693" s="19" t="n">
        <v>-1</v>
      </c>
      <c r="F693" s="19" t="n">
        <v>-115</v>
      </c>
      <c r="G693" s="8" t="str">
        <f aca="false">IFERROR(INDEX('TRANS'!$B:$B,MATCH($B693,'TRANS'!$A:$A,0)),IFERROR(INDEX('TRANS'!$B:$B,MATCH(TRIM(SUBSTITUTE($B693,CHAR(160)," ")),'TRANS'!$D:$D,0)),IFERROR(INDEX('Catalog'!$A:$A,MATCH($B693,'Catalog'!$B:$B,0)),IFERROR(INDEX('Catalog'!$A:$A,MATCH(TRIM(SUBSTITUTE($B693,CHAR(160)," ")),'Catalog'!$C:$C,0)),""))))</f>
        <v/>
      </c>
      <c r="H693" s="8" t="str">
        <f aca="false">IFERROR(INDEX('TRANS'!$C:$C,MATCH($B693,'TRANS'!$A:$A,0)),IFERROR(INDEX('Catalog'!$B:$B,MATCH($G693,'Catalog'!$A:$A,0)),$B693))</f>
        <v>13 M</v>
      </c>
      <c r="I693" s="8" t="str">
        <f aca="false">IF($G693="","Unmatched","Matched")</f>
        <v>Unmatched</v>
      </c>
      <c r="J693" s="8" t="str">
        <f aca="false">IF($G693&lt;&gt;"",$G693,$B693)</f>
        <v>13 M</v>
      </c>
      <c r="K693" s="8" t="str">
        <f aca="false">IF(COUNTIF($M$1:$M$10,$A693)&gt;0,"Y","N")</f>
        <v>Y</v>
      </c>
    </row>
    <row r="694" customFormat="false" ht="15" hidden="false" customHeight="true" outlineLevel="0" collapsed="false">
      <c r="A694" s="8" t="s">
        <v>44</v>
      </c>
      <c r="B694" s="8" t="s">
        <v>938</v>
      </c>
      <c r="C694" s="19" t="n">
        <v>3</v>
      </c>
      <c r="D694" s="19" t="n">
        <v>313</v>
      </c>
      <c r="E694" s="19" t="n">
        <v>1</v>
      </c>
      <c r="F694" s="19" t="n">
        <v>115</v>
      </c>
      <c r="G694" s="8" t="n">
        <f aca="false">IFERROR(INDEX('TRANS'!$B:$B,MATCH($B694,'TRANS'!$A:$A,0)),IFERROR(INDEX('TRANS'!$B:$B,MATCH(TRIM(SUBSTITUTE($B694,CHAR(160)," ")),'TRANS'!$D:$D,0)),IFERROR(INDEX('Catalog'!$A:$A,MATCH($B694,'Catalog'!$B:$B,0)),IFERROR(INDEX('Catalog'!$A:$A,MATCH(TRIM(SUBSTITUTE($B694,CHAR(160)," ")),'Catalog'!$C:$C,0)),""))))</f>
        <v>4408179</v>
      </c>
      <c r="H694" s="8" t="str">
        <f aca="false">IFERROR(INDEX('TRANS'!$C:$C,MATCH($B694,'TRANS'!$A:$A,0)),IFERROR(INDEX('Catalog'!$B:$B,MATCH($G694,'Catalog'!$A:$A,0)),$B694))</f>
        <v>13 XL חגורה לשבר טבור</v>
      </c>
      <c r="I694" s="8" t="str">
        <f aca="false">IF($G694="","Unmatched","Matched")</f>
        <v>Matched</v>
      </c>
      <c r="J694" s="8" t="n">
        <f aca="false">IF($G694&lt;&gt;"",$G694,$B694)</f>
        <v>4408179</v>
      </c>
      <c r="K694" s="8" t="str">
        <f aca="false">IF(COUNTIF($M$1:$M$10,$A694)&gt;0,"Y","N")</f>
        <v>Y</v>
      </c>
    </row>
    <row r="695" customFormat="false" ht="15" hidden="false" customHeight="true" outlineLevel="0" collapsed="false">
      <c r="A695" s="8" t="s">
        <v>44</v>
      </c>
      <c r="B695" s="8" t="s">
        <v>782</v>
      </c>
      <c r="C695" s="19" t="n">
        <v>5</v>
      </c>
      <c r="D695" s="19" t="n">
        <v>539.02</v>
      </c>
      <c r="E695" s="19" t="n">
        <v>3</v>
      </c>
      <c r="F695" s="19" t="n">
        <v>325</v>
      </c>
      <c r="G695" s="8" t="n">
        <f aca="false">IFERROR(INDEX('TRANS'!$B:$B,MATCH($B695,'TRANS'!$A:$A,0)),IFERROR(INDEX('TRANS'!$B:$B,MATCH(TRIM(SUBSTITUTE($B695,CHAR(160)," ")),'TRANS'!$D:$D,0)),IFERROR(INDEX('Catalog'!$A:$A,MATCH($B695,'Catalog'!$B:$B,0)),IFERROR(INDEX('Catalog'!$A:$A,MATCH(TRIM(SUBSTITUTE($B695,CHAR(160)," ")),'Catalog'!$C:$C,0)),""))))</f>
        <v>4408180</v>
      </c>
      <c r="H695" s="8" t="str">
        <f aca="false">IFERROR(INDEX('TRANS'!$C:$C,MATCH($B695,'TRANS'!$A:$A,0)),IFERROR(INDEX('Catalog'!$B:$B,MATCH($G695,'Catalog'!$A:$A,0)),$B695))</f>
        <v>13 XXL חגורה לשבר טבור</v>
      </c>
      <c r="I695" s="8" t="str">
        <f aca="false">IF($G695="","Unmatched","Matched")</f>
        <v>Matched</v>
      </c>
      <c r="J695" s="8" t="n">
        <f aca="false">IF($G695&lt;&gt;"",$G695,$B695)</f>
        <v>4408180</v>
      </c>
      <c r="K695" s="8" t="str">
        <f aca="false">IF(COUNTIF($M$1:$M$10,$A695)&gt;0,"Y","N")</f>
        <v>Y</v>
      </c>
    </row>
    <row r="696" customFormat="false" ht="15" hidden="false" customHeight="true" outlineLevel="0" collapsed="false">
      <c r="A696" s="8" t="s">
        <v>44</v>
      </c>
      <c r="B696" s="8" t="s">
        <v>939</v>
      </c>
      <c r="C696" s="19" t="n">
        <v>15</v>
      </c>
      <c r="D696" s="19" t="n">
        <v>489.43</v>
      </c>
      <c r="E696" s="19" t="n">
        <v>12</v>
      </c>
      <c r="F696" s="19" t="n">
        <v>394.34</v>
      </c>
      <c r="G696" s="8" t="n">
        <f aca="false">IFERROR(INDEX('TRANS'!$B:$B,MATCH($B696,'TRANS'!$A:$A,0)),IFERROR(INDEX('TRANS'!$B:$B,MATCH(TRIM(SUBSTITUTE($B696,CHAR(160)," ")),'TRANS'!$D:$D,0)),IFERROR(INDEX('Catalog'!$A:$A,MATCH($B696,'Catalog'!$B:$B,0)),IFERROR(INDEX('Catalog'!$A:$A,MATCH(TRIM(SUBSTITUTE($B696,CHAR(160)," ")),'Catalog'!$C:$C,0)),""))))</f>
        <v>4408047</v>
      </c>
      <c r="H696" s="8" t="str">
        <f aca="false">IFERROR(INDEX('TRANS'!$C:$C,MATCH($B696,'TRANS'!$A:$A,0)),IFERROR(INDEX('Catalog'!$B:$B,MATCH($G696,'Catalog'!$A:$A,0)),$B696))</f>
        <v>20 M חבק יד מתכוון עם צמדן</v>
      </c>
      <c r="I696" s="8" t="str">
        <f aca="false">IF($G696="","Unmatched","Matched")</f>
        <v>Matched</v>
      </c>
      <c r="J696" s="8" t="n">
        <f aca="false">IF($G696&lt;&gt;"",$G696,$B696)</f>
        <v>4408047</v>
      </c>
      <c r="K696" s="8" t="str">
        <f aca="false">IF(COUNTIF($M$1:$M$10,$A696)&gt;0,"Y","N")</f>
        <v>Y</v>
      </c>
    </row>
    <row r="697" customFormat="false" ht="15" hidden="false" customHeight="true" outlineLevel="0" collapsed="false">
      <c r="A697" s="8" t="s">
        <v>44</v>
      </c>
      <c r="B697" s="8" t="s">
        <v>940</v>
      </c>
      <c r="C697" s="19" t="n">
        <v>9</v>
      </c>
      <c r="D697" s="19" t="n">
        <v>292.48</v>
      </c>
      <c r="E697" s="19" t="n">
        <v>10</v>
      </c>
      <c r="F697" s="19" t="n">
        <v>327.96</v>
      </c>
      <c r="G697" s="8" t="n">
        <f aca="false">IFERROR(INDEX('TRANS'!$B:$B,MATCH($B697,'TRANS'!$A:$A,0)),IFERROR(INDEX('TRANS'!$B:$B,MATCH(TRIM(SUBSTITUTE($B697,CHAR(160)," ")),'TRANS'!$D:$D,0)),IFERROR(INDEX('Catalog'!$A:$A,MATCH($B697,'Catalog'!$B:$B,0)),IFERROR(INDEX('Catalog'!$A:$A,MATCH(TRIM(SUBSTITUTE($B697,CHAR(160)," ")),'Catalog'!$C:$C,0)),""))))</f>
        <v>4408048</v>
      </c>
      <c r="H697" s="8" t="str">
        <f aca="false">IFERROR(INDEX('TRANS'!$C:$C,MATCH($B697,'TRANS'!$A:$A,0)),IFERROR(INDEX('Catalog'!$B:$B,MATCH($G697,'Catalog'!$A:$A,0)),$B697))</f>
        <v>20 S חבק יד מתכוון עם צמדן</v>
      </c>
      <c r="I697" s="8" t="str">
        <f aca="false">IF($G697="","Unmatched","Matched")</f>
        <v>Matched</v>
      </c>
      <c r="J697" s="8" t="n">
        <f aca="false">IF($G697&lt;&gt;"",$G697,$B697)</f>
        <v>4408048</v>
      </c>
      <c r="K697" s="8" t="str">
        <f aca="false">IF(COUNTIF($M$1:$M$10,$A697)&gt;0,"Y","N")</f>
        <v>Y</v>
      </c>
    </row>
    <row r="698" customFormat="false" ht="15" hidden="false" customHeight="true" outlineLevel="0" collapsed="false">
      <c r="A698" s="8" t="s">
        <v>44</v>
      </c>
      <c r="B698" s="8" t="s">
        <v>193</v>
      </c>
      <c r="C698" s="19" t="n">
        <v>1</v>
      </c>
      <c r="D698" s="19" t="n">
        <v>72</v>
      </c>
      <c r="E698" s="19" t="n">
        <v>0</v>
      </c>
      <c r="F698" s="19" t="n">
        <v>0</v>
      </c>
      <c r="G698" s="8" t="str">
        <f aca="false">IFERROR(INDEX('TRANS'!$B:$B,MATCH($B698,'TRANS'!$A:$A,0)),IFERROR(INDEX('TRANS'!$B:$B,MATCH(TRIM(SUBSTITUTE($B698,CHAR(160)," ")),'TRANS'!$D:$D,0)),IFERROR(INDEX('Catalog'!$A:$A,MATCH($B698,'Catalog'!$B:$B,0)),IFERROR(INDEX('Catalog'!$A:$A,MATCH(TRIM(SUBSTITUTE($B698,CHAR(160)," ")),'Catalog'!$C:$C,0)),""))))</f>
        <v/>
      </c>
      <c r="H698" s="8" t="str">
        <f aca="false">IFERROR(INDEX('TRANS'!$C:$C,MATCH($B698,'TRANS'!$A:$A,0)),IFERROR(INDEX('Catalog'!$B:$B,MATCH($G698,'Catalog'!$A:$A,0)),$B698))</f>
        <v>305GA-35-36</v>
      </c>
      <c r="I698" s="8" t="str">
        <f aca="false">IF($G698="","Unmatched","Matched")</f>
        <v>Unmatched</v>
      </c>
      <c r="J698" s="8" t="str">
        <f aca="false">IF($G698&lt;&gt;"",$G698,$B698)</f>
        <v>305GA-35-36</v>
      </c>
      <c r="K698" s="8" t="str">
        <f aca="false">IF(COUNTIF($M$1:$M$10,$A698)&gt;0,"Y","N")</f>
        <v>Y</v>
      </c>
    </row>
    <row r="699" customFormat="false" ht="15" hidden="false" customHeight="true" outlineLevel="0" collapsed="false">
      <c r="A699" s="8" t="s">
        <v>44</v>
      </c>
      <c r="B699" s="8" t="s">
        <v>941</v>
      </c>
      <c r="C699" s="19" t="n">
        <v>7</v>
      </c>
      <c r="D699" s="19" t="n">
        <v>560.01</v>
      </c>
      <c r="E699" s="19" t="n">
        <v>2</v>
      </c>
      <c r="F699" s="19" t="n">
        <v>160.03</v>
      </c>
      <c r="G699" s="8" t="n">
        <f aca="false">IFERROR(INDEX('TRANS'!$B:$B,MATCH($B699,'TRANS'!$A:$A,0)),IFERROR(INDEX('TRANS'!$B:$B,MATCH(TRIM(SUBSTITUTE($B699,CHAR(160)," ")),'TRANS'!$D:$D,0)),IFERROR(INDEX('Catalog'!$A:$A,MATCH($B699,'Catalog'!$B:$B,0)),IFERROR(INDEX('Catalog'!$A:$A,MATCH(TRIM(SUBSTITUTE($B699,CHAR(160)," ")),'Catalog'!$C:$C,0)),""))))</f>
        <v>4413154</v>
      </c>
      <c r="H699" s="8" t="str">
        <f aca="false">IFERROR(INDEX('TRANS'!$C:$C,MATCH($B699,'TRANS'!$A:$A,0)),IFERROR(INDEX('Catalog'!$B:$B,MATCH($G699,'Catalog'!$A:$A,0)),$B699))</f>
        <v>305GA מדרס אורטופ.מתכוון37-38</v>
      </c>
      <c r="I699" s="8" t="str">
        <f aca="false">IF($G699="","Unmatched","Matched")</f>
        <v>Matched</v>
      </c>
      <c r="J699" s="8" t="n">
        <f aca="false">IF($G699&lt;&gt;"",$G699,$B699)</f>
        <v>4413154</v>
      </c>
      <c r="K699" s="8" t="str">
        <f aca="false">IF(COUNTIF($M$1:$M$10,$A699)&gt;0,"Y","N")</f>
        <v>Y</v>
      </c>
    </row>
    <row r="700" customFormat="false" ht="15" hidden="false" customHeight="true" outlineLevel="0" collapsed="false">
      <c r="A700" s="8" t="s">
        <v>44</v>
      </c>
      <c r="B700" s="8" t="s">
        <v>597</v>
      </c>
      <c r="C700" s="19" t="n">
        <v>5</v>
      </c>
      <c r="D700" s="19" t="n">
        <v>384</v>
      </c>
      <c r="E700" s="19" t="n">
        <v>6</v>
      </c>
      <c r="F700" s="19" t="n">
        <v>480.02</v>
      </c>
      <c r="G700" s="8" t="n">
        <f aca="false">IFERROR(INDEX('TRANS'!$B:$B,MATCH($B700,'TRANS'!$A:$A,0)),IFERROR(INDEX('TRANS'!$B:$B,MATCH(TRIM(SUBSTITUTE($B700,CHAR(160)," ")),'TRANS'!$D:$D,0)),IFERROR(INDEX('Catalog'!$A:$A,MATCH($B700,'Catalog'!$B:$B,0)),IFERROR(INDEX('Catalog'!$A:$A,MATCH(TRIM(SUBSTITUTE($B700,CHAR(160)," ")),'Catalog'!$C:$C,0)),""))))</f>
        <v>4413155</v>
      </c>
      <c r="H700" s="8" t="str">
        <f aca="false">IFERROR(INDEX('TRANS'!$C:$C,MATCH($B700,'TRANS'!$A:$A,0)),IFERROR(INDEX('Catalog'!$B:$B,MATCH($G700,'Catalog'!$A:$A,0)),$B700))</f>
        <v>305GA מדרס אורטופ.מתכוון39-40</v>
      </c>
      <c r="I700" s="8" t="str">
        <f aca="false">IF($G700="","Unmatched","Matched")</f>
        <v>Matched</v>
      </c>
      <c r="J700" s="8" t="n">
        <f aca="false">IF($G700&lt;&gt;"",$G700,$B700)</f>
        <v>4413155</v>
      </c>
      <c r="K700" s="8" t="str">
        <f aca="false">IF(COUNTIF($M$1:$M$10,$A700)&gt;0,"Y","N")</f>
        <v>Y</v>
      </c>
    </row>
    <row r="701" customFormat="false" ht="15" hidden="false" customHeight="true" outlineLevel="0" collapsed="false">
      <c r="A701" s="8" t="s">
        <v>44</v>
      </c>
      <c r="B701" s="8" t="s">
        <v>598</v>
      </c>
      <c r="C701" s="19" t="n">
        <v>12</v>
      </c>
      <c r="D701" s="19" t="n">
        <v>920.03</v>
      </c>
      <c r="E701" s="19" t="n">
        <v>18</v>
      </c>
      <c r="F701" s="19" t="n">
        <v>1440.09</v>
      </c>
      <c r="G701" s="8" t="n">
        <f aca="false">IFERROR(INDEX('TRANS'!$B:$B,MATCH($B701,'TRANS'!$A:$A,0)),IFERROR(INDEX('TRANS'!$B:$B,MATCH(TRIM(SUBSTITUTE($B701,CHAR(160)," ")),'TRANS'!$D:$D,0)),IFERROR(INDEX('Catalog'!$A:$A,MATCH($B701,'Catalog'!$B:$B,0)),IFERROR(INDEX('Catalog'!$A:$A,MATCH(TRIM(SUBSTITUTE($B701,CHAR(160)," ")),'Catalog'!$C:$C,0)),""))))</f>
        <v>4413156</v>
      </c>
      <c r="H701" s="8" t="str">
        <f aca="false">IFERROR(INDEX('TRANS'!$C:$C,MATCH($B701,'TRANS'!$A:$A,0)),IFERROR(INDEX('Catalog'!$B:$B,MATCH($G701,'Catalog'!$A:$A,0)),$B701))</f>
        <v>305GA מדרס אורטופ.מתכוון41-42</v>
      </c>
      <c r="I701" s="8" t="str">
        <f aca="false">IF($G701="","Unmatched","Matched")</f>
        <v>Matched</v>
      </c>
      <c r="J701" s="8" t="n">
        <f aca="false">IF($G701&lt;&gt;"",$G701,$B701)</f>
        <v>4413156</v>
      </c>
      <c r="K701" s="8" t="str">
        <f aca="false">IF(COUNTIF($M$1:$M$10,$A701)&gt;0,"Y","N")</f>
        <v>Y</v>
      </c>
    </row>
    <row r="702" customFormat="false" ht="15" hidden="false" customHeight="true" outlineLevel="0" collapsed="false">
      <c r="A702" s="8" t="s">
        <v>44</v>
      </c>
      <c r="B702" s="8" t="s">
        <v>599</v>
      </c>
      <c r="C702" s="19" t="n">
        <v>18</v>
      </c>
      <c r="D702" s="19" t="n">
        <v>1368.01</v>
      </c>
      <c r="E702" s="19" t="n">
        <v>20</v>
      </c>
      <c r="F702" s="19" t="n">
        <v>1600.06</v>
      </c>
      <c r="G702" s="8" t="n">
        <f aca="false">IFERROR(INDEX('TRANS'!$B:$B,MATCH($B702,'TRANS'!$A:$A,0)),IFERROR(INDEX('TRANS'!$B:$B,MATCH(TRIM(SUBSTITUTE($B702,CHAR(160)," ")),'TRANS'!$D:$D,0)),IFERROR(INDEX('Catalog'!$A:$A,MATCH($B702,'Catalog'!$B:$B,0)),IFERROR(INDEX('Catalog'!$A:$A,MATCH(TRIM(SUBSTITUTE($B702,CHAR(160)," ")),'Catalog'!$C:$C,0)),""))))</f>
        <v>4413157</v>
      </c>
      <c r="H702" s="8" t="str">
        <f aca="false">IFERROR(INDEX('TRANS'!$C:$C,MATCH($B702,'TRANS'!$A:$A,0)),IFERROR(INDEX('Catalog'!$B:$B,MATCH($G702,'Catalog'!$A:$A,0)),$B702))</f>
        <v>305GA מדרס אורטופ.מתכוון43-44</v>
      </c>
      <c r="I702" s="8" t="str">
        <f aca="false">IF($G702="","Unmatched","Matched")</f>
        <v>Matched</v>
      </c>
      <c r="J702" s="8" t="n">
        <f aca="false">IF($G702&lt;&gt;"",$G702,$B702)</f>
        <v>4413157</v>
      </c>
      <c r="K702" s="8" t="str">
        <f aca="false">IF(COUNTIF($M$1:$M$10,$A702)&gt;0,"Y","N")</f>
        <v>Y</v>
      </c>
    </row>
    <row r="703" customFormat="false" ht="15" hidden="false" customHeight="true" outlineLevel="0" collapsed="false">
      <c r="A703" s="8" t="s">
        <v>44</v>
      </c>
      <c r="B703" s="8" t="s">
        <v>600</v>
      </c>
      <c r="C703" s="19" t="n">
        <v>20</v>
      </c>
      <c r="D703" s="19" t="n">
        <v>2094.02</v>
      </c>
      <c r="E703" s="19" t="n">
        <v>17</v>
      </c>
      <c r="F703" s="19" t="n">
        <v>1910.01</v>
      </c>
      <c r="G703" s="8" t="n">
        <f aca="false">IFERROR(INDEX('TRANS'!$B:$B,MATCH($B703,'TRANS'!$A:$A,0)),IFERROR(INDEX('TRANS'!$B:$B,MATCH(TRIM(SUBSTITUTE($B703,CHAR(160)," ")),'TRANS'!$D:$D,0)),IFERROR(INDEX('Catalog'!$A:$A,MATCH($B703,'Catalog'!$B:$B,0)),IFERROR(INDEX('Catalog'!$A:$A,MATCH(TRIM(SUBSTITUTE($B703,CHAR(160)," ")),'Catalog'!$C:$C,0)),""))))</f>
        <v>4413158</v>
      </c>
      <c r="H703" s="8" t="str">
        <f aca="false">IFERROR(INDEX('TRANS'!$C:$C,MATCH($B703,'TRANS'!$A:$A,0)),IFERROR(INDEX('Catalog'!$B:$B,MATCH($G703,'Catalog'!$A:$A,0)),$B703))</f>
        <v>305GA מדרס אורטופ.מתכוון45-46</v>
      </c>
      <c r="I703" s="8" t="str">
        <f aca="false">IF($G703="","Unmatched","Matched")</f>
        <v>Matched</v>
      </c>
      <c r="J703" s="8" t="n">
        <f aca="false">IF($G703&lt;&gt;"",$G703,$B703)</f>
        <v>4413158</v>
      </c>
      <c r="K703" s="8" t="str">
        <f aca="false">IF(COUNTIF($M$1:$M$10,$A703)&gt;0,"Y","N")</f>
        <v>Y</v>
      </c>
    </row>
    <row r="704" customFormat="false" ht="15" hidden="false" customHeight="true" outlineLevel="0" collapsed="false">
      <c r="A704" s="8" t="s">
        <v>44</v>
      </c>
      <c r="B704" s="8" t="s">
        <v>611</v>
      </c>
      <c r="C704" s="19" t="n">
        <v>35</v>
      </c>
      <c r="D704" s="19" t="n">
        <v>2359.31</v>
      </c>
      <c r="E704" s="19" t="n">
        <v>50</v>
      </c>
      <c r="F704" s="19" t="n">
        <v>3353.76</v>
      </c>
      <c r="G704" s="8" t="n">
        <f aca="false">IFERROR(INDEX('TRANS'!$B:$B,MATCH($B704,'TRANS'!$A:$A,0)),IFERROR(INDEX('TRANS'!$B:$B,MATCH(TRIM(SUBSTITUTE($B704,CHAR(160)," ")),'TRANS'!$D:$D,0)),IFERROR(INDEX('Catalog'!$A:$A,MATCH($B704,'Catalog'!$B:$B,0)),IFERROR(INDEX('Catalog'!$A:$A,MATCH(TRIM(SUBSTITUTE($B704,CHAR(160)," ")),'Catalog'!$C:$C,0)),""))))</f>
        <v>4413161</v>
      </c>
      <c r="H704" s="8" t="str">
        <f aca="false">IFERROR(INDEX('TRANS'!$C:$C,MATCH($B704,'TRANS'!$A:$A,0)),IFERROR(INDEX('Catalog'!$B:$B,MATCH($G704,'Catalog'!$A:$A,0)),$B704))</f>
        <v>34+ L מגן קרסול עקב סגור+רצוע</v>
      </c>
      <c r="I704" s="8" t="str">
        <f aca="false">IF($G704="","Unmatched","Matched")</f>
        <v>Matched</v>
      </c>
      <c r="J704" s="8" t="n">
        <f aca="false">IF($G704&lt;&gt;"",$G704,$B704)</f>
        <v>4413161</v>
      </c>
      <c r="K704" s="8" t="str">
        <f aca="false">IF(COUNTIF($M$1:$M$10,$A704)&gt;0,"Y","N")</f>
        <v>Y</v>
      </c>
    </row>
    <row r="705" customFormat="false" ht="15" hidden="false" customHeight="true" outlineLevel="0" collapsed="false">
      <c r="A705" s="8" t="s">
        <v>44</v>
      </c>
      <c r="B705" s="8" t="s">
        <v>790</v>
      </c>
      <c r="C705" s="19" t="n">
        <v>27</v>
      </c>
      <c r="D705" s="19" t="n">
        <v>1786.85</v>
      </c>
      <c r="E705" s="19" t="n">
        <v>45</v>
      </c>
      <c r="F705" s="19" t="n">
        <v>3035.27</v>
      </c>
      <c r="G705" s="8" t="n">
        <f aca="false">IFERROR(INDEX('TRANS'!$B:$B,MATCH($B705,'TRANS'!$A:$A,0)),IFERROR(INDEX('TRANS'!$B:$B,MATCH(TRIM(SUBSTITUTE($B705,CHAR(160)," ")),'TRANS'!$D:$D,0)),IFERROR(INDEX('Catalog'!$A:$A,MATCH($B705,'Catalog'!$B:$B,0)),IFERROR(INDEX('Catalog'!$A:$A,MATCH(TRIM(SUBSTITUTE($B705,CHAR(160)," ")),'Catalog'!$C:$C,0)),""))))</f>
        <v>4413160</v>
      </c>
      <c r="H705" s="8" t="str">
        <f aca="false">IFERROR(INDEX('TRANS'!$C:$C,MATCH($B705,'TRANS'!$A:$A,0)),IFERROR(INDEX('Catalog'!$B:$B,MATCH($G705,'Catalog'!$A:$A,0)),$B705))</f>
        <v>34+ M מגן קרסול עקב סגור+רצוע</v>
      </c>
      <c r="I705" s="8" t="str">
        <f aca="false">IF($G705="","Unmatched","Matched")</f>
        <v>Matched</v>
      </c>
      <c r="J705" s="8" t="n">
        <f aca="false">IF($G705&lt;&gt;"",$G705,$B705)</f>
        <v>4413160</v>
      </c>
      <c r="K705" s="8" t="str">
        <f aca="false">IF(COUNTIF($M$1:$M$10,$A705)&gt;0,"Y","N")</f>
        <v>Y</v>
      </c>
    </row>
    <row r="706" customFormat="false" ht="15" hidden="false" customHeight="true" outlineLevel="0" collapsed="false">
      <c r="A706" s="8" t="s">
        <v>44</v>
      </c>
      <c r="B706" s="8" t="s">
        <v>942</v>
      </c>
      <c r="C706" s="19" t="n">
        <v>16</v>
      </c>
      <c r="D706" s="19" t="n">
        <v>1091.37</v>
      </c>
      <c r="E706" s="19" t="n">
        <v>11</v>
      </c>
      <c r="F706" s="19" t="n">
        <v>740.09</v>
      </c>
      <c r="G706" s="8" t="n">
        <f aca="false">IFERROR(INDEX('TRANS'!$B:$B,MATCH($B706,'TRANS'!$A:$A,0)),IFERROR(INDEX('TRANS'!$B:$B,MATCH(TRIM(SUBSTITUTE($B706,CHAR(160)," ")),'TRANS'!$D:$D,0)),IFERROR(INDEX('Catalog'!$A:$A,MATCH($B706,'Catalog'!$B:$B,0)),IFERROR(INDEX('Catalog'!$A:$A,MATCH(TRIM(SUBSTITUTE($B706,CHAR(160)," ")),'Catalog'!$C:$C,0)),""))))</f>
        <v>4413159</v>
      </c>
      <c r="H706" s="8" t="str">
        <f aca="false">IFERROR(INDEX('TRANS'!$C:$C,MATCH($B706,'TRANS'!$A:$A,0)),IFERROR(INDEX('Catalog'!$B:$B,MATCH($G706,'Catalog'!$A:$A,0)),$B706))</f>
        <v>34+ S מגן קרסול עקב סגור+רצוע</v>
      </c>
      <c r="I706" s="8" t="str">
        <f aca="false">IF($G706="","Unmatched","Matched")</f>
        <v>Matched</v>
      </c>
      <c r="J706" s="8" t="n">
        <f aca="false">IF($G706&lt;&gt;"",$G706,$B706)</f>
        <v>4413159</v>
      </c>
      <c r="K706" s="8" t="str">
        <f aca="false">IF(COUNTIF($M$1:$M$10,$A706)&gt;0,"Y","N")</f>
        <v>Y</v>
      </c>
    </row>
    <row r="707" customFormat="false" ht="15" hidden="false" customHeight="true" outlineLevel="0" collapsed="false">
      <c r="A707" s="8" t="s">
        <v>44</v>
      </c>
      <c r="B707" s="8" t="s">
        <v>612</v>
      </c>
      <c r="C707" s="19" t="n">
        <v>14</v>
      </c>
      <c r="D707" s="19" t="n">
        <v>930.17</v>
      </c>
      <c r="E707" s="19" t="n">
        <v>24</v>
      </c>
      <c r="F707" s="19" t="n">
        <v>1634.73</v>
      </c>
      <c r="G707" s="8" t="n">
        <f aca="false">IFERROR(INDEX('TRANS'!$B:$B,MATCH($B707,'TRANS'!$A:$A,0)),IFERROR(INDEX('TRANS'!$B:$B,MATCH(TRIM(SUBSTITUTE($B707,CHAR(160)," ")),'TRANS'!$D:$D,0)),IFERROR(INDEX('Catalog'!$A:$A,MATCH($B707,'Catalog'!$B:$B,0)),IFERROR(INDEX('Catalog'!$A:$A,MATCH(TRIM(SUBSTITUTE($B707,CHAR(160)," ")),'Catalog'!$C:$C,0)),""))))</f>
        <v>4413162</v>
      </c>
      <c r="H707" s="8" t="str">
        <f aca="false">IFERROR(INDEX('TRANS'!$C:$C,MATCH($B707,'TRANS'!$A:$A,0)),IFERROR(INDEX('Catalog'!$B:$B,MATCH($G707,'Catalog'!$A:$A,0)),$B707))</f>
        <v>34+XL מגן קרסול עקב סגור+רצוע</v>
      </c>
      <c r="I707" s="8" t="str">
        <f aca="false">IF($G707="","Unmatched","Matched")</f>
        <v>Matched</v>
      </c>
      <c r="J707" s="8" t="n">
        <f aca="false">IF($G707&lt;&gt;"",$G707,$B707)</f>
        <v>4413162</v>
      </c>
      <c r="K707" s="8" t="str">
        <f aca="false">IF(COUNTIF($M$1:$M$10,$A707)&gt;0,"Y","N")</f>
        <v>Y</v>
      </c>
    </row>
    <row r="708" customFormat="false" ht="15" hidden="false" customHeight="true" outlineLevel="0" collapsed="false">
      <c r="A708" s="8" t="s">
        <v>44</v>
      </c>
      <c r="B708" s="8" t="s">
        <v>943</v>
      </c>
      <c r="C708" s="19" t="n">
        <v>7</v>
      </c>
      <c r="D708" s="19" t="n">
        <v>487.14</v>
      </c>
      <c r="E708" s="19" t="n">
        <v>8</v>
      </c>
      <c r="F708" s="19" t="n">
        <v>557.4</v>
      </c>
      <c r="G708" s="8" t="n">
        <f aca="false">IFERROR(INDEX('TRANS'!$B:$B,MATCH($B708,'TRANS'!$A:$A,0)),IFERROR(INDEX('TRANS'!$B:$B,MATCH(TRIM(SUBSTITUTE($B708,CHAR(160)," ")),'TRANS'!$D:$D,0)),IFERROR(INDEX('Catalog'!$A:$A,MATCH($B708,'Catalog'!$B:$B,0)),IFERROR(INDEX('Catalog'!$A:$A,MATCH(TRIM(SUBSTITUTE($B708,CHAR(160)," ")),'Catalog'!$C:$C,0)),""))))</f>
        <v>4413303</v>
      </c>
      <c r="H708" s="8" t="str">
        <f aca="false">IFERROR(INDEX('TRANS'!$C:$C,MATCH($B708,'TRANS'!$A:$A,0)),IFERROR(INDEX('Catalog'!$B:$B,MATCH($G708,'Catalog'!$A:$A,0)),$B708))</f>
        <v>34+XXL מ.קרסול+עכב סגור+רצועות</v>
      </c>
      <c r="I708" s="8" t="str">
        <f aca="false">IF($G708="","Unmatched","Matched")</f>
        <v>Matched</v>
      </c>
      <c r="J708" s="8" t="n">
        <f aca="false">IF($G708&lt;&gt;"",$G708,$B708)</f>
        <v>4413303</v>
      </c>
      <c r="K708" s="8" t="str">
        <f aca="false">IF(COUNTIF($M$1:$M$10,$A708)&gt;0,"Y","N")</f>
        <v>Y</v>
      </c>
    </row>
    <row r="709" customFormat="false" ht="15" hidden="false" customHeight="true" outlineLevel="0" collapsed="false">
      <c r="A709" s="8" t="s">
        <v>44</v>
      </c>
      <c r="B709" s="8" t="s">
        <v>625</v>
      </c>
      <c r="C709" s="19" t="n">
        <v>38</v>
      </c>
      <c r="D709" s="19" t="n">
        <v>2308.31</v>
      </c>
      <c r="E709" s="19" t="n">
        <v>34</v>
      </c>
      <c r="F709" s="19" t="n">
        <v>2070.08</v>
      </c>
      <c r="G709" s="8" t="n">
        <f aca="false">IFERROR(INDEX('TRANS'!$B:$B,MATCH($B709,'TRANS'!$A:$A,0)),IFERROR(INDEX('TRANS'!$B:$B,MATCH(TRIM(SUBSTITUTE($B709,CHAR(160)," ")),'TRANS'!$D:$D,0)),IFERROR(INDEX('Catalog'!$A:$A,MATCH($B709,'Catalog'!$B:$B,0)),IFERROR(INDEX('Catalog'!$A:$A,MATCH(TRIM(SUBSTITUTE($B709,CHAR(160)," ")),'Catalog'!$C:$C,0)),""))))</f>
        <v>4421001</v>
      </c>
      <c r="H709" s="8" t="str">
        <f aca="false">IFERROR(INDEX('TRANS'!$C:$C,MATCH($B709,'TRANS'!$A:$A,0)),IFERROR(INDEX('Catalog'!$B:$B,MATCH($G709,'Catalog'!$A:$A,0)),$B709))</f>
        <v>3611 שרוול מטטרזלי מסיליקון</v>
      </c>
      <c r="I709" s="8" t="str">
        <f aca="false">IF($G709="","Unmatched","Matched")</f>
        <v>Matched</v>
      </c>
      <c r="J709" s="8" t="n">
        <f aca="false">IF($G709&lt;&gt;"",$G709,$B709)</f>
        <v>4421001</v>
      </c>
      <c r="K709" s="8" t="str">
        <f aca="false">IF(COUNTIF($M$1:$M$10,$A709)&gt;0,"Y","N")</f>
        <v>Y</v>
      </c>
    </row>
    <row r="710" customFormat="false" ht="15" hidden="false" customHeight="true" outlineLevel="0" collapsed="false">
      <c r="A710" s="8" t="s">
        <v>44</v>
      </c>
      <c r="B710" s="8" t="s">
        <v>628</v>
      </c>
      <c r="C710" s="19" t="n">
        <v>161</v>
      </c>
      <c r="D710" s="19" t="n">
        <v>4514.25</v>
      </c>
      <c r="E710" s="19" t="n">
        <v>152</v>
      </c>
      <c r="F710" s="19" t="n">
        <v>4300.73</v>
      </c>
      <c r="G710" s="8" t="n">
        <f aca="false">IFERROR(INDEX('TRANS'!$B:$B,MATCH($B710,'TRANS'!$A:$A,0)),IFERROR(INDEX('TRANS'!$B:$B,MATCH(TRIM(SUBSTITUTE($B710,CHAR(160)," ")),'TRANS'!$D:$D,0)),IFERROR(INDEX('Catalog'!$A:$A,MATCH($B710,'Catalog'!$B:$B,0)),IFERROR(INDEX('Catalog'!$A:$A,MATCH(TRIM(SUBSTITUTE($B710,CHAR(160)," ")),'Catalog'!$C:$C,0)),""))))</f>
        <v>4411001</v>
      </c>
      <c r="H710" s="8" t="str">
        <f aca="false">IFERROR(INDEX('TRANS'!$C:$C,MATCH($B710,'TRANS'!$A:$A,0)),IFERROR(INDEX('Catalog'!$B:$B,MATCH($G710,'Catalog'!$A:$A,0)),$B710))</f>
        <v>3623 כרית ליישור אצבע פטיש</v>
      </c>
      <c r="I710" s="8" t="str">
        <f aca="false">IF($G710="","Unmatched","Matched")</f>
        <v>Matched</v>
      </c>
      <c r="J710" s="8" t="n">
        <f aca="false">IF($G710&lt;&gt;"",$G710,$B710)</f>
        <v>4411001</v>
      </c>
      <c r="K710" s="8" t="str">
        <f aca="false">IF(COUNTIF($M$1:$M$10,$A710)&gt;0,"Y","N")</f>
        <v>Y</v>
      </c>
    </row>
    <row r="711" customFormat="false" ht="15" hidden="false" customHeight="true" outlineLevel="0" collapsed="false">
      <c r="A711" s="8" t="s">
        <v>44</v>
      </c>
      <c r="B711" s="8" t="s">
        <v>59</v>
      </c>
      <c r="C711" s="19" t="n">
        <v>27</v>
      </c>
      <c r="D711" s="19" t="n">
        <v>741.12</v>
      </c>
      <c r="E711" s="19" t="n">
        <v>48</v>
      </c>
      <c r="F711" s="19" t="n">
        <v>1347.84</v>
      </c>
      <c r="G711" s="8" t="str">
        <f aca="false">IFERROR(INDEX('TRANS'!$B:$B,MATCH($B711,'TRANS'!$A:$A,0)),IFERROR(INDEX('TRANS'!$B:$B,MATCH(TRIM(SUBSTITUTE($B711,CHAR(160)," ")),'TRANS'!$D:$D,0)),IFERROR(INDEX('Catalog'!$A:$A,MATCH($B711,'Catalog'!$B:$B,0)),IFERROR(INDEX('Catalog'!$A:$A,MATCH(TRIM(SUBSTITUTE($B711,CHAR(160)," ")),'Catalog'!$C:$C,0)),""))))</f>
        <v/>
      </c>
      <c r="H711" s="8" t="str">
        <f aca="false">IFERROR(INDEX('TRANS'!$C:$C,MATCH($B711,'TRANS'!$A:$A,0)),IFERROR(INDEX('Catalog'!$B:$B,MATCH($G711,'Catalog'!$A:$A,0)),$B711))</f>
        <v>363 L/R</v>
      </c>
      <c r="I711" s="8" t="str">
        <f aca="false">IF($G711="","Unmatched","Matched")</f>
        <v>Unmatched</v>
      </c>
      <c r="J711" s="8" t="str">
        <f aca="false">IF($G711&lt;&gt;"",$G711,$B711)</f>
        <v>363 L/R</v>
      </c>
      <c r="K711" s="8" t="str">
        <f aca="false">IF(COUNTIF($M$1:$M$10,$A711)&gt;0,"Y","N")</f>
        <v>Y</v>
      </c>
    </row>
    <row r="712" customFormat="false" ht="15" hidden="false" customHeight="true" outlineLevel="0" collapsed="false">
      <c r="A712" s="8" t="s">
        <v>44</v>
      </c>
      <c r="B712" s="8" t="s">
        <v>629</v>
      </c>
      <c r="C712" s="19" t="n">
        <v>101</v>
      </c>
      <c r="D712" s="19" t="n">
        <v>1430.33</v>
      </c>
      <c r="E712" s="19" t="n">
        <v>36</v>
      </c>
      <c r="F712" s="19" t="n">
        <v>521.35</v>
      </c>
      <c r="G712" s="8" t="n">
        <f aca="false">IFERROR(INDEX('TRANS'!$B:$B,MATCH($B712,'TRANS'!$A:$A,0)),IFERROR(INDEX('TRANS'!$B:$B,MATCH(TRIM(SUBSTITUTE($B712,CHAR(160)," ")),'TRANS'!$D:$D,0)),IFERROR(INDEX('Catalog'!$A:$A,MATCH($B712,'Catalog'!$B:$B,0)),IFERROR(INDEX('Catalog'!$A:$A,MATCH(TRIM(SUBSTITUTE($B712,CHAR(160)," ")),'Catalog'!$C:$C,0)),""))))</f>
        <v>4413059</v>
      </c>
      <c r="H712" s="8" t="str">
        <f aca="false">IFERROR(INDEX('TRANS'!$C:$C,MATCH($B712,'TRANS'!$A:$A,0)),IFERROR(INDEX('Catalog'!$B:$B,MATCH($G712,'Catalog'!$A:$A,0)),$B712))</f>
        <v>364S Lמפר.אצבע סיליק. ליבל.זוג</v>
      </c>
      <c r="I712" s="8" t="str">
        <f aca="false">IF($G712="","Unmatched","Matched")</f>
        <v>Matched</v>
      </c>
      <c r="J712" s="8" t="n">
        <f aca="false">IF($G712&lt;&gt;"",$G712,$B712)</f>
        <v>4413059</v>
      </c>
      <c r="K712" s="8" t="str">
        <f aca="false">IF(COUNTIF($M$1:$M$10,$A712)&gt;0,"Y","N")</f>
        <v>Y</v>
      </c>
    </row>
    <row r="713" customFormat="false" ht="15" hidden="false" customHeight="true" outlineLevel="0" collapsed="false">
      <c r="A713" s="8" t="s">
        <v>44</v>
      </c>
      <c r="B713" s="8" t="s">
        <v>637</v>
      </c>
      <c r="C713" s="19" t="n">
        <v>41</v>
      </c>
      <c r="D713" s="19" t="n">
        <v>1500.23</v>
      </c>
      <c r="E713" s="19" t="n">
        <v>17</v>
      </c>
      <c r="F713" s="19" t="n">
        <v>636.73</v>
      </c>
      <c r="G713" s="8" t="n">
        <f aca="false">IFERROR(INDEX('TRANS'!$B:$B,MATCH($B713,'TRANS'!$A:$A,0)),IFERROR(INDEX('TRANS'!$B:$B,MATCH(TRIM(SUBSTITUTE($B713,CHAR(160)," ")),'TRANS'!$D:$D,0)),IFERROR(INDEX('Catalog'!$A:$A,MATCH($B713,'Catalog'!$B:$B,0)),IFERROR(INDEX('Catalog'!$A:$A,MATCH(TRIM(SUBSTITUTE($B713,CHAR(160)," ")),'Catalog'!$C:$C,0)),""))))</f>
        <v>4421003</v>
      </c>
      <c r="H713" s="8" t="str">
        <f aca="false">IFERROR(INDEX('TRANS'!$C:$C,MATCH($B713,'TRANS'!$A:$A,0)),IFERROR(INDEX('Catalog'!$B:$B,MATCH($G713,'Catalog'!$A:$A,0)),$B713))</f>
        <v>3672 שרוול מגן לבוניון</v>
      </c>
      <c r="I713" s="8" t="str">
        <f aca="false">IF($G713="","Unmatched","Matched")</f>
        <v>Matched</v>
      </c>
      <c r="J713" s="8" t="n">
        <f aca="false">IF($G713&lt;&gt;"",$G713,$B713)</f>
        <v>4421003</v>
      </c>
      <c r="K713" s="8" t="str">
        <f aca="false">IF(COUNTIF($M$1:$M$10,$A713)&gt;0,"Y","N")</f>
        <v>Y</v>
      </c>
    </row>
    <row r="714" customFormat="false" ht="15" hidden="false" customHeight="true" outlineLevel="0" collapsed="false">
      <c r="A714" s="8" t="s">
        <v>44</v>
      </c>
      <c r="B714" s="8" t="s">
        <v>648</v>
      </c>
      <c r="C714" s="19" t="n">
        <v>35</v>
      </c>
      <c r="D714" s="19" t="n">
        <v>2993.83</v>
      </c>
      <c r="E714" s="19" t="n">
        <v>24</v>
      </c>
      <c r="F714" s="19" t="n">
        <v>2035.37</v>
      </c>
      <c r="G714" s="8" t="n">
        <f aca="false">IFERROR(INDEX('TRANS'!$B:$B,MATCH($B714,'TRANS'!$A:$A,0)),IFERROR(INDEX('TRANS'!$B:$B,MATCH(TRIM(SUBSTITUTE($B714,CHAR(160)," ")),'TRANS'!$D:$D,0)),IFERROR(INDEX('Catalog'!$A:$A,MATCH($B714,'Catalog'!$B:$B,0)),IFERROR(INDEX('Catalog'!$A:$A,MATCH(TRIM(SUBSTITUTE($B714,CHAR(160)," ")),'Catalog'!$C:$C,0)),""))))</f>
        <v>4408069</v>
      </c>
      <c r="H714" s="8" t="str">
        <f aca="false">IFERROR(INDEX('TRANS'!$C:$C,MATCH($B714,'TRANS'!$A:$A,0)),IFERROR(INDEX('Catalog'!$B:$B,MATCH($G714,'Catalog'!$A:$A,0)),$B714))</f>
        <v>38 .חבישת""""הלוקס ולגוס""""לאחר נית</v>
      </c>
      <c r="I714" s="8" t="str">
        <f aca="false">IF($G714="","Unmatched","Matched")</f>
        <v>Matched</v>
      </c>
      <c r="J714" s="8" t="n">
        <f aca="false">IF($G714&lt;&gt;"",$G714,$B714)</f>
        <v>4408069</v>
      </c>
      <c r="K714" s="8" t="str">
        <f aca="false">IF(COUNTIF($M$1:$M$10,$A714)&gt;0,"Y","N")</f>
        <v>Y</v>
      </c>
    </row>
    <row r="715" customFormat="false" ht="15" hidden="false" customHeight="true" outlineLevel="0" collapsed="false">
      <c r="A715" s="8" t="s">
        <v>44</v>
      </c>
      <c r="B715" s="8" t="s">
        <v>408</v>
      </c>
      <c r="C715" s="19" t="n">
        <v>73</v>
      </c>
      <c r="D715" s="19" t="n">
        <v>4367.6</v>
      </c>
      <c r="E715" s="19" t="n">
        <v>0</v>
      </c>
      <c r="F715" s="19" t="n">
        <v>0</v>
      </c>
      <c r="G715" s="8" t="str">
        <f aca="false">IFERROR(INDEX('TRANS'!$B:$B,MATCH($B715,'TRANS'!$A:$A,0)),IFERROR(INDEX('TRANS'!$B:$B,MATCH(TRIM(SUBSTITUTE($B715,CHAR(160)," ")),'TRANS'!$D:$D,0)),IFERROR(INDEX('Catalog'!$A:$A,MATCH($B715,'Catalog'!$B:$B,0)),IFERROR(INDEX('Catalog'!$A:$A,MATCH(TRIM(SUBSTITUTE($B715,CHAR(160)," ")),'Catalog'!$C:$C,0)),""))))</f>
        <v/>
      </c>
      <c r="H715" s="8" t="str">
        <f aca="false">IFERROR(INDEX('TRANS'!$C:$C,MATCH($B715,'TRANS'!$A:$A,0)),IFERROR(INDEX('Catalog'!$B:$B,MATCH($G715,'Catalog'!$A:$A,0)),$B715))</f>
        <v>397-43-46</v>
      </c>
      <c r="I715" s="8" t="str">
        <f aca="false">IF($G715="","Unmatched","Matched")</f>
        <v>Unmatched</v>
      </c>
      <c r="J715" s="8" t="str">
        <f aca="false">IF($G715&lt;&gt;"",$G715,$B715)</f>
        <v>397-43-46</v>
      </c>
      <c r="K715" s="8" t="str">
        <f aca="false">IF(COUNTIF($M$1:$M$10,$A715)&gt;0,"Y","N")</f>
        <v>Y</v>
      </c>
    </row>
    <row r="716" customFormat="false" ht="15" hidden="false" customHeight="true" outlineLevel="0" collapsed="false">
      <c r="A716" s="8" t="s">
        <v>44</v>
      </c>
      <c r="B716" s="8" t="s">
        <v>679</v>
      </c>
      <c r="C716" s="19" t="n">
        <v>9</v>
      </c>
      <c r="D716" s="19" t="n">
        <v>239.15</v>
      </c>
      <c r="E716" s="19" t="n">
        <v>11</v>
      </c>
      <c r="F716" s="19" t="n">
        <v>305.04</v>
      </c>
      <c r="G716" s="8" t="n">
        <f aca="false">IFERROR(INDEX('TRANS'!$B:$B,MATCH($B716,'TRANS'!$A:$A,0)),IFERROR(INDEX('TRANS'!$B:$B,MATCH(TRIM(SUBSTITUTE($B716,CHAR(160)," ")),'TRANS'!$D:$D,0)),IFERROR(INDEX('Catalog'!$A:$A,MATCH($B716,'Catalog'!$B:$B,0)),IFERROR(INDEX('Catalog'!$A:$A,MATCH(TRIM(SUBSTITUTE($B716,CHAR(160)," ")),'Catalog'!$C:$C,0)),""))))</f>
        <v>4413097</v>
      </c>
      <c r="H716" s="8" t="str">
        <f aca="false">IFERROR(INDEX('TRANS'!$C:$C,MATCH($B716,'TRANS'!$A:$A,0)),IFERROR(INDEX('Catalog'!$B:$B,MATCH($G716,'Catalog'!$A:$A,0)),$B716))</f>
        <v>45C S מגן ברך חום</v>
      </c>
      <c r="I716" s="8" t="str">
        <f aca="false">IF($G716="","Unmatched","Matched")</f>
        <v>Matched</v>
      </c>
      <c r="J716" s="8" t="n">
        <f aca="false">IF($G716&lt;&gt;"",$G716,$B716)</f>
        <v>4413097</v>
      </c>
      <c r="K716" s="8" t="str">
        <f aca="false">IF(COUNTIF($M$1:$M$10,$A716)&gt;0,"Y","N")</f>
        <v>Y</v>
      </c>
    </row>
    <row r="717" customFormat="false" ht="15" hidden="false" customHeight="true" outlineLevel="0" collapsed="false">
      <c r="A717" s="8" t="s">
        <v>44</v>
      </c>
      <c r="B717" s="8" t="s">
        <v>84</v>
      </c>
      <c r="C717" s="19" t="n">
        <v>27</v>
      </c>
      <c r="D717" s="19" t="n">
        <v>729.81</v>
      </c>
      <c r="E717" s="19" t="n">
        <v>11</v>
      </c>
      <c r="F717" s="19" t="n">
        <v>311.99</v>
      </c>
      <c r="G717" s="8" t="str">
        <f aca="false">IFERROR(INDEX('TRANS'!$B:$B,MATCH($B717,'TRANS'!$A:$A,0)),IFERROR(INDEX('TRANS'!$B:$B,MATCH(TRIM(SUBSTITUTE($B717,CHAR(160)," ")),'TRANS'!$D:$D,0)),IFERROR(INDEX('Catalog'!$A:$A,MATCH($B717,'Catalog'!$B:$B,0)),IFERROR(INDEX('Catalog'!$A:$A,MATCH(TRIM(SUBSTITUTE($B717,CHAR(160)," ")),'Catalog'!$C:$C,0)),""))))</f>
        <v/>
      </c>
      <c r="H717" s="8" t="str">
        <f aca="false">IFERROR(INDEX('TRANS'!$C:$C,MATCH($B717,'TRANS'!$A:$A,0)),IFERROR(INDEX('Catalog'!$B:$B,MATCH($G717,'Catalog'!$A:$A,0)),$B717))</f>
        <v>45C XXL</v>
      </c>
      <c r="I717" s="8" t="str">
        <f aca="false">IF($G717="","Unmatched","Matched")</f>
        <v>Unmatched</v>
      </c>
      <c r="J717" s="8" t="str">
        <f aca="false">IF($G717&lt;&gt;"",$G717,$B717)</f>
        <v>45C XXL</v>
      </c>
      <c r="K717" s="8" t="str">
        <f aca="false">IF(COUNTIF($M$1:$M$10,$A717)&gt;0,"Y","N")</f>
        <v>Y</v>
      </c>
    </row>
    <row r="718" customFormat="false" ht="15" hidden="false" customHeight="true" outlineLevel="0" collapsed="false">
      <c r="A718" s="8" t="s">
        <v>44</v>
      </c>
      <c r="B718" s="8" t="s">
        <v>281</v>
      </c>
      <c r="C718" s="19" t="n">
        <v>0</v>
      </c>
      <c r="D718" s="19" t="n">
        <v>0</v>
      </c>
      <c r="E718" s="19" t="n">
        <v>1</v>
      </c>
      <c r="F718" s="19" t="n">
        <v>133.54</v>
      </c>
      <c r="G718" s="8" t="str">
        <f aca="false">IFERROR(INDEX('TRANS'!$B:$B,MATCH($B718,'TRANS'!$A:$A,0)),IFERROR(INDEX('TRANS'!$B:$B,MATCH(TRIM(SUBSTITUTE($B718,CHAR(160)," ")),'TRANS'!$D:$D,0)),IFERROR(INDEX('Catalog'!$A:$A,MATCH($B718,'Catalog'!$B:$B,0)),IFERROR(INDEX('Catalog'!$A:$A,MATCH(TRIM(SUBSTITUTE($B718,CHAR(160)," ")),'Catalog'!$C:$C,0)),""))))</f>
        <v/>
      </c>
      <c r="H718" s="8" t="str">
        <f aca="false">IFERROR(INDEX('TRANS'!$C:$C,MATCH($B718,'TRANS'!$A:$A,0)),IFERROR(INDEX('Catalog'!$B:$B,MATCH($G718,'Catalog'!$A:$A,0)),$B718))</f>
        <v>49PS XXL</v>
      </c>
      <c r="I718" s="8" t="str">
        <f aca="false">IF($G718="","Unmatched","Matched")</f>
        <v>Unmatched</v>
      </c>
      <c r="J718" s="8" t="str">
        <f aca="false">IF($G718&lt;&gt;"",$G718,$B718)</f>
        <v>49PS XXL</v>
      </c>
      <c r="K718" s="8" t="str">
        <f aca="false">IF(COUNTIF($M$1:$M$10,$A718)&gt;0,"Y","N")</f>
        <v>Y</v>
      </c>
    </row>
    <row r="719" customFormat="false" ht="15" hidden="false" customHeight="true" outlineLevel="0" collapsed="false">
      <c r="A719" s="8" t="s">
        <v>44</v>
      </c>
      <c r="B719" s="8" t="s">
        <v>944</v>
      </c>
      <c r="C719" s="19" t="n">
        <v>12</v>
      </c>
      <c r="D719" s="19" t="n">
        <v>912.08</v>
      </c>
      <c r="E719" s="19" t="n">
        <v>6</v>
      </c>
      <c r="F719" s="19" t="n">
        <v>666.24</v>
      </c>
      <c r="G719" s="8" t="n">
        <f aca="false">IFERROR(INDEX('TRANS'!$B:$B,MATCH($B719,'TRANS'!$A:$A,0)),IFERROR(INDEX('TRANS'!$B:$B,MATCH(TRIM(SUBSTITUTE($B719,CHAR(160)," ")),'TRANS'!$D:$D,0)),IFERROR(INDEX('Catalog'!$A:$A,MATCH($B719,'Catalog'!$B:$B,0)),IFERROR(INDEX('Catalog'!$A:$A,MATCH(TRIM(SUBSTITUTE($B719,CHAR(160)," ")),'Catalog'!$C:$C,0)),""))))</f>
        <v>4413119</v>
      </c>
      <c r="H719" s="8" t="str">
        <f aca="false">IFERROR(INDEX('TRANS'!$C:$C,MATCH($B719,'TRANS'!$A:$A,0)),IFERROR(INDEX('Catalog'!$B:$B,MATCH($G719,'Catalog'!$A:$A,0)),$B719))</f>
        <v>50 XL מתלה אשכים לאחר ניתוח</v>
      </c>
      <c r="I719" s="8" t="str">
        <f aca="false">IF($G719="","Unmatched","Matched")</f>
        <v>Matched</v>
      </c>
      <c r="J719" s="8" t="n">
        <f aca="false">IF($G719&lt;&gt;"",$G719,$B719)</f>
        <v>4413119</v>
      </c>
      <c r="K719" s="8" t="str">
        <f aca="false">IF(COUNTIF($M$1:$M$10,$A719)&gt;0,"Y","N")</f>
        <v>Y</v>
      </c>
    </row>
    <row r="720" customFormat="false" ht="15" hidden="false" customHeight="true" outlineLevel="0" collapsed="false">
      <c r="A720" s="8" t="s">
        <v>44</v>
      </c>
      <c r="B720" s="8" t="s">
        <v>878</v>
      </c>
      <c r="C720" s="19" t="n">
        <v>42</v>
      </c>
      <c r="D720" s="19" t="n">
        <v>7313.06</v>
      </c>
      <c r="E720" s="19" t="n">
        <v>25</v>
      </c>
      <c r="F720" s="19" t="n">
        <v>4477.77</v>
      </c>
      <c r="G720" s="8" t="n">
        <f aca="false">IFERROR(INDEX('TRANS'!$B:$B,MATCH($B720,'TRANS'!$A:$A,0)),IFERROR(INDEX('TRANS'!$B:$B,MATCH(TRIM(SUBSTITUTE($B720,CHAR(160)," ")),'TRANS'!$D:$D,0)),IFERROR(INDEX('Catalog'!$A:$A,MATCH($B720,'Catalog'!$B:$B,0)),IFERROR(INDEX('Catalog'!$A:$A,MATCH(TRIM(SUBSTITUTE($B720,CHAR(160)," ")),'Catalog'!$C:$C,0)),""))))</f>
        <v>4408072</v>
      </c>
      <c r="H720" s="8" t="str">
        <f aca="false">IFERROR(INDEX('TRANS'!$C:$C,MATCH($B720,'TRANS'!$A:$A,0)),IFERROR(INDEX('Catalog'!$B:$B,MATCH($G720,'Catalog'!$A:$A,0)),$B720))</f>
        <v>59D M חגורת שבר דו צדדי</v>
      </c>
      <c r="I720" s="8" t="str">
        <f aca="false">IF($G720="","Unmatched","Matched")</f>
        <v>Matched</v>
      </c>
      <c r="J720" s="8" t="n">
        <f aca="false">IF($G720&lt;&gt;"",$G720,$B720)</f>
        <v>4408072</v>
      </c>
      <c r="K720" s="8" t="str">
        <f aca="false">IF(COUNTIF($M$1:$M$10,$A720)&gt;0,"Y","N")</f>
        <v>Y</v>
      </c>
    </row>
    <row r="721" customFormat="false" ht="15" hidden="false" customHeight="true" outlineLevel="0" collapsed="false">
      <c r="A721" s="8" t="s">
        <v>44</v>
      </c>
      <c r="B721" s="8" t="s">
        <v>820</v>
      </c>
      <c r="C721" s="19" t="n">
        <v>4</v>
      </c>
      <c r="D721" s="19" t="n">
        <v>510</v>
      </c>
      <c r="E721" s="19" t="n">
        <v>4</v>
      </c>
      <c r="F721" s="19" t="n">
        <v>520</v>
      </c>
      <c r="G721" s="8" t="n">
        <f aca="false">IFERROR(INDEX('TRANS'!$B:$B,MATCH($B721,'TRANS'!$A:$A,0)),IFERROR(INDEX('TRANS'!$B:$B,MATCH(TRIM(SUBSTITUTE($B721,CHAR(160)," ")),'TRANS'!$D:$D,0)),IFERROR(INDEX('Catalog'!$A:$A,MATCH($B721,'Catalog'!$B:$B,0)),IFERROR(INDEX('Catalog'!$A:$A,MATCH(TRIM(SUBSTITUTE($B721,CHAR(160)," ")),'Catalog'!$C:$C,0)),""))))</f>
        <v>4413165</v>
      </c>
      <c r="H721" s="8" t="str">
        <f aca="false">IFERROR(INDEX('TRANS'!$C:$C,MATCH($B721,'TRANS'!$A:$A,0)),IFERROR(INDEX('Catalog'!$B:$B,MATCH($G721,'Catalog'!$A:$A,0)),$B721))</f>
        <v>74 L-XL מיצב כתפיים</v>
      </c>
      <c r="I721" s="8" t="str">
        <f aca="false">IF($G721="","Unmatched","Matched")</f>
        <v>Matched</v>
      </c>
      <c r="J721" s="8" t="n">
        <f aca="false">IF($G721&lt;&gt;"",$G721,$B721)</f>
        <v>4413165</v>
      </c>
      <c r="K721" s="8" t="str">
        <f aca="false">IF(COUNTIF($M$1:$M$10,$A721)&gt;0,"Y","N")</f>
        <v>Y</v>
      </c>
    </row>
    <row r="722" customFormat="false" ht="15" hidden="false" customHeight="true" outlineLevel="0" collapsed="false">
      <c r="A722" s="8" t="s">
        <v>44</v>
      </c>
      <c r="B722" s="8" t="s">
        <v>169</v>
      </c>
      <c r="C722" s="19" t="n">
        <v>7</v>
      </c>
      <c r="D722" s="19" t="n">
        <v>894.99</v>
      </c>
      <c r="E722" s="19" t="n">
        <v>2</v>
      </c>
      <c r="F722" s="19" t="n">
        <v>260</v>
      </c>
      <c r="G722" s="8" t="str">
        <f aca="false">IFERROR(INDEX('TRANS'!$B:$B,MATCH($B722,'TRANS'!$A:$A,0)),IFERROR(INDEX('TRANS'!$B:$B,MATCH(TRIM(SUBSTITUTE($B722,CHAR(160)," ")),'TRANS'!$D:$D,0)),IFERROR(INDEX('Catalog'!$A:$A,MATCH($B722,'Catalog'!$B:$B,0)),IFERROR(INDEX('Catalog'!$A:$A,MATCH(TRIM(SUBSTITUTE($B722,CHAR(160)," ")),'Catalog'!$C:$C,0)),""))))</f>
        <v/>
      </c>
      <c r="H722" s="8" t="str">
        <f aca="false">IFERROR(INDEX('TRANS'!$C:$C,MATCH($B722,'TRANS'!$A:$A,0)),IFERROR(INDEX('Catalog'!$B:$B,MATCH($G722,'Catalog'!$A:$A,0)),$B722))</f>
        <v>74-S-M</v>
      </c>
      <c r="I722" s="8" t="str">
        <f aca="false">IF($G722="","Unmatched","Matched")</f>
        <v>Unmatched</v>
      </c>
      <c r="J722" s="8" t="str">
        <f aca="false">IF($G722&lt;&gt;"",$G722,$B722)</f>
        <v>74-S-M</v>
      </c>
      <c r="K722" s="8" t="str">
        <f aca="false">IF(COUNTIF($M$1:$M$10,$A722)&gt;0,"Y","N")</f>
        <v>Y</v>
      </c>
    </row>
    <row r="723" customFormat="false" ht="15" hidden="false" customHeight="true" outlineLevel="0" collapsed="false">
      <c r="A723" s="8" t="s">
        <v>44</v>
      </c>
      <c r="B723" s="8" t="s">
        <v>702</v>
      </c>
      <c r="C723" s="19" t="n">
        <v>28</v>
      </c>
      <c r="D723" s="19" t="n">
        <v>253.86</v>
      </c>
      <c r="E723" s="19" t="n">
        <v>12</v>
      </c>
      <c r="F723" s="19" t="n">
        <v>126</v>
      </c>
      <c r="G723" s="8" t="n">
        <f aca="false">IFERROR(INDEX('TRANS'!$B:$B,MATCH($B723,'TRANS'!$A:$A,0)),IFERROR(INDEX('TRANS'!$B:$B,MATCH(TRIM(SUBSTITUTE($B723,CHAR(160)," ")),'TRANS'!$D:$D,0)),IFERROR(INDEX('Catalog'!$A:$A,MATCH($B723,'Catalog'!$B:$B,0)),IFERROR(INDEX('Catalog'!$A:$A,MATCH(TRIM(SUBSTITUTE($B723,CHAR(160)," ")),'Catalog'!$C:$C,0)),""))))</f>
        <v>4422032</v>
      </c>
      <c r="H723" s="8" t="str">
        <f aca="false">IFERROR(INDEX('TRANS'!$C:$C,MATCH($B723,'TRANS'!$A:$A,0)),IFERROR(INDEX('Catalog'!$B:$B,MATCH($G723,'Catalog'!$A:$A,0)),$B723))</f>
        <v>807B-Bתחבושת נצמדת שחור 20 מ""""מ</v>
      </c>
      <c r="I723" s="8" t="str">
        <f aca="false">IF($G723="","Unmatched","Matched")</f>
        <v>Matched</v>
      </c>
      <c r="J723" s="8" t="n">
        <f aca="false">IF($G723&lt;&gt;"",$G723,$B723)</f>
        <v>4422032</v>
      </c>
      <c r="K723" s="8" t="str">
        <f aca="false">IF(COUNTIF($M$1:$M$10,$A723)&gt;0,"Y","N")</f>
        <v>Y</v>
      </c>
    </row>
    <row r="724" customFormat="false" ht="15" hidden="false" customHeight="true" outlineLevel="0" collapsed="false">
      <c r="A724" s="8" t="s">
        <v>44</v>
      </c>
      <c r="B724" s="8" t="s">
        <v>703</v>
      </c>
      <c r="C724" s="19" t="n">
        <v>28</v>
      </c>
      <c r="D724" s="19" t="n">
        <v>253.86</v>
      </c>
      <c r="E724" s="19" t="n">
        <v>20</v>
      </c>
      <c r="F724" s="19" t="n">
        <v>252.16</v>
      </c>
      <c r="G724" s="8" t="n">
        <f aca="false">IFERROR(INDEX('TRANS'!$B:$B,MATCH($B724,'TRANS'!$A:$A,0)),IFERROR(INDEX('TRANS'!$B:$B,MATCH(TRIM(SUBSTITUTE($B724,CHAR(160)," ")),'TRANS'!$D:$D,0)),IFERROR(INDEX('Catalog'!$A:$A,MATCH($B724,'Catalog'!$B:$B,0)),IFERROR(INDEX('Catalog'!$A:$A,MATCH(TRIM(SUBSTITUTE($B724,CHAR(160)," ")),'Catalog'!$C:$C,0)),""))))</f>
        <v>4422033</v>
      </c>
      <c r="H724" s="8" t="str">
        <f aca="false">IFERROR(INDEX('TRANS'!$C:$C,MATCH($B724,'TRANS'!$A:$A,0)),IFERROR(INDEX('Catalog'!$B:$B,MATCH($G724,'Catalog'!$A:$A,0)),$B724))</f>
        <v>807CB-BLתחבושת נצמדת כחול20מ""""מ</v>
      </c>
      <c r="I724" s="8" t="str">
        <f aca="false">IF($G724="","Unmatched","Matched")</f>
        <v>Matched</v>
      </c>
      <c r="J724" s="8" t="n">
        <f aca="false">IF($G724&lt;&gt;"",$G724,$B724)</f>
        <v>4422033</v>
      </c>
      <c r="K724" s="8" t="str">
        <f aca="false">IF(COUNTIF($M$1:$M$10,$A724)&gt;0,"Y","N")</f>
        <v>Y</v>
      </c>
    </row>
    <row r="725" customFormat="false" ht="15" hidden="false" customHeight="true" outlineLevel="0" collapsed="false">
      <c r="A725" s="8" t="s">
        <v>44</v>
      </c>
      <c r="B725" s="8" t="s">
        <v>706</v>
      </c>
      <c r="C725" s="19" t="n">
        <v>82</v>
      </c>
      <c r="D725" s="19" t="n">
        <v>2045.9</v>
      </c>
      <c r="E725" s="19" t="n">
        <v>25</v>
      </c>
      <c r="F725" s="19" t="n">
        <v>701.25</v>
      </c>
      <c r="G725" s="8" t="n">
        <f aca="false">IFERROR(INDEX('TRANS'!$B:$B,MATCH($B725,'TRANS'!$A:$A,0)),IFERROR(INDEX('TRANS'!$B:$B,MATCH(TRIM(SUBSTITUTE($B725,CHAR(160)," ")),'TRANS'!$D:$D,0)),IFERROR(INDEX('Catalog'!$A:$A,MATCH($B725,'Catalog'!$B:$B,0)),IFERROR(INDEX('Catalog'!$A:$A,MATCH(TRIM(SUBSTITUTE($B725,CHAR(160)," ")),'Catalog'!$C:$C,0)),""))))</f>
        <v>4409016</v>
      </c>
      <c r="H725" s="8" t="str">
        <f aca="false">IFERROR(INDEX('TRANS'!$C:$C,MATCH($B725,'TRANS'!$A:$A,0)),IFERROR(INDEX('Catalog'!$B:$B,MATCH($G725,'Catalog'!$A:$A,0)),$B725))</f>
        <v>808KT-C        טייפ קינזיולוגי</v>
      </c>
      <c r="I725" s="8" t="str">
        <f aca="false">IF($G725="","Unmatched","Matched")</f>
        <v>Matched</v>
      </c>
      <c r="J725" s="8" t="n">
        <f aca="false">IF($G725&lt;&gt;"",$G725,$B725)</f>
        <v>4409016</v>
      </c>
      <c r="K725" s="8" t="str">
        <f aca="false">IF(COUNTIF($M$1:$M$10,$A725)&gt;0,"Y","N")</f>
        <v>Y</v>
      </c>
    </row>
    <row r="726" customFormat="false" ht="15" hidden="false" customHeight="true" outlineLevel="0" collapsed="false">
      <c r="A726" s="8" t="s">
        <v>44</v>
      </c>
      <c r="B726" s="8" t="s">
        <v>87</v>
      </c>
      <c r="C726" s="19" t="n">
        <v>27</v>
      </c>
      <c r="D726" s="19" t="n">
        <v>810</v>
      </c>
      <c r="E726" s="19" t="n">
        <v>6</v>
      </c>
      <c r="F726" s="19" t="n">
        <v>180</v>
      </c>
      <c r="G726" s="8" t="str">
        <f aca="false">IFERROR(INDEX('TRANS'!$B:$B,MATCH($B726,'TRANS'!$A:$A,0)),IFERROR(INDEX('TRANS'!$B:$B,MATCH(TRIM(SUBSTITUTE($B726,CHAR(160)," ")),'TRANS'!$D:$D,0)),IFERROR(INDEX('Catalog'!$A:$A,MATCH($B726,'Catalog'!$B:$B,0)),IFERROR(INDEX('Catalog'!$A:$A,MATCH(TRIM(SUBSTITUTE($B726,CHAR(160)," ")),'Catalog'!$C:$C,0)),""))))</f>
        <v/>
      </c>
      <c r="H726" s="8" t="str">
        <f aca="false">IFERROR(INDEX('TRANS'!$C:$C,MATCH($B726,'TRANS'!$A:$A,0)),IFERROR(INDEX('Catalog'!$B:$B,MATCH($G726,'Catalog'!$A:$A,0)),$B726))</f>
        <v>808KTP-C</v>
      </c>
      <c r="I726" s="8" t="str">
        <f aca="false">IF($G726="","Unmatched","Matched")</f>
        <v>Unmatched</v>
      </c>
      <c r="J726" s="8" t="str">
        <f aca="false">IF($G726&lt;&gt;"",$G726,$B726)</f>
        <v>808KTP-C</v>
      </c>
      <c r="K726" s="8" t="str">
        <f aca="false">IF(COUNTIF($M$1:$M$10,$A726)&gt;0,"Y","N")</f>
        <v>Y</v>
      </c>
    </row>
    <row r="727" customFormat="false" ht="15" hidden="false" customHeight="true" outlineLevel="0" collapsed="false">
      <c r="A727" s="8" t="s">
        <v>44</v>
      </c>
      <c r="B727" s="8" t="s">
        <v>707</v>
      </c>
      <c r="C727" s="19" t="n">
        <v>6</v>
      </c>
      <c r="D727" s="19" t="n">
        <v>283.57</v>
      </c>
      <c r="E727" s="19" t="n">
        <v>2</v>
      </c>
      <c r="F727" s="19" t="n">
        <v>94.59</v>
      </c>
      <c r="G727" s="8" t="n">
        <f aca="false">IFERROR(INDEX('TRANS'!$B:$B,MATCH($B727,'TRANS'!$A:$A,0)),IFERROR(INDEX('TRANS'!$B:$B,MATCH(TRIM(SUBSTITUTE($B727,CHAR(160)," ")),'TRANS'!$D:$D,0)),IFERROR(INDEX('Catalog'!$A:$A,MATCH($B727,'Catalog'!$B:$B,0)),IFERROR(INDEX('Catalog'!$A:$A,MATCH(TRIM(SUBSTITUTE($B727,CHAR(160)," ")),'Catalog'!$C:$C,0)),""))))</f>
        <v>4411015</v>
      </c>
      <c r="H727" s="8" t="str">
        <f aca="false">IFERROR(INDEX('TRANS'!$C:$C,MATCH($B727,'TRANS'!$A:$A,0)),IFERROR(INDEX('Catalog'!$B:$B,MATCH($G727,'Catalog'!$A:$A,0)),$B727))</f>
        <v>820 0 כרית חום וקור</v>
      </c>
      <c r="I727" s="8" t="str">
        <f aca="false">IF($G727="","Unmatched","Matched")</f>
        <v>Matched</v>
      </c>
      <c r="J727" s="8" t="n">
        <f aca="false">IF($G727&lt;&gt;"",$G727,$B727)</f>
        <v>4411015</v>
      </c>
      <c r="K727" s="8" t="str">
        <f aca="false">IF(COUNTIF($M$1:$M$10,$A727)&gt;0,"Y","N")</f>
        <v>Y</v>
      </c>
    </row>
    <row r="728" customFormat="false" ht="15" hidden="false" customHeight="true" outlineLevel="0" collapsed="false">
      <c r="A728" s="8" t="s">
        <v>44</v>
      </c>
      <c r="B728" s="8" t="s">
        <v>836</v>
      </c>
      <c r="C728" s="19" t="n">
        <v>7</v>
      </c>
      <c r="D728" s="19" t="n">
        <v>216.24</v>
      </c>
      <c r="E728" s="19" t="n">
        <v>9</v>
      </c>
      <c r="F728" s="19" t="n">
        <v>278.02</v>
      </c>
      <c r="G728" s="8" t="n">
        <f aca="false">IFERROR(INDEX('TRANS'!$B:$B,MATCH($B728,'TRANS'!$A:$A,0)),IFERROR(INDEX('TRANS'!$B:$B,MATCH(TRIM(SUBSTITUTE($B728,CHAR(160)," ")),'TRANS'!$D:$D,0)),IFERROR(INDEX('Catalog'!$A:$A,MATCH($B728,'Catalog'!$B:$B,0)),IFERROR(INDEX('Catalog'!$A:$A,MATCH(TRIM(SUBSTITUTE($B728,CHAR(160)," ")),'Catalog'!$C:$C,0)),""))))</f>
        <v>4413139</v>
      </c>
      <c r="H728" s="8" t="str">
        <f aca="false">IFERROR(INDEX('TRANS'!$C:$C,MATCH($B728,'TRANS'!$A:$A,0)),IFERROR(INDEX('Catalog'!$B:$B,MATCH($G728,'Catalog'!$A:$A,0)),$B728))</f>
        <v>95 L מגן מרפק רגיל לבן</v>
      </c>
      <c r="I728" s="8" t="str">
        <f aca="false">IF($G728="","Unmatched","Matched")</f>
        <v>Matched</v>
      </c>
      <c r="J728" s="8" t="n">
        <f aca="false">IF($G728&lt;&gt;"",$G728,$B728)</f>
        <v>4413139</v>
      </c>
      <c r="K728" s="8" t="str">
        <f aca="false">IF(COUNTIF($M$1:$M$10,$A728)&gt;0,"Y","N")</f>
        <v>Y</v>
      </c>
    </row>
    <row r="729" customFormat="false" ht="15" hidden="false" customHeight="true" outlineLevel="0" collapsed="false">
      <c r="A729" s="8" t="s">
        <v>44</v>
      </c>
      <c r="B729" s="8" t="s">
        <v>716</v>
      </c>
      <c r="C729" s="19" t="n">
        <v>11</v>
      </c>
      <c r="D729" s="19" t="n">
        <v>339.8</v>
      </c>
      <c r="E729" s="19" t="n">
        <v>8</v>
      </c>
      <c r="F729" s="19" t="n">
        <v>247.13</v>
      </c>
      <c r="G729" s="8" t="n">
        <f aca="false">IFERROR(INDEX('TRANS'!$B:$B,MATCH($B729,'TRANS'!$A:$A,0)),IFERROR(INDEX('TRANS'!$B:$B,MATCH(TRIM(SUBSTITUTE($B729,CHAR(160)," ")),'TRANS'!$D:$D,0)),IFERROR(INDEX('Catalog'!$A:$A,MATCH($B729,'Catalog'!$B:$B,0)),IFERROR(INDEX('Catalog'!$A:$A,MATCH(TRIM(SUBSTITUTE($B729,CHAR(160)," ")),'Catalog'!$C:$C,0)),""))))</f>
        <v>4413140</v>
      </c>
      <c r="H729" s="8" t="str">
        <f aca="false">IFERROR(INDEX('TRANS'!$C:$C,MATCH($B729,'TRANS'!$A:$A,0)),IFERROR(INDEX('Catalog'!$B:$B,MATCH($G729,'Catalog'!$A:$A,0)),$B729))</f>
        <v>95 M מגן מרפק רגיל לבן</v>
      </c>
      <c r="I729" s="8" t="str">
        <f aca="false">IF($G729="","Unmatched","Matched")</f>
        <v>Matched</v>
      </c>
      <c r="J729" s="8" t="n">
        <f aca="false">IF($G729&lt;&gt;"",$G729,$B729)</f>
        <v>4413140</v>
      </c>
      <c r="K729" s="8" t="str">
        <f aca="false">IF(COUNTIF($M$1:$M$10,$A729)&gt;0,"Y","N")</f>
        <v>Y</v>
      </c>
    </row>
    <row r="730" customFormat="false" ht="15" hidden="false" customHeight="true" outlineLevel="0" collapsed="false">
      <c r="A730" s="8" t="s">
        <v>44</v>
      </c>
      <c r="B730" s="8" t="s">
        <v>837</v>
      </c>
      <c r="C730" s="19" t="n">
        <v>4</v>
      </c>
      <c r="D730" s="19" t="n">
        <v>123.57</v>
      </c>
      <c r="E730" s="19" t="n">
        <v>7</v>
      </c>
      <c r="F730" s="19" t="n">
        <v>216.24</v>
      </c>
      <c r="G730" s="8" t="n">
        <f aca="false">IFERROR(INDEX('TRANS'!$B:$B,MATCH($B730,'TRANS'!$A:$A,0)),IFERROR(INDEX('TRANS'!$B:$B,MATCH(TRIM(SUBSTITUTE($B730,CHAR(160)," ")),'TRANS'!$D:$D,0)),IFERROR(INDEX('Catalog'!$A:$A,MATCH($B730,'Catalog'!$B:$B,0)),IFERROR(INDEX('Catalog'!$A:$A,MATCH(TRIM(SUBSTITUTE($B730,CHAR(160)," ")),'Catalog'!$C:$C,0)),""))))</f>
        <v>4413141</v>
      </c>
      <c r="H730" s="8" t="str">
        <f aca="false">IFERROR(INDEX('TRANS'!$C:$C,MATCH($B730,'TRANS'!$A:$A,0)),IFERROR(INDEX('Catalog'!$B:$B,MATCH($G730,'Catalog'!$A:$A,0)),$B730))</f>
        <v>95 S מגן מרפק רגיל לבן</v>
      </c>
      <c r="I730" s="8" t="str">
        <f aca="false">IF($G730="","Unmatched","Matched")</f>
        <v>Matched</v>
      </c>
      <c r="J730" s="8" t="n">
        <f aca="false">IF($G730&lt;&gt;"",$G730,$B730)</f>
        <v>4413141</v>
      </c>
      <c r="K730" s="8" t="str">
        <f aca="false">IF(COUNTIF($M$1:$M$10,$A730)&gt;0,"Y","N")</f>
        <v>Y</v>
      </c>
    </row>
    <row r="731" customFormat="false" ht="15" hidden="false" customHeight="true" outlineLevel="0" collapsed="false">
      <c r="A731" s="8" t="s">
        <v>44</v>
      </c>
      <c r="B731" s="8" t="s">
        <v>838</v>
      </c>
      <c r="C731" s="19" t="n">
        <v>8</v>
      </c>
      <c r="D731" s="19" t="n">
        <v>247.14</v>
      </c>
      <c r="E731" s="19" t="n">
        <v>8</v>
      </c>
      <c r="F731" s="19" t="n">
        <v>247.13</v>
      </c>
      <c r="G731" s="8" t="n">
        <f aca="false">IFERROR(INDEX('TRANS'!$B:$B,MATCH($B731,'TRANS'!$A:$A,0)),IFERROR(INDEX('TRANS'!$B:$B,MATCH(TRIM(SUBSTITUTE($B731,CHAR(160)," ")),'TRANS'!$D:$D,0)),IFERROR(INDEX('Catalog'!$A:$A,MATCH($B731,'Catalog'!$B:$B,0)),IFERROR(INDEX('Catalog'!$A:$A,MATCH(TRIM(SUBSTITUTE($B731,CHAR(160)," ")),'Catalog'!$C:$C,0)),""))))</f>
        <v>4413142</v>
      </c>
      <c r="H731" s="8" t="str">
        <f aca="false">IFERROR(INDEX('TRANS'!$C:$C,MATCH($B731,'TRANS'!$A:$A,0)),IFERROR(INDEX('Catalog'!$B:$B,MATCH($G731,'Catalog'!$A:$A,0)),$B731))</f>
        <v>95 XL מגן מרפק רגיל לבן</v>
      </c>
      <c r="I731" s="8" t="str">
        <f aca="false">IF($G731="","Unmatched","Matched")</f>
        <v>Matched</v>
      </c>
      <c r="J731" s="8" t="n">
        <f aca="false">IF($G731&lt;&gt;"",$G731,$B731)</f>
        <v>4413142</v>
      </c>
      <c r="K731" s="8" t="str">
        <f aca="false">IF(COUNTIF($M$1:$M$10,$A731)&gt;0,"Y","N")</f>
        <v>Y</v>
      </c>
    </row>
    <row r="732" customFormat="false" ht="15" hidden="false" customHeight="true" outlineLevel="0" collapsed="false">
      <c r="A732" s="8" t="s">
        <v>44</v>
      </c>
      <c r="B732" s="8" t="s">
        <v>945</v>
      </c>
      <c r="C732" s="19" t="n">
        <v>1</v>
      </c>
      <c r="D732" s="19" t="n">
        <v>30.89</v>
      </c>
      <c r="E732" s="19" t="n">
        <v>1</v>
      </c>
      <c r="F732" s="19" t="n">
        <v>30.89</v>
      </c>
      <c r="G732" s="8" t="n">
        <f aca="false">IFERROR(INDEX('TRANS'!$B:$B,MATCH($B732,'TRANS'!$A:$A,0)),IFERROR(INDEX('TRANS'!$B:$B,MATCH(TRIM(SUBSTITUTE($B732,CHAR(160)," ")),'TRANS'!$D:$D,0)),IFERROR(INDEX('Catalog'!$A:$A,MATCH($B732,'Catalog'!$B:$B,0)),IFERROR(INDEX('Catalog'!$A:$A,MATCH(TRIM(SUBSTITUTE($B732,CHAR(160)," ")),'Catalog'!$C:$C,0)),""))))</f>
        <v>4413143</v>
      </c>
      <c r="H732" s="8" t="str">
        <f aca="false">IFERROR(INDEX('TRANS'!$C:$C,MATCH($B732,'TRANS'!$A:$A,0)),IFERROR(INDEX('Catalog'!$B:$B,MATCH($G732,'Catalog'!$A:$A,0)),$B732))</f>
        <v>95 XS מגן מרפק רגיל לבן</v>
      </c>
      <c r="I732" s="8" t="str">
        <f aca="false">IF($G732="","Unmatched","Matched")</f>
        <v>Matched</v>
      </c>
      <c r="J732" s="8" t="n">
        <f aca="false">IF($G732&lt;&gt;"",$G732,$B732)</f>
        <v>4413143</v>
      </c>
      <c r="K732" s="8" t="str">
        <f aca="false">IF(COUNTIF($M$1:$M$10,$A732)&gt;0,"Y","N")</f>
        <v>Y</v>
      </c>
    </row>
    <row r="733" customFormat="false" ht="15" hidden="false" customHeight="true" outlineLevel="0" collapsed="false">
      <c r="A733" s="8" t="s">
        <v>44</v>
      </c>
      <c r="B733" s="8" t="s">
        <v>721</v>
      </c>
      <c r="C733" s="19" t="n">
        <v>2</v>
      </c>
      <c r="D733" s="19" t="n">
        <v>60.63</v>
      </c>
      <c r="E733" s="19" t="n">
        <v>1</v>
      </c>
      <c r="F733" s="19" t="n">
        <v>30.89</v>
      </c>
      <c r="G733" s="8" t="n">
        <f aca="false">IFERROR(INDEX('TRANS'!$B:$B,MATCH($B733,'TRANS'!$A:$A,0)),IFERROR(INDEX('TRANS'!$B:$B,MATCH(TRIM(SUBSTITUTE($B733,CHAR(160)," ")),'TRANS'!$D:$D,0)),IFERROR(INDEX('Catalog'!$A:$A,MATCH($B733,'Catalog'!$B:$B,0)),IFERROR(INDEX('Catalog'!$A:$A,MATCH(TRIM(SUBSTITUTE($B733,CHAR(160)," ")),'Catalog'!$C:$C,0)),""))))</f>
        <v>4413365</v>
      </c>
      <c r="H733" s="8" t="str">
        <f aca="false">IFERROR(INDEX('TRANS'!$C:$C,MATCH($B733,'TRANS'!$A:$A,0)),IFERROR(INDEX('Catalog'!$B:$B,MATCH($G733,'Catalog'!$A:$A,0)),$B733))</f>
        <v>95C L 'מגן מרפק בז</v>
      </c>
      <c r="I733" s="8" t="str">
        <f aca="false">IF($G733="","Unmatched","Matched")</f>
        <v>Matched</v>
      </c>
      <c r="J733" s="8" t="n">
        <f aca="false">IF($G733&lt;&gt;"",$G733,$B733)</f>
        <v>4413365</v>
      </c>
      <c r="K733" s="8" t="str">
        <f aca="false">IF(COUNTIF($M$1:$M$10,$A733)&gt;0,"Y","N")</f>
        <v>Y</v>
      </c>
    </row>
    <row r="734" customFormat="false" ht="15" hidden="false" customHeight="true" outlineLevel="0" collapsed="false">
      <c r="A734" s="8" t="s">
        <v>44</v>
      </c>
      <c r="B734" s="8" t="s">
        <v>722</v>
      </c>
      <c r="C734" s="19" t="n">
        <v>0</v>
      </c>
      <c r="D734" s="19" t="n">
        <v>0</v>
      </c>
      <c r="E734" s="19" t="n">
        <v>2</v>
      </c>
      <c r="F734" s="19" t="n">
        <v>61.78</v>
      </c>
      <c r="G734" s="8" t="n">
        <f aca="false">IFERROR(INDEX('TRANS'!$B:$B,MATCH($B734,'TRANS'!$A:$A,0)),IFERROR(INDEX('TRANS'!$B:$B,MATCH(TRIM(SUBSTITUTE($B734,CHAR(160)," ")),'TRANS'!$D:$D,0)),IFERROR(INDEX('Catalog'!$A:$A,MATCH($B734,'Catalog'!$B:$B,0)),IFERROR(INDEX('Catalog'!$A:$A,MATCH(TRIM(SUBSTITUTE($B734,CHAR(160)," ")),'Catalog'!$C:$C,0)),""))))</f>
        <v>4413364</v>
      </c>
      <c r="H734" s="8" t="str">
        <f aca="false">IFERROR(INDEX('TRANS'!$C:$C,MATCH($B734,'TRANS'!$A:$A,0)),IFERROR(INDEX('Catalog'!$B:$B,MATCH($G734,'Catalog'!$A:$A,0)),$B734))</f>
        <v>95C M 'מגן מרפק בז</v>
      </c>
      <c r="I734" s="8" t="str">
        <f aca="false">IF($G734="","Unmatched","Matched")</f>
        <v>Matched</v>
      </c>
      <c r="J734" s="8" t="n">
        <f aca="false">IF($G734&lt;&gt;"",$G734,$B734)</f>
        <v>4413364</v>
      </c>
      <c r="K734" s="8" t="str">
        <f aca="false">IF(COUNTIF($M$1:$M$10,$A734)&gt;0,"Y","N")</f>
        <v>Y</v>
      </c>
    </row>
    <row r="735" customFormat="false" ht="15" hidden="false" customHeight="true" outlineLevel="0" collapsed="false">
      <c r="A735" s="8" t="s">
        <v>44</v>
      </c>
      <c r="B735" s="8" t="s">
        <v>839</v>
      </c>
      <c r="C735" s="19" t="n">
        <v>2</v>
      </c>
      <c r="D735" s="19" t="n">
        <v>60.63</v>
      </c>
      <c r="E735" s="19" t="n">
        <v>2</v>
      </c>
      <c r="F735" s="19" t="n">
        <v>61.78</v>
      </c>
      <c r="G735" s="8" t="n">
        <f aca="false">IFERROR(INDEX('TRANS'!$B:$B,MATCH($B735,'TRANS'!$A:$A,0)),IFERROR(INDEX('TRANS'!$B:$B,MATCH(TRIM(SUBSTITUTE($B735,CHAR(160)," ")),'TRANS'!$D:$D,0)),IFERROR(INDEX('Catalog'!$A:$A,MATCH($B735,'Catalog'!$B:$B,0)),IFERROR(INDEX('Catalog'!$A:$A,MATCH(TRIM(SUBSTITUTE($B735,CHAR(160)," ")),'Catalog'!$C:$C,0)),""))))</f>
        <v>4413366</v>
      </c>
      <c r="H735" s="8" t="str">
        <f aca="false">IFERROR(INDEX('TRANS'!$C:$C,MATCH($B735,'TRANS'!$A:$A,0)),IFERROR(INDEX('Catalog'!$B:$B,MATCH($G735,'Catalog'!$A:$A,0)),$B735))</f>
        <v>95C S 'מגן מרפק בז</v>
      </c>
      <c r="I735" s="8" t="str">
        <f aca="false">IF($G735="","Unmatched","Matched")</f>
        <v>Matched</v>
      </c>
      <c r="J735" s="8" t="n">
        <f aca="false">IF($G735&lt;&gt;"",$G735,$B735)</f>
        <v>4413366</v>
      </c>
      <c r="K735" s="8" t="str">
        <f aca="false">IF(COUNTIF($M$1:$M$10,$A735)&gt;0,"Y","N")</f>
        <v>Y</v>
      </c>
    </row>
    <row r="736" customFormat="false" ht="15" hidden="false" customHeight="true" outlineLevel="0" collapsed="false">
      <c r="A736" s="8" t="s">
        <v>44</v>
      </c>
      <c r="B736" s="8" t="s">
        <v>840</v>
      </c>
      <c r="C736" s="19" t="n">
        <v>1</v>
      </c>
      <c r="D736" s="19" t="n">
        <v>30.89</v>
      </c>
      <c r="E736" s="19" t="n">
        <v>1</v>
      </c>
      <c r="F736" s="19" t="n">
        <v>30.89</v>
      </c>
      <c r="G736" s="8" t="n">
        <f aca="false">IFERROR(INDEX('TRANS'!$B:$B,MATCH($B736,'TRANS'!$A:$A,0)),IFERROR(INDEX('TRANS'!$B:$B,MATCH(TRIM(SUBSTITUTE($B736,CHAR(160)," ")),'TRANS'!$D:$D,0)),IFERROR(INDEX('Catalog'!$A:$A,MATCH($B736,'Catalog'!$B:$B,0)),IFERROR(INDEX('Catalog'!$A:$A,MATCH(TRIM(SUBSTITUTE($B736,CHAR(160)," ")),'Catalog'!$C:$C,0)),""))))</f>
        <v>4413367</v>
      </c>
      <c r="H736" s="8" t="str">
        <f aca="false">IFERROR(INDEX('TRANS'!$C:$C,MATCH($B736,'TRANS'!$A:$A,0)),IFERROR(INDEX('Catalog'!$B:$B,MATCH($G736,'Catalog'!$A:$A,0)),$B736))</f>
        <v>95C XL'מגן מרפק בז</v>
      </c>
      <c r="I736" s="8" t="str">
        <f aca="false">IF($G736="","Unmatched","Matched")</f>
        <v>Matched</v>
      </c>
      <c r="J736" s="8" t="n">
        <f aca="false">IF($G736&lt;&gt;"",$G736,$B736)</f>
        <v>4413367</v>
      </c>
      <c r="K736" s="8" t="str">
        <f aca="false">IF(COUNTIF($M$1:$M$10,$A736)&gt;0,"Y","N")</f>
        <v>Y</v>
      </c>
    </row>
    <row r="737" customFormat="false" ht="15" hidden="false" customHeight="true" outlineLevel="0" collapsed="false">
      <c r="A737" s="8" t="s">
        <v>44</v>
      </c>
      <c r="B737" s="8" t="s">
        <v>723</v>
      </c>
      <c r="C737" s="19" t="n">
        <v>7</v>
      </c>
      <c r="D737" s="19" t="n">
        <v>649.36</v>
      </c>
      <c r="E737" s="19" t="n">
        <v>9</v>
      </c>
      <c r="F737" s="19" t="n">
        <v>749.59</v>
      </c>
      <c r="G737" s="8" t="n">
        <f aca="false">IFERROR(INDEX('TRANS'!$B:$B,MATCH($B737,'TRANS'!$A:$A,0)),IFERROR(INDEX('TRANS'!$B:$B,MATCH(TRIM(SUBSTITUTE($B737,CHAR(160)," ")),'TRANS'!$D:$D,0)),IFERROR(INDEX('Catalog'!$A:$A,MATCH($B737,'Catalog'!$B:$B,0)),IFERROR(INDEX('Catalog'!$A:$A,MATCH(TRIM(SUBSTITUTE($B737,CHAR(160)," ")),'Catalog'!$C:$C,0)),""))))</f>
        <v>4408205</v>
      </c>
      <c r="H737" s="8" t="str">
        <f aca="false">IFERROR(INDEX('TRANS'!$C:$C,MATCH($B737,'TRANS'!$A:$A,0)),IFERROR(INDEX('Catalog'!$B:$B,MATCH($G737,'Catalog'!$A:$A,0)),$B737))</f>
        <v>AC-07 חגורת גב עם תמיכות</v>
      </c>
      <c r="I737" s="8" t="str">
        <f aca="false">IF($G737="","Unmatched","Matched")</f>
        <v>Matched</v>
      </c>
      <c r="J737" s="8" t="n">
        <f aca="false">IF($G737&lt;&gt;"",$G737,$B737)</f>
        <v>4408205</v>
      </c>
      <c r="K737" s="8" t="str">
        <f aca="false">IF(COUNTIF($M$1:$M$10,$A737)&gt;0,"Y","N")</f>
        <v>Y</v>
      </c>
    </row>
    <row r="738" customFormat="false" ht="15" hidden="false" customHeight="true" outlineLevel="0" collapsed="false">
      <c r="A738" s="8" t="s">
        <v>44</v>
      </c>
      <c r="B738" s="8" t="s">
        <v>725</v>
      </c>
      <c r="C738" s="19" t="n">
        <v>17</v>
      </c>
      <c r="D738" s="19" t="n">
        <v>636.73</v>
      </c>
      <c r="E738" s="19" t="n">
        <v>30</v>
      </c>
      <c r="F738" s="19" t="n">
        <v>1123.63</v>
      </c>
      <c r="G738" s="8" t="n">
        <f aca="false">IFERROR(INDEX('TRANS'!$B:$B,MATCH($B738,'TRANS'!$A:$A,0)),IFERROR(INDEX('TRANS'!$B:$B,MATCH(TRIM(SUBSTITUTE($B738,CHAR(160)," ")),'TRANS'!$D:$D,0)),IFERROR(INDEX('Catalog'!$A:$A,MATCH($B738,'Catalog'!$B:$B,0)),IFERROR(INDEX('Catalog'!$A:$A,MATCH(TRIM(SUBSTITUTE($B738,CHAR(160)," ")),'Catalog'!$C:$C,0)),""))))</f>
        <v>4408207</v>
      </c>
      <c r="H738" s="8" t="str">
        <f aca="false">IFERROR(INDEX('TRANS'!$C:$C,MATCH($B738,'TRANS'!$A:$A,0)),IFERROR(INDEX('Catalog'!$B:$B,MATCH($G738,'Catalog'!$A:$A,0)),$B738))</f>
        <v>AC-25 חבק לשורש כף היד</v>
      </c>
      <c r="I738" s="8" t="str">
        <f aca="false">IF($G738="","Unmatched","Matched")</f>
        <v>Matched</v>
      </c>
      <c r="J738" s="8" t="n">
        <f aca="false">IF($G738&lt;&gt;"",$G738,$B738)</f>
        <v>4408207</v>
      </c>
      <c r="K738" s="8" t="str">
        <f aca="false">IF(COUNTIF($M$1:$M$10,$A738)&gt;0,"Y","N")</f>
        <v>Y</v>
      </c>
    </row>
    <row r="739" customFormat="false" ht="15" hidden="false" customHeight="true" outlineLevel="0" collapsed="false">
      <c r="A739" s="8" t="s">
        <v>44</v>
      </c>
      <c r="B739" s="8" t="s">
        <v>747</v>
      </c>
      <c r="C739" s="19" t="n">
        <v>8</v>
      </c>
      <c r="D739" s="19" t="n">
        <v>651.11</v>
      </c>
      <c r="E739" s="19" t="n">
        <v>3</v>
      </c>
      <c r="F739" s="19" t="n">
        <v>281.01</v>
      </c>
      <c r="G739" s="8" t="n">
        <f aca="false">IFERROR(INDEX('TRANS'!$B:$B,MATCH($B739,'TRANS'!$A:$A,0)),IFERROR(INDEX('TRANS'!$B:$B,MATCH(TRIM(SUBSTITUTE($B739,CHAR(160)," ")),'TRANS'!$D:$D,0)),IFERROR(INDEX('Catalog'!$A:$A,MATCH($B739,'Catalog'!$B:$B,0)),IFERROR(INDEX('Catalog'!$A:$A,MATCH(TRIM(SUBSTITUTE($B739,CHAR(160)," ")),'Catalog'!$C:$C,0)),""))))</f>
        <v>4408249</v>
      </c>
      <c r="H739" s="8" t="str">
        <f aca="false">IFERROR(INDEX('TRANS'!$C:$C,MATCH($B739,'TRANS'!$A:$A,0)),IFERROR(INDEX('Catalog'!$B:$B,MATCH($G739,'Catalog'!$A:$A,0)),$B739))</f>
        <v>SC25  L חבק יד</v>
      </c>
      <c r="I739" s="8" t="str">
        <f aca="false">IF($G739="","Unmatched","Matched")</f>
        <v>Matched</v>
      </c>
      <c r="J739" s="8" t="n">
        <f aca="false">IF($G739&lt;&gt;"",$G739,$B739)</f>
        <v>4408249</v>
      </c>
      <c r="K739" s="8" t="str">
        <f aca="false">IF(COUNTIF($M$1:$M$10,$A739)&gt;0,"Y","N")</f>
        <v>Y</v>
      </c>
    </row>
    <row r="740" customFormat="false" ht="15" hidden="false" customHeight="true" outlineLevel="0" collapsed="false">
      <c r="A740" s="8" t="s">
        <v>44</v>
      </c>
      <c r="B740" s="8" t="s">
        <v>770</v>
      </c>
      <c r="C740" s="19" t="n">
        <v>37</v>
      </c>
      <c r="D740" s="19" t="n">
        <v>1686.28</v>
      </c>
      <c r="E740" s="19" t="n">
        <v>20</v>
      </c>
      <c r="F740" s="19" t="n">
        <v>936.45</v>
      </c>
      <c r="G740" s="8" t="n">
        <f aca="false">IFERROR(INDEX('TRANS'!$B:$B,MATCH($B740,'TRANS'!$A:$A,0)),IFERROR(INDEX('TRANS'!$B:$B,MATCH(TRIM(SUBSTITUTE($B740,CHAR(160)," ")),'TRANS'!$D:$D,0)),IFERROR(INDEX('Catalog'!$A:$A,MATCH($B740,'Catalog'!$B:$B,0)),IFERROR(INDEX('Catalog'!$A:$A,MATCH(TRIM(SUBSTITUTE($B740,CHAR(160)," ")),'Catalog'!$C:$C,0)),""))))</f>
        <v>4408098</v>
      </c>
      <c r="H740" s="8" t="str">
        <f aca="false">IFERROR(INDEX('TRANS'!$C:$C,MATCH($B740,'TRANS'!$A:$A,0)),IFERROR(INDEX('Catalog'!$B:$B,MATCH($G740,'Catalog'!$A:$A,0)),$B740))</f>
        <v>T25-חבק יד אגודלי</v>
      </c>
      <c r="I740" s="8" t="str">
        <f aca="false">IF($G740="","Unmatched","Matched")</f>
        <v>Matched</v>
      </c>
      <c r="J740" s="8" t="n">
        <f aca="false">IF($G740&lt;&gt;"",$G740,$B740)</f>
        <v>4408098</v>
      </c>
      <c r="K740" s="8" t="str">
        <f aca="false">IF(COUNTIF($M$1:$M$10,$A740)&gt;0,"Y","N")</f>
        <v>Y</v>
      </c>
    </row>
    <row r="741" customFormat="false" ht="15" hidden="false" customHeight="true" outlineLevel="0" collapsed="false">
      <c r="A741" s="8" t="s">
        <v>44</v>
      </c>
      <c r="B741" s="8" t="s">
        <v>904</v>
      </c>
      <c r="C741" s="19" t="n">
        <v>54</v>
      </c>
      <c r="D741" s="19" t="n">
        <v>2455.89</v>
      </c>
      <c r="E741" s="19" t="n">
        <v>46</v>
      </c>
      <c r="F741" s="19" t="n">
        <v>2072.66</v>
      </c>
      <c r="G741" s="8" t="n">
        <f aca="false">IFERROR(INDEX('TRANS'!$B:$B,MATCH($B741,'TRANS'!$A:$A,0)),IFERROR(INDEX('TRANS'!$B:$B,MATCH(TRIM(SUBSTITUTE($B741,CHAR(160)," ")),'TRANS'!$D:$D,0)),IFERROR(INDEX('Catalog'!$A:$A,MATCH($B741,'Catalog'!$B:$B,0)),IFERROR(INDEX('Catalog'!$A:$A,MATCH(TRIM(SUBSTITUTE($B741,CHAR(160)," ")),'Catalog'!$C:$C,0)),""))))</f>
        <v>4408099</v>
      </c>
      <c r="H741" s="8" t="str">
        <f aca="false">IFERROR(INDEX('TRANS'!$C:$C,MATCH($B741,'TRANS'!$A:$A,0)),IFERROR(INDEX('Catalog'!$B:$B,MATCH($G741,'Catalog'!$A:$A,0)),$B741))</f>
        <v>T25C-חבק יד אגודלי</v>
      </c>
      <c r="I741" s="8" t="str">
        <f aca="false">IF($G741="","Unmatched","Matched")</f>
        <v>Matched</v>
      </c>
      <c r="J741" s="8" t="n">
        <f aca="false">IF($G741&lt;&gt;"",$G741,$B741)</f>
        <v>4408099</v>
      </c>
      <c r="K741" s="8" t="str">
        <f aca="false">IF(COUNTIF($M$1:$M$10,$A741)&gt;0,"Y","N")</f>
        <v>Y</v>
      </c>
    </row>
    <row r="742" customFormat="false" ht="15" hidden="false" customHeight="true" outlineLevel="0" collapsed="false">
      <c r="A742" s="8" t="s">
        <v>44</v>
      </c>
      <c r="B742" s="8" t="s">
        <v>771</v>
      </c>
      <c r="C742" s="19" t="n">
        <v>6</v>
      </c>
      <c r="D742" s="19" t="n">
        <v>421.56</v>
      </c>
      <c r="E742" s="19" t="n">
        <v>5</v>
      </c>
      <c r="F742" s="19" t="n">
        <v>351.3</v>
      </c>
      <c r="G742" s="8" t="n">
        <f aca="false">IFERROR(INDEX('TRANS'!$B:$B,MATCH($B742,'TRANS'!$A:$A,0)),IFERROR(INDEX('TRANS'!$B:$B,MATCH(TRIM(SUBSTITUTE($B742,CHAR(160)," ")),'TRANS'!$D:$D,0)),IFERROR(INDEX('Catalog'!$A:$A,MATCH($B742,'Catalog'!$B:$B,0)),IFERROR(INDEX('Catalog'!$A:$A,MATCH(TRIM(SUBSTITUTE($B742,CHAR(160)," ")),'Catalog'!$C:$C,0)),""))))</f>
        <v>4415075</v>
      </c>
      <c r="H742" s="8" t="str">
        <f aca="false">IFERROR(INDEX('TRANS'!$C:$C,MATCH($B742,'TRANS'!$A:$A,0)),IFERROR(INDEX('Catalog'!$B:$B,MATCH($G742,'Catalog'!$A:$A,0)),$B742))</f>
        <v>T28AC L-XL סד לאגודל</v>
      </c>
      <c r="I742" s="8" t="str">
        <f aca="false">IF($G742="","Unmatched","Matched")</f>
        <v>Matched</v>
      </c>
      <c r="J742" s="8" t="n">
        <f aca="false">IF($G742&lt;&gt;"",$G742,$B742)</f>
        <v>4415075</v>
      </c>
      <c r="K742" s="8" t="str">
        <f aca="false">IF(COUNTIF($M$1:$M$10,$A742)&gt;0,"Y","N")</f>
        <v>Y</v>
      </c>
    </row>
    <row r="743" customFormat="false" ht="15" hidden="false" customHeight="true" outlineLevel="0" collapsed="false">
      <c r="A743" s="8" t="s">
        <v>44</v>
      </c>
      <c r="B743" s="8" t="s">
        <v>772</v>
      </c>
      <c r="C743" s="19" t="n">
        <v>10</v>
      </c>
      <c r="D743" s="19" t="n">
        <v>702.6</v>
      </c>
      <c r="E743" s="19" t="n">
        <v>6</v>
      </c>
      <c r="F743" s="19" t="n">
        <v>421.56</v>
      </c>
      <c r="G743" s="8" t="n">
        <f aca="false">IFERROR(INDEX('TRANS'!$B:$B,MATCH($B743,'TRANS'!$A:$A,0)),IFERROR(INDEX('TRANS'!$B:$B,MATCH(TRIM(SUBSTITUTE($B743,CHAR(160)," ")),'TRANS'!$D:$D,0)),IFERROR(INDEX('Catalog'!$A:$A,MATCH($B743,'Catalog'!$B:$B,0)),IFERROR(INDEX('Catalog'!$A:$A,MATCH(TRIM(SUBSTITUTE($B743,CHAR(160)," ")),'Catalog'!$C:$C,0)),""))))</f>
        <v>4415074</v>
      </c>
      <c r="H743" s="8" t="str">
        <f aca="false">IFERROR(INDEX('TRANS'!$C:$C,MATCH($B743,'TRANS'!$A:$A,0)),IFERROR(INDEX('Catalog'!$B:$B,MATCH($G743,'Catalog'!$A:$A,0)),$B743))</f>
        <v>T28AC S-M סד לאגודל</v>
      </c>
      <c r="I743" s="8" t="str">
        <f aca="false">IF($G743="","Unmatched","Matched")</f>
        <v>Matched</v>
      </c>
      <c r="J743" s="8" t="n">
        <f aca="false">IF($G743&lt;&gt;"",$G743,$B743)</f>
        <v>4415074</v>
      </c>
      <c r="K743" s="8" t="str">
        <f aca="false">IF(COUNTIF($M$1:$M$10,$A743)&gt;0,"Y","N")</f>
        <v>Y</v>
      </c>
    </row>
    <row r="744" customFormat="false" ht="15" hidden="false" customHeight="true" outlineLevel="0" collapsed="false">
      <c r="A744" s="8" t="s">
        <v>44</v>
      </c>
      <c r="B744" s="8" t="s">
        <v>135</v>
      </c>
      <c r="C744" s="19" t="n">
        <v>4</v>
      </c>
      <c r="D744" s="19" t="n">
        <v>431.04</v>
      </c>
      <c r="E744" s="19" t="n">
        <v>1</v>
      </c>
      <c r="F744" s="19" t="n">
        <v>107.76</v>
      </c>
      <c r="G744" s="8" t="str">
        <f aca="false">IFERROR(INDEX('TRANS'!$B:$B,MATCH($B744,'TRANS'!$A:$A,0)),IFERROR(INDEX('TRANS'!$B:$B,MATCH(TRIM(SUBSTITUTE($B744,CHAR(160)," ")),'TRANS'!$D:$D,0)),IFERROR(INDEX('Catalog'!$A:$A,MATCH($B744,'Catalog'!$B:$B,0)),IFERROR(INDEX('Catalog'!$A:$A,MATCH(TRIM(SUBSTITUTE($B744,CHAR(160)," ")),'Catalog'!$C:$C,0)),""))))</f>
        <v/>
      </c>
      <c r="H744" s="8" t="str">
        <f aca="false">IFERROR(INDEX('TRANS'!$C:$C,MATCH($B744,'TRANS'!$A:$A,0)),IFERROR(INDEX('Catalog'!$B:$B,MATCH($G744,'Catalog'!$A:$A,0)),$B744))</f>
        <v>T39 XL</v>
      </c>
      <c r="I744" s="8" t="str">
        <f aca="false">IF($G744="","Unmatched","Matched")</f>
        <v>Unmatched</v>
      </c>
      <c r="J744" s="8" t="str">
        <f aca="false">IF($G744&lt;&gt;"",$G744,$B744)</f>
        <v>T39 XL</v>
      </c>
      <c r="K744" s="8" t="str">
        <f aca="false">IF(COUNTIF($M$1:$M$10,$A744)&gt;0,"Y","N")</f>
        <v>Y</v>
      </c>
    </row>
    <row r="745" customFormat="false" ht="15" hidden="false" customHeight="true" outlineLevel="0" collapsed="false">
      <c r="A745" s="8" t="s">
        <v>44</v>
      </c>
      <c r="B745" s="8" t="s">
        <v>262</v>
      </c>
      <c r="C745" s="19" t="n">
        <v>4</v>
      </c>
      <c r="D745" s="19" t="n">
        <v>365.66</v>
      </c>
      <c r="E745" s="19" t="n">
        <v>0</v>
      </c>
      <c r="F745" s="19" t="n">
        <v>-6.31000000000002</v>
      </c>
      <c r="G745" s="8" t="str">
        <f aca="false">IFERROR(INDEX('TRANS'!$B:$B,MATCH($B745,'TRANS'!$A:$A,0)),IFERROR(INDEX('TRANS'!$B:$B,MATCH(TRIM(SUBSTITUTE($B745,CHAR(160)," ")),'TRANS'!$D:$D,0)),IFERROR(INDEX('Catalog'!$A:$A,MATCH($B745,'Catalog'!$B:$B,0)),IFERROR(INDEX('Catalog'!$A:$A,MATCH(TRIM(SUBSTITUTE($B745,CHAR(160)," ")),'Catalog'!$C:$C,0)),""))))</f>
        <v/>
      </c>
      <c r="H745" s="8" t="str">
        <f aca="false">IFERROR(INDEX('TRANS'!$C:$C,MATCH($B745,'TRANS'!$A:$A,0)),IFERROR(INDEX('Catalog'!$B:$B,MATCH($G745,'Catalog'!$A:$A,0)),$B745))</f>
        <v>T402 M</v>
      </c>
      <c r="I745" s="8" t="str">
        <f aca="false">IF($G745="","Unmatched","Matched")</f>
        <v>Unmatched</v>
      </c>
      <c r="J745" s="8" t="str">
        <f aca="false">IF($G745&lt;&gt;"",$G745,$B745)</f>
        <v>T402 M</v>
      </c>
      <c r="K745" s="8" t="str">
        <f aca="false">IF(COUNTIF($M$1:$M$10,$A745)&gt;0,"Y","N")</f>
        <v>Y</v>
      </c>
    </row>
    <row r="746" customFormat="false" ht="15" hidden="false" customHeight="true" outlineLevel="0" collapsed="false">
      <c r="A746" s="8" t="s">
        <v>44</v>
      </c>
      <c r="B746" s="8" t="s">
        <v>533</v>
      </c>
      <c r="C746" s="19" t="n">
        <v>1</v>
      </c>
      <c r="D746" s="19" t="n">
        <v>88.06</v>
      </c>
      <c r="E746" s="19" t="n">
        <v>-2</v>
      </c>
      <c r="F746" s="19" t="n">
        <v>-189.27</v>
      </c>
      <c r="G746" s="8" t="str">
        <f aca="false">IFERROR(INDEX('TRANS'!$B:$B,MATCH($B746,'TRANS'!$A:$A,0)),IFERROR(INDEX('TRANS'!$B:$B,MATCH(TRIM(SUBSTITUTE($B746,CHAR(160)," ")),'TRANS'!$D:$D,0)),IFERROR(INDEX('Catalog'!$A:$A,MATCH($B746,'Catalog'!$B:$B,0)),IFERROR(INDEX('Catalog'!$A:$A,MATCH(TRIM(SUBSTITUTE($B746,CHAR(160)," ")),'Catalog'!$C:$C,0)),""))))</f>
        <v/>
      </c>
      <c r="H746" s="8" t="str">
        <f aca="false">IFERROR(INDEX('TRANS'!$C:$C,MATCH($B746,'TRANS'!$A:$A,0)),IFERROR(INDEX('Catalog'!$B:$B,MATCH($G746,'Catalog'!$A:$A,0)),$B746))</f>
        <v>T402 S</v>
      </c>
      <c r="I746" s="8" t="str">
        <f aca="false">IF($G746="","Unmatched","Matched")</f>
        <v>Unmatched</v>
      </c>
      <c r="J746" s="8" t="str">
        <f aca="false">IF($G746&lt;&gt;"",$G746,$B746)</f>
        <v>T402 S</v>
      </c>
      <c r="K746" s="8" t="str">
        <f aca="false">IF(COUNTIF($M$1:$M$10,$A746)&gt;0,"Y","N")</f>
        <v>Y</v>
      </c>
    </row>
    <row r="747" customFormat="false" ht="15" hidden="false" customHeight="true" outlineLevel="0" collapsed="false">
      <c r="A747" s="8" t="s">
        <v>44</v>
      </c>
      <c r="B747" s="8" t="s">
        <v>946</v>
      </c>
      <c r="C747" s="19" t="n">
        <v>39</v>
      </c>
      <c r="D747" s="19" t="n">
        <v>5060.9</v>
      </c>
      <c r="E747" s="19" t="n">
        <v>17</v>
      </c>
      <c r="F747" s="19" t="n">
        <v>2209.94</v>
      </c>
      <c r="G747" s="8" t="n">
        <f aca="false">IFERROR(INDEX('TRANS'!$B:$B,MATCH($B747,'TRANS'!$A:$A,0)),IFERROR(INDEX('TRANS'!$B:$B,MATCH(TRIM(SUBSTITUTE($B747,CHAR(160)," ")),'TRANS'!$D:$D,0)),IFERROR(INDEX('Catalog'!$A:$A,MATCH($B747,'Catalog'!$B:$B,0)),IFERROR(INDEX('Catalog'!$A:$A,MATCH(TRIM(SUBSTITUTE($B747,CHAR(160)," ")),'Catalog'!$C:$C,0)),""))))</f>
        <v>4422007</v>
      </c>
      <c r="H747" s="8" t="str">
        <f aca="false">IFERROR(INDEX('TRANS'!$C:$C,MATCH($B747,'TRANS'!$A:$A,0)),IFERROR(INDEX('Catalog'!$B:$B,MATCH($G747,'Catalog'!$A:$A,0)),$B747))</f>
        <v>T78 XLתומך זרוע וכתף</v>
      </c>
      <c r="I747" s="8" t="str">
        <f aca="false">IF($G747="","Unmatched","Matched")</f>
        <v>Matched</v>
      </c>
      <c r="J747" s="8" t="n">
        <f aca="false">IF($G747&lt;&gt;"",$G747,$B747)</f>
        <v>4422007</v>
      </c>
      <c r="K747" s="8" t="str">
        <f aca="false">IF(COUNTIF($M$1:$M$10,$A747)&gt;0,"Y","N")</f>
        <v>Y</v>
      </c>
    </row>
    <row r="748" customFormat="false" ht="15" hidden="false" customHeight="true" outlineLevel="0" collapsed="false">
      <c r="A748" s="8" t="s">
        <v>44</v>
      </c>
      <c r="B748" s="8" t="s">
        <v>947</v>
      </c>
      <c r="C748" s="19" t="n">
        <v>2</v>
      </c>
      <c r="D748" s="19" t="n">
        <v>206.14</v>
      </c>
      <c r="E748" s="19" t="n">
        <v>3</v>
      </c>
      <c r="F748" s="19" t="n">
        <v>309.21</v>
      </c>
      <c r="G748" s="8" t="n">
        <f aca="false">IFERROR(INDEX('TRANS'!$B:$B,MATCH($B748,'TRANS'!$A:$A,0)),IFERROR(INDEX('TRANS'!$B:$B,MATCH(TRIM(SUBSTITUTE($B748,CHAR(160)," ")),'TRANS'!$D:$D,0)),IFERROR(INDEX('Catalog'!$A:$A,MATCH($B748,'Catalog'!$B:$B,0)),IFERROR(INDEX('Catalog'!$A:$A,MATCH(TRIM(SUBSTITUTE($B748,CHAR(160)," ")),'Catalog'!$C:$C,0)),""))))</f>
        <v>4408226</v>
      </c>
      <c r="H748" s="8" t="str">
        <f aca="false">IFERROR(INDEX('TRANS'!$C:$C,MATCH($B748,'TRANS'!$A:$A,0)),IFERROR(INDEX('Catalog'!$B:$B,MATCH($G748,'Catalog'!$A:$A,0)),$B748))</f>
        <v>L 11 אפורUG חגורת בטן</v>
      </c>
      <c r="I748" s="8" t="str">
        <f aca="false">IF($G748="","Unmatched","Matched")</f>
        <v>Matched</v>
      </c>
      <c r="J748" s="8" t="n">
        <f aca="false">IF($G748&lt;&gt;"",$G748,$B748)</f>
        <v>4408226</v>
      </c>
      <c r="K748" s="8" t="str">
        <f aca="false">IF(COUNTIF($M$1:$M$10,$A748)&gt;0,"Y","N")</f>
        <v>Y</v>
      </c>
    </row>
    <row r="749" customFormat="false" ht="15" hidden="false" customHeight="true" outlineLevel="0" collapsed="false">
      <c r="A749" s="8" t="s">
        <v>44</v>
      </c>
      <c r="B749" s="8" t="s">
        <v>128</v>
      </c>
      <c r="C749" s="19" t="n">
        <v>2</v>
      </c>
      <c r="D749" s="19" t="n">
        <v>206.14</v>
      </c>
      <c r="E749" s="19" t="n">
        <v>2</v>
      </c>
      <c r="F749" s="19" t="n">
        <v>206.15</v>
      </c>
      <c r="G749" s="8" t="str">
        <f aca="false">IFERROR(INDEX('TRANS'!$B:$B,MATCH($B749,'TRANS'!$A:$A,0)),IFERROR(INDEX('TRANS'!$B:$B,MATCH(TRIM(SUBSTITUTE($B749,CHAR(160)," ")),'TRANS'!$D:$D,0)),IFERROR(INDEX('Catalog'!$A:$A,MATCH($B749,'Catalog'!$B:$B,0)),IFERROR(INDEX('Catalog'!$A:$A,MATCH(TRIM(SUBSTITUTE($B749,CHAR(160)," ")),'Catalog'!$C:$C,0)),""))))</f>
        <v/>
      </c>
      <c r="H749" s="8" t="str">
        <f aca="false">IFERROR(INDEX('TRANS'!$C:$C,MATCH($B749,'TRANS'!$A:$A,0)),IFERROR(INDEX('Catalog'!$B:$B,MATCH($G749,'Catalog'!$A:$A,0)),$B749))</f>
        <v>11UG M</v>
      </c>
      <c r="I749" s="8" t="str">
        <f aca="false">IF($G749="","Unmatched","Matched")</f>
        <v>Unmatched</v>
      </c>
      <c r="J749" s="8" t="str">
        <f aca="false">IF($G749&lt;&gt;"",$G749,$B749)</f>
        <v>11UG M</v>
      </c>
      <c r="K749" s="8" t="str">
        <f aca="false">IF(COUNTIF($M$1:$M$10,$A749)&gt;0,"Y","N")</f>
        <v>Y</v>
      </c>
    </row>
    <row r="750" customFormat="false" ht="15" hidden="false" customHeight="true" outlineLevel="0" collapsed="false">
      <c r="A750" s="8" t="s">
        <v>44</v>
      </c>
      <c r="B750" s="8" t="s">
        <v>148</v>
      </c>
      <c r="C750" s="19" t="n">
        <v>2</v>
      </c>
      <c r="D750" s="19" t="n">
        <v>206.16</v>
      </c>
      <c r="E750" s="19" t="n">
        <v>0</v>
      </c>
      <c r="F750" s="19" t="n">
        <v>0</v>
      </c>
      <c r="G750" s="8" t="str">
        <f aca="false">IFERROR(INDEX('TRANS'!$B:$B,MATCH($B750,'TRANS'!$A:$A,0)),IFERROR(INDEX('TRANS'!$B:$B,MATCH(TRIM(SUBSTITUTE($B750,CHAR(160)," ")),'TRANS'!$D:$D,0)),IFERROR(INDEX('Catalog'!$A:$A,MATCH($B750,'Catalog'!$B:$B,0)),IFERROR(INDEX('Catalog'!$A:$A,MATCH(TRIM(SUBSTITUTE($B750,CHAR(160)," ")),'Catalog'!$C:$C,0)),""))))</f>
        <v/>
      </c>
      <c r="H750" s="8" t="str">
        <f aca="false">IFERROR(INDEX('TRANS'!$C:$C,MATCH($B750,'TRANS'!$A:$A,0)),IFERROR(INDEX('Catalog'!$B:$B,MATCH($G750,'Catalog'!$A:$A,0)),$B750))</f>
        <v>11UG S</v>
      </c>
      <c r="I750" s="8" t="str">
        <f aca="false">IF($G750="","Unmatched","Matched")</f>
        <v>Unmatched</v>
      </c>
      <c r="J750" s="8" t="str">
        <f aca="false">IF($G750&lt;&gt;"",$G750,$B750)</f>
        <v>11UG S</v>
      </c>
      <c r="K750" s="8" t="str">
        <f aca="false">IF(COUNTIF($M$1:$M$10,$A750)&gt;0,"Y","N")</f>
        <v>Y</v>
      </c>
    </row>
    <row r="751" customFormat="false" ht="15" hidden="false" customHeight="true" outlineLevel="0" collapsed="false">
      <c r="A751" s="8" t="s">
        <v>44</v>
      </c>
      <c r="B751" s="8" t="s">
        <v>216</v>
      </c>
      <c r="C751" s="19" t="n">
        <v>2</v>
      </c>
      <c r="D751" s="19" t="n">
        <v>206.14</v>
      </c>
      <c r="E751" s="19" t="n">
        <v>0</v>
      </c>
      <c r="F751" s="19" t="n">
        <v>0</v>
      </c>
      <c r="G751" s="8" t="str">
        <f aca="false">IFERROR(INDEX('TRANS'!$B:$B,MATCH($B751,'TRANS'!$A:$A,0)),IFERROR(INDEX('TRANS'!$B:$B,MATCH(TRIM(SUBSTITUTE($B751,CHAR(160)," ")),'TRANS'!$D:$D,0)),IFERROR(INDEX('Catalog'!$A:$A,MATCH($B751,'Catalog'!$B:$B,0)),IFERROR(INDEX('Catalog'!$A:$A,MATCH(TRIM(SUBSTITUTE($B751,CHAR(160)," ")),'Catalog'!$C:$C,0)),""))))</f>
        <v/>
      </c>
      <c r="H751" s="8" t="str">
        <f aca="false">IFERROR(INDEX('TRANS'!$C:$C,MATCH($B751,'TRANS'!$A:$A,0)),IFERROR(INDEX('Catalog'!$B:$B,MATCH($G751,'Catalog'!$A:$A,0)),$B751))</f>
        <v>11UG XL</v>
      </c>
      <c r="I751" s="8" t="str">
        <f aca="false">IF($G751="","Unmatched","Matched")</f>
        <v>Unmatched</v>
      </c>
      <c r="J751" s="8" t="str">
        <f aca="false">IF($G751&lt;&gt;"",$G751,$B751)</f>
        <v>11UG XL</v>
      </c>
      <c r="K751" s="8" t="str">
        <f aca="false">IF(COUNTIF($M$1:$M$10,$A751)&gt;0,"Y","N")</f>
        <v>Y</v>
      </c>
    </row>
    <row r="752" customFormat="false" ht="15" hidden="false" customHeight="true" outlineLevel="0" collapsed="false">
      <c r="A752" s="8" t="s">
        <v>44</v>
      </c>
      <c r="B752" s="8" t="s">
        <v>948</v>
      </c>
      <c r="C752" s="19" t="n">
        <v>18</v>
      </c>
      <c r="D752" s="19" t="n">
        <v>1838.14</v>
      </c>
      <c r="E752" s="19" t="n">
        <v>17</v>
      </c>
      <c r="F752" s="19" t="n">
        <v>1752.21</v>
      </c>
      <c r="G752" s="8" t="n">
        <f aca="false">IFERROR(INDEX('TRANS'!$B:$B,MATCH($B752,'TRANS'!$A:$A,0)),IFERROR(INDEX('TRANS'!$B:$B,MATCH(TRIM(SUBSTITUTE($B752,CHAR(160)," ")),'TRANS'!$D:$D,0)),IFERROR(INDEX('Catalog'!$A:$A,MATCH($B752,'Catalog'!$B:$B,0)),IFERROR(INDEX('Catalog'!$A:$A,MATCH(TRIM(SUBSTITUTE($B752,CHAR(160)," ")),'Catalog'!$C:$C,0)),""))))</f>
        <v>4415000</v>
      </c>
      <c r="H752" s="8" t="str">
        <f aca="false">IFERROR(INDEX('TRANS'!$C:$C,MATCH($B752,'TRANS'!$A:$A,0)),IFERROR(INDEX('Catalog'!$B:$B,MATCH($G752,'Catalog'!$A:$A,0)),$B752))</f>
        <v>26 L סד ליד דו צדדי לאחר שבר</v>
      </c>
      <c r="I752" s="8" t="str">
        <f aca="false">IF($G752="","Unmatched","Matched")</f>
        <v>Matched</v>
      </c>
      <c r="J752" s="8" t="n">
        <f aca="false">IF($G752&lt;&gt;"",$G752,$B752)</f>
        <v>4415000</v>
      </c>
      <c r="K752" s="8" t="str">
        <f aca="false">IF(COUNTIF($M$1:$M$10,$A752)&gt;0,"Y","N")</f>
        <v>Y</v>
      </c>
    </row>
    <row r="753" customFormat="false" ht="15" hidden="false" customHeight="true" outlineLevel="0" collapsed="false">
      <c r="A753" s="8" t="s">
        <v>44</v>
      </c>
      <c r="B753" s="8" t="s">
        <v>787</v>
      </c>
      <c r="C753" s="19" t="n">
        <v>3</v>
      </c>
      <c r="D753" s="19" t="n">
        <v>300.65</v>
      </c>
      <c r="E753" s="19" t="n">
        <v>9</v>
      </c>
      <c r="F753" s="19" t="n">
        <v>927.63</v>
      </c>
      <c r="G753" s="8" t="n">
        <f aca="false">IFERROR(INDEX('TRANS'!$B:$B,MATCH($B753,'TRANS'!$A:$A,0)),IFERROR(INDEX('TRANS'!$B:$B,MATCH(TRIM(SUBSTITUTE($B753,CHAR(160)," ")),'TRANS'!$D:$D,0)),IFERROR(INDEX('Catalog'!$A:$A,MATCH($B753,'Catalog'!$B:$B,0)),IFERROR(INDEX('Catalog'!$A:$A,MATCH(TRIM(SUBSTITUTE($B753,CHAR(160)," ")),'Catalog'!$C:$C,0)),""))))</f>
        <v>4415002</v>
      </c>
      <c r="H753" s="8" t="str">
        <f aca="false">IFERROR(INDEX('TRANS'!$C:$C,MATCH($B753,'TRANS'!$A:$A,0)),IFERROR(INDEX('Catalog'!$B:$B,MATCH($G753,'Catalog'!$A:$A,0)),$B753))</f>
        <v>26 S סד ליד דו צדדי לאחר שבר</v>
      </c>
      <c r="I753" s="8" t="str">
        <f aca="false">IF($G753="","Unmatched","Matched")</f>
        <v>Matched</v>
      </c>
      <c r="J753" s="8" t="n">
        <f aca="false">IF($G753&lt;&gt;"",$G753,$B753)</f>
        <v>4415002</v>
      </c>
      <c r="K753" s="8" t="str">
        <f aca="false">IF(COUNTIF($M$1:$M$10,$A753)&gt;0,"Y","N")</f>
        <v>Y</v>
      </c>
    </row>
    <row r="754" customFormat="false" ht="15" hidden="false" customHeight="true" outlineLevel="0" collapsed="false">
      <c r="A754" s="8" t="s">
        <v>44</v>
      </c>
      <c r="B754" s="8" t="s">
        <v>949</v>
      </c>
      <c r="C754" s="19" t="n">
        <v>18</v>
      </c>
      <c r="D754" s="19" t="n">
        <v>1855.27</v>
      </c>
      <c r="E754" s="19" t="n">
        <v>6</v>
      </c>
      <c r="F754" s="19" t="n">
        <v>618.43</v>
      </c>
      <c r="G754" s="8" t="n">
        <f aca="false">IFERROR(INDEX('TRANS'!$B:$B,MATCH($B754,'TRANS'!$A:$A,0)),IFERROR(INDEX('TRANS'!$B:$B,MATCH(TRIM(SUBSTITUTE($B754,CHAR(160)," ")),'TRANS'!$D:$D,0)),IFERROR(INDEX('Catalog'!$A:$A,MATCH($B754,'Catalog'!$B:$B,0)),IFERROR(INDEX('Catalog'!$A:$A,MATCH(TRIM(SUBSTITUTE($B754,CHAR(160)," ")),'Catalog'!$C:$C,0)),""))))</f>
        <v>4415003</v>
      </c>
      <c r="H754" s="8" t="str">
        <f aca="false">IFERROR(INDEX('TRANS'!$C:$C,MATCH($B754,'TRANS'!$A:$A,0)),IFERROR(INDEX('Catalog'!$B:$B,MATCH($G754,'Catalog'!$A:$A,0)),$B754))</f>
        <v>26 XL סד ליד דו צדדי לאחר שבר</v>
      </c>
      <c r="I754" s="8" t="str">
        <f aca="false">IF($G754="","Unmatched","Matched")</f>
        <v>Matched</v>
      </c>
      <c r="J754" s="8" t="n">
        <f aca="false">IF($G754&lt;&gt;"",$G754,$B754)</f>
        <v>4415003</v>
      </c>
      <c r="K754" s="8" t="str">
        <f aca="false">IF(COUNTIF($M$1:$M$10,$A754)&gt;0,"Y","N")</f>
        <v>Y</v>
      </c>
    </row>
    <row r="755" customFormat="false" ht="15" hidden="false" customHeight="true" outlineLevel="0" collapsed="false">
      <c r="A755" s="8" t="s">
        <v>44</v>
      </c>
      <c r="B755" s="8" t="s">
        <v>620</v>
      </c>
      <c r="C755" s="19" t="n">
        <v>9</v>
      </c>
      <c r="D755" s="19" t="n">
        <v>278.02</v>
      </c>
      <c r="E755" s="19" t="n">
        <v>18</v>
      </c>
      <c r="F755" s="19" t="n">
        <v>553.99</v>
      </c>
      <c r="G755" s="8" t="n">
        <f aca="false">IFERROR(INDEX('TRANS'!$B:$B,MATCH($B755,'TRANS'!$A:$A,0)),IFERROR(INDEX('TRANS'!$B:$B,MATCH(TRIM(SUBSTITUTE($B755,CHAR(160)," ")),'TRANS'!$D:$D,0)),IFERROR(INDEX('Catalog'!$A:$A,MATCH($B755,'Catalog'!$B:$B,0)),IFERROR(INDEX('Catalog'!$A:$A,MATCH(TRIM(SUBSTITUTE($B755,CHAR(160)," ")),'Catalog'!$C:$C,0)),""))))</f>
        <v>4413053</v>
      </c>
      <c r="H755" s="8" t="str">
        <f aca="false">IFERROR(INDEX('TRANS'!$C:$C,MATCH($B755,'TRANS'!$A:$A,0)),IFERROR(INDEX('Catalog'!$B:$B,MATCH($G755,'Catalog'!$A:$A,0)),$B755))</f>
        <v>35C L מגן קרסול חום</v>
      </c>
      <c r="I755" s="8" t="str">
        <f aca="false">IF($G755="","Unmatched","Matched")</f>
        <v>Matched</v>
      </c>
      <c r="J755" s="8" t="n">
        <f aca="false">IF($G755&lt;&gt;"",$G755,$B755)</f>
        <v>4413053</v>
      </c>
      <c r="K755" s="8" t="str">
        <f aca="false">IF(COUNTIF($M$1:$M$10,$A755)&gt;0,"Y","N")</f>
        <v>Y</v>
      </c>
    </row>
    <row r="756" customFormat="false" ht="15" hidden="false" customHeight="true" outlineLevel="0" collapsed="false">
      <c r="A756" s="8" t="s">
        <v>44</v>
      </c>
      <c r="B756" s="8" t="s">
        <v>699</v>
      </c>
      <c r="C756" s="19" t="n">
        <v>1</v>
      </c>
      <c r="D756" s="19" t="n">
        <v>17.29</v>
      </c>
      <c r="E756" s="19" t="n">
        <v>0</v>
      </c>
      <c r="F756" s="19" t="n">
        <v>0</v>
      </c>
      <c r="G756" s="8" t="n">
        <f aca="false">IFERROR(INDEX('TRANS'!$B:$B,MATCH($B756,'TRANS'!$A:$A,0)),IFERROR(INDEX('TRANS'!$B:$B,MATCH(TRIM(SUBSTITUTE($B756,CHAR(160)," ")),'TRANS'!$D:$D,0)),IFERROR(INDEX('Catalog'!$A:$A,MATCH($B756,'Catalog'!$B:$B,0)),IFERROR(INDEX('Catalog'!$A:$A,MATCH(TRIM(SUBSTITUTE($B756,CHAR(160)," ")),'Catalog'!$C:$C,0)),""))))</f>
        <v>4409012</v>
      </c>
      <c r="H756" s="8" t="str">
        <f aca="false">IFERROR(INDEX('TRANS'!$C:$C,MATCH($B756,'TRANS'!$A:$A,0)),IFERROR(INDEX('Catalog'!$B:$B,MATCH($G756,'Catalog'!$A:$A,0)),$B756))</f>
        <v>804AT-C      טייפ חבישה לספורט</v>
      </c>
      <c r="I756" s="8" t="str">
        <f aca="false">IF($G756="","Unmatched","Matched")</f>
        <v>Matched</v>
      </c>
      <c r="J756" s="8" t="n">
        <f aca="false">IF($G756&lt;&gt;"",$G756,$B756)</f>
        <v>4409012</v>
      </c>
      <c r="K756" s="8" t="str">
        <f aca="false">IF(COUNTIF($M$1:$M$10,$A756)&gt;0,"Y","N")</f>
        <v>Y</v>
      </c>
    </row>
    <row r="757" customFormat="false" ht="15" hidden="false" customHeight="true" outlineLevel="0" collapsed="false">
      <c r="A757" s="8" t="s">
        <v>44</v>
      </c>
      <c r="B757" s="8" t="s">
        <v>701</v>
      </c>
      <c r="C757" s="19" t="n">
        <v>3</v>
      </c>
      <c r="D757" s="19" t="n">
        <v>51.88</v>
      </c>
      <c r="E757" s="19" t="n">
        <v>0</v>
      </c>
      <c r="F757" s="19" t="n">
        <v>0</v>
      </c>
      <c r="G757" s="8" t="n">
        <f aca="false">IFERROR(INDEX('TRANS'!$B:$B,MATCH($B757,'TRANS'!$A:$A,0)),IFERROR(INDEX('TRANS'!$B:$B,MATCH(TRIM(SUBSTITUTE($B757,CHAR(160)," ")),'TRANS'!$D:$D,0)),IFERROR(INDEX('Catalog'!$A:$A,MATCH($B757,'Catalog'!$B:$B,0)),IFERROR(INDEX('Catalog'!$A:$A,MATCH(TRIM(SUBSTITUTE($B757,CHAR(160)," ")),'Catalog'!$C:$C,0)),""))))</f>
        <v>4401011</v>
      </c>
      <c r="H757" s="8" t="str">
        <f aca="false">IFERROR(INDEX('TRANS'!$C:$C,MATCH($B757,'TRANS'!$A:$A,0)),IFERROR(INDEX('Catalog'!$B:$B,MATCH($G757,'Catalog'!$A:$A,0)),$B757))</f>
        <v>805AT-Cאתלטיק טייפ בז' 20מ""""מ20</v>
      </c>
      <c r="I757" s="8" t="str">
        <f aca="false">IF($G757="","Unmatched","Matched")</f>
        <v>Matched</v>
      </c>
      <c r="J757" s="8" t="n">
        <f aca="false">IF($G757&lt;&gt;"",$G757,$B757)</f>
        <v>4401011</v>
      </c>
      <c r="K757" s="8" t="str">
        <f aca="false">IF(COUNTIF($M$1:$M$10,$A757)&gt;0,"Y","N")</f>
        <v>Y</v>
      </c>
    </row>
    <row r="758" customFormat="false" ht="15" hidden="false" customHeight="true" outlineLevel="0" collapsed="false">
      <c r="A758" s="8" t="s">
        <v>44</v>
      </c>
      <c r="B758" s="8" t="s">
        <v>950</v>
      </c>
      <c r="C758" s="19" t="n">
        <v>2</v>
      </c>
      <c r="D758" s="19" t="n">
        <v>184</v>
      </c>
      <c r="E758" s="19" t="n">
        <v>0</v>
      </c>
      <c r="F758" s="19" t="n">
        <v>0</v>
      </c>
      <c r="G758" s="8" t="n">
        <f aca="false">IFERROR(INDEX('TRANS'!$B:$B,MATCH($B758,'TRANS'!$A:$A,0)),IFERROR(INDEX('TRANS'!$B:$B,MATCH(TRIM(SUBSTITUTE($B758,CHAR(160)," ")),'TRANS'!$D:$D,0)),IFERROR(INDEX('Catalog'!$A:$A,MATCH($B758,'Catalog'!$B:$B,0)),IFERROR(INDEX('Catalog'!$A:$A,MATCH(TRIM(SUBSTITUTE($B758,CHAR(160)," ")),'Catalog'!$C:$C,0)),""))))</f>
        <v>4408245</v>
      </c>
      <c r="H758" s="8" t="str">
        <f aca="false">IFERROR(INDEX('TRANS'!$C:$C,MATCH($B758,'TRANS'!$A:$A,0)),IFERROR(INDEX('Catalog'!$B:$B,MATCH($G758,'Catalog'!$A:$A,0)),$B758))</f>
        <v>077A   XXL חגורת גב עם חיזוקים</v>
      </c>
      <c r="I758" s="8" t="str">
        <f aca="false">IF($G758="","Unmatched","Matched")</f>
        <v>Matched</v>
      </c>
      <c r="J758" s="8" t="n">
        <f aca="false">IF($G758&lt;&gt;"",$G758,$B758)</f>
        <v>4408245</v>
      </c>
      <c r="K758" s="8" t="str">
        <f aca="false">IF(COUNTIF($M$1:$M$10,$A758)&gt;0,"Y","N")</f>
        <v>Y</v>
      </c>
    </row>
    <row r="759" customFormat="false" ht="15" hidden="false" customHeight="true" outlineLevel="0" collapsed="false">
      <c r="A759" s="8" t="s">
        <v>44</v>
      </c>
      <c r="B759" s="8" t="s">
        <v>951</v>
      </c>
      <c r="C759" s="19" t="n">
        <v>11</v>
      </c>
      <c r="D759" s="19" t="n">
        <v>2302.45</v>
      </c>
      <c r="E759" s="19" t="n">
        <v>7</v>
      </c>
      <c r="F759" s="19" t="n">
        <v>1540.03</v>
      </c>
      <c r="G759" s="8" t="n">
        <f aca="false">IFERROR(INDEX('TRANS'!$B:$B,MATCH($B759,'TRANS'!$A:$A,0)),IFERROR(INDEX('TRANS'!$B:$B,MATCH(TRIM(SUBSTITUTE($B759,CHAR(160)," ")),'TRANS'!$D:$D,0)),IFERROR(INDEX('Catalog'!$A:$A,MATCH($B759,'Catalog'!$B:$B,0)),IFERROR(INDEX('Catalog'!$A:$A,MATCH(TRIM(SUBSTITUTE($B759,CHAR(160)," ")),'Catalog'!$C:$C,0)),""))))</f>
        <v>4408015</v>
      </c>
      <c r="H759" s="8" t="str">
        <f aca="false">IFERROR(INDEX('TRANS'!$C:$C,MATCH($B759,'TRANS'!$A:$A,0)),IFERROR(INDEX('Catalog'!$B:$B,MATCH($G759,'Catalog'!$A:$A,0)),$B759))</f>
        <v>07AU L ח.גב """"איטלקית"""" אורירית</v>
      </c>
      <c r="I759" s="8" t="str">
        <f aca="false">IF($G759="","Unmatched","Matched")</f>
        <v>Matched</v>
      </c>
      <c r="J759" s="8" t="n">
        <f aca="false">IF($G759&lt;&gt;"",$G759,$B759)</f>
        <v>4408015</v>
      </c>
      <c r="K759" s="8" t="str">
        <f aca="false">IF(COUNTIF($M$1:$M$10,$A759)&gt;0,"Y","N")</f>
        <v>Y</v>
      </c>
    </row>
    <row r="760" customFormat="false" ht="15" hidden="false" customHeight="true" outlineLevel="0" collapsed="false">
      <c r="A760" s="8" t="s">
        <v>44</v>
      </c>
      <c r="B760" s="8" t="s">
        <v>952</v>
      </c>
      <c r="C760" s="19" t="n">
        <v>6</v>
      </c>
      <c r="D760" s="19" t="n">
        <v>1282.45</v>
      </c>
      <c r="E760" s="19" t="n">
        <v>7</v>
      </c>
      <c r="F760" s="19" t="n">
        <v>1540.22</v>
      </c>
      <c r="G760" s="8" t="n">
        <f aca="false">IFERROR(INDEX('TRANS'!$B:$B,MATCH($B760,'TRANS'!$A:$A,0)),IFERROR(INDEX('TRANS'!$B:$B,MATCH(TRIM(SUBSTITUTE($B760,CHAR(160)," ")),'TRANS'!$D:$D,0)),IFERROR(INDEX('Catalog'!$A:$A,MATCH($B760,'Catalog'!$B:$B,0)),IFERROR(INDEX('Catalog'!$A:$A,MATCH(TRIM(SUBSTITUTE($B760,CHAR(160)," ")),'Catalog'!$C:$C,0)),""))))</f>
        <v>4408016</v>
      </c>
      <c r="H760" s="8" t="str">
        <f aca="false">IFERROR(INDEX('TRANS'!$C:$C,MATCH($B760,'TRANS'!$A:$A,0)),IFERROR(INDEX('Catalog'!$B:$B,MATCH($G760,'Catalog'!$A:$A,0)),$B760))</f>
        <v>07AU M ח.גב """"איטלקית"""" אורירית</v>
      </c>
      <c r="I760" s="8" t="str">
        <f aca="false">IF($G760="","Unmatched","Matched")</f>
        <v>Matched</v>
      </c>
      <c r="J760" s="8" t="n">
        <f aca="false">IF($G760&lt;&gt;"",$G760,$B760)</f>
        <v>4408016</v>
      </c>
      <c r="K760" s="8" t="str">
        <f aca="false">IF(COUNTIF($M$1:$M$10,$A760)&gt;0,"Y","N")</f>
        <v>Y</v>
      </c>
    </row>
    <row r="761" customFormat="false" ht="15" hidden="false" customHeight="true" outlineLevel="0" collapsed="false">
      <c r="A761" s="8" t="s">
        <v>44</v>
      </c>
      <c r="B761" s="8" t="s">
        <v>953</v>
      </c>
      <c r="C761" s="19" t="n">
        <v>20</v>
      </c>
      <c r="D761" s="19" t="n">
        <v>4162.57</v>
      </c>
      <c r="E761" s="19" t="n">
        <v>11</v>
      </c>
      <c r="F761" s="19" t="n">
        <v>2419.99</v>
      </c>
      <c r="G761" s="8" t="n">
        <f aca="false">IFERROR(INDEX('TRANS'!$B:$B,MATCH($B761,'TRANS'!$A:$A,0)),IFERROR(INDEX('TRANS'!$B:$B,MATCH(TRIM(SUBSTITUTE($B761,CHAR(160)," ")),'TRANS'!$D:$D,0)),IFERROR(INDEX('Catalog'!$A:$A,MATCH($B761,'Catalog'!$B:$B,0)),IFERROR(INDEX('Catalog'!$A:$A,MATCH(TRIM(SUBSTITUTE($B761,CHAR(160)," ")),'Catalog'!$C:$C,0)),""))))</f>
        <v>4408017</v>
      </c>
      <c r="H761" s="8" t="str">
        <f aca="false">IFERROR(INDEX('TRANS'!$C:$C,MATCH($B761,'TRANS'!$A:$A,0)),IFERROR(INDEX('Catalog'!$B:$B,MATCH($G761,'Catalog'!$A:$A,0)),$B761))</f>
        <v>07AU XL ח.גב """"איטלקית"""" אורירית</v>
      </c>
      <c r="I761" s="8" t="str">
        <f aca="false">IF($G761="","Unmatched","Matched")</f>
        <v>Matched</v>
      </c>
      <c r="J761" s="8" t="n">
        <f aca="false">IF($G761&lt;&gt;"",$G761,$B761)</f>
        <v>4408017</v>
      </c>
      <c r="K761" s="8" t="str">
        <f aca="false">IF(COUNTIF($M$1:$M$10,$A761)&gt;0,"Y","N")</f>
        <v>Y</v>
      </c>
    </row>
    <row r="762" customFormat="false" ht="15" hidden="false" customHeight="true" outlineLevel="0" collapsed="false">
      <c r="A762" s="8" t="s">
        <v>44</v>
      </c>
      <c r="B762" s="8" t="s">
        <v>954</v>
      </c>
      <c r="C762" s="19" t="n">
        <v>10</v>
      </c>
      <c r="D762" s="19" t="n">
        <v>2120.04</v>
      </c>
      <c r="E762" s="19" t="n">
        <v>8</v>
      </c>
      <c r="F762" s="19" t="n">
        <v>1760.02</v>
      </c>
      <c r="G762" s="8" t="n">
        <f aca="false">IFERROR(INDEX('TRANS'!$B:$B,MATCH($B762,'TRANS'!$A:$A,0)),IFERROR(INDEX('TRANS'!$B:$B,MATCH(TRIM(SUBSTITUTE($B762,CHAR(160)," ")),'TRANS'!$D:$D,0)),IFERROR(INDEX('Catalog'!$A:$A,MATCH($B762,'Catalog'!$B:$B,0)),IFERROR(INDEX('Catalog'!$A:$A,MATCH(TRIM(SUBSTITUTE($B762,CHAR(160)," ")),'Catalog'!$C:$C,0)),""))))</f>
        <v>4408018</v>
      </c>
      <c r="H762" s="8" t="str">
        <f aca="false">IFERROR(INDEX('TRANS'!$C:$C,MATCH($B762,'TRANS'!$A:$A,0)),IFERROR(INDEX('Catalog'!$B:$B,MATCH($G762,'Catalog'!$A:$A,0)),$B762))</f>
        <v>07AU XXL.ח.גב """"איטלקית"""" אוריר</v>
      </c>
      <c r="I762" s="8" t="str">
        <f aca="false">IF($G762="","Unmatched","Matched")</f>
        <v>Matched</v>
      </c>
      <c r="J762" s="8" t="n">
        <f aca="false">IF($G762&lt;&gt;"",$G762,$B762)</f>
        <v>4408018</v>
      </c>
      <c r="K762" s="8" t="str">
        <f aca="false">IF(COUNTIF($M$1:$M$10,$A762)&gt;0,"Y","N")</f>
        <v>Y</v>
      </c>
    </row>
    <row r="763" customFormat="false" ht="15" hidden="false" customHeight="true" outlineLevel="0" collapsed="false">
      <c r="A763" s="8" t="s">
        <v>44</v>
      </c>
      <c r="B763" s="8" t="s">
        <v>955</v>
      </c>
      <c r="C763" s="19" t="n">
        <v>1</v>
      </c>
      <c r="D763" s="19" t="n">
        <v>135.9</v>
      </c>
      <c r="E763" s="19" t="n">
        <v>0</v>
      </c>
      <c r="F763" s="19" t="n">
        <v>0</v>
      </c>
      <c r="G763" s="8" t="n">
        <f aca="false">IFERROR(INDEX('TRANS'!$B:$B,MATCH($B763,'TRANS'!$A:$A,0)),IFERROR(INDEX('TRANS'!$B:$B,MATCH(TRIM(SUBSTITUTE($B763,CHAR(160)," ")),'TRANS'!$D:$D,0)),IFERROR(INDEX('Catalog'!$A:$A,MATCH($B763,'Catalog'!$B:$B,0)),IFERROR(INDEX('Catalog'!$A:$A,MATCH(TRIM(SUBSTITUTE($B763,CHAR(160)," ")),'Catalog'!$C:$C,0)),""))))</f>
        <v>4408147</v>
      </c>
      <c r="H763" s="8" t="str">
        <f aca="false">IFERROR(INDEX('TRANS'!$C:$C,MATCH($B763,'TRANS'!$A:$A,0)),IFERROR(INDEX('Catalog'!$B:$B,MATCH($G763,'Catalog'!$A:$A,0)),$B763))</f>
        <v>11PS Lחגורה למנותחי בטן</v>
      </c>
      <c r="I763" s="8" t="str">
        <f aca="false">IF($G763="","Unmatched","Matched")</f>
        <v>Matched</v>
      </c>
      <c r="J763" s="8" t="n">
        <f aca="false">IF($G763&lt;&gt;"",$G763,$B763)</f>
        <v>4408147</v>
      </c>
      <c r="K763" s="8" t="str">
        <f aca="false">IF(COUNTIF($M$1:$M$10,$A763)&gt;0,"Y","N")</f>
        <v>Y</v>
      </c>
    </row>
    <row r="764" customFormat="false" ht="15" hidden="false" customHeight="true" outlineLevel="0" collapsed="false">
      <c r="A764" s="8" t="s">
        <v>44</v>
      </c>
      <c r="B764" s="8" t="s">
        <v>779</v>
      </c>
      <c r="C764" s="19" t="n">
        <v>5</v>
      </c>
      <c r="D764" s="19" t="n">
        <v>671.12</v>
      </c>
      <c r="E764" s="19" t="n">
        <v>0</v>
      </c>
      <c r="F764" s="19" t="n">
        <v>0</v>
      </c>
      <c r="G764" s="8" t="n">
        <f aca="false">IFERROR(INDEX('TRANS'!$B:$B,MATCH($B764,'TRANS'!$A:$A,0)),IFERROR(INDEX('TRANS'!$B:$B,MATCH(TRIM(SUBSTITUTE($B764,CHAR(160)," ")),'TRANS'!$D:$D,0)),IFERROR(INDEX('Catalog'!$A:$A,MATCH($B764,'Catalog'!$B:$B,0)),IFERROR(INDEX('Catalog'!$A:$A,MATCH(TRIM(SUBSTITUTE($B764,CHAR(160)," ")),'Catalog'!$C:$C,0)),""))))</f>
        <v>4408149</v>
      </c>
      <c r="H764" s="8" t="str">
        <f aca="false">IFERROR(INDEX('TRANS'!$C:$C,MATCH($B764,'TRANS'!$A:$A,0)),IFERROR(INDEX('Catalog'!$B:$B,MATCH($G764,'Catalog'!$A:$A,0)),$B764))</f>
        <v>11PS XXLחגורה למנותחי בטן</v>
      </c>
      <c r="I764" s="8" t="str">
        <f aca="false">IF($G764="","Unmatched","Matched")</f>
        <v>Matched</v>
      </c>
      <c r="J764" s="8" t="n">
        <f aca="false">IF($G764&lt;&gt;"",$G764,$B764)</f>
        <v>4408149</v>
      </c>
      <c r="K764" s="8" t="str">
        <f aca="false">IF(COUNTIF($M$1:$M$10,$A764)&gt;0,"Y","N")</f>
        <v>Y</v>
      </c>
    </row>
    <row r="765" customFormat="false" ht="15" hidden="false" customHeight="true" outlineLevel="0" collapsed="false">
      <c r="A765" s="8" t="s">
        <v>44</v>
      </c>
      <c r="B765" s="8" t="s">
        <v>573</v>
      </c>
      <c r="C765" s="19" t="n">
        <v>1</v>
      </c>
      <c r="D765" s="19" t="n">
        <v>140.57</v>
      </c>
      <c r="E765" s="19" t="n">
        <v>0</v>
      </c>
      <c r="F765" s="19" t="n">
        <v>0</v>
      </c>
      <c r="G765" s="8" t="n">
        <f aca="false">IFERROR(INDEX('TRANS'!$B:$B,MATCH($B765,'TRANS'!$A:$A,0)),IFERROR(INDEX('TRANS'!$B:$B,MATCH(TRIM(SUBSTITUTE($B765,CHAR(160)," ")),'TRANS'!$D:$D,0)),IFERROR(INDEX('Catalog'!$A:$A,MATCH($B765,'Catalog'!$B:$B,0)),IFERROR(INDEX('Catalog'!$A:$A,MATCH(TRIM(SUBSTITUTE($B765,CHAR(160)," ")),'Catalog'!$C:$C,0)),""))))</f>
        <v>4408131</v>
      </c>
      <c r="H765" s="8" t="str">
        <f aca="false">IFERROR(INDEX('TRANS'!$C:$C,MATCH($B765,'TRANS'!$A:$A,0)),IFERROR(INDEX('Catalog'!$B:$B,MATCH($G765,'Catalog'!$A:$A,0)),$B765))</f>
        <v>15W L חגורת צלעות לאשה</v>
      </c>
      <c r="I765" s="8" t="str">
        <f aca="false">IF($G765="","Unmatched","Matched")</f>
        <v>Matched</v>
      </c>
      <c r="J765" s="8" t="n">
        <f aca="false">IF($G765&lt;&gt;"",$G765,$B765)</f>
        <v>4408131</v>
      </c>
      <c r="K765" s="8" t="str">
        <f aca="false">IF(COUNTIF($M$1:$M$10,$A765)&gt;0,"Y","N")</f>
        <v>Y</v>
      </c>
    </row>
    <row r="766" customFormat="false" ht="15" hidden="false" customHeight="true" outlineLevel="0" collapsed="false">
      <c r="A766" s="8" t="s">
        <v>44</v>
      </c>
      <c r="B766" s="8" t="s">
        <v>317</v>
      </c>
      <c r="C766" s="19" t="n">
        <v>2</v>
      </c>
      <c r="D766" s="19" t="n">
        <v>225.57</v>
      </c>
      <c r="E766" s="19" t="n">
        <v>0</v>
      </c>
      <c r="F766" s="19" t="n">
        <v>0</v>
      </c>
      <c r="G766" s="8" t="str">
        <f aca="false">IFERROR(INDEX('TRANS'!$B:$B,MATCH($B766,'TRANS'!$A:$A,0)),IFERROR(INDEX('TRANS'!$B:$B,MATCH(TRIM(SUBSTITUTE($B766,CHAR(160)," ")),'TRANS'!$D:$D,0)),IFERROR(INDEX('Catalog'!$A:$A,MATCH($B766,'Catalog'!$B:$B,0)),IFERROR(INDEX('Catalog'!$A:$A,MATCH(TRIM(SUBSTITUTE($B766,CHAR(160)," ")),'Catalog'!$C:$C,0)),""))))</f>
        <v/>
      </c>
      <c r="H766" s="8" t="str">
        <f aca="false">IFERROR(INDEX('TRANS'!$C:$C,MATCH($B766,'TRANS'!$A:$A,0)),IFERROR(INDEX('Catalog'!$B:$B,MATCH($G766,'Catalog'!$A:$A,0)),$B766))</f>
        <v>15W XL</v>
      </c>
      <c r="I766" s="8" t="str">
        <f aca="false">IF($G766="","Unmatched","Matched")</f>
        <v>Unmatched</v>
      </c>
      <c r="J766" s="8" t="str">
        <f aca="false">IF($G766&lt;&gt;"",$G766,$B766)</f>
        <v>15W XL</v>
      </c>
      <c r="K766" s="8" t="str">
        <f aca="false">IF(COUNTIF($M$1:$M$10,$A766)&gt;0,"Y","N")</f>
        <v>Y</v>
      </c>
    </row>
    <row r="767" customFormat="false" ht="15" hidden="false" customHeight="true" outlineLevel="0" collapsed="false">
      <c r="A767" s="8" t="s">
        <v>44</v>
      </c>
      <c r="B767" s="8" t="s">
        <v>956</v>
      </c>
      <c r="C767" s="19" t="n">
        <v>13</v>
      </c>
      <c r="D767" s="19" t="n">
        <v>1331.38</v>
      </c>
      <c r="E767" s="19" t="n">
        <v>12</v>
      </c>
      <c r="F767" s="19" t="n">
        <v>1236.85</v>
      </c>
      <c r="G767" s="8" t="n">
        <f aca="false">IFERROR(INDEX('TRANS'!$B:$B,MATCH($B767,'TRANS'!$A:$A,0)),IFERROR(INDEX('TRANS'!$B:$B,MATCH(TRIM(SUBSTITUTE($B767,CHAR(160)," ")),'TRANS'!$D:$D,0)),IFERROR(INDEX('Catalog'!$A:$A,MATCH($B767,'Catalog'!$B:$B,0)),IFERROR(INDEX('Catalog'!$A:$A,MATCH(TRIM(SUBSTITUTE($B767,CHAR(160)," ")),'Catalog'!$C:$C,0)),""))))</f>
        <v>4415001</v>
      </c>
      <c r="H767" s="8" t="str">
        <f aca="false">IFERROR(INDEX('TRANS'!$C:$C,MATCH($B767,'TRANS'!$A:$A,0)),IFERROR(INDEX('Catalog'!$B:$B,MATCH($G767,'Catalog'!$A:$A,0)),$B767))</f>
        <v>26 M סד ליד דו צדדי לאחר שבר</v>
      </c>
      <c r="I767" s="8" t="str">
        <f aca="false">IF($G767="","Unmatched","Matched")</f>
        <v>Matched</v>
      </c>
      <c r="J767" s="8" t="n">
        <f aca="false">IF($G767&lt;&gt;"",$G767,$B767)</f>
        <v>4415001</v>
      </c>
      <c r="K767" s="8" t="str">
        <f aca="false">IF(COUNTIF($M$1:$M$10,$A767)&gt;0,"Y","N")</f>
        <v>Y</v>
      </c>
    </row>
    <row r="768" customFormat="false" ht="15" hidden="false" customHeight="true" outlineLevel="0" collapsed="false">
      <c r="A768" s="8" t="s">
        <v>44</v>
      </c>
      <c r="B768" s="8" t="s">
        <v>591</v>
      </c>
      <c r="C768" s="19" t="n">
        <v>4</v>
      </c>
      <c r="D768" s="19" t="n">
        <v>412.29</v>
      </c>
      <c r="E768" s="19" t="n">
        <v>3</v>
      </c>
      <c r="F768" s="19" t="n">
        <v>309.22</v>
      </c>
      <c r="G768" s="8" t="n">
        <f aca="false">IFERROR(INDEX('TRANS'!$B:$B,MATCH($B768,'TRANS'!$A:$A,0)),IFERROR(INDEX('TRANS'!$B:$B,MATCH(TRIM(SUBSTITUTE($B768,CHAR(160)," ")),'TRANS'!$D:$D,0)),IFERROR(INDEX('Catalog'!$A:$A,MATCH($B768,'Catalog'!$B:$B,0)),IFERROR(INDEX('Catalog'!$A:$A,MATCH(TRIM(SUBSTITUTE($B768,CHAR(160)," ")),'Catalog'!$C:$C,0)),""))))</f>
        <v>4415004</v>
      </c>
      <c r="H768" s="8" t="str">
        <f aca="false">IFERROR(INDEX('TRANS'!$C:$C,MATCH($B768,'TRANS'!$A:$A,0)),IFERROR(INDEX('Catalog'!$B:$B,MATCH($G768,'Catalog'!$A:$A,0)),$B768))</f>
        <v>26 XXL סד ליד דו צדדי לאחר שבר</v>
      </c>
      <c r="I768" s="8" t="str">
        <f aca="false">IF($G768="","Unmatched","Matched")</f>
        <v>Matched</v>
      </c>
      <c r="J768" s="8" t="n">
        <f aca="false">IF($G768&lt;&gt;"",$G768,$B768)</f>
        <v>4415004</v>
      </c>
      <c r="K768" s="8" t="str">
        <f aca="false">IF(COUNTIF($M$1:$M$10,$A768)&gt;0,"Y","N")</f>
        <v>Y</v>
      </c>
    </row>
    <row r="769" customFormat="false" ht="15" hidden="false" customHeight="true" outlineLevel="0" collapsed="false">
      <c r="A769" s="8" t="s">
        <v>44</v>
      </c>
      <c r="B769" s="8" t="s">
        <v>957</v>
      </c>
      <c r="C769" s="19" t="n">
        <v>10</v>
      </c>
      <c r="D769" s="19" t="n">
        <v>1015.84</v>
      </c>
      <c r="E769" s="19" t="n">
        <v>8</v>
      </c>
      <c r="F769" s="19" t="n">
        <v>824.57</v>
      </c>
      <c r="G769" s="8" t="n">
        <f aca="false">IFERROR(INDEX('TRANS'!$B:$B,MATCH($B769,'TRANS'!$A:$A,0)),IFERROR(INDEX('TRANS'!$B:$B,MATCH(TRIM(SUBSTITUTE($B769,CHAR(160)," ")),'TRANS'!$D:$D,0)),IFERROR(INDEX('Catalog'!$A:$A,MATCH($B769,'Catalog'!$B:$B,0)),IFERROR(INDEX('Catalog'!$A:$A,MATCH(TRIM(SUBSTITUTE($B769,CHAR(160)," ")),'Catalog'!$C:$C,0)),""))))</f>
        <v>4415005</v>
      </c>
      <c r="H769" s="8" t="str">
        <f aca="false">IFERROR(INDEX('TRANS'!$C:$C,MATCH($B769,'TRANS'!$A:$A,0)),IFERROR(INDEX('Catalog'!$B:$B,MATCH($G769,'Catalog'!$A:$A,0)),$B769))</f>
        <v>28 L סד לאגודל לאחר שבר</v>
      </c>
      <c r="I769" s="8" t="str">
        <f aca="false">IF($G769="","Unmatched","Matched")</f>
        <v>Matched</v>
      </c>
      <c r="J769" s="8" t="n">
        <f aca="false">IF($G769&lt;&gt;"",$G769,$B769)</f>
        <v>4415005</v>
      </c>
      <c r="K769" s="8" t="str">
        <f aca="false">IF(COUNTIF($M$1:$M$10,$A769)&gt;0,"Y","N")</f>
        <v>Y</v>
      </c>
    </row>
    <row r="770" customFormat="false" ht="15" hidden="false" customHeight="true" outlineLevel="0" collapsed="false">
      <c r="A770" s="8" t="s">
        <v>44</v>
      </c>
      <c r="B770" s="8" t="s">
        <v>594</v>
      </c>
      <c r="C770" s="19" t="n">
        <v>10</v>
      </c>
      <c r="D770" s="19" t="n">
        <v>1015.85</v>
      </c>
      <c r="E770" s="19" t="n">
        <v>4</v>
      </c>
      <c r="F770" s="19" t="n">
        <v>412.28</v>
      </c>
      <c r="G770" s="8" t="n">
        <f aca="false">IFERROR(INDEX('TRANS'!$B:$B,MATCH($B770,'TRANS'!$A:$A,0)),IFERROR(INDEX('TRANS'!$B:$B,MATCH(TRIM(SUBSTITUTE($B770,CHAR(160)," ")),'TRANS'!$D:$D,0)),IFERROR(INDEX('Catalog'!$A:$A,MATCH($B770,'Catalog'!$B:$B,0)),IFERROR(INDEX('Catalog'!$A:$A,MATCH(TRIM(SUBSTITUTE($B770,CHAR(160)," ")),'Catalog'!$C:$C,0)),""))))</f>
        <v>4415006</v>
      </c>
      <c r="H770" s="8" t="str">
        <f aca="false">IFERROR(INDEX('TRANS'!$C:$C,MATCH($B770,'TRANS'!$A:$A,0)),IFERROR(INDEX('Catalog'!$B:$B,MATCH($G770,'Catalog'!$A:$A,0)),$B770))</f>
        <v>28 M סד לאגודל לאחר שבר</v>
      </c>
      <c r="I770" s="8" t="str">
        <f aca="false">IF($G770="","Unmatched","Matched")</f>
        <v>Matched</v>
      </c>
      <c r="J770" s="8" t="n">
        <f aca="false">IF($G770&lt;&gt;"",$G770,$B770)</f>
        <v>4415006</v>
      </c>
      <c r="K770" s="8" t="str">
        <f aca="false">IF(COUNTIF($M$1:$M$10,$A770)&gt;0,"Y","N")</f>
        <v>Y</v>
      </c>
    </row>
    <row r="771" customFormat="false" ht="15" hidden="false" customHeight="true" outlineLevel="0" collapsed="false">
      <c r="A771" s="8" t="s">
        <v>44</v>
      </c>
      <c r="B771" s="8" t="s">
        <v>958</v>
      </c>
      <c r="C771" s="19" t="n">
        <v>6</v>
      </c>
      <c r="D771" s="19" t="n">
        <v>618.41</v>
      </c>
      <c r="E771" s="19" t="n">
        <v>3</v>
      </c>
      <c r="F771" s="19" t="n">
        <v>309.21</v>
      </c>
      <c r="G771" s="8" t="n">
        <f aca="false">IFERROR(INDEX('TRANS'!$B:$B,MATCH($B771,'TRANS'!$A:$A,0)),IFERROR(INDEX('TRANS'!$B:$B,MATCH(TRIM(SUBSTITUTE($B771,CHAR(160)," ")),'TRANS'!$D:$D,0)),IFERROR(INDEX('Catalog'!$A:$A,MATCH($B771,'Catalog'!$B:$B,0)),IFERROR(INDEX('Catalog'!$A:$A,MATCH(TRIM(SUBSTITUTE($B771,CHAR(160)," ")),'Catalog'!$C:$C,0)),""))))</f>
        <v>4415007</v>
      </c>
      <c r="H771" s="8" t="str">
        <f aca="false">IFERROR(INDEX('TRANS'!$C:$C,MATCH($B771,'TRANS'!$A:$A,0)),IFERROR(INDEX('Catalog'!$B:$B,MATCH($G771,'Catalog'!$A:$A,0)),$B771))</f>
        <v>28 S סד לאגודל לאחר שבר</v>
      </c>
      <c r="I771" s="8" t="str">
        <f aca="false">IF($G771="","Unmatched","Matched")</f>
        <v>Matched</v>
      </c>
      <c r="J771" s="8" t="n">
        <f aca="false">IF($G771&lt;&gt;"",$G771,$B771)</f>
        <v>4415007</v>
      </c>
      <c r="K771" s="8" t="str">
        <f aca="false">IF(COUNTIF($M$1:$M$10,$A771)&gt;0,"Y","N")</f>
        <v>Y</v>
      </c>
    </row>
    <row r="772" customFormat="false" ht="15" hidden="false" customHeight="true" outlineLevel="0" collapsed="false">
      <c r="A772" s="8" t="s">
        <v>44</v>
      </c>
      <c r="B772" s="8" t="s">
        <v>959</v>
      </c>
      <c r="C772" s="19" t="n">
        <v>2</v>
      </c>
      <c r="D772" s="19" t="n">
        <v>191.27</v>
      </c>
      <c r="E772" s="19" t="n">
        <v>3</v>
      </c>
      <c r="F772" s="19" t="n">
        <v>309.21</v>
      </c>
      <c r="G772" s="8" t="n">
        <f aca="false">IFERROR(INDEX('TRANS'!$B:$B,MATCH($B772,'TRANS'!$A:$A,0)),IFERROR(INDEX('TRANS'!$B:$B,MATCH(TRIM(SUBSTITUTE($B772,CHAR(160)," ")),'TRANS'!$D:$D,0)),IFERROR(INDEX('Catalog'!$A:$A,MATCH($B772,'Catalog'!$B:$B,0)),IFERROR(INDEX('Catalog'!$A:$A,MATCH(TRIM(SUBSTITUTE($B772,CHAR(160)," ")),'Catalog'!$C:$C,0)),""))))</f>
        <v>4415008</v>
      </c>
      <c r="H772" s="8" t="str">
        <f aca="false">IFERROR(INDEX('TRANS'!$C:$C,MATCH($B772,'TRANS'!$A:$A,0)),IFERROR(INDEX('Catalog'!$B:$B,MATCH($G772,'Catalog'!$A:$A,0)),$B772))</f>
        <v>28 XL סד לאגודל לאחר שבר</v>
      </c>
      <c r="I772" s="8" t="str">
        <f aca="false">IF($G772="","Unmatched","Matched")</f>
        <v>Matched</v>
      </c>
      <c r="J772" s="8" t="n">
        <f aca="false">IF($G772&lt;&gt;"",$G772,$B772)</f>
        <v>4415008</v>
      </c>
      <c r="K772" s="8" t="str">
        <f aca="false">IF(COUNTIF($M$1:$M$10,$A772)&gt;0,"Y","N")</f>
        <v>Y</v>
      </c>
    </row>
    <row r="773" customFormat="false" ht="15" hidden="false" customHeight="true" outlineLevel="0" collapsed="false">
      <c r="A773" s="8" t="s">
        <v>44</v>
      </c>
      <c r="B773" s="8" t="s">
        <v>960</v>
      </c>
      <c r="C773" s="19" t="n">
        <v>3</v>
      </c>
      <c r="D773" s="19" t="n">
        <v>212.29</v>
      </c>
      <c r="E773" s="19" t="n">
        <v>11</v>
      </c>
      <c r="F773" s="19" t="n">
        <v>893.06</v>
      </c>
      <c r="G773" s="8" t="n">
        <f aca="false">IFERROR(INDEX('TRANS'!$B:$B,MATCH($B773,'TRANS'!$A:$A,0)),IFERROR(INDEX('TRANS'!$B:$B,MATCH(TRIM(SUBSTITUTE($B773,CHAR(160)," ")),'TRANS'!$D:$D,0)),IFERROR(INDEX('Catalog'!$A:$A,MATCH($B773,'Catalog'!$B:$B,0)),IFERROR(INDEX('Catalog'!$A:$A,MATCH(TRIM(SUBSTITUTE($B773,CHAR(160)," ")),'Catalog'!$C:$C,0)),""))))</f>
        <v>4416002</v>
      </c>
      <c r="H773" s="8" t="str">
        <f aca="false">IFERROR(INDEX('TRANS'!$C:$C,MATCH($B773,'TRANS'!$A:$A,0)),IFERROR(INDEX('Catalog'!$B:$B,MATCH($G773,'Catalog'!$A:$A,0)),$B773))</f>
        <v>307 S עקבים לדורבן-זוג כריות</v>
      </c>
      <c r="I773" s="8" t="str">
        <f aca="false">IF($G773="","Unmatched","Matched")</f>
        <v>Matched</v>
      </c>
      <c r="J773" s="8" t="n">
        <f aca="false">IF($G773&lt;&gt;"",$G773,$B773)</f>
        <v>4416002</v>
      </c>
      <c r="K773" s="8" t="str">
        <f aca="false">IF(COUNTIF($M$1:$M$10,$A773)&gt;0,"Y","N")</f>
        <v>Y</v>
      </c>
    </row>
    <row r="774" customFormat="false" ht="15" hidden="false" customHeight="true" outlineLevel="0" collapsed="false">
      <c r="A774" s="8" t="s">
        <v>44</v>
      </c>
      <c r="B774" s="8" t="s">
        <v>610</v>
      </c>
      <c r="C774" s="19" t="n">
        <v>11</v>
      </c>
      <c r="D774" s="19" t="n">
        <v>805.94</v>
      </c>
      <c r="E774" s="19" t="n">
        <v>4</v>
      </c>
      <c r="F774" s="19" t="n">
        <v>279.99</v>
      </c>
      <c r="G774" s="8" t="n">
        <f aca="false">IFERROR(INDEX('TRANS'!$B:$B,MATCH($B774,'TRANS'!$A:$A,0)),IFERROR(INDEX('TRANS'!$B:$B,MATCH(TRIM(SUBSTITUTE($B774,CHAR(160)," ")),'TRANS'!$D:$D,0)),IFERROR(INDEX('Catalog'!$A:$A,MATCH($B774,'Catalog'!$B:$B,0)),IFERROR(INDEX('Catalog'!$A:$A,MATCH(TRIM(SUBSTITUTE($B774,CHAR(160)," ")),'Catalog'!$C:$C,0)),""))))</f>
        <v>4413347</v>
      </c>
      <c r="H774" s="8" t="str">
        <f aca="false">IFERROR(INDEX('TRANS'!$C:$C,MATCH($B774,'TRANS'!$A:$A,0)),IFERROR(INDEX('Catalog'!$B:$B,MATCH($G774,'Catalog'!$A:$A,0)),$B774))</f>
        <v>322-L מגן קרסול+כרית סילקון</v>
      </c>
      <c r="I774" s="8" t="str">
        <f aca="false">IF($G774="","Unmatched","Matched")</f>
        <v>Matched</v>
      </c>
      <c r="J774" s="8" t="n">
        <f aca="false">IF($G774&lt;&gt;"",$G774,$B774)</f>
        <v>4413347</v>
      </c>
      <c r="K774" s="8" t="str">
        <f aca="false">IF(COUNTIF($M$1:$M$10,$A774)&gt;0,"Y","N")</f>
        <v>Y</v>
      </c>
    </row>
    <row r="775" customFormat="false" ht="15" hidden="false" customHeight="true" outlineLevel="0" collapsed="false">
      <c r="A775" s="8" t="s">
        <v>44</v>
      </c>
      <c r="B775" s="8" t="s">
        <v>866</v>
      </c>
      <c r="C775" s="19" t="n">
        <v>5</v>
      </c>
      <c r="D775" s="19" t="n">
        <v>378</v>
      </c>
      <c r="E775" s="19" t="n">
        <v>7</v>
      </c>
      <c r="F775" s="19" t="n">
        <v>489.98</v>
      </c>
      <c r="G775" s="8" t="n">
        <f aca="false">IFERROR(INDEX('TRANS'!$B:$B,MATCH($B775,'TRANS'!$A:$A,0)),IFERROR(INDEX('TRANS'!$B:$B,MATCH(TRIM(SUBSTITUTE($B775,CHAR(160)," ")),'TRANS'!$D:$D,0)),IFERROR(INDEX('Catalog'!$A:$A,MATCH($B775,'Catalog'!$B:$B,0)),IFERROR(INDEX('Catalog'!$A:$A,MATCH(TRIM(SUBSTITUTE($B775,CHAR(160)," ")),'Catalog'!$C:$C,0)),""))))</f>
        <v>4413337</v>
      </c>
      <c r="H775" s="8" t="str">
        <f aca="false">IFERROR(INDEX('TRANS'!$C:$C,MATCH($B775,'TRANS'!$A:$A,0)),IFERROR(INDEX('Catalog'!$B:$B,MATCH($G775,'Catalog'!$A:$A,0)),$B775))</f>
        <v>322XL מגן קרסול+כרית סילקון</v>
      </c>
      <c r="I775" s="8" t="str">
        <f aca="false">IF($G775="","Unmatched","Matched")</f>
        <v>Matched</v>
      </c>
      <c r="J775" s="8" t="n">
        <f aca="false">IF($G775&lt;&gt;"",$G775,$B775)</f>
        <v>4413337</v>
      </c>
      <c r="K775" s="8" t="str">
        <f aca="false">IF(COUNTIF($M$1:$M$10,$A775)&gt;0,"Y","N")</f>
        <v>Y</v>
      </c>
    </row>
    <row r="776" customFormat="false" ht="15" hidden="false" customHeight="true" outlineLevel="0" collapsed="false">
      <c r="A776" s="8" t="s">
        <v>44</v>
      </c>
      <c r="B776" s="8" t="s">
        <v>163</v>
      </c>
      <c r="C776" s="19" t="n">
        <v>12</v>
      </c>
      <c r="D776" s="19" t="n">
        <v>1130.23</v>
      </c>
      <c r="E776" s="19" t="n">
        <v>7</v>
      </c>
      <c r="F776" s="19" t="n">
        <v>489.98</v>
      </c>
      <c r="G776" s="8" t="str">
        <f aca="false">IFERROR(INDEX('TRANS'!$B:$B,MATCH($B776,'TRANS'!$A:$A,0)),IFERROR(INDEX('TRANS'!$B:$B,MATCH(TRIM(SUBSTITUTE($B776,CHAR(160)," ")),'TRANS'!$D:$D,0)),IFERROR(INDEX('Catalog'!$A:$A,MATCH($B776,'Catalog'!$B:$B,0)),IFERROR(INDEX('Catalog'!$A:$A,MATCH(TRIM(SUBSTITUTE($B776,CHAR(160)," ")),'Catalog'!$C:$C,0)),""))))</f>
        <v/>
      </c>
      <c r="H776" s="8" t="str">
        <f aca="false">IFERROR(INDEX('TRANS'!$C:$C,MATCH($B776,'TRANS'!$A:$A,0)),IFERROR(INDEX('Catalog'!$B:$B,MATCH($G776,'Catalog'!$A:$A,0)),$B776))</f>
        <v>322B M</v>
      </c>
      <c r="I776" s="8" t="str">
        <f aca="false">IF($G776="","Unmatched","Matched")</f>
        <v>Unmatched</v>
      </c>
      <c r="J776" s="8" t="str">
        <f aca="false">IF($G776&lt;&gt;"",$G776,$B776)</f>
        <v>322B M</v>
      </c>
      <c r="K776" s="8" t="str">
        <f aca="false">IF(COUNTIF($M$1:$M$10,$A776)&gt;0,"Y","N")</f>
        <v>Y</v>
      </c>
    </row>
    <row r="777" customFormat="false" ht="15" hidden="false" customHeight="true" outlineLevel="0" collapsed="false">
      <c r="A777" s="8" t="s">
        <v>44</v>
      </c>
      <c r="B777" s="8" t="s">
        <v>867</v>
      </c>
      <c r="C777" s="19" t="n">
        <v>9</v>
      </c>
      <c r="D777" s="19" t="n">
        <v>905.94</v>
      </c>
      <c r="E777" s="19" t="n">
        <v>0</v>
      </c>
      <c r="F777" s="19" t="n">
        <v>0</v>
      </c>
      <c r="G777" s="8" t="n">
        <f aca="false">IFERROR(INDEX('TRANS'!$B:$B,MATCH($B777,'TRANS'!$A:$A,0)),IFERROR(INDEX('TRANS'!$B:$B,MATCH(TRIM(SUBSTITUTE($B777,CHAR(160)," ")),'TRANS'!$D:$D,0)),IFERROR(INDEX('Catalog'!$A:$A,MATCH($B777,'Catalog'!$B:$B,0)),IFERROR(INDEX('Catalog'!$A:$A,MATCH(TRIM(SUBSTITUTE($B777,CHAR(160)," ")),'Catalog'!$C:$C,0)),""))))</f>
        <v>4415019</v>
      </c>
      <c r="H777" s="8" t="str">
        <f aca="false">IFERROR(INDEX('TRANS'!$C:$C,MATCH($B777,'TRANS'!$A:$A,0)),IFERROR(INDEX('Catalog'!$B:$B,MATCH($G777,'Catalog'!$A:$A,0)),$B777))</f>
        <v>333 סד לקרסול עם כריות אויר</v>
      </c>
      <c r="I777" s="8" t="str">
        <f aca="false">IF($G777="","Unmatched","Matched")</f>
        <v>Matched</v>
      </c>
      <c r="J777" s="8" t="n">
        <f aca="false">IF($G777&lt;&gt;"",$G777,$B777)</f>
        <v>4415019</v>
      </c>
      <c r="K777" s="8" t="str">
        <f aca="false">IF(COUNTIF($M$1:$M$10,$A777)&gt;0,"Y","N")</f>
        <v>Y</v>
      </c>
    </row>
    <row r="778" customFormat="false" ht="15" hidden="false" customHeight="true" outlineLevel="0" collapsed="false">
      <c r="A778" s="8" t="s">
        <v>44</v>
      </c>
      <c r="B778" s="8" t="s">
        <v>649</v>
      </c>
      <c r="C778" s="19" t="n">
        <v>18</v>
      </c>
      <c r="D778" s="19" t="n">
        <v>835.6</v>
      </c>
      <c r="E778" s="19" t="n">
        <v>19</v>
      </c>
      <c r="F778" s="19" t="n">
        <v>892.28</v>
      </c>
      <c r="G778" s="8" t="n">
        <f aca="false">IFERROR(INDEX('TRANS'!$B:$B,MATCH($B778,'TRANS'!$A:$A,0)),IFERROR(INDEX('TRANS'!$B:$B,MATCH(TRIM(SUBSTITUTE($B778,CHAR(160)," ")),'TRANS'!$D:$D,0)),IFERROR(INDEX('Catalog'!$A:$A,MATCH($B778,'Catalog'!$B:$B,0)),IFERROR(INDEX('Catalog'!$A:$A,MATCH(TRIM(SUBSTITUTE($B778,CHAR(160)," ")),'Catalog'!$C:$C,0)),""))))</f>
        <v>4413452</v>
      </c>
      <c r="H778" s="8" t="str">
        <f aca="false">IFERROR(INDEX('TRANS'!$C:$C,MATCH($B778,'TRANS'!$A:$A,0)),IFERROR(INDEX('Catalog'!$B:$B,MATCH($G778,'Catalog'!$A:$A,0)),$B778))</f>
        <v>386  מיישר בוניון-האלוקס ולגוס</v>
      </c>
      <c r="I778" s="8" t="str">
        <f aca="false">IF($G778="","Unmatched","Matched")</f>
        <v>Matched</v>
      </c>
      <c r="J778" s="8" t="n">
        <f aca="false">IF($G778&lt;&gt;"",$G778,$B778)</f>
        <v>4413452</v>
      </c>
      <c r="K778" s="8" t="str">
        <f aca="false">IF(COUNTIF($M$1:$M$10,$A778)&gt;0,"Y","N")</f>
        <v>Y</v>
      </c>
    </row>
    <row r="779" customFormat="false" ht="15" hidden="false" customHeight="true" outlineLevel="0" collapsed="false">
      <c r="A779" s="8" t="s">
        <v>44</v>
      </c>
      <c r="B779" s="8" t="s">
        <v>671</v>
      </c>
      <c r="C779" s="19" t="n">
        <v>19</v>
      </c>
      <c r="D779" s="19" t="n">
        <v>1791.61</v>
      </c>
      <c r="E779" s="19" t="n">
        <v>12</v>
      </c>
      <c r="F779" s="19" t="n">
        <v>1135.62</v>
      </c>
      <c r="G779" s="8" t="n">
        <f aca="false">IFERROR(INDEX('TRANS'!$B:$B,MATCH($B779,'TRANS'!$A:$A,0)),IFERROR(INDEX('TRANS'!$B:$B,MATCH(TRIM(SUBSTITUTE($B779,CHAR(160)," ")),'TRANS'!$D:$D,0)),IFERROR(INDEX('Catalog'!$A:$A,MATCH($B779,'Catalog'!$B:$B,0)),IFERROR(INDEX('Catalog'!$A:$A,MATCH(TRIM(SUBSTITUTE($B779,CHAR(160)," ")),'Catalog'!$C:$C,0)),""))))</f>
        <v>4420017</v>
      </c>
      <c r="H779" s="8" t="str">
        <f aca="false">IFERROR(INDEX('TRANS'!$C:$C,MATCH($B779,'TRANS'!$A:$A,0)),IFERROR(INDEX('Catalog'!$B:$B,MATCH($G779,'Catalog'!$A:$A,0)),$B779))</f>
        <v>4022 רצועת """"פיקה""""+כרית</v>
      </c>
      <c r="I779" s="8" t="str">
        <f aca="false">IF($G779="","Unmatched","Matched")</f>
        <v>Matched</v>
      </c>
      <c r="J779" s="8" t="n">
        <f aca="false">IF($G779&lt;&gt;"",$G779,$B779)</f>
        <v>4420017</v>
      </c>
      <c r="K779" s="8" t="str">
        <f aca="false">IF(COUNTIF($M$1:$M$10,$A779)&gt;0,"Y","N")</f>
        <v>Y</v>
      </c>
    </row>
    <row r="780" customFormat="false" ht="15" hidden="false" customHeight="true" outlineLevel="0" collapsed="false">
      <c r="A780" s="8" t="s">
        <v>44</v>
      </c>
      <c r="B780" s="8" t="s">
        <v>236</v>
      </c>
      <c r="C780" s="19" t="n">
        <v>4</v>
      </c>
      <c r="D780" s="19" t="n">
        <v>662.76</v>
      </c>
      <c r="E780" s="19" t="n">
        <v>0</v>
      </c>
      <c r="F780" s="19" t="n">
        <v>0</v>
      </c>
      <c r="G780" s="8" t="str">
        <f aca="false">IFERROR(INDEX('TRANS'!$B:$B,MATCH($B780,'TRANS'!$A:$A,0)),IFERROR(INDEX('TRANS'!$B:$B,MATCH(TRIM(SUBSTITUTE($B780,CHAR(160)," ")),'TRANS'!$D:$D,0)),IFERROR(INDEX('Catalog'!$A:$A,MATCH($B780,'Catalog'!$B:$B,0)),IFERROR(INDEX('Catalog'!$A:$A,MATCH(TRIM(SUBSTITUTE($B780,CHAR(160)," ")),'Catalog'!$C:$C,0)),""))))</f>
        <v/>
      </c>
      <c r="H780" s="8" t="str">
        <f aca="false">IFERROR(INDEX('TRANS'!$C:$C,MATCH($B780,'TRANS'!$A:$A,0)),IFERROR(INDEX('Catalog'!$B:$B,MATCH($G780,'Catalog'!$A:$A,0)),$B780))</f>
        <v>422E XL</v>
      </c>
      <c r="I780" s="8" t="str">
        <f aca="false">IF($G780="","Unmatched","Matched")</f>
        <v>Unmatched</v>
      </c>
      <c r="J780" s="8" t="str">
        <f aca="false">IF($G780&lt;&gt;"",$G780,$B780)</f>
        <v>422E XL</v>
      </c>
      <c r="K780" s="8" t="str">
        <f aca="false">IF(COUNTIF($M$1:$M$10,$A780)&gt;0,"Y","N")</f>
        <v>Y</v>
      </c>
    </row>
    <row r="781" customFormat="false" ht="15" hidden="false" customHeight="true" outlineLevel="0" collapsed="false">
      <c r="A781" s="8" t="s">
        <v>44</v>
      </c>
      <c r="B781" s="8" t="s">
        <v>269</v>
      </c>
      <c r="C781" s="19" t="n">
        <v>5</v>
      </c>
      <c r="D781" s="19" t="n">
        <v>941.51</v>
      </c>
      <c r="E781" s="19" t="n">
        <v>1</v>
      </c>
      <c r="F781" s="19" t="n">
        <v>203.38</v>
      </c>
      <c r="G781" s="8" t="str">
        <f aca="false">IFERROR(INDEX('TRANS'!$B:$B,MATCH($B781,'TRANS'!$A:$A,0)),IFERROR(INDEX('TRANS'!$B:$B,MATCH(TRIM(SUBSTITUTE($B781,CHAR(160)," ")),'TRANS'!$D:$D,0)),IFERROR(INDEX('Catalog'!$A:$A,MATCH($B781,'Catalog'!$B:$B,0)),IFERROR(INDEX('Catalog'!$A:$A,MATCH(TRIM(SUBSTITUTE($B781,CHAR(160)," ")),'Catalog'!$C:$C,0)),""))))</f>
        <v/>
      </c>
      <c r="H781" s="8" t="str">
        <f aca="false">IFERROR(INDEX('TRANS'!$C:$C,MATCH($B781,'TRANS'!$A:$A,0)),IFERROR(INDEX('Catalog'!$B:$B,MATCH($G781,'Catalog'!$A:$A,0)),$B781))</f>
        <v>422E XXL</v>
      </c>
      <c r="I781" s="8" t="str">
        <f aca="false">IF($G781="","Unmatched","Matched")</f>
        <v>Unmatched</v>
      </c>
      <c r="J781" s="8" t="str">
        <f aca="false">IF($G781&lt;&gt;"",$G781,$B781)</f>
        <v>422E XXL</v>
      </c>
      <c r="K781" s="8" t="str">
        <f aca="false">IF(COUNTIF($M$1:$M$10,$A781)&gt;0,"Y","N")</f>
        <v>Y</v>
      </c>
    </row>
    <row r="782" customFormat="false" ht="15" hidden="false" customHeight="true" outlineLevel="0" collapsed="false">
      <c r="A782" s="8" t="s">
        <v>44</v>
      </c>
      <c r="B782" s="8" t="s">
        <v>961</v>
      </c>
      <c r="C782" s="19" t="n">
        <v>5</v>
      </c>
      <c r="D782" s="19" t="n">
        <v>640</v>
      </c>
      <c r="E782" s="19" t="n">
        <v>2</v>
      </c>
      <c r="F782" s="19" t="n">
        <v>406.76</v>
      </c>
      <c r="G782" s="8" t="n">
        <f aca="false">IFERROR(INDEX('TRANS'!$B:$B,MATCH($B782,'TRANS'!$A:$A,0)),IFERROR(INDEX('TRANS'!$B:$B,MATCH(TRIM(SUBSTITUTE($B782,CHAR(160)," ")),'TRANS'!$D:$D,0)),IFERROR(INDEX('Catalog'!$A:$A,MATCH($B782,'Catalog'!$B:$B,0)),IFERROR(INDEX('Catalog'!$A:$A,MATCH(TRIM(SUBSTITUTE($B782,CHAR(160)," ")),'Catalog'!$C:$C,0)),""))))</f>
        <v>4413284</v>
      </c>
      <c r="H782" s="8" t="str">
        <f aca="false">IFERROR(INDEX('TRANS'!$C:$C,MATCH($B782,'TRANS'!$A:$A,0)),IFERROR(INDEX('Catalog'!$B:$B,MATCH($G782,'Catalog'!$A:$A,0)),$B782))</f>
        <v>422E XXXL מגן ברך ארוך עם כרית</v>
      </c>
      <c r="I782" s="8" t="str">
        <f aca="false">IF($G782="","Unmatched","Matched")</f>
        <v>Matched</v>
      </c>
      <c r="J782" s="8" t="n">
        <f aca="false">IF($G782&lt;&gt;"",$G782,$B782)</f>
        <v>4413284</v>
      </c>
      <c r="K782" s="8" t="str">
        <f aca="false">IF(COUNTIF($M$1:$M$10,$A782)&gt;0,"Y","N")</f>
        <v>Y</v>
      </c>
    </row>
    <row r="783" customFormat="false" ht="15" hidden="false" customHeight="true" outlineLevel="0" collapsed="false">
      <c r="A783" s="8" t="s">
        <v>44</v>
      </c>
      <c r="B783" s="8" t="s">
        <v>146</v>
      </c>
      <c r="C783" s="19" t="n">
        <v>0</v>
      </c>
      <c r="D783" s="19" t="n">
        <v>0</v>
      </c>
      <c r="E783" s="19" t="n">
        <v>1</v>
      </c>
      <c r="F783" s="19" t="n">
        <v>203.38</v>
      </c>
      <c r="G783" s="8" t="str">
        <f aca="false">IFERROR(INDEX('TRANS'!$B:$B,MATCH($B783,'TRANS'!$A:$A,0)),IFERROR(INDEX('TRANS'!$B:$B,MATCH(TRIM(SUBSTITUTE($B783,CHAR(160)," ")),'TRANS'!$D:$D,0)),IFERROR(INDEX('Catalog'!$A:$A,MATCH($B783,'Catalog'!$B:$B,0)),IFERROR(INDEX('Catalog'!$A:$A,MATCH(TRIM(SUBSTITUTE($B783,CHAR(160)," ")),'Catalog'!$C:$C,0)),""))))</f>
        <v/>
      </c>
      <c r="H783" s="8" t="str">
        <f aca="false">IFERROR(INDEX('TRANS'!$C:$C,MATCH($B783,'TRANS'!$A:$A,0)),IFERROR(INDEX('Catalog'!$B:$B,MATCH($G783,'Catalog'!$A:$A,0)),$B783))</f>
        <v>422EB L</v>
      </c>
      <c r="I783" s="8" t="str">
        <f aca="false">IF($G783="","Unmatched","Matched")</f>
        <v>Unmatched</v>
      </c>
      <c r="J783" s="8" t="str">
        <f aca="false">IF($G783&lt;&gt;"",$G783,$B783)</f>
        <v>422EB L</v>
      </c>
      <c r="K783" s="8" t="str">
        <f aca="false">IF(COUNTIF($M$1:$M$10,$A783)&gt;0,"Y","N")</f>
        <v>Y</v>
      </c>
    </row>
    <row r="784" customFormat="false" ht="15" hidden="false" customHeight="true" outlineLevel="0" collapsed="false">
      <c r="A784" s="8" t="s">
        <v>44</v>
      </c>
      <c r="B784" s="8" t="s">
        <v>270</v>
      </c>
      <c r="C784" s="19" t="n">
        <v>0</v>
      </c>
      <c r="D784" s="19" t="n">
        <v>0</v>
      </c>
      <c r="E784" s="19" t="n">
        <v>1</v>
      </c>
      <c r="F784" s="19" t="n">
        <v>203.38</v>
      </c>
      <c r="G784" s="8" t="str">
        <f aca="false">IFERROR(INDEX('TRANS'!$B:$B,MATCH($B784,'TRANS'!$A:$A,0)),IFERROR(INDEX('TRANS'!$B:$B,MATCH(TRIM(SUBSTITUTE($B784,CHAR(160)," ")),'TRANS'!$D:$D,0)),IFERROR(INDEX('Catalog'!$A:$A,MATCH($B784,'Catalog'!$B:$B,0)),IFERROR(INDEX('Catalog'!$A:$A,MATCH(TRIM(SUBSTITUTE($B784,CHAR(160)," ")),'Catalog'!$C:$C,0)),""))))</f>
        <v/>
      </c>
      <c r="H784" s="8" t="str">
        <f aca="false">IFERROR(INDEX('TRANS'!$C:$C,MATCH($B784,'TRANS'!$A:$A,0)),IFERROR(INDEX('Catalog'!$B:$B,MATCH($G784,'Catalog'!$A:$A,0)),$B784))</f>
        <v>422EB XL</v>
      </c>
      <c r="I784" s="8" t="str">
        <f aca="false">IF($G784="","Unmatched","Matched")</f>
        <v>Unmatched</v>
      </c>
      <c r="J784" s="8" t="str">
        <f aca="false">IF($G784&lt;&gt;"",$G784,$B784)</f>
        <v>422EB XL</v>
      </c>
      <c r="K784" s="8" t="str">
        <f aca="false">IF(COUNTIF($M$1:$M$10,$A784)&gt;0,"Y","N")</f>
        <v>Y</v>
      </c>
    </row>
    <row r="785" customFormat="false" ht="15" hidden="false" customHeight="true" outlineLevel="0" collapsed="false">
      <c r="A785" s="8" t="s">
        <v>44</v>
      </c>
      <c r="B785" s="8" t="s">
        <v>399</v>
      </c>
      <c r="C785" s="19" t="n">
        <v>1</v>
      </c>
      <c r="D785" s="19" t="n">
        <v>330.88</v>
      </c>
      <c r="E785" s="19" t="n">
        <v>0</v>
      </c>
      <c r="F785" s="19" t="n">
        <v>0</v>
      </c>
      <c r="G785" s="8" t="str">
        <f aca="false">IFERROR(INDEX('TRANS'!$B:$B,MATCH($B785,'TRANS'!$A:$A,0)),IFERROR(INDEX('TRANS'!$B:$B,MATCH(TRIM(SUBSTITUTE($B785,CHAR(160)," ")),'TRANS'!$D:$D,0)),IFERROR(INDEX('Catalog'!$A:$A,MATCH($B785,'Catalog'!$B:$B,0)),IFERROR(INDEX('Catalog'!$A:$A,MATCH(TRIM(SUBSTITUTE($B785,CHAR(160)," ")),'Catalog'!$C:$C,0)),""))))</f>
        <v/>
      </c>
      <c r="H785" s="8" t="str">
        <f aca="false">IFERROR(INDEX('TRANS'!$C:$C,MATCH($B785,'TRANS'!$A:$A,0)),IFERROR(INDEX('Catalog'!$B:$B,MATCH($G785,'Catalog'!$A:$A,0)),$B785))</f>
        <v>422ED L</v>
      </c>
      <c r="I785" s="8" t="str">
        <f aca="false">IF($G785="","Unmatched","Matched")</f>
        <v>Unmatched</v>
      </c>
      <c r="J785" s="8" t="str">
        <f aca="false">IF($G785&lt;&gt;"",$G785,$B785)</f>
        <v>422ED L</v>
      </c>
      <c r="K785" s="8" t="str">
        <f aca="false">IF(COUNTIF($M$1:$M$10,$A785)&gt;0,"Y","N")</f>
        <v>Y</v>
      </c>
    </row>
    <row r="786" customFormat="false" ht="15" hidden="false" customHeight="true" outlineLevel="0" collapsed="false">
      <c r="A786" s="8" t="s">
        <v>44</v>
      </c>
      <c r="B786" s="8" t="s">
        <v>334</v>
      </c>
      <c r="C786" s="19" t="n">
        <v>1</v>
      </c>
      <c r="D786" s="19" t="n">
        <v>330.88</v>
      </c>
      <c r="E786" s="19" t="n">
        <v>1</v>
      </c>
      <c r="F786" s="19" t="n">
        <v>330.88</v>
      </c>
      <c r="G786" s="8" t="str">
        <f aca="false">IFERROR(INDEX('TRANS'!$B:$B,MATCH($B786,'TRANS'!$A:$A,0)),IFERROR(INDEX('TRANS'!$B:$B,MATCH(TRIM(SUBSTITUTE($B786,CHAR(160)," ")),'TRANS'!$D:$D,0)),IFERROR(INDEX('Catalog'!$A:$A,MATCH($B786,'Catalog'!$B:$B,0)),IFERROR(INDEX('Catalog'!$A:$A,MATCH(TRIM(SUBSTITUTE($B786,CHAR(160)," ")),'Catalog'!$C:$C,0)),""))))</f>
        <v/>
      </c>
      <c r="H786" s="8" t="str">
        <f aca="false">IFERROR(INDEX('TRANS'!$C:$C,MATCH($B786,'TRANS'!$A:$A,0)),IFERROR(INDEX('Catalog'!$B:$B,MATCH($G786,'Catalog'!$A:$A,0)),$B786))</f>
        <v>422ED XL</v>
      </c>
      <c r="I786" s="8" t="str">
        <f aca="false">IF($G786="","Unmatched","Matched")</f>
        <v>Unmatched</v>
      </c>
      <c r="J786" s="8" t="str">
        <f aca="false">IF($G786&lt;&gt;"",$G786,$B786)</f>
        <v>422ED XL</v>
      </c>
      <c r="K786" s="8" t="str">
        <f aca="false">IF(COUNTIF($M$1:$M$10,$A786)&gt;0,"Y","N")</f>
        <v>Y</v>
      </c>
    </row>
    <row r="787" customFormat="false" ht="15" hidden="false" customHeight="true" outlineLevel="0" collapsed="false">
      <c r="A787" s="8" t="s">
        <v>44</v>
      </c>
      <c r="B787" s="8" t="s">
        <v>437</v>
      </c>
      <c r="C787" s="19" t="n">
        <v>3</v>
      </c>
      <c r="D787" s="19" t="n">
        <v>285</v>
      </c>
      <c r="E787" s="19" t="n">
        <v>0</v>
      </c>
      <c r="F787" s="19" t="n">
        <v>0</v>
      </c>
      <c r="G787" s="8" t="str">
        <f aca="false">IFERROR(INDEX('TRANS'!$B:$B,MATCH($B787,'TRANS'!$A:$A,0)),IFERROR(INDEX('TRANS'!$B:$B,MATCH(TRIM(SUBSTITUTE($B787,CHAR(160)," ")),'TRANS'!$D:$D,0)),IFERROR(INDEX('Catalog'!$A:$A,MATCH($B787,'Catalog'!$B:$B,0)),IFERROR(INDEX('Catalog'!$A:$A,MATCH(TRIM(SUBSTITUTE($B787,CHAR(160)," ")),'Catalog'!$C:$C,0)),""))))</f>
        <v/>
      </c>
      <c r="H787" s="8" t="str">
        <f aca="false">IFERROR(INDEX('TRANS'!$C:$C,MATCH($B787,'TRANS'!$A:$A,0)),IFERROR(INDEX('Catalog'!$B:$B,MATCH($G787,'Catalog'!$A:$A,0)),$B787))</f>
        <v>422EBU L</v>
      </c>
      <c r="I787" s="8" t="str">
        <f aca="false">IF($G787="","Unmatched","Matched")</f>
        <v>Unmatched</v>
      </c>
      <c r="J787" s="8" t="str">
        <f aca="false">IF($G787&lt;&gt;"",$G787,$B787)</f>
        <v>422EBU L</v>
      </c>
      <c r="K787" s="8" t="str">
        <f aca="false">IF(COUNTIF($M$1:$M$10,$A787)&gt;0,"Y","N")</f>
        <v>Y</v>
      </c>
    </row>
    <row r="788" customFormat="false" ht="15" hidden="false" customHeight="true" outlineLevel="0" collapsed="false">
      <c r="A788" s="8" t="s">
        <v>44</v>
      </c>
      <c r="B788" s="8" t="s">
        <v>438</v>
      </c>
      <c r="C788" s="19" t="n">
        <v>3</v>
      </c>
      <c r="D788" s="19" t="n">
        <v>285</v>
      </c>
      <c r="E788" s="19" t="n">
        <v>0</v>
      </c>
      <c r="F788" s="19" t="n">
        <v>0</v>
      </c>
      <c r="G788" s="8" t="str">
        <f aca="false">IFERROR(INDEX('TRANS'!$B:$B,MATCH($B788,'TRANS'!$A:$A,0)),IFERROR(INDEX('TRANS'!$B:$B,MATCH(TRIM(SUBSTITUTE($B788,CHAR(160)," ")),'TRANS'!$D:$D,0)),IFERROR(INDEX('Catalog'!$A:$A,MATCH($B788,'Catalog'!$B:$B,0)),IFERROR(INDEX('Catalog'!$A:$A,MATCH(TRIM(SUBSTITUTE($B788,CHAR(160)," ")),'Catalog'!$C:$C,0)),""))))</f>
        <v/>
      </c>
      <c r="H788" s="8" t="str">
        <f aca="false">IFERROR(INDEX('TRANS'!$C:$C,MATCH($B788,'TRANS'!$A:$A,0)),IFERROR(INDEX('Catalog'!$B:$B,MATCH($G788,'Catalog'!$A:$A,0)),$B788))</f>
        <v>422EBU M</v>
      </c>
      <c r="I788" s="8" t="str">
        <f aca="false">IF($G788="","Unmatched","Matched")</f>
        <v>Unmatched</v>
      </c>
      <c r="J788" s="8" t="str">
        <f aca="false">IF($G788&lt;&gt;"",$G788,$B788)</f>
        <v>422EBU M</v>
      </c>
      <c r="K788" s="8" t="str">
        <f aca="false">IF(COUNTIF($M$1:$M$10,$A788)&gt;0,"Y","N")</f>
        <v>Y</v>
      </c>
    </row>
    <row r="789" customFormat="false" ht="15" hidden="false" customHeight="true" outlineLevel="0" collapsed="false">
      <c r="A789" s="8" t="s">
        <v>44</v>
      </c>
      <c r="B789" s="8" t="s">
        <v>439</v>
      </c>
      <c r="C789" s="19" t="n">
        <v>2</v>
      </c>
      <c r="D789" s="19" t="n">
        <v>190</v>
      </c>
      <c r="E789" s="19" t="n">
        <v>0</v>
      </c>
      <c r="F789" s="19" t="n">
        <v>0</v>
      </c>
      <c r="G789" s="8" t="str">
        <f aca="false">IFERROR(INDEX('TRANS'!$B:$B,MATCH($B789,'TRANS'!$A:$A,0)),IFERROR(INDEX('TRANS'!$B:$B,MATCH(TRIM(SUBSTITUTE($B789,CHAR(160)," ")),'TRANS'!$D:$D,0)),IFERROR(INDEX('Catalog'!$A:$A,MATCH($B789,'Catalog'!$B:$B,0)),IFERROR(INDEX('Catalog'!$A:$A,MATCH(TRIM(SUBSTITUTE($B789,CHAR(160)," ")),'Catalog'!$C:$C,0)),""))))</f>
        <v/>
      </c>
      <c r="H789" s="8" t="str">
        <f aca="false">IFERROR(INDEX('TRANS'!$C:$C,MATCH($B789,'TRANS'!$A:$A,0)),IFERROR(INDEX('Catalog'!$B:$B,MATCH($G789,'Catalog'!$A:$A,0)),$B789))</f>
        <v>422EBU XXL</v>
      </c>
      <c r="I789" s="8" t="str">
        <f aca="false">IF($G789="","Unmatched","Matched")</f>
        <v>Unmatched</v>
      </c>
      <c r="J789" s="8" t="str">
        <f aca="false">IF($G789&lt;&gt;"",$G789,$B789)</f>
        <v>422EBU XXL</v>
      </c>
      <c r="K789" s="8" t="str">
        <f aca="false">IF(COUNTIF($M$1:$M$10,$A789)&gt;0,"Y","N")</f>
        <v>Y</v>
      </c>
    </row>
    <row r="790" customFormat="false" ht="15" hidden="false" customHeight="true" outlineLevel="0" collapsed="false">
      <c r="A790" s="8" t="s">
        <v>44</v>
      </c>
      <c r="B790" s="8" t="s">
        <v>440</v>
      </c>
      <c r="C790" s="19" t="n">
        <v>2</v>
      </c>
      <c r="D790" s="19" t="n">
        <v>170</v>
      </c>
      <c r="E790" s="19" t="n">
        <v>0</v>
      </c>
      <c r="F790" s="19" t="n">
        <v>0</v>
      </c>
      <c r="G790" s="8" t="str">
        <f aca="false">IFERROR(INDEX('TRANS'!$B:$B,MATCH($B790,'TRANS'!$A:$A,0)),IFERROR(INDEX('TRANS'!$B:$B,MATCH(TRIM(SUBSTITUTE($B790,CHAR(160)," ")),'TRANS'!$D:$D,0)),IFERROR(INDEX('Catalog'!$A:$A,MATCH($B790,'Catalog'!$B:$B,0)),IFERROR(INDEX('Catalog'!$A:$A,MATCH(TRIM(SUBSTITUTE($B790,CHAR(160)," ")),'Catalog'!$C:$C,0)),""))))</f>
        <v/>
      </c>
      <c r="H790" s="8" t="str">
        <f aca="false">IFERROR(INDEX('TRANS'!$C:$C,MATCH($B790,'TRANS'!$A:$A,0)),IFERROR(INDEX('Catalog'!$B:$B,MATCH($G790,'Catalog'!$A:$A,0)),$B790))</f>
        <v>422EU L</v>
      </c>
      <c r="I790" s="8" t="str">
        <f aca="false">IF($G790="","Unmatched","Matched")</f>
        <v>Unmatched</v>
      </c>
      <c r="J790" s="8" t="str">
        <f aca="false">IF($G790&lt;&gt;"",$G790,$B790)</f>
        <v>422EU L</v>
      </c>
      <c r="K790" s="8" t="str">
        <f aca="false">IF(COUNTIF($M$1:$M$10,$A790)&gt;0,"Y","N")</f>
        <v>Y</v>
      </c>
    </row>
    <row r="791" customFormat="false" ht="15" hidden="false" customHeight="true" outlineLevel="0" collapsed="false">
      <c r="A791" s="8" t="s">
        <v>44</v>
      </c>
      <c r="B791" s="8" t="s">
        <v>441</v>
      </c>
      <c r="C791" s="19" t="n">
        <v>8</v>
      </c>
      <c r="D791" s="19" t="n">
        <v>690</v>
      </c>
      <c r="E791" s="19" t="n">
        <v>0</v>
      </c>
      <c r="F791" s="19" t="n">
        <v>0</v>
      </c>
      <c r="G791" s="8" t="str">
        <f aca="false">IFERROR(INDEX('TRANS'!$B:$B,MATCH($B791,'TRANS'!$A:$A,0)),IFERROR(INDEX('TRANS'!$B:$B,MATCH(TRIM(SUBSTITUTE($B791,CHAR(160)," ")),'TRANS'!$D:$D,0)),IFERROR(INDEX('Catalog'!$A:$A,MATCH($B791,'Catalog'!$B:$B,0)),IFERROR(INDEX('Catalog'!$A:$A,MATCH(TRIM(SUBSTITUTE($B791,CHAR(160)," ")),'Catalog'!$C:$C,0)),""))))</f>
        <v/>
      </c>
      <c r="H791" s="8" t="str">
        <f aca="false">IFERROR(INDEX('TRANS'!$C:$C,MATCH($B791,'TRANS'!$A:$A,0)),IFERROR(INDEX('Catalog'!$B:$B,MATCH($G791,'Catalog'!$A:$A,0)),$B791))</f>
        <v>422EU M</v>
      </c>
      <c r="I791" s="8" t="str">
        <f aca="false">IF($G791="","Unmatched","Matched")</f>
        <v>Unmatched</v>
      </c>
      <c r="J791" s="8" t="str">
        <f aca="false">IF($G791&lt;&gt;"",$G791,$B791)</f>
        <v>422EU M</v>
      </c>
      <c r="K791" s="8" t="str">
        <f aca="false">IF(COUNTIF($M$1:$M$10,$A791)&gt;0,"Y","N")</f>
        <v>Y</v>
      </c>
    </row>
    <row r="792" customFormat="false" ht="15" hidden="false" customHeight="true" outlineLevel="0" collapsed="false">
      <c r="A792" s="8" t="s">
        <v>44</v>
      </c>
      <c r="B792" s="8" t="s">
        <v>442</v>
      </c>
      <c r="C792" s="19" t="n">
        <v>13</v>
      </c>
      <c r="D792" s="19" t="n">
        <v>1156.02</v>
      </c>
      <c r="E792" s="19" t="n">
        <v>0</v>
      </c>
      <c r="F792" s="19" t="n">
        <v>0</v>
      </c>
      <c r="G792" s="8" t="str">
        <f aca="false">IFERROR(INDEX('TRANS'!$B:$B,MATCH($B792,'TRANS'!$A:$A,0)),IFERROR(INDEX('TRANS'!$B:$B,MATCH(TRIM(SUBSTITUTE($B792,CHAR(160)," ")),'TRANS'!$D:$D,0)),IFERROR(INDEX('Catalog'!$A:$A,MATCH($B792,'Catalog'!$B:$B,0)),IFERROR(INDEX('Catalog'!$A:$A,MATCH(TRIM(SUBSTITUTE($B792,CHAR(160)," ")),'Catalog'!$C:$C,0)),""))))</f>
        <v/>
      </c>
      <c r="H792" s="8" t="str">
        <f aca="false">IFERROR(INDEX('TRANS'!$C:$C,MATCH($B792,'TRANS'!$A:$A,0)),IFERROR(INDEX('Catalog'!$B:$B,MATCH($G792,'Catalog'!$A:$A,0)),$B792))</f>
        <v>422EU XL</v>
      </c>
      <c r="I792" s="8" t="str">
        <f aca="false">IF($G792="","Unmatched","Matched")</f>
        <v>Unmatched</v>
      </c>
      <c r="J792" s="8" t="str">
        <f aca="false">IF($G792&lt;&gt;"",$G792,$B792)</f>
        <v>422EU XL</v>
      </c>
      <c r="K792" s="8" t="str">
        <f aca="false">IF(COUNTIF($M$1:$M$10,$A792)&gt;0,"Y","N")</f>
        <v>Y</v>
      </c>
    </row>
    <row r="793" customFormat="false" ht="15" hidden="false" customHeight="true" outlineLevel="0" collapsed="false">
      <c r="A793" s="8" t="s">
        <v>44</v>
      </c>
      <c r="B793" s="8" t="s">
        <v>443</v>
      </c>
      <c r="C793" s="19" t="n">
        <v>10</v>
      </c>
      <c r="D793" s="19" t="n">
        <v>864.8</v>
      </c>
      <c r="E793" s="19" t="n">
        <v>0</v>
      </c>
      <c r="F793" s="19" t="n">
        <v>0</v>
      </c>
      <c r="G793" s="8" t="str">
        <f aca="false">IFERROR(INDEX('TRANS'!$B:$B,MATCH($B793,'TRANS'!$A:$A,0)),IFERROR(INDEX('TRANS'!$B:$B,MATCH(TRIM(SUBSTITUTE($B793,CHAR(160)," ")),'TRANS'!$D:$D,0)),IFERROR(INDEX('Catalog'!$A:$A,MATCH($B793,'Catalog'!$B:$B,0)),IFERROR(INDEX('Catalog'!$A:$A,MATCH(TRIM(SUBSTITUTE($B793,CHAR(160)," ")),'Catalog'!$C:$C,0)),""))))</f>
        <v/>
      </c>
      <c r="H793" s="8" t="str">
        <f aca="false">IFERROR(INDEX('TRANS'!$C:$C,MATCH($B793,'TRANS'!$A:$A,0)),IFERROR(INDEX('Catalog'!$B:$B,MATCH($G793,'Catalog'!$A:$A,0)),$B793))</f>
        <v>422EU XXL</v>
      </c>
      <c r="I793" s="8" t="str">
        <f aca="false">IF($G793="","Unmatched","Matched")</f>
        <v>Unmatched</v>
      </c>
      <c r="J793" s="8" t="str">
        <f aca="false">IF($G793&lt;&gt;"",$G793,$B793)</f>
        <v>422EU XXL</v>
      </c>
      <c r="K793" s="8" t="str">
        <f aca="false">IF(COUNTIF($M$1:$M$10,$A793)&gt;0,"Y","N")</f>
        <v>Y</v>
      </c>
    </row>
    <row r="794" customFormat="false" ht="15" hidden="false" customHeight="true" outlineLevel="0" collapsed="false">
      <c r="A794" s="8" t="s">
        <v>44</v>
      </c>
      <c r="B794" s="8" t="s">
        <v>444</v>
      </c>
      <c r="C794" s="19" t="n">
        <v>1</v>
      </c>
      <c r="D794" s="19" t="n">
        <v>118</v>
      </c>
      <c r="E794" s="19" t="n">
        <v>0</v>
      </c>
      <c r="F794" s="19" t="n">
        <v>0</v>
      </c>
      <c r="G794" s="8" t="str">
        <f aca="false">IFERROR(INDEX('TRANS'!$B:$B,MATCH($B794,'TRANS'!$A:$A,0)),IFERROR(INDEX('TRANS'!$B:$B,MATCH(TRIM(SUBSTITUTE($B794,CHAR(160)," ")),'TRANS'!$D:$D,0)),IFERROR(INDEX('Catalog'!$A:$A,MATCH($B794,'Catalog'!$B:$B,0)),IFERROR(INDEX('Catalog'!$A:$A,MATCH(TRIM(SUBSTITUTE($B794,CHAR(160)," ")),'Catalog'!$C:$C,0)),""))))</f>
        <v/>
      </c>
      <c r="H794" s="8" t="str">
        <f aca="false">IFERROR(INDEX('TRANS'!$C:$C,MATCH($B794,'TRANS'!$A:$A,0)),IFERROR(INDEX('Catalog'!$B:$B,MATCH($G794,'Catalog'!$A:$A,0)),$B794))</f>
        <v>422N L</v>
      </c>
      <c r="I794" s="8" t="str">
        <f aca="false">IF($G794="","Unmatched","Matched")</f>
        <v>Unmatched</v>
      </c>
      <c r="J794" s="8" t="str">
        <f aca="false">IF($G794&lt;&gt;"",$G794,$B794)</f>
        <v>422N L</v>
      </c>
      <c r="K794" s="8" t="str">
        <f aca="false">IF(COUNTIF($M$1:$M$10,$A794)&gt;0,"Y","N")</f>
        <v>Y</v>
      </c>
    </row>
    <row r="795" customFormat="false" ht="15" hidden="false" customHeight="true" outlineLevel="0" collapsed="false">
      <c r="A795" s="8" t="s">
        <v>44</v>
      </c>
      <c r="B795" s="8" t="s">
        <v>445</v>
      </c>
      <c r="C795" s="19" t="n">
        <v>1</v>
      </c>
      <c r="D795" s="19" t="n">
        <v>118</v>
      </c>
      <c r="E795" s="19" t="n">
        <v>0</v>
      </c>
      <c r="F795" s="19" t="n">
        <v>0</v>
      </c>
      <c r="G795" s="8" t="str">
        <f aca="false">IFERROR(INDEX('TRANS'!$B:$B,MATCH($B795,'TRANS'!$A:$A,0)),IFERROR(INDEX('TRANS'!$B:$B,MATCH(TRIM(SUBSTITUTE($B795,CHAR(160)," ")),'TRANS'!$D:$D,0)),IFERROR(INDEX('Catalog'!$A:$A,MATCH($B795,'Catalog'!$B:$B,0)),IFERROR(INDEX('Catalog'!$A:$A,MATCH(TRIM(SUBSTITUTE($B795,CHAR(160)," ")),'Catalog'!$C:$C,0)),""))))</f>
        <v/>
      </c>
      <c r="H795" s="8" t="str">
        <f aca="false">IFERROR(INDEX('TRANS'!$C:$C,MATCH($B795,'TRANS'!$A:$A,0)),IFERROR(INDEX('Catalog'!$B:$B,MATCH($G795,'Catalog'!$A:$A,0)),$B795))</f>
        <v>422N S</v>
      </c>
      <c r="I795" s="8" t="str">
        <f aca="false">IF($G795="","Unmatched","Matched")</f>
        <v>Unmatched</v>
      </c>
      <c r="J795" s="8" t="str">
        <f aca="false">IF($G795&lt;&gt;"",$G795,$B795)</f>
        <v>422N S</v>
      </c>
      <c r="K795" s="8" t="str">
        <f aca="false">IF(COUNTIF($M$1:$M$10,$A795)&gt;0,"Y","N")</f>
        <v>Y</v>
      </c>
    </row>
    <row r="796" customFormat="false" ht="15" hidden="false" customHeight="true" outlineLevel="0" collapsed="false">
      <c r="A796" s="8" t="s">
        <v>44</v>
      </c>
      <c r="B796" s="8" t="s">
        <v>446</v>
      </c>
      <c r="C796" s="19" t="n">
        <v>3</v>
      </c>
      <c r="D796" s="19" t="n">
        <v>492.89</v>
      </c>
      <c r="E796" s="19" t="n">
        <v>0</v>
      </c>
      <c r="F796" s="19" t="n">
        <v>0</v>
      </c>
      <c r="G796" s="8" t="str">
        <f aca="false">IFERROR(INDEX('TRANS'!$B:$B,MATCH($B796,'TRANS'!$A:$A,0)),IFERROR(INDEX('TRANS'!$B:$B,MATCH(TRIM(SUBSTITUTE($B796,CHAR(160)," ")),'TRANS'!$D:$D,0)),IFERROR(INDEX('Catalog'!$A:$A,MATCH($B796,'Catalog'!$B:$B,0)),IFERROR(INDEX('Catalog'!$A:$A,MATCH(TRIM(SUBSTITUTE($B796,CHAR(160)," ")),'Catalog'!$C:$C,0)),""))))</f>
        <v/>
      </c>
      <c r="H796" s="8" t="str">
        <f aca="false">IFERROR(INDEX('TRANS'!$C:$C,MATCH($B796,'TRANS'!$A:$A,0)),IFERROR(INDEX('Catalog'!$B:$B,MATCH($G796,'Catalog'!$A:$A,0)),$B796))</f>
        <v>422N XL</v>
      </c>
      <c r="I796" s="8" t="str">
        <f aca="false">IF($G796="","Unmatched","Matched")</f>
        <v>Unmatched</v>
      </c>
      <c r="J796" s="8" t="str">
        <f aca="false">IF($G796&lt;&gt;"",$G796,$B796)</f>
        <v>422N XL</v>
      </c>
      <c r="K796" s="8" t="str">
        <f aca="false">IF(COUNTIF($M$1:$M$10,$A796)&gt;0,"Y","N")</f>
        <v>Y</v>
      </c>
    </row>
    <row r="797" customFormat="false" ht="15" hidden="false" customHeight="true" outlineLevel="0" collapsed="false">
      <c r="A797" s="8" t="s">
        <v>44</v>
      </c>
      <c r="B797" s="8" t="s">
        <v>818</v>
      </c>
      <c r="C797" s="19" t="n">
        <v>5</v>
      </c>
      <c r="D797" s="19" t="n">
        <v>675.38</v>
      </c>
      <c r="E797" s="19" t="n">
        <v>5</v>
      </c>
      <c r="F797" s="19" t="n">
        <v>675.38</v>
      </c>
      <c r="G797" s="8" t="n">
        <f aca="false">IFERROR(INDEX('TRANS'!$B:$B,MATCH($B797,'TRANS'!$A:$A,0)),IFERROR(INDEX('TRANS'!$B:$B,MATCH(TRIM(SUBSTITUTE($B797,CHAR(160)," ")),'TRANS'!$D:$D,0)),IFERROR(INDEX('Catalog'!$A:$A,MATCH($B797,'Catalog'!$B:$B,0)),IFERROR(INDEX('Catalog'!$A:$A,MATCH(TRIM(SUBSTITUTE($B797,CHAR(160)," ")),'Catalog'!$C:$C,0)),""))))</f>
        <v>4408082</v>
      </c>
      <c r="H797" s="8" t="str">
        <f aca="false">IFERROR(INDEX('TRANS'!$C:$C,MATCH($B797,'TRANS'!$A:$A,0)),IFERROR(INDEX('Catalog'!$B:$B,MATCH($G797,'Catalog'!$A:$A,0)),$B797))</f>
        <v>59R XL חגורת שבר לצד ימין</v>
      </c>
      <c r="I797" s="8" t="str">
        <f aca="false">IF($G797="","Unmatched","Matched")</f>
        <v>Matched</v>
      </c>
      <c r="J797" s="8" t="n">
        <f aca="false">IF($G797&lt;&gt;"",$G797,$B797)</f>
        <v>4408082</v>
      </c>
      <c r="K797" s="8" t="str">
        <f aca="false">IF(COUNTIF($M$1:$M$10,$A797)&gt;0,"Y","N")</f>
        <v>Y</v>
      </c>
    </row>
    <row r="798" customFormat="false" ht="15" hidden="false" customHeight="true" outlineLevel="0" collapsed="false">
      <c r="A798" s="8" t="s">
        <v>44</v>
      </c>
      <c r="B798" s="8" t="s">
        <v>157</v>
      </c>
      <c r="C798" s="19" t="n">
        <v>23</v>
      </c>
      <c r="D798" s="19" t="n">
        <v>1429.58</v>
      </c>
      <c r="E798" s="19" t="n">
        <v>1</v>
      </c>
      <c r="F798" s="19" t="n">
        <v>66.51</v>
      </c>
      <c r="G798" s="8" t="str">
        <f aca="false">IFERROR(INDEX('TRANS'!$B:$B,MATCH($B798,'TRANS'!$A:$A,0)),IFERROR(INDEX('TRANS'!$B:$B,MATCH(TRIM(SUBSTITUTE($B798,CHAR(160)," ")),'TRANS'!$D:$D,0)),IFERROR(INDEX('Catalog'!$A:$A,MATCH($B798,'Catalog'!$B:$B,0)),IFERROR(INDEX('Catalog'!$A:$A,MATCH(TRIM(SUBSTITUTE($B798,CHAR(160)," ")),'Catalog'!$C:$C,0)),""))))</f>
        <v/>
      </c>
      <c r="H798" s="8" t="str">
        <f aca="false">IFERROR(INDEX('TRANS'!$C:$C,MATCH($B798,'TRANS'!$A:$A,0)),IFERROR(INDEX('Catalog'!$B:$B,MATCH($G798,'Catalog'!$A:$A,0)),$B798))</f>
        <v>63 S</v>
      </c>
      <c r="I798" s="8" t="str">
        <f aca="false">IF($G798="","Unmatched","Matched")</f>
        <v>Unmatched</v>
      </c>
      <c r="J798" s="8" t="str">
        <f aca="false">IF($G798&lt;&gt;"",$G798,$B798)</f>
        <v>63 S</v>
      </c>
      <c r="K798" s="8" t="str">
        <f aca="false">IF(COUNTIF($M$1:$M$10,$A798)&gt;0,"Y","N")</f>
        <v>Y</v>
      </c>
    </row>
    <row r="799" customFormat="false" ht="15" hidden="false" customHeight="true" outlineLevel="0" collapsed="false">
      <c r="A799" s="8" t="s">
        <v>44</v>
      </c>
      <c r="B799" s="8" t="s">
        <v>556</v>
      </c>
      <c r="C799" s="19" t="n">
        <v>9</v>
      </c>
      <c r="D799" s="19" t="n">
        <v>1463.31</v>
      </c>
      <c r="E799" s="19" t="n">
        <v>9</v>
      </c>
      <c r="F799" s="19" t="n">
        <v>1465.16</v>
      </c>
      <c r="G799" s="8" t="n">
        <f aca="false">IFERROR(INDEX('TRANS'!$B:$B,MATCH($B799,'TRANS'!$A:$A,0)),IFERROR(INDEX('TRANS'!$B:$B,MATCH(TRIM(SUBSTITUTE($B799,CHAR(160)," ")),'TRANS'!$D:$D,0)),IFERROR(INDEX('Catalog'!$A:$A,MATCH($B799,'Catalog'!$B:$B,0)),IFERROR(INDEX('Catalog'!$A:$A,MATCH(TRIM(SUBSTITUTE($B799,CHAR(160)," ")),'Catalog'!$C:$C,0)),""))))</f>
        <v>4413127</v>
      </c>
      <c r="H799" s="8" t="str">
        <f aca="false">IFERROR(INDEX('TRANS'!$C:$C,MATCH($B799,'TRANS'!$A:$A,0)),IFERROR(INDEX('Catalog'!$B:$B,MATCH($G799,'Catalog'!$A:$A,0)),$B799))</f>
        <v>75 Lמיישר כתף יציב יישור גב צר</v>
      </c>
      <c r="I799" s="8" t="str">
        <f aca="false">IF($G799="","Unmatched","Matched")</f>
        <v>Matched</v>
      </c>
      <c r="J799" s="8" t="n">
        <f aca="false">IF($G799&lt;&gt;"",$G799,$B799)</f>
        <v>4413127</v>
      </c>
      <c r="K799" s="8" t="str">
        <f aca="false">IF(COUNTIF($M$1:$M$10,$A799)&gt;0,"Y","N")</f>
        <v>Y</v>
      </c>
    </row>
    <row r="800" customFormat="false" ht="15" hidden="false" customHeight="true" outlineLevel="0" collapsed="false">
      <c r="A800" s="8" t="s">
        <v>44</v>
      </c>
      <c r="B800" s="8" t="s">
        <v>557</v>
      </c>
      <c r="C800" s="19" t="n">
        <v>6</v>
      </c>
      <c r="D800" s="19" t="n">
        <v>971.28</v>
      </c>
      <c r="E800" s="19" t="n">
        <v>1</v>
      </c>
      <c r="F800" s="19" t="n">
        <v>153.08</v>
      </c>
      <c r="G800" s="8" t="n">
        <f aca="false">IFERROR(INDEX('TRANS'!$B:$B,MATCH($B800,'TRANS'!$A:$A,0)),IFERROR(INDEX('TRANS'!$B:$B,MATCH(TRIM(SUBSTITUTE($B800,CHAR(160)," ")),'TRANS'!$D:$D,0)),IFERROR(INDEX('Catalog'!$A:$A,MATCH($B800,'Catalog'!$B:$B,0)),IFERROR(INDEX('Catalog'!$A:$A,MATCH(TRIM(SUBSTITUTE($B800,CHAR(160)," ")),'Catalog'!$C:$C,0)),""))))</f>
        <v>4413129</v>
      </c>
      <c r="H800" s="8" t="str">
        <f aca="false">IFERROR(INDEX('TRANS'!$C:$C,MATCH($B800,'TRANS'!$A:$A,0)),IFERROR(INDEX('Catalog'!$B:$B,MATCH($G800,'Catalog'!$A:$A,0)),$B800))</f>
        <v>75 XLמיישר כתף יציב יישור ג.צר</v>
      </c>
      <c r="I800" s="8" t="str">
        <f aca="false">IF($G800="","Unmatched","Matched")</f>
        <v>Matched</v>
      </c>
      <c r="J800" s="8" t="n">
        <f aca="false">IF($G800&lt;&gt;"",$G800,$B800)</f>
        <v>4413129</v>
      </c>
      <c r="K800" s="8" t="str">
        <f aca="false">IF(COUNTIF($M$1:$M$10,$A800)&gt;0,"Y","N")</f>
        <v>Y</v>
      </c>
    </row>
    <row r="801" customFormat="false" ht="15" hidden="false" customHeight="true" outlineLevel="0" collapsed="false">
      <c r="A801" s="8" t="s">
        <v>44</v>
      </c>
      <c r="B801" s="8" t="s">
        <v>694</v>
      </c>
      <c r="C801" s="19" t="n">
        <v>29</v>
      </c>
      <c r="D801" s="19" t="n">
        <v>4424.07</v>
      </c>
      <c r="E801" s="19" t="n">
        <v>19</v>
      </c>
      <c r="F801" s="19" t="n">
        <v>3040.03</v>
      </c>
      <c r="G801" s="8" t="n">
        <f aca="false">IFERROR(INDEX('TRANS'!$B:$B,MATCH($B801,'TRANS'!$A:$A,0)),IFERROR(INDEX('TRANS'!$B:$B,MATCH(TRIM(SUBSTITUTE($B801,CHAR(160)," ")),'TRANS'!$D:$D,0)),IFERROR(INDEX('Catalog'!$A:$A,MATCH($B801,'Catalog'!$B:$B,0)),IFERROR(INDEX('Catalog'!$A:$A,MATCH(TRIM(SUBSTITUTE($B801,CHAR(160)," ")),'Catalog'!$C:$C,0)),""))))</f>
        <v>4413132</v>
      </c>
      <c r="H801" s="8" t="str">
        <f aca="false">IFERROR(INDEX('TRANS'!$C:$C,MATCH($B801,'TRANS'!$A:$A,0)),IFERROR(INDEX('Catalog'!$B:$B,MATCH($G801,'Catalog'!$A:$A,0)),$B801))</f>
        <v>76 Lמיישר כתף יציב יישור רחב</v>
      </c>
      <c r="I801" s="8" t="str">
        <f aca="false">IF($G801="","Unmatched","Matched")</f>
        <v>Matched</v>
      </c>
      <c r="J801" s="8" t="n">
        <f aca="false">IF($G801&lt;&gt;"",$G801,$B801)</f>
        <v>4413132</v>
      </c>
      <c r="K801" s="8" t="str">
        <f aca="false">IF(COUNTIF($M$1:$M$10,$A801)&gt;0,"Y","N")</f>
        <v>Y</v>
      </c>
    </row>
    <row r="802" customFormat="false" ht="15" hidden="false" customHeight="true" outlineLevel="0" collapsed="false">
      <c r="A802" s="8" t="s">
        <v>44</v>
      </c>
      <c r="B802" s="8" t="s">
        <v>962</v>
      </c>
      <c r="C802" s="19" t="n">
        <v>27</v>
      </c>
      <c r="D802" s="19" t="n">
        <v>4176.06</v>
      </c>
      <c r="E802" s="19" t="n">
        <v>22</v>
      </c>
      <c r="F802" s="19" t="n">
        <v>3520.04</v>
      </c>
      <c r="G802" s="8" t="n">
        <f aca="false">IFERROR(INDEX('TRANS'!$B:$B,MATCH($B802,'TRANS'!$A:$A,0)),IFERROR(INDEX('TRANS'!$B:$B,MATCH(TRIM(SUBSTITUTE($B802,CHAR(160)," ")),'TRANS'!$D:$D,0)),IFERROR(INDEX('Catalog'!$A:$A,MATCH($B802,'Catalog'!$B:$B,0)),IFERROR(INDEX('Catalog'!$A:$A,MATCH(TRIM(SUBSTITUTE($B802,CHAR(160)," ")),'Catalog'!$C:$C,0)),""))))</f>
        <v>4413133</v>
      </c>
      <c r="H802" s="8" t="str">
        <f aca="false">IFERROR(INDEX('TRANS'!$C:$C,MATCH($B802,'TRANS'!$A:$A,0)),IFERROR(INDEX('Catalog'!$B:$B,MATCH($G802,'Catalog'!$A:$A,0)),$B802))</f>
        <v>76 Mמיישר כתף יציב,יישור רחב</v>
      </c>
      <c r="I802" s="8" t="str">
        <f aca="false">IF($G802="","Unmatched","Matched")</f>
        <v>Matched</v>
      </c>
      <c r="J802" s="8" t="n">
        <f aca="false">IF($G802&lt;&gt;"",$G802,$B802)</f>
        <v>4413133</v>
      </c>
      <c r="K802" s="8" t="str">
        <f aca="false">IF(COUNTIF($M$1:$M$10,$A802)&gt;0,"Y","N")</f>
        <v>Y</v>
      </c>
    </row>
    <row r="803" customFormat="false" ht="15" hidden="false" customHeight="true" outlineLevel="0" collapsed="false">
      <c r="A803" s="8" t="s">
        <v>44</v>
      </c>
      <c r="B803" s="8" t="s">
        <v>821</v>
      </c>
      <c r="C803" s="19" t="n">
        <v>18</v>
      </c>
      <c r="D803" s="19" t="n">
        <v>2808.04</v>
      </c>
      <c r="E803" s="19" t="n">
        <v>12</v>
      </c>
      <c r="F803" s="19" t="n">
        <v>1920.01</v>
      </c>
      <c r="G803" s="8" t="n">
        <f aca="false">IFERROR(INDEX('TRANS'!$B:$B,MATCH($B803,'TRANS'!$A:$A,0)),IFERROR(INDEX('TRANS'!$B:$B,MATCH(TRIM(SUBSTITUTE($B803,CHAR(160)," ")),'TRANS'!$D:$D,0)),IFERROR(INDEX('Catalog'!$A:$A,MATCH($B803,'Catalog'!$B:$B,0)),IFERROR(INDEX('Catalog'!$A:$A,MATCH(TRIM(SUBSTITUTE($B803,CHAR(160)," ")),'Catalog'!$C:$C,0)),""))))</f>
        <v>4413131</v>
      </c>
      <c r="H803" s="8" t="str">
        <f aca="false">IFERROR(INDEX('TRANS'!$C:$C,MATCH($B803,'TRANS'!$A:$A,0)),IFERROR(INDEX('Catalog'!$B:$B,MATCH($G803,'Catalog'!$A:$A,0)),$B803))</f>
        <v>76 Sמיישר כתף יציב יישור ג.רחב</v>
      </c>
      <c r="I803" s="8" t="str">
        <f aca="false">IF($G803="","Unmatched","Matched")</f>
        <v>Matched</v>
      </c>
      <c r="J803" s="8" t="n">
        <f aca="false">IF($G803&lt;&gt;"",$G803,$B803)</f>
        <v>4413131</v>
      </c>
      <c r="K803" s="8" t="str">
        <f aca="false">IF(COUNTIF($M$1:$M$10,$A803)&gt;0,"Y","N")</f>
        <v>Y</v>
      </c>
    </row>
    <row r="804" customFormat="false" ht="15" hidden="false" customHeight="true" outlineLevel="0" collapsed="false">
      <c r="A804" s="8" t="s">
        <v>44</v>
      </c>
      <c r="B804" s="8" t="s">
        <v>127</v>
      </c>
      <c r="C804" s="19" t="n">
        <v>11</v>
      </c>
      <c r="D804" s="19" t="n">
        <v>1688.02</v>
      </c>
      <c r="E804" s="19" t="n">
        <v>1</v>
      </c>
      <c r="F804" s="19" t="n">
        <v>160.02</v>
      </c>
      <c r="G804" s="8" t="str">
        <f aca="false">IFERROR(INDEX('TRANS'!$B:$B,MATCH($B804,'TRANS'!$A:$A,0)),IFERROR(INDEX('TRANS'!$B:$B,MATCH(TRIM(SUBSTITUTE($B804,CHAR(160)," ")),'TRANS'!$D:$D,0)),IFERROR(INDEX('Catalog'!$A:$A,MATCH($B804,'Catalog'!$B:$B,0)),IFERROR(INDEX('Catalog'!$A:$A,MATCH(TRIM(SUBSTITUTE($B804,CHAR(160)," ")),'Catalog'!$C:$C,0)),""))))</f>
        <v/>
      </c>
      <c r="H804" s="8" t="str">
        <f aca="false">IFERROR(INDEX('TRANS'!$C:$C,MATCH($B804,'TRANS'!$A:$A,0)),IFERROR(INDEX('Catalog'!$B:$B,MATCH($G804,'Catalog'!$A:$A,0)),$B804))</f>
        <v>76 XXL</v>
      </c>
      <c r="I804" s="8" t="str">
        <f aca="false">IF($G804="","Unmatched","Matched")</f>
        <v>Unmatched</v>
      </c>
      <c r="J804" s="8" t="str">
        <f aca="false">IF($G804&lt;&gt;"",$G804,$B804)</f>
        <v>76 XXL</v>
      </c>
      <c r="K804" s="8" t="str">
        <f aca="false">IF(COUNTIF($M$1:$M$10,$A804)&gt;0,"Y","N")</f>
        <v>Y</v>
      </c>
    </row>
    <row r="805" customFormat="false" ht="15" hidden="false" customHeight="true" outlineLevel="0" collapsed="false">
      <c r="A805" s="8" t="s">
        <v>44</v>
      </c>
      <c r="B805" s="8" t="s">
        <v>827</v>
      </c>
      <c r="C805" s="19" t="n">
        <v>61</v>
      </c>
      <c r="D805" s="19" t="n">
        <v>4079.9</v>
      </c>
      <c r="E805" s="19" t="n">
        <v>19</v>
      </c>
      <c r="F805" s="19" t="n">
        <v>1329.97</v>
      </c>
      <c r="G805" s="8" t="n">
        <f aca="false">IFERROR(INDEX('TRANS'!$B:$B,MATCH($B805,'TRANS'!$A:$A,0)),IFERROR(INDEX('TRANS'!$B:$B,MATCH(TRIM(SUBSTITUTE($B805,CHAR(160)," ")),'TRANS'!$D:$D,0)),IFERROR(INDEX('Catalog'!$A:$A,MATCH($B805,'Catalog'!$B:$B,0)),IFERROR(INDEX('Catalog'!$A:$A,MATCH(TRIM(SUBSTITUTE($B805,CHAR(160)," ")),'Catalog'!$C:$C,0)),""))))</f>
        <v>4413176</v>
      </c>
      <c r="H805" s="8" t="str">
        <f aca="false">IFERROR(INDEX('TRANS'!$C:$C,MATCH($B805,'TRANS'!$A:$A,0)),IFERROR(INDEX('Catalog'!$B:$B,MATCH($G805,'Catalog'!$A:$A,0)),$B805))</f>
        <v>85+ Lמתלה ליד)כיס(+רצועת חיזוק</v>
      </c>
      <c r="I805" s="8" t="str">
        <f aca="false">IF($G805="","Unmatched","Matched")</f>
        <v>Matched</v>
      </c>
      <c r="J805" s="8" t="n">
        <f aca="false">IF($G805&lt;&gt;"",$G805,$B805)</f>
        <v>4413176</v>
      </c>
      <c r="K805" s="8" t="str">
        <f aca="false">IF(COUNTIF($M$1:$M$10,$A805)&gt;0,"Y","N")</f>
        <v>Y</v>
      </c>
    </row>
    <row r="806" customFormat="false" ht="15" hidden="false" customHeight="true" outlineLevel="0" collapsed="false">
      <c r="A806" s="8" t="s">
        <v>44</v>
      </c>
      <c r="B806" s="8" t="s">
        <v>828</v>
      </c>
      <c r="C806" s="19" t="n">
        <v>40</v>
      </c>
      <c r="D806" s="19" t="n">
        <v>2669.88</v>
      </c>
      <c r="E806" s="19" t="n">
        <v>10</v>
      </c>
      <c r="F806" s="19" t="n">
        <v>699.96</v>
      </c>
      <c r="G806" s="8" t="n">
        <f aca="false">IFERROR(INDEX('TRANS'!$B:$B,MATCH($B806,'TRANS'!$A:$A,0)),IFERROR(INDEX('TRANS'!$B:$B,MATCH(TRIM(SUBSTITUTE($B806,CHAR(160)," ")),'TRANS'!$D:$D,0)),IFERROR(INDEX('Catalog'!$A:$A,MATCH($B806,'Catalog'!$B:$B,0)),IFERROR(INDEX('Catalog'!$A:$A,MATCH(TRIM(SUBSTITUTE($B806,CHAR(160)," ")),'Catalog'!$C:$C,0)),""))))</f>
        <v>4413175</v>
      </c>
      <c r="H806" s="8" t="str">
        <f aca="false">IFERROR(INDEX('TRANS'!$C:$C,MATCH($B806,'TRANS'!$A:$A,0)),IFERROR(INDEX('Catalog'!$B:$B,MATCH($G806,'Catalog'!$A:$A,0)),$B806))</f>
        <v>85+ Mמתלה ליד)כיס(+רצועת חיזוק</v>
      </c>
      <c r="I806" s="8" t="str">
        <f aca="false">IF($G806="","Unmatched","Matched")</f>
        <v>Matched</v>
      </c>
      <c r="J806" s="8" t="n">
        <f aca="false">IF($G806&lt;&gt;"",$G806,$B806)</f>
        <v>4413175</v>
      </c>
      <c r="K806" s="8" t="str">
        <f aca="false">IF(COUNTIF($M$1:$M$10,$A806)&gt;0,"Y","N")</f>
        <v>Y</v>
      </c>
    </row>
    <row r="807" customFormat="false" ht="15" hidden="false" customHeight="true" outlineLevel="0" collapsed="false">
      <c r="A807" s="8" t="s">
        <v>44</v>
      </c>
      <c r="B807" s="8" t="s">
        <v>829</v>
      </c>
      <c r="C807" s="19" t="n">
        <v>34</v>
      </c>
      <c r="D807" s="19" t="n">
        <v>2229.96</v>
      </c>
      <c r="E807" s="19" t="n">
        <v>6</v>
      </c>
      <c r="F807" s="19" t="n">
        <v>419.99</v>
      </c>
      <c r="G807" s="8" t="n">
        <f aca="false">IFERROR(INDEX('TRANS'!$B:$B,MATCH($B807,'TRANS'!$A:$A,0)),IFERROR(INDEX('TRANS'!$B:$B,MATCH(TRIM(SUBSTITUTE($B807,CHAR(160)," ")),'TRANS'!$D:$D,0)),IFERROR(INDEX('Catalog'!$A:$A,MATCH($B807,'Catalog'!$B:$B,0)),IFERROR(INDEX('Catalog'!$A:$A,MATCH(TRIM(SUBSTITUTE($B807,CHAR(160)," ")),'Catalog'!$C:$C,0)),""))))</f>
        <v>4413177</v>
      </c>
      <c r="H807" s="8" t="str">
        <f aca="false">IFERROR(INDEX('TRANS'!$C:$C,MATCH($B807,'TRANS'!$A:$A,0)),IFERROR(INDEX('Catalog'!$B:$B,MATCH($G807,'Catalog'!$A:$A,0)),$B807))</f>
        <v>85+ XLמתלה ליד)כיס(רצועת חיזוק</v>
      </c>
      <c r="I807" s="8" t="str">
        <f aca="false">IF($G807="","Unmatched","Matched")</f>
        <v>Matched</v>
      </c>
      <c r="J807" s="8" t="n">
        <f aca="false">IF($G807&lt;&gt;"",$G807,$B807)</f>
        <v>4413177</v>
      </c>
      <c r="K807" s="8" t="str">
        <f aca="false">IF(COUNTIF($M$1:$M$10,$A807)&gt;0,"Y","N")</f>
        <v>Y</v>
      </c>
    </row>
    <row r="808" customFormat="false" ht="15" hidden="false" customHeight="true" outlineLevel="0" collapsed="false">
      <c r="A808" s="8" t="s">
        <v>44</v>
      </c>
      <c r="B808" s="8" t="s">
        <v>963</v>
      </c>
      <c r="C808" s="19" t="n">
        <v>13</v>
      </c>
      <c r="D808" s="19" t="n">
        <v>637</v>
      </c>
      <c r="E808" s="19" t="n">
        <v>16</v>
      </c>
      <c r="F808" s="19" t="n">
        <v>783.96</v>
      </c>
      <c r="G808" s="8" t="n">
        <f aca="false">IFERROR(INDEX('TRANS'!$B:$B,MATCH($B808,'TRANS'!$A:$A,0)),IFERROR(INDEX('TRANS'!$B:$B,MATCH(TRIM(SUBSTITUTE($B808,CHAR(160)," ")),'TRANS'!$D:$D,0)),IFERROR(INDEX('Catalog'!$A:$A,MATCH($B808,'Catalog'!$B:$B,0)),IFERROR(INDEX('Catalog'!$A:$A,MATCH(TRIM(SUBSTITUTE($B808,CHAR(160)," ")),'Catalog'!$C:$C,0)),""))))</f>
        <v>4413137</v>
      </c>
      <c r="H808" s="8" t="str">
        <f aca="false">IFERROR(INDEX('TRANS'!$C:$C,MATCH($B808,'TRANS'!$A:$A,0)),IFERROR(INDEX('Catalog'!$B:$B,MATCH($G808,'Catalog'!$A:$A,0)),$B808))</f>
        <v>85 S (מתלה ליד )כיס</v>
      </c>
      <c r="I808" s="8" t="str">
        <f aca="false">IF($G808="","Unmatched","Matched")</f>
        <v>Matched</v>
      </c>
      <c r="J808" s="8" t="n">
        <f aca="false">IF($G808&lt;&gt;"",$G808,$B808)</f>
        <v>4413137</v>
      </c>
      <c r="K808" s="8" t="str">
        <f aca="false">IF(COUNTIF($M$1:$M$10,$A808)&gt;0,"Y","N")</f>
        <v>Y</v>
      </c>
    </row>
    <row r="809" customFormat="false" ht="15" hidden="false" customHeight="true" outlineLevel="0" collapsed="false">
      <c r="A809" s="8" t="s">
        <v>44</v>
      </c>
      <c r="B809" s="8" t="s">
        <v>833</v>
      </c>
      <c r="C809" s="19" t="n">
        <v>19</v>
      </c>
      <c r="D809" s="19" t="n">
        <v>1274.41</v>
      </c>
      <c r="E809" s="19" t="n">
        <v>21</v>
      </c>
      <c r="F809" s="19" t="n">
        <v>1365.05</v>
      </c>
      <c r="G809" s="8" t="n">
        <f aca="false">IFERROR(INDEX('TRANS'!$B:$B,MATCH($B809,'TRANS'!$A:$A,0)),IFERROR(INDEX('TRANS'!$B:$B,MATCH(TRIM(SUBSTITUTE($B809,CHAR(160)," ")),'TRANS'!$D:$D,0)),IFERROR(INDEX('Catalog'!$A:$A,MATCH($B809,'Catalog'!$B:$B,0)),IFERROR(INDEX('Catalog'!$A:$A,MATCH(TRIM(SUBSTITUTE($B809,CHAR(160)," ")),'Catalog'!$C:$C,0)),""))))</f>
        <v>4408266</v>
      </c>
      <c r="H809" s="8" t="str">
        <f aca="false">IFERROR(INDEX('TRANS'!$C:$C,MATCH($B809,'TRANS'!$A:$A,0)),IFERROR(INDEX('Catalog'!$B:$B,MATCH($G809,'Catalog'!$A:$A,0)),$B809))</f>
        <v>91B חבק טניס אלבו</v>
      </c>
      <c r="I809" s="8" t="str">
        <f aca="false">IF($G809="","Unmatched","Matched")</f>
        <v>Matched</v>
      </c>
      <c r="J809" s="8" t="n">
        <f aca="false">IF($G809&lt;&gt;"",$G809,$B809)</f>
        <v>4408266</v>
      </c>
      <c r="K809" s="8" t="str">
        <f aca="false">IF(COUNTIF($M$1:$M$10,$A809)&gt;0,"Y","N")</f>
        <v>Y</v>
      </c>
    </row>
    <row r="810" customFormat="false" ht="15" hidden="false" customHeight="true" outlineLevel="0" collapsed="false">
      <c r="A810" s="8" t="s">
        <v>44</v>
      </c>
      <c r="B810" s="8" t="s">
        <v>834</v>
      </c>
      <c r="C810" s="19" t="n">
        <v>8</v>
      </c>
      <c r="D810" s="19" t="n">
        <v>703.92</v>
      </c>
      <c r="E810" s="19" t="n">
        <v>2</v>
      </c>
      <c r="F810" s="19" t="n">
        <v>180</v>
      </c>
      <c r="G810" s="8" t="n">
        <f aca="false">IFERROR(INDEX('TRANS'!$B:$B,MATCH($B810,'TRANS'!$A:$A,0)),IFERROR(INDEX('TRANS'!$B:$B,MATCH(TRIM(SUBSTITUTE($B810,CHAR(160)," ")),'TRANS'!$D:$D,0)),IFERROR(INDEX('Catalog'!$A:$A,MATCH($B810,'Catalog'!$B:$B,0)),IFERROR(INDEX('Catalog'!$A:$A,MATCH(TRIM(SUBSTITUTE($B810,CHAR(160)," ")),'Catalog'!$C:$C,0)),""))))</f>
        <v>4408084</v>
      </c>
      <c r="H810" s="8" t="str">
        <f aca="false">IFERROR(INDEX('TRANS'!$C:$C,MATCH($B810,'TRANS'!$A:$A,0)),IFERROR(INDEX('Catalog'!$B:$B,MATCH($G810,'Catalog'!$A:$A,0)),$B810))</f>
        <v>922L.חבק יד לטניס כרית סיליק</v>
      </c>
      <c r="I810" s="8" t="str">
        <f aca="false">IF($G810="","Unmatched","Matched")</f>
        <v>Matched</v>
      </c>
      <c r="J810" s="8" t="n">
        <f aca="false">IF($G810&lt;&gt;"",$G810,$B810)</f>
        <v>4408084</v>
      </c>
      <c r="K810" s="8" t="str">
        <f aca="false">IF(COUNTIF($M$1:$M$10,$A810)&gt;0,"Y","N")</f>
        <v>Y</v>
      </c>
    </row>
    <row r="811" customFormat="false" ht="15" hidden="false" customHeight="true" outlineLevel="0" collapsed="false">
      <c r="A811" s="8" t="s">
        <v>44</v>
      </c>
      <c r="B811" s="8" t="s">
        <v>175</v>
      </c>
      <c r="C811" s="19" t="n">
        <v>3</v>
      </c>
      <c r="D811" s="19" t="n">
        <v>255.92</v>
      </c>
      <c r="E811" s="19" t="n">
        <v>1</v>
      </c>
      <c r="F811" s="19" t="n">
        <v>90</v>
      </c>
      <c r="G811" s="8" t="str">
        <f aca="false">IFERROR(INDEX('TRANS'!$B:$B,MATCH($B811,'TRANS'!$A:$A,0)),IFERROR(INDEX('TRANS'!$B:$B,MATCH(TRIM(SUBSTITUTE($B811,CHAR(160)," ")),'TRANS'!$D:$D,0)),IFERROR(INDEX('Catalog'!$A:$A,MATCH($B811,'Catalog'!$B:$B,0)),IFERROR(INDEX('Catalog'!$A:$A,MATCH(TRIM(SUBSTITUTE($B811,CHAR(160)," ")),'Catalog'!$C:$C,0)),""))))</f>
        <v/>
      </c>
      <c r="H811" s="8" t="str">
        <f aca="false">IFERROR(INDEX('TRANS'!$C:$C,MATCH($B811,'TRANS'!$A:$A,0)),IFERROR(INDEX('Catalog'!$B:$B,MATCH($G811,'Catalog'!$A:$A,0)),$B811))</f>
        <v>922 M</v>
      </c>
      <c r="I811" s="8" t="str">
        <f aca="false">IF($G811="","Unmatched","Matched")</f>
        <v>Unmatched</v>
      </c>
      <c r="J811" s="8" t="str">
        <f aca="false">IF($G811&lt;&gt;"",$G811,$B811)</f>
        <v>922 M</v>
      </c>
      <c r="K811" s="8" t="str">
        <f aca="false">IF(COUNTIF($M$1:$M$10,$A811)&gt;0,"Y","N")</f>
        <v>Y</v>
      </c>
    </row>
    <row r="812" customFormat="false" ht="15" hidden="false" customHeight="true" outlineLevel="0" collapsed="false">
      <c r="A812" s="8" t="s">
        <v>44</v>
      </c>
      <c r="B812" s="8" t="s">
        <v>282</v>
      </c>
      <c r="C812" s="19" t="n">
        <v>3</v>
      </c>
      <c r="D812" s="19" t="n">
        <v>268</v>
      </c>
      <c r="E812" s="19" t="n">
        <v>0</v>
      </c>
      <c r="F812" s="19" t="n">
        <v>0</v>
      </c>
      <c r="G812" s="8" t="str">
        <f aca="false">IFERROR(INDEX('TRANS'!$B:$B,MATCH($B812,'TRANS'!$A:$A,0)),IFERROR(INDEX('TRANS'!$B:$B,MATCH(TRIM(SUBSTITUTE($B812,CHAR(160)," ")),'TRANS'!$D:$D,0)),IFERROR(INDEX('Catalog'!$A:$A,MATCH($B812,'Catalog'!$B:$B,0)),IFERROR(INDEX('Catalog'!$A:$A,MATCH(TRIM(SUBSTITUTE($B812,CHAR(160)," ")),'Catalog'!$C:$C,0)),""))))</f>
        <v/>
      </c>
      <c r="H812" s="8" t="str">
        <f aca="false">IFERROR(INDEX('TRANS'!$C:$C,MATCH($B812,'TRANS'!$A:$A,0)),IFERROR(INDEX('Catalog'!$B:$B,MATCH($G812,'Catalog'!$A:$A,0)),$B812))</f>
        <v>922 S</v>
      </c>
      <c r="I812" s="8" t="str">
        <f aca="false">IF($G812="","Unmatched","Matched")</f>
        <v>Unmatched</v>
      </c>
      <c r="J812" s="8" t="str">
        <f aca="false">IF($G812&lt;&gt;"",$G812,$B812)</f>
        <v>922 S</v>
      </c>
      <c r="K812" s="8" t="str">
        <f aca="false">IF(COUNTIF($M$1:$M$10,$A812)&gt;0,"Y","N")</f>
        <v>Y</v>
      </c>
    </row>
    <row r="813" customFormat="false" ht="15" hidden="false" customHeight="true" outlineLevel="0" collapsed="false">
      <c r="A813" s="8" t="s">
        <v>44</v>
      </c>
      <c r="B813" s="8" t="s">
        <v>835</v>
      </c>
      <c r="C813" s="19" t="n">
        <v>8</v>
      </c>
      <c r="D813" s="19" t="n">
        <v>717</v>
      </c>
      <c r="E813" s="19" t="n">
        <v>6</v>
      </c>
      <c r="F813" s="19" t="n">
        <v>540</v>
      </c>
      <c r="G813" s="8" t="n">
        <f aca="false">IFERROR(INDEX('TRANS'!$B:$B,MATCH($B813,'TRANS'!$A:$A,0)),IFERROR(INDEX('TRANS'!$B:$B,MATCH(TRIM(SUBSTITUTE($B813,CHAR(160)," ")),'TRANS'!$D:$D,0)),IFERROR(INDEX('Catalog'!$A:$A,MATCH($B813,'Catalog'!$B:$B,0)),IFERROR(INDEX('Catalog'!$A:$A,MATCH(TRIM(SUBSTITUTE($B813,CHAR(160)," ")),'Catalog'!$C:$C,0)),""))))</f>
        <v>4408087</v>
      </c>
      <c r="H813" s="8" t="str">
        <f aca="false">IFERROR(INDEX('TRANS'!$C:$C,MATCH($B813,'TRANS'!$A:$A,0)),IFERROR(INDEX('Catalog'!$B:$B,MATCH($G813,'Catalog'!$A:$A,0)),$B813))</f>
        <v>922XLחבק יד לטניס כרית סיליק</v>
      </c>
      <c r="I813" s="8" t="str">
        <f aca="false">IF($G813="","Unmatched","Matched")</f>
        <v>Matched</v>
      </c>
      <c r="J813" s="8" t="n">
        <f aca="false">IF($G813&lt;&gt;"",$G813,$B813)</f>
        <v>4408087</v>
      </c>
      <c r="K813" s="8" t="str">
        <f aca="false">IF(COUNTIF($M$1:$M$10,$A813)&gt;0,"Y","N")</f>
        <v>Y</v>
      </c>
    </row>
    <row r="814" customFormat="false" ht="15" hidden="false" customHeight="true" outlineLevel="0" collapsed="false">
      <c r="A814" s="8" t="s">
        <v>44</v>
      </c>
      <c r="B814" s="8" t="s">
        <v>221</v>
      </c>
      <c r="C814" s="19" t="n">
        <v>3</v>
      </c>
      <c r="D814" s="19" t="n">
        <v>267</v>
      </c>
      <c r="E814" s="19" t="n">
        <v>0</v>
      </c>
      <c r="F814" s="19" t="n">
        <v>0</v>
      </c>
      <c r="G814" s="8" t="str">
        <f aca="false">IFERROR(INDEX('TRANS'!$B:$B,MATCH($B814,'TRANS'!$A:$A,0)),IFERROR(INDEX('TRANS'!$B:$B,MATCH(TRIM(SUBSTITUTE($B814,CHAR(160)," ")),'TRANS'!$D:$D,0)),IFERROR(INDEX('Catalog'!$A:$A,MATCH($B814,'Catalog'!$B:$B,0)),IFERROR(INDEX('Catalog'!$A:$A,MATCH(TRIM(SUBSTITUTE($B814,CHAR(160)," ")),'Catalog'!$C:$C,0)),""))))</f>
        <v/>
      </c>
      <c r="H814" s="8" t="str">
        <f aca="false">IFERROR(INDEX('TRANS'!$C:$C,MATCH($B814,'TRANS'!$A:$A,0)),IFERROR(INDEX('Catalog'!$B:$B,MATCH($G814,'Catalog'!$A:$A,0)),$B814))</f>
        <v>922 XXL</v>
      </c>
      <c r="I814" s="8" t="str">
        <f aca="false">IF($G814="","Unmatched","Matched")</f>
        <v>Unmatched</v>
      </c>
      <c r="J814" s="8" t="str">
        <f aca="false">IF($G814&lt;&gt;"",$G814,$B814)</f>
        <v>922 XXL</v>
      </c>
      <c r="K814" s="8" t="str">
        <f aca="false">IF(COUNTIF($M$1:$M$10,$A814)&gt;0,"Y","N")</f>
        <v>Y</v>
      </c>
    </row>
    <row r="815" customFormat="false" ht="15" hidden="false" customHeight="true" outlineLevel="0" collapsed="false">
      <c r="A815" s="8" t="s">
        <v>44</v>
      </c>
      <c r="B815" s="8" t="s">
        <v>717</v>
      </c>
      <c r="C815" s="19" t="n">
        <v>5</v>
      </c>
      <c r="D815" s="19" t="n">
        <v>142.56</v>
      </c>
      <c r="E815" s="19" t="n">
        <v>6</v>
      </c>
      <c r="F815" s="19" t="n">
        <v>185.36</v>
      </c>
      <c r="G815" s="8" t="n">
        <f aca="false">IFERROR(INDEX('TRANS'!$B:$B,MATCH($B815,'TRANS'!$A:$A,0)),IFERROR(INDEX('TRANS'!$B:$B,MATCH(TRIM(SUBSTITUTE($B815,CHAR(160)," ")),'TRANS'!$D:$D,0)),IFERROR(INDEX('Catalog'!$A:$A,MATCH($B815,'Catalog'!$B:$B,0)),IFERROR(INDEX('Catalog'!$A:$A,MATCH(TRIM(SUBSTITUTE($B815,CHAR(160)," ")),'Catalog'!$C:$C,0)),""))))</f>
        <v>4413500</v>
      </c>
      <c r="H815" s="8" t="str">
        <f aca="false">IFERROR(INDEX('TRANS'!$C:$C,MATCH($B815,'TRANS'!$A:$A,0)),IFERROR(INDEX('Catalog'!$B:$B,MATCH($G815,'Catalog'!$A:$A,0)),$B815))</f>
        <v>95B L מגן מרפק שחור</v>
      </c>
      <c r="I815" s="8" t="str">
        <f aca="false">IF($G815="","Unmatched","Matched")</f>
        <v>Matched</v>
      </c>
      <c r="J815" s="8" t="n">
        <f aca="false">IF($G815&lt;&gt;"",$G815,$B815)</f>
        <v>4413500</v>
      </c>
      <c r="K815" s="8" t="str">
        <f aca="false">IF(COUNTIF($M$1:$M$10,$A815)&gt;0,"Y","N")</f>
        <v>Y</v>
      </c>
    </row>
    <row r="816" customFormat="false" ht="15" hidden="false" customHeight="true" outlineLevel="0" collapsed="false">
      <c r="A816" s="8" t="s">
        <v>44</v>
      </c>
      <c r="B816" s="8" t="s">
        <v>720</v>
      </c>
      <c r="C816" s="19" t="n">
        <v>8</v>
      </c>
      <c r="D816" s="19" t="n">
        <v>211.46</v>
      </c>
      <c r="E816" s="19" t="n">
        <v>2</v>
      </c>
      <c r="F816" s="19" t="n">
        <v>61.78</v>
      </c>
      <c r="G816" s="8" t="n">
        <f aca="false">IFERROR(INDEX('TRANS'!$B:$B,MATCH($B816,'TRANS'!$A:$A,0)),IFERROR(INDEX('TRANS'!$B:$B,MATCH(TRIM(SUBSTITUTE($B816,CHAR(160)," ")),'TRANS'!$D:$D,0)),IFERROR(INDEX('Catalog'!$A:$A,MATCH($B816,'Catalog'!$B:$B,0)),IFERROR(INDEX('Catalog'!$A:$A,MATCH(TRIM(SUBSTITUTE($B816,CHAR(160)," ")),'Catalog'!$C:$C,0)),""))))</f>
        <v>4413503</v>
      </c>
      <c r="H816" s="8" t="str">
        <f aca="false">IFERROR(INDEX('TRANS'!$C:$C,MATCH($B816,'TRANS'!$A:$A,0)),IFERROR(INDEX('Catalog'!$B:$B,MATCH($G816,'Catalog'!$A:$A,0)),$B816))</f>
        <v>95B XL מגן מרפק שחור</v>
      </c>
      <c r="I816" s="8" t="str">
        <f aca="false">IF($G816="","Unmatched","Matched")</f>
        <v>Matched</v>
      </c>
      <c r="J816" s="8" t="n">
        <f aca="false">IF($G816&lt;&gt;"",$G816,$B816)</f>
        <v>4413503</v>
      </c>
      <c r="K816" s="8" t="str">
        <f aca="false">IF(COUNTIF($M$1:$M$10,$A816)&gt;0,"Y","N")</f>
        <v>Y</v>
      </c>
    </row>
    <row r="817" customFormat="false" ht="15" hidden="false" customHeight="true" outlineLevel="0" collapsed="false">
      <c r="A817" s="8" t="s">
        <v>44</v>
      </c>
      <c r="B817" s="8" t="s">
        <v>906</v>
      </c>
      <c r="C817" s="19" t="n">
        <v>6</v>
      </c>
      <c r="D817" s="19" t="n">
        <v>365.6</v>
      </c>
      <c r="E817" s="19" t="n">
        <v>2</v>
      </c>
      <c r="F817" s="19" t="n">
        <v>123.64</v>
      </c>
      <c r="G817" s="8" t="n">
        <f aca="false">IFERROR(INDEX('TRANS'!$B:$B,MATCH($B817,'TRANS'!$A:$A,0)),IFERROR(INDEX('TRANS'!$B:$B,MATCH(TRIM(SUBSTITUTE($B817,CHAR(160)," ")),'TRANS'!$D:$D,0)),IFERROR(INDEX('Catalog'!$A:$A,MATCH($B817,'Catalog'!$B:$B,0)),IFERROR(INDEX('Catalog'!$A:$A,MATCH(TRIM(SUBSTITUTE($B817,CHAR(160)," ")),'Catalog'!$C:$C,0)),""))))</f>
        <v>4413330</v>
      </c>
      <c r="H817" s="8" t="str">
        <f aca="false">IFERROR(INDEX('TRANS'!$C:$C,MATCH($B817,'TRANS'!$A:$A,0)),IFERROR(INDEX('Catalog'!$B:$B,MATCH($G817,'Catalog'!$A:$A,0)),$B817))</f>
        <v>AC49 מגן ירך</v>
      </c>
      <c r="I817" s="8" t="str">
        <f aca="false">IF($G817="","Unmatched","Matched")</f>
        <v>Matched</v>
      </c>
      <c r="J817" s="8" t="n">
        <f aca="false">IF($G817&lt;&gt;"",$G817,$B817)</f>
        <v>4413330</v>
      </c>
      <c r="K817" s="8" t="str">
        <f aca="false">IF(COUNTIF($M$1:$M$10,$A817)&gt;0,"Y","N")</f>
        <v>Y</v>
      </c>
    </row>
    <row r="818" customFormat="false" ht="15" hidden="false" customHeight="true" outlineLevel="0" collapsed="false">
      <c r="A818" s="8" t="s">
        <v>44</v>
      </c>
      <c r="B818" s="8" t="s">
        <v>844</v>
      </c>
      <c r="C818" s="19" t="n">
        <v>13</v>
      </c>
      <c r="D818" s="19" t="n">
        <v>1827.43</v>
      </c>
      <c r="E818" s="19" t="n">
        <v>1</v>
      </c>
      <c r="F818" s="19" t="n">
        <v>140.57</v>
      </c>
      <c r="G818" s="8" t="n">
        <f aca="false">IFERROR(INDEX('TRANS'!$B:$B,MATCH($B818,'TRANS'!$A:$A,0)),IFERROR(INDEX('TRANS'!$B:$B,MATCH(TRIM(SUBSTITUTE($B818,CHAR(160)," ")),'TRANS'!$D:$D,0)),IFERROR(INDEX('Catalog'!$A:$A,MATCH($B818,'Catalog'!$B:$B,0)),IFERROR(INDEX('Catalog'!$A:$A,MATCH(TRIM(SUBSTITUTE($B818,CHAR(160)," ")),'Catalog'!$C:$C,0)),""))))</f>
        <v>4413440</v>
      </c>
      <c r="H818" s="8" t="str">
        <f aca="false">IFERROR(INDEX('TRANS'!$C:$C,MATCH($B818,'TRANS'!$A:$A,0)),IFERROR(INDEX('Catalog'!$B:$B,MATCH($G818,'Catalog'!$A:$A,0)),$B818))</f>
        <v>SC422  L מגן ברך</v>
      </c>
      <c r="I818" s="8" t="str">
        <f aca="false">IF($G818="","Unmatched","Matched")</f>
        <v>Matched</v>
      </c>
      <c r="J818" s="8" t="n">
        <f aca="false">IF($G818&lt;&gt;"",$G818,$B818)</f>
        <v>4413440</v>
      </c>
      <c r="K818" s="8" t="str">
        <f aca="false">IF(COUNTIF($M$1:$M$10,$A818)&gt;0,"Y","N")</f>
        <v>Y</v>
      </c>
    </row>
    <row r="819" customFormat="false" ht="15" hidden="false" customHeight="true" outlineLevel="0" collapsed="false">
      <c r="A819" s="8" t="s">
        <v>44</v>
      </c>
      <c r="B819" s="8" t="s">
        <v>846</v>
      </c>
      <c r="C819" s="19" t="n">
        <v>12</v>
      </c>
      <c r="D819" s="19" t="n">
        <v>1686.86</v>
      </c>
      <c r="E819" s="19" t="n">
        <v>1</v>
      </c>
      <c r="F819" s="19" t="n">
        <v>140.57</v>
      </c>
      <c r="G819" s="8" t="n">
        <f aca="false">IFERROR(INDEX('TRANS'!$B:$B,MATCH($B819,'TRANS'!$A:$A,0)),IFERROR(INDEX('TRANS'!$B:$B,MATCH(TRIM(SUBSTITUTE($B819,CHAR(160)," ")),'TRANS'!$D:$D,0)),IFERROR(INDEX('Catalog'!$A:$A,MATCH($B819,'Catalog'!$B:$B,0)),IFERROR(INDEX('Catalog'!$A:$A,MATCH(TRIM(SUBSTITUTE($B819,CHAR(160)," ")),'Catalog'!$C:$C,0)),""))))</f>
        <v>4413441</v>
      </c>
      <c r="H819" s="8" t="str">
        <f aca="false">IFERROR(INDEX('TRANS'!$C:$C,MATCH($B819,'TRANS'!$A:$A,0)),IFERROR(INDEX('Catalog'!$B:$B,MATCH($G819,'Catalog'!$A:$A,0)),$B819))</f>
        <v>SC422 XL מגן ברך</v>
      </c>
      <c r="I819" s="8" t="str">
        <f aca="false">IF($G819="","Unmatched","Matched")</f>
        <v>Matched</v>
      </c>
      <c r="J819" s="8" t="n">
        <f aca="false">IF($G819&lt;&gt;"",$G819,$B819)</f>
        <v>4413441</v>
      </c>
      <c r="K819" s="8" t="str">
        <f aca="false">IF(COUNTIF($M$1:$M$10,$A819)&gt;0,"Y","N")</f>
        <v>Y</v>
      </c>
    </row>
    <row r="820" customFormat="false" ht="15" hidden="false" customHeight="true" outlineLevel="0" collapsed="false">
      <c r="A820" s="8" t="s">
        <v>44</v>
      </c>
      <c r="B820" s="8" t="s">
        <v>762</v>
      </c>
      <c r="C820" s="19" t="n">
        <v>0</v>
      </c>
      <c r="D820" s="19" t="n">
        <v>0</v>
      </c>
      <c r="E820" s="19" t="n">
        <v>21</v>
      </c>
      <c r="F820" s="19" t="n">
        <v>1468.02</v>
      </c>
      <c r="G820" s="8" t="n">
        <f aca="false">IFERROR(INDEX('TRANS'!$B:$B,MATCH($B820,'TRANS'!$A:$A,0)),IFERROR(INDEX('TRANS'!$B:$B,MATCH(TRIM(SUBSTITUTE($B820,CHAR(160)," ")),'TRANS'!$D:$D,0)),IFERROR(INDEX('Catalog'!$A:$A,MATCH($B820,'Catalog'!$B:$B,0)),IFERROR(INDEX('Catalog'!$A:$A,MATCH(TRIM(SUBSTITUTE($B820,CHAR(160)," ")),'Catalog'!$C:$C,0)),""))))</f>
        <v>4413534</v>
      </c>
      <c r="H820" s="8" t="str">
        <f aca="false">IFERROR(INDEX('TRANS'!$C:$C,MATCH($B820,'TRANS'!$A:$A,0)),IFERROR(INDEX('Catalog'!$B:$B,MATCH($G820,'Catalog'!$A:$A,0)),$B820))</f>
        <v>SH333 מקבע קרסול</v>
      </c>
      <c r="I820" s="8" t="str">
        <f aca="false">IF($G820="","Unmatched","Matched")</f>
        <v>Matched</v>
      </c>
      <c r="J820" s="8" t="n">
        <f aca="false">IF($G820&lt;&gt;"",$G820,$B820)</f>
        <v>4413534</v>
      </c>
      <c r="K820" s="8" t="str">
        <f aca="false">IF(COUNTIF($M$1:$M$10,$A820)&gt;0,"Y","N")</f>
        <v>Y</v>
      </c>
    </row>
    <row r="821" customFormat="false" ht="15" hidden="false" customHeight="true" outlineLevel="0" collapsed="false">
      <c r="A821" s="8" t="s">
        <v>44</v>
      </c>
      <c r="B821" s="8" t="s">
        <v>894</v>
      </c>
      <c r="C821" s="19" t="n">
        <v>29</v>
      </c>
      <c r="D821" s="19" t="n">
        <v>1560.48</v>
      </c>
      <c r="E821" s="19" t="n">
        <v>18</v>
      </c>
      <c r="F821" s="19" t="n">
        <v>2160</v>
      </c>
      <c r="G821" s="8" t="n">
        <f aca="false">IFERROR(INDEX('TRANS'!$B:$B,MATCH($B821,'TRANS'!$A:$A,0)),IFERROR(INDEX('TRANS'!$B:$B,MATCH(TRIM(SUBSTITUTE($B821,CHAR(160)," ")),'TRANS'!$D:$D,0)),IFERROR(INDEX('Catalog'!$A:$A,MATCH($B821,'Catalog'!$B:$B,0)),IFERROR(INDEX('Catalog'!$A:$A,MATCH(TRIM(SUBSTITUTE($B821,CHAR(160)," ")),'Catalog'!$C:$C,0)),""))))</f>
        <v>4422042</v>
      </c>
      <c r="H821" s="8" t="str">
        <f aca="false">IFERROR(INDEX('TRANS'!$C:$C,MATCH($B821,'TRANS'!$A:$A,0)),IFERROR(INDEX('Catalog'!$B:$B,MATCH($G821,'Catalog'!$A:$A,0)),$B821))</f>
        <v>SH422 6 תומך ברך גנושילד</v>
      </c>
      <c r="I821" s="8" t="str">
        <f aca="false">IF($G821="","Unmatched","Matched")</f>
        <v>Matched</v>
      </c>
      <c r="J821" s="8" t="n">
        <f aca="false">IF($G821&lt;&gt;"",$G821,$B821)</f>
        <v>4422042</v>
      </c>
      <c r="K821" s="8" t="str">
        <f aca="false">IF(COUNTIF($M$1:$M$10,$A821)&gt;0,"Y","N")</f>
        <v>Y</v>
      </c>
    </row>
    <row r="822" customFormat="false" ht="15" hidden="false" customHeight="true" outlineLevel="0" collapsed="false">
      <c r="A822" s="8" t="s">
        <v>44</v>
      </c>
      <c r="B822" s="8" t="s">
        <v>964</v>
      </c>
      <c r="C822" s="19" t="n">
        <v>5</v>
      </c>
      <c r="D822" s="19" t="n">
        <v>348.59</v>
      </c>
      <c r="E822" s="19" t="n">
        <v>7</v>
      </c>
      <c r="F822" s="19" t="n">
        <v>482.45</v>
      </c>
      <c r="G822" s="8" t="n">
        <f aca="false">IFERROR(INDEX('TRANS'!$B:$B,MATCH($B822,'TRANS'!$A:$A,0)),IFERROR(INDEX('TRANS'!$B:$B,MATCH(TRIM(SUBSTITUTE($B822,CHAR(160)," ")),'TRANS'!$D:$D,0)),IFERROR(INDEX('Catalog'!$A:$A,MATCH($B822,'Catalog'!$B:$B,0)),IFERROR(INDEX('Catalog'!$A:$A,MATCH(TRIM(SUBSTITUTE($B822,CHAR(160)," ")),'Catalog'!$C:$C,0)),""))))</f>
        <v>4415073</v>
      </c>
      <c r="H822" s="8" t="str">
        <f aca="false">IFERROR(INDEX('TRANS'!$C:$C,MATCH($B822,'TRANS'!$A:$A,0)),IFERROR(INDEX('Catalog'!$B:$B,MATCH($G822,'Catalog'!$A:$A,0)),$B822))</f>
        <v>T28A L-XL סד לאגודל</v>
      </c>
      <c r="I822" s="8" t="str">
        <f aca="false">IF($G822="","Unmatched","Matched")</f>
        <v>Matched</v>
      </c>
      <c r="J822" s="8" t="n">
        <f aca="false">IF($G822&lt;&gt;"",$G822,$B822)</f>
        <v>4415073</v>
      </c>
      <c r="K822" s="8" t="str">
        <f aca="false">IF(COUNTIF($M$1:$M$10,$A822)&gt;0,"Y","N")</f>
        <v>Y</v>
      </c>
    </row>
    <row r="823" customFormat="false" ht="15" hidden="false" customHeight="true" outlineLevel="0" collapsed="false">
      <c r="A823" s="8" t="s">
        <v>44</v>
      </c>
      <c r="B823" s="8" t="s">
        <v>912</v>
      </c>
      <c r="C823" s="19" t="n">
        <v>7</v>
      </c>
      <c r="D823" s="19" t="n">
        <v>480.99</v>
      </c>
      <c r="E823" s="19" t="n">
        <v>4</v>
      </c>
      <c r="F823" s="19" t="n">
        <v>281.04</v>
      </c>
      <c r="G823" s="8" t="n">
        <f aca="false">IFERROR(INDEX('TRANS'!$B:$B,MATCH($B823,'TRANS'!$A:$A,0)),IFERROR(INDEX('TRANS'!$B:$B,MATCH(TRIM(SUBSTITUTE($B823,CHAR(160)," ")),'TRANS'!$D:$D,0)),IFERROR(INDEX('Catalog'!$A:$A,MATCH($B823,'Catalog'!$B:$B,0)),IFERROR(INDEX('Catalog'!$A:$A,MATCH(TRIM(SUBSTITUTE($B823,CHAR(160)," ")),'Catalog'!$C:$C,0)),""))))</f>
        <v>4415072</v>
      </c>
      <c r="H823" s="8" t="str">
        <f aca="false">IFERROR(INDEX('TRANS'!$C:$C,MATCH($B823,'TRANS'!$A:$A,0)),IFERROR(INDEX('Catalog'!$B:$B,MATCH($G823,'Catalog'!$A:$A,0)),$B823))</f>
        <v>T28A S-M סד לאגודל</v>
      </c>
      <c r="I823" s="8" t="str">
        <f aca="false">IF($G823="","Unmatched","Matched")</f>
        <v>Matched</v>
      </c>
      <c r="J823" s="8" t="n">
        <f aca="false">IF($G823&lt;&gt;"",$G823,$B823)</f>
        <v>4415072</v>
      </c>
      <c r="K823" s="8" t="str">
        <f aca="false">IF(COUNTIF($M$1:$M$10,$A823)&gt;0,"Y","N")</f>
        <v>Y</v>
      </c>
    </row>
    <row r="824" customFormat="false" ht="15" hidden="false" customHeight="true" outlineLevel="0" collapsed="false">
      <c r="A824" s="8" t="s">
        <v>44</v>
      </c>
      <c r="B824" s="8" t="s">
        <v>244</v>
      </c>
      <c r="C824" s="19" t="n">
        <v>1</v>
      </c>
      <c r="D824" s="19" t="n">
        <v>70.26</v>
      </c>
      <c r="E824" s="19" t="n">
        <v>1</v>
      </c>
      <c r="F824" s="19" t="n">
        <v>70.26</v>
      </c>
      <c r="G824" s="8" t="str">
        <f aca="false">IFERROR(INDEX('TRANS'!$B:$B,MATCH($B824,'TRANS'!$A:$A,0)),IFERROR(INDEX('TRANS'!$B:$B,MATCH(TRIM(SUBSTITUTE($B824,CHAR(160)," ")),'TRANS'!$D:$D,0)),IFERROR(INDEX('Catalog'!$A:$A,MATCH($B824,'Catalog'!$B:$B,0)),IFERROR(INDEX('Catalog'!$A:$A,MATCH(TRIM(SUBSTITUTE($B824,CHAR(160)," ")),'Catalog'!$C:$C,0)),""))))</f>
        <v/>
      </c>
      <c r="H824" s="8" t="str">
        <f aca="false">IFERROR(INDEX('TRANS'!$C:$C,MATCH($B824,'TRANS'!$A:$A,0)),IFERROR(INDEX('Catalog'!$B:$B,MATCH($G824,'Catalog'!$A:$A,0)),$B824))</f>
        <v>T28AC XXL</v>
      </c>
      <c r="I824" s="8" t="str">
        <f aca="false">IF($G824="","Unmatched","Matched")</f>
        <v>Unmatched</v>
      </c>
      <c r="J824" s="8" t="str">
        <f aca="false">IF($G824&lt;&gt;"",$G824,$B824)</f>
        <v>T28AC XXL</v>
      </c>
      <c r="K824" s="8" t="str">
        <f aca="false">IF(COUNTIF($M$1:$M$10,$A824)&gt;0,"Y","N")</f>
        <v>Y</v>
      </c>
    </row>
    <row r="825" customFormat="false" ht="15" hidden="false" customHeight="true" outlineLevel="0" collapsed="false">
      <c r="A825" s="8" t="s">
        <v>44</v>
      </c>
      <c r="B825" s="8" t="s">
        <v>90</v>
      </c>
      <c r="C825" s="19" t="n">
        <v>8</v>
      </c>
      <c r="D825" s="19" t="n">
        <v>904.99</v>
      </c>
      <c r="E825" s="19" t="n">
        <v>2</v>
      </c>
      <c r="F825" s="19" t="n">
        <v>229.99</v>
      </c>
      <c r="G825" s="8" t="str">
        <f aca="false">IFERROR(INDEX('TRANS'!$B:$B,MATCH($B825,'TRANS'!$A:$A,0)),IFERROR(INDEX('TRANS'!$B:$B,MATCH(TRIM(SUBSTITUTE($B825,CHAR(160)," ")),'TRANS'!$D:$D,0)),IFERROR(INDEX('Catalog'!$A:$A,MATCH($B825,'Catalog'!$B:$B,0)),IFERROR(INDEX('Catalog'!$A:$A,MATCH(TRIM(SUBSTITUTE($B825,CHAR(160)," ")),'Catalog'!$C:$C,0)),""))))</f>
        <v/>
      </c>
      <c r="H825" s="8" t="str">
        <f aca="false">IFERROR(INDEX('TRANS'!$C:$C,MATCH($B825,'TRANS'!$A:$A,0)),IFERROR(INDEX('Catalog'!$B:$B,MATCH($G825,'Catalog'!$A:$A,0)),$B825))</f>
        <v>T33 L</v>
      </c>
      <c r="I825" s="8" t="str">
        <f aca="false">IF($G825="","Unmatched","Matched")</f>
        <v>Unmatched</v>
      </c>
      <c r="J825" s="8" t="str">
        <f aca="false">IF($G825&lt;&gt;"",$G825,$B825)</f>
        <v>T33 L</v>
      </c>
      <c r="K825" s="8" t="str">
        <f aca="false">IF(COUNTIF($M$1:$M$10,$A825)&gt;0,"Y","N")</f>
        <v>Y</v>
      </c>
    </row>
    <row r="826" customFormat="false" ht="15" hidden="false" customHeight="true" outlineLevel="0" collapsed="false">
      <c r="A826" s="8" t="s">
        <v>44</v>
      </c>
      <c r="B826" s="8" t="s">
        <v>118</v>
      </c>
      <c r="C826" s="19" t="n">
        <v>6</v>
      </c>
      <c r="D826" s="19" t="n">
        <v>684.99</v>
      </c>
      <c r="E826" s="19" t="n">
        <v>1</v>
      </c>
      <c r="F826" s="19" t="n">
        <v>115</v>
      </c>
      <c r="G826" s="8" t="str">
        <f aca="false">IFERROR(INDEX('TRANS'!$B:$B,MATCH($B826,'TRANS'!$A:$A,0)),IFERROR(INDEX('TRANS'!$B:$B,MATCH(TRIM(SUBSTITUTE($B826,CHAR(160)," ")),'TRANS'!$D:$D,0)),IFERROR(INDEX('Catalog'!$A:$A,MATCH($B826,'Catalog'!$B:$B,0)),IFERROR(INDEX('Catalog'!$A:$A,MATCH(TRIM(SUBSTITUTE($B826,CHAR(160)," ")),'Catalog'!$C:$C,0)),""))))</f>
        <v/>
      </c>
      <c r="H826" s="8" t="str">
        <f aca="false">IFERROR(INDEX('TRANS'!$C:$C,MATCH($B826,'TRANS'!$A:$A,0)),IFERROR(INDEX('Catalog'!$B:$B,MATCH($G826,'Catalog'!$A:$A,0)),$B826))</f>
        <v>T33 XL</v>
      </c>
      <c r="I826" s="8" t="str">
        <f aca="false">IF($G826="","Unmatched","Matched")</f>
        <v>Unmatched</v>
      </c>
      <c r="J826" s="8" t="str">
        <f aca="false">IF($G826&lt;&gt;"",$G826,$B826)</f>
        <v>T33 XL</v>
      </c>
      <c r="K826" s="8" t="str">
        <f aca="false">IF(COUNTIF($M$1:$M$10,$A826)&gt;0,"Y","N")</f>
        <v>Y</v>
      </c>
    </row>
    <row r="827" customFormat="false" ht="15" hidden="false" customHeight="true" outlineLevel="0" collapsed="false">
      <c r="A827" s="8" t="s">
        <v>44</v>
      </c>
      <c r="B827" s="8" t="s">
        <v>159</v>
      </c>
      <c r="C827" s="19" t="n">
        <v>4</v>
      </c>
      <c r="D827" s="19" t="n">
        <v>454.99</v>
      </c>
      <c r="E827" s="19" t="n">
        <v>0</v>
      </c>
      <c r="F827" s="19" t="n">
        <v>0</v>
      </c>
      <c r="G827" s="8" t="str">
        <f aca="false">IFERROR(INDEX('TRANS'!$B:$B,MATCH($B827,'TRANS'!$A:$A,0)),IFERROR(INDEX('TRANS'!$B:$B,MATCH(TRIM(SUBSTITUTE($B827,CHAR(160)," ")),'TRANS'!$D:$D,0)),IFERROR(INDEX('Catalog'!$A:$A,MATCH($B827,'Catalog'!$B:$B,0)),IFERROR(INDEX('Catalog'!$A:$A,MATCH(TRIM(SUBSTITUTE($B827,CHAR(160)," ")),'Catalog'!$C:$C,0)),""))))</f>
        <v/>
      </c>
      <c r="H827" s="8" t="str">
        <f aca="false">IFERROR(INDEX('TRANS'!$C:$C,MATCH($B827,'TRANS'!$A:$A,0)),IFERROR(INDEX('Catalog'!$B:$B,MATCH($G827,'Catalog'!$A:$A,0)),$B827))</f>
        <v>T33 XXL</v>
      </c>
      <c r="I827" s="8" t="str">
        <f aca="false">IF($G827="","Unmatched","Matched")</f>
        <v>Unmatched</v>
      </c>
      <c r="J827" s="8" t="str">
        <f aca="false">IF($G827&lt;&gt;"",$G827,$B827)</f>
        <v>T33 XXL</v>
      </c>
      <c r="K827" s="8" t="str">
        <f aca="false">IF(COUNTIF($M$1:$M$10,$A827)&gt;0,"Y","N")</f>
        <v>Y</v>
      </c>
    </row>
    <row r="828" customFormat="false" ht="15" hidden="false" customHeight="true" outlineLevel="0" collapsed="false">
      <c r="A828" s="8" t="s">
        <v>44</v>
      </c>
      <c r="B828" s="8" t="s">
        <v>114</v>
      </c>
      <c r="C828" s="19" t="n">
        <v>9</v>
      </c>
      <c r="D828" s="19" t="n">
        <v>966.04</v>
      </c>
      <c r="E828" s="19" t="n">
        <v>5</v>
      </c>
      <c r="F828" s="19" t="n">
        <v>538.8</v>
      </c>
      <c r="G828" s="8" t="str">
        <f aca="false">IFERROR(INDEX('TRANS'!$B:$B,MATCH($B828,'TRANS'!$A:$A,0)),IFERROR(INDEX('TRANS'!$B:$B,MATCH(TRIM(SUBSTITUTE($B828,CHAR(160)," ")),'TRANS'!$D:$D,0)),IFERROR(INDEX('Catalog'!$A:$A,MATCH($B828,'Catalog'!$B:$B,0)),IFERROR(INDEX('Catalog'!$A:$A,MATCH(TRIM(SUBSTITUTE($B828,CHAR(160)," ")),'Catalog'!$C:$C,0)),""))))</f>
        <v/>
      </c>
      <c r="H828" s="8" t="str">
        <f aca="false">IFERROR(INDEX('TRANS'!$C:$C,MATCH($B828,'TRANS'!$A:$A,0)),IFERROR(INDEX('Catalog'!$B:$B,MATCH($G828,'Catalog'!$A:$A,0)),$B828))</f>
        <v>T39 L</v>
      </c>
      <c r="I828" s="8" t="str">
        <f aca="false">IF($G828="","Unmatched","Matched")</f>
        <v>Unmatched</v>
      </c>
      <c r="J828" s="8" t="str">
        <f aca="false">IF($G828&lt;&gt;"",$G828,$B828)</f>
        <v>T39 L</v>
      </c>
      <c r="K828" s="8" t="str">
        <f aca="false">IF(COUNTIF($M$1:$M$10,$A828)&gt;0,"Y","N")</f>
        <v>Y</v>
      </c>
    </row>
    <row r="829" customFormat="false" ht="15" hidden="false" customHeight="true" outlineLevel="0" collapsed="false">
      <c r="A829" s="8" t="s">
        <v>44</v>
      </c>
      <c r="B829" s="8" t="s">
        <v>110</v>
      </c>
      <c r="C829" s="19" t="n">
        <v>8</v>
      </c>
      <c r="D829" s="19" t="n">
        <v>854.45</v>
      </c>
      <c r="E829" s="19" t="n">
        <v>4</v>
      </c>
      <c r="F829" s="19" t="n">
        <v>431.04</v>
      </c>
      <c r="G829" s="8" t="str">
        <f aca="false">IFERROR(INDEX('TRANS'!$B:$B,MATCH($B829,'TRANS'!$A:$A,0)),IFERROR(INDEX('TRANS'!$B:$B,MATCH(TRIM(SUBSTITUTE($B829,CHAR(160)," ")),'TRANS'!$D:$D,0)),IFERROR(INDEX('Catalog'!$A:$A,MATCH($B829,'Catalog'!$B:$B,0)),IFERROR(INDEX('Catalog'!$A:$A,MATCH(TRIM(SUBSTITUTE($B829,CHAR(160)," ")),'Catalog'!$C:$C,0)),""))))</f>
        <v/>
      </c>
      <c r="H829" s="8" t="str">
        <f aca="false">IFERROR(INDEX('TRANS'!$C:$C,MATCH($B829,'TRANS'!$A:$A,0)),IFERROR(INDEX('Catalog'!$B:$B,MATCH($G829,'Catalog'!$A:$A,0)),$B829))</f>
        <v>T39 M</v>
      </c>
      <c r="I829" s="8" t="str">
        <f aca="false">IF($G829="","Unmatched","Matched")</f>
        <v>Unmatched</v>
      </c>
      <c r="J829" s="8" t="str">
        <f aca="false">IF($G829&lt;&gt;"",$G829,$B829)</f>
        <v>T39 M</v>
      </c>
      <c r="K829" s="8" t="str">
        <f aca="false">IF(COUNTIF($M$1:$M$10,$A829)&gt;0,"Y","N")</f>
        <v>Y</v>
      </c>
    </row>
    <row r="830" customFormat="false" ht="15" hidden="false" customHeight="true" outlineLevel="0" collapsed="false">
      <c r="A830" s="8" t="s">
        <v>44</v>
      </c>
      <c r="B830" s="8" t="s">
        <v>88</v>
      </c>
      <c r="C830" s="19" t="n">
        <v>0</v>
      </c>
      <c r="D830" s="19" t="n">
        <v>0</v>
      </c>
      <c r="E830" s="19" t="n">
        <v>1</v>
      </c>
      <c r="F830" s="19" t="n">
        <v>85.26</v>
      </c>
      <c r="G830" s="8" t="str">
        <f aca="false">IFERROR(INDEX('TRANS'!$B:$B,MATCH($B830,'TRANS'!$A:$A,0)),IFERROR(INDEX('TRANS'!$B:$B,MATCH(TRIM(SUBSTITUTE($B830,CHAR(160)," ")),'TRANS'!$D:$D,0)),IFERROR(INDEX('Catalog'!$A:$A,MATCH($B830,'Catalog'!$B:$B,0)),IFERROR(INDEX('Catalog'!$A:$A,MATCH(TRIM(SUBSTITUTE($B830,CHAR(160)," ")),'Catalog'!$C:$C,0)),""))))</f>
        <v/>
      </c>
      <c r="H830" s="8" t="str">
        <f aca="false">IFERROR(INDEX('TRANS'!$C:$C,MATCH($B830,'TRANS'!$A:$A,0)),IFERROR(INDEX('Catalog'!$B:$B,MATCH($G830,'Catalog'!$A:$A,0)),$B830))</f>
        <v>T40B 0</v>
      </c>
      <c r="I830" s="8" t="str">
        <f aca="false">IF($G830="","Unmatched","Matched")</f>
        <v>Unmatched</v>
      </c>
      <c r="J830" s="8" t="str">
        <f aca="false">IF($G830&lt;&gt;"",$G830,$B830)</f>
        <v>T40B 0</v>
      </c>
      <c r="K830" s="8" t="str">
        <f aca="false">IF(COUNTIF($M$1:$M$10,$A830)&gt;0,"Y","N")</f>
        <v>Y</v>
      </c>
    </row>
    <row r="831" customFormat="false" ht="15" hidden="false" customHeight="true" outlineLevel="0" collapsed="false">
      <c r="A831" s="8" t="s">
        <v>44</v>
      </c>
      <c r="B831" s="8" t="s">
        <v>965</v>
      </c>
      <c r="C831" s="19" t="n">
        <v>1</v>
      </c>
      <c r="D831" s="19" t="n">
        <v>105.42</v>
      </c>
      <c r="E831" s="19" t="n">
        <v>1</v>
      </c>
      <c r="F831" s="19" t="n">
        <v>105.42</v>
      </c>
      <c r="G831" s="8" t="n">
        <f aca="false">IFERROR(INDEX('TRANS'!$B:$B,MATCH($B831,'TRANS'!$A:$A,0)),IFERROR(INDEX('TRANS'!$B:$B,MATCH(TRIM(SUBSTITUTE($B831,CHAR(160)," ")),'TRANS'!$D:$D,0)),IFERROR(INDEX('Catalog'!$A:$A,MATCH($B831,'Catalog'!$B:$B,0)),IFERROR(INDEX('Catalog'!$A:$A,MATCH(TRIM(SUBSTITUTE($B831,CHAR(160)," ")),'Catalog'!$C:$C,0)),""))))</f>
        <v>4413184</v>
      </c>
      <c r="H831" s="8" t="str">
        <f aca="false">IFERROR(INDEX('TRANS'!$C:$C,MATCH($B831,'TRANS'!$A:$A,0)),IFERROR(INDEX('Catalog'!$B:$B,MATCH($G831,'Catalog'!$A:$A,0)),$B831))</f>
        <v>T 45 L מגן ברך רגיל</v>
      </c>
      <c r="I831" s="8" t="str">
        <f aca="false">IF($G831="","Unmatched","Matched")</f>
        <v>Matched</v>
      </c>
      <c r="J831" s="8" t="n">
        <f aca="false">IF($G831&lt;&gt;"",$G831,$B831)</f>
        <v>4413184</v>
      </c>
      <c r="K831" s="8" t="str">
        <f aca="false">IF(COUNTIF($M$1:$M$10,$A831)&gt;0,"Y","N")</f>
        <v>Y</v>
      </c>
    </row>
    <row r="832" customFormat="false" ht="15" hidden="false" customHeight="true" outlineLevel="0" collapsed="false">
      <c r="A832" s="8" t="s">
        <v>44</v>
      </c>
      <c r="B832" s="8" t="s">
        <v>773</v>
      </c>
      <c r="C832" s="19" t="n">
        <v>0</v>
      </c>
      <c r="D832" s="19" t="n">
        <v>0</v>
      </c>
      <c r="E832" s="19" t="n">
        <v>5</v>
      </c>
      <c r="F832" s="19" t="n">
        <v>527.1</v>
      </c>
      <c r="G832" s="8" t="n">
        <f aca="false">IFERROR(INDEX('TRANS'!$B:$B,MATCH($B832,'TRANS'!$A:$A,0)),IFERROR(INDEX('TRANS'!$B:$B,MATCH(TRIM(SUBSTITUTE($B832,CHAR(160)," ")),'TRANS'!$D:$D,0)),IFERROR(INDEX('Catalog'!$A:$A,MATCH($B832,'Catalog'!$B:$B,0)),IFERROR(INDEX('Catalog'!$A:$A,MATCH(TRIM(SUBSTITUTE($B832,CHAR(160)," ")),'Catalog'!$C:$C,0)),""))))</f>
        <v>4413183</v>
      </c>
      <c r="H832" s="8" t="str">
        <f aca="false">IFERROR(INDEX('TRANS'!$C:$C,MATCH($B832,'TRANS'!$A:$A,0)),IFERROR(INDEX('Catalog'!$B:$B,MATCH($G832,'Catalog'!$A:$A,0)),$B832))</f>
        <v>T 45 M מגן ברך רגיל</v>
      </c>
      <c r="I832" s="8" t="str">
        <f aca="false">IF($G832="","Unmatched","Matched")</f>
        <v>Matched</v>
      </c>
      <c r="J832" s="8" t="n">
        <f aca="false">IF($G832&lt;&gt;"",$G832,$B832)</f>
        <v>4413183</v>
      </c>
      <c r="K832" s="8" t="str">
        <f aca="false">IF(COUNTIF($M$1:$M$10,$A832)&gt;0,"Y","N")</f>
        <v>Y</v>
      </c>
    </row>
    <row r="833" customFormat="false" ht="15" hidden="false" customHeight="true" outlineLevel="0" collapsed="false">
      <c r="A833" s="8" t="s">
        <v>44</v>
      </c>
      <c r="B833" s="8" t="s">
        <v>966</v>
      </c>
      <c r="C833" s="19" t="n">
        <v>0</v>
      </c>
      <c r="D833" s="19" t="n">
        <v>0</v>
      </c>
      <c r="E833" s="19" t="n">
        <v>1</v>
      </c>
      <c r="F833" s="19" t="n">
        <v>105.42</v>
      </c>
      <c r="G833" s="8" t="n">
        <f aca="false">IFERROR(INDEX('TRANS'!$B:$B,MATCH($B833,'TRANS'!$A:$A,0)),IFERROR(INDEX('TRANS'!$B:$B,MATCH(TRIM(SUBSTITUTE($B833,CHAR(160)," ")),'TRANS'!$D:$D,0)),IFERROR(INDEX('Catalog'!$A:$A,MATCH($B833,'Catalog'!$B:$B,0)),IFERROR(INDEX('Catalog'!$A:$A,MATCH(TRIM(SUBSTITUTE($B833,CHAR(160)," ")),'Catalog'!$C:$C,0)),""))))</f>
        <v>4413185</v>
      </c>
      <c r="H833" s="8" t="str">
        <f aca="false">IFERROR(INDEX('TRANS'!$C:$C,MATCH($B833,'TRANS'!$A:$A,0)),IFERROR(INDEX('Catalog'!$B:$B,MATCH($G833,'Catalog'!$A:$A,0)),$B833))</f>
        <v>T 45XL מגן ברך רגיל</v>
      </c>
      <c r="I833" s="8" t="str">
        <f aca="false">IF($G833="","Unmatched","Matched")</f>
        <v>Matched</v>
      </c>
      <c r="J833" s="8" t="n">
        <f aca="false">IF($G833&lt;&gt;"",$G833,$B833)</f>
        <v>4413185</v>
      </c>
      <c r="K833" s="8" t="str">
        <f aca="false">IF(COUNTIF($M$1:$M$10,$A833)&gt;0,"Y","N")</f>
        <v>Y</v>
      </c>
    </row>
    <row r="834" customFormat="false" ht="15" hidden="false" customHeight="true" outlineLevel="0" collapsed="false">
      <c r="A834" s="8" t="s">
        <v>44</v>
      </c>
      <c r="B834" s="8" t="s">
        <v>168</v>
      </c>
      <c r="C834" s="19" t="n">
        <v>0</v>
      </c>
      <c r="D834" s="19" t="n">
        <v>0</v>
      </c>
      <c r="E834" s="19" t="n">
        <v>3</v>
      </c>
      <c r="F834" s="19" t="n">
        <v>240</v>
      </c>
      <c r="G834" s="8" t="str">
        <f aca="false">IFERROR(INDEX('TRANS'!$B:$B,MATCH($B834,'TRANS'!$A:$A,0)),IFERROR(INDEX('TRANS'!$B:$B,MATCH(TRIM(SUBSTITUTE($B834,CHAR(160)," ")),'TRANS'!$D:$D,0)),IFERROR(INDEX('Catalog'!$A:$A,MATCH($B834,'Catalog'!$B:$B,0)),IFERROR(INDEX('Catalog'!$A:$A,MATCH(TRIM(SUBSTITUTE($B834,CHAR(160)," ")),'Catalog'!$C:$C,0)),""))))</f>
        <v/>
      </c>
      <c r="H834" s="8" t="str">
        <f aca="false">IFERROR(INDEX('TRANS'!$C:$C,MATCH($B834,'TRANS'!$A:$A,0)),IFERROR(INDEX('Catalog'!$B:$B,MATCH($G834,'Catalog'!$A:$A,0)),$B834))</f>
        <v>T45X L</v>
      </c>
      <c r="I834" s="8" t="str">
        <f aca="false">IF($G834="","Unmatched","Matched")</f>
        <v>Unmatched</v>
      </c>
      <c r="J834" s="8" t="str">
        <f aca="false">IF($G834&lt;&gt;"",$G834,$B834)</f>
        <v>T45X L</v>
      </c>
      <c r="K834" s="8" t="str">
        <f aca="false">IF(COUNTIF($M$1:$M$10,$A834)&gt;0,"Y","N")</f>
        <v>Y</v>
      </c>
    </row>
    <row r="835" customFormat="false" ht="15" hidden="false" customHeight="true" outlineLevel="0" collapsed="false">
      <c r="A835" s="8" t="s">
        <v>44</v>
      </c>
      <c r="B835" s="8" t="s">
        <v>188</v>
      </c>
      <c r="C835" s="19" t="n">
        <v>0</v>
      </c>
      <c r="D835" s="19" t="n">
        <v>0</v>
      </c>
      <c r="E835" s="19" t="n">
        <v>2</v>
      </c>
      <c r="F835" s="19" t="n">
        <v>160.01</v>
      </c>
      <c r="G835" s="8" t="str">
        <f aca="false">IFERROR(INDEX('TRANS'!$B:$B,MATCH($B835,'TRANS'!$A:$A,0)),IFERROR(INDEX('TRANS'!$B:$B,MATCH(TRIM(SUBSTITUTE($B835,CHAR(160)," ")),'TRANS'!$D:$D,0)),IFERROR(INDEX('Catalog'!$A:$A,MATCH($B835,'Catalog'!$B:$B,0)),IFERROR(INDEX('Catalog'!$A:$A,MATCH(TRIM(SUBSTITUTE($B835,CHAR(160)," ")),'Catalog'!$C:$C,0)),""))))</f>
        <v/>
      </c>
      <c r="H835" s="8" t="str">
        <f aca="false">IFERROR(INDEX('TRANS'!$C:$C,MATCH($B835,'TRANS'!$A:$A,0)),IFERROR(INDEX('Catalog'!$B:$B,MATCH($G835,'Catalog'!$A:$A,0)),$B835))</f>
        <v>T45X M</v>
      </c>
      <c r="I835" s="8" t="str">
        <f aca="false">IF($G835="","Unmatched","Matched")</f>
        <v>Unmatched</v>
      </c>
      <c r="J835" s="8" t="str">
        <f aca="false">IF($G835&lt;&gt;"",$G835,$B835)</f>
        <v>T45X M</v>
      </c>
      <c r="K835" s="8" t="str">
        <f aca="false">IF(COUNTIF($M$1:$M$10,$A835)&gt;0,"Y","N")</f>
        <v>Y</v>
      </c>
    </row>
    <row r="836" customFormat="false" ht="15" hidden="false" customHeight="true" outlineLevel="0" collapsed="false">
      <c r="A836" s="8" t="s">
        <v>44</v>
      </c>
      <c r="B836" s="8" t="s">
        <v>907</v>
      </c>
      <c r="C836" s="19" t="n">
        <v>0</v>
      </c>
      <c r="D836" s="19" t="n">
        <v>0</v>
      </c>
      <c r="E836" s="19" t="n">
        <v>1</v>
      </c>
      <c r="F836" s="19" t="n">
        <v>80</v>
      </c>
      <c r="G836" s="8" t="n">
        <f aca="false">IFERROR(INDEX('TRANS'!$B:$B,MATCH($B836,'TRANS'!$A:$A,0)),IFERROR(INDEX('TRANS'!$B:$B,MATCH(TRIM(SUBSTITUTE($B836,CHAR(160)," ")),'TRANS'!$D:$D,0)),IFERROR(INDEX('Catalog'!$A:$A,MATCH($B836,'Catalog'!$B:$B,0)),IFERROR(INDEX('Catalog'!$A:$A,MATCH(TRIM(SUBSTITUTE($B836,CHAR(160)," ")),'Catalog'!$C:$C,0)),""))))</f>
        <v>4413224</v>
      </c>
      <c r="H836" s="8" t="str">
        <f aca="false">IFERROR(INDEX('TRANS'!$C:$C,MATCH($B836,'TRANS'!$A:$A,0)),IFERROR(INDEX('Catalog'!$B:$B,MATCH($G836,'Catalog'!$A:$A,0)),$B836))</f>
        <v>T45X XL מגן ברך רגיל</v>
      </c>
      <c r="I836" s="8" t="str">
        <f aca="false">IF($G836="","Unmatched","Matched")</f>
        <v>Matched</v>
      </c>
      <c r="J836" s="8" t="n">
        <f aca="false">IF($G836&lt;&gt;"",$G836,$B836)</f>
        <v>4413224</v>
      </c>
      <c r="K836" s="8" t="str">
        <f aca="false">IF(COUNTIF($M$1:$M$10,$A836)&gt;0,"Y","N")</f>
        <v>Y</v>
      </c>
    </row>
    <row r="837" customFormat="false" ht="15" hidden="false" customHeight="true" outlineLevel="0" collapsed="false">
      <c r="A837" s="8" t="s">
        <v>44</v>
      </c>
      <c r="B837" s="8" t="s">
        <v>850</v>
      </c>
      <c r="C837" s="19" t="n">
        <v>0</v>
      </c>
      <c r="D837" s="19" t="n">
        <v>0</v>
      </c>
      <c r="E837" s="19" t="n">
        <v>1</v>
      </c>
      <c r="F837" s="19" t="n">
        <v>80</v>
      </c>
      <c r="G837" s="8" t="n">
        <f aca="false">IFERROR(INDEX('TRANS'!$B:$B,MATCH($B837,'TRANS'!$A:$A,0)),IFERROR(INDEX('TRANS'!$B:$B,MATCH(TRIM(SUBSTITUTE($B837,CHAR(160)," ")),'TRANS'!$D:$D,0)),IFERROR(INDEX('Catalog'!$A:$A,MATCH($B837,'Catalog'!$B:$B,0)),IFERROR(INDEX('Catalog'!$A:$A,MATCH(TRIM(SUBSTITUTE($B837,CHAR(160)," ")),'Catalog'!$C:$C,0)),""))))</f>
        <v>4413260</v>
      </c>
      <c r="H837" s="8" t="str">
        <f aca="false">IFERROR(INDEX('TRANS'!$C:$C,MATCH($B837,'TRANS'!$A:$A,0)),IFERROR(INDEX('Catalog'!$B:$B,MATCH($G837,'Catalog'!$A:$A,0)),$B837))</f>
        <v>T45X-XXLמגן ברך רגיל</v>
      </c>
      <c r="I837" s="8" t="str">
        <f aca="false">IF($G837="","Unmatched","Matched")</f>
        <v>Matched</v>
      </c>
      <c r="J837" s="8" t="n">
        <f aca="false">IF($G837&lt;&gt;"",$G837,$B837)</f>
        <v>4413260</v>
      </c>
      <c r="K837" s="8" t="str">
        <f aca="false">IF(COUNTIF($M$1:$M$10,$A837)&gt;0,"Y","N")</f>
        <v>Y</v>
      </c>
    </row>
    <row r="838" customFormat="false" ht="15" hidden="false" customHeight="true" outlineLevel="0" collapsed="false">
      <c r="A838" s="8" t="s">
        <v>44</v>
      </c>
      <c r="B838" s="8" t="s">
        <v>123</v>
      </c>
      <c r="C838" s="19" t="n">
        <v>10</v>
      </c>
      <c r="D838" s="19" t="n">
        <v>1296</v>
      </c>
      <c r="E838" s="19" t="n">
        <v>1</v>
      </c>
      <c r="F838" s="19" t="n">
        <v>130</v>
      </c>
      <c r="G838" s="8" t="str">
        <f aca="false">IFERROR(INDEX('TRANS'!$B:$B,MATCH($B838,'TRANS'!$A:$A,0)),IFERROR(INDEX('TRANS'!$B:$B,MATCH(TRIM(SUBSTITUTE($B838,CHAR(160)," ")),'TRANS'!$D:$D,0)),IFERROR(INDEX('Catalog'!$A:$A,MATCH($B838,'Catalog'!$B:$B,0)),IFERROR(INDEX('Catalog'!$A:$A,MATCH(TRIM(SUBSTITUTE($B838,CHAR(160)," ")),'Catalog'!$C:$C,0)),""))))</f>
        <v/>
      </c>
      <c r="H838" s="8" t="str">
        <f aca="false">IFERROR(INDEX('TRANS'!$C:$C,MATCH($B838,'TRANS'!$A:$A,0)),IFERROR(INDEX('Catalog'!$B:$B,MATCH($G838,'Catalog'!$A:$A,0)),$B838))</f>
        <v>T78 XS</v>
      </c>
      <c r="I838" s="8" t="str">
        <f aca="false">IF($G838="","Unmatched","Matched")</f>
        <v>Unmatched</v>
      </c>
      <c r="J838" s="8" t="str">
        <f aca="false">IF($G838&lt;&gt;"",$G838,$B838)</f>
        <v>T78 XS</v>
      </c>
      <c r="K838" s="8" t="str">
        <f aca="false">IF(COUNTIF($M$1:$M$10,$A838)&gt;0,"Y","N")</f>
        <v>Y</v>
      </c>
    </row>
    <row r="839" customFormat="false" ht="15" hidden="false" customHeight="true" outlineLevel="0" collapsed="false">
      <c r="A839" s="8" t="s">
        <v>44</v>
      </c>
      <c r="B839" s="8" t="s">
        <v>447</v>
      </c>
      <c r="C839" s="19" t="n">
        <v>1</v>
      </c>
      <c r="D839" s="19" t="n">
        <v>113.38</v>
      </c>
      <c r="E839" s="19" t="n">
        <v>0</v>
      </c>
      <c r="F839" s="19" t="n">
        <v>0</v>
      </c>
      <c r="G839" s="8" t="str">
        <f aca="false">IFERROR(INDEX('TRANS'!$B:$B,MATCH($B839,'TRANS'!$A:$A,0)),IFERROR(INDEX('TRANS'!$B:$B,MATCH(TRIM(SUBSTITUTE($B839,CHAR(160)," ")),'TRANS'!$D:$D,0)),IFERROR(INDEX('Catalog'!$A:$A,MATCH($B839,'Catalog'!$B:$B,0)),IFERROR(INDEX('Catalog'!$A:$A,MATCH(TRIM(SUBSTITUTE($B839,CHAR(160)," ")),'Catalog'!$C:$C,0)),""))))</f>
        <v/>
      </c>
      <c r="H839" s="8" t="str">
        <f aca="false">IFERROR(INDEX('TRANS'!$C:$C,MATCH($B839,'TRANS'!$A:$A,0)),IFERROR(INDEX('Catalog'!$B:$B,MATCH($G839,'Catalog'!$A:$A,0)),$B839))</f>
        <v>T90 0</v>
      </c>
      <c r="I839" s="8" t="str">
        <f aca="false">IF($G839="","Unmatched","Matched")</f>
        <v>Unmatched</v>
      </c>
      <c r="J839" s="8" t="str">
        <f aca="false">IF($G839&lt;&gt;"",$G839,$B839)</f>
        <v>T90 0</v>
      </c>
      <c r="K839" s="8" t="str">
        <f aca="false">IF(COUNTIF($M$1:$M$10,$A839)&gt;0,"Y","N")</f>
        <v>Y</v>
      </c>
    </row>
    <row r="840" customFormat="false" ht="15" hidden="false" customHeight="true" outlineLevel="0" collapsed="false">
      <c r="A840" s="8" t="s">
        <v>44</v>
      </c>
      <c r="B840" s="8" t="s">
        <v>800</v>
      </c>
      <c r="C840" s="19" t="n">
        <v>3</v>
      </c>
      <c r="D840" s="19" t="n">
        <v>92.67</v>
      </c>
      <c r="E840" s="19" t="n">
        <v>8</v>
      </c>
      <c r="F840" s="19" t="n">
        <v>247.14</v>
      </c>
      <c r="G840" s="8" t="n">
        <f aca="false">IFERROR(INDEX('TRANS'!$B:$B,MATCH($B840,'TRANS'!$A:$A,0)),IFERROR(INDEX('TRANS'!$B:$B,MATCH(TRIM(SUBSTITUTE($B840,CHAR(160)," ")),'TRANS'!$D:$D,0)),IFERROR(INDEX('Catalog'!$A:$A,MATCH($B840,'Catalog'!$B:$B,0)),IFERROR(INDEX('Catalog'!$A:$A,MATCH(TRIM(SUBSTITUTE($B840,CHAR(160)," ")),'Catalog'!$C:$C,0)),""))))</f>
        <v>4413096</v>
      </c>
      <c r="H840" s="8" t="str">
        <f aca="false">IFERROR(INDEX('TRANS'!$C:$C,MATCH($B840,'TRANS'!$A:$A,0)),IFERROR(INDEX('Catalog'!$B:$B,MATCH($G840,'Catalog'!$A:$A,0)),$B840))</f>
        <v>45 XXL מגן ברך לבן</v>
      </c>
      <c r="I840" s="8" t="str">
        <f aca="false">IF($G840="","Unmatched","Matched")</f>
        <v>Matched</v>
      </c>
      <c r="J840" s="8" t="n">
        <f aca="false">IF($G840&lt;&gt;"",$G840,$B840)</f>
        <v>4413096</v>
      </c>
      <c r="K840" s="8" t="str">
        <f aca="false">IF(COUNTIF($M$1:$M$10,$A840)&gt;0,"Y","N")</f>
        <v>Y</v>
      </c>
    </row>
    <row r="841" customFormat="false" ht="15" hidden="false" customHeight="true" outlineLevel="0" collapsed="false">
      <c r="A841" s="8" t="s">
        <v>44</v>
      </c>
      <c r="B841" s="8" t="s">
        <v>816</v>
      </c>
      <c r="C841" s="19" t="n">
        <v>0</v>
      </c>
      <c r="D841" s="19" t="n">
        <v>0</v>
      </c>
      <c r="E841" s="19" t="n">
        <v>4</v>
      </c>
      <c r="F841" s="19" t="n">
        <v>560.01</v>
      </c>
      <c r="G841" s="8" t="n">
        <f aca="false">IFERROR(INDEX('TRANS'!$B:$B,MATCH($B841,'TRANS'!$A:$A,0)),IFERROR(INDEX('TRANS'!$B:$B,MATCH(TRIM(SUBSTITUTE($B841,CHAR(160)," ")),'TRANS'!$D:$D,0)),IFERROR(INDEX('Catalog'!$A:$A,MATCH($B841,'Catalog'!$B:$B,0)),IFERROR(INDEX('Catalog'!$A:$A,MATCH(TRIM(SUBSTITUTE($B841,CHAR(160)," ")),'Catalog'!$C:$C,0)),""))))</f>
        <v>4408078</v>
      </c>
      <c r="H841" s="8" t="str">
        <f aca="false">IFERROR(INDEX('TRANS'!$C:$C,MATCH($B841,'TRANS'!$A:$A,0)),IFERROR(INDEX('Catalog'!$B:$B,MATCH($G841,'Catalog'!$A:$A,0)),$B841))</f>
        <v>59L XLחגורת שבר לצד שמאל</v>
      </c>
      <c r="I841" s="8" t="str">
        <f aca="false">IF($G841="","Unmatched","Matched")</f>
        <v>Matched</v>
      </c>
      <c r="J841" s="8" t="n">
        <f aca="false">IF($G841&lt;&gt;"",$G841,$B841)</f>
        <v>4408078</v>
      </c>
      <c r="K841" s="8" t="str">
        <f aca="false">IF(COUNTIF($M$1:$M$10,$A841)&gt;0,"Y","N")</f>
        <v>Y</v>
      </c>
    </row>
    <row r="842" customFormat="false" ht="15" hidden="false" customHeight="true" outlineLevel="0" collapsed="false">
      <c r="A842" s="8" t="s">
        <v>44</v>
      </c>
      <c r="B842" s="8" t="s">
        <v>409</v>
      </c>
      <c r="C842" s="19" t="n">
        <v>1</v>
      </c>
      <c r="D842" s="19" t="n">
        <v>140</v>
      </c>
      <c r="E842" s="19" t="n">
        <v>0</v>
      </c>
      <c r="F842" s="19" t="n">
        <v>0</v>
      </c>
      <c r="G842" s="8" t="str">
        <f aca="false">IFERROR(INDEX('TRANS'!$B:$B,MATCH($B842,'TRANS'!$A:$A,0)),IFERROR(INDEX('TRANS'!$B:$B,MATCH(TRIM(SUBSTITUTE($B842,CHAR(160)," ")),'TRANS'!$D:$D,0)),IFERROR(INDEX('Catalog'!$A:$A,MATCH($B842,'Catalog'!$B:$B,0)),IFERROR(INDEX('Catalog'!$A:$A,MATCH(TRIM(SUBSTITUTE($B842,CHAR(160)," ")),'Catalog'!$C:$C,0)),""))))</f>
        <v/>
      </c>
      <c r="H842" s="8" t="str">
        <f aca="false">IFERROR(INDEX('TRANS'!$C:$C,MATCH($B842,'TRANS'!$A:$A,0)),IFERROR(INDEX('Catalog'!$B:$B,MATCH($G842,'Catalog'!$A:$A,0)),$B842))</f>
        <v>59L XXL</v>
      </c>
      <c r="I842" s="8" t="str">
        <f aca="false">IF($G842="","Unmatched","Matched")</f>
        <v>Unmatched</v>
      </c>
      <c r="J842" s="8" t="str">
        <f aca="false">IF($G842&lt;&gt;"",$G842,$B842)</f>
        <v>59L XXL</v>
      </c>
      <c r="K842" s="8" t="str">
        <f aca="false">IF(COUNTIF($M$1:$M$10,$A842)&gt;0,"Y","N")</f>
        <v>Y</v>
      </c>
    </row>
    <row r="843" customFormat="false" ht="15" hidden="false" customHeight="true" outlineLevel="0" collapsed="false">
      <c r="A843" s="8" t="s">
        <v>44</v>
      </c>
      <c r="B843" s="8" t="s">
        <v>400</v>
      </c>
      <c r="C843" s="19" t="n">
        <v>1</v>
      </c>
      <c r="D843" s="19" t="n">
        <v>140</v>
      </c>
      <c r="E843" s="19" t="n">
        <v>0</v>
      </c>
      <c r="F843" s="19" t="n">
        <v>0</v>
      </c>
      <c r="G843" s="8" t="str">
        <f aca="false">IFERROR(INDEX('TRANS'!$B:$B,MATCH($B843,'TRANS'!$A:$A,0)),IFERROR(INDEX('TRANS'!$B:$B,MATCH(TRIM(SUBSTITUTE($B843,CHAR(160)," ")),'TRANS'!$D:$D,0)),IFERROR(INDEX('Catalog'!$A:$A,MATCH($B843,'Catalog'!$B:$B,0)),IFERROR(INDEX('Catalog'!$A:$A,MATCH(TRIM(SUBSTITUTE($B843,CHAR(160)," ")),'Catalog'!$C:$C,0)),""))))</f>
        <v/>
      </c>
      <c r="H843" s="8" t="str">
        <f aca="false">IFERROR(INDEX('TRANS'!$C:$C,MATCH($B843,'TRANS'!$A:$A,0)),IFERROR(INDEX('Catalog'!$B:$B,MATCH($G843,'Catalog'!$A:$A,0)),$B843))</f>
        <v>59R XXL</v>
      </c>
      <c r="I843" s="8" t="str">
        <f aca="false">IF($G843="","Unmatched","Matched")</f>
        <v>Unmatched</v>
      </c>
      <c r="J843" s="8" t="str">
        <f aca="false">IF($G843&lt;&gt;"",$G843,$B843)</f>
        <v>59R XXL</v>
      </c>
      <c r="K843" s="8" t="str">
        <f aca="false">IF(COUNTIF($M$1:$M$10,$A843)&gt;0,"Y","N")</f>
        <v>Y</v>
      </c>
    </row>
    <row r="844" customFormat="false" ht="15" hidden="false" customHeight="true" outlineLevel="0" collapsed="false">
      <c r="A844" s="8" t="s">
        <v>44</v>
      </c>
      <c r="B844" s="8" t="s">
        <v>819</v>
      </c>
      <c r="C844" s="19" t="n">
        <v>24</v>
      </c>
      <c r="D844" s="19" t="n">
        <v>1191.03</v>
      </c>
      <c r="E844" s="19" t="n">
        <v>11</v>
      </c>
      <c r="F844" s="19" t="n">
        <v>545.96</v>
      </c>
      <c r="G844" s="8" t="n">
        <f aca="false">IFERROR(INDEX('TRANS'!$B:$B,MATCH($B844,'TRANS'!$A:$A,0)),IFERROR(INDEX('TRANS'!$B:$B,MATCH(TRIM(SUBSTITUTE($B844,CHAR(160)," ")),'TRANS'!$D:$D,0)),IFERROR(INDEX('Catalog'!$A:$A,MATCH($B844,'Catalog'!$B:$B,0)),IFERROR(INDEX('Catalog'!$A:$A,MATCH(TRIM(SUBSTITUTE($B844,CHAR(160)," ")),'Catalog'!$C:$C,0)),""))))</f>
        <v>4418003</v>
      </c>
      <c r="H844" s="8" t="str">
        <f aca="false">IFERROR(INDEX('TRANS'!$C:$C,MATCH($B844,'TRANS'!$A:$A,0)),IFERROR(INDEX('Catalog'!$B:$B,MATCH($G844,'Catalog'!$A:$A,0)),$B844))</f>
        <v>60 XL צוארון ספוגי</v>
      </c>
      <c r="I844" s="8" t="str">
        <f aca="false">IF($G844="","Unmatched","Matched")</f>
        <v>Matched</v>
      </c>
      <c r="J844" s="8" t="n">
        <f aca="false">IF($G844&lt;&gt;"",$G844,$B844)</f>
        <v>4418003</v>
      </c>
      <c r="K844" s="8" t="str">
        <f aca="false">IF(COUNTIF($M$1:$M$10,$A844)&gt;0,"Y","N")</f>
        <v>Y</v>
      </c>
    </row>
    <row r="845" customFormat="false" ht="15" hidden="false" customHeight="true" outlineLevel="0" collapsed="false">
      <c r="A845" s="8" t="s">
        <v>44</v>
      </c>
      <c r="B845" s="8" t="s">
        <v>574</v>
      </c>
      <c r="C845" s="19" t="n">
        <v>13</v>
      </c>
      <c r="D845" s="19" t="n">
        <v>1217.07</v>
      </c>
      <c r="E845" s="19" t="n">
        <v>9</v>
      </c>
      <c r="F845" s="19" t="n">
        <v>810.04</v>
      </c>
      <c r="G845" s="8" t="n">
        <f aca="false">IFERROR(INDEX('TRANS'!$B:$B,MATCH($B845,'TRANS'!$A:$A,0)),IFERROR(INDEX('TRANS'!$B:$B,MATCH(TRIM(SUBSTITUTE($B845,CHAR(160)," ")),'TRANS'!$D:$D,0)),IFERROR(INDEX('Catalog'!$A:$A,MATCH($B845,'Catalog'!$B:$B,0)),IFERROR(INDEX('Catalog'!$A:$A,MATCH(TRIM(SUBSTITUTE($B845,CHAR(160)," ")),'Catalog'!$C:$C,0)),""))))</f>
        <v>4408230</v>
      </c>
      <c r="H845" s="8" t="str">
        <f aca="false">IFERROR(INDEX('TRANS'!$C:$C,MATCH($B845,'TRANS'!$A:$A,0)),IFERROR(INDEX('Catalog'!$B:$B,MATCH($G845,'Catalog'!$A:$A,0)),$B845))</f>
        <v>16 L-XL חגורת הריון</v>
      </c>
      <c r="I845" s="8" t="str">
        <f aca="false">IF($G845="","Unmatched","Matched")</f>
        <v>Matched</v>
      </c>
      <c r="J845" s="8" t="n">
        <f aca="false">IF($G845&lt;&gt;"",$G845,$B845)</f>
        <v>4408230</v>
      </c>
      <c r="K845" s="8" t="str">
        <f aca="false">IF(COUNTIF($M$1:$M$10,$A845)&gt;0,"Y","N")</f>
        <v>Y</v>
      </c>
    </row>
    <row r="846" customFormat="false" ht="15" hidden="false" customHeight="true" outlineLevel="0" collapsed="false">
      <c r="A846" s="8" t="s">
        <v>44</v>
      </c>
      <c r="B846" s="8" t="s">
        <v>577</v>
      </c>
      <c r="C846" s="19" t="n">
        <v>1</v>
      </c>
      <c r="D846" s="19" t="n">
        <v>33.04</v>
      </c>
      <c r="E846" s="19" t="n">
        <v>1</v>
      </c>
      <c r="F846" s="19" t="n">
        <v>37.45</v>
      </c>
      <c r="G846" s="8" t="n">
        <f aca="false">IFERROR(INDEX('TRANS'!$B:$B,MATCH($B846,'TRANS'!$A:$A,0)),IFERROR(INDEX('TRANS'!$B:$B,MATCH(TRIM(SUBSTITUTE($B846,CHAR(160)," ")),'TRANS'!$D:$D,0)),IFERROR(INDEX('Catalog'!$A:$A,MATCH($B846,'Catalog'!$B:$B,0)),IFERROR(INDEX('Catalog'!$A:$A,MATCH(TRIM(SUBSTITUTE($B846,CHAR(160)," ")),'Catalog'!$C:$C,0)),""))))</f>
        <v>4411017</v>
      </c>
      <c r="H846" s="8" t="str">
        <f aca="false">IFERROR(INDEX('TRANS'!$C:$C,MATCH($B846,'TRANS'!$A:$A,0)),IFERROR(INDEX('Catalog'!$B:$B,MATCH($G846,'Catalog'!$A:$A,0)),$B846))</f>
        <v>211L כפפות לחץ</v>
      </c>
      <c r="I846" s="8" t="str">
        <f aca="false">IF($G846="","Unmatched","Matched")</f>
        <v>Matched</v>
      </c>
      <c r="J846" s="8" t="n">
        <f aca="false">IF($G846&lt;&gt;"",$G846,$B846)</f>
        <v>4411017</v>
      </c>
      <c r="K846" s="8" t="str">
        <f aca="false">IF(COUNTIF($M$1:$M$10,$A846)&gt;0,"Y","N")</f>
        <v>Y</v>
      </c>
    </row>
    <row r="847" customFormat="false" ht="15" hidden="false" customHeight="true" outlineLevel="0" collapsed="false">
      <c r="A847" s="8" t="s">
        <v>44</v>
      </c>
      <c r="B847" s="8" t="s">
        <v>578</v>
      </c>
      <c r="C847" s="19" t="n">
        <v>1</v>
      </c>
      <c r="D847" s="19" t="n">
        <v>28.63</v>
      </c>
      <c r="E847" s="19" t="n">
        <v>1</v>
      </c>
      <c r="F847" s="19" t="n">
        <v>37.44</v>
      </c>
      <c r="G847" s="8" t="n">
        <f aca="false">IFERROR(INDEX('TRANS'!$B:$B,MATCH($B847,'TRANS'!$A:$A,0)),IFERROR(INDEX('TRANS'!$B:$B,MATCH(TRIM(SUBSTITUTE($B847,CHAR(160)," ")),'TRANS'!$D:$D,0)),IFERROR(INDEX('Catalog'!$A:$A,MATCH($B847,'Catalog'!$B:$B,0)),IFERROR(INDEX('Catalog'!$A:$A,MATCH(TRIM(SUBSTITUTE($B847,CHAR(160)," ")),'Catalog'!$C:$C,0)),""))))</f>
        <v>4411018</v>
      </c>
      <c r="H847" s="8" t="str">
        <f aca="false">IFERROR(INDEX('TRANS'!$C:$C,MATCH($B847,'TRANS'!$A:$A,0)),IFERROR(INDEX('Catalog'!$B:$B,MATCH($G847,'Catalog'!$A:$A,0)),$B847))</f>
        <v>211M כפפות לחץ</v>
      </c>
      <c r="I847" s="8" t="str">
        <f aca="false">IF($G847="","Unmatched","Matched")</f>
        <v>Matched</v>
      </c>
      <c r="J847" s="8" t="n">
        <f aca="false">IF($G847&lt;&gt;"",$G847,$B847)</f>
        <v>4411018</v>
      </c>
      <c r="K847" s="8" t="str">
        <f aca="false">IF(COUNTIF($M$1:$M$10,$A847)&gt;0,"Y","N")</f>
        <v>Y</v>
      </c>
    </row>
    <row r="848" customFormat="false" ht="15" hidden="false" customHeight="true" outlineLevel="0" collapsed="false">
      <c r="A848" s="8" t="s">
        <v>44</v>
      </c>
      <c r="B848" s="8" t="s">
        <v>967</v>
      </c>
      <c r="C848" s="19" t="n">
        <v>2</v>
      </c>
      <c r="D848" s="19" t="n">
        <v>66.09</v>
      </c>
      <c r="E848" s="19" t="n">
        <v>-1</v>
      </c>
      <c r="F848" s="19" t="n">
        <v>-37.45</v>
      </c>
      <c r="G848" s="8" t="n">
        <f aca="false">IFERROR(INDEX('TRANS'!$B:$B,MATCH($B848,'TRANS'!$A:$A,0)),IFERROR(INDEX('TRANS'!$B:$B,MATCH(TRIM(SUBSTITUTE($B848,CHAR(160)," ")),'TRANS'!$D:$D,0)),IFERROR(INDEX('Catalog'!$A:$A,MATCH($B848,'Catalog'!$B:$B,0)),IFERROR(INDEX('Catalog'!$A:$A,MATCH(TRIM(SUBSTITUTE($B848,CHAR(160)," ")),'Catalog'!$C:$C,0)),""))))</f>
        <v>4411020</v>
      </c>
      <c r="H848" s="8" t="str">
        <f aca="false">IFERROR(INDEX('TRANS'!$C:$C,MATCH($B848,'TRANS'!$A:$A,0)),IFERROR(INDEX('Catalog'!$B:$B,MATCH($G848,'Catalog'!$A:$A,0)),$B848))</f>
        <v>211XL כפפות לחץ</v>
      </c>
      <c r="I848" s="8" t="str">
        <f aca="false">IF($G848="","Unmatched","Matched")</f>
        <v>Matched</v>
      </c>
      <c r="J848" s="8" t="n">
        <f aca="false">IF($G848&lt;&gt;"",$G848,$B848)</f>
        <v>4411020</v>
      </c>
      <c r="K848" s="8" t="str">
        <f aca="false">IF(COUNTIF($M$1:$M$10,$A848)&gt;0,"Y","N")</f>
        <v>Y</v>
      </c>
    </row>
    <row r="849" customFormat="false" ht="15" hidden="false" customHeight="true" outlineLevel="0" collapsed="false">
      <c r="A849" s="8" t="s">
        <v>44</v>
      </c>
      <c r="B849" s="8" t="s">
        <v>968</v>
      </c>
      <c r="C849" s="19" t="n">
        <v>20</v>
      </c>
      <c r="D849" s="19" t="n">
        <v>2079.91</v>
      </c>
      <c r="E849" s="19" t="n">
        <v>1</v>
      </c>
      <c r="F849" s="19" t="n">
        <v>103.67</v>
      </c>
      <c r="G849" s="8" t="n">
        <f aca="false">IFERROR(INDEX('TRANS'!$B:$B,MATCH($B849,'TRANS'!$A:$A,0)),IFERROR(INDEX('TRANS'!$B:$B,MATCH(TRIM(SUBSTITUTE($B849,CHAR(160)," ")),'TRANS'!$D:$D,0)),IFERROR(INDEX('Catalog'!$A:$A,MATCH($B849,'Catalog'!$B:$B,0)),IFERROR(INDEX('Catalog'!$A:$A,MATCH(TRIM(SUBSTITUTE($B849,CHAR(160)," ")),'Catalog'!$C:$C,0)),""))))</f>
        <v>4413118</v>
      </c>
      <c r="H849" s="8" t="str">
        <f aca="false">IFERROR(INDEX('TRANS'!$C:$C,MATCH($B849,'TRANS'!$A:$A,0)),IFERROR(INDEX('Catalog'!$B:$B,MATCH($G849,'Catalog'!$A:$A,0)),$B849))</f>
        <v>50 M מתלה אשכים לאחר ניתוח</v>
      </c>
      <c r="I849" s="8" t="str">
        <f aca="false">IF($G849="","Unmatched","Matched")</f>
        <v>Matched</v>
      </c>
      <c r="J849" s="8" t="n">
        <f aca="false">IF($G849&lt;&gt;"",$G849,$B849)</f>
        <v>4413118</v>
      </c>
      <c r="K849" s="8" t="str">
        <f aca="false">IF(COUNTIF($M$1:$M$10,$A849)&gt;0,"Y","N")</f>
        <v>Y</v>
      </c>
    </row>
    <row r="850" customFormat="false" ht="15" hidden="false" customHeight="true" outlineLevel="0" collapsed="false">
      <c r="A850" s="8" t="s">
        <v>44</v>
      </c>
      <c r="B850" s="8" t="s">
        <v>715</v>
      </c>
      <c r="C850" s="19" t="n">
        <v>32</v>
      </c>
      <c r="D850" s="19" t="n">
        <v>1663.44</v>
      </c>
      <c r="E850" s="19" t="n">
        <v>30</v>
      </c>
      <c r="F850" s="19" t="n">
        <v>1559.44</v>
      </c>
      <c r="G850" s="8" t="n">
        <f aca="false">IFERROR(INDEX('TRANS'!$B:$B,MATCH($B850,'TRANS'!$A:$A,0)),IFERROR(INDEX('TRANS'!$B:$B,MATCH(TRIM(SUBSTITUTE($B850,CHAR(160)," ")),'TRANS'!$D:$D,0)),IFERROR(INDEX('Catalog'!$A:$A,MATCH($B850,'Catalog'!$B:$B,0)),IFERROR(INDEX('Catalog'!$A:$A,MATCH(TRIM(SUBSTITUTE($B850,CHAR(160)," ")),'Catalog'!$C:$C,0)),""))))</f>
        <v>4413455</v>
      </c>
      <c r="H850" s="8" t="str">
        <f aca="false">IFERROR(INDEX('TRANS'!$C:$C,MATCH($B850,'TRANS'!$A:$A,0)),IFERROR(INDEX('Catalog'!$B:$B,MATCH($G850,'Catalog'!$A:$A,0)),$B850))</f>
        <v>85K מתלה ליד לילדים</v>
      </c>
      <c r="I850" s="8" t="str">
        <f aca="false">IF($G850="","Unmatched","Matched")</f>
        <v>Matched</v>
      </c>
      <c r="J850" s="8" t="n">
        <f aca="false">IF($G850&lt;&gt;"",$G850,$B850)</f>
        <v>4413455</v>
      </c>
      <c r="K850" s="8" t="str">
        <f aca="false">IF(COUNTIF($M$1:$M$10,$A850)&gt;0,"Y","N")</f>
        <v>Y</v>
      </c>
    </row>
    <row r="851" customFormat="false" ht="15" hidden="false" customHeight="true" outlineLevel="0" collapsed="false">
      <c r="A851" s="8" t="s">
        <v>44</v>
      </c>
      <c r="B851" s="8" t="s">
        <v>732</v>
      </c>
      <c r="C851" s="19" t="n">
        <v>14</v>
      </c>
      <c r="D851" s="19" t="n">
        <v>787.43</v>
      </c>
      <c r="E851" s="19" t="n">
        <v>18</v>
      </c>
      <c r="F851" s="19" t="n">
        <v>1428.39</v>
      </c>
      <c r="G851" s="8" t="n">
        <f aca="false">IFERROR(INDEX('TRANS'!$B:$B,MATCH($B851,'TRANS'!$A:$A,0)),IFERROR(INDEX('TRANS'!$B:$B,MATCH(TRIM(SUBSTITUTE($B851,CHAR(160)," ")),'TRANS'!$D:$D,0)),IFERROR(INDEX('Catalog'!$A:$A,MATCH($B851,'Catalog'!$B:$B,0)),IFERROR(INDEX('Catalog'!$A:$A,MATCH(TRIM(SUBSTITUTE($B851,CHAR(160)," ")),'Catalog'!$C:$C,0)),""))))</f>
        <v>4413456</v>
      </c>
      <c r="H851" s="8" t="str">
        <f aca="false">IFERROR(INDEX('TRANS'!$C:$C,MATCH($B851,'TRANS'!$A:$A,0)),IFERROR(INDEX('Catalog'!$B:$B,MATCH($G851,'Catalog'!$A:$A,0)),$B851))</f>
        <v>AC75 XXL  מיישר כתפיים אקטיב</v>
      </c>
      <c r="I851" s="8" t="str">
        <f aca="false">IF($G851="","Unmatched","Matched")</f>
        <v>Matched</v>
      </c>
      <c r="J851" s="8" t="n">
        <f aca="false">IF($G851&lt;&gt;"",$G851,$B851)</f>
        <v>4413456</v>
      </c>
      <c r="K851" s="8" t="str">
        <f aca="false">IF(COUNTIF($M$1:$M$10,$A851)&gt;0,"Y","N")</f>
        <v>Y</v>
      </c>
    </row>
    <row r="852" customFormat="false" ht="15" hidden="false" customHeight="true" outlineLevel="0" collapsed="false">
      <c r="A852" s="8" t="s">
        <v>44</v>
      </c>
      <c r="B852" s="8" t="s">
        <v>670</v>
      </c>
      <c r="C852" s="19" t="n">
        <v>11</v>
      </c>
      <c r="D852" s="19" t="n">
        <v>547.52</v>
      </c>
      <c r="E852" s="19" t="n">
        <v>8</v>
      </c>
      <c r="F852" s="19" t="n">
        <v>398.52</v>
      </c>
      <c r="G852" s="8" t="n">
        <f aca="false">IFERROR(INDEX('TRANS'!$B:$B,MATCH($B852,'TRANS'!$A:$A,0)),IFERROR(INDEX('TRANS'!$B:$B,MATCH(TRIM(SUBSTITUTE($B852,CHAR(160)," ")),'TRANS'!$D:$D,0)),IFERROR(INDEX('Catalog'!$A:$A,MATCH($B852,'Catalog'!$B:$B,0)),IFERROR(INDEX('Catalog'!$A:$A,MATCH(TRIM(SUBSTITUTE($B852,CHAR(160)," ")),'Catalog'!$C:$C,0)),""))))</f>
        <v>4420016</v>
      </c>
      <c r="H852" s="8" t="str">
        <f aca="false">IFERROR(INDEX('TRANS'!$C:$C,MATCH($B852,'TRANS'!$A:$A,0)),IFERROR(INDEX('Catalog'!$B:$B,MATCH($G852,'Catalog'!$A:$A,0)),$B852))</f>
        <v>40-רצועת פיקה לברך</v>
      </c>
      <c r="I852" s="8" t="str">
        <f aca="false">IF($G852="","Unmatched","Matched")</f>
        <v>Matched</v>
      </c>
      <c r="J852" s="8" t="n">
        <f aca="false">IF($G852&lt;&gt;"",$G852,$B852)</f>
        <v>4420016</v>
      </c>
      <c r="K852" s="8" t="str">
        <f aca="false">IF(COUNTIF($M$1:$M$10,$A852)&gt;0,"Y","N")</f>
        <v>Y</v>
      </c>
    </row>
    <row r="853" customFormat="false" ht="15" hidden="false" customHeight="true" outlineLevel="0" collapsed="false">
      <c r="A853" s="8" t="s">
        <v>44</v>
      </c>
      <c r="B853" s="8" t="s">
        <v>568</v>
      </c>
      <c r="C853" s="19" t="n">
        <v>23</v>
      </c>
      <c r="D853" s="19" t="n">
        <v>1843</v>
      </c>
      <c r="E853" s="19" t="n">
        <v>8</v>
      </c>
      <c r="F853" s="19" t="n">
        <v>679.99</v>
      </c>
      <c r="G853" s="8" t="n">
        <f aca="false">IFERROR(INDEX('TRANS'!$B:$B,MATCH($B853,'TRANS'!$A:$A,0)),IFERROR(INDEX('TRANS'!$B:$B,MATCH(TRIM(SUBSTITUTE($B853,CHAR(160)," ")),'TRANS'!$D:$D,0)),IFERROR(INDEX('Catalog'!$A:$A,MATCH($B853,'Catalog'!$B:$B,0)),IFERROR(INDEX('Catalog'!$A:$A,MATCH(TRIM(SUBSTITUTE($B853,CHAR(160)," ")),'Catalog'!$C:$C,0)),""))))</f>
        <v>4408115</v>
      </c>
      <c r="H853" s="8" t="str">
        <f aca="false">IFERROR(INDEX('TRANS'!$C:$C,MATCH($B853,'TRANS'!$A:$A,0)),IFERROR(INDEX('Catalog'!$B:$B,MATCH($G853,'Catalog'!$A:$A,0)),$B853))</f>
        <v>11EU L ח.בטן לאחר ניתוח</v>
      </c>
      <c r="I853" s="8" t="str">
        <f aca="false">IF($G853="","Unmatched","Matched")</f>
        <v>Matched</v>
      </c>
      <c r="J853" s="8" t="n">
        <f aca="false">IF($G853&lt;&gt;"",$G853,$B853)</f>
        <v>4408115</v>
      </c>
      <c r="K853" s="8" t="str">
        <f aca="false">IF(COUNTIF($M$1:$M$10,$A853)&gt;0,"Y","N")</f>
        <v>Y</v>
      </c>
    </row>
    <row r="854" customFormat="false" ht="15" hidden="false" customHeight="true" outlineLevel="0" collapsed="false">
      <c r="A854" s="8" t="s">
        <v>44</v>
      </c>
      <c r="B854" s="8" t="s">
        <v>449</v>
      </c>
      <c r="C854" s="19" t="n">
        <v>1</v>
      </c>
      <c r="D854" s="19" t="n">
        <v>42.06</v>
      </c>
      <c r="E854" s="19" t="n">
        <v>0</v>
      </c>
      <c r="F854" s="19" t="n">
        <v>0</v>
      </c>
      <c r="G854" s="8" t="str">
        <f aca="false">IFERROR(INDEX('TRANS'!$B:$B,MATCH($B854,'TRANS'!$A:$A,0)),IFERROR(INDEX('TRANS'!$B:$B,MATCH(TRIM(SUBSTITUTE($B854,CHAR(160)," ")),'TRANS'!$D:$D,0)),IFERROR(INDEX('Catalog'!$A:$A,MATCH($B854,'Catalog'!$B:$B,0)),IFERROR(INDEX('Catalog'!$A:$A,MATCH(TRIM(SUBSTITUTE($B854,CHAR(160)," ")),'Catalog'!$C:$C,0)),""))))</f>
        <v/>
      </c>
      <c r="H854" s="8" t="str">
        <f aca="false">IFERROR(INDEX('TRANS'!$C:$C,MATCH($B854,'TRANS'!$A:$A,0)),IFERROR(INDEX('Catalog'!$B:$B,MATCH($G854,'Catalog'!$A:$A,0)),$B854))</f>
        <v>392B-35-38</v>
      </c>
      <c r="I854" s="8" t="str">
        <f aca="false">IF($G854="","Unmatched","Matched")</f>
        <v>Unmatched</v>
      </c>
      <c r="J854" s="8" t="str">
        <f aca="false">IF($G854&lt;&gt;"",$G854,$B854)</f>
        <v>392B-35-38</v>
      </c>
      <c r="K854" s="8" t="str">
        <f aca="false">IF(COUNTIF($M$1:$M$10,$A854)&gt;0,"Y","N")</f>
        <v>Y</v>
      </c>
    </row>
    <row r="855" customFormat="false" ht="15" hidden="false" customHeight="true" outlineLevel="0" collapsed="false">
      <c r="A855" s="8" t="s">
        <v>44</v>
      </c>
      <c r="B855" s="8" t="s">
        <v>450</v>
      </c>
      <c r="C855" s="19" t="n">
        <v>1</v>
      </c>
      <c r="D855" s="19" t="n">
        <v>42.06</v>
      </c>
      <c r="E855" s="19" t="n">
        <v>0</v>
      </c>
      <c r="F855" s="19" t="n">
        <v>0</v>
      </c>
      <c r="G855" s="8" t="str">
        <f aca="false">IFERROR(INDEX('TRANS'!$B:$B,MATCH($B855,'TRANS'!$A:$A,0)),IFERROR(INDEX('TRANS'!$B:$B,MATCH(TRIM(SUBSTITUTE($B855,CHAR(160)," ")),'TRANS'!$D:$D,0)),IFERROR(INDEX('Catalog'!$A:$A,MATCH($B855,'Catalog'!$B:$B,0)),IFERROR(INDEX('Catalog'!$A:$A,MATCH(TRIM(SUBSTITUTE($B855,CHAR(160)," ")),'Catalog'!$C:$C,0)),""))))</f>
        <v/>
      </c>
      <c r="H855" s="8" t="str">
        <f aca="false">IFERROR(INDEX('TRANS'!$C:$C,MATCH($B855,'TRANS'!$A:$A,0)),IFERROR(INDEX('Catalog'!$B:$B,MATCH($G855,'Catalog'!$A:$A,0)),$B855))</f>
        <v>392B-39-42</v>
      </c>
      <c r="I855" s="8" t="str">
        <f aca="false">IF($G855="","Unmatched","Matched")</f>
        <v>Unmatched</v>
      </c>
      <c r="J855" s="8" t="str">
        <f aca="false">IF($G855&lt;&gt;"",$G855,$B855)</f>
        <v>392B-39-42</v>
      </c>
      <c r="K855" s="8" t="str">
        <f aca="false">IF(COUNTIF($M$1:$M$10,$A855)&gt;0,"Y","N")</f>
        <v>Y</v>
      </c>
    </row>
    <row r="856" customFormat="false" ht="15" hidden="false" customHeight="true" outlineLevel="0" collapsed="false">
      <c r="A856" s="8" t="s">
        <v>44</v>
      </c>
      <c r="B856" s="8" t="s">
        <v>421</v>
      </c>
      <c r="C856" s="19" t="n">
        <v>2</v>
      </c>
      <c r="D856" s="19" t="n">
        <v>160.8</v>
      </c>
      <c r="E856" s="19" t="n">
        <v>0</v>
      </c>
      <c r="F856" s="19" t="n">
        <v>0</v>
      </c>
      <c r="G856" s="8" t="str">
        <f aca="false">IFERROR(INDEX('TRANS'!$B:$B,MATCH($B856,'TRANS'!$A:$A,0)),IFERROR(INDEX('TRANS'!$B:$B,MATCH(TRIM(SUBSTITUTE($B856,CHAR(160)," ")),'TRANS'!$D:$D,0)),IFERROR(INDEX('Catalog'!$A:$A,MATCH($B856,'Catalog'!$B:$B,0)),IFERROR(INDEX('Catalog'!$A:$A,MATCH(TRIM(SUBSTITUTE($B856,CHAR(160)," ")),'Catalog'!$C:$C,0)),""))))</f>
        <v/>
      </c>
      <c r="H856" s="8" t="str">
        <f aca="false">IFERROR(INDEX('TRANS'!$C:$C,MATCH($B856,'TRANS'!$A:$A,0)),IFERROR(INDEX('Catalog'!$B:$B,MATCH($G856,'Catalog'!$A:$A,0)),$B856))</f>
        <v>78AB XL</v>
      </c>
      <c r="I856" s="8" t="str">
        <f aca="false">IF($G856="","Unmatched","Matched")</f>
        <v>Unmatched</v>
      </c>
      <c r="J856" s="8" t="str">
        <f aca="false">IF($G856&lt;&gt;"",$G856,$B856)</f>
        <v>78AB XL</v>
      </c>
      <c r="K856" s="8" t="str">
        <f aca="false">IF(COUNTIF($M$1:$M$10,$A856)&gt;0,"Y","N")</f>
        <v>Y</v>
      </c>
    </row>
    <row r="857" customFormat="false" ht="15" hidden="false" customHeight="true" outlineLevel="0" collapsed="false">
      <c r="A857" s="8" t="s">
        <v>44</v>
      </c>
      <c r="B857" s="8" t="s">
        <v>149</v>
      </c>
      <c r="C857" s="19" t="n">
        <v>0</v>
      </c>
      <c r="D857" s="19" t="n">
        <v>0</v>
      </c>
      <c r="E857" s="19" t="n">
        <v>4</v>
      </c>
      <c r="F857" s="19" t="n">
        <v>1400</v>
      </c>
      <c r="G857" s="8" t="str">
        <f aca="false">IFERROR(INDEX('TRANS'!$B:$B,MATCH($B857,'TRANS'!$A:$A,0)),IFERROR(INDEX('TRANS'!$B:$B,MATCH(TRIM(SUBSTITUTE($B857,CHAR(160)," ")),'TRANS'!$D:$D,0)),IFERROR(INDEX('Catalog'!$A:$A,MATCH($B857,'Catalog'!$B:$B,0)),IFERROR(INDEX('Catalog'!$A:$A,MATCH(TRIM(SUBSTITUTE($B857,CHAR(160)," ")),'Catalog'!$C:$C,0)),""))))</f>
        <v/>
      </c>
      <c r="H857" s="8" t="str">
        <f aca="false">IFERROR(INDEX('TRANS'!$C:$C,MATCH($B857,'TRANS'!$A:$A,0)),IFERROR(INDEX('Catalog'!$B:$B,MATCH($G857,'Catalog'!$A:$A,0)),$B857))</f>
        <v>SH776 S</v>
      </c>
      <c r="I857" s="8" t="str">
        <f aca="false">IF($G857="","Unmatched","Matched")</f>
        <v>Unmatched</v>
      </c>
      <c r="J857" s="8" t="str">
        <f aca="false">IF($G857&lt;&gt;"",$G857,$B857)</f>
        <v>SH776 S</v>
      </c>
      <c r="K857" s="8" t="str">
        <f aca="false">IF(COUNTIF($M$1:$M$10,$A857)&gt;0,"Y","N")</f>
        <v>Y</v>
      </c>
    </row>
    <row r="858" customFormat="false" ht="15" hidden="false" customHeight="true" outlineLevel="0" collapsed="false">
      <c r="A858" s="8" t="s">
        <v>44</v>
      </c>
      <c r="B858" s="8" t="s">
        <v>233</v>
      </c>
      <c r="C858" s="19" t="n">
        <v>0</v>
      </c>
      <c r="D858" s="19" t="n">
        <v>0</v>
      </c>
      <c r="E858" s="19" t="n">
        <v>1</v>
      </c>
      <c r="F858" s="19" t="n">
        <v>392.28</v>
      </c>
      <c r="G858" s="8" t="str">
        <f aca="false">IFERROR(INDEX('TRANS'!$B:$B,MATCH($B858,'TRANS'!$A:$A,0)),IFERROR(INDEX('TRANS'!$B:$B,MATCH(TRIM(SUBSTITUTE($B858,CHAR(160)," ")),'TRANS'!$D:$D,0)),IFERROR(INDEX('Catalog'!$A:$A,MATCH($B858,'Catalog'!$B:$B,0)),IFERROR(INDEX('Catalog'!$A:$A,MATCH(TRIM(SUBSTITUTE($B858,CHAR(160)," ")),'Catalog'!$C:$C,0)),""))))</f>
        <v/>
      </c>
      <c r="H858" s="8" t="str">
        <f aca="false">IFERROR(INDEX('TRANS'!$C:$C,MATCH($B858,'TRANS'!$A:$A,0)),IFERROR(INDEX('Catalog'!$B:$B,MATCH($G858,'Catalog'!$A:$A,0)),$B858))</f>
        <v>07AE XL</v>
      </c>
      <c r="I858" s="8" t="str">
        <f aca="false">IF($G858="","Unmatched","Matched")</f>
        <v>Unmatched</v>
      </c>
      <c r="J858" s="8" t="str">
        <f aca="false">IF($G858&lt;&gt;"",$G858,$B858)</f>
        <v>07AE XL</v>
      </c>
      <c r="K858" s="8" t="str">
        <f aca="false">IF(COUNTIF($M$1:$M$10,$A858)&gt;0,"Y","N")</f>
        <v>Y</v>
      </c>
    </row>
    <row r="859" customFormat="false" ht="15" hidden="false" customHeight="true" outlineLevel="0" collapsed="false">
      <c r="A859" s="8" t="s">
        <v>44</v>
      </c>
      <c r="B859" s="8" t="s">
        <v>47</v>
      </c>
      <c r="C859" s="19" t="n">
        <v>1</v>
      </c>
      <c r="D859" s="19" t="n">
        <v>30</v>
      </c>
      <c r="E859" s="19" t="n">
        <v>0</v>
      </c>
      <c r="F859" s="19" t="n">
        <v>0</v>
      </c>
      <c r="G859" s="8" t="str">
        <f aca="false">IFERROR(INDEX('TRANS'!$B:$B,MATCH($B859,'TRANS'!$A:$A,0)),IFERROR(INDEX('TRANS'!$B:$B,MATCH(TRIM(SUBSTITUTE($B859,CHAR(160)," ")),'TRANS'!$D:$D,0)),IFERROR(INDEX('Catalog'!$A:$A,MATCH($B859,'Catalog'!$B:$B,0)),IFERROR(INDEX('Catalog'!$A:$A,MATCH(TRIM(SUBSTITUTE($B859,CHAR(160)," ")),'Catalog'!$C:$C,0)),""))))</f>
        <v/>
      </c>
      <c r="H859" s="8" t="str">
        <f aca="false">IFERROR(INDEX('TRANS'!$C:$C,MATCH($B859,'TRANS'!$A:$A,0)),IFERROR(INDEX('Catalog'!$B:$B,MATCH($G859,'Catalog'!$A:$A,0)),$B859))</f>
        <v>M95</v>
      </c>
      <c r="I859" s="8" t="str">
        <f aca="false">IF($G859="","Unmatched","Matched")</f>
        <v>Unmatched</v>
      </c>
      <c r="J859" s="8" t="str">
        <f aca="false">IF($G859&lt;&gt;"",$G859,$B859)</f>
        <v>M95</v>
      </c>
      <c r="K859" s="8" t="str">
        <f aca="false">IF(COUNTIF($M$1:$M$10,$A859)&gt;0,"Y","N")</f>
        <v>Y</v>
      </c>
    </row>
    <row r="860" customFormat="false" ht="15" hidden="false" customHeight="true" outlineLevel="0" collapsed="false">
      <c r="A860" s="8" t="s">
        <v>44</v>
      </c>
      <c r="B860" s="8" t="s">
        <v>909</v>
      </c>
      <c r="C860" s="19" t="n">
        <v>1</v>
      </c>
      <c r="D860" s="19" t="n">
        <v>63.2</v>
      </c>
      <c r="E860" s="19" t="n">
        <v>1</v>
      </c>
      <c r="F860" s="19" t="n">
        <v>60.88</v>
      </c>
      <c r="G860" s="8" t="n">
        <f aca="false">IFERROR(INDEX('TRANS'!$B:$B,MATCH($B860,'TRANS'!$A:$A,0)),IFERROR(INDEX('TRANS'!$B:$B,MATCH(TRIM(SUBSTITUTE($B860,CHAR(160)," ")),'TRANS'!$D:$D,0)),IFERROR(INDEX('Catalog'!$A:$A,MATCH($B860,'Catalog'!$B:$B,0)),IFERROR(INDEX('Catalog'!$A:$A,MATCH(TRIM(SUBSTITUTE($B860,CHAR(160)," ")),'Catalog'!$C:$C,0)),""))))</f>
        <v>4416003</v>
      </c>
      <c r="H860" s="8" t="str">
        <f aca="false">IFERROR(INDEX('TRANS'!$C:$C,MATCH($B860,'TRANS'!$A:$A,0)),IFERROR(INDEX('Catalog'!$B:$B,MATCH($G860,'Catalog'!$A:$A,0)),$B860))</f>
        <v>308 Lעקבים סיליקון כחול לדורבן</v>
      </c>
      <c r="I860" s="8" t="str">
        <f aca="false">IF($G860="","Unmatched","Matched")</f>
        <v>Matched</v>
      </c>
      <c r="J860" s="8" t="n">
        <f aca="false">IF($G860&lt;&gt;"",$G860,$B860)</f>
        <v>4416003</v>
      </c>
      <c r="K860" s="8" t="str">
        <f aca="false">IF(COUNTIF($M$1:$M$10,$A860)&gt;0,"Y","N")</f>
        <v>Y</v>
      </c>
    </row>
    <row r="861" customFormat="false" ht="15" hidden="false" customHeight="true" outlineLevel="0" collapsed="false">
      <c r="A861" s="8" t="s">
        <v>44</v>
      </c>
      <c r="B861" s="8" t="s">
        <v>451</v>
      </c>
      <c r="C861" s="19" t="n">
        <v>8</v>
      </c>
      <c r="D861" s="19" t="n">
        <v>1212.08</v>
      </c>
      <c r="E861" s="19" t="n">
        <v>0</v>
      </c>
      <c r="F861" s="19" t="n">
        <v>0</v>
      </c>
      <c r="G861" s="8" t="str">
        <f aca="false">IFERROR(INDEX('TRANS'!$B:$B,MATCH($B861,'TRANS'!$A:$A,0)),IFERROR(INDEX('TRANS'!$B:$B,MATCH(TRIM(SUBSTITUTE($B861,CHAR(160)," ")),'TRANS'!$D:$D,0)),IFERROR(INDEX('Catalog'!$A:$A,MATCH($B861,'Catalog'!$B:$B,0)),IFERROR(INDEX('Catalog'!$A:$A,MATCH(TRIM(SUBSTITUTE($B861,CHAR(160)," ")),'Catalog'!$C:$C,0)),""))))</f>
        <v/>
      </c>
      <c r="H861" s="8" t="str">
        <f aca="false">IFERROR(INDEX('TRANS'!$C:$C,MATCH($B861,'TRANS'!$A:$A,0)),IFERROR(INDEX('Catalog'!$B:$B,MATCH($G861,'Catalog'!$A:$A,0)),$B861))</f>
        <v>355 L</v>
      </c>
      <c r="I861" s="8" t="str">
        <f aca="false">IF($G861="","Unmatched","Matched")</f>
        <v>Unmatched</v>
      </c>
      <c r="J861" s="8" t="str">
        <f aca="false">IF($G861&lt;&gt;"",$G861,$B861)</f>
        <v>355 L</v>
      </c>
      <c r="K861" s="8" t="str">
        <f aca="false">IF(COUNTIF($M$1:$M$10,$A861)&gt;0,"Y","N")</f>
        <v>Y</v>
      </c>
    </row>
    <row r="862" customFormat="false" ht="15" hidden="false" customHeight="true" outlineLevel="0" collapsed="false">
      <c r="A862" s="8" t="s">
        <v>44</v>
      </c>
      <c r="B862" s="8" t="s">
        <v>330</v>
      </c>
      <c r="C862" s="19" t="n">
        <v>11</v>
      </c>
      <c r="D862" s="19" t="n">
        <v>2127.02</v>
      </c>
      <c r="E862" s="19" t="n">
        <v>0</v>
      </c>
      <c r="F862" s="19" t="n">
        <v>0</v>
      </c>
      <c r="G862" s="8" t="str">
        <f aca="false">IFERROR(INDEX('TRANS'!$B:$B,MATCH($B862,'TRANS'!$A:$A,0)),IFERROR(INDEX('TRANS'!$B:$B,MATCH(TRIM(SUBSTITUTE($B862,CHAR(160)," ")),'TRANS'!$D:$D,0)),IFERROR(INDEX('Catalog'!$A:$A,MATCH($B862,'Catalog'!$B:$B,0)),IFERROR(INDEX('Catalog'!$A:$A,MATCH(TRIM(SUBSTITUTE($B862,CHAR(160)," ")),'Catalog'!$C:$C,0)),""))))</f>
        <v/>
      </c>
      <c r="H862" s="8" t="str">
        <f aca="false">IFERROR(INDEX('TRANS'!$C:$C,MATCH($B862,'TRANS'!$A:$A,0)),IFERROR(INDEX('Catalog'!$B:$B,MATCH($G862,'Catalog'!$A:$A,0)),$B862))</f>
        <v>355 M</v>
      </c>
      <c r="I862" s="8" t="str">
        <f aca="false">IF($G862="","Unmatched","Matched")</f>
        <v>Unmatched</v>
      </c>
      <c r="J862" s="8" t="str">
        <f aca="false">IF($G862&lt;&gt;"",$G862,$B862)</f>
        <v>355 M</v>
      </c>
      <c r="K862" s="8" t="str">
        <f aca="false">IF(COUNTIF($M$1:$M$10,$A862)&gt;0,"Y","N")</f>
        <v>Y</v>
      </c>
    </row>
    <row r="863" customFormat="false" ht="15" hidden="false" customHeight="true" outlineLevel="0" collapsed="false">
      <c r="A863" s="8" t="s">
        <v>44</v>
      </c>
      <c r="B863" s="8" t="s">
        <v>452</v>
      </c>
      <c r="C863" s="19" t="n">
        <v>4</v>
      </c>
      <c r="D863" s="19" t="n">
        <v>755.51</v>
      </c>
      <c r="E863" s="19" t="n">
        <v>0</v>
      </c>
      <c r="F863" s="19" t="n">
        <v>0</v>
      </c>
      <c r="G863" s="8" t="str">
        <f aca="false">IFERROR(INDEX('TRANS'!$B:$B,MATCH($B863,'TRANS'!$A:$A,0)),IFERROR(INDEX('TRANS'!$B:$B,MATCH(TRIM(SUBSTITUTE($B863,CHAR(160)," ")),'TRANS'!$D:$D,0)),IFERROR(INDEX('Catalog'!$A:$A,MATCH($B863,'Catalog'!$B:$B,0)),IFERROR(INDEX('Catalog'!$A:$A,MATCH(TRIM(SUBSTITUTE($B863,CHAR(160)," ")),'Catalog'!$C:$C,0)),""))))</f>
        <v/>
      </c>
      <c r="H863" s="8" t="str">
        <f aca="false">IFERROR(INDEX('TRANS'!$C:$C,MATCH($B863,'TRANS'!$A:$A,0)),IFERROR(INDEX('Catalog'!$B:$B,MATCH($G863,'Catalog'!$A:$A,0)),$B863))</f>
        <v>355 S</v>
      </c>
      <c r="I863" s="8" t="str">
        <f aca="false">IF($G863="","Unmatched","Matched")</f>
        <v>Unmatched</v>
      </c>
      <c r="J863" s="8" t="str">
        <f aca="false">IF($G863&lt;&gt;"",$G863,$B863)</f>
        <v>355 S</v>
      </c>
      <c r="K863" s="8" t="str">
        <f aca="false">IF(COUNTIF($M$1:$M$10,$A863)&gt;0,"Y","N")</f>
        <v>Y</v>
      </c>
    </row>
    <row r="864" customFormat="false" ht="15" hidden="false" customHeight="true" outlineLevel="0" collapsed="false">
      <c r="A864" s="8" t="s">
        <v>44</v>
      </c>
      <c r="B864" s="8" t="s">
        <v>879</v>
      </c>
      <c r="C864" s="19" t="n">
        <v>8</v>
      </c>
      <c r="D864" s="19" t="n">
        <v>1394.24</v>
      </c>
      <c r="E864" s="19" t="n">
        <v>3</v>
      </c>
      <c r="F864" s="19" t="n">
        <v>561.79</v>
      </c>
      <c r="G864" s="8" t="n">
        <f aca="false">IFERROR(INDEX('TRANS'!$B:$B,MATCH($B864,'TRANS'!$A:$A,0)),IFERROR(INDEX('TRANS'!$B:$B,MATCH(TRIM(SUBSTITUTE($B864,CHAR(160)," ")),'TRANS'!$D:$D,0)),IFERROR(INDEX('Catalog'!$A:$A,MATCH($B864,'Catalog'!$B:$B,0)),IFERROR(INDEX('Catalog'!$A:$A,MATCH(TRIM(SUBSTITUTE($B864,CHAR(160)," ")),'Catalog'!$C:$C,0)),""))))</f>
        <v>4408070</v>
      </c>
      <c r="H864" s="8" t="str">
        <f aca="false">IFERROR(INDEX('TRANS'!$C:$C,MATCH($B864,'TRANS'!$A:$A,0)),IFERROR(INDEX('Catalog'!$B:$B,MATCH($G864,'Catalog'!$A:$A,0)),$B864))</f>
        <v>59D S חגורת שבר דו צדדי</v>
      </c>
      <c r="I864" s="8" t="str">
        <f aca="false">IF($G864="","Unmatched","Matched")</f>
        <v>Matched</v>
      </c>
      <c r="J864" s="8" t="n">
        <f aca="false">IF($G864&lt;&gt;"",$G864,$B864)</f>
        <v>4408070</v>
      </c>
      <c r="K864" s="8" t="str">
        <f aca="false">IF(COUNTIF($M$1:$M$10,$A864)&gt;0,"Y","N")</f>
        <v>Y</v>
      </c>
    </row>
    <row r="865" customFormat="false" ht="15" hidden="false" customHeight="true" outlineLevel="0" collapsed="false">
      <c r="A865" s="8" t="s">
        <v>44</v>
      </c>
      <c r="B865" s="8" t="s">
        <v>713</v>
      </c>
      <c r="C865" s="19" t="n">
        <v>25</v>
      </c>
      <c r="D865" s="19" t="n">
        <v>1232.58</v>
      </c>
      <c r="E865" s="19" t="n">
        <v>5</v>
      </c>
      <c r="F865" s="19" t="n">
        <v>245.01</v>
      </c>
      <c r="G865" s="8" t="n">
        <f aca="false">IFERROR(INDEX('TRANS'!$B:$B,MATCH($B865,'TRANS'!$A:$A,0)),IFERROR(INDEX('TRANS'!$B:$B,MATCH(TRIM(SUBSTITUTE($B865,CHAR(160)," ")),'TRANS'!$D:$D,0)),IFERROR(INDEX('Catalog'!$A:$A,MATCH($B865,'Catalog'!$B:$B,0)),IFERROR(INDEX('Catalog'!$A:$A,MATCH(TRIM(SUBSTITUTE($B865,CHAR(160)," ")),'Catalog'!$C:$C,0)),""))))</f>
        <v>4413519</v>
      </c>
      <c r="H865" s="8" t="str">
        <f aca="false">IFERROR(INDEX('TRANS'!$C:$C,MATCH($B865,'TRANS'!$A:$A,0)),IFERROR(INDEX('Catalog'!$B:$B,MATCH($G865,'Catalog'!$A:$A,0)),$B865))</f>
        <v>85B S מתלה רשת לזרוע שחור</v>
      </c>
      <c r="I865" s="8" t="str">
        <f aca="false">IF($G865="","Unmatched","Matched")</f>
        <v>Matched</v>
      </c>
      <c r="J865" s="8" t="n">
        <f aca="false">IF($G865&lt;&gt;"",$G865,$B865)</f>
        <v>4413519</v>
      </c>
      <c r="K865" s="8" t="str">
        <f aca="false">IF(COUNTIF($M$1:$M$10,$A865)&gt;0,"Y","N")</f>
        <v>Y</v>
      </c>
    </row>
    <row r="866" customFormat="false" ht="15" hidden="false" customHeight="true" outlineLevel="0" collapsed="false">
      <c r="A866" s="8" t="s">
        <v>44</v>
      </c>
      <c r="B866" s="8" t="s">
        <v>969</v>
      </c>
      <c r="C866" s="19" t="n">
        <v>3</v>
      </c>
      <c r="D866" s="19" t="n">
        <v>247.7</v>
      </c>
      <c r="E866" s="19" t="n">
        <v>0</v>
      </c>
      <c r="F866" s="19" t="n">
        <v>61.58</v>
      </c>
      <c r="G866" s="8" t="n">
        <f aca="false">IFERROR(INDEX('TRANS'!$B:$B,MATCH($B866,'TRANS'!$A:$A,0)),IFERROR(INDEX('TRANS'!$B:$B,MATCH(TRIM(SUBSTITUTE($B866,CHAR(160)," ")),'TRANS'!$D:$D,0)),IFERROR(INDEX('Catalog'!$A:$A,MATCH($B866,'Catalog'!$B:$B,0)),IFERROR(INDEX('Catalog'!$A:$A,MATCH(TRIM(SUBSTITUTE($B866,CHAR(160)," ")),'Catalog'!$C:$C,0)),""))))</f>
        <v>4408219</v>
      </c>
      <c r="H866" s="8" t="str">
        <f aca="false">IFERROR(INDEX('TRANS'!$C:$C,MATCH($B866,'TRANS'!$A:$A,0)),IFERROR(INDEX('Catalog'!$B:$B,MATCH($G866,'Catalog'!$A:$A,0)),$B866))</f>
        <v>078G-S חגורת גב אפורה</v>
      </c>
      <c r="I866" s="8" t="str">
        <f aca="false">IF($G866="","Unmatched","Matched")</f>
        <v>Matched</v>
      </c>
      <c r="J866" s="8" t="n">
        <f aca="false">IF($G866&lt;&gt;"",$G866,$B866)</f>
        <v>4408219</v>
      </c>
      <c r="K866" s="8" t="str">
        <f aca="false">IF(COUNTIF($M$1:$M$10,$A866)&gt;0,"Y","N")</f>
        <v>Y</v>
      </c>
    </row>
    <row r="867" customFormat="false" ht="15" hidden="false" customHeight="true" outlineLevel="0" collapsed="false">
      <c r="A867" s="8" t="s">
        <v>44</v>
      </c>
      <c r="B867" s="8" t="s">
        <v>970</v>
      </c>
      <c r="C867" s="19" t="n">
        <v>7</v>
      </c>
      <c r="D867" s="19" t="n">
        <v>225.81</v>
      </c>
      <c r="E867" s="19" t="n">
        <v>14</v>
      </c>
      <c r="F867" s="19" t="n">
        <v>460.8</v>
      </c>
      <c r="G867" s="8" t="n">
        <f aca="false">IFERROR(INDEX('TRANS'!$B:$B,MATCH($B867,'TRANS'!$A:$A,0)),IFERROR(INDEX('TRANS'!$B:$B,MATCH(TRIM(SUBSTITUTE($B867,CHAR(160)," ")),'TRANS'!$D:$D,0)),IFERROR(INDEX('Catalog'!$A:$A,MATCH($B867,'Catalog'!$B:$B,0)),IFERROR(INDEX('Catalog'!$A:$A,MATCH(TRIM(SUBSTITUTE($B867,CHAR(160)," ")),'Catalog'!$C:$C,0)),""))))</f>
        <v>4408046</v>
      </c>
      <c r="H867" s="8" t="str">
        <f aca="false">IFERROR(INDEX('TRANS'!$C:$C,MATCH($B867,'TRANS'!$A:$A,0)),IFERROR(INDEX('Catalog'!$B:$B,MATCH($G867,'Catalog'!$A:$A,0)),$B867))</f>
        <v>20 L חבק יד מתכוון עם צמדן</v>
      </c>
      <c r="I867" s="8" t="str">
        <f aca="false">IF($G867="","Unmatched","Matched")</f>
        <v>Matched</v>
      </c>
      <c r="J867" s="8" t="n">
        <f aca="false">IF($G867&lt;&gt;"",$G867,$B867)</f>
        <v>4408046</v>
      </c>
      <c r="K867" s="8" t="str">
        <f aca="false">IF(COUNTIF($M$1:$M$10,$A867)&gt;0,"Y","N")</f>
        <v>Y</v>
      </c>
    </row>
    <row r="868" customFormat="false" ht="15" hidden="false" customHeight="true" outlineLevel="0" collapsed="false">
      <c r="A868" s="8" t="s">
        <v>44</v>
      </c>
      <c r="B868" s="8" t="s">
        <v>908</v>
      </c>
      <c r="C868" s="19" t="n">
        <v>4</v>
      </c>
      <c r="D868" s="19" t="n">
        <v>128.5</v>
      </c>
      <c r="E868" s="19" t="n">
        <v>8</v>
      </c>
      <c r="F868" s="19" t="n">
        <v>259.2</v>
      </c>
      <c r="G868" s="8" t="n">
        <f aca="false">IFERROR(INDEX('TRANS'!$B:$B,MATCH($B868,'TRANS'!$A:$A,0)),IFERROR(INDEX('TRANS'!$B:$B,MATCH(TRIM(SUBSTITUTE($B868,CHAR(160)," ")),'TRANS'!$D:$D,0)),IFERROR(INDEX('Catalog'!$A:$A,MATCH($B868,'Catalog'!$B:$B,0)),IFERROR(INDEX('Catalog'!$A:$A,MATCH(TRIM(SUBSTITUTE($B868,CHAR(160)," ")),'Catalog'!$C:$C,0)),""))))</f>
        <v>4408049</v>
      </c>
      <c r="H868" s="8" t="str">
        <f aca="false">IFERROR(INDEX('TRANS'!$C:$C,MATCH($B868,'TRANS'!$A:$A,0)),IFERROR(INDEX('Catalog'!$B:$B,MATCH($G868,'Catalog'!$A:$A,0)),$B868))</f>
        <v>20 XL חבק יד מתכוון עם צמדן</v>
      </c>
      <c r="I868" s="8" t="str">
        <f aca="false">IF($G868="","Unmatched","Matched")</f>
        <v>Matched</v>
      </c>
      <c r="J868" s="8" t="n">
        <f aca="false">IF($G868&lt;&gt;"",$G868,$B868)</f>
        <v>4408049</v>
      </c>
      <c r="K868" s="8" t="str">
        <f aca="false">IF(COUNTIF($M$1:$M$10,$A868)&gt;0,"Y","N")</f>
        <v>Y</v>
      </c>
    </row>
    <row r="869" customFormat="false" ht="15" hidden="false" customHeight="true" outlineLevel="0" collapsed="false">
      <c r="A869" s="8" t="s">
        <v>44</v>
      </c>
      <c r="B869" s="8" t="s">
        <v>783</v>
      </c>
      <c r="C869" s="19" t="n">
        <v>19</v>
      </c>
      <c r="D869" s="19" t="n">
        <v>748.75</v>
      </c>
      <c r="E869" s="19" t="n">
        <v>10</v>
      </c>
      <c r="F869" s="19" t="n">
        <v>395.28</v>
      </c>
      <c r="G869" s="8" t="n">
        <f aca="false">IFERROR(INDEX('TRANS'!$B:$B,MATCH($B869,'TRANS'!$A:$A,0)),IFERROR(INDEX('TRANS'!$B:$B,MATCH(TRIM(SUBSTITUTE($B869,CHAR(160)," ")),'TRANS'!$D:$D,0)),IFERROR(INDEX('Catalog'!$A:$A,MATCH($B869,'Catalog'!$B:$B,0)),IFERROR(INDEX('Catalog'!$A:$A,MATCH(TRIM(SUBSTITUTE($B869,CHAR(160)," ")),'Catalog'!$C:$C,0)),""))))</f>
        <v>4408052</v>
      </c>
      <c r="H869" s="8" t="str">
        <f aca="false">IFERROR(INDEX('TRANS'!$C:$C,MATCH($B869,'TRANS'!$A:$A,0)),IFERROR(INDEX('Catalog'!$B:$B,MATCH($G869,'Catalog'!$A:$A,0)),$B869))</f>
        <v>21 L  חבק יד ארוך</v>
      </c>
      <c r="I869" s="8" t="str">
        <f aca="false">IF($G869="","Unmatched","Matched")</f>
        <v>Matched</v>
      </c>
      <c r="J869" s="8" t="n">
        <f aca="false">IF($G869&lt;&gt;"",$G869,$B869)</f>
        <v>4408052</v>
      </c>
      <c r="K869" s="8" t="str">
        <f aca="false">IF(COUNTIF($M$1:$M$10,$A869)&gt;0,"Y","N")</f>
        <v>Y</v>
      </c>
    </row>
    <row r="870" customFormat="false" ht="15" hidden="false" customHeight="true" outlineLevel="0" collapsed="false">
      <c r="A870" s="8" t="s">
        <v>44</v>
      </c>
      <c r="B870" s="8" t="s">
        <v>576</v>
      </c>
      <c r="C870" s="19" t="n">
        <v>24</v>
      </c>
      <c r="D870" s="19" t="n">
        <v>951</v>
      </c>
      <c r="E870" s="19" t="n">
        <v>17</v>
      </c>
      <c r="F870" s="19" t="n">
        <v>673.83</v>
      </c>
      <c r="G870" s="8" t="n">
        <f aca="false">IFERROR(INDEX('TRANS'!$B:$B,MATCH($B870,'TRANS'!$A:$A,0)),IFERROR(INDEX('TRANS'!$B:$B,MATCH(TRIM(SUBSTITUTE($B870,CHAR(160)," ")),'TRANS'!$D:$D,0)),IFERROR(INDEX('Catalog'!$A:$A,MATCH($B870,'Catalog'!$B:$B,0)),IFERROR(INDEX('Catalog'!$A:$A,MATCH(TRIM(SUBSTITUTE($B870,CHAR(160)," ")),'Catalog'!$C:$C,0)),""))))</f>
        <v>4408053</v>
      </c>
      <c r="H870" s="8" t="str">
        <f aca="false">IFERROR(INDEX('TRANS'!$C:$C,MATCH($B870,'TRANS'!$A:$A,0)),IFERROR(INDEX('Catalog'!$B:$B,MATCH($G870,'Catalog'!$A:$A,0)),$B870))</f>
        <v>21 M  חבק יד ארוך</v>
      </c>
      <c r="I870" s="8" t="str">
        <f aca="false">IF($G870="","Unmatched","Matched")</f>
        <v>Matched</v>
      </c>
      <c r="J870" s="8" t="n">
        <f aca="false">IF($G870&lt;&gt;"",$G870,$B870)</f>
        <v>4408053</v>
      </c>
      <c r="K870" s="8" t="str">
        <f aca="false">IF(COUNTIF($M$1:$M$10,$A870)&gt;0,"Y","N")</f>
        <v>Y</v>
      </c>
    </row>
    <row r="871" customFormat="false" ht="15" hidden="false" customHeight="true" outlineLevel="0" collapsed="false">
      <c r="A871" s="8" t="s">
        <v>44</v>
      </c>
      <c r="B871" s="8" t="s">
        <v>784</v>
      </c>
      <c r="C871" s="19" t="n">
        <v>17</v>
      </c>
      <c r="D871" s="19" t="n">
        <v>673.86</v>
      </c>
      <c r="E871" s="19" t="n">
        <v>8</v>
      </c>
      <c r="F871" s="19" t="n">
        <v>318.36</v>
      </c>
      <c r="G871" s="8" t="n">
        <f aca="false">IFERROR(INDEX('TRANS'!$B:$B,MATCH($B871,'TRANS'!$A:$A,0)),IFERROR(INDEX('TRANS'!$B:$B,MATCH(TRIM(SUBSTITUTE($B871,CHAR(160)," ")),'TRANS'!$D:$D,0)),IFERROR(INDEX('Catalog'!$A:$A,MATCH($B871,'Catalog'!$B:$B,0)),IFERROR(INDEX('Catalog'!$A:$A,MATCH(TRIM(SUBSTITUTE($B871,CHAR(160)," ")),'Catalog'!$C:$C,0)),""))))</f>
        <v>4408051</v>
      </c>
      <c r="H871" s="8" t="str">
        <f aca="false">IFERROR(INDEX('TRANS'!$C:$C,MATCH($B871,'TRANS'!$A:$A,0)),IFERROR(INDEX('Catalog'!$B:$B,MATCH($G871,'Catalog'!$A:$A,0)),$B871))</f>
        <v>21 S  חבק יד ארוך</v>
      </c>
      <c r="I871" s="8" t="str">
        <f aca="false">IF($G871="","Unmatched","Matched")</f>
        <v>Matched</v>
      </c>
      <c r="J871" s="8" t="n">
        <f aca="false">IF($G871&lt;&gt;"",$G871,$B871)</f>
        <v>4408051</v>
      </c>
      <c r="K871" s="8" t="str">
        <f aca="false">IF(COUNTIF($M$1:$M$10,$A871)&gt;0,"Y","N")</f>
        <v>Y</v>
      </c>
    </row>
    <row r="872" customFormat="false" ht="15" hidden="false" customHeight="true" outlineLevel="0" collapsed="false">
      <c r="A872" s="8" t="s">
        <v>44</v>
      </c>
      <c r="B872" s="8" t="s">
        <v>785</v>
      </c>
      <c r="C872" s="19" t="n">
        <v>13</v>
      </c>
      <c r="D872" s="19" t="n">
        <v>514.66</v>
      </c>
      <c r="E872" s="19" t="n">
        <v>9</v>
      </c>
      <c r="F872" s="19" t="n">
        <v>358.16</v>
      </c>
      <c r="G872" s="8" t="n">
        <f aca="false">IFERROR(INDEX('TRANS'!$B:$B,MATCH($B872,'TRANS'!$A:$A,0)),IFERROR(INDEX('TRANS'!$B:$B,MATCH(TRIM(SUBSTITUTE($B872,CHAR(160)," ")),'TRANS'!$D:$D,0)),IFERROR(INDEX('Catalog'!$A:$A,MATCH($B872,'Catalog'!$B:$B,0)),IFERROR(INDEX('Catalog'!$A:$A,MATCH(TRIM(SUBSTITUTE($B872,CHAR(160)," ")),'Catalog'!$C:$C,0)),""))))</f>
        <v>4408054</v>
      </c>
      <c r="H872" s="8" t="str">
        <f aca="false">IFERROR(INDEX('TRANS'!$C:$C,MATCH($B872,'TRANS'!$A:$A,0)),IFERROR(INDEX('Catalog'!$B:$B,MATCH($G872,'Catalog'!$A:$A,0)),$B872))</f>
        <v>21 XL חבק יד ארוך</v>
      </c>
      <c r="I872" s="8" t="str">
        <f aca="false">IF($G872="","Unmatched","Matched")</f>
        <v>Matched</v>
      </c>
      <c r="J872" s="8" t="n">
        <f aca="false">IF($G872&lt;&gt;"",$G872,$B872)</f>
        <v>4408054</v>
      </c>
      <c r="K872" s="8" t="str">
        <f aca="false">IF(COUNTIF($M$1:$M$10,$A872)&gt;0,"Y","N")</f>
        <v>Y</v>
      </c>
    </row>
    <row r="873" customFormat="false" ht="15" hidden="false" customHeight="true" outlineLevel="0" collapsed="false">
      <c r="A873" s="8" t="s">
        <v>44</v>
      </c>
      <c r="B873" s="8" t="s">
        <v>283</v>
      </c>
      <c r="C873" s="19" t="n">
        <v>10</v>
      </c>
      <c r="D873" s="19" t="n">
        <v>647.41</v>
      </c>
      <c r="E873" s="19" t="n">
        <v>0</v>
      </c>
      <c r="F873" s="19" t="n">
        <v>0</v>
      </c>
      <c r="G873" s="8" t="str">
        <f aca="false">IFERROR(INDEX('TRANS'!$B:$B,MATCH($B873,'TRANS'!$A:$A,0)),IFERROR(INDEX('TRANS'!$B:$B,MATCH(TRIM(SUBSTITUTE($B873,CHAR(160)," ")),'TRANS'!$D:$D,0)),IFERROR(INDEX('Catalog'!$A:$A,MATCH($B873,'Catalog'!$B:$B,0)),IFERROR(INDEX('Catalog'!$A:$A,MATCH(TRIM(SUBSTITUTE($B873,CHAR(160)," ")),'Catalog'!$C:$C,0)),""))))</f>
        <v/>
      </c>
      <c r="H873" s="8" t="str">
        <f aca="false">IFERROR(INDEX('TRANS'!$C:$C,MATCH($B873,'TRANS'!$A:$A,0)),IFERROR(INDEX('Catalog'!$B:$B,MATCH($G873,'Catalog'!$A:$A,0)),$B873))</f>
        <v>30 L</v>
      </c>
      <c r="I873" s="8" t="str">
        <f aca="false">IF($G873="","Unmatched","Matched")</f>
        <v>Unmatched</v>
      </c>
      <c r="J873" s="8" t="str">
        <f aca="false">IF($G873&lt;&gt;"",$G873,$B873)</f>
        <v>30 L</v>
      </c>
      <c r="K873" s="8" t="str">
        <f aca="false">IF(COUNTIF($M$1:$M$10,$A873)&gt;0,"Y","N")</f>
        <v>Y</v>
      </c>
    </row>
    <row r="874" customFormat="false" ht="15" hidden="false" customHeight="true" outlineLevel="0" collapsed="false">
      <c r="A874" s="8" t="s">
        <v>44</v>
      </c>
      <c r="B874" s="8" t="s">
        <v>173</v>
      </c>
      <c r="C874" s="19" t="n">
        <v>4</v>
      </c>
      <c r="D874" s="19" t="n">
        <v>252.74</v>
      </c>
      <c r="E874" s="19" t="n">
        <v>0</v>
      </c>
      <c r="F874" s="19" t="n">
        <v>0</v>
      </c>
      <c r="G874" s="8" t="str">
        <f aca="false">IFERROR(INDEX('TRANS'!$B:$B,MATCH($B874,'TRANS'!$A:$A,0)),IFERROR(INDEX('TRANS'!$B:$B,MATCH(TRIM(SUBSTITUTE($B874,CHAR(160)," ")),'TRANS'!$D:$D,0)),IFERROR(INDEX('Catalog'!$A:$A,MATCH($B874,'Catalog'!$B:$B,0)),IFERROR(INDEX('Catalog'!$A:$A,MATCH(TRIM(SUBSTITUTE($B874,CHAR(160)," ")),'Catalog'!$C:$C,0)),""))))</f>
        <v/>
      </c>
      <c r="H874" s="8" t="str">
        <f aca="false">IFERROR(INDEX('TRANS'!$C:$C,MATCH($B874,'TRANS'!$A:$A,0)),IFERROR(INDEX('Catalog'!$B:$B,MATCH($G874,'Catalog'!$A:$A,0)),$B874))</f>
        <v>30 M</v>
      </c>
      <c r="I874" s="8" t="str">
        <f aca="false">IF($G874="","Unmatched","Matched")</f>
        <v>Unmatched</v>
      </c>
      <c r="J874" s="8" t="str">
        <f aca="false">IF($G874&lt;&gt;"",$G874,$B874)</f>
        <v>30 M</v>
      </c>
      <c r="K874" s="8" t="str">
        <f aca="false">IF(COUNTIF($M$1:$M$10,$A874)&gt;0,"Y","N")</f>
        <v>Y</v>
      </c>
    </row>
    <row r="875" customFormat="false" ht="15" hidden="false" customHeight="true" outlineLevel="0" collapsed="false">
      <c r="A875" s="8" t="s">
        <v>44</v>
      </c>
      <c r="B875" s="8" t="s">
        <v>319</v>
      </c>
      <c r="C875" s="19" t="n">
        <v>6</v>
      </c>
      <c r="D875" s="19" t="n">
        <v>385.39</v>
      </c>
      <c r="E875" s="19" t="n">
        <v>1</v>
      </c>
      <c r="F875" s="19" t="n">
        <v>66.51</v>
      </c>
      <c r="G875" s="8" t="str">
        <f aca="false">IFERROR(INDEX('TRANS'!$B:$B,MATCH($B875,'TRANS'!$A:$A,0)),IFERROR(INDEX('TRANS'!$B:$B,MATCH(TRIM(SUBSTITUTE($B875,CHAR(160)," ")),'TRANS'!$D:$D,0)),IFERROR(INDEX('Catalog'!$A:$A,MATCH($B875,'Catalog'!$B:$B,0)),IFERROR(INDEX('Catalog'!$A:$A,MATCH(TRIM(SUBSTITUTE($B875,CHAR(160)," ")),'Catalog'!$C:$C,0)),""))))</f>
        <v/>
      </c>
      <c r="H875" s="8" t="str">
        <f aca="false">IFERROR(INDEX('TRANS'!$C:$C,MATCH($B875,'TRANS'!$A:$A,0)),IFERROR(INDEX('Catalog'!$B:$B,MATCH($G875,'Catalog'!$A:$A,0)),$B875))</f>
        <v>30 XL</v>
      </c>
      <c r="I875" s="8" t="str">
        <f aca="false">IF($G875="","Unmatched","Matched")</f>
        <v>Unmatched</v>
      </c>
      <c r="J875" s="8" t="str">
        <f aca="false">IF($G875&lt;&gt;"",$G875,$B875)</f>
        <v>30 XL</v>
      </c>
      <c r="K875" s="8" t="str">
        <f aca="false">IF(COUNTIF($M$1:$M$10,$A875)&gt;0,"Y","N")</f>
        <v>Y</v>
      </c>
    </row>
    <row r="876" customFormat="false" ht="15" hidden="false" customHeight="true" outlineLevel="0" collapsed="false">
      <c r="A876" s="8" t="s">
        <v>44</v>
      </c>
      <c r="B876" s="8" t="s">
        <v>453</v>
      </c>
      <c r="C876" s="19" t="n">
        <v>2</v>
      </c>
      <c r="D876" s="19" t="n">
        <v>160.02</v>
      </c>
      <c r="E876" s="19" t="n">
        <v>0</v>
      </c>
      <c r="F876" s="19" t="n">
        <v>0</v>
      </c>
      <c r="G876" s="8" t="str">
        <f aca="false">IFERROR(INDEX('TRANS'!$B:$B,MATCH($B876,'TRANS'!$A:$A,0)),IFERROR(INDEX('TRANS'!$B:$B,MATCH(TRIM(SUBSTITUTE($B876,CHAR(160)," ")),'TRANS'!$D:$D,0)),IFERROR(INDEX('Catalog'!$A:$A,MATCH($B876,'Catalog'!$B:$B,0)),IFERROR(INDEX('Catalog'!$A:$A,MATCH(TRIM(SUBSTITUTE($B876,CHAR(160)," ")),'Catalog'!$C:$C,0)),""))))</f>
        <v/>
      </c>
      <c r="H876" s="8" t="str">
        <f aca="false">IFERROR(INDEX('TRANS'!$C:$C,MATCH($B876,'TRANS'!$A:$A,0)),IFERROR(INDEX('Catalog'!$B:$B,MATCH($G876,'Catalog'!$A:$A,0)),$B876))</f>
        <v>305GA-47-48</v>
      </c>
      <c r="I876" s="8" t="str">
        <f aca="false">IF($G876="","Unmatched","Matched")</f>
        <v>Unmatched</v>
      </c>
      <c r="J876" s="8" t="str">
        <f aca="false">IF($G876&lt;&gt;"",$G876,$B876)</f>
        <v>305GA-47-48</v>
      </c>
      <c r="K876" s="8" t="str">
        <f aca="false">IF(COUNTIF($M$1:$M$10,$A876)&gt;0,"Y","N")</f>
        <v>Y</v>
      </c>
    </row>
    <row r="877" customFormat="false" ht="15" hidden="false" customHeight="true" outlineLevel="0" collapsed="false">
      <c r="A877" s="8" t="s">
        <v>44</v>
      </c>
      <c r="B877" s="8" t="s">
        <v>606</v>
      </c>
      <c r="C877" s="19" t="n">
        <v>29</v>
      </c>
      <c r="D877" s="19" t="n">
        <v>623.59</v>
      </c>
      <c r="E877" s="19" t="n">
        <v>0</v>
      </c>
      <c r="F877" s="19" t="n">
        <v>0</v>
      </c>
      <c r="G877" s="8" t="n">
        <f aca="false">IFERROR(INDEX('TRANS'!$B:$B,MATCH($B877,'TRANS'!$A:$A,0)),IFERROR(INDEX('TRANS'!$B:$B,MATCH(TRIM(SUBSTITUTE($B877,CHAR(160)," ")),'TRANS'!$D:$D,0)),IFERROR(INDEX('Catalog'!$A:$A,MATCH($B877,'Catalog'!$B:$B,0)),IFERROR(INDEX('Catalog'!$A:$A,MATCH(TRIM(SUBSTITUTE($B877,CHAR(160)," ")),'Catalog'!$C:$C,0)),""))))</f>
        <v>4413034</v>
      </c>
      <c r="H877" s="8" t="str">
        <f aca="false">IFERROR(INDEX('TRANS'!$C:$C,MATCH($B877,'TRANS'!$A:$A,0)),IFERROR(INDEX('Catalog'!$B:$B,MATCH($G877,'Catalog'!$A:$A,0)),$B877))</f>
        <v>312 9 מ""""ס להתאמהX5 מדבקה גדולה</v>
      </c>
      <c r="I877" s="8" t="str">
        <f aca="false">IF($G877="","Unmatched","Matched")</f>
        <v>Matched</v>
      </c>
      <c r="J877" s="8" t="n">
        <f aca="false">IF($G877&lt;&gt;"",$G877,$B877)</f>
        <v>4413034</v>
      </c>
      <c r="K877" s="8" t="str">
        <f aca="false">IF(COUNTIF($M$1:$M$10,$A877)&gt;0,"Y","N")</f>
        <v>Y</v>
      </c>
    </row>
    <row r="878" customFormat="false" ht="15" hidden="false" customHeight="true" outlineLevel="0" collapsed="false">
      <c r="A878" s="8" t="s">
        <v>44</v>
      </c>
      <c r="B878" s="8" t="s">
        <v>621</v>
      </c>
      <c r="C878" s="19" t="n">
        <v>12</v>
      </c>
      <c r="D878" s="19" t="n">
        <v>367.57</v>
      </c>
      <c r="E878" s="19" t="n">
        <v>10</v>
      </c>
      <c r="F878" s="19" t="n">
        <v>306.85</v>
      </c>
      <c r="G878" s="8" t="n">
        <f aca="false">IFERROR(INDEX('TRANS'!$B:$B,MATCH($B878,'TRANS'!$A:$A,0)),IFERROR(INDEX('TRANS'!$B:$B,MATCH(TRIM(SUBSTITUTE($B878,CHAR(160)," ")),'TRANS'!$D:$D,0)),IFERROR(INDEX('Catalog'!$A:$A,MATCH($B878,'Catalog'!$B:$B,0)),IFERROR(INDEX('Catalog'!$A:$A,MATCH(TRIM(SUBSTITUTE($B878,CHAR(160)," ")),'Catalog'!$C:$C,0)),""))))</f>
        <v>4413054</v>
      </c>
      <c r="H878" s="8" t="str">
        <f aca="false">IFERROR(INDEX('TRANS'!$C:$C,MATCH($B878,'TRANS'!$A:$A,0)),IFERROR(INDEX('Catalog'!$B:$B,MATCH($G878,'Catalog'!$A:$A,0)),$B878))</f>
        <v>35C M מגן קרסול חום</v>
      </c>
      <c r="I878" s="8" t="str">
        <f aca="false">IF($G878="","Unmatched","Matched")</f>
        <v>Matched</v>
      </c>
      <c r="J878" s="8" t="n">
        <f aca="false">IF($G878&lt;&gt;"",$G878,$B878)</f>
        <v>4413054</v>
      </c>
      <c r="K878" s="8" t="str">
        <f aca="false">IF(COUNTIF($M$1:$M$10,$A878)&gt;0,"Y","N")</f>
        <v>Y</v>
      </c>
    </row>
    <row r="879" customFormat="false" ht="15" hidden="false" customHeight="true" outlineLevel="0" collapsed="false">
      <c r="A879" s="8" t="s">
        <v>44</v>
      </c>
      <c r="B879" s="8" t="s">
        <v>795</v>
      </c>
      <c r="C879" s="19" t="n">
        <v>11</v>
      </c>
      <c r="D879" s="19" t="n">
        <v>336.68</v>
      </c>
      <c r="E879" s="19" t="n">
        <v>11</v>
      </c>
      <c r="F879" s="19" t="n">
        <v>339.8</v>
      </c>
      <c r="G879" s="8" t="n">
        <f aca="false">IFERROR(INDEX('TRANS'!$B:$B,MATCH($B879,'TRANS'!$A:$A,0)),IFERROR(INDEX('TRANS'!$B:$B,MATCH(TRIM(SUBSTITUTE($B879,CHAR(160)," ")),'TRANS'!$D:$D,0)),IFERROR(INDEX('Catalog'!$A:$A,MATCH($B879,'Catalog'!$B:$B,0)),IFERROR(INDEX('Catalog'!$A:$A,MATCH(TRIM(SUBSTITUTE($B879,CHAR(160)," ")),'Catalog'!$C:$C,0)),""))))</f>
        <v>4413055</v>
      </c>
      <c r="H879" s="8" t="str">
        <f aca="false">IFERROR(INDEX('TRANS'!$C:$C,MATCH($B879,'TRANS'!$A:$A,0)),IFERROR(INDEX('Catalog'!$B:$B,MATCH($G879,'Catalog'!$A:$A,0)),$B879))</f>
        <v>35C XL מגן קרסול חום</v>
      </c>
      <c r="I879" s="8" t="str">
        <f aca="false">IF($G879="","Unmatched","Matched")</f>
        <v>Matched</v>
      </c>
      <c r="J879" s="8" t="n">
        <f aca="false">IF($G879&lt;&gt;"",$G879,$B879)</f>
        <v>4413055</v>
      </c>
      <c r="K879" s="8" t="str">
        <f aca="false">IF(COUNTIF($M$1:$M$10,$A879)&gt;0,"Y","N")</f>
        <v>Y</v>
      </c>
    </row>
    <row r="880" customFormat="false" ht="15" hidden="false" customHeight="true" outlineLevel="0" collapsed="false">
      <c r="A880" s="8" t="s">
        <v>44</v>
      </c>
      <c r="B880" s="8" t="s">
        <v>222</v>
      </c>
      <c r="C880" s="19" t="n">
        <v>7</v>
      </c>
      <c r="D880" s="19" t="n">
        <v>232.52</v>
      </c>
      <c r="E880" s="19" t="n">
        <v>4</v>
      </c>
      <c r="F880" s="19" t="n">
        <v>215.92</v>
      </c>
      <c r="G880" s="8" t="str">
        <f aca="false">IFERROR(INDEX('TRANS'!$B:$B,MATCH($B880,'TRANS'!$A:$A,0)),IFERROR(INDEX('TRANS'!$B:$B,MATCH(TRIM(SUBSTITUTE($B880,CHAR(160)," ")),'TRANS'!$D:$D,0)),IFERROR(INDEX('Catalog'!$A:$A,MATCH($B880,'Catalog'!$B:$B,0)),IFERROR(INDEX('Catalog'!$A:$A,MATCH(TRIM(SUBSTITUTE($B880,CHAR(160)," ")),'Catalog'!$C:$C,0)),""))))</f>
        <v/>
      </c>
      <c r="H880" s="8" t="str">
        <f aca="false">IFERROR(INDEX('TRANS'!$C:$C,MATCH($B880,'TRANS'!$A:$A,0)),IFERROR(INDEX('Catalog'!$B:$B,MATCH($G880,'Catalog'!$A:$A,0)),$B880))</f>
        <v>61 L</v>
      </c>
      <c r="I880" s="8" t="str">
        <f aca="false">IF($G880="","Unmatched","Matched")</f>
        <v>Unmatched</v>
      </c>
      <c r="J880" s="8" t="str">
        <f aca="false">IF($G880&lt;&gt;"",$G880,$B880)</f>
        <v>61 L</v>
      </c>
      <c r="K880" s="8" t="str">
        <f aca="false">IF(COUNTIF($M$1:$M$10,$A880)&gt;0,"Y","N")</f>
        <v>Y</v>
      </c>
    </row>
    <row r="881" customFormat="false" ht="15" hidden="false" customHeight="true" outlineLevel="0" collapsed="false">
      <c r="A881" s="8" t="s">
        <v>44</v>
      </c>
      <c r="B881" s="8" t="s">
        <v>736</v>
      </c>
      <c r="C881" s="19" t="n">
        <v>114</v>
      </c>
      <c r="D881" s="19" t="n">
        <v>2245.01</v>
      </c>
      <c r="E881" s="19" t="n">
        <v>45</v>
      </c>
      <c r="F881" s="19" t="n">
        <v>909.47</v>
      </c>
      <c r="G881" s="8" t="n">
        <f aca="false">IFERROR(INDEX('TRANS'!$B:$B,MATCH($B881,'TRANS'!$A:$A,0)),IFERROR(INDEX('TRANS'!$B:$B,MATCH(TRIM(SUBSTITUTE($B881,CHAR(160)," ")),'TRANS'!$D:$D,0)),IFERROR(INDEX('Catalog'!$A:$A,MATCH($B881,'Catalog'!$B:$B,0)),IFERROR(INDEX('Catalog'!$A:$A,MATCH(TRIM(SUBSTITUTE($B881,CHAR(160)," ")),'Catalog'!$C:$C,0)),""))))</f>
        <v>4422035</v>
      </c>
      <c r="H881" s="8" t="str">
        <f aca="false">IFERROR(INDEX('TRANS'!$C:$C,MATCH($B881,'TRANS'!$A:$A,0)),IFERROR(INDEX('Catalog'!$B:$B,MATCH($G881,'Catalog'!$A:$A,0)),$B881))</f>
        <v>FCתרסיס דאודורנט אנטיבק.נעל333</v>
      </c>
      <c r="I881" s="8" t="str">
        <f aca="false">IF($G881="","Unmatched","Matched")</f>
        <v>Matched</v>
      </c>
      <c r="J881" s="8" t="n">
        <f aca="false">IF($G881&lt;&gt;"",$G881,$B881)</f>
        <v>4422035</v>
      </c>
      <c r="K881" s="8" t="str">
        <f aca="false">IF(COUNTIF($M$1:$M$10,$A881)&gt;0,"Y","N")</f>
        <v>Y</v>
      </c>
    </row>
    <row r="882" customFormat="false" ht="15" hidden="false" customHeight="true" outlineLevel="0" collapsed="false">
      <c r="A882" s="8" t="s">
        <v>44</v>
      </c>
      <c r="B882" s="8" t="s">
        <v>888</v>
      </c>
      <c r="C882" s="19" t="n">
        <v>54</v>
      </c>
      <c r="D882" s="19" t="n">
        <v>1053.08</v>
      </c>
      <c r="E882" s="19" t="n">
        <v>30</v>
      </c>
      <c r="F882" s="19" t="n">
        <v>645.86</v>
      </c>
      <c r="G882" s="8" t="n">
        <f aca="false">IFERROR(INDEX('TRANS'!$B:$B,MATCH($B882,'TRANS'!$A:$A,0)),IFERROR(INDEX('TRANS'!$B:$B,MATCH(TRIM(SUBSTITUTE($B882,CHAR(160)," ")),'TRANS'!$D:$D,0)),IFERROR(INDEX('Catalog'!$A:$A,MATCH($B882,'Catalog'!$B:$B,0)),IFERROR(INDEX('Catalog'!$A:$A,MATCH(TRIM(SUBSTITUTE($B882,CHAR(160)," ")),'Catalog'!$C:$C,0)),""))))</f>
        <v>4422036</v>
      </c>
      <c r="H882" s="8" t="str">
        <f aca="false">IFERROR(INDEX('TRANS'!$C:$C,MATCH($B882,'TRANS'!$A:$A,0)),IFERROR(INDEX('Catalog'!$B:$B,MATCH($G882,'Catalog'!$A:$A,0)),$B882))</f>
        <v>FC334  תרסיס דאודורנט לכף הרגל</v>
      </c>
      <c r="I882" s="8" t="str">
        <f aca="false">IF($G882="","Unmatched","Matched")</f>
        <v>Matched</v>
      </c>
      <c r="J882" s="8" t="n">
        <f aca="false">IF($G882&lt;&gt;"",$G882,$B882)</f>
        <v>4422036</v>
      </c>
      <c r="K882" s="8" t="str">
        <f aca="false">IF(COUNTIF($M$1:$M$10,$A882)&gt;0,"Y","N")</f>
        <v>Y</v>
      </c>
    </row>
    <row r="883" customFormat="false" ht="15" hidden="false" customHeight="true" outlineLevel="0" collapsed="false">
      <c r="A883" s="8" t="s">
        <v>44</v>
      </c>
      <c r="B883" s="8" t="s">
        <v>971</v>
      </c>
      <c r="C883" s="19" t="n">
        <v>2</v>
      </c>
      <c r="D883" s="19" t="n">
        <v>182.98</v>
      </c>
      <c r="E883" s="19" t="n">
        <v>3</v>
      </c>
      <c r="F883" s="19" t="n">
        <v>283.91</v>
      </c>
      <c r="G883" s="8" t="n">
        <f aca="false">IFERROR(INDEX('TRANS'!$B:$B,MATCH($B883,'TRANS'!$A:$A,0)),IFERROR(INDEX('TRANS'!$B:$B,MATCH(TRIM(SUBSTITUTE($B883,CHAR(160)," ")),'TRANS'!$D:$D,0)),IFERROR(INDEX('Catalog'!$A:$A,MATCH($B883,'Catalog'!$B:$B,0)),IFERROR(INDEX('Catalog'!$A:$A,MATCH(TRIM(SUBSTITUTE($B883,CHAR(160)," ")),'Catalog'!$C:$C,0)),""))))</f>
        <v>4408090</v>
      </c>
      <c r="H883" s="8" t="str">
        <f aca="false">IFERROR(INDEX('TRANS'!$C:$C,MATCH($B883,'TRANS'!$A:$A,0)),IFERROR(INDEX('Catalog'!$B:$B,MATCH($G883,'Catalog'!$A:$A,0)),$B883))</f>
        <v>T11C L  חגורת גב פוג'יאמה</v>
      </c>
      <c r="I883" s="8" t="str">
        <f aca="false">IF($G883="","Unmatched","Matched")</f>
        <v>Matched</v>
      </c>
      <c r="J883" s="8" t="n">
        <f aca="false">IF($G883&lt;&gt;"",$G883,$B883)</f>
        <v>4408090</v>
      </c>
      <c r="K883" s="8" t="str">
        <f aca="false">IF(COUNTIF($M$1:$M$10,$A883)&gt;0,"Y","N")</f>
        <v>Y</v>
      </c>
    </row>
    <row r="884" customFormat="false" ht="15" hidden="false" customHeight="true" outlineLevel="0" collapsed="false">
      <c r="A884" s="8" t="s">
        <v>44</v>
      </c>
      <c r="B884" s="8" t="s">
        <v>454</v>
      </c>
      <c r="C884" s="19" t="n">
        <v>1</v>
      </c>
      <c r="D884" s="19" t="n">
        <v>170.13</v>
      </c>
      <c r="E884" s="19" t="n">
        <v>0</v>
      </c>
      <c r="F884" s="19" t="n">
        <v>0</v>
      </c>
      <c r="G884" s="8" t="str">
        <f aca="false">IFERROR(INDEX('TRANS'!$B:$B,MATCH($B884,'TRANS'!$A:$A,0)),IFERROR(INDEX('TRANS'!$B:$B,MATCH(TRIM(SUBSTITUTE($B884,CHAR(160)," ")),'TRANS'!$D:$D,0)),IFERROR(INDEX('Catalog'!$A:$A,MATCH($B884,'Catalog'!$B:$B,0)),IFERROR(INDEX('Catalog'!$A:$A,MATCH(TRIM(SUBSTITUTE($B884,CHAR(160)," ")),'Catalog'!$C:$C,0)),""))))</f>
        <v/>
      </c>
      <c r="H884" s="8" t="str">
        <f aca="false">IFERROR(INDEX('TRANS'!$C:$C,MATCH($B884,'TRANS'!$A:$A,0)),IFERROR(INDEX('Catalog'!$B:$B,MATCH($G884,'Catalog'!$A:$A,0)),$B884))</f>
        <v>06 L</v>
      </c>
      <c r="I884" s="8" t="str">
        <f aca="false">IF($G884="","Unmatched","Matched")</f>
        <v>Unmatched</v>
      </c>
      <c r="J884" s="8" t="str">
        <f aca="false">IF($G884&lt;&gt;"",$G884,$B884)</f>
        <v>06 L</v>
      </c>
      <c r="K884" s="8" t="str">
        <f aca="false">IF(COUNTIF($M$1:$M$10,$A884)&gt;0,"Y","N")</f>
        <v>Y</v>
      </c>
    </row>
    <row r="885" customFormat="false" ht="15" hidden="false" customHeight="true" outlineLevel="0" collapsed="false">
      <c r="A885" s="8" t="s">
        <v>44</v>
      </c>
      <c r="B885" s="8" t="s">
        <v>455</v>
      </c>
      <c r="C885" s="19" t="n">
        <v>1</v>
      </c>
      <c r="D885" s="19" t="n">
        <v>170.14</v>
      </c>
      <c r="E885" s="19" t="n">
        <v>0</v>
      </c>
      <c r="F885" s="19" t="n">
        <v>0</v>
      </c>
      <c r="G885" s="8" t="str">
        <f aca="false">IFERROR(INDEX('TRANS'!$B:$B,MATCH($B885,'TRANS'!$A:$A,0)),IFERROR(INDEX('TRANS'!$B:$B,MATCH(TRIM(SUBSTITUTE($B885,CHAR(160)," ")),'TRANS'!$D:$D,0)),IFERROR(INDEX('Catalog'!$A:$A,MATCH($B885,'Catalog'!$B:$B,0)),IFERROR(INDEX('Catalog'!$A:$A,MATCH(TRIM(SUBSTITUTE($B885,CHAR(160)," ")),'Catalog'!$C:$C,0)),""))))</f>
        <v/>
      </c>
      <c r="H885" s="8" t="str">
        <f aca="false">IFERROR(INDEX('TRANS'!$C:$C,MATCH($B885,'TRANS'!$A:$A,0)),IFERROR(INDEX('Catalog'!$B:$B,MATCH($G885,'Catalog'!$A:$A,0)),$B885))</f>
        <v>06 XXL</v>
      </c>
      <c r="I885" s="8" t="str">
        <f aca="false">IF($G885="","Unmatched","Matched")</f>
        <v>Unmatched</v>
      </c>
      <c r="J885" s="8" t="str">
        <f aca="false">IF($G885&lt;&gt;"",$G885,$B885)</f>
        <v>06 XXL</v>
      </c>
      <c r="K885" s="8" t="str">
        <f aca="false">IF(COUNTIF($M$1:$M$10,$A885)&gt;0,"Y","N")</f>
        <v>Y</v>
      </c>
    </row>
    <row r="886" customFormat="false" ht="15" hidden="false" customHeight="true" outlineLevel="0" collapsed="false">
      <c r="A886" s="8" t="s">
        <v>44</v>
      </c>
      <c r="B886" s="8" t="s">
        <v>194</v>
      </c>
      <c r="C886" s="19" t="n">
        <v>1</v>
      </c>
      <c r="D886" s="19" t="n">
        <v>99</v>
      </c>
      <c r="E886" s="19" t="n">
        <v>0</v>
      </c>
      <c r="F886" s="19" t="n">
        <v>0</v>
      </c>
      <c r="G886" s="8" t="str">
        <f aca="false">IFERROR(INDEX('TRANS'!$B:$B,MATCH($B886,'TRANS'!$A:$A,0)),IFERROR(INDEX('TRANS'!$B:$B,MATCH(TRIM(SUBSTITUTE($B886,CHAR(160)," ")),'TRANS'!$D:$D,0)),IFERROR(INDEX('Catalog'!$A:$A,MATCH($B886,'Catalog'!$B:$B,0)),IFERROR(INDEX('Catalog'!$A:$A,MATCH(TRIM(SUBSTITUTE($B886,CHAR(160)," ")),'Catalog'!$C:$C,0)),""))))</f>
        <v/>
      </c>
      <c r="H886" s="8" t="str">
        <f aca="false">IFERROR(INDEX('TRANS'!$C:$C,MATCH($B886,'TRANS'!$A:$A,0)),IFERROR(INDEX('Catalog'!$B:$B,MATCH($G886,'Catalog'!$A:$A,0)),$B886))</f>
        <v>06U XXL</v>
      </c>
      <c r="I886" s="8" t="str">
        <f aca="false">IF($G886="","Unmatched","Matched")</f>
        <v>Unmatched</v>
      </c>
      <c r="J886" s="8" t="str">
        <f aca="false">IF($G886&lt;&gt;"",$G886,$B886)</f>
        <v>06U XXL</v>
      </c>
      <c r="K886" s="8" t="str">
        <f aca="false">IF(COUNTIF($M$1:$M$10,$A886)&gt;0,"Y","N")</f>
        <v>Y</v>
      </c>
    </row>
    <row r="887" customFormat="false" ht="15" hidden="false" customHeight="true" outlineLevel="0" collapsed="false">
      <c r="A887" s="8" t="s">
        <v>44</v>
      </c>
      <c r="B887" s="8" t="s">
        <v>972</v>
      </c>
      <c r="C887" s="19" t="n">
        <v>0</v>
      </c>
      <c r="D887" s="19" t="n">
        <v>0</v>
      </c>
      <c r="E887" s="19" t="n">
        <v>1</v>
      </c>
      <c r="F887" s="19" t="n">
        <v>220.01</v>
      </c>
      <c r="G887" s="8" t="n">
        <f aca="false">IFERROR(INDEX('TRANS'!$B:$B,MATCH($B887,'TRANS'!$A:$A,0)),IFERROR(INDEX('TRANS'!$B:$B,MATCH(TRIM(SUBSTITUTE($B887,CHAR(160)," ")),'TRANS'!$D:$D,0)),IFERROR(INDEX('Catalog'!$A:$A,MATCH($B887,'Catalog'!$B:$B,0)),IFERROR(INDEX('Catalog'!$A:$A,MATCH(TRIM(SUBSTITUTE($B887,CHAR(160)," ")),'Catalog'!$C:$C,0)),""))))</f>
        <v>4408014</v>
      </c>
      <c r="H887" s="8" t="str">
        <f aca="false">IFERROR(INDEX('TRANS'!$C:$C,MATCH($B887,'TRANS'!$A:$A,0)),IFERROR(INDEX('Catalog'!$B:$B,MATCH($G887,'Catalog'!$A:$A,0)),$B887))</f>
        <v>07AU S ח.גב """"איטלקית"""" אורירית</v>
      </c>
      <c r="I887" s="8" t="str">
        <f aca="false">IF($G887="","Unmatched","Matched")</f>
        <v>Matched</v>
      </c>
      <c r="J887" s="8" t="n">
        <f aca="false">IF($G887&lt;&gt;"",$G887,$B887)</f>
        <v>4408014</v>
      </c>
      <c r="K887" s="8" t="str">
        <f aca="false">IF(COUNTIF($M$1:$M$10,$A887)&gt;0,"Y","N")</f>
        <v>Y</v>
      </c>
    </row>
    <row r="888" customFormat="false" ht="15" hidden="false" customHeight="true" outlineLevel="0" collapsed="false">
      <c r="A888" s="8" t="s">
        <v>44</v>
      </c>
      <c r="B888" s="8" t="s">
        <v>973</v>
      </c>
      <c r="C888" s="19" t="n">
        <v>7</v>
      </c>
      <c r="D888" s="19" t="n">
        <v>594.98</v>
      </c>
      <c r="E888" s="19" t="n">
        <v>1</v>
      </c>
      <c r="F888" s="19" t="n">
        <v>84.98</v>
      </c>
      <c r="G888" s="8" t="n">
        <f aca="false">IFERROR(INDEX('TRANS'!$B:$B,MATCH($B888,'TRANS'!$A:$A,0)),IFERROR(INDEX('TRANS'!$B:$B,MATCH(TRIM(SUBSTITUTE($B888,CHAR(160)," ")),'TRANS'!$D:$D,0)),IFERROR(INDEX('Catalog'!$A:$A,MATCH($B888,'Catalog'!$B:$B,0)),IFERROR(INDEX('Catalog'!$A:$A,MATCH(TRIM(SUBSTITUTE($B888,CHAR(160)," ")),'Catalog'!$C:$C,0)),""))))</f>
        <v>4408031</v>
      </c>
      <c r="H888" s="8" t="str">
        <f aca="false">IFERROR(INDEX('TRANS'!$C:$C,MATCH($B888,'TRANS'!$A:$A,0)),IFERROR(INDEX('Catalog'!$B:$B,MATCH($G888,'Catalog'!$A:$A,0)),$B888))</f>
        <v>11 S""""חגורת בטן""""אורירית</v>
      </c>
      <c r="I888" s="8" t="str">
        <f aca="false">IF($G888="","Unmatched","Matched")</f>
        <v>Matched</v>
      </c>
      <c r="J888" s="8" t="n">
        <f aca="false">IF($G888&lt;&gt;"",$G888,$B888)</f>
        <v>4408031</v>
      </c>
      <c r="K888" s="8" t="str">
        <f aca="false">IF(COUNTIF($M$1:$M$10,$A888)&gt;0,"Y","N")</f>
        <v>Y</v>
      </c>
    </row>
    <row r="889" customFormat="false" ht="15" hidden="false" customHeight="true" outlineLevel="0" collapsed="false">
      <c r="A889" s="8" t="s">
        <v>44</v>
      </c>
      <c r="B889" s="8" t="s">
        <v>613</v>
      </c>
      <c r="C889" s="19" t="n">
        <v>8</v>
      </c>
      <c r="D889" s="19" t="n">
        <v>247.13</v>
      </c>
      <c r="E889" s="19" t="n">
        <v>3</v>
      </c>
      <c r="F889" s="19" t="n">
        <v>92.67</v>
      </c>
      <c r="G889" s="8" t="n">
        <f aca="false">IFERROR(INDEX('TRANS'!$B:$B,MATCH($B889,'TRANS'!$A:$A,0)),IFERROR(INDEX('TRANS'!$B:$B,MATCH(TRIM(SUBSTITUTE($B889,CHAR(160)," ")),'TRANS'!$D:$D,0)),IFERROR(INDEX('Catalog'!$A:$A,MATCH($B889,'Catalog'!$B:$B,0)),IFERROR(INDEX('Catalog'!$A:$A,MATCH(TRIM(SUBSTITUTE($B889,CHAR(160)," ")),'Catalog'!$C:$C,0)),""))))</f>
        <v>4413048</v>
      </c>
      <c r="H889" s="8" t="str">
        <f aca="false">IFERROR(INDEX('TRANS'!$C:$C,MATCH($B889,'TRANS'!$A:$A,0)),IFERROR(INDEX('Catalog'!$B:$B,MATCH($G889,'Catalog'!$A:$A,0)),$B889))</f>
        <v>35 L מגן קרסול לבן</v>
      </c>
      <c r="I889" s="8" t="str">
        <f aca="false">IF($G889="","Unmatched","Matched")</f>
        <v>Matched</v>
      </c>
      <c r="J889" s="8" t="n">
        <f aca="false">IF($G889&lt;&gt;"",$G889,$B889)</f>
        <v>4413048</v>
      </c>
      <c r="K889" s="8" t="str">
        <f aca="false">IF(COUNTIF($M$1:$M$10,$A889)&gt;0,"Y","N")</f>
        <v>Y</v>
      </c>
    </row>
    <row r="890" customFormat="false" ht="15" hidden="false" customHeight="true" outlineLevel="0" collapsed="false">
      <c r="A890" s="8" t="s">
        <v>44</v>
      </c>
      <c r="B890" s="8" t="s">
        <v>614</v>
      </c>
      <c r="C890" s="19" t="n">
        <v>6</v>
      </c>
      <c r="D890" s="19" t="n">
        <v>185.34</v>
      </c>
      <c r="E890" s="19" t="n">
        <v>3</v>
      </c>
      <c r="F890" s="19" t="n">
        <v>92.67</v>
      </c>
      <c r="G890" s="8" t="n">
        <f aca="false">IFERROR(INDEX('TRANS'!$B:$B,MATCH($B890,'TRANS'!$A:$A,0)),IFERROR(INDEX('TRANS'!$B:$B,MATCH(TRIM(SUBSTITUTE($B890,CHAR(160)," ")),'TRANS'!$D:$D,0)),IFERROR(INDEX('Catalog'!$A:$A,MATCH($B890,'Catalog'!$B:$B,0)),IFERROR(INDEX('Catalog'!$A:$A,MATCH(TRIM(SUBSTITUTE($B890,CHAR(160)," ")),'Catalog'!$C:$C,0)),""))))</f>
        <v>4413049</v>
      </c>
      <c r="H890" s="8" t="str">
        <f aca="false">IFERROR(INDEX('TRANS'!$C:$C,MATCH($B890,'TRANS'!$A:$A,0)),IFERROR(INDEX('Catalog'!$B:$B,MATCH($G890,'Catalog'!$A:$A,0)),$B890))</f>
        <v>35 M מגן קרסול לבן</v>
      </c>
      <c r="I890" s="8" t="str">
        <f aca="false">IF($G890="","Unmatched","Matched")</f>
        <v>Matched</v>
      </c>
      <c r="J890" s="8" t="n">
        <f aca="false">IF($G890&lt;&gt;"",$G890,$B890)</f>
        <v>4413049</v>
      </c>
      <c r="K890" s="8" t="str">
        <f aca="false">IF(COUNTIF($M$1:$M$10,$A890)&gt;0,"Y","N")</f>
        <v>Y</v>
      </c>
    </row>
    <row r="891" customFormat="false" ht="15" hidden="false" customHeight="true" outlineLevel="0" collapsed="false">
      <c r="A891" s="8" t="s">
        <v>44</v>
      </c>
      <c r="B891" s="8" t="s">
        <v>792</v>
      </c>
      <c r="C891" s="19" t="n">
        <v>5</v>
      </c>
      <c r="D891" s="19" t="n">
        <v>154.45</v>
      </c>
      <c r="E891" s="19" t="n">
        <v>3</v>
      </c>
      <c r="F891" s="19" t="n">
        <v>92.67</v>
      </c>
      <c r="G891" s="8" t="n">
        <f aca="false">IFERROR(INDEX('TRANS'!$B:$B,MATCH($B891,'TRANS'!$A:$A,0)),IFERROR(INDEX('TRANS'!$B:$B,MATCH(TRIM(SUBSTITUTE($B891,CHAR(160)," ")),'TRANS'!$D:$D,0)),IFERROR(INDEX('Catalog'!$A:$A,MATCH($B891,'Catalog'!$B:$B,0)),IFERROR(INDEX('Catalog'!$A:$A,MATCH(TRIM(SUBSTITUTE($B891,CHAR(160)," ")),'Catalog'!$C:$C,0)),""))))</f>
        <v>4413047</v>
      </c>
      <c r="H891" s="8" t="str">
        <f aca="false">IFERROR(INDEX('TRANS'!$C:$C,MATCH($B891,'TRANS'!$A:$A,0)),IFERROR(INDEX('Catalog'!$B:$B,MATCH($G891,'Catalog'!$A:$A,0)),$B891))</f>
        <v>35 S מגן קרסול לבן</v>
      </c>
      <c r="I891" s="8" t="str">
        <f aca="false">IF($G891="","Unmatched","Matched")</f>
        <v>Matched</v>
      </c>
      <c r="J891" s="8" t="n">
        <f aca="false">IF($G891&lt;&gt;"",$G891,$B891)</f>
        <v>4413047</v>
      </c>
      <c r="K891" s="8" t="str">
        <f aca="false">IF(COUNTIF($M$1:$M$10,$A891)&gt;0,"Y","N")</f>
        <v>Y</v>
      </c>
    </row>
    <row r="892" customFormat="false" ht="15" hidden="false" customHeight="true" outlineLevel="0" collapsed="false">
      <c r="A892" s="8" t="s">
        <v>44</v>
      </c>
      <c r="B892" s="8" t="s">
        <v>793</v>
      </c>
      <c r="C892" s="19" t="n">
        <v>5</v>
      </c>
      <c r="D892" s="19" t="n">
        <v>154.45</v>
      </c>
      <c r="E892" s="19" t="n">
        <v>0</v>
      </c>
      <c r="F892" s="19" t="n">
        <v>0</v>
      </c>
      <c r="G892" s="8" t="n">
        <f aca="false">IFERROR(INDEX('TRANS'!$B:$B,MATCH($B892,'TRANS'!$A:$A,0)),IFERROR(INDEX('TRANS'!$B:$B,MATCH(TRIM(SUBSTITUTE($B892,CHAR(160)," ")),'TRANS'!$D:$D,0)),IFERROR(INDEX('Catalog'!$A:$A,MATCH($B892,'Catalog'!$B:$B,0)),IFERROR(INDEX('Catalog'!$A:$A,MATCH(TRIM(SUBSTITUTE($B892,CHAR(160)," ")),'Catalog'!$C:$C,0)),""))))</f>
        <v>4413050</v>
      </c>
      <c r="H892" s="8" t="str">
        <f aca="false">IFERROR(INDEX('TRANS'!$C:$C,MATCH($B892,'TRANS'!$A:$A,0)),IFERROR(INDEX('Catalog'!$B:$B,MATCH($G892,'Catalog'!$A:$A,0)),$B892))</f>
        <v>35 XL מגן קרסול לבן</v>
      </c>
      <c r="I892" s="8" t="str">
        <f aca="false">IF($G892="","Unmatched","Matched")</f>
        <v>Matched</v>
      </c>
      <c r="J892" s="8" t="n">
        <f aca="false">IF($G892&lt;&gt;"",$G892,$B892)</f>
        <v>4413050</v>
      </c>
      <c r="K892" s="8" t="str">
        <f aca="false">IF(COUNTIF($M$1:$M$10,$A892)&gt;0,"Y","N")</f>
        <v>Y</v>
      </c>
    </row>
    <row r="893" customFormat="false" ht="15" hidden="false" customHeight="true" outlineLevel="0" collapsed="false">
      <c r="A893" s="8" t="s">
        <v>44</v>
      </c>
      <c r="B893" s="8" t="s">
        <v>622</v>
      </c>
      <c r="C893" s="19" t="n">
        <v>9</v>
      </c>
      <c r="D893" s="19" t="n">
        <v>278.04</v>
      </c>
      <c r="E893" s="19" t="n">
        <v>3</v>
      </c>
      <c r="F893" s="19" t="n">
        <v>92.67</v>
      </c>
      <c r="G893" s="8" t="n">
        <f aca="false">IFERROR(INDEX('TRANS'!$B:$B,MATCH($B893,'TRANS'!$A:$A,0)),IFERROR(INDEX('TRANS'!$B:$B,MATCH(TRIM(SUBSTITUTE($B893,CHAR(160)," ")),'TRANS'!$D:$D,0)),IFERROR(INDEX('Catalog'!$A:$A,MATCH($B893,'Catalog'!$B:$B,0)),IFERROR(INDEX('Catalog'!$A:$A,MATCH(TRIM(SUBSTITUTE($B893,CHAR(160)," ")),'Catalog'!$C:$C,0)),""))))</f>
        <v>4413052</v>
      </c>
      <c r="H893" s="8" t="str">
        <f aca="false">IFERROR(INDEX('TRANS'!$C:$C,MATCH($B893,'TRANS'!$A:$A,0)),IFERROR(INDEX('Catalog'!$B:$B,MATCH($G893,'Catalog'!$A:$A,0)),$B893))</f>
        <v>35C S מגן קרסול חום</v>
      </c>
      <c r="I893" s="8" t="str">
        <f aca="false">IF($G893="","Unmatched","Matched")</f>
        <v>Matched</v>
      </c>
      <c r="J893" s="8" t="n">
        <f aca="false">IF($G893&lt;&gt;"",$G893,$B893)</f>
        <v>4413052</v>
      </c>
      <c r="K893" s="8" t="str">
        <f aca="false">IF(COUNTIF($M$1:$M$10,$A893)&gt;0,"Y","N")</f>
        <v>Y</v>
      </c>
    </row>
    <row r="894" customFormat="false" ht="15" hidden="false" customHeight="true" outlineLevel="0" collapsed="false">
      <c r="A894" s="8" t="s">
        <v>44</v>
      </c>
      <c r="B894" s="8" t="s">
        <v>639</v>
      </c>
      <c r="C894" s="19" t="n">
        <v>28</v>
      </c>
      <c r="D894" s="19" t="n">
        <v>809.33</v>
      </c>
      <c r="E894" s="19" t="n">
        <v>12</v>
      </c>
      <c r="F894" s="19" t="n">
        <v>365.04</v>
      </c>
      <c r="G894" s="8" t="n">
        <f aca="false">IFERROR(INDEX('TRANS'!$B:$B,MATCH($B894,'TRANS'!$A:$A,0)),IFERROR(INDEX('TRANS'!$B:$B,MATCH(TRIM(SUBSTITUTE($B894,CHAR(160)," ")),'TRANS'!$D:$D,0)),IFERROR(INDEX('Catalog'!$A:$A,MATCH($B894,'Catalog'!$B:$B,0)),IFERROR(INDEX('Catalog'!$A:$A,MATCH(TRIM(SUBSTITUTE($B894,CHAR(160)," ")),'Catalog'!$C:$C,0)),""))))</f>
        <v>4413371</v>
      </c>
      <c r="H894" s="8" t="str">
        <f aca="false">IFERROR(INDEX('TRANS'!$C:$C,MATCH($B894,'TRANS'!$A:$A,0)),IFERROR(INDEX('Catalog'!$B:$B,MATCH($G894,'Catalog'!$A:$A,0)),$B894))</f>
        <v>3675    מגן זרת מסיליקון</v>
      </c>
      <c r="I894" s="8" t="str">
        <f aca="false">IF($G894="","Unmatched","Matched")</f>
        <v>Matched</v>
      </c>
      <c r="J894" s="8" t="n">
        <f aca="false">IF($G894&lt;&gt;"",$G894,$B894)</f>
        <v>4413371</v>
      </c>
      <c r="K894" s="8" t="str">
        <f aca="false">IF(COUNTIF($M$1:$M$10,$A894)&gt;0,"Y","N")</f>
        <v>Y</v>
      </c>
    </row>
    <row r="895" customFormat="false" ht="15" hidden="false" customHeight="true" outlineLevel="0" collapsed="false">
      <c r="A895" s="8" t="s">
        <v>44</v>
      </c>
      <c r="B895" s="8" t="s">
        <v>653</v>
      </c>
      <c r="C895" s="19" t="n">
        <v>4</v>
      </c>
      <c r="D895" s="19" t="n">
        <v>108</v>
      </c>
      <c r="E895" s="19" t="n">
        <v>20</v>
      </c>
      <c r="F895" s="19" t="n">
        <v>378.28</v>
      </c>
      <c r="G895" s="8" t="n">
        <f aca="false">IFERROR(INDEX('TRANS'!$B:$B,MATCH($B895,'TRANS'!$A:$A,0)),IFERROR(INDEX('TRANS'!$B:$B,MATCH(TRIM(SUBSTITUTE($B895,CHAR(160)," ")),'TRANS'!$D:$D,0)),IFERROR(INDEX('Catalog'!$A:$A,MATCH($B895,'Catalog'!$B:$B,0)),IFERROR(INDEX('Catalog'!$A:$A,MATCH(TRIM(SUBSTITUTE($B895,CHAR(160)," ")),'Catalog'!$C:$C,0)),""))))</f>
        <v>4403001</v>
      </c>
      <c r="H895" s="8" t="str">
        <f aca="false">IFERROR(INDEX('TRANS'!$C:$C,MATCH($B895,'TRANS'!$A:$A,0)),IFERROR(INDEX('Catalog'!$B:$B,MATCH($G895,'Catalog'!$A:$A,0)),$B895))</f>
        <v>390B 39-42.גרב.כסף לסכרתיים שח</v>
      </c>
      <c r="I895" s="8" t="str">
        <f aca="false">IF($G895="","Unmatched","Matched")</f>
        <v>Matched</v>
      </c>
      <c r="J895" s="8" t="n">
        <f aca="false">IF($G895&lt;&gt;"",$G895,$B895)</f>
        <v>4403001</v>
      </c>
      <c r="K895" s="8" t="str">
        <f aca="false">IF(COUNTIF($M$1:$M$10,$A895)&gt;0,"Y","N")</f>
        <v>Y</v>
      </c>
    </row>
    <row r="896" customFormat="false" ht="15" hidden="false" customHeight="true" outlineLevel="0" collapsed="false">
      <c r="A896" s="8" t="s">
        <v>44</v>
      </c>
      <c r="B896" s="8" t="s">
        <v>654</v>
      </c>
      <c r="C896" s="19" t="n">
        <v>22</v>
      </c>
      <c r="D896" s="19" t="n">
        <v>594</v>
      </c>
      <c r="E896" s="19" t="n">
        <v>20</v>
      </c>
      <c r="F896" s="19" t="n">
        <v>540</v>
      </c>
      <c r="G896" s="8" t="n">
        <f aca="false">IFERROR(INDEX('TRANS'!$B:$B,MATCH($B896,'TRANS'!$A:$A,0)),IFERROR(INDEX('TRANS'!$B:$B,MATCH(TRIM(SUBSTITUTE($B896,CHAR(160)," ")),'TRANS'!$D:$D,0)),IFERROR(INDEX('Catalog'!$A:$A,MATCH($B896,'Catalog'!$B:$B,0)),IFERROR(INDEX('Catalog'!$A:$A,MATCH(TRIM(SUBSTITUTE($B896,CHAR(160)," ")),'Catalog'!$C:$C,0)),""))))</f>
        <v>4403002</v>
      </c>
      <c r="H896" s="8" t="str">
        <f aca="false">IFERROR(INDEX('TRANS'!$C:$C,MATCH($B896,'TRANS'!$A:$A,0)),IFERROR(INDEX('Catalog'!$B:$B,MATCH($G896,'Catalog'!$A:$A,0)),$B896))</f>
        <v>390B 43-46.גרב.כסף לסכרתיים שח</v>
      </c>
      <c r="I896" s="8" t="str">
        <f aca="false">IF($G896="","Unmatched","Matched")</f>
        <v>Matched</v>
      </c>
      <c r="J896" s="8" t="n">
        <f aca="false">IF($G896&lt;&gt;"",$G896,$B896)</f>
        <v>4403002</v>
      </c>
      <c r="K896" s="8" t="str">
        <f aca="false">IF(COUNTIF($M$1:$M$10,$A896)&gt;0,"Y","N")</f>
        <v>Y</v>
      </c>
    </row>
    <row r="897" customFormat="false" ht="15" hidden="false" customHeight="true" outlineLevel="0" collapsed="false">
      <c r="A897" s="8" t="s">
        <v>44</v>
      </c>
      <c r="B897" s="8" t="s">
        <v>107</v>
      </c>
      <c r="C897" s="19" t="n">
        <v>2</v>
      </c>
      <c r="D897" s="19" t="n">
        <v>54</v>
      </c>
      <c r="E897" s="19" t="n">
        <v>0</v>
      </c>
      <c r="F897" s="19" t="n">
        <v>0</v>
      </c>
      <c r="G897" s="8" t="str">
        <f aca="false">IFERROR(INDEX('TRANS'!$B:$B,MATCH($B897,'TRANS'!$A:$A,0)),IFERROR(INDEX('TRANS'!$B:$B,MATCH(TRIM(SUBSTITUTE($B897,CHAR(160)," ")),'TRANS'!$D:$D,0)),IFERROR(INDEX('Catalog'!$A:$A,MATCH($B897,'Catalog'!$B:$B,0)),IFERROR(INDEX('Catalog'!$A:$A,MATCH(TRIM(SUBSTITUTE($B897,CHAR(160)," ")),'Catalog'!$C:$C,0)),""))))</f>
        <v/>
      </c>
      <c r="H897" s="8" t="str">
        <f aca="false">IFERROR(INDEX('TRANS'!$C:$C,MATCH($B897,'TRANS'!$A:$A,0)),IFERROR(INDEX('Catalog'!$B:$B,MATCH($G897,'Catalog'!$A:$A,0)),$B897))</f>
        <v>390G-39-42</v>
      </c>
      <c r="I897" s="8" t="str">
        <f aca="false">IF($G897="","Unmatched","Matched")</f>
        <v>Unmatched</v>
      </c>
      <c r="J897" s="8" t="str">
        <f aca="false">IF($G897&lt;&gt;"",$G897,$B897)</f>
        <v>390G-39-42</v>
      </c>
      <c r="K897" s="8" t="str">
        <f aca="false">IF(COUNTIF($M$1:$M$10,$A897)&gt;0,"Y","N")</f>
        <v>Y</v>
      </c>
    </row>
    <row r="898" customFormat="false" ht="15" hidden="false" customHeight="true" outlineLevel="0" collapsed="false">
      <c r="A898" s="8" t="s">
        <v>44</v>
      </c>
      <c r="B898" s="8" t="s">
        <v>656</v>
      </c>
      <c r="C898" s="19" t="n">
        <v>2</v>
      </c>
      <c r="D898" s="19" t="n">
        <v>54</v>
      </c>
      <c r="E898" s="19" t="n">
        <v>0</v>
      </c>
      <c r="F898" s="19" t="n">
        <v>0</v>
      </c>
      <c r="G898" s="8" t="n">
        <f aca="false">IFERROR(INDEX('TRANS'!$B:$B,MATCH($B898,'TRANS'!$A:$A,0)),IFERROR(INDEX('TRANS'!$B:$B,MATCH(TRIM(SUBSTITUTE($B898,CHAR(160)," ")),'TRANS'!$D:$D,0)),IFERROR(INDEX('Catalog'!$A:$A,MATCH($B898,'Catalog'!$B:$B,0)),IFERROR(INDEX('Catalog'!$A:$A,MATCH(TRIM(SUBSTITUTE($B898,CHAR(160)," ")),'Catalog'!$C:$C,0)),""))))</f>
        <v>4403005</v>
      </c>
      <c r="H898" s="8" t="str">
        <f aca="false">IFERROR(INDEX('TRANS'!$C:$C,MATCH($B898,'TRANS'!$A:$A,0)),IFERROR(INDEX('Catalog'!$B:$B,MATCH($G898,'Catalog'!$A:$A,0)),$B898))</f>
        <v>G390.43-46 גרבי כסף לסכרת מידה</v>
      </c>
      <c r="I898" s="8" t="str">
        <f aca="false">IF($G898="","Unmatched","Matched")</f>
        <v>Matched</v>
      </c>
      <c r="J898" s="8" t="n">
        <f aca="false">IF($G898&lt;&gt;"",$G898,$B898)</f>
        <v>4403005</v>
      </c>
      <c r="K898" s="8" t="str">
        <f aca="false">IF(COUNTIF($M$1:$M$10,$A898)&gt;0,"Y","N")</f>
        <v>Y</v>
      </c>
    </row>
    <row r="899" customFormat="false" ht="15" hidden="false" customHeight="true" outlineLevel="0" collapsed="false">
      <c r="A899" s="8" t="s">
        <v>44</v>
      </c>
      <c r="B899" s="8" t="s">
        <v>530</v>
      </c>
      <c r="C899" s="19" t="n">
        <v>1</v>
      </c>
      <c r="D899" s="19" t="n">
        <v>187.45</v>
      </c>
      <c r="E899" s="19" t="n">
        <v>0</v>
      </c>
      <c r="F899" s="19" t="n">
        <v>0</v>
      </c>
      <c r="G899" s="8" t="str">
        <f aca="false">IFERROR(INDEX('TRANS'!$B:$B,MATCH($B899,'TRANS'!$A:$A,0)),IFERROR(INDEX('TRANS'!$B:$B,MATCH(TRIM(SUBSTITUTE($B899,CHAR(160)," ")),'TRANS'!$D:$D,0)),IFERROR(INDEX('Catalog'!$A:$A,MATCH($B899,'Catalog'!$B:$B,0)),IFERROR(INDEX('Catalog'!$A:$A,MATCH(TRIM(SUBSTITUTE($B899,CHAR(160)," ")),'Catalog'!$C:$C,0)),""))))</f>
        <v/>
      </c>
      <c r="H899" s="8" t="str">
        <f aca="false">IFERROR(INDEX('TRANS'!$C:$C,MATCH($B899,'TRANS'!$A:$A,0)),IFERROR(INDEX('Catalog'!$B:$B,MATCH($G899,'Catalog'!$A:$A,0)),$B899))</f>
        <v>422 L</v>
      </c>
      <c r="I899" s="8" t="str">
        <f aca="false">IF($G899="","Unmatched","Matched")</f>
        <v>Unmatched</v>
      </c>
      <c r="J899" s="8" t="str">
        <f aca="false">IF($G899&lt;&gt;"",$G899,$B899)</f>
        <v>422 L</v>
      </c>
      <c r="K899" s="8" t="str">
        <f aca="false">IF(COUNTIF($M$1:$M$10,$A899)&gt;0,"Y","N")</f>
        <v>Y</v>
      </c>
    </row>
    <row r="900" customFormat="false" ht="15" hidden="false" customHeight="true" outlineLevel="0" collapsed="false">
      <c r="A900" s="8" t="s">
        <v>44</v>
      </c>
      <c r="B900" s="8" t="s">
        <v>456</v>
      </c>
      <c r="C900" s="19" t="n">
        <v>2</v>
      </c>
      <c r="D900" s="19" t="n">
        <v>374.9</v>
      </c>
      <c r="E900" s="19" t="n">
        <v>0</v>
      </c>
      <c r="F900" s="19" t="n">
        <v>0</v>
      </c>
      <c r="G900" s="8" t="str">
        <f aca="false">IFERROR(INDEX('TRANS'!$B:$B,MATCH($B900,'TRANS'!$A:$A,0)),IFERROR(INDEX('TRANS'!$B:$B,MATCH(TRIM(SUBSTITUTE($B900,CHAR(160)," ")),'TRANS'!$D:$D,0)),IFERROR(INDEX('Catalog'!$A:$A,MATCH($B900,'Catalog'!$B:$B,0)),IFERROR(INDEX('Catalog'!$A:$A,MATCH(TRIM(SUBSTITUTE($B900,CHAR(160)," ")),'Catalog'!$C:$C,0)),""))))</f>
        <v/>
      </c>
      <c r="H900" s="8" t="str">
        <f aca="false">IFERROR(INDEX('TRANS'!$C:$C,MATCH($B900,'TRANS'!$A:$A,0)),IFERROR(INDEX('Catalog'!$B:$B,MATCH($G900,'Catalog'!$A:$A,0)),$B900))</f>
        <v>422 M</v>
      </c>
      <c r="I900" s="8" t="str">
        <f aca="false">IF($G900="","Unmatched","Matched")</f>
        <v>Unmatched</v>
      </c>
      <c r="J900" s="8" t="str">
        <f aca="false">IF($G900&lt;&gt;"",$G900,$B900)</f>
        <v>422 M</v>
      </c>
      <c r="K900" s="8" t="str">
        <f aca="false">IF(COUNTIF($M$1:$M$10,$A900)&gt;0,"Y","N")</f>
        <v>Y</v>
      </c>
    </row>
    <row r="901" customFormat="false" ht="15" hidden="false" customHeight="true" outlineLevel="0" collapsed="false">
      <c r="A901" s="8" t="s">
        <v>44</v>
      </c>
      <c r="B901" s="8" t="s">
        <v>974</v>
      </c>
      <c r="C901" s="19" t="n">
        <v>1</v>
      </c>
      <c r="D901" s="19" t="n">
        <v>187.45</v>
      </c>
      <c r="E901" s="19" t="n">
        <v>0</v>
      </c>
      <c r="F901" s="19" t="n">
        <v>0</v>
      </c>
      <c r="G901" s="8" t="n">
        <f aca="false">IFERROR(INDEX('TRANS'!$B:$B,MATCH($B901,'TRANS'!$A:$A,0)),IFERROR(INDEX('TRANS'!$B:$B,MATCH(TRIM(SUBSTITUTE($B901,CHAR(160)," ")),'TRANS'!$D:$D,0)),IFERROR(INDEX('Catalog'!$A:$A,MATCH($B901,'Catalog'!$B:$B,0)),IFERROR(INDEX('Catalog'!$A:$A,MATCH(TRIM(SUBSTITUTE($B901,CHAR(160)," ")),'Catalog'!$C:$C,0)),""))))</f>
        <v>4413089</v>
      </c>
      <c r="H901" s="8" t="str">
        <f aca="false">IFERROR(INDEX('TRANS'!$C:$C,MATCH($B901,'TRANS'!$A:$A,0)),IFERROR(INDEX('Catalog'!$B:$B,MATCH($G901,'Catalog'!$A:$A,0)),$B901))</f>
        <v>422 Sמ.ברך+כרית סיל.סביב לפיקה</v>
      </c>
      <c r="I901" s="8" t="str">
        <f aca="false">IF($G901="","Unmatched","Matched")</f>
        <v>Matched</v>
      </c>
      <c r="J901" s="8" t="n">
        <f aca="false">IF($G901&lt;&gt;"",$G901,$B901)</f>
        <v>4413089</v>
      </c>
      <c r="K901" s="8" t="str">
        <f aca="false">IF(COUNTIF($M$1:$M$10,$A901)&gt;0,"Y","N")</f>
        <v>Y</v>
      </c>
    </row>
    <row r="902" customFormat="false" ht="15" hidden="false" customHeight="true" outlineLevel="0" collapsed="false">
      <c r="A902" s="8" t="s">
        <v>44</v>
      </c>
      <c r="B902" s="8" t="s">
        <v>457</v>
      </c>
      <c r="C902" s="19" t="n">
        <v>1</v>
      </c>
      <c r="D902" s="19" t="n">
        <v>187.45</v>
      </c>
      <c r="E902" s="19" t="n">
        <v>0</v>
      </c>
      <c r="F902" s="19" t="n">
        <v>0</v>
      </c>
      <c r="G902" s="8" t="str">
        <f aca="false">IFERROR(INDEX('TRANS'!$B:$B,MATCH($B902,'TRANS'!$A:$A,0)),IFERROR(INDEX('TRANS'!$B:$B,MATCH(TRIM(SUBSTITUTE($B902,CHAR(160)," ")),'TRANS'!$D:$D,0)),IFERROR(INDEX('Catalog'!$A:$A,MATCH($B902,'Catalog'!$B:$B,0)),IFERROR(INDEX('Catalog'!$A:$A,MATCH(TRIM(SUBSTITUTE($B902,CHAR(160)," ")),'Catalog'!$C:$C,0)),""))))</f>
        <v/>
      </c>
      <c r="H902" s="8" t="str">
        <f aca="false">IFERROR(INDEX('TRANS'!$C:$C,MATCH($B902,'TRANS'!$A:$A,0)),IFERROR(INDEX('Catalog'!$B:$B,MATCH($G902,'Catalog'!$A:$A,0)),$B902))</f>
        <v>422 XL</v>
      </c>
      <c r="I902" s="8" t="str">
        <f aca="false">IF($G902="","Unmatched","Matched")</f>
        <v>Unmatched</v>
      </c>
      <c r="J902" s="8" t="str">
        <f aca="false">IF($G902&lt;&gt;"",$G902,$B902)</f>
        <v>422 XL</v>
      </c>
      <c r="K902" s="8" t="str">
        <f aca="false">IF(COUNTIF($M$1:$M$10,$A902)&gt;0,"Y","N")</f>
        <v>Y</v>
      </c>
    </row>
    <row r="903" customFormat="false" ht="15" hidden="false" customHeight="true" outlineLevel="0" collapsed="false">
      <c r="A903" s="8" t="s">
        <v>44</v>
      </c>
      <c r="B903" s="8" t="s">
        <v>458</v>
      </c>
      <c r="C903" s="19" t="n">
        <v>1</v>
      </c>
      <c r="D903" s="19" t="n">
        <v>118.01</v>
      </c>
      <c r="E903" s="19" t="n">
        <v>0</v>
      </c>
      <c r="F903" s="19" t="n">
        <v>0</v>
      </c>
      <c r="G903" s="8" t="str">
        <f aca="false">IFERROR(INDEX('TRANS'!$B:$B,MATCH($B903,'TRANS'!$A:$A,0)),IFERROR(INDEX('TRANS'!$B:$B,MATCH(TRIM(SUBSTITUTE($B903,CHAR(160)," ")),'TRANS'!$D:$D,0)),IFERROR(INDEX('Catalog'!$A:$A,MATCH($B903,'Catalog'!$B:$B,0)),IFERROR(INDEX('Catalog'!$A:$A,MATCH(TRIM(SUBSTITUTE($B903,CHAR(160)," ")),'Catalog'!$C:$C,0)),""))))</f>
        <v/>
      </c>
      <c r="H903" s="8" t="str">
        <f aca="false">IFERROR(INDEX('TRANS'!$C:$C,MATCH($B903,'TRANS'!$A:$A,0)),IFERROR(INDEX('Catalog'!$B:$B,MATCH($G903,'Catalog'!$A:$A,0)),$B903))</f>
        <v>422N XXL</v>
      </c>
      <c r="I903" s="8" t="str">
        <f aca="false">IF($G903="","Unmatched","Matched")</f>
        <v>Unmatched</v>
      </c>
      <c r="J903" s="8" t="str">
        <f aca="false">IF($G903&lt;&gt;"",$G903,$B903)</f>
        <v>422N XXL</v>
      </c>
      <c r="K903" s="8" t="str">
        <f aca="false">IF(COUNTIF($M$1:$M$10,$A903)&gt;0,"Y","N")</f>
        <v>Y</v>
      </c>
    </row>
    <row r="904" customFormat="false" ht="15" hidden="false" customHeight="true" outlineLevel="0" collapsed="false">
      <c r="A904" s="8" t="s">
        <v>44</v>
      </c>
      <c r="B904" s="8" t="s">
        <v>798</v>
      </c>
      <c r="C904" s="19" t="n">
        <v>25</v>
      </c>
      <c r="D904" s="19" t="n">
        <v>765.88</v>
      </c>
      <c r="E904" s="19" t="n">
        <v>10</v>
      </c>
      <c r="F904" s="19" t="n">
        <v>308.91</v>
      </c>
      <c r="G904" s="8" t="n">
        <f aca="false">IFERROR(INDEX('TRANS'!$B:$B,MATCH($B904,'TRANS'!$A:$A,0)),IFERROR(INDEX('TRANS'!$B:$B,MATCH(TRIM(SUBSTITUTE($B904,CHAR(160)," ")),'TRANS'!$D:$D,0)),IFERROR(INDEX('Catalog'!$A:$A,MATCH($B904,'Catalog'!$B:$B,0)),IFERROR(INDEX('Catalog'!$A:$A,MATCH(TRIM(SUBSTITUTE($B904,CHAR(160)," ")),'Catalog'!$C:$C,0)),""))))</f>
        <v>4413092</v>
      </c>
      <c r="H904" s="8" t="str">
        <f aca="false">IFERROR(INDEX('TRANS'!$C:$C,MATCH($B904,'TRANS'!$A:$A,0)),IFERROR(INDEX('Catalog'!$B:$B,MATCH($G904,'Catalog'!$A:$A,0)),$B904))</f>
        <v>45 L מגן ברך לבן</v>
      </c>
      <c r="I904" s="8" t="str">
        <f aca="false">IF($G904="","Unmatched","Matched")</f>
        <v>Matched</v>
      </c>
      <c r="J904" s="8" t="n">
        <f aca="false">IF($G904&lt;&gt;"",$G904,$B904)</f>
        <v>4413092</v>
      </c>
      <c r="K904" s="8" t="str">
        <f aca="false">IF(COUNTIF($M$1:$M$10,$A904)&gt;0,"Y","N")</f>
        <v>Y</v>
      </c>
    </row>
    <row r="905" customFormat="false" ht="15" hidden="false" customHeight="true" outlineLevel="0" collapsed="false">
      <c r="A905" s="8" t="s">
        <v>44</v>
      </c>
      <c r="B905" s="8" t="s">
        <v>799</v>
      </c>
      <c r="C905" s="19" t="n">
        <v>23</v>
      </c>
      <c r="D905" s="19" t="n">
        <v>706.41</v>
      </c>
      <c r="E905" s="19" t="n">
        <v>11</v>
      </c>
      <c r="F905" s="19" t="n">
        <v>339.8</v>
      </c>
      <c r="G905" s="8" t="n">
        <f aca="false">IFERROR(INDEX('TRANS'!$B:$B,MATCH($B905,'TRANS'!$A:$A,0)),IFERROR(INDEX('TRANS'!$B:$B,MATCH(TRIM(SUBSTITUTE($B905,CHAR(160)," ")),'TRANS'!$D:$D,0)),IFERROR(INDEX('Catalog'!$A:$A,MATCH($B905,'Catalog'!$B:$B,0)),IFERROR(INDEX('Catalog'!$A:$A,MATCH(TRIM(SUBSTITUTE($B905,CHAR(160)," ")),'Catalog'!$C:$C,0)),""))))</f>
        <v>4413093</v>
      </c>
      <c r="H905" s="8" t="str">
        <f aca="false">IFERROR(INDEX('TRANS'!$C:$C,MATCH($B905,'TRANS'!$A:$A,0)),IFERROR(INDEX('Catalog'!$B:$B,MATCH($G905,'Catalog'!$A:$A,0)),$B905))</f>
        <v>45 M מגן ברך לבן</v>
      </c>
      <c r="I905" s="8" t="str">
        <f aca="false">IF($G905="","Unmatched","Matched")</f>
        <v>Matched</v>
      </c>
      <c r="J905" s="8" t="n">
        <f aca="false">IF($G905&lt;&gt;"",$G905,$B905)</f>
        <v>4413093</v>
      </c>
      <c r="K905" s="8" t="str">
        <f aca="false">IF(COUNTIF($M$1:$M$10,$A905)&gt;0,"Y","N")</f>
        <v>Y</v>
      </c>
    </row>
    <row r="906" customFormat="false" ht="15" hidden="false" customHeight="true" outlineLevel="0" collapsed="false">
      <c r="A906" s="8" t="s">
        <v>44</v>
      </c>
      <c r="B906" s="8" t="s">
        <v>674</v>
      </c>
      <c r="C906" s="19" t="n">
        <v>23</v>
      </c>
      <c r="D906" s="19" t="n">
        <v>704.1</v>
      </c>
      <c r="E906" s="19" t="n">
        <v>13</v>
      </c>
      <c r="F906" s="19" t="n">
        <v>401.59</v>
      </c>
      <c r="G906" s="8" t="n">
        <f aca="false">IFERROR(INDEX('TRANS'!$B:$B,MATCH($B906,'TRANS'!$A:$A,0)),IFERROR(INDEX('TRANS'!$B:$B,MATCH(TRIM(SUBSTITUTE($B906,CHAR(160)," ")),'TRANS'!$D:$D,0)),IFERROR(INDEX('Catalog'!$A:$A,MATCH($B906,'Catalog'!$B:$B,0)),IFERROR(INDEX('Catalog'!$A:$A,MATCH(TRIM(SUBSTITUTE($B906,CHAR(160)," ")),'Catalog'!$C:$C,0)),""))))</f>
        <v>4413095</v>
      </c>
      <c r="H906" s="8" t="str">
        <f aca="false">IFERROR(INDEX('TRANS'!$C:$C,MATCH($B906,'TRANS'!$A:$A,0)),IFERROR(INDEX('Catalog'!$B:$B,MATCH($G906,'Catalog'!$A:$A,0)),$B906))</f>
        <v>45 XL מגן ברך לבן</v>
      </c>
      <c r="I906" s="8" t="str">
        <f aca="false">IF($G906="","Unmatched","Matched")</f>
        <v>Matched</v>
      </c>
      <c r="J906" s="8" t="n">
        <f aca="false">IF($G906&lt;&gt;"",$G906,$B906)</f>
        <v>4413095</v>
      </c>
      <c r="K906" s="8" t="str">
        <f aca="false">IF(COUNTIF($M$1:$M$10,$A906)&gt;0,"Y","N")</f>
        <v>Y</v>
      </c>
    </row>
    <row r="907" customFormat="false" ht="15" hidden="false" customHeight="true" outlineLevel="0" collapsed="false">
      <c r="A907" s="8" t="s">
        <v>44</v>
      </c>
      <c r="B907" s="8" t="s">
        <v>804</v>
      </c>
      <c r="C907" s="19" t="n">
        <v>12</v>
      </c>
      <c r="D907" s="19" t="n">
        <v>444.71</v>
      </c>
      <c r="E907" s="19" t="n">
        <v>5</v>
      </c>
      <c r="F907" s="19" t="n">
        <v>187.26</v>
      </c>
      <c r="G907" s="8" t="n">
        <f aca="false">IFERROR(INDEX('TRANS'!$B:$B,MATCH($B907,'TRANS'!$A:$A,0)),IFERROR(INDEX('TRANS'!$B:$B,MATCH(TRIM(SUBSTITUTE($B907,CHAR(160)," ")),'TRANS'!$D:$D,0)),IFERROR(INDEX('Catalog'!$A:$A,MATCH($B907,'Catalog'!$B:$B,0)),IFERROR(INDEX('Catalog'!$A:$A,MATCH(TRIM(SUBSTITUTE($B907,CHAR(160)," ")),'Catalog'!$C:$C,0)),""))))</f>
        <v>4413102</v>
      </c>
      <c r="H907" s="8" t="str">
        <f aca="false">IFERROR(INDEX('TRANS'!$C:$C,MATCH($B907,'TRANS'!$A:$A,0)),IFERROR(INDEX('Catalog'!$B:$B,MATCH($G907,'Catalog'!$A:$A,0)),$B907))</f>
        <v>45E  L        מגן ברך ארוך לבן</v>
      </c>
      <c r="I907" s="8" t="str">
        <f aca="false">IF($G907="","Unmatched","Matched")</f>
        <v>Matched</v>
      </c>
      <c r="J907" s="8" t="n">
        <f aca="false">IF($G907&lt;&gt;"",$G907,$B907)</f>
        <v>4413102</v>
      </c>
      <c r="K907" s="8" t="str">
        <f aca="false">IF(COUNTIF($M$1:$M$10,$A907)&gt;0,"Y","N")</f>
        <v>Y</v>
      </c>
    </row>
    <row r="908" customFormat="false" ht="15" hidden="false" customHeight="true" outlineLevel="0" collapsed="false">
      <c r="A908" s="8" t="s">
        <v>44</v>
      </c>
      <c r="B908" s="8" t="s">
        <v>681</v>
      </c>
      <c r="C908" s="19" t="n">
        <v>10</v>
      </c>
      <c r="D908" s="19" t="n">
        <v>369.82</v>
      </c>
      <c r="E908" s="19" t="n">
        <v>5</v>
      </c>
      <c r="F908" s="19" t="n">
        <v>187.27</v>
      </c>
      <c r="G908" s="8" t="n">
        <f aca="false">IFERROR(INDEX('TRANS'!$B:$B,MATCH($B908,'TRANS'!$A:$A,0)),IFERROR(INDEX('TRANS'!$B:$B,MATCH(TRIM(SUBSTITUTE($B908,CHAR(160)," ")),'TRANS'!$D:$D,0)),IFERROR(INDEX('Catalog'!$A:$A,MATCH($B908,'Catalog'!$B:$B,0)),IFERROR(INDEX('Catalog'!$A:$A,MATCH(TRIM(SUBSTITUTE($B908,CHAR(160)," ")),'Catalog'!$C:$C,0)),""))))</f>
        <v>4413104</v>
      </c>
      <c r="H908" s="8" t="str">
        <f aca="false">IFERROR(INDEX('TRANS'!$C:$C,MATCH($B908,'TRANS'!$A:$A,0)),IFERROR(INDEX('Catalog'!$B:$B,MATCH($G908,'Catalog'!$A:$A,0)),$B908))</f>
        <v>45E XLמגן ברך ארוך לבן</v>
      </c>
      <c r="I908" s="8" t="str">
        <f aca="false">IF($G908="","Unmatched","Matched")</f>
        <v>Matched</v>
      </c>
      <c r="J908" s="8" t="n">
        <f aca="false">IF($G908&lt;&gt;"",$G908,$B908)</f>
        <v>4413104</v>
      </c>
      <c r="K908" s="8" t="str">
        <f aca="false">IF(COUNTIF($M$1:$M$10,$A908)&gt;0,"Y","N")</f>
        <v>Y</v>
      </c>
    </row>
    <row r="909" customFormat="false" ht="15" hidden="false" customHeight="true" outlineLevel="0" collapsed="false">
      <c r="A909" s="8" t="s">
        <v>44</v>
      </c>
      <c r="B909" s="8" t="s">
        <v>682</v>
      </c>
      <c r="C909" s="19" t="n">
        <v>6</v>
      </c>
      <c r="D909" s="19" t="n">
        <v>224.73</v>
      </c>
      <c r="E909" s="19" t="n">
        <v>0</v>
      </c>
      <c r="F909" s="19" t="n">
        <v>0</v>
      </c>
      <c r="G909" s="8" t="n">
        <f aca="false">IFERROR(INDEX('TRANS'!$B:$B,MATCH($B909,'TRANS'!$A:$A,0)),IFERROR(INDEX('TRANS'!$B:$B,MATCH(TRIM(SUBSTITUTE($B909,CHAR(160)," ")),'TRANS'!$D:$D,0)),IFERROR(INDEX('Catalog'!$A:$A,MATCH($B909,'Catalog'!$B:$B,0)),IFERROR(INDEX('Catalog'!$A:$A,MATCH(TRIM(SUBSTITUTE($B909,CHAR(160)," ")),'Catalog'!$C:$C,0)),""))))</f>
        <v>4413105</v>
      </c>
      <c r="H909" s="8" t="str">
        <f aca="false">IFERROR(INDEX('TRANS'!$C:$C,MATCH($B909,'TRANS'!$A:$A,0)),IFERROR(INDEX('Catalog'!$B:$B,MATCH($G909,'Catalog'!$A:$A,0)),$B909))</f>
        <v>45E XXLמגן ברך ארוך לבן</v>
      </c>
      <c r="I909" s="8" t="str">
        <f aca="false">IF($G909="","Unmatched","Matched")</f>
        <v>Matched</v>
      </c>
      <c r="J909" s="8" t="n">
        <f aca="false">IF($G909&lt;&gt;"",$G909,$B909)</f>
        <v>4413105</v>
      </c>
      <c r="K909" s="8" t="str">
        <f aca="false">IF(COUNTIF($M$1:$M$10,$A909)&gt;0,"Y","N")</f>
        <v>Y</v>
      </c>
    </row>
    <row r="910" customFormat="false" ht="15" hidden="false" customHeight="true" outlineLevel="0" collapsed="false">
      <c r="A910" s="8" t="s">
        <v>44</v>
      </c>
      <c r="B910" s="8" t="s">
        <v>811</v>
      </c>
      <c r="C910" s="19" t="n">
        <v>1</v>
      </c>
      <c r="D910" s="19" t="n">
        <v>32.77</v>
      </c>
      <c r="E910" s="19" t="n">
        <v>1</v>
      </c>
      <c r="F910" s="19" t="n">
        <v>35.11</v>
      </c>
      <c r="G910" s="8" t="n">
        <f aca="false">IFERROR(INDEX('TRANS'!$B:$B,MATCH($B910,'TRANS'!$A:$A,0)),IFERROR(INDEX('TRANS'!$B:$B,MATCH(TRIM(SUBSTITUTE($B910,CHAR(160)," ")),'TRANS'!$D:$D,0)),IFERROR(INDEX('Catalog'!$A:$A,MATCH($B910,'Catalog'!$B:$B,0)),IFERROR(INDEX('Catalog'!$A:$A,MATCH(TRIM(SUBSTITUTE($B910,CHAR(160)," ")),'Catalog'!$C:$C,0)),""))))</f>
        <v>4413111</v>
      </c>
      <c r="H910" s="8" t="str">
        <f aca="false">IFERROR(INDEX('TRANS'!$C:$C,MATCH($B910,'TRANS'!$A:$A,0)),IFERROR(INDEX('Catalog'!$B:$B,MATCH($G910,'Catalog'!$A:$A,0)),$B910))</f>
        <v>49  S מגן ירך</v>
      </c>
      <c r="I910" s="8" t="str">
        <f aca="false">IF($G910="","Unmatched","Matched")</f>
        <v>Matched</v>
      </c>
      <c r="J910" s="8" t="n">
        <f aca="false">IF($G910&lt;&gt;"",$G910,$B910)</f>
        <v>4413111</v>
      </c>
      <c r="K910" s="8" t="str">
        <f aca="false">IF(COUNTIF($M$1:$M$10,$A910)&gt;0,"Y","N")</f>
        <v>Y</v>
      </c>
    </row>
    <row r="911" customFormat="false" ht="15" hidden="false" customHeight="true" outlineLevel="0" collapsed="false">
      <c r="A911" s="8" t="s">
        <v>44</v>
      </c>
      <c r="B911" s="8" t="s">
        <v>223</v>
      </c>
      <c r="C911" s="19" t="n">
        <v>2</v>
      </c>
      <c r="D911" s="19" t="n">
        <v>99.27</v>
      </c>
      <c r="E911" s="19" t="n">
        <v>2</v>
      </c>
      <c r="F911" s="19" t="n">
        <v>99.27</v>
      </c>
      <c r="G911" s="8" t="str">
        <f aca="false">IFERROR(INDEX('TRANS'!$B:$B,MATCH($B911,'TRANS'!$A:$A,0)),IFERROR(INDEX('TRANS'!$B:$B,MATCH(TRIM(SUBSTITUTE($B911,CHAR(160)," ")),'TRANS'!$D:$D,0)),IFERROR(INDEX('Catalog'!$A:$A,MATCH($B911,'Catalog'!$B:$B,0)),IFERROR(INDEX('Catalog'!$A:$A,MATCH(TRIM(SUBSTITUTE($B911,CHAR(160)," ")),'Catalog'!$C:$C,0)),""))))</f>
        <v/>
      </c>
      <c r="H911" s="8" t="str">
        <f aca="false">IFERROR(INDEX('TRANS'!$C:$C,MATCH($B911,'TRANS'!$A:$A,0)),IFERROR(INDEX('Catalog'!$B:$B,MATCH($G911,'Catalog'!$A:$A,0)),$B911))</f>
        <v>60 XXL</v>
      </c>
      <c r="I911" s="8" t="str">
        <f aca="false">IF($G911="","Unmatched","Matched")</f>
        <v>Unmatched</v>
      </c>
      <c r="J911" s="8" t="str">
        <f aca="false">IF($G911&lt;&gt;"",$G911,$B911)</f>
        <v>60 XXL</v>
      </c>
      <c r="K911" s="8" t="str">
        <f aca="false">IF(COUNTIF($M$1:$M$10,$A911)&gt;0,"Y","N")</f>
        <v>Y</v>
      </c>
    </row>
    <row r="912" customFormat="false" ht="15" hidden="false" customHeight="true" outlineLevel="0" collapsed="false">
      <c r="A912" s="8" t="s">
        <v>44</v>
      </c>
      <c r="B912" s="8" t="s">
        <v>823</v>
      </c>
      <c r="C912" s="19" t="n">
        <v>18</v>
      </c>
      <c r="D912" s="19" t="n">
        <v>183.64</v>
      </c>
      <c r="E912" s="19" t="n">
        <v>18</v>
      </c>
      <c r="F912" s="19" t="n">
        <v>207.96</v>
      </c>
      <c r="G912" s="8" t="n">
        <f aca="false">IFERROR(INDEX('TRANS'!$B:$B,MATCH($B912,'TRANS'!$A:$A,0)),IFERROR(INDEX('TRANS'!$B:$B,MATCH(TRIM(SUBSTITUTE($B912,CHAR(160)," ")),'TRANS'!$D:$D,0)),IFERROR(INDEX('Catalog'!$A:$A,MATCH($B912,'Catalog'!$B:$B,0)),IFERROR(INDEX('Catalog'!$A:$A,MATCH(TRIM(SUBSTITUTE($B912,CHAR(160)," ")),'Catalog'!$C:$C,0)),""))))</f>
        <v>4422024</v>
      </c>
      <c r="H912" s="8" t="str">
        <f aca="false">IFERROR(INDEX('TRANS'!$C:$C,MATCH($B912,'TRANS'!$A:$A,0)),IFERROR(INDEX('Catalog'!$B:$B,MATCH($G912,'Catalog'!$A:$A,0)),$B912))</f>
        <v>806CB-BLACK      תחבושת א.נצמ</v>
      </c>
      <c r="I912" s="8" t="str">
        <f aca="false">IF($G912="","Unmatched","Matched")</f>
        <v>Matched</v>
      </c>
      <c r="J912" s="8" t="n">
        <f aca="false">IF($G912&lt;&gt;"",$G912,$B912)</f>
        <v>4422024</v>
      </c>
      <c r="K912" s="8" t="str">
        <f aca="false">IF(COUNTIF($M$1:$M$10,$A912)&gt;0,"Y","N")</f>
        <v>Y</v>
      </c>
    </row>
    <row r="913" customFormat="false" ht="15" hidden="false" customHeight="true" outlineLevel="0" collapsed="false">
      <c r="A913" s="8" t="s">
        <v>44</v>
      </c>
      <c r="B913" s="8" t="s">
        <v>824</v>
      </c>
      <c r="C913" s="19" t="n">
        <v>23</v>
      </c>
      <c r="D913" s="19" t="n">
        <v>246.68</v>
      </c>
      <c r="E913" s="19" t="n">
        <v>30</v>
      </c>
      <c r="F913" s="19" t="n">
        <v>333.96</v>
      </c>
      <c r="G913" s="8" t="n">
        <f aca="false">IFERROR(INDEX('TRANS'!$B:$B,MATCH($B913,'TRANS'!$A:$A,0)),IFERROR(INDEX('TRANS'!$B:$B,MATCH(TRIM(SUBSTITUTE($B913,CHAR(160)," ")),'TRANS'!$D:$D,0)),IFERROR(INDEX('Catalog'!$A:$A,MATCH($B913,'Catalog'!$B:$B,0)),IFERROR(INDEX('Catalog'!$A:$A,MATCH(TRIM(SUBSTITUTE($B913,CHAR(160)," ")),'Catalog'!$C:$C,0)),""))))</f>
        <v>4422023</v>
      </c>
      <c r="H913" s="8" t="str">
        <f aca="false">IFERROR(INDEX('TRANS'!$C:$C,MATCH($B913,'TRANS'!$A:$A,0)),IFERROR(INDEX('Catalog'!$B:$B,MATCH($G913,'Catalog'!$A:$A,0)),$B913))</f>
        <v>806CB-BEIGE      תחבושת א.נצמ</v>
      </c>
      <c r="I913" s="8" t="str">
        <f aca="false">IF($G913="","Unmatched","Matched")</f>
        <v>Matched</v>
      </c>
      <c r="J913" s="8" t="n">
        <f aca="false">IF($G913&lt;&gt;"",$G913,$B913)</f>
        <v>4422023</v>
      </c>
      <c r="K913" s="8" t="str">
        <f aca="false">IF(COUNTIF($M$1:$M$10,$A913)&gt;0,"Y","N")</f>
        <v>Y</v>
      </c>
    </row>
    <row r="914" customFormat="false" ht="15" hidden="false" customHeight="true" outlineLevel="0" collapsed="false">
      <c r="A914" s="8" t="s">
        <v>44</v>
      </c>
      <c r="B914" s="8" t="s">
        <v>825</v>
      </c>
      <c r="C914" s="19" t="n">
        <v>0</v>
      </c>
      <c r="D914" s="19" t="n">
        <v>30.64</v>
      </c>
      <c r="E914" s="19" t="n">
        <v>6</v>
      </c>
      <c r="F914" s="19" t="n">
        <v>69.32</v>
      </c>
      <c r="G914" s="8" t="n">
        <f aca="false">IFERROR(INDEX('TRANS'!$B:$B,MATCH($B914,'TRANS'!$A:$A,0)),IFERROR(INDEX('TRANS'!$B:$B,MATCH(TRIM(SUBSTITUTE($B914,CHAR(160)," ")),'TRANS'!$D:$D,0)),IFERROR(INDEX('Catalog'!$A:$A,MATCH($B914,'Catalog'!$B:$B,0)),IFERROR(INDEX('Catalog'!$A:$A,MATCH(TRIM(SUBSTITUTE($B914,CHAR(160)," ")),'Catalog'!$C:$C,0)),""))))</f>
        <v>4422025</v>
      </c>
      <c r="H914" s="8" t="str">
        <f aca="false">IFERROR(INDEX('TRANS'!$C:$C,MATCH($B914,'TRANS'!$A:$A,0)),IFERROR(INDEX('Catalog'!$B:$B,MATCH($G914,'Catalog'!$A:$A,0)),$B914))</f>
        <v>806CB-GREEN      תחבושת א.נצמ</v>
      </c>
      <c r="I914" s="8" t="str">
        <f aca="false">IF($G914="","Unmatched","Matched")</f>
        <v>Matched</v>
      </c>
      <c r="J914" s="8" t="n">
        <f aca="false">IF($G914&lt;&gt;"",$G914,$B914)</f>
        <v>4422025</v>
      </c>
      <c r="K914" s="8" t="str">
        <f aca="false">IF(COUNTIF($M$1:$M$10,$A914)&gt;0,"Y","N")</f>
        <v>Y</v>
      </c>
    </row>
    <row r="915" customFormat="false" ht="15" hidden="false" customHeight="true" outlineLevel="0" collapsed="false">
      <c r="A915" s="8" t="s">
        <v>44</v>
      </c>
      <c r="B915" s="8" t="s">
        <v>826</v>
      </c>
      <c r="C915" s="19" t="n">
        <v>0</v>
      </c>
      <c r="D915" s="19" t="n">
        <v>30.64</v>
      </c>
      <c r="E915" s="19" t="n">
        <v>6</v>
      </c>
      <c r="F915" s="19" t="n">
        <v>69.32</v>
      </c>
      <c r="G915" s="8" t="n">
        <f aca="false">IFERROR(INDEX('TRANS'!$B:$B,MATCH($B915,'TRANS'!$A:$A,0)),IFERROR(INDEX('TRANS'!$B:$B,MATCH(TRIM(SUBSTITUTE($B915,CHAR(160)," ")),'TRANS'!$D:$D,0)),IFERROR(INDEX('Catalog'!$A:$A,MATCH($B915,'Catalog'!$B:$B,0)),IFERROR(INDEX('Catalog'!$A:$A,MATCH(TRIM(SUBSTITUTE($B915,CHAR(160)," ")),'Catalog'!$C:$C,0)),""))))</f>
        <v>4422026</v>
      </c>
      <c r="H915" s="8" t="str">
        <f aca="false">IFERROR(INDEX('TRANS'!$C:$C,MATCH($B915,'TRANS'!$A:$A,0)),IFERROR(INDEX('Catalog'!$B:$B,MATCH($G915,'Catalog'!$A:$A,0)),$B915))</f>
        <v>806CB-PINK       תחבושת א.נצמ</v>
      </c>
      <c r="I915" s="8" t="str">
        <f aca="false">IF($G915="","Unmatched","Matched")</f>
        <v>Matched</v>
      </c>
      <c r="J915" s="8" t="n">
        <f aca="false">IF($G915&lt;&gt;"",$G915,$B915)</f>
        <v>4422026</v>
      </c>
      <c r="K915" s="8" t="str">
        <f aca="false">IF(COUNTIF($M$1:$M$10,$A915)&gt;0,"Y","N")</f>
        <v>Y</v>
      </c>
    </row>
    <row r="916" customFormat="false" ht="15" hidden="false" customHeight="true" outlineLevel="0" collapsed="false">
      <c r="A916" s="8" t="s">
        <v>44</v>
      </c>
      <c r="B916" s="8" t="s">
        <v>79</v>
      </c>
      <c r="C916" s="19" t="n">
        <v>3</v>
      </c>
      <c r="D916" s="19" t="n">
        <v>90</v>
      </c>
      <c r="E916" s="19" t="n">
        <v>6</v>
      </c>
      <c r="F916" s="19" t="n">
        <v>180</v>
      </c>
      <c r="G916" s="8" t="str">
        <f aca="false">IFERROR(INDEX('TRANS'!$B:$B,MATCH($B916,'TRANS'!$A:$A,0)),IFERROR(INDEX('TRANS'!$B:$B,MATCH(TRIM(SUBSTITUTE($B916,CHAR(160)," ")),'TRANS'!$D:$D,0)),IFERROR(INDEX('Catalog'!$A:$A,MATCH($B916,'Catalog'!$B:$B,0)),IFERROR(INDEX('Catalog'!$A:$A,MATCH(TRIM(SUBSTITUTE($B916,CHAR(160)," ")),'Catalog'!$C:$C,0)),""))))</f>
        <v/>
      </c>
      <c r="H916" s="8" t="str">
        <f aca="false">IFERROR(INDEX('TRANS'!$C:$C,MATCH($B916,'TRANS'!$A:$A,0)),IFERROR(INDEX('Catalog'!$B:$B,MATCH($G916,'Catalog'!$A:$A,0)),$B916))</f>
        <v>808KTP-BL</v>
      </c>
      <c r="I916" s="8" t="str">
        <f aca="false">IF($G916="","Unmatched","Matched")</f>
        <v>Unmatched</v>
      </c>
      <c r="J916" s="8" t="str">
        <f aca="false">IF($G916&lt;&gt;"",$G916,$B916)</f>
        <v>808KTP-BL</v>
      </c>
      <c r="K916" s="8" t="str">
        <f aca="false">IF(COUNTIF($M$1:$M$10,$A916)&gt;0,"Y","N")</f>
        <v>Y</v>
      </c>
    </row>
    <row r="917" customFormat="false" ht="15" hidden="false" customHeight="true" outlineLevel="0" collapsed="false">
      <c r="A917" s="8" t="s">
        <v>44</v>
      </c>
      <c r="B917" s="8" t="s">
        <v>164</v>
      </c>
      <c r="C917" s="19" t="n">
        <v>0</v>
      </c>
      <c r="D917" s="19" t="n">
        <v>0</v>
      </c>
      <c r="E917" s="19" t="n">
        <v>6</v>
      </c>
      <c r="F917" s="19" t="n">
        <v>180</v>
      </c>
      <c r="G917" s="8" t="str">
        <f aca="false">IFERROR(INDEX('TRANS'!$B:$B,MATCH($B917,'TRANS'!$A:$A,0)),IFERROR(INDEX('TRANS'!$B:$B,MATCH(TRIM(SUBSTITUTE($B917,CHAR(160)," ")),'TRANS'!$D:$D,0)),IFERROR(INDEX('Catalog'!$A:$A,MATCH($B917,'Catalog'!$B:$B,0)),IFERROR(INDEX('Catalog'!$A:$A,MATCH(TRIM(SUBSTITUTE($B917,CHAR(160)," ")),'Catalog'!$C:$C,0)),""))))</f>
        <v/>
      </c>
      <c r="H917" s="8" t="str">
        <f aca="false">IFERROR(INDEX('TRANS'!$C:$C,MATCH($B917,'TRANS'!$A:$A,0)),IFERROR(INDEX('Catalog'!$B:$B,MATCH($G917,'Catalog'!$A:$A,0)),$B917))</f>
        <v>808KTP-P</v>
      </c>
      <c r="I917" s="8" t="str">
        <f aca="false">IF($G917="","Unmatched","Matched")</f>
        <v>Unmatched</v>
      </c>
      <c r="J917" s="8" t="str">
        <f aca="false">IF($G917&lt;&gt;"",$G917,$B917)</f>
        <v>808KTP-P</v>
      </c>
      <c r="K917" s="8" t="str">
        <f aca="false">IF(COUNTIF($M$1:$M$10,$A917)&gt;0,"Y","N")</f>
        <v>Y</v>
      </c>
    </row>
    <row r="918" customFormat="false" ht="15" hidden="false" customHeight="true" outlineLevel="0" collapsed="false">
      <c r="A918" s="8" t="s">
        <v>44</v>
      </c>
      <c r="B918" s="8" t="s">
        <v>71</v>
      </c>
      <c r="C918" s="19" t="n">
        <v>0</v>
      </c>
      <c r="D918" s="19" t="n">
        <v>0</v>
      </c>
      <c r="E918" s="19" t="n">
        <v>4</v>
      </c>
      <c r="F918" s="19" t="n">
        <v>2099.72</v>
      </c>
      <c r="G918" s="8" t="str">
        <f aca="false">IFERROR(INDEX('TRANS'!$B:$B,MATCH($B918,'TRANS'!$A:$A,0)),IFERROR(INDEX('TRANS'!$B:$B,MATCH(TRIM(SUBSTITUTE($B918,CHAR(160)," ")),'TRANS'!$D:$D,0)),IFERROR(INDEX('Catalog'!$A:$A,MATCH($B918,'Catalog'!$B:$B,0)),IFERROR(INDEX('Catalog'!$A:$A,MATCH(TRIM(SUBSTITUTE($B918,CHAR(160)," ")),'Catalog'!$C:$C,0)),""))))</f>
        <v/>
      </c>
      <c r="H918" s="8" t="str">
        <f aca="false">IFERROR(INDEX('TRANS'!$C:$C,MATCH($B918,'TRANS'!$A:$A,0)),IFERROR(INDEX('Catalog'!$B:$B,MATCH($G918,'Catalog'!$A:$A,0)),$B918))</f>
        <v>MSG001FB 0</v>
      </c>
      <c r="I918" s="8" t="str">
        <f aca="false">IF($G918="","Unmatched","Matched")</f>
        <v>Unmatched</v>
      </c>
      <c r="J918" s="8" t="str">
        <f aca="false">IF($G918&lt;&gt;"",$G918,$B918)</f>
        <v>MSG001FB 0</v>
      </c>
      <c r="K918" s="8" t="str">
        <f aca="false">IF(COUNTIF($M$1:$M$10,$A918)&gt;0,"Y","N")</f>
        <v>Y</v>
      </c>
    </row>
    <row r="919" customFormat="false" ht="15" hidden="false" customHeight="true" outlineLevel="0" collapsed="false">
      <c r="A919" s="8" t="s">
        <v>44</v>
      </c>
      <c r="B919" s="8" t="s">
        <v>117</v>
      </c>
      <c r="C919" s="19" t="n">
        <v>0</v>
      </c>
      <c r="D919" s="19" t="n">
        <v>0</v>
      </c>
      <c r="E919" s="19" t="n">
        <v>2</v>
      </c>
      <c r="F919" s="19" t="n">
        <v>1049.86</v>
      </c>
      <c r="G919" s="8" t="str">
        <f aca="false">IFERROR(INDEX('TRANS'!$B:$B,MATCH($B919,'TRANS'!$A:$A,0)),IFERROR(INDEX('TRANS'!$B:$B,MATCH(TRIM(SUBSTITUTE($B919,CHAR(160)," ")),'TRANS'!$D:$D,0)),IFERROR(INDEX('Catalog'!$A:$A,MATCH($B919,'Catalog'!$B:$B,0)),IFERROR(INDEX('Catalog'!$A:$A,MATCH(TRIM(SUBSTITUTE($B919,CHAR(160)," ")),'Catalog'!$C:$C,0)),""))))</f>
        <v/>
      </c>
      <c r="H919" s="8" t="str">
        <f aca="false">IFERROR(INDEX('TRANS'!$C:$C,MATCH($B919,'TRANS'!$A:$A,0)),IFERROR(INDEX('Catalog'!$B:$B,MATCH($G919,'Catalog'!$A:$A,0)),$B919))</f>
        <v>MSG001FC</v>
      </c>
      <c r="I919" s="8" t="str">
        <f aca="false">IF($G919="","Unmatched","Matched")</f>
        <v>Unmatched</v>
      </c>
      <c r="J919" s="8" t="str">
        <f aca="false">IF($G919&lt;&gt;"",$G919,$B919)</f>
        <v>MSG001FC</v>
      </c>
      <c r="K919" s="8" t="str">
        <f aca="false">IF(COUNTIF($M$1:$M$10,$A919)&gt;0,"Y","N")</f>
        <v>Y</v>
      </c>
    </row>
    <row r="920" customFormat="false" ht="15" hidden="false" customHeight="true" outlineLevel="0" collapsed="false">
      <c r="A920" s="8" t="s">
        <v>44</v>
      </c>
      <c r="B920" s="8" t="s">
        <v>76</v>
      </c>
      <c r="C920" s="19" t="n">
        <v>0</v>
      </c>
      <c r="D920" s="19" t="n">
        <v>0</v>
      </c>
      <c r="E920" s="19" t="n">
        <v>8</v>
      </c>
      <c r="F920" s="19" t="n">
        <v>4199.44</v>
      </c>
      <c r="G920" s="8" t="str">
        <f aca="false">IFERROR(INDEX('TRANS'!$B:$B,MATCH($B920,'TRANS'!$A:$A,0)),IFERROR(INDEX('TRANS'!$B:$B,MATCH(TRIM(SUBSTITUTE($B920,CHAR(160)," ")),'TRANS'!$D:$D,0)),IFERROR(INDEX('Catalog'!$A:$A,MATCH($B920,'Catalog'!$B:$B,0)),IFERROR(INDEX('Catalog'!$A:$A,MATCH(TRIM(SUBSTITUTE($B920,CHAR(160)," ")),'Catalog'!$C:$C,0)),""))))</f>
        <v/>
      </c>
      <c r="H920" s="8" t="str">
        <f aca="false">IFERROR(INDEX('TRANS'!$C:$C,MATCH($B920,'TRANS'!$A:$A,0)),IFERROR(INDEX('Catalog'!$B:$B,MATCH($G920,'Catalog'!$A:$A,0)),$B920))</f>
        <v>MSG002S 0</v>
      </c>
      <c r="I920" s="8" t="str">
        <f aca="false">IF($G920="","Unmatched","Matched")</f>
        <v>Unmatched</v>
      </c>
      <c r="J920" s="8" t="str">
        <f aca="false">IF($G920&lt;&gt;"",$G920,$B920)</f>
        <v>MSG002S 0</v>
      </c>
      <c r="K920" s="8" t="str">
        <f aca="false">IF(COUNTIF($M$1:$M$10,$A920)&gt;0,"Y","N")</f>
        <v>Y</v>
      </c>
    </row>
    <row r="921" customFormat="false" ht="15" hidden="false" customHeight="true" outlineLevel="0" collapsed="false">
      <c r="A921" s="8" t="s">
        <v>44</v>
      </c>
      <c r="B921" s="8" t="s">
        <v>195</v>
      </c>
      <c r="C921" s="19" t="n">
        <v>0</v>
      </c>
      <c r="D921" s="19" t="n">
        <v>0</v>
      </c>
      <c r="E921" s="19" t="n">
        <v>4</v>
      </c>
      <c r="F921" s="19" t="n">
        <v>1400</v>
      </c>
      <c r="G921" s="8" t="str">
        <f aca="false">IFERROR(INDEX('TRANS'!$B:$B,MATCH($B921,'TRANS'!$A:$A,0)),IFERROR(INDEX('TRANS'!$B:$B,MATCH(TRIM(SUBSTITUTE($B921,CHAR(160)," ")),'TRANS'!$D:$D,0)),IFERROR(INDEX('Catalog'!$A:$A,MATCH($B921,'Catalog'!$B:$B,0)),IFERROR(INDEX('Catalog'!$A:$A,MATCH(TRIM(SUBSTITUTE($B921,CHAR(160)," ")),'Catalog'!$C:$C,0)),""))))</f>
        <v/>
      </c>
      <c r="H921" s="8" t="str">
        <f aca="false">IFERROR(INDEX('TRANS'!$C:$C,MATCH($B921,'TRANS'!$A:$A,0)),IFERROR(INDEX('Catalog'!$B:$B,MATCH($G921,'Catalog'!$A:$A,0)),$B921))</f>
        <v>SH776 XXL</v>
      </c>
      <c r="I921" s="8" t="str">
        <f aca="false">IF($G921="","Unmatched","Matched")</f>
        <v>Unmatched</v>
      </c>
      <c r="J921" s="8" t="str">
        <f aca="false">IF($G921&lt;&gt;"",$G921,$B921)</f>
        <v>SH776 XXL</v>
      </c>
      <c r="K921" s="8" t="str">
        <f aca="false">IF(COUNTIF($M$1:$M$10,$A921)&gt;0,"Y","N")</f>
        <v>Y</v>
      </c>
    </row>
    <row r="922" customFormat="false" ht="15" hidden="false" customHeight="true" outlineLevel="0" collapsed="false">
      <c r="A922" s="8" t="s">
        <v>44</v>
      </c>
      <c r="B922" s="8" t="s">
        <v>767</v>
      </c>
      <c r="C922" s="19" t="n">
        <v>9</v>
      </c>
      <c r="D922" s="19" t="n">
        <v>320.16</v>
      </c>
      <c r="E922" s="19" t="n">
        <v>0</v>
      </c>
      <c r="F922" s="19" t="n">
        <v>0</v>
      </c>
      <c r="G922" s="8" t="n">
        <f aca="false">IFERROR(INDEX('TRANS'!$B:$B,MATCH($B922,'TRANS'!$A:$A,0)),IFERROR(INDEX('TRANS'!$B:$B,MATCH(TRIM(SUBSTITUTE($B922,CHAR(160)," ")),'TRANS'!$D:$D,0)),IFERROR(INDEX('Catalog'!$A:$A,MATCH($B922,'Catalog'!$B:$B,0)),IFERROR(INDEX('Catalog'!$A:$A,MATCH(TRIM(SUBSTITUTE($B922,CHAR(160)," ")),'Catalog'!$C:$C,0)),""))))</f>
        <v>4408095</v>
      </c>
      <c r="H922" s="8" t="str">
        <f aca="false">IFERROR(INDEX('TRANS'!$C:$C,MATCH($B922,'TRANS'!$A:$A,0)),IFERROR(INDEX('Catalog'!$B:$B,MATCH($G922,'Catalog'!$A:$A,0)),$B922))</f>
        <v>T20 L-XL  חבק יד עם צמדן</v>
      </c>
      <c r="I922" s="8" t="str">
        <f aca="false">IF($G922="","Unmatched","Matched")</f>
        <v>Matched</v>
      </c>
      <c r="J922" s="8" t="n">
        <f aca="false">IF($G922&lt;&gt;"",$G922,$B922)</f>
        <v>4408095</v>
      </c>
      <c r="K922" s="8" t="str">
        <f aca="false">IF(COUNTIF($M$1:$M$10,$A922)&gt;0,"Y","N")</f>
        <v>Y</v>
      </c>
    </row>
    <row r="923" customFormat="false" ht="15" hidden="false" customHeight="true" outlineLevel="0" collapsed="false">
      <c r="A923" s="8" t="s">
        <v>44</v>
      </c>
      <c r="B923" s="8" t="s">
        <v>975</v>
      </c>
      <c r="C923" s="19" t="n">
        <v>13</v>
      </c>
      <c r="D923" s="19" t="n">
        <v>462.25</v>
      </c>
      <c r="E923" s="19" t="n">
        <v>3</v>
      </c>
      <c r="F923" s="19" t="n">
        <v>106.72</v>
      </c>
      <c r="G923" s="8" t="n">
        <f aca="false">IFERROR(INDEX('TRANS'!$B:$B,MATCH($B923,'TRANS'!$A:$A,0)),IFERROR(INDEX('TRANS'!$B:$B,MATCH(TRIM(SUBSTITUTE($B923,CHAR(160)," ")),'TRANS'!$D:$D,0)),IFERROR(INDEX('Catalog'!$A:$A,MATCH($B923,'Catalog'!$B:$B,0)),IFERROR(INDEX('Catalog'!$A:$A,MATCH(TRIM(SUBSTITUTE($B923,CHAR(160)," ")),'Catalog'!$C:$C,0)),""))))</f>
        <v>4408094</v>
      </c>
      <c r="H923" s="8" t="str">
        <f aca="false">IFERROR(INDEX('TRANS'!$C:$C,MATCH($B923,'TRANS'!$A:$A,0)),IFERROR(INDEX('Catalog'!$B:$B,MATCH($G923,'Catalog'!$A:$A,0)),$B923))</f>
        <v>T20 S-M חבק יד עם צמדן</v>
      </c>
      <c r="I923" s="8" t="str">
        <f aca="false">IF($G923="","Unmatched","Matched")</f>
        <v>Matched</v>
      </c>
      <c r="J923" s="8" t="n">
        <f aca="false">IF($G923&lt;&gt;"",$G923,$B923)</f>
        <v>4408094</v>
      </c>
      <c r="K923" s="8" t="str">
        <f aca="false">IF(COUNTIF($M$1:$M$10,$A923)&gt;0,"Y","N")</f>
        <v>Y</v>
      </c>
    </row>
    <row r="924" customFormat="false" ht="15" hidden="false" customHeight="true" outlineLevel="0" collapsed="false">
      <c r="A924" s="8" t="s">
        <v>44</v>
      </c>
      <c r="B924" s="8" t="s">
        <v>575</v>
      </c>
      <c r="C924" s="19" t="n">
        <v>9</v>
      </c>
      <c r="D924" s="19" t="n">
        <v>784.02</v>
      </c>
      <c r="E924" s="19" t="n">
        <v>8</v>
      </c>
      <c r="F924" s="19" t="n">
        <v>720.1</v>
      </c>
      <c r="G924" s="8" t="n">
        <f aca="false">IFERROR(INDEX('TRANS'!$B:$B,MATCH($B924,'TRANS'!$A:$A,0)),IFERROR(INDEX('TRANS'!$B:$B,MATCH(TRIM(SUBSTITUTE($B924,CHAR(160)," ")),'TRANS'!$D:$D,0)),IFERROR(INDEX('Catalog'!$A:$A,MATCH($B924,'Catalog'!$B:$B,0)),IFERROR(INDEX('Catalog'!$A:$A,MATCH(TRIM(SUBSTITUTE($B924,CHAR(160)," ")),'Catalog'!$C:$C,0)),""))))</f>
        <v>4408231</v>
      </c>
      <c r="H924" s="8" t="str">
        <f aca="false">IFERROR(INDEX('TRANS'!$C:$C,MATCH($B924,'TRANS'!$A:$A,0)),IFERROR(INDEX('Catalog'!$B:$B,MATCH($G924,'Catalog'!$A:$A,0)),$B924))</f>
        <v>16 S-M חגורת הריון</v>
      </c>
      <c r="I924" s="8" t="str">
        <f aca="false">IF($G924="","Unmatched","Matched")</f>
        <v>Matched</v>
      </c>
      <c r="J924" s="8" t="n">
        <f aca="false">IF($G924&lt;&gt;"",$G924,$B924)</f>
        <v>4408231</v>
      </c>
      <c r="K924" s="8" t="str">
        <f aca="false">IF(COUNTIF($M$1:$M$10,$A924)&gt;0,"Y","N")</f>
        <v>Y</v>
      </c>
    </row>
    <row r="925" customFormat="false" ht="15" hidden="false" customHeight="true" outlineLevel="0" collapsed="false">
      <c r="A925" s="8" t="s">
        <v>44</v>
      </c>
      <c r="B925" s="8" t="s">
        <v>335</v>
      </c>
      <c r="C925" s="19" t="n">
        <v>1</v>
      </c>
      <c r="D925" s="19" t="n">
        <v>31</v>
      </c>
      <c r="E925" s="19" t="n">
        <v>0</v>
      </c>
      <c r="F925" s="19" t="n">
        <v>0</v>
      </c>
      <c r="G925" s="8" t="str">
        <f aca="false">IFERROR(INDEX('TRANS'!$B:$B,MATCH($B925,'TRANS'!$A:$A,0)),IFERROR(INDEX('TRANS'!$B:$B,MATCH(TRIM(SUBSTITUTE($B925,CHAR(160)," ")),'TRANS'!$D:$D,0)),IFERROR(INDEX('Catalog'!$A:$A,MATCH($B925,'Catalog'!$B:$B,0)),IFERROR(INDEX('Catalog'!$A:$A,MATCH(TRIM(SUBSTITUTE($B925,CHAR(160)," ")),'Catalog'!$C:$C,0)),""))))</f>
        <v/>
      </c>
      <c r="H925" s="8" t="str">
        <f aca="false">IFERROR(INDEX('TRANS'!$C:$C,MATCH($B925,'TRANS'!$A:$A,0)),IFERROR(INDEX('Catalog'!$B:$B,MATCH($G925,'Catalog'!$A:$A,0)),$B925))</f>
        <v>20 XS</v>
      </c>
      <c r="I925" s="8" t="str">
        <f aca="false">IF($G925="","Unmatched","Matched")</f>
        <v>Unmatched</v>
      </c>
      <c r="J925" s="8" t="str">
        <f aca="false">IF($G925&lt;&gt;"",$G925,$B925)</f>
        <v>20 XS</v>
      </c>
      <c r="K925" s="8" t="str">
        <f aca="false">IF(COUNTIF($M$1:$M$10,$A925)&gt;0,"Y","N")</f>
        <v>Y</v>
      </c>
    </row>
    <row r="926" customFormat="false" ht="15" hidden="false" customHeight="true" outlineLevel="0" collapsed="false">
      <c r="A926" s="8" t="s">
        <v>44</v>
      </c>
      <c r="B926" s="8" t="s">
        <v>791</v>
      </c>
      <c r="C926" s="19" t="n">
        <v>40</v>
      </c>
      <c r="D926" s="19" t="n">
        <v>1455.76</v>
      </c>
      <c r="E926" s="19" t="n">
        <v>16</v>
      </c>
      <c r="F926" s="19" t="n">
        <v>574.31</v>
      </c>
      <c r="G926" s="8" t="n">
        <f aca="false">IFERROR(INDEX('TRANS'!$B:$B,MATCH($B926,'TRANS'!$A:$A,0)),IFERROR(INDEX('TRANS'!$B:$B,MATCH(TRIM(SUBSTITUTE($B926,CHAR(160)," ")),'TRANS'!$D:$D,0)),IFERROR(INDEX('Catalog'!$A:$A,MATCH($B926,'Catalog'!$B:$B,0)),IFERROR(INDEX('Catalog'!$A:$A,MATCH(TRIM(SUBSTITUTE($B926,CHAR(160)," ")),'Catalog'!$C:$C,0)),""))))</f>
        <v>4403040</v>
      </c>
      <c r="H926" s="8" t="str">
        <f aca="false">IFERROR(INDEX('TRANS'!$C:$C,MATCH($B926,'TRANS'!$A:$A,0)),IFERROR(INDEX('Catalog'!$B:$B,MATCH($G926,'Catalog'!$A:$A,0)),$B926))</f>
        <v>3444B גרבי ג'ל לריכוך עור העקב</v>
      </c>
      <c r="I926" s="8" t="str">
        <f aca="false">IF($G926="","Unmatched","Matched")</f>
        <v>Matched</v>
      </c>
      <c r="J926" s="8" t="n">
        <f aca="false">IF($G926&lt;&gt;"",$G926,$B926)</f>
        <v>4403040</v>
      </c>
      <c r="K926" s="8" t="str">
        <f aca="false">IF(COUNTIF($M$1:$M$10,$A926)&gt;0,"Y","N")</f>
        <v>Y</v>
      </c>
    </row>
    <row r="927" customFormat="false" ht="15" hidden="false" customHeight="true" outlineLevel="0" collapsed="false">
      <c r="A927" s="8" t="s">
        <v>44</v>
      </c>
      <c r="B927" s="8" t="s">
        <v>630</v>
      </c>
      <c r="C927" s="19" t="n">
        <v>54</v>
      </c>
      <c r="D927" s="19" t="n">
        <v>760.32</v>
      </c>
      <c r="E927" s="19" t="n">
        <v>30</v>
      </c>
      <c r="F927" s="19" t="n">
        <v>434.46</v>
      </c>
      <c r="G927" s="8" t="n">
        <f aca="false">IFERROR(INDEX('TRANS'!$B:$B,MATCH($B927,'TRANS'!$A:$A,0)),IFERROR(INDEX('TRANS'!$B:$B,MATCH(TRIM(SUBSTITUTE($B927,CHAR(160)," ")),'TRANS'!$D:$D,0)),IFERROR(INDEX('Catalog'!$A:$A,MATCH($B927,'Catalog'!$B:$B,0)),IFERROR(INDEX('Catalog'!$A:$A,MATCH(TRIM(SUBSTITUTE($B927,CHAR(160)," ")),'Catalog'!$C:$C,0)),""))))</f>
        <v>4413060</v>
      </c>
      <c r="H927" s="8" t="str">
        <f aca="false">IFERROR(INDEX('TRANS'!$C:$C,MATCH($B927,'TRANS'!$A:$A,0)),IFERROR(INDEX('Catalog'!$B:$B,MATCH($G927,'Catalog'!$A:$A,0)),$B927))</f>
        <v>364 XLמפריד אצבע סיליקון ליבלת</v>
      </c>
      <c r="I927" s="8" t="str">
        <f aca="false">IF($G927="","Unmatched","Matched")</f>
        <v>Matched</v>
      </c>
      <c r="J927" s="8" t="n">
        <f aca="false">IF($G927&lt;&gt;"",$G927,$B927)</f>
        <v>4413060</v>
      </c>
      <c r="K927" s="8" t="str">
        <f aca="false">IF(COUNTIF($M$1:$M$10,$A927)&gt;0,"Y","N")</f>
        <v>Y</v>
      </c>
    </row>
    <row r="928" customFormat="false" ht="15" hidden="false" customHeight="true" outlineLevel="0" collapsed="false">
      <c r="A928" s="8" t="s">
        <v>44</v>
      </c>
      <c r="B928" s="8" t="s">
        <v>635</v>
      </c>
      <c r="C928" s="19" t="n">
        <v>27</v>
      </c>
      <c r="D928" s="19" t="n">
        <v>841.03</v>
      </c>
      <c r="E928" s="19" t="n">
        <v>17</v>
      </c>
      <c r="F928" s="19" t="n">
        <v>535.2</v>
      </c>
      <c r="G928" s="8" t="n">
        <f aca="false">IFERROR(INDEX('TRANS'!$B:$B,MATCH($B928,'TRANS'!$A:$A,0)),IFERROR(INDEX('TRANS'!$B:$B,MATCH(TRIM(SUBSTITUTE($B928,CHAR(160)," ")),'TRANS'!$D:$D,0)),IFERROR(INDEX('Catalog'!$A:$A,MATCH($B928,'Catalog'!$B:$B,0)),IFERROR(INDEX('Catalog'!$A:$A,MATCH(TRIM(SUBSTITUTE($B928,CHAR(160)," ")),'Catalog'!$C:$C,0)),""))))</f>
        <v>4413307</v>
      </c>
      <c r="H928" s="8" t="str">
        <f aca="false">IFERROR(INDEX('TRANS'!$C:$C,MATCH($B928,'TRANS'!$A:$A,0)),IFERROR(INDEX('Catalog'!$B:$B,MATCH($G928,'Catalog'!$A:$A,0)),$B928))</f>
        <v>URI 3667 מגן בוניון</v>
      </c>
      <c r="I928" s="8" t="str">
        <f aca="false">IF($G928="","Unmatched","Matched")</f>
        <v>Matched</v>
      </c>
      <c r="J928" s="8" t="n">
        <f aca="false">IF($G928&lt;&gt;"",$G928,$B928)</f>
        <v>4413307</v>
      </c>
      <c r="K928" s="8" t="str">
        <f aca="false">IF(COUNTIF($M$1:$M$10,$A928)&gt;0,"Y","N")</f>
        <v>Y</v>
      </c>
    </row>
    <row r="929" customFormat="false" ht="15" hidden="false" customHeight="true" outlineLevel="0" collapsed="false">
      <c r="A929" s="8" t="s">
        <v>44</v>
      </c>
      <c r="B929" s="8" t="s">
        <v>636</v>
      </c>
      <c r="C929" s="19" t="n">
        <v>33</v>
      </c>
      <c r="D929" s="19" t="n">
        <v>540.7</v>
      </c>
      <c r="E929" s="19" t="n">
        <v>10</v>
      </c>
      <c r="F929" s="19" t="n">
        <v>157.01</v>
      </c>
      <c r="G929" s="8" t="n">
        <f aca="false">IFERROR(INDEX('TRANS'!$B:$B,MATCH($B929,'TRANS'!$A:$A,0)),IFERROR(INDEX('TRANS'!$B:$B,MATCH(TRIM(SUBSTITUTE($B929,CHAR(160)," ")),'TRANS'!$D:$D,0)),IFERROR(INDEX('Catalog'!$A:$A,MATCH($B929,'Catalog'!$B:$B,0)),IFERROR(INDEX('Catalog'!$A:$A,MATCH(TRIM(SUBSTITUTE($B929,CHAR(160)," ")),'Catalog'!$C:$C,0)),""))))</f>
        <v>4413063</v>
      </c>
      <c r="H929" s="8" t="str">
        <f aca="false">IFERROR(INDEX('TRANS'!$C:$C,MATCH($B929,'TRANS'!$A:$A,0)),IFERROR(INDEX('Catalog'!$B:$B,MATCH($G929,'Catalog'!$A:$A,0)),$B929))</f>
        <v>366S-'מדבק.לשחרור לחץ מיבלת2יח</v>
      </c>
      <c r="I929" s="8" t="str">
        <f aca="false">IF($G929="","Unmatched","Matched")</f>
        <v>Matched</v>
      </c>
      <c r="J929" s="8" t="n">
        <f aca="false">IF($G929&lt;&gt;"",$G929,$B929)</f>
        <v>4413063</v>
      </c>
      <c r="K929" s="8" t="str">
        <f aca="false">IF(COUNTIF($M$1:$M$10,$A929)&gt;0,"Y","N")</f>
        <v>Y</v>
      </c>
    </row>
    <row r="930" customFormat="false" ht="15" hidden="false" customHeight="true" outlineLevel="0" collapsed="false">
      <c r="A930" s="8" t="s">
        <v>44</v>
      </c>
      <c r="B930" s="8" t="s">
        <v>638</v>
      </c>
      <c r="C930" s="19" t="n">
        <v>99</v>
      </c>
      <c r="D930" s="19" t="n">
        <v>3823.87</v>
      </c>
      <c r="E930" s="19" t="n">
        <v>74</v>
      </c>
      <c r="F930" s="19" t="n">
        <v>2899.27</v>
      </c>
      <c r="G930" s="8" t="n">
        <f aca="false">IFERROR(INDEX('TRANS'!$B:$B,MATCH($B930,'TRANS'!$A:$A,0)),IFERROR(INDEX('TRANS'!$B:$B,MATCH(TRIM(SUBSTITUTE($B930,CHAR(160)," ")),'TRANS'!$D:$D,0)),IFERROR(INDEX('Catalog'!$A:$A,MATCH($B930,'Catalog'!$B:$B,0)),IFERROR(INDEX('Catalog'!$A:$A,MATCH(TRIM(SUBSTITUTE($B930,CHAR(160)," ")),'Catalog'!$C:$C,0)),""))))</f>
        <v>4413370</v>
      </c>
      <c r="H930" s="8" t="str">
        <f aca="false">IFERROR(INDEX('TRANS'!$C:$C,MATCH($B930,'TRANS'!$A:$A,0)),IFERROR(INDEX('Catalog'!$B:$B,MATCH($G930,'Catalog'!$A:$A,0)),$B930))</f>
        <v>3674 0 מ.בוניון+מפריד אצבע</v>
      </c>
      <c r="I930" s="8" t="str">
        <f aca="false">IF($G930="","Unmatched","Matched")</f>
        <v>Matched</v>
      </c>
      <c r="J930" s="8" t="n">
        <f aca="false">IF($G930&lt;&gt;"",$G930,$B930)</f>
        <v>4413370</v>
      </c>
      <c r="K930" s="8" t="str">
        <f aca="false">IF(COUNTIF($M$1:$M$10,$A930)&gt;0,"Y","N")</f>
        <v>Y</v>
      </c>
    </row>
    <row r="931" customFormat="false" ht="15" hidden="false" customHeight="true" outlineLevel="0" collapsed="false">
      <c r="A931" s="8" t="s">
        <v>44</v>
      </c>
      <c r="B931" s="8" t="s">
        <v>673</v>
      </c>
      <c r="C931" s="19" t="n">
        <v>10</v>
      </c>
      <c r="D931" s="19" t="n">
        <v>304.83</v>
      </c>
      <c r="E931" s="19" t="n">
        <v>4</v>
      </c>
      <c r="F931" s="19" t="n">
        <v>123.56</v>
      </c>
      <c r="G931" s="8" t="n">
        <f aca="false">IFERROR(INDEX('TRANS'!$B:$B,MATCH($B931,'TRANS'!$A:$A,0)),IFERROR(INDEX('TRANS'!$B:$B,MATCH(TRIM(SUBSTITUTE($B931,CHAR(160)," ")),'TRANS'!$D:$D,0)),IFERROR(INDEX('Catalog'!$A:$A,MATCH($B931,'Catalog'!$B:$B,0)),IFERROR(INDEX('Catalog'!$A:$A,MATCH(TRIM(SUBSTITUTE($B931,CHAR(160)," ")),'Catalog'!$C:$C,0)),""))))</f>
        <v>4413094</v>
      </c>
      <c r="H931" s="8" t="str">
        <f aca="false">IFERROR(INDEX('TRANS'!$C:$C,MATCH($B931,'TRANS'!$A:$A,0)),IFERROR(INDEX('Catalog'!$B:$B,MATCH($G931,'Catalog'!$A:$A,0)),$B931))</f>
        <v>45 S מגן ברך לבן</v>
      </c>
      <c r="I931" s="8" t="str">
        <f aca="false">IF($G931="","Unmatched","Matched")</f>
        <v>Matched</v>
      </c>
      <c r="J931" s="8" t="n">
        <f aca="false">IF($G931&lt;&gt;"",$G931,$B931)</f>
        <v>4413094</v>
      </c>
      <c r="K931" s="8" t="str">
        <f aca="false">IF(COUNTIF($M$1:$M$10,$A931)&gt;0,"Y","N")</f>
        <v>Y</v>
      </c>
    </row>
    <row r="932" customFormat="false" ht="15" hidden="false" customHeight="true" outlineLevel="0" collapsed="false">
      <c r="A932" s="8" t="s">
        <v>44</v>
      </c>
      <c r="B932" s="8" t="s">
        <v>685</v>
      </c>
      <c r="C932" s="19" t="n">
        <v>4</v>
      </c>
      <c r="D932" s="19" t="n">
        <v>144.83</v>
      </c>
      <c r="E932" s="19" t="n">
        <v>0</v>
      </c>
      <c r="F932" s="19" t="n">
        <v>0</v>
      </c>
      <c r="G932" s="8" t="n">
        <f aca="false">IFERROR(INDEX('TRANS'!$B:$B,MATCH($B932,'TRANS'!$A:$A,0)),IFERROR(INDEX('TRANS'!$B:$B,MATCH(TRIM(SUBSTITUTE($B932,CHAR(160)," ")),'TRANS'!$D:$D,0)),IFERROR(INDEX('Catalog'!$A:$A,MATCH($B932,'Catalog'!$B:$B,0)),IFERROR(INDEX('Catalog'!$A:$A,MATCH(TRIM(SUBSTITUTE($B932,CHAR(160)," ")),'Catalog'!$C:$C,0)),""))))</f>
        <v>4413397</v>
      </c>
      <c r="H932" s="8" t="str">
        <f aca="false">IFERROR(INDEX('TRANS'!$C:$C,MATCH($B932,'TRANS'!$A:$A,0)),IFERROR(INDEX('Catalog'!$B:$B,MATCH($G932,'Catalog'!$A:$A,0)),$B932))</f>
        <v>45EC XL'מגן ברך ארוך בז</v>
      </c>
      <c r="I932" s="8" t="str">
        <f aca="false">IF($G932="","Unmatched","Matched")</f>
        <v>Matched</v>
      </c>
      <c r="J932" s="8" t="n">
        <f aca="false">IF($G932&lt;&gt;"",$G932,$B932)</f>
        <v>4413397</v>
      </c>
      <c r="K932" s="8" t="str">
        <f aca="false">IF(COUNTIF($M$1:$M$10,$A932)&gt;0,"Y","N")</f>
        <v>Y</v>
      </c>
    </row>
    <row r="933" customFormat="false" ht="15" hidden="false" customHeight="true" outlineLevel="0" collapsed="false">
      <c r="A933" s="8" t="s">
        <v>44</v>
      </c>
      <c r="B933" s="8" t="s">
        <v>705</v>
      </c>
      <c r="C933" s="19" t="n">
        <v>54</v>
      </c>
      <c r="D933" s="19" t="n">
        <v>1380.8</v>
      </c>
      <c r="E933" s="19" t="n">
        <v>13</v>
      </c>
      <c r="F933" s="19" t="n">
        <v>341.25</v>
      </c>
      <c r="G933" s="8" t="n">
        <f aca="false">IFERROR(INDEX('TRANS'!$B:$B,MATCH($B933,'TRANS'!$A:$A,0)),IFERROR(INDEX('TRANS'!$B:$B,MATCH(TRIM(SUBSTITUTE($B933,CHAR(160)," ")),'TRANS'!$D:$D,0)),IFERROR(INDEX('Catalog'!$A:$A,MATCH($B933,'Catalog'!$B:$B,0)),IFERROR(INDEX('Catalog'!$A:$A,MATCH(TRIM(SUBSTITUTE($B933,CHAR(160)," ")),'Catalog'!$C:$C,0)),""))))</f>
        <v>4409017</v>
      </c>
      <c r="H933" s="8" t="str">
        <f aca="false">IFERROR(INDEX('TRANS'!$C:$C,MATCH($B933,'TRANS'!$A:$A,0)),IFERROR(INDEX('Catalog'!$B:$B,MATCH($G933,'Catalog'!$A:$A,0)),$B933))</f>
        <v>808KT-B        טייפ קינזיולוגי</v>
      </c>
      <c r="I933" s="8" t="str">
        <f aca="false">IF($G933="","Unmatched","Matched")</f>
        <v>Matched</v>
      </c>
      <c r="J933" s="8" t="n">
        <f aca="false">IF($G933&lt;&gt;"",$G933,$B933)</f>
        <v>4409017</v>
      </c>
      <c r="K933" s="8" t="str">
        <f aca="false">IF(COUNTIF($M$1:$M$10,$A933)&gt;0,"Y","N")</f>
        <v>Y</v>
      </c>
    </row>
    <row r="934" customFormat="false" ht="15" hidden="false" customHeight="true" outlineLevel="0" collapsed="false">
      <c r="A934" s="8" t="s">
        <v>44</v>
      </c>
      <c r="B934" s="8" t="s">
        <v>886</v>
      </c>
      <c r="C934" s="19" t="n">
        <v>44</v>
      </c>
      <c r="D934" s="19" t="n">
        <v>974.3</v>
      </c>
      <c r="E934" s="19" t="n">
        <v>3</v>
      </c>
      <c r="F934" s="19" t="n">
        <v>90</v>
      </c>
      <c r="G934" s="8" t="n">
        <f aca="false">IFERROR(INDEX('TRANS'!$B:$B,MATCH($B934,'TRANS'!$A:$A,0)),IFERROR(INDEX('TRANS'!$B:$B,MATCH(TRIM(SUBSTITUTE($B934,CHAR(160)," ")),'TRANS'!$D:$D,0)),IFERROR(INDEX('Catalog'!$A:$A,MATCH($B934,'Catalog'!$B:$B,0)),IFERROR(INDEX('Catalog'!$A:$A,MATCH(TRIM(SUBSTITUTE($B934,CHAR(160)," ")),'Catalog'!$C:$C,0)),""))))</f>
        <v>4409015</v>
      </c>
      <c r="H934" s="8" t="str">
        <f aca="false">IFERROR(INDEX('TRANS'!$C:$C,MATCH($B934,'TRANS'!$A:$A,0)),IFERROR(INDEX('Catalog'!$B:$B,MATCH($G934,'Catalog'!$A:$A,0)),$B934))</f>
        <v>808KT-BL       טייפ קינזיולוגי</v>
      </c>
      <c r="I934" s="8" t="str">
        <f aca="false">IF($G934="","Unmatched","Matched")</f>
        <v>Matched</v>
      </c>
      <c r="J934" s="8" t="n">
        <f aca="false">IF($G934&lt;&gt;"",$G934,$B934)</f>
        <v>4409015</v>
      </c>
      <c r="K934" s="8" t="str">
        <f aca="false">IF(COUNTIF($M$1:$M$10,$A934)&gt;0,"Y","N")</f>
        <v>Y</v>
      </c>
    </row>
    <row r="935" customFormat="false" ht="15" hidden="false" customHeight="true" outlineLevel="0" collapsed="false">
      <c r="A935" s="8" t="s">
        <v>44</v>
      </c>
      <c r="B935" s="8" t="s">
        <v>887</v>
      </c>
      <c r="C935" s="19" t="n">
        <v>47</v>
      </c>
      <c r="D935" s="19" t="n">
        <v>1064.3</v>
      </c>
      <c r="E935" s="19" t="n">
        <v>3</v>
      </c>
      <c r="F935" s="19" t="n">
        <v>90</v>
      </c>
      <c r="G935" s="8" t="n">
        <f aca="false">IFERROR(INDEX('TRANS'!$B:$B,MATCH($B935,'TRANS'!$A:$A,0)),IFERROR(INDEX('TRANS'!$B:$B,MATCH(TRIM(SUBSTITUTE($B935,CHAR(160)," ")),'TRANS'!$D:$D,0)),IFERROR(INDEX('Catalog'!$A:$A,MATCH($B935,'Catalog'!$B:$B,0)),IFERROR(INDEX('Catalog'!$A:$A,MATCH(TRIM(SUBSTITUTE($B935,CHAR(160)," ")),'Catalog'!$C:$C,0)),""))))</f>
        <v>4409014</v>
      </c>
      <c r="H935" s="8" t="str">
        <f aca="false">IFERROR(INDEX('TRANS'!$C:$C,MATCH($B935,'TRANS'!$A:$A,0)),IFERROR(INDEX('Catalog'!$B:$B,MATCH($G935,'Catalog'!$A:$A,0)),$B935))</f>
        <v>808KT-P        טייפ קינזיולוגי</v>
      </c>
      <c r="I935" s="8" t="str">
        <f aca="false">IF($G935="","Unmatched","Matched")</f>
        <v>Matched</v>
      </c>
      <c r="J935" s="8" t="n">
        <f aca="false">IF($G935&lt;&gt;"",$G935,$B935)</f>
        <v>4409014</v>
      </c>
      <c r="K935" s="8" t="str">
        <f aca="false">IF(COUNTIF($M$1:$M$10,$A935)&gt;0,"Y","N")</f>
        <v>Y</v>
      </c>
    </row>
    <row r="936" customFormat="false" ht="15" hidden="false" customHeight="true" outlineLevel="0" collapsed="false">
      <c r="A936" s="8" t="s">
        <v>44</v>
      </c>
      <c r="B936" s="8" t="s">
        <v>459</v>
      </c>
      <c r="C936" s="19" t="n">
        <v>13</v>
      </c>
      <c r="D936" s="19" t="n">
        <v>860</v>
      </c>
      <c r="E936" s="19" t="n">
        <v>-1</v>
      </c>
      <c r="F936" s="19" t="n">
        <v>-69.99</v>
      </c>
      <c r="G936" s="8" t="str">
        <f aca="false">IFERROR(INDEX('TRANS'!$B:$B,MATCH($B936,'TRANS'!$A:$A,0)),IFERROR(INDEX('TRANS'!$B:$B,MATCH(TRIM(SUBSTITUTE($B936,CHAR(160)," ")),'TRANS'!$D:$D,0)),IFERROR(INDEX('Catalog'!$A:$A,MATCH($B936,'Catalog'!$B:$B,0)),IFERROR(INDEX('Catalog'!$A:$A,MATCH(TRIM(SUBSTITUTE($B936,CHAR(160)," ")),'Catalog'!$C:$C,0)),""))))</f>
        <v/>
      </c>
      <c r="H936" s="8" t="str">
        <f aca="false">IFERROR(INDEX('TRANS'!$C:$C,MATCH($B936,'TRANS'!$A:$A,0)),IFERROR(INDEX('Catalog'!$B:$B,MATCH($G936,'Catalog'!$A:$A,0)),$B936))</f>
        <v>85+ S</v>
      </c>
      <c r="I936" s="8" t="str">
        <f aca="false">IF($G936="","Unmatched","Matched")</f>
        <v>Unmatched</v>
      </c>
      <c r="J936" s="8" t="str">
        <f aca="false">IF($G936&lt;&gt;"",$G936,$B936)</f>
        <v>85+ S</v>
      </c>
      <c r="K936" s="8" t="str">
        <f aca="false">IF(COUNTIF($M$1:$M$10,$A936)&gt;0,"Y","N")</f>
        <v>Y</v>
      </c>
    </row>
    <row r="937" customFormat="false" ht="15" hidden="false" customHeight="true" outlineLevel="0" collapsed="false">
      <c r="A937" s="8" t="s">
        <v>44</v>
      </c>
      <c r="B937" s="8" t="s">
        <v>739</v>
      </c>
      <c r="C937" s="19" t="n">
        <v>76</v>
      </c>
      <c r="D937" s="19" t="n">
        <v>1731.13</v>
      </c>
      <c r="E937" s="19" t="n">
        <v>0</v>
      </c>
      <c r="F937" s="19" t="n">
        <v>0</v>
      </c>
      <c r="G937" s="8" t="n">
        <f aca="false">IFERROR(INDEX('TRANS'!$B:$B,MATCH($B937,'TRANS'!$A:$A,0)),IFERROR(INDEX('TRANS'!$B:$B,MATCH(TRIM(SUBSTITUTE($B937,CHAR(160)," ")),'TRANS'!$D:$D,0)),IFERROR(INDEX('Catalog'!$A:$A,MATCH($B937,'Catalog'!$B:$B,0)),IFERROR(INDEX('Catalog'!$A:$A,MATCH(TRIM(SUBSTITUTE($B937,CHAR(160)," ")),'Catalog'!$C:$C,0)),""))))</f>
        <v>4413056</v>
      </c>
      <c r="H937" s="8" t="str">
        <f aca="false">IFERROR(INDEX('TRANS'!$C:$C,MATCH($B937,'TRANS'!$A:$A,0)),IFERROR(INDEX('Catalog'!$B:$B,MATCH($G937,'Catalog'!$A:$A,0)),$B937))</f>
        <v>LF360 מדרס מטטרזלי לנעלי עקב</v>
      </c>
      <c r="I937" s="8" t="str">
        <f aca="false">IF($G937="","Unmatched","Matched")</f>
        <v>Matched</v>
      </c>
      <c r="J937" s="8" t="n">
        <f aca="false">IF($G937&lt;&gt;"",$G937,$B937)</f>
        <v>4413056</v>
      </c>
      <c r="K937" s="8" t="str">
        <f aca="false">IF(COUNTIF($M$1:$M$10,$A937)&gt;0,"Y","N")</f>
        <v>Y</v>
      </c>
    </row>
    <row r="938" customFormat="false" ht="15" hidden="false" customHeight="true" outlineLevel="0" collapsed="false">
      <c r="A938" s="8" t="s">
        <v>44</v>
      </c>
      <c r="B938" s="8" t="s">
        <v>324</v>
      </c>
      <c r="C938" s="19" t="n">
        <v>3</v>
      </c>
      <c r="D938" s="19" t="n">
        <v>249.89</v>
      </c>
      <c r="E938" s="19" t="n">
        <v>1</v>
      </c>
      <c r="F938" s="19" t="n">
        <v>85.26</v>
      </c>
      <c r="G938" s="8" t="str">
        <f aca="false">IFERROR(INDEX('TRANS'!$B:$B,MATCH($B938,'TRANS'!$A:$A,0)),IFERROR(INDEX('TRANS'!$B:$B,MATCH(TRIM(SUBSTITUTE($B938,CHAR(160)," ")),'TRANS'!$D:$D,0)),IFERROR(INDEX('Catalog'!$A:$A,MATCH($B938,'Catalog'!$B:$B,0)),IFERROR(INDEX('Catalog'!$A:$A,MATCH(TRIM(SUBSTITUTE($B938,CHAR(160)," ")),'Catalog'!$C:$C,0)),""))))</f>
        <v/>
      </c>
      <c r="H938" s="8" t="str">
        <f aca="false">IFERROR(INDEX('TRANS'!$C:$C,MATCH($B938,'TRANS'!$A:$A,0)),IFERROR(INDEX('Catalog'!$B:$B,MATCH($G938,'Catalog'!$A:$A,0)),$B938))</f>
        <v>T49 L</v>
      </c>
      <c r="I938" s="8" t="str">
        <f aca="false">IF($G938="","Unmatched","Matched")</f>
        <v>Unmatched</v>
      </c>
      <c r="J938" s="8" t="str">
        <f aca="false">IF($G938&lt;&gt;"",$G938,$B938)</f>
        <v>T49 L</v>
      </c>
      <c r="K938" s="8" t="str">
        <f aca="false">IF(COUNTIF($M$1:$M$10,$A938)&gt;0,"Y","N")</f>
        <v>Y</v>
      </c>
    </row>
    <row r="939" customFormat="false" ht="15" hidden="false" customHeight="true" outlineLevel="0" collapsed="false">
      <c r="A939" s="8" t="s">
        <v>44</v>
      </c>
      <c r="B939" s="8" t="s">
        <v>336</v>
      </c>
      <c r="C939" s="19" t="n">
        <v>6</v>
      </c>
      <c r="D939" s="19" t="n">
        <v>505.67</v>
      </c>
      <c r="E939" s="19" t="n">
        <v>1</v>
      </c>
      <c r="F939" s="19" t="n">
        <v>85.26</v>
      </c>
      <c r="G939" s="8" t="str">
        <f aca="false">IFERROR(INDEX('TRANS'!$B:$B,MATCH($B939,'TRANS'!$A:$A,0)),IFERROR(INDEX('TRANS'!$B:$B,MATCH(TRIM(SUBSTITUTE($B939,CHAR(160)," ")),'TRANS'!$D:$D,0)),IFERROR(INDEX('Catalog'!$A:$A,MATCH($B939,'Catalog'!$B:$B,0)),IFERROR(INDEX('Catalog'!$A:$A,MATCH(TRIM(SUBSTITUTE($B939,CHAR(160)," ")),'Catalog'!$C:$C,0)),""))))</f>
        <v/>
      </c>
      <c r="H939" s="8" t="str">
        <f aca="false">IFERROR(INDEX('TRANS'!$C:$C,MATCH($B939,'TRANS'!$A:$A,0)),IFERROR(INDEX('Catalog'!$B:$B,MATCH($G939,'Catalog'!$A:$A,0)),$B939))</f>
        <v>T49 M</v>
      </c>
      <c r="I939" s="8" t="str">
        <f aca="false">IF($G939="","Unmatched","Matched")</f>
        <v>Unmatched</v>
      </c>
      <c r="J939" s="8" t="str">
        <f aca="false">IF($G939&lt;&gt;"",$G939,$B939)</f>
        <v>T49 M</v>
      </c>
      <c r="K939" s="8" t="str">
        <f aca="false">IF(COUNTIF($M$1:$M$10,$A939)&gt;0,"Y","N")</f>
        <v>Y</v>
      </c>
    </row>
    <row r="940" customFormat="false" ht="15" hidden="false" customHeight="true" outlineLevel="0" collapsed="false">
      <c r="A940" s="8" t="s">
        <v>44</v>
      </c>
      <c r="B940" s="8" t="s">
        <v>414</v>
      </c>
      <c r="C940" s="19" t="n">
        <v>1</v>
      </c>
      <c r="D940" s="19" t="n">
        <v>79.57</v>
      </c>
      <c r="E940" s="19" t="n">
        <v>0</v>
      </c>
      <c r="F940" s="19" t="n">
        <v>0</v>
      </c>
      <c r="G940" s="8" t="str">
        <f aca="false">IFERROR(INDEX('TRANS'!$B:$B,MATCH($B940,'TRANS'!$A:$A,0)),IFERROR(INDEX('TRANS'!$B:$B,MATCH(TRIM(SUBSTITUTE($B940,CHAR(160)," ")),'TRANS'!$D:$D,0)),IFERROR(INDEX('Catalog'!$A:$A,MATCH($B940,'Catalog'!$B:$B,0)),IFERROR(INDEX('Catalog'!$A:$A,MATCH(TRIM(SUBSTITUTE($B940,CHAR(160)," ")),'Catalog'!$C:$C,0)),""))))</f>
        <v/>
      </c>
      <c r="H940" s="8" t="str">
        <f aca="false">IFERROR(INDEX('TRANS'!$C:$C,MATCH($B940,'TRANS'!$A:$A,0)),IFERROR(INDEX('Catalog'!$B:$B,MATCH($G940,'Catalog'!$A:$A,0)),$B940))</f>
        <v>T49 S</v>
      </c>
      <c r="I940" s="8" t="str">
        <f aca="false">IF($G940="","Unmatched","Matched")</f>
        <v>Unmatched</v>
      </c>
      <c r="J940" s="8" t="str">
        <f aca="false">IF($G940&lt;&gt;"",$G940,$B940)</f>
        <v>T49 S</v>
      </c>
      <c r="K940" s="8" t="str">
        <f aca="false">IF(COUNTIF($M$1:$M$10,$A940)&gt;0,"Y","N")</f>
        <v>Y</v>
      </c>
    </row>
    <row r="941" customFormat="false" ht="15" hidden="false" customHeight="true" outlineLevel="0" collapsed="false">
      <c r="A941" s="8" t="s">
        <v>44</v>
      </c>
      <c r="B941" s="8" t="s">
        <v>180</v>
      </c>
      <c r="C941" s="19" t="n">
        <v>0</v>
      </c>
      <c r="D941" s="19" t="n">
        <v>0</v>
      </c>
      <c r="E941" s="19" t="n">
        <v>2</v>
      </c>
      <c r="F941" s="19" t="n">
        <v>201.57</v>
      </c>
      <c r="G941" s="8" t="str">
        <f aca="false">IFERROR(INDEX('TRANS'!$B:$B,MATCH($B941,'TRANS'!$A:$A,0)),IFERROR(INDEX('TRANS'!$B:$B,MATCH(TRIM(SUBSTITUTE($B941,CHAR(160)," ")),'TRANS'!$D:$D,0)),IFERROR(INDEX('Catalog'!$A:$A,MATCH($B941,'Catalog'!$B:$B,0)),IFERROR(INDEX('Catalog'!$A:$A,MATCH(TRIM(SUBSTITUTE($B941,CHAR(160)," ")),'Catalog'!$C:$C,0)),""))))</f>
        <v/>
      </c>
      <c r="H941" s="8" t="str">
        <f aca="false">IFERROR(INDEX('TRANS'!$C:$C,MATCH($B941,'TRANS'!$A:$A,0)),IFERROR(INDEX('Catalog'!$B:$B,MATCH($G941,'Catalog'!$A:$A,0)),$B941))</f>
        <v>WEB-AC75 XXL</v>
      </c>
      <c r="I941" s="8" t="str">
        <f aca="false">IF($G941="","Unmatched","Matched")</f>
        <v>Unmatched</v>
      </c>
      <c r="J941" s="8" t="str">
        <f aca="false">IF($G941&lt;&gt;"",$G941,$B941)</f>
        <v>WEB-AC75 XXL</v>
      </c>
      <c r="K941" s="8" t="str">
        <f aca="false">IF(COUNTIF($M$1:$M$10,$A941)&gt;0,"Y","N")</f>
        <v>Y</v>
      </c>
    </row>
    <row r="942" customFormat="false" ht="15" hidden="false" customHeight="true" outlineLevel="0" collapsed="false">
      <c r="A942" s="8" t="s">
        <v>44</v>
      </c>
      <c r="B942" s="8" t="s">
        <v>976</v>
      </c>
      <c r="C942" s="19" t="n">
        <v>30</v>
      </c>
      <c r="D942" s="19" t="n">
        <v>3036.85</v>
      </c>
      <c r="E942" s="19" t="n">
        <v>9</v>
      </c>
      <c r="F942" s="19" t="n">
        <v>969.88</v>
      </c>
      <c r="G942" s="8" t="n">
        <f aca="false">IFERROR(INDEX('TRANS'!$B:$B,MATCH($B942,'TRANS'!$A:$A,0)),IFERROR(INDEX('TRANS'!$B:$B,MATCH(TRIM(SUBSTITUTE($B942,CHAR(160)," ")),'TRANS'!$D:$D,0)),IFERROR(INDEX('Catalog'!$A:$A,MATCH($B942,'Catalog'!$B:$B,0)),IFERROR(INDEX('Catalog'!$A:$A,MATCH(TRIM(SUBSTITUTE($B942,CHAR(160)," ")),'Catalog'!$C:$C,0)),""))))</f>
        <v>4413117</v>
      </c>
      <c r="H942" s="8" t="str">
        <f aca="false">IFERROR(INDEX('TRANS'!$C:$C,MATCH($B942,'TRANS'!$A:$A,0)),IFERROR(INDEX('Catalog'!$B:$B,MATCH($G942,'Catalog'!$A:$A,0)),$B942))</f>
        <v>50 L מתלה אשכים לאחר ניתוח</v>
      </c>
      <c r="I942" s="8" t="str">
        <f aca="false">IF($G942="","Unmatched","Matched")</f>
        <v>Matched</v>
      </c>
      <c r="J942" s="8" t="n">
        <f aca="false">IF($G942&lt;&gt;"",$G942,$B942)</f>
        <v>4413117</v>
      </c>
      <c r="K942" s="8" t="str">
        <f aca="false">IF(COUNTIF($M$1:$M$10,$A942)&gt;0,"Y","N")</f>
        <v>Y</v>
      </c>
    </row>
    <row r="943" customFormat="false" ht="15" hidden="false" customHeight="true" outlineLevel="0" collapsed="false">
      <c r="A943" s="8" t="s">
        <v>44</v>
      </c>
      <c r="B943" s="8" t="s">
        <v>410</v>
      </c>
      <c r="C943" s="19" t="n">
        <v>11</v>
      </c>
      <c r="D943" s="19" t="n">
        <v>3850</v>
      </c>
      <c r="E943" s="19" t="n">
        <v>1</v>
      </c>
      <c r="F943" s="19" t="n">
        <v>350</v>
      </c>
      <c r="G943" s="8" t="str">
        <f aca="false">IFERROR(INDEX('TRANS'!$B:$B,MATCH($B943,'TRANS'!$A:$A,0)),IFERROR(INDEX('TRANS'!$B:$B,MATCH(TRIM(SUBSTITUTE($B943,CHAR(160)," ")),'TRANS'!$D:$D,0)),IFERROR(INDEX('Catalog'!$A:$A,MATCH($B943,'Catalog'!$B:$B,0)),IFERROR(INDEX('Catalog'!$A:$A,MATCH(TRIM(SUBSTITUTE($B943,CHAR(160)," ")),'Catalog'!$C:$C,0)),""))))</f>
        <v/>
      </c>
      <c r="H943" s="8" t="str">
        <f aca="false">IFERROR(INDEX('TRANS'!$C:$C,MATCH($B943,'TRANS'!$A:$A,0)),IFERROR(INDEX('Catalog'!$B:$B,MATCH($G943,'Catalog'!$A:$A,0)),$B943))</f>
        <v>776 L</v>
      </c>
      <c r="I943" s="8" t="str">
        <f aca="false">IF($G943="","Unmatched","Matched")</f>
        <v>Unmatched</v>
      </c>
      <c r="J943" s="8" t="str">
        <f aca="false">IF($G943&lt;&gt;"",$G943,$B943)</f>
        <v>776 L</v>
      </c>
      <c r="K943" s="8" t="str">
        <f aca="false">IF(COUNTIF($M$1:$M$10,$A943)&gt;0,"Y","N")</f>
        <v>Y</v>
      </c>
    </row>
    <row r="944" customFormat="false" ht="15" hidden="false" customHeight="true" outlineLevel="0" collapsed="false">
      <c r="A944" s="8" t="s">
        <v>44</v>
      </c>
      <c r="B944" s="8" t="s">
        <v>737</v>
      </c>
      <c r="C944" s="19" t="n">
        <v>412</v>
      </c>
      <c r="D944" s="19" t="n">
        <v>8124.88</v>
      </c>
      <c r="E944" s="19" t="n">
        <v>323</v>
      </c>
      <c r="F944" s="19" t="n">
        <v>6074.34</v>
      </c>
      <c r="G944" s="8" t="n">
        <f aca="false">IFERROR(INDEX('TRANS'!$B:$B,MATCH($B944,'TRANS'!$A:$A,0)),IFERROR(INDEX('TRANS'!$B:$B,MATCH(TRIM(SUBSTITUTE($B944,CHAR(160)," ")),'TRANS'!$D:$D,0)),IFERROR(INDEX('Catalog'!$A:$A,MATCH($B944,'Catalog'!$B:$B,0)),IFERROR(INDEX('Catalog'!$A:$A,MATCH(TRIM(SUBSTITUTE($B944,CHAR(160)," ")),'Catalog'!$C:$C,0)),""))))</f>
        <v>4409004</v>
      </c>
      <c r="H944" s="8" t="str">
        <f aca="false">IFERROR(INDEX('TRANS'!$C:$C,MATCH($B944,'TRANS'!$A:$A,0)),IFERROR(INDEX('Catalog'!$B:$B,MATCH($G944,'Catalog'!$A:$A,0)),$B944))</f>
        <v>FC335 טלק מעושר באלוורה</v>
      </c>
      <c r="I944" s="8" t="str">
        <f aca="false">IF($G944="","Unmatched","Matched")</f>
        <v>Matched</v>
      </c>
      <c r="J944" s="8" t="n">
        <f aca="false">IF($G944&lt;&gt;"",$G944,$B944)</f>
        <v>4409004</v>
      </c>
      <c r="K944" s="8" t="str">
        <f aca="false">IF(COUNTIF($M$1:$M$10,$A944)&gt;0,"Y","N")</f>
        <v>Y</v>
      </c>
    </row>
    <row r="945" customFormat="false" ht="15" hidden="false" customHeight="true" outlineLevel="0" collapsed="false">
      <c r="A945" s="8" t="s">
        <v>44</v>
      </c>
      <c r="B945" s="8" t="s">
        <v>153</v>
      </c>
      <c r="C945" s="19" t="n">
        <v>1</v>
      </c>
      <c r="D945" s="19" t="n">
        <v>55.02</v>
      </c>
      <c r="E945" s="19" t="n">
        <v>1</v>
      </c>
      <c r="F945" s="19" t="n">
        <v>55</v>
      </c>
      <c r="G945" s="8" t="str">
        <f aca="false">IFERROR(INDEX('TRANS'!$B:$B,MATCH($B945,'TRANS'!$A:$A,0)),IFERROR(INDEX('TRANS'!$B:$B,MATCH(TRIM(SUBSTITUTE($B945,CHAR(160)," ")),'TRANS'!$D:$D,0)),IFERROR(INDEX('Catalog'!$A:$A,MATCH($B945,'Catalog'!$B:$B,0)),IFERROR(INDEX('Catalog'!$A:$A,MATCH(TRIM(SUBSTITUTE($B945,CHAR(160)," ")),'Catalog'!$C:$C,0)),""))))</f>
        <v/>
      </c>
      <c r="H945" s="8" t="str">
        <f aca="false">IFERROR(INDEX('TRANS'!$C:$C,MATCH($B945,'TRANS'!$A:$A,0)),IFERROR(INDEX('Catalog'!$B:$B,MATCH($G945,'Catalog'!$A:$A,0)),$B945))</f>
        <v>13B S</v>
      </c>
      <c r="I945" s="8" t="str">
        <f aca="false">IF($G945="","Unmatched","Matched")</f>
        <v>Unmatched</v>
      </c>
      <c r="J945" s="8" t="str">
        <f aca="false">IF($G945&lt;&gt;"",$G945,$B945)</f>
        <v>13B S</v>
      </c>
      <c r="K945" s="8" t="str">
        <f aca="false">IF(COUNTIF($M$1:$M$10,$A945)&gt;0,"Y","N")</f>
        <v>Y</v>
      </c>
    </row>
    <row r="946" customFormat="false" ht="15" hidden="false" customHeight="true" outlineLevel="0" collapsed="false">
      <c r="A946" s="8" t="s">
        <v>44</v>
      </c>
      <c r="B946" s="8" t="s">
        <v>229</v>
      </c>
      <c r="C946" s="19" t="n">
        <v>4</v>
      </c>
      <c r="D946" s="19" t="n">
        <v>524.72</v>
      </c>
      <c r="E946" s="19" t="n">
        <v>1</v>
      </c>
      <c r="F946" s="19" t="n">
        <v>131.18</v>
      </c>
      <c r="G946" s="8" t="str">
        <f aca="false">IFERROR(INDEX('TRANS'!$B:$B,MATCH($B946,'TRANS'!$A:$A,0)),IFERROR(INDEX('TRANS'!$B:$B,MATCH(TRIM(SUBSTITUTE($B946,CHAR(160)," ")),'TRANS'!$D:$D,0)),IFERROR(INDEX('Catalog'!$A:$A,MATCH($B946,'Catalog'!$B:$B,0)),IFERROR(INDEX('Catalog'!$A:$A,MATCH(TRIM(SUBSTITUTE($B946,CHAR(160)," ")),'Catalog'!$C:$C,0)),""))))</f>
        <v/>
      </c>
      <c r="H946" s="8" t="str">
        <f aca="false">IFERROR(INDEX('TRANS'!$C:$C,MATCH($B946,'TRANS'!$A:$A,0)),IFERROR(INDEX('Catalog'!$B:$B,MATCH($G946,'Catalog'!$A:$A,0)),$B946))</f>
        <v>15M L</v>
      </c>
      <c r="I946" s="8" t="str">
        <f aca="false">IF($G946="","Unmatched","Matched")</f>
        <v>Unmatched</v>
      </c>
      <c r="J946" s="8" t="str">
        <f aca="false">IF($G946&lt;&gt;"",$G946,$B946)</f>
        <v>15M L</v>
      </c>
      <c r="K946" s="8" t="str">
        <f aca="false">IF(COUNTIF($M$1:$M$10,$A946)&gt;0,"Y","N")</f>
        <v>Y</v>
      </c>
    </row>
    <row r="947" customFormat="false" ht="15" hidden="false" customHeight="true" outlineLevel="0" collapsed="false">
      <c r="A947" s="8" t="s">
        <v>44</v>
      </c>
      <c r="B947" s="8" t="s">
        <v>977</v>
      </c>
      <c r="C947" s="19" t="n">
        <v>5</v>
      </c>
      <c r="D947" s="19" t="n">
        <v>510.04</v>
      </c>
      <c r="E947" s="19" t="n">
        <v>6</v>
      </c>
      <c r="F947" s="19" t="n">
        <v>540.01</v>
      </c>
      <c r="G947" s="8" t="n">
        <f aca="false">IFERROR(INDEX('TRANS'!$B:$B,MATCH($B947,'TRANS'!$A:$A,0)),IFERROR(INDEX('TRANS'!$B:$B,MATCH(TRIM(SUBSTITUTE($B947,CHAR(160)," ")),'TRANS'!$D:$D,0)),IFERROR(INDEX('Catalog'!$A:$A,MATCH($B947,'Catalog'!$B:$B,0)),IFERROR(INDEX('Catalog'!$A:$A,MATCH(TRIM(SUBSTITUTE($B947,CHAR(160)," ")),'Catalog'!$C:$C,0)),""))))</f>
        <v>4408232</v>
      </c>
      <c r="H947" s="8" t="str">
        <f aca="false">IFERROR(INDEX('TRANS'!$C:$C,MATCH($B947,'TRANS'!$A:$A,0)),IFERROR(INDEX('Catalog'!$B:$B,MATCH($G947,'Catalog'!$A:$A,0)),$B947))</f>
        <v>16 XXL חגורת הריון</v>
      </c>
      <c r="I947" s="8" t="str">
        <f aca="false">IF($G947="","Unmatched","Matched")</f>
        <v>Matched</v>
      </c>
      <c r="J947" s="8" t="n">
        <f aca="false">IF($G947&lt;&gt;"",$G947,$B947)</f>
        <v>4408232</v>
      </c>
      <c r="K947" s="8" t="str">
        <f aca="false">IF(COUNTIF($M$1:$M$10,$A947)&gt;0,"Y","N")</f>
        <v>Y</v>
      </c>
    </row>
    <row r="948" customFormat="false" ht="15" hidden="false" customHeight="true" outlineLevel="0" collapsed="false">
      <c r="A948" s="8" t="s">
        <v>44</v>
      </c>
      <c r="B948" s="8" t="s">
        <v>143</v>
      </c>
      <c r="C948" s="19" t="n">
        <v>2</v>
      </c>
      <c r="D948" s="19" t="n">
        <v>536.06</v>
      </c>
      <c r="E948" s="19" t="n">
        <v>4</v>
      </c>
      <c r="F948" s="19" t="n">
        <v>1071.98</v>
      </c>
      <c r="G948" s="8" t="str">
        <f aca="false">IFERROR(INDEX('TRANS'!$B:$B,MATCH($B948,'TRANS'!$A:$A,0)),IFERROR(INDEX('TRANS'!$B:$B,MATCH(TRIM(SUBSTITUTE($B948,CHAR(160)," ")),'TRANS'!$D:$D,0)),IFERROR(INDEX('Catalog'!$A:$A,MATCH($B948,'Catalog'!$B:$B,0)),IFERROR(INDEX('Catalog'!$A:$A,MATCH(TRIM(SUBSTITUTE($B948,CHAR(160)," ")),'Catalog'!$C:$C,0)),""))))</f>
        <v/>
      </c>
      <c r="H948" s="8" t="str">
        <f aca="false">IFERROR(INDEX('TRANS'!$C:$C,MATCH($B948,'TRANS'!$A:$A,0)),IFERROR(INDEX('Catalog'!$B:$B,MATCH($G948,'Catalog'!$A:$A,0)),$B948))</f>
        <v>18 L</v>
      </c>
      <c r="I948" s="8" t="str">
        <f aca="false">IF($G948="","Unmatched","Matched")</f>
        <v>Unmatched</v>
      </c>
      <c r="J948" s="8" t="str">
        <f aca="false">IF($G948&lt;&gt;"",$G948,$B948)</f>
        <v>18 L</v>
      </c>
      <c r="K948" s="8" t="str">
        <f aca="false">IF(COUNTIF($M$1:$M$10,$A948)&gt;0,"Y","N")</f>
        <v>Y</v>
      </c>
    </row>
    <row r="949" customFormat="false" ht="15" hidden="false" customHeight="true" outlineLevel="0" collapsed="false">
      <c r="A949" s="8" t="s">
        <v>44</v>
      </c>
      <c r="B949" s="8" t="s">
        <v>115</v>
      </c>
      <c r="C949" s="19" t="n">
        <v>1</v>
      </c>
      <c r="D949" s="19" t="n">
        <v>268.03</v>
      </c>
      <c r="E949" s="19" t="n">
        <v>6</v>
      </c>
      <c r="F949" s="19" t="n">
        <v>1608.02</v>
      </c>
      <c r="G949" s="8" t="str">
        <f aca="false">IFERROR(INDEX('TRANS'!$B:$B,MATCH($B949,'TRANS'!$A:$A,0)),IFERROR(INDEX('TRANS'!$B:$B,MATCH(TRIM(SUBSTITUTE($B949,CHAR(160)," ")),'TRANS'!$D:$D,0)),IFERROR(INDEX('Catalog'!$A:$A,MATCH($B949,'Catalog'!$B:$B,0)),IFERROR(INDEX('Catalog'!$A:$A,MATCH(TRIM(SUBSTITUTE($B949,CHAR(160)," ")),'Catalog'!$C:$C,0)),""))))</f>
        <v/>
      </c>
      <c r="H949" s="8" t="str">
        <f aca="false">IFERROR(INDEX('TRANS'!$C:$C,MATCH($B949,'TRANS'!$A:$A,0)),IFERROR(INDEX('Catalog'!$B:$B,MATCH($G949,'Catalog'!$A:$A,0)),$B949))</f>
        <v>18 M</v>
      </c>
      <c r="I949" s="8" t="str">
        <f aca="false">IF($G949="","Unmatched","Matched")</f>
        <v>Unmatched</v>
      </c>
      <c r="J949" s="8" t="str">
        <f aca="false">IF($G949&lt;&gt;"",$G949,$B949)</f>
        <v>18 M</v>
      </c>
      <c r="K949" s="8" t="str">
        <f aca="false">IF(COUNTIF($M$1:$M$10,$A949)&gt;0,"Y","N")</f>
        <v>Y</v>
      </c>
    </row>
    <row r="950" customFormat="false" ht="15" hidden="false" customHeight="true" outlineLevel="0" collapsed="false">
      <c r="A950" s="8" t="s">
        <v>44</v>
      </c>
      <c r="B950" s="8" t="s">
        <v>186</v>
      </c>
      <c r="C950" s="19" t="n">
        <v>1</v>
      </c>
      <c r="D950" s="19" t="n">
        <v>268.03</v>
      </c>
      <c r="E950" s="19" t="n">
        <v>0</v>
      </c>
      <c r="F950" s="19" t="n">
        <v>0</v>
      </c>
      <c r="G950" s="8" t="str">
        <f aca="false">IFERROR(INDEX('TRANS'!$B:$B,MATCH($B950,'TRANS'!$A:$A,0)),IFERROR(INDEX('TRANS'!$B:$B,MATCH(TRIM(SUBSTITUTE($B950,CHAR(160)," ")),'TRANS'!$D:$D,0)),IFERROR(INDEX('Catalog'!$A:$A,MATCH($B950,'Catalog'!$B:$B,0)),IFERROR(INDEX('Catalog'!$A:$A,MATCH(TRIM(SUBSTITUTE($B950,CHAR(160)," ")),'Catalog'!$C:$C,0)),""))))</f>
        <v/>
      </c>
      <c r="H950" s="8" t="str">
        <f aca="false">IFERROR(INDEX('TRANS'!$C:$C,MATCH($B950,'TRANS'!$A:$A,0)),IFERROR(INDEX('Catalog'!$B:$B,MATCH($G950,'Catalog'!$A:$A,0)),$B950))</f>
        <v>18 XL</v>
      </c>
      <c r="I950" s="8" t="str">
        <f aca="false">IF($G950="","Unmatched","Matched")</f>
        <v>Unmatched</v>
      </c>
      <c r="J950" s="8" t="str">
        <f aca="false">IF($G950&lt;&gt;"",$G950,$B950)</f>
        <v>18 XL</v>
      </c>
      <c r="K950" s="8" t="str">
        <f aca="false">IF(COUNTIF($M$1:$M$10,$A950)&gt;0,"Y","N")</f>
        <v>Y</v>
      </c>
    </row>
    <row r="951" customFormat="false" ht="15" hidden="false" customHeight="true" outlineLevel="0" collapsed="false">
      <c r="A951" s="8" t="s">
        <v>44</v>
      </c>
      <c r="B951" s="8" t="s">
        <v>978</v>
      </c>
      <c r="C951" s="19" t="n">
        <v>0</v>
      </c>
      <c r="D951" s="19" t="n">
        <v>-2.21</v>
      </c>
      <c r="E951" s="19" t="n">
        <v>0</v>
      </c>
      <c r="F951" s="19" t="n">
        <v>0</v>
      </c>
      <c r="G951" s="8" t="n">
        <f aca="false">IFERROR(INDEX('TRANS'!$B:$B,MATCH($B951,'TRANS'!$A:$A,0)),IFERROR(INDEX('TRANS'!$B:$B,MATCH(TRIM(SUBSTITUTE($B951,CHAR(160)," ")),'TRANS'!$D:$D,0)),IFERROR(INDEX('Catalog'!$A:$A,MATCH($B951,'Catalog'!$B:$B,0)),IFERROR(INDEX('Catalog'!$A:$A,MATCH(TRIM(SUBSTITUTE($B951,CHAR(160)," ")),'Catalog'!$C:$C,0)),""))))</f>
        <v>4408050</v>
      </c>
      <c r="H951" s="8" t="str">
        <f aca="false">IFERROR(INDEX('TRANS'!$C:$C,MATCH($B951,'TRANS'!$A:$A,0)),IFERROR(INDEX('Catalog'!$B:$B,MATCH($G951,'Catalog'!$A:$A,0)),$B951))</f>
        <v>20 XXL חבק יד מתכוון עם צמדן</v>
      </c>
      <c r="I951" s="8" t="str">
        <f aca="false">IF($G951="","Unmatched","Matched")</f>
        <v>Matched</v>
      </c>
      <c r="J951" s="8" t="n">
        <f aca="false">IF($G951&lt;&gt;"",$G951,$B951)</f>
        <v>4408050</v>
      </c>
      <c r="K951" s="8" t="str">
        <f aca="false">IF(COUNTIF($M$1:$M$10,$A951)&gt;0,"Y","N")</f>
        <v>Y</v>
      </c>
    </row>
    <row r="952" customFormat="false" ht="15" hidden="false" customHeight="true" outlineLevel="0" collapsed="false">
      <c r="A952" s="8" t="s">
        <v>44</v>
      </c>
      <c r="B952" s="8" t="s">
        <v>626</v>
      </c>
      <c r="C952" s="19" t="n">
        <v>15</v>
      </c>
      <c r="D952" s="19" t="n">
        <v>443.12</v>
      </c>
      <c r="E952" s="19" t="n">
        <v>44</v>
      </c>
      <c r="F952" s="19" t="n">
        <v>1257.36</v>
      </c>
      <c r="G952" s="8" t="n">
        <f aca="false">IFERROR(INDEX('TRANS'!$B:$B,MATCH($B952,'TRANS'!$A:$A,0)),IFERROR(INDEX('TRANS'!$B:$B,MATCH(TRIM(SUBSTITUTE($B952,CHAR(160)," ")),'TRANS'!$D:$D,0)),IFERROR(INDEX('Catalog'!$A:$A,MATCH($B952,'Catalog'!$B:$B,0)),IFERROR(INDEX('Catalog'!$A:$A,MATCH(TRIM(SUBSTITUTE($B952,CHAR(160)," ")),'Catalog'!$C:$C,0)),""))))</f>
        <v>4411000</v>
      </c>
      <c r="H952" s="8" t="str">
        <f aca="false">IFERROR(INDEX('TRANS'!$C:$C,MATCH($B952,'TRANS'!$A:$A,0)),IFERROR(INDEX('Catalog'!$B:$B,MATCH($G952,'Catalog'!$A:$A,0)),$B952))</f>
        <v>כרית מטטרזלי סיליקון362</v>
      </c>
      <c r="I952" s="8" t="str">
        <f aca="false">IF($G952="","Unmatched","Matched")</f>
        <v>Matched</v>
      </c>
      <c r="J952" s="8" t="n">
        <f aca="false">IF($G952&lt;&gt;"",$G952,$B952)</f>
        <v>4411000</v>
      </c>
      <c r="K952" s="8" t="str">
        <f aca="false">IF(COUNTIF($M$1:$M$10,$A952)&gt;0,"Y","N")</f>
        <v>Y</v>
      </c>
    </row>
    <row r="953" customFormat="false" ht="15" hidden="false" customHeight="true" outlineLevel="0" collapsed="false">
      <c r="A953" s="8" t="s">
        <v>44</v>
      </c>
      <c r="B953" s="8" t="s">
        <v>645</v>
      </c>
      <c r="C953" s="19" t="n">
        <v>44</v>
      </c>
      <c r="D953" s="19" t="n">
        <v>578.83</v>
      </c>
      <c r="E953" s="19" t="n">
        <v>3</v>
      </c>
      <c r="F953" s="19" t="n">
        <v>46.26</v>
      </c>
      <c r="G953" s="8" t="n">
        <f aca="false">IFERROR(INDEX('TRANS'!$B:$B,MATCH($B953,'TRANS'!$A:$A,0)),IFERROR(INDEX('TRANS'!$B:$B,MATCH(TRIM(SUBSTITUTE($B953,CHAR(160)," ")),'TRANS'!$D:$D,0)),IFERROR(INDEX('Catalog'!$A:$A,MATCH($B953,'Catalog'!$B:$B,0)),IFERROR(INDEX('Catalog'!$A:$A,MATCH(TRIM(SUBSTITUTE($B953,CHAR(160)," ")),'Catalog'!$C:$C,0)),""))))</f>
        <v>4420002</v>
      </c>
      <c r="H953" s="8" t="str">
        <f aca="false">IFERROR(INDEX('TRANS'!$C:$C,MATCH($B953,'TRANS'!$A:$A,0)),IFERROR(INDEX('Catalog'!$B:$B,MATCH($G953,'Catalog'!$A:$A,0)),$B953))</f>
        <v>372 רפידת אנטי ריח -זוג</v>
      </c>
      <c r="I953" s="8" t="str">
        <f aca="false">IF($G953="","Unmatched","Matched")</f>
        <v>Matched</v>
      </c>
      <c r="J953" s="8" t="n">
        <f aca="false">IF($G953&lt;&gt;"",$G953,$B953)</f>
        <v>4420002</v>
      </c>
      <c r="K953" s="8" t="str">
        <f aca="false">IF(COUNTIF($M$1:$M$10,$A953)&gt;0,"Y","N")</f>
        <v>Y</v>
      </c>
    </row>
    <row r="954" customFormat="false" ht="15" hidden="false" customHeight="true" outlineLevel="0" collapsed="false">
      <c r="A954" s="8" t="s">
        <v>44</v>
      </c>
      <c r="B954" s="8" t="s">
        <v>145</v>
      </c>
      <c r="C954" s="19" t="n">
        <v>18</v>
      </c>
      <c r="D954" s="19" t="n">
        <v>450</v>
      </c>
      <c r="E954" s="19" t="n">
        <v>0</v>
      </c>
      <c r="F954" s="19" t="n">
        <v>0</v>
      </c>
      <c r="G954" s="8" t="str">
        <f aca="false">IFERROR(INDEX('TRANS'!$B:$B,MATCH($B954,'TRANS'!$A:$A,0)),IFERROR(INDEX('TRANS'!$B:$B,MATCH(TRIM(SUBSTITUTE($B954,CHAR(160)," ")),'TRANS'!$D:$D,0)),IFERROR(INDEX('Catalog'!$A:$A,MATCH($B954,'Catalog'!$B:$B,0)),IFERROR(INDEX('Catalog'!$A:$A,MATCH(TRIM(SUBSTITUTE($B954,CHAR(160)," ")),'Catalog'!$C:$C,0)),""))))</f>
        <v/>
      </c>
      <c r="H954" s="8" t="str">
        <f aca="false">IFERROR(INDEX('TRANS'!$C:$C,MATCH($B954,'TRANS'!$A:$A,0)),IFERROR(INDEX('Catalog'!$B:$B,MATCH($G954,'Catalog'!$A:$A,0)),$B954))</f>
        <v>394G-43-46</v>
      </c>
      <c r="I954" s="8" t="str">
        <f aca="false">IF($G954="","Unmatched","Matched")</f>
        <v>Unmatched</v>
      </c>
      <c r="J954" s="8" t="str">
        <f aca="false">IF($G954&lt;&gt;"",$G954,$B954)</f>
        <v>394G-43-46</v>
      </c>
      <c r="K954" s="8" t="str">
        <f aca="false">IF(COUNTIF($M$1:$M$10,$A954)&gt;0,"Y","N")</f>
        <v>Y</v>
      </c>
    </row>
    <row r="955" customFormat="false" ht="15" hidden="false" customHeight="true" outlineLevel="0" collapsed="false">
      <c r="A955" s="8" t="s">
        <v>44</v>
      </c>
      <c r="B955" s="8" t="s">
        <v>82</v>
      </c>
      <c r="C955" s="19" t="n">
        <v>0</v>
      </c>
      <c r="D955" s="19" t="n">
        <v>0</v>
      </c>
      <c r="E955" s="19" t="n">
        <v>8</v>
      </c>
      <c r="F955" s="19" t="n">
        <v>206.77</v>
      </c>
      <c r="G955" s="8" t="str">
        <f aca="false">IFERROR(INDEX('TRANS'!$B:$B,MATCH($B955,'TRANS'!$A:$A,0)),IFERROR(INDEX('TRANS'!$B:$B,MATCH(TRIM(SUBSTITUTE($B955,CHAR(160)," ")),'TRANS'!$D:$D,0)),IFERROR(INDEX('Catalog'!$A:$A,MATCH($B955,'Catalog'!$B:$B,0)),IFERROR(INDEX('Catalog'!$A:$A,MATCH(TRIM(SUBSTITUTE($B955,CHAR(160)," ")),'Catalog'!$C:$C,0)),""))))</f>
        <v/>
      </c>
      <c r="H955" s="8" t="str">
        <f aca="false">IFERROR(INDEX('TRANS'!$C:$C,MATCH($B955,'TRANS'!$A:$A,0)),IFERROR(INDEX('Catalog'!$B:$B,MATCH($G955,'Catalog'!$A:$A,0)),$B955))</f>
        <v>395B-35-38</v>
      </c>
      <c r="I955" s="8" t="str">
        <f aca="false">IF($G955="","Unmatched","Matched")</f>
        <v>Unmatched</v>
      </c>
      <c r="J955" s="8" t="str">
        <f aca="false">IF($G955&lt;&gt;"",$G955,$B955)</f>
        <v>395B-35-38</v>
      </c>
      <c r="K955" s="8" t="str">
        <f aca="false">IF(COUNTIF($M$1:$M$10,$A955)&gt;0,"Y","N")</f>
        <v>Y</v>
      </c>
    </row>
    <row r="956" customFormat="false" ht="15" hidden="false" customHeight="true" outlineLevel="0" collapsed="false">
      <c r="A956" s="8" t="s">
        <v>44</v>
      </c>
      <c r="B956" s="8" t="s">
        <v>65</v>
      </c>
      <c r="C956" s="19" t="n">
        <v>0</v>
      </c>
      <c r="D956" s="19" t="n">
        <v>0</v>
      </c>
      <c r="E956" s="19" t="n">
        <v>6</v>
      </c>
      <c r="F956" s="19" t="n">
        <v>170.35</v>
      </c>
      <c r="G956" s="8" t="str">
        <f aca="false">IFERROR(INDEX('TRANS'!$B:$B,MATCH($B956,'TRANS'!$A:$A,0)),IFERROR(INDEX('TRANS'!$B:$B,MATCH(TRIM(SUBSTITUTE($B956,CHAR(160)," ")),'TRANS'!$D:$D,0)),IFERROR(INDEX('Catalog'!$A:$A,MATCH($B956,'Catalog'!$B:$B,0)),IFERROR(INDEX('Catalog'!$A:$A,MATCH(TRIM(SUBSTITUTE($B956,CHAR(160)," ")),'Catalog'!$C:$C,0)),""))))</f>
        <v/>
      </c>
      <c r="H956" s="8" t="str">
        <f aca="false">IFERROR(INDEX('TRANS'!$C:$C,MATCH($B956,'TRANS'!$A:$A,0)),IFERROR(INDEX('Catalog'!$B:$B,MATCH($G956,'Catalog'!$A:$A,0)),$B956))</f>
        <v>395W-35-38</v>
      </c>
      <c r="I956" s="8" t="str">
        <f aca="false">IF($G956="","Unmatched","Matched")</f>
        <v>Unmatched</v>
      </c>
      <c r="J956" s="8" t="str">
        <f aca="false">IF($G956&lt;&gt;"",$G956,$B956)</f>
        <v>395W-35-38</v>
      </c>
      <c r="K956" s="8" t="str">
        <f aca="false">IF(COUNTIF($M$1:$M$10,$A956)&gt;0,"Y","N")</f>
        <v>Y</v>
      </c>
    </row>
    <row r="957" customFormat="false" ht="15" hidden="false" customHeight="true" outlineLevel="0" collapsed="false">
      <c r="A957" s="8" t="s">
        <v>44</v>
      </c>
      <c r="B957" s="8" t="s">
        <v>58</v>
      </c>
      <c r="C957" s="19" t="n">
        <v>0</v>
      </c>
      <c r="D957" s="19" t="n">
        <v>0</v>
      </c>
      <c r="E957" s="19" t="n">
        <v>9</v>
      </c>
      <c r="F957" s="19" t="n">
        <v>265.67</v>
      </c>
      <c r="G957" s="8" t="str">
        <f aca="false">IFERROR(INDEX('TRANS'!$B:$B,MATCH($B957,'TRANS'!$A:$A,0)),IFERROR(INDEX('TRANS'!$B:$B,MATCH(TRIM(SUBSTITUTE($B957,CHAR(160)," ")),'TRANS'!$D:$D,0)),IFERROR(INDEX('Catalog'!$A:$A,MATCH($B957,'Catalog'!$B:$B,0)),IFERROR(INDEX('Catalog'!$A:$A,MATCH(TRIM(SUBSTITUTE($B957,CHAR(160)," ")),'Catalog'!$C:$C,0)),""))))</f>
        <v/>
      </c>
      <c r="H957" s="8" t="str">
        <f aca="false">IFERROR(INDEX('TRANS'!$C:$C,MATCH($B957,'TRANS'!$A:$A,0)),IFERROR(INDEX('Catalog'!$B:$B,MATCH($G957,'Catalog'!$A:$A,0)),$B957))</f>
        <v>395W-43-46</v>
      </c>
      <c r="I957" s="8" t="str">
        <f aca="false">IF($G957="","Unmatched","Matched")</f>
        <v>Unmatched</v>
      </c>
      <c r="J957" s="8" t="str">
        <f aca="false">IF($G957&lt;&gt;"",$G957,$B957)</f>
        <v>395W-43-46</v>
      </c>
      <c r="K957" s="8" t="str">
        <f aca="false">IF(COUNTIF($M$1:$M$10,$A957)&gt;0,"Y","N")</f>
        <v>Y</v>
      </c>
    </row>
    <row r="958" customFormat="false" ht="15" hidden="false" customHeight="true" outlineLevel="0" collapsed="false">
      <c r="A958" s="8" t="s">
        <v>44</v>
      </c>
      <c r="B958" s="8" t="s">
        <v>687</v>
      </c>
      <c r="C958" s="19" t="n">
        <v>1</v>
      </c>
      <c r="D958" s="19" t="n">
        <v>84.32</v>
      </c>
      <c r="E958" s="19" t="n">
        <v>1</v>
      </c>
      <c r="F958" s="19" t="n">
        <v>78.68</v>
      </c>
      <c r="G958" s="8" t="n">
        <f aca="false">IFERROR(INDEX('TRANS'!$B:$B,MATCH($B958,'TRANS'!$A:$A,0)),IFERROR(INDEX('TRANS'!$B:$B,MATCH(TRIM(SUBSTITUTE($B958,CHAR(160)," ")),'TRANS'!$D:$D,0)),IFERROR(INDEX('Catalog'!$A:$A,MATCH($B958,'Catalog'!$B:$B,0)),IFERROR(INDEX('Catalog'!$A:$A,MATCH(TRIM(SUBSTITUTE($B958,CHAR(160)," ")),'Catalog'!$C:$C,0)),""))))</f>
        <v>4413124</v>
      </c>
      <c r="H958" s="8" t="str">
        <f aca="false">IFERROR(INDEX('TRANS'!$C:$C,MATCH($B958,'TRANS'!$A:$A,0)),IFERROR(INDEX('Catalog'!$B:$B,MATCH($G958,'Catalog'!$A:$A,0)),$B958))</f>
        <v>55 XL מתלה אשכים לספורטאים</v>
      </c>
      <c r="I958" s="8" t="str">
        <f aca="false">IF($G958="","Unmatched","Matched")</f>
        <v>Matched</v>
      </c>
      <c r="J958" s="8" t="n">
        <f aca="false">IF($G958&lt;&gt;"",$G958,$B958)</f>
        <v>4413124</v>
      </c>
      <c r="K958" s="8" t="str">
        <f aca="false">IF(COUNTIF($M$1:$M$10,$A958)&gt;0,"Y","N")</f>
        <v>Y</v>
      </c>
    </row>
    <row r="959" customFormat="false" ht="15" hidden="false" customHeight="true" outlineLevel="0" collapsed="false">
      <c r="A959" s="8" t="s">
        <v>44</v>
      </c>
      <c r="B959" s="8" t="s">
        <v>979</v>
      </c>
      <c r="C959" s="19" t="n">
        <v>6</v>
      </c>
      <c r="D959" s="19" t="n">
        <v>990.48</v>
      </c>
      <c r="E959" s="19" t="n">
        <v>7</v>
      </c>
      <c r="F959" s="19" t="n">
        <v>1238</v>
      </c>
      <c r="G959" s="8" t="n">
        <f aca="false">IFERROR(INDEX('TRANS'!$B:$B,MATCH($B959,'TRANS'!$A:$A,0)),IFERROR(INDEX('TRANS'!$B:$B,MATCH(TRIM(SUBSTITUTE($B959,CHAR(160)," ")),'TRANS'!$D:$D,0)),IFERROR(INDEX('Catalog'!$A:$A,MATCH($B959,'Catalog'!$B:$B,0)),IFERROR(INDEX('Catalog'!$A:$A,MATCH(TRIM(SUBSTITUTE($B959,CHAR(160)," ")),'Catalog'!$C:$C,0)),""))))</f>
        <v>4408073</v>
      </c>
      <c r="H959" s="8" t="str">
        <f aca="false">IFERROR(INDEX('TRANS'!$C:$C,MATCH($B959,'TRANS'!$A:$A,0)),IFERROR(INDEX('Catalog'!$B:$B,MATCH($G959,'Catalog'!$A:$A,0)),$B959))</f>
        <v>59D XL חגורת שבר דו צדדי</v>
      </c>
      <c r="I959" s="8" t="str">
        <f aca="false">IF($G959="","Unmatched","Matched")</f>
        <v>Matched</v>
      </c>
      <c r="J959" s="8" t="n">
        <f aca="false">IF($G959&lt;&gt;"",$G959,$B959)</f>
        <v>4408073</v>
      </c>
      <c r="K959" s="8" t="str">
        <f aca="false">IF(COUNTIF($M$1:$M$10,$A959)&gt;0,"Y","N")</f>
        <v>Y</v>
      </c>
    </row>
    <row r="960" customFormat="false" ht="15" hidden="false" customHeight="true" outlineLevel="0" collapsed="false">
      <c r="A960" s="8" t="s">
        <v>44</v>
      </c>
      <c r="B960" s="8" t="s">
        <v>165</v>
      </c>
      <c r="C960" s="19" t="n">
        <v>13</v>
      </c>
      <c r="D960" s="19" t="n">
        <v>422.12</v>
      </c>
      <c r="E960" s="19" t="n">
        <v>7</v>
      </c>
      <c r="F960" s="19" t="n">
        <v>346.96</v>
      </c>
      <c r="G960" s="8" t="str">
        <f aca="false">IFERROR(INDEX('TRANS'!$B:$B,MATCH($B960,'TRANS'!$A:$A,0)),IFERROR(INDEX('TRANS'!$B:$B,MATCH(TRIM(SUBSTITUTE($B960,CHAR(160)," ")),'TRANS'!$D:$D,0)),IFERROR(INDEX('Catalog'!$A:$A,MATCH($B960,'Catalog'!$B:$B,0)),IFERROR(INDEX('Catalog'!$A:$A,MATCH(TRIM(SUBSTITUTE($B960,CHAR(160)," ")),'Catalog'!$C:$C,0)),""))))</f>
        <v/>
      </c>
      <c r="H960" s="8" t="str">
        <f aca="false">IFERROR(INDEX('TRANS'!$C:$C,MATCH($B960,'TRANS'!$A:$A,0)),IFERROR(INDEX('Catalog'!$B:$B,MATCH($G960,'Catalog'!$A:$A,0)),$B960))</f>
        <v>61 M</v>
      </c>
      <c r="I960" s="8" t="str">
        <f aca="false">IF($G960="","Unmatched","Matched")</f>
        <v>Unmatched</v>
      </c>
      <c r="J960" s="8" t="str">
        <f aca="false">IF($G960&lt;&gt;"",$G960,$B960)</f>
        <v>61 M</v>
      </c>
      <c r="K960" s="8" t="str">
        <f aca="false">IF(COUNTIF($M$1:$M$10,$A960)&gt;0,"Y","N")</f>
        <v>Y</v>
      </c>
    </row>
    <row r="961" customFormat="false" ht="15" hidden="false" customHeight="true" outlineLevel="0" collapsed="false">
      <c r="A961" s="8" t="s">
        <v>44</v>
      </c>
      <c r="B961" s="8" t="s">
        <v>218</v>
      </c>
      <c r="C961" s="19" t="n">
        <v>8</v>
      </c>
      <c r="D961" s="19" t="n">
        <v>287.66</v>
      </c>
      <c r="E961" s="19" t="n">
        <v>4</v>
      </c>
      <c r="F961" s="19" t="n">
        <v>174.71</v>
      </c>
      <c r="G961" s="8" t="str">
        <f aca="false">IFERROR(INDEX('TRANS'!$B:$B,MATCH($B961,'TRANS'!$A:$A,0)),IFERROR(INDEX('TRANS'!$B:$B,MATCH(TRIM(SUBSTITUTE($B961,CHAR(160)," ")),'TRANS'!$D:$D,0)),IFERROR(INDEX('Catalog'!$A:$A,MATCH($B961,'Catalog'!$B:$B,0)),IFERROR(INDEX('Catalog'!$A:$A,MATCH(TRIM(SUBSTITUTE($B961,CHAR(160)," ")),'Catalog'!$C:$C,0)),""))))</f>
        <v/>
      </c>
      <c r="H961" s="8" t="str">
        <f aca="false">IFERROR(INDEX('TRANS'!$C:$C,MATCH($B961,'TRANS'!$A:$A,0)),IFERROR(INDEX('Catalog'!$B:$B,MATCH($G961,'Catalog'!$A:$A,0)),$B961))</f>
        <v>61 S</v>
      </c>
      <c r="I961" s="8" t="str">
        <f aca="false">IF($G961="","Unmatched","Matched")</f>
        <v>Unmatched</v>
      </c>
      <c r="J961" s="8" t="str">
        <f aca="false">IF($G961&lt;&gt;"",$G961,$B961)</f>
        <v>61 S</v>
      </c>
      <c r="K961" s="8" t="str">
        <f aca="false">IF(COUNTIF($M$1:$M$10,$A961)&gt;0,"Y","N")</f>
        <v>Y</v>
      </c>
    </row>
    <row r="962" customFormat="false" ht="15" hidden="false" customHeight="true" outlineLevel="0" collapsed="false">
      <c r="A962" s="8" t="s">
        <v>44</v>
      </c>
      <c r="B962" s="8" t="s">
        <v>460</v>
      </c>
      <c r="C962" s="19" t="n">
        <v>7</v>
      </c>
      <c r="D962" s="19" t="n">
        <v>192.08</v>
      </c>
      <c r="E962" s="19" t="n">
        <v>0</v>
      </c>
      <c r="F962" s="19" t="n">
        <v>0</v>
      </c>
      <c r="G962" s="8" t="str">
        <f aca="false">IFERROR(INDEX('TRANS'!$B:$B,MATCH($B962,'TRANS'!$A:$A,0)),IFERROR(INDEX('TRANS'!$B:$B,MATCH(TRIM(SUBSTITUTE($B962,CHAR(160)," ")),'TRANS'!$D:$D,0)),IFERROR(INDEX('Catalog'!$A:$A,MATCH($B962,'Catalog'!$B:$B,0)),IFERROR(INDEX('Catalog'!$A:$A,MATCH(TRIM(SUBSTITUTE($B962,CHAR(160)," ")),'Catalog'!$C:$C,0)),""))))</f>
        <v/>
      </c>
      <c r="H962" s="8" t="str">
        <f aca="false">IFERROR(INDEX('TRANS'!$C:$C,MATCH($B962,'TRANS'!$A:$A,0)),IFERROR(INDEX('Catalog'!$B:$B,MATCH($G962,'Catalog'!$A:$A,0)),$B962))</f>
        <v>61 XL</v>
      </c>
      <c r="I962" s="8" t="str">
        <f aca="false">IF($G962="","Unmatched","Matched")</f>
        <v>Unmatched</v>
      </c>
      <c r="J962" s="8" t="str">
        <f aca="false">IF($G962&lt;&gt;"",$G962,$B962)</f>
        <v>61 XL</v>
      </c>
      <c r="K962" s="8" t="str">
        <f aca="false">IF(COUNTIF($M$1:$M$10,$A962)&gt;0,"Y","N")</f>
        <v>Y</v>
      </c>
    </row>
    <row r="963" customFormat="false" ht="15" hidden="false" customHeight="true" outlineLevel="0" collapsed="false">
      <c r="A963" s="8" t="s">
        <v>44</v>
      </c>
      <c r="B963" s="8" t="s">
        <v>461</v>
      </c>
      <c r="C963" s="19" t="n">
        <v>2</v>
      </c>
      <c r="D963" s="19" t="n">
        <v>190</v>
      </c>
      <c r="E963" s="19" t="n">
        <v>0</v>
      </c>
      <c r="F963" s="19" t="n">
        <v>0</v>
      </c>
      <c r="G963" s="8" t="str">
        <f aca="false">IFERROR(INDEX('TRANS'!$B:$B,MATCH($B963,'TRANS'!$A:$A,0)),IFERROR(INDEX('TRANS'!$B:$B,MATCH(TRIM(SUBSTITUTE($B963,CHAR(160)," ")),'TRANS'!$D:$D,0)),IFERROR(INDEX('Catalog'!$A:$A,MATCH($B963,'Catalog'!$B:$B,0)),IFERROR(INDEX('Catalog'!$A:$A,MATCH(TRIM(SUBSTITUTE($B963,CHAR(160)," ")),'Catalog'!$C:$C,0)),""))))</f>
        <v/>
      </c>
      <c r="H963" s="8" t="str">
        <f aca="false">IFERROR(INDEX('TRANS'!$C:$C,MATCH($B963,'TRANS'!$A:$A,0)),IFERROR(INDEX('Catalog'!$B:$B,MATCH($G963,'Catalog'!$A:$A,0)),$B963))</f>
        <v>78A S</v>
      </c>
      <c r="I963" s="8" t="str">
        <f aca="false">IF($G963="","Unmatched","Matched")</f>
        <v>Unmatched</v>
      </c>
      <c r="J963" s="8" t="str">
        <f aca="false">IF($G963&lt;&gt;"",$G963,$B963)</f>
        <v>78A S</v>
      </c>
      <c r="K963" s="8" t="str">
        <f aca="false">IF(COUNTIF($M$1:$M$10,$A963)&gt;0,"Y","N")</f>
        <v>Y</v>
      </c>
    </row>
    <row r="964" customFormat="false" ht="15" hidden="false" customHeight="true" outlineLevel="0" collapsed="false">
      <c r="A964" s="8" t="s">
        <v>44</v>
      </c>
      <c r="B964" s="8" t="s">
        <v>462</v>
      </c>
      <c r="C964" s="19" t="n">
        <v>3</v>
      </c>
      <c r="D964" s="19" t="n">
        <v>285</v>
      </c>
      <c r="E964" s="19" t="n">
        <v>0</v>
      </c>
      <c r="F964" s="19" t="n">
        <v>0</v>
      </c>
      <c r="G964" s="8" t="str">
        <f aca="false">IFERROR(INDEX('TRANS'!$B:$B,MATCH($B964,'TRANS'!$A:$A,0)),IFERROR(INDEX('TRANS'!$B:$B,MATCH(TRIM(SUBSTITUTE($B964,CHAR(160)," ")),'TRANS'!$D:$D,0)),IFERROR(INDEX('Catalog'!$A:$A,MATCH($B964,'Catalog'!$B:$B,0)),IFERROR(INDEX('Catalog'!$A:$A,MATCH(TRIM(SUBSTITUTE($B964,CHAR(160)," ")),'Catalog'!$C:$C,0)),""))))</f>
        <v/>
      </c>
      <c r="H964" s="8" t="str">
        <f aca="false">IFERROR(INDEX('TRANS'!$C:$C,MATCH($B964,'TRANS'!$A:$A,0)),IFERROR(INDEX('Catalog'!$B:$B,MATCH($G964,'Catalog'!$A:$A,0)),$B964))</f>
        <v>78A XL</v>
      </c>
      <c r="I964" s="8" t="str">
        <f aca="false">IF($G964="","Unmatched","Matched")</f>
        <v>Unmatched</v>
      </c>
      <c r="J964" s="8" t="str">
        <f aca="false">IF($G964&lt;&gt;"",$G964,$B964)</f>
        <v>78A XL</v>
      </c>
      <c r="K964" s="8" t="str">
        <f aca="false">IF(COUNTIF($M$1:$M$10,$A964)&gt;0,"Y","N")</f>
        <v>Y</v>
      </c>
    </row>
    <row r="965" customFormat="false" ht="15" hidden="false" customHeight="true" outlineLevel="0" collapsed="false">
      <c r="A965" s="8" t="s">
        <v>44</v>
      </c>
      <c r="B965" s="8" t="s">
        <v>463</v>
      </c>
      <c r="C965" s="19" t="n">
        <v>1</v>
      </c>
      <c r="D965" s="19" t="n">
        <v>95</v>
      </c>
      <c r="E965" s="19" t="n">
        <v>0</v>
      </c>
      <c r="F965" s="19" t="n">
        <v>0</v>
      </c>
      <c r="G965" s="8" t="str">
        <f aca="false">IFERROR(INDEX('TRANS'!$B:$B,MATCH($B965,'TRANS'!$A:$A,0)),IFERROR(INDEX('TRANS'!$B:$B,MATCH(TRIM(SUBSTITUTE($B965,CHAR(160)," ")),'TRANS'!$D:$D,0)),IFERROR(INDEX('Catalog'!$A:$A,MATCH($B965,'Catalog'!$B:$B,0)),IFERROR(INDEX('Catalog'!$A:$A,MATCH(TRIM(SUBSTITUTE($B965,CHAR(160)," ")),'Catalog'!$C:$C,0)),""))))</f>
        <v/>
      </c>
      <c r="H965" s="8" t="str">
        <f aca="false">IFERROR(INDEX('TRANS'!$C:$C,MATCH($B965,'TRANS'!$A:$A,0)),IFERROR(INDEX('Catalog'!$B:$B,MATCH($G965,'Catalog'!$A:$A,0)),$B965))</f>
        <v>78A XXL</v>
      </c>
      <c r="I965" s="8" t="str">
        <f aca="false">IF($G965="","Unmatched","Matched")</f>
        <v>Unmatched</v>
      </c>
      <c r="J965" s="8" t="str">
        <f aca="false">IF($G965&lt;&gt;"",$G965,$B965)</f>
        <v>78A XXL</v>
      </c>
      <c r="K965" s="8" t="str">
        <f aca="false">IF(COUNTIF($M$1:$M$10,$A965)&gt;0,"Y","N")</f>
        <v>Y</v>
      </c>
    </row>
    <row r="966" customFormat="false" ht="15" hidden="false" customHeight="true" outlineLevel="0" collapsed="false">
      <c r="A966" s="8" t="s">
        <v>44</v>
      </c>
      <c r="B966" s="8" t="s">
        <v>696</v>
      </c>
      <c r="C966" s="19" t="n">
        <v>17</v>
      </c>
      <c r="D966" s="19" t="n">
        <v>349.93</v>
      </c>
      <c r="E966" s="19" t="n">
        <v>11</v>
      </c>
      <c r="F966" s="19" t="n">
        <v>229.48</v>
      </c>
      <c r="G966" s="8" t="n">
        <f aca="false">IFERROR(INDEX('TRANS'!$B:$B,MATCH($B966,'TRANS'!$A:$A,0)),IFERROR(INDEX('TRANS'!$B:$B,MATCH(TRIM(SUBSTITUTE($B966,CHAR(160)," ")),'TRANS'!$D:$D,0)),IFERROR(INDEX('Catalog'!$A:$A,MATCH($B966,'Catalog'!$B:$B,0)),IFERROR(INDEX('Catalog'!$A:$A,MATCH(TRIM(SUBSTITUTE($B966,CHAR(160)," ")),'Catalog'!$C:$C,0)),""))))</f>
        <v>4422000</v>
      </c>
      <c r="H966" s="8" t="str">
        <f aca="false">IFERROR(INDEX('TRANS'!$C:$C,MATCH($B966,'TRANS'!$A:$A,0)),IFERROR(INDEX('Catalog'!$B:$B,MATCH($G966,'Catalog'!$A:$A,0)),$B966))</f>
        <v>801  תחבושת אלסטית מקררת</v>
      </c>
      <c r="I966" s="8" t="str">
        <f aca="false">IF($G966="","Unmatched","Matched")</f>
        <v>Matched</v>
      </c>
      <c r="J966" s="8" t="n">
        <f aca="false">IF($G966&lt;&gt;"",$G966,$B966)</f>
        <v>4422000</v>
      </c>
      <c r="K966" s="8" t="str">
        <f aca="false">IF(COUNTIF($M$1:$M$10,$A966)&gt;0,"Y","N")</f>
        <v>Y</v>
      </c>
    </row>
    <row r="967" customFormat="false" ht="15" hidden="false" customHeight="true" outlineLevel="0" collapsed="false">
      <c r="A967" s="8" t="s">
        <v>44</v>
      </c>
      <c r="B967" s="8" t="s">
        <v>735</v>
      </c>
      <c r="C967" s="19" t="n">
        <v>29</v>
      </c>
      <c r="D967" s="19" t="n">
        <v>384.3</v>
      </c>
      <c r="E967" s="19" t="n">
        <v>10</v>
      </c>
      <c r="F967" s="19" t="n">
        <v>140.17</v>
      </c>
      <c r="G967" s="8" t="n">
        <f aca="false">IFERROR(INDEX('TRANS'!$B:$B,MATCH($B967,'TRANS'!$A:$A,0)),IFERROR(INDEX('TRANS'!$B:$B,MATCH(TRIM(SUBSTITUTE($B967,CHAR(160)," ")),'TRANS'!$D:$D,0)),IFERROR(INDEX('Catalog'!$A:$A,MATCH($B967,'Catalog'!$B:$B,0)),IFERROR(INDEX('Catalog'!$A:$A,MATCH(TRIM(SUBSTITUTE($B967,CHAR(160)," ")),'Catalog'!$C:$C,0)),""))))</f>
        <v>4413149</v>
      </c>
      <c r="H967" s="8" t="str">
        <f aca="false">IFERROR(INDEX('TRANS'!$C:$C,MATCH($B967,'TRANS'!$A:$A,0)),IFERROR(INDEX('Catalog'!$B:$B,MATCH($G967,'Catalog'!$A:$A,0)),$B967))</f>
        <v>FC321-מלח אמבט לכף הרגל</v>
      </c>
      <c r="I967" s="8" t="str">
        <f aca="false">IF($G967="","Unmatched","Matched")</f>
        <v>Matched</v>
      </c>
      <c r="J967" s="8" t="n">
        <f aca="false">IF($G967&lt;&gt;"",$G967,$B967)</f>
        <v>4413149</v>
      </c>
      <c r="K967" s="8" t="str">
        <f aca="false">IF(COUNTIF($M$1:$M$10,$A967)&gt;0,"Y","N")</f>
        <v>Y</v>
      </c>
    </row>
    <row r="968" customFormat="false" ht="15" hidden="false" customHeight="true" outlineLevel="0" collapsed="false">
      <c r="A968" s="8" t="s">
        <v>44</v>
      </c>
      <c r="B968" s="8" t="s">
        <v>980</v>
      </c>
      <c r="C968" s="19" t="n">
        <v>3</v>
      </c>
      <c r="D968" s="19" t="n">
        <v>389.97</v>
      </c>
      <c r="E968" s="19" t="n">
        <v>3</v>
      </c>
      <c r="F968" s="19" t="n">
        <v>390</v>
      </c>
      <c r="G968" s="8" t="n">
        <f aca="false">IFERROR(INDEX('TRANS'!$B:$B,MATCH($B968,'TRANS'!$A:$A,0)),IFERROR(INDEX('TRANS'!$B:$B,MATCH(TRIM(SUBSTITUTE($B968,CHAR(160)," ")),'TRANS'!$D:$D,0)),IFERROR(INDEX('Catalog'!$A:$A,MATCH($B968,'Catalog'!$B:$B,0)),IFERROR(INDEX('Catalog'!$A:$A,MATCH(TRIM(SUBSTITUTE($B968,CHAR(160)," ")),'Catalog'!$C:$C,0)),""))))</f>
        <v>4408150</v>
      </c>
      <c r="H968" s="8" t="str">
        <f aca="false">IFERROR(INDEX('TRANS'!$C:$C,MATCH($B968,'TRANS'!$A:$A,0)),IFERROR(INDEX('Catalog'!$B:$B,MATCH($G968,'Catalog'!$A:$A,0)),$B968))</f>
        <v>11TO S חגורה למנותחי בית החזה</v>
      </c>
      <c r="I968" s="8" t="str">
        <f aca="false">IF($G968="","Unmatched","Matched")</f>
        <v>Matched</v>
      </c>
      <c r="J968" s="8" t="n">
        <f aca="false">IF($G968&lt;&gt;"",$G968,$B968)</f>
        <v>4408150</v>
      </c>
      <c r="K968" s="8" t="str">
        <f aca="false">IF(COUNTIF($M$1:$M$10,$A968)&gt;0,"Y","N")</f>
        <v>Y</v>
      </c>
    </row>
    <row r="969" customFormat="false" ht="15" hidden="false" customHeight="true" outlineLevel="0" collapsed="false">
      <c r="A969" s="8" t="s">
        <v>44</v>
      </c>
      <c r="B969" s="8" t="s">
        <v>189</v>
      </c>
      <c r="C969" s="19" t="n">
        <v>6</v>
      </c>
      <c r="D969" s="19" t="n">
        <v>185.35</v>
      </c>
      <c r="E969" s="19" t="n">
        <v>1</v>
      </c>
      <c r="F969" s="19" t="n">
        <v>30.89</v>
      </c>
      <c r="G969" s="8" t="str">
        <f aca="false">IFERROR(INDEX('TRANS'!$B:$B,MATCH($B969,'TRANS'!$A:$A,0)),IFERROR(INDEX('TRANS'!$B:$B,MATCH(TRIM(SUBSTITUTE($B969,CHAR(160)," ")),'TRANS'!$D:$D,0)),IFERROR(INDEX('Catalog'!$A:$A,MATCH($B969,'Catalog'!$B:$B,0)),IFERROR(INDEX('Catalog'!$A:$A,MATCH(TRIM(SUBSTITUTE($B969,CHAR(160)," ")),'Catalog'!$C:$C,0)),""))))</f>
        <v/>
      </c>
      <c r="H969" s="8" t="str">
        <f aca="false">IFERROR(INDEX('TRANS'!$C:$C,MATCH($B969,'TRANS'!$A:$A,0)),IFERROR(INDEX('Catalog'!$B:$B,MATCH($G969,'Catalog'!$A:$A,0)),$B969))</f>
        <v>35C XXL</v>
      </c>
      <c r="I969" s="8" t="str">
        <f aca="false">IF($G969="","Unmatched","Matched")</f>
        <v>Unmatched</v>
      </c>
      <c r="J969" s="8" t="str">
        <f aca="false">IF($G969&lt;&gt;"",$G969,$B969)</f>
        <v>35C XXL</v>
      </c>
      <c r="K969" s="8" t="str">
        <f aca="false">IF(COUNTIF($M$1:$M$10,$A969)&gt;0,"Y","N")</f>
        <v>Y</v>
      </c>
    </row>
    <row r="970" customFormat="false" ht="15" hidden="false" customHeight="true" outlineLevel="0" collapsed="false">
      <c r="A970" s="8" t="s">
        <v>44</v>
      </c>
      <c r="B970" s="8" t="s">
        <v>632</v>
      </c>
      <c r="C970" s="19" t="n">
        <v>13</v>
      </c>
      <c r="D970" s="19" t="n">
        <v>188.27</v>
      </c>
      <c r="E970" s="19" t="n">
        <v>10</v>
      </c>
      <c r="F970" s="19" t="n">
        <v>144.82</v>
      </c>
      <c r="G970" s="8" t="n">
        <f aca="false">IFERROR(INDEX('TRANS'!$B:$B,MATCH($B970,'TRANS'!$A:$A,0)),IFERROR(INDEX('TRANS'!$B:$B,MATCH(TRIM(SUBSTITUTE($B970,CHAR(160)," ")),'TRANS'!$D:$D,0)),IFERROR(INDEX('Catalog'!$A:$A,MATCH($B970,'Catalog'!$B:$B,0)),IFERROR(INDEX('Catalog'!$A:$A,MATCH(TRIM(SUBSTITUTE($B970,CHAR(160)," ")),'Catalog'!$C:$C,0)),""))))</f>
        <v>4409000</v>
      </c>
      <c r="H970" s="8" t="str">
        <f aca="false">IFERROR(INDEX('TRANS'!$C:$C,MATCH($B970,'TRANS'!$A:$A,0)),IFERROR(INDEX('Catalog'!$B:$B,MATCH($G970,'Catalog'!$A:$A,0)),$B970))</f>
        <v>365 S-Lטבעת אלסטית מסיליקון</v>
      </c>
      <c r="I970" s="8" t="str">
        <f aca="false">IF($G970="","Unmatched","Matched")</f>
        <v>Matched</v>
      </c>
      <c r="J970" s="8" t="n">
        <f aca="false">IF($G970&lt;&gt;"",$G970,$B970)</f>
        <v>4409000</v>
      </c>
      <c r="K970" s="8" t="str">
        <f aca="false">IF(COUNTIF($M$1:$M$10,$A970)&gt;0,"Y","N")</f>
        <v>Y</v>
      </c>
    </row>
    <row r="971" customFormat="false" ht="15" hidden="false" customHeight="true" outlineLevel="0" collapsed="false">
      <c r="A971" s="8" t="s">
        <v>44</v>
      </c>
      <c r="B971" s="8" t="s">
        <v>868</v>
      </c>
      <c r="C971" s="19" t="n">
        <v>12</v>
      </c>
      <c r="D971" s="19" t="n">
        <v>168.21</v>
      </c>
      <c r="E971" s="19" t="n">
        <v>10</v>
      </c>
      <c r="F971" s="19" t="n">
        <v>140.17</v>
      </c>
      <c r="G971" s="8" t="n">
        <f aca="false">IFERROR(INDEX('TRANS'!$B:$B,MATCH($B971,'TRANS'!$A:$A,0)),IFERROR(INDEX('TRANS'!$B:$B,MATCH(TRIM(SUBSTITUTE($B971,CHAR(160)," ")),'TRANS'!$D:$D,0)),IFERROR(INDEX('Catalog'!$A:$A,MATCH($B971,'Catalog'!$B:$B,0)),IFERROR(INDEX('Catalog'!$A:$A,MATCH(TRIM(SUBSTITUTE($B971,CHAR(160)," ")),'Catalog'!$C:$C,0)),""))))</f>
        <v>4409001</v>
      </c>
      <c r="H971" s="8" t="str">
        <f aca="false">IFERROR(INDEX('TRANS'!$C:$C,MATCH($B971,'TRANS'!$A:$A,0)),IFERROR(INDEX('Catalog'!$B:$B,MATCH($G971,'Catalog'!$A:$A,0)),$B971))</f>
        <v>365  X-Lטבעת אלסטית מסיליקון</v>
      </c>
      <c r="I971" s="8" t="str">
        <f aca="false">IF($G971="","Unmatched","Matched")</f>
        <v>Matched</v>
      </c>
      <c r="J971" s="8" t="n">
        <f aca="false">IF($G971&lt;&gt;"",$G971,$B971)</f>
        <v>4409001</v>
      </c>
      <c r="K971" s="8" t="str">
        <f aca="false">IF(COUNTIF($M$1:$M$10,$A971)&gt;0,"Y","N")</f>
        <v>Y</v>
      </c>
    </row>
    <row r="972" customFormat="false" ht="15" hidden="false" customHeight="true" outlineLevel="0" collapsed="false">
      <c r="A972" s="8" t="s">
        <v>44</v>
      </c>
      <c r="B972" s="8" t="s">
        <v>464</v>
      </c>
      <c r="C972" s="19" t="n">
        <v>2</v>
      </c>
      <c r="D972" s="19" t="n">
        <v>168.64</v>
      </c>
      <c r="E972" s="19" t="n">
        <v>0</v>
      </c>
      <c r="F972" s="19" t="n">
        <v>0</v>
      </c>
      <c r="G972" s="8" t="str">
        <f aca="false">IFERROR(INDEX('TRANS'!$B:$B,MATCH($B972,'TRANS'!$A:$A,0)),IFERROR(INDEX('TRANS'!$B:$B,MATCH(TRIM(SUBSTITUTE($B972,CHAR(160)," ")),'TRANS'!$D:$D,0)),IFERROR(INDEX('Catalog'!$A:$A,MATCH($B972,'Catalog'!$B:$B,0)),IFERROR(INDEX('Catalog'!$A:$A,MATCH(TRIM(SUBSTITUTE($B972,CHAR(160)," ")),'Catalog'!$C:$C,0)),""))))</f>
        <v/>
      </c>
      <c r="H972" s="8" t="str">
        <f aca="false">IFERROR(INDEX('TRANS'!$C:$C,MATCH($B972,'TRANS'!$A:$A,0)),IFERROR(INDEX('Catalog'!$B:$B,MATCH($G972,'Catalog'!$A:$A,0)),$B972))</f>
        <v>55 S</v>
      </c>
      <c r="I972" s="8" t="str">
        <f aca="false">IF($G972="","Unmatched","Matched")</f>
        <v>Unmatched</v>
      </c>
      <c r="J972" s="8" t="str">
        <f aca="false">IF($G972&lt;&gt;"",$G972,$B972)</f>
        <v>55 S</v>
      </c>
      <c r="K972" s="8" t="str">
        <f aca="false">IF(COUNTIF($M$1:$M$10,$A972)&gt;0,"Y","N")</f>
        <v>Y</v>
      </c>
    </row>
    <row r="973" customFormat="false" ht="15" hidden="false" customHeight="true" outlineLevel="0" collapsed="false">
      <c r="A973" s="8" t="s">
        <v>44</v>
      </c>
      <c r="B973" s="8" t="s">
        <v>230</v>
      </c>
      <c r="C973" s="19" t="n">
        <v>2</v>
      </c>
      <c r="D973" s="19" t="n">
        <v>168.64</v>
      </c>
      <c r="E973" s="19" t="n">
        <v>0</v>
      </c>
      <c r="F973" s="19" t="n">
        <v>0</v>
      </c>
      <c r="G973" s="8" t="str">
        <f aca="false">IFERROR(INDEX('TRANS'!$B:$B,MATCH($B973,'TRANS'!$A:$A,0)),IFERROR(INDEX('TRANS'!$B:$B,MATCH(TRIM(SUBSTITUTE($B973,CHAR(160)," ")),'TRANS'!$D:$D,0)),IFERROR(INDEX('Catalog'!$A:$A,MATCH($B973,'Catalog'!$B:$B,0)),IFERROR(INDEX('Catalog'!$A:$A,MATCH(TRIM(SUBSTITUTE($B973,CHAR(160)," ")),'Catalog'!$C:$C,0)),""))))</f>
        <v/>
      </c>
      <c r="H973" s="8" t="str">
        <f aca="false">IFERROR(INDEX('TRANS'!$C:$C,MATCH($B973,'TRANS'!$A:$A,0)),IFERROR(INDEX('Catalog'!$B:$B,MATCH($G973,'Catalog'!$A:$A,0)),$B973))</f>
        <v>55 XXL</v>
      </c>
      <c r="I973" s="8" t="str">
        <f aca="false">IF($G973="","Unmatched","Matched")</f>
        <v>Unmatched</v>
      </c>
      <c r="J973" s="8" t="str">
        <f aca="false">IF($G973&lt;&gt;"",$G973,$B973)</f>
        <v>55 XXL</v>
      </c>
      <c r="K973" s="8" t="str">
        <f aca="false">IF(COUNTIF($M$1:$M$10,$A973)&gt;0,"Y","N")</f>
        <v>Y</v>
      </c>
    </row>
    <row r="974" customFormat="false" ht="15" hidden="false" customHeight="true" outlineLevel="0" collapsed="false">
      <c r="A974" s="8" t="s">
        <v>44</v>
      </c>
      <c r="B974" s="8" t="s">
        <v>718</v>
      </c>
      <c r="C974" s="19" t="n">
        <v>16</v>
      </c>
      <c r="D974" s="19" t="n">
        <v>446.69</v>
      </c>
      <c r="E974" s="19" t="n">
        <v>9</v>
      </c>
      <c r="F974" s="19" t="n">
        <v>278.04</v>
      </c>
      <c r="G974" s="8" t="n">
        <f aca="false">IFERROR(INDEX('TRANS'!$B:$B,MATCH($B974,'TRANS'!$A:$A,0)),IFERROR(INDEX('TRANS'!$B:$B,MATCH(TRIM(SUBSTITUTE($B974,CHAR(160)," ")),'TRANS'!$D:$D,0)),IFERROR(INDEX('Catalog'!$A:$A,MATCH($B974,'Catalog'!$B:$B,0)),IFERROR(INDEX('Catalog'!$A:$A,MATCH(TRIM(SUBSTITUTE($B974,CHAR(160)," ")),'Catalog'!$C:$C,0)),""))))</f>
        <v>4413501</v>
      </c>
      <c r="H974" s="8" t="str">
        <f aca="false">IFERROR(INDEX('TRANS'!$C:$C,MATCH($B974,'TRANS'!$A:$A,0)),IFERROR(INDEX('Catalog'!$B:$B,MATCH($G974,'Catalog'!$A:$A,0)),$B974))</f>
        <v>95B M מגן מרפק שחור</v>
      </c>
      <c r="I974" s="8" t="str">
        <f aca="false">IF($G974="","Unmatched","Matched")</f>
        <v>Matched</v>
      </c>
      <c r="J974" s="8" t="n">
        <f aca="false">IF($G974&lt;&gt;"",$G974,$B974)</f>
        <v>4413501</v>
      </c>
      <c r="K974" s="8" t="str">
        <f aca="false">IF(COUNTIF($M$1:$M$10,$A974)&gt;0,"Y","N")</f>
        <v>Y</v>
      </c>
    </row>
    <row r="975" customFormat="false" ht="15" hidden="false" customHeight="true" outlineLevel="0" collapsed="false">
      <c r="A975" s="8" t="s">
        <v>44</v>
      </c>
      <c r="B975" s="8" t="s">
        <v>719</v>
      </c>
      <c r="C975" s="19" t="n">
        <v>10</v>
      </c>
      <c r="D975" s="19" t="n">
        <v>285.13</v>
      </c>
      <c r="E975" s="19" t="n">
        <v>5</v>
      </c>
      <c r="F975" s="19" t="n">
        <v>154.46</v>
      </c>
      <c r="G975" s="8" t="n">
        <f aca="false">IFERROR(INDEX('TRANS'!$B:$B,MATCH($B975,'TRANS'!$A:$A,0)),IFERROR(INDEX('TRANS'!$B:$B,MATCH(TRIM(SUBSTITUTE($B975,CHAR(160)," ")),'TRANS'!$D:$D,0)),IFERROR(INDEX('Catalog'!$A:$A,MATCH($B975,'Catalog'!$B:$B,0)),IFERROR(INDEX('Catalog'!$A:$A,MATCH(TRIM(SUBSTITUTE($B975,CHAR(160)," ")),'Catalog'!$C:$C,0)),""))))</f>
        <v>4413502</v>
      </c>
      <c r="H975" s="8" t="str">
        <f aca="false">IFERROR(INDEX('TRANS'!$C:$C,MATCH($B975,'TRANS'!$A:$A,0)),IFERROR(INDEX('Catalog'!$B:$B,MATCH($G975,'Catalog'!$A:$A,0)),$B975))</f>
        <v>95B S מגן מרפק שחור</v>
      </c>
      <c r="I975" s="8" t="str">
        <f aca="false">IF($G975="","Unmatched","Matched")</f>
        <v>Matched</v>
      </c>
      <c r="J975" s="8" t="n">
        <f aca="false">IF($G975&lt;&gt;"",$G975,$B975)</f>
        <v>4413502</v>
      </c>
      <c r="K975" s="8" t="str">
        <f aca="false">IF(COUNTIF($M$1:$M$10,$A975)&gt;0,"Y","N")</f>
        <v>Y</v>
      </c>
    </row>
    <row r="976" customFormat="false" ht="15" hidden="false" customHeight="true" outlineLevel="0" collapsed="false">
      <c r="A976" s="8" t="s">
        <v>44</v>
      </c>
      <c r="B976" s="8" t="s">
        <v>728</v>
      </c>
      <c r="C976" s="19" t="n">
        <v>28</v>
      </c>
      <c r="D976" s="19" t="n">
        <v>993.22</v>
      </c>
      <c r="E976" s="19" t="n">
        <v>22</v>
      </c>
      <c r="F976" s="19" t="n">
        <v>926.99</v>
      </c>
      <c r="G976" s="8" t="n">
        <f aca="false">IFERROR(INDEX('TRANS'!$B:$B,MATCH($B976,'TRANS'!$A:$A,0)),IFERROR(INDEX('TRANS'!$B:$B,MATCH(TRIM(SUBSTITUTE($B976,CHAR(160)," ")),'TRANS'!$D:$D,0)),IFERROR(INDEX('Catalog'!$A:$A,MATCH($B976,'Catalog'!$B:$B,0)),IFERROR(INDEX('Catalog'!$A:$A,MATCH(TRIM(SUBSTITUTE($B976,CHAR(160)," ")),'Catalog'!$C:$C,0)),""))))</f>
        <v>4415028</v>
      </c>
      <c r="H976" s="8" t="str">
        <f aca="false">IFERROR(INDEX('TRANS'!$C:$C,MATCH($B976,'TRANS'!$A:$A,0)),IFERROR(INDEX('Catalog'!$B:$B,MATCH($G976,'Catalog'!$A:$A,0)),$B976))</f>
        <v>AC-28 סד לאגודל</v>
      </c>
      <c r="I976" s="8" t="str">
        <f aca="false">IF($G976="","Unmatched","Matched")</f>
        <v>Matched</v>
      </c>
      <c r="J976" s="8" t="n">
        <f aca="false">IF($G976&lt;&gt;"",$G976,$B976)</f>
        <v>4415028</v>
      </c>
      <c r="K976" s="8" t="str">
        <f aca="false">IF(COUNTIF($M$1:$M$10,$A976)&gt;0,"Y","N")</f>
        <v>Y</v>
      </c>
    </row>
    <row r="977" customFormat="false" ht="15" hidden="false" customHeight="true" outlineLevel="0" collapsed="false">
      <c r="A977" s="8" t="s">
        <v>44</v>
      </c>
      <c r="B977" s="8" t="s">
        <v>734</v>
      </c>
      <c r="C977" s="19" t="n">
        <v>2</v>
      </c>
      <c r="D977" s="19" t="n">
        <v>84.27</v>
      </c>
      <c r="E977" s="19" t="n">
        <v>3</v>
      </c>
      <c r="F977" s="19" t="n">
        <v>126.41</v>
      </c>
      <c r="G977" s="8" t="n">
        <f aca="false">IFERROR(INDEX('TRANS'!$B:$B,MATCH($B977,'TRANS'!$A:$A,0)),IFERROR(INDEX('TRANS'!$B:$B,MATCH(TRIM(SUBSTITUTE($B977,CHAR(160)," ")),'TRANS'!$D:$D,0)),IFERROR(INDEX('Catalog'!$A:$A,MATCH($B977,'Catalog'!$B:$B,0)),IFERROR(INDEX('Catalog'!$A:$A,MATCH(TRIM(SUBSTITUTE($B977,CHAR(160)," ")),'Catalog'!$C:$C,0)),""))))</f>
        <v>4413331</v>
      </c>
      <c r="H977" s="8" t="str">
        <f aca="false">IFERROR(INDEX('TRANS'!$C:$C,MATCH($B977,'TRANS'!$A:$A,0)),IFERROR(INDEX('Catalog'!$B:$B,MATCH($G977,'Catalog'!$A:$A,0)),$B977))</f>
        <v>AC95 מגן מרפק</v>
      </c>
      <c r="I977" s="8" t="str">
        <f aca="false">IF($G977="","Unmatched","Matched")</f>
        <v>Matched</v>
      </c>
      <c r="J977" s="8" t="n">
        <f aca="false">IF($G977&lt;&gt;"",$G977,$B977)</f>
        <v>4413331</v>
      </c>
      <c r="K977" s="8" t="str">
        <f aca="false">IF(COUNTIF($M$1:$M$10,$A977)&gt;0,"Y","N")</f>
        <v>Y</v>
      </c>
    </row>
    <row r="978" customFormat="false" ht="15" hidden="false" customHeight="true" outlineLevel="0" collapsed="false">
      <c r="A978" s="8" t="s">
        <v>44</v>
      </c>
      <c r="B978" s="8" t="s">
        <v>181</v>
      </c>
      <c r="C978" s="19" t="n">
        <v>0</v>
      </c>
      <c r="D978" s="19" t="n">
        <v>0</v>
      </c>
      <c r="E978" s="19" t="n">
        <v>6</v>
      </c>
      <c r="F978" s="19" t="n">
        <v>165.64</v>
      </c>
      <c r="G978" s="8" t="str">
        <f aca="false">IFERROR(INDEX('TRANS'!$B:$B,MATCH($B978,'TRANS'!$A:$A,0)),IFERROR(INDEX('TRANS'!$B:$B,MATCH(TRIM(SUBSTITUTE($B978,CHAR(160)," ")),'TRANS'!$D:$D,0)),IFERROR(INDEX('Catalog'!$A:$A,MATCH($B978,'Catalog'!$B:$B,0)),IFERROR(INDEX('Catalog'!$A:$A,MATCH(TRIM(SUBSTITUTE($B978,CHAR(160)," ")),'Catalog'!$C:$C,0)),""))))</f>
        <v/>
      </c>
      <c r="H978" s="8" t="str">
        <f aca="false">IFERROR(INDEX('TRANS'!$C:$C,MATCH($B978,'TRANS'!$A:$A,0)),IFERROR(INDEX('Catalog'!$B:$B,MATCH($G978,'Catalog'!$A:$A,0)),$B978))</f>
        <v>FC330Z 0</v>
      </c>
      <c r="I978" s="8" t="str">
        <f aca="false">IF($G978="","Unmatched","Matched")</f>
        <v>Unmatched</v>
      </c>
      <c r="J978" s="8" t="str">
        <f aca="false">IF($G978&lt;&gt;"",$G978,$B978)</f>
        <v>FC330Z 0</v>
      </c>
      <c r="K978" s="8" t="str">
        <f aca="false">IF(COUNTIF($M$1:$M$10,$A978)&gt;0,"Y","N")</f>
        <v>Y</v>
      </c>
    </row>
    <row r="979" customFormat="false" ht="15" hidden="false" customHeight="true" outlineLevel="0" collapsed="false">
      <c r="A979" s="8" t="s">
        <v>44</v>
      </c>
      <c r="B979" s="8" t="s">
        <v>276</v>
      </c>
      <c r="C979" s="19" t="n">
        <v>1</v>
      </c>
      <c r="D979" s="19" t="n">
        <v>260</v>
      </c>
      <c r="E979" s="19" t="n">
        <v>1</v>
      </c>
      <c r="F979" s="19" t="n">
        <v>260</v>
      </c>
      <c r="G979" s="8" t="str">
        <f aca="false">IFERROR(INDEX('TRANS'!$B:$B,MATCH($B979,'TRANS'!$A:$A,0)),IFERROR(INDEX('TRANS'!$B:$B,MATCH(TRIM(SUBSTITUTE($B979,CHAR(160)," ")),'TRANS'!$D:$D,0)),IFERROR(INDEX('Catalog'!$A:$A,MATCH($B979,'Catalog'!$B:$B,0)),IFERROR(INDEX('Catalog'!$A:$A,MATCH(TRIM(SUBSTITUTE($B979,CHAR(160)," ")),'Catalog'!$C:$C,0)),""))))</f>
        <v/>
      </c>
      <c r="H979" s="8" t="str">
        <f aca="false">IFERROR(INDEX('TRANS'!$C:$C,MATCH($B979,'TRANS'!$A:$A,0)),IFERROR(INDEX('Catalog'!$B:$B,MATCH($G979,'Catalog'!$A:$A,0)),$B979))</f>
        <v>N433D S</v>
      </c>
      <c r="I979" s="8" t="str">
        <f aca="false">IF($G979="","Unmatched","Matched")</f>
        <v>Unmatched</v>
      </c>
      <c r="J979" s="8" t="str">
        <f aca="false">IF($G979&lt;&gt;"",$G979,$B979)</f>
        <v>N433D S</v>
      </c>
      <c r="K979" s="8" t="str">
        <f aca="false">IF(COUNTIF($M$1:$M$10,$A979)&gt;0,"Y","N")</f>
        <v>Y</v>
      </c>
    </row>
    <row r="980" customFormat="false" ht="15" hidden="false" customHeight="true" outlineLevel="0" collapsed="false">
      <c r="A980" s="8" t="s">
        <v>44</v>
      </c>
      <c r="B980" s="8" t="s">
        <v>759</v>
      </c>
      <c r="C980" s="19" t="n">
        <v>5</v>
      </c>
      <c r="D980" s="19" t="n">
        <v>401.15</v>
      </c>
      <c r="E980" s="19" t="n">
        <v>4</v>
      </c>
      <c r="F980" s="19" t="n">
        <v>374.68</v>
      </c>
      <c r="G980" s="8" t="n">
        <f aca="false">IFERROR(INDEX('TRANS'!$B:$B,MATCH($B980,'TRANS'!$A:$A,0)),IFERROR(INDEX('TRANS'!$B:$B,MATCH(TRIM(SUBSTITUTE($B980,CHAR(160)," ")),'TRANS'!$D:$D,0)),IFERROR(INDEX('Catalog'!$A:$A,MATCH($B980,'Catalog'!$B:$B,0)),IFERROR(INDEX('Catalog'!$A:$A,MATCH(TRIM(SUBSTITUTE($B980,CHAR(160)," ")),'Catalog'!$C:$C,0)),""))))</f>
        <v>4413407</v>
      </c>
      <c r="H980" s="8" t="str">
        <f aca="false">IFERROR(INDEX('TRANS'!$C:$C,MATCH($B980,'TRANS'!$A:$A,0)),IFERROR(INDEX('Catalog'!$B:$B,MATCH($G980,'Catalog'!$A:$A,0)),$B980))</f>
        <v>SC95 L מגן מרפק</v>
      </c>
      <c r="I980" s="8" t="str">
        <f aca="false">IF($G980="","Unmatched","Matched")</f>
        <v>Matched</v>
      </c>
      <c r="J980" s="8" t="n">
        <f aca="false">IF($G980&lt;&gt;"",$G980,$B980)</f>
        <v>4413407</v>
      </c>
      <c r="K980" s="8" t="str">
        <f aca="false">IF(COUNTIF($M$1:$M$10,$A980)&gt;0,"Y","N")</f>
        <v>Y</v>
      </c>
    </row>
    <row r="981" customFormat="false" ht="15" hidden="false" customHeight="true" outlineLevel="0" collapsed="false">
      <c r="A981" s="8" t="s">
        <v>44</v>
      </c>
      <c r="B981" s="8" t="s">
        <v>760</v>
      </c>
      <c r="C981" s="19" t="n">
        <v>5</v>
      </c>
      <c r="D981" s="19" t="n">
        <v>402.86</v>
      </c>
      <c r="E981" s="19" t="n">
        <v>3</v>
      </c>
      <c r="F981" s="19" t="n">
        <v>281.01</v>
      </c>
      <c r="G981" s="8" t="n">
        <f aca="false">IFERROR(INDEX('TRANS'!$B:$B,MATCH($B981,'TRANS'!$A:$A,0)),IFERROR(INDEX('TRANS'!$B:$B,MATCH(TRIM(SUBSTITUTE($B981,CHAR(160)," ")),'TRANS'!$D:$D,0)),IFERROR(INDEX('Catalog'!$A:$A,MATCH($B981,'Catalog'!$B:$B,0)),IFERROR(INDEX('Catalog'!$A:$A,MATCH(TRIM(SUBSTITUTE($B981,CHAR(160)," ")),'Catalog'!$C:$C,0)),""))))</f>
        <v>4413406</v>
      </c>
      <c r="H981" s="8" t="str">
        <f aca="false">IFERROR(INDEX('TRANS'!$C:$C,MATCH($B981,'TRANS'!$A:$A,0)),IFERROR(INDEX('Catalog'!$B:$B,MATCH($G981,'Catalog'!$A:$A,0)),$B981))</f>
        <v>SC95 M מגן מרפק</v>
      </c>
      <c r="I981" s="8" t="str">
        <f aca="false">IF($G981="","Unmatched","Matched")</f>
        <v>Matched</v>
      </c>
      <c r="J981" s="8" t="n">
        <f aca="false">IF($G981&lt;&gt;"",$G981,$B981)</f>
        <v>4413406</v>
      </c>
      <c r="K981" s="8" t="str">
        <f aca="false">IF(COUNTIF($M$1:$M$10,$A981)&gt;0,"Y","N")</f>
        <v>Y</v>
      </c>
    </row>
    <row r="982" customFormat="false" ht="15" hidden="false" customHeight="true" outlineLevel="0" collapsed="false">
      <c r="A982" s="8" t="s">
        <v>44</v>
      </c>
      <c r="B982" s="8" t="s">
        <v>559</v>
      </c>
      <c r="C982" s="19" t="n">
        <v>2</v>
      </c>
      <c r="D982" s="19" t="n">
        <v>189.28</v>
      </c>
      <c r="E982" s="19" t="n">
        <v>2</v>
      </c>
      <c r="F982" s="19" t="n">
        <v>189.27</v>
      </c>
      <c r="G982" s="8" t="n">
        <f aca="false">IFERROR(INDEX('TRANS'!$B:$B,MATCH($B982,'TRANS'!$A:$A,0)),IFERROR(INDEX('TRANS'!$B:$B,MATCH(TRIM(SUBSTITUTE($B982,CHAR(160)," ")),'TRANS'!$D:$D,0)),IFERROR(INDEX('Catalog'!$A:$A,MATCH($B982,'Catalog'!$B:$B,0)),IFERROR(INDEX('Catalog'!$A:$A,MATCH(TRIM(SUBSTITUTE($B982,CHAR(160)," ")),'Catalog'!$C:$C,0)),""))))</f>
        <v>4408093</v>
      </c>
      <c r="H982" s="8" t="str">
        <f aca="false">IFERROR(INDEX('TRANS'!$C:$C,MATCH($B982,'TRANS'!$A:$A,0)),IFERROR(INDEX('Catalog'!$B:$B,MATCH($G982,'Catalog'!$A:$A,0)),$B982))</f>
        <v>T11C XXL חגורת גב פוג'יאמה</v>
      </c>
      <c r="I982" s="8" t="str">
        <f aca="false">IF($G982="","Unmatched","Matched")</f>
        <v>Matched</v>
      </c>
      <c r="J982" s="8" t="n">
        <f aca="false">IF($G982&lt;&gt;"",$G982,$B982)</f>
        <v>4408093</v>
      </c>
      <c r="K982" s="8" t="str">
        <f aca="false">IF(COUNTIF($M$1:$M$10,$A982)&gt;0,"Y","N")</f>
        <v>Y</v>
      </c>
    </row>
    <row r="983" customFormat="false" ht="15" hidden="false" customHeight="true" outlineLevel="0" collapsed="false">
      <c r="A983" s="8" t="s">
        <v>44</v>
      </c>
      <c r="B983" s="8" t="s">
        <v>768</v>
      </c>
      <c r="C983" s="19" t="n">
        <v>7</v>
      </c>
      <c r="D983" s="19" t="n">
        <v>249</v>
      </c>
      <c r="E983" s="19" t="n">
        <v>0</v>
      </c>
      <c r="F983" s="19" t="n">
        <v>0</v>
      </c>
      <c r="G983" s="8" t="n">
        <f aca="false">IFERROR(INDEX('TRANS'!$B:$B,MATCH($B983,'TRANS'!$A:$A,0)),IFERROR(INDEX('TRANS'!$B:$B,MATCH(TRIM(SUBSTITUTE($B983,CHAR(160)," ")),'TRANS'!$D:$D,0)),IFERROR(INDEX('Catalog'!$A:$A,MATCH($B983,'Catalog'!$B:$B,0)),IFERROR(INDEX('Catalog'!$A:$A,MATCH(TRIM(SUBSTITUTE($B983,CHAR(160)," ")),'Catalog'!$C:$C,0)),""))))</f>
        <v>4408097</v>
      </c>
      <c r="H983" s="8" t="str">
        <f aca="false">IFERROR(INDEX('TRANS'!$C:$C,MATCH($B983,'TRANS'!$A:$A,0)),IFERROR(INDEX('Catalog'!$B:$B,MATCH($G983,'Catalog'!$A:$A,0)),$B983))</f>
        <v>T20C L-XL חבק יד עם צמדן חום</v>
      </c>
      <c r="I983" s="8" t="str">
        <f aca="false">IF($G983="","Unmatched","Matched")</f>
        <v>Matched</v>
      </c>
      <c r="J983" s="8" t="n">
        <f aca="false">IF($G983&lt;&gt;"",$G983,$B983)</f>
        <v>4408097</v>
      </c>
      <c r="K983" s="8" t="str">
        <f aca="false">IF(COUNTIF($M$1:$M$10,$A983)&gt;0,"Y","N")</f>
        <v>Y</v>
      </c>
    </row>
    <row r="984" customFormat="false" ht="15" hidden="false" customHeight="true" outlineLevel="0" collapsed="false">
      <c r="A984" s="8" t="s">
        <v>44</v>
      </c>
      <c r="B984" s="8" t="s">
        <v>769</v>
      </c>
      <c r="C984" s="19" t="n">
        <v>16</v>
      </c>
      <c r="D984" s="19" t="n">
        <v>568.82</v>
      </c>
      <c r="E984" s="19" t="n">
        <v>0</v>
      </c>
      <c r="F984" s="19" t="n">
        <v>0</v>
      </c>
      <c r="G984" s="8" t="n">
        <f aca="false">IFERROR(INDEX('TRANS'!$B:$B,MATCH($B984,'TRANS'!$A:$A,0)),IFERROR(INDEX('TRANS'!$B:$B,MATCH(TRIM(SUBSTITUTE($B984,CHAR(160)," ")),'TRANS'!$D:$D,0)),IFERROR(INDEX('Catalog'!$A:$A,MATCH($B984,'Catalog'!$B:$B,0)),IFERROR(INDEX('Catalog'!$A:$A,MATCH(TRIM(SUBSTITUTE($B984,CHAR(160)," ")),'Catalog'!$C:$C,0)),""))))</f>
        <v>4408096</v>
      </c>
      <c r="H984" s="8" t="str">
        <f aca="false">IFERROR(INDEX('TRANS'!$C:$C,MATCH($B984,'TRANS'!$A:$A,0)),IFERROR(INDEX('Catalog'!$B:$B,MATCH($G984,'Catalog'!$A:$A,0)),$B984))</f>
        <v>T20C S-M חבק יד עם צמדןחום</v>
      </c>
      <c r="I984" s="8" t="str">
        <f aca="false">IF($G984="","Unmatched","Matched")</f>
        <v>Matched</v>
      </c>
      <c r="J984" s="8" t="n">
        <f aca="false">IF($G984&lt;&gt;"",$G984,$B984)</f>
        <v>4408096</v>
      </c>
      <c r="K984" s="8" t="str">
        <f aca="false">IF(COUNTIF($M$1:$M$10,$A984)&gt;0,"Y","N")</f>
        <v>Y</v>
      </c>
    </row>
    <row r="985" customFormat="false" ht="15" hidden="false" customHeight="true" outlineLevel="0" collapsed="false">
      <c r="A985" s="8" t="s">
        <v>44</v>
      </c>
      <c r="B985" s="8" t="s">
        <v>849</v>
      </c>
      <c r="C985" s="19" t="n">
        <v>2</v>
      </c>
      <c r="D985" s="19" t="n">
        <v>211.72</v>
      </c>
      <c r="E985" s="19" t="n">
        <v>4</v>
      </c>
      <c r="F985" s="19" t="n">
        <v>431.04</v>
      </c>
      <c r="G985" s="8" t="n">
        <f aca="false">IFERROR(INDEX('TRANS'!$B:$B,MATCH($B985,'TRANS'!$A:$A,0)),IFERROR(INDEX('TRANS'!$B:$B,MATCH(TRIM(SUBSTITUTE($B985,CHAR(160)," ")),'TRANS'!$D:$D,0)),IFERROR(INDEX('Catalog'!$A:$A,MATCH($B985,'Catalog'!$B:$B,0)),IFERROR(INDEX('Catalog'!$A:$A,MATCH(TRIM(SUBSTITUTE($B985,CHAR(160)," ")),'Catalog'!$C:$C,0)),""))))</f>
        <v>4413180</v>
      </c>
      <c r="H985" s="8" t="str">
        <f aca="false">IFERROR(INDEX('TRANS'!$C:$C,MATCH($B985,'TRANS'!$A:$A,0)),IFERROR(INDEX('Catalog'!$B:$B,MATCH($G985,'Catalog'!$A:$A,0)),$B985))</f>
        <v>T39  S מגן שוק</v>
      </c>
      <c r="I985" s="8" t="str">
        <f aca="false">IF($G985="","Unmatched","Matched")</f>
        <v>Matched</v>
      </c>
      <c r="J985" s="8" t="n">
        <f aca="false">IF($G985&lt;&gt;"",$G985,$B985)</f>
        <v>4413180</v>
      </c>
      <c r="K985" s="8" t="str">
        <f aca="false">IF(COUNTIF($M$1:$M$10,$A985)&gt;0,"Y","N")</f>
        <v>Y</v>
      </c>
    </row>
    <row r="986" customFormat="false" ht="15" hidden="false" customHeight="true" outlineLevel="0" collapsed="false">
      <c r="A986" s="8" t="s">
        <v>44</v>
      </c>
      <c r="B986" s="8" t="s">
        <v>465</v>
      </c>
      <c r="C986" s="19" t="n">
        <v>0</v>
      </c>
      <c r="D986" s="19" t="n">
        <v>0.01</v>
      </c>
      <c r="E986" s="19" t="n">
        <v>0</v>
      </c>
      <c r="F986" s="19" t="n">
        <v>0</v>
      </c>
      <c r="G986" s="8" t="str">
        <f aca="false">IFERROR(INDEX('TRANS'!$B:$B,MATCH($B986,'TRANS'!$A:$A,0)),IFERROR(INDEX('TRANS'!$B:$B,MATCH(TRIM(SUBSTITUTE($B986,CHAR(160)," ")),'TRANS'!$D:$D,0)),IFERROR(INDEX('Catalog'!$A:$A,MATCH($B986,'Catalog'!$B:$B,0)),IFERROR(INDEX('Catalog'!$A:$A,MATCH(TRIM(SUBSTITUTE($B986,CHAR(160)," ")),'Catalog'!$C:$C,0)),""))))</f>
        <v/>
      </c>
      <c r="H986" s="8" t="str">
        <f aca="false">IFERROR(INDEX('TRANS'!$C:$C,MATCH($B986,'TRANS'!$A:$A,0)),IFERROR(INDEX('Catalog'!$B:$B,MATCH($G986,'Catalog'!$A:$A,0)),$B986))</f>
        <v>T433 L</v>
      </c>
      <c r="I986" s="8" t="str">
        <f aca="false">IF($G986="","Unmatched","Matched")</f>
        <v>Unmatched</v>
      </c>
      <c r="J986" s="8" t="str">
        <f aca="false">IF($G986&lt;&gt;"",$G986,$B986)</f>
        <v>T433 L</v>
      </c>
      <c r="K986" s="8" t="str">
        <f aca="false">IF(COUNTIF($M$1:$M$10,$A986)&gt;0,"Y","N")</f>
        <v>Y</v>
      </c>
    </row>
    <row r="987" customFormat="false" ht="15" hidden="false" customHeight="true" outlineLevel="0" collapsed="false">
      <c r="A987" s="8" t="s">
        <v>44</v>
      </c>
      <c r="B987" s="8" t="s">
        <v>531</v>
      </c>
      <c r="C987" s="19" t="n">
        <v>1</v>
      </c>
      <c r="D987" s="19" t="n">
        <v>190</v>
      </c>
      <c r="E987" s="19" t="n">
        <v>-1</v>
      </c>
      <c r="F987" s="19" t="n">
        <v>-190</v>
      </c>
      <c r="G987" s="8" t="str">
        <f aca="false">IFERROR(INDEX('TRANS'!$B:$B,MATCH($B987,'TRANS'!$A:$A,0)),IFERROR(INDEX('TRANS'!$B:$B,MATCH(TRIM(SUBSTITUTE($B987,CHAR(160)," ")),'TRANS'!$D:$D,0)),IFERROR(INDEX('Catalog'!$A:$A,MATCH($B987,'Catalog'!$B:$B,0)),IFERROR(INDEX('Catalog'!$A:$A,MATCH(TRIM(SUBSTITUTE($B987,CHAR(160)," ")),'Catalog'!$C:$C,0)),""))))</f>
        <v/>
      </c>
      <c r="H987" s="8" t="str">
        <f aca="false">IFERROR(INDEX('TRANS'!$C:$C,MATCH($B987,'TRANS'!$A:$A,0)),IFERROR(INDEX('Catalog'!$B:$B,MATCH($G987,'Catalog'!$A:$A,0)),$B987))</f>
        <v>T433 M</v>
      </c>
      <c r="I987" s="8" t="str">
        <f aca="false">IF($G987="","Unmatched","Matched")</f>
        <v>Unmatched</v>
      </c>
      <c r="J987" s="8" t="str">
        <f aca="false">IF($G987&lt;&gt;"",$G987,$B987)</f>
        <v>T433 M</v>
      </c>
      <c r="K987" s="8" t="str">
        <f aca="false">IF(COUNTIF($M$1:$M$10,$A987)&gt;0,"Y","N")</f>
        <v>Y</v>
      </c>
    </row>
    <row r="988" customFormat="false" ht="15" hidden="false" customHeight="true" outlineLevel="0" collapsed="false">
      <c r="A988" s="8" t="s">
        <v>44</v>
      </c>
      <c r="B988" s="8" t="s">
        <v>320</v>
      </c>
      <c r="C988" s="19" t="n">
        <v>1</v>
      </c>
      <c r="D988" s="19" t="n">
        <v>85.26</v>
      </c>
      <c r="E988" s="19" t="n">
        <v>0</v>
      </c>
      <c r="F988" s="19" t="n">
        <v>0</v>
      </c>
      <c r="G988" s="8" t="str">
        <f aca="false">IFERROR(INDEX('TRANS'!$B:$B,MATCH($B988,'TRANS'!$A:$A,0)),IFERROR(INDEX('TRANS'!$B:$B,MATCH(TRIM(SUBSTITUTE($B988,CHAR(160)," ")),'TRANS'!$D:$D,0)),IFERROR(INDEX('Catalog'!$A:$A,MATCH($B988,'Catalog'!$B:$B,0)),IFERROR(INDEX('Catalog'!$A:$A,MATCH(TRIM(SUBSTITUTE($B988,CHAR(160)," ")),'Catalog'!$C:$C,0)),""))))</f>
        <v/>
      </c>
      <c r="H988" s="8" t="str">
        <f aca="false">IFERROR(INDEX('TRANS'!$C:$C,MATCH($B988,'TRANS'!$A:$A,0)),IFERROR(INDEX('Catalog'!$B:$B,MATCH($G988,'Catalog'!$A:$A,0)),$B988))</f>
        <v>T49 XL</v>
      </c>
      <c r="I988" s="8" t="str">
        <f aca="false">IF($G988="","Unmatched","Matched")</f>
        <v>Unmatched</v>
      </c>
      <c r="J988" s="8" t="str">
        <f aca="false">IF($G988&lt;&gt;"",$G988,$B988)</f>
        <v>T49 XL</v>
      </c>
      <c r="K988" s="8" t="str">
        <f aca="false">IF(COUNTIF($M$1:$M$10,$A988)&gt;0,"Y","N")</f>
        <v>Y</v>
      </c>
    </row>
    <row r="989" customFormat="false" ht="15" hidden="false" customHeight="true" outlineLevel="0" collapsed="false">
      <c r="A989" s="8" t="s">
        <v>44</v>
      </c>
      <c r="B989" s="8" t="s">
        <v>431</v>
      </c>
      <c r="C989" s="19" t="n">
        <v>1</v>
      </c>
      <c r="D989" s="19" t="n">
        <v>59.01</v>
      </c>
      <c r="E989" s="19" t="n">
        <v>0</v>
      </c>
      <c r="F989" s="19" t="n">
        <v>0</v>
      </c>
      <c r="G989" s="8" t="str">
        <f aca="false">IFERROR(INDEX('TRANS'!$B:$B,MATCH($B989,'TRANS'!$A:$A,0)),IFERROR(INDEX('TRANS'!$B:$B,MATCH(TRIM(SUBSTITUTE($B989,CHAR(160)," ")),'TRANS'!$D:$D,0)),IFERROR(INDEX('Catalog'!$A:$A,MATCH($B989,'Catalog'!$B:$B,0)),IFERROR(INDEX('Catalog'!$A:$A,MATCH(TRIM(SUBSTITUTE($B989,CHAR(160)," ")),'Catalog'!$C:$C,0)),""))))</f>
        <v/>
      </c>
      <c r="H989" s="8" t="str">
        <f aca="false">IFERROR(INDEX('TRANS'!$C:$C,MATCH($B989,'TRANS'!$A:$A,0)),IFERROR(INDEX('Catalog'!$B:$B,MATCH($G989,'Catalog'!$A:$A,0)),$B989))</f>
        <v>T95 M</v>
      </c>
      <c r="I989" s="8" t="str">
        <f aca="false">IF($G989="","Unmatched","Matched")</f>
        <v>Unmatched</v>
      </c>
      <c r="J989" s="8" t="str">
        <f aca="false">IF($G989&lt;&gt;"",$G989,$B989)</f>
        <v>T95 M</v>
      </c>
      <c r="K989" s="8" t="str">
        <f aca="false">IF(COUNTIF($M$1:$M$10,$A989)&gt;0,"Y","N")</f>
        <v>Y</v>
      </c>
    </row>
    <row r="990" customFormat="false" ht="15" hidden="false" customHeight="true" outlineLevel="0" collapsed="false">
      <c r="A990" s="8" t="s">
        <v>44</v>
      </c>
      <c r="B990" s="8" t="s">
        <v>981</v>
      </c>
      <c r="C990" s="19" t="n">
        <v>5</v>
      </c>
      <c r="D990" s="19" t="n">
        <v>525</v>
      </c>
      <c r="E990" s="19" t="n">
        <v>1</v>
      </c>
      <c r="F990" s="19" t="n">
        <v>105</v>
      </c>
      <c r="G990" s="8" t="n">
        <f aca="false">IFERROR(INDEX('TRANS'!$B:$B,MATCH($B990,'TRANS'!$A:$A,0)),IFERROR(INDEX('TRANS'!$B:$B,MATCH(TRIM(SUBSTITUTE($B990,CHAR(160)," ")),'TRANS'!$D:$D,0)),IFERROR(INDEX('Catalog'!$A:$A,MATCH($B990,'Catalog'!$B:$B,0)),IFERROR(INDEX('Catalog'!$A:$A,MATCH(TRIM(SUBSTITUTE($B990,CHAR(160)," ")),'Catalog'!$C:$C,0)),""))))</f>
        <v>4408259</v>
      </c>
      <c r="H990" s="8" t="str">
        <f aca="false">IFERROR(INDEX('TRANS'!$C:$C,MATCH($B990,'TRANS'!$A:$A,0)),IFERROR(INDEX('Catalog'!$B:$B,MATCH($G990,'Catalog'!$A:$A,0)),$B990))</f>
        <v>11STO S חגורה אחרי ניתוח</v>
      </c>
      <c r="I990" s="8" t="str">
        <f aca="false">IF($G990="","Unmatched","Matched")</f>
        <v>Matched</v>
      </c>
      <c r="J990" s="8" t="n">
        <f aca="false">IF($G990&lt;&gt;"",$G990,$B990)</f>
        <v>4408259</v>
      </c>
      <c r="K990" s="8" t="str">
        <f aca="false">IF(COUNTIF($M$1:$M$10,$A990)&gt;0,"Y","N")</f>
        <v>Y</v>
      </c>
    </row>
    <row r="991" customFormat="false" ht="15" hidden="false" customHeight="true" outlineLevel="0" collapsed="false">
      <c r="A991" s="8" t="s">
        <v>44</v>
      </c>
      <c r="B991" s="8" t="s">
        <v>815</v>
      </c>
      <c r="C991" s="19" t="n">
        <v>6</v>
      </c>
      <c r="D991" s="19" t="n">
        <v>760.76</v>
      </c>
      <c r="E991" s="19" t="n">
        <v>5</v>
      </c>
      <c r="F991" s="19" t="n">
        <v>675.38</v>
      </c>
      <c r="G991" s="8" t="n">
        <f aca="false">IFERROR(INDEX('TRANS'!$B:$B,MATCH($B991,'TRANS'!$A:$A,0)),IFERROR(INDEX('TRANS'!$B:$B,MATCH(TRIM(SUBSTITUTE($B991,CHAR(160)," ")),'TRANS'!$D:$D,0)),IFERROR(INDEX('Catalog'!$A:$A,MATCH($B991,'Catalog'!$B:$B,0)),IFERROR(INDEX('Catalog'!$A:$A,MATCH(TRIM(SUBSTITUTE($B991,CHAR(160)," ")),'Catalog'!$C:$C,0)),""))))</f>
        <v>4408075</v>
      </c>
      <c r="H991" s="8" t="str">
        <f aca="false">IFERROR(INDEX('TRANS'!$C:$C,MATCH($B991,'TRANS'!$A:$A,0)),IFERROR(INDEX('Catalog'!$B:$B,MATCH($G991,'Catalog'!$A:$A,0)),$B991))</f>
        <v>59L S חגורת שבר לצד שמאל</v>
      </c>
      <c r="I991" s="8" t="str">
        <f aca="false">IF($G991="","Unmatched","Matched")</f>
        <v>Matched</v>
      </c>
      <c r="J991" s="8" t="n">
        <f aca="false">IF($G991&lt;&gt;"",$G991,$B991)</f>
        <v>4408075</v>
      </c>
      <c r="K991" s="8" t="str">
        <f aca="false">IF(COUNTIF($M$1:$M$10,$A991)&gt;0,"Y","N")</f>
        <v>Y</v>
      </c>
    </row>
    <row r="992" customFormat="false" ht="15" hidden="false" customHeight="true" outlineLevel="0" collapsed="false">
      <c r="A992" s="8" t="s">
        <v>44</v>
      </c>
      <c r="B992" s="8" t="s">
        <v>337</v>
      </c>
      <c r="C992" s="19" t="n">
        <v>0</v>
      </c>
      <c r="D992" s="19" t="n">
        <v>0</v>
      </c>
      <c r="E992" s="19" t="n">
        <v>1</v>
      </c>
      <c r="F992" s="19" t="n">
        <v>103.07</v>
      </c>
      <c r="G992" s="8" t="str">
        <f aca="false">IFERROR(INDEX('TRANS'!$B:$B,MATCH($B992,'TRANS'!$A:$A,0)),IFERROR(INDEX('TRANS'!$B:$B,MATCH(TRIM(SUBSTITUTE($B992,CHAR(160)," ")),'TRANS'!$D:$D,0)),IFERROR(INDEX('Catalog'!$A:$A,MATCH($B992,'Catalog'!$B:$B,0)),IFERROR(INDEX('Catalog'!$A:$A,MATCH(TRIM(SUBSTITUTE($B992,CHAR(160)," ")),'Catalog'!$C:$C,0)),""))))</f>
        <v/>
      </c>
      <c r="H992" s="8" t="str">
        <f aca="false">IFERROR(INDEX('TRANS'!$C:$C,MATCH($B992,'TRANS'!$A:$A,0)),IFERROR(INDEX('Catalog'!$B:$B,MATCH($G992,'Catalog'!$A:$A,0)),$B992))</f>
        <v>11U M</v>
      </c>
      <c r="I992" s="8" t="str">
        <f aca="false">IF($G992="","Unmatched","Matched")</f>
        <v>Unmatched</v>
      </c>
      <c r="J992" s="8" t="str">
        <f aca="false">IF($G992&lt;&gt;"",$G992,$B992)</f>
        <v>11U M</v>
      </c>
      <c r="K992" s="8" t="str">
        <f aca="false">IF(COUNTIF($M$1:$M$10,$A992)&gt;0,"Y","N")</f>
        <v>Y</v>
      </c>
    </row>
    <row r="993" customFormat="false" ht="15" hidden="false" customHeight="true" outlineLevel="0" collapsed="false">
      <c r="A993" s="8" t="s">
        <v>44</v>
      </c>
      <c r="B993" s="8" t="s">
        <v>684</v>
      </c>
      <c r="C993" s="19" t="n">
        <v>3</v>
      </c>
      <c r="D993" s="19" t="n">
        <v>112.36</v>
      </c>
      <c r="E993" s="19" t="n">
        <v>1</v>
      </c>
      <c r="F993" s="19" t="n">
        <v>37.45</v>
      </c>
      <c r="G993" s="8" t="n">
        <f aca="false">IFERROR(INDEX('TRANS'!$B:$B,MATCH($B993,'TRANS'!$A:$A,0)),IFERROR(INDEX('TRANS'!$B:$B,MATCH(TRIM(SUBSTITUTE($B993,CHAR(160)," ")),'TRANS'!$D:$D,0)),IFERROR(INDEX('Catalog'!$A:$A,MATCH($B993,'Catalog'!$B:$B,0)),IFERROR(INDEX('Catalog'!$A:$A,MATCH(TRIM(SUBSTITUTE($B993,CHAR(160)," ")),'Catalog'!$C:$C,0)),""))))</f>
        <v>4413395</v>
      </c>
      <c r="H993" s="8" t="str">
        <f aca="false">IFERROR(INDEX('TRANS'!$C:$C,MATCH($B993,'TRANS'!$A:$A,0)),IFERROR(INDEX('Catalog'!$B:$B,MATCH($G993,'Catalog'!$A:$A,0)),$B993))</f>
        <v>45EC M 'מגן ברך ארוך בז</v>
      </c>
      <c r="I993" s="8" t="str">
        <f aca="false">IF($G993="","Unmatched","Matched")</f>
        <v>Matched</v>
      </c>
      <c r="J993" s="8" t="n">
        <f aca="false">IF($G993&lt;&gt;"",$G993,$B993)</f>
        <v>4413395</v>
      </c>
      <c r="K993" s="8" t="str">
        <f aca="false">IF(COUNTIF($M$1:$M$10,$A993)&gt;0,"Y","N")</f>
        <v>Y</v>
      </c>
    </row>
    <row r="994" customFormat="false" ht="15" hidden="false" customHeight="true" outlineLevel="0" collapsed="false">
      <c r="A994" s="8" t="s">
        <v>44</v>
      </c>
      <c r="B994" s="8" t="s">
        <v>704</v>
      </c>
      <c r="C994" s="19" t="n">
        <v>0</v>
      </c>
      <c r="D994" s="19" t="n">
        <v>0</v>
      </c>
      <c r="E994" s="19" t="n">
        <v>24</v>
      </c>
      <c r="F994" s="19" t="n">
        <v>252</v>
      </c>
      <c r="G994" s="8" t="n">
        <f aca="false">IFERROR(INDEX('TRANS'!$B:$B,MATCH($B994,'TRANS'!$A:$A,0)),IFERROR(INDEX('TRANS'!$B:$B,MATCH(TRIM(SUBSTITUTE($B994,CHAR(160)," ")),'TRANS'!$D:$D,0)),IFERROR(INDEX('Catalog'!$A:$A,MATCH($B994,'Catalog'!$B:$B,0)),IFERROR(INDEX('Catalog'!$A:$A,MATCH(TRIM(SUBSTITUTE($B994,CHAR(160)," ")),'Catalog'!$C:$C,0)),""))))</f>
        <v>4422031</v>
      </c>
      <c r="H994" s="8" t="str">
        <f aca="false">IFERROR(INDEX('TRANS'!$C:$C,MATCH($B994,'TRANS'!$A:$A,0)),IFERROR(INDEX('Catalog'!$B:$B,MATCH($G994,'Catalog'!$A:$A,0)),$B994))</f>
        <v>807CB-Cתחבושת נצמדת בז' 20 מ""""מ</v>
      </c>
      <c r="I994" s="8" t="str">
        <f aca="false">IF($G994="","Unmatched","Matched")</f>
        <v>Matched</v>
      </c>
      <c r="J994" s="8" t="n">
        <f aca="false">IF($G994&lt;&gt;"",$G994,$B994)</f>
        <v>4422031</v>
      </c>
      <c r="K994" s="8" t="str">
        <f aca="false">IF(COUNTIF($M$1:$M$10,$A994)&gt;0,"Y","N")</f>
        <v>Y</v>
      </c>
    </row>
    <row r="995" customFormat="false" ht="15" hidden="false" customHeight="true" outlineLevel="0" collapsed="false">
      <c r="A995" s="8" t="s">
        <v>44</v>
      </c>
      <c r="B995" s="8" t="s">
        <v>404</v>
      </c>
      <c r="C995" s="19" t="n">
        <v>3</v>
      </c>
      <c r="D995" s="19" t="n">
        <v>366.14</v>
      </c>
      <c r="E995" s="19" t="n">
        <v>0</v>
      </c>
      <c r="F995" s="19" t="n">
        <v>0</v>
      </c>
      <c r="G995" s="8" t="str">
        <f aca="false">IFERROR(INDEX('TRANS'!$B:$B,MATCH($B995,'TRANS'!$A:$A,0)),IFERROR(INDEX('TRANS'!$B:$B,MATCH(TRIM(SUBSTITUTE($B995,CHAR(160)," ")),'TRANS'!$D:$D,0)),IFERROR(INDEX('Catalog'!$A:$A,MATCH($B995,'Catalog'!$B:$B,0)),IFERROR(INDEX('Catalog'!$A:$A,MATCH(TRIM(SUBSTITUTE($B995,CHAR(160)," ")),'Catalog'!$C:$C,0)),""))))</f>
        <v/>
      </c>
      <c r="H995" s="8" t="str">
        <f aca="false">IFERROR(INDEX('TRANS'!$C:$C,MATCH($B995,'TRANS'!$A:$A,0)),IFERROR(INDEX('Catalog'!$B:$B,MATCH($G995,'Catalog'!$A:$A,0)),$B995))</f>
        <v>15M M</v>
      </c>
      <c r="I995" s="8" t="str">
        <f aca="false">IF($G995="","Unmatched","Matched")</f>
        <v>Unmatched</v>
      </c>
      <c r="J995" s="8" t="str">
        <f aca="false">IF($G995&lt;&gt;"",$G995,$B995)</f>
        <v>15M M</v>
      </c>
      <c r="K995" s="8" t="str">
        <f aca="false">IF(COUNTIF($M$1:$M$10,$A995)&gt;0,"Y","N")</f>
        <v>Y</v>
      </c>
    </row>
    <row r="996" customFormat="false" ht="15" hidden="false" customHeight="true" outlineLevel="0" collapsed="false">
      <c r="A996" s="8" t="s">
        <v>44</v>
      </c>
      <c r="B996" s="8" t="s">
        <v>263</v>
      </c>
      <c r="C996" s="19" t="n">
        <v>3</v>
      </c>
      <c r="D996" s="19" t="n">
        <v>366.14</v>
      </c>
      <c r="E996" s="19" t="n">
        <v>2</v>
      </c>
      <c r="F996" s="19" t="n">
        <v>281.14</v>
      </c>
      <c r="G996" s="8" t="str">
        <f aca="false">IFERROR(INDEX('TRANS'!$B:$B,MATCH($B996,'TRANS'!$A:$A,0)),IFERROR(INDEX('TRANS'!$B:$B,MATCH(TRIM(SUBSTITUTE($B996,CHAR(160)," ")),'TRANS'!$D:$D,0)),IFERROR(INDEX('Catalog'!$A:$A,MATCH($B996,'Catalog'!$B:$B,0)),IFERROR(INDEX('Catalog'!$A:$A,MATCH(TRIM(SUBSTITUTE($B996,CHAR(160)," ")),'Catalog'!$C:$C,0)),""))))</f>
        <v/>
      </c>
      <c r="H996" s="8" t="str">
        <f aca="false">IFERROR(INDEX('TRANS'!$C:$C,MATCH($B996,'TRANS'!$A:$A,0)),IFERROR(INDEX('Catalog'!$B:$B,MATCH($G996,'Catalog'!$A:$A,0)),$B996))</f>
        <v>15W M</v>
      </c>
      <c r="I996" s="8" t="str">
        <f aca="false">IF($G996="","Unmatched","Matched")</f>
        <v>Unmatched</v>
      </c>
      <c r="J996" s="8" t="str">
        <f aca="false">IF($G996&lt;&gt;"",$G996,$B996)</f>
        <v>15W M</v>
      </c>
      <c r="K996" s="8" t="str">
        <f aca="false">IF(COUNTIF($M$1:$M$10,$A996)&gt;0,"Y","N")</f>
        <v>Y</v>
      </c>
    </row>
    <row r="997" customFormat="false" ht="15" hidden="false" customHeight="true" outlineLevel="0" collapsed="false">
      <c r="A997" s="8" t="s">
        <v>44</v>
      </c>
      <c r="B997" s="8" t="s">
        <v>870</v>
      </c>
      <c r="C997" s="19" t="n">
        <v>2</v>
      </c>
      <c r="D997" s="19" t="n">
        <v>219.04</v>
      </c>
      <c r="E997" s="19" t="n">
        <v>1</v>
      </c>
      <c r="F997" s="19" t="n">
        <v>118.54</v>
      </c>
      <c r="G997" s="8" t="n">
        <f aca="false">IFERROR(INDEX('TRANS'!$B:$B,MATCH($B997,'TRANS'!$A:$A,0)),IFERROR(INDEX('TRANS'!$B:$B,MATCH(TRIM(SUBSTITUTE($B997,CHAR(160)," ")),'TRANS'!$D:$D,0)),IFERROR(INDEX('Catalog'!$A:$A,MATCH($B997,'Catalog'!$B:$B,0)),IFERROR(INDEX('Catalog'!$A:$A,MATCH(TRIM(SUBSTITUTE($B997,CHAR(160)," ")),'Catalog'!$C:$C,0)),""))))</f>
        <v>4413524</v>
      </c>
      <c r="H997" s="8" t="str">
        <f aca="false">IFERROR(INDEX('TRANS'!$C:$C,MATCH($B997,'TRANS'!$A:$A,0)),IFERROR(INDEX('Catalog'!$B:$B,MATCH($G997,'Catalog'!$A:$A,0)),$B997))</f>
        <v>39-42 מדרסי אפיק ג'ל נוחות</v>
      </c>
      <c r="I997" s="8" t="str">
        <f aca="false">IF($G997="","Unmatched","Matched")</f>
        <v>Matched</v>
      </c>
      <c r="J997" s="8" t="n">
        <f aca="false">IF($G997&lt;&gt;"",$G997,$B997)</f>
        <v>4413524</v>
      </c>
      <c r="K997" s="8" t="str">
        <f aca="false">IF(COUNTIF($M$1:$M$10,$A997)&gt;0,"Y","N")</f>
        <v>Y</v>
      </c>
    </row>
    <row r="998" customFormat="false" ht="15" hidden="false" customHeight="true" outlineLevel="0" collapsed="false">
      <c r="A998" s="8" t="s">
        <v>44</v>
      </c>
      <c r="B998" s="8" t="s">
        <v>871</v>
      </c>
      <c r="C998" s="19" t="n">
        <v>2</v>
      </c>
      <c r="D998" s="19" t="n">
        <v>219.04</v>
      </c>
      <c r="E998" s="19" t="n">
        <v>2</v>
      </c>
      <c r="F998" s="19" t="n">
        <v>237.08</v>
      </c>
      <c r="G998" s="8" t="n">
        <f aca="false">IFERROR(INDEX('TRANS'!$B:$B,MATCH($B998,'TRANS'!$A:$A,0)),IFERROR(INDEX('TRANS'!$B:$B,MATCH(TRIM(SUBSTITUTE($B998,CHAR(160)," ")),'TRANS'!$D:$D,0)),IFERROR(INDEX('Catalog'!$A:$A,MATCH($B998,'Catalog'!$B:$B,0)),IFERROR(INDEX('Catalog'!$A:$A,MATCH(TRIM(SUBSTITUTE($B998,CHAR(160)," ")),'Catalog'!$C:$C,0)),""))))</f>
        <v>4413525</v>
      </c>
      <c r="H998" s="8" t="str">
        <f aca="false">IFERROR(INDEX('TRANS'!$C:$C,MATCH($B998,'TRANS'!$A:$A,0)),IFERROR(INDEX('Catalog'!$B:$B,MATCH($G998,'Catalog'!$A:$A,0)),$B998))</f>
        <v>43-47 מדרסי אפיק ג'ל נוחות</v>
      </c>
      <c r="I998" s="8" t="str">
        <f aca="false">IF($G998="","Unmatched","Matched")</f>
        <v>Matched</v>
      </c>
      <c r="J998" s="8" t="n">
        <f aca="false">IF($G998&lt;&gt;"",$G998,$B998)</f>
        <v>4413525</v>
      </c>
      <c r="K998" s="8" t="str">
        <f aca="false">IF(COUNTIF($M$1:$M$10,$A998)&gt;0,"Y","N")</f>
        <v>Y</v>
      </c>
    </row>
    <row r="999" customFormat="false" ht="15" hidden="false" customHeight="true" outlineLevel="0" collapsed="false">
      <c r="A999" s="8" t="s">
        <v>44</v>
      </c>
      <c r="B999" s="8" t="s">
        <v>876</v>
      </c>
      <c r="C999" s="19" t="n">
        <v>3</v>
      </c>
      <c r="D999" s="19" t="n">
        <v>337.58</v>
      </c>
      <c r="E999" s="19" t="n">
        <v>2</v>
      </c>
      <c r="F999" s="19" t="n">
        <v>193.54</v>
      </c>
      <c r="G999" s="8" t="n">
        <f aca="false">IFERROR(INDEX('TRANS'!$B:$B,MATCH($B999,'TRANS'!$A:$A,0)),IFERROR(INDEX('TRANS'!$B:$B,MATCH(TRIM(SUBSTITUTE($B999,CHAR(160)," ")),'TRANS'!$D:$D,0)),IFERROR(INDEX('Catalog'!$A:$A,MATCH($B999,'Catalog'!$B:$B,0)),IFERROR(INDEX('Catalog'!$A:$A,MATCH(TRIM(SUBSTITUTE($B999,CHAR(160)," ")),'Catalog'!$C:$C,0)),""))))</f>
        <v>4413528</v>
      </c>
      <c r="H999" s="8" t="str">
        <f aca="false">IFERROR(INDEX('TRANS'!$C:$C,MATCH($B999,'TRANS'!$A:$A,0)),IFERROR(INDEX('Catalog'!$B:$B,MATCH($G999,'Catalog'!$A:$A,0)),$B999))</f>
        <v>39-42 מדרסי אפיק ג'ל עבודה</v>
      </c>
      <c r="I999" s="8" t="str">
        <f aca="false">IF($G999="","Unmatched","Matched")</f>
        <v>Matched</v>
      </c>
      <c r="J999" s="8" t="n">
        <f aca="false">IF($G999&lt;&gt;"",$G999,$B999)</f>
        <v>4413528</v>
      </c>
      <c r="K999" s="8" t="str">
        <f aca="false">IF(COUNTIF($M$1:$M$10,$A999)&gt;0,"Y","N")</f>
        <v>Y</v>
      </c>
    </row>
    <row r="1000" customFormat="false" ht="15" hidden="false" customHeight="true" outlineLevel="0" collapsed="false">
      <c r="A1000" s="8" t="s">
        <v>44</v>
      </c>
      <c r="B1000" s="8" t="s">
        <v>877</v>
      </c>
      <c r="C1000" s="19" t="n">
        <v>2</v>
      </c>
      <c r="D1000" s="19" t="n">
        <v>219.04</v>
      </c>
      <c r="E1000" s="19" t="n">
        <v>5</v>
      </c>
      <c r="F1000" s="19" t="n">
        <v>530.62</v>
      </c>
      <c r="G1000" s="8" t="n">
        <f aca="false">IFERROR(INDEX('TRANS'!$B:$B,MATCH($B1000,'TRANS'!$A:$A,0)),IFERROR(INDEX('TRANS'!$B:$B,MATCH(TRIM(SUBSTITUTE($B1000,CHAR(160)," ")),'TRANS'!$D:$D,0)),IFERROR(INDEX('Catalog'!$A:$A,MATCH($B1000,'Catalog'!$B:$B,0)),IFERROR(INDEX('Catalog'!$A:$A,MATCH(TRIM(SUBSTITUTE($B1000,CHAR(160)," ")),'Catalog'!$C:$C,0)),""))))</f>
        <v>4413529</v>
      </c>
      <c r="H1000" s="8" t="str">
        <f aca="false">IFERROR(INDEX('TRANS'!$C:$C,MATCH($B1000,'TRANS'!$A:$A,0)),IFERROR(INDEX('Catalog'!$B:$B,MATCH($G1000,'Catalog'!$A:$A,0)),$B1000))</f>
        <v>43-47 מדרסי אפיק ג'ל עבודה</v>
      </c>
      <c r="I1000" s="8" t="str">
        <f aca="false">IF($G1000="","Unmatched","Matched")</f>
        <v>Matched</v>
      </c>
      <c r="J1000" s="8" t="n">
        <f aca="false">IF($G1000&lt;&gt;"",$G1000,$B1000)</f>
        <v>4413529</v>
      </c>
      <c r="K1000" s="8" t="str">
        <f aca="false">IF(COUNTIF($M$1:$M$10,$A1000)&gt;0,"Y","N")</f>
        <v>Y</v>
      </c>
    </row>
    <row r="1001" customFormat="false" ht="15" hidden="false" customHeight="true" outlineLevel="0" collapsed="false">
      <c r="A1001" s="8" t="s">
        <v>44</v>
      </c>
      <c r="B1001" s="8" t="s">
        <v>104</v>
      </c>
      <c r="C1001" s="19" t="n">
        <v>4</v>
      </c>
      <c r="D1001" s="19" t="n">
        <v>0.02</v>
      </c>
      <c r="E1001" s="19" t="n">
        <v>1</v>
      </c>
      <c r="F1001" s="19" t="n">
        <v>0</v>
      </c>
      <c r="G1001" s="8" t="str">
        <f aca="false">IFERROR(INDEX('TRANS'!$B:$B,MATCH($B1001,'TRANS'!$A:$A,0)),IFERROR(INDEX('TRANS'!$B:$B,MATCH(TRIM(SUBSTITUTE($B1001,CHAR(160)," ")),'TRANS'!$D:$D,0)),IFERROR(INDEX('Catalog'!$A:$A,MATCH($B1001,'Catalog'!$B:$B,0)),IFERROR(INDEX('Catalog'!$A:$A,MATCH(TRIM(SUBSTITUTE($B1001,CHAR(160)," ")),'Catalog'!$C:$C,0)),""))))</f>
        <v/>
      </c>
      <c r="H1001" s="8" t="str">
        <f aca="false">IFERROR(INDEX('TRANS'!$C:$C,MATCH($B1001,'TRANS'!$A:$A,0)),IFERROR(INDEX('Catalog'!$B:$B,MATCH($G1001,'Catalog'!$A:$A,0)),$B1001))</f>
        <v>67800020</v>
      </c>
      <c r="I1001" s="8" t="str">
        <f aca="false">IF($G1001="","Unmatched","Matched")</f>
        <v>Unmatched</v>
      </c>
      <c r="J1001" s="8" t="str">
        <f aca="false">IF($G1001&lt;&gt;"",$G1001,$B1001)</f>
        <v>67800020</v>
      </c>
      <c r="K1001" s="8" t="str">
        <f aca="false">IF(COUNTIF($M$1:$M$10,$A1001)&gt;0,"Y","N")</f>
        <v>Y</v>
      </c>
    </row>
    <row r="1002" customFormat="false" ht="15" hidden="false" customHeight="true" outlineLevel="0" collapsed="false">
      <c r="A1002" s="8" t="s">
        <v>44</v>
      </c>
      <c r="B1002" s="8" t="s">
        <v>132</v>
      </c>
      <c r="C1002" s="19" t="n">
        <v>1</v>
      </c>
      <c r="D1002" s="19" t="n">
        <v>0.01</v>
      </c>
      <c r="E1002" s="19" t="n">
        <v>1</v>
      </c>
      <c r="F1002" s="19" t="n">
        <v>0.01</v>
      </c>
      <c r="G1002" s="8" t="str">
        <f aca="false">IFERROR(INDEX('TRANS'!$B:$B,MATCH($B1002,'TRANS'!$A:$A,0)),IFERROR(INDEX('TRANS'!$B:$B,MATCH(TRIM(SUBSTITUTE($B1002,CHAR(160)," ")),'TRANS'!$D:$D,0)),IFERROR(INDEX('Catalog'!$A:$A,MATCH($B1002,'Catalog'!$B:$B,0)),IFERROR(INDEX('Catalog'!$A:$A,MATCH(TRIM(SUBSTITUTE($B1002,CHAR(160)," ")),'Catalog'!$C:$C,0)),""))))</f>
        <v/>
      </c>
      <c r="H1002" s="8" t="str">
        <f aca="false">IFERROR(INDEX('TRANS'!$C:$C,MATCH($B1002,'TRANS'!$A:$A,0)),IFERROR(INDEX('Catalog'!$B:$B,MATCH($G1002,'Catalog'!$A:$A,0)),$B1002))</f>
        <v>67813000</v>
      </c>
      <c r="I1002" s="8" t="str">
        <f aca="false">IF($G1002="","Unmatched","Matched")</f>
        <v>Unmatched</v>
      </c>
      <c r="J1002" s="8" t="str">
        <f aca="false">IF($G1002&lt;&gt;"",$G1002,$B1002)</f>
        <v>67813000</v>
      </c>
      <c r="K1002" s="8" t="str">
        <f aca="false">IF(COUNTIF($M$1:$M$10,$A1002)&gt;0,"Y","N")</f>
        <v>Y</v>
      </c>
    </row>
    <row r="1003" customFormat="false" ht="15" hidden="false" customHeight="true" outlineLevel="0" collapsed="false">
      <c r="A1003" s="8" t="s">
        <v>44</v>
      </c>
      <c r="B1003" s="8" t="s">
        <v>426</v>
      </c>
      <c r="C1003" s="19" t="n">
        <v>1</v>
      </c>
      <c r="D1003" s="19" t="n">
        <v>304.63</v>
      </c>
      <c r="E1003" s="19" t="n">
        <v>0</v>
      </c>
      <c r="F1003" s="19" t="n">
        <v>0</v>
      </c>
      <c r="G1003" s="8" t="str">
        <f aca="false">IFERROR(INDEX('TRANS'!$B:$B,MATCH($B1003,'TRANS'!$A:$A,0)),IFERROR(INDEX('TRANS'!$B:$B,MATCH(TRIM(SUBSTITUTE($B1003,CHAR(160)," ")),'TRANS'!$D:$D,0)),IFERROR(INDEX('Catalog'!$A:$A,MATCH($B1003,'Catalog'!$B:$B,0)),IFERROR(INDEX('Catalog'!$A:$A,MATCH(TRIM(SUBSTITUTE($B1003,CHAR(160)," ")),'Catalog'!$C:$C,0)),""))))</f>
        <v/>
      </c>
      <c r="H1003" s="8" t="str">
        <f aca="false">IFERROR(INDEX('TRANS'!$C:$C,MATCH($B1003,'TRANS'!$A:$A,0)),IFERROR(INDEX('Catalog'!$B:$B,MATCH($G1003,'Catalog'!$A:$A,0)),$B1003))</f>
        <v>88L XXL</v>
      </c>
      <c r="I1003" s="8" t="str">
        <f aca="false">IF($G1003="","Unmatched","Matched")</f>
        <v>Unmatched</v>
      </c>
      <c r="J1003" s="8" t="str">
        <f aca="false">IF($G1003&lt;&gt;"",$G1003,$B1003)</f>
        <v>88L XXL</v>
      </c>
      <c r="K1003" s="8" t="str">
        <f aca="false">IF(COUNTIF($M$1:$M$10,$A1003)&gt;0,"Y","N")</f>
        <v>Y</v>
      </c>
    </row>
    <row r="1004" customFormat="false" ht="15" hidden="false" customHeight="true" outlineLevel="0" collapsed="false">
      <c r="A1004" s="8" t="s">
        <v>44</v>
      </c>
      <c r="B1004" s="8" t="s">
        <v>338</v>
      </c>
      <c r="C1004" s="19" t="n">
        <v>4</v>
      </c>
      <c r="D1004" s="19" t="n">
        <v>463.95</v>
      </c>
      <c r="E1004" s="19" t="n">
        <v>0</v>
      </c>
      <c r="F1004" s="19" t="n">
        <v>0</v>
      </c>
      <c r="G1004" s="8" t="str">
        <f aca="false">IFERROR(INDEX('TRANS'!$B:$B,MATCH($B1004,'TRANS'!$A:$A,0)),IFERROR(INDEX('TRANS'!$B:$B,MATCH(TRIM(SUBSTITUTE($B1004,CHAR(160)," ")),'TRANS'!$D:$D,0)),IFERROR(INDEX('Catalog'!$A:$A,MATCH($B1004,'Catalog'!$B:$B,0)),IFERROR(INDEX('Catalog'!$A:$A,MATCH(TRIM(SUBSTITUTE($B1004,CHAR(160)," ")),'Catalog'!$C:$C,0)),""))))</f>
        <v/>
      </c>
      <c r="H1004" s="8" t="str">
        <f aca="false">IFERROR(INDEX('TRANS'!$C:$C,MATCH($B1004,'TRANS'!$A:$A,0)),IFERROR(INDEX('Catalog'!$B:$B,MATCH($G1004,'Catalog'!$A:$A,0)),$B1004))</f>
        <v>922B XL</v>
      </c>
      <c r="I1004" s="8" t="str">
        <f aca="false">IF($G1004="","Unmatched","Matched")</f>
        <v>Unmatched</v>
      </c>
      <c r="J1004" s="8" t="str">
        <f aca="false">IF($G1004&lt;&gt;"",$G1004,$B1004)</f>
        <v>922B XL</v>
      </c>
      <c r="K1004" s="8" t="str">
        <f aca="false">IF(COUNTIF($M$1:$M$10,$A1004)&gt;0,"Y","N")</f>
        <v>Y</v>
      </c>
    </row>
    <row r="1005" customFormat="false" ht="15" hidden="false" customHeight="true" outlineLevel="0" collapsed="false">
      <c r="A1005" s="8" t="s">
        <v>44</v>
      </c>
      <c r="B1005" s="8" t="s">
        <v>339</v>
      </c>
      <c r="C1005" s="19" t="n">
        <v>2</v>
      </c>
      <c r="D1005" s="19" t="n">
        <v>180</v>
      </c>
      <c r="E1005" s="19" t="n">
        <v>1</v>
      </c>
      <c r="F1005" s="19" t="n">
        <v>90</v>
      </c>
      <c r="G1005" s="8" t="str">
        <f aca="false">IFERROR(INDEX('TRANS'!$B:$B,MATCH($B1005,'TRANS'!$A:$A,0)),IFERROR(INDEX('TRANS'!$B:$B,MATCH(TRIM(SUBSTITUTE($B1005,CHAR(160)," ")),'TRANS'!$D:$D,0)),IFERROR(INDEX('Catalog'!$A:$A,MATCH($B1005,'Catalog'!$B:$B,0)),IFERROR(INDEX('Catalog'!$A:$A,MATCH(TRIM(SUBSTITUTE($B1005,CHAR(160)," ")),'Catalog'!$C:$C,0)),""))))</f>
        <v/>
      </c>
      <c r="H1005" s="8" t="str">
        <f aca="false">IFERROR(INDEX('TRANS'!$C:$C,MATCH($B1005,'TRANS'!$A:$A,0)),IFERROR(INDEX('Catalog'!$B:$B,MATCH($G1005,'Catalog'!$A:$A,0)),$B1005))</f>
        <v>922B XXL</v>
      </c>
      <c r="I1005" s="8" t="str">
        <f aca="false">IF($G1005="","Unmatched","Matched")</f>
        <v>Unmatched</v>
      </c>
      <c r="J1005" s="8" t="str">
        <f aca="false">IF($G1005&lt;&gt;"",$G1005,$B1005)</f>
        <v>922B XXL</v>
      </c>
      <c r="K1005" s="8" t="str">
        <f aca="false">IF(COUNTIF($M$1:$M$10,$A1005)&gt;0,"Y","N")</f>
        <v>Y</v>
      </c>
    </row>
    <row r="1006" customFormat="false" ht="15" hidden="false" customHeight="true" outlineLevel="0" collapsed="false">
      <c r="A1006" s="8" t="s">
        <v>44</v>
      </c>
      <c r="B1006" s="8" t="s">
        <v>730</v>
      </c>
      <c r="C1006" s="19" t="n">
        <v>7</v>
      </c>
      <c r="D1006" s="19" t="n">
        <v>562.99</v>
      </c>
      <c r="E1006" s="19" t="n">
        <v>0</v>
      </c>
      <c r="F1006" s="19" t="n">
        <v>0</v>
      </c>
      <c r="G1006" s="8" t="n">
        <f aca="false">IFERROR(INDEX('TRANS'!$B:$B,MATCH($B1006,'TRANS'!$A:$A,0)),IFERROR(INDEX('TRANS'!$B:$B,MATCH(TRIM(SUBSTITUTE($B1006,CHAR(160)," ")),'TRANS'!$D:$D,0)),IFERROR(INDEX('Catalog'!$A:$A,MATCH($B1006,'Catalog'!$B:$B,0)),IFERROR(INDEX('Catalog'!$A:$A,MATCH(TRIM(SUBSTITUTE($B1006,CHAR(160)," ")),'Catalog'!$C:$C,0)),""))))</f>
        <v>4420026</v>
      </c>
      <c r="H1006" s="8" t="str">
        <f aca="false">IFERROR(INDEX('TRANS'!$C:$C,MATCH($B1006,'TRANS'!$A:$A,0)),IFERROR(INDEX('Catalog'!$B:$B,MATCH($G1006,'Catalog'!$A:$A,0)),$B1006))</f>
        <v>AC40 רצועה לפיקת הברך</v>
      </c>
      <c r="I1006" s="8" t="str">
        <f aca="false">IF($G1006="","Unmatched","Matched")</f>
        <v>Matched</v>
      </c>
      <c r="J1006" s="8" t="n">
        <f aca="false">IF($G1006&lt;&gt;"",$G1006,$B1006)</f>
        <v>4420026</v>
      </c>
      <c r="K1006" s="8" t="str">
        <f aca="false">IF(COUNTIF($M$1:$M$10,$A1006)&gt;0,"Y","N")</f>
        <v>Y</v>
      </c>
    </row>
    <row r="1007" customFormat="false" ht="15" hidden="false" customHeight="true" outlineLevel="0" collapsed="false">
      <c r="A1007" s="8" t="s">
        <v>44</v>
      </c>
      <c r="B1007" s="8" t="s">
        <v>580</v>
      </c>
      <c r="C1007" s="19" t="n">
        <v>3</v>
      </c>
      <c r="D1007" s="19" t="n">
        <v>114.99</v>
      </c>
      <c r="E1007" s="19" t="n">
        <v>0</v>
      </c>
      <c r="F1007" s="19" t="n">
        <v>0</v>
      </c>
      <c r="G1007" s="8" t="n">
        <f aca="false">IFERROR(INDEX('TRANS'!$B:$B,MATCH($B1007,'TRANS'!$A:$A,0)),IFERROR(INDEX('TRANS'!$B:$B,MATCH(TRIM(SUBSTITUTE($B1007,CHAR(160)," ")),'TRANS'!$D:$D,0)),IFERROR(INDEX('Catalog'!$A:$A,MATCH($B1007,'Catalog'!$B:$B,0)),IFERROR(INDEX('Catalog'!$A:$A,MATCH(TRIM(SUBSTITUTE($B1007,CHAR(160)," ")),'Catalog'!$C:$C,0)),""))))</f>
        <v>4411021</v>
      </c>
      <c r="H1007" s="8" t="str">
        <f aca="false">IFERROR(INDEX('TRANS'!$C:$C,MATCH($B1007,'TRANS'!$A:$A,0)),IFERROR(INDEX('Catalog'!$B:$B,MATCH($G1007,'Catalog'!$A:$A,0)),$B1007))</f>
        <v>212L כפפות אגודל לחץ</v>
      </c>
      <c r="I1007" s="8" t="str">
        <f aca="false">IF($G1007="","Unmatched","Matched")</f>
        <v>Matched</v>
      </c>
      <c r="J1007" s="8" t="n">
        <f aca="false">IF($G1007&lt;&gt;"",$G1007,$B1007)</f>
        <v>4411021</v>
      </c>
      <c r="K1007" s="8" t="str">
        <f aca="false">IF(COUNTIF($M$1:$M$10,$A1007)&gt;0,"Y","N")</f>
        <v>Y</v>
      </c>
    </row>
    <row r="1008" customFormat="false" ht="15" hidden="false" customHeight="true" outlineLevel="0" collapsed="false">
      <c r="A1008" s="8" t="s">
        <v>44</v>
      </c>
      <c r="B1008" s="8" t="s">
        <v>982</v>
      </c>
      <c r="C1008" s="19" t="n">
        <v>1</v>
      </c>
      <c r="D1008" s="19" t="n">
        <v>35.41</v>
      </c>
      <c r="E1008" s="19" t="n">
        <v>0</v>
      </c>
      <c r="F1008" s="19" t="n">
        <v>0</v>
      </c>
      <c r="G1008" s="8" t="n">
        <f aca="false">IFERROR(INDEX('TRANS'!$B:$B,MATCH($B1008,'TRANS'!$A:$A,0)),IFERROR(INDEX('TRANS'!$B:$B,MATCH(TRIM(SUBSTITUTE($B1008,CHAR(160)," ")),'TRANS'!$D:$D,0)),IFERROR(INDEX('Catalog'!$A:$A,MATCH($B1008,'Catalog'!$B:$B,0)),IFERROR(INDEX('Catalog'!$A:$A,MATCH(TRIM(SUBSTITUTE($B1008,CHAR(160)," ")),'Catalog'!$C:$C,0)),""))))</f>
        <v>4411024</v>
      </c>
      <c r="H1008" s="8" t="str">
        <f aca="false">IFERROR(INDEX('TRANS'!$C:$C,MATCH($B1008,'TRANS'!$A:$A,0)),IFERROR(INDEX('Catalog'!$B:$B,MATCH($G1008,'Catalog'!$A:$A,0)),$B1008))</f>
        <v>212XL כפפות אגודל לחץ</v>
      </c>
      <c r="I1008" s="8" t="str">
        <f aca="false">IF($G1008="","Unmatched","Matched")</f>
        <v>Matched</v>
      </c>
      <c r="J1008" s="8" t="n">
        <f aca="false">IF($G1008&lt;&gt;"",$G1008,$B1008)</f>
        <v>4411024</v>
      </c>
      <c r="K1008" s="8" t="str">
        <f aca="false">IF(COUNTIF($M$1:$M$10,$A1008)&gt;0,"Y","N")</f>
        <v>Y</v>
      </c>
    </row>
    <row r="1009" customFormat="false" ht="15" hidden="false" customHeight="true" outlineLevel="0" collapsed="false">
      <c r="A1009" s="8" t="s">
        <v>44</v>
      </c>
      <c r="B1009" s="8" t="s">
        <v>604</v>
      </c>
      <c r="C1009" s="19" t="n">
        <v>2</v>
      </c>
      <c r="D1009" s="19" t="n">
        <v>124.08</v>
      </c>
      <c r="E1009" s="19" t="n">
        <v>0</v>
      </c>
      <c r="F1009" s="19" t="n">
        <v>0</v>
      </c>
      <c r="G1009" s="8" t="n">
        <f aca="false">IFERROR(INDEX('TRANS'!$B:$B,MATCH($B1009,'TRANS'!$A:$A,0)),IFERROR(INDEX('TRANS'!$B:$B,MATCH(TRIM(SUBSTITUTE($B1009,CHAR(160)," ")),'TRANS'!$D:$D,0)),IFERROR(INDEX('Catalog'!$A:$A,MATCH($B1009,'Catalog'!$B:$B,0)),IFERROR(INDEX('Catalog'!$A:$A,MATCH(TRIM(SUBSTITUTE($B1009,CHAR(160)," ")),'Catalog'!$C:$C,0)),""))))</f>
        <v>4416005</v>
      </c>
      <c r="H1009" s="8" t="str">
        <f aca="false">IFERROR(INDEX('TRANS'!$C:$C,MATCH($B1009,'TRANS'!$A:$A,0)),IFERROR(INDEX('Catalog'!$B:$B,MATCH($G1009,'Catalog'!$A:$A,0)),$B1009))</f>
        <v>308 Mעקבים סיליק.כחול לדורבן</v>
      </c>
      <c r="I1009" s="8" t="str">
        <f aca="false">IF($G1009="","Unmatched","Matched")</f>
        <v>Matched</v>
      </c>
      <c r="J1009" s="8" t="n">
        <f aca="false">IF($G1009&lt;&gt;"",$G1009,$B1009)</f>
        <v>4416005</v>
      </c>
      <c r="K1009" s="8" t="str">
        <f aca="false">IF(COUNTIF($M$1:$M$10,$A1009)&gt;0,"Y","N")</f>
        <v>Y</v>
      </c>
    </row>
    <row r="1010" customFormat="false" ht="15" hidden="false" customHeight="true" outlineLevel="0" collapsed="false">
      <c r="A1010" s="8" t="s">
        <v>44</v>
      </c>
      <c r="B1010" s="8" t="s">
        <v>607</v>
      </c>
      <c r="C1010" s="19" t="n">
        <v>-1</v>
      </c>
      <c r="D1010" s="19" t="n">
        <v>-23.59</v>
      </c>
      <c r="E1010" s="19" t="n">
        <v>0</v>
      </c>
      <c r="F1010" s="19" t="n">
        <v>0</v>
      </c>
      <c r="G1010" s="8" t="n">
        <f aca="false">IFERROR(INDEX('TRANS'!$B:$B,MATCH($B1010,'TRANS'!$A:$A,0)),IFERROR(INDEX('TRANS'!$B:$B,MATCH(TRIM(SUBSTITUTE($B1010,CHAR(160)," ")),'TRANS'!$D:$D,0)),IFERROR(INDEX('Catalog'!$A:$A,MATCH($B1010,'Catalog'!$B:$B,0)),IFERROR(INDEX('Catalog'!$A:$A,MATCH(TRIM(SUBSTITUTE($B1010,CHAR(160)," ")),'Catalog'!$C:$C,0)),""))))</f>
        <v>4415297</v>
      </c>
      <c r="H1010" s="8" t="str">
        <f aca="false">IFERROR(INDEX('TRANS'!$C:$C,MATCH($B1010,'TRANS'!$A:$A,0)),IFERROR(INDEX('Catalog'!$B:$B,MATCH($G1010,'Catalog'!$A:$A,0)),$B1010))</f>
        <v>313 סט פלסטרים נגד שפשופים</v>
      </c>
      <c r="I1010" s="8" t="str">
        <f aca="false">IF($G1010="","Unmatched","Matched")</f>
        <v>Matched</v>
      </c>
      <c r="J1010" s="8" t="n">
        <f aca="false">IF($G1010&lt;&gt;"",$G1010,$B1010)</f>
        <v>4415297</v>
      </c>
      <c r="K1010" s="8" t="str">
        <f aca="false">IF(COUNTIF($M$1:$M$10,$A1010)&gt;0,"Y","N")</f>
        <v>Y</v>
      </c>
    </row>
    <row r="1011" customFormat="false" ht="15" hidden="false" customHeight="true" outlineLevel="0" collapsed="false">
      <c r="A1011" s="8" t="s">
        <v>44</v>
      </c>
      <c r="B1011" s="8" t="s">
        <v>983</v>
      </c>
      <c r="C1011" s="19" t="n">
        <v>-1</v>
      </c>
      <c r="D1011" s="19" t="n">
        <v>-118.13</v>
      </c>
      <c r="E1011" s="19" t="n">
        <v>0</v>
      </c>
      <c r="F1011" s="19" t="n">
        <v>0</v>
      </c>
      <c r="G1011" s="8" t="n">
        <f aca="false">IFERROR(INDEX('TRANS'!$B:$B,MATCH($B1011,'TRANS'!$A:$A,0)),IFERROR(INDEX('TRANS'!$B:$B,MATCH(TRIM(SUBSTITUTE($B1011,CHAR(160)," ")),'TRANS'!$D:$D,0)),IFERROR(INDEX('Catalog'!$A:$A,MATCH($B1011,'Catalog'!$B:$B,0)),IFERROR(INDEX('Catalog'!$A:$A,MATCH(TRIM(SUBSTITUTE($B1011,CHAR(160)," ")),'Catalog'!$C:$C,0)),""))))</f>
        <v>4413073</v>
      </c>
      <c r="H1011" s="8" t="str">
        <f aca="false">IFERROR(INDEX('TRANS'!$C:$C,MATCH($B1011,'TRANS'!$A:$A,0)),IFERROR(INDEX('Catalog'!$B:$B,MATCH($G1011,'Catalog'!$A:$A,0)),$B1011))</f>
        <v>41 Mמ.ברך מוצלב+ספירלות בצדדים</v>
      </c>
      <c r="I1011" s="8" t="str">
        <f aca="false">IF($G1011="","Unmatched","Matched")</f>
        <v>Matched</v>
      </c>
      <c r="J1011" s="8" t="n">
        <f aca="false">IF($G1011&lt;&gt;"",$G1011,$B1011)</f>
        <v>4413073</v>
      </c>
      <c r="K1011" s="8" t="str">
        <f aca="false">IF(COUNTIF($M$1:$M$10,$A1011)&gt;0,"Y","N")</f>
        <v>Y</v>
      </c>
    </row>
    <row r="1012" customFormat="false" ht="15" hidden="false" customHeight="true" outlineLevel="0" collapsed="false">
      <c r="A1012" s="8" t="s">
        <v>44</v>
      </c>
      <c r="B1012" s="8" t="s">
        <v>729</v>
      </c>
      <c r="C1012" s="19" t="n">
        <v>3</v>
      </c>
      <c r="D1012" s="19" t="n">
        <v>89.22</v>
      </c>
      <c r="E1012" s="19" t="n">
        <v>7</v>
      </c>
      <c r="F1012" s="19" t="n">
        <v>262.18</v>
      </c>
      <c r="G1012" s="8" t="n">
        <f aca="false">IFERROR(INDEX('TRANS'!$B:$B,MATCH($B1012,'TRANS'!$A:$A,0)),IFERROR(INDEX('TRANS'!$B:$B,MATCH(TRIM(SUBSTITUTE($B1012,CHAR(160)," ")),'TRANS'!$D:$D,0)),IFERROR(INDEX('Catalog'!$A:$A,MATCH($B1012,'Catalog'!$B:$B,0)),IFERROR(INDEX('Catalog'!$A:$A,MATCH(TRIM(SUBSTITUTE($B1012,CHAR(160)," ")),'Catalog'!$C:$C,0)),""))))</f>
        <v>4413326</v>
      </c>
      <c r="H1012" s="8" t="str">
        <f aca="false">IFERROR(INDEX('TRANS'!$C:$C,MATCH($B1012,'TRANS'!$A:$A,0)),IFERROR(INDEX('Catalog'!$B:$B,MATCH($G1012,'Catalog'!$A:$A,0)),$B1012))</f>
        <v>AC37 מגן קרסול נושם</v>
      </c>
      <c r="I1012" s="8" t="str">
        <f aca="false">IF($G1012="","Unmatched","Matched")</f>
        <v>Matched</v>
      </c>
      <c r="J1012" s="8" t="n">
        <f aca="false">IF($G1012&lt;&gt;"",$G1012,$B1012)</f>
        <v>4413326</v>
      </c>
      <c r="K1012" s="8" t="str">
        <f aca="false">IF(COUNTIF($M$1:$M$10,$A1012)&gt;0,"Y","N")</f>
        <v>Y</v>
      </c>
    </row>
    <row r="1013" customFormat="false" ht="15" hidden="false" customHeight="true" outlineLevel="0" collapsed="false">
      <c r="A1013" s="8" t="s">
        <v>44</v>
      </c>
      <c r="B1013" s="8" t="s">
        <v>466</v>
      </c>
      <c r="C1013" s="19" t="n">
        <v>-1</v>
      </c>
      <c r="D1013" s="19" t="n">
        <v>-80.32</v>
      </c>
      <c r="E1013" s="19" t="n">
        <v>0</v>
      </c>
      <c r="F1013" s="19" t="n">
        <v>0</v>
      </c>
      <c r="G1013" s="8" t="str">
        <f aca="false">IFERROR(INDEX('TRANS'!$B:$B,MATCH($B1013,'TRANS'!$A:$A,0)),IFERROR(INDEX('TRANS'!$B:$B,MATCH(TRIM(SUBSTITUTE($B1013,CHAR(160)," ")),'TRANS'!$D:$D,0)),IFERROR(INDEX('Catalog'!$A:$A,MATCH($B1013,'Catalog'!$B:$B,0)),IFERROR(INDEX('Catalog'!$A:$A,MATCH(TRIM(SUBSTITUTE($B1013,CHAR(160)," ")),'Catalog'!$C:$C,0)),""))))</f>
        <v/>
      </c>
      <c r="H1013" s="8" t="str">
        <f aca="false">IFERROR(INDEX('TRANS'!$C:$C,MATCH($B1013,'TRANS'!$A:$A,0)),IFERROR(INDEX('Catalog'!$B:$B,MATCH($G1013,'Catalog'!$A:$A,0)),$B1013))</f>
        <v>T26 L</v>
      </c>
      <c r="I1013" s="8" t="str">
        <f aca="false">IF($G1013="","Unmatched","Matched")</f>
        <v>Unmatched</v>
      </c>
      <c r="J1013" s="8" t="str">
        <f aca="false">IF($G1013&lt;&gt;"",$G1013,$B1013)</f>
        <v>T26 L</v>
      </c>
      <c r="K1013" s="8" t="str">
        <f aca="false">IF(COUNTIF($M$1:$M$10,$A1013)&gt;0,"Y","N")</f>
        <v>Y</v>
      </c>
    </row>
    <row r="1014" customFormat="false" ht="15" hidden="false" customHeight="true" outlineLevel="0" collapsed="false">
      <c r="A1014" s="8" t="s">
        <v>44</v>
      </c>
      <c r="B1014" s="8" t="s">
        <v>260</v>
      </c>
      <c r="C1014" s="19" t="n">
        <v>1</v>
      </c>
      <c r="D1014" s="19" t="n">
        <v>267.99</v>
      </c>
      <c r="E1014" s="19" t="n">
        <v>1</v>
      </c>
      <c r="F1014" s="19" t="n">
        <v>268</v>
      </c>
      <c r="G1014" s="8" t="str">
        <f aca="false">IFERROR(INDEX('TRANS'!$B:$B,MATCH($B1014,'TRANS'!$A:$A,0)),IFERROR(INDEX('TRANS'!$B:$B,MATCH(TRIM(SUBSTITUTE($B1014,CHAR(160)," ")),'TRANS'!$D:$D,0)),IFERROR(INDEX('Catalog'!$A:$A,MATCH($B1014,'Catalog'!$B:$B,0)),IFERROR(INDEX('Catalog'!$A:$A,MATCH(TRIM(SUBSTITUTE($B1014,CHAR(160)," ")),'Catalog'!$C:$C,0)),""))))</f>
        <v/>
      </c>
      <c r="H1014" s="8" t="str">
        <f aca="false">IFERROR(INDEX('TRANS'!$C:$C,MATCH($B1014,'TRANS'!$A:$A,0)),IFERROR(INDEX('Catalog'!$B:$B,MATCH($G1014,'Catalog'!$A:$A,0)),$B1014))</f>
        <v>18 XXL</v>
      </c>
      <c r="I1014" s="8" t="str">
        <f aca="false">IF($G1014="","Unmatched","Matched")</f>
        <v>Unmatched</v>
      </c>
      <c r="J1014" s="8" t="str">
        <f aca="false">IF($G1014&lt;&gt;"",$G1014,$B1014)</f>
        <v>18 XXL</v>
      </c>
      <c r="K1014" s="8" t="str">
        <f aca="false">IF(COUNTIF($M$1:$M$10,$A1014)&gt;0,"Y","N")</f>
        <v>Y</v>
      </c>
    </row>
    <row r="1015" customFormat="false" ht="15" hidden="false" customHeight="true" outlineLevel="0" collapsed="false">
      <c r="A1015" s="8" t="s">
        <v>44</v>
      </c>
      <c r="B1015" s="8" t="s">
        <v>224</v>
      </c>
      <c r="C1015" s="19" t="n">
        <v>2</v>
      </c>
      <c r="D1015" s="19" t="n">
        <v>328.02</v>
      </c>
      <c r="E1015" s="19" t="n">
        <v>1</v>
      </c>
      <c r="F1015" s="19" t="n">
        <v>164.01</v>
      </c>
      <c r="G1015" s="8" t="str">
        <f aca="false">IFERROR(INDEX('TRANS'!$B:$B,MATCH($B1015,'TRANS'!$A:$A,0)),IFERROR(INDEX('TRANS'!$B:$B,MATCH(TRIM(SUBSTITUTE($B1015,CHAR(160)," ")),'TRANS'!$D:$D,0)),IFERROR(INDEX('Catalog'!$A:$A,MATCH($B1015,'Catalog'!$B:$B,0)),IFERROR(INDEX('Catalog'!$A:$A,MATCH(TRIM(SUBSTITUTE($B1015,CHAR(160)," ")),'Catalog'!$C:$C,0)),""))))</f>
        <v/>
      </c>
      <c r="H1015" s="8" t="str">
        <f aca="false">IFERROR(INDEX('TRANS'!$C:$C,MATCH($B1015,'TRANS'!$A:$A,0)),IFERROR(INDEX('Catalog'!$B:$B,MATCH($G1015,'Catalog'!$A:$A,0)),$B1015))</f>
        <v>75 XS</v>
      </c>
      <c r="I1015" s="8" t="str">
        <f aca="false">IF($G1015="","Unmatched","Matched")</f>
        <v>Unmatched</v>
      </c>
      <c r="J1015" s="8" t="str">
        <f aca="false">IF($G1015&lt;&gt;"",$G1015,$B1015)</f>
        <v>75 XS</v>
      </c>
      <c r="K1015" s="8" t="str">
        <f aca="false">IF(COUNTIF($M$1:$M$10,$A1015)&gt;0,"Y","N")</f>
        <v>Y</v>
      </c>
    </row>
    <row r="1016" customFormat="false" ht="15" hidden="false" customHeight="true" outlineLevel="0" collapsed="false">
      <c r="A1016" s="8" t="s">
        <v>44</v>
      </c>
      <c r="B1016" s="8" t="s">
        <v>764</v>
      </c>
      <c r="C1016" s="19" t="n">
        <v>16</v>
      </c>
      <c r="D1016" s="19" t="n">
        <v>970</v>
      </c>
      <c r="E1016" s="19" t="n">
        <v>6</v>
      </c>
      <c r="F1016" s="19" t="n">
        <v>390.02</v>
      </c>
      <c r="G1016" s="8" t="n">
        <f aca="false">IFERROR(INDEX('TRANS'!$B:$B,MATCH($B1016,'TRANS'!$A:$A,0)),IFERROR(INDEX('TRANS'!$B:$B,MATCH(TRIM(SUBSTITUTE($B1016,CHAR(160)," ")),'TRANS'!$D:$D,0)),IFERROR(INDEX('Catalog'!$A:$A,MATCH($B1016,'Catalog'!$B:$B,0)),IFERROR(INDEX('Catalog'!$A:$A,MATCH(TRIM(SUBSTITUTE($B1016,CHAR(160)," ")),'Catalog'!$C:$C,0)),""))))</f>
        <v>4403035</v>
      </c>
      <c r="H1016" s="8" t="str">
        <f aca="false">IFERROR(INDEX('TRANS'!$C:$C,MATCH($B1016,'TRANS'!$A:$A,0)),IFERROR(INDEX('Catalog'!$B:$B,MATCH($G1016,'Catalog'!$A:$A,0)),$B1016))</f>
        <v>ST3555L-XLגרב לילה לטיפ.בדורבן</v>
      </c>
      <c r="I1016" s="8" t="str">
        <f aca="false">IF($G1016="","Unmatched","Matched")</f>
        <v>Matched</v>
      </c>
      <c r="J1016" s="8" t="n">
        <f aca="false">IF($G1016&lt;&gt;"",$G1016,$B1016)</f>
        <v>4403035</v>
      </c>
      <c r="K1016" s="8" t="str">
        <f aca="false">IF(COUNTIF($M$1:$M$10,$A1016)&gt;0,"Y","N")</f>
        <v>Y</v>
      </c>
    </row>
    <row r="1017" customFormat="false" ht="15" hidden="false" customHeight="true" outlineLevel="0" collapsed="false">
      <c r="A1017" s="8" t="s">
        <v>44</v>
      </c>
      <c r="B1017" s="8" t="s">
        <v>765</v>
      </c>
      <c r="C1017" s="19" t="n">
        <v>21</v>
      </c>
      <c r="D1017" s="19" t="n">
        <v>1285.01</v>
      </c>
      <c r="E1017" s="19" t="n">
        <v>7</v>
      </c>
      <c r="F1017" s="19" t="n">
        <v>455.01</v>
      </c>
      <c r="G1017" s="8" t="n">
        <f aca="false">IFERROR(INDEX('TRANS'!$B:$B,MATCH($B1017,'TRANS'!$A:$A,0)),IFERROR(INDEX('TRANS'!$B:$B,MATCH(TRIM(SUBSTITUTE($B1017,CHAR(160)," ")),'TRANS'!$D:$D,0)),IFERROR(INDEX('Catalog'!$A:$A,MATCH($B1017,'Catalog'!$B:$B,0)),IFERROR(INDEX('Catalog'!$A:$A,MATCH(TRIM(SUBSTITUTE($B1017,CHAR(160)," ")),'Catalog'!$C:$C,0)),""))))</f>
        <v>4403034</v>
      </c>
      <c r="H1017" s="8" t="str">
        <f aca="false">IFERROR(INDEX('TRANS'!$C:$C,MATCH($B1017,'TRANS'!$A:$A,0)),IFERROR(INDEX('Catalog'!$B:$B,MATCH($G1017,'Catalog'!$A:$A,0)),$B1017))</f>
        <v>ST3555 S-Mגרב לילה לטיפ.בדורבן</v>
      </c>
      <c r="I1017" s="8" t="str">
        <f aca="false">IF($G1017="","Unmatched","Matched")</f>
        <v>Matched</v>
      </c>
      <c r="J1017" s="8" t="n">
        <f aca="false">IF($G1017&lt;&gt;"",$G1017,$B1017)</f>
        <v>4403034</v>
      </c>
      <c r="K1017" s="8" t="str">
        <f aca="false">IF(COUNTIF($M$1:$M$10,$A1017)&gt;0,"Y","N")</f>
        <v>Y</v>
      </c>
    </row>
    <row r="1018" customFormat="false" ht="15" hidden="false" customHeight="true" outlineLevel="0" collapsed="false">
      <c r="A1018" s="8" t="s">
        <v>44</v>
      </c>
      <c r="B1018" s="8" t="s">
        <v>340</v>
      </c>
      <c r="C1018" s="19" t="n">
        <v>1</v>
      </c>
      <c r="D1018" s="19" t="n">
        <v>401.77</v>
      </c>
      <c r="E1018" s="19" t="n">
        <v>0</v>
      </c>
      <c r="F1018" s="19" t="n">
        <v>0</v>
      </c>
      <c r="G1018" s="8" t="str">
        <f aca="false">IFERROR(INDEX('TRANS'!$B:$B,MATCH($B1018,'TRANS'!$A:$A,0)),IFERROR(INDEX('TRANS'!$B:$B,MATCH(TRIM(SUBSTITUTE($B1018,CHAR(160)," ")),'TRANS'!$D:$D,0)),IFERROR(INDEX('Catalog'!$A:$A,MATCH($B1018,'Catalog'!$B:$B,0)),IFERROR(INDEX('Catalog'!$A:$A,MATCH(TRIM(SUBSTITUTE($B1018,CHAR(160)," ")),'Catalog'!$C:$C,0)),""))))</f>
        <v/>
      </c>
      <c r="H1018" s="8" t="str">
        <f aca="false">IFERROR(INDEX('TRANS'!$C:$C,MATCH($B1018,'TRANS'!$A:$A,0)),IFERROR(INDEX('Catalog'!$B:$B,MATCH($G1018,'Catalog'!$A:$A,0)),$B1018))</f>
        <v>T43V XXL</v>
      </c>
      <c r="I1018" s="8" t="str">
        <f aca="false">IF($G1018="","Unmatched","Matched")</f>
        <v>Unmatched</v>
      </c>
      <c r="J1018" s="8" t="str">
        <f aca="false">IF($G1018&lt;&gt;"",$G1018,$B1018)</f>
        <v>T43V XXL</v>
      </c>
      <c r="K1018" s="8" t="str">
        <f aca="false">IF(COUNTIF($M$1:$M$10,$A1018)&gt;0,"Y","N")</f>
        <v>Y</v>
      </c>
    </row>
    <row r="1019" customFormat="false" ht="15" hidden="false" customHeight="true" outlineLevel="0" collapsed="false">
      <c r="A1019" s="8" t="s">
        <v>44</v>
      </c>
      <c r="B1019" s="8" t="s">
        <v>64</v>
      </c>
      <c r="C1019" s="19" t="n">
        <v>16</v>
      </c>
      <c r="D1019" s="19" t="n">
        <v>2248.16</v>
      </c>
      <c r="E1019" s="19" t="n">
        <v>21</v>
      </c>
      <c r="F1019" s="19" t="n">
        <v>2952.04</v>
      </c>
      <c r="G1019" s="8" t="str">
        <f aca="false">IFERROR(INDEX('TRANS'!$B:$B,MATCH($B1019,'TRANS'!$A:$A,0)),IFERROR(INDEX('TRANS'!$B:$B,MATCH(TRIM(SUBSTITUTE($B1019,CHAR(160)," ")),'TRANS'!$D:$D,0)),IFERROR(INDEX('Catalog'!$A:$A,MATCH($B1019,'Catalog'!$B:$B,0)),IFERROR(INDEX('Catalog'!$A:$A,MATCH(TRIM(SUBSTITUTE($B1019,CHAR(160)," ")),'Catalog'!$C:$C,0)),""))))</f>
        <v/>
      </c>
      <c r="H1019" s="8" t="str">
        <f aca="false">IFERROR(INDEX('TRANS'!$C:$C,MATCH($B1019,'TRANS'!$A:$A,0)),IFERROR(INDEX('Catalog'!$B:$B,MATCH($G1019,'Catalog'!$A:$A,0)),$B1019))</f>
        <v>84-L-XXL</v>
      </c>
      <c r="I1019" s="8" t="str">
        <f aca="false">IF($G1019="","Unmatched","Matched")</f>
        <v>Unmatched</v>
      </c>
      <c r="J1019" s="8" t="str">
        <f aca="false">IF($G1019&lt;&gt;"",$G1019,$B1019)</f>
        <v>84-L-XXL</v>
      </c>
      <c r="K1019" s="8" t="str">
        <f aca="false">IF(COUNTIF($M$1:$M$10,$A1019)&gt;0,"Y","N")</f>
        <v>Y</v>
      </c>
    </row>
    <row r="1020" customFormat="false" ht="15" hidden="false" customHeight="true" outlineLevel="0" collapsed="false">
      <c r="A1020" s="8" t="s">
        <v>44</v>
      </c>
      <c r="B1020" s="8" t="s">
        <v>62</v>
      </c>
      <c r="C1020" s="19" t="n">
        <v>15</v>
      </c>
      <c r="D1020" s="19" t="n">
        <v>2108.61</v>
      </c>
      <c r="E1020" s="19" t="n">
        <v>15</v>
      </c>
      <c r="F1020" s="19" t="n">
        <v>2108.59</v>
      </c>
      <c r="G1020" s="8" t="str">
        <f aca="false">IFERROR(INDEX('TRANS'!$B:$B,MATCH($B1020,'TRANS'!$A:$A,0)),IFERROR(INDEX('TRANS'!$B:$B,MATCH(TRIM(SUBSTITUTE($B1020,CHAR(160)," ")),'TRANS'!$D:$D,0)),IFERROR(INDEX('Catalog'!$A:$A,MATCH($B1020,'Catalog'!$B:$B,0)),IFERROR(INDEX('Catalog'!$A:$A,MATCH(TRIM(SUBSTITUTE($B1020,CHAR(160)," ")),'Catalog'!$C:$C,0)),""))))</f>
        <v/>
      </c>
      <c r="H1020" s="8" t="str">
        <f aca="false">IFERROR(INDEX('TRANS'!$C:$C,MATCH($B1020,'TRANS'!$A:$A,0)),IFERROR(INDEX('Catalog'!$B:$B,MATCH($G1020,'Catalog'!$A:$A,0)),$B1020))</f>
        <v>84-S-M</v>
      </c>
      <c r="I1020" s="8" t="str">
        <f aca="false">IF($G1020="","Unmatched","Matched")</f>
        <v>Unmatched</v>
      </c>
      <c r="J1020" s="8" t="str">
        <f aca="false">IF($G1020&lt;&gt;"",$G1020,$B1020)</f>
        <v>84-S-M</v>
      </c>
      <c r="K1020" s="8" t="str">
        <f aca="false">IF(COUNTIF($M$1:$M$10,$A1020)&gt;0,"Y","N")</f>
        <v>Y</v>
      </c>
    </row>
    <row r="1021" customFormat="false" ht="15" hidden="false" customHeight="true" outlineLevel="0" collapsed="false">
      <c r="A1021" s="8" t="s">
        <v>44</v>
      </c>
      <c r="B1021" s="8" t="s">
        <v>756</v>
      </c>
      <c r="C1021" s="19" t="n">
        <v>5</v>
      </c>
      <c r="D1021" s="19" t="n">
        <v>801.36</v>
      </c>
      <c r="E1021" s="19" t="n">
        <v>4</v>
      </c>
      <c r="F1021" s="19" t="n">
        <v>656.08</v>
      </c>
      <c r="G1021" s="8" t="n">
        <f aca="false">IFERROR(INDEX('TRANS'!$B:$B,MATCH($B1021,'TRANS'!$A:$A,0)),IFERROR(INDEX('TRANS'!$B:$B,MATCH(TRIM(SUBSTITUTE($B1021,CHAR(160)," ")),'TRANS'!$D:$D,0)),IFERROR(INDEX('Catalog'!$A:$A,MATCH($B1021,'Catalog'!$B:$B,0)),IFERROR(INDEX('Catalog'!$A:$A,MATCH(TRIM(SUBSTITUTE($B1021,CHAR(160)," ")),'Catalog'!$C:$C,0)),""))))</f>
        <v>4413416</v>
      </c>
      <c r="H1021" s="8" t="str">
        <f aca="false">IFERROR(INDEX('TRANS'!$C:$C,MATCH($B1021,'TRANS'!$A:$A,0)),IFERROR(INDEX('Catalog'!$B:$B,MATCH($G1021,'Catalog'!$A:$A,0)),$B1021))</f>
        <v>SC39  M מגן שוק</v>
      </c>
      <c r="I1021" s="8" t="str">
        <f aca="false">IF($G1021="","Unmatched","Matched")</f>
        <v>Matched</v>
      </c>
      <c r="J1021" s="8" t="n">
        <f aca="false">IF($G1021&lt;&gt;"",$G1021,$B1021)</f>
        <v>4413416</v>
      </c>
      <c r="K1021" s="8" t="str">
        <f aca="false">IF(COUNTIF($M$1:$M$10,$A1021)&gt;0,"Y","N")</f>
        <v>Y</v>
      </c>
    </row>
    <row r="1022" customFormat="false" ht="15" hidden="false" customHeight="true" outlineLevel="0" collapsed="false">
      <c r="A1022" s="8" t="s">
        <v>44</v>
      </c>
      <c r="B1022" s="8" t="s">
        <v>162</v>
      </c>
      <c r="C1022" s="19" t="n">
        <v>0</v>
      </c>
      <c r="D1022" s="19" t="n">
        <v>0</v>
      </c>
      <c r="E1022" s="19" t="n">
        <v>1</v>
      </c>
      <c r="F1022" s="19" t="n">
        <v>111.03</v>
      </c>
      <c r="G1022" s="8" t="str">
        <f aca="false">IFERROR(INDEX('TRANS'!$B:$B,MATCH($B1022,'TRANS'!$A:$A,0)),IFERROR(INDEX('TRANS'!$B:$B,MATCH(TRIM(SUBSTITUTE($B1022,CHAR(160)," ")),'TRANS'!$D:$D,0)),IFERROR(INDEX('Catalog'!$A:$A,MATCH($B1022,'Catalog'!$B:$B,0)),IFERROR(INDEX('Catalog'!$A:$A,MATCH(TRIM(SUBSTITUTE($B1022,CHAR(160)," ")),'Catalog'!$C:$C,0)),""))))</f>
        <v/>
      </c>
      <c r="H1022" s="8" t="str">
        <f aca="false">IFERROR(INDEX('TRANS'!$C:$C,MATCH($B1022,'TRANS'!$A:$A,0)),IFERROR(INDEX('Catalog'!$B:$B,MATCH($G1022,'Catalog'!$A:$A,0)),$B1022))</f>
        <v>T03 XXL</v>
      </c>
      <c r="I1022" s="8" t="str">
        <f aca="false">IF($G1022="","Unmatched","Matched")</f>
        <v>Unmatched</v>
      </c>
      <c r="J1022" s="8" t="str">
        <f aca="false">IF($G1022&lt;&gt;"",$G1022,$B1022)</f>
        <v>T03 XXL</v>
      </c>
      <c r="K1022" s="8" t="str">
        <f aca="false">IF(COUNTIF($M$1:$M$10,$A1022)&gt;0,"Y","N")</f>
        <v>Y</v>
      </c>
    </row>
    <row r="1023" customFormat="false" ht="15" hidden="false" customHeight="true" outlineLevel="0" collapsed="false">
      <c r="A1023" s="8" t="s">
        <v>44</v>
      </c>
      <c r="B1023" s="8" t="s">
        <v>869</v>
      </c>
      <c r="C1023" s="19" t="n">
        <v>2</v>
      </c>
      <c r="D1023" s="19" t="n">
        <v>219.04</v>
      </c>
      <c r="E1023" s="19" t="n">
        <v>0</v>
      </c>
      <c r="F1023" s="19" t="n">
        <v>0</v>
      </c>
      <c r="G1023" s="8" t="n">
        <f aca="false">IFERROR(INDEX('TRANS'!$B:$B,MATCH($B1023,'TRANS'!$A:$A,0)),IFERROR(INDEX('TRANS'!$B:$B,MATCH(TRIM(SUBSTITUTE($B1023,CHAR(160)," ")),'TRANS'!$D:$D,0)),IFERROR(INDEX('Catalog'!$A:$A,MATCH($B1023,'Catalog'!$B:$B,0)),IFERROR(INDEX('Catalog'!$A:$A,MATCH(TRIM(SUBSTITUTE($B1023,CHAR(160)," ")),'Catalog'!$C:$C,0)),""))))</f>
        <v>4413523</v>
      </c>
      <c r="H1023" s="8" t="str">
        <f aca="false">IFERROR(INDEX('TRANS'!$C:$C,MATCH($B1023,'TRANS'!$A:$A,0)),IFERROR(INDEX('Catalog'!$B:$B,MATCH($G1023,'Catalog'!$A:$A,0)),$B1023))</f>
        <v>35-38 מדרסי אפיק ג'ל נוחות</v>
      </c>
      <c r="I1023" s="8" t="str">
        <f aca="false">IF($G1023="","Unmatched","Matched")</f>
        <v>Matched</v>
      </c>
      <c r="J1023" s="8" t="n">
        <f aca="false">IF($G1023&lt;&gt;"",$G1023,$B1023)</f>
        <v>4413523</v>
      </c>
      <c r="K1023" s="8" t="str">
        <f aca="false">IF(COUNTIF($M$1:$M$10,$A1023)&gt;0,"Y","N")</f>
        <v>Y</v>
      </c>
    </row>
    <row r="1024" customFormat="false" ht="15" hidden="false" customHeight="true" outlineLevel="0" collapsed="false">
      <c r="A1024" s="8" t="s">
        <v>44</v>
      </c>
      <c r="B1024" s="8" t="s">
        <v>872</v>
      </c>
      <c r="C1024" s="19" t="n">
        <v>3</v>
      </c>
      <c r="D1024" s="19" t="n">
        <v>337.58</v>
      </c>
      <c r="E1024" s="19" t="n">
        <v>0</v>
      </c>
      <c r="F1024" s="19" t="n">
        <v>0</v>
      </c>
      <c r="G1024" s="8" t="n">
        <f aca="false">IFERROR(INDEX('TRANS'!$B:$B,MATCH($B1024,'TRANS'!$A:$A,0)),IFERROR(INDEX('TRANS'!$B:$B,MATCH(TRIM(SUBSTITUTE($B1024,CHAR(160)," ")),'TRANS'!$D:$D,0)),IFERROR(INDEX('Catalog'!$A:$A,MATCH($B1024,'Catalog'!$B:$B,0)),IFERROR(INDEX('Catalog'!$A:$A,MATCH(TRIM(SUBSTITUTE($B1024,CHAR(160)," ")),'Catalog'!$C:$C,0)),""))))</f>
        <v>4413520</v>
      </c>
      <c r="H1024" s="8" t="str">
        <f aca="false">IFERROR(INDEX('TRANS'!$C:$C,MATCH($B1024,'TRANS'!$A:$A,0)),IFERROR(INDEX('Catalog'!$B:$B,MATCH($G1024,'Catalog'!$A:$A,0)),$B1024))</f>
        <v>מדרסי אפיק ג'ל מולט.ספורט35-38</v>
      </c>
      <c r="I1024" s="8" t="str">
        <f aca="false">IF($G1024="","Unmatched","Matched")</f>
        <v>Matched</v>
      </c>
      <c r="J1024" s="8" t="n">
        <f aca="false">IF($G1024&lt;&gt;"",$G1024,$B1024)</f>
        <v>4413520</v>
      </c>
      <c r="K1024" s="8" t="str">
        <f aca="false">IF(COUNTIF($M$1:$M$10,$A1024)&gt;0,"Y","N")</f>
        <v>Y</v>
      </c>
    </row>
    <row r="1025" customFormat="false" ht="15" hidden="false" customHeight="true" outlineLevel="0" collapsed="false">
      <c r="A1025" s="8" t="s">
        <v>44</v>
      </c>
      <c r="B1025" s="8" t="s">
        <v>873</v>
      </c>
      <c r="C1025" s="19" t="n">
        <v>3</v>
      </c>
      <c r="D1025" s="19" t="n">
        <v>337.58</v>
      </c>
      <c r="E1025" s="19" t="n">
        <v>0</v>
      </c>
      <c r="F1025" s="19" t="n">
        <v>0</v>
      </c>
      <c r="G1025" s="8" t="n">
        <f aca="false">IFERROR(INDEX('TRANS'!$B:$B,MATCH($B1025,'TRANS'!$A:$A,0)),IFERROR(INDEX('TRANS'!$B:$B,MATCH(TRIM(SUBSTITUTE($B1025,CHAR(160)," ")),'TRANS'!$D:$D,0)),IFERROR(INDEX('Catalog'!$A:$A,MATCH($B1025,'Catalog'!$B:$B,0)),IFERROR(INDEX('Catalog'!$A:$A,MATCH(TRIM(SUBSTITUTE($B1025,CHAR(160)," ")),'Catalog'!$C:$C,0)),""))))</f>
        <v>4413521</v>
      </c>
      <c r="H1025" s="8" t="str">
        <f aca="false">IFERROR(INDEX('TRANS'!$C:$C,MATCH($B1025,'TRANS'!$A:$A,0)),IFERROR(INDEX('Catalog'!$B:$B,MATCH($G1025,'Catalog'!$A:$A,0)),$B1025))</f>
        <v>מדרסי אפיק ג'ל מולטי ספור39-42</v>
      </c>
      <c r="I1025" s="8" t="str">
        <f aca="false">IF($G1025="","Unmatched","Matched")</f>
        <v>Matched</v>
      </c>
      <c r="J1025" s="8" t="n">
        <f aca="false">IF($G1025&lt;&gt;"",$G1025,$B1025)</f>
        <v>4413521</v>
      </c>
      <c r="K1025" s="8" t="str">
        <f aca="false">IF(COUNTIF($M$1:$M$10,$A1025)&gt;0,"Y","N")</f>
        <v>Y</v>
      </c>
    </row>
    <row r="1026" customFormat="false" ht="15" hidden="false" customHeight="true" outlineLevel="0" collapsed="false">
      <c r="A1026" s="8" t="s">
        <v>44</v>
      </c>
      <c r="B1026" s="8" t="s">
        <v>874</v>
      </c>
      <c r="C1026" s="19" t="n">
        <v>3</v>
      </c>
      <c r="D1026" s="19" t="n">
        <v>337.58</v>
      </c>
      <c r="E1026" s="19" t="n">
        <v>1</v>
      </c>
      <c r="F1026" s="19" t="n">
        <v>118.54</v>
      </c>
      <c r="G1026" s="8" t="n">
        <f aca="false">IFERROR(INDEX('TRANS'!$B:$B,MATCH($B1026,'TRANS'!$A:$A,0)),IFERROR(INDEX('TRANS'!$B:$B,MATCH(TRIM(SUBSTITUTE($B1026,CHAR(160)," ")),'TRANS'!$D:$D,0)),IFERROR(INDEX('Catalog'!$A:$A,MATCH($B1026,'Catalog'!$B:$B,0)),IFERROR(INDEX('Catalog'!$A:$A,MATCH(TRIM(SUBSTITUTE($B1026,CHAR(160)," ")),'Catalog'!$C:$C,0)),""))))</f>
        <v>4413522</v>
      </c>
      <c r="H1026" s="8" t="str">
        <f aca="false">IFERROR(INDEX('TRANS'!$C:$C,MATCH($B1026,'TRANS'!$A:$A,0)),IFERROR(INDEX('Catalog'!$B:$B,MATCH($G1026,'Catalog'!$A:$A,0)),$B1026))</f>
        <v>מדרסי אפיק ג'ל מולט.ספורט43-47</v>
      </c>
      <c r="I1026" s="8" t="str">
        <f aca="false">IF($G1026="","Unmatched","Matched")</f>
        <v>Matched</v>
      </c>
      <c r="J1026" s="8" t="n">
        <f aca="false">IF($G1026&lt;&gt;"",$G1026,$B1026)</f>
        <v>4413522</v>
      </c>
      <c r="K1026" s="8" t="str">
        <f aca="false">IF(COUNTIF($M$1:$M$10,$A1026)&gt;0,"Y","N")</f>
        <v>Y</v>
      </c>
    </row>
    <row r="1027" customFormat="false" ht="15" hidden="false" customHeight="true" outlineLevel="0" collapsed="false">
      <c r="A1027" s="8" t="s">
        <v>44</v>
      </c>
      <c r="B1027" s="8" t="s">
        <v>875</v>
      </c>
      <c r="C1027" s="19" t="n">
        <v>2</v>
      </c>
      <c r="D1027" s="19" t="n">
        <v>219.04</v>
      </c>
      <c r="E1027" s="19" t="n">
        <v>1</v>
      </c>
      <c r="F1027" s="19" t="n">
        <v>75</v>
      </c>
      <c r="G1027" s="8" t="n">
        <f aca="false">IFERROR(INDEX('TRANS'!$B:$B,MATCH($B1027,'TRANS'!$A:$A,0)),IFERROR(INDEX('TRANS'!$B:$B,MATCH(TRIM(SUBSTITUTE($B1027,CHAR(160)," ")),'TRANS'!$D:$D,0)),IFERROR(INDEX('Catalog'!$A:$A,MATCH($B1027,'Catalog'!$B:$B,0)),IFERROR(INDEX('Catalog'!$A:$A,MATCH(TRIM(SUBSTITUTE($B1027,CHAR(160)," ")),'Catalog'!$C:$C,0)),""))))</f>
        <v>4413527</v>
      </c>
      <c r="H1027" s="8" t="str">
        <f aca="false">IFERROR(INDEX('TRANS'!$C:$C,MATCH($B1027,'TRANS'!$A:$A,0)),IFERROR(INDEX('Catalog'!$B:$B,MATCH($G1027,'Catalog'!$A:$A,0)),$B1027))</f>
        <v>35-38 מדרסי אפיק ג'ל עבודה</v>
      </c>
      <c r="I1027" s="8" t="str">
        <f aca="false">IF($G1027="","Unmatched","Matched")</f>
        <v>Matched</v>
      </c>
      <c r="J1027" s="8" t="n">
        <f aca="false">IF($G1027&lt;&gt;"",$G1027,$B1027)</f>
        <v>4413527</v>
      </c>
      <c r="K1027" s="8" t="str">
        <f aca="false">IF(COUNTIF($M$1:$M$10,$A1027)&gt;0,"Y","N")</f>
        <v>Y</v>
      </c>
    </row>
    <row r="1028" customFormat="false" ht="15" hidden="false" customHeight="true" outlineLevel="0" collapsed="false">
      <c r="A1028" s="8" t="s">
        <v>44</v>
      </c>
      <c r="B1028" s="8" t="s">
        <v>284</v>
      </c>
      <c r="C1028" s="19" t="n">
        <v>1</v>
      </c>
      <c r="D1028" s="19" t="n">
        <v>108.68</v>
      </c>
      <c r="E1028" s="19" t="n">
        <v>0</v>
      </c>
      <c r="F1028" s="19" t="n">
        <v>0</v>
      </c>
      <c r="G1028" s="8" t="str">
        <f aca="false">IFERROR(INDEX('TRANS'!$B:$B,MATCH($B1028,'TRANS'!$A:$A,0)),IFERROR(INDEX('TRANS'!$B:$B,MATCH(TRIM(SUBSTITUTE($B1028,CHAR(160)," ")),'TRANS'!$D:$D,0)),IFERROR(INDEX('Catalog'!$A:$A,MATCH($B1028,'Catalog'!$B:$B,0)),IFERROR(INDEX('Catalog'!$A:$A,MATCH(TRIM(SUBSTITUTE($B1028,CHAR(160)," ")),'Catalog'!$C:$C,0)),""))))</f>
        <v/>
      </c>
      <c r="H1028" s="8" t="str">
        <f aca="false">IFERROR(INDEX('TRANS'!$C:$C,MATCH($B1028,'TRANS'!$A:$A,0)),IFERROR(INDEX('Catalog'!$B:$B,MATCH($G1028,'Catalog'!$A:$A,0)),$B1028))</f>
        <v>079 L</v>
      </c>
      <c r="I1028" s="8" t="str">
        <f aca="false">IF($G1028="","Unmatched","Matched")</f>
        <v>Unmatched</v>
      </c>
      <c r="J1028" s="8" t="str">
        <f aca="false">IF($G1028&lt;&gt;"",$G1028,$B1028)</f>
        <v>079 L</v>
      </c>
      <c r="K1028" s="8" t="str">
        <f aca="false">IF(COUNTIF($M$1:$M$10,$A1028)&gt;0,"Y","N")</f>
        <v>Y</v>
      </c>
    </row>
    <row r="1029" customFormat="false" ht="15" hidden="false" customHeight="true" outlineLevel="0" collapsed="false">
      <c r="A1029" s="8" t="s">
        <v>44</v>
      </c>
      <c r="B1029" s="8" t="s">
        <v>214</v>
      </c>
      <c r="C1029" s="19" t="n">
        <v>1</v>
      </c>
      <c r="D1029" s="19" t="n">
        <v>108.68</v>
      </c>
      <c r="E1029" s="19" t="n">
        <v>0</v>
      </c>
      <c r="F1029" s="19" t="n">
        <v>0</v>
      </c>
      <c r="G1029" s="8" t="str">
        <f aca="false">IFERROR(INDEX('TRANS'!$B:$B,MATCH($B1029,'TRANS'!$A:$A,0)),IFERROR(INDEX('TRANS'!$B:$B,MATCH(TRIM(SUBSTITUTE($B1029,CHAR(160)," ")),'TRANS'!$D:$D,0)),IFERROR(INDEX('Catalog'!$A:$A,MATCH($B1029,'Catalog'!$B:$B,0)),IFERROR(INDEX('Catalog'!$A:$A,MATCH(TRIM(SUBSTITUTE($B1029,CHAR(160)," ")),'Catalog'!$C:$C,0)),""))))</f>
        <v/>
      </c>
      <c r="H1029" s="8" t="str">
        <f aca="false">IFERROR(INDEX('TRANS'!$C:$C,MATCH($B1029,'TRANS'!$A:$A,0)),IFERROR(INDEX('Catalog'!$B:$B,MATCH($G1029,'Catalog'!$A:$A,0)),$B1029))</f>
        <v>079 M</v>
      </c>
      <c r="I1029" s="8" t="str">
        <f aca="false">IF($G1029="","Unmatched","Matched")</f>
        <v>Unmatched</v>
      </c>
      <c r="J1029" s="8" t="str">
        <f aca="false">IF($G1029&lt;&gt;"",$G1029,$B1029)</f>
        <v>079 M</v>
      </c>
      <c r="K1029" s="8" t="str">
        <f aca="false">IF(COUNTIF($M$1:$M$10,$A1029)&gt;0,"Y","N")</f>
        <v>Y</v>
      </c>
    </row>
    <row r="1030" customFormat="false" ht="15" hidden="false" customHeight="true" outlineLevel="0" collapsed="false">
      <c r="A1030" s="8" t="s">
        <v>44</v>
      </c>
      <c r="B1030" s="8" t="s">
        <v>467</v>
      </c>
      <c r="C1030" s="19" t="n">
        <v>2</v>
      </c>
      <c r="D1030" s="19" t="n">
        <v>281.14</v>
      </c>
      <c r="E1030" s="19" t="n">
        <v>0</v>
      </c>
      <c r="F1030" s="19" t="n">
        <v>0</v>
      </c>
      <c r="G1030" s="8" t="str">
        <f aca="false">IFERROR(INDEX('TRANS'!$B:$B,MATCH($B1030,'TRANS'!$A:$A,0)),IFERROR(INDEX('TRANS'!$B:$B,MATCH(TRIM(SUBSTITUTE($B1030,CHAR(160)," ")),'TRANS'!$D:$D,0)),IFERROR(INDEX('Catalog'!$A:$A,MATCH($B1030,'Catalog'!$B:$B,0)),IFERROR(INDEX('Catalog'!$A:$A,MATCH(TRIM(SUBSTITUTE($B1030,CHAR(160)," ")),'Catalog'!$C:$C,0)),""))))</f>
        <v/>
      </c>
      <c r="H1030" s="8" t="str">
        <f aca="false">IFERROR(INDEX('TRANS'!$C:$C,MATCH($B1030,'TRANS'!$A:$A,0)),IFERROR(INDEX('Catalog'!$B:$B,MATCH($G1030,'Catalog'!$A:$A,0)),$B1030))</f>
        <v>15M S</v>
      </c>
      <c r="I1030" s="8" t="str">
        <f aca="false">IF($G1030="","Unmatched","Matched")</f>
        <v>Unmatched</v>
      </c>
      <c r="J1030" s="8" t="str">
        <f aca="false">IF($G1030&lt;&gt;"",$G1030,$B1030)</f>
        <v>15M S</v>
      </c>
      <c r="K1030" s="8" t="str">
        <f aca="false">IF(COUNTIF($M$1:$M$10,$A1030)&gt;0,"Y","N")</f>
        <v>Y</v>
      </c>
    </row>
    <row r="1031" customFormat="false" ht="15" hidden="false" customHeight="true" outlineLevel="0" collapsed="false">
      <c r="A1031" s="8" t="s">
        <v>44</v>
      </c>
      <c r="B1031" s="8" t="s">
        <v>211</v>
      </c>
      <c r="C1031" s="19" t="n">
        <v>4</v>
      </c>
      <c r="D1031" s="19" t="n">
        <v>451.14</v>
      </c>
      <c r="E1031" s="19" t="n">
        <v>2</v>
      </c>
      <c r="F1031" s="19" t="n">
        <v>281.14</v>
      </c>
      <c r="G1031" s="8" t="str">
        <f aca="false">IFERROR(INDEX('TRANS'!$B:$B,MATCH($B1031,'TRANS'!$A:$A,0)),IFERROR(INDEX('TRANS'!$B:$B,MATCH(TRIM(SUBSTITUTE($B1031,CHAR(160)," ")),'TRANS'!$D:$D,0)),IFERROR(INDEX('Catalog'!$A:$A,MATCH($B1031,'Catalog'!$B:$B,0)),IFERROR(INDEX('Catalog'!$A:$A,MATCH(TRIM(SUBSTITUTE($B1031,CHAR(160)," ")),'Catalog'!$C:$C,0)),""))))</f>
        <v/>
      </c>
      <c r="H1031" s="8" t="str">
        <f aca="false">IFERROR(INDEX('TRANS'!$C:$C,MATCH($B1031,'TRANS'!$A:$A,0)),IFERROR(INDEX('Catalog'!$B:$B,MATCH($G1031,'Catalog'!$A:$A,0)),$B1031))</f>
        <v>15M XL</v>
      </c>
      <c r="I1031" s="8" t="str">
        <f aca="false">IF($G1031="","Unmatched","Matched")</f>
        <v>Unmatched</v>
      </c>
      <c r="J1031" s="8" t="str">
        <f aca="false">IF($G1031&lt;&gt;"",$G1031,$B1031)</f>
        <v>15M XL</v>
      </c>
      <c r="K1031" s="8" t="str">
        <f aca="false">IF(COUNTIF($M$1:$M$10,$A1031)&gt;0,"Y","N")</f>
        <v>Y</v>
      </c>
    </row>
    <row r="1032" customFormat="false" ht="15" hidden="false" customHeight="true" outlineLevel="0" collapsed="false">
      <c r="A1032" s="8" t="s">
        <v>44</v>
      </c>
      <c r="B1032" s="8" t="s">
        <v>241</v>
      </c>
      <c r="C1032" s="19" t="n">
        <v>3</v>
      </c>
      <c r="D1032" s="19" t="n">
        <v>310.57</v>
      </c>
      <c r="E1032" s="19" t="n">
        <v>1</v>
      </c>
      <c r="F1032" s="19" t="n">
        <v>140.57</v>
      </c>
      <c r="G1032" s="8" t="str">
        <f aca="false">IFERROR(INDEX('TRANS'!$B:$B,MATCH($B1032,'TRANS'!$A:$A,0)),IFERROR(INDEX('TRANS'!$B:$B,MATCH(TRIM(SUBSTITUTE($B1032,CHAR(160)," ")),'TRANS'!$D:$D,0)),IFERROR(INDEX('Catalog'!$A:$A,MATCH($B1032,'Catalog'!$B:$B,0)),IFERROR(INDEX('Catalog'!$A:$A,MATCH(TRIM(SUBSTITUTE($B1032,CHAR(160)," ")),'Catalog'!$C:$C,0)),""))))</f>
        <v/>
      </c>
      <c r="H1032" s="8" t="str">
        <f aca="false">IFERROR(INDEX('TRANS'!$C:$C,MATCH($B1032,'TRANS'!$A:$A,0)),IFERROR(INDEX('Catalog'!$B:$B,MATCH($G1032,'Catalog'!$A:$A,0)),$B1032))</f>
        <v>15M XXL</v>
      </c>
      <c r="I1032" s="8" t="str">
        <f aca="false">IF($G1032="","Unmatched","Matched")</f>
        <v>Unmatched</v>
      </c>
      <c r="J1032" s="8" t="str">
        <f aca="false">IF($G1032&lt;&gt;"",$G1032,$B1032)</f>
        <v>15M XXL</v>
      </c>
      <c r="K1032" s="8" t="str">
        <f aca="false">IF(COUNTIF($M$1:$M$10,$A1032)&gt;0,"Y","N")</f>
        <v>Y</v>
      </c>
    </row>
    <row r="1033" customFormat="false" ht="15" hidden="false" customHeight="true" outlineLevel="0" collapsed="false">
      <c r="A1033" s="8" t="s">
        <v>44</v>
      </c>
      <c r="B1033" s="8" t="s">
        <v>984</v>
      </c>
      <c r="C1033" s="19" t="n">
        <v>11</v>
      </c>
      <c r="D1033" s="19" t="n">
        <v>515.03</v>
      </c>
      <c r="E1033" s="19" t="n">
        <v>1</v>
      </c>
      <c r="F1033" s="19" t="n">
        <v>46.82</v>
      </c>
      <c r="G1033" s="8" t="n">
        <f aca="false">IFERROR(INDEX('TRANS'!$B:$B,MATCH($B1033,'TRANS'!$A:$A,0)),IFERROR(INDEX('TRANS'!$B:$B,MATCH(TRIM(SUBSTITUTE($B1033,CHAR(160)," ")),'TRANS'!$D:$D,0)),IFERROR(INDEX('Catalog'!$A:$A,MATCH($B1033,'Catalog'!$B:$B,0)),IFERROR(INDEX('Catalog'!$A:$A,MATCH(TRIM(SUBSTITUTE($B1033,CHAR(160)," ")),'Catalog'!$C:$C,0)),""))))</f>
        <v>4413042</v>
      </c>
      <c r="H1033" s="8" t="str">
        <f aca="false">IFERROR(INDEX('TRANS'!$C:$C,MATCH($B1033,'TRANS'!$A:$A,0)),IFERROR(INDEX('Catalog'!$B:$B,MATCH($G1033,'Catalog'!$A:$A,0)),$B1033))</f>
        <v>34  S מגן קרסול עקב סגור</v>
      </c>
      <c r="I1033" s="8" t="str">
        <f aca="false">IF($G1033="","Unmatched","Matched")</f>
        <v>Matched</v>
      </c>
      <c r="J1033" s="8" t="n">
        <f aca="false">IF($G1033&lt;&gt;"",$G1033,$B1033)</f>
        <v>4413042</v>
      </c>
      <c r="K1033" s="8" t="str">
        <f aca="false">IF(COUNTIF($M$1:$M$10,$A1033)&gt;0,"Y","N")</f>
        <v>Y</v>
      </c>
    </row>
    <row r="1034" customFormat="false" ht="15" hidden="false" customHeight="true" outlineLevel="0" collapsed="false">
      <c r="A1034" s="8" t="s">
        <v>44</v>
      </c>
      <c r="B1034" s="8" t="s">
        <v>985</v>
      </c>
      <c r="C1034" s="19" t="n">
        <v>10</v>
      </c>
      <c r="D1034" s="19" t="n">
        <v>468.21</v>
      </c>
      <c r="E1034" s="19" t="n">
        <v>2</v>
      </c>
      <c r="F1034" s="19" t="n">
        <v>93.64</v>
      </c>
      <c r="G1034" s="8" t="n">
        <f aca="false">IFERROR(INDEX('TRANS'!$B:$B,MATCH($B1034,'TRANS'!$A:$A,0)),IFERROR(INDEX('TRANS'!$B:$B,MATCH(TRIM(SUBSTITUTE($B1034,CHAR(160)," ")),'TRANS'!$D:$D,0)),IFERROR(INDEX('Catalog'!$A:$A,MATCH($B1034,'Catalog'!$B:$B,0)),IFERROR(INDEX('Catalog'!$A:$A,MATCH(TRIM(SUBSTITUTE($B1034,CHAR(160)," ")),'Catalog'!$C:$C,0)),""))))</f>
        <v>4413046</v>
      </c>
      <c r="H1034" s="8" t="str">
        <f aca="false">IFERROR(INDEX('TRANS'!$C:$C,MATCH($B1034,'TRANS'!$A:$A,0)),IFERROR(INDEX('Catalog'!$B:$B,MATCH($G1034,'Catalog'!$A:$A,0)),$B1034))</f>
        <v>34 XXL מגן קרסול עקב סגור</v>
      </c>
      <c r="I1034" s="8" t="str">
        <f aca="false">IF($G1034="","Unmatched","Matched")</f>
        <v>Matched</v>
      </c>
      <c r="J1034" s="8" t="n">
        <f aca="false">IF($G1034&lt;&gt;"",$G1034,$B1034)</f>
        <v>4413046</v>
      </c>
      <c r="K1034" s="8" t="str">
        <f aca="false">IF(COUNTIF($M$1:$M$10,$A1034)&gt;0,"Y","N")</f>
        <v>Y</v>
      </c>
    </row>
    <row r="1035" customFormat="false" ht="15" hidden="false" customHeight="true" outlineLevel="0" collapsed="false">
      <c r="A1035" s="8" t="s">
        <v>44</v>
      </c>
      <c r="B1035" s="8" t="s">
        <v>615</v>
      </c>
      <c r="C1035" s="19" t="n">
        <v>8</v>
      </c>
      <c r="D1035" s="19" t="n">
        <v>235.24</v>
      </c>
      <c r="E1035" s="19" t="n">
        <v>4</v>
      </c>
      <c r="F1035" s="19" t="n">
        <v>123.57</v>
      </c>
      <c r="G1035" s="8" t="n">
        <f aca="false">IFERROR(INDEX('TRANS'!$B:$B,MATCH($B1035,'TRANS'!$A:$A,0)),IFERROR(INDEX('TRANS'!$B:$B,MATCH(TRIM(SUBSTITUTE($B1035,CHAR(160)," ")),'TRANS'!$D:$D,0)),IFERROR(INDEX('Catalog'!$A:$A,MATCH($B1035,'Catalog'!$B:$B,0)),IFERROR(INDEX('Catalog'!$A:$A,MATCH(TRIM(SUBSTITUTE($B1035,CHAR(160)," ")),'Catalog'!$C:$C,0)),""))))</f>
        <v>4413490</v>
      </c>
      <c r="H1035" s="8" t="str">
        <f aca="false">IFERROR(INDEX('TRANS'!$C:$C,MATCH($B1035,'TRANS'!$A:$A,0)),IFERROR(INDEX('Catalog'!$B:$B,MATCH($G1035,'Catalog'!$A:$A,0)),$B1035))</f>
        <v>35B L מגן קרסול שחור</v>
      </c>
      <c r="I1035" s="8" t="str">
        <f aca="false">IF($G1035="","Unmatched","Matched")</f>
        <v>Matched</v>
      </c>
      <c r="J1035" s="8" t="n">
        <f aca="false">IF($G1035&lt;&gt;"",$G1035,$B1035)</f>
        <v>4413490</v>
      </c>
      <c r="K1035" s="8" t="str">
        <f aca="false">IF(COUNTIF($M$1:$M$10,$A1035)&gt;0,"Y","N")</f>
        <v>Y</v>
      </c>
    </row>
    <row r="1036" customFormat="false" ht="15" hidden="false" customHeight="true" outlineLevel="0" collapsed="false">
      <c r="A1036" s="8" t="s">
        <v>44</v>
      </c>
      <c r="B1036" s="8" t="s">
        <v>616</v>
      </c>
      <c r="C1036" s="19" t="n">
        <v>7</v>
      </c>
      <c r="D1036" s="19" t="n">
        <v>204.35</v>
      </c>
      <c r="E1036" s="19" t="n">
        <v>1</v>
      </c>
      <c r="F1036" s="19" t="n">
        <v>30.89</v>
      </c>
      <c r="G1036" s="8" t="n">
        <f aca="false">IFERROR(INDEX('TRANS'!$B:$B,MATCH($B1036,'TRANS'!$A:$A,0)),IFERROR(INDEX('TRANS'!$B:$B,MATCH(TRIM(SUBSTITUTE($B1036,CHAR(160)," ")),'TRANS'!$D:$D,0)),IFERROR(INDEX('Catalog'!$A:$A,MATCH($B1036,'Catalog'!$B:$B,0)),IFERROR(INDEX('Catalog'!$A:$A,MATCH(TRIM(SUBSTITUTE($B1036,CHAR(160)," ")),'Catalog'!$C:$C,0)),""))))</f>
        <v>4413492</v>
      </c>
      <c r="H1036" s="8" t="str">
        <f aca="false">IFERROR(INDEX('TRANS'!$C:$C,MATCH($B1036,'TRANS'!$A:$A,0)),IFERROR(INDEX('Catalog'!$B:$B,MATCH($G1036,'Catalog'!$A:$A,0)),$B1036))</f>
        <v>35B M מגן קרסול שחור</v>
      </c>
      <c r="I1036" s="8" t="str">
        <f aca="false">IF($G1036="","Unmatched","Matched")</f>
        <v>Matched</v>
      </c>
      <c r="J1036" s="8" t="n">
        <f aca="false">IF($G1036&lt;&gt;"",$G1036,$B1036)</f>
        <v>4413492</v>
      </c>
      <c r="K1036" s="8" t="str">
        <f aca="false">IF(COUNTIF($M$1:$M$10,$A1036)&gt;0,"Y","N")</f>
        <v>Y</v>
      </c>
    </row>
    <row r="1037" customFormat="false" ht="15" hidden="false" customHeight="true" outlineLevel="0" collapsed="false">
      <c r="A1037" s="8" t="s">
        <v>44</v>
      </c>
      <c r="B1037" s="8" t="s">
        <v>617</v>
      </c>
      <c r="C1037" s="19" t="n">
        <v>9</v>
      </c>
      <c r="D1037" s="19" t="n">
        <v>242.35</v>
      </c>
      <c r="E1037" s="19" t="n">
        <v>0</v>
      </c>
      <c r="F1037" s="19" t="n">
        <v>0</v>
      </c>
      <c r="G1037" s="8" t="n">
        <f aca="false">IFERROR(INDEX('TRANS'!$B:$B,MATCH($B1037,'TRANS'!$A:$A,0)),IFERROR(INDEX('TRANS'!$B:$B,MATCH(TRIM(SUBSTITUTE($B1037,CHAR(160)," ")),'TRANS'!$D:$D,0)),IFERROR(INDEX('Catalog'!$A:$A,MATCH($B1037,'Catalog'!$B:$B,0)),IFERROR(INDEX('Catalog'!$A:$A,MATCH(TRIM(SUBSTITUTE($B1037,CHAR(160)," ")),'Catalog'!$C:$C,0)),""))))</f>
        <v>4413493</v>
      </c>
      <c r="H1037" s="8" t="str">
        <f aca="false">IFERROR(INDEX('TRANS'!$C:$C,MATCH($B1037,'TRANS'!$A:$A,0)),IFERROR(INDEX('Catalog'!$B:$B,MATCH($G1037,'Catalog'!$A:$A,0)),$B1037))</f>
        <v>35B S מגן קרסול שחור</v>
      </c>
      <c r="I1037" s="8" t="str">
        <f aca="false">IF($G1037="","Unmatched","Matched")</f>
        <v>Matched</v>
      </c>
      <c r="J1037" s="8" t="n">
        <f aca="false">IF($G1037&lt;&gt;"",$G1037,$B1037)</f>
        <v>4413493</v>
      </c>
      <c r="K1037" s="8" t="str">
        <f aca="false">IF(COUNTIF($M$1:$M$10,$A1037)&gt;0,"Y","N")</f>
        <v>Y</v>
      </c>
    </row>
    <row r="1038" customFormat="false" ht="15" hidden="false" customHeight="true" outlineLevel="0" collapsed="false">
      <c r="A1038" s="8" t="s">
        <v>44</v>
      </c>
      <c r="B1038" s="8" t="s">
        <v>618</v>
      </c>
      <c r="C1038" s="19" t="n">
        <v>7</v>
      </c>
      <c r="D1038" s="19" t="n">
        <v>192.46</v>
      </c>
      <c r="E1038" s="19" t="n">
        <v>1</v>
      </c>
      <c r="F1038" s="19" t="n">
        <v>30.89</v>
      </c>
      <c r="G1038" s="8" t="n">
        <f aca="false">IFERROR(INDEX('TRANS'!$B:$B,MATCH($B1038,'TRANS'!$A:$A,0)),IFERROR(INDEX('TRANS'!$B:$B,MATCH(TRIM(SUBSTITUTE($B1038,CHAR(160)," ")),'TRANS'!$D:$D,0)),IFERROR(INDEX('Catalog'!$A:$A,MATCH($B1038,'Catalog'!$B:$B,0)),IFERROR(INDEX('Catalog'!$A:$A,MATCH(TRIM(SUBSTITUTE($B1038,CHAR(160)," ")),'Catalog'!$C:$C,0)),""))))</f>
        <v>4413491</v>
      </c>
      <c r="H1038" s="8" t="str">
        <f aca="false">IFERROR(INDEX('TRANS'!$C:$C,MATCH($B1038,'TRANS'!$A:$A,0)),IFERROR(INDEX('Catalog'!$B:$B,MATCH($G1038,'Catalog'!$A:$A,0)),$B1038))</f>
        <v>35B XL מגן קרסול שחור</v>
      </c>
      <c r="I1038" s="8" t="str">
        <f aca="false">IF($G1038="","Unmatched","Matched")</f>
        <v>Matched</v>
      </c>
      <c r="J1038" s="8" t="n">
        <f aca="false">IF($G1038&lt;&gt;"",$G1038,$B1038)</f>
        <v>4413491</v>
      </c>
      <c r="K1038" s="8" t="str">
        <f aca="false">IF(COUNTIF($M$1:$M$10,$A1038)&gt;0,"Y","N")</f>
        <v>Y</v>
      </c>
    </row>
    <row r="1039" customFormat="false" ht="15" hidden="false" customHeight="true" outlineLevel="0" collapsed="false">
      <c r="A1039" s="8" t="s">
        <v>44</v>
      </c>
      <c r="B1039" s="8" t="s">
        <v>341</v>
      </c>
      <c r="C1039" s="19" t="n">
        <v>2</v>
      </c>
      <c r="D1039" s="19" t="n">
        <v>330</v>
      </c>
      <c r="E1039" s="19" t="n">
        <v>1</v>
      </c>
      <c r="F1039" s="19" t="n">
        <v>212.75</v>
      </c>
      <c r="G1039" s="8" t="str">
        <f aca="false">IFERROR(INDEX('TRANS'!$B:$B,MATCH($B1039,'TRANS'!$A:$A,0)),IFERROR(INDEX('TRANS'!$B:$B,MATCH(TRIM(SUBSTITUTE($B1039,CHAR(160)," ")),'TRANS'!$D:$D,0)),IFERROR(INDEX('Catalog'!$A:$A,MATCH($B1039,'Catalog'!$B:$B,0)),IFERROR(INDEX('Catalog'!$A:$A,MATCH(TRIM(SUBSTITUTE($B1039,CHAR(160)," ")),'Catalog'!$C:$C,0)),""))))</f>
        <v/>
      </c>
      <c r="H1039" s="8" t="str">
        <f aca="false">IFERROR(INDEX('TRANS'!$C:$C,MATCH($B1039,'TRANS'!$A:$A,0)),IFERROR(INDEX('Catalog'!$B:$B,MATCH($G1039,'Catalog'!$A:$A,0)),$B1039))</f>
        <v>355 XL</v>
      </c>
      <c r="I1039" s="8" t="str">
        <f aca="false">IF($G1039="","Unmatched","Matched")</f>
        <v>Unmatched</v>
      </c>
      <c r="J1039" s="8" t="str">
        <f aca="false">IF($G1039&lt;&gt;"",$G1039,$B1039)</f>
        <v>355 XL</v>
      </c>
      <c r="K1039" s="8" t="str">
        <f aca="false">IF(COUNTIF($M$1:$M$10,$A1039)&gt;0,"Y","N")</f>
        <v>Y</v>
      </c>
    </row>
    <row r="1040" customFormat="false" ht="15" hidden="false" customHeight="true" outlineLevel="0" collapsed="false">
      <c r="A1040" s="8" t="s">
        <v>44</v>
      </c>
      <c r="B1040" s="8" t="s">
        <v>986</v>
      </c>
      <c r="C1040" s="19" t="n">
        <v>6</v>
      </c>
      <c r="D1040" s="19" t="n">
        <v>123.43</v>
      </c>
      <c r="E1040" s="19" t="n">
        <v>2</v>
      </c>
      <c r="F1040" s="19" t="n">
        <v>41.15</v>
      </c>
      <c r="G1040" s="8" t="n">
        <f aca="false">IFERROR(INDEX('TRANS'!$B:$B,MATCH($B1040,'TRANS'!$A:$A,0)),IFERROR(INDEX('TRANS'!$B:$B,MATCH(TRIM(SUBSTITUTE($B1040,CHAR(160)," ")),'TRANS'!$D:$D,0)),IFERROR(INDEX('Catalog'!$A:$A,MATCH($B1040,'Catalog'!$B:$B,0)),IFERROR(INDEX('Catalog'!$A:$A,MATCH(TRIM(SUBSTITUTE($B1040,CHAR(160)," ")),'Catalog'!$C:$C,0)),""))))</f>
        <v>4413066</v>
      </c>
      <c r="H1040" s="8" t="str">
        <f aca="false">IFERROR(INDEX('TRANS'!$C:$C,MATCH($B1040,'TRANS'!$A:$A,0)),IFERROR(INDEX('Catalog'!$B:$B,MATCH($G1040,'Catalog'!$A:$A,0)),$B1040))</f>
        <v>3677S-מד.לשחרור לחץ א.הבוניון</v>
      </c>
      <c r="I1040" s="8" t="str">
        <f aca="false">IF($G1040="","Unmatched","Matched")</f>
        <v>Matched</v>
      </c>
      <c r="J1040" s="8" t="n">
        <f aca="false">IF($G1040&lt;&gt;"",$G1040,$B1040)</f>
        <v>4413066</v>
      </c>
      <c r="K1040" s="8" t="str">
        <f aca="false">IF(COUNTIF($M$1:$M$10,$A1040)&gt;0,"Y","N")</f>
        <v>Y</v>
      </c>
    </row>
    <row r="1041" customFormat="false" ht="15" hidden="false" customHeight="true" outlineLevel="0" collapsed="false">
      <c r="A1041" s="8" t="s">
        <v>44</v>
      </c>
      <c r="B1041" s="8" t="s">
        <v>805</v>
      </c>
      <c r="C1041" s="19" t="n">
        <v>7</v>
      </c>
      <c r="D1041" s="19" t="n">
        <v>262.18</v>
      </c>
      <c r="E1041" s="19" t="n">
        <v>1</v>
      </c>
      <c r="F1041" s="19" t="n">
        <v>37.45</v>
      </c>
      <c r="G1041" s="8" t="n">
        <f aca="false">IFERROR(INDEX('TRANS'!$B:$B,MATCH($B1041,'TRANS'!$A:$A,0)),IFERROR(INDEX('TRANS'!$B:$B,MATCH(TRIM(SUBSTITUTE($B1041,CHAR(160)," ")),'TRANS'!$D:$D,0)),IFERROR(INDEX('Catalog'!$A:$A,MATCH($B1041,'Catalog'!$B:$B,0)),IFERROR(INDEX('Catalog'!$A:$A,MATCH(TRIM(SUBSTITUTE($B1041,CHAR(160)," ")),'Catalog'!$C:$C,0)),""))))</f>
        <v>4413103</v>
      </c>
      <c r="H1041" s="8" t="str">
        <f aca="false">IFERROR(INDEX('TRANS'!$C:$C,MATCH($B1041,'TRANS'!$A:$A,0)),IFERROR(INDEX('Catalog'!$B:$B,MATCH($G1041,'Catalog'!$A:$A,0)),$B1041))</f>
        <v>45E Mמגן ברך ארוך לבן</v>
      </c>
      <c r="I1041" s="8" t="str">
        <f aca="false">IF($G1041="","Unmatched","Matched")</f>
        <v>Matched</v>
      </c>
      <c r="J1041" s="8" t="n">
        <f aca="false">IF($G1041&lt;&gt;"",$G1041,$B1041)</f>
        <v>4413103</v>
      </c>
      <c r="K1041" s="8" t="str">
        <f aca="false">IF(COUNTIF($M$1:$M$10,$A1041)&gt;0,"Y","N")</f>
        <v>Y</v>
      </c>
    </row>
    <row r="1042" customFormat="false" ht="15" hidden="false" customHeight="true" outlineLevel="0" collapsed="false">
      <c r="A1042" s="8" t="s">
        <v>44</v>
      </c>
      <c r="B1042" s="8" t="s">
        <v>806</v>
      </c>
      <c r="C1042" s="19" t="n">
        <v>4</v>
      </c>
      <c r="D1042" s="19" t="n">
        <v>149.87</v>
      </c>
      <c r="E1042" s="19" t="n">
        <v>1</v>
      </c>
      <c r="F1042" s="19" t="n">
        <v>37.45</v>
      </c>
      <c r="G1042" s="8" t="n">
        <f aca="false">IFERROR(INDEX('TRANS'!$B:$B,MATCH($B1042,'TRANS'!$A:$A,0)),IFERROR(INDEX('TRANS'!$B:$B,MATCH(TRIM(SUBSTITUTE($B1042,CHAR(160)," ")),'TRANS'!$D:$D,0)),IFERROR(INDEX('Catalog'!$A:$A,MATCH($B1042,'Catalog'!$B:$B,0)),IFERROR(INDEX('Catalog'!$A:$A,MATCH(TRIM(SUBSTITUTE($B1042,CHAR(160)," ")),'Catalog'!$C:$C,0)),""))))</f>
        <v>4413101</v>
      </c>
      <c r="H1042" s="8" t="str">
        <f aca="false">IFERROR(INDEX('TRANS'!$C:$C,MATCH($B1042,'TRANS'!$A:$A,0)),IFERROR(INDEX('Catalog'!$B:$B,MATCH($G1042,'Catalog'!$A:$A,0)),$B1042))</f>
        <v>45E Sמגן ברך ארוך לבן</v>
      </c>
      <c r="I1042" s="8" t="str">
        <f aca="false">IF($G1042="","Unmatched","Matched")</f>
        <v>Matched</v>
      </c>
      <c r="J1042" s="8" t="n">
        <f aca="false">IF($G1042&lt;&gt;"",$G1042,$B1042)</f>
        <v>4413101</v>
      </c>
      <c r="K1042" s="8" t="str">
        <f aca="false">IF(COUNTIF($M$1:$M$10,$A1042)&gt;0,"Y","N")</f>
        <v>Y</v>
      </c>
    </row>
    <row r="1043" customFormat="false" ht="15" hidden="false" customHeight="true" outlineLevel="0" collapsed="false">
      <c r="A1043" s="8" t="s">
        <v>44</v>
      </c>
      <c r="B1043" s="8" t="s">
        <v>468</v>
      </c>
      <c r="C1043" s="19" t="n">
        <v>2</v>
      </c>
      <c r="D1043" s="19" t="n">
        <v>330</v>
      </c>
      <c r="E1043" s="19" t="n">
        <v>0</v>
      </c>
      <c r="F1043" s="19" t="n">
        <v>0</v>
      </c>
      <c r="G1043" s="8" t="str">
        <f aca="false">IFERROR(INDEX('TRANS'!$B:$B,MATCH($B1043,'TRANS'!$A:$A,0)),IFERROR(INDEX('TRANS'!$B:$B,MATCH(TRIM(SUBSTITUTE($B1043,CHAR(160)," ")),'TRANS'!$D:$D,0)),IFERROR(INDEX('Catalog'!$A:$A,MATCH($B1043,'Catalog'!$B:$B,0)),IFERROR(INDEX('Catalog'!$A:$A,MATCH(TRIM(SUBSTITUTE($B1043,CHAR(160)," ")),'Catalog'!$C:$C,0)),""))))</f>
        <v/>
      </c>
      <c r="H1043" s="8" t="str">
        <f aca="false">IFERROR(INDEX('TRANS'!$C:$C,MATCH($B1043,'TRANS'!$A:$A,0)),IFERROR(INDEX('Catalog'!$B:$B,MATCH($G1043,'Catalog'!$A:$A,0)),$B1043))</f>
        <v>499 S</v>
      </c>
      <c r="I1043" s="8" t="str">
        <f aca="false">IF($G1043="","Unmatched","Matched")</f>
        <v>Unmatched</v>
      </c>
      <c r="J1043" s="8" t="str">
        <f aca="false">IF($G1043&lt;&gt;"",$G1043,$B1043)</f>
        <v>499 S</v>
      </c>
      <c r="K1043" s="8" t="str">
        <f aca="false">IF(COUNTIF($M$1:$M$10,$A1043)&gt;0,"Y","N")</f>
        <v>Y</v>
      </c>
    </row>
    <row r="1044" customFormat="false" ht="15" hidden="false" customHeight="true" outlineLevel="0" collapsed="false">
      <c r="A1044" s="8" t="s">
        <v>44</v>
      </c>
      <c r="B1044" s="8" t="s">
        <v>209</v>
      </c>
      <c r="C1044" s="19" t="n">
        <v>5</v>
      </c>
      <c r="D1044" s="19" t="n">
        <v>429.08</v>
      </c>
      <c r="E1044" s="19" t="n">
        <v>0</v>
      </c>
      <c r="F1044" s="19" t="n">
        <v>0</v>
      </c>
      <c r="G1044" s="8" t="str">
        <f aca="false">IFERROR(INDEX('TRANS'!$B:$B,MATCH($B1044,'TRANS'!$A:$A,0)),IFERROR(INDEX('TRANS'!$B:$B,MATCH(TRIM(SUBSTITUTE($B1044,CHAR(160)," ")),'TRANS'!$D:$D,0)),IFERROR(INDEX('Catalog'!$A:$A,MATCH($B1044,'Catalog'!$B:$B,0)),IFERROR(INDEX('Catalog'!$A:$A,MATCH(TRIM(SUBSTITUTE($B1044,CHAR(160)," ")),'Catalog'!$C:$C,0)),""))))</f>
        <v/>
      </c>
      <c r="H1044" s="8" t="str">
        <f aca="false">IFERROR(INDEX('TRANS'!$C:$C,MATCH($B1044,'TRANS'!$A:$A,0)),IFERROR(INDEX('Catalog'!$B:$B,MATCH($G1044,'Catalog'!$A:$A,0)),$B1044))</f>
        <v>50 S</v>
      </c>
      <c r="I1044" s="8" t="str">
        <f aca="false">IF($G1044="","Unmatched","Matched")</f>
        <v>Unmatched</v>
      </c>
      <c r="J1044" s="8" t="str">
        <f aca="false">IF($G1044&lt;&gt;"",$G1044,$B1044)</f>
        <v>50 S</v>
      </c>
      <c r="K1044" s="8" t="str">
        <f aca="false">IF(COUNTIF($M$1:$M$10,$A1044)&gt;0,"Y","N")</f>
        <v>Y</v>
      </c>
    </row>
    <row r="1045" customFormat="false" ht="15" hidden="false" customHeight="true" outlineLevel="0" collapsed="false">
      <c r="A1045" s="8" t="s">
        <v>44</v>
      </c>
      <c r="B1045" s="8" t="s">
        <v>160</v>
      </c>
      <c r="C1045" s="19" t="n">
        <v>7</v>
      </c>
      <c r="D1045" s="19" t="n">
        <v>651.15</v>
      </c>
      <c r="E1045" s="19" t="n">
        <v>2</v>
      </c>
      <c r="F1045" s="19" t="n">
        <v>222.07</v>
      </c>
      <c r="G1045" s="8" t="str">
        <f aca="false">IFERROR(INDEX('TRANS'!$B:$B,MATCH($B1045,'TRANS'!$A:$A,0)),IFERROR(INDEX('TRANS'!$B:$B,MATCH(TRIM(SUBSTITUTE($B1045,CHAR(160)," ")),'TRANS'!$D:$D,0)),IFERROR(INDEX('Catalog'!$A:$A,MATCH($B1045,'Catalog'!$B:$B,0)),IFERROR(INDEX('Catalog'!$A:$A,MATCH(TRIM(SUBSTITUTE($B1045,CHAR(160)," ")),'Catalog'!$C:$C,0)),""))))</f>
        <v/>
      </c>
      <c r="H1045" s="8" t="str">
        <f aca="false">IFERROR(INDEX('TRANS'!$C:$C,MATCH($B1045,'TRANS'!$A:$A,0)),IFERROR(INDEX('Catalog'!$B:$B,MATCH($G1045,'Catalog'!$A:$A,0)),$B1045))</f>
        <v>50 XXL</v>
      </c>
      <c r="I1045" s="8" t="str">
        <f aca="false">IF($G1045="","Unmatched","Matched")</f>
        <v>Unmatched</v>
      </c>
      <c r="J1045" s="8" t="str">
        <f aca="false">IF($G1045&lt;&gt;"",$G1045,$B1045)</f>
        <v>50 XXL</v>
      </c>
      <c r="K1045" s="8" t="str">
        <f aca="false">IF(COUNTIF($M$1:$M$10,$A1045)&gt;0,"Y","N")</f>
        <v>Y</v>
      </c>
    </row>
    <row r="1046" customFormat="false" ht="15" hidden="false" customHeight="true" outlineLevel="0" collapsed="false">
      <c r="A1046" s="8" t="s">
        <v>44</v>
      </c>
      <c r="B1046" s="8" t="s">
        <v>285</v>
      </c>
      <c r="C1046" s="19" t="n">
        <v>1</v>
      </c>
      <c r="D1046" s="19" t="n">
        <v>180</v>
      </c>
      <c r="E1046" s="19" t="n">
        <v>0</v>
      </c>
      <c r="F1046" s="19" t="n">
        <v>0</v>
      </c>
      <c r="G1046" s="8" t="str">
        <f aca="false">IFERROR(INDEX('TRANS'!$B:$B,MATCH($B1046,'TRANS'!$A:$A,0)),IFERROR(INDEX('TRANS'!$B:$B,MATCH(TRIM(SUBSTITUTE($B1046,CHAR(160)," ")),'TRANS'!$D:$D,0)),IFERROR(INDEX('Catalog'!$A:$A,MATCH($B1046,'Catalog'!$B:$B,0)),IFERROR(INDEX('Catalog'!$A:$A,MATCH(TRIM(SUBSTITUTE($B1046,CHAR(160)," ")),'Catalog'!$C:$C,0)),""))))</f>
        <v/>
      </c>
      <c r="H1046" s="8" t="str">
        <f aca="false">IFERROR(INDEX('TRANS'!$C:$C,MATCH($B1046,'TRANS'!$A:$A,0)),IFERROR(INDEX('Catalog'!$B:$B,MATCH($G1046,'Catalog'!$A:$A,0)),$B1046))</f>
        <v>59DB L</v>
      </c>
      <c r="I1046" s="8" t="str">
        <f aca="false">IF($G1046="","Unmatched","Matched")</f>
        <v>Unmatched</v>
      </c>
      <c r="J1046" s="8" t="str">
        <f aca="false">IF($G1046&lt;&gt;"",$G1046,$B1046)</f>
        <v>59DB L</v>
      </c>
      <c r="K1046" s="8" t="str">
        <f aca="false">IF(COUNTIF($M$1:$M$10,$A1046)&gt;0,"Y","N")</f>
        <v>Y</v>
      </c>
    </row>
    <row r="1047" customFormat="false" ht="15" hidden="false" customHeight="true" outlineLevel="0" collapsed="false">
      <c r="A1047" s="8" t="s">
        <v>44</v>
      </c>
      <c r="B1047" s="8" t="s">
        <v>286</v>
      </c>
      <c r="C1047" s="19" t="n">
        <v>1</v>
      </c>
      <c r="D1047" s="19" t="n">
        <v>180</v>
      </c>
      <c r="E1047" s="19" t="n">
        <v>0</v>
      </c>
      <c r="F1047" s="19" t="n">
        <v>0</v>
      </c>
      <c r="G1047" s="8" t="str">
        <f aca="false">IFERROR(INDEX('TRANS'!$B:$B,MATCH($B1047,'TRANS'!$A:$A,0)),IFERROR(INDEX('TRANS'!$B:$B,MATCH(TRIM(SUBSTITUTE($B1047,CHAR(160)," ")),'TRANS'!$D:$D,0)),IFERROR(INDEX('Catalog'!$A:$A,MATCH($B1047,'Catalog'!$B:$B,0)),IFERROR(INDEX('Catalog'!$A:$A,MATCH(TRIM(SUBSTITUTE($B1047,CHAR(160)," ")),'Catalog'!$C:$C,0)),""))))</f>
        <v/>
      </c>
      <c r="H1047" s="8" t="str">
        <f aca="false">IFERROR(INDEX('TRANS'!$C:$C,MATCH($B1047,'TRANS'!$A:$A,0)),IFERROR(INDEX('Catalog'!$B:$B,MATCH($G1047,'Catalog'!$A:$A,0)),$B1047))</f>
        <v>59DB M</v>
      </c>
      <c r="I1047" s="8" t="str">
        <f aca="false">IF($G1047="","Unmatched","Matched")</f>
        <v>Unmatched</v>
      </c>
      <c r="J1047" s="8" t="str">
        <f aca="false">IF($G1047&lt;&gt;"",$G1047,$B1047)</f>
        <v>59DB M</v>
      </c>
      <c r="K1047" s="8" t="str">
        <f aca="false">IF(COUNTIF($M$1:$M$10,$A1047)&gt;0,"Y","N")</f>
        <v>Y</v>
      </c>
    </row>
    <row r="1048" customFormat="false" ht="15" hidden="false" customHeight="true" outlineLevel="0" collapsed="false">
      <c r="A1048" s="8" t="s">
        <v>44</v>
      </c>
      <c r="B1048" s="8" t="s">
        <v>119</v>
      </c>
      <c r="C1048" s="19" t="n">
        <v>0</v>
      </c>
      <c r="D1048" s="19" t="n">
        <v>0</v>
      </c>
      <c r="E1048" s="19" t="n">
        <v>10</v>
      </c>
      <c r="F1048" s="19" t="n">
        <v>0</v>
      </c>
      <c r="G1048" s="8" t="str">
        <f aca="false">IFERROR(INDEX('TRANS'!$B:$B,MATCH($B1048,'TRANS'!$A:$A,0)),IFERROR(INDEX('TRANS'!$B:$B,MATCH(TRIM(SUBSTITUTE($B1048,CHAR(160)," ")),'TRANS'!$D:$D,0)),IFERROR(INDEX('Catalog'!$A:$A,MATCH($B1048,'Catalog'!$B:$B,0)),IFERROR(INDEX('Catalog'!$A:$A,MATCH(TRIM(SUBSTITUTE($B1048,CHAR(160)," ")),'Catalog'!$C:$C,0)),""))))</f>
        <v/>
      </c>
      <c r="H1048" s="8" t="str">
        <f aca="false">IFERROR(INDEX('TRANS'!$C:$C,MATCH($B1048,'TRANS'!$A:$A,0)),IFERROR(INDEX('Catalog'!$B:$B,MATCH($G1048,'Catalog'!$A:$A,0)),$B1048))</f>
        <v>67600000</v>
      </c>
      <c r="I1048" s="8" t="str">
        <f aca="false">IF($G1048="","Unmatched","Matched")</f>
        <v>Unmatched</v>
      </c>
      <c r="J1048" s="8" t="str">
        <f aca="false">IF($G1048&lt;&gt;"",$G1048,$B1048)</f>
        <v>67600000</v>
      </c>
      <c r="K1048" s="8" t="str">
        <f aca="false">IF(COUNTIF($M$1:$M$10,$A1048)&gt;0,"Y","N")</f>
        <v>Y</v>
      </c>
    </row>
    <row r="1049" customFormat="false" ht="15" hidden="false" customHeight="true" outlineLevel="0" collapsed="false">
      <c r="A1049" s="8" t="s">
        <v>44</v>
      </c>
      <c r="B1049" s="8" t="s">
        <v>469</v>
      </c>
      <c r="C1049" s="19" t="n">
        <v>0</v>
      </c>
      <c r="D1049" s="19" t="n">
        <v>-4.02999999999997</v>
      </c>
      <c r="E1049" s="19" t="n">
        <v>0</v>
      </c>
      <c r="F1049" s="19" t="n">
        <v>-101.74</v>
      </c>
      <c r="G1049" s="8" t="str">
        <f aca="false">IFERROR(INDEX('TRANS'!$B:$B,MATCH($B1049,'TRANS'!$A:$A,0)),IFERROR(INDEX('TRANS'!$B:$B,MATCH(TRIM(SUBSTITUTE($B1049,CHAR(160)," ")),'TRANS'!$D:$D,0)),IFERROR(INDEX('Catalog'!$A:$A,MATCH($B1049,'Catalog'!$B:$B,0)),IFERROR(INDEX('Catalog'!$A:$A,MATCH(TRIM(SUBSTITUTE($B1049,CHAR(160)," ")),'Catalog'!$C:$C,0)),""))))</f>
        <v/>
      </c>
      <c r="H1049" s="8" t="str">
        <f aca="false">IFERROR(INDEX('TRANS'!$C:$C,MATCH($B1049,'TRANS'!$A:$A,0)),IFERROR(INDEX('Catalog'!$B:$B,MATCH($G1049,'Catalog'!$A:$A,0)),$B1049))</f>
        <v>70 M</v>
      </c>
      <c r="I1049" s="8" t="str">
        <f aca="false">IF($G1049="","Unmatched","Matched")</f>
        <v>Unmatched</v>
      </c>
      <c r="J1049" s="8" t="str">
        <f aca="false">IF($G1049&lt;&gt;"",$G1049,$B1049)</f>
        <v>70 M</v>
      </c>
      <c r="K1049" s="8" t="str">
        <f aca="false">IF(COUNTIF($M$1:$M$10,$A1049)&gt;0,"Y","N")</f>
        <v>Y</v>
      </c>
    </row>
    <row r="1050" customFormat="false" ht="15" hidden="false" customHeight="true" outlineLevel="0" collapsed="false">
      <c r="A1050" s="8" t="s">
        <v>44</v>
      </c>
      <c r="B1050" s="8" t="s">
        <v>987</v>
      </c>
      <c r="C1050" s="19" t="n">
        <v>2</v>
      </c>
      <c r="D1050" s="19" t="n">
        <v>328.02</v>
      </c>
      <c r="E1050" s="19" t="n">
        <v>3</v>
      </c>
      <c r="F1050" s="19" t="n">
        <v>492.03</v>
      </c>
      <c r="G1050" s="8" t="n">
        <f aca="false">IFERROR(INDEX('TRANS'!$B:$B,MATCH($B1050,'TRANS'!$A:$A,0)),IFERROR(INDEX('TRANS'!$B:$B,MATCH(TRIM(SUBSTITUTE($B1050,CHAR(160)," ")),'TRANS'!$D:$D,0)),IFERROR(INDEX('Catalog'!$A:$A,MATCH($B1050,'Catalog'!$B:$B,0)),IFERROR(INDEX('Catalog'!$A:$A,MATCH(TRIM(SUBSTITUTE($B1050,CHAR(160)," ")),'Catalog'!$C:$C,0)),""))))</f>
        <v>4413126</v>
      </c>
      <c r="H1050" s="8" t="str">
        <f aca="false">IFERROR(INDEX('TRANS'!$C:$C,MATCH($B1050,'TRANS'!$A:$A,0)),IFERROR(INDEX('Catalog'!$B:$B,MATCH($G1050,'Catalog'!$A:$A,0)),$B1050))</f>
        <v>75 Sמיישר כתף יציב יישור גב צר</v>
      </c>
      <c r="I1050" s="8" t="str">
        <f aca="false">IF($G1050="","Unmatched","Matched")</f>
        <v>Matched</v>
      </c>
      <c r="J1050" s="8" t="n">
        <f aca="false">IF($G1050&lt;&gt;"",$G1050,$B1050)</f>
        <v>4413126</v>
      </c>
      <c r="K1050" s="8" t="str">
        <f aca="false">IF(COUNTIF($M$1:$M$10,$A1050)&gt;0,"Y","N")</f>
        <v>Y</v>
      </c>
    </row>
    <row r="1051" customFormat="false" ht="15" hidden="false" customHeight="true" outlineLevel="0" collapsed="false">
      <c r="A1051" s="8" t="s">
        <v>44</v>
      </c>
      <c r="B1051" s="8" t="s">
        <v>693</v>
      </c>
      <c r="C1051" s="19" t="n">
        <v>1</v>
      </c>
      <c r="D1051" s="19" t="n">
        <v>164.01</v>
      </c>
      <c r="E1051" s="19" t="n">
        <v>1</v>
      </c>
      <c r="F1051" s="19" t="n">
        <v>164.01</v>
      </c>
      <c r="G1051" s="8" t="n">
        <f aca="false">IFERROR(INDEX('TRANS'!$B:$B,MATCH($B1051,'TRANS'!$A:$A,0)),IFERROR(INDEX('TRANS'!$B:$B,MATCH(TRIM(SUBSTITUTE($B1051,CHAR(160)," ")),'TRANS'!$D:$D,0)),IFERROR(INDEX('Catalog'!$A:$A,MATCH($B1051,'Catalog'!$B:$B,0)),IFERROR(INDEX('Catalog'!$A:$A,MATCH(TRIM(SUBSTITUTE($B1051,CHAR(160)," ")),'Catalog'!$C:$C,0)),""))))</f>
        <v>4413130</v>
      </c>
      <c r="H1051" s="8" t="str">
        <f aca="false">IFERROR(INDEX('TRANS'!$C:$C,MATCH($B1051,'TRANS'!$A:$A,0)),IFERROR(INDEX('Catalog'!$B:$B,MATCH($G1051,'Catalog'!$A:$A,0)),$B1051))</f>
        <v>75  XXL מיישר כתף יציב ישור צר</v>
      </c>
      <c r="I1051" s="8" t="str">
        <f aca="false">IF($G1051="","Unmatched","Matched")</f>
        <v>Matched</v>
      </c>
      <c r="J1051" s="8" t="n">
        <f aca="false">IF($G1051&lt;&gt;"",$G1051,$B1051)</f>
        <v>4413130</v>
      </c>
      <c r="K1051" s="8" t="str">
        <f aca="false">IF(COUNTIF($M$1:$M$10,$A1051)&gt;0,"Y","N")</f>
        <v>Y</v>
      </c>
    </row>
    <row r="1052" customFormat="false" ht="15" hidden="false" customHeight="true" outlineLevel="0" collapsed="false">
      <c r="A1052" s="8" t="s">
        <v>44</v>
      </c>
      <c r="B1052" s="8" t="s">
        <v>885</v>
      </c>
      <c r="C1052" s="19" t="n">
        <v>16</v>
      </c>
      <c r="D1052" s="19" t="n">
        <v>172.86</v>
      </c>
      <c r="E1052" s="19" t="n">
        <v>0</v>
      </c>
      <c r="F1052" s="19" t="n">
        <v>0</v>
      </c>
      <c r="G1052" s="8" t="n">
        <f aca="false">IFERROR(INDEX('TRANS'!$B:$B,MATCH($B1052,'TRANS'!$A:$A,0)),IFERROR(INDEX('TRANS'!$B:$B,MATCH(TRIM(SUBSTITUTE($B1052,CHAR(160)," ")),'TRANS'!$D:$D,0)),IFERROR(INDEX('Catalog'!$A:$A,MATCH($B1052,'Catalog'!$B:$B,0)),IFERROR(INDEX('Catalog'!$A:$A,MATCH(TRIM(SUBSTITUTE($B1052,CHAR(160)," ")),'Catalog'!$C:$C,0)),""))))</f>
        <v>4422034</v>
      </c>
      <c r="H1052" s="8" t="str">
        <f aca="false">IFERROR(INDEX('TRANS'!$C:$C,MATCH($B1052,'TRANS'!$A:$A,0)),IFERROR(INDEX('Catalog'!$B:$B,MATCH($G1052,'Catalog'!$A:$A,0)),$B1052))</f>
        <v>807CB-P תחבושת נצמדת ורוד 20ממ</v>
      </c>
      <c r="I1052" s="8" t="str">
        <f aca="false">IF($G1052="","Unmatched","Matched")</f>
        <v>Matched</v>
      </c>
      <c r="J1052" s="8" t="n">
        <f aca="false">IF($G1052&lt;&gt;"",$G1052,$B1052)</f>
        <v>4422034</v>
      </c>
      <c r="K1052" s="8" t="str">
        <f aca="false">IF(COUNTIF($M$1:$M$10,$A1052)&gt;0,"Y","N")</f>
        <v>Y</v>
      </c>
    </row>
    <row r="1053" customFormat="false" ht="15" hidden="false" customHeight="true" outlineLevel="0" collapsed="false">
      <c r="A1053" s="8" t="s">
        <v>44</v>
      </c>
      <c r="B1053" s="8" t="s">
        <v>733</v>
      </c>
      <c r="C1053" s="19" t="n">
        <v>13</v>
      </c>
      <c r="D1053" s="19" t="n">
        <v>503.87</v>
      </c>
      <c r="E1053" s="19" t="n">
        <v>3</v>
      </c>
      <c r="F1053" s="19" t="n">
        <v>119.39</v>
      </c>
      <c r="G1053" s="8" t="n">
        <f aca="false">IFERROR(INDEX('TRANS'!$B:$B,MATCH($B1053,'TRANS'!$A:$A,0)),IFERROR(INDEX('TRANS'!$B:$B,MATCH(TRIM(SUBSTITUTE($B1053,CHAR(160)," ")),'TRANS'!$D:$D,0)),IFERROR(INDEX('Catalog'!$A:$A,MATCH($B1053,'Catalog'!$B:$B,0)),IFERROR(INDEX('Catalog'!$A:$A,MATCH(TRIM(SUBSTITUTE($B1053,CHAR(160)," ")),'Catalog'!$C:$C,0)),""))))</f>
        <v>4408208</v>
      </c>
      <c r="H1053" s="8" t="str">
        <f aca="false">IFERROR(INDEX('TRANS'!$C:$C,MATCH($B1053,'TRANS'!$A:$A,0)),IFERROR(INDEX('Catalog'!$B:$B,MATCH($G1053,'Catalog'!$A:$A,0)),$B1053))</f>
        <v>AC91 חבק טניס</v>
      </c>
      <c r="I1053" s="8" t="str">
        <f aca="false">IF($G1053="","Unmatched","Matched")</f>
        <v>Matched</v>
      </c>
      <c r="J1053" s="8" t="n">
        <f aca="false">IF($G1053&lt;&gt;"",$G1053,$B1053)</f>
        <v>4408208</v>
      </c>
      <c r="K1053" s="8" t="str">
        <f aca="false">IF(COUNTIF($M$1:$M$10,$A1053)&gt;0,"Y","N")</f>
        <v>Y</v>
      </c>
    </row>
    <row r="1054" customFormat="false" ht="15" hidden="false" customHeight="true" outlineLevel="0" collapsed="false">
      <c r="A1054" s="8" t="s">
        <v>44</v>
      </c>
      <c r="B1054" s="8" t="s">
        <v>536</v>
      </c>
      <c r="C1054" s="19" t="n">
        <v>-3</v>
      </c>
      <c r="D1054" s="19" t="n">
        <v>-106.72</v>
      </c>
      <c r="E1054" s="19" t="n">
        <v>0</v>
      </c>
      <c r="F1054" s="19" t="n">
        <v>0</v>
      </c>
      <c r="G1054" s="8" t="str">
        <f aca="false">IFERROR(INDEX('TRANS'!$B:$B,MATCH($B1054,'TRANS'!$A:$A,0)),IFERROR(INDEX('TRANS'!$B:$B,MATCH(TRIM(SUBSTITUTE($B1054,CHAR(160)," ")),'TRANS'!$D:$D,0)),IFERROR(INDEX('Catalog'!$A:$A,MATCH($B1054,'Catalog'!$B:$B,0)),IFERROR(INDEX('Catalog'!$A:$A,MATCH(TRIM(SUBSTITUTE($B1054,CHAR(160)," ")),'Catalog'!$C:$C,0)),""))))</f>
        <v/>
      </c>
      <c r="H1054" s="8" t="str">
        <f aca="false">IFERROR(INDEX('TRANS'!$C:$C,MATCH($B1054,'TRANS'!$A:$A,0)),IFERROR(INDEX('Catalog'!$B:$B,MATCH($G1054,'Catalog'!$A:$A,0)),$B1054))</f>
        <v>FC341 0</v>
      </c>
      <c r="I1054" s="8" t="str">
        <f aca="false">IF($G1054="","Unmatched","Matched")</f>
        <v>Unmatched</v>
      </c>
      <c r="J1054" s="8" t="str">
        <f aca="false">IF($G1054&lt;&gt;"",$G1054,$B1054)</f>
        <v>FC341 0</v>
      </c>
      <c r="K1054" s="8" t="str">
        <f aca="false">IF(COUNTIF($M$1:$M$10,$A1054)&gt;0,"Y","N")</f>
        <v>Y</v>
      </c>
    </row>
    <row r="1055" customFormat="false" ht="15" hidden="false" customHeight="true" outlineLevel="0" collapsed="false">
      <c r="A1055" s="8" t="s">
        <v>44</v>
      </c>
      <c r="B1055" s="8" t="s">
        <v>841</v>
      </c>
      <c r="C1055" s="19" t="n">
        <v>5</v>
      </c>
      <c r="D1055" s="19" t="n">
        <v>435.61</v>
      </c>
      <c r="E1055" s="19" t="n">
        <v>1</v>
      </c>
      <c r="F1055" s="19" t="n">
        <v>93.67</v>
      </c>
      <c r="G1055" s="8" t="n">
        <f aca="false">IFERROR(INDEX('TRANS'!$B:$B,MATCH($B1055,'TRANS'!$A:$A,0)),IFERROR(INDEX('TRANS'!$B:$B,MATCH(TRIM(SUBSTITUTE($B1055,CHAR(160)," ")),'TRANS'!$D:$D,0)),IFERROR(INDEX('Catalog'!$A:$A,MATCH($B1055,'Catalog'!$B:$B,0)),IFERROR(INDEX('Catalog'!$A:$A,MATCH(TRIM(SUBSTITUTE($B1055,CHAR(160)," ")),'Catalog'!$C:$C,0)),""))))</f>
        <v>4413421</v>
      </c>
      <c r="H1055" s="8" t="str">
        <f aca="false">IFERROR(INDEX('TRANS'!$C:$C,MATCH($B1055,'TRANS'!$A:$A,0)),IFERROR(INDEX('Catalog'!$B:$B,MATCH($G1055,'Catalog'!$A:$A,0)),$B1055))</f>
        <v>SC35L  M מגן קרסול שמאל</v>
      </c>
      <c r="I1055" s="8" t="str">
        <f aca="false">IF($G1055="","Unmatched","Matched")</f>
        <v>Matched</v>
      </c>
      <c r="J1055" s="8" t="n">
        <f aca="false">IF($G1055&lt;&gt;"",$G1055,$B1055)</f>
        <v>4413421</v>
      </c>
      <c r="K1055" s="8" t="str">
        <f aca="false">IF(COUNTIF($M$1:$M$10,$A1055)&gt;0,"Y","N")</f>
        <v>Y</v>
      </c>
    </row>
    <row r="1056" customFormat="false" ht="15" hidden="false" customHeight="true" outlineLevel="0" collapsed="false">
      <c r="A1056" s="8" t="s">
        <v>44</v>
      </c>
      <c r="B1056" s="8" t="s">
        <v>757</v>
      </c>
      <c r="C1056" s="19" t="n">
        <v>9</v>
      </c>
      <c r="D1056" s="19" t="n">
        <v>1265.14</v>
      </c>
      <c r="E1056" s="19" t="n">
        <v>7</v>
      </c>
      <c r="F1056" s="19" t="n">
        <v>984</v>
      </c>
      <c r="G1056" s="8" t="n">
        <f aca="false">IFERROR(INDEX('TRANS'!$B:$B,MATCH($B1056,'TRANS'!$A:$A,0)),IFERROR(INDEX('TRANS'!$B:$B,MATCH(TRIM(SUBSTITUTE($B1056,CHAR(160)," ")),'TRANS'!$D:$D,0)),IFERROR(INDEX('Catalog'!$A:$A,MATCH($B1056,'Catalog'!$B:$B,0)),IFERROR(INDEX('Catalog'!$A:$A,MATCH(TRIM(SUBSTITUTE($B1056,CHAR(160)," ")),'Catalog'!$C:$C,0)),""))))</f>
        <v>4413439</v>
      </c>
      <c r="H1056" s="8" t="str">
        <f aca="false">IFERROR(INDEX('TRANS'!$C:$C,MATCH($B1056,'TRANS'!$A:$A,0)),IFERROR(INDEX('Catalog'!$B:$B,MATCH($G1056,'Catalog'!$A:$A,0)),$B1056))</f>
        <v>SC422  M מגן ברך</v>
      </c>
      <c r="I1056" s="8" t="str">
        <f aca="false">IF($G1056="","Unmatched","Matched")</f>
        <v>Matched</v>
      </c>
      <c r="J1056" s="8" t="n">
        <f aca="false">IF($G1056&lt;&gt;"",$G1056,$B1056)</f>
        <v>4413439</v>
      </c>
      <c r="K1056" s="8" t="str">
        <f aca="false">IF(COUNTIF($M$1:$M$10,$A1056)&gt;0,"Y","N")</f>
        <v>Y</v>
      </c>
    </row>
    <row r="1057" customFormat="false" ht="15" hidden="false" customHeight="true" outlineLevel="0" collapsed="false">
      <c r="A1057" s="8" t="s">
        <v>44</v>
      </c>
      <c r="B1057" s="8" t="s">
        <v>845</v>
      </c>
      <c r="C1057" s="19" t="n">
        <v>4</v>
      </c>
      <c r="D1057" s="19" t="n">
        <v>558.76</v>
      </c>
      <c r="E1057" s="19" t="n">
        <v>0</v>
      </c>
      <c r="F1057" s="19" t="n">
        <v>0</v>
      </c>
      <c r="G1057" s="8" t="n">
        <f aca="false">IFERROR(INDEX('TRANS'!$B:$B,MATCH($B1057,'TRANS'!$A:$A,0)),IFERROR(INDEX('TRANS'!$B:$B,MATCH(TRIM(SUBSTITUTE($B1057,CHAR(160)," ")),'TRANS'!$D:$D,0)),IFERROR(INDEX('Catalog'!$A:$A,MATCH($B1057,'Catalog'!$B:$B,0)),IFERROR(INDEX('Catalog'!$A:$A,MATCH(TRIM(SUBSTITUTE($B1057,CHAR(160)," ")),'Catalog'!$C:$C,0)),""))))</f>
        <v>4413438</v>
      </c>
      <c r="H1057" s="8" t="str">
        <f aca="false">IFERROR(INDEX('TRANS'!$C:$C,MATCH($B1057,'TRANS'!$A:$A,0)),IFERROR(INDEX('Catalog'!$B:$B,MATCH($G1057,'Catalog'!$A:$A,0)),$B1057))</f>
        <v>SC422  S מגן ברך</v>
      </c>
      <c r="I1057" s="8" t="str">
        <f aca="false">IF($G1057="","Unmatched","Matched")</f>
        <v>Matched</v>
      </c>
      <c r="J1057" s="8" t="n">
        <f aca="false">IF($G1057&lt;&gt;"",$G1057,$B1057)</f>
        <v>4413438</v>
      </c>
      <c r="K1057" s="8" t="str">
        <f aca="false">IF(COUNTIF($M$1:$M$10,$A1057)&gt;0,"Y","N")</f>
        <v>Y</v>
      </c>
    </row>
    <row r="1058" customFormat="false" ht="15" hidden="false" customHeight="true" outlineLevel="0" collapsed="false">
      <c r="A1058" s="8" t="s">
        <v>44</v>
      </c>
      <c r="B1058" s="8" t="s">
        <v>758</v>
      </c>
      <c r="C1058" s="19" t="n">
        <v>5</v>
      </c>
      <c r="D1058" s="19" t="n">
        <v>702.86</v>
      </c>
      <c r="E1058" s="19" t="n">
        <v>1</v>
      </c>
      <c r="F1058" s="19" t="n">
        <v>140.57</v>
      </c>
      <c r="G1058" s="8" t="n">
        <f aca="false">IFERROR(INDEX('TRANS'!$B:$B,MATCH($B1058,'TRANS'!$A:$A,0)),IFERROR(INDEX('TRANS'!$B:$B,MATCH(TRIM(SUBSTITUTE($B1058,CHAR(160)," ")),'TRANS'!$D:$D,0)),IFERROR(INDEX('Catalog'!$A:$A,MATCH($B1058,'Catalog'!$B:$B,0)),IFERROR(INDEX('Catalog'!$A:$A,MATCH(TRIM(SUBSTITUTE($B1058,CHAR(160)," ")),'Catalog'!$C:$C,0)),""))))</f>
        <v>4413442</v>
      </c>
      <c r="H1058" s="8" t="str">
        <f aca="false">IFERROR(INDEX('TRANS'!$C:$C,MATCH($B1058,'TRANS'!$A:$A,0)),IFERROR(INDEX('Catalog'!$B:$B,MATCH($G1058,'Catalog'!$A:$A,0)),$B1058))</f>
        <v>SC422 XXLמגן ברך</v>
      </c>
      <c r="I1058" s="8" t="str">
        <f aca="false">IF($G1058="","Unmatched","Matched")</f>
        <v>Matched</v>
      </c>
      <c r="J1058" s="8" t="n">
        <f aca="false">IF($G1058&lt;&gt;"",$G1058,$B1058)</f>
        <v>4413442</v>
      </c>
      <c r="K1058" s="8" t="str">
        <f aca="false">IF(COUNTIF($M$1:$M$10,$A1058)&gt;0,"Y","N")</f>
        <v>Y</v>
      </c>
    </row>
    <row r="1059" customFormat="false" ht="15" hidden="false" customHeight="true" outlineLevel="0" collapsed="false">
      <c r="A1059" s="8" t="s">
        <v>44</v>
      </c>
      <c r="B1059" s="8" t="s">
        <v>988</v>
      </c>
      <c r="C1059" s="19" t="n">
        <v>0</v>
      </c>
      <c r="D1059" s="19" t="n">
        <v>0</v>
      </c>
      <c r="E1059" s="19" t="n">
        <v>1</v>
      </c>
      <c r="F1059" s="19" t="n">
        <v>94.65</v>
      </c>
      <c r="G1059" s="8" t="n">
        <f aca="false">IFERROR(INDEX('TRANS'!$B:$B,MATCH($B1059,'TRANS'!$A:$A,0)),IFERROR(INDEX('TRANS'!$B:$B,MATCH(TRIM(SUBSTITUTE($B1059,CHAR(160)," ")),'TRANS'!$D:$D,0)),IFERROR(INDEX('Catalog'!$A:$A,MATCH($B1059,'Catalog'!$B:$B,0)),IFERROR(INDEX('Catalog'!$A:$A,MATCH(TRIM(SUBSTITUTE($B1059,CHAR(160)," ")),'Catalog'!$C:$C,0)),""))))</f>
        <v>4408091</v>
      </c>
      <c r="H1059" s="8" t="str">
        <f aca="false">IFERROR(INDEX('TRANS'!$C:$C,MATCH($B1059,'TRANS'!$A:$A,0)),IFERROR(INDEX('Catalog'!$B:$B,MATCH($G1059,'Catalog'!$A:$A,0)),$B1059))</f>
        <v>T11C M  חגורת גב פוג'יאמה</v>
      </c>
      <c r="I1059" s="8" t="str">
        <f aca="false">IF($G1059="","Unmatched","Matched")</f>
        <v>Matched</v>
      </c>
      <c r="J1059" s="8" t="n">
        <f aca="false">IF($G1059&lt;&gt;"",$G1059,$B1059)</f>
        <v>4408091</v>
      </c>
      <c r="K1059" s="8" t="str">
        <f aca="false">IF(COUNTIF($M$1:$M$10,$A1059)&gt;0,"Y","N")</f>
        <v>Y</v>
      </c>
    </row>
    <row r="1060" customFormat="false" ht="15" hidden="false" customHeight="true" outlineLevel="0" collapsed="false">
      <c r="A1060" s="8" t="s">
        <v>44</v>
      </c>
      <c r="B1060" s="8" t="s">
        <v>989</v>
      </c>
      <c r="C1060" s="19" t="n">
        <v>1</v>
      </c>
      <c r="D1060" s="19" t="n">
        <v>94.68</v>
      </c>
      <c r="E1060" s="19" t="n">
        <v>0</v>
      </c>
      <c r="F1060" s="19" t="n">
        <v>0</v>
      </c>
      <c r="G1060" s="8" t="n">
        <f aca="false">IFERROR(INDEX('TRANS'!$B:$B,MATCH($B1060,'TRANS'!$A:$A,0)),IFERROR(INDEX('TRANS'!$B:$B,MATCH(TRIM(SUBSTITUTE($B1060,CHAR(160)," ")),'TRANS'!$D:$D,0)),IFERROR(INDEX('Catalog'!$A:$A,MATCH($B1060,'Catalog'!$B:$B,0)),IFERROR(INDEX('Catalog'!$A:$A,MATCH(TRIM(SUBSTITUTE($B1060,CHAR(160)," ")),'Catalog'!$C:$C,0)),""))))</f>
        <v>4408089</v>
      </c>
      <c r="H1060" s="8" t="str">
        <f aca="false">IFERROR(INDEX('TRANS'!$C:$C,MATCH($B1060,'TRANS'!$A:$A,0)),IFERROR(INDEX('Catalog'!$B:$B,MATCH($G1060,'Catalog'!$A:$A,0)),$B1060))</f>
        <v>T11C S  חגורת גב פוג'יאמה</v>
      </c>
      <c r="I1060" s="8" t="str">
        <f aca="false">IF($G1060="","Unmatched","Matched")</f>
        <v>Matched</v>
      </c>
      <c r="J1060" s="8" t="n">
        <f aca="false">IF($G1060&lt;&gt;"",$G1060,$B1060)</f>
        <v>4408089</v>
      </c>
      <c r="K1060" s="8" t="str">
        <f aca="false">IF(COUNTIF($M$1:$M$10,$A1060)&gt;0,"Y","N")</f>
        <v>Y</v>
      </c>
    </row>
    <row r="1061" customFormat="false" ht="15" hidden="false" customHeight="true" outlineLevel="0" collapsed="false">
      <c r="A1061" s="8" t="s">
        <v>44</v>
      </c>
      <c r="B1061" s="8" t="s">
        <v>766</v>
      </c>
      <c r="C1061" s="19" t="n">
        <v>3</v>
      </c>
      <c r="D1061" s="19" t="n">
        <v>283.9</v>
      </c>
      <c r="E1061" s="19" t="n">
        <v>0</v>
      </c>
      <c r="F1061" s="19" t="n">
        <v>0</v>
      </c>
      <c r="G1061" s="8" t="n">
        <f aca="false">IFERROR(INDEX('TRANS'!$B:$B,MATCH($B1061,'TRANS'!$A:$A,0)),IFERROR(INDEX('TRANS'!$B:$B,MATCH(TRIM(SUBSTITUTE($B1061,CHAR(160)," ")),'TRANS'!$D:$D,0)),IFERROR(INDEX('Catalog'!$A:$A,MATCH($B1061,'Catalog'!$B:$B,0)),IFERROR(INDEX('Catalog'!$A:$A,MATCH(TRIM(SUBSTITUTE($B1061,CHAR(160)," ")),'Catalog'!$C:$C,0)),""))))</f>
        <v>4408092</v>
      </c>
      <c r="H1061" s="8" t="str">
        <f aca="false">IFERROR(INDEX('TRANS'!$C:$C,MATCH($B1061,'TRANS'!$A:$A,0)),IFERROR(INDEX('Catalog'!$B:$B,MATCH($G1061,'Catalog'!$A:$A,0)),$B1061))</f>
        <v>T11C XL חגורת גב פוג'יאמה</v>
      </c>
      <c r="I1061" s="8" t="str">
        <f aca="false">IF($G1061="","Unmatched","Matched")</f>
        <v>Matched</v>
      </c>
      <c r="J1061" s="8" t="n">
        <f aca="false">IF($G1061&lt;&gt;"",$G1061,$B1061)</f>
        <v>4408092</v>
      </c>
      <c r="K1061" s="8" t="str">
        <f aca="false">IF(COUNTIF($M$1:$M$10,$A1061)&gt;0,"Y","N")</f>
        <v>Y</v>
      </c>
    </row>
    <row r="1062" customFormat="false" ht="15" hidden="false" customHeight="true" outlineLevel="0" collapsed="false">
      <c r="A1062" s="8" t="s">
        <v>44</v>
      </c>
      <c r="B1062" s="8" t="s">
        <v>342</v>
      </c>
      <c r="C1062" s="19" t="n">
        <v>1</v>
      </c>
      <c r="D1062" s="19" t="n">
        <v>107.76</v>
      </c>
      <c r="E1062" s="19" t="n">
        <v>0</v>
      </c>
      <c r="F1062" s="19" t="n">
        <v>0</v>
      </c>
      <c r="G1062" s="8" t="str">
        <f aca="false">IFERROR(INDEX('TRANS'!$B:$B,MATCH($B1062,'TRANS'!$A:$A,0)),IFERROR(INDEX('TRANS'!$B:$B,MATCH(TRIM(SUBSTITUTE($B1062,CHAR(160)," ")),'TRANS'!$D:$D,0)),IFERROR(INDEX('Catalog'!$A:$A,MATCH($B1062,'Catalog'!$B:$B,0)),IFERROR(INDEX('Catalog'!$A:$A,MATCH(TRIM(SUBSTITUTE($B1062,CHAR(160)," ")),'Catalog'!$C:$C,0)),""))))</f>
        <v/>
      </c>
      <c r="H1062" s="8" t="str">
        <f aca="false">IFERROR(INDEX('TRANS'!$C:$C,MATCH($B1062,'TRANS'!$A:$A,0)),IFERROR(INDEX('Catalog'!$B:$B,MATCH($G1062,'Catalog'!$A:$A,0)),$B1062))</f>
        <v>T39 XS</v>
      </c>
      <c r="I1062" s="8" t="str">
        <f aca="false">IF($G1062="","Unmatched","Matched")</f>
        <v>Unmatched</v>
      </c>
      <c r="J1062" s="8" t="str">
        <f aca="false">IF($G1062&lt;&gt;"",$G1062,$B1062)</f>
        <v>T39 XS</v>
      </c>
      <c r="K1062" s="8" t="str">
        <f aca="false">IF(COUNTIF($M$1:$M$10,$A1062)&gt;0,"Y","N")</f>
        <v>Y</v>
      </c>
    </row>
    <row r="1063" customFormat="false" ht="15" hidden="false" customHeight="true" outlineLevel="0" collapsed="false">
      <c r="A1063" s="8" t="s">
        <v>44</v>
      </c>
      <c r="B1063" s="8" t="s">
        <v>287</v>
      </c>
      <c r="C1063" s="19" t="n">
        <v>1</v>
      </c>
      <c r="D1063" s="19" t="n">
        <v>107.76</v>
      </c>
      <c r="E1063" s="19" t="n">
        <v>1</v>
      </c>
      <c r="F1063" s="19" t="n">
        <v>107.76</v>
      </c>
      <c r="G1063" s="8" t="str">
        <f aca="false">IFERROR(INDEX('TRANS'!$B:$B,MATCH($B1063,'TRANS'!$A:$A,0)),IFERROR(INDEX('TRANS'!$B:$B,MATCH(TRIM(SUBSTITUTE($B1063,CHAR(160)," ")),'TRANS'!$D:$D,0)),IFERROR(INDEX('Catalog'!$A:$A,MATCH($B1063,'Catalog'!$B:$B,0)),IFERROR(INDEX('Catalog'!$A:$A,MATCH(TRIM(SUBSTITUTE($B1063,CHAR(160)," ")),'Catalog'!$C:$C,0)),""))))</f>
        <v/>
      </c>
      <c r="H1063" s="8" t="str">
        <f aca="false">IFERROR(INDEX('TRANS'!$C:$C,MATCH($B1063,'TRANS'!$A:$A,0)),IFERROR(INDEX('Catalog'!$B:$B,MATCH($G1063,'Catalog'!$A:$A,0)),$B1063))</f>
        <v>T39 XXL</v>
      </c>
      <c r="I1063" s="8" t="str">
        <f aca="false">IF($G1063="","Unmatched","Matched")</f>
        <v>Unmatched</v>
      </c>
      <c r="J1063" s="8" t="str">
        <f aca="false">IF($G1063&lt;&gt;"",$G1063,$B1063)</f>
        <v>T39 XXL</v>
      </c>
      <c r="K1063" s="8" t="str">
        <f aca="false">IF(COUNTIF($M$1:$M$10,$A1063)&gt;0,"Y","N")</f>
        <v>Y</v>
      </c>
    </row>
    <row r="1064" customFormat="false" ht="15" hidden="false" customHeight="true" outlineLevel="0" collapsed="false">
      <c r="A1064" s="8" t="s">
        <v>44</v>
      </c>
      <c r="B1064" s="8" t="s">
        <v>470</v>
      </c>
      <c r="C1064" s="19" t="n">
        <v>1</v>
      </c>
      <c r="D1064" s="19" t="n">
        <v>0</v>
      </c>
      <c r="E1064" s="19" t="n">
        <v>0</v>
      </c>
      <c r="F1064" s="19" t="n">
        <v>0</v>
      </c>
      <c r="G1064" s="8" t="str">
        <f aca="false">IFERROR(INDEX('TRANS'!$B:$B,MATCH($B1064,'TRANS'!$A:$A,0)),IFERROR(INDEX('TRANS'!$B:$B,MATCH(TRIM(SUBSTITUTE($B1064,CHAR(160)," ")),'TRANS'!$D:$D,0)),IFERROR(INDEX('Catalog'!$A:$A,MATCH($B1064,'Catalog'!$B:$B,0)),IFERROR(INDEX('Catalog'!$A:$A,MATCH(TRIM(SUBSTITUTE($B1064,CHAR(160)," ")),'Catalog'!$C:$C,0)),""))))</f>
        <v/>
      </c>
      <c r="H1064" s="8" t="str">
        <f aca="false">IFERROR(INDEX('TRANS'!$C:$C,MATCH($B1064,'TRANS'!$A:$A,0)),IFERROR(INDEX('Catalog'!$B:$B,MATCH($G1064,'Catalog'!$A:$A,0)),$B1064))</f>
        <v>T79B S</v>
      </c>
      <c r="I1064" s="8" t="str">
        <f aca="false">IF($G1064="","Unmatched","Matched")</f>
        <v>Unmatched</v>
      </c>
      <c r="J1064" s="8" t="str">
        <f aca="false">IF($G1064&lt;&gt;"",$G1064,$B1064)</f>
        <v>T79B S</v>
      </c>
      <c r="K1064" s="8" t="str">
        <f aca="false">IF(COUNTIF($M$1:$M$10,$A1064)&gt;0,"Y","N")</f>
        <v>Y</v>
      </c>
    </row>
    <row r="1065" customFormat="false" ht="15" hidden="false" customHeight="true" outlineLevel="0" collapsed="false">
      <c r="A1065" s="8" t="s">
        <v>44</v>
      </c>
      <c r="B1065" s="8" t="s">
        <v>471</v>
      </c>
      <c r="C1065" s="19" t="n">
        <v>1</v>
      </c>
      <c r="D1065" s="19" t="n">
        <v>0.01</v>
      </c>
      <c r="E1065" s="19" t="n">
        <v>0</v>
      </c>
      <c r="F1065" s="19" t="n">
        <v>0</v>
      </c>
      <c r="G1065" s="8" t="str">
        <f aca="false">IFERROR(INDEX('TRANS'!$B:$B,MATCH($B1065,'TRANS'!$A:$A,0)),IFERROR(INDEX('TRANS'!$B:$B,MATCH(TRIM(SUBSTITUTE($B1065,CHAR(160)," ")),'TRANS'!$D:$D,0)),IFERROR(INDEX('Catalog'!$A:$A,MATCH($B1065,'Catalog'!$B:$B,0)),IFERROR(INDEX('Catalog'!$A:$A,MATCH(TRIM(SUBSTITUTE($B1065,CHAR(160)," ")),'Catalog'!$C:$C,0)),""))))</f>
        <v/>
      </c>
      <c r="H1065" s="8" t="str">
        <f aca="false">IFERROR(INDEX('TRANS'!$C:$C,MATCH($B1065,'TRANS'!$A:$A,0)),IFERROR(INDEX('Catalog'!$B:$B,MATCH($G1065,'Catalog'!$A:$A,0)),$B1065))</f>
        <v>T79B XS</v>
      </c>
      <c r="I1065" s="8" t="str">
        <f aca="false">IF($G1065="","Unmatched","Matched")</f>
        <v>Unmatched</v>
      </c>
      <c r="J1065" s="8" t="str">
        <f aca="false">IF($G1065&lt;&gt;"",$G1065,$B1065)</f>
        <v>T79B XS</v>
      </c>
      <c r="K1065" s="8" t="str">
        <f aca="false">IF(COUNTIF($M$1:$M$10,$A1065)&gt;0,"Y","N")</f>
        <v>Y</v>
      </c>
    </row>
    <row r="1066" customFormat="false" ht="15" hidden="false" customHeight="true" outlineLevel="0" collapsed="false">
      <c r="A1066" s="8" t="s">
        <v>44</v>
      </c>
      <c r="B1066" s="8" t="s">
        <v>51</v>
      </c>
      <c r="C1066" s="19" t="n">
        <v>1</v>
      </c>
      <c r="D1066" s="19" t="n">
        <v>30</v>
      </c>
      <c r="E1066" s="19" t="n">
        <v>0</v>
      </c>
      <c r="F1066" s="19" t="n">
        <v>0</v>
      </c>
      <c r="G1066" s="8" t="str">
        <f aca="false">IFERROR(INDEX('TRANS'!$B:$B,MATCH($B1066,'TRANS'!$A:$A,0)),IFERROR(INDEX('TRANS'!$B:$B,MATCH(TRIM(SUBSTITUTE($B1066,CHAR(160)," ")),'TRANS'!$D:$D,0)),IFERROR(INDEX('Catalog'!$A:$A,MATCH($B1066,'Catalog'!$B:$B,0)),IFERROR(INDEX('Catalog'!$A:$A,MATCH(TRIM(SUBSTITUTE($B1066,CHAR(160)," ")),'Catalog'!$C:$C,0)),""))))</f>
        <v/>
      </c>
      <c r="H1066" s="8" t="str">
        <f aca="false">IFERROR(INDEX('TRANS'!$C:$C,MATCH($B1066,'TRANS'!$A:$A,0)),IFERROR(INDEX('Catalog'!$B:$B,MATCH($G1066,'Catalog'!$A:$A,0)),$B1066))</f>
        <v>M94</v>
      </c>
      <c r="I1066" s="8" t="str">
        <f aca="false">IF($G1066="","Unmatched","Matched")</f>
        <v>Unmatched</v>
      </c>
      <c r="J1066" s="8" t="str">
        <f aca="false">IF($G1066&lt;&gt;"",$G1066,$B1066)</f>
        <v>M94</v>
      </c>
      <c r="K1066" s="8" t="str">
        <f aca="false">IF(COUNTIF($M$1:$M$10,$A1066)&gt;0,"Y","N")</f>
        <v>Y</v>
      </c>
    </row>
    <row r="1067" customFormat="false" ht="15" hidden="false" customHeight="true" outlineLevel="0" collapsed="false">
      <c r="A1067" s="8" t="s">
        <v>44</v>
      </c>
      <c r="B1067" s="8" t="s">
        <v>587</v>
      </c>
      <c r="C1067" s="19" t="n">
        <v>6</v>
      </c>
      <c r="D1067" s="19" t="n">
        <v>113.17</v>
      </c>
      <c r="E1067" s="19" t="n">
        <v>-12</v>
      </c>
      <c r="F1067" s="19" t="n">
        <v>-230.04</v>
      </c>
      <c r="G1067" s="8" t="n">
        <f aca="false">IFERROR(INDEX('TRANS'!$B:$B,MATCH($B1067,'TRANS'!$A:$A,0)),IFERROR(INDEX('TRANS'!$B:$B,MATCH(TRIM(SUBSTITUTE($B1067,CHAR(160)," ")),'TRANS'!$D:$D,0)),IFERROR(INDEX('Catalog'!$A:$A,MATCH($B1067,'Catalog'!$B:$B,0)),IFERROR(INDEX('Catalog'!$A:$A,MATCH(TRIM(SUBSTITUTE($B1067,CHAR(160)," ")),'Catalog'!$C:$C,0)),""))))</f>
        <v>4419011</v>
      </c>
      <c r="H1067" s="8" t="str">
        <f aca="false">IFERROR(INDEX('TRANS'!$C:$C,MATCH($B1067,'TRANS'!$A:$A,0)),IFERROR(INDEX('Catalog'!$B:$B,MATCH($G1067,'Catalog'!$A:$A,0)),$B1067))</f>
        <v>239B S-M STRAP4U</v>
      </c>
      <c r="I1067" s="8" t="str">
        <f aca="false">IF($G1067="","Unmatched","Matched")</f>
        <v>Matched</v>
      </c>
      <c r="J1067" s="8" t="n">
        <f aca="false">IF($G1067&lt;&gt;"",$G1067,$B1067)</f>
        <v>4419011</v>
      </c>
      <c r="K1067" s="8" t="str">
        <f aca="false">IF(COUNTIF($M$1:$M$10,$A1067)&gt;0,"Y","N")</f>
        <v>Y</v>
      </c>
    </row>
    <row r="1068" customFormat="false" ht="15" hidden="false" customHeight="true" outlineLevel="0" collapsed="false">
      <c r="A1068" s="8" t="s">
        <v>44</v>
      </c>
      <c r="B1068" s="8" t="s">
        <v>538</v>
      </c>
      <c r="C1068" s="19" t="n">
        <v>6</v>
      </c>
      <c r="D1068" s="19" t="n">
        <v>113.17</v>
      </c>
      <c r="E1068" s="19" t="n">
        <v>-12</v>
      </c>
      <c r="F1068" s="19" t="n">
        <v>-230.04</v>
      </c>
      <c r="G1068" s="8" t="str">
        <f aca="false">IFERROR(INDEX('TRANS'!$B:$B,MATCH($B1068,'TRANS'!$A:$A,0)),IFERROR(INDEX('TRANS'!$B:$B,MATCH(TRIM(SUBSTITUTE($B1068,CHAR(160)," ")),'TRANS'!$D:$D,0)),IFERROR(INDEX('Catalog'!$A:$A,MATCH($B1068,'Catalog'!$B:$B,0)),IFERROR(INDEX('Catalog'!$A:$A,MATCH(TRIM(SUBSTITUTE($B1068,CHAR(160)," ")),'Catalog'!$C:$C,0)),""))))</f>
        <v/>
      </c>
      <c r="H1068" s="8" t="str">
        <f aca="false">IFERROR(INDEX('TRANS'!$C:$C,MATCH($B1068,'TRANS'!$A:$A,0)),IFERROR(INDEX('Catalog'!$B:$B,MATCH($G1068,'Catalog'!$A:$A,0)),$B1068))</f>
        <v>239P-S-M</v>
      </c>
      <c r="I1068" s="8" t="str">
        <f aca="false">IF($G1068="","Unmatched","Matched")</f>
        <v>Unmatched</v>
      </c>
      <c r="J1068" s="8" t="str">
        <f aca="false">IF($G1068&lt;&gt;"",$G1068,$B1068)</f>
        <v>239P-S-M</v>
      </c>
      <c r="K1068" s="8" t="str">
        <f aca="false">IF(COUNTIF($M$1:$M$10,$A1068)&gt;0,"Y","N")</f>
        <v>Y</v>
      </c>
    </row>
    <row r="1069" customFormat="false" ht="15" hidden="false" customHeight="true" outlineLevel="0" collapsed="false">
      <c r="A1069" s="8" t="s">
        <v>44</v>
      </c>
      <c r="B1069" s="8" t="s">
        <v>605</v>
      </c>
      <c r="C1069" s="19" t="n">
        <v>11</v>
      </c>
      <c r="D1069" s="19" t="n">
        <v>183.7</v>
      </c>
      <c r="E1069" s="19" t="n">
        <v>2</v>
      </c>
      <c r="F1069" s="19" t="n">
        <v>37.41</v>
      </c>
      <c r="G1069" s="8" t="n">
        <f aca="false">IFERROR(INDEX('TRANS'!$B:$B,MATCH($B1069,'TRANS'!$A:$A,0)),IFERROR(INDEX('TRANS'!$B:$B,MATCH(TRIM(SUBSTITUTE($B1069,CHAR(160)," ")),'TRANS'!$D:$D,0)),IFERROR(INDEX('Catalog'!$A:$A,MATCH($B1069,'Catalog'!$B:$B,0)),IFERROR(INDEX('Catalog'!$A:$A,MATCH(TRIM(SUBSTITUTE($B1069,CHAR(160)," ")),'Catalog'!$C:$C,0)),""))))</f>
        <v>4413033</v>
      </c>
      <c r="H1069" s="8" t="str">
        <f aca="false">IFERROR(INDEX('TRANS'!$C:$C,MATCH($B1069,'TRANS'!$A:$A,0)),IFERROR(INDEX('Catalog'!$B:$B,MATCH($G1069,'Catalog'!$A:$A,0)),$B1069))</f>
        <v>311'מדב.ג'ל למניעת שפשוף 5 יח</v>
      </c>
      <c r="I1069" s="8" t="str">
        <f aca="false">IF($G1069="","Unmatched","Matched")</f>
        <v>Matched</v>
      </c>
      <c r="J1069" s="8" t="n">
        <f aca="false">IF($G1069&lt;&gt;"",$G1069,$B1069)</f>
        <v>4413033</v>
      </c>
      <c r="K1069" s="8" t="str">
        <f aca="false">IF(COUNTIF($M$1:$M$10,$A1069)&gt;0,"Y","N")</f>
        <v>Y</v>
      </c>
    </row>
    <row r="1070" customFormat="false" ht="15" hidden="false" customHeight="true" outlineLevel="0" collapsed="false">
      <c r="A1070" s="8" t="s">
        <v>44</v>
      </c>
      <c r="B1070" s="8" t="s">
        <v>472</v>
      </c>
      <c r="C1070" s="19" t="n">
        <v>5</v>
      </c>
      <c r="D1070" s="19" t="n">
        <v>444.99</v>
      </c>
      <c r="E1070" s="19" t="n">
        <v>0</v>
      </c>
      <c r="F1070" s="19" t="n">
        <v>0</v>
      </c>
      <c r="G1070" s="8" t="str">
        <f aca="false">IFERROR(INDEX('TRANS'!$B:$B,MATCH($B1070,'TRANS'!$A:$A,0)),IFERROR(INDEX('TRANS'!$B:$B,MATCH(TRIM(SUBSTITUTE($B1070,CHAR(160)," ")),'TRANS'!$D:$D,0)),IFERROR(INDEX('Catalog'!$A:$A,MATCH($B1070,'Catalog'!$B:$B,0)),IFERROR(INDEX('Catalog'!$A:$A,MATCH(TRIM(SUBSTITUTE($B1070,CHAR(160)," ")),'Catalog'!$C:$C,0)),""))))</f>
        <v/>
      </c>
      <c r="H1070" s="8" t="str">
        <f aca="false">IFERROR(INDEX('TRANS'!$C:$C,MATCH($B1070,'TRANS'!$A:$A,0)),IFERROR(INDEX('Catalog'!$B:$B,MATCH($G1070,'Catalog'!$A:$A,0)),$B1070))</f>
        <v>422EU XXXL</v>
      </c>
      <c r="I1070" s="8" t="str">
        <f aca="false">IF($G1070="","Unmatched","Matched")</f>
        <v>Unmatched</v>
      </c>
      <c r="J1070" s="8" t="str">
        <f aca="false">IF($G1070&lt;&gt;"",$G1070,$B1070)</f>
        <v>422EU XXXL</v>
      </c>
      <c r="K1070" s="8" t="str">
        <f aca="false">IF(COUNTIF($M$1:$M$10,$A1070)&gt;0,"Y","N")</f>
        <v>Y</v>
      </c>
    </row>
    <row r="1071" customFormat="false" ht="15" hidden="false" customHeight="true" outlineLevel="0" collapsed="false">
      <c r="A1071" s="8" t="s">
        <v>44</v>
      </c>
      <c r="B1071" s="8" t="s">
        <v>847</v>
      </c>
      <c r="C1071" s="19" t="n">
        <v>5</v>
      </c>
      <c r="D1071" s="19" t="n">
        <v>401.15</v>
      </c>
      <c r="E1071" s="19" t="n">
        <v>1</v>
      </c>
      <c r="F1071" s="19" t="n">
        <v>93.67</v>
      </c>
      <c r="G1071" s="8" t="n">
        <f aca="false">IFERROR(INDEX('TRANS'!$B:$B,MATCH($B1071,'TRANS'!$A:$A,0)),IFERROR(INDEX('TRANS'!$B:$B,MATCH(TRIM(SUBSTITUTE($B1071,CHAR(160)," ")),'TRANS'!$D:$D,0)),IFERROR(INDEX('Catalog'!$A:$A,MATCH($B1071,'Catalog'!$B:$B,0)),IFERROR(INDEX('Catalog'!$A:$A,MATCH(TRIM(SUBSTITUTE($B1071,CHAR(160)," ")),'Catalog'!$C:$C,0)),""))))</f>
        <v>4413408</v>
      </c>
      <c r="H1071" s="8" t="str">
        <f aca="false">IFERROR(INDEX('TRANS'!$C:$C,MATCH($B1071,'TRANS'!$A:$A,0)),IFERROR(INDEX('Catalog'!$B:$B,MATCH($G1071,'Catalog'!$A:$A,0)),$B1071))</f>
        <v>SC95 XLמגן מרפק</v>
      </c>
      <c r="I1071" s="8" t="str">
        <f aca="false">IF($G1071="","Unmatched","Matched")</f>
        <v>Matched</v>
      </c>
      <c r="J1071" s="8" t="n">
        <f aca="false">IF($G1071&lt;&gt;"",$G1071,$B1071)</f>
        <v>4413408</v>
      </c>
      <c r="K1071" s="8" t="str">
        <f aca="false">IF(COUNTIF($M$1:$M$10,$A1071)&gt;0,"Y","N")</f>
        <v>Y</v>
      </c>
    </row>
    <row r="1072" customFormat="false" ht="15" hidden="false" customHeight="true" outlineLevel="0" collapsed="false">
      <c r="A1072" s="8" t="s">
        <v>44</v>
      </c>
      <c r="B1072" s="8" t="s">
        <v>343</v>
      </c>
      <c r="C1072" s="19" t="n">
        <v>1</v>
      </c>
      <c r="D1072" s="19" t="n">
        <v>165</v>
      </c>
      <c r="E1072" s="19" t="n">
        <v>1</v>
      </c>
      <c r="F1072" s="19" t="n">
        <v>165</v>
      </c>
      <c r="G1072" s="8" t="str">
        <f aca="false">IFERROR(INDEX('TRANS'!$B:$B,MATCH($B1072,'TRANS'!$A:$A,0)),IFERROR(INDEX('TRANS'!$B:$B,MATCH(TRIM(SUBSTITUTE($B1072,CHAR(160)," ")),'TRANS'!$D:$D,0)),IFERROR(INDEX('Catalog'!$A:$A,MATCH($B1072,'Catalog'!$B:$B,0)),IFERROR(INDEX('Catalog'!$A:$A,MATCH(TRIM(SUBSTITUTE($B1072,CHAR(160)," ")),'Catalog'!$C:$C,0)),""))))</f>
        <v/>
      </c>
      <c r="H1072" s="8" t="str">
        <f aca="false">IFERROR(INDEX('TRANS'!$C:$C,MATCH($B1072,'TRANS'!$A:$A,0)),IFERROR(INDEX('Catalog'!$B:$B,MATCH($G1072,'Catalog'!$A:$A,0)),$B1072))</f>
        <v>11NOR XL</v>
      </c>
      <c r="I1072" s="8" t="str">
        <f aca="false">IF($G1072="","Unmatched","Matched")</f>
        <v>Unmatched</v>
      </c>
      <c r="J1072" s="8" t="str">
        <f aca="false">IF($G1072&lt;&gt;"",$G1072,$B1072)</f>
        <v>11NOR XL</v>
      </c>
      <c r="K1072" s="8" t="str">
        <f aca="false">IF(COUNTIF($M$1:$M$10,$A1072)&gt;0,"Y","N")</f>
        <v>Y</v>
      </c>
    </row>
    <row r="1073" customFormat="false" ht="15" hidden="false" customHeight="true" outlineLevel="0" collapsed="false">
      <c r="A1073" s="8" t="s">
        <v>44</v>
      </c>
      <c r="B1073" s="8" t="s">
        <v>859</v>
      </c>
      <c r="C1073" s="19" t="n">
        <v>0</v>
      </c>
      <c r="D1073" s="19" t="n">
        <v>0</v>
      </c>
      <c r="E1073" s="19" t="n">
        <v>7</v>
      </c>
      <c r="F1073" s="19" t="n">
        <v>327.79</v>
      </c>
      <c r="G1073" s="8" t="n">
        <f aca="false">IFERROR(INDEX('TRANS'!$B:$B,MATCH($B1073,'TRANS'!$A:$A,0)),IFERROR(INDEX('TRANS'!$B:$B,MATCH(TRIM(SUBSTITUTE($B1073,CHAR(160)," ")),'TRANS'!$D:$D,0)),IFERROR(INDEX('Catalog'!$A:$A,MATCH($B1073,'Catalog'!$B:$B,0)),IFERROR(INDEX('Catalog'!$A:$A,MATCH(TRIM(SUBSTITUTE($B1073,CHAR(160)," ")),'Catalog'!$C:$C,0)),""))))</f>
        <v>4408275</v>
      </c>
      <c r="H1073" s="8" t="str">
        <f aca="false">IFERROR(INDEX('TRANS'!$C:$C,MATCH($B1073,'TRANS'!$A:$A,0)),IFERROR(INDEX('Catalog'!$B:$B,MATCH($G1073,'Catalog'!$A:$A,0)),$B1073))</f>
        <v>202  ONE SIZE חבק יד</v>
      </c>
      <c r="I1073" s="8" t="str">
        <f aca="false">IF($G1073="","Unmatched","Matched")</f>
        <v>Matched</v>
      </c>
      <c r="J1073" s="8" t="n">
        <f aca="false">IF($G1073&lt;&gt;"",$G1073,$B1073)</f>
        <v>4408275</v>
      </c>
      <c r="K1073" s="8" t="str">
        <f aca="false">IF(COUNTIF($M$1:$M$10,$A1073)&gt;0,"Y","N")</f>
        <v>Y</v>
      </c>
    </row>
    <row r="1074" customFormat="false" ht="15" hidden="false" customHeight="true" outlineLevel="0" collapsed="false">
      <c r="A1074" s="8" t="s">
        <v>44</v>
      </c>
      <c r="B1074" s="8" t="s">
        <v>581</v>
      </c>
      <c r="C1074" s="19" t="n">
        <v>5</v>
      </c>
      <c r="D1074" s="19" t="n">
        <v>190.2</v>
      </c>
      <c r="E1074" s="19" t="n">
        <v>3</v>
      </c>
      <c r="F1074" s="19" t="n">
        <v>119.38</v>
      </c>
      <c r="G1074" s="8" t="n">
        <f aca="false">IFERROR(INDEX('TRANS'!$B:$B,MATCH($B1074,'TRANS'!$A:$A,0)),IFERROR(INDEX('TRANS'!$B:$B,MATCH(TRIM(SUBSTITUTE($B1074,CHAR(160)," ")),'TRANS'!$D:$D,0)),IFERROR(INDEX('Catalog'!$A:$A,MATCH($B1074,'Catalog'!$B:$B,0)),IFERROR(INDEX('Catalog'!$A:$A,MATCH(TRIM(SUBSTITUTE($B1074,CHAR(160)," ")),'Catalog'!$C:$C,0)),""))))</f>
        <v>4411022</v>
      </c>
      <c r="H1074" s="8" t="str">
        <f aca="false">IFERROR(INDEX('TRANS'!$C:$C,MATCH($B1074,'TRANS'!$A:$A,0)),IFERROR(INDEX('Catalog'!$B:$B,MATCH($G1074,'Catalog'!$A:$A,0)),$B1074))</f>
        <v>212M כפפות אגודל לחץ</v>
      </c>
      <c r="I1074" s="8" t="str">
        <f aca="false">IF($G1074="","Unmatched","Matched")</f>
        <v>Matched</v>
      </c>
      <c r="J1074" s="8" t="n">
        <f aca="false">IF($G1074&lt;&gt;"",$G1074,$B1074)</f>
        <v>4411022</v>
      </c>
      <c r="K1074" s="8" t="str">
        <f aca="false">IF(COUNTIF($M$1:$M$10,$A1074)&gt;0,"Y","N")</f>
        <v>Y</v>
      </c>
    </row>
    <row r="1075" customFormat="false" ht="15" hidden="false" customHeight="true" outlineLevel="0" collapsed="false">
      <c r="A1075" s="8" t="s">
        <v>44</v>
      </c>
      <c r="B1075" s="8" t="s">
        <v>631</v>
      </c>
      <c r="C1075" s="19" t="n">
        <v>14</v>
      </c>
      <c r="D1075" s="19" t="n">
        <v>294.63</v>
      </c>
      <c r="E1075" s="19" t="n">
        <v>13</v>
      </c>
      <c r="F1075" s="19" t="n">
        <v>273.58</v>
      </c>
      <c r="G1075" s="8" t="n">
        <f aca="false">IFERROR(INDEX('TRANS'!$B:$B,MATCH($B1075,'TRANS'!$A:$A,0)),IFERROR(INDEX('TRANS'!$B:$B,MATCH(TRIM(SUBSTITUTE($B1075,CHAR(160)," ")),'TRANS'!$D:$D,0)),IFERROR(INDEX('Catalog'!$A:$A,MATCH($B1075,'Catalog'!$B:$B,0)),IFERROR(INDEX('Catalog'!$A:$A,MATCH(TRIM(SUBSTITUTE($B1075,CHAR(160)," ")),'Catalog'!$C:$C,0)),""))))</f>
        <v>4413061</v>
      </c>
      <c r="H1075" s="8" t="str">
        <f aca="false">IFERROR(INDEX('TRANS'!$C:$C,MATCH($B1075,'TRANS'!$A:$A,0)),IFERROR(INDEX('Catalog'!$B:$B,MATCH($G1075,'Catalog'!$A:$A,0)),$B1075))</f>
        <v>3641-מיישר בוהן סיליקון קשיח</v>
      </c>
      <c r="I1075" s="8" t="str">
        <f aca="false">IF($G1075="","Unmatched","Matched")</f>
        <v>Matched</v>
      </c>
      <c r="J1075" s="8" t="n">
        <f aca="false">IF($G1075&lt;&gt;"",$G1075,$B1075)</f>
        <v>4413061</v>
      </c>
      <c r="K1075" s="8" t="str">
        <f aca="false">IF(COUNTIF($M$1:$M$10,$A1075)&gt;0,"Y","N")</f>
        <v>Y</v>
      </c>
    </row>
    <row r="1076" customFormat="false" ht="15" hidden="false" customHeight="true" outlineLevel="0" collapsed="false">
      <c r="A1076" s="8" t="s">
        <v>44</v>
      </c>
      <c r="B1076" s="8" t="s">
        <v>990</v>
      </c>
      <c r="C1076" s="19" t="n">
        <v>10</v>
      </c>
      <c r="D1076" s="19" t="n">
        <v>270</v>
      </c>
      <c r="E1076" s="19" t="n">
        <v>0</v>
      </c>
      <c r="F1076" s="19" t="n">
        <v>0</v>
      </c>
      <c r="G1076" s="8" t="n">
        <f aca="false">IFERROR(INDEX('TRANS'!$B:$B,MATCH($B1076,'TRANS'!$A:$A,0)),IFERROR(INDEX('TRANS'!$B:$B,MATCH(TRIM(SUBSTITUTE($B1076,CHAR(160)," ")),'TRANS'!$D:$D,0)),IFERROR(INDEX('Catalog'!$A:$A,MATCH($B1076,'Catalog'!$B:$B,0)),IFERROR(INDEX('Catalog'!$A:$A,MATCH(TRIM(SUBSTITUTE($B1076,CHAR(160)," ")),'Catalog'!$C:$C,0)),""))))</f>
        <v>4403006</v>
      </c>
      <c r="H1076" s="8" t="str">
        <f aca="false">IFERROR(INDEX('TRANS'!$C:$C,MATCH($B1076,'TRANS'!$A:$A,0)),IFERROR(INDEX('Catalog'!$B:$B,MATCH($G1076,'Catalog'!$A:$A,0)),$B1076))</f>
        <v>390W גרב כסף לסכרתיים לבן35-38</v>
      </c>
      <c r="I1076" s="8" t="str">
        <f aca="false">IF($G1076="","Unmatched","Matched")</f>
        <v>Matched</v>
      </c>
      <c r="J1076" s="8" t="n">
        <f aca="false">IF($G1076&lt;&gt;"",$G1076,$B1076)</f>
        <v>4403006</v>
      </c>
      <c r="K1076" s="8" t="str">
        <f aca="false">IF(COUNTIF($M$1:$M$10,$A1076)&gt;0,"Y","N")</f>
        <v>Y</v>
      </c>
    </row>
    <row r="1077" customFormat="false" ht="15" hidden="false" customHeight="true" outlineLevel="0" collapsed="false">
      <c r="A1077" s="8" t="s">
        <v>44</v>
      </c>
      <c r="B1077" s="8" t="s">
        <v>700</v>
      </c>
      <c r="C1077" s="19" t="n">
        <v>2</v>
      </c>
      <c r="D1077" s="19" t="n">
        <v>34.59</v>
      </c>
      <c r="E1077" s="19" t="n">
        <v>0</v>
      </c>
      <c r="F1077" s="19" t="n">
        <v>0</v>
      </c>
      <c r="G1077" s="8" t="n">
        <f aca="false">IFERROR(INDEX('TRANS'!$B:$B,MATCH($B1077,'TRANS'!$A:$A,0)),IFERROR(INDEX('TRANS'!$B:$B,MATCH(TRIM(SUBSTITUTE($B1077,CHAR(160)," ")),'TRANS'!$D:$D,0)),IFERROR(INDEX('Catalog'!$A:$A,MATCH($B1077,'Catalog'!$B:$B,0)),IFERROR(INDEX('Catalog'!$A:$A,MATCH(TRIM(SUBSTITUTE($B1077,CHAR(160)," ")),'Catalog'!$C:$C,0)),""))))</f>
        <v>4401012</v>
      </c>
      <c r="H1077" s="8" t="str">
        <f aca="false">IFERROR(INDEX('TRANS'!$C:$C,MATCH($B1077,'TRANS'!$A:$A,0)),IFERROR(INDEX('Catalog'!$B:$B,MATCH($G1077,'Catalog'!$A:$A,0)),$B1077))</f>
        <v>805AT-B אתלטיק טייפ שחור 20מ""""מ</v>
      </c>
      <c r="I1077" s="8" t="str">
        <f aca="false">IF($G1077="","Unmatched","Matched")</f>
        <v>Matched</v>
      </c>
      <c r="J1077" s="8" t="n">
        <f aca="false">IF($G1077&lt;&gt;"",$G1077,$B1077)</f>
        <v>4401012</v>
      </c>
      <c r="K1077" s="8" t="str">
        <f aca="false">IF(COUNTIF($M$1:$M$10,$A1077)&gt;0,"Y","N")</f>
        <v>Y</v>
      </c>
    </row>
    <row r="1078" customFormat="false" ht="15" hidden="false" customHeight="true" outlineLevel="0" collapsed="false">
      <c r="A1078" s="8" t="s">
        <v>44</v>
      </c>
      <c r="B1078" s="8" t="s">
        <v>738</v>
      </c>
      <c r="C1078" s="19" t="n">
        <v>0</v>
      </c>
      <c r="D1078" s="19" t="n">
        <v>0</v>
      </c>
      <c r="E1078" s="19" t="n">
        <v>8</v>
      </c>
      <c r="F1078" s="19" t="n">
        <v>292.13</v>
      </c>
      <c r="G1078" s="8" t="n">
        <f aca="false">IFERROR(INDEX('TRANS'!$B:$B,MATCH($B1078,'TRANS'!$A:$A,0)),IFERROR(INDEX('TRANS'!$B:$B,MATCH(TRIM(SUBSTITUTE($B1078,CHAR(160)," ")),'TRANS'!$D:$D,0)),IFERROR(INDEX('Catalog'!$A:$A,MATCH($B1078,'Catalog'!$B:$B,0)),IFERROR(INDEX('Catalog'!$A:$A,MATCH(TRIM(SUBSTITUTE($B1078,CHAR(160)," ")),'Catalog'!$C:$C,0)),""))))</f>
        <v>4414000</v>
      </c>
      <c r="H1078" s="8" t="str">
        <f aca="false">IFERROR(INDEX('TRANS'!$C:$C,MATCH($B1078,'TRANS'!$A:$A,0)),IFERROR(INDEX('Catalog'!$B:$B,MATCH($G1078,'Catalog'!$A:$A,0)),$B1078))</f>
        <v>FC342-נוזל לציפורן חודרנית</v>
      </c>
      <c r="I1078" s="8" t="str">
        <f aca="false">IF($G1078="","Unmatched","Matched")</f>
        <v>Matched</v>
      </c>
      <c r="J1078" s="8" t="n">
        <f aca="false">IF($G1078&lt;&gt;"",$G1078,$B1078)</f>
        <v>4414000</v>
      </c>
      <c r="K1078" s="8" t="str">
        <f aca="false">IF(COUNTIF($M$1:$M$10,$A1078)&gt;0,"Y","N")</f>
        <v>Y</v>
      </c>
    </row>
    <row r="1079" customFormat="false" ht="15" hidden="false" customHeight="true" outlineLevel="0" collapsed="false">
      <c r="A1079" s="8" t="s">
        <v>44</v>
      </c>
      <c r="B1079" s="8" t="s">
        <v>742</v>
      </c>
      <c r="C1079" s="19" t="n">
        <v>82</v>
      </c>
      <c r="D1079" s="19" t="n">
        <v>1183.43</v>
      </c>
      <c r="E1079" s="19" t="n">
        <v>48</v>
      </c>
      <c r="F1079" s="19" t="n">
        <v>695.16</v>
      </c>
      <c r="G1079" s="8" t="n">
        <f aca="false">IFERROR(INDEX('TRANS'!$B:$B,MATCH($B1079,'TRANS'!$A:$A,0)),IFERROR(INDEX('TRANS'!$B:$B,MATCH(TRIM(SUBSTITUTE($B1079,CHAR(160)," ")),'TRANS'!$D:$D,0)),IFERROR(INDEX('Catalog'!$A:$A,MATCH($B1079,'Catalog'!$B:$B,0)),IFERROR(INDEX('Catalog'!$A:$A,MATCH(TRIM(SUBSTITUTE($B1079,CHAR(160)," ")),'Catalog'!$C:$C,0)),""))))</f>
        <v>4419006</v>
      </c>
      <c r="H1079" s="8" t="str">
        <f aca="false">IFERROR(INDEX('TRANS'!$C:$C,MATCH($B1079,'TRANS'!$A:$A,0)),IFERROR(INDEX('Catalog'!$B:$B,MATCH($G1079,'Catalog'!$A:$A,0)),$B1079))</f>
        <v>PD340-קוצץ ציפורניים</v>
      </c>
      <c r="I1079" s="8" t="str">
        <f aca="false">IF($G1079="","Unmatched","Matched")</f>
        <v>Matched</v>
      </c>
      <c r="J1079" s="8" t="n">
        <f aca="false">IF($G1079&lt;&gt;"",$G1079,$B1079)</f>
        <v>4419006</v>
      </c>
      <c r="K1079" s="8" t="str">
        <f aca="false">IF(COUNTIF($M$1:$M$10,$A1079)&gt;0,"Y","N")</f>
        <v>Y</v>
      </c>
    </row>
    <row r="1080" customFormat="false" ht="15" hidden="false" customHeight="true" outlineLevel="0" collapsed="false">
      <c r="A1080" s="8" t="s">
        <v>44</v>
      </c>
      <c r="B1080" s="8" t="s">
        <v>749</v>
      </c>
      <c r="C1080" s="19" t="n">
        <v>1</v>
      </c>
      <c r="D1080" s="19" t="n">
        <v>93.67</v>
      </c>
      <c r="E1080" s="19" t="n">
        <v>0</v>
      </c>
      <c r="F1080" s="19" t="n">
        <v>0</v>
      </c>
      <c r="G1080" s="8" t="n">
        <f aca="false">IFERROR(INDEX('TRANS'!$B:$B,MATCH($B1080,'TRANS'!$A:$A,0)),IFERROR(INDEX('TRANS'!$B:$B,MATCH(TRIM(SUBSTITUTE($B1080,CHAR(160)," ")),'TRANS'!$D:$D,0)),IFERROR(INDEX('Catalog'!$A:$A,MATCH($B1080,'Catalog'!$B:$B,0)),IFERROR(INDEX('Catalog'!$A:$A,MATCH(TRIM(SUBSTITUTE($B1080,CHAR(160)," ")),'Catalog'!$C:$C,0)),""))))</f>
        <v>4408247</v>
      </c>
      <c r="H1080" s="8" t="str">
        <f aca="false">IFERROR(INDEX('TRANS'!$C:$C,MATCH($B1080,'TRANS'!$A:$A,0)),IFERROR(INDEX('Catalog'!$B:$B,MATCH($G1080,'Catalog'!$A:$A,0)),$B1080))</f>
        <v>SC25  S חבק יד</v>
      </c>
      <c r="I1080" s="8" t="str">
        <f aca="false">IF($G1080="","Unmatched","Matched")</f>
        <v>Matched</v>
      </c>
      <c r="J1080" s="8" t="n">
        <f aca="false">IF($G1080&lt;&gt;"",$G1080,$B1080)</f>
        <v>4408247</v>
      </c>
      <c r="K1080" s="8" t="str">
        <f aca="false">IF(COUNTIF($M$1:$M$10,$A1080)&gt;0,"Y","N")</f>
        <v>Y</v>
      </c>
    </row>
    <row r="1081" customFormat="false" ht="15" hidden="false" customHeight="true" outlineLevel="0" collapsed="false">
      <c r="A1081" s="8" t="s">
        <v>44</v>
      </c>
      <c r="B1081" s="8" t="s">
        <v>196</v>
      </c>
      <c r="C1081" s="19" t="n">
        <v>0</v>
      </c>
      <c r="D1081" s="19" t="n">
        <v>0</v>
      </c>
      <c r="E1081" s="19" t="n">
        <v>1</v>
      </c>
      <c r="F1081" s="19" t="n">
        <v>165</v>
      </c>
      <c r="G1081" s="8" t="str">
        <f aca="false">IFERROR(INDEX('TRANS'!$B:$B,MATCH($B1081,'TRANS'!$A:$A,0)),IFERROR(INDEX('TRANS'!$B:$B,MATCH(TRIM(SUBSTITUTE($B1081,CHAR(160)," ")),'TRANS'!$D:$D,0)),IFERROR(INDEX('Catalog'!$A:$A,MATCH($B1081,'Catalog'!$B:$B,0)),IFERROR(INDEX('Catalog'!$A:$A,MATCH(TRIM(SUBSTITUTE($B1081,CHAR(160)," ")),'Catalog'!$C:$C,0)),""))))</f>
        <v/>
      </c>
      <c r="H1081" s="8" t="str">
        <f aca="false">IFERROR(INDEX('TRANS'!$C:$C,MATCH($B1081,'TRANS'!$A:$A,0)),IFERROR(INDEX('Catalog'!$B:$B,MATCH($G1081,'Catalog'!$A:$A,0)),$B1081))</f>
        <v>11NOR XXL</v>
      </c>
      <c r="I1081" s="8" t="str">
        <f aca="false">IF($G1081="","Unmatched","Matched")</f>
        <v>Unmatched</v>
      </c>
      <c r="J1081" s="8" t="str">
        <f aca="false">IF($G1081&lt;&gt;"",$G1081,$B1081)</f>
        <v>11NOR XXL</v>
      </c>
      <c r="K1081" s="8" t="str">
        <f aca="false">IF(COUNTIF($M$1:$M$10,$A1081)&gt;0,"Y","N")</f>
        <v>Y</v>
      </c>
    </row>
    <row r="1082" customFormat="false" ht="15" hidden="false" customHeight="true" outlineLevel="0" collapsed="false">
      <c r="A1082" s="8" t="s">
        <v>44</v>
      </c>
      <c r="B1082" s="8" t="s">
        <v>473</v>
      </c>
      <c r="C1082" s="19" t="n">
        <v>1</v>
      </c>
      <c r="D1082" s="19" t="n">
        <v>214.35</v>
      </c>
      <c r="E1082" s="19" t="n">
        <v>0</v>
      </c>
      <c r="F1082" s="19" t="n">
        <v>0</v>
      </c>
      <c r="G1082" s="8" t="str">
        <f aca="false">IFERROR(INDEX('TRANS'!$B:$B,MATCH($B1082,'TRANS'!$A:$A,0)),IFERROR(INDEX('TRANS'!$B:$B,MATCH(TRIM(SUBSTITUTE($B1082,CHAR(160)," ")),'TRANS'!$D:$D,0)),IFERROR(INDEX('Catalog'!$A:$A,MATCH($B1082,'Catalog'!$B:$B,0)),IFERROR(INDEX('Catalog'!$A:$A,MATCH(TRIM(SUBSTITUTE($B1082,CHAR(160)," ")),'Catalog'!$C:$C,0)),""))))</f>
        <v/>
      </c>
      <c r="H1082" s="8" t="str">
        <f aca="false">IFERROR(INDEX('TRANS'!$C:$C,MATCH($B1082,'TRANS'!$A:$A,0)),IFERROR(INDEX('Catalog'!$B:$B,MATCH($G1082,'Catalog'!$A:$A,0)),$B1082))</f>
        <v>70 L</v>
      </c>
      <c r="I1082" s="8" t="str">
        <f aca="false">IF($G1082="","Unmatched","Matched")</f>
        <v>Unmatched</v>
      </c>
      <c r="J1082" s="8" t="str">
        <f aca="false">IF($G1082&lt;&gt;"",$G1082,$B1082)</f>
        <v>70 L</v>
      </c>
      <c r="K1082" s="8" t="str">
        <f aca="false">IF(COUNTIF($M$1:$M$10,$A1082)&gt;0,"Y","N")</f>
        <v>Y</v>
      </c>
    </row>
    <row r="1083" customFormat="false" ht="15" hidden="false" customHeight="true" outlineLevel="0" collapsed="false">
      <c r="A1083" s="8" t="s">
        <v>44</v>
      </c>
      <c r="B1083" s="8" t="s">
        <v>474</v>
      </c>
      <c r="C1083" s="19" t="n">
        <v>4</v>
      </c>
      <c r="D1083" s="19" t="n">
        <v>881.7</v>
      </c>
      <c r="E1083" s="19" t="n">
        <v>0</v>
      </c>
      <c r="F1083" s="19" t="n">
        <v>0</v>
      </c>
      <c r="G1083" s="8" t="str">
        <f aca="false">IFERROR(INDEX('TRANS'!$B:$B,MATCH($B1083,'TRANS'!$A:$A,0)),IFERROR(INDEX('TRANS'!$B:$B,MATCH(TRIM(SUBSTITUTE($B1083,CHAR(160)," ")),'TRANS'!$D:$D,0)),IFERROR(INDEX('Catalog'!$A:$A,MATCH($B1083,'Catalog'!$B:$B,0)),IFERROR(INDEX('Catalog'!$A:$A,MATCH(TRIM(SUBSTITUTE($B1083,CHAR(160)," ")),'Catalog'!$C:$C,0)),""))))</f>
        <v/>
      </c>
      <c r="H1083" s="8" t="str">
        <f aca="false">IFERROR(INDEX('TRANS'!$C:$C,MATCH($B1083,'TRANS'!$A:$A,0)),IFERROR(INDEX('Catalog'!$B:$B,MATCH($G1083,'Catalog'!$A:$A,0)),$B1083))</f>
        <v>70 XS</v>
      </c>
      <c r="I1083" s="8" t="str">
        <f aca="false">IF($G1083="","Unmatched","Matched")</f>
        <v>Unmatched</v>
      </c>
      <c r="J1083" s="8" t="str">
        <f aca="false">IF($G1083&lt;&gt;"",$G1083,$B1083)</f>
        <v>70 XS</v>
      </c>
      <c r="K1083" s="8" t="str">
        <f aca="false">IF(COUNTIF($M$1:$M$10,$A1083)&gt;0,"Y","N")</f>
        <v>Y</v>
      </c>
    </row>
    <row r="1084" customFormat="false" ht="15" hidden="false" customHeight="true" outlineLevel="0" collapsed="false">
      <c r="A1084" s="8" t="s">
        <v>44</v>
      </c>
      <c r="B1084" s="8" t="s">
        <v>405</v>
      </c>
      <c r="C1084" s="19" t="n">
        <v>1</v>
      </c>
      <c r="D1084" s="19" t="n">
        <v>140.59</v>
      </c>
      <c r="E1084" s="19" t="n">
        <v>0</v>
      </c>
      <c r="F1084" s="19" t="n">
        <v>0</v>
      </c>
      <c r="G1084" s="8" t="str">
        <f aca="false">IFERROR(INDEX('TRANS'!$B:$B,MATCH($B1084,'TRANS'!$A:$A,0)),IFERROR(INDEX('TRANS'!$B:$B,MATCH(TRIM(SUBSTITUTE($B1084,CHAR(160)," ")),'TRANS'!$D:$D,0)),IFERROR(INDEX('Catalog'!$A:$A,MATCH($B1084,'Catalog'!$B:$B,0)),IFERROR(INDEX('Catalog'!$A:$A,MATCH(TRIM(SUBSTITUTE($B1084,CHAR(160)," ")),'Catalog'!$C:$C,0)),""))))</f>
        <v/>
      </c>
      <c r="H1084" s="8" t="str">
        <f aca="false">IFERROR(INDEX('TRANS'!$C:$C,MATCH($B1084,'TRANS'!$A:$A,0)),IFERROR(INDEX('Catalog'!$B:$B,MATCH($G1084,'Catalog'!$A:$A,0)),$B1084))</f>
        <v>15W S</v>
      </c>
      <c r="I1084" s="8" t="str">
        <f aca="false">IF($G1084="","Unmatched","Matched")</f>
        <v>Unmatched</v>
      </c>
      <c r="J1084" s="8" t="str">
        <f aca="false">IF($G1084&lt;&gt;"",$G1084,$B1084)</f>
        <v>15W S</v>
      </c>
      <c r="K1084" s="8" t="str">
        <f aca="false">IF(COUNTIF($M$1:$M$10,$A1084)&gt;0,"Y","N")</f>
        <v>Y</v>
      </c>
    </row>
    <row r="1085" customFormat="false" ht="15" hidden="false" customHeight="true" outlineLevel="0" collapsed="false">
      <c r="A1085" s="8" t="s">
        <v>44</v>
      </c>
      <c r="B1085" s="8" t="s">
        <v>318</v>
      </c>
      <c r="C1085" s="19" t="n">
        <v>1</v>
      </c>
      <c r="D1085" s="19" t="n">
        <v>140.57</v>
      </c>
      <c r="E1085" s="19" t="n">
        <v>0</v>
      </c>
      <c r="F1085" s="19" t="n">
        <v>0</v>
      </c>
      <c r="G1085" s="8" t="str">
        <f aca="false">IFERROR(INDEX('TRANS'!$B:$B,MATCH($B1085,'TRANS'!$A:$A,0)),IFERROR(INDEX('TRANS'!$B:$B,MATCH(TRIM(SUBSTITUTE($B1085,CHAR(160)," ")),'TRANS'!$D:$D,0)),IFERROR(INDEX('Catalog'!$A:$A,MATCH($B1085,'Catalog'!$B:$B,0)),IFERROR(INDEX('Catalog'!$A:$A,MATCH(TRIM(SUBSTITUTE($B1085,CHAR(160)," ")),'Catalog'!$C:$C,0)),""))))</f>
        <v/>
      </c>
      <c r="H1085" s="8" t="str">
        <f aca="false">IFERROR(INDEX('TRANS'!$C:$C,MATCH($B1085,'TRANS'!$A:$A,0)),IFERROR(INDEX('Catalog'!$B:$B,MATCH($G1085,'Catalog'!$A:$A,0)),$B1085))</f>
        <v>15W XXL</v>
      </c>
      <c r="I1085" s="8" t="str">
        <f aca="false">IF($G1085="","Unmatched","Matched")</f>
        <v>Unmatched</v>
      </c>
      <c r="J1085" s="8" t="str">
        <f aca="false">IF($G1085&lt;&gt;"",$G1085,$B1085)</f>
        <v>15W XXL</v>
      </c>
      <c r="K1085" s="8" t="str">
        <f aca="false">IF(COUNTIF($M$1:$M$10,$A1085)&gt;0,"Y","N")</f>
        <v>Y</v>
      </c>
    </row>
    <row r="1086" customFormat="false" ht="15" hidden="false" customHeight="true" outlineLevel="0" collapsed="false">
      <c r="A1086" s="8" t="s">
        <v>44</v>
      </c>
      <c r="B1086" s="8" t="s">
        <v>344</v>
      </c>
      <c r="C1086" s="19" t="n">
        <v>0</v>
      </c>
      <c r="D1086" s="19" t="n">
        <v>0</v>
      </c>
      <c r="E1086" s="19" t="n">
        <v>1</v>
      </c>
      <c r="F1086" s="19" t="n">
        <v>84.32</v>
      </c>
      <c r="G1086" s="8" t="str">
        <f aca="false">IFERROR(INDEX('TRANS'!$B:$B,MATCH($B1086,'TRANS'!$A:$A,0)),IFERROR(INDEX('TRANS'!$B:$B,MATCH(TRIM(SUBSTITUTE($B1086,CHAR(160)," ")),'TRANS'!$D:$D,0)),IFERROR(INDEX('Catalog'!$A:$A,MATCH($B1086,'Catalog'!$B:$B,0)),IFERROR(INDEX('Catalog'!$A:$A,MATCH(TRIM(SUBSTITUTE($B1086,CHAR(160)," ")),'Catalog'!$C:$C,0)),""))))</f>
        <v/>
      </c>
      <c r="H1086" s="8" t="str">
        <f aca="false">IFERROR(INDEX('TRANS'!$C:$C,MATCH($B1086,'TRANS'!$A:$A,0)),IFERROR(INDEX('Catalog'!$B:$B,MATCH($G1086,'Catalog'!$A:$A,0)),$B1086))</f>
        <v>56B S</v>
      </c>
      <c r="I1086" s="8" t="str">
        <f aca="false">IF($G1086="","Unmatched","Matched")</f>
        <v>Unmatched</v>
      </c>
      <c r="J1086" s="8" t="str">
        <f aca="false">IF($G1086&lt;&gt;"",$G1086,$B1086)</f>
        <v>56B S</v>
      </c>
      <c r="K1086" s="8" t="str">
        <f aca="false">IF(COUNTIF($M$1:$M$10,$A1086)&gt;0,"Y","N")</f>
        <v>Y</v>
      </c>
    </row>
    <row r="1087" customFormat="false" ht="15" hidden="false" customHeight="true" outlineLevel="0" collapsed="false">
      <c r="A1087" s="8" t="s">
        <v>44</v>
      </c>
      <c r="B1087" s="8" t="s">
        <v>991</v>
      </c>
      <c r="C1087" s="19" t="n">
        <v>4</v>
      </c>
      <c r="D1087" s="19" t="n">
        <v>535.26</v>
      </c>
      <c r="E1087" s="19" t="n">
        <v>0</v>
      </c>
      <c r="F1087" s="19" t="n">
        <v>0</v>
      </c>
      <c r="G1087" s="8" t="n">
        <f aca="false">IFERROR(INDEX('TRANS'!$B:$B,MATCH($B1087,'TRANS'!$A:$A,0)),IFERROR(INDEX('TRANS'!$B:$B,MATCH(TRIM(SUBSTITUTE($B1087,CHAR(160)," ")),'TRANS'!$D:$D,0)),IFERROR(INDEX('Catalog'!$A:$A,MATCH($B1087,'Catalog'!$B:$B,0)),IFERROR(INDEX('Catalog'!$A:$A,MATCH(TRIM(SUBSTITUTE($B1087,CHAR(160)," ")),'Catalog'!$C:$C,0)),""))))</f>
        <v>4408148</v>
      </c>
      <c r="H1087" s="8" t="str">
        <f aca="false">IFERROR(INDEX('TRANS'!$C:$C,MATCH($B1087,'TRANS'!$A:$A,0)),IFERROR(INDEX('Catalog'!$B:$B,MATCH($G1087,'Catalog'!$A:$A,0)),$B1087))</f>
        <v>11PS XLחגורה למנותחי בטן</v>
      </c>
      <c r="I1087" s="8" t="str">
        <f aca="false">IF($G1087="","Unmatched","Matched")</f>
        <v>Matched</v>
      </c>
      <c r="J1087" s="8" t="n">
        <f aca="false">IF($G1087&lt;&gt;"",$G1087,$B1087)</f>
        <v>4408148</v>
      </c>
      <c r="K1087" s="8" t="str">
        <f aca="false">IF(COUNTIF($M$1:$M$10,$A1087)&gt;0,"Y","N")</f>
        <v>Y</v>
      </c>
    </row>
    <row r="1088" customFormat="false" ht="15" hidden="false" customHeight="true" outlineLevel="0" collapsed="false">
      <c r="A1088" s="8" t="s">
        <v>44</v>
      </c>
      <c r="B1088" s="8" t="s">
        <v>794</v>
      </c>
      <c r="C1088" s="19" t="n">
        <v>1</v>
      </c>
      <c r="D1088" s="19" t="n">
        <v>30.89</v>
      </c>
      <c r="E1088" s="19" t="n">
        <v>0</v>
      </c>
      <c r="F1088" s="19" t="n">
        <v>0</v>
      </c>
      <c r="G1088" s="8" t="n">
        <f aca="false">IFERROR(INDEX('TRANS'!$B:$B,MATCH($B1088,'TRANS'!$A:$A,0)),IFERROR(INDEX('TRANS'!$B:$B,MATCH(TRIM(SUBSTITUTE($B1088,CHAR(160)," ")),'TRANS'!$D:$D,0)),IFERROR(INDEX('Catalog'!$A:$A,MATCH($B1088,'Catalog'!$B:$B,0)),IFERROR(INDEX('Catalog'!$A:$A,MATCH(TRIM(SUBSTITUTE($B1088,CHAR(160)," ")),'Catalog'!$C:$C,0)),""))))</f>
        <v>4413051</v>
      </c>
      <c r="H1088" s="8" t="str">
        <f aca="false">IFERROR(INDEX('TRANS'!$C:$C,MATCH($B1088,'TRANS'!$A:$A,0)),IFERROR(INDEX('Catalog'!$B:$B,MATCH($G1088,'Catalog'!$A:$A,0)),$B1088))</f>
        <v>35 XXL מגן קרסול לבן</v>
      </c>
      <c r="I1088" s="8" t="str">
        <f aca="false">IF($G1088="","Unmatched","Matched")</f>
        <v>Matched</v>
      </c>
      <c r="J1088" s="8" t="n">
        <f aca="false">IF($G1088&lt;&gt;"",$G1088,$B1088)</f>
        <v>4413051</v>
      </c>
      <c r="K1088" s="8" t="str">
        <f aca="false">IF(COUNTIF($M$1:$M$10,$A1088)&gt;0,"Y","N")</f>
        <v>Y</v>
      </c>
    </row>
    <row r="1089" customFormat="false" ht="15" hidden="false" customHeight="true" outlineLevel="0" collapsed="false">
      <c r="A1089" s="8" t="s">
        <v>44</v>
      </c>
      <c r="B1089" s="8" t="s">
        <v>724</v>
      </c>
      <c r="C1089" s="19" t="n">
        <v>3</v>
      </c>
      <c r="D1089" s="19" t="n">
        <v>219.69</v>
      </c>
      <c r="E1089" s="19" t="n">
        <v>3</v>
      </c>
      <c r="F1089" s="19" t="n">
        <v>220.64</v>
      </c>
      <c r="G1089" s="8" t="n">
        <f aca="false">IFERROR(INDEX('TRANS'!$B:$B,MATCH($B1089,'TRANS'!$A:$A,0)),IFERROR(INDEX('TRANS'!$B:$B,MATCH(TRIM(SUBSTITUTE($B1089,CHAR(160)," ")),'TRANS'!$D:$D,0)),IFERROR(INDEX('Catalog'!$A:$A,MATCH($B1089,'Catalog'!$B:$B,0)),IFERROR(INDEX('Catalog'!$A:$A,MATCH(TRIM(SUBSTITUTE($B1089,CHAR(160)," ")),'Catalog'!$C:$C,0)),""))))</f>
        <v>4408206</v>
      </c>
      <c r="H1089" s="8" t="str">
        <f aca="false">IFERROR(INDEX('TRANS'!$C:$C,MATCH($B1089,'TRANS'!$A:$A,0)),IFERROR(INDEX('Catalog'!$B:$B,MATCH($G1089,'Catalog'!$A:$A,0)),$B1089))</f>
        <v>AC-11 חגורת בטן קלה</v>
      </c>
      <c r="I1089" s="8" t="str">
        <f aca="false">IF($G1089="","Unmatched","Matched")</f>
        <v>Matched</v>
      </c>
      <c r="J1089" s="8" t="n">
        <f aca="false">IF($G1089&lt;&gt;"",$G1089,$B1089)</f>
        <v>4408206</v>
      </c>
      <c r="K1089" s="8" t="str">
        <f aca="false">IF(COUNTIF($M$1:$M$10,$A1089)&gt;0,"Y","N")</f>
        <v>Y</v>
      </c>
    </row>
    <row r="1090" customFormat="false" ht="15" hidden="false" customHeight="true" outlineLevel="0" collapsed="false">
      <c r="A1090" s="8" t="s">
        <v>44</v>
      </c>
      <c r="B1090" s="8" t="s">
        <v>579</v>
      </c>
      <c r="C1090" s="19" t="n">
        <v>2</v>
      </c>
      <c r="D1090" s="19" t="n">
        <v>66.09</v>
      </c>
      <c r="E1090" s="19" t="n">
        <v>1</v>
      </c>
      <c r="F1090" s="19" t="n">
        <v>37.45</v>
      </c>
      <c r="G1090" s="8" t="n">
        <f aca="false">IFERROR(INDEX('TRANS'!$B:$B,MATCH($B1090,'TRANS'!$A:$A,0)),IFERROR(INDEX('TRANS'!$B:$B,MATCH(TRIM(SUBSTITUTE($B1090,CHAR(160)," ")),'TRANS'!$D:$D,0)),IFERROR(INDEX('Catalog'!$A:$A,MATCH($B1090,'Catalog'!$B:$B,0)),IFERROR(INDEX('Catalog'!$A:$A,MATCH(TRIM(SUBSTITUTE($B1090,CHAR(160)," ")),'Catalog'!$C:$C,0)),""))))</f>
        <v>4411019</v>
      </c>
      <c r="H1090" s="8" t="str">
        <f aca="false">IFERROR(INDEX('TRANS'!$C:$C,MATCH($B1090,'TRANS'!$A:$A,0)),IFERROR(INDEX('Catalog'!$B:$B,MATCH($G1090,'Catalog'!$A:$A,0)),$B1090))</f>
        <v>211S כפפות לחץ</v>
      </c>
      <c r="I1090" s="8" t="str">
        <f aca="false">IF($G1090="","Unmatched","Matched")</f>
        <v>Matched</v>
      </c>
      <c r="J1090" s="8" t="n">
        <f aca="false">IF($G1090&lt;&gt;"",$G1090,$B1090)</f>
        <v>4411019</v>
      </c>
      <c r="K1090" s="8" t="str">
        <f aca="false">IF(COUNTIF($M$1:$M$10,$A1090)&gt;0,"Y","N")</f>
        <v>Y</v>
      </c>
    </row>
    <row r="1091" customFormat="false" ht="15" hidden="false" customHeight="true" outlineLevel="0" collapsed="false">
      <c r="A1091" s="8" t="s">
        <v>44</v>
      </c>
      <c r="B1091" s="8" t="s">
        <v>582</v>
      </c>
      <c r="C1091" s="19" t="n">
        <v>3</v>
      </c>
      <c r="D1091" s="19" t="n">
        <v>110.61</v>
      </c>
      <c r="E1091" s="19" t="n">
        <v>2</v>
      </c>
      <c r="F1091" s="19" t="n">
        <v>79.59</v>
      </c>
      <c r="G1091" s="8" t="n">
        <f aca="false">IFERROR(INDEX('TRANS'!$B:$B,MATCH($B1091,'TRANS'!$A:$A,0)),IFERROR(INDEX('TRANS'!$B:$B,MATCH(TRIM(SUBSTITUTE($B1091,CHAR(160)," ")),'TRANS'!$D:$D,0)),IFERROR(INDEX('Catalog'!$A:$A,MATCH($B1091,'Catalog'!$B:$B,0)),IFERROR(INDEX('Catalog'!$A:$A,MATCH(TRIM(SUBSTITUTE($B1091,CHAR(160)," ")),'Catalog'!$C:$C,0)),""))))</f>
        <v>4411023</v>
      </c>
      <c r="H1091" s="8" t="str">
        <f aca="false">IFERROR(INDEX('TRANS'!$C:$C,MATCH($B1091,'TRANS'!$A:$A,0)),IFERROR(INDEX('Catalog'!$B:$B,MATCH($G1091,'Catalog'!$A:$A,0)),$B1091))</f>
        <v>212S כפפות אגודל לחץ</v>
      </c>
      <c r="I1091" s="8" t="str">
        <f aca="false">IF($G1091="","Unmatched","Matched")</f>
        <v>Matched</v>
      </c>
      <c r="J1091" s="8" t="n">
        <f aca="false">IF($G1091&lt;&gt;"",$G1091,$B1091)</f>
        <v>4411023</v>
      </c>
      <c r="K1091" s="8" t="str">
        <f aca="false">IF(COUNTIF($M$1:$M$10,$A1091)&gt;0,"Y","N")</f>
        <v>Y</v>
      </c>
    </row>
    <row r="1092" customFormat="false" ht="15" hidden="false" customHeight="true" outlineLevel="0" collapsed="false">
      <c r="A1092" s="8" t="s">
        <v>44</v>
      </c>
      <c r="B1092" s="8" t="s">
        <v>532</v>
      </c>
      <c r="C1092" s="19" t="n">
        <v>0</v>
      </c>
      <c r="D1092" s="19" t="n">
        <v>0</v>
      </c>
      <c r="E1092" s="19" t="n">
        <v>-1</v>
      </c>
      <c r="F1092" s="19" t="n">
        <v>-524.93</v>
      </c>
      <c r="G1092" s="8" t="str">
        <f aca="false">IFERROR(INDEX('TRANS'!$B:$B,MATCH($B1092,'TRANS'!$A:$A,0)),IFERROR(INDEX('TRANS'!$B:$B,MATCH(TRIM(SUBSTITUTE($B1092,CHAR(160)," ")),'TRANS'!$D:$D,0)),IFERROR(INDEX('Catalog'!$A:$A,MATCH($B1092,'Catalog'!$B:$B,0)),IFERROR(INDEX('Catalog'!$A:$A,MATCH(TRIM(SUBSTITUTE($B1092,CHAR(160)," ")),'Catalog'!$C:$C,0)),""))))</f>
        <v/>
      </c>
      <c r="H1092" s="8" t="str">
        <f aca="false">IFERROR(INDEX('TRANS'!$C:$C,MATCH($B1092,'TRANS'!$A:$A,0)),IFERROR(INDEX('Catalog'!$B:$B,MATCH($G1092,'Catalog'!$A:$A,0)),$B1092))</f>
        <v>MSG001FW</v>
      </c>
      <c r="I1092" s="8" t="str">
        <f aca="false">IF($G1092="","Unmatched","Matched")</f>
        <v>Unmatched</v>
      </c>
      <c r="J1092" s="8" t="str">
        <f aca="false">IF($G1092&lt;&gt;"",$G1092,$B1092)</f>
        <v>MSG001FW</v>
      </c>
      <c r="K1092" s="8" t="str">
        <f aca="false">IF(COUNTIF($M$1:$M$10,$A1092)&gt;0,"Y","N")</f>
        <v>Y</v>
      </c>
    </row>
    <row r="1093" customFormat="false" ht="15" hidden="false" customHeight="true" outlineLevel="0" collapsed="false">
      <c r="A1093" s="8" t="s">
        <v>44</v>
      </c>
      <c r="B1093" s="8" t="s">
        <v>345</v>
      </c>
      <c r="C1093" s="19" t="n">
        <v>0</v>
      </c>
      <c r="D1093" s="19" t="n">
        <v>0</v>
      </c>
      <c r="E1093" s="19" t="n">
        <v>1</v>
      </c>
      <c r="F1093" s="19" t="n">
        <v>34.96</v>
      </c>
      <c r="G1093" s="8" t="str">
        <f aca="false">IFERROR(INDEX('TRANS'!$B:$B,MATCH($B1093,'TRANS'!$A:$A,0)),IFERROR(INDEX('TRANS'!$B:$B,MATCH(TRIM(SUBSTITUTE($B1093,CHAR(160)," ")),'TRANS'!$D:$D,0)),IFERROR(INDEX('Catalog'!$A:$A,MATCH($B1093,'Catalog'!$B:$B,0)),IFERROR(INDEX('Catalog'!$A:$A,MATCH(TRIM(SUBSTITUTE($B1093,CHAR(160)," ")),'Catalog'!$C:$C,0)),""))))</f>
        <v/>
      </c>
      <c r="H1093" s="8" t="str">
        <f aca="false">IFERROR(INDEX('TRANS'!$C:$C,MATCH($B1093,'TRANS'!$A:$A,0)),IFERROR(INDEX('Catalog'!$B:$B,MATCH($G1093,'Catalog'!$A:$A,0)),$B1093))</f>
        <v>VMSPCB50 0</v>
      </c>
      <c r="I1093" s="8" t="str">
        <f aca="false">IF($G1093="","Unmatched","Matched")</f>
        <v>Unmatched</v>
      </c>
      <c r="J1093" s="8" t="str">
        <f aca="false">IF($G1093&lt;&gt;"",$G1093,$B1093)</f>
        <v>VMSPCB50 0</v>
      </c>
      <c r="K1093" s="8" t="str">
        <f aca="false">IF(COUNTIF($M$1:$M$10,$A1093)&gt;0,"Y","N")</f>
        <v>Y</v>
      </c>
    </row>
    <row r="1094" customFormat="false" ht="15" hidden="false" customHeight="true" outlineLevel="0" collapsed="false">
      <c r="A1094" s="8" t="s">
        <v>44</v>
      </c>
      <c r="B1094" s="8" t="s">
        <v>271</v>
      </c>
      <c r="C1094" s="19" t="n">
        <v>2</v>
      </c>
      <c r="D1094" s="19" t="n">
        <v>79.59</v>
      </c>
      <c r="E1094" s="19" t="n">
        <v>1</v>
      </c>
      <c r="F1094" s="19" t="n">
        <v>39.8</v>
      </c>
      <c r="G1094" s="8" t="str">
        <f aca="false">IFERROR(INDEX('TRANS'!$B:$B,MATCH($B1094,'TRANS'!$A:$A,0)),IFERROR(INDEX('TRANS'!$B:$B,MATCH(TRIM(SUBSTITUTE($B1094,CHAR(160)," ")),'TRANS'!$D:$D,0)),IFERROR(INDEX('Catalog'!$A:$A,MATCH($B1094,'Catalog'!$B:$B,0)),IFERROR(INDEX('Catalog'!$A:$A,MATCH(TRIM(SUBSTITUTE($B1094,CHAR(160)," ")),'Catalog'!$C:$C,0)),""))))</f>
        <v/>
      </c>
      <c r="H1094" s="8" t="str">
        <f aca="false">IFERROR(INDEX('TRANS'!$C:$C,MATCH($B1094,'TRANS'!$A:$A,0)),IFERROR(INDEX('Catalog'!$B:$B,MATCH($G1094,'Catalog'!$A:$A,0)),$B1094))</f>
        <v>21 XXL</v>
      </c>
      <c r="I1094" s="8" t="str">
        <f aca="false">IF($G1094="","Unmatched","Matched")</f>
        <v>Unmatched</v>
      </c>
      <c r="J1094" s="8" t="str">
        <f aca="false">IF($G1094&lt;&gt;"",$G1094,$B1094)</f>
        <v>21 XXL</v>
      </c>
      <c r="K1094" s="8" t="str">
        <f aca="false">IF(COUNTIF($M$1:$M$10,$A1094)&gt;0,"Y","N")</f>
        <v>Y</v>
      </c>
    </row>
    <row r="1095" customFormat="false" ht="15" hidden="false" customHeight="true" outlineLevel="0" collapsed="false">
      <c r="A1095" s="8" t="s">
        <v>44</v>
      </c>
      <c r="B1095" s="8" t="s">
        <v>346</v>
      </c>
      <c r="C1095" s="19" t="n">
        <v>0</v>
      </c>
      <c r="D1095" s="19" t="n">
        <v>0</v>
      </c>
      <c r="E1095" s="19" t="n">
        <v>1</v>
      </c>
      <c r="F1095" s="19" t="n">
        <v>103.07</v>
      </c>
      <c r="G1095" s="8" t="str">
        <f aca="false">IFERROR(INDEX('TRANS'!$B:$B,MATCH($B1095,'TRANS'!$A:$A,0)),IFERROR(INDEX('TRANS'!$B:$B,MATCH(TRIM(SUBSTITUTE($B1095,CHAR(160)," ")),'TRANS'!$D:$D,0)),IFERROR(INDEX('Catalog'!$A:$A,MATCH($B1095,'Catalog'!$B:$B,0)),IFERROR(INDEX('Catalog'!$A:$A,MATCH(TRIM(SUBSTITUTE($B1095,CHAR(160)," ")),'Catalog'!$C:$C,0)),""))))</f>
        <v/>
      </c>
      <c r="H1095" s="8" t="str">
        <f aca="false">IFERROR(INDEX('TRANS'!$C:$C,MATCH($B1095,'TRANS'!$A:$A,0)),IFERROR(INDEX('Catalog'!$B:$B,MATCH($G1095,'Catalog'!$A:$A,0)),$B1095))</f>
        <v>28 XXL</v>
      </c>
      <c r="I1095" s="8" t="str">
        <f aca="false">IF($G1095="","Unmatched","Matched")</f>
        <v>Unmatched</v>
      </c>
      <c r="J1095" s="8" t="str">
        <f aca="false">IF($G1095&lt;&gt;"",$G1095,$B1095)</f>
        <v>28 XXL</v>
      </c>
      <c r="K1095" s="8" t="str">
        <f aca="false">IF(COUNTIF($M$1:$M$10,$A1095)&gt;0,"Y","N")</f>
        <v>Y</v>
      </c>
    </row>
    <row r="1096" customFormat="false" ht="15" hidden="false" customHeight="true" outlineLevel="0" collapsed="false">
      <c r="A1096" s="8" t="s">
        <v>44</v>
      </c>
      <c r="B1096" s="8" t="s">
        <v>112</v>
      </c>
      <c r="C1096" s="19" t="n">
        <v>3</v>
      </c>
      <c r="D1096" s="19" t="n">
        <v>90</v>
      </c>
      <c r="E1096" s="19" t="n">
        <v>0</v>
      </c>
      <c r="F1096" s="19" t="n">
        <v>0</v>
      </c>
      <c r="G1096" s="8" t="str">
        <f aca="false">IFERROR(INDEX('TRANS'!$B:$B,MATCH($B1096,'TRANS'!$A:$A,0)),IFERROR(INDEX('TRANS'!$B:$B,MATCH(TRIM(SUBSTITUTE($B1096,CHAR(160)," ")),'TRANS'!$D:$D,0)),IFERROR(INDEX('Catalog'!$A:$A,MATCH($B1096,'Catalog'!$B:$B,0)),IFERROR(INDEX('Catalog'!$A:$A,MATCH(TRIM(SUBSTITUTE($B1096,CHAR(160)," ")),'Catalog'!$C:$C,0)),""))))</f>
        <v/>
      </c>
      <c r="H1096" s="8" t="str">
        <f aca="false">IFERROR(INDEX('TRANS'!$C:$C,MATCH($B1096,'TRANS'!$A:$A,0)),IFERROR(INDEX('Catalog'!$B:$B,MATCH($G1096,'Catalog'!$A:$A,0)),$B1096))</f>
        <v>808KTP-B</v>
      </c>
      <c r="I1096" s="8" t="str">
        <f aca="false">IF($G1096="","Unmatched","Matched")</f>
        <v>Unmatched</v>
      </c>
      <c r="J1096" s="8" t="str">
        <f aca="false">IF($G1096&lt;&gt;"",$G1096,$B1096)</f>
        <v>808KTP-B</v>
      </c>
      <c r="K1096" s="8" t="str">
        <f aca="false">IF(COUNTIF($M$1:$M$10,$A1096)&gt;0,"Y","N")</f>
        <v>Y</v>
      </c>
    </row>
    <row r="1097" customFormat="false" ht="15" hidden="false" customHeight="true" outlineLevel="0" collapsed="false">
      <c r="A1097" s="8" t="s">
        <v>44</v>
      </c>
      <c r="B1097" s="8" t="s">
        <v>266</v>
      </c>
      <c r="C1097" s="19" t="n">
        <v>1</v>
      </c>
      <c r="D1097" s="19" t="n">
        <v>67.55</v>
      </c>
      <c r="E1097" s="19" t="n">
        <v>0</v>
      </c>
      <c r="F1097" s="19" t="n">
        <v>0</v>
      </c>
      <c r="G1097" s="8" t="str">
        <f aca="false">IFERROR(INDEX('TRANS'!$B:$B,MATCH($B1097,'TRANS'!$A:$A,0)),IFERROR(INDEX('TRANS'!$B:$B,MATCH(TRIM(SUBSTITUTE($B1097,CHAR(160)," ")),'TRANS'!$D:$D,0)),IFERROR(INDEX('Catalog'!$A:$A,MATCH($B1097,'Catalog'!$B:$B,0)),IFERROR(INDEX('Catalog'!$A:$A,MATCH(TRIM(SUBSTITUTE($B1097,CHAR(160)," ")),'Catalog'!$C:$C,0)),""))))</f>
        <v/>
      </c>
      <c r="H1097" s="8" t="str">
        <f aca="false">IFERROR(INDEX('TRANS'!$C:$C,MATCH($B1097,'TRANS'!$A:$A,0)),IFERROR(INDEX('Catalog'!$B:$B,MATCH($G1097,'Catalog'!$A:$A,0)),$B1097))</f>
        <v>T28A XS</v>
      </c>
      <c r="I1097" s="8" t="str">
        <f aca="false">IF($G1097="","Unmatched","Matched")</f>
        <v>Unmatched</v>
      </c>
      <c r="J1097" s="8" t="str">
        <f aca="false">IF($G1097&lt;&gt;"",$G1097,$B1097)</f>
        <v>T28A XS</v>
      </c>
      <c r="K1097" s="8" t="str">
        <f aca="false">IF(COUNTIF($M$1:$M$10,$A1097)&gt;0,"Y","N")</f>
        <v>Y</v>
      </c>
    </row>
    <row r="1098" customFormat="false" ht="15" hidden="false" customHeight="true" outlineLevel="0" collapsed="false">
      <c r="A1098" s="8" t="s">
        <v>44</v>
      </c>
      <c r="B1098" s="8" t="s">
        <v>212</v>
      </c>
      <c r="C1098" s="19" t="n">
        <v>1</v>
      </c>
      <c r="D1098" s="19" t="n">
        <v>46.82</v>
      </c>
      <c r="E1098" s="19" t="n">
        <v>2</v>
      </c>
      <c r="F1098" s="19" t="n">
        <v>87.4</v>
      </c>
      <c r="G1098" s="8" t="str">
        <f aca="false">IFERROR(INDEX('TRANS'!$B:$B,MATCH($B1098,'TRANS'!$A:$A,0)),IFERROR(INDEX('TRANS'!$B:$B,MATCH(TRIM(SUBSTITUTE($B1098,CHAR(160)," ")),'TRANS'!$D:$D,0)),IFERROR(INDEX('Catalog'!$A:$A,MATCH($B1098,'Catalog'!$B:$B,0)),IFERROR(INDEX('Catalog'!$A:$A,MATCH(TRIM(SUBSTITUTE($B1098,CHAR(160)," ")),'Catalog'!$C:$C,0)),""))))</f>
        <v/>
      </c>
      <c r="H1098" s="8" t="str">
        <f aca="false">IFERROR(INDEX('TRANS'!$C:$C,MATCH($B1098,'TRANS'!$A:$A,0)),IFERROR(INDEX('Catalog'!$B:$B,MATCH($G1098,'Catalog'!$A:$A,0)),$B1098))</f>
        <v>34 XS</v>
      </c>
      <c r="I1098" s="8" t="str">
        <f aca="false">IF($G1098="","Unmatched","Matched")</f>
        <v>Unmatched</v>
      </c>
      <c r="J1098" s="8" t="str">
        <f aca="false">IF($G1098&lt;&gt;"",$G1098,$B1098)</f>
        <v>34 XS</v>
      </c>
      <c r="K1098" s="8" t="str">
        <f aca="false">IF(COUNTIF($M$1:$M$10,$A1098)&gt;0,"Y","N")</f>
        <v>Y</v>
      </c>
    </row>
    <row r="1099" customFormat="false" ht="15" hidden="false" customHeight="true" outlineLevel="0" collapsed="false">
      <c r="A1099" s="8" t="s">
        <v>44</v>
      </c>
      <c r="B1099" s="8" t="s">
        <v>197</v>
      </c>
      <c r="C1099" s="19" t="n">
        <v>1</v>
      </c>
      <c r="D1099" s="19" t="n">
        <v>70.26</v>
      </c>
      <c r="E1099" s="19" t="n">
        <v>0</v>
      </c>
      <c r="F1099" s="19" t="n">
        <v>0</v>
      </c>
      <c r="G1099" s="8" t="str">
        <f aca="false">IFERROR(INDEX('TRANS'!$B:$B,MATCH($B1099,'TRANS'!$A:$A,0)),IFERROR(INDEX('TRANS'!$B:$B,MATCH(TRIM(SUBSTITUTE($B1099,CHAR(160)," ")),'TRANS'!$D:$D,0)),IFERROR(INDEX('Catalog'!$A:$A,MATCH($B1099,'Catalog'!$B:$B,0)),IFERROR(INDEX('Catalog'!$A:$A,MATCH(TRIM(SUBSTITUTE($B1099,CHAR(160)," ")),'Catalog'!$C:$C,0)),""))))</f>
        <v/>
      </c>
      <c r="H1099" s="8" t="str">
        <f aca="false">IFERROR(INDEX('TRANS'!$C:$C,MATCH($B1099,'TRANS'!$A:$A,0)),IFERROR(INDEX('Catalog'!$B:$B,MATCH($G1099,'Catalog'!$A:$A,0)),$B1099))</f>
        <v>34+ XS</v>
      </c>
      <c r="I1099" s="8" t="str">
        <f aca="false">IF($G1099="","Unmatched","Matched")</f>
        <v>Unmatched</v>
      </c>
      <c r="J1099" s="8" t="str">
        <f aca="false">IF($G1099&lt;&gt;"",$G1099,$B1099)</f>
        <v>34+ XS</v>
      </c>
      <c r="K1099" s="8" t="str">
        <f aca="false">IF(COUNTIF($M$1:$M$10,$A1099)&gt;0,"Y","N")</f>
        <v>Y</v>
      </c>
    </row>
    <row r="1100" customFormat="false" ht="15" hidden="false" customHeight="true" outlineLevel="0" collapsed="false">
      <c r="A1100" s="8" t="s">
        <v>44</v>
      </c>
      <c r="B1100" s="8" t="s">
        <v>619</v>
      </c>
      <c r="C1100" s="19" t="n">
        <v>2</v>
      </c>
      <c r="D1100" s="19" t="n">
        <v>49.89</v>
      </c>
      <c r="E1100" s="19" t="n">
        <v>1</v>
      </c>
      <c r="F1100" s="19" t="n">
        <v>30.89</v>
      </c>
      <c r="G1100" s="8" t="n">
        <f aca="false">IFERROR(INDEX('TRANS'!$B:$B,MATCH($B1100,'TRANS'!$A:$A,0)),IFERROR(INDEX('TRANS'!$B:$B,MATCH(TRIM(SUBSTITUTE($B1100,CHAR(160)," ")),'TRANS'!$D:$D,0)),IFERROR(INDEX('Catalog'!$A:$A,MATCH($B1100,'Catalog'!$B:$B,0)),IFERROR(INDEX('Catalog'!$A:$A,MATCH(TRIM(SUBSTITUTE($B1100,CHAR(160)," ")),'Catalog'!$C:$C,0)),""))))</f>
        <v>4413494</v>
      </c>
      <c r="H1100" s="8" t="str">
        <f aca="false">IFERROR(INDEX('TRANS'!$C:$C,MATCH($B1100,'TRANS'!$A:$A,0)),IFERROR(INDEX('Catalog'!$B:$B,MATCH($G1100,'Catalog'!$A:$A,0)),$B1100))</f>
        <v>35B XXL מגן קרסול שחור</v>
      </c>
      <c r="I1100" s="8" t="str">
        <f aca="false">IF($G1100="","Unmatched","Matched")</f>
        <v>Matched</v>
      </c>
      <c r="J1100" s="8" t="n">
        <f aca="false">IF($G1100&lt;&gt;"",$G1100,$B1100)</f>
        <v>4413494</v>
      </c>
      <c r="K1100" s="8" t="str">
        <f aca="false">IF(COUNTIF($M$1:$M$10,$A1100)&gt;0,"Y","N")</f>
        <v>Y</v>
      </c>
    </row>
    <row r="1101" customFormat="false" ht="15" hidden="false" customHeight="true" outlineLevel="0" collapsed="false">
      <c r="A1101" s="8" t="s">
        <v>44</v>
      </c>
      <c r="B1101" s="8" t="s">
        <v>475</v>
      </c>
      <c r="C1101" s="19" t="n">
        <v>-1</v>
      </c>
      <c r="D1101" s="19" t="n">
        <v>-236.32</v>
      </c>
      <c r="E1101" s="19" t="n">
        <v>0</v>
      </c>
      <c r="F1101" s="19" t="n">
        <v>0</v>
      </c>
      <c r="G1101" s="8" t="str">
        <f aca="false">IFERROR(INDEX('TRANS'!$B:$B,MATCH($B1101,'TRANS'!$A:$A,0)),IFERROR(INDEX('TRANS'!$B:$B,MATCH(TRIM(SUBSTITUTE($B1101,CHAR(160)," ")),'TRANS'!$D:$D,0)),IFERROR(INDEX('Catalog'!$A:$A,MATCH($B1101,'Catalog'!$B:$B,0)),IFERROR(INDEX('Catalog'!$A:$A,MATCH(TRIM(SUBSTITUTE($B1101,CHAR(160)," ")),'Catalog'!$C:$C,0)),""))))</f>
        <v/>
      </c>
      <c r="H1101" s="8" t="str">
        <f aca="false">IFERROR(INDEX('TRANS'!$C:$C,MATCH($B1101,'TRANS'!$A:$A,0)),IFERROR(INDEX('Catalog'!$B:$B,MATCH($G1101,'Catalog'!$A:$A,0)),$B1101))</f>
        <v>T32 M</v>
      </c>
      <c r="I1101" s="8" t="str">
        <f aca="false">IF($G1101="","Unmatched","Matched")</f>
        <v>Unmatched</v>
      </c>
      <c r="J1101" s="8" t="str">
        <f aca="false">IF($G1101&lt;&gt;"",$G1101,$B1101)</f>
        <v>T32 M</v>
      </c>
      <c r="K1101" s="8" t="str">
        <f aca="false">IF(COUNTIF($M$1:$M$10,$A1101)&gt;0,"Y","N")</f>
        <v>Y</v>
      </c>
    </row>
    <row r="1102" customFormat="false" ht="15" hidden="false" customHeight="true" outlineLevel="0" collapsed="false">
      <c r="A1102" s="8" t="s">
        <v>44</v>
      </c>
      <c r="B1102" s="8" t="s">
        <v>245</v>
      </c>
      <c r="C1102" s="19" t="n">
        <v>4</v>
      </c>
      <c r="D1102" s="19" t="n">
        <v>279.98</v>
      </c>
      <c r="E1102" s="19" t="n">
        <v>3</v>
      </c>
      <c r="F1102" s="19" t="n">
        <v>209.99</v>
      </c>
      <c r="G1102" s="8" t="str">
        <f aca="false">IFERROR(INDEX('TRANS'!$B:$B,MATCH($B1102,'TRANS'!$A:$A,0)),IFERROR(INDEX('TRANS'!$B:$B,MATCH(TRIM(SUBSTITUTE($B1102,CHAR(160)," ")),'TRANS'!$D:$D,0)),IFERROR(INDEX('Catalog'!$A:$A,MATCH($B1102,'Catalog'!$B:$B,0)),IFERROR(INDEX('Catalog'!$A:$A,MATCH(TRIM(SUBSTITUTE($B1102,CHAR(160)," ")),'Catalog'!$C:$C,0)),""))))</f>
        <v/>
      </c>
      <c r="H1102" s="8" t="str">
        <f aca="false">IFERROR(INDEX('TRANS'!$C:$C,MATCH($B1102,'TRANS'!$A:$A,0)),IFERROR(INDEX('Catalog'!$B:$B,MATCH($G1102,'Catalog'!$A:$A,0)),$B1102))</f>
        <v>322 S</v>
      </c>
      <c r="I1102" s="8" t="str">
        <f aca="false">IF($G1102="","Unmatched","Matched")</f>
        <v>Unmatched</v>
      </c>
      <c r="J1102" s="8" t="str">
        <f aca="false">IF($G1102&lt;&gt;"",$G1102,$B1102)</f>
        <v>322 S</v>
      </c>
      <c r="K1102" s="8" t="str">
        <f aca="false">IF(COUNTIF($M$1:$M$10,$A1102)&gt;0,"Y","N")</f>
        <v>Y</v>
      </c>
    </row>
    <row r="1103" customFormat="false" ht="15" hidden="false" customHeight="true" outlineLevel="0" collapsed="false">
      <c r="A1103" s="8" t="s">
        <v>44</v>
      </c>
      <c r="B1103" s="8" t="s">
        <v>347</v>
      </c>
      <c r="C1103" s="19" t="n">
        <v>0</v>
      </c>
      <c r="D1103" s="19" t="n">
        <v>0</v>
      </c>
      <c r="E1103" s="19" t="n">
        <v>1</v>
      </c>
      <c r="F1103" s="19" t="n">
        <v>105</v>
      </c>
      <c r="G1103" s="8" t="str">
        <f aca="false">IFERROR(INDEX('TRANS'!$B:$B,MATCH($B1103,'TRANS'!$A:$A,0)),IFERROR(INDEX('TRANS'!$B:$B,MATCH(TRIM(SUBSTITUTE($B1103,CHAR(160)," ")),'TRANS'!$D:$D,0)),IFERROR(INDEX('Catalog'!$A:$A,MATCH($B1103,'Catalog'!$B:$B,0)),IFERROR(INDEX('Catalog'!$A:$A,MATCH(TRIM(SUBSTITUTE($B1103,CHAR(160)," ")),'Catalog'!$C:$C,0)),""))))</f>
        <v/>
      </c>
      <c r="H1103" s="8" t="str">
        <f aca="false">IFERROR(INDEX('TRANS'!$C:$C,MATCH($B1103,'TRANS'!$A:$A,0)),IFERROR(INDEX('Catalog'!$B:$B,MATCH($G1103,'Catalog'!$A:$A,0)),$B1103))</f>
        <v>11STOB XXL</v>
      </c>
      <c r="I1103" s="8" t="str">
        <f aca="false">IF($G1103="","Unmatched","Matched")</f>
        <v>Unmatched</v>
      </c>
      <c r="J1103" s="8" t="str">
        <f aca="false">IF($G1103&lt;&gt;"",$G1103,$B1103)</f>
        <v>11STOB XXL</v>
      </c>
      <c r="K1103" s="8" t="str">
        <f aca="false">IF(COUNTIF($M$1:$M$10,$A1103)&gt;0,"Y","N")</f>
        <v>Y</v>
      </c>
    </row>
    <row r="1104" customFormat="false" ht="15" hidden="false" customHeight="true" outlineLevel="0" collapsed="false">
      <c r="A1104" s="8" t="s">
        <v>44</v>
      </c>
      <c r="B1104" s="8" t="s">
        <v>348</v>
      </c>
      <c r="C1104" s="19" t="n">
        <v>1</v>
      </c>
      <c r="D1104" s="19" t="n">
        <v>302.5</v>
      </c>
      <c r="E1104" s="19" t="n">
        <v>0</v>
      </c>
      <c r="F1104" s="19" t="n">
        <v>0</v>
      </c>
      <c r="G1104" s="8" t="str">
        <f aca="false">IFERROR(INDEX('TRANS'!$B:$B,MATCH($B1104,'TRANS'!$A:$A,0)),IFERROR(INDEX('TRANS'!$B:$B,MATCH(TRIM(SUBSTITUTE($B1104,CHAR(160)," ")),'TRANS'!$D:$D,0)),IFERROR(INDEX('Catalog'!$A:$A,MATCH($B1104,'Catalog'!$B:$B,0)),IFERROR(INDEX('Catalog'!$A:$A,MATCH(TRIM(SUBSTITUTE($B1104,CHAR(160)," ")),'Catalog'!$C:$C,0)),""))))</f>
        <v/>
      </c>
      <c r="H1104" s="8" t="str">
        <f aca="false">IFERROR(INDEX('TRANS'!$C:$C,MATCH($B1104,'TRANS'!$A:$A,0)),IFERROR(INDEX('Catalog'!$B:$B,MATCH($G1104,'Catalog'!$A:$A,0)),$B1104))</f>
        <v>88L- L-XL</v>
      </c>
      <c r="I1104" s="8" t="str">
        <f aca="false">IF($G1104="","Unmatched","Matched")</f>
        <v>Unmatched</v>
      </c>
      <c r="J1104" s="8" t="str">
        <f aca="false">IF($G1104&lt;&gt;"",$G1104,$B1104)</f>
        <v>88L- L-XL</v>
      </c>
      <c r="K1104" s="8" t="str">
        <f aca="false">IF(COUNTIF($M$1:$M$10,$A1104)&gt;0,"Y","N")</f>
        <v>Y</v>
      </c>
    </row>
    <row r="1105" customFormat="false" ht="15" hidden="false" customHeight="true" outlineLevel="0" collapsed="false">
      <c r="A1105" s="8" t="s">
        <v>44</v>
      </c>
      <c r="B1105" s="8" t="s">
        <v>683</v>
      </c>
      <c r="C1105" s="19" t="n">
        <v>3</v>
      </c>
      <c r="D1105" s="19" t="n">
        <v>112.36</v>
      </c>
      <c r="E1105" s="19" t="n">
        <v>0</v>
      </c>
      <c r="F1105" s="19" t="n">
        <v>0</v>
      </c>
      <c r="G1105" s="8" t="n">
        <f aca="false">IFERROR(INDEX('TRANS'!$B:$B,MATCH($B1105,'TRANS'!$A:$A,0)),IFERROR(INDEX('TRANS'!$B:$B,MATCH(TRIM(SUBSTITUTE($B1105,CHAR(160)," ")),'TRANS'!$D:$D,0)),IFERROR(INDEX('Catalog'!$A:$A,MATCH($B1105,'Catalog'!$B:$B,0)),IFERROR(INDEX('Catalog'!$A:$A,MATCH(TRIM(SUBSTITUTE($B1105,CHAR(160)," ")),'Catalog'!$C:$C,0)),""))))</f>
        <v>4413396</v>
      </c>
      <c r="H1105" s="8" t="str">
        <f aca="false">IFERROR(INDEX('TRANS'!$C:$C,MATCH($B1105,'TRANS'!$A:$A,0)),IFERROR(INDEX('Catalog'!$B:$B,MATCH($G1105,'Catalog'!$A:$A,0)),$B1105))</f>
        <v>45EC L 'מגן ברך ארוך בז</v>
      </c>
      <c r="I1105" s="8" t="str">
        <f aca="false">IF($G1105="","Unmatched","Matched")</f>
        <v>Matched</v>
      </c>
      <c r="J1105" s="8" t="n">
        <f aca="false">IF($G1105&lt;&gt;"",$G1105,$B1105)</f>
        <v>4413396</v>
      </c>
      <c r="K1105" s="8" t="str">
        <f aca="false">IF(COUNTIF($M$1:$M$10,$A1105)&gt;0,"Y","N")</f>
        <v>Y</v>
      </c>
    </row>
    <row r="1106" customFormat="false" ht="15" hidden="false" customHeight="true" outlineLevel="0" collapsed="false">
      <c r="A1106" s="8" t="s">
        <v>44</v>
      </c>
      <c r="B1106" s="8" t="s">
        <v>807</v>
      </c>
      <c r="C1106" s="19" t="n">
        <v>2</v>
      </c>
      <c r="D1106" s="19" t="n">
        <v>74.91</v>
      </c>
      <c r="E1106" s="19" t="n">
        <v>0</v>
      </c>
      <c r="F1106" s="19" t="n">
        <v>0</v>
      </c>
      <c r="G1106" s="8" t="n">
        <f aca="false">IFERROR(INDEX('TRANS'!$B:$B,MATCH($B1106,'TRANS'!$A:$A,0)),IFERROR(INDEX('TRANS'!$B:$B,MATCH(TRIM(SUBSTITUTE($B1106,CHAR(160)," ")),'TRANS'!$D:$D,0)),IFERROR(INDEX('Catalog'!$A:$A,MATCH($B1106,'Catalog'!$B:$B,0)),IFERROR(INDEX('Catalog'!$A:$A,MATCH(TRIM(SUBSTITUTE($B1106,CHAR(160)," ")),'Catalog'!$C:$C,0)),""))))</f>
        <v>4413394</v>
      </c>
      <c r="H1106" s="8" t="str">
        <f aca="false">IFERROR(INDEX('TRANS'!$C:$C,MATCH($B1106,'TRANS'!$A:$A,0)),IFERROR(INDEX('Catalog'!$B:$B,MATCH($G1106,'Catalog'!$A:$A,0)),$B1106))</f>
        <v>45EC S 'מגן ברך ארוך בז</v>
      </c>
      <c r="I1106" s="8" t="str">
        <f aca="false">IF($G1106="","Unmatched","Matched")</f>
        <v>Matched</v>
      </c>
      <c r="J1106" s="8" t="n">
        <f aca="false">IF($G1106&lt;&gt;"",$G1106,$B1106)</f>
        <v>4413394</v>
      </c>
      <c r="K1106" s="8" t="str">
        <f aca="false">IF(COUNTIF($M$1:$M$10,$A1106)&gt;0,"Y","N")</f>
        <v>Y</v>
      </c>
    </row>
    <row r="1107" customFormat="false" ht="15" hidden="false" customHeight="true" outlineLevel="0" collapsed="false">
      <c r="A1107" s="8" t="s">
        <v>44</v>
      </c>
      <c r="B1107" s="8" t="s">
        <v>686</v>
      </c>
      <c r="C1107" s="19" t="n">
        <v>1</v>
      </c>
      <c r="D1107" s="19" t="n">
        <v>37.45</v>
      </c>
      <c r="E1107" s="19" t="n">
        <v>0</v>
      </c>
      <c r="F1107" s="19" t="n">
        <v>0</v>
      </c>
      <c r="G1107" s="8" t="n">
        <f aca="false">IFERROR(INDEX('TRANS'!$B:$B,MATCH($B1107,'TRANS'!$A:$A,0)),IFERROR(INDEX('TRANS'!$B:$B,MATCH(TRIM(SUBSTITUTE($B1107,CHAR(160)," ")),'TRANS'!$D:$D,0)),IFERROR(INDEX('Catalog'!$A:$A,MATCH($B1107,'Catalog'!$B:$B,0)),IFERROR(INDEX('Catalog'!$A:$A,MATCH(TRIM(SUBSTITUTE($B1107,CHAR(160)," ")),'Catalog'!$C:$C,0)),""))))</f>
        <v>4413398</v>
      </c>
      <c r="H1107" s="8" t="str">
        <f aca="false">IFERROR(INDEX('TRANS'!$C:$C,MATCH($B1107,'TRANS'!$A:$A,0)),IFERROR(INDEX('Catalog'!$B:$B,MATCH($G1107,'Catalog'!$A:$A,0)),$B1107))</f>
        <v>45EC XXL'מגן ברך ארוך בז</v>
      </c>
      <c r="I1107" s="8" t="str">
        <f aca="false">IF($G1107="","Unmatched","Matched")</f>
        <v>Matched</v>
      </c>
      <c r="J1107" s="8" t="n">
        <f aca="false">IF($G1107&lt;&gt;"",$G1107,$B1107)</f>
        <v>4413398</v>
      </c>
      <c r="K1107" s="8" t="str">
        <f aca="false">IF(COUNTIF($M$1:$M$10,$A1107)&gt;0,"Y","N")</f>
        <v>Y</v>
      </c>
    </row>
    <row r="1108" customFormat="false" ht="15" hidden="false" customHeight="true" outlineLevel="0" collapsed="false">
      <c r="A1108" s="8" t="s">
        <v>44</v>
      </c>
      <c r="B1108" s="8" t="s">
        <v>94</v>
      </c>
      <c r="C1108" s="19" t="n">
        <v>2</v>
      </c>
      <c r="D1108" s="19" t="n">
        <v>310</v>
      </c>
      <c r="E1108" s="19" t="n">
        <v>0</v>
      </c>
      <c r="F1108" s="19" t="n">
        <v>0</v>
      </c>
      <c r="G1108" s="8" t="str">
        <f aca="false">IFERROR(INDEX('TRANS'!$B:$B,MATCH($B1108,'TRANS'!$A:$A,0)),IFERROR(INDEX('TRANS'!$B:$B,MATCH(TRIM(SUBSTITUTE($B1108,CHAR(160)," ")),'TRANS'!$D:$D,0)),IFERROR(INDEX('Catalog'!$A:$A,MATCH($B1108,'Catalog'!$B:$B,0)),IFERROR(INDEX('Catalog'!$A:$A,MATCH(TRIM(SUBSTITUTE($B1108,CHAR(160)," ")),'Catalog'!$C:$C,0)),""))))</f>
        <v/>
      </c>
      <c r="H1108" s="8" t="str">
        <f aca="false">IFERROR(INDEX('TRANS'!$C:$C,MATCH($B1108,'TRANS'!$A:$A,0)),IFERROR(INDEX('Catalog'!$B:$B,MATCH($G1108,'Catalog'!$A:$A,0)),$B1108))</f>
        <v>ST433D 0</v>
      </c>
      <c r="I1108" s="8" t="str">
        <f aca="false">IF($G1108="","Unmatched","Matched")</f>
        <v>Unmatched</v>
      </c>
      <c r="J1108" s="8" t="str">
        <f aca="false">IF($G1108&lt;&gt;"",$G1108,$B1108)</f>
        <v>ST433D 0</v>
      </c>
      <c r="K1108" s="8" t="str">
        <f aca="false">IF(COUNTIF($M$1:$M$10,$A1108)&gt;0,"Y","N")</f>
        <v>Y</v>
      </c>
    </row>
    <row r="1109" customFormat="false" ht="15" hidden="false" customHeight="true" outlineLevel="0" collapsed="false">
      <c r="A1109" s="8" t="s">
        <v>44</v>
      </c>
      <c r="B1109" s="8" t="s">
        <v>147</v>
      </c>
      <c r="C1109" s="19" t="n">
        <v>1</v>
      </c>
      <c r="D1109" s="19" t="n">
        <v>111.04</v>
      </c>
      <c r="E1109" s="19" t="n">
        <v>0</v>
      </c>
      <c r="F1109" s="19" t="n">
        <v>0</v>
      </c>
      <c r="G1109" s="8" t="str">
        <f aca="false">IFERROR(INDEX('TRANS'!$B:$B,MATCH($B1109,'TRANS'!$A:$A,0)),IFERROR(INDEX('TRANS'!$B:$B,MATCH(TRIM(SUBSTITUTE($B1109,CHAR(160)," ")),'TRANS'!$D:$D,0)),IFERROR(INDEX('Catalog'!$A:$A,MATCH($B1109,'Catalog'!$B:$B,0)),IFERROR(INDEX('Catalog'!$A:$A,MATCH(TRIM(SUBSTITUTE($B1109,CHAR(160)," ")),'Catalog'!$C:$C,0)),""))))</f>
        <v/>
      </c>
      <c r="H1109" s="8" t="str">
        <f aca="false">IFERROR(INDEX('TRANS'!$C:$C,MATCH($B1109,'TRANS'!$A:$A,0)),IFERROR(INDEX('Catalog'!$B:$B,MATCH($G1109,'Catalog'!$A:$A,0)),$B1109))</f>
        <v>T03 XL</v>
      </c>
      <c r="I1109" s="8" t="str">
        <f aca="false">IF($G1109="","Unmatched","Matched")</f>
        <v>Unmatched</v>
      </c>
      <c r="J1109" s="8" t="str">
        <f aca="false">IF($G1109&lt;&gt;"",$G1109,$B1109)</f>
        <v>T03 XL</v>
      </c>
      <c r="K1109" s="8" t="str">
        <f aca="false">IF(COUNTIF($M$1:$M$10,$A1109)&gt;0,"Y","N")</f>
        <v>Y</v>
      </c>
    </row>
    <row r="1110" customFormat="false" ht="15" hidden="false" customHeight="true" outlineLevel="0" collapsed="false">
      <c r="A1110" s="8" t="s">
        <v>44</v>
      </c>
      <c r="B1110" s="8" t="s">
        <v>901</v>
      </c>
      <c r="C1110" s="19" t="n">
        <v>1</v>
      </c>
      <c r="D1110" s="19" t="n">
        <v>165.41</v>
      </c>
      <c r="E1110" s="19" t="n">
        <v>0</v>
      </c>
      <c r="F1110" s="19" t="n">
        <v>0</v>
      </c>
      <c r="G1110" s="8" t="n">
        <f aca="false">IFERROR(INDEX('TRANS'!$B:$B,MATCH($B1110,'TRANS'!$A:$A,0)),IFERROR(INDEX('TRANS'!$B:$B,MATCH(TRIM(SUBSTITUTE($B1110,CHAR(160)," ")),'TRANS'!$D:$D,0)),IFERROR(INDEX('Catalog'!$A:$A,MATCH($B1110,'Catalog'!$B:$B,0)),IFERROR(INDEX('Catalog'!$A:$A,MATCH(TRIM(SUBSTITUTE($B1110,CHAR(160)," ")),'Catalog'!$C:$C,0)),""))))</f>
        <v>4413532</v>
      </c>
      <c r="H1110" s="8" t="str">
        <f aca="false">IFERROR(INDEX('TRANS'!$C:$C,MATCH($B1110,'TRANS'!$A:$A,0)),IFERROR(INDEX('Catalog'!$B:$B,MATCH($G1110,'Catalog'!$A:$A,0)),$B1110))</f>
        <v>ST433 H מגן ברך עם ציר</v>
      </c>
      <c r="I1110" s="8" t="str">
        <f aca="false">IF($G1110="","Unmatched","Matched")</f>
        <v>Matched</v>
      </c>
      <c r="J1110" s="8" t="n">
        <f aca="false">IF($G1110&lt;&gt;"",$G1110,$B1110)</f>
        <v>4413532</v>
      </c>
      <c r="K1110" s="8" t="str">
        <f aca="false">IF(COUNTIF($M$1:$M$10,$A1110)&gt;0,"Y","N")</f>
        <v>Y</v>
      </c>
    </row>
    <row r="1111" customFormat="false" ht="15" hidden="false" customHeight="true" outlineLevel="0" collapsed="false">
      <c r="A1111" s="8" t="s">
        <v>44</v>
      </c>
      <c r="B1111" s="8" t="s">
        <v>198</v>
      </c>
      <c r="C1111" s="19" t="n">
        <v>3</v>
      </c>
      <c r="D1111" s="19" t="n">
        <v>210</v>
      </c>
      <c r="E1111" s="19" t="n">
        <v>5</v>
      </c>
      <c r="F1111" s="19" t="n">
        <v>349.98</v>
      </c>
      <c r="G1111" s="8" t="str">
        <f aca="false">IFERROR(INDEX('TRANS'!$B:$B,MATCH($B1111,'TRANS'!$A:$A,0)),IFERROR(INDEX('TRANS'!$B:$B,MATCH(TRIM(SUBSTITUTE($B1111,CHAR(160)," ")),'TRANS'!$D:$D,0)),IFERROR(INDEX('Catalog'!$A:$A,MATCH($B1111,'Catalog'!$B:$B,0)),IFERROR(INDEX('Catalog'!$A:$A,MATCH(TRIM(SUBSTITUTE($B1111,CHAR(160)," ")),'Catalog'!$C:$C,0)),""))))</f>
        <v/>
      </c>
      <c r="H1111" s="8" t="str">
        <f aca="false">IFERROR(INDEX('TRANS'!$C:$C,MATCH($B1111,'TRANS'!$A:$A,0)),IFERROR(INDEX('Catalog'!$B:$B,MATCH($G1111,'Catalog'!$A:$A,0)),$B1111))</f>
        <v>322 XXL</v>
      </c>
      <c r="I1111" s="8" t="str">
        <f aca="false">IF($G1111="","Unmatched","Matched")</f>
        <v>Unmatched</v>
      </c>
      <c r="J1111" s="8" t="str">
        <f aca="false">IF($G1111&lt;&gt;"",$G1111,$B1111)</f>
        <v>322 XXL</v>
      </c>
      <c r="K1111" s="8" t="str">
        <f aca="false">IF(COUNTIF($M$1:$M$10,$A1111)&gt;0,"Y","N")</f>
        <v>Y</v>
      </c>
    </row>
    <row r="1112" customFormat="false" ht="15" hidden="false" customHeight="true" outlineLevel="0" collapsed="false">
      <c r="A1112" s="8" t="s">
        <v>44</v>
      </c>
      <c r="B1112" s="8" t="s">
        <v>476</v>
      </c>
      <c r="C1112" s="19" t="n">
        <v>1</v>
      </c>
      <c r="D1112" s="19" t="n">
        <v>95</v>
      </c>
      <c r="E1112" s="19" t="n">
        <v>0</v>
      </c>
      <c r="F1112" s="19" t="n">
        <v>0</v>
      </c>
      <c r="G1112" s="8" t="str">
        <f aca="false">IFERROR(INDEX('TRANS'!$B:$B,MATCH($B1112,'TRANS'!$A:$A,0)),IFERROR(INDEX('TRANS'!$B:$B,MATCH(TRIM(SUBSTITUTE($B1112,CHAR(160)," ")),'TRANS'!$D:$D,0)),IFERROR(INDEX('Catalog'!$A:$A,MATCH($B1112,'Catalog'!$B:$B,0)),IFERROR(INDEX('Catalog'!$A:$A,MATCH(TRIM(SUBSTITUTE($B1112,CHAR(160)," ")),'Catalog'!$C:$C,0)),""))))</f>
        <v/>
      </c>
      <c r="H1112" s="8" t="str">
        <f aca="false">IFERROR(INDEX('TRANS'!$C:$C,MATCH($B1112,'TRANS'!$A:$A,0)),IFERROR(INDEX('Catalog'!$B:$B,MATCH($G1112,'Catalog'!$A:$A,0)),$B1112))</f>
        <v>422EBU XL</v>
      </c>
      <c r="I1112" s="8" t="str">
        <f aca="false">IF($G1112="","Unmatched","Matched")</f>
        <v>Unmatched</v>
      </c>
      <c r="J1112" s="8" t="str">
        <f aca="false">IF($G1112&lt;&gt;"",$G1112,$B1112)</f>
        <v>422EBU XL</v>
      </c>
      <c r="K1112" s="8" t="str">
        <f aca="false">IF(COUNTIF($M$1:$M$10,$A1112)&gt;0,"Y","N")</f>
        <v>Y</v>
      </c>
    </row>
    <row r="1113" customFormat="false" ht="15" hidden="false" customHeight="true" outlineLevel="0" collapsed="false">
      <c r="A1113" s="8" t="s">
        <v>44</v>
      </c>
      <c r="B1113" s="8" t="s">
        <v>246</v>
      </c>
      <c r="C1113" s="19" t="n">
        <v>0</v>
      </c>
      <c r="D1113" s="19" t="n">
        <v>0</v>
      </c>
      <c r="E1113" s="19" t="n">
        <v>1</v>
      </c>
      <c r="F1113" s="19" t="n">
        <v>108.7</v>
      </c>
      <c r="G1113" s="8" t="str">
        <f aca="false">IFERROR(INDEX('TRANS'!$B:$B,MATCH($B1113,'TRANS'!$A:$A,0)),IFERROR(INDEX('TRANS'!$B:$B,MATCH(TRIM(SUBSTITUTE($B1113,CHAR(160)," ")),'TRANS'!$D:$D,0)),IFERROR(INDEX('Catalog'!$A:$A,MATCH($B1113,'Catalog'!$B:$B,0)),IFERROR(INDEX('Catalog'!$A:$A,MATCH(TRIM(SUBSTITUTE($B1113,CHAR(160)," ")),'Catalog'!$C:$C,0)),""))))</f>
        <v/>
      </c>
      <c r="H1113" s="8" t="str">
        <f aca="false">IFERROR(INDEX('TRANS'!$C:$C,MATCH($B1113,'TRANS'!$A:$A,0)),IFERROR(INDEX('Catalog'!$B:$B,MATCH($G1113,'Catalog'!$A:$A,0)),$B1113))</f>
        <v>079 XXL</v>
      </c>
      <c r="I1113" s="8" t="str">
        <f aca="false">IF($G1113="","Unmatched","Matched")</f>
        <v>Unmatched</v>
      </c>
      <c r="J1113" s="8" t="str">
        <f aca="false">IF($G1113&lt;&gt;"",$G1113,$B1113)</f>
        <v>079 XXL</v>
      </c>
      <c r="K1113" s="8" t="str">
        <f aca="false">IF(COUNTIF($M$1:$M$10,$A1113)&gt;0,"Y","N")</f>
        <v>Y</v>
      </c>
    </row>
    <row r="1114" customFormat="false" ht="15" hidden="false" customHeight="true" outlineLevel="0" collapsed="false">
      <c r="A1114" s="8" t="s">
        <v>44</v>
      </c>
      <c r="B1114" s="8" t="s">
        <v>156</v>
      </c>
      <c r="C1114" s="19" t="n">
        <v>1</v>
      </c>
      <c r="D1114" s="19" t="n">
        <v>69</v>
      </c>
      <c r="E1114" s="19" t="n">
        <v>1</v>
      </c>
      <c r="F1114" s="19" t="n">
        <v>85</v>
      </c>
      <c r="G1114" s="8" t="str">
        <f aca="false">IFERROR(INDEX('TRANS'!$B:$B,MATCH($B1114,'TRANS'!$A:$A,0)),IFERROR(INDEX('TRANS'!$B:$B,MATCH(TRIM(SUBSTITUTE($B1114,CHAR(160)," ")),'TRANS'!$D:$D,0)),IFERROR(INDEX('Catalog'!$A:$A,MATCH($B1114,'Catalog'!$B:$B,0)),IFERROR(INDEX('Catalog'!$A:$A,MATCH(TRIM(SUBSTITUTE($B1114,CHAR(160)," ")),'Catalog'!$C:$C,0)),""))))</f>
        <v/>
      </c>
      <c r="H1114" s="8" t="str">
        <f aca="false">IFERROR(INDEX('TRANS'!$C:$C,MATCH($B1114,'TRANS'!$A:$A,0)),IFERROR(INDEX('Catalog'!$B:$B,MATCH($G1114,'Catalog'!$A:$A,0)),$B1114))</f>
        <v>11EU S</v>
      </c>
      <c r="I1114" s="8" t="str">
        <f aca="false">IF($G1114="","Unmatched","Matched")</f>
        <v>Unmatched</v>
      </c>
      <c r="J1114" s="8" t="str">
        <f aca="false">IF($G1114&lt;&gt;"",$G1114,$B1114)</f>
        <v>11EU S</v>
      </c>
      <c r="K1114" s="8" t="str">
        <f aca="false">IF(COUNTIF($M$1:$M$10,$A1114)&gt;0,"Y","N")</f>
        <v>Y</v>
      </c>
    </row>
    <row r="1115" customFormat="false" ht="15" hidden="false" customHeight="true" outlineLevel="0" collapsed="false">
      <c r="A1115" s="8" t="s">
        <v>44</v>
      </c>
      <c r="B1115" s="8" t="s">
        <v>102</v>
      </c>
      <c r="C1115" s="19" t="n">
        <v>0</v>
      </c>
      <c r="D1115" s="19" t="n">
        <v>0</v>
      </c>
      <c r="E1115" s="19" t="n">
        <v>1</v>
      </c>
      <c r="F1115" s="19" t="n">
        <v>93.7</v>
      </c>
      <c r="G1115" s="8" t="str">
        <f aca="false">IFERROR(INDEX('TRANS'!$B:$B,MATCH($B1115,'TRANS'!$A:$A,0)),IFERROR(INDEX('TRANS'!$B:$B,MATCH(TRIM(SUBSTITUTE($B1115,CHAR(160)," ")),'TRANS'!$D:$D,0)),IFERROR(INDEX('Catalog'!$A:$A,MATCH($B1115,'Catalog'!$B:$B,0)),IFERROR(INDEX('Catalog'!$A:$A,MATCH(TRIM(SUBSTITUTE($B1115,CHAR(160)," ")),'Catalog'!$C:$C,0)),""))))</f>
        <v/>
      </c>
      <c r="H1115" s="8" t="str">
        <f aca="false">IFERROR(INDEX('TRANS'!$C:$C,MATCH($B1115,'TRANS'!$A:$A,0)),IFERROR(INDEX('Catalog'!$B:$B,MATCH($G1115,'Catalog'!$A:$A,0)),$B1115))</f>
        <v>305-41-42</v>
      </c>
      <c r="I1115" s="8" t="str">
        <f aca="false">IF($G1115="","Unmatched","Matched")</f>
        <v>Unmatched</v>
      </c>
      <c r="J1115" s="8" t="str">
        <f aca="false">IF($G1115&lt;&gt;"",$G1115,$B1115)</f>
        <v>305-41-42</v>
      </c>
      <c r="K1115" s="8" t="str">
        <f aca="false">IF(COUNTIF($M$1:$M$10,$A1115)&gt;0,"Y","N")</f>
        <v>Y</v>
      </c>
    </row>
    <row r="1116" customFormat="false" ht="15" hidden="false" customHeight="true" outlineLevel="0" collapsed="false">
      <c r="A1116" s="8" t="s">
        <v>44</v>
      </c>
      <c r="B1116" s="8" t="s">
        <v>642</v>
      </c>
      <c r="C1116" s="19" t="n">
        <v>6</v>
      </c>
      <c r="D1116" s="19" t="n">
        <v>78.48</v>
      </c>
      <c r="E1116" s="19" t="n">
        <v>0</v>
      </c>
      <c r="F1116" s="19" t="n">
        <v>0</v>
      </c>
      <c r="G1116" s="8" t="n">
        <f aca="false">IFERROR(INDEX('TRANS'!$B:$B,MATCH($B1116,'TRANS'!$A:$A,0)),IFERROR(INDEX('TRANS'!$B:$B,MATCH(TRIM(SUBSTITUTE($B1116,CHAR(160)," ")),'TRANS'!$D:$D,0)),IFERROR(INDEX('Catalog'!$A:$A,MATCH($B1116,'Catalog'!$B:$B,0)),IFERROR(INDEX('Catalog'!$A:$A,MATCH(TRIM(SUBSTITUTE($B1116,CHAR(160)," ")),'Catalog'!$C:$C,0)),""))))</f>
        <v>4420000</v>
      </c>
      <c r="H1116" s="8" t="str">
        <f aca="false">IFERROR(INDEX('TRANS'!$C:$C,MATCH($B1116,'TRANS'!$A:$A,0)),IFERROR(INDEX('Catalog'!$B:$B,MATCH($G1116,'Catalog'!$A:$A,0)),$B1116))</f>
        <v>370  רפידת נוחות-זוג</v>
      </c>
      <c r="I1116" s="8" t="str">
        <f aca="false">IF($G1116="","Unmatched","Matched")</f>
        <v>Matched</v>
      </c>
      <c r="J1116" s="8" t="n">
        <f aca="false">IF($G1116&lt;&gt;"",$G1116,$B1116)</f>
        <v>4420000</v>
      </c>
      <c r="K1116" s="8" t="str">
        <f aca="false">IF(COUNTIF($M$1:$M$10,$A1116)&gt;0,"Y","N")</f>
        <v>Y</v>
      </c>
    </row>
    <row r="1117" customFormat="false" ht="15" hidden="false" customHeight="true" outlineLevel="0" collapsed="false">
      <c r="A1117" s="8" t="s">
        <v>44</v>
      </c>
      <c r="B1117" s="8" t="s">
        <v>646</v>
      </c>
      <c r="C1117" s="19" t="n">
        <v>10</v>
      </c>
      <c r="D1117" s="19" t="n">
        <v>154.2</v>
      </c>
      <c r="E1117" s="19" t="n">
        <v>0</v>
      </c>
      <c r="F1117" s="19" t="n">
        <v>0</v>
      </c>
      <c r="G1117" s="8" t="n">
        <f aca="false">IFERROR(INDEX('TRANS'!$B:$B,MATCH($B1117,'TRANS'!$A:$A,0)),IFERROR(INDEX('TRANS'!$B:$B,MATCH(TRIM(SUBSTITUTE($B1117,CHAR(160)," ")),'TRANS'!$D:$D,0)),IFERROR(INDEX('Catalog'!$A:$A,MATCH($B1117,'Catalog'!$B:$B,0)),IFERROR(INDEX('Catalog'!$A:$A,MATCH(TRIM(SUBSTITUTE($B1117,CHAR(160)," ")),'Catalog'!$C:$C,0)),""))))</f>
        <v>4420003</v>
      </c>
      <c r="H1117" s="8" t="str">
        <f aca="false">IFERROR(INDEX('TRANS'!$C:$C,MATCH($B1117,'TRANS'!$A:$A,0)),IFERROR(INDEX('Catalog'!$B:$B,MATCH($G1117,'Catalog'!$A:$A,0)),$B1117))</f>
        <v>374 רפידת בולמת זעזועים -זוג</v>
      </c>
      <c r="I1117" s="8" t="str">
        <f aca="false">IF($G1117="","Unmatched","Matched")</f>
        <v>Matched</v>
      </c>
      <c r="J1117" s="8" t="n">
        <f aca="false">IF($G1117&lt;&gt;"",$G1117,$B1117)</f>
        <v>4420003</v>
      </c>
      <c r="K1117" s="8" t="str">
        <f aca="false">IF(COUNTIF($M$1:$M$10,$A1117)&gt;0,"Y","N")</f>
        <v>Y</v>
      </c>
    </row>
    <row r="1118" customFormat="false" ht="15" hidden="false" customHeight="true" outlineLevel="0" collapsed="false">
      <c r="A1118" s="8" t="s">
        <v>44</v>
      </c>
      <c r="B1118" s="8" t="s">
        <v>349</v>
      </c>
      <c r="C1118" s="19" t="n">
        <v>3</v>
      </c>
      <c r="D1118" s="19" t="n">
        <v>148.9</v>
      </c>
      <c r="E1118" s="19" t="n">
        <v>0</v>
      </c>
      <c r="F1118" s="19" t="n">
        <v>0</v>
      </c>
      <c r="G1118" s="8" t="str">
        <f aca="false">IFERROR(INDEX('TRANS'!$B:$B,MATCH($B1118,'TRANS'!$A:$A,0)),IFERROR(INDEX('TRANS'!$B:$B,MATCH(TRIM(SUBSTITUTE($B1118,CHAR(160)," ")),'TRANS'!$D:$D,0)),IFERROR(INDEX('Catalog'!$A:$A,MATCH($B1118,'Catalog'!$B:$B,0)),IFERROR(INDEX('Catalog'!$A:$A,MATCH(TRIM(SUBSTITUTE($B1118,CHAR(160)," ")),'Catalog'!$C:$C,0)),""))))</f>
        <v/>
      </c>
      <c r="H1118" s="8" t="str">
        <f aca="false">IFERROR(INDEX('TRANS'!$C:$C,MATCH($B1118,'TRANS'!$A:$A,0)),IFERROR(INDEX('Catalog'!$B:$B,MATCH($G1118,'Catalog'!$A:$A,0)),$B1118))</f>
        <v>60 XS</v>
      </c>
      <c r="I1118" s="8" t="str">
        <f aca="false">IF($G1118="","Unmatched","Matched")</f>
        <v>Unmatched</v>
      </c>
      <c r="J1118" s="8" t="str">
        <f aca="false">IF($G1118&lt;&gt;"",$G1118,$B1118)</f>
        <v>60 XS</v>
      </c>
      <c r="K1118" s="8" t="str">
        <f aca="false">IF(COUNTIF($M$1:$M$10,$A1118)&gt;0,"Y","N")</f>
        <v>Y</v>
      </c>
    </row>
    <row r="1119" customFormat="false" ht="15" hidden="false" customHeight="true" outlineLevel="0" collapsed="false">
      <c r="A1119" s="8" t="s">
        <v>44</v>
      </c>
      <c r="B1119" s="8" t="s">
        <v>154</v>
      </c>
      <c r="C1119" s="19" t="n">
        <v>1</v>
      </c>
      <c r="D1119" s="19" t="n">
        <v>160</v>
      </c>
      <c r="E1119" s="19" t="n">
        <v>0</v>
      </c>
      <c r="F1119" s="19" t="n">
        <v>0</v>
      </c>
      <c r="G1119" s="8" t="str">
        <f aca="false">IFERROR(INDEX('TRANS'!$B:$B,MATCH($B1119,'TRANS'!$A:$A,0)),IFERROR(INDEX('TRANS'!$B:$B,MATCH(TRIM(SUBSTITUTE($B1119,CHAR(160)," ")),'TRANS'!$D:$D,0)),IFERROR(INDEX('Catalog'!$A:$A,MATCH($B1119,'Catalog'!$B:$B,0)),IFERROR(INDEX('Catalog'!$A:$A,MATCH(TRIM(SUBSTITUTE($B1119,CHAR(160)," ")),'Catalog'!$C:$C,0)),""))))</f>
        <v/>
      </c>
      <c r="H1119" s="8" t="str">
        <f aca="false">IFERROR(INDEX('TRANS'!$C:$C,MATCH($B1119,'TRANS'!$A:$A,0)),IFERROR(INDEX('Catalog'!$B:$B,MATCH($G1119,'Catalog'!$A:$A,0)),$B1119))</f>
        <v>76 XS</v>
      </c>
      <c r="I1119" s="8" t="str">
        <f aca="false">IF($G1119="","Unmatched","Matched")</f>
        <v>Unmatched</v>
      </c>
      <c r="J1119" s="8" t="str">
        <f aca="false">IF($G1119&lt;&gt;"",$G1119,$B1119)</f>
        <v>76 XS</v>
      </c>
      <c r="K1119" s="8" t="str">
        <f aca="false">IF(COUNTIF($M$1:$M$10,$A1119)&gt;0,"Y","N")</f>
        <v>Y</v>
      </c>
    </row>
    <row r="1120" customFormat="false" ht="15" hidden="false" customHeight="true" outlineLevel="0" collapsed="false">
      <c r="A1120" s="8" t="s">
        <v>44</v>
      </c>
      <c r="B1120" s="8" t="s">
        <v>748</v>
      </c>
      <c r="C1120" s="19" t="n">
        <v>8</v>
      </c>
      <c r="D1120" s="19" t="n">
        <v>634.73</v>
      </c>
      <c r="E1120" s="19" t="n">
        <v>1</v>
      </c>
      <c r="F1120" s="19" t="n">
        <v>93.67</v>
      </c>
      <c r="G1120" s="8" t="n">
        <f aca="false">IFERROR(INDEX('TRANS'!$B:$B,MATCH($B1120,'TRANS'!$A:$A,0)),IFERROR(INDEX('TRANS'!$B:$B,MATCH(TRIM(SUBSTITUTE($B1120,CHAR(160)," ")),'TRANS'!$D:$D,0)),IFERROR(INDEX('Catalog'!$A:$A,MATCH($B1120,'Catalog'!$B:$B,0)),IFERROR(INDEX('Catalog'!$A:$A,MATCH(TRIM(SUBSTITUTE($B1120,CHAR(160)," ")),'Catalog'!$C:$C,0)),""))))</f>
        <v>4408248</v>
      </c>
      <c r="H1120" s="8" t="str">
        <f aca="false">IFERROR(INDEX('TRANS'!$C:$C,MATCH($B1120,'TRANS'!$A:$A,0)),IFERROR(INDEX('Catalog'!$B:$B,MATCH($G1120,'Catalog'!$A:$A,0)),$B1120))</f>
        <v>SC25  M חבק יד</v>
      </c>
      <c r="I1120" s="8" t="str">
        <f aca="false">IF($G1120="","Unmatched","Matched")</f>
        <v>Matched</v>
      </c>
      <c r="J1120" s="8" t="n">
        <f aca="false">IF($G1120&lt;&gt;"",$G1120,$B1120)</f>
        <v>4408248</v>
      </c>
      <c r="K1120" s="8" t="str">
        <f aca="false">IF(COUNTIF($M$1:$M$10,$A1120)&gt;0,"Y","N")</f>
        <v>Y</v>
      </c>
    </row>
    <row r="1121" customFormat="false" ht="15" hidden="false" customHeight="true" outlineLevel="0" collapsed="false">
      <c r="A1121" s="8" t="s">
        <v>44</v>
      </c>
      <c r="B1121" s="8" t="s">
        <v>750</v>
      </c>
      <c r="C1121" s="19" t="n">
        <v>2</v>
      </c>
      <c r="D1121" s="19" t="n">
        <v>170.97</v>
      </c>
      <c r="E1121" s="19" t="n">
        <v>1</v>
      </c>
      <c r="F1121" s="19" t="n">
        <v>93.67</v>
      </c>
      <c r="G1121" s="8" t="n">
        <f aca="false">IFERROR(INDEX('TRANS'!$B:$B,MATCH($B1121,'TRANS'!$A:$A,0)),IFERROR(INDEX('TRANS'!$B:$B,MATCH(TRIM(SUBSTITUTE($B1121,CHAR(160)," ")),'TRANS'!$D:$D,0)),IFERROR(INDEX('Catalog'!$A:$A,MATCH($B1121,'Catalog'!$B:$B,0)),IFERROR(INDEX('Catalog'!$A:$A,MATCH(TRIM(SUBSTITUTE($B1121,CHAR(160)," ")),'Catalog'!$C:$C,0)),""))))</f>
        <v>4408250</v>
      </c>
      <c r="H1121" s="8" t="str">
        <f aca="false">IFERROR(INDEX('TRANS'!$C:$C,MATCH($B1121,'TRANS'!$A:$A,0)),IFERROR(INDEX('Catalog'!$B:$B,MATCH($G1121,'Catalog'!$A:$A,0)),$B1121))</f>
        <v>SC25 XL חבק יד</v>
      </c>
      <c r="I1121" s="8" t="str">
        <f aca="false">IF($G1121="","Unmatched","Matched")</f>
        <v>Matched</v>
      </c>
      <c r="J1121" s="8" t="n">
        <f aca="false">IF($G1121&lt;&gt;"",$G1121,$B1121)</f>
        <v>4408250</v>
      </c>
      <c r="K1121" s="8" t="str">
        <f aca="false">IF(COUNTIF($M$1:$M$10,$A1121)&gt;0,"Y","N")</f>
        <v>Y</v>
      </c>
    </row>
    <row r="1122" customFormat="false" ht="15" hidden="false" customHeight="true" outlineLevel="0" collapsed="false">
      <c r="A1122" s="8" t="s">
        <v>44</v>
      </c>
      <c r="B1122" s="8" t="s">
        <v>751</v>
      </c>
      <c r="C1122" s="19" t="n">
        <v>4</v>
      </c>
      <c r="D1122" s="19" t="n">
        <v>358.32</v>
      </c>
      <c r="E1122" s="19" t="n">
        <v>1</v>
      </c>
      <c r="F1122" s="19" t="n">
        <v>93.67</v>
      </c>
      <c r="G1122" s="8" t="n">
        <f aca="false">IFERROR(INDEX('TRANS'!$B:$B,MATCH($B1122,'TRANS'!$A:$A,0)),IFERROR(INDEX('TRANS'!$B:$B,MATCH(TRIM(SUBSTITUTE($B1122,CHAR(160)," ")),'TRANS'!$D:$D,0)),IFERROR(INDEX('Catalog'!$A:$A,MATCH($B1122,'Catalog'!$B:$B,0)),IFERROR(INDEX('Catalog'!$A:$A,MATCH(TRIM(SUBSTITUTE($B1122,CHAR(160)," ")),'Catalog'!$C:$C,0)),""))))</f>
        <v>4413422</v>
      </c>
      <c r="H1122" s="8" t="str">
        <f aca="false">IFERROR(INDEX('TRANS'!$C:$C,MATCH($B1122,'TRANS'!$A:$A,0)),IFERROR(INDEX('Catalog'!$B:$B,MATCH($G1122,'Catalog'!$A:$A,0)),$B1122))</f>
        <v>SC35L  L מגן קרסול שמאל</v>
      </c>
      <c r="I1122" s="8" t="str">
        <f aca="false">IF($G1122="","Unmatched","Matched")</f>
        <v>Matched</v>
      </c>
      <c r="J1122" s="8" t="n">
        <f aca="false">IF($G1122&lt;&gt;"",$G1122,$B1122)</f>
        <v>4413422</v>
      </c>
      <c r="K1122" s="8" t="str">
        <f aca="false">IF(COUNTIF($M$1:$M$10,$A1122)&gt;0,"Y","N")</f>
        <v>Y</v>
      </c>
    </row>
    <row r="1123" customFormat="false" ht="15" hidden="false" customHeight="true" outlineLevel="0" collapsed="false">
      <c r="A1123" s="8" t="s">
        <v>44</v>
      </c>
      <c r="B1123" s="8" t="s">
        <v>992</v>
      </c>
      <c r="C1123" s="19" t="n">
        <v>1</v>
      </c>
      <c r="D1123" s="19" t="n">
        <v>77.29</v>
      </c>
      <c r="E1123" s="19" t="n">
        <v>0</v>
      </c>
      <c r="F1123" s="19" t="n">
        <v>0</v>
      </c>
      <c r="G1123" s="8" t="n">
        <f aca="false">IFERROR(INDEX('TRANS'!$B:$B,MATCH($B1123,'TRANS'!$A:$A,0)),IFERROR(INDEX('TRANS'!$B:$B,MATCH(TRIM(SUBSTITUTE($B1123,CHAR(160)," ")),'TRANS'!$D:$D,0)),IFERROR(INDEX('Catalog'!$A:$A,MATCH($B1123,'Catalog'!$B:$B,0)),IFERROR(INDEX('Catalog'!$A:$A,MATCH(TRIM(SUBSTITUTE($B1123,CHAR(160)," ")),'Catalog'!$C:$C,0)),""))))</f>
        <v>4413420</v>
      </c>
      <c r="H1123" s="8" t="str">
        <f aca="false">IFERROR(INDEX('TRANS'!$C:$C,MATCH($B1123,'TRANS'!$A:$A,0)),IFERROR(INDEX('Catalog'!$B:$B,MATCH($G1123,'Catalog'!$A:$A,0)),$B1123))</f>
        <v>SC35L  S מגן קרסול שמאל</v>
      </c>
      <c r="I1123" s="8" t="str">
        <f aca="false">IF($G1123="","Unmatched","Matched")</f>
        <v>Matched</v>
      </c>
      <c r="J1123" s="8" t="n">
        <f aca="false">IF($G1123&lt;&gt;"",$G1123,$B1123)</f>
        <v>4413420</v>
      </c>
      <c r="K1123" s="8" t="str">
        <f aca="false">IF(COUNTIF($M$1:$M$10,$A1123)&gt;0,"Y","N")</f>
        <v>Y</v>
      </c>
    </row>
    <row r="1124" customFormat="false" ht="15" hidden="false" customHeight="true" outlineLevel="0" collapsed="false">
      <c r="A1124" s="8" t="s">
        <v>44</v>
      </c>
      <c r="B1124" s="8" t="s">
        <v>752</v>
      </c>
      <c r="C1124" s="19" t="n">
        <v>4</v>
      </c>
      <c r="D1124" s="19" t="n">
        <v>358.32</v>
      </c>
      <c r="E1124" s="19" t="n">
        <v>0</v>
      </c>
      <c r="F1124" s="19" t="n">
        <v>0</v>
      </c>
      <c r="G1124" s="8" t="n">
        <f aca="false">IFERROR(INDEX('TRANS'!$B:$B,MATCH($B1124,'TRANS'!$A:$A,0)),IFERROR(INDEX('TRANS'!$B:$B,MATCH(TRIM(SUBSTITUTE($B1124,CHAR(160)," ")),'TRANS'!$D:$D,0)),IFERROR(INDEX('Catalog'!$A:$A,MATCH($B1124,'Catalog'!$B:$B,0)),IFERROR(INDEX('Catalog'!$A:$A,MATCH(TRIM(SUBSTITUTE($B1124,CHAR(160)," ")),'Catalog'!$C:$C,0)),""))))</f>
        <v>4413423</v>
      </c>
      <c r="H1124" s="8" t="str">
        <f aca="false">IFERROR(INDEX('TRANS'!$C:$C,MATCH($B1124,'TRANS'!$A:$A,0)),IFERROR(INDEX('Catalog'!$B:$B,MATCH($G1124,'Catalog'!$A:$A,0)),$B1124))</f>
        <v>SC35L XL מגן קרסול שמאל</v>
      </c>
      <c r="I1124" s="8" t="str">
        <f aca="false">IF($G1124="","Unmatched","Matched")</f>
        <v>Matched</v>
      </c>
      <c r="J1124" s="8" t="n">
        <f aca="false">IF($G1124&lt;&gt;"",$G1124,$B1124)</f>
        <v>4413423</v>
      </c>
      <c r="K1124" s="8" t="str">
        <f aca="false">IF(COUNTIF($M$1:$M$10,$A1124)&gt;0,"Y","N")</f>
        <v>Y</v>
      </c>
    </row>
    <row r="1125" customFormat="false" ht="15" hidden="false" customHeight="true" outlineLevel="0" collapsed="false">
      <c r="A1125" s="8" t="s">
        <v>44</v>
      </c>
      <c r="B1125" s="8" t="s">
        <v>753</v>
      </c>
      <c r="C1125" s="19" t="n">
        <v>4</v>
      </c>
      <c r="D1125" s="19" t="n">
        <v>358.32</v>
      </c>
      <c r="E1125" s="19" t="n">
        <v>0</v>
      </c>
      <c r="F1125" s="19" t="n">
        <v>0</v>
      </c>
      <c r="G1125" s="8" t="n">
        <f aca="false">IFERROR(INDEX('TRANS'!$B:$B,MATCH($B1125,'TRANS'!$A:$A,0)),IFERROR(INDEX('TRANS'!$B:$B,MATCH(TRIM(SUBSTITUTE($B1125,CHAR(160)," ")),'TRANS'!$D:$D,0)),IFERROR(INDEX('Catalog'!$A:$A,MATCH($B1125,'Catalog'!$B:$B,0)),IFERROR(INDEX('Catalog'!$A:$A,MATCH(TRIM(SUBSTITUTE($B1125,CHAR(160)," ")),'Catalog'!$C:$C,0)),""))))</f>
        <v>4413426</v>
      </c>
      <c r="H1125" s="8" t="str">
        <f aca="false">IFERROR(INDEX('TRANS'!$C:$C,MATCH($B1125,'TRANS'!$A:$A,0)),IFERROR(INDEX('Catalog'!$B:$B,MATCH($G1125,'Catalog'!$A:$A,0)),$B1125))</f>
        <v>SC35R  L מגן קרסול ימין</v>
      </c>
      <c r="I1125" s="8" t="str">
        <f aca="false">IF($G1125="","Unmatched","Matched")</f>
        <v>Matched</v>
      </c>
      <c r="J1125" s="8" t="n">
        <f aca="false">IF($G1125&lt;&gt;"",$G1125,$B1125)</f>
        <v>4413426</v>
      </c>
      <c r="K1125" s="8" t="str">
        <f aca="false">IF(COUNTIF($M$1:$M$10,$A1125)&gt;0,"Y","N")</f>
        <v>Y</v>
      </c>
    </row>
    <row r="1126" customFormat="false" ht="15" hidden="false" customHeight="true" outlineLevel="0" collapsed="false">
      <c r="A1126" s="8" t="s">
        <v>44</v>
      </c>
      <c r="B1126" s="8" t="s">
        <v>754</v>
      </c>
      <c r="C1126" s="19" t="n">
        <v>4</v>
      </c>
      <c r="D1126" s="19" t="n">
        <v>358.32</v>
      </c>
      <c r="E1126" s="19" t="n">
        <v>0</v>
      </c>
      <c r="F1126" s="19" t="n">
        <v>0</v>
      </c>
      <c r="G1126" s="8" t="n">
        <f aca="false">IFERROR(INDEX('TRANS'!$B:$B,MATCH($B1126,'TRANS'!$A:$A,0)),IFERROR(INDEX('TRANS'!$B:$B,MATCH(TRIM(SUBSTITUTE($B1126,CHAR(160)," ")),'TRANS'!$D:$D,0)),IFERROR(INDEX('Catalog'!$A:$A,MATCH($B1126,'Catalog'!$B:$B,0)),IFERROR(INDEX('Catalog'!$A:$A,MATCH(TRIM(SUBSTITUTE($B1126,CHAR(160)," ")),'Catalog'!$C:$C,0)),""))))</f>
        <v>4413425</v>
      </c>
      <c r="H1126" s="8" t="str">
        <f aca="false">IFERROR(INDEX('TRANS'!$C:$C,MATCH($B1126,'TRANS'!$A:$A,0)),IFERROR(INDEX('Catalog'!$B:$B,MATCH($G1126,'Catalog'!$A:$A,0)),$B1126))</f>
        <v>SC35R  M מגן קרסול ימין</v>
      </c>
      <c r="I1126" s="8" t="str">
        <f aca="false">IF($G1126="","Unmatched","Matched")</f>
        <v>Matched</v>
      </c>
      <c r="J1126" s="8" t="n">
        <f aca="false">IF($G1126&lt;&gt;"",$G1126,$B1126)</f>
        <v>4413425</v>
      </c>
      <c r="K1126" s="8" t="str">
        <f aca="false">IF(COUNTIF($M$1:$M$10,$A1126)&gt;0,"Y","N")</f>
        <v>Y</v>
      </c>
    </row>
    <row r="1127" customFormat="false" ht="15" hidden="false" customHeight="true" outlineLevel="0" collapsed="false">
      <c r="A1127" s="8" t="s">
        <v>44</v>
      </c>
      <c r="B1127" s="8" t="s">
        <v>755</v>
      </c>
      <c r="C1127" s="19" t="n">
        <v>1</v>
      </c>
      <c r="D1127" s="19" t="n">
        <v>77.29</v>
      </c>
      <c r="E1127" s="19" t="n">
        <v>0</v>
      </c>
      <c r="F1127" s="19" t="n">
        <v>0</v>
      </c>
      <c r="G1127" s="8" t="n">
        <f aca="false">IFERROR(INDEX('TRANS'!$B:$B,MATCH($B1127,'TRANS'!$A:$A,0)),IFERROR(INDEX('TRANS'!$B:$B,MATCH(TRIM(SUBSTITUTE($B1127,CHAR(160)," ")),'TRANS'!$D:$D,0)),IFERROR(INDEX('Catalog'!$A:$A,MATCH($B1127,'Catalog'!$B:$B,0)),IFERROR(INDEX('Catalog'!$A:$A,MATCH(TRIM(SUBSTITUTE($B1127,CHAR(160)," ")),'Catalog'!$C:$C,0)),""))))</f>
        <v>4413424</v>
      </c>
      <c r="H1127" s="8" t="str">
        <f aca="false">IFERROR(INDEX('TRANS'!$C:$C,MATCH($B1127,'TRANS'!$A:$A,0)),IFERROR(INDEX('Catalog'!$B:$B,MATCH($G1127,'Catalog'!$A:$A,0)),$B1127))</f>
        <v>SC35R  S מגן קרסול ימין</v>
      </c>
      <c r="I1127" s="8" t="str">
        <f aca="false">IF($G1127="","Unmatched","Matched")</f>
        <v>Matched</v>
      </c>
      <c r="J1127" s="8" t="n">
        <f aca="false">IF($G1127&lt;&gt;"",$G1127,$B1127)</f>
        <v>4413424</v>
      </c>
      <c r="K1127" s="8" t="str">
        <f aca="false">IF(COUNTIF($M$1:$M$10,$A1127)&gt;0,"Y","N")</f>
        <v>Y</v>
      </c>
    </row>
    <row r="1128" customFormat="false" ht="15" hidden="false" customHeight="true" outlineLevel="0" collapsed="false">
      <c r="A1128" s="8" t="s">
        <v>44</v>
      </c>
      <c r="B1128" s="8" t="s">
        <v>993</v>
      </c>
      <c r="C1128" s="19" t="n">
        <v>4</v>
      </c>
      <c r="D1128" s="19" t="n">
        <v>358.32</v>
      </c>
      <c r="E1128" s="19" t="n">
        <v>0</v>
      </c>
      <c r="F1128" s="19" t="n">
        <v>0</v>
      </c>
      <c r="G1128" s="8" t="n">
        <f aca="false">IFERROR(INDEX('TRANS'!$B:$B,MATCH($B1128,'TRANS'!$A:$A,0)),IFERROR(INDEX('TRANS'!$B:$B,MATCH(TRIM(SUBSTITUTE($B1128,CHAR(160)," ")),'TRANS'!$D:$D,0)),IFERROR(INDEX('Catalog'!$A:$A,MATCH($B1128,'Catalog'!$B:$B,0)),IFERROR(INDEX('Catalog'!$A:$A,MATCH(TRIM(SUBSTITUTE($B1128,CHAR(160)," ")),'Catalog'!$C:$C,0)),""))))</f>
        <v>4413427</v>
      </c>
      <c r="H1128" s="8" t="str">
        <f aca="false">IFERROR(INDEX('TRANS'!$C:$C,MATCH($B1128,'TRANS'!$A:$A,0)),IFERROR(INDEX('Catalog'!$B:$B,MATCH($G1128,'Catalog'!$A:$A,0)),$B1128))</f>
        <v>SC35R  XLמגן קרסול ימין</v>
      </c>
      <c r="I1128" s="8" t="str">
        <f aca="false">IF($G1128="","Unmatched","Matched")</f>
        <v>Matched</v>
      </c>
      <c r="J1128" s="8" t="n">
        <f aca="false">IF($G1128&lt;&gt;"",$G1128,$B1128)</f>
        <v>4413427</v>
      </c>
      <c r="K1128" s="8" t="str">
        <f aca="false">IF(COUNTIF($M$1:$M$10,$A1128)&gt;0,"Y","N")</f>
        <v>Y</v>
      </c>
    </row>
    <row r="1129" customFormat="false" ht="15" hidden="false" customHeight="true" outlineLevel="0" collapsed="false">
      <c r="A1129" s="8" t="s">
        <v>44</v>
      </c>
      <c r="B1129" s="8" t="s">
        <v>843</v>
      </c>
      <c r="C1129" s="19" t="n">
        <v>1</v>
      </c>
      <c r="D1129" s="19" t="n">
        <v>145.26</v>
      </c>
      <c r="E1129" s="19" t="n">
        <v>2</v>
      </c>
      <c r="F1129" s="19" t="n">
        <v>328.04</v>
      </c>
      <c r="G1129" s="8" t="n">
        <f aca="false">IFERROR(INDEX('TRANS'!$B:$B,MATCH($B1129,'TRANS'!$A:$A,0)),IFERROR(INDEX('TRANS'!$B:$B,MATCH(TRIM(SUBSTITUTE($B1129,CHAR(160)," ")),'TRANS'!$D:$D,0)),IFERROR(INDEX('Catalog'!$A:$A,MATCH($B1129,'Catalog'!$B:$B,0)),IFERROR(INDEX('Catalog'!$A:$A,MATCH(TRIM(SUBSTITUTE($B1129,CHAR(160)," ")),'Catalog'!$C:$C,0)),""))))</f>
        <v>4413415</v>
      </c>
      <c r="H1129" s="8" t="str">
        <f aca="false">IFERROR(INDEX('TRANS'!$C:$C,MATCH($B1129,'TRANS'!$A:$A,0)),IFERROR(INDEX('Catalog'!$B:$B,MATCH($G1129,'Catalog'!$A:$A,0)),$B1129))</f>
        <v>SC39  S מגן שוק</v>
      </c>
      <c r="I1129" s="8" t="str">
        <f aca="false">IF($G1129="","Unmatched","Matched")</f>
        <v>Matched</v>
      </c>
      <c r="J1129" s="8" t="n">
        <f aca="false">IF($G1129&lt;&gt;"",$G1129,$B1129)</f>
        <v>4413415</v>
      </c>
      <c r="K1129" s="8" t="str">
        <f aca="false">IF(COUNTIF($M$1:$M$10,$A1129)&gt;0,"Y","N")</f>
        <v>Y</v>
      </c>
    </row>
    <row r="1130" customFormat="false" ht="15" hidden="false" customHeight="true" outlineLevel="0" collapsed="false">
      <c r="A1130" s="8" t="s">
        <v>44</v>
      </c>
      <c r="B1130" s="8" t="s">
        <v>761</v>
      </c>
      <c r="C1130" s="19" t="n">
        <v>2</v>
      </c>
      <c r="D1130" s="19" t="n">
        <v>170.97</v>
      </c>
      <c r="E1130" s="19" t="n">
        <v>0</v>
      </c>
      <c r="F1130" s="19" t="n">
        <v>0</v>
      </c>
      <c r="G1130" s="8" t="n">
        <f aca="false">IFERROR(INDEX('TRANS'!$B:$B,MATCH($B1130,'TRANS'!$A:$A,0)),IFERROR(INDEX('TRANS'!$B:$B,MATCH(TRIM(SUBSTITUTE($B1130,CHAR(160)," ")),'TRANS'!$D:$D,0)),IFERROR(INDEX('Catalog'!$A:$A,MATCH($B1130,'Catalog'!$B:$B,0)),IFERROR(INDEX('Catalog'!$A:$A,MATCH(TRIM(SUBSTITUTE($B1130,CHAR(160)," ")),'Catalog'!$C:$C,0)),""))))</f>
        <v>4413405</v>
      </c>
      <c r="H1130" s="8" t="str">
        <f aca="false">IFERROR(INDEX('TRANS'!$C:$C,MATCH($B1130,'TRANS'!$A:$A,0)),IFERROR(INDEX('Catalog'!$B:$B,MATCH($G1130,'Catalog'!$A:$A,0)),$B1130))</f>
        <v>SC95 S מגן מרפק</v>
      </c>
      <c r="I1130" s="8" t="str">
        <f aca="false">IF($G1130="","Unmatched","Matched")</f>
        <v>Matched</v>
      </c>
      <c r="J1130" s="8" t="n">
        <f aca="false">IF($G1130&lt;&gt;"",$G1130,$B1130)</f>
        <v>4413405</v>
      </c>
      <c r="K1130" s="8" t="str">
        <f aca="false">IF(COUNTIF($M$1:$M$10,$A1130)&gt;0,"Y","N")</f>
        <v>Y</v>
      </c>
    </row>
    <row r="1131" customFormat="false" ht="15" hidden="false" customHeight="true" outlineLevel="0" collapsed="false">
      <c r="A1131" s="8" t="s">
        <v>44</v>
      </c>
      <c r="B1131" s="8" t="s">
        <v>133</v>
      </c>
      <c r="C1131" s="19" t="n">
        <v>4</v>
      </c>
      <c r="D1131" s="19" t="n">
        <v>450</v>
      </c>
      <c r="E1131" s="19" t="n">
        <v>1</v>
      </c>
      <c r="F1131" s="19" t="n">
        <v>115</v>
      </c>
      <c r="G1131" s="8" t="str">
        <f aca="false">IFERROR(INDEX('TRANS'!$B:$B,MATCH($B1131,'TRANS'!$A:$A,0)),IFERROR(INDEX('TRANS'!$B:$B,MATCH(TRIM(SUBSTITUTE($B1131,CHAR(160)," ")),'TRANS'!$D:$D,0)),IFERROR(INDEX('Catalog'!$A:$A,MATCH($B1131,'Catalog'!$B:$B,0)),IFERROR(INDEX('Catalog'!$A:$A,MATCH(TRIM(SUBSTITUTE($B1131,CHAR(160)," ")),'Catalog'!$C:$C,0)),""))))</f>
        <v/>
      </c>
      <c r="H1131" s="8" t="str">
        <f aca="false">IFERROR(INDEX('TRANS'!$C:$C,MATCH($B1131,'TRANS'!$A:$A,0)),IFERROR(INDEX('Catalog'!$B:$B,MATCH($G1131,'Catalog'!$A:$A,0)),$B1131))</f>
        <v>T33 M</v>
      </c>
      <c r="I1131" s="8" t="str">
        <f aca="false">IF($G1131="","Unmatched","Matched")</f>
        <v>Unmatched</v>
      </c>
      <c r="J1131" s="8" t="str">
        <f aca="false">IF($G1131&lt;&gt;"",$G1131,$B1131)</f>
        <v>T33 M</v>
      </c>
      <c r="K1131" s="8" t="str">
        <f aca="false">IF(COUNTIF($M$1:$M$10,$A1131)&gt;0,"Y","N")</f>
        <v>Y</v>
      </c>
    </row>
    <row r="1132" customFormat="false" ht="15" hidden="false" customHeight="true" outlineLevel="0" collapsed="false">
      <c r="A1132" s="8" t="s">
        <v>44</v>
      </c>
      <c r="B1132" s="8" t="s">
        <v>166</v>
      </c>
      <c r="C1132" s="19" t="n">
        <v>1</v>
      </c>
      <c r="D1132" s="19" t="n">
        <v>110</v>
      </c>
      <c r="E1132" s="19" t="n">
        <v>1</v>
      </c>
      <c r="F1132" s="19" t="n">
        <v>115</v>
      </c>
      <c r="G1132" s="8" t="str">
        <f aca="false">IFERROR(INDEX('TRANS'!$B:$B,MATCH($B1132,'TRANS'!$A:$A,0)),IFERROR(INDEX('TRANS'!$B:$B,MATCH(TRIM(SUBSTITUTE($B1132,CHAR(160)," ")),'TRANS'!$D:$D,0)),IFERROR(INDEX('Catalog'!$A:$A,MATCH($B1132,'Catalog'!$B:$B,0)),IFERROR(INDEX('Catalog'!$A:$A,MATCH(TRIM(SUBSTITUTE($B1132,CHAR(160)," ")),'Catalog'!$C:$C,0)),""))))</f>
        <v/>
      </c>
      <c r="H1132" s="8" t="str">
        <f aca="false">IFERROR(INDEX('TRANS'!$C:$C,MATCH($B1132,'TRANS'!$A:$A,0)),IFERROR(INDEX('Catalog'!$B:$B,MATCH($G1132,'Catalog'!$A:$A,0)),$B1132))</f>
        <v>T33 S</v>
      </c>
      <c r="I1132" s="8" t="str">
        <f aca="false">IF($G1132="","Unmatched","Matched")</f>
        <v>Unmatched</v>
      </c>
      <c r="J1132" s="8" t="str">
        <f aca="false">IF($G1132&lt;&gt;"",$G1132,$B1132)</f>
        <v>T33 S</v>
      </c>
      <c r="K1132" s="8" t="str">
        <f aca="false">IF(COUNTIF($M$1:$M$10,$A1132)&gt;0,"Y","N")</f>
        <v>Y</v>
      </c>
    </row>
    <row r="1133" customFormat="false" ht="15" hidden="false" customHeight="true" outlineLevel="0" collapsed="false">
      <c r="A1133" s="8" t="s">
        <v>44</v>
      </c>
      <c r="B1133" s="8" t="s">
        <v>477</v>
      </c>
      <c r="C1133" s="19" t="n">
        <v>1</v>
      </c>
      <c r="D1133" s="19" t="n">
        <v>110.01</v>
      </c>
      <c r="E1133" s="19" t="n">
        <v>0</v>
      </c>
      <c r="F1133" s="19" t="n">
        <v>0</v>
      </c>
      <c r="G1133" s="8" t="str">
        <f aca="false">IFERROR(INDEX('TRANS'!$B:$B,MATCH($B1133,'TRANS'!$A:$A,0)),IFERROR(INDEX('TRANS'!$B:$B,MATCH(TRIM(SUBSTITUTE($B1133,CHAR(160)," ")),'TRANS'!$D:$D,0)),IFERROR(INDEX('Catalog'!$A:$A,MATCH($B1133,'Catalog'!$B:$B,0)),IFERROR(INDEX('Catalog'!$A:$A,MATCH(TRIM(SUBSTITUTE($B1133,CHAR(160)," ")),'Catalog'!$C:$C,0)),""))))</f>
        <v/>
      </c>
      <c r="H1133" s="8" t="str">
        <f aca="false">IFERROR(INDEX('TRANS'!$C:$C,MATCH($B1133,'TRANS'!$A:$A,0)),IFERROR(INDEX('Catalog'!$B:$B,MATCH($G1133,'Catalog'!$A:$A,0)),$B1133))</f>
        <v>T33 XS</v>
      </c>
      <c r="I1133" s="8" t="str">
        <f aca="false">IF($G1133="","Unmatched","Matched")</f>
        <v>Unmatched</v>
      </c>
      <c r="J1133" s="8" t="str">
        <f aca="false">IF($G1133&lt;&gt;"",$G1133,$B1133)</f>
        <v>T33 XS</v>
      </c>
      <c r="K1133" s="8" t="str">
        <f aca="false">IF(COUNTIF($M$1:$M$10,$A1133)&gt;0,"Y","N")</f>
        <v>Y</v>
      </c>
    </row>
    <row r="1134" customFormat="false" ht="15" hidden="false" customHeight="true" outlineLevel="0" collapsed="false">
      <c r="A1134" s="8" t="s">
        <v>44</v>
      </c>
      <c r="B1134" s="8" t="s">
        <v>524</v>
      </c>
      <c r="C1134" s="19" t="n">
        <v>1</v>
      </c>
      <c r="D1134" s="19" t="n">
        <v>164.99</v>
      </c>
      <c r="E1134" s="19" t="n">
        <v>0</v>
      </c>
      <c r="F1134" s="19" t="n">
        <v>0</v>
      </c>
      <c r="G1134" s="8" t="str">
        <f aca="false">IFERROR(INDEX('TRANS'!$B:$B,MATCH($B1134,'TRANS'!$A:$A,0)),IFERROR(INDEX('TRANS'!$B:$B,MATCH(TRIM(SUBSTITUTE($B1134,CHAR(160)," ")),'TRANS'!$D:$D,0)),IFERROR(INDEX('Catalog'!$A:$A,MATCH($B1134,'Catalog'!$B:$B,0)),IFERROR(INDEX('Catalog'!$A:$A,MATCH(TRIM(SUBSTITUTE($B1134,CHAR(160)," ")),'Catalog'!$C:$C,0)),""))))</f>
        <v/>
      </c>
      <c r="H1134" s="8" t="str">
        <f aca="false">IFERROR(INDEX('TRANS'!$C:$C,MATCH($B1134,'TRANS'!$A:$A,0)),IFERROR(INDEX('Catalog'!$B:$B,MATCH($G1134,'Catalog'!$A:$A,0)),$B1134))</f>
        <v>062 L</v>
      </c>
      <c r="I1134" s="8" t="str">
        <f aca="false">IF($G1134="","Unmatched","Matched")</f>
        <v>Unmatched</v>
      </c>
      <c r="J1134" s="8" t="str">
        <f aca="false">IF($G1134&lt;&gt;"",$G1134,$B1134)</f>
        <v>062 L</v>
      </c>
      <c r="K1134" s="8" t="str">
        <f aca="false">IF(COUNTIF($M$1:$M$10,$A1134)&gt;0,"Y","N")</f>
        <v>Y</v>
      </c>
    </row>
    <row r="1135" customFormat="false" ht="15" hidden="false" customHeight="true" outlineLevel="0" collapsed="false">
      <c r="A1135" s="8" t="s">
        <v>44</v>
      </c>
      <c r="B1135" s="8" t="s">
        <v>478</v>
      </c>
      <c r="C1135" s="19" t="n">
        <v>2</v>
      </c>
      <c r="D1135" s="19" t="n">
        <v>330</v>
      </c>
      <c r="E1135" s="19" t="n">
        <v>0</v>
      </c>
      <c r="F1135" s="19" t="n">
        <v>0</v>
      </c>
      <c r="G1135" s="8" t="str">
        <f aca="false">IFERROR(INDEX('TRANS'!$B:$B,MATCH($B1135,'TRANS'!$A:$A,0)),IFERROR(INDEX('TRANS'!$B:$B,MATCH(TRIM(SUBSTITUTE($B1135,CHAR(160)," ")),'TRANS'!$D:$D,0)),IFERROR(INDEX('Catalog'!$A:$A,MATCH($B1135,'Catalog'!$B:$B,0)),IFERROR(INDEX('Catalog'!$A:$A,MATCH(TRIM(SUBSTITUTE($B1135,CHAR(160)," ")),'Catalog'!$C:$C,0)),""))))</f>
        <v/>
      </c>
      <c r="H1135" s="8" t="str">
        <f aca="false">IFERROR(INDEX('TRANS'!$C:$C,MATCH($B1135,'TRANS'!$A:$A,0)),IFERROR(INDEX('Catalog'!$B:$B,MATCH($G1135,'Catalog'!$A:$A,0)),$B1135))</f>
        <v>062 XXL</v>
      </c>
      <c r="I1135" s="8" t="str">
        <f aca="false">IF($G1135="","Unmatched","Matched")</f>
        <v>Unmatched</v>
      </c>
      <c r="J1135" s="8" t="str">
        <f aca="false">IF($G1135&lt;&gt;"",$G1135,$B1135)</f>
        <v>062 XXL</v>
      </c>
      <c r="K1135" s="8" t="str">
        <f aca="false">IF(COUNTIF($M$1:$M$10,$A1135)&gt;0,"Y","N")</f>
        <v>Y</v>
      </c>
    </row>
    <row r="1136" customFormat="false" ht="15" hidden="false" customHeight="true" outlineLevel="0" collapsed="false">
      <c r="A1136" s="8" t="s">
        <v>44</v>
      </c>
      <c r="B1136" s="8" t="s">
        <v>350</v>
      </c>
      <c r="C1136" s="19" t="n">
        <v>2</v>
      </c>
      <c r="D1136" s="19" t="n">
        <v>271.77</v>
      </c>
      <c r="E1136" s="19" t="n">
        <v>0</v>
      </c>
      <c r="F1136" s="19" t="n">
        <v>0</v>
      </c>
      <c r="G1136" s="8" t="str">
        <f aca="false">IFERROR(INDEX('TRANS'!$B:$B,MATCH($B1136,'TRANS'!$A:$A,0)),IFERROR(INDEX('TRANS'!$B:$B,MATCH(TRIM(SUBSTITUTE($B1136,CHAR(160)," ")),'TRANS'!$D:$D,0)),IFERROR(INDEX('Catalog'!$A:$A,MATCH($B1136,'Catalog'!$B:$B,0)),IFERROR(INDEX('Catalog'!$A:$A,MATCH(TRIM(SUBSTITUTE($B1136,CHAR(160)," ")),'Catalog'!$C:$C,0)),""))))</f>
        <v/>
      </c>
      <c r="H1136" s="8" t="str">
        <f aca="false">IFERROR(INDEX('TRANS'!$C:$C,MATCH($B1136,'TRANS'!$A:$A,0)),IFERROR(INDEX('Catalog'!$B:$B,MATCH($G1136,'Catalog'!$A:$A,0)),$B1136))</f>
        <v>11PS M</v>
      </c>
      <c r="I1136" s="8" t="str">
        <f aca="false">IF($G1136="","Unmatched","Matched")</f>
        <v>Unmatched</v>
      </c>
      <c r="J1136" s="8" t="str">
        <f aca="false">IF($G1136&lt;&gt;"",$G1136,$B1136)</f>
        <v>11PS M</v>
      </c>
      <c r="K1136" s="8" t="str">
        <f aca="false">IF(COUNTIF($M$1:$M$10,$A1136)&gt;0,"Y","N")</f>
        <v>Y</v>
      </c>
    </row>
    <row r="1137" customFormat="false" ht="15" hidden="false" customHeight="true" outlineLevel="0" collapsed="false">
      <c r="A1137" s="8" t="s">
        <v>44</v>
      </c>
      <c r="B1137" s="8" t="s">
        <v>479</v>
      </c>
      <c r="C1137" s="19" t="n">
        <v>1</v>
      </c>
      <c r="D1137" s="19" t="n">
        <v>95</v>
      </c>
      <c r="E1137" s="19" t="n">
        <v>0</v>
      </c>
      <c r="F1137" s="19" t="n">
        <v>0</v>
      </c>
      <c r="G1137" s="8" t="str">
        <f aca="false">IFERROR(INDEX('TRANS'!$B:$B,MATCH($B1137,'TRANS'!$A:$A,0)),IFERROR(INDEX('TRANS'!$B:$B,MATCH(TRIM(SUBSTITUTE($B1137,CHAR(160)," ")),'TRANS'!$D:$D,0)),IFERROR(INDEX('Catalog'!$A:$A,MATCH($B1137,'Catalog'!$B:$B,0)),IFERROR(INDEX('Catalog'!$A:$A,MATCH(TRIM(SUBSTITUTE($B1137,CHAR(160)," ")),'Catalog'!$C:$C,0)),""))))</f>
        <v/>
      </c>
      <c r="H1137" s="8" t="str">
        <f aca="false">IFERROR(INDEX('TRANS'!$C:$C,MATCH($B1137,'TRANS'!$A:$A,0)),IFERROR(INDEX('Catalog'!$B:$B,MATCH($G1137,'Catalog'!$A:$A,0)),$B1137))</f>
        <v>422EU S</v>
      </c>
      <c r="I1137" s="8" t="str">
        <f aca="false">IF($G1137="","Unmatched","Matched")</f>
        <v>Unmatched</v>
      </c>
      <c r="J1137" s="8" t="str">
        <f aca="false">IF($G1137&lt;&gt;"",$G1137,$B1137)</f>
        <v>422EU S</v>
      </c>
      <c r="K1137" s="8" t="str">
        <f aca="false">IF(COUNTIF($M$1:$M$10,$A1137)&gt;0,"Y","N")</f>
        <v>Y</v>
      </c>
    </row>
    <row r="1138" customFormat="false" ht="15" hidden="false" customHeight="true" outlineLevel="0" collapsed="false">
      <c r="A1138" s="8" t="s">
        <v>44</v>
      </c>
      <c r="B1138" s="8" t="s">
        <v>652</v>
      </c>
      <c r="C1138" s="19" t="n">
        <v>2</v>
      </c>
      <c r="D1138" s="19" t="n">
        <v>54</v>
      </c>
      <c r="E1138" s="19" t="n">
        <v>0</v>
      </c>
      <c r="F1138" s="19" t="n">
        <v>0</v>
      </c>
      <c r="G1138" s="8" t="n">
        <f aca="false">IFERROR(INDEX('TRANS'!$B:$B,MATCH($B1138,'TRANS'!$A:$A,0)),IFERROR(INDEX('TRANS'!$B:$B,MATCH(TRIM(SUBSTITUTE($B1138,CHAR(160)," ")),'TRANS'!$D:$D,0)),IFERROR(INDEX('Catalog'!$A:$A,MATCH($B1138,'Catalog'!$B:$B,0)),IFERROR(INDEX('Catalog'!$A:$A,MATCH(TRIM(SUBSTITUTE($B1138,CHAR(160)," ")),'Catalog'!$C:$C,0)),""))))</f>
        <v>4403000</v>
      </c>
      <c r="H1138" s="8" t="str">
        <f aca="false">IFERROR(INDEX('TRANS'!$C:$C,MATCH($B1138,'TRANS'!$A:$A,0)),IFERROR(INDEX('Catalog'!$B:$B,MATCH($G1138,'Catalog'!$A:$A,0)),$B1138))</f>
        <v>390B גרב.כסף לסכרתים שחור35-38</v>
      </c>
      <c r="I1138" s="8" t="str">
        <f aca="false">IF($G1138="","Unmatched","Matched")</f>
        <v>Matched</v>
      </c>
      <c r="J1138" s="8" t="n">
        <f aca="false">IF($G1138&lt;&gt;"",$G1138,$B1138)</f>
        <v>4403000</v>
      </c>
      <c r="K1138" s="8" t="str">
        <f aca="false">IF(COUNTIF($M$1:$M$10,$A1138)&gt;0,"Y","N")</f>
        <v>Y</v>
      </c>
    </row>
    <row r="1139" customFormat="false" ht="15" hidden="false" customHeight="true" outlineLevel="0" collapsed="false">
      <c r="A1139" s="8" t="s">
        <v>44</v>
      </c>
      <c r="B1139" s="8" t="s">
        <v>247</v>
      </c>
      <c r="C1139" s="19" t="n">
        <v>2</v>
      </c>
      <c r="D1139" s="19" t="n">
        <v>806.12</v>
      </c>
      <c r="E1139" s="19" t="n">
        <v>2</v>
      </c>
      <c r="F1139" s="19" t="n">
        <v>806.11</v>
      </c>
      <c r="G1139" s="8" t="str">
        <f aca="false">IFERROR(INDEX('TRANS'!$B:$B,MATCH($B1139,'TRANS'!$A:$A,0)),IFERROR(INDEX('TRANS'!$B:$B,MATCH(TRIM(SUBSTITUTE($B1139,CHAR(160)," ")),'TRANS'!$D:$D,0)),IFERROR(INDEX('Catalog'!$A:$A,MATCH($B1139,'Catalog'!$B:$B,0)),IFERROR(INDEX('Catalog'!$A:$A,MATCH(TRIM(SUBSTITUTE($B1139,CHAR(160)," ")),'Catalog'!$C:$C,0)),""))))</f>
        <v/>
      </c>
      <c r="H1139" s="8" t="str">
        <f aca="false">IFERROR(INDEX('TRANS'!$C:$C,MATCH($B1139,'TRANS'!$A:$A,0)),IFERROR(INDEX('Catalog'!$B:$B,MATCH($G1139,'Catalog'!$A:$A,0)),$B1139))</f>
        <v>T43V L</v>
      </c>
      <c r="I1139" s="8" t="str">
        <f aca="false">IF($G1139="","Unmatched","Matched")</f>
        <v>Unmatched</v>
      </c>
      <c r="J1139" s="8" t="str">
        <f aca="false">IF($G1139&lt;&gt;"",$G1139,$B1139)</f>
        <v>T43V L</v>
      </c>
      <c r="K1139" s="8" t="str">
        <f aca="false">IF(COUNTIF($M$1:$M$10,$A1139)&gt;0,"Y","N")</f>
        <v>Y</v>
      </c>
    </row>
    <row r="1140" customFormat="false" ht="15" hidden="false" customHeight="true" outlineLevel="0" collapsed="false">
      <c r="A1140" s="8" t="s">
        <v>44</v>
      </c>
      <c r="B1140" s="8" t="s">
        <v>248</v>
      </c>
      <c r="C1140" s="19" t="n">
        <v>1</v>
      </c>
      <c r="D1140" s="19" t="n">
        <v>66.51</v>
      </c>
      <c r="E1140" s="19" t="n">
        <v>0</v>
      </c>
      <c r="F1140" s="19" t="n">
        <v>0</v>
      </c>
      <c r="G1140" s="8" t="str">
        <f aca="false">IFERROR(INDEX('TRANS'!$B:$B,MATCH($B1140,'TRANS'!$A:$A,0)),IFERROR(INDEX('TRANS'!$B:$B,MATCH(TRIM(SUBSTITUTE($B1140,CHAR(160)," ")),'TRANS'!$D:$D,0)),IFERROR(INDEX('Catalog'!$A:$A,MATCH($B1140,'Catalog'!$B:$B,0)),IFERROR(INDEX('Catalog'!$A:$A,MATCH(TRIM(SUBSTITUTE($B1140,CHAR(160)," ")),'Catalog'!$C:$C,0)),""))))</f>
        <v/>
      </c>
      <c r="H1140" s="8" t="str">
        <f aca="false">IFERROR(INDEX('TRANS'!$C:$C,MATCH($B1140,'TRANS'!$A:$A,0)),IFERROR(INDEX('Catalog'!$B:$B,MATCH($G1140,'Catalog'!$A:$A,0)),$B1140))</f>
        <v>30 XXL</v>
      </c>
      <c r="I1140" s="8" t="str">
        <f aca="false">IF($G1140="","Unmatched","Matched")</f>
        <v>Unmatched</v>
      </c>
      <c r="J1140" s="8" t="str">
        <f aca="false">IF($G1140&lt;&gt;"",$G1140,$B1140)</f>
        <v>30 XXL</v>
      </c>
      <c r="K1140" s="8" t="str">
        <f aca="false">IF(COUNTIF($M$1:$M$10,$A1140)&gt;0,"Y","N")</f>
        <v>Y</v>
      </c>
    </row>
    <row r="1141" customFormat="false" ht="15" hidden="false" customHeight="true" outlineLevel="0" collapsed="false">
      <c r="A1141" s="8" t="s">
        <v>44</v>
      </c>
      <c r="B1141" s="8" t="s">
        <v>634</v>
      </c>
      <c r="C1141" s="19" t="n">
        <v>1</v>
      </c>
      <c r="D1141" s="19" t="n">
        <v>66.5</v>
      </c>
      <c r="E1141" s="19" t="n">
        <v>0</v>
      </c>
      <c r="F1141" s="19" t="n">
        <v>0</v>
      </c>
      <c r="G1141" s="8" t="n">
        <f aca="false">IFERROR(INDEX('TRANS'!$B:$B,MATCH($B1141,'TRANS'!$A:$A,0)),IFERROR(INDEX('TRANS'!$B:$B,MATCH(TRIM(SUBSTITUTE($B1141,CHAR(160)," ")),'TRANS'!$D:$D,0)),IFERROR(INDEX('Catalog'!$A:$A,MATCH($B1141,'Catalog'!$B:$B,0)),IFERROR(INDEX('Catalog'!$A:$A,MATCH(TRIM(SUBSTITUTE($B1141,CHAR(160)," ")),'Catalog'!$C:$C,0)),""))))</f>
        <v>4413340</v>
      </c>
      <c r="H1141" s="8" t="str">
        <f aca="false">IFERROR(INDEX('TRANS'!$C:$C,MATCH($B1141,'TRANS'!$A:$A,0)),IFERROR(INDEX('Catalog'!$B:$B,MATCH($G1141,'Catalog'!$A:$A,0)),$B1141))</f>
        <v>3666 מפריד הלוקס</v>
      </c>
      <c r="I1141" s="8" t="str">
        <f aca="false">IF($G1141="","Unmatched","Matched")</f>
        <v>Matched</v>
      </c>
      <c r="J1141" s="8" t="n">
        <f aca="false">IF($G1141&lt;&gt;"",$G1141,$B1141)</f>
        <v>4413340</v>
      </c>
      <c r="K1141" s="8" t="str">
        <f aca="false">IF(COUNTIF($M$1:$M$10,$A1141)&gt;0,"Y","N")</f>
        <v>Y</v>
      </c>
    </row>
    <row r="1142" customFormat="false" ht="15" hidden="false" customHeight="true" outlineLevel="0" collapsed="false">
      <c r="A1142" s="8" t="s">
        <v>44</v>
      </c>
      <c r="B1142" s="8" t="s">
        <v>586</v>
      </c>
      <c r="C1142" s="19" t="n">
        <v>0</v>
      </c>
      <c r="D1142" s="19" t="n">
        <v>0</v>
      </c>
      <c r="E1142" s="19" t="n">
        <v>-5</v>
      </c>
      <c r="F1142" s="19" t="n">
        <v>-95.85</v>
      </c>
      <c r="G1142" s="8" t="n">
        <f aca="false">IFERROR(INDEX('TRANS'!$B:$B,MATCH($B1142,'TRANS'!$A:$A,0)),IFERROR(INDEX('TRANS'!$B:$B,MATCH(TRIM(SUBSTITUTE($B1142,CHAR(160)," ")),'TRANS'!$D:$D,0)),IFERROR(INDEX('Catalog'!$A:$A,MATCH($B1142,'Catalog'!$B:$B,0)),IFERROR(INDEX('Catalog'!$A:$A,MATCH(TRIM(SUBSTITUTE($B1142,CHAR(160)," ")),'Catalog'!$C:$C,0)),""))))</f>
        <v>4419013</v>
      </c>
      <c r="H1142" s="8" t="str">
        <f aca="false">IFERROR(INDEX('TRANS'!$C:$C,MATCH($B1142,'TRANS'!$A:$A,0)),IFERROR(INDEX('Catalog'!$B:$B,MATCH($G1142,'Catalog'!$A:$A,0)),$B1142))</f>
        <v>239B L-XL STRAP4U</v>
      </c>
      <c r="I1142" s="8" t="str">
        <f aca="false">IF($G1142="","Unmatched","Matched")</f>
        <v>Matched</v>
      </c>
      <c r="J1142" s="8" t="n">
        <f aca="false">IF($G1142&lt;&gt;"",$G1142,$B1142)</f>
        <v>4419013</v>
      </c>
      <c r="K1142" s="8" t="str">
        <f aca="false">IF(COUNTIF($M$1:$M$10,$A1142)&gt;0,"Y","N")</f>
        <v>Y</v>
      </c>
    </row>
    <row r="1143" customFormat="false" ht="15" hidden="false" customHeight="true" outlineLevel="0" collapsed="false">
      <c r="A1143" s="8" t="s">
        <v>44</v>
      </c>
      <c r="B1143" s="8" t="s">
        <v>588</v>
      </c>
      <c r="C1143" s="19" t="n">
        <v>0</v>
      </c>
      <c r="D1143" s="19" t="n">
        <v>0</v>
      </c>
      <c r="E1143" s="19" t="n">
        <v>-2</v>
      </c>
      <c r="F1143" s="19" t="n">
        <v>-38.34</v>
      </c>
      <c r="G1143" s="8" t="n">
        <f aca="false">IFERROR(INDEX('TRANS'!$B:$B,MATCH($B1143,'TRANS'!$A:$A,0)),IFERROR(INDEX('TRANS'!$B:$B,MATCH(TRIM(SUBSTITUTE($B1143,CHAR(160)," ")),'TRANS'!$D:$D,0)),IFERROR(INDEX('Catalog'!$A:$A,MATCH($B1143,'Catalog'!$B:$B,0)),IFERROR(INDEX('Catalog'!$A:$A,MATCH(TRIM(SUBSTITUTE($B1143,CHAR(160)," ")),'Catalog'!$C:$C,0)),""))))</f>
        <v>4419014</v>
      </c>
      <c r="H1143" s="8" t="str">
        <f aca="false">IFERROR(INDEX('TRANS'!$C:$C,MATCH($B1143,'TRANS'!$A:$A,0)),IFERROR(INDEX('Catalog'!$B:$B,MATCH($G1143,'Catalog'!$A:$A,0)),$B1143))</f>
        <v>239TR L-XL STRAP4U</v>
      </c>
      <c r="I1143" s="8" t="str">
        <f aca="false">IF($G1143="","Unmatched","Matched")</f>
        <v>Matched</v>
      </c>
      <c r="J1143" s="8" t="n">
        <f aca="false">IF($G1143&lt;&gt;"",$G1143,$B1143)</f>
        <v>4419014</v>
      </c>
      <c r="K1143" s="8" t="str">
        <f aca="false">IF(COUNTIF($M$1:$M$10,$A1143)&gt;0,"Y","N")</f>
        <v>Y</v>
      </c>
    </row>
    <row r="1144" customFormat="false" ht="15" hidden="false" customHeight="true" outlineLevel="0" collapsed="false">
      <c r="A1144" s="8" t="s">
        <v>44</v>
      </c>
      <c r="B1144" s="8" t="s">
        <v>994</v>
      </c>
      <c r="C1144" s="19" t="n">
        <v>1</v>
      </c>
      <c r="D1144" s="19" t="n">
        <v>30.89</v>
      </c>
      <c r="E1144" s="19" t="n">
        <v>0</v>
      </c>
      <c r="F1144" s="19" t="n">
        <v>0</v>
      </c>
      <c r="G1144" s="8" t="n">
        <f aca="false">IFERROR(INDEX('TRANS'!$B:$B,MATCH($B1144,'TRANS'!$A:$A,0)),IFERROR(INDEX('TRANS'!$B:$B,MATCH(TRIM(SUBSTITUTE($B1144,CHAR(160)," ")),'TRANS'!$D:$D,0)),IFERROR(INDEX('Catalog'!$A:$A,MATCH($B1144,'Catalog'!$B:$B,0)),IFERROR(INDEX('Catalog'!$A:$A,MATCH(TRIM(SUBSTITUTE($B1144,CHAR(160)," ")),'Catalog'!$C:$C,0)),""))))</f>
        <v>4413332</v>
      </c>
      <c r="H1144" s="8" t="str">
        <f aca="false">IFERROR(INDEX('TRANS'!$C:$C,MATCH($B1144,'TRANS'!$A:$A,0)),IFERROR(INDEX('Catalog'!$B:$B,MATCH($G1144,'Catalog'!$A:$A,0)),$B1144))</f>
        <v>45  XS מגן ברך רגיל לבן</v>
      </c>
      <c r="I1144" s="8" t="str">
        <f aca="false">IF($G1144="","Unmatched","Matched")</f>
        <v>Matched</v>
      </c>
      <c r="J1144" s="8" t="n">
        <f aca="false">IF($G1144&lt;&gt;"",$G1144,$B1144)</f>
        <v>4413332</v>
      </c>
      <c r="K1144" s="8" t="str">
        <f aca="false">IF(COUNTIF($M$1:$M$10,$A1144)&gt;0,"Y","N")</f>
        <v>Y</v>
      </c>
    </row>
    <row r="1145" customFormat="false" ht="15" hidden="false" customHeight="true" outlineLevel="0" collapsed="false">
      <c r="A1145" s="8" t="s">
        <v>44</v>
      </c>
      <c r="B1145" s="8" t="s">
        <v>676</v>
      </c>
      <c r="C1145" s="19" t="n">
        <v>5</v>
      </c>
      <c r="D1145" s="19" t="n">
        <v>130.67</v>
      </c>
      <c r="E1145" s="19" t="n">
        <v>2</v>
      </c>
      <c r="F1145" s="19" t="n">
        <v>61.78</v>
      </c>
      <c r="G1145" s="8" t="n">
        <f aca="false">IFERROR(INDEX('TRANS'!$B:$B,MATCH($B1145,'TRANS'!$A:$A,0)),IFERROR(INDEX('TRANS'!$B:$B,MATCH(TRIM(SUBSTITUTE($B1145,CHAR(160)," ")),'TRANS'!$D:$D,0)),IFERROR(INDEX('Catalog'!$A:$A,MATCH($B1145,'Catalog'!$B:$B,0)),IFERROR(INDEX('Catalog'!$A:$A,MATCH(TRIM(SUBSTITUTE($B1145,CHAR(160)," ")),'Catalog'!$C:$C,0)),""))))</f>
        <v>4413497</v>
      </c>
      <c r="H1145" s="8" t="str">
        <f aca="false">IFERROR(INDEX('TRANS'!$C:$C,MATCH($B1145,'TRANS'!$A:$A,0)),IFERROR(INDEX('Catalog'!$B:$B,MATCH($G1145,'Catalog'!$A:$A,0)),$B1145))</f>
        <v>45B M מגן ברך שחור</v>
      </c>
      <c r="I1145" s="8" t="str">
        <f aca="false">IF($G1145="","Unmatched","Matched")</f>
        <v>Matched</v>
      </c>
      <c r="J1145" s="8" t="n">
        <f aca="false">IF($G1145&lt;&gt;"",$G1145,$B1145)</f>
        <v>4413497</v>
      </c>
      <c r="K1145" s="8" t="str">
        <f aca="false">IF(COUNTIF($M$1:$M$10,$A1145)&gt;0,"Y","N")</f>
        <v>Y</v>
      </c>
    </row>
    <row r="1146" customFormat="false" ht="15" hidden="false" customHeight="true" outlineLevel="0" collapsed="false">
      <c r="A1146" s="8" t="s">
        <v>44</v>
      </c>
      <c r="B1146" s="8" t="s">
        <v>801</v>
      </c>
      <c r="C1146" s="19" t="n">
        <v>5</v>
      </c>
      <c r="D1146" s="19" t="n">
        <v>154.45</v>
      </c>
      <c r="E1146" s="19" t="n">
        <v>0</v>
      </c>
      <c r="F1146" s="19" t="n">
        <v>0</v>
      </c>
      <c r="G1146" s="8" t="n">
        <f aca="false">IFERROR(INDEX('TRANS'!$B:$B,MATCH($B1146,'TRANS'!$A:$A,0)),IFERROR(INDEX('TRANS'!$B:$B,MATCH(TRIM(SUBSTITUTE($B1146,CHAR(160)," ")),'TRANS'!$D:$D,0)),IFERROR(INDEX('Catalog'!$A:$A,MATCH($B1146,'Catalog'!$B:$B,0)),IFERROR(INDEX('Catalog'!$A:$A,MATCH(TRIM(SUBSTITUTE($B1146,CHAR(160)," ")),'Catalog'!$C:$C,0)),""))))</f>
        <v>4413498</v>
      </c>
      <c r="H1146" s="8" t="str">
        <f aca="false">IFERROR(INDEX('TRANS'!$C:$C,MATCH($B1146,'TRANS'!$A:$A,0)),IFERROR(INDEX('Catalog'!$B:$B,MATCH($G1146,'Catalog'!$A:$A,0)),$B1146))</f>
        <v>45B S מגן ברך שחור</v>
      </c>
      <c r="I1146" s="8" t="str">
        <f aca="false">IF($G1146="","Unmatched","Matched")</f>
        <v>Matched</v>
      </c>
      <c r="J1146" s="8" t="n">
        <f aca="false">IF($G1146&lt;&gt;"",$G1146,$B1146)</f>
        <v>4413498</v>
      </c>
      <c r="K1146" s="8" t="str">
        <f aca="false">IF(COUNTIF($M$1:$M$10,$A1146)&gt;0,"Y","N")</f>
        <v>Y</v>
      </c>
    </row>
    <row r="1147" customFormat="false" ht="15" hidden="false" customHeight="true" outlineLevel="0" collapsed="false">
      <c r="A1147" s="8" t="s">
        <v>44</v>
      </c>
      <c r="B1147" s="8" t="s">
        <v>802</v>
      </c>
      <c r="C1147" s="19" t="n">
        <v>9</v>
      </c>
      <c r="D1147" s="19" t="n">
        <v>254.24</v>
      </c>
      <c r="E1147" s="19" t="n">
        <v>0</v>
      </c>
      <c r="F1147" s="19" t="n">
        <v>0</v>
      </c>
      <c r="G1147" s="8" t="n">
        <f aca="false">IFERROR(INDEX('TRANS'!$B:$B,MATCH($B1147,'TRANS'!$A:$A,0)),IFERROR(INDEX('TRANS'!$B:$B,MATCH(TRIM(SUBSTITUTE($B1147,CHAR(160)," ")),'TRANS'!$D:$D,0)),IFERROR(INDEX('Catalog'!$A:$A,MATCH($B1147,'Catalog'!$B:$B,0)),IFERROR(INDEX('Catalog'!$A:$A,MATCH(TRIM(SUBSTITUTE($B1147,CHAR(160)," ")),'Catalog'!$C:$C,0)),""))))</f>
        <v>4413496</v>
      </c>
      <c r="H1147" s="8" t="str">
        <f aca="false">IFERROR(INDEX('TRANS'!$C:$C,MATCH($B1147,'TRANS'!$A:$A,0)),IFERROR(INDEX('Catalog'!$B:$B,MATCH($G1147,'Catalog'!$A:$A,0)),$B1147))</f>
        <v>45B XL מגן ברך שחור</v>
      </c>
      <c r="I1147" s="8" t="str">
        <f aca="false">IF($G1147="","Unmatched","Matched")</f>
        <v>Matched</v>
      </c>
      <c r="J1147" s="8" t="n">
        <f aca="false">IF($G1147&lt;&gt;"",$G1147,$B1147)</f>
        <v>4413496</v>
      </c>
      <c r="K1147" s="8" t="str">
        <f aca="false">IF(COUNTIF($M$1:$M$10,$A1147)&gt;0,"Y","N")</f>
        <v>Y</v>
      </c>
    </row>
    <row r="1148" customFormat="false" ht="15" hidden="false" customHeight="true" outlineLevel="0" collapsed="false">
      <c r="A1148" s="8" t="s">
        <v>44</v>
      </c>
      <c r="B1148" s="8" t="s">
        <v>215</v>
      </c>
      <c r="C1148" s="19" t="n">
        <v>0</v>
      </c>
      <c r="D1148" s="19" t="n">
        <v>-0.0799999999999983</v>
      </c>
      <c r="E1148" s="19" t="n">
        <v>-1</v>
      </c>
      <c r="F1148" s="19" t="n">
        <v>-70</v>
      </c>
      <c r="G1148" s="8" t="str">
        <f aca="false">IFERROR(INDEX('TRANS'!$B:$B,MATCH($B1148,'TRANS'!$A:$A,0)),IFERROR(INDEX('TRANS'!$B:$B,MATCH(TRIM(SUBSTITUTE($B1148,CHAR(160)," ")),'TRANS'!$D:$D,0)),IFERROR(INDEX('Catalog'!$A:$A,MATCH($B1148,'Catalog'!$B:$B,0)),IFERROR(INDEX('Catalog'!$A:$A,MATCH(TRIM(SUBSTITUTE($B1148,CHAR(160)," ")),'Catalog'!$C:$C,0)),""))))</f>
        <v/>
      </c>
      <c r="H1148" s="8" t="str">
        <f aca="false">IFERROR(INDEX('TRANS'!$C:$C,MATCH($B1148,'TRANS'!$A:$A,0)),IFERROR(INDEX('Catalog'!$B:$B,MATCH($G1148,'Catalog'!$A:$A,0)),$B1148))</f>
        <v>099-S-M</v>
      </c>
      <c r="I1148" s="8" t="str">
        <f aca="false">IF($G1148="","Unmatched","Matched")</f>
        <v>Unmatched</v>
      </c>
      <c r="J1148" s="8" t="str">
        <f aca="false">IF($G1148&lt;&gt;"",$G1148,$B1148)</f>
        <v>099-S-M</v>
      </c>
      <c r="K1148" s="8" t="str">
        <f aca="false">IF(COUNTIF($M$1:$M$10,$A1148)&gt;0,"Y","N")</f>
        <v>Y</v>
      </c>
    </row>
    <row r="1149" customFormat="false" ht="15" hidden="false" customHeight="true" outlineLevel="0" collapsed="false">
      <c r="A1149" s="8" t="s">
        <v>44</v>
      </c>
      <c r="B1149" s="8" t="s">
        <v>786</v>
      </c>
      <c r="C1149" s="19" t="n">
        <v>1</v>
      </c>
      <c r="D1149" s="19" t="n">
        <v>39.79</v>
      </c>
      <c r="E1149" s="19" t="n">
        <v>0</v>
      </c>
      <c r="F1149" s="19" t="n">
        <v>0</v>
      </c>
      <c r="G1149" s="8" t="n">
        <f aca="false">IFERROR(INDEX('TRANS'!$B:$B,MATCH($B1149,'TRANS'!$A:$A,0)),IFERROR(INDEX('TRANS'!$B:$B,MATCH(TRIM(SUBSTITUTE($B1149,CHAR(160)," ")),'TRANS'!$D:$D,0)),IFERROR(INDEX('Catalog'!$A:$A,MATCH($B1149,'Catalog'!$B:$B,0)),IFERROR(INDEX('Catalog'!$A:$A,MATCH(TRIM(SUBSTITUTE($B1149,CHAR(160)," ")),'Catalog'!$C:$C,0)),""))))</f>
        <v>4413399</v>
      </c>
      <c r="H1149" s="8" t="str">
        <f aca="false">IFERROR(INDEX('TRANS'!$C:$C,MATCH($B1149,'TRANS'!$A:$A,0)),IFERROR(INDEX('Catalog'!$B:$B,MATCH($G1149,'Catalog'!$A:$A,0)),$B1149))</f>
        <v>21 XS מגן יד</v>
      </c>
      <c r="I1149" s="8" t="str">
        <f aca="false">IF($G1149="","Unmatched","Matched")</f>
        <v>Matched</v>
      </c>
      <c r="J1149" s="8" t="n">
        <f aca="false">IF($G1149&lt;&gt;"",$G1149,$B1149)</f>
        <v>4413399</v>
      </c>
      <c r="K1149" s="8" t="str">
        <f aca="false">IF(COUNTIF($M$1:$M$10,$A1149)&gt;0,"Y","N")</f>
        <v>Y</v>
      </c>
    </row>
    <row r="1150" customFormat="false" ht="15" hidden="false" customHeight="true" outlineLevel="0" collapsed="false">
      <c r="A1150" s="8" t="s">
        <v>44</v>
      </c>
      <c r="B1150" s="8" t="s">
        <v>797</v>
      </c>
      <c r="C1150" s="19" t="n">
        <v>1</v>
      </c>
      <c r="D1150" s="19" t="n">
        <v>126.51</v>
      </c>
      <c r="E1150" s="19" t="n">
        <v>2</v>
      </c>
      <c r="F1150" s="19" t="n">
        <v>253.02</v>
      </c>
      <c r="G1150" s="8" t="n">
        <f aca="false">IFERROR(INDEX('TRANS'!$B:$B,MATCH($B1150,'TRANS'!$A:$A,0)),IFERROR(INDEX('TRANS'!$B:$B,MATCH(TRIM(SUBSTITUTE($B1150,CHAR(160)," ")),'TRANS'!$D:$D,0)),IFERROR(INDEX('Catalog'!$A:$A,MATCH($B1150,'Catalog'!$B:$B,0)),IFERROR(INDEX('Catalog'!$A:$A,MATCH(TRIM(SUBSTITUTE($B1150,CHAR(160)," ")),'Catalog'!$C:$C,0)),""))))</f>
        <v>4413072</v>
      </c>
      <c r="H1150" s="8" t="str">
        <f aca="false">IFERROR(INDEX('TRANS'!$C:$C,MATCH($B1150,'TRANS'!$A:$A,0)),IFERROR(INDEX('Catalog'!$B:$B,MATCH($G1150,'Catalog'!$A:$A,0)),$B1150))</f>
        <v>41 Lמ.ברך מוצלב+ספירלות בצדדים</v>
      </c>
      <c r="I1150" s="8" t="str">
        <f aca="false">IF($G1150="","Unmatched","Matched")</f>
        <v>Matched</v>
      </c>
      <c r="J1150" s="8" t="n">
        <f aca="false">IF($G1150&lt;&gt;"",$G1150,$B1150)</f>
        <v>4413072</v>
      </c>
      <c r="K1150" s="8" t="str">
        <f aca="false">IF(COUNTIF($M$1:$M$10,$A1150)&gt;0,"Y","N")</f>
        <v>Y</v>
      </c>
    </row>
    <row r="1151" customFormat="false" ht="15" hidden="false" customHeight="true" outlineLevel="0" collapsed="false">
      <c r="A1151" s="8" t="s">
        <v>44</v>
      </c>
      <c r="B1151" s="8" t="s">
        <v>995</v>
      </c>
      <c r="C1151" s="19" t="n">
        <v>0</v>
      </c>
      <c r="D1151" s="19" t="n">
        <v>0</v>
      </c>
      <c r="E1151" s="19" t="n">
        <v>1</v>
      </c>
      <c r="F1151" s="19" t="n">
        <v>126.51</v>
      </c>
      <c r="G1151" s="8" t="n">
        <f aca="false">IFERROR(INDEX('TRANS'!$B:$B,MATCH($B1151,'TRANS'!$A:$A,0)),IFERROR(INDEX('TRANS'!$B:$B,MATCH(TRIM(SUBSTITUTE($B1151,CHAR(160)," ")),'TRANS'!$D:$D,0)),IFERROR(INDEX('Catalog'!$A:$A,MATCH($B1151,'Catalog'!$B:$B,0)),IFERROR(INDEX('Catalog'!$A:$A,MATCH(TRIM(SUBSTITUTE($B1151,CHAR(160)," ")),'Catalog'!$C:$C,0)),""))))</f>
        <v>4413071</v>
      </c>
      <c r="H1151" s="8" t="str">
        <f aca="false">IFERROR(INDEX('TRANS'!$C:$C,MATCH($B1151,'TRANS'!$A:$A,0)),IFERROR(INDEX('Catalog'!$B:$B,MATCH($G1151,'Catalog'!$A:$A,0)),$B1151))</f>
        <v>41 Sמ.ברך מוצלב+ספירלות בצדדים</v>
      </c>
      <c r="I1151" s="8" t="str">
        <f aca="false">IF($G1151="","Unmatched","Matched")</f>
        <v>Matched</v>
      </c>
      <c r="J1151" s="8" t="n">
        <f aca="false">IF($G1151&lt;&gt;"",$G1151,$B1151)</f>
        <v>4413071</v>
      </c>
      <c r="K1151" s="8" t="str">
        <f aca="false">IF(COUNTIF($M$1:$M$10,$A1151)&gt;0,"Y","N")</f>
        <v>Y</v>
      </c>
    </row>
    <row r="1152" customFormat="false" ht="15" hidden="false" customHeight="true" outlineLevel="0" collapsed="false">
      <c r="A1152" s="8" t="s">
        <v>44</v>
      </c>
      <c r="B1152" s="8" t="s">
        <v>996</v>
      </c>
      <c r="C1152" s="19" t="n">
        <v>1</v>
      </c>
      <c r="D1152" s="19" t="n">
        <v>126.51</v>
      </c>
      <c r="E1152" s="19" t="n">
        <v>2</v>
      </c>
      <c r="F1152" s="19" t="n">
        <v>253.02</v>
      </c>
      <c r="G1152" s="8" t="n">
        <f aca="false">IFERROR(INDEX('TRANS'!$B:$B,MATCH($B1152,'TRANS'!$A:$A,0)),IFERROR(INDEX('TRANS'!$B:$B,MATCH(TRIM(SUBSTITUTE($B1152,CHAR(160)," ")),'TRANS'!$D:$D,0)),IFERROR(INDEX('Catalog'!$A:$A,MATCH($B1152,'Catalog'!$B:$B,0)),IFERROR(INDEX('Catalog'!$A:$A,MATCH(TRIM(SUBSTITUTE($B1152,CHAR(160)," ")),'Catalog'!$C:$C,0)),""))))</f>
        <v>4413074</v>
      </c>
      <c r="H1152" s="8" t="str">
        <f aca="false">IFERROR(INDEX('TRANS'!$C:$C,MATCH($B1152,'TRANS'!$A:$A,0)),IFERROR(INDEX('Catalog'!$B:$B,MATCH($G1152,'Catalog'!$A:$A,0)),$B1152))</f>
        <v>41  XL.מ.ברך מוצלב+ספירלות בצד</v>
      </c>
      <c r="I1152" s="8" t="str">
        <f aca="false">IF($G1152="","Unmatched","Matched")</f>
        <v>Matched</v>
      </c>
      <c r="J1152" s="8" t="n">
        <f aca="false">IF($G1152&lt;&gt;"",$G1152,$B1152)</f>
        <v>4413074</v>
      </c>
      <c r="K1152" s="8" t="str">
        <f aca="false">IF(COUNTIF($M$1:$M$10,$A1152)&gt;0,"Y","N")</f>
        <v>Y</v>
      </c>
    </row>
    <row r="1153" customFormat="false" ht="15" hidden="false" customHeight="true" outlineLevel="0" collapsed="false">
      <c r="A1153" s="8" t="s">
        <v>44</v>
      </c>
      <c r="B1153" s="8" t="s">
        <v>480</v>
      </c>
      <c r="C1153" s="19" t="n">
        <v>1</v>
      </c>
      <c r="D1153" s="19" t="n">
        <v>330.86</v>
      </c>
      <c r="E1153" s="19" t="n">
        <v>0</v>
      </c>
      <c r="F1153" s="19" t="n">
        <v>0</v>
      </c>
      <c r="G1153" s="8" t="str">
        <f aca="false">IFERROR(INDEX('TRANS'!$B:$B,MATCH($B1153,'TRANS'!$A:$A,0)),IFERROR(INDEX('TRANS'!$B:$B,MATCH(TRIM(SUBSTITUTE($B1153,CHAR(160)," ")),'TRANS'!$D:$D,0)),IFERROR(INDEX('Catalog'!$A:$A,MATCH($B1153,'Catalog'!$B:$B,0)),IFERROR(INDEX('Catalog'!$A:$A,MATCH(TRIM(SUBSTITUTE($B1153,CHAR(160)," ")),'Catalog'!$C:$C,0)),""))))</f>
        <v/>
      </c>
      <c r="H1153" s="8" t="str">
        <f aca="false">IFERROR(INDEX('TRANS'!$C:$C,MATCH($B1153,'TRANS'!$A:$A,0)),IFERROR(INDEX('Catalog'!$B:$B,MATCH($G1153,'Catalog'!$A:$A,0)),$B1153))</f>
        <v>422EBD L</v>
      </c>
      <c r="I1153" s="8" t="str">
        <f aca="false">IF($G1153="","Unmatched","Matched")</f>
        <v>Unmatched</v>
      </c>
      <c r="J1153" s="8" t="str">
        <f aca="false">IF($G1153&lt;&gt;"",$G1153,$B1153)</f>
        <v>422EBD L</v>
      </c>
      <c r="K1153" s="8" t="str">
        <f aca="false">IF(COUNTIF($M$1:$M$10,$A1153)&gt;0,"Y","N")</f>
        <v>Y</v>
      </c>
    </row>
    <row r="1154" customFormat="false" ht="15" hidden="false" customHeight="true" outlineLevel="0" collapsed="false">
      <c r="A1154" s="8" t="s">
        <v>44</v>
      </c>
      <c r="B1154" s="8" t="s">
        <v>419</v>
      </c>
      <c r="C1154" s="19" t="n">
        <v>1</v>
      </c>
      <c r="D1154" s="19" t="n">
        <v>330.86</v>
      </c>
      <c r="E1154" s="19" t="n">
        <v>0</v>
      </c>
      <c r="F1154" s="19" t="n">
        <v>0</v>
      </c>
      <c r="G1154" s="8" t="str">
        <f aca="false">IFERROR(INDEX('TRANS'!$B:$B,MATCH($B1154,'TRANS'!$A:$A,0)),IFERROR(INDEX('TRANS'!$B:$B,MATCH(TRIM(SUBSTITUTE($B1154,CHAR(160)," ")),'TRANS'!$D:$D,0)),IFERROR(INDEX('Catalog'!$A:$A,MATCH($B1154,'Catalog'!$B:$B,0)),IFERROR(INDEX('Catalog'!$A:$A,MATCH(TRIM(SUBSTITUTE($B1154,CHAR(160)," ")),'Catalog'!$C:$C,0)),""))))</f>
        <v/>
      </c>
      <c r="H1154" s="8" t="str">
        <f aca="false">IFERROR(INDEX('TRANS'!$C:$C,MATCH($B1154,'TRANS'!$A:$A,0)),IFERROR(INDEX('Catalog'!$B:$B,MATCH($G1154,'Catalog'!$A:$A,0)),$B1154))</f>
        <v>422EBD XL</v>
      </c>
      <c r="I1154" s="8" t="str">
        <f aca="false">IF($G1154="","Unmatched","Matched")</f>
        <v>Unmatched</v>
      </c>
      <c r="J1154" s="8" t="str">
        <f aca="false">IF($G1154&lt;&gt;"",$G1154,$B1154)</f>
        <v>422EBD XL</v>
      </c>
      <c r="K1154" s="8" t="str">
        <f aca="false">IF(COUNTIF($M$1:$M$10,$A1154)&gt;0,"Y","N")</f>
        <v>Y</v>
      </c>
    </row>
    <row r="1155" customFormat="false" ht="15" hidden="false" customHeight="true" outlineLevel="0" collapsed="false">
      <c r="A1155" s="8" t="s">
        <v>44</v>
      </c>
      <c r="B1155" s="8" t="s">
        <v>351</v>
      </c>
      <c r="C1155" s="19" t="n">
        <v>0</v>
      </c>
      <c r="D1155" s="19" t="n">
        <v>0</v>
      </c>
      <c r="E1155" s="19" t="n">
        <v>1</v>
      </c>
      <c r="F1155" s="19" t="n">
        <v>330.88</v>
      </c>
      <c r="G1155" s="8" t="str">
        <f aca="false">IFERROR(INDEX('TRANS'!$B:$B,MATCH($B1155,'TRANS'!$A:$A,0)),IFERROR(INDEX('TRANS'!$B:$B,MATCH(TRIM(SUBSTITUTE($B1155,CHAR(160)," ")),'TRANS'!$D:$D,0)),IFERROR(INDEX('Catalog'!$A:$A,MATCH($B1155,'Catalog'!$B:$B,0)),IFERROR(INDEX('Catalog'!$A:$A,MATCH(TRIM(SUBSTITUTE($B1155,CHAR(160)," ")),'Catalog'!$C:$C,0)),""))))</f>
        <v/>
      </c>
      <c r="H1155" s="8" t="str">
        <f aca="false">IFERROR(INDEX('TRANS'!$C:$C,MATCH($B1155,'TRANS'!$A:$A,0)),IFERROR(INDEX('Catalog'!$B:$B,MATCH($G1155,'Catalog'!$A:$A,0)),$B1155))</f>
        <v>422ED XXL</v>
      </c>
      <c r="I1155" s="8" t="str">
        <f aca="false">IF($G1155="","Unmatched","Matched")</f>
        <v>Unmatched</v>
      </c>
      <c r="J1155" s="8" t="str">
        <f aca="false">IF($G1155&lt;&gt;"",$G1155,$B1155)</f>
        <v>422ED XXL</v>
      </c>
      <c r="K1155" s="8" t="str">
        <f aca="false">IF(COUNTIF($M$1:$M$10,$A1155)&gt;0,"Y","N")</f>
        <v>Y</v>
      </c>
    </row>
    <row r="1156" customFormat="false" ht="15" hidden="false" customHeight="true" outlineLevel="0" collapsed="false">
      <c r="A1156" s="8" t="s">
        <v>44</v>
      </c>
      <c r="B1156" s="8" t="s">
        <v>428</v>
      </c>
      <c r="C1156" s="19" t="n">
        <v>3</v>
      </c>
      <c r="D1156" s="19" t="n">
        <v>241.72</v>
      </c>
      <c r="E1156" s="19" t="n">
        <v>0</v>
      </c>
      <c r="F1156" s="19" t="n">
        <v>0</v>
      </c>
      <c r="G1156" s="8" t="str">
        <f aca="false">IFERROR(INDEX('TRANS'!$B:$B,MATCH($B1156,'TRANS'!$A:$A,0)),IFERROR(INDEX('TRANS'!$B:$B,MATCH(TRIM(SUBSTITUTE($B1156,CHAR(160)," ")),'TRANS'!$D:$D,0)),IFERROR(INDEX('Catalog'!$A:$A,MATCH($B1156,'Catalog'!$B:$B,0)),IFERROR(INDEX('Catalog'!$A:$A,MATCH(TRIM(SUBSTITUTE($B1156,CHAR(160)," ")),'Catalog'!$C:$C,0)),""))))</f>
        <v/>
      </c>
      <c r="H1156" s="8" t="str">
        <f aca="false">IFERROR(INDEX('TRANS'!$C:$C,MATCH($B1156,'TRANS'!$A:$A,0)),IFERROR(INDEX('Catalog'!$B:$B,MATCH($G1156,'Catalog'!$A:$A,0)),$B1156))</f>
        <v>91 0</v>
      </c>
      <c r="I1156" s="8" t="str">
        <f aca="false">IF($G1156="","Unmatched","Matched")</f>
        <v>Unmatched</v>
      </c>
      <c r="J1156" s="8" t="str">
        <f aca="false">IF($G1156&lt;&gt;"",$G1156,$B1156)</f>
        <v>91 0</v>
      </c>
      <c r="K1156" s="8" t="str">
        <f aca="false">IF(COUNTIF($M$1:$M$10,$A1156)&gt;0,"Y","N")</f>
        <v>Y</v>
      </c>
    </row>
    <row r="1157" customFormat="false" ht="15" hidden="false" customHeight="true" outlineLevel="0" collapsed="false">
      <c r="A1157" s="8" t="s">
        <v>44</v>
      </c>
      <c r="B1157" s="8" t="s">
        <v>997</v>
      </c>
      <c r="C1157" s="19" t="n">
        <v>1</v>
      </c>
      <c r="D1157" s="19" t="n">
        <v>30.89</v>
      </c>
      <c r="E1157" s="19" t="n">
        <v>0</v>
      </c>
      <c r="F1157" s="19" t="n">
        <v>0</v>
      </c>
      <c r="G1157" s="8" t="n">
        <f aca="false">IFERROR(INDEX('TRANS'!$B:$B,MATCH($B1157,'TRANS'!$A:$A,0)),IFERROR(INDEX('TRANS'!$B:$B,MATCH(TRIM(SUBSTITUTE($B1157,CHAR(160)," ")),'TRANS'!$D:$D,0)),IFERROR(INDEX('Catalog'!$A:$A,MATCH($B1157,'Catalog'!$B:$B,0)),IFERROR(INDEX('Catalog'!$A:$A,MATCH(TRIM(SUBSTITUTE($B1157,CHAR(160)," ")),'Catalog'!$C:$C,0)),""))))</f>
        <v>4413144</v>
      </c>
      <c r="H1157" s="8" t="str">
        <f aca="false">IFERROR(INDEX('TRANS'!$C:$C,MATCH($B1157,'TRANS'!$A:$A,0)),IFERROR(INDEX('Catalog'!$B:$B,MATCH($G1157,'Catalog'!$A:$A,0)),$B1157))</f>
        <v>95 XXL מגן מרפק רגיל לבן</v>
      </c>
      <c r="I1157" s="8" t="str">
        <f aca="false">IF($G1157="","Unmatched","Matched")</f>
        <v>Matched</v>
      </c>
      <c r="J1157" s="8" t="n">
        <f aca="false">IF($G1157&lt;&gt;"",$G1157,$B1157)</f>
        <v>4413144</v>
      </c>
      <c r="K1157" s="8" t="str">
        <f aca="false">IF(COUNTIF($M$1:$M$10,$A1157)&gt;0,"Y","N")</f>
        <v>Y</v>
      </c>
    </row>
    <row r="1158" customFormat="false" ht="15" hidden="false" customHeight="true" outlineLevel="0" collapsed="false">
      <c r="A1158" s="8" t="s">
        <v>44</v>
      </c>
      <c r="B1158" s="8" t="s">
        <v>352</v>
      </c>
      <c r="C1158" s="19" t="n">
        <v>0</v>
      </c>
      <c r="D1158" s="19" t="n">
        <v>0</v>
      </c>
      <c r="E1158" s="19" t="n">
        <v>1</v>
      </c>
      <c r="F1158" s="19" t="n">
        <v>70.26</v>
      </c>
      <c r="G1158" s="8" t="str">
        <f aca="false">IFERROR(INDEX('TRANS'!$B:$B,MATCH($B1158,'TRANS'!$A:$A,0)),IFERROR(INDEX('TRANS'!$B:$B,MATCH(TRIM(SUBSTITUTE($B1158,CHAR(160)," ")),'TRANS'!$D:$D,0)),IFERROR(INDEX('Catalog'!$A:$A,MATCH($B1158,'Catalog'!$B:$B,0)),IFERROR(INDEX('Catalog'!$A:$A,MATCH(TRIM(SUBSTITUTE($B1158,CHAR(160)," ")),'Catalog'!$C:$C,0)),""))))</f>
        <v/>
      </c>
      <c r="H1158" s="8" t="str">
        <f aca="false">IFERROR(INDEX('TRANS'!$C:$C,MATCH($B1158,'TRANS'!$A:$A,0)),IFERROR(INDEX('Catalog'!$B:$B,MATCH($G1158,'Catalog'!$A:$A,0)),$B1158))</f>
        <v>T28A XXL</v>
      </c>
      <c r="I1158" s="8" t="str">
        <f aca="false">IF($G1158="","Unmatched","Matched")</f>
        <v>Unmatched</v>
      </c>
      <c r="J1158" s="8" t="str">
        <f aca="false">IF($G1158&lt;&gt;"",$G1158,$B1158)</f>
        <v>T28A XXL</v>
      </c>
      <c r="K1158" s="8" t="str">
        <f aca="false">IF(COUNTIF($M$1:$M$10,$A1158)&gt;0,"Y","N")</f>
        <v>Y</v>
      </c>
    </row>
    <row r="1159" customFormat="false" ht="15" hidden="false" customHeight="true" outlineLevel="0" collapsed="false">
      <c r="A1159" s="8" t="s">
        <v>44</v>
      </c>
      <c r="B1159" s="8" t="s">
        <v>353</v>
      </c>
      <c r="C1159" s="19" t="n">
        <v>0</v>
      </c>
      <c r="D1159" s="19" t="n">
        <v>0</v>
      </c>
      <c r="E1159" s="19" t="n">
        <v>1</v>
      </c>
      <c r="F1159" s="19" t="n">
        <v>165</v>
      </c>
      <c r="G1159" s="8" t="str">
        <f aca="false">IFERROR(INDEX('TRANS'!$B:$B,MATCH($B1159,'TRANS'!$A:$A,0)),IFERROR(INDEX('TRANS'!$B:$B,MATCH(TRIM(SUBSTITUTE($B1159,CHAR(160)," ")),'TRANS'!$D:$D,0)),IFERROR(INDEX('Catalog'!$A:$A,MATCH($B1159,'Catalog'!$B:$B,0)),IFERROR(INDEX('Catalog'!$A:$A,MATCH(TRIM(SUBSTITUTE($B1159,CHAR(160)," ")),'Catalog'!$C:$C,0)),""))))</f>
        <v/>
      </c>
      <c r="H1159" s="8" t="str">
        <f aca="false">IFERROR(INDEX('TRANS'!$C:$C,MATCH($B1159,'TRANS'!$A:$A,0)),IFERROR(INDEX('Catalog'!$B:$B,MATCH($G1159,'Catalog'!$A:$A,0)),$B1159))</f>
        <v>11NOR M</v>
      </c>
      <c r="I1159" s="8" t="str">
        <f aca="false">IF($G1159="","Unmatched","Matched")</f>
        <v>Unmatched</v>
      </c>
      <c r="J1159" s="8" t="str">
        <f aca="false">IF($G1159&lt;&gt;"",$G1159,$B1159)</f>
        <v>11NOR M</v>
      </c>
      <c r="K1159" s="8" t="str">
        <f aca="false">IF(COUNTIF($M$1:$M$10,$A1159)&gt;0,"Y","N")</f>
        <v>Y</v>
      </c>
    </row>
    <row r="1160" customFormat="false" ht="15" hidden="false" customHeight="true" outlineLevel="0" collapsed="false">
      <c r="A1160" s="8" t="s">
        <v>44</v>
      </c>
      <c r="B1160" s="8" t="s">
        <v>225</v>
      </c>
      <c r="C1160" s="19" t="n">
        <v>1</v>
      </c>
      <c r="D1160" s="19" t="n">
        <v>105</v>
      </c>
      <c r="E1160" s="19" t="n">
        <v>0</v>
      </c>
      <c r="F1160" s="19" t="n">
        <v>0</v>
      </c>
      <c r="G1160" s="8" t="str">
        <f aca="false">IFERROR(INDEX('TRANS'!$B:$B,MATCH($B1160,'TRANS'!$A:$A,0)),IFERROR(INDEX('TRANS'!$B:$B,MATCH(TRIM(SUBSTITUTE($B1160,CHAR(160)," ")),'TRANS'!$D:$D,0)),IFERROR(INDEX('Catalog'!$A:$A,MATCH($B1160,'Catalog'!$B:$B,0)),IFERROR(INDEX('Catalog'!$A:$A,MATCH(TRIM(SUBSTITUTE($B1160,CHAR(160)," ")),'Catalog'!$C:$C,0)),""))))</f>
        <v/>
      </c>
      <c r="H1160" s="8" t="str">
        <f aca="false">IFERROR(INDEX('TRANS'!$C:$C,MATCH($B1160,'TRANS'!$A:$A,0)),IFERROR(INDEX('Catalog'!$B:$B,MATCH($G1160,'Catalog'!$A:$A,0)),$B1160))</f>
        <v>11STOB L</v>
      </c>
      <c r="I1160" s="8" t="str">
        <f aca="false">IF($G1160="","Unmatched","Matched")</f>
        <v>Unmatched</v>
      </c>
      <c r="J1160" s="8" t="str">
        <f aca="false">IF($G1160&lt;&gt;"",$G1160,$B1160)</f>
        <v>11STOB L</v>
      </c>
      <c r="K1160" s="8" t="str">
        <f aca="false">IF(COUNTIF($M$1:$M$10,$A1160)&gt;0,"Y","N")</f>
        <v>Y</v>
      </c>
    </row>
    <row r="1161" customFormat="false" ht="15" hidden="false" customHeight="true" outlineLevel="0" collapsed="false">
      <c r="A1161" s="8" t="s">
        <v>44</v>
      </c>
      <c r="B1161" s="8" t="s">
        <v>288</v>
      </c>
      <c r="C1161" s="19" t="n">
        <v>1</v>
      </c>
      <c r="D1161" s="19" t="n">
        <v>104.99</v>
      </c>
      <c r="E1161" s="19" t="n">
        <v>0</v>
      </c>
      <c r="F1161" s="19" t="n">
        <v>0</v>
      </c>
      <c r="G1161" s="8" t="str">
        <f aca="false">IFERROR(INDEX('TRANS'!$B:$B,MATCH($B1161,'TRANS'!$A:$A,0)),IFERROR(INDEX('TRANS'!$B:$B,MATCH(TRIM(SUBSTITUTE($B1161,CHAR(160)," ")),'TRANS'!$D:$D,0)),IFERROR(INDEX('Catalog'!$A:$A,MATCH($B1161,'Catalog'!$B:$B,0)),IFERROR(INDEX('Catalog'!$A:$A,MATCH(TRIM(SUBSTITUTE($B1161,CHAR(160)," ")),'Catalog'!$C:$C,0)),""))))</f>
        <v/>
      </c>
      <c r="H1161" s="8" t="str">
        <f aca="false">IFERROR(INDEX('TRANS'!$C:$C,MATCH($B1161,'TRANS'!$A:$A,0)),IFERROR(INDEX('Catalog'!$B:$B,MATCH($G1161,'Catalog'!$A:$A,0)),$B1161))</f>
        <v>11STOB M</v>
      </c>
      <c r="I1161" s="8" t="str">
        <f aca="false">IF($G1161="","Unmatched","Matched")</f>
        <v>Unmatched</v>
      </c>
      <c r="J1161" s="8" t="str">
        <f aca="false">IF($G1161&lt;&gt;"",$G1161,$B1161)</f>
        <v>11STOB M</v>
      </c>
      <c r="K1161" s="8" t="str">
        <f aca="false">IF(COUNTIF($M$1:$M$10,$A1161)&gt;0,"Y","N")</f>
        <v>Y</v>
      </c>
    </row>
    <row r="1162" customFormat="false" ht="15" hidden="false" customHeight="true" outlineLevel="0" collapsed="false">
      <c r="A1162" s="8" t="s">
        <v>44</v>
      </c>
      <c r="B1162" s="8" t="s">
        <v>249</v>
      </c>
      <c r="C1162" s="19" t="n">
        <v>1</v>
      </c>
      <c r="D1162" s="19" t="n">
        <v>105</v>
      </c>
      <c r="E1162" s="19" t="n">
        <v>0</v>
      </c>
      <c r="F1162" s="19" t="n">
        <v>0</v>
      </c>
      <c r="G1162" s="8" t="str">
        <f aca="false">IFERROR(INDEX('TRANS'!$B:$B,MATCH($B1162,'TRANS'!$A:$A,0)),IFERROR(INDEX('TRANS'!$B:$B,MATCH(TRIM(SUBSTITUTE($B1162,CHAR(160)," ")),'TRANS'!$D:$D,0)),IFERROR(INDEX('Catalog'!$A:$A,MATCH($B1162,'Catalog'!$B:$B,0)),IFERROR(INDEX('Catalog'!$A:$A,MATCH(TRIM(SUBSTITUTE($B1162,CHAR(160)," ")),'Catalog'!$C:$C,0)),""))))</f>
        <v/>
      </c>
      <c r="H1162" s="8" t="str">
        <f aca="false">IFERROR(INDEX('TRANS'!$C:$C,MATCH($B1162,'TRANS'!$A:$A,0)),IFERROR(INDEX('Catalog'!$B:$B,MATCH($G1162,'Catalog'!$A:$A,0)),$B1162))</f>
        <v>11STOB XL</v>
      </c>
      <c r="I1162" s="8" t="str">
        <f aca="false">IF($G1162="","Unmatched","Matched")</f>
        <v>Unmatched</v>
      </c>
      <c r="J1162" s="8" t="str">
        <f aca="false">IF($G1162&lt;&gt;"",$G1162,$B1162)</f>
        <v>11STOB XL</v>
      </c>
      <c r="K1162" s="8" t="str">
        <f aca="false">IF(COUNTIF($M$1:$M$10,$A1162)&gt;0,"Y","N")</f>
        <v>Y</v>
      </c>
    </row>
    <row r="1163" customFormat="false" ht="15" hidden="false" customHeight="true" outlineLevel="0" collapsed="false">
      <c r="A1163" s="8" t="s">
        <v>44</v>
      </c>
      <c r="B1163" s="8" t="s">
        <v>199</v>
      </c>
      <c r="C1163" s="19" t="n">
        <v>-1</v>
      </c>
      <c r="D1163" s="19" t="n">
        <v>-129</v>
      </c>
      <c r="E1163" s="19" t="n">
        <v>0</v>
      </c>
      <c r="F1163" s="19" t="n">
        <v>0</v>
      </c>
      <c r="G1163" s="8" t="str">
        <f aca="false">IFERROR(INDEX('TRANS'!$B:$B,MATCH($B1163,'TRANS'!$A:$A,0)),IFERROR(INDEX('TRANS'!$B:$B,MATCH(TRIM(SUBSTITUTE($B1163,CHAR(160)," ")),'TRANS'!$D:$D,0)),IFERROR(INDEX('Catalog'!$A:$A,MATCH($B1163,'Catalog'!$B:$B,0)),IFERROR(INDEX('Catalog'!$A:$A,MATCH(TRIM(SUBSTITUTE($B1163,CHAR(160)," ")),'Catalog'!$C:$C,0)),""))))</f>
        <v/>
      </c>
      <c r="H1163" s="8" t="str">
        <f aca="false">IFERROR(INDEX('TRANS'!$C:$C,MATCH($B1163,'TRANS'!$A:$A,0)),IFERROR(INDEX('Catalog'!$B:$B,MATCH($G1163,'Catalog'!$A:$A,0)),$B1163))</f>
        <v>32 L</v>
      </c>
      <c r="I1163" s="8" t="str">
        <f aca="false">IF($G1163="","Unmatched","Matched")</f>
        <v>Unmatched</v>
      </c>
      <c r="J1163" s="8" t="str">
        <f aca="false">IF($G1163&lt;&gt;"",$G1163,$B1163)</f>
        <v>32 L</v>
      </c>
      <c r="K1163" s="8" t="str">
        <f aca="false">IF(COUNTIF($M$1:$M$10,$A1163)&gt;0,"Y","N")</f>
        <v>Y</v>
      </c>
    </row>
    <row r="1164" customFormat="false" ht="15" hidden="false" customHeight="true" outlineLevel="0" collapsed="false">
      <c r="A1164" s="8" t="s">
        <v>44</v>
      </c>
      <c r="B1164" s="8" t="s">
        <v>261</v>
      </c>
      <c r="C1164" s="19" t="n">
        <v>-1</v>
      </c>
      <c r="D1164" s="19" t="n">
        <v>-129</v>
      </c>
      <c r="E1164" s="19" t="n">
        <v>0</v>
      </c>
      <c r="F1164" s="19" t="n">
        <v>0</v>
      </c>
      <c r="G1164" s="8" t="str">
        <f aca="false">IFERROR(INDEX('TRANS'!$B:$B,MATCH($B1164,'TRANS'!$A:$A,0)),IFERROR(INDEX('TRANS'!$B:$B,MATCH(TRIM(SUBSTITUTE($B1164,CHAR(160)," ")),'TRANS'!$D:$D,0)),IFERROR(INDEX('Catalog'!$A:$A,MATCH($B1164,'Catalog'!$B:$B,0)),IFERROR(INDEX('Catalog'!$A:$A,MATCH(TRIM(SUBSTITUTE($B1164,CHAR(160)," ")),'Catalog'!$C:$C,0)),""))))</f>
        <v/>
      </c>
      <c r="H1164" s="8" t="str">
        <f aca="false">IFERROR(INDEX('TRANS'!$C:$C,MATCH($B1164,'TRANS'!$A:$A,0)),IFERROR(INDEX('Catalog'!$B:$B,MATCH($G1164,'Catalog'!$A:$A,0)),$B1164))</f>
        <v>32 M</v>
      </c>
      <c r="I1164" s="8" t="str">
        <f aca="false">IF($G1164="","Unmatched","Matched")</f>
        <v>Unmatched</v>
      </c>
      <c r="J1164" s="8" t="str">
        <f aca="false">IF($G1164&lt;&gt;"",$G1164,$B1164)</f>
        <v>32 M</v>
      </c>
      <c r="K1164" s="8" t="str">
        <f aca="false">IF(COUNTIF($M$1:$M$10,$A1164)&gt;0,"Y","N")</f>
        <v>Y</v>
      </c>
    </row>
    <row r="1165" customFormat="false" ht="15" hidden="false" customHeight="true" outlineLevel="0" collapsed="false">
      <c r="A1165" s="8" t="s">
        <v>44</v>
      </c>
      <c r="B1165" s="8" t="s">
        <v>644</v>
      </c>
      <c r="C1165" s="19" t="n">
        <v>2</v>
      </c>
      <c r="D1165" s="19" t="n">
        <v>24.28</v>
      </c>
      <c r="E1165" s="19" t="n">
        <v>0</v>
      </c>
      <c r="F1165" s="19" t="n">
        <v>0</v>
      </c>
      <c r="G1165" s="8" t="n">
        <f aca="false">IFERROR(INDEX('TRANS'!$B:$B,MATCH($B1165,'TRANS'!$A:$A,0)),IFERROR(INDEX('TRANS'!$B:$B,MATCH(TRIM(SUBSTITUTE($B1165,CHAR(160)," ")),'TRANS'!$D:$D,0)),IFERROR(INDEX('Catalog'!$A:$A,MATCH($B1165,'Catalog'!$B:$B,0)),IFERROR(INDEX('Catalog'!$A:$A,MATCH(TRIM(SUBSTITUTE($B1165,CHAR(160)," ")),'Catalog'!$C:$C,0)),""))))</f>
        <v>4420001</v>
      </c>
      <c r="H1165" s="8" t="str">
        <f aca="false">IFERROR(INDEX('TRANS'!$C:$C,MATCH($B1165,'TRANS'!$A:$A,0)),IFERROR(INDEX('Catalog'!$B:$B,MATCH($G1165,'Catalog'!$A:$A,0)),$B1165))</f>
        <v>371 רפידת מגבת כותנה-זוג</v>
      </c>
      <c r="I1165" s="8" t="str">
        <f aca="false">IF($G1165="","Unmatched","Matched")</f>
        <v>Matched</v>
      </c>
      <c r="J1165" s="8" t="n">
        <f aca="false">IF($G1165&lt;&gt;"",$G1165,$B1165)</f>
        <v>4420001</v>
      </c>
      <c r="K1165" s="8" t="str">
        <f aca="false">IF(COUNTIF($M$1:$M$10,$A1165)&gt;0,"Y","N")</f>
        <v>Y</v>
      </c>
    </row>
    <row r="1166" customFormat="false" ht="15" hidden="false" customHeight="true" outlineLevel="0" collapsed="false">
      <c r="A1166" s="8" t="s">
        <v>44</v>
      </c>
      <c r="B1166" s="8" t="s">
        <v>121</v>
      </c>
      <c r="C1166" s="19" t="n">
        <v>1</v>
      </c>
      <c r="D1166" s="19" t="n">
        <v>35.11</v>
      </c>
      <c r="E1166" s="19" t="n">
        <v>0</v>
      </c>
      <c r="F1166" s="19" t="n">
        <v>0</v>
      </c>
      <c r="G1166" s="8" t="str">
        <f aca="false">IFERROR(INDEX('TRANS'!$B:$B,MATCH($B1166,'TRANS'!$A:$A,0)),IFERROR(INDEX('TRANS'!$B:$B,MATCH(TRIM(SUBSTITUTE($B1166,CHAR(160)," ")),'TRANS'!$D:$D,0)),IFERROR(INDEX('Catalog'!$A:$A,MATCH($B1166,'Catalog'!$B:$B,0)),IFERROR(INDEX('Catalog'!$A:$A,MATCH(TRIM(SUBSTITUTE($B1166,CHAR(160)," ")),'Catalog'!$C:$C,0)),""))))</f>
        <v/>
      </c>
      <c r="H1166" s="8" t="str">
        <f aca="false">IFERROR(INDEX('TRANS'!$C:$C,MATCH($B1166,'TRANS'!$A:$A,0)),IFERROR(INDEX('Catalog'!$B:$B,MATCH($G1166,'Catalog'!$A:$A,0)),$B1166))</f>
        <v>376-38-40</v>
      </c>
      <c r="I1166" s="8" t="str">
        <f aca="false">IF($G1166="","Unmatched","Matched")</f>
        <v>Unmatched</v>
      </c>
      <c r="J1166" s="8" t="str">
        <f aca="false">IF($G1166&lt;&gt;"",$G1166,$B1166)</f>
        <v>376-38-40</v>
      </c>
      <c r="K1166" s="8" t="str">
        <f aca="false">IF(COUNTIF($M$1:$M$10,$A1166)&gt;0,"Y","N")</f>
        <v>Y</v>
      </c>
    </row>
    <row r="1167" customFormat="false" ht="15" hidden="false" customHeight="true" outlineLevel="0" collapsed="false">
      <c r="A1167" s="8" t="s">
        <v>44</v>
      </c>
      <c r="B1167" s="8" t="s">
        <v>81</v>
      </c>
      <c r="C1167" s="19" t="n">
        <v>2</v>
      </c>
      <c r="D1167" s="19" t="n">
        <v>70.22</v>
      </c>
      <c r="E1167" s="19" t="n">
        <v>0</v>
      </c>
      <c r="F1167" s="19" t="n">
        <v>0</v>
      </c>
      <c r="G1167" s="8" t="str">
        <f aca="false">IFERROR(INDEX('TRANS'!$B:$B,MATCH($B1167,'TRANS'!$A:$A,0)),IFERROR(INDEX('TRANS'!$B:$B,MATCH(TRIM(SUBSTITUTE($B1167,CHAR(160)," ")),'TRANS'!$D:$D,0)),IFERROR(INDEX('Catalog'!$A:$A,MATCH($B1167,'Catalog'!$B:$B,0)),IFERROR(INDEX('Catalog'!$A:$A,MATCH(TRIM(SUBSTITUTE($B1167,CHAR(160)," ")),'Catalog'!$C:$C,0)),""))))</f>
        <v/>
      </c>
      <c r="H1167" s="8" t="str">
        <f aca="false">IFERROR(INDEX('TRANS'!$C:$C,MATCH($B1167,'TRANS'!$A:$A,0)),IFERROR(INDEX('Catalog'!$B:$B,MATCH($G1167,'Catalog'!$A:$A,0)),$B1167))</f>
        <v>376-44-45</v>
      </c>
      <c r="I1167" s="8" t="str">
        <f aca="false">IF($G1167="","Unmatched","Matched")</f>
        <v>Unmatched</v>
      </c>
      <c r="J1167" s="8" t="str">
        <f aca="false">IF($G1167&lt;&gt;"",$G1167,$B1167)</f>
        <v>376-44-45</v>
      </c>
      <c r="K1167" s="8" t="str">
        <f aca="false">IF(COUNTIF($M$1:$M$10,$A1167)&gt;0,"Y","N")</f>
        <v>Y</v>
      </c>
    </row>
    <row r="1168" customFormat="false" ht="15" hidden="false" customHeight="true" outlineLevel="0" collapsed="false">
      <c r="A1168" s="8" t="s">
        <v>44</v>
      </c>
      <c r="B1168" s="8" t="s">
        <v>647</v>
      </c>
      <c r="C1168" s="19" t="n">
        <v>1</v>
      </c>
      <c r="D1168" s="19" t="n">
        <v>35.11</v>
      </c>
      <c r="E1168" s="19" t="n">
        <v>0</v>
      </c>
      <c r="F1168" s="19" t="n">
        <v>0</v>
      </c>
      <c r="G1168" s="8" t="n">
        <f aca="false">IFERROR(INDEX('TRANS'!$B:$B,MATCH($B1168,'TRANS'!$A:$A,0)),IFERROR(INDEX('TRANS'!$B:$B,MATCH(TRIM(SUBSTITUTE($B1168,CHAR(160)," ")),'TRANS'!$D:$D,0)),IFERROR(INDEX('Catalog'!$A:$A,MATCH($B1168,'Catalog'!$B:$B,0)),IFERROR(INDEX('Catalog'!$A:$A,MATCH(TRIM(SUBSTITUTE($B1168,CHAR(160)," ")),'Catalog'!$C:$C,0)),""))))</f>
        <v>4420032</v>
      </c>
      <c r="H1168" s="8" t="str">
        <f aca="false">IFERROR(INDEX('TRANS'!$C:$C,MATCH($B1168,'TRANS'!$A:$A,0)),IFERROR(INDEX('Catalog'!$B:$B,MATCH($G1168,'Catalog'!$A:$A,0)),$B1168))</f>
        <v>46-47 רפידת ספורט 376 מידה</v>
      </c>
      <c r="I1168" s="8" t="str">
        <f aca="false">IF($G1168="","Unmatched","Matched")</f>
        <v>Matched</v>
      </c>
      <c r="J1168" s="8" t="n">
        <f aca="false">IF($G1168&lt;&gt;"",$G1168,$B1168)</f>
        <v>4420032</v>
      </c>
      <c r="K1168" s="8" t="str">
        <f aca="false">IF(COUNTIF($M$1:$M$10,$A1168)&gt;0,"Y","N")</f>
        <v>Y</v>
      </c>
    </row>
    <row r="1169" customFormat="false" ht="15" hidden="false" customHeight="true" outlineLevel="0" collapsed="false">
      <c r="A1169" s="8" t="s">
        <v>44</v>
      </c>
      <c r="B1169" s="8" t="s">
        <v>803</v>
      </c>
      <c r="C1169" s="19" t="n">
        <v>3</v>
      </c>
      <c r="D1169" s="19" t="n">
        <v>92.67</v>
      </c>
      <c r="E1169" s="19" t="n">
        <v>0</v>
      </c>
      <c r="F1169" s="19" t="n">
        <v>0</v>
      </c>
      <c r="G1169" s="8" t="n">
        <f aca="false">IFERROR(INDEX('TRANS'!$B:$B,MATCH($B1169,'TRANS'!$A:$A,0)),IFERROR(INDEX('TRANS'!$B:$B,MATCH(TRIM(SUBSTITUTE($B1169,CHAR(160)," ")),'TRANS'!$D:$D,0)),IFERROR(INDEX('Catalog'!$A:$A,MATCH($B1169,'Catalog'!$B:$B,0)),IFERROR(INDEX('Catalog'!$A:$A,MATCH(TRIM(SUBSTITUTE($B1169,CHAR(160)," ")),'Catalog'!$C:$C,0)),""))))</f>
        <v>4413499</v>
      </c>
      <c r="H1169" s="8" t="str">
        <f aca="false">IFERROR(INDEX('TRANS'!$C:$C,MATCH($B1169,'TRANS'!$A:$A,0)),IFERROR(INDEX('Catalog'!$B:$B,MATCH($G1169,'Catalog'!$A:$A,0)),$B1169))</f>
        <v>45B XXLמגן ברך שחור</v>
      </c>
      <c r="I1169" s="8" t="str">
        <f aca="false">IF($G1169="","Unmatched","Matched")</f>
        <v>Matched</v>
      </c>
      <c r="J1169" s="8" t="n">
        <f aca="false">IF($G1169&lt;&gt;"",$G1169,$B1169)</f>
        <v>4413499</v>
      </c>
      <c r="K1169" s="8" t="str">
        <f aca="false">IF(COUNTIF($M$1:$M$10,$A1169)&gt;0,"Y","N")</f>
        <v>Y</v>
      </c>
    </row>
    <row r="1170" customFormat="false" ht="15" hidden="false" customHeight="true" outlineLevel="0" collapsed="false">
      <c r="A1170" s="8" t="s">
        <v>44</v>
      </c>
      <c r="B1170" s="8" t="s">
        <v>889</v>
      </c>
      <c r="C1170" s="19" t="n">
        <v>7</v>
      </c>
      <c r="D1170" s="19" t="n">
        <v>165.66</v>
      </c>
      <c r="E1170" s="19" t="n">
        <v>10</v>
      </c>
      <c r="F1170" s="19" t="n">
        <v>238.57</v>
      </c>
      <c r="G1170" s="8" t="n">
        <f aca="false">IFERROR(INDEX('TRANS'!$B:$B,MATCH($B1170,'TRANS'!$A:$A,0)),IFERROR(INDEX('TRANS'!$B:$B,MATCH(TRIM(SUBSTITUTE($B1170,CHAR(160)," ")),'TRANS'!$D:$D,0)),IFERROR(INDEX('Catalog'!$A:$A,MATCH($B1170,'Catalog'!$B:$B,0)),IFERROR(INDEX('Catalog'!$A:$A,MATCH(TRIM(SUBSTITUTE($B1170,CHAR(160)," ")),'Catalog'!$C:$C,0)),""))))</f>
        <v>4420022</v>
      </c>
      <c r="H1170" s="8" t="str">
        <f aca="false">IFERROR(INDEX('TRANS'!$C:$C,MATCH($B1170,'TRANS'!$A:$A,0)),IFERROR(INDEX('Catalog'!$B:$B,MATCH($G1170,'Catalog'!$A:$A,0)),$B1170))</f>
        <v>LF370 ריפוד סיליקון לעקב אחורי</v>
      </c>
      <c r="I1170" s="8" t="str">
        <f aca="false">IF($G1170="","Unmatched","Matched")</f>
        <v>Matched</v>
      </c>
      <c r="J1170" s="8" t="n">
        <f aca="false">IF($G1170&lt;&gt;"",$G1170,$B1170)</f>
        <v>4420022</v>
      </c>
      <c r="K1170" s="8" t="str">
        <f aca="false">IF(COUNTIF($M$1:$M$10,$A1170)&gt;0,"Y","N")</f>
        <v>Y</v>
      </c>
    </row>
    <row r="1171" customFormat="false" ht="15" hidden="false" customHeight="true" outlineLevel="0" collapsed="false">
      <c r="A1171" s="8" t="s">
        <v>44</v>
      </c>
      <c r="B1171" s="8" t="s">
        <v>740</v>
      </c>
      <c r="C1171" s="19" t="n">
        <v>4</v>
      </c>
      <c r="D1171" s="19" t="n">
        <v>86.08</v>
      </c>
      <c r="E1171" s="19" t="n">
        <v>0</v>
      </c>
      <c r="F1171" s="19" t="n">
        <v>0</v>
      </c>
      <c r="G1171" s="8" t="n">
        <f aca="false">IFERROR(INDEX('TRANS'!$B:$B,MATCH($B1171,'TRANS'!$A:$A,0)),IFERROR(INDEX('TRANS'!$B:$B,MATCH(TRIM(SUBSTITUTE($B1171,CHAR(160)," ")),'TRANS'!$D:$D,0)),IFERROR(INDEX('Catalog'!$A:$A,MATCH($B1171,'Catalog'!$B:$B,0)),IFERROR(INDEX('Catalog'!$A:$A,MATCH(TRIM(SUBSTITUTE($B1171,CHAR(160)," ")),'Catalog'!$C:$C,0)),""))))</f>
        <v>4420024</v>
      </c>
      <c r="H1171" s="8" t="str">
        <f aca="false">IFERROR(INDEX('TRANS'!$C:$C,MATCH($B1171,'TRANS'!$A:$A,0)),IFERROR(INDEX('Catalog'!$B:$B,MATCH($G1171,'Catalog'!$A:$A,0)),$B1171))</f>
        <v>LFריפוד סיליק.לכרית כף הרגל373</v>
      </c>
      <c r="I1171" s="8" t="str">
        <f aca="false">IF($G1171="","Unmatched","Matched")</f>
        <v>Matched</v>
      </c>
      <c r="J1171" s="8" t="n">
        <f aca="false">IF($G1171&lt;&gt;"",$G1171,$B1171)</f>
        <v>4420024</v>
      </c>
      <c r="K1171" s="8" t="str">
        <f aca="false">IF(COUNTIF($M$1:$M$10,$A1171)&gt;0,"Y","N")</f>
        <v>Y</v>
      </c>
    </row>
    <row r="1172" customFormat="false" ht="15" hidden="false" customHeight="true" outlineLevel="0" collapsed="false">
      <c r="A1172" s="8" t="s">
        <v>44</v>
      </c>
      <c r="B1172" s="8" t="s">
        <v>741</v>
      </c>
      <c r="C1172" s="19" t="n">
        <v>0</v>
      </c>
      <c r="D1172" s="19" t="n">
        <v>0</v>
      </c>
      <c r="E1172" s="19" t="n">
        <v>1</v>
      </c>
      <c r="F1172" s="19" t="n">
        <v>23.86</v>
      </c>
      <c r="G1172" s="8" t="n">
        <f aca="false">IFERROR(INDEX('TRANS'!$B:$B,MATCH($B1172,'TRANS'!$A:$A,0)),IFERROR(INDEX('TRANS'!$B:$B,MATCH(TRIM(SUBSTITUTE($B1172,CHAR(160)," ")),'TRANS'!$D:$D,0)),IFERROR(INDEX('Catalog'!$A:$A,MATCH($B1172,'Catalog'!$B:$B,0)),IFERROR(INDEX('Catalog'!$A:$A,MATCH(TRIM(SUBSTITUTE($B1172,CHAR(160)," ")),'Catalog'!$C:$C,0)),""))))</f>
        <v>4420025</v>
      </c>
      <c r="H1172" s="8" t="str">
        <f aca="false">IFERROR(INDEX('TRANS'!$C:$C,MATCH($B1172,'TRANS'!$A:$A,0)),IFERROR(INDEX('Catalog'!$B:$B,MATCH($G1172,'Catalog'!$A:$A,0)),$B1172))</f>
        <v>LF374 ריפוד סיליק.לעקב תחתון</v>
      </c>
      <c r="I1172" s="8" t="str">
        <f aca="false">IF($G1172="","Unmatched","Matched")</f>
        <v>Matched</v>
      </c>
      <c r="J1172" s="8" t="n">
        <f aca="false">IF($G1172&lt;&gt;"",$G1172,$B1172)</f>
        <v>4420025</v>
      </c>
      <c r="K1172" s="8" t="str">
        <f aca="false">IF(COUNTIF($M$1:$M$10,$A1172)&gt;0,"Y","N")</f>
        <v>Y</v>
      </c>
    </row>
    <row r="1173" customFormat="false" ht="15" hidden="false" customHeight="true" outlineLevel="0" collapsed="false">
      <c r="A1173" s="8" t="s">
        <v>44</v>
      </c>
      <c r="B1173" s="8" t="s">
        <v>998</v>
      </c>
      <c r="C1173" s="19" t="n">
        <v>1</v>
      </c>
      <c r="D1173" s="19" t="n">
        <v>73.55</v>
      </c>
      <c r="E1173" s="19" t="n">
        <v>0</v>
      </c>
      <c r="F1173" s="19" t="n">
        <v>0</v>
      </c>
      <c r="G1173" s="8" t="n">
        <f aca="false">IFERROR(INDEX('TRANS'!$B:$B,MATCH($B1173,'TRANS'!$A:$A,0)),IFERROR(INDEX('TRANS'!$B:$B,MATCH(TRIM(SUBSTITUTE($B1173,CHAR(160)," ")),'TRANS'!$D:$D,0)),IFERROR(INDEX('Catalog'!$A:$A,MATCH($B1173,'Catalog'!$B:$B,0)),IFERROR(INDEX('Catalog'!$A:$A,MATCH(TRIM(SUBSTITUTE($B1173,CHAR(160)," ")),'Catalog'!$C:$C,0)),""))))</f>
        <v>4413451</v>
      </c>
      <c r="H1173" s="8" t="str">
        <f aca="false">IFERROR(INDEX('TRANS'!$C:$C,MATCH($B1173,'TRANS'!$A:$A,0)),IFERROR(INDEX('Catalog'!$B:$B,MATCH($G1173,'Catalog'!$A:$A,0)),$B1173))</f>
        <v>LF378 L מדרס ג'ל לנעלי עקב</v>
      </c>
      <c r="I1173" s="8" t="str">
        <f aca="false">IF($G1173="","Unmatched","Matched")</f>
        <v>Matched</v>
      </c>
      <c r="J1173" s="8" t="n">
        <f aca="false">IF($G1173&lt;&gt;"",$G1173,$B1173)</f>
        <v>4413451</v>
      </c>
      <c r="K1173" s="8" t="str">
        <f aca="false">IF(COUNTIF($M$1:$M$10,$A1173)&gt;0,"Y","N")</f>
        <v>Y</v>
      </c>
    </row>
    <row r="1174" customFormat="false" ht="15" hidden="false" customHeight="true" outlineLevel="0" collapsed="false">
      <c r="A1174" s="8" t="s">
        <v>44</v>
      </c>
      <c r="B1174" s="8" t="s">
        <v>999</v>
      </c>
      <c r="C1174" s="19" t="n">
        <v>1</v>
      </c>
      <c r="D1174" s="19" t="n">
        <v>73.55</v>
      </c>
      <c r="E1174" s="19" t="n">
        <v>0</v>
      </c>
      <c r="F1174" s="19" t="n">
        <v>0</v>
      </c>
      <c r="G1174" s="8" t="n">
        <f aca="false">IFERROR(INDEX('TRANS'!$B:$B,MATCH($B1174,'TRANS'!$A:$A,0)),IFERROR(INDEX('TRANS'!$B:$B,MATCH(TRIM(SUBSTITUTE($B1174,CHAR(160)," ")),'TRANS'!$D:$D,0)),IFERROR(INDEX('Catalog'!$A:$A,MATCH($B1174,'Catalog'!$B:$B,0)),IFERROR(INDEX('Catalog'!$A:$A,MATCH(TRIM(SUBSTITUTE($B1174,CHAR(160)," ")),'Catalog'!$C:$C,0)),""))))</f>
        <v>4413449</v>
      </c>
      <c r="H1174" s="8" t="str">
        <f aca="false">IFERROR(INDEX('TRANS'!$C:$C,MATCH($B1174,'TRANS'!$A:$A,0)),IFERROR(INDEX('Catalog'!$B:$B,MATCH($G1174,'Catalog'!$A:$A,0)),$B1174))</f>
        <v>LF378 S מדרס ג'ל לנעלי עקב</v>
      </c>
      <c r="I1174" s="8" t="str">
        <f aca="false">IF($G1174="","Unmatched","Matched")</f>
        <v>Matched</v>
      </c>
      <c r="J1174" s="8" t="n">
        <f aca="false">IF($G1174&lt;&gt;"",$G1174,$B1174)</f>
        <v>4413449</v>
      </c>
      <c r="K1174" s="8" t="str">
        <f aca="false">IF(COUNTIF($M$1:$M$10,$A1174)&gt;0,"Y","N")</f>
        <v>Y</v>
      </c>
    </row>
    <row r="1175" customFormat="false" ht="15" hidden="false" customHeight="true" outlineLevel="0" collapsed="false">
      <c r="A1175" s="8" t="s">
        <v>44</v>
      </c>
      <c r="B1175" s="8" t="s">
        <v>529</v>
      </c>
      <c r="C1175" s="19" t="n">
        <v>0</v>
      </c>
      <c r="D1175" s="19" t="n">
        <v>0</v>
      </c>
      <c r="E1175" s="19" t="n">
        <v>-1</v>
      </c>
      <c r="F1175" s="19" t="n">
        <v>-190</v>
      </c>
      <c r="G1175" s="8" t="str">
        <f aca="false">IFERROR(INDEX('TRANS'!$B:$B,MATCH($B1175,'TRANS'!$A:$A,0)),IFERROR(INDEX('TRANS'!$B:$B,MATCH(TRIM(SUBSTITUTE($B1175,CHAR(160)," ")),'TRANS'!$D:$D,0)),IFERROR(INDEX('Catalog'!$A:$A,MATCH($B1175,'Catalog'!$B:$B,0)),IFERROR(INDEX('Catalog'!$A:$A,MATCH(TRIM(SUBSTITUTE($B1175,CHAR(160)," ")),'Catalog'!$C:$C,0)),""))))</f>
        <v/>
      </c>
      <c r="H1175" s="8" t="str">
        <f aca="false">IFERROR(INDEX('TRANS'!$C:$C,MATCH($B1175,'TRANS'!$A:$A,0)),IFERROR(INDEX('Catalog'!$B:$B,MATCH($G1175,'Catalog'!$A:$A,0)),$B1175))</f>
        <v>T433 XL</v>
      </c>
      <c r="I1175" s="8" t="str">
        <f aca="false">IF($G1175="","Unmatched","Matched")</f>
        <v>Unmatched</v>
      </c>
      <c r="J1175" s="8" t="str">
        <f aca="false">IF($G1175&lt;&gt;"",$G1175,$B1175)</f>
        <v>T433 XL</v>
      </c>
      <c r="K1175" s="8" t="str">
        <f aca="false">IF(COUNTIF($M$1:$M$10,$A1175)&gt;0,"Y","N")</f>
        <v>Y</v>
      </c>
    </row>
    <row r="1176" customFormat="false" ht="15" hidden="false" customHeight="true" outlineLevel="0" collapsed="false">
      <c r="A1176" s="8" t="s">
        <v>44</v>
      </c>
      <c r="B1176" s="8" t="s">
        <v>481</v>
      </c>
      <c r="C1176" s="19" t="n">
        <v>1</v>
      </c>
      <c r="D1176" s="19" t="n">
        <v>203.23</v>
      </c>
      <c r="E1176" s="19" t="n">
        <v>0</v>
      </c>
      <c r="F1176" s="19" t="n">
        <v>0</v>
      </c>
      <c r="G1176" s="8" t="str">
        <f aca="false">IFERROR(INDEX('TRANS'!$B:$B,MATCH($B1176,'TRANS'!$A:$A,0)),IFERROR(INDEX('TRANS'!$B:$B,MATCH(TRIM(SUBSTITUTE($B1176,CHAR(160)," ")),'TRANS'!$D:$D,0)),IFERROR(INDEX('Catalog'!$A:$A,MATCH($B1176,'Catalog'!$B:$B,0)),IFERROR(INDEX('Catalog'!$A:$A,MATCH(TRIM(SUBSTITUTE($B1176,CHAR(160)," ")),'Catalog'!$C:$C,0)),""))))</f>
        <v/>
      </c>
      <c r="H1176" s="8" t="str">
        <f aca="false">IFERROR(INDEX('TRANS'!$C:$C,MATCH($B1176,'TRANS'!$A:$A,0)),IFERROR(INDEX('Catalog'!$B:$B,MATCH($G1176,'Catalog'!$A:$A,0)),$B1176))</f>
        <v>422N+ L</v>
      </c>
      <c r="I1176" s="8" t="str">
        <f aca="false">IF($G1176="","Unmatched","Matched")</f>
        <v>Unmatched</v>
      </c>
      <c r="J1176" s="8" t="str">
        <f aca="false">IF($G1176&lt;&gt;"",$G1176,$B1176)</f>
        <v>422N+ L</v>
      </c>
      <c r="K1176" s="8" t="str">
        <f aca="false">IF(COUNTIF($M$1:$M$10,$A1176)&gt;0,"Y","N")</f>
        <v>Y</v>
      </c>
    </row>
    <row r="1177" customFormat="false" ht="15" hidden="false" customHeight="true" outlineLevel="0" collapsed="false">
      <c r="A1177" s="8" t="s">
        <v>44</v>
      </c>
      <c r="B1177" s="8" t="s">
        <v>482</v>
      </c>
      <c r="C1177" s="19" t="n">
        <v>1</v>
      </c>
      <c r="D1177" s="19" t="n">
        <v>203.23</v>
      </c>
      <c r="E1177" s="19" t="n">
        <v>0</v>
      </c>
      <c r="F1177" s="19" t="n">
        <v>0</v>
      </c>
      <c r="G1177" s="8" t="str">
        <f aca="false">IFERROR(INDEX('TRANS'!$B:$B,MATCH($B1177,'TRANS'!$A:$A,0)),IFERROR(INDEX('TRANS'!$B:$B,MATCH(TRIM(SUBSTITUTE($B1177,CHAR(160)," ")),'TRANS'!$D:$D,0)),IFERROR(INDEX('Catalog'!$A:$A,MATCH($B1177,'Catalog'!$B:$B,0)),IFERROR(INDEX('Catalog'!$A:$A,MATCH(TRIM(SUBSTITUTE($B1177,CHAR(160)," ")),'Catalog'!$C:$C,0)),""))))</f>
        <v/>
      </c>
      <c r="H1177" s="8" t="str">
        <f aca="false">IFERROR(INDEX('TRANS'!$C:$C,MATCH($B1177,'TRANS'!$A:$A,0)),IFERROR(INDEX('Catalog'!$B:$B,MATCH($G1177,'Catalog'!$A:$A,0)),$B1177))</f>
        <v>422N+ M</v>
      </c>
      <c r="I1177" s="8" t="str">
        <f aca="false">IF($G1177="","Unmatched","Matched")</f>
        <v>Unmatched</v>
      </c>
      <c r="J1177" s="8" t="str">
        <f aca="false">IF($G1177&lt;&gt;"",$G1177,$B1177)</f>
        <v>422N+ M</v>
      </c>
      <c r="K1177" s="8" t="str">
        <f aca="false">IF(COUNTIF($M$1:$M$10,$A1177)&gt;0,"Y","N")</f>
        <v>Y</v>
      </c>
    </row>
    <row r="1178" customFormat="false" ht="15" hidden="false" customHeight="true" outlineLevel="0" collapsed="false">
      <c r="A1178" s="8" t="s">
        <v>44</v>
      </c>
      <c r="B1178" s="8" t="s">
        <v>483</v>
      </c>
      <c r="C1178" s="19" t="n">
        <v>1</v>
      </c>
      <c r="D1178" s="19" t="n">
        <v>203.23</v>
      </c>
      <c r="E1178" s="19" t="n">
        <v>0</v>
      </c>
      <c r="F1178" s="19" t="n">
        <v>0</v>
      </c>
      <c r="G1178" s="8" t="str">
        <f aca="false">IFERROR(INDEX('TRANS'!$B:$B,MATCH($B1178,'TRANS'!$A:$A,0)),IFERROR(INDEX('TRANS'!$B:$B,MATCH(TRIM(SUBSTITUTE($B1178,CHAR(160)," ")),'TRANS'!$D:$D,0)),IFERROR(INDEX('Catalog'!$A:$A,MATCH($B1178,'Catalog'!$B:$B,0)),IFERROR(INDEX('Catalog'!$A:$A,MATCH(TRIM(SUBSTITUTE($B1178,CHAR(160)," ")),'Catalog'!$C:$C,0)),""))))</f>
        <v/>
      </c>
      <c r="H1178" s="8" t="str">
        <f aca="false">IFERROR(INDEX('TRANS'!$C:$C,MATCH($B1178,'TRANS'!$A:$A,0)),IFERROR(INDEX('Catalog'!$B:$B,MATCH($G1178,'Catalog'!$A:$A,0)),$B1178))</f>
        <v>422N+ S</v>
      </c>
      <c r="I1178" s="8" t="str">
        <f aca="false">IF($G1178="","Unmatched","Matched")</f>
        <v>Unmatched</v>
      </c>
      <c r="J1178" s="8" t="str">
        <f aca="false">IF($G1178&lt;&gt;"",$G1178,$B1178)</f>
        <v>422N+ S</v>
      </c>
      <c r="K1178" s="8" t="str">
        <f aca="false">IF(COUNTIF($M$1:$M$10,$A1178)&gt;0,"Y","N")</f>
        <v>Y</v>
      </c>
    </row>
    <row r="1179" customFormat="false" ht="15" hidden="false" customHeight="true" outlineLevel="0" collapsed="false">
      <c r="A1179" s="8" t="s">
        <v>44</v>
      </c>
      <c r="B1179" s="8" t="s">
        <v>484</v>
      </c>
      <c r="C1179" s="19" t="n">
        <v>1</v>
      </c>
      <c r="D1179" s="19" t="n">
        <v>203.23</v>
      </c>
      <c r="E1179" s="19" t="n">
        <v>0</v>
      </c>
      <c r="F1179" s="19" t="n">
        <v>0</v>
      </c>
      <c r="G1179" s="8" t="str">
        <f aca="false">IFERROR(INDEX('TRANS'!$B:$B,MATCH($B1179,'TRANS'!$A:$A,0)),IFERROR(INDEX('TRANS'!$B:$B,MATCH(TRIM(SUBSTITUTE($B1179,CHAR(160)," ")),'TRANS'!$D:$D,0)),IFERROR(INDEX('Catalog'!$A:$A,MATCH($B1179,'Catalog'!$B:$B,0)),IFERROR(INDEX('Catalog'!$A:$A,MATCH(TRIM(SUBSTITUTE($B1179,CHAR(160)," ")),'Catalog'!$C:$C,0)),""))))</f>
        <v/>
      </c>
      <c r="H1179" s="8" t="str">
        <f aca="false">IFERROR(INDEX('TRANS'!$C:$C,MATCH($B1179,'TRANS'!$A:$A,0)),IFERROR(INDEX('Catalog'!$B:$B,MATCH($G1179,'Catalog'!$A:$A,0)),$B1179))</f>
        <v>422N+ XL</v>
      </c>
      <c r="I1179" s="8" t="str">
        <f aca="false">IF($G1179="","Unmatched","Matched")</f>
        <v>Unmatched</v>
      </c>
      <c r="J1179" s="8" t="str">
        <f aca="false">IF($G1179&lt;&gt;"",$G1179,$B1179)</f>
        <v>422N+ XL</v>
      </c>
      <c r="K1179" s="8" t="str">
        <f aca="false">IF(COUNTIF($M$1:$M$10,$A1179)&gt;0,"Y","N")</f>
        <v>Y</v>
      </c>
    </row>
    <row r="1180" customFormat="false" ht="15" hidden="false" customHeight="true" outlineLevel="0" collapsed="false">
      <c r="A1180" s="8" t="s">
        <v>44</v>
      </c>
      <c r="B1180" s="8" t="s">
        <v>485</v>
      </c>
      <c r="C1180" s="19" t="n">
        <v>1</v>
      </c>
      <c r="D1180" s="19" t="n">
        <v>133.54</v>
      </c>
      <c r="E1180" s="19" t="n">
        <v>0</v>
      </c>
      <c r="F1180" s="19" t="n">
        <v>0</v>
      </c>
      <c r="G1180" s="8" t="str">
        <f aca="false">IFERROR(INDEX('TRANS'!$B:$B,MATCH($B1180,'TRANS'!$A:$A,0)),IFERROR(INDEX('TRANS'!$B:$B,MATCH(TRIM(SUBSTITUTE($B1180,CHAR(160)," ")),'TRANS'!$D:$D,0)),IFERROR(INDEX('Catalog'!$A:$A,MATCH($B1180,'Catalog'!$B:$B,0)),IFERROR(INDEX('Catalog'!$A:$A,MATCH(TRIM(SUBSTITUTE($B1180,CHAR(160)," ")),'Catalog'!$C:$C,0)),""))))</f>
        <v/>
      </c>
      <c r="H1180" s="8" t="str">
        <f aca="false">IFERROR(INDEX('TRANS'!$C:$C,MATCH($B1180,'TRANS'!$A:$A,0)),IFERROR(INDEX('Catalog'!$B:$B,MATCH($G1180,'Catalog'!$A:$A,0)),$B1180))</f>
        <v>49PS S</v>
      </c>
      <c r="I1180" s="8" t="str">
        <f aca="false">IF($G1180="","Unmatched","Matched")</f>
        <v>Unmatched</v>
      </c>
      <c r="J1180" s="8" t="str">
        <f aca="false">IF($G1180&lt;&gt;"",$G1180,$B1180)</f>
        <v>49PS S</v>
      </c>
      <c r="K1180" s="8" t="str">
        <f aca="false">IF(COUNTIF($M$1:$M$10,$A1180)&gt;0,"Y","N")</f>
        <v>Y</v>
      </c>
    </row>
    <row r="1181" customFormat="false" ht="15" hidden="false" customHeight="true" outlineLevel="0" collapsed="false">
      <c r="A1181" s="8" t="s">
        <v>44</v>
      </c>
      <c r="B1181" s="8" t="s">
        <v>486</v>
      </c>
      <c r="C1181" s="19" t="n">
        <v>1</v>
      </c>
      <c r="D1181" s="19" t="n">
        <v>133.54</v>
      </c>
      <c r="E1181" s="19" t="n">
        <v>0</v>
      </c>
      <c r="F1181" s="19" t="n">
        <v>0</v>
      </c>
      <c r="G1181" s="8" t="str">
        <f aca="false">IFERROR(INDEX('TRANS'!$B:$B,MATCH($B1181,'TRANS'!$A:$A,0)),IFERROR(INDEX('TRANS'!$B:$B,MATCH(TRIM(SUBSTITUTE($B1181,CHAR(160)," ")),'TRANS'!$D:$D,0)),IFERROR(INDEX('Catalog'!$A:$A,MATCH($B1181,'Catalog'!$B:$B,0)),IFERROR(INDEX('Catalog'!$A:$A,MATCH(TRIM(SUBSTITUTE($B1181,CHAR(160)," ")),'Catalog'!$C:$C,0)),""))))</f>
        <v/>
      </c>
      <c r="H1181" s="8" t="str">
        <f aca="false">IFERROR(INDEX('TRANS'!$C:$C,MATCH($B1181,'TRANS'!$A:$A,0)),IFERROR(INDEX('Catalog'!$B:$B,MATCH($G1181,'Catalog'!$A:$A,0)),$B1181))</f>
        <v>49PS XS</v>
      </c>
      <c r="I1181" s="8" t="str">
        <f aca="false">IF($G1181="","Unmatched","Matched")</f>
        <v>Unmatched</v>
      </c>
      <c r="J1181" s="8" t="str">
        <f aca="false">IF($G1181&lt;&gt;"",$G1181,$B1181)</f>
        <v>49PS XS</v>
      </c>
      <c r="K1181" s="8" t="str">
        <f aca="false">IF(COUNTIF($M$1:$M$10,$A1181)&gt;0,"Y","N")</f>
        <v>Y</v>
      </c>
    </row>
    <row r="1182" customFormat="false" ht="15" hidden="false" customHeight="true" outlineLevel="0" collapsed="false">
      <c r="A1182" s="8" t="s">
        <v>44</v>
      </c>
      <c r="B1182" s="8" t="s">
        <v>487</v>
      </c>
      <c r="C1182" s="19" t="n">
        <v>2</v>
      </c>
      <c r="D1182" s="19" t="n">
        <v>283.95</v>
      </c>
      <c r="E1182" s="19" t="n">
        <v>0</v>
      </c>
      <c r="F1182" s="19" t="n">
        <v>0</v>
      </c>
      <c r="G1182" s="8" t="str">
        <f aca="false">IFERROR(INDEX('TRANS'!$B:$B,MATCH($B1182,'TRANS'!$A:$A,0)),IFERROR(INDEX('TRANS'!$B:$B,MATCH(TRIM(SUBSTITUTE($B1182,CHAR(160)," ")),'TRANS'!$D:$D,0)),IFERROR(INDEX('Catalog'!$A:$A,MATCH($B1182,'Catalog'!$B:$B,0)),IFERROR(INDEX('Catalog'!$A:$A,MATCH(TRIM(SUBSTITUTE($B1182,CHAR(160)," ")),'Catalog'!$C:$C,0)),""))))</f>
        <v/>
      </c>
      <c r="H1182" s="8" t="str">
        <f aca="false">IFERROR(INDEX('TRANS'!$C:$C,MATCH($B1182,'TRANS'!$A:$A,0)),IFERROR(INDEX('Catalog'!$B:$B,MATCH($G1182,'Catalog'!$A:$A,0)),$B1182))</f>
        <v>922B M</v>
      </c>
      <c r="I1182" s="8" t="str">
        <f aca="false">IF($G1182="","Unmatched","Matched")</f>
        <v>Unmatched</v>
      </c>
      <c r="J1182" s="8" t="str">
        <f aca="false">IF($G1182&lt;&gt;"",$G1182,$B1182)</f>
        <v>922B M</v>
      </c>
      <c r="K1182" s="8" t="str">
        <f aca="false">IF(COUNTIF($M$1:$M$10,$A1182)&gt;0,"Y","N")</f>
        <v>Y</v>
      </c>
    </row>
    <row r="1183" customFormat="false" ht="15" hidden="false" customHeight="true" outlineLevel="0" collapsed="false">
      <c r="A1183" s="8" t="s">
        <v>44</v>
      </c>
      <c r="B1183" s="8" t="s">
        <v>627</v>
      </c>
      <c r="C1183" s="19" t="n">
        <v>0</v>
      </c>
      <c r="D1183" s="19" t="n">
        <v>0</v>
      </c>
      <c r="E1183" s="19" t="n">
        <v>2</v>
      </c>
      <c r="F1183" s="19" t="n">
        <v>65.54</v>
      </c>
      <c r="G1183" s="8" t="n">
        <f aca="false">IFERROR(INDEX('TRANS'!$B:$B,MATCH($B1183,'TRANS'!$A:$A,0)),IFERROR(INDEX('TRANS'!$B:$B,MATCH(TRIM(SUBSTITUTE($B1183,CHAR(160)," ")),'TRANS'!$D:$D,0)),IFERROR(INDEX('Catalog'!$A:$A,MATCH($B1183,'Catalog'!$B:$B,0)),IFERROR(INDEX('Catalog'!$A:$A,MATCH(TRIM(SUBSTITUTE($B1183,CHAR(160)," ")),'Catalog'!$C:$C,0)),""))))</f>
        <v>4413058</v>
      </c>
      <c r="H1183" s="8" t="str">
        <f aca="false">IFERROR(INDEX('TRANS'!$C:$C,MATCH($B1183,'TRANS'!$A:$A,0)),IFERROR(INDEX('Catalog'!$B:$B,MATCH($G1183,'Catalog'!$A:$A,0)),$B1183))</f>
        <v>3622S מדבקה לשחרור לחץ 2 יח</v>
      </c>
      <c r="I1183" s="8" t="str">
        <f aca="false">IF($G1183="","Unmatched","Matched")</f>
        <v>Matched</v>
      </c>
      <c r="J1183" s="8" t="n">
        <f aca="false">IF($G1183&lt;&gt;"",$G1183,$B1183)</f>
        <v>4413058</v>
      </c>
      <c r="K1183" s="8" t="str">
        <f aca="false">IF(COUNTIF($M$1:$M$10,$A1183)&gt;0,"Y","N")</f>
        <v>Y</v>
      </c>
    </row>
    <row r="1184" customFormat="false" ht="15" hidden="false" customHeight="true" outlineLevel="0" collapsed="false">
      <c r="A1184" s="8" t="s">
        <v>44</v>
      </c>
      <c r="B1184" s="8" t="s">
        <v>726</v>
      </c>
      <c r="C1184" s="19" t="n">
        <v>0</v>
      </c>
      <c r="D1184" s="19" t="n">
        <v>0</v>
      </c>
      <c r="E1184" s="19" t="n">
        <v>3</v>
      </c>
      <c r="F1184" s="19" t="n">
        <v>93.66</v>
      </c>
      <c r="G1184" s="8" t="n">
        <f aca="false">IFERROR(INDEX('TRANS'!$B:$B,MATCH($B1184,'TRANS'!$A:$A,0)),IFERROR(INDEX('TRANS'!$B:$B,MATCH(TRIM(SUBSTITUTE($B1184,CHAR(160)," ")),'TRANS'!$D:$D,0)),IFERROR(INDEX('Catalog'!$A:$A,MATCH($B1184,'Catalog'!$B:$B,0)),IFERROR(INDEX('Catalog'!$A:$A,MATCH(TRIM(SUBSTITUTE($B1184,CHAR(160)," ")),'Catalog'!$C:$C,0)),""))))</f>
        <v>4415026</v>
      </c>
      <c r="H1184" s="8" t="str">
        <f aca="false">IFERROR(INDEX('TRANS'!$C:$C,MATCH($B1184,'TRANS'!$A:$A,0)),IFERROR(INDEX('Catalog'!$B:$B,MATCH($G1184,'Catalog'!$A:$A,0)),$B1184))</f>
        <v>AC-27L סד לש.כף יד שמאל</v>
      </c>
      <c r="I1184" s="8" t="str">
        <f aca="false">IF($G1184="","Unmatched","Matched")</f>
        <v>Matched</v>
      </c>
      <c r="J1184" s="8" t="n">
        <f aca="false">IF($G1184&lt;&gt;"",$G1184,$B1184)</f>
        <v>4415026</v>
      </c>
      <c r="K1184" s="8" t="str">
        <f aca="false">IF(COUNTIF($M$1:$M$10,$A1184)&gt;0,"Y","N")</f>
        <v>Y</v>
      </c>
    </row>
    <row r="1185" customFormat="false" ht="15" hidden="false" customHeight="true" outlineLevel="0" collapsed="false">
      <c r="A1185" s="8" t="s">
        <v>44</v>
      </c>
      <c r="B1185" s="8" t="s">
        <v>727</v>
      </c>
      <c r="C1185" s="19" t="n">
        <v>0</v>
      </c>
      <c r="D1185" s="19" t="n">
        <v>0</v>
      </c>
      <c r="E1185" s="19" t="n">
        <v>3</v>
      </c>
      <c r="F1185" s="19" t="n">
        <v>140.47</v>
      </c>
      <c r="G1185" s="8" t="n">
        <f aca="false">IFERROR(INDEX('TRANS'!$B:$B,MATCH($B1185,'TRANS'!$A:$A,0)),IFERROR(INDEX('TRANS'!$B:$B,MATCH(TRIM(SUBSTITUTE($B1185,CHAR(160)," ")),'TRANS'!$D:$D,0)),IFERROR(INDEX('Catalog'!$A:$A,MATCH($B1185,'Catalog'!$B:$B,0)),IFERROR(INDEX('Catalog'!$A:$A,MATCH(TRIM(SUBSTITUTE($B1185,CHAR(160)," ")),'Catalog'!$C:$C,0)),""))))</f>
        <v>4415027</v>
      </c>
      <c r="H1185" s="8" t="str">
        <f aca="false">IFERROR(INDEX('TRANS'!$C:$C,MATCH($B1185,'TRANS'!$A:$A,0)),IFERROR(INDEX('Catalog'!$B:$B,MATCH($G1185,'Catalog'!$A:$A,0)),$B1185))</f>
        <v>AC-27R סד לש.כף יד ימין</v>
      </c>
      <c r="I1185" s="8" t="str">
        <f aca="false">IF($G1185="","Unmatched","Matched")</f>
        <v>Matched</v>
      </c>
      <c r="J1185" s="8" t="n">
        <f aca="false">IF($G1185&lt;&gt;"",$G1185,$B1185)</f>
        <v>4415027</v>
      </c>
      <c r="K1185" s="8" t="str">
        <f aca="false">IF(COUNTIF($M$1:$M$10,$A1185)&gt;0,"Y","N")</f>
        <v>Y</v>
      </c>
    </row>
    <row r="1186" customFormat="false" ht="15" hidden="false" customHeight="true" outlineLevel="0" collapsed="false">
      <c r="A1186" s="8" t="s">
        <v>53</v>
      </c>
      <c r="B1186" s="8" t="s">
        <v>561</v>
      </c>
      <c r="C1186" s="19" t="n">
        <v>10</v>
      </c>
      <c r="D1186" s="19" t="n">
        <v>843</v>
      </c>
      <c r="E1186" s="19" t="n">
        <v>183</v>
      </c>
      <c r="F1186" s="19" t="n">
        <v>15324.4</v>
      </c>
      <c r="G1186" s="8" t="n">
        <f aca="false">IFERROR(INDEX('TRANS'!$B:$B,MATCH($B1186,'TRANS'!$A:$A,0)),IFERROR(INDEX('TRANS'!$B:$B,MATCH(TRIM(SUBSTITUTE($B1186,CHAR(160)," ")),'TRANS'!$D:$D,0)),IFERROR(INDEX('Catalog'!$A:$A,MATCH($B1186,'Catalog'!$B:$B,0)),IFERROR(INDEX('Catalog'!$A:$A,MATCH(TRIM(SUBSTITUTE($B1186,CHAR(160)," ")),'Catalog'!$C:$C,0)),""))))</f>
        <v>4408192</v>
      </c>
      <c r="H1186" s="8" t="str">
        <f aca="false">IFERROR(INDEX('TRANS'!$C:$C,MATCH($B1186,'TRANS'!$A:$A,0)),IFERROR(INDEX('Catalog'!$B:$B,MATCH($G1186,'Catalog'!$A:$A,0)),$B1186))</f>
        <v>078 L חגורת גב +סגירה</v>
      </c>
      <c r="I1186" s="8" t="str">
        <f aca="false">IF($G1186="","Unmatched","Matched")</f>
        <v>Matched</v>
      </c>
      <c r="J1186" s="8" t="n">
        <f aca="false">IF($G1186&lt;&gt;"",$G1186,$B1186)</f>
        <v>4408192</v>
      </c>
      <c r="K1186" s="8" t="str">
        <f aca="false">IF(COUNTIF($M$1:$M$10,$A1186)&gt;0,"Y","N")</f>
        <v>Y</v>
      </c>
    </row>
    <row r="1187" customFormat="false" ht="15" hidden="false" customHeight="true" outlineLevel="0" collapsed="false">
      <c r="A1187" s="8" t="s">
        <v>53</v>
      </c>
      <c r="B1187" s="8" t="s">
        <v>562</v>
      </c>
      <c r="C1187" s="19" t="n">
        <v>9</v>
      </c>
      <c r="D1187" s="19" t="n">
        <v>753</v>
      </c>
      <c r="E1187" s="19" t="n">
        <v>88</v>
      </c>
      <c r="F1187" s="19" t="n">
        <v>7572.21</v>
      </c>
      <c r="G1187" s="8" t="n">
        <f aca="false">IFERROR(INDEX('TRANS'!$B:$B,MATCH($B1187,'TRANS'!$A:$A,0)),IFERROR(INDEX('TRANS'!$B:$B,MATCH(TRIM(SUBSTITUTE($B1187,CHAR(160)," ")),'TRANS'!$D:$D,0)),IFERROR(INDEX('Catalog'!$A:$A,MATCH($B1187,'Catalog'!$B:$B,0)),IFERROR(INDEX('Catalog'!$A:$A,MATCH(TRIM(SUBSTITUTE($B1187,CHAR(160)," ")),'Catalog'!$C:$C,0)),""))))</f>
        <v>4408218</v>
      </c>
      <c r="H1187" s="8" t="str">
        <f aca="false">IFERROR(INDEX('TRANS'!$C:$C,MATCH($B1187,'TRANS'!$A:$A,0)),IFERROR(INDEX('Catalog'!$B:$B,MATCH($G1187,'Catalog'!$A:$A,0)),$B1187))</f>
        <v>078XL חגורת גב +סגירה כפולה</v>
      </c>
      <c r="I1187" s="8" t="str">
        <f aca="false">IF($G1187="","Unmatched","Matched")</f>
        <v>Matched</v>
      </c>
      <c r="J1187" s="8" t="n">
        <f aca="false">IF($G1187&lt;&gt;"",$G1187,$B1187)</f>
        <v>4408218</v>
      </c>
      <c r="K1187" s="8" t="str">
        <f aca="false">IF(COUNTIF($M$1:$M$10,$A1187)&gt;0,"Y","N")</f>
        <v>Y</v>
      </c>
    </row>
    <row r="1188" customFormat="false" ht="15" hidden="false" customHeight="true" outlineLevel="0" collapsed="false">
      <c r="A1188" s="8" t="s">
        <v>53</v>
      </c>
      <c r="B1188" s="8" t="s">
        <v>951</v>
      </c>
      <c r="C1188" s="19" t="n">
        <v>1</v>
      </c>
      <c r="D1188" s="19" t="n">
        <v>180</v>
      </c>
      <c r="E1188" s="19" t="n">
        <v>1</v>
      </c>
      <c r="F1188" s="19" t="n">
        <v>220</v>
      </c>
      <c r="G1188" s="8" t="n">
        <f aca="false">IFERROR(INDEX('TRANS'!$B:$B,MATCH($B1188,'TRANS'!$A:$A,0)),IFERROR(INDEX('TRANS'!$B:$B,MATCH(TRIM(SUBSTITUTE($B1188,CHAR(160)," ")),'TRANS'!$D:$D,0)),IFERROR(INDEX('Catalog'!$A:$A,MATCH($B1188,'Catalog'!$B:$B,0)),IFERROR(INDEX('Catalog'!$A:$A,MATCH(TRIM(SUBSTITUTE($B1188,CHAR(160)," ")),'Catalog'!$C:$C,0)),""))))</f>
        <v>4408015</v>
      </c>
      <c r="H1188" s="8" t="str">
        <f aca="false">IFERROR(INDEX('TRANS'!$C:$C,MATCH($B1188,'TRANS'!$A:$A,0)),IFERROR(INDEX('Catalog'!$B:$B,MATCH($G1188,'Catalog'!$A:$A,0)),$B1188))</f>
        <v>07AU L ח.גב """"איטלקית"""" אורירית</v>
      </c>
      <c r="I1188" s="8" t="str">
        <f aca="false">IF($G1188="","Unmatched","Matched")</f>
        <v>Matched</v>
      </c>
      <c r="J1188" s="8" t="n">
        <f aca="false">IF($G1188&lt;&gt;"",$G1188,$B1188)</f>
        <v>4408015</v>
      </c>
      <c r="K1188" s="8" t="str">
        <f aca="false">IF(COUNTIF($M$1:$M$10,$A1188)&gt;0,"Y","N")</f>
        <v>Y</v>
      </c>
    </row>
    <row r="1189" customFormat="false" ht="15" hidden="false" customHeight="true" outlineLevel="0" collapsed="false">
      <c r="A1189" s="8" t="s">
        <v>53</v>
      </c>
      <c r="B1189" s="8" t="s">
        <v>953</v>
      </c>
      <c r="C1189" s="19" t="n">
        <v>1</v>
      </c>
      <c r="D1189" s="19" t="n">
        <v>180</v>
      </c>
      <c r="E1189" s="19" t="n">
        <v>1</v>
      </c>
      <c r="F1189" s="19" t="n">
        <v>220</v>
      </c>
      <c r="G1189" s="8" t="n">
        <f aca="false">IFERROR(INDEX('TRANS'!$B:$B,MATCH($B1189,'TRANS'!$A:$A,0)),IFERROR(INDEX('TRANS'!$B:$B,MATCH(TRIM(SUBSTITUTE($B1189,CHAR(160)," ")),'TRANS'!$D:$D,0)),IFERROR(INDEX('Catalog'!$A:$A,MATCH($B1189,'Catalog'!$B:$B,0)),IFERROR(INDEX('Catalog'!$A:$A,MATCH(TRIM(SUBSTITUTE($B1189,CHAR(160)," ")),'Catalog'!$C:$C,0)),""))))</f>
        <v>4408017</v>
      </c>
      <c r="H1189" s="8" t="str">
        <f aca="false">IFERROR(INDEX('TRANS'!$C:$C,MATCH($B1189,'TRANS'!$A:$A,0)),IFERROR(INDEX('Catalog'!$B:$B,MATCH($G1189,'Catalog'!$A:$A,0)),$B1189))</f>
        <v>07AU XL ח.גב """"איטלקית"""" אורירית</v>
      </c>
      <c r="I1189" s="8" t="str">
        <f aca="false">IF($G1189="","Unmatched","Matched")</f>
        <v>Matched</v>
      </c>
      <c r="J1189" s="8" t="n">
        <f aca="false">IF($G1189&lt;&gt;"",$G1189,$B1189)</f>
        <v>4408017</v>
      </c>
      <c r="K1189" s="8" t="str">
        <f aca="false">IF(COUNTIF($M$1:$M$10,$A1189)&gt;0,"Y","N")</f>
        <v>Y</v>
      </c>
    </row>
    <row r="1190" customFormat="false" ht="15" hidden="false" customHeight="true" outlineLevel="0" collapsed="false">
      <c r="A1190" s="8" t="s">
        <v>53</v>
      </c>
      <c r="B1190" s="8" t="s">
        <v>857</v>
      </c>
      <c r="C1190" s="19" t="n">
        <v>1</v>
      </c>
      <c r="D1190" s="19" t="n">
        <v>105</v>
      </c>
      <c r="E1190" s="19" t="n">
        <v>0</v>
      </c>
      <c r="F1190" s="19" t="n">
        <v>0</v>
      </c>
      <c r="G1190" s="8" t="n">
        <f aca="false">IFERROR(INDEX('TRANS'!$B:$B,MATCH($B1190,'TRANS'!$A:$A,0)),IFERROR(INDEX('TRANS'!$B:$B,MATCH(TRIM(SUBSTITUTE($B1190,CHAR(160)," ")),'TRANS'!$D:$D,0)),IFERROR(INDEX('Catalog'!$A:$A,MATCH($B1190,'Catalog'!$B:$B,0)),IFERROR(INDEX('Catalog'!$A:$A,MATCH(TRIM(SUBSTITUTE($B1190,CHAR(160)," ")),'Catalog'!$C:$C,0)),""))))</f>
        <v>4408261</v>
      </c>
      <c r="H1190" s="8" t="str">
        <f aca="false">IFERROR(INDEX('TRANS'!$C:$C,MATCH($B1190,'TRANS'!$A:$A,0)),IFERROR(INDEX('Catalog'!$B:$B,MATCH($G1190,'Catalog'!$A:$A,0)),$B1190))</f>
        <v>11STO L חגורה אחרי ניתוח</v>
      </c>
      <c r="I1190" s="8" t="str">
        <f aca="false">IF($G1190="","Unmatched","Matched")</f>
        <v>Matched</v>
      </c>
      <c r="J1190" s="8" t="n">
        <f aca="false">IF($G1190&lt;&gt;"",$G1190,$B1190)</f>
        <v>4408261</v>
      </c>
      <c r="K1190" s="8" t="str">
        <f aca="false">IF(COUNTIF($M$1:$M$10,$A1190)&gt;0,"Y","N")</f>
        <v>Y</v>
      </c>
    </row>
    <row r="1191" customFormat="false" ht="15" hidden="false" customHeight="true" outlineLevel="0" collapsed="false">
      <c r="A1191" s="8" t="s">
        <v>53</v>
      </c>
      <c r="B1191" s="8" t="s">
        <v>924</v>
      </c>
      <c r="C1191" s="19" t="n">
        <v>1</v>
      </c>
      <c r="D1191" s="19" t="n">
        <v>105</v>
      </c>
      <c r="E1191" s="19" t="n">
        <v>0</v>
      </c>
      <c r="F1191" s="19" t="n">
        <v>0</v>
      </c>
      <c r="G1191" s="8" t="n">
        <f aca="false">IFERROR(INDEX('TRANS'!$B:$B,MATCH($B1191,'TRANS'!$A:$A,0)),IFERROR(INDEX('TRANS'!$B:$B,MATCH(TRIM(SUBSTITUTE($B1191,CHAR(160)," ")),'TRANS'!$D:$D,0)),IFERROR(INDEX('Catalog'!$A:$A,MATCH($B1191,'Catalog'!$B:$B,0)),IFERROR(INDEX('Catalog'!$A:$A,MATCH(TRIM(SUBSTITUTE($B1191,CHAR(160)," ")),'Catalog'!$C:$C,0)),""))))</f>
        <v>4408260</v>
      </c>
      <c r="H1191" s="8" t="str">
        <f aca="false">IFERROR(INDEX('TRANS'!$C:$C,MATCH($B1191,'TRANS'!$A:$A,0)),IFERROR(INDEX('Catalog'!$B:$B,MATCH($G1191,'Catalog'!$A:$A,0)),$B1191))</f>
        <v>11STO M חגורה אחרי ניתוח</v>
      </c>
      <c r="I1191" s="8" t="str">
        <f aca="false">IF($G1191="","Unmatched","Matched")</f>
        <v>Matched</v>
      </c>
      <c r="J1191" s="8" t="n">
        <f aca="false">IF($G1191&lt;&gt;"",$G1191,$B1191)</f>
        <v>4408260</v>
      </c>
      <c r="K1191" s="8" t="str">
        <f aca="false">IF(COUNTIF($M$1:$M$10,$A1191)&gt;0,"Y","N")</f>
        <v>Y</v>
      </c>
    </row>
    <row r="1192" customFormat="false" ht="15" hidden="false" customHeight="true" outlineLevel="0" collapsed="false">
      <c r="A1192" s="8" t="s">
        <v>53</v>
      </c>
      <c r="B1192" s="8" t="s">
        <v>981</v>
      </c>
      <c r="C1192" s="19" t="n">
        <v>1</v>
      </c>
      <c r="D1192" s="19" t="n">
        <v>105</v>
      </c>
      <c r="E1192" s="19" t="n">
        <v>0</v>
      </c>
      <c r="F1192" s="19" t="n">
        <v>0</v>
      </c>
      <c r="G1192" s="8" t="n">
        <f aca="false">IFERROR(INDEX('TRANS'!$B:$B,MATCH($B1192,'TRANS'!$A:$A,0)),IFERROR(INDEX('TRANS'!$B:$B,MATCH(TRIM(SUBSTITUTE($B1192,CHAR(160)," ")),'TRANS'!$D:$D,0)),IFERROR(INDEX('Catalog'!$A:$A,MATCH($B1192,'Catalog'!$B:$B,0)),IFERROR(INDEX('Catalog'!$A:$A,MATCH(TRIM(SUBSTITUTE($B1192,CHAR(160)," ")),'Catalog'!$C:$C,0)),""))))</f>
        <v>4408259</v>
      </c>
      <c r="H1192" s="8" t="str">
        <f aca="false">IFERROR(INDEX('TRANS'!$C:$C,MATCH($B1192,'TRANS'!$A:$A,0)),IFERROR(INDEX('Catalog'!$B:$B,MATCH($G1192,'Catalog'!$A:$A,0)),$B1192))</f>
        <v>11STO S חגורה אחרי ניתוח</v>
      </c>
      <c r="I1192" s="8" t="str">
        <f aca="false">IF($G1192="","Unmatched","Matched")</f>
        <v>Matched</v>
      </c>
      <c r="J1192" s="8" t="n">
        <f aca="false">IF($G1192&lt;&gt;"",$G1192,$B1192)</f>
        <v>4408259</v>
      </c>
      <c r="K1192" s="8" t="str">
        <f aca="false">IF(COUNTIF($M$1:$M$10,$A1192)&gt;0,"Y","N")</f>
        <v>Y</v>
      </c>
    </row>
    <row r="1193" customFormat="false" ht="15" hidden="false" customHeight="true" outlineLevel="0" collapsed="false">
      <c r="A1193" s="8" t="s">
        <v>53</v>
      </c>
      <c r="B1193" s="8" t="s">
        <v>780</v>
      </c>
      <c r="C1193" s="19" t="n">
        <v>2</v>
      </c>
      <c r="D1193" s="19" t="n">
        <v>210</v>
      </c>
      <c r="E1193" s="19" t="n">
        <v>0</v>
      </c>
      <c r="F1193" s="19" t="n">
        <v>0</v>
      </c>
      <c r="G1193" s="8" t="n">
        <f aca="false">IFERROR(INDEX('TRANS'!$B:$B,MATCH($B1193,'TRANS'!$A:$A,0)),IFERROR(INDEX('TRANS'!$B:$B,MATCH(TRIM(SUBSTITUTE($B1193,CHAR(160)," ")),'TRANS'!$D:$D,0)),IFERROR(INDEX('Catalog'!$A:$A,MATCH($B1193,'Catalog'!$B:$B,0)),IFERROR(INDEX('Catalog'!$A:$A,MATCH(TRIM(SUBSTITUTE($B1193,CHAR(160)," ")),'Catalog'!$C:$C,0)),""))))</f>
        <v>4408262</v>
      </c>
      <c r="H1193" s="8" t="str">
        <f aca="false">IFERROR(INDEX('TRANS'!$C:$C,MATCH($B1193,'TRANS'!$A:$A,0)),IFERROR(INDEX('Catalog'!$B:$B,MATCH($G1193,'Catalog'!$A:$A,0)),$B1193))</f>
        <v>11STO XL  חגורה אחרי ניתוח</v>
      </c>
      <c r="I1193" s="8" t="str">
        <f aca="false">IF($G1193="","Unmatched","Matched")</f>
        <v>Matched</v>
      </c>
      <c r="J1193" s="8" t="n">
        <f aca="false">IF($G1193&lt;&gt;"",$G1193,$B1193)</f>
        <v>4408262</v>
      </c>
      <c r="K1193" s="8" t="str">
        <f aca="false">IF(COUNTIF($M$1:$M$10,$A1193)&gt;0,"Y","N")</f>
        <v>Y</v>
      </c>
    </row>
    <row r="1194" customFormat="false" ht="15" hidden="false" customHeight="true" outlineLevel="0" collapsed="false">
      <c r="A1194" s="8" t="s">
        <v>53</v>
      </c>
      <c r="B1194" s="8" t="s">
        <v>947</v>
      </c>
      <c r="C1194" s="19" t="n">
        <v>0</v>
      </c>
      <c r="D1194" s="19" t="n">
        <v>0</v>
      </c>
      <c r="E1194" s="19" t="n">
        <v>3</v>
      </c>
      <c r="F1194" s="19" t="n">
        <v>295.47</v>
      </c>
      <c r="G1194" s="8" t="n">
        <f aca="false">IFERROR(INDEX('TRANS'!$B:$B,MATCH($B1194,'TRANS'!$A:$A,0)),IFERROR(INDEX('TRANS'!$B:$B,MATCH(TRIM(SUBSTITUTE($B1194,CHAR(160)," ")),'TRANS'!$D:$D,0)),IFERROR(INDEX('Catalog'!$A:$A,MATCH($B1194,'Catalog'!$B:$B,0)),IFERROR(INDEX('Catalog'!$A:$A,MATCH(TRIM(SUBSTITUTE($B1194,CHAR(160)," ")),'Catalog'!$C:$C,0)),""))))</f>
        <v>4408226</v>
      </c>
      <c r="H1194" s="8" t="str">
        <f aca="false">IFERROR(INDEX('TRANS'!$C:$C,MATCH($B1194,'TRANS'!$A:$A,0)),IFERROR(INDEX('Catalog'!$B:$B,MATCH($G1194,'Catalog'!$A:$A,0)),$B1194))</f>
        <v>L 11 אפורUG חגורת בטן</v>
      </c>
      <c r="I1194" s="8" t="str">
        <f aca="false">IF($G1194="","Unmatched","Matched")</f>
        <v>Matched</v>
      </c>
      <c r="J1194" s="8" t="n">
        <f aca="false">IF($G1194&lt;&gt;"",$G1194,$B1194)</f>
        <v>4408226</v>
      </c>
      <c r="K1194" s="8" t="str">
        <f aca="false">IF(COUNTIF($M$1:$M$10,$A1194)&gt;0,"Y","N")</f>
        <v>Y</v>
      </c>
    </row>
    <row r="1195" customFormat="false" ht="15" hidden="false" customHeight="true" outlineLevel="0" collapsed="false">
      <c r="A1195" s="8" t="s">
        <v>53</v>
      </c>
      <c r="B1195" s="8" t="s">
        <v>128</v>
      </c>
      <c r="C1195" s="19" t="n">
        <v>0</v>
      </c>
      <c r="D1195" s="19" t="n">
        <v>0</v>
      </c>
      <c r="E1195" s="19" t="n">
        <v>4</v>
      </c>
      <c r="F1195" s="19" t="n">
        <v>384.8</v>
      </c>
      <c r="G1195" s="8" t="str">
        <f aca="false">IFERROR(INDEX('TRANS'!$B:$B,MATCH($B1195,'TRANS'!$A:$A,0)),IFERROR(INDEX('TRANS'!$B:$B,MATCH(TRIM(SUBSTITUTE($B1195,CHAR(160)," ")),'TRANS'!$D:$D,0)),IFERROR(INDEX('Catalog'!$A:$A,MATCH($B1195,'Catalog'!$B:$B,0)),IFERROR(INDEX('Catalog'!$A:$A,MATCH(TRIM(SUBSTITUTE($B1195,CHAR(160)," ")),'Catalog'!$C:$C,0)),""))))</f>
        <v/>
      </c>
      <c r="H1195" s="8" t="str">
        <f aca="false">IFERROR(INDEX('TRANS'!$C:$C,MATCH($B1195,'TRANS'!$A:$A,0)),IFERROR(INDEX('Catalog'!$B:$B,MATCH($G1195,'Catalog'!$A:$A,0)),$B1195))</f>
        <v>11UG M</v>
      </c>
      <c r="I1195" s="8" t="str">
        <f aca="false">IF($G1195="","Unmatched","Matched")</f>
        <v>Unmatched</v>
      </c>
      <c r="J1195" s="8" t="str">
        <f aca="false">IF($G1195&lt;&gt;"",$G1195,$B1195)</f>
        <v>11UG M</v>
      </c>
      <c r="K1195" s="8" t="str">
        <f aca="false">IF(COUNTIF($M$1:$M$10,$A1195)&gt;0,"Y","N")</f>
        <v>Y</v>
      </c>
    </row>
    <row r="1196" customFormat="false" ht="15" hidden="false" customHeight="true" outlineLevel="0" collapsed="false">
      <c r="A1196" s="8" t="s">
        <v>53</v>
      </c>
      <c r="B1196" s="8" t="s">
        <v>148</v>
      </c>
      <c r="C1196" s="19" t="n">
        <v>0</v>
      </c>
      <c r="D1196" s="19" t="n">
        <v>0</v>
      </c>
      <c r="E1196" s="19" t="n">
        <v>2</v>
      </c>
      <c r="F1196" s="19" t="n">
        <v>206.16</v>
      </c>
      <c r="G1196" s="8" t="str">
        <f aca="false">IFERROR(INDEX('TRANS'!$B:$B,MATCH($B1196,'TRANS'!$A:$A,0)),IFERROR(INDEX('TRANS'!$B:$B,MATCH(TRIM(SUBSTITUTE($B1196,CHAR(160)," ")),'TRANS'!$D:$D,0)),IFERROR(INDEX('Catalog'!$A:$A,MATCH($B1196,'Catalog'!$B:$B,0)),IFERROR(INDEX('Catalog'!$A:$A,MATCH(TRIM(SUBSTITUTE($B1196,CHAR(160)," ")),'Catalog'!$C:$C,0)),""))))</f>
        <v/>
      </c>
      <c r="H1196" s="8" t="str">
        <f aca="false">IFERROR(INDEX('TRANS'!$C:$C,MATCH($B1196,'TRANS'!$A:$A,0)),IFERROR(INDEX('Catalog'!$B:$B,MATCH($G1196,'Catalog'!$A:$A,0)),$B1196))</f>
        <v>11UG S</v>
      </c>
      <c r="I1196" s="8" t="str">
        <f aca="false">IF($G1196="","Unmatched","Matched")</f>
        <v>Unmatched</v>
      </c>
      <c r="J1196" s="8" t="str">
        <f aca="false">IF($G1196&lt;&gt;"",$G1196,$B1196)</f>
        <v>11UG S</v>
      </c>
      <c r="K1196" s="8" t="str">
        <f aca="false">IF(COUNTIF($M$1:$M$10,$A1196)&gt;0,"Y","N")</f>
        <v>Y</v>
      </c>
    </row>
    <row r="1197" customFormat="false" ht="15" hidden="false" customHeight="true" outlineLevel="0" collapsed="false">
      <c r="A1197" s="8" t="s">
        <v>53</v>
      </c>
      <c r="B1197" s="8" t="s">
        <v>137</v>
      </c>
      <c r="C1197" s="19" t="n">
        <v>0</v>
      </c>
      <c r="D1197" s="19" t="n">
        <v>0</v>
      </c>
      <c r="E1197" s="19" t="n">
        <v>2</v>
      </c>
      <c r="F1197" s="19" t="n">
        <v>206.14</v>
      </c>
      <c r="G1197" s="8" t="str">
        <f aca="false">IFERROR(INDEX('TRANS'!$B:$B,MATCH($B1197,'TRANS'!$A:$A,0)),IFERROR(INDEX('TRANS'!$B:$B,MATCH(TRIM(SUBSTITUTE($B1197,CHAR(160)," ")),'TRANS'!$D:$D,0)),IFERROR(INDEX('Catalog'!$A:$A,MATCH($B1197,'Catalog'!$B:$B,0)),IFERROR(INDEX('Catalog'!$A:$A,MATCH(TRIM(SUBSTITUTE($B1197,CHAR(160)," ")),'Catalog'!$C:$C,0)),""))))</f>
        <v/>
      </c>
      <c r="H1197" s="8" t="str">
        <f aca="false">IFERROR(INDEX('TRANS'!$C:$C,MATCH($B1197,'TRANS'!$A:$A,0)),IFERROR(INDEX('Catalog'!$B:$B,MATCH($G1197,'Catalog'!$A:$A,0)),$B1197))</f>
        <v>11UG XXL</v>
      </c>
      <c r="I1197" s="8" t="str">
        <f aca="false">IF($G1197="","Unmatched","Matched")</f>
        <v>Unmatched</v>
      </c>
      <c r="J1197" s="8" t="str">
        <f aca="false">IF($G1197&lt;&gt;"",$G1197,$B1197)</f>
        <v>11UG XXL</v>
      </c>
      <c r="K1197" s="8" t="str">
        <f aca="false">IF(COUNTIF($M$1:$M$10,$A1197)&gt;0,"Y","N")</f>
        <v>Y</v>
      </c>
    </row>
    <row r="1198" customFormat="false" ht="15" hidden="false" customHeight="true" outlineLevel="0" collapsed="false">
      <c r="A1198" s="8" t="s">
        <v>53</v>
      </c>
      <c r="B1198" s="8" t="s">
        <v>577</v>
      </c>
      <c r="C1198" s="19" t="n">
        <v>2</v>
      </c>
      <c r="D1198" s="19" t="n">
        <v>65.5</v>
      </c>
      <c r="E1198" s="19" t="n">
        <v>4</v>
      </c>
      <c r="F1198" s="19" t="n">
        <v>134.83</v>
      </c>
      <c r="G1198" s="8" t="n">
        <f aca="false">IFERROR(INDEX('TRANS'!$B:$B,MATCH($B1198,'TRANS'!$A:$A,0)),IFERROR(INDEX('TRANS'!$B:$B,MATCH(TRIM(SUBSTITUTE($B1198,CHAR(160)," ")),'TRANS'!$D:$D,0)),IFERROR(INDEX('Catalog'!$A:$A,MATCH($B1198,'Catalog'!$B:$B,0)),IFERROR(INDEX('Catalog'!$A:$A,MATCH(TRIM(SUBSTITUTE($B1198,CHAR(160)," ")),'Catalog'!$C:$C,0)),""))))</f>
        <v>4411017</v>
      </c>
      <c r="H1198" s="8" t="str">
        <f aca="false">IFERROR(INDEX('TRANS'!$C:$C,MATCH($B1198,'TRANS'!$A:$A,0)),IFERROR(INDEX('Catalog'!$B:$B,MATCH($G1198,'Catalog'!$A:$A,0)),$B1198))</f>
        <v>211L כפפות לחץ</v>
      </c>
      <c r="I1198" s="8" t="str">
        <f aca="false">IF($G1198="","Unmatched","Matched")</f>
        <v>Matched</v>
      </c>
      <c r="J1198" s="8" t="n">
        <f aca="false">IF($G1198&lt;&gt;"",$G1198,$B1198)</f>
        <v>4411017</v>
      </c>
      <c r="K1198" s="8" t="str">
        <f aca="false">IF(COUNTIF($M$1:$M$10,$A1198)&gt;0,"Y","N")</f>
        <v>Y</v>
      </c>
    </row>
    <row r="1199" customFormat="false" ht="15" hidden="false" customHeight="true" outlineLevel="0" collapsed="false">
      <c r="A1199" s="8" t="s">
        <v>53</v>
      </c>
      <c r="B1199" s="8" t="s">
        <v>578</v>
      </c>
      <c r="C1199" s="19" t="n">
        <v>2</v>
      </c>
      <c r="D1199" s="19" t="n">
        <v>65.5</v>
      </c>
      <c r="E1199" s="19" t="n">
        <v>4</v>
      </c>
      <c r="F1199" s="19" t="n">
        <v>134.83</v>
      </c>
      <c r="G1199" s="8" t="n">
        <f aca="false">IFERROR(INDEX('TRANS'!$B:$B,MATCH($B1199,'TRANS'!$A:$A,0)),IFERROR(INDEX('TRANS'!$B:$B,MATCH(TRIM(SUBSTITUTE($B1199,CHAR(160)," ")),'TRANS'!$D:$D,0)),IFERROR(INDEX('Catalog'!$A:$A,MATCH($B1199,'Catalog'!$B:$B,0)),IFERROR(INDEX('Catalog'!$A:$A,MATCH(TRIM(SUBSTITUTE($B1199,CHAR(160)," ")),'Catalog'!$C:$C,0)),""))))</f>
        <v>4411018</v>
      </c>
      <c r="H1199" s="8" t="str">
        <f aca="false">IFERROR(INDEX('TRANS'!$C:$C,MATCH($B1199,'TRANS'!$A:$A,0)),IFERROR(INDEX('Catalog'!$B:$B,MATCH($G1199,'Catalog'!$A:$A,0)),$B1199))</f>
        <v>211M כפפות לחץ</v>
      </c>
      <c r="I1199" s="8" t="str">
        <f aca="false">IF($G1199="","Unmatched","Matched")</f>
        <v>Matched</v>
      </c>
      <c r="J1199" s="8" t="n">
        <f aca="false">IF($G1199&lt;&gt;"",$G1199,$B1199)</f>
        <v>4411018</v>
      </c>
      <c r="K1199" s="8" t="str">
        <f aca="false">IF(COUNTIF($M$1:$M$10,$A1199)&gt;0,"Y","N")</f>
        <v>Y</v>
      </c>
    </row>
    <row r="1200" customFormat="false" ht="15" hidden="false" customHeight="true" outlineLevel="0" collapsed="false">
      <c r="A1200" s="8" t="s">
        <v>53</v>
      </c>
      <c r="B1200" s="8" t="s">
        <v>579</v>
      </c>
      <c r="C1200" s="19" t="n">
        <v>1</v>
      </c>
      <c r="D1200" s="19" t="n">
        <v>33.06</v>
      </c>
      <c r="E1200" s="19" t="n">
        <v>3</v>
      </c>
      <c r="F1200" s="19" t="n">
        <v>102.42</v>
      </c>
      <c r="G1200" s="8" t="n">
        <f aca="false">IFERROR(INDEX('TRANS'!$B:$B,MATCH($B1200,'TRANS'!$A:$A,0)),IFERROR(INDEX('TRANS'!$B:$B,MATCH(TRIM(SUBSTITUTE($B1200,CHAR(160)," ")),'TRANS'!$D:$D,0)),IFERROR(INDEX('Catalog'!$A:$A,MATCH($B1200,'Catalog'!$B:$B,0)),IFERROR(INDEX('Catalog'!$A:$A,MATCH(TRIM(SUBSTITUTE($B1200,CHAR(160)," ")),'Catalog'!$C:$C,0)),""))))</f>
        <v>4411019</v>
      </c>
      <c r="H1200" s="8" t="str">
        <f aca="false">IFERROR(INDEX('TRANS'!$C:$C,MATCH($B1200,'TRANS'!$A:$A,0)),IFERROR(INDEX('Catalog'!$B:$B,MATCH($G1200,'Catalog'!$A:$A,0)),$B1200))</f>
        <v>211S כפפות לחץ</v>
      </c>
      <c r="I1200" s="8" t="str">
        <f aca="false">IF($G1200="","Unmatched","Matched")</f>
        <v>Matched</v>
      </c>
      <c r="J1200" s="8" t="n">
        <f aca="false">IF($G1200&lt;&gt;"",$G1200,$B1200)</f>
        <v>4411019</v>
      </c>
      <c r="K1200" s="8" t="str">
        <f aca="false">IF(COUNTIF($M$1:$M$10,$A1200)&gt;0,"Y","N")</f>
        <v>Y</v>
      </c>
    </row>
    <row r="1201" customFormat="false" ht="15" hidden="false" customHeight="true" outlineLevel="0" collapsed="false">
      <c r="A1201" s="8" t="s">
        <v>53</v>
      </c>
      <c r="B1201" s="8" t="s">
        <v>967</v>
      </c>
      <c r="C1201" s="19" t="n">
        <v>2</v>
      </c>
      <c r="D1201" s="19" t="n">
        <v>65.5</v>
      </c>
      <c r="E1201" s="19" t="n">
        <v>4</v>
      </c>
      <c r="F1201" s="19" t="n">
        <v>134.83</v>
      </c>
      <c r="G1201" s="8" t="n">
        <f aca="false">IFERROR(INDEX('TRANS'!$B:$B,MATCH($B1201,'TRANS'!$A:$A,0)),IFERROR(INDEX('TRANS'!$B:$B,MATCH(TRIM(SUBSTITUTE($B1201,CHAR(160)," ")),'TRANS'!$D:$D,0)),IFERROR(INDEX('Catalog'!$A:$A,MATCH($B1201,'Catalog'!$B:$B,0)),IFERROR(INDEX('Catalog'!$A:$A,MATCH(TRIM(SUBSTITUTE($B1201,CHAR(160)," ")),'Catalog'!$C:$C,0)),""))))</f>
        <v>4411020</v>
      </c>
      <c r="H1201" s="8" t="str">
        <f aca="false">IFERROR(INDEX('TRANS'!$C:$C,MATCH($B1201,'TRANS'!$A:$A,0)),IFERROR(INDEX('Catalog'!$B:$B,MATCH($G1201,'Catalog'!$A:$A,0)),$B1201))</f>
        <v>211XL כפפות לחץ</v>
      </c>
      <c r="I1201" s="8" t="str">
        <f aca="false">IF($G1201="","Unmatched","Matched")</f>
        <v>Matched</v>
      </c>
      <c r="J1201" s="8" t="n">
        <f aca="false">IF($G1201&lt;&gt;"",$G1201,$B1201)</f>
        <v>4411020</v>
      </c>
      <c r="K1201" s="8" t="str">
        <f aca="false">IF(COUNTIF($M$1:$M$10,$A1201)&gt;0,"Y","N")</f>
        <v>Y</v>
      </c>
    </row>
    <row r="1202" customFormat="false" ht="15" hidden="false" customHeight="true" outlineLevel="0" collapsed="false">
      <c r="A1202" s="8" t="s">
        <v>53</v>
      </c>
      <c r="B1202" s="8" t="s">
        <v>580</v>
      </c>
      <c r="C1202" s="19" t="n">
        <v>1</v>
      </c>
      <c r="D1202" s="19" t="n">
        <v>34.49</v>
      </c>
      <c r="E1202" s="19" t="n">
        <v>4</v>
      </c>
      <c r="F1202" s="19" t="n">
        <v>143.26</v>
      </c>
      <c r="G1202" s="8" t="n">
        <f aca="false">IFERROR(INDEX('TRANS'!$B:$B,MATCH($B1202,'TRANS'!$A:$A,0)),IFERROR(INDEX('TRANS'!$B:$B,MATCH(TRIM(SUBSTITUTE($B1202,CHAR(160)," ")),'TRANS'!$D:$D,0)),IFERROR(INDEX('Catalog'!$A:$A,MATCH($B1202,'Catalog'!$B:$B,0)),IFERROR(INDEX('Catalog'!$A:$A,MATCH(TRIM(SUBSTITUTE($B1202,CHAR(160)," ")),'Catalog'!$C:$C,0)),""))))</f>
        <v>4411021</v>
      </c>
      <c r="H1202" s="8" t="str">
        <f aca="false">IFERROR(INDEX('TRANS'!$C:$C,MATCH($B1202,'TRANS'!$A:$A,0)),IFERROR(INDEX('Catalog'!$B:$B,MATCH($G1202,'Catalog'!$A:$A,0)),$B1202))</f>
        <v>212L כפפות אגודל לחץ</v>
      </c>
      <c r="I1202" s="8" t="str">
        <f aca="false">IF($G1202="","Unmatched","Matched")</f>
        <v>Matched</v>
      </c>
      <c r="J1202" s="8" t="n">
        <f aca="false">IF($G1202&lt;&gt;"",$G1202,$B1202)</f>
        <v>4411021</v>
      </c>
      <c r="K1202" s="8" t="str">
        <f aca="false">IF(COUNTIF($M$1:$M$10,$A1202)&gt;0,"Y","N")</f>
        <v>Y</v>
      </c>
    </row>
    <row r="1203" customFormat="false" ht="15" hidden="false" customHeight="true" outlineLevel="0" collapsed="false">
      <c r="A1203" s="8" t="s">
        <v>53</v>
      </c>
      <c r="B1203" s="8" t="s">
        <v>581</v>
      </c>
      <c r="C1203" s="19" t="n">
        <v>1</v>
      </c>
      <c r="D1203" s="19" t="n">
        <v>34.49</v>
      </c>
      <c r="E1203" s="19" t="n">
        <v>4</v>
      </c>
      <c r="F1203" s="19" t="n">
        <v>143.26</v>
      </c>
      <c r="G1203" s="8" t="n">
        <f aca="false">IFERROR(INDEX('TRANS'!$B:$B,MATCH($B1203,'TRANS'!$A:$A,0)),IFERROR(INDEX('TRANS'!$B:$B,MATCH(TRIM(SUBSTITUTE($B1203,CHAR(160)," ")),'TRANS'!$D:$D,0)),IFERROR(INDEX('Catalog'!$A:$A,MATCH($B1203,'Catalog'!$B:$B,0)),IFERROR(INDEX('Catalog'!$A:$A,MATCH(TRIM(SUBSTITUTE($B1203,CHAR(160)," ")),'Catalog'!$C:$C,0)),""))))</f>
        <v>4411022</v>
      </c>
      <c r="H1203" s="8" t="str">
        <f aca="false">IFERROR(INDEX('TRANS'!$C:$C,MATCH($B1203,'TRANS'!$A:$A,0)),IFERROR(INDEX('Catalog'!$B:$B,MATCH($G1203,'Catalog'!$A:$A,0)),$B1203))</f>
        <v>212M כפפות אגודל לחץ</v>
      </c>
      <c r="I1203" s="8" t="str">
        <f aca="false">IF($G1203="","Unmatched","Matched")</f>
        <v>Matched</v>
      </c>
      <c r="J1203" s="8" t="n">
        <f aca="false">IF($G1203&lt;&gt;"",$G1203,$B1203)</f>
        <v>4411022</v>
      </c>
      <c r="K1203" s="8" t="str">
        <f aca="false">IF(COUNTIF($M$1:$M$10,$A1203)&gt;0,"Y","N")</f>
        <v>Y</v>
      </c>
    </row>
    <row r="1204" customFormat="false" ht="15" hidden="false" customHeight="true" outlineLevel="0" collapsed="false">
      <c r="A1204" s="8" t="s">
        <v>53</v>
      </c>
      <c r="B1204" s="8" t="s">
        <v>582</v>
      </c>
      <c r="C1204" s="19" t="n">
        <v>0</v>
      </c>
      <c r="D1204" s="19" t="n">
        <v>0</v>
      </c>
      <c r="E1204" s="19" t="n">
        <v>2</v>
      </c>
      <c r="F1204" s="19" t="n">
        <v>74.28</v>
      </c>
      <c r="G1204" s="8" t="n">
        <f aca="false">IFERROR(INDEX('TRANS'!$B:$B,MATCH($B1204,'TRANS'!$A:$A,0)),IFERROR(INDEX('TRANS'!$B:$B,MATCH(TRIM(SUBSTITUTE($B1204,CHAR(160)," ")),'TRANS'!$D:$D,0)),IFERROR(INDEX('Catalog'!$A:$A,MATCH($B1204,'Catalog'!$B:$B,0)),IFERROR(INDEX('Catalog'!$A:$A,MATCH(TRIM(SUBSTITUTE($B1204,CHAR(160)," ")),'Catalog'!$C:$C,0)),""))))</f>
        <v>4411023</v>
      </c>
      <c r="H1204" s="8" t="str">
        <f aca="false">IFERROR(INDEX('TRANS'!$C:$C,MATCH($B1204,'TRANS'!$A:$A,0)),IFERROR(INDEX('Catalog'!$B:$B,MATCH($G1204,'Catalog'!$A:$A,0)),$B1204))</f>
        <v>212S כפפות אגודל לחץ</v>
      </c>
      <c r="I1204" s="8" t="str">
        <f aca="false">IF($G1204="","Unmatched","Matched")</f>
        <v>Matched</v>
      </c>
      <c r="J1204" s="8" t="n">
        <f aca="false">IF($G1204&lt;&gt;"",$G1204,$B1204)</f>
        <v>4411023</v>
      </c>
      <c r="K1204" s="8" t="str">
        <f aca="false">IF(COUNTIF($M$1:$M$10,$A1204)&gt;0,"Y","N")</f>
        <v>Y</v>
      </c>
    </row>
    <row r="1205" customFormat="false" ht="15" hidden="false" customHeight="true" outlineLevel="0" collapsed="false">
      <c r="A1205" s="8" t="s">
        <v>53</v>
      </c>
      <c r="B1205" s="8" t="s">
        <v>982</v>
      </c>
      <c r="C1205" s="19" t="n">
        <v>1</v>
      </c>
      <c r="D1205" s="19" t="n">
        <v>34.49</v>
      </c>
      <c r="E1205" s="19" t="n">
        <v>5</v>
      </c>
      <c r="F1205" s="19" t="n">
        <v>177.75</v>
      </c>
      <c r="G1205" s="8" t="n">
        <f aca="false">IFERROR(INDEX('TRANS'!$B:$B,MATCH($B1205,'TRANS'!$A:$A,0)),IFERROR(INDEX('TRANS'!$B:$B,MATCH(TRIM(SUBSTITUTE($B1205,CHAR(160)," ")),'TRANS'!$D:$D,0)),IFERROR(INDEX('Catalog'!$A:$A,MATCH($B1205,'Catalog'!$B:$B,0)),IFERROR(INDEX('Catalog'!$A:$A,MATCH(TRIM(SUBSTITUTE($B1205,CHAR(160)," ")),'Catalog'!$C:$C,0)),""))))</f>
        <v>4411024</v>
      </c>
      <c r="H1205" s="8" t="str">
        <f aca="false">IFERROR(INDEX('TRANS'!$C:$C,MATCH($B1205,'TRANS'!$A:$A,0)),IFERROR(INDEX('Catalog'!$B:$B,MATCH($G1205,'Catalog'!$A:$A,0)),$B1205))</f>
        <v>212XL כפפות אגודל לחץ</v>
      </c>
      <c r="I1205" s="8" t="str">
        <f aca="false">IF($G1205="","Unmatched","Matched")</f>
        <v>Matched</v>
      </c>
      <c r="J1205" s="8" t="n">
        <f aca="false">IF($G1205&lt;&gt;"",$G1205,$B1205)</f>
        <v>4411024</v>
      </c>
      <c r="K1205" s="8" t="str">
        <f aca="false">IF(COUNTIF($M$1:$M$10,$A1205)&gt;0,"Y","N")</f>
        <v>Y</v>
      </c>
    </row>
    <row r="1206" customFormat="false" ht="15" hidden="false" customHeight="true" outlineLevel="0" collapsed="false">
      <c r="A1206" s="8" t="s">
        <v>53</v>
      </c>
      <c r="B1206" s="8" t="s">
        <v>583</v>
      </c>
      <c r="C1206" s="19" t="n">
        <v>4</v>
      </c>
      <c r="D1206" s="19" t="n">
        <v>113.28</v>
      </c>
      <c r="E1206" s="19" t="n">
        <v>5</v>
      </c>
      <c r="F1206" s="19" t="n">
        <v>152.1</v>
      </c>
      <c r="G1206" s="8" t="n">
        <f aca="false">IFERROR(INDEX('TRANS'!$B:$B,MATCH($B1206,'TRANS'!$A:$A,0)),IFERROR(INDEX('TRANS'!$B:$B,MATCH(TRIM(SUBSTITUTE($B1206,CHAR(160)," ")),'TRANS'!$D:$D,0)),IFERROR(INDEX('Catalog'!$A:$A,MATCH($B1206,'Catalog'!$B:$B,0)),IFERROR(INDEX('Catalog'!$A:$A,MATCH(TRIM(SUBSTITUTE($B1206,CHAR(160)," ")),'Catalog'!$C:$C,0)),""))))</f>
        <v>4415029</v>
      </c>
      <c r="H1206" s="8" t="str">
        <f aca="false">IFERROR(INDEX('TRANS'!$C:$C,MATCH($B1206,'TRANS'!$A:$A,0)),IFERROR(INDEX('Catalog'!$B:$B,MATCH($G1206,'Catalog'!$A:$A,0)),$B1206))</f>
        <v>סד קיבוע לאצבע הדק</v>
      </c>
      <c r="I1206" s="8" t="str">
        <f aca="false">IF($G1206="","Unmatched","Matched")</f>
        <v>Matched</v>
      </c>
      <c r="J1206" s="8" t="n">
        <f aca="false">IF($G1206&lt;&gt;"",$G1206,$B1206)</f>
        <v>4415029</v>
      </c>
      <c r="K1206" s="8" t="str">
        <f aca="false">IF(COUNTIF($M$1:$M$10,$A1206)&gt;0,"Y","N")</f>
        <v>Y</v>
      </c>
    </row>
    <row r="1207" customFormat="false" ht="15" hidden="false" customHeight="true" outlineLevel="0" collapsed="false">
      <c r="A1207" s="8" t="s">
        <v>53</v>
      </c>
      <c r="B1207" s="8" t="s">
        <v>584</v>
      </c>
      <c r="C1207" s="19" t="n">
        <v>6</v>
      </c>
      <c r="D1207" s="19" t="n">
        <v>116.28</v>
      </c>
      <c r="E1207" s="19" t="n">
        <v>4</v>
      </c>
      <c r="F1207" s="19" t="n">
        <v>80.44</v>
      </c>
      <c r="G1207" s="8" t="n">
        <f aca="false">IFERROR(INDEX('TRANS'!$B:$B,MATCH($B1207,'TRANS'!$A:$A,0)),IFERROR(INDEX('TRANS'!$B:$B,MATCH(TRIM(SUBSTITUTE($B1207,CHAR(160)," ")),'TRANS'!$D:$D,0)),IFERROR(INDEX('Catalog'!$A:$A,MATCH($B1207,'Catalog'!$B:$B,0)),IFERROR(INDEX('Catalog'!$A:$A,MATCH(TRIM(SUBSTITUTE($B1207,CHAR(160)," ")),'Catalog'!$C:$C,0)),""))))</f>
        <v>4415162</v>
      </c>
      <c r="H1207" s="8" t="str">
        <f aca="false">IFERROR(INDEX('TRANS'!$C:$C,MATCH($B1207,'TRANS'!$A:$A,0)),IFERROR(INDEX('Catalog'!$B:$B,MATCH($G1207,'Catalog'!$A:$A,0)),$B1207))</f>
        <v>238L סד ליישור אצבע</v>
      </c>
      <c r="I1207" s="8" t="str">
        <f aca="false">IF($G1207="","Unmatched","Matched")</f>
        <v>Matched</v>
      </c>
      <c r="J1207" s="8" t="n">
        <f aca="false">IF($G1207&lt;&gt;"",$G1207,$B1207)</f>
        <v>4415162</v>
      </c>
      <c r="K1207" s="8" t="str">
        <f aca="false">IF(COUNTIF($M$1:$M$10,$A1207)&gt;0,"Y","N")</f>
        <v>Y</v>
      </c>
    </row>
    <row r="1208" customFormat="false" ht="15" hidden="false" customHeight="true" outlineLevel="0" collapsed="false">
      <c r="A1208" s="8" t="s">
        <v>53</v>
      </c>
      <c r="B1208" s="8" t="s">
        <v>926</v>
      </c>
      <c r="C1208" s="19" t="n">
        <v>10</v>
      </c>
      <c r="D1208" s="19" t="n">
        <v>196.74</v>
      </c>
      <c r="E1208" s="19" t="n">
        <v>5</v>
      </c>
      <c r="F1208" s="19" t="n">
        <v>100.54</v>
      </c>
      <c r="G1208" s="8" t="n">
        <f aca="false">IFERROR(INDEX('TRANS'!$B:$B,MATCH($B1208,'TRANS'!$A:$A,0)),IFERROR(INDEX('TRANS'!$B:$B,MATCH(TRIM(SUBSTITUTE($B1208,CHAR(160)," ")),'TRANS'!$D:$D,0)),IFERROR(INDEX('Catalog'!$A:$A,MATCH($B1208,'Catalog'!$B:$B,0)),IFERROR(INDEX('Catalog'!$A:$A,MATCH(TRIM(SUBSTITUTE($B1208,CHAR(160)," ")),'Catalog'!$C:$C,0)),""))))</f>
        <v>4415161</v>
      </c>
      <c r="H1208" s="8" t="str">
        <f aca="false">IFERROR(INDEX('TRANS'!$C:$C,MATCH($B1208,'TRANS'!$A:$A,0)),IFERROR(INDEX('Catalog'!$B:$B,MATCH($G1208,'Catalog'!$A:$A,0)),$B1208))</f>
        <v>238M סד ליישור אצבע</v>
      </c>
      <c r="I1208" s="8" t="str">
        <f aca="false">IF($G1208="","Unmatched","Matched")</f>
        <v>Matched</v>
      </c>
      <c r="J1208" s="8" t="n">
        <f aca="false">IF($G1208&lt;&gt;"",$G1208,$B1208)</f>
        <v>4415161</v>
      </c>
      <c r="K1208" s="8" t="str">
        <f aca="false">IF(COUNTIF($M$1:$M$10,$A1208)&gt;0,"Y","N")</f>
        <v>Y</v>
      </c>
    </row>
    <row r="1209" customFormat="false" ht="15" hidden="false" customHeight="true" outlineLevel="0" collapsed="false">
      <c r="A1209" s="8" t="s">
        <v>53</v>
      </c>
      <c r="B1209" s="8" t="s">
        <v>585</v>
      </c>
      <c r="C1209" s="19" t="n">
        <v>5</v>
      </c>
      <c r="D1209" s="19" t="n">
        <v>100.5</v>
      </c>
      <c r="E1209" s="19" t="n">
        <v>4</v>
      </c>
      <c r="F1209" s="19" t="n">
        <v>80.42</v>
      </c>
      <c r="G1209" s="8" t="n">
        <f aca="false">IFERROR(INDEX('TRANS'!$B:$B,MATCH($B1209,'TRANS'!$A:$A,0)),IFERROR(INDEX('TRANS'!$B:$B,MATCH(TRIM(SUBSTITUTE($B1209,CHAR(160)," ")),'TRANS'!$D:$D,0)),IFERROR(INDEX('Catalog'!$A:$A,MATCH($B1209,'Catalog'!$B:$B,0)),IFERROR(INDEX('Catalog'!$A:$A,MATCH(TRIM(SUBSTITUTE($B1209,CHAR(160)," ")),'Catalog'!$C:$C,0)),""))))</f>
        <v>4415160</v>
      </c>
      <c r="H1209" s="8" t="str">
        <f aca="false">IFERROR(INDEX('TRANS'!$C:$C,MATCH($B1209,'TRANS'!$A:$A,0)),IFERROR(INDEX('Catalog'!$B:$B,MATCH($G1209,'Catalog'!$A:$A,0)),$B1209))</f>
        <v>238S סד ליישור אצבע</v>
      </c>
      <c r="I1209" s="8" t="str">
        <f aca="false">IF($G1209="","Unmatched","Matched")</f>
        <v>Matched</v>
      </c>
      <c r="J1209" s="8" t="n">
        <f aca="false">IF($G1209&lt;&gt;"",$G1209,$B1209)</f>
        <v>4415160</v>
      </c>
      <c r="K1209" s="8" t="str">
        <f aca="false">IF(COUNTIF($M$1:$M$10,$A1209)&gt;0,"Y","N")</f>
        <v>Y</v>
      </c>
    </row>
    <row r="1210" customFormat="false" ht="15" hidden="false" customHeight="true" outlineLevel="0" collapsed="false">
      <c r="A1210" s="8" t="s">
        <v>53</v>
      </c>
      <c r="B1210" s="8" t="s">
        <v>927</v>
      </c>
      <c r="C1210" s="19" t="n">
        <v>5</v>
      </c>
      <c r="D1210" s="19" t="n">
        <v>100.55</v>
      </c>
      <c r="E1210" s="19" t="n">
        <v>5</v>
      </c>
      <c r="F1210" s="19" t="n">
        <v>100.55</v>
      </c>
      <c r="G1210" s="8" t="n">
        <f aca="false">IFERROR(INDEX('TRANS'!$B:$B,MATCH($B1210,'TRANS'!$A:$A,0)),IFERROR(INDEX('TRANS'!$B:$B,MATCH(TRIM(SUBSTITUTE($B1210,CHAR(160)," ")),'TRANS'!$D:$D,0)),IFERROR(INDEX('Catalog'!$A:$A,MATCH($B1210,'Catalog'!$B:$B,0)),IFERROR(INDEX('Catalog'!$A:$A,MATCH(TRIM(SUBSTITUTE($B1210,CHAR(160)," ")),'Catalog'!$C:$C,0)),""))))</f>
        <v>4415163</v>
      </c>
      <c r="H1210" s="8" t="str">
        <f aca="false">IFERROR(INDEX('TRANS'!$C:$C,MATCH($B1210,'TRANS'!$A:$A,0)),IFERROR(INDEX('Catalog'!$B:$B,MATCH($G1210,'Catalog'!$A:$A,0)),$B1210))</f>
        <v>238XL סד ליישור אצבע</v>
      </c>
      <c r="I1210" s="8" t="str">
        <f aca="false">IF($G1210="","Unmatched","Matched")</f>
        <v>Matched</v>
      </c>
      <c r="J1210" s="8" t="n">
        <f aca="false">IF($G1210&lt;&gt;"",$G1210,$B1210)</f>
        <v>4415163</v>
      </c>
      <c r="K1210" s="8" t="str">
        <f aca="false">IF(COUNTIF($M$1:$M$10,$A1210)&gt;0,"Y","N")</f>
        <v>Y</v>
      </c>
    </row>
    <row r="1211" customFormat="false" ht="15" hidden="false" customHeight="true" outlineLevel="0" collapsed="false">
      <c r="A1211" s="8" t="s">
        <v>53</v>
      </c>
      <c r="B1211" s="8" t="s">
        <v>592</v>
      </c>
      <c r="C1211" s="19" t="n">
        <v>18</v>
      </c>
      <c r="D1211" s="19" t="n">
        <v>1075.39</v>
      </c>
      <c r="E1211" s="19" t="n">
        <v>9</v>
      </c>
      <c r="F1211" s="19" t="n">
        <v>598.9</v>
      </c>
      <c r="G1211" s="8" t="n">
        <f aca="false">IFERROR(INDEX('TRANS'!$B:$B,MATCH($B1211,'TRANS'!$A:$A,0)),IFERROR(INDEX('TRANS'!$B:$B,MATCH(TRIM(SUBSTITUTE($B1211,CHAR(160)," ")),'TRANS'!$D:$D,0)),IFERROR(INDEX('Catalog'!$A:$A,MATCH($B1211,'Catalog'!$B:$B,0)),IFERROR(INDEX('Catalog'!$A:$A,MATCH(TRIM(SUBSTITUTE($B1211,CHAR(160)," ")),'Catalog'!$C:$C,0)),""))))</f>
        <v>4415158</v>
      </c>
      <c r="H1211" s="8" t="str">
        <f aca="false">IFERROR(INDEX('TRANS'!$C:$C,MATCH($B1211,'TRANS'!$A:$A,0)),IFERROR(INDEX('Catalog'!$B:$B,MATCH($G1211,'Catalog'!$A:$A,0)),$B1211))</f>
        <v>266 סד ליד דו צדדי</v>
      </c>
      <c r="I1211" s="8" t="str">
        <f aca="false">IF($G1211="","Unmatched","Matched")</f>
        <v>Matched</v>
      </c>
      <c r="J1211" s="8" t="n">
        <f aca="false">IF($G1211&lt;&gt;"",$G1211,$B1211)</f>
        <v>4415158</v>
      </c>
      <c r="K1211" s="8" t="str">
        <f aca="false">IF(COUNTIF($M$1:$M$10,$A1211)&gt;0,"Y","N")</f>
        <v>Y</v>
      </c>
    </row>
    <row r="1212" customFormat="false" ht="15" hidden="false" customHeight="true" outlineLevel="0" collapsed="false">
      <c r="A1212" s="8" t="s">
        <v>53</v>
      </c>
      <c r="B1212" s="8" t="s">
        <v>593</v>
      </c>
      <c r="C1212" s="19" t="n">
        <v>13</v>
      </c>
      <c r="D1212" s="19" t="n">
        <v>964.99</v>
      </c>
      <c r="E1212" s="19" t="n">
        <v>9</v>
      </c>
      <c r="F1212" s="19" t="n">
        <v>615</v>
      </c>
      <c r="G1212" s="8" t="n">
        <f aca="false">IFERROR(INDEX('TRANS'!$B:$B,MATCH($B1212,'TRANS'!$A:$A,0)),IFERROR(INDEX('TRANS'!$B:$B,MATCH(TRIM(SUBSTITUTE($B1212,CHAR(160)," ")),'TRANS'!$D:$D,0)),IFERROR(INDEX('Catalog'!$A:$A,MATCH($B1212,'Catalog'!$B:$B,0)),IFERROR(INDEX('Catalog'!$A:$A,MATCH(TRIM(SUBSTITUTE($B1212,CHAR(160)," ")),'Catalog'!$C:$C,0)),""))))</f>
        <v>4415159</v>
      </c>
      <c r="H1212" s="8" t="str">
        <f aca="false">IFERROR(INDEX('TRANS'!$C:$C,MATCH($B1212,'TRANS'!$A:$A,0)),IFERROR(INDEX('Catalog'!$B:$B,MATCH($G1212,'Catalog'!$A:$A,0)),$B1212))</f>
        <v>268 סד לאגודל</v>
      </c>
      <c r="I1212" s="8" t="str">
        <f aca="false">IF($G1212="","Unmatched","Matched")</f>
        <v>Matched</v>
      </c>
      <c r="J1212" s="8" t="n">
        <f aca="false">IF($G1212&lt;&gt;"",$G1212,$B1212)</f>
        <v>4415159</v>
      </c>
      <c r="K1212" s="8" t="str">
        <f aca="false">IF(COUNTIF($M$1:$M$10,$A1212)&gt;0,"Y","N")</f>
        <v>Y</v>
      </c>
    </row>
    <row r="1213" customFormat="false" ht="15" hidden="false" customHeight="true" outlineLevel="0" collapsed="false">
      <c r="A1213" s="8" t="s">
        <v>53</v>
      </c>
      <c r="B1213" s="8" t="s">
        <v>595</v>
      </c>
      <c r="C1213" s="19" t="n">
        <v>34</v>
      </c>
      <c r="D1213" s="19" t="n">
        <v>1941.71</v>
      </c>
      <c r="E1213" s="19" t="n">
        <v>0</v>
      </c>
      <c r="F1213" s="19" t="n">
        <v>0</v>
      </c>
      <c r="G1213" s="8" t="n">
        <f aca="false">IFERROR(INDEX('TRANS'!$B:$B,MATCH($B1213,'TRANS'!$A:$A,0)),IFERROR(INDEX('TRANS'!$B:$B,MATCH(TRIM(SUBSTITUTE($B1213,CHAR(160)," ")),'TRANS'!$D:$D,0)),IFERROR(INDEX('Catalog'!$A:$A,MATCH($B1213,'Catalog'!$B:$B,0)),IFERROR(INDEX('Catalog'!$A:$A,MATCH(TRIM(SUBSTITUTE($B1213,CHAR(160)," ")),'Catalog'!$C:$C,0)),""))))</f>
        <v>4413348</v>
      </c>
      <c r="H1213" s="8" t="str">
        <f aca="false">IFERROR(INDEX('TRANS'!$C:$C,MATCH($B1213,'TRANS'!$A:$A,0)),IFERROR(INDEX('Catalog'!$B:$B,MATCH($G1213,'Catalog'!$A:$A,0)),$B1213))</f>
        <v>302 מדרס ג'ל לגבר</v>
      </c>
      <c r="I1213" s="8" t="str">
        <f aca="false">IF($G1213="","Unmatched","Matched")</f>
        <v>Matched</v>
      </c>
      <c r="J1213" s="8" t="n">
        <f aca="false">IF($G1213&lt;&gt;"",$G1213,$B1213)</f>
        <v>4413348</v>
      </c>
      <c r="K1213" s="8" t="str">
        <f aca="false">IF(COUNTIF($M$1:$M$10,$A1213)&gt;0,"Y","N")</f>
        <v>Y</v>
      </c>
    </row>
    <row r="1214" customFormat="false" ht="15" hidden="false" customHeight="true" outlineLevel="0" collapsed="false">
      <c r="A1214" s="8" t="s">
        <v>53</v>
      </c>
      <c r="B1214" s="8" t="s">
        <v>596</v>
      </c>
      <c r="C1214" s="19" t="n">
        <v>24</v>
      </c>
      <c r="D1214" s="19" t="n">
        <v>1391.21</v>
      </c>
      <c r="E1214" s="19" t="n">
        <v>0</v>
      </c>
      <c r="F1214" s="19" t="n">
        <v>0</v>
      </c>
      <c r="G1214" s="8" t="n">
        <f aca="false">IFERROR(INDEX('TRANS'!$B:$B,MATCH($B1214,'TRANS'!$A:$A,0)),IFERROR(INDEX('TRANS'!$B:$B,MATCH(TRIM(SUBSTITUTE($B1214,CHAR(160)," ")),'TRANS'!$D:$D,0)),IFERROR(INDEX('Catalog'!$A:$A,MATCH($B1214,'Catalog'!$B:$B,0)),IFERROR(INDEX('Catalog'!$A:$A,MATCH(TRIM(SUBSTITUTE($B1214,CHAR(160)," ")),'Catalog'!$C:$C,0)),""))))</f>
        <v>4413372</v>
      </c>
      <c r="H1214" s="8" t="str">
        <f aca="false">IFERROR(INDEX('TRANS'!$C:$C,MATCH($B1214,'TRANS'!$A:$A,0)),IFERROR(INDEX('Catalog'!$B:$B,MATCH($G1214,'Catalog'!$A:$A,0)),$B1214))</f>
        <v>302 W מדרס לאישה</v>
      </c>
      <c r="I1214" s="8" t="str">
        <f aca="false">IF($G1214="","Unmatched","Matched")</f>
        <v>Matched</v>
      </c>
      <c r="J1214" s="8" t="n">
        <f aca="false">IF($G1214&lt;&gt;"",$G1214,$B1214)</f>
        <v>4413372</v>
      </c>
      <c r="K1214" s="8" t="str">
        <f aca="false">IF(COUNTIF($M$1:$M$10,$A1214)&gt;0,"Y","N")</f>
        <v>Y</v>
      </c>
    </row>
    <row r="1215" customFormat="false" ht="15" hidden="false" customHeight="true" outlineLevel="0" collapsed="false">
      <c r="A1215" s="8" t="s">
        <v>53</v>
      </c>
      <c r="B1215" s="8" t="s">
        <v>199</v>
      </c>
      <c r="C1215" s="19" t="n">
        <v>0</v>
      </c>
      <c r="D1215" s="19" t="n">
        <v>0</v>
      </c>
      <c r="E1215" s="19" t="n">
        <v>1</v>
      </c>
      <c r="F1215" s="19" t="n">
        <v>135</v>
      </c>
      <c r="G1215" s="8" t="str">
        <f aca="false">IFERROR(INDEX('TRANS'!$B:$B,MATCH($B1215,'TRANS'!$A:$A,0)),IFERROR(INDEX('TRANS'!$B:$B,MATCH(TRIM(SUBSTITUTE($B1215,CHAR(160)," ")),'TRANS'!$D:$D,0)),IFERROR(INDEX('Catalog'!$A:$A,MATCH($B1215,'Catalog'!$B:$B,0)),IFERROR(INDEX('Catalog'!$A:$A,MATCH(TRIM(SUBSTITUTE($B1215,CHAR(160)," ")),'Catalog'!$C:$C,0)),""))))</f>
        <v/>
      </c>
      <c r="H1215" s="8" t="str">
        <f aca="false">IFERROR(INDEX('TRANS'!$C:$C,MATCH($B1215,'TRANS'!$A:$A,0)),IFERROR(INDEX('Catalog'!$B:$B,MATCH($G1215,'Catalog'!$A:$A,0)),$B1215))</f>
        <v>32 L</v>
      </c>
      <c r="I1215" s="8" t="str">
        <f aca="false">IF($G1215="","Unmatched","Matched")</f>
        <v>Unmatched</v>
      </c>
      <c r="J1215" s="8" t="str">
        <f aca="false">IF($G1215&lt;&gt;"",$G1215,$B1215)</f>
        <v>32 L</v>
      </c>
      <c r="K1215" s="8" t="str">
        <f aca="false">IF(COUNTIF($M$1:$M$10,$A1215)&gt;0,"Y","N")</f>
        <v>Y</v>
      </c>
    </row>
    <row r="1216" customFormat="false" ht="15" hidden="false" customHeight="true" outlineLevel="0" collapsed="false">
      <c r="A1216" s="8" t="s">
        <v>53</v>
      </c>
      <c r="B1216" s="8" t="s">
        <v>354</v>
      </c>
      <c r="C1216" s="19" t="n">
        <v>0</v>
      </c>
      <c r="D1216" s="19" t="n">
        <v>0</v>
      </c>
      <c r="E1216" s="19" t="n">
        <v>1</v>
      </c>
      <c r="F1216" s="19" t="n">
        <v>134.99</v>
      </c>
      <c r="G1216" s="8" t="str">
        <f aca="false">IFERROR(INDEX('TRANS'!$B:$B,MATCH($B1216,'TRANS'!$A:$A,0)),IFERROR(INDEX('TRANS'!$B:$B,MATCH(TRIM(SUBSTITUTE($B1216,CHAR(160)," ")),'TRANS'!$D:$D,0)),IFERROR(INDEX('Catalog'!$A:$A,MATCH($B1216,'Catalog'!$B:$B,0)),IFERROR(INDEX('Catalog'!$A:$A,MATCH(TRIM(SUBSTITUTE($B1216,CHAR(160)," ")),'Catalog'!$C:$C,0)),""))))</f>
        <v/>
      </c>
      <c r="H1216" s="8" t="str">
        <f aca="false">IFERROR(INDEX('TRANS'!$C:$C,MATCH($B1216,'TRANS'!$A:$A,0)),IFERROR(INDEX('Catalog'!$B:$B,MATCH($G1216,'Catalog'!$A:$A,0)),$B1216))</f>
        <v>32 S</v>
      </c>
      <c r="I1216" s="8" t="str">
        <f aca="false">IF($G1216="","Unmatched","Matched")</f>
        <v>Unmatched</v>
      </c>
      <c r="J1216" s="8" t="str">
        <f aca="false">IF($G1216&lt;&gt;"",$G1216,$B1216)</f>
        <v>32 S</v>
      </c>
      <c r="K1216" s="8" t="str">
        <f aca="false">IF(COUNTIF($M$1:$M$10,$A1216)&gt;0,"Y","N")</f>
        <v>Y</v>
      </c>
    </row>
    <row r="1217" customFormat="false" ht="15" hidden="false" customHeight="true" outlineLevel="0" collapsed="false">
      <c r="A1217" s="8" t="s">
        <v>53</v>
      </c>
      <c r="B1217" s="8" t="s">
        <v>289</v>
      </c>
      <c r="C1217" s="19" t="n">
        <v>0</v>
      </c>
      <c r="D1217" s="19" t="n">
        <v>0</v>
      </c>
      <c r="E1217" s="19" t="n">
        <v>2</v>
      </c>
      <c r="F1217" s="19" t="n">
        <v>270</v>
      </c>
      <c r="G1217" s="8" t="str">
        <f aca="false">IFERROR(INDEX('TRANS'!$B:$B,MATCH($B1217,'TRANS'!$A:$A,0)),IFERROR(INDEX('TRANS'!$B:$B,MATCH(TRIM(SUBSTITUTE($B1217,CHAR(160)," ")),'TRANS'!$D:$D,0)),IFERROR(INDEX('Catalog'!$A:$A,MATCH($B1217,'Catalog'!$B:$B,0)),IFERROR(INDEX('Catalog'!$A:$A,MATCH(TRIM(SUBSTITUTE($B1217,CHAR(160)," ")),'Catalog'!$C:$C,0)),""))))</f>
        <v/>
      </c>
      <c r="H1217" s="8" t="str">
        <f aca="false">IFERROR(INDEX('TRANS'!$C:$C,MATCH($B1217,'TRANS'!$A:$A,0)),IFERROR(INDEX('Catalog'!$B:$B,MATCH($G1217,'Catalog'!$A:$A,0)),$B1217))</f>
        <v>32 XXL</v>
      </c>
      <c r="I1217" s="8" t="str">
        <f aca="false">IF($G1217="","Unmatched","Matched")</f>
        <v>Unmatched</v>
      </c>
      <c r="J1217" s="8" t="str">
        <f aca="false">IF($G1217&lt;&gt;"",$G1217,$B1217)</f>
        <v>32 XXL</v>
      </c>
      <c r="K1217" s="8" t="str">
        <f aca="false">IF(COUNTIF($M$1:$M$10,$A1217)&gt;0,"Y","N")</f>
        <v>Y</v>
      </c>
    </row>
    <row r="1218" customFormat="false" ht="15" hidden="false" customHeight="true" outlineLevel="0" collapsed="false">
      <c r="A1218" s="8" t="s">
        <v>53</v>
      </c>
      <c r="B1218" s="8" t="s">
        <v>867</v>
      </c>
      <c r="C1218" s="19" t="n">
        <v>4</v>
      </c>
      <c r="D1218" s="19" t="n">
        <v>443.94</v>
      </c>
      <c r="E1218" s="19" t="n">
        <v>0</v>
      </c>
      <c r="F1218" s="19" t="n">
        <v>0</v>
      </c>
      <c r="G1218" s="8" t="n">
        <f aca="false">IFERROR(INDEX('TRANS'!$B:$B,MATCH($B1218,'TRANS'!$A:$A,0)),IFERROR(INDEX('TRANS'!$B:$B,MATCH(TRIM(SUBSTITUTE($B1218,CHAR(160)," ")),'TRANS'!$D:$D,0)),IFERROR(INDEX('Catalog'!$A:$A,MATCH($B1218,'Catalog'!$B:$B,0)),IFERROR(INDEX('Catalog'!$A:$A,MATCH(TRIM(SUBSTITUTE($B1218,CHAR(160)," ")),'Catalog'!$C:$C,0)),""))))</f>
        <v>4415019</v>
      </c>
      <c r="H1218" s="8" t="str">
        <f aca="false">IFERROR(INDEX('TRANS'!$C:$C,MATCH($B1218,'TRANS'!$A:$A,0)),IFERROR(INDEX('Catalog'!$B:$B,MATCH($G1218,'Catalog'!$A:$A,0)),$B1218))</f>
        <v>333 סד לקרסול עם כריות אויר</v>
      </c>
      <c r="I1218" s="8" t="str">
        <f aca="false">IF($G1218="","Unmatched","Matched")</f>
        <v>Matched</v>
      </c>
      <c r="J1218" s="8" t="n">
        <f aca="false">IF($G1218&lt;&gt;"",$G1218,$B1218)</f>
        <v>4415019</v>
      </c>
      <c r="K1218" s="8" t="str">
        <f aca="false">IF(COUNTIF($M$1:$M$10,$A1218)&gt;0,"Y","N")</f>
        <v>Y</v>
      </c>
    </row>
    <row r="1219" customFormat="false" ht="15" hidden="false" customHeight="true" outlineLevel="0" collapsed="false">
      <c r="A1219" s="8" t="s">
        <v>53</v>
      </c>
      <c r="B1219" s="8" t="s">
        <v>791</v>
      </c>
      <c r="C1219" s="19" t="n">
        <v>2</v>
      </c>
      <c r="D1219" s="19" t="n">
        <v>74.91</v>
      </c>
      <c r="E1219" s="19" t="n">
        <v>4</v>
      </c>
      <c r="F1219" s="19" t="n">
        <v>149.82</v>
      </c>
      <c r="G1219" s="8" t="n">
        <f aca="false">IFERROR(INDEX('TRANS'!$B:$B,MATCH($B1219,'TRANS'!$A:$A,0)),IFERROR(INDEX('TRANS'!$B:$B,MATCH(TRIM(SUBSTITUTE($B1219,CHAR(160)," ")),'TRANS'!$D:$D,0)),IFERROR(INDEX('Catalog'!$A:$A,MATCH($B1219,'Catalog'!$B:$B,0)),IFERROR(INDEX('Catalog'!$A:$A,MATCH(TRIM(SUBSTITUTE($B1219,CHAR(160)," ")),'Catalog'!$C:$C,0)),""))))</f>
        <v>4403040</v>
      </c>
      <c r="H1219" s="8" t="str">
        <f aca="false">IFERROR(INDEX('TRANS'!$C:$C,MATCH($B1219,'TRANS'!$A:$A,0)),IFERROR(INDEX('Catalog'!$B:$B,MATCH($G1219,'Catalog'!$A:$A,0)),$B1219))</f>
        <v>3444B גרבי ג'ל לריכוך עור העקב</v>
      </c>
      <c r="I1219" s="8" t="str">
        <f aca="false">IF($G1219="","Unmatched","Matched")</f>
        <v>Matched</v>
      </c>
      <c r="J1219" s="8" t="n">
        <f aca="false">IF($G1219&lt;&gt;"",$G1219,$B1219)</f>
        <v>4403040</v>
      </c>
      <c r="K1219" s="8" t="str">
        <f aca="false">IF(COUNTIF($M$1:$M$10,$A1219)&gt;0,"Y","N")</f>
        <v>Y</v>
      </c>
    </row>
    <row r="1220" customFormat="false" ht="15" hidden="false" customHeight="true" outlineLevel="0" collapsed="false">
      <c r="A1220" s="8" t="s">
        <v>53</v>
      </c>
      <c r="B1220" s="8" t="s">
        <v>624</v>
      </c>
      <c r="C1220" s="19" t="n">
        <v>4</v>
      </c>
      <c r="D1220" s="19" t="n">
        <v>187.29</v>
      </c>
      <c r="E1220" s="19" t="n">
        <v>5</v>
      </c>
      <c r="F1220" s="19" t="n">
        <v>202.9</v>
      </c>
      <c r="G1220" s="8" t="n">
        <f aca="false">IFERROR(INDEX('TRANS'!$B:$B,MATCH($B1220,'TRANS'!$A:$A,0)),IFERROR(INDEX('TRANS'!$B:$B,MATCH(TRIM(SUBSTITUTE($B1220,CHAR(160)," ")),'TRANS'!$D:$D,0)),IFERROR(INDEX('Catalog'!$A:$A,MATCH($B1220,'Catalog'!$B:$B,0)),IFERROR(INDEX('Catalog'!$A:$A,MATCH(TRIM(SUBSTITUTE($B1220,CHAR(160)," ")),'Catalog'!$C:$C,0)),""))))</f>
        <v>4421008</v>
      </c>
      <c r="H1220" s="8" t="str">
        <f aca="false">IFERROR(INDEX('TRANS'!$C:$C,MATCH($B1220,'TRANS'!$A:$A,0)),IFERROR(INDEX('Catalog'!$B:$B,MATCH($G1220,'Catalog'!$A:$A,0)),$B1220))</f>
        <v>שרוול לגבס ארוך רגל</v>
      </c>
      <c r="I1220" s="8" t="str">
        <f aca="false">IF($G1220="","Unmatched","Matched")</f>
        <v>Matched</v>
      </c>
      <c r="J1220" s="8" t="n">
        <f aca="false">IF($G1220&lt;&gt;"",$G1220,$B1220)</f>
        <v>4421008</v>
      </c>
      <c r="K1220" s="8" t="str">
        <f aca="false">IF(COUNTIF($M$1:$M$10,$A1220)&gt;0,"Y","N")</f>
        <v>Y</v>
      </c>
    </row>
    <row r="1221" customFormat="false" ht="15" hidden="false" customHeight="true" outlineLevel="0" collapsed="false">
      <c r="A1221" s="8" t="s">
        <v>53</v>
      </c>
      <c r="B1221" s="8" t="s">
        <v>626</v>
      </c>
      <c r="C1221" s="19" t="n">
        <v>5</v>
      </c>
      <c r="D1221" s="19" t="n">
        <v>139.93</v>
      </c>
      <c r="E1221" s="19" t="n">
        <v>0</v>
      </c>
      <c r="F1221" s="19" t="n">
        <v>0</v>
      </c>
      <c r="G1221" s="8" t="n">
        <f aca="false">IFERROR(INDEX('TRANS'!$B:$B,MATCH($B1221,'TRANS'!$A:$A,0)),IFERROR(INDEX('TRANS'!$B:$B,MATCH(TRIM(SUBSTITUTE($B1221,CHAR(160)," ")),'TRANS'!$D:$D,0)),IFERROR(INDEX('Catalog'!$A:$A,MATCH($B1221,'Catalog'!$B:$B,0)),IFERROR(INDEX('Catalog'!$A:$A,MATCH(TRIM(SUBSTITUTE($B1221,CHAR(160)," ")),'Catalog'!$C:$C,0)),""))))</f>
        <v>4411000</v>
      </c>
      <c r="H1221" s="8" t="str">
        <f aca="false">IFERROR(INDEX('TRANS'!$C:$C,MATCH($B1221,'TRANS'!$A:$A,0)),IFERROR(INDEX('Catalog'!$B:$B,MATCH($G1221,'Catalog'!$A:$A,0)),$B1221))</f>
        <v>כרית מטטרזלי סיליקון362</v>
      </c>
      <c r="I1221" s="8" t="str">
        <f aca="false">IF($G1221="","Unmatched","Matched")</f>
        <v>Matched</v>
      </c>
      <c r="J1221" s="8" t="n">
        <f aca="false">IF($G1221&lt;&gt;"",$G1221,$B1221)</f>
        <v>4411000</v>
      </c>
      <c r="K1221" s="8" t="str">
        <f aca="false">IF(COUNTIF($M$1:$M$10,$A1221)&gt;0,"Y","N")</f>
        <v>Y</v>
      </c>
    </row>
    <row r="1222" customFormat="false" ht="15" hidden="false" customHeight="true" outlineLevel="0" collapsed="false">
      <c r="A1222" s="8" t="s">
        <v>53</v>
      </c>
      <c r="B1222" s="8" t="s">
        <v>634</v>
      </c>
      <c r="C1222" s="19" t="n">
        <v>2</v>
      </c>
      <c r="D1222" s="19" t="n">
        <v>133.02</v>
      </c>
      <c r="E1222" s="19" t="n">
        <v>0</v>
      </c>
      <c r="F1222" s="19" t="n">
        <v>0</v>
      </c>
      <c r="G1222" s="8" t="n">
        <f aca="false">IFERROR(INDEX('TRANS'!$B:$B,MATCH($B1222,'TRANS'!$A:$A,0)),IFERROR(INDEX('TRANS'!$B:$B,MATCH(TRIM(SUBSTITUTE($B1222,CHAR(160)," ")),'TRANS'!$D:$D,0)),IFERROR(INDEX('Catalog'!$A:$A,MATCH($B1222,'Catalog'!$B:$B,0)),IFERROR(INDEX('Catalog'!$A:$A,MATCH(TRIM(SUBSTITUTE($B1222,CHAR(160)," ")),'Catalog'!$C:$C,0)),""))))</f>
        <v>4413340</v>
      </c>
      <c r="H1222" s="8" t="str">
        <f aca="false">IFERROR(INDEX('TRANS'!$C:$C,MATCH($B1222,'TRANS'!$A:$A,0)),IFERROR(INDEX('Catalog'!$B:$B,MATCH($G1222,'Catalog'!$A:$A,0)),$B1222))</f>
        <v>3666 מפריד הלוקס</v>
      </c>
      <c r="I1222" s="8" t="str">
        <f aca="false">IF($G1222="","Unmatched","Matched")</f>
        <v>Matched</v>
      </c>
      <c r="J1222" s="8" t="n">
        <f aca="false">IF($G1222&lt;&gt;"",$G1222,$B1222)</f>
        <v>4413340</v>
      </c>
      <c r="K1222" s="8" t="str">
        <f aca="false">IF(COUNTIF($M$1:$M$10,$A1222)&gt;0,"Y","N")</f>
        <v>Y</v>
      </c>
    </row>
    <row r="1223" customFormat="false" ht="15" hidden="false" customHeight="true" outlineLevel="0" collapsed="false">
      <c r="A1223" s="8" t="s">
        <v>53</v>
      </c>
      <c r="B1223" s="8" t="s">
        <v>637</v>
      </c>
      <c r="C1223" s="19" t="n">
        <v>7</v>
      </c>
      <c r="D1223" s="19" t="n">
        <v>247.19</v>
      </c>
      <c r="E1223" s="19" t="n">
        <v>2</v>
      </c>
      <c r="F1223" s="19" t="n">
        <v>74.91</v>
      </c>
      <c r="G1223" s="8" t="n">
        <f aca="false">IFERROR(INDEX('TRANS'!$B:$B,MATCH($B1223,'TRANS'!$A:$A,0)),IFERROR(INDEX('TRANS'!$B:$B,MATCH(TRIM(SUBSTITUTE($B1223,CHAR(160)," ")),'TRANS'!$D:$D,0)),IFERROR(INDEX('Catalog'!$A:$A,MATCH($B1223,'Catalog'!$B:$B,0)),IFERROR(INDEX('Catalog'!$A:$A,MATCH(TRIM(SUBSTITUTE($B1223,CHAR(160)," ")),'Catalog'!$C:$C,0)),""))))</f>
        <v>4421003</v>
      </c>
      <c r="H1223" s="8" t="str">
        <f aca="false">IFERROR(INDEX('TRANS'!$C:$C,MATCH($B1223,'TRANS'!$A:$A,0)),IFERROR(INDEX('Catalog'!$B:$B,MATCH($G1223,'Catalog'!$A:$A,0)),$B1223))</f>
        <v>3672 שרוול מגן לבוניון</v>
      </c>
      <c r="I1223" s="8" t="str">
        <f aca="false">IF($G1223="","Unmatched","Matched")</f>
        <v>Matched</v>
      </c>
      <c r="J1223" s="8" t="n">
        <f aca="false">IF($G1223&lt;&gt;"",$G1223,$B1223)</f>
        <v>4421003</v>
      </c>
      <c r="K1223" s="8" t="str">
        <f aca="false">IF(COUNTIF($M$1:$M$10,$A1223)&gt;0,"Y","N")</f>
        <v>Y</v>
      </c>
    </row>
    <row r="1224" customFormat="false" ht="15" hidden="false" customHeight="true" outlineLevel="0" collapsed="false">
      <c r="A1224" s="8" t="s">
        <v>53</v>
      </c>
      <c r="B1224" s="8" t="s">
        <v>649</v>
      </c>
      <c r="C1224" s="19" t="n">
        <v>13</v>
      </c>
      <c r="D1224" s="19" t="n">
        <v>614.63</v>
      </c>
      <c r="E1224" s="19" t="n">
        <v>6</v>
      </c>
      <c r="F1224" s="19" t="n">
        <v>283.77</v>
      </c>
      <c r="G1224" s="8" t="n">
        <f aca="false">IFERROR(INDEX('TRANS'!$B:$B,MATCH($B1224,'TRANS'!$A:$A,0)),IFERROR(INDEX('TRANS'!$B:$B,MATCH(TRIM(SUBSTITUTE($B1224,CHAR(160)," ")),'TRANS'!$D:$D,0)),IFERROR(INDEX('Catalog'!$A:$A,MATCH($B1224,'Catalog'!$B:$B,0)),IFERROR(INDEX('Catalog'!$A:$A,MATCH(TRIM(SUBSTITUTE($B1224,CHAR(160)," ")),'Catalog'!$C:$C,0)),""))))</f>
        <v>4413452</v>
      </c>
      <c r="H1224" s="8" t="str">
        <f aca="false">IFERROR(INDEX('TRANS'!$C:$C,MATCH($B1224,'TRANS'!$A:$A,0)),IFERROR(INDEX('Catalog'!$B:$B,MATCH($G1224,'Catalog'!$A:$A,0)),$B1224))</f>
        <v>386  מיישר בוניון-האלוקס ולגוס</v>
      </c>
      <c r="I1224" s="8" t="str">
        <f aca="false">IF($G1224="","Unmatched","Matched")</f>
        <v>Matched</v>
      </c>
      <c r="J1224" s="8" t="n">
        <f aca="false">IF($G1224&lt;&gt;"",$G1224,$B1224)</f>
        <v>4413452</v>
      </c>
      <c r="K1224" s="8" t="str">
        <f aca="false">IF(COUNTIF($M$1:$M$10,$A1224)&gt;0,"Y","N")</f>
        <v>Y</v>
      </c>
    </row>
    <row r="1225" customFormat="false" ht="15" hidden="false" customHeight="true" outlineLevel="0" collapsed="false">
      <c r="A1225" s="8" t="s">
        <v>53</v>
      </c>
      <c r="B1225" s="8" t="s">
        <v>658</v>
      </c>
      <c r="C1225" s="19" t="n">
        <v>10</v>
      </c>
      <c r="D1225" s="19" t="n">
        <v>224.99</v>
      </c>
      <c r="E1225" s="19" t="n">
        <v>0</v>
      </c>
      <c r="F1225" s="19" t="n">
        <v>0</v>
      </c>
      <c r="G1225" s="8" t="n">
        <f aca="false">IFERROR(INDEX('TRANS'!$B:$B,MATCH($B1225,'TRANS'!$A:$A,0)),IFERROR(INDEX('TRANS'!$B:$B,MATCH(TRIM(SUBSTITUTE($B1225,CHAR(160)," ")),'TRANS'!$D:$D,0)),IFERROR(INDEX('Catalog'!$A:$A,MATCH($B1225,'Catalog'!$B:$B,0)),IFERROR(INDEX('Catalog'!$A:$A,MATCH(TRIM(SUBSTITUTE($B1225,CHAR(160)," ")),'Catalog'!$C:$C,0)),""))))</f>
        <v>4403017</v>
      </c>
      <c r="H1225" s="8" t="str">
        <f aca="false">IFERROR(INDEX('TRANS'!$C:$C,MATCH($B1225,'TRANS'!$A:$A,0)),IFERROR(INDEX('Catalog'!$B:$B,MATCH($G1225,'Catalog'!$A:$A,0)),$B1225))</f>
        <v>394B גרב.כסף לסכרתים שחור35-38</v>
      </c>
      <c r="I1225" s="8" t="str">
        <f aca="false">IF($G1225="","Unmatched","Matched")</f>
        <v>Matched</v>
      </c>
      <c r="J1225" s="8" t="n">
        <f aca="false">IF($G1225&lt;&gt;"",$G1225,$B1225)</f>
        <v>4403017</v>
      </c>
      <c r="K1225" s="8" t="str">
        <f aca="false">IF(COUNTIF($M$1:$M$10,$A1225)&gt;0,"Y","N")</f>
        <v>Y</v>
      </c>
    </row>
    <row r="1226" customFormat="false" ht="15" hidden="false" customHeight="true" outlineLevel="0" collapsed="false">
      <c r="A1226" s="8" t="s">
        <v>53</v>
      </c>
      <c r="B1226" s="8" t="s">
        <v>659</v>
      </c>
      <c r="C1226" s="19" t="n">
        <v>10</v>
      </c>
      <c r="D1226" s="19" t="n">
        <v>224.99</v>
      </c>
      <c r="E1226" s="19" t="n">
        <v>0</v>
      </c>
      <c r="F1226" s="19" t="n">
        <v>0</v>
      </c>
      <c r="G1226" s="8" t="n">
        <f aca="false">IFERROR(INDEX('TRANS'!$B:$B,MATCH($B1226,'TRANS'!$A:$A,0)),IFERROR(INDEX('TRANS'!$B:$B,MATCH(TRIM(SUBSTITUTE($B1226,CHAR(160)," ")),'TRANS'!$D:$D,0)),IFERROR(INDEX('Catalog'!$A:$A,MATCH($B1226,'Catalog'!$B:$B,0)),IFERROR(INDEX('Catalog'!$A:$A,MATCH(TRIM(SUBSTITUTE($B1226,CHAR(160)," ")),'Catalog'!$C:$C,0)),""))))</f>
        <v>4403018</v>
      </c>
      <c r="H1226" s="8" t="str">
        <f aca="false">IFERROR(INDEX('TRANS'!$C:$C,MATCH($B1226,'TRANS'!$A:$A,0)),IFERROR(INDEX('Catalog'!$B:$B,MATCH($G1226,'Catalog'!$A:$A,0)),$B1226))</f>
        <v>394B גרב.כסף לסכרתים שחור39-42</v>
      </c>
      <c r="I1226" s="8" t="str">
        <f aca="false">IF($G1226="","Unmatched","Matched")</f>
        <v>Matched</v>
      </c>
      <c r="J1226" s="8" t="n">
        <f aca="false">IF($G1226&lt;&gt;"",$G1226,$B1226)</f>
        <v>4403018</v>
      </c>
      <c r="K1226" s="8" t="str">
        <f aca="false">IF(COUNTIF($M$1:$M$10,$A1226)&gt;0,"Y","N")</f>
        <v>Y</v>
      </c>
    </row>
    <row r="1227" customFormat="false" ht="15" hidden="false" customHeight="true" outlineLevel="0" collapsed="false">
      <c r="A1227" s="8" t="s">
        <v>53</v>
      </c>
      <c r="B1227" s="8" t="s">
        <v>660</v>
      </c>
      <c r="C1227" s="19" t="n">
        <v>10</v>
      </c>
      <c r="D1227" s="19" t="n">
        <v>224.99</v>
      </c>
      <c r="E1227" s="19" t="n">
        <v>0</v>
      </c>
      <c r="F1227" s="19" t="n">
        <v>0</v>
      </c>
      <c r="G1227" s="8" t="n">
        <f aca="false">IFERROR(INDEX('TRANS'!$B:$B,MATCH($B1227,'TRANS'!$A:$A,0)),IFERROR(INDEX('TRANS'!$B:$B,MATCH(TRIM(SUBSTITUTE($B1227,CHAR(160)," ")),'TRANS'!$D:$D,0)),IFERROR(INDEX('Catalog'!$A:$A,MATCH($B1227,'Catalog'!$B:$B,0)),IFERROR(INDEX('Catalog'!$A:$A,MATCH(TRIM(SUBSTITUTE($B1227,CHAR(160)," ")),'Catalog'!$C:$C,0)),""))))</f>
        <v>4403019</v>
      </c>
      <c r="H1227" s="8" t="str">
        <f aca="false">IFERROR(INDEX('TRANS'!$C:$C,MATCH($B1227,'TRANS'!$A:$A,0)),IFERROR(INDEX('Catalog'!$B:$B,MATCH($G1227,'Catalog'!$A:$A,0)),$B1227))</f>
        <v>394B גרב.כסף לסכרתים שחור43-46</v>
      </c>
      <c r="I1227" s="8" t="str">
        <f aca="false">IF($G1227="","Unmatched","Matched")</f>
        <v>Matched</v>
      </c>
      <c r="J1227" s="8" t="n">
        <f aca="false">IF($G1227&lt;&gt;"",$G1227,$B1227)</f>
        <v>4403019</v>
      </c>
      <c r="K1227" s="8" t="str">
        <f aca="false">IF(COUNTIF($M$1:$M$10,$A1227)&gt;0,"Y","N")</f>
        <v>Y</v>
      </c>
    </row>
    <row r="1228" customFormat="false" ht="15" hidden="false" customHeight="true" outlineLevel="0" collapsed="false">
      <c r="A1228" s="8" t="s">
        <v>53</v>
      </c>
      <c r="B1228" s="8" t="s">
        <v>663</v>
      </c>
      <c r="C1228" s="19" t="n">
        <v>12</v>
      </c>
      <c r="D1228" s="19" t="n">
        <v>287.32</v>
      </c>
      <c r="E1228" s="19" t="n">
        <v>5</v>
      </c>
      <c r="F1228" s="19" t="n">
        <v>124.99</v>
      </c>
      <c r="G1228" s="8" t="n">
        <f aca="false">IFERROR(INDEX('TRANS'!$B:$B,MATCH($B1228,'TRANS'!$A:$A,0)),IFERROR(INDEX('TRANS'!$B:$B,MATCH(TRIM(SUBSTITUTE($B1228,CHAR(160)," ")),'TRANS'!$D:$D,0)),IFERROR(INDEX('Catalog'!$A:$A,MATCH($B1228,'Catalog'!$B:$B,0)),IFERROR(INDEX('Catalog'!$A:$A,MATCH(TRIM(SUBSTITUTE($B1228,CHAR(160)," ")),'Catalog'!$C:$C,0)),""))))</f>
        <v>4403025</v>
      </c>
      <c r="H1228" s="8" t="str">
        <f aca="false">IFERROR(INDEX('TRANS'!$C:$C,MATCH($B1228,'TRANS'!$A:$A,0)),IFERROR(INDEX('Catalog'!$B:$B,MATCH($G1228,'Catalog'!$A:$A,0)),$B1228))</f>
        <v>394W 43-46 גרב.כסף לסכרתים לבן</v>
      </c>
      <c r="I1228" s="8" t="str">
        <f aca="false">IF($G1228="","Unmatched","Matched")</f>
        <v>Matched</v>
      </c>
      <c r="J1228" s="8" t="n">
        <f aca="false">IF($G1228&lt;&gt;"",$G1228,$B1228)</f>
        <v>4403025</v>
      </c>
      <c r="K1228" s="8" t="str">
        <f aca="false">IF(COUNTIF($M$1:$M$10,$A1228)&gt;0,"Y","N")</f>
        <v>Y</v>
      </c>
    </row>
    <row r="1229" customFormat="false" ht="15" hidden="false" customHeight="true" outlineLevel="0" collapsed="false">
      <c r="A1229" s="8" t="s">
        <v>53</v>
      </c>
      <c r="B1229" s="8" t="s">
        <v>798</v>
      </c>
      <c r="C1229" s="19" t="n">
        <v>1</v>
      </c>
      <c r="D1229" s="19" t="n">
        <v>30.89</v>
      </c>
      <c r="E1229" s="19" t="n">
        <v>2</v>
      </c>
      <c r="F1229" s="19" t="n">
        <v>61.78</v>
      </c>
      <c r="G1229" s="8" t="n">
        <f aca="false">IFERROR(INDEX('TRANS'!$B:$B,MATCH($B1229,'TRANS'!$A:$A,0)),IFERROR(INDEX('TRANS'!$B:$B,MATCH(TRIM(SUBSTITUTE($B1229,CHAR(160)," ")),'TRANS'!$D:$D,0)),IFERROR(INDEX('Catalog'!$A:$A,MATCH($B1229,'Catalog'!$B:$B,0)),IFERROR(INDEX('Catalog'!$A:$A,MATCH(TRIM(SUBSTITUTE($B1229,CHAR(160)," ")),'Catalog'!$C:$C,0)),""))))</f>
        <v>4413092</v>
      </c>
      <c r="H1229" s="8" t="str">
        <f aca="false">IFERROR(INDEX('TRANS'!$C:$C,MATCH($B1229,'TRANS'!$A:$A,0)),IFERROR(INDEX('Catalog'!$B:$B,MATCH($G1229,'Catalog'!$A:$A,0)),$B1229))</f>
        <v>45 L מגן ברך לבן</v>
      </c>
      <c r="I1229" s="8" t="str">
        <f aca="false">IF($G1229="","Unmatched","Matched")</f>
        <v>Matched</v>
      </c>
      <c r="J1229" s="8" t="n">
        <f aca="false">IF($G1229&lt;&gt;"",$G1229,$B1229)</f>
        <v>4413092</v>
      </c>
      <c r="K1229" s="8" t="str">
        <f aca="false">IF(COUNTIF($M$1:$M$10,$A1229)&gt;0,"Y","N")</f>
        <v>Y</v>
      </c>
    </row>
    <row r="1230" customFormat="false" ht="15" hidden="false" customHeight="true" outlineLevel="0" collapsed="false">
      <c r="A1230" s="8" t="s">
        <v>53</v>
      </c>
      <c r="B1230" s="8" t="s">
        <v>799</v>
      </c>
      <c r="C1230" s="19" t="n">
        <v>1</v>
      </c>
      <c r="D1230" s="19" t="n">
        <v>30.89</v>
      </c>
      <c r="E1230" s="19" t="n">
        <v>2</v>
      </c>
      <c r="F1230" s="19" t="n">
        <v>61.78</v>
      </c>
      <c r="G1230" s="8" t="n">
        <f aca="false">IFERROR(INDEX('TRANS'!$B:$B,MATCH($B1230,'TRANS'!$A:$A,0)),IFERROR(INDEX('TRANS'!$B:$B,MATCH(TRIM(SUBSTITUTE($B1230,CHAR(160)," ")),'TRANS'!$D:$D,0)),IFERROR(INDEX('Catalog'!$A:$A,MATCH($B1230,'Catalog'!$B:$B,0)),IFERROR(INDEX('Catalog'!$A:$A,MATCH(TRIM(SUBSTITUTE($B1230,CHAR(160)," ")),'Catalog'!$C:$C,0)),""))))</f>
        <v>4413093</v>
      </c>
      <c r="H1230" s="8" t="str">
        <f aca="false">IFERROR(INDEX('TRANS'!$C:$C,MATCH($B1230,'TRANS'!$A:$A,0)),IFERROR(INDEX('Catalog'!$B:$B,MATCH($G1230,'Catalog'!$A:$A,0)),$B1230))</f>
        <v>45 M מגן ברך לבן</v>
      </c>
      <c r="I1230" s="8" t="str">
        <f aca="false">IF($G1230="","Unmatched","Matched")</f>
        <v>Matched</v>
      </c>
      <c r="J1230" s="8" t="n">
        <f aca="false">IF($G1230&lt;&gt;"",$G1230,$B1230)</f>
        <v>4413093</v>
      </c>
      <c r="K1230" s="8" t="str">
        <f aca="false">IF(COUNTIF($M$1:$M$10,$A1230)&gt;0,"Y","N")</f>
        <v>Y</v>
      </c>
    </row>
    <row r="1231" customFormat="false" ht="15" hidden="false" customHeight="true" outlineLevel="0" collapsed="false">
      <c r="A1231" s="8" t="s">
        <v>53</v>
      </c>
      <c r="B1231" s="8" t="s">
        <v>674</v>
      </c>
      <c r="C1231" s="19" t="n">
        <v>3</v>
      </c>
      <c r="D1231" s="19" t="n">
        <v>92.67</v>
      </c>
      <c r="E1231" s="19" t="n">
        <v>2</v>
      </c>
      <c r="F1231" s="19" t="n">
        <v>61.78</v>
      </c>
      <c r="G1231" s="8" t="n">
        <f aca="false">IFERROR(INDEX('TRANS'!$B:$B,MATCH($B1231,'TRANS'!$A:$A,0)),IFERROR(INDEX('TRANS'!$B:$B,MATCH(TRIM(SUBSTITUTE($B1231,CHAR(160)," ")),'TRANS'!$D:$D,0)),IFERROR(INDEX('Catalog'!$A:$A,MATCH($B1231,'Catalog'!$B:$B,0)),IFERROR(INDEX('Catalog'!$A:$A,MATCH(TRIM(SUBSTITUTE($B1231,CHAR(160)," ")),'Catalog'!$C:$C,0)),""))))</f>
        <v>4413095</v>
      </c>
      <c r="H1231" s="8" t="str">
        <f aca="false">IFERROR(INDEX('TRANS'!$C:$C,MATCH($B1231,'TRANS'!$A:$A,0)),IFERROR(INDEX('Catalog'!$B:$B,MATCH($G1231,'Catalog'!$A:$A,0)),$B1231))</f>
        <v>45 XL מגן ברך לבן</v>
      </c>
      <c r="I1231" s="8" t="str">
        <f aca="false">IF($G1231="","Unmatched","Matched")</f>
        <v>Matched</v>
      </c>
      <c r="J1231" s="8" t="n">
        <f aca="false">IF($G1231&lt;&gt;"",$G1231,$B1231)</f>
        <v>4413095</v>
      </c>
      <c r="K1231" s="8" t="str">
        <f aca="false">IF(COUNTIF($M$1:$M$10,$A1231)&gt;0,"Y","N")</f>
        <v>Y</v>
      </c>
    </row>
    <row r="1232" customFormat="false" ht="15" hidden="false" customHeight="true" outlineLevel="0" collapsed="false">
      <c r="A1232" s="8" t="s">
        <v>53</v>
      </c>
      <c r="B1232" s="8" t="s">
        <v>800</v>
      </c>
      <c r="C1232" s="19" t="n">
        <v>0</v>
      </c>
      <c r="D1232" s="19" t="n">
        <v>0</v>
      </c>
      <c r="E1232" s="19" t="n">
        <v>3</v>
      </c>
      <c r="F1232" s="19" t="n">
        <v>92.68</v>
      </c>
      <c r="G1232" s="8" t="n">
        <f aca="false">IFERROR(INDEX('TRANS'!$B:$B,MATCH($B1232,'TRANS'!$A:$A,0)),IFERROR(INDEX('TRANS'!$B:$B,MATCH(TRIM(SUBSTITUTE($B1232,CHAR(160)," ")),'TRANS'!$D:$D,0)),IFERROR(INDEX('Catalog'!$A:$A,MATCH($B1232,'Catalog'!$B:$B,0)),IFERROR(INDEX('Catalog'!$A:$A,MATCH(TRIM(SUBSTITUTE($B1232,CHAR(160)," ")),'Catalog'!$C:$C,0)),""))))</f>
        <v>4413096</v>
      </c>
      <c r="H1232" s="8" t="str">
        <f aca="false">IFERROR(INDEX('TRANS'!$C:$C,MATCH($B1232,'TRANS'!$A:$A,0)),IFERROR(INDEX('Catalog'!$B:$B,MATCH($G1232,'Catalog'!$A:$A,0)),$B1232))</f>
        <v>45 XXL מגן ברך לבן</v>
      </c>
      <c r="I1232" s="8" t="str">
        <f aca="false">IF($G1232="","Unmatched","Matched")</f>
        <v>Matched</v>
      </c>
      <c r="J1232" s="8" t="n">
        <f aca="false">IF($G1232&lt;&gt;"",$G1232,$B1232)</f>
        <v>4413096</v>
      </c>
      <c r="K1232" s="8" t="str">
        <f aca="false">IF(COUNTIF($M$1:$M$10,$A1232)&gt;0,"Y","N")</f>
        <v>Y</v>
      </c>
    </row>
    <row r="1233" customFormat="false" ht="15" hidden="false" customHeight="true" outlineLevel="0" collapsed="false">
      <c r="A1233" s="8" t="s">
        <v>53</v>
      </c>
      <c r="B1233" s="8" t="s">
        <v>45</v>
      </c>
      <c r="C1233" s="19" t="n">
        <v>216</v>
      </c>
      <c r="D1233" s="19" t="n">
        <v>27989.58</v>
      </c>
      <c r="E1233" s="19" t="n">
        <v>89</v>
      </c>
      <c r="F1233" s="19" t="n">
        <v>14764.72</v>
      </c>
      <c r="G1233" s="8" t="str">
        <f aca="false">IFERROR(INDEX('TRANS'!$B:$B,MATCH($B1233,'TRANS'!$A:$A,0)),IFERROR(INDEX('TRANS'!$B:$B,MATCH(TRIM(SUBSTITUTE($B1233,CHAR(160)," ")),'TRANS'!$D:$D,0)),IFERROR(INDEX('Catalog'!$A:$A,MATCH($B1233,'Catalog'!$B:$B,0)),IFERROR(INDEX('Catalog'!$A:$A,MATCH(TRIM(SUBSTITUTE($B1233,CHAR(160)," ")),'Catalog'!$C:$C,0)),""))))</f>
        <v/>
      </c>
      <c r="H1233" s="8" t="str">
        <f aca="false">IFERROR(INDEX('TRANS'!$C:$C,MATCH($B1233,'TRANS'!$A:$A,0)),IFERROR(INDEX('Catalog'!$B:$B,MATCH($G1233,'Catalog'!$A:$A,0)),$B1233))</f>
        <v>67 0</v>
      </c>
      <c r="I1233" s="8" t="str">
        <f aca="false">IF($G1233="","Unmatched","Matched")</f>
        <v>Unmatched</v>
      </c>
      <c r="J1233" s="8" t="str">
        <f aca="false">IF($G1233&lt;&gt;"",$G1233,$B1233)</f>
        <v>67 0</v>
      </c>
      <c r="K1233" s="8" t="str">
        <f aca="false">IF(COUNTIF($M$1:$M$10,$A1233)&gt;0,"Y","N")</f>
        <v>Y</v>
      </c>
    </row>
    <row r="1234" customFormat="false" ht="15" hidden="false" customHeight="true" outlineLevel="0" collapsed="false">
      <c r="A1234" s="8" t="s">
        <v>53</v>
      </c>
      <c r="B1234" s="8" t="s">
        <v>880</v>
      </c>
      <c r="C1234" s="19" t="n">
        <v>0</v>
      </c>
      <c r="D1234" s="19" t="n">
        <v>0</v>
      </c>
      <c r="E1234" s="19" t="n">
        <v>1</v>
      </c>
      <c r="F1234" s="19" t="n">
        <v>260</v>
      </c>
      <c r="G1234" s="8" t="n">
        <f aca="false">IFERROR(INDEX('TRANS'!$B:$B,MATCH($B1234,'TRANS'!$A:$A,0)),IFERROR(INDEX('TRANS'!$B:$B,MATCH(TRIM(SUBSTITUTE($B1234,CHAR(160)," ")),'TRANS'!$D:$D,0)),IFERROR(INDEX('Catalog'!$A:$A,MATCH($B1234,'Catalog'!$B:$B,0)),IFERROR(INDEX('Catalog'!$A:$A,MATCH(TRIM(SUBSTITUTE($B1234,CHAR(160)," ")),'Catalog'!$C:$C,0)),""))))</f>
        <v>4408274</v>
      </c>
      <c r="H1234" s="8" t="str">
        <f aca="false">IFERROR(INDEX('TRANS'!$C:$C,MATCH($B1234,'TRANS'!$A:$A,0)),IFERROR(INDEX('Catalog'!$B:$B,MATCH($G1234,'Catalog'!$A:$A,0)),$B1234))</f>
        <v>70N L חגורת פאבליק</v>
      </c>
      <c r="I1234" s="8" t="str">
        <f aca="false">IF($G1234="","Unmatched","Matched")</f>
        <v>Matched</v>
      </c>
      <c r="J1234" s="8" t="n">
        <f aca="false">IF($G1234&lt;&gt;"",$G1234,$B1234)</f>
        <v>4408274</v>
      </c>
      <c r="K1234" s="8" t="str">
        <f aca="false">IF(COUNTIF($M$1:$M$10,$A1234)&gt;0,"Y","N")</f>
        <v>Y</v>
      </c>
    </row>
    <row r="1235" customFormat="false" ht="15" hidden="false" customHeight="true" outlineLevel="0" collapsed="false">
      <c r="A1235" s="8" t="s">
        <v>53</v>
      </c>
      <c r="B1235" s="8" t="s">
        <v>881</v>
      </c>
      <c r="C1235" s="19" t="n">
        <v>0</v>
      </c>
      <c r="D1235" s="19" t="n">
        <v>0</v>
      </c>
      <c r="E1235" s="19" t="n">
        <v>1</v>
      </c>
      <c r="F1235" s="19" t="n">
        <v>260</v>
      </c>
      <c r="G1235" s="8" t="n">
        <f aca="false">IFERROR(INDEX('TRANS'!$B:$B,MATCH($B1235,'TRANS'!$A:$A,0)),IFERROR(INDEX('TRANS'!$B:$B,MATCH(TRIM(SUBSTITUTE($B1235,CHAR(160)," ")),'TRANS'!$D:$D,0)),IFERROR(INDEX('Catalog'!$A:$A,MATCH($B1235,'Catalog'!$B:$B,0)),IFERROR(INDEX('Catalog'!$A:$A,MATCH(TRIM(SUBSTITUTE($B1235,CHAR(160)," ")),'Catalog'!$C:$C,0)),""))))</f>
        <v>4408273</v>
      </c>
      <c r="H1235" s="8" t="str">
        <f aca="false">IFERROR(INDEX('TRANS'!$C:$C,MATCH($B1235,'TRANS'!$A:$A,0)),IFERROR(INDEX('Catalog'!$B:$B,MATCH($G1235,'Catalog'!$A:$A,0)),$B1235))</f>
        <v>70N M חגורת פאבליק</v>
      </c>
      <c r="I1235" s="8" t="str">
        <f aca="false">IF($G1235="","Unmatched","Matched")</f>
        <v>Matched</v>
      </c>
      <c r="J1235" s="8" t="n">
        <f aca="false">IF($G1235&lt;&gt;"",$G1235,$B1235)</f>
        <v>4408273</v>
      </c>
      <c r="K1235" s="8" t="str">
        <f aca="false">IF(COUNTIF($M$1:$M$10,$A1235)&gt;0,"Y","N")</f>
        <v>Y</v>
      </c>
    </row>
    <row r="1236" customFormat="false" ht="15" hidden="false" customHeight="true" outlineLevel="0" collapsed="false">
      <c r="A1236" s="8" t="s">
        <v>53</v>
      </c>
      <c r="B1236" s="8" t="s">
        <v>820</v>
      </c>
      <c r="C1236" s="19" t="n">
        <v>0</v>
      </c>
      <c r="D1236" s="19" t="n">
        <v>0</v>
      </c>
      <c r="E1236" s="19" t="n">
        <v>1</v>
      </c>
      <c r="F1236" s="19" t="n">
        <v>130</v>
      </c>
      <c r="G1236" s="8" t="n">
        <f aca="false">IFERROR(INDEX('TRANS'!$B:$B,MATCH($B1236,'TRANS'!$A:$A,0)),IFERROR(INDEX('TRANS'!$B:$B,MATCH(TRIM(SUBSTITUTE($B1236,CHAR(160)," ")),'TRANS'!$D:$D,0)),IFERROR(INDEX('Catalog'!$A:$A,MATCH($B1236,'Catalog'!$B:$B,0)),IFERROR(INDEX('Catalog'!$A:$A,MATCH(TRIM(SUBSTITUTE($B1236,CHAR(160)," ")),'Catalog'!$C:$C,0)),""))))</f>
        <v>4413165</v>
      </c>
      <c r="H1236" s="8" t="str">
        <f aca="false">IFERROR(INDEX('TRANS'!$C:$C,MATCH($B1236,'TRANS'!$A:$A,0)),IFERROR(INDEX('Catalog'!$B:$B,MATCH($G1236,'Catalog'!$A:$A,0)),$B1236))</f>
        <v>74 L-XL מיצב כתפיים</v>
      </c>
      <c r="I1236" s="8" t="str">
        <f aca="false">IF($G1236="","Unmatched","Matched")</f>
        <v>Matched</v>
      </c>
      <c r="J1236" s="8" t="n">
        <f aca="false">IF($G1236&lt;&gt;"",$G1236,$B1236)</f>
        <v>4413165</v>
      </c>
      <c r="K1236" s="8" t="str">
        <f aca="false">IF(COUNTIF($M$1:$M$10,$A1236)&gt;0,"Y","N")</f>
        <v>Y</v>
      </c>
    </row>
    <row r="1237" customFormat="false" ht="15" hidden="false" customHeight="true" outlineLevel="0" collapsed="false">
      <c r="A1237" s="8" t="s">
        <v>53</v>
      </c>
      <c r="B1237" s="8" t="s">
        <v>169</v>
      </c>
      <c r="C1237" s="19" t="n">
        <v>0</v>
      </c>
      <c r="D1237" s="19" t="n">
        <v>0</v>
      </c>
      <c r="E1237" s="19" t="n">
        <v>1</v>
      </c>
      <c r="F1237" s="19" t="n">
        <v>130</v>
      </c>
      <c r="G1237" s="8" t="str">
        <f aca="false">IFERROR(INDEX('TRANS'!$B:$B,MATCH($B1237,'TRANS'!$A:$A,0)),IFERROR(INDEX('TRANS'!$B:$B,MATCH(TRIM(SUBSTITUTE($B1237,CHAR(160)," ")),'TRANS'!$D:$D,0)),IFERROR(INDEX('Catalog'!$A:$A,MATCH($B1237,'Catalog'!$B:$B,0)),IFERROR(INDEX('Catalog'!$A:$A,MATCH(TRIM(SUBSTITUTE($B1237,CHAR(160)," ")),'Catalog'!$C:$C,0)),""))))</f>
        <v/>
      </c>
      <c r="H1237" s="8" t="str">
        <f aca="false">IFERROR(INDEX('TRANS'!$C:$C,MATCH($B1237,'TRANS'!$A:$A,0)),IFERROR(INDEX('Catalog'!$B:$B,MATCH($G1237,'Catalog'!$A:$A,0)),$B1237))</f>
        <v>74-S-M</v>
      </c>
      <c r="I1237" s="8" t="str">
        <f aca="false">IF($G1237="","Unmatched","Matched")</f>
        <v>Unmatched</v>
      </c>
      <c r="J1237" s="8" t="str">
        <f aca="false">IF($G1237&lt;&gt;"",$G1237,$B1237)</f>
        <v>74-S-M</v>
      </c>
      <c r="K1237" s="8" t="str">
        <f aca="false">IF(COUNTIF($M$1:$M$10,$A1237)&gt;0,"Y","N")</f>
        <v>Y</v>
      </c>
    </row>
    <row r="1238" customFormat="false" ht="15" hidden="false" customHeight="true" outlineLevel="0" collapsed="false">
      <c r="A1238" s="8" t="s">
        <v>53</v>
      </c>
      <c r="B1238" s="8" t="s">
        <v>694</v>
      </c>
      <c r="C1238" s="19" t="n">
        <v>7</v>
      </c>
      <c r="D1238" s="19" t="n">
        <v>1072</v>
      </c>
      <c r="E1238" s="19" t="n">
        <v>3</v>
      </c>
      <c r="F1238" s="19" t="n">
        <v>479.99</v>
      </c>
      <c r="G1238" s="8" t="n">
        <f aca="false">IFERROR(INDEX('TRANS'!$B:$B,MATCH($B1238,'TRANS'!$A:$A,0)),IFERROR(INDEX('TRANS'!$B:$B,MATCH(TRIM(SUBSTITUTE($B1238,CHAR(160)," ")),'TRANS'!$D:$D,0)),IFERROR(INDEX('Catalog'!$A:$A,MATCH($B1238,'Catalog'!$B:$B,0)),IFERROR(INDEX('Catalog'!$A:$A,MATCH(TRIM(SUBSTITUTE($B1238,CHAR(160)," ")),'Catalog'!$C:$C,0)),""))))</f>
        <v>4413132</v>
      </c>
      <c r="H1238" s="8" t="str">
        <f aca="false">IFERROR(INDEX('TRANS'!$C:$C,MATCH($B1238,'TRANS'!$A:$A,0)),IFERROR(INDEX('Catalog'!$B:$B,MATCH($G1238,'Catalog'!$A:$A,0)),$B1238))</f>
        <v>76 Lמיישר כתף יציב יישור רחב</v>
      </c>
      <c r="I1238" s="8" t="str">
        <f aca="false">IF($G1238="","Unmatched","Matched")</f>
        <v>Matched</v>
      </c>
      <c r="J1238" s="8" t="n">
        <f aca="false">IF($G1238&lt;&gt;"",$G1238,$B1238)</f>
        <v>4413132</v>
      </c>
      <c r="K1238" s="8" t="str">
        <f aca="false">IF(COUNTIF($M$1:$M$10,$A1238)&gt;0,"Y","N")</f>
        <v>Y</v>
      </c>
    </row>
    <row r="1239" customFormat="false" ht="15" hidden="false" customHeight="true" outlineLevel="0" collapsed="false">
      <c r="A1239" s="8" t="s">
        <v>53</v>
      </c>
      <c r="B1239" s="8" t="s">
        <v>695</v>
      </c>
      <c r="C1239" s="19" t="n">
        <v>5</v>
      </c>
      <c r="D1239" s="19" t="n">
        <v>775.99</v>
      </c>
      <c r="E1239" s="19" t="n">
        <v>3</v>
      </c>
      <c r="F1239" s="19" t="n">
        <v>479.99</v>
      </c>
      <c r="G1239" s="8" t="n">
        <f aca="false">IFERROR(INDEX('TRANS'!$B:$B,MATCH($B1239,'TRANS'!$A:$A,0)),IFERROR(INDEX('TRANS'!$B:$B,MATCH(TRIM(SUBSTITUTE($B1239,CHAR(160)," ")),'TRANS'!$D:$D,0)),IFERROR(INDEX('Catalog'!$A:$A,MATCH($B1239,'Catalog'!$B:$B,0)),IFERROR(INDEX('Catalog'!$A:$A,MATCH(TRIM(SUBSTITUTE($B1239,CHAR(160)," ")),'Catalog'!$C:$C,0)),""))))</f>
        <v>4413134</v>
      </c>
      <c r="H1239" s="8" t="str">
        <f aca="false">IFERROR(INDEX('TRANS'!$C:$C,MATCH($B1239,'TRANS'!$A:$A,0)),IFERROR(INDEX('Catalog'!$B:$B,MATCH($G1239,'Catalog'!$A:$A,0)),$B1239))</f>
        <v>76 XLמיישר כתף יציב יישור רחב</v>
      </c>
      <c r="I1239" s="8" t="str">
        <f aca="false">IF($G1239="","Unmatched","Matched")</f>
        <v>Matched</v>
      </c>
      <c r="J1239" s="8" t="n">
        <f aca="false">IF($G1239&lt;&gt;"",$G1239,$B1239)</f>
        <v>4413134</v>
      </c>
      <c r="K1239" s="8" t="str">
        <f aca="false">IF(COUNTIF($M$1:$M$10,$A1239)&gt;0,"Y","N")</f>
        <v>Y</v>
      </c>
    </row>
    <row r="1240" customFormat="false" ht="15" hidden="false" customHeight="true" outlineLevel="0" collapsed="false">
      <c r="A1240" s="8" t="s">
        <v>53</v>
      </c>
      <c r="B1240" s="8" t="s">
        <v>701</v>
      </c>
      <c r="C1240" s="19" t="n">
        <v>3</v>
      </c>
      <c r="D1240" s="19" t="n">
        <v>49.5</v>
      </c>
      <c r="E1240" s="19" t="n">
        <v>0</v>
      </c>
      <c r="F1240" s="19" t="n">
        <v>0</v>
      </c>
      <c r="G1240" s="8" t="n">
        <f aca="false">IFERROR(INDEX('TRANS'!$B:$B,MATCH($B1240,'TRANS'!$A:$A,0)),IFERROR(INDEX('TRANS'!$B:$B,MATCH(TRIM(SUBSTITUTE($B1240,CHAR(160)," ")),'TRANS'!$D:$D,0)),IFERROR(INDEX('Catalog'!$A:$A,MATCH($B1240,'Catalog'!$B:$B,0)),IFERROR(INDEX('Catalog'!$A:$A,MATCH(TRIM(SUBSTITUTE($B1240,CHAR(160)," ")),'Catalog'!$C:$C,0)),""))))</f>
        <v>4401011</v>
      </c>
      <c r="H1240" s="8" t="str">
        <f aca="false">IFERROR(INDEX('TRANS'!$C:$C,MATCH($B1240,'TRANS'!$A:$A,0)),IFERROR(INDEX('Catalog'!$B:$B,MATCH($G1240,'Catalog'!$A:$A,0)),$B1240))</f>
        <v>805AT-Cאתלטיק טייפ בז' 20מ""""מ20</v>
      </c>
      <c r="I1240" s="8" t="str">
        <f aca="false">IF($G1240="","Unmatched","Matched")</f>
        <v>Matched</v>
      </c>
      <c r="J1240" s="8" t="n">
        <f aca="false">IF($G1240&lt;&gt;"",$G1240,$B1240)</f>
        <v>4401011</v>
      </c>
      <c r="K1240" s="8" t="str">
        <f aca="false">IF(COUNTIF($M$1:$M$10,$A1240)&gt;0,"Y","N")</f>
        <v>Y</v>
      </c>
    </row>
    <row r="1241" customFormat="false" ht="15" hidden="false" customHeight="true" outlineLevel="0" collapsed="false">
      <c r="A1241" s="8" t="s">
        <v>53</v>
      </c>
      <c r="B1241" s="8" t="s">
        <v>1000</v>
      </c>
      <c r="C1241" s="19" t="n">
        <v>3</v>
      </c>
      <c r="D1241" s="19" t="n">
        <v>49.5</v>
      </c>
      <c r="E1241" s="19" t="n">
        <v>0</v>
      </c>
      <c r="F1241" s="19" t="n">
        <v>0</v>
      </c>
      <c r="G1241" s="8" t="n">
        <f aca="false">IFERROR(INDEX('TRANS'!$B:$B,MATCH($B1241,'TRANS'!$A:$A,0)),IFERROR(INDEX('TRANS'!$B:$B,MATCH(TRIM(SUBSTITUTE($B1241,CHAR(160)," ")),'TRANS'!$D:$D,0)),IFERROR(INDEX('Catalog'!$A:$A,MATCH($B1241,'Catalog'!$B:$B,0)),IFERROR(INDEX('Catalog'!$A:$A,MATCH(TRIM(SUBSTITUTE($B1241,CHAR(160)," ")),'Catalog'!$C:$C,0)),""))))</f>
        <v>4401014</v>
      </c>
      <c r="H1241" s="8" t="str">
        <f aca="false">IFERROR(INDEX('TRANS'!$C:$C,MATCH($B1241,'TRANS'!$A:$A,0)),IFERROR(INDEX('Catalog'!$B:$B,MATCH($G1241,'Catalog'!$A:$A,0)),$B1241))</f>
        <v>805AT-W  אתלטיק טייפ לבן 20מ""""מ</v>
      </c>
      <c r="I1241" s="8" t="str">
        <f aca="false">IF($G1241="","Unmatched","Matched")</f>
        <v>Matched</v>
      </c>
      <c r="J1241" s="8" t="n">
        <f aca="false">IF($G1241&lt;&gt;"",$G1241,$B1241)</f>
        <v>4401014</v>
      </c>
      <c r="K1241" s="8" t="str">
        <f aca="false">IF(COUNTIF($M$1:$M$10,$A1241)&gt;0,"Y","N")</f>
        <v>Y</v>
      </c>
    </row>
    <row r="1242" customFormat="false" ht="15" hidden="false" customHeight="true" outlineLevel="0" collapsed="false">
      <c r="A1242" s="8" t="s">
        <v>53</v>
      </c>
      <c r="B1242" s="8" t="s">
        <v>705</v>
      </c>
      <c r="C1242" s="19" t="n">
        <v>31</v>
      </c>
      <c r="D1242" s="19" t="n">
        <v>880</v>
      </c>
      <c r="E1242" s="19" t="n">
        <v>6</v>
      </c>
      <c r="F1242" s="19" t="n">
        <v>175</v>
      </c>
      <c r="G1242" s="8" t="n">
        <f aca="false">IFERROR(INDEX('TRANS'!$B:$B,MATCH($B1242,'TRANS'!$A:$A,0)),IFERROR(INDEX('TRANS'!$B:$B,MATCH(TRIM(SUBSTITUTE($B1242,CHAR(160)," ")),'TRANS'!$D:$D,0)),IFERROR(INDEX('Catalog'!$A:$A,MATCH($B1242,'Catalog'!$B:$B,0)),IFERROR(INDEX('Catalog'!$A:$A,MATCH(TRIM(SUBSTITUTE($B1242,CHAR(160)," ")),'Catalog'!$C:$C,0)),""))))</f>
        <v>4409017</v>
      </c>
      <c r="H1242" s="8" t="str">
        <f aca="false">IFERROR(INDEX('TRANS'!$C:$C,MATCH($B1242,'TRANS'!$A:$A,0)),IFERROR(INDEX('Catalog'!$B:$B,MATCH($G1242,'Catalog'!$A:$A,0)),$B1242))</f>
        <v>808KT-B        טייפ קינזיולוגי</v>
      </c>
      <c r="I1242" s="8" t="str">
        <f aca="false">IF($G1242="","Unmatched","Matched")</f>
        <v>Matched</v>
      </c>
      <c r="J1242" s="8" t="n">
        <f aca="false">IF($G1242&lt;&gt;"",$G1242,$B1242)</f>
        <v>4409017</v>
      </c>
      <c r="K1242" s="8" t="str">
        <f aca="false">IF(COUNTIF($M$1:$M$10,$A1242)&gt;0,"Y","N")</f>
        <v>Y</v>
      </c>
    </row>
    <row r="1243" customFormat="false" ht="15" hidden="false" customHeight="true" outlineLevel="0" collapsed="false">
      <c r="A1243" s="8" t="s">
        <v>53</v>
      </c>
      <c r="B1243" s="8" t="s">
        <v>886</v>
      </c>
      <c r="C1243" s="19" t="n">
        <v>31</v>
      </c>
      <c r="D1243" s="19" t="n">
        <v>880</v>
      </c>
      <c r="E1243" s="19" t="n">
        <v>6</v>
      </c>
      <c r="F1243" s="19" t="n">
        <v>175</v>
      </c>
      <c r="G1243" s="8" t="n">
        <f aca="false">IFERROR(INDEX('TRANS'!$B:$B,MATCH($B1243,'TRANS'!$A:$A,0)),IFERROR(INDEX('TRANS'!$B:$B,MATCH(TRIM(SUBSTITUTE($B1243,CHAR(160)," ")),'TRANS'!$D:$D,0)),IFERROR(INDEX('Catalog'!$A:$A,MATCH($B1243,'Catalog'!$B:$B,0)),IFERROR(INDEX('Catalog'!$A:$A,MATCH(TRIM(SUBSTITUTE($B1243,CHAR(160)," ")),'Catalog'!$C:$C,0)),""))))</f>
        <v>4409015</v>
      </c>
      <c r="H1243" s="8" t="str">
        <f aca="false">IFERROR(INDEX('TRANS'!$C:$C,MATCH($B1243,'TRANS'!$A:$A,0)),IFERROR(INDEX('Catalog'!$B:$B,MATCH($G1243,'Catalog'!$A:$A,0)),$B1243))</f>
        <v>808KT-BL       טייפ קינזיולוגי</v>
      </c>
      <c r="I1243" s="8" t="str">
        <f aca="false">IF($G1243="","Unmatched","Matched")</f>
        <v>Matched</v>
      </c>
      <c r="J1243" s="8" t="n">
        <f aca="false">IF($G1243&lt;&gt;"",$G1243,$B1243)</f>
        <v>4409015</v>
      </c>
      <c r="K1243" s="8" t="str">
        <f aca="false">IF(COUNTIF($M$1:$M$10,$A1243)&gt;0,"Y","N")</f>
        <v>Y</v>
      </c>
    </row>
    <row r="1244" customFormat="false" ht="15" hidden="false" customHeight="true" outlineLevel="0" collapsed="false">
      <c r="A1244" s="8" t="s">
        <v>53</v>
      </c>
      <c r="B1244" s="8" t="s">
        <v>887</v>
      </c>
      <c r="C1244" s="19" t="n">
        <v>14</v>
      </c>
      <c r="D1244" s="19" t="n">
        <v>387.29</v>
      </c>
      <c r="E1244" s="19" t="n">
        <v>1</v>
      </c>
      <c r="F1244" s="19" t="n">
        <v>25</v>
      </c>
      <c r="G1244" s="8" t="n">
        <f aca="false">IFERROR(INDEX('TRANS'!$B:$B,MATCH($B1244,'TRANS'!$A:$A,0)),IFERROR(INDEX('TRANS'!$B:$B,MATCH(TRIM(SUBSTITUTE($B1244,CHAR(160)," ")),'TRANS'!$D:$D,0)),IFERROR(INDEX('Catalog'!$A:$A,MATCH($B1244,'Catalog'!$B:$B,0)),IFERROR(INDEX('Catalog'!$A:$A,MATCH(TRIM(SUBSTITUTE($B1244,CHAR(160)," ")),'Catalog'!$C:$C,0)),""))))</f>
        <v>4409014</v>
      </c>
      <c r="H1244" s="8" t="str">
        <f aca="false">IFERROR(INDEX('TRANS'!$C:$C,MATCH($B1244,'TRANS'!$A:$A,0)),IFERROR(INDEX('Catalog'!$B:$B,MATCH($G1244,'Catalog'!$A:$A,0)),$B1244))</f>
        <v>808KT-P        טייפ קינזיולוגי</v>
      </c>
      <c r="I1244" s="8" t="str">
        <f aca="false">IF($G1244="","Unmatched","Matched")</f>
        <v>Matched</v>
      </c>
      <c r="J1244" s="8" t="n">
        <f aca="false">IF($G1244&lt;&gt;"",$G1244,$B1244)</f>
        <v>4409014</v>
      </c>
      <c r="K1244" s="8" t="str">
        <f aca="false">IF(COUNTIF($M$1:$M$10,$A1244)&gt;0,"Y","N")</f>
        <v>Y</v>
      </c>
    </row>
    <row r="1245" customFormat="false" ht="15" hidden="false" customHeight="true" outlineLevel="0" collapsed="false">
      <c r="A1245" s="8" t="s">
        <v>53</v>
      </c>
      <c r="B1245" s="8" t="s">
        <v>87</v>
      </c>
      <c r="C1245" s="19" t="n">
        <v>10</v>
      </c>
      <c r="D1245" s="19" t="n">
        <v>250</v>
      </c>
      <c r="E1245" s="19" t="n">
        <v>16</v>
      </c>
      <c r="F1245" s="19" t="n">
        <v>475</v>
      </c>
      <c r="G1245" s="8" t="str">
        <f aca="false">IFERROR(INDEX('TRANS'!$B:$B,MATCH($B1245,'TRANS'!$A:$A,0)),IFERROR(INDEX('TRANS'!$B:$B,MATCH(TRIM(SUBSTITUTE($B1245,CHAR(160)," ")),'TRANS'!$D:$D,0)),IFERROR(INDEX('Catalog'!$A:$A,MATCH($B1245,'Catalog'!$B:$B,0)),IFERROR(INDEX('Catalog'!$A:$A,MATCH(TRIM(SUBSTITUTE($B1245,CHAR(160)," ")),'Catalog'!$C:$C,0)),""))))</f>
        <v/>
      </c>
      <c r="H1245" s="8" t="str">
        <f aca="false">IFERROR(INDEX('TRANS'!$C:$C,MATCH($B1245,'TRANS'!$A:$A,0)),IFERROR(INDEX('Catalog'!$B:$B,MATCH($G1245,'Catalog'!$A:$A,0)),$B1245))</f>
        <v>808KTP-C</v>
      </c>
      <c r="I1245" s="8" t="str">
        <f aca="false">IF($G1245="","Unmatched","Matched")</f>
        <v>Unmatched</v>
      </c>
      <c r="J1245" s="8" t="str">
        <f aca="false">IF($G1245&lt;&gt;"",$G1245,$B1245)</f>
        <v>808KTP-C</v>
      </c>
      <c r="K1245" s="8" t="str">
        <f aca="false">IF(COUNTIF($M$1:$M$10,$A1245)&gt;0,"Y","N")</f>
        <v>Y</v>
      </c>
    </row>
    <row r="1246" customFormat="false" ht="15" hidden="false" customHeight="true" outlineLevel="0" collapsed="false">
      <c r="A1246" s="8" t="s">
        <v>53</v>
      </c>
      <c r="B1246" s="8" t="s">
        <v>723</v>
      </c>
      <c r="C1246" s="19" t="n">
        <v>0</v>
      </c>
      <c r="D1246" s="19" t="n">
        <v>0</v>
      </c>
      <c r="E1246" s="19" t="n">
        <v>7</v>
      </c>
      <c r="F1246" s="19" t="n">
        <v>630.9</v>
      </c>
      <c r="G1246" s="8" t="n">
        <f aca="false">IFERROR(INDEX('TRANS'!$B:$B,MATCH($B1246,'TRANS'!$A:$A,0)),IFERROR(INDEX('TRANS'!$B:$B,MATCH(TRIM(SUBSTITUTE($B1246,CHAR(160)," ")),'TRANS'!$D:$D,0)),IFERROR(INDEX('Catalog'!$A:$A,MATCH($B1246,'Catalog'!$B:$B,0)),IFERROR(INDEX('Catalog'!$A:$A,MATCH(TRIM(SUBSTITUTE($B1246,CHAR(160)," ")),'Catalog'!$C:$C,0)),""))))</f>
        <v>4408205</v>
      </c>
      <c r="H1246" s="8" t="str">
        <f aca="false">IFERROR(INDEX('TRANS'!$C:$C,MATCH($B1246,'TRANS'!$A:$A,0)),IFERROR(INDEX('Catalog'!$B:$B,MATCH($G1246,'Catalog'!$A:$A,0)),$B1246))</f>
        <v>AC-07 חגורת גב עם תמיכות</v>
      </c>
      <c r="I1246" s="8" t="str">
        <f aca="false">IF($G1246="","Unmatched","Matched")</f>
        <v>Matched</v>
      </c>
      <c r="J1246" s="8" t="n">
        <f aca="false">IF($G1246&lt;&gt;"",$G1246,$B1246)</f>
        <v>4408205</v>
      </c>
      <c r="K1246" s="8" t="str">
        <f aca="false">IF(COUNTIF($M$1:$M$10,$A1246)&gt;0,"Y","N")</f>
        <v>Y</v>
      </c>
    </row>
    <row r="1247" customFormat="false" ht="15" hidden="false" customHeight="true" outlineLevel="0" collapsed="false">
      <c r="A1247" s="8" t="s">
        <v>53</v>
      </c>
      <c r="B1247" s="8" t="s">
        <v>724</v>
      </c>
      <c r="C1247" s="19" t="n">
        <v>0</v>
      </c>
      <c r="D1247" s="19" t="n">
        <v>0</v>
      </c>
      <c r="E1247" s="19" t="n">
        <v>4</v>
      </c>
      <c r="F1247" s="19" t="n">
        <v>294.18</v>
      </c>
      <c r="G1247" s="8" t="n">
        <f aca="false">IFERROR(INDEX('TRANS'!$B:$B,MATCH($B1247,'TRANS'!$A:$A,0)),IFERROR(INDEX('TRANS'!$B:$B,MATCH(TRIM(SUBSTITUTE($B1247,CHAR(160)," ")),'TRANS'!$D:$D,0)),IFERROR(INDEX('Catalog'!$A:$A,MATCH($B1247,'Catalog'!$B:$B,0)),IFERROR(INDEX('Catalog'!$A:$A,MATCH(TRIM(SUBSTITUTE($B1247,CHAR(160)," ")),'Catalog'!$C:$C,0)),""))))</f>
        <v>4408206</v>
      </c>
      <c r="H1247" s="8" t="str">
        <f aca="false">IFERROR(INDEX('TRANS'!$C:$C,MATCH($B1247,'TRANS'!$A:$A,0)),IFERROR(INDEX('Catalog'!$B:$B,MATCH($G1247,'Catalog'!$A:$A,0)),$B1247))</f>
        <v>AC-11 חגורת בטן קלה</v>
      </c>
      <c r="I1247" s="8" t="str">
        <f aca="false">IF($G1247="","Unmatched","Matched")</f>
        <v>Matched</v>
      </c>
      <c r="J1247" s="8" t="n">
        <f aca="false">IF($G1247&lt;&gt;"",$G1247,$B1247)</f>
        <v>4408206</v>
      </c>
      <c r="K1247" s="8" t="str">
        <f aca="false">IF(COUNTIF($M$1:$M$10,$A1247)&gt;0,"Y","N")</f>
        <v>Y</v>
      </c>
    </row>
    <row r="1248" customFormat="false" ht="15" hidden="false" customHeight="true" outlineLevel="0" collapsed="false">
      <c r="A1248" s="8" t="s">
        <v>53</v>
      </c>
      <c r="B1248" s="8" t="s">
        <v>726</v>
      </c>
      <c r="C1248" s="19" t="n">
        <v>2</v>
      </c>
      <c r="D1248" s="19" t="n">
        <v>86.95</v>
      </c>
      <c r="E1248" s="19" t="n">
        <v>2</v>
      </c>
      <c r="F1248" s="19" t="n">
        <v>93.64</v>
      </c>
      <c r="G1248" s="8" t="n">
        <f aca="false">IFERROR(INDEX('TRANS'!$B:$B,MATCH($B1248,'TRANS'!$A:$A,0)),IFERROR(INDEX('TRANS'!$B:$B,MATCH(TRIM(SUBSTITUTE($B1248,CHAR(160)," ")),'TRANS'!$D:$D,0)),IFERROR(INDEX('Catalog'!$A:$A,MATCH($B1248,'Catalog'!$B:$B,0)),IFERROR(INDEX('Catalog'!$A:$A,MATCH(TRIM(SUBSTITUTE($B1248,CHAR(160)," ")),'Catalog'!$C:$C,0)),""))))</f>
        <v>4415026</v>
      </c>
      <c r="H1248" s="8" t="str">
        <f aca="false">IFERROR(INDEX('TRANS'!$C:$C,MATCH($B1248,'TRANS'!$A:$A,0)),IFERROR(INDEX('Catalog'!$B:$B,MATCH($G1248,'Catalog'!$A:$A,0)),$B1248))</f>
        <v>AC-27L סד לש.כף יד שמאל</v>
      </c>
      <c r="I1248" s="8" t="str">
        <f aca="false">IF($G1248="","Unmatched","Matched")</f>
        <v>Matched</v>
      </c>
      <c r="J1248" s="8" t="n">
        <f aca="false">IF($G1248&lt;&gt;"",$G1248,$B1248)</f>
        <v>4415026</v>
      </c>
      <c r="K1248" s="8" t="str">
        <f aca="false">IF(COUNTIF($M$1:$M$10,$A1248)&gt;0,"Y","N")</f>
        <v>Y</v>
      </c>
    </row>
    <row r="1249" customFormat="false" ht="15" hidden="false" customHeight="true" outlineLevel="0" collapsed="false">
      <c r="A1249" s="8" t="s">
        <v>53</v>
      </c>
      <c r="B1249" s="8" t="s">
        <v>727</v>
      </c>
      <c r="C1249" s="19" t="n">
        <v>2</v>
      </c>
      <c r="D1249" s="19" t="n">
        <v>86.95</v>
      </c>
      <c r="E1249" s="19" t="n">
        <v>2</v>
      </c>
      <c r="F1249" s="19" t="n">
        <v>93.64</v>
      </c>
      <c r="G1249" s="8" t="n">
        <f aca="false">IFERROR(INDEX('TRANS'!$B:$B,MATCH($B1249,'TRANS'!$A:$A,0)),IFERROR(INDEX('TRANS'!$B:$B,MATCH(TRIM(SUBSTITUTE($B1249,CHAR(160)," ")),'TRANS'!$D:$D,0)),IFERROR(INDEX('Catalog'!$A:$A,MATCH($B1249,'Catalog'!$B:$B,0)),IFERROR(INDEX('Catalog'!$A:$A,MATCH(TRIM(SUBSTITUTE($B1249,CHAR(160)," ")),'Catalog'!$C:$C,0)),""))))</f>
        <v>4415027</v>
      </c>
      <c r="H1249" s="8" t="str">
        <f aca="false">IFERROR(INDEX('TRANS'!$C:$C,MATCH($B1249,'TRANS'!$A:$A,0)),IFERROR(INDEX('Catalog'!$B:$B,MATCH($G1249,'Catalog'!$A:$A,0)),$B1249))</f>
        <v>AC-27R סד לש.כף יד ימין</v>
      </c>
      <c r="I1249" s="8" t="str">
        <f aca="false">IF($G1249="","Unmatched","Matched")</f>
        <v>Matched</v>
      </c>
      <c r="J1249" s="8" t="n">
        <f aca="false">IF($G1249&lt;&gt;"",$G1249,$B1249)</f>
        <v>4415027</v>
      </c>
      <c r="K1249" s="8" t="str">
        <f aca="false">IF(COUNTIF($M$1:$M$10,$A1249)&gt;0,"Y","N")</f>
        <v>Y</v>
      </c>
    </row>
    <row r="1250" customFormat="false" ht="15" hidden="false" customHeight="true" outlineLevel="0" collapsed="false">
      <c r="A1250" s="8" t="s">
        <v>53</v>
      </c>
      <c r="B1250" s="8" t="s">
        <v>76</v>
      </c>
      <c r="C1250" s="19" t="n">
        <v>0</v>
      </c>
      <c r="D1250" s="19" t="n">
        <v>0</v>
      </c>
      <c r="E1250" s="19" t="n">
        <v>2</v>
      </c>
      <c r="F1250" s="19" t="n">
        <v>1012.36</v>
      </c>
      <c r="G1250" s="8" t="str">
        <f aca="false">IFERROR(INDEX('TRANS'!$B:$B,MATCH($B1250,'TRANS'!$A:$A,0)),IFERROR(INDEX('TRANS'!$B:$B,MATCH(TRIM(SUBSTITUTE($B1250,CHAR(160)," ")),'TRANS'!$D:$D,0)),IFERROR(INDEX('Catalog'!$A:$A,MATCH($B1250,'Catalog'!$B:$B,0)),IFERROR(INDEX('Catalog'!$A:$A,MATCH(TRIM(SUBSTITUTE($B1250,CHAR(160)," ")),'Catalog'!$C:$C,0)),""))))</f>
        <v/>
      </c>
      <c r="H1250" s="8" t="str">
        <f aca="false">IFERROR(INDEX('TRANS'!$C:$C,MATCH($B1250,'TRANS'!$A:$A,0)),IFERROR(INDEX('Catalog'!$B:$B,MATCH($G1250,'Catalog'!$A:$A,0)),$B1250))</f>
        <v>MSG002S 0</v>
      </c>
      <c r="I1250" s="8" t="str">
        <f aca="false">IF($G1250="","Unmatched","Matched")</f>
        <v>Unmatched</v>
      </c>
      <c r="J1250" s="8" t="str">
        <f aca="false">IF($G1250&lt;&gt;"",$G1250,$B1250)</f>
        <v>MSG002S 0</v>
      </c>
      <c r="K1250" s="8" t="str">
        <f aca="false">IF(COUNTIF($M$1:$M$10,$A1250)&gt;0,"Y","N")</f>
        <v>Y</v>
      </c>
    </row>
    <row r="1251" customFormat="false" ht="15" hidden="false" customHeight="true" outlineLevel="0" collapsed="false">
      <c r="A1251" s="8" t="s">
        <v>53</v>
      </c>
      <c r="B1251" s="8" t="s">
        <v>129</v>
      </c>
      <c r="C1251" s="19" t="n">
        <v>3</v>
      </c>
      <c r="D1251" s="19" t="n">
        <v>916.13</v>
      </c>
      <c r="E1251" s="19" t="n">
        <v>1</v>
      </c>
      <c r="F1251" s="19" t="n">
        <v>260</v>
      </c>
      <c r="G1251" s="8" t="str">
        <f aca="false">IFERROR(INDEX('TRANS'!$B:$B,MATCH($B1251,'TRANS'!$A:$A,0)),IFERROR(INDEX('TRANS'!$B:$B,MATCH(TRIM(SUBSTITUTE($B1251,CHAR(160)," ")),'TRANS'!$D:$D,0)),IFERROR(INDEX('Catalog'!$A:$A,MATCH($B1251,'Catalog'!$B:$B,0)),IFERROR(INDEX('Catalog'!$A:$A,MATCH(TRIM(SUBSTITUTE($B1251,CHAR(160)," ")),'Catalog'!$C:$C,0)),""))))</f>
        <v/>
      </c>
      <c r="H1251" s="8" t="str">
        <f aca="false">IFERROR(INDEX('TRANS'!$C:$C,MATCH($B1251,'TRANS'!$A:$A,0)),IFERROR(INDEX('Catalog'!$B:$B,MATCH($G1251,'Catalog'!$A:$A,0)),$B1251))</f>
        <v>N433D L</v>
      </c>
      <c r="I1251" s="8" t="str">
        <f aca="false">IF($G1251="","Unmatched","Matched")</f>
        <v>Unmatched</v>
      </c>
      <c r="J1251" s="8" t="str">
        <f aca="false">IF($G1251&lt;&gt;"",$G1251,$B1251)</f>
        <v>N433D L</v>
      </c>
      <c r="K1251" s="8" t="str">
        <f aca="false">IF(COUNTIF($M$1:$M$10,$A1251)&gt;0,"Y","N")</f>
        <v>Y</v>
      </c>
    </row>
    <row r="1252" customFormat="false" ht="15" hidden="false" customHeight="true" outlineLevel="0" collapsed="false">
      <c r="A1252" s="8" t="s">
        <v>53</v>
      </c>
      <c r="B1252" s="8" t="s">
        <v>139</v>
      </c>
      <c r="C1252" s="19" t="n">
        <v>1</v>
      </c>
      <c r="D1252" s="19" t="n">
        <v>328.06</v>
      </c>
      <c r="E1252" s="19" t="n">
        <v>1</v>
      </c>
      <c r="F1252" s="19" t="n">
        <v>260</v>
      </c>
      <c r="G1252" s="8" t="str">
        <f aca="false">IFERROR(INDEX('TRANS'!$B:$B,MATCH($B1252,'TRANS'!$A:$A,0)),IFERROR(INDEX('TRANS'!$B:$B,MATCH(TRIM(SUBSTITUTE($B1252,CHAR(160)," ")),'TRANS'!$D:$D,0)),IFERROR(INDEX('Catalog'!$A:$A,MATCH($B1252,'Catalog'!$B:$B,0)),IFERROR(INDEX('Catalog'!$A:$A,MATCH(TRIM(SUBSTITUTE($B1252,CHAR(160)," ")),'Catalog'!$C:$C,0)),""))))</f>
        <v/>
      </c>
      <c r="H1252" s="8" t="str">
        <f aca="false">IFERROR(INDEX('TRANS'!$C:$C,MATCH($B1252,'TRANS'!$A:$A,0)),IFERROR(INDEX('Catalog'!$B:$B,MATCH($G1252,'Catalog'!$A:$A,0)),$B1252))</f>
        <v>N433D M</v>
      </c>
      <c r="I1252" s="8" t="str">
        <f aca="false">IF($G1252="","Unmatched","Matched")</f>
        <v>Unmatched</v>
      </c>
      <c r="J1252" s="8" t="str">
        <f aca="false">IF($G1252&lt;&gt;"",$G1252,$B1252)</f>
        <v>N433D M</v>
      </c>
      <c r="K1252" s="8" t="str">
        <f aca="false">IF(COUNTIF($M$1:$M$10,$A1252)&gt;0,"Y","N")</f>
        <v>Y</v>
      </c>
    </row>
    <row r="1253" customFormat="false" ht="15" hidden="false" customHeight="true" outlineLevel="0" collapsed="false">
      <c r="A1253" s="8" t="s">
        <v>53</v>
      </c>
      <c r="B1253" s="8" t="s">
        <v>279</v>
      </c>
      <c r="C1253" s="19" t="n">
        <v>1</v>
      </c>
      <c r="D1253" s="19" t="n">
        <v>260</v>
      </c>
      <c r="E1253" s="19" t="n">
        <v>0</v>
      </c>
      <c r="F1253" s="19" t="n">
        <v>0</v>
      </c>
      <c r="G1253" s="8" t="str">
        <f aca="false">IFERROR(INDEX('TRANS'!$B:$B,MATCH($B1253,'TRANS'!$A:$A,0)),IFERROR(INDEX('TRANS'!$B:$B,MATCH(TRIM(SUBSTITUTE($B1253,CHAR(160)," ")),'TRANS'!$D:$D,0)),IFERROR(INDEX('Catalog'!$A:$A,MATCH($B1253,'Catalog'!$B:$B,0)),IFERROR(INDEX('Catalog'!$A:$A,MATCH(TRIM(SUBSTITUTE($B1253,CHAR(160)," ")),'Catalog'!$C:$C,0)),""))))</f>
        <v/>
      </c>
      <c r="H1253" s="8" t="str">
        <f aca="false">IFERROR(INDEX('TRANS'!$C:$C,MATCH($B1253,'TRANS'!$A:$A,0)),IFERROR(INDEX('Catalog'!$B:$B,MATCH($G1253,'Catalog'!$A:$A,0)),$B1253))</f>
        <v>N433D XXL</v>
      </c>
      <c r="I1253" s="8" t="str">
        <f aca="false">IF($G1253="","Unmatched","Matched")</f>
        <v>Unmatched</v>
      </c>
      <c r="J1253" s="8" t="str">
        <f aca="false">IF($G1253&lt;&gt;"",$G1253,$B1253)</f>
        <v>N433D XXL</v>
      </c>
      <c r="K1253" s="8" t="str">
        <f aca="false">IF(COUNTIF($M$1:$M$10,$A1253)&gt;0,"Y","N")</f>
        <v>Y</v>
      </c>
    </row>
    <row r="1254" customFormat="false" ht="15" hidden="false" customHeight="true" outlineLevel="0" collapsed="false">
      <c r="A1254" s="8" t="s">
        <v>53</v>
      </c>
      <c r="B1254" s="8" t="s">
        <v>762</v>
      </c>
      <c r="C1254" s="19" t="n">
        <v>0</v>
      </c>
      <c r="D1254" s="19" t="n">
        <v>0</v>
      </c>
      <c r="E1254" s="19" t="n">
        <v>11</v>
      </c>
      <c r="F1254" s="19" t="n">
        <v>1086.43</v>
      </c>
      <c r="G1254" s="8" t="n">
        <f aca="false">IFERROR(INDEX('TRANS'!$B:$B,MATCH($B1254,'TRANS'!$A:$A,0)),IFERROR(INDEX('TRANS'!$B:$B,MATCH(TRIM(SUBSTITUTE($B1254,CHAR(160)," ")),'TRANS'!$D:$D,0)),IFERROR(INDEX('Catalog'!$A:$A,MATCH($B1254,'Catalog'!$B:$B,0)),IFERROR(INDEX('Catalog'!$A:$A,MATCH(TRIM(SUBSTITUTE($B1254,CHAR(160)," ")),'Catalog'!$C:$C,0)),""))))</f>
        <v>4413534</v>
      </c>
      <c r="H1254" s="8" t="str">
        <f aca="false">IFERROR(INDEX('TRANS'!$C:$C,MATCH($B1254,'TRANS'!$A:$A,0)),IFERROR(INDEX('Catalog'!$B:$B,MATCH($G1254,'Catalog'!$A:$A,0)),$B1254))</f>
        <v>SH333 מקבע קרסול</v>
      </c>
      <c r="I1254" s="8" t="str">
        <f aca="false">IF($G1254="","Unmatched","Matched")</f>
        <v>Matched</v>
      </c>
      <c r="J1254" s="8" t="n">
        <f aca="false">IF($G1254&lt;&gt;"",$G1254,$B1254)</f>
        <v>4413534</v>
      </c>
      <c r="K1254" s="8" t="str">
        <f aca="false">IF(COUNTIF($M$1:$M$10,$A1254)&gt;0,"Y","N")</f>
        <v>Y</v>
      </c>
    </row>
    <row r="1255" customFormat="false" ht="15" hidden="false" customHeight="true" outlineLevel="0" collapsed="false">
      <c r="A1255" s="8" t="s">
        <v>53</v>
      </c>
      <c r="B1255" s="8" t="s">
        <v>892</v>
      </c>
      <c r="C1255" s="19" t="n">
        <v>5</v>
      </c>
      <c r="D1255" s="19" t="n">
        <v>600</v>
      </c>
      <c r="E1255" s="19" t="n">
        <v>9</v>
      </c>
      <c r="F1255" s="19" t="n">
        <v>1080</v>
      </c>
      <c r="G1255" s="8" t="n">
        <f aca="false">IFERROR(INDEX('TRANS'!$B:$B,MATCH($B1255,'TRANS'!$A:$A,0)),IFERROR(INDEX('TRANS'!$B:$B,MATCH(TRIM(SUBSTITUTE($B1255,CHAR(160)," ")),'TRANS'!$D:$D,0)),IFERROR(INDEX('Catalog'!$A:$A,MATCH($B1255,'Catalog'!$B:$B,0)),IFERROR(INDEX('Catalog'!$A:$A,MATCH(TRIM(SUBSTITUTE($B1255,CHAR(160)," ")),'Catalog'!$C:$C,0)),""))))</f>
        <v>4422039</v>
      </c>
      <c r="H1255" s="8" t="str">
        <f aca="false">IFERROR(INDEX('TRANS'!$C:$C,MATCH($B1255,'TRANS'!$A:$A,0)),IFERROR(INDEX('Catalog'!$B:$B,MATCH($G1255,'Catalog'!$A:$A,0)),$B1255))</f>
        <v>SH422 3 תומך ברך גנושילד</v>
      </c>
      <c r="I1255" s="8" t="str">
        <f aca="false">IF($G1255="","Unmatched","Matched")</f>
        <v>Matched</v>
      </c>
      <c r="J1255" s="8" t="n">
        <f aca="false">IF($G1255&lt;&gt;"",$G1255,$B1255)</f>
        <v>4422039</v>
      </c>
      <c r="K1255" s="8" t="str">
        <f aca="false">IF(COUNTIF($M$1:$M$10,$A1255)&gt;0,"Y","N")</f>
        <v>Y</v>
      </c>
    </row>
    <row r="1256" customFormat="false" ht="15" hidden="false" customHeight="true" outlineLevel="0" collapsed="false">
      <c r="A1256" s="8" t="s">
        <v>53</v>
      </c>
      <c r="B1256" s="8" t="s">
        <v>893</v>
      </c>
      <c r="C1256" s="19" t="n">
        <v>6</v>
      </c>
      <c r="D1256" s="19" t="n">
        <v>600.01</v>
      </c>
      <c r="E1256" s="19" t="n">
        <v>11</v>
      </c>
      <c r="F1256" s="19" t="n">
        <v>1410.88</v>
      </c>
      <c r="G1256" s="8" t="n">
        <f aca="false">IFERROR(INDEX('TRANS'!$B:$B,MATCH($B1256,'TRANS'!$A:$A,0)),IFERROR(INDEX('TRANS'!$B:$B,MATCH(TRIM(SUBSTITUTE($B1256,CHAR(160)," ")),'TRANS'!$D:$D,0)),IFERROR(INDEX('Catalog'!$A:$A,MATCH($B1256,'Catalog'!$B:$B,0)),IFERROR(INDEX('Catalog'!$A:$A,MATCH(TRIM(SUBSTITUTE($B1256,CHAR(160)," ")),'Catalog'!$C:$C,0)),""))))</f>
        <v>4422040</v>
      </c>
      <c r="H1256" s="8" t="str">
        <f aca="false">IFERROR(INDEX('TRANS'!$C:$C,MATCH($B1256,'TRANS'!$A:$A,0)),IFERROR(INDEX('Catalog'!$B:$B,MATCH($G1256,'Catalog'!$A:$A,0)),$B1256))</f>
        <v>SH422 4 תומך ברך גנושילד</v>
      </c>
      <c r="I1256" s="8" t="str">
        <f aca="false">IF($G1256="","Unmatched","Matched")</f>
        <v>Matched</v>
      </c>
      <c r="J1256" s="8" t="n">
        <f aca="false">IF($G1256&lt;&gt;"",$G1256,$B1256)</f>
        <v>4422040</v>
      </c>
      <c r="K1256" s="8" t="str">
        <f aca="false">IF(COUNTIF($M$1:$M$10,$A1256)&gt;0,"Y","N")</f>
        <v>Y</v>
      </c>
    </row>
    <row r="1257" customFormat="false" ht="15" hidden="false" customHeight="true" outlineLevel="0" collapsed="false">
      <c r="A1257" s="8" t="s">
        <v>53</v>
      </c>
      <c r="B1257" s="8" t="s">
        <v>763</v>
      </c>
      <c r="C1257" s="19" t="n">
        <v>4</v>
      </c>
      <c r="D1257" s="19" t="n">
        <v>480</v>
      </c>
      <c r="E1257" s="19" t="n">
        <v>8</v>
      </c>
      <c r="F1257" s="19" t="n">
        <v>720.01</v>
      </c>
      <c r="G1257" s="8" t="n">
        <f aca="false">IFERROR(INDEX('TRANS'!$B:$B,MATCH($B1257,'TRANS'!$A:$A,0)),IFERROR(INDEX('TRANS'!$B:$B,MATCH(TRIM(SUBSTITUTE($B1257,CHAR(160)," ")),'TRANS'!$D:$D,0)),IFERROR(INDEX('Catalog'!$A:$A,MATCH($B1257,'Catalog'!$B:$B,0)),IFERROR(INDEX('Catalog'!$A:$A,MATCH(TRIM(SUBSTITUTE($B1257,CHAR(160)," ")),'Catalog'!$C:$C,0)),""))))</f>
        <v>4422041</v>
      </c>
      <c r="H1257" s="8" t="str">
        <f aca="false">IFERROR(INDEX('TRANS'!$C:$C,MATCH($B1257,'TRANS'!$A:$A,0)),IFERROR(INDEX('Catalog'!$B:$B,MATCH($G1257,'Catalog'!$A:$A,0)),$B1257))</f>
        <v>SH422 5 תומך ברך גנושילד</v>
      </c>
      <c r="I1257" s="8" t="str">
        <f aca="false">IF($G1257="","Unmatched","Matched")</f>
        <v>Matched</v>
      </c>
      <c r="J1257" s="8" t="n">
        <f aca="false">IF($G1257&lt;&gt;"",$G1257,$B1257)</f>
        <v>4422041</v>
      </c>
      <c r="K1257" s="8" t="str">
        <f aca="false">IF(COUNTIF($M$1:$M$10,$A1257)&gt;0,"Y","N")</f>
        <v>Y</v>
      </c>
    </row>
    <row r="1258" customFormat="false" ht="15" hidden="false" customHeight="true" outlineLevel="0" collapsed="false">
      <c r="A1258" s="8" t="s">
        <v>53</v>
      </c>
      <c r="B1258" s="8" t="s">
        <v>90</v>
      </c>
      <c r="C1258" s="19" t="n">
        <v>0</v>
      </c>
      <c r="D1258" s="19" t="n">
        <v>0</v>
      </c>
      <c r="E1258" s="19" t="n">
        <v>1</v>
      </c>
      <c r="F1258" s="19" t="n">
        <v>115</v>
      </c>
      <c r="G1258" s="8" t="str">
        <f aca="false">IFERROR(INDEX('TRANS'!$B:$B,MATCH($B1258,'TRANS'!$A:$A,0)),IFERROR(INDEX('TRANS'!$B:$B,MATCH(TRIM(SUBSTITUTE($B1258,CHAR(160)," ")),'TRANS'!$D:$D,0)),IFERROR(INDEX('Catalog'!$A:$A,MATCH($B1258,'Catalog'!$B:$B,0)),IFERROR(INDEX('Catalog'!$A:$A,MATCH(TRIM(SUBSTITUTE($B1258,CHAR(160)," ")),'Catalog'!$C:$C,0)),""))))</f>
        <v/>
      </c>
      <c r="H1258" s="8" t="str">
        <f aca="false">IFERROR(INDEX('TRANS'!$C:$C,MATCH($B1258,'TRANS'!$A:$A,0)),IFERROR(INDEX('Catalog'!$B:$B,MATCH($G1258,'Catalog'!$A:$A,0)),$B1258))</f>
        <v>T33 L</v>
      </c>
      <c r="I1258" s="8" t="str">
        <f aca="false">IF($G1258="","Unmatched","Matched")</f>
        <v>Unmatched</v>
      </c>
      <c r="J1258" s="8" t="str">
        <f aca="false">IF($G1258&lt;&gt;"",$G1258,$B1258)</f>
        <v>T33 L</v>
      </c>
      <c r="K1258" s="8" t="str">
        <f aca="false">IF(COUNTIF($M$1:$M$10,$A1258)&gt;0,"Y","N")</f>
        <v>Y</v>
      </c>
    </row>
    <row r="1259" customFormat="false" ht="15" hidden="false" customHeight="true" outlineLevel="0" collapsed="false">
      <c r="A1259" s="8" t="s">
        <v>53</v>
      </c>
      <c r="B1259" s="8" t="s">
        <v>166</v>
      </c>
      <c r="C1259" s="19" t="n">
        <v>0</v>
      </c>
      <c r="D1259" s="19" t="n">
        <v>0</v>
      </c>
      <c r="E1259" s="19" t="n">
        <v>1</v>
      </c>
      <c r="F1259" s="19" t="n">
        <v>115</v>
      </c>
      <c r="G1259" s="8" t="str">
        <f aca="false">IFERROR(INDEX('TRANS'!$B:$B,MATCH($B1259,'TRANS'!$A:$A,0)),IFERROR(INDEX('TRANS'!$B:$B,MATCH(TRIM(SUBSTITUTE($B1259,CHAR(160)," ")),'TRANS'!$D:$D,0)),IFERROR(INDEX('Catalog'!$A:$A,MATCH($B1259,'Catalog'!$B:$B,0)),IFERROR(INDEX('Catalog'!$A:$A,MATCH(TRIM(SUBSTITUTE($B1259,CHAR(160)," ")),'Catalog'!$C:$C,0)),""))))</f>
        <v/>
      </c>
      <c r="H1259" s="8" t="str">
        <f aca="false">IFERROR(INDEX('TRANS'!$C:$C,MATCH($B1259,'TRANS'!$A:$A,0)),IFERROR(INDEX('Catalog'!$B:$B,MATCH($G1259,'Catalog'!$A:$A,0)),$B1259))</f>
        <v>T33 S</v>
      </c>
      <c r="I1259" s="8" t="str">
        <f aca="false">IF($G1259="","Unmatched","Matched")</f>
        <v>Unmatched</v>
      </c>
      <c r="J1259" s="8" t="str">
        <f aca="false">IF($G1259&lt;&gt;"",$G1259,$B1259)</f>
        <v>T33 S</v>
      </c>
      <c r="K1259" s="8" t="str">
        <f aca="false">IF(COUNTIF($M$1:$M$10,$A1259)&gt;0,"Y","N")</f>
        <v>Y</v>
      </c>
    </row>
    <row r="1260" customFormat="false" ht="15" hidden="false" customHeight="true" outlineLevel="0" collapsed="false">
      <c r="A1260" s="8" t="s">
        <v>53</v>
      </c>
      <c r="B1260" s="8" t="s">
        <v>118</v>
      </c>
      <c r="C1260" s="19" t="n">
        <v>0</v>
      </c>
      <c r="D1260" s="19" t="n">
        <v>0</v>
      </c>
      <c r="E1260" s="19" t="n">
        <v>1</v>
      </c>
      <c r="F1260" s="19" t="n">
        <v>115</v>
      </c>
      <c r="G1260" s="8" t="str">
        <f aca="false">IFERROR(INDEX('TRANS'!$B:$B,MATCH($B1260,'TRANS'!$A:$A,0)),IFERROR(INDEX('TRANS'!$B:$B,MATCH(TRIM(SUBSTITUTE($B1260,CHAR(160)," ")),'TRANS'!$D:$D,0)),IFERROR(INDEX('Catalog'!$A:$A,MATCH($B1260,'Catalog'!$B:$B,0)),IFERROR(INDEX('Catalog'!$A:$A,MATCH(TRIM(SUBSTITUTE($B1260,CHAR(160)," ")),'Catalog'!$C:$C,0)),""))))</f>
        <v/>
      </c>
      <c r="H1260" s="8" t="str">
        <f aca="false">IFERROR(INDEX('TRANS'!$C:$C,MATCH($B1260,'TRANS'!$A:$A,0)),IFERROR(INDEX('Catalog'!$B:$B,MATCH($G1260,'Catalog'!$A:$A,0)),$B1260))</f>
        <v>T33 XL</v>
      </c>
      <c r="I1260" s="8" t="str">
        <f aca="false">IF($G1260="","Unmatched","Matched")</f>
        <v>Unmatched</v>
      </c>
      <c r="J1260" s="8" t="str">
        <f aca="false">IF($G1260&lt;&gt;"",$G1260,$B1260)</f>
        <v>T33 XL</v>
      </c>
      <c r="K1260" s="8" t="str">
        <f aca="false">IF(COUNTIF($M$1:$M$10,$A1260)&gt;0,"Y","N")</f>
        <v>Y</v>
      </c>
    </row>
    <row r="1261" customFormat="false" ht="15" hidden="false" customHeight="true" outlineLevel="0" collapsed="false">
      <c r="A1261" s="8" t="s">
        <v>53</v>
      </c>
      <c r="B1261" s="8" t="s">
        <v>159</v>
      </c>
      <c r="C1261" s="19" t="n">
        <v>0</v>
      </c>
      <c r="D1261" s="19" t="n">
        <v>0</v>
      </c>
      <c r="E1261" s="19" t="n">
        <v>3</v>
      </c>
      <c r="F1261" s="19" t="n">
        <v>345</v>
      </c>
      <c r="G1261" s="8" t="str">
        <f aca="false">IFERROR(INDEX('TRANS'!$B:$B,MATCH($B1261,'TRANS'!$A:$A,0)),IFERROR(INDEX('TRANS'!$B:$B,MATCH(TRIM(SUBSTITUTE($B1261,CHAR(160)," ")),'TRANS'!$D:$D,0)),IFERROR(INDEX('Catalog'!$A:$A,MATCH($B1261,'Catalog'!$B:$B,0)),IFERROR(INDEX('Catalog'!$A:$A,MATCH(TRIM(SUBSTITUTE($B1261,CHAR(160)," ")),'Catalog'!$C:$C,0)),""))))</f>
        <v/>
      </c>
      <c r="H1261" s="8" t="str">
        <f aca="false">IFERROR(INDEX('TRANS'!$C:$C,MATCH($B1261,'TRANS'!$A:$A,0)),IFERROR(INDEX('Catalog'!$B:$B,MATCH($G1261,'Catalog'!$A:$A,0)),$B1261))</f>
        <v>T33 XXL</v>
      </c>
      <c r="I1261" s="8" t="str">
        <f aca="false">IF($G1261="","Unmatched","Matched")</f>
        <v>Unmatched</v>
      </c>
      <c r="J1261" s="8" t="str">
        <f aca="false">IF($G1261&lt;&gt;"",$G1261,$B1261)</f>
        <v>T33 XXL</v>
      </c>
      <c r="K1261" s="8" t="str">
        <f aca="false">IF(COUNTIF($M$1:$M$10,$A1261)&gt;0,"Y","N")</f>
        <v>Y</v>
      </c>
    </row>
    <row r="1262" customFormat="false" ht="15" hidden="false" customHeight="true" outlineLevel="0" collapsed="false">
      <c r="A1262" s="8" t="s">
        <v>53</v>
      </c>
      <c r="B1262" s="8" t="s">
        <v>168</v>
      </c>
      <c r="C1262" s="19" t="n">
        <v>1</v>
      </c>
      <c r="D1262" s="19" t="n">
        <v>80</v>
      </c>
      <c r="E1262" s="19" t="n">
        <v>0</v>
      </c>
      <c r="F1262" s="19" t="n">
        <v>0</v>
      </c>
      <c r="G1262" s="8" t="str">
        <f aca="false">IFERROR(INDEX('TRANS'!$B:$B,MATCH($B1262,'TRANS'!$A:$A,0)),IFERROR(INDEX('TRANS'!$B:$B,MATCH(TRIM(SUBSTITUTE($B1262,CHAR(160)," ")),'TRANS'!$D:$D,0)),IFERROR(INDEX('Catalog'!$A:$A,MATCH($B1262,'Catalog'!$B:$B,0)),IFERROR(INDEX('Catalog'!$A:$A,MATCH(TRIM(SUBSTITUTE($B1262,CHAR(160)," ")),'Catalog'!$C:$C,0)),""))))</f>
        <v/>
      </c>
      <c r="H1262" s="8" t="str">
        <f aca="false">IFERROR(INDEX('TRANS'!$C:$C,MATCH($B1262,'TRANS'!$A:$A,0)),IFERROR(INDEX('Catalog'!$B:$B,MATCH($G1262,'Catalog'!$A:$A,0)),$B1262))</f>
        <v>T45X L</v>
      </c>
      <c r="I1262" s="8" t="str">
        <f aca="false">IF($G1262="","Unmatched","Matched")</f>
        <v>Unmatched</v>
      </c>
      <c r="J1262" s="8" t="str">
        <f aca="false">IF($G1262&lt;&gt;"",$G1262,$B1262)</f>
        <v>T45X L</v>
      </c>
      <c r="K1262" s="8" t="str">
        <f aca="false">IF(COUNTIF($M$1:$M$10,$A1262)&gt;0,"Y","N")</f>
        <v>Y</v>
      </c>
    </row>
    <row r="1263" customFormat="false" ht="15" hidden="false" customHeight="true" outlineLevel="0" collapsed="false">
      <c r="A1263" s="8" t="s">
        <v>53</v>
      </c>
      <c r="B1263" s="8" t="s">
        <v>188</v>
      </c>
      <c r="C1263" s="19" t="n">
        <v>1</v>
      </c>
      <c r="D1263" s="19" t="n">
        <v>80</v>
      </c>
      <c r="E1263" s="19" t="n">
        <v>0</v>
      </c>
      <c r="F1263" s="19" t="n">
        <v>0</v>
      </c>
      <c r="G1263" s="8" t="str">
        <f aca="false">IFERROR(INDEX('TRANS'!$B:$B,MATCH($B1263,'TRANS'!$A:$A,0)),IFERROR(INDEX('TRANS'!$B:$B,MATCH(TRIM(SUBSTITUTE($B1263,CHAR(160)," ")),'TRANS'!$D:$D,0)),IFERROR(INDEX('Catalog'!$A:$A,MATCH($B1263,'Catalog'!$B:$B,0)),IFERROR(INDEX('Catalog'!$A:$A,MATCH(TRIM(SUBSTITUTE($B1263,CHAR(160)," ")),'Catalog'!$C:$C,0)),""))))</f>
        <v/>
      </c>
      <c r="H1263" s="8" t="str">
        <f aca="false">IFERROR(INDEX('TRANS'!$C:$C,MATCH($B1263,'TRANS'!$A:$A,0)),IFERROR(INDEX('Catalog'!$B:$B,MATCH($G1263,'Catalog'!$A:$A,0)),$B1263))</f>
        <v>T45X M</v>
      </c>
      <c r="I1263" s="8" t="str">
        <f aca="false">IF($G1263="","Unmatched","Matched")</f>
        <v>Unmatched</v>
      </c>
      <c r="J1263" s="8" t="str">
        <f aca="false">IF($G1263&lt;&gt;"",$G1263,$B1263)</f>
        <v>T45X M</v>
      </c>
      <c r="K1263" s="8" t="str">
        <f aca="false">IF(COUNTIF($M$1:$M$10,$A1263)&gt;0,"Y","N")</f>
        <v>Y</v>
      </c>
    </row>
    <row r="1264" customFormat="false" ht="15" hidden="false" customHeight="true" outlineLevel="0" collapsed="false">
      <c r="A1264" s="8" t="s">
        <v>53</v>
      </c>
      <c r="B1264" s="8" t="s">
        <v>323</v>
      </c>
      <c r="C1264" s="19" t="n">
        <v>1</v>
      </c>
      <c r="D1264" s="19" t="n">
        <v>80</v>
      </c>
      <c r="E1264" s="19" t="n">
        <v>0</v>
      </c>
      <c r="F1264" s="19" t="n">
        <v>0</v>
      </c>
      <c r="G1264" s="8" t="str">
        <f aca="false">IFERROR(INDEX('TRANS'!$B:$B,MATCH($B1264,'TRANS'!$A:$A,0)),IFERROR(INDEX('TRANS'!$B:$B,MATCH(TRIM(SUBSTITUTE($B1264,CHAR(160)," ")),'TRANS'!$D:$D,0)),IFERROR(INDEX('Catalog'!$A:$A,MATCH($B1264,'Catalog'!$B:$B,0)),IFERROR(INDEX('Catalog'!$A:$A,MATCH(TRIM(SUBSTITUTE($B1264,CHAR(160)," ")),'Catalog'!$C:$C,0)),""))))</f>
        <v/>
      </c>
      <c r="H1264" s="8" t="str">
        <f aca="false">IFERROR(INDEX('TRANS'!$C:$C,MATCH($B1264,'TRANS'!$A:$A,0)),IFERROR(INDEX('Catalog'!$B:$B,MATCH($G1264,'Catalog'!$A:$A,0)),$B1264))</f>
        <v>T45X S</v>
      </c>
      <c r="I1264" s="8" t="str">
        <f aca="false">IF($G1264="","Unmatched","Matched")</f>
        <v>Unmatched</v>
      </c>
      <c r="J1264" s="8" t="str">
        <f aca="false">IF($G1264&lt;&gt;"",$G1264,$B1264)</f>
        <v>T45X S</v>
      </c>
      <c r="K1264" s="8" t="str">
        <f aca="false">IF(COUNTIF($M$1:$M$10,$A1264)&gt;0,"Y","N")</f>
        <v>Y</v>
      </c>
    </row>
    <row r="1265" customFormat="false" ht="15" hidden="false" customHeight="true" outlineLevel="0" collapsed="false">
      <c r="A1265" s="8" t="s">
        <v>53</v>
      </c>
      <c r="B1265" s="8" t="s">
        <v>850</v>
      </c>
      <c r="C1265" s="19" t="n">
        <v>1</v>
      </c>
      <c r="D1265" s="19" t="n">
        <v>80</v>
      </c>
      <c r="E1265" s="19" t="n">
        <v>0</v>
      </c>
      <c r="F1265" s="19" t="n">
        <v>0</v>
      </c>
      <c r="G1265" s="8" t="n">
        <f aca="false">IFERROR(INDEX('TRANS'!$B:$B,MATCH($B1265,'TRANS'!$A:$A,0)),IFERROR(INDEX('TRANS'!$B:$B,MATCH(TRIM(SUBSTITUTE($B1265,CHAR(160)," ")),'TRANS'!$D:$D,0)),IFERROR(INDEX('Catalog'!$A:$A,MATCH($B1265,'Catalog'!$B:$B,0)),IFERROR(INDEX('Catalog'!$A:$A,MATCH(TRIM(SUBSTITUTE($B1265,CHAR(160)," ")),'Catalog'!$C:$C,0)),""))))</f>
        <v>4413260</v>
      </c>
      <c r="H1265" s="8" t="str">
        <f aca="false">IFERROR(INDEX('TRANS'!$C:$C,MATCH($B1265,'TRANS'!$A:$A,0)),IFERROR(INDEX('Catalog'!$B:$B,MATCH($G1265,'Catalog'!$A:$A,0)),$B1265))</f>
        <v>T45X-XXLמגן ברך רגיל</v>
      </c>
      <c r="I1265" s="8" t="str">
        <f aca="false">IF($G1265="","Unmatched","Matched")</f>
        <v>Matched</v>
      </c>
      <c r="J1265" s="8" t="n">
        <f aca="false">IF($G1265&lt;&gt;"",$G1265,$B1265)</f>
        <v>4413260</v>
      </c>
      <c r="K1265" s="8" t="str">
        <f aca="false">IF(COUNTIF($M$1:$M$10,$A1265)&gt;0,"Y","N")</f>
        <v>Y</v>
      </c>
    </row>
    <row r="1266" customFormat="false" ht="15" hidden="false" customHeight="true" outlineLevel="0" collapsed="false">
      <c r="A1266" s="8" t="s">
        <v>53</v>
      </c>
      <c r="B1266" s="8" t="s">
        <v>851</v>
      </c>
      <c r="C1266" s="19" t="n">
        <v>1</v>
      </c>
      <c r="D1266" s="19" t="n">
        <v>129.99</v>
      </c>
      <c r="E1266" s="19" t="n">
        <v>0</v>
      </c>
      <c r="F1266" s="19" t="n">
        <v>0</v>
      </c>
      <c r="G1266" s="8" t="n">
        <f aca="false">IFERROR(INDEX('TRANS'!$B:$B,MATCH($B1266,'TRANS'!$A:$A,0)),IFERROR(INDEX('TRANS'!$B:$B,MATCH(TRIM(SUBSTITUTE($B1266,CHAR(160)," ")),'TRANS'!$D:$D,0)),IFERROR(INDEX('Catalog'!$A:$A,MATCH($B1266,'Catalog'!$B:$B,0)),IFERROR(INDEX('Catalog'!$A:$A,MATCH(TRIM(SUBSTITUTE($B1266,CHAR(160)," ")),'Catalog'!$C:$C,0)),""))))</f>
        <v>4422005</v>
      </c>
      <c r="H1266" s="8" t="str">
        <f aca="false">IFERROR(INDEX('TRANS'!$C:$C,MATCH($B1266,'TRANS'!$A:$A,0)),IFERROR(INDEX('Catalog'!$B:$B,MATCH($G1266,'Catalog'!$A:$A,0)),$B1266))</f>
        <v>T78 M תומך זרוע וכתף</v>
      </c>
      <c r="I1266" s="8" t="str">
        <f aca="false">IF($G1266="","Unmatched","Matched")</f>
        <v>Matched</v>
      </c>
      <c r="J1266" s="8" t="n">
        <f aca="false">IF($G1266&lt;&gt;"",$G1266,$B1266)</f>
        <v>4422005</v>
      </c>
      <c r="K1266" s="8" t="str">
        <f aca="false">IF(COUNTIF($M$1:$M$10,$A1266)&gt;0,"Y","N")</f>
        <v>Y</v>
      </c>
    </row>
    <row r="1267" customFormat="false" ht="15" hidden="false" customHeight="true" outlineLevel="0" collapsed="false">
      <c r="A1267" s="8" t="s">
        <v>53</v>
      </c>
      <c r="B1267" s="8" t="s">
        <v>919</v>
      </c>
      <c r="C1267" s="19" t="n">
        <v>1</v>
      </c>
      <c r="D1267" s="19" t="n">
        <v>130</v>
      </c>
      <c r="E1267" s="19" t="n">
        <v>0</v>
      </c>
      <c r="F1267" s="19" t="n">
        <v>0</v>
      </c>
      <c r="G1267" s="8" t="n">
        <f aca="false">IFERROR(INDEX('TRANS'!$B:$B,MATCH($B1267,'TRANS'!$A:$A,0)),IFERROR(INDEX('TRANS'!$B:$B,MATCH(TRIM(SUBSTITUTE($B1267,CHAR(160)," ")),'TRANS'!$D:$D,0)),IFERROR(INDEX('Catalog'!$A:$A,MATCH($B1267,'Catalog'!$B:$B,0)),IFERROR(INDEX('Catalog'!$A:$A,MATCH(TRIM(SUBSTITUTE($B1267,CHAR(160)," ")),'Catalog'!$C:$C,0)),""))))</f>
        <v>4422004</v>
      </c>
      <c r="H1267" s="8" t="str">
        <f aca="false">IFERROR(INDEX('TRANS'!$C:$C,MATCH($B1267,'TRANS'!$A:$A,0)),IFERROR(INDEX('Catalog'!$B:$B,MATCH($G1267,'Catalog'!$A:$A,0)),$B1267))</f>
        <v>T78 S תומך זרוע וכתף</v>
      </c>
      <c r="I1267" s="8" t="str">
        <f aca="false">IF($G1267="","Unmatched","Matched")</f>
        <v>Matched</v>
      </c>
      <c r="J1267" s="8" t="n">
        <f aca="false">IF($G1267&lt;&gt;"",$G1267,$B1267)</f>
        <v>4422004</v>
      </c>
      <c r="K1267" s="8" t="str">
        <f aca="false">IF(COUNTIF($M$1:$M$10,$A1267)&gt;0,"Y","N")</f>
        <v>Y</v>
      </c>
    </row>
    <row r="1268" customFormat="false" ht="15" hidden="false" customHeight="true" outlineLevel="0" collapsed="false">
      <c r="A1268" s="8" t="s">
        <v>53</v>
      </c>
      <c r="B1268" s="8" t="s">
        <v>706</v>
      </c>
      <c r="C1268" s="19" t="n">
        <v>73</v>
      </c>
      <c r="D1268" s="19" t="n">
        <v>2258.97</v>
      </c>
      <c r="E1268" s="19" t="n">
        <v>50</v>
      </c>
      <c r="F1268" s="19" t="n">
        <v>1500</v>
      </c>
      <c r="G1268" s="8" t="n">
        <f aca="false">IFERROR(INDEX('TRANS'!$B:$B,MATCH($B1268,'TRANS'!$A:$A,0)),IFERROR(INDEX('TRANS'!$B:$B,MATCH(TRIM(SUBSTITUTE($B1268,CHAR(160)," ")),'TRANS'!$D:$D,0)),IFERROR(INDEX('Catalog'!$A:$A,MATCH($B1268,'Catalog'!$B:$B,0)),IFERROR(INDEX('Catalog'!$A:$A,MATCH(TRIM(SUBSTITUTE($B1268,CHAR(160)," ")),'Catalog'!$C:$C,0)),""))))</f>
        <v>4409016</v>
      </c>
      <c r="H1268" s="8" t="str">
        <f aca="false">IFERROR(INDEX('TRANS'!$C:$C,MATCH($B1268,'TRANS'!$A:$A,0)),IFERROR(INDEX('Catalog'!$B:$B,MATCH($G1268,'Catalog'!$A:$A,0)),$B1268))</f>
        <v>808KT-C        טייפ קינזיולוגי</v>
      </c>
      <c r="I1268" s="8" t="str">
        <f aca="false">IF($G1268="","Unmatched","Matched")</f>
        <v>Matched</v>
      </c>
      <c r="J1268" s="8" t="n">
        <f aca="false">IF($G1268&lt;&gt;"",$G1268,$B1268)</f>
        <v>4409016</v>
      </c>
      <c r="K1268" s="8" t="str">
        <f aca="false">IF(COUNTIF($M$1:$M$10,$A1268)&gt;0,"Y","N")</f>
        <v>Y</v>
      </c>
    </row>
    <row r="1269" customFormat="false" ht="15" hidden="false" customHeight="true" outlineLevel="0" collapsed="false">
      <c r="A1269" s="8" t="s">
        <v>53</v>
      </c>
      <c r="B1269" s="8" t="s">
        <v>112</v>
      </c>
      <c r="C1269" s="19" t="n">
        <v>1</v>
      </c>
      <c r="D1269" s="19" t="n">
        <v>47.23</v>
      </c>
      <c r="E1269" s="19" t="n">
        <v>15</v>
      </c>
      <c r="F1269" s="19" t="n">
        <v>450</v>
      </c>
      <c r="G1269" s="8" t="str">
        <f aca="false">IFERROR(INDEX('TRANS'!$B:$B,MATCH($B1269,'TRANS'!$A:$A,0)),IFERROR(INDEX('TRANS'!$B:$B,MATCH(TRIM(SUBSTITUTE($B1269,CHAR(160)," ")),'TRANS'!$D:$D,0)),IFERROR(INDEX('Catalog'!$A:$A,MATCH($B1269,'Catalog'!$B:$B,0)),IFERROR(INDEX('Catalog'!$A:$A,MATCH(TRIM(SUBSTITUTE($B1269,CHAR(160)," ")),'Catalog'!$C:$C,0)),""))))</f>
        <v/>
      </c>
      <c r="H1269" s="8" t="str">
        <f aca="false">IFERROR(INDEX('TRANS'!$C:$C,MATCH($B1269,'TRANS'!$A:$A,0)),IFERROR(INDEX('Catalog'!$B:$B,MATCH($G1269,'Catalog'!$A:$A,0)),$B1269))</f>
        <v>808KTP-B</v>
      </c>
      <c r="I1269" s="8" t="str">
        <f aca="false">IF($G1269="","Unmatched","Matched")</f>
        <v>Unmatched</v>
      </c>
      <c r="J1269" s="8" t="str">
        <f aca="false">IF($G1269&lt;&gt;"",$G1269,$B1269)</f>
        <v>808KTP-B</v>
      </c>
      <c r="K1269" s="8" t="str">
        <f aca="false">IF(COUNTIF($M$1:$M$10,$A1269)&gt;0,"Y","N")</f>
        <v>Y</v>
      </c>
    </row>
    <row r="1270" customFormat="false" ht="15" hidden="false" customHeight="true" outlineLevel="0" collapsed="false">
      <c r="A1270" s="8" t="s">
        <v>53</v>
      </c>
      <c r="B1270" s="8" t="s">
        <v>79</v>
      </c>
      <c r="C1270" s="19" t="n">
        <v>1</v>
      </c>
      <c r="D1270" s="19" t="n">
        <v>47.23</v>
      </c>
      <c r="E1270" s="19" t="n">
        <v>16</v>
      </c>
      <c r="F1270" s="19" t="n">
        <v>497.23</v>
      </c>
      <c r="G1270" s="8" t="str">
        <f aca="false">IFERROR(INDEX('TRANS'!$B:$B,MATCH($B1270,'TRANS'!$A:$A,0)),IFERROR(INDEX('TRANS'!$B:$B,MATCH(TRIM(SUBSTITUTE($B1270,CHAR(160)," ")),'TRANS'!$D:$D,0)),IFERROR(INDEX('Catalog'!$A:$A,MATCH($B1270,'Catalog'!$B:$B,0)),IFERROR(INDEX('Catalog'!$A:$A,MATCH(TRIM(SUBSTITUTE($B1270,CHAR(160)," ")),'Catalog'!$C:$C,0)),""))))</f>
        <v/>
      </c>
      <c r="H1270" s="8" t="str">
        <f aca="false">IFERROR(INDEX('TRANS'!$C:$C,MATCH($B1270,'TRANS'!$A:$A,0)),IFERROR(INDEX('Catalog'!$B:$B,MATCH($G1270,'Catalog'!$A:$A,0)),$B1270))</f>
        <v>808KTP-BL</v>
      </c>
      <c r="I1270" s="8" t="str">
        <f aca="false">IF($G1270="","Unmatched","Matched")</f>
        <v>Unmatched</v>
      </c>
      <c r="J1270" s="8" t="str">
        <f aca="false">IF($G1270&lt;&gt;"",$G1270,$B1270)</f>
        <v>808KTP-BL</v>
      </c>
      <c r="K1270" s="8" t="str">
        <f aca="false">IF(COUNTIF($M$1:$M$10,$A1270)&gt;0,"Y","N")</f>
        <v>Y</v>
      </c>
    </row>
    <row r="1271" customFormat="false" ht="15" hidden="false" customHeight="true" outlineLevel="0" collapsed="false">
      <c r="A1271" s="8" t="s">
        <v>53</v>
      </c>
      <c r="B1271" s="8" t="s">
        <v>669</v>
      </c>
      <c r="C1271" s="19" t="n">
        <v>0</v>
      </c>
      <c r="D1271" s="19" t="n">
        <v>0</v>
      </c>
      <c r="E1271" s="19" t="n">
        <v>4</v>
      </c>
      <c r="F1271" s="19" t="n">
        <v>252.93</v>
      </c>
      <c r="G1271" s="8" t="n">
        <f aca="false">IFERROR(INDEX('TRANS'!$B:$B,MATCH($B1271,'TRANS'!$A:$A,0)),IFERROR(INDEX('TRANS'!$B:$B,MATCH(TRIM(SUBSTITUTE($B1271,CHAR(160)," ")),'TRANS'!$D:$D,0)),IFERROR(INDEX('Catalog'!$A:$A,MATCH($B1271,'Catalog'!$B:$B,0)),IFERROR(INDEX('Catalog'!$A:$A,MATCH(TRIM(SUBSTITUTE($B1271,CHAR(160)," ")),'Catalog'!$C:$C,0)),""))))</f>
        <v>4403043</v>
      </c>
      <c r="H1271" s="8" t="str">
        <f aca="false">IFERROR(INDEX('TRANS'!$C:$C,MATCH($B1271,'TRANS'!$A:$A,0)),IFERROR(INDEX('Catalog'!$B:$B,MATCH($G1271,'Catalog'!$A:$A,0)),$B1271))</f>
        <v>397A-גרבי טיסה אנטי בקטרי43-46</v>
      </c>
      <c r="I1271" s="8" t="str">
        <f aca="false">IF($G1271="","Unmatched","Matched")</f>
        <v>Matched</v>
      </c>
      <c r="J1271" s="8" t="n">
        <f aca="false">IF($G1271&lt;&gt;"",$G1271,$B1271)</f>
        <v>4403043</v>
      </c>
      <c r="K1271" s="8" t="str">
        <f aca="false">IF(COUNTIF($M$1:$M$10,$A1271)&gt;0,"Y","N")</f>
        <v>Y</v>
      </c>
    </row>
    <row r="1272" customFormat="false" ht="15" hidden="false" customHeight="true" outlineLevel="0" collapsed="false">
      <c r="A1272" s="8" t="s">
        <v>53</v>
      </c>
      <c r="B1272" s="8" t="s">
        <v>732</v>
      </c>
      <c r="C1272" s="19" t="n">
        <v>0</v>
      </c>
      <c r="D1272" s="19" t="n">
        <v>0</v>
      </c>
      <c r="E1272" s="19" t="n">
        <v>7</v>
      </c>
      <c r="F1272" s="19" t="n">
        <v>525.69</v>
      </c>
      <c r="G1272" s="8" t="n">
        <f aca="false">IFERROR(INDEX('TRANS'!$B:$B,MATCH($B1272,'TRANS'!$A:$A,0)),IFERROR(INDEX('TRANS'!$B:$B,MATCH(TRIM(SUBSTITUTE($B1272,CHAR(160)," ")),'TRANS'!$D:$D,0)),IFERROR(INDEX('Catalog'!$A:$A,MATCH($B1272,'Catalog'!$B:$B,0)),IFERROR(INDEX('Catalog'!$A:$A,MATCH(TRIM(SUBSTITUTE($B1272,CHAR(160)," ")),'Catalog'!$C:$C,0)),""))))</f>
        <v>4413456</v>
      </c>
      <c r="H1272" s="8" t="str">
        <f aca="false">IFERROR(INDEX('TRANS'!$C:$C,MATCH($B1272,'TRANS'!$A:$A,0)),IFERROR(INDEX('Catalog'!$B:$B,MATCH($G1272,'Catalog'!$A:$A,0)),$B1272))</f>
        <v>AC75 XXL  מיישר כתפיים אקטיב</v>
      </c>
      <c r="I1272" s="8" t="str">
        <f aca="false">IF($G1272="","Unmatched","Matched")</f>
        <v>Matched</v>
      </c>
      <c r="J1272" s="8" t="n">
        <f aca="false">IF($G1272&lt;&gt;"",$G1272,$B1272)</f>
        <v>4413456</v>
      </c>
      <c r="K1272" s="8" t="str">
        <f aca="false">IF(COUNTIF($M$1:$M$10,$A1272)&gt;0,"Y","N")</f>
        <v>Y</v>
      </c>
    </row>
    <row r="1273" customFormat="false" ht="15" hidden="false" customHeight="true" outlineLevel="0" collapsed="false">
      <c r="A1273" s="8" t="s">
        <v>53</v>
      </c>
      <c r="B1273" s="8" t="s">
        <v>558</v>
      </c>
      <c r="C1273" s="19" t="n">
        <v>28</v>
      </c>
      <c r="D1273" s="19" t="n">
        <v>1993.56</v>
      </c>
      <c r="E1273" s="19" t="n">
        <v>30</v>
      </c>
      <c r="F1273" s="19" t="n">
        <v>2208.95</v>
      </c>
      <c r="G1273" s="8" t="n">
        <f aca="false">IFERROR(INDEX('TRANS'!$B:$B,MATCH($B1273,'TRANS'!$A:$A,0)),IFERROR(INDEX('TRANS'!$B:$B,MATCH(TRIM(SUBSTITUTE($B1273,CHAR(160)," ")),'TRANS'!$D:$D,0)),IFERROR(INDEX('Catalog'!$A:$A,MATCH($B1273,'Catalog'!$B:$B,0)),IFERROR(INDEX('Catalog'!$A:$A,MATCH(TRIM(SUBSTITUTE($B1273,CHAR(160)," ")),'Catalog'!$C:$C,0)),""))))</f>
        <v>4413453</v>
      </c>
      <c r="H1273" s="8" t="str">
        <f aca="false">IFERROR(INDEX('TRANS'!$C:$C,MATCH($B1273,'TRANS'!$A:$A,0)),IFERROR(INDEX('Catalog'!$B:$B,MATCH($G1273,'Catalog'!$A:$A,0)),$B1273))</f>
        <v>AC75 מישר כתפיים אקטיב</v>
      </c>
      <c r="I1273" s="8" t="str">
        <f aca="false">IF($G1273="","Unmatched","Matched")</f>
        <v>Matched</v>
      </c>
      <c r="J1273" s="8" t="n">
        <f aca="false">IF($G1273&lt;&gt;"",$G1273,$B1273)</f>
        <v>4413453</v>
      </c>
      <c r="K1273" s="8" t="str">
        <f aca="false">IF(COUNTIF($M$1:$M$10,$A1273)&gt;0,"Y","N")</f>
        <v>Y</v>
      </c>
    </row>
    <row r="1274" customFormat="false" ht="15" hidden="false" customHeight="true" outlineLevel="0" collapsed="false">
      <c r="A1274" s="8" t="s">
        <v>53</v>
      </c>
      <c r="B1274" s="8" t="s">
        <v>57</v>
      </c>
      <c r="C1274" s="19" t="n">
        <v>9</v>
      </c>
      <c r="D1274" s="19" t="n">
        <v>246.2</v>
      </c>
      <c r="E1274" s="19" t="n">
        <v>5</v>
      </c>
      <c r="F1274" s="19" t="n">
        <v>150</v>
      </c>
      <c r="G1274" s="8" t="str">
        <f aca="false">IFERROR(INDEX('TRANS'!$B:$B,MATCH($B1274,'TRANS'!$A:$A,0)),IFERROR(INDEX('TRANS'!$B:$B,MATCH(TRIM(SUBSTITUTE($B1274,CHAR(160)," ")),'TRANS'!$D:$D,0)),IFERROR(INDEX('Catalog'!$A:$A,MATCH($B1274,'Catalog'!$B:$B,0)),IFERROR(INDEX('Catalog'!$A:$A,MATCH(TRIM(SUBSTITUTE($B1274,CHAR(160)," ")),'Catalog'!$C:$C,0)),""))))</f>
        <v/>
      </c>
      <c r="H1274" s="8" t="str">
        <f aca="false">IFERROR(INDEX('TRANS'!$C:$C,MATCH($B1274,'TRANS'!$A:$A,0)),IFERROR(INDEX('Catalog'!$B:$B,MATCH($G1274,'Catalog'!$A:$A,0)),$B1274))</f>
        <v>M93</v>
      </c>
      <c r="I1274" s="8" t="str">
        <f aca="false">IF($G1274="","Unmatched","Matched")</f>
        <v>Unmatched</v>
      </c>
      <c r="J1274" s="8" t="str">
        <f aca="false">IF($G1274&lt;&gt;"",$G1274,$B1274)</f>
        <v>M93</v>
      </c>
      <c r="K1274" s="8" t="str">
        <f aca="false">IF(COUNTIF($M$1:$M$10,$A1274)&gt;0,"Y","N")</f>
        <v>Y</v>
      </c>
    </row>
    <row r="1275" customFormat="false" ht="15" hidden="false" customHeight="true" outlineLevel="0" collapsed="false">
      <c r="A1275" s="8" t="s">
        <v>53</v>
      </c>
      <c r="B1275" s="8" t="s">
        <v>781</v>
      </c>
      <c r="C1275" s="19" t="n">
        <v>1</v>
      </c>
      <c r="D1275" s="19" t="n">
        <v>156.98</v>
      </c>
      <c r="E1275" s="19" t="n">
        <v>0</v>
      </c>
      <c r="F1275" s="19" t="n">
        <v>0</v>
      </c>
      <c r="G1275" s="8" t="n">
        <f aca="false">IFERROR(INDEX('TRANS'!$B:$B,MATCH($B1275,'TRANS'!$A:$A,0)),IFERROR(INDEX('TRANS'!$B:$B,MATCH(TRIM(SUBSTITUTE($B1275,CHAR(160)," ")),'TRANS'!$D:$D,0)),IFERROR(INDEX('Catalog'!$A:$A,MATCH($B1275,'Catalog'!$B:$B,0)),IFERROR(INDEX('Catalog'!$A:$A,MATCH(TRIM(SUBSTITUTE($B1275,CHAR(160)," ")),'Catalog'!$C:$C,0)),""))))</f>
        <v>4408153</v>
      </c>
      <c r="H1275" s="8" t="str">
        <f aca="false">IFERROR(INDEX('TRANS'!$C:$C,MATCH($B1275,'TRANS'!$A:$A,0)),IFERROR(INDEX('Catalog'!$B:$B,MATCH($G1275,'Catalog'!$A:$A,0)),$B1275))</f>
        <v>11TO XLחגורה למנותחי בית החזה</v>
      </c>
      <c r="I1275" s="8" t="str">
        <f aca="false">IF($G1275="","Unmatched","Matched")</f>
        <v>Matched</v>
      </c>
      <c r="J1275" s="8" t="n">
        <f aca="false">IF($G1275&lt;&gt;"",$G1275,$B1275)</f>
        <v>4408153</v>
      </c>
      <c r="K1275" s="8" t="str">
        <f aca="false">IF(COUNTIF($M$1:$M$10,$A1275)&gt;0,"Y","N")</f>
        <v>Y</v>
      </c>
    </row>
    <row r="1276" customFormat="false" ht="15" hidden="false" customHeight="true" outlineLevel="0" collapsed="false">
      <c r="A1276" s="8" t="s">
        <v>53</v>
      </c>
      <c r="B1276" s="8" t="s">
        <v>571</v>
      </c>
      <c r="C1276" s="19" t="n">
        <v>1</v>
      </c>
      <c r="D1276" s="19" t="n">
        <v>156.98</v>
      </c>
      <c r="E1276" s="19" t="n">
        <v>0</v>
      </c>
      <c r="F1276" s="19" t="n">
        <v>0</v>
      </c>
      <c r="G1276" s="8" t="n">
        <f aca="false">IFERROR(INDEX('TRANS'!$B:$B,MATCH($B1276,'TRANS'!$A:$A,0)),IFERROR(INDEX('TRANS'!$B:$B,MATCH(TRIM(SUBSTITUTE($B1276,CHAR(160)," ")),'TRANS'!$D:$D,0)),IFERROR(INDEX('Catalog'!$A:$A,MATCH($B1276,'Catalog'!$B:$B,0)),IFERROR(INDEX('Catalog'!$A:$A,MATCH(TRIM(SUBSTITUTE($B1276,CHAR(160)," ")),'Catalog'!$C:$C,0)),""))))</f>
        <v>4408154</v>
      </c>
      <c r="H1276" s="8" t="str">
        <f aca="false">IFERROR(INDEX('TRANS'!$C:$C,MATCH($B1276,'TRANS'!$A:$A,0)),IFERROR(INDEX('Catalog'!$B:$B,MATCH($G1276,'Catalog'!$A:$A,0)),$B1276))</f>
        <v>11TO XXLחגורה למנותחי בית החזה</v>
      </c>
      <c r="I1276" s="8" t="str">
        <f aca="false">IF($G1276="","Unmatched","Matched")</f>
        <v>Matched</v>
      </c>
      <c r="J1276" s="8" t="n">
        <f aca="false">IF($G1276&lt;&gt;"",$G1276,$B1276)</f>
        <v>4408154</v>
      </c>
      <c r="K1276" s="8" t="str">
        <f aca="false">IF(COUNTIF($M$1:$M$10,$A1276)&gt;0,"Y","N")</f>
        <v>Y</v>
      </c>
    </row>
    <row r="1277" customFormat="false" ht="15" hidden="false" customHeight="true" outlineLevel="0" collapsed="false">
      <c r="A1277" s="8" t="s">
        <v>53</v>
      </c>
      <c r="B1277" s="8" t="s">
        <v>949</v>
      </c>
      <c r="C1277" s="19" t="n">
        <v>7</v>
      </c>
      <c r="D1277" s="19" t="n">
        <v>721.5</v>
      </c>
      <c r="E1277" s="19" t="n">
        <v>6</v>
      </c>
      <c r="F1277" s="19" t="n">
        <v>604.69</v>
      </c>
      <c r="G1277" s="8" t="n">
        <f aca="false">IFERROR(INDEX('TRANS'!$B:$B,MATCH($B1277,'TRANS'!$A:$A,0)),IFERROR(INDEX('TRANS'!$B:$B,MATCH(TRIM(SUBSTITUTE($B1277,CHAR(160)," ")),'TRANS'!$D:$D,0)),IFERROR(INDEX('Catalog'!$A:$A,MATCH($B1277,'Catalog'!$B:$B,0)),IFERROR(INDEX('Catalog'!$A:$A,MATCH(TRIM(SUBSTITUTE($B1277,CHAR(160)," ")),'Catalog'!$C:$C,0)),""))))</f>
        <v>4415003</v>
      </c>
      <c r="H1277" s="8" t="str">
        <f aca="false">IFERROR(INDEX('TRANS'!$C:$C,MATCH($B1277,'TRANS'!$A:$A,0)),IFERROR(INDEX('Catalog'!$B:$B,MATCH($G1277,'Catalog'!$A:$A,0)),$B1277))</f>
        <v>26 XL סד ליד דו צדדי לאחר שבר</v>
      </c>
      <c r="I1277" s="8" t="str">
        <f aca="false">IF($G1277="","Unmatched","Matched")</f>
        <v>Matched</v>
      </c>
      <c r="J1277" s="8" t="n">
        <f aca="false">IF($G1277&lt;&gt;"",$G1277,$B1277)</f>
        <v>4415003</v>
      </c>
      <c r="K1277" s="8" t="str">
        <f aca="false">IF(COUNTIF($M$1:$M$10,$A1277)&gt;0,"Y","N")</f>
        <v>Y</v>
      </c>
    </row>
    <row r="1278" customFormat="false" ht="15" hidden="false" customHeight="true" outlineLevel="0" collapsed="false">
      <c r="A1278" s="8" t="s">
        <v>53</v>
      </c>
      <c r="B1278" s="8" t="s">
        <v>591</v>
      </c>
      <c r="C1278" s="19" t="n">
        <v>1</v>
      </c>
      <c r="D1278" s="19" t="n">
        <v>103.07</v>
      </c>
      <c r="E1278" s="19" t="n">
        <v>3</v>
      </c>
      <c r="F1278" s="19" t="n">
        <v>309.22</v>
      </c>
      <c r="G1278" s="8" t="n">
        <f aca="false">IFERROR(INDEX('TRANS'!$B:$B,MATCH($B1278,'TRANS'!$A:$A,0)),IFERROR(INDEX('TRANS'!$B:$B,MATCH(TRIM(SUBSTITUTE($B1278,CHAR(160)," ")),'TRANS'!$D:$D,0)),IFERROR(INDEX('Catalog'!$A:$A,MATCH($B1278,'Catalog'!$B:$B,0)),IFERROR(INDEX('Catalog'!$A:$A,MATCH(TRIM(SUBSTITUTE($B1278,CHAR(160)," ")),'Catalog'!$C:$C,0)),""))))</f>
        <v>4415004</v>
      </c>
      <c r="H1278" s="8" t="str">
        <f aca="false">IFERROR(INDEX('TRANS'!$C:$C,MATCH($B1278,'TRANS'!$A:$A,0)),IFERROR(INDEX('Catalog'!$B:$B,MATCH($G1278,'Catalog'!$A:$A,0)),$B1278))</f>
        <v>26 XXL סד ליד דו צדדי לאחר שבר</v>
      </c>
      <c r="I1278" s="8" t="str">
        <f aca="false">IF($G1278="","Unmatched","Matched")</f>
        <v>Matched</v>
      </c>
      <c r="J1278" s="8" t="n">
        <f aca="false">IF($G1278&lt;&gt;"",$G1278,$B1278)</f>
        <v>4415004</v>
      </c>
      <c r="K1278" s="8" t="str">
        <f aca="false">IF(COUNTIF($M$1:$M$10,$A1278)&gt;0,"Y","N")</f>
        <v>Y</v>
      </c>
    </row>
    <row r="1279" customFormat="false" ht="15" hidden="false" customHeight="true" outlineLevel="0" collapsed="false">
      <c r="A1279" s="8" t="s">
        <v>53</v>
      </c>
      <c r="B1279" s="8" t="s">
        <v>943</v>
      </c>
      <c r="C1279" s="19" t="n">
        <v>2</v>
      </c>
      <c r="D1279" s="19" t="n">
        <v>140.52</v>
      </c>
      <c r="E1279" s="19" t="n">
        <v>0</v>
      </c>
      <c r="F1279" s="19" t="n">
        <v>0</v>
      </c>
      <c r="G1279" s="8" t="n">
        <f aca="false">IFERROR(INDEX('TRANS'!$B:$B,MATCH($B1279,'TRANS'!$A:$A,0)),IFERROR(INDEX('TRANS'!$B:$B,MATCH(TRIM(SUBSTITUTE($B1279,CHAR(160)," ")),'TRANS'!$D:$D,0)),IFERROR(INDEX('Catalog'!$A:$A,MATCH($B1279,'Catalog'!$B:$B,0)),IFERROR(INDEX('Catalog'!$A:$A,MATCH(TRIM(SUBSTITUTE($B1279,CHAR(160)," ")),'Catalog'!$C:$C,0)),""))))</f>
        <v>4413303</v>
      </c>
      <c r="H1279" s="8" t="str">
        <f aca="false">IFERROR(INDEX('TRANS'!$C:$C,MATCH($B1279,'TRANS'!$A:$A,0)),IFERROR(INDEX('Catalog'!$B:$B,MATCH($G1279,'Catalog'!$A:$A,0)),$B1279))</f>
        <v>34+XXL מ.קרסול+עכב סגור+רצועות</v>
      </c>
      <c r="I1279" s="8" t="str">
        <f aca="false">IF($G1279="","Unmatched","Matched")</f>
        <v>Matched</v>
      </c>
      <c r="J1279" s="8" t="n">
        <f aca="false">IF($G1279&lt;&gt;"",$G1279,$B1279)</f>
        <v>4413303</v>
      </c>
      <c r="K1279" s="8" t="str">
        <f aca="false">IF(COUNTIF($M$1:$M$10,$A1279)&gt;0,"Y","N")</f>
        <v>Y</v>
      </c>
    </row>
    <row r="1280" customFormat="false" ht="15" hidden="false" customHeight="true" outlineLevel="0" collapsed="false">
      <c r="A1280" s="8" t="s">
        <v>53</v>
      </c>
      <c r="B1280" s="8" t="s">
        <v>869</v>
      </c>
      <c r="C1280" s="19" t="n">
        <v>3</v>
      </c>
      <c r="D1280" s="19" t="n">
        <v>355.63</v>
      </c>
      <c r="E1280" s="19" t="n">
        <v>0</v>
      </c>
      <c r="F1280" s="19" t="n">
        <v>0</v>
      </c>
      <c r="G1280" s="8" t="n">
        <f aca="false">IFERROR(INDEX('TRANS'!$B:$B,MATCH($B1280,'TRANS'!$A:$A,0)),IFERROR(INDEX('TRANS'!$B:$B,MATCH(TRIM(SUBSTITUTE($B1280,CHAR(160)," ")),'TRANS'!$D:$D,0)),IFERROR(INDEX('Catalog'!$A:$A,MATCH($B1280,'Catalog'!$B:$B,0)),IFERROR(INDEX('Catalog'!$A:$A,MATCH(TRIM(SUBSTITUTE($B1280,CHAR(160)," ")),'Catalog'!$C:$C,0)),""))))</f>
        <v>4413523</v>
      </c>
      <c r="H1280" s="8" t="str">
        <f aca="false">IFERROR(INDEX('TRANS'!$C:$C,MATCH($B1280,'TRANS'!$A:$A,0)),IFERROR(INDEX('Catalog'!$B:$B,MATCH($G1280,'Catalog'!$A:$A,0)),$B1280))</f>
        <v>35-38 מדרסי אפיק ג'ל נוחות</v>
      </c>
      <c r="I1280" s="8" t="str">
        <f aca="false">IF($G1280="","Unmatched","Matched")</f>
        <v>Matched</v>
      </c>
      <c r="J1280" s="8" t="n">
        <f aca="false">IF($G1280&lt;&gt;"",$G1280,$B1280)</f>
        <v>4413523</v>
      </c>
      <c r="K1280" s="8" t="str">
        <f aca="false">IF(COUNTIF($M$1:$M$10,$A1280)&gt;0,"Y","N")</f>
        <v>Y</v>
      </c>
    </row>
    <row r="1281" customFormat="false" ht="15" hidden="false" customHeight="true" outlineLevel="0" collapsed="false">
      <c r="A1281" s="8" t="s">
        <v>53</v>
      </c>
      <c r="B1281" s="8" t="s">
        <v>870</v>
      </c>
      <c r="C1281" s="19" t="n">
        <v>4</v>
      </c>
      <c r="D1281" s="19" t="n">
        <v>455.36</v>
      </c>
      <c r="E1281" s="19" t="n">
        <v>0</v>
      </c>
      <c r="F1281" s="19" t="n">
        <v>0</v>
      </c>
      <c r="G1281" s="8" t="n">
        <f aca="false">IFERROR(INDEX('TRANS'!$B:$B,MATCH($B1281,'TRANS'!$A:$A,0)),IFERROR(INDEX('TRANS'!$B:$B,MATCH(TRIM(SUBSTITUTE($B1281,CHAR(160)," ")),'TRANS'!$D:$D,0)),IFERROR(INDEX('Catalog'!$A:$A,MATCH($B1281,'Catalog'!$B:$B,0)),IFERROR(INDEX('Catalog'!$A:$A,MATCH(TRIM(SUBSTITUTE($B1281,CHAR(160)," ")),'Catalog'!$C:$C,0)),""))))</f>
        <v>4413524</v>
      </c>
      <c r="H1281" s="8" t="str">
        <f aca="false">IFERROR(INDEX('TRANS'!$C:$C,MATCH($B1281,'TRANS'!$A:$A,0)),IFERROR(INDEX('Catalog'!$B:$B,MATCH($G1281,'Catalog'!$A:$A,0)),$B1281))</f>
        <v>39-42 מדרסי אפיק ג'ל נוחות</v>
      </c>
      <c r="I1281" s="8" t="str">
        <f aca="false">IF($G1281="","Unmatched","Matched")</f>
        <v>Matched</v>
      </c>
      <c r="J1281" s="8" t="n">
        <f aca="false">IF($G1281&lt;&gt;"",$G1281,$B1281)</f>
        <v>4413524</v>
      </c>
      <c r="K1281" s="8" t="str">
        <f aca="false">IF(COUNTIF($M$1:$M$10,$A1281)&gt;0,"Y","N")</f>
        <v>Y</v>
      </c>
    </row>
    <row r="1282" customFormat="false" ht="15" hidden="false" customHeight="true" outlineLevel="0" collapsed="false">
      <c r="A1282" s="8" t="s">
        <v>53</v>
      </c>
      <c r="B1282" s="8" t="s">
        <v>871</v>
      </c>
      <c r="C1282" s="19" t="n">
        <v>4</v>
      </c>
      <c r="D1282" s="19" t="n">
        <v>455.36</v>
      </c>
      <c r="E1282" s="19" t="n">
        <v>0</v>
      </c>
      <c r="F1282" s="19" t="n">
        <v>0</v>
      </c>
      <c r="G1282" s="8" t="n">
        <f aca="false">IFERROR(INDEX('TRANS'!$B:$B,MATCH($B1282,'TRANS'!$A:$A,0)),IFERROR(INDEX('TRANS'!$B:$B,MATCH(TRIM(SUBSTITUTE($B1282,CHAR(160)," ")),'TRANS'!$D:$D,0)),IFERROR(INDEX('Catalog'!$A:$A,MATCH($B1282,'Catalog'!$B:$B,0)),IFERROR(INDEX('Catalog'!$A:$A,MATCH(TRIM(SUBSTITUTE($B1282,CHAR(160)," ")),'Catalog'!$C:$C,0)),""))))</f>
        <v>4413525</v>
      </c>
      <c r="H1282" s="8" t="str">
        <f aca="false">IFERROR(INDEX('TRANS'!$C:$C,MATCH($B1282,'TRANS'!$A:$A,0)),IFERROR(INDEX('Catalog'!$B:$B,MATCH($G1282,'Catalog'!$A:$A,0)),$B1282))</f>
        <v>43-47 מדרסי אפיק ג'ל נוחות</v>
      </c>
      <c r="I1282" s="8" t="str">
        <f aca="false">IF($G1282="","Unmatched","Matched")</f>
        <v>Matched</v>
      </c>
      <c r="J1282" s="8" t="n">
        <f aca="false">IF($G1282&lt;&gt;"",$G1282,$B1282)</f>
        <v>4413525</v>
      </c>
      <c r="K1282" s="8" t="str">
        <f aca="false">IF(COUNTIF($M$1:$M$10,$A1282)&gt;0,"Y","N")</f>
        <v>Y</v>
      </c>
    </row>
    <row r="1283" customFormat="false" ht="15" hidden="false" customHeight="true" outlineLevel="0" collapsed="false">
      <c r="A1283" s="8" t="s">
        <v>53</v>
      </c>
      <c r="B1283" s="8" t="s">
        <v>872</v>
      </c>
      <c r="C1283" s="19" t="n">
        <v>4</v>
      </c>
      <c r="D1283" s="19" t="n">
        <v>474.15</v>
      </c>
      <c r="E1283" s="19" t="n">
        <v>0</v>
      </c>
      <c r="F1283" s="19" t="n">
        <v>0</v>
      </c>
      <c r="G1283" s="8" t="n">
        <f aca="false">IFERROR(INDEX('TRANS'!$B:$B,MATCH($B1283,'TRANS'!$A:$A,0)),IFERROR(INDEX('TRANS'!$B:$B,MATCH(TRIM(SUBSTITUTE($B1283,CHAR(160)," ")),'TRANS'!$D:$D,0)),IFERROR(INDEX('Catalog'!$A:$A,MATCH($B1283,'Catalog'!$B:$B,0)),IFERROR(INDEX('Catalog'!$A:$A,MATCH(TRIM(SUBSTITUTE($B1283,CHAR(160)," ")),'Catalog'!$C:$C,0)),""))))</f>
        <v>4413520</v>
      </c>
      <c r="H1283" s="8" t="str">
        <f aca="false">IFERROR(INDEX('TRANS'!$C:$C,MATCH($B1283,'TRANS'!$A:$A,0)),IFERROR(INDEX('Catalog'!$B:$B,MATCH($G1283,'Catalog'!$A:$A,0)),$B1283))</f>
        <v>מדרסי אפיק ג'ל מולט.ספורט35-38</v>
      </c>
      <c r="I1283" s="8" t="str">
        <f aca="false">IF($G1283="","Unmatched","Matched")</f>
        <v>Matched</v>
      </c>
      <c r="J1283" s="8" t="n">
        <f aca="false">IF($G1283&lt;&gt;"",$G1283,$B1283)</f>
        <v>4413520</v>
      </c>
      <c r="K1283" s="8" t="str">
        <f aca="false">IF(COUNTIF($M$1:$M$10,$A1283)&gt;0,"Y","N")</f>
        <v>Y</v>
      </c>
    </row>
    <row r="1284" customFormat="false" ht="15" hidden="false" customHeight="true" outlineLevel="0" collapsed="false">
      <c r="A1284" s="8" t="s">
        <v>53</v>
      </c>
      <c r="B1284" s="8" t="s">
        <v>873</v>
      </c>
      <c r="C1284" s="19" t="n">
        <v>5</v>
      </c>
      <c r="D1284" s="19" t="n">
        <v>573.9</v>
      </c>
      <c r="E1284" s="19" t="n">
        <v>0</v>
      </c>
      <c r="F1284" s="19" t="n">
        <v>0</v>
      </c>
      <c r="G1284" s="8" t="n">
        <f aca="false">IFERROR(INDEX('TRANS'!$B:$B,MATCH($B1284,'TRANS'!$A:$A,0)),IFERROR(INDEX('TRANS'!$B:$B,MATCH(TRIM(SUBSTITUTE($B1284,CHAR(160)," ")),'TRANS'!$D:$D,0)),IFERROR(INDEX('Catalog'!$A:$A,MATCH($B1284,'Catalog'!$B:$B,0)),IFERROR(INDEX('Catalog'!$A:$A,MATCH(TRIM(SUBSTITUTE($B1284,CHAR(160)," ")),'Catalog'!$C:$C,0)),""))))</f>
        <v>4413521</v>
      </c>
      <c r="H1284" s="8" t="str">
        <f aca="false">IFERROR(INDEX('TRANS'!$C:$C,MATCH($B1284,'TRANS'!$A:$A,0)),IFERROR(INDEX('Catalog'!$B:$B,MATCH($G1284,'Catalog'!$A:$A,0)),$B1284))</f>
        <v>מדרסי אפיק ג'ל מולטי ספור39-42</v>
      </c>
      <c r="I1284" s="8" t="str">
        <f aca="false">IF($G1284="","Unmatched","Matched")</f>
        <v>Matched</v>
      </c>
      <c r="J1284" s="8" t="n">
        <f aca="false">IF($G1284&lt;&gt;"",$G1284,$B1284)</f>
        <v>4413521</v>
      </c>
      <c r="K1284" s="8" t="str">
        <f aca="false">IF(COUNTIF($M$1:$M$10,$A1284)&gt;0,"Y","N")</f>
        <v>Y</v>
      </c>
    </row>
    <row r="1285" customFormat="false" ht="15" hidden="false" customHeight="true" outlineLevel="0" collapsed="false">
      <c r="A1285" s="8" t="s">
        <v>53</v>
      </c>
      <c r="B1285" s="8" t="s">
        <v>874</v>
      </c>
      <c r="C1285" s="19" t="n">
        <v>5</v>
      </c>
      <c r="D1285" s="19" t="n">
        <v>573.9</v>
      </c>
      <c r="E1285" s="19" t="n">
        <v>0</v>
      </c>
      <c r="F1285" s="19" t="n">
        <v>0</v>
      </c>
      <c r="G1285" s="8" t="n">
        <f aca="false">IFERROR(INDEX('TRANS'!$B:$B,MATCH($B1285,'TRANS'!$A:$A,0)),IFERROR(INDEX('TRANS'!$B:$B,MATCH(TRIM(SUBSTITUTE($B1285,CHAR(160)," ")),'TRANS'!$D:$D,0)),IFERROR(INDEX('Catalog'!$A:$A,MATCH($B1285,'Catalog'!$B:$B,0)),IFERROR(INDEX('Catalog'!$A:$A,MATCH(TRIM(SUBSTITUTE($B1285,CHAR(160)," ")),'Catalog'!$C:$C,0)),""))))</f>
        <v>4413522</v>
      </c>
      <c r="H1285" s="8" t="str">
        <f aca="false">IFERROR(INDEX('TRANS'!$C:$C,MATCH($B1285,'TRANS'!$A:$A,0)),IFERROR(INDEX('Catalog'!$B:$B,MATCH($G1285,'Catalog'!$A:$A,0)),$B1285))</f>
        <v>מדרסי אפיק ג'ל מולט.ספורט43-47</v>
      </c>
      <c r="I1285" s="8" t="str">
        <f aca="false">IF($G1285="","Unmatched","Matched")</f>
        <v>Matched</v>
      </c>
      <c r="J1285" s="8" t="n">
        <f aca="false">IF($G1285&lt;&gt;"",$G1285,$B1285)</f>
        <v>4413522</v>
      </c>
      <c r="K1285" s="8" t="str">
        <f aca="false">IF(COUNTIF($M$1:$M$10,$A1285)&gt;0,"Y","N")</f>
        <v>Y</v>
      </c>
    </row>
    <row r="1286" customFormat="false" ht="15" hidden="false" customHeight="true" outlineLevel="0" collapsed="false">
      <c r="A1286" s="8" t="s">
        <v>53</v>
      </c>
      <c r="B1286" s="8" t="s">
        <v>875</v>
      </c>
      <c r="C1286" s="19" t="n">
        <v>4</v>
      </c>
      <c r="D1286" s="19" t="n">
        <v>474.15</v>
      </c>
      <c r="E1286" s="19" t="n">
        <v>0</v>
      </c>
      <c r="F1286" s="19" t="n">
        <v>0</v>
      </c>
      <c r="G1286" s="8" t="n">
        <f aca="false">IFERROR(INDEX('TRANS'!$B:$B,MATCH($B1286,'TRANS'!$A:$A,0)),IFERROR(INDEX('TRANS'!$B:$B,MATCH(TRIM(SUBSTITUTE($B1286,CHAR(160)," ")),'TRANS'!$D:$D,0)),IFERROR(INDEX('Catalog'!$A:$A,MATCH($B1286,'Catalog'!$B:$B,0)),IFERROR(INDEX('Catalog'!$A:$A,MATCH(TRIM(SUBSTITUTE($B1286,CHAR(160)," ")),'Catalog'!$C:$C,0)),""))))</f>
        <v>4413527</v>
      </c>
      <c r="H1286" s="8" t="str">
        <f aca="false">IFERROR(INDEX('TRANS'!$C:$C,MATCH($B1286,'TRANS'!$A:$A,0)),IFERROR(INDEX('Catalog'!$B:$B,MATCH($G1286,'Catalog'!$A:$A,0)),$B1286))</f>
        <v>35-38 מדרסי אפיק ג'ל עבודה</v>
      </c>
      <c r="I1286" s="8" t="str">
        <f aca="false">IF($G1286="","Unmatched","Matched")</f>
        <v>Matched</v>
      </c>
      <c r="J1286" s="8" t="n">
        <f aca="false">IF($G1286&lt;&gt;"",$G1286,$B1286)</f>
        <v>4413527</v>
      </c>
      <c r="K1286" s="8" t="str">
        <f aca="false">IF(COUNTIF($M$1:$M$10,$A1286)&gt;0,"Y","N")</f>
        <v>Y</v>
      </c>
    </row>
    <row r="1287" customFormat="false" ht="15" hidden="false" customHeight="true" outlineLevel="0" collapsed="false">
      <c r="A1287" s="8" t="s">
        <v>53</v>
      </c>
      <c r="B1287" s="8" t="s">
        <v>876</v>
      </c>
      <c r="C1287" s="19" t="n">
        <v>5</v>
      </c>
      <c r="D1287" s="19" t="n">
        <v>573.9</v>
      </c>
      <c r="E1287" s="19" t="n">
        <v>0</v>
      </c>
      <c r="F1287" s="19" t="n">
        <v>0</v>
      </c>
      <c r="G1287" s="8" t="n">
        <f aca="false">IFERROR(INDEX('TRANS'!$B:$B,MATCH($B1287,'TRANS'!$A:$A,0)),IFERROR(INDEX('TRANS'!$B:$B,MATCH(TRIM(SUBSTITUTE($B1287,CHAR(160)," ")),'TRANS'!$D:$D,0)),IFERROR(INDEX('Catalog'!$A:$A,MATCH($B1287,'Catalog'!$B:$B,0)),IFERROR(INDEX('Catalog'!$A:$A,MATCH(TRIM(SUBSTITUTE($B1287,CHAR(160)," ")),'Catalog'!$C:$C,0)),""))))</f>
        <v>4413528</v>
      </c>
      <c r="H1287" s="8" t="str">
        <f aca="false">IFERROR(INDEX('TRANS'!$C:$C,MATCH($B1287,'TRANS'!$A:$A,0)),IFERROR(INDEX('Catalog'!$B:$B,MATCH($G1287,'Catalog'!$A:$A,0)),$B1287))</f>
        <v>39-42 מדרסי אפיק ג'ל עבודה</v>
      </c>
      <c r="I1287" s="8" t="str">
        <f aca="false">IF($G1287="","Unmatched","Matched")</f>
        <v>Matched</v>
      </c>
      <c r="J1287" s="8" t="n">
        <f aca="false">IF($G1287&lt;&gt;"",$G1287,$B1287)</f>
        <v>4413528</v>
      </c>
      <c r="K1287" s="8" t="str">
        <f aca="false">IF(COUNTIF($M$1:$M$10,$A1287)&gt;0,"Y","N")</f>
        <v>Y</v>
      </c>
    </row>
    <row r="1288" customFormat="false" ht="15" hidden="false" customHeight="true" outlineLevel="0" collapsed="false">
      <c r="A1288" s="8" t="s">
        <v>53</v>
      </c>
      <c r="B1288" s="8" t="s">
        <v>877</v>
      </c>
      <c r="C1288" s="19" t="n">
        <v>5</v>
      </c>
      <c r="D1288" s="19" t="n">
        <v>573.9</v>
      </c>
      <c r="E1288" s="19" t="n">
        <v>2</v>
      </c>
      <c r="F1288" s="19" t="n">
        <v>237.1</v>
      </c>
      <c r="G1288" s="8" t="n">
        <f aca="false">IFERROR(INDEX('TRANS'!$B:$B,MATCH($B1288,'TRANS'!$A:$A,0)),IFERROR(INDEX('TRANS'!$B:$B,MATCH(TRIM(SUBSTITUTE($B1288,CHAR(160)," ")),'TRANS'!$D:$D,0)),IFERROR(INDEX('Catalog'!$A:$A,MATCH($B1288,'Catalog'!$B:$B,0)),IFERROR(INDEX('Catalog'!$A:$A,MATCH(TRIM(SUBSTITUTE($B1288,CHAR(160)," ")),'Catalog'!$C:$C,0)),""))))</f>
        <v>4413529</v>
      </c>
      <c r="H1288" s="8" t="str">
        <f aca="false">IFERROR(INDEX('TRANS'!$C:$C,MATCH($B1288,'TRANS'!$A:$A,0)),IFERROR(INDEX('Catalog'!$B:$B,MATCH($G1288,'Catalog'!$A:$A,0)),$B1288))</f>
        <v>43-47 מדרסי אפיק ג'ל עבודה</v>
      </c>
      <c r="I1288" s="8" t="str">
        <f aca="false">IF($G1288="","Unmatched","Matched")</f>
        <v>Matched</v>
      </c>
      <c r="J1288" s="8" t="n">
        <f aca="false">IF($G1288&lt;&gt;"",$G1288,$B1288)</f>
        <v>4413529</v>
      </c>
      <c r="K1288" s="8" t="str">
        <f aca="false">IF(COUNTIF($M$1:$M$10,$A1288)&gt;0,"Y","N")</f>
        <v>Y</v>
      </c>
    </row>
    <row r="1289" customFormat="false" ht="15" hidden="false" customHeight="true" outlineLevel="0" collapsed="false">
      <c r="A1289" s="8" t="s">
        <v>53</v>
      </c>
      <c r="B1289" s="8" t="s">
        <v>653</v>
      </c>
      <c r="C1289" s="19" t="n">
        <v>32</v>
      </c>
      <c r="D1289" s="19" t="n">
        <v>756</v>
      </c>
      <c r="E1289" s="19" t="n">
        <v>0</v>
      </c>
      <c r="F1289" s="19" t="n">
        <v>0</v>
      </c>
      <c r="G1289" s="8" t="n">
        <f aca="false">IFERROR(INDEX('TRANS'!$B:$B,MATCH($B1289,'TRANS'!$A:$A,0)),IFERROR(INDEX('TRANS'!$B:$B,MATCH(TRIM(SUBSTITUTE($B1289,CHAR(160)," ")),'TRANS'!$D:$D,0)),IFERROR(INDEX('Catalog'!$A:$A,MATCH($B1289,'Catalog'!$B:$B,0)),IFERROR(INDEX('Catalog'!$A:$A,MATCH(TRIM(SUBSTITUTE($B1289,CHAR(160)," ")),'Catalog'!$C:$C,0)),""))))</f>
        <v>4403001</v>
      </c>
      <c r="H1289" s="8" t="str">
        <f aca="false">IFERROR(INDEX('TRANS'!$C:$C,MATCH($B1289,'TRANS'!$A:$A,0)),IFERROR(INDEX('Catalog'!$B:$B,MATCH($G1289,'Catalog'!$A:$A,0)),$B1289))</f>
        <v>390B 39-42.גרב.כסף לסכרתיים שח</v>
      </c>
      <c r="I1289" s="8" t="str">
        <f aca="false">IF($G1289="","Unmatched","Matched")</f>
        <v>Matched</v>
      </c>
      <c r="J1289" s="8" t="n">
        <f aca="false">IF($G1289&lt;&gt;"",$G1289,$B1289)</f>
        <v>4403001</v>
      </c>
      <c r="K1289" s="8" t="str">
        <f aca="false">IF(COUNTIF($M$1:$M$10,$A1289)&gt;0,"Y","N")</f>
        <v>Y</v>
      </c>
    </row>
    <row r="1290" customFormat="false" ht="15" hidden="false" customHeight="true" outlineLevel="0" collapsed="false">
      <c r="A1290" s="8" t="s">
        <v>53</v>
      </c>
      <c r="B1290" s="8" t="s">
        <v>662</v>
      </c>
      <c r="C1290" s="19" t="n">
        <v>8</v>
      </c>
      <c r="D1290" s="19" t="n">
        <v>175</v>
      </c>
      <c r="E1290" s="19" t="n">
        <v>3</v>
      </c>
      <c r="F1290" s="19" t="n">
        <v>84.24</v>
      </c>
      <c r="G1290" s="8" t="n">
        <f aca="false">IFERROR(INDEX('TRANS'!$B:$B,MATCH($B1290,'TRANS'!$A:$A,0)),IFERROR(INDEX('TRANS'!$B:$B,MATCH(TRIM(SUBSTITUTE($B1290,CHAR(160)," ")),'TRANS'!$D:$D,0)),IFERROR(INDEX('Catalog'!$A:$A,MATCH($B1290,'Catalog'!$B:$B,0)),IFERROR(INDEX('Catalog'!$A:$A,MATCH(TRIM(SUBSTITUTE($B1290,CHAR(160)," ")),'Catalog'!$C:$C,0)),""))))</f>
        <v>4403024</v>
      </c>
      <c r="H1290" s="8" t="str">
        <f aca="false">IFERROR(INDEX('TRANS'!$C:$C,MATCH($B1290,'TRANS'!$A:$A,0)),IFERROR(INDEX('Catalog'!$B:$B,MATCH($G1290,'Catalog'!$A:$A,0)),$B1290))</f>
        <v>394W 39-42 גרב.כסף לסכרתים לבן</v>
      </c>
      <c r="I1290" s="8" t="str">
        <f aca="false">IF($G1290="","Unmatched","Matched")</f>
        <v>Matched</v>
      </c>
      <c r="J1290" s="8" t="n">
        <f aca="false">IF($G1290&lt;&gt;"",$G1290,$B1290)</f>
        <v>4403024</v>
      </c>
      <c r="K1290" s="8" t="str">
        <f aca="false">IF(COUNTIF($M$1:$M$10,$A1290)&gt;0,"Y","N")</f>
        <v>Y</v>
      </c>
    </row>
    <row r="1291" customFormat="false" ht="15" hidden="false" customHeight="true" outlineLevel="0" collapsed="false">
      <c r="A1291" s="8" t="s">
        <v>53</v>
      </c>
      <c r="B1291" s="8" t="s">
        <v>670</v>
      </c>
      <c r="C1291" s="19" t="n">
        <v>2</v>
      </c>
      <c r="D1291" s="19" t="n">
        <v>103.96</v>
      </c>
      <c r="E1291" s="19" t="n">
        <v>0</v>
      </c>
      <c r="F1291" s="19" t="n">
        <v>0</v>
      </c>
      <c r="G1291" s="8" t="n">
        <f aca="false">IFERROR(INDEX('TRANS'!$B:$B,MATCH($B1291,'TRANS'!$A:$A,0)),IFERROR(INDEX('TRANS'!$B:$B,MATCH(TRIM(SUBSTITUTE($B1291,CHAR(160)," ")),'TRANS'!$D:$D,0)),IFERROR(INDEX('Catalog'!$A:$A,MATCH($B1291,'Catalog'!$B:$B,0)),IFERROR(INDEX('Catalog'!$A:$A,MATCH(TRIM(SUBSTITUTE($B1291,CHAR(160)," ")),'Catalog'!$C:$C,0)),""))))</f>
        <v>4420016</v>
      </c>
      <c r="H1291" s="8" t="str">
        <f aca="false">IFERROR(INDEX('TRANS'!$C:$C,MATCH($B1291,'TRANS'!$A:$A,0)),IFERROR(INDEX('Catalog'!$B:$B,MATCH($G1291,'Catalog'!$A:$A,0)),$B1291))</f>
        <v>40-רצועת פיקה לברך</v>
      </c>
      <c r="I1291" s="8" t="str">
        <f aca="false">IF($G1291="","Unmatched","Matched")</f>
        <v>Matched</v>
      </c>
      <c r="J1291" s="8" t="n">
        <f aca="false">IF($G1291&lt;&gt;"",$G1291,$B1291)</f>
        <v>4420016</v>
      </c>
      <c r="K1291" s="8" t="str">
        <f aca="false">IF(COUNTIF($M$1:$M$10,$A1291)&gt;0,"Y","N")</f>
        <v>Y</v>
      </c>
    </row>
    <row r="1292" customFormat="false" ht="15" hidden="false" customHeight="true" outlineLevel="0" collapsed="false">
      <c r="A1292" s="8" t="s">
        <v>53</v>
      </c>
      <c r="B1292" s="8" t="s">
        <v>671</v>
      </c>
      <c r="C1292" s="19" t="n">
        <v>5</v>
      </c>
      <c r="D1292" s="19" t="n">
        <v>473.18</v>
      </c>
      <c r="E1292" s="19" t="n">
        <v>0</v>
      </c>
      <c r="F1292" s="19" t="n">
        <v>0</v>
      </c>
      <c r="G1292" s="8" t="n">
        <f aca="false">IFERROR(INDEX('TRANS'!$B:$B,MATCH($B1292,'TRANS'!$A:$A,0)),IFERROR(INDEX('TRANS'!$B:$B,MATCH(TRIM(SUBSTITUTE($B1292,CHAR(160)," ")),'TRANS'!$D:$D,0)),IFERROR(INDEX('Catalog'!$A:$A,MATCH($B1292,'Catalog'!$B:$B,0)),IFERROR(INDEX('Catalog'!$A:$A,MATCH(TRIM(SUBSTITUTE($B1292,CHAR(160)," ")),'Catalog'!$C:$C,0)),""))))</f>
        <v>4420017</v>
      </c>
      <c r="H1292" s="8" t="str">
        <f aca="false">IFERROR(INDEX('TRANS'!$C:$C,MATCH($B1292,'TRANS'!$A:$A,0)),IFERROR(INDEX('Catalog'!$B:$B,MATCH($G1292,'Catalog'!$A:$A,0)),$B1292))</f>
        <v>4022 רצועת """"פיקה""""+כרית</v>
      </c>
      <c r="I1292" s="8" t="str">
        <f aca="false">IF($G1292="","Unmatched","Matched")</f>
        <v>Matched</v>
      </c>
      <c r="J1292" s="8" t="n">
        <f aca="false">IF($G1292&lt;&gt;"",$G1292,$B1292)</f>
        <v>4420017</v>
      </c>
      <c r="K1292" s="8" t="str">
        <f aca="false">IF(COUNTIF($M$1:$M$10,$A1292)&gt;0,"Y","N")</f>
        <v>Y</v>
      </c>
    </row>
    <row r="1293" customFormat="false" ht="15" hidden="false" customHeight="true" outlineLevel="0" collapsed="false">
      <c r="A1293" s="8" t="s">
        <v>53</v>
      </c>
      <c r="B1293" s="8" t="s">
        <v>132</v>
      </c>
      <c r="C1293" s="19" t="n">
        <v>1</v>
      </c>
      <c r="D1293" s="19" t="n">
        <v>0</v>
      </c>
      <c r="E1293" s="19" t="n">
        <v>0</v>
      </c>
      <c r="F1293" s="19" t="n">
        <v>0</v>
      </c>
      <c r="G1293" s="8" t="str">
        <f aca="false">IFERROR(INDEX('TRANS'!$B:$B,MATCH($B1293,'TRANS'!$A:$A,0)),IFERROR(INDEX('TRANS'!$B:$B,MATCH(TRIM(SUBSTITUTE($B1293,CHAR(160)," ")),'TRANS'!$D:$D,0)),IFERROR(INDEX('Catalog'!$A:$A,MATCH($B1293,'Catalog'!$B:$B,0)),IFERROR(INDEX('Catalog'!$A:$A,MATCH(TRIM(SUBSTITUTE($B1293,CHAR(160)," ")),'Catalog'!$C:$C,0)),""))))</f>
        <v/>
      </c>
      <c r="H1293" s="8" t="str">
        <f aca="false">IFERROR(INDEX('TRANS'!$C:$C,MATCH($B1293,'TRANS'!$A:$A,0)),IFERROR(INDEX('Catalog'!$B:$B,MATCH($G1293,'Catalog'!$A:$A,0)),$B1293))</f>
        <v>67813000</v>
      </c>
      <c r="I1293" s="8" t="str">
        <f aca="false">IF($G1293="","Unmatched","Matched")</f>
        <v>Unmatched</v>
      </c>
      <c r="J1293" s="8" t="str">
        <f aca="false">IF($G1293&lt;&gt;"",$G1293,$B1293)</f>
        <v>67813000</v>
      </c>
      <c r="K1293" s="8" t="str">
        <f aca="false">IF(COUNTIF($M$1:$M$10,$A1293)&gt;0,"Y","N")</f>
        <v>Y</v>
      </c>
    </row>
    <row r="1294" customFormat="false" ht="15" hidden="false" customHeight="true" outlineLevel="0" collapsed="false">
      <c r="A1294" s="8" t="s">
        <v>53</v>
      </c>
      <c r="B1294" s="8" t="s">
        <v>697</v>
      </c>
      <c r="C1294" s="19" t="n">
        <v>4</v>
      </c>
      <c r="D1294" s="19" t="n">
        <v>69.17</v>
      </c>
      <c r="E1294" s="19" t="n">
        <v>0</v>
      </c>
      <c r="F1294" s="19" t="n">
        <v>0</v>
      </c>
      <c r="G1294" s="8" t="n">
        <f aca="false">IFERROR(INDEX('TRANS'!$B:$B,MATCH($B1294,'TRANS'!$A:$A,0)),IFERROR(INDEX('TRANS'!$B:$B,MATCH(TRIM(SUBSTITUTE($B1294,CHAR(160)," ")),'TRANS'!$D:$D,0)),IFERROR(INDEX('Catalog'!$A:$A,MATCH($B1294,'Catalog'!$B:$B,0)),IFERROR(INDEX('Catalog'!$A:$A,MATCH(TRIM(SUBSTITUTE($B1294,CHAR(160)," ")),'Catalog'!$C:$C,0)),""))))</f>
        <v>4409011</v>
      </c>
      <c r="H1294" s="8" t="str">
        <f aca="false">IFERROR(INDEX('TRANS'!$C:$C,MATCH($B1294,'TRANS'!$A:$A,0)),IFERROR(INDEX('Catalog'!$B:$B,MATCH($G1294,'Catalog'!$A:$A,0)),$B1294))</f>
        <v>804AT-B      טייפ חבישה לספורט</v>
      </c>
      <c r="I1294" s="8" t="str">
        <f aca="false">IF($G1294="","Unmatched","Matched")</f>
        <v>Matched</v>
      </c>
      <c r="J1294" s="8" t="n">
        <f aca="false">IF($G1294&lt;&gt;"",$G1294,$B1294)</f>
        <v>4409011</v>
      </c>
      <c r="K1294" s="8" t="str">
        <f aca="false">IF(COUNTIF($M$1:$M$10,$A1294)&gt;0,"Y","N")</f>
        <v>Y</v>
      </c>
    </row>
    <row r="1295" customFormat="false" ht="15" hidden="false" customHeight="true" outlineLevel="0" collapsed="false">
      <c r="A1295" s="8" t="s">
        <v>53</v>
      </c>
      <c r="B1295" s="8" t="s">
        <v>698</v>
      </c>
      <c r="C1295" s="19" t="n">
        <v>4</v>
      </c>
      <c r="D1295" s="19" t="n">
        <v>69.17</v>
      </c>
      <c r="E1295" s="19" t="n">
        <v>0</v>
      </c>
      <c r="F1295" s="19" t="n">
        <v>0</v>
      </c>
      <c r="G1295" s="8" t="n">
        <f aca="false">IFERROR(INDEX('TRANS'!$B:$B,MATCH($B1295,'TRANS'!$A:$A,0)),IFERROR(INDEX('TRANS'!$B:$B,MATCH(TRIM(SUBSTITUTE($B1295,CHAR(160)," ")),'TRANS'!$D:$D,0)),IFERROR(INDEX('Catalog'!$A:$A,MATCH($B1295,'Catalog'!$B:$B,0)),IFERROR(INDEX('Catalog'!$A:$A,MATCH(TRIM(SUBSTITUTE($B1295,CHAR(160)," ")),'Catalog'!$C:$C,0)),""))))</f>
        <v>4409013</v>
      </c>
      <c r="H1295" s="8" t="str">
        <f aca="false">IFERROR(INDEX('TRANS'!$C:$C,MATCH($B1295,'TRANS'!$A:$A,0)),IFERROR(INDEX('Catalog'!$B:$B,MATCH($G1295,'Catalog'!$A:$A,0)),$B1295))</f>
        <v>804AT-BL     טייפ חבישה לספורט</v>
      </c>
      <c r="I1295" s="8" t="str">
        <f aca="false">IF($G1295="","Unmatched","Matched")</f>
        <v>Matched</v>
      </c>
      <c r="J1295" s="8" t="n">
        <f aca="false">IF($G1295&lt;&gt;"",$G1295,$B1295)</f>
        <v>4409013</v>
      </c>
      <c r="K1295" s="8" t="str">
        <f aca="false">IF(COUNTIF($M$1:$M$10,$A1295)&gt;0,"Y","N")</f>
        <v>Y</v>
      </c>
    </row>
    <row r="1296" customFormat="false" ht="15" hidden="false" customHeight="true" outlineLevel="0" collapsed="false">
      <c r="A1296" s="8" t="s">
        <v>53</v>
      </c>
      <c r="B1296" s="8" t="s">
        <v>699</v>
      </c>
      <c r="C1296" s="19" t="n">
        <v>4</v>
      </c>
      <c r="D1296" s="19" t="n">
        <v>69.17</v>
      </c>
      <c r="E1296" s="19" t="n">
        <v>0</v>
      </c>
      <c r="F1296" s="19" t="n">
        <v>0</v>
      </c>
      <c r="G1296" s="8" t="n">
        <f aca="false">IFERROR(INDEX('TRANS'!$B:$B,MATCH($B1296,'TRANS'!$A:$A,0)),IFERROR(INDEX('TRANS'!$B:$B,MATCH(TRIM(SUBSTITUTE($B1296,CHAR(160)," ")),'TRANS'!$D:$D,0)),IFERROR(INDEX('Catalog'!$A:$A,MATCH($B1296,'Catalog'!$B:$B,0)),IFERROR(INDEX('Catalog'!$A:$A,MATCH(TRIM(SUBSTITUTE($B1296,CHAR(160)," ")),'Catalog'!$C:$C,0)),""))))</f>
        <v>4409012</v>
      </c>
      <c r="H1296" s="8" t="str">
        <f aca="false">IFERROR(INDEX('TRANS'!$C:$C,MATCH($B1296,'TRANS'!$A:$A,0)),IFERROR(INDEX('Catalog'!$B:$B,MATCH($G1296,'Catalog'!$A:$A,0)),$B1296))</f>
        <v>804AT-C      טייפ חבישה לספורט</v>
      </c>
      <c r="I1296" s="8" t="str">
        <f aca="false">IF($G1296="","Unmatched","Matched")</f>
        <v>Matched</v>
      </c>
      <c r="J1296" s="8" t="n">
        <f aca="false">IF($G1296&lt;&gt;"",$G1296,$B1296)</f>
        <v>4409012</v>
      </c>
      <c r="K1296" s="8" t="str">
        <f aca="false">IF(COUNTIF($M$1:$M$10,$A1296)&gt;0,"Y","N")</f>
        <v>Y</v>
      </c>
    </row>
    <row r="1297" customFormat="false" ht="15" hidden="false" customHeight="true" outlineLevel="0" collapsed="false">
      <c r="A1297" s="8" t="s">
        <v>53</v>
      </c>
      <c r="B1297" s="8" t="s">
        <v>822</v>
      </c>
      <c r="C1297" s="19" t="n">
        <v>4</v>
      </c>
      <c r="D1297" s="19" t="n">
        <v>69.17</v>
      </c>
      <c r="E1297" s="19" t="n">
        <v>0</v>
      </c>
      <c r="F1297" s="19" t="n">
        <v>0</v>
      </c>
      <c r="G1297" s="8" t="n">
        <f aca="false">IFERROR(INDEX('TRANS'!$B:$B,MATCH($B1297,'TRANS'!$A:$A,0)),IFERROR(INDEX('TRANS'!$B:$B,MATCH(TRIM(SUBSTITUTE($B1297,CHAR(160)," ")),'TRANS'!$D:$D,0)),IFERROR(INDEX('Catalog'!$A:$A,MATCH($B1297,'Catalog'!$B:$B,0)),IFERROR(INDEX('Catalog'!$A:$A,MATCH(TRIM(SUBSTITUTE($B1297,CHAR(160)," ")),'Catalog'!$C:$C,0)),""))))</f>
        <v>4409010</v>
      </c>
      <c r="H1297" s="8" t="str">
        <f aca="false">IFERROR(INDEX('TRANS'!$C:$C,MATCH($B1297,'TRANS'!$A:$A,0)),IFERROR(INDEX('Catalog'!$B:$B,MATCH($G1297,'Catalog'!$A:$A,0)),$B1297))</f>
        <v>804AT-W      טייפ חבישה לספורט</v>
      </c>
      <c r="I1297" s="8" t="str">
        <f aca="false">IF($G1297="","Unmatched","Matched")</f>
        <v>Matched</v>
      </c>
      <c r="J1297" s="8" t="n">
        <f aca="false">IF($G1297&lt;&gt;"",$G1297,$B1297)</f>
        <v>4409010</v>
      </c>
      <c r="K1297" s="8" t="str">
        <f aca="false">IF(COUNTIF($M$1:$M$10,$A1297)&gt;0,"Y","N")</f>
        <v>Y</v>
      </c>
    </row>
    <row r="1298" customFormat="false" ht="15" hidden="false" customHeight="true" outlineLevel="0" collapsed="false">
      <c r="A1298" s="8" t="s">
        <v>53</v>
      </c>
      <c r="B1298" s="8" t="s">
        <v>700</v>
      </c>
      <c r="C1298" s="19" t="n">
        <v>3</v>
      </c>
      <c r="D1298" s="19" t="n">
        <v>51.88</v>
      </c>
      <c r="E1298" s="19" t="n">
        <v>0</v>
      </c>
      <c r="F1298" s="19" t="n">
        <v>0</v>
      </c>
      <c r="G1298" s="8" t="n">
        <f aca="false">IFERROR(INDEX('TRANS'!$B:$B,MATCH($B1298,'TRANS'!$A:$A,0)),IFERROR(INDEX('TRANS'!$B:$B,MATCH(TRIM(SUBSTITUTE($B1298,CHAR(160)," ")),'TRANS'!$D:$D,0)),IFERROR(INDEX('Catalog'!$A:$A,MATCH($B1298,'Catalog'!$B:$B,0)),IFERROR(INDEX('Catalog'!$A:$A,MATCH(TRIM(SUBSTITUTE($B1298,CHAR(160)," ")),'Catalog'!$C:$C,0)),""))))</f>
        <v>4401012</v>
      </c>
      <c r="H1298" s="8" t="str">
        <f aca="false">IFERROR(INDEX('TRANS'!$C:$C,MATCH($B1298,'TRANS'!$A:$A,0)),IFERROR(INDEX('Catalog'!$B:$B,MATCH($G1298,'Catalog'!$A:$A,0)),$B1298))</f>
        <v>805AT-B אתלטיק טייפ שחור 20מ""""מ</v>
      </c>
      <c r="I1298" s="8" t="str">
        <f aca="false">IF($G1298="","Unmatched","Matched")</f>
        <v>Matched</v>
      </c>
      <c r="J1298" s="8" t="n">
        <f aca="false">IF($G1298&lt;&gt;"",$G1298,$B1298)</f>
        <v>4401012</v>
      </c>
      <c r="K1298" s="8" t="str">
        <f aca="false">IF(COUNTIF($M$1:$M$10,$A1298)&gt;0,"Y","N")</f>
        <v>Y</v>
      </c>
    </row>
    <row r="1299" customFormat="false" ht="15" hidden="false" customHeight="true" outlineLevel="0" collapsed="false">
      <c r="A1299" s="8" t="s">
        <v>53</v>
      </c>
      <c r="B1299" s="8" t="s">
        <v>884</v>
      </c>
      <c r="C1299" s="19" t="n">
        <v>3</v>
      </c>
      <c r="D1299" s="19" t="n">
        <v>51.88</v>
      </c>
      <c r="E1299" s="19" t="n">
        <v>0</v>
      </c>
      <c r="F1299" s="19" t="n">
        <v>0</v>
      </c>
      <c r="G1299" s="8" t="n">
        <f aca="false">IFERROR(INDEX('TRANS'!$B:$B,MATCH($B1299,'TRANS'!$A:$A,0)),IFERROR(INDEX('TRANS'!$B:$B,MATCH(TRIM(SUBSTITUTE($B1299,CHAR(160)," ")),'TRANS'!$D:$D,0)),IFERROR(INDEX('Catalog'!$A:$A,MATCH($B1299,'Catalog'!$B:$B,0)),IFERROR(INDEX('Catalog'!$A:$A,MATCH(TRIM(SUBSTITUTE($B1299,CHAR(160)," ")),'Catalog'!$C:$C,0)),""))))</f>
        <v>4401013</v>
      </c>
      <c r="H1299" s="8" t="str">
        <f aca="false">IFERROR(INDEX('TRANS'!$C:$C,MATCH($B1299,'TRANS'!$A:$A,0)),IFERROR(INDEX('Catalog'!$B:$B,MATCH($G1299,'Catalog'!$A:$A,0)),$B1299))</f>
        <v>805AT-BLאתלטיק טייפ כחול 20מ""""מ</v>
      </c>
      <c r="I1299" s="8" t="str">
        <f aca="false">IF($G1299="","Unmatched","Matched")</f>
        <v>Matched</v>
      </c>
      <c r="J1299" s="8" t="n">
        <f aca="false">IF($G1299&lt;&gt;"",$G1299,$B1299)</f>
        <v>4401013</v>
      </c>
      <c r="K1299" s="8" t="str">
        <f aca="false">IF(COUNTIF($M$1:$M$10,$A1299)&gt;0,"Y","N")</f>
        <v>Y</v>
      </c>
    </row>
    <row r="1300" customFormat="false" ht="15" hidden="false" customHeight="true" outlineLevel="0" collapsed="false">
      <c r="A1300" s="8" t="s">
        <v>53</v>
      </c>
      <c r="B1300" s="8" t="s">
        <v>823</v>
      </c>
      <c r="C1300" s="19" t="n">
        <v>12</v>
      </c>
      <c r="D1300" s="19" t="n">
        <v>108</v>
      </c>
      <c r="E1300" s="19" t="n">
        <v>12</v>
      </c>
      <c r="F1300" s="19" t="n">
        <v>126</v>
      </c>
      <c r="G1300" s="8" t="n">
        <f aca="false">IFERROR(INDEX('TRANS'!$B:$B,MATCH($B1300,'TRANS'!$A:$A,0)),IFERROR(INDEX('TRANS'!$B:$B,MATCH(TRIM(SUBSTITUTE($B1300,CHAR(160)," ")),'TRANS'!$D:$D,0)),IFERROR(INDEX('Catalog'!$A:$A,MATCH($B1300,'Catalog'!$B:$B,0)),IFERROR(INDEX('Catalog'!$A:$A,MATCH(TRIM(SUBSTITUTE($B1300,CHAR(160)," ")),'Catalog'!$C:$C,0)),""))))</f>
        <v>4422024</v>
      </c>
      <c r="H1300" s="8" t="str">
        <f aca="false">IFERROR(INDEX('TRANS'!$C:$C,MATCH($B1300,'TRANS'!$A:$A,0)),IFERROR(INDEX('Catalog'!$B:$B,MATCH($G1300,'Catalog'!$A:$A,0)),$B1300))</f>
        <v>806CB-BLACK      תחבושת א.נצמ</v>
      </c>
      <c r="I1300" s="8" t="str">
        <f aca="false">IF($G1300="","Unmatched","Matched")</f>
        <v>Matched</v>
      </c>
      <c r="J1300" s="8" t="n">
        <f aca="false">IF($G1300&lt;&gt;"",$G1300,$B1300)</f>
        <v>4422024</v>
      </c>
      <c r="K1300" s="8" t="str">
        <f aca="false">IF(COUNTIF($M$1:$M$10,$A1300)&gt;0,"Y","N")</f>
        <v>Y</v>
      </c>
    </row>
    <row r="1301" customFormat="false" ht="15" hidden="false" customHeight="true" outlineLevel="0" collapsed="false">
      <c r="A1301" s="8" t="s">
        <v>53</v>
      </c>
      <c r="B1301" s="8" t="s">
        <v>824</v>
      </c>
      <c r="C1301" s="19" t="n">
        <v>12</v>
      </c>
      <c r="D1301" s="19" t="n">
        <v>108</v>
      </c>
      <c r="E1301" s="19" t="n">
        <v>12</v>
      </c>
      <c r="F1301" s="19" t="n">
        <v>126</v>
      </c>
      <c r="G1301" s="8" t="n">
        <f aca="false">IFERROR(INDEX('TRANS'!$B:$B,MATCH($B1301,'TRANS'!$A:$A,0)),IFERROR(INDEX('TRANS'!$B:$B,MATCH(TRIM(SUBSTITUTE($B1301,CHAR(160)," ")),'TRANS'!$D:$D,0)),IFERROR(INDEX('Catalog'!$A:$A,MATCH($B1301,'Catalog'!$B:$B,0)),IFERROR(INDEX('Catalog'!$A:$A,MATCH(TRIM(SUBSTITUTE($B1301,CHAR(160)," ")),'Catalog'!$C:$C,0)),""))))</f>
        <v>4422023</v>
      </c>
      <c r="H1301" s="8" t="str">
        <f aca="false">IFERROR(INDEX('TRANS'!$C:$C,MATCH($B1301,'TRANS'!$A:$A,0)),IFERROR(INDEX('Catalog'!$B:$B,MATCH($G1301,'Catalog'!$A:$A,0)),$B1301))</f>
        <v>806CB-BEIGE      תחבושת א.נצמ</v>
      </c>
      <c r="I1301" s="8" t="str">
        <f aca="false">IF($G1301="","Unmatched","Matched")</f>
        <v>Matched</v>
      </c>
      <c r="J1301" s="8" t="n">
        <f aca="false">IF($G1301&lt;&gt;"",$G1301,$B1301)</f>
        <v>4422023</v>
      </c>
      <c r="K1301" s="8" t="str">
        <f aca="false">IF(COUNTIF($M$1:$M$10,$A1301)&gt;0,"Y","N")</f>
        <v>Y</v>
      </c>
    </row>
    <row r="1302" customFormat="false" ht="15" hidden="false" customHeight="true" outlineLevel="0" collapsed="false">
      <c r="A1302" s="8" t="s">
        <v>53</v>
      </c>
      <c r="B1302" s="8" t="s">
        <v>825</v>
      </c>
      <c r="C1302" s="19" t="n">
        <v>12</v>
      </c>
      <c r="D1302" s="19" t="n">
        <v>108</v>
      </c>
      <c r="E1302" s="19" t="n">
        <v>0</v>
      </c>
      <c r="F1302" s="19" t="n">
        <v>0</v>
      </c>
      <c r="G1302" s="8" t="n">
        <f aca="false">IFERROR(INDEX('TRANS'!$B:$B,MATCH($B1302,'TRANS'!$A:$A,0)),IFERROR(INDEX('TRANS'!$B:$B,MATCH(TRIM(SUBSTITUTE($B1302,CHAR(160)," ")),'TRANS'!$D:$D,0)),IFERROR(INDEX('Catalog'!$A:$A,MATCH($B1302,'Catalog'!$B:$B,0)),IFERROR(INDEX('Catalog'!$A:$A,MATCH(TRIM(SUBSTITUTE($B1302,CHAR(160)," ")),'Catalog'!$C:$C,0)),""))))</f>
        <v>4422025</v>
      </c>
      <c r="H1302" s="8" t="str">
        <f aca="false">IFERROR(INDEX('TRANS'!$C:$C,MATCH($B1302,'TRANS'!$A:$A,0)),IFERROR(INDEX('Catalog'!$B:$B,MATCH($G1302,'Catalog'!$A:$A,0)),$B1302))</f>
        <v>806CB-GREEN      תחבושת א.נצמ</v>
      </c>
      <c r="I1302" s="8" t="str">
        <f aca="false">IF($G1302="","Unmatched","Matched")</f>
        <v>Matched</v>
      </c>
      <c r="J1302" s="8" t="n">
        <f aca="false">IF($G1302&lt;&gt;"",$G1302,$B1302)</f>
        <v>4422025</v>
      </c>
      <c r="K1302" s="8" t="str">
        <f aca="false">IF(COUNTIF($M$1:$M$10,$A1302)&gt;0,"Y","N")</f>
        <v>Y</v>
      </c>
    </row>
    <row r="1303" customFormat="false" ht="15" hidden="false" customHeight="true" outlineLevel="0" collapsed="false">
      <c r="A1303" s="8" t="s">
        <v>53</v>
      </c>
      <c r="B1303" s="8" t="s">
        <v>826</v>
      </c>
      <c r="C1303" s="19" t="n">
        <v>12</v>
      </c>
      <c r="D1303" s="19" t="n">
        <v>108</v>
      </c>
      <c r="E1303" s="19" t="n">
        <v>0</v>
      </c>
      <c r="F1303" s="19" t="n">
        <v>0</v>
      </c>
      <c r="G1303" s="8" t="n">
        <f aca="false">IFERROR(INDEX('TRANS'!$B:$B,MATCH($B1303,'TRANS'!$A:$A,0)),IFERROR(INDEX('TRANS'!$B:$B,MATCH(TRIM(SUBSTITUTE($B1303,CHAR(160)," ")),'TRANS'!$D:$D,0)),IFERROR(INDEX('Catalog'!$A:$A,MATCH($B1303,'Catalog'!$B:$B,0)),IFERROR(INDEX('Catalog'!$A:$A,MATCH(TRIM(SUBSTITUTE($B1303,CHAR(160)," ")),'Catalog'!$C:$C,0)),""))))</f>
        <v>4422026</v>
      </c>
      <c r="H1303" s="8" t="str">
        <f aca="false">IFERROR(INDEX('TRANS'!$C:$C,MATCH($B1303,'TRANS'!$A:$A,0)),IFERROR(INDEX('Catalog'!$B:$B,MATCH($G1303,'Catalog'!$A:$A,0)),$B1303))</f>
        <v>806CB-PINK       תחבושת א.נצמ</v>
      </c>
      <c r="I1303" s="8" t="str">
        <f aca="false">IF($G1303="","Unmatched","Matched")</f>
        <v>Matched</v>
      </c>
      <c r="J1303" s="8" t="n">
        <f aca="false">IF($G1303&lt;&gt;"",$G1303,$B1303)</f>
        <v>4422026</v>
      </c>
      <c r="K1303" s="8" t="str">
        <f aca="false">IF(COUNTIF($M$1:$M$10,$A1303)&gt;0,"Y","N")</f>
        <v>Y</v>
      </c>
    </row>
    <row r="1304" customFormat="false" ht="15" hidden="false" customHeight="true" outlineLevel="0" collapsed="false">
      <c r="A1304" s="8" t="s">
        <v>53</v>
      </c>
      <c r="B1304" s="8" t="s">
        <v>702</v>
      </c>
      <c r="C1304" s="19" t="n">
        <v>12</v>
      </c>
      <c r="D1304" s="19" t="n">
        <v>108</v>
      </c>
      <c r="E1304" s="19" t="n">
        <v>0</v>
      </c>
      <c r="F1304" s="19" t="n">
        <v>0</v>
      </c>
      <c r="G1304" s="8" t="n">
        <f aca="false">IFERROR(INDEX('TRANS'!$B:$B,MATCH($B1304,'TRANS'!$A:$A,0)),IFERROR(INDEX('TRANS'!$B:$B,MATCH(TRIM(SUBSTITUTE($B1304,CHAR(160)," ")),'TRANS'!$D:$D,0)),IFERROR(INDEX('Catalog'!$A:$A,MATCH($B1304,'Catalog'!$B:$B,0)),IFERROR(INDEX('Catalog'!$A:$A,MATCH(TRIM(SUBSTITUTE($B1304,CHAR(160)," ")),'Catalog'!$C:$C,0)),""))))</f>
        <v>4422032</v>
      </c>
      <c r="H1304" s="8" t="str">
        <f aca="false">IFERROR(INDEX('TRANS'!$C:$C,MATCH($B1304,'TRANS'!$A:$A,0)),IFERROR(INDEX('Catalog'!$B:$B,MATCH($G1304,'Catalog'!$A:$A,0)),$B1304))</f>
        <v>807B-Bתחבושת נצמדת שחור 20 מ""""מ</v>
      </c>
      <c r="I1304" s="8" t="str">
        <f aca="false">IF($G1304="","Unmatched","Matched")</f>
        <v>Matched</v>
      </c>
      <c r="J1304" s="8" t="n">
        <f aca="false">IF($G1304&lt;&gt;"",$G1304,$B1304)</f>
        <v>4422032</v>
      </c>
      <c r="K1304" s="8" t="str">
        <f aca="false">IF(COUNTIF($M$1:$M$10,$A1304)&gt;0,"Y","N")</f>
        <v>Y</v>
      </c>
    </row>
    <row r="1305" customFormat="false" ht="15" hidden="false" customHeight="true" outlineLevel="0" collapsed="false">
      <c r="A1305" s="8" t="s">
        <v>53</v>
      </c>
      <c r="B1305" s="8" t="s">
        <v>703</v>
      </c>
      <c r="C1305" s="19" t="n">
        <v>12</v>
      </c>
      <c r="D1305" s="19" t="n">
        <v>108</v>
      </c>
      <c r="E1305" s="19" t="n">
        <v>0</v>
      </c>
      <c r="F1305" s="19" t="n">
        <v>0</v>
      </c>
      <c r="G1305" s="8" t="n">
        <f aca="false">IFERROR(INDEX('TRANS'!$B:$B,MATCH($B1305,'TRANS'!$A:$A,0)),IFERROR(INDEX('TRANS'!$B:$B,MATCH(TRIM(SUBSTITUTE($B1305,CHAR(160)," ")),'TRANS'!$D:$D,0)),IFERROR(INDEX('Catalog'!$A:$A,MATCH($B1305,'Catalog'!$B:$B,0)),IFERROR(INDEX('Catalog'!$A:$A,MATCH(TRIM(SUBSTITUTE($B1305,CHAR(160)," ")),'Catalog'!$C:$C,0)),""))))</f>
        <v>4422033</v>
      </c>
      <c r="H1305" s="8" t="str">
        <f aca="false">IFERROR(INDEX('TRANS'!$C:$C,MATCH($B1305,'TRANS'!$A:$A,0)),IFERROR(INDEX('Catalog'!$B:$B,MATCH($G1305,'Catalog'!$A:$A,0)),$B1305))</f>
        <v>807CB-BLתחבושת נצמדת כחול20מ""""מ</v>
      </c>
      <c r="I1305" s="8" t="str">
        <f aca="false">IF($G1305="","Unmatched","Matched")</f>
        <v>Matched</v>
      </c>
      <c r="J1305" s="8" t="n">
        <f aca="false">IF($G1305&lt;&gt;"",$G1305,$B1305)</f>
        <v>4422033</v>
      </c>
      <c r="K1305" s="8" t="str">
        <f aca="false">IF(COUNTIF($M$1:$M$10,$A1305)&gt;0,"Y","N")</f>
        <v>Y</v>
      </c>
    </row>
    <row r="1306" customFormat="false" ht="15" hidden="false" customHeight="true" outlineLevel="0" collapsed="false">
      <c r="A1306" s="8" t="s">
        <v>53</v>
      </c>
      <c r="B1306" s="8" t="s">
        <v>885</v>
      </c>
      <c r="C1306" s="19" t="n">
        <v>12</v>
      </c>
      <c r="D1306" s="19" t="n">
        <v>108</v>
      </c>
      <c r="E1306" s="19" t="n">
        <v>0</v>
      </c>
      <c r="F1306" s="19" t="n">
        <v>0</v>
      </c>
      <c r="G1306" s="8" t="n">
        <f aca="false">IFERROR(INDEX('TRANS'!$B:$B,MATCH($B1306,'TRANS'!$A:$A,0)),IFERROR(INDEX('TRANS'!$B:$B,MATCH(TRIM(SUBSTITUTE($B1306,CHAR(160)," ")),'TRANS'!$D:$D,0)),IFERROR(INDEX('Catalog'!$A:$A,MATCH($B1306,'Catalog'!$B:$B,0)),IFERROR(INDEX('Catalog'!$A:$A,MATCH(TRIM(SUBSTITUTE($B1306,CHAR(160)," ")),'Catalog'!$C:$C,0)),""))))</f>
        <v>4422034</v>
      </c>
      <c r="H1306" s="8" t="str">
        <f aca="false">IFERROR(INDEX('TRANS'!$C:$C,MATCH($B1306,'TRANS'!$A:$A,0)),IFERROR(INDEX('Catalog'!$B:$B,MATCH($G1306,'Catalog'!$A:$A,0)),$B1306))</f>
        <v>807CB-P תחבושת נצמדת ורוד 20ממ</v>
      </c>
      <c r="I1306" s="8" t="str">
        <f aca="false">IF($G1306="","Unmatched","Matched")</f>
        <v>Matched</v>
      </c>
      <c r="J1306" s="8" t="n">
        <f aca="false">IF($G1306&lt;&gt;"",$G1306,$B1306)</f>
        <v>4422034</v>
      </c>
      <c r="K1306" s="8" t="str">
        <f aca="false">IF(COUNTIF($M$1:$M$10,$A1306)&gt;0,"Y","N")</f>
        <v>Y</v>
      </c>
    </row>
    <row r="1307" customFormat="false" ht="15" hidden="false" customHeight="true" outlineLevel="0" collapsed="false">
      <c r="A1307" s="8" t="s">
        <v>53</v>
      </c>
      <c r="B1307" s="8" t="s">
        <v>827</v>
      </c>
      <c r="C1307" s="19" t="n">
        <v>2</v>
      </c>
      <c r="D1307" s="19" t="n">
        <v>120</v>
      </c>
      <c r="E1307" s="19" t="n">
        <v>1</v>
      </c>
      <c r="F1307" s="19" t="n">
        <v>70</v>
      </c>
      <c r="G1307" s="8" t="n">
        <f aca="false">IFERROR(INDEX('TRANS'!$B:$B,MATCH($B1307,'TRANS'!$A:$A,0)),IFERROR(INDEX('TRANS'!$B:$B,MATCH(TRIM(SUBSTITUTE($B1307,CHAR(160)," ")),'TRANS'!$D:$D,0)),IFERROR(INDEX('Catalog'!$A:$A,MATCH($B1307,'Catalog'!$B:$B,0)),IFERROR(INDEX('Catalog'!$A:$A,MATCH(TRIM(SUBSTITUTE($B1307,CHAR(160)," ")),'Catalog'!$C:$C,0)),""))))</f>
        <v>4413176</v>
      </c>
      <c r="H1307" s="8" t="str">
        <f aca="false">IFERROR(INDEX('TRANS'!$C:$C,MATCH($B1307,'TRANS'!$A:$A,0)),IFERROR(INDEX('Catalog'!$B:$B,MATCH($G1307,'Catalog'!$A:$A,0)),$B1307))</f>
        <v>85+ Lמתלה ליד)כיס(+רצועת חיזוק</v>
      </c>
      <c r="I1307" s="8" t="str">
        <f aca="false">IF($G1307="","Unmatched","Matched")</f>
        <v>Matched</v>
      </c>
      <c r="J1307" s="8" t="n">
        <f aca="false">IF($G1307&lt;&gt;"",$G1307,$B1307)</f>
        <v>4413176</v>
      </c>
      <c r="K1307" s="8" t="str">
        <f aca="false">IF(COUNTIF($M$1:$M$10,$A1307)&gt;0,"Y","N")</f>
        <v>Y</v>
      </c>
    </row>
    <row r="1308" customFormat="false" ht="15" hidden="false" customHeight="true" outlineLevel="0" collapsed="false">
      <c r="A1308" s="8" t="s">
        <v>53</v>
      </c>
      <c r="B1308" s="8" t="s">
        <v>828</v>
      </c>
      <c r="C1308" s="19" t="n">
        <v>2</v>
      </c>
      <c r="D1308" s="19" t="n">
        <v>130</v>
      </c>
      <c r="E1308" s="19" t="n">
        <v>1</v>
      </c>
      <c r="F1308" s="19" t="n">
        <v>70</v>
      </c>
      <c r="G1308" s="8" t="n">
        <f aca="false">IFERROR(INDEX('TRANS'!$B:$B,MATCH($B1308,'TRANS'!$A:$A,0)),IFERROR(INDEX('TRANS'!$B:$B,MATCH(TRIM(SUBSTITUTE($B1308,CHAR(160)," ")),'TRANS'!$D:$D,0)),IFERROR(INDEX('Catalog'!$A:$A,MATCH($B1308,'Catalog'!$B:$B,0)),IFERROR(INDEX('Catalog'!$A:$A,MATCH(TRIM(SUBSTITUTE($B1308,CHAR(160)," ")),'Catalog'!$C:$C,0)),""))))</f>
        <v>4413175</v>
      </c>
      <c r="H1308" s="8" t="str">
        <f aca="false">IFERROR(INDEX('TRANS'!$C:$C,MATCH($B1308,'TRANS'!$A:$A,0)),IFERROR(INDEX('Catalog'!$B:$B,MATCH($G1308,'Catalog'!$A:$A,0)),$B1308))</f>
        <v>85+ Mמתלה ליד)כיס(+רצועת חיזוק</v>
      </c>
      <c r="I1308" s="8" t="str">
        <f aca="false">IF($G1308="","Unmatched","Matched")</f>
        <v>Matched</v>
      </c>
      <c r="J1308" s="8" t="n">
        <f aca="false">IF($G1308&lt;&gt;"",$G1308,$B1308)</f>
        <v>4413175</v>
      </c>
      <c r="K1308" s="8" t="str">
        <f aca="false">IF(COUNTIF($M$1:$M$10,$A1308)&gt;0,"Y","N")</f>
        <v>Y</v>
      </c>
    </row>
    <row r="1309" customFormat="false" ht="15" hidden="false" customHeight="true" outlineLevel="0" collapsed="false">
      <c r="A1309" s="8" t="s">
        <v>53</v>
      </c>
      <c r="B1309" s="8" t="s">
        <v>459</v>
      </c>
      <c r="C1309" s="19" t="n">
        <v>1</v>
      </c>
      <c r="D1309" s="19" t="n">
        <v>60</v>
      </c>
      <c r="E1309" s="19" t="n">
        <v>0</v>
      </c>
      <c r="F1309" s="19" t="n">
        <v>0</v>
      </c>
      <c r="G1309" s="8" t="str">
        <f aca="false">IFERROR(INDEX('TRANS'!$B:$B,MATCH($B1309,'TRANS'!$A:$A,0)),IFERROR(INDEX('TRANS'!$B:$B,MATCH(TRIM(SUBSTITUTE($B1309,CHAR(160)," ")),'TRANS'!$D:$D,0)),IFERROR(INDEX('Catalog'!$A:$A,MATCH($B1309,'Catalog'!$B:$B,0)),IFERROR(INDEX('Catalog'!$A:$A,MATCH(TRIM(SUBSTITUTE($B1309,CHAR(160)," ")),'Catalog'!$C:$C,0)),""))))</f>
        <v/>
      </c>
      <c r="H1309" s="8" t="str">
        <f aca="false">IFERROR(INDEX('TRANS'!$C:$C,MATCH($B1309,'TRANS'!$A:$A,0)),IFERROR(INDEX('Catalog'!$B:$B,MATCH($G1309,'Catalog'!$A:$A,0)),$B1309))</f>
        <v>85+ S</v>
      </c>
      <c r="I1309" s="8" t="str">
        <f aca="false">IF($G1309="","Unmatched","Matched")</f>
        <v>Unmatched</v>
      </c>
      <c r="J1309" s="8" t="str">
        <f aca="false">IF($G1309&lt;&gt;"",$G1309,$B1309)</f>
        <v>85+ S</v>
      </c>
      <c r="K1309" s="8" t="str">
        <f aca="false">IF(COUNTIF($M$1:$M$10,$A1309)&gt;0,"Y","N")</f>
        <v>Y</v>
      </c>
    </row>
    <row r="1310" customFormat="false" ht="15" hidden="false" customHeight="true" outlineLevel="0" collapsed="false">
      <c r="A1310" s="8" t="s">
        <v>53</v>
      </c>
      <c r="B1310" s="8" t="s">
        <v>829</v>
      </c>
      <c r="C1310" s="19" t="n">
        <v>3</v>
      </c>
      <c r="D1310" s="19" t="n">
        <v>190</v>
      </c>
      <c r="E1310" s="19" t="n">
        <v>1</v>
      </c>
      <c r="F1310" s="19" t="n">
        <v>70</v>
      </c>
      <c r="G1310" s="8" t="n">
        <f aca="false">IFERROR(INDEX('TRANS'!$B:$B,MATCH($B1310,'TRANS'!$A:$A,0)),IFERROR(INDEX('TRANS'!$B:$B,MATCH(TRIM(SUBSTITUTE($B1310,CHAR(160)," ")),'TRANS'!$D:$D,0)),IFERROR(INDEX('Catalog'!$A:$A,MATCH($B1310,'Catalog'!$B:$B,0)),IFERROR(INDEX('Catalog'!$A:$A,MATCH(TRIM(SUBSTITUTE($B1310,CHAR(160)," ")),'Catalog'!$C:$C,0)),""))))</f>
        <v>4413177</v>
      </c>
      <c r="H1310" s="8" t="str">
        <f aca="false">IFERROR(INDEX('TRANS'!$C:$C,MATCH($B1310,'TRANS'!$A:$A,0)),IFERROR(INDEX('Catalog'!$B:$B,MATCH($G1310,'Catalog'!$A:$A,0)),$B1310))</f>
        <v>85+ XLמתלה ליד)כיס(רצועת חיזוק</v>
      </c>
      <c r="I1310" s="8" t="str">
        <f aca="false">IF($G1310="","Unmatched","Matched")</f>
        <v>Matched</v>
      </c>
      <c r="J1310" s="8" t="n">
        <f aca="false">IF($G1310&lt;&gt;"",$G1310,$B1310)</f>
        <v>4413177</v>
      </c>
      <c r="K1310" s="8" t="str">
        <f aca="false">IF(COUNTIF($M$1:$M$10,$A1310)&gt;0,"Y","N")</f>
        <v>Y</v>
      </c>
    </row>
    <row r="1311" customFormat="false" ht="15" hidden="false" customHeight="true" outlineLevel="0" collapsed="false">
      <c r="A1311" s="8" t="s">
        <v>53</v>
      </c>
      <c r="B1311" s="8" t="s">
        <v>708</v>
      </c>
      <c r="C1311" s="19" t="n">
        <v>4</v>
      </c>
      <c r="D1311" s="19" t="n">
        <v>203.66</v>
      </c>
      <c r="E1311" s="19" t="n">
        <v>3</v>
      </c>
      <c r="F1311" s="19" t="n">
        <v>146.99</v>
      </c>
      <c r="G1311" s="8" t="n">
        <f aca="false">IFERROR(INDEX('TRANS'!$B:$B,MATCH($B1311,'TRANS'!$A:$A,0)),IFERROR(INDEX('TRANS'!$B:$B,MATCH(TRIM(SUBSTITUTE($B1311,CHAR(160)," ")),'TRANS'!$D:$D,0)),IFERROR(INDEX('Catalog'!$A:$A,MATCH($B1311,'Catalog'!$B:$B,0)),IFERROR(INDEX('Catalog'!$A:$A,MATCH(TRIM(SUBSTITUTE($B1311,CHAR(160)," ")),'Catalog'!$C:$C,0)),""))))</f>
        <v>4413135</v>
      </c>
      <c r="H1311" s="8" t="str">
        <f aca="false">IFERROR(INDEX('TRANS'!$C:$C,MATCH($B1311,'TRANS'!$A:$A,0)),IFERROR(INDEX('Catalog'!$B:$B,MATCH($G1311,'Catalog'!$A:$A,0)),$B1311))</f>
        <v>85 L (מתלה ליד )כיס</v>
      </c>
      <c r="I1311" s="8" t="str">
        <f aca="false">IF($G1311="","Unmatched","Matched")</f>
        <v>Matched</v>
      </c>
      <c r="J1311" s="8" t="n">
        <f aca="false">IF($G1311&lt;&gt;"",$G1311,$B1311)</f>
        <v>4413135</v>
      </c>
      <c r="K1311" s="8" t="str">
        <f aca="false">IF(COUNTIF($M$1:$M$10,$A1311)&gt;0,"Y","N")</f>
        <v>Y</v>
      </c>
    </row>
    <row r="1312" customFormat="false" ht="15" hidden="false" customHeight="true" outlineLevel="0" collapsed="false">
      <c r="A1312" s="8" t="s">
        <v>53</v>
      </c>
      <c r="B1312" s="8" t="s">
        <v>711</v>
      </c>
      <c r="C1312" s="19" t="n">
        <v>3</v>
      </c>
      <c r="D1312" s="19" t="n">
        <v>141.6</v>
      </c>
      <c r="E1312" s="19" t="n">
        <v>6</v>
      </c>
      <c r="F1312" s="19" t="n">
        <v>340.02</v>
      </c>
      <c r="G1312" s="8" t="n">
        <f aca="false">IFERROR(INDEX('TRANS'!$B:$B,MATCH($B1312,'TRANS'!$A:$A,0)),IFERROR(INDEX('TRANS'!$B:$B,MATCH(TRIM(SUBSTITUTE($B1312,CHAR(160)," ")),'TRANS'!$D:$D,0)),IFERROR(INDEX('Catalog'!$A:$A,MATCH($B1312,'Catalog'!$B:$B,0)),IFERROR(INDEX('Catalog'!$A:$A,MATCH(TRIM(SUBSTITUTE($B1312,CHAR(160)," ")),'Catalog'!$C:$C,0)),""))))</f>
        <v>4413516</v>
      </c>
      <c r="H1312" s="8" t="str">
        <f aca="false">IFERROR(INDEX('TRANS'!$C:$C,MATCH($B1312,'TRANS'!$A:$A,0)),IFERROR(INDEX('Catalog'!$B:$B,MATCH($G1312,'Catalog'!$A:$A,0)),$B1312))</f>
        <v>85B L מתלה רשת לזרוע שחור</v>
      </c>
      <c r="I1312" s="8" t="str">
        <f aca="false">IF($G1312="","Unmatched","Matched")</f>
        <v>Matched</v>
      </c>
      <c r="J1312" s="8" t="n">
        <f aca="false">IF($G1312&lt;&gt;"",$G1312,$B1312)</f>
        <v>4413516</v>
      </c>
      <c r="K1312" s="8" t="str">
        <f aca="false">IF(COUNTIF($M$1:$M$10,$A1312)&gt;0,"Y","N")</f>
        <v>Y</v>
      </c>
    </row>
    <row r="1313" customFormat="false" ht="15" hidden="false" customHeight="true" outlineLevel="0" collapsed="false">
      <c r="A1313" s="8" t="s">
        <v>53</v>
      </c>
      <c r="B1313" s="8" t="s">
        <v>714</v>
      </c>
      <c r="C1313" s="19" t="n">
        <v>8</v>
      </c>
      <c r="D1313" s="19" t="n">
        <v>424.95</v>
      </c>
      <c r="E1313" s="19" t="n">
        <v>4</v>
      </c>
      <c r="F1313" s="19" t="n">
        <v>226.68</v>
      </c>
      <c r="G1313" s="8" t="n">
        <f aca="false">IFERROR(INDEX('TRANS'!$B:$B,MATCH($B1313,'TRANS'!$A:$A,0)),IFERROR(INDEX('TRANS'!$B:$B,MATCH(TRIM(SUBSTITUTE($B1313,CHAR(160)," ")),'TRANS'!$D:$D,0)),IFERROR(INDEX('Catalog'!$A:$A,MATCH($B1313,'Catalog'!$B:$B,0)),IFERROR(INDEX('Catalog'!$A:$A,MATCH(TRIM(SUBSTITUTE($B1313,CHAR(160)," ")),'Catalog'!$C:$C,0)),""))))</f>
        <v>4413518</v>
      </c>
      <c r="H1313" s="8" t="str">
        <f aca="false">IFERROR(INDEX('TRANS'!$C:$C,MATCH($B1313,'TRANS'!$A:$A,0)),IFERROR(INDEX('Catalog'!$B:$B,MATCH($G1313,'Catalog'!$A:$A,0)),$B1313))</f>
        <v>85B XL מתלה רשת לזרוע שחור</v>
      </c>
      <c r="I1313" s="8" t="str">
        <f aca="false">IF($G1313="","Unmatched","Matched")</f>
        <v>Matched</v>
      </c>
      <c r="J1313" s="8" t="n">
        <f aca="false">IF($G1313&lt;&gt;"",$G1313,$B1313)</f>
        <v>4413518</v>
      </c>
      <c r="K1313" s="8" t="str">
        <f aca="false">IF(COUNTIF($M$1:$M$10,$A1313)&gt;0,"Y","N")</f>
        <v>Y</v>
      </c>
    </row>
    <row r="1314" customFormat="false" ht="15" hidden="false" customHeight="true" outlineLevel="0" collapsed="false">
      <c r="A1314" s="8" t="s">
        <v>53</v>
      </c>
      <c r="B1314" s="8" t="s">
        <v>730</v>
      </c>
      <c r="C1314" s="19" t="n">
        <v>2</v>
      </c>
      <c r="D1314" s="19" t="n">
        <v>161.18</v>
      </c>
      <c r="E1314" s="19" t="n">
        <v>0</v>
      </c>
      <c r="F1314" s="19" t="n">
        <v>0</v>
      </c>
      <c r="G1314" s="8" t="n">
        <f aca="false">IFERROR(INDEX('TRANS'!$B:$B,MATCH($B1314,'TRANS'!$A:$A,0)),IFERROR(INDEX('TRANS'!$B:$B,MATCH(TRIM(SUBSTITUTE($B1314,CHAR(160)," ")),'TRANS'!$D:$D,0)),IFERROR(INDEX('Catalog'!$A:$A,MATCH($B1314,'Catalog'!$B:$B,0)),IFERROR(INDEX('Catalog'!$A:$A,MATCH(TRIM(SUBSTITUTE($B1314,CHAR(160)," ")),'Catalog'!$C:$C,0)),""))))</f>
        <v>4420026</v>
      </c>
      <c r="H1314" s="8" t="str">
        <f aca="false">IFERROR(INDEX('TRANS'!$C:$C,MATCH($B1314,'TRANS'!$A:$A,0)),IFERROR(INDEX('Catalog'!$B:$B,MATCH($G1314,'Catalog'!$A:$A,0)),$B1314))</f>
        <v>AC40 רצועה לפיקת הברך</v>
      </c>
      <c r="I1314" s="8" t="str">
        <f aca="false">IF($G1314="","Unmatched","Matched")</f>
        <v>Matched</v>
      </c>
      <c r="J1314" s="8" t="n">
        <f aca="false">IF($G1314&lt;&gt;"",$G1314,$B1314)</f>
        <v>4420026</v>
      </c>
      <c r="K1314" s="8" t="str">
        <f aca="false">IF(COUNTIF($M$1:$M$10,$A1314)&gt;0,"Y","N")</f>
        <v>Y</v>
      </c>
    </row>
    <row r="1315" customFormat="false" ht="15" hidden="false" customHeight="true" outlineLevel="0" collapsed="false">
      <c r="A1315" s="8" t="s">
        <v>53</v>
      </c>
      <c r="B1315" s="8" t="s">
        <v>488</v>
      </c>
      <c r="C1315" s="19" t="n">
        <v>-3</v>
      </c>
      <c r="D1315" s="19" t="n">
        <v>-113.76</v>
      </c>
      <c r="E1315" s="19" t="n">
        <v>0</v>
      </c>
      <c r="F1315" s="19" t="n">
        <v>0</v>
      </c>
      <c r="G1315" s="8" t="str">
        <f aca="false">IFERROR(INDEX('TRANS'!$B:$B,MATCH($B1315,'TRANS'!$A:$A,0)),IFERROR(INDEX('TRANS'!$B:$B,MATCH(TRIM(SUBSTITUTE($B1315,CHAR(160)," ")),'TRANS'!$D:$D,0)),IFERROR(INDEX('Catalog'!$A:$A,MATCH($B1315,'Catalog'!$B:$B,0)),IFERROR(INDEX('Catalog'!$A:$A,MATCH(TRIM(SUBSTITUTE($B1315,CHAR(160)," ")),'Catalog'!$C:$C,0)),""))))</f>
        <v/>
      </c>
      <c r="H1315" s="8" t="str">
        <f aca="false">IFERROR(INDEX('TRANS'!$C:$C,MATCH($B1315,'TRANS'!$A:$A,0)),IFERROR(INDEX('Catalog'!$B:$B,MATCH($G1315,'Catalog'!$A:$A,0)),$B1315))</f>
        <v>FC316 0</v>
      </c>
      <c r="I1315" s="8" t="str">
        <f aca="false">IF($G1315="","Unmatched","Matched")</f>
        <v>Unmatched</v>
      </c>
      <c r="J1315" s="8" t="str">
        <f aca="false">IF($G1315&lt;&gt;"",$G1315,$B1315)</f>
        <v>FC316 0</v>
      </c>
      <c r="K1315" s="8" t="str">
        <f aca="false">IF(COUNTIF($M$1:$M$10,$A1315)&gt;0,"Y","N")</f>
        <v>Y</v>
      </c>
    </row>
    <row r="1316" customFormat="false" ht="15" hidden="false" customHeight="true" outlineLevel="0" collapsed="false">
      <c r="A1316" s="8" t="s">
        <v>53</v>
      </c>
      <c r="B1316" s="8" t="s">
        <v>914</v>
      </c>
      <c r="C1316" s="19" t="n">
        <v>1</v>
      </c>
      <c r="D1316" s="19" t="n">
        <v>66.28</v>
      </c>
      <c r="E1316" s="19" t="n">
        <v>0</v>
      </c>
      <c r="F1316" s="19" t="n">
        <v>0</v>
      </c>
      <c r="G1316" s="8" t="n">
        <f aca="false">IFERROR(INDEX('TRANS'!$B:$B,MATCH($B1316,'TRANS'!$A:$A,0)),IFERROR(INDEX('TRANS'!$B:$B,MATCH(TRIM(SUBSTITUTE($B1316,CHAR(160)," ")),'TRANS'!$D:$D,0)),IFERROR(INDEX('Catalog'!$A:$A,MATCH($B1316,'Catalog'!$B:$B,0)),IFERROR(INDEX('Catalog'!$A:$A,MATCH(TRIM(SUBSTITUTE($B1316,CHAR(160)," ")),'Catalog'!$C:$C,0)),""))))</f>
        <v>4408134</v>
      </c>
      <c r="H1316" s="8" t="str">
        <f aca="false">IFERROR(INDEX('TRANS'!$C:$C,MATCH($B1316,'TRANS'!$A:$A,0)),IFERROR(INDEX('Catalog'!$B:$B,MATCH($G1316,'Catalog'!$A:$A,0)),$B1316))</f>
        <v>077A S-M חגורת גב</v>
      </c>
      <c r="I1316" s="8" t="str">
        <f aca="false">IF($G1316="","Unmatched","Matched")</f>
        <v>Matched</v>
      </c>
      <c r="J1316" s="8" t="n">
        <f aca="false">IF($G1316&lt;&gt;"",$G1316,$B1316)</f>
        <v>4408134</v>
      </c>
      <c r="K1316" s="8" t="str">
        <f aca="false">IF(COUNTIF($M$1:$M$10,$A1316)&gt;0,"Y","N")</f>
        <v>Y</v>
      </c>
    </row>
    <row r="1317" customFormat="false" ht="15" hidden="false" customHeight="true" outlineLevel="0" collapsed="false">
      <c r="A1317" s="8" t="s">
        <v>53</v>
      </c>
      <c r="B1317" s="8" t="s">
        <v>852</v>
      </c>
      <c r="C1317" s="19" t="n">
        <v>4</v>
      </c>
      <c r="D1317" s="19" t="n">
        <v>345.14</v>
      </c>
      <c r="E1317" s="19" t="n">
        <v>117</v>
      </c>
      <c r="F1317" s="19" t="n">
        <v>9822.18</v>
      </c>
      <c r="G1317" s="8" t="n">
        <f aca="false">IFERROR(INDEX('TRANS'!$B:$B,MATCH($B1317,'TRANS'!$A:$A,0)),IFERROR(INDEX('TRANS'!$B:$B,MATCH(TRIM(SUBSTITUTE($B1317,CHAR(160)," ")),'TRANS'!$D:$D,0)),IFERROR(INDEX('Catalog'!$A:$A,MATCH($B1317,'Catalog'!$B:$B,0)),IFERROR(INDEX('Catalog'!$A:$A,MATCH(TRIM(SUBSTITUTE($B1317,CHAR(160)," ")),'Catalog'!$C:$C,0)),""))))</f>
        <v>4408190</v>
      </c>
      <c r="H1317" s="8" t="str">
        <f aca="false">IFERROR(INDEX('TRANS'!$C:$C,MATCH($B1317,'TRANS'!$A:$A,0)),IFERROR(INDEX('Catalog'!$B:$B,MATCH($G1317,'Catalog'!$A:$A,0)),$B1317))</f>
        <v>M078 חגורת גב +סגירה כפולה</v>
      </c>
      <c r="I1317" s="8" t="str">
        <f aca="false">IF($G1317="","Unmatched","Matched")</f>
        <v>Matched</v>
      </c>
      <c r="J1317" s="8" t="n">
        <f aca="false">IF($G1317&lt;&gt;"",$G1317,$B1317)</f>
        <v>4408190</v>
      </c>
      <c r="K1317" s="8" t="str">
        <f aca="false">IF(COUNTIF($M$1:$M$10,$A1317)&gt;0,"Y","N")</f>
        <v>Y</v>
      </c>
    </row>
    <row r="1318" customFormat="false" ht="15" hidden="false" customHeight="true" outlineLevel="0" collapsed="false">
      <c r="A1318" s="8" t="s">
        <v>53</v>
      </c>
      <c r="B1318" s="8" t="s">
        <v>853</v>
      </c>
      <c r="C1318" s="19" t="n">
        <v>2</v>
      </c>
      <c r="D1318" s="19" t="n">
        <v>195.11</v>
      </c>
      <c r="E1318" s="19" t="n">
        <v>26</v>
      </c>
      <c r="F1318" s="19" t="n">
        <v>2328.25</v>
      </c>
      <c r="G1318" s="8" t="n">
        <f aca="false">IFERROR(INDEX('TRANS'!$B:$B,MATCH($B1318,'TRANS'!$A:$A,0)),IFERROR(INDEX('TRANS'!$B:$B,MATCH(TRIM(SUBSTITUTE($B1318,CHAR(160)," ")),'TRANS'!$D:$D,0)),IFERROR(INDEX('Catalog'!$A:$A,MATCH($B1318,'Catalog'!$B:$B,0)),IFERROR(INDEX('Catalog'!$A:$A,MATCH(TRIM(SUBSTITUTE($B1318,CHAR(160)," ")),'Catalog'!$C:$C,0)),""))))</f>
        <v>4408217</v>
      </c>
      <c r="H1318" s="8" t="str">
        <f aca="false">IFERROR(INDEX('TRANS'!$C:$C,MATCH($B1318,'TRANS'!$A:$A,0)),IFERROR(INDEX('Catalog'!$B:$B,MATCH($G1318,'Catalog'!$A:$A,0)),$B1318))</f>
        <v>S078 חגורת גב +סגירה כפולה</v>
      </c>
      <c r="I1318" s="8" t="str">
        <f aca="false">IF($G1318="","Unmatched","Matched")</f>
        <v>Matched</v>
      </c>
      <c r="J1318" s="8" t="n">
        <f aca="false">IF($G1318&lt;&gt;"",$G1318,$B1318)</f>
        <v>4408217</v>
      </c>
      <c r="K1318" s="8" t="str">
        <f aca="false">IF(COUNTIF($M$1:$M$10,$A1318)&gt;0,"Y","N")</f>
        <v>Y</v>
      </c>
    </row>
    <row r="1319" customFormat="false" ht="15" hidden="false" customHeight="true" outlineLevel="0" collapsed="false">
      <c r="A1319" s="8" t="s">
        <v>53</v>
      </c>
      <c r="B1319" s="8" t="s">
        <v>854</v>
      </c>
      <c r="C1319" s="19" t="n">
        <v>1</v>
      </c>
      <c r="D1319" s="19" t="n">
        <v>78</v>
      </c>
      <c r="E1319" s="19" t="n">
        <v>18</v>
      </c>
      <c r="F1319" s="19" t="n">
        <v>1431.15</v>
      </c>
      <c r="G1319" s="8" t="n">
        <f aca="false">IFERROR(INDEX('TRANS'!$B:$B,MATCH($B1319,'TRANS'!$A:$A,0)),IFERROR(INDEX('TRANS'!$B:$B,MATCH(TRIM(SUBSTITUTE($B1319,CHAR(160)," ")),'TRANS'!$D:$D,0)),IFERROR(INDEX('Catalog'!$A:$A,MATCH($B1319,'Catalog'!$B:$B,0)),IFERROR(INDEX('Catalog'!$A:$A,MATCH(TRIM(SUBSTITUTE($B1319,CHAR(160)," ")),'Catalog'!$C:$C,0)),""))))</f>
        <v>4408265</v>
      </c>
      <c r="H1319" s="8" t="str">
        <f aca="false">IFERROR(INDEX('TRANS'!$C:$C,MATCH($B1319,'TRANS'!$A:$A,0)),IFERROR(INDEX('Catalog'!$B:$B,MATCH($G1319,'Catalog'!$A:$A,0)),$B1319))</f>
        <v>078XXL חגורת גב +סגירה כפולה</v>
      </c>
      <c r="I1319" s="8" t="str">
        <f aca="false">IF($G1319="","Unmatched","Matched")</f>
        <v>Matched</v>
      </c>
      <c r="J1319" s="8" t="n">
        <f aca="false">IF($G1319&lt;&gt;"",$G1319,$B1319)</f>
        <v>4408265</v>
      </c>
      <c r="K1319" s="8" t="str">
        <f aca="false">IF(COUNTIF($M$1:$M$10,$A1319)&gt;0,"Y","N")</f>
        <v>Y</v>
      </c>
    </row>
    <row r="1320" customFormat="false" ht="15" hidden="false" customHeight="true" outlineLevel="0" collapsed="false">
      <c r="A1320" s="8" t="s">
        <v>53</v>
      </c>
      <c r="B1320" s="8" t="s">
        <v>284</v>
      </c>
      <c r="C1320" s="19" t="n">
        <v>0</v>
      </c>
      <c r="D1320" s="19" t="n">
        <v>0</v>
      </c>
      <c r="E1320" s="19" t="n">
        <v>2</v>
      </c>
      <c r="F1320" s="19" t="n">
        <v>180</v>
      </c>
      <c r="G1320" s="8" t="str">
        <f aca="false">IFERROR(INDEX('TRANS'!$B:$B,MATCH($B1320,'TRANS'!$A:$A,0)),IFERROR(INDEX('TRANS'!$B:$B,MATCH(TRIM(SUBSTITUTE($B1320,CHAR(160)," ")),'TRANS'!$D:$D,0)),IFERROR(INDEX('Catalog'!$A:$A,MATCH($B1320,'Catalog'!$B:$B,0)),IFERROR(INDEX('Catalog'!$A:$A,MATCH(TRIM(SUBSTITUTE($B1320,CHAR(160)," ")),'Catalog'!$C:$C,0)),""))))</f>
        <v/>
      </c>
      <c r="H1320" s="8" t="str">
        <f aca="false">IFERROR(INDEX('TRANS'!$C:$C,MATCH($B1320,'TRANS'!$A:$A,0)),IFERROR(INDEX('Catalog'!$B:$B,MATCH($G1320,'Catalog'!$A:$A,0)),$B1320))</f>
        <v>079 L</v>
      </c>
      <c r="I1320" s="8" t="str">
        <f aca="false">IF($G1320="","Unmatched","Matched")</f>
        <v>Unmatched</v>
      </c>
      <c r="J1320" s="8" t="str">
        <f aca="false">IF($G1320&lt;&gt;"",$G1320,$B1320)</f>
        <v>079 L</v>
      </c>
      <c r="K1320" s="8" t="str">
        <f aca="false">IF(COUNTIF($M$1:$M$10,$A1320)&gt;0,"Y","N")</f>
        <v>Y</v>
      </c>
    </row>
    <row r="1321" customFormat="false" ht="15" hidden="false" customHeight="true" outlineLevel="0" collapsed="false">
      <c r="A1321" s="8" t="s">
        <v>53</v>
      </c>
      <c r="B1321" s="8" t="s">
        <v>214</v>
      </c>
      <c r="C1321" s="19" t="n">
        <v>0</v>
      </c>
      <c r="D1321" s="19" t="n">
        <v>0</v>
      </c>
      <c r="E1321" s="19" t="n">
        <v>2</v>
      </c>
      <c r="F1321" s="19" t="n">
        <v>180</v>
      </c>
      <c r="G1321" s="8" t="str">
        <f aca="false">IFERROR(INDEX('TRANS'!$B:$B,MATCH($B1321,'TRANS'!$A:$A,0)),IFERROR(INDEX('TRANS'!$B:$B,MATCH(TRIM(SUBSTITUTE($B1321,CHAR(160)," ")),'TRANS'!$D:$D,0)),IFERROR(INDEX('Catalog'!$A:$A,MATCH($B1321,'Catalog'!$B:$B,0)),IFERROR(INDEX('Catalog'!$A:$A,MATCH(TRIM(SUBSTITUTE($B1321,CHAR(160)," ")),'Catalog'!$C:$C,0)),""))))</f>
        <v/>
      </c>
      <c r="H1321" s="8" t="str">
        <f aca="false">IFERROR(INDEX('TRANS'!$C:$C,MATCH($B1321,'TRANS'!$A:$A,0)),IFERROR(INDEX('Catalog'!$B:$B,MATCH($G1321,'Catalog'!$A:$A,0)),$B1321))</f>
        <v>079 M</v>
      </c>
      <c r="I1321" s="8" t="str">
        <f aca="false">IF($G1321="","Unmatched","Matched")</f>
        <v>Unmatched</v>
      </c>
      <c r="J1321" s="8" t="str">
        <f aca="false">IF($G1321&lt;&gt;"",$G1321,$B1321)</f>
        <v>079 M</v>
      </c>
      <c r="K1321" s="8" t="str">
        <f aca="false">IF(COUNTIF($M$1:$M$10,$A1321)&gt;0,"Y","N")</f>
        <v>Y</v>
      </c>
    </row>
    <row r="1322" customFormat="false" ht="15" hidden="false" customHeight="true" outlineLevel="0" collapsed="false">
      <c r="A1322" s="8" t="s">
        <v>53</v>
      </c>
      <c r="B1322" s="8" t="s">
        <v>355</v>
      </c>
      <c r="C1322" s="19" t="n">
        <v>0</v>
      </c>
      <c r="D1322" s="19" t="n">
        <v>0</v>
      </c>
      <c r="E1322" s="19" t="n">
        <v>1</v>
      </c>
      <c r="F1322" s="19" t="n">
        <v>89.99</v>
      </c>
      <c r="G1322" s="8" t="str">
        <f aca="false">IFERROR(INDEX('TRANS'!$B:$B,MATCH($B1322,'TRANS'!$A:$A,0)),IFERROR(INDEX('TRANS'!$B:$B,MATCH(TRIM(SUBSTITUTE($B1322,CHAR(160)," ")),'TRANS'!$D:$D,0)),IFERROR(INDEX('Catalog'!$A:$A,MATCH($B1322,'Catalog'!$B:$B,0)),IFERROR(INDEX('Catalog'!$A:$A,MATCH(TRIM(SUBSTITUTE($B1322,CHAR(160)," ")),'Catalog'!$C:$C,0)),""))))</f>
        <v/>
      </c>
      <c r="H1322" s="8" t="str">
        <f aca="false">IFERROR(INDEX('TRANS'!$C:$C,MATCH($B1322,'TRANS'!$A:$A,0)),IFERROR(INDEX('Catalog'!$B:$B,MATCH($G1322,'Catalog'!$A:$A,0)),$B1322))</f>
        <v>079 S</v>
      </c>
      <c r="I1322" s="8" t="str">
        <f aca="false">IF($G1322="","Unmatched","Matched")</f>
        <v>Unmatched</v>
      </c>
      <c r="J1322" s="8" t="str">
        <f aca="false">IF($G1322&lt;&gt;"",$G1322,$B1322)</f>
        <v>079 S</v>
      </c>
      <c r="K1322" s="8" t="str">
        <f aca="false">IF(COUNTIF($M$1:$M$10,$A1322)&gt;0,"Y","N")</f>
        <v>Y</v>
      </c>
    </row>
    <row r="1323" customFormat="false" ht="15" hidden="false" customHeight="true" outlineLevel="0" collapsed="false">
      <c r="A1323" s="8" t="s">
        <v>53</v>
      </c>
      <c r="B1323" s="8" t="s">
        <v>280</v>
      </c>
      <c r="C1323" s="19" t="n">
        <v>0</v>
      </c>
      <c r="D1323" s="19" t="n">
        <v>0</v>
      </c>
      <c r="E1323" s="19" t="n">
        <v>2</v>
      </c>
      <c r="F1323" s="19" t="n">
        <v>180</v>
      </c>
      <c r="G1323" s="8" t="str">
        <f aca="false">IFERROR(INDEX('TRANS'!$B:$B,MATCH($B1323,'TRANS'!$A:$A,0)),IFERROR(INDEX('TRANS'!$B:$B,MATCH(TRIM(SUBSTITUTE($B1323,CHAR(160)," ")),'TRANS'!$D:$D,0)),IFERROR(INDEX('Catalog'!$A:$A,MATCH($B1323,'Catalog'!$B:$B,0)),IFERROR(INDEX('Catalog'!$A:$A,MATCH(TRIM(SUBSTITUTE($B1323,CHAR(160)," ")),'Catalog'!$C:$C,0)),""))))</f>
        <v/>
      </c>
      <c r="H1323" s="8" t="str">
        <f aca="false">IFERROR(INDEX('TRANS'!$C:$C,MATCH($B1323,'TRANS'!$A:$A,0)),IFERROR(INDEX('Catalog'!$B:$B,MATCH($G1323,'Catalog'!$A:$A,0)),$B1323))</f>
        <v>079 XL</v>
      </c>
      <c r="I1323" s="8" t="str">
        <f aca="false">IF($G1323="","Unmatched","Matched")</f>
        <v>Unmatched</v>
      </c>
      <c r="J1323" s="8" t="str">
        <f aca="false">IF($G1323&lt;&gt;"",$G1323,$B1323)</f>
        <v>079 XL</v>
      </c>
      <c r="K1323" s="8" t="str">
        <f aca="false">IF(COUNTIF($M$1:$M$10,$A1323)&gt;0,"Y","N")</f>
        <v>Y</v>
      </c>
    </row>
    <row r="1324" customFormat="false" ht="15" hidden="false" customHeight="true" outlineLevel="0" collapsed="false">
      <c r="A1324" s="8" t="s">
        <v>53</v>
      </c>
      <c r="B1324" s="8" t="s">
        <v>246</v>
      </c>
      <c r="C1324" s="19" t="n">
        <v>0</v>
      </c>
      <c r="D1324" s="19" t="n">
        <v>0</v>
      </c>
      <c r="E1324" s="19" t="n">
        <v>2</v>
      </c>
      <c r="F1324" s="19" t="n">
        <v>180</v>
      </c>
      <c r="G1324" s="8" t="str">
        <f aca="false">IFERROR(INDEX('TRANS'!$B:$B,MATCH($B1324,'TRANS'!$A:$A,0)),IFERROR(INDEX('TRANS'!$B:$B,MATCH(TRIM(SUBSTITUTE($B1324,CHAR(160)," ")),'TRANS'!$D:$D,0)),IFERROR(INDEX('Catalog'!$A:$A,MATCH($B1324,'Catalog'!$B:$B,0)),IFERROR(INDEX('Catalog'!$A:$A,MATCH(TRIM(SUBSTITUTE($B1324,CHAR(160)," ")),'Catalog'!$C:$C,0)),""))))</f>
        <v/>
      </c>
      <c r="H1324" s="8" t="str">
        <f aca="false">IFERROR(INDEX('TRANS'!$C:$C,MATCH($B1324,'TRANS'!$A:$A,0)),IFERROR(INDEX('Catalog'!$B:$B,MATCH($G1324,'Catalog'!$A:$A,0)),$B1324))</f>
        <v>079 XXL</v>
      </c>
      <c r="I1324" s="8" t="str">
        <f aca="false">IF($G1324="","Unmatched","Matched")</f>
        <v>Unmatched</v>
      </c>
      <c r="J1324" s="8" t="str">
        <f aca="false">IF($G1324&lt;&gt;"",$G1324,$B1324)</f>
        <v>079 XXL</v>
      </c>
      <c r="K1324" s="8" t="str">
        <f aca="false">IF(COUNTIF($M$1:$M$10,$A1324)&gt;0,"Y","N")</f>
        <v>Y</v>
      </c>
    </row>
    <row r="1325" customFormat="false" ht="15" hidden="false" customHeight="true" outlineLevel="0" collapsed="false">
      <c r="A1325" s="8" t="s">
        <v>53</v>
      </c>
      <c r="B1325" s="8" t="s">
        <v>936</v>
      </c>
      <c r="C1325" s="19" t="n">
        <v>0</v>
      </c>
      <c r="D1325" s="19" t="n">
        <v>0</v>
      </c>
      <c r="E1325" s="19" t="n">
        <v>1</v>
      </c>
      <c r="F1325" s="19" t="n">
        <v>73.66</v>
      </c>
      <c r="G1325" s="8" t="n">
        <f aca="false">IFERROR(INDEX('TRANS'!$B:$B,MATCH($B1325,'TRANS'!$A:$A,0)),IFERROR(INDEX('TRANS'!$B:$B,MATCH(TRIM(SUBSTITUTE($B1325,CHAR(160)," ")),'TRANS'!$D:$D,0)),IFERROR(INDEX('Catalog'!$A:$A,MATCH($B1325,'Catalog'!$B:$B,0)),IFERROR(INDEX('Catalog'!$A:$A,MATCH(TRIM(SUBSTITUTE($B1325,CHAR(160)," ")),'Catalog'!$C:$C,0)),""))))</f>
        <v>4408034</v>
      </c>
      <c r="H1325" s="8" t="str">
        <f aca="false">IFERROR(INDEX('TRANS'!$C:$C,MATCH($B1325,'TRANS'!$A:$A,0)),IFERROR(INDEX('Catalog'!$B:$B,MATCH($G1325,'Catalog'!$A:$A,0)),$B1325))</f>
        <v>11 XL""""חגורת בטן""""אורירית</v>
      </c>
      <c r="I1325" s="8" t="str">
        <f aca="false">IF($G1325="","Unmatched","Matched")</f>
        <v>Matched</v>
      </c>
      <c r="J1325" s="8" t="n">
        <f aca="false">IF($G1325&lt;&gt;"",$G1325,$B1325)</f>
        <v>4408034</v>
      </c>
      <c r="K1325" s="8" t="str">
        <f aca="false">IF(COUNTIF($M$1:$M$10,$A1325)&gt;0,"Y","N")</f>
        <v>Y</v>
      </c>
    </row>
    <row r="1326" customFormat="false" ht="15" hidden="false" customHeight="true" outlineLevel="0" collapsed="false">
      <c r="A1326" s="8" t="s">
        <v>53</v>
      </c>
      <c r="B1326" s="8" t="s">
        <v>937</v>
      </c>
      <c r="C1326" s="19" t="n">
        <v>0</v>
      </c>
      <c r="D1326" s="19" t="n">
        <v>0</v>
      </c>
      <c r="E1326" s="19" t="n">
        <v>1</v>
      </c>
      <c r="F1326" s="19" t="n">
        <v>73.66</v>
      </c>
      <c r="G1326" s="8" t="n">
        <f aca="false">IFERROR(INDEX('TRANS'!$B:$B,MATCH($B1326,'TRANS'!$A:$A,0)),IFERROR(INDEX('TRANS'!$B:$B,MATCH(TRIM(SUBSTITUTE($B1326,CHAR(160)," ")),'TRANS'!$D:$D,0)),IFERROR(INDEX('Catalog'!$A:$A,MATCH($B1326,'Catalog'!$B:$B,0)),IFERROR(INDEX('Catalog'!$A:$A,MATCH(TRIM(SUBSTITUTE($B1326,CHAR(160)," ")),'Catalog'!$C:$C,0)),""))))</f>
        <v>4408035</v>
      </c>
      <c r="H1326" s="8" t="str">
        <f aca="false">IFERROR(INDEX('TRANS'!$C:$C,MATCH($B1326,'TRANS'!$A:$A,0)),IFERROR(INDEX('Catalog'!$B:$B,MATCH($G1326,'Catalog'!$A:$A,0)),$B1326))</f>
        <v>11 XXL""""חגורת בטן""""אורירית</v>
      </c>
      <c r="I1326" s="8" t="str">
        <f aca="false">IF($G1326="","Unmatched","Matched")</f>
        <v>Matched</v>
      </c>
      <c r="J1326" s="8" t="n">
        <f aca="false">IF($G1326&lt;&gt;"",$G1326,$B1326)</f>
        <v>4408035</v>
      </c>
      <c r="K1326" s="8" t="str">
        <f aca="false">IF(COUNTIF($M$1:$M$10,$A1326)&gt;0,"Y","N")</f>
        <v>Y</v>
      </c>
    </row>
    <row r="1327" customFormat="false" ht="15" hidden="false" customHeight="true" outlineLevel="0" collapsed="false">
      <c r="A1327" s="8" t="s">
        <v>53</v>
      </c>
      <c r="B1327" s="8" t="s">
        <v>216</v>
      </c>
      <c r="C1327" s="19" t="n">
        <v>0</v>
      </c>
      <c r="D1327" s="19" t="n">
        <v>0</v>
      </c>
      <c r="E1327" s="19" t="n">
        <v>1</v>
      </c>
      <c r="F1327" s="19" t="n">
        <v>89.33</v>
      </c>
      <c r="G1327" s="8" t="str">
        <f aca="false">IFERROR(INDEX('TRANS'!$B:$B,MATCH($B1327,'TRANS'!$A:$A,0)),IFERROR(INDEX('TRANS'!$B:$B,MATCH(TRIM(SUBSTITUTE($B1327,CHAR(160)," ")),'TRANS'!$D:$D,0)),IFERROR(INDEX('Catalog'!$A:$A,MATCH($B1327,'Catalog'!$B:$B,0)),IFERROR(INDEX('Catalog'!$A:$A,MATCH(TRIM(SUBSTITUTE($B1327,CHAR(160)," ")),'Catalog'!$C:$C,0)),""))))</f>
        <v/>
      </c>
      <c r="H1327" s="8" t="str">
        <f aca="false">IFERROR(INDEX('TRANS'!$C:$C,MATCH($B1327,'TRANS'!$A:$A,0)),IFERROR(INDEX('Catalog'!$B:$B,MATCH($G1327,'Catalog'!$A:$A,0)),$B1327))</f>
        <v>11UG XL</v>
      </c>
      <c r="I1327" s="8" t="str">
        <f aca="false">IF($G1327="","Unmatched","Matched")</f>
        <v>Unmatched</v>
      </c>
      <c r="J1327" s="8" t="str">
        <f aca="false">IF($G1327&lt;&gt;"",$G1327,$B1327)</f>
        <v>11UG XL</v>
      </c>
      <c r="K1327" s="8" t="str">
        <f aca="false">IF(COUNTIF($M$1:$M$10,$A1327)&gt;0,"Y","N")</f>
        <v>Y</v>
      </c>
    </row>
    <row r="1328" customFormat="false" ht="15" hidden="false" customHeight="true" outlineLevel="0" collapsed="false">
      <c r="A1328" s="8" t="s">
        <v>53</v>
      </c>
      <c r="B1328" s="8" t="s">
        <v>185</v>
      </c>
      <c r="C1328" s="19" t="n">
        <v>0</v>
      </c>
      <c r="D1328" s="19" t="n">
        <v>0</v>
      </c>
      <c r="E1328" s="19" t="n">
        <v>1</v>
      </c>
      <c r="F1328" s="19" t="n">
        <v>99.66</v>
      </c>
      <c r="G1328" s="8" t="str">
        <f aca="false">IFERROR(INDEX('TRANS'!$B:$B,MATCH($B1328,'TRANS'!$A:$A,0)),IFERROR(INDEX('TRANS'!$B:$B,MATCH(TRIM(SUBSTITUTE($B1328,CHAR(160)," ")),'TRANS'!$D:$D,0)),IFERROR(INDEX('Catalog'!$A:$A,MATCH($B1328,'Catalog'!$B:$B,0)),IFERROR(INDEX('Catalog'!$A:$A,MATCH(TRIM(SUBSTITUTE($B1328,CHAR(160)," ")),'Catalog'!$C:$C,0)),""))))</f>
        <v/>
      </c>
      <c r="H1328" s="8" t="str">
        <f aca="false">IFERROR(INDEX('TRANS'!$C:$C,MATCH($B1328,'TRANS'!$A:$A,0)),IFERROR(INDEX('Catalog'!$B:$B,MATCH($G1328,'Catalog'!$A:$A,0)),$B1328))</f>
        <v>13 L</v>
      </c>
      <c r="I1328" s="8" t="str">
        <f aca="false">IF($G1328="","Unmatched","Matched")</f>
        <v>Unmatched</v>
      </c>
      <c r="J1328" s="8" t="str">
        <f aca="false">IF($G1328&lt;&gt;"",$G1328,$B1328)</f>
        <v>13 L</v>
      </c>
      <c r="K1328" s="8" t="str">
        <f aca="false">IF(COUNTIF($M$1:$M$10,$A1328)&gt;0,"Y","N")</f>
        <v>Y</v>
      </c>
    </row>
    <row r="1329" customFormat="false" ht="15" hidden="false" customHeight="true" outlineLevel="0" collapsed="false">
      <c r="A1329" s="8" t="s">
        <v>53</v>
      </c>
      <c r="B1329" s="8" t="s">
        <v>174</v>
      </c>
      <c r="C1329" s="19" t="n">
        <v>0</v>
      </c>
      <c r="D1329" s="19" t="n">
        <v>0</v>
      </c>
      <c r="E1329" s="19" t="n">
        <v>1</v>
      </c>
      <c r="F1329" s="19" t="n">
        <v>99.67</v>
      </c>
      <c r="G1329" s="8" t="str">
        <f aca="false">IFERROR(INDEX('TRANS'!$B:$B,MATCH($B1329,'TRANS'!$A:$A,0)),IFERROR(INDEX('TRANS'!$B:$B,MATCH(TRIM(SUBSTITUTE($B1329,CHAR(160)," ")),'TRANS'!$D:$D,0)),IFERROR(INDEX('Catalog'!$A:$A,MATCH($B1329,'Catalog'!$B:$B,0)),IFERROR(INDEX('Catalog'!$A:$A,MATCH(TRIM(SUBSTITUTE($B1329,CHAR(160)," ")),'Catalog'!$C:$C,0)),""))))</f>
        <v/>
      </c>
      <c r="H1329" s="8" t="str">
        <f aca="false">IFERROR(INDEX('TRANS'!$C:$C,MATCH($B1329,'TRANS'!$A:$A,0)),IFERROR(INDEX('Catalog'!$B:$B,MATCH($G1329,'Catalog'!$A:$A,0)),$B1329))</f>
        <v>13 M</v>
      </c>
      <c r="I1329" s="8" t="str">
        <f aca="false">IF($G1329="","Unmatched","Matched")</f>
        <v>Unmatched</v>
      </c>
      <c r="J1329" s="8" t="str">
        <f aca="false">IF($G1329&lt;&gt;"",$G1329,$B1329)</f>
        <v>13 M</v>
      </c>
      <c r="K1329" s="8" t="str">
        <f aca="false">IF(COUNTIF($M$1:$M$10,$A1329)&gt;0,"Y","N")</f>
        <v>Y</v>
      </c>
    </row>
    <row r="1330" customFormat="false" ht="15" hidden="false" customHeight="true" outlineLevel="0" collapsed="false">
      <c r="A1330" s="8" t="s">
        <v>53</v>
      </c>
      <c r="B1330" s="8" t="s">
        <v>938</v>
      </c>
      <c r="C1330" s="19" t="n">
        <v>0</v>
      </c>
      <c r="D1330" s="19" t="n">
        <v>0</v>
      </c>
      <c r="E1330" s="19" t="n">
        <v>2</v>
      </c>
      <c r="F1330" s="19" t="n">
        <v>199.33</v>
      </c>
      <c r="G1330" s="8" t="n">
        <f aca="false">IFERROR(INDEX('TRANS'!$B:$B,MATCH($B1330,'TRANS'!$A:$A,0)),IFERROR(INDEX('TRANS'!$B:$B,MATCH(TRIM(SUBSTITUTE($B1330,CHAR(160)," ")),'TRANS'!$D:$D,0)),IFERROR(INDEX('Catalog'!$A:$A,MATCH($B1330,'Catalog'!$B:$B,0)),IFERROR(INDEX('Catalog'!$A:$A,MATCH(TRIM(SUBSTITUTE($B1330,CHAR(160)," ")),'Catalog'!$C:$C,0)),""))))</f>
        <v>4408179</v>
      </c>
      <c r="H1330" s="8" t="str">
        <f aca="false">IFERROR(INDEX('TRANS'!$C:$C,MATCH($B1330,'TRANS'!$A:$A,0)),IFERROR(INDEX('Catalog'!$B:$B,MATCH($G1330,'Catalog'!$A:$A,0)),$B1330))</f>
        <v>13 XL חגורה לשבר טבור</v>
      </c>
      <c r="I1330" s="8" t="str">
        <f aca="false">IF($G1330="","Unmatched","Matched")</f>
        <v>Matched</v>
      </c>
      <c r="J1330" s="8" t="n">
        <f aca="false">IF($G1330&lt;&gt;"",$G1330,$B1330)</f>
        <v>4408179</v>
      </c>
      <c r="K1330" s="8" t="str">
        <f aca="false">IF(COUNTIF($M$1:$M$10,$A1330)&gt;0,"Y","N")</f>
        <v>Y</v>
      </c>
    </row>
    <row r="1331" customFormat="false" ht="15" hidden="false" customHeight="true" outlineLevel="0" collapsed="false">
      <c r="A1331" s="8" t="s">
        <v>53</v>
      </c>
      <c r="B1331" s="8" t="s">
        <v>782</v>
      </c>
      <c r="C1331" s="19" t="n">
        <v>0</v>
      </c>
      <c r="D1331" s="19" t="n">
        <v>0</v>
      </c>
      <c r="E1331" s="19" t="n">
        <v>2</v>
      </c>
      <c r="F1331" s="19" t="n">
        <v>199.33</v>
      </c>
      <c r="G1331" s="8" t="n">
        <f aca="false">IFERROR(INDEX('TRANS'!$B:$B,MATCH($B1331,'TRANS'!$A:$A,0)),IFERROR(INDEX('TRANS'!$B:$B,MATCH(TRIM(SUBSTITUTE($B1331,CHAR(160)," ")),'TRANS'!$D:$D,0)),IFERROR(INDEX('Catalog'!$A:$A,MATCH($B1331,'Catalog'!$B:$B,0)),IFERROR(INDEX('Catalog'!$A:$A,MATCH(TRIM(SUBSTITUTE($B1331,CHAR(160)," ")),'Catalog'!$C:$C,0)),""))))</f>
        <v>4408180</v>
      </c>
      <c r="H1331" s="8" t="str">
        <f aca="false">IFERROR(INDEX('TRANS'!$C:$C,MATCH($B1331,'TRANS'!$A:$A,0)),IFERROR(INDEX('Catalog'!$B:$B,MATCH($G1331,'Catalog'!$A:$A,0)),$B1331))</f>
        <v>13 XXL חגורה לשבר טבור</v>
      </c>
      <c r="I1331" s="8" t="str">
        <f aca="false">IF($G1331="","Unmatched","Matched")</f>
        <v>Matched</v>
      </c>
      <c r="J1331" s="8" t="n">
        <f aca="false">IF($G1331&lt;&gt;"",$G1331,$B1331)</f>
        <v>4408180</v>
      </c>
      <c r="K1331" s="8" t="str">
        <f aca="false">IF(COUNTIF($M$1:$M$10,$A1331)&gt;0,"Y","N")</f>
        <v>Y</v>
      </c>
    </row>
    <row r="1332" customFormat="false" ht="15" hidden="false" customHeight="true" outlineLevel="0" collapsed="false">
      <c r="A1332" s="8" t="s">
        <v>53</v>
      </c>
      <c r="B1332" s="8" t="s">
        <v>143</v>
      </c>
      <c r="C1332" s="19" t="n">
        <v>1</v>
      </c>
      <c r="D1332" s="19" t="n">
        <v>232.28</v>
      </c>
      <c r="E1332" s="19" t="n">
        <v>0</v>
      </c>
      <c r="F1332" s="19" t="n">
        <v>0</v>
      </c>
      <c r="G1332" s="8" t="str">
        <f aca="false">IFERROR(INDEX('TRANS'!$B:$B,MATCH($B1332,'TRANS'!$A:$A,0)),IFERROR(INDEX('TRANS'!$B:$B,MATCH(TRIM(SUBSTITUTE($B1332,CHAR(160)," ")),'TRANS'!$D:$D,0)),IFERROR(INDEX('Catalog'!$A:$A,MATCH($B1332,'Catalog'!$B:$B,0)),IFERROR(INDEX('Catalog'!$A:$A,MATCH(TRIM(SUBSTITUTE($B1332,CHAR(160)," ")),'Catalog'!$C:$C,0)),""))))</f>
        <v/>
      </c>
      <c r="H1332" s="8" t="str">
        <f aca="false">IFERROR(INDEX('TRANS'!$C:$C,MATCH($B1332,'TRANS'!$A:$A,0)),IFERROR(INDEX('Catalog'!$B:$B,MATCH($G1332,'Catalog'!$A:$A,0)),$B1332))</f>
        <v>18 L</v>
      </c>
      <c r="I1332" s="8" t="str">
        <f aca="false">IF($G1332="","Unmatched","Matched")</f>
        <v>Unmatched</v>
      </c>
      <c r="J1332" s="8" t="str">
        <f aca="false">IF($G1332&lt;&gt;"",$G1332,$B1332)</f>
        <v>18 L</v>
      </c>
      <c r="K1332" s="8" t="str">
        <f aca="false">IF(COUNTIF($M$1:$M$10,$A1332)&gt;0,"Y","N")</f>
        <v>Y</v>
      </c>
    </row>
    <row r="1333" customFormat="false" ht="15" hidden="false" customHeight="true" outlineLevel="0" collapsed="false">
      <c r="A1333" s="8" t="s">
        <v>53</v>
      </c>
      <c r="B1333" s="8" t="s">
        <v>186</v>
      </c>
      <c r="C1333" s="19" t="n">
        <v>1</v>
      </c>
      <c r="D1333" s="19" t="n">
        <v>232.26</v>
      </c>
      <c r="E1333" s="19" t="n">
        <v>0</v>
      </c>
      <c r="F1333" s="19" t="n">
        <v>0</v>
      </c>
      <c r="G1333" s="8" t="str">
        <f aca="false">IFERROR(INDEX('TRANS'!$B:$B,MATCH($B1333,'TRANS'!$A:$A,0)),IFERROR(INDEX('TRANS'!$B:$B,MATCH(TRIM(SUBSTITUTE($B1333,CHAR(160)," ")),'TRANS'!$D:$D,0)),IFERROR(INDEX('Catalog'!$A:$A,MATCH($B1333,'Catalog'!$B:$B,0)),IFERROR(INDEX('Catalog'!$A:$A,MATCH(TRIM(SUBSTITUTE($B1333,CHAR(160)," ")),'Catalog'!$C:$C,0)),""))))</f>
        <v/>
      </c>
      <c r="H1333" s="8" t="str">
        <f aca="false">IFERROR(INDEX('TRANS'!$C:$C,MATCH($B1333,'TRANS'!$A:$A,0)),IFERROR(INDEX('Catalog'!$B:$B,MATCH($G1333,'Catalog'!$A:$A,0)),$B1333))</f>
        <v>18 XL</v>
      </c>
      <c r="I1333" s="8" t="str">
        <f aca="false">IF($G1333="","Unmatched","Matched")</f>
        <v>Unmatched</v>
      </c>
      <c r="J1333" s="8" t="str">
        <f aca="false">IF($G1333&lt;&gt;"",$G1333,$B1333)</f>
        <v>18 XL</v>
      </c>
      <c r="K1333" s="8" t="str">
        <f aca="false">IF(COUNTIF($M$1:$M$10,$A1333)&gt;0,"Y","N")</f>
        <v>Y</v>
      </c>
    </row>
    <row r="1334" customFormat="false" ht="15" hidden="false" customHeight="true" outlineLevel="0" collapsed="false">
      <c r="A1334" s="8" t="s">
        <v>53</v>
      </c>
      <c r="B1334" s="8" t="s">
        <v>260</v>
      </c>
      <c r="C1334" s="19" t="n">
        <v>1</v>
      </c>
      <c r="D1334" s="19" t="n">
        <v>232.26</v>
      </c>
      <c r="E1334" s="19" t="n">
        <v>0</v>
      </c>
      <c r="F1334" s="19" t="n">
        <v>0</v>
      </c>
      <c r="G1334" s="8" t="str">
        <f aca="false">IFERROR(INDEX('TRANS'!$B:$B,MATCH($B1334,'TRANS'!$A:$A,0)),IFERROR(INDEX('TRANS'!$B:$B,MATCH(TRIM(SUBSTITUTE($B1334,CHAR(160)," ")),'TRANS'!$D:$D,0)),IFERROR(INDEX('Catalog'!$A:$A,MATCH($B1334,'Catalog'!$B:$B,0)),IFERROR(INDEX('Catalog'!$A:$A,MATCH(TRIM(SUBSTITUTE($B1334,CHAR(160)," ")),'Catalog'!$C:$C,0)),""))))</f>
        <v/>
      </c>
      <c r="H1334" s="8" t="str">
        <f aca="false">IFERROR(INDEX('TRANS'!$C:$C,MATCH($B1334,'TRANS'!$A:$A,0)),IFERROR(INDEX('Catalog'!$B:$B,MATCH($G1334,'Catalog'!$A:$A,0)),$B1334))</f>
        <v>18 XXL</v>
      </c>
      <c r="I1334" s="8" t="str">
        <f aca="false">IF($G1334="","Unmatched","Matched")</f>
        <v>Unmatched</v>
      </c>
      <c r="J1334" s="8" t="str">
        <f aca="false">IF($G1334&lt;&gt;"",$G1334,$B1334)</f>
        <v>18 XXL</v>
      </c>
      <c r="K1334" s="8" t="str">
        <f aca="false">IF(COUNTIF($M$1:$M$10,$A1334)&gt;0,"Y","N")</f>
        <v>Y</v>
      </c>
    </row>
    <row r="1335" customFormat="false" ht="15" hidden="false" customHeight="true" outlineLevel="0" collapsed="false">
      <c r="A1335" s="8" t="s">
        <v>53</v>
      </c>
      <c r="B1335" s="8" t="s">
        <v>970</v>
      </c>
      <c r="C1335" s="19" t="n">
        <v>3</v>
      </c>
      <c r="D1335" s="19" t="n">
        <v>90.83</v>
      </c>
      <c r="E1335" s="19" t="n">
        <v>3</v>
      </c>
      <c r="F1335" s="19" t="n">
        <v>95.27</v>
      </c>
      <c r="G1335" s="8" t="n">
        <f aca="false">IFERROR(INDEX('TRANS'!$B:$B,MATCH($B1335,'TRANS'!$A:$A,0)),IFERROR(INDEX('TRANS'!$B:$B,MATCH(TRIM(SUBSTITUTE($B1335,CHAR(160)," ")),'TRANS'!$D:$D,0)),IFERROR(INDEX('Catalog'!$A:$A,MATCH($B1335,'Catalog'!$B:$B,0)),IFERROR(INDEX('Catalog'!$A:$A,MATCH(TRIM(SUBSTITUTE($B1335,CHAR(160)," ")),'Catalog'!$C:$C,0)),""))))</f>
        <v>4408046</v>
      </c>
      <c r="H1335" s="8" t="str">
        <f aca="false">IFERROR(INDEX('TRANS'!$C:$C,MATCH($B1335,'TRANS'!$A:$A,0)),IFERROR(INDEX('Catalog'!$B:$B,MATCH($G1335,'Catalog'!$A:$A,0)),$B1335))</f>
        <v>20 L חבק יד מתכוון עם צמדן</v>
      </c>
      <c r="I1335" s="8" t="str">
        <f aca="false">IF($G1335="","Unmatched","Matched")</f>
        <v>Matched</v>
      </c>
      <c r="J1335" s="8" t="n">
        <f aca="false">IF($G1335&lt;&gt;"",$G1335,$B1335)</f>
        <v>4408046</v>
      </c>
      <c r="K1335" s="8" t="str">
        <f aca="false">IF(COUNTIF($M$1:$M$10,$A1335)&gt;0,"Y","N")</f>
        <v>Y</v>
      </c>
    </row>
    <row r="1336" customFormat="false" ht="15" hidden="false" customHeight="true" outlineLevel="0" collapsed="false">
      <c r="A1336" s="8" t="s">
        <v>53</v>
      </c>
      <c r="B1336" s="8" t="s">
        <v>939</v>
      </c>
      <c r="C1336" s="19" t="n">
        <v>3</v>
      </c>
      <c r="D1336" s="19" t="n">
        <v>90.83</v>
      </c>
      <c r="E1336" s="19" t="n">
        <v>2</v>
      </c>
      <c r="F1336" s="19" t="n">
        <v>66.47</v>
      </c>
      <c r="G1336" s="8" t="n">
        <f aca="false">IFERROR(INDEX('TRANS'!$B:$B,MATCH($B1336,'TRANS'!$A:$A,0)),IFERROR(INDEX('TRANS'!$B:$B,MATCH(TRIM(SUBSTITUTE($B1336,CHAR(160)," ")),'TRANS'!$D:$D,0)),IFERROR(INDEX('Catalog'!$A:$A,MATCH($B1336,'Catalog'!$B:$B,0)),IFERROR(INDEX('Catalog'!$A:$A,MATCH(TRIM(SUBSTITUTE($B1336,CHAR(160)," ")),'Catalog'!$C:$C,0)),""))))</f>
        <v>4408047</v>
      </c>
      <c r="H1336" s="8" t="str">
        <f aca="false">IFERROR(INDEX('TRANS'!$C:$C,MATCH($B1336,'TRANS'!$A:$A,0)),IFERROR(INDEX('Catalog'!$B:$B,MATCH($G1336,'Catalog'!$A:$A,0)),$B1336))</f>
        <v>20 M חבק יד מתכוון עם צמדן</v>
      </c>
      <c r="I1336" s="8" t="str">
        <f aca="false">IF($G1336="","Unmatched","Matched")</f>
        <v>Matched</v>
      </c>
      <c r="J1336" s="8" t="n">
        <f aca="false">IF($G1336&lt;&gt;"",$G1336,$B1336)</f>
        <v>4408047</v>
      </c>
      <c r="K1336" s="8" t="str">
        <f aca="false">IF(COUNTIF($M$1:$M$10,$A1336)&gt;0,"Y","N")</f>
        <v>Y</v>
      </c>
    </row>
    <row r="1337" customFormat="false" ht="15" hidden="false" customHeight="true" outlineLevel="0" collapsed="false">
      <c r="A1337" s="8" t="s">
        <v>53</v>
      </c>
      <c r="B1337" s="8" t="s">
        <v>940</v>
      </c>
      <c r="C1337" s="19" t="n">
        <v>3</v>
      </c>
      <c r="D1337" s="19" t="n">
        <v>90.93</v>
      </c>
      <c r="E1337" s="19" t="n">
        <v>0</v>
      </c>
      <c r="F1337" s="19" t="n">
        <v>0</v>
      </c>
      <c r="G1337" s="8" t="n">
        <f aca="false">IFERROR(INDEX('TRANS'!$B:$B,MATCH($B1337,'TRANS'!$A:$A,0)),IFERROR(INDEX('TRANS'!$B:$B,MATCH(TRIM(SUBSTITUTE($B1337,CHAR(160)," ")),'TRANS'!$D:$D,0)),IFERROR(INDEX('Catalog'!$A:$A,MATCH($B1337,'Catalog'!$B:$B,0)),IFERROR(INDEX('Catalog'!$A:$A,MATCH(TRIM(SUBSTITUTE($B1337,CHAR(160)," ")),'Catalog'!$C:$C,0)),""))))</f>
        <v>4408048</v>
      </c>
      <c r="H1337" s="8" t="str">
        <f aca="false">IFERROR(INDEX('TRANS'!$C:$C,MATCH($B1337,'TRANS'!$A:$A,0)),IFERROR(INDEX('Catalog'!$B:$B,MATCH($G1337,'Catalog'!$A:$A,0)),$B1337))</f>
        <v>20 S חבק יד מתכוון עם צמדן</v>
      </c>
      <c r="I1337" s="8" t="str">
        <f aca="false">IF($G1337="","Unmatched","Matched")</f>
        <v>Matched</v>
      </c>
      <c r="J1337" s="8" t="n">
        <f aca="false">IF($G1337&lt;&gt;"",$G1337,$B1337)</f>
        <v>4408048</v>
      </c>
      <c r="K1337" s="8" t="str">
        <f aca="false">IF(COUNTIF($M$1:$M$10,$A1337)&gt;0,"Y","N")</f>
        <v>Y</v>
      </c>
    </row>
    <row r="1338" customFormat="false" ht="15" hidden="false" customHeight="true" outlineLevel="0" collapsed="false">
      <c r="A1338" s="8" t="s">
        <v>53</v>
      </c>
      <c r="B1338" s="8" t="s">
        <v>908</v>
      </c>
      <c r="C1338" s="19" t="n">
        <v>4</v>
      </c>
      <c r="D1338" s="19" t="n">
        <v>124.08</v>
      </c>
      <c r="E1338" s="19" t="n">
        <v>3</v>
      </c>
      <c r="F1338" s="19" t="n">
        <v>99.7</v>
      </c>
      <c r="G1338" s="8" t="n">
        <f aca="false">IFERROR(INDEX('TRANS'!$B:$B,MATCH($B1338,'TRANS'!$A:$A,0)),IFERROR(INDEX('TRANS'!$B:$B,MATCH(TRIM(SUBSTITUTE($B1338,CHAR(160)," ")),'TRANS'!$D:$D,0)),IFERROR(INDEX('Catalog'!$A:$A,MATCH($B1338,'Catalog'!$B:$B,0)),IFERROR(INDEX('Catalog'!$A:$A,MATCH(TRIM(SUBSTITUTE($B1338,CHAR(160)," ")),'Catalog'!$C:$C,0)),""))))</f>
        <v>4408049</v>
      </c>
      <c r="H1338" s="8" t="str">
        <f aca="false">IFERROR(INDEX('TRANS'!$C:$C,MATCH($B1338,'TRANS'!$A:$A,0)),IFERROR(INDEX('Catalog'!$B:$B,MATCH($G1338,'Catalog'!$A:$A,0)),$B1338))</f>
        <v>20 XL חבק יד מתכוון עם צמדן</v>
      </c>
      <c r="I1338" s="8" t="str">
        <f aca="false">IF($G1338="","Unmatched","Matched")</f>
        <v>Matched</v>
      </c>
      <c r="J1338" s="8" t="n">
        <f aca="false">IF($G1338&lt;&gt;"",$G1338,$B1338)</f>
        <v>4408049</v>
      </c>
      <c r="K1338" s="8" t="str">
        <f aca="false">IF(COUNTIF($M$1:$M$10,$A1338)&gt;0,"Y","N")</f>
        <v>Y</v>
      </c>
    </row>
    <row r="1339" customFormat="false" ht="15" hidden="false" customHeight="true" outlineLevel="0" collapsed="false">
      <c r="A1339" s="8" t="s">
        <v>53</v>
      </c>
      <c r="B1339" s="8" t="s">
        <v>978</v>
      </c>
      <c r="C1339" s="19" t="n">
        <v>1</v>
      </c>
      <c r="D1339" s="19" t="n">
        <v>33.23</v>
      </c>
      <c r="E1339" s="19" t="n">
        <v>2</v>
      </c>
      <c r="F1339" s="19" t="n">
        <v>57.6</v>
      </c>
      <c r="G1339" s="8" t="n">
        <f aca="false">IFERROR(INDEX('TRANS'!$B:$B,MATCH($B1339,'TRANS'!$A:$A,0)),IFERROR(INDEX('TRANS'!$B:$B,MATCH(TRIM(SUBSTITUTE($B1339,CHAR(160)," ")),'TRANS'!$D:$D,0)),IFERROR(INDEX('Catalog'!$A:$A,MATCH($B1339,'Catalog'!$B:$B,0)),IFERROR(INDEX('Catalog'!$A:$A,MATCH(TRIM(SUBSTITUTE($B1339,CHAR(160)," ")),'Catalog'!$C:$C,0)),""))))</f>
        <v>4408050</v>
      </c>
      <c r="H1339" s="8" t="str">
        <f aca="false">IFERROR(INDEX('TRANS'!$C:$C,MATCH($B1339,'TRANS'!$A:$A,0)),IFERROR(INDEX('Catalog'!$B:$B,MATCH($G1339,'Catalog'!$A:$A,0)),$B1339))</f>
        <v>20 XXL חבק יד מתכוון עם צמדן</v>
      </c>
      <c r="I1339" s="8" t="str">
        <f aca="false">IF($G1339="","Unmatched","Matched")</f>
        <v>Matched</v>
      </c>
      <c r="J1339" s="8" t="n">
        <f aca="false">IF($G1339&lt;&gt;"",$G1339,$B1339)</f>
        <v>4408050</v>
      </c>
      <c r="K1339" s="8" t="str">
        <f aca="false">IF(COUNTIF($M$1:$M$10,$A1339)&gt;0,"Y","N")</f>
        <v>Y</v>
      </c>
    </row>
    <row r="1340" customFormat="false" ht="15" hidden="false" customHeight="true" outlineLevel="0" collapsed="false">
      <c r="A1340" s="8" t="s">
        <v>53</v>
      </c>
      <c r="B1340" s="8" t="s">
        <v>859</v>
      </c>
      <c r="C1340" s="19" t="n">
        <v>0</v>
      </c>
      <c r="D1340" s="19" t="n">
        <v>0</v>
      </c>
      <c r="E1340" s="19" t="n">
        <v>9</v>
      </c>
      <c r="F1340" s="19" t="n">
        <v>365.23</v>
      </c>
      <c r="G1340" s="8" t="n">
        <f aca="false">IFERROR(INDEX('TRANS'!$B:$B,MATCH($B1340,'TRANS'!$A:$A,0)),IFERROR(INDEX('TRANS'!$B:$B,MATCH(TRIM(SUBSTITUTE($B1340,CHAR(160)," ")),'TRANS'!$D:$D,0)),IFERROR(INDEX('Catalog'!$A:$A,MATCH($B1340,'Catalog'!$B:$B,0)),IFERROR(INDEX('Catalog'!$A:$A,MATCH(TRIM(SUBSTITUTE($B1340,CHAR(160)," ")),'Catalog'!$C:$C,0)),""))))</f>
        <v>4408275</v>
      </c>
      <c r="H1340" s="8" t="str">
        <f aca="false">IFERROR(INDEX('TRANS'!$C:$C,MATCH($B1340,'TRANS'!$A:$A,0)),IFERROR(INDEX('Catalog'!$B:$B,MATCH($G1340,'Catalog'!$A:$A,0)),$B1340))</f>
        <v>202  ONE SIZE חבק יד</v>
      </c>
      <c r="I1340" s="8" t="str">
        <f aca="false">IF($G1340="","Unmatched","Matched")</f>
        <v>Matched</v>
      </c>
      <c r="J1340" s="8" t="n">
        <f aca="false">IF($G1340&lt;&gt;"",$G1340,$B1340)</f>
        <v>4408275</v>
      </c>
      <c r="K1340" s="8" t="str">
        <f aca="false">IF(COUNTIF($M$1:$M$10,$A1340)&gt;0,"Y","N")</f>
        <v>Y</v>
      </c>
    </row>
    <row r="1341" customFormat="false" ht="15" hidden="false" customHeight="true" outlineLevel="0" collapsed="false">
      <c r="A1341" s="8" t="s">
        <v>53</v>
      </c>
      <c r="B1341" s="8" t="s">
        <v>783</v>
      </c>
      <c r="C1341" s="19" t="n">
        <v>6</v>
      </c>
      <c r="D1341" s="19" t="n">
        <v>228.19</v>
      </c>
      <c r="E1341" s="19" t="n">
        <v>5</v>
      </c>
      <c r="F1341" s="19" t="n">
        <v>193.66</v>
      </c>
      <c r="G1341" s="8" t="n">
        <f aca="false">IFERROR(INDEX('TRANS'!$B:$B,MATCH($B1341,'TRANS'!$A:$A,0)),IFERROR(INDEX('TRANS'!$B:$B,MATCH(TRIM(SUBSTITUTE($B1341,CHAR(160)," ")),'TRANS'!$D:$D,0)),IFERROR(INDEX('Catalog'!$A:$A,MATCH($B1341,'Catalog'!$B:$B,0)),IFERROR(INDEX('Catalog'!$A:$A,MATCH(TRIM(SUBSTITUTE($B1341,CHAR(160)," ")),'Catalog'!$C:$C,0)),""))))</f>
        <v>4408052</v>
      </c>
      <c r="H1341" s="8" t="str">
        <f aca="false">IFERROR(INDEX('TRANS'!$C:$C,MATCH($B1341,'TRANS'!$A:$A,0)),IFERROR(INDEX('Catalog'!$B:$B,MATCH($G1341,'Catalog'!$A:$A,0)),$B1341))</f>
        <v>21 L  חבק יד ארוך</v>
      </c>
      <c r="I1341" s="8" t="str">
        <f aca="false">IF($G1341="","Unmatched","Matched")</f>
        <v>Matched</v>
      </c>
      <c r="J1341" s="8" t="n">
        <f aca="false">IF($G1341&lt;&gt;"",$G1341,$B1341)</f>
        <v>4408052</v>
      </c>
      <c r="K1341" s="8" t="str">
        <f aca="false">IF(COUNTIF($M$1:$M$10,$A1341)&gt;0,"Y","N")</f>
        <v>Y</v>
      </c>
    </row>
    <row r="1342" customFormat="false" ht="15" hidden="false" customHeight="true" outlineLevel="0" collapsed="false">
      <c r="A1342" s="8" t="s">
        <v>53</v>
      </c>
      <c r="B1342" s="8" t="s">
        <v>576</v>
      </c>
      <c r="C1342" s="19" t="n">
        <v>6</v>
      </c>
      <c r="D1342" s="19" t="n">
        <v>222.86</v>
      </c>
      <c r="E1342" s="19" t="n">
        <v>5</v>
      </c>
      <c r="F1342" s="19" t="n">
        <v>193.66</v>
      </c>
      <c r="G1342" s="8" t="n">
        <f aca="false">IFERROR(INDEX('TRANS'!$B:$B,MATCH($B1342,'TRANS'!$A:$A,0)),IFERROR(INDEX('TRANS'!$B:$B,MATCH(TRIM(SUBSTITUTE($B1342,CHAR(160)," ")),'TRANS'!$D:$D,0)),IFERROR(INDEX('Catalog'!$A:$A,MATCH($B1342,'Catalog'!$B:$B,0)),IFERROR(INDEX('Catalog'!$A:$A,MATCH(TRIM(SUBSTITUTE($B1342,CHAR(160)," ")),'Catalog'!$C:$C,0)),""))))</f>
        <v>4408053</v>
      </c>
      <c r="H1342" s="8" t="str">
        <f aca="false">IFERROR(INDEX('TRANS'!$C:$C,MATCH($B1342,'TRANS'!$A:$A,0)),IFERROR(INDEX('Catalog'!$B:$B,MATCH($G1342,'Catalog'!$A:$A,0)),$B1342))</f>
        <v>21 M  חבק יד ארוך</v>
      </c>
      <c r="I1342" s="8" t="str">
        <f aca="false">IF($G1342="","Unmatched","Matched")</f>
        <v>Matched</v>
      </c>
      <c r="J1342" s="8" t="n">
        <f aca="false">IF($G1342&lt;&gt;"",$G1342,$B1342)</f>
        <v>4408053</v>
      </c>
      <c r="K1342" s="8" t="str">
        <f aca="false">IF(COUNTIF($M$1:$M$10,$A1342)&gt;0,"Y","N")</f>
        <v>Y</v>
      </c>
    </row>
    <row r="1343" customFormat="false" ht="15" hidden="false" customHeight="true" outlineLevel="0" collapsed="false">
      <c r="A1343" s="8" t="s">
        <v>53</v>
      </c>
      <c r="B1343" s="8" t="s">
        <v>784</v>
      </c>
      <c r="C1343" s="19" t="n">
        <v>5</v>
      </c>
      <c r="D1343" s="19" t="n">
        <v>183.11</v>
      </c>
      <c r="E1343" s="19" t="n">
        <v>3</v>
      </c>
      <c r="F1343" s="19" t="n">
        <v>119.44</v>
      </c>
      <c r="G1343" s="8" t="n">
        <f aca="false">IFERROR(INDEX('TRANS'!$B:$B,MATCH($B1343,'TRANS'!$A:$A,0)),IFERROR(INDEX('TRANS'!$B:$B,MATCH(TRIM(SUBSTITUTE($B1343,CHAR(160)," ")),'TRANS'!$D:$D,0)),IFERROR(INDEX('Catalog'!$A:$A,MATCH($B1343,'Catalog'!$B:$B,0)),IFERROR(INDEX('Catalog'!$A:$A,MATCH(TRIM(SUBSTITUTE($B1343,CHAR(160)," ")),'Catalog'!$C:$C,0)),""))))</f>
        <v>4408051</v>
      </c>
      <c r="H1343" s="8" t="str">
        <f aca="false">IFERROR(INDEX('TRANS'!$C:$C,MATCH($B1343,'TRANS'!$A:$A,0)),IFERROR(INDEX('Catalog'!$B:$B,MATCH($G1343,'Catalog'!$A:$A,0)),$B1343))</f>
        <v>21 S  חבק יד ארוך</v>
      </c>
      <c r="I1343" s="8" t="str">
        <f aca="false">IF($G1343="","Unmatched","Matched")</f>
        <v>Matched</v>
      </c>
      <c r="J1343" s="8" t="n">
        <f aca="false">IF($G1343&lt;&gt;"",$G1343,$B1343)</f>
        <v>4408051</v>
      </c>
      <c r="K1343" s="8" t="str">
        <f aca="false">IF(COUNTIF($M$1:$M$10,$A1343)&gt;0,"Y","N")</f>
        <v>Y</v>
      </c>
    </row>
    <row r="1344" customFormat="false" ht="15" hidden="false" customHeight="true" outlineLevel="0" collapsed="false">
      <c r="A1344" s="8" t="s">
        <v>53</v>
      </c>
      <c r="B1344" s="8" t="s">
        <v>785</v>
      </c>
      <c r="C1344" s="19" t="n">
        <v>4</v>
      </c>
      <c r="D1344" s="19" t="n">
        <v>153.88</v>
      </c>
      <c r="E1344" s="19" t="n">
        <v>4</v>
      </c>
      <c r="F1344" s="19" t="n">
        <v>159.17</v>
      </c>
      <c r="G1344" s="8" t="n">
        <f aca="false">IFERROR(INDEX('TRANS'!$B:$B,MATCH($B1344,'TRANS'!$A:$A,0)),IFERROR(INDEX('TRANS'!$B:$B,MATCH(TRIM(SUBSTITUTE($B1344,CHAR(160)," ")),'TRANS'!$D:$D,0)),IFERROR(INDEX('Catalog'!$A:$A,MATCH($B1344,'Catalog'!$B:$B,0)),IFERROR(INDEX('Catalog'!$A:$A,MATCH(TRIM(SUBSTITUTE($B1344,CHAR(160)," ")),'Catalog'!$C:$C,0)),""))))</f>
        <v>4408054</v>
      </c>
      <c r="H1344" s="8" t="str">
        <f aca="false">IFERROR(INDEX('TRANS'!$C:$C,MATCH($B1344,'TRANS'!$A:$A,0)),IFERROR(INDEX('Catalog'!$B:$B,MATCH($G1344,'Catalog'!$A:$A,0)),$B1344))</f>
        <v>21 XL חבק יד ארוך</v>
      </c>
      <c r="I1344" s="8" t="str">
        <f aca="false">IF($G1344="","Unmatched","Matched")</f>
        <v>Matched</v>
      </c>
      <c r="J1344" s="8" t="n">
        <f aca="false">IF($G1344&lt;&gt;"",$G1344,$B1344)</f>
        <v>4408054</v>
      </c>
      <c r="K1344" s="8" t="str">
        <f aca="false">IF(COUNTIF($M$1:$M$10,$A1344)&gt;0,"Y","N")</f>
        <v>Y</v>
      </c>
    </row>
    <row r="1345" customFormat="false" ht="15" hidden="false" customHeight="true" outlineLevel="0" collapsed="false">
      <c r="A1345" s="8" t="s">
        <v>53</v>
      </c>
      <c r="B1345" s="8" t="s">
        <v>860</v>
      </c>
      <c r="C1345" s="19" t="n">
        <v>3</v>
      </c>
      <c r="D1345" s="19" t="n">
        <v>270</v>
      </c>
      <c r="E1345" s="19" t="n">
        <v>1</v>
      </c>
      <c r="F1345" s="19" t="n">
        <v>117.13</v>
      </c>
      <c r="G1345" s="8" t="n">
        <f aca="false">IFERROR(INDEX('TRANS'!$B:$B,MATCH($B1345,'TRANS'!$A:$A,0)),IFERROR(INDEX('TRANS'!$B:$B,MATCH(TRIM(SUBSTITUTE($B1345,CHAR(160)," ")),'TRANS'!$D:$D,0)),IFERROR(INDEX('Catalog'!$A:$A,MATCH($B1345,'Catalog'!$B:$B,0)),IFERROR(INDEX('Catalog'!$A:$A,MATCH(TRIM(SUBSTITUTE($B1345,CHAR(160)," ")),'Catalog'!$C:$C,0)),""))))</f>
        <v>4411026</v>
      </c>
      <c r="H1345" s="8" t="str">
        <f aca="false">IFERROR(INDEX('TRANS'!$C:$C,MATCH($B1345,'TRANS'!$A:$A,0)),IFERROR(INDEX('Catalog'!$B:$B,MATCH($G1345,'Catalog'!$A:$A,0)),$B1345))</f>
        <v>213CTSL L שמאל CTS כפפות</v>
      </c>
      <c r="I1345" s="8" t="str">
        <f aca="false">IF($G1345="","Unmatched","Matched")</f>
        <v>Matched</v>
      </c>
      <c r="J1345" s="8" t="n">
        <f aca="false">IF($G1345&lt;&gt;"",$G1345,$B1345)</f>
        <v>4411026</v>
      </c>
      <c r="K1345" s="8" t="str">
        <f aca="false">IF(COUNTIF($M$1:$M$10,$A1345)&gt;0,"Y","N")</f>
        <v>Y</v>
      </c>
    </row>
    <row r="1346" customFormat="false" ht="15" hidden="false" customHeight="true" outlineLevel="0" collapsed="false">
      <c r="A1346" s="8" t="s">
        <v>53</v>
      </c>
      <c r="B1346" s="8" t="s">
        <v>861</v>
      </c>
      <c r="C1346" s="19" t="n">
        <v>3</v>
      </c>
      <c r="D1346" s="19" t="n">
        <v>270</v>
      </c>
      <c r="E1346" s="19" t="n">
        <v>2</v>
      </c>
      <c r="F1346" s="19" t="n">
        <v>207.13</v>
      </c>
      <c r="G1346" s="8" t="n">
        <f aca="false">IFERROR(INDEX('TRANS'!$B:$B,MATCH($B1346,'TRANS'!$A:$A,0)),IFERROR(INDEX('TRANS'!$B:$B,MATCH(TRIM(SUBSTITUTE($B1346,CHAR(160)," ")),'TRANS'!$D:$D,0)),IFERROR(INDEX('Catalog'!$A:$A,MATCH($B1346,'Catalog'!$B:$B,0)),IFERROR(INDEX('Catalog'!$A:$A,MATCH(TRIM(SUBSTITUTE($B1346,CHAR(160)," ")),'Catalog'!$C:$C,0)),""))))</f>
        <v>4411027</v>
      </c>
      <c r="H1346" s="8" t="str">
        <f aca="false">IFERROR(INDEX('TRANS'!$C:$C,MATCH($B1346,'TRANS'!$A:$A,0)),IFERROR(INDEX('Catalog'!$B:$B,MATCH($G1346,'Catalog'!$A:$A,0)),$B1346))</f>
        <v>213CTSL M שמאל CTS כפפות</v>
      </c>
      <c r="I1346" s="8" t="str">
        <f aca="false">IF($G1346="","Unmatched","Matched")</f>
        <v>Matched</v>
      </c>
      <c r="J1346" s="8" t="n">
        <f aca="false">IF($G1346&lt;&gt;"",$G1346,$B1346)</f>
        <v>4411027</v>
      </c>
      <c r="K1346" s="8" t="str">
        <f aca="false">IF(COUNTIF($M$1:$M$10,$A1346)&gt;0,"Y","N")</f>
        <v>Y</v>
      </c>
    </row>
    <row r="1347" customFormat="false" ht="15" hidden="false" customHeight="true" outlineLevel="0" collapsed="false">
      <c r="A1347" s="8" t="s">
        <v>53</v>
      </c>
      <c r="B1347" s="8" t="s">
        <v>862</v>
      </c>
      <c r="C1347" s="19" t="n">
        <v>3</v>
      </c>
      <c r="D1347" s="19" t="n">
        <v>270</v>
      </c>
      <c r="E1347" s="19" t="n">
        <v>1</v>
      </c>
      <c r="F1347" s="19" t="n">
        <v>117.13</v>
      </c>
      <c r="G1347" s="8" t="n">
        <f aca="false">IFERROR(INDEX('TRANS'!$B:$B,MATCH($B1347,'TRANS'!$A:$A,0)),IFERROR(INDEX('TRANS'!$B:$B,MATCH(TRIM(SUBSTITUTE($B1347,CHAR(160)," ")),'TRANS'!$D:$D,0)),IFERROR(INDEX('Catalog'!$A:$A,MATCH($B1347,'Catalog'!$B:$B,0)),IFERROR(INDEX('Catalog'!$A:$A,MATCH(TRIM(SUBSTITUTE($B1347,CHAR(160)," ")),'Catalog'!$C:$C,0)),""))))</f>
        <v>4411028</v>
      </c>
      <c r="H1347" s="8" t="str">
        <f aca="false">IFERROR(INDEX('TRANS'!$C:$C,MATCH($B1347,'TRANS'!$A:$A,0)),IFERROR(INDEX('Catalog'!$B:$B,MATCH($G1347,'Catalog'!$A:$A,0)),$B1347))</f>
        <v>213CTSL S שמאל CTS כפפות</v>
      </c>
      <c r="I1347" s="8" t="str">
        <f aca="false">IF($G1347="","Unmatched","Matched")</f>
        <v>Matched</v>
      </c>
      <c r="J1347" s="8" t="n">
        <f aca="false">IF($G1347&lt;&gt;"",$G1347,$B1347)</f>
        <v>4411028</v>
      </c>
      <c r="K1347" s="8" t="str">
        <f aca="false">IF(COUNTIF($M$1:$M$10,$A1347)&gt;0,"Y","N")</f>
        <v>Y</v>
      </c>
    </row>
    <row r="1348" customFormat="false" ht="15" hidden="false" customHeight="true" outlineLevel="0" collapsed="false">
      <c r="A1348" s="8" t="s">
        <v>53</v>
      </c>
      <c r="B1348" s="8" t="s">
        <v>863</v>
      </c>
      <c r="C1348" s="19" t="n">
        <v>3</v>
      </c>
      <c r="D1348" s="19" t="n">
        <v>270</v>
      </c>
      <c r="E1348" s="19" t="n">
        <v>1</v>
      </c>
      <c r="F1348" s="19" t="n">
        <v>117.13</v>
      </c>
      <c r="G1348" s="8" t="n">
        <f aca="false">IFERROR(INDEX('TRANS'!$B:$B,MATCH($B1348,'TRANS'!$A:$A,0)),IFERROR(INDEX('TRANS'!$B:$B,MATCH(TRIM(SUBSTITUTE($B1348,CHAR(160)," ")),'TRANS'!$D:$D,0)),IFERROR(INDEX('Catalog'!$A:$A,MATCH($B1348,'Catalog'!$B:$B,0)),IFERROR(INDEX('Catalog'!$A:$A,MATCH(TRIM(SUBSTITUTE($B1348,CHAR(160)," ")),'Catalog'!$C:$C,0)),""))))</f>
        <v>4411029</v>
      </c>
      <c r="H1348" s="8" t="str">
        <f aca="false">IFERROR(INDEX('TRANS'!$C:$C,MATCH($B1348,'TRANS'!$A:$A,0)),IFERROR(INDEX('Catalog'!$B:$B,MATCH($G1348,'Catalog'!$A:$A,0)),$B1348))</f>
        <v>213CTSR L ימין CTS כפפות</v>
      </c>
      <c r="I1348" s="8" t="str">
        <f aca="false">IF($G1348="","Unmatched","Matched")</f>
        <v>Matched</v>
      </c>
      <c r="J1348" s="8" t="n">
        <f aca="false">IF($G1348&lt;&gt;"",$G1348,$B1348)</f>
        <v>4411029</v>
      </c>
      <c r="K1348" s="8" t="str">
        <f aca="false">IF(COUNTIF($M$1:$M$10,$A1348)&gt;0,"Y","N")</f>
        <v>Y</v>
      </c>
    </row>
    <row r="1349" customFormat="false" ht="15" hidden="false" customHeight="true" outlineLevel="0" collapsed="false">
      <c r="A1349" s="8" t="s">
        <v>53</v>
      </c>
      <c r="B1349" s="8" t="s">
        <v>864</v>
      </c>
      <c r="C1349" s="19" t="n">
        <v>3</v>
      </c>
      <c r="D1349" s="19" t="n">
        <v>270</v>
      </c>
      <c r="E1349" s="19" t="n">
        <v>2</v>
      </c>
      <c r="F1349" s="19" t="n">
        <v>207.13</v>
      </c>
      <c r="G1349" s="8" t="n">
        <f aca="false">IFERROR(INDEX('TRANS'!$B:$B,MATCH($B1349,'TRANS'!$A:$A,0)),IFERROR(INDEX('TRANS'!$B:$B,MATCH(TRIM(SUBSTITUTE($B1349,CHAR(160)," ")),'TRANS'!$D:$D,0)),IFERROR(INDEX('Catalog'!$A:$A,MATCH($B1349,'Catalog'!$B:$B,0)),IFERROR(INDEX('Catalog'!$A:$A,MATCH(TRIM(SUBSTITUTE($B1349,CHAR(160)," ")),'Catalog'!$C:$C,0)),""))))</f>
        <v>4411030</v>
      </c>
      <c r="H1349" s="8" t="str">
        <f aca="false">IFERROR(INDEX('TRANS'!$C:$C,MATCH($B1349,'TRANS'!$A:$A,0)),IFERROR(INDEX('Catalog'!$B:$B,MATCH($G1349,'Catalog'!$A:$A,0)),$B1349))</f>
        <v>213CTSR M ימין CTS כפפות</v>
      </c>
      <c r="I1349" s="8" t="str">
        <f aca="false">IF($G1349="","Unmatched","Matched")</f>
        <v>Matched</v>
      </c>
      <c r="J1349" s="8" t="n">
        <f aca="false">IF($G1349&lt;&gt;"",$G1349,$B1349)</f>
        <v>4411030</v>
      </c>
      <c r="K1349" s="8" t="str">
        <f aca="false">IF(COUNTIF($M$1:$M$10,$A1349)&gt;0,"Y","N")</f>
        <v>Y</v>
      </c>
    </row>
    <row r="1350" customFormat="false" ht="15" hidden="false" customHeight="true" outlineLevel="0" collapsed="false">
      <c r="A1350" s="8" t="s">
        <v>53</v>
      </c>
      <c r="B1350" s="8" t="s">
        <v>865</v>
      </c>
      <c r="C1350" s="19" t="n">
        <v>3</v>
      </c>
      <c r="D1350" s="19" t="n">
        <v>270</v>
      </c>
      <c r="E1350" s="19" t="n">
        <v>1</v>
      </c>
      <c r="F1350" s="19" t="n">
        <v>117.13</v>
      </c>
      <c r="G1350" s="8" t="n">
        <f aca="false">IFERROR(INDEX('TRANS'!$B:$B,MATCH($B1350,'TRANS'!$A:$A,0)),IFERROR(INDEX('TRANS'!$B:$B,MATCH(TRIM(SUBSTITUTE($B1350,CHAR(160)," ")),'TRANS'!$D:$D,0)),IFERROR(INDEX('Catalog'!$A:$A,MATCH($B1350,'Catalog'!$B:$B,0)),IFERROR(INDEX('Catalog'!$A:$A,MATCH(TRIM(SUBSTITUTE($B1350,CHAR(160)," ")),'Catalog'!$C:$C,0)),""))))</f>
        <v>4411031</v>
      </c>
      <c r="H1350" s="8" t="str">
        <f aca="false">IFERROR(INDEX('TRANS'!$C:$C,MATCH($B1350,'TRANS'!$A:$A,0)),IFERROR(INDEX('Catalog'!$B:$B,MATCH($G1350,'Catalog'!$A:$A,0)),$B1350))</f>
        <v>213CTS  S ימין CTS כפפות</v>
      </c>
      <c r="I1350" s="8" t="str">
        <f aca="false">IF($G1350="","Unmatched","Matched")</f>
        <v>Matched</v>
      </c>
      <c r="J1350" s="8" t="n">
        <f aca="false">IF($G1350&lt;&gt;"",$G1350,$B1350)</f>
        <v>4411031</v>
      </c>
      <c r="K1350" s="8" t="str">
        <f aca="false">IF(COUNTIF($M$1:$M$10,$A1350)&gt;0,"Y","N")</f>
        <v>Y</v>
      </c>
    </row>
    <row r="1351" customFormat="false" ht="15" hidden="false" customHeight="true" outlineLevel="0" collapsed="false">
      <c r="A1351" s="8" t="s">
        <v>53</v>
      </c>
      <c r="B1351" s="8" t="s">
        <v>589</v>
      </c>
      <c r="C1351" s="19" t="n">
        <v>4</v>
      </c>
      <c r="D1351" s="19" t="n">
        <v>148.57</v>
      </c>
      <c r="E1351" s="19" t="n">
        <v>0</v>
      </c>
      <c r="F1351" s="19" t="n">
        <v>0</v>
      </c>
      <c r="G1351" s="8" t="n">
        <f aca="false">IFERROR(INDEX('TRANS'!$B:$B,MATCH($B1351,'TRANS'!$A:$A,0)),IFERROR(INDEX('TRANS'!$B:$B,MATCH(TRIM(SUBSTITUTE($B1351,CHAR(160)," ")),'TRANS'!$D:$D,0)),IFERROR(INDEX('Catalog'!$A:$A,MATCH($B1351,'Catalog'!$B:$B,0)),IFERROR(INDEX('Catalog'!$A:$A,MATCH(TRIM(SUBSTITUTE($B1351,CHAR(160)," ")),'Catalog'!$C:$C,0)),""))))</f>
        <v>4421005</v>
      </c>
      <c r="H1351" s="8" t="str">
        <f aca="false">IFERROR(INDEX('TRANS'!$C:$C,MATCH($B1351,'TRANS'!$A:$A,0)),IFERROR(INDEX('Catalog'!$B:$B,MATCH($G1351,'Catalog'!$A:$A,0)),$B1351))</f>
        <v>שרוול לגבס קצר יד</v>
      </c>
      <c r="I1351" s="8" t="str">
        <f aca="false">IF($G1351="","Unmatched","Matched")</f>
        <v>Matched</v>
      </c>
      <c r="J1351" s="8" t="n">
        <f aca="false">IF($G1351&lt;&gt;"",$G1351,$B1351)</f>
        <v>4421005</v>
      </c>
      <c r="K1351" s="8" t="str">
        <f aca="false">IF(COUNTIF($M$1:$M$10,$A1351)&gt;0,"Y","N")</f>
        <v>Y</v>
      </c>
    </row>
    <row r="1352" customFormat="false" ht="15" hidden="false" customHeight="true" outlineLevel="0" collapsed="false">
      <c r="A1352" s="8" t="s">
        <v>53</v>
      </c>
      <c r="B1352" s="8" t="s">
        <v>590</v>
      </c>
      <c r="C1352" s="19" t="n">
        <v>4</v>
      </c>
      <c r="D1352" s="19" t="n">
        <v>157.3</v>
      </c>
      <c r="E1352" s="19" t="n">
        <v>6</v>
      </c>
      <c r="F1352" s="19" t="n">
        <v>219.1</v>
      </c>
      <c r="G1352" s="8" t="n">
        <f aca="false">IFERROR(INDEX('TRANS'!$B:$B,MATCH($B1352,'TRANS'!$A:$A,0)),IFERROR(INDEX('TRANS'!$B:$B,MATCH(TRIM(SUBSTITUTE($B1352,CHAR(160)," ")),'TRANS'!$D:$D,0)),IFERROR(INDEX('Catalog'!$A:$A,MATCH($B1352,'Catalog'!$B:$B,0)),IFERROR(INDEX('Catalog'!$A:$A,MATCH(TRIM(SUBSTITUTE($B1352,CHAR(160)," ")),'Catalog'!$C:$C,0)),""))))</f>
        <v>4421006</v>
      </c>
      <c r="H1352" s="8" t="str">
        <f aca="false">IFERROR(INDEX('TRANS'!$C:$C,MATCH($B1352,'TRANS'!$A:$A,0)),IFERROR(INDEX('Catalog'!$B:$B,MATCH($G1352,'Catalog'!$A:$A,0)),$B1352))</f>
        <v>שרוול לגבס ארוך יד</v>
      </c>
      <c r="I1352" s="8" t="str">
        <f aca="false">IF($G1352="","Unmatched","Matched")</f>
        <v>Matched</v>
      </c>
      <c r="J1352" s="8" t="n">
        <f aca="false">IF($G1352&lt;&gt;"",$G1352,$B1352)</f>
        <v>4421006</v>
      </c>
      <c r="K1352" s="8" t="str">
        <f aca="false">IF(COUNTIF($M$1:$M$10,$A1352)&gt;0,"Y","N")</f>
        <v>Y</v>
      </c>
    </row>
    <row r="1353" customFormat="false" ht="15" hidden="false" customHeight="true" outlineLevel="0" collapsed="false">
      <c r="A1353" s="8" t="s">
        <v>53</v>
      </c>
      <c r="B1353" s="8" t="s">
        <v>948</v>
      </c>
      <c r="C1353" s="19" t="n">
        <v>7</v>
      </c>
      <c r="D1353" s="19" t="n">
        <v>721.5</v>
      </c>
      <c r="E1353" s="19" t="n">
        <v>7</v>
      </c>
      <c r="F1353" s="19" t="n">
        <v>694.02</v>
      </c>
      <c r="G1353" s="8" t="n">
        <f aca="false">IFERROR(INDEX('TRANS'!$B:$B,MATCH($B1353,'TRANS'!$A:$A,0)),IFERROR(INDEX('TRANS'!$B:$B,MATCH(TRIM(SUBSTITUTE($B1353,CHAR(160)," ")),'TRANS'!$D:$D,0)),IFERROR(INDEX('Catalog'!$A:$A,MATCH($B1353,'Catalog'!$B:$B,0)),IFERROR(INDEX('Catalog'!$A:$A,MATCH(TRIM(SUBSTITUTE($B1353,CHAR(160)," ")),'Catalog'!$C:$C,0)),""))))</f>
        <v>4415000</v>
      </c>
      <c r="H1353" s="8" t="str">
        <f aca="false">IFERROR(INDEX('TRANS'!$C:$C,MATCH($B1353,'TRANS'!$A:$A,0)),IFERROR(INDEX('Catalog'!$B:$B,MATCH($G1353,'Catalog'!$A:$A,0)),$B1353))</f>
        <v>26 L סד ליד דו צדדי לאחר שבר</v>
      </c>
      <c r="I1353" s="8" t="str">
        <f aca="false">IF($G1353="","Unmatched","Matched")</f>
        <v>Matched</v>
      </c>
      <c r="J1353" s="8" t="n">
        <f aca="false">IF($G1353&lt;&gt;"",$G1353,$B1353)</f>
        <v>4415000</v>
      </c>
      <c r="K1353" s="8" t="str">
        <f aca="false">IF(COUNTIF($M$1:$M$10,$A1353)&gt;0,"Y","N")</f>
        <v>Y</v>
      </c>
    </row>
    <row r="1354" customFormat="false" ht="15" hidden="false" customHeight="true" outlineLevel="0" collapsed="false">
      <c r="A1354" s="8" t="s">
        <v>53</v>
      </c>
      <c r="B1354" s="8" t="s">
        <v>956</v>
      </c>
      <c r="C1354" s="19" t="n">
        <v>3</v>
      </c>
      <c r="D1354" s="19" t="n">
        <v>309.21</v>
      </c>
      <c r="E1354" s="19" t="n">
        <v>6</v>
      </c>
      <c r="F1354" s="19" t="n">
        <v>604.68</v>
      </c>
      <c r="G1354" s="8" t="n">
        <f aca="false">IFERROR(INDEX('TRANS'!$B:$B,MATCH($B1354,'TRANS'!$A:$A,0)),IFERROR(INDEX('TRANS'!$B:$B,MATCH(TRIM(SUBSTITUTE($B1354,CHAR(160)," ")),'TRANS'!$D:$D,0)),IFERROR(INDEX('Catalog'!$A:$A,MATCH($B1354,'Catalog'!$B:$B,0)),IFERROR(INDEX('Catalog'!$A:$A,MATCH(TRIM(SUBSTITUTE($B1354,CHAR(160)," ")),'Catalog'!$C:$C,0)),""))))</f>
        <v>4415001</v>
      </c>
      <c r="H1354" s="8" t="str">
        <f aca="false">IFERROR(INDEX('TRANS'!$C:$C,MATCH($B1354,'TRANS'!$A:$A,0)),IFERROR(INDEX('Catalog'!$B:$B,MATCH($G1354,'Catalog'!$A:$A,0)),$B1354))</f>
        <v>26 M סד ליד דו צדדי לאחר שבר</v>
      </c>
      <c r="I1354" s="8" t="str">
        <f aca="false">IF($G1354="","Unmatched","Matched")</f>
        <v>Matched</v>
      </c>
      <c r="J1354" s="8" t="n">
        <f aca="false">IF($G1354&lt;&gt;"",$G1354,$B1354)</f>
        <v>4415001</v>
      </c>
      <c r="K1354" s="8" t="str">
        <f aca="false">IF(COUNTIF($M$1:$M$10,$A1354)&gt;0,"Y","N")</f>
        <v>Y</v>
      </c>
    </row>
    <row r="1355" customFormat="false" ht="15" hidden="false" customHeight="true" outlineLevel="0" collapsed="false">
      <c r="A1355" s="8" t="s">
        <v>53</v>
      </c>
      <c r="B1355" s="8" t="s">
        <v>356</v>
      </c>
      <c r="C1355" s="19" t="n">
        <v>0</v>
      </c>
      <c r="D1355" s="19" t="n">
        <v>0</v>
      </c>
      <c r="E1355" s="19" t="n">
        <v>1</v>
      </c>
      <c r="F1355" s="19" t="n">
        <v>56.34</v>
      </c>
      <c r="G1355" s="8" t="str">
        <f aca="false">IFERROR(INDEX('TRANS'!$B:$B,MATCH($B1355,'TRANS'!$A:$A,0)),IFERROR(INDEX('TRANS'!$B:$B,MATCH(TRIM(SUBSTITUTE($B1355,CHAR(160)," ")),'TRANS'!$D:$D,0)),IFERROR(INDEX('Catalog'!$A:$A,MATCH($B1355,'Catalog'!$B:$B,0)),IFERROR(INDEX('Catalog'!$A:$A,MATCH(TRIM(SUBSTITUTE($B1355,CHAR(160)," ")),'Catalog'!$C:$C,0)),""))))</f>
        <v/>
      </c>
      <c r="H1355" s="8" t="str">
        <f aca="false">IFERROR(INDEX('TRANS'!$C:$C,MATCH($B1355,'TRANS'!$A:$A,0)),IFERROR(INDEX('Catalog'!$B:$B,MATCH($G1355,'Catalog'!$A:$A,0)),$B1355))</f>
        <v>267LB XXL</v>
      </c>
      <c r="I1355" s="8" t="str">
        <f aca="false">IF($G1355="","Unmatched","Matched")</f>
        <v>Unmatched</v>
      </c>
      <c r="J1355" s="8" t="str">
        <f aca="false">IF($G1355&lt;&gt;"",$G1355,$B1355)</f>
        <v>267LB XXL</v>
      </c>
      <c r="K1355" s="8" t="str">
        <f aca="false">IF(COUNTIF($M$1:$M$10,$A1355)&gt;0,"Y","N")</f>
        <v>Y</v>
      </c>
    </row>
    <row r="1356" customFormat="false" ht="15" hidden="false" customHeight="true" outlineLevel="0" collapsed="false">
      <c r="A1356" s="8" t="s">
        <v>53</v>
      </c>
      <c r="B1356" s="8" t="s">
        <v>231</v>
      </c>
      <c r="C1356" s="19" t="n">
        <v>2</v>
      </c>
      <c r="D1356" s="19" t="n">
        <v>130</v>
      </c>
      <c r="E1356" s="19" t="n">
        <v>1</v>
      </c>
      <c r="F1356" s="19" t="n">
        <v>56.34</v>
      </c>
      <c r="G1356" s="8" t="str">
        <f aca="false">IFERROR(INDEX('TRANS'!$B:$B,MATCH($B1356,'TRANS'!$A:$A,0)),IFERROR(INDEX('TRANS'!$B:$B,MATCH(TRIM(SUBSTITUTE($B1356,CHAR(160)," ")),'TRANS'!$D:$D,0)),IFERROR(INDEX('Catalog'!$A:$A,MATCH($B1356,'Catalog'!$B:$B,0)),IFERROR(INDEX('Catalog'!$A:$A,MATCH(TRIM(SUBSTITUTE($B1356,CHAR(160)," ")),'Catalog'!$C:$C,0)),""))))</f>
        <v/>
      </c>
      <c r="H1356" s="8" t="str">
        <f aca="false">IFERROR(INDEX('TRANS'!$C:$C,MATCH($B1356,'TRANS'!$A:$A,0)),IFERROR(INDEX('Catalog'!$B:$B,MATCH($G1356,'Catalog'!$A:$A,0)),$B1356))</f>
        <v>267LB-L-XL</v>
      </c>
      <c r="I1356" s="8" t="str">
        <f aca="false">IF($G1356="","Unmatched","Matched")</f>
        <v>Unmatched</v>
      </c>
      <c r="J1356" s="8" t="str">
        <f aca="false">IF($G1356&lt;&gt;"",$G1356,$B1356)</f>
        <v>267LB-L-XL</v>
      </c>
      <c r="K1356" s="8" t="str">
        <f aca="false">IF(COUNTIF($M$1:$M$10,$A1356)&gt;0,"Y","N")</f>
        <v>Y</v>
      </c>
    </row>
    <row r="1357" customFormat="false" ht="15" hidden="false" customHeight="true" outlineLevel="0" collapsed="false">
      <c r="A1357" s="8" t="s">
        <v>53</v>
      </c>
      <c r="B1357" s="8" t="s">
        <v>250</v>
      </c>
      <c r="C1357" s="19" t="n">
        <v>0</v>
      </c>
      <c r="D1357" s="19" t="n">
        <v>0</v>
      </c>
      <c r="E1357" s="19" t="n">
        <v>1</v>
      </c>
      <c r="F1357" s="19" t="n">
        <v>56.34</v>
      </c>
      <c r="G1357" s="8" t="str">
        <f aca="false">IFERROR(INDEX('TRANS'!$B:$B,MATCH($B1357,'TRANS'!$A:$A,0)),IFERROR(INDEX('TRANS'!$B:$B,MATCH(TRIM(SUBSTITUTE($B1357,CHAR(160)," ")),'TRANS'!$D:$D,0)),IFERROR(INDEX('Catalog'!$A:$A,MATCH($B1357,'Catalog'!$B:$B,0)),IFERROR(INDEX('Catalog'!$A:$A,MATCH(TRIM(SUBSTITUTE($B1357,CHAR(160)," ")),'Catalog'!$C:$C,0)),""))))</f>
        <v/>
      </c>
      <c r="H1357" s="8" t="str">
        <f aca="false">IFERROR(INDEX('TRANS'!$C:$C,MATCH($B1357,'TRANS'!$A:$A,0)),IFERROR(INDEX('Catalog'!$B:$B,MATCH($G1357,'Catalog'!$A:$A,0)),$B1357))</f>
        <v>267LB-S-M</v>
      </c>
      <c r="I1357" s="8" t="str">
        <f aca="false">IF($G1357="","Unmatched","Matched")</f>
        <v>Unmatched</v>
      </c>
      <c r="J1357" s="8" t="str">
        <f aca="false">IF($G1357&lt;&gt;"",$G1357,$B1357)</f>
        <v>267LB-S-M</v>
      </c>
      <c r="K1357" s="8" t="str">
        <f aca="false">IF(COUNTIF($M$1:$M$10,$A1357)&gt;0,"Y","N")</f>
        <v>Y</v>
      </c>
    </row>
    <row r="1358" customFormat="false" ht="15" hidden="false" customHeight="true" outlineLevel="0" collapsed="false">
      <c r="A1358" s="8" t="s">
        <v>53</v>
      </c>
      <c r="B1358" s="8" t="s">
        <v>290</v>
      </c>
      <c r="C1358" s="19" t="n">
        <v>0</v>
      </c>
      <c r="D1358" s="19" t="n">
        <v>0</v>
      </c>
      <c r="E1358" s="19" t="n">
        <v>1</v>
      </c>
      <c r="F1358" s="19" t="n">
        <v>56.34</v>
      </c>
      <c r="G1358" s="8" t="str">
        <f aca="false">IFERROR(INDEX('TRANS'!$B:$B,MATCH($B1358,'TRANS'!$A:$A,0)),IFERROR(INDEX('TRANS'!$B:$B,MATCH(TRIM(SUBSTITUTE($B1358,CHAR(160)," ")),'TRANS'!$D:$D,0)),IFERROR(INDEX('Catalog'!$A:$A,MATCH($B1358,'Catalog'!$B:$B,0)),IFERROR(INDEX('Catalog'!$A:$A,MATCH(TRIM(SUBSTITUTE($B1358,CHAR(160)," ")),'Catalog'!$C:$C,0)),""))))</f>
        <v/>
      </c>
      <c r="H1358" s="8" t="str">
        <f aca="false">IFERROR(INDEX('TRANS'!$C:$C,MATCH($B1358,'TRANS'!$A:$A,0)),IFERROR(INDEX('Catalog'!$B:$B,MATCH($G1358,'Catalog'!$A:$A,0)),$B1358))</f>
        <v>267RB XXL</v>
      </c>
      <c r="I1358" s="8" t="str">
        <f aca="false">IF($G1358="","Unmatched","Matched")</f>
        <v>Unmatched</v>
      </c>
      <c r="J1358" s="8" t="str">
        <f aca="false">IF($G1358&lt;&gt;"",$G1358,$B1358)</f>
        <v>267RB XXL</v>
      </c>
      <c r="K1358" s="8" t="str">
        <f aca="false">IF(COUNTIF($M$1:$M$10,$A1358)&gt;0,"Y","N")</f>
        <v>Y</v>
      </c>
    </row>
    <row r="1359" customFormat="false" ht="15" hidden="false" customHeight="true" outlineLevel="0" collapsed="false">
      <c r="A1359" s="8" t="s">
        <v>53</v>
      </c>
      <c r="B1359" s="8" t="s">
        <v>357</v>
      </c>
      <c r="C1359" s="19" t="n">
        <v>2</v>
      </c>
      <c r="D1359" s="19" t="n">
        <v>130</v>
      </c>
      <c r="E1359" s="19" t="n">
        <v>1</v>
      </c>
      <c r="F1359" s="19" t="n">
        <v>56.34</v>
      </c>
      <c r="G1359" s="8" t="str">
        <f aca="false">IFERROR(INDEX('TRANS'!$B:$B,MATCH($B1359,'TRANS'!$A:$A,0)),IFERROR(INDEX('TRANS'!$B:$B,MATCH(TRIM(SUBSTITUTE($B1359,CHAR(160)," ")),'TRANS'!$D:$D,0)),IFERROR(INDEX('Catalog'!$A:$A,MATCH($B1359,'Catalog'!$B:$B,0)),IFERROR(INDEX('Catalog'!$A:$A,MATCH(TRIM(SUBSTITUTE($B1359,CHAR(160)," ")),'Catalog'!$C:$C,0)),""))))</f>
        <v/>
      </c>
      <c r="H1359" s="8" t="str">
        <f aca="false">IFERROR(INDEX('TRANS'!$C:$C,MATCH($B1359,'TRANS'!$A:$A,0)),IFERROR(INDEX('Catalog'!$B:$B,MATCH($G1359,'Catalog'!$A:$A,0)),$B1359))</f>
        <v>267RB-L-XL</v>
      </c>
      <c r="I1359" s="8" t="str">
        <f aca="false">IF($G1359="","Unmatched","Matched")</f>
        <v>Unmatched</v>
      </c>
      <c r="J1359" s="8" t="str">
        <f aca="false">IF($G1359&lt;&gt;"",$G1359,$B1359)</f>
        <v>267RB-L-XL</v>
      </c>
      <c r="K1359" s="8" t="str">
        <f aca="false">IF(COUNTIF($M$1:$M$10,$A1359)&gt;0,"Y","N")</f>
        <v>Y</v>
      </c>
    </row>
    <row r="1360" customFormat="false" ht="15" hidden="false" customHeight="true" outlineLevel="0" collapsed="false">
      <c r="A1360" s="8" t="s">
        <v>53</v>
      </c>
      <c r="B1360" s="8" t="s">
        <v>291</v>
      </c>
      <c r="C1360" s="19" t="n">
        <v>0</v>
      </c>
      <c r="D1360" s="19" t="n">
        <v>0</v>
      </c>
      <c r="E1360" s="19" t="n">
        <v>1</v>
      </c>
      <c r="F1360" s="19" t="n">
        <v>56.34</v>
      </c>
      <c r="G1360" s="8" t="str">
        <f aca="false">IFERROR(INDEX('TRANS'!$B:$B,MATCH($B1360,'TRANS'!$A:$A,0)),IFERROR(INDEX('TRANS'!$B:$B,MATCH(TRIM(SUBSTITUTE($B1360,CHAR(160)," ")),'TRANS'!$D:$D,0)),IFERROR(INDEX('Catalog'!$A:$A,MATCH($B1360,'Catalog'!$B:$B,0)),IFERROR(INDEX('Catalog'!$A:$A,MATCH(TRIM(SUBSTITUTE($B1360,CHAR(160)," ")),'Catalog'!$C:$C,0)),""))))</f>
        <v/>
      </c>
      <c r="H1360" s="8" t="str">
        <f aca="false">IFERROR(INDEX('TRANS'!$C:$C,MATCH($B1360,'TRANS'!$A:$A,0)),IFERROR(INDEX('Catalog'!$B:$B,MATCH($G1360,'Catalog'!$A:$A,0)),$B1360))</f>
        <v>267RB-S-M</v>
      </c>
      <c r="I1360" s="8" t="str">
        <f aca="false">IF($G1360="","Unmatched","Matched")</f>
        <v>Unmatched</v>
      </c>
      <c r="J1360" s="8" t="str">
        <f aca="false">IF($G1360&lt;&gt;"",$G1360,$B1360)</f>
        <v>267RB-S-M</v>
      </c>
      <c r="K1360" s="8" t="str">
        <f aca="false">IF(COUNTIF($M$1:$M$10,$A1360)&gt;0,"Y","N")</f>
        <v>Y</v>
      </c>
    </row>
    <row r="1361" customFormat="false" ht="15" hidden="false" customHeight="true" outlineLevel="0" collapsed="false">
      <c r="A1361" s="8" t="s">
        <v>53</v>
      </c>
      <c r="B1361" s="8" t="s">
        <v>601</v>
      </c>
      <c r="C1361" s="19" t="n">
        <v>1</v>
      </c>
      <c r="D1361" s="19" t="n">
        <v>54</v>
      </c>
      <c r="E1361" s="19" t="n">
        <v>2</v>
      </c>
      <c r="F1361" s="19" t="n">
        <v>184.58</v>
      </c>
      <c r="G1361" s="8" t="n">
        <f aca="false">IFERROR(INDEX('TRANS'!$B:$B,MATCH($B1361,'TRANS'!$A:$A,0)),IFERROR(INDEX('TRANS'!$B:$B,MATCH(TRIM(SUBSTITUTE($B1361,CHAR(160)," ")),'TRANS'!$D:$D,0)),IFERROR(INDEX('Catalog'!$A:$A,MATCH($B1361,'Catalog'!$B:$B,0)),IFERROR(INDEX('Catalog'!$A:$A,MATCH(TRIM(SUBSTITUTE($B1361,CHAR(160)," ")),'Catalog'!$C:$C,0)),""))))</f>
        <v>4416000</v>
      </c>
      <c r="H1361" s="8" t="str">
        <f aca="false">IFERROR(INDEX('TRANS'!$C:$C,MATCH($B1361,'TRANS'!$A:$A,0)),IFERROR(INDEX('Catalog'!$B:$B,MATCH($G1361,'Catalog'!$A:$A,0)),$B1361))</f>
        <v>307 L עקבים לדורבן-זוג כריות</v>
      </c>
      <c r="I1361" s="8" t="str">
        <f aca="false">IF($G1361="","Unmatched","Matched")</f>
        <v>Matched</v>
      </c>
      <c r="J1361" s="8" t="n">
        <f aca="false">IF($G1361&lt;&gt;"",$G1361,$B1361)</f>
        <v>4416000</v>
      </c>
      <c r="K1361" s="8" t="str">
        <f aca="false">IF(COUNTIF($M$1:$M$10,$A1361)&gt;0,"Y","N")</f>
        <v>Y</v>
      </c>
    </row>
    <row r="1362" customFormat="false" ht="15" hidden="false" customHeight="true" outlineLevel="0" collapsed="false">
      <c r="A1362" s="8" t="s">
        <v>53</v>
      </c>
      <c r="B1362" s="8" t="s">
        <v>602</v>
      </c>
      <c r="C1362" s="19" t="n">
        <v>1</v>
      </c>
      <c r="D1362" s="19" t="n">
        <v>54</v>
      </c>
      <c r="E1362" s="19" t="n">
        <v>2</v>
      </c>
      <c r="F1362" s="19" t="n">
        <v>184.58</v>
      </c>
      <c r="G1362" s="8" t="n">
        <f aca="false">IFERROR(INDEX('TRANS'!$B:$B,MATCH($B1362,'TRANS'!$A:$A,0)),IFERROR(INDEX('TRANS'!$B:$B,MATCH(TRIM(SUBSTITUTE($B1362,CHAR(160)," ")),'TRANS'!$D:$D,0)),IFERROR(INDEX('Catalog'!$A:$A,MATCH($B1362,'Catalog'!$B:$B,0)),IFERROR(INDEX('Catalog'!$A:$A,MATCH(TRIM(SUBSTITUTE($B1362,CHAR(160)," ")),'Catalog'!$C:$C,0)),""))))</f>
        <v>4416001</v>
      </c>
      <c r="H1362" s="8" t="str">
        <f aca="false">IFERROR(INDEX('TRANS'!$C:$C,MATCH($B1362,'TRANS'!$A:$A,0)),IFERROR(INDEX('Catalog'!$B:$B,MATCH($G1362,'Catalog'!$A:$A,0)),$B1362))</f>
        <v>307 M עקבים לדורבן-זוג כריות</v>
      </c>
      <c r="I1362" s="8" t="str">
        <f aca="false">IF($G1362="","Unmatched","Matched")</f>
        <v>Matched</v>
      </c>
      <c r="J1362" s="8" t="n">
        <f aca="false">IF($G1362&lt;&gt;"",$G1362,$B1362)</f>
        <v>4416001</v>
      </c>
      <c r="K1362" s="8" t="str">
        <f aca="false">IF(COUNTIF($M$1:$M$10,$A1362)&gt;0,"Y","N")</f>
        <v>Y</v>
      </c>
    </row>
    <row r="1363" customFormat="false" ht="15" hidden="false" customHeight="true" outlineLevel="0" collapsed="false">
      <c r="A1363" s="8" t="s">
        <v>53</v>
      </c>
      <c r="B1363" s="8" t="s">
        <v>960</v>
      </c>
      <c r="C1363" s="19" t="n">
        <v>1</v>
      </c>
      <c r="D1363" s="19" t="n">
        <v>54</v>
      </c>
      <c r="E1363" s="19" t="n">
        <v>1</v>
      </c>
      <c r="F1363" s="19" t="n">
        <v>92.29</v>
      </c>
      <c r="G1363" s="8" t="n">
        <f aca="false">IFERROR(INDEX('TRANS'!$B:$B,MATCH($B1363,'TRANS'!$A:$A,0)),IFERROR(INDEX('TRANS'!$B:$B,MATCH(TRIM(SUBSTITUTE($B1363,CHAR(160)," ")),'TRANS'!$D:$D,0)),IFERROR(INDEX('Catalog'!$A:$A,MATCH($B1363,'Catalog'!$B:$B,0)),IFERROR(INDEX('Catalog'!$A:$A,MATCH(TRIM(SUBSTITUTE($B1363,CHAR(160)," ")),'Catalog'!$C:$C,0)),""))))</f>
        <v>4416002</v>
      </c>
      <c r="H1363" s="8" t="str">
        <f aca="false">IFERROR(INDEX('TRANS'!$C:$C,MATCH($B1363,'TRANS'!$A:$A,0)),IFERROR(INDEX('Catalog'!$B:$B,MATCH($G1363,'Catalog'!$A:$A,0)),$B1363))</f>
        <v>307 S עקבים לדורבן-זוג כריות</v>
      </c>
      <c r="I1363" s="8" t="str">
        <f aca="false">IF($G1363="","Unmatched","Matched")</f>
        <v>Matched</v>
      </c>
      <c r="J1363" s="8" t="n">
        <f aca="false">IF($G1363&lt;&gt;"",$G1363,$B1363)</f>
        <v>4416002</v>
      </c>
      <c r="K1363" s="8" t="str">
        <f aca="false">IF(COUNTIF($M$1:$M$10,$A1363)&gt;0,"Y","N")</f>
        <v>Y</v>
      </c>
    </row>
    <row r="1364" customFormat="false" ht="15" hidden="false" customHeight="true" outlineLevel="0" collapsed="false">
      <c r="A1364" s="8" t="s">
        <v>53</v>
      </c>
      <c r="B1364" s="8" t="s">
        <v>603</v>
      </c>
      <c r="C1364" s="19" t="n">
        <v>1</v>
      </c>
      <c r="D1364" s="19" t="n">
        <v>54</v>
      </c>
      <c r="E1364" s="19" t="n">
        <v>1</v>
      </c>
      <c r="F1364" s="19" t="n">
        <v>92.29</v>
      </c>
      <c r="G1364" s="8" t="n">
        <f aca="false">IFERROR(INDEX('TRANS'!$B:$B,MATCH($B1364,'TRANS'!$A:$A,0)),IFERROR(INDEX('TRANS'!$B:$B,MATCH(TRIM(SUBSTITUTE($B1364,CHAR(160)," ")),'TRANS'!$D:$D,0)),IFERROR(INDEX('Catalog'!$A:$A,MATCH($B1364,'Catalog'!$B:$B,0)),IFERROR(INDEX('Catalog'!$A:$A,MATCH(TRIM(SUBSTITUTE($B1364,CHAR(160)," ")),'Catalog'!$C:$C,0)),""))))</f>
        <v>4411016</v>
      </c>
      <c r="H1364" s="8" t="str">
        <f aca="false">IFERROR(INDEX('TRANS'!$C:$C,MATCH($B1364,'TRANS'!$A:$A,0)),IFERROR(INDEX('Catalog'!$B:$B,MATCH($G1364,'Catalog'!$A:$A,0)),$B1364))</f>
        <v>307 XL כרית סיליקון לעקב</v>
      </c>
      <c r="I1364" s="8" t="str">
        <f aca="false">IF($G1364="","Unmatched","Matched")</f>
        <v>Matched</v>
      </c>
      <c r="J1364" s="8" t="n">
        <f aca="false">IF($G1364&lt;&gt;"",$G1364,$B1364)</f>
        <v>4411016</v>
      </c>
      <c r="K1364" s="8" t="str">
        <f aca="false">IF(COUNTIF($M$1:$M$10,$A1364)&gt;0,"Y","N")</f>
        <v>Y</v>
      </c>
    </row>
    <row r="1365" customFormat="false" ht="15" hidden="false" customHeight="true" outlineLevel="0" collapsed="false">
      <c r="A1365" s="8" t="s">
        <v>53</v>
      </c>
      <c r="B1365" s="8" t="s">
        <v>909</v>
      </c>
      <c r="C1365" s="19" t="n">
        <v>1</v>
      </c>
      <c r="D1365" s="19" t="n">
        <v>40.5</v>
      </c>
      <c r="E1365" s="19" t="n">
        <v>3</v>
      </c>
      <c r="F1365" s="19" t="n">
        <v>182.64</v>
      </c>
      <c r="G1365" s="8" t="n">
        <f aca="false">IFERROR(INDEX('TRANS'!$B:$B,MATCH($B1365,'TRANS'!$A:$A,0)),IFERROR(INDEX('TRANS'!$B:$B,MATCH(TRIM(SUBSTITUTE($B1365,CHAR(160)," ")),'TRANS'!$D:$D,0)),IFERROR(INDEX('Catalog'!$A:$A,MATCH($B1365,'Catalog'!$B:$B,0)),IFERROR(INDEX('Catalog'!$A:$A,MATCH(TRIM(SUBSTITUTE($B1365,CHAR(160)," ")),'Catalog'!$C:$C,0)),""))))</f>
        <v>4416003</v>
      </c>
      <c r="H1365" s="8" t="str">
        <f aca="false">IFERROR(INDEX('TRANS'!$C:$C,MATCH($B1365,'TRANS'!$A:$A,0)),IFERROR(INDEX('Catalog'!$B:$B,MATCH($G1365,'Catalog'!$A:$A,0)),$B1365))</f>
        <v>308 Lעקבים סיליקון כחול לדורבן</v>
      </c>
      <c r="I1365" s="8" t="str">
        <f aca="false">IF($G1365="","Unmatched","Matched")</f>
        <v>Matched</v>
      </c>
      <c r="J1365" s="8" t="n">
        <f aca="false">IF($G1365&lt;&gt;"",$G1365,$B1365)</f>
        <v>4416003</v>
      </c>
      <c r="K1365" s="8" t="str">
        <f aca="false">IF(COUNTIF($M$1:$M$10,$A1365)&gt;0,"Y","N")</f>
        <v>Y</v>
      </c>
    </row>
    <row r="1366" customFormat="false" ht="15" hidden="false" customHeight="true" outlineLevel="0" collapsed="false">
      <c r="A1366" s="8" t="s">
        <v>53</v>
      </c>
      <c r="B1366" s="8" t="s">
        <v>604</v>
      </c>
      <c r="C1366" s="19" t="n">
        <v>1</v>
      </c>
      <c r="D1366" s="19" t="n">
        <v>40.5</v>
      </c>
      <c r="E1366" s="19" t="n">
        <v>3</v>
      </c>
      <c r="F1366" s="19" t="n">
        <v>182.64</v>
      </c>
      <c r="G1366" s="8" t="n">
        <f aca="false">IFERROR(INDEX('TRANS'!$B:$B,MATCH($B1366,'TRANS'!$A:$A,0)),IFERROR(INDEX('TRANS'!$B:$B,MATCH(TRIM(SUBSTITUTE($B1366,CHAR(160)," ")),'TRANS'!$D:$D,0)),IFERROR(INDEX('Catalog'!$A:$A,MATCH($B1366,'Catalog'!$B:$B,0)),IFERROR(INDEX('Catalog'!$A:$A,MATCH(TRIM(SUBSTITUTE($B1366,CHAR(160)," ")),'Catalog'!$C:$C,0)),""))))</f>
        <v>4416005</v>
      </c>
      <c r="H1366" s="8" t="str">
        <f aca="false">IFERROR(INDEX('TRANS'!$C:$C,MATCH($B1366,'TRANS'!$A:$A,0)),IFERROR(INDEX('Catalog'!$B:$B,MATCH($G1366,'Catalog'!$A:$A,0)),$B1366))</f>
        <v>308 Mעקבים סיליק.כחול לדורבן</v>
      </c>
      <c r="I1366" s="8" t="str">
        <f aca="false">IF($G1366="","Unmatched","Matched")</f>
        <v>Matched</v>
      </c>
      <c r="J1366" s="8" t="n">
        <f aca="false">IF($G1366&lt;&gt;"",$G1366,$B1366)</f>
        <v>4416005</v>
      </c>
      <c r="K1366" s="8" t="str">
        <f aca="false">IF(COUNTIF($M$1:$M$10,$A1366)&gt;0,"Y","N")</f>
        <v>Y</v>
      </c>
    </row>
    <row r="1367" customFormat="false" ht="15" hidden="false" customHeight="true" outlineLevel="0" collapsed="false">
      <c r="A1367" s="8" t="s">
        <v>53</v>
      </c>
      <c r="B1367" s="8" t="s">
        <v>605</v>
      </c>
      <c r="C1367" s="19" t="n">
        <v>8</v>
      </c>
      <c r="D1367" s="19" t="n">
        <v>134.68</v>
      </c>
      <c r="E1367" s="19" t="n">
        <v>3</v>
      </c>
      <c r="F1367" s="19" t="n">
        <v>56.11</v>
      </c>
      <c r="G1367" s="8" t="n">
        <f aca="false">IFERROR(INDEX('TRANS'!$B:$B,MATCH($B1367,'TRANS'!$A:$A,0)),IFERROR(INDEX('TRANS'!$B:$B,MATCH(TRIM(SUBSTITUTE($B1367,CHAR(160)," ")),'TRANS'!$D:$D,0)),IFERROR(INDEX('Catalog'!$A:$A,MATCH($B1367,'Catalog'!$B:$B,0)),IFERROR(INDEX('Catalog'!$A:$A,MATCH(TRIM(SUBSTITUTE($B1367,CHAR(160)," ")),'Catalog'!$C:$C,0)),""))))</f>
        <v>4413033</v>
      </c>
      <c r="H1367" s="8" t="str">
        <f aca="false">IFERROR(INDEX('TRANS'!$C:$C,MATCH($B1367,'TRANS'!$A:$A,0)),IFERROR(INDEX('Catalog'!$B:$B,MATCH($G1367,'Catalog'!$A:$A,0)),$B1367))</f>
        <v>311'מדב.ג'ל למניעת שפשוף 5 יח</v>
      </c>
      <c r="I1367" s="8" t="str">
        <f aca="false">IF($G1367="","Unmatched","Matched")</f>
        <v>Matched</v>
      </c>
      <c r="J1367" s="8" t="n">
        <f aca="false">IF($G1367&lt;&gt;"",$G1367,$B1367)</f>
        <v>4413033</v>
      </c>
      <c r="K1367" s="8" t="str">
        <f aca="false">IF(COUNTIF($M$1:$M$10,$A1367)&gt;0,"Y","N")</f>
        <v>Y</v>
      </c>
    </row>
    <row r="1368" customFormat="false" ht="15" hidden="false" customHeight="true" outlineLevel="0" collapsed="false">
      <c r="A1368" s="8" t="s">
        <v>53</v>
      </c>
      <c r="B1368" s="8" t="s">
        <v>606</v>
      </c>
      <c r="C1368" s="19" t="n">
        <v>3</v>
      </c>
      <c r="D1368" s="19" t="n">
        <v>57.15</v>
      </c>
      <c r="E1368" s="19" t="n">
        <v>0</v>
      </c>
      <c r="F1368" s="19" t="n">
        <v>0</v>
      </c>
      <c r="G1368" s="8" t="n">
        <f aca="false">IFERROR(INDEX('TRANS'!$B:$B,MATCH($B1368,'TRANS'!$A:$A,0)),IFERROR(INDEX('TRANS'!$B:$B,MATCH(TRIM(SUBSTITUTE($B1368,CHAR(160)," ")),'TRANS'!$D:$D,0)),IFERROR(INDEX('Catalog'!$A:$A,MATCH($B1368,'Catalog'!$B:$B,0)),IFERROR(INDEX('Catalog'!$A:$A,MATCH(TRIM(SUBSTITUTE($B1368,CHAR(160)," ")),'Catalog'!$C:$C,0)),""))))</f>
        <v>4413034</v>
      </c>
      <c r="H1368" s="8" t="str">
        <f aca="false">IFERROR(INDEX('TRANS'!$C:$C,MATCH($B1368,'TRANS'!$A:$A,0)),IFERROR(INDEX('Catalog'!$B:$B,MATCH($G1368,'Catalog'!$A:$A,0)),$B1368))</f>
        <v>312 9 מ""""ס להתאמהX5 מדבקה גדולה</v>
      </c>
      <c r="I1368" s="8" t="str">
        <f aca="false">IF($G1368="","Unmatched","Matched")</f>
        <v>Matched</v>
      </c>
      <c r="J1368" s="8" t="n">
        <f aca="false">IF($G1368&lt;&gt;"",$G1368,$B1368)</f>
        <v>4413034</v>
      </c>
      <c r="K1368" s="8" t="str">
        <f aca="false">IF(COUNTIF($M$1:$M$10,$A1368)&gt;0,"Y","N")</f>
        <v>Y</v>
      </c>
    </row>
    <row r="1369" customFormat="false" ht="15" hidden="false" customHeight="true" outlineLevel="0" collapsed="false">
      <c r="A1369" s="8" t="s">
        <v>53</v>
      </c>
      <c r="B1369" s="8" t="s">
        <v>607</v>
      </c>
      <c r="C1369" s="19" t="n">
        <v>3</v>
      </c>
      <c r="D1369" s="19" t="n">
        <v>62.03</v>
      </c>
      <c r="E1369" s="19" t="n">
        <v>0</v>
      </c>
      <c r="F1369" s="19" t="n">
        <v>0</v>
      </c>
      <c r="G1369" s="8" t="n">
        <f aca="false">IFERROR(INDEX('TRANS'!$B:$B,MATCH($B1369,'TRANS'!$A:$A,0)),IFERROR(INDEX('TRANS'!$B:$B,MATCH(TRIM(SUBSTITUTE($B1369,CHAR(160)," ")),'TRANS'!$D:$D,0)),IFERROR(INDEX('Catalog'!$A:$A,MATCH($B1369,'Catalog'!$B:$B,0)),IFERROR(INDEX('Catalog'!$A:$A,MATCH(TRIM(SUBSTITUTE($B1369,CHAR(160)," ")),'Catalog'!$C:$C,0)),""))))</f>
        <v>4415297</v>
      </c>
      <c r="H1369" s="8" t="str">
        <f aca="false">IFERROR(INDEX('TRANS'!$C:$C,MATCH($B1369,'TRANS'!$A:$A,0)),IFERROR(INDEX('Catalog'!$B:$B,MATCH($G1369,'Catalog'!$A:$A,0)),$B1369))</f>
        <v>313 סט פלסטרים נגד שפשופים</v>
      </c>
      <c r="I1369" s="8" t="str">
        <f aca="false">IF($G1369="","Unmatched","Matched")</f>
        <v>Matched</v>
      </c>
      <c r="J1369" s="8" t="n">
        <f aca="false">IF($G1369&lt;&gt;"",$G1369,$B1369)</f>
        <v>4415297</v>
      </c>
      <c r="K1369" s="8" t="str">
        <f aca="false">IF(COUNTIF($M$1:$M$10,$A1369)&gt;0,"Y","N")</f>
        <v>Y</v>
      </c>
    </row>
    <row r="1370" customFormat="false" ht="15" hidden="false" customHeight="true" outlineLevel="0" collapsed="false">
      <c r="A1370" s="8" t="s">
        <v>53</v>
      </c>
      <c r="B1370" s="8" t="s">
        <v>609</v>
      </c>
      <c r="C1370" s="19" t="n">
        <v>3</v>
      </c>
      <c r="D1370" s="19" t="n">
        <v>51.07</v>
      </c>
      <c r="E1370" s="19" t="n">
        <v>0</v>
      </c>
      <c r="F1370" s="19" t="n">
        <v>0</v>
      </c>
      <c r="G1370" s="8" t="n">
        <f aca="false">IFERROR(INDEX('TRANS'!$B:$B,MATCH($B1370,'TRANS'!$A:$A,0)),IFERROR(INDEX('TRANS'!$B:$B,MATCH(TRIM(SUBSTITUTE($B1370,CHAR(160)," ")),'TRANS'!$D:$D,0)),IFERROR(INDEX('Catalog'!$A:$A,MATCH($B1370,'Catalog'!$B:$B,0)),IFERROR(INDEX('Catalog'!$A:$A,MATCH(TRIM(SUBSTITUTE($B1370,CHAR(160)," ")),'Catalog'!$C:$C,0)),""))))</f>
        <v>4402007</v>
      </c>
      <c r="H1370" s="8" t="str">
        <f aca="false">IFERROR(INDEX('TRANS'!$C:$C,MATCH($B1370,'TRANS'!$A:$A,0)),IFERROR(INDEX('Catalog'!$B:$B,MATCH($G1370,'Catalog'!$A:$A,0)),$B1370))</f>
        <v>320 בליסטר פלסטר</v>
      </c>
      <c r="I1370" s="8" t="str">
        <f aca="false">IF($G1370="","Unmatched","Matched")</f>
        <v>Matched</v>
      </c>
      <c r="J1370" s="8" t="n">
        <f aca="false">IF($G1370&lt;&gt;"",$G1370,$B1370)</f>
        <v>4402007</v>
      </c>
      <c r="K1370" s="8" t="str">
        <f aca="false">IF(COUNTIF($M$1:$M$10,$A1370)&gt;0,"Y","N")</f>
        <v>Y</v>
      </c>
    </row>
    <row r="1371" customFormat="false" ht="15" hidden="false" customHeight="true" outlineLevel="0" collapsed="false">
      <c r="A1371" s="8" t="s">
        <v>53</v>
      </c>
      <c r="B1371" s="8" t="s">
        <v>207</v>
      </c>
      <c r="C1371" s="19" t="n">
        <v>0</v>
      </c>
      <c r="D1371" s="19" t="n">
        <v>0</v>
      </c>
      <c r="E1371" s="19" t="n">
        <v>2</v>
      </c>
      <c r="F1371" s="19" t="n">
        <v>130</v>
      </c>
      <c r="G1371" s="8" t="str">
        <f aca="false">IFERROR(INDEX('TRANS'!$B:$B,MATCH($B1371,'TRANS'!$A:$A,0)),IFERROR(INDEX('TRANS'!$B:$B,MATCH(TRIM(SUBSTITUTE($B1371,CHAR(160)," ")),'TRANS'!$D:$D,0)),IFERROR(INDEX('Catalog'!$A:$A,MATCH($B1371,'Catalog'!$B:$B,0)),IFERROR(INDEX('Catalog'!$A:$A,MATCH(TRIM(SUBSTITUTE($B1371,CHAR(160)," ")),'Catalog'!$C:$C,0)),""))))</f>
        <v/>
      </c>
      <c r="H1371" s="8" t="str">
        <f aca="false">IFERROR(INDEX('TRANS'!$C:$C,MATCH($B1371,'TRANS'!$A:$A,0)),IFERROR(INDEX('Catalog'!$B:$B,MATCH($G1371,'Catalog'!$A:$A,0)),$B1371))</f>
        <v>332B L</v>
      </c>
      <c r="I1371" s="8" t="str">
        <f aca="false">IF($G1371="","Unmatched","Matched")</f>
        <v>Unmatched</v>
      </c>
      <c r="J1371" s="8" t="str">
        <f aca="false">IF($G1371&lt;&gt;"",$G1371,$B1371)</f>
        <v>332B L</v>
      </c>
      <c r="K1371" s="8" t="str">
        <f aca="false">IF(COUNTIF($M$1:$M$10,$A1371)&gt;0,"Y","N")</f>
        <v>Y</v>
      </c>
    </row>
    <row r="1372" customFormat="false" ht="15" hidden="false" customHeight="true" outlineLevel="0" collapsed="false">
      <c r="A1372" s="8" t="s">
        <v>53</v>
      </c>
      <c r="B1372" s="8" t="s">
        <v>277</v>
      </c>
      <c r="C1372" s="19" t="n">
        <v>0</v>
      </c>
      <c r="D1372" s="19" t="n">
        <v>0</v>
      </c>
      <c r="E1372" s="19" t="n">
        <v>2</v>
      </c>
      <c r="F1372" s="19" t="n">
        <v>130</v>
      </c>
      <c r="G1372" s="8" t="str">
        <f aca="false">IFERROR(INDEX('TRANS'!$B:$B,MATCH($B1372,'TRANS'!$A:$A,0)),IFERROR(INDEX('TRANS'!$B:$B,MATCH(TRIM(SUBSTITUTE($B1372,CHAR(160)," ")),'TRANS'!$D:$D,0)),IFERROR(INDEX('Catalog'!$A:$A,MATCH($B1372,'Catalog'!$B:$B,0)),IFERROR(INDEX('Catalog'!$A:$A,MATCH(TRIM(SUBSTITUTE($B1372,CHAR(160)," ")),'Catalog'!$C:$C,0)),""))))</f>
        <v/>
      </c>
      <c r="H1372" s="8" t="str">
        <f aca="false">IFERROR(INDEX('TRANS'!$C:$C,MATCH($B1372,'TRANS'!$A:$A,0)),IFERROR(INDEX('Catalog'!$B:$B,MATCH($G1372,'Catalog'!$A:$A,0)),$B1372))</f>
        <v>332B M</v>
      </c>
      <c r="I1372" s="8" t="str">
        <f aca="false">IF($G1372="","Unmatched","Matched")</f>
        <v>Unmatched</v>
      </c>
      <c r="J1372" s="8" t="str">
        <f aca="false">IF($G1372&lt;&gt;"",$G1372,$B1372)</f>
        <v>332B M</v>
      </c>
      <c r="K1372" s="8" t="str">
        <f aca="false">IF(COUNTIF($M$1:$M$10,$A1372)&gt;0,"Y","N")</f>
        <v>Y</v>
      </c>
    </row>
    <row r="1373" customFormat="false" ht="15" hidden="false" customHeight="true" outlineLevel="0" collapsed="false">
      <c r="A1373" s="8" t="s">
        <v>53</v>
      </c>
      <c r="B1373" s="8" t="s">
        <v>251</v>
      </c>
      <c r="C1373" s="19" t="n">
        <v>0</v>
      </c>
      <c r="D1373" s="19" t="n">
        <v>0</v>
      </c>
      <c r="E1373" s="19" t="n">
        <v>2</v>
      </c>
      <c r="F1373" s="19" t="n">
        <v>130</v>
      </c>
      <c r="G1373" s="8" t="str">
        <f aca="false">IFERROR(INDEX('TRANS'!$B:$B,MATCH($B1373,'TRANS'!$A:$A,0)),IFERROR(INDEX('TRANS'!$B:$B,MATCH(TRIM(SUBSTITUTE($B1373,CHAR(160)," ")),'TRANS'!$D:$D,0)),IFERROR(INDEX('Catalog'!$A:$A,MATCH($B1373,'Catalog'!$B:$B,0)),IFERROR(INDEX('Catalog'!$A:$A,MATCH(TRIM(SUBSTITUTE($B1373,CHAR(160)," ")),'Catalog'!$C:$C,0)),""))))</f>
        <v/>
      </c>
      <c r="H1373" s="8" t="str">
        <f aca="false">IFERROR(INDEX('TRANS'!$C:$C,MATCH($B1373,'TRANS'!$A:$A,0)),IFERROR(INDEX('Catalog'!$B:$B,MATCH($G1373,'Catalog'!$A:$A,0)),$B1373))</f>
        <v>332B S</v>
      </c>
      <c r="I1373" s="8" t="str">
        <f aca="false">IF($G1373="","Unmatched","Matched")</f>
        <v>Unmatched</v>
      </c>
      <c r="J1373" s="8" t="str">
        <f aca="false">IF($G1373&lt;&gt;"",$G1373,$B1373)</f>
        <v>332B S</v>
      </c>
      <c r="K1373" s="8" t="str">
        <f aca="false">IF(COUNTIF($M$1:$M$10,$A1373)&gt;0,"Y","N")</f>
        <v>Y</v>
      </c>
    </row>
    <row r="1374" customFormat="false" ht="15" hidden="false" customHeight="true" outlineLevel="0" collapsed="false">
      <c r="A1374" s="8" t="s">
        <v>53</v>
      </c>
      <c r="B1374" s="8" t="s">
        <v>192</v>
      </c>
      <c r="C1374" s="19" t="n">
        <v>0</v>
      </c>
      <c r="D1374" s="19" t="n">
        <v>0</v>
      </c>
      <c r="E1374" s="19" t="n">
        <v>2</v>
      </c>
      <c r="F1374" s="19" t="n">
        <v>130</v>
      </c>
      <c r="G1374" s="8" t="str">
        <f aca="false">IFERROR(INDEX('TRANS'!$B:$B,MATCH($B1374,'TRANS'!$A:$A,0)),IFERROR(INDEX('TRANS'!$B:$B,MATCH(TRIM(SUBSTITUTE($B1374,CHAR(160)," ")),'TRANS'!$D:$D,0)),IFERROR(INDEX('Catalog'!$A:$A,MATCH($B1374,'Catalog'!$B:$B,0)),IFERROR(INDEX('Catalog'!$A:$A,MATCH(TRIM(SUBSTITUTE($B1374,CHAR(160)," ")),'Catalog'!$C:$C,0)),""))))</f>
        <v/>
      </c>
      <c r="H1374" s="8" t="str">
        <f aca="false">IFERROR(INDEX('TRANS'!$C:$C,MATCH($B1374,'TRANS'!$A:$A,0)),IFERROR(INDEX('Catalog'!$B:$B,MATCH($G1374,'Catalog'!$A:$A,0)),$B1374))</f>
        <v>332B XL</v>
      </c>
      <c r="I1374" s="8" t="str">
        <f aca="false">IF($G1374="","Unmatched","Matched")</f>
        <v>Unmatched</v>
      </c>
      <c r="J1374" s="8" t="str">
        <f aca="false">IF($G1374&lt;&gt;"",$G1374,$B1374)</f>
        <v>332B XL</v>
      </c>
      <c r="K1374" s="8" t="str">
        <f aca="false">IF(COUNTIF($M$1:$M$10,$A1374)&gt;0,"Y","N")</f>
        <v>Y</v>
      </c>
    </row>
    <row r="1375" customFormat="false" ht="15" hidden="false" customHeight="true" outlineLevel="0" collapsed="false">
      <c r="A1375" s="8" t="s">
        <v>53</v>
      </c>
      <c r="B1375" s="8" t="s">
        <v>292</v>
      </c>
      <c r="C1375" s="19" t="n">
        <v>0</v>
      </c>
      <c r="D1375" s="19" t="n">
        <v>0</v>
      </c>
      <c r="E1375" s="19" t="n">
        <v>2</v>
      </c>
      <c r="F1375" s="19" t="n">
        <v>130</v>
      </c>
      <c r="G1375" s="8" t="str">
        <f aca="false">IFERROR(INDEX('TRANS'!$B:$B,MATCH($B1375,'TRANS'!$A:$A,0)),IFERROR(INDEX('TRANS'!$B:$B,MATCH(TRIM(SUBSTITUTE($B1375,CHAR(160)," ")),'TRANS'!$D:$D,0)),IFERROR(INDEX('Catalog'!$A:$A,MATCH($B1375,'Catalog'!$B:$B,0)),IFERROR(INDEX('Catalog'!$A:$A,MATCH(TRIM(SUBSTITUTE($B1375,CHAR(160)," ")),'Catalog'!$C:$C,0)),""))))</f>
        <v/>
      </c>
      <c r="H1375" s="8" t="str">
        <f aca="false">IFERROR(INDEX('TRANS'!$C:$C,MATCH($B1375,'TRANS'!$A:$A,0)),IFERROR(INDEX('Catalog'!$B:$B,MATCH($G1375,'Catalog'!$A:$A,0)),$B1375))</f>
        <v>332C L</v>
      </c>
      <c r="I1375" s="8" t="str">
        <f aca="false">IF($G1375="","Unmatched","Matched")</f>
        <v>Unmatched</v>
      </c>
      <c r="J1375" s="8" t="str">
        <f aca="false">IF($G1375&lt;&gt;"",$G1375,$B1375)</f>
        <v>332C L</v>
      </c>
      <c r="K1375" s="8" t="str">
        <f aca="false">IF(COUNTIF($M$1:$M$10,$A1375)&gt;0,"Y","N")</f>
        <v>Y</v>
      </c>
    </row>
    <row r="1376" customFormat="false" ht="15" hidden="false" customHeight="true" outlineLevel="0" collapsed="false">
      <c r="A1376" s="8" t="s">
        <v>53</v>
      </c>
      <c r="B1376" s="8" t="s">
        <v>293</v>
      </c>
      <c r="C1376" s="19" t="n">
        <v>0</v>
      </c>
      <c r="D1376" s="19" t="n">
        <v>0</v>
      </c>
      <c r="E1376" s="19" t="n">
        <v>2</v>
      </c>
      <c r="F1376" s="19" t="n">
        <v>130</v>
      </c>
      <c r="G1376" s="8" t="str">
        <f aca="false">IFERROR(INDEX('TRANS'!$B:$B,MATCH($B1376,'TRANS'!$A:$A,0)),IFERROR(INDEX('TRANS'!$B:$B,MATCH(TRIM(SUBSTITUTE($B1376,CHAR(160)," ")),'TRANS'!$D:$D,0)),IFERROR(INDEX('Catalog'!$A:$A,MATCH($B1376,'Catalog'!$B:$B,0)),IFERROR(INDEX('Catalog'!$A:$A,MATCH(TRIM(SUBSTITUTE($B1376,CHAR(160)," ")),'Catalog'!$C:$C,0)),""))))</f>
        <v/>
      </c>
      <c r="H1376" s="8" t="str">
        <f aca="false">IFERROR(INDEX('TRANS'!$C:$C,MATCH($B1376,'TRANS'!$A:$A,0)),IFERROR(INDEX('Catalog'!$B:$B,MATCH($G1376,'Catalog'!$A:$A,0)),$B1376))</f>
        <v>332C M</v>
      </c>
      <c r="I1376" s="8" t="str">
        <f aca="false">IF($G1376="","Unmatched","Matched")</f>
        <v>Unmatched</v>
      </c>
      <c r="J1376" s="8" t="str">
        <f aca="false">IF($G1376&lt;&gt;"",$G1376,$B1376)</f>
        <v>332C M</v>
      </c>
      <c r="K1376" s="8" t="str">
        <f aca="false">IF(COUNTIF($M$1:$M$10,$A1376)&gt;0,"Y","N")</f>
        <v>Y</v>
      </c>
    </row>
    <row r="1377" customFormat="false" ht="15" hidden="false" customHeight="true" outlineLevel="0" collapsed="false">
      <c r="A1377" s="8" t="s">
        <v>53</v>
      </c>
      <c r="B1377" s="8" t="s">
        <v>294</v>
      </c>
      <c r="C1377" s="19" t="n">
        <v>0</v>
      </c>
      <c r="D1377" s="19" t="n">
        <v>0</v>
      </c>
      <c r="E1377" s="19" t="n">
        <v>2</v>
      </c>
      <c r="F1377" s="19" t="n">
        <v>130</v>
      </c>
      <c r="G1377" s="8" t="str">
        <f aca="false">IFERROR(INDEX('TRANS'!$B:$B,MATCH($B1377,'TRANS'!$A:$A,0)),IFERROR(INDEX('TRANS'!$B:$B,MATCH(TRIM(SUBSTITUTE($B1377,CHAR(160)," ")),'TRANS'!$D:$D,0)),IFERROR(INDEX('Catalog'!$A:$A,MATCH($B1377,'Catalog'!$B:$B,0)),IFERROR(INDEX('Catalog'!$A:$A,MATCH(TRIM(SUBSTITUTE($B1377,CHAR(160)," ")),'Catalog'!$C:$C,0)),""))))</f>
        <v/>
      </c>
      <c r="H1377" s="8" t="str">
        <f aca="false">IFERROR(INDEX('TRANS'!$C:$C,MATCH($B1377,'TRANS'!$A:$A,0)),IFERROR(INDEX('Catalog'!$B:$B,MATCH($G1377,'Catalog'!$A:$A,0)),$B1377))</f>
        <v>332C S</v>
      </c>
      <c r="I1377" s="8" t="str">
        <f aca="false">IF($G1377="","Unmatched","Matched")</f>
        <v>Unmatched</v>
      </c>
      <c r="J1377" s="8" t="str">
        <f aca="false">IF($G1377&lt;&gt;"",$G1377,$B1377)</f>
        <v>332C S</v>
      </c>
      <c r="K1377" s="8" t="str">
        <f aca="false">IF(COUNTIF($M$1:$M$10,$A1377)&gt;0,"Y","N")</f>
        <v>Y</v>
      </c>
    </row>
    <row r="1378" customFormat="false" ht="15" hidden="false" customHeight="true" outlineLevel="0" collapsed="false">
      <c r="A1378" s="8" t="s">
        <v>53</v>
      </c>
      <c r="B1378" s="8" t="s">
        <v>295</v>
      </c>
      <c r="C1378" s="19" t="n">
        <v>0</v>
      </c>
      <c r="D1378" s="19" t="n">
        <v>0</v>
      </c>
      <c r="E1378" s="19" t="n">
        <v>2</v>
      </c>
      <c r="F1378" s="19" t="n">
        <v>130</v>
      </c>
      <c r="G1378" s="8" t="str">
        <f aca="false">IFERROR(INDEX('TRANS'!$B:$B,MATCH($B1378,'TRANS'!$A:$A,0)),IFERROR(INDEX('TRANS'!$B:$B,MATCH(TRIM(SUBSTITUTE($B1378,CHAR(160)," ")),'TRANS'!$D:$D,0)),IFERROR(INDEX('Catalog'!$A:$A,MATCH($B1378,'Catalog'!$B:$B,0)),IFERROR(INDEX('Catalog'!$A:$A,MATCH(TRIM(SUBSTITUTE($B1378,CHAR(160)," ")),'Catalog'!$C:$C,0)),""))))</f>
        <v/>
      </c>
      <c r="H1378" s="8" t="str">
        <f aca="false">IFERROR(INDEX('TRANS'!$C:$C,MATCH($B1378,'TRANS'!$A:$A,0)),IFERROR(INDEX('Catalog'!$B:$B,MATCH($G1378,'Catalog'!$A:$A,0)),$B1378))</f>
        <v>332C XL</v>
      </c>
      <c r="I1378" s="8" t="str">
        <f aca="false">IF($G1378="","Unmatched","Matched")</f>
        <v>Unmatched</v>
      </c>
      <c r="J1378" s="8" t="str">
        <f aca="false">IF($G1378&lt;&gt;"",$G1378,$B1378)</f>
        <v>332C XL</v>
      </c>
      <c r="K1378" s="8" t="str">
        <f aca="false">IF(COUNTIF($M$1:$M$10,$A1378)&gt;0,"Y","N")</f>
        <v>Y</v>
      </c>
    </row>
    <row r="1379" customFormat="false" ht="15" hidden="false" customHeight="true" outlineLevel="0" collapsed="false">
      <c r="A1379" s="8" t="s">
        <v>53</v>
      </c>
      <c r="B1379" s="8" t="s">
        <v>910</v>
      </c>
      <c r="C1379" s="19" t="n">
        <v>1</v>
      </c>
      <c r="D1379" s="19" t="n">
        <v>40.58</v>
      </c>
      <c r="E1379" s="19" t="n">
        <v>4</v>
      </c>
      <c r="F1379" s="19" t="n">
        <v>174.8</v>
      </c>
      <c r="G1379" s="8" t="n">
        <f aca="false">IFERROR(INDEX('TRANS'!$B:$B,MATCH($B1379,'TRANS'!$A:$A,0)),IFERROR(INDEX('TRANS'!$B:$B,MATCH(TRIM(SUBSTITUTE($B1379,CHAR(160)," ")),'TRANS'!$D:$D,0)),IFERROR(INDEX('Catalog'!$A:$A,MATCH($B1379,'Catalog'!$B:$B,0)),IFERROR(INDEX('Catalog'!$A:$A,MATCH(TRIM(SUBSTITUTE($B1379,CHAR(160)," ")),'Catalog'!$C:$C,0)),""))))</f>
        <v>4413043</v>
      </c>
      <c r="H1379" s="8" t="str">
        <f aca="false">IFERROR(INDEX('TRANS'!$C:$C,MATCH($B1379,'TRANS'!$A:$A,0)),IFERROR(INDEX('Catalog'!$B:$B,MATCH($G1379,'Catalog'!$A:$A,0)),$B1379))</f>
        <v>34  L מגן קרסול עקב סגור</v>
      </c>
      <c r="I1379" s="8" t="str">
        <f aca="false">IF($G1379="","Unmatched","Matched")</f>
        <v>Matched</v>
      </c>
      <c r="J1379" s="8" t="n">
        <f aca="false">IF($G1379&lt;&gt;"",$G1379,$B1379)</f>
        <v>4413043</v>
      </c>
      <c r="K1379" s="8" t="str">
        <f aca="false">IF(COUNTIF($M$1:$M$10,$A1379)&gt;0,"Y","N")</f>
        <v>Y</v>
      </c>
    </row>
    <row r="1380" customFormat="false" ht="15" hidden="false" customHeight="true" outlineLevel="0" collapsed="false">
      <c r="A1380" s="8" t="s">
        <v>53</v>
      </c>
      <c r="B1380" s="8" t="s">
        <v>915</v>
      </c>
      <c r="C1380" s="19" t="n">
        <v>1</v>
      </c>
      <c r="D1380" s="19" t="n">
        <v>40.58</v>
      </c>
      <c r="E1380" s="19" t="n">
        <v>3</v>
      </c>
      <c r="F1380" s="19" t="n">
        <v>127.98</v>
      </c>
      <c r="G1380" s="8" t="n">
        <f aca="false">IFERROR(INDEX('TRANS'!$B:$B,MATCH($B1380,'TRANS'!$A:$A,0)),IFERROR(INDEX('TRANS'!$B:$B,MATCH(TRIM(SUBSTITUTE($B1380,CHAR(160)," ")),'TRANS'!$D:$D,0)),IFERROR(INDEX('Catalog'!$A:$A,MATCH($B1380,'Catalog'!$B:$B,0)),IFERROR(INDEX('Catalog'!$A:$A,MATCH(TRIM(SUBSTITUTE($B1380,CHAR(160)," ")),'Catalog'!$C:$C,0)),""))))</f>
        <v>4413041</v>
      </c>
      <c r="H1380" s="8" t="str">
        <f aca="false">IFERROR(INDEX('TRANS'!$C:$C,MATCH($B1380,'TRANS'!$A:$A,0)),IFERROR(INDEX('Catalog'!$B:$B,MATCH($G1380,'Catalog'!$A:$A,0)),$B1380))</f>
        <v>34  M מגן קרסול עקב סגור</v>
      </c>
      <c r="I1380" s="8" t="str">
        <f aca="false">IF($G1380="","Unmatched","Matched")</f>
        <v>Matched</v>
      </c>
      <c r="J1380" s="8" t="n">
        <f aca="false">IF($G1380&lt;&gt;"",$G1380,$B1380)</f>
        <v>4413041</v>
      </c>
      <c r="K1380" s="8" t="str">
        <f aca="false">IF(COUNTIF($M$1:$M$10,$A1380)&gt;0,"Y","N")</f>
        <v>Y</v>
      </c>
    </row>
    <row r="1381" customFormat="false" ht="15" hidden="false" customHeight="true" outlineLevel="0" collapsed="false">
      <c r="A1381" s="8" t="s">
        <v>53</v>
      </c>
      <c r="B1381" s="8" t="s">
        <v>984</v>
      </c>
      <c r="C1381" s="19" t="n">
        <v>1</v>
      </c>
      <c r="D1381" s="19" t="n">
        <v>40.58</v>
      </c>
      <c r="E1381" s="19" t="n">
        <v>1</v>
      </c>
      <c r="F1381" s="19" t="n">
        <v>40.58</v>
      </c>
      <c r="G1381" s="8" t="n">
        <f aca="false">IFERROR(INDEX('TRANS'!$B:$B,MATCH($B1381,'TRANS'!$A:$A,0)),IFERROR(INDEX('TRANS'!$B:$B,MATCH(TRIM(SUBSTITUTE($B1381,CHAR(160)," ")),'TRANS'!$D:$D,0)),IFERROR(INDEX('Catalog'!$A:$A,MATCH($B1381,'Catalog'!$B:$B,0)),IFERROR(INDEX('Catalog'!$A:$A,MATCH(TRIM(SUBSTITUTE($B1381,CHAR(160)," ")),'Catalog'!$C:$C,0)),""))))</f>
        <v>4413042</v>
      </c>
      <c r="H1381" s="8" t="str">
        <f aca="false">IFERROR(INDEX('TRANS'!$C:$C,MATCH($B1381,'TRANS'!$A:$A,0)),IFERROR(INDEX('Catalog'!$B:$B,MATCH($G1381,'Catalog'!$A:$A,0)),$B1381))</f>
        <v>34  S מגן קרסול עקב סגור</v>
      </c>
      <c r="I1381" s="8" t="str">
        <f aca="false">IF($G1381="","Unmatched","Matched")</f>
        <v>Matched</v>
      </c>
      <c r="J1381" s="8" t="n">
        <f aca="false">IF($G1381&lt;&gt;"",$G1381,$B1381)</f>
        <v>4413042</v>
      </c>
      <c r="K1381" s="8" t="str">
        <f aca="false">IF(COUNTIF($M$1:$M$10,$A1381)&gt;0,"Y","N")</f>
        <v>Y</v>
      </c>
    </row>
    <row r="1382" customFormat="false" ht="15" hidden="false" customHeight="true" outlineLevel="0" collapsed="false">
      <c r="A1382" s="8" t="s">
        <v>53</v>
      </c>
      <c r="B1382" s="8" t="s">
        <v>916</v>
      </c>
      <c r="C1382" s="19" t="n">
        <v>1</v>
      </c>
      <c r="D1382" s="19" t="n">
        <v>40.58</v>
      </c>
      <c r="E1382" s="19" t="n">
        <v>3</v>
      </c>
      <c r="F1382" s="19" t="n">
        <v>127.98</v>
      </c>
      <c r="G1382" s="8" t="n">
        <f aca="false">IFERROR(INDEX('TRANS'!$B:$B,MATCH($B1382,'TRANS'!$A:$A,0)),IFERROR(INDEX('TRANS'!$B:$B,MATCH(TRIM(SUBSTITUTE($B1382,CHAR(160)," ")),'TRANS'!$D:$D,0)),IFERROR(INDEX('Catalog'!$A:$A,MATCH($B1382,'Catalog'!$B:$B,0)),IFERROR(INDEX('Catalog'!$A:$A,MATCH(TRIM(SUBSTITUTE($B1382,CHAR(160)," ")),'Catalog'!$C:$C,0)),""))))</f>
        <v>4413044</v>
      </c>
      <c r="H1382" s="8" t="str">
        <f aca="false">IFERROR(INDEX('TRANS'!$C:$C,MATCH($B1382,'TRANS'!$A:$A,0)),IFERROR(INDEX('Catalog'!$B:$B,MATCH($G1382,'Catalog'!$A:$A,0)),$B1382))</f>
        <v>34 XL מגן קרסול עקב סגור</v>
      </c>
      <c r="I1382" s="8" t="str">
        <f aca="false">IF($G1382="","Unmatched","Matched")</f>
        <v>Matched</v>
      </c>
      <c r="J1382" s="8" t="n">
        <f aca="false">IF($G1382&lt;&gt;"",$G1382,$B1382)</f>
        <v>4413044</v>
      </c>
      <c r="K1382" s="8" t="str">
        <f aca="false">IF(COUNTIF($M$1:$M$10,$A1382)&gt;0,"Y","N")</f>
        <v>Y</v>
      </c>
    </row>
    <row r="1383" customFormat="false" ht="15" hidden="false" customHeight="true" outlineLevel="0" collapsed="false">
      <c r="A1383" s="8" t="s">
        <v>53</v>
      </c>
      <c r="B1383" s="8" t="s">
        <v>985</v>
      </c>
      <c r="C1383" s="19" t="n">
        <v>0</v>
      </c>
      <c r="D1383" s="19" t="n">
        <v>0</v>
      </c>
      <c r="E1383" s="19" t="n">
        <v>5</v>
      </c>
      <c r="F1383" s="19" t="n">
        <v>202.9</v>
      </c>
      <c r="G1383" s="8" t="n">
        <f aca="false">IFERROR(INDEX('TRANS'!$B:$B,MATCH($B1383,'TRANS'!$A:$A,0)),IFERROR(INDEX('TRANS'!$B:$B,MATCH(TRIM(SUBSTITUTE($B1383,CHAR(160)," ")),'TRANS'!$D:$D,0)),IFERROR(INDEX('Catalog'!$A:$A,MATCH($B1383,'Catalog'!$B:$B,0)),IFERROR(INDEX('Catalog'!$A:$A,MATCH(TRIM(SUBSTITUTE($B1383,CHAR(160)," ")),'Catalog'!$C:$C,0)),""))))</f>
        <v>4413046</v>
      </c>
      <c r="H1383" s="8" t="str">
        <f aca="false">IFERROR(INDEX('TRANS'!$C:$C,MATCH($B1383,'TRANS'!$A:$A,0)),IFERROR(INDEX('Catalog'!$B:$B,MATCH($G1383,'Catalog'!$A:$A,0)),$B1383))</f>
        <v>34 XXL מגן קרסול עקב סגור</v>
      </c>
      <c r="I1383" s="8" t="str">
        <f aca="false">IF($G1383="","Unmatched","Matched")</f>
        <v>Matched</v>
      </c>
      <c r="J1383" s="8" t="n">
        <f aca="false">IF($G1383&lt;&gt;"",$G1383,$B1383)</f>
        <v>4413046</v>
      </c>
      <c r="K1383" s="8" t="str">
        <f aca="false">IF(COUNTIF($M$1:$M$10,$A1383)&gt;0,"Y","N")</f>
        <v>Y</v>
      </c>
    </row>
    <row r="1384" customFormat="false" ht="15" hidden="false" customHeight="true" outlineLevel="0" collapsed="false">
      <c r="A1384" s="8" t="s">
        <v>53</v>
      </c>
      <c r="B1384" s="8" t="s">
        <v>615</v>
      </c>
      <c r="C1384" s="19" t="n">
        <v>8</v>
      </c>
      <c r="D1384" s="19" t="n">
        <v>218.77</v>
      </c>
      <c r="E1384" s="19" t="n">
        <v>2</v>
      </c>
      <c r="F1384" s="19" t="n">
        <v>53.55</v>
      </c>
      <c r="G1384" s="8" t="n">
        <f aca="false">IFERROR(INDEX('TRANS'!$B:$B,MATCH($B1384,'TRANS'!$A:$A,0)),IFERROR(INDEX('TRANS'!$B:$B,MATCH(TRIM(SUBSTITUTE($B1384,CHAR(160)," ")),'TRANS'!$D:$D,0)),IFERROR(INDEX('Catalog'!$A:$A,MATCH($B1384,'Catalog'!$B:$B,0)),IFERROR(INDEX('Catalog'!$A:$A,MATCH(TRIM(SUBSTITUTE($B1384,CHAR(160)," ")),'Catalog'!$C:$C,0)),""))))</f>
        <v>4413490</v>
      </c>
      <c r="H1384" s="8" t="str">
        <f aca="false">IFERROR(INDEX('TRANS'!$C:$C,MATCH($B1384,'TRANS'!$A:$A,0)),IFERROR(INDEX('Catalog'!$B:$B,MATCH($G1384,'Catalog'!$A:$A,0)),$B1384))</f>
        <v>35B L מגן קרסול שחור</v>
      </c>
      <c r="I1384" s="8" t="str">
        <f aca="false">IF($G1384="","Unmatched","Matched")</f>
        <v>Matched</v>
      </c>
      <c r="J1384" s="8" t="n">
        <f aca="false">IF($G1384&lt;&gt;"",$G1384,$B1384)</f>
        <v>4413490</v>
      </c>
      <c r="K1384" s="8" t="str">
        <f aca="false">IF(COUNTIF($M$1:$M$10,$A1384)&gt;0,"Y","N")</f>
        <v>Y</v>
      </c>
    </row>
    <row r="1385" customFormat="false" ht="15" hidden="false" customHeight="true" outlineLevel="0" collapsed="false">
      <c r="A1385" s="8" t="s">
        <v>53</v>
      </c>
      <c r="B1385" s="8" t="s">
        <v>616</v>
      </c>
      <c r="C1385" s="19" t="n">
        <v>10</v>
      </c>
      <c r="D1385" s="19" t="n">
        <v>292.45</v>
      </c>
      <c r="E1385" s="19" t="n">
        <v>0</v>
      </c>
      <c r="F1385" s="19" t="n">
        <v>0</v>
      </c>
      <c r="G1385" s="8" t="n">
        <f aca="false">IFERROR(INDEX('TRANS'!$B:$B,MATCH($B1385,'TRANS'!$A:$A,0)),IFERROR(INDEX('TRANS'!$B:$B,MATCH(TRIM(SUBSTITUTE($B1385,CHAR(160)," ")),'TRANS'!$D:$D,0)),IFERROR(INDEX('Catalog'!$A:$A,MATCH($B1385,'Catalog'!$B:$B,0)),IFERROR(INDEX('Catalog'!$A:$A,MATCH(TRIM(SUBSTITUTE($B1385,CHAR(160)," ")),'Catalog'!$C:$C,0)),""))))</f>
        <v>4413492</v>
      </c>
      <c r="H1385" s="8" t="str">
        <f aca="false">IFERROR(INDEX('TRANS'!$C:$C,MATCH($B1385,'TRANS'!$A:$A,0)),IFERROR(INDEX('Catalog'!$B:$B,MATCH($G1385,'Catalog'!$A:$A,0)),$B1385))</f>
        <v>35B M מגן קרסול שחור</v>
      </c>
      <c r="I1385" s="8" t="str">
        <f aca="false">IF($G1385="","Unmatched","Matched")</f>
        <v>Matched</v>
      </c>
      <c r="J1385" s="8" t="n">
        <f aca="false">IF($G1385&lt;&gt;"",$G1385,$B1385)</f>
        <v>4413492</v>
      </c>
      <c r="K1385" s="8" t="str">
        <f aca="false">IF(COUNTIF($M$1:$M$10,$A1385)&gt;0,"Y","N")</f>
        <v>Y</v>
      </c>
    </row>
    <row r="1386" customFormat="false" ht="15" hidden="false" customHeight="true" outlineLevel="0" collapsed="false">
      <c r="A1386" s="8" t="s">
        <v>53</v>
      </c>
      <c r="B1386" s="8" t="s">
        <v>617</v>
      </c>
      <c r="C1386" s="19" t="n">
        <v>5</v>
      </c>
      <c r="D1386" s="19" t="n">
        <v>130.21</v>
      </c>
      <c r="E1386" s="19" t="n">
        <v>0</v>
      </c>
      <c r="F1386" s="19" t="n">
        <v>0</v>
      </c>
      <c r="G1386" s="8" t="n">
        <f aca="false">IFERROR(INDEX('TRANS'!$B:$B,MATCH($B1386,'TRANS'!$A:$A,0)),IFERROR(INDEX('TRANS'!$B:$B,MATCH(TRIM(SUBSTITUTE($B1386,CHAR(160)," ")),'TRANS'!$D:$D,0)),IFERROR(INDEX('Catalog'!$A:$A,MATCH($B1386,'Catalog'!$B:$B,0)),IFERROR(INDEX('Catalog'!$A:$A,MATCH(TRIM(SUBSTITUTE($B1386,CHAR(160)," ")),'Catalog'!$C:$C,0)),""))))</f>
        <v>4413493</v>
      </c>
      <c r="H1386" s="8" t="str">
        <f aca="false">IFERROR(INDEX('TRANS'!$C:$C,MATCH($B1386,'TRANS'!$A:$A,0)),IFERROR(INDEX('Catalog'!$B:$B,MATCH($G1386,'Catalog'!$A:$A,0)),$B1386))</f>
        <v>35B S מגן קרסול שחור</v>
      </c>
      <c r="I1386" s="8" t="str">
        <f aca="false">IF($G1386="","Unmatched","Matched")</f>
        <v>Matched</v>
      </c>
      <c r="J1386" s="8" t="n">
        <f aca="false">IF($G1386&lt;&gt;"",$G1386,$B1386)</f>
        <v>4413493</v>
      </c>
      <c r="K1386" s="8" t="str">
        <f aca="false">IF(COUNTIF($M$1:$M$10,$A1386)&gt;0,"Y","N")</f>
        <v>Y</v>
      </c>
    </row>
    <row r="1387" customFormat="false" ht="15" hidden="false" customHeight="true" outlineLevel="0" collapsed="false">
      <c r="A1387" s="8" t="s">
        <v>53</v>
      </c>
      <c r="B1387" s="8" t="s">
        <v>618</v>
      </c>
      <c r="C1387" s="19" t="n">
        <v>6</v>
      </c>
      <c r="D1387" s="19" t="n">
        <v>168.88</v>
      </c>
      <c r="E1387" s="19" t="n">
        <v>4</v>
      </c>
      <c r="F1387" s="19" t="n">
        <v>107.09</v>
      </c>
      <c r="G1387" s="8" t="n">
        <f aca="false">IFERROR(INDEX('TRANS'!$B:$B,MATCH($B1387,'TRANS'!$A:$A,0)),IFERROR(INDEX('TRANS'!$B:$B,MATCH(TRIM(SUBSTITUTE($B1387,CHAR(160)," ")),'TRANS'!$D:$D,0)),IFERROR(INDEX('Catalog'!$A:$A,MATCH($B1387,'Catalog'!$B:$B,0)),IFERROR(INDEX('Catalog'!$A:$A,MATCH(TRIM(SUBSTITUTE($B1387,CHAR(160)," ")),'Catalog'!$C:$C,0)),""))))</f>
        <v>4413491</v>
      </c>
      <c r="H1387" s="8" t="str">
        <f aca="false">IFERROR(INDEX('TRANS'!$C:$C,MATCH($B1387,'TRANS'!$A:$A,0)),IFERROR(INDEX('Catalog'!$B:$B,MATCH($G1387,'Catalog'!$A:$A,0)),$B1387))</f>
        <v>35B XL מגן קרסול שחור</v>
      </c>
      <c r="I1387" s="8" t="str">
        <f aca="false">IF($G1387="","Unmatched","Matched")</f>
        <v>Matched</v>
      </c>
      <c r="J1387" s="8" t="n">
        <f aca="false">IF($G1387&lt;&gt;"",$G1387,$B1387)</f>
        <v>4413491</v>
      </c>
      <c r="K1387" s="8" t="str">
        <f aca="false">IF(COUNTIF($M$1:$M$10,$A1387)&gt;0,"Y","N")</f>
        <v>Y</v>
      </c>
    </row>
    <row r="1388" customFormat="false" ht="15" hidden="false" customHeight="true" outlineLevel="0" collapsed="false">
      <c r="A1388" s="8" t="s">
        <v>53</v>
      </c>
      <c r="B1388" s="8" t="s">
        <v>623</v>
      </c>
      <c r="C1388" s="19" t="n">
        <v>2</v>
      </c>
      <c r="D1388" s="19" t="n">
        <v>89.89</v>
      </c>
      <c r="E1388" s="19" t="n">
        <v>4</v>
      </c>
      <c r="F1388" s="19" t="n">
        <v>155.82</v>
      </c>
      <c r="G1388" s="8" t="n">
        <f aca="false">IFERROR(INDEX('TRANS'!$B:$B,MATCH($B1388,'TRANS'!$A:$A,0)),IFERROR(INDEX('TRANS'!$B:$B,MATCH(TRIM(SUBSTITUTE($B1388,CHAR(160)," ")),'TRANS'!$D:$D,0)),IFERROR(INDEX('Catalog'!$A:$A,MATCH($B1388,'Catalog'!$B:$B,0)),IFERROR(INDEX('Catalog'!$A:$A,MATCH(TRIM(SUBSTITUTE($B1388,CHAR(160)," ")),'Catalog'!$C:$C,0)),""))))</f>
        <v>4421007</v>
      </c>
      <c r="H1388" s="8" t="str">
        <f aca="false">IFERROR(INDEX('TRANS'!$C:$C,MATCH($B1388,'TRANS'!$A:$A,0)),IFERROR(INDEX('Catalog'!$B:$B,MATCH($G1388,'Catalog'!$A:$A,0)),$B1388))</f>
        <v>שרוול לגבס קצר רגל</v>
      </c>
      <c r="I1388" s="8" t="str">
        <f aca="false">IF($G1388="","Unmatched","Matched")</f>
        <v>Matched</v>
      </c>
      <c r="J1388" s="8" t="n">
        <f aca="false">IF($G1388&lt;&gt;"",$G1388,$B1388)</f>
        <v>4421007</v>
      </c>
      <c r="K1388" s="8" t="str">
        <f aca="false">IF(COUNTIF($M$1:$M$10,$A1388)&gt;0,"Y","N")</f>
        <v>Y</v>
      </c>
    </row>
    <row r="1389" customFormat="false" ht="15" hidden="false" customHeight="true" outlineLevel="0" collapsed="false">
      <c r="A1389" s="8" t="s">
        <v>53</v>
      </c>
      <c r="B1389" s="8" t="s">
        <v>625</v>
      </c>
      <c r="C1389" s="19" t="n">
        <v>7</v>
      </c>
      <c r="D1389" s="19" t="n">
        <v>340.96</v>
      </c>
      <c r="E1389" s="19" t="n">
        <v>0</v>
      </c>
      <c r="F1389" s="19" t="n">
        <v>0</v>
      </c>
      <c r="G1389" s="8" t="n">
        <f aca="false">IFERROR(INDEX('TRANS'!$B:$B,MATCH($B1389,'TRANS'!$A:$A,0)),IFERROR(INDEX('TRANS'!$B:$B,MATCH(TRIM(SUBSTITUTE($B1389,CHAR(160)," ")),'TRANS'!$D:$D,0)),IFERROR(INDEX('Catalog'!$A:$A,MATCH($B1389,'Catalog'!$B:$B,0)),IFERROR(INDEX('Catalog'!$A:$A,MATCH(TRIM(SUBSTITUTE($B1389,CHAR(160)," ")),'Catalog'!$C:$C,0)),""))))</f>
        <v>4421001</v>
      </c>
      <c r="H1389" s="8" t="str">
        <f aca="false">IFERROR(INDEX('TRANS'!$C:$C,MATCH($B1389,'TRANS'!$A:$A,0)),IFERROR(INDEX('Catalog'!$B:$B,MATCH($G1389,'Catalog'!$A:$A,0)),$B1389))</f>
        <v>3611 שרוול מטטרזלי מסיליקון</v>
      </c>
      <c r="I1389" s="8" t="str">
        <f aca="false">IF($G1389="","Unmatched","Matched")</f>
        <v>Matched</v>
      </c>
      <c r="J1389" s="8" t="n">
        <f aca="false">IF($G1389&lt;&gt;"",$G1389,$B1389)</f>
        <v>4421001</v>
      </c>
      <c r="K1389" s="8" t="str">
        <f aca="false">IF(COUNTIF($M$1:$M$10,$A1389)&gt;0,"Y","N")</f>
        <v>Y</v>
      </c>
    </row>
    <row r="1390" customFormat="false" ht="15" hidden="false" customHeight="true" outlineLevel="0" collapsed="false">
      <c r="A1390" s="8" t="s">
        <v>53</v>
      </c>
      <c r="B1390" s="8" t="s">
        <v>627</v>
      </c>
      <c r="C1390" s="19" t="n">
        <v>6</v>
      </c>
      <c r="D1390" s="19" t="n">
        <v>170.4</v>
      </c>
      <c r="E1390" s="19" t="n">
        <v>0</v>
      </c>
      <c r="F1390" s="19" t="n">
        <v>0</v>
      </c>
      <c r="G1390" s="8" t="n">
        <f aca="false">IFERROR(INDEX('TRANS'!$B:$B,MATCH($B1390,'TRANS'!$A:$A,0)),IFERROR(INDEX('TRANS'!$B:$B,MATCH(TRIM(SUBSTITUTE($B1390,CHAR(160)," ")),'TRANS'!$D:$D,0)),IFERROR(INDEX('Catalog'!$A:$A,MATCH($B1390,'Catalog'!$B:$B,0)),IFERROR(INDEX('Catalog'!$A:$A,MATCH(TRIM(SUBSTITUTE($B1390,CHAR(160)," ")),'Catalog'!$C:$C,0)),""))))</f>
        <v>4413058</v>
      </c>
      <c r="H1390" s="8" t="str">
        <f aca="false">IFERROR(INDEX('TRANS'!$C:$C,MATCH($B1390,'TRANS'!$A:$A,0)),IFERROR(INDEX('Catalog'!$B:$B,MATCH($G1390,'Catalog'!$A:$A,0)),$B1390))</f>
        <v>3622S מדבקה לשחרור לחץ 2 יח</v>
      </c>
      <c r="I1390" s="8" t="str">
        <f aca="false">IF($G1390="","Unmatched","Matched")</f>
        <v>Matched</v>
      </c>
      <c r="J1390" s="8" t="n">
        <f aca="false">IF($G1390&lt;&gt;"",$G1390,$B1390)</f>
        <v>4413058</v>
      </c>
      <c r="K1390" s="8" t="str">
        <f aca="false">IF(COUNTIF($M$1:$M$10,$A1390)&gt;0,"Y","N")</f>
        <v>Y</v>
      </c>
    </row>
    <row r="1391" customFormat="false" ht="15" hidden="false" customHeight="true" outlineLevel="0" collapsed="false">
      <c r="A1391" s="8" t="s">
        <v>53</v>
      </c>
      <c r="B1391" s="8" t="s">
        <v>628</v>
      </c>
      <c r="C1391" s="19" t="n">
        <v>4</v>
      </c>
      <c r="D1391" s="19" t="n">
        <v>102.76</v>
      </c>
      <c r="E1391" s="19" t="n">
        <v>1</v>
      </c>
      <c r="F1391" s="19" t="n">
        <v>28.54</v>
      </c>
      <c r="G1391" s="8" t="n">
        <f aca="false">IFERROR(INDEX('TRANS'!$B:$B,MATCH($B1391,'TRANS'!$A:$A,0)),IFERROR(INDEX('TRANS'!$B:$B,MATCH(TRIM(SUBSTITUTE($B1391,CHAR(160)," ")),'TRANS'!$D:$D,0)),IFERROR(INDEX('Catalog'!$A:$A,MATCH($B1391,'Catalog'!$B:$B,0)),IFERROR(INDEX('Catalog'!$A:$A,MATCH(TRIM(SUBSTITUTE($B1391,CHAR(160)," ")),'Catalog'!$C:$C,0)),""))))</f>
        <v>4411001</v>
      </c>
      <c r="H1391" s="8" t="str">
        <f aca="false">IFERROR(INDEX('TRANS'!$C:$C,MATCH($B1391,'TRANS'!$A:$A,0)),IFERROR(INDEX('Catalog'!$B:$B,MATCH($G1391,'Catalog'!$A:$A,0)),$B1391))</f>
        <v>3623 כרית ליישור אצבע פטיש</v>
      </c>
      <c r="I1391" s="8" t="str">
        <f aca="false">IF($G1391="","Unmatched","Matched")</f>
        <v>Matched</v>
      </c>
      <c r="J1391" s="8" t="n">
        <f aca="false">IF($G1391&lt;&gt;"",$G1391,$B1391)</f>
        <v>4411001</v>
      </c>
      <c r="K1391" s="8" t="str">
        <f aca="false">IF(COUNTIF($M$1:$M$10,$A1391)&gt;0,"Y","N")</f>
        <v>Y</v>
      </c>
    </row>
    <row r="1392" customFormat="false" ht="15" hidden="false" customHeight="true" outlineLevel="0" collapsed="false">
      <c r="A1392" s="8" t="s">
        <v>53</v>
      </c>
      <c r="B1392" s="8" t="s">
        <v>629</v>
      </c>
      <c r="C1392" s="19" t="n">
        <v>7</v>
      </c>
      <c r="D1392" s="19" t="n">
        <v>95.57</v>
      </c>
      <c r="E1392" s="19" t="n">
        <v>5</v>
      </c>
      <c r="F1392" s="19" t="n">
        <v>72.41</v>
      </c>
      <c r="G1392" s="8" t="n">
        <f aca="false">IFERROR(INDEX('TRANS'!$B:$B,MATCH($B1392,'TRANS'!$A:$A,0)),IFERROR(INDEX('TRANS'!$B:$B,MATCH(TRIM(SUBSTITUTE($B1392,CHAR(160)," ")),'TRANS'!$D:$D,0)),IFERROR(INDEX('Catalog'!$A:$A,MATCH($B1392,'Catalog'!$B:$B,0)),IFERROR(INDEX('Catalog'!$A:$A,MATCH(TRIM(SUBSTITUTE($B1392,CHAR(160)," ")),'Catalog'!$C:$C,0)),""))))</f>
        <v>4413059</v>
      </c>
      <c r="H1392" s="8" t="str">
        <f aca="false">IFERROR(INDEX('TRANS'!$C:$C,MATCH($B1392,'TRANS'!$A:$A,0)),IFERROR(INDEX('Catalog'!$B:$B,MATCH($G1392,'Catalog'!$A:$A,0)),$B1392))</f>
        <v>364S Lמפר.אצבע סיליק. ליבל.זוג</v>
      </c>
      <c r="I1392" s="8" t="str">
        <f aca="false">IF($G1392="","Unmatched","Matched")</f>
        <v>Matched</v>
      </c>
      <c r="J1392" s="8" t="n">
        <f aca="false">IF($G1392&lt;&gt;"",$G1392,$B1392)</f>
        <v>4413059</v>
      </c>
      <c r="K1392" s="8" t="str">
        <f aca="false">IF(COUNTIF($M$1:$M$10,$A1392)&gt;0,"Y","N")</f>
        <v>Y</v>
      </c>
    </row>
    <row r="1393" customFormat="false" ht="15" hidden="false" customHeight="true" outlineLevel="0" collapsed="false">
      <c r="A1393" s="8" t="s">
        <v>53</v>
      </c>
      <c r="B1393" s="8" t="s">
        <v>630</v>
      </c>
      <c r="C1393" s="19" t="n">
        <v>5</v>
      </c>
      <c r="D1393" s="19" t="n">
        <v>66.61</v>
      </c>
      <c r="E1393" s="19" t="n">
        <v>8</v>
      </c>
      <c r="F1393" s="19" t="n">
        <v>115.86</v>
      </c>
      <c r="G1393" s="8" t="n">
        <f aca="false">IFERROR(INDEX('TRANS'!$B:$B,MATCH($B1393,'TRANS'!$A:$A,0)),IFERROR(INDEX('TRANS'!$B:$B,MATCH(TRIM(SUBSTITUTE($B1393,CHAR(160)," ")),'TRANS'!$D:$D,0)),IFERROR(INDEX('Catalog'!$A:$A,MATCH($B1393,'Catalog'!$B:$B,0)),IFERROR(INDEX('Catalog'!$A:$A,MATCH(TRIM(SUBSTITUTE($B1393,CHAR(160)," ")),'Catalog'!$C:$C,0)),""))))</f>
        <v>4413060</v>
      </c>
      <c r="H1393" s="8" t="str">
        <f aca="false">IFERROR(INDEX('TRANS'!$C:$C,MATCH($B1393,'TRANS'!$A:$A,0)),IFERROR(INDEX('Catalog'!$B:$B,MATCH($G1393,'Catalog'!$A:$A,0)),$B1393))</f>
        <v>364 XLמפריד אצבע סיליקון ליבלת</v>
      </c>
      <c r="I1393" s="8" t="str">
        <f aca="false">IF($G1393="","Unmatched","Matched")</f>
        <v>Matched</v>
      </c>
      <c r="J1393" s="8" t="n">
        <f aca="false">IF($G1393&lt;&gt;"",$G1393,$B1393)</f>
        <v>4413060</v>
      </c>
      <c r="K1393" s="8" t="str">
        <f aca="false">IF(COUNTIF($M$1:$M$10,$A1393)&gt;0,"Y","N")</f>
        <v>Y</v>
      </c>
    </row>
    <row r="1394" customFormat="false" ht="15" hidden="false" customHeight="true" outlineLevel="0" collapsed="false">
      <c r="A1394" s="8" t="s">
        <v>53</v>
      </c>
      <c r="B1394" s="8" t="s">
        <v>190</v>
      </c>
      <c r="C1394" s="19" t="n">
        <v>0</v>
      </c>
      <c r="D1394" s="19" t="n">
        <v>0</v>
      </c>
      <c r="E1394" s="19" t="n">
        <v>4</v>
      </c>
      <c r="F1394" s="19" t="n">
        <v>50.21</v>
      </c>
      <c r="G1394" s="8" t="str">
        <f aca="false">IFERROR(INDEX('TRANS'!$B:$B,MATCH($B1394,'TRANS'!$A:$A,0)),IFERROR(INDEX('TRANS'!$B:$B,MATCH(TRIM(SUBSTITUTE($B1394,CHAR(160)," ")),'TRANS'!$D:$D,0)),IFERROR(INDEX('Catalog'!$A:$A,MATCH($B1394,'Catalog'!$B:$B,0)),IFERROR(INDEX('Catalog'!$A:$A,MATCH(TRIM(SUBSTITUTE($B1394,CHAR(160)," ")),'Catalog'!$C:$C,0)),""))))</f>
        <v/>
      </c>
      <c r="H1394" s="8" t="str">
        <f aca="false">IFERROR(INDEX('TRANS'!$C:$C,MATCH($B1394,'TRANS'!$A:$A,0)),IFERROR(INDEX('Catalog'!$B:$B,MATCH($G1394,'Catalog'!$A:$A,0)),$B1394))</f>
        <v>364XL+ 0</v>
      </c>
      <c r="I1394" s="8" t="str">
        <f aca="false">IF($G1394="","Unmatched","Matched")</f>
        <v>Unmatched</v>
      </c>
      <c r="J1394" s="8" t="str">
        <f aca="false">IF($G1394&lt;&gt;"",$G1394,$B1394)</f>
        <v>364XL+ 0</v>
      </c>
      <c r="K1394" s="8" t="str">
        <f aca="false">IF(COUNTIF($M$1:$M$10,$A1394)&gt;0,"Y","N")</f>
        <v>Y</v>
      </c>
    </row>
    <row r="1395" customFormat="false" ht="15" hidden="false" customHeight="true" outlineLevel="0" collapsed="false">
      <c r="A1395" s="8" t="s">
        <v>53</v>
      </c>
      <c r="B1395" s="8" t="s">
        <v>631</v>
      </c>
      <c r="C1395" s="19" t="n">
        <v>5</v>
      </c>
      <c r="D1395" s="19" t="n">
        <v>96.81</v>
      </c>
      <c r="E1395" s="19" t="n">
        <v>0</v>
      </c>
      <c r="F1395" s="19" t="n">
        <v>0</v>
      </c>
      <c r="G1395" s="8" t="n">
        <f aca="false">IFERROR(INDEX('TRANS'!$B:$B,MATCH($B1395,'TRANS'!$A:$A,0)),IFERROR(INDEX('TRANS'!$B:$B,MATCH(TRIM(SUBSTITUTE($B1395,CHAR(160)," ")),'TRANS'!$D:$D,0)),IFERROR(INDEX('Catalog'!$A:$A,MATCH($B1395,'Catalog'!$B:$B,0)),IFERROR(INDEX('Catalog'!$A:$A,MATCH(TRIM(SUBSTITUTE($B1395,CHAR(160)," ")),'Catalog'!$C:$C,0)),""))))</f>
        <v>4413061</v>
      </c>
      <c r="H1395" s="8" t="str">
        <f aca="false">IFERROR(INDEX('TRANS'!$C:$C,MATCH($B1395,'TRANS'!$A:$A,0)),IFERROR(INDEX('Catalog'!$B:$B,MATCH($G1395,'Catalog'!$A:$A,0)),$B1395))</f>
        <v>3641-מיישר בוהן סיליקון קשיח</v>
      </c>
      <c r="I1395" s="8" t="str">
        <f aca="false">IF($G1395="","Unmatched","Matched")</f>
        <v>Matched</v>
      </c>
      <c r="J1395" s="8" t="n">
        <f aca="false">IF($G1395&lt;&gt;"",$G1395,$B1395)</f>
        <v>4413061</v>
      </c>
      <c r="K1395" s="8" t="str">
        <f aca="false">IF(COUNTIF($M$1:$M$10,$A1395)&gt;0,"Y","N")</f>
        <v>Y</v>
      </c>
    </row>
    <row r="1396" customFormat="false" ht="15" hidden="false" customHeight="true" outlineLevel="0" collapsed="false">
      <c r="A1396" s="8" t="s">
        <v>53</v>
      </c>
      <c r="B1396" s="8" t="s">
        <v>632</v>
      </c>
      <c r="C1396" s="19" t="n">
        <v>3</v>
      </c>
      <c r="D1396" s="19" t="n">
        <v>37.65</v>
      </c>
      <c r="E1396" s="19" t="n">
        <v>0</v>
      </c>
      <c r="F1396" s="19" t="n">
        <v>0</v>
      </c>
      <c r="G1396" s="8" t="n">
        <f aca="false">IFERROR(INDEX('TRANS'!$B:$B,MATCH($B1396,'TRANS'!$A:$A,0)),IFERROR(INDEX('TRANS'!$B:$B,MATCH(TRIM(SUBSTITUTE($B1396,CHAR(160)," ")),'TRANS'!$D:$D,0)),IFERROR(INDEX('Catalog'!$A:$A,MATCH($B1396,'Catalog'!$B:$B,0)),IFERROR(INDEX('Catalog'!$A:$A,MATCH(TRIM(SUBSTITUTE($B1396,CHAR(160)," ")),'Catalog'!$C:$C,0)),""))))</f>
        <v>4409000</v>
      </c>
      <c r="H1396" s="8" t="str">
        <f aca="false">IFERROR(INDEX('TRANS'!$C:$C,MATCH($B1396,'TRANS'!$A:$A,0)),IFERROR(INDEX('Catalog'!$B:$B,MATCH($G1396,'Catalog'!$A:$A,0)),$B1396))</f>
        <v>365 S-Lטבעת אלסטית מסיליקון</v>
      </c>
      <c r="I1396" s="8" t="str">
        <f aca="false">IF($G1396="","Unmatched","Matched")</f>
        <v>Matched</v>
      </c>
      <c r="J1396" s="8" t="n">
        <f aca="false">IF($G1396&lt;&gt;"",$G1396,$B1396)</f>
        <v>4409000</v>
      </c>
      <c r="K1396" s="8" t="str">
        <f aca="false">IF(COUNTIF($M$1:$M$10,$A1396)&gt;0,"Y","N")</f>
        <v>Y</v>
      </c>
    </row>
    <row r="1397" customFormat="false" ht="15" hidden="false" customHeight="true" outlineLevel="0" collapsed="false">
      <c r="A1397" s="8" t="s">
        <v>53</v>
      </c>
      <c r="B1397" s="8" t="s">
        <v>868</v>
      </c>
      <c r="C1397" s="19" t="n">
        <v>3</v>
      </c>
      <c r="D1397" s="19" t="n">
        <v>36.45</v>
      </c>
      <c r="E1397" s="19" t="n">
        <v>0</v>
      </c>
      <c r="F1397" s="19" t="n">
        <v>0</v>
      </c>
      <c r="G1397" s="8" t="n">
        <f aca="false">IFERROR(INDEX('TRANS'!$B:$B,MATCH($B1397,'TRANS'!$A:$A,0)),IFERROR(INDEX('TRANS'!$B:$B,MATCH(TRIM(SUBSTITUTE($B1397,CHAR(160)," ")),'TRANS'!$D:$D,0)),IFERROR(INDEX('Catalog'!$A:$A,MATCH($B1397,'Catalog'!$B:$B,0)),IFERROR(INDEX('Catalog'!$A:$A,MATCH(TRIM(SUBSTITUTE($B1397,CHAR(160)," ")),'Catalog'!$C:$C,0)),""))))</f>
        <v>4409001</v>
      </c>
      <c r="H1397" s="8" t="str">
        <f aca="false">IFERROR(INDEX('TRANS'!$C:$C,MATCH($B1397,'TRANS'!$A:$A,0)),IFERROR(INDEX('Catalog'!$B:$B,MATCH($G1397,'Catalog'!$A:$A,0)),$B1397))</f>
        <v>365  X-Lטבעת אלסטית מסיליקון</v>
      </c>
      <c r="I1397" s="8" t="str">
        <f aca="false">IF($G1397="","Unmatched","Matched")</f>
        <v>Matched</v>
      </c>
      <c r="J1397" s="8" t="n">
        <f aca="false">IF($G1397&lt;&gt;"",$G1397,$B1397)</f>
        <v>4409001</v>
      </c>
      <c r="K1397" s="8" t="str">
        <f aca="false">IF(COUNTIF($M$1:$M$10,$A1397)&gt;0,"Y","N")</f>
        <v>Y</v>
      </c>
    </row>
    <row r="1398" customFormat="false" ht="15" hidden="false" customHeight="true" outlineLevel="0" collapsed="false">
      <c r="A1398" s="8" t="s">
        <v>53</v>
      </c>
      <c r="B1398" s="8" t="s">
        <v>633</v>
      </c>
      <c r="C1398" s="19" t="n">
        <v>6</v>
      </c>
      <c r="D1398" s="19" t="n">
        <v>97.27</v>
      </c>
      <c r="E1398" s="19" t="n">
        <v>2</v>
      </c>
      <c r="F1398" s="19" t="n">
        <v>37.41</v>
      </c>
      <c r="G1398" s="8" t="n">
        <f aca="false">IFERROR(INDEX('TRANS'!$B:$B,MATCH($B1398,'TRANS'!$A:$A,0)),IFERROR(INDEX('TRANS'!$B:$B,MATCH(TRIM(SUBSTITUTE($B1398,CHAR(160)," ")),'TRANS'!$D:$D,0)),IFERROR(INDEX('Catalog'!$A:$A,MATCH($B1398,'Catalog'!$B:$B,0)),IFERROR(INDEX('Catalog'!$A:$A,MATCH(TRIM(SUBSTITUTE($B1398,CHAR(160)," ")),'Catalog'!$C:$C,0)),""))))</f>
        <v>4421000</v>
      </c>
      <c r="H1398" s="8" t="str">
        <f aca="false">IFERROR(INDEX('TRANS'!$C:$C,MATCH($B1398,'TRANS'!$A:$A,0)),IFERROR(INDEX('Catalog'!$B:$B,MATCH($G1398,'Catalog'!$A:$A,0)),$B1398))</f>
        <v>3655 שרוול מסיליקון לאצבע</v>
      </c>
      <c r="I1398" s="8" t="str">
        <f aca="false">IF($G1398="","Unmatched","Matched")</f>
        <v>Matched</v>
      </c>
      <c r="J1398" s="8" t="n">
        <f aca="false">IF($G1398&lt;&gt;"",$G1398,$B1398)</f>
        <v>4421000</v>
      </c>
      <c r="K1398" s="8" t="str">
        <f aca="false">IF(COUNTIF($M$1:$M$10,$A1398)&gt;0,"Y","N")</f>
        <v>Y</v>
      </c>
    </row>
    <row r="1399" customFormat="false" ht="15" hidden="false" customHeight="true" outlineLevel="0" collapsed="false">
      <c r="A1399" s="8" t="s">
        <v>53</v>
      </c>
      <c r="B1399" s="8" t="s">
        <v>635</v>
      </c>
      <c r="C1399" s="19" t="n">
        <v>4</v>
      </c>
      <c r="D1399" s="19" t="n">
        <v>117.97</v>
      </c>
      <c r="E1399" s="19" t="n">
        <v>0</v>
      </c>
      <c r="F1399" s="19" t="n">
        <v>0</v>
      </c>
      <c r="G1399" s="8" t="n">
        <f aca="false">IFERROR(INDEX('TRANS'!$B:$B,MATCH($B1399,'TRANS'!$A:$A,0)),IFERROR(INDEX('TRANS'!$B:$B,MATCH(TRIM(SUBSTITUTE($B1399,CHAR(160)," ")),'TRANS'!$D:$D,0)),IFERROR(INDEX('Catalog'!$A:$A,MATCH($B1399,'Catalog'!$B:$B,0)),IFERROR(INDEX('Catalog'!$A:$A,MATCH(TRIM(SUBSTITUTE($B1399,CHAR(160)," ")),'Catalog'!$C:$C,0)),""))))</f>
        <v>4413307</v>
      </c>
      <c r="H1399" s="8" t="str">
        <f aca="false">IFERROR(INDEX('TRANS'!$C:$C,MATCH($B1399,'TRANS'!$A:$A,0)),IFERROR(INDEX('Catalog'!$B:$B,MATCH($G1399,'Catalog'!$A:$A,0)),$B1399))</f>
        <v>URI 3667 מגן בוניון</v>
      </c>
      <c r="I1399" s="8" t="str">
        <f aca="false">IF($G1399="","Unmatched","Matched")</f>
        <v>Matched</v>
      </c>
      <c r="J1399" s="8" t="n">
        <f aca="false">IF($G1399&lt;&gt;"",$G1399,$B1399)</f>
        <v>4413307</v>
      </c>
      <c r="K1399" s="8" t="str">
        <f aca="false">IF(COUNTIF($M$1:$M$10,$A1399)&gt;0,"Y","N")</f>
        <v>Y</v>
      </c>
    </row>
    <row r="1400" customFormat="false" ht="15" hidden="false" customHeight="true" outlineLevel="0" collapsed="false">
      <c r="A1400" s="8" t="s">
        <v>53</v>
      </c>
      <c r="B1400" s="8" t="s">
        <v>638</v>
      </c>
      <c r="C1400" s="19" t="n">
        <v>5</v>
      </c>
      <c r="D1400" s="19" t="n">
        <v>185.24</v>
      </c>
      <c r="E1400" s="19" t="n">
        <v>4</v>
      </c>
      <c r="F1400" s="19" t="n">
        <v>161.07</v>
      </c>
      <c r="G1400" s="8" t="n">
        <f aca="false">IFERROR(INDEX('TRANS'!$B:$B,MATCH($B1400,'TRANS'!$A:$A,0)),IFERROR(INDEX('TRANS'!$B:$B,MATCH(TRIM(SUBSTITUTE($B1400,CHAR(160)," ")),'TRANS'!$D:$D,0)),IFERROR(INDEX('Catalog'!$A:$A,MATCH($B1400,'Catalog'!$B:$B,0)),IFERROR(INDEX('Catalog'!$A:$A,MATCH(TRIM(SUBSTITUTE($B1400,CHAR(160)," ")),'Catalog'!$C:$C,0)),""))))</f>
        <v>4413370</v>
      </c>
      <c r="H1400" s="8" t="str">
        <f aca="false">IFERROR(INDEX('TRANS'!$C:$C,MATCH($B1400,'TRANS'!$A:$A,0)),IFERROR(INDEX('Catalog'!$B:$B,MATCH($G1400,'Catalog'!$A:$A,0)),$B1400))</f>
        <v>3674 0 מ.בוניון+מפריד אצבע</v>
      </c>
      <c r="I1400" s="8" t="str">
        <f aca="false">IF($G1400="","Unmatched","Matched")</f>
        <v>Matched</v>
      </c>
      <c r="J1400" s="8" t="n">
        <f aca="false">IF($G1400&lt;&gt;"",$G1400,$B1400)</f>
        <v>4413370</v>
      </c>
      <c r="K1400" s="8" t="str">
        <f aca="false">IF(COUNTIF($M$1:$M$10,$A1400)&gt;0,"Y","N")</f>
        <v>Y</v>
      </c>
    </row>
    <row r="1401" customFormat="false" ht="15" hidden="false" customHeight="true" outlineLevel="0" collapsed="false">
      <c r="A1401" s="8" t="s">
        <v>53</v>
      </c>
      <c r="B1401" s="8" t="s">
        <v>639</v>
      </c>
      <c r="C1401" s="19" t="n">
        <v>3</v>
      </c>
      <c r="D1401" s="19" t="n">
        <v>83.15</v>
      </c>
      <c r="E1401" s="19" t="n">
        <v>0</v>
      </c>
      <c r="F1401" s="19" t="n">
        <v>0</v>
      </c>
      <c r="G1401" s="8" t="n">
        <f aca="false">IFERROR(INDEX('TRANS'!$B:$B,MATCH($B1401,'TRANS'!$A:$A,0)),IFERROR(INDEX('TRANS'!$B:$B,MATCH(TRIM(SUBSTITUTE($B1401,CHAR(160)," ")),'TRANS'!$D:$D,0)),IFERROR(INDEX('Catalog'!$A:$A,MATCH($B1401,'Catalog'!$B:$B,0)),IFERROR(INDEX('Catalog'!$A:$A,MATCH(TRIM(SUBSTITUTE($B1401,CHAR(160)," ")),'Catalog'!$C:$C,0)),""))))</f>
        <v>4413371</v>
      </c>
      <c r="H1401" s="8" t="str">
        <f aca="false">IFERROR(INDEX('TRANS'!$C:$C,MATCH($B1401,'TRANS'!$A:$A,0)),IFERROR(INDEX('Catalog'!$B:$B,MATCH($G1401,'Catalog'!$A:$A,0)),$B1401))</f>
        <v>3675    מגן זרת מסיליקון</v>
      </c>
      <c r="I1401" s="8" t="str">
        <f aca="false">IF($G1401="","Unmatched","Matched")</f>
        <v>Matched</v>
      </c>
      <c r="J1401" s="8" t="n">
        <f aca="false">IF($G1401&lt;&gt;"",$G1401,$B1401)</f>
        <v>4413371</v>
      </c>
      <c r="K1401" s="8" t="str">
        <f aca="false">IF(COUNTIF($M$1:$M$10,$A1401)&gt;0,"Y","N")</f>
        <v>Y</v>
      </c>
    </row>
    <row r="1402" customFormat="false" ht="15" hidden="false" customHeight="true" outlineLevel="0" collapsed="false">
      <c r="A1402" s="8" t="s">
        <v>53</v>
      </c>
      <c r="B1402" s="8" t="s">
        <v>986</v>
      </c>
      <c r="C1402" s="19" t="n">
        <v>3</v>
      </c>
      <c r="D1402" s="19" t="n">
        <v>53.49</v>
      </c>
      <c r="E1402" s="19" t="n">
        <v>0</v>
      </c>
      <c r="F1402" s="19" t="n">
        <v>0</v>
      </c>
      <c r="G1402" s="8" t="n">
        <f aca="false">IFERROR(INDEX('TRANS'!$B:$B,MATCH($B1402,'TRANS'!$A:$A,0)),IFERROR(INDEX('TRANS'!$B:$B,MATCH(TRIM(SUBSTITUTE($B1402,CHAR(160)," ")),'TRANS'!$D:$D,0)),IFERROR(INDEX('Catalog'!$A:$A,MATCH($B1402,'Catalog'!$B:$B,0)),IFERROR(INDEX('Catalog'!$A:$A,MATCH(TRIM(SUBSTITUTE($B1402,CHAR(160)," ")),'Catalog'!$C:$C,0)),""))))</f>
        <v>4413066</v>
      </c>
      <c r="H1402" s="8" t="str">
        <f aca="false">IFERROR(INDEX('TRANS'!$C:$C,MATCH($B1402,'TRANS'!$A:$A,0)),IFERROR(INDEX('Catalog'!$B:$B,MATCH($G1402,'Catalog'!$A:$A,0)),$B1402))</f>
        <v>3677S-מד.לשחרור לחץ א.הבוניון</v>
      </c>
      <c r="I1402" s="8" t="str">
        <f aca="false">IF($G1402="","Unmatched","Matched")</f>
        <v>Matched</v>
      </c>
      <c r="J1402" s="8" t="n">
        <f aca="false">IF($G1402&lt;&gt;"",$G1402,$B1402)</f>
        <v>4413066</v>
      </c>
      <c r="K1402" s="8" t="str">
        <f aca="false">IF(COUNTIF($M$1:$M$10,$A1402)&gt;0,"Y","N")</f>
        <v>Y</v>
      </c>
    </row>
    <row r="1403" customFormat="false" ht="15" hidden="false" customHeight="true" outlineLevel="0" collapsed="false">
      <c r="A1403" s="8" t="s">
        <v>53</v>
      </c>
      <c r="B1403" s="8" t="s">
        <v>640</v>
      </c>
      <c r="C1403" s="19" t="n">
        <v>3</v>
      </c>
      <c r="D1403" s="19" t="n">
        <v>62.03</v>
      </c>
      <c r="E1403" s="19" t="n">
        <v>0</v>
      </c>
      <c r="F1403" s="19" t="n">
        <v>0</v>
      </c>
      <c r="G1403" s="8" t="n">
        <f aca="false">IFERROR(INDEX('TRANS'!$B:$B,MATCH($B1403,'TRANS'!$A:$A,0)),IFERROR(INDEX('TRANS'!$B:$B,MATCH(TRIM(SUBSTITUTE($B1403,CHAR(160)," ")),'TRANS'!$D:$D,0)),IFERROR(INDEX('Catalog'!$A:$A,MATCH($B1403,'Catalog'!$B:$B,0)),IFERROR(INDEX('Catalog'!$A:$A,MATCH(TRIM(SUBSTITUTE($B1403,CHAR(160)," ")),'Catalog'!$C:$C,0)),""))))</f>
        <v>4401000</v>
      </c>
      <c r="H1403" s="8" t="str">
        <f aca="false">IFERROR(INDEX('TRANS'!$C:$C,MATCH($B1403,'TRANS'!$A:$A,0)),IFERROR(INDEX('Catalog'!$B:$B,MATCH($G1403,'Catalog'!$A:$A,0)),$B1403))</f>
        <v>369  S-L אצבעון מסיליקון יחידה</v>
      </c>
      <c r="I1403" s="8" t="str">
        <f aca="false">IF($G1403="","Unmatched","Matched")</f>
        <v>Matched</v>
      </c>
      <c r="J1403" s="8" t="n">
        <f aca="false">IF($G1403&lt;&gt;"",$G1403,$B1403)</f>
        <v>4401000</v>
      </c>
      <c r="K1403" s="8" t="str">
        <f aca="false">IF(COUNTIF($M$1:$M$10,$A1403)&gt;0,"Y","N")</f>
        <v>Y</v>
      </c>
    </row>
    <row r="1404" customFormat="false" ht="15" hidden="false" customHeight="true" outlineLevel="0" collapsed="false">
      <c r="A1404" s="8" t="s">
        <v>53</v>
      </c>
      <c r="B1404" s="8" t="s">
        <v>641</v>
      </c>
      <c r="C1404" s="19" t="n">
        <v>3</v>
      </c>
      <c r="D1404" s="19" t="n">
        <v>68.11</v>
      </c>
      <c r="E1404" s="19" t="n">
        <v>0</v>
      </c>
      <c r="F1404" s="19" t="n">
        <v>0</v>
      </c>
      <c r="G1404" s="8" t="n">
        <f aca="false">IFERROR(INDEX('TRANS'!$B:$B,MATCH($B1404,'TRANS'!$A:$A,0)),IFERROR(INDEX('TRANS'!$B:$B,MATCH(TRIM(SUBSTITUTE($B1404,CHAR(160)," ")),'TRANS'!$D:$D,0)),IFERROR(INDEX('Catalog'!$A:$A,MATCH($B1404,'Catalog'!$B:$B,0)),IFERROR(INDEX('Catalog'!$A:$A,MATCH(TRIM(SUBSTITUTE($B1404,CHAR(160)," ")),'Catalog'!$C:$C,0)),""))))</f>
        <v>4401001</v>
      </c>
      <c r="H1404" s="8" t="str">
        <f aca="false">IFERROR(INDEX('TRANS'!$C:$C,MATCH($B1404,'TRANS'!$A:$A,0)),IFERROR(INDEX('Catalog'!$B:$B,MATCH($G1404,'Catalog'!$A:$A,0)),$B1404))</f>
        <v>369   XL אצבעון מסיליקון יחידה</v>
      </c>
      <c r="I1404" s="8" t="str">
        <f aca="false">IF($G1404="","Unmatched","Matched")</f>
        <v>Matched</v>
      </c>
      <c r="J1404" s="8" t="n">
        <f aca="false">IF($G1404&lt;&gt;"",$G1404,$B1404)</f>
        <v>4401001</v>
      </c>
      <c r="K1404" s="8" t="str">
        <f aca="false">IF(COUNTIF($M$1:$M$10,$A1404)&gt;0,"Y","N")</f>
        <v>Y</v>
      </c>
    </row>
    <row r="1405" customFormat="false" ht="15" hidden="false" customHeight="true" outlineLevel="0" collapsed="false">
      <c r="A1405" s="8" t="s">
        <v>53</v>
      </c>
      <c r="B1405" s="8" t="s">
        <v>643</v>
      </c>
      <c r="C1405" s="19" t="n">
        <v>0</v>
      </c>
      <c r="D1405" s="19" t="n">
        <v>0</v>
      </c>
      <c r="E1405" s="19" t="n">
        <v>6</v>
      </c>
      <c r="F1405" s="19" t="n">
        <v>68.02</v>
      </c>
      <c r="G1405" s="8" t="n">
        <f aca="false">IFERROR(INDEX('TRANS'!$B:$B,MATCH($B1405,'TRANS'!$A:$A,0)),IFERROR(INDEX('TRANS'!$B:$B,MATCH(TRIM(SUBSTITUTE($B1405,CHAR(160)," ")),'TRANS'!$D:$D,0)),IFERROR(INDEX('Catalog'!$A:$A,MATCH($B1405,'Catalog'!$B:$B,0)),IFERROR(INDEX('Catalog'!$A:$A,MATCH(TRIM(SUBSTITUTE($B1405,CHAR(160)," ")),'Catalog'!$C:$C,0)),""))))</f>
        <v>4420027</v>
      </c>
      <c r="H1405" s="8" t="str">
        <f aca="false">IFERROR(INDEX('TRANS'!$C:$C,MATCH($B1405,'TRANS'!$A:$A,0)),IFERROR(INDEX('Catalog'!$B:$B,MATCH($G1405,'Catalog'!$A:$A,0)),$B1405))</f>
        <v>370K 0 רפידת לילדים אנטי ריח</v>
      </c>
      <c r="I1405" s="8" t="str">
        <f aca="false">IF($G1405="","Unmatched","Matched")</f>
        <v>Matched</v>
      </c>
      <c r="J1405" s="8" t="n">
        <f aca="false">IF($G1405&lt;&gt;"",$G1405,$B1405)</f>
        <v>4420027</v>
      </c>
      <c r="K1405" s="8" t="str">
        <f aca="false">IF(COUNTIF($M$1:$M$10,$A1405)&gt;0,"Y","N")</f>
        <v>Y</v>
      </c>
    </row>
    <row r="1406" customFormat="false" ht="15" hidden="false" customHeight="true" outlineLevel="0" collapsed="false">
      <c r="A1406" s="8" t="s">
        <v>53</v>
      </c>
      <c r="B1406" s="8" t="s">
        <v>645</v>
      </c>
      <c r="C1406" s="19" t="n">
        <v>6</v>
      </c>
      <c r="D1406" s="19" t="n">
        <v>80.18</v>
      </c>
      <c r="E1406" s="19" t="n">
        <v>0</v>
      </c>
      <c r="F1406" s="19" t="n">
        <v>0</v>
      </c>
      <c r="G1406" s="8" t="n">
        <f aca="false">IFERROR(INDEX('TRANS'!$B:$B,MATCH($B1406,'TRANS'!$A:$A,0)),IFERROR(INDEX('TRANS'!$B:$B,MATCH(TRIM(SUBSTITUTE($B1406,CHAR(160)," ")),'TRANS'!$D:$D,0)),IFERROR(INDEX('Catalog'!$A:$A,MATCH($B1406,'Catalog'!$B:$B,0)),IFERROR(INDEX('Catalog'!$A:$A,MATCH(TRIM(SUBSTITUTE($B1406,CHAR(160)," ")),'Catalog'!$C:$C,0)),""))))</f>
        <v>4420002</v>
      </c>
      <c r="H1406" s="8" t="str">
        <f aca="false">IFERROR(INDEX('TRANS'!$C:$C,MATCH($B1406,'TRANS'!$A:$A,0)),IFERROR(INDEX('Catalog'!$B:$B,MATCH($G1406,'Catalog'!$A:$A,0)),$B1406))</f>
        <v>372 רפידת אנטי ריח -זוג</v>
      </c>
      <c r="I1406" s="8" t="str">
        <f aca="false">IF($G1406="","Unmatched","Matched")</f>
        <v>Matched</v>
      </c>
      <c r="J1406" s="8" t="n">
        <f aca="false">IF($G1406&lt;&gt;"",$G1406,$B1406)</f>
        <v>4420002</v>
      </c>
      <c r="K1406" s="8" t="str">
        <f aca="false">IF(COUNTIF($M$1:$M$10,$A1406)&gt;0,"Y","N")</f>
        <v>Y</v>
      </c>
    </row>
    <row r="1407" customFormat="false" ht="15" hidden="false" customHeight="true" outlineLevel="0" collapsed="false">
      <c r="A1407" s="8" t="s">
        <v>53</v>
      </c>
      <c r="B1407" s="8" t="s">
        <v>646</v>
      </c>
      <c r="C1407" s="19" t="n">
        <v>6</v>
      </c>
      <c r="D1407" s="19" t="n">
        <v>80.18</v>
      </c>
      <c r="E1407" s="19" t="n">
        <v>0</v>
      </c>
      <c r="F1407" s="19" t="n">
        <v>0</v>
      </c>
      <c r="G1407" s="8" t="n">
        <f aca="false">IFERROR(INDEX('TRANS'!$B:$B,MATCH($B1407,'TRANS'!$A:$A,0)),IFERROR(INDEX('TRANS'!$B:$B,MATCH(TRIM(SUBSTITUTE($B1407,CHAR(160)," ")),'TRANS'!$D:$D,0)),IFERROR(INDEX('Catalog'!$A:$A,MATCH($B1407,'Catalog'!$B:$B,0)),IFERROR(INDEX('Catalog'!$A:$A,MATCH(TRIM(SUBSTITUTE($B1407,CHAR(160)," ")),'Catalog'!$C:$C,0)),""))))</f>
        <v>4420003</v>
      </c>
      <c r="H1407" s="8" t="str">
        <f aca="false">IFERROR(INDEX('TRANS'!$C:$C,MATCH($B1407,'TRANS'!$A:$A,0)),IFERROR(INDEX('Catalog'!$B:$B,MATCH($G1407,'Catalog'!$A:$A,0)),$B1407))</f>
        <v>374 רפידת בולמת זעזועים -זוג</v>
      </c>
      <c r="I1407" s="8" t="str">
        <f aca="false">IF($G1407="","Unmatched","Matched")</f>
        <v>Matched</v>
      </c>
      <c r="J1407" s="8" t="n">
        <f aca="false">IF($G1407&lt;&gt;"",$G1407,$B1407)</f>
        <v>4420003</v>
      </c>
      <c r="K1407" s="8" t="str">
        <f aca="false">IF(COUNTIF($M$1:$M$10,$A1407)&gt;0,"Y","N")</f>
        <v>Y</v>
      </c>
    </row>
    <row r="1408" customFormat="false" ht="15" hidden="false" customHeight="true" outlineLevel="0" collapsed="false">
      <c r="A1408" s="8" t="s">
        <v>53</v>
      </c>
      <c r="B1408" s="8" t="s">
        <v>650</v>
      </c>
      <c r="C1408" s="19" t="n">
        <v>5</v>
      </c>
      <c r="D1408" s="19" t="n">
        <v>292</v>
      </c>
      <c r="E1408" s="19" t="n">
        <v>0</v>
      </c>
      <c r="F1408" s="19" t="n">
        <v>0</v>
      </c>
      <c r="G1408" s="8" t="n">
        <f aca="false">IFERROR(INDEX('TRANS'!$B:$B,MATCH($B1408,'TRANS'!$A:$A,0)),IFERROR(INDEX('TRANS'!$B:$B,MATCH(TRIM(SUBSTITUTE($B1408,CHAR(160)," ")),'TRANS'!$D:$D,0)),IFERROR(INDEX('Catalog'!$A:$A,MATCH($B1408,'Catalog'!$B:$B,0)),IFERROR(INDEX('Catalog'!$A:$A,MATCH(TRIM(SUBSTITUTE($B1408,CHAR(160)," ")),'Catalog'!$C:$C,0)),""))))</f>
        <v>4415298</v>
      </c>
      <c r="H1408" s="8" t="str">
        <f aca="false">IFERROR(INDEX('TRANS'!$C:$C,MATCH($B1408,'TRANS'!$A:$A,0)),IFERROR(INDEX('Catalog'!$B:$B,MATCH($G1408,'Catalog'!$A:$A,0)),$B1408))</f>
        <v>388B L סד לילה שחור לבוהן שמאל</v>
      </c>
      <c r="I1408" s="8" t="str">
        <f aca="false">IF($G1408="","Unmatched","Matched")</f>
        <v>Matched</v>
      </c>
      <c r="J1408" s="8" t="n">
        <f aca="false">IF($G1408&lt;&gt;"",$G1408,$B1408)</f>
        <v>4415298</v>
      </c>
      <c r="K1408" s="8" t="str">
        <f aca="false">IF(COUNTIF($M$1:$M$10,$A1408)&gt;0,"Y","N")</f>
        <v>Y</v>
      </c>
    </row>
    <row r="1409" customFormat="false" ht="15" hidden="false" customHeight="true" outlineLevel="0" collapsed="false">
      <c r="A1409" s="8" t="s">
        <v>53</v>
      </c>
      <c r="B1409" s="8" t="s">
        <v>651</v>
      </c>
      <c r="C1409" s="19" t="n">
        <v>4</v>
      </c>
      <c r="D1409" s="19" t="n">
        <v>232</v>
      </c>
      <c r="E1409" s="19" t="n">
        <v>0</v>
      </c>
      <c r="F1409" s="19" t="n">
        <v>0</v>
      </c>
      <c r="G1409" s="8" t="n">
        <f aca="false">IFERROR(INDEX('TRANS'!$B:$B,MATCH($B1409,'TRANS'!$A:$A,0)),IFERROR(INDEX('TRANS'!$B:$B,MATCH(TRIM(SUBSTITUTE($B1409,CHAR(160)," ")),'TRANS'!$D:$D,0)),IFERROR(INDEX('Catalog'!$A:$A,MATCH($B1409,'Catalog'!$B:$B,0)),IFERROR(INDEX('Catalog'!$A:$A,MATCH(TRIM(SUBSTITUTE($B1409,CHAR(160)," ")),'Catalog'!$C:$C,0)),""))))</f>
        <v>4415299</v>
      </c>
      <c r="H1409" s="8" t="str">
        <f aca="false">IFERROR(INDEX('TRANS'!$C:$C,MATCH($B1409,'TRANS'!$A:$A,0)),IFERROR(INDEX('Catalog'!$B:$B,MATCH($G1409,'Catalog'!$A:$A,0)),$B1409))</f>
        <v>388B L סד לילה שחור לבוהן ימין</v>
      </c>
      <c r="I1409" s="8" t="str">
        <f aca="false">IF($G1409="","Unmatched","Matched")</f>
        <v>Matched</v>
      </c>
      <c r="J1409" s="8" t="n">
        <f aca="false">IF($G1409&lt;&gt;"",$G1409,$B1409)</f>
        <v>4415299</v>
      </c>
      <c r="K1409" s="8" t="str">
        <f aca="false">IF(COUNTIF($M$1:$M$10,$A1409)&gt;0,"Y","N")</f>
        <v>Y</v>
      </c>
    </row>
    <row r="1410" customFormat="false" ht="15" hidden="false" customHeight="true" outlineLevel="0" collapsed="false">
      <c r="A1410" s="8" t="s">
        <v>53</v>
      </c>
      <c r="B1410" s="8" t="s">
        <v>652</v>
      </c>
      <c r="C1410" s="19" t="n">
        <v>10</v>
      </c>
      <c r="D1410" s="19" t="n">
        <v>234</v>
      </c>
      <c r="E1410" s="19" t="n">
        <v>0</v>
      </c>
      <c r="F1410" s="19" t="n">
        <v>0</v>
      </c>
      <c r="G1410" s="8" t="n">
        <f aca="false">IFERROR(INDEX('TRANS'!$B:$B,MATCH($B1410,'TRANS'!$A:$A,0)),IFERROR(INDEX('TRANS'!$B:$B,MATCH(TRIM(SUBSTITUTE($B1410,CHAR(160)," ")),'TRANS'!$D:$D,0)),IFERROR(INDEX('Catalog'!$A:$A,MATCH($B1410,'Catalog'!$B:$B,0)),IFERROR(INDEX('Catalog'!$A:$A,MATCH(TRIM(SUBSTITUTE($B1410,CHAR(160)," ")),'Catalog'!$C:$C,0)),""))))</f>
        <v>4403000</v>
      </c>
      <c r="H1410" s="8" t="str">
        <f aca="false">IFERROR(INDEX('TRANS'!$C:$C,MATCH($B1410,'TRANS'!$A:$A,0)),IFERROR(INDEX('Catalog'!$B:$B,MATCH($G1410,'Catalog'!$A:$A,0)),$B1410))</f>
        <v>390B גרב.כסף לסכרתים שחור35-38</v>
      </c>
      <c r="I1410" s="8" t="str">
        <f aca="false">IF($G1410="","Unmatched","Matched")</f>
        <v>Matched</v>
      </c>
      <c r="J1410" s="8" t="n">
        <f aca="false">IF($G1410&lt;&gt;"",$G1410,$B1410)</f>
        <v>4403000</v>
      </c>
      <c r="K1410" s="8" t="str">
        <f aca="false">IF(COUNTIF($M$1:$M$10,$A1410)&gt;0,"Y","N")</f>
        <v>Y</v>
      </c>
    </row>
    <row r="1411" customFormat="false" ht="15" hidden="false" customHeight="true" outlineLevel="0" collapsed="false">
      <c r="A1411" s="8" t="s">
        <v>53</v>
      </c>
      <c r="B1411" s="8" t="s">
        <v>654</v>
      </c>
      <c r="C1411" s="19" t="n">
        <v>25</v>
      </c>
      <c r="D1411" s="19" t="n">
        <v>234.1</v>
      </c>
      <c r="E1411" s="19" t="n">
        <v>5</v>
      </c>
      <c r="F1411" s="19" t="n">
        <v>135</v>
      </c>
      <c r="G1411" s="8" t="n">
        <f aca="false">IFERROR(INDEX('TRANS'!$B:$B,MATCH($B1411,'TRANS'!$A:$A,0)),IFERROR(INDEX('TRANS'!$B:$B,MATCH(TRIM(SUBSTITUTE($B1411,CHAR(160)," ")),'TRANS'!$D:$D,0)),IFERROR(INDEX('Catalog'!$A:$A,MATCH($B1411,'Catalog'!$B:$B,0)),IFERROR(INDEX('Catalog'!$A:$A,MATCH(TRIM(SUBSTITUTE($B1411,CHAR(160)," ")),'Catalog'!$C:$C,0)),""))))</f>
        <v>4403002</v>
      </c>
      <c r="H1411" s="8" t="str">
        <f aca="false">IFERROR(INDEX('TRANS'!$C:$C,MATCH($B1411,'TRANS'!$A:$A,0)),IFERROR(INDEX('Catalog'!$B:$B,MATCH($G1411,'Catalog'!$A:$A,0)),$B1411))</f>
        <v>390B 43-46.גרב.כסף לסכרתיים שח</v>
      </c>
      <c r="I1411" s="8" t="str">
        <f aca="false">IF($G1411="","Unmatched","Matched")</f>
        <v>Matched</v>
      </c>
      <c r="J1411" s="8" t="n">
        <f aca="false">IF($G1411&lt;&gt;"",$G1411,$B1411)</f>
        <v>4403002</v>
      </c>
      <c r="K1411" s="8" t="str">
        <f aca="false">IF(COUNTIF($M$1:$M$10,$A1411)&gt;0,"Y","N")</f>
        <v>Y</v>
      </c>
    </row>
    <row r="1412" customFormat="false" ht="15" hidden="false" customHeight="true" outlineLevel="0" collapsed="false">
      <c r="A1412" s="8" t="s">
        <v>53</v>
      </c>
      <c r="B1412" s="8" t="s">
        <v>672</v>
      </c>
      <c r="C1412" s="19" t="n">
        <v>1</v>
      </c>
      <c r="D1412" s="19" t="n">
        <v>117.77</v>
      </c>
      <c r="E1412" s="19" t="n">
        <v>0</v>
      </c>
      <c r="F1412" s="19" t="n">
        <v>0</v>
      </c>
      <c r="G1412" s="8" t="n">
        <f aca="false">IFERROR(INDEX('TRANS'!$B:$B,MATCH($B1412,'TRANS'!$A:$A,0)),IFERROR(INDEX('TRANS'!$B:$B,MATCH(TRIM(SUBSTITUTE($B1412,CHAR(160)," ")),'TRANS'!$D:$D,0)),IFERROR(INDEX('Catalog'!$A:$A,MATCH($B1412,'Catalog'!$B:$B,0)),IFERROR(INDEX('Catalog'!$A:$A,MATCH(TRIM(SUBSTITUTE($B1412,CHAR(160)," ")),'Catalog'!$C:$C,0)),""))))</f>
        <v>4413076</v>
      </c>
      <c r="H1412" s="8" t="str">
        <f aca="false">IFERROR(INDEX('TRANS'!$C:$C,MATCH($B1412,'TRANS'!$A:$A,0)),IFERROR(INDEX('Catalog'!$B:$B,MATCH($G1412,'Catalog'!$A:$A,0)),$B1412))</f>
        <v>41X L מגן ברך מוצלב+מוט</v>
      </c>
      <c r="I1412" s="8" t="str">
        <f aca="false">IF($G1412="","Unmatched","Matched")</f>
        <v>Matched</v>
      </c>
      <c r="J1412" s="8" t="n">
        <f aca="false">IF($G1412&lt;&gt;"",$G1412,$B1412)</f>
        <v>4413076</v>
      </c>
      <c r="K1412" s="8" t="str">
        <f aca="false">IF(COUNTIF($M$1:$M$10,$A1412)&gt;0,"Y","N")</f>
        <v>Y</v>
      </c>
    </row>
    <row r="1413" customFormat="false" ht="15" hidden="false" customHeight="true" outlineLevel="0" collapsed="false">
      <c r="A1413" s="8" t="s">
        <v>53</v>
      </c>
      <c r="B1413" s="8" t="s">
        <v>267</v>
      </c>
      <c r="C1413" s="19" t="n">
        <v>1</v>
      </c>
      <c r="D1413" s="19" t="n">
        <v>117.77</v>
      </c>
      <c r="E1413" s="19" t="n">
        <v>0</v>
      </c>
      <c r="F1413" s="19" t="n">
        <v>0</v>
      </c>
      <c r="G1413" s="8" t="str">
        <f aca="false">IFERROR(INDEX('TRANS'!$B:$B,MATCH($B1413,'TRANS'!$A:$A,0)),IFERROR(INDEX('TRANS'!$B:$B,MATCH(TRIM(SUBSTITUTE($B1413,CHAR(160)," ")),'TRANS'!$D:$D,0)),IFERROR(INDEX('Catalog'!$A:$A,MATCH($B1413,'Catalog'!$B:$B,0)),IFERROR(INDEX('Catalog'!$A:$A,MATCH(TRIM(SUBSTITUTE($B1413,CHAR(160)," ")),'Catalog'!$C:$C,0)),""))))</f>
        <v/>
      </c>
      <c r="H1413" s="8" t="str">
        <f aca="false">IFERROR(INDEX('TRANS'!$C:$C,MATCH($B1413,'TRANS'!$A:$A,0)),IFERROR(INDEX('Catalog'!$B:$B,MATCH($G1413,'Catalog'!$A:$A,0)),$B1413))</f>
        <v>41X M</v>
      </c>
      <c r="I1413" s="8" t="str">
        <f aca="false">IF($G1413="","Unmatched","Matched")</f>
        <v>Unmatched</v>
      </c>
      <c r="J1413" s="8" t="str">
        <f aca="false">IF($G1413&lt;&gt;"",$G1413,$B1413)</f>
        <v>41X M</v>
      </c>
      <c r="K1413" s="8" t="str">
        <f aca="false">IF(COUNTIF($M$1:$M$10,$A1413)&gt;0,"Y","N")</f>
        <v>Y</v>
      </c>
    </row>
    <row r="1414" customFormat="false" ht="15" hidden="false" customHeight="true" outlineLevel="0" collapsed="false">
      <c r="A1414" s="8" t="s">
        <v>53</v>
      </c>
      <c r="B1414" s="8" t="s">
        <v>1001</v>
      </c>
      <c r="C1414" s="19" t="n">
        <v>1</v>
      </c>
      <c r="D1414" s="19" t="n">
        <v>117.77</v>
      </c>
      <c r="E1414" s="19" t="n">
        <v>0</v>
      </c>
      <c r="F1414" s="19" t="n">
        <v>0</v>
      </c>
      <c r="G1414" s="8" t="n">
        <f aca="false">IFERROR(INDEX('TRANS'!$B:$B,MATCH($B1414,'TRANS'!$A:$A,0)),IFERROR(INDEX('TRANS'!$B:$B,MATCH(TRIM(SUBSTITUTE($B1414,CHAR(160)," ")),'TRANS'!$D:$D,0)),IFERROR(INDEX('Catalog'!$A:$A,MATCH($B1414,'Catalog'!$B:$B,0)),IFERROR(INDEX('Catalog'!$A:$A,MATCH(TRIM(SUBSTITUTE($B1414,CHAR(160)," ")),'Catalog'!$C:$C,0)),""))))</f>
        <v>4413079</v>
      </c>
      <c r="H1414" s="8" t="str">
        <f aca="false">IFERROR(INDEX('TRANS'!$C:$C,MATCH($B1414,'TRANS'!$A:$A,0)),IFERROR(INDEX('Catalog'!$B:$B,MATCH($G1414,'Catalog'!$A:$A,0)),$B1414))</f>
        <v>41X XL מגן ברך מוצלב+מוט</v>
      </c>
      <c r="I1414" s="8" t="str">
        <f aca="false">IF($G1414="","Unmatched","Matched")</f>
        <v>Matched</v>
      </c>
      <c r="J1414" s="8" t="n">
        <f aca="false">IF($G1414&lt;&gt;"",$G1414,$B1414)</f>
        <v>4413079</v>
      </c>
      <c r="K1414" s="8" t="str">
        <f aca="false">IF(COUNTIF($M$1:$M$10,$A1414)&gt;0,"Y","N")</f>
        <v>Y</v>
      </c>
    </row>
    <row r="1415" customFormat="false" ht="15" hidden="false" customHeight="true" outlineLevel="0" collapsed="false">
      <c r="A1415" s="8" t="s">
        <v>53</v>
      </c>
      <c r="B1415" s="8" t="s">
        <v>675</v>
      </c>
      <c r="C1415" s="19" t="n">
        <v>11</v>
      </c>
      <c r="D1415" s="19" t="n">
        <v>275.77</v>
      </c>
      <c r="E1415" s="19" t="n">
        <v>4</v>
      </c>
      <c r="F1415" s="19" t="n">
        <v>123.57</v>
      </c>
      <c r="G1415" s="8" t="n">
        <f aca="false">IFERROR(INDEX('TRANS'!$B:$B,MATCH($B1415,'TRANS'!$A:$A,0)),IFERROR(INDEX('TRANS'!$B:$B,MATCH(TRIM(SUBSTITUTE($B1415,CHAR(160)," ")),'TRANS'!$D:$D,0)),IFERROR(INDEX('Catalog'!$A:$A,MATCH($B1415,'Catalog'!$B:$B,0)),IFERROR(INDEX('Catalog'!$A:$A,MATCH(TRIM(SUBSTITUTE($B1415,CHAR(160)," ")),'Catalog'!$C:$C,0)),""))))</f>
        <v>4413495</v>
      </c>
      <c r="H1415" s="8" t="str">
        <f aca="false">IFERROR(INDEX('TRANS'!$C:$C,MATCH($B1415,'TRANS'!$A:$A,0)),IFERROR(INDEX('Catalog'!$B:$B,MATCH($G1415,'Catalog'!$A:$A,0)),$B1415))</f>
        <v>45B L מגן ברך שחור</v>
      </c>
      <c r="I1415" s="8" t="str">
        <f aca="false">IF($G1415="","Unmatched","Matched")</f>
        <v>Matched</v>
      </c>
      <c r="J1415" s="8" t="n">
        <f aca="false">IF($G1415&lt;&gt;"",$G1415,$B1415)</f>
        <v>4413495</v>
      </c>
      <c r="K1415" s="8" t="str">
        <f aca="false">IF(COUNTIF($M$1:$M$10,$A1415)&gt;0,"Y","N")</f>
        <v>Y</v>
      </c>
    </row>
    <row r="1416" customFormat="false" ht="15" hidden="false" customHeight="true" outlineLevel="0" collapsed="false">
      <c r="A1416" s="8" t="s">
        <v>53</v>
      </c>
      <c r="B1416" s="8" t="s">
        <v>676</v>
      </c>
      <c r="C1416" s="19" t="n">
        <v>7</v>
      </c>
      <c r="D1416" s="19" t="n">
        <v>160.44</v>
      </c>
      <c r="E1416" s="19" t="n">
        <v>4</v>
      </c>
      <c r="F1416" s="19" t="n">
        <v>123.57</v>
      </c>
      <c r="G1416" s="8" t="n">
        <f aca="false">IFERROR(INDEX('TRANS'!$B:$B,MATCH($B1416,'TRANS'!$A:$A,0)),IFERROR(INDEX('TRANS'!$B:$B,MATCH(TRIM(SUBSTITUTE($B1416,CHAR(160)," ")),'TRANS'!$D:$D,0)),IFERROR(INDEX('Catalog'!$A:$A,MATCH($B1416,'Catalog'!$B:$B,0)),IFERROR(INDEX('Catalog'!$A:$A,MATCH(TRIM(SUBSTITUTE($B1416,CHAR(160)," ")),'Catalog'!$C:$C,0)),""))))</f>
        <v>4413497</v>
      </c>
      <c r="H1416" s="8" t="str">
        <f aca="false">IFERROR(INDEX('TRANS'!$C:$C,MATCH($B1416,'TRANS'!$A:$A,0)),IFERROR(INDEX('Catalog'!$B:$B,MATCH($G1416,'Catalog'!$A:$A,0)),$B1416))</f>
        <v>45B M מגן ברך שחור</v>
      </c>
      <c r="I1416" s="8" t="str">
        <f aca="false">IF($G1416="","Unmatched","Matched")</f>
        <v>Matched</v>
      </c>
      <c r="J1416" s="8" t="n">
        <f aca="false">IF($G1416&lt;&gt;"",$G1416,$B1416)</f>
        <v>4413497</v>
      </c>
      <c r="K1416" s="8" t="str">
        <f aca="false">IF(COUNTIF($M$1:$M$10,$A1416)&gt;0,"Y","N")</f>
        <v>Y</v>
      </c>
    </row>
    <row r="1417" customFormat="false" ht="15" hidden="false" customHeight="true" outlineLevel="0" collapsed="false">
      <c r="A1417" s="8" t="s">
        <v>53</v>
      </c>
      <c r="B1417" s="8" t="s">
        <v>801</v>
      </c>
      <c r="C1417" s="19" t="n">
        <v>4</v>
      </c>
      <c r="D1417" s="19" t="n">
        <v>91.55</v>
      </c>
      <c r="E1417" s="19" t="n">
        <v>0</v>
      </c>
      <c r="F1417" s="19" t="n">
        <v>0</v>
      </c>
      <c r="G1417" s="8" t="n">
        <f aca="false">IFERROR(INDEX('TRANS'!$B:$B,MATCH($B1417,'TRANS'!$A:$A,0)),IFERROR(INDEX('TRANS'!$B:$B,MATCH(TRIM(SUBSTITUTE($B1417,CHAR(160)," ")),'TRANS'!$D:$D,0)),IFERROR(INDEX('Catalog'!$A:$A,MATCH($B1417,'Catalog'!$B:$B,0)),IFERROR(INDEX('Catalog'!$A:$A,MATCH(TRIM(SUBSTITUTE($B1417,CHAR(160)," ")),'Catalog'!$C:$C,0)),""))))</f>
        <v>4413498</v>
      </c>
      <c r="H1417" s="8" t="str">
        <f aca="false">IFERROR(INDEX('TRANS'!$C:$C,MATCH($B1417,'TRANS'!$A:$A,0)),IFERROR(INDEX('Catalog'!$B:$B,MATCH($G1417,'Catalog'!$A:$A,0)),$B1417))</f>
        <v>45B S מגן ברך שחור</v>
      </c>
      <c r="I1417" s="8" t="str">
        <f aca="false">IF($G1417="","Unmatched","Matched")</f>
        <v>Matched</v>
      </c>
      <c r="J1417" s="8" t="n">
        <f aca="false">IF($G1417&lt;&gt;"",$G1417,$B1417)</f>
        <v>4413498</v>
      </c>
      <c r="K1417" s="8" t="str">
        <f aca="false">IF(COUNTIF($M$1:$M$10,$A1417)&gt;0,"Y","N")</f>
        <v>Y</v>
      </c>
    </row>
    <row r="1418" customFormat="false" ht="15" hidden="false" customHeight="true" outlineLevel="0" collapsed="false">
      <c r="A1418" s="8" t="s">
        <v>53</v>
      </c>
      <c r="B1418" s="8" t="s">
        <v>802</v>
      </c>
      <c r="C1418" s="19" t="n">
        <v>11</v>
      </c>
      <c r="D1418" s="19" t="n">
        <v>284.01</v>
      </c>
      <c r="E1418" s="19" t="n">
        <v>3</v>
      </c>
      <c r="F1418" s="19" t="n">
        <v>92.68</v>
      </c>
      <c r="G1418" s="8" t="n">
        <f aca="false">IFERROR(INDEX('TRANS'!$B:$B,MATCH($B1418,'TRANS'!$A:$A,0)),IFERROR(INDEX('TRANS'!$B:$B,MATCH(TRIM(SUBSTITUTE($B1418,CHAR(160)," ")),'TRANS'!$D:$D,0)),IFERROR(INDEX('Catalog'!$A:$A,MATCH($B1418,'Catalog'!$B:$B,0)),IFERROR(INDEX('Catalog'!$A:$A,MATCH(TRIM(SUBSTITUTE($B1418,CHAR(160)," ")),'Catalog'!$C:$C,0)),""))))</f>
        <v>4413496</v>
      </c>
      <c r="H1418" s="8" t="str">
        <f aca="false">IFERROR(INDEX('TRANS'!$C:$C,MATCH($B1418,'TRANS'!$A:$A,0)),IFERROR(INDEX('Catalog'!$B:$B,MATCH($G1418,'Catalog'!$A:$A,0)),$B1418))</f>
        <v>45B XL מגן ברך שחור</v>
      </c>
      <c r="I1418" s="8" t="str">
        <f aca="false">IF($G1418="","Unmatched","Matched")</f>
        <v>Matched</v>
      </c>
      <c r="J1418" s="8" t="n">
        <f aca="false">IF($G1418&lt;&gt;"",$G1418,$B1418)</f>
        <v>4413496</v>
      </c>
      <c r="K1418" s="8" t="str">
        <f aca="false">IF(COUNTIF($M$1:$M$10,$A1418)&gt;0,"Y","N")</f>
        <v>Y</v>
      </c>
    </row>
    <row r="1419" customFormat="false" ht="15" hidden="false" customHeight="true" outlineLevel="0" collapsed="false">
      <c r="A1419" s="8" t="s">
        <v>53</v>
      </c>
      <c r="B1419" s="8" t="s">
        <v>813</v>
      </c>
      <c r="C1419" s="19" t="n">
        <v>0</v>
      </c>
      <c r="D1419" s="19" t="n">
        <v>0</v>
      </c>
      <c r="E1419" s="19" t="n">
        <v>1</v>
      </c>
      <c r="F1419" s="19" t="n">
        <v>0.01</v>
      </c>
      <c r="G1419" s="8" t="n">
        <f aca="false">IFERROR(INDEX('TRANS'!$B:$B,MATCH($B1419,'TRANS'!$A:$A,0)),IFERROR(INDEX('TRANS'!$B:$B,MATCH(TRIM(SUBSTITUTE($B1419,CHAR(160)," ")),'TRANS'!$D:$D,0)),IFERROR(INDEX('Catalog'!$A:$A,MATCH($B1419,'Catalog'!$B:$B,0)),IFERROR(INDEX('Catalog'!$A:$A,MATCH(TRIM(SUBSTITUTE($B1419,CHAR(160)," ")),'Catalog'!$C:$C,0)),""))))</f>
        <v>4408071</v>
      </c>
      <c r="H1419" s="8" t="str">
        <f aca="false">IFERROR(INDEX('TRANS'!$C:$C,MATCH($B1419,'TRANS'!$A:$A,0)),IFERROR(INDEX('Catalog'!$B:$B,MATCH($G1419,'Catalog'!$A:$A,0)),$B1419))</f>
        <v>59D L חגורת שבר דו צדדי</v>
      </c>
      <c r="I1419" s="8" t="str">
        <f aca="false">IF($G1419="","Unmatched","Matched")</f>
        <v>Matched</v>
      </c>
      <c r="J1419" s="8" t="n">
        <f aca="false">IF($G1419&lt;&gt;"",$G1419,$B1419)</f>
        <v>4408071</v>
      </c>
      <c r="K1419" s="8" t="str">
        <f aca="false">IF(COUNTIF($M$1:$M$10,$A1419)&gt;0,"Y","N")</f>
        <v>Y</v>
      </c>
    </row>
    <row r="1420" customFormat="false" ht="15" hidden="false" customHeight="true" outlineLevel="0" collapsed="false">
      <c r="A1420" s="8" t="s">
        <v>53</v>
      </c>
      <c r="B1420" s="8" t="s">
        <v>688</v>
      </c>
      <c r="C1420" s="19" t="n">
        <v>0</v>
      </c>
      <c r="D1420" s="19" t="n">
        <v>0</v>
      </c>
      <c r="E1420" s="19" t="n">
        <v>1</v>
      </c>
      <c r="F1420" s="19" t="n">
        <v>0.01</v>
      </c>
      <c r="G1420" s="8" t="n">
        <f aca="false">IFERROR(INDEX('TRANS'!$B:$B,MATCH($B1420,'TRANS'!$A:$A,0)),IFERROR(INDEX('TRANS'!$B:$B,MATCH(TRIM(SUBSTITUTE($B1420,CHAR(160)," ")),'TRANS'!$D:$D,0)),IFERROR(INDEX('Catalog'!$A:$A,MATCH($B1420,'Catalog'!$B:$B,0)),IFERROR(INDEX('Catalog'!$A:$A,MATCH(TRIM(SUBSTITUTE($B1420,CHAR(160)," ")),'Catalog'!$C:$C,0)),""))))</f>
        <v>4408076</v>
      </c>
      <c r="H1420" s="8" t="str">
        <f aca="false">IFERROR(INDEX('TRANS'!$C:$C,MATCH($B1420,'TRANS'!$A:$A,0)),IFERROR(INDEX('Catalog'!$B:$B,MATCH($G1420,'Catalog'!$A:$A,0)),$B1420))</f>
        <v>59L L חגורת שבר לצד שמאל</v>
      </c>
      <c r="I1420" s="8" t="str">
        <f aca="false">IF($G1420="","Unmatched","Matched")</f>
        <v>Matched</v>
      </c>
      <c r="J1420" s="8" t="n">
        <f aca="false">IF($G1420&lt;&gt;"",$G1420,$B1420)</f>
        <v>4408076</v>
      </c>
      <c r="K1420" s="8" t="str">
        <f aca="false">IF(COUNTIF($M$1:$M$10,$A1420)&gt;0,"Y","N")</f>
        <v>Y</v>
      </c>
    </row>
    <row r="1421" customFormat="false" ht="15" hidden="false" customHeight="true" outlineLevel="0" collapsed="false">
      <c r="A1421" s="8" t="s">
        <v>53</v>
      </c>
      <c r="B1421" s="8" t="s">
        <v>817</v>
      </c>
      <c r="C1421" s="19" t="n">
        <v>0</v>
      </c>
      <c r="D1421" s="19" t="n">
        <v>0</v>
      </c>
      <c r="E1421" s="19" t="n">
        <v>2</v>
      </c>
      <c r="F1421" s="19" t="n">
        <v>140.01</v>
      </c>
      <c r="G1421" s="8" t="n">
        <f aca="false">IFERROR(INDEX('TRANS'!$B:$B,MATCH($B1421,'TRANS'!$A:$A,0)),IFERROR(INDEX('TRANS'!$B:$B,MATCH(TRIM(SUBSTITUTE($B1421,CHAR(160)," ")),'TRANS'!$D:$D,0)),IFERROR(INDEX('Catalog'!$A:$A,MATCH($B1421,'Catalog'!$B:$B,0)),IFERROR(INDEX('Catalog'!$A:$A,MATCH(TRIM(SUBSTITUTE($B1421,CHAR(160)," ")),'Catalog'!$C:$C,0)),""))))</f>
        <v>4408080</v>
      </c>
      <c r="H1421" s="8" t="str">
        <f aca="false">IFERROR(INDEX('TRANS'!$C:$C,MATCH($B1421,'TRANS'!$A:$A,0)),IFERROR(INDEX('Catalog'!$B:$B,MATCH($G1421,'Catalog'!$A:$A,0)),$B1421))</f>
        <v>59R L חגורת שבר לצד ימין</v>
      </c>
      <c r="I1421" s="8" t="str">
        <f aca="false">IF($G1421="","Unmatched","Matched")</f>
        <v>Matched</v>
      </c>
      <c r="J1421" s="8" t="n">
        <f aca="false">IF($G1421&lt;&gt;"",$G1421,$B1421)</f>
        <v>4408080</v>
      </c>
      <c r="K1421" s="8" t="str">
        <f aca="false">IF(COUNTIF($M$1:$M$10,$A1421)&gt;0,"Y","N")</f>
        <v>Y</v>
      </c>
    </row>
    <row r="1422" customFormat="false" ht="15" hidden="false" customHeight="true" outlineLevel="0" collapsed="false">
      <c r="A1422" s="8" t="s">
        <v>53</v>
      </c>
      <c r="B1422" s="8" t="s">
        <v>696</v>
      </c>
      <c r="C1422" s="19" t="n">
        <v>11</v>
      </c>
      <c r="D1422" s="19" t="n">
        <v>219.48</v>
      </c>
      <c r="E1422" s="19" t="n">
        <v>5</v>
      </c>
      <c r="F1422" s="19" t="n">
        <v>107.59</v>
      </c>
      <c r="G1422" s="8" t="n">
        <f aca="false">IFERROR(INDEX('TRANS'!$B:$B,MATCH($B1422,'TRANS'!$A:$A,0)),IFERROR(INDEX('TRANS'!$B:$B,MATCH(TRIM(SUBSTITUTE($B1422,CHAR(160)," ")),'TRANS'!$D:$D,0)),IFERROR(INDEX('Catalog'!$A:$A,MATCH($B1422,'Catalog'!$B:$B,0)),IFERROR(INDEX('Catalog'!$A:$A,MATCH(TRIM(SUBSTITUTE($B1422,CHAR(160)," ")),'Catalog'!$C:$C,0)),""))))</f>
        <v>4422000</v>
      </c>
      <c r="H1422" s="8" t="str">
        <f aca="false">IFERROR(INDEX('TRANS'!$C:$C,MATCH($B1422,'TRANS'!$A:$A,0)),IFERROR(INDEX('Catalog'!$B:$B,MATCH($G1422,'Catalog'!$A:$A,0)),$B1422))</f>
        <v>801  תחבושת אלסטית מקררת</v>
      </c>
      <c r="I1422" s="8" t="str">
        <f aca="false">IF($G1422="","Unmatched","Matched")</f>
        <v>Matched</v>
      </c>
      <c r="J1422" s="8" t="n">
        <f aca="false">IF($G1422&lt;&gt;"",$G1422,$B1422)</f>
        <v>4422000</v>
      </c>
      <c r="K1422" s="8" t="str">
        <f aca="false">IF(COUNTIF($M$1:$M$10,$A1422)&gt;0,"Y","N")</f>
        <v>Y</v>
      </c>
    </row>
    <row r="1423" customFormat="false" ht="15" hidden="false" customHeight="true" outlineLevel="0" collapsed="false">
      <c r="A1423" s="8" t="s">
        <v>53</v>
      </c>
      <c r="B1423" s="8" t="s">
        <v>116</v>
      </c>
      <c r="C1423" s="19" t="n">
        <v>0</v>
      </c>
      <c r="D1423" s="19" t="n">
        <v>0</v>
      </c>
      <c r="E1423" s="19" t="n">
        <v>12</v>
      </c>
      <c r="F1423" s="19" t="n">
        <v>170.12</v>
      </c>
      <c r="G1423" s="8" t="str">
        <f aca="false">IFERROR(INDEX('TRANS'!$B:$B,MATCH($B1423,'TRANS'!$A:$A,0)),IFERROR(INDEX('TRANS'!$B:$B,MATCH(TRIM(SUBSTITUTE($B1423,CHAR(160)," ")),'TRANS'!$D:$D,0)),IFERROR(INDEX('Catalog'!$A:$A,MATCH($B1423,'Catalog'!$B:$B,0)),IFERROR(INDEX('Catalog'!$A:$A,MATCH(TRIM(SUBSTITUTE($B1423,CHAR(160)," ")),'Catalog'!$C:$C,0)),""))))</f>
        <v/>
      </c>
      <c r="H1423" s="8" t="str">
        <f aca="false">IFERROR(INDEX('TRANS'!$C:$C,MATCH($B1423,'TRANS'!$A:$A,0)),IFERROR(INDEX('Catalog'!$B:$B,MATCH($G1423,'Catalog'!$A:$A,0)),$B1423))</f>
        <v>809PW-C</v>
      </c>
      <c r="I1423" s="8" t="str">
        <f aca="false">IF($G1423="","Unmatched","Matched")</f>
        <v>Unmatched</v>
      </c>
      <c r="J1423" s="8" t="str">
        <f aca="false">IF($G1423&lt;&gt;"",$G1423,$B1423)</f>
        <v>809PW-C</v>
      </c>
      <c r="K1423" s="8" t="str">
        <f aca="false">IF(COUNTIF($M$1:$M$10,$A1423)&gt;0,"Y","N")</f>
        <v>Y</v>
      </c>
    </row>
    <row r="1424" customFormat="false" ht="15" hidden="false" customHeight="true" outlineLevel="0" collapsed="false">
      <c r="A1424" s="8" t="s">
        <v>53</v>
      </c>
      <c r="B1424" s="8" t="s">
        <v>64</v>
      </c>
      <c r="C1424" s="19" t="n">
        <v>2</v>
      </c>
      <c r="D1424" s="19" t="n">
        <v>262.07</v>
      </c>
      <c r="E1424" s="19" t="n">
        <v>4</v>
      </c>
      <c r="F1424" s="19" t="n">
        <v>487.32</v>
      </c>
      <c r="G1424" s="8" t="str">
        <f aca="false">IFERROR(INDEX('TRANS'!$B:$B,MATCH($B1424,'TRANS'!$A:$A,0)),IFERROR(INDEX('TRANS'!$B:$B,MATCH(TRIM(SUBSTITUTE($B1424,CHAR(160)," ")),'TRANS'!$D:$D,0)),IFERROR(INDEX('Catalog'!$A:$A,MATCH($B1424,'Catalog'!$B:$B,0)),IFERROR(INDEX('Catalog'!$A:$A,MATCH(TRIM(SUBSTITUTE($B1424,CHAR(160)," ")),'Catalog'!$C:$C,0)),""))))</f>
        <v/>
      </c>
      <c r="H1424" s="8" t="str">
        <f aca="false">IFERROR(INDEX('TRANS'!$C:$C,MATCH($B1424,'TRANS'!$A:$A,0)),IFERROR(INDEX('Catalog'!$B:$B,MATCH($G1424,'Catalog'!$A:$A,0)),$B1424))</f>
        <v>84-L-XXL</v>
      </c>
      <c r="I1424" s="8" t="str">
        <f aca="false">IF($G1424="","Unmatched","Matched")</f>
        <v>Unmatched</v>
      </c>
      <c r="J1424" s="8" t="str">
        <f aca="false">IF($G1424&lt;&gt;"",$G1424,$B1424)</f>
        <v>84-L-XXL</v>
      </c>
      <c r="K1424" s="8" t="str">
        <f aca="false">IF(COUNTIF($M$1:$M$10,$A1424)&gt;0,"Y","N")</f>
        <v>Y</v>
      </c>
    </row>
    <row r="1425" customFormat="false" ht="15" hidden="false" customHeight="true" outlineLevel="0" collapsed="false">
      <c r="A1425" s="8" t="s">
        <v>53</v>
      </c>
      <c r="B1425" s="8" t="s">
        <v>62</v>
      </c>
      <c r="C1425" s="19" t="n">
        <v>2</v>
      </c>
      <c r="D1425" s="19" t="n">
        <v>262.07</v>
      </c>
      <c r="E1425" s="19" t="n">
        <v>1</v>
      </c>
      <c r="F1425" s="19" t="n">
        <v>140.57</v>
      </c>
      <c r="G1425" s="8" t="str">
        <f aca="false">IFERROR(INDEX('TRANS'!$B:$B,MATCH($B1425,'TRANS'!$A:$A,0)),IFERROR(INDEX('TRANS'!$B:$B,MATCH(TRIM(SUBSTITUTE($B1425,CHAR(160)," ")),'TRANS'!$D:$D,0)),IFERROR(INDEX('Catalog'!$A:$A,MATCH($B1425,'Catalog'!$B:$B,0)),IFERROR(INDEX('Catalog'!$A:$A,MATCH(TRIM(SUBSTITUTE($B1425,CHAR(160)," ")),'Catalog'!$C:$C,0)),""))))</f>
        <v/>
      </c>
      <c r="H1425" s="8" t="str">
        <f aca="false">IFERROR(INDEX('TRANS'!$C:$C,MATCH($B1425,'TRANS'!$A:$A,0)),IFERROR(INDEX('Catalog'!$B:$B,MATCH($G1425,'Catalog'!$A:$A,0)),$B1425))</f>
        <v>84-S-M</v>
      </c>
      <c r="I1425" s="8" t="str">
        <f aca="false">IF($G1425="","Unmatched","Matched")</f>
        <v>Unmatched</v>
      </c>
      <c r="J1425" s="8" t="str">
        <f aca="false">IF($G1425&lt;&gt;"",$G1425,$B1425)</f>
        <v>84-S-M</v>
      </c>
      <c r="K1425" s="8" t="str">
        <f aca="false">IF(COUNTIF($M$1:$M$10,$A1425)&gt;0,"Y","N")</f>
        <v>Y</v>
      </c>
    </row>
    <row r="1426" customFormat="false" ht="15" hidden="false" customHeight="true" outlineLevel="0" collapsed="false">
      <c r="A1426" s="8" t="s">
        <v>53</v>
      </c>
      <c r="B1426" s="8" t="s">
        <v>712</v>
      </c>
      <c r="C1426" s="19" t="n">
        <v>7</v>
      </c>
      <c r="D1426" s="19" t="n">
        <v>368.27</v>
      </c>
      <c r="E1426" s="19" t="n">
        <v>6</v>
      </c>
      <c r="F1426" s="19" t="n">
        <v>340.02</v>
      </c>
      <c r="G1426" s="8" t="n">
        <f aca="false">IFERROR(INDEX('TRANS'!$B:$B,MATCH($B1426,'TRANS'!$A:$A,0)),IFERROR(INDEX('TRANS'!$B:$B,MATCH(TRIM(SUBSTITUTE($B1426,CHAR(160)," ")),'TRANS'!$D:$D,0)),IFERROR(INDEX('Catalog'!$A:$A,MATCH($B1426,'Catalog'!$B:$B,0)),IFERROR(INDEX('Catalog'!$A:$A,MATCH(TRIM(SUBSTITUTE($B1426,CHAR(160)," ")),'Catalog'!$C:$C,0)),""))))</f>
        <v>4413517</v>
      </c>
      <c r="H1426" s="8" t="str">
        <f aca="false">IFERROR(INDEX('TRANS'!$C:$C,MATCH($B1426,'TRANS'!$A:$A,0)),IFERROR(INDEX('Catalog'!$B:$B,MATCH($G1426,'Catalog'!$A:$A,0)),$B1426))</f>
        <v>85B M מתלה רשת לזרוע שחור</v>
      </c>
      <c r="I1426" s="8" t="str">
        <f aca="false">IF($G1426="","Unmatched","Matched")</f>
        <v>Matched</v>
      </c>
      <c r="J1426" s="8" t="n">
        <f aca="false">IF($G1426&lt;&gt;"",$G1426,$B1426)</f>
        <v>4413517</v>
      </c>
      <c r="K1426" s="8" t="str">
        <f aca="false">IF(COUNTIF($M$1:$M$10,$A1426)&gt;0,"Y","N")</f>
        <v>Y</v>
      </c>
    </row>
    <row r="1427" customFormat="false" ht="15" hidden="false" customHeight="true" outlineLevel="0" collapsed="false">
      <c r="A1427" s="8" t="s">
        <v>53</v>
      </c>
      <c r="B1427" s="8" t="s">
        <v>713</v>
      </c>
      <c r="C1427" s="19" t="n">
        <v>2</v>
      </c>
      <c r="D1427" s="19" t="n">
        <v>84.93</v>
      </c>
      <c r="E1427" s="19" t="n">
        <v>4</v>
      </c>
      <c r="F1427" s="19" t="n">
        <v>226.69</v>
      </c>
      <c r="G1427" s="8" t="n">
        <f aca="false">IFERROR(INDEX('TRANS'!$B:$B,MATCH($B1427,'TRANS'!$A:$A,0)),IFERROR(INDEX('TRANS'!$B:$B,MATCH(TRIM(SUBSTITUTE($B1427,CHAR(160)," ")),'TRANS'!$D:$D,0)),IFERROR(INDEX('Catalog'!$A:$A,MATCH($B1427,'Catalog'!$B:$B,0)),IFERROR(INDEX('Catalog'!$A:$A,MATCH(TRIM(SUBSTITUTE($B1427,CHAR(160)," ")),'Catalog'!$C:$C,0)),""))))</f>
        <v>4413519</v>
      </c>
      <c r="H1427" s="8" t="str">
        <f aca="false">IFERROR(INDEX('TRANS'!$C:$C,MATCH($B1427,'TRANS'!$A:$A,0)),IFERROR(INDEX('Catalog'!$B:$B,MATCH($G1427,'Catalog'!$A:$A,0)),$B1427))</f>
        <v>85B S מתלה רשת לזרוע שחור</v>
      </c>
      <c r="I1427" s="8" t="str">
        <f aca="false">IF($G1427="","Unmatched","Matched")</f>
        <v>Matched</v>
      </c>
      <c r="J1427" s="8" t="n">
        <f aca="false">IF($G1427&lt;&gt;"",$G1427,$B1427)</f>
        <v>4413519</v>
      </c>
      <c r="K1427" s="8" t="str">
        <f aca="false">IF(COUNTIF($M$1:$M$10,$A1427)&gt;0,"Y","N")</f>
        <v>Y</v>
      </c>
    </row>
    <row r="1428" customFormat="false" ht="15" hidden="false" customHeight="true" outlineLevel="0" collapsed="false">
      <c r="A1428" s="8" t="s">
        <v>53</v>
      </c>
      <c r="B1428" s="8" t="s">
        <v>715</v>
      </c>
      <c r="C1428" s="19" t="n">
        <v>3</v>
      </c>
      <c r="D1428" s="19" t="n">
        <v>135.15</v>
      </c>
      <c r="E1428" s="19" t="n">
        <v>11</v>
      </c>
      <c r="F1428" s="19" t="n">
        <v>502.49</v>
      </c>
      <c r="G1428" s="8" t="n">
        <f aca="false">IFERROR(INDEX('TRANS'!$B:$B,MATCH($B1428,'TRANS'!$A:$A,0)),IFERROR(INDEX('TRANS'!$B:$B,MATCH(TRIM(SUBSTITUTE($B1428,CHAR(160)," ")),'TRANS'!$D:$D,0)),IFERROR(INDEX('Catalog'!$A:$A,MATCH($B1428,'Catalog'!$B:$B,0)),IFERROR(INDEX('Catalog'!$A:$A,MATCH(TRIM(SUBSTITUTE($B1428,CHAR(160)," ")),'Catalog'!$C:$C,0)),""))))</f>
        <v>4413455</v>
      </c>
      <c r="H1428" s="8" t="str">
        <f aca="false">IFERROR(INDEX('TRANS'!$C:$C,MATCH($B1428,'TRANS'!$A:$A,0)),IFERROR(INDEX('Catalog'!$B:$B,MATCH($G1428,'Catalog'!$A:$A,0)),$B1428))</f>
        <v>85K מתלה ליד לילדים</v>
      </c>
      <c r="I1428" s="8" t="str">
        <f aca="false">IF($G1428="","Unmatched","Matched")</f>
        <v>Matched</v>
      </c>
      <c r="J1428" s="8" t="n">
        <f aca="false">IF($G1428&lt;&gt;"",$G1428,$B1428)</f>
        <v>4413455</v>
      </c>
      <c r="K1428" s="8" t="str">
        <f aca="false">IF(COUNTIF($M$1:$M$10,$A1428)&gt;0,"Y","N")</f>
        <v>Y</v>
      </c>
    </row>
    <row r="1429" customFormat="false" ht="15" hidden="false" customHeight="true" outlineLevel="0" collapsed="false">
      <c r="A1429" s="8" t="s">
        <v>53</v>
      </c>
      <c r="B1429" s="8" t="s">
        <v>833</v>
      </c>
      <c r="C1429" s="19" t="n">
        <v>23</v>
      </c>
      <c r="D1429" s="19" t="n">
        <v>1533.68</v>
      </c>
      <c r="E1429" s="19" t="n">
        <v>9</v>
      </c>
      <c r="F1429" s="19" t="n">
        <v>550.35</v>
      </c>
      <c r="G1429" s="8" t="n">
        <f aca="false">IFERROR(INDEX('TRANS'!$B:$B,MATCH($B1429,'TRANS'!$A:$A,0)),IFERROR(INDEX('TRANS'!$B:$B,MATCH(TRIM(SUBSTITUTE($B1429,CHAR(160)," ")),'TRANS'!$D:$D,0)),IFERROR(INDEX('Catalog'!$A:$A,MATCH($B1429,'Catalog'!$B:$B,0)),IFERROR(INDEX('Catalog'!$A:$A,MATCH(TRIM(SUBSTITUTE($B1429,CHAR(160)," ")),'Catalog'!$C:$C,0)),""))))</f>
        <v>4408266</v>
      </c>
      <c r="H1429" s="8" t="str">
        <f aca="false">IFERROR(INDEX('TRANS'!$C:$C,MATCH($B1429,'TRANS'!$A:$A,0)),IFERROR(INDEX('Catalog'!$B:$B,MATCH($G1429,'Catalog'!$A:$A,0)),$B1429))</f>
        <v>91B חבק טניס אלבו</v>
      </c>
      <c r="I1429" s="8" t="str">
        <f aca="false">IF($G1429="","Unmatched","Matched")</f>
        <v>Matched</v>
      </c>
      <c r="J1429" s="8" t="n">
        <f aca="false">IF($G1429&lt;&gt;"",$G1429,$B1429)</f>
        <v>4408266</v>
      </c>
      <c r="K1429" s="8" t="str">
        <f aca="false">IF(COUNTIF($M$1:$M$10,$A1429)&gt;0,"Y","N")</f>
        <v>Y</v>
      </c>
    </row>
    <row r="1430" customFormat="false" ht="15" hidden="false" customHeight="true" outlineLevel="0" collapsed="false">
      <c r="A1430" s="8" t="s">
        <v>53</v>
      </c>
      <c r="B1430" s="8" t="s">
        <v>836</v>
      </c>
      <c r="C1430" s="19" t="n">
        <v>3</v>
      </c>
      <c r="D1430" s="19" t="n">
        <v>84.44</v>
      </c>
      <c r="E1430" s="19" t="n">
        <v>0</v>
      </c>
      <c r="F1430" s="19" t="n">
        <v>0</v>
      </c>
      <c r="G1430" s="8" t="n">
        <f aca="false">IFERROR(INDEX('TRANS'!$B:$B,MATCH($B1430,'TRANS'!$A:$A,0)),IFERROR(INDEX('TRANS'!$B:$B,MATCH(TRIM(SUBSTITUTE($B1430,CHAR(160)," ")),'TRANS'!$D:$D,0)),IFERROR(INDEX('Catalog'!$A:$A,MATCH($B1430,'Catalog'!$B:$B,0)),IFERROR(INDEX('Catalog'!$A:$A,MATCH(TRIM(SUBSTITUTE($B1430,CHAR(160)," ")),'Catalog'!$C:$C,0)),""))))</f>
        <v>4413139</v>
      </c>
      <c r="H1430" s="8" t="str">
        <f aca="false">IFERROR(INDEX('TRANS'!$C:$C,MATCH($B1430,'TRANS'!$A:$A,0)),IFERROR(INDEX('Catalog'!$B:$B,MATCH($G1430,'Catalog'!$A:$A,0)),$B1430))</f>
        <v>95 L מגן מרפק רגיל לבן</v>
      </c>
      <c r="I1430" s="8" t="str">
        <f aca="false">IF($G1430="","Unmatched","Matched")</f>
        <v>Matched</v>
      </c>
      <c r="J1430" s="8" t="n">
        <f aca="false">IF($G1430&lt;&gt;"",$G1430,$B1430)</f>
        <v>4413139</v>
      </c>
      <c r="K1430" s="8" t="str">
        <f aca="false">IF(COUNTIF($M$1:$M$10,$A1430)&gt;0,"Y","N")</f>
        <v>Y</v>
      </c>
    </row>
    <row r="1431" customFormat="false" ht="15" hidden="false" customHeight="true" outlineLevel="0" collapsed="false">
      <c r="A1431" s="8" t="s">
        <v>53</v>
      </c>
      <c r="B1431" s="8" t="s">
        <v>717</v>
      </c>
      <c r="C1431" s="19" t="n">
        <v>4</v>
      </c>
      <c r="D1431" s="19" t="n">
        <v>107.55</v>
      </c>
      <c r="E1431" s="19" t="n">
        <v>6</v>
      </c>
      <c r="F1431" s="19" t="n">
        <v>185.35</v>
      </c>
      <c r="G1431" s="8" t="n">
        <f aca="false">IFERROR(INDEX('TRANS'!$B:$B,MATCH($B1431,'TRANS'!$A:$A,0)),IFERROR(INDEX('TRANS'!$B:$B,MATCH(TRIM(SUBSTITUTE($B1431,CHAR(160)," ")),'TRANS'!$D:$D,0)),IFERROR(INDEX('Catalog'!$A:$A,MATCH($B1431,'Catalog'!$B:$B,0)),IFERROR(INDEX('Catalog'!$A:$A,MATCH(TRIM(SUBSTITUTE($B1431,CHAR(160)," ")),'Catalog'!$C:$C,0)),""))))</f>
        <v>4413500</v>
      </c>
      <c r="H1431" s="8" t="str">
        <f aca="false">IFERROR(INDEX('TRANS'!$C:$C,MATCH($B1431,'TRANS'!$A:$A,0)),IFERROR(INDEX('Catalog'!$B:$B,MATCH($G1431,'Catalog'!$A:$A,0)),$B1431))</f>
        <v>95B L מגן מרפק שחור</v>
      </c>
      <c r="I1431" s="8" t="str">
        <f aca="false">IF($G1431="","Unmatched","Matched")</f>
        <v>Matched</v>
      </c>
      <c r="J1431" s="8" t="n">
        <f aca="false">IF($G1431&lt;&gt;"",$G1431,$B1431)</f>
        <v>4413500</v>
      </c>
      <c r="K1431" s="8" t="str">
        <f aca="false">IF(COUNTIF($M$1:$M$10,$A1431)&gt;0,"Y","N")</f>
        <v>Y</v>
      </c>
    </row>
    <row r="1432" customFormat="false" ht="15" hidden="false" customHeight="true" outlineLevel="0" collapsed="false">
      <c r="A1432" s="8" t="s">
        <v>53</v>
      </c>
      <c r="B1432" s="8" t="s">
        <v>718</v>
      </c>
      <c r="C1432" s="19" t="n">
        <v>6</v>
      </c>
      <c r="D1432" s="19" t="n">
        <v>169.33</v>
      </c>
      <c r="E1432" s="19" t="n">
        <v>6</v>
      </c>
      <c r="F1432" s="19" t="n">
        <v>185.35</v>
      </c>
      <c r="G1432" s="8" t="n">
        <f aca="false">IFERROR(INDEX('TRANS'!$B:$B,MATCH($B1432,'TRANS'!$A:$A,0)),IFERROR(INDEX('TRANS'!$B:$B,MATCH(TRIM(SUBSTITUTE($B1432,CHAR(160)," ")),'TRANS'!$D:$D,0)),IFERROR(INDEX('Catalog'!$A:$A,MATCH($B1432,'Catalog'!$B:$B,0)),IFERROR(INDEX('Catalog'!$A:$A,MATCH(TRIM(SUBSTITUTE($B1432,CHAR(160)," ")),'Catalog'!$C:$C,0)),""))))</f>
        <v>4413501</v>
      </c>
      <c r="H1432" s="8" t="str">
        <f aca="false">IFERROR(INDEX('TRANS'!$C:$C,MATCH($B1432,'TRANS'!$A:$A,0)),IFERROR(INDEX('Catalog'!$B:$B,MATCH($G1432,'Catalog'!$A:$A,0)),$B1432))</f>
        <v>95B M מגן מרפק שחור</v>
      </c>
      <c r="I1432" s="8" t="str">
        <f aca="false">IF($G1432="","Unmatched","Matched")</f>
        <v>Matched</v>
      </c>
      <c r="J1432" s="8" t="n">
        <f aca="false">IF($G1432&lt;&gt;"",$G1432,$B1432)</f>
        <v>4413501</v>
      </c>
      <c r="K1432" s="8" t="str">
        <f aca="false">IF(COUNTIF($M$1:$M$10,$A1432)&gt;0,"Y","N")</f>
        <v>Y</v>
      </c>
    </row>
    <row r="1433" customFormat="false" ht="15" hidden="false" customHeight="true" outlineLevel="0" collapsed="false">
      <c r="A1433" s="8" t="s">
        <v>53</v>
      </c>
      <c r="B1433" s="8" t="s">
        <v>719</v>
      </c>
      <c r="C1433" s="19" t="n">
        <v>3</v>
      </c>
      <c r="D1433" s="19" t="n">
        <v>88.55</v>
      </c>
      <c r="E1433" s="19" t="n">
        <v>1</v>
      </c>
      <c r="F1433" s="19" t="n">
        <v>30.89</v>
      </c>
      <c r="G1433" s="8" t="n">
        <f aca="false">IFERROR(INDEX('TRANS'!$B:$B,MATCH($B1433,'TRANS'!$A:$A,0)),IFERROR(INDEX('TRANS'!$B:$B,MATCH(TRIM(SUBSTITUTE($B1433,CHAR(160)," ")),'TRANS'!$D:$D,0)),IFERROR(INDEX('Catalog'!$A:$A,MATCH($B1433,'Catalog'!$B:$B,0)),IFERROR(INDEX('Catalog'!$A:$A,MATCH(TRIM(SUBSTITUTE($B1433,CHAR(160)," ")),'Catalog'!$C:$C,0)),""))))</f>
        <v>4413502</v>
      </c>
      <c r="H1433" s="8" t="str">
        <f aca="false">IFERROR(INDEX('TRANS'!$C:$C,MATCH($B1433,'TRANS'!$A:$A,0)),IFERROR(INDEX('Catalog'!$B:$B,MATCH($G1433,'Catalog'!$A:$A,0)),$B1433))</f>
        <v>95B S מגן מרפק שחור</v>
      </c>
      <c r="I1433" s="8" t="str">
        <f aca="false">IF($G1433="","Unmatched","Matched")</f>
        <v>Matched</v>
      </c>
      <c r="J1433" s="8" t="n">
        <f aca="false">IF($G1433&lt;&gt;"",$G1433,$B1433)</f>
        <v>4413502</v>
      </c>
      <c r="K1433" s="8" t="str">
        <f aca="false">IF(COUNTIF($M$1:$M$10,$A1433)&gt;0,"Y","N")</f>
        <v>Y</v>
      </c>
    </row>
    <row r="1434" customFormat="false" ht="15" hidden="false" customHeight="true" outlineLevel="0" collapsed="false">
      <c r="A1434" s="8" t="s">
        <v>53</v>
      </c>
      <c r="B1434" s="8" t="s">
        <v>720</v>
      </c>
      <c r="C1434" s="19" t="n">
        <v>3</v>
      </c>
      <c r="D1434" s="19" t="n">
        <v>88.55</v>
      </c>
      <c r="E1434" s="19" t="n">
        <v>0</v>
      </c>
      <c r="F1434" s="19" t="n">
        <v>0</v>
      </c>
      <c r="G1434" s="8" t="n">
        <f aca="false">IFERROR(INDEX('TRANS'!$B:$B,MATCH($B1434,'TRANS'!$A:$A,0)),IFERROR(INDEX('TRANS'!$B:$B,MATCH(TRIM(SUBSTITUTE($B1434,CHAR(160)," ")),'TRANS'!$D:$D,0)),IFERROR(INDEX('Catalog'!$A:$A,MATCH($B1434,'Catalog'!$B:$B,0)),IFERROR(INDEX('Catalog'!$A:$A,MATCH(TRIM(SUBSTITUTE($B1434,CHAR(160)," ")),'Catalog'!$C:$C,0)),""))))</f>
        <v>4413503</v>
      </c>
      <c r="H1434" s="8" t="str">
        <f aca="false">IFERROR(INDEX('TRANS'!$C:$C,MATCH($B1434,'TRANS'!$A:$A,0)),IFERROR(INDEX('Catalog'!$B:$B,MATCH($G1434,'Catalog'!$A:$A,0)),$B1434))</f>
        <v>95B XL מגן מרפק שחור</v>
      </c>
      <c r="I1434" s="8" t="str">
        <f aca="false">IF($G1434="","Unmatched","Matched")</f>
        <v>Matched</v>
      </c>
      <c r="J1434" s="8" t="n">
        <f aca="false">IF($G1434&lt;&gt;"",$G1434,$B1434)</f>
        <v>4413503</v>
      </c>
      <c r="K1434" s="8" t="str">
        <f aca="false">IF(COUNTIF($M$1:$M$10,$A1434)&gt;0,"Y","N")</f>
        <v>Y</v>
      </c>
    </row>
    <row r="1435" customFormat="false" ht="15" hidden="false" customHeight="true" outlineLevel="0" collapsed="false">
      <c r="A1435" s="8" t="s">
        <v>53</v>
      </c>
      <c r="B1435" s="8" t="s">
        <v>725</v>
      </c>
      <c r="C1435" s="19" t="n">
        <v>16</v>
      </c>
      <c r="D1435" s="19" t="n">
        <v>531.86</v>
      </c>
      <c r="E1435" s="19" t="n">
        <v>2</v>
      </c>
      <c r="F1435" s="19" t="n">
        <v>74.91</v>
      </c>
      <c r="G1435" s="8" t="n">
        <f aca="false">IFERROR(INDEX('TRANS'!$B:$B,MATCH($B1435,'TRANS'!$A:$A,0)),IFERROR(INDEX('TRANS'!$B:$B,MATCH(TRIM(SUBSTITUTE($B1435,CHAR(160)," ")),'TRANS'!$D:$D,0)),IFERROR(INDEX('Catalog'!$A:$A,MATCH($B1435,'Catalog'!$B:$B,0)),IFERROR(INDEX('Catalog'!$A:$A,MATCH(TRIM(SUBSTITUTE($B1435,CHAR(160)," ")),'Catalog'!$C:$C,0)),""))))</f>
        <v>4408207</v>
      </c>
      <c r="H1435" s="8" t="str">
        <f aca="false">IFERROR(INDEX('TRANS'!$C:$C,MATCH($B1435,'TRANS'!$A:$A,0)),IFERROR(INDEX('Catalog'!$B:$B,MATCH($G1435,'Catalog'!$A:$A,0)),$B1435))</f>
        <v>AC-25 חבק לשורש כף היד</v>
      </c>
      <c r="I1435" s="8" t="str">
        <f aca="false">IF($G1435="","Unmatched","Matched")</f>
        <v>Matched</v>
      </c>
      <c r="J1435" s="8" t="n">
        <f aca="false">IF($G1435&lt;&gt;"",$G1435,$B1435)</f>
        <v>4408207</v>
      </c>
      <c r="K1435" s="8" t="str">
        <f aca="false">IF(COUNTIF($M$1:$M$10,$A1435)&gt;0,"Y","N")</f>
        <v>Y</v>
      </c>
    </row>
    <row r="1436" customFormat="false" ht="15" hidden="false" customHeight="true" outlineLevel="0" collapsed="false">
      <c r="A1436" s="8" t="s">
        <v>53</v>
      </c>
      <c r="B1436" s="8" t="s">
        <v>729</v>
      </c>
      <c r="C1436" s="19" t="n">
        <v>2</v>
      </c>
      <c r="D1436" s="19" t="n">
        <v>67.19</v>
      </c>
      <c r="E1436" s="19" t="n">
        <v>5</v>
      </c>
      <c r="F1436" s="19" t="n">
        <v>172.29</v>
      </c>
      <c r="G1436" s="8" t="n">
        <f aca="false">IFERROR(INDEX('TRANS'!$B:$B,MATCH($B1436,'TRANS'!$A:$A,0)),IFERROR(INDEX('TRANS'!$B:$B,MATCH(TRIM(SUBSTITUTE($B1436,CHAR(160)," ")),'TRANS'!$D:$D,0)),IFERROR(INDEX('Catalog'!$A:$A,MATCH($B1436,'Catalog'!$B:$B,0)),IFERROR(INDEX('Catalog'!$A:$A,MATCH(TRIM(SUBSTITUTE($B1436,CHAR(160)," ")),'Catalog'!$C:$C,0)),""))))</f>
        <v>4413326</v>
      </c>
      <c r="H1436" s="8" t="str">
        <f aca="false">IFERROR(INDEX('TRANS'!$C:$C,MATCH($B1436,'TRANS'!$A:$A,0)),IFERROR(INDEX('Catalog'!$B:$B,MATCH($G1436,'Catalog'!$A:$A,0)),$B1436))</f>
        <v>AC37 מגן קרסול נושם</v>
      </c>
      <c r="I1436" s="8" t="str">
        <f aca="false">IF($G1436="","Unmatched","Matched")</f>
        <v>Matched</v>
      </c>
      <c r="J1436" s="8" t="n">
        <f aca="false">IF($G1436&lt;&gt;"",$G1436,$B1436)</f>
        <v>4413326</v>
      </c>
      <c r="K1436" s="8" t="str">
        <f aca="false">IF(COUNTIF($M$1:$M$10,$A1436)&gt;0,"Y","N")</f>
        <v>Y</v>
      </c>
    </row>
    <row r="1437" customFormat="false" ht="15" hidden="false" customHeight="true" outlineLevel="0" collapsed="false">
      <c r="A1437" s="8" t="s">
        <v>53</v>
      </c>
      <c r="B1437" s="8" t="s">
        <v>735</v>
      </c>
      <c r="C1437" s="19" t="n">
        <v>18</v>
      </c>
      <c r="D1437" s="19" t="n">
        <v>224.39</v>
      </c>
      <c r="E1437" s="19" t="n">
        <v>0</v>
      </c>
      <c r="F1437" s="19" t="n">
        <v>0</v>
      </c>
      <c r="G1437" s="8" t="n">
        <f aca="false">IFERROR(INDEX('TRANS'!$B:$B,MATCH($B1437,'TRANS'!$A:$A,0)),IFERROR(INDEX('TRANS'!$B:$B,MATCH(TRIM(SUBSTITUTE($B1437,CHAR(160)," ")),'TRANS'!$D:$D,0)),IFERROR(INDEX('Catalog'!$A:$A,MATCH($B1437,'Catalog'!$B:$B,0)),IFERROR(INDEX('Catalog'!$A:$A,MATCH(TRIM(SUBSTITUTE($B1437,CHAR(160)," ")),'Catalog'!$C:$C,0)),""))))</f>
        <v>4413149</v>
      </c>
      <c r="H1437" s="8" t="str">
        <f aca="false">IFERROR(INDEX('TRANS'!$C:$C,MATCH($B1437,'TRANS'!$A:$A,0)),IFERROR(INDEX('Catalog'!$B:$B,MATCH($G1437,'Catalog'!$A:$A,0)),$B1437))</f>
        <v>FC321-מלח אמבט לכף הרגל</v>
      </c>
      <c r="I1437" s="8" t="str">
        <f aca="false">IF($G1437="","Unmatched","Matched")</f>
        <v>Matched</v>
      </c>
      <c r="J1437" s="8" t="n">
        <f aca="false">IF($G1437&lt;&gt;"",$G1437,$B1437)</f>
        <v>4413149</v>
      </c>
      <c r="K1437" s="8" t="str">
        <f aca="false">IF(COUNTIF($M$1:$M$10,$A1437)&gt;0,"Y","N")</f>
        <v>Y</v>
      </c>
    </row>
    <row r="1438" customFormat="false" ht="15" hidden="false" customHeight="true" outlineLevel="0" collapsed="false">
      <c r="A1438" s="8" t="s">
        <v>53</v>
      </c>
      <c r="B1438" s="8" t="s">
        <v>736</v>
      </c>
      <c r="C1438" s="19" t="n">
        <v>12</v>
      </c>
      <c r="D1438" s="19" t="n">
        <v>186.5</v>
      </c>
      <c r="E1438" s="19" t="n">
        <v>6</v>
      </c>
      <c r="F1438" s="19" t="n">
        <v>129.11</v>
      </c>
      <c r="G1438" s="8" t="n">
        <f aca="false">IFERROR(INDEX('TRANS'!$B:$B,MATCH($B1438,'TRANS'!$A:$A,0)),IFERROR(INDEX('TRANS'!$B:$B,MATCH(TRIM(SUBSTITUTE($B1438,CHAR(160)," ")),'TRANS'!$D:$D,0)),IFERROR(INDEX('Catalog'!$A:$A,MATCH($B1438,'Catalog'!$B:$B,0)),IFERROR(INDEX('Catalog'!$A:$A,MATCH(TRIM(SUBSTITUTE($B1438,CHAR(160)," ")),'Catalog'!$C:$C,0)),""))))</f>
        <v>4422035</v>
      </c>
      <c r="H1438" s="8" t="str">
        <f aca="false">IFERROR(INDEX('TRANS'!$C:$C,MATCH($B1438,'TRANS'!$A:$A,0)),IFERROR(INDEX('Catalog'!$B:$B,MATCH($G1438,'Catalog'!$A:$A,0)),$B1438))</f>
        <v>FCתרסיס דאודורנט אנטיבק.נעל333</v>
      </c>
      <c r="I1438" s="8" t="str">
        <f aca="false">IF($G1438="","Unmatched","Matched")</f>
        <v>Matched</v>
      </c>
      <c r="J1438" s="8" t="n">
        <f aca="false">IF($G1438&lt;&gt;"",$G1438,$B1438)</f>
        <v>4422035</v>
      </c>
      <c r="K1438" s="8" t="str">
        <f aca="false">IF(COUNTIF($M$1:$M$10,$A1438)&gt;0,"Y","N")</f>
        <v>Y</v>
      </c>
    </row>
    <row r="1439" customFormat="false" ht="15" hidden="false" customHeight="true" outlineLevel="0" collapsed="false">
      <c r="A1439" s="8" t="s">
        <v>53</v>
      </c>
      <c r="B1439" s="8" t="s">
        <v>737</v>
      </c>
      <c r="C1439" s="19" t="n">
        <v>6</v>
      </c>
      <c r="D1439" s="19" t="n">
        <v>121.64</v>
      </c>
      <c r="E1439" s="19" t="n">
        <v>0</v>
      </c>
      <c r="F1439" s="19" t="n">
        <v>0</v>
      </c>
      <c r="G1439" s="8" t="n">
        <f aca="false">IFERROR(INDEX('TRANS'!$B:$B,MATCH($B1439,'TRANS'!$A:$A,0)),IFERROR(INDEX('TRANS'!$B:$B,MATCH(TRIM(SUBSTITUTE($B1439,CHAR(160)," ")),'TRANS'!$D:$D,0)),IFERROR(INDEX('Catalog'!$A:$A,MATCH($B1439,'Catalog'!$B:$B,0)),IFERROR(INDEX('Catalog'!$A:$A,MATCH(TRIM(SUBSTITUTE($B1439,CHAR(160)," ")),'Catalog'!$C:$C,0)),""))))</f>
        <v>4409004</v>
      </c>
      <c r="H1439" s="8" t="str">
        <f aca="false">IFERROR(INDEX('TRANS'!$C:$C,MATCH($B1439,'TRANS'!$A:$A,0)),IFERROR(INDEX('Catalog'!$B:$B,MATCH($G1439,'Catalog'!$A:$A,0)),$B1439))</f>
        <v>FC335 טלק מעושר באלוורה</v>
      </c>
      <c r="I1439" s="8" t="str">
        <f aca="false">IF($G1439="","Unmatched","Matched")</f>
        <v>Matched</v>
      </c>
      <c r="J1439" s="8" t="n">
        <f aca="false">IF($G1439&lt;&gt;"",$G1439,$B1439)</f>
        <v>4409004</v>
      </c>
      <c r="K1439" s="8" t="str">
        <f aca="false">IF(COUNTIF($M$1:$M$10,$A1439)&gt;0,"Y","N")</f>
        <v>Y</v>
      </c>
    </row>
    <row r="1440" customFormat="false" ht="15" hidden="false" customHeight="true" outlineLevel="0" collapsed="false">
      <c r="A1440" s="8" t="s">
        <v>53</v>
      </c>
      <c r="B1440" s="8" t="s">
        <v>71</v>
      </c>
      <c r="C1440" s="19" t="n">
        <v>0</v>
      </c>
      <c r="D1440" s="19" t="n">
        <v>0</v>
      </c>
      <c r="E1440" s="19" t="n">
        <v>1</v>
      </c>
      <c r="F1440" s="19" t="n">
        <v>487.44</v>
      </c>
      <c r="G1440" s="8" t="str">
        <f aca="false">IFERROR(INDEX('TRANS'!$B:$B,MATCH($B1440,'TRANS'!$A:$A,0)),IFERROR(INDEX('TRANS'!$B:$B,MATCH(TRIM(SUBSTITUTE($B1440,CHAR(160)," ")),'TRANS'!$D:$D,0)),IFERROR(INDEX('Catalog'!$A:$A,MATCH($B1440,'Catalog'!$B:$B,0)),IFERROR(INDEX('Catalog'!$A:$A,MATCH(TRIM(SUBSTITUTE($B1440,CHAR(160)," ")),'Catalog'!$C:$C,0)),""))))</f>
        <v/>
      </c>
      <c r="H1440" s="8" t="str">
        <f aca="false">IFERROR(INDEX('TRANS'!$C:$C,MATCH($B1440,'TRANS'!$A:$A,0)),IFERROR(INDEX('Catalog'!$B:$B,MATCH($G1440,'Catalog'!$A:$A,0)),$B1440))</f>
        <v>MSG001FB 0</v>
      </c>
      <c r="I1440" s="8" t="str">
        <f aca="false">IF($G1440="","Unmatched","Matched")</f>
        <v>Unmatched</v>
      </c>
      <c r="J1440" s="8" t="str">
        <f aca="false">IF($G1440&lt;&gt;"",$G1440,$B1440)</f>
        <v>MSG001FB 0</v>
      </c>
      <c r="K1440" s="8" t="str">
        <f aca="false">IF(COUNTIF($M$1:$M$10,$A1440)&gt;0,"Y","N")</f>
        <v>Y</v>
      </c>
    </row>
    <row r="1441" customFormat="false" ht="15" hidden="false" customHeight="true" outlineLevel="0" collapsed="false">
      <c r="A1441" s="8" t="s">
        <v>53</v>
      </c>
      <c r="B1441" s="8" t="s">
        <v>747</v>
      </c>
      <c r="C1441" s="19" t="n">
        <v>0</v>
      </c>
      <c r="D1441" s="19" t="n">
        <v>0</v>
      </c>
      <c r="E1441" s="19" t="n">
        <v>11</v>
      </c>
      <c r="F1441" s="19" t="n">
        <v>905.52</v>
      </c>
      <c r="G1441" s="8" t="n">
        <f aca="false">IFERROR(INDEX('TRANS'!$B:$B,MATCH($B1441,'TRANS'!$A:$A,0)),IFERROR(INDEX('TRANS'!$B:$B,MATCH(TRIM(SUBSTITUTE($B1441,CHAR(160)," ")),'TRANS'!$D:$D,0)),IFERROR(INDEX('Catalog'!$A:$A,MATCH($B1441,'Catalog'!$B:$B,0)),IFERROR(INDEX('Catalog'!$A:$A,MATCH(TRIM(SUBSTITUTE($B1441,CHAR(160)," ")),'Catalog'!$C:$C,0)),""))))</f>
        <v>4408249</v>
      </c>
      <c r="H1441" s="8" t="str">
        <f aca="false">IFERROR(INDEX('TRANS'!$C:$C,MATCH($B1441,'TRANS'!$A:$A,0)),IFERROR(INDEX('Catalog'!$B:$B,MATCH($G1441,'Catalog'!$A:$A,0)),$B1441))</f>
        <v>SC25  L חבק יד</v>
      </c>
      <c r="I1441" s="8" t="str">
        <f aca="false">IF($G1441="","Unmatched","Matched")</f>
        <v>Matched</v>
      </c>
      <c r="J1441" s="8" t="n">
        <f aca="false">IF($G1441&lt;&gt;"",$G1441,$B1441)</f>
        <v>4408249</v>
      </c>
      <c r="K1441" s="8" t="str">
        <f aca="false">IF(COUNTIF($M$1:$M$10,$A1441)&gt;0,"Y","N")</f>
        <v>Y</v>
      </c>
    </row>
    <row r="1442" customFormat="false" ht="15" hidden="false" customHeight="true" outlineLevel="0" collapsed="false">
      <c r="A1442" s="8" t="s">
        <v>53</v>
      </c>
      <c r="B1442" s="8" t="s">
        <v>748</v>
      </c>
      <c r="C1442" s="19" t="n">
        <v>0</v>
      </c>
      <c r="D1442" s="19" t="n">
        <v>0</v>
      </c>
      <c r="E1442" s="19" t="n">
        <v>4</v>
      </c>
      <c r="F1442" s="19" t="n">
        <v>324.74</v>
      </c>
      <c r="G1442" s="8" t="n">
        <f aca="false">IFERROR(INDEX('TRANS'!$B:$B,MATCH($B1442,'TRANS'!$A:$A,0)),IFERROR(INDEX('TRANS'!$B:$B,MATCH(TRIM(SUBSTITUTE($B1442,CHAR(160)," ")),'TRANS'!$D:$D,0)),IFERROR(INDEX('Catalog'!$A:$A,MATCH($B1442,'Catalog'!$B:$B,0)),IFERROR(INDEX('Catalog'!$A:$A,MATCH(TRIM(SUBSTITUTE($B1442,CHAR(160)," ")),'Catalog'!$C:$C,0)),""))))</f>
        <v>4408248</v>
      </c>
      <c r="H1442" s="8" t="str">
        <f aca="false">IFERROR(INDEX('TRANS'!$C:$C,MATCH($B1442,'TRANS'!$A:$A,0)),IFERROR(INDEX('Catalog'!$B:$B,MATCH($G1442,'Catalog'!$A:$A,0)),$B1442))</f>
        <v>SC25  M חבק יד</v>
      </c>
      <c r="I1442" s="8" t="str">
        <f aca="false">IF($G1442="","Unmatched","Matched")</f>
        <v>Matched</v>
      </c>
      <c r="J1442" s="8" t="n">
        <f aca="false">IF($G1442&lt;&gt;"",$G1442,$B1442)</f>
        <v>4408248</v>
      </c>
      <c r="K1442" s="8" t="str">
        <f aca="false">IF(COUNTIF($M$1:$M$10,$A1442)&gt;0,"Y","N")</f>
        <v>Y</v>
      </c>
    </row>
    <row r="1443" customFormat="false" ht="15" hidden="false" customHeight="true" outlineLevel="0" collapsed="false">
      <c r="A1443" s="8" t="s">
        <v>53</v>
      </c>
      <c r="B1443" s="8" t="s">
        <v>749</v>
      </c>
      <c r="C1443" s="19" t="n">
        <v>0</v>
      </c>
      <c r="D1443" s="19" t="n">
        <v>0</v>
      </c>
      <c r="E1443" s="19" t="n">
        <v>7</v>
      </c>
      <c r="F1443" s="19" t="n">
        <v>593.29</v>
      </c>
      <c r="G1443" s="8" t="n">
        <f aca="false">IFERROR(INDEX('TRANS'!$B:$B,MATCH($B1443,'TRANS'!$A:$A,0)),IFERROR(INDEX('TRANS'!$B:$B,MATCH(TRIM(SUBSTITUTE($B1443,CHAR(160)," ")),'TRANS'!$D:$D,0)),IFERROR(INDEX('Catalog'!$A:$A,MATCH($B1443,'Catalog'!$B:$B,0)),IFERROR(INDEX('Catalog'!$A:$A,MATCH(TRIM(SUBSTITUTE($B1443,CHAR(160)," ")),'Catalog'!$C:$C,0)),""))))</f>
        <v>4408247</v>
      </c>
      <c r="H1443" s="8" t="str">
        <f aca="false">IFERROR(INDEX('TRANS'!$C:$C,MATCH($B1443,'TRANS'!$A:$A,0)),IFERROR(INDEX('Catalog'!$B:$B,MATCH($G1443,'Catalog'!$A:$A,0)),$B1443))</f>
        <v>SC25  S חבק יד</v>
      </c>
      <c r="I1443" s="8" t="str">
        <f aca="false">IF($G1443="","Unmatched","Matched")</f>
        <v>Matched</v>
      </c>
      <c r="J1443" s="8" t="n">
        <f aca="false">IF($G1443&lt;&gt;"",$G1443,$B1443)</f>
        <v>4408247</v>
      </c>
      <c r="K1443" s="8" t="str">
        <f aca="false">IF(COUNTIF($M$1:$M$10,$A1443)&gt;0,"Y","N")</f>
        <v>Y</v>
      </c>
    </row>
    <row r="1444" customFormat="false" ht="15" hidden="false" customHeight="true" outlineLevel="0" collapsed="false">
      <c r="A1444" s="8" t="s">
        <v>53</v>
      </c>
      <c r="B1444" s="8" t="s">
        <v>750</v>
      </c>
      <c r="C1444" s="19" t="n">
        <v>0</v>
      </c>
      <c r="D1444" s="19" t="n">
        <v>0</v>
      </c>
      <c r="E1444" s="19" t="n">
        <v>4</v>
      </c>
      <c r="F1444" s="19" t="n">
        <v>324.74</v>
      </c>
      <c r="G1444" s="8" t="n">
        <f aca="false">IFERROR(INDEX('TRANS'!$B:$B,MATCH($B1444,'TRANS'!$A:$A,0)),IFERROR(INDEX('TRANS'!$B:$B,MATCH(TRIM(SUBSTITUTE($B1444,CHAR(160)," ")),'TRANS'!$D:$D,0)),IFERROR(INDEX('Catalog'!$A:$A,MATCH($B1444,'Catalog'!$B:$B,0)),IFERROR(INDEX('Catalog'!$A:$A,MATCH(TRIM(SUBSTITUTE($B1444,CHAR(160)," ")),'Catalog'!$C:$C,0)),""))))</f>
        <v>4408250</v>
      </c>
      <c r="H1444" s="8" t="str">
        <f aca="false">IFERROR(INDEX('TRANS'!$C:$C,MATCH($B1444,'TRANS'!$A:$A,0)),IFERROR(INDEX('Catalog'!$B:$B,MATCH($G1444,'Catalog'!$A:$A,0)),$B1444))</f>
        <v>SC25 XL חבק יד</v>
      </c>
      <c r="I1444" s="8" t="str">
        <f aca="false">IF($G1444="","Unmatched","Matched")</f>
        <v>Matched</v>
      </c>
      <c r="J1444" s="8" t="n">
        <f aca="false">IF($G1444&lt;&gt;"",$G1444,$B1444)</f>
        <v>4408250</v>
      </c>
      <c r="K1444" s="8" t="str">
        <f aca="false">IF(COUNTIF($M$1:$M$10,$A1444)&gt;0,"Y","N")</f>
        <v>Y</v>
      </c>
    </row>
    <row r="1445" customFormat="false" ht="15" hidden="false" customHeight="true" outlineLevel="0" collapsed="false">
      <c r="A1445" s="8" t="s">
        <v>53</v>
      </c>
      <c r="B1445" s="8" t="s">
        <v>751</v>
      </c>
      <c r="C1445" s="19" t="n">
        <v>0</v>
      </c>
      <c r="D1445" s="19" t="n">
        <v>0</v>
      </c>
      <c r="E1445" s="19" t="n">
        <v>3</v>
      </c>
      <c r="F1445" s="19" t="n">
        <v>256.04</v>
      </c>
      <c r="G1445" s="8" t="n">
        <f aca="false">IFERROR(INDEX('TRANS'!$B:$B,MATCH($B1445,'TRANS'!$A:$A,0)),IFERROR(INDEX('TRANS'!$B:$B,MATCH(TRIM(SUBSTITUTE($B1445,CHAR(160)," ")),'TRANS'!$D:$D,0)),IFERROR(INDEX('Catalog'!$A:$A,MATCH($B1445,'Catalog'!$B:$B,0)),IFERROR(INDEX('Catalog'!$A:$A,MATCH(TRIM(SUBSTITUTE($B1445,CHAR(160)," ")),'Catalog'!$C:$C,0)),""))))</f>
        <v>4413422</v>
      </c>
      <c r="H1445" s="8" t="str">
        <f aca="false">IFERROR(INDEX('TRANS'!$C:$C,MATCH($B1445,'TRANS'!$A:$A,0)),IFERROR(INDEX('Catalog'!$B:$B,MATCH($G1445,'Catalog'!$A:$A,0)),$B1445))</f>
        <v>SC35L  L מגן קרסול שמאל</v>
      </c>
      <c r="I1445" s="8" t="str">
        <f aca="false">IF($G1445="","Unmatched","Matched")</f>
        <v>Matched</v>
      </c>
      <c r="J1445" s="8" t="n">
        <f aca="false">IF($G1445&lt;&gt;"",$G1445,$B1445)</f>
        <v>4413422</v>
      </c>
      <c r="K1445" s="8" t="str">
        <f aca="false">IF(COUNTIF($M$1:$M$10,$A1445)&gt;0,"Y","N")</f>
        <v>Y</v>
      </c>
    </row>
    <row r="1446" customFormat="false" ht="15" hidden="false" customHeight="true" outlineLevel="0" collapsed="false">
      <c r="A1446" s="8" t="s">
        <v>53</v>
      </c>
      <c r="B1446" s="8" t="s">
        <v>841</v>
      </c>
      <c r="C1446" s="19" t="n">
        <v>0</v>
      </c>
      <c r="D1446" s="19" t="n">
        <v>0</v>
      </c>
      <c r="E1446" s="19" t="n">
        <v>2</v>
      </c>
      <c r="F1446" s="19" t="n">
        <v>162.37</v>
      </c>
      <c r="G1446" s="8" t="n">
        <f aca="false">IFERROR(INDEX('TRANS'!$B:$B,MATCH($B1446,'TRANS'!$A:$A,0)),IFERROR(INDEX('TRANS'!$B:$B,MATCH(TRIM(SUBSTITUTE($B1446,CHAR(160)," ")),'TRANS'!$D:$D,0)),IFERROR(INDEX('Catalog'!$A:$A,MATCH($B1446,'Catalog'!$B:$B,0)),IFERROR(INDEX('Catalog'!$A:$A,MATCH(TRIM(SUBSTITUTE($B1446,CHAR(160)," ")),'Catalog'!$C:$C,0)),""))))</f>
        <v>4413421</v>
      </c>
      <c r="H1446" s="8" t="str">
        <f aca="false">IFERROR(INDEX('TRANS'!$C:$C,MATCH($B1446,'TRANS'!$A:$A,0)),IFERROR(INDEX('Catalog'!$B:$B,MATCH($G1446,'Catalog'!$A:$A,0)),$B1446))</f>
        <v>SC35L  M מגן קרסול שמאל</v>
      </c>
      <c r="I1446" s="8" t="str">
        <f aca="false">IF($G1446="","Unmatched","Matched")</f>
        <v>Matched</v>
      </c>
      <c r="J1446" s="8" t="n">
        <f aca="false">IF($G1446&lt;&gt;"",$G1446,$B1446)</f>
        <v>4413421</v>
      </c>
      <c r="K1446" s="8" t="str">
        <f aca="false">IF(COUNTIF($M$1:$M$10,$A1446)&gt;0,"Y","N")</f>
        <v>Y</v>
      </c>
    </row>
    <row r="1447" customFormat="false" ht="15" hidden="false" customHeight="true" outlineLevel="0" collapsed="false">
      <c r="A1447" s="8" t="s">
        <v>53</v>
      </c>
      <c r="B1447" s="8" t="s">
        <v>992</v>
      </c>
      <c r="C1447" s="19" t="n">
        <v>0</v>
      </c>
      <c r="D1447" s="19" t="n">
        <v>0</v>
      </c>
      <c r="E1447" s="19" t="n">
        <v>1</v>
      </c>
      <c r="F1447" s="19" t="n">
        <v>81.18</v>
      </c>
      <c r="G1447" s="8" t="n">
        <f aca="false">IFERROR(INDEX('TRANS'!$B:$B,MATCH($B1447,'TRANS'!$A:$A,0)),IFERROR(INDEX('TRANS'!$B:$B,MATCH(TRIM(SUBSTITUTE($B1447,CHAR(160)," ")),'TRANS'!$D:$D,0)),IFERROR(INDEX('Catalog'!$A:$A,MATCH($B1447,'Catalog'!$B:$B,0)),IFERROR(INDEX('Catalog'!$A:$A,MATCH(TRIM(SUBSTITUTE($B1447,CHAR(160)," ")),'Catalog'!$C:$C,0)),""))))</f>
        <v>4413420</v>
      </c>
      <c r="H1447" s="8" t="str">
        <f aca="false">IFERROR(INDEX('TRANS'!$C:$C,MATCH($B1447,'TRANS'!$A:$A,0)),IFERROR(INDEX('Catalog'!$B:$B,MATCH($G1447,'Catalog'!$A:$A,0)),$B1447))</f>
        <v>SC35L  S מגן קרסול שמאל</v>
      </c>
      <c r="I1447" s="8" t="str">
        <f aca="false">IF($G1447="","Unmatched","Matched")</f>
        <v>Matched</v>
      </c>
      <c r="J1447" s="8" t="n">
        <f aca="false">IF($G1447&lt;&gt;"",$G1447,$B1447)</f>
        <v>4413420</v>
      </c>
      <c r="K1447" s="8" t="str">
        <f aca="false">IF(COUNTIF($M$1:$M$10,$A1447)&gt;0,"Y","N")</f>
        <v>Y</v>
      </c>
    </row>
    <row r="1448" customFormat="false" ht="15" hidden="false" customHeight="true" outlineLevel="0" collapsed="false">
      <c r="A1448" s="8" t="s">
        <v>53</v>
      </c>
      <c r="B1448" s="8" t="s">
        <v>753</v>
      </c>
      <c r="C1448" s="19" t="n">
        <v>0</v>
      </c>
      <c r="D1448" s="19" t="n">
        <v>0</v>
      </c>
      <c r="E1448" s="19" t="n">
        <v>3</v>
      </c>
      <c r="F1448" s="19" t="n">
        <v>256.04</v>
      </c>
      <c r="G1448" s="8" t="n">
        <f aca="false">IFERROR(INDEX('TRANS'!$B:$B,MATCH($B1448,'TRANS'!$A:$A,0)),IFERROR(INDEX('TRANS'!$B:$B,MATCH(TRIM(SUBSTITUTE($B1448,CHAR(160)," ")),'TRANS'!$D:$D,0)),IFERROR(INDEX('Catalog'!$A:$A,MATCH($B1448,'Catalog'!$B:$B,0)),IFERROR(INDEX('Catalog'!$A:$A,MATCH(TRIM(SUBSTITUTE($B1448,CHAR(160)," ")),'Catalog'!$C:$C,0)),""))))</f>
        <v>4413426</v>
      </c>
      <c r="H1448" s="8" t="str">
        <f aca="false">IFERROR(INDEX('TRANS'!$C:$C,MATCH($B1448,'TRANS'!$A:$A,0)),IFERROR(INDEX('Catalog'!$B:$B,MATCH($G1448,'Catalog'!$A:$A,0)),$B1448))</f>
        <v>SC35R  L מגן קרסול ימין</v>
      </c>
      <c r="I1448" s="8" t="str">
        <f aca="false">IF($G1448="","Unmatched","Matched")</f>
        <v>Matched</v>
      </c>
      <c r="J1448" s="8" t="n">
        <f aca="false">IF($G1448&lt;&gt;"",$G1448,$B1448)</f>
        <v>4413426</v>
      </c>
      <c r="K1448" s="8" t="str">
        <f aca="false">IF(COUNTIF($M$1:$M$10,$A1448)&gt;0,"Y","N")</f>
        <v>Y</v>
      </c>
    </row>
    <row r="1449" customFormat="false" ht="15" hidden="false" customHeight="true" outlineLevel="0" collapsed="false">
      <c r="A1449" s="8" t="s">
        <v>53</v>
      </c>
      <c r="B1449" s="8" t="s">
        <v>754</v>
      </c>
      <c r="C1449" s="19" t="n">
        <v>0</v>
      </c>
      <c r="D1449" s="19" t="n">
        <v>0</v>
      </c>
      <c r="E1449" s="19" t="n">
        <v>2</v>
      </c>
      <c r="F1449" s="19" t="n">
        <v>174.85</v>
      </c>
      <c r="G1449" s="8" t="n">
        <f aca="false">IFERROR(INDEX('TRANS'!$B:$B,MATCH($B1449,'TRANS'!$A:$A,0)),IFERROR(INDEX('TRANS'!$B:$B,MATCH(TRIM(SUBSTITUTE($B1449,CHAR(160)," ")),'TRANS'!$D:$D,0)),IFERROR(INDEX('Catalog'!$A:$A,MATCH($B1449,'Catalog'!$B:$B,0)),IFERROR(INDEX('Catalog'!$A:$A,MATCH(TRIM(SUBSTITUTE($B1449,CHAR(160)," ")),'Catalog'!$C:$C,0)),""))))</f>
        <v>4413425</v>
      </c>
      <c r="H1449" s="8" t="str">
        <f aca="false">IFERROR(INDEX('TRANS'!$C:$C,MATCH($B1449,'TRANS'!$A:$A,0)),IFERROR(INDEX('Catalog'!$B:$B,MATCH($G1449,'Catalog'!$A:$A,0)),$B1449))</f>
        <v>SC35R  M מגן קרסול ימין</v>
      </c>
      <c r="I1449" s="8" t="str">
        <f aca="false">IF($G1449="","Unmatched","Matched")</f>
        <v>Matched</v>
      </c>
      <c r="J1449" s="8" t="n">
        <f aca="false">IF($G1449&lt;&gt;"",$G1449,$B1449)</f>
        <v>4413425</v>
      </c>
      <c r="K1449" s="8" t="str">
        <f aca="false">IF(COUNTIF($M$1:$M$10,$A1449)&gt;0,"Y","N")</f>
        <v>Y</v>
      </c>
    </row>
    <row r="1450" customFormat="false" ht="15" hidden="false" customHeight="true" outlineLevel="0" collapsed="false">
      <c r="A1450" s="8" t="s">
        <v>53</v>
      </c>
      <c r="B1450" s="8" t="s">
        <v>755</v>
      </c>
      <c r="C1450" s="19" t="n">
        <v>0</v>
      </c>
      <c r="D1450" s="19" t="n">
        <v>0</v>
      </c>
      <c r="E1450" s="19" t="n">
        <v>1</v>
      </c>
      <c r="F1450" s="19" t="n">
        <v>81.18</v>
      </c>
      <c r="G1450" s="8" t="n">
        <f aca="false">IFERROR(INDEX('TRANS'!$B:$B,MATCH($B1450,'TRANS'!$A:$A,0)),IFERROR(INDEX('TRANS'!$B:$B,MATCH(TRIM(SUBSTITUTE($B1450,CHAR(160)," ")),'TRANS'!$D:$D,0)),IFERROR(INDEX('Catalog'!$A:$A,MATCH($B1450,'Catalog'!$B:$B,0)),IFERROR(INDEX('Catalog'!$A:$A,MATCH(TRIM(SUBSTITUTE($B1450,CHAR(160)," ")),'Catalog'!$C:$C,0)),""))))</f>
        <v>4413424</v>
      </c>
      <c r="H1450" s="8" t="str">
        <f aca="false">IFERROR(INDEX('TRANS'!$C:$C,MATCH($B1450,'TRANS'!$A:$A,0)),IFERROR(INDEX('Catalog'!$B:$B,MATCH($G1450,'Catalog'!$A:$A,0)),$B1450))</f>
        <v>SC35R  S מגן קרסול ימין</v>
      </c>
      <c r="I1450" s="8" t="str">
        <f aca="false">IF($G1450="","Unmatched","Matched")</f>
        <v>Matched</v>
      </c>
      <c r="J1450" s="8" t="n">
        <f aca="false">IF($G1450&lt;&gt;"",$G1450,$B1450)</f>
        <v>4413424</v>
      </c>
      <c r="K1450" s="8" t="str">
        <f aca="false">IF(COUNTIF($M$1:$M$10,$A1450)&gt;0,"Y","N")</f>
        <v>Y</v>
      </c>
    </row>
    <row r="1451" customFormat="false" ht="15" hidden="false" customHeight="true" outlineLevel="0" collapsed="false">
      <c r="A1451" s="8" t="s">
        <v>53</v>
      </c>
      <c r="B1451" s="8" t="s">
        <v>993</v>
      </c>
      <c r="C1451" s="19" t="n">
        <v>0</v>
      </c>
      <c r="D1451" s="19" t="n">
        <v>0</v>
      </c>
      <c r="E1451" s="19" t="n">
        <v>1</v>
      </c>
      <c r="F1451" s="19" t="n">
        <v>81.18</v>
      </c>
      <c r="G1451" s="8" t="n">
        <f aca="false">IFERROR(INDEX('TRANS'!$B:$B,MATCH($B1451,'TRANS'!$A:$A,0)),IFERROR(INDEX('TRANS'!$B:$B,MATCH(TRIM(SUBSTITUTE($B1451,CHAR(160)," ")),'TRANS'!$D:$D,0)),IFERROR(INDEX('Catalog'!$A:$A,MATCH($B1451,'Catalog'!$B:$B,0)),IFERROR(INDEX('Catalog'!$A:$A,MATCH(TRIM(SUBSTITUTE($B1451,CHAR(160)," ")),'Catalog'!$C:$C,0)),""))))</f>
        <v>4413427</v>
      </c>
      <c r="H1451" s="8" t="str">
        <f aca="false">IFERROR(INDEX('TRANS'!$C:$C,MATCH($B1451,'TRANS'!$A:$A,0)),IFERROR(INDEX('Catalog'!$B:$B,MATCH($G1451,'Catalog'!$A:$A,0)),$B1451))</f>
        <v>SC35R  XLמגן קרסול ימין</v>
      </c>
      <c r="I1451" s="8" t="str">
        <f aca="false">IF($G1451="","Unmatched","Matched")</f>
        <v>Matched</v>
      </c>
      <c r="J1451" s="8" t="n">
        <f aca="false">IF($G1451&lt;&gt;"",$G1451,$B1451)</f>
        <v>4413427</v>
      </c>
      <c r="K1451" s="8" t="str">
        <f aca="false">IF(COUNTIF($M$1:$M$10,$A1451)&gt;0,"Y","N")</f>
        <v>Y</v>
      </c>
    </row>
    <row r="1452" customFormat="false" ht="15" hidden="false" customHeight="true" outlineLevel="0" collapsed="false">
      <c r="A1452" s="8" t="s">
        <v>53</v>
      </c>
      <c r="B1452" s="8" t="s">
        <v>844</v>
      </c>
      <c r="C1452" s="19" t="n">
        <v>0</v>
      </c>
      <c r="D1452" s="19" t="n">
        <v>0</v>
      </c>
      <c r="E1452" s="19" t="n">
        <v>1</v>
      </c>
      <c r="F1452" s="19" t="n">
        <v>121.83</v>
      </c>
      <c r="G1452" s="8" t="n">
        <f aca="false">IFERROR(INDEX('TRANS'!$B:$B,MATCH($B1452,'TRANS'!$A:$A,0)),IFERROR(INDEX('TRANS'!$B:$B,MATCH(TRIM(SUBSTITUTE($B1452,CHAR(160)," ")),'TRANS'!$D:$D,0)),IFERROR(INDEX('Catalog'!$A:$A,MATCH($B1452,'Catalog'!$B:$B,0)),IFERROR(INDEX('Catalog'!$A:$A,MATCH(TRIM(SUBSTITUTE($B1452,CHAR(160)," ")),'Catalog'!$C:$C,0)),""))))</f>
        <v>4413440</v>
      </c>
      <c r="H1452" s="8" t="str">
        <f aca="false">IFERROR(INDEX('TRANS'!$C:$C,MATCH($B1452,'TRANS'!$A:$A,0)),IFERROR(INDEX('Catalog'!$B:$B,MATCH($G1452,'Catalog'!$A:$A,0)),$B1452))</f>
        <v>SC422  L מגן ברך</v>
      </c>
      <c r="I1452" s="8" t="str">
        <f aca="false">IF($G1452="","Unmatched","Matched")</f>
        <v>Matched</v>
      </c>
      <c r="J1452" s="8" t="n">
        <f aca="false">IF($G1452&lt;&gt;"",$G1452,$B1452)</f>
        <v>4413440</v>
      </c>
      <c r="K1452" s="8" t="str">
        <f aca="false">IF(COUNTIF($M$1:$M$10,$A1452)&gt;0,"Y","N")</f>
        <v>Y</v>
      </c>
    </row>
    <row r="1453" customFormat="false" ht="15" hidden="false" customHeight="true" outlineLevel="0" collapsed="false">
      <c r="A1453" s="8" t="s">
        <v>53</v>
      </c>
      <c r="B1453" s="8" t="s">
        <v>757</v>
      </c>
      <c r="C1453" s="19" t="n">
        <v>0</v>
      </c>
      <c r="D1453" s="19" t="n">
        <v>0</v>
      </c>
      <c r="E1453" s="19" t="n">
        <v>4</v>
      </c>
      <c r="F1453" s="19" t="n">
        <v>506.06</v>
      </c>
      <c r="G1453" s="8" t="n">
        <f aca="false">IFERROR(INDEX('TRANS'!$B:$B,MATCH($B1453,'TRANS'!$A:$A,0)),IFERROR(INDEX('TRANS'!$B:$B,MATCH(TRIM(SUBSTITUTE($B1453,CHAR(160)," ")),'TRANS'!$D:$D,0)),IFERROR(INDEX('Catalog'!$A:$A,MATCH($B1453,'Catalog'!$B:$B,0)),IFERROR(INDEX('Catalog'!$A:$A,MATCH(TRIM(SUBSTITUTE($B1453,CHAR(160)," ")),'Catalog'!$C:$C,0)),""))))</f>
        <v>4413439</v>
      </c>
      <c r="H1453" s="8" t="str">
        <f aca="false">IFERROR(INDEX('TRANS'!$C:$C,MATCH($B1453,'TRANS'!$A:$A,0)),IFERROR(INDEX('Catalog'!$B:$B,MATCH($G1453,'Catalog'!$A:$A,0)),$B1453))</f>
        <v>SC422  M מגן ברך</v>
      </c>
      <c r="I1453" s="8" t="str">
        <f aca="false">IF($G1453="","Unmatched","Matched")</f>
        <v>Matched</v>
      </c>
      <c r="J1453" s="8" t="n">
        <f aca="false">IF($G1453&lt;&gt;"",$G1453,$B1453)</f>
        <v>4413439</v>
      </c>
      <c r="K1453" s="8" t="str">
        <f aca="false">IF(COUNTIF($M$1:$M$10,$A1453)&gt;0,"Y","N")</f>
        <v>Y</v>
      </c>
    </row>
    <row r="1454" customFormat="false" ht="15" hidden="false" customHeight="true" outlineLevel="0" collapsed="false">
      <c r="A1454" s="8" t="s">
        <v>53</v>
      </c>
      <c r="B1454" s="8" t="s">
        <v>845</v>
      </c>
      <c r="C1454" s="19" t="n">
        <v>0</v>
      </c>
      <c r="D1454" s="19" t="n">
        <v>0</v>
      </c>
      <c r="E1454" s="19" t="n">
        <v>1</v>
      </c>
      <c r="F1454" s="19" t="n">
        <v>121.83</v>
      </c>
      <c r="G1454" s="8" t="n">
        <f aca="false">IFERROR(INDEX('TRANS'!$B:$B,MATCH($B1454,'TRANS'!$A:$A,0)),IFERROR(INDEX('TRANS'!$B:$B,MATCH(TRIM(SUBSTITUTE($B1454,CHAR(160)," ")),'TRANS'!$D:$D,0)),IFERROR(INDEX('Catalog'!$A:$A,MATCH($B1454,'Catalog'!$B:$B,0)),IFERROR(INDEX('Catalog'!$A:$A,MATCH(TRIM(SUBSTITUTE($B1454,CHAR(160)," ")),'Catalog'!$C:$C,0)),""))))</f>
        <v>4413438</v>
      </c>
      <c r="H1454" s="8" t="str">
        <f aca="false">IFERROR(INDEX('TRANS'!$C:$C,MATCH($B1454,'TRANS'!$A:$A,0)),IFERROR(INDEX('Catalog'!$B:$B,MATCH($G1454,'Catalog'!$A:$A,0)),$B1454))</f>
        <v>SC422  S מגן ברך</v>
      </c>
      <c r="I1454" s="8" t="str">
        <f aca="false">IF($G1454="","Unmatched","Matched")</f>
        <v>Matched</v>
      </c>
      <c r="J1454" s="8" t="n">
        <f aca="false">IF($G1454&lt;&gt;"",$G1454,$B1454)</f>
        <v>4413438</v>
      </c>
      <c r="K1454" s="8" t="str">
        <f aca="false">IF(COUNTIF($M$1:$M$10,$A1454)&gt;0,"Y","N")</f>
        <v>Y</v>
      </c>
    </row>
    <row r="1455" customFormat="false" ht="15" hidden="false" customHeight="true" outlineLevel="0" collapsed="false">
      <c r="A1455" s="8" t="s">
        <v>53</v>
      </c>
      <c r="B1455" s="8" t="s">
        <v>846</v>
      </c>
      <c r="C1455" s="19" t="n">
        <v>0</v>
      </c>
      <c r="D1455" s="19" t="n">
        <v>0</v>
      </c>
      <c r="E1455" s="19" t="n">
        <v>2</v>
      </c>
      <c r="F1455" s="19" t="n">
        <v>262.4</v>
      </c>
      <c r="G1455" s="8" t="n">
        <f aca="false">IFERROR(INDEX('TRANS'!$B:$B,MATCH($B1455,'TRANS'!$A:$A,0)),IFERROR(INDEX('TRANS'!$B:$B,MATCH(TRIM(SUBSTITUTE($B1455,CHAR(160)," ")),'TRANS'!$D:$D,0)),IFERROR(INDEX('Catalog'!$A:$A,MATCH($B1455,'Catalog'!$B:$B,0)),IFERROR(INDEX('Catalog'!$A:$A,MATCH(TRIM(SUBSTITUTE($B1455,CHAR(160)," ")),'Catalog'!$C:$C,0)),""))))</f>
        <v>4413441</v>
      </c>
      <c r="H1455" s="8" t="str">
        <f aca="false">IFERROR(INDEX('TRANS'!$C:$C,MATCH($B1455,'TRANS'!$A:$A,0)),IFERROR(INDEX('Catalog'!$B:$B,MATCH($G1455,'Catalog'!$A:$A,0)),$B1455))</f>
        <v>SC422 XL מגן ברך</v>
      </c>
      <c r="I1455" s="8" t="str">
        <f aca="false">IF($G1455="","Unmatched","Matched")</f>
        <v>Matched</v>
      </c>
      <c r="J1455" s="8" t="n">
        <f aca="false">IF($G1455&lt;&gt;"",$G1455,$B1455)</f>
        <v>4413441</v>
      </c>
      <c r="K1455" s="8" t="str">
        <f aca="false">IF(COUNTIF($M$1:$M$10,$A1455)&gt;0,"Y","N")</f>
        <v>Y</v>
      </c>
    </row>
    <row r="1456" customFormat="false" ht="15" hidden="false" customHeight="true" outlineLevel="0" collapsed="false">
      <c r="A1456" s="8" t="s">
        <v>53</v>
      </c>
      <c r="B1456" s="8" t="s">
        <v>759</v>
      </c>
      <c r="C1456" s="19" t="n">
        <v>0</v>
      </c>
      <c r="D1456" s="19" t="n">
        <v>0</v>
      </c>
      <c r="E1456" s="19" t="n">
        <v>2</v>
      </c>
      <c r="F1456" s="19" t="n">
        <v>162.37</v>
      </c>
      <c r="G1456" s="8" t="n">
        <f aca="false">IFERROR(INDEX('TRANS'!$B:$B,MATCH($B1456,'TRANS'!$A:$A,0)),IFERROR(INDEX('TRANS'!$B:$B,MATCH(TRIM(SUBSTITUTE($B1456,CHAR(160)," ")),'TRANS'!$D:$D,0)),IFERROR(INDEX('Catalog'!$A:$A,MATCH($B1456,'Catalog'!$B:$B,0)),IFERROR(INDEX('Catalog'!$A:$A,MATCH(TRIM(SUBSTITUTE($B1456,CHAR(160)," ")),'Catalog'!$C:$C,0)),""))))</f>
        <v>4413407</v>
      </c>
      <c r="H1456" s="8" t="str">
        <f aca="false">IFERROR(INDEX('TRANS'!$C:$C,MATCH($B1456,'TRANS'!$A:$A,0)),IFERROR(INDEX('Catalog'!$B:$B,MATCH($G1456,'Catalog'!$A:$A,0)),$B1456))</f>
        <v>SC95 L מגן מרפק</v>
      </c>
      <c r="I1456" s="8" t="str">
        <f aca="false">IF($G1456="","Unmatched","Matched")</f>
        <v>Matched</v>
      </c>
      <c r="J1456" s="8" t="n">
        <f aca="false">IF($G1456&lt;&gt;"",$G1456,$B1456)</f>
        <v>4413407</v>
      </c>
      <c r="K1456" s="8" t="str">
        <f aca="false">IF(COUNTIF($M$1:$M$10,$A1456)&gt;0,"Y","N")</f>
        <v>Y</v>
      </c>
    </row>
    <row r="1457" customFormat="false" ht="15" hidden="false" customHeight="true" outlineLevel="0" collapsed="false">
      <c r="A1457" s="8" t="s">
        <v>53</v>
      </c>
      <c r="B1457" s="8" t="s">
        <v>761</v>
      </c>
      <c r="C1457" s="19" t="n">
        <v>0</v>
      </c>
      <c r="D1457" s="19" t="n">
        <v>0</v>
      </c>
      <c r="E1457" s="19" t="n">
        <v>1</v>
      </c>
      <c r="F1457" s="19" t="n">
        <v>81.18</v>
      </c>
      <c r="G1457" s="8" t="n">
        <f aca="false">IFERROR(INDEX('TRANS'!$B:$B,MATCH($B1457,'TRANS'!$A:$A,0)),IFERROR(INDEX('TRANS'!$B:$B,MATCH(TRIM(SUBSTITUTE($B1457,CHAR(160)," ")),'TRANS'!$D:$D,0)),IFERROR(INDEX('Catalog'!$A:$A,MATCH($B1457,'Catalog'!$B:$B,0)),IFERROR(INDEX('Catalog'!$A:$A,MATCH(TRIM(SUBSTITUTE($B1457,CHAR(160)," ")),'Catalog'!$C:$C,0)),""))))</f>
        <v>4413405</v>
      </c>
      <c r="H1457" s="8" t="str">
        <f aca="false">IFERROR(INDEX('TRANS'!$C:$C,MATCH($B1457,'TRANS'!$A:$A,0)),IFERROR(INDEX('Catalog'!$B:$B,MATCH($G1457,'Catalog'!$A:$A,0)),$B1457))</f>
        <v>SC95 S מגן מרפק</v>
      </c>
      <c r="I1457" s="8" t="str">
        <f aca="false">IF($G1457="","Unmatched","Matched")</f>
        <v>Matched</v>
      </c>
      <c r="J1457" s="8" t="n">
        <f aca="false">IF($G1457&lt;&gt;"",$G1457,$B1457)</f>
        <v>4413405</v>
      </c>
      <c r="K1457" s="8" t="str">
        <f aca="false">IF(COUNTIF($M$1:$M$10,$A1457)&gt;0,"Y","N")</f>
        <v>Y</v>
      </c>
    </row>
    <row r="1458" customFormat="false" ht="15" hidden="false" customHeight="true" outlineLevel="0" collapsed="false">
      <c r="A1458" s="8" t="s">
        <v>53</v>
      </c>
      <c r="B1458" s="8" t="s">
        <v>890</v>
      </c>
      <c r="C1458" s="19" t="n">
        <v>2</v>
      </c>
      <c r="D1458" s="19" t="n">
        <v>240</v>
      </c>
      <c r="E1458" s="19" t="n">
        <v>1</v>
      </c>
      <c r="F1458" s="19" t="n">
        <v>120</v>
      </c>
      <c r="G1458" s="8" t="n">
        <f aca="false">IFERROR(INDEX('TRANS'!$B:$B,MATCH($B1458,'TRANS'!$A:$A,0)),IFERROR(INDEX('TRANS'!$B:$B,MATCH(TRIM(SUBSTITUTE($B1458,CHAR(160)," ")),'TRANS'!$D:$D,0)),IFERROR(INDEX('Catalog'!$A:$A,MATCH($B1458,'Catalog'!$B:$B,0)),IFERROR(INDEX('Catalog'!$A:$A,MATCH(TRIM(SUBSTITUTE($B1458,CHAR(160)," ")),'Catalog'!$C:$C,0)),""))))</f>
        <v>4422037</v>
      </c>
      <c r="H1458" s="8" t="str">
        <f aca="false">IFERROR(INDEX('TRANS'!$C:$C,MATCH($B1458,'TRANS'!$A:$A,0)),IFERROR(INDEX('Catalog'!$B:$B,MATCH($G1458,'Catalog'!$A:$A,0)),$B1458))</f>
        <v>SH422 1 תומך ברך גנושילד</v>
      </c>
      <c r="I1458" s="8" t="str">
        <f aca="false">IF($G1458="","Unmatched","Matched")</f>
        <v>Matched</v>
      </c>
      <c r="J1458" s="8" t="n">
        <f aca="false">IF($G1458&lt;&gt;"",$G1458,$B1458)</f>
        <v>4422037</v>
      </c>
      <c r="K1458" s="8" t="str">
        <f aca="false">IF(COUNTIF($M$1:$M$10,$A1458)&gt;0,"Y","N")</f>
        <v>Y</v>
      </c>
    </row>
    <row r="1459" customFormat="false" ht="15" hidden="false" customHeight="true" outlineLevel="0" collapsed="false">
      <c r="A1459" s="8" t="s">
        <v>53</v>
      </c>
      <c r="B1459" s="8" t="s">
        <v>891</v>
      </c>
      <c r="C1459" s="19" t="n">
        <v>4</v>
      </c>
      <c r="D1459" s="19" t="n">
        <v>480</v>
      </c>
      <c r="E1459" s="19" t="n">
        <v>4</v>
      </c>
      <c r="F1459" s="19" t="n">
        <v>240.01</v>
      </c>
      <c r="G1459" s="8" t="n">
        <f aca="false">IFERROR(INDEX('TRANS'!$B:$B,MATCH($B1459,'TRANS'!$A:$A,0)),IFERROR(INDEX('TRANS'!$B:$B,MATCH(TRIM(SUBSTITUTE($B1459,CHAR(160)," ")),'TRANS'!$D:$D,0)),IFERROR(INDEX('Catalog'!$A:$A,MATCH($B1459,'Catalog'!$B:$B,0)),IFERROR(INDEX('Catalog'!$A:$A,MATCH(TRIM(SUBSTITUTE($B1459,CHAR(160)," ")),'Catalog'!$C:$C,0)),""))))</f>
        <v>4422038</v>
      </c>
      <c r="H1459" s="8" t="str">
        <f aca="false">IFERROR(INDEX('TRANS'!$C:$C,MATCH($B1459,'TRANS'!$A:$A,0)),IFERROR(INDEX('Catalog'!$B:$B,MATCH($G1459,'Catalog'!$A:$A,0)),$B1459))</f>
        <v>SH422 2 תומך ברך גנושילד</v>
      </c>
      <c r="I1459" s="8" t="str">
        <f aca="false">IF($G1459="","Unmatched","Matched")</f>
        <v>Matched</v>
      </c>
      <c r="J1459" s="8" t="n">
        <f aca="false">IF($G1459&lt;&gt;"",$G1459,$B1459)</f>
        <v>4422038</v>
      </c>
      <c r="K1459" s="8" t="str">
        <f aca="false">IF(COUNTIF($M$1:$M$10,$A1459)&gt;0,"Y","N")</f>
        <v>Y</v>
      </c>
    </row>
    <row r="1460" customFormat="false" ht="15" hidden="false" customHeight="true" outlineLevel="0" collapsed="false">
      <c r="A1460" s="8" t="s">
        <v>53</v>
      </c>
      <c r="B1460" s="8" t="s">
        <v>894</v>
      </c>
      <c r="C1460" s="19" t="n">
        <v>3</v>
      </c>
      <c r="D1460" s="19" t="n">
        <v>120.02</v>
      </c>
      <c r="E1460" s="19" t="n">
        <v>0</v>
      </c>
      <c r="F1460" s="19" t="n">
        <v>0</v>
      </c>
      <c r="G1460" s="8" t="n">
        <f aca="false">IFERROR(INDEX('TRANS'!$B:$B,MATCH($B1460,'TRANS'!$A:$A,0)),IFERROR(INDEX('TRANS'!$B:$B,MATCH(TRIM(SUBSTITUTE($B1460,CHAR(160)," ")),'TRANS'!$D:$D,0)),IFERROR(INDEX('Catalog'!$A:$A,MATCH($B1460,'Catalog'!$B:$B,0)),IFERROR(INDEX('Catalog'!$A:$A,MATCH(TRIM(SUBSTITUTE($B1460,CHAR(160)," ")),'Catalog'!$C:$C,0)),""))))</f>
        <v>4422042</v>
      </c>
      <c r="H1460" s="8" t="str">
        <f aca="false">IFERROR(INDEX('TRANS'!$C:$C,MATCH($B1460,'TRANS'!$A:$A,0)),IFERROR(INDEX('Catalog'!$B:$B,MATCH($G1460,'Catalog'!$A:$A,0)),$B1460))</f>
        <v>SH422 6 תומך ברך גנושילד</v>
      </c>
      <c r="I1460" s="8" t="str">
        <f aca="false">IF($G1460="","Unmatched","Matched")</f>
        <v>Matched</v>
      </c>
      <c r="J1460" s="8" t="n">
        <f aca="false">IF($G1460&lt;&gt;"",$G1460,$B1460)</f>
        <v>4422042</v>
      </c>
      <c r="K1460" s="8" t="str">
        <f aca="false">IF(COUNTIF($M$1:$M$10,$A1460)&gt;0,"Y","N")</f>
        <v>Y</v>
      </c>
    </row>
    <row r="1461" customFormat="false" ht="15" hidden="false" customHeight="true" outlineLevel="0" collapsed="false">
      <c r="A1461" s="8" t="s">
        <v>53</v>
      </c>
      <c r="B1461" s="8" t="s">
        <v>72</v>
      </c>
      <c r="C1461" s="19" t="n">
        <v>0</v>
      </c>
      <c r="D1461" s="19" t="n">
        <v>0</v>
      </c>
      <c r="E1461" s="19" t="n">
        <v>2</v>
      </c>
      <c r="F1461" s="19" t="n">
        <v>700.36</v>
      </c>
      <c r="G1461" s="8" t="str">
        <f aca="false">IFERROR(INDEX('TRANS'!$B:$B,MATCH($B1461,'TRANS'!$A:$A,0)),IFERROR(INDEX('TRANS'!$B:$B,MATCH(TRIM(SUBSTITUTE($B1461,CHAR(160)," ")),'TRANS'!$D:$D,0)),IFERROR(INDEX('Catalog'!$A:$A,MATCH($B1461,'Catalog'!$B:$B,0)),IFERROR(INDEX('Catalog'!$A:$A,MATCH(TRIM(SUBSTITUTE($B1461,CHAR(160)," ")),'Catalog'!$C:$C,0)),""))))</f>
        <v/>
      </c>
      <c r="H1461" s="8" t="str">
        <f aca="false">IFERROR(INDEX('TRANS'!$C:$C,MATCH($B1461,'TRANS'!$A:$A,0)),IFERROR(INDEX('Catalog'!$B:$B,MATCH($G1461,'Catalog'!$A:$A,0)),$B1461))</f>
        <v>SH776 L</v>
      </c>
      <c r="I1461" s="8" t="str">
        <f aca="false">IF($G1461="","Unmatched","Matched")</f>
        <v>Unmatched</v>
      </c>
      <c r="J1461" s="8" t="str">
        <f aca="false">IF($G1461&lt;&gt;"",$G1461,$B1461)</f>
        <v>SH776 L</v>
      </c>
      <c r="K1461" s="8" t="str">
        <f aca="false">IF(COUNTIF($M$1:$M$10,$A1461)&gt;0,"Y","N")</f>
        <v>Y</v>
      </c>
    </row>
    <row r="1462" customFormat="false" ht="15" hidden="false" customHeight="true" outlineLevel="0" collapsed="false">
      <c r="A1462" s="8" t="s">
        <v>53</v>
      </c>
      <c r="B1462" s="8" t="s">
        <v>86</v>
      </c>
      <c r="C1462" s="19" t="n">
        <v>0</v>
      </c>
      <c r="D1462" s="19" t="n">
        <v>0</v>
      </c>
      <c r="E1462" s="19" t="n">
        <v>2</v>
      </c>
      <c r="F1462" s="19" t="n">
        <v>700.35</v>
      </c>
      <c r="G1462" s="8" t="str">
        <f aca="false">IFERROR(INDEX('TRANS'!$B:$B,MATCH($B1462,'TRANS'!$A:$A,0)),IFERROR(INDEX('TRANS'!$B:$B,MATCH(TRIM(SUBSTITUTE($B1462,CHAR(160)," ")),'TRANS'!$D:$D,0)),IFERROR(INDEX('Catalog'!$A:$A,MATCH($B1462,'Catalog'!$B:$B,0)),IFERROR(INDEX('Catalog'!$A:$A,MATCH(TRIM(SUBSTITUTE($B1462,CHAR(160)," ")),'Catalog'!$C:$C,0)),""))))</f>
        <v/>
      </c>
      <c r="H1462" s="8" t="str">
        <f aca="false">IFERROR(INDEX('TRANS'!$C:$C,MATCH($B1462,'TRANS'!$A:$A,0)),IFERROR(INDEX('Catalog'!$B:$B,MATCH($G1462,'Catalog'!$A:$A,0)),$B1462))</f>
        <v>SH776 XL</v>
      </c>
      <c r="I1462" s="8" t="str">
        <f aca="false">IF($G1462="","Unmatched","Matched")</f>
        <v>Unmatched</v>
      </c>
      <c r="J1462" s="8" t="str">
        <f aca="false">IF($G1462&lt;&gt;"",$G1462,$B1462)</f>
        <v>SH776 XL</v>
      </c>
      <c r="K1462" s="8" t="str">
        <f aca="false">IF(COUNTIF($M$1:$M$10,$A1462)&gt;0,"Y","N")</f>
        <v>Y</v>
      </c>
    </row>
    <row r="1463" customFormat="false" ht="15" hidden="false" customHeight="true" outlineLevel="0" collapsed="false">
      <c r="A1463" s="8" t="s">
        <v>53</v>
      </c>
      <c r="B1463" s="8" t="s">
        <v>195</v>
      </c>
      <c r="C1463" s="19" t="n">
        <v>0</v>
      </c>
      <c r="D1463" s="19" t="n">
        <v>0</v>
      </c>
      <c r="E1463" s="19" t="n">
        <v>1</v>
      </c>
      <c r="F1463" s="19" t="n">
        <v>350.35</v>
      </c>
      <c r="G1463" s="8" t="str">
        <f aca="false">IFERROR(INDEX('TRANS'!$B:$B,MATCH($B1463,'TRANS'!$A:$A,0)),IFERROR(INDEX('TRANS'!$B:$B,MATCH(TRIM(SUBSTITUTE($B1463,CHAR(160)," ")),'TRANS'!$D:$D,0)),IFERROR(INDEX('Catalog'!$A:$A,MATCH($B1463,'Catalog'!$B:$B,0)),IFERROR(INDEX('Catalog'!$A:$A,MATCH(TRIM(SUBSTITUTE($B1463,CHAR(160)," ")),'Catalog'!$C:$C,0)),""))))</f>
        <v/>
      </c>
      <c r="H1463" s="8" t="str">
        <f aca="false">IFERROR(INDEX('TRANS'!$C:$C,MATCH($B1463,'TRANS'!$A:$A,0)),IFERROR(INDEX('Catalog'!$B:$B,MATCH($G1463,'Catalog'!$A:$A,0)),$B1463))</f>
        <v>SH776 XXL</v>
      </c>
      <c r="I1463" s="8" t="str">
        <f aca="false">IF($G1463="","Unmatched","Matched")</f>
        <v>Unmatched</v>
      </c>
      <c r="J1463" s="8" t="str">
        <f aca="false">IF($G1463&lt;&gt;"",$G1463,$B1463)</f>
        <v>SH776 XXL</v>
      </c>
      <c r="K1463" s="8" t="str">
        <f aca="false">IF(COUNTIF($M$1:$M$10,$A1463)&gt;0,"Y","N")</f>
        <v>Y</v>
      </c>
    </row>
    <row r="1464" customFormat="false" ht="15" hidden="false" customHeight="true" outlineLevel="0" collapsed="false">
      <c r="A1464" s="8" t="s">
        <v>53</v>
      </c>
      <c r="B1464" s="8" t="s">
        <v>296</v>
      </c>
      <c r="C1464" s="19" t="n">
        <v>0</v>
      </c>
      <c r="D1464" s="19" t="n">
        <v>0</v>
      </c>
      <c r="E1464" s="19" t="n">
        <v>2</v>
      </c>
      <c r="F1464" s="19" t="n">
        <v>284.28</v>
      </c>
      <c r="G1464" s="8" t="str">
        <f aca="false">IFERROR(INDEX('TRANS'!$B:$B,MATCH($B1464,'TRANS'!$A:$A,0)),IFERROR(INDEX('TRANS'!$B:$B,MATCH(TRIM(SUBSTITUTE($B1464,CHAR(160)," ")),'TRANS'!$D:$D,0)),IFERROR(INDEX('Catalog'!$A:$A,MATCH($B1464,'Catalog'!$B:$B,0)),IFERROR(INDEX('Catalog'!$A:$A,MATCH(TRIM(SUBSTITUTE($B1464,CHAR(160)," ")),'Catalog'!$C:$C,0)),""))))</f>
        <v/>
      </c>
      <c r="H1464" s="8" t="str">
        <f aca="false">IFERROR(INDEX('TRANS'!$C:$C,MATCH($B1464,'TRANS'!$A:$A,0)),IFERROR(INDEX('Catalog'!$B:$B,MATCH($G1464,'Catalog'!$A:$A,0)),$B1464))</f>
        <v>T066B-L-XL</v>
      </c>
      <c r="I1464" s="8" t="str">
        <f aca="false">IF($G1464="","Unmatched","Matched")</f>
        <v>Unmatched</v>
      </c>
      <c r="J1464" s="8" t="str">
        <f aca="false">IF($G1464&lt;&gt;"",$G1464,$B1464)</f>
        <v>T066B-L-XL</v>
      </c>
      <c r="K1464" s="8" t="str">
        <f aca="false">IF(COUNTIF($M$1:$M$10,$A1464)&gt;0,"Y","N")</f>
        <v>Y</v>
      </c>
    </row>
    <row r="1465" customFormat="false" ht="15" hidden="false" customHeight="true" outlineLevel="0" collapsed="false">
      <c r="A1465" s="8" t="s">
        <v>53</v>
      </c>
      <c r="B1465" s="8" t="s">
        <v>240</v>
      </c>
      <c r="C1465" s="19" t="n">
        <v>0</v>
      </c>
      <c r="D1465" s="19" t="n">
        <v>0</v>
      </c>
      <c r="E1465" s="19" t="n">
        <v>2</v>
      </c>
      <c r="F1465" s="19" t="n">
        <v>284.28</v>
      </c>
      <c r="G1465" s="8" t="str">
        <f aca="false">IFERROR(INDEX('TRANS'!$B:$B,MATCH($B1465,'TRANS'!$A:$A,0)),IFERROR(INDEX('TRANS'!$B:$B,MATCH(TRIM(SUBSTITUTE($B1465,CHAR(160)," ")),'TRANS'!$D:$D,0)),IFERROR(INDEX('Catalog'!$A:$A,MATCH($B1465,'Catalog'!$B:$B,0)),IFERROR(INDEX('Catalog'!$A:$A,MATCH(TRIM(SUBSTITUTE($B1465,CHAR(160)," ")),'Catalog'!$C:$C,0)),""))))</f>
        <v/>
      </c>
      <c r="H1465" s="8" t="str">
        <f aca="false">IFERROR(INDEX('TRANS'!$C:$C,MATCH($B1465,'TRANS'!$A:$A,0)),IFERROR(INDEX('Catalog'!$B:$B,MATCH($G1465,'Catalog'!$A:$A,0)),$B1465))</f>
        <v>T066B-S-M</v>
      </c>
      <c r="I1465" s="8" t="str">
        <f aca="false">IF($G1465="","Unmatched","Matched")</f>
        <v>Unmatched</v>
      </c>
      <c r="J1465" s="8" t="str">
        <f aca="false">IF($G1465&lt;&gt;"",$G1465,$B1465)</f>
        <v>T066B-S-M</v>
      </c>
      <c r="K1465" s="8" t="str">
        <f aca="false">IF(COUNTIF($M$1:$M$10,$A1465)&gt;0,"Y","N")</f>
        <v>Y</v>
      </c>
    </row>
    <row r="1466" customFormat="false" ht="15" hidden="false" customHeight="true" outlineLevel="0" collapsed="false">
      <c r="A1466" s="8" t="s">
        <v>53</v>
      </c>
      <c r="B1466" s="8" t="s">
        <v>770</v>
      </c>
      <c r="C1466" s="19" t="n">
        <v>1</v>
      </c>
      <c r="D1466" s="19" t="n">
        <v>40.58</v>
      </c>
      <c r="E1466" s="19" t="n">
        <v>8</v>
      </c>
      <c r="F1466" s="19" t="n">
        <v>362.1</v>
      </c>
      <c r="G1466" s="8" t="n">
        <f aca="false">IFERROR(INDEX('TRANS'!$B:$B,MATCH($B1466,'TRANS'!$A:$A,0)),IFERROR(INDEX('TRANS'!$B:$B,MATCH(TRIM(SUBSTITUTE($B1466,CHAR(160)," ")),'TRANS'!$D:$D,0)),IFERROR(INDEX('Catalog'!$A:$A,MATCH($B1466,'Catalog'!$B:$B,0)),IFERROR(INDEX('Catalog'!$A:$A,MATCH(TRIM(SUBSTITUTE($B1466,CHAR(160)," ")),'Catalog'!$C:$C,0)),""))))</f>
        <v>4408098</v>
      </c>
      <c r="H1466" s="8" t="str">
        <f aca="false">IFERROR(INDEX('TRANS'!$C:$C,MATCH($B1466,'TRANS'!$A:$A,0)),IFERROR(INDEX('Catalog'!$B:$B,MATCH($G1466,'Catalog'!$A:$A,0)),$B1466))</f>
        <v>T25-חבק יד אגודלי</v>
      </c>
      <c r="I1466" s="8" t="str">
        <f aca="false">IF($G1466="","Unmatched","Matched")</f>
        <v>Matched</v>
      </c>
      <c r="J1466" s="8" t="n">
        <f aca="false">IF($G1466&lt;&gt;"",$G1466,$B1466)</f>
        <v>4408098</v>
      </c>
      <c r="K1466" s="8" t="str">
        <f aca="false">IF(COUNTIF($M$1:$M$10,$A1466)&gt;0,"Y","N")</f>
        <v>Y</v>
      </c>
    </row>
    <row r="1467" customFormat="false" ht="15" hidden="false" customHeight="true" outlineLevel="0" collapsed="false">
      <c r="A1467" s="8" t="s">
        <v>53</v>
      </c>
      <c r="B1467" s="8" t="s">
        <v>848</v>
      </c>
      <c r="C1467" s="19" t="n">
        <v>7</v>
      </c>
      <c r="D1467" s="19" t="n">
        <v>300.37</v>
      </c>
      <c r="E1467" s="19" t="n">
        <v>1</v>
      </c>
      <c r="F1467" s="19" t="n">
        <v>40.58</v>
      </c>
      <c r="G1467" s="8" t="n">
        <f aca="false">IFERROR(INDEX('TRANS'!$B:$B,MATCH($B1467,'TRANS'!$A:$A,0)),IFERROR(INDEX('TRANS'!$B:$B,MATCH(TRIM(SUBSTITUTE($B1467,CHAR(160)," ")),'TRANS'!$D:$D,0)),IFERROR(INDEX('Catalog'!$A:$A,MATCH($B1467,'Catalog'!$B:$B,0)),IFERROR(INDEX('Catalog'!$A:$A,MATCH(TRIM(SUBSTITUTE($B1467,CHAR(160)," ")),'Catalog'!$C:$C,0)),""))))</f>
        <v>4408264</v>
      </c>
      <c r="H1467" s="8" t="str">
        <f aca="false">IFERROR(INDEX('TRANS'!$C:$C,MATCH($B1467,'TRANS'!$A:$A,0)),IFERROR(INDEX('Catalog'!$B:$B,MATCH($G1467,'Catalog'!$A:$A,0)),$B1467))</f>
        <v>T25B   חבק יד אגודלי</v>
      </c>
      <c r="I1467" s="8" t="str">
        <f aca="false">IF($G1467="","Unmatched","Matched")</f>
        <v>Matched</v>
      </c>
      <c r="J1467" s="8" t="n">
        <f aca="false">IF($G1467&lt;&gt;"",$G1467,$B1467)</f>
        <v>4408264</v>
      </c>
      <c r="K1467" s="8" t="str">
        <f aca="false">IF(COUNTIF($M$1:$M$10,$A1467)&gt;0,"Y","N")</f>
        <v>Y</v>
      </c>
    </row>
    <row r="1468" customFormat="false" ht="15" hidden="false" customHeight="true" outlineLevel="0" collapsed="false">
      <c r="A1468" s="8" t="s">
        <v>53</v>
      </c>
      <c r="B1468" s="8" t="s">
        <v>904</v>
      </c>
      <c r="C1468" s="19" t="n">
        <v>4</v>
      </c>
      <c r="D1468" s="19" t="n">
        <v>181.05</v>
      </c>
      <c r="E1468" s="19" t="n">
        <v>14</v>
      </c>
      <c r="F1468" s="19" t="n">
        <v>636.78</v>
      </c>
      <c r="G1468" s="8" t="n">
        <f aca="false">IFERROR(INDEX('TRANS'!$B:$B,MATCH($B1468,'TRANS'!$A:$A,0)),IFERROR(INDEX('TRANS'!$B:$B,MATCH(TRIM(SUBSTITUTE($B1468,CHAR(160)," ")),'TRANS'!$D:$D,0)),IFERROR(INDEX('Catalog'!$A:$A,MATCH($B1468,'Catalog'!$B:$B,0)),IFERROR(INDEX('Catalog'!$A:$A,MATCH(TRIM(SUBSTITUTE($B1468,CHAR(160)," ")),'Catalog'!$C:$C,0)),""))))</f>
        <v>4408099</v>
      </c>
      <c r="H1468" s="8" t="str">
        <f aca="false">IFERROR(INDEX('TRANS'!$C:$C,MATCH($B1468,'TRANS'!$A:$A,0)),IFERROR(INDEX('Catalog'!$B:$B,MATCH($G1468,'Catalog'!$A:$A,0)),$B1468))</f>
        <v>T25C-חבק יד אגודלי</v>
      </c>
      <c r="I1468" s="8" t="str">
        <f aca="false">IF($G1468="","Unmatched","Matched")</f>
        <v>Matched</v>
      </c>
      <c r="J1468" s="8" t="n">
        <f aca="false">IF($G1468&lt;&gt;"",$G1468,$B1468)</f>
        <v>4408099</v>
      </c>
      <c r="K1468" s="8" t="str">
        <f aca="false">IF(COUNTIF($M$1:$M$10,$A1468)&gt;0,"Y","N")</f>
        <v>Y</v>
      </c>
    </row>
    <row r="1469" customFormat="false" ht="15" hidden="false" customHeight="true" outlineLevel="0" collapsed="false">
      <c r="A1469" s="8" t="s">
        <v>53</v>
      </c>
      <c r="B1469" s="8" t="s">
        <v>907</v>
      </c>
      <c r="C1469" s="19" t="n">
        <v>0</v>
      </c>
      <c r="D1469" s="19" t="n">
        <v>0</v>
      </c>
      <c r="E1469" s="19" t="n">
        <v>1</v>
      </c>
      <c r="F1469" s="19" t="n">
        <v>69.34</v>
      </c>
      <c r="G1469" s="8" t="n">
        <f aca="false">IFERROR(INDEX('TRANS'!$B:$B,MATCH($B1469,'TRANS'!$A:$A,0)),IFERROR(INDEX('TRANS'!$B:$B,MATCH(TRIM(SUBSTITUTE($B1469,CHAR(160)," ")),'TRANS'!$D:$D,0)),IFERROR(INDEX('Catalog'!$A:$A,MATCH($B1469,'Catalog'!$B:$B,0)),IFERROR(INDEX('Catalog'!$A:$A,MATCH(TRIM(SUBSTITUTE($B1469,CHAR(160)," ")),'Catalog'!$C:$C,0)),""))))</f>
        <v>4413224</v>
      </c>
      <c r="H1469" s="8" t="str">
        <f aca="false">IFERROR(INDEX('TRANS'!$C:$C,MATCH($B1469,'TRANS'!$A:$A,0)),IFERROR(INDEX('Catalog'!$B:$B,MATCH($G1469,'Catalog'!$A:$A,0)),$B1469))</f>
        <v>T45X XL מגן ברך רגיל</v>
      </c>
      <c r="I1469" s="8" t="str">
        <f aca="false">IF($G1469="","Unmatched","Matched")</f>
        <v>Matched</v>
      </c>
      <c r="J1469" s="8" t="n">
        <f aca="false">IF($G1469&lt;&gt;"",$G1469,$B1469)</f>
        <v>4413224</v>
      </c>
      <c r="K1469" s="8" t="str">
        <f aca="false">IF(COUNTIF($M$1:$M$10,$A1469)&gt;0,"Y","N")</f>
        <v>Y</v>
      </c>
    </row>
    <row r="1470" customFormat="false" ht="15" hidden="false" customHeight="true" outlineLevel="0" collapsed="false">
      <c r="A1470" s="8" t="s">
        <v>53</v>
      </c>
      <c r="B1470" s="8" t="s">
        <v>358</v>
      </c>
      <c r="C1470" s="19" t="n">
        <v>0</v>
      </c>
      <c r="D1470" s="19" t="n">
        <v>0</v>
      </c>
      <c r="E1470" s="19" t="n">
        <v>1</v>
      </c>
      <c r="F1470" s="19" t="n">
        <v>81.2</v>
      </c>
      <c r="G1470" s="8" t="str">
        <f aca="false">IFERROR(INDEX('TRANS'!$B:$B,MATCH($B1470,'TRANS'!$A:$A,0)),IFERROR(INDEX('TRANS'!$B:$B,MATCH(TRIM(SUBSTITUTE($B1470,CHAR(160)," ")),'TRANS'!$D:$D,0)),IFERROR(INDEX('Catalog'!$A:$A,MATCH($B1470,'Catalog'!$B:$B,0)),IFERROR(INDEX('Catalog'!$A:$A,MATCH(TRIM(SUBSTITUTE($B1470,CHAR(160)," ")),'Catalog'!$C:$C,0)),""))))</f>
        <v/>
      </c>
      <c r="H1470" s="8" t="str">
        <f aca="false">IFERROR(INDEX('TRANS'!$C:$C,MATCH($B1470,'TRANS'!$A:$A,0)),IFERROR(INDEX('Catalog'!$B:$B,MATCH($G1470,'Catalog'!$A:$A,0)),$B1470))</f>
        <v>T46B L</v>
      </c>
      <c r="I1470" s="8" t="str">
        <f aca="false">IF($G1470="","Unmatched","Matched")</f>
        <v>Unmatched</v>
      </c>
      <c r="J1470" s="8" t="str">
        <f aca="false">IF($G1470&lt;&gt;"",$G1470,$B1470)</f>
        <v>T46B L</v>
      </c>
      <c r="K1470" s="8" t="str">
        <f aca="false">IF(COUNTIF($M$1:$M$10,$A1470)&gt;0,"Y","N")</f>
        <v>Y</v>
      </c>
    </row>
    <row r="1471" customFormat="false" ht="15" hidden="false" customHeight="true" outlineLevel="0" collapsed="false">
      <c r="A1471" s="8" t="s">
        <v>53</v>
      </c>
      <c r="B1471" s="8" t="s">
        <v>274</v>
      </c>
      <c r="C1471" s="19" t="n">
        <v>0</v>
      </c>
      <c r="D1471" s="19" t="n">
        <v>0</v>
      </c>
      <c r="E1471" s="19" t="n">
        <v>1</v>
      </c>
      <c r="F1471" s="19" t="n">
        <v>81.2</v>
      </c>
      <c r="G1471" s="8" t="str">
        <f aca="false">IFERROR(INDEX('TRANS'!$B:$B,MATCH($B1471,'TRANS'!$A:$A,0)),IFERROR(INDEX('TRANS'!$B:$B,MATCH(TRIM(SUBSTITUTE($B1471,CHAR(160)," ")),'TRANS'!$D:$D,0)),IFERROR(INDEX('Catalog'!$A:$A,MATCH($B1471,'Catalog'!$B:$B,0)),IFERROR(INDEX('Catalog'!$A:$A,MATCH(TRIM(SUBSTITUTE($B1471,CHAR(160)," ")),'Catalog'!$C:$C,0)),""))))</f>
        <v/>
      </c>
      <c r="H1471" s="8" t="str">
        <f aca="false">IFERROR(INDEX('TRANS'!$C:$C,MATCH($B1471,'TRANS'!$A:$A,0)),IFERROR(INDEX('Catalog'!$B:$B,MATCH($G1471,'Catalog'!$A:$A,0)),$B1471))</f>
        <v>T46B M</v>
      </c>
      <c r="I1471" s="8" t="str">
        <f aca="false">IF($G1471="","Unmatched","Matched")</f>
        <v>Unmatched</v>
      </c>
      <c r="J1471" s="8" t="str">
        <f aca="false">IF($G1471&lt;&gt;"",$G1471,$B1471)</f>
        <v>T46B M</v>
      </c>
      <c r="K1471" s="8" t="str">
        <f aca="false">IF(COUNTIF($M$1:$M$10,$A1471)&gt;0,"Y","N")</f>
        <v>Y</v>
      </c>
    </row>
    <row r="1472" customFormat="false" ht="15" hidden="false" customHeight="true" outlineLevel="0" collapsed="false">
      <c r="A1472" s="8" t="s">
        <v>53</v>
      </c>
      <c r="B1472" s="8" t="s">
        <v>359</v>
      </c>
      <c r="C1472" s="19" t="n">
        <v>0</v>
      </c>
      <c r="D1472" s="19" t="n">
        <v>0</v>
      </c>
      <c r="E1472" s="19" t="n">
        <v>1</v>
      </c>
      <c r="F1472" s="19" t="n">
        <v>81.21</v>
      </c>
      <c r="G1472" s="8" t="str">
        <f aca="false">IFERROR(INDEX('TRANS'!$B:$B,MATCH($B1472,'TRANS'!$A:$A,0)),IFERROR(INDEX('TRANS'!$B:$B,MATCH(TRIM(SUBSTITUTE($B1472,CHAR(160)," ")),'TRANS'!$D:$D,0)),IFERROR(INDEX('Catalog'!$A:$A,MATCH($B1472,'Catalog'!$B:$B,0)),IFERROR(INDEX('Catalog'!$A:$A,MATCH(TRIM(SUBSTITUTE($B1472,CHAR(160)," ")),'Catalog'!$C:$C,0)),""))))</f>
        <v/>
      </c>
      <c r="H1472" s="8" t="str">
        <f aca="false">IFERROR(INDEX('TRANS'!$C:$C,MATCH($B1472,'TRANS'!$A:$A,0)),IFERROR(INDEX('Catalog'!$B:$B,MATCH($G1472,'Catalog'!$A:$A,0)),$B1472))</f>
        <v>T46B S</v>
      </c>
      <c r="I1472" s="8" t="str">
        <f aca="false">IF($G1472="","Unmatched","Matched")</f>
        <v>Unmatched</v>
      </c>
      <c r="J1472" s="8" t="str">
        <f aca="false">IF($G1472&lt;&gt;"",$G1472,$B1472)</f>
        <v>T46B S</v>
      </c>
      <c r="K1472" s="8" t="str">
        <f aca="false">IF(COUNTIF($M$1:$M$10,$A1472)&gt;0,"Y","N")</f>
        <v>Y</v>
      </c>
    </row>
    <row r="1473" customFormat="false" ht="15" hidden="false" customHeight="true" outlineLevel="0" collapsed="false">
      <c r="A1473" s="8" t="s">
        <v>53</v>
      </c>
      <c r="B1473" s="8" t="s">
        <v>360</v>
      </c>
      <c r="C1473" s="19" t="n">
        <v>0</v>
      </c>
      <c r="D1473" s="19" t="n">
        <v>0</v>
      </c>
      <c r="E1473" s="19" t="n">
        <v>1</v>
      </c>
      <c r="F1473" s="19" t="n">
        <v>81.2</v>
      </c>
      <c r="G1473" s="8" t="str">
        <f aca="false">IFERROR(INDEX('TRANS'!$B:$B,MATCH($B1473,'TRANS'!$A:$A,0)),IFERROR(INDEX('TRANS'!$B:$B,MATCH(TRIM(SUBSTITUTE($B1473,CHAR(160)," ")),'TRANS'!$D:$D,0)),IFERROR(INDEX('Catalog'!$A:$A,MATCH($B1473,'Catalog'!$B:$B,0)),IFERROR(INDEX('Catalog'!$A:$A,MATCH(TRIM(SUBSTITUTE($B1473,CHAR(160)," ")),'Catalog'!$C:$C,0)),""))))</f>
        <v/>
      </c>
      <c r="H1473" s="8" t="str">
        <f aca="false">IFERROR(INDEX('TRANS'!$C:$C,MATCH($B1473,'TRANS'!$A:$A,0)),IFERROR(INDEX('Catalog'!$B:$B,MATCH($G1473,'Catalog'!$A:$A,0)),$B1473))</f>
        <v>T46B XL</v>
      </c>
      <c r="I1473" s="8" t="str">
        <f aca="false">IF($G1473="","Unmatched","Matched")</f>
        <v>Unmatched</v>
      </c>
      <c r="J1473" s="8" t="str">
        <f aca="false">IF($G1473&lt;&gt;"",$G1473,$B1473)</f>
        <v>T46B XL</v>
      </c>
      <c r="K1473" s="8" t="str">
        <f aca="false">IF(COUNTIF($M$1:$M$10,$A1473)&gt;0,"Y","N")</f>
        <v>Y</v>
      </c>
    </row>
    <row r="1474" customFormat="false" ht="15" hidden="false" customHeight="true" outlineLevel="0" collapsed="false">
      <c r="A1474" s="8" t="s">
        <v>53</v>
      </c>
      <c r="B1474" s="8" t="s">
        <v>361</v>
      </c>
      <c r="C1474" s="19" t="n">
        <v>0</v>
      </c>
      <c r="D1474" s="19" t="n">
        <v>0</v>
      </c>
      <c r="E1474" s="19" t="n">
        <v>1</v>
      </c>
      <c r="F1474" s="19" t="n">
        <v>81.2</v>
      </c>
      <c r="G1474" s="8" t="str">
        <f aca="false">IFERROR(INDEX('TRANS'!$B:$B,MATCH($B1474,'TRANS'!$A:$A,0)),IFERROR(INDEX('TRANS'!$B:$B,MATCH(TRIM(SUBSTITUTE($B1474,CHAR(160)," ")),'TRANS'!$D:$D,0)),IFERROR(INDEX('Catalog'!$A:$A,MATCH($B1474,'Catalog'!$B:$B,0)),IFERROR(INDEX('Catalog'!$A:$A,MATCH(TRIM(SUBSTITUTE($B1474,CHAR(160)," ")),'Catalog'!$C:$C,0)),""))))</f>
        <v/>
      </c>
      <c r="H1474" s="8" t="str">
        <f aca="false">IFERROR(INDEX('TRANS'!$C:$C,MATCH($B1474,'TRANS'!$A:$A,0)),IFERROR(INDEX('Catalog'!$B:$B,MATCH($G1474,'Catalog'!$A:$A,0)),$B1474))</f>
        <v>T46B XS</v>
      </c>
      <c r="I1474" s="8" t="str">
        <f aca="false">IF($G1474="","Unmatched","Matched")</f>
        <v>Unmatched</v>
      </c>
      <c r="J1474" s="8" t="str">
        <f aca="false">IF($G1474&lt;&gt;"",$G1474,$B1474)</f>
        <v>T46B XS</v>
      </c>
      <c r="K1474" s="8" t="str">
        <f aca="false">IF(COUNTIF($M$1:$M$10,$A1474)&gt;0,"Y","N")</f>
        <v>Y</v>
      </c>
    </row>
    <row r="1475" customFormat="false" ht="15" hidden="false" customHeight="true" outlineLevel="0" collapsed="false">
      <c r="A1475" s="8" t="s">
        <v>53</v>
      </c>
      <c r="B1475" s="8" t="s">
        <v>451</v>
      </c>
      <c r="C1475" s="19" t="n">
        <v>1</v>
      </c>
      <c r="D1475" s="19" t="n">
        <v>130</v>
      </c>
      <c r="E1475" s="19" t="n">
        <v>0</v>
      </c>
      <c r="F1475" s="19" t="n">
        <v>0</v>
      </c>
      <c r="G1475" s="8" t="str">
        <f aca="false">IFERROR(INDEX('TRANS'!$B:$B,MATCH($B1475,'TRANS'!$A:$A,0)),IFERROR(INDEX('TRANS'!$B:$B,MATCH(TRIM(SUBSTITUTE($B1475,CHAR(160)," ")),'TRANS'!$D:$D,0)),IFERROR(INDEX('Catalog'!$A:$A,MATCH($B1475,'Catalog'!$B:$B,0)),IFERROR(INDEX('Catalog'!$A:$A,MATCH(TRIM(SUBSTITUTE($B1475,CHAR(160)," ")),'Catalog'!$C:$C,0)),""))))</f>
        <v/>
      </c>
      <c r="H1475" s="8" t="str">
        <f aca="false">IFERROR(INDEX('TRANS'!$C:$C,MATCH($B1475,'TRANS'!$A:$A,0)),IFERROR(INDEX('Catalog'!$B:$B,MATCH($G1475,'Catalog'!$A:$A,0)),$B1475))</f>
        <v>355 L</v>
      </c>
      <c r="I1475" s="8" t="str">
        <f aca="false">IF($G1475="","Unmatched","Matched")</f>
        <v>Unmatched</v>
      </c>
      <c r="J1475" s="8" t="str">
        <f aca="false">IF($G1475&lt;&gt;"",$G1475,$B1475)</f>
        <v>355 L</v>
      </c>
      <c r="K1475" s="8" t="str">
        <f aca="false">IF(COUNTIF($M$1:$M$10,$A1475)&gt;0,"Y","N")</f>
        <v>Y</v>
      </c>
    </row>
    <row r="1476" customFormat="false" ht="15" hidden="false" customHeight="true" outlineLevel="0" collapsed="false">
      <c r="A1476" s="8" t="s">
        <v>53</v>
      </c>
      <c r="B1476" s="8" t="s">
        <v>330</v>
      </c>
      <c r="C1476" s="19" t="n">
        <v>1</v>
      </c>
      <c r="D1476" s="19" t="n">
        <v>130</v>
      </c>
      <c r="E1476" s="19" t="n">
        <v>0</v>
      </c>
      <c r="F1476" s="19" t="n">
        <v>0</v>
      </c>
      <c r="G1476" s="8" t="str">
        <f aca="false">IFERROR(INDEX('TRANS'!$B:$B,MATCH($B1476,'TRANS'!$A:$A,0)),IFERROR(INDEX('TRANS'!$B:$B,MATCH(TRIM(SUBSTITUTE($B1476,CHAR(160)," ")),'TRANS'!$D:$D,0)),IFERROR(INDEX('Catalog'!$A:$A,MATCH($B1476,'Catalog'!$B:$B,0)),IFERROR(INDEX('Catalog'!$A:$A,MATCH(TRIM(SUBSTITUTE($B1476,CHAR(160)," ")),'Catalog'!$C:$C,0)),""))))</f>
        <v/>
      </c>
      <c r="H1476" s="8" t="str">
        <f aca="false">IFERROR(INDEX('TRANS'!$C:$C,MATCH($B1476,'TRANS'!$A:$A,0)),IFERROR(INDEX('Catalog'!$B:$B,MATCH($G1476,'Catalog'!$A:$A,0)),$B1476))</f>
        <v>355 M</v>
      </c>
      <c r="I1476" s="8" t="str">
        <f aca="false">IF($G1476="","Unmatched","Matched")</f>
        <v>Unmatched</v>
      </c>
      <c r="J1476" s="8" t="str">
        <f aca="false">IF($G1476&lt;&gt;"",$G1476,$B1476)</f>
        <v>355 M</v>
      </c>
      <c r="K1476" s="8" t="str">
        <f aca="false">IF(COUNTIF($M$1:$M$10,$A1476)&gt;0,"Y","N")</f>
        <v>Y</v>
      </c>
    </row>
    <row r="1477" customFormat="false" ht="15" hidden="false" customHeight="true" outlineLevel="0" collapsed="false">
      <c r="A1477" s="8" t="s">
        <v>53</v>
      </c>
      <c r="B1477" s="8" t="s">
        <v>341</v>
      </c>
      <c r="C1477" s="19" t="n">
        <v>1</v>
      </c>
      <c r="D1477" s="19" t="n">
        <v>130</v>
      </c>
      <c r="E1477" s="19" t="n">
        <v>0</v>
      </c>
      <c r="F1477" s="19" t="n">
        <v>0</v>
      </c>
      <c r="G1477" s="8" t="str">
        <f aca="false">IFERROR(INDEX('TRANS'!$B:$B,MATCH($B1477,'TRANS'!$A:$A,0)),IFERROR(INDEX('TRANS'!$B:$B,MATCH(TRIM(SUBSTITUTE($B1477,CHAR(160)," ")),'TRANS'!$D:$D,0)),IFERROR(INDEX('Catalog'!$A:$A,MATCH($B1477,'Catalog'!$B:$B,0)),IFERROR(INDEX('Catalog'!$A:$A,MATCH(TRIM(SUBSTITUTE($B1477,CHAR(160)," ")),'Catalog'!$C:$C,0)),""))))</f>
        <v/>
      </c>
      <c r="H1477" s="8" t="str">
        <f aca="false">IFERROR(INDEX('TRANS'!$C:$C,MATCH($B1477,'TRANS'!$A:$A,0)),IFERROR(INDEX('Catalog'!$B:$B,MATCH($G1477,'Catalog'!$A:$A,0)),$B1477))</f>
        <v>355 XL</v>
      </c>
      <c r="I1477" s="8" t="str">
        <f aca="false">IF($G1477="","Unmatched","Matched")</f>
        <v>Unmatched</v>
      </c>
      <c r="J1477" s="8" t="str">
        <f aca="false">IF($G1477&lt;&gt;"",$G1477,$B1477)</f>
        <v>355 XL</v>
      </c>
      <c r="K1477" s="8" t="str">
        <f aca="false">IF(COUNTIF($M$1:$M$10,$A1477)&gt;0,"Y","N")</f>
        <v>Y</v>
      </c>
    </row>
    <row r="1478" customFormat="false" ht="15" hidden="false" customHeight="true" outlineLevel="0" collapsed="false">
      <c r="A1478" s="8" t="s">
        <v>53</v>
      </c>
      <c r="B1478" s="8" t="s">
        <v>775</v>
      </c>
      <c r="C1478" s="19" t="n">
        <v>10</v>
      </c>
      <c r="D1478" s="19" t="n">
        <v>1002.81</v>
      </c>
      <c r="E1478" s="19" t="n">
        <v>1</v>
      </c>
      <c r="F1478" s="19" t="n">
        <v>117.13</v>
      </c>
      <c r="G1478" s="8" t="n">
        <f aca="false">IFERROR(INDEX('TRANS'!$B:$B,MATCH($B1478,'TRANS'!$A:$A,0)),IFERROR(INDEX('TRANS'!$B:$B,MATCH(TRIM(SUBSTITUTE($B1478,CHAR(160)," ")),'TRANS'!$D:$D,0)),IFERROR(INDEX('Catalog'!$A:$A,MATCH($B1478,'Catalog'!$B:$B,0)),IFERROR(INDEX('Catalog'!$A:$A,MATCH(TRIM(SUBSTITUTE($B1478,CHAR(160)," ")),'Catalog'!$C:$C,0)),""))))</f>
        <v>4408221</v>
      </c>
      <c r="H1478" s="8" t="str">
        <f aca="false">IFERROR(INDEX('TRANS'!$C:$C,MATCH($B1478,'TRANS'!$A:$A,0)),IFERROR(INDEX('Catalog'!$B:$B,MATCH($G1478,'Catalog'!$A:$A,0)),$B1478))</f>
        <v>078G-L חגורת גב אפורה</v>
      </c>
      <c r="I1478" s="8" t="str">
        <f aca="false">IF($G1478="","Unmatched","Matched")</f>
        <v>Matched</v>
      </c>
      <c r="J1478" s="8" t="n">
        <f aca="false">IF($G1478&lt;&gt;"",$G1478,$B1478)</f>
        <v>4408221</v>
      </c>
      <c r="K1478" s="8" t="str">
        <f aca="false">IF(COUNTIF($M$1:$M$10,$A1478)&gt;0,"Y","N")</f>
        <v>Y</v>
      </c>
    </row>
    <row r="1479" customFormat="false" ht="15" hidden="false" customHeight="true" outlineLevel="0" collapsed="false">
      <c r="A1479" s="8" t="s">
        <v>53</v>
      </c>
      <c r="B1479" s="8" t="s">
        <v>563</v>
      </c>
      <c r="C1479" s="19" t="n">
        <v>9</v>
      </c>
      <c r="D1479" s="19" t="n">
        <v>885.67</v>
      </c>
      <c r="E1479" s="19" t="n">
        <v>2</v>
      </c>
      <c r="F1479" s="19" t="n">
        <v>234.27</v>
      </c>
      <c r="G1479" s="8" t="n">
        <f aca="false">IFERROR(INDEX('TRANS'!$B:$B,MATCH($B1479,'TRANS'!$A:$A,0)),IFERROR(INDEX('TRANS'!$B:$B,MATCH(TRIM(SUBSTITUTE($B1479,CHAR(160)," ")),'TRANS'!$D:$D,0)),IFERROR(INDEX('Catalog'!$A:$A,MATCH($B1479,'Catalog'!$B:$B,0)),IFERROR(INDEX('Catalog'!$A:$A,MATCH(TRIM(SUBSTITUTE($B1479,CHAR(160)," ")),'Catalog'!$C:$C,0)),""))))</f>
        <v>4408220</v>
      </c>
      <c r="H1479" s="8" t="str">
        <f aca="false">IFERROR(INDEX('TRANS'!$C:$C,MATCH($B1479,'TRANS'!$A:$A,0)),IFERROR(INDEX('Catalog'!$B:$B,MATCH($G1479,'Catalog'!$A:$A,0)),$B1479))</f>
        <v>078G-M חגורת גב אפורה</v>
      </c>
      <c r="I1479" s="8" t="str">
        <f aca="false">IF($G1479="","Unmatched","Matched")</f>
        <v>Matched</v>
      </c>
      <c r="J1479" s="8" t="n">
        <f aca="false">IF($G1479&lt;&gt;"",$G1479,$B1479)</f>
        <v>4408220</v>
      </c>
      <c r="K1479" s="8" t="str">
        <f aca="false">IF(COUNTIF($M$1:$M$10,$A1479)&gt;0,"Y","N")</f>
        <v>Y</v>
      </c>
    </row>
    <row r="1480" customFormat="false" ht="15" hidden="false" customHeight="true" outlineLevel="0" collapsed="false">
      <c r="A1480" s="8" t="s">
        <v>53</v>
      </c>
      <c r="B1480" s="8" t="s">
        <v>776</v>
      </c>
      <c r="C1480" s="19" t="n">
        <v>9</v>
      </c>
      <c r="D1480" s="19" t="n">
        <v>843.55</v>
      </c>
      <c r="E1480" s="19" t="n">
        <v>2</v>
      </c>
      <c r="F1480" s="19" t="n">
        <v>234.27</v>
      </c>
      <c r="G1480" s="8" t="n">
        <f aca="false">IFERROR(INDEX('TRANS'!$B:$B,MATCH($B1480,'TRANS'!$A:$A,0)),IFERROR(INDEX('TRANS'!$B:$B,MATCH(TRIM(SUBSTITUTE($B1480,CHAR(160)," ")),'TRANS'!$D:$D,0)),IFERROR(INDEX('Catalog'!$A:$A,MATCH($B1480,'Catalog'!$B:$B,0)),IFERROR(INDEX('Catalog'!$A:$A,MATCH(TRIM(SUBSTITUTE($B1480,CHAR(160)," ")),'Catalog'!$C:$C,0)),""))))</f>
        <v>4408222</v>
      </c>
      <c r="H1480" s="8" t="str">
        <f aca="false">IFERROR(INDEX('TRANS'!$C:$C,MATCH($B1480,'TRANS'!$A:$A,0)),IFERROR(INDEX('Catalog'!$B:$B,MATCH($G1480,'Catalog'!$A:$A,0)),$B1480))</f>
        <v>078G-XLחגורת גב אפורה</v>
      </c>
      <c r="I1480" s="8" t="str">
        <f aca="false">IF($G1480="","Unmatched","Matched")</f>
        <v>Matched</v>
      </c>
      <c r="J1480" s="8" t="n">
        <f aca="false">IF($G1480&lt;&gt;"",$G1480,$B1480)</f>
        <v>4408222</v>
      </c>
      <c r="K1480" s="8" t="str">
        <f aca="false">IF(COUNTIF($M$1:$M$10,$A1480)&gt;0,"Y","N")</f>
        <v>Y</v>
      </c>
    </row>
    <row r="1481" customFormat="false" ht="15" hidden="false" customHeight="true" outlineLevel="0" collapsed="false">
      <c r="A1481" s="8" t="s">
        <v>53</v>
      </c>
      <c r="B1481" s="8" t="s">
        <v>570</v>
      </c>
      <c r="C1481" s="19" t="n">
        <v>1</v>
      </c>
      <c r="D1481" s="19" t="n">
        <v>105</v>
      </c>
      <c r="E1481" s="19" t="n">
        <v>0</v>
      </c>
      <c r="F1481" s="19" t="n">
        <v>0</v>
      </c>
      <c r="G1481" s="8" t="n">
        <f aca="false">IFERROR(INDEX('TRANS'!$B:$B,MATCH($B1481,'TRANS'!$A:$A,0)),IFERROR(INDEX('TRANS'!$B:$B,MATCH(TRIM(SUBSTITUTE($B1481,CHAR(160)," ")),'TRANS'!$D:$D,0)),IFERROR(INDEX('Catalog'!$A:$A,MATCH($B1481,'Catalog'!$B:$B,0)),IFERROR(INDEX('Catalog'!$A:$A,MATCH(TRIM(SUBSTITUTE($B1481,CHAR(160)," ")),'Catalog'!$C:$C,0)),""))))</f>
        <v>4408263</v>
      </c>
      <c r="H1481" s="8" t="str">
        <f aca="false">IFERROR(INDEX('TRANS'!$C:$C,MATCH($B1481,'TRANS'!$A:$A,0)),IFERROR(INDEX('Catalog'!$B:$B,MATCH($G1481,'Catalog'!$A:$A,0)),$B1481))</f>
        <v>11STO XXL חגורה אחרי ניתוח</v>
      </c>
      <c r="I1481" s="8" t="str">
        <f aca="false">IF($G1481="","Unmatched","Matched")</f>
        <v>Matched</v>
      </c>
      <c r="J1481" s="8" t="n">
        <f aca="false">IF($G1481&lt;&gt;"",$G1481,$B1481)</f>
        <v>4408263</v>
      </c>
      <c r="K1481" s="8" t="str">
        <f aca="false">IF(COUNTIF($M$1:$M$10,$A1481)&gt;0,"Y","N")</f>
        <v>Y</v>
      </c>
    </row>
    <row r="1482" customFormat="false" ht="15" hidden="false" customHeight="true" outlineLevel="0" collapsed="false">
      <c r="A1482" s="8" t="s">
        <v>53</v>
      </c>
      <c r="B1482" s="8" t="s">
        <v>440</v>
      </c>
      <c r="C1482" s="19" t="n">
        <v>1</v>
      </c>
      <c r="D1482" s="19" t="n">
        <v>85</v>
      </c>
      <c r="E1482" s="19" t="n">
        <v>0</v>
      </c>
      <c r="F1482" s="19" t="n">
        <v>0</v>
      </c>
      <c r="G1482" s="8" t="str">
        <f aca="false">IFERROR(INDEX('TRANS'!$B:$B,MATCH($B1482,'TRANS'!$A:$A,0)),IFERROR(INDEX('TRANS'!$B:$B,MATCH(TRIM(SUBSTITUTE($B1482,CHAR(160)," ")),'TRANS'!$D:$D,0)),IFERROR(INDEX('Catalog'!$A:$A,MATCH($B1482,'Catalog'!$B:$B,0)),IFERROR(INDEX('Catalog'!$A:$A,MATCH(TRIM(SUBSTITUTE($B1482,CHAR(160)," ")),'Catalog'!$C:$C,0)),""))))</f>
        <v/>
      </c>
      <c r="H1482" s="8" t="str">
        <f aca="false">IFERROR(INDEX('TRANS'!$C:$C,MATCH($B1482,'TRANS'!$A:$A,0)),IFERROR(INDEX('Catalog'!$B:$B,MATCH($G1482,'Catalog'!$A:$A,0)),$B1482))</f>
        <v>422EU L</v>
      </c>
      <c r="I1482" s="8" t="str">
        <f aca="false">IF($G1482="","Unmatched","Matched")</f>
        <v>Unmatched</v>
      </c>
      <c r="J1482" s="8" t="str">
        <f aca="false">IF($G1482&lt;&gt;"",$G1482,$B1482)</f>
        <v>422EU L</v>
      </c>
      <c r="K1482" s="8" t="str">
        <f aca="false">IF(COUNTIF($M$1:$M$10,$A1482)&gt;0,"Y","N")</f>
        <v>Y</v>
      </c>
    </row>
    <row r="1483" customFormat="false" ht="15" hidden="false" customHeight="true" outlineLevel="0" collapsed="false">
      <c r="A1483" s="8" t="s">
        <v>53</v>
      </c>
      <c r="B1483" s="8" t="s">
        <v>731</v>
      </c>
      <c r="C1483" s="19" t="n">
        <v>3</v>
      </c>
      <c r="D1483" s="19" t="n">
        <v>220.76</v>
      </c>
      <c r="E1483" s="19" t="n">
        <v>0</v>
      </c>
      <c r="F1483" s="19" t="n">
        <v>0</v>
      </c>
      <c r="G1483" s="8" t="n">
        <f aca="false">IFERROR(INDEX('TRANS'!$B:$B,MATCH($B1483,'TRANS'!$A:$A,0)),IFERROR(INDEX('TRANS'!$B:$B,MATCH(TRIM(SUBSTITUTE($B1483,CHAR(160)," ")),'TRANS'!$D:$D,0)),IFERROR(INDEX('Catalog'!$A:$A,MATCH($B1483,'Catalog'!$B:$B,0)),IFERROR(INDEX('Catalog'!$A:$A,MATCH(TRIM(SUBSTITUTE($B1483,CHAR(160)," ")),'Catalog'!$C:$C,0)),""))))</f>
        <v>4413329</v>
      </c>
      <c r="H1483" s="8" t="str">
        <f aca="false">IFERROR(INDEX('TRANS'!$C:$C,MATCH($B1483,'TRANS'!$A:$A,0)),IFERROR(INDEX('Catalog'!$B:$B,MATCH($G1483,'Catalog'!$A:$A,0)),$B1483))</f>
        <v>AC45X מגן ברך עם תמיכות</v>
      </c>
      <c r="I1483" s="8" t="str">
        <f aca="false">IF($G1483="","Unmatched","Matched")</f>
        <v>Matched</v>
      </c>
      <c r="J1483" s="8" t="n">
        <f aca="false">IF($G1483&lt;&gt;"",$G1483,$B1483)</f>
        <v>4413329</v>
      </c>
      <c r="K1483" s="8" t="str">
        <f aca="false">IF(COUNTIF($M$1:$M$10,$A1483)&gt;0,"Y","N")</f>
        <v>Y</v>
      </c>
    </row>
    <row r="1484" customFormat="false" ht="15" hidden="false" customHeight="true" outlineLevel="0" collapsed="false">
      <c r="A1484" s="8" t="s">
        <v>53</v>
      </c>
      <c r="B1484" s="8" t="s">
        <v>738</v>
      </c>
      <c r="C1484" s="19" t="n">
        <v>2</v>
      </c>
      <c r="D1484" s="19" t="n">
        <v>72.7</v>
      </c>
      <c r="E1484" s="19" t="n">
        <v>0</v>
      </c>
      <c r="F1484" s="19" t="n">
        <v>0</v>
      </c>
      <c r="G1484" s="8" t="n">
        <f aca="false">IFERROR(INDEX('TRANS'!$B:$B,MATCH($B1484,'TRANS'!$A:$A,0)),IFERROR(INDEX('TRANS'!$B:$B,MATCH(TRIM(SUBSTITUTE($B1484,CHAR(160)," ")),'TRANS'!$D:$D,0)),IFERROR(INDEX('Catalog'!$A:$A,MATCH($B1484,'Catalog'!$B:$B,0)),IFERROR(INDEX('Catalog'!$A:$A,MATCH(TRIM(SUBSTITUTE($B1484,CHAR(160)," ")),'Catalog'!$C:$C,0)),""))))</f>
        <v>4414000</v>
      </c>
      <c r="H1484" s="8" t="str">
        <f aca="false">IFERROR(INDEX('TRANS'!$C:$C,MATCH($B1484,'TRANS'!$A:$A,0)),IFERROR(INDEX('Catalog'!$B:$B,MATCH($G1484,'Catalog'!$A:$A,0)),$B1484))</f>
        <v>FC342-נוזל לציפורן חודרנית</v>
      </c>
      <c r="I1484" s="8" t="str">
        <f aca="false">IF($G1484="","Unmatched","Matched")</f>
        <v>Matched</v>
      </c>
      <c r="J1484" s="8" t="n">
        <f aca="false">IF($G1484&lt;&gt;"",$G1484,$B1484)</f>
        <v>4414000</v>
      </c>
      <c r="K1484" s="8" t="str">
        <f aca="false">IF(COUNTIF($M$1:$M$10,$A1484)&gt;0,"Y","N")</f>
        <v>Y</v>
      </c>
    </row>
    <row r="1485" customFormat="false" ht="15" hidden="false" customHeight="true" outlineLevel="0" collapsed="false">
      <c r="A1485" s="8" t="s">
        <v>53</v>
      </c>
      <c r="B1485" s="8" t="s">
        <v>756</v>
      </c>
      <c r="C1485" s="19" t="n">
        <v>1</v>
      </c>
      <c r="D1485" s="19" t="n">
        <v>145.26</v>
      </c>
      <c r="E1485" s="19" t="n">
        <v>2</v>
      </c>
      <c r="F1485" s="19" t="n">
        <v>328.05</v>
      </c>
      <c r="G1485" s="8" t="n">
        <f aca="false">IFERROR(INDEX('TRANS'!$B:$B,MATCH($B1485,'TRANS'!$A:$A,0)),IFERROR(INDEX('TRANS'!$B:$B,MATCH(TRIM(SUBSTITUTE($B1485,CHAR(160)," ")),'TRANS'!$D:$D,0)),IFERROR(INDEX('Catalog'!$A:$A,MATCH($B1485,'Catalog'!$B:$B,0)),IFERROR(INDEX('Catalog'!$A:$A,MATCH(TRIM(SUBSTITUTE($B1485,CHAR(160)," ")),'Catalog'!$C:$C,0)),""))))</f>
        <v>4413416</v>
      </c>
      <c r="H1485" s="8" t="str">
        <f aca="false">IFERROR(INDEX('TRANS'!$C:$C,MATCH($B1485,'TRANS'!$A:$A,0)),IFERROR(INDEX('Catalog'!$B:$B,MATCH($G1485,'Catalog'!$A:$A,0)),$B1485))</f>
        <v>SC39  M מגן שוק</v>
      </c>
      <c r="I1485" s="8" t="str">
        <f aca="false">IF($G1485="","Unmatched","Matched")</f>
        <v>Matched</v>
      </c>
      <c r="J1485" s="8" t="n">
        <f aca="false">IF($G1485&lt;&gt;"",$G1485,$B1485)</f>
        <v>4413416</v>
      </c>
      <c r="K1485" s="8" t="str">
        <f aca="false">IF(COUNTIF($M$1:$M$10,$A1485)&gt;0,"Y","N")</f>
        <v>Y</v>
      </c>
    </row>
    <row r="1486" customFormat="false" ht="15" hidden="false" customHeight="true" outlineLevel="0" collapsed="false">
      <c r="A1486" s="8" t="s">
        <v>53</v>
      </c>
      <c r="B1486" s="8" t="s">
        <v>760</v>
      </c>
      <c r="C1486" s="19" t="n">
        <v>1</v>
      </c>
      <c r="D1486" s="19" t="n">
        <v>77.29</v>
      </c>
      <c r="E1486" s="19" t="n">
        <v>0</v>
      </c>
      <c r="F1486" s="19" t="n">
        <v>0</v>
      </c>
      <c r="G1486" s="8" t="n">
        <f aca="false">IFERROR(INDEX('TRANS'!$B:$B,MATCH($B1486,'TRANS'!$A:$A,0)),IFERROR(INDEX('TRANS'!$B:$B,MATCH(TRIM(SUBSTITUTE($B1486,CHAR(160)," ")),'TRANS'!$D:$D,0)),IFERROR(INDEX('Catalog'!$A:$A,MATCH($B1486,'Catalog'!$B:$B,0)),IFERROR(INDEX('Catalog'!$A:$A,MATCH(TRIM(SUBSTITUTE($B1486,CHAR(160)," ")),'Catalog'!$C:$C,0)),""))))</f>
        <v>4413406</v>
      </c>
      <c r="H1486" s="8" t="str">
        <f aca="false">IFERROR(INDEX('TRANS'!$C:$C,MATCH($B1486,'TRANS'!$A:$A,0)),IFERROR(INDEX('Catalog'!$B:$B,MATCH($G1486,'Catalog'!$A:$A,0)),$B1486))</f>
        <v>SC95 M מגן מרפק</v>
      </c>
      <c r="I1486" s="8" t="str">
        <f aca="false">IF($G1486="","Unmatched","Matched")</f>
        <v>Matched</v>
      </c>
      <c r="J1486" s="8" t="n">
        <f aca="false">IF($G1486&lt;&gt;"",$G1486,$B1486)</f>
        <v>4413406</v>
      </c>
      <c r="K1486" s="8" t="str">
        <f aca="false">IF(COUNTIF($M$1:$M$10,$A1486)&gt;0,"Y","N")</f>
        <v>Y</v>
      </c>
    </row>
    <row r="1487" customFormat="false" ht="15" hidden="false" customHeight="true" outlineLevel="0" collapsed="false">
      <c r="A1487" s="8" t="s">
        <v>53</v>
      </c>
      <c r="B1487" s="8" t="s">
        <v>611</v>
      </c>
      <c r="C1487" s="19" t="n">
        <v>9</v>
      </c>
      <c r="D1487" s="19" t="n">
        <v>570.39</v>
      </c>
      <c r="E1487" s="19" t="n">
        <v>6</v>
      </c>
      <c r="F1487" s="19" t="n">
        <v>421.56</v>
      </c>
      <c r="G1487" s="8" t="n">
        <f aca="false">IFERROR(INDEX('TRANS'!$B:$B,MATCH($B1487,'TRANS'!$A:$A,0)),IFERROR(INDEX('TRANS'!$B:$B,MATCH(TRIM(SUBSTITUTE($B1487,CHAR(160)," ")),'TRANS'!$D:$D,0)),IFERROR(INDEX('Catalog'!$A:$A,MATCH($B1487,'Catalog'!$B:$B,0)),IFERROR(INDEX('Catalog'!$A:$A,MATCH(TRIM(SUBSTITUTE($B1487,CHAR(160)," ")),'Catalog'!$C:$C,0)),""))))</f>
        <v>4413161</v>
      </c>
      <c r="H1487" s="8" t="str">
        <f aca="false">IFERROR(INDEX('TRANS'!$C:$C,MATCH($B1487,'TRANS'!$A:$A,0)),IFERROR(INDEX('Catalog'!$B:$B,MATCH($G1487,'Catalog'!$A:$A,0)),$B1487))</f>
        <v>34+ L מגן קרסול עקב סגור+רצוע</v>
      </c>
      <c r="I1487" s="8" t="str">
        <f aca="false">IF($G1487="","Unmatched","Matched")</f>
        <v>Matched</v>
      </c>
      <c r="J1487" s="8" t="n">
        <f aca="false">IF($G1487&lt;&gt;"",$G1487,$B1487)</f>
        <v>4413161</v>
      </c>
      <c r="K1487" s="8" t="str">
        <f aca="false">IF(COUNTIF($M$1:$M$10,$A1487)&gt;0,"Y","N")</f>
        <v>Y</v>
      </c>
    </row>
    <row r="1488" customFormat="false" ht="15" hidden="false" customHeight="true" outlineLevel="0" collapsed="false">
      <c r="A1488" s="8" t="s">
        <v>53</v>
      </c>
      <c r="B1488" s="8" t="s">
        <v>790</v>
      </c>
      <c r="C1488" s="19" t="n">
        <v>7</v>
      </c>
      <c r="D1488" s="19" t="n">
        <v>438.72</v>
      </c>
      <c r="E1488" s="19" t="n">
        <v>4</v>
      </c>
      <c r="F1488" s="19" t="n">
        <v>281.04</v>
      </c>
      <c r="G1488" s="8" t="n">
        <f aca="false">IFERROR(INDEX('TRANS'!$B:$B,MATCH($B1488,'TRANS'!$A:$A,0)),IFERROR(INDEX('TRANS'!$B:$B,MATCH(TRIM(SUBSTITUTE($B1488,CHAR(160)," ")),'TRANS'!$D:$D,0)),IFERROR(INDEX('Catalog'!$A:$A,MATCH($B1488,'Catalog'!$B:$B,0)),IFERROR(INDEX('Catalog'!$A:$A,MATCH(TRIM(SUBSTITUTE($B1488,CHAR(160)," ")),'Catalog'!$C:$C,0)),""))))</f>
        <v>4413160</v>
      </c>
      <c r="H1488" s="8" t="str">
        <f aca="false">IFERROR(INDEX('TRANS'!$C:$C,MATCH($B1488,'TRANS'!$A:$A,0)),IFERROR(INDEX('Catalog'!$B:$B,MATCH($G1488,'Catalog'!$A:$A,0)),$B1488))</f>
        <v>34+ M מגן קרסול עקב סגור+רצוע</v>
      </c>
      <c r="I1488" s="8" t="str">
        <f aca="false">IF($G1488="","Unmatched","Matched")</f>
        <v>Matched</v>
      </c>
      <c r="J1488" s="8" t="n">
        <f aca="false">IF($G1488&lt;&gt;"",$G1488,$B1488)</f>
        <v>4413160</v>
      </c>
      <c r="K1488" s="8" t="str">
        <f aca="false">IF(COUNTIF($M$1:$M$10,$A1488)&gt;0,"Y","N")</f>
        <v>Y</v>
      </c>
    </row>
    <row r="1489" customFormat="false" ht="15" hidden="false" customHeight="true" outlineLevel="0" collapsed="false">
      <c r="A1489" s="8" t="s">
        <v>53</v>
      </c>
      <c r="B1489" s="8" t="s">
        <v>612</v>
      </c>
      <c r="C1489" s="19" t="n">
        <v>6</v>
      </c>
      <c r="D1489" s="19" t="n">
        <v>377.31</v>
      </c>
      <c r="E1489" s="19" t="n">
        <v>6</v>
      </c>
      <c r="F1489" s="19" t="n">
        <v>421.56</v>
      </c>
      <c r="G1489" s="8" t="n">
        <f aca="false">IFERROR(INDEX('TRANS'!$B:$B,MATCH($B1489,'TRANS'!$A:$A,0)),IFERROR(INDEX('TRANS'!$B:$B,MATCH(TRIM(SUBSTITUTE($B1489,CHAR(160)," ")),'TRANS'!$D:$D,0)),IFERROR(INDEX('Catalog'!$A:$A,MATCH($B1489,'Catalog'!$B:$B,0)),IFERROR(INDEX('Catalog'!$A:$A,MATCH(TRIM(SUBSTITUTE($B1489,CHAR(160)," ")),'Catalog'!$C:$C,0)),""))))</f>
        <v>4413162</v>
      </c>
      <c r="H1489" s="8" t="str">
        <f aca="false">IFERROR(INDEX('TRANS'!$C:$C,MATCH($B1489,'TRANS'!$A:$A,0)),IFERROR(INDEX('Catalog'!$B:$B,MATCH($G1489,'Catalog'!$A:$A,0)),$B1489))</f>
        <v>34+XL מגן קרסול עקב סגור+רצוע</v>
      </c>
      <c r="I1489" s="8" t="str">
        <f aca="false">IF($G1489="","Unmatched","Matched")</f>
        <v>Matched</v>
      </c>
      <c r="J1489" s="8" t="n">
        <f aca="false">IF($G1489&lt;&gt;"",$G1489,$B1489)</f>
        <v>4413162</v>
      </c>
      <c r="K1489" s="8" t="str">
        <f aca="false">IF(COUNTIF($M$1:$M$10,$A1489)&gt;0,"Y","N")</f>
        <v>Y</v>
      </c>
    </row>
    <row r="1490" customFormat="false" ht="15" hidden="false" customHeight="true" outlineLevel="0" collapsed="false">
      <c r="A1490" s="8" t="s">
        <v>53</v>
      </c>
      <c r="B1490" s="8" t="s">
        <v>620</v>
      </c>
      <c r="C1490" s="19" t="n">
        <v>4</v>
      </c>
      <c r="D1490" s="19" t="n">
        <v>120.1</v>
      </c>
      <c r="E1490" s="19" t="n">
        <v>0</v>
      </c>
      <c r="F1490" s="19" t="n">
        <v>0</v>
      </c>
      <c r="G1490" s="8" t="n">
        <f aca="false">IFERROR(INDEX('TRANS'!$B:$B,MATCH($B1490,'TRANS'!$A:$A,0)),IFERROR(INDEX('TRANS'!$B:$B,MATCH(TRIM(SUBSTITUTE($B1490,CHAR(160)," ")),'TRANS'!$D:$D,0)),IFERROR(INDEX('Catalog'!$A:$A,MATCH($B1490,'Catalog'!$B:$B,0)),IFERROR(INDEX('Catalog'!$A:$A,MATCH(TRIM(SUBSTITUTE($B1490,CHAR(160)," ")),'Catalog'!$C:$C,0)),""))))</f>
        <v>4413053</v>
      </c>
      <c r="H1490" s="8" t="str">
        <f aca="false">IFERROR(INDEX('TRANS'!$C:$C,MATCH($B1490,'TRANS'!$A:$A,0)),IFERROR(INDEX('Catalog'!$B:$B,MATCH($G1490,'Catalog'!$A:$A,0)),$B1490))</f>
        <v>35C L מגן קרסול חום</v>
      </c>
      <c r="I1490" s="8" t="str">
        <f aca="false">IF($G1490="","Unmatched","Matched")</f>
        <v>Matched</v>
      </c>
      <c r="J1490" s="8" t="n">
        <f aca="false">IF($G1490&lt;&gt;"",$G1490,$B1490)</f>
        <v>4413053</v>
      </c>
      <c r="K1490" s="8" t="str">
        <f aca="false">IF(COUNTIF($M$1:$M$10,$A1490)&gt;0,"Y","N")</f>
        <v>Y</v>
      </c>
    </row>
    <row r="1491" customFormat="false" ht="15" hidden="false" customHeight="true" outlineLevel="0" collapsed="false">
      <c r="A1491" s="8" t="s">
        <v>53</v>
      </c>
      <c r="B1491" s="8" t="s">
        <v>621</v>
      </c>
      <c r="C1491" s="19" t="n">
        <v>5</v>
      </c>
      <c r="D1491" s="19" t="n">
        <v>151</v>
      </c>
      <c r="E1491" s="19" t="n">
        <v>0</v>
      </c>
      <c r="F1491" s="19" t="n">
        <v>0</v>
      </c>
      <c r="G1491" s="8" t="n">
        <f aca="false">IFERROR(INDEX('TRANS'!$B:$B,MATCH($B1491,'TRANS'!$A:$A,0)),IFERROR(INDEX('TRANS'!$B:$B,MATCH(TRIM(SUBSTITUTE($B1491,CHAR(160)," ")),'TRANS'!$D:$D,0)),IFERROR(INDEX('Catalog'!$A:$A,MATCH($B1491,'Catalog'!$B:$B,0)),IFERROR(INDEX('Catalog'!$A:$A,MATCH(TRIM(SUBSTITUTE($B1491,CHAR(160)," ")),'Catalog'!$C:$C,0)),""))))</f>
        <v>4413054</v>
      </c>
      <c r="H1491" s="8" t="str">
        <f aca="false">IFERROR(INDEX('TRANS'!$C:$C,MATCH($B1491,'TRANS'!$A:$A,0)),IFERROR(INDEX('Catalog'!$B:$B,MATCH($G1491,'Catalog'!$A:$A,0)),$B1491))</f>
        <v>35C M מגן קרסול חום</v>
      </c>
      <c r="I1491" s="8" t="str">
        <f aca="false">IF($G1491="","Unmatched","Matched")</f>
        <v>Matched</v>
      </c>
      <c r="J1491" s="8" t="n">
        <f aca="false">IF($G1491&lt;&gt;"",$G1491,$B1491)</f>
        <v>4413054</v>
      </c>
      <c r="K1491" s="8" t="str">
        <f aca="false">IF(COUNTIF($M$1:$M$10,$A1491)&gt;0,"Y","N")</f>
        <v>Y</v>
      </c>
    </row>
    <row r="1492" customFormat="false" ht="15" hidden="false" customHeight="true" outlineLevel="0" collapsed="false">
      <c r="A1492" s="8" t="s">
        <v>53</v>
      </c>
      <c r="B1492" s="8" t="s">
        <v>795</v>
      </c>
      <c r="C1492" s="19" t="n">
        <v>4</v>
      </c>
      <c r="D1492" s="19" t="n">
        <v>120.1</v>
      </c>
      <c r="E1492" s="19" t="n">
        <v>0</v>
      </c>
      <c r="F1492" s="19" t="n">
        <v>0</v>
      </c>
      <c r="G1492" s="8" t="n">
        <f aca="false">IFERROR(INDEX('TRANS'!$B:$B,MATCH($B1492,'TRANS'!$A:$A,0)),IFERROR(INDEX('TRANS'!$B:$B,MATCH(TRIM(SUBSTITUTE($B1492,CHAR(160)," ")),'TRANS'!$D:$D,0)),IFERROR(INDEX('Catalog'!$A:$A,MATCH($B1492,'Catalog'!$B:$B,0)),IFERROR(INDEX('Catalog'!$A:$A,MATCH(TRIM(SUBSTITUTE($B1492,CHAR(160)," ")),'Catalog'!$C:$C,0)),""))))</f>
        <v>4413055</v>
      </c>
      <c r="H1492" s="8" t="str">
        <f aca="false">IFERROR(INDEX('TRANS'!$C:$C,MATCH($B1492,'TRANS'!$A:$A,0)),IFERROR(INDEX('Catalog'!$B:$B,MATCH($G1492,'Catalog'!$A:$A,0)),$B1492))</f>
        <v>35C XL מגן קרסול חום</v>
      </c>
      <c r="I1492" s="8" t="str">
        <f aca="false">IF($G1492="","Unmatched","Matched")</f>
        <v>Matched</v>
      </c>
      <c r="J1492" s="8" t="n">
        <f aca="false">IF($G1492&lt;&gt;"",$G1492,$B1492)</f>
        <v>4413055</v>
      </c>
      <c r="K1492" s="8" t="str">
        <f aca="false">IF(COUNTIF($M$1:$M$10,$A1492)&gt;0,"Y","N")</f>
        <v>Y</v>
      </c>
    </row>
    <row r="1493" customFormat="false" ht="15" hidden="false" customHeight="true" outlineLevel="0" collapsed="false">
      <c r="A1493" s="8" t="s">
        <v>53</v>
      </c>
      <c r="B1493" s="8" t="s">
        <v>189</v>
      </c>
      <c r="C1493" s="19" t="n">
        <v>3</v>
      </c>
      <c r="D1493" s="19" t="n">
        <v>89.21</v>
      </c>
      <c r="E1493" s="19" t="n">
        <v>0</v>
      </c>
      <c r="F1493" s="19" t="n">
        <v>0</v>
      </c>
      <c r="G1493" s="8" t="str">
        <f aca="false">IFERROR(INDEX('TRANS'!$B:$B,MATCH($B1493,'TRANS'!$A:$A,0)),IFERROR(INDEX('TRANS'!$B:$B,MATCH(TRIM(SUBSTITUTE($B1493,CHAR(160)," ")),'TRANS'!$D:$D,0)),IFERROR(INDEX('Catalog'!$A:$A,MATCH($B1493,'Catalog'!$B:$B,0)),IFERROR(INDEX('Catalog'!$A:$A,MATCH(TRIM(SUBSTITUTE($B1493,CHAR(160)," ")),'Catalog'!$C:$C,0)),""))))</f>
        <v/>
      </c>
      <c r="H1493" s="8" t="str">
        <f aca="false">IFERROR(INDEX('TRANS'!$C:$C,MATCH($B1493,'TRANS'!$A:$A,0)),IFERROR(INDEX('Catalog'!$B:$B,MATCH($G1493,'Catalog'!$A:$A,0)),$B1493))</f>
        <v>35C XXL</v>
      </c>
      <c r="I1493" s="8" t="str">
        <f aca="false">IF($G1493="","Unmatched","Matched")</f>
        <v>Unmatched</v>
      </c>
      <c r="J1493" s="8" t="str">
        <f aca="false">IF($G1493&lt;&gt;"",$G1493,$B1493)</f>
        <v>35C XXL</v>
      </c>
      <c r="K1493" s="8" t="str">
        <f aca="false">IF(COUNTIF($M$1:$M$10,$A1493)&gt;0,"Y","N")</f>
        <v>Y</v>
      </c>
    </row>
    <row r="1494" customFormat="false" ht="15" hidden="false" customHeight="true" outlineLevel="0" collapsed="false">
      <c r="A1494" s="8" t="s">
        <v>53</v>
      </c>
      <c r="B1494" s="8" t="s">
        <v>707</v>
      </c>
      <c r="C1494" s="19" t="n">
        <v>7</v>
      </c>
      <c r="D1494" s="19" t="n">
        <v>330.86</v>
      </c>
      <c r="E1494" s="19" t="n">
        <v>8</v>
      </c>
      <c r="F1494" s="19" t="n">
        <v>378.36</v>
      </c>
      <c r="G1494" s="8" t="n">
        <f aca="false">IFERROR(INDEX('TRANS'!$B:$B,MATCH($B1494,'TRANS'!$A:$A,0)),IFERROR(INDEX('TRANS'!$B:$B,MATCH(TRIM(SUBSTITUTE($B1494,CHAR(160)," ")),'TRANS'!$D:$D,0)),IFERROR(INDEX('Catalog'!$A:$A,MATCH($B1494,'Catalog'!$B:$B,0)),IFERROR(INDEX('Catalog'!$A:$A,MATCH(TRIM(SUBSTITUTE($B1494,CHAR(160)," ")),'Catalog'!$C:$C,0)),""))))</f>
        <v>4411015</v>
      </c>
      <c r="H1494" s="8" t="str">
        <f aca="false">IFERROR(INDEX('TRANS'!$C:$C,MATCH($B1494,'TRANS'!$A:$A,0)),IFERROR(INDEX('Catalog'!$B:$B,MATCH($G1494,'Catalog'!$A:$A,0)),$B1494))</f>
        <v>820 0 כרית חום וקור</v>
      </c>
      <c r="I1494" s="8" t="str">
        <f aca="false">IF($G1494="","Unmatched","Matched")</f>
        <v>Matched</v>
      </c>
      <c r="J1494" s="8" t="n">
        <f aca="false">IF($G1494&lt;&gt;"",$G1494,$B1494)</f>
        <v>4411015</v>
      </c>
      <c r="K1494" s="8" t="str">
        <f aca="false">IF(COUNTIF($M$1:$M$10,$A1494)&gt;0,"Y","N")</f>
        <v>Y</v>
      </c>
    </row>
    <row r="1495" customFormat="false" ht="15" hidden="false" customHeight="true" outlineLevel="0" collapsed="false">
      <c r="A1495" s="8" t="s">
        <v>53</v>
      </c>
      <c r="B1495" s="8" t="s">
        <v>721</v>
      </c>
      <c r="C1495" s="19" t="n">
        <v>3</v>
      </c>
      <c r="D1495" s="19" t="n">
        <v>92.67</v>
      </c>
      <c r="E1495" s="19" t="n">
        <v>1</v>
      </c>
      <c r="F1495" s="19" t="n">
        <v>30.89</v>
      </c>
      <c r="G1495" s="8" t="n">
        <f aca="false">IFERROR(INDEX('TRANS'!$B:$B,MATCH($B1495,'TRANS'!$A:$A,0)),IFERROR(INDEX('TRANS'!$B:$B,MATCH(TRIM(SUBSTITUTE($B1495,CHAR(160)," ")),'TRANS'!$D:$D,0)),IFERROR(INDEX('Catalog'!$A:$A,MATCH($B1495,'Catalog'!$B:$B,0)),IFERROR(INDEX('Catalog'!$A:$A,MATCH(TRIM(SUBSTITUTE($B1495,CHAR(160)," ")),'Catalog'!$C:$C,0)),""))))</f>
        <v>4413365</v>
      </c>
      <c r="H1495" s="8" t="str">
        <f aca="false">IFERROR(INDEX('TRANS'!$C:$C,MATCH($B1495,'TRANS'!$A:$A,0)),IFERROR(INDEX('Catalog'!$B:$B,MATCH($G1495,'Catalog'!$A:$A,0)),$B1495))</f>
        <v>95C L 'מגן מרפק בז</v>
      </c>
      <c r="I1495" s="8" t="str">
        <f aca="false">IF($G1495="","Unmatched","Matched")</f>
        <v>Matched</v>
      </c>
      <c r="J1495" s="8" t="n">
        <f aca="false">IF($G1495&lt;&gt;"",$G1495,$B1495)</f>
        <v>4413365</v>
      </c>
      <c r="K1495" s="8" t="str">
        <f aca="false">IF(COUNTIF($M$1:$M$10,$A1495)&gt;0,"Y","N")</f>
        <v>Y</v>
      </c>
    </row>
    <row r="1496" customFormat="false" ht="15" hidden="false" customHeight="true" outlineLevel="0" collapsed="false">
      <c r="A1496" s="8" t="s">
        <v>53</v>
      </c>
      <c r="B1496" s="8" t="s">
        <v>722</v>
      </c>
      <c r="C1496" s="19" t="n">
        <v>3</v>
      </c>
      <c r="D1496" s="19" t="n">
        <v>92.67</v>
      </c>
      <c r="E1496" s="19" t="n">
        <v>1</v>
      </c>
      <c r="F1496" s="19" t="n">
        <v>30.9</v>
      </c>
      <c r="G1496" s="8" t="n">
        <f aca="false">IFERROR(INDEX('TRANS'!$B:$B,MATCH($B1496,'TRANS'!$A:$A,0)),IFERROR(INDEX('TRANS'!$B:$B,MATCH(TRIM(SUBSTITUTE($B1496,CHAR(160)," ")),'TRANS'!$D:$D,0)),IFERROR(INDEX('Catalog'!$A:$A,MATCH($B1496,'Catalog'!$B:$B,0)),IFERROR(INDEX('Catalog'!$A:$A,MATCH(TRIM(SUBSTITUTE($B1496,CHAR(160)," ")),'Catalog'!$C:$C,0)),""))))</f>
        <v>4413364</v>
      </c>
      <c r="H1496" s="8" t="str">
        <f aca="false">IFERROR(INDEX('TRANS'!$C:$C,MATCH($B1496,'TRANS'!$A:$A,0)),IFERROR(INDEX('Catalog'!$B:$B,MATCH($G1496,'Catalog'!$A:$A,0)),$B1496))</f>
        <v>95C M 'מגן מרפק בז</v>
      </c>
      <c r="I1496" s="8" t="str">
        <f aca="false">IF($G1496="","Unmatched","Matched")</f>
        <v>Matched</v>
      </c>
      <c r="J1496" s="8" t="n">
        <f aca="false">IF($G1496&lt;&gt;"",$G1496,$B1496)</f>
        <v>4413364</v>
      </c>
      <c r="K1496" s="8" t="str">
        <f aca="false">IF(COUNTIF($M$1:$M$10,$A1496)&gt;0,"Y","N")</f>
        <v>Y</v>
      </c>
    </row>
    <row r="1497" customFormat="false" ht="15" hidden="false" customHeight="true" outlineLevel="0" collapsed="false">
      <c r="A1497" s="8" t="s">
        <v>53</v>
      </c>
      <c r="B1497" s="8" t="s">
        <v>560</v>
      </c>
      <c r="C1497" s="19" t="n">
        <v>3</v>
      </c>
      <c r="D1497" s="19" t="n">
        <v>300.64</v>
      </c>
      <c r="E1497" s="19" t="n">
        <v>1</v>
      </c>
      <c r="F1497" s="19" t="n">
        <v>103.07</v>
      </c>
      <c r="G1497" s="8" t="n">
        <f aca="false">IFERROR(INDEX('TRANS'!$B:$B,MATCH($B1497,'TRANS'!$A:$A,0)),IFERROR(INDEX('TRANS'!$B:$B,MATCH(TRIM(SUBSTITUTE($B1497,CHAR(160)," ")),'TRANS'!$D:$D,0)),IFERROR(INDEX('Catalog'!$A:$A,MATCH($B1497,'Catalog'!$B:$B,0)),IFERROR(INDEX('Catalog'!$A:$A,MATCH(TRIM(SUBSTITUTE($B1497,CHAR(160)," ")),'Catalog'!$C:$C,0)),""))))</f>
        <v>4413328</v>
      </c>
      <c r="H1497" s="8" t="str">
        <f aca="false">IFERROR(INDEX('TRANS'!$C:$C,MATCH($B1497,'TRANS'!$A:$A,0)),IFERROR(INDEX('Catalog'!$B:$B,MATCH($G1497,'Catalog'!$A:$A,0)),$B1497))</f>
        <v>AC43D מגן ברך + צירים</v>
      </c>
      <c r="I1497" s="8" t="str">
        <f aca="false">IF($G1497="","Unmatched","Matched")</f>
        <v>Matched</v>
      </c>
      <c r="J1497" s="8" t="n">
        <f aca="false">IF($G1497&lt;&gt;"",$G1497,$B1497)</f>
        <v>4413328</v>
      </c>
      <c r="K1497" s="8" t="str">
        <f aca="false">IF(COUNTIF($M$1:$M$10,$A1497)&gt;0,"Y","N")</f>
        <v>Y</v>
      </c>
    </row>
    <row r="1498" customFormat="false" ht="15" hidden="false" customHeight="true" outlineLevel="0" collapsed="false">
      <c r="A1498" s="8" t="s">
        <v>53</v>
      </c>
      <c r="B1498" s="8" t="s">
        <v>975</v>
      </c>
      <c r="C1498" s="19" t="n">
        <v>8</v>
      </c>
      <c r="D1498" s="19" t="n">
        <v>284.57</v>
      </c>
      <c r="E1498" s="19" t="n">
        <v>2</v>
      </c>
      <c r="F1498" s="19" t="n">
        <v>71.15</v>
      </c>
      <c r="G1498" s="8" t="n">
        <f aca="false">IFERROR(INDEX('TRANS'!$B:$B,MATCH($B1498,'TRANS'!$A:$A,0)),IFERROR(INDEX('TRANS'!$B:$B,MATCH(TRIM(SUBSTITUTE($B1498,CHAR(160)," ")),'TRANS'!$D:$D,0)),IFERROR(INDEX('Catalog'!$A:$A,MATCH($B1498,'Catalog'!$B:$B,0)),IFERROR(INDEX('Catalog'!$A:$A,MATCH(TRIM(SUBSTITUTE($B1498,CHAR(160)," ")),'Catalog'!$C:$C,0)),""))))</f>
        <v>4408094</v>
      </c>
      <c r="H1498" s="8" t="str">
        <f aca="false">IFERROR(INDEX('TRANS'!$C:$C,MATCH($B1498,'TRANS'!$A:$A,0)),IFERROR(INDEX('Catalog'!$B:$B,MATCH($G1498,'Catalog'!$A:$A,0)),$B1498))</f>
        <v>T20 S-M חבק יד עם צמדן</v>
      </c>
      <c r="I1498" s="8" t="str">
        <f aca="false">IF($G1498="","Unmatched","Matched")</f>
        <v>Matched</v>
      </c>
      <c r="J1498" s="8" t="n">
        <f aca="false">IF($G1498&lt;&gt;"",$G1498,$B1498)</f>
        <v>4408094</v>
      </c>
      <c r="K1498" s="8" t="str">
        <f aca="false">IF(COUNTIF($M$1:$M$10,$A1498)&gt;0,"Y","N")</f>
        <v>Y</v>
      </c>
    </row>
    <row r="1499" customFormat="false" ht="15" hidden="false" customHeight="true" outlineLevel="0" collapsed="false">
      <c r="A1499" s="8" t="s">
        <v>53</v>
      </c>
      <c r="B1499" s="8" t="s">
        <v>969</v>
      </c>
      <c r="C1499" s="19" t="n">
        <v>0</v>
      </c>
      <c r="D1499" s="19" t="n">
        <v>0</v>
      </c>
      <c r="E1499" s="19" t="n">
        <v>3</v>
      </c>
      <c r="F1499" s="19" t="n">
        <v>351.4</v>
      </c>
      <c r="G1499" s="8" t="n">
        <f aca="false">IFERROR(INDEX('TRANS'!$B:$B,MATCH($B1499,'TRANS'!$A:$A,0)),IFERROR(INDEX('TRANS'!$B:$B,MATCH(TRIM(SUBSTITUTE($B1499,CHAR(160)," ")),'TRANS'!$D:$D,0)),IFERROR(INDEX('Catalog'!$A:$A,MATCH($B1499,'Catalog'!$B:$B,0)),IFERROR(INDEX('Catalog'!$A:$A,MATCH(TRIM(SUBSTITUTE($B1499,CHAR(160)," ")),'Catalog'!$C:$C,0)),""))))</f>
        <v>4408219</v>
      </c>
      <c r="H1499" s="8" t="str">
        <f aca="false">IFERROR(INDEX('TRANS'!$C:$C,MATCH($B1499,'TRANS'!$A:$A,0)),IFERROR(INDEX('Catalog'!$B:$B,MATCH($G1499,'Catalog'!$A:$A,0)),$B1499))</f>
        <v>078G-S חגורת גב אפורה</v>
      </c>
      <c r="I1499" s="8" t="str">
        <f aca="false">IF($G1499="","Unmatched","Matched")</f>
        <v>Matched</v>
      </c>
      <c r="J1499" s="8" t="n">
        <f aca="false">IF($G1499&lt;&gt;"",$G1499,$B1499)</f>
        <v>4408219</v>
      </c>
      <c r="K1499" s="8" t="str">
        <f aca="false">IF(COUNTIF($M$1:$M$10,$A1499)&gt;0,"Y","N")</f>
        <v>Y</v>
      </c>
    </row>
    <row r="1500" customFormat="false" ht="15" hidden="false" customHeight="true" outlineLevel="0" collapsed="false">
      <c r="A1500" s="8" t="s">
        <v>53</v>
      </c>
      <c r="B1500" s="8" t="s">
        <v>777</v>
      </c>
      <c r="C1500" s="19" t="n">
        <v>4</v>
      </c>
      <c r="D1500" s="19" t="n">
        <v>300</v>
      </c>
      <c r="E1500" s="19" t="n">
        <v>0</v>
      </c>
      <c r="F1500" s="19" t="n">
        <v>0</v>
      </c>
      <c r="G1500" s="8" t="n">
        <f aca="false">IFERROR(INDEX('TRANS'!$B:$B,MATCH($B1500,'TRANS'!$A:$A,0)),IFERROR(INDEX('TRANS'!$B:$B,MATCH(TRIM(SUBSTITUTE($B1500,CHAR(160)," ")),'TRANS'!$D:$D,0)),IFERROR(INDEX('Catalog'!$A:$A,MATCH($B1500,'Catalog'!$B:$B,0)),IFERROR(INDEX('Catalog'!$A:$A,MATCH(TRIM(SUBSTITUTE($B1500,CHAR(160)," ")),'Catalog'!$C:$C,0)),""))))</f>
        <v>4408223</v>
      </c>
      <c r="H1500" s="8" t="str">
        <f aca="false">IFERROR(INDEX('TRANS'!$C:$C,MATCH($B1500,'TRANS'!$A:$A,0)),IFERROR(INDEX('Catalog'!$B:$B,MATCH($G1500,'Catalog'!$A:$A,0)),$B1500))</f>
        <v>078G-XXLחגורת גב אפורה</v>
      </c>
      <c r="I1500" s="8" t="str">
        <f aca="false">IF($G1500="","Unmatched","Matched")</f>
        <v>Matched</v>
      </c>
      <c r="J1500" s="8" t="n">
        <f aca="false">IF($G1500&lt;&gt;"",$G1500,$B1500)</f>
        <v>4408223</v>
      </c>
      <c r="K1500" s="8" t="str">
        <f aca="false">IF(COUNTIF($M$1:$M$10,$A1500)&gt;0,"Y","N")</f>
        <v>Y</v>
      </c>
    </row>
    <row r="1501" customFormat="false" ht="15" hidden="false" customHeight="true" outlineLevel="0" collapsed="false">
      <c r="A1501" s="8" t="s">
        <v>53</v>
      </c>
      <c r="B1501" s="8" t="s">
        <v>437</v>
      </c>
      <c r="C1501" s="19" t="n">
        <v>6</v>
      </c>
      <c r="D1501" s="19" t="n">
        <v>692.38</v>
      </c>
      <c r="E1501" s="19" t="n">
        <v>0</v>
      </c>
      <c r="F1501" s="19" t="n">
        <v>0</v>
      </c>
      <c r="G1501" s="8" t="str">
        <f aca="false">IFERROR(INDEX('TRANS'!$B:$B,MATCH($B1501,'TRANS'!$A:$A,0)),IFERROR(INDEX('TRANS'!$B:$B,MATCH(TRIM(SUBSTITUTE($B1501,CHAR(160)," ")),'TRANS'!$D:$D,0)),IFERROR(INDEX('Catalog'!$A:$A,MATCH($B1501,'Catalog'!$B:$B,0)),IFERROR(INDEX('Catalog'!$A:$A,MATCH(TRIM(SUBSTITUTE($B1501,CHAR(160)," ")),'Catalog'!$C:$C,0)),""))))</f>
        <v/>
      </c>
      <c r="H1501" s="8" t="str">
        <f aca="false">IFERROR(INDEX('TRANS'!$C:$C,MATCH($B1501,'TRANS'!$A:$A,0)),IFERROR(INDEX('Catalog'!$B:$B,MATCH($G1501,'Catalog'!$A:$A,0)),$B1501))</f>
        <v>422EBU L</v>
      </c>
      <c r="I1501" s="8" t="str">
        <f aca="false">IF($G1501="","Unmatched","Matched")</f>
        <v>Unmatched</v>
      </c>
      <c r="J1501" s="8" t="str">
        <f aca="false">IF($G1501&lt;&gt;"",$G1501,$B1501)</f>
        <v>422EBU L</v>
      </c>
      <c r="K1501" s="8" t="str">
        <f aca="false">IF(COUNTIF($M$1:$M$10,$A1501)&gt;0,"Y","N")</f>
        <v>Y</v>
      </c>
    </row>
    <row r="1502" customFormat="false" ht="15" hidden="false" customHeight="true" outlineLevel="0" collapsed="false">
      <c r="A1502" s="8" t="s">
        <v>53</v>
      </c>
      <c r="B1502" s="8" t="s">
        <v>438</v>
      </c>
      <c r="C1502" s="19" t="n">
        <v>5</v>
      </c>
      <c r="D1502" s="19" t="n">
        <v>450</v>
      </c>
      <c r="E1502" s="19" t="n">
        <v>0</v>
      </c>
      <c r="F1502" s="19" t="n">
        <v>0</v>
      </c>
      <c r="G1502" s="8" t="str">
        <f aca="false">IFERROR(INDEX('TRANS'!$B:$B,MATCH($B1502,'TRANS'!$A:$A,0)),IFERROR(INDEX('TRANS'!$B:$B,MATCH(TRIM(SUBSTITUTE($B1502,CHAR(160)," ")),'TRANS'!$D:$D,0)),IFERROR(INDEX('Catalog'!$A:$A,MATCH($B1502,'Catalog'!$B:$B,0)),IFERROR(INDEX('Catalog'!$A:$A,MATCH(TRIM(SUBSTITUTE($B1502,CHAR(160)," ")),'Catalog'!$C:$C,0)),""))))</f>
        <v/>
      </c>
      <c r="H1502" s="8" t="str">
        <f aca="false">IFERROR(INDEX('TRANS'!$C:$C,MATCH($B1502,'TRANS'!$A:$A,0)),IFERROR(INDEX('Catalog'!$B:$B,MATCH($G1502,'Catalog'!$A:$A,0)),$B1502))</f>
        <v>422EBU M</v>
      </c>
      <c r="I1502" s="8" t="str">
        <f aca="false">IF($G1502="","Unmatched","Matched")</f>
        <v>Unmatched</v>
      </c>
      <c r="J1502" s="8" t="str">
        <f aca="false">IF($G1502&lt;&gt;"",$G1502,$B1502)</f>
        <v>422EBU M</v>
      </c>
      <c r="K1502" s="8" t="str">
        <f aca="false">IF(COUNTIF($M$1:$M$10,$A1502)&gt;0,"Y","N")</f>
        <v>Y</v>
      </c>
    </row>
    <row r="1503" customFormat="false" ht="15" hidden="false" customHeight="true" outlineLevel="0" collapsed="false">
      <c r="A1503" s="8" t="s">
        <v>53</v>
      </c>
      <c r="B1503" s="8" t="s">
        <v>476</v>
      </c>
      <c r="C1503" s="19" t="n">
        <v>6</v>
      </c>
      <c r="D1503" s="19" t="n">
        <v>618.7</v>
      </c>
      <c r="E1503" s="19" t="n">
        <v>0</v>
      </c>
      <c r="F1503" s="19" t="n">
        <v>0</v>
      </c>
      <c r="G1503" s="8" t="str">
        <f aca="false">IFERROR(INDEX('TRANS'!$B:$B,MATCH($B1503,'TRANS'!$A:$A,0)),IFERROR(INDEX('TRANS'!$B:$B,MATCH(TRIM(SUBSTITUTE($B1503,CHAR(160)," ")),'TRANS'!$D:$D,0)),IFERROR(INDEX('Catalog'!$A:$A,MATCH($B1503,'Catalog'!$B:$B,0)),IFERROR(INDEX('Catalog'!$A:$A,MATCH(TRIM(SUBSTITUTE($B1503,CHAR(160)," ")),'Catalog'!$C:$C,0)),""))))</f>
        <v/>
      </c>
      <c r="H1503" s="8" t="str">
        <f aca="false">IFERROR(INDEX('TRANS'!$C:$C,MATCH($B1503,'TRANS'!$A:$A,0)),IFERROR(INDEX('Catalog'!$B:$B,MATCH($G1503,'Catalog'!$A:$A,0)),$B1503))</f>
        <v>422EBU XL</v>
      </c>
      <c r="I1503" s="8" t="str">
        <f aca="false">IF($G1503="","Unmatched","Matched")</f>
        <v>Unmatched</v>
      </c>
      <c r="J1503" s="8" t="str">
        <f aca="false">IF($G1503&lt;&gt;"",$G1503,$B1503)</f>
        <v>422EBU XL</v>
      </c>
      <c r="K1503" s="8" t="str">
        <f aca="false">IF(COUNTIF($M$1:$M$10,$A1503)&gt;0,"Y","N")</f>
        <v>Y</v>
      </c>
    </row>
    <row r="1504" customFormat="false" ht="15" hidden="false" customHeight="true" outlineLevel="0" collapsed="false">
      <c r="A1504" s="8" t="s">
        <v>53</v>
      </c>
      <c r="B1504" s="8" t="s">
        <v>125</v>
      </c>
      <c r="C1504" s="19" t="n">
        <v>2</v>
      </c>
      <c r="D1504" s="19" t="n">
        <v>140</v>
      </c>
      <c r="E1504" s="19" t="n">
        <v>2</v>
      </c>
      <c r="F1504" s="19" t="n">
        <v>140.11</v>
      </c>
      <c r="G1504" s="8" t="str">
        <f aca="false">IFERROR(INDEX('TRANS'!$B:$B,MATCH($B1504,'TRANS'!$A:$A,0)),IFERROR(INDEX('TRANS'!$B:$B,MATCH(TRIM(SUBSTITUTE($B1504,CHAR(160)," ")),'TRANS'!$D:$D,0)),IFERROR(INDEX('Catalog'!$A:$A,MATCH($B1504,'Catalog'!$B:$B,0)),IFERROR(INDEX('Catalog'!$A:$A,MATCH(TRIM(SUBSTITUTE($B1504,CHAR(160)," ")),'Catalog'!$C:$C,0)),""))))</f>
        <v/>
      </c>
      <c r="H1504" s="8" t="str">
        <f aca="false">IFERROR(INDEX('TRANS'!$C:$C,MATCH($B1504,'TRANS'!$A:$A,0)),IFERROR(INDEX('Catalog'!$B:$B,MATCH($G1504,'Catalog'!$A:$A,0)),$B1504))</f>
        <v>099-L-XL</v>
      </c>
      <c r="I1504" s="8" t="str">
        <f aca="false">IF($G1504="","Unmatched","Matched")</f>
        <v>Unmatched</v>
      </c>
      <c r="J1504" s="8" t="str">
        <f aca="false">IF($G1504&lt;&gt;"",$G1504,$B1504)</f>
        <v>099-L-XL</v>
      </c>
      <c r="K1504" s="8" t="str">
        <f aca="false">IF(COUNTIF($M$1:$M$10,$A1504)&gt;0,"Y","N")</f>
        <v>Y</v>
      </c>
    </row>
    <row r="1505" customFormat="false" ht="15" hidden="false" customHeight="true" outlineLevel="0" collapsed="false">
      <c r="A1505" s="8" t="s">
        <v>53</v>
      </c>
      <c r="B1505" s="8" t="s">
        <v>215</v>
      </c>
      <c r="C1505" s="19" t="n">
        <v>2</v>
      </c>
      <c r="D1505" s="19" t="n">
        <v>140</v>
      </c>
      <c r="E1505" s="19" t="n">
        <v>2</v>
      </c>
      <c r="F1505" s="19" t="n">
        <v>139.99</v>
      </c>
      <c r="G1505" s="8" t="str">
        <f aca="false">IFERROR(INDEX('TRANS'!$B:$B,MATCH($B1505,'TRANS'!$A:$A,0)),IFERROR(INDEX('TRANS'!$B:$B,MATCH(TRIM(SUBSTITUTE($B1505,CHAR(160)," ")),'TRANS'!$D:$D,0)),IFERROR(INDEX('Catalog'!$A:$A,MATCH($B1505,'Catalog'!$B:$B,0)),IFERROR(INDEX('Catalog'!$A:$A,MATCH(TRIM(SUBSTITUTE($B1505,CHAR(160)," ")),'Catalog'!$C:$C,0)),""))))</f>
        <v/>
      </c>
      <c r="H1505" s="8" t="str">
        <f aca="false">IFERROR(INDEX('TRANS'!$C:$C,MATCH($B1505,'TRANS'!$A:$A,0)),IFERROR(INDEX('Catalog'!$B:$B,MATCH($G1505,'Catalog'!$A:$A,0)),$B1505))</f>
        <v>099-S-M</v>
      </c>
      <c r="I1505" s="8" t="str">
        <f aca="false">IF($G1505="","Unmatched","Matched")</f>
        <v>Unmatched</v>
      </c>
      <c r="J1505" s="8" t="str">
        <f aca="false">IF($G1505&lt;&gt;"",$G1505,$B1505)</f>
        <v>099-S-M</v>
      </c>
      <c r="K1505" s="8" t="str">
        <f aca="false">IF(COUNTIF($M$1:$M$10,$A1505)&gt;0,"Y","N")</f>
        <v>Y</v>
      </c>
    </row>
    <row r="1506" customFormat="false" ht="15" hidden="false" customHeight="true" outlineLevel="0" collapsed="false">
      <c r="A1506" s="8" t="s">
        <v>53</v>
      </c>
      <c r="B1506" s="8" t="s">
        <v>572</v>
      </c>
      <c r="C1506" s="19" t="n">
        <v>1</v>
      </c>
      <c r="D1506" s="19" t="n">
        <v>165</v>
      </c>
      <c r="E1506" s="19" t="n">
        <v>0</v>
      </c>
      <c r="F1506" s="19" t="n">
        <v>0</v>
      </c>
      <c r="G1506" s="8" t="n">
        <f aca="false">IFERROR(INDEX('TRANS'!$B:$B,MATCH($B1506,'TRANS'!$A:$A,0)),IFERROR(INDEX('TRANS'!$B:$B,MATCH(TRIM(SUBSTITUTE($B1506,CHAR(160)," ")),'TRANS'!$D:$D,0)),IFERROR(INDEX('Catalog'!$A:$A,MATCH($B1506,'Catalog'!$B:$B,0)),IFERROR(INDEX('Catalog'!$A:$A,MATCH(TRIM(SUBSTITUTE($B1506,CHAR(160)," ")),'Catalog'!$C:$C,0)),""))))</f>
        <v>4408203</v>
      </c>
      <c r="H1506" s="8" t="str">
        <f aca="false">IFERROR(INDEX('TRANS'!$C:$C,MATCH($B1506,'TRANS'!$A:$A,0)),IFERROR(INDEX('Catalog'!$B:$B,MATCH($G1506,'Catalog'!$A:$A,0)),$B1506))</f>
        <v>14 0 חגורה למנותחי בית חזה</v>
      </c>
      <c r="I1506" s="8" t="str">
        <f aca="false">IF($G1506="","Unmatched","Matched")</f>
        <v>Matched</v>
      </c>
      <c r="J1506" s="8" t="n">
        <f aca="false">IF($G1506&lt;&gt;"",$G1506,$B1506)</f>
        <v>4408203</v>
      </c>
      <c r="K1506" s="8" t="str">
        <f aca="false">IF(COUNTIF($M$1:$M$10,$A1506)&gt;0,"Y","N")</f>
        <v>Y</v>
      </c>
    </row>
    <row r="1507" customFormat="false" ht="15" hidden="false" customHeight="true" outlineLevel="0" collapsed="false">
      <c r="A1507" s="8" t="s">
        <v>53</v>
      </c>
      <c r="B1507" s="8" t="s">
        <v>229</v>
      </c>
      <c r="C1507" s="19" t="n">
        <v>1</v>
      </c>
      <c r="D1507" s="19" t="n">
        <v>85</v>
      </c>
      <c r="E1507" s="19" t="n">
        <v>0</v>
      </c>
      <c r="F1507" s="19" t="n">
        <v>0</v>
      </c>
      <c r="G1507" s="8" t="str">
        <f aca="false">IFERROR(INDEX('TRANS'!$B:$B,MATCH($B1507,'TRANS'!$A:$A,0)),IFERROR(INDEX('TRANS'!$B:$B,MATCH(TRIM(SUBSTITUTE($B1507,CHAR(160)," ")),'TRANS'!$D:$D,0)),IFERROR(INDEX('Catalog'!$A:$A,MATCH($B1507,'Catalog'!$B:$B,0)),IFERROR(INDEX('Catalog'!$A:$A,MATCH(TRIM(SUBSTITUTE($B1507,CHAR(160)," ")),'Catalog'!$C:$C,0)),""))))</f>
        <v/>
      </c>
      <c r="H1507" s="8" t="str">
        <f aca="false">IFERROR(INDEX('TRANS'!$C:$C,MATCH($B1507,'TRANS'!$A:$A,0)),IFERROR(INDEX('Catalog'!$B:$B,MATCH($G1507,'Catalog'!$A:$A,0)),$B1507))</f>
        <v>15M L</v>
      </c>
      <c r="I1507" s="8" t="str">
        <f aca="false">IF($G1507="","Unmatched","Matched")</f>
        <v>Unmatched</v>
      </c>
      <c r="J1507" s="8" t="str">
        <f aca="false">IF($G1507&lt;&gt;"",$G1507,$B1507)</f>
        <v>15M L</v>
      </c>
      <c r="K1507" s="8" t="str">
        <f aca="false">IF(COUNTIF($M$1:$M$10,$A1507)&gt;0,"Y","N")</f>
        <v>Y</v>
      </c>
    </row>
    <row r="1508" customFormat="false" ht="15" hidden="false" customHeight="true" outlineLevel="0" collapsed="false">
      <c r="A1508" s="8" t="s">
        <v>53</v>
      </c>
      <c r="B1508" s="8" t="s">
        <v>211</v>
      </c>
      <c r="C1508" s="19" t="n">
        <v>1</v>
      </c>
      <c r="D1508" s="19" t="n">
        <v>85</v>
      </c>
      <c r="E1508" s="19" t="n">
        <v>0</v>
      </c>
      <c r="F1508" s="19" t="n">
        <v>0</v>
      </c>
      <c r="G1508" s="8" t="str">
        <f aca="false">IFERROR(INDEX('TRANS'!$B:$B,MATCH($B1508,'TRANS'!$A:$A,0)),IFERROR(INDEX('TRANS'!$B:$B,MATCH(TRIM(SUBSTITUTE($B1508,CHAR(160)," ")),'TRANS'!$D:$D,0)),IFERROR(INDEX('Catalog'!$A:$A,MATCH($B1508,'Catalog'!$B:$B,0)),IFERROR(INDEX('Catalog'!$A:$A,MATCH(TRIM(SUBSTITUTE($B1508,CHAR(160)," ")),'Catalog'!$C:$C,0)),""))))</f>
        <v/>
      </c>
      <c r="H1508" s="8" t="str">
        <f aca="false">IFERROR(INDEX('TRANS'!$C:$C,MATCH($B1508,'TRANS'!$A:$A,0)),IFERROR(INDEX('Catalog'!$B:$B,MATCH($G1508,'Catalog'!$A:$A,0)),$B1508))</f>
        <v>15M XL</v>
      </c>
      <c r="I1508" s="8" t="str">
        <f aca="false">IF($G1508="","Unmatched","Matched")</f>
        <v>Unmatched</v>
      </c>
      <c r="J1508" s="8" t="str">
        <f aca="false">IF($G1508&lt;&gt;"",$G1508,$B1508)</f>
        <v>15M XL</v>
      </c>
      <c r="K1508" s="8" t="str">
        <f aca="false">IF(COUNTIF($M$1:$M$10,$A1508)&gt;0,"Y","N")</f>
        <v>Y</v>
      </c>
    </row>
    <row r="1509" customFormat="false" ht="15" hidden="false" customHeight="true" outlineLevel="0" collapsed="false">
      <c r="A1509" s="8" t="s">
        <v>53</v>
      </c>
      <c r="B1509" s="8" t="s">
        <v>335</v>
      </c>
      <c r="C1509" s="19" t="n">
        <v>0</v>
      </c>
      <c r="D1509" s="19" t="n">
        <v>0</v>
      </c>
      <c r="E1509" s="19" t="n">
        <v>1</v>
      </c>
      <c r="F1509" s="19" t="n">
        <v>33.23</v>
      </c>
      <c r="G1509" s="8" t="str">
        <f aca="false">IFERROR(INDEX('TRANS'!$B:$B,MATCH($B1509,'TRANS'!$A:$A,0)),IFERROR(INDEX('TRANS'!$B:$B,MATCH(TRIM(SUBSTITUTE($B1509,CHAR(160)," ")),'TRANS'!$D:$D,0)),IFERROR(INDEX('Catalog'!$A:$A,MATCH($B1509,'Catalog'!$B:$B,0)),IFERROR(INDEX('Catalog'!$A:$A,MATCH(TRIM(SUBSTITUTE($B1509,CHAR(160)," ")),'Catalog'!$C:$C,0)),""))))</f>
        <v/>
      </c>
      <c r="H1509" s="8" t="str">
        <f aca="false">IFERROR(INDEX('TRANS'!$C:$C,MATCH($B1509,'TRANS'!$A:$A,0)),IFERROR(INDEX('Catalog'!$B:$B,MATCH($G1509,'Catalog'!$A:$A,0)),$B1509))</f>
        <v>20 XS</v>
      </c>
      <c r="I1509" s="8" t="str">
        <f aca="false">IF($G1509="","Unmatched","Matched")</f>
        <v>Unmatched</v>
      </c>
      <c r="J1509" s="8" t="str">
        <f aca="false">IF($G1509&lt;&gt;"",$G1509,$B1509)</f>
        <v>20 XS</v>
      </c>
      <c r="K1509" s="8" t="str">
        <f aca="false">IF(COUNTIF($M$1:$M$10,$A1509)&gt;0,"Y","N")</f>
        <v>Y</v>
      </c>
    </row>
    <row r="1510" customFormat="false" ht="15" hidden="false" customHeight="true" outlineLevel="0" collapsed="false">
      <c r="A1510" s="8" t="s">
        <v>53</v>
      </c>
      <c r="B1510" s="8" t="s">
        <v>786</v>
      </c>
      <c r="C1510" s="19" t="n">
        <v>1</v>
      </c>
      <c r="D1510" s="19" t="n">
        <v>39.8</v>
      </c>
      <c r="E1510" s="19" t="n">
        <v>0</v>
      </c>
      <c r="F1510" s="19" t="n">
        <v>0</v>
      </c>
      <c r="G1510" s="8" t="n">
        <f aca="false">IFERROR(INDEX('TRANS'!$B:$B,MATCH($B1510,'TRANS'!$A:$A,0)),IFERROR(INDEX('TRANS'!$B:$B,MATCH(TRIM(SUBSTITUTE($B1510,CHAR(160)," ")),'TRANS'!$D:$D,0)),IFERROR(INDEX('Catalog'!$A:$A,MATCH($B1510,'Catalog'!$B:$B,0)),IFERROR(INDEX('Catalog'!$A:$A,MATCH(TRIM(SUBSTITUTE($B1510,CHAR(160)," ")),'Catalog'!$C:$C,0)),""))))</f>
        <v>4413399</v>
      </c>
      <c r="H1510" s="8" t="str">
        <f aca="false">IFERROR(INDEX('TRANS'!$C:$C,MATCH($B1510,'TRANS'!$A:$A,0)),IFERROR(INDEX('Catalog'!$B:$B,MATCH($G1510,'Catalog'!$A:$A,0)),$B1510))</f>
        <v>21 XS מגן יד</v>
      </c>
      <c r="I1510" s="8" t="str">
        <f aca="false">IF($G1510="","Unmatched","Matched")</f>
        <v>Matched</v>
      </c>
      <c r="J1510" s="8" t="n">
        <f aca="false">IF($G1510&lt;&gt;"",$G1510,$B1510)</f>
        <v>4413399</v>
      </c>
      <c r="K1510" s="8" t="str">
        <f aca="false">IF(COUNTIF($M$1:$M$10,$A1510)&gt;0,"Y","N")</f>
        <v>Y</v>
      </c>
    </row>
    <row r="1511" customFormat="false" ht="15" hidden="false" customHeight="true" outlineLevel="0" collapsed="false">
      <c r="A1511" s="8" t="s">
        <v>53</v>
      </c>
      <c r="B1511" s="8" t="s">
        <v>271</v>
      </c>
      <c r="C1511" s="19" t="n">
        <v>1</v>
      </c>
      <c r="D1511" s="19" t="n">
        <v>39.79</v>
      </c>
      <c r="E1511" s="19" t="n">
        <v>1</v>
      </c>
      <c r="F1511" s="19" t="n">
        <v>39.79</v>
      </c>
      <c r="G1511" s="8" t="str">
        <f aca="false">IFERROR(INDEX('TRANS'!$B:$B,MATCH($B1511,'TRANS'!$A:$A,0)),IFERROR(INDEX('TRANS'!$B:$B,MATCH(TRIM(SUBSTITUTE($B1511,CHAR(160)," ")),'TRANS'!$D:$D,0)),IFERROR(INDEX('Catalog'!$A:$A,MATCH($B1511,'Catalog'!$B:$B,0)),IFERROR(INDEX('Catalog'!$A:$A,MATCH(TRIM(SUBSTITUTE($B1511,CHAR(160)," ")),'Catalog'!$C:$C,0)),""))))</f>
        <v/>
      </c>
      <c r="H1511" s="8" t="str">
        <f aca="false">IFERROR(INDEX('TRANS'!$C:$C,MATCH($B1511,'TRANS'!$A:$A,0)),IFERROR(INDEX('Catalog'!$B:$B,MATCH($G1511,'Catalog'!$A:$A,0)),$B1511))</f>
        <v>21 XXL</v>
      </c>
      <c r="I1511" s="8" t="str">
        <f aca="false">IF($G1511="","Unmatched","Matched")</f>
        <v>Unmatched</v>
      </c>
      <c r="J1511" s="8" t="str">
        <f aca="false">IF($G1511&lt;&gt;"",$G1511,$B1511)</f>
        <v>21 XXL</v>
      </c>
      <c r="K1511" s="8" t="str">
        <f aca="false">IF(COUNTIF($M$1:$M$10,$A1511)&gt;0,"Y","N")</f>
        <v>Y</v>
      </c>
    </row>
    <row r="1512" customFormat="false" ht="15" hidden="false" customHeight="true" outlineLevel="0" collapsed="false">
      <c r="A1512" s="8" t="s">
        <v>53</v>
      </c>
      <c r="B1512" s="8" t="s">
        <v>942</v>
      </c>
      <c r="C1512" s="19" t="n">
        <v>1</v>
      </c>
      <c r="D1512" s="19" t="n">
        <v>70.26</v>
      </c>
      <c r="E1512" s="19" t="n">
        <v>0</v>
      </c>
      <c r="F1512" s="19" t="n">
        <v>0</v>
      </c>
      <c r="G1512" s="8" t="n">
        <f aca="false">IFERROR(INDEX('TRANS'!$B:$B,MATCH($B1512,'TRANS'!$A:$A,0)),IFERROR(INDEX('TRANS'!$B:$B,MATCH(TRIM(SUBSTITUTE($B1512,CHAR(160)," ")),'TRANS'!$D:$D,0)),IFERROR(INDEX('Catalog'!$A:$A,MATCH($B1512,'Catalog'!$B:$B,0)),IFERROR(INDEX('Catalog'!$A:$A,MATCH(TRIM(SUBSTITUTE($B1512,CHAR(160)," ")),'Catalog'!$C:$C,0)),""))))</f>
        <v>4413159</v>
      </c>
      <c r="H1512" s="8" t="str">
        <f aca="false">IFERROR(INDEX('TRANS'!$C:$C,MATCH($B1512,'TRANS'!$A:$A,0)),IFERROR(INDEX('Catalog'!$B:$B,MATCH($G1512,'Catalog'!$A:$A,0)),$B1512))</f>
        <v>34+ S מגן קרסול עקב סגור+רצוע</v>
      </c>
      <c r="I1512" s="8" t="str">
        <f aca="false">IF($G1512="","Unmatched","Matched")</f>
        <v>Matched</v>
      </c>
      <c r="J1512" s="8" t="n">
        <f aca="false">IF($G1512&lt;&gt;"",$G1512,$B1512)</f>
        <v>4413159</v>
      </c>
      <c r="K1512" s="8" t="str">
        <f aca="false">IF(COUNTIF($M$1:$M$10,$A1512)&gt;0,"Y","N")</f>
        <v>Y</v>
      </c>
    </row>
    <row r="1513" customFormat="false" ht="15" hidden="false" customHeight="true" outlineLevel="0" collapsed="false">
      <c r="A1513" s="8" t="s">
        <v>53</v>
      </c>
      <c r="B1513" s="8" t="s">
        <v>197</v>
      </c>
      <c r="C1513" s="19" t="n">
        <v>1</v>
      </c>
      <c r="D1513" s="19" t="n">
        <v>70.26</v>
      </c>
      <c r="E1513" s="19" t="n">
        <v>0</v>
      </c>
      <c r="F1513" s="19" t="n">
        <v>0</v>
      </c>
      <c r="G1513" s="8" t="str">
        <f aca="false">IFERROR(INDEX('TRANS'!$B:$B,MATCH($B1513,'TRANS'!$A:$A,0)),IFERROR(INDEX('TRANS'!$B:$B,MATCH(TRIM(SUBSTITUTE($B1513,CHAR(160)," ")),'TRANS'!$D:$D,0)),IFERROR(INDEX('Catalog'!$A:$A,MATCH($B1513,'Catalog'!$B:$B,0)),IFERROR(INDEX('Catalog'!$A:$A,MATCH(TRIM(SUBSTITUTE($B1513,CHAR(160)," ")),'Catalog'!$C:$C,0)),""))))</f>
        <v/>
      </c>
      <c r="H1513" s="8" t="str">
        <f aca="false">IFERROR(INDEX('TRANS'!$C:$C,MATCH($B1513,'TRANS'!$A:$A,0)),IFERROR(INDEX('Catalog'!$B:$B,MATCH($G1513,'Catalog'!$A:$A,0)),$B1513))</f>
        <v>34+ XS</v>
      </c>
      <c r="I1513" s="8" t="str">
        <f aca="false">IF($G1513="","Unmatched","Matched")</f>
        <v>Unmatched</v>
      </c>
      <c r="J1513" s="8" t="str">
        <f aca="false">IF($G1513&lt;&gt;"",$G1513,$B1513)</f>
        <v>34+ XS</v>
      </c>
      <c r="K1513" s="8" t="str">
        <f aca="false">IF(COUNTIF($M$1:$M$10,$A1513)&gt;0,"Y","N")</f>
        <v>Y</v>
      </c>
    </row>
    <row r="1514" customFormat="false" ht="15" hidden="false" customHeight="true" outlineLevel="0" collapsed="false">
      <c r="A1514" s="8" t="s">
        <v>53</v>
      </c>
      <c r="B1514" s="8" t="s">
        <v>619</v>
      </c>
      <c r="C1514" s="19" t="n">
        <v>1</v>
      </c>
      <c r="D1514" s="19" t="n">
        <v>30.89</v>
      </c>
      <c r="E1514" s="19" t="n">
        <v>0</v>
      </c>
      <c r="F1514" s="19" t="n">
        <v>0</v>
      </c>
      <c r="G1514" s="8" t="n">
        <f aca="false">IFERROR(INDEX('TRANS'!$B:$B,MATCH($B1514,'TRANS'!$A:$A,0)),IFERROR(INDEX('TRANS'!$B:$B,MATCH(TRIM(SUBSTITUTE($B1514,CHAR(160)," ")),'TRANS'!$D:$D,0)),IFERROR(INDEX('Catalog'!$A:$A,MATCH($B1514,'Catalog'!$B:$B,0)),IFERROR(INDEX('Catalog'!$A:$A,MATCH(TRIM(SUBSTITUTE($B1514,CHAR(160)," ")),'Catalog'!$C:$C,0)),""))))</f>
        <v>4413494</v>
      </c>
      <c r="H1514" s="8" t="str">
        <f aca="false">IFERROR(INDEX('TRANS'!$C:$C,MATCH($B1514,'TRANS'!$A:$A,0)),IFERROR(INDEX('Catalog'!$B:$B,MATCH($G1514,'Catalog'!$A:$A,0)),$B1514))</f>
        <v>35B XXL מגן קרסול שחור</v>
      </c>
      <c r="I1514" s="8" t="str">
        <f aca="false">IF($G1514="","Unmatched","Matched")</f>
        <v>Matched</v>
      </c>
      <c r="J1514" s="8" t="n">
        <f aca="false">IF($G1514&lt;&gt;"",$G1514,$B1514)</f>
        <v>4413494</v>
      </c>
      <c r="K1514" s="8" t="str">
        <f aca="false">IF(COUNTIF($M$1:$M$10,$A1514)&gt;0,"Y","N")</f>
        <v>Y</v>
      </c>
    </row>
    <row r="1515" customFormat="false" ht="15" hidden="false" customHeight="true" outlineLevel="0" collapsed="false">
      <c r="A1515" s="8" t="s">
        <v>53</v>
      </c>
      <c r="B1515" s="8" t="s">
        <v>636</v>
      </c>
      <c r="C1515" s="19" t="n">
        <v>0</v>
      </c>
      <c r="D1515" s="19" t="n">
        <v>0</v>
      </c>
      <c r="E1515" s="19" t="n">
        <v>2</v>
      </c>
      <c r="F1515" s="19" t="n">
        <v>33.64</v>
      </c>
      <c r="G1515" s="8" t="n">
        <f aca="false">IFERROR(INDEX('TRANS'!$B:$B,MATCH($B1515,'TRANS'!$A:$A,0)),IFERROR(INDEX('TRANS'!$B:$B,MATCH(TRIM(SUBSTITUTE($B1515,CHAR(160)," ")),'TRANS'!$D:$D,0)),IFERROR(INDEX('Catalog'!$A:$A,MATCH($B1515,'Catalog'!$B:$B,0)),IFERROR(INDEX('Catalog'!$A:$A,MATCH(TRIM(SUBSTITUTE($B1515,CHAR(160)," ")),'Catalog'!$C:$C,0)),""))))</f>
        <v>4413063</v>
      </c>
      <c r="H1515" s="8" t="str">
        <f aca="false">IFERROR(INDEX('TRANS'!$C:$C,MATCH($B1515,'TRANS'!$A:$A,0)),IFERROR(INDEX('Catalog'!$B:$B,MATCH($G1515,'Catalog'!$A:$A,0)),$B1515))</f>
        <v>366S-'מדבק.לשחרור לחץ מיבלת2יח</v>
      </c>
      <c r="I1515" s="8" t="str">
        <f aca="false">IF($G1515="","Unmatched","Matched")</f>
        <v>Matched</v>
      </c>
      <c r="J1515" s="8" t="n">
        <f aca="false">IF($G1515&lt;&gt;"",$G1515,$B1515)</f>
        <v>4413063</v>
      </c>
      <c r="K1515" s="8" t="str">
        <f aca="false">IF(COUNTIF($M$1:$M$10,$A1515)&gt;0,"Y","N")</f>
        <v>Y</v>
      </c>
    </row>
    <row r="1516" customFormat="false" ht="15" hidden="false" customHeight="true" outlineLevel="0" collapsed="false">
      <c r="A1516" s="8" t="s">
        <v>53</v>
      </c>
      <c r="B1516" s="8" t="s">
        <v>489</v>
      </c>
      <c r="C1516" s="19" t="n">
        <v>3</v>
      </c>
      <c r="D1516" s="19" t="n">
        <v>285</v>
      </c>
      <c r="E1516" s="19" t="n">
        <v>0</v>
      </c>
      <c r="F1516" s="19" t="n">
        <v>0</v>
      </c>
      <c r="G1516" s="8" t="str">
        <f aca="false">IFERROR(INDEX('TRANS'!$B:$B,MATCH($B1516,'TRANS'!$A:$A,0)),IFERROR(INDEX('TRANS'!$B:$B,MATCH(TRIM(SUBSTITUTE($B1516,CHAR(160)," ")),'TRANS'!$D:$D,0)),IFERROR(INDEX('Catalog'!$A:$A,MATCH($B1516,'Catalog'!$B:$B,0)),IFERROR(INDEX('Catalog'!$A:$A,MATCH(TRIM(SUBSTITUTE($B1516,CHAR(160)," ")),'Catalog'!$C:$C,0)),""))))</f>
        <v/>
      </c>
      <c r="H1516" s="8" t="str">
        <f aca="false">IFERROR(INDEX('TRANS'!$C:$C,MATCH($B1516,'TRANS'!$A:$A,0)),IFERROR(INDEX('Catalog'!$B:$B,MATCH($G1516,'Catalog'!$A:$A,0)),$B1516))</f>
        <v>422EBU S</v>
      </c>
      <c r="I1516" s="8" t="str">
        <f aca="false">IF($G1516="","Unmatched","Matched")</f>
        <v>Unmatched</v>
      </c>
      <c r="J1516" s="8" t="str">
        <f aca="false">IF($G1516&lt;&gt;"",$G1516,$B1516)</f>
        <v>422EBU S</v>
      </c>
      <c r="K1516" s="8" t="str">
        <f aca="false">IF(COUNTIF($M$1:$M$10,$A1516)&gt;0,"Y","N")</f>
        <v>Y</v>
      </c>
    </row>
    <row r="1517" customFormat="false" ht="15" hidden="false" customHeight="true" outlineLevel="0" collapsed="false">
      <c r="A1517" s="8" t="s">
        <v>53</v>
      </c>
      <c r="B1517" s="8" t="s">
        <v>439</v>
      </c>
      <c r="C1517" s="19" t="n">
        <v>2</v>
      </c>
      <c r="D1517" s="19" t="n">
        <v>190</v>
      </c>
      <c r="E1517" s="19" t="n">
        <v>0</v>
      </c>
      <c r="F1517" s="19" t="n">
        <v>0</v>
      </c>
      <c r="G1517" s="8" t="str">
        <f aca="false">IFERROR(INDEX('TRANS'!$B:$B,MATCH($B1517,'TRANS'!$A:$A,0)),IFERROR(INDEX('TRANS'!$B:$B,MATCH(TRIM(SUBSTITUTE($B1517,CHAR(160)," ")),'TRANS'!$D:$D,0)),IFERROR(INDEX('Catalog'!$A:$A,MATCH($B1517,'Catalog'!$B:$B,0)),IFERROR(INDEX('Catalog'!$A:$A,MATCH(TRIM(SUBSTITUTE($B1517,CHAR(160)," ")),'Catalog'!$C:$C,0)),""))))</f>
        <v/>
      </c>
      <c r="H1517" s="8" t="str">
        <f aca="false">IFERROR(INDEX('TRANS'!$C:$C,MATCH($B1517,'TRANS'!$A:$A,0)),IFERROR(INDEX('Catalog'!$B:$B,MATCH($G1517,'Catalog'!$A:$A,0)),$B1517))</f>
        <v>422EBU XXL</v>
      </c>
      <c r="I1517" s="8" t="str">
        <f aca="false">IF($G1517="","Unmatched","Matched")</f>
        <v>Unmatched</v>
      </c>
      <c r="J1517" s="8" t="str">
        <f aca="false">IF($G1517&lt;&gt;"",$G1517,$B1517)</f>
        <v>422EBU XXL</v>
      </c>
      <c r="K1517" s="8" t="str">
        <f aca="false">IF(COUNTIF($M$1:$M$10,$A1517)&gt;0,"Y","N")</f>
        <v>Y</v>
      </c>
    </row>
    <row r="1518" customFormat="false" ht="15" hidden="false" customHeight="true" outlineLevel="0" collapsed="false">
      <c r="A1518" s="8" t="s">
        <v>53</v>
      </c>
      <c r="B1518" s="8" t="s">
        <v>803</v>
      </c>
      <c r="C1518" s="19" t="n">
        <v>2</v>
      </c>
      <c r="D1518" s="19" t="n">
        <v>38</v>
      </c>
      <c r="E1518" s="19" t="n">
        <v>1</v>
      </c>
      <c r="F1518" s="19" t="n">
        <v>30.89</v>
      </c>
      <c r="G1518" s="8" t="n">
        <f aca="false">IFERROR(INDEX('TRANS'!$B:$B,MATCH($B1518,'TRANS'!$A:$A,0)),IFERROR(INDEX('TRANS'!$B:$B,MATCH(TRIM(SUBSTITUTE($B1518,CHAR(160)," ")),'TRANS'!$D:$D,0)),IFERROR(INDEX('Catalog'!$A:$A,MATCH($B1518,'Catalog'!$B:$B,0)),IFERROR(INDEX('Catalog'!$A:$A,MATCH(TRIM(SUBSTITUTE($B1518,CHAR(160)," ")),'Catalog'!$C:$C,0)),""))))</f>
        <v>4413499</v>
      </c>
      <c r="H1518" s="8" t="str">
        <f aca="false">IFERROR(INDEX('TRANS'!$C:$C,MATCH($B1518,'TRANS'!$A:$A,0)),IFERROR(INDEX('Catalog'!$B:$B,MATCH($G1518,'Catalog'!$A:$A,0)),$B1518))</f>
        <v>45B XXLמגן ברך שחור</v>
      </c>
      <c r="I1518" s="8" t="str">
        <f aca="false">IF($G1518="","Unmatched","Matched")</f>
        <v>Matched</v>
      </c>
      <c r="J1518" s="8" t="n">
        <f aca="false">IF($G1518&lt;&gt;"",$G1518,$B1518)</f>
        <v>4413499</v>
      </c>
      <c r="K1518" s="8" t="str">
        <f aca="false">IF(COUNTIF($M$1:$M$10,$A1518)&gt;0,"Y","N")</f>
        <v>Y</v>
      </c>
    </row>
    <row r="1519" customFormat="false" ht="15" hidden="false" customHeight="true" outlineLevel="0" collapsed="false">
      <c r="A1519" s="8" t="s">
        <v>53</v>
      </c>
      <c r="B1519" s="8" t="s">
        <v>809</v>
      </c>
      <c r="C1519" s="19" t="n">
        <v>2</v>
      </c>
      <c r="D1519" s="19" t="n">
        <v>68.15</v>
      </c>
      <c r="E1519" s="19" t="n">
        <v>0</v>
      </c>
      <c r="F1519" s="19" t="n">
        <v>0</v>
      </c>
      <c r="G1519" s="8" t="n">
        <f aca="false">IFERROR(INDEX('TRANS'!$B:$B,MATCH($B1519,'TRANS'!$A:$A,0)),IFERROR(INDEX('TRANS'!$B:$B,MATCH(TRIM(SUBSTITUTE($B1519,CHAR(160)," ")),'TRANS'!$D:$D,0)),IFERROR(INDEX('Catalog'!$A:$A,MATCH($B1519,'Catalog'!$B:$B,0)),IFERROR(INDEX('Catalog'!$A:$A,MATCH(TRIM(SUBSTITUTE($B1519,CHAR(160)," ")),'Catalog'!$C:$C,0)),""))))</f>
        <v>4413112</v>
      </c>
      <c r="H1519" s="8" t="str">
        <f aca="false">IFERROR(INDEX('TRANS'!$C:$C,MATCH($B1519,'TRANS'!$A:$A,0)),IFERROR(INDEX('Catalog'!$B:$B,MATCH($G1519,'Catalog'!$A:$A,0)),$B1519))</f>
        <v>49  L מגן ירך</v>
      </c>
      <c r="I1519" s="8" t="str">
        <f aca="false">IF($G1519="","Unmatched","Matched")</f>
        <v>Matched</v>
      </c>
      <c r="J1519" s="8" t="n">
        <f aca="false">IF($G1519&lt;&gt;"",$G1519,$B1519)</f>
        <v>4413112</v>
      </c>
      <c r="K1519" s="8" t="str">
        <f aca="false">IF(COUNTIF($M$1:$M$10,$A1519)&gt;0,"Y","N")</f>
        <v>Y</v>
      </c>
    </row>
    <row r="1520" customFormat="false" ht="15" hidden="false" customHeight="true" outlineLevel="0" collapsed="false">
      <c r="A1520" s="8" t="s">
        <v>53</v>
      </c>
      <c r="B1520" s="8" t="s">
        <v>810</v>
      </c>
      <c r="C1520" s="19" t="n">
        <v>2</v>
      </c>
      <c r="D1520" s="19" t="n">
        <v>68.15</v>
      </c>
      <c r="E1520" s="19" t="n">
        <v>1</v>
      </c>
      <c r="F1520" s="19" t="n">
        <v>35.11</v>
      </c>
      <c r="G1520" s="8" t="n">
        <f aca="false">IFERROR(INDEX('TRANS'!$B:$B,MATCH($B1520,'TRANS'!$A:$A,0)),IFERROR(INDEX('TRANS'!$B:$B,MATCH(TRIM(SUBSTITUTE($B1520,CHAR(160)," ")),'TRANS'!$D:$D,0)),IFERROR(INDEX('Catalog'!$A:$A,MATCH($B1520,'Catalog'!$B:$B,0)),IFERROR(INDEX('Catalog'!$A:$A,MATCH(TRIM(SUBSTITUTE($B1520,CHAR(160)," ")),'Catalog'!$C:$C,0)),""))))</f>
        <v>4413113</v>
      </c>
      <c r="H1520" s="8" t="str">
        <f aca="false">IFERROR(INDEX('TRANS'!$C:$C,MATCH($B1520,'TRANS'!$A:$A,0)),IFERROR(INDEX('Catalog'!$B:$B,MATCH($G1520,'Catalog'!$A:$A,0)),$B1520))</f>
        <v>49  M מגן ירך</v>
      </c>
      <c r="I1520" s="8" t="str">
        <f aca="false">IF($G1520="","Unmatched","Matched")</f>
        <v>Matched</v>
      </c>
      <c r="J1520" s="8" t="n">
        <f aca="false">IF($G1520&lt;&gt;"",$G1520,$B1520)</f>
        <v>4413113</v>
      </c>
      <c r="K1520" s="8" t="str">
        <f aca="false">IF(COUNTIF($M$1:$M$10,$A1520)&gt;0,"Y","N")</f>
        <v>Y</v>
      </c>
    </row>
    <row r="1521" customFormat="false" ht="15" hidden="false" customHeight="true" outlineLevel="0" collapsed="false">
      <c r="A1521" s="8" t="s">
        <v>53</v>
      </c>
      <c r="B1521" s="8" t="s">
        <v>812</v>
      </c>
      <c r="C1521" s="19" t="n">
        <v>2</v>
      </c>
      <c r="D1521" s="19" t="n">
        <v>68.15</v>
      </c>
      <c r="E1521" s="19" t="n">
        <v>0</v>
      </c>
      <c r="F1521" s="19" t="n">
        <v>0</v>
      </c>
      <c r="G1521" s="8" t="n">
        <f aca="false">IFERROR(INDEX('TRANS'!$B:$B,MATCH($B1521,'TRANS'!$A:$A,0)),IFERROR(INDEX('TRANS'!$B:$B,MATCH(TRIM(SUBSTITUTE($B1521,CHAR(160)," ")),'TRANS'!$D:$D,0)),IFERROR(INDEX('Catalog'!$A:$A,MATCH($B1521,'Catalog'!$B:$B,0)),IFERROR(INDEX('Catalog'!$A:$A,MATCH(TRIM(SUBSTITUTE($B1521,CHAR(160)," ")),'Catalog'!$C:$C,0)),""))))</f>
        <v>4413114</v>
      </c>
      <c r="H1521" s="8" t="str">
        <f aca="false">IFERROR(INDEX('TRANS'!$C:$C,MATCH($B1521,'TRANS'!$A:$A,0)),IFERROR(INDEX('Catalog'!$B:$B,MATCH($G1521,'Catalog'!$A:$A,0)),$B1521))</f>
        <v>49 XL מגן ירך</v>
      </c>
      <c r="I1521" s="8" t="str">
        <f aca="false">IF($G1521="","Unmatched","Matched")</f>
        <v>Matched</v>
      </c>
      <c r="J1521" s="8" t="n">
        <f aca="false">IF($G1521&lt;&gt;"",$G1521,$B1521)</f>
        <v>4413114</v>
      </c>
      <c r="K1521" s="8" t="str">
        <f aca="false">IF(COUNTIF($M$1:$M$10,$A1521)&gt;0,"Y","N")</f>
        <v>Y</v>
      </c>
    </row>
    <row r="1522" customFormat="false" ht="15" hidden="false" customHeight="true" outlineLevel="0" collapsed="false">
      <c r="A1522" s="8" t="s">
        <v>53</v>
      </c>
      <c r="B1522" s="8" t="s">
        <v>928</v>
      </c>
      <c r="C1522" s="19" t="n">
        <v>0</v>
      </c>
      <c r="D1522" s="19" t="n">
        <v>0</v>
      </c>
      <c r="E1522" s="19" t="n">
        <v>1</v>
      </c>
      <c r="F1522" s="19" t="n">
        <v>35.11</v>
      </c>
      <c r="G1522" s="8" t="n">
        <f aca="false">IFERROR(INDEX('TRANS'!$B:$B,MATCH($B1522,'TRANS'!$A:$A,0)),IFERROR(INDEX('TRANS'!$B:$B,MATCH(TRIM(SUBSTITUTE($B1522,CHAR(160)," ")),'TRANS'!$D:$D,0)),IFERROR(INDEX('Catalog'!$A:$A,MATCH($B1522,'Catalog'!$B:$B,0)),IFERROR(INDEX('Catalog'!$A:$A,MATCH(TRIM(SUBSTITUTE($B1522,CHAR(160)," ")),'Catalog'!$C:$C,0)),""))))</f>
        <v>4413115</v>
      </c>
      <c r="H1522" s="8" t="str">
        <f aca="false">IFERROR(INDEX('TRANS'!$C:$C,MATCH($B1522,'TRANS'!$A:$A,0)),IFERROR(INDEX('Catalog'!$B:$B,MATCH($G1522,'Catalog'!$A:$A,0)),$B1522))</f>
        <v>49 XXL מגן ירך</v>
      </c>
      <c r="I1522" s="8" t="str">
        <f aca="false">IF($G1522="","Unmatched","Matched")</f>
        <v>Matched</v>
      </c>
      <c r="J1522" s="8" t="n">
        <f aca="false">IF($G1522&lt;&gt;"",$G1522,$B1522)</f>
        <v>4413115</v>
      </c>
      <c r="K1522" s="8" t="str">
        <f aca="false">IF(COUNTIF($M$1:$M$10,$A1522)&gt;0,"Y","N")</f>
        <v>Y</v>
      </c>
    </row>
    <row r="1523" customFormat="false" ht="15" hidden="false" customHeight="true" outlineLevel="0" collapsed="false">
      <c r="A1523" s="8" t="s">
        <v>53</v>
      </c>
      <c r="B1523" s="8" t="s">
        <v>917</v>
      </c>
      <c r="C1523" s="19" t="n">
        <v>1</v>
      </c>
      <c r="D1523" s="19" t="n">
        <v>49.63</v>
      </c>
      <c r="E1523" s="19" t="n">
        <v>2</v>
      </c>
      <c r="F1523" s="19" t="n">
        <v>99.27</v>
      </c>
      <c r="G1523" s="8" t="n">
        <f aca="false">IFERROR(INDEX('TRANS'!$B:$B,MATCH($B1523,'TRANS'!$A:$A,0)),IFERROR(INDEX('TRANS'!$B:$B,MATCH(TRIM(SUBSTITUTE($B1523,CHAR(160)," ")),'TRANS'!$D:$D,0)),IFERROR(INDEX('Catalog'!$A:$A,MATCH($B1523,'Catalog'!$B:$B,0)),IFERROR(INDEX('Catalog'!$A:$A,MATCH(TRIM(SUBSTITUTE($B1523,CHAR(160)," ")),'Catalog'!$C:$C,0)),""))))</f>
        <v>4418000</v>
      </c>
      <c r="H1523" s="8" t="str">
        <f aca="false">IFERROR(INDEX('TRANS'!$C:$C,MATCH($B1523,'TRANS'!$A:$A,0)),IFERROR(INDEX('Catalog'!$B:$B,MATCH($G1523,'Catalog'!$A:$A,0)),$B1523))</f>
        <v>60 L צוארון ספוגי</v>
      </c>
      <c r="I1523" s="8" t="str">
        <f aca="false">IF($G1523="","Unmatched","Matched")</f>
        <v>Matched</v>
      </c>
      <c r="J1523" s="8" t="n">
        <f aca="false">IF($G1523&lt;&gt;"",$G1523,$B1523)</f>
        <v>4418000</v>
      </c>
      <c r="K1523" s="8" t="str">
        <f aca="false">IF(COUNTIF($M$1:$M$10,$A1523)&gt;0,"Y","N")</f>
        <v>Y</v>
      </c>
    </row>
    <row r="1524" customFormat="false" ht="15" hidden="false" customHeight="true" outlineLevel="0" collapsed="false">
      <c r="A1524" s="8" t="s">
        <v>53</v>
      </c>
      <c r="B1524" s="8" t="s">
        <v>691</v>
      </c>
      <c r="C1524" s="19" t="n">
        <v>2</v>
      </c>
      <c r="D1524" s="19" t="n">
        <v>99.27</v>
      </c>
      <c r="E1524" s="19" t="n">
        <v>3</v>
      </c>
      <c r="F1524" s="19" t="n">
        <v>148.9</v>
      </c>
      <c r="G1524" s="8" t="n">
        <f aca="false">IFERROR(INDEX('TRANS'!$B:$B,MATCH($B1524,'TRANS'!$A:$A,0)),IFERROR(INDEX('TRANS'!$B:$B,MATCH(TRIM(SUBSTITUTE($B1524,CHAR(160)," ")),'TRANS'!$D:$D,0)),IFERROR(INDEX('Catalog'!$A:$A,MATCH($B1524,'Catalog'!$B:$B,0)),IFERROR(INDEX('Catalog'!$A:$A,MATCH(TRIM(SUBSTITUTE($B1524,CHAR(160)," ")),'Catalog'!$C:$C,0)),""))))</f>
        <v>4418001</v>
      </c>
      <c r="H1524" s="8" t="str">
        <f aca="false">IFERROR(INDEX('TRANS'!$C:$C,MATCH($B1524,'TRANS'!$A:$A,0)),IFERROR(INDEX('Catalog'!$B:$B,MATCH($G1524,'Catalog'!$A:$A,0)),$B1524))</f>
        <v>60 M צוארון ספוגי</v>
      </c>
      <c r="I1524" s="8" t="str">
        <f aca="false">IF($G1524="","Unmatched","Matched")</f>
        <v>Matched</v>
      </c>
      <c r="J1524" s="8" t="n">
        <f aca="false">IF($G1524&lt;&gt;"",$G1524,$B1524)</f>
        <v>4418001</v>
      </c>
      <c r="K1524" s="8" t="str">
        <f aca="false">IF(COUNTIF($M$1:$M$10,$A1524)&gt;0,"Y","N")</f>
        <v>Y</v>
      </c>
    </row>
    <row r="1525" customFormat="false" ht="15" hidden="false" customHeight="true" outlineLevel="0" collapsed="false">
      <c r="A1525" s="8" t="s">
        <v>53</v>
      </c>
      <c r="B1525" s="8" t="s">
        <v>692</v>
      </c>
      <c r="C1525" s="19" t="n">
        <v>1</v>
      </c>
      <c r="D1525" s="19" t="n">
        <v>49.63</v>
      </c>
      <c r="E1525" s="19" t="n">
        <v>1</v>
      </c>
      <c r="F1525" s="19" t="n">
        <v>49.63</v>
      </c>
      <c r="G1525" s="8" t="n">
        <f aca="false">IFERROR(INDEX('TRANS'!$B:$B,MATCH($B1525,'TRANS'!$A:$A,0)),IFERROR(INDEX('TRANS'!$B:$B,MATCH(TRIM(SUBSTITUTE($B1525,CHAR(160)," ")),'TRANS'!$D:$D,0)),IFERROR(INDEX('Catalog'!$A:$A,MATCH($B1525,'Catalog'!$B:$B,0)),IFERROR(INDEX('Catalog'!$A:$A,MATCH(TRIM(SUBSTITUTE($B1525,CHAR(160)," ")),'Catalog'!$C:$C,0)),""))))</f>
        <v>4418002</v>
      </c>
      <c r="H1525" s="8" t="str">
        <f aca="false">IFERROR(INDEX('TRANS'!$C:$C,MATCH($B1525,'TRANS'!$A:$A,0)),IFERROR(INDEX('Catalog'!$B:$B,MATCH($G1525,'Catalog'!$A:$A,0)),$B1525))</f>
        <v>60 S צוארון ספוגי</v>
      </c>
      <c r="I1525" s="8" t="str">
        <f aca="false">IF($G1525="","Unmatched","Matched")</f>
        <v>Matched</v>
      </c>
      <c r="J1525" s="8" t="n">
        <f aca="false">IF($G1525&lt;&gt;"",$G1525,$B1525)</f>
        <v>4418002</v>
      </c>
      <c r="K1525" s="8" t="str">
        <f aca="false">IF(COUNTIF($M$1:$M$10,$A1525)&gt;0,"Y","N")</f>
        <v>Y</v>
      </c>
    </row>
    <row r="1526" customFormat="false" ht="15" hidden="false" customHeight="true" outlineLevel="0" collapsed="false">
      <c r="A1526" s="8" t="s">
        <v>53</v>
      </c>
      <c r="B1526" s="8" t="s">
        <v>819</v>
      </c>
      <c r="C1526" s="19" t="n">
        <v>1</v>
      </c>
      <c r="D1526" s="19" t="n">
        <v>49.63</v>
      </c>
      <c r="E1526" s="19" t="n">
        <v>0</v>
      </c>
      <c r="F1526" s="19" t="n">
        <v>0</v>
      </c>
      <c r="G1526" s="8" t="n">
        <f aca="false">IFERROR(INDEX('TRANS'!$B:$B,MATCH($B1526,'TRANS'!$A:$A,0)),IFERROR(INDEX('TRANS'!$B:$B,MATCH(TRIM(SUBSTITUTE($B1526,CHAR(160)," ")),'TRANS'!$D:$D,0)),IFERROR(INDEX('Catalog'!$A:$A,MATCH($B1526,'Catalog'!$B:$B,0)),IFERROR(INDEX('Catalog'!$A:$A,MATCH(TRIM(SUBSTITUTE($B1526,CHAR(160)," ")),'Catalog'!$C:$C,0)),""))))</f>
        <v>4418003</v>
      </c>
      <c r="H1526" s="8" t="str">
        <f aca="false">IFERROR(INDEX('TRANS'!$C:$C,MATCH($B1526,'TRANS'!$A:$A,0)),IFERROR(INDEX('Catalog'!$B:$B,MATCH($G1526,'Catalog'!$A:$A,0)),$B1526))</f>
        <v>60 XL צוארון ספוגי</v>
      </c>
      <c r="I1526" s="8" t="str">
        <f aca="false">IF($G1526="","Unmatched","Matched")</f>
        <v>Matched</v>
      </c>
      <c r="J1526" s="8" t="n">
        <f aca="false">IF($G1526&lt;&gt;"",$G1526,$B1526)</f>
        <v>4418003</v>
      </c>
      <c r="K1526" s="8" t="str">
        <f aca="false">IF(COUNTIF($M$1:$M$10,$A1526)&gt;0,"Y","N")</f>
        <v>Y</v>
      </c>
    </row>
    <row r="1527" customFormat="false" ht="15" hidden="false" customHeight="true" outlineLevel="0" collapsed="false">
      <c r="A1527" s="8" t="s">
        <v>53</v>
      </c>
      <c r="B1527" s="8" t="s">
        <v>349</v>
      </c>
      <c r="C1527" s="19" t="n">
        <v>0</v>
      </c>
      <c r="D1527" s="19" t="n">
        <v>0</v>
      </c>
      <c r="E1527" s="19" t="n">
        <v>1</v>
      </c>
      <c r="F1527" s="19" t="n">
        <v>49.63</v>
      </c>
      <c r="G1527" s="8" t="str">
        <f aca="false">IFERROR(INDEX('TRANS'!$B:$B,MATCH($B1527,'TRANS'!$A:$A,0)),IFERROR(INDEX('TRANS'!$B:$B,MATCH(TRIM(SUBSTITUTE($B1527,CHAR(160)," ")),'TRANS'!$D:$D,0)),IFERROR(INDEX('Catalog'!$A:$A,MATCH($B1527,'Catalog'!$B:$B,0)),IFERROR(INDEX('Catalog'!$A:$A,MATCH(TRIM(SUBSTITUTE($B1527,CHAR(160)," ")),'Catalog'!$C:$C,0)),""))))</f>
        <v/>
      </c>
      <c r="H1527" s="8" t="str">
        <f aca="false">IFERROR(INDEX('TRANS'!$C:$C,MATCH($B1527,'TRANS'!$A:$A,0)),IFERROR(INDEX('Catalog'!$B:$B,MATCH($G1527,'Catalog'!$A:$A,0)),$B1527))</f>
        <v>60 XS</v>
      </c>
      <c r="I1527" s="8" t="str">
        <f aca="false">IF($G1527="","Unmatched","Matched")</f>
        <v>Unmatched</v>
      </c>
      <c r="J1527" s="8" t="str">
        <f aca="false">IF($G1527&lt;&gt;"",$G1527,$B1527)</f>
        <v>60 XS</v>
      </c>
      <c r="K1527" s="8" t="str">
        <f aca="false">IF(COUNTIF($M$1:$M$10,$A1527)&gt;0,"Y","N")</f>
        <v>Y</v>
      </c>
    </row>
    <row r="1528" customFormat="false" ht="15" hidden="false" customHeight="true" outlineLevel="0" collapsed="false">
      <c r="A1528" s="8" t="s">
        <v>53</v>
      </c>
      <c r="B1528" s="8" t="s">
        <v>223</v>
      </c>
      <c r="C1528" s="19" t="n">
        <v>1</v>
      </c>
      <c r="D1528" s="19" t="n">
        <v>49.63</v>
      </c>
      <c r="E1528" s="19" t="n">
        <v>0</v>
      </c>
      <c r="F1528" s="19" t="n">
        <v>0</v>
      </c>
      <c r="G1528" s="8" t="str">
        <f aca="false">IFERROR(INDEX('TRANS'!$B:$B,MATCH($B1528,'TRANS'!$A:$A,0)),IFERROR(INDEX('TRANS'!$B:$B,MATCH(TRIM(SUBSTITUTE($B1528,CHAR(160)," ")),'TRANS'!$D:$D,0)),IFERROR(INDEX('Catalog'!$A:$A,MATCH($B1528,'Catalog'!$B:$B,0)),IFERROR(INDEX('Catalog'!$A:$A,MATCH(TRIM(SUBSTITUTE($B1528,CHAR(160)," ")),'Catalog'!$C:$C,0)),""))))</f>
        <v/>
      </c>
      <c r="H1528" s="8" t="str">
        <f aca="false">IFERROR(INDEX('TRANS'!$C:$C,MATCH($B1528,'TRANS'!$A:$A,0)),IFERROR(INDEX('Catalog'!$B:$B,MATCH($G1528,'Catalog'!$A:$A,0)),$B1528))</f>
        <v>60 XXL</v>
      </c>
      <c r="I1528" s="8" t="str">
        <f aca="false">IF($G1528="","Unmatched","Matched")</f>
        <v>Unmatched</v>
      </c>
      <c r="J1528" s="8" t="str">
        <f aca="false">IF($G1528&lt;&gt;"",$G1528,$B1528)</f>
        <v>60 XXL</v>
      </c>
      <c r="K1528" s="8" t="str">
        <f aca="false">IF(COUNTIF($M$1:$M$10,$A1528)&gt;0,"Y","N")</f>
        <v>Y</v>
      </c>
    </row>
    <row r="1529" customFormat="false" ht="15" hidden="false" customHeight="true" outlineLevel="0" collapsed="false">
      <c r="A1529" s="8" t="s">
        <v>53</v>
      </c>
      <c r="B1529" s="8" t="s">
        <v>962</v>
      </c>
      <c r="C1529" s="19" t="n">
        <v>1</v>
      </c>
      <c r="D1529" s="19" t="n">
        <v>136</v>
      </c>
      <c r="E1529" s="19" t="n">
        <v>1</v>
      </c>
      <c r="F1529" s="19" t="n">
        <v>160</v>
      </c>
      <c r="G1529" s="8" t="n">
        <f aca="false">IFERROR(INDEX('TRANS'!$B:$B,MATCH($B1529,'TRANS'!$A:$A,0)),IFERROR(INDEX('TRANS'!$B:$B,MATCH(TRIM(SUBSTITUTE($B1529,CHAR(160)," ")),'TRANS'!$D:$D,0)),IFERROR(INDEX('Catalog'!$A:$A,MATCH($B1529,'Catalog'!$B:$B,0)),IFERROR(INDEX('Catalog'!$A:$A,MATCH(TRIM(SUBSTITUTE($B1529,CHAR(160)," ")),'Catalog'!$C:$C,0)),""))))</f>
        <v>4413133</v>
      </c>
      <c r="H1529" s="8" t="str">
        <f aca="false">IFERROR(INDEX('TRANS'!$C:$C,MATCH($B1529,'TRANS'!$A:$A,0)),IFERROR(INDEX('Catalog'!$B:$B,MATCH($G1529,'Catalog'!$A:$A,0)),$B1529))</f>
        <v>76 Mמיישר כתף יציב,יישור רחב</v>
      </c>
      <c r="I1529" s="8" t="str">
        <f aca="false">IF($G1529="","Unmatched","Matched")</f>
        <v>Matched</v>
      </c>
      <c r="J1529" s="8" t="n">
        <f aca="false">IF($G1529&lt;&gt;"",$G1529,$B1529)</f>
        <v>4413133</v>
      </c>
      <c r="K1529" s="8" t="str">
        <f aca="false">IF(COUNTIF($M$1:$M$10,$A1529)&gt;0,"Y","N")</f>
        <v>Y</v>
      </c>
    </row>
    <row r="1530" customFormat="false" ht="15" hidden="false" customHeight="true" outlineLevel="0" collapsed="false">
      <c r="A1530" s="8" t="s">
        <v>53</v>
      </c>
      <c r="B1530" s="8" t="s">
        <v>821</v>
      </c>
      <c r="C1530" s="19" t="n">
        <v>0</v>
      </c>
      <c r="D1530" s="19" t="n">
        <v>0</v>
      </c>
      <c r="E1530" s="19" t="n">
        <v>1</v>
      </c>
      <c r="F1530" s="19" t="n">
        <v>160</v>
      </c>
      <c r="G1530" s="8" t="n">
        <f aca="false">IFERROR(INDEX('TRANS'!$B:$B,MATCH($B1530,'TRANS'!$A:$A,0)),IFERROR(INDEX('TRANS'!$B:$B,MATCH(TRIM(SUBSTITUTE($B1530,CHAR(160)," ")),'TRANS'!$D:$D,0)),IFERROR(INDEX('Catalog'!$A:$A,MATCH($B1530,'Catalog'!$B:$B,0)),IFERROR(INDEX('Catalog'!$A:$A,MATCH(TRIM(SUBSTITUTE($B1530,CHAR(160)," ")),'Catalog'!$C:$C,0)),""))))</f>
        <v>4413131</v>
      </c>
      <c r="H1530" s="8" t="str">
        <f aca="false">IFERROR(INDEX('TRANS'!$C:$C,MATCH($B1530,'TRANS'!$A:$A,0)),IFERROR(INDEX('Catalog'!$B:$B,MATCH($G1530,'Catalog'!$A:$A,0)),$B1530))</f>
        <v>76 Sמיישר כתף יציב יישור ג.רחב</v>
      </c>
      <c r="I1530" s="8" t="str">
        <f aca="false">IF($G1530="","Unmatched","Matched")</f>
        <v>Matched</v>
      </c>
      <c r="J1530" s="8" t="n">
        <f aca="false">IF($G1530&lt;&gt;"",$G1530,$B1530)</f>
        <v>4413131</v>
      </c>
      <c r="K1530" s="8" t="str">
        <f aca="false">IF(COUNTIF($M$1:$M$10,$A1530)&gt;0,"Y","N")</f>
        <v>Y</v>
      </c>
    </row>
    <row r="1531" customFormat="false" ht="15" hidden="false" customHeight="true" outlineLevel="0" collapsed="false">
      <c r="A1531" s="8" t="s">
        <v>53</v>
      </c>
      <c r="B1531" s="8" t="s">
        <v>830</v>
      </c>
      <c r="C1531" s="19" t="n">
        <v>0</v>
      </c>
      <c r="D1531" s="19" t="n">
        <v>0</v>
      </c>
      <c r="E1531" s="19" t="n">
        <v>1</v>
      </c>
      <c r="F1531" s="19" t="n">
        <v>140</v>
      </c>
      <c r="G1531" s="8" t="n">
        <f aca="false">IFERROR(INDEX('TRANS'!$B:$B,MATCH($B1531,'TRANS'!$A:$A,0)),IFERROR(INDEX('TRANS'!$B:$B,MATCH(TRIM(SUBSTITUTE($B1531,CHAR(160)," ")),'TRANS'!$D:$D,0)),IFERROR(INDEX('Catalog'!$A:$A,MATCH($B1531,'Catalog'!$B:$B,0)),IFERROR(INDEX('Catalog'!$A:$A,MATCH(TRIM(SUBSTITUTE($B1531,CHAR(160)," ")),'Catalog'!$C:$C,0)),""))))</f>
        <v>4413197</v>
      </c>
      <c r="H1531" s="8" t="str">
        <f aca="false">IFERROR(INDEX('TRANS'!$C:$C,MATCH($B1531,'TRANS'!$A:$A,0)),IFERROR(INDEX('Catalog'!$B:$B,MATCH($G1531,'Catalog'!$A:$A,0)),$B1531))</f>
        <v>87 L מקבע כתף ויד</v>
      </c>
      <c r="I1531" s="8" t="str">
        <f aca="false">IF($G1531="","Unmatched","Matched")</f>
        <v>Matched</v>
      </c>
      <c r="J1531" s="8" t="n">
        <f aca="false">IF($G1531&lt;&gt;"",$G1531,$B1531)</f>
        <v>4413197</v>
      </c>
      <c r="K1531" s="8" t="str">
        <f aca="false">IF(COUNTIF($M$1:$M$10,$A1531)&gt;0,"Y","N")</f>
        <v>Y</v>
      </c>
    </row>
    <row r="1532" customFormat="false" ht="15" hidden="false" customHeight="true" outlineLevel="0" collapsed="false">
      <c r="A1532" s="8" t="s">
        <v>53</v>
      </c>
      <c r="B1532" s="8" t="s">
        <v>831</v>
      </c>
      <c r="C1532" s="19" t="n">
        <v>0</v>
      </c>
      <c r="D1532" s="19" t="n">
        <v>0</v>
      </c>
      <c r="E1532" s="19" t="n">
        <v>1</v>
      </c>
      <c r="F1532" s="19" t="n">
        <v>140</v>
      </c>
      <c r="G1532" s="8" t="n">
        <f aca="false">IFERROR(INDEX('TRANS'!$B:$B,MATCH($B1532,'TRANS'!$A:$A,0)),IFERROR(INDEX('TRANS'!$B:$B,MATCH(TRIM(SUBSTITUTE($B1532,CHAR(160)," ")),'TRANS'!$D:$D,0)),IFERROR(INDEX('Catalog'!$A:$A,MATCH($B1532,'Catalog'!$B:$B,0)),IFERROR(INDEX('Catalog'!$A:$A,MATCH(TRIM(SUBSTITUTE($B1532,CHAR(160)," ")),'Catalog'!$C:$C,0)),""))))</f>
        <v>4413196</v>
      </c>
      <c r="H1532" s="8" t="str">
        <f aca="false">IFERROR(INDEX('TRANS'!$C:$C,MATCH($B1532,'TRANS'!$A:$A,0)),IFERROR(INDEX('Catalog'!$B:$B,MATCH($G1532,'Catalog'!$A:$A,0)),$B1532))</f>
        <v>87 M מקבע כתף ויד</v>
      </c>
      <c r="I1532" s="8" t="str">
        <f aca="false">IF($G1532="","Unmatched","Matched")</f>
        <v>Matched</v>
      </c>
      <c r="J1532" s="8" t="n">
        <f aca="false">IF($G1532&lt;&gt;"",$G1532,$B1532)</f>
        <v>4413196</v>
      </c>
      <c r="K1532" s="8" t="str">
        <f aca="false">IF(COUNTIF($M$1:$M$10,$A1532)&gt;0,"Y","N")</f>
        <v>Y</v>
      </c>
    </row>
    <row r="1533" customFormat="false" ht="15" hidden="false" customHeight="true" outlineLevel="0" collapsed="false">
      <c r="A1533" s="8" t="s">
        <v>53</v>
      </c>
      <c r="B1533" s="8" t="s">
        <v>918</v>
      </c>
      <c r="C1533" s="19" t="n">
        <v>0</v>
      </c>
      <c r="D1533" s="19" t="n">
        <v>0</v>
      </c>
      <c r="E1533" s="19" t="n">
        <v>1</v>
      </c>
      <c r="F1533" s="19" t="n">
        <v>140</v>
      </c>
      <c r="G1533" s="8" t="n">
        <f aca="false">IFERROR(INDEX('TRANS'!$B:$B,MATCH($B1533,'TRANS'!$A:$A,0)),IFERROR(INDEX('TRANS'!$B:$B,MATCH(TRIM(SUBSTITUTE($B1533,CHAR(160)," ")),'TRANS'!$D:$D,0)),IFERROR(INDEX('Catalog'!$A:$A,MATCH($B1533,'Catalog'!$B:$B,0)),IFERROR(INDEX('Catalog'!$A:$A,MATCH(TRIM(SUBSTITUTE($B1533,CHAR(160)," ")),'Catalog'!$C:$C,0)),""))))</f>
        <v>4413195</v>
      </c>
      <c r="H1533" s="8" t="str">
        <f aca="false">IFERROR(INDEX('TRANS'!$C:$C,MATCH($B1533,'TRANS'!$A:$A,0)),IFERROR(INDEX('Catalog'!$B:$B,MATCH($G1533,'Catalog'!$A:$A,0)),$B1533))</f>
        <v>87 S מקבע כתף ויד</v>
      </c>
      <c r="I1533" s="8" t="str">
        <f aca="false">IF($G1533="","Unmatched","Matched")</f>
        <v>Matched</v>
      </c>
      <c r="J1533" s="8" t="n">
        <f aca="false">IF($G1533&lt;&gt;"",$G1533,$B1533)</f>
        <v>4413195</v>
      </c>
      <c r="K1533" s="8" t="str">
        <f aca="false">IF(COUNTIF($M$1:$M$10,$A1533)&gt;0,"Y","N")</f>
        <v>Y</v>
      </c>
    </row>
    <row r="1534" customFormat="false" ht="15" hidden="false" customHeight="true" outlineLevel="0" collapsed="false">
      <c r="A1534" s="8" t="s">
        <v>53</v>
      </c>
      <c r="B1534" s="8" t="s">
        <v>832</v>
      </c>
      <c r="C1534" s="19" t="n">
        <v>0</v>
      </c>
      <c r="D1534" s="19" t="n">
        <v>0</v>
      </c>
      <c r="E1534" s="19" t="n">
        <v>1</v>
      </c>
      <c r="F1534" s="19" t="n">
        <v>140</v>
      </c>
      <c r="G1534" s="8" t="n">
        <f aca="false">IFERROR(INDEX('TRANS'!$B:$B,MATCH($B1534,'TRANS'!$A:$A,0)),IFERROR(INDEX('TRANS'!$B:$B,MATCH(TRIM(SUBSTITUTE($B1534,CHAR(160)," ")),'TRANS'!$D:$D,0)),IFERROR(INDEX('Catalog'!$A:$A,MATCH($B1534,'Catalog'!$B:$B,0)),IFERROR(INDEX('Catalog'!$A:$A,MATCH(TRIM(SUBSTITUTE($B1534,CHAR(160)," ")),'Catalog'!$C:$C,0)),""))))</f>
        <v>4413198</v>
      </c>
      <c r="H1534" s="8" t="str">
        <f aca="false">IFERROR(INDEX('TRANS'!$C:$C,MATCH($B1534,'TRANS'!$A:$A,0)),IFERROR(INDEX('Catalog'!$B:$B,MATCH($G1534,'Catalog'!$A:$A,0)),$B1534))</f>
        <v>87 XL מקבע כתף ויד</v>
      </c>
      <c r="I1534" s="8" t="str">
        <f aca="false">IF($G1534="","Unmatched","Matched")</f>
        <v>Matched</v>
      </c>
      <c r="J1534" s="8" t="n">
        <f aca="false">IF($G1534&lt;&gt;"",$G1534,$B1534)</f>
        <v>4413198</v>
      </c>
      <c r="K1534" s="8" t="str">
        <f aca="false">IF(COUNTIF($M$1:$M$10,$A1534)&gt;0,"Y","N")</f>
        <v>Y</v>
      </c>
    </row>
    <row r="1535" customFormat="false" ht="15" hidden="false" customHeight="true" outlineLevel="0" collapsed="false">
      <c r="A1535" s="8" t="s">
        <v>53</v>
      </c>
      <c r="B1535" s="8" t="s">
        <v>313</v>
      </c>
      <c r="C1535" s="19" t="n">
        <v>0</v>
      </c>
      <c r="D1535" s="19" t="n">
        <v>0</v>
      </c>
      <c r="E1535" s="19" t="n">
        <v>1</v>
      </c>
      <c r="F1535" s="19" t="n">
        <v>140</v>
      </c>
      <c r="G1535" s="8" t="str">
        <f aca="false">IFERROR(INDEX('TRANS'!$B:$B,MATCH($B1535,'TRANS'!$A:$A,0)),IFERROR(INDEX('TRANS'!$B:$B,MATCH(TRIM(SUBSTITUTE($B1535,CHAR(160)," ")),'TRANS'!$D:$D,0)),IFERROR(INDEX('Catalog'!$A:$A,MATCH($B1535,'Catalog'!$B:$B,0)),IFERROR(INDEX('Catalog'!$A:$A,MATCH(TRIM(SUBSTITUTE($B1535,CHAR(160)," ")),'Catalog'!$C:$C,0)),""))))</f>
        <v/>
      </c>
      <c r="H1535" s="8" t="str">
        <f aca="false">IFERROR(INDEX('TRANS'!$C:$C,MATCH($B1535,'TRANS'!$A:$A,0)),IFERROR(INDEX('Catalog'!$B:$B,MATCH($G1535,'Catalog'!$A:$A,0)),$B1535))</f>
        <v>87 XS</v>
      </c>
      <c r="I1535" s="8" t="str">
        <f aca="false">IF($G1535="","Unmatched","Matched")</f>
        <v>Unmatched</v>
      </c>
      <c r="J1535" s="8" t="str">
        <f aca="false">IF($G1535&lt;&gt;"",$G1535,$B1535)</f>
        <v>87 XS</v>
      </c>
      <c r="K1535" s="8" t="str">
        <f aca="false">IF(COUNTIF($M$1:$M$10,$A1535)&gt;0,"Y","N")</f>
        <v>Y</v>
      </c>
    </row>
    <row r="1536" customFormat="false" ht="15" hidden="false" customHeight="true" outlineLevel="0" collapsed="false">
      <c r="A1536" s="8" t="s">
        <v>53</v>
      </c>
      <c r="B1536" s="8" t="s">
        <v>923</v>
      </c>
      <c r="C1536" s="19" t="n">
        <v>0</v>
      </c>
      <c r="D1536" s="19" t="n">
        <v>0</v>
      </c>
      <c r="E1536" s="19" t="n">
        <v>1</v>
      </c>
      <c r="F1536" s="19" t="n">
        <v>140</v>
      </c>
      <c r="G1536" s="8" t="n">
        <f aca="false">IFERROR(INDEX('TRANS'!$B:$B,MATCH($B1536,'TRANS'!$A:$A,0)),IFERROR(INDEX('TRANS'!$B:$B,MATCH(TRIM(SUBSTITUTE($B1536,CHAR(160)," ")),'TRANS'!$D:$D,0)),IFERROR(INDEX('Catalog'!$A:$A,MATCH($B1536,'Catalog'!$B:$B,0)),IFERROR(INDEX('Catalog'!$A:$A,MATCH(TRIM(SUBSTITUTE($B1536,CHAR(160)," ")),'Catalog'!$C:$C,0)),""))))</f>
        <v>4413204</v>
      </c>
      <c r="H1536" s="8" t="str">
        <f aca="false">IFERROR(INDEX('TRANS'!$C:$C,MATCH($B1536,'TRANS'!$A:$A,0)),IFERROR(INDEX('Catalog'!$B:$B,MATCH($G1536,'Catalog'!$A:$A,0)),$B1536))</f>
        <v>87 XXL מקבע כתף ויד</v>
      </c>
      <c r="I1536" s="8" t="str">
        <f aca="false">IF($G1536="","Unmatched","Matched")</f>
        <v>Matched</v>
      </c>
      <c r="J1536" s="8" t="n">
        <f aca="false">IF($G1536&lt;&gt;"",$G1536,$B1536)</f>
        <v>4413204</v>
      </c>
      <c r="K1536" s="8" t="str">
        <f aca="false">IF(COUNTIF($M$1:$M$10,$A1536)&gt;0,"Y","N")</f>
        <v>Y</v>
      </c>
    </row>
    <row r="1537" customFormat="false" ht="15" hidden="false" customHeight="true" outlineLevel="0" collapsed="false">
      <c r="A1537" s="8" t="s">
        <v>53</v>
      </c>
      <c r="B1537" s="8" t="s">
        <v>221</v>
      </c>
      <c r="C1537" s="19" t="n">
        <v>1</v>
      </c>
      <c r="D1537" s="19" t="n">
        <v>90</v>
      </c>
      <c r="E1537" s="19" t="n">
        <v>0</v>
      </c>
      <c r="F1537" s="19" t="n">
        <v>0</v>
      </c>
      <c r="G1537" s="8" t="str">
        <f aca="false">IFERROR(INDEX('TRANS'!$B:$B,MATCH($B1537,'TRANS'!$A:$A,0)),IFERROR(INDEX('TRANS'!$B:$B,MATCH(TRIM(SUBSTITUTE($B1537,CHAR(160)," ")),'TRANS'!$D:$D,0)),IFERROR(INDEX('Catalog'!$A:$A,MATCH($B1537,'Catalog'!$B:$B,0)),IFERROR(INDEX('Catalog'!$A:$A,MATCH(TRIM(SUBSTITUTE($B1537,CHAR(160)," ")),'Catalog'!$C:$C,0)),""))))</f>
        <v/>
      </c>
      <c r="H1537" s="8" t="str">
        <f aca="false">IFERROR(INDEX('TRANS'!$C:$C,MATCH($B1537,'TRANS'!$A:$A,0)),IFERROR(INDEX('Catalog'!$B:$B,MATCH($G1537,'Catalog'!$A:$A,0)),$B1537))</f>
        <v>922 XXL</v>
      </c>
      <c r="I1537" s="8" t="str">
        <f aca="false">IF($G1537="","Unmatched","Matched")</f>
        <v>Unmatched</v>
      </c>
      <c r="J1537" s="8" t="str">
        <f aca="false">IF($G1537&lt;&gt;"",$G1537,$B1537)</f>
        <v>922 XXL</v>
      </c>
      <c r="K1537" s="8" t="str">
        <f aca="false">IF(COUNTIF($M$1:$M$10,$A1537)&gt;0,"Y","N")</f>
        <v>Y</v>
      </c>
    </row>
    <row r="1538" customFormat="false" ht="15" hidden="false" customHeight="true" outlineLevel="0" collapsed="false">
      <c r="A1538" s="8" t="s">
        <v>53</v>
      </c>
      <c r="B1538" s="8" t="s">
        <v>362</v>
      </c>
      <c r="C1538" s="19" t="n">
        <v>2</v>
      </c>
      <c r="D1538" s="19" t="n">
        <v>201.97</v>
      </c>
      <c r="E1538" s="19" t="n">
        <v>0</v>
      </c>
      <c r="F1538" s="19" t="n">
        <v>0</v>
      </c>
      <c r="G1538" s="8" t="str">
        <f aca="false">IFERROR(INDEX('TRANS'!$B:$B,MATCH($B1538,'TRANS'!$A:$A,0)),IFERROR(INDEX('TRANS'!$B:$B,MATCH(TRIM(SUBSTITUTE($B1538,CHAR(160)," ")),'TRANS'!$D:$D,0)),IFERROR(INDEX('Catalog'!$A:$A,MATCH($B1538,'Catalog'!$B:$B,0)),IFERROR(INDEX('Catalog'!$A:$A,MATCH(TRIM(SUBSTITUTE($B1538,CHAR(160)," ")),'Catalog'!$C:$C,0)),""))))</f>
        <v/>
      </c>
      <c r="H1538" s="8" t="str">
        <f aca="false">IFERROR(INDEX('TRANS'!$C:$C,MATCH($B1538,'TRANS'!$A:$A,0)),IFERROR(INDEX('Catalog'!$B:$B,MATCH($G1538,'Catalog'!$A:$A,0)),$B1538))</f>
        <v>922B L</v>
      </c>
      <c r="I1538" s="8" t="str">
        <f aca="false">IF($G1538="","Unmatched","Matched")</f>
        <v>Unmatched</v>
      </c>
      <c r="J1538" s="8" t="str">
        <f aca="false">IF($G1538&lt;&gt;"",$G1538,$B1538)</f>
        <v>922B L</v>
      </c>
      <c r="K1538" s="8" t="str">
        <f aca="false">IF(COUNTIF($M$1:$M$10,$A1538)&gt;0,"Y","N")</f>
        <v>Y</v>
      </c>
    </row>
    <row r="1539" customFormat="false" ht="15" hidden="false" customHeight="true" outlineLevel="0" collapsed="false">
      <c r="A1539" s="8" t="s">
        <v>53</v>
      </c>
      <c r="B1539" s="8" t="s">
        <v>487</v>
      </c>
      <c r="C1539" s="19" t="n">
        <v>1</v>
      </c>
      <c r="D1539" s="19" t="n">
        <v>60</v>
      </c>
      <c r="E1539" s="19" t="n">
        <v>0</v>
      </c>
      <c r="F1539" s="19" t="n">
        <v>0</v>
      </c>
      <c r="G1539" s="8" t="str">
        <f aca="false">IFERROR(INDEX('TRANS'!$B:$B,MATCH($B1539,'TRANS'!$A:$A,0)),IFERROR(INDEX('TRANS'!$B:$B,MATCH(TRIM(SUBSTITUTE($B1539,CHAR(160)," ")),'TRANS'!$D:$D,0)),IFERROR(INDEX('Catalog'!$A:$A,MATCH($B1539,'Catalog'!$B:$B,0)),IFERROR(INDEX('Catalog'!$A:$A,MATCH(TRIM(SUBSTITUTE($B1539,CHAR(160)," ")),'Catalog'!$C:$C,0)),""))))</f>
        <v/>
      </c>
      <c r="H1539" s="8" t="str">
        <f aca="false">IFERROR(INDEX('TRANS'!$C:$C,MATCH($B1539,'TRANS'!$A:$A,0)),IFERROR(INDEX('Catalog'!$B:$B,MATCH($G1539,'Catalog'!$A:$A,0)),$B1539))</f>
        <v>922B M</v>
      </c>
      <c r="I1539" s="8" t="str">
        <f aca="false">IF($G1539="","Unmatched","Matched")</f>
        <v>Unmatched</v>
      </c>
      <c r="J1539" s="8" t="str">
        <f aca="false">IF($G1539&lt;&gt;"",$G1539,$B1539)</f>
        <v>922B M</v>
      </c>
      <c r="K1539" s="8" t="str">
        <f aca="false">IF(COUNTIF($M$1:$M$10,$A1539)&gt;0,"Y","N")</f>
        <v>Y</v>
      </c>
    </row>
    <row r="1540" customFormat="false" ht="15" hidden="false" customHeight="true" outlineLevel="0" collapsed="false">
      <c r="A1540" s="8" t="s">
        <v>53</v>
      </c>
      <c r="B1540" s="8" t="s">
        <v>338</v>
      </c>
      <c r="C1540" s="19" t="n">
        <v>2</v>
      </c>
      <c r="D1540" s="19" t="n">
        <v>201.97</v>
      </c>
      <c r="E1540" s="19" t="n">
        <v>1</v>
      </c>
      <c r="F1540" s="19" t="n">
        <v>90</v>
      </c>
      <c r="G1540" s="8" t="str">
        <f aca="false">IFERROR(INDEX('TRANS'!$B:$B,MATCH($B1540,'TRANS'!$A:$A,0)),IFERROR(INDEX('TRANS'!$B:$B,MATCH(TRIM(SUBSTITUTE($B1540,CHAR(160)," ")),'TRANS'!$D:$D,0)),IFERROR(INDEX('Catalog'!$A:$A,MATCH($B1540,'Catalog'!$B:$B,0)),IFERROR(INDEX('Catalog'!$A:$A,MATCH(TRIM(SUBSTITUTE($B1540,CHAR(160)," ")),'Catalog'!$C:$C,0)),""))))</f>
        <v/>
      </c>
      <c r="H1540" s="8" t="str">
        <f aca="false">IFERROR(INDEX('TRANS'!$C:$C,MATCH($B1540,'TRANS'!$A:$A,0)),IFERROR(INDEX('Catalog'!$B:$B,MATCH($G1540,'Catalog'!$A:$A,0)),$B1540))</f>
        <v>922B XL</v>
      </c>
      <c r="I1540" s="8" t="str">
        <f aca="false">IF($G1540="","Unmatched","Matched")</f>
        <v>Unmatched</v>
      </c>
      <c r="J1540" s="8" t="str">
        <f aca="false">IF($G1540&lt;&gt;"",$G1540,$B1540)</f>
        <v>922B XL</v>
      </c>
      <c r="K1540" s="8" t="str">
        <f aca="false">IF(COUNTIF($M$1:$M$10,$A1540)&gt;0,"Y","N")</f>
        <v>Y</v>
      </c>
    </row>
    <row r="1541" customFormat="false" ht="15" hidden="false" customHeight="true" outlineLevel="0" collapsed="false">
      <c r="A1541" s="8" t="s">
        <v>53</v>
      </c>
      <c r="B1541" s="8" t="s">
        <v>150</v>
      </c>
      <c r="C1541" s="19" t="n">
        <v>1</v>
      </c>
      <c r="D1541" s="19" t="n">
        <v>30.89</v>
      </c>
      <c r="E1541" s="19" t="n">
        <v>0</v>
      </c>
      <c r="F1541" s="19" t="n">
        <v>0</v>
      </c>
      <c r="G1541" s="8" t="str">
        <f aca="false">IFERROR(INDEX('TRANS'!$B:$B,MATCH($B1541,'TRANS'!$A:$A,0)),IFERROR(INDEX('TRANS'!$B:$B,MATCH(TRIM(SUBSTITUTE($B1541,CHAR(160)," ")),'TRANS'!$D:$D,0)),IFERROR(INDEX('Catalog'!$A:$A,MATCH($B1541,'Catalog'!$B:$B,0)),IFERROR(INDEX('Catalog'!$A:$A,MATCH(TRIM(SUBSTITUTE($B1541,CHAR(160)," ")),'Catalog'!$C:$C,0)),""))))</f>
        <v/>
      </c>
      <c r="H1541" s="8" t="str">
        <f aca="false">IFERROR(INDEX('TRANS'!$C:$C,MATCH($B1541,'TRANS'!$A:$A,0)),IFERROR(INDEX('Catalog'!$B:$B,MATCH($G1541,'Catalog'!$A:$A,0)),$B1541))</f>
        <v>95B XS</v>
      </c>
      <c r="I1541" s="8" t="str">
        <f aca="false">IF($G1541="","Unmatched","Matched")</f>
        <v>Unmatched</v>
      </c>
      <c r="J1541" s="8" t="str">
        <f aca="false">IF($G1541&lt;&gt;"",$G1541,$B1541)</f>
        <v>95B XS</v>
      </c>
      <c r="K1541" s="8" t="str">
        <f aca="false">IF(COUNTIF($M$1:$M$10,$A1541)&gt;0,"Y","N")</f>
        <v>Y</v>
      </c>
    </row>
    <row r="1542" customFormat="false" ht="15" hidden="false" customHeight="true" outlineLevel="0" collapsed="false">
      <c r="A1542" s="8" t="s">
        <v>53</v>
      </c>
      <c r="B1542" s="8" t="s">
        <v>1002</v>
      </c>
      <c r="C1542" s="19" t="n">
        <v>2</v>
      </c>
      <c r="D1542" s="19" t="n">
        <v>61.78</v>
      </c>
      <c r="E1542" s="19" t="n">
        <v>0</v>
      </c>
      <c r="F1542" s="19" t="n">
        <v>0</v>
      </c>
      <c r="G1542" s="8" t="n">
        <f aca="false">IFERROR(INDEX('TRANS'!$B:$B,MATCH($B1542,'TRANS'!$A:$A,0)),IFERROR(INDEX('TRANS'!$B:$B,MATCH(TRIM(SUBSTITUTE($B1542,CHAR(160)," ")),'TRANS'!$D:$D,0)),IFERROR(INDEX('Catalog'!$A:$A,MATCH($B1542,'Catalog'!$B:$B,0)),IFERROR(INDEX('Catalog'!$A:$A,MATCH(TRIM(SUBSTITUTE($B1542,CHAR(160)," ")),'Catalog'!$C:$C,0)),""))))</f>
        <v>4413504</v>
      </c>
      <c r="H1542" s="8" t="str">
        <f aca="false">IFERROR(INDEX('TRANS'!$C:$C,MATCH($B1542,'TRANS'!$A:$A,0)),IFERROR(INDEX('Catalog'!$B:$B,MATCH($G1542,'Catalog'!$A:$A,0)),$B1542))</f>
        <v>95B XXLמגן מרפק שחור</v>
      </c>
      <c r="I1542" s="8" t="str">
        <f aca="false">IF($G1542="","Unmatched","Matched")</f>
        <v>Matched</v>
      </c>
      <c r="J1542" s="8" t="n">
        <f aca="false">IF($G1542&lt;&gt;"",$G1542,$B1542)</f>
        <v>4413504</v>
      </c>
      <c r="K1542" s="8" t="str">
        <f aca="false">IF(COUNTIF($M$1:$M$10,$A1542)&gt;0,"Y","N")</f>
        <v>Y</v>
      </c>
    </row>
    <row r="1543" customFormat="false" ht="15" hidden="false" customHeight="true" outlineLevel="0" collapsed="false">
      <c r="A1543" s="8" t="s">
        <v>53</v>
      </c>
      <c r="B1543" s="8" t="s">
        <v>728</v>
      </c>
      <c r="C1543" s="19" t="n">
        <v>9</v>
      </c>
      <c r="D1543" s="19" t="n">
        <v>359.14</v>
      </c>
      <c r="E1543" s="19" t="n">
        <v>3</v>
      </c>
      <c r="F1543" s="19" t="n">
        <v>126.41</v>
      </c>
      <c r="G1543" s="8" t="n">
        <f aca="false">IFERROR(INDEX('TRANS'!$B:$B,MATCH($B1543,'TRANS'!$A:$A,0)),IFERROR(INDEX('TRANS'!$B:$B,MATCH(TRIM(SUBSTITUTE($B1543,CHAR(160)," ")),'TRANS'!$D:$D,0)),IFERROR(INDEX('Catalog'!$A:$A,MATCH($B1543,'Catalog'!$B:$B,0)),IFERROR(INDEX('Catalog'!$A:$A,MATCH(TRIM(SUBSTITUTE($B1543,CHAR(160)," ")),'Catalog'!$C:$C,0)),""))))</f>
        <v>4415028</v>
      </c>
      <c r="H1543" s="8" t="str">
        <f aca="false">IFERROR(INDEX('TRANS'!$C:$C,MATCH($B1543,'TRANS'!$A:$A,0)),IFERROR(INDEX('Catalog'!$B:$B,MATCH($G1543,'Catalog'!$A:$A,0)),$B1543))</f>
        <v>AC-28 סד לאגודל</v>
      </c>
      <c r="I1543" s="8" t="str">
        <f aca="false">IF($G1543="","Unmatched","Matched")</f>
        <v>Matched</v>
      </c>
      <c r="J1543" s="8" t="n">
        <f aca="false">IF($G1543&lt;&gt;"",$G1543,$B1543)</f>
        <v>4415028</v>
      </c>
      <c r="K1543" s="8" t="str">
        <f aca="false">IF(COUNTIF($M$1:$M$10,$A1543)&gt;0,"Y","N")</f>
        <v>Y</v>
      </c>
    </row>
    <row r="1544" customFormat="false" ht="15" hidden="false" customHeight="true" outlineLevel="0" collapsed="false">
      <c r="A1544" s="8" t="s">
        <v>53</v>
      </c>
      <c r="B1544" s="8" t="s">
        <v>733</v>
      </c>
      <c r="C1544" s="19" t="n">
        <v>7</v>
      </c>
      <c r="D1544" s="19" t="n">
        <v>278.56</v>
      </c>
      <c r="E1544" s="19" t="n">
        <v>5</v>
      </c>
      <c r="F1544" s="19" t="n">
        <v>198.97</v>
      </c>
      <c r="G1544" s="8" t="n">
        <f aca="false">IFERROR(INDEX('TRANS'!$B:$B,MATCH($B1544,'TRANS'!$A:$A,0)),IFERROR(INDEX('TRANS'!$B:$B,MATCH(TRIM(SUBSTITUTE($B1544,CHAR(160)," ")),'TRANS'!$D:$D,0)),IFERROR(INDEX('Catalog'!$A:$A,MATCH($B1544,'Catalog'!$B:$B,0)),IFERROR(INDEX('Catalog'!$A:$A,MATCH(TRIM(SUBSTITUTE($B1544,CHAR(160)," ")),'Catalog'!$C:$C,0)),""))))</f>
        <v>4408208</v>
      </c>
      <c r="H1544" s="8" t="str">
        <f aca="false">IFERROR(INDEX('TRANS'!$C:$C,MATCH($B1544,'TRANS'!$A:$A,0)),IFERROR(INDEX('Catalog'!$B:$B,MATCH($G1544,'Catalog'!$A:$A,0)),$B1544))</f>
        <v>AC91 חבק טניס</v>
      </c>
      <c r="I1544" s="8" t="str">
        <f aca="false">IF($G1544="","Unmatched","Matched")</f>
        <v>Matched</v>
      </c>
      <c r="J1544" s="8" t="n">
        <f aca="false">IF($G1544&lt;&gt;"",$G1544,$B1544)</f>
        <v>4408208</v>
      </c>
      <c r="K1544" s="8" t="str">
        <f aca="false">IF(COUNTIF($M$1:$M$10,$A1544)&gt;0,"Y","N")</f>
        <v>Y</v>
      </c>
    </row>
    <row r="1545" customFormat="false" ht="15" hidden="false" customHeight="true" outlineLevel="0" collapsed="false">
      <c r="A1545" s="8" t="s">
        <v>53</v>
      </c>
      <c r="B1545" s="8" t="s">
        <v>764</v>
      </c>
      <c r="C1545" s="19" t="n">
        <v>2</v>
      </c>
      <c r="D1545" s="19" t="n">
        <v>110</v>
      </c>
      <c r="E1545" s="19" t="n">
        <v>0</v>
      </c>
      <c r="F1545" s="19" t="n">
        <v>0</v>
      </c>
      <c r="G1545" s="8" t="n">
        <f aca="false">IFERROR(INDEX('TRANS'!$B:$B,MATCH($B1545,'TRANS'!$A:$A,0)),IFERROR(INDEX('TRANS'!$B:$B,MATCH(TRIM(SUBSTITUTE($B1545,CHAR(160)," ")),'TRANS'!$D:$D,0)),IFERROR(INDEX('Catalog'!$A:$A,MATCH($B1545,'Catalog'!$B:$B,0)),IFERROR(INDEX('Catalog'!$A:$A,MATCH(TRIM(SUBSTITUTE($B1545,CHAR(160)," ")),'Catalog'!$C:$C,0)),""))))</f>
        <v>4403035</v>
      </c>
      <c r="H1545" s="8" t="str">
        <f aca="false">IFERROR(INDEX('TRANS'!$C:$C,MATCH($B1545,'TRANS'!$A:$A,0)),IFERROR(INDEX('Catalog'!$B:$B,MATCH($G1545,'Catalog'!$A:$A,0)),$B1545))</f>
        <v>ST3555L-XLגרב לילה לטיפ.בדורבן</v>
      </c>
      <c r="I1545" s="8" t="str">
        <f aca="false">IF($G1545="","Unmatched","Matched")</f>
        <v>Matched</v>
      </c>
      <c r="J1545" s="8" t="n">
        <f aca="false">IF($G1545&lt;&gt;"",$G1545,$B1545)</f>
        <v>4403035</v>
      </c>
      <c r="K1545" s="8" t="str">
        <f aca="false">IF(COUNTIF($M$1:$M$10,$A1545)&gt;0,"Y","N")</f>
        <v>Y</v>
      </c>
    </row>
    <row r="1546" customFormat="false" ht="15" hidden="false" customHeight="true" outlineLevel="0" collapsed="false">
      <c r="A1546" s="8" t="s">
        <v>53</v>
      </c>
      <c r="B1546" s="8" t="s">
        <v>765</v>
      </c>
      <c r="C1546" s="19" t="n">
        <v>2</v>
      </c>
      <c r="D1546" s="19" t="n">
        <v>110</v>
      </c>
      <c r="E1546" s="19" t="n">
        <v>0</v>
      </c>
      <c r="F1546" s="19" t="n">
        <v>0</v>
      </c>
      <c r="G1546" s="8" t="n">
        <f aca="false">IFERROR(INDEX('TRANS'!$B:$B,MATCH($B1546,'TRANS'!$A:$A,0)),IFERROR(INDEX('TRANS'!$B:$B,MATCH(TRIM(SUBSTITUTE($B1546,CHAR(160)," ")),'TRANS'!$D:$D,0)),IFERROR(INDEX('Catalog'!$A:$A,MATCH($B1546,'Catalog'!$B:$B,0)),IFERROR(INDEX('Catalog'!$A:$A,MATCH(TRIM(SUBSTITUTE($B1546,CHAR(160)," ")),'Catalog'!$C:$C,0)),""))))</f>
        <v>4403034</v>
      </c>
      <c r="H1546" s="8" t="str">
        <f aca="false">IFERROR(INDEX('TRANS'!$C:$C,MATCH($B1546,'TRANS'!$A:$A,0)),IFERROR(INDEX('Catalog'!$B:$B,MATCH($G1546,'Catalog'!$A:$A,0)),$B1546))</f>
        <v>ST3555 S-Mגרב לילה לטיפ.בדורבן</v>
      </c>
      <c r="I1546" s="8" t="str">
        <f aca="false">IF($G1546="","Unmatched","Matched")</f>
        <v>Matched</v>
      </c>
      <c r="J1546" s="8" t="n">
        <f aca="false">IF($G1546&lt;&gt;"",$G1546,$B1546)</f>
        <v>4403034</v>
      </c>
      <c r="K1546" s="8" t="str">
        <f aca="false">IF(COUNTIF($M$1:$M$10,$A1546)&gt;0,"Y","N")</f>
        <v>Y</v>
      </c>
    </row>
    <row r="1547" customFormat="false" ht="15" hidden="false" customHeight="true" outlineLevel="0" collapsed="false">
      <c r="A1547" s="8" t="s">
        <v>53</v>
      </c>
      <c r="B1547" s="8" t="s">
        <v>912</v>
      </c>
      <c r="C1547" s="19" t="n">
        <v>1</v>
      </c>
      <c r="D1547" s="19" t="n">
        <v>67.55</v>
      </c>
      <c r="E1547" s="19" t="n">
        <v>1</v>
      </c>
      <c r="F1547" s="19" t="n">
        <v>70.28</v>
      </c>
      <c r="G1547" s="8" t="n">
        <f aca="false">IFERROR(INDEX('TRANS'!$B:$B,MATCH($B1547,'TRANS'!$A:$A,0)),IFERROR(INDEX('TRANS'!$B:$B,MATCH(TRIM(SUBSTITUTE($B1547,CHAR(160)," ")),'TRANS'!$D:$D,0)),IFERROR(INDEX('Catalog'!$A:$A,MATCH($B1547,'Catalog'!$B:$B,0)),IFERROR(INDEX('Catalog'!$A:$A,MATCH(TRIM(SUBSTITUTE($B1547,CHAR(160)," ")),'Catalog'!$C:$C,0)),""))))</f>
        <v>4415072</v>
      </c>
      <c r="H1547" s="8" t="str">
        <f aca="false">IFERROR(INDEX('TRANS'!$C:$C,MATCH($B1547,'TRANS'!$A:$A,0)),IFERROR(INDEX('Catalog'!$B:$B,MATCH($G1547,'Catalog'!$A:$A,0)),$B1547))</f>
        <v>T28A S-M סד לאגודל</v>
      </c>
      <c r="I1547" s="8" t="str">
        <f aca="false">IF($G1547="","Unmatched","Matched")</f>
        <v>Matched</v>
      </c>
      <c r="J1547" s="8" t="n">
        <f aca="false">IF($G1547&lt;&gt;"",$G1547,$B1547)</f>
        <v>4415072</v>
      </c>
      <c r="K1547" s="8" t="str">
        <f aca="false">IF(COUNTIF($M$1:$M$10,$A1547)&gt;0,"Y","N")</f>
        <v>Y</v>
      </c>
    </row>
    <row r="1548" customFormat="false" ht="15" hidden="false" customHeight="true" outlineLevel="0" collapsed="false">
      <c r="A1548" s="8" t="s">
        <v>53</v>
      </c>
      <c r="B1548" s="8" t="s">
        <v>262</v>
      </c>
      <c r="C1548" s="19" t="n">
        <v>1</v>
      </c>
      <c r="D1548" s="19" t="n">
        <v>94.63</v>
      </c>
      <c r="E1548" s="19" t="n">
        <v>0</v>
      </c>
      <c r="F1548" s="19" t="n">
        <v>0</v>
      </c>
      <c r="G1548" s="8" t="str">
        <f aca="false">IFERROR(INDEX('TRANS'!$B:$B,MATCH($B1548,'TRANS'!$A:$A,0)),IFERROR(INDEX('TRANS'!$B:$B,MATCH(TRIM(SUBSTITUTE($B1548,CHAR(160)," ")),'TRANS'!$D:$D,0)),IFERROR(INDEX('Catalog'!$A:$A,MATCH($B1548,'Catalog'!$B:$B,0)),IFERROR(INDEX('Catalog'!$A:$A,MATCH(TRIM(SUBSTITUTE($B1548,CHAR(160)," ")),'Catalog'!$C:$C,0)),""))))</f>
        <v/>
      </c>
      <c r="H1548" s="8" t="str">
        <f aca="false">IFERROR(INDEX('TRANS'!$C:$C,MATCH($B1548,'TRANS'!$A:$A,0)),IFERROR(INDEX('Catalog'!$B:$B,MATCH($G1548,'Catalog'!$A:$A,0)),$B1548))</f>
        <v>T402 M</v>
      </c>
      <c r="I1548" s="8" t="str">
        <f aca="false">IF($G1548="","Unmatched","Matched")</f>
        <v>Unmatched</v>
      </c>
      <c r="J1548" s="8" t="str">
        <f aca="false">IF($G1548&lt;&gt;"",$G1548,$B1548)</f>
        <v>T402 M</v>
      </c>
      <c r="K1548" s="8" t="str">
        <f aca="false">IF(COUNTIF($M$1:$M$10,$A1548)&gt;0,"Y","N")</f>
        <v>Y</v>
      </c>
    </row>
    <row r="1549" customFormat="false" ht="15" hidden="false" customHeight="true" outlineLevel="0" collapsed="false">
      <c r="A1549" s="8" t="s">
        <v>53</v>
      </c>
      <c r="B1549" s="8" t="s">
        <v>566</v>
      </c>
      <c r="C1549" s="19" t="n">
        <v>1</v>
      </c>
      <c r="D1549" s="19" t="n">
        <v>151.23</v>
      </c>
      <c r="E1549" s="19" t="n">
        <v>0</v>
      </c>
      <c r="F1549" s="19" t="n">
        <v>0</v>
      </c>
      <c r="G1549" s="8" t="n">
        <f aca="false">IFERROR(INDEX('TRANS'!$B:$B,MATCH($B1549,'TRANS'!$A:$A,0)),IFERROR(INDEX('TRANS'!$B:$B,MATCH(TRIM(SUBSTITUTE($B1549,CHAR(160)," ")),'TRANS'!$D:$D,0)),IFERROR(INDEX('Catalog'!$A:$A,MATCH($B1549,'Catalog'!$B:$B,0)),IFERROR(INDEX('Catalog'!$A:$A,MATCH(TRIM(SUBSTITUTE($B1549,CHAR(160)," ")),'Catalog'!$C:$C,0)),""))))</f>
        <v>4408029</v>
      </c>
      <c r="H1549" s="8" t="str">
        <f aca="false">IFERROR(INDEX('TRANS'!$C:$C,MATCH($B1549,'TRANS'!$A:$A,0)),IFERROR(INDEX('Catalog'!$B:$B,MATCH($G1549,'Catalog'!$A:$A,0)),$B1549))</f>
        <v>10 XL """"חגורת גב """"לומבו</v>
      </c>
      <c r="I1549" s="8" t="str">
        <f aca="false">IF($G1549="","Unmatched","Matched")</f>
        <v>Matched</v>
      </c>
      <c r="J1549" s="8" t="n">
        <f aca="false">IF($G1549&lt;&gt;"",$G1549,$B1549)</f>
        <v>4408029</v>
      </c>
      <c r="K1549" s="8" t="str">
        <f aca="false">IF(COUNTIF($M$1:$M$10,$A1549)&gt;0,"Y","N")</f>
        <v>Y</v>
      </c>
    </row>
    <row r="1550" customFormat="false" ht="15" hidden="false" customHeight="true" outlineLevel="0" collapsed="false">
      <c r="A1550" s="8" t="s">
        <v>53</v>
      </c>
      <c r="B1550" s="8" t="s">
        <v>787</v>
      </c>
      <c r="C1550" s="19" t="n">
        <v>3</v>
      </c>
      <c r="D1550" s="19" t="n">
        <v>309.22</v>
      </c>
      <c r="E1550" s="19" t="n">
        <v>2</v>
      </c>
      <c r="F1550" s="19" t="n">
        <v>206.14</v>
      </c>
      <c r="G1550" s="8" t="n">
        <f aca="false">IFERROR(INDEX('TRANS'!$B:$B,MATCH($B1550,'TRANS'!$A:$A,0)),IFERROR(INDEX('TRANS'!$B:$B,MATCH(TRIM(SUBSTITUTE($B1550,CHAR(160)," ")),'TRANS'!$D:$D,0)),IFERROR(INDEX('Catalog'!$A:$A,MATCH($B1550,'Catalog'!$B:$B,0)),IFERROR(INDEX('Catalog'!$A:$A,MATCH(TRIM(SUBSTITUTE($B1550,CHAR(160)," ")),'Catalog'!$C:$C,0)),""))))</f>
        <v>4415002</v>
      </c>
      <c r="H1550" s="8" t="str">
        <f aca="false">IFERROR(INDEX('TRANS'!$C:$C,MATCH($B1550,'TRANS'!$A:$A,0)),IFERROR(INDEX('Catalog'!$B:$B,MATCH($G1550,'Catalog'!$A:$A,0)),$B1550))</f>
        <v>26 S סד ליד דו צדדי לאחר שבר</v>
      </c>
      <c r="I1550" s="8" t="str">
        <f aca="false">IF($G1550="","Unmatched","Matched")</f>
        <v>Matched</v>
      </c>
      <c r="J1550" s="8" t="n">
        <f aca="false">IF($G1550&lt;&gt;"",$G1550,$B1550)</f>
        <v>4415002</v>
      </c>
      <c r="K1550" s="8" t="str">
        <f aca="false">IF(COUNTIF($M$1:$M$10,$A1550)&gt;0,"Y","N")</f>
        <v>Y</v>
      </c>
    </row>
    <row r="1551" customFormat="false" ht="15" hidden="false" customHeight="true" outlineLevel="0" collapsed="false">
      <c r="A1551" s="8" t="s">
        <v>53</v>
      </c>
      <c r="B1551" s="8" t="s">
        <v>957</v>
      </c>
      <c r="C1551" s="19" t="n">
        <v>1</v>
      </c>
      <c r="D1551" s="19" t="n">
        <v>103.07</v>
      </c>
      <c r="E1551" s="19" t="n">
        <v>0</v>
      </c>
      <c r="F1551" s="19" t="n">
        <v>0</v>
      </c>
      <c r="G1551" s="8" t="n">
        <f aca="false">IFERROR(INDEX('TRANS'!$B:$B,MATCH($B1551,'TRANS'!$A:$A,0)),IFERROR(INDEX('TRANS'!$B:$B,MATCH(TRIM(SUBSTITUTE($B1551,CHAR(160)," ")),'TRANS'!$D:$D,0)),IFERROR(INDEX('Catalog'!$A:$A,MATCH($B1551,'Catalog'!$B:$B,0)),IFERROR(INDEX('Catalog'!$A:$A,MATCH(TRIM(SUBSTITUTE($B1551,CHAR(160)," ")),'Catalog'!$C:$C,0)),""))))</f>
        <v>4415005</v>
      </c>
      <c r="H1551" s="8" t="str">
        <f aca="false">IFERROR(INDEX('TRANS'!$C:$C,MATCH($B1551,'TRANS'!$A:$A,0)),IFERROR(INDEX('Catalog'!$B:$B,MATCH($G1551,'Catalog'!$A:$A,0)),$B1551))</f>
        <v>28 L סד לאגודל לאחר שבר</v>
      </c>
      <c r="I1551" s="8" t="str">
        <f aca="false">IF($G1551="","Unmatched","Matched")</f>
        <v>Matched</v>
      </c>
      <c r="J1551" s="8" t="n">
        <f aca="false">IF($G1551&lt;&gt;"",$G1551,$B1551)</f>
        <v>4415005</v>
      </c>
      <c r="K1551" s="8" t="str">
        <f aca="false">IF(COUNTIF($M$1:$M$10,$A1551)&gt;0,"Y","N")</f>
        <v>Y</v>
      </c>
    </row>
    <row r="1552" customFormat="false" ht="15" hidden="false" customHeight="true" outlineLevel="0" collapsed="false">
      <c r="A1552" s="8" t="s">
        <v>53</v>
      </c>
      <c r="B1552" s="8" t="s">
        <v>594</v>
      </c>
      <c r="C1552" s="19" t="n">
        <v>1</v>
      </c>
      <c r="D1552" s="19" t="n">
        <v>103.07</v>
      </c>
      <c r="E1552" s="19" t="n">
        <v>0</v>
      </c>
      <c r="F1552" s="19" t="n">
        <v>0</v>
      </c>
      <c r="G1552" s="8" t="n">
        <f aca="false">IFERROR(INDEX('TRANS'!$B:$B,MATCH($B1552,'TRANS'!$A:$A,0)),IFERROR(INDEX('TRANS'!$B:$B,MATCH(TRIM(SUBSTITUTE($B1552,CHAR(160)," ")),'TRANS'!$D:$D,0)),IFERROR(INDEX('Catalog'!$A:$A,MATCH($B1552,'Catalog'!$B:$B,0)),IFERROR(INDEX('Catalog'!$A:$A,MATCH(TRIM(SUBSTITUTE($B1552,CHAR(160)," ")),'Catalog'!$C:$C,0)),""))))</f>
        <v>4415006</v>
      </c>
      <c r="H1552" s="8" t="str">
        <f aca="false">IFERROR(INDEX('TRANS'!$C:$C,MATCH($B1552,'TRANS'!$A:$A,0)),IFERROR(INDEX('Catalog'!$B:$B,MATCH($G1552,'Catalog'!$A:$A,0)),$B1552))</f>
        <v>28 M סד לאגודל לאחר שבר</v>
      </c>
      <c r="I1552" s="8" t="str">
        <f aca="false">IF($G1552="","Unmatched","Matched")</f>
        <v>Matched</v>
      </c>
      <c r="J1552" s="8" t="n">
        <f aca="false">IF($G1552&lt;&gt;"",$G1552,$B1552)</f>
        <v>4415006</v>
      </c>
      <c r="K1552" s="8" t="str">
        <f aca="false">IF(COUNTIF($M$1:$M$10,$A1552)&gt;0,"Y","N")</f>
        <v>Y</v>
      </c>
    </row>
    <row r="1553" customFormat="false" ht="15" hidden="false" customHeight="true" outlineLevel="0" collapsed="false">
      <c r="A1553" s="8" t="s">
        <v>53</v>
      </c>
      <c r="B1553" s="8" t="s">
        <v>958</v>
      </c>
      <c r="C1553" s="19" t="n">
        <v>1</v>
      </c>
      <c r="D1553" s="19" t="n">
        <v>103.07</v>
      </c>
      <c r="E1553" s="19" t="n">
        <v>1</v>
      </c>
      <c r="F1553" s="19" t="n">
        <v>103.07</v>
      </c>
      <c r="G1553" s="8" t="n">
        <f aca="false">IFERROR(INDEX('TRANS'!$B:$B,MATCH($B1553,'TRANS'!$A:$A,0)),IFERROR(INDEX('TRANS'!$B:$B,MATCH(TRIM(SUBSTITUTE($B1553,CHAR(160)," ")),'TRANS'!$D:$D,0)),IFERROR(INDEX('Catalog'!$A:$A,MATCH($B1553,'Catalog'!$B:$B,0)),IFERROR(INDEX('Catalog'!$A:$A,MATCH(TRIM(SUBSTITUTE($B1553,CHAR(160)," ")),'Catalog'!$C:$C,0)),""))))</f>
        <v>4415007</v>
      </c>
      <c r="H1553" s="8" t="str">
        <f aca="false">IFERROR(INDEX('TRANS'!$C:$C,MATCH($B1553,'TRANS'!$A:$A,0)),IFERROR(INDEX('Catalog'!$B:$B,MATCH($G1553,'Catalog'!$A:$A,0)),$B1553))</f>
        <v>28 S סד לאגודל לאחר שבר</v>
      </c>
      <c r="I1553" s="8" t="str">
        <f aca="false">IF($G1553="","Unmatched","Matched")</f>
        <v>Matched</v>
      </c>
      <c r="J1553" s="8" t="n">
        <f aca="false">IF($G1553&lt;&gt;"",$G1553,$B1553)</f>
        <v>4415007</v>
      </c>
      <c r="K1553" s="8" t="str">
        <f aca="false">IF(COUNTIF($M$1:$M$10,$A1553)&gt;0,"Y","N")</f>
        <v>Y</v>
      </c>
    </row>
    <row r="1554" customFormat="false" ht="15" hidden="false" customHeight="true" outlineLevel="0" collapsed="false">
      <c r="A1554" s="8" t="s">
        <v>53</v>
      </c>
      <c r="B1554" s="8" t="s">
        <v>297</v>
      </c>
      <c r="C1554" s="19" t="n">
        <v>0</v>
      </c>
      <c r="D1554" s="19" t="n">
        <v>0</v>
      </c>
      <c r="E1554" s="19" t="n">
        <v>2</v>
      </c>
      <c r="F1554" s="19" t="n">
        <v>192</v>
      </c>
      <c r="G1554" s="8" t="str">
        <f aca="false">IFERROR(INDEX('TRANS'!$B:$B,MATCH($B1554,'TRANS'!$A:$A,0)),IFERROR(INDEX('TRANS'!$B:$B,MATCH(TRIM(SUBSTITUTE($B1554,CHAR(160)," ")),'TRANS'!$D:$D,0)),IFERROR(INDEX('Catalog'!$A:$A,MATCH($B1554,'Catalog'!$B:$B,0)),IFERROR(INDEX('Catalog'!$A:$A,MATCH(TRIM(SUBSTITUTE($B1554,CHAR(160)," ")),'Catalog'!$C:$C,0)),""))))</f>
        <v/>
      </c>
      <c r="H1554" s="8" t="str">
        <f aca="false">IFERROR(INDEX('TRANS'!$C:$C,MATCH($B1554,'TRANS'!$A:$A,0)),IFERROR(INDEX('Catalog'!$B:$B,MATCH($G1554,'Catalog'!$A:$A,0)),$B1554))</f>
        <v>422E M</v>
      </c>
      <c r="I1554" s="8" t="str">
        <f aca="false">IF($G1554="","Unmatched","Matched")</f>
        <v>Unmatched</v>
      </c>
      <c r="J1554" s="8" t="str">
        <f aca="false">IF($G1554&lt;&gt;"",$G1554,$B1554)</f>
        <v>422E M</v>
      </c>
      <c r="K1554" s="8" t="str">
        <f aca="false">IF(COUNTIF($M$1:$M$10,$A1554)&gt;0,"Y","N")</f>
        <v>Y</v>
      </c>
    </row>
    <row r="1555" customFormat="false" ht="15" hidden="false" customHeight="true" outlineLevel="0" collapsed="false">
      <c r="A1555" s="8" t="s">
        <v>53</v>
      </c>
      <c r="B1555" s="8" t="s">
        <v>236</v>
      </c>
      <c r="C1555" s="19" t="n">
        <v>2</v>
      </c>
      <c r="D1555" s="19" t="n">
        <v>406.75</v>
      </c>
      <c r="E1555" s="19" t="n">
        <v>2</v>
      </c>
      <c r="F1555" s="19" t="n">
        <v>192</v>
      </c>
      <c r="G1555" s="8" t="str">
        <f aca="false">IFERROR(INDEX('TRANS'!$B:$B,MATCH($B1555,'TRANS'!$A:$A,0)),IFERROR(INDEX('TRANS'!$B:$B,MATCH(TRIM(SUBSTITUTE($B1555,CHAR(160)," ")),'TRANS'!$D:$D,0)),IFERROR(INDEX('Catalog'!$A:$A,MATCH($B1555,'Catalog'!$B:$B,0)),IFERROR(INDEX('Catalog'!$A:$A,MATCH(TRIM(SUBSTITUTE($B1555,CHAR(160)," ")),'Catalog'!$C:$C,0)),""))))</f>
        <v/>
      </c>
      <c r="H1555" s="8" t="str">
        <f aca="false">IFERROR(INDEX('TRANS'!$C:$C,MATCH($B1555,'TRANS'!$A:$A,0)),IFERROR(INDEX('Catalog'!$B:$B,MATCH($G1555,'Catalog'!$A:$A,0)),$B1555))</f>
        <v>422E XL</v>
      </c>
      <c r="I1555" s="8" t="str">
        <f aca="false">IF($G1555="","Unmatched","Matched")</f>
        <v>Unmatched</v>
      </c>
      <c r="J1555" s="8" t="str">
        <f aca="false">IF($G1555&lt;&gt;"",$G1555,$B1555)</f>
        <v>422E XL</v>
      </c>
      <c r="K1555" s="8" t="str">
        <f aca="false">IF(COUNTIF($M$1:$M$10,$A1555)&gt;0,"Y","N")</f>
        <v>Y</v>
      </c>
    </row>
    <row r="1556" customFormat="false" ht="15" hidden="false" customHeight="true" outlineLevel="0" collapsed="false">
      <c r="A1556" s="8" t="s">
        <v>53</v>
      </c>
      <c r="B1556" s="8" t="s">
        <v>269</v>
      </c>
      <c r="C1556" s="19" t="n">
        <v>0</v>
      </c>
      <c r="D1556" s="19" t="n">
        <v>0</v>
      </c>
      <c r="E1556" s="19" t="n">
        <v>1</v>
      </c>
      <c r="F1556" s="19" t="n">
        <v>96</v>
      </c>
      <c r="G1556" s="8" t="str">
        <f aca="false">IFERROR(INDEX('TRANS'!$B:$B,MATCH($B1556,'TRANS'!$A:$A,0)),IFERROR(INDEX('TRANS'!$B:$B,MATCH(TRIM(SUBSTITUTE($B1556,CHAR(160)," ")),'TRANS'!$D:$D,0)),IFERROR(INDEX('Catalog'!$A:$A,MATCH($B1556,'Catalog'!$B:$B,0)),IFERROR(INDEX('Catalog'!$A:$A,MATCH(TRIM(SUBSTITUTE($B1556,CHAR(160)," ")),'Catalog'!$C:$C,0)),""))))</f>
        <v/>
      </c>
      <c r="H1556" s="8" t="str">
        <f aca="false">IFERROR(INDEX('TRANS'!$C:$C,MATCH($B1556,'TRANS'!$A:$A,0)),IFERROR(INDEX('Catalog'!$B:$B,MATCH($G1556,'Catalog'!$A:$A,0)),$B1556))</f>
        <v>422E XXL</v>
      </c>
      <c r="I1556" s="8" t="str">
        <f aca="false">IF($G1556="","Unmatched","Matched")</f>
        <v>Unmatched</v>
      </c>
      <c r="J1556" s="8" t="str">
        <f aca="false">IF($G1556&lt;&gt;"",$G1556,$B1556)</f>
        <v>422E XXL</v>
      </c>
      <c r="K1556" s="8" t="str">
        <f aca="false">IF(COUNTIF($M$1:$M$10,$A1556)&gt;0,"Y","N")</f>
        <v>Y</v>
      </c>
    </row>
    <row r="1557" customFormat="false" ht="15" hidden="false" customHeight="true" outlineLevel="0" collapsed="false">
      <c r="A1557" s="8" t="s">
        <v>53</v>
      </c>
      <c r="B1557" s="8" t="s">
        <v>689</v>
      </c>
      <c r="C1557" s="19" t="n">
        <v>0</v>
      </c>
      <c r="D1557" s="19" t="n">
        <v>0</v>
      </c>
      <c r="E1557" s="19" t="n">
        <v>1</v>
      </c>
      <c r="F1557" s="19" t="n">
        <v>140</v>
      </c>
      <c r="G1557" s="8" t="n">
        <f aca="false">IFERROR(INDEX('TRANS'!$B:$B,MATCH($B1557,'TRANS'!$A:$A,0)),IFERROR(INDEX('TRANS'!$B:$B,MATCH(TRIM(SUBSTITUTE($B1557,CHAR(160)," ")),'TRANS'!$D:$D,0)),IFERROR(INDEX('Catalog'!$A:$A,MATCH($B1557,'Catalog'!$B:$B,0)),IFERROR(INDEX('Catalog'!$A:$A,MATCH(TRIM(SUBSTITUTE($B1557,CHAR(160)," ")),'Catalog'!$C:$C,0)),""))))</f>
        <v>4408081</v>
      </c>
      <c r="H1557" s="8" t="str">
        <f aca="false">IFERROR(INDEX('TRANS'!$C:$C,MATCH($B1557,'TRANS'!$A:$A,0)),IFERROR(INDEX('Catalog'!$B:$B,MATCH($G1557,'Catalog'!$A:$A,0)),$B1557))</f>
        <v>59R M חגורת שבר לצד ימין</v>
      </c>
      <c r="I1557" s="8" t="str">
        <f aca="false">IF($G1557="","Unmatched","Matched")</f>
        <v>Matched</v>
      </c>
      <c r="J1557" s="8" t="n">
        <f aca="false">IF($G1557&lt;&gt;"",$G1557,$B1557)</f>
        <v>4408081</v>
      </c>
      <c r="K1557" s="8" t="str">
        <f aca="false">IF(COUNTIF($M$1:$M$10,$A1557)&gt;0,"Y","N")</f>
        <v>Y</v>
      </c>
    </row>
    <row r="1558" customFormat="false" ht="15" hidden="false" customHeight="true" outlineLevel="0" collapsed="false">
      <c r="A1558" s="8" t="s">
        <v>53</v>
      </c>
      <c r="B1558" s="8" t="s">
        <v>834</v>
      </c>
      <c r="C1558" s="19" t="n">
        <v>1</v>
      </c>
      <c r="D1558" s="19" t="n">
        <v>90</v>
      </c>
      <c r="E1558" s="19" t="n">
        <v>0</v>
      </c>
      <c r="F1558" s="19" t="n">
        <v>0</v>
      </c>
      <c r="G1558" s="8" t="n">
        <f aca="false">IFERROR(INDEX('TRANS'!$B:$B,MATCH($B1558,'TRANS'!$A:$A,0)),IFERROR(INDEX('TRANS'!$B:$B,MATCH(TRIM(SUBSTITUTE($B1558,CHAR(160)," ")),'TRANS'!$D:$D,0)),IFERROR(INDEX('Catalog'!$A:$A,MATCH($B1558,'Catalog'!$B:$B,0)),IFERROR(INDEX('Catalog'!$A:$A,MATCH(TRIM(SUBSTITUTE($B1558,CHAR(160)," ")),'Catalog'!$C:$C,0)),""))))</f>
        <v>4408084</v>
      </c>
      <c r="H1558" s="8" t="str">
        <f aca="false">IFERROR(INDEX('TRANS'!$C:$C,MATCH($B1558,'TRANS'!$A:$A,0)),IFERROR(INDEX('Catalog'!$B:$B,MATCH($G1558,'Catalog'!$A:$A,0)),$B1558))</f>
        <v>922L.חבק יד לטניס כרית סיליק</v>
      </c>
      <c r="I1558" s="8" t="str">
        <f aca="false">IF($G1558="","Unmatched","Matched")</f>
        <v>Matched</v>
      </c>
      <c r="J1558" s="8" t="n">
        <f aca="false">IF($G1558&lt;&gt;"",$G1558,$B1558)</f>
        <v>4408084</v>
      </c>
      <c r="K1558" s="8" t="str">
        <f aca="false">IF(COUNTIF($M$1:$M$10,$A1558)&gt;0,"Y","N")</f>
        <v>Y</v>
      </c>
    </row>
    <row r="1559" customFormat="false" ht="15" hidden="false" customHeight="true" outlineLevel="0" collapsed="false">
      <c r="A1559" s="8" t="s">
        <v>53</v>
      </c>
      <c r="B1559" s="8" t="s">
        <v>175</v>
      </c>
      <c r="C1559" s="19" t="n">
        <v>1</v>
      </c>
      <c r="D1559" s="19" t="n">
        <v>90</v>
      </c>
      <c r="E1559" s="19" t="n">
        <v>0</v>
      </c>
      <c r="F1559" s="19" t="n">
        <v>0</v>
      </c>
      <c r="G1559" s="8" t="str">
        <f aca="false">IFERROR(INDEX('TRANS'!$B:$B,MATCH($B1559,'TRANS'!$A:$A,0)),IFERROR(INDEX('TRANS'!$B:$B,MATCH(TRIM(SUBSTITUTE($B1559,CHAR(160)," ")),'TRANS'!$D:$D,0)),IFERROR(INDEX('Catalog'!$A:$A,MATCH($B1559,'Catalog'!$B:$B,0)),IFERROR(INDEX('Catalog'!$A:$A,MATCH(TRIM(SUBSTITUTE($B1559,CHAR(160)," ")),'Catalog'!$C:$C,0)),""))))</f>
        <v/>
      </c>
      <c r="H1559" s="8" t="str">
        <f aca="false">IFERROR(INDEX('TRANS'!$C:$C,MATCH($B1559,'TRANS'!$A:$A,0)),IFERROR(INDEX('Catalog'!$B:$B,MATCH($G1559,'Catalog'!$A:$A,0)),$B1559))</f>
        <v>922 M</v>
      </c>
      <c r="I1559" s="8" t="str">
        <f aca="false">IF($G1559="","Unmatched","Matched")</f>
        <v>Unmatched</v>
      </c>
      <c r="J1559" s="8" t="str">
        <f aca="false">IF($G1559&lt;&gt;"",$G1559,$B1559)</f>
        <v>922 M</v>
      </c>
      <c r="K1559" s="8" t="str">
        <f aca="false">IF(COUNTIF($M$1:$M$10,$A1559)&gt;0,"Y","N")</f>
        <v>Y</v>
      </c>
    </row>
    <row r="1560" customFormat="false" ht="15" hidden="false" customHeight="true" outlineLevel="0" collapsed="false">
      <c r="A1560" s="8" t="s">
        <v>53</v>
      </c>
      <c r="B1560" s="8" t="s">
        <v>363</v>
      </c>
      <c r="C1560" s="19" t="n">
        <v>0</v>
      </c>
      <c r="D1560" s="19" t="n">
        <v>0</v>
      </c>
      <c r="E1560" s="19" t="n">
        <v>1</v>
      </c>
      <c r="F1560" s="19" t="n">
        <v>90</v>
      </c>
      <c r="G1560" s="8" t="str">
        <f aca="false">IFERROR(INDEX('TRANS'!$B:$B,MATCH($B1560,'TRANS'!$A:$A,0)),IFERROR(INDEX('TRANS'!$B:$B,MATCH(TRIM(SUBSTITUTE($B1560,CHAR(160)," ")),'TRANS'!$D:$D,0)),IFERROR(INDEX('Catalog'!$A:$A,MATCH($B1560,'Catalog'!$B:$B,0)),IFERROR(INDEX('Catalog'!$A:$A,MATCH(TRIM(SUBSTITUTE($B1560,CHAR(160)," ")),'Catalog'!$C:$C,0)),""))))</f>
        <v/>
      </c>
      <c r="H1560" s="8" t="str">
        <f aca="false">IFERROR(INDEX('TRANS'!$C:$C,MATCH($B1560,'TRANS'!$A:$A,0)),IFERROR(INDEX('Catalog'!$B:$B,MATCH($G1560,'Catalog'!$A:$A,0)),$B1560))</f>
        <v>922B S</v>
      </c>
      <c r="I1560" s="8" t="str">
        <f aca="false">IF($G1560="","Unmatched","Matched")</f>
        <v>Unmatched</v>
      </c>
      <c r="J1560" s="8" t="str">
        <f aca="false">IF($G1560&lt;&gt;"",$G1560,$B1560)</f>
        <v>922B S</v>
      </c>
      <c r="K1560" s="8" t="str">
        <f aca="false">IF(COUNTIF($M$1:$M$10,$A1560)&gt;0,"Y","N")</f>
        <v>Y</v>
      </c>
    </row>
    <row r="1561" customFormat="false" ht="15" hidden="false" customHeight="true" outlineLevel="0" collapsed="false">
      <c r="A1561" s="8" t="s">
        <v>53</v>
      </c>
      <c r="B1561" s="8" t="s">
        <v>447</v>
      </c>
      <c r="C1561" s="19" t="n">
        <v>2</v>
      </c>
      <c r="D1561" s="19" t="n">
        <v>140</v>
      </c>
      <c r="E1561" s="19" t="n">
        <v>0</v>
      </c>
      <c r="F1561" s="19" t="n">
        <v>0</v>
      </c>
      <c r="G1561" s="8" t="str">
        <f aca="false">IFERROR(INDEX('TRANS'!$B:$B,MATCH($B1561,'TRANS'!$A:$A,0)),IFERROR(INDEX('TRANS'!$B:$B,MATCH(TRIM(SUBSTITUTE($B1561,CHAR(160)," ")),'TRANS'!$D:$D,0)),IFERROR(INDEX('Catalog'!$A:$A,MATCH($B1561,'Catalog'!$B:$B,0)),IFERROR(INDEX('Catalog'!$A:$A,MATCH(TRIM(SUBSTITUTE($B1561,CHAR(160)," ")),'Catalog'!$C:$C,0)),""))))</f>
        <v/>
      </c>
      <c r="H1561" s="8" t="str">
        <f aca="false">IFERROR(INDEX('TRANS'!$C:$C,MATCH($B1561,'TRANS'!$A:$A,0)),IFERROR(INDEX('Catalog'!$B:$B,MATCH($G1561,'Catalog'!$A:$A,0)),$B1561))</f>
        <v>T90 0</v>
      </c>
      <c r="I1561" s="8" t="str">
        <f aca="false">IF($G1561="","Unmatched","Matched")</f>
        <v>Unmatched</v>
      </c>
      <c r="J1561" s="8" t="str">
        <f aca="false">IF($G1561&lt;&gt;"",$G1561,$B1561)</f>
        <v>T90 0</v>
      </c>
      <c r="K1561" s="8" t="str">
        <f aca="false">IF(COUNTIF($M$1:$M$10,$A1561)&gt;0,"Y","N")</f>
        <v>Y</v>
      </c>
    </row>
    <row r="1562" customFormat="false" ht="15" hidden="false" customHeight="true" outlineLevel="0" collapsed="false">
      <c r="A1562" s="8" t="s">
        <v>53</v>
      </c>
      <c r="B1562" s="8" t="s">
        <v>677</v>
      </c>
      <c r="C1562" s="19" t="n">
        <v>3</v>
      </c>
      <c r="D1562" s="19" t="n">
        <v>92.68</v>
      </c>
      <c r="E1562" s="19" t="n">
        <v>0</v>
      </c>
      <c r="F1562" s="19" t="n">
        <v>0</v>
      </c>
      <c r="G1562" s="8" t="n">
        <f aca="false">IFERROR(INDEX('TRANS'!$B:$B,MATCH($B1562,'TRANS'!$A:$A,0)),IFERROR(INDEX('TRANS'!$B:$B,MATCH(TRIM(SUBSTITUTE($B1562,CHAR(160)," ")),'TRANS'!$D:$D,0)),IFERROR(INDEX('Catalog'!$A:$A,MATCH($B1562,'Catalog'!$B:$B,0)),IFERROR(INDEX('Catalog'!$A:$A,MATCH(TRIM(SUBSTITUTE($B1562,CHAR(160)," ")),'Catalog'!$C:$C,0)),""))))</f>
        <v>4413098</v>
      </c>
      <c r="H1562" s="8" t="str">
        <f aca="false">IFERROR(INDEX('TRANS'!$C:$C,MATCH($B1562,'TRANS'!$A:$A,0)),IFERROR(INDEX('Catalog'!$B:$B,MATCH($G1562,'Catalog'!$A:$A,0)),$B1562))</f>
        <v>45C L מגן ברך חום</v>
      </c>
      <c r="I1562" s="8" t="str">
        <f aca="false">IF($G1562="","Unmatched","Matched")</f>
        <v>Matched</v>
      </c>
      <c r="J1562" s="8" t="n">
        <f aca="false">IF($G1562&lt;&gt;"",$G1562,$B1562)</f>
        <v>4413098</v>
      </c>
      <c r="K1562" s="8" t="str">
        <f aca="false">IF(COUNTIF($M$1:$M$10,$A1562)&gt;0,"Y","N")</f>
        <v>Y</v>
      </c>
    </row>
    <row r="1563" customFormat="false" ht="15" hidden="false" customHeight="true" outlineLevel="0" collapsed="false">
      <c r="A1563" s="8" t="s">
        <v>53</v>
      </c>
      <c r="B1563" s="8" t="s">
        <v>680</v>
      </c>
      <c r="C1563" s="19" t="n">
        <v>0</v>
      </c>
      <c r="D1563" s="19" t="n">
        <v>0</v>
      </c>
      <c r="E1563" s="19" t="n">
        <v>4</v>
      </c>
      <c r="F1563" s="19" t="n">
        <v>123.57</v>
      </c>
      <c r="G1563" s="8" t="n">
        <f aca="false">IFERROR(INDEX('TRANS'!$B:$B,MATCH($B1563,'TRANS'!$A:$A,0)),IFERROR(INDEX('TRANS'!$B:$B,MATCH(TRIM(SUBSTITUTE($B1563,CHAR(160)," ")),'TRANS'!$D:$D,0)),IFERROR(INDEX('Catalog'!$A:$A,MATCH($B1563,'Catalog'!$B:$B,0)),IFERROR(INDEX('Catalog'!$A:$A,MATCH(TRIM(SUBSTITUTE($B1563,CHAR(160)," ")),'Catalog'!$C:$C,0)),""))))</f>
        <v>4413100</v>
      </c>
      <c r="H1563" s="8" t="str">
        <f aca="false">IFERROR(INDEX('TRANS'!$C:$C,MATCH($B1563,'TRANS'!$A:$A,0)),IFERROR(INDEX('Catalog'!$B:$B,MATCH($G1563,'Catalog'!$A:$A,0)),$B1563))</f>
        <v>45C XL מגן ברך חום</v>
      </c>
      <c r="I1563" s="8" t="str">
        <f aca="false">IF($G1563="","Unmatched","Matched")</f>
        <v>Matched</v>
      </c>
      <c r="J1563" s="8" t="n">
        <f aca="false">IF($G1563&lt;&gt;"",$G1563,$B1563)</f>
        <v>4413100</v>
      </c>
      <c r="K1563" s="8" t="str">
        <f aca="false">IF(COUNTIF($M$1:$M$10,$A1563)&gt;0,"Y","N")</f>
        <v>Y</v>
      </c>
    </row>
    <row r="1564" customFormat="false" ht="15" hidden="false" customHeight="true" outlineLevel="0" collapsed="false">
      <c r="A1564" s="8" t="s">
        <v>53</v>
      </c>
      <c r="B1564" s="8" t="s">
        <v>93</v>
      </c>
      <c r="C1564" s="19" t="n">
        <v>10</v>
      </c>
      <c r="D1564" s="19" t="n">
        <v>496.35</v>
      </c>
      <c r="E1564" s="19" t="n">
        <v>15</v>
      </c>
      <c r="F1564" s="19" t="n">
        <v>744.52</v>
      </c>
      <c r="G1564" s="8" t="str">
        <f aca="false">IFERROR(INDEX('TRANS'!$B:$B,MATCH($B1564,'TRANS'!$A:$A,0)),IFERROR(INDEX('TRANS'!$B:$B,MATCH(TRIM(SUBSTITUTE($B1564,CHAR(160)," ")),'TRANS'!$D:$D,0)),IFERROR(INDEX('Catalog'!$A:$A,MATCH($B1564,'Catalog'!$B:$B,0)),IFERROR(INDEX('Catalog'!$A:$A,MATCH(TRIM(SUBSTITUTE($B1564,CHAR(160)," ")),'Catalog'!$C:$C,0)),""))))</f>
        <v/>
      </c>
      <c r="H1564" s="8" t="str">
        <f aca="false">IFERROR(INDEX('TRANS'!$C:$C,MATCH($B1564,'TRANS'!$A:$A,0)),IFERROR(INDEX('Catalog'!$B:$B,MATCH($G1564,'Catalog'!$A:$A,0)),$B1564))</f>
        <v>60B L</v>
      </c>
      <c r="I1564" s="8" t="str">
        <f aca="false">IF($G1564="","Unmatched","Matched")</f>
        <v>Unmatched</v>
      </c>
      <c r="J1564" s="8" t="str">
        <f aca="false">IF($G1564&lt;&gt;"",$G1564,$B1564)</f>
        <v>60B L</v>
      </c>
      <c r="K1564" s="8" t="str">
        <f aca="false">IF(COUNTIF($M$1:$M$10,$A1564)&gt;0,"Y","N")</f>
        <v>Y</v>
      </c>
    </row>
    <row r="1565" customFormat="false" ht="15" hidden="false" customHeight="true" outlineLevel="0" collapsed="false">
      <c r="A1565" s="8" t="s">
        <v>53</v>
      </c>
      <c r="B1565" s="8" t="s">
        <v>75</v>
      </c>
      <c r="C1565" s="19" t="n">
        <v>10</v>
      </c>
      <c r="D1565" s="19" t="n">
        <v>496.35</v>
      </c>
      <c r="E1565" s="19" t="n">
        <v>15</v>
      </c>
      <c r="F1565" s="19" t="n">
        <v>744.52</v>
      </c>
      <c r="G1565" s="8" t="str">
        <f aca="false">IFERROR(INDEX('TRANS'!$B:$B,MATCH($B1565,'TRANS'!$A:$A,0)),IFERROR(INDEX('TRANS'!$B:$B,MATCH(TRIM(SUBSTITUTE($B1565,CHAR(160)," ")),'TRANS'!$D:$D,0)),IFERROR(INDEX('Catalog'!$A:$A,MATCH($B1565,'Catalog'!$B:$B,0)),IFERROR(INDEX('Catalog'!$A:$A,MATCH(TRIM(SUBSTITUTE($B1565,CHAR(160)," ")),'Catalog'!$C:$C,0)),""))))</f>
        <v/>
      </c>
      <c r="H1565" s="8" t="str">
        <f aca="false">IFERROR(INDEX('TRANS'!$C:$C,MATCH($B1565,'TRANS'!$A:$A,0)),IFERROR(INDEX('Catalog'!$B:$B,MATCH($G1565,'Catalog'!$A:$A,0)),$B1565))</f>
        <v>60B M</v>
      </c>
      <c r="I1565" s="8" t="str">
        <f aca="false">IF($G1565="","Unmatched","Matched")</f>
        <v>Unmatched</v>
      </c>
      <c r="J1565" s="8" t="str">
        <f aca="false">IF($G1565&lt;&gt;"",$G1565,$B1565)</f>
        <v>60B M</v>
      </c>
      <c r="K1565" s="8" t="str">
        <f aca="false">IF(COUNTIF($M$1:$M$10,$A1565)&gt;0,"Y","N")</f>
        <v>Y</v>
      </c>
    </row>
    <row r="1566" customFormat="false" ht="15" hidden="false" customHeight="true" outlineLevel="0" collapsed="false">
      <c r="A1566" s="8" t="s">
        <v>53</v>
      </c>
      <c r="B1566" s="8" t="s">
        <v>85</v>
      </c>
      <c r="C1566" s="19" t="n">
        <v>17</v>
      </c>
      <c r="D1566" s="19" t="n">
        <v>843.8</v>
      </c>
      <c r="E1566" s="19" t="n">
        <v>20</v>
      </c>
      <c r="F1566" s="19" t="n">
        <v>992.7</v>
      </c>
      <c r="G1566" s="8" t="str">
        <f aca="false">IFERROR(INDEX('TRANS'!$B:$B,MATCH($B1566,'TRANS'!$A:$A,0)),IFERROR(INDEX('TRANS'!$B:$B,MATCH(TRIM(SUBSTITUTE($B1566,CHAR(160)," ")),'TRANS'!$D:$D,0)),IFERROR(INDEX('Catalog'!$A:$A,MATCH($B1566,'Catalog'!$B:$B,0)),IFERROR(INDEX('Catalog'!$A:$A,MATCH(TRIM(SUBSTITUTE($B1566,CHAR(160)," ")),'Catalog'!$C:$C,0)),""))))</f>
        <v/>
      </c>
      <c r="H1566" s="8" t="str">
        <f aca="false">IFERROR(INDEX('TRANS'!$C:$C,MATCH($B1566,'TRANS'!$A:$A,0)),IFERROR(INDEX('Catalog'!$B:$B,MATCH($G1566,'Catalog'!$A:$A,0)),$B1566))</f>
        <v>60B S</v>
      </c>
      <c r="I1566" s="8" t="str">
        <f aca="false">IF($G1566="","Unmatched","Matched")</f>
        <v>Unmatched</v>
      </c>
      <c r="J1566" s="8" t="str">
        <f aca="false">IF($G1566&lt;&gt;"",$G1566,$B1566)</f>
        <v>60B S</v>
      </c>
      <c r="K1566" s="8" t="str">
        <f aca="false">IF(COUNTIF($M$1:$M$10,$A1566)&gt;0,"Y","N")</f>
        <v>Y</v>
      </c>
    </row>
    <row r="1567" customFormat="false" ht="15" hidden="false" customHeight="true" outlineLevel="0" collapsed="false">
      <c r="A1567" s="8" t="s">
        <v>53</v>
      </c>
      <c r="B1567" s="8" t="s">
        <v>537</v>
      </c>
      <c r="C1567" s="19" t="n">
        <v>17</v>
      </c>
      <c r="D1567" s="19" t="n">
        <v>843.8</v>
      </c>
      <c r="E1567" s="19" t="n">
        <v>-4</v>
      </c>
      <c r="F1567" s="19" t="n">
        <v>-264.72</v>
      </c>
      <c r="G1567" s="8" t="str">
        <f aca="false">IFERROR(INDEX('TRANS'!$B:$B,MATCH($B1567,'TRANS'!$A:$A,0)),IFERROR(INDEX('TRANS'!$B:$B,MATCH(TRIM(SUBSTITUTE($B1567,CHAR(160)," ")),'TRANS'!$D:$D,0)),IFERROR(INDEX('Catalog'!$A:$A,MATCH($B1567,'Catalog'!$B:$B,0)),IFERROR(INDEX('Catalog'!$A:$A,MATCH(TRIM(SUBSTITUTE($B1567,CHAR(160)," ")),'Catalog'!$C:$C,0)),""))))</f>
        <v/>
      </c>
      <c r="H1567" s="8" t="str">
        <f aca="false">IFERROR(INDEX('TRANS'!$C:$C,MATCH($B1567,'TRANS'!$A:$A,0)),IFERROR(INDEX('Catalog'!$B:$B,MATCH($G1567,'Catalog'!$A:$A,0)),$B1567))</f>
        <v>60B XS</v>
      </c>
      <c r="I1567" s="8" t="str">
        <f aca="false">IF($G1567="","Unmatched","Matched")</f>
        <v>Unmatched</v>
      </c>
      <c r="J1567" s="8" t="str">
        <f aca="false">IF($G1567&lt;&gt;"",$G1567,$B1567)</f>
        <v>60B XS</v>
      </c>
      <c r="K1567" s="8" t="str">
        <f aca="false">IF(COUNTIF($M$1:$M$10,$A1567)&gt;0,"Y","N")</f>
        <v>Y</v>
      </c>
    </row>
    <row r="1568" customFormat="false" ht="15" hidden="false" customHeight="true" outlineLevel="0" collapsed="false">
      <c r="A1568" s="8" t="s">
        <v>53</v>
      </c>
      <c r="B1568" s="8" t="s">
        <v>298</v>
      </c>
      <c r="C1568" s="19" t="n">
        <v>0</v>
      </c>
      <c r="D1568" s="19" t="n">
        <v>0</v>
      </c>
      <c r="E1568" s="19" t="n">
        <v>2</v>
      </c>
      <c r="F1568" s="19" t="n">
        <v>93.64</v>
      </c>
      <c r="G1568" s="8" t="str">
        <f aca="false">IFERROR(INDEX('TRANS'!$B:$B,MATCH($B1568,'TRANS'!$A:$A,0)),IFERROR(INDEX('TRANS'!$B:$B,MATCH(TRIM(SUBSTITUTE($B1568,CHAR(160)," ")),'TRANS'!$D:$D,0)),IFERROR(INDEX('Catalog'!$A:$A,MATCH($B1568,'Catalog'!$B:$B,0)),IFERROR(INDEX('Catalog'!$A:$A,MATCH(TRIM(SUBSTITUTE($B1568,CHAR(160)," ")),'Catalog'!$C:$C,0)),""))))</f>
        <v/>
      </c>
      <c r="H1568" s="8" t="str">
        <f aca="false">IFERROR(INDEX('TRANS'!$C:$C,MATCH($B1568,'TRANS'!$A:$A,0)),IFERROR(INDEX('Catalog'!$B:$B,MATCH($G1568,'Catalog'!$A:$A,0)),$B1568))</f>
        <v>61BL-L</v>
      </c>
      <c r="I1568" s="8" t="str">
        <f aca="false">IF($G1568="","Unmatched","Matched")</f>
        <v>Unmatched</v>
      </c>
      <c r="J1568" s="8" t="str">
        <f aca="false">IF($G1568&lt;&gt;"",$G1568,$B1568)</f>
        <v>61BL-L</v>
      </c>
      <c r="K1568" s="8" t="str">
        <f aca="false">IF(COUNTIF($M$1:$M$10,$A1568)&gt;0,"Y","N")</f>
        <v>Y</v>
      </c>
    </row>
    <row r="1569" customFormat="false" ht="15" hidden="false" customHeight="true" outlineLevel="0" collapsed="false">
      <c r="A1569" s="8" t="s">
        <v>53</v>
      </c>
      <c r="B1569" s="8" t="s">
        <v>238</v>
      </c>
      <c r="C1569" s="19" t="n">
        <v>0</v>
      </c>
      <c r="D1569" s="19" t="n">
        <v>0</v>
      </c>
      <c r="E1569" s="19" t="n">
        <v>2</v>
      </c>
      <c r="F1569" s="19" t="n">
        <v>93.64</v>
      </c>
      <c r="G1569" s="8" t="str">
        <f aca="false">IFERROR(INDEX('TRANS'!$B:$B,MATCH($B1569,'TRANS'!$A:$A,0)),IFERROR(INDEX('TRANS'!$B:$B,MATCH(TRIM(SUBSTITUTE($B1569,CHAR(160)," ")),'TRANS'!$D:$D,0)),IFERROR(INDEX('Catalog'!$A:$A,MATCH($B1569,'Catalog'!$B:$B,0)),IFERROR(INDEX('Catalog'!$A:$A,MATCH(TRIM(SUBSTITUTE($B1569,CHAR(160)," ")),'Catalog'!$C:$C,0)),""))))</f>
        <v/>
      </c>
      <c r="H1569" s="8" t="str">
        <f aca="false">IFERROR(INDEX('TRANS'!$C:$C,MATCH($B1569,'TRANS'!$A:$A,0)),IFERROR(INDEX('Catalog'!$B:$B,MATCH($G1569,'Catalog'!$A:$A,0)),$B1569))</f>
        <v>61BL-M</v>
      </c>
      <c r="I1569" s="8" t="str">
        <f aca="false">IF($G1569="","Unmatched","Matched")</f>
        <v>Unmatched</v>
      </c>
      <c r="J1569" s="8" t="str">
        <f aca="false">IF($G1569&lt;&gt;"",$G1569,$B1569)</f>
        <v>61BL-M</v>
      </c>
      <c r="K1569" s="8" t="str">
        <f aca="false">IF(COUNTIF($M$1:$M$10,$A1569)&gt;0,"Y","N")</f>
        <v>Y</v>
      </c>
    </row>
    <row r="1570" customFormat="false" ht="15" hidden="false" customHeight="true" outlineLevel="0" collapsed="false">
      <c r="A1570" s="8" t="s">
        <v>53</v>
      </c>
      <c r="B1570" s="8" t="s">
        <v>239</v>
      </c>
      <c r="C1570" s="19" t="n">
        <v>0</v>
      </c>
      <c r="D1570" s="19" t="n">
        <v>0</v>
      </c>
      <c r="E1570" s="19" t="n">
        <v>2</v>
      </c>
      <c r="F1570" s="19" t="n">
        <v>93.68</v>
      </c>
      <c r="G1570" s="8" t="str">
        <f aca="false">IFERROR(INDEX('TRANS'!$B:$B,MATCH($B1570,'TRANS'!$A:$A,0)),IFERROR(INDEX('TRANS'!$B:$B,MATCH(TRIM(SUBSTITUTE($B1570,CHAR(160)," ")),'TRANS'!$D:$D,0)),IFERROR(INDEX('Catalog'!$A:$A,MATCH($B1570,'Catalog'!$B:$B,0)),IFERROR(INDEX('Catalog'!$A:$A,MATCH(TRIM(SUBSTITUTE($B1570,CHAR(160)," ")),'Catalog'!$C:$C,0)),""))))</f>
        <v/>
      </c>
      <c r="H1570" s="8" t="str">
        <f aca="false">IFERROR(INDEX('TRANS'!$C:$C,MATCH($B1570,'TRANS'!$A:$A,0)),IFERROR(INDEX('Catalog'!$B:$B,MATCH($G1570,'Catalog'!$A:$A,0)),$B1570))</f>
        <v>61BL-S</v>
      </c>
      <c r="I1570" s="8" t="str">
        <f aca="false">IF($G1570="","Unmatched","Matched")</f>
        <v>Unmatched</v>
      </c>
      <c r="J1570" s="8" t="str">
        <f aca="false">IF($G1570&lt;&gt;"",$G1570,$B1570)</f>
        <v>61BL-S</v>
      </c>
      <c r="K1570" s="8" t="str">
        <f aca="false">IF(COUNTIF($M$1:$M$10,$A1570)&gt;0,"Y","N")</f>
        <v>Y</v>
      </c>
    </row>
    <row r="1571" customFormat="false" ht="15" hidden="false" customHeight="true" outlineLevel="0" collapsed="false">
      <c r="A1571" s="8" t="s">
        <v>53</v>
      </c>
      <c r="B1571" s="8" t="s">
        <v>299</v>
      </c>
      <c r="C1571" s="19" t="n">
        <v>0</v>
      </c>
      <c r="D1571" s="19" t="n">
        <v>0</v>
      </c>
      <c r="E1571" s="19" t="n">
        <v>2</v>
      </c>
      <c r="F1571" s="19" t="n">
        <v>93.64</v>
      </c>
      <c r="G1571" s="8" t="str">
        <f aca="false">IFERROR(INDEX('TRANS'!$B:$B,MATCH($B1571,'TRANS'!$A:$A,0)),IFERROR(INDEX('TRANS'!$B:$B,MATCH(TRIM(SUBSTITUTE($B1571,CHAR(160)," ")),'TRANS'!$D:$D,0)),IFERROR(INDEX('Catalog'!$A:$A,MATCH($B1571,'Catalog'!$B:$B,0)),IFERROR(INDEX('Catalog'!$A:$A,MATCH(TRIM(SUBSTITUTE($B1571,CHAR(160)," ")),'Catalog'!$C:$C,0)),""))))</f>
        <v/>
      </c>
      <c r="H1571" s="8" t="str">
        <f aca="false">IFERROR(INDEX('TRANS'!$C:$C,MATCH($B1571,'TRANS'!$A:$A,0)),IFERROR(INDEX('Catalog'!$B:$B,MATCH($G1571,'Catalog'!$A:$A,0)),$B1571))</f>
        <v>61BL-XL</v>
      </c>
      <c r="I1571" s="8" t="str">
        <f aca="false">IF($G1571="","Unmatched","Matched")</f>
        <v>Unmatched</v>
      </c>
      <c r="J1571" s="8" t="str">
        <f aca="false">IF($G1571&lt;&gt;"",$G1571,$B1571)</f>
        <v>61BL-XL</v>
      </c>
      <c r="K1571" s="8" t="str">
        <f aca="false">IF(COUNTIF($M$1:$M$10,$A1571)&gt;0,"Y","N")</f>
        <v>Y</v>
      </c>
    </row>
    <row r="1572" customFormat="false" ht="15" hidden="false" customHeight="true" outlineLevel="0" collapsed="false">
      <c r="A1572" s="8" t="s">
        <v>53</v>
      </c>
      <c r="B1572" s="8" t="s">
        <v>130</v>
      </c>
      <c r="C1572" s="19" t="n">
        <v>0</v>
      </c>
      <c r="D1572" s="19" t="n">
        <v>0</v>
      </c>
      <c r="E1572" s="19" t="n">
        <v>12</v>
      </c>
      <c r="F1572" s="19" t="n">
        <v>786.87</v>
      </c>
      <c r="G1572" s="8" t="str">
        <f aca="false">IFERROR(INDEX('TRANS'!$B:$B,MATCH($B1572,'TRANS'!$A:$A,0)),IFERROR(INDEX('TRANS'!$B:$B,MATCH(TRIM(SUBSTITUTE($B1572,CHAR(160)," ")),'TRANS'!$D:$D,0)),IFERROR(INDEX('Catalog'!$A:$A,MATCH($B1572,'Catalog'!$B:$B,0)),IFERROR(INDEX('Catalog'!$A:$A,MATCH(TRIM(SUBSTITUTE($B1572,CHAR(160)," ")),'Catalog'!$C:$C,0)),""))))</f>
        <v/>
      </c>
      <c r="H1572" s="8" t="str">
        <f aca="false">IFERROR(INDEX('TRANS'!$C:$C,MATCH($B1572,'TRANS'!$A:$A,0)),IFERROR(INDEX('Catalog'!$B:$B,MATCH($G1572,'Catalog'!$A:$A,0)),$B1572))</f>
        <v>621B-L</v>
      </c>
      <c r="I1572" s="8" t="str">
        <f aca="false">IF($G1572="","Unmatched","Matched")</f>
        <v>Unmatched</v>
      </c>
      <c r="J1572" s="8" t="str">
        <f aca="false">IF($G1572&lt;&gt;"",$G1572,$B1572)</f>
        <v>621B-L</v>
      </c>
      <c r="K1572" s="8" t="str">
        <f aca="false">IF(COUNTIF($M$1:$M$10,$A1572)&gt;0,"Y","N")</f>
        <v>Y</v>
      </c>
    </row>
    <row r="1573" customFormat="false" ht="15" hidden="false" customHeight="true" outlineLevel="0" collapsed="false">
      <c r="A1573" s="8" t="s">
        <v>53</v>
      </c>
      <c r="B1573" s="8" t="s">
        <v>91</v>
      </c>
      <c r="C1573" s="19" t="n">
        <v>0</v>
      </c>
      <c r="D1573" s="19" t="n">
        <v>0</v>
      </c>
      <c r="E1573" s="19" t="n">
        <v>22</v>
      </c>
      <c r="F1573" s="19" t="n">
        <v>1442.59</v>
      </c>
      <c r="G1573" s="8" t="str">
        <f aca="false">IFERROR(INDEX('TRANS'!$B:$B,MATCH($B1573,'TRANS'!$A:$A,0)),IFERROR(INDEX('TRANS'!$B:$B,MATCH(TRIM(SUBSTITUTE($B1573,CHAR(160)," ")),'TRANS'!$D:$D,0)),IFERROR(INDEX('Catalog'!$A:$A,MATCH($B1573,'Catalog'!$B:$B,0)),IFERROR(INDEX('Catalog'!$A:$A,MATCH(TRIM(SUBSTITUTE($B1573,CHAR(160)," ")),'Catalog'!$C:$C,0)),""))))</f>
        <v/>
      </c>
      <c r="H1573" s="8" t="str">
        <f aca="false">IFERROR(INDEX('TRANS'!$C:$C,MATCH($B1573,'TRANS'!$A:$A,0)),IFERROR(INDEX('Catalog'!$B:$B,MATCH($G1573,'Catalog'!$A:$A,0)),$B1573))</f>
        <v>621B-M</v>
      </c>
      <c r="I1573" s="8" t="str">
        <f aca="false">IF($G1573="","Unmatched","Matched")</f>
        <v>Unmatched</v>
      </c>
      <c r="J1573" s="8" t="str">
        <f aca="false">IF($G1573&lt;&gt;"",$G1573,$B1573)</f>
        <v>621B-M</v>
      </c>
      <c r="K1573" s="8" t="str">
        <f aca="false">IF(COUNTIF($M$1:$M$10,$A1573)&gt;0,"Y","N")</f>
        <v>Y</v>
      </c>
    </row>
    <row r="1574" customFormat="false" ht="15" hidden="false" customHeight="true" outlineLevel="0" collapsed="false">
      <c r="A1574" s="8" t="s">
        <v>53</v>
      </c>
      <c r="B1574" s="8" t="s">
        <v>136</v>
      </c>
      <c r="C1574" s="19" t="n">
        <v>0</v>
      </c>
      <c r="D1574" s="19" t="n">
        <v>0</v>
      </c>
      <c r="E1574" s="19" t="n">
        <v>10</v>
      </c>
      <c r="F1574" s="19" t="n">
        <v>655.72</v>
      </c>
      <c r="G1574" s="8" t="str">
        <f aca="false">IFERROR(INDEX('TRANS'!$B:$B,MATCH($B1574,'TRANS'!$A:$A,0)),IFERROR(INDEX('TRANS'!$B:$B,MATCH(TRIM(SUBSTITUTE($B1574,CHAR(160)," ")),'TRANS'!$D:$D,0)),IFERROR(INDEX('Catalog'!$A:$A,MATCH($B1574,'Catalog'!$B:$B,0)),IFERROR(INDEX('Catalog'!$A:$A,MATCH(TRIM(SUBSTITUTE($B1574,CHAR(160)," ")),'Catalog'!$C:$C,0)),""))))</f>
        <v/>
      </c>
      <c r="H1574" s="8" t="str">
        <f aca="false">IFERROR(INDEX('TRANS'!$C:$C,MATCH($B1574,'TRANS'!$A:$A,0)),IFERROR(INDEX('Catalog'!$B:$B,MATCH($G1574,'Catalog'!$A:$A,0)),$B1574))</f>
        <v>621B-S</v>
      </c>
      <c r="I1574" s="8" t="str">
        <f aca="false">IF($G1574="","Unmatched","Matched")</f>
        <v>Unmatched</v>
      </c>
      <c r="J1574" s="8" t="str">
        <f aca="false">IF($G1574&lt;&gt;"",$G1574,$B1574)</f>
        <v>621B-S</v>
      </c>
      <c r="K1574" s="8" t="str">
        <f aca="false">IF(COUNTIF($M$1:$M$10,$A1574)&gt;0,"Y","N")</f>
        <v>Y</v>
      </c>
    </row>
    <row r="1575" customFormat="false" ht="15" hidden="false" customHeight="true" outlineLevel="0" collapsed="false">
      <c r="A1575" s="8" t="s">
        <v>53</v>
      </c>
      <c r="B1575" s="8" t="s">
        <v>131</v>
      </c>
      <c r="C1575" s="19" t="n">
        <v>0</v>
      </c>
      <c r="D1575" s="19" t="n">
        <v>0</v>
      </c>
      <c r="E1575" s="19" t="n">
        <v>12</v>
      </c>
      <c r="F1575" s="19" t="n">
        <v>786.86</v>
      </c>
      <c r="G1575" s="8" t="str">
        <f aca="false">IFERROR(INDEX('TRANS'!$B:$B,MATCH($B1575,'TRANS'!$A:$A,0)),IFERROR(INDEX('TRANS'!$B:$B,MATCH(TRIM(SUBSTITUTE($B1575,CHAR(160)," ")),'TRANS'!$D:$D,0)),IFERROR(INDEX('Catalog'!$A:$A,MATCH($B1575,'Catalog'!$B:$B,0)),IFERROR(INDEX('Catalog'!$A:$A,MATCH(TRIM(SUBSTITUTE($B1575,CHAR(160)," ")),'Catalog'!$C:$C,0)),""))))</f>
        <v/>
      </c>
      <c r="H1575" s="8" t="str">
        <f aca="false">IFERROR(INDEX('TRANS'!$C:$C,MATCH($B1575,'TRANS'!$A:$A,0)),IFERROR(INDEX('Catalog'!$B:$B,MATCH($G1575,'Catalog'!$A:$A,0)),$B1575))</f>
        <v>621B-XL</v>
      </c>
      <c r="I1575" s="8" t="str">
        <f aca="false">IF($G1575="","Unmatched","Matched")</f>
        <v>Unmatched</v>
      </c>
      <c r="J1575" s="8" t="str">
        <f aca="false">IF($G1575&lt;&gt;"",$G1575,$B1575)</f>
        <v>621B-XL</v>
      </c>
      <c r="K1575" s="8" t="str">
        <f aca="false">IF(COUNTIF($M$1:$M$10,$A1575)&gt;0,"Y","N")</f>
        <v>Y</v>
      </c>
    </row>
    <row r="1576" customFormat="false" ht="15" hidden="false" customHeight="true" outlineLevel="0" collapsed="false">
      <c r="A1576" s="8" t="s">
        <v>53</v>
      </c>
      <c r="B1576" s="8" t="s">
        <v>163</v>
      </c>
      <c r="C1576" s="19" t="n">
        <v>1</v>
      </c>
      <c r="D1576" s="19" t="n">
        <v>70</v>
      </c>
      <c r="E1576" s="19" t="n">
        <v>0</v>
      </c>
      <c r="F1576" s="19" t="n">
        <v>0</v>
      </c>
      <c r="G1576" s="8" t="str">
        <f aca="false">IFERROR(INDEX('TRANS'!$B:$B,MATCH($B1576,'TRANS'!$A:$A,0)),IFERROR(INDEX('TRANS'!$B:$B,MATCH(TRIM(SUBSTITUTE($B1576,CHAR(160)," ")),'TRANS'!$D:$D,0)),IFERROR(INDEX('Catalog'!$A:$A,MATCH($B1576,'Catalog'!$B:$B,0)),IFERROR(INDEX('Catalog'!$A:$A,MATCH(TRIM(SUBSTITUTE($B1576,CHAR(160)," ")),'Catalog'!$C:$C,0)),""))))</f>
        <v/>
      </c>
      <c r="H1576" s="8" t="str">
        <f aca="false">IFERROR(INDEX('TRANS'!$C:$C,MATCH($B1576,'TRANS'!$A:$A,0)),IFERROR(INDEX('Catalog'!$B:$B,MATCH($G1576,'Catalog'!$A:$A,0)),$B1576))</f>
        <v>322B M</v>
      </c>
      <c r="I1576" s="8" t="str">
        <f aca="false">IF($G1576="","Unmatched","Matched")</f>
        <v>Unmatched</v>
      </c>
      <c r="J1576" s="8" t="str">
        <f aca="false">IF($G1576&lt;&gt;"",$G1576,$B1576)</f>
        <v>322B M</v>
      </c>
      <c r="K1576" s="8" t="str">
        <f aca="false">IF(COUNTIF($M$1:$M$10,$A1576)&gt;0,"Y","N")</f>
        <v>Y</v>
      </c>
    </row>
    <row r="1577" customFormat="false" ht="15" hidden="false" customHeight="true" outlineLevel="0" collapsed="false">
      <c r="A1577" s="8" t="s">
        <v>53</v>
      </c>
      <c r="B1577" s="8" t="s">
        <v>613</v>
      </c>
      <c r="C1577" s="19" t="n">
        <v>1</v>
      </c>
      <c r="D1577" s="19" t="n">
        <v>30.89</v>
      </c>
      <c r="E1577" s="19" t="n">
        <v>0</v>
      </c>
      <c r="F1577" s="19" t="n">
        <v>0</v>
      </c>
      <c r="G1577" s="8" t="n">
        <f aca="false">IFERROR(INDEX('TRANS'!$B:$B,MATCH($B1577,'TRANS'!$A:$A,0)),IFERROR(INDEX('TRANS'!$B:$B,MATCH(TRIM(SUBSTITUTE($B1577,CHAR(160)," ")),'TRANS'!$D:$D,0)),IFERROR(INDEX('Catalog'!$A:$A,MATCH($B1577,'Catalog'!$B:$B,0)),IFERROR(INDEX('Catalog'!$A:$A,MATCH(TRIM(SUBSTITUTE($B1577,CHAR(160)," ")),'Catalog'!$C:$C,0)),""))))</f>
        <v>4413048</v>
      </c>
      <c r="H1577" s="8" t="str">
        <f aca="false">IFERROR(INDEX('TRANS'!$C:$C,MATCH($B1577,'TRANS'!$A:$A,0)),IFERROR(INDEX('Catalog'!$B:$B,MATCH($G1577,'Catalog'!$A:$A,0)),$B1577))</f>
        <v>35 L מגן קרסול לבן</v>
      </c>
      <c r="I1577" s="8" t="str">
        <f aca="false">IF($G1577="","Unmatched","Matched")</f>
        <v>Matched</v>
      </c>
      <c r="J1577" s="8" t="n">
        <f aca="false">IF($G1577&lt;&gt;"",$G1577,$B1577)</f>
        <v>4413048</v>
      </c>
      <c r="K1577" s="8" t="str">
        <f aca="false">IF(COUNTIF($M$1:$M$10,$A1577)&gt;0,"Y","N")</f>
        <v>Y</v>
      </c>
    </row>
    <row r="1578" customFormat="false" ht="15" hidden="false" customHeight="true" outlineLevel="0" collapsed="false">
      <c r="A1578" s="8" t="s">
        <v>53</v>
      </c>
      <c r="B1578" s="8" t="s">
        <v>614</v>
      </c>
      <c r="C1578" s="19" t="n">
        <v>1</v>
      </c>
      <c r="D1578" s="19" t="n">
        <v>30.89</v>
      </c>
      <c r="E1578" s="19" t="n">
        <v>1</v>
      </c>
      <c r="F1578" s="19" t="n">
        <v>30.89</v>
      </c>
      <c r="G1578" s="8" t="n">
        <f aca="false">IFERROR(INDEX('TRANS'!$B:$B,MATCH($B1578,'TRANS'!$A:$A,0)),IFERROR(INDEX('TRANS'!$B:$B,MATCH(TRIM(SUBSTITUTE($B1578,CHAR(160)," ")),'TRANS'!$D:$D,0)),IFERROR(INDEX('Catalog'!$A:$A,MATCH($B1578,'Catalog'!$B:$B,0)),IFERROR(INDEX('Catalog'!$A:$A,MATCH(TRIM(SUBSTITUTE($B1578,CHAR(160)," ")),'Catalog'!$C:$C,0)),""))))</f>
        <v>4413049</v>
      </c>
      <c r="H1578" s="8" t="str">
        <f aca="false">IFERROR(INDEX('TRANS'!$C:$C,MATCH($B1578,'TRANS'!$A:$A,0)),IFERROR(INDEX('Catalog'!$B:$B,MATCH($G1578,'Catalog'!$A:$A,0)),$B1578))</f>
        <v>35 M מגן קרסול לבן</v>
      </c>
      <c r="I1578" s="8" t="str">
        <f aca="false">IF($G1578="","Unmatched","Matched")</f>
        <v>Matched</v>
      </c>
      <c r="J1578" s="8" t="n">
        <f aca="false">IF($G1578&lt;&gt;"",$G1578,$B1578)</f>
        <v>4413049</v>
      </c>
      <c r="K1578" s="8" t="str">
        <f aca="false">IF(COUNTIF($M$1:$M$10,$A1578)&gt;0,"Y","N")</f>
        <v>Y</v>
      </c>
    </row>
    <row r="1579" customFormat="false" ht="15" hidden="false" customHeight="true" outlineLevel="0" collapsed="false">
      <c r="A1579" s="8" t="s">
        <v>53</v>
      </c>
      <c r="B1579" s="8" t="s">
        <v>793</v>
      </c>
      <c r="C1579" s="19" t="n">
        <v>1</v>
      </c>
      <c r="D1579" s="19" t="n">
        <v>30.89</v>
      </c>
      <c r="E1579" s="19" t="n">
        <v>0</v>
      </c>
      <c r="F1579" s="19" t="n">
        <v>0</v>
      </c>
      <c r="G1579" s="8" t="n">
        <f aca="false">IFERROR(INDEX('TRANS'!$B:$B,MATCH($B1579,'TRANS'!$A:$A,0)),IFERROR(INDEX('TRANS'!$B:$B,MATCH(TRIM(SUBSTITUTE($B1579,CHAR(160)," ")),'TRANS'!$D:$D,0)),IFERROR(INDEX('Catalog'!$A:$A,MATCH($B1579,'Catalog'!$B:$B,0)),IFERROR(INDEX('Catalog'!$A:$A,MATCH(TRIM(SUBSTITUTE($B1579,CHAR(160)," ")),'Catalog'!$C:$C,0)),""))))</f>
        <v>4413050</v>
      </c>
      <c r="H1579" s="8" t="str">
        <f aca="false">IFERROR(INDEX('TRANS'!$C:$C,MATCH($B1579,'TRANS'!$A:$A,0)),IFERROR(INDEX('Catalog'!$B:$B,MATCH($G1579,'Catalog'!$A:$A,0)),$B1579))</f>
        <v>35 XL מגן קרסול לבן</v>
      </c>
      <c r="I1579" s="8" t="str">
        <f aca="false">IF($G1579="","Unmatched","Matched")</f>
        <v>Matched</v>
      </c>
      <c r="J1579" s="8" t="n">
        <f aca="false">IF($G1579&lt;&gt;"",$G1579,$B1579)</f>
        <v>4413050</v>
      </c>
      <c r="K1579" s="8" t="str">
        <f aca="false">IF(COUNTIF($M$1:$M$10,$A1579)&gt;0,"Y","N")</f>
        <v>Y</v>
      </c>
    </row>
    <row r="1580" customFormat="false" ht="15" hidden="false" customHeight="true" outlineLevel="0" collapsed="false">
      <c r="A1580" s="8" t="s">
        <v>53</v>
      </c>
      <c r="B1580" s="8" t="s">
        <v>622</v>
      </c>
      <c r="C1580" s="19" t="n">
        <v>2</v>
      </c>
      <c r="D1580" s="19" t="n">
        <v>61.78</v>
      </c>
      <c r="E1580" s="19" t="n">
        <v>0</v>
      </c>
      <c r="F1580" s="19" t="n">
        <v>0</v>
      </c>
      <c r="G1580" s="8" t="n">
        <f aca="false">IFERROR(INDEX('TRANS'!$B:$B,MATCH($B1580,'TRANS'!$A:$A,0)),IFERROR(INDEX('TRANS'!$B:$B,MATCH(TRIM(SUBSTITUTE($B1580,CHAR(160)," ")),'TRANS'!$D:$D,0)),IFERROR(INDEX('Catalog'!$A:$A,MATCH($B1580,'Catalog'!$B:$B,0)),IFERROR(INDEX('Catalog'!$A:$A,MATCH(TRIM(SUBSTITUTE($B1580,CHAR(160)," ")),'Catalog'!$C:$C,0)),""))))</f>
        <v>4413052</v>
      </c>
      <c r="H1580" s="8" t="str">
        <f aca="false">IFERROR(INDEX('TRANS'!$C:$C,MATCH($B1580,'TRANS'!$A:$A,0)),IFERROR(INDEX('Catalog'!$B:$B,MATCH($G1580,'Catalog'!$A:$A,0)),$B1580))</f>
        <v>35C S מגן קרסול חום</v>
      </c>
      <c r="I1580" s="8" t="str">
        <f aca="false">IF($G1580="","Unmatched","Matched")</f>
        <v>Matched</v>
      </c>
      <c r="J1580" s="8" t="n">
        <f aca="false">IF($G1580&lt;&gt;"",$G1580,$B1580)</f>
        <v>4413052</v>
      </c>
      <c r="K1580" s="8" t="str">
        <f aca="false">IF(COUNTIF($M$1:$M$10,$A1580)&gt;0,"Y","N")</f>
        <v>Y</v>
      </c>
    </row>
    <row r="1581" customFormat="false" ht="15" hidden="false" customHeight="true" outlineLevel="0" collapsed="false">
      <c r="A1581" s="8" t="s">
        <v>53</v>
      </c>
      <c r="B1581" s="8" t="s">
        <v>104</v>
      </c>
      <c r="C1581" s="19" t="n">
        <v>3</v>
      </c>
      <c r="D1581" s="19" t="n">
        <v>0.02</v>
      </c>
      <c r="E1581" s="19" t="n">
        <v>0</v>
      </c>
      <c r="F1581" s="19" t="n">
        <v>0</v>
      </c>
      <c r="G1581" s="8" t="str">
        <f aca="false">IFERROR(INDEX('TRANS'!$B:$B,MATCH($B1581,'TRANS'!$A:$A,0)),IFERROR(INDEX('TRANS'!$B:$B,MATCH(TRIM(SUBSTITUTE($B1581,CHAR(160)," ")),'TRANS'!$D:$D,0)),IFERROR(INDEX('Catalog'!$A:$A,MATCH($B1581,'Catalog'!$B:$B,0)),IFERROR(INDEX('Catalog'!$A:$A,MATCH(TRIM(SUBSTITUTE($B1581,CHAR(160)," ")),'Catalog'!$C:$C,0)),""))))</f>
        <v/>
      </c>
      <c r="H1581" s="8" t="str">
        <f aca="false">IFERROR(INDEX('TRANS'!$C:$C,MATCH($B1581,'TRANS'!$A:$A,0)),IFERROR(INDEX('Catalog'!$B:$B,MATCH($G1581,'Catalog'!$A:$A,0)),$B1581))</f>
        <v>67800020</v>
      </c>
      <c r="I1581" s="8" t="str">
        <f aca="false">IF($G1581="","Unmatched","Matched")</f>
        <v>Unmatched</v>
      </c>
      <c r="J1581" s="8" t="str">
        <f aca="false">IF($G1581&lt;&gt;"",$G1581,$B1581)</f>
        <v>67800020</v>
      </c>
      <c r="K1581" s="8" t="str">
        <f aca="false">IF(COUNTIF($M$1:$M$10,$A1581)&gt;0,"Y","N")</f>
        <v>Y</v>
      </c>
    </row>
    <row r="1582" customFormat="false" ht="15" hidden="false" customHeight="true" outlineLevel="0" collapsed="false">
      <c r="A1582" s="8" t="s">
        <v>53</v>
      </c>
      <c r="B1582" s="8" t="s">
        <v>557</v>
      </c>
      <c r="C1582" s="19" t="n">
        <v>0</v>
      </c>
      <c r="D1582" s="19" t="n">
        <v>0</v>
      </c>
      <c r="E1582" s="19" t="n">
        <v>1</v>
      </c>
      <c r="F1582" s="19" t="n">
        <v>164.01</v>
      </c>
      <c r="G1582" s="8" t="n">
        <f aca="false">IFERROR(INDEX('TRANS'!$B:$B,MATCH($B1582,'TRANS'!$A:$A,0)),IFERROR(INDEX('TRANS'!$B:$B,MATCH(TRIM(SUBSTITUTE($B1582,CHAR(160)," ")),'TRANS'!$D:$D,0)),IFERROR(INDEX('Catalog'!$A:$A,MATCH($B1582,'Catalog'!$B:$B,0)),IFERROR(INDEX('Catalog'!$A:$A,MATCH(TRIM(SUBSTITUTE($B1582,CHAR(160)," ")),'Catalog'!$C:$C,0)),""))))</f>
        <v>4413129</v>
      </c>
      <c r="H1582" s="8" t="str">
        <f aca="false">IFERROR(INDEX('TRANS'!$C:$C,MATCH($B1582,'TRANS'!$A:$A,0)),IFERROR(INDEX('Catalog'!$B:$B,MATCH($G1582,'Catalog'!$A:$A,0)),$B1582))</f>
        <v>75 XLמיישר כתף יציב יישור ג.צר</v>
      </c>
      <c r="I1582" s="8" t="str">
        <f aca="false">IF($G1582="","Unmatched","Matched")</f>
        <v>Matched</v>
      </c>
      <c r="J1582" s="8" t="n">
        <f aca="false">IF($G1582&lt;&gt;"",$G1582,$B1582)</f>
        <v>4413129</v>
      </c>
      <c r="K1582" s="8" t="str">
        <f aca="false">IF(COUNTIF($M$1:$M$10,$A1582)&gt;0,"Y","N")</f>
        <v>Y</v>
      </c>
    </row>
    <row r="1583" customFormat="false" ht="15" hidden="false" customHeight="true" outlineLevel="0" collapsed="false">
      <c r="A1583" s="8" t="s">
        <v>53</v>
      </c>
      <c r="B1583" s="8" t="s">
        <v>709</v>
      </c>
      <c r="C1583" s="19" t="n">
        <v>4</v>
      </c>
      <c r="D1583" s="19" t="n">
        <v>211.33</v>
      </c>
      <c r="E1583" s="19" t="n">
        <v>0</v>
      </c>
      <c r="F1583" s="19" t="n">
        <v>0</v>
      </c>
      <c r="G1583" s="8" t="n">
        <f aca="false">IFERROR(INDEX('TRANS'!$B:$B,MATCH($B1583,'TRANS'!$A:$A,0)),IFERROR(INDEX('TRANS'!$B:$B,MATCH(TRIM(SUBSTITUTE($B1583,CHAR(160)," ")),'TRANS'!$D:$D,0)),IFERROR(INDEX('Catalog'!$A:$A,MATCH($B1583,'Catalog'!$B:$B,0)),IFERROR(INDEX('Catalog'!$A:$A,MATCH(TRIM(SUBSTITUTE($B1583,CHAR(160)," ")),'Catalog'!$C:$C,0)),""))))</f>
        <v>4413136</v>
      </c>
      <c r="H1583" s="8" t="str">
        <f aca="false">IFERROR(INDEX('TRANS'!$C:$C,MATCH($B1583,'TRANS'!$A:$A,0)),IFERROR(INDEX('Catalog'!$B:$B,MATCH($G1583,'Catalog'!$A:$A,0)),$B1583))</f>
        <v>85 M (מתלה ליד )כיס</v>
      </c>
      <c r="I1583" s="8" t="str">
        <f aca="false">IF($G1583="","Unmatched","Matched")</f>
        <v>Matched</v>
      </c>
      <c r="J1583" s="8" t="n">
        <f aca="false">IF($G1583&lt;&gt;"",$G1583,$B1583)</f>
        <v>4413136</v>
      </c>
      <c r="K1583" s="8" t="str">
        <f aca="false">IF(COUNTIF($M$1:$M$10,$A1583)&gt;0,"Y","N")</f>
        <v>Y</v>
      </c>
    </row>
    <row r="1584" customFormat="false" ht="15" hidden="false" customHeight="true" outlineLevel="0" collapsed="false">
      <c r="A1584" s="8" t="s">
        <v>53</v>
      </c>
      <c r="B1584" s="8" t="s">
        <v>963</v>
      </c>
      <c r="C1584" s="19" t="n">
        <v>2</v>
      </c>
      <c r="D1584" s="19" t="n">
        <v>113.32</v>
      </c>
      <c r="E1584" s="19" t="n">
        <v>3</v>
      </c>
      <c r="F1584" s="19" t="n">
        <v>154.66</v>
      </c>
      <c r="G1584" s="8" t="n">
        <f aca="false">IFERROR(INDEX('TRANS'!$B:$B,MATCH($B1584,'TRANS'!$A:$A,0)),IFERROR(INDEX('TRANS'!$B:$B,MATCH(TRIM(SUBSTITUTE($B1584,CHAR(160)," ")),'TRANS'!$D:$D,0)),IFERROR(INDEX('Catalog'!$A:$A,MATCH($B1584,'Catalog'!$B:$B,0)),IFERROR(INDEX('Catalog'!$A:$A,MATCH(TRIM(SUBSTITUTE($B1584,CHAR(160)," ")),'Catalog'!$C:$C,0)),""))))</f>
        <v>4413137</v>
      </c>
      <c r="H1584" s="8" t="str">
        <f aca="false">IFERROR(INDEX('TRANS'!$C:$C,MATCH($B1584,'TRANS'!$A:$A,0)),IFERROR(INDEX('Catalog'!$B:$B,MATCH($G1584,'Catalog'!$A:$A,0)),$B1584))</f>
        <v>85 S (מתלה ליד )כיס</v>
      </c>
      <c r="I1584" s="8" t="str">
        <f aca="false">IF($G1584="","Unmatched","Matched")</f>
        <v>Matched</v>
      </c>
      <c r="J1584" s="8" t="n">
        <f aca="false">IF($G1584&lt;&gt;"",$G1584,$B1584)</f>
        <v>4413137</v>
      </c>
      <c r="K1584" s="8" t="str">
        <f aca="false">IF(COUNTIF($M$1:$M$10,$A1584)&gt;0,"Y","N")</f>
        <v>Y</v>
      </c>
    </row>
    <row r="1585" customFormat="false" ht="15" hidden="false" customHeight="true" outlineLevel="0" collapsed="false">
      <c r="A1585" s="8" t="s">
        <v>53</v>
      </c>
      <c r="B1585" s="8" t="s">
        <v>710</v>
      </c>
      <c r="C1585" s="19" t="n">
        <v>0</v>
      </c>
      <c r="D1585" s="19" t="n">
        <v>0</v>
      </c>
      <c r="E1585" s="19" t="n">
        <v>3</v>
      </c>
      <c r="F1585" s="19" t="n">
        <v>154.66</v>
      </c>
      <c r="G1585" s="8" t="n">
        <f aca="false">IFERROR(INDEX('TRANS'!$B:$B,MATCH($B1585,'TRANS'!$A:$A,0)),IFERROR(INDEX('TRANS'!$B:$B,MATCH(TRIM(SUBSTITUTE($B1585,CHAR(160)," ")),'TRANS'!$D:$D,0)),IFERROR(INDEX('Catalog'!$A:$A,MATCH($B1585,'Catalog'!$B:$B,0)),IFERROR(INDEX('Catalog'!$A:$A,MATCH(TRIM(SUBSTITUTE($B1585,CHAR(160)," ")),'Catalog'!$C:$C,0)),""))))</f>
        <v>4413138</v>
      </c>
      <c r="H1585" s="8" t="str">
        <f aca="false">IFERROR(INDEX('TRANS'!$C:$C,MATCH($B1585,'TRANS'!$A:$A,0)),IFERROR(INDEX('Catalog'!$B:$B,MATCH($G1585,'Catalog'!$A:$A,0)),$B1585))</f>
        <v>85 XL (מתלה ליד )כיס</v>
      </c>
      <c r="I1585" s="8" t="str">
        <f aca="false">IF($G1585="","Unmatched","Matched")</f>
        <v>Matched</v>
      </c>
      <c r="J1585" s="8" t="n">
        <f aca="false">IF($G1585&lt;&gt;"",$G1585,$B1585)</f>
        <v>4413138</v>
      </c>
      <c r="K1585" s="8" t="str">
        <f aca="false">IF(COUNTIF($M$1:$M$10,$A1585)&gt;0,"Y","N")</f>
        <v>Y</v>
      </c>
    </row>
    <row r="1586" customFormat="false" ht="15" hidden="false" customHeight="true" outlineLevel="0" collapsed="false">
      <c r="A1586" s="8" t="s">
        <v>53</v>
      </c>
      <c r="B1586" s="8" t="s">
        <v>339</v>
      </c>
      <c r="C1586" s="19" t="n">
        <v>1</v>
      </c>
      <c r="D1586" s="19" t="n">
        <v>141.97</v>
      </c>
      <c r="E1586" s="19" t="n">
        <v>0</v>
      </c>
      <c r="F1586" s="19" t="n">
        <v>0</v>
      </c>
      <c r="G1586" s="8" t="str">
        <f aca="false">IFERROR(INDEX('TRANS'!$B:$B,MATCH($B1586,'TRANS'!$A:$A,0)),IFERROR(INDEX('TRANS'!$B:$B,MATCH(TRIM(SUBSTITUTE($B1586,CHAR(160)," ")),'TRANS'!$D:$D,0)),IFERROR(INDEX('Catalog'!$A:$A,MATCH($B1586,'Catalog'!$B:$B,0)),IFERROR(INDEX('Catalog'!$A:$A,MATCH(TRIM(SUBSTITUTE($B1586,CHAR(160)," ")),'Catalog'!$C:$C,0)),""))))</f>
        <v/>
      </c>
      <c r="H1586" s="8" t="str">
        <f aca="false">IFERROR(INDEX('TRANS'!$C:$C,MATCH($B1586,'TRANS'!$A:$A,0)),IFERROR(INDEX('Catalog'!$B:$B,MATCH($G1586,'Catalog'!$A:$A,0)),$B1586))</f>
        <v>922B XXL</v>
      </c>
      <c r="I1586" s="8" t="str">
        <f aca="false">IF($G1586="","Unmatched","Matched")</f>
        <v>Unmatched</v>
      </c>
      <c r="J1586" s="8" t="str">
        <f aca="false">IF($G1586&lt;&gt;"",$G1586,$B1586)</f>
        <v>922B XXL</v>
      </c>
      <c r="K1586" s="8" t="str">
        <f aca="false">IF(COUNTIF($M$1:$M$10,$A1586)&gt;0,"Y","N")</f>
        <v>Y</v>
      </c>
    </row>
    <row r="1587" customFormat="false" ht="15" hidden="false" customHeight="true" outlineLevel="0" collapsed="false">
      <c r="A1587" s="8" t="s">
        <v>53</v>
      </c>
      <c r="B1587" s="8" t="s">
        <v>839</v>
      </c>
      <c r="C1587" s="19" t="n">
        <v>3</v>
      </c>
      <c r="D1587" s="19" t="n">
        <v>92.66</v>
      </c>
      <c r="E1587" s="19" t="n">
        <v>0</v>
      </c>
      <c r="F1587" s="19" t="n">
        <v>0</v>
      </c>
      <c r="G1587" s="8" t="n">
        <f aca="false">IFERROR(INDEX('TRANS'!$B:$B,MATCH($B1587,'TRANS'!$A:$A,0)),IFERROR(INDEX('TRANS'!$B:$B,MATCH(TRIM(SUBSTITUTE($B1587,CHAR(160)," ")),'TRANS'!$D:$D,0)),IFERROR(INDEX('Catalog'!$A:$A,MATCH($B1587,'Catalog'!$B:$B,0)),IFERROR(INDEX('Catalog'!$A:$A,MATCH(TRIM(SUBSTITUTE($B1587,CHAR(160)," ")),'Catalog'!$C:$C,0)),""))))</f>
        <v>4413366</v>
      </c>
      <c r="H1587" s="8" t="str">
        <f aca="false">IFERROR(INDEX('TRANS'!$C:$C,MATCH($B1587,'TRANS'!$A:$A,0)),IFERROR(INDEX('Catalog'!$B:$B,MATCH($G1587,'Catalog'!$A:$A,0)),$B1587))</f>
        <v>95C S 'מגן מרפק בז</v>
      </c>
      <c r="I1587" s="8" t="str">
        <f aca="false">IF($G1587="","Unmatched","Matched")</f>
        <v>Matched</v>
      </c>
      <c r="J1587" s="8" t="n">
        <f aca="false">IF($G1587&lt;&gt;"",$G1587,$B1587)</f>
        <v>4413366</v>
      </c>
      <c r="K1587" s="8" t="str">
        <f aca="false">IF(COUNTIF($M$1:$M$10,$A1587)&gt;0,"Y","N")</f>
        <v>Y</v>
      </c>
    </row>
    <row r="1588" customFormat="false" ht="15" hidden="false" customHeight="true" outlineLevel="0" collapsed="false">
      <c r="A1588" s="8" t="s">
        <v>53</v>
      </c>
      <c r="B1588" s="8" t="s">
        <v>734</v>
      </c>
      <c r="C1588" s="19" t="n">
        <v>2</v>
      </c>
      <c r="D1588" s="19" t="n">
        <v>84.27</v>
      </c>
      <c r="E1588" s="19" t="n">
        <v>0</v>
      </c>
      <c r="F1588" s="19" t="n">
        <v>0</v>
      </c>
      <c r="G1588" s="8" t="n">
        <f aca="false">IFERROR(INDEX('TRANS'!$B:$B,MATCH($B1588,'TRANS'!$A:$A,0)),IFERROR(INDEX('TRANS'!$B:$B,MATCH(TRIM(SUBSTITUTE($B1588,CHAR(160)," ")),'TRANS'!$D:$D,0)),IFERROR(INDEX('Catalog'!$A:$A,MATCH($B1588,'Catalog'!$B:$B,0)),IFERROR(INDEX('Catalog'!$A:$A,MATCH(TRIM(SUBSTITUTE($B1588,CHAR(160)," ")),'Catalog'!$C:$C,0)),""))))</f>
        <v>4413331</v>
      </c>
      <c r="H1588" s="8" t="str">
        <f aca="false">IFERROR(INDEX('TRANS'!$C:$C,MATCH($B1588,'TRANS'!$A:$A,0)),IFERROR(INDEX('Catalog'!$B:$B,MATCH($G1588,'Catalog'!$A:$A,0)),$B1588))</f>
        <v>AC95 מגן מרפק</v>
      </c>
      <c r="I1588" s="8" t="str">
        <f aca="false">IF($G1588="","Unmatched","Matched")</f>
        <v>Matched</v>
      </c>
      <c r="J1588" s="8" t="n">
        <f aca="false">IF($G1588&lt;&gt;"",$G1588,$B1588)</f>
        <v>4413331</v>
      </c>
      <c r="K1588" s="8" t="str">
        <f aca="false">IF(COUNTIF($M$1:$M$10,$A1588)&gt;0,"Y","N")</f>
        <v>Y</v>
      </c>
    </row>
    <row r="1589" customFormat="false" ht="15" hidden="false" customHeight="true" outlineLevel="0" collapsed="false">
      <c r="A1589" s="8" t="s">
        <v>53</v>
      </c>
      <c r="B1589" s="8" t="s">
        <v>122</v>
      </c>
      <c r="C1589" s="19" t="n">
        <v>1</v>
      </c>
      <c r="D1589" s="19" t="n">
        <v>328.06</v>
      </c>
      <c r="E1589" s="19" t="n">
        <v>0</v>
      </c>
      <c r="F1589" s="19" t="n">
        <v>0</v>
      </c>
      <c r="G1589" s="8" t="str">
        <f aca="false">IFERROR(INDEX('TRANS'!$B:$B,MATCH($B1589,'TRANS'!$A:$A,0)),IFERROR(INDEX('TRANS'!$B:$B,MATCH(TRIM(SUBSTITUTE($B1589,CHAR(160)," ")),'TRANS'!$D:$D,0)),IFERROR(INDEX('Catalog'!$A:$A,MATCH($B1589,'Catalog'!$B:$B,0)),IFERROR(INDEX('Catalog'!$A:$A,MATCH(TRIM(SUBSTITUTE($B1589,CHAR(160)," ")),'Catalog'!$C:$C,0)),""))))</f>
        <v/>
      </c>
      <c r="H1589" s="8" t="str">
        <f aca="false">IFERROR(INDEX('TRANS'!$C:$C,MATCH($B1589,'TRANS'!$A:$A,0)),IFERROR(INDEX('Catalog'!$B:$B,MATCH($G1589,'Catalog'!$A:$A,0)),$B1589))</f>
        <v>N433D XL</v>
      </c>
      <c r="I1589" s="8" t="str">
        <f aca="false">IF($G1589="","Unmatched","Matched")</f>
        <v>Unmatched</v>
      </c>
      <c r="J1589" s="8" t="str">
        <f aca="false">IF($G1589&lt;&gt;"",$G1589,$B1589)</f>
        <v>N433D XL</v>
      </c>
      <c r="K1589" s="8" t="str">
        <f aca="false">IF(COUNTIF($M$1:$M$10,$A1589)&gt;0,"Y","N")</f>
        <v>Y</v>
      </c>
    </row>
    <row r="1590" customFormat="false" ht="15" hidden="false" customHeight="true" outlineLevel="0" collapsed="false">
      <c r="A1590" s="8" t="s">
        <v>53</v>
      </c>
      <c r="B1590" s="8" t="s">
        <v>767</v>
      </c>
      <c r="C1590" s="19" t="n">
        <v>7</v>
      </c>
      <c r="D1590" s="19" t="n">
        <v>249</v>
      </c>
      <c r="E1590" s="19" t="n">
        <v>0</v>
      </c>
      <c r="F1590" s="19" t="n">
        <v>0</v>
      </c>
      <c r="G1590" s="8" t="n">
        <f aca="false">IFERROR(INDEX('TRANS'!$B:$B,MATCH($B1590,'TRANS'!$A:$A,0)),IFERROR(INDEX('TRANS'!$B:$B,MATCH(TRIM(SUBSTITUTE($B1590,CHAR(160)," ")),'TRANS'!$D:$D,0)),IFERROR(INDEX('Catalog'!$A:$A,MATCH($B1590,'Catalog'!$B:$B,0)),IFERROR(INDEX('Catalog'!$A:$A,MATCH(TRIM(SUBSTITUTE($B1590,CHAR(160)," ")),'Catalog'!$C:$C,0)),""))))</f>
        <v>4408095</v>
      </c>
      <c r="H1590" s="8" t="str">
        <f aca="false">IFERROR(INDEX('TRANS'!$C:$C,MATCH($B1590,'TRANS'!$A:$A,0)),IFERROR(INDEX('Catalog'!$B:$B,MATCH($G1590,'Catalog'!$A:$A,0)),$B1590))</f>
        <v>T20 L-XL  חבק יד עם צמדן</v>
      </c>
      <c r="I1590" s="8" t="str">
        <f aca="false">IF($G1590="","Unmatched","Matched")</f>
        <v>Matched</v>
      </c>
      <c r="J1590" s="8" t="n">
        <f aca="false">IF($G1590&lt;&gt;"",$G1590,$B1590)</f>
        <v>4408095</v>
      </c>
      <c r="K1590" s="8" t="str">
        <f aca="false">IF(COUNTIF($M$1:$M$10,$A1590)&gt;0,"Y","N")</f>
        <v>Y</v>
      </c>
    </row>
    <row r="1591" customFormat="false" ht="15" hidden="false" customHeight="true" outlineLevel="0" collapsed="false">
      <c r="A1591" s="8" t="s">
        <v>53</v>
      </c>
      <c r="B1591" s="8" t="s">
        <v>771</v>
      </c>
      <c r="C1591" s="19" t="n">
        <v>1</v>
      </c>
      <c r="D1591" s="19" t="n">
        <v>70.26</v>
      </c>
      <c r="E1591" s="19" t="n">
        <v>0</v>
      </c>
      <c r="F1591" s="19" t="n">
        <v>0</v>
      </c>
      <c r="G1591" s="8" t="n">
        <f aca="false">IFERROR(INDEX('TRANS'!$B:$B,MATCH($B1591,'TRANS'!$A:$A,0)),IFERROR(INDEX('TRANS'!$B:$B,MATCH(TRIM(SUBSTITUTE($B1591,CHAR(160)," ")),'TRANS'!$D:$D,0)),IFERROR(INDEX('Catalog'!$A:$A,MATCH($B1591,'Catalog'!$B:$B,0)),IFERROR(INDEX('Catalog'!$A:$A,MATCH(TRIM(SUBSTITUTE($B1591,CHAR(160)," ")),'Catalog'!$C:$C,0)),""))))</f>
        <v>4415075</v>
      </c>
      <c r="H1591" s="8" t="str">
        <f aca="false">IFERROR(INDEX('TRANS'!$C:$C,MATCH($B1591,'TRANS'!$A:$A,0)),IFERROR(INDEX('Catalog'!$B:$B,MATCH($G1591,'Catalog'!$A:$A,0)),$B1591))</f>
        <v>T28AC L-XL סד לאגודל</v>
      </c>
      <c r="I1591" s="8" t="str">
        <f aca="false">IF($G1591="","Unmatched","Matched")</f>
        <v>Matched</v>
      </c>
      <c r="J1591" s="8" t="n">
        <f aca="false">IF($G1591&lt;&gt;"",$G1591,$B1591)</f>
        <v>4415075</v>
      </c>
      <c r="K1591" s="8" t="str">
        <f aca="false">IF(COUNTIF($M$1:$M$10,$A1591)&gt;0,"Y","N")</f>
        <v>Y</v>
      </c>
    </row>
    <row r="1592" customFormat="false" ht="15" hidden="false" customHeight="true" outlineLevel="0" collapsed="false">
      <c r="A1592" s="8" t="s">
        <v>53</v>
      </c>
      <c r="B1592" s="8" t="s">
        <v>772</v>
      </c>
      <c r="C1592" s="19" t="n">
        <v>1</v>
      </c>
      <c r="D1592" s="19" t="n">
        <v>70.26</v>
      </c>
      <c r="E1592" s="19" t="n">
        <v>0</v>
      </c>
      <c r="F1592" s="19" t="n">
        <v>0</v>
      </c>
      <c r="G1592" s="8" t="n">
        <f aca="false">IFERROR(INDEX('TRANS'!$B:$B,MATCH($B1592,'TRANS'!$A:$A,0)),IFERROR(INDEX('TRANS'!$B:$B,MATCH(TRIM(SUBSTITUTE($B1592,CHAR(160)," ")),'TRANS'!$D:$D,0)),IFERROR(INDEX('Catalog'!$A:$A,MATCH($B1592,'Catalog'!$B:$B,0)),IFERROR(INDEX('Catalog'!$A:$A,MATCH(TRIM(SUBSTITUTE($B1592,CHAR(160)," ")),'Catalog'!$C:$C,0)),""))))</f>
        <v>4415074</v>
      </c>
      <c r="H1592" s="8" t="str">
        <f aca="false">IFERROR(INDEX('TRANS'!$C:$C,MATCH($B1592,'TRANS'!$A:$A,0)),IFERROR(INDEX('Catalog'!$B:$B,MATCH($G1592,'Catalog'!$A:$A,0)),$B1592))</f>
        <v>T28AC S-M סד לאגודל</v>
      </c>
      <c r="I1592" s="8" t="str">
        <f aca="false">IF($G1592="","Unmatched","Matched")</f>
        <v>Matched</v>
      </c>
      <c r="J1592" s="8" t="n">
        <f aca="false">IF($G1592&lt;&gt;"",$G1592,$B1592)</f>
        <v>4415074</v>
      </c>
      <c r="K1592" s="8" t="str">
        <f aca="false">IF(COUNTIF($M$1:$M$10,$A1592)&gt;0,"Y","N")</f>
        <v>Y</v>
      </c>
    </row>
    <row r="1593" customFormat="false" ht="15" hidden="false" customHeight="true" outlineLevel="0" collapsed="false">
      <c r="A1593" s="8" t="s">
        <v>53</v>
      </c>
      <c r="B1593" s="8" t="s">
        <v>114</v>
      </c>
      <c r="C1593" s="19" t="n">
        <v>1</v>
      </c>
      <c r="D1593" s="19" t="n">
        <v>107.76</v>
      </c>
      <c r="E1593" s="19" t="n">
        <v>0</v>
      </c>
      <c r="F1593" s="19" t="n">
        <v>0</v>
      </c>
      <c r="G1593" s="8" t="str">
        <f aca="false">IFERROR(INDEX('TRANS'!$B:$B,MATCH($B1593,'TRANS'!$A:$A,0)),IFERROR(INDEX('TRANS'!$B:$B,MATCH(TRIM(SUBSTITUTE($B1593,CHAR(160)," ")),'TRANS'!$D:$D,0)),IFERROR(INDEX('Catalog'!$A:$A,MATCH($B1593,'Catalog'!$B:$B,0)),IFERROR(INDEX('Catalog'!$A:$A,MATCH(TRIM(SUBSTITUTE($B1593,CHAR(160)," ")),'Catalog'!$C:$C,0)),""))))</f>
        <v/>
      </c>
      <c r="H1593" s="8" t="str">
        <f aca="false">IFERROR(INDEX('TRANS'!$C:$C,MATCH($B1593,'TRANS'!$A:$A,0)),IFERROR(INDEX('Catalog'!$B:$B,MATCH($G1593,'Catalog'!$A:$A,0)),$B1593))</f>
        <v>T39 L</v>
      </c>
      <c r="I1593" s="8" t="str">
        <f aca="false">IF($G1593="","Unmatched","Matched")</f>
        <v>Unmatched</v>
      </c>
      <c r="J1593" s="8" t="str">
        <f aca="false">IF($G1593&lt;&gt;"",$G1593,$B1593)</f>
        <v>T39 L</v>
      </c>
      <c r="K1593" s="8" t="str">
        <f aca="false">IF(COUNTIF($M$1:$M$10,$A1593)&gt;0,"Y","N")</f>
        <v>Y</v>
      </c>
    </row>
    <row r="1594" customFormat="false" ht="15" hidden="false" customHeight="true" outlineLevel="0" collapsed="false">
      <c r="A1594" s="8" t="s">
        <v>53</v>
      </c>
      <c r="B1594" s="8" t="s">
        <v>135</v>
      </c>
      <c r="C1594" s="19" t="n">
        <v>1</v>
      </c>
      <c r="D1594" s="19" t="n">
        <v>107.76</v>
      </c>
      <c r="E1594" s="19" t="n">
        <v>0</v>
      </c>
      <c r="F1594" s="19" t="n">
        <v>0</v>
      </c>
      <c r="G1594" s="8" t="str">
        <f aca="false">IFERROR(INDEX('TRANS'!$B:$B,MATCH($B1594,'TRANS'!$A:$A,0)),IFERROR(INDEX('TRANS'!$B:$B,MATCH(TRIM(SUBSTITUTE($B1594,CHAR(160)," ")),'TRANS'!$D:$D,0)),IFERROR(INDEX('Catalog'!$A:$A,MATCH($B1594,'Catalog'!$B:$B,0)),IFERROR(INDEX('Catalog'!$A:$A,MATCH(TRIM(SUBSTITUTE($B1594,CHAR(160)," ")),'Catalog'!$C:$C,0)),""))))</f>
        <v/>
      </c>
      <c r="H1594" s="8" t="str">
        <f aca="false">IFERROR(INDEX('TRANS'!$C:$C,MATCH($B1594,'TRANS'!$A:$A,0)),IFERROR(INDEX('Catalog'!$B:$B,MATCH($G1594,'Catalog'!$A:$A,0)),$B1594))</f>
        <v>T39 XL</v>
      </c>
      <c r="I1594" s="8" t="str">
        <f aca="false">IF($G1594="","Unmatched","Matched")</f>
        <v>Unmatched</v>
      </c>
      <c r="J1594" s="8" t="str">
        <f aca="false">IF($G1594&lt;&gt;"",$G1594,$B1594)</f>
        <v>T39 XL</v>
      </c>
      <c r="K1594" s="8" t="str">
        <f aca="false">IF(COUNTIF($M$1:$M$10,$A1594)&gt;0,"Y","N")</f>
        <v>Y</v>
      </c>
    </row>
    <row r="1595" customFormat="false" ht="15" hidden="false" customHeight="true" outlineLevel="0" collapsed="false">
      <c r="A1595" s="8" t="s">
        <v>53</v>
      </c>
      <c r="B1595" s="8" t="s">
        <v>178</v>
      </c>
      <c r="C1595" s="19" t="n">
        <v>0</v>
      </c>
      <c r="D1595" s="19" t="n">
        <v>0</v>
      </c>
      <c r="E1595" s="19" t="n">
        <v>2</v>
      </c>
      <c r="F1595" s="19" t="n">
        <v>206.14</v>
      </c>
      <c r="G1595" s="8" t="str">
        <f aca="false">IFERROR(INDEX('TRANS'!$B:$B,MATCH($B1595,'TRANS'!$A:$A,0)),IFERROR(INDEX('TRANS'!$B:$B,MATCH(TRIM(SUBSTITUTE($B1595,CHAR(160)," ")),'TRANS'!$D:$D,0)),IFERROR(INDEX('Catalog'!$A:$A,MATCH($B1595,'Catalog'!$B:$B,0)),IFERROR(INDEX('Catalog'!$A:$A,MATCH(TRIM(SUBSTITUTE($B1595,CHAR(160)," ")),'Catalog'!$C:$C,0)),""))))</f>
        <v/>
      </c>
      <c r="H1595" s="8" t="str">
        <f aca="false">IFERROR(INDEX('TRANS'!$C:$C,MATCH($B1595,'TRANS'!$A:$A,0)),IFERROR(INDEX('Catalog'!$B:$B,MATCH($G1595,'Catalog'!$A:$A,0)),$B1595))</f>
        <v>26 XS</v>
      </c>
      <c r="I1595" s="8" t="str">
        <f aca="false">IF($G1595="","Unmatched","Matched")</f>
        <v>Unmatched</v>
      </c>
      <c r="J1595" s="8" t="str">
        <f aca="false">IF($G1595&lt;&gt;"",$G1595,$B1595)</f>
        <v>26 XS</v>
      </c>
      <c r="K1595" s="8" t="str">
        <f aca="false">IF(COUNTIF($M$1:$M$10,$A1595)&gt;0,"Y","N")</f>
        <v>Y</v>
      </c>
    </row>
    <row r="1596" customFormat="false" ht="15" hidden="false" customHeight="true" outlineLevel="0" collapsed="false">
      <c r="A1596" s="8" t="s">
        <v>53</v>
      </c>
      <c r="B1596" s="8" t="s">
        <v>661</v>
      </c>
      <c r="C1596" s="19" t="n">
        <v>6</v>
      </c>
      <c r="D1596" s="19" t="n">
        <v>125</v>
      </c>
      <c r="E1596" s="19" t="n">
        <v>0</v>
      </c>
      <c r="F1596" s="19" t="n">
        <v>0</v>
      </c>
      <c r="G1596" s="8" t="n">
        <f aca="false">IFERROR(INDEX('TRANS'!$B:$B,MATCH($B1596,'TRANS'!$A:$A,0)),IFERROR(INDEX('TRANS'!$B:$B,MATCH(TRIM(SUBSTITUTE($B1596,CHAR(160)," ")),'TRANS'!$D:$D,0)),IFERROR(INDEX('Catalog'!$A:$A,MATCH($B1596,'Catalog'!$B:$B,0)),IFERROR(INDEX('Catalog'!$A:$A,MATCH(TRIM(SUBSTITUTE($B1596,CHAR(160)," ")),'Catalog'!$C:$C,0)),""))))</f>
        <v>4403023</v>
      </c>
      <c r="H1596" s="8" t="str">
        <f aca="false">IFERROR(INDEX('TRANS'!$C:$C,MATCH($B1596,'TRANS'!$A:$A,0)),IFERROR(INDEX('Catalog'!$B:$B,MATCH($G1596,'Catalog'!$A:$A,0)),$B1596))</f>
        <v>394W 35-38 גרב.כסף לסכרתים לבן</v>
      </c>
      <c r="I1596" s="8" t="str">
        <f aca="false">IF($G1596="","Unmatched","Matched")</f>
        <v>Matched</v>
      </c>
      <c r="J1596" s="8" t="n">
        <f aca="false">IF($G1596&lt;&gt;"",$G1596,$B1596)</f>
        <v>4403023</v>
      </c>
      <c r="K1596" s="8" t="str">
        <f aca="false">IF(COUNTIF($M$1:$M$10,$A1596)&gt;0,"Y","N")</f>
        <v>Y</v>
      </c>
    </row>
    <row r="1597" customFormat="false" ht="15" hidden="false" customHeight="true" outlineLevel="0" collapsed="false">
      <c r="A1597" s="8" t="s">
        <v>53</v>
      </c>
      <c r="B1597" s="8" t="s">
        <v>840</v>
      </c>
      <c r="C1597" s="19" t="n">
        <v>2</v>
      </c>
      <c r="D1597" s="19" t="n">
        <v>61.78</v>
      </c>
      <c r="E1597" s="19" t="n">
        <v>0</v>
      </c>
      <c r="F1597" s="19" t="n">
        <v>0</v>
      </c>
      <c r="G1597" s="8" t="n">
        <f aca="false">IFERROR(INDEX('TRANS'!$B:$B,MATCH($B1597,'TRANS'!$A:$A,0)),IFERROR(INDEX('TRANS'!$B:$B,MATCH(TRIM(SUBSTITUTE($B1597,CHAR(160)," ")),'TRANS'!$D:$D,0)),IFERROR(INDEX('Catalog'!$A:$A,MATCH($B1597,'Catalog'!$B:$B,0)),IFERROR(INDEX('Catalog'!$A:$A,MATCH(TRIM(SUBSTITUTE($B1597,CHAR(160)," ")),'Catalog'!$C:$C,0)),""))))</f>
        <v>4413367</v>
      </c>
      <c r="H1597" s="8" t="str">
        <f aca="false">IFERROR(INDEX('TRANS'!$C:$C,MATCH($B1597,'TRANS'!$A:$A,0)),IFERROR(INDEX('Catalog'!$B:$B,MATCH($G1597,'Catalog'!$A:$A,0)),$B1597))</f>
        <v>95C XL'מגן מרפק בז</v>
      </c>
      <c r="I1597" s="8" t="str">
        <f aca="false">IF($G1597="","Unmatched","Matched")</f>
        <v>Matched</v>
      </c>
      <c r="J1597" s="8" t="n">
        <f aca="false">IF($G1597&lt;&gt;"",$G1597,$B1597)</f>
        <v>4413367</v>
      </c>
      <c r="K1597" s="8" t="str">
        <f aca="false">IF(COUNTIF($M$1:$M$10,$A1597)&gt;0,"Y","N")</f>
        <v>Y</v>
      </c>
    </row>
    <row r="1598" customFormat="false" ht="15" hidden="false" customHeight="true" outlineLevel="0" collapsed="false">
      <c r="A1598" s="8" t="s">
        <v>53</v>
      </c>
      <c r="B1598" s="8" t="s">
        <v>1003</v>
      </c>
      <c r="C1598" s="19" t="n">
        <v>1</v>
      </c>
      <c r="D1598" s="19" t="n">
        <v>30.89</v>
      </c>
      <c r="E1598" s="19" t="n">
        <v>0</v>
      </c>
      <c r="F1598" s="19" t="n">
        <v>0</v>
      </c>
      <c r="G1598" s="8" t="n">
        <f aca="false">IFERROR(INDEX('TRANS'!$B:$B,MATCH($B1598,'TRANS'!$A:$A,0)),IFERROR(INDEX('TRANS'!$B:$B,MATCH(TRIM(SUBSTITUTE($B1598,CHAR(160)," ")),'TRANS'!$D:$D,0)),IFERROR(INDEX('Catalog'!$A:$A,MATCH($B1598,'Catalog'!$B:$B,0)),IFERROR(INDEX('Catalog'!$A:$A,MATCH(TRIM(SUBSTITUTE($B1598,CHAR(160)," ")),'Catalog'!$C:$C,0)),""))))</f>
        <v>4413368</v>
      </c>
      <c r="H1598" s="8" t="str">
        <f aca="false">IFERROR(INDEX('TRANS'!$C:$C,MATCH($B1598,'TRANS'!$A:$A,0)),IFERROR(INDEX('Catalog'!$B:$B,MATCH($G1598,'Catalog'!$A:$A,0)),$B1598))</f>
        <v>95C XS'מגן מרפק בז</v>
      </c>
      <c r="I1598" s="8" t="str">
        <f aca="false">IF($G1598="","Unmatched","Matched")</f>
        <v>Matched</v>
      </c>
      <c r="J1598" s="8" t="n">
        <f aca="false">IF($G1598&lt;&gt;"",$G1598,$B1598)</f>
        <v>4413368</v>
      </c>
      <c r="K1598" s="8" t="str">
        <f aca="false">IF(COUNTIF($M$1:$M$10,$A1598)&gt;0,"Y","N")</f>
        <v>Y</v>
      </c>
    </row>
    <row r="1599" customFormat="false" ht="15" hidden="false" customHeight="true" outlineLevel="0" collapsed="false">
      <c r="A1599" s="8" t="s">
        <v>53</v>
      </c>
      <c r="B1599" s="8" t="s">
        <v>866</v>
      </c>
      <c r="C1599" s="19" t="n">
        <v>0</v>
      </c>
      <c r="D1599" s="19" t="n">
        <v>0</v>
      </c>
      <c r="E1599" s="19" t="n">
        <v>2</v>
      </c>
      <c r="F1599" s="19" t="n">
        <v>255.82</v>
      </c>
      <c r="G1599" s="8" t="n">
        <f aca="false">IFERROR(INDEX('TRANS'!$B:$B,MATCH($B1599,'TRANS'!$A:$A,0)),IFERROR(INDEX('TRANS'!$B:$B,MATCH(TRIM(SUBSTITUTE($B1599,CHAR(160)," ")),'TRANS'!$D:$D,0)),IFERROR(INDEX('Catalog'!$A:$A,MATCH($B1599,'Catalog'!$B:$B,0)),IFERROR(INDEX('Catalog'!$A:$A,MATCH(TRIM(SUBSTITUTE($B1599,CHAR(160)," ")),'Catalog'!$C:$C,0)),""))))</f>
        <v>4413337</v>
      </c>
      <c r="H1599" s="8" t="str">
        <f aca="false">IFERROR(INDEX('TRANS'!$C:$C,MATCH($B1599,'TRANS'!$A:$A,0)),IFERROR(INDEX('Catalog'!$B:$B,MATCH($G1599,'Catalog'!$A:$A,0)),$B1599))</f>
        <v>322XL מגן קרסול+כרית סילקון</v>
      </c>
      <c r="I1599" s="8" t="str">
        <f aca="false">IF($G1599="","Unmatched","Matched")</f>
        <v>Matched</v>
      </c>
      <c r="J1599" s="8" t="n">
        <f aca="false">IF($G1599&lt;&gt;"",$G1599,$B1599)</f>
        <v>4413337</v>
      </c>
      <c r="K1599" s="8" t="str">
        <f aca="false">IF(COUNTIF($M$1:$M$10,$A1599)&gt;0,"Y","N")</f>
        <v>Y</v>
      </c>
    </row>
    <row r="1600" customFormat="false" ht="15" hidden="false" customHeight="true" outlineLevel="0" collapsed="false">
      <c r="A1600" s="8" t="s">
        <v>53</v>
      </c>
      <c r="B1600" s="8" t="s">
        <v>934</v>
      </c>
      <c r="C1600" s="19" t="n">
        <v>0</v>
      </c>
      <c r="D1600" s="19" t="n">
        <v>0</v>
      </c>
      <c r="E1600" s="19" t="n">
        <v>1</v>
      </c>
      <c r="F1600" s="19" t="n">
        <v>140.57</v>
      </c>
      <c r="G1600" s="8" t="n">
        <f aca="false">IFERROR(INDEX('TRANS'!$B:$B,MATCH($B1600,'TRANS'!$A:$A,0)),IFERROR(INDEX('TRANS'!$B:$B,MATCH(TRIM(SUBSTITUTE($B1600,CHAR(160)," ")),'TRANS'!$D:$D,0)),IFERROR(INDEX('Catalog'!$A:$A,MATCH($B1600,'Catalog'!$B:$B,0)),IFERROR(INDEX('Catalog'!$A:$A,MATCH(TRIM(SUBSTITUTE($B1600,CHAR(160)," ")),'Catalog'!$C:$C,0)),""))))</f>
        <v>4408119</v>
      </c>
      <c r="H1600" s="8" t="str">
        <f aca="false">IFERROR(INDEX('TRANS'!$C:$C,MATCH($B1600,'TRANS'!$A:$A,0)),IFERROR(INDEX('Catalog'!$B:$B,MATCH($G1600,'Catalog'!$A:$A,0)),$B1600))</f>
        <v>06U L ח.בטן מותנית צר</v>
      </c>
      <c r="I1600" s="8" t="str">
        <f aca="false">IF($G1600="","Unmatched","Matched")</f>
        <v>Matched</v>
      </c>
      <c r="J1600" s="8" t="n">
        <f aca="false">IF($G1600&lt;&gt;"",$G1600,$B1600)</f>
        <v>4408119</v>
      </c>
      <c r="K1600" s="8" t="str">
        <f aca="false">IF(COUNTIF($M$1:$M$10,$A1600)&gt;0,"Y","N")</f>
        <v>Y</v>
      </c>
    </row>
    <row r="1601" customFormat="false" ht="15" hidden="false" customHeight="true" outlineLevel="0" collapsed="false">
      <c r="A1601" s="8" t="s">
        <v>53</v>
      </c>
      <c r="B1601" s="8" t="s">
        <v>120</v>
      </c>
      <c r="C1601" s="19" t="n">
        <v>0</v>
      </c>
      <c r="D1601" s="19" t="n">
        <v>0</v>
      </c>
      <c r="E1601" s="19" t="n">
        <v>1</v>
      </c>
      <c r="F1601" s="19" t="n">
        <v>140.51</v>
      </c>
      <c r="G1601" s="8" t="str">
        <f aca="false">IFERROR(INDEX('TRANS'!$B:$B,MATCH($B1601,'TRANS'!$A:$A,0)),IFERROR(INDEX('TRANS'!$B:$B,MATCH(TRIM(SUBSTITUTE($B1601,CHAR(160)," ")),'TRANS'!$D:$D,0)),IFERROR(INDEX('Catalog'!$A:$A,MATCH($B1601,'Catalog'!$B:$B,0)),IFERROR(INDEX('Catalog'!$A:$A,MATCH(TRIM(SUBSTITUTE($B1601,CHAR(160)," ")),'Catalog'!$C:$C,0)),""))))</f>
        <v/>
      </c>
      <c r="H1601" s="8" t="str">
        <f aca="false">IFERROR(INDEX('TRANS'!$C:$C,MATCH($B1601,'TRANS'!$A:$A,0)),IFERROR(INDEX('Catalog'!$B:$B,MATCH($G1601,'Catalog'!$A:$A,0)),$B1601))</f>
        <v>06U M</v>
      </c>
      <c r="I1601" s="8" t="str">
        <f aca="false">IF($G1601="","Unmatched","Matched")</f>
        <v>Unmatched</v>
      </c>
      <c r="J1601" s="8" t="str">
        <f aca="false">IF($G1601&lt;&gt;"",$G1601,$B1601)</f>
        <v>06U M</v>
      </c>
      <c r="K1601" s="8" t="str">
        <f aca="false">IF(COUNTIF($M$1:$M$10,$A1601)&gt;0,"Y","N")</f>
        <v>Y</v>
      </c>
    </row>
    <row r="1602" customFormat="false" ht="15" hidden="false" customHeight="true" outlineLevel="0" collapsed="false">
      <c r="A1602" s="8" t="s">
        <v>53</v>
      </c>
      <c r="B1602" s="8" t="s">
        <v>935</v>
      </c>
      <c r="C1602" s="19" t="n">
        <v>0</v>
      </c>
      <c r="D1602" s="19" t="n">
        <v>0</v>
      </c>
      <c r="E1602" s="19" t="n">
        <v>1</v>
      </c>
      <c r="F1602" s="19" t="n">
        <v>140.57</v>
      </c>
      <c r="G1602" s="8" t="n">
        <f aca="false">IFERROR(INDEX('TRANS'!$B:$B,MATCH($B1602,'TRANS'!$A:$A,0)),IFERROR(INDEX('TRANS'!$B:$B,MATCH(TRIM(SUBSTITUTE($B1602,CHAR(160)," ")),'TRANS'!$D:$D,0)),IFERROR(INDEX('Catalog'!$A:$A,MATCH($B1602,'Catalog'!$B:$B,0)),IFERROR(INDEX('Catalog'!$A:$A,MATCH(TRIM(SUBSTITUTE($B1602,CHAR(160)," ")),'Catalog'!$C:$C,0)),""))))</f>
        <v>4408120</v>
      </c>
      <c r="H1602" s="8" t="str">
        <f aca="false">IFERROR(INDEX('TRANS'!$C:$C,MATCH($B1602,'TRANS'!$A:$A,0)),IFERROR(INDEX('Catalog'!$B:$B,MATCH($G1602,'Catalog'!$A:$A,0)),$B1602))</f>
        <v>06U XL ח.בטן מותנית צר</v>
      </c>
      <c r="I1602" s="8" t="str">
        <f aca="false">IF($G1602="","Unmatched","Matched")</f>
        <v>Matched</v>
      </c>
      <c r="J1602" s="8" t="n">
        <f aca="false">IF($G1602&lt;&gt;"",$G1602,$B1602)</f>
        <v>4408120</v>
      </c>
      <c r="K1602" s="8" t="str">
        <f aca="false">IF(COUNTIF($M$1:$M$10,$A1602)&gt;0,"Y","N")</f>
        <v>Y</v>
      </c>
    </row>
    <row r="1603" customFormat="false" ht="15" hidden="false" customHeight="true" outlineLevel="0" collapsed="false">
      <c r="A1603" s="8" t="s">
        <v>53</v>
      </c>
      <c r="B1603" s="8" t="s">
        <v>952</v>
      </c>
      <c r="C1603" s="19" t="n">
        <v>0</v>
      </c>
      <c r="D1603" s="19" t="n">
        <v>0</v>
      </c>
      <c r="E1603" s="19" t="n">
        <v>1</v>
      </c>
      <c r="F1603" s="19" t="n">
        <v>220</v>
      </c>
      <c r="G1603" s="8" t="n">
        <f aca="false">IFERROR(INDEX('TRANS'!$B:$B,MATCH($B1603,'TRANS'!$A:$A,0)),IFERROR(INDEX('TRANS'!$B:$B,MATCH(TRIM(SUBSTITUTE($B1603,CHAR(160)," ")),'TRANS'!$D:$D,0)),IFERROR(INDEX('Catalog'!$A:$A,MATCH($B1603,'Catalog'!$B:$B,0)),IFERROR(INDEX('Catalog'!$A:$A,MATCH(TRIM(SUBSTITUTE($B1603,CHAR(160)," ")),'Catalog'!$C:$C,0)),""))))</f>
        <v>4408016</v>
      </c>
      <c r="H1603" s="8" t="str">
        <f aca="false">IFERROR(INDEX('TRANS'!$C:$C,MATCH($B1603,'TRANS'!$A:$A,0)),IFERROR(INDEX('Catalog'!$B:$B,MATCH($G1603,'Catalog'!$A:$A,0)),$B1603))</f>
        <v>07AU M ח.גב """"איטלקית"""" אורירית</v>
      </c>
      <c r="I1603" s="8" t="str">
        <f aca="false">IF($G1603="","Unmatched","Matched")</f>
        <v>Matched</v>
      </c>
      <c r="J1603" s="8" t="n">
        <f aca="false">IF($G1603&lt;&gt;"",$G1603,$B1603)</f>
        <v>4408016</v>
      </c>
      <c r="K1603" s="8" t="str">
        <f aca="false">IF(COUNTIF($M$1:$M$10,$A1603)&gt;0,"Y","N")</f>
        <v>Y</v>
      </c>
    </row>
    <row r="1604" customFormat="false" ht="15" hidden="false" customHeight="true" outlineLevel="0" collapsed="false">
      <c r="A1604" s="8" t="s">
        <v>53</v>
      </c>
      <c r="B1604" s="8" t="s">
        <v>668</v>
      </c>
      <c r="C1604" s="19" t="n">
        <v>0</v>
      </c>
      <c r="D1604" s="19" t="n">
        <v>0</v>
      </c>
      <c r="E1604" s="19" t="n">
        <v>1</v>
      </c>
      <c r="F1604" s="19" t="n">
        <v>63.23</v>
      </c>
      <c r="G1604" s="8" t="n">
        <f aca="false">IFERROR(INDEX('TRANS'!$B:$B,MATCH($B1604,'TRANS'!$A:$A,0)),IFERROR(INDEX('TRANS'!$B:$B,MATCH(TRIM(SUBSTITUTE($B1604,CHAR(160)," ")),'TRANS'!$D:$D,0)),IFERROR(INDEX('Catalog'!$A:$A,MATCH($B1604,'Catalog'!$B:$B,0)),IFERROR(INDEX('Catalog'!$A:$A,MATCH(TRIM(SUBSTITUTE($B1604,CHAR(160)," ")),'Catalog'!$C:$C,0)),""))))</f>
        <v>4403042</v>
      </c>
      <c r="H1604" s="8" t="str">
        <f aca="false">IFERROR(INDEX('TRANS'!$C:$C,MATCH($B1604,'TRANS'!$A:$A,0)),IFERROR(INDEX('Catalog'!$B:$B,MATCH($G1604,'Catalog'!$A:$A,0)),$B1604))</f>
        <v>397A-גרבי טיסה אנטי בקטרי39-42</v>
      </c>
      <c r="I1604" s="8" t="str">
        <f aca="false">IF($G1604="","Unmatched","Matched")</f>
        <v>Matched</v>
      </c>
      <c r="J1604" s="8" t="n">
        <f aca="false">IF($G1604&lt;&gt;"",$G1604,$B1604)</f>
        <v>4403042</v>
      </c>
      <c r="K1604" s="8" t="str">
        <f aca="false">IF(COUNTIF($M$1:$M$10,$A1604)&gt;0,"Y","N")</f>
        <v>Y</v>
      </c>
    </row>
    <row r="1605" customFormat="false" ht="15" hidden="false" customHeight="true" outlineLevel="0" collapsed="false">
      <c r="A1605" s="8" t="s">
        <v>53</v>
      </c>
      <c r="B1605" s="8" t="s">
        <v>842</v>
      </c>
      <c r="C1605" s="19" t="n">
        <v>0</v>
      </c>
      <c r="D1605" s="19" t="n">
        <v>0</v>
      </c>
      <c r="E1605" s="19" t="n">
        <v>1</v>
      </c>
      <c r="F1605" s="19" t="n">
        <v>164.04</v>
      </c>
      <c r="G1605" s="8" t="n">
        <f aca="false">IFERROR(INDEX('TRANS'!$B:$B,MATCH($B1605,'TRANS'!$A:$A,0)),IFERROR(INDEX('TRANS'!$B:$B,MATCH(TRIM(SUBSTITUTE($B1605,CHAR(160)," ")),'TRANS'!$D:$D,0)),IFERROR(INDEX('Catalog'!$A:$A,MATCH($B1605,'Catalog'!$B:$B,0)),IFERROR(INDEX('Catalog'!$A:$A,MATCH(TRIM(SUBSTITUTE($B1605,CHAR(160)," ")),'Catalog'!$C:$C,0)),""))))</f>
        <v>4413417</v>
      </c>
      <c r="H1605" s="8" t="str">
        <f aca="false">IFERROR(INDEX('TRANS'!$C:$C,MATCH($B1605,'TRANS'!$A:$A,0)),IFERROR(INDEX('Catalog'!$B:$B,MATCH($G1605,'Catalog'!$A:$A,0)),$B1605))</f>
        <v>SC39  L מגן שוק</v>
      </c>
      <c r="I1605" s="8" t="str">
        <f aca="false">IF($G1605="","Unmatched","Matched")</f>
        <v>Matched</v>
      </c>
      <c r="J1605" s="8" t="n">
        <f aca="false">IF($G1605&lt;&gt;"",$G1605,$B1605)</f>
        <v>4413417</v>
      </c>
      <c r="K1605" s="8" t="str">
        <f aca="false">IF(COUNTIF($M$1:$M$10,$A1605)&gt;0,"Y","N")</f>
        <v>Y</v>
      </c>
    </row>
    <row r="1606" customFormat="false" ht="15" hidden="false" customHeight="true" outlineLevel="0" collapsed="false">
      <c r="A1606" s="8" t="s">
        <v>53</v>
      </c>
      <c r="B1606" s="8" t="s">
        <v>931</v>
      </c>
      <c r="C1606" s="19" t="n">
        <v>0</v>
      </c>
      <c r="D1606" s="19" t="n">
        <v>0</v>
      </c>
      <c r="E1606" s="19" t="n">
        <v>1</v>
      </c>
      <c r="F1606" s="19" t="n">
        <v>164.03</v>
      </c>
      <c r="G1606" s="8" t="n">
        <f aca="false">IFERROR(INDEX('TRANS'!$B:$B,MATCH($B1606,'TRANS'!$A:$A,0)),IFERROR(INDEX('TRANS'!$B:$B,MATCH(TRIM(SUBSTITUTE($B1606,CHAR(160)," ")),'TRANS'!$D:$D,0)),IFERROR(INDEX('Catalog'!$A:$A,MATCH($B1606,'Catalog'!$B:$B,0)),IFERROR(INDEX('Catalog'!$A:$A,MATCH(TRIM(SUBSTITUTE($B1606,CHAR(160)," ")),'Catalog'!$C:$C,0)),""))))</f>
        <v>4413418</v>
      </c>
      <c r="H1606" s="8" t="str">
        <f aca="false">IFERROR(INDEX('TRANS'!$C:$C,MATCH($B1606,'TRANS'!$A:$A,0)),IFERROR(INDEX('Catalog'!$B:$B,MATCH($G1606,'Catalog'!$A:$A,0)),$B1606))</f>
        <v>SC39 XL מגן שוק</v>
      </c>
      <c r="I1606" s="8" t="str">
        <f aca="false">IF($G1606="","Unmatched","Matched")</f>
        <v>Matched</v>
      </c>
      <c r="J1606" s="8" t="n">
        <f aca="false">IF($G1606&lt;&gt;"",$G1606,$B1606)</f>
        <v>4413418</v>
      </c>
      <c r="K1606" s="8" t="str">
        <f aca="false">IF(COUNTIF($M$1:$M$10,$A1606)&gt;0,"Y","N")</f>
        <v>Y</v>
      </c>
    </row>
    <row r="1607" customFormat="false" ht="15" hidden="false" customHeight="true" outlineLevel="0" collapsed="false">
      <c r="A1607" s="8" t="s">
        <v>53</v>
      </c>
      <c r="B1607" s="8" t="s">
        <v>768</v>
      </c>
      <c r="C1607" s="19" t="n">
        <v>0</v>
      </c>
      <c r="D1607" s="19" t="n">
        <v>0</v>
      </c>
      <c r="E1607" s="19" t="n">
        <v>2</v>
      </c>
      <c r="F1607" s="19" t="n">
        <v>71.15</v>
      </c>
      <c r="G1607" s="8" t="n">
        <f aca="false">IFERROR(INDEX('TRANS'!$B:$B,MATCH($B1607,'TRANS'!$A:$A,0)),IFERROR(INDEX('TRANS'!$B:$B,MATCH(TRIM(SUBSTITUTE($B1607,CHAR(160)," ")),'TRANS'!$D:$D,0)),IFERROR(INDEX('Catalog'!$A:$A,MATCH($B1607,'Catalog'!$B:$B,0)),IFERROR(INDEX('Catalog'!$A:$A,MATCH(TRIM(SUBSTITUTE($B1607,CHAR(160)," ")),'Catalog'!$C:$C,0)),""))))</f>
        <v>4408097</v>
      </c>
      <c r="H1607" s="8" t="str">
        <f aca="false">IFERROR(INDEX('TRANS'!$C:$C,MATCH($B1607,'TRANS'!$A:$A,0)),IFERROR(INDEX('Catalog'!$B:$B,MATCH($G1607,'Catalog'!$A:$A,0)),$B1607))</f>
        <v>T20C L-XL חבק יד עם צמדן חום</v>
      </c>
      <c r="I1607" s="8" t="str">
        <f aca="false">IF($G1607="","Unmatched","Matched")</f>
        <v>Matched</v>
      </c>
      <c r="J1607" s="8" t="n">
        <f aca="false">IF($G1607&lt;&gt;"",$G1607,$B1607)</f>
        <v>4408097</v>
      </c>
      <c r="K1607" s="8" t="str">
        <f aca="false">IF(COUNTIF($M$1:$M$10,$A1607)&gt;0,"Y","N")</f>
        <v>Y</v>
      </c>
    </row>
    <row r="1608" customFormat="false" ht="15" hidden="false" customHeight="true" outlineLevel="0" collapsed="false">
      <c r="A1608" s="8" t="s">
        <v>53</v>
      </c>
      <c r="B1608" s="8" t="s">
        <v>769</v>
      </c>
      <c r="C1608" s="19" t="n">
        <v>0</v>
      </c>
      <c r="D1608" s="19" t="n">
        <v>0</v>
      </c>
      <c r="E1608" s="19" t="n">
        <v>2</v>
      </c>
      <c r="F1608" s="19" t="n">
        <v>71.15</v>
      </c>
      <c r="G1608" s="8" t="n">
        <f aca="false">IFERROR(INDEX('TRANS'!$B:$B,MATCH($B1608,'TRANS'!$A:$A,0)),IFERROR(INDEX('TRANS'!$B:$B,MATCH(TRIM(SUBSTITUTE($B1608,CHAR(160)," ")),'TRANS'!$D:$D,0)),IFERROR(INDEX('Catalog'!$A:$A,MATCH($B1608,'Catalog'!$B:$B,0)),IFERROR(INDEX('Catalog'!$A:$A,MATCH(TRIM(SUBSTITUTE($B1608,CHAR(160)," ")),'Catalog'!$C:$C,0)),""))))</f>
        <v>4408096</v>
      </c>
      <c r="H1608" s="8" t="str">
        <f aca="false">IFERROR(INDEX('TRANS'!$C:$C,MATCH($B1608,'TRANS'!$A:$A,0)),IFERROR(INDEX('Catalog'!$B:$B,MATCH($G1608,'Catalog'!$A:$A,0)),$B1608))</f>
        <v>T20C S-M חבק יד עם צמדןחום</v>
      </c>
      <c r="I1608" s="8" t="str">
        <f aca="false">IF($G1608="","Unmatched","Matched")</f>
        <v>Matched</v>
      </c>
      <c r="J1608" s="8" t="n">
        <f aca="false">IF($G1608&lt;&gt;"",$G1608,$B1608)</f>
        <v>4408096</v>
      </c>
      <c r="K1608" s="8" t="str">
        <f aca="false">IF(COUNTIF($M$1:$M$10,$A1608)&gt;0,"Y","N")</f>
        <v>Y</v>
      </c>
    </row>
    <row r="1609" customFormat="false" ht="15" hidden="false" customHeight="true" outlineLevel="0" collapsed="false">
      <c r="A1609" s="8" t="s">
        <v>53</v>
      </c>
      <c r="B1609" s="8" t="s">
        <v>965</v>
      </c>
      <c r="C1609" s="19" t="n">
        <v>0</v>
      </c>
      <c r="D1609" s="19" t="n">
        <v>0</v>
      </c>
      <c r="E1609" s="19" t="n">
        <v>1</v>
      </c>
      <c r="F1609" s="19" t="n">
        <v>105.42</v>
      </c>
      <c r="G1609" s="8" t="n">
        <f aca="false">IFERROR(INDEX('TRANS'!$B:$B,MATCH($B1609,'TRANS'!$A:$A,0)),IFERROR(INDEX('TRANS'!$B:$B,MATCH(TRIM(SUBSTITUTE($B1609,CHAR(160)," ")),'TRANS'!$D:$D,0)),IFERROR(INDEX('Catalog'!$A:$A,MATCH($B1609,'Catalog'!$B:$B,0)),IFERROR(INDEX('Catalog'!$A:$A,MATCH(TRIM(SUBSTITUTE($B1609,CHAR(160)," ")),'Catalog'!$C:$C,0)),""))))</f>
        <v>4413184</v>
      </c>
      <c r="H1609" s="8" t="str">
        <f aca="false">IFERROR(INDEX('TRANS'!$C:$C,MATCH($B1609,'TRANS'!$A:$A,0)),IFERROR(INDEX('Catalog'!$B:$B,MATCH($G1609,'Catalog'!$A:$A,0)),$B1609))</f>
        <v>T 45 L מגן ברך רגיל</v>
      </c>
      <c r="I1609" s="8" t="str">
        <f aca="false">IF($G1609="","Unmatched","Matched")</f>
        <v>Matched</v>
      </c>
      <c r="J1609" s="8" t="n">
        <f aca="false">IF($G1609&lt;&gt;"",$G1609,$B1609)</f>
        <v>4413184</v>
      </c>
      <c r="K1609" s="8" t="str">
        <f aca="false">IF(COUNTIF($M$1:$M$10,$A1609)&gt;0,"Y","N")</f>
        <v>Y</v>
      </c>
    </row>
    <row r="1610" customFormat="false" ht="15" hidden="false" customHeight="true" outlineLevel="0" collapsed="false">
      <c r="A1610" s="8" t="s">
        <v>53</v>
      </c>
      <c r="B1610" s="8" t="s">
        <v>773</v>
      </c>
      <c r="C1610" s="19" t="n">
        <v>0</v>
      </c>
      <c r="D1610" s="19" t="n">
        <v>0</v>
      </c>
      <c r="E1610" s="19" t="n">
        <v>1</v>
      </c>
      <c r="F1610" s="19" t="n">
        <v>105.42</v>
      </c>
      <c r="G1610" s="8" t="n">
        <f aca="false">IFERROR(INDEX('TRANS'!$B:$B,MATCH($B1610,'TRANS'!$A:$A,0)),IFERROR(INDEX('TRANS'!$B:$B,MATCH(TRIM(SUBSTITUTE($B1610,CHAR(160)," ")),'TRANS'!$D:$D,0)),IFERROR(INDEX('Catalog'!$A:$A,MATCH($B1610,'Catalog'!$B:$B,0)),IFERROR(INDEX('Catalog'!$A:$A,MATCH(TRIM(SUBSTITUTE($B1610,CHAR(160)," ")),'Catalog'!$C:$C,0)),""))))</f>
        <v>4413183</v>
      </c>
      <c r="H1610" s="8" t="str">
        <f aca="false">IFERROR(INDEX('TRANS'!$C:$C,MATCH($B1610,'TRANS'!$A:$A,0)),IFERROR(INDEX('Catalog'!$B:$B,MATCH($G1610,'Catalog'!$A:$A,0)),$B1610))</f>
        <v>T 45 M מגן ברך רגיל</v>
      </c>
      <c r="I1610" s="8" t="str">
        <f aca="false">IF($G1610="","Unmatched","Matched")</f>
        <v>Matched</v>
      </c>
      <c r="J1610" s="8" t="n">
        <f aca="false">IF($G1610&lt;&gt;"",$G1610,$B1610)</f>
        <v>4413183</v>
      </c>
      <c r="K1610" s="8" t="str">
        <f aca="false">IF(COUNTIF($M$1:$M$10,$A1610)&gt;0,"Y","N")</f>
        <v>Y</v>
      </c>
    </row>
    <row r="1611" customFormat="false" ht="15" hidden="false" customHeight="true" outlineLevel="0" collapsed="false">
      <c r="A1611" s="8" t="s">
        <v>53</v>
      </c>
      <c r="B1611" s="8" t="s">
        <v>966</v>
      </c>
      <c r="C1611" s="19" t="n">
        <v>0</v>
      </c>
      <c r="D1611" s="19" t="n">
        <v>0</v>
      </c>
      <c r="E1611" s="19" t="n">
        <v>1</v>
      </c>
      <c r="F1611" s="19" t="n">
        <v>105.42</v>
      </c>
      <c r="G1611" s="8" t="n">
        <f aca="false">IFERROR(INDEX('TRANS'!$B:$B,MATCH($B1611,'TRANS'!$A:$A,0)),IFERROR(INDEX('TRANS'!$B:$B,MATCH(TRIM(SUBSTITUTE($B1611,CHAR(160)," ")),'TRANS'!$D:$D,0)),IFERROR(INDEX('Catalog'!$A:$A,MATCH($B1611,'Catalog'!$B:$B,0)),IFERROR(INDEX('Catalog'!$A:$A,MATCH(TRIM(SUBSTITUTE($B1611,CHAR(160)," ")),'Catalog'!$C:$C,0)),""))))</f>
        <v>4413185</v>
      </c>
      <c r="H1611" s="8" t="str">
        <f aca="false">IFERROR(INDEX('TRANS'!$C:$C,MATCH($B1611,'TRANS'!$A:$A,0)),IFERROR(INDEX('Catalog'!$B:$B,MATCH($G1611,'Catalog'!$A:$A,0)),$B1611))</f>
        <v>T 45XL מגן ברך רגיל</v>
      </c>
      <c r="I1611" s="8" t="str">
        <f aca="false">IF($G1611="","Unmatched","Matched")</f>
        <v>Matched</v>
      </c>
      <c r="J1611" s="8" t="n">
        <f aca="false">IF($G1611&lt;&gt;"",$G1611,$B1611)</f>
        <v>4413185</v>
      </c>
      <c r="K1611" s="8" t="str">
        <f aca="false">IF(COUNTIF($M$1:$M$10,$A1611)&gt;0,"Y","N")</f>
        <v>Y</v>
      </c>
    </row>
    <row r="1612" customFormat="false" ht="15" hidden="false" customHeight="true" outlineLevel="0" collapsed="false">
      <c r="A1612" s="8" t="s">
        <v>53</v>
      </c>
      <c r="B1612" s="8" t="s">
        <v>1004</v>
      </c>
      <c r="C1612" s="19" t="n">
        <v>0</v>
      </c>
      <c r="D1612" s="19" t="n">
        <v>0</v>
      </c>
      <c r="E1612" s="19" t="n">
        <v>1</v>
      </c>
      <c r="F1612" s="19" t="n">
        <v>105.42</v>
      </c>
      <c r="G1612" s="8" t="n">
        <f aca="false">IFERROR(INDEX('TRANS'!$B:$B,MATCH($B1612,'TRANS'!$A:$A,0)),IFERROR(INDEX('TRANS'!$B:$B,MATCH(TRIM(SUBSTITUTE($B1612,CHAR(160)," ")),'TRANS'!$D:$D,0)),IFERROR(INDEX('Catalog'!$A:$A,MATCH($B1612,'Catalog'!$B:$B,0)),IFERROR(INDEX('Catalog'!$A:$A,MATCH(TRIM(SUBSTITUTE($B1612,CHAR(160)," ")),'Catalog'!$C:$C,0)),""))))</f>
        <v>4413286</v>
      </c>
      <c r="H1612" s="8" t="str">
        <f aca="false">IFERROR(INDEX('TRANS'!$C:$C,MATCH($B1612,'TRANS'!$A:$A,0)),IFERROR(INDEX('Catalog'!$B:$B,MATCH($G1612,'Catalog'!$A:$A,0)),$B1612))</f>
        <v>T45 XXL מגן ברך רגיל</v>
      </c>
      <c r="I1612" s="8" t="str">
        <f aca="false">IF($G1612="","Unmatched","Matched")</f>
        <v>Matched</v>
      </c>
      <c r="J1612" s="8" t="n">
        <f aca="false">IF($G1612&lt;&gt;"",$G1612,$B1612)</f>
        <v>4413286</v>
      </c>
      <c r="K1612" s="8" t="str">
        <f aca="false">IF(COUNTIF($M$1:$M$10,$A1612)&gt;0,"Y","N")</f>
        <v>Y</v>
      </c>
    </row>
    <row r="1613" customFormat="false" ht="15" hidden="false" customHeight="true" outlineLevel="0" collapsed="false">
      <c r="A1613" s="8" t="s">
        <v>53</v>
      </c>
      <c r="B1613" s="8" t="s">
        <v>847</v>
      </c>
      <c r="C1613" s="19" t="n">
        <v>0</v>
      </c>
      <c r="D1613" s="19" t="n">
        <v>0</v>
      </c>
      <c r="E1613" s="19" t="n">
        <v>1</v>
      </c>
      <c r="F1613" s="19" t="n">
        <v>93.67</v>
      </c>
      <c r="G1613" s="8" t="n">
        <f aca="false">IFERROR(INDEX('TRANS'!$B:$B,MATCH($B1613,'TRANS'!$A:$A,0)),IFERROR(INDEX('TRANS'!$B:$B,MATCH(TRIM(SUBSTITUTE($B1613,CHAR(160)," ")),'TRANS'!$D:$D,0)),IFERROR(INDEX('Catalog'!$A:$A,MATCH($B1613,'Catalog'!$B:$B,0)),IFERROR(INDEX('Catalog'!$A:$A,MATCH(TRIM(SUBSTITUTE($B1613,CHAR(160)," ")),'Catalog'!$C:$C,0)),""))))</f>
        <v>4413408</v>
      </c>
      <c r="H1613" s="8" t="str">
        <f aca="false">IFERROR(INDEX('TRANS'!$C:$C,MATCH($B1613,'TRANS'!$A:$A,0)),IFERROR(INDEX('Catalog'!$B:$B,MATCH($G1613,'Catalog'!$A:$A,0)),$B1613))</f>
        <v>SC95 XLמגן מרפק</v>
      </c>
      <c r="I1613" s="8" t="str">
        <f aca="false">IF($G1613="","Unmatched","Matched")</f>
        <v>Matched</v>
      </c>
      <c r="J1613" s="8" t="n">
        <f aca="false">IF($G1613&lt;&gt;"",$G1613,$B1613)</f>
        <v>4413408</v>
      </c>
      <c r="K1613" s="8" t="str">
        <f aca="false">IF(COUNTIF($M$1:$M$10,$A1613)&gt;0,"Y","N")</f>
        <v>Y</v>
      </c>
    </row>
    <row r="1614" customFormat="false" ht="15" hidden="false" customHeight="true" outlineLevel="0" collapsed="false">
      <c r="A1614" s="8" t="s">
        <v>53</v>
      </c>
      <c r="B1614" s="8" t="s">
        <v>745</v>
      </c>
      <c r="C1614" s="19" t="n">
        <v>0</v>
      </c>
      <c r="D1614" s="19" t="n">
        <v>0</v>
      </c>
      <c r="E1614" s="19" t="n">
        <v>1</v>
      </c>
      <c r="F1614" s="19" t="n">
        <v>8.86</v>
      </c>
      <c r="G1614" s="8" t="n">
        <f aca="false">IFERROR(INDEX('TRANS'!$B:$B,MATCH($B1614,'TRANS'!$A:$A,0)),IFERROR(INDEX('TRANS'!$B:$B,MATCH(TRIM(SUBSTITUTE($B1614,CHAR(160)," ")),'TRANS'!$D:$D,0)),IFERROR(INDEX('Catalog'!$A:$A,MATCH($B1614,'Catalog'!$B:$B,0)),IFERROR(INDEX('Catalog'!$A:$A,MATCH(TRIM(SUBSTITUTE($B1614,CHAR(160)," ")),'Catalog'!$C:$C,0)),""))))</f>
        <v>4401002</v>
      </c>
      <c r="H1614" s="8" t="str">
        <f aca="false">IFERROR(INDEX('TRANS'!$C:$C,MATCH($B1614,'TRANS'!$A:$A,0)),IFERROR(INDEX('Catalog'!$B:$B,MATCH($G1614,'Catalog'!$A:$A,0)),$B1614))</f>
        <v>PD 344-אבן טבעית להסרת עור קשה</v>
      </c>
      <c r="I1614" s="8" t="str">
        <f aca="false">IF($G1614="","Unmatched","Matched")</f>
        <v>Matched</v>
      </c>
      <c r="J1614" s="8" t="n">
        <f aca="false">IF($G1614&lt;&gt;"",$G1614,$B1614)</f>
        <v>4401002</v>
      </c>
      <c r="K1614" s="8" t="str">
        <f aca="false">IF(COUNTIF($M$1:$M$10,$A1614)&gt;0,"Y","N")</f>
        <v>Y</v>
      </c>
    </row>
    <row r="1615" customFormat="false" ht="15" hidden="false" customHeight="true" outlineLevel="0" collapsed="false">
      <c r="A1615" s="8" t="s">
        <v>61</v>
      </c>
      <c r="B1615" s="8" t="s">
        <v>595</v>
      </c>
      <c r="C1615" s="19" t="n">
        <v>6</v>
      </c>
      <c r="D1615" s="19" t="n">
        <v>360</v>
      </c>
      <c r="E1615" s="19" t="n">
        <v>0</v>
      </c>
      <c r="F1615" s="19" t="n">
        <v>0</v>
      </c>
      <c r="G1615" s="8" t="n">
        <f aca="false">IFERROR(INDEX('TRANS'!$B:$B,MATCH($B1615,'TRANS'!$A:$A,0)),IFERROR(INDEX('TRANS'!$B:$B,MATCH(TRIM(SUBSTITUTE($B1615,CHAR(160)," ")),'TRANS'!$D:$D,0)),IFERROR(INDEX('Catalog'!$A:$A,MATCH($B1615,'Catalog'!$B:$B,0)),IFERROR(INDEX('Catalog'!$A:$A,MATCH(TRIM(SUBSTITUTE($B1615,CHAR(160)," ")),'Catalog'!$C:$C,0)),""))))</f>
        <v>4413348</v>
      </c>
      <c r="H1615" s="8" t="str">
        <f aca="false">IFERROR(INDEX('TRANS'!$C:$C,MATCH($B1615,'TRANS'!$A:$A,0)),IFERROR(INDEX('Catalog'!$B:$B,MATCH($G1615,'Catalog'!$A:$A,0)),$B1615))</f>
        <v>302 מדרס ג'ל לגבר</v>
      </c>
      <c r="I1615" s="8" t="str">
        <f aca="false">IF($G1615="","Unmatched","Matched")</f>
        <v>Matched</v>
      </c>
      <c r="J1615" s="8" t="n">
        <f aca="false">IF($G1615&lt;&gt;"",$G1615,$B1615)</f>
        <v>4413348</v>
      </c>
      <c r="K1615" s="8" t="str">
        <f aca="false">IF(COUNTIF($M$1:$M$10,$A1615)&gt;0,"Y","N")</f>
        <v>Y</v>
      </c>
    </row>
    <row r="1616" customFormat="false" ht="15" hidden="false" customHeight="true" outlineLevel="0" collapsed="false">
      <c r="A1616" s="8" t="s">
        <v>61</v>
      </c>
      <c r="B1616" s="8" t="s">
        <v>645</v>
      </c>
      <c r="C1616" s="19" t="n">
        <v>5</v>
      </c>
      <c r="D1616" s="19" t="n">
        <v>77.1</v>
      </c>
      <c r="E1616" s="19" t="n">
        <v>0</v>
      </c>
      <c r="F1616" s="19" t="n">
        <v>0</v>
      </c>
      <c r="G1616" s="8" t="n">
        <f aca="false">IFERROR(INDEX('TRANS'!$B:$B,MATCH($B1616,'TRANS'!$A:$A,0)),IFERROR(INDEX('TRANS'!$B:$B,MATCH(TRIM(SUBSTITUTE($B1616,CHAR(160)," ")),'TRANS'!$D:$D,0)),IFERROR(INDEX('Catalog'!$A:$A,MATCH($B1616,'Catalog'!$B:$B,0)),IFERROR(INDEX('Catalog'!$A:$A,MATCH(TRIM(SUBSTITUTE($B1616,CHAR(160)," ")),'Catalog'!$C:$C,0)),""))))</f>
        <v>4420002</v>
      </c>
      <c r="H1616" s="8" t="str">
        <f aca="false">IFERROR(INDEX('TRANS'!$C:$C,MATCH($B1616,'TRANS'!$A:$A,0)),IFERROR(INDEX('Catalog'!$B:$B,MATCH($G1616,'Catalog'!$A:$A,0)),$B1616))</f>
        <v>372 רפידת אנטי ריח -זוג</v>
      </c>
      <c r="I1616" s="8" t="str">
        <f aca="false">IF($G1616="","Unmatched","Matched")</f>
        <v>Matched</v>
      </c>
      <c r="J1616" s="8" t="n">
        <f aca="false">IF($G1616&lt;&gt;"",$G1616,$B1616)</f>
        <v>4420002</v>
      </c>
      <c r="K1616" s="8" t="str">
        <f aca="false">IF(COUNTIF($M$1:$M$10,$A1616)&gt;0,"Y","N")</f>
        <v>Y</v>
      </c>
    </row>
    <row r="1617" customFormat="false" ht="15" hidden="false" customHeight="true" outlineLevel="0" collapsed="false">
      <c r="A1617" s="8" t="s">
        <v>61</v>
      </c>
      <c r="B1617" s="8" t="s">
        <v>646</v>
      </c>
      <c r="C1617" s="19" t="n">
        <v>5</v>
      </c>
      <c r="D1617" s="19" t="n">
        <v>77.1</v>
      </c>
      <c r="E1617" s="19" t="n">
        <v>0</v>
      </c>
      <c r="F1617" s="19" t="n">
        <v>0</v>
      </c>
      <c r="G1617" s="8" t="n">
        <f aca="false">IFERROR(INDEX('TRANS'!$B:$B,MATCH($B1617,'TRANS'!$A:$A,0)),IFERROR(INDEX('TRANS'!$B:$B,MATCH(TRIM(SUBSTITUTE($B1617,CHAR(160)," ")),'TRANS'!$D:$D,0)),IFERROR(INDEX('Catalog'!$A:$A,MATCH($B1617,'Catalog'!$B:$B,0)),IFERROR(INDEX('Catalog'!$A:$A,MATCH(TRIM(SUBSTITUTE($B1617,CHAR(160)," ")),'Catalog'!$C:$C,0)),""))))</f>
        <v>4420003</v>
      </c>
      <c r="H1617" s="8" t="str">
        <f aca="false">IFERROR(INDEX('TRANS'!$C:$C,MATCH($B1617,'TRANS'!$A:$A,0)),IFERROR(INDEX('Catalog'!$B:$B,MATCH($G1617,'Catalog'!$A:$A,0)),$B1617))</f>
        <v>374 רפידת בולמת זעזועים -זוג</v>
      </c>
      <c r="I1617" s="8" t="str">
        <f aca="false">IF($G1617="","Unmatched","Matched")</f>
        <v>Matched</v>
      </c>
      <c r="J1617" s="8" t="n">
        <f aca="false">IF($G1617&lt;&gt;"",$G1617,$B1617)</f>
        <v>4420003</v>
      </c>
      <c r="K1617" s="8" t="str">
        <f aca="false">IF(COUNTIF($M$1:$M$10,$A1617)&gt;0,"Y","N")</f>
        <v>Y</v>
      </c>
    </row>
    <row r="1618" customFormat="false" ht="15" hidden="false" customHeight="true" outlineLevel="0" collapsed="false">
      <c r="A1618" s="8" t="s">
        <v>61</v>
      </c>
      <c r="B1618" s="8" t="s">
        <v>615</v>
      </c>
      <c r="C1618" s="19" t="n">
        <v>0</v>
      </c>
      <c r="D1618" s="19" t="n">
        <v>0</v>
      </c>
      <c r="E1618" s="19" t="n">
        <v>2</v>
      </c>
      <c r="F1618" s="19" t="n">
        <v>61.79</v>
      </c>
      <c r="G1618" s="8" t="n">
        <f aca="false">IFERROR(INDEX('TRANS'!$B:$B,MATCH($B1618,'TRANS'!$A:$A,0)),IFERROR(INDEX('TRANS'!$B:$B,MATCH(TRIM(SUBSTITUTE($B1618,CHAR(160)," ")),'TRANS'!$D:$D,0)),IFERROR(INDEX('Catalog'!$A:$A,MATCH($B1618,'Catalog'!$B:$B,0)),IFERROR(INDEX('Catalog'!$A:$A,MATCH(TRIM(SUBSTITUTE($B1618,CHAR(160)," ")),'Catalog'!$C:$C,0)),""))))</f>
        <v>4413490</v>
      </c>
      <c r="H1618" s="8" t="str">
        <f aca="false">IFERROR(INDEX('TRANS'!$C:$C,MATCH($B1618,'TRANS'!$A:$A,0)),IFERROR(INDEX('Catalog'!$B:$B,MATCH($G1618,'Catalog'!$A:$A,0)),$B1618))</f>
        <v>35B L מגן קרסול שחור</v>
      </c>
      <c r="I1618" s="8" t="str">
        <f aca="false">IF($G1618="","Unmatched","Matched")</f>
        <v>Matched</v>
      </c>
      <c r="J1618" s="8" t="n">
        <f aca="false">IF($G1618&lt;&gt;"",$G1618,$B1618)</f>
        <v>4413490</v>
      </c>
      <c r="K1618" s="8" t="str">
        <f aca="false">IF(COUNTIF($M$1:$M$10,$A1618)&gt;0,"Y","N")</f>
        <v>Y</v>
      </c>
    </row>
    <row r="1619" customFormat="false" ht="15" hidden="false" customHeight="true" outlineLevel="0" collapsed="false">
      <c r="A1619" s="8" t="s">
        <v>61</v>
      </c>
      <c r="B1619" s="8" t="s">
        <v>616</v>
      </c>
      <c r="C1619" s="19" t="n">
        <v>0</v>
      </c>
      <c r="D1619" s="19" t="n">
        <v>0</v>
      </c>
      <c r="E1619" s="19" t="n">
        <v>2</v>
      </c>
      <c r="F1619" s="19" t="n">
        <v>61.79</v>
      </c>
      <c r="G1619" s="8" t="n">
        <f aca="false">IFERROR(INDEX('TRANS'!$B:$B,MATCH($B1619,'TRANS'!$A:$A,0)),IFERROR(INDEX('TRANS'!$B:$B,MATCH(TRIM(SUBSTITUTE($B1619,CHAR(160)," ")),'TRANS'!$D:$D,0)),IFERROR(INDEX('Catalog'!$A:$A,MATCH($B1619,'Catalog'!$B:$B,0)),IFERROR(INDEX('Catalog'!$A:$A,MATCH(TRIM(SUBSTITUTE($B1619,CHAR(160)," ")),'Catalog'!$C:$C,0)),""))))</f>
        <v>4413492</v>
      </c>
      <c r="H1619" s="8" t="str">
        <f aca="false">IFERROR(INDEX('TRANS'!$C:$C,MATCH($B1619,'TRANS'!$A:$A,0)),IFERROR(INDEX('Catalog'!$B:$B,MATCH($G1619,'Catalog'!$A:$A,0)),$B1619))</f>
        <v>35B M מגן קרסול שחור</v>
      </c>
      <c r="I1619" s="8" t="str">
        <f aca="false">IF($G1619="","Unmatched","Matched")</f>
        <v>Matched</v>
      </c>
      <c r="J1619" s="8" t="n">
        <f aca="false">IF($G1619&lt;&gt;"",$G1619,$B1619)</f>
        <v>4413492</v>
      </c>
      <c r="K1619" s="8" t="str">
        <f aca="false">IF(COUNTIF($M$1:$M$10,$A1619)&gt;0,"Y","N")</f>
        <v>Y</v>
      </c>
    </row>
    <row r="1620" customFormat="false" ht="15" hidden="false" customHeight="true" outlineLevel="0" collapsed="false">
      <c r="A1620" s="8" t="s">
        <v>61</v>
      </c>
      <c r="B1620" s="8" t="s">
        <v>618</v>
      </c>
      <c r="C1620" s="19" t="n">
        <v>0</v>
      </c>
      <c r="D1620" s="19" t="n">
        <v>0</v>
      </c>
      <c r="E1620" s="19" t="n">
        <v>1</v>
      </c>
      <c r="F1620" s="19" t="n">
        <v>30.89</v>
      </c>
      <c r="G1620" s="8" t="n">
        <f aca="false">IFERROR(INDEX('TRANS'!$B:$B,MATCH($B1620,'TRANS'!$A:$A,0)),IFERROR(INDEX('TRANS'!$B:$B,MATCH(TRIM(SUBSTITUTE($B1620,CHAR(160)," ")),'TRANS'!$D:$D,0)),IFERROR(INDEX('Catalog'!$A:$A,MATCH($B1620,'Catalog'!$B:$B,0)),IFERROR(INDEX('Catalog'!$A:$A,MATCH(TRIM(SUBSTITUTE($B1620,CHAR(160)," ")),'Catalog'!$C:$C,0)),""))))</f>
        <v>4413491</v>
      </c>
      <c r="H1620" s="8" t="str">
        <f aca="false">IFERROR(INDEX('TRANS'!$C:$C,MATCH($B1620,'TRANS'!$A:$A,0)),IFERROR(INDEX('Catalog'!$B:$B,MATCH($G1620,'Catalog'!$A:$A,0)),$B1620))</f>
        <v>35B XL מגן קרסול שחור</v>
      </c>
      <c r="I1620" s="8" t="str">
        <f aca="false">IF($G1620="","Unmatched","Matched")</f>
        <v>Matched</v>
      </c>
      <c r="J1620" s="8" t="n">
        <f aca="false">IF($G1620&lt;&gt;"",$G1620,$B1620)</f>
        <v>4413491</v>
      </c>
      <c r="K1620" s="8" t="str">
        <f aca="false">IF(COUNTIF($M$1:$M$10,$A1620)&gt;0,"Y","N")</f>
        <v>Y</v>
      </c>
    </row>
    <row r="1621" customFormat="false" ht="15" hidden="false" customHeight="true" outlineLevel="0" collapsed="false">
      <c r="A1621" s="8" t="s">
        <v>61</v>
      </c>
      <c r="B1621" s="8" t="s">
        <v>620</v>
      </c>
      <c r="C1621" s="19" t="n">
        <v>0</v>
      </c>
      <c r="D1621" s="19" t="n">
        <v>0</v>
      </c>
      <c r="E1621" s="19" t="n">
        <v>2</v>
      </c>
      <c r="F1621" s="19" t="n">
        <v>61.79</v>
      </c>
      <c r="G1621" s="8" t="n">
        <f aca="false">IFERROR(INDEX('TRANS'!$B:$B,MATCH($B1621,'TRANS'!$A:$A,0)),IFERROR(INDEX('TRANS'!$B:$B,MATCH(TRIM(SUBSTITUTE($B1621,CHAR(160)," ")),'TRANS'!$D:$D,0)),IFERROR(INDEX('Catalog'!$A:$A,MATCH($B1621,'Catalog'!$B:$B,0)),IFERROR(INDEX('Catalog'!$A:$A,MATCH(TRIM(SUBSTITUTE($B1621,CHAR(160)," ")),'Catalog'!$C:$C,0)),""))))</f>
        <v>4413053</v>
      </c>
      <c r="H1621" s="8" t="str">
        <f aca="false">IFERROR(INDEX('TRANS'!$C:$C,MATCH($B1621,'TRANS'!$A:$A,0)),IFERROR(INDEX('Catalog'!$B:$B,MATCH($G1621,'Catalog'!$A:$A,0)),$B1621))</f>
        <v>35C L מגן קרסול חום</v>
      </c>
      <c r="I1621" s="8" t="str">
        <f aca="false">IF($G1621="","Unmatched","Matched")</f>
        <v>Matched</v>
      </c>
      <c r="J1621" s="8" t="n">
        <f aca="false">IF($G1621&lt;&gt;"",$G1621,$B1621)</f>
        <v>4413053</v>
      </c>
      <c r="K1621" s="8" t="str">
        <f aca="false">IF(COUNTIF($M$1:$M$10,$A1621)&gt;0,"Y","N")</f>
        <v>Y</v>
      </c>
    </row>
    <row r="1622" customFormat="false" ht="15" hidden="false" customHeight="true" outlineLevel="0" collapsed="false">
      <c r="A1622" s="8" t="s">
        <v>61</v>
      </c>
      <c r="B1622" s="8" t="s">
        <v>621</v>
      </c>
      <c r="C1622" s="19" t="n">
        <v>0</v>
      </c>
      <c r="D1622" s="19" t="n">
        <v>0</v>
      </c>
      <c r="E1622" s="19" t="n">
        <v>2</v>
      </c>
      <c r="F1622" s="19" t="n">
        <v>61.79</v>
      </c>
      <c r="G1622" s="8" t="n">
        <f aca="false">IFERROR(INDEX('TRANS'!$B:$B,MATCH($B1622,'TRANS'!$A:$A,0)),IFERROR(INDEX('TRANS'!$B:$B,MATCH(TRIM(SUBSTITUTE($B1622,CHAR(160)," ")),'TRANS'!$D:$D,0)),IFERROR(INDEX('Catalog'!$A:$A,MATCH($B1622,'Catalog'!$B:$B,0)),IFERROR(INDEX('Catalog'!$A:$A,MATCH(TRIM(SUBSTITUTE($B1622,CHAR(160)," ")),'Catalog'!$C:$C,0)),""))))</f>
        <v>4413054</v>
      </c>
      <c r="H1622" s="8" t="str">
        <f aca="false">IFERROR(INDEX('TRANS'!$C:$C,MATCH($B1622,'TRANS'!$A:$A,0)),IFERROR(INDEX('Catalog'!$B:$B,MATCH($G1622,'Catalog'!$A:$A,0)),$B1622))</f>
        <v>35C M מגן קרסול חום</v>
      </c>
      <c r="I1622" s="8" t="str">
        <f aca="false">IF($G1622="","Unmatched","Matched")</f>
        <v>Matched</v>
      </c>
      <c r="J1622" s="8" t="n">
        <f aca="false">IF($G1622&lt;&gt;"",$G1622,$B1622)</f>
        <v>4413054</v>
      </c>
      <c r="K1622" s="8" t="str">
        <f aca="false">IF(COUNTIF($M$1:$M$10,$A1622)&gt;0,"Y","N")</f>
        <v>Y</v>
      </c>
    </row>
    <row r="1623" customFormat="false" ht="15" hidden="false" customHeight="true" outlineLevel="0" collapsed="false">
      <c r="A1623" s="8" t="s">
        <v>61</v>
      </c>
      <c r="B1623" s="8" t="s">
        <v>795</v>
      </c>
      <c r="C1623" s="19" t="n">
        <v>0</v>
      </c>
      <c r="D1623" s="19" t="n">
        <v>0</v>
      </c>
      <c r="E1623" s="19" t="n">
        <v>1</v>
      </c>
      <c r="F1623" s="19" t="n">
        <v>30.89</v>
      </c>
      <c r="G1623" s="8" t="n">
        <f aca="false">IFERROR(INDEX('TRANS'!$B:$B,MATCH($B1623,'TRANS'!$A:$A,0)),IFERROR(INDEX('TRANS'!$B:$B,MATCH(TRIM(SUBSTITUTE($B1623,CHAR(160)," ")),'TRANS'!$D:$D,0)),IFERROR(INDEX('Catalog'!$A:$A,MATCH($B1623,'Catalog'!$B:$B,0)),IFERROR(INDEX('Catalog'!$A:$A,MATCH(TRIM(SUBSTITUTE($B1623,CHAR(160)," ")),'Catalog'!$C:$C,0)),""))))</f>
        <v>4413055</v>
      </c>
      <c r="H1623" s="8" t="str">
        <f aca="false">IFERROR(INDEX('TRANS'!$C:$C,MATCH($B1623,'TRANS'!$A:$A,0)),IFERROR(INDEX('Catalog'!$B:$B,MATCH($G1623,'Catalog'!$A:$A,0)),$B1623))</f>
        <v>35C XL מגן קרסול חום</v>
      </c>
      <c r="I1623" s="8" t="str">
        <f aca="false">IF($G1623="","Unmatched","Matched")</f>
        <v>Matched</v>
      </c>
      <c r="J1623" s="8" t="n">
        <f aca="false">IF($G1623&lt;&gt;"",$G1623,$B1623)</f>
        <v>4413055</v>
      </c>
      <c r="K1623" s="8" t="str">
        <f aca="false">IF(COUNTIF($M$1:$M$10,$A1623)&gt;0,"Y","N")</f>
        <v>Y</v>
      </c>
    </row>
    <row r="1624" customFormat="false" ht="15" hidden="false" customHeight="true" outlineLevel="0" collapsed="false">
      <c r="A1624" s="8" t="s">
        <v>61</v>
      </c>
      <c r="B1624" s="8" t="s">
        <v>675</v>
      </c>
      <c r="C1624" s="19" t="n">
        <v>0</v>
      </c>
      <c r="D1624" s="19" t="n">
        <v>0</v>
      </c>
      <c r="E1624" s="19" t="n">
        <v>2</v>
      </c>
      <c r="F1624" s="19" t="n">
        <v>61.79</v>
      </c>
      <c r="G1624" s="8" t="n">
        <f aca="false">IFERROR(INDEX('TRANS'!$B:$B,MATCH($B1624,'TRANS'!$A:$A,0)),IFERROR(INDEX('TRANS'!$B:$B,MATCH(TRIM(SUBSTITUTE($B1624,CHAR(160)," ")),'TRANS'!$D:$D,0)),IFERROR(INDEX('Catalog'!$A:$A,MATCH($B1624,'Catalog'!$B:$B,0)),IFERROR(INDEX('Catalog'!$A:$A,MATCH(TRIM(SUBSTITUTE($B1624,CHAR(160)," ")),'Catalog'!$C:$C,0)),""))))</f>
        <v>4413495</v>
      </c>
      <c r="H1624" s="8" t="str">
        <f aca="false">IFERROR(INDEX('TRANS'!$C:$C,MATCH($B1624,'TRANS'!$A:$A,0)),IFERROR(INDEX('Catalog'!$B:$B,MATCH($G1624,'Catalog'!$A:$A,0)),$B1624))</f>
        <v>45B L מגן ברך שחור</v>
      </c>
      <c r="I1624" s="8" t="str">
        <f aca="false">IF($G1624="","Unmatched","Matched")</f>
        <v>Matched</v>
      </c>
      <c r="J1624" s="8" t="n">
        <f aca="false">IF($G1624&lt;&gt;"",$G1624,$B1624)</f>
        <v>4413495</v>
      </c>
      <c r="K1624" s="8" t="str">
        <f aca="false">IF(COUNTIF($M$1:$M$10,$A1624)&gt;0,"Y","N")</f>
        <v>Y</v>
      </c>
    </row>
    <row r="1625" customFormat="false" ht="15" hidden="false" customHeight="true" outlineLevel="0" collapsed="false">
      <c r="A1625" s="8" t="s">
        <v>61</v>
      </c>
      <c r="B1625" s="8" t="s">
        <v>676</v>
      </c>
      <c r="C1625" s="19" t="n">
        <v>0</v>
      </c>
      <c r="D1625" s="19" t="n">
        <v>0</v>
      </c>
      <c r="E1625" s="19" t="n">
        <v>2</v>
      </c>
      <c r="F1625" s="19" t="n">
        <v>61.79</v>
      </c>
      <c r="G1625" s="8" t="n">
        <f aca="false">IFERROR(INDEX('TRANS'!$B:$B,MATCH($B1625,'TRANS'!$A:$A,0)),IFERROR(INDEX('TRANS'!$B:$B,MATCH(TRIM(SUBSTITUTE($B1625,CHAR(160)," ")),'TRANS'!$D:$D,0)),IFERROR(INDEX('Catalog'!$A:$A,MATCH($B1625,'Catalog'!$B:$B,0)),IFERROR(INDEX('Catalog'!$A:$A,MATCH(TRIM(SUBSTITUTE($B1625,CHAR(160)," ")),'Catalog'!$C:$C,0)),""))))</f>
        <v>4413497</v>
      </c>
      <c r="H1625" s="8" t="str">
        <f aca="false">IFERROR(INDEX('TRANS'!$C:$C,MATCH($B1625,'TRANS'!$A:$A,0)),IFERROR(INDEX('Catalog'!$B:$B,MATCH($G1625,'Catalog'!$A:$A,0)),$B1625))</f>
        <v>45B M מגן ברך שחור</v>
      </c>
      <c r="I1625" s="8" t="str">
        <f aca="false">IF($G1625="","Unmatched","Matched")</f>
        <v>Matched</v>
      </c>
      <c r="J1625" s="8" t="n">
        <f aca="false">IF($G1625&lt;&gt;"",$G1625,$B1625)</f>
        <v>4413497</v>
      </c>
      <c r="K1625" s="8" t="str">
        <f aca="false">IF(COUNTIF($M$1:$M$10,$A1625)&gt;0,"Y","N")</f>
        <v>Y</v>
      </c>
    </row>
    <row r="1626" customFormat="false" ht="15" hidden="false" customHeight="true" outlineLevel="0" collapsed="false">
      <c r="A1626" s="8" t="s">
        <v>61</v>
      </c>
      <c r="B1626" s="8" t="s">
        <v>802</v>
      </c>
      <c r="C1626" s="19" t="n">
        <v>0</v>
      </c>
      <c r="D1626" s="19" t="n">
        <v>0</v>
      </c>
      <c r="E1626" s="19" t="n">
        <v>2</v>
      </c>
      <c r="F1626" s="19" t="n">
        <v>61.79</v>
      </c>
      <c r="G1626" s="8" t="n">
        <f aca="false">IFERROR(INDEX('TRANS'!$B:$B,MATCH($B1626,'TRANS'!$A:$A,0)),IFERROR(INDEX('TRANS'!$B:$B,MATCH(TRIM(SUBSTITUTE($B1626,CHAR(160)," ")),'TRANS'!$D:$D,0)),IFERROR(INDEX('Catalog'!$A:$A,MATCH($B1626,'Catalog'!$B:$B,0)),IFERROR(INDEX('Catalog'!$A:$A,MATCH(TRIM(SUBSTITUTE($B1626,CHAR(160)," ")),'Catalog'!$C:$C,0)),""))))</f>
        <v>4413496</v>
      </c>
      <c r="H1626" s="8" t="str">
        <f aca="false">IFERROR(INDEX('TRANS'!$C:$C,MATCH($B1626,'TRANS'!$A:$A,0)),IFERROR(INDEX('Catalog'!$B:$B,MATCH($G1626,'Catalog'!$A:$A,0)),$B1626))</f>
        <v>45B XL מגן ברך שחור</v>
      </c>
      <c r="I1626" s="8" t="str">
        <f aca="false">IF($G1626="","Unmatched","Matched")</f>
        <v>Matched</v>
      </c>
      <c r="J1626" s="8" t="n">
        <f aca="false">IF($G1626&lt;&gt;"",$G1626,$B1626)</f>
        <v>4413496</v>
      </c>
      <c r="K1626" s="8" t="str">
        <f aca="false">IF(COUNTIF($M$1:$M$10,$A1626)&gt;0,"Y","N")</f>
        <v>Y</v>
      </c>
    </row>
    <row r="1627" customFormat="false" ht="15" hidden="false" customHeight="true" outlineLevel="0" collapsed="false">
      <c r="A1627" s="8" t="s">
        <v>61</v>
      </c>
      <c r="B1627" s="8" t="s">
        <v>677</v>
      </c>
      <c r="C1627" s="19" t="n">
        <v>0</v>
      </c>
      <c r="D1627" s="19" t="n">
        <v>0</v>
      </c>
      <c r="E1627" s="19" t="n">
        <v>2</v>
      </c>
      <c r="F1627" s="19" t="n">
        <v>61.79</v>
      </c>
      <c r="G1627" s="8" t="n">
        <f aca="false">IFERROR(INDEX('TRANS'!$B:$B,MATCH($B1627,'TRANS'!$A:$A,0)),IFERROR(INDEX('TRANS'!$B:$B,MATCH(TRIM(SUBSTITUTE($B1627,CHAR(160)," ")),'TRANS'!$D:$D,0)),IFERROR(INDEX('Catalog'!$A:$A,MATCH($B1627,'Catalog'!$B:$B,0)),IFERROR(INDEX('Catalog'!$A:$A,MATCH(TRIM(SUBSTITUTE($B1627,CHAR(160)," ")),'Catalog'!$C:$C,0)),""))))</f>
        <v>4413098</v>
      </c>
      <c r="H1627" s="8" t="str">
        <f aca="false">IFERROR(INDEX('TRANS'!$C:$C,MATCH($B1627,'TRANS'!$A:$A,0)),IFERROR(INDEX('Catalog'!$B:$B,MATCH($G1627,'Catalog'!$A:$A,0)),$B1627))</f>
        <v>45C L מגן ברך חום</v>
      </c>
      <c r="I1627" s="8" t="str">
        <f aca="false">IF($G1627="","Unmatched","Matched")</f>
        <v>Matched</v>
      </c>
      <c r="J1627" s="8" t="n">
        <f aca="false">IF($G1627&lt;&gt;"",$G1627,$B1627)</f>
        <v>4413098</v>
      </c>
      <c r="K1627" s="8" t="str">
        <f aca="false">IF(COUNTIF($M$1:$M$10,$A1627)&gt;0,"Y","N")</f>
        <v>Y</v>
      </c>
    </row>
    <row r="1628" customFormat="false" ht="15" hidden="false" customHeight="true" outlineLevel="0" collapsed="false">
      <c r="A1628" s="8" t="s">
        <v>61</v>
      </c>
      <c r="B1628" s="8" t="s">
        <v>678</v>
      </c>
      <c r="C1628" s="19" t="n">
        <v>0</v>
      </c>
      <c r="D1628" s="19" t="n">
        <v>0</v>
      </c>
      <c r="E1628" s="19" t="n">
        <v>2</v>
      </c>
      <c r="F1628" s="19" t="n">
        <v>61.79</v>
      </c>
      <c r="G1628" s="8" t="n">
        <f aca="false">IFERROR(INDEX('TRANS'!$B:$B,MATCH($B1628,'TRANS'!$A:$A,0)),IFERROR(INDEX('TRANS'!$B:$B,MATCH(TRIM(SUBSTITUTE($B1628,CHAR(160)," ")),'TRANS'!$D:$D,0)),IFERROR(INDEX('Catalog'!$A:$A,MATCH($B1628,'Catalog'!$B:$B,0)),IFERROR(INDEX('Catalog'!$A:$A,MATCH(TRIM(SUBSTITUTE($B1628,CHAR(160)," ")),'Catalog'!$C:$C,0)),""))))</f>
        <v>4413099</v>
      </c>
      <c r="H1628" s="8" t="str">
        <f aca="false">IFERROR(INDEX('TRANS'!$C:$C,MATCH($B1628,'TRANS'!$A:$A,0)),IFERROR(INDEX('Catalog'!$B:$B,MATCH($G1628,'Catalog'!$A:$A,0)),$B1628))</f>
        <v>45C M מגן ברך חום</v>
      </c>
      <c r="I1628" s="8" t="str">
        <f aca="false">IF($G1628="","Unmatched","Matched")</f>
        <v>Matched</v>
      </c>
      <c r="J1628" s="8" t="n">
        <f aca="false">IF($G1628&lt;&gt;"",$G1628,$B1628)</f>
        <v>4413099</v>
      </c>
      <c r="K1628" s="8" t="str">
        <f aca="false">IF(COUNTIF($M$1:$M$10,$A1628)&gt;0,"Y","N")</f>
        <v>Y</v>
      </c>
    </row>
    <row r="1629" customFormat="false" ht="15" hidden="false" customHeight="true" outlineLevel="0" collapsed="false">
      <c r="A1629" s="8" t="s">
        <v>61</v>
      </c>
      <c r="B1629" s="8" t="s">
        <v>680</v>
      </c>
      <c r="C1629" s="19" t="n">
        <v>0</v>
      </c>
      <c r="D1629" s="19" t="n">
        <v>0</v>
      </c>
      <c r="E1629" s="19" t="n">
        <v>2</v>
      </c>
      <c r="F1629" s="19" t="n">
        <v>61.79</v>
      </c>
      <c r="G1629" s="8" t="n">
        <f aca="false">IFERROR(INDEX('TRANS'!$B:$B,MATCH($B1629,'TRANS'!$A:$A,0)),IFERROR(INDEX('TRANS'!$B:$B,MATCH(TRIM(SUBSTITUTE($B1629,CHAR(160)," ")),'TRANS'!$D:$D,0)),IFERROR(INDEX('Catalog'!$A:$A,MATCH($B1629,'Catalog'!$B:$B,0)),IFERROR(INDEX('Catalog'!$A:$A,MATCH(TRIM(SUBSTITUTE($B1629,CHAR(160)," ")),'Catalog'!$C:$C,0)),""))))</f>
        <v>4413100</v>
      </c>
      <c r="H1629" s="8" t="str">
        <f aca="false">IFERROR(INDEX('TRANS'!$C:$C,MATCH($B1629,'TRANS'!$A:$A,0)),IFERROR(INDEX('Catalog'!$B:$B,MATCH($G1629,'Catalog'!$A:$A,0)),$B1629))</f>
        <v>45C XL מגן ברך חום</v>
      </c>
      <c r="I1629" s="8" t="str">
        <f aca="false">IF($G1629="","Unmatched","Matched")</f>
        <v>Matched</v>
      </c>
      <c r="J1629" s="8" t="n">
        <f aca="false">IF($G1629&lt;&gt;"",$G1629,$B1629)</f>
        <v>4413100</v>
      </c>
      <c r="K1629" s="8" t="str">
        <f aca="false">IF(COUNTIF($M$1:$M$10,$A1629)&gt;0,"Y","N")</f>
        <v>Y</v>
      </c>
    </row>
    <row r="1630" customFormat="false" ht="15" hidden="false" customHeight="true" outlineLevel="0" collapsed="false">
      <c r="A1630" s="8" t="s">
        <v>61</v>
      </c>
      <c r="B1630" s="8" t="s">
        <v>705</v>
      </c>
      <c r="C1630" s="19" t="n">
        <v>0</v>
      </c>
      <c r="D1630" s="19" t="n">
        <v>0</v>
      </c>
      <c r="E1630" s="19" t="n">
        <v>6</v>
      </c>
      <c r="F1630" s="19" t="n">
        <v>180</v>
      </c>
      <c r="G1630" s="8" t="n">
        <f aca="false">IFERROR(INDEX('TRANS'!$B:$B,MATCH($B1630,'TRANS'!$A:$A,0)),IFERROR(INDEX('TRANS'!$B:$B,MATCH(TRIM(SUBSTITUTE($B1630,CHAR(160)," ")),'TRANS'!$D:$D,0)),IFERROR(INDEX('Catalog'!$A:$A,MATCH($B1630,'Catalog'!$B:$B,0)),IFERROR(INDEX('Catalog'!$A:$A,MATCH(TRIM(SUBSTITUTE($B1630,CHAR(160)," ")),'Catalog'!$C:$C,0)),""))))</f>
        <v>4409017</v>
      </c>
      <c r="H1630" s="8" t="str">
        <f aca="false">IFERROR(INDEX('TRANS'!$C:$C,MATCH($B1630,'TRANS'!$A:$A,0)),IFERROR(INDEX('Catalog'!$B:$B,MATCH($G1630,'Catalog'!$A:$A,0)),$B1630))</f>
        <v>808KT-B        טייפ קינזיולוגי</v>
      </c>
      <c r="I1630" s="8" t="str">
        <f aca="false">IF($G1630="","Unmatched","Matched")</f>
        <v>Matched</v>
      </c>
      <c r="J1630" s="8" t="n">
        <f aca="false">IF($G1630&lt;&gt;"",$G1630,$B1630)</f>
        <v>4409017</v>
      </c>
      <c r="K1630" s="8" t="str">
        <f aca="false">IF(COUNTIF($M$1:$M$10,$A1630)&gt;0,"Y","N")</f>
        <v>Y</v>
      </c>
    </row>
    <row r="1631" customFormat="false" ht="15" hidden="false" customHeight="true" outlineLevel="0" collapsed="false">
      <c r="A1631" s="8" t="s">
        <v>61</v>
      </c>
      <c r="B1631" s="8" t="s">
        <v>886</v>
      </c>
      <c r="C1631" s="19" t="n">
        <v>0</v>
      </c>
      <c r="D1631" s="19" t="n">
        <v>0</v>
      </c>
      <c r="E1631" s="19" t="n">
        <v>6</v>
      </c>
      <c r="F1631" s="19" t="n">
        <v>180</v>
      </c>
      <c r="G1631" s="8" t="n">
        <f aca="false">IFERROR(INDEX('TRANS'!$B:$B,MATCH($B1631,'TRANS'!$A:$A,0)),IFERROR(INDEX('TRANS'!$B:$B,MATCH(TRIM(SUBSTITUTE($B1631,CHAR(160)," ")),'TRANS'!$D:$D,0)),IFERROR(INDEX('Catalog'!$A:$A,MATCH($B1631,'Catalog'!$B:$B,0)),IFERROR(INDEX('Catalog'!$A:$A,MATCH(TRIM(SUBSTITUTE($B1631,CHAR(160)," ")),'Catalog'!$C:$C,0)),""))))</f>
        <v>4409015</v>
      </c>
      <c r="H1631" s="8" t="str">
        <f aca="false">IFERROR(INDEX('TRANS'!$C:$C,MATCH($B1631,'TRANS'!$A:$A,0)),IFERROR(INDEX('Catalog'!$B:$B,MATCH($G1631,'Catalog'!$A:$A,0)),$B1631))</f>
        <v>808KT-BL       טייפ קינזיולוגי</v>
      </c>
      <c r="I1631" s="8" t="str">
        <f aca="false">IF($G1631="","Unmatched","Matched")</f>
        <v>Matched</v>
      </c>
      <c r="J1631" s="8" t="n">
        <f aca="false">IF($G1631&lt;&gt;"",$G1631,$B1631)</f>
        <v>4409015</v>
      </c>
      <c r="K1631" s="8" t="str">
        <f aca="false">IF(COUNTIF($M$1:$M$10,$A1631)&gt;0,"Y","N")</f>
        <v>Y</v>
      </c>
    </row>
    <row r="1632" customFormat="false" ht="15" hidden="false" customHeight="true" outlineLevel="0" collapsed="false">
      <c r="A1632" s="8" t="s">
        <v>61</v>
      </c>
      <c r="B1632" s="8" t="s">
        <v>706</v>
      </c>
      <c r="C1632" s="19" t="n">
        <v>0</v>
      </c>
      <c r="D1632" s="19" t="n">
        <v>0</v>
      </c>
      <c r="E1632" s="19" t="n">
        <v>6</v>
      </c>
      <c r="F1632" s="19" t="n">
        <v>180</v>
      </c>
      <c r="G1632" s="8" t="n">
        <f aca="false">IFERROR(INDEX('TRANS'!$B:$B,MATCH($B1632,'TRANS'!$A:$A,0)),IFERROR(INDEX('TRANS'!$B:$B,MATCH(TRIM(SUBSTITUTE($B1632,CHAR(160)," ")),'TRANS'!$D:$D,0)),IFERROR(INDEX('Catalog'!$A:$A,MATCH($B1632,'Catalog'!$B:$B,0)),IFERROR(INDEX('Catalog'!$A:$A,MATCH(TRIM(SUBSTITUTE($B1632,CHAR(160)," ")),'Catalog'!$C:$C,0)),""))))</f>
        <v>4409016</v>
      </c>
      <c r="H1632" s="8" t="str">
        <f aca="false">IFERROR(INDEX('TRANS'!$C:$C,MATCH($B1632,'TRANS'!$A:$A,0)),IFERROR(INDEX('Catalog'!$B:$B,MATCH($G1632,'Catalog'!$A:$A,0)),$B1632))</f>
        <v>808KT-C        טייפ קינזיולוגי</v>
      </c>
      <c r="I1632" s="8" t="str">
        <f aca="false">IF($G1632="","Unmatched","Matched")</f>
        <v>Matched</v>
      </c>
      <c r="J1632" s="8" t="n">
        <f aca="false">IF($G1632&lt;&gt;"",$G1632,$B1632)</f>
        <v>4409016</v>
      </c>
      <c r="K1632" s="8" t="str">
        <f aca="false">IF(COUNTIF($M$1:$M$10,$A1632)&gt;0,"Y","N")</f>
        <v>Y</v>
      </c>
    </row>
    <row r="1633" customFormat="false" ht="15" hidden="false" customHeight="true" outlineLevel="0" collapsed="false">
      <c r="A1633" s="8" t="s">
        <v>61</v>
      </c>
      <c r="B1633" s="8" t="s">
        <v>887</v>
      </c>
      <c r="C1633" s="19" t="n">
        <v>0</v>
      </c>
      <c r="D1633" s="19" t="n">
        <v>0</v>
      </c>
      <c r="E1633" s="19" t="n">
        <v>6</v>
      </c>
      <c r="F1633" s="19" t="n">
        <v>180</v>
      </c>
      <c r="G1633" s="8" t="n">
        <f aca="false">IFERROR(INDEX('TRANS'!$B:$B,MATCH($B1633,'TRANS'!$A:$A,0)),IFERROR(INDEX('TRANS'!$B:$B,MATCH(TRIM(SUBSTITUTE($B1633,CHAR(160)," ")),'TRANS'!$D:$D,0)),IFERROR(INDEX('Catalog'!$A:$A,MATCH($B1633,'Catalog'!$B:$B,0)),IFERROR(INDEX('Catalog'!$A:$A,MATCH(TRIM(SUBSTITUTE($B1633,CHAR(160)," ")),'Catalog'!$C:$C,0)),""))))</f>
        <v>4409014</v>
      </c>
      <c r="H1633" s="8" t="str">
        <f aca="false">IFERROR(INDEX('TRANS'!$C:$C,MATCH($B1633,'TRANS'!$A:$A,0)),IFERROR(INDEX('Catalog'!$B:$B,MATCH($G1633,'Catalog'!$A:$A,0)),$B1633))</f>
        <v>808KT-P        טייפ קינזיולוגי</v>
      </c>
      <c r="I1633" s="8" t="str">
        <f aca="false">IF($G1633="","Unmatched","Matched")</f>
        <v>Matched</v>
      </c>
      <c r="J1633" s="8" t="n">
        <f aca="false">IF($G1633&lt;&gt;"",$G1633,$B1633)</f>
        <v>4409014</v>
      </c>
      <c r="K1633" s="8" t="str">
        <f aca="false">IF(COUNTIF($M$1:$M$10,$A1633)&gt;0,"Y","N")</f>
        <v>Y</v>
      </c>
    </row>
    <row r="1634" customFormat="false" ht="15" hidden="false" customHeight="true" outlineLevel="0" collapsed="false">
      <c r="A1634" s="8" t="s">
        <v>61</v>
      </c>
      <c r="B1634" s="8" t="s">
        <v>717</v>
      </c>
      <c r="C1634" s="19" t="n">
        <v>0</v>
      </c>
      <c r="D1634" s="19" t="n">
        <v>0</v>
      </c>
      <c r="E1634" s="19" t="n">
        <v>1</v>
      </c>
      <c r="F1634" s="19" t="n">
        <v>30.89</v>
      </c>
      <c r="G1634" s="8" t="n">
        <f aca="false">IFERROR(INDEX('TRANS'!$B:$B,MATCH($B1634,'TRANS'!$A:$A,0)),IFERROR(INDEX('TRANS'!$B:$B,MATCH(TRIM(SUBSTITUTE($B1634,CHAR(160)," ")),'TRANS'!$D:$D,0)),IFERROR(INDEX('Catalog'!$A:$A,MATCH($B1634,'Catalog'!$B:$B,0)),IFERROR(INDEX('Catalog'!$A:$A,MATCH(TRIM(SUBSTITUTE($B1634,CHAR(160)," ")),'Catalog'!$C:$C,0)),""))))</f>
        <v>4413500</v>
      </c>
      <c r="H1634" s="8" t="str">
        <f aca="false">IFERROR(INDEX('TRANS'!$C:$C,MATCH($B1634,'TRANS'!$A:$A,0)),IFERROR(INDEX('Catalog'!$B:$B,MATCH($G1634,'Catalog'!$A:$A,0)),$B1634))</f>
        <v>95B L מגן מרפק שחור</v>
      </c>
      <c r="I1634" s="8" t="str">
        <f aca="false">IF($G1634="","Unmatched","Matched")</f>
        <v>Matched</v>
      </c>
      <c r="J1634" s="8" t="n">
        <f aca="false">IF($G1634&lt;&gt;"",$G1634,$B1634)</f>
        <v>4413500</v>
      </c>
      <c r="K1634" s="8" t="str">
        <f aca="false">IF(COUNTIF($M$1:$M$10,$A1634)&gt;0,"Y","N")</f>
        <v>Y</v>
      </c>
    </row>
    <row r="1635" customFormat="false" ht="15" hidden="false" customHeight="true" outlineLevel="0" collapsed="false">
      <c r="A1635" s="8" t="s">
        <v>61</v>
      </c>
      <c r="B1635" s="8" t="s">
        <v>718</v>
      </c>
      <c r="C1635" s="19" t="n">
        <v>0</v>
      </c>
      <c r="D1635" s="19" t="n">
        <v>0</v>
      </c>
      <c r="E1635" s="19" t="n">
        <v>1</v>
      </c>
      <c r="F1635" s="19" t="n">
        <v>30.89</v>
      </c>
      <c r="G1635" s="8" t="n">
        <f aca="false">IFERROR(INDEX('TRANS'!$B:$B,MATCH($B1635,'TRANS'!$A:$A,0)),IFERROR(INDEX('TRANS'!$B:$B,MATCH(TRIM(SUBSTITUTE($B1635,CHAR(160)," ")),'TRANS'!$D:$D,0)),IFERROR(INDEX('Catalog'!$A:$A,MATCH($B1635,'Catalog'!$B:$B,0)),IFERROR(INDEX('Catalog'!$A:$A,MATCH(TRIM(SUBSTITUTE($B1635,CHAR(160)," ")),'Catalog'!$C:$C,0)),""))))</f>
        <v>4413501</v>
      </c>
      <c r="H1635" s="8" t="str">
        <f aca="false">IFERROR(INDEX('TRANS'!$C:$C,MATCH($B1635,'TRANS'!$A:$A,0)),IFERROR(INDEX('Catalog'!$B:$B,MATCH($G1635,'Catalog'!$A:$A,0)),$B1635))</f>
        <v>95B M מגן מרפק שחור</v>
      </c>
      <c r="I1635" s="8" t="str">
        <f aca="false">IF($G1635="","Unmatched","Matched")</f>
        <v>Matched</v>
      </c>
      <c r="J1635" s="8" t="n">
        <f aca="false">IF($G1635&lt;&gt;"",$G1635,$B1635)</f>
        <v>4413501</v>
      </c>
      <c r="K1635" s="8" t="str">
        <f aca="false">IF(COUNTIF($M$1:$M$10,$A1635)&gt;0,"Y","N")</f>
        <v>Y</v>
      </c>
    </row>
    <row r="1636" customFormat="false" ht="15" hidden="false" customHeight="true" outlineLevel="0" collapsed="false">
      <c r="A1636" s="8" t="s">
        <v>61</v>
      </c>
      <c r="B1636" s="8" t="s">
        <v>720</v>
      </c>
      <c r="C1636" s="19" t="n">
        <v>0</v>
      </c>
      <c r="D1636" s="19" t="n">
        <v>0</v>
      </c>
      <c r="E1636" s="19" t="n">
        <v>1</v>
      </c>
      <c r="F1636" s="19" t="n">
        <v>30.89</v>
      </c>
      <c r="G1636" s="8" t="n">
        <f aca="false">IFERROR(INDEX('TRANS'!$B:$B,MATCH($B1636,'TRANS'!$A:$A,0)),IFERROR(INDEX('TRANS'!$B:$B,MATCH(TRIM(SUBSTITUTE($B1636,CHAR(160)," ")),'TRANS'!$D:$D,0)),IFERROR(INDEX('Catalog'!$A:$A,MATCH($B1636,'Catalog'!$B:$B,0)),IFERROR(INDEX('Catalog'!$A:$A,MATCH(TRIM(SUBSTITUTE($B1636,CHAR(160)," ")),'Catalog'!$C:$C,0)),""))))</f>
        <v>4413503</v>
      </c>
      <c r="H1636" s="8" t="str">
        <f aca="false">IFERROR(INDEX('TRANS'!$C:$C,MATCH($B1636,'TRANS'!$A:$A,0)),IFERROR(INDEX('Catalog'!$B:$B,MATCH($G1636,'Catalog'!$A:$A,0)),$B1636))</f>
        <v>95B XL מגן מרפק שחור</v>
      </c>
      <c r="I1636" s="8" t="str">
        <f aca="false">IF($G1636="","Unmatched","Matched")</f>
        <v>Matched</v>
      </c>
      <c r="J1636" s="8" t="n">
        <f aca="false">IF($G1636&lt;&gt;"",$G1636,$B1636)</f>
        <v>4413503</v>
      </c>
      <c r="K1636" s="8" t="str">
        <f aca="false">IF(COUNTIF($M$1:$M$10,$A1636)&gt;0,"Y","N")</f>
        <v>Y</v>
      </c>
    </row>
    <row r="1637" customFormat="false" ht="15" hidden="false" customHeight="true" outlineLevel="0" collapsed="false">
      <c r="A1637" s="8" t="s">
        <v>61</v>
      </c>
      <c r="B1637" s="8" t="s">
        <v>721</v>
      </c>
      <c r="C1637" s="19" t="n">
        <v>0</v>
      </c>
      <c r="D1637" s="19" t="n">
        <v>0</v>
      </c>
      <c r="E1637" s="19" t="n">
        <v>2</v>
      </c>
      <c r="F1637" s="19" t="n">
        <v>61.79</v>
      </c>
      <c r="G1637" s="8" t="n">
        <f aca="false">IFERROR(INDEX('TRANS'!$B:$B,MATCH($B1637,'TRANS'!$A:$A,0)),IFERROR(INDEX('TRANS'!$B:$B,MATCH(TRIM(SUBSTITUTE($B1637,CHAR(160)," ")),'TRANS'!$D:$D,0)),IFERROR(INDEX('Catalog'!$A:$A,MATCH($B1637,'Catalog'!$B:$B,0)),IFERROR(INDEX('Catalog'!$A:$A,MATCH(TRIM(SUBSTITUTE($B1637,CHAR(160)," ")),'Catalog'!$C:$C,0)),""))))</f>
        <v>4413365</v>
      </c>
      <c r="H1637" s="8" t="str">
        <f aca="false">IFERROR(INDEX('TRANS'!$C:$C,MATCH($B1637,'TRANS'!$A:$A,0)),IFERROR(INDEX('Catalog'!$B:$B,MATCH($G1637,'Catalog'!$A:$A,0)),$B1637))</f>
        <v>95C L 'מגן מרפק בז</v>
      </c>
      <c r="I1637" s="8" t="str">
        <f aca="false">IF($G1637="","Unmatched","Matched")</f>
        <v>Matched</v>
      </c>
      <c r="J1637" s="8" t="n">
        <f aca="false">IF($G1637&lt;&gt;"",$G1637,$B1637)</f>
        <v>4413365</v>
      </c>
      <c r="K1637" s="8" t="str">
        <f aca="false">IF(COUNTIF($M$1:$M$10,$A1637)&gt;0,"Y","N")</f>
        <v>Y</v>
      </c>
    </row>
    <row r="1638" customFormat="false" ht="15" hidden="false" customHeight="true" outlineLevel="0" collapsed="false">
      <c r="A1638" s="8" t="s">
        <v>61</v>
      </c>
      <c r="B1638" s="8" t="s">
        <v>722</v>
      </c>
      <c r="C1638" s="19" t="n">
        <v>0</v>
      </c>
      <c r="D1638" s="19" t="n">
        <v>0</v>
      </c>
      <c r="E1638" s="19" t="n">
        <v>1</v>
      </c>
      <c r="F1638" s="19" t="n">
        <v>30.89</v>
      </c>
      <c r="G1638" s="8" t="n">
        <f aca="false">IFERROR(INDEX('TRANS'!$B:$B,MATCH($B1638,'TRANS'!$A:$A,0)),IFERROR(INDEX('TRANS'!$B:$B,MATCH(TRIM(SUBSTITUTE($B1638,CHAR(160)," ")),'TRANS'!$D:$D,0)),IFERROR(INDEX('Catalog'!$A:$A,MATCH($B1638,'Catalog'!$B:$B,0)),IFERROR(INDEX('Catalog'!$A:$A,MATCH(TRIM(SUBSTITUTE($B1638,CHAR(160)," ")),'Catalog'!$C:$C,0)),""))))</f>
        <v>4413364</v>
      </c>
      <c r="H1638" s="8" t="str">
        <f aca="false">IFERROR(INDEX('TRANS'!$C:$C,MATCH($B1638,'TRANS'!$A:$A,0)),IFERROR(INDEX('Catalog'!$B:$B,MATCH($G1638,'Catalog'!$A:$A,0)),$B1638))</f>
        <v>95C M 'מגן מרפק בז</v>
      </c>
      <c r="I1638" s="8" t="str">
        <f aca="false">IF($G1638="","Unmatched","Matched")</f>
        <v>Matched</v>
      </c>
      <c r="J1638" s="8" t="n">
        <f aca="false">IF($G1638&lt;&gt;"",$G1638,$B1638)</f>
        <v>4413364</v>
      </c>
      <c r="K1638" s="8" t="str">
        <f aca="false">IF(COUNTIF($M$1:$M$10,$A1638)&gt;0,"Y","N")</f>
        <v>Y</v>
      </c>
    </row>
    <row r="1639" customFormat="false" ht="15" hidden="false" customHeight="true" outlineLevel="0" collapsed="false">
      <c r="A1639" s="8" t="s">
        <v>61</v>
      </c>
      <c r="B1639" s="8" t="s">
        <v>840</v>
      </c>
      <c r="C1639" s="19" t="n">
        <v>0</v>
      </c>
      <c r="D1639" s="19" t="n">
        <v>0</v>
      </c>
      <c r="E1639" s="19" t="n">
        <v>1</v>
      </c>
      <c r="F1639" s="19" t="n">
        <v>30.89</v>
      </c>
      <c r="G1639" s="8" t="n">
        <f aca="false">IFERROR(INDEX('TRANS'!$B:$B,MATCH($B1639,'TRANS'!$A:$A,0)),IFERROR(INDEX('TRANS'!$B:$B,MATCH(TRIM(SUBSTITUTE($B1639,CHAR(160)," ")),'TRANS'!$D:$D,0)),IFERROR(INDEX('Catalog'!$A:$A,MATCH($B1639,'Catalog'!$B:$B,0)),IFERROR(INDEX('Catalog'!$A:$A,MATCH(TRIM(SUBSTITUTE($B1639,CHAR(160)," ")),'Catalog'!$C:$C,0)),""))))</f>
        <v>4413367</v>
      </c>
      <c r="H1639" s="8" t="str">
        <f aca="false">IFERROR(INDEX('TRANS'!$C:$C,MATCH($B1639,'TRANS'!$A:$A,0)),IFERROR(INDEX('Catalog'!$B:$B,MATCH($G1639,'Catalog'!$A:$A,0)),$B1639))</f>
        <v>95C XL'מגן מרפק בז</v>
      </c>
      <c r="I1639" s="8" t="str">
        <f aca="false">IF($G1639="","Unmatched","Matched")</f>
        <v>Matched</v>
      </c>
      <c r="J1639" s="8" t="n">
        <f aca="false">IF($G1639&lt;&gt;"",$G1639,$B1639)</f>
        <v>4413367</v>
      </c>
      <c r="K1639" s="8" t="str">
        <f aca="false">IF(COUNTIF($M$1:$M$10,$A1639)&gt;0,"Y","N")</f>
        <v>Y</v>
      </c>
    </row>
    <row r="1640" customFormat="false" ht="15" hidden="false" customHeight="true" outlineLevel="0" collapsed="false">
      <c r="A1640" s="8" t="s">
        <v>61</v>
      </c>
      <c r="B1640" s="8" t="s">
        <v>770</v>
      </c>
      <c r="C1640" s="19" t="n">
        <v>0</v>
      </c>
      <c r="D1640" s="19" t="n">
        <v>0</v>
      </c>
      <c r="E1640" s="19" t="n">
        <v>2</v>
      </c>
      <c r="F1640" s="19" t="n">
        <v>93.6</v>
      </c>
      <c r="G1640" s="8" t="n">
        <f aca="false">IFERROR(INDEX('TRANS'!$B:$B,MATCH($B1640,'TRANS'!$A:$A,0)),IFERROR(INDEX('TRANS'!$B:$B,MATCH(TRIM(SUBSTITUTE($B1640,CHAR(160)," ")),'TRANS'!$D:$D,0)),IFERROR(INDEX('Catalog'!$A:$A,MATCH($B1640,'Catalog'!$B:$B,0)),IFERROR(INDEX('Catalog'!$A:$A,MATCH(TRIM(SUBSTITUTE($B1640,CHAR(160)," ")),'Catalog'!$C:$C,0)),""))))</f>
        <v>4408098</v>
      </c>
      <c r="H1640" s="8" t="str">
        <f aca="false">IFERROR(INDEX('TRANS'!$C:$C,MATCH($B1640,'TRANS'!$A:$A,0)),IFERROR(INDEX('Catalog'!$B:$B,MATCH($G1640,'Catalog'!$A:$A,0)),$B1640))</f>
        <v>T25-חבק יד אגודלי</v>
      </c>
      <c r="I1640" s="8" t="str">
        <f aca="false">IF($G1640="","Unmatched","Matched")</f>
        <v>Matched</v>
      </c>
      <c r="J1640" s="8" t="n">
        <f aca="false">IF($G1640&lt;&gt;"",$G1640,$B1640)</f>
        <v>4408098</v>
      </c>
      <c r="K1640" s="8" t="str">
        <f aca="false">IF(COUNTIF($M$1:$M$10,$A1640)&gt;0,"Y","N")</f>
        <v>Y</v>
      </c>
    </row>
    <row r="1641" customFormat="false" ht="15" hidden="false" customHeight="true" outlineLevel="0" collapsed="false">
      <c r="A1641" s="8" t="s">
        <v>61</v>
      </c>
      <c r="B1641" s="8" t="s">
        <v>848</v>
      </c>
      <c r="C1641" s="19" t="n">
        <v>0</v>
      </c>
      <c r="D1641" s="19" t="n">
        <v>0</v>
      </c>
      <c r="E1641" s="19" t="n">
        <v>2</v>
      </c>
      <c r="F1641" s="19" t="n">
        <v>93.65</v>
      </c>
      <c r="G1641" s="8" t="n">
        <f aca="false">IFERROR(INDEX('TRANS'!$B:$B,MATCH($B1641,'TRANS'!$A:$A,0)),IFERROR(INDEX('TRANS'!$B:$B,MATCH(TRIM(SUBSTITUTE($B1641,CHAR(160)," ")),'TRANS'!$D:$D,0)),IFERROR(INDEX('Catalog'!$A:$A,MATCH($B1641,'Catalog'!$B:$B,0)),IFERROR(INDEX('Catalog'!$A:$A,MATCH(TRIM(SUBSTITUTE($B1641,CHAR(160)," ")),'Catalog'!$C:$C,0)),""))))</f>
        <v>4408264</v>
      </c>
      <c r="H1641" s="8" t="str">
        <f aca="false">IFERROR(INDEX('TRANS'!$C:$C,MATCH($B1641,'TRANS'!$A:$A,0)),IFERROR(INDEX('Catalog'!$B:$B,MATCH($G1641,'Catalog'!$A:$A,0)),$B1641))</f>
        <v>T25B   חבק יד אגודלי</v>
      </c>
      <c r="I1641" s="8" t="str">
        <f aca="false">IF($G1641="","Unmatched","Matched")</f>
        <v>Matched</v>
      </c>
      <c r="J1641" s="8" t="n">
        <f aca="false">IF($G1641&lt;&gt;"",$G1641,$B1641)</f>
        <v>4408264</v>
      </c>
      <c r="K1641" s="8" t="str">
        <f aca="false">IF(COUNTIF($M$1:$M$10,$A1641)&gt;0,"Y","N")</f>
        <v>Y</v>
      </c>
    </row>
    <row r="1642" customFormat="false" ht="15" hidden="false" customHeight="true" outlineLevel="0" collapsed="false">
      <c r="A1642" s="8" t="s">
        <v>61</v>
      </c>
      <c r="B1642" s="8" t="s">
        <v>904</v>
      </c>
      <c r="C1642" s="19" t="n">
        <v>0</v>
      </c>
      <c r="D1642" s="19" t="n">
        <v>0</v>
      </c>
      <c r="E1642" s="19" t="n">
        <v>2</v>
      </c>
      <c r="F1642" s="19" t="n">
        <v>93.65</v>
      </c>
      <c r="G1642" s="8" t="n">
        <f aca="false">IFERROR(INDEX('TRANS'!$B:$B,MATCH($B1642,'TRANS'!$A:$A,0)),IFERROR(INDEX('TRANS'!$B:$B,MATCH(TRIM(SUBSTITUTE($B1642,CHAR(160)," ")),'TRANS'!$D:$D,0)),IFERROR(INDEX('Catalog'!$A:$A,MATCH($B1642,'Catalog'!$B:$B,0)),IFERROR(INDEX('Catalog'!$A:$A,MATCH(TRIM(SUBSTITUTE($B1642,CHAR(160)," ")),'Catalog'!$C:$C,0)),""))))</f>
        <v>4408099</v>
      </c>
      <c r="H1642" s="8" t="str">
        <f aca="false">IFERROR(INDEX('TRANS'!$C:$C,MATCH($B1642,'TRANS'!$A:$A,0)),IFERROR(INDEX('Catalog'!$B:$B,MATCH($G1642,'Catalog'!$A:$A,0)),$B1642))</f>
        <v>T25C-חבק יד אגודלי</v>
      </c>
      <c r="I1642" s="8" t="str">
        <f aca="false">IF($G1642="","Unmatched","Matched")</f>
        <v>Matched</v>
      </c>
      <c r="J1642" s="8" t="n">
        <f aca="false">IF($G1642&lt;&gt;"",$G1642,$B1642)</f>
        <v>4408099</v>
      </c>
      <c r="K1642" s="8" t="str">
        <f aca="false">IF(COUNTIF($M$1:$M$10,$A1642)&gt;0,"Y","N")</f>
        <v>Y</v>
      </c>
    </row>
    <row r="1643" customFormat="false" ht="15" hidden="false" customHeight="true" outlineLevel="0" collapsed="false">
      <c r="A1643" s="8" t="s">
        <v>95</v>
      </c>
      <c r="B1643" s="8" t="s">
        <v>920</v>
      </c>
      <c r="C1643" s="19" t="n">
        <v>0</v>
      </c>
      <c r="D1643" s="19" t="n">
        <v>0</v>
      </c>
      <c r="E1643" s="19" t="n">
        <v>6</v>
      </c>
      <c r="F1643" s="19" t="n">
        <v>510.72</v>
      </c>
      <c r="G1643" s="8" t="n">
        <f aca="false">IFERROR(INDEX('TRANS'!$B:$B,MATCH($B1643,'TRANS'!$A:$A,0)),IFERROR(INDEX('TRANS'!$B:$B,MATCH(TRIM(SUBSTITUTE($B1643,CHAR(160)," ")),'TRANS'!$D:$D,0)),IFERROR(INDEX('Catalog'!$A:$A,MATCH($B1643,'Catalog'!$B:$B,0)),IFERROR(INDEX('Catalog'!$A:$A,MATCH(TRIM(SUBSTITUTE($B1643,CHAR(160)," ")),'Catalog'!$C:$C,0)),""))))</f>
        <v>4413018</v>
      </c>
      <c r="H1643" s="8" t="str">
        <f aca="false">IFERROR(INDEX('TRANS'!$C:$C,MATCH($B1643,'TRANS'!$A:$A,0)),IFERROR(INDEX('Catalog'!$B:$B,MATCH($G1643,'Catalog'!$A:$A,0)),$B1643))</f>
        <v>303 37-38 מדרסי סיליק.לח.סכרת</v>
      </c>
      <c r="I1643" s="8" t="str">
        <f aca="false">IF($G1643="","Unmatched","Matched")</f>
        <v>Matched</v>
      </c>
      <c r="J1643" s="8" t="n">
        <f aca="false">IF($G1643&lt;&gt;"",$G1643,$B1643)</f>
        <v>4413018</v>
      </c>
      <c r="K1643" s="8" t="str">
        <f aca="false">IF(COUNTIF($M$1:$M$10,$A1643)&gt;0,"Y","N")</f>
        <v>Y</v>
      </c>
    </row>
    <row r="1644" customFormat="false" ht="15" hidden="false" customHeight="true" outlineLevel="0" collapsed="false">
      <c r="A1644" s="8" t="s">
        <v>95</v>
      </c>
      <c r="B1644" s="8" t="s">
        <v>126</v>
      </c>
      <c r="C1644" s="19" t="n">
        <v>10</v>
      </c>
      <c r="D1644" s="19" t="n">
        <v>850.41</v>
      </c>
      <c r="E1644" s="19" t="n">
        <v>5</v>
      </c>
      <c r="F1644" s="19" t="n">
        <v>425.6</v>
      </c>
      <c r="G1644" s="8" t="str">
        <f aca="false">IFERROR(INDEX('TRANS'!$B:$B,MATCH($B1644,'TRANS'!$A:$A,0)),IFERROR(INDEX('TRANS'!$B:$B,MATCH(TRIM(SUBSTITUTE($B1644,CHAR(160)," ")),'TRANS'!$D:$D,0)),IFERROR(INDEX('Catalog'!$A:$A,MATCH($B1644,'Catalog'!$B:$B,0)),IFERROR(INDEX('Catalog'!$A:$A,MATCH(TRIM(SUBSTITUTE($B1644,CHAR(160)," ")),'Catalog'!$C:$C,0)),""))))</f>
        <v/>
      </c>
      <c r="H1644" s="8" t="str">
        <f aca="false">IFERROR(INDEX('TRANS'!$C:$C,MATCH($B1644,'TRANS'!$A:$A,0)),IFERROR(INDEX('Catalog'!$B:$B,MATCH($G1644,'Catalog'!$A:$A,0)),$B1644))</f>
        <v>303-39-40</v>
      </c>
      <c r="I1644" s="8" t="str">
        <f aca="false">IF($G1644="","Unmatched","Matched")</f>
        <v>Unmatched</v>
      </c>
      <c r="J1644" s="8" t="str">
        <f aca="false">IF($G1644&lt;&gt;"",$G1644,$B1644)</f>
        <v>303-39-40</v>
      </c>
      <c r="K1644" s="8" t="str">
        <f aca="false">IF(COUNTIF($M$1:$M$10,$A1644)&gt;0,"Y","N")</f>
        <v>Y</v>
      </c>
    </row>
    <row r="1645" customFormat="false" ht="15" hidden="false" customHeight="true" outlineLevel="0" collapsed="false">
      <c r="A1645" s="8" t="s">
        <v>95</v>
      </c>
      <c r="B1645" s="8" t="s">
        <v>921</v>
      </c>
      <c r="C1645" s="19" t="n">
        <v>2</v>
      </c>
      <c r="D1645" s="19" t="n">
        <v>170.08</v>
      </c>
      <c r="E1645" s="19" t="n">
        <v>5</v>
      </c>
      <c r="F1645" s="19" t="n">
        <v>425.6</v>
      </c>
      <c r="G1645" s="8" t="n">
        <f aca="false">IFERROR(INDEX('TRANS'!$B:$B,MATCH($B1645,'TRANS'!$A:$A,0)),IFERROR(INDEX('TRANS'!$B:$B,MATCH(TRIM(SUBSTITUTE($B1645,CHAR(160)," ")),'TRANS'!$D:$D,0)),IFERROR(INDEX('Catalog'!$A:$A,MATCH($B1645,'Catalog'!$B:$B,0)),IFERROR(INDEX('Catalog'!$A:$A,MATCH(TRIM(SUBSTITUTE($B1645,CHAR(160)," ")),'Catalog'!$C:$C,0)),""))))</f>
        <v>4413020</v>
      </c>
      <c r="H1645" s="8" t="str">
        <f aca="false">IFERROR(INDEX('TRANS'!$C:$C,MATCH($B1645,'TRANS'!$A:$A,0)),IFERROR(INDEX('Catalog'!$B:$B,MATCH($G1645,'Catalog'!$A:$A,0)),$B1645))</f>
        <v>303 41-42 מדרסי סיליק.לח.סכרת</v>
      </c>
      <c r="I1645" s="8" t="str">
        <f aca="false">IF($G1645="","Unmatched","Matched")</f>
        <v>Matched</v>
      </c>
      <c r="J1645" s="8" t="n">
        <f aca="false">IF($G1645&lt;&gt;"",$G1645,$B1645)</f>
        <v>4413020</v>
      </c>
      <c r="K1645" s="8" t="str">
        <f aca="false">IF(COUNTIF($M$1:$M$10,$A1645)&gt;0,"Y","N")</f>
        <v>Y</v>
      </c>
    </row>
    <row r="1646" customFormat="false" ht="15" hidden="false" customHeight="true" outlineLevel="0" collapsed="false">
      <c r="A1646" s="8" t="s">
        <v>95</v>
      </c>
      <c r="B1646" s="8" t="s">
        <v>111</v>
      </c>
      <c r="C1646" s="19" t="n">
        <v>6</v>
      </c>
      <c r="D1646" s="19" t="n">
        <v>510.24</v>
      </c>
      <c r="E1646" s="19" t="n">
        <v>4</v>
      </c>
      <c r="F1646" s="19" t="n">
        <v>340.48</v>
      </c>
      <c r="G1646" s="8" t="str">
        <f aca="false">IFERROR(INDEX('TRANS'!$B:$B,MATCH($B1646,'TRANS'!$A:$A,0)),IFERROR(INDEX('TRANS'!$B:$B,MATCH(TRIM(SUBSTITUTE($B1646,CHAR(160)," ")),'TRANS'!$D:$D,0)),IFERROR(INDEX('Catalog'!$A:$A,MATCH($B1646,'Catalog'!$B:$B,0)),IFERROR(INDEX('Catalog'!$A:$A,MATCH(TRIM(SUBSTITUTE($B1646,CHAR(160)," ")),'Catalog'!$C:$C,0)),""))))</f>
        <v/>
      </c>
      <c r="H1646" s="8" t="str">
        <f aca="false">IFERROR(INDEX('TRANS'!$C:$C,MATCH($B1646,'TRANS'!$A:$A,0)),IFERROR(INDEX('Catalog'!$B:$B,MATCH($G1646,'Catalog'!$A:$A,0)),$B1646))</f>
        <v>303-43-44</v>
      </c>
      <c r="I1646" s="8" t="str">
        <f aca="false">IF($G1646="","Unmatched","Matched")</f>
        <v>Unmatched</v>
      </c>
      <c r="J1646" s="8" t="str">
        <f aca="false">IF($G1646&lt;&gt;"",$G1646,$B1646)</f>
        <v>303-43-44</v>
      </c>
      <c r="K1646" s="8" t="str">
        <f aca="false">IF(COUNTIF($M$1:$M$10,$A1646)&gt;0,"Y","N")</f>
        <v>Y</v>
      </c>
    </row>
    <row r="1647" customFormat="false" ht="15" hidden="false" customHeight="true" outlineLevel="0" collapsed="false">
      <c r="A1647" s="8" t="s">
        <v>95</v>
      </c>
      <c r="B1647" s="8" t="s">
        <v>922</v>
      </c>
      <c r="C1647" s="19" t="n">
        <v>2</v>
      </c>
      <c r="D1647" s="19" t="n">
        <v>170.08</v>
      </c>
      <c r="E1647" s="19" t="n">
        <v>5</v>
      </c>
      <c r="F1647" s="19" t="n">
        <v>425.6</v>
      </c>
      <c r="G1647" s="8" t="n">
        <f aca="false">IFERROR(INDEX('TRANS'!$B:$B,MATCH($B1647,'TRANS'!$A:$A,0)),IFERROR(INDEX('TRANS'!$B:$B,MATCH(TRIM(SUBSTITUTE($B1647,CHAR(160)," ")),'TRANS'!$D:$D,0)),IFERROR(INDEX('Catalog'!$A:$A,MATCH($B1647,'Catalog'!$B:$B,0)),IFERROR(INDEX('Catalog'!$A:$A,MATCH(TRIM(SUBSTITUTE($B1647,CHAR(160)," ")),'Catalog'!$C:$C,0)),""))))</f>
        <v>4413022</v>
      </c>
      <c r="H1647" s="8" t="str">
        <f aca="false">IFERROR(INDEX('TRANS'!$C:$C,MATCH($B1647,'TRANS'!$A:$A,0)),IFERROR(INDEX('Catalog'!$B:$B,MATCH($G1647,'Catalog'!$A:$A,0)),$B1647))</f>
        <v>303 45-46 מדרסי סיליק.לח.סכרת</v>
      </c>
      <c r="I1647" s="8" t="str">
        <f aca="false">IF($G1647="","Unmatched","Matched")</f>
        <v>Matched</v>
      </c>
      <c r="J1647" s="8" t="n">
        <f aca="false">IF($G1647&lt;&gt;"",$G1647,$B1647)</f>
        <v>4413022</v>
      </c>
      <c r="K1647" s="8" t="str">
        <f aca="false">IF(COUNTIF($M$1:$M$10,$A1647)&gt;0,"Y","N")</f>
        <v>Y</v>
      </c>
    </row>
    <row r="1648" customFormat="false" ht="15" hidden="false" customHeight="true" outlineLevel="0" collapsed="false">
      <c r="A1648" s="8" t="s">
        <v>95</v>
      </c>
      <c r="B1648" s="8" t="s">
        <v>650</v>
      </c>
      <c r="C1648" s="19" t="n">
        <v>2</v>
      </c>
      <c r="D1648" s="19" t="n">
        <v>156.22</v>
      </c>
      <c r="E1648" s="19" t="n">
        <v>0</v>
      </c>
      <c r="F1648" s="19" t="n">
        <v>0</v>
      </c>
      <c r="G1648" s="8" t="n">
        <f aca="false">IFERROR(INDEX('TRANS'!$B:$B,MATCH($B1648,'TRANS'!$A:$A,0)),IFERROR(INDEX('TRANS'!$B:$B,MATCH(TRIM(SUBSTITUTE($B1648,CHAR(160)," ")),'TRANS'!$D:$D,0)),IFERROR(INDEX('Catalog'!$A:$A,MATCH($B1648,'Catalog'!$B:$B,0)),IFERROR(INDEX('Catalog'!$A:$A,MATCH(TRIM(SUBSTITUTE($B1648,CHAR(160)," ")),'Catalog'!$C:$C,0)),""))))</f>
        <v>4415298</v>
      </c>
      <c r="H1648" s="8" t="str">
        <f aca="false">IFERROR(INDEX('TRANS'!$C:$C,MATCH($B1648,'TRANS'!$A:$A,0)),IFERROR(INDEX('Catalog'!$B:$B,MATCH($G1648,'Catalog'!$A:$A,0)),$B1648))</f>
        <v>388B L סד לילה שחור לבוהן שמאל</v>
      </c>
      <c r="I1648" s="8" t="str">
        <f aca="false">IF($G1648="","Unmatched","Matched")</f>
        <v>Matched</v>
      </c>
      <c r="J1648" s="8" t="n">
        <f aca="false">IF($G1648&lt;&gt;"",$G1648,$B1648)</f>
        <v>4415298</v>
      </c>
      <c r="K1648" s="8" t="str">
        <f aca="false">IF(COUNTIF($M$1:$M$10,$A1648)&gt;0,"Y","N")</f>
        <v>Y</v>
      </c>
    </row>
    <row r="1649" customFormat="false" ht="15" hidden="false" customHeight="true" outlineLevel="0" collapsed="false">
      <c r="A1649" s="8" t="s">
        <v>95</v>
      </c>
      <c r="B1649" s="8" t="s">
        <v>651</v>
      </c>
      <c r="C1649" s="19" t="n">
        <v>2</v>
      </c>
      <c r="D1649" s="19" t="n">
        <v>156.22</v>
      </c>
      <c r="E1649" s="19" t="n">
        <v>1</v>
      </c>
      <c r="F1649" s="19" t="n">
        <v>78.45</v>
      </c>
      <c r="G1649" s="8" t="n">
        <f aca="false">IFERROR(INDEX('TRANS'!$B:$B,MATCH($B1649,'TRANS'!$A:$A,0)),IFERROR(INDEX('TRANS'!$B:$B,MATCH(TRIM(SUBSTITUTE($B1649,CHAR(160)," ")),'TRANS'!$D:$D,0)),IFERROR(INDEX('Catalog'!$A:$A,MATCH($B1649,'Catalog'!$B:$B,0)),IFERROR(INDEX('Catalog'!$A:$A,MATCH(TRIM(SUBSTITUTE($B1649,CHAR(160)," ")),'Catalog'!$C:$C,0)),""))))</f>
        <v>4415299</v>
      </c>
      <c r="H1649" s="8" t="str">
        <f aca="false">IFERROR(INDEX('TRANS'!$C:$C,MATCH($B1649,'TRANS'!$A:$A,0)),IFERROR(INDEX('Catalog'!$B:$B,MATCH($G1649,'Catalog'!$A:$A,0)),$B1649))</f>
        <v>388B L סד לילה שחור לבוהן ימין</v>
      </c>
      <c r="I1649" s="8" t="str">
        <f aca="false">IF($G1649="","Unmatched","Matched")</f>
        <v>Matched</v>
      </c>
      <c r="J1649" s="8" t="n">
        <f aca="false">IF($G1649&lt;&gt;"",$G1649,$B1649)</f>
        <v>4415299</v>
      </c>
      <c r="K1649" s="8" t="str">
        <f aca="false">IF(COUNTIF($M$1:$M$10,$A1649)&gt;0,"Y","N")</f>
        <v>Y</v>
      </c>
    </row>
    <row r="1650" customFormat="false" ht="15" hidden="false" customHeight="true" outlineLevel="0" collapsed="false">
      <c r="A1650" s="8" t="s">
        <v>95</v>
      </c>
      <c r="B1650" s="8" t="s">
        <v>601</v>
      </c>
      <c r="C1650" s="19" t="n">
        <v>0</v>
      </c>
      <c r="D1650" s="19" t="n">
        <v>0</v>
      </c>
      <c r="E1650" s="19" t="n">
        <v>2</v>
      </c>
      <c r="F1650" s="19" t="n">
        <v>221.51</v>
      </c>
      <c r="G1650" s="8" t="n">
        <f aca="false">IFERROR(INDEX('TRANS'!$B:$B,MATCH($B1650,'TRANS'!$A:$A,0)),IFERROR(INDEX('TRANS'!$B:$B,MATCH(TRIM(SUBSTITUTE($B1650,CHAR(160)," ")),'TRANS'!$D:$D,0)),IFERROR(INDEX('Catalog'!$A:$A,MATCH($B1650,'Catalog'!$B:$B,0)),IFERROR(INDEX('Catalog'!$A:$A,MATCH(TRIM(SUBSTITUTE($B1650,CHAR(160)," ")),'Catalog'!$C:$C,0)),""))))</f>
        <v>4416000</v>
      </c>
      <c r="H1650" s="8" t="str">
        <f aca="false">IFERROR(INDEX('TRANS'!$C:$C,MATCH($B1650,'TRANS'!$A:$A,0)),IFERROR(INDEX('Catalog'!$B:$B,MATCH($G1650,'Catalog'!$A:$A,0)),$B1650))</f>
        <v>307 L עקבים לדורבן-זוג כריות</v>
      </c>
      <c r="I1650" s="8" t="str">
        <f aca="false">IF($G1650="","Unmatched","Matched")</f>
        <v>Matched</v>
      </c>
      <c r="J1650" s="8" t="n">
        <f aca="false">IF($G1650&lt;&gt;"",$G1650,$B1650)</f>
        <v>4416000</v>
      </c>
      <c r="K1650" s="8" t="str">
        <f aca="false">IF(COUNTIF($M$1:$M$10,$A1650)&gt;0,"Y","N")</f>
        <v>Y</v>
      </c>
    </row>
    <row r="1651" customFormat="false" ht="15" hidden="false" customHeight="true" outlineLevel="0" collapsed="false">
      <c r="A1651" s="8" t="s">
        <v>95</v>
      </c>
      <c r="B1651" s="8" t="s">
        <v>605</v>
      </c>
      <c r="C1651" s="19" t="n">
        <v>11</v>
      </c>
      <c r="D1651" s="19" t="n">
        <v>225.31</v>
      </c>
      <c r="E1651" s="19" t="n">
        <v>2</v>
      </c>
      <c r="F1651" s="19" t="n">
        <v>49.88</v>
      </c>
      <c r="G1651" s="8" t="n">
        <f aca="false">IFERROR(INDEX('TRANS'!$B:$B,MATCH($B1651,'TRANS'!$A:$A,0)),IFERROR(INDEX('TRANS'!$B:$B,MATCH(TRIM(SUBSTITUTE($B1651,CHAR(160)," ")),'TRANS'!$D:$D,0)),IFERROR(INDEX('Catalog'!$A:$A,MATCH($B1651,'Catalog'!$B:$B,0)),IFERROR(INDEX('Catalog'!$A:$A,MATCH(TRIM(SUBSTITUTE($B1651,CHAR(160)," ")),'Catalog'!$C:$C,0)),""))))</f>
        <v>4413033</v>
      </c>
      <c r="H1651" s="8" t="str">
        <f aca="false">IFERROR(INDEX('TRANS'!$C:$C,MATCH($B1651,'TRANS'!$A:$A,0)),IFERROR(INDEX('Catalog'!$B:$B,MATCH($G1651,'Catalog'!$A:$A,0)),$B1651))</f>
        <v>311'מדב.ג'ל למניעת שפשוף 5 יח</v>
      </c>
      <c r="I1651" s="8" t="str">
        <f aca="false">IF($G1651="","Unmatched","Matched")</f>
        <v>Matched</v>
      </c>
      <c r="J1651" s="8" t="n">
        <f aca="false">IF($G1651&lt;&gt;"",$G1651,$B1651)</f>
        <v>4413033</v>
      </c>
      <c r="K1651" s="8" t="str">
        <f aca="false">IF(COUNTIF($M$1:$M$10,$A1651)&gt;0,"Y","N")</f>
        <v>Y</v>
      </c>
    </row>
    <row r="1652" customFormat="false" ht="15" hidden="false" customHeight="true" outlineLevel="0" collapsed="false">
      <c r="A1652" s="8" t="s">
        <v>95</v>
      </c>
      <c r="B1652" s="8" t="s">
        <v>609</v>
      </c>
      <c r="C1652" s="19" t="n">
        <v>0</v>
      </c>
      <c r="D1652" s="19" t="n">
        <v>0</v>
      </c>
      <c r="E1652" s="19" t="n">
        <v>2</v>
      </c>
      <c r="F1652" s="19" t="n">
        <v>41.9</v>
      </c>
      <c r="G1652" s="8" t="n">
        <f aca="false">IFERROR(INDEX('TRANS'!$B:$B,MATCH($B1652,'TRANS'!$A:$A,0)),IFERROR(INDEX('TRANS'!$B:$B,MATCH(TRIM(SUBSTITUTE($B1652,CHAR(160)," ")),'TRANS'!$D:$D,0)),IFERROR(INDEX('Catalog'!$A:$A,MATCH($B1652,'Catalog'!$B:$B,0)),IFERROR(INDEX('Catalog'!$A:$A,MATCH(TRIM(SUBSTITUTE($B1652,CHAR(160)," ")),'Catalog'!$C:$C,0)),""))))</f>
        <v>4402007</v>
      </c>
      <c r="H1652" s="8" t="str">
        <f aca="false">IFERROR(INDEX('TRANS'!$C:$C,MATCH($B1652,'TRANS'!$A:$A,0)),IFERROR(INDEX('Catalog'!$B:$B,MATCH($G1652,'Catalog'!$A:$A,0)),$B1652))</f>
        <v>320 בליסטר פלסטר</v>
      </c>
      <c r="I1652" s="8" t="str">
        <f aca="false">IF($G1652="","Unmatched","Matched")</f>
        <v>Matched</v>
      </c>
      <c r="J1652" s="8" t="n">
        <f aca="false">IF($G1652&lt;&gt;"",$G1652,$B1652)</f>
        <v>4402007</v>
      </c>
      <c r="K1652" s="8" t="str">
        <f aca="false">IF(COUNTIF($M$1:$M$10,$A1652)&gt;0,"Y","N")</f>
        <v>Y</v>
      </c>
    </row>
    <row r="1653" customFormat="false" ht="15" hidden="false" customHeight="true" outlineLevel="0" collapsed="false">
      <c r="A1653" s="8" t="s">
        <v>95</v>
      </c>
      <c r="B1653" s="8" t="s">
        <v>627</v>
      </c>
      <c r="C1653" s="19" t="n">
        <v>1</v>
      </c>
      <c r="D1653" s="19" t="n">
        <v>34.95</v>
      </c>
      <c r="E1653" s="19" t="n">
        <v>0</v>
      </c>
      <c r="F1653" s="19" t="n">
        <v>0</v>
      </c>
      <c r="G1653" s="8" t="n">
        <f aca="false">IFERROR(INDEX('TRANS'!$B:$B,MATCH($B1653,'TRANS'!$A:$A,0)),IFERROR(INDEX('TRANS'!$B:$B,MATCH(TRIM(SUBSTITUTE($B1653,CHAR(160)," ")),'TRANS'!$D:$D,0)),IFERROR(INDEX('Catalog'!$A:$A,MATCH($B1653,'Catalog'!$B:$B,0)),IFERROR(INDEX('Catalog'!$A:$A,MATCH(TRIM(SUBSTITUTE($B1653,CHAR(160)," ")),'Catalog'!$C:$C,0)),""))))</f>
        <v>4413058</v>
      </c>
      <c r="H1653" s="8" t="str">
        <f aca="false">IFERROR(INDEX('TRANS'!$C:$C,MATCH($B1653,'TRANS'!$A:$A,0)),IFERROR(INDEX('Catalog'!$B:$B,MATCH($G1653,'Catalog'!$A:$A,0)),$B1653))</f>
        <v>3622S מדבקה לשחרור לחץ 2 יח</v>
      </c>
      <c r="I1653" s="8" t="str">
        <f aca="false">IF($G1653="","Unmatched","Matched")</f>
        <v>Matched</v>
      </c>
      <c r="J1653" s="8" t="n">
        <f aca="false">IF($G1653&lt;&gt;"",$G1653,$B1653)</f>
        <v>4413058</v>
      </c>
      <c r="K1653" s="8" t="str">
        <f aca="false">IF(COUNTIF($M$1:$M$10,$A1653)&gt;0,"Y","N")</f>
        <v>Y</v>
      </c>
    </row>
    <row r="1654" customFormat="false" ht="15" hidden="false" customHeight="true" outlineLevel="0" collapsed="false">
      <c r="A1654" s="8" t="s">
        <v>95</v>
      </c>
      <c r="B1654" s="8" t="s">
        <v>628</v>
      </c>
      <c r="C1654" s="19" t="n">
        <v>0</v>
      </c>
      <c r="D1654" s="19" t="n">
        <v>0</v>
      </c>
      <c r="E1654" s="19" t="n">
        <v>6</v>
      </c>
      <c r="F1654" s="19" t="n">
        <v>182.7</v>
      </c>
      <c r="G1654" s="8" t="n">
        <f aca="false">IFERROR(INDEX('TRANS'!$B:$B,MATCH($B1654,'TRANS'!$A:$A,0)),IFERROR(INDEX('TRANS'!$B:$B,MATCH(TRIM(SUBSTITUTE($B1654,CHAR(160)," ")),'TRANS'!$D:$D,0)),IFERROR(INDEX('Catalog'!$A:$A,MATCH($B1654,'Catalog'!$B:$B,0)),IFERROR(INDEX('Catalog'!$A:$A,MATCH(TRIM(SUBSTITUTE($B1654,CHAR(160)," ")),'Catalog'!$C:$C,0)),""))))</f>
        <v>4411001</v>
      </c>
      <c r="H1654" s="8" t="str">
        <f aca="false">IFERROR(INDEX('TRANS'!$C:$C,MATCH($B1654,'TRANS'!$A:$A,0)),IFERROR(INDEX('Catalog'!$B:$B,MATCH($G1654,'Catalog'!$A:$A,0)),$B1654))</f>
        <v>3623 כרית ליישור אצבע פטיש</v>
      </c>
      <c r="I1654" s="8" t="str">
        <f aca="false">IF($G1654="","Unmatched","Matched")</f>
        <v>Matched</v>
      </c>
      <c r="J1654" s="8" t="n">
        <f aca="false">IF($G1654&lt;&gt;"",$G1654,$B1654)</f>
        <v>4411001</v>
      </c>
      <c r="K1654" s="8" t="str">
        <f aca="false">IF(COUNTIF($M$1:$M$10,$A1654)&gt;0,"Y","N")</f>
        <v>Y</v>
      </c>
    </row>
    <row r="1655" customFormat="false" ht="15" hidden="false" customHeight="true" outlineLevel="0" collapsed="false">
      <c r="A1655" s="8" t="s">
        <v>95</v>
      </c>
      <c r="B1655" s="8" t="s">
        <v>59</v>
      </c>
      <c r="C1655" s="19" t="n">
        <v>14</v>
      </c>
      <c r="D1655" s="19" t="n">
        <v>401.15</v>
      </c>
      <c r="E1655" s="19" t="n">
        <v>18</v>
      </c>
      <c r="F1655" s="19" t="n">
        <v>584.05</v>
      </c>
      <c r="G1655" s="8" t="str">
        <f aca="false">IFERROR(INDEX('TRANS'!$B:$B,MATCH($B1655,'TRANS'!$A:$A,0)),IFERROR(INDEX('TRANS'!$B:$B,MATCH(TRIM(SUBSTITUTE($B1655,CHAR(160)," ")),'TRANS'!$D:$D,0)),IFERROR(INDEX('Catalog'!$A:$A,MATCH($B1655,'Catalog'!$B:$B,0)),IFERROR(INDEX('Catalog'!$A:$A,MATCH(TRIM(SUBSTITUTE($B1655,CHAR(160)," ")),'Catalog'!$C:$C,0)),""))))</f>
        <v/>
      </c>
      <c r="H1655" s="8" t="str">
        <f aca="false">IFERROR(INDEX('TRANS'!$C:$C,MATCH($B1655,'TRANS'!$A:$A,0)),IFERROR(INDEX('Catalog'!$B:$B,MATCH($G1655,'Catalog'!$A:$A,0)),$B1655))</f>
        <v>363 L/R</v>
      </c>
      <c r="I1655" s="8" t="str">
        <f aca="false">IF($G1655="","Unmatched","Matched")</f>
        <v>Unmatched</v>
      </c>
      <c r="J1655" s="8" t="str">
        <f aca="false">IF($G1655&lt;&gt;"",$G1655,$B1655)</f>
        <v>363 L/R</v>
      </c>
      <c r="K1655" s="8" t="str">
        <f aca="false">IF(COUNTIF($M$1:$M$10,$A1655)&gt;0,"Y","N")</f>
        <v>Y</v>
      </c>
    </row>
    <row r="1656" customFormat="false" ht="15" hidden="false" customHeight="true" outlineLevel="0" collapsed="false">
      <c r="A1656" s="8" t="s">
        <v>95</v>
      </c>
      <c r="B1656" s="8" t="s">
        <v>629</v>
      </c>
      <c r="C1656" s="19" t="n">
        <v>7</v>
      </c>
      <c r="D1656" s="19" t="n">
        <v>122.48</v>
      </c>
      <c r="E1656" s="19" t="n">
        <v>4</v>
      </c>
      <c r="F1656" s="19" t="n">
        <v>61.79</v>
      </c>
      <c r="G1656" s="8" t="n">
        <f aca="false">IFERROR(INDEX('TRANS'!$B:$B,MATCH($B1656,'TRANS'!$A:$A,0)),IFERROR(INDEX('TRANS'!$B:$B,MATCH(TRIM(SUBSTITUTE($B1656,CHAR(160)," ")),'TRANS'!$D:$D,0)),IFERROR(INDEX('Catalog'!$A:$A,MATCH($B1656,'Catalog'!$B:$B,0)),IFERROR(INDEX('Catalog'!$A:$A,MATCH(TRIM(SUBSTITUTE($B1656,CHAR(160)," ")),'Catalog'!$C:$C,0)),""))))</f>
        <v>4413059</v>
      </c>
      <c r="H1656" s="8" t="str">
        <f aca="false">IFERROR(INDEX('TRANS'!$C:$C,MATCH($B1656,'TRANS'!$A:$A,0)),IFERROR(INDEX('Catalog'!$B:$B,MATCH($G1656,'Catalog'!$A:$A,0)),$B1656))</f>
        <v>364S Lמפר.אצבע סיליק. ליבל.זוג</v>
      </c>
      <c r="I1656" s="8" t="str">
        <f aca="false">IF($G1656="","Unmatched","Matched")</f>
        <v>Matched</v>
      </c>
      <c r="J1656" s="8" t="n">
        <f aca="false">IF($G1656&lt;&gt;"",$G1656,$B1656)</f>
        <v>4413059</v>
      </c>
      <c r="K1656" s="8" t="str">
        <f aca="false">IF(COUNTIF($M$1:$M$10,$A1656)&gt;0,"Y","N")</f>
        <v>Y</v>
      </c>
    </row>
    <row r="1657" customFormat="false" ht="15" hidden="false" customHeight="true" outlineLevel="0" collapsed="false">
      <c r="A1657" s="8" t="s">
        <v>95</v>
      </c>
      <c r="B1657" s="8" t="s">
        <v>630</v>
      </c>
      <c r="C1657" s="19" t="n">
        <v>1</v>
      </c>
      <c r="D1657" s="19" t="n">
        <v>19.31</v>
      </c>
      <c r="E1657" s="19" t="n">
        <v>0</v>
      </c>
      <c r="F1657" s="19" t="n">
        <v>0</v>
      </c>
      <c r="G1657" s="8" t="n">
        <f aca="false">IFERROR(INDEX('TRANS'!$B:$B,MATCH($B1657,'TRANS'!$A:$A,0)),IFERROR(INDEX('TRANS'!$B:$B,MATCH(TRIM(SUBSTITUTE($B1657,CHAR(160)," ")),'TRANS'!$D:$D,0)),IFERROR(INDEX('Catalog'!$A:$A,MATCH($B1657,'Catalog'!$B:$B,0)),IFERROR(INDEX('Catalog'!$A:$A,MATCH(TRIM(SUBSTITUTE($B1657,CHAR(160)," ")),'Catalog'!$C:$C,0)),""))))</f>
        <v>4413060</v>
      </c>
      <c r="H1657" s="8" t="str">
        <f aca="false">IFERROR(INDEX('TRANS'!$C:$C,MATCH($B1657,'TRANS'!$A:$A,0)),IFERROR(INDEX('Catalog'!$B:$B,MATCH($G1657,'Catalog'!$A:$A,0)),$B1657))</f>
        <v>364 XLמפריד אצבע סיליקון ליבלת</v>
      </c>
      <c r="I1657" s="8" t="str">
        <f aca="false">IF($G1657="","Unmatched","Matched")</f>
        <v>Matched</v>
      </c>
      <c r="J1657" s="8" t="n">
        <f aca="false">IF($G1657&lt;&gt;"",$G1657,$B1657)</f>
        <v>4413060</v>
      </c>
      <c r="K1657" s="8" t="str">
        <f aca="false">IF(COUNTIF($M$1:$M$10,$A1657)&gt;0,"Y","N")</f>
        <v>Y</v>
      </c>
    </row>
    <row r="1658" customFormat="false" ht="15" hidden="false" customHeight="true" outlineLevel="0" collapsed="false">
      <c r="A1658" s="8" t="s">
        <v>95</v>
      </c>
      <c r="B1658" s="8" t="s">
        <v>868</v>
      </c>
      <c r="C1658" s="19" t="n">
        <v>1</v>
      </c>
      <c r="D1658" s="19" t="n">
        <v>18.69</v>
      </c>
      <c r="E1658" s="19" t="n">
        <v>0</v>
      </c>
      <c r="F1658" s="19" t="n">
        <v>0</v>
      </c>
      <c r="G1658" s="8" t="n">
        <f aca="false">IFERROR(INDEX('TRANS'!$B:$B,MATCH($B1658,'TRANS'!$A:$A,0)),IFERROR(INDEX('TRANS'!$B:$B,MATCH(TRIM(SUBSTITUTE($B1658,CHAR(160)," ")),'TRANS'!$D:$D,0)),IFERROR(INDEX('Catalog'!$A:$A,MATCH($B1658,'Catalog'!$B:$B,0)),IFERROR(INDEX('Catalog'!$A:$A,MATCH(TRIM(SUBSTITUTE($B1658,CHAR(160)," ")),'Catalog'!$C:$C,0)),""))))</f>
        <v>4409001</v>
      </c>
      <c r="H1658" s="8" t="str">
        <f aca="false">IFERROR(INDEX('TRANS'!$C:$C,MATCH($B1658,'TRANS'!$A:$A,0)),IFERROR(INDEX('Catalog'!$B:$B,MATCH($G1658,'Catalog'!$A:$A,0)),$B1658))</f>
        <v>365  X-Lטבעת אלסטית מסיליקון</v>
      </c>
      <c r="I1658" s="8" t="str">
        <f aca="false">IF($G1658="","Unmatched","Matched")</f>
        <v>Matched</v>
      </c>
      <c r="J1658" s="8" t="n">
        <f aca="false">IF($G1658&lt;&gt;"",$G1658,$B1658)</f>
        <v>4409001</v>
      </c>
      <c r="K1658" s="8" t="str">
        <f aca="false">IF(COUNTIF($M$1:$M$10,$A1658)&gt;0,"Y","N")</f>
        <v>Y</v>
      </c>
    </row>
    <row r="1659" customFormat="false" ht="15" hidden="false" customHeight="true" outlineLevel="0" collapsed="false">
      <c r="A1659" s="8" t="s">
        <v>95</v>
      </c>
      <c r="B1659" s="8" t="s">
        <v>633</v>
      </c>
      <c r="C1659" s="19" t="n">
        <v>38</v>
      </c>
      <c r="D1659" s="19" t="n">
        <v>849.54</v>
      </c>
      <c r="E1659" s="19" t="n">
        <v>16</v>
      </c>
      <c r="F1659" s="19" t="n">
        <v>339.18</v>
      </c>
      <c r="G1659" s="8" t="n">
        <f aca="false">IFERROR(INDEX('TRANS'!$B:$B,MATCH($B1659,'TRANS'!$A:$A,0)),IFERROR(INDEX('TRANS'!$B:$B,MATCH(TRIM(SUBSTITUTE($B1659,CHAR(160)," ")),'TRANS'!$D:$D,0)),IFERROR(INDEX('Catalog'!$A:$A,MATCH($B1659,'Catalog'!$B:$B,0)),IFERROR(INDEX('Catalog'!$A:$A,MATCH(TRIM(SUBSTITUTE($B1659,CHAR(160)," ")),'Catalog'!$C:$C,0)),""))))</f>
        <v>4421000</v>
      </c>
      <c r="H1659" s="8" t="str">
        <f aca="false">IFERROR(INDEX('TRANS'!$C:$C,MATCH($B1659,'TRANS'!$A:$A,0)),IFERROR(INDEX('Catalog'!$B:$B,MATCH($G1659,'Catalog'!$A:$A,0)),$B1659))</f>
        <v>3655 שרוול מסיליקון לאצבע</v>
      </c>
      <c r="I1659" s="8" t="str">
        <f aca="false">IF($G1659="","Unmatched","Matched")</f>
        <v>Matched</v>
      </c>
      <c r="J1659" s="8" t="n">
        <f aca="false">IF($G1659&lt;&gt;"",$G1659,$B1659)</f>
        <v>4421000</v>
      </c>
      <c r="K1659" s="8" t="str">
        <f aca="false">IF(COUNTIF($M$1:$M$10,$A1659)&gt;0,"Y","N")</f>
        <v>Y</v>
      </c>
    </row>
    <row r="1660" customFormat="false" ht="15" hidden="false" customHeight="true" outlineLevel="0" collapsed="false">
      <c r="A1660" s="8" t="s">
        <v>95</v>
      </c>
      <c r="B1660" s="8" t="s">
        <v>635</v>
      </c>
      <c r="C1660" s="19" t="n">
        <v>4</v>
      </c>
      <c r="D1660" s="19" t="n">
        <v>135.81</v>
      </c>
      <c r="E1660" s="19" t="n">
        <v>6</v>
      </c>
      <c r="F1660" s="19" t="n">
        <v>235.93</v>
      </c>
      <c r="G1660" s="8" t="n">
        <f aca="false">IFERROR(INDEX('TRANS'!$B:$B,MATCH($B1660,'TRANS'!$A:$A,0)),IFERROR(INDEX('TRANS'!$B:$B,MATCH(TRIM(SUBSTITUTE($B1660,CHAR(160)," ")),'TRANS'!$D:$D,0)),IFERROR(INDEX('Catalog'!$A:$A,MATCH($B1660,'Catalog'!$B:$B,0)),IFERROR(INDEX('Catalog'!$A:$A,MATCH(TRIM(SUBSTITUTE($B1660,CHAR(160)," ")),'Catalog'!$C:$C,0)),""))))</f>
        <v>4413307</v>
      </c>
      <c r="H1660" s="8" t="str">
        <f aca="false">IFERROR(INDEX('TRANS'!$C:$C,MATCH($B1660,'TRANS'!$A:$A,0)),IFERROR(INDEX('Catalog'!$B:$B,MATCH($G1660,'Catalog'!$A:$A,0)),$B1660))</f>
        <v>URI 3667 מגן בוניון</v>
      </c>
      <c r="I1660" s="8" t="str">
        <f aca="false">IF($G1660="","Unmatched","Matched")</f>
        <v>Matched</v>
      </c>
      <c r="J1660" s="8" t="n">
        <f aca="false">IF($G1660&lt;&gt;"",$G1660,$B1660)</f>
        <v>4413307</v>
      </c>
      <c r="K1660" s="8" t="str">
        <f aca="false">IF(COUNTIF($M$1:$M$10,$A1660)&gt;0,"Y","N")</f>
        <v>Y</v>
      </c>
    </row>
    <row r="1661" customFormat="false" ht="15" hidden="false" customHeight="true" outlineLevel="0" collapsed="false">
      <c r="A1661" s="8" t="s">
        <v>95</v>
      </c>
      <c r="B1661" s="8" t="s">
        <v>636</v>
      </c>
      <c r="C1661" s="19" t="n">
        <v>8</v>
      </c>
      <c r="D1661" s="19" t="n">
        <v>179.44</v>
      </c>
      <c r="E1661" s="19" t="n">
        <v>8</v>
      </c>
      <c r="F1661" s="19" t="n">
        <v>143.55</v>
      </c>
      <c r="G1661" s="8" t="n">
        <f aca="false">IFERROR(INDEX('TRANS'!$B:$B,MATCH($B1661,'TRANS'!$A:$A,0)),IFERROR(INDEX('TRANS'!$B:$B,MATCH(TRIM(SUBSTITUTE($B1661,CHAR(160)," ")),'TRANS'!$D:$D,0)),IFERROR(INDEX('Catalog'!$A:$A,MATCH($B1661,'Catalog'!$B:$B,0)),IFERROR(INDEX('Catalog'!$A:$A,MATCH(TRIM(SUBSTITUTE($B1661,CHAR(160)," ")),'Catalog'!$C:$C,0)),""))))</f>
        <v>4413063</v>
      </c>
      <c r="H1661" s="8" t="str">
        <f aca="false">IFERROR(INDEX('TRANS'!$C:$C,MATCH($B1661,'TRANS'!$A:$A,0)),IFERROR(INDEX('Catalog'!$B:$B,MATCH($G1661,'Catalog'!$A:$A,0)),$B1661))</f>
        <v>366S-'מדבק.לשחרור לחץ מיבלת2יח</v>
      </c>
      <c r="I1661" s="8" t="str">
        <f aca="false">IF($G1661="","Unmatched","Matched")</f>
        <v>Matched</v>
      </c>
      <c r="J1661" s="8" t="n">
        <f aca="false">IF($G1661&lt;&gt;"",$G1661,$B1661)</f>
        <v>4413063</v>
      </c>
      <c r="K1661" s="8" t="str">
        <f aca="false">IF(COUNTIF($M$1:$M$10,$A1661)&gt;0,"Y","N")</f>
        <v>Y</v>
      </c>
    </row>
    <row r="1662" customFormat="false" ht="15" hidden="false" customHeight="true" outlineLevel="0" collapsed="false">
      <c r="A1662" s="8" t="s">
        <v>95</v>
      </c>
      <c r="B1662" s="8" t="s">
        <v>639</v>
      </c>
      <c r="C1662" s="19" t="n">
        <v>2</v>
      </c>
      <c r="D1662" s="19" t="n">
        <v>64.89</v>
      </c>
      <c r="E1662" s="19" t="n">
        <v>2</v>
      </c>
      <c r="F1662" s="19" t="n">
        <v>81.12</v>
      </c>
      <c r="G1662" s="8" t="n">
        <f aca="false">IFERROR(INDEX('TRANS'!$B:$B,MATCH($B1662,'TRANS'!$A:$A,0)),IFERROR(INDEX('TRANS'!$B:$B,MATCH(TRIM(SUBSTITUTE($B1662,CHAR(160)," ")),'TRANS'!$D:$D,0)),IFERROR(INDEX('Catalog'!$A:$A,MATCH($B1662,'Catalog'!$B:$B,0)),IFERROR(INDEX('Catalog'!$A:$A,MATCH(TRIM(SUBSTITUTE($B1662,CHAR(160)," ")),'Catalog'!$C:$C,0)),""))))</f>
        <v>4413371</v>
      </c>
      <c r="H1662" s="8" t="str">
        <f aca="false">IFERROR(INDEX('TRANS'!$C:$C,MATCH($B1662,'TRANS'!$A:$A,0)),IFERROR(INDEX('Catalog'!$B:$B,MATCH($G1662,'Catalog'!$A:$A,0)),$B1662))</f>
        <v>3675    מגן זרת מסיליקון</v>
      </c>
      <c r="I1662" s="8" t="str">
        <f aca="false">IF($G1662="","Unmatched","Matched")</f>
        <v>Matched</v>
      </c>
      <c r="J1662" s="8" t="n">
        <f aca="false">IF($G1662&lt;&gt;"",$G1662,$B1662)</f>
        <v>4413371</v>
      </c>
      <c r="K1662" s="8" t="str">
        <f aca="false">IF(COUNTIF($M$1:$M$10,$A1662)&gt;0,"Y","N")</f>
        <v>Y</v>
      </c>
    </row>
    <row r="1663" customFormat="false" ht="15" hidden="false" customHeight="true" outlineLevel="0" collapsed="false">
      <c r="A1663" s="8" t="s">
        <v>95</v>
      </c>
      <c r="B1663" s="8" t="s">
        <v>641</v>
      </c>
      <c r="C1663" s="19" t="n">
        <v>0</v>
      </c>
      <c r="D1663" s="19" t="n">
        <v>0</v>
      </c>
      <c r="E1663" s="19" t="n">
        <v>2</v>
      </c>
      <c r="F1663" s="19" t="n">
        <v>55.89</v>
      </c>
      <c r="G1663" s="8" t="n">
        <f aca="false">IFERROR(INDEX('TRANS'!$B:$B,MATCH($B1663,'TRANS'!$A:$A,0)),IFERROR(INDEX('TRANS'!$B:$B,MATCH(TRIM(SUBSTITUTE($B1663,CHAR(160)," ")),'TRANS'!$D:$D,0)),IFERROR(INDEX('Catalog'!$A:$A,MATCH($B1663,'Catalog'!$B:$B,0)),IFERROR(INDEX('Catalog'!$A:$A,MATCH(TRIM(SUBSTITUTE($B1663,CHAR(160)," ")),'Catalog'!$C:$C,0)),""))))</f>
        <v>4401001</v>
      </c>
      <c r="H1663" s="8" t="str">
        <f aca="false">IFERROR(INDEX('TRANS'!$C:$C,MATCH($B1663,'TRANS'!$A:$A,0)),IFERROR(INDEX('Catalog'!$B:$B,MATCH($G1663,'Catalog'!$A:$A,0)),$B1663))</f>
        <v>369   XL אצבעון מסיליקון יחידה</v>
      </c>
      <c r="I1663" s="8" t="str">
        <f aca="false">IF($G1663="","Unmatched","Matched")</f>
        <v>Matched</v>
      </c>
      <c r="J1663" s="8" t="n">
        <f aca="false">IF($G1663&lt;&gt;"",$G1663,$B1663)</f>
        <v>4401001</v>
      </c>
      <c r="K1663" s="8" t="str">
        <f aca="false">IF(COUNTIF($M$1:$M$10,$A1663)&gt;0,"Y","N")</f>
        <v>Y</v>
      </c>
    </row>
    <row r="1664" customFormat="false" ht="15" hidden="false" customHeight="true" outlineLevel="0" collapsed="false">
      <c r="A1664" s="8" t="s">
        <v>95</v>
      </c>
      <c r="B1664" s="8" t="s">
        <v>744</v>
      </c>
      <c r="C1664" s="19" t="n">
        <v>3</v>
      </c>
      <c r="D1664" s="19" t="n">
        <v>80.86</v>
      </c>
      <c r="E1664" s="19" t="n">
        <v>3</v>
      </c>
      <c r="F1664" s="19" t="n">
        <v>101.07</v>
      </c>
      <c r="G1664" s="8" t="n">
        <f aca="false">IFERROR(INDEX('TRANS'!$B:$B,MATCH($B1664,'TRANS'!$A:$A,0)),IFERROR(INDEX('TRANS'!$B:$B,MATCH(TRIM(SUBSTITUTE($B1664,CHAR(160)," ")),'TRANS'!$D:$D,0)),IFERROR(INDEX('Catalog'!$A:$A,MATCH($B1664,'Catalog'!$B:$B,0)),IFERROR(INDEX('Catalog'!$A:$A,MATCH(TRIM(SUBSTITUTE($B1664,CHAR(160)," ")),'Catalog'!$C:$C,0)),""))))</f>
        <v>4417000</v>
      </c>
      <c r="H1664" s="8" t="str">
        <f aca="false">IFERROR(INDEX('TRANS'!$C:$C,MATCH($B1664,'TRANS'!$A:$A,0)),IFERROR(INDEX('Catalog'!$B:$B,MATCH($G1664,'Catalog'!$A:$A,0)),$B1664))</f>
        <v>PD342-פומפיה להסרת עור קשה</v>
      </c>
      <c r="I1664" s="8" t="str">
        <f aca="false">IF($G1664="","Unmatched","Matched")</f>
        <v>Matched</v>
      </c>
      <c r="J1664" s="8" t="n">
        <f aca="false">IF($G1664&lt;&gt;"",$G1664,$B1664)</f>
        <v>4417000</v>
      </c>
      <c r="K1664" s="8" t="str">
        <f aca="false">IF(COUNTIF($M$1:$M$10,$A1664)&gt;0,"Y","N")</f>
        <v>Y</v>
      </c>
    </row>
    <row r="1665" customFormat="false" ht="15" hidden="false" customHeight="true" outlineLevel="0" collapsed="false">
      <c r="A1665" s="8" t="s">
        <v>56</v>
      </c>
      <c r="B1665" s="8" t="s">
        <v>708</v>
      </c>
      <c r="C1665" s="19" t="n">
        <v>1</v>
      </c>
      <c r="D1665" s="19" t="n">
        <v>49</v>
      </c>
      <c r="E1665" s="19" t="n">
        <v>30</v>
      </c>
      <c r="F1665" s="19" t="n">
        <v>1470</v>
      </c>
      <c r="G1665" s="8" t="n">
        <f aca="false">IFERROR(INDEX('TRANS'!$B:$B,MATCH($B1665,'TRANS'!$A:$A,0)),IFERROR(INDEX('TRANS'!$B:$B,MATCH(TRIM(SUBSTITUTE($B1665,CHAR(160)," ")),'TRANS'!$D:$D,0)),IFERROR(INDEX('Catalog'!$A:$A,MATCH($B1665,'Catalog'!$B:$B,0)),IFERROR(INDEX('Catalog'!$A:$A,MATCH(TRIM(SUBSTITUTE($B1665,CHAR(160)," ")),'Catalog'!$C:$C,0)),""))))</f>
        <v>4413135</v>
      </c>
      <c r="H1665" s="8" t="str">
        <f aca="false">IFERROR(INDEX('TRANS'!$C:$C,MATCH($B1665,'TRANS'!$A:$A,0)),IFERROR(INDEX('Catalog'!$B:$B,MATCH($G1665,'Catalog'!$A:$A,0)),$B1665))</f>
        <v>85 L (מתלה ליד )כיס</v>
      </c>
      <c r="I1665" s="8" t="str">
        <f aca="false">IF($G1665="","Unmatched","Matched")</f>
        <v>Matched</v>
      </c>
      <c r="J1665" s="8" t="n">
        <f aca="false">IF($G1665&lt;&gt;"",$G1665,$B1665)</f>
        <v>4413135</v>
      </c>
      <c r="K1665" s="8" t="str">
        <f aca="false">IF(COUNTIF($M$1:$M$10,$A1665)&gt;0,"Y","N")</f>
        <v>Y</v>
      </c>
    </row>
    <row r="1666" customFormat="false" ht="15" hidden="false" customHeight="true" outlineLevel="0" collapsed="false">
      <c r="A1666" s="8" t="s">
        <v>56</v>
      </c>
      <c r="B1666" s="8" t="s">
        <v>709</v>
      </c>
      <c r="C1666" s="19" t="n">
        <v>1</v>
      </c>
      <c r="D1666" s="19" t="n">
        <v>49</v>
      </c>
      <c r="E1666" s="19" t="n">
        <v>25</v>
      </c>
      <c r="F1666" s="19" t="n">
        <v>1225</v>
      </c>
      <c r="G1666" s="8" t="n">
        <f aca="false">IFERROR(INDEX('TRANS'!$B:$B,MATCH($B1666,'TRANS'!$A:$A,0)),IFERROR(INDEX('TRANS'!$B:$B,MATCH(TRIM(SUBSTITUTE($B1666,CHAR(160)," ")),'TRANS'!$D:$D,0)),IFERROR(INDEX('Catalog'!$A:$A,MATCH($B1666,'Catalog'!$B:$B,0)),IFERROR(INDEX('Catalog'!$A:$A,MATCH(TRIM(SUBSTITUTE($B1666,CHAR(160)," ")),'Catalog'!$C:$C,0)),""))))</f>
        <v>4413136</v>
      </c>
      <c r="H1666" s="8" t="str">
        <f aca="false">IFERROR(INDEX('TRANS'!$C:$C,MATCH($B1666,'TRANS'!$A:$A,0)),IFERROR(INDEX('Catalog'!$B:$B,MATCH($G1666,'Catalog'!$A:$A,0)),$B1666))</f>
        <v>85 M (מתלה ליד )כיס</v>
      </c>
      <c r="I1666" s="8" t="str">
        <f aca="false">IF($G1666="","Unmatched","Matched")</f>
        <v>Matched</v>
      </c>
      <c r="J1666" s="8" t="n">
        <f aca="false">IF($G1666&lt;&gt;"",$G1666,$B1666)</f>
        <v>4413136</v>
      </c>
      <c r="K1666" s="8" t="str">
        <f aca="false">IF(COUNTIF($M$1:$M$10,$A1666)&gt;0,"Y","N")</f>
        <v>Y</v>
      </c>
    </row>
    <row r="1667" customFormat="false" ht="15" hidden="false" customHeight="true" outlineLevel="0" collapsed="false">
      <c r="A1667" s="8" t="s">
        <v>56</v>
      </c>
      <c r="B1667" s="8" t="s">
        <v>963</v>
      </c>
      <c r="C1667" s="19" t="n">
        <v>0</v>
      </c>
      <c r="D1667" s="19" t="n">
        <v>0</v>
      </c>
      <c r="E1667" s="19" t="n">
        <v>5</v>
      </c>
      <c r="F1667" s="19" t="n">
        <v>245</v>
      </c>
      <c r="G1667" s="8" t="n">
        <f aca="false">IFERROR(INDEX('TRANS'!$B:$B,MATCH($B1667,'TRANS'!$A:$A,0)),IFERROR(INDEX('TRANS'!$B:$B,MATCH(TRIM(SUBSTITUTE($B1667,CHAR(160)," ")),'TRANS'!$D:$D,0)),IFERROR(INDEX('Catalog'!$A:$A,MATCH($B1667,'Catalog'!$B:$B,0)),IFERROR(INDEX('Catalog'!$A:$A,MATCH(TRIM(SUBSTITUTE($B1667,CHAR(160)," ")),'Catalog'!$C:$C,0)),""))))</f>
        <v>4413137</v>
      </c>
      <c r="H1667" s="8" t="str">
        <f aca="false">IFERROR(INDEX('TRANS'!$C:$C,MATCH($B1667,'TRANS'!$A:$A,0)),IFERROR(INDEX('Catalog'!$B:$B,MATCH($G1667,'Catalog'!$A:$A,0)),$B1667))</f>
        <v>85 S (מתלה ליד )כיס</v>
      </c>
      <c r="I1667" s="8" t="str">
        <f aca="false">IF($G1667="","Unmatched","Matched")</f>
        <v>Matched</v>
      </c>
      <c r="J1667" s="8" t="n">
        <f aca="false">IF($G1667&lt;&gt;"",$G1667,$B1667)</f>
        <v>4413137</v>
      </c>
      <c r="K1667" s="8" t="str">
        <f aca="false">IF(COUNTIF($M$1:$M$10,$A1667)&gt;0,"Y","N")</f>
        <v>Y</v>
      </c>
    </row>
    <row r="1668" customFormat="false" ht="15" hidden="false" customHeight="true" outlineLevel="0" collapsed="false">
      <c r="A1668" s="8" t="s">
        <v>56</v>
      </c>
      <c r="B1668" s="8" t="s">
        <v>710</v>
      </c>
      <c r="C1668" s="19" t="n">
        <v>1</v>
      </c>
      <c r="D1668" s="19" t="n">
        <v>49</v>
      </c>
      <c r="E1668" s="19" t="n">
        <v>10</v>
      </c>
      <c r="F1668" s="19" t="n">
        <v>490</v>
      </c>
      <c r="G1668" s="8" t="n">
        <f aca="false">IFERROR(INDEX('TRANS'!$B:$B,MATCH($B1668,'TRANS'!$A:$A,0)),IFERROR(INDEX('TRANS'!$B:$B,MATCH(TRIM(SUBSTITUTE($B1668,CHAR(160)," ")),'TRANS'!$D:$D,0)),IFERROR(INDEX('Catalog'!$A:$A,MATCH($B1668,'Catalog'!$B:$B,0)),IFERROR(INDEX('Catalog'!$A:$A,MATCH(TRIM(SUBSTITUTE($B1668,CHAR(160)," ")),'Catalog'!$C:$C,0)),""))))</f>
        <v>4413138</v>
      </c>
      <c r="H1668" s="8" t="str">
        <f aca="false">IFERROR(INDEX('TRANS'!$C:$C,MATCH($B1668,'TRANS'!$A:$A,0)),IFERROR(INDEX('Catalog'!$B:$B,MATCH($G1668,'Catalog'!$A:$A,0)),$B1668))</f>
        <v>85 XL (מתלה ליד )כיס</v>
      </c>
      <c r="I1668" s="8" t="str">
        <f aca="false">IF($G1668="","Unmatched","Matched")</f>
        <v>Matched</v>
      </c>
      <c r="J1668" s="8" t="n">
        <f aca="false">IF($G1668&lt;&gt;"",$G1668,$B1668)</f>
        <v>4413138</v>
      </c>
      <c r="K1668" s="8" t="str">
        <f aca="false">IF(COUNTIF($M$1:$M$10,$A1668)&gt;0,"Y","N")</f>
        <v>Y</v>
      </c>
    </row>
    <row r="1669" customFormat="false" ht="15" hidden="false" customHeight="true" outlineLevel="0" collapsed="false">
      <c r="A1669" s="8" t="s">
        <v>56</v>
      </c>
      <c r="B1669" s="8" t="s">
        <v>971</v>
      </c>
      <c r="C1669" s="19" t="n">
        <v>0</v>
      </c>
      <c r="D1669" s="19" t="n">
        <v>0</v>
      </c>
      <c r="E1669" s="19" t="n">
        <v>10</v>
      </c>
      <c r="F1669" s="19" t="n">
        <v>1261.8</v>
      </c>
      <c r="G1669" s="8" t="n">
        <f aca="false">IFERROR(INDEX('TRANS'!$B:$B,MATCH($B1669,'TRANS'!$A:$A,0)),IFERROR(INDEX('TRANS'!$B:$B,MATCH(TRIM(SUBSTITUTE($B1669,CHAR(160)," ")),'TRANS'!$D:$D,0)),IFERROR(INDEX('Catalog'!$A:$A,MATCH($B1669,'Catalog'!$B:$B,0)),IFERROR(INDEX('Catalog'!$A:$A,MATCH(TRIM(SUBSTITUTE($B1669,CHAR(160)," ")),'Catalog'!$C:$C,0)),""))))</f>
        <v>4408090</v>
      </c>
      <c r="H1669" s="8" t="str">
        <f aca="false">IFERROR(INDEX('TRANS'!$C:$C,MATCH($B1669,'TRANS'!$A:$A,0)),IFERROR(INDEX('Catalog'!$B:$B,MATCH($G1669,'Catalog'!$A:$A,0)),$B1669))</f>
        <v>T11C L  חגורת גב פוג'יאמה</v>
      </c>
      <c r="I1669" s="8" t="str">
        <f aca="false">IF($G1669="","Unmatched","Matched")</f>
        <v>Matched</v>
      </c>
      <c r="J1669" s="8" t="n">
        <f aca="false">IF($G1669&lt;&gt;"",$G1669,$B1669)</f>
        <v>4408090</v>
      </c>
      <c r="K1669" s="8" t="str">
        <f aca="false">IF(COUNTIF($M$1:$M$10,$A1669)&gt;0,"Y","N")</f>
        <v>Y</v>
      </c>
    </row>
    <row r="1670" customFormat="false" ht="15" hidden="false" customHeight="true" outlineLevel="0" collapsed="false">
      <c r="A1670" s="8" t="s">
        <v>56</v>
      </c>
      <c r="B1670" s="8" t="s">
        <v>988</v>
      </c>
      <c r="C1670" s="19" t="n">
        <v>10</v>
      </c>
      <c r="D1670" s="19" t="n">
        <v>1260</v>
      </c>
      <c r="E1670" s="19" t="n">
        <v>0</v>
      </c>
      <c r="F1670" s="19" t="n">
        <v>0</v>
      </c>
      <c r="G1670" s="8" t="n">
        <f aca="false">IFERROR(INDEX('TRANS'!$B:$B,MATCH($B1670,'TRANS'!$A:$A,0)),IFERROR(INDEX('TRANS'!$B:$B,MATCH(TRIM(SUBSTITUTE($B1670,CHAR(160)," ")),'TRANS'!$D:$D,0)),IFERROR(INDEX('Catalog'!$A:$A,MATCH($B1670,'Catalog'!$B:$B,0)),IFERROR(INDEX('Catalog'!$A:$A,MATCH(TRIM(SUBSTITUTE($B1670,CHAR(160)," ")),'Catalog'!$C:$C,0)),""))))</f>
        <v>4408091</v>
      </c>
      <c r="H1670" s="8" t="str">
        <f aca="false">IFERROR(INDEX('TRANS'!$C:$C,MATCH($B1670,'TRANS'!$A:$A,0)),IFERROR(INDEX('Catalog'!$B:$B,MATCH($G1670,'Catalog'!$A:$A,0)),$B1670))</f>
        <v>T11C M  חגורת גב פוג'יאמה</v>
      </c>
      <c r="I1670" s="8" t="str">
        <f aca="false">IF($G1670="","Unmatched","Matched")</f>
        <v>Matched</v>
      </c>
      <c r="J1670" s="8" t="n">
        <f aca="false">IF($G1670&lt;&gt;"",$G1670,$B1670)</f>
        <v>4408091</v>
      </c>
      <c r="K1670" s="8" t="str">
        <f aca="false">IF(COUNTIF($M$1:$M$10,$A1670)&gt;0,"Y","N")</f>
        <v>Y</v>
      </c>
    </row>
    <row r="1671" customFormat="false" ht="15" hidden="false" customHeight="true" outlineLevel="0" collapsed="false">
      <c r="A1671" s="8" t="s">
        <v>56</v>
      </c>
      <c r="B1671" s="8" t="s">
        <v>989</v>
      </c>
      <c r="C1671" s="19" t="n">
        <v>0</v>
      </c>
      <c r="D1671" s="19" t="n">
        <v>0</v>
      </c>
      <c r="E1671" s="19" t="n">
        <v>3</v>
      </c>
      <c r="F1671" s="19" t="n">
        <v>478.2</v>
      </c>
      <c r="G1671" s="8" t="n">
        <f aca="false">IFERROR(INDEX('TRANS'!$B:$B,MATCH($B1671,'TRANS'!$A:$A,0)),IFERROR(INDEX('TRANS'!$B:$B,MATCH(TRIM(SUBSTITUTE($B1671,CHAR(160)," ")),'TRANS'!$D:$D,0)),IFERROR(INDEX('Catalog'!$A:$A,MATCH($B1671,'Catalog'!$B:$B,0)),IFERROR(INDEX('Catalog'!$A:$A,MATCH(TRIM(SUBSTITUTE($B1671,CHAR(160)," ")),'Catalog'!$C:$C,0)),""))))</f>
        <v>4408089</v>
      </c>
      <c r="H1671" s="8" t="str">
        <f aca="false">IFERROR(INDEX('TRANS'!$C:$C,MATCH($B1671,'TRANS'!$A:$A,0)),IFERROR(INDEX('Catalog'!$B:$B,MATCH($G1671,'Catalog'!$A:$A,0)),$B1671))</f>
        <v>T11C S  חגורת גב פוג'יאמה</v>
      </c>
      <c r="I1671" s="8" t="str">
        <f aca="false">IF($G1671="","Unmatched","Matched")</f>
        <v>Matched</v>
      </c>
      <c r="J1671" s="8" t="n">
        <f aca="false">IF($G1671&lt;&gt;"",$G1671,$B1671)</f>
        <v>4408089</v>
      </c>
      <c r="K1671" s="8" t="str">
        <f aca="false">IF(COUNTIF($M$1:$M$10,$A1671)&gt;0,"Y","N")</f>
        <v>Y</v>
      </c>
    </row>
    <row r="1672" customFormat="false" ht="15" hidden="false" customHeight="true" outlineLevel="0" collapsed="false">
      <c r="A1672" s="8" t="s">
        <v>56</v>
      </c>
      <c r="B1672" s="8" t="s">
        <v>766</v>
      </c>
      <c r="C1672" s="19" t="n">
        <v>0</v>
      </c>
      <c r="D1672" s="19" t="n">
        <v>0</v>
      </c>
      <c r="E1672" s="19" t="n">
        <v>10</v>
      </c>
      <c r="F1672" s="19" t="n">
        <v>1261.8</v>
      </c>
      <c r="G1672" s="8" t="n">
        <f aca="false">IFERROR(INDEX('TRANS'!$B:$B,MATCH($B1672,'TRANS'!$A:$A,0)),IFERROR(INDEX('TRANS'!$B:$B,MATCH(TRIM(SUBSTITUTE($B1672,CHAR(160)," ")),'TRANS'!$D:$D,0)),IFERROR(INDEX('Catalog'!$A:$A,MATCH($B1672,'Catalog'!$B:$B,0)),IFERROR(INDEX('Catalog'!$A:$A,MATCH(TRIM(SUBSTITUTE($B1672,CHAR(160)," ")),'Catalog'!$C:$C,0)),""))))</f>
        <v>4408092</v>
      </c>
      <c r="H1672" s="8" t="str">
        <f aca="false">IFERROR(INDEX('TRANS'!$C:$C,MATCH($B1672,'TRANS'!$A:$A,0)),IFERROR(INDEX('Catalog'!$B:$B,MATCH($G1672,'Catalog'!$A:$A,0)),$B1672))</f>
        <v>T11C XL חגורת גב פוג'יאמה</v>
      </c>
      <c r="I1672" s="8" t="str">
        <f aca="false">IF($G1672="","Unmatched","Matched")</f>
        <v>Matched</v>
      </c>
      <c r="J1672" s="8" t="n">
        <f aca="false">IF($G1672&lt;&gt;"",$G1672,$B1672)</f>
        <v>4408092</v>
      </c>
      <c r="K1672" s="8" t="str">
        <f aca="false">IF(COUNTIF($M$1:$M$10,$A1672)&gt;0,"Y","N")</f>
        <v>Y</v>
      </c>
    </row>
    <row r="1673" customFormat="false" ht="15" hidden="false" customHeight="true" outlineLevel="0" collapsed="false">
      <c r="A1673" s="8" t="s">
        <v>56</v>
      </c>
      <c r="B1673" s="8" t="s">
        <v>775</v>
      </c>
      <c r="C1673" s="19" t="n">
        <v>3</v>
      </c>
      <c r="D1673" s="19" t="n">
        <v>225</v>
      </c>
      <c r="E1673" s="19" t="n">
        <v>2</v>
      </c>
      <c r="F1673" s="19" t="n">
        <v>150</v>
      </c>
      <c r="G1673" s="8" t="n">
        <f aca="false">IFERROR(INDEX('TRANS'!$B:$B,MATCH($B1673,'TRANS'!$A:$A,0)),IFERROR(INDEX('TRANS'!$B:$B,MATCH(TRIM(SUBSTITUTE($B1673,CHAR(160)," ")),'TRANS'!$D:$D,0)),IFERROR(INDEX('Catalog'!$A:$A,MATCH($B1673,'Catalog'!$B:$B,0)),IFERROR(INDEX('Catalog'!$A:$A,MATCH(TRIM(SUBSTITUTE($B1673,CHAR(160)," ")),'Catalog'!$C:$C,0)),""))))</f>
        <v>4408221</v>
      </c>
      <c r="H1673" s="8" t="str">
        <f aca="false">IFERROR(INDEX('TRANS'!$C:$C,MATCH($B1673,'TRANS'!$A:$A,0)),IFERROR(INDEX('Catalog'!$B:$B,MATCH($G1673,'Catalog'!$A:$A,0)),$B1673))</f>
        <v>078G-L חגורת גב אפורה</v>
      </c>
      <c r="I1673" s="8" t="str">
        <f aca="false">IF($G1673="","Unmatched","Matched")</f>
        <v>Matched</v>
      </c>
      <c r="J1673" s="8" t="n">
        <f aca="false">IF($G1673&lt;&gt;"",$G1673,$B1673)</f>
        <v>4408221</v>
      </c>
      <c r="K1673" s="8" t="str">
        <f aca="false">IF(COUNTIF($M$1:$M$10,$A1673)&gt;0,"Y","N")</f>
        <v>Y</v>
      </c>
    </row>
    <row r="1674" customFormat="false" ht="15" hidden="false" customHeight="true" outlineLevel="0" collapsed="false">
      <c r="A1674" s="8" t="s">
        <v>56</v>
      </c>
      <c r="B1674" s="8" t="s">
        <v>563</v>
      </c>
      <c r="C1674" s="19" t="n">
        <v>1</v>
      </c>
      <c r="D1674" s="19" t="n">
        <v>75</v>
      </c>
      <c r="E1674" s="19" t="n">
        <v>0</v>
      </c>
      <c r="F1674" s="19" t="n">
        <v>0</v>
      </c>
      <c r="G1674" s="8" t="n">
        <f aca="false">IFERROR(INDEX('TRANS'!$B:$B,MATCH($B1674,'TRANS'!$A:$A,0)),IFERROR(INDEX('TRANS'!$B:$B,MATCH(TRIM(SUBSTITUTE($B1674,CHAR(160)," ")),'TRANS'!$D:$D,0)),IFERROR(INDEX('Catalog'!$A:$A,MATCH($B1674,'Catalog'!$B:$B,0)),IFERROR(INDEX('Catalog'!$A:$A,MATCH(TRIM(SUBSTITUTE($B1674,CHAR(160)," ")),'Catalog'!$C:$C,0)),""))))</f>
        <v>4408220</v>
      </c>
      <c r="H1674" s="8" t="str">
        <f aca="false">IFERROR(INDEX('TRANS'!$C:$C,MATCH($B1674,'TRANS'!$A:$A,0)),IFERROR(INDEX('Catalog'!$B:$B,MATCH($G1674,'Catalog'!$A:$A,0)),$B1674))</f>
        <v>078G-M חגורת גב אפורה</v>
      </c>
      <c r="I1674" s="8" t="str">
        <f aca="false">IF($G1674="","Unmatched","Matched")</f>
        <v>Matched</v>
      </c>
      <c r="J1674" s="8" t="n">
        <f aca="false">IF($G1674&lt;&gt;"",$G1674,$B1674)</f>
        <v>4408220</v>
      </c>
      <c r="K1674" s="8" t="str">
        <f aca="false">IF(COUNTIF($M$1:$M$10,$A1674)&gt;0,"Y","N")</f>
        <v>Y</v>
      </c>
    </row>
    <row r="1675" customFormat="false" ht="15" hidden="false" customHeight="true" outlineLevel="0" collapsed="false">
      <c r="A1675" s="8" t="s">
        <v>56</v>
      </c>
      <c r="B1675" s="8" t="s">
        <v>776</v>
      </c>
      <c r="C1675" s="19" t="n">
        <v>3</v>
      </c>
      <c r="D1675" s="19" t="n">
        <v>225</v>
      </c>
      <c r="E1675" s="19" t="n">
        <v>2</v>
      </c>
      <c r="F1675" s="19" t="n">
        <v>150</v>
      </c>
      <c r="G1675" s="8" t="n">
        <f aca="false">IFERROR(INDEX('TRANS'!$B:$B,MATCH($B1675,'TRANS'!$A:$A,0)),IFERROR(INDEX('TRANS'!$B:$B,MATCH(TRIM(SUBSTITUTE($B1675,CHAR(160)," ")),'TRANS'!$D:$D,0)),IFERROR(INDEX('Catalog'!$A:$A,MATCH($B1675,'Catalog'!$B:$B,0)),IFERROR(INDEX('Catalog'!$A:$A,MATCH(TRIM(SUBSTITUTE($B1675,CHAR(160)," ")),'Catalog'!$C:$C,0)),""))))</f>
        <v>4408222</v>
      </c>
      <c r="H1675" s="8" t="str">
        <f aca="false">IFERROR(INDEX('TRANS'!$C:$C,MATCH($B1675,'TRANS'!$A:$A,0)),IFERROR(INDEX('Catalog'!$B:$B,MATCH($G1675,'Catalog'!$A:$A,0)),$B1675))</f>
        <v>078G-XLחגורת גב אפורה</v>
      </c>
      <c r="I1675" s="8" t="str">
        <f aca="false">IF($G1675="","Unmatched","Matched")</f>
        <v>Matched</v>
      </c>
      <c r="J1675" s="8" t="n">
        <f aca="false">IF($G1675&lt;&gt;"",$G1675,$B1675)</f>
        <v>4408222</v>
      </c>
      <c r="K1675" s="8" t="str">
        <f aca="false">IF(COUNTIF($M$1:$M$10,$A1675)&gt;0,"Y","N")</f>
        <v>Y</v>
      </c>
    </row>
    <row r="1676" customFormat="false" ht="15" hidden="false" customHeight="true" outlineLevel="0" collapsed="false">
      <c r="A1676" s="8" t="s">
        <v>56</v>
      </c>
      <c r="B1676" s="8" t="s">
        <v>855</v>
      </c>
      <c r="C1676" s="19" t="n">
        <v>1</v>
      </c>
      <c r="D1676" s="19" t="n">
        <v>85</v>
      </c>
      <c r="E1676" s="19" t="n">
        <v>0</v>
      </c>
      <c r="F1676" s="19" t="n">
        <v>0</v>
      </c>
      <c r="G1676" s="8" t="n">
        <f aca="false">IFERROR(INDEX('TRANS'!$B:$B,MATCH($B1676,'TRANS'!$A:$A,0)),IFERROR(INDEX('TRANS'!$B:$B,MATCH(TRIM(SUBSTITUTE($B1676,CHAR(160)," ")),'TRANS'!$D:$D,0)),IFERROR(INDEX('Catalog'!$A:$A,MATCH($B1676,'Catalog'!$B:$B,0)),IFERROR(INDEX('Catalog'!$A:$A,MATCH(TRIM(SUBSTITUTE($B1676,CHAR(160)," ")),'Catalog'!$C:$C,0)),""))))</f>
        <v>4408032</v>
      </c>
      <c r="H1676" s="8" t="str">
        <f aca="false">IFERROR(INDEX('TRANS'!$C:$C,MATCH($B1676,'TRANS'!$A:$A,0)),IFERROR(INDEX('Catalog'!$B:$B,MATCH($G1676,'Catalog'!$A:$A,0)),$B1676))</f>
        <v>11 L""""חגורת בטן""""אורירית</v>
      </c>
      <c r="I1676" s="8" t="str">
        <f aca="false">IF($G1676="","Unmatched","Matched")</f>
        <v>Matched</v>
      </c>
      <c r="J1676" s="8" t="n">
        <f aca="false">IF($G1676&lt;&gt;"",$G1676,$B1676)</f>
        <v>4408032</v>
      </c>
      <c r="K1676" s="8" t="str">
        <f aca="false">IF(COUNTIF($M$1:$M$10,$A1676)&gt;0,"Y","N")</f>
        <v>Y</v>
      </c>
    </row>
    <row r="1677" customFormat="false" ht="15" hidden="false" customHeight="true" outlineLevel="0" collapsed="false">
      <c r="A1677" s="8" t="s">
        <v>56</v>
      </c>
      <c r="B1677" s="8" t="s">
        <v>567</v>
      </c>
      <c r="C1677" s="19" t="n">
        <v>1</v>
      </c>
      <c r="D1677" s="19" t="n">
        <v>85</v>
      </c>
      <c r="E1677" s="19" t="n">
        <v>0</v>
      </c>
      <c r="F1677" s="19" t="n">
        <v>0</v>
      </c>
      <c r="G1677" s="8" t="n">
        <f aca="false">IFERROR(INDEX('TRANS'!$B:$B,MATCH($B1677,'TRANS'!$A:$A,0)),IFERROR(INDEX('TRANS'!$B:$B,MATCH(TRIM(SUBSTITUTE($B1677,CHAR(160)," ")),'TRANS'!$D:$D,0)),IFERROR(INDEX('Catalog'!$A:$A,MATCH($B1677,'Catalog'!$B:$B,0)),IFERROR(INDEX('Catalog'!$A:$A,MATCH(TRIM(SUBSTITUTE($B1677,CHAR(160)," ")),'Catalog'!$C:$C,0)),""))))</f>
        <v>4408033</v>
      </c>
      <c r="H1677" s="8" t="str">
        <f aca="false">IFERROR(INDEX('TRANS'!$C:$C,MATCH($B1677,'TRANS'!$A:$A,0)),IFERROR(INDEX('Catalog'!$B:$B,MATCH($G1677,'Catalog'!$A:$A,0)),$B1677))</f>
        <v>11 M""""חגורת בטן""""אורירית</v>
      </c>
      <c r="I1677" s="8" t="str">
        <f aca="false">IF($G1677="","Unmatched","Matched")</f>
        <v>Matched</v>
      </c>
      <c r="J1677" s="8" t="n">
        <f aca="false">IF($G1677&lt;&gt;"",$G1677,$B1677)</f>
        <v>4408033</v>
      </c>
      <c r="K1677" s="8" t="str">
        <f aca="false">IF(COUNTIF($M$1:$M$10,$A1677)&gt;0,"Y","N")</f>
        <v>Y</v>
      </c>
    </row>
    <row r="1678" customFormat="false" ht="15" hidden="false" customHeight="true" outlineLevel="0" collapsed="false">
      <c r="A1678" s="8" t="s">
        <v>56</v>
      </c>
      <c r="B1678" s="8" t="s">
        <v>936</v>
      </c>
      <c r="C1678" s="19" t="n">
        <v>1</v>
      </c>
      <c r="D1678" s="19" t="n">
        <v>85</v>
      </c>
      <c r="E1678" s="19" t="n">
        <v>0</v>
      </c>
      <c r="F1678" s="19" t="n">
        <v>0</v>
      </c>
      <c r="G1678" s="8" t="n">
        <f aca="false">IFERROR(INDEX('TRANS'!$B:$B,MATCH($B1678,'TRANS'!$A:$A,0)),IFERROR(INDEX('TRANS'!$B:$B,MATCH(TRIM(SUBSTITUTE($B1678,CHAR(160)," ")),'TRANS'!$D:$D,0)),IFERROR(INDEX('Catalog'!$A:$A,MATCH($B1678,'Catalog'!$B:$B,0)),IFERROR(INDEX('Catalog'!$A:$A,MATCH(TRIM(SUBSTITUTE($B1678,CHAR(160)," ")),'Catalog'!$C:$C,0)),""))))</f>
        <v>4408034</v>
      </c>
      <c r="H1678" s="8" t="str">
        <f aca="false">IFERROR(INDEX('TRANS'!$C:$C,MATCH($B1678,'TRANS'!$A:$A,0)),IFERROR(INDEX('Catalog'!$B:$B,MATCH($G1678,'Catalog'!$A:$A,0)),$B1678))</f>
        <v>11 XL""""חגורת בטן""""אורירית</v>
      </c>
      <c r="I1678" s="8" t="str">
        <f aca="false">IF($G1678="","Unmatched","Matched")</f>
        <v>Matched</v>
      </c>
      <c r="J1678" s="8" t="n">
        <f aca="false">IF($G1678&lt;&gt;"",$G1678,$B1678)</f>
        <v>4408034</v>
      </c>
      <c r="K1678" s="8" t="str">
        <f aca="false">IF(COUNTIF($M$1:$M$10,$A1678)&gt;0,"Y","N")</f>
        <v>Y</v>
      </c>
    </row>
    <row r="1679" customFormat="false" ht="15" hidden="false" customHeight="true" outlineLevel="0" collapsed="false">
      <c r="A1679" s="8" t="s">
        <v>56</v>
      </c>
      <c r="B1679" s="8" t="s">
        <v>577</v>
      </c>
      <c r="C1679" s="19" t="n">
        <v>1</v>
      </c>
      <c r="D1679" s="19" t="n">
        <v>33.04</v>
      </c>
      <c r="E1679" s="19" t="n">
        <v>2</v>
      </c>
      <c r="F1679" s="19" t="n">
        <v>74.92</v>
      </c>
      <c r="G1679" s="8" t="n">
        <f aca="false">IFERROR(INDEX('TRANS'!$B:$B,MATCH($B1679,'TRANS'!$A:$A,0)),IFERROR(INDEX('TRANS'!$B:$B,MATCH(TRIM(SUBSTITUTE($B1679,CHAR(160)," ")),'TRANS'!$D:$D,0)),IFERROR(INDEX('Catalog'!$A:$A,MATCH($B1679,'Catalog'!$B:$B,0)),IFERROR(INDEX('Catalog'!$A:$A,MATCH(TRIM(SUBSTITUTE($B1679,CHAR(160)," ")),'Catalog'!$C:$C,0)),""))))</f>
        <v>4411017</v>
      </c>
      <c r="H1679" s="8" t="str">
        <f aca="false">IFERROR(INDEX('TRANS'!$C:$C,MATCH($B1679,'TRANS'!$A:$A,0)),IFERROR(INDEX('Catalog'!$B:$B,MATCH($G1679,'Catalog'!$A:$A,0)),$B1679))</f>
        <v>211L כפפות לחץ</v>
      </c>
      <c r="I1679" s="8" t="str">
        <f aca="false">IF($G1679="","Unmatched","Matched")</f>
        <v>Matched</v>
      </c>
      <c r="J1679" s="8" t="n">
        <f aca="false">IF($G1679&lt;&gt;"",$G1679,$B1679)</f>
        <v>4411017</v>
      </c>
      <c r="K1679" s="8" t="str">
        <f aca="false">IF(COUNTIF($M$1:$M$10,$A1679)&gt;0,"Y","N")</f>
        <v>Y</v>
      </c>
    </row>
    <row r="1680" customFormat="false" ht="15" hidden="false" customHeight="true" outlineLevel="0" collapsed="false">
      <c r="A1680" s="8" t="s">
        <v>56</v>
      </c>
      <c r="B1680" s="8" t="s">
        <v>578</v>
      </c>
      <c r="C1680" s="19" t="n">
        <v>1</v>
      </c>
      <c r="D1680" s="19" t="n">
        <v>33.04</v>
      </c>
      <c r="E1680" s="19" t="n">
        <v>0</v>
      </c>
      <c r="F1680" s="19" t="n">
        <v>0</v>
      </c>
      <c r="G1680" s="8" t="n">
        <f aca="false">IFERROR(INDEX('TRANS'!$B:$B,MATCH($B1680,'TRANS'!$A:$A,0)),IFERROR(INDEX('TRANS'!$B:$B,MATCH(TRIM(SUBSTITUTE($B1680,CHAR(160)," ")),'TRANS'!$D:$D,0)),IFERROR(INDEX('Catalog'!$A:$A,MATCH($B1680,'Catalog'!$B:$B,0)),IFERROR(INDEX('Catalog'!$A:$A,MATCH(TRIM(SUBSTITUTE($B1680,CHAR(160)," ")),'Catalog'!$C:$C,0)),""))))</f>
        <v>4411018</v>
      </c>
      <c r="H1680" s="8" t="str">
        <f aca="false">IFERROR(INDEX('TRANS'!$C:$C,MATCH($B1680,'TRANS'!$A:$A,0)),IFERROR(INDEX('Catalog'!$B:$B,MATCH($G1680,'Catalog'!$A:$A,0)),$B1680))</f>
        <v>211M כפפות לחץ</v>
      </c>
      <c r="I1680" s="8" t="str">
        <f aca="false">IF($G1680="","Unmatched","Matched")</f>
        <v>Matched</v>
      </c>
      <c r="J1680" s="8" t="n">
        <f aca="false">IF($G1680&lt;&gt;"",$G1680,$B1680)</f>
        <v>4411018</v>
      </c>
      <c r="K1680" s="8" t="str">
        <f aca="false">IF(COUNTIF($M$1:$M$10,$A1680)&gt;0,"Y","N")</f>
        <v>Y</v>
      </c>
    </row>
    <row r="1681" customFormat="false" ht="15" hidden="false" customHeight="true" outlineLevel="0" collapsed="false">
      <c r="A1681" s="8" t="s">
        <v>56</v>
      </c>
      <c r="B1681" s="8" t="s">
        <v>579</v>
      </c>
      <c r="C1681" s="19" t="n">
        <v>1</v>
      </c>
      <c r="D1681" s="19" t="n">
        <v>33.04</v>
      </c>
      <c r="E1681" s="19" t="n">
        <v>0</v>
      </c>
      <c r="F1681" s="19" t="n">
        <v>0</v>
      </c>
      <c r="G1681" s="8" t="n">
        <f aca="false">IFERROR(INDEX('TRANS'!$B:$B,MATCH($B1681,'TRANS'!$A:$A,0)),IFERROR(INDEX('TRANS'!$B:$B,MATCH(TRIM(SUBSTITUTE($B1681,CHAR(160)," ")),'TRANS'!$D:$D,0)),IFERROR(INDEX('Catalog'!$A:$A,MATCH($B1681,'Catalog'!$B:$B,0)),IFERROR(INDEX('Catalog'!$A:$A,MATCH(TRIM(SUBSTITUTE($B1681,CHAR(160)," ")),'Catalog'!$C:$C,0)),""))))</f>
        <v>4411019</v>
      </c>
      <c r="H1681" s="8" t="str">
        <f aca="false">IFERROR(INDEX('TRANS'!$C:$C,MATCH($B1681,'TRANS'!$A:$A,0)),IFERROR(INDEX('Catalog'!$B:$B,MATCH($G1681,'Catalog'!$A:$A,0)),$B1681))</f>
        <v>211S כפפות לחץ</v>
      </c>
      <c r="I1681" s="8" t="str">
        <f aca="false">IF($G1681="","Unmatched","Matched")</f>
        <v>Matched</v>
      </c>
      <c r="J1681" s="8" t="n">
        <f aca="false">IF($G1681&lt;&gt;"",$G1681,$B1681)</f>
        <v>4411019</v>
      </c>
      <c r="K1681" s="8" t="str">
        <f aca="false">IF(COUNTIF($M$1:$M$10,$A1681)&gt;0,"Y","N")</f>
        <v>Y</v>
      </c>
    </row>
    <row r="1682" customFormat="false" ht="15" hidden="false" customHeight="true" outlineLevel="0" collapsed="false">
      <c r="A1682" s="8" t="s">
        <v>56</v>
      </c>
      <c r="B1682" s="8" t="s">
        <v>967</v>
      </c>
      <c r="C1682" s="19" t="n">
        <v>1</v>
      </c>
      <c r="D1682" s="19" t="n">
        <v>33.04</v>
      </c>
      <c r="E1682" s="19" t="n">
        <v>0</v>
      </c>
      <c r="F1682" s="19" t="n">
        <v>0</v>
      </c>
      <c r="G1682" s="8" t="n">
        <f aca="false">IFERROR(INDEX('TRANS'!$B:$B,MATCH($B1682,'TRANS'!$A:$A,0)),IFERROR(INDEX('TRANS'!$B:$B,MATCH(TRIM(SUBSTITUTE($B1682,CHAR(160)," ")),'TRANS'!$D:$D,0)),IFERROR(INDEX('Catalog'!$A:$A,MATCH($B1682,'Catalog'!$B:$B,0)),IFERROR(INDEX('Catalog'!$A:$A,MATCH(TRIM(SUBSTITUTE($B1682,CHAR(160)," ")),'Catalog'!$C:$C,0)),""))))</f>
        <v>4411020</v>
      </c>
      <c r="H1682" s="8" t="str">
        <f aca="false">IFERROR(INDEX('TRANS'!$C:$C,MATCH($B1682,'TRANS'!$A:$A,0)),IFERROR(INDEX('Catalog'!$B:$B,MATCH($G1682,'Catalog'!$A:$A,0)),$B1682))</f>
        <v>211XL כפפות לחץ</v>
      </c>
      <c r="I1682" s="8" t="str">
        <f aca="false">IF($G1682="","Unmatched","Matched")</f>
        <v>Matched</v>
      </c>
      <c r="J1682" s="8" t="n">
        <f aca="false">IF($G1682&lt;&gt;"",$G1682,$B1682)</f>
        <v>4411020</v>
      </c>
      <c r="K1682" s="8" t="str">
        <f aca="false">IF(COUNTIF($M$1:$M$10,$A1682)&gt;0,"Y","N")</f>
        <v>Y</v>
      </c>
    </row>
    <row r="1683" customFormat="false" ht="15" hidden="false" customHeight="true" outlineLevel="0" collapsed="false">
      <c r="A1683" s="8" t="s">
        <v>56</v>
      </c>
      <c r="B1683" s="8" t="s">
        <v>580</v>
      </c>
      <c r="C1683" s="19" t="n">
        <v>2</v>
      </c>
      <c r="D1683" s="19" t="n">
        <v>70.82</v>
      </c>
      <c r="E1683" s="19" t="n">
        <v>1</v>
      </c>
      <c r="F1683" s="19" t="n">
        <v>35.41</v>
      </c>
      <c r="G1683" s="8" t="n">
        <f aca="false">IFERROR(INDEX('TRANS'!$B:$B,MATCH($B1683,'TRANS'!$A:$A,0)),IFERROR(INDEX('TRANS'!$B:$B,MATCH(TRIM(SUBSTITUTE($B1683,CHAR(160)," ")),'TRANS'!$D:$D,0)),IFERROR(INDEX('Catalog'!$A:$A,MATCH($B1683,'Catalog'!$B:$B,0)),IFERROR(INDEX('Catalog'!$A:$A,MATCH(TRIM(SUBSTITUTE($B1683,CHAR(160)," ")),'Catalog'!$C:$C,0)),""))))</f>
        <v>4411021</v>
      </c>
      <c r="H1683" s="8" t="str">
        <f aca="false">IFERROR(INDEX('TRANS'!$C:$C,MATCH($B1683,'TRANS'!$A:$A,0)),IFERROR(INDEX('Catalog'!$B:$B,MATCH($G1683,'Catalog'!$A:$A,0)),$B1683))</f>
        <v>212L כפפות אגודל לחץ</v>
      </c>
      <c r="I1683" s="8" t="str">
        <f aca="false">IF($G1683="","Unmatched","Matched")</f>
        <v>Matched</v>
      </c>
      <c r="J1683" s="8" t="n">
        <f aca="false">IF($G1683&lt;&gt;"",$G1683,$B1683)</f>
        <v>4411021</v>
      </c>
      <c r="K1683" s="8" t="str">
        <f aca="false">IF(COUNTIF($M$1:$M$10,$A1683)&gt;0,"Y","N")</f>
        <v>Y</v>
      </c>
    </row>
    <row r="1684" customFormat="false" ht="15" hidden="false" customHeight="true" outlineLevel="0" collapsed="false">
      <c r="A1684" s="8" t="s">
        <v>56</v>
      </c>
      <c r="B1684" s="8" t="s">
        <v>581</v>
      </c>
      <c r="C1684" s="19" t="n">
        <v>1</v>
      </c>
      <c r="D1684" s="19" t="n">
        <v>35.41</v>
      </c>
      <c r="E1684" s="19" t="n">
        <v>0</v>
      </c>
      <c r="F1684" s="19" t="n">
        <v>0</v>
      </c>
      <c r="G1684" s="8" t="n">
        <f aca="false">IFERROR(INDEX('TRANS'!$B:$B,MATCH($B1684,'TRANS'!$A:$A,0)),IFERROR(INDEX('TRANS'!$B:$B,MATCH(TRIM(SUBSTITUTE($B1684,CHAR(160)," ")),'TRANS'!$D:$D,0)),IFERROR(INDEX('Catalog'!$A:$A,MATCH($B1684,'Catalog'!$B:$B,0)),IFERROR(INDEX('Catalog'!$A:$A,MATCH(TRIM(SUBSTITUTE($B1684,CHAR(160)," ")),'Catalog'!$C:$C,0)),""))))</f>
        <v>4411022</v>
      </c>
      <c r="H1684" s="8" t="str">
        <f aca="false">IFERROR(INDEX('TRANS'!$C:$C,MATCH($B1684,'TRANS'!$A:$A,0)),IFERROR(INDEX('Catalog'!$B:$B,MATCH($G1684,'Catalog'!$A:$A,0)),$B1684))</f>
        <v>212M כפפות אגודל לחץ</v>
      </c>
      <c r="I1684" s="8" t="str">
        <f aca="false">IF($G1684="","Unmatched","Matched")</f>
        <v>Matched</v>
      </c>
      <c r="J1684" s="8" t="n">
        <f aca="false">IF($G1684&lt;&gt;"",$G1684,$B1684)</f>
        <v>4411022</v>
      </c>
      <c r="K1684" s="8" t="str">
        <f aca="false">IF(COUNTIF($M$1:$M$10,$A1684)&gt;0,"Y","N")</f>
        <v>Y</v>
      </c>
    </row>
    <row r="1685" customFormat="false" ht="15" hidden="false" customHeight="true" outlineLevel="0" collapsed="false">
      <c r="A1685" s="8" t="s">
        <v>56</v>
      </c>
      <c r="B1685" s="8" t="s">
        <v>582</v>
      </c>
      <c r="C1685" s="19" t="n">
        <v>1</v>
      </c>
      <c r="D1685" s="19" t="n">
        <v>35.41</v>
      </c>
      <c r="E1685" s="19" t="n">
        <v>0</v>
      </c>
      <c r="F1685" s="19" t="n">
        <v>0</v>
      </c>
      <c r="G1685" s="8" t="n">
        <f aca="false">IFERROR(INDEX('TRANS'!$B:$B,MATCH($B1685,'TRANS'!$A:$A,0)),IFERROR(INDEX('TRANS'!$B:$B,MATCH(TRIM(SUBSTITUTE($B1685,CHAR(160)," ")),'TRANS'!$D:$D,0)),IFERROR(INDEX('Catalog'!$A:$A,MATCH($B1685,'Catalog'!$B:$B,0)),IFERROR(INDEX('Catalog'!$A:$A,MATCH(TRIM(SUBSTITUTE($B1685,CHAR(160)," ")),'Catalog'!$C:$C,0)),""))))</f>
        <v>4411023</v>
      </c>
      <c r="H1685" s="8" t="str">
        <f aca="false">IFERROR(INDEX('TRANS'!$C:$C,MATCH($B1685,'TRANS'!$A:$A,0)),IFERROR(INDEX('Catalog'!$B:$B,MATCH($G1685,'Catalog'!$A:$A,0)),$B1685))</f>
        <v>212S כפפות אגודל לחץ</v>
      </c>
      <c r="I1685" s="8" t="str">
        <f aca="false">IF($G1685="","Unmatched","Matched")</f>
        <v>Matched</v>
      </c>
      <c r="J1685" s="8" t="n">
        <f aca="false">IF($G1685&lt;&gt;"",$G1685,$B1685)</f>
        <v>4411023</v>
      </c>
      <c r="K1685" s="8" t="str">
        <f aca="false">IF(COUNTIF($M$1:$M$10,$A1685)&gt;0,"Y","N")</f>
        <v>Y</v>
      </c>
    </row>
    <row r="1686" customFormat="false" ht="15" hidden="false" customHeight="true" outlineLevel="0" collapsed="false">
      <c r="A1686" s="8" t="s">
        <v>56</v>
      </c>
      <c r="B1686" s="8" t="s">
        <v>982</v>
      </c>
      <c r="C1686" s="19" t="n">
        <v>2</v>
      </c>
      <c r="D1686" s="19" t="n">
        <v>70.82</v>
      </c>
      <c r="E1686" s="19" t="n">
        <v>1</v>
      </c>
      <c r="F1686" s="19" t="n">
        <v>35.41</v>
      </c>
      <c r="G1686" s="8" t="n">
        <f aca="false">IFERROR(INDEX('TRANS'!$B:$B,MATCH($B1686,'TRANS'!$A:$A,0)),IFERROR(INDEX('TRANS'!$B:$B,MATCH(TRIM(SUBSTITUTE($B1686,CHAR(160)," ")),'TRANS'!$D:$D,0)),IFERROR(INDEX('Catalog'!$A:$A,MATCH($B1686,'Catalog'!$B:$B,0)),IFERROR(INDEX('Catalog'!$A:$A,MATCH(TRIM(SUBSTITUTE($B1686,CHAR(160)," ")),'Catalog'!$C:$C,0)),""))))</f>
        <v>4411024</v>
      </c>
      <c r="H1686" s="8" t="str">
        <f aca="false">IFERROR(INDEX('TRANS'!$C:$C,MATCH($B1686,'TRANS'!$A:$A,0)),IFERROR(INDEX('Catalog'!$B:$B,MATCH($G1686,'Catalog'!$A:$A,0)),$B1686))</f>
        <v>212XL כפפות אגודל לחץ</v>
      </c>
      <c r="I1686" s="8" t="str">
        <f aca="false">IF($G1686="","Unmatched","Matched")</f>
        <v>Matched</v>
      </c>
      <c r="J1686" s="8" t="n">
        <f aca="false">IF($G1686&lt;&gt;"",$G1686,$B1686)</f>
        <v>4411024</v>
      </c>
      <c r="K1686" s="8" t="str">
        <f aca="false">IF(COUNTIF($M$1:$M$10,$A1686)&gt;0,"Y","N")</f>
        <v>Y</v>
      </c>
    </row>
    <row r="1687" customFormat="false" ht="15" hidden="false" customHeight="true" outlineLevel="0" collapsed="false">
      <c r="A1687" s="8" t="s">
        <v>56</v>
      </c>
      <c r="B1687" s="8" t="s">
        <v>584</v>
      </c>
      <c r="C1687" s="19" t="n">
        <v>3</v>
      </c>
      <c r="D1687" s="19" t="n">
        <v>53.75</v>
      </c>
      <c r="E1687" s="19" t="n">
        <v>2</v>
      </c>
      <c r="F1687" s="19" t="n">
        <v>35.83</v>
      </c>
      <c r="G1687" s="8" t="n">
        <f aca="false">IFERROR(INDEX('TRANS'!$B:$B,MATCH($B1687,'TRANS'!$A:$A,0)),IFERROR(INDEX('TRANS'!$B:$B,MATCH(TRIM(SUBSTITUTE($B1687,CHAR(160)," ")),'TRANS'!$D:$D,0)),IFERROR(INDEX('Catalog'!$A:$A,MATCH($B1687,'Catalog'!$B:$B,0)),IFERROR(INDEX('Catalog'!$A:$A,MATCH(TRIM(SUBSTITUTE($B1687,CHAR(160)," ")),'Catalog'!$C:$C,0)),""))))</f>
        <v>4415162</v>
      </c>
      <c r="H1687" s="8" t="str">
        <f aca="false">IFERROR(INDEX('TRANS'!$C:$C,MATCH($B1687,'TRANS'!$A:$A,0)),IFERROR(INDEX('Catalog'!$B:$B,MATCH($G1687,'Catalog'!$A:$A,0)),$B1687))</f>
        <v>238L סד ליישור אצבע</v>
      </c>
      <c r="I1687" s="8" t="str">
        <f aca="false">IF($G1687="","Unmatched","Matched")</f>
        <v>Matched</v>
      </c>
      <c r="J1687" s="8" t="n">
        <f aca="false">IF($G1687&lt;&gt;"",$G1687,$B1687)</f>
        <v>4415162</v>
      </c>
      <c r="K1687" s="8" t="str">
        <f aca="false">IF(COUNTIF($M$1:$M$10,$A1687)&gt;0,"Y","N")</f>
        <v>Y</v>
      </c>
    </row>
    <row r="1688" customFormat="false" ht="15" hidden="false" customHeight="true" outlineLevel="0" collapsed="false">
      <c r="A1688" s="8" t="s">
        <v>56</v>
      </c>
      <c r="B1688" s="8" t="s">
        <v>926</v>
      </c>
      <c r="C1688" s="19" t="n">
        <v>2</v>
      </c>
      <c r="D1688" s="19" t="n">
        <v>35.84</v>
      </c>
      <c r="E1688" s="19" t="n">
        <v>1</v>
      </c>
      <c r="F1688" s="19" t="n">
        <v>17.92</v>
      </c>
      <c r="G1688" s="8" t="n">
        <f aca="false">IFERROR(INDEX('TRANS'!$B:$B,MATCH($B1688,'TRANS'!$A:$A,0)),IFERROR(INDEX('TRANS'!$B:$B,MATCH(TRIM(SUBSTITUTE($B1688,CHAR(160)," ")),'TRANS'!$D:$D,0)),IFERROR(INDEX('Catalog'!$A:$A,MATCH($B1688,'Catalog'!$B:$B,0)),IFERROR(INDEX('Catalog'!$A:$A,MATCH(TRIM(SUBSTITUTE($B1688,CHAR(160)," ")),'Catalog'!$C:$C,0)),""))))</f>
        <v>4415161</v>
      </c>
      <c r="H1688" s="8" t="str">
        <f aca="false">IFERROR(INDEX('TRANS'!$C:$C,MATCH($B1688,'TRANS'!$A:$A,0)),IFERROR(INDEX('Catalog'!$B:$B,MATCH($G1688,'Catalog'!$A:$A,0)),$B1688))</f>
        <v>238M סד ליישור אצבע</v>
      </c>
      <c r="I1688" s="8" t="str">
        <f aca="false">IF($G1688="","Unmatched","Matched")</f>
        <v>Matched</v>
      </c>
      <c r="J1688" s="8" t="n">
        <f aca="false">IF($G1688&lt;&gt;"",$G1688,$B1688)</f>
        <v>4415161</v>
      </c>
      <c r="K1688" s="8" t="str">
        <f aca="false">IF(COUNTIF($M$1:$M$10,$A1688)&gt;0,"Y","N")</f>
        <v>Y</v>
      </c>
    </row>
    <row r="1689" customFormat="false" ht="15" hidden="false" customHeight="true" outlineLevel="0" collapsed="false">
      <c r="A1689" s="8" t="s">
        <v>56</v>
      </c>
      <c r="B1689" s="8" t="s">
        <v>585</v>
      </c>
      <c r="C1689" s="19" t="n">
        <v>1</v>
      </c>
      <c r="D1689" s="19" t="n">
        <v>17.92</v>
      </c>
      <c r="E1689" s="19" t="n">
        <v>0</v>
      </c>
      <c r="F1689" s="19" t="n">
        <v>0</v>
      </c>
      <c r="G1689" s="8" t="n">
        <f aca="false">IFERROR(INDEX('TRANS'!$B:$B,MATCH($B1689,'TRANS'!$A:$A,0)),IFERROR(INDEX('TRANS'!$B:$B,MATCH(TRIM(SUBSTITUTE($B1689,CHAR(160)," ")),'TRANS'!$D:$D,0)),IFERROR(INDEX('Catalog'!$A:$A,MATCH($B1689,'Catalog'!$B:$B,0)),IFERROR(INDEX('Catalog'!$A:$A,MATCH(TRIM(SUBSTITUTE($B1689,CHAR(160)," ")),'Catalog'!$C:$C,0)),""))))</f>
        <v>4415160</v>
      </c>
      <c r="H1689" s="8" t="str">
        <f aca="false">IFERROR(INDEX('TRANS'!$C:$C,MATCH($B1689,'TRANS'!$A:$A,0)),IFERROR(INDEX('Catalog'!$B:$B,MATCH($G1689,'Catalog'!$A:$A,0)),$B1689))</f>
        <v>238S סד ליישור אצבע</v>
      </c>
      <c r="I1689" s="8" t="str">
        <f aca="false">IF($G1689="","Unmatched","Matched")</f>
        <v>Matched</v>
      </c>
      <c r="J1689" s="8" t="n">
        <f aca="false">IF($G1689&lt;&gt;"",$G1689,$B1689)</f>
        <v>4415160</v>
      </c>
      <c r="K1689" s="8" t="str">
        <f aca="false">IF(COUNTIF($M$1:$M$10,$A1689)&gt;0,"Y","N")</f>
        <v>Y</v>
      </c>
    </row>
    <row r="1690" customFormat="false" ht="15" hidden="false" customHeight="true" outlineLevel="0" collapsed="false">
      <c r="A1690" s="8" t="s">
        <v>56</v>
      </c>
      <c r="B1690" s="8" t="s">
        <v>927</v>
      </c>
      <c r="C1690" s="19" t="n">
        <v>3</v>
      </c>
      <c r="D1690" s="19" t="n">
        <v>53.75</v>
      </c>
      <c r="E1690" s="19" t="n">
        <v>2</v>
      </c>
      <c r="F1690" s="19" t="n">
        <v>35.83</v>
      </c>
      <c r="G1690" s="8" t="n">
        <f aca="false">IFERROR(INDEX('TRANS'!$B:$B,MATCH($B1690,'TRANS'!$A:$A,0)),IFERROR(INDEX('TRANS'!$B:$B,MATCH(TRIM(SUBSTITUTE($B1690,CHAR(160)," ")),'TRANS'!$D:$D,0)),IFERROR(INDEX('Catalog'!$A:$A,MATCH($B1690,'Catalog'!$B:$B,0)),IFERROR(INDEX('Catalog'!$A:$A,MATCH(TRIM(SUBSTITUTE($B1690,CHAR(160)," ")),'Catalog'!$C:$C,0)),""))))</f>
        <v>4415163</v>
      </c>
      <c r="H1690" s="8" t="str">
        <f aca="false">IFERROR(INDEX('TRANS'!$C:$C,MATCH($B1690,'TRANS'!$A:$A,0)),IFERROR(INDEX('Catalog'!$B:$B,MATCH($G1690,'Catalog'!$A:$A,0)),$B1690))</f>
        <v>238XL סד ליישור אצבע</v>
      </c>
      <c r="I1690" s="8" t="str">
        <f aca="false">IF($G1690="","Unmatched","Matched")</f>
        <v>Matched</v>
      </c>
      <c r="J1690" s="8" t="n">
        <f aca="false">IF($G1690&lt;&gt;"",$G1690,$B1690)</f>
        <v>4415163</v>
      </c>
      <c r="K1690" s="8" t="str">
        <f aca="false">IF(COUNTIF($M$1:$M$10,$A1690)&gt;0,"Y","N")</f>
        <v>Y</v>
      </c>
    </row>
    <row r="1691" customFormat="false" ht="15" hidden="false" customHeight="true" outlineLevel="0" collapsed="false">
      <c r="A1691" s="8" t="s">
        <v>56</v>
      </c>
      <c r="B1691" s="8" t="s">
        <v>589</v>
      </c>
      <c r="C1691" s="19" t="n">
        <v>2</v>
      </c>
      <c r="D1691" s="19" t="n">
        <v>66.09</v>
      </c>
      <c r="E1691" s="19" t="n">
        <v>0</v>
      </c>
      <c r="F1691" s="19" t="n">
        <v>0</v>
      </c>
      <c r="G1691" s="8" t="n">
        <f aca="false">IFERROR(INDEX('TRANS'!$B:$B,MATCH($B1691,'TRANS'!$A:$A,0)),IFERROR(INDEX('TRANS'!$B:$B,MATCH(TRIM(SUBSTITUTE($B1691,CHAR(160)," ")),'TRANS'!$D:$D,0)),IFERROR(INDEX('Catalog'!$A:$A,MATCH($B1691,'Catalog'!$B:$B,0)),IFERROR(INDEX('Catalog'!$A:$A,MATCH(TRIM(SUBSTITUTE($B1691,CHAR(160)," ")),'Catalog'!$C:$C,0)),""))))</f>
        <v>4421005</v>
      </c>
      <c r="H1691" s="8" t="str">
        <f aca="false">IFERROR(INDEX('TRANS'!$C:$C,MATCH($B1691,'TRANS'!$A:$A,0)),IFERROR(INDEX('Catalog'!$B:$B,MATCH($G1691,'Catalog'!$A:$A,0)),$B1691))</f>
        <v>שרוול לגבס קצר יד</v>
      </c>
      <c r="I1691" s="8" t="str">
        <f aca="false">IF($G1691="","Unmatched","Matched")</f>
        <v>Matched</v>
      </c>
      <c r="J1691" s="8" t="n">
        <f aca="false">IF($G1691&lt;&gt;"",$G1691,$B1691)</f>
        <v>4421005</v>
      </c>
      <c r="K1691" s="8" t="str">
        <f aca="false">IF(COUNTIF($M$1:$M$10,$A1691)&gt;0,"Y","N")</f>
        <v>Y</v>
      </c>
    </row>
    <row r="1692" customFormat="false" ht="15" hidden="false" customHeight="true" outlineLevel="0" collapsed="false">
      <c r="A1692" s="8" t="s">
        <v>56</v>
      </c>
      <c r="B1692" s="8" t="s">
        <v>590</v>
      </c>
      <c r="C1692" s="19" t="n">
        <v>2</v>
      </c>
      <c r="D1692" s="19" t="n">
        <v>71.77</v>
      </c>
      <c r="E1692" s="19" t="n">
        <v>0</v>
      </c>
      <c r="F1692" s="19" t="n">
        <v>0</v>
      </c>
      <c r="G1692" s="8" t="n">
        <f aca="false">IFERROR(INDEX('TRANS'!$B:$B,MATCH($B1692,'TRANS'!$A:$A,0)),IFERROR(INDEX('TRANS'!$B:$B,MATCH(TRIM(SUBSTITUTE($B1692,CHAR(160)," ")),'TRANS'!$D:$D,0)),IFERROR(INDEX('Catalog'!$A:$A,MATCH($B1692,'Catalog'!$B:$B,0)),IFERROR(INDEX('Catalog'!$A:$A,MATCH(TRIM(SUBSTITUTE($B1692,CHAR(160)," ")),'Catalog'!$C:$C,0)),""))))</f>
        <v>4421006</v>
      </c>
      <c r="H1692" s="8" t="str">
        <f aca="false">IFERROR(INDEX('TRANS'!$C:$C,MATCH($B1692,'TRANS'!$A:$A,0)),IFERROR(INDEX('Catalog'!$B:$B,MATCH($G1692,'Catalog'!$A:$A,0)),$B1692))</f>
        <v>שרוול לגבס ארוך יד</v>
      </c>
      <c r="I1692" s="8" t="str">
        <f aca="false">IF($G1692="","Unmatched","Matched")</f>
        <v>Matched</v>
      </c>
      <c r="J1692" s="8" t="n">
        <f aca="false">IF($G1692&lt;&gt;"",$G1692,$B1692)</f>
        <v>4421006</v>
      </c>
      <c r="K1692" s="8" t="str">
        <f aca="false">IF(COUNTIF($M$1:$M$10,$A1692)&gt;0,"Y","N")</f>
        <v>Y</v>
      </c>
    </row>
    <row r="1693" customFormat="false" ht="15" hidden="false" customHeight="true" outlineLevel="0" collapsed="false">
      <c r="A1693" s="8" t="s">
        <v>56</v>
      </c>
      <c r="B1693" s="8" t="s">
        <v>592</v>
      </c>
      <c r="C1693" s="19" t="n">
        <v>6</v>
      </c>
      <c r="D1693" s="19" t="n">
        <v>330</v>
      </c>
      <c r="E1693" s="19" t="n">
        <v>4</v>
      </c>
      <c r="F1693" s="19" t="n">
        <v>219.99</v>
      </c>
      <c r="G1693" s="8" t="n">
        <f aca="false">IFERROR(INDEX('TRANS'!$B:$B,MATCH($B1693,'TRANS'!$A:$A,0)),IFERROR(INDEX('TRANS'!$B:$B,MATCH(TRIM(SUBSTITUTE($B1693,CHAR(160)," ")),'TRANS'!$D:$D,0)),IFERROR(INDEX('Catalog'!$A:$A,MATCH($B1693,'Catalog'!$B:$B,0)),IFERROR(INDEX('Catalog'!$A:$A,MATCH(TRIM(SUBSTITUTE($B1693,CHAR(160)," ")),'Catalog'!$C:$C,0)),""))))</f>
        <v>4415158</v>
      </c>
      <c r="H1693" s="8" t="str">
        <f aca="false">IFERROR(INDEX('TRANS'!$C:$C,MATCH($B1693,'TRANS'!$A:$A,0)),IFERROR(INDEX('Catalog'!$B:$B,MATCH($G1693,'Catalog'!$A:$A,0)),$B1693))</f>
        <v>266 סד ליד דו צדדי</v>
      </c>
      <c r="I1693" s="8" t="str">
        <f aca="false">IF($G1693="","Unmatched","Matched")</f>
        <v>Matched</v>
      </c>
      <c r="J1693" s="8" t="n">
        <f aca="false">IF($G1693&lt;&gt;"",$G1693,$B1693)</f>
        <v>4415158</v>
      </c>
      <c r="K1693" s="8" t="str">
        <f aca="false">IF(COUNTIF($M$1:$M$10,$A1693)&gt;0,"Y","N")</f>
        <v>Y</v>
      </c>
    </row>
    <row r="1694" customFormat="false" ht="15" hidden="false" customHeight="true" outlineLevel="0" collapsed="false">
      <c r="A1694" s="8" t="s">
        <v>56</v>
      </c>
      <c r="B1694" s="8" t="s">
        <v>593</v>
      </c>
      <c r="C1694" s="19" t="n">
        <v>4</v>
      </c>
      <c r="D1694" s="19" t="n">
        <v>300</v>
      </c>
      <c r="E1694" s="19" t="n">
        <v>2</v>
      </c>
      <c r="F1694" s="19" t="n">
        <v>150</v>
      </c>
      <c r="G1694" s="8" t="n">
        <f aca="false">IFERROR(INDEX('TRANS'!$B:$B,MATCH($B1694,'TRANS'!$A:$A,0)),IFERROR(INDEX('TRANS'!$B:$B,MATCH(TRIM(SUBSTITUTE($B1694,CHAR(160)," ")),'TRANS'!$D:$D,0)),IFERROR(INDEX('Catalog'!$A:$A,MATCH($B1694,'Catalog'!$B:$B,0)),IFERROR(INDEX('Catalog'!$A:$A,MATCH(TRIM(SUBSTITUTE($B1694,CHAR(160)," ")),'Catalog'!$C:$C,0)),""))))</f>
        <v>4415159</v>
      </c>
      <c r="H1694" s="8" t="str">
        <f aca="false">IFERROR(INDEX('TRANS'!$C:$C,MATCH($B1694,'TRANS'!$A:$A,0)),IFERROR(INDEX('Catalog'!$B:$B,MATCH($G1694,'Catalog'!$A:$A,0)),$B1694))</f>
        <v>268 סד לאגודל</v>
      </c>
      <c r="I1694" s="8" t="str">
        <f aca="false">IF($G1694="","Unmatched","Matched")</f>
        <v>Matched</v>
      </c>
      <c r="J1694" s="8" t="n">
        <f aca="false">IF($G1694&lt;&gt;"",$G1694,$B1694)</f>
        <v>4415159</v>
      </c>
      <c r="K1694" s="8" t="str">
        <f aca="false">IF(COUNTIF($M$1:$M$10,$A1694)&gt;0,"Y","N")</f>
        <v>Y</v>
      </c>
    </row>
    <row r="1695" customFormat="false" ht="15" hidden="false" customHeight="true" outlineLevel="0" collapsed="false">
      <c r="A1695" s="8" t="s">
        <v>56</v>
      </c>
      <c r="B1695" s="8" t="s">
        <v>602</v>
      </c>
      <c r="C1695" s="19" t="n">
        <v>1</v>
      </c>
      <c r="D1695" s="19" t="n">
        <v>92.14</v>
      </c>
      <c r="E1695" s="19" t="n">
        <v>0</v>
      </c>
      <c r="F1695" s="19" t="n">
        <v>0</v>
      </c>
      <c r="G1695" s="8" t="n">
        <f aca="false">IFERROR(INDEX('TRANS'!$B:$B,MATCH($B1695,'TRANS'!$A:$A,0)),IFERROR(INDEX('TRANS'!$B:$B,MATCH(TRIM(SUBSTITUTE($B1695,CHAR(160)," ")),'TRANS'!$D:$D,0)),IFERROR(INDEX('Catalog'!$A:$A,MATCH($B1695,'Catalog'!$B:$B,0)),IFERROR(INDEX('Catalog'!$A:$A,MATCH(TRIM(SUBSTITUTE($B1695,CHAR(160)," ")),'Catalog'!$C:$C,0)),""))))</f>
        <v>4416001</v>
      </c>
      <c r="H1695" s="8" t="str">
        <f aca="false">IFERROR(INDEX('TRANS'!$C:$C,MATCH($B1695,'TRANS'!$A:$A,0)),IFERROR(INDEX('Catalog'!$B:$B,MATCH($G1695,'Catalog'!$A:$A,0)),$B1695))</f>
        <v>307 M עקבים לדורבן-זוג כריות</v>
      </c>
      <c r="I1695" s="8" t="str">
        <f aca="false">IF($G1695="","Unmatched","Matched")</f>
        <v>Matched</v>
      </c>
      <c r="J1695" s="8" t="n">
        <f aca="false">IF($G1695&lt;&gt;"",$G1695,$B1695)</f>
        <v>4416001</v>
      </c>
      <c r="K1695" s="8" t="str">
        <f aca="false">IF(COUNTIF($M$1:$M$10,$A1695)&gt;0,"Y","N")</f>
        <v>Y</v>
      </c>
    </row>
    <row r="1696" customFormat="false" ht="15" hidden="false" customHeight="true" outlineLevel="0" collapsed="false">
      <c r="A1696" s="8" t="s">
        <v>56</v>
      </c>
      <c r="B1696" s="8" t="s">
        <v>604</v>
      </c>
      <c r="C1696" s="19" t="n">
        <v>1</v>
      </c>
      <c r="D1696" s="19" t="n">
        <v>58.57</v>
      </c>
      <c r="E1696" s="19" t="n">
        <v>0</v>
      </c>
      <c r="F1696" s="19" t="n">
        <v>0</v>
      </c>
      <c r="G1696" s="8" t="n">
        <f aca="false">IFERROR(INDEX('TRANS'!$B:$B,MATCH($B1696,'TRANS'!$A:$A,0)),IFERROR(INDEX('TRANS'!$B:$B,MATCH(TRIM(SUBSTITUTE($B1696,CHAR(160)," ")),'TRANS'!$D:$D,0)),IFERROR(INDEX('Catalog'!$A:$A,MATCH($B1696,'Catalog'!$B:$B,0)),IFERROR(INDEX('Catalog'!$A:$A,MATCH(TRIM(SUBSTITUTE($B1696,CHAR(160)," ")),'Catalog'!$C:$C,0)),""))))</f>
        <v>4416005</v>
      </c>
      <c r="H1696" s="8" t="str">
        <f aca="false">IFERROR(INDEX('TRANS'!$C:$C,MATCH($B1696,'TRANS'!$A:$A,0)),IFERROR(INDEX('Catalog'!$B:$B,MATCH($G1696,'Catalog'!$A:$A,0)),$B1696))</f>
        <v>308 Mעקבים סיליק.כחול לדורבן</v>
      </c>
      <c r="I1696" s="8" t="str">
        <f aca="false">IF($G1696="","Unmatched","Matched")</f>
        <v>Matched</v>
      </c>
      <c r="J1696" s="8" t="n">
        <f aca="false">IF($G1696&lt;&gt;"",$G1696,$B1696)</f>
        <v>4416005</v>
      </c>
      <c r="K1696" s="8" t="str">
        <f aca="false">IF(COUNTIF($M$1:$M$10,$A1696)&gt;0,"Y","N")</f>
        <v>Y</v>
      </c>
    </row>
    <row r="1697" customFormat="false" ht="15" hidden="false" customHeight="true" outlineLevel="0" collapsed="false">
      <c r="A1697" s="8" t="s">
        <v>56</v>
      </c>
      <c r="B1697" s="8" t="s">
        <v>615</v>
      </c>
      <c r="C1697" s="19" t="n">
        <v>4</v>
      </c>
      <c r="D1697" s="19" t="n">
        <v>76</v>
      </c>
      <c r="E1697" s="19" t="n">
        <v>2</v>
      </c>
      <c r="F1697" s="19" t="n">
        <v>37.99</v>
      </c>
      <c r="G1697" s="8" t="n">
        <f aca="false">IFERROR(INDEX('TRANS'!$B:$B,MATCH($B1697,'TRANS'!$A:$A,0)),IFERROR(INDEX('TRANS'!$B:$B,MATCH(TRIM(SUBSTITUTE($B1697,CHAR(160)," ")),'TRANS'!$D:$D,0)),IFERROR(INDEX('Catalog'!$A:$A,MATCH($B1697,'Catalog'!$B:$B,0)),IFERROR(INDEX('Catalog'!$A:$A,MATCH(TRIM(SUBSTITUTE($B1697,CHAR(160)," ")),'Catalog'!$C:$C,0)),""))))</f>
        <v>4413490</v>
      </c>
      <c r="H1697" s="8" t="str">
        <f aca="false">IFERROR(INDEX('TRANS'!$C:$C,MATCH($B1697,'TRANS'!$A:$A,0)),IFERROR(INDEX('Catalog'!$B:$B,MATCH($G1697,'Catalog'!$A:$A,0)),$B1697))</f>
        <v>35B L מגן קרסול שחור</v>
      </c>
      <c r="I1697" s="8" t="str">
        <f aca="false">IF($G1697="","Unmatched","Matched")</f>
        <v>Matched</v>
      </c>
      <c r="J1697" s="8" t="n">
        <f aca="false">IF($G1697&lt;&gt;"",$G1697,$B1697)</f>
        <v>4413490</v>
      </c>
      <c r="K1697" s="8" t="str">
        <f aca="false">IF(COUNTIF($M$1:$M$10,$A1697)&gt;0,"Y","N")</f>
        <v>Y</v>
      </c>
    </row>
    <row r="1698" customFormat="false" ht="15" hidden="false" customHeight="true" outlineLevel="0" collapsed="false">
      <c r="A1698" s="8" t="s">
        <v>56</v>
      </c>
      <c r="B1698" s="8" t="s">
        <v>616</v>
      </c>
      <c r="C1698" s="19" t="n">
        <v>4</v>
      </c>
      <c r="D1698" s="19" t="n">
        <v>76</v>
      </c>
      <c r="E1698" s="19" t="n">
        <v>2</v>
      </c>
      <c r="F1698" s="19" t="n">
        <v>37.99</v>
      </c>
      <c r="G1698" s="8" t="n">
        <f aca="false">IFERROR(INDEX('TRANS'!$B:$B,MATCH($B1698,'TRANS'!$A:$A,0)),IFERROR(INDEX('TRANS'!$B:$B,MATCH(TRIM(SUBSTITUTE($B1698,CHAR(160)," ")),'TRANS'!$D:$D,0)),IFERROR(INDEX('Catalog'!$A:$A,MATCH($B1698,'Catalog'!$B:$B,0)),IFERROR(INDEX('Catalog'!$A:$A,MATCH(TRIM(SUBSTITUTE($B1698,CHAR(160)," ")),'Catalog'!$C:$C,0)),""))))</f>
        <v>4413492</v>
      </c>
      <c r="H1698" s="8" t="str">
        <f aca="false">IFERROR(INDEX('TRANS'!$C:$C,MATCH($B1698,'TRANS'!$A:$A,0)),IFERROR(INDEX('Catalog'!$B:$B,MATCH($G1698,'Catalog'!$A:$A,0)),$B1698))</f>
        <v>35B M מגן קרסול שחור</v>
      </c>
      <c r="I1698" s="8" t="str">
        <f aca="false">IF($G1698="","Unmatched","Matched")</f>
        <v>Matched</v>
      </c>
      <c r="J1698" s="8" t="n">
        <f aca="false">IF($G1698&lt;&gt;"",$G1698,$B1698)</f>
        <v>4413492</v>
      </c>
      <c r="K1698" s="8" t="str">
        <f aca="false">IF(COUNTIF($M$1:$M$10,$A1698)&gt;0,"Y","N")</f>
        <v>Y</v>
      </c>
    </row>
    <row r="1699" customFormat="false" ht="15" hidden="false" customHeight="true" outlineLevel="0" collapsed="false">
      <c r="A1699" s="8" t="s">
        <v>56</v>
      </c>
      <c r="B1699" s="8" t="s">
        <v>618</v>
      </c>
      <c r="C1699" s="19" t="n">
        <v>4</v>
      </c>
      <c r="D1699" s="19" t="n">
        <v>38.02</v>
      </c>
      <c r="E1699" s="19" t="n">
        <v>2</v>
      </c>
      <c r="F1699" s="19" t="n">
        <v>19.01</v>
      </c>
      <c r="G1699" s="8" t="n">
        <f aca="false">IFERROR(INDEX('TRANS'!$B:$B,MATCH($B1699,'TRANS'!$A:$A,0)),IFERROR(INDEX('TRANS'!$B:$B,MATCH(TRIM(SUBSTITUTE($B1699,CHAR(160)," ")),'TRANS'!$D:$D,0)),IFERROR(INDEX('Catalog'!$A:$A,MATCH($B1699,'Catalog'!$B:$B,0)),IFERROR(INDEX('Catalog'!$A:$A,MATCH(TRIM(SUBSTITUTE($B1699,CHAR(160)," ")),'Catalog'!$C:$C,0)),""))))</f>
        <v>4413491</v>
      </c>
      <c r="H1699" s="8" t="str">
        <f aca="false">IFERROR(INDEX('TRANS'!$C:$C,MATCH($B1699,'TRANS'!$A:$A,0)),IFERROR(INDEX('Catalog'!$B:$B,MATCH($G1699,'Catalog'!$A:$A,0)),$B1699))</f>
        <v>35B XL מגן קרסול שחור</v>
      </c>
      <c r="I1699" s="8" t="str">
        <f aca="false">IF($G1699="","Unmatched","Matched")</f>
        <v>Matched</v>
      </c>
      <c r="J1699" s="8" t="n">
        <f aca="false">IF($G1699&lt;&gt;"",$G1699,$B1699)</f>
        <v>4413491</v>
      </c>
      <c r="K1699" s="8" t="str">
        <f aca="false">IF(COUNTIF($M$1:$M$10,$A1699)&gt;0,"Y","N")</f>
        <v>Y</v>
      </c>
    </row>
    <row r="1700" customFormat="false" ht="15" hidden="false" customHeight="true" outlineLevel="0" collapsed="false">
      <c r="A1700" s="8" t="s">
        <v>56</v>
      </c>
      <c r="B1700" s="8" t="s">
        <v>623</v>
      </c>
      <c r="C1700" s="19" t="n">
        <v>2</v>
      </c>
      <c r="D1700" s="19" t="n">
        <v>84.99</v>
      </c>
      <c r="E1700" s="19" t="n">
        <v>0</v>
      </c>
      <c r="F1700" s="19" t="n">
        <v>0</v>
      </c>
      <c r="G1700" s="8" t="n">
        <f aca="false">IFERROR(INDEX('TRANS'!$B:$B,MATCH($B1700,'TRANS'!$A:$A,0)),IFERROR(INDEX('TRANS'!$B:$B,MATCH(TRIM(SUBSTITUTE($B1700,CHAR(160)," ")),'TRANS'!$D:$D,0)),IFERROR(INDEX('Catalog'!$A:$A,MATCH($B1700,'Catalog'!$B:$B,0)),IFERROR(INDEX('Catalog'!$A:$A,MATCH(TRIM(SUBSTITUTE($B1700,CHAR(160)," ")),'Catalog'!$C:$C,0)),""))))</f>
        <v>4421007</v>
      </c>
      <c r="H1700" s="8" t="str">
        <f aca="false">IFERROR(INDEX('TRANS'!$C:$C,MATCH($B1700,'TRANS'!$A:$A,0)),IFERROR(INDEX('Catalog'!$B:$B,MATCH($G1700,'Catalog'!$A:$A,0)),$B1700))</f>
        <v>שרוול לגבס קצר רגל</v>
      </c>
      <c r="I1700" s="8" t="str">
        <f aca="false">IF($G1700="","Unmatched","Matched")</f>
        <v>Matched</v>
      </c>
      <c r="J1700" s="8" t="n">
        <f aca="false">IF($G1700&lt;&gt;"",$G1700,$B1700)</f>
        <v>4421007</v>
      </c>
      <c r="K1700" s="8" t="str">
        <f aca="false">IF(COUNTIF($M$1:$M$10,$A1700)&gt;0,"Y","N")</f>
        <v>Y</v>
      </c>
    </row>
    <row r="1701" customFormat="false" ht="15" hidden="false" customHeight="true" outlineLevel="0" collapsed="false">
      <c r="A1701" s="8" t="s">
        <v>56</v>
      </c>
      <c r="B1701" s="8" t="s">
        <v>624</v>
      </c>
      <c r="C1701" s="19" t="n">
        <v>2</v>
      </c>
      <c r="D1701" s="19" t="n">
        <v>89.73</v>
      </c>
      <c r="E1701" s="19" t="n">
        <v>0</v>
      </c>
      <c r="F1701" s="19" t="n">
        <v>0</v>
      </c>
      <c r="G1701" s="8" t="n">
        <f aca="false">IFERROR(INDEX('TRANS'!$B:$B,MATCH($B1701,'TRANS'!$A:$A,0)),IFERROR(INDEX('TRANS'!$B:$B,MATCH(TRIM(SUBSTITUTE($B1701,CHAR(160)," ")),'TRANS'!$D:$D,0)),IFERROR(INDEX('Catalog'!$A:$A,MATCH($B1701,'Catalog'!$B:$B,0)),IFERROR(INDEX('Catalog'!$A:$A,MATCH(TRIM(SUBSTITUTE($B1701,CHAR(160)," ")),'Catalog'!$C:$C,0)),""))))</f>
        <v>4421008</v>
      </c>
      <c r="H1701" s="8" t="str">
        <f aca="false">IFERROR(INDEX('TRANS'!$C:$C,MATCH($B1701,'TRANS'!$A:$A,0)),IFERROR(INDEX('Catalog'!$B:$B,MATCH($G1701,'Catalog'!$A:$A,0)),$B1701))</f>
        <v>שרוול לגבס ארוך רגל</v>
      </c>
      <c r="I1701" s="8" t="str">
        <f aca="false">IF($G1701="","Unmatched","Matched")</f>
        <v>Matched</v>
      </c>
      <c r="J1701" s="8" t="n">
        <f aca="false">IF($G1701&lt;&gt;"",$G1701,$B1701)</f>
        <v>4421008</v>
      </c>
      <c r="K1701" s="8" t="str">
        <f aca="false">IF(COUNTIF($M$1:$M$10,$A1701)&gt;0,"Y","N")</f>
        <v>Y</v>
      </c>
    </row>
    <row r="1702" customFormat="false" ht="15" hidden="false" customHeight="true" outlineLevel="0" collapsed="false">
      <c r="A1702" s="8" t="s">
        <v>56</v>
      </c>
      <c r="B1702" s="8" t="s">
        <v>675</v>
      </c>
      <c r="C1702" s="19" t="n">
        <v>4</v>
      </c>
      <c r="D1702" s="19" t="n">
        <v>76</v>
      </c>
      <c r="E1702" s="19" t="n">
        <v>2</v>
      </c>
      <c r="F1702" s="19" t="n">
        <v>37.99</v>
      </c>
      <c r="G1702" s="8" t="n">
        <f aca="false">IFERROR(INDEX('TRANS'!$B:$B,MATCH($B1702,'TRANS'!$A:$A,0)),IFERROR(INDEX('TRANS'!$B:$B,MATCH(TRIM(SUBSTITUTE($B1702,CHAR(160)," ")),'TRANS'!$D:$D,0)),IFERROR(INDEX('Catalog'!$A:$A,MATCH($B1702,'Catalog'!$B:$B,0)),IFERROR(INDEX('Catalog'!$A:$A,MATCH(TRIM(SUBSTITUTE($B1702,CHAR(160)," ")),'Catalog'!$C:$C,0)),""))))</f>
        <v>4413495</v>
      </c>
      <c r="H1702" s="8" t="str">
        <f aca="false">IFERROR(INDEX('TRANS'!$C:$C,MATCH($B1702,'TRANS'!$A:$A,0)),IFERROR(INDEX('Catalog'!$B:$B,MATCH($G1702,'Catalog'!$A:$A,0)),$B1702))</f>
        <v>45B L מגן ברך שחור</v>
      </c>
      <c r="I1702" s="8" t="str">
        <f aca="false">IF($G1702="","Unmatched","Matched")</f>
        <v>Matched</v>
      </c>
      <c r="J1702" s="8" t="n">
        <f aca="false">IF($G1702&lt;&gt;"",$G1702,$B1702)</f>
        <v>4413495</v>
      </c>
      <c r="K1702" s="8" t="str">
        <f aca="false">IF(COUNTIF($M$1:$M$10,$A1702)&gt;0,"Y","N")</f>
        <v>Y</v>
      </c>
    </row>
    <row r="1703" customFormat="false" ht="15" hidden="false" customHeight="true" outlineLevel="0" collapsed="false">
      <c r="A1703" s="8" t="s">
        <v>56</v>
      </c>
      <c r="B1703" s="8" t="s">
        <v>676</v>
      </c>
      <c r="C1703" s="19" t="n">
        <v>4</v>
      </c>
      <c r="D1703" s="19" t="n">
        <v>76</v>
      </c>
      <c r="E1703" s="19" t="n">
        <v>2</v>
      </c>
      <c r="F1703" s="19" t="n">
        <v>37.99</v>
      </c>
      <c r="G1703" s="8" t="n">
        <f aca="false">IFERROR(INDEX('TRANS'!$B:$B,MATCH($B1703,'TRANS'!$A:$A,0)),IFERROR(INDEX('TRANS'!$B:$B,MATCH(TRIM(SUBSTITUTE($B1703,CHAR(160)," ")),'TRANS'!$D:$D,0)),IFERROR(INDEX('Catalog'!$A:$A,MATCH($B1703,'Catalog'!$B:$B,0)),IFERROR(INDEX('Catalog'!$A:$A,MATCH(TRIM(SUBSTITUTE($B1703,CHAR(160)," ")),'Catalog'!$C:$C,0)),""))))</f>
        <v>4413497</v>
      </c>
      <c r="H1703" s="8" t="str">
        <f aca="false">IFERROR(INDEX('TRANS'!$C:$C,MATCH($B1703,'TRANS'!$A:$A,0)),IFERROR(INDEX('Catalog'!$B:$B,MATCH($G1703,'Catalog'!$A:$A,0)),$B1703))</f>
        <v>45B M מגן ברך שחור</v>
      </c>
      <c r="I1703" s="8" t="str">
        <f aca="false">IF($G1703="","Unmatched","Matched")</f>
        <v>Matched</v>
      </c>
      <c r="J1703" s="8" t="n">
        <f aca="false">IF($G1703&lt;&gt;"",$G1703,$B1703)</f>
        <v>4413497</v>
      </c>
      <c r="K1703" s="8" t="str">
        <f aca="false">IF(COUNTIF($M$1:$M$10,$A1703)&gt;0,"Y","N")</f>
        <v>Y</v>
      </c>
    </row>
    <row r="1704" customFormat="false" ht="15" hidden="false" customHeight="true" outlineLevel="0" collapsed="false">
      <c r="A1704" s="8" t="s">
        <v>56</v>
      </c>
      <c r="B1704" s="8" t="s">
        <v>802</v>
      </c>
      <c r="C1704" s="19" t="n">
        <v>4</v>
      </c>
      <c r="D1704" s="19" t="n">
        <v>38.02</v>
      </c>
      <c r="E1704" s="19" t="n">
        <v>2</v>
      </c>
      <c r="F1704" s="19" t="n">
        <v>19.01</v>
      </c>
      <c r="G1704" s="8" t="n">
        <f aca="false">IFERROR(INDEX('TRANS'!$B:$B,MATCH($B1704,'TRANS'!$A:$A,0)),IFERROR(INDEX('TRANS'!$B:$B,MATCH(TRIM(SUBSTITUTE($B1704,CHAR(160)," ")),'TRANS'!$D:$D,0)),IFERROR(INDEX('Catalog'!$A:$A,MATCH($B1704,'Catalog'!$B:$B,0)),IFERROR(INDEX('Catalog'!$A:$A,MATCH(TRIM(SUBSTITUTE($B1704,CHAR(160)," ")),'Catalog'!$C:$C,0)),""))))</f>
        <v>4413496</v>
      </c>
      <c r="H1704" s="8" t="str">
        <f aca="false">IFERROR(INDEX('TRANS'!$C:$C,MATCH($B1704,'TRANS'!$A:$A,0)),IFERROR(INDEX('Catalog'!$B:$B,MATCH($G1704,'Catalog'!$A:$A,0)),$B1704))</f>
        <v>45B XL מגן ברך שחור</v>
      </c>
      <c r="I1704" s="8" t="str">
        <f aca="false">IF($G1704="","Unmatched","Matched")</f>
        <v>Matched</v>
      </c>
      <c r="J1704" s="8" t="n">
        <f aca="false">IF($G1704&lt;&gt;"",$G1704,$B1704)</f>
        <v>4413496</v>
      </c>
      <c r="K1704" s="8" t="str">
        <f aca="false">IF(COUNTIF($M$1:$M$10,$A1704)&gt;0,"Y","N")</f>
        <v>Y</v>
      </c>
    </row>
    <row r="1705" customFormat="false" ht="15" hidden="false" customHeight="true" outlineLevel="0" collapsed="false">
      <c r="A1705" s="8" t="s">
        <v>56</v>
      </c>
      <c r="B1705" s="8" t="s">
        <v>696</v>
      </c>
      <c r="C1705" s="19" t="n">
        <v>2</v>
      </c>
      <c r="D1705" s="19" t="n">
        <v>41.5</v>
      </c>
      <c r="E1705" s="19" t="n">
        <v>0</v>
      </c>
      <c r="F1705" s="19" t="n">
        <v>0</v>
      </c>
      <c r="G1705" s="8" t="n">
        <f aca="false">IFERROR(INDEX('TRANS'!$B:$B,MATCH($B1705,'TRANS'!$A:$A,0)),IFERROR(INDEX('TRANS'!$B:$B,MATCH(TRIM(SUBSTITUTE($B1705,CHAR(160)," ")),'TRANS'!$D:$D,0)),IFERROR(INDEX('Catalog'!$A:$A,MATCH($B1705,'Catalog'!$B:$B,0)),IFERROR(INDEX('Catalog'!$A:$A,MATCH(TRIM(SUBSTITUTE($B1705,CHAR(160)," ")),'Catalog'!$C:$C,0)),""))))</f>
        <v>4422000</v>
      </c>
      <c r="H1705" s="8" t="str">
        <f aca="false">IFERROR(INDEX('TRANS'!$C:$C,MATCH($B1705,'TRANS'!$A:$A,0)),IFERROR(INDEX('Catalog'!$B:$B,MATCH($G1705,'Catalog'!$A:$A,0)),$B1705))</f>
        <v>801  תחבושת אלסטית מקררת</v>
      </c>
      <c r="I1705" s="8" t="str">
        <f aca="false">IF($G1705="","Unmatched","Matched")</f>
        <v>Matched</v>
      </c>
      <c r="J1705" s="8" t="n">
        <f aca="false">IF($G1705&lt;&gt;"",$G1705,$B1705)</f>
        <v>4422000</v>
      </c>
      <c r="K1705" s="8" t="str">
        <f aca="false">IF(COUNTIF($M$1:$M$10,$A1705)&gt;0,"Y","N")</f>
        <v>Y</v>
      </c>
    </row>
    <row r="1706" customFormat="false" ht="15" hidden="false" customHeight="true" outlineLevel="0" collapsed="false">
      <c r="A1706" s="8" t="s">
        <v>56</v>
      </c>
      <c r="B1706" s="8" t="s">
        <v>705</v>
      </c>
      <c r="C1706" s="19" t="n">
        <v>6</v>
      </c>
      <c r="D1706" s="19" t="n">
        <v>180</v>
      </c>
      <c r="E1706" s="19" t="n">
        <v>0</v>
      </c>
      <c r="F1706" s="19" t="n">
        <v>0</v>
      </c>
      <c r="G1706" s="8" t="n">
        <f aca="false">IFERROR(INDEX('TRANS'!$B:$B,MATCH($B1706,'TRANS'!$A:$A,0)),IFERROR(INDEX('TRANS'!$B:$B,MATCH(TRIM(SUBSTITUTE($B1706,CHAR(160)," ")),'TRANS'!$D:$D,0)),IFERROR(INDEX('Catalog'!$A:$A,MATCH($B1706,'Catalog'!$B:$B,0)),IFERROR(INDEX('Catalog'!$A:$A,MATCH(TRIM(SUBSTITUTE($B1706,CHAR(160)," ")),'Catalog'!$C:$C,0)),""))))</f>
        <v>4409017</v>
      </c>
      <c r="H1706" s="8" t="str">
        <f aca="false">IFERROR(INDEX('TRANS'!$C:$C,MATCH($B1706,'TRANS'!$A:$A,0)),IFERROR(INDEX('Catalog'!$B:$B,MATCH($G1706,'Catalog'!$A:$A,0)),$B1706))</f>
        <v>808KT-B        טייפ קינזיולוגי</v>
      </c>
      <c r="I1706" s="8" t="str">
        <f aca="false">IF($G1706="","Unmatched","Matched")</f>
        <v>Matched</v>
      </c>
      <c r="J1706" s="8" t="n">
        <f aca="false">IF($G1706&lt;&gt;"",$G1706,$B1706)</f>
        <v>4409017</v>
      </c>
      <c r="K1706" s="8" t="str">
        <f aca="false">IF(COUNTIF($M$1:$M$10,$A1706)&gt;0,"Y","N")</f>
        <v>Y</v>
      </c>
    </row>
    <row r="1707" customFormat="false" ht="15" hidden="false" customHeight="true" outlineLevel="0" collapsed="false">
      <c r="A1707" s="8" t="s">
        <v>56</v>
      </c>
      <c r="B1707" s="8" t="s">
        <v>886</v>
      </c>
      <c r="C1707" s="19" t="n">
        <v>6</v>
      </c>
      <c r="D1707" s="19" t="n">
        <v>180</v>
      </c>
      <c r="E1707" s="19" t="n">
        <v>0</v>
      </c>
      <c r="F1707" s="19" t="n">
        <v>0</v>
      </c>
      <c r="G1707" s="8" t="n">
        <f aca="false">IFERROR(INDEX('TRANS'!$B:$B,MATCH($B1707,'TRANS'!$A:$A,0)),IFERROR(INDEX('TRANS'!$B:$B,MATCH(TRIM(SUBSTITUTE($B1707,CHAR(160)," ")),'TRANS'!$D:$D,0)),IFERROR(INDEX('Catalog'!$A:$A,MATCH($B1707,'Catalog'!$B:$B,0)),IFERROR(INDEX('Catalog'!$A:$A,MATCH(TRIM(SUBSTITUTE($B1707,CHAR(160)," ")),'Catalog'!$C:$C,0)),""))))</f>
        <v>4409015</v>
      </c>
      <c r="H1707" s="8" t="str">
        <f aca="false">IFERROR(INDEX('TRANS'!$C:$C,MATCH($B1707,'TRANS'!$A:$A,0)),IFERROR(INDEX('Catalog'!$B:$B,MATCH($G1707,'Catalog'!$A:$A,0)),$B1707))</f>
        <v>808KT-BL       טייפ קינזיולוגי</v>
      </c>
      <c r="I1707" s="8" t="str">
        <f aca="false">IF($G1707="","Unmatched","Matched")</f>
        <v>Matched</v>
      </c>
      <c r="J1707" s="8" t="n">
        <f aca="false">IF($G1707&lt;&gt;"",$G1707,$B1707)</f>
        <v>4409015</v>
      </c>
      <c r="K1707" s="8" t="str">
        <f aca="false">IF(COUNTIF($M$1:$M$10,$A1707)&gt;0,"Y","N")</f>
        <v>Y</v>
      </c>
    </row>
    <row r="1708" customFormat="false" ht="15" hidden="false" customHeight="true" outlineLevel="0" collapsed="false">
      <c r="A1708" s="8" t="s">
        <v>56</v>
      </c>
      <c r="B1708" s="8" t="s">
        <v>706</v>
      </c>
      <c r="C1708" s="19" t="n">
        <v>6</v>
      </c>
      <c r="D1708" s="19" t="n">
        <v>180</v>
      </c>
      <c r="E1708" s="19" t="n">
        <v>0</v>
      </c>
      <c r="F1708" s="19" t="n">
        <v>0</v>
      </c>
      <c r="G1708" s="8" t="n">
        <f aca="false">IFERROR(INDEX('TRANS'!$B:$B,MATCH($B1708,'TRANS'!$A:$A,0)),IFERROR(INDEX('TRANS'!$B:$B,MATCH(TRIM(SUBSTITUTE($B1708,CHAR(160)," ")),'TRANS'!$D:$D,0)),IFERROR(INDEX('Catalog'!$A:$A,MATCH($B1708,'Catalog'!$B:$B,0)),IFERROR(INDEX('Catalog'!$A:$A,MATCH(TRIM(SUBSTITUTE($B1708,CHAR(160)," ")),'Catalog'!$C:$C,0)),""))))</f>
        <v>4409016</v>
      </c>
      <c r="H1708" s="8" t="str">
        <f aca="false">IFERROR(INDEX('TRANS'!$C:$C,MATCH($B1708,'TRANS'!$A:$A,0)),IFERROR(INDEX('Catalog'!$B:$B,MATCH($G1708,'Catalog'!$A:$A,0)),$B1708))</f>
        <v>808KT-C        טייפ קינזיולוגי</v>
      </c>
      <c r="I1708" s="8" t="str">
        <f aca="false">IF($G1708="","Unmatched","Matched")</f>
        <v>Matched</v>
      </c>
      <c r="J1708" s="8" t="n">
        <f aca="false">IF($G1708&lt;&gt;"",$G1708,$B1708)</f>
        <v>4409016</v>
      </c>
      <c r="K1708" s="8" t="str">
        <f aca="false">IF(COUNTIF($M$1:$M$10,$A1708)&gt;0,"Y","N")</f>
        <v>Y</v>
      </c>
    </row>
    <row r="1709" customFormat="false" ht="15" hidden="false" customHeight="true" outlineLevel="0" collapsed="false">
      <c r="A1709" s="8" t="s">
        <v>56</v>
      </c>
      <c r="B1709" s="8" t="s">
        <v>887</v>
      </c>
      <c r="C1709" s="19" t="n">
        <v>6</v>
      </c>
      <c r="D1709" s="19" t="n">
        <v>180</v>
      </c>
      <c r="E1709" s="19" t="n">
        <v>0</v>
      </c>
      <c r="F1709" s="19" t="n">
        <v>0</v>
      </c>
      <c r="G1709" s="8" t="n">
        <f aca="false">IFERROR(INDEX('TRANS'!$B:$B,MATCH($B1709,'TRANS'!$A:$A,0)),IFERROR(INDEX('TRANS'!$B:$B,MATCH(TRIM(SUBSTITUTE($B1709,CHAR(160)," ")),'TRANS'!$D:$D,0)),IFERROR(INDEX('Catalog'!$A:$A,MATCH($B1709,'Catalog'!$B:$B,0)),IFERROR(INDEX('Catalog'!$A:$A,MATCH(TRIM(SUBSTITUTE($B1709,CHAR(160)," ")),'Catalog'!$C:$C,0)),""))))</f>
        <v>4409014</v>
      </c>
      <c r="H1709" s="8" t="str">
        <f aca="false">IFERROR(INDEX('TRANS'!$C:$C,MATCH($B1709,'TRANS'!$A:$A,0)),IFERROR(INDEX('Catalog'!$B:$B,MATCH($G1709,'Catalog'!$A:$A,0)),$B1709))</f>
        <v>808KT-P        טייפ קינזיולוגי</v>
      </c>
      <c r="I1709" s="8" t="str">
        <f aca="false">IF($G1709="","Unmatched","Matched")</f>
        <v>Matched</v>
      </c>
      <c r="J1709" s="8" t="n">
        <f aca="false">IF($G1709&lt;&gt;"",$G1709,$B1709)</f>
        <v>4409014</v>
      </c>
      <c r="K1709" s="8" t="str">
        <f aca="false">IF(COUNTIF($M$1:$M$10,$A1709)&gt;0,"Y","N")</f>
        <v>Y</v>
      </c>
    </row>
    <row r="1710" customFormat="false" ht="15" hidden="false" customHeight="true" outlineLevel="0" collapsed="false">
      <c r="A1710" s="8" t="s">
        <v>56</v>
      </c>
      <c r="B1710" s="8" t="s">
        <v>717</v>
      </c>
      <c r="C1710" s="19" t="n">
        <v>4</v>
      </c>
      <c r="D1710" s="19" t="n">
        <v>76</v>
      </c>
      <c r="E1710" s="19" t="n">
        <v>2</v>
      </c>
      <c r="F1710" s="19" t="n">
        <v>37.99</v>
      </c>
      <c r="G1710" s="8" t="n">
        <f aca="false">IFERROR(INDEX('TRANS'!$B:$B,MATCH($B1710,'TRANS'!$A:$A,0)),IFERROR(INDEX('TRANS'!$B:$B,MATCH(TRIM(SUBSTITUTE($B1710,CHAR(160)," ")),'TRANS'!$D:$D,0)),IFERROR(INDEX('Catalog'!$A:$A,MATCH($B1710,'Catalog'!$B:$B,0)),IFERROR(INDEX('Catalog'!$A:$A,MATCH(TRIM(SUBSTITUTE($B1710,CHAR(160)," ")),'Catalog'!$C:$C,0)),""))))</f>
        <v>4413500</v>
      </c>
      <c r="H1710" s="8" t="str">
        <f aca="false">IFERROR(INDEX('TRANS'!$C:$C,MATCH($B1710,'TRANS'!$A:$A,0)),IFERROR(INDEX('Catalog'!$B:$B,MATCH($G1710,'Catalog'!$A:$A,0)),$B1710))</f>
        <v>95B L מגן מרפק שחור</v>
      </c>
      <c r="I1710" s="8" t="str">
        <f aca="false">IF($G1710="","Unmatched","Matched")</f>
        <v>Matched</v>
      </c>
      <c r="J1710" s="8" t="n">
        <f aca="false">IF($G1710&lt;&gt;"",$G1710,$B1710)</f>
        <v>4413500</v>
      </c>
      <c r="K1710" s="8" t="str">
        <f aca="false">IF(COUNTIF($M$1:$M$10,$A1710)&gt;0,"Y","N")</f>
        <v>Y</v>
      </c>
    </row>
    <row r="1711" customFormat="false" ht="15" hidden="false" customHeight="true" outlineLevel="0" collapsed="false">
      <c r="A1711" s="8" t="s">
        <v>56</v>
      </c>
      <c r="B1711" s="8" t="s">
        <v>718</v>
      </c>
      <c r="C1711" s="19" t="n">
        <v>3</v>
      </c>
      <c r="D1711" s="19" t="n">
        <v>38.01</v>
      </c>
      <c r="E1711" s="19" t="n">
        <v>1</v>
      </c>
      <c r="F1711" s="19" t="n">
        <v>0.01</v>
      </c>
      <c r="G1711" s="8" t="n">
        <f aca="false">IFERROR(INDEX('TRANS'!$B:$B,MATCH($B1711,'TRANS'!$A:$A,0)),IFERROR(INDEX('TRANS'!$B:$B,MATCH(TRIM(SUBSTITUTE($B1711,CHAR(160)," ")),'TRANS'!$D:$D,0)),IFERROR(INDEX('Catalog'!$A:$A,MATCH($B1711,'Catalog'!$B:$B,0)),IFERROR(INDEX('Catalog'!$A:$A,MATCH(TRIM(SUBSTITUTE($B1711,CHAR(160)," ")),'Catalog'!$C:$C,0)),""))))</f>
        <v>4413501</v>
      </c>
      <c r="H1711" s="8" t="str">
        <f aca="false">IFERROR(INDEX('TRANS'!$C:$C,MATCH($B1711,'TRANS'!$A:$A,0)),IFERROR(INDEX('Catalog'!$B:$B,MATCH($G1711,'Catalog'!$A:$A,0)),$B1711))</f>
        <v>95B M מגן מרפק שחור</v>
      </c>
      <c r="I1711" s="8" t="str">
        <f aca="false">IF($G1711="","Unmatched","Matched")</f>
        <v>Matched</v>
      </c>
      <c r="J1711" s="8" t="n">
        <f aca="false">IF($G1711&lt;&gt;"",$G1711,$B1711)</f>
        <v>4413501</v>
      </c>
      <c r="K1711" s="8" t="str">
        <f aca="false">IF(COUNTIF($M$1:$M$10,$A1711)&gt;0,"Y","N")</f>
        <v>Y</v>
      </c>
    </row>
    <row r="1712" customFormat="false" ht="15" hidden="false" customHeight="true" outlineLevel="0" collapsed="false">
      <c r="A1712" s="8" t="s">
        <v>56</v>
      </c>
      <c r="B1712" s="8" t="s">
        <v>720</v>
      </c>
      <c r="C1712" s="19" t="n">
        <v>5</v>
      </c>
      <c r="D1712" s="19" t="n">
        <v>76.01</v>
      </c>
      <c r="E1712" s="19" t="n">
        <v>3</v>
      </c>
      <c r="F1712" s="19" t="n">
        <v>56.99</v>
      </c>
      <c r="G1712" s="8" t="n">
        <f aca="false">IFERROR(INDEX('TRANS'!$B:$B,MATCH($B1712,'TRANS'!$A:$A,0)),IFERROR(INDEX('TRANS'!$B:$B,MATCH(TRIM(SUBSTITUTE($B1712,CHAR(160)," ")),'TRANS'!$D:$D,0)),IFERROR(INDEX('Catalog'!$A:$A,MATCH($B1712,'Catalog'!$B:$B,0)),IFERROR(INDEX('Catalog'!$A:$A,MATCH(TRIM(SUBSTITUTE($B1712,CHAR(160)," ")),'Catalog'!$C:$C,0)),""))))</f>
        <v>4413503</v>
      </c>
      <c r="H1712" s="8" t="str">
        <f aca="false">IFERROR(INDEX('TRANS'!$C:$C,MATCH($B1712,'TRANS'!$A:$A,0)),IFERROR(INDEX('Catalog'!$B:$B,MATCH($G1712,'Catalog'!$A:$A,0)),$B1712))</f>
        <v>95B XL מגן מרפק שחור</v>
      </c>
      <c r="I1712" s="8" t="str">
        <f aca="false">IF($G1712="","Unmatched","Matched")</f>
        <v>Matched</v>
      </c>
      <c r="J1712" s="8" t="n">
        <f aca="false">IF($G1712&lt;&gt;"",$G1712,$B1712)</f>
        <v>4413503</v>
      </c>
      <c r="K1712" s="8" t="str">
        <f aca="false">IF(COUNTIF($M$1:$M$10,$A1712)&gt;0,"Y","N")</f>
        <v>Y</v>
      </c>
    </row>
    <row r="1713" customFormat="false" ht="15" hidden="false" customHeight="true" outlineLevel="0" collapsed="false">
      <c r="A1713" s="8" t="s">
        <v>56</v>
      </c>
      <c r="B1713" s="8" t="s">
        <v>723</v>
      </c>
      <c r="C1713" s="19" t="n">
        <v>10</v>
      </c>
      <c r="D1713" s="19" t="n">
        <v>748.42</v>
      </c>
      <c r="E1713" s="19" t="n">
        <v>5</v>
      </c>
      <c r="F1713" s="19" t="n">
        <v>374.24</v>
      </c>
      <c r="G1713" s="8" t="n">
        <f aca="false">IFERROR(INDEX('TRANS'!$B:$B,MATCH($B1713,'TRANS'!$A:$A,0)),IFERROR(INDEX('TRANS'!$B:$B,MATCH(TRIM(SUBSTITUTE($B1713,CHAR(160)," ")),'TRANS'!$D:$D,0)),IFERROR(INDEX('Catalog'!$A:$A,MATCH($B1713,'Catalog'!$B:$B,0)),IFERROR(INDEX('Catalog'!$A:$A,MATCH(TRIM(SUBSTITUTE($B1713,CHAR(160)," ")),'Catalog'!$C:$C,0)),""))))</f>
        <v>4408205</v>
      </c>
      <c r="H1713" s="8" t="str">
        <f aca="false">IFERROR(INDEX('TRANS'!$C:$C,MATCH($B1713,'TRANS'!$A:$A,0)),IFERROR(INDEX('Catalog'!$B:$B,MATCH($G1713,'Catalog'!$A:$A,0)),$B1713))</f>
        <v>AC-07 חגורת גב עם תמיכות</v>
      </c>
      <c r="I1713" s="8" t="str">
        <f aca="false">IF($G1713="","Unmatched","Matched")</f>
        <v>Matched</v>
      </c>
      <c r="J1713" s="8" t="n">
        <f aca="false">IF($G1713&lt;&gt;"",$G1713,$B1713)</f>
        <v>4408205</v>
      </c>
      <c r="K1713" s="8" t="str">
        <f aca="false">IF(COUNTIF($M$1:$M$10,$A1713)&gt;0,"Y","N")</f>
        <v>Y</v>
      </c>
    </row>
    <row r="1714" customFormat="false" ht="15" hidden="false" customHeight="true" outlineLevel="0" collapsed="false">
      <c r="A1714" s="8" t="s">
        <v>56</v>
      </c>
      <c r="B1714" s="8" t="s">
        <v>724</v>
      </c>
      <c r="C1714" s="19" t="n">
        <v>5</v>
      </c>
      <c r="D1714" s="19" t="n">
        <v>292.93</v>
      </c>
      <c r="E1714" s="19" t="n">
        <v>0</v>
      </c>
      <c r="F1714" s="19" t="n">
        <v>0</v>
      </c>
      <c r="G1714" s="8" t="n">
        <f aca="false">IFERROR(INDEX('TRANS'!$B:$B,MATCH($B1714,'TRANS'!$A:$A,0)),IFERROR(INDEX('TRANS'!$B:$B,MATCH(TRIM(SUBSTITUTE($B1714,CHAR(160)," ")),'TRANS'!$D:$D,0)),IFERROR(INDEX('Catalog'!$A:$A,MATCH($B1714,'Catalog'!$B:$B,0)),IFERROR(INDEX('Catalog'!$A:$A,MATCH(TRIM(SUBSTITUTE($B1714,CHAR(160)," ")),'Catalog'!$C:$C,0)),""))))</f>
        <v>4408206</v>
      </c>
      <c r="H1714" s="8" t="str">
        <f aca="false">IFERROR(INDEX('TRANS'!$C:$C,MATCH($B1714,'TRANS'!$A:$A,0)),IFERROR(INDEX('Catalog'!$B:$B,MATCH($G1714,'Catalog'!$A:$A,0)),$B1714))</f>
        <v>AC-11 חגורת בטן קלה</v>
      </c>
      <c r="I1714" s="8" t="str">
        <f aca="false">IF($G1714="","Unmatched","Matched")</f>
        <v>Matched</v>
      </c>
      <c r="J1714" s="8" t="n">
        <f aca="false">IF($G1714&lt;&gt;"",$G1714,$B1714)</f>
        <v>4408206</v>
      </c>
      <c r="K1714" s="8" t="str">
        <f aca="false">IF(COUNTIF($M$1:$M$10,$A1714)&gt;0,"Y","N")</f>
        <v>Y</v>
      </c>
    </row>
    <row r="1715" customFormat="false" ht="15" hidden="false" customHeight="true" outlineLevel="0" collapsed="false">
      <c r="A1715" s="8" t="s">
        <v>56</v>
      </c>
      <c r="B1715" s="8" t="s">
        <v>725</v>
      </c>
      <c r="C1715" s="19" t="n">
        <v>5</v>
      </c>
      <c r="D1715" s="19" t="n">
        <v>122.74</v>
      </c>
      <c r="E1715" s="19" t="n">
        <v>0</v>
      </c>
      <c r="F1715" s="19" t="n">
        <v>0</v>
      </c>
      <c r="G1715" s="8" t="n">
        <f aca="false">IFERROR(INDEX('TRANS'!$B:$B,MATCH($B1715,'TRANS'!$A:$A,0)),IFERROR(INDEX('TRANS'!$B:$B,MATCH(TRIM(SUBSTITUTE($B1715,CHAR(160)," ")),'TRANS'!$D:$D,0)),IFERROR(INDEX('Catalog'!$A:$A,MATCH($B1715,'Catalog'!$B:$B,0)),IFERROR(INDEX('Catalog'!$A:$A,MATCH(TRIM(SUBSTITUTE($B1715,CHAR(160)," ")),'Catalog'!$C:$C,0)),""))))</f>
        <v>4408207</v>
      </c>
      <c r="H1715" s="8" t="str">
        <f aca="false">IFERROR(INDEX('TRANS'!$C:$C,MATCH($B1715,'TRANS'!$A:$A,0)),IFERROR(INDEX('Catalog'!$B:$B,MATCH($G1715,'Catalog'!$A:$A,0)),$B1715))</f>
        <v>AC-25 חבק לשורש כף היד</v>
      </c>
      <c r="I1715" s="8" t="str">
        <f aca="false">IF($G1715="","Unmatched","Matched")</f>
        <v>Matched</v>
      </c>
      <c r="J1715" s="8" t="n">
        <f aca="false">IF($G1715&lt;&gt;"",$G1715,$B1715)</f>
        <v>4408207</v>
      </c>
      <c r="K1715" s="8" t="str">
        <f aca="false">IF(COUNTIF($M$1:$M$10,$A1715)&gt;0,"Y","N")</f>
        <v>Y</v>
      </c>
    </row>
    <row r="1716" customFormat="false" ht="15" hidden="false" customHeight="true" outlineLevel="0" collapsed="false">
      <c r="A1716" s="8" t="s">
        <v>56</v>
      </c>
      <c r="B1716" s="8" t="s">
        <v>726</v>
      </c>
      <c r="C1716" s="19" t="n">
        <v>12</v>
      </c>
      <c r="D1716" s="19" t="n">
        <v>414.73</v>
      </c>
      <c r="E1716" s="19" t="n">
        <v>7</v>
      </c>
      <c r="F1716" s="19" t="n">
        <v>254.18</v>
      </c>
      <c r="G1716" s="8" t="n">
        <f aca="false">IFERROR(INDEX('TRANS'!$B:$B,MATCH($B1716,'TRANS'!$A:$A,0)),IFERROR(INDEX('TRANS'!$B:$B,MATCH(TRIM(SUBSTITUTE($B1716,CHAR(160)," ")),'TRANS'!$D:$D,0)),IFERROR(INDEX('Catalog'!$A:$A,MATCH($B1716,'Catalog'!$B:$B,0)),IFERROR(INDEX('Catalog'!$A:$A,MATCH(TRIM(SUBSTITUTE($B1716,CHAR(160)," ")),'Catalog'!$C:$C,0)),""))))</f>
        <v>4415026</v>
      </c>
      <c r="H1716" s="8" t="str">
        <f aca="false">IFERROR(INDEX('TRANS'!$C:$C,MATCH($B1716,'TRANS'!$A:$A,0)),IFERROR(INDEX('Catalog'!$B:$B,MATCH($G1716,'Catalog'!$A:$A,0)),$B1716))</f>
        <v>AC-27L סד לש.כף יד שמאל</v>
      </c>
      <c r="I1716" s="8" t="str">
        <f aca="false">IF($G1716="","Unmatched","Matched")</f>
        <v>Matched</v>
      </c>
      <c r="J1716" s="8" t="n">
        <f aca="false">IF($G1716&lt;&gt;"",$G1716,$B1716)</f>
        <v>4415026</v>
      </c>
      <c r="K1716" s="8" t="str">
        <f aca="false">IF(COUNTIF($M$1:$M$10,$A1716)&gt;0,"Y","N")</f>
        <v>Y</v>
      </c>
    </row>
    <row r="1717" customFormat="false" ht="15" hidden="false" customHeight="true" outlineLevel="0" collapsed="false">
      <c r="A1717" s="8" t="s">
        <v>56</v>
      </c>
      <c r="B1717" s="8" t="s">
        <v>727</v>
      </c>
      <c r="C1717" s="19" t="n">
        <v>13</v>
      </c>
      <c r="D1717" s="19" t="n">
        <v>414.73</v>
      </c>
      <c r="E1717" s="19" t="n">
        <v>7</v>
      </c>
      <c r="F1717" s="19" t="n">
        <v>254.18</v>
      </c>
      <c r="G1717" s="8" t="n">
        <f aca="false">IFERROR(INDEX('TRANS'!$B:$B,MATCH($B1717,'TRANS'!$A:$A,0)),IFERROR(INDEX('TRANS'!$B:$B,MATCH(TRIM(SUBSTITUTE($B1717,CHAR(160)," ")),'TRANS'!$D:$D,0)),IFERROR(INDEX('Catalog'!$A:$A,MATCH($B1717,'Catalog'!$B:$B,0)),IFERROR(INDEX('Catalog'!$A:$A,MATCH(TRIM(SUBSTITUTE($B1717,CHAR(160)," ")),'Catalog'!$C:$C,0)),""))))</f>
        <v>4415027</v>
      </c>
      <c r="H1717" s="8" t="str">
        <f aca="false">IFERROR(INDEX('TRANS'!$C:$C,MATCH($B1717,'TRANS'!$A:$A,0)),IFERROR(INDEX('Catalog'!$B:$B,MATCH($G1717,'Catalog'!$A:$A,0)),$B1717))</f>
        <v>AC-27R סד לש.כף יד ימין</v>
      </c>
      <c r="I1717" s="8" t="str">
        <f aca="false">IF($G1717="","Unmatched","Matched")</f>
        <v>Matched</v>
      </c>
      <c r="J1717" s="8" t="n">
        <f aca="false">IF($G1717&lt;&gt;"",$G1717,$B1717)</f>
        <v>4415027</v>
      </c>
      <c r="K1717" s="8" t="str">
        <f aca="false">IF(COUNTIF($M$1:$M$10,$A1717)&gt;0,"Y","N")</f>
        <v>Y</v>
      </c>
    </row>
    <row r="1718" customFormat="false" ht="15" hidden="false" customHeight="true" outlineLevel="0" collapsed="false">
      <c r="A1718" s="8" t="s">
        <v>56</v>
      </c>
      <c r="B1718" s="8" t="s">
        <v>728</v>
      </c>
      <c r="C1718" s="19" t="n">
        <v>10</v>
      </c>
      <c r="D1718" s="19" t="n">
        <v>256.82</v>
      </c>
      <c r="E1718" s="19" t="n">
        <v>5</v>
      </c>
      <c r="F1718" s="19" t="n">
        <v>128.41</v>
      </c>
      <c r="G1718" s="8" t="n">
        <f aca="false">IFERROR(INDEX('TRANS'!$B:$B,MATCH($B1718,'TRANS'!$A:$A,0)),IFERROR(INDEX('TRANS'!$B:$B,MATCH(TRIM(SUBSTITUTE($B1718,CHAR(160)," ")),'TRANS'!$D:$D,0)),IFERROR(INDEX('Catalog'!$A:$A,MATCH($B1718,'Catalog'!$B:$B,0)),IFERROR(INDEX('Catalog'!$A:$A,MATCH(TRIM(SUBSTITUTE($B1718,CHAR(160)," ")),'Catalog'!$C:$C,0)),""))))</f>
        <v>4415028</v>
      </c>
      <c r="H1718" s="8" t="str">
        <f aca="false">IFERROR(INDEX('TRANS'!$C:$C,MATCH($B1718,'TRANS'!$A:$A,0)),IFERROR(INDEX('Catalog'!$B:$B,MATCH($G1718,'Catalog'!$A:$A,0)),$B1718))</f>
        <v>AC-28 סד לאגודל</v>
      </c>
      <c r="I1718" s="8" t="str">
        <f aca="false">IF($G1718="","Unmatched","Matched")</f>
        <v>Matched</v>
      </c>
      <c r="J1718" s="8" t="n">
        <f aca="false">IF($G1718&lt;&gt;"",$G1718,$B1718)</f>
        <v>4415028</v>
      </c>
      <c r="K1718" s="8" t="str">
        <f aca="false">IF(COUNTIF($M$1:$M$10,$A1718)&gt;0,"Y","N")</f>
        <v>Y</v>
      </c>
    </row>
    <row r="1719" customFormat="false" ht="15" hidden="false" customHeight="true" outlineLevel="0" collapsed="false">
      <c r="A1719" s="8" t="s">
        <v>56</v>
      </c>
      <c r="B1719" s="8" t="s">
        <v>729</v>
      </c>
      <c r="C1719" s="19" t="n">
        <v>10</v>
      </c>
      <c r="D1719" s="19" t="n">
        <v>237.92</v>
      </c>
      <c r="E1719" s="19" t="n">
        <v>5</v>
      </c>
      <c r="F1719" s="19" t="n">
        <v>118.96</v>
      </c>
      <c r="G1719" s="8" t="n">
        <f aca="false">IFERROR(INDEX('TRANS'!$B:$B,MATCH($B1719,'TRANS'!$A:$A,0)),IFERROR(INDEX('TRANS'!$B:$B,MATCH(TRIM(SUBSTITUTE($B1719,CHAR(160)," ")),'TRANS'!$D:$D,0)),IFERROR(INDEX('Catalog'!$A:$A,MATCH($B1719,'Catalog'!$B:$B,0)),IFERROR(INDEX('Catalog'!$A:$A,MATCH(TRIM(SUBSTITUTE($B1719,CHAR(160)," ")),'Catalog'!$C:$C,0)),""))))</f>
        <v>4413326</v>
      </c>
      <c r="H1719" s="8" t="str">
        <f aca="false">IFERROR(INDEX('TRANS'!$C:$C,MATCH($B1719,'TRANS'!$A:$A,0)),IFERROR(INDEX('Catalog'!$B:$B,MATCH($G1719,'Catalog'!$A:$A,0)),$B1719))</f>
        <v>AC37 מגן קרסול נושם</v>
      </c>
      <c r="I1719" s="8" t="str">
        <f aca="false">IF($G1719="","Unmatched","Matched")</f>
        <v>Matched</v>
      </c>
      <c r="J1719" s="8" t="n">
        <f aca="false">IF($G1719&lt;&gt;"",$G1719,$B1719)</f>
        <v>4413326</v>
      </c>
      <c r="K1719" s="8" t="str">
        <f aca="false">IF(COUNTIF($M$1:$M$10,$A1719)&gt;0,"Y","N")</f>
        <v>Y</v>
      </c>
    </row>
    <row r="1720" customFormat="false" ht="15" hidden="false" customHeight="true" outlineLevel="0" collapsed="false">
      <c r="A1720" s="8" t="s">
        <v>56</v>
      </c>
      <c r="B1720" s="8" t="s">
        <v>560</v>
      </c>
      <c r="C1720" s="19" t="n">
        <v>12</v>
      </c>
      <c r="D1720" s="19" t="n">
        <v>962.16</v>
      </c>
      <c r="E1720" s="19" t="n">
        <v>5</v>
      </c>
      <c r="F1720" s="19" t="n">
        <v>378.01</v>
      </c>
      <c r="G1720" s="8" t="n">
        <f aca="false">IFERROR(INDEX('TRANS'!$B:$B,MATCH($B1720,'TRANS'!$A:$A,0)),IFERROR(INDEX('TRANS'!$B:$B,MATCH(TRIM(SUBSTITUTE($B1720,CHAR(160)," ")),'TRANS'!$D:$D,0)),IFERROR(INDEX('Catalog'!$A:$A,MATCH($B1720,'Catalog'!$B:$B,0)),IFERROR(INDEX('Catalog'!$A:$A,MATCH(TRIM(SUBSTITUTE($B1720,CHAR(160)," ")),'Catalog'!$C:$C,0)),""))))</f>
        <v>4413328</v>
      </c>
      <c r="H1720" s="8" t="str">
        <f aca="false">IFERROR(INDEX('TRANS'!$C:$C,MATCH($B1720,'TRANS'!$A:$A,0)),IFERROR(INDEX('Catalog'!$B:$B,MATCH($G1720,'Catalog'!$A:$A,0)),$B1720))</f>
        <v>AC43D מגן ברך + צירים</v>
      </c>
      <c r="I1720" s="8" t="str">
        <f aca="false">IF($G1720="","Unmatched","Matched")</f>
        <v>Matched</v>
      </c>
      <c r="J1720" s="8" t="n">
        <f aca="false">IF($G1720&lt;&gt;"",$G1720,$B1720)</f>
        <v>4413328</v>
      </c>
      <c r="K1720" s="8" t="str">
        <f aca="false">IF(COUNTIF($M$1:$M$10,$A1720)&gt;0,"Y","N")</f>
        <v>Y</v>
      </c>
    </row>
    <row r="1721" customFormat="false" ht="15" hidden="false" customHeight="true" outlineLevel="0" collapsed="false">
      <c r="A1721" s="8" t="s">
        <v>56</v>
      </c>
      <c r="B1721" s="8" t="s">
        <v>731</v>
      </c>
      <c r="C1721" s="19" t="n">
        <v>14</v>
      </c>
      <c r="D1721" s="19" t="n">
        <v>866.69</v>
      </c>
      <c r="E1721" s="19" t="n">
        <v>5</v>
      </c>
      <c r="F1721" s="19" t="n">
        <v>283.45</v>
      </c>
      <c r="G1721" s="8" t="n">
        <f aca="false">IFERROR(INDEX('TRANS'!$B:$B,MATCH($B1721,'TRANS'!$A:$A,0)),IFERROR(INDEX('TRANS'!$B:$B,MATCH(TRIM(SUBSTITUTE($B1721,CHAR(160)," ")),'TRANS'!$D:$D,0)),IFERROR(INDEX('Catalog'!$A:$A,MATCH($B1721,'Catalog'!$B:$B,0)),IFERROR(INDEX('Catalog'!$A:$A,MATCH(TRIM(SUBSTITUTE($B1721,CHAR(160)," ")),'Catalog'!$C:$C,0)),""))))</f>
        <v>4413329</v>
      </c>
      <c r="H1721" s="8" t="str">
        <f aca="false">IFERROR(INDEX('TRANS'!$C:$C,MATCH($B1721,'TRANS'!$A:$A,0)),IFERROR(INDEX('Catalog'!$B:$B,MATCH($G1721,'Catalog'!$A:$A,0)),$B1721))</f>
        <v>AC45X מגן ברך עם תמיכות</v>
      </c>
      <c r="I1721" s="8" t="str">
        <f aca="false">IF($G1721="","Unmatched","Matched")</f>
        <v>Matched</v>
      </c>
      <c r="J1721" s="8" t="n">
        <f aca="false">IF($G1721&lt;&gt;"",$G1721,$B1721)</f>
        <v>4413329</v>
      </c>
      <c r="K1721" s="8" t="str">
        <f aca="false">IF(COUNTIF($M$1:$M$10,$A1721)&gt;0,"Y","N")</f>
        <v>Y</v>
      </c>
    </row>
    <row r="1722" customFormat="false" ht="15" hidden="false" customHeight="true" outlineLevel="0" collapsed="false">
      <c r="A1722" s="8" t="s">
        <v>56</v>
      </c>
      <c r="B1722" s="8" t="s">
        <v>732</v>
      </c>
      <c r="C1722" s="19" t="n">
        <v>4</v>
      </c>
      <c r="D1722" s="19" t="n">
        <v>286.97</v>
      </c>
      <c r="E1722" s="19" t="n">
        <v>0</v>
      </c>
      <c r="F1722" s="19" t="n">
        <v>0</v>
      </c>
      <c r="G1722" s="8" t="n">
        <f aca="false">IFERROR(INDEX('TRANS'!$B:$B,MATCH($B1722,'TRANS'!$A:$A,0)),IFERROR(INDEX('TRANS'!$B:$B,MATCH(TRIM(SUBSTITUTE($B1722,CHAR(160)," ")),'TRANS'!$D:$D,0)),IFERROR(INDEX('Catalog'!$A:$A,MATCH($B1722,'Catalog'!$B:$B,0)),IFERROR(INDEX('Catalog'!$A:$A,MATCH(TRIM(SUBSTITUTE($B1722,CHAR(160)," ")),'Catalog'!$C:$C,0)),""))))</f>
        <v>4413456</v>
      </c>
      <c r="H1722" s="8" t="str">
        <f aca="false">IFERROR(INDEX('TRANS'!$C:$C,MATCH($B1722,'TRANS'!$A:$A,0)),IFERROR(INDEX('Catalog'!$B:$B,MATCH($G1722,'Catalog'!$A:$A,0)),$B1722))</f>
        <v>AC75 XXL  מיישר כתפיים אקטיב</v>
      </c>
      <c r="I1722" s="8" t="str">
        <f aca="false">IF($G1722="","Unmatched","Matched")</f>
        <v>Matched</v>
      </c>
      <c r="J1722" s="8" t="n">
        <f aca="false">IF($G1722&lt;&gt;"",$G1722,$B1722)</f>
        <v>4413456</v>
      </c>
      <c r="K1722" s="8" t="str">
        <f aca="false">IF(COUNTIF($M$1:$M$10,$A1722)&gt;0,"Y","N")</f>
        <v>Y</v>
      </c>
    </row>
    <row r="1723" customFormat="false" ht="15" hidden="false" customHeight="true" outlineLevel="0" collapsed="false">
      <c r="A1723" s="8" t="s">
        <v>56</v>
      </c>
      <c r="B1723" s="8" t="s">
        <v>558</v>
      </c>
      <c r="C1723" s="19" t="n">
        <v>12</v>
      </c>
      <c r="D1723" s="19" t="n">
        <v>859.16</v>
      </c>
      <c r="E1723" s="19" t="n">
        <v>10</v>
      </c>
      <c r="F1723" s="19" t="n">
        <v>752.62</v>
      </c>
      <c r="G1723" s="8" t="n">
        <f aca="false">IFERROR(INDEX('TRANS'!$B:$B,MATCH($B1723,'TRANS'!$A:$A,0)),IFERROR(INDEX('TRANS'!$B:$B,MATCH(TRIM(SUBSTITUTE($B1723,CHAR(160)," ")),'TRANS'!$D:$D,0)),IFERROR(INDEX('Catalog'!$A:$A,MATCH($B1723,'Catalog'!$B:$B,0)),IFERROR(INDEX('Catalog'!$A:$A,MATCH(TRIM(SUBSTITUTE($B1723,CHAR(160)," ")),'Catalog'!$C:$C,0)),""))))</f>
        <v>4413453</v>
      </c>
      <c r="H1723" s="8" t="str">
        <f aca="false">IFERROR(INDEX('TRANS'!$C:$C,MATCH($B1723,'TRANS'!$A:$A,0)),IFERROR(INDEX('Catalog'!$B:$B,MATCH($G1723,'Catalog'!$A:$A,0)),$B1723))</f>
        <v>AC75 מישר כתפיים אקטיב</v>
      </c>
      <c r="I1723" s="8" t="str">
        <f aca="false">IF($G1723="","Unmatched","Matched")</f>
        <v>Matched</v>
      </c>
      <c r="J1723" s="8" t="n">
        <f aca="false">IF($G1723&lt;&gt;"",$G1723,$B1723)</f>
        <v>4413453</v>
      </c>
      <c r="K1723" s="8" t="str">
        <f aca="false">IF(COUNTIF($M$1:$M$10,$A1723)&gt;0,"Y","N")</f>
        <v>Y</v>
      </c>
    </row>
    <row r="1724" customFormat="false" ht="15" hidden="false" customHeight="true" outlineLevel="0" collapsed="false">
      <c r="A1724" s="8" t="s">
        <v>56</v>
      </c>
      <c r="B1724" s="8" t="s">
        <v>733</v>
      </c>
      <c r="C1724" s="19" t="n">
        <v>10</v>
      </c>
      <c r="D1724" s="19" t="n">
        <v>264.38</v>
      </c>
      <c r="E1724" s="19" t="n">
        <v>5</v>
      </c>
      <c r="F1724" s="19" t="n">
        <v>132.19</v>
      </c>
      <c r="G1724" s="8" t="n">
        <f aca="false">IFERROR(INDEX('TRANS'!$B:$B,MATCH($B1724,'TRANS'!$A:$A,0)),IFERROR(INDEX('TRANS'!$B:$B,MATCH(TRIM(SUBSTITUTE($B1724,CHAR(160)," ")),'TRANS'!$D:$D,0)),IFERROR(INDEX('Catalog'!$A:$A,MATCH($B1724,'Catalog'!$B:$B,0)),IFERROR(INDEX('Catalog'!$A:$A,MATCH(TRIM(SUBSTITUTE($B1724,CHAR(160)," ")),'Catalog'!$C:$C,0)),""))))</f>
        <v>4408208</v>
      </c>
      <c r="H1724" s="8" t="str">
        <f aca="false">IFERROR(INDEX('TRANS'!$C:$C,MATCH($B1724,'TRANS'!$A:$A,0)),IFERROR(INDEX('Catalog'!$B:$B,MATCH($G1724,'Catalog'!$A:$A,0)),$B1724))</f>
        <v>AC91 חבק טניס</v>
      </c>
      <c r="I1724" s="8" t="str">
        <f aca="false">IF($G1724="","Unmatched","Matched")</f>
        <v>Matched</v>
      </c>
      <c r="J1724" s="8" t="n">
        <f aca="false">IF($G1724&lt;&gt;"",$G1724,$B1724)</f>
        <v>4408208</v>
      </c>
      <c r="K1724" s="8" t="str">
        <f aca="false">IF(COUNTIF($M$1:$M$10,$A1724)&gt;0,"Y","N")</f>
        <v>Y</v>
      </c>
    </row>
    <row r="1725" customFormat="false" ht="15" hidden="false" customHeight="true" outlineLevel="0" collapsed="false">
      <c r="A1725" s="8" t="s">
        <v>56</v>
      </c>
      <c r="B1725" s="8" t="s">
        <v>734</v>
      </c>
      <c r="C1725" s="19" t="n">
        <v>10</v>
      </c>
      <c r="D1725" s="19" t="n">
        <v>287.06</v>
      </c>
      <c r="E1725" s="19" t="n">
        <v>5</v>
      </c>
      <c r="F1725" s="19" t="n">
        <v>143.53</v>
      </c>
      <c r="G1725" s="8" t="n">
        <f aca="false">IFERROR(INDEX('TRANS'!$B:$B,MATCH($B1725,'TRANS'!$A:$A,0)),IFERROR(INDEX('TRANS'!$B:$B,MATCH(TRIM(SUBSTITUTE($B1725,CHAR(160)," ")),'TRANS'!$D:$D,0)),IFERROR(INDEX('Catalog'!$A:$A,MATCH($B1725,'Catalog'!$B:$B,0)),IFERROR(INDEX('Catalog'!$A:$A,MATCH(TRIM(SUBSTITUTE($B1725,CHAR(160)," ")),'Catalog'!$C:$C,0)),""))))</f>
        <v>4413331</v>
      </c>
      <c r="H1725" s="8" t="str">
        <f aca="false">IFERROR(INDEX('TRANS'!$C:$C,MATCH($B1725,'TRANS'!$A:$A,0)),IFERROR(INDEX('Catalog'!$B:$B,MATCH($G1725,'Catalog'!$A:$A,0)),$B1725))</f>
        <v>AC95 מגן מרפק</v>
      </c>
      <c r="I1725" s="8" t="str">
        <f aca="false">IF($G1725="","Unmatched","Matched")</f>
        <v>Matched</v>
      </c>
      <c r="J1725" s="8" t="n">
        <f aca="false">IF($G1725&lt;&gt;"",$G1725,$B1725)</f>
        <v>4413331</v>
      </c>
      <c r="K1725" s="8" t="str">
        <f aca="false">IF(COUNTIF($M$1:$M$10,$A1725)&gt;0,"Y","N")</f>
        <v>Y</v>
      </c>
    </row>
    <row r="1726" customFormat="false" ht="15" hidden="false" customHeight="true" outlineLevel="0" collapsed="false">
      <c r="A1726" s="8" t="s">
        <v>56</v>
      </c>
      <c r="B1726" s="8" t="s">
        <v>848</v>
      </c>
      <c r="C1726" s="19" t="n">
        <v>9</v>
      </c>
      <c r="D1726" s="19" t="n">
        <v>339.96</v>
      </c>
      <c r="E1726" s="19" t="n">
        <v>3</v>
      </c>
      <c r="F1726" s="19" t="n">
        <v>127.48</v>
      </c>
      <c r="G1726" s="8" t="n">
        <f aca="false">IFERROR(INDEX('TRANS'!$B:$B,MATCH($B1726,'TRANS'!$A:$A,0)),IFERROR(INDEX('TRANS'!$B:$B,MATCH(TRIM(SUBSTITUTE($B1726,CHAR(160)," ")),'TRANS'!$D:$D,0)),IFERROR(INDEX('Catalog'!$A:$A,MATCH($B1726,'Catalog'!$B:$B,0)),IFERROR(INDEX('Catalog'!$A:$A,MATCH(TRIM(SUBSTITUTE($B1726,CHAR(160)," ")),'Catalog'!$C:$C,0)),""))))</f>
        <v>4408264</v>
      </c>
      <c r="H1726" s="8" t="str">
        <f aca="false">IFERROR(INDEX('TRANS'!$C:$C,MATCH($B1726,'TRANS'!$A:$A,0)),IFERROR(INDEX('Catalog'!$B:$B,MATCH($G1726,'Catalog'!$A:$A,0)),$B1726))</f>
        <v>T25B   חבק יד אגודלי</v>
      </c>
      <c r="I1726" s="8" t="str">
        <f aca="false">IF($G1726="","Unmatched","Matched")</f>
        <v>Matched</v>
      </c>
      <c r="J1726" s="8" t="n">
        <f aca="false">IF($G1726&lt;&gt;"",$G1726,$B1726)</f>
        <v>4408264</v>
      </c>
      <c r="K1726" s="8" t="str">
        <f aca="false">IF(COUNTIF($M$1:$M$10,$A1726)&gt;0,"Y","N")</f>
        <v>Y</v>
      </c>
    </row>
    <row r="1727" customFormat="false" ht="15" hidden="false" customHeight="true" outlineLevel="0" collapsed="false">
      <c r="A1727" s="8" t="s">
        <v>56</v>
      </c>
      <c r="B1727" s="8" t="s">
        <v>860</v>
      </c>
      <c r="C1727" s="19" t="n">
        <v>1</v>
      </c>
      <c r="D1727" s="19" t="n">
        <v>90</v>
      </c>
      <c r="E1727" s="19" t="n">
        <v>0</v>
      </c>
      <c r="F1727" s="19" t="n">
        <v>0</v>
      </c>
      <c r="G1727" s="8" t="n">
        <f aca="false">IFERROR(INDEX('TRANS'!$B:$B,MATCH($B1727,'TRANS'!$A:$A,0)),IFERROR(INDEX('TRANS'!$B:$B,MATCH(TRIM(SUBSTITUTE($B1727,CHAR(160)," ")),'TRANS'!$D:$D,0)),IFERROR(INDEX('Catalog'!$A:$A,MATCH($B1727,'Catalog'!$B:$B,0)),IFERROR(INDEX('Catalog'!$A:$A,MATCH(TRIM(SUBSTITUTE($B1727,CHAR(160)," ")),'Catalog'!$C:$C,0)),""))))</f>
        <v>4411026</v>
      </c>
      <c r="H1727" s="8" t="str">
        <f aca="false">IFERROR(INDEX('TRANS'!$C:$C,MATCH($B1727,'TRANS'!$A:$A,0)),IFERROR(INDEX('Catalog'!$B:$B,MATCH($G1727,'Catalog'!$A:$A,0)),$B1727))</f>
        <v>213CTSL L שמאל CTS כפפות</v>
      </c>
      <c r="I1727" s="8" t="str">
        <f aca="false">IF($G1727="","Unmatched","Matched")</f>
        <v>Matched</v>
      </c>
      <c r="J1727" s="8" t="n">
        <f aca="false">IF($G1727&lt;&gt;"",$G1727,$B1727)</f>
        <v>4411026</v>
      </c>
      <c r="K1727" s="8" t="str">
        <f aca="false">IF(COUNTIF($M$1:$M$10,$A1727)&gt;0,"Y","N")</f>
        <v>Y</v>
      </c>
    </row>
    <row r="1728" customFormat="false" ht="15" hidden="false" customHeight="true" outlineLevel="0" collapsed="false">
      <c r="A1728" s="8" t="s">
        <v>56</v>
      </c>
      <c r="B1728" s="8" t="s">
        <v>861</v>
      </c>
      <c r="C1728" s="19" t="n">
        <v>1</v>
      </c>
      <c r="D1728" s="19" t="n">
        <v>90</v>
      </c>
      <c r="E1728" s="19" t="n">
        <v>0</v>
      </c>
      <c r="F1728" s="19" t="n">
        <v>0</v>
      </c>
      <c r="G1728" s="8" t="n">
        <f aca="false">IFERROR(INDEX('TRANS'!$B:$B,MATCH($B1728,'TRANS'!$A:$A,0)),IFERROR(INDEX('TRANS'!$B:$B,MATCH(TRIM(SUBSTITUTE($B1728,CHAR(160)," ")),'TRANS'!$D:$D,0)),IFERROR(INDEX('Catalog'!$A:$A,MATCH($B1728,'Catalog'!$B:$B,0)),IFERROR(INDEX('Catalog'!$A:$A,MATCH(TRIM(SUBSTITUTE($B1728,CHAR(160)," ")),'Catalog'!$C:$C,0)),""))))</f>
        <v>4411027</v>
      </c>
      <c r="H1728" s="8" t="str">
        <f aca="false">IFERROR(INDEX('TRANS'!$C:$C,MATCH($B1728,'TRANS'!$A:$A,0)),IFERROR(INDEX('Catalog'!$B:$B,MATCH($G1728,'Catalog'!$A:$A,0)),$B1728))</f>
        <v>213CTSL M שמאל CTS כפפות</v>
      </c>
      <c r="I1728" s="8" t="str">
        <f aca="false">IF($G1728="","Unmatched","Matched")</f>
        <v>Matched</v>
      </c>
      <c r="J1728" s="8" t="n">
        <f aca="false">IF($G1728&lt;&gt;"",$G1728,$B1728)</f>
        <v>4411027</v>
      </c>
      <c r="K1728" s="8" t="str">
        <f aca="false">IF(COUNTIF($M$1:$M$10,$A1728)&gt;0,"Y","N")</f>
        <v>Y</v>
      </c>
    </row>
    <row r="1729" customFormat="false" ht="15" hidden="false" customHeight="true" outlineLevel="0" collapsed="false">
      <c r="A1729" s="8" t="s">
        <v>56</v>
      </c>
      <c r="B1729" s="8" t="s">
        <v>862</v>
      </c>
      <c r="C1729" s="19" t="n">
        <v>1</v>
      </c>
      <c r="D1729" s="19" t="n">
        <v>90</v>
      </c>
      <c r="E1729" s="19" t="n">
        <v>0</v>
      </c>
      <c r="F1729" s="19" t="n">
        <v>0</v>
      </c>
      <c r="G1729" s="8" t="n">
        <f aca="false">IFERROR(INDEX('TRANS'!$B:$B,MATCH($B1729,'TRANS'!$A:$A,0)),IFERROR(INDEX('TRANS'!$B:$B,MATCH(TRIM(SUBSTITUTE($B1729,CHAR(160)," ")),'TRANS'!$D:$D,0)),IFERROR(INDEX('Catalog'!$A:$A,MATCH($B1729,'Catalog'!$B:$B,0)),IFERROR(INDEX('Catalog'!$A:$A,MATCH(TRIM(SUBSTITUTE($B1729,CHAR(160)," ")),'Catalog'!$C:$C,0)),""))))</f>
        <v>4411028</v>
      </c>
      <c r="H1729" s="8" t="str">
        <f aca="false">IFERROR(INDEX('TRANS'!$C:$C,MATCH($B1729,'TRANS'!$A:$A,0)),IFERROR(INDEX('Catalog'!$B:$B,MATCH($G1729,'Catalog'!$A:$A,0)),$B1729))</f>
        <v>213CTSL S שמאל CTS כפפות</v>
      </c>
      <c r="I1729" s="8" t="str">
        <f aca="false">IF($G1729="","Unmatched","Matched")</f>
        <v>Matched</v>
      </c>
      <c r="J1729" s="8" t="n">
        <f aca="false">IF($G1729&lt;&gt;"",$G1729,$B1729)</f>
        <v>4411028</v>
      </c>
      <c r="K1729" s="8" t="str">
        <f aca="false">IF(COUNTIF($M$1:$M$10,$A1729)&gt;0,"Y","N")</f>
        <v>Y</v>
      </c>
    </row>
    <row r="1730" customFormat="false" ht="15" hidden="false" customHeight="true" outlineLevel="0" collapsed="false">
      <c r="A1730" s="8" t="s">
        <v>56</v>
      </c>
      <c r="B1730" s="8" t="s">
        <v>863</v>
      </c>
      <c r="C1730" s="19" t="n">
        <v>1</v>
      </c>
      <c r="D1730" s="19" t="n">
        <v>90</v>
      </c>
      <c r="E1730" s="19" t="n">
        <v>0</v>
      </c>
      <c r="F1730" s="19" t="n">
        <v>0</v>
      </c>
      <c r="G1730" s="8" t="n">
        <f aca="false">IFERROR(INDEX('TRANS'!$B:$B,MATCH($B1730,'TRANS'!$A:$A,0)),IFERROR(INDEX('TRANS'!$B:$B,MATCH(TRIM(SUBSTITUTE($B1730,CHAR(160)," ")),'TRANS'!$D:$D,0)),IFERROR(INDEX('Catalog'!$A:$A,MATCH($B1730,'Catalog'!$B:$B,0)),IFERROR(INDEX('Catalog'!$A:$A,MATCH(TRIM(SUBSTITUTE($B1730,CHAR(160)," ")),'Catalog'!$C:$C,0)),""))))</f>
        <v>4411029</v>
      </c>
      <c r="H1730" s="8" t="str">
        <f aca="false">IFERROR(INDEX('TRANS'!$C:$C,MATCH($B1730,'TRANS'!$A:$A,0)),IFERROR(INDEX('Catalog'!$B:$B,MATCH($G1730,'Catalog'!$A:$A,0)),$B1730))</f>
        <v>213CTSR L ימין CTS כפפות</v>
      </c>
      <c r="I1730" s="8" t="str">
        <f aca="false">IF($G1730="","Unmatched","Matched")</f>
        <v>Matched</v>
      </c>
      <c r="J1730" s="8" t="n">
        <f aca="false">IF($G1730&lt;&gt;"",$G1730,$B1730)</f>
        <v>4411029</v>
      </c>
      <c r="K1730" s="8" t="str">
        <f aca="false">IF(COUNTIF($M$1:$M$10,$A1730)&gt;0,"Y","N")</f>
        <v>Y</v>
      </c>
    </row>
    <row r="1731" customFormat="false" ht="15" hidden="false" customHeight="true" outlineLevel="0" collapsed="false">
      <c r="A1731" s="8" t="s">
        <v>56</v>
      </c>
      <c r="B1731" s="8" t="s">
        <v>864</v>
      </c>
      <c r="C1731" s="19" t="n">
        <v>1</v>
      </c>
      <c r="D1731" s="19" t="n">
        <v>90</v>
      </c>
      <c r="E1731" s="19" t="n">
        <v>0</v>
      </c>
      <c r="F1731" s="19" t="n">
        <v>0</v>
      </c>
      <c r="G1731" s="8" t="n">
        <f aca="false">IFERROR(INDEX('TRANS'!$B:$B,MATCH($B1731,'TRANS'!$A:$A,0)),IFERROR(INDEX('TRANS'!$B:$B,MATCH(TRIM(SUBSTITUTE($B1731,CHAR(160)," ")),'TRANS'!$D:$D,0)),IFERROR(INDEX('Catalog'!$A:$A,MATCH($B1731,'Catalog'!$B:$B,0)),IFERROR(INDEX('Catalog'!$A:$A,MATCH(TRIM(SUBSTITUTE($B1731,CHAR(160)," ")),'Catalog'!$C:$C,0)),""))))</f>
        <v>4411030</v>
      </c>
      <c r="H1731" s="8" t="str">
        <f aca="false">IFERROR(INDEX('TRANS'!$C:$C,MATCH($B1731,'TRANS'!$A:$A,0)),IFERROR(INDEX('Catalog'!$B:$B,MATCH($G1731,'Catalog'!$A:$A,0)),$B1731))</f>
        <v>213CTSR M ימין CTS כפפות</v>
      </c>
      <c r="I1731" s="8" t="str">
        <f aca="false">IF($G1731="","Unmatched","Matched")</f>
        <v>Matched</v>
      </c>
      <c r="J1731" s="8" t="n">
        <f aca="false">IF($G1731&lt;&gt;"",$G1731,$B1731)</f>
        <v>4411030</v>
      </c>
      <c r="K1731" s="8" t="str">
        <f aca="false">IF(COUNTIF($M$1:$M$10,$A1731)&gt;0,"Y","N")</f>
        <v>Y</v>
      </c>
    </row>
    <row r="1732" customFormat="false" ht="15" hidden="false" customHeight="true" outlineLevel="0" collapsed="false">
      <c r="A1732" s="8" t="s">
        <v>56</v>
      </c>
      <c r="B1732" s="8" t="s">
        <v>865</v>
      </c>
      <c r="C1732" s="19" t="n">
        <v>1</v>
      </c>
      <c r="D1732" s="19" t="n">
        <v>90</v>
      </c>
      <c r="E1732" s="19" t="n">
        <v>0</v>
      </c>
      <c r="F1732" s="19" t="n">
        <v>0</v>
      </c>
      <c r="G1732" s="8" t="n">
        <f aca="false">IFERROR(INDEX('TRANS'!$B:$B,MATCH($B1732,'TRANS'!$A:$A,0)),IFERROR(INDEX('TRANS'!$B:$B,MATCH(TRIM(SUBSTITUTE($B1732,CHAR(160)," ")),'TRANS'!$D:$D,0)),IFERROR(INDEX('Catalog'!$A:$A,MATCH($B1732,'Catalog'!$B:$B,0)),IFERROR(INDEX('Catalog'!$A:$A,MATCH(TRIM(SUBSTITUTE($B1732,CHAR(160)," ")),'Catalog'!$C:$C,0)),""))))</f>
        <v>4411031</v>
      </c>
      <c r="H1732" s="8" t="str">
        <f aca="false">IFERROR(INDEX('TRANS'!$C:$C,MATCH($B1732,'TRANS'!$A:$A,0)),IFERROR(INDEX('Catalog'!$B:$B,MATCH($G1732,'Catalog'!$A:$A,0)),$B1732))</f>
        <v>213CTS  S ימין CTS כפפות</v>
      </c>
      <c r="I1732" s="8" t="str">
        <f aca="false">IF($G1732="","Unmatched","Matched")</f>
        <v>Matched</v>
      </c>
      <c r="J1732" s="8" t="n">
        <f aca="false">IF($G1732&lt;&gt;"",$G1732,$B1732)</f>
        <v>4411031</v>
      </c>
      <c r="K1732" s="8" t="str">
        <f aca="false">IF(COUNTIF($M$1:$M$10,$A1732)&gt;0,"Y","N")</f>
        <v>Y</v>
      </c>
    </row>
    <row r="1733" customFormat="false" ht="15" hidden="false" customHeight="true" outlineLevel="0" collapsed="false">
      <c r="A1733" s="8" t="s">
        <v>56</v>
      </c>
      <c r="B1733" s="8" t="s">
        <v>611</v>
      </c>
      <c r="C1733" s="19" t="n">
        <v>2</v>
      </c>
      <c r="D1733" s="19" t="n">
        <v>140.52</v>
      </c>
      <c r="E1733" s="19" t="n">
        <v>0</v>
      </c>
      <c r="F1733" s="19" t="n">
        <v>0</v>
      </c>
      <c r="G1733" s="8" t="n">
        <f aca="false">IFERROR(INDEX('TRANS'!$B:$B,MATCH($B1733,'TRANS'!$A:$A,0)),IFERROR(INDEX('TRANS'!$B:$B,MATCH(TRIM(SUBSTITUTE($B1733,CHAR(160)," ")),'TRANS'!$D:$D,0)),IFERROR(INDEX('Catalog'!$A:$A,MATCH($B1733,'Catalog'!$B:$B,0)),IFERROR(INDEX('Catalog'!$A:$A,MATCH(TRIM(SUBSTITUTE($B1733,CHAR(160)," ")),'Catalog'!$C:$C,0)),""))))</f>
        <v>4413161</v>
      </c>
      <c r="H1733" s="8" t="str">
        <f aca="false">IFERROR(INDEX('TRANS'!$C:$C,MATCH($B1733,'TRANS'!$A:$A,0)),IFERROR(INDEX('Catalog'!$B:$B,MATCH($G1733,'Catalog'!$A:$A,0)),$B1733))</f>
        <v>34+ L מגן קרסול עקב סגור+רצוע</v>
      </c>
      <c r="I1733" s="8" t="str">
        <f aca="false">IF($G1733="","Unmatched","Matched")</f>
        <v>Matched</v>
      </c>
      <c r="J1733" s="8" t="n">
        <f aca="false">IF($G1733&lt;&gt;"",$G1733,$B1733)</f>
        <v>4413161</v>
      </c>
      <c r="K1733" s="8" t="str">
        <f aca="false">IF(COUNTIF($M$1:$M$10,$A1733)&gt;0,"Y","N")</f>
        <v>Y</v>
      </c>
    </row>
    <row r="1734" customFormat="false" ht="15" hidden="false" customHeight="true" outlineLevel="0" collapsed="false">
      <c r="A1734" s="8" t="s">
        <v>56</v>
      </c>
      <c r="B1734" s="8" t="s">
        <v>612</v>
      </c>
      <c r="C1734" s="19" t="n">
        <v>2</v>
      </c>
      <c r="D1734" s="19" t="n">
        <v>140.52</v>
      </c>
      <c r="E1734" s="19" t="n">
        <v>0</v>
      </c>
      <c r="F1734" s="19" t="n">
        <v>0</v>
      </c>
      <c r="G1734" s="8" t="n">
        <f aca="false">IFERROR(INDEX('TRANS'!$B:$B,MATCH($B1734,'TRANS'!$A:$A,0)),IFERROR(INDEX('TRANS'!$B:$B,MATCH(TRIM(SUBSTITUTE($B1734,CHAR(160)," ")),'TRANS'!$D:$D,0)),IFERROR(INDEX('Catalog'!$A:$A,MATCH($B1734,'Catalog'!$B:$B,0)),IFERROR(INDEX('Catalog'!$A:$A,MATCH(TRIM(SUBSTITUTE($B1734,CHAR(160)," ")),'Catalog'!$C:$C,0)),""))))</f>
        <v>4413162</v>
      </c>
      <c r="H1734" s="8" t="str">
        <f aca="false">IFERROR(INDEX('TRANS'!$C:$C,MATCH($B1734,'TRANS'!$A:$A,0)),IFERROR(INDEX('Catalog'!$B:$B,MATCH($G1734,'Catalog'!$A:$A,0)),$B1734))</f>
        <v>34+XL מגן קרסול עקב סגור+רצוע</v>
      </c>
      <c r="I1734" s="8" t="str">
        <f aca="false">IF($G1734="","Unmatched","Matched")</f>
        <v>Matched</v>
      </c>
      <c r="J1734" s="8" t="n">
        <f aca="false">IF($G1734&lt;&gt;"",$G1734,$B1734)</f>
        <v>4413162</v>
      </c>
      <c r="K1734" s="8" t="str">
        <f aca="false">IF(COUNTIF($M$1:$M$10,$A1734)&gt;0,"Y","N")</f>
        <v>Y</v>
      </c>
    </row>
    <row r="1735" customFormat="false" ht="15" hidden="false" customHeight="true" outlineLevel="0" collapsed="false">
      <c r="A1735" s="8" t="s">
        <v>56</v>
      </c>
      <c r="B1735" s="8" t="s">
        <v>633</v>
      </c>
      <c r="C1735" s="19" t="n">
        <v>2</v>
      </c>
      <c r="D1735" s="19" t="n">
        <v>35.83</v>
      </c>
      <c r="E1735" s="19" t="n">
        <v>2</v>
      </c>
      <c r="F1735" s="19" t="n">
        <v>35.83</v>
      </c>
      <c r="G1735" s="8" t="n">
        <f aca="false">IFERROR(INDEX('TRANS'!$B:$B,MATCH($B1735,'TRANS'!$A:$A,0)),IFERROR(INDEX('TRANS'!$B:$B,MATCH(TRIM(SUBSTITUTE($B1735,CHAR(160)," ")),'TRANS'!$D:$D,0)),IFERROR(INDEX('Catalog'!$A:$A,MATCH($B1735,'Catalog'!$B:$B,0)),IFERROR(INDEX('Catalog'!$A:$A,MATCH(TRIM(SUBSTITUTE($B1735,CHAR(160)," ")),'Catalog'!$C:$C,0)),""))))</f>
        <v>4421000</v>
      </c>
      <c r="H1735" s="8" t="str">
        <f aca="false">IFERROR(INDEX('TRANS'!$C:$C,MATCH($B1735,'TRANS'!$A:$A,0)),IFERROR(INDEX('Catalog'!$B:$B,MATCH($G1735,'Catalog'!$A:$A,0)),$B1735))</f>
        <v>3655 שרוול מסיליקון לאצבע</v>
      </c>
      <c r="I1735" s="8" t="str">
        <f aca="false">IF($G1735="","Unmatched","Matched")</f>
        <v>Matched</v>
      </c>
      <c r="J1735" s="8" t="n">
        <f aca="false">IF($G1735&lt;&gt;"",$G1735,$B1735)</f>
        <v>4421000</v>
      </c>
      <c r="K1735" s="8" t="str">
        <f aca="false">IF(COUNTIF($M$1:$M$10,$A1735)&gt;0,"Y","N")</f>
        <v>Y</v>
      </c>
    </row>
    <row r="1736" customFormat="false" ht="15" hidden="false" customHeight="true" outlineLevel="0" collapsed="false">
      <c r="A1736" s="8" t="s">
        <v>56</v>
      </c>
      <c r="B1736" s="8" t="s">
        <v>668</v>
      </c>
      <c r="C1736" s="19" t="n">
        <v>2</v>
      </c>
      <c r="D1736" s="19" t="n">
        <v>126.46</v>
      </c>
      <c r="E1736" s="19" t="n">
        <v>0</v>
      </c>
      <c r="F1736" s="19" t="n">
        <v>0</v>
      </c>
      <c r="G1736" s="8" t="n">
        <f aca="false">IFERROR(INDEX('TRANS'!$B:$B,MATCH($B1736,'TRANS'!$A:$A,0)),IFERROR(INDEX('TRANS'!$B:$B,MATCH(TRIM(SUBSTITUTE($B1736,CHAR(160)," ")),'TRANS'!$D:$D,0)),IFERROR(INDEX('Catalog'!$A:$A,MATCH($B1736,'Catalog'!$B:$B,0)),IFERROR(INDEX('Catalog'!$A:$A,MATCH(TRIM(SUBSTITUTE($B1736,CHAR(160)," ")),'Catalog'!$C:$C,0)),""))))</f>
        <v>4403042</v>
      </c>
      <c r="H1736" s="8" t="str">
        <f aca="false">IFERROR(INDEX('TRANS'!$C:$C,MATCH($B1736,'TRANS'!$A:$A,0)),IFERROR(INDEX('Catalog'!$B:$B,MATCH($G1736,'Catalog'!$A:$A,0)),$B1736))</f>
        <v>397A-גרבי טיסה אנטי בקטרי39-42</v>
      </c>
      <c r="I1736" s="8" t="str">
        <f aca="false">IF($G1736="","Unmatched","Matched")</f>
        <v>Matched</v>
      </c>
      <c r="J1736" s="8" t="n">
        <f aca="false">IF($G1736&lt;&gt;"",$G1736,$B1736)</f>
        <v>4403042</v>
      </c>
      <c r="K1736" s="8" t="str">
        <f aca="false">IF(COUNTIF($M$1:$M$10,$A1736)&gt;0,"Y","N")</f>
        <v>Y</v>
      </c>
    </row>
    <row r="1737" customFormat="false" ht="15" hidden="false" customHeight="true" outlineLevel="0" collapsed="false">
      <c r="A1737" s="8" t="s">
        <v>56</v>
      </c>
      <c r="B1737" s="8" t="s">
        <v>669</v>
      </c>
      <c r="C1737" s="19" t="n">
        <v>2</v>
      </c>
      <c r="D1737" s="19" t="n">
        <v>126.46</v>
      </c>
      <c r="E1737" s="19" t="n">
        <v>0</v>
      </c>
      <c r="F1737" s="19" t="n">
        <v>0</v>
      </c>
      <c r="G1737" s="8" t="n">
        <f aca="false">IFERROR(INDEX('TRANS'!$B:$B,MATCH($B1737,'TRANS'!$A:$A,0)),IFERROR(INDEX('TRANS'!$B:$B,MATCH(TRIM(SUBSTITUTE($B1737,CHAR(160)," ")),'TRANS'!$D:$D,0)),IFERROR(INDEX('Catalog'!$A:$A,MATCH($B1737,'Catalog'!$B:$B,0)),IFERROR(INDEX('Catalog'!$A:$A,MATCH(TRIM(SUBSTITUTE($B1737,CHAR(160)," ")),'Catalog'!$C:$C,0)),""))))</f>
        <v>4403043</v>
      </c>
      <c r="H1737" s="8" t="str">
        <f aca="false">IFERROR(INDEX('TRANS'!$C:$C,MATCH($B1737,'TRANS'!$A:$A,0)),IFERROR(INDEX('Catalog'!$B:$B,MATCH($G1737,'Catalog'!$A:$A,0)),$B1737))</f>
        <v>397A-גרבי טיסה אנטי בקטרי43-46</v>
      </c>
      <c r="I1737" s="8" t="str">
        <f aca="false">IF($G1737="","Unmatched","Matched")</f>
        <v>Matched</v>
      </c>
      <c r="J1737" s="8" t="n">
        <f aca="false">IF($G1737&lt;&gt;"",$G1737,$B1737)</f>
        <v>4403043</v>
      </c>
      <c r="K1737" s="8" t="str">
        <f aca="false">IF(COUNTIF($M$1:$M$10,$A1737)&gt;0,"Y","N")</f>
        <v>Y</v>
      </c>
    </row>
    <row r="1738" customFormat="false" ht="15" hidden="false" customHeight="true" outlineLevel="0" collapsed="false">
      <c r="A1738" s="8" t="s">
        <v>56</v>
      </c>
      <c r="B1738" s="8" t="s">
        <v>671</v>
      </c>
      <c r="C1738" s="19" t="n">
        <v>2</v>
      </c>
      <c r="D1738" s="19" t="n">
        <v>189.27</v>
      </c>
      <c r="E1738" s="19" t="n">
        <v>0</v>
      </c>
      <c r="F1738" s="19" t="n">
        <v>0</v>
      </c>
      <c r="G1738" s="8" t="n">
        <f aca="false">IFERROR(INDEX('TRANS'!$B:$B,MATCH($B1738,'TRANS'!$A:$A,0)),IFERROR(INDEX('TRANS'!$B:$B,MATCH(TRIM(SUBSTITUTE($B1738,CHAR(160)," ")),'TRANS'!$D:$D,0)),IFERROR(INDEX('Catalog'!$A:$A,MATCH($B1738,'Catalog'!$B:$B,0)),IFERROR(INDEX('Catalog'!$A:$A,MATCH(TRIM(SUBSTITUTE($B1738,CHAR(160)," ")),'Catalog'!$C:$C,0)),""))))</f>
        <v>4420017</v>
      </c>
      <c r="H1738" s="8" t="str">
        <f aca="false">IFERROR(INDEX('TRANS'!$C:$C,MATCH($B1738,'TRANS'!$A:$A,0)),IFERROR(INDEX('Catalog'!$B:$B,MATCH($G1738,'Catalog'!$A:$A,0)),$B1738))</f>
        <v>4022 רצועת """"פיקה""""+כרית</v>
      </c>
      <c r="I1738" s="8" t="str">
        <f aca="false">IF($G1738="","Unmatched","Matched")</f>
        <v>Matched</v>
      </c>
      <c r="J1738" s="8" t="n">
        <f aca="false">IF($G1738&lt;&gt;"",$G1738,$B1738)</f>
        <v>4420017</v>
      </c>
      <c r="K1738" s="8" t="str">
        <f aca="false">IF(COUNTIF($M$1:$M$10,$A1738)&gt;0,"Y","N")</f>
        <v>Y</v>
      </c>
    </row>
    <row r="1739" customFormat="false" ht="15" hidden="false" customHeight="true" outlineLevel="0" collapsed="false">
      <c r="A1739" s="8" t="s">
        <v>56</v>
      </c>
      <c r="B1739" s="8" t="s">
        <v>132</v>
      </c>
      <c r="C1739" s="19" t="n">
        <v>1</v>
      </c>
      <c r="D1739" s="19" t="n">
        <v>0.01</v>
      </c>
      <c r="E1739" s="19" t="n">
        <v>0</v>
      </c>
      <c r="F1739" s="19" t="n">
        <v>0</v>
      </c>
      <c r="G1739" s="8" t="str">
        <f aca="false">IFERROR(INDEX('TRANS'!$B:$B,MATCH($B1739,'TRANS'!$A:$A,0)),IFERROR(INDEX('TRANS'!$B:$B,MATCH(TRIM(SUBSTITUTE($B1739,CHAR(160)," ")),'TRANS'!$D:$D,0)),IFERROR(INDEX('Catalog'!$A:$A,MATCH($B1739,'Catalog'!$B:$B,0)),IFERROR(INDEX('Catalog'!$A:$A,MATCH(TRIM(SUBSTITUTE($B1739,CHAR(160)," ")),'Catalog'!$C:$C,0)),""))))</f>
        <v/>
      </c>
      <c r="H1739" s="8" t="str">
        <f aca="false">IFERROR(INDEX('TRANS'!$C:$C,MATCH($B1739,'TRANS'!$A:$A,0)),IFERROR(INDEX('Catalog'!$B:$B,MATCH($G1739,'Catalog'!$A:$A,0)),$B1739))</f>
        <v>67813000</v>
      </c>
      <c r="I1739" s="8" t="str">
        <f aca="false">IF($G1739="","Unmatched","Matched")</f>
        <v>Unmatched</v>
      </c>
      <c r="J1739" s="8" t="str">
        <f aca="false">IF($G1739&lt;&gt;"",$G1739,$B1739)</f>
        <v>67813000</v>
      </c>
      <c r="K1739" s="8" t="str">
        <f aca="false">IF(COUNTIF($M$1:$M$10,$A1739)&gt;0,"Y","N")</f>
        <v>Y</v>
      </c>
    </row>
    <row r="1740" customFormat="false" ht="15" hidden="false" customHeight="true" outlineLevel="0" collapsed="false">
      <c r="A1740" s="8" t="s">
        <v>56</v>
      </c>
      <c r="B1740" s="8" t="s">
        <v>770</v>
      </c>
      <c r="C1740" s="19" t="n">
        <v>0</v>
      </c>
      <c r="D1740" s="19" t="n">
        <v>0</v>
      </c>
      <c r="E1740" s="19" t="n">
        <v>4</v>
      </c>
      <c r="F1740" s="19" t="n">
        <v>187.29</v>
      </c>
      <c r="G1740" s="8" t="n">
        <f aca="false">IFERROR(INDEX('TRANS'!$B:$B,MATCH($B1740,'TRANS'!$A:$A,0)),IFERROR(INDEX('TRANS'!$B:$B,MATCH(TRIM(SUBSTITUTE($B1740,CHAR(160)," ")),'TRANS'!$D:$D,0)),IFERROR(INDEX('Catalog'!$A:$A,MATCH($B1740,'Catalog'!$B:$B,0)),IFERROR(INDEX('Catalog'!$A:$A,MATCH(TRIM(SUBSTITUTE($B1740,CHAR(160)," ")),'Catalog'!$C:$C,0)),""))))</f>
        <v>4408098</v>
      </c>
      <c r="H1740" s="8" t="str">
        <f aca="false">IFERROR(INDEX('TRANS'!$C:$C,MATCH($B1740,'TRANS'!$A:$A,0)),IFERROR(INDEX('Catalog'!$B:$B,MATCH($G1740,'Catalog'!$A:$A,0)),$B1740))</f>
        <v>T25-חבק יד אגודלי</v>
      </c>
      <c r="I1740" s="8" t="str">
        <f aca="false">IF($G1740="","Unmatched","Matched")</f>
        <v>Matched</v>
      </c>
      <c r="J1740" s="8" t="n">
        <f aca="false">IF($G1740&lt;&gt;"",$G1740,$B1740)</f>
        <v>4408098</v>
      </c>
      <c r="K1740" s="8" t="str">
        <f aca="false">IF(COUNTIF($M$1:$M$10,$A1740)&gt;0,"Y","N")</f>
        <v>Y</v>
      </c>
    </row>
    <row r="1741" customFormat="false" ht="15" hidden="false" customHeight="true" outlineLevel="0" collapsed="false">
      <c r="A1741" s="8" t="s">
        <v>56</v>
      </c>
      <c r="B1741" s="8" t="s">
        <v>561</v>
      </c>
      <c r="C1741" s="19" t="n">
        <v>2</v>
      </c>
      <c r="D1741" s="19" t="n">
        <v>217.36</v>
      </c>
      <c r="E1741" s="19" t="n">
        <v>0</v>
      </c>
      <c r="F1741" s="19" t="n">
        <v>0</v>
      </c>
      <c r="G1741" s="8" t="n">
        <f aca="false">IFERROR(INDEX('TRANS'!$B:$B,MATCH($B1741,'TRANS'!$A:$A,0)),IFERROR(INDEX('TRANS'!$B:$B,MATCH(TRIM(SUBSTITUTE($B1741,CHAR(160)," ")),'TRANS'!$D:$D,0)),IFERROR(INDEX('Catalog'!$A:$A,MATCH($B1741,'Catalog'!$B:$B,0)),IFERROR(INDEX('Catalog'!$A:$A,MATCH(TRIM(SUBSTITUTE($B1741,CHAR(160)," ")),'Catalog'!$C:$C,0)),""))))</f>
        <v>4408192</v>
      </c>
      <c r="H1741" s="8" t="str">
        <f aca="false">IFERROR(INDEX('TRANS'!$C:$C,MATCH($B1741,'TRANS'!$A:$A,0)),IFERROR(INDEX('Catalog'!$B:$B,MATCH($G1741,'Catalog'!$A:$A,0)),$B1741))</f>
        <v>078 L חגורת גב +סגירה</v>
      </c>
      <c r="I1741" s="8" t="str">
        <f aca="false">IF($G1741="","Unmatched","Matched")</f>
        <v>Matched</v>
      </c>
      <c r="J1741" s="8" t="n">
        <f aca="false">IF($G1741&lt;&gt;"",$G1741,$B1741)</f>
        <v>4408192</v>
      </c>
      <c r="K1741" s="8" t="str">
        <f aca="false">IF(COUNTIF($M$1:$M$10,$A1741)&gt;0,"Y","N")</f>
        <v>Y</v>
      </c>
    </row>
    <row r="1742" customFormat="false" ht="15" hidden="false" customHeight="true" outlineLevel="0" collapsed="false">
      <c r="A1742" s="8" t="s">
        <v>56</v>
      </c>
      <c r="B1742" s="8" t="s">
        <v>852</v>
      </c>
      <c r="C1742" s="19" t="n">
        <v>1</v>
      </c>
      <c r="D1742" s="19" t="n">
        <v>108.68</v>
      </c>
      <c r="E1742" s="19" t="n">
        <v>0</v>
      </c>
      <c r="F1742" s="19" t="n">
        <v>0</v>
      </c>
      <c r="G1742" s="8" t="n">
        <f aca="false">IFERROR(INDEX('TRANS'!$B:$B,MATCH($B1742,'TRANS'!$A:$A,0)),IFERROR(INDEX('TRANS'!$B:$B,MATCH(TRIM(SUBSTITUTE($B1742,CHAR(160)," ")),'TRANS'!$D:$D,0)),IFERROR(INDEX('Catalog'!$A:$A,MATCH($B1742,'Catalog'!$B:$B,0)),IFERROR(INDEX('Catalog'!$A:$A,MATCH(TRIM(SUBSTITUTE($B1742,CHAR(160)," ")),'Catalog'!$C:$C,0)),""))))</f>
        <v>4408190</v>
      </c>
      <c r="H1742" s="8" t="str">
        <f aca="false">IFERROR(INDEX('TRANS'!$C:$C,MATCH($B1742,'TRANS'!$A:$A,0)),IFERROR(INDEX('Catalog'!$B:$B,MATCH($G1742,'Catalog'!$A:$A,0)),$B1742))</f>
        <v>M078 חגורת גב +סגירה כפולה</v>
      </c>
      <c r="I1742" s="8" t="str">
        <f aca="false">IF($G1742="","Unmatched","Matched")</f>
        <v>Matched</v>
      </c>
      <c r="J1742" s="8" t="n">
        <f aca="false">IF($G1742&lt;&gt;"",$G1742,$B1742)</f>
        <v>4408190</v>
      </c>
      <c r="K1742" s="8" t="str">
        <f aca="false">IF(COUNTIF($M$1:$M$10,$A1742)&gt;0,"Y","N")</f>
        <v>Y</v>
      </c>
    </row>
    <row r="1743" customFormat="false" ht="15" hidden="false" customHeight="true" outlineLevel="0" collapsed="false">
      <c r="A1743" s="8" t="s">
        <v>56</v>
      </c>
      <c r="B1743" s="8" t="s">
        <v>562</v>
      </c>
      <c r="C1743" s="19" t="n">
        <v>4</v>
      </c>
      <c r="D1743" s="19" t="n">
        <v>434.72</v>
      </c>
      <c r="E1743" s="19" t="n">
        <v>0</v>
      </c>
      <c r="F1743" s="19" t="n">
        <v>0</v>
      </c>
      <c r="G1743" s="8" t="n">
        <f aca="false">IFERROR(INDEX('TRANS'!$B:$B,MATCH($B1743,'TRANS'!$A:$A,0)),IFERROR(INDEX('TRANS'!$B:$B,MATCH(TRIM(SUBSTITUTE($B1743,CHAR(160)," ")),'TRANS'!$D:$D,0)),IFERROR(INDEX('Catalog'!$A:$A,MATCH($B1743,'Catalog'!$B:$B,0)),IFERROR(INDEX('Catalog'!$A:$A,MATCH(TRIM(SUBSTITUTE($B1743,CHAR(160)," ")),'Catalog'!$C:$C,0)),""))))</f>
        <v>4408218</v>
      </c>
      <c r="H1743" s="8" t="str">
        <f aca="false">IFERROR(INDEX('TRANS'!$C:$C,MATCH($B1743,'TRANS'!$A:$A,0)),IFERROR(INDEX('Catalog'!$B:$B,MATCH($G1743,'Catalog'!$A:$A,0)),$B1743))</f>
        <v>078XL חגורת גב +סגירה כפולה</v>
      </c>
      <c r="I1743" s="8" t="str">
        <f aca="false">IF($G1743="","Unmatched","Matched")</f>
        <v>Matched</v>
      </c>
      <c r="J1743" s="8" t="n">
        <f aca="false">IF($G1743&lt;&gt;"",$G1743,$B1743)</f>
        <v>4408218</v>
      </c>
      <c r="K1743" s="8" t="str">
        <f aca="false">IF(COUNTIF($M$1:$M$10,$A1743)&gt;0,"Y","N")</f>
        <v>Y</v>
      </c>
    </row>
    <row r="1744" customFormat="false" ht="15" hidden="false" customHeight="true" outlineLevel="0" collapsed="false">
      <c r="A1744" s="8" t="s">
        <v>56</v>
      </c>
      <c r="B1744" s="8" t="s">
        <v>64</v>
      </c>
      <c r="C1744" s="19" t="n">
        <v>0</v>
      </c>
      <c r="D1744" s="19" t="n">
        <v>0</v>
      </c>
      <c r="E1744" s="19" t="n">
        <v>1</v>
      </c>
      <c r="F1744" s="19" t="n">
        <v>140.57</v>
      </c>
      <c r="G1744" s="8" t="str">
        <f aca="false">IFERROR(INDEX('TRANS'!$B:$B,MATCH($B1744,'TRANS'!$A:$A,0)),IFERROR(INDEX('TRANS'!$B:$B,MATCH(TRIM(SUBSTITUTE($B1744,CHAR(160)," ")),'TRANS'!$D:$D,0)),IFERROR(INDEX('Catalog'!$A:$A,MATCH($B1744,'Catalog'!$B:$B,0)),IFERROR(INDEX('Catalog'!$A:$A,MATCH(TRIM(SUBSTITUTE($B1744,CHAR(160)," ")),'Catalog'!$C:$C,0)),""))))</f>
        <v/>
      </c>
      <c r="H1744" s="8" t="str">
        <f aca="false">IFERROR(INDEX('TRANS'!$C:$C,MATCH($B1744,'TRANS'!$A:$A,0)),IFERROR(INDEX('Catalog'!$B:$B,MATCH($G1744,'Catalog'!$A:$A,0)),$B1744))</f>
        <v>84-L-XXL</v>
      </c>
      <c r="I1744" s="8" t="str">
        <f aca="false">IF($G1744="","Unmatched","Matched")</f>
        <v>Unmatched</v>
      </c>
      <c r="J1744" s="8" t="str">
        <f aca="false">IF($G1744&lt;&gt;"",$G1744,$B1744)</f>
        <v>84-L-XXL</v>
      </c>
      <c r="K1744" s="8" t="str">
        <f aca="false">IF(COUNTIF($M$1:$M$10,$A1744)&gt;0,"Y","N")</f>
        <v>Y</v>
      </c>
    </row>
    <row r="1745" customFormat="false" ht="15" hidden="false" customHeight="true" outlineLevel="0" collapsed="false">
      <c r="A1745" s="8" t="s">
        <v>56</v>
      </c>
      <c r="B1745" s="8" t="s">
        <v>62</v>
      </c>
      <c r="C1745" s="19" t="n">
        <v>0</v>
      </c>
      <c r="D1745" s="19" t="n">
        <v>0</v>
      </c>
      <c r="E1745" s="19" t="n">
        <v>1</v>
      </c>
      <c r="F1745" s="19" t="n">
        <v>140.57</v>
      </c>
      <c r="G1745" s="8" t="str">
        <f aca="false">IFERROR(INDEX('TRANS'!$B:$B,MATCH($B1745,'TRANS'!$A:$A,0)),IFERROR(INDEX('TRANS'!$B:$B,MATCH(TRIM(SUBSTITUTE($B1745,CHAR(160)," ")),'TRANS'!$D:$D,0)),IFERROR(INDEX('Catalog'!$A:$A,MATCH($B1745,'Catalog'!$B:$B,0)),IFERROR(INDEX('Catalog'!$A:$A,MATCH(TRIM(SUBSTITUTE($B1745,CHAR(160)," ")),'Catalog'!$C:$C,0)),""))))</f>
        <v/>
      </c>
      <c r="H1745" s="8" t="str">
        <f aca="false">IFERROR(INDEX('TRANS'!$C:$C,MATCH($B1745,'TRANS'!$A:$A,0)),IFERROR(INDEX('Catalog'!$B:$B,MATCH($G1745,'Catalog'!$A:$A,0)),$B1745))</f>
        <v>84-S-M</v>
      </c>
      <c r="I1745" s="8" t="str">
        <f aca="false">IF($G1745="","Unmatched","Matched")</f>
        <v>Unmatched</v>
      </c>
      <c r="J1745" s="8" t="str">
        <f aca="false">IF($G1745&lt;&gt;"",$G1745,$B1745)</f>
        <v>84-S-M</v>
      </c>
      <c r="K1745" s="8" t="str">
        <f aca="false">IF(COUNTIF($M$1:$M$10,$A1745)&gt;0,"Y","N")</f>
        <v>Y</v>
      </c>
    </row>
    <row r="1746" customFormat="false" ht="15" hidden="false" customHeight="true" outlineLevel="0" collapsed="false">
      <c r="A1746" s="8" t="s">
        <v>56</v>
      </c>
      <c r="B1746" s="8" t="s">
        <v>105</v>
      </c>
      <c r="C1746" s="19" t="n">
        <v>0</v>
      </c>
      <c r="D1746" s="19" t="n">
        <v>0</v>
      </c>
      <c r="E1746" s="19" t="n">
        <v>2</v>
      </c>
      <c r="F1746" s="19" t="n">
        <v>222.08</v>
      </c>
      <c r="G1746" s="8" t="str">
        <f aca="false">IFERROR(INDEX('TRANS'!$B:$B,MATCH($B1746,'TRANS'!$A:$A,0)),IFERROR(INDEX('TRANS'!$B:$B,MATCH(TRIM(SUBSTITUTE($B1746,CHAR(160)," ")),'TRANS'!$D:$D,0)),IFERROR(INDEX('Catalog'!$A:$A,MATCH($B1746,'Catalog'!$B:$B,0)),IFERROR(INDEX('Catalog'!$A:$A,MATCH(TRIM(SUBSTITUTE($B1746,CHAR(160)," ")),'Catalog'!$C:$C,0)),""))))</f>
        <v/>
      </c>
      <c r="H1746" s="8" t="str">
        <f aca="false">IFERROR(INDEX('TRANS'!$C:$C,MATCH($B1746,'TRANS'!$A:$A,0)),IFERROR(INDEX('Catalog'!$B:$B,MATCH($G1746,'Catalog'!$A:$A,0)),$B1746))</f>
        <v>T03 L</v>
      </c>
      <c r="I1746" s="8" t="str">
        <f aca="false">IF($G1746="","Unmatched","Matched")</f>
        <v>Unmatched</v>
      </c>
      <c r="J1746" s="8" t="str">
        <f aca="false">IF($G1746&lt;&gt;"",$G1746,$B1746)</f>
        <v>T03 L</v>
      </c>
      <c r="K1746" s="8" t="str">
        <f aca="false">IF(COUNTIF($M$1:$M$10,$A1746)&gt;0,"Y","N")</f>
        <v>Y</v>
      </c>
    </row>
    <row r="1747" customFormat="false" ht="15" hidden="false" customHeight="true" outlineLevel="0" collapsed="false">
      <c r="A1747" s="8" t="s">
        <v>56</v>
      </c>
      <c r="B1747" s="8" t="s">
        <v>141</v>
      </c>
      <c r="C1747" s="19" t="n">
        <v>0</v>
      </c>
      <c r="D1747" s="19" t="n">
        <v>0</v>
      </c>
      <c r="E1747" s="19" t="n">
        <v>2</v>
      </c>
      <c r="F1747" s="19" t="n">
        <v>222.08</v>
      </c>
      <c r="G1747" s="8" t="str">
        <f aca="false">IFERROR(INDEX('TRANS'!$B:$B,MATCH($B1747,'TRANS'!$A:$A,0)),IFERROR(INDEX('TRANS'!$B:$B,MATCH(TRIM(SUBSTITUTE($B1747,CHAR(160)," ")),'TRANS'!$D:$D,0)),IFERROR(INDEX('Catalog'!$A:$A,MATCH($B1747,'Catalog'!$B:$B,0)),IFERROR(INDEX('Catalog'!$A:$A,MATCH(TRIM(SUBSTITUTE($B1747,CHAR(160)," ")),'Catalog'!$C:$C,0)),""))))</f>
        <v/>
      </c>
      <c r="H1747" s="8" t="str">
        <f aca="false">IFERROR(INDEX('TRANS'!$C:$C,MATCH($B1747,'TRANS'!$A:$A,0)),IFERROR(INDEX('Catalog'!$B:$B,MATCH($G1747,'Catalog'!$A:$A,0)),$B1747))</f>
        <v>T03 M</v>
      </c>
      <c r="I1747" s="8" t="str">
        <f aca="false">IF($G1747="","Unmatched","Matched")</f>
        <v>Unmatched</v>
      </c>
      <c r="J1747" s="8" t="str">
        <f aca="false">IF($G1747&lt;&gt;"",$G1747,$B1747)</f>
        <v>T03 M</v>
      </c>
      <c r="K1747" s="8" t="str">
        <f aca="false">IF(COUNTIF($M$1:$M$10,$A1747)&gt;0,"Y","N")</f>
        <v>Y</v>
      </c>
    </row>
    <row r="1748" customFormat="false" ht="15" hidden="false" customHeight="true" outlineLevel="0" collapsed="false">
      <c r="A1748" s="8" t="s">
        <v>56</v>
      </c>
      <c r="B1748" s="8" t="s">
        <v>147</v>
      </c>
      <c r="C1748" s="19" t="n">
        <v>0</v>
      </c>
      <c r="D1748" s="19" t="n">
        <v>0</v>
      </c>
      <c r="E1748" s="19" t="n">
        <v>2</v>
      </c>
      <c r="F1748" s="19" t="n">
        <v>222.08</v>
      </c>
      <c r="G1748" s="8" t="str">
        <f aca="false">IFERROR(INDEX('TRANS'!$B:$B,MATCH($B1748,'TRANS'!$A:$A,0)),IFERROR(INDEX('TRANS'!$B:$B,MATCH(TRIM(SUBSTITUTE($B1748,CHAR(160)," ")),'TRANS'!$D:$D,0)),IFERROR(INDEX('Catalog'!$A:$A,MATCH($B1748,'Catalog'!$B:$B,0)),IFERROR(INDEX('Catalog'!$A:$A,MATCH(TRIM(SUBSTITUTE($B1748,CHAR(160)," ")),'Catalog'!$C:$C,0)),""))))</f>
        <v/>
      </c>
      <c r="H1748" s="8" t="str">
        <f aca="false">IFERROR(INDEX('TRANS'!$C:$C,MATCH($B1748,'TRANS'!$A:$A,0)),IFERROR(INDEX('Catalog'!$B:$B,MATCH($G1748,'Catalog'!$A:$A,0)),$B1748))</f>
        <v>T03 XL</v>
      </c>
      <c r="I1748" s="8" t="str">
        <f aca="false">IF($G1748="","Unmatched","Matched")</f>
        <v>Unmatched</v>
      </c>
      <c r="J1748" s="8" t="str">
        <f aca="false">IF($G1748&lt;&gt;"",$G1748,$B1748)</f>
        <v>T03 XL</v>
      </c>
      <c r="K1748" s="8" t="str">
        <f aca="false">IF(COUNTIF($M$1:$M$10,$A1748)&gt;0,"Y","N")</f>
        <v>Y</v>
      </c>
    </row>
    <row r="1749" customFormat="false" ht="15" hidden="false" customHeight="true" outlineLevel="0" collapsed="false">
      <c r="A1749" s="8" t="s">
        <v>56</v>
      </c>
      <c r="B1749" s="8" t="s">
        <v>104</v>
      </c>
      <c r="C1749" s="19" t="n">
        <v>0</v>
      </c>
      <c r="D1749" s="19" t="n">
        <v>0</v>
      </c>
      <c r="E1749" s="19" t="n">
        <v>1</v>
      </c>
      <c r="F1749" s="19" t="n">
        <v>0</v>
      </c>
      <c r="G1749" s="8" t="str">
        <f aca="false">IFERROR(INDEX('TRANS'!$B:$B,MATCH($B1749,'TRANS'!$A:$A,0)),IFERROR(INDEX('TRANS'!$B:$B,MATCH(TRIM(SUBSTITUTE($B1749,CHAR(160)," ")),'TRANS'!$D:$D,0)),IFERROR(INDEX('Catalog'!$A:$A,MATCH($B1749,'Catalog'!$B:$B,0)),IFERROR(INDEX('Catalog'!$A:$A,MATCH(TRIM(SUBSTITUTE($B1749,CHAR(160)," ")),'Catalog'!$C:$C,0)),""))))</f>
        <v/>
      </c>
      <c r="H1749" s="8" t="str">
        <f aca="false">IFERROR(INDEX('TRANS'!$C:$C,MATCH($B1749,'TRANS'!$A:$A,0)),IFERROR(INDEX('Catalog'!$B:$B,MATCH($G1749,'Catalog'!$A:$A,0)),$B1749))</f>
        <v>67800020</v>
      </c>
      <c r="I1749" s="8" t="str">
        <f aca="false">IF($G1749="","Unmatched","Matched")</f>
        <v>Unmatched</v>
      </c>
      <c r="J1749" s="8" t="str">
        <f aca="false">IF($G1749&lt;&gt;"",$G1749,$B1749)</f>
        <v>67800020</v>
      </c>
      <c r="K1749" s="8" t="str">
        <f aca="false">IF(COUNTIF($M$1:$M$10,$A1749)&gt;0,"Y","N")</f>
        <v>Y</v>
      </c>
    </row>
    <row r="1750" customFormat="false" ht="15" hidden="false" customHeight="true" outlineLevel="0" collapsed="false">
      <c r="A1750" s="8" t="s">
        <v>448</v>
      </c>
      <c r="B1750" s="8" t="s">
        <v>595</v>
      </c>
      <c r="C1750" s="19" t="n">
        <v>48</v>
      </c>
      <c r="D1750" s="19" t="n">
        <v>2880</v>
      </c>
      <c r="E1750" s="19" t="n">
        <v>0</v>
      </c>
      <c r="F1750" s="19" t="n">
        <v>0</v>
      </c>
      <c r="G1750" s="8" t="n">
        <f aca="false">IFERROR(INDEX('TRANS'!$B:$B,MATCH($B1750,'TRANS'!$A:$A,0)),IFERROR(INDEX('TRANS'!$B:$B,MATCH(TRIM(SUBSTITUTE($B1750,CHAR(160)," ")),'TRANS'!$D:$D,0)),IFERROR(INDEX('Catalog'!$A:$A,MATCH($B1750,'Catalog'!$B:$B,0)),IFERROR(INDEX('Catalog'!$A:$A,MATCH(TRIM(SUBSTITUTE($B1750,CHAR(160)," ")),'Catalog'!$C:$C,0)),""))))</f>
        <v>4413348</v>
      </c>
      <c r="H1750" s="8" t="str">
        <f aca="false">IFERROR(INDEX('TRANS'!$C:$C,MATCH($B1750,'TRANS'!$A:$A,0)),IFERROR(INDEX('Catalog'!$B:$B,MATCH($G1750,'Catalog'!$A:$A,0)),$B1750))</f>
        <v>302 מדרס ג'ל לגבר</v>
      </c>
      <c r="I1750" s="8" t="str">
        <f aca="false">IF($G1750="","Unmatched","Matched")</f>
        <v>Matched</v>
      </c>
      <c r="J1750" s="8" t="n">
        <f aca="false">IF($G1750&lt;&gt;"",$G1750,$B1750)</f>
        <v>4413348</v>
      </c>
      <c r="K1750" s="8" t="str">
        <f aca="false">IF(COUNTIF($M$1:$M$10,$A1750)&gt;0,"Y","N")</f>
        <v>Y</v>
      </c>
    </row>
    <row r="1751" customFormat="false" ht="15" hidden="false" customHeight="true" outlineLevel="0" collapsed="false">
      <c r="A1751" s="8" t="s">
        <v>448</v>
      </c>
      <c r="B1751" s="8" t="s">
        <v>596</v>
      </c>
      <c r="C1751" s="19" t="n">
        <v>40</v>
      </c>
      <c r="D1751" s="19" t="n">
        <v>2400</v>
      </c>
      <c r="E1751" s="19" t="n">
        <v>0</v>
      </c>
      <c r="F1751" s="19" t="n">
        <v>0</v>
      </c>
      <c r="G1751" s="8" t="n">
        <f aca="false">IFERROR(INDEX('TRANS'!$B:$B,MATCH($B1751,'TRANS'!$A:$A,0)),IFERROR(INDEX('TRANS'!$B:$B,MATCH(TRIM(SUBSTITUTE($B1751,CHAR(160)," ")),'TRANS'!$D:$D,0)),IFERROR(INDEX('Catalog'!$A:$A,MATCH($B1751,'Catalog'!$B:$B,0)),IFERROR(INDEX('Catalog'!$A:$A,MATCH(TRIM(SUBSTITUTE($B1751,CHAR(160)," ")),'Catalog'!$C:$C,0)),""))))</f>
        <v>4413372</v>
      </c>
      <c r="H1751" s="8" t="str">
        <f aca="false">IFERROR(INDEX('TRANS'!$C:$C,MATCH($B1751,'TRANS'!$A:$A,0)),IFERROR(INDEX('Catalog'!$B:$B,MATCH($G1751,'Catalog'!$A:$A,0)),$B1751))</f>
        <v>302 W מדרס לאישה</v>
      </c>
      <c r="I1751" s="8" t="str">
        <f aca="false">IF($G1751="","Unmatched","Matched")</f>
        <v>Matched</v>
      </c>
      <c r="J1751" s="8" t="n">
        <f aca="false">IF($G1751&lt;&gt;"",$G1751,$B1751)</f>
        <v>4413372</v>
      </c>
      <c r="K1751" s="8" t="str">
        <f aca="false">IF(COUNTIF($M$1:$M$10,$A1751)&gt;0,"Y","N")</f>
        <v>Y</v>
      </c>
    </row>
    <row r="1752" customFormat="false" ht="15" hidden="false" customHeight="true" outlineLevel="0" collapsed="false">
      <c r="A1752" s="8" t="s">
        <v>448</v>
      </c>
      <c r="B1752" s="8" t="s">
        <v>605</v>
      </c>
      <c r="C1752" s="19" t="n">
        <v>14</v>
      </c>
      <c r="D1752" s="19" t="n">
        <v>226.59</v>
      </c>
      <c r="E1752" s="19" t="n">
        <v>0</v>
      </c>
      <c r="F1752" s="19" t="n">
        <v>0</v>
      </c>
      <c r="G1752" s="8" t="n">
        <f aca="false">IFERROR(INDEX('TRANS'!$B:$B,MATCH($B1752,'TRANS'!$A:$A,0)),IFERROR(INDEX('TRANS'!$B:$B,MATCH(TRIM(SUBSTITUTE($B1752,CHAR(160)," ")),'TRANS'!$D:$D,0)),IFERROR(INDEX('Catalog'!$A:$A,MATCH($B1752,'Catalog'!$B:$B,0)),IFERROR(INDEX('Catalog'!$A:$A,MATCH(TRIM(SUBSTITUTE($B1752,CHAR(160)," ")),'Catalog'!$C:$C,0)),""))))</f>
        <v>4413033</v>
      </c>
      <c r="H1752" s="8" t="str">
        <f aca="false">IFERROR(INDEX('TRANS'!$C:$C,MATCH($B1752,'TRANS'!$A:$A,0)),IFERROR(INDEX('Catalog'!$B:$B,MATCH($G1752,'Catalog'!$A:$A,0)),$B1752))</f>
        <v>311'מדב.ג'ל למניעת שפשוף 5 יח</v>
      </c>
      <c r="I1752" s="8" t="str">
        <f aca="false">IF($G1752="","Unmatched","Matched")</f>
        <v>Matched</v>
      </c>
      <c r="J1752" s="8" t="n">
        <f aca="false">IF($G1752&lt;&gt;"",$G1752,$B1752)</f>
        <v>4413033</v>
      </c>
      <c r="K1752" s="8" t="str">
        <f aca="false">IF(COUNTIF($M$1:$M$10,$A1752)&gt;0,"Y","N")</f>
        <v>Y</v>
      </c>
    </row>
    <row r="1753" customFormat="false" ht="15" hidden="false" customHeight="true" outlineLevel="0" collapsed="false">
      <c r="A1753" s="8" t="s">
        <v>448</v>
      </c>
      <c r="B1753" s="8" t="s">
        <v>607</v>
      </c>
      <c r="C1753" s="19" t="n">
        <v>14</v>
      </c>
      <c r="D1753" s="19" t="n">
        <v>331.84</v>
      </c>
      <c r="E1753" s="19" t="n">
        <v>0</v>
      </c>
      <c r="F1753" s="19" t="n">
        <v>0</v>
      </c>
      <c r="G1753" s="8" t="n">
        <f aca="false">IFERROR(INDEX('TRANS'!$B:$B,MATCH($B1753,'TRANS'!$A:$A,0)),IFERROR(INDEX('TRANS'!$B:$B,MATCH(TRIM(SUBSTITUTE($B1753,CHAR(160)," ")),'TRANS'!$D:$D,0)),IFERROR(INDEX('Catalog'!$A:$A,MATCH($B1753,'Catalog'!$B:$B,0)),IFERROR(INDEX('Catalog'!$A:$A,MATCH(TRIM(SUBSTITUTE($B1753,CHAR(160)," ")),'Catalog'!$C:$C,0)),""))))</f>
        <v>4415297</v>
      </c>
      <c r="H1753" s="8" t="str">
        <f aca="false">IFERROR(INDEX('TRANS'!$C:$C,MATCH($B1753,'TRANS'!$A:$A,0)),IFERROR(INDEX('Catalog'!$B:$B,MATCH($G1753,'Catalog'!$A:$A,0)),$B1753))</f>
        <v>313 סט פלסטרים נגד שפשופים</v>
      </c>
      <c r="I1753" s="8" t="str">
        <f aca="false">IF($G1753="","Unmatched","Matched")</f>
        <v>Matched</v>
      </c>
      <c r="J1753" s="8" t="n">
        <f aca="false">IF($G1753&lt;&gt;"",$G1753,$B1753)</f>
        <v>4415297</v>
      </c>
      <c r="K1753" s="8" t="str">
        <f aca="false">IF(COUNTIF($M$1:$M$10,$A1753)&gt;0,"Y","N")</f>
        <v>Y</v>
      </c>
    </row>
    <row r="1754" customFormat="false" ht="15" hidden="false" customHeight="true" outlineLevel="0" collapsed="false">
      <c r="A1754" s="8" t="s">
        <v>448</v>
      </c>
      <c r="B1754" s="8" t="s">
        <v>609</v>
      </c>
      <c r="C1754" s="19" t="n">
        <v>14</v>
      </c>
      <c r="D1754" s="19" t="n">
        <v>268.75</v>
      </c>
      <c r="E1754" s="19" t="n">
        <v>0</v>
      </c>
      <c r="F1754" s="19" t="n">
        <v>0</v>
      </c>
      <c r="G1754" s="8" t="n">
        <f aca="false">IFERROR(INDEX('TRANS'!$B:$B,MATCH($B1754,'TRANS'!$A:$A,0)),IFERROR(INDEX('TRANS'!$B:$B,MATCH(TRIM(SUBSTITUTE($B1754,CHAR(160)," ")),'TRANS'!$D:$D,0)),IFERROR(INDEX('Catalog'!$A:$A,MATCH($B1754,'Catalog'!$B:$B,0)),IFERROR(INDEX('Catalog'!$A:$A,MATCH(TRIM(SUBSTITUTE($B1754,CHAR(160)," ")),'Catalog'!$C:$C,0)),""))))</f>
        <v>4402007</v>
      </c>
      <c r="H1754" s="8" t="str">
        <f aca="false">IFERROR(INDEX('TRANS'!$C:$C,MATCH($B1754,'TRANS'!$A:$A,0)),IFERROR(INDEX('Catalog'!$B:$B,MATCH($G1754,'Catalog'!$A:$A,0)),$B1754))</f>
        <v>320 בליסטר פלסטר</v>
      </c>
      <c r="I1754" s="8" t="str">
        <f aca="false">IF($G1754="","Unmatched","Matched")</f>
        <v>Matched</v>
      </c>
      <c r="J1754" s="8" t="n">
        <f aca="false">IF($G1754&lt;&gt;"",$G1754,$B1754)</f>
        <v>4402007</v>
      </c>
      <c r="K1754" s="8" t="str">
        <f aca="false">IF(COUNTIF($M$1:$M$10,$A1754)&gt;0,"Y","N")</f>
        <v>Y</v>
      </c>
    </row>
    <row r="1755" customFormat="false" ht="15" hidden="false" customHeight="true" outlineLevel="0" collapsed="false">
      <c r="A1755" s="8" t="s">
        <v>448</v>
      </c>
      <c r="B1755" s="8" t="s">
        <v>625</v>
      </c>
      <c r="C1755" s="19" t="n">
        <v>14</v>
      </c>
      <c r="D1755" s="19" t="n">
        <v>845.38</v>
      </c>
      <c r="E1755" s="19" t="n">
        <v>0</v>
      </c>
      <c r="F1755" s="19" t="n">
        <v>0</v>
      </c>
      <c r="G1755" s="8" t="n">
        <f aca="false">IFERROR(INDEX('TRANS'!$B:$B,MATCH($B1755,'TRANS'!$A:$A,0)),IFERROR(INDEX('TRANS'!$B:$B,MATCH(TRIM(SUBSTITUTE($B1755,CHAR(160)," ")),'TRANS'!$D:$D,0)),IFERROR(INDEX('Catalog'!$A:$A,MATCH($B1755,'Catalog'!$B:$B,0)),IFERROR(INDEX('Catalog'!$A:$A,MATCH(TRIM(SUBSTITUTE($B1755,CHAR(160)," ")),'Catalog'!$C:$C,0)),""))))</f>
        <v>4421001</v>
      </c>
      <c r="H1755" s="8" t="str">
        <f aca="false">IFERROR(INDEX('TRANS'!$C:$C,MATCH($B1755,'TRANS'!$A:$A,0)),IFERROR(INDEX('Catalog'!$B:$B,MATCH($G1755,'Catalog'!$A:$A,0)),$B1755))</f>
        <v>3611 שרוול מטטרזלי מסיליקון</v>
      </c>
      <c r="I1755" s="8" t="str">
        <f aca="false">IF($G1755="","Unmatched","Matched")</f>
        <v>Matched</v>
      </c>
      <c r="J1755" s="8" t="n">
        <f aca="false">IF($G1755&lt;&gt;"",$G1755,$B1755)</f>
        <v>4421001</v>
      </c>
      <c r="K1755" s="8" t="str">
        <f aca="false">IF(COUNTIF($M$1:$M$10,$A1755)&gt;0,"Y","N")</f>
        <v>Y</v>
      </c>
    </row>
    <row r="1756" customFormat="false" ht="15" hidden="false" customHeight="true" outlineLevel="0" collapsed="false">
      <c r="A1756" s="8" t="s">
        <v>448</v>
      </c>
      <c r="B1756" s="8" t="s">
        <v>629</v>
      </c>
      <c r="C1756" s="19" t="n">
        <v>14</v>
      </c>
      <c r="D1756" s="19" t="n">
        <v>199.99</v>
      </c>
      <c r="E1756" s="19" t="n">
        <v>0</v>
      </c>
      <c r="F1756" s="19" t="n">
        <v>0</v>
      </c>
      <c r="G1756" s="8" t="n">
        <f aca="false">IFERROR(INDEX('TRANS'!$B:$B,MATCH($B1756,'TRANS'!$A:$A,0)),IFERROR(INDEX('TRANS'!$B:$B,MATCH(TRIM(SUBSTITUTE($B1756,CHAR(160)," ")),'TRANS'!$D:$D,0)),IFERROR(INDEX('Catalog'!$A:$A,MATCH($B1756,'Catalog'!$B:$B,0)),IFERROR(INDEX('Catalog'!$A:$A,MATCH(TRIM(SUBSTITUTE($B1756,CHAR(160)," ")),'Catalog'!$C:$C,0)),""))))</f>
        <v>4413059</v>
      </c>
      <c r="H1756" s="8" t="str">
        <f aca="false">IFERROR(INDEX('TRANS'!$C:$C,MATCH($B1756,'TRANS'!$A:$A,0)),IFERROR(INDEX('Catalog'!$B:$B,MATCH($G1756,'Catalog'!$A:$A,0)),$B1756))</f>
        <v>364S Lמפר.אצבע סיליק. ליבל.זוג</v>
      </c>
      <c r="I1756" s="8" t="str">
        <f aca="false">IF($G1756="","Unmatched","Matched")</f>
        <v>Matched</v>
      </c>
      <c r="J1756" s="8" t="n">
        <f aca="false">IF($G1756&lt;&gt;"",$G1756,$B1756)</f>
        <v>4413059</v>
      </c>
      <c r="K1756" s="8" t="str">
        <f aca="false">IF(COUNTIF($M$1:$M$10,$A1756)&gt;0,"Y","N")</f>
        <v>Y</v>
      </c>
    </row>
    <row r="1757" customFormat="false" ht="15" hidden="false" customHeight="true" outlineLevel="0" collapsed="false">
      <c r="A1757" s="8" t="s">
        <v>448</v>
      </c>
      <c r="B1757" s="8" t="s">
        <v>630</v>
      </c>
      <c r="C1757" s="19" t="n">
        <v>14</v>
      </c>
      <c r="D1757" s="19" t="n">
        <v>199.99</v>
      </c>
      <c r="E1757" s="19" t="n">
        <v>0</v>
      </c>
      <c r="F1757" s="19" t="n">
        <v>0</v>
      </c>
      <c r="G1757" s="8" t="n">
        <f aca="false">IFERROR(INDEX('TRANS'!$B:$B,MATCH($B1757,'TRANS'!$A:$A,0)),IFERROR(INDEX('TRANS'!$B:$B,MATCH(TRIM(SUBSTITUTE($B1757,CHAR(160)," ")),'TRANS'!$D:$D,0)),IFERROR(INDEX('Catalog'!$A:$A,MATCH($B1757,'Catalog'!$B:$B,0)),IFERROR(INDEX('Catalog'!$A:$A,MATCH(TRIM(SUBSTITUTE($B1757,CHAR(160)," ")),'Catalog'!$C:$C,0)),""))))</f>
        <v>4413060</v>
      </c>
      <c r="H1757" s="8" t="str">
        <f aca="false">IFERROR(INDEX('TRANS'!$C:$C,MATCH($B1757,'TRANS'!$A:$A,0)),IFERROR(INDEX('Catalog'!$B:$B,MATCH($G1757,'Catalog'!$A:$A,0)),$B1757))</f>
        <v>364 XLמפריד אצבע סיליקון ליבלת</v>
      </c>
      <c r="I1757" s="8" t="str">
        <f aca="false">IF($G1757="","Unmatched","Matched")</f>
        <v>Matched</v>
      </c>
      <c r="J1757" s="8" t="n">
        <f aca="false">IF($G1757&lt;&gt;"",$G1757,$B1757)</f>
        <v>4413060</v>
      </c>
      <c r="K1757" s="8" t="str">
        <f aca="false">IF(COUNTIF($M$1:$M$10,$A1757)&gt;0,"Y","N")</f>
        <v>Y</v>
      </c>
    </row>
    <row r="1758" customFormat="false" ht="15" hidden="false" customHeight="true" outlineLevel="0" collapsed="false">
      <c r="A1758" s="8" t="s">
        <v>448</v>
      </c>
      <c r="B1758" s="8" t="s">
        <v>640</v>
      </c>
      <c r="C1758" s="19" t="n">
        <v>14</v>
      </c>
      <c r="D1758" s="19" t="n">
        <v>331.84</v>
      </c>
      <c r="E1758" s="19" t="n">
        <v>0</v>
      </c>
      <c r="F1758" s="19" t="n">
        <v>0</v>
      </c>
      <c r="G1758" s="8" t="n">
        <f aca="false">IFERROR(INDEX('TRANS'!$B:$B,MATCH($B1758,'TRANS'!$A:$A,0)),IFERROR(INDEX('TRANS'!$B:$B,MATCH(TRIM(SUBSTITUTE($B1758,CHAR(160)," ")),'TRANS'!$D:$D,0)),IFERROR(INDEX('Catalog'!$A:$A,MATCH($B1758,'Catalog'!$B:$B,0)),IFERROR(INDEX('Catalog'!$A:$A,MATCH(TRIM(SUBSTITUTE($B1758,CHAR(160)," ")),'Catalog'!$C:$C,0)),""))))</f>
        <v>4401000</v>
      </c>
      <c r="H1758" s="8" t="str">
        <f aca="false">IFERROR(INDEX('TRANS'!$C:$C,MATCH($B1758,'TRANS'!$A:$A,0)),IFERROR(INDEX('Catalog'!$B:$B,MATCH($G1758,'Catalog'!$A:$A,0)),$B1758))</f>
        <v>369  S-L אצבעון מסיליקון יחידה</v>
      </c>
      <c r="I1758" s="8" t="str">
        <f aca="false">IF($G1758="","Unmatched","Matched")</f>
        <v>Matched</v>
      </c>
      <c r="J1758" s="8" t="n">
        <f aca="false">IF($G1758&lt;&gt;"",$G1758,$B1758)</f>
        <v>4401000</v>
      </c>
      <c r="K1758" s="8" t="str">
        <f aca="false">IF(COUNTIF($M$1:$M$10,$A1758)&gt;0,"Y","N")</f>
        <v>Y</v>
      </c>
    </row>
    <row r="1759" customFormat="false" ht="15" hidden="false" customHeight="true" outlineLevel="0" collapsed="false">
      <c r="A1759" s="8" t="s">
        <v>448</v>
      </c>
      <c r="B1759" s="8" t="s">
        <v>641</v>
      </c>
      <c r="C1759" s="19" t="n">
        <v>14</v>
      </c>
      <c r="D1759" s="19" t="n">
        <v>364.78</v>
      </c>
      <c r="E1759" s="19" t="n">
        <v>0</v>
      </c>
      <c r="F1759" s="19" t="n">
        <v>0</v>
      </c>
      <c r="G1759" s="8" t="n">
        <f aca="false">IFERROR(INDEX('TRANS'!$B:$B,MATCH($B1759,'TRANS'!$A:$A,0)),IFERROR(INDEX('TRANS'!$B:$B,MATCH(TRIM(SUBSTITUTE($B1759,CHAR(160)," ")),'TRANS'!$D:$D,0)),IFERROR(INDEX('Catalog'!$A:$A,MATCH($B1759,'Catalog'!$B:$B,0)),IFERROR(INDEX('Catalog'!$A:$A,MATCH(TRIM(SUBSTITUTE($B1759,CHAR(160)," ")),'Catalog'!$C:$C,0)),""))))</f>
        <v>4401001</v>
      </c>
      <c r="H1759" s="8" t="str">
        <f aca="false">IFERROR(INDEX('TRANS'!$C:$C,MATCH($B1759,'TRANS'!$A:$A,0)),IFERROR(INDEX('Catalog'!$B:$B,MATCH($G1759,'Catalog'!$A:$A,0)),$B1759))</f>
        <v>369   XL אצבעון מסיליקון יחידה</v>
      </c>
      <c r="I1759" s="8" t="str">
        <f aca="false">IF($G1759="","Unmatched","Matched")</f>
        <v>Matched</v>
      </c>
      <c r="J1759" s="8" t="n">
        <f aca="false">IF($G1759&lt;&gt;"",$G1759,$B1759)</f>
        <v>4401001</v>
      </c>
      <c r="K1759" s="8" t="str">
        <f aca="false">IF(COUNTIF($M$1:$M$10,$A1759)&gt;0,"Y","N")</f>
        <v>Y</v>
      </c>
    </row>
    <row r="1760" customFormat="false" ht="15" hidden="false" customHeight="true" outlineLevel="0" collapsed="false">
      <c r="A1760" s="8" t="s">
        <v>448</v>
      </c>
      <c r="B1760" s="8" t="s">
        <v>642</v>
      </c>
      <c r="C1760" s="19" t="n">
        <v>6</v>
      </c>
      <c r="D1760" s="19" t="n">
        <v>78.48</v>
      </c>
      <c r="E1760" s="19" t="n">
        <v>0</v>
      </c>
      <c r="F1760" s="19" t="n">
        <v>0</v>
      </c>
      <c r="G1760" s="8" t="n">
        <f aca="false">IFERROR(INDEX('TRANS'!$B:$B,MATCH($B1760,'TRANS'!$A:$A,0)),IFERROR(INDEX('TRANS'!$B:$B,MATCH(TRIM(SUBSTITUTE($B1760,CHAR(160)," ")),'TRANS'!$D:$D,0)),IFERROR(INDEX('Catalog'!$A:$A,MATCH($B1760,'Catalog'!$B:$B,0)),IFERROR(INDEX('Catalog'!$A:$A,MATCH(TRIM(SUBSTITUTE($B1760,CHAR(160)," ")),'Catalog'!$C:$C,0)),""))))</f>
        <v>4420000</v>
      </c>
      <c r="H1760" s="8" t="str">
        <f aca="false">IFERROR(INDEX('TRANS'!$C:$C,MATCH($B1760,'TRANS'!$A:$A,0)),IFERROR(INDEX('Catalog'!$B:$B,MATCH($G1760,'Catalog'!$A:$A,0)),$B1760))</f>
        <v>370  רפידת נוחות-זוג</v>
      </c>
      <c r="I1760" s="8" t="str">
        <f aca="false">IF($G1760="","Unmatched","Matched")</f>
        <v>Matched</v>
      </c>
      <c r="J1760" s="8" t="n">
        <f aca="false">IF($G1760&lt;&gt;"",$G1760,$B1760)</f>
        <v>4420000</v>
      </c>
      <c r="K1760" s="8" t="str">
        <f aca="false">IF(COUNTIF($M$1:$M$10,$A1760)&gt;0,"Y","N")</f>
        <v>Y</v>
      </c>
    </row>
    <row r="1761" customFormat="false" ht="15" hidden="false" customHeight="true" outlineLevel="0" collapsed="false">
      <c r="A1761" s="8" t="s">
        <v>448</v>
      </c>
      <c r="B1761" s="8" t="s">
        <v>645</v>
      </c>
      <c r="C1761" s="19" t="n">
        <v>6</v>
      </c>
      <c r="D1761" s="19" t="n">
        <v>92.52</v>
      </c>
      <c r="E1761" s="19" t="n">
        <v>0</v>
      </c>
      <c r="F1761" s="19" t="n">
        <v>0</v>
      </c>
      <c r="G1761" s="8" t="n">
        <f aca="false">IFERROR(INDEX('TRANS'!$B:$B,MATCH($B1761,'TRANS'!$A:$A,0)),IFERROR(INDEX('TRANS'!$B:$B,MATCH(TRIM(SUBSTITUTE($B1761,CHAR(160)," ")),'TRANS'!$D:$D,0)),IFERROR(INDEX('Catalog'!$A:$A,MATCH($B1761,'Catalog'!$B:$B,0)),IFERROR(INDEX('Catalog'!$A:$A,MATCH(TRIM(SUBSTITUTE($B1761,CHAR(160)," ")),'Catalog'!$C:$C,0)),""))))</f>
        <v>4420002</v>
      </c>
      <c r="H1761" s="8" t="str">
        <f aca="false">IFERROR(INDEX('TRANS'!$C:$C,MATCH($B1761,'TRANS'!$A:$A,0)),IFERROR(INDEX('Catalog'!$B:$B,MATCH($G1761,'Catalog'!$A:$A,0)),$B1761))</f>
        <v>372 רפידת אנטי ריח -זוג</v>
      </c>
      <c r="I1761" s="8" t="str">
        <f aca="false">IF($G1761="","Unmatched","Matched")</f>
        <v>Matched</v>
      </c>
      <c r="J1761" s="8" t="n">
        <f aca="false">IF($G1761&lt;&gt;"",$G1761,$B1761)</f>
        <v>4420002</v>
      </c>
      <c r="K1761" s="8" t="str">
        <f aca="false">IF(COUNTIF($M$1:$M$10,$A1761)&gt;0,"Y","N")</f>
        <v>Y</v>
      </c>
    </row>
    <row r="1762" customFormat="false" ht="15" hidden="false" customHeight="true" outlineLevel="0" collapsed="false">
      <c r="A1762" s="8" t="s">
        <v>448</v>
      </c>
      <c r="B1762" s="8" t="s">
        <v>646</v>
      </c>
      <c r="C1762" s="19" t="n">
        <v>6</v>
      </c>
      <c r="D1762" s="19" t="n">
        <v>92.52</v>
      </c>
      <c r="E1762" s="19" t="n">
        <v>0</v>
      </c>
      <c r="F1762" s="19" t="n">
        <v>0</v>
      </c>
      <c r="G1762" s="8" t="n">
        <f aca="false">IFERROR(INDEX('TRANS'!$B:$B,MATCH($B1762,'TRANS'!$A:$A,0)),IFERROR(INDEX('TRANS'!$B:$B,MATCH(TRIM(SUBSTITUTE($B1762,CHAR(160)," ")),'TRANS'!$D:$D,0)),IFERROR(INDEX('Catalog'!$A:$A,MATCH($B1762,'Catalog'!$B:$B,0)),IFERROR(INDEX('Catalog'!$A:$A,MATCH(TRIM(SUBSTITUTE($B1762,CHAR(160)," ")),'Catalog'!$C:$C,0)),""))))</f>
        <v>4420003</v>
      </c>
      <c r="H1762" s="8" t="str">
        <f aca="false">IFERROR(INDEX('TRANS'!$C:$C,MATCH($B1762,'TRANS'!$A:$A,0)),IFERROR(INDEX('Catalog'!$B:$B,MATCH($G1762,'Catalog'!$A:$A,0)),$B1762))</f>
        <v>374 רפידת בולמת זעזועים -זוג</v>
      </c>
      <c r="I1762" s="8" t="str">
        <f aca="false">IF($G1762="","Unmatched","Matched")</f>
        <v>Matched</v>
      </c>
      <c r="J1762" s="8" t="n">
        <f aca="false">IF($G1762&lt;&gt;"",$G1762,$B1762)</f>
        <v>4420003</v>
      </c>
      <c r="K1762" s="8" t="str">
        <f aca="false">IF(COUNTIF($M$1:$M$10,$A1762)&gt;0,"Y","N")</f>
        <v>Y</v>
      </c>
    </row>
    <row r="1763" customFormat="false" ht="15" hidden="false" customHeight="true" outlineLevel="0" collapsed="false">
      <c r="A1763" s="8" t="s">
        <v>448</v>
      </c>
      <c r="B1763" s="8" t="s">
        <v>653</v>
      </c>
      <c r="C1763" s="19" t="n">
        <v>10</v>
      </c>
      <c r="D1763" s="19" t="n">
        <v>270</v>
      </c>
      <c r="E1763" s="19" t="n">
        <v>0</v>
      </c>
      <c r="F1763" s="19" t="n">
        <v>0</v>
      </c>
      <c r="G1763" s="8" t="n">
        <f aca="false">IFERROR(INDEX('TRANS'!$B:$B,MATCH($B1763,'TRANS'!$A:$A,0)),IFERROR(INDEX('TRANS'!$B:$B,MATCH(TRIM(SUBSTITUTE($B1763,CHAR(160)," ")),'TRANS'!$D:$D,0)),IFERROR(INDEX('Catalog'!$A:$A,MATCH($B1763,'Catalog'!$B:$B,0)),IFERROR(INDEX('Catalog'!$A:$A,MATCH(TRIM(SUBSTITUTE($B1763,CHAR(160)," ")),'Catalog'!$C:$C,0)),""))))</f>
        <v>4403001</v>
      </c>
      <c r="H1763" s="8" t="str">
        <f aca="false">IFERROR(INDEX('TRANS'!$C:$C,MATCH($B1763,'TRANS'!$A:$A,0)),IFERROR(INDEX('Catalog'!$B:$B,MATCH($G1763,'Catalog'!$A:$A,0)),$B1763))</f>
        <v>390B 39-42.גרב.כסף לסכרתיים שח</v>
      </c>
      <c r="I1763" s="8" t="str">
        <f aca="false">IF($G1763="","Unmatched","Matched")</f>
        <v>Matched</v>
      </c>
      <c r="J1763" s="8" t="n">
        <f aca="false">IF($G1763&lt;&gt;"",$G1763,$B1763)</f>
        <v>4403001</v>
      </c>
      <c r="K1763" s="8" t="str">
        <f aca="false">IF(COUNTIF($M$1:$M$10,$A1763)&gt;0,"Y","N")</f>
        <v>Y</v>
      </c>
    </row>
    <row r="1764" customFormat="false" ht="15" hidden="false" customHeight="true" outlineLevel="0" collapsed="false">
      <c r="A1764" s="8" t="s">
        <v>448</v>
      </c>
      <c r="B1764" s="8" t="s">
        <v>654</v>
      </c>
      <c r="C1764" s="19" t="n">
        <v>10</v>
      </c>
      <c r="D1764" s="19" t="n">
        <v>270</v>
      </c>
      <c r="E1764" s="19" t="n">
        <v>0</v>
      </c>
      <c r="F1764" s="19" t="n">
        <v>0</v>
      </c>
      <c r="G1764" s="8" t="n">
        <f aca="false">IFERROR(INDEX('TRANS'!$B:$B,MATCH($B1764,'TRANS'!$A:$A,0)),IFERROR(INDEX('TRANS'!$B:$B,MATCH(TRIM(SUBSTITUTE($B1764,CHAR(160)," ")),'TRANS'!$D:$D,0)),IFERROR(INDEX('Catalog'!$A:$A,MATCH($B1764,'Catalog'!$B:$B,0)),IFERROR(INDEX('Catalog'!$A:$A,MATCH(TRIM(SUBSTITUTE($B1764,CHAR(160)," ")),'Catalog'!$C:$C,0)),""))))</f>
        <v>4403002</v>
      </c>
      <c r="H1764" s="8" t="str">
        <f aca="false">IFERROR(INDEX('TRANS'!$C:$C,MATCH($B1764,'TRANS'!$A:$A,0)),IFERROR(INDEX('Catalog'!$B:$B,MATCH($G1764,'Catalog'!$A:$A,0)),$B1764))</f>
        <v>390B 43-46.גרב.כסף לסכרתיים שח</v>
      </c>
      <c r="I1764" s="8" t="str">
        <f aca="false">IF($G1764="","Unmatched","Matched")</f>
        <v>Matched</v>
      </c>
      <c r="J1764" s="8" t="n">
        <f aca="false">IF($G1764&lt;&gt;"",$G1764,$B1764)</f>
        <v>4403002</v>
      </c>
      <c r="K1764" s="8" t="str">
        <f aca="false">IF(COUNTIF($M$1:$M$10,$A1764)&gt;0,"Y","N")</f>
        <v>Y</v>
      </c>
    </row>
    <row r="1765" customFormat="false" ht="15" hidden="false" customHeight="true" outlineLevel="0" collapsed="false">
      <c r="A1765" s="8" t="s">
        <v>448</v>
      </c>
      <c r="B1765" s="8" t="s">
        <v>107</v>
      </c>
      <c r="C1765" s="19" t="n">
        <v>10</v>
      </c>
      <c r="D1765" s="19" t="n">
        <v>270</v>
      </c>
      <c r="E1765" s="19" t="n">
        <v>0</v>
      </c>
      <c r="F1765" s="19" t="n">
        <v>0</v>
      </c>
      <c r="G1765" s="8" t="str">
        <f aca="false">IFERROR(INDEX('TRANS'!$B:$B,MATCH($B1765,'TRANS'!$A:$A,0)),IFERROR(INDEX('TRANS'!$B:$B,MATCH(TRIM(SUBSTITUTE($B1765,CHAR(160)," ")),'TRANS'!$D:$D,0)),IFERROR(INDEX('Catalog'!$A:$A,MATCH($B1765,'Catalog'!$B:$B,0)),IFERROR(INDEX('Catalog'!$A:$A,MATCH(TRIM(SUBSTITUTE($B1765,CHAR(160)," ")),'Catalog'!$C:$C,0)),""))))</f>
        <v/>
      </c>
      <c r="H1765" s="8" t="str">
        <f aca="false">IFERROR(INDEX('TRANS'!$C:$C,MATCH($B1765,'TRANS'!$A:$A,0)),IFERROR(INDEX('Catalog'!$B:$B,MATCH($G1765,'Catalog'!$A:$A,0)),$B1765))</f>
        <v>390G-39-42</v>
      </c>
      <c r="I1765" s="8" t="str">
        <f aca="false">IF($G1765="","Unmatched","Matched")</f>
        <v>Unmatched</v>
      </c>
      <c r="J1765" s="8" t="str">
        <f aca="false">IF($G1765&lt;&gt;"",$G1765,$B1765)</f>
        <v>390G-39-42</v>
      </c>
      <c r="K1765" s="8" t="str">
        <f aca="false">IF(COUNTIF($M$1:$M$10,$A1765)&gt;0,"Y","N")</f>
        <v>Y</v>
      </c>
    </row>
    <row r="1766" customFormat="false" ht="15" hidden="false" customHeight="true" outlineLevel="0" collapsed="false">
      <c r="A1766" s="8" t="s">
        <v>448</v>
      </c>
      <c r="B1766" s="8" t="s">
        <v>656</v>
      </c>
      <c r="C1766" s="19" t="n">
        <v>10</v>
      </c>
      <c r="D1766" s="19" t="n">
        <v>270</v>
      </c>
      <c r="E1766" s="19" t="n">
        <v>0</v>
      </c>
      <c r="F1766" s="19" t="n">
        <v>0</v>
      </c>
      <c r="G1766" s="8" t="n">
        <f aca="false">IFERROR(INDEX('TRANS'!$B:$B,MATCH($B1766,'TRANS'!$A:$A,0)),IFERROR(INDEX('TRANS'!$B:$B,MATCH(TRIM(SUBSTITUTE($B1766,CHAR(160)," ")),'TRANS'!$D:$D,0)),IFERROR(INDEX('Catalog'!$A:$A,MATCH($B1766,'Catalog'!$B:$B,0)),IFERROR(INDEX('Catalog'!$A:$A,MATCH(TRIM(SUBSTITUTE($B1766,CHAR(160)," ")),'Catalog'!$C:$C,0)),""))))</f>
        <v>4403005</v>
      </c>
      <c r="H1766" s="8" t="str">
        <f aca="false">IFERROR(INDEX('TRANS'!$C:$C,MATCH($B1766,'TRANS'!$A:$A,0)),IFERROR(INDEX('Catalog'!$B:$B,MATCH($G1766,'Catalog'!$A:$A,0)),$B1766))</f>
        <v>G390.43-46 גרבי כסף לסכרת מידה</v>
      </c>
      <c r="I1766" s="8" t="str">
        <f aca="false">IF($G1766="","Unmatched","Matched")</f>
        <v>Matched</v>
      </c>
      <c r="J1766" s="8" t="n">
        <f aca="false">IF($G1766&lt;&gt;"",$G1766,$B1766)</f>
        <v>4403005</v>
      </c>
      <c r="K1766" s="8" t="str">
        <f aca="false">IF(COUNTIF($M$1:$M$10,$A1766)&gt;0,"Y","N")</f>
        <v>Y</v>
      </c>
    </row>
    <row r="1767" customFormat="false" ht="15" hidden="false" customHeight="true" outlineLevel="0" collapsed="false">
      <c r="A1767" s="8" t="s">
        <v>448</v>
      </c>
      <c r="B1767" s="8" t="s">
        <v>449</v>
      </c>
      <c r="C1767" s="19" t="n">
        <v>50</v>
      </c>
      <c r="D1767" s="19" t="n">
        <v>850</v>
      </c>
      <c r="E1767" s="19" t="n">
        <v>0</v>
      </c>
      <c r="F1767" s="19" t="n">
        <v>0</v>
      </c>
      <c r="G1767" s="8" t="str">
        <f aca="false">IFERROR(INDEX('TRANS'!$B:$B,MATCH($B1767,'TRANS'!$A:$A,0)),IFERROR(INDEX('TRANS'!$B:$B,MATCH(TRIM(SUBSTITUTE($B1767,CHAR(160)," ")),'TRANS'!$D:$D,0)),IFERROR(INDEX('Catalog'!$A:$A,MATCH($B1767,'Catalog'!$B:$B,0)),IFERROR(INDEX('Catalog'!$A:$A,MATCH(TRIM(SUBSTITUTE($B1767,CHAR(160)," ")),'Catalog'!$C:$C,0)),""))))</f>
        <v/>
      </c>
      <c r="H1767" s="8" t="str">
        <f aca="false">IFERROR(INDEX('TRANS'!$C:$C,MATCH($B1767,'TRANS'!$A:$A,0)),IFERROR(INDEX('Catalog'!$B:$B,MATCH($G1767,'Catalog'!$A:$A,0)),$B1767))</f>
        <v>392B-35-38</v>
      </c>
      <c r="I1767" s="8" t="str">
        <f aca="false">IF($G1767="","Unmatched","Matched")</f>
        <v>Unmatched</v>
      </c>
      <c r="J1767" s="8" t="str">
        <f aca="false">IF($G1767&lt;&gt;"",$G1767,$B1767)</f>
        <v>392B-35-38</v>
      </c>
      <c r="K1767" s="8" t="str">
        <f aca="false">IF(COUNTIF($M$1:$M$10,$A1767)&gt;0,"Y","N")</f>
        <v>Y</v>
      </c>
    </row>
    <row r="1768" customFormat="false" ht="15" hidden="false" customHeight="true" outlineLevel="0" collapsed="false">
      <c r="A1768" s="8" t="s">
        <v>448</v>
      </c>
      <c r="B1768" s="8" t="s">
        <v>450</v>
      </c>
      <c r="C1768" s="19" t="n">
        <v>57</v>
      </c>
      <c r="D1768" s="19" t="n">
        <v>952.01</v>
      </c>
      <c r="E1768" s="19" t="n">
        <v>0</v>
      </c>
      <c r="F1768" s="19" t="n">
        <v>0</v>
      </c>
      <c r="G1768" s="8" t="str">
        <f aca="false">IFERROR(INDEX('TRANS'!$B:$B,MATCH($B1768,'TRANS'!$A:$A,0)),IFERROR(INDEX('TRANS'!$B:$B,MATCH(TRIM(SUBSTITUTE($B1768,CHAR(160)," ")),'TRANS'!$D:$D,0)),IFERROR(INDEX('Catalog'!$A:$A,MATCH($B1768,'Catalog'!$B:$B,0)),IFERROR(INDEX('Catalog'!$A:$A,MATCH(TRIM(SUBSTITUTE($B1768,CHAR(160)," ")),'Catalog'!$C:$C,0)),""))))</f>
        <v/>
      </c>
      <c r="H1768" s="8" t="str">
        <f aca="false">IFERROR(INDEX('TRANS'!$C:$C,MATCH($B1768,'TRANS'!$A:$A,0)),IFERROR(INDEX('Catalog'!$B:$B,MATCH($G1768,'Catalog'!$A:$A,0)),$B1768))</f>
        <v>392B-39-42</v>
      </c>
      <c r="I1768" s="8" t="str">
        <f aca="false">IF($G1768="","Unmatched","Matched")</f>
        <v>Unmatched</v>
      </c>
      <c r="J1768" s="8" t="str">
        <f aca="false">IF($G1768&lt;&gt;"",$G1768,$B1768)</f>
        <v>392B-39-42</v>
      </c>
      <c r="K1768" s="8" t="str">
        <f aca="false">IF(COUNTIF($M$1:$M$10,$A1768)&gt;0,"Y","N")</f>
        <v>Y</v>
      </c>
    </row>
    <row r="1769" customFormat="false" ht="15" hidden="false" customHeight="true" outlineLevel="0" collapsed="false">
      <c r="A1769" s="8" t="s">
        <v>448</v>
      </c>
      <c r="B1769" s="8" t="s">
        <v>490</v>
      </c>
      <c r="C1769" s="19" t="n">
        <v>34</v>
      </c>
      <c r="D1769" s="19" t="n">
        <v>578</v>
      </c>
      <c r="E1769" s="19" t="n">
        <v>0</v>
      </c>
      <c r="F1769" s="19" t="n">
        <v>0</v>
      </c>
      <c r="G1769" s="8" t="str">
        <f aca="false">IFERROR(INDEX('TRANS'!$B:$B,MATCH($B1769,'TRANS'!$A:$A,0)),IFERROR(INDEX('TRANS'!$B:$B,MATCH(TRIM(SUBSTITUTE($B1769,CHAR(160)," ")),'TRANS'!$D:$D,0)),IFERROR(INDEX('Catalog'!$A:$A,MATCH($B1769,'Catalog'!$B:$B,0)),IFERROR(INDEX('Catalog'!$A:$A,MATCH(TRIM(SUBSTITUTE($B1769,CHAR(160)," ")),'Catalog'!$C:$C,0)),""))))</f>
        <v/>
      </c>
      <c r="H1769" s="8" t="str">
        <f aca="false">IFERROR(INDEX('TRANS'!$C:$C,MATCH($B1769,'TRANS'!$A:$A,0)),IFERROR(INDEX('Catalog'!$B:$B,MATCH($G1769,'Catalog'!$A:$A,0)),$B1769))</f>
        <v>392B-43-46</v>
      </c>
      <c r="I1769" s="8" t="str">
        <f aca="false">IF($G1769="","Unmatched","Matched")</f>
        <v>Unmatched</v>
      </c>
      <c r="J1769" s="8" t="str">
        <f aca="false">IF($G1769&lt;&gt;"",$G1769,$B1769)</f>
        <v>392B-43-46</v>
      </c>
      <c r="K1769" s="8" t="str">
        <f aca="false">IF(COUNTIF($M$1:$M$10,$A1769)&gt;0,"Y","N")</f>
        <v>Y</v>
      </c>
    </row>
    <row r="1770" customFormat="false" ht="15" hidden="false" customHeight="true" outlineLevel="0" collapsed="false">
      <c r="A1770" s="8" t="s">
        <v>448</v>
      </c>
      <c r="B1770" s="8" t="s">
        <v>491</v>
      </c>
      <c r="C1770" s="19" t="n">
        <v>60</v>
      </c>
      <c r="D1770" s="19" t="n">
        <v>1020</v>
      </c>
      <c r="E1770" s="19" t="n">
        <v>0</v>
      </c>
      <c r="F1770" s="19" t="n">
        <v>0</v>
      </c>
      <c r="G1770" s="8" t="str">
        <f aca="false">IFERROR(INDEX('TRANS'!$B:$B,MATCH($B1770,'TRANS'!$A:$A,0)),IFERROR(INDEX('TRANS'!$B:$B,MATCH(TRIM(SUBSTITUTE($B1770,CHAR(160)," ")),'TRANS'!$D:$D,0)),IFERROR(INDEX('Catalog'!$A:$A,MATCH($B1770,'Catalog'!$B:$B,0)),IFERROR(INDEX('Catalog'!$A:$A,MATCH(TRIM(SUBSTITUTE($B1770,CHAR(160)," ")),'Catalog'!$C:$C,0)),""))))</f>
        <v/>
      </c>
      <c r="H1770" s="8" t="str">
        <f aca="false">IFERROR(INDEX('TRANS'!$C:$C,MATCH($B1770,'TRANS'!$A:$A,0)),IFERROR(INDEX('Catalog'!$B:$B,MATCH($G1770,'Catalog'!$A:$A,0)),$B1770))</f>
        <v>392G-43-46</v>
      </c>
      <c r="I1770" s="8" t="str">
        <f aca="false">IF($G1770="","Unmatched","Matched")</f>
        <v>Unmatched</v>
      </c>
      <c r="J1770" s="8" t="str">
        <f aca="false">IF($G1770&lt;&gt;"",$G1770,$B1770)</f>
        <v>392G-43-46</v>
      </c>
      <c r="K1770" s="8" t="str">
        <f aca="false">IF(COUNTIF($M$1:$M$10,$A1770)&gt;0,"Y","N")</f>
        <v>Y</v>
      </c>
    </row>
    <row r="1771" customFormat="false" ht="15" hidden="false" customHeight="true" outlineLevel="0" collapsed="false">
      <c r="A1771" s="8" t="s">
        <v>448</v>
      </c>
      <c r="B1771" s="8" t="s">
        <v>492</v>
      </c>
      <c r="C1771" s="19" t="n">
        <v>179</v>
      </c>
      <c r="D1771" s="19" t="n">
        <v>1790</v>
      </c>
      <c r="E1771" s="19" t="n">
        <v>0</v>
      </c>
      <c r="F1771" s="19" t="n">
        <v>0</v>
      </c>
      <c r="G1771" s="8" t="str">
        <f aca="false">IFERROR(INDEX('TRANS'!$B:$B,MATCH($B1771,'TRANS'!$A:$A,0)),IFERROR(INDEX('TRANS'!$B:$B,MATCH(TRIM(SUBSTITUTE($B1771,CHAR(160)," ")),'TRANS'!$D:$D,0)),IFERROR(INDEX('Catalog'!$A:$A,MATCH($B1771,'Catalog'!$B:$B,0)),IFERROR(INDEX('Catalog'!$A:$A,MATCH(TRIM(SUBSTITUTE($B1771,CHAR(160)," ")),'Catalog'!$C:$C,0)),""))))</f>
        <v/>
      </c>
      <c r="H1771" s="8" t="str">
        <f aca="false">IFERROR(INDEX('TRANS'!$C:$C,MATCH($B1771,'TRANS'!$A:$A,0)),IFERROR(INDEX('Catalog'!$B:$B,MATCH($G1771,'Catalog'!$A:$A,0)),$B1771))</f>
        <v>396 0</v>
      </c>
      <c r="I1771" s="8" t="str">
        <f aca="false">IF($G1771="","Unmatched","Matched")</f>
        <v>Unmatched</v>
      </c>
      <c r="J1771" s="8" t="str">
        <f aca="false">IF($G1771&lt;&gt;"",$G1771,$B1771)</f>
        <v>396 0</v>
      </c>
      <c r="K1771" s="8" t="str">
        <f aca="false">IF(COUNTIF($M$1:$M$10,$A1771)&gt;0,"Y","N")</f>
        <v>Y</v>
      </c>
    </row>
    <row r="1772" customFormat="false" ht="15" hidden="false" customHeight="true" outlineLevel="0" collapsed="false">
      <c r="A1772" s="8" t="s">
        <v>448</v>
      </c>
      <c r="B1772" s="8" t="s">
        <v>132</v>
      </c>
      <c r="C1772" s="19" t="n">
        <v>3</v>
      </c>
      <c r="D1772" s="19" t="n">
        <v>0.01</v>
      </c>
      <c r="E1772" s="19" t="n">
        <v>0</v>
      </c>
      <c r="F1772" s="19" t="n">
        <v>0</v>
      </c>
      <c r="G1772" s="8" t="str">
        <f aca="false">IFERROR(INDEX('TRANS'!$B:$B,MATCH($B1772,'TRANS'!$A:$A,0)),IFERROR(INDEX('TRANS'!$B:$B,MATCH(TRIM(SUBSTITUTE($B1772,CHAR(160)," ")),'TRANS'!$D:$D,0)),IFERROR(INDEX('Catalog'!$A:$A,MATCH($B1772,'Catalog'!$B:$B,0)),IFERROR(INDEX('Catalog'!$A:$A,MATCH(TRIM(SUBSTITUTE($B1772,CHAR(160)," ")),'Catalog'!$C:$C,0)),""))))</f>
        <v/>
      </c>
      <c r="H1772" s="8" t="str">
        <f aca="false">IFERROR(INDEX('TRANS'!$C:$C,MATCH($B1772,'TRANS'!$A:$A,0)),IFERROR(INDEX('Catalog'!$B:$B,MATCH($G1772,'Catalog'!$A:$A,0)),$B1772))</f>
        <v>67813000</v>
      </c>
      <c r="I1772" s="8" t="str">
        <f aca="false">IF($G1772="","Unmatched","Matched")</f>
        <v>Unmatched</v>
      </c>
      <c r="J1772" s="8" t="str">
        <f aca="false">IF($G1772&lt;&gt;"",$G1772,$B1772)</f>
        <v>67813000</v>
      </c>
      <c r="K1772" s="8" t="str">
        <f aca="false">IF(COUNTIF($M$1:$M$10,$A1772)&gt;0,"Y","N")</f>
        <v>Y</v>
      </c>
    </row>
    <row r="1773" customFormat="false" ht="15" hidden="false" customHeight="true" outlineLevel="0" collapsed="false">
      <c r="A1773" s="8" t="s">
        <v>448</v>
      </c>
      <c r="B1773" s="8" t="s">
        <v>736</v>
      </c>
      <c r="C1773" s="19" t="n">
        <v>24</v>
      </c>
      <c r="D1773" s="19" t="n">
        <v>430.38</v>
      </c>
      <c r="E1773" s="19" t="n">
        <v>0</v>
      </c>
      <c r="F1773" s="19" t="n">
        <v>0</v>
      </c>
      <c r="G1773" s="8" t="n">
        <f aca="false">IFERROR(INDEX('TRANS'!$B:$B,MATCH($B1773,'TRANS'!$A:$A,0)),IFERROR(INDEX('TRANS'!$B:$B,MATCH(TRIM(SUBSTITUTE($B1773,CHAR(160)," ")),'TRANS'!$D:$D,0)),IFERROR(INDEX('Catalog'!$A:$A,MATCH($B1773,'Catalog'!$B:$B,0)),IFERROR(INDEX('Catalog'!$A:$A,MATCH(TRIM(SUBSTITUTE($B1773,CHAR(160)," ")),'Catalog'!$C:$C,0)),""))))</f>
        <v>4422035</v>
      </c>
      <c r="H1773" s="8" t="str">
        <f aca="false">IFERROR(INDEX('TRANS'!$C:$C,MATCH($B1773,'TRANS'!$A:$A,0)),IFERROR(INDEX('Catalog'!$B:$B,MATCH($G1773,'Catalog'!$A:$A,0)),$B1773))</f>
        <v>FCתרסיס דאודורנט אנטיבק.נעל333</v>
      </c>
      <c r="I1773" s="8" t="str">
        <f aca="false">IF($G1773="","Unmatched","Matched")</f>
        <v>Matched</v>
      </c>
      <c r="J1773" s="8" t="n">
        <f aca="false">IF($G1773&lt;&gt;"",$G1773,$B1773)</f>
        <v>4422035</v>
      </c>
      <c r="K1773" s="8" t="str">
        <f aca="false">IF(COUNTIF($M$1:$M$10,$A1773)&gt;0,"Y","N")</f>
        <v>Y</v>
      </c>
    </row>
    <row r="1774" customFormat="false" ht="15" hidden="false" customHeight="true" outlineLevel="0" collapsed="false">
      <c r="A1774" s="8" t="s">
        <v>448</v>
      </c>
      <c r="B1774" s="8" t="s">
        <v>888</v>
      </c>
      <c r="C1774" s="19" t="n">
        <v>24</v>
      </c>
      <c r="D1774" s="19" t="n">
        <v>468.03</v>
      </c>
      <c r="E1774" s="19" t="n">
        <v>0</v>
      </c>
      <c r="F1774" s="19" t="n">
        <v>0</v>
      </c>
      <c r="G1774" s="8" t="n">
        <f aca="false">IFERROR(INDEX('TRANS'!$B:$B,MATCH($B1774,'TRANS'!$A:$A,0)),IFERROR(INDEX('TRANS'!$B:$B,MATCH(TRIM(SUBSTITUTE($B1774,CHAR(160)," ")),'TRANS'!$D:$D,0)),IFERROR(INDEX('Catalog'!$A:$A,MATCH($B1774,'Catalog'!$B:$B,0)),IFERROR(INDEX('Catalog'!$A:$A,MATCH(TRIM(SUBSTITUTE($B1774,CHAR(160)," ")),'Catalog'!$C:$C,0)),""))))</f>
        <v>4422036</v>
      </c>
      <c r="H1774" s="8" t="str">
        <f aca="false">IFERROR(INDEX('TRANS'!$C:$C,MATCH($B1774,'TRANS'!$A:$A,0)),IFERROR(INDEX('Catalog'!$B:$B,MATCH($G1774,'Catalog'!$A:$A,0)),$B1774))</f>
        <v>FC334  תרסיס דאודורנט לכף הרגל</v>
      </c>
      <c r="I1774" s="8" t="str">
        <f aca="false">IF($G1774="","Unmatched","Matched")</f>
        <v>Matched</v>
      </c>
      <c r="J1774" s="8" t="n">
        <f aca="false">IF($G1774&lt;&gt;"",$G1774,$B1774)</f>
        <v>4422036</v>
      </c>
      <c r="K1774" s="8" t="str">
        <f aca="false">IF(COUNTIF($M$1:$M$10,$A1774)&gt;0,"Y","N")</f>
        <v>Y</v>
      </c>
    </row>
    <row r="1775" customFormat="false" ht="15" hidden="false" customHeight="true" outlineLevel="0" collapsed="false">
      <c r="A1775" s="8" t="s">
        <v>448</v>
      </c>
      <c r="B1775" s="8" t="s">
        <v>738</v>
      </c>
      <c r="C1775" s="19" t="n">
        <v>12</v>
      </c>
      <c r="D1775" s="19" t="n">
        <v>436.89</v>
      </c>
      <c r="E1775" s="19" t="n">
        <v>0</v>
      </c>
      <c r="F1775" s="19" t="n">
        <v>0</v>
      </c>
      <c r="G1775" s="8" t="n">
        <f aca="false">IFERROR(INDEX('TRANS'!$B:$B,MATCH($B1775,'TRANS'!$A:$A,0)),IFERROR(INDEX('TRANS'!$B:$B,MATCH(TRIM(SUBSTITUTE($B1775,CHAR(160)," ")),'TRANS'!$D:$D,0)),IFERROR(INDEX('Catalog'!$A:$A,MATCH($B1775,'Catalog'!$B:$B,0)),IFERROR(INDEX('Catalog'!$A:$A,MATCH(TRIM(SUBSTITUTE($B1775,CHAR(160)," ")),'Catalog'!$C:$C,0)),""))))</f>
        <v>4414000</v>
      </c>
      <c r="H1775" s="8" t="str">
        <f aca="false">IFERROR(INDEX('TRANS'!$C:$C,MATCH($B1775,'TRANS'!$A:$A,0)),IFERROR(INDEX('Catalog'!$B:$B,MATCH($G1775,'Catalog'!$A:$A,0)),$B1775))</f>
        <v>FC342-נוזל לציפורן חודרנית</v>
      </c>
      <c r="I1775" s="8" t="str">
        <f aca="false">IF($G1775="","Unmatched","Matched")</f>
        <v>Matched</v>
      </c>
      <c r="J1775" s="8" t="n">
        <f aca="false">IF($G1775&lt;&gt;"",$G1775,$B1775)</f>
        <v>4414000</v>
      </c>
      <c r="K1775" s="8" t="str">
        <f aca="false">IF(COUNTIF($M$1:$M$10,$A1775)&gt;0,"Y","N")</f>
        <v>Y</v>
      </c>
    </row>
    <row r="1776" customFormat="false" ht="15" hidden="false" customHeight="true" outlineLevel="0" collapsed="false">
      <c r="A1776" s="8" t="s">
        <v>448</v>
      </c>
      <c r="B1776" s="8" t="s">
        <v>739</v>
      </c>
      <c r="C1776" s="19" t="n">
        <v>30</v>
      </c>
      <c r="D1776" s="19" t="n">
        <v>712.47</v>
      </c>
      <c r="E1776" s="19" t="n">
        <v>0</v>
      </c>
      <c r="F1776" s="19" t="n">
        <v>0</v>
      </c>
      <c r="G1776" s="8" t="n">
        <f aca="false">IFERROR(INDEX('TRANS'!$B:$B,MATCH($B1776,'TRANS'!$A:$A,0)),IFERROR(INDEX('TRANS'!$B:$B,MATCH(TRIM(SUBSTITUTE($B1776,CHAR(160)," ")),'TRANS'!$D:$D,0)),IFERROR(INDEX('Catalog'!$A:$A,MATCH($B1776,'Catalog'!$B:$B,0)),IFERROR(INDEX('Catalog'!$A:$A,MATCH(TRIM(SUBSTITUTE($B1776,CHAR(160)," ")),'Catalog'!$C:$C,0)),""))))</f>
        <v>4413056</v>
      </c>
      <c r="H1776" s="8" t="str">
        <f aca="false">IFERROR(INDEX('TRANS'!$C:$C,MATCH($B1776,'TRANS'!$A:$A,0)),IFERROR(INDEX('Catalog'!$B:$B,MATCH($G1776,'Catalog'!$A:$A,0)),$B1776))</f>
        <v>LF360 מדרס מטטרזלי לנעלי עקב</v>
      </c>
      <c r="I1776" s="8" t="str">
        <f aca="false">IF($G1776="","Unmatched","Matched")</f>
        <v>Matched</v>
      </c>
      <c r="J1776" s="8" t="n">
        <f aca="false">IF($G1776&lt;&gt;"",$G1776,$B1776)</f>
        <v>4413056</v>
      </c>
      <c r="K1776" s="8" t="str">
        <f aca="false">IF(COUNTIF($M$1:$M$10,$A1776)&gt;0,"Y","N")</f>
        <v>Y</v>
      </c>
    </row>
    <row r="1777" customFormat="false" ht="15" hidden="false" customHeight="true" outlineLevel="0" collapsed="false">
      <c r="A1777" s="8" t="s">
        <v>448</v>
      </c>
      <c r="B1777" s="8" t="s">
        <v>889</v>
      </c>
      <c r="C1777" s="19" t="n">
        <v>30</v>
      </c>
      <c r="D1777" s="19" t="n">
        <v>712.47</v>
      </c>
      <c r="E1777" s="19" t="n">
        <v>0</v>
      </c>
      <c r="F1777" s="19" t="n">
        <v>0</v>
      </c>
      <c r="G1777" s="8" t="n">
        <f aca="false">IFERROR(INDEX('TRANS'!$B:$B,MATCH($B1777,'TRANS'!$A:$A,0)),IFERROR(INDEX('TRANS'!$B:$B,MATCH(TRIM(SUBSTITUTE($B1777,CHAR(160)," ")),'TRANS'!$D:$D,0)),IFERROR(INDEX('Catalog'!$A:$A,MATCH($B1777,'Catalog'!$B:$B,0)),IFERROR(INDEX('Catalog'!$A:$A,MATCH(TRIM(SUBSTITUTE($B1777,CHAR(160)," ")),'Catalog'!$C:$C,0)),""))))</f>
        <v>4420022</v>
      </c>
      <c r="H1777" s="8" t="str">
        <f aca="false">IFERROR(INDEX('TRANS'!$C:$C,MATCH($B1777,'TRANS'!$A:$A,0)),IFERROR(INDEX('Catalog'!$B:$B,MATCH($G1777,'Catalog'!$A:$A,0)),$B1777))</f>
        <v>LF370 ריפוד סיליקון לעקב אחורי</v>
      </c>
      <c r="I1777" s="8" t="str">
        <f aca="false">IF($G1777="","Unmatched","Matched")</f>
        <v>Matched</v>
      </c>
      <c r="J1777" s="8" t="n">
        <f aca="false">IF($G1777&lt;&gt;"",$G1777,$B1777)</f>
        <v>4420022</v>
      </c>
      <c r="K1777" s="8" t="str">
        <f aca="false">IF(COUNTIF($M$1:$M$10,$A1777)&gt;0,"Y","N")</f>
        <v>Y</v>
      </c>
    </row>
    <row r="1778" customFormat="false" ht="15" hidden="false" customHeight="true" outlineLevel="0" collapsed="false">
      <c r="A1778" s="8" t="s">
        <v>448</v>
      </c>
      <c r="B1778" s="8" t="s">
        <v>1005</v>
      </c>
      <c r="C1778" s="19" t="n">
        <v>18</v>
      </c>
      <c r="D1778" s="19" t="n">
        <v>511.11</v>
      </c>
      <c r="E1778" s="19" t="n">
        <v>0</v>
      </c>
      <c r="F1778" s="19" t="n">
        <v>0</v>
      </c>
      <c r="G1778" s="8" t="n">
        <f aca="false">IFERROR(INDEX('TRANS'!$B:$B,MATCH($B1778,'TRANS'!$A:$A,0)),IFERROR(INDEX('TRANS'!$B:$B,MATCH(TRIM(SUBSTITUTE($B1778,CHAR(160)," ")),'TRANS'!$D:$D,0)),IFERROR(INDEX('Catalog'!$A:$A,MATCH($B1778,'Catalog'!$B:$B,0)),IFERROR(INDEX('Catalog'!$A:$A,MATCH(TRIM(SUBSTITUTE($B1778,CHAR(160)," ")),'Catalog'!$C:$C,0)),""))))</f>
        <v>4420023</v>
      </c>
      <c r="H1778" s="8" t="str">
        <f aca="false">IFERROR(INDEX('TRANS'!$C:$C,MATCH($B1778,'TRANS'!$A:$A,0)),IFERROR(INDEX('Catalog'!$B:$B,MATCH($G1778,'Catalog'!$A:$A,0)),$B1778))</f>
        <v>LF371 ריפוד סיליקון לנעלי אצבע</v>
      </c>
      <c r="I1778" s="8" t="str">
        <f aca="false">IF($G1778="","Unmatched","Matched")</f>
        <v>Matched</v>
      </c>
      <c r="J1778" s="8" t="n">
        <f aca="false">IF($G1778&lt;&gt;"",$G1778,$B1778)</f>
        <v>4420023</v>
      </c>
      <c r="K1778" s="8" t="str">
        <f aca="false">IF(COUNTIF($M$1:$M$10,$A1778)&gt;0,"Y","N")</f>
        <v>Y</v>
      </c>
    </row>
    <row r="1779" customFormat="false" ht="15" hidden="false" customHeight="true" outlineLevel="0" collapsed="false">
      <c r="A1779" s="8" t="s">
        <v>448</v>
      </c>
      <c r="B1779" s="8" t="s">
        <v>740</v>
      </c>
      <c r="C1779" s="19" t="n">
        <v>30</v>
      </c>
      <c r="D1779" s="19" t="n">
        <v>642.01</v>
      </c>
      <c r="E1779" s="19" t="n">
        <v>0</v>
      </c>
      <c r="F1779" s="19" t="n">
        <v>0</v>
      </c>
      <c r="G1779" s="8" t="n">
        <f aca="false">IFERROR(INDEX('TRANS'!$B:$B,MATCH($B1779,'TRANS'!$A:$A,0)),IFERROR(INDEX('TRANS'!$B:$B,MATCH(TRIM(SUBSTITUTE($B1779,CHAR(160)," ")),'TRANS'!$D:$D,0)),IFERROR(INDEX('Catalog'!$A:$A,MATCH($B1779,'Catalog'!$B:$B,0)),IFERROR(INDEX('Catalog'!$A:$A,MATCH(TRIM(SUBSTITUTE($B1779,CHAR(160)," ")),'Catalog'!$C:$C,0)),""))))</f>
        <v>4420024</v>
      </c>
      <c r="H1779" s="8" t="str">
        <f aca="false">IFERROR(INDEX('TRANS'!$C:$C,MATCH($B1779,'TRANS'!$A:$A,0)),IFERROR(INDEX('Catalog'!$B:$B,MATCH($G1779,'Catalog'!$A:$A,0)),$B1779))</f>
        <v>LFריפוד סיליק.לכרית כף הרגל373</v>
      </c>
      <c r="I1779" s="8" t="str">
        <f aca="false">IF($G1779="","Unmatched","Matched")</f>
        <v>Matched</v>
      </c>
      <c r="J1779" s="8" t="n">
        <f aca="false">IF($G1779&lt;&gt;"",$G1779,$B1779)</f>
        <v>4420024</v>
      </c>
      <c r="K1779" s="8" t="str">
        <f aca="false">IF(COUNTIF($M$1:$M$10,$A1779)&gt;0,"Y","N")</f>
        <v>Y</v>
      </c>
    </row>
    <row r="1780" customFormat="false" ht="15" hidden="false" customHeight="true" outlineLevel="0" collapsed="false">
      <c r="A1780" s="8" t="s">
        <v>448</v>
      </c>
      <c r="B1780" s="8" t="s">
        <v>741</v>
      </c>
      <c r="C1780" s="19" t="n">
        <v>24</v>
      </c>
      <c r="D1780" s="19" t="n">
        <v>569.32</v>
      </c>
      <c r="E1780" s="19" t="n">
        <v>0</v>
      </c>
      <c r="F1780" s="19" t="n">
        <v>0</v>
      </c>
      <c r="G1780" s="8" t="n">
        <f aca="false">IFERROR(INDEX('TRANS'!$B:$B,MATCH($B1780,'TRANS'!$A:$A,0)),IFERROR(INDEX('TRANS'!$B:$B,MATCH(TRIM(SUBSTITUTE($B1780,CHAR(160)," ")),'TRANS'!$D:$D,0)),IFERROR(INDEX('Catalog'!$A:$A,MATCH($B1780,'Catalog'!$B:$B,0)),IFERROR(INDEX('Catalog'!$A:$A,MATCH(TRIM(SUBSTITUTE($B1780,CHAR(160)," ")),'Catalog'!$C:$C,0)),""))))</f>
        <v>4420025</v>
      </c>
      <c r="H1780" s="8" t="str">
        <f aca="false">IFERROR(INDEX('TRANS'!$C:$C,MATCH($B1780,'TRANS'!$A:$A,0)),IFERROR(INDEX('Catalog'!$B:$B,MATCH($G1780,'Catalog'!$A:$A,0)),$B1780))</f>
        <v>LF374 ריפוד סיליק.לעקב תחתון</v>
      </c>
      <c r="I1780" s="8" t="str">
        <f aca="false">IF($G1780="","Unmatched","Matched")</f>
        <v>Matched</v>
      </c>
      <c r="J1780" s="8" t="n">
        <f aca="false">IF($G1780&lt;&gt;"",$G1780,$B1780)</f>
        <v>4420025</v>
      </c>
      <c r="K1780" s="8" t="str">
        <f aca="false">IF(COUNTIF($M$1:$M$10,$A1780)&gt;0,"Y","N")</f>
        <v>Y</v>
      </c>
    </row>
    <row r="1781" customFormat="false" ht="15" hidden="false" customHeight="true" outlineLevel="0" collapsed="false">
      <c r="A1781" s="8" t="s">
        <v>54</v>
      </c>
      <c r="B1781" s="8" t="s">
        <v>143</v>
      </c>
      <c r="C1781" s="19" t="n">
        <v>9</v>
      </c>
      <c r="D1781" s="19" t="n">
        <v>1883.99</v>
      </c>
      <c r="E1781" s="19" t="n">
        <v>4</v>
      </c>
      <c r="F1781" s="19" t="n">
        <v>1071.99</v>
      </c>
      <c r="G1781" s="8" t="str">
        <f aca="false">IFERROR(INDEX('TRANS'!$B:$B,MATCH($B1781,'TRANS'!$A:$A,0)),IFERROR(INDEX('TRANS'!$B:$B,MATCH(TRIM(SUBSTITUTE($B1781,CHAR(160)," ")),'TRANS'!$D:$D,0)),IFERROR(INDEX('Catalog'!$A:$A,MATCH($B1781,'Catalog'!$B:$B,0)),IFERROR(INDEX('Catalog'!$A:$A,MATCH(TRIM(SUBSTITUTE($B1781,CHAR(160)," ")),'Catalog'!$C:$C,0)),""))))</f>
        <v/>
      </c>
      <c r="H1781" s="8" t="str">
        <f aca="false">IFERROR(INDEX('TRANS'!$C:$C,MATCH($B1781,'TRANS'!$A:$A,0)),IFERROR(INDEX('Catalog'!$B:$B,MATCH($G1781,'Catalog'!$A:$A,0)),$B1781))</f>
        <v>18 L</v>
      </c>
      <c r="I1781" s="8" t="str">
        <f aca="false">IF($G1781="","Unmatched","Matched")</f>
        <v>Unmatched</v>
      </c>
      <c r="J1781" s="8" t="str">
        <f aca="false">IF($G1781&lt;&gt;"",$G1781,$B1781)</f>
        <v>18 L</v>
      </c>
      <c r="K1781" s="8" t="str">
        <f aca="false">IF(COUNTIF($M$1:$M$10,$A1781)&gt;0,"Y","N")</f>
        <v>Y</v>
      </c>
    </row>
    <row r="1782" customFormat="false" ht="15" hidden="false" customHeight="true" outlineLevel="0" collapsed="false">
      <c r="A1782" s="8" t="s">
        <v>54</v>
      </c>
      <c r="B1782" s="8" t="s">
        <v>115</v>
      </c>
      <c r="C1782" s="19" t="n">
        <v>8</v>
      </c>
      <c r="D1782" s="19" t="n">
        <v>1791.99</v>
      </c>
      <c r="E1782" s="19" t="n">
        <v>7</v>
      </c>
      <c r="F1782" s="19" t="n">
        <v>1875.96</v>
      </c>
      <c r="G1782" s="8" t="str">
        <f aca="false">IFERROR(INDEX('TRANS'!$B:$B,MATCH($B1782,'TRANS'!$A:$A,0)),IFERROR(INDEX('TRANS'!$B:$B,MATCH(TRIM(SUBSTITUTE($B1782,CHAR(160)," ")),'TRANS'!$D:$D,0)),IFERROR(INDEX('Catalog'!$A:$A,MATCH($B1782,'Catalog'!$B:$B,0)),IFERROR(INDEX('Catalog'!$A:$A,MATCH(TRIM(SUBSTITUTE($B1782,CHAR(160)," ")),'Catalog'!$C:$C,0)),""))))</f>
        <v/>
      </c>
      <c r="H1782" s="8" t="str">
        <f aca="false">IFERROR(INDEX('TRANS'!$C:$C,MATCH($B1782,'TRANS'!$A:$A,0)),IFERROR(INDEX('Catalog'!$B:$B,MATCH($G1782,'Catalog'!$A:$A,0)),$B1782))</f>
        <v>18 M</v>
      </c>
      <c r="I1782" s="8" t="str">
        <f aca="false">IF($G1782="","Unmatched","Matched")</f>
        <v>Unmatched</v>
      </c>
      <c r="J1782" s="8" t="str">
        <f aca="false">IF($G1782&lt;&gt;"",$G1782,$B1782)</f>
        <v>18 M</v>
      </c>
      <c r="K1782" s="8" t="str">
        <f aca="false">IF(COUNTIF($M$1:$M$10,$A1782)&gt;0,"Y","N")</f>
        <v>Y</v>
      </c>
    </row>
    <row r="1783" customFormat="false" ht="15" hidden="false" customHeight="true" outlineLevel="0" collapsed="false">
      <c r="A1783" s="8" t="s">
        <v>54</v>
      </c>
      <c r="B1783" s="8" t="s">
        <v>252</v>
      </c>
      <c r="C1783" s="19" t="n">
        <v>6</v>
      </c>
      <c r="D1783" s="19" t="n">
        <v>1431.99</v>
      </c>
      <c r="E1783" s="19" t="n">
        <v>3</v>
      </c>
      <c r="F1783" s="19" t="n">
        <v>804.01</v>
      </c>
      <c r="G1783" s="8" t="str">
        <f aca="false">IFERROR(INDEX('TRANS'!$B:$B,MATCH($B1783,'TRANS'!$A:$A,0)),IFERROR(INDEX('TRANS'!$B:$B,MATCH(TRIM(SUBSTITUTE($B1783,CHAR(160)," ")),'TRANS'!$D:$D,0)),IFERROR(INDEX('Catalog'!$A:$A,MATCH($B1783,'Catalog'!$B:$B,0)),IFERROR(INDEX('Catalog'!$A:$A,MATCH(TRIM(SUBSTITUTE($B1783,CHAR(160)," ")),'Catalog'!$C:$C,0)),""))))</f>
        <v/>
      </c>
      <c r="H1783" s="8" t="str">
        <f aca="false">IFERROR(INDEX('TRANS'!$C:$C,MATCH($B1783,'TRANS'!$A:$A,0)),IFERROR(INDEX('Catalog'!$B:$B,MATCH($G1783,'Catalog'!$A:$A,0)),$B1783))</f>
        <v>18 S</v>
      </c>
      <c r="I1783" s="8" t="str">
        <f aca="false">IF($G1783="","Unmatched","Matched")</f>
        <v>Unmatched</v>
      </c>
      <c r="J1783" s="8" t="str">
        <f aca="false">IF($G1783&lt;&gt;"",$G1783,$B1783)</f>
        <v>18 S</v>
      </c>
      <c r="K1783" s="8" t="str">
        <f aca="false">IF(COUNTIF($M$1:$M$10,$A1783)&gt;0,"Y","N")</f>
        <v>Y</v>
      </c>
    </row>
    <row r="1784" customFormat="false" ht="15" hidden="false" customHeight="true" outlineLevel="0" collapsed="false">
      <c r="A1784" s="8" t="s">
        <v>54</v>
      </c>
      <c r="B1784" s="8" t="s">
        <v>186</v>
      </c>
      <c r="C1784" s="19" t="n">
        <v>11</v>
      </c>
      <c r="D1784" s="19" t="n">
        <v>2595.98</v>
      </c>
      <c r="E1784" s="19" t="n">
        <v>5</v>
      </c>
      <c r="F1784" s="19" t="n">
        <v>1339.98</v>
      </c>
      <c r="G1784" s="8" t="str">
        <f aca="false">IFERROR(INDEX('TRANS'!$B:$B,MATCH($B1784,'TRANS'!$A:$A,0)),IFERROR(INDEX('TRANS'!$B:$B,MATCH(TRIM(SUBSTITUTE($B1784,CHAR(160)," ")),'TRANS'!$D:$D,0)),IFERROR(INDEX('Catalog'!$A:$A,MATCH($B1784,'Catalog'!$B:$B,0)),IFERROR(INDEX('Catalog'!$A:$A,MATCH(TRIM(SUBSTITUTE($B1784,CHAR(160)," ")),'Catalog'!$C:$C,0)),""))))</f>
        <v/>
      </c>
      <c r="H1784" s="8" t="str">
        <f aca="false">IFERROR(INDEX('TRANS'!$C:$C,MATCH($B1784,'TRANS'!$A:$A,0)),IFERROR(INDEX('Catalog'!$B:$B,MATCH($G1784,'Catalog'!$A:$A,0)),$B1784))</f>
        <v>18 XL</v>
      </c>
      <c r="I1784" s="8" t="str">
        <f aca="false">IF($G1784="","Unmatched","Matched")</f>
        <v>Unmatched</v>
      </c>
      <c r="J1784" s="8" t="str">
        <f aca="false">IF($G1784&lt;&gt;"",$G1784,$B1784)</f>
        <v>18 XL</v>
      </c>
      <c r="K1784" s="8" t="str">
        <f aca="false">IF(COUNTIF($M$1:$M$10,$A1784)&gt;0,"Y","N")</f>
        <v>Y</v>
      </c>
    </row>
    <row r="1785" customFormat="false" ht="15" hidden="false" customHeight="true" outlineLevel="0" collapsed="false">
      <c r="A1785" s="8" t="s">
        <v>54</v>
      </c>
      <c r="B1785" s="8" t="s">
        <v>260</v>
      </c>
      <c r="C1785" s="19" t="n">
        <v>4</v>
      </c>
      <c r="D1785" s="19" t="n">
        <v>808</v>
      </c>
      <c r="E1785" s="19" t="n">
        <v>1</v>
      </c>
      <c r="F1785" s="19" t="n">
        <v>268</v>
      </c>
      <c r="G1785" s="8" t="str">
        <f aca="false">IFERROR(INDEX('TRANS'!$B:$B,MATCH($B1785,'TRANS'!$A:$A,0)),IFERROR(INDEX('TRANS'!$B:$B,MATCH(TRIM(SUBSTITUTE($B1785,CHAR(160)," ")),'TRANS'!$D:$D,0)),IFERROR(INDEX('Catalog'!$A:$A,MATCH($B1785,'Catalog'!$B:$B,0)),IFERROR(INDEX('Catalog'!$A:$A,MATCH(TRIM(SUBSTITUTE($B1785,CHAR(160)," ")),'Catalog'!$C:$C,0)),""))))</f>
        <v/>
      </c>
      <c r="H1785" s="8" t="str">
        <f aca="false">IFERROR(INDEX('TRANS'!$C:$C,MATCH($B1785,'TRANS'!$A:$A,0)),IFERROR(INDEX('Catalog'!$B:$B,MATCH($G1785,'Catalog'!$A:$A,0)),$B1785))</f>
        <v>18 XXL</v>
      </c>
      <c r="I1785" s="8" t="str">
        <f aca="false">IF($G1785="","Unmatched","Matched")</f>
        <v>Unmatched</v>
      </c>
      <c r="J1785" s="8" t="str">
        <f aca="false">IF($G1785&lt;&gt;"",$G1785,$B1785)</f>
        <v>18 XXL</v>
      </c>
      <c r="K1785" s="8" t="str">
        <f aca="false">IF(COUNTIF($M$1:$M$10,$A1785)&gt;0,"Y","N")</f>
        <v>Y</v>
      </c>
    </row>
    <row r="1786" customFormat="false" ht="15" hidden="false" customHeight="true" outlineLevel="0" collapsed="false">
      <c r="A1786" s="8" t="s">
        <v>54</v>
      </c>
      <c r="B1786" s="8" t="s">
        <v>601</v>
      </c>
      <c r="C1786" s="19" t="n">
        <v>1</v>
      </c>
      <c r="D1786" s="19" t="n">
        <v>92.29</v>
      </c>
      <c r="E1786" s="19" t="n">
        <v>4</v>
      </c>
      <c r="F1786" s="19" t="n">
        <v>369.17</v>
      </c>
      <c r="G1786" s="8" t="n">
        <f aca="false">IFERROR(INDEX('TRANS'!$B:$B,MATCH($B1786,'TRANS'!$A:$A,0)),IFERROR(INDEX('TRANS'!$B:$B,MATCH(TRIM(SUBSTITUTE($B1786,CHAR(160)," ")),'TRANS'!$D:$D,0)),IFERROR(INDEX('Catalog'!$A:$A,MATCH($B1786,'Catalog'!$B:$B,0)),IFERROR(INDEX('Catalog'!$A:$A,MATCH(TRIM(SUBSTITUTE($B1786,CHAR(160)," ")),'Catalog'!$C:$C,0)),""))))</f>
        <v>4416000</v>
      </c>
      <c r="H1786" s="8" t="str">
        <f aca="false">IFERROR(INDEX('TRANS'!$C:$C,MATCH($B1786,'TRANS'!$A:$A,0)),IFERROR(INDEX('Catalog'!$B:$B,MATCH($G1786,'Catalog'!$A:$A,0)),$B1786))</f>
        <v>307 L עקבים לדורבן-זוג כריות</v>
      </c>
      <c r="I1786" s="8" t="str">
        <f aca="false">IF($G1786="","Unmatched","Matched")</f>
        <v>Matched</v>
      </c>
      <c r="J1786" s="8" t="n">
        <f aca="false">IF($G1786&lt;&gt;"",$G1786,$B1786)</f>
        <v>4416000</v>
      </c>
      <c r="K1786" s="8" t="str">
        <f aca="false">IF(COUNTIF($M$1:$M$10,$A1786)&gt;0,"Y","N")</f>
        <v>Y</v>
      </c>
    </row>
    <row r="1787" customFormat="false" ht="15" hidden="false" customHeight="true" outlineLevel="0" collapsed="false">
      <c r="A1787" s="8" t="s">
        <v>54</v>
      </c>
      <c r="B1787" s="8" t="s">
        <v>603</v>
      </c>
      <c r="C1787" s="19" t="n">
        <v>1</v>
      </c>
      <c r="D1787" s="19" t="n">
        <v>92.29</v>
      </c>
      <c r="E1787" s="19" t="n">
        <v>3</v>
      </c>
      <c r="F1787" s="19" t="n">
        <v>276.87</v>
      </c>
      <c r="G1787" s="8" t="n">
        <f aca="false">IFERROR(INDEX('TRANS'!$B:$B,MATCH($B1787,'TRANS'!$A:$A,0)),IFERROR(INDEX('TRANS'!$B:$B,MATCH(TRIM(SUBSTITUTE($B1787,CHAR(160)," ")),'TRANS'!$D:$D,0)),IFERROR(INDEX('Catalog'!$A:$A,MATCH($B1787,'Catalog'!$B:$B,0)),IFERROR(INDEX('Catalog'!$A:$A,MATCH(TRIM(SUBSTITUTE($B1787,CHAR(160)," ")),'Catalog'!$C:$C,0)),""))))</f>
        <v>4411016</v>
      </c>
      <c r="H1787" s="8" t="str">
        <f aca="false">IFERROR(INDEX('TRANS'!$C:$C,MATCH($B1787,'TRANS'!$A:$A,0)),IFERROR(INDEX('Catalog'!$B:$B,MATCH($G1787,'Catalog'!$A:$A,0)),$B1787))</f>
        <v>307 XL כרית סיליקון לעקב</v>
      </c>
      <c r="I1787" s="8" t="str">
        <f aca="false">IF($G1787="","Unmatched","Matched")</f>
        <v>Matched</v>
      </c>
      <c r="J1787" s="8" t="n">
        <f aca="false">IF($G1787&lt;&gt;"",$G1787,$B1787)</f>
        <v>4411016</v>
      </c>
      <c r="K1787" s="8" t="str">
        <f aca="false">IF(COUNTIF($M$1:$M$10,$A1787)&gt;0,"Y","N")</f>
        <v>Y</v>
      </c>
    </row>
    <row r="1788" customFormat="false" ht="15" hidden="false" customHeight="true" outlineLevel="0" collapsed="false">
      <c r="A1788" s="8" t="s">
        <v>54</v>
      </c>
      <c r="B1788" s="8" t="s">
        <v>736</v>
      </c>
      <c r="C1788" s="19" t="n">
        <v>42</v>
      </c>
      <c r="D1788" s="19" t="n">
        <v>790.1</v>
      </c>
      <c r="E1788" s="19" t="n">
        <v>18</v>
      </c>
      <c r="F1788" s="19" t="n">
        <v>331.38</v>
      </c>
      <c r="G1788" s="8" t="n">
        <f aca="false">IFERROR(INDEX('TRANS'!$B:$B,MATCH($B1788,'TRANS'!$A:$A,0)),IFERROR(INDEX('TRANS'!$B:$B,MATCH(TRIM(SUBSTITUTE($B1788,CHAR(160)," ")),'TRANS'!$D:$D,0)),IFERROR(INDEX('Catalog'!$A:$A,MATCH($B1788,'Catalog'!$B:$B,0)),IFERROR(INDEX('Catalog'!$A:$A,MATCH(TRIM(SUBSTITUTE($B1788,CHAR(160)," ")),'Catalog'!$C:$C,0)),""))))</f>
        <v>4422035</v>
      </c>
      <c r="H1788" s="8" t="str">
        <f aca="false">IFERROR(INDEX('TRANS'!$C:$C,MATCH($B1788,'TRANS'!$A:$A,0)),IFERROR(INDEX('Catalog'!$B:$B,MATCH($G1788,'Catalog'!$A:$A,0)),$B1788))</f>
        <v>FCתרסיס דאודורנט אנטיבק.נעל333</v>
      </c>
      <c r="I1788" s="8" t="str">
        <f aca="false">IF($G1788="","Unmatched","Matched")</f>
        <v>Matched</v>
      </c>
      <c r="J1788" s="8" t="n">
        <f aca="false">IF($G1788&lt;&gt;"",$G1788,$B1788)</f>
        <v>4422035</v>
      </c>
      <c r="K1788" s="8" t="str">
        <f aca="false">IF(COUNTIF($M$1:$M$10,$A1788)&gt;0,"Y","N")</f>
        <v>Y</v>
      </c>
    </row>
    <row r="1789" customFormat="false" ht="15" hidden="false" customHeight="true" outlineLevel="0" collapsed="false">
      <c r="A1789" s="8" t="s">
        <v>54</v>
      </c>
      <c r="B1789" s="8" t="s">
        <v>889</v>
      </c>
      <c r="C1789" s="19" t="n">
        <v>6</v>
      </c>
      <c r="D1789" s="19" t="n">
        <v>143.14</v>
      </c>
      <c r="E1789" s="19" t="n">
        <v>10</v>
      </c>
      <c r="F1789" s="19" t="n">
        <v>238.57</v>
      </c>
      <c r="G1789" s="8" t="n">
        <f aca="false">IFERROR(INDEX('TRANS'!$B:$B,MATCH($B1789,'TRANS'!$A:$A,0)),IFERROR(INDEX('TRANS'!$B:$B,MATCH(TRIM(SUBSTITUTE($B1789,CHAR(160)," ")),'TRANS'!$D:$D,0)),IFERROR(INDEX('Catalog'!$A:$A,MATCH($B1789,'Catalog'!$B:$B,0)),IFERROR(INDEX('Catalog'!$A:$A,MATCH(TRIM(SUBSTITUTE($B1789,CHAR(160)," ")),'Catalog'!$C:$C,0)),""))))</f>
        <v>4420022</v>
      </c>
      <c r="H1789" s="8" t="str">
        <f aca="false">IFERROR(INDEX('TRANS'!$C:$C,MATCH($B1789,'TRANS'!$A:$A,0)),IFERROR(INDEX('Catalog'!$B:$B,MATCH($G1789,'Catalog'!$A:$A,0)),$B1789))</f>
        <v>LF370 ריפוד סיליקון לעקב אחורי</v>
      </c>
      <c r="I1789" s="8" t="str">
        <f aca="false">IF($G1789="","Unmatched","Matched")</f>
        <v>Matched</v>
      </c>
      <c r="J1789" s="8" t="n">
        <f aca="false">IF($G1789&lt;&gt;"",$G1789,$B1789)</f>
        <v>4420022</v>
      </c>
      <c r="K1789" s="8" t="str">
        <f aca="false">IF(COUNTIF($M$1:$M$10,$A1789)&gt;0,"Y","N")</f>
        <v>Y</v>
      </c>
    </row>
    <row r="1790" customFormat="false" ht="15" hidden="false" customHeight="true" outlineLevel="0" collapsed="false">
      <c r="A1790" s="8" t="s">
        <v>54</v>
      </c>
      <c r="B1790" s="8" t="s">
        <v>740</v>
      </c>
      <c r="C1790" s="19" t="n">
        <v>10</v>
      </c>
      <c r="D1790" s="19" t="n">
        <v>215.17</v>
      </c>
      <c r="E1790" s="19" t="n">
        <v>0</v>
      </c>
      <c r="F1790" s="19" t="n">
        <v>0</v>
      </c>
      <c r="G1790" s="8" t="n">
        <f aca="false">IFERROR(INDEX('TRANS'!$B:$B,MATCH($B1790,'TRANS'!$A:$A,0)),IFERROR(INDEX('TRANS'!$B:$B,MATCH(TRIM(SUBSTITUTE($B1790,CHAR(160)," ")),'TRANS'!$D:$D,0)),IFERROR(INDEX('Catalog'!$A:$A,MATCH($B1790,'Catalog'!$B:$B,0)),IFERROR(INDEX('Catalog'!$A:$A,MATCH(TRIM(SUBSTITUTE($B1790,CHAR(160)," ")),'Catalog'!$C:$C,0)),""))))</f>
        <v>4420024</v>
      </c>
      <c r="H1790" s="8" t="str">
        <f aca="false">IFERROR(INDEX('TRANS'!$C:$C,MATCH($B1790,'TRANS'!$A:$A,0)),IFERROR(INDEX('Catalog'!$B:$B,MATCH($G1790,'Catalog'!$A:$A,0)),$B1790))</f>
        <v>LFריפוד סיליק.לכרית כף הרגל373</v>
      </c>
      <c r="I1790" s="8" t="str">
        <f aca="false">IF($G1790="","Unmatched","Matched")</f>
        <v>Matched</v>
      </c>
      <c r="J1790" s="8" t="n">
        <f aca="false">IF($G1790&lt;&gt;"",$G1790,$B1790)</f>
        <v>4420024</v>
      </c>
      <c r="K1790" s="8" t="str">
        <f aca="false">IF(COUNTIF($M$1:$M$10,$A1790)&gt;0,"Y","N")</f>
        <v>Y</v>
      </c>
    </row>
    <row r="1791" customFormat="false" ht="15" hidden="false" customHeight="true" outlineLevel="0" collapsed="false">
      <c r="A1791" s="8" t="s">
        <v>54</v>
      </c>
      <c r="B1791" s="8" t="s">
        <v>561</v>
      </c>
      <c r="C1791" s="19" t="n">
        <v>14</v>
      </c>
      <c r="D1791" s="19" t="n">
        <v>1513.53</v>
      </c>
      <c r="E1791" s="19" t="n">
        <v>9</v>
      </c>
      <c r="F1791" s="19" t="n">
        <v>1168.01</v>
      </c>
      <c r="G1791" s="8" t="n">
        <f aca="false">IFERROR(INDEX('TRANS'!$B:$B,MATCH($B1791,'TRANS'!$A:$A,0)),IFERROR(INDEX('TRANS'!$B:$B,MATCH(TRIM(SUBSTITUTE($B1791,CHAR(160)," ")),'TRANS'!$D:$D,0)),IFERROR(INDEX('Catalog'!$A:$A,MATCH($B1791,'Catalog'!$B:$B,0)),IFERROR(INDEX('Catalog'!$A:$A,MATCH(TRIM(SUBSTITUTE($B1791,CHAR(160)," ")),'Catalog'!$C:$C,0)),""))))</f>
        <v>4408192</v>
      </c>
      <c r="H1791" s="8" t="str">
        <f aca="false">IFERROR(INDEX('TRANS'!$C:$C,MATCH($B1791,'TRANS'!$A:$A,0)),IFERROR(INDEX('Catalog'!$B:$B,MATCH($G1791,'Catalog'!$A:$A,0)),$B1791))</f>
        <v>078 L חגורת גב +סגירה</v>
      </c>
      <c r="I1791" s="8" t="str">
        <f aca="false">IF($G1791="","Unmatched","Matched")</f>
        <v>Matched</v>
      </c>
      <c r="J1791" s="8" t="n">
        <f aca="false">IF($G1791&lt;&gt;"",$G1791,$B1791)</f>
        <v>4408192</v>
      </c>
      <c r="K1791" s="8" t="str">
        <f aca="false">IF(COUNTIF($M$1:$M$10,$A1791)&gt;0,"Y","N")</f>
        <v>Y</v>
      </c>
    </row>
    <row r="1792" customFormat="false" ht="15" hidden="false" customHeight="true" outlineLevel="0" collapsed="false">
      <c r="A1792" s="8" t="s">
        <v>54</v>
      </c>
      <c r="B1792" s="8" t="s">
        <v>562</v>
      </c>
      <c r="C1792" s="19" t="n">
        <v>1</v>
      </c>
      <c r="D1792" s="19" t="n">
        <v>117.13</v>
      </c>
      <c r="E1792" s="19" t="n">
        <v>8</v>
      </c>
      <c r="F1792" s="19" t="n">
        <v>1105.17</v>
      </c>
      <c r="G1792" s="8" t="n">
        <f aca="false">IFERROR(INDEX('TRANS'!$B:$B,MATCH($B1792,'TRANS'!$A:$A,0)),IFERROR(INDEX('TRANS'!$B:$B,MATCH(TRIM(SUBSTITUTE($B1792,CHAR(160)," ")),'TRANS'!$D:$D,0)),IFERROR(INDEX('Catalog'!$A:$A,MATCH($B1792,'Catalog'!$B:$B,0)),IFERROR(INDEX('Catalog'!$A:$A,MATCH(TRIM(SUBSTITUTE($B1792,CHAR(160)," ")),'Catalog'!$C:$C,0)),""))))</f>
        <v>4408218</v>
      </c>
      <c r="H1792" s="8" t="str">
        <f aca="false">IFERROR(INDEX('TRANS'!$C:$C,MATCH($B1792,'TRANS'!$A:$A,0)),IFERROR(INDEX('Catalog'!$B:$B,MATCH($G1792,'Catalog'!$A:$A,0)),$B1792))</f>
        <v>078XL חגורת גב +סגירה כפולה</v>
      </c>
      <c r="I1792" s="8" t="str">
        <f aca="false">IF($G1792="","Unmatched","Matched")</f>
        <v>Matched</v>
      </c>
      <c r="J1792" s="8" t="n">
        <f aca="false">IF($G1792&lt;&gt;"",$G1792,$B1792)</f>
        <v>4408218</v>
      </c>
      <c r="K1792" s="8" t="str">
        <f aca="false">IF(COUNTIF($M$1:$M$10,$A1792)&gt;0,"Y","N")</f>
        <v>Y</v>
      </c>
    </row>
    <row r="1793" customFormat="false" ht="15" hidden="false" customHeight="true" outlineLevel="0" collapsed="false">
      <c r="A1793" s="8" t="s">
        <v>54</v>
      </c>
      <c r="B1793" s="8" t="s">
        <v>854</v>
      </c>
      <c r="C1793" s="19" t="n">
        <v>0</v>
      </c>
      <c r="D1793" s="19" t="n">
        <v>0</v>
      </c>
      <c r="E1793" s="19" t="n">
        <v>0</v>
      </c>
      <c r="F1793" s="19" t="n">
        <v>27.13</v>
      </c>
      <c r="G1793" s="8" t="n">
        <f aca="false">IFERROR(INDEX('TRANS'!$B:$B,MATCH($B1793,'TRANS'!$A:$A,0)),IFERROR(INDEX('TRANS'!$B:$B,MATCH(TRIM(SUBSTITUTE($B1793,CHAR(160)," ")),'TRANS'!$D:$D,0)),IFERROR(INDEX('Catalog'!$A:$A,MATCH($B1793,'Catalog'!$B:$B,0)),IFERROR(INDEX('Catalog'!$A:$A,MATCH(TRIM(SUBSTITUTE($B1793,CHAR(160)," ")),'Catalog'!$C:$C,0)),""))))</f>
        <v>4408265</v>
      </c>
      <c r="H1793" s="8" t="str">
        <f aca="false">IFERROR(INDEX('TRANS'!$C:$C,MATCH($B1793,'TRANS'!$A:$A,0)),IFERROR(INDEX('Catalog'!$B:$B,MATCH($G1793,'Catalog'!$A:$A,0)),$B1793))</f>
        <v>078XXL חגורת גב +סגירה כפולה</v>
      </c>
      <c r="I1793" s="8" t="str">
        <f aca="false">IF($G1793="","Unmatched","Matched")</f>
        <v>Matched</v>
      </c>
      <c r="J1793" s="8" t="n">
        <f aca="false">IF($G1793&lt;&gt;"",$G1793,$B1793)</f>
        <v>4408265</v>
      </c>
      <c r="K1793" s="8" t="str">
        <f aca="false">IF(COUNTIF($M$1:$M$10,$A1793)&gt;0,"Y","N")</f>
        <v>Y</v>
      </c>
    </row>
    <row r="1794" customFormat="false" ht="15" hidden="false" customHeight="true" outlineLevel="0" collapsed="false">
      <c r="A1794" s="8" t="s">
        <v>54</v>
      </c>
      <c r="B1794" s="8" t="s">
        <v>783</v>
      </c>
      <c r="C1794" s="19" t="n">
        <v>0</v>
      </c>
      <c r="D1794" s="19" t="n">
        <v>0</v>
      </c>
      <c r="E1794" s="19" t="n">
        <v>4</v>
      </c>
      <c r="F1794" s="19" t="n">
        <v>159.17</v>
      </c>
      <c r="G1794" s="8" t="n">
        <f aca="false">IFERROR(INDEX('TRANS'!$B:$B,MATCH($B1794,'TRANS'!$A:$A,0)),IFERROR(INDEX('TRANS'!$B:$B,MATCH(TRIM(SUBSTITUTE($B1794,CHAR(160)," ")),'TRANS'!$D:$D,0)),IFERROR(INDEX('Catalog'!$A:$A,MATCH($B1794,'Catalog'!$B:$B,0)),IFERROR(INDEX('Catalog'!$A:$A,MATCH(TRIM(SUBSTITUTE($B1794,CHAR(160)," ")),'Catalog'!$C:$C,0)),""))))</f>
        <v>4408052</v>
      </c>
      <c r="H1794" s="8" t="str">
        <f aca="false">IFERROR(INDEX('TRANS'!$C:$C,MATCH($B1794,'TRANS'!$A:$A,0)),IFERROR(INDEX('Catalog'!$B:$B,MATCH($G1794,'Catalog'!$A:$A,0)),$B1794))</f>
        <v>21 L  חבק יד ארוך</v>
      </c>
      <c r="I1794" s="8" t="str">
        <f aca="false">IF($G1794="","Unmatched","Matched")</f>
        <v>Matched</v>
      </c>
      <c r="J1794" s="8" t="n">
        <f aca="false">IF($G1794&lt;&gt;"",$G1794,$B1794)</f>
        <v>4408052</v>
      </c>
      <c r="K1794" s="8" t="str">
        <f aca="false">IF(COUNTIF($M$1:$M$10,$A1794)&gt;0,"Y","N")</f>
        <v>Y</v>
      </c>
    </row>
    <row r="1795" customFormat="false" ht="15" hidden="false" customHeight="true" outlineLevel="0" collapsed="false">
      <c r="A1795" s="8" t="s">
        <v>54</v>
      </c>
      <c r="B1795" s="8" t="s">
        <v>982</v>
      </c>
      <c r="C1795" s="19" t="n">
        <v>0</v>
      </c>
      <c r="D1795" s="19" t="n">
        <v>0</v>
      </c>
      <c r="E1795" s="19" t="n">
        <v>3</v>
      </c>
      <c r="F1795" s="19" t="n">
        <v>119.38</v>
      </c>
      <c r="G1795" s="8" t="n">
        <f aca="false">IFERROR(INDEX('TRANS'!$B:$B,MATCH($B1795,'TRANS'!$A:$A,0)),IFERROR(INDEX('TRANS'!$B:$B,MATCH(TRIM(SUBSTITUTE($B1795,CHAR(160)," ")),'TRANS'!$D:$D,0)),IFERROR(INDEX('Catalog'!$A:$A,MATCH($B1795,'Catalog'!$B:$B,0)),IFERROR(INDEX('Catalog'!$A:$A,MATCH(TRIM(SUBSTITUTE($B1795,CHAR(160)," ")),'Catalog'!$C:$C,0)),""))))</f>
        <v>4411024</v>
      </c>
      <c r="H1795" s="8" t="str">
        <f aca="false">IFERROR(INDEX('TRANS'!$C:$C,MATCH($B1795,'TRANS'!$A:$A,0)),IFERROR(INDEX('Catalog'!$B:$B,MATCH($G1795,'Catalog'!$A:$A,0)),$B1795))</f>
        <v>212XL כפפות אגודל לחץ</v>
      </c>
      <c r="I1795" s="8" t="str">
        <f aca="false">IF($G1795="","Unmatched","Matched")</f>
        <v>Matched</v>
      </c>
      <c r="J1795" s="8" t="n">
        <f aca="false">IF($G1795&lt;&gt;"",$G1795,$B1795)</f>
        <v>4411024</v>
      </c>
      <c r="K1795" s="8" t="str">
        <f aca="false">IF(COUNTIF($M$1:$M$10,$A1795)&gt;0,"Y","N")</f>
        <v>Y</v>
      </c>
    </row>
    <row r="1796" customFormat="false" ht="15" hidden="false" customHeight="true" outlineLevel="0" collapsed="false">
      <c r="A1796" s="8" t="s">
        <v>54</v>
      </c>
      <c r="B1796" s="8" t="s">
        <v>595</v>
      </c>
      <c r="C1796" s="19" t="n">
        <v>60</v>
      </c>
      <c r="D1796" s="19" t="n">
        <v>3784.19</v>
      </c>
      <c r="E1796" s="19" t="n">
        <v>45</v>
      </c>
      <c r="F1796" s="19" t="n">
        <v>2871.65</v>
      </c>
      <c r="G1796" s="8" t="n">
        <f aca="false">IFERROR(INDEX('TRANS'!$B:$B,MATCH($B1796,'TRANS'!$A:$A,0)),IFERROR(INDEX('TRANS'!$B:$B,MATCH(TRIM(SUBSTITUTE($B1796,CHAR(160)," ")),'TRANS'!$D:$D,0)),IFERROR(INDEX('Catalog'!$A:$A,MATCH($B1796,'Catalog'!$B:$B,0)),IFERROR(INDEX('Catalog'!$A:$A,MATCH(TRIM(SUBSTITUTE($B1796,CHAR(160)," ")),'Catalog'!$C:$C,0)),""))))</f>
        <v>4413348</v>
      </c>
      <c r="H1796" s="8" t="str">
        <f aca="false">IFERROR(INDEX('TRANS'!$C:$C,MATCH($B1796,'TRANS'!$A:$A,0)),IFERROR(INDEX('Catalog'!$B:$B,MATCH($G1796,'Catalog'!$A:$A,0)),$B1796))</f>
        <v>302 מדרס ג'ל לגבר</v>
      </c>
      <c r="I1796" s="8" t="str">
        <f aca="false">IF($G1796="","Unmatched","Matched")</f>
        <v>Matched</v>
      </c>
      <c r="J1796" s="8" t="n">
        <f aca="false">IF($G1796&lt;&gt;"",$G1796,$B1796)</f>
        <v>4413348</v>
      </c>
      <c r="K1796" s="8" t="str">
        <f aca="false">IF(COUNTIF($M$1:$M$10,$A1796)&gt;0,"Y","N")</f>
        <v>Y</v>
      </c>
    </row>
    <row r="1797" customFormat="false" ht="15" hidden="false" customHeight="true" outlineLevel="0" collapsed="false">
      <c r="A1797" s="8" t="s">
        <v>54</v>
      </c>
      <c r="B1797" s="8" t="s">
        <v>616</v>
      </c>
      <c r="C1797" s="19" t="n">
        <v>0</v>
      </c>
      <c r="D1797" s="19" t="n">
        <v>0</v>
      </c>
      <c r="E1797" s="19" t="n">
        <v>2</v>
      </c>
      <c r="F1797" s="19" t="n">
        <v>61.78</v>
      </c>
      <c r="G1797" s="8" t="n">
        <f aca="false">IFERROR(INDEX('TRANS'!$B:$B,MATCH($B1797,'TRANS'!$A:$A,0)),IFERROR(INDEX('TRANS'!$B:$B,MATCH(TRIM(SUBSTITUTE($B1797,CHAR(160)," ")),'TRANS'!$D:$D,0)),IFERROR(INDEX('Catalog'!$A:$A,MATCH($B1797,'Catalog'!$B:$B,0)),IFERROR(INDEX('Catalog'!$A:$A,MATCH(TRIM(SUBSTITUTE($B1797,CHAR(160)," ")),'Catalog'!$C:$C,0)),""))))</f>
        <v>4413492</v>
      </c>
      <c r="H1797" s="8" t="str">
        <f aca="false">IFERROR(INDEX('TRANS'!$C:$C,MATCH($B1797,'TRANS'!$A:$A,0)),IFERROR(INDEX('Catalog'!$B:$B,MATCH($G1797,'Catalog'!$A:$A,0)),$B1797))</f>
        <v>35B M מגן קרסול שחור</v>
      </c>
      <c r="I1797" s="8" t="str">
        <f aca="false">IF($G1797="","Unmatched","Matched")</f>
        <v>Matched</v>
      </c>
      <c r="J1797" s="8" t="n">
        <f aca="false">IF($G1797&lt;&gt;"",$G1797,$B1797)</f>
        <v>4413492</v>
      </c>
      <c r="K1797" s="8" t="str">
        <f aca="false">IF(COUNTIF($M$1:$M$10,$A1797)&gt;0,"Y","N")</f>
        <v>Y</v>
      </c>
    </row>
    <row r="1798" customFormat="false" ht="15" hidden="false" customHeight="true" outlineLevel="0" collapsed="false">
      <c r="A1798" s="8" t="s">
        <v>54</v>
      </c>
      <c r="B1798" s="8" t="s">
        <v>645</v>
      </c>
      <c r="C1798" s="19" t="n">
        <v>102</v>
      </c>
      <c r="D1798" s="19" t="n">
        <v>1388.74</v>
      </c>
      <c r="E1798" s="19" t="n">
        <v>49</v>
      </c>
      <c r="F1798" s="19" t="n">
        <v>693.9</v>
      </c>
      <c r="G1798" s="8" t="n">
        <f aca="false">IFERROR(INDEX('TRANS'!$B:$B,MATCH($B1798,'TRANS'!$A:$A,0)),IFERROR(INDEX('TRANS'!$B:$B,MATCH(TRIM(SUBSTITUTE($B1798,CHAR(160)," ")),'TRANS'!$D:$D,0)),IFERROR(INDEX('Catalog'!$A:$A,MATCH($B1798,'Catalog'!$B:$B,0)),IFERROR(INDEX('Catalog'!$A:$A,MATCH(TRIM(SUBSTITUTE($B1798,CHAR(160)," ")),'Catalog'!$C:$C,0)),""))))</f>
        <v>4420002</v>
      </c>
      <c r="H1798" s="8" t="str">
        <f aca="false">IFERROR(INDEX('TRANS'!$C:$C,MATCH($B1798,'TRANS'!$A:$A,0)),IFERROR(INDEX('Catalog'!$B:$B,MATCH($G1798,'Catalog'!$A:$A,0)),$B1798))</f>
        <v>372 רפידת אנטי ריח -זוג</v>
      </c>
      <c r="I1798" s="8" t="str">
        <f aca="false">IF($G1798="","Unmatched","Matched")</f>
        <v>Matched</v>
      </c>
      <c r="J1798" s="8" t="n">
        <f aca="false">IF($G1798&lt;&gt;"",$G1798,$B1798)</f>
        <v>4420002</v>
      </c>
      <c r="K1798" s="8" t="str">
        <f aca="false">IF(COUNTIF($M$1:$M$10,$A1798)&gt;0,"Y","N")</f>
        <v>Y</v>
      </c>
    </row>
    <row r="1799" customFormat="false" ht="15" hidden="false" customHeight="true" outlineLevel="0" collapsed="false">
      <c r="A1799" s="8" t="s">
        <v>54</v>
      </c>
      <c r="B1799" s="8" t="s">
        <v>646</v>
      </c>
      <c r="C1799" s="19" t="n">
        <v>78</v>
      </c>
      <c r="D1799" s="19" t="n">
        <v>1059.78</v>
      </c>
      <c r="E1799" s="19" t="n">
        <v>22</v>
      </c>
      <c r="F1799" s="19" t="n">
        <v>318.68</v>
      </c>
      <c r="G1799" s="8" t="n">
        <f aca="false">IFERROR(INDEX('TRANS'!$B:$B,MATCH($B1799,'TRANS'!$A:$A,0)),IFERROR(INDEX('TRANS'!$B:$B,MATCH(TRIM(SUBSTITUTE($B1799,CHAR(160)," ")),'TRANS'!$D:$D,0)),IFERROR(INDEX('Catalog'!$A:$A,MATCH($B1799,'Catalog'!$B:$B,0)),IFERROR(INDEX('Catalog'!$A:$A,MATCH(TRIM(SUBSTITUTE($B1799,CHAR(160)," ")),'Catalog'!$C:$C,0)),""))))</f>
        <v>4420003</v>
      </c>
      <c r="H1799" s="8" t="str">
        <f aca="false">IFERROR(INDEX('TRANS'!$C:$C,MATCH($B1799,'TRANS'!$A:$A,0)),IFERROR(INDEX('Catalog'!$B:$B,MATCH($G1799,'Catalog'!$A:$A,0)),$B1799))</f>
        <v>374 רפידת בולמת זעזועים -זוג</v>
      </c>
      <c r="I1799" s="8" t="str">
        <f aca="false">IF($G1799="","Unmatched","Matched")</f>
        <v>Matched</v>
      </c>
      <c r="J1799" s="8" t="n">
        <f aca="false">IF($G1799&lt;&gt;"",$G1799,$B1799)</f>
        <v>4420003</v>
      </c>
      <c r="K1799" s="8" t="str">
        <f aca="false">IF(COUNTIF($M$1:$M$10,$A1799)&gt;0,"Y","N")</f>
        <v>Y</v>
      </c>
    </row>
    <row r="1800" customFormat="false" ht="15" hidden="false" customHeight="true" outlineLevel="0" collapsed="false">
      <c r="A1800" s="8" t="s">
        <v>54</v>
      </c>
      <c r="B1800" s="8" t="s">
        <v>78</v>
      </c>
      <c r="C1800" s="19" t="n">
        <v>3</v>
      </c>
      <c r="D1800" s="19" t="n">
        <v>105.32</v>
      </c>
      <c r="E1800" s="19" t="n">
        <v>2</v>
      </c>
      <c r="F1800" s="19" t="n">
        <v>70.21</v>
      </c>
      <c r="G1800" s="8" t="str">
        <f aca="false">IFERROR(INDEX('TRANS'!$B:$B,MATCH($B1800,'TRANS'!$A:$A,0)),IFERROR(INDEX('TRANS'!$B:$B,MATCH(TRIM(SUBSTITUTE($B1800,CHAR(160)," ")),'TRANS'!$D:$D,0)),IFERROR(INDEX('Catalog'!$A:$A,MATCH($B1800,'Catalog'!$B:$B,0)),IFERROR(INDEX('Catalog'!$A:$A,MATCH(TRIM(SUBSTITUTE($B1800,CHAR(160)," ")),'Catalog'!$C:$C,0)),""))))</f>
        <v/>
      </c>
      <c r="H1800" s="8" t="str">
        <f aca="false">IFERROR(INDEX('TRANS'!$C:$C,MATCH($B1800,'TRANS'!$A:$A,0)),IFERROR(INDEX('Catalog'!$B:$B,MATCH($G1800,'Catalog'!$A:$A,0)),$B1800))</f>
        <v>376-41-43</v>
      </c>
      <c r="I1800" s="8" t="str">
        <f aca="false">IF($G1800="","Unmatched","Matched")</f>
        <v>Unmatched</v>
      </c>
      <c r="J1800" s="8" t="str">
        <f aca="false">IF($G1800&lt;&gt;"",$G1800,$B1800)</f>
        <v>376-41-43</v>
      </c>
      <c r="K1800" s="8" t="str">
        <f aca="false">IF(COUNTIF($M$1:$M$10,$A1800)&gt;0,"Y","N")</f>
        <v>Y</v>
      </c>
    </row>
    <row r="1801" customFormat="false" ht="15" hidden="false" customHeight="true" outlineLevel="0" collapsed="false">
      <c r="A1801" s="8" t="s">
        <v>54</v>
      </c>
      <c r="B1801" s="8" t="s">
        <v>81</v>
      </c>
      <c r="C1801" s="19" t="n">
        <v>3</v>
      </c>
      <c r="D1801" s="19" t="n">
        <v>105.32</v>
      </c>
      <c r="E1801" s="19" t="n">
        <v>5</v>
      </c>
      <c r="F1801" s="19" t="n">
        <v>175.53</v>
      </c>
      <c r="G1801" s="8" t="str">
        <f aca="false">IFERROR(INDEX('TRANS'!$B:$B,MATCH($B1801,'TRANS'!$A:$A,0)),IFERROR(INDEX('TRANS'!$B:$B,MATCH(TRIM(SUBSTITUTE($B1801,CHAR(160)," ")),'TRANS'!$D:$D,0)),IFERROR(INDEX('Catalog'!$A:$A,MATCH($B1801,'Catalog'!$B:$B,0)),IFERROR(INDEX('Catalog'!$A:$A,MATCH(TRIM(SUBSTITUTE($B1801,CHAR(160)," ")),'Catalog'!$C:$C,0)),""))))</f>
        <v/>
      </c>
      <c r="H1801" s="8" t="str">
        <f aca="false">IFERROR(INDEX('TRANS'!$C:$C,MATCH($B1801,'TRANS'!$A:$A,0)),IFERROR(INDEX('Catalog'!$B:$B,MATCH($G1801,'Catalog'!$A:$A,0)),$B1801))</f>
        <v>376-44-45</v>
      </c>
      <c r="I1801" s="8" t="str">
        <f aca="false">IF($G1801="","Unmatched","Matched")</f>
        <v>Unmatched</v>
      </c>
      <c r="J1801" s="8" t="str">
        <f aca="false">IF($G1801&lt;&gt;"",$G1801,$B1801)</f>
        <v>376-44-45</v>
      </c>
      <c r="K1801" s="8" t="str">
        <f aca="false">IF(COUNTIF($M$1:$M$10,$A1801)&gt;0,"Y","N")</f>
        <v>Y</v>
      </c>
    </row>
    <row r="1802" customFormat="false" ht="15" hidden="false" customHeight="true" outlineLevel="0" collapsed="false">
      <c r="A1802" s="8" t="s">
        <v>54</v>
      </c>
      <c r="B1802" s="8" t="s">
        <v>300</v>
      </c>
      <c r="C1802" s="19" t="n">
        <v>0</v>
      </c>
      <c r="D1802" s="19" t="n">
        <v>0</v>
      </c>
      <c r="E1802" s="19" t="n">
        <v>2</v>
      </c>
      <c r="F1802" s="19" t="n">
        <v>70.21</v>
      </c>
      <c r="G1802" s="8" t="str">
        <f aca="false">IFERROR(INDEX('TRANS'!$B:$B,MATCH($B1802,'TRANS'!$A:$A,0)),IFERROR(INDEX('TRANS'!$B:$B,MATCH(TRIM(SUBSTITUTE($B1802,CHAR(160)," ")),'TRANS'!$D:$D,0)),IFERROR(INDEX('Catalog'!$A:$A,MATCH($B1802,'Catalog'!$B:$B,0)),IFERROR(INDEX('Catalog'!$A:$A,MATCH(TRIM(SUBSTITUTE($B1802,CHAR(160)," ")),'Catalog'!$C:$C,0)),""))))</f>
        <v/>
      </c>
      <c r="H1802" s="8" t="str">
        <f aca="false">IFERROR(INDEX('TRANS'!$C:$C,MATCH($B1802,'TRANS'!$A:$A,0)),IFERROR(INDEX('Catalog'!$B:$B,MATCH($G1802,'Catalog'!$A:$A,0)),$B1802))</f>
        <v>376-44-46</v>
      </c>
      <c r="I1802" s="8" t="str">
        <f aca="false">IF($G1802="","Unmatched","Matched")</f>
        <v>Unmatched</v>
      </c>
      <c r="J1802" s="8" t="str">
        <f aca="false">IF($G1802&lt;&gt;"",$G1802,$B1802)</f>
        <v>376-44-46</v>
      </c>
      <c r="K1802" s="8" t="str">
        <f aca="false">IF(COUNTIF($M$1:$M$10,$A1802)&gt;0,"Y","N")</f>
        <v>Y</v>
      </c>
    </row>
    <row r="1803" customFormat="false" ht="15" hidden="false" customHeight="true" outlineLevel="0" collapsed="false">
      <c r="A1803" s="8" t="s">
        <v>54</v>
      </c>
      <c r="B1803" s="8" t="s">
        <v>647</v>
      </c>
      <c r="C1803" s="19" t="n">
        <v>2</v>
      </c>
      <c r="D1803" s="19" t="n">
        <v>70.21</v>
      </c>
      <c r="E1803" s="19" t="n">
        <v>2</v>
      </c>
      <c r="F1803" s="19" t="n">
        <v>70.22</v>
      </c>
      <c r="G1803" s="8" t="n">
        <f aca="false">IFERROR(INDEX('TRANS'!$B:$B,MATCH($B1803,'TRANS'!$A:$A,0)),IFERROR(INDEX('TRANS'!$B:$B,MATCH(TRIM(SUBSTITUTE($B1803,CHAR(160)," ")),'TRANS'!$D:$D,0)),IFERROR(INDEX('Catalog'!$A:$A,MATCH($B1803,'Catalog'!$B:$B,0)),IFERROR(INDEX('Catalog'!$A:$A,MATCH(TRIM(SUBSTITUTE($B1803,CHAR(160)," ")),'Catalog'!$C:$C,0)),""))))</f>
        <v>4420032</v>
      </c>
      <c r="H1803" s="8" t="str">
        <f aca="false">IFERROR(INDEX('TRANS'!$C:$C,MATCH($B1803,'TRANS'!$A:$A,0)),IFERROR(INDEX('Catalog'!$B:$B,MATCH($G1803,'Catalog'!$A:$A,0)),$B1803))</f>
        <v>46-47 רפידת ספורט 376 מידה</v>
      </c>
      <c r="I1803" s="8" t="str">
        <f aca="false">IF($G1803="","Unmatched","Matched")</f>
        <v>Matched</v>
      </c>
      <c r="J1803" s="8" t="n">
        <f aca="false">IF($G1803&lt;&gt;"",$G1803,$B1803)</f>
        <v>4420032</v>
      </c>
      <c r="K1803" s="8" t="str">
        <f aca="false">IF(COUNTIF($M$1:$M$10,$A1803)&gt;0,"Y","N")</f>
        <v>Y</v>
      </c>
    </row>
    <row r="1804" customFormat="false" ht="15" hidden="false" customHeight="true" outlineLevel="0" collapsed="false">
      <c r="A1804" s="8" t="s">
        <v>54</v>
      </c>
      <c r="B1804" s="8" t="s">
        <v>869</v>
      </c>
      <c r="C1804" s="19" t="n">
        <v>0</v>
      </c>
      <c r="D1804" s="19" t="n">
        <v>0</v>
      </c>
      <c r="E1804" s="19" t="n">
        <v>1</v>
      </c>
      <c r="F1804" s="19" t="n">
        <v>118.54</v>
      </c>
      <c r="G1804" s="8" t="n">
        <f aca="false">IFERROR(INDEX('TRANS'!$B:$B,MATCH($B1804,'TRANS'!$A:$A,0)),IFERROR(INDEX('TRANS'!$B:$B,MATCH(TRIM(SUBSTITUTE($B1804,CHAR(160)," ")),'TRANS'!$D:$D,0)),IFERROR(INDEX('Catalog'!$A:$A,MATCH($B1804,'Catalog'!$B:$B,0)),IFERROR(INDEX('Catalog'!$A:$A,MATCH(TRIM(SUBSTITUTE($B1804,CHAR(160)," ")),'Catalog'!$C:$C,0)),""))))</f>
        <v>4413523</v>
      </c>
      <c r="H1804" s="8" t="str">
        <f aca="false">IFERROR(INDEX('TRANS'!$C:$C,MATCH($B1804,'TRANS'!$A:$A,0)),IFERROR(INDEX('Catalog'!$B:$B,MATCH($G1804,'Catalog'!$A:$A,0)),$B1804))</f>
        <v>35-38 מדרסי אפיק ג'ל נוחות</v>
      </c>
      <c r="I1804" s="8" t="str">
        <f aca="false">IF($G1804="","Unmatched","Matched")</f>
        <v>Matched</v>
      </c>
      <c r="J1804" s="8" t="n">
        <f aca="false">IF($G1804&lt;&gt;"",$G1804,$B1804)</f>
        <v>4413523</v>
      </c>
      <c r="K1804" s="8" t="str">
        <f aca="false">IF(COUNTIF($M$1:$M$10,$A1804)&gt;0,"Y","N")</f>
        <v>Y</v>
      </c>
    </row>
    <row r="1805" customFormat="false" ht="15" hidden="false" customHeight="true" outlineLevel="0" collapsed="false">
      <c r="A1805" s="8" t="s">
        <v>54</v>
      </c>
      <c r="B1805" s="8" t="s">
        <v>870</v>
      </c>
      <c r="C1805" s="19" t="n">
        <v>0</v>
      </c>
      <c r="D1805" s="19" t="n">
        <v>0</v>
      </c>
      <c r="E1805" s="19" t="n">
        <v>2</v>
      </c>
      <c r="F1805" s="19" t="n">
        <v>237.07</v>
      </c>
      <c r="G1805" s="8" t="n">
        <f aca="false">IFERROR(INDEX('TRANS'!$B:$B,MATCH($B1805,'TRANS'!$A:$A,0)),IFERROR(INDEX('TRANS'!$B:$B,MATCH(TRIM(SUBSTITUTE($B1805,CHAR(160)," ")),'TRANS'!$D:$D,0)),IFERROR(INDEX('Catalog'!$A:$A,MATCH($B1805,'Catalog'!$B:$B,0)),IFERROR(INDEX('Catalog'!$A:$A,MATCH(TRIM(SUBSTITUTE($B1805,CHAR(160)," ")),'Catalog'!$C:$C,0)),""))))</f>
        <v>4413524</v>
      </c>
      <c r="H1805" s="8" t="str">
        <f aca="false">IFERROR(INDEX('TRANS'!$C:$C,MATCH($B1805,'TRANS'!$A:$A,0)),IFERROR(INDEX('Catalog'!$B:$B,MATCH($G1805,'Catalog'!$A:$A,0)),$B1805))</f>
        <v>39-42 מדרסי אפיק ג'ל נוחות</v>
      </c>
      <c r="I1805" s="8" t="str">
        <f aca="false">IF($G1805="","Unmatched","Matched")</f>
        <v>Matched</v>
      </c>
      <c r="J1805" s="8" t="n">
        <f aca="false">IF($G1805&lt;&gt;"",$G1805,$B1805)</f>
        <v>4413524</v>
      </c>
      <c r="K1805" s="8" t="str">
        <f aca="false">IF(COUNTIF($M$1:$M$10,$A1805)&gt;0,"Y","N")</f>
        <v>Y</v>
      </c>
    </row>
    <row r="1806" customFormat="false" ht="15" hidden="false" customHeight="true" outlineLevel="0" collapsed="false">
      <c r="A1806" s="8" t="s">
        <v>54</v>
      </c>
      <c r="B1806" s="8" t="s">
        <v>871</v>
      </c>
      <c r="C1806" s="19" t="n">
        <v>0</v>
      </c>
      <c r="D1806" s="19" t="n">
        <v>0</v>
      </c>
      <c r="E1806" s="19" t="n">
        <v>2</v>
      </c>
      <c r="F1806" s="19" t="n">
        <v>237.07</v>
      </c>
      <c r="G1806" s="8" t="n">
        <f aca="false">IFERROR(INDEX('TRANS'!$B:$B,MATCH($B1806,'TRANS'!$A:$A,0)),IFERROR(INDEX('TRANS'!$B:$B,MATCH(TRIM(SUBSTITUTE($B1806,CHAR(160)," ")),'TRANS'!$D:$D,0)),IFERROR(INDEX('Catalog'!$A:$A,MATCH($B1806,'Catalog'!$B:$B,0)),IFERROR(INDEX('Catalog'!$A:$A,MATCH(TRIM(SUBSTITUTE($B1806,CHAR(160)," ")),'Catalog'!$C:$C,0)),""))))</f>
        <v>4413525</v>
      </c>
      <c r="H1806" s="8" t="str">
        <f aca="false">IFERROR(INDEX('TRANS'!$C:$C,MATCH($B1806,'TRANS'!$A:$A,0)),IFERROR(INDEX('Catalog'!$B:$B,MATCH($G1806,'Catalog'!$A:$A,0)),$B1806))</f>
        <v>43-47 מדרסי אפיק ג'ל נוחות</v>
      </c>
      <c r="I1806" s="8" t="str">
        <f aca="false">IF($G1806="","Unmatched","Matched")</f>
        <v>Matched</v>
      </c>
      <c r="J1806" s="8" t="n">
        <f aca="false">IF($G1806&lt;&gt;"",$G1806,$B1806)</f>
        <v>4413525</v>
      </c>
      <c r="K1806" s="8" t="str">
        <f aca="false">IF(COUNTIF($M$1:$M$10,$A1806)&gt;0,"Y","N")</f>
        <v>Y</v>
      </c>
    </row>
    <row r="1807" customFormat="false" ht="15" hidden="false" customHeight="true" outlineLevel="0" collapsed="false">
      <c r="A1807" s="8" t="s">
        <v>54</v>
      </c>
      <c r="B1807" s="8" t="s">
        <v>872</v>
      </c>
      <c r="C1807" s="19" t="n">
        <v>0</v>
      </c>
      <c r="D1807" s="19" t="n">
        <v>0</v>
      </c>
      <c r="E1807" s="19" t="n">
        <v>1</v>
      </c>
      <c r="F1807" s="19" t="n">
        <v>118.54</v>
      </c>
      <c r="G1807" s="8" t="n">
        <f aca="false">IFERROR(INDEX('TRANS'!$B:$B,MATCH($B1807,'TRANS'!$A:$A,0)),IFERROR(INDEX('TRANS'!$B:$B,MATCH(TRIM(SUBSTITUTE($B1807,CHAR(160)," ")),'TRANS'!$D:$D,0)),IFERROR(INDEX('Catalog'!$A:$A,MATCH($B1807,'Catalog'!$B:$B,0)),IFERROR(INDEX('Catalog'!$A:$A,MATCH(TRIM(SUBSTITUTE($B1807,CHAR(160)," ")),'Catalog'!$C:$C,0)),""))))</f>
        <v>4413520</v>
      </c>
      <c r="H1807" s="8" t="str">
        <f aca="false">IFERROR(INDEX('TRANS'!$C:$C,MATCH($B1807,'TRANS'!$A:$A,0)),IFERROR(INDEX('Catalog'!$B:$B,MATCH($G1807,'Catalog'!$A:$A,0)),$B1807))</f>
        <v>מדרסי אפיק ג'ל מולט.ספורט35-38</v>
      </c>
      <c r="I1807" s="8" t="str">
        <f aca="false">IF($G1807="","Unmatched","Matched")</f>
        <v>Matched</v>
      </c>
      <c r="J1807" s="8" t="n">
        <f aca="false">IF($G1807&lt;&gt;"",$G1807,$B1807)</f>
        <v>4413520</v>
      </c>
      <c r="K1807" s="8" t="str">
        <f aca="false">IF(COUNTIF($M$1:$M$10,$A1807)&gt;0,"Y","N")</f>
        <v>Y</v>
      </c>
    </row>
    <row r="1808" customFormat="false" ht="15" hidden="false" customHeight="true" outlineLevel="0" collapsed="false">
      <c r="A1808" s="8" t="s">
        <v>54</v>
      </c>
      <c r="B1808" s="8" t="s">
        <v>873</v>
      </c>
      <c r="C1808" s="19" t="n">
        <v>0</v>
      </c>
      <c r="D1808" s="19" t="n">
        <v>0</v>
      </c>
      <c r="E1808" s="19" t="n">
        <v>8</v>
      </c>
      <c r="F1808" s="19" t="n">
        <v>853.48</v>
      </c>
      <c r="G1808" s="8" t="n">
        <f aca="false">IFERROR(INDEX('TRANS'!$B:$B,MATCH($B1808,'TRANS'!$A:$A,0)),IFERROR(INDEX('TRANS'!$B:$B,MATCH(TRIM(SUBSTITUTE($B1808,CHAR(160)," ")),'TRANS'!$D:$D,0)),IFERROR(INDEX('Catalog'!$A:$A,MATCH($B1808,'Catalog'!$B:$B,0)),IFERROR(INDEX('Catalog'!$A:$A,MATCH(TRIM(SUBSTITUTE($B1808,CHAR(160)," ")),'Catalog'!$C:$C,0)),""))))</f>
        <v>4413521</v>
      </c>
      <c r="H1808" s="8" t="str">
        <f aca="false">IFERROR(INDEX('TRANS'!$C:$C,MATCH($B1808,'TRANS'!$A:$A,0)),IFERROR(INDEX('Catalog'!$B:$B,MATCH($G1808,'Catalog'!$A:$A,0)),$B1808))</f>
        <v>מדרסי אפיק ג'ל מולטי ספור39-42</v>
      </c>
      <c r="I1808" s="8" t="str">
        <f aca="false">IF($G1808="","Unmatched","Matched")</f>
        <v>Matched</v>
      </c>
      <c r="J1808" s="8" t="n">
        <f aca="false">IF($G1808&lt;&gt;"",$G1808,$B1808)</f>
        <v>4413521</v>
      </c>
      <c r="K1808" s="8" t="str">
        <f aca="false">IF(COUNTIF($M$1:$M$10,$A1808)&gt;0,"Y","N")</f>
        <v>Y</v>
      </c>
    </row>
    <row r="1809" customFormat="false" ht="15" hidden="false" customHeight="true" outlineLevel="0" collapsed="false">
      <c r="A1809" s="8" t="s">
        <v>54</v>
      </c>
      <c r="B1809" s="8" t="s">
        <v>874</v>
      </c>
      <c r="C1809" s="19" t="n">
        <v>0</v>
      </c>
      <c r="D1809" s="19" t="n">
        <v>0</v>
      </c>
      <c r="E1809" s="19" t="n">
        <v>19</v>
      </c>
      <c r="F1809" s="19" t="n">
        <v>2062.54</v>
      </c>
      <c r="G1809" s="8" t="n">
        <f aca="false">IFERROR(INDEX('TRANS'!$B:$B,MATCH($B1809,'TRANS'!$A:$A,0)),IFERROR(INDEX('TRANS'!$B:$B,MATCH(TRIM(SUBSTITUTE($B1809,CHAR(160)," ")),'TRANS'!$D:$D,0)),IFERROR(INDEX('Catalog'!$A:$A,MATCH($B1809,'Catalog'!$B:$B,0)),IFERROR(INDEX('Catalog'!$A:$A,MATCH(TRIM(SUBSTITUTE($B1809,CHAR(160)," ")),'Catalog'!$C:$C,0)),""))))</f>
        <v>4413522</v>
      </c>
      <c r="H1809" s="8" t="str">
        <f aca="false">IFERROR(INDEX('TRANS'!$C:$C,MATCH($B1809,'TRANS'!$A:$A,0)),IFERROR(INDEX('Catalog'!$B:$B,MATCH($G1809,'Catalog'!$A:$A,0)),$B1809))</f>
        <v>מדרסי אפיק ג'ל מולט.ספורט43-47</v>
      </c>
      <c r="I1809" s="8" t="str">
        <f aca="false">IF($G1809="","Unmatched","Matched")</f>
        <v>Matched</v>
      </c>
      <c r="J1809" s="8" t="n">
        <f aca="false">IF($G1809&lt;&gt;"",$G1809,$B1809)</f>
        <v>4413522</v>
      </c>
      <c r="K1809" s="8" t="str">
        <f aca="false">IF(COUNTIF($M$1:$M$10,$A1809)&gt;0,"Y","N")</f>
        <v>Y</v>
      </c>
    </row>
    <row r="1810" customFormat="false" ht="15" hidden="false" customHeight="true" outlineLevel="0" collapsed="false">
      <c r="A1810" s="8" t="s">
        <v>54</v>
      </c>
      <c r="B1810" s="8" t="s">
        <v>875</v>
      </c>
      <c r="C1810" s="19" t="n">
        <v>0</v>
      </c>
      <c r="D1810" s="19" t="n">
        <v>0</v>
      </c>
      <c r="E1810" s="19" t="n">
        <v>10</v>
      </c>
      <c r="F1810" s="19" t="n">
        <v>1018.54</v>
      </c>
      <c r="G1810" s="8" t="n">
        <f aca="false">IFERROR(INDEX('TRANS'!$B:$B,MATCH($B1810,'TRANS'!$A:$A,0)),IFERROR(INDEX('TRANS'!$B:$B,MATCH(TRIM(SUBSTITUTE($B1810,CHAR(160)," ")),'TRANS'!$D:$D,0)),IFERROR(INDEX('Catalog'!$A:$A,MATCH($B1810,'Catalog'!$B:$B,0)),IFERROR(INDEX('Catalog'!$A:$A,MATCH(TRIM(SUBSTITUTE($B1810,CHAR(160)," ")),'Catalog'!$C:$C,0)),""))))</f>
        <v>4413527</v>
      </c>
      <c r="H1810" s="8" t="str">
        <f aca="false">IFERROR(INDEX('TRANS'!$C:$C,MATCH($B1810,'TRANS'!$A:$A,0)),IFERROR(INDEX('Catalog'!$B:$B,MATCH($G1810,'Catalog'!$A:$A,0)),$B1810))</f>
        <v>35-38 מדרסי אפיק ג'ל עבודה</v>
      </c>
      <c r="I1810" s="8" t="str">
        <f aca="false">IF($G1810="","Unmatched","Matched")</f>
        <v>Matched</v>
      </c>
      <c r="J1810" s="8" t="n">
        <f aca="false">IF($G1810&lt;&gt;"",$G1810,$B1810)</f>
        <v>4413527</v>
      </c>
      <c r="K1810" s="8" t="str">
        <f aca="false">IF(COUNTIF($M$1:$M$10,$A1810)&gt;0,"Y","N")</f>
        <v>Y</v>
      </c>
    </row>
    <row r="1811" customFormat="false" ht="15" hidden="false" customHeight="true" outlineLevel="0" collapsed="false">
      <c r="A1811" s="8" t="s">
        <v>54</v>
      </c>
      <c r="B1811" s="8" t="s">
        <v>876</v>
      </c>
      <c r="C1811" s="19" t="n">
        <v>0</v>
      </c>
      <c r="D1811" s="19" t="n">
        <v>0</v>
      </c>
      <c r="E1811" s="19" t="n">
        <v>9</v>
      </c>
      <c r="F1811" s="19" t="n">
        <v>950.74</v>
      </c>
      <c r="G1811" s="8" t="n">
        <f aca="false">IFERROR(INDEX('TRANS'!$B:$B,MATCH($B1811,'TRANS'!$A:$A,0)),IFERROR(INDEX('TRANS'!$B:$B,MATCH(TRIM(SUBSTITUTE($B1811,CHAR(160)," ")),'TRANS'!$D:$D,0)),IFERROR(INDEX('Catalog'!$A:$A,MATCH($B1811,'Catalog'!$B:$B,0)),IFERROR(INDEX('Catalog'!$A:$A,MATCH(TRIM(SUBSTITUTE($B1811,CHAR(160)," ")),'Catalog'!$C:$C,0)),""))))</f>
        <v>4413528</v>
      </c>
      <c r="H1811" s="8" t="str">
        <f aca="false">IFERROR(INDEX('TRANS'!$C:$C,MATCH($B1811,'TRANS'!$A:$A,0)),IFERROR(INDEX('Catalog'!$B:$B,MATCH($G1811,'Catalog'!$A:$A,0)),$B1811))</f>
        <v>39-42 מדרסי אפיק ג'ל עבודה</v>
      </c>
      <c r="I1811" s="8" t="str">
        <f aca="false">IF($G1811="","Unmatched","Matched")</f>
        <v>Matched</v>
      </c>
      <c r="J1811" s="8" t="n">
        <f aca="false">IF($G1811&lt;&gt;"",$G1811,$B1811)</f>
        <v>4413528</v>
      </c>
      <c r="K1811" s="8" t="str">
        <f aca="false">IF(COUNTIF($M$1:$M$10,$A1811)&gt;0,"Y","N")</f>
        <v>Y</v>
      </c>
    </row>
    <row r="1812" customFormat="false" ht="15" hidden="false" customHeight="true" outlineLevel="0" collapsed="false">
      <c r="A1812" s="8" t="s">
        <v>54</v>
      </c>
      <c r="B1812" s="8" t="s">
        <v>877</v>
      </c>
      <c r="C1812" s="19" t="n">
        <v>0</v>
      </c>
      <c r="D1812" s="19" t="n">
        <v>0</v>
      </c>
      <c r="E1812" s="19" t="n">
        <v>19</v>
      </c>
      <c r="F1812" s="19" t="n">
        <v>2059.82</v>
      </c>
      <c r="G1812" s="8" t="n">
        <f aca="false">IFERROR(INDEX('TRANS'!$B:$B,MATCH($B1812,'TRANS'!$A:$A,0)),IFERROR(INDEX('TRANS'!$B:$B,MATCH(TRIM(SUBSTITUTE($B1812,CHAR(160)," ")),'TRANS'!$D:$D,0)),IFERROR(INDEX('Catalog'!$A:$A,MATCH($B1812,'Catalog'!$B:$B,0)),IFERROR(INDEX('Catalog'!$A:$A,MATCH(TRIM(SUBSTITUTE($B1812,CHAR(160)," ")),'Catalog'!$C:$C,0)),""))))</f>
        <v>4413529</v>
      </c>
      <c r="H1812" s="8" t="str">
        <f aca="false">IFERROR(INDEX('TRANS'!$C:$C,MATCH($B1812,'TRANS'!$A:$A,0)),IFERROR(INDEX('Catalog'!$B:$B,MATCH($G1812,'Catalog'!$A:$A,0)),$B1812))</f>
        <v>43-47 מדרסי אפיק ג'ל עבודה</v>
      </c>
      <c r="I1812" s="8" t="str">
        <f aca="false">IF($G1812="","Unmatched","Matched")</f>
        <v>Matched</v>
      </c>
      <c r="J1812" s="8" t="n">
        <f aca="false">IF($G1812&lt;&gt;"",$G1812,$B1812)</f>
        <v>4413529</v>
      </c>
      <c r="K1812" s="8" t="str">
        <f aca="false">IF(COUNTIF($M$1:$M$10,$A1812)&gt;0,"Y","N")</f>
        <v>Y</v>
      </c>
    </row>
    <row r="1813" customFormat="false" ht="15" hidden="false" customHeight="true" outlineLevel="0" collapsed="false">
      <c r="A1813" s="8" t="s">
        <v>54</v>
      </c>
      <c r="B1813" s="8" t="s">
        <v>670</v>
      </c>
      <c r="C1813" s="19" t="n">
        <v>0</v>
      </c>
      <c r="D1813" s="19" t="n">
        <v>0</v>
      </c>
      <c r="E1813" s="19" t="n">
        <v>1</v>
      </c>
      <c r="F1813" s="19" t="n">
        <v>51.98</v>
      </c>
      <c r="G1813" s="8" t="n">
        <f aca="false">IFERROR(INDEX('TRANS'!$B:$B,MATCH($B1813,'TRANS'!$A:$A,0)),IFERROR(INDEX('TRANS'!$B:$B,MATCH(TRIM(SUBSTITUTE($B1813,CHAR(160)," ")),'TRANS'!$D:$D,0)),IFERROR(INDEX('Catalog'!$A:$A,MATCH($B1813,'Catalog'!$B:$B,0)),IFERROR(INDEX('Catalog'!$A:$A,MATCH(TRIM(SUBSTITUTE($B1813,CHAR(160)," ")),'Catalog'!$C:$C,0)),""))))</f>
        <v>4420016</v>
      </c>
      <c r="H1813" s="8" t="str">
        <f aca="false">IFERROR(INDEX('TRANS'!$C:$C,MATCH($B1813,'TRANS'!$A:$A,0)),IFERROR(INDEX('Catalog'!$B:$B,MATCH($G1813,'Catalog'!$A:$A,0)),$B1813))</f>
        <v>40-רצועת פיקה לברך</v>
      </c>
      <c r="I1813" s="8" t="str">
        <f aca="false">IF($G1813="","Unmatched","Matched")</f>
        <v>Matched</v>
      </c>
      <c r="J1813" s="8" t="n">
        <f aca="false">IF($G1813&lt;&gt;"",$G1813,$B1813)</f>
        <v>4420016</v>
      </c>
      <c r="K1813" s="8" t="str">
        <f aca="false">IF(COUNTIF($M$1:$M$10,$A1813)&gt;0,"Y","N")</f>
        <v>Y</v>
      </c>
    </row>
    <row r="1814" customFormat="false" ht="15" hidden="false" customHeight="true" outlineLevel="0" collapsed="false">
      <c r="A1814" s="8" t="s">
        <v>54</v>
      </c>
      <c r="B1814" s="8" t="s">
        <v>675</v>
      </c>
      <c r="C1814" s="19" t="n">
        <v>2</v>
      </c>
      <c r="D1814" s="19" t="n">
        <v>61.78</v>
      </c>
      <c r="E1814" s="19" t="n">
        <v>6</v>
      </c>
      <c r="F1814" s="19" t="n">
        <v>185.35</v>
      </c>
      <c r="G1814" s="8" t="n">
        <f aca="false">IFERROR(INDEX('TRANS'!$B:$B,MATCH($B1814,'TRANS'!$A:$A,0)),IFERROR(INDEX('TRANS'!$B:$B,MATCH(TRIM(SUBSTITUTE($B1814,CHAR(160)," ")),'TRANS'!$D:$D,0)),IFERROR(INDEX('Catalog'!$A:$A,MATCH($B1814,'Catalog'!$B:$B,0)),IFERROR(INDEX('Catalog'!$A:$A,MATCH(TRIM(SUBSTITUTE($B1814,CHAR(160)," ")),'Catalog'!$C:$C,0)),""))))</f>
        <v>4413495</v>
      </c>
      <c r="H1814" s="8" t="str">
        <f aca="false">IFERROR(INDEX('TRANS'!$C:$C,MATCH($B1814,'TRANS'!$A:$A,0)),IFERROR(INDEX('Catalog'!$B:$B,MATCH($G1814,'Catalog'!$A:$A,0)),$B1814))</f>
        <v>45B L מגן ברך שחור</v>
      </c>
      <c r="I1814" s="8" t="str">
        <f aca="false">IF($G1814="","Unmatched","Matched")</f>
        <v>Matched</v>
      </c>
      <c r="J1814" s="8" t="n">
        <f aca="false">IF($G1814&lt;&gt;"",$G1814,$B1814)</f>
        <v>4413495</v>
      </c>
      <c r="K1814" s="8" t="str">
        <f aca="false">IF(COUNTIF($M$1:$M$10,$A1814)&gt;0,"Y","N")</f>
        <v>Y</v>
      </c>
    </row>
    <row r="1815" customFormat="false" ht="15" hidden="false" customHeight="true" outlineLevel="0" collapsed="false">
      <c r="A1815" s="8" t="s">
        <v>54</v>
      </c>
      <c r="B1815" s="8" t="s">
        <v>802</v>
      </c>
      <c r="C1815" s="19" t="n">
        <v>2</v>
      </c>
      <c r="D1815" s="19" t="n">
        <v>61.78</v>
      </c>
      <c r="E1815" s="19" t="n">
        <v>5</v>
      </c>
      <c r="F1815" s="19" t="n">
        <v>154.46</v>
      </c>
      <c r="G1815" s="8" t="n">
        <f aca="false">IFERROR(INDEX('TRANS'!$B:$B,MATCH($B1815,'TRANS'!$A:$A,0)),IFERROR(INDEX('TRANS'!$B:$B,MATCH(TRIM(SUBSTITUTE($B1815,CHAR(160)," ")),'TRANS'!$D:$D,0)),IFERROR(INDEX('Catalog'!$A:$A,MATCH($B1815,'Catalog'!$B:$B,0)),IFERROR(INDEX('Catalog'!$A:$A,MATCH(TRIM(SUBSTITUTE($B1815,CHAR(160)," ")),'Catalog'!$C:$C,0)),""))))</f>
        <v>4413496</v>
      </c>
      <c r="H1815" s="8" t="str">
        <f aca="false">IFERROR(INDEX('TRANS'!$C:$C,MATCH($B1815,'TRANS'!$A:$A,0)),IFERROR(INDEX('Catalog'!$B:$B,MATCH($G1815,'Catalog'!$A:$A,0)),$B1815))</f>
        <v>45B XL מגן ברך שחור</v>
      </c>
      <c r="I1815" s="8" t="str">
        <f aca="false">IF($G1815="","Unmatched","Matched")</f>
        <v>Matched</v>
      </c>
      <c r="J1815" s="8" t="n">
        <f aca="false">IF($G1815&lt;&gt;"",$G1815,$B1815)</f>
        <v>4413496</v>
      </c>
      <c r="K1815" s="8" t="str">
        <f aca="false">IF(COUNTIF($M$1:$M$10,$A1815)&gt;0,"Y","N")</f>
        <v>Y</v>
      </c>
    </row>
    <row r="1816" customFormat="false" ht="15" hidden="false" customHeight="true" outlineLevel="0" collapsed="false">
      <c r="A1816" s="8" t="s">
        <v>54</v>
      </c>
      <c r="B1816" s="8" t="s">
        <v>55</v>
      </c>
      <c r="C1816" s="19" t="n">
        <v>0</v>
      </c>
      <c r="D1816" s="19" t="n">
        <v>0</v>
      </c>
      <c r="E1816" s="19" t="n">
        <v>10</v>
      </c>
      <c r="F1816" s="19" t="n">
        <v>32.25</v>
      </c>
      <c r="G1816" s="8" t="str">
        <f aca="false">IFERROR(INDEX('TRANS'!$B:$B,MATCH($B1816,'TRANS'!$A:$A,0)),IFERROR(INDEX('TRANS'!$B:$B,MATCH(TRIM(SUBSTITUTE($B1816,CHAR(160)," ")),'TRANS'!$D:$D,0)),IFERROR(INDEX('Catalog'!$A:$A,MATCH($B1816,'Catalog'!$B:$B,0)),IFERROR(INDEX('Catalog'!$A:$A,MATCH(TRIM(SUBSTITUTE($B1816,CHAR(160)," ")),'Catalog'!$C:$C,0)),""))))</f>
        <v/>
      </c>
      <c r="H1816" s="8" t="str">
        <f aca="false">IFERROR(INDEX('TRANS'!$C:$C,MATCH($B1816,'TRANS'!$A:$A,0)),IFERROR(INDEX('Catalog'!$B:$B,MATCH($G1816,'Catalog'!$A:$A,0)),$B1816))</f>
        <v>8011 0</v>
      </c>
      <c r="I1816" s="8" t="str">
        <f aca="false">IF($G1816="","Unmatched","Matched")</f>
        <v>Unmatched</v>
      </c>
      <c r="J1816" s="8" t="str">
        <f aca="false">IF($G1816&lt;&gt;"",$G1816,$B1816)</f>
        <v>8011 0</v>
      </c>
      <c r="K1816" s="8" t="str">
        <f aca="false">IF(COUNTIF($M$1:$M$10,$A1816)&gt;0,"Y","N")</f>
        <v>Y</v>
      </c>
    </row>
    <row r="1817" customFormat="false" ht="15" hidden="false" customHeight="true" outlineLevel="0" collapsed="false">
      <c r="A1817" s="8" t="s">
        <v>54</v>
      </c>
      <c r="B1817" s="8" t="s">
        <v>697</v>
      </c>
      <c r="C1817" s="19" t="n">
        <v>0</v>
      </c>
      <c r="D1817" s="19" t="n">
        <v>0</v>
      </c>
      <c r="E1817" s="19" t="n">
        <v>7</v>
      </c>
      <c r="F1817" s="19" t="n">
        <v>121.06</v>
      </c>
      <c r="G1817" s="8" t="n">
        <f aca="false">IFERROR(INDEX('TRANS'!$B:$B,MATCH($B1817,'TRANS'!$A:$A,0)),IFERROR(INDEX('TRANS'!$B:$B,MATCH(TRIM(SUBSTITUTE($B1817,CHAR(160)," ")),'TRANS'!$D:$D,0)),IFERROR(INDEX('Catalog'!$A:$A,MATCH($B1817,'Catalog'!$B:$B,0)),IFERROR(INDEX('Catalog'!$A:$A,MATCH(TRIM(SUBSTITUTE($B1817,CHAR(160)," ")),'Catalog'!$C:$C,0)),""))))</f>
        <v>4409011</v>
      </c>
      <c r="H1817" s="8" t="str">
        <f aca="false">IFERROR(INDEX('TRANS'!$C:$C,MATCH($B1817,'TRANS'!$A:$A,0)),IFERROR(INDEX('Catalog'!$B:$B,MATCH($G1817,'Catalog'!$A:$A,0)),$B1817))</f>
        <v>804AT-B      טייפ חבישה לספורט</v>
      </c>
      <c r="I1817" s="8" t="str">
        <f aca="false">IF($G1817="","Unmatched","Matched")</f>
        <v>Matched</v>
      </c>
      <c r="J1817" s="8" t="n">
        <f aca="false">IF($G1817&lt;&gt;"",$G1817,$B1817)</f>
        <v>4409011</v>
      </c>
      <c r="K1817" s="8" t="str">
        <f aca="false">IF(COUNTIF($M$1:$M$10,$A1817)&gt;0,"Y","N")</f>
        <v>Y</v>
      </c>
    </row>
    <row r="1818" customFormat="false" ht="15" hidden="false" customHeight="true" outlineLevel="0" collapsed="false">
      <c r="A1818" s="8" t="s">
        <v>54</v>
      </c>
      <c r="B1818" s="8" t="s">
        <v>698</v>
      </c>
      <c r="C1818" s="19" t="n">
        <v>4</v>
      </c>
      <c r="D1818" s="19" t="n">
        <v>69.18</v>
      </c>
      <c r="E1818" s="19" t="n">
        <v>3</v>
      </c>
      <c r="F1818" s="19" t="n">
        <v>51.88</v>
      </c>
      <c r="G1818" s="8" t="n">
        <f aca="false">IFERROR(INDEX('TRANS'!$B:$B,MATCH($B1818,'TRANS'!$A:$A,0)),IFERROR(INDEX('TRANS'!$B:$B,MATCH(TRIM(SUBSTITUTE($B1818,CHAR(160)," ")),'TRANS'!$D:$D,0)),IFERROR(INDEX('Catalog'!$A:$A,MATCH($B1818,'Catalog'!$B:$B,0)),IFERROR(INDEX('Catalog'!$A:$A,MATCH(TRIM(SUBSTITUTE($B1818,CHAR(160)," ")),'Catalog'!$C:$C,0)),""))))</f>
        <v>4409013</v>
      </c>
      <c r="H1818" s="8" t="str">
        <f aca="false">IFERROR(INDEX('TRANS'!$C:$C,MATCH($B1818,'TRANS'!$A:$A,0)),IFERROR(INDEX('Catalog'!$B:$B,MATCH($G1818,'Catalog'!$A:$A,0)),$B1818))</f>
        <v>804AT-BL     טייפ חבישה לספורט</v>
      </c>
      <c r="I1818" s="8" t="str">
        <f aca="false">IF($G1818="","Unmatched","Matched")</f>
        <v>Matched</v>
      </c>
      <c r="J1818" s="8" t="n">
        <f aca="false">IF($G1818&lt;&gt;"",$G1818,$B1818)</f>
        <v>4409013</v>
      </c>
      <c r="K1818" s="8" t="str">
        <f aca="false">IF(COUNTIF($M$1:$M$10,$A1818)&gt;0,"Y","N")</f>
        <v>Y</v>
      </c>
    </row>
    <row r="1819" customFormat="false" ht="15" hidden="false" customHeight="true" outlineLevel="0" collapsed="false">
      <c r="A1819" s="8" t="s">
        <v>54</v>
      </c>
      <c r="B1819" s="8" t="s">
        <v>699</v>
      </c>
      <c r="C1819" s="19" t="n">
        <v>0</v>
      </c>
      <c r="D1819" s="19" t="n">
        <v>0</v>
      </c>
      <c r="E1819" s="19" t="n">
        <v>3</v>
      </c>
      <c r="F1819" s="19" t="n">
        <v>51.88</v>
      </c>
      <c r="G1819" s="8" t="n">
        <f aca="false">IFERROR(INDEX('TRANS'!$B:$B,MATCH($B1819,'TRANS'!$A:$A,0)),IFERROR(INDEX('TRANS'!$B:$B,MATCH(TRIM(SUBSTITUTE($B1819,CHAR(160)," ")),'TRANS'!$D:$D,0)),IFERROR(INDEX('Catalog'!$A:$A,MATCH($B1819,'Catalog'!$B:$B,0)),IFERROR(INDEX('Catalog'!$A:$A,MATCH(TRIM(SUBSTITUTE($B1819,CHAR(160)," ")),'Catalog'!$C:$C,0)),""))))</f>
        <v>4409012</v>
      </c>
      <c r="H1819" s="8" t="str">
        <f aca="false">IFERROR(INDEX('TRANS'!$C:$C,MATCH($B1819,'TRANS'!$A:$A,0)),IFERROR(INDEX('Catalog'!$B:$B,MATCH($G1819,'Catalog'!$A:$A,0)),$B1819))</f>
        <v>804AT-C      טייפ חבישה לספורט</v>
      </c>
      <c r="I1819" s="8" t="str">
        <f aca="false">IF($G1819="","Unmatched","Matched")</f>
        <v>Matched</v>
      </c>
      <c r="J1819" s="8" t="n">
        <f aca="false">IF($G1819&lt;&gt;"",$G1819,$B1819)</f>
        <v>4409012</v>
      </c>
      <c r="K1819" s="8" t="str">
        <f aca="false">IF(COUNTIF($M$1:$M$10,$A1819)&gt;0,"Y","N")</f>
        <v>Y</v>
      </c>
    </row>
    <row r="1820" customFormat="false" ht="15" hidden="false" customHeight="true" outlineLevel="0" collapsed="false">
      <c r="A1820" s="8" t="s">
        <v>54</v>
      </c>
      <c r="B1820" s="8" t="s">
        <v>705</v>
      </c>
      <c r="C1820" s="19" t="n">
        <v>3</v>
      </c>
      <c r="D1820" s="19" t="n">
        <v>90</v>
      </c>
      <c r="E1820" s="19" t="n">
        <v>4</v>
      </c>
      <c r="F1820" s="19" t="n">
        <v>189.18</v>
      </c>
      <c r="G1820" s="8" t="n">
        <f aca="false">IFERROR(INDEX('TRANS'!$B:$B,MATCH($B1820,'TRANS'!$A:$A,0)),IFERROR(INDEX('TRANS'!$B:$B,MATCH(TRIM(SUBSTITUTE($B1820,CHAR(160)," ")),'TRANS'!$D:$D,0)),IFERROR(INDEX('Catalog'!$A:$A,MATCH($B1820,'Catalog'!$B:$B,0)),IFERROR(INDEX('Catalog'!$A:$A,MATCH(TRIM(SUBSTITUTE($B1820,CHAR(160)," ")),'Catalog'!$C:$C,0)),""))))</f>
        <v>4409017</v>
      </c>
      <c r="H1820" s="8" t="str">
        <f aca="false">IFERROR(INDEX('TRANS'!$C:$C,MATCH($B1820,'TRANS'!$A:$A,0)),IFERROR(INDEX('Catalog'!$B:$B,MATCH($G1820,'Catalog'!$A:$A,0)),$B1820))</f>
        <v>808KT-B        טייפ קינזיולוגי</v>
      </c>
      <c r="I1820" s="8" t="str">
        <f aca="false">IF($G1820="","Unmatched","Matched")</f>
        <v>Matched</v>
      </c>
      <c r="J1820" s="8" t="n">
        <f aca="false">IF($G1820&lt;&gt;"",$G1820,$B1820)</f>
        <v>4409017</v>
      </c>
      <c r="K1820" s="8" t="str">
        <f aca="false">IF(COUNTIF($M$1:$M$10,$A1820)&gt;0,"Y","N")</f>
        <v>Y</v>
      </c>
    </row>
    <row r="1821" customFormat="false" ht="15" hidden="false" customHeight="true" outlineLevel="0" collapsed="false">
      <c r="A1821" s="8" t="s">
        <v>54</v>
      </c>
      <c r="B1821" s="8" t="s">
        <v>87</v>
      </c>
      <c r="C1821" s="19" t="n">
        <v>0</v>
      </c>
      <c r="D1821" s="19" t="n">
        <v>0</v>
      </c>
      <c r="E1821" s="19" t="n">
        <v>3</v>
      </c>
      <c r="F1821" s="19" t="n">
        <v>141.68</v>
      </c>
      <c r="G1821" s="8" t="str">
        <f aca="false">IFERROR(INDEX('TRANS'!$B:$B,MATCH($B1821,'TRANS'!$A:$A,0)),IFERROR(INDEX('TRANS'!$B:$B,MATCH(TRIM(SUBSTITUTE($B1821,CHAR(160)," ")),'TRANS'!$D:$D,0)),IFERROR(INDEX('Catalog'!$A:$A,MATCH($B1821,'Catalog'!$B:$B,0)),IFERROR(INDEX('Catalog'!$A:$A,MATCH(TRIM(SUBSTITUTE($B1821,CHAR(160)," ")),'Catalog'!$C:$C,0)),""))))</f>
        <v/>
      </c>
      <c r="H1821" s="8" t="str">
        <f aca="false">IFERROR(INDEX('TRANS'!$C:$C,MATCH($B1821,'TRANS'!$A:$A,0)),IFERROR(INDEX('Catalog'!$B:$B,MATCH($G1821,'Catalog'!$A:$A,0)),$B1821))</f>
        <v>808KTP-C</v>
      </c>
      <c r="I1821" s="8" t="str">
        <f aca="false">IF($G1821="","Unmatched","Matched")</f>
        <v>Unmatched</v>
      </c>
      <c r="J1821" s="8" t="str">
        <f aca="false">IF($G1821&lt;&gt;"",$G1821,$B1821)</f>
        <v>808KTP-C</v>
      </c>
      <c r="K1821" s="8" t="str">
        <f aca="false">IF(COUNTIF($M$1:$M$10,$A1821)&gt;0,"Y","N")</f>
        <v>Y</v>
      </c>
    </row>
    <row r="1822" customFormat="false" ht="15" hidden="false" customHeight="true" outlineLevel="0" collapsed="false">
      <c r="A1822" s="8" t="s">
        <v>54</v>
      </c>
      <c r="B1822" s="8" t="s">
        <v>833</v>
      </c>
      <c r="C1822" s="19" t="n">
        <v>3</v>
      </c>
      <c r="D1822" s="19" t="n">
        <v>252.97</v>
      </c>
      <c r="E1822" s="19" t="n">
        <v>6</v>
      </c>
      <c r="F1822" s="19" t="n">
        <v>447.97</v>
      </c>
      <c r="G1822" s="8" t="n">
        <f aca="false">IFERROR(INDEX('TRANS'!$B:$B,MATCH($B1822,'TRANS'!$A:$A,0)),IFERROR(INDEX('TRANS'!$B:$B,MATCH(TRIM(SUBSTITUTE($B1822,CHAR(160)," ")),'TRANS'!$D:$D,0)),IFERROR(INDEX('Catalog'!$A:$A,MATCH($B1822,'Catalog'!$B:$B,0)),IFERROR(INDEX('Catalog'!$A:$A,MATCH(TRIM(SUBSTITUTE($B1822,CHAR(160)," ")),'Catalog'!$C:$C,0)),""))))</f>
        <v>4408266</v>
      </c>
      <c r="H1822" s="8" t="str">
        <f aca="false">IFERROR(INDEX('TRANS'!$C:$C,MATCH($B1822,'TRANS'!$A:$A,0)),IFERROR(INDEX('Catalog'!$B:$B,MATCH($G1822,'Catalog'!$A:$A,0)),$B1822))</f>
        <v>91B חבק טניס אלבו</v>
      </c>
      <c r="I1822" s="8" t="str">
        <f aca="false">IF($G1822="","Unmatched","Matched")</f>
        <v>Matched</v>
      </c>
      <c r="J1822" s="8" t="n">
        <f aca="false">IF($G1822&lt;&gt;"",$G1822,$B1822)</f>
        <v>4408266</v>
      </c>
      <c r="K1822" s="8" t="str">
        <f aca="false">IF(COUNTIF($M$1:$M$10,$A1822)&gt;0,"Y","N")</f>
        <v>Y</v>
      </c>
    </row>
    <row r="1823" customFormat="false" ht="15" hidden="false" customHeight="true" outlineLevel="0" collapsed="false">
      <c r="A1823" s="8" t="s">
        <v>54</v>
      </c>
      <c r="B1823" s="8" t="s">
        <v>717</v>
      </c>
      <c r="C1823" s="19" t="n">
        <v>2</v>
      </c>
      <c r="D1823" s="19" t="n">
        <v>61.78</v>
      </c>
      <c r="E1823" s="19" t="n">
        <v>3</v>
      </c>
      <c r="F1823" s="19" t="n">
        <v>92.68</v>
      </c>
      <c r="G1823" s="8" t="n">
        <f aca="false">IFERROR(INDEX('TRANS'!$B:$B,MATCH($B1823,'TRANS'!$A:$A,0)),IFERROR(INDEX('TRANS'!$B:$B,MATCH(TRIM(SUBSTITUTE($B1823,CHAR(160)," ")),'TRANS'!$D:$D,0)),IFERROR(INDEX('Catalog'!$A:$A,MATCH($B1823,'Catalog'!$B:$B,0)),IFERROR(INDEX('Catalog'!$A:$A,MATCH(TRIM(SUBSTITUTE($B1823,CHAR(160)," ")),'Catalog'!$C:$C,0)),""))))</f>
        <v>4413500</v>
      </c>
      <c r="H1823" s="8" t="str">
        <f aca="false">IFERROR(INDEX('TRANS'!$C:$C,MATCH($B1823,'TRANS'!$A:$A,0)),IFERROR(INDEX('Catalog'!$B:$B,MATCH($G1823,'Catalog'!$A:$A,0)),$B1823))</f>
        <v>95B L מגן מרפק שחור</v>
      </c>
      <c r="I1823" s="8" t="str">
        <f aca="false">IF($G1823="","Unmatched","Matched")</f>
        <v>Matched</v>
      </c>
      <c r="J1823" s="8" t="n">
        <f aca="false">IF($G1823&lt;&gt;"",$G1823,$B1823)</f>
        <v>4413500</v>
      </c>
      <c r="K1823" s="8" t="str">
        <f aca="false">IF(COUNTIF($M$1:$M$10,$A1823)&gt;0,"Y","N")</f>
        <v>Y</v>
      </c>
    </row>
    <row r="1824" customFormat="false" ht="15" hidden="false" customHeight="true" outlineLevel="0" collapsed="false">
      <c r="A1824" s="8" t="s">
        <v>54</v>
      </c>
      <c r="B1824" s="8" t="s">
        <v>720</v>
      </c>
      <c r="C1824" s="19" t="n">
        <v>2</v>
      </c>
      <c r="D1824" s="19" t="n">
        <v>61.78</v>
      </c>
      <c r="E1824" s="19" t="n">
        <v>0</v>
      </c>
      <c r="F1824" s="19" t="n">
        <v>0</v>
      </c>
      <c r="G1824" s="8" t="n">
        <f aca="false">IFERROR(INDEX('TRANS'!$B:$B,MATCH($B1824,'TRANS'!$A:$A,0)),IFERROR(INDEX('TRANS'!$B:$B,MATCH(TRIM(SUBSTITUTE($B1824,CHAR(160)," ")),'TRANS'!$D:$D,0)),IFERROR(INDEX('Catalog'!$A:$A,MATCH($B1824,'Catalog'!$B:$B,0)),IFERROR(INDEX('Catalog'!$A:$A,MATCH(TRIM(SUBSTITUTE($B1824,CHAR(160)," ")),'Catalog'!$C:$C,0)),""))))</f>
        <v>4413503</v>
      </c>
      <c r="H1824" s="8" t="str">
        <f aca="false">IFERROR(INDEX('TRANS'!$C:$C,MATCH($B1824,'TRANS'!$A:$A,0)),IFERROR(INDEX('Catalog'!$B:$B,MATCH($G1824,'Catalog'!$A:$A,0)),$B1824))</f>
        <v>95B XL מגן מרפק שחור</v>
      </c>
      <c r="I1824" s="8" t="str">
        <f aca="false">IF($G1824="","Unmatched","Matched")</f>
        <v>Matched</v>
      </c>
      <c r="J1824" s="8" t="n">
        <f aca="false">IF($G1824&lt;&gt;"",$G1824,$B1824)</f>
        <v>4413503</v>
      </c>
      <c r="K1824" s="8" t="str">
        <f aca="false">IF(COUNTIF($M$1:$M$10,$A1824)&gt;0,"Y","N")</f>
        <v>Y</v>
      </c>
    </row>
    <row r="1825" customFormat="false" ht="15" hidden="false" customHeight="true" outlineLevel="0" collapsed="false">
      <c r="A1825" s="8" t="s">
        <v>54</v>
      </c>
      <c r="B1825" s="8" t="s">
        <v>721</v>
      </c>
      <c r="C1825" s="19" t="n">
        <v>0</v>
      </c>
      <c r="D1825" s="19" t="n">
        <v>0</v>
      </c>
      <c r="E1825" s="19" t="n">
        <v>2</v>
      </c>
      <c r="F1825" s="19" t="n">
        <v>61.79</v>
      </c>
      <c r="G1825" s="8" t="n">
        <f aca="false">IFERROR(INDEX('TRANS'!$B:$B,MATCH($B1825,'TRANS'!$A:$A,0)),IFERROR(INDEX('TRANS'!$B:$B,MATCH(TRIM(SUBSTITUTE($B1825,CHAR(160)," ")),'TRANS'!$D:$D,0)),IFERROR(INDEX('Catalog'!$A:$A,MATCH($B1825,'Catalog'!$B:$B,0)),IFERROR(INDEX('Catalog'!$A:$A,MATCH(TRIM(SUBSTITUTE($B1825,CHAR(160)," ")),'Catalog'!$C:$C,0)),""))))</f>
        <v>4413365</v>
      </c>
      <c r="H1825" s="8" t="str">
        <f aca="false">IFERROR(INDEX('TRANS'!$C:$C,MATCH($B1825,'TRANS'!$A:$A,0)),IFERROR(INDEX('Catalog'!$B:$B,MATCH($G1825,'Catalog'!$A:$A,0)),$B1825))</f>
        <v>95C L 'מגן מרפק בז</v>
      </c>
      <c r="I1825" s="8" t="str">
        <f aca="false">IF($G1825="","Unmatched","Matched")</f>
        <v>Matched</v>
      </c>
      <c r="J1825" s="8" t="n">
        <f aca="false">IF($G1825&lt;&gt;"",$G1825,$B1825)</f>
        <v>4413365</v>
      </c>
      <c r="K1825" s="8" t="str">
        <f aca="false">IF(COUNTIF($M$1:$M$10,$A1825)&gt;0,"Y","N")</f>
        <v>Y</v>
      </c>
    </row>
    <row r="1826" customFormat="false" ht="15" hidden="false" customHeight="true" outlineLevel="0" collapsed="false">
      <c r="A1826" s="8" t="s">
        <v>54</v>
      </c>
      <c r="B1826" s="8" t="s">
        <v>723</v>
      </c>
      <c r="C1826" s="19" t="n">
        <v>0</v>
      </c>
      <c r="D1826" s="19" t="n">
        <v>0</v>
      </c>
      <c r="E1826" s="19" t="n">
        <v>6</v>
      </c>
      <c r="F1826" s="19" t="n">
        <v>562.3</v>
      </c>
      <c r="G1826" s="8" t="n">
        <f aca="false">IFERROR(INDEX('TRANS'!$B:$B,MATCH($B1826,'TRANS'!$A:$A,0)),IFERROR(INDEX('TRANS'!$B:$B,MATCH(TRIM(SUBSTITUTE($B1826,CHAR(160)," ")),'TRANS'!$D:$D,0)),IFERROR(INDEX('Catalog'!$A:$A,MATCH($B1826,'Catalog'!$B:$B,0)),IFERROR(INDEX('Catalog'!$A:$A,MATCH(TRIM(SUBSTITUTE($B1826,CHAR(160)," ")),'Catalog'!$C:$C,0)),""))))</f>
        <v>4408205</v>
      </c>
      <c r="H1826" s="8" t="str">
        <f aca="false">IFERROR(INDEX('TRANS'!$C:$C,MATCH($B1826,'TRANS'!$A:$A,0)),IFERROR(INDEX('Catalog'!$B:$B,MATCH($G1826,'Catalog'!$A:$A,0)),$B1826))</f>
        <v>AC-07 חגורת גב עם תמיכות</v>
      </c>
      <c r="I1826" s="8" t="str">
        <f aca="false">IF($G1826="","Unmatched","Matched")</f>
        <v>Matched</v>
      </c>
      <c r="J1826" s="8" t="n">
        <f aca="false">IF($G1826&lt;&gt;"",$G1826,$B1826)</f>
        <v>4408205</v>
      </c>
      <c r="K1826" s="8" t="str">
        <f aca="false">IF(COUNTIF($M$1:$M$10,$A1826)&gt;0,"Y","N")</f>
        <v>Y</v>
      </c>
    </row>
    <row r="1827" customFormat="false" ht="15" hidden="false" customHeight="true" outlineLevel="0" collapsed="false">
      <c r="A1827" s="8" t="s">
        <v>54</v>
      </c>
      <c r="B1827" s="8" t="s">
        <v>558</v>
      </c>
      <c r="C1827" s="19" t="n">
        <v>6</v>
      </c>
      <c r="D1827" s="19" t="n">
        <v>435.64</v>
      </c>
      <c r="E1827" s="19" t="n">
        <v>33</v>
      </c>
      <c r="F1827" s="19" t="n">
        <v>2628.46</v>
      </c>
      <c r="G1827" s="8" t="n">
        <f aca="false">IFERROR(INDEX('TRANS'!$B:$B,MATCH($B1827,'TRANS'!$A:$A,0)),IFERROR(INDEX('TRANS'!$B:$B,MATCH(TRIM(SUBSTITUTE($B1827,CHAR(160)," ")),'TRANS'!$D:$D,0)),IFERROR(INDEX('Catalog'!$A:$A,MATCH($B1827,'Catalog'!$B:$B,0)),IFERROR(INDEX('Catalog'!$A:$A,MATCH(TRIM(SUBSTITUTE($B1827,CHAR(160)," ")),'Catalog'!$C:$C,0)),""))))</f>
        <v>4413453</v>
      </c>
      <c r="H1827" s="8" t="str">
        <f aca="false">IFERROR(INDEX('TRANS'!$C:$C,MATCH($B1827,'TRANS'!$A:$A,0)),IFERROR(INDEX('Catalog'!$B:$B,MATCH($G1827,'Catalog'!$A:$A,0)),$B1827))</f>
        <v>AC75 מישר כתפיים אקטיב</v>
      </c>
      <c r="I1827" s="8" t="str">
        <f aca="false">IF($G1827="","Unmatched","Matched")</f>
        <v>Matched</v>
      </c>
      <c r="J1827" s="8" t="n">
        <f aca="false">IF($G1827&lt;&gt;"",$G1827,$B1827)</f>
        <v>4413453</v>
      </c>
      <c r="K1827" s="8" t="str">
        <f aca="false">IF(COUNTIF($M$1:$M$10,$A1827)&gt;0,"Y","N")</f>
        <v>Y</v>
      </c>
    </row>
    <row r="1828" customFormat="false" ht="15" hidden="false" customHeight="true" outlineLevel="0" collapsed="false">
      <c r="A1828" s="8" t="s">
        <v>54</v>
      </c>
      <c r="B1828" s="8" t="s">
        <v>733</v>
      </c>
      <c r="C1828" s="19" t="n">
        <v>0</v>
      </c>
      <c r="D1828" s="19" t="n">
        <v>0</v>
      </c>
      <c r="E1828" s="19" t="n">
        <v>10</v>
      </c>
      <c r="F1828" s="19" t="n">
        <v>397.94</v>
      </c>
      <c r="G1828" s="8" t="n">
        <f aca="false">IFERROR(INDEX('TRANS'!$B:$B,MATCH($B1828,'TRANS'!$A:$A,0)),IFERROR(INDEX('TRANS'!$B:$B,MATCH(TRIM(SUBSTITUTE($B1828,CHAR(160)," ")),'TRANS'!$D:$D,0)),IFERROR(INDEX('Catalog'!$A:$A,MATCH($B1828,'Catalog'!$B:$B,0)),IFERROR(INDEX('Catalog'!$A:$A,MATCH(TRIM(SUBSTITUTE($B1828,CHAR(160)," ")),'Catalog'!$C:$C,0)),""))))</f>
        <v>4408208</v>
      </c>
      <c r="H1828" s="8" t="str">
        <f aca="false">IFERROR(INDEX('TRANS'!$C:$C,MATCH($B1828,'TRANS'!$A:$A,0)),IFERROR(INDEX('Catalog'!$B:$B,MATCH($G1828,'Catalog'!$A:$A,0)),$B1828))</f>
        <v>AC91 חבק טניס</v>
      </c>
      <c r="I1828" s="8" t="str">
        <f aca="false">IF($G1828="","Unmatched","Matched")</f>
        <v>Matched</v>
      </c>
      <c r="J1828" s="8" t="n">
        <f aca="false">IF($G1828&lt;&gt;"",$G1828,$B1828)</f>
        <v>4408208</v>
      </c>
      <c r="K1828" s="8" t="str">
        <f aca="false">IF(COUNTIF($M$1:$M$10,$A1828)&gt;0,"Y","N")</f>
        <v>Y</v>
      </c>
    </row>
    <row r="1829" customFormat="false" ht="15" hidden="false" customHeight="true" outlineLevel="0" collapsed="false">
      <c r="A1829" s="8" t="s">
        <v>54</v>
      </c>
      <c r="B1829" s="8" t="s">
        <v>747</v>
      </c>
      <c r="C1829" s="19" t="n">
        <v>3</v>
      </c>
      <c r="D1829" s="19" t="n">
        <v>231.88</v>
      </c>
      <c r="E1829" s="19" t="n">
        <v>-4</v>
      </c>
      <c r="F1829" s="19" t="n">
        <v>-374.7</v>
      </c>
      <c r="G1829" s="8" t="n">
        <f aca="false">IFERROR(INDEX('TRANS'!$B:$B,MATCH($B1829,'TRANS'!$A:$A,0)),IFERROR(INDEX('TRANS'!$B:$B,MATCH(TRIM(SUBSTITUTE($B1829,CHAR(160)," ")),'TRANS'!$D:$D,0)),IFERROR(INDEX('Catalog'!$A:$A,MATCH($B1829,'Catalog'!$B:$B,0)),IFERROR(INDEX('Catalog'!$A:$A,MATCH(TRIM(SUBSTITUTE($B1829,CHAR(160)," ")),'Catalog'!$C:$C,0)),""))))</f>
        <v>4408249</v>
      </c>
      <c r="H1829" s="8" t="str">
        <f aca="false">IFERROR(INDEX('TRANS'!$C:$C,MATCH($B1829,'TRANS'!$A:$A,0)),IFERROR(INDEX('Catalog'!$B:$B,MATCH($G1829,'Catalog'!$A:$A,0)),$B1829))</f>
        <v>SC25  L חבק יד</v>
      </c>
      <c r="I1829" s="8" t="str">
        <f aca="false">IF($G1829="","Unmatched","Matched")</f>
        <v>Matched</v>
      </c>
      <c r="J1829" s="8" t="n">
        <f aca="false">IF($G1829&lt;&gt;"",$G1829,$B1829)</f>
        <v>4408249</v>
      </c>
      <c r="K1829" s="8" t="str">
        <f aca="false">IF(COUNTIF($M$1:$M$10,$A1829)&gt;0,"Y","N")</f>
        <v>Y</v>
      </c>
    </row>
    <row r="1830" customFormat="false" ht="15" hidden="false" customHeight="true" outlineLevel="0" collapsed="false">
      <c r="A1830" s="8" t="s">
        <v>54</v>
      </c>
      <c r="B1830" s="8" t="s">
        <v>748</v>
      </c>
      <c r="C1830" s="19" t="n">
        <v>0</v>
      </c>
      <c r="D1830" s="19" t="n">
        <v>0</v>
      </c>
      <c r="E1830" s="19" t="n">
        <v>4</v>
      </c>
      <c r="F1830" s="19" t="n">
        <v>374.7</v>
      </c>
      <c r="G1830" s="8" t="n">
        <f aca="false">IFERROR(INDEX('TRANS'!$B:$B,MATCH($B1830,'TRANS'!$A:$A,0)),IFERROR(INDEX('TRANS'!$B:$B,MATCH(TRIM(SUBSTITUTE($B1830,CHAR(160)," ")),'TRANS'!$D:$D,0)),IFERROR(INDEX('Catalog'!$A:$A,MATCH($B1830,'Catalog'!$B:$B,0)),IFERROR(INDEX('Catalog'!$A:$A,MATCH(TRIM(SUBSTITUTE($B1830,CHAR(160)," ")),'Catalog'!$C:$C,0)),""))))</f>
        <v>4408248</v>
      </c>
      <c r="H1830" s="8" t="str">
        <f aca="false">IFERROR(INDEX('TRANS'!$C:$C,MATCH($B1830,'TRANS'!$A:$A,0)),IFERROR(INDEX('Catalog'!$B:$B,MATCH($G1830,'Catalog'!$A:$A,0)),$B1830))</f>
        <v>SC25  M חבק יד</v>
      </c>
      <c r="I1830" s="8" t="str">
        <f aca="false">IF($G1830="","Unmatched","Matched")</f>
        <v>Matched</v>
      </c>
      <c r="J1830" s="8" t="n">
        <f aca="false">IF($G1830&lt;&gt;"",$G1830,$B1830)</f>
        <v>4408248</v>
      </c>
      <c r="K1830" s="8" t="str">
        <f aca="false">IF(COUNTIF($M$1:$M$10,$A1830)&gt;0,"Y","N")</f>
        <v>Y</v>
      </c>
    </row>
    <row r="1831" customFormat="false" ht="15" hidden="false" customHeight="true" outlineLevel="0" collapsed="false">
      <c r="A1831" s="8" t="s">
        <v>54</v>
      </c>
      <c r="B1831" s="8" t="s">
        <v>749</v>
      </c>
      <c r="C1831" s="19" t="n">
        <v>0</v>
      </c>
      <c r="D1831" s="19" t="n">
        <v>0</v>
      </c>
      <c r="E1831" s="19" t="n">
        <v>3</v>
      </c>
      <c r="F1831" s="19" t="n">
        <v>281.02</v>
      </c>
      <c r="G1831" s="8" t="n">
        <f aca="false">IFERROR(INDEX('TRANS'!$B:$B,MATCH($B1831,'TRANS'!$A:$A,0)),IFERROR(INDEX('TRANS'!$B:$B,MATCH(TRIM(SUBSTITUTE($B1831,CHAR(160)," ")),'TRANS'!$D:$D,0)),IFERROR(INDEX('Catalog'!$A:$A,MATCH($B1831,'Catalog'!$B:$B,0)),IFERROR(INDEX('Catalog'!$A:$A,MATCH(TRIM(SUBSTITUTE($B1831,CHAR(160)," ")),'Catalog'!$C:$C,0)),""))))</f>
        <v>4408247</v>
      </c>
      <c r="H1831" s="8" t="str">
        <f aca="false">IFERROR(INDEX('TRANS'!$C:$C,MATCH($B1831,'TRANS'!$A:$A,0)),IFERROR(INDEX('Catalog'!$B:$B,MATCH($G1831,'Catalog'!$A:$A,0)),$B1831))</f>
        <v>SC25  S חבק יד</v>
      </c>
      <c r="I1831" s="8" t="str">
        <f aca="false">IF($G1831="","Unmatched","Matched")</f>
        <v>Matched</v>
      </c>
      <c r="J1831" s="8" t="n">
        <f aca="false">IF($G1831&lt;&gt;"",$G1831,$B1831)</f>
        <v>4408247</v>
      </c>
      <c r="K1831" s="8" t="str">
        <f aca="false">IF(COUNTIF($M$1:$M$10,$A1831)&gt;0,"Y","N")</f>
        <v>Y</v>
      </c>
    </row>
    <row r="1832" customFormat="false" ht="15" hidden="false" customHeight="true" outlineLevel="0" collapsed="false">
      <c r="A1832" s="8" t="s">
        <v>54</v>
      </c>
      <c r="B1832" s="8" t="s">
        <v>750</v>
      </c>
      <c r="C1832" s="19" t="n">
        <v>0</v>
      </c>
      <c r="D1832" s="19" t="n">
        <v>0</v>
      </c>
      <c r="E1832" s="19" t="n">
        <v>5</v>
      </c>
      <c r="F1832" s="19" t="n">
        <v>468.37</v>
      </c>
      <c r="G1832" s="8" t="n">
        <f aca="false">IFERROR(INDEX('TRANS'!$B:$B,MATCH($B1832,'TRANS'!$A:$A,0)),IFERROR(INDEX('TRANS'!$B:$B,MATCH(TRIM(SUBSTITUTE($B1832,CHAR(160)," ")),'TRANS'!$D:$D,0)),IFERROR(INDEX('Catalog'!$A:$A,MATCH($B1832,'Catalog'!$B:$B,0)),IFERROR(INDEX('Catalog'!$A:$A,MATCH(TRIM(SUBSTITUTE($B1832,CHAR(160)," ")),'Catalog'!$C:$C,0)),""))))</f>
        <v>4408250</v>
      </c>
      <c r="H1832" s="8" t="str">
        <f aca="false">IFERROR(INDEX('TRANS'!$C:$C,MATCH($B1832,'TRANS'!$A:$A,0)),IFERROR(INDEX('Catalog'!$B:$B,MATCH($G1832,'Catalog'!$A:$A,0)),$B1832))</f>
        <v>SC25 XL חבק יד</v>
      </c>
      <c r="I1832" s="8" t="str">
        <f aca="false">IF($G1832="","Unmatched","Matched")</f>
        <v>Matched</v>
      </c>
      <c r="J1832" s="8" t="n">
        <f aca="false">IF($G1832&lt;&gt;"",$G1832,$B1832)</f>
        <v>4408250</v>
      </c>
      <c r="K1832" s="8" t="str">
        <f aca="false">IF(COUNTIF($M$1:$M$10,$A1832)&gt;0,"Y","N")</f>
        <v>Y</v>
      </c>
    </row>
    <row r="1833" customFormat="false" ht="15" hidden="false" customHeight="true" outlineLevel="0" collapsed="false">
      <c r="A1833" s="8" t="s">
        <v>54</v>
      </c>
      <c r="B1833" s="8" t="s">
        <v>767</v>
      </c>
      <c r="C1833" s="19" t="n">
        <v>12</v>
      </c>
      <c r="D1833" s="19" t="n">
        <v>426.86</v>
      </c>
      <c r="E1833" s="19" t="n">
        <v>5</v>
      </c>
      <c r="F1833" s="19" t="n">
        <v>177.86</v>
      </c>
      <c r="G1833" s="8" t="n">
        <f aca="false">IFERROR(INDEX('TRANS'!$B:$B,MATCH($B1833,'TRANS'!$A:$A,0)),IFERROR(INDEX('TRANS'!$B:$B,MATCH(TRIM(SUBSTITUTE($B1833,CHAR(160)," ")),'TRANS'!$D:$D,0)),IFERROR(INDEX('Catalog'!$A:$A,MATCH($B1833,'Catalog'!$B:$B,0)),IFERROR(INDEX('Catalog'!$A:$A,MATCH(TRIM(SUBSTITUTE($B1833,CHAR(160)," ")),'Catalog'!$C:$C,0)),""))))</f>
        <v>4408095</v>
      </c>
      <c r="H1833" s="8" t="str">
        <f aca="false">IFERROR(INDEX('TRANS'!$C:$C,MATCH($B1833,'TRANS'!$A:$A,0)),IFERROR(INDEX('Catalog'!$B:$B,MATCH($G1833,'Catalog'!$A:$A,0)),$B1833))</f>
        <v>T20 L-XL  חבק יד עם צמדן</v>
      </c>
      <c r="I1833" s="8" t="str">
        <f aca="false">IF($G1833="","Unmatched","Matched")</f>
        <v>Matched</v>
      </c>
      <c r="J1833" s="8" t="n">
        <f aca="false">IF($G1833&lt;&gt;"",$G1833,$B1833)</f>
        <v>4408095</v>
      </c>
      <c r="K1833" s="8" t="str">
        <f aca="false">IF(COUNTIF($M$1:$M$10,$A1833)&gt;0,"Y","N")</f>
        <v>Y</v>
      </c>
    </row>
    <row r="1834" customFormat="false" ht="15" hidden="false" customHeight="true" outlineLevel="0" collapsed="false">
      <c r="A1834" s="8" t="s">
        <v>54</v>
      </c>
      <c r="B1834" s="8" t="s">
        <v>770</v>
      </c>
      <c r="C1834" s="19" t="n">
        <v>0</v>
      </c>
      <c r="D1834" s="19" t="n">
        <v>0</v>
      </c>
      <c r="E1834" s="19" t="n">
        <v>5</v>
      </c>
      <c r="F1834" s="19" t="n">
        <v>234.11</v>
      </c>
      <c r="G1834" s="8" t="n">
        <f aca="false">IFERROR(INDEX('TRANS'!$B:$B,MATCH($B1834,'TRANS'!$A:$A,0)),IFERROR(INDEX('TRANS'!$B:$B,MATCH(TRIM(SUBSTITUTE($B1834,CHAR(160)," ")),'TRANS'!$D:$D,0)),IFERROR(INDEX('Catalog'!$A:$A,MATCH($B1834,'Catalog'!$B:$B,0)),IFERROR(INDEX('Catalog'!$A:$A,MATCH(TRIM(SUBSTITUTE($B1834,CHAR(160)," ")),'Catalog'!$C:$C,0)),""))))</f>
        <v>4408098</v>
      </c>
      <c r="H1834" s="8" t="str">
        <f aca="false">IFERROR(INDEX('TRANS'!$C:$C,MATCH($B1834,'TRANS'!$A:$A,0)),IFERROR(INDEX('Catalog'!$B:$B,MATCH($G1834,'Catalog'!$A:$A,0)),$B1834))</f>
        <v>T25-חבק יד אגודלי</v>
      </c>
      <c r="I1834" s="8" t="str">
        <f aca="false">IF($G1834="","Unmatched","Matched")</f>
        <v>Matched</v>
      </c>
      <c r="J1834" s="8" t="n">
        <f aca="false">IF($G1834&lt;&gt;"",$G1834,$B1834)</f>
        <v>4408098</v>
      </c>
      <c r="K1834" s="8" t="str">
        <f aca="false">IF(COUNTIF($M$1:$M$10,$A1834)&gt;0,"Y","N")</f>
        <v>Y</v>
      </c>
    </row>
    <row r="1835" customFormat="false" ht="15" hidden="false" customHeight="true" outlineLevel="0" collapsed="false">
      <c r="A1835" s="8" t="s">
        <v>54</v>
      </c>
      <c r="B1835" s="8" t="s">
        <v>920</v>
      </c>
      <c r="C1835" s="19" t="n">
        <v>1</v>
      </c>
      <c r="D1835" s="19" t="n">
        <v>118.38</v>
      </c>
      <c r="E1835" s="19" t="n">
        <v>0</v>
      </c>
      <c r="F1835" s="19" t="n">
        <v>0</v>
      </c>
      <c r="G1835" s="8" t="n">
        <f aca="false">IFERROR(INDEX('TRANS'!$B:$B,MATCH($B1835,'TRANS'!$A:$A,0)),IFERROR(INDEX('TRANS'!$B:$B,MATCH(TRIM(SUBSTITUTE($B1835,CHAR(160)," ")),'TRANS'!$D:$D,0)),IFERROR(INDEX('Catalog'!$A:$A,MATCH($B1835,'Catalog'!$B:$B,0)),IFERROR(INDEX('Catalog'!$A:$A,MATCH(TRIM(SUBSTITUTE($B1835,CHAR(160)," ")),'Catalog'!$C:$C,0)),""))))</f>
        <v>4413018</v>
      </c>
      <c r="H1835" s="8" t="str">
        <f aca="false">IFERROR(INDEX('TRANS'!$C:$C,MATCH($B1835,'TRANS'!$A:$A,0)),IFERROR(INDEX('Catalog'!$B:$B,MATCH($G1835,'Catalog'!$A:$A,0)),$B1835))</f>
        <v>303 37-38 מדרסי סיליק.לח.סכרת</v>
      </c>
      <c r="I1835" s="8" t="str">
        <f aca="false">IF($G1835="","Unmatched","Matched")</f>
        <v>Matched</v>
      </c>
      <c r="J1835" s="8" t="n">
        <f aca="false">IF($G1835&lt;&gt;"",$G1835,$B1835)</f>
        <v>4413018</v>
      </c>
      <c r="K1835" s="8" t="str">
        <f aca="false">IF(COUNTIF($M$1:$M$10,$A1835)&gt;0,"Y","N")</f>
        <v>Y</v>
      </c>
    </row>
    <row r="1836" customFormat="false" ht="15" hidden="false" customHeight="true" outlineLevel="0" collapsed="false">
      <c r="A1836" s="8" t="s">
        <v>54</v>
      </c>
      <c r="B1836" s="8" t="s">
        <v>126</v>
      </c>
      <c r="C1836" s="19" t="n">
        <v>2</v>
      </c>
      <c r="D1836" s="19" t="n">
        <v>236.92</v>
      </c>
      <c r="E1836" s="19" t="n">
        <v>0</v>
      </c>
      <c r="F1836" s="19" t="n">
        <v>0</v>
      </c>
      <c r="G1836" s="8" t="str">
        <f aca="false">IFERROR(INDEX('TRANS'!$B:$B,MATCH($B1836,'TRANS'!$A:$A,0)),IFERROR(INDEX('TRANS'!$B:$B,MATCH(TRIM(SUBSTITUTE($B1836,CHAR(160)," ")),'TRANS'!$D:$D,0)),IFERROR(INDEX('Catalog'!$A:$A,MATCH($B1836,'Catalog'!$B:$B,0)),IFERROR(INDEX('Catalog'!$A:$A,MATCH(TRIM(SUBSTITUTE($B1836,CHAR(160)," ")),'Catalog'!$C:$C,0)),""))))</f>
        <v/>
      </c>
      <c r="H1836" s="8" t="str">
        <f aca="false">IFERROR(INDEX('TRANS'!$C:$C,MATCH($B1836,'TRANS'!$A:$A,0)),IFERROR(INDEX('Catalog'!$B:$B,MATCH($G1836,'Catalog'!$A:$A,0)),$B1836))</f>
        <v>303-39-40</v>
      </c>
      <c r="I1836" s="8" t="str">
        <f aca="false">IF($G1836="","Unmatched","Matched")</f>
        <v>Unmatched</v>
      </c>
      <c r="J1836" s="8" t="str">
        <f aca="false">IF($G1836&lt;&gt;"",$G1836,$B1836)</f>
        <v>303-39-40</v>
      </c>
      <c r="K1836" s="8" t="str">
        <f aca="false">IF(COUNTIF($M$1:$M$10,$A1836)&gt;0,"Y","N")</f>
        <v>Y</v>
      </c>
    </row>
    <row r="1837" customFormat="false" ht="15" hidden="false" customHeight="true" outlineLevel="0" collapsed="false">
      <c r="A1837" s="8" t="s">
        <v>54</v>
      </c>
      <c r="B1837" s="8" t="s">
        <v>921</v>
      </c>
      <c r="C1837" s="19" t="n">
        <v>2</v>
      </c>
      <c r="D1837" s="19" t="n">
        <v>236.93</v>
      </c>
      <c r="E1837" s="19" t="n">
        <v>0</v>
      </c>
      <c r="F1837" s="19" t="n">
        <v>0</v>
      </c>
      <c r="G1837" s="8" t="n">
        <f aca="false">IFERROR(INDEX('TRANS'!$B:$B,MATCH($B1837,'TRANS'!$A:$A,0)),IFERROR(INDEX('TRANS'!$B:$B,MATCH(TRIM(SUBSTITUTE($B1837,CHAR(160)," ")),'TRANS'!$D:$D,0)),IFERROR(INDEX('Catalog'!$A:$A,MATCH($B1837,'Catalog'!$B:$B,0)),IFERROR(INDEX('Catalog'!$A:$A,MATCH(TRIM(SUBSTITUTE($B1837,CHAR(160)," ")),'Catalog'!$C:$C,0)),""))))</f>
        <v>4413020</v>
      </c>
      <c r="H1837" s="8" t="str">
        <f aca="false">IFERROR(INDEX('TRANS'!$C:$C,MATCH($B1837,'TRANS'!$A:$A,0)),IFERROR(INDEX('Catalog'!$B:$B,MATCH($G1837,'Catalog'!$A:$A,0)),$B1837))</f>
        <v>303 41-42 מדרסי סיליק.לח.סכרת</v>
      </c>
      <c r="I1837" s="8" t="str">
        <f aca="false">IF($G1837="","Unmatched","Matched")</f>
        <v>Matched</v>
      </c>
      <c r="J1837" s="8" t="n">
        <f aca="false">IF($G1837&lt;&gt;"",$G1837,$B1837)</f>
        <v>4413020</v>
      </c>
      <c r="K1837" s="8" t="str">
        <f aca="false">IF(COUNTIF($M$1:$M$10,$A1837)&gt;0,"Y","N")</f>
        <v>Y</v>
      </c>
    </row>
    <row r="1838" customFormat="false" ht="15" hidden="false" customHeight="true" outlineLevel="0" collapsed="false">
      <c r="A1838" s="8" t="s">
        <v>54</v>
      </c>
      <c r="B1838" s="8" t="s">
        <v>111</v>
      </c>
      <c r="C1838" s="19" t="n">
        <v>3</v>
      </c>
      <c r="D1838" s="19" t="n">
        <v>355.32</v>
      </c>
      <c r="E1838" s="19" t="n">
        <v>0</v>
      </c>
      <c r="F1838" s="19" t="n">
        <v>0</v>
      </c>
      <c r="G1838" s="8" t="str">
        <f aca="false">IFERROR(INDEX('TRANS'!$B:$B,MATCH($B1838,'TRANS'!$A:$A,0)),IFERROR(INDEX('TRANS'!$B:$B,MATCH(TRIM(SUBSTITUTE($B1838,CHAR(160)," ")),'TRANS'!$D:$D,0)),IFERROR(INDEX('Catalog'!$A:$A,MATCH($B1838,'Catalog'!$B:$B,0)),IFERROR(INDEX('Catalog'!$A:$A,MATCH(TRIM(SUBSTITUTE($B1838,CHAR(160)," ")),'Catalog'!$C:$C,0)),""))))</f>
        <v/>
      </c>
      <c r="H1838" s="8" t="str">
        <f aca="false">IFERROR(INDEX('TRANS'!$C:$C,MATCH($B1838,'TRANS'!$A:$A,0)),IFERROR(INDEX('Catalog'!$B:$B,MATCH($G1838,'Catalog'!$A:$A,0)),$B1838))</f>
        <v>303-43-44</v>
      </c>
      <c r="I1838" s="8" t="str">
        <f aca="false">IF($G1838="","Unmatched","Matched")</f>
        <v>Unmatched</v>
      </c>
      <c r="J1838" s="8" t="str">
        <f aca="false">IF($G1838&lt;&gt;"",$G1838,$B1838)</f>
        <v>303-43-44</v>
      </c>
      <c r="K1838" s="8" t="str">
        <f aca="false">IF(COUNTIF($M$1:$M$10,$A1838)&gt;0,"Y","N")</f>
        <v>Y</v>
      </c>
    </row>
    <row r="1839" customFormat="false" ht="15" hidden="false" customHeight="true" outlineLevel="0" collapsed="false">
      <c r="A1839" s="8" t="s">
        <v>54</v>
      </c>
      <c r="B1839" s="8" t="s">
        <v>922</v>
      </c>
      <c r="C1839" s="19" t="n">
        <v>3</v>
      </c>
      <c r="D1839" s="19" t="n">
        <v>355.14</v>
      </c>
      <c r="E1839" s="19" t="n">
        <v>0</v>
      </c>
      <c r="F1839" s="19" t="n">
        <v>0</v>
      </c>
      <c r="G1839" s="8" t="n">
        <f aca="false">IFERROR(INDEX('TRANS'!$B:$B,MATCH($B1839,'TRANS'!$A:$A,0)),IFERROR(INDEX('TRANS'!$B:$B,MATCH(TRIM(SUBSTITUTE($B1839,CHAR(160)," ")),'TRANS'!$D:$D,0)),IFERROR(INDEX('Catalog'!$A:$A,MATCH($B1839,'Catalog'!$B:$B,0)),IFERROR(INDEX('Catalog'!$A:$A,MATCH(TRIM(SUBSTITUTE($B1839,CHAR(160)," ")),'Catalog'!$C:$C,0)),""))))</f>
        <v>4413022</v>
      </c>
      <c r="H1839" s="8" t="str">
        <f aca="false">IFERROR(INDEX('TRANS'!$C:$C,MATCH($B1839,'TRANS'!$A:$A,0)),IFERROR(INDEX('Catalog'!$B:$B,MATCH($G1839,'Catalog'!$A:$A,0)),$B1839))</f>
        <v>303 45-46 מדרסי סיליק.לח.סכרת</v>
      </c>
      <c r="I1839" s="8" t="str">
        <f aca="false">IF($G1839="","Unmatched","Matched")</f>
        <v>Matched</v>
      </c>
      <c r="J1839" s="8" t="n">
        <f aca="false">IF($G1839&lt;&gt;"",$G1839,$B1839)</f>
        <v>4413022</v>
      </c>
      <c r="K1839" s="8" t="str">
        <f aca="false">IF(COUNTIF($M$1:$M$10,$A1839)&gt;0,"Y","N")</f>
        <v>Y</v>
      </c>
    </row>
    <row r="1840" customFormat="false" ht="15" hidden="false" customHeight="true" outlineLevel="0" collapsed="false">
      <c r="A1840" s="8" t="s">
        <v>54</v>
      </c>
      <c r="B1840" s="8" t="s">
        <v>602</v>
      </c>
      <c r="C1840" s="19" t="n">
        <v>3</v>
      </c>
      <c r="D1840" s="19" t="n">
        <v>276.87</v>
      </c>
      <c r="E1840" s="19" t="n">
        <v>2</v>
      </c>
      <c r="F1840" s="19" t="n">
        <v>184.58</v>
      </c>
      <c r="G1840" s="8" t="n">
        <f aca="false">IFERROR(INDEX('TRANS'!$B:$B,MATCH($B1840,'TRANS'!$A:$A,0)),IFERROR(INDEX('TRANS'!$B:$B,MATCH(TRIM(SUBSTITUTE($B1840,CHAR(160)," ")),'TRANS'!$D:$D,0)),IFERROR(INDEX('Catalog'!$A:$A,MATCH($B1840,'Catalog'!$B:$B,0)),IFERROR(INDEX('Catalog'!$A:$A,MATCH(TRIM(SUBSTITUTE($B1840,CHAR(160)," ")),'Catalog'!$C:$C,0)),""))))</f>
        <v>4416001</v>
      </c>
      <c r="H1840" s="8" t="str">
        <f aca="false">IFERROR(INDEX('TRANS'!$C:$C,MATCH($B1840,'TRANS'!$A:$A,0)),IFERROR(INDEX('Catalog'!$B:$B,MATCH($G1840,'Catalog'!$A:$A,0)),$B1840))</f>
        <v>307 M עקבים לדורבן-זוג כריות</v>
      </c>
      <c r="I1840" s="8" t="str">
        <f aca="false">IF($G1840="","Unmatched","Matched")</f>
        <v>Matched</v>
      </c>
      <c r="J1840" s="8" t="n">
        <f aca="false">IF($G1840&lt;&gt;"",$G1840,$B1840)</f>
        <v>4416001</v>
      </c>
      <c r="K1840" s="8" t="str">
        <f aca="false">IF(COUNTIF($M$1:$M$10,$A1840)&gt;0,"Y","N")</f>
        <v>Y</v>
      </c>
    </row>
    <row r="1841" customFormat="false" ht="15" hidden="false" customHeight="true" outlineLevel="0" collapsed="false">
      <c r="A1841" s="8" t="s">
        <v>54</v>
      </c>
      <c r="B1841" s="8" t="s">
        <v>960</v>
      </c>
      <c r="C1841" s="19" t="n">
        <v>1</v>
      </c>
      <c r="D1841" s="19" t="n">
        <v>92.29</v>
      </c>
      <c r="E1841" s="19" t="n">
        <v>2</v>
      </c>
      <c r="F1841" s="19" t="n">
        <v>184.58</v>
      </c>
      <c r="G1841" s="8" t="n">
        <f aca="false">IFERROR(INDEX('TRANS'!$B:$B,MATCH($B1841,'TRANS'!$A:$A,0)),IFERROR(INDEX('TRANS'!$B:$B,MATCH(TRIM(SUBSTITUTE($B1841,CHAR(160)," ")),'TRANS'!$D:$D,0)),IFERROR(INDEX('Catalog'!$A:$A,MATCH($B1841,'Catalog'!$B:$B,0)),IFERROR(INDEX('Catalog'!$A:$A,MATCH(TRIM(SUBSTITUTE($B1841,CHAR(160)," ")),'Catalog'!$C:$C,0)),""))))</f>
        <v>4416002</v>
      </c>
      <c r="H1841" s="8" t="str">
        <f aca="false">IFERROR(INDEX('TRANS'!$C:$C,MATCH($B1841,'TRANS'!$A:$A,0)),IFERROR(INDEX('Catalog'!$B:$B,MATCH($G1841,'Catalog'!$A:$A,0)),$B1841))</f>
        <v>307 S עקבים לדורבן-זוג כריות</v>
      </c>
      <c r="I1841" s="8" t="str">
        <f aca="false">IF($G1841="","Unmatched","Matched")</f>
        <v>Matched</v>
      </c>
      <c r="J1841" s="8" t="n">
        <f aca="false">IF($G1841&lt;&gt;"",$G1841,$B1841)</f>
        <v>4416002</v>
      </c>
      <c r="K1841" s="8" t="str">
        <f aca="false">IF(COUNTIF($M$1:$M$10,$A1841)&gt;0,"Y","N")</f>
        <v>Y</v>
      </c>
    </row>
    <row r="1842" customFormat="false" ht="15" hidden="false" customHeight="true" outlineLevel="0" collapsed="false">
      <c r="A1842" s="8" t="s">
        <v>54</v>
      </c>
      <c r="B1842" s="8" t="s">
        <v>909</v>
      </c>
      <c r="C1842" s="19" t="n">
        <v>3</v>
      </c>
      <c r="D1842" s="19" t="n">
        <v>182.65</v>
      </c>
      <c r="E1842" s="19" t="n">
        <v>2</v>
      </c>
      <c r="F1842" s="19" t="n">
        <v>121.76</v>
      </c>
      <c r="G1842" s="8" t="n">
        <f aca="false">IFERROR(INDEX('TRANS'!$B:$B,MATCH($B1842,'TRANS'!$A:$A,0)),IFERROR(INDEX('TRANS'!$B:$B,MATCH(TRIM(SUBSTITUTE($B1842,CHAR(160)," ")),'TRANS'!$D:$D,0)),IFERROR(INDEX('Catalog'!$A:$A,MATCH($B1842,'Catalog'!$B:$B,0)),IFERROR(INDEX('Catalog'!$A:$A,MATCH(TRIM(SUBSTITUTE($B1842,CHAR(160)," ")),'Catalog'!$C:$C,0)),""))))</f>
        <v>4416003</v>
      </c>
      <c r="H1842" s="8" t="str">
        <f aca="false">IFERROR(INDEX('TRANS'!$C:$C,MATCH($B1842,'TRANS'!$A:$A,0)),IFERROR(INDEX('Catalog'!$B:$B,MATCH($G1842,'Catalog'!$A:$A,0)),$B1842))</f>
        <v>308 Lעקבים סיליקון כחול לדורבן</v>
      </c>
      <c r="I1842" s="8" t="str">
        <f aca="false">IF($G1842="","Unmatched","Matched")</f>
        <v>Matched</v>
      </c>
      <c r="J1842" s="8" t="n">
        <f aca="false">IF($G1842&lt;&gt;"",$G1842,$B1842)</f>
        <v>4416003</v>
      </c>
      <c r="K1842" s="8" t="str">
        <f aca="false">IF(COUNTIF($M$1:$M$10,$A1842)&gt;0,"Y","N")</f>
        <v>Y</v>
      </c>
    </row>
    <row r="1843" customFormat="false" ht="15" hidden="false" customHeight="true" outlineLevel="0" collapsed="false">
      <c r="A1843" s="8" t="s">
        <v>54</v>
      </c>
      <c r="B1843" s="8" t="s">
        <v>604</v>
      </c>
      <c r="C1843" s="19" t="n">
        <v>3</v>
      </c>
      <c r="D1843" s="19" t="n">
        <v>182.65</v>
      </c>
      <c r="E1843" s="19" t="n">
        <v>2</v>
      </c>
      <c r="F1843" s="19" t="n">
        <v>121.76</v>
      </c>
      <c r="G1843" s="8" t="n">
        <f aca="false">IFERROR(INDEX('TRANS'!$B:$B,MATCH($B1843,'TRANS'!$A:$A,0)),IFERROR(INDEX('TRANS'!$B:$B,MATCH(TRIM(SUBSTITUTE($B1843,CHAR(160)," ")),'TRANS'!$D:$D,0)),IFERROR(INDEX('Catalog'!$A:$A,MATCH($B1843,'Catalog'!$B:$B,0)),IFERROR(INDEX('Catalog'!$A:$A,MATCH(TRIM(SUBSTITUTE($B1843,CHAR(160)," ")),'Catalog'!$C:$C,0)),""))))</f>
        <v>4416005</v>
      </c>
      <c r="H1843" s="8" t="str">
        <f aca="false">IFERROR(INDEX('TRANS'!$C:$C,MATCH($B1843,'TRANS'!$A:$A,0)),IFERROR(INDEX('Catalog'!$B:$B,MATCH($G1843,'Catalog'!$A:$A,0)),$B1843))</f>
        <v>308 Mעקבים סיליק.כחול לדורבן</v>
      </c>
      <c r="I1843" s="8" t="str">
        <f aca="false">IF($G1843="","Unmatched","Matched")</f>
        <v>Matched</v>
      </c>
      <c r="J1843" s="8" t="n">
        <f aca="false">IF($G1843&lt;&gt;"",$G1843,$B1843)</f>
        <v>4416005</v>
      </c>
      <c r="K1843" s="8" t="str">
        <f aca="false">IF(COUNTIF($M$1:$M$10,$A1843)&gt;0,"Y","N")</f>
        <v>Y</v>
      </c>
    </row>
    <row r="1844" customFormat="false" ht="15" hidden="false" customHeight="true" outlineLevel="0" collapsed="false">
      <c r="A1844" s="8" t="s">
        <v>54</v>
      </c>
      <c r="B1844" s="8" t="s">
        <v>625</v>
      </c>
      <c r="C1844" s="19" t="n">
        <v>0</v>
      </c>
      <c r="D1844" s="19" t="n">
        <v>0</v>
      </c>
      <c r="E1844" s="19" t="n">
        <v>10</v>
      </c>
      <c r="F1844" s="19" t="n">
        <v>608.87</v>
      </c>
      <c r="G1844" s="8" t="n">
        <f aca="false">IFERROR(INDEX('TRANS'!$B:$B,MATCH($B1844,'TRANS'!$A:$A,0)),IFERROR(INDEX('TRANS'!$B:$B,MATCH(TRIM(SUBSTITUTE($B1844,CHAR(160)," ")),'TRANS'!$D:$D,0)),IFERROR(INDEX('Catalog'!$A:$A,MATCH($B1844,'Catalog'!$B:$B,0)),IFERROR(INDEX('Catalog'!$A:$A,MATCH(TRIM(SUBSTITUTE($B1844,CHAR(160)," ")),'Catalog'!$C:$C,0)),""))))</f>
        <v>4421001</v>
      </c>
      <c r="H1844" s="8" t="str">
        <f aca="false">IFERROR(INDEX('TRANS'!$C:$C,MATCH($B1844,'TRANS'!$A:$A,0)),IFERROR(INDEX('Catalog'!$B:$B,MATCH($G1844,'Catalog'!$A:$A,0)),$B1844))</f>
        <v>3611 שרוול מטטרזלי מסיליקון</v>
      </c>
      <c r="I1844" s="8" t="str">
        <f aca="false">IF($G1844="","Unmatched","Matched")</f>
        <v>Matched</v>
      </c>
      <c r="J1844" s="8" t="n">
        <f aca="false">IF($G1844&lt;&gt;"",$G1844,$B1844)</f>
        <v>4421001</v>
      </c>
      <c r="K1844" s="8" t="str">
        <f aca="false">IF(COUNTIF($M$1:$M$10,$A1844)&gt;0,"Y","N")</f>
        <v>Y</v>
      </c>
    </row>
    <row r="1845" customFormat="false" ht="15" hidden="false" customHeight="true" outlineLevel="0" collapsed="false">
      <c r="A1845" s="8" t="s">
        <v>54</v>
      </c>
      <c r="B1845" s="8" t="s">
        <v>628</v>
      </c>
      <c r="C1845" s="19" t="n">
        <v>6</v>
      </c>
      <c r="D1845" s="19" t="n">
        <v>171.27</v>
      </c>
      <c r="E1845" s="19" t="n">
        <v>0</v>
      </c>
      <c r="F1845" s="19" t="n">
        <v>0</v>
      </c>
      <c r="G1845" s="8" t="n">
        <f aca="false">IFERROR(INDEX('TRANS'!$B:$B,MATCH($B1845,'TRANS'!$A:$A,0)),IFERROR(INDEX('TRANS'!$B:$B,MATCH(TRIM(SUBSTITUTE($B1845,CHAR(160)," ")),'TRANS'!$D:$D,0)),IFERROR(INDEX('Catalog'!$A:$A,MATCH($B1845,'Catalog'!$B:$B,0)),IFERROR(INDEX('Catalog'!$A:$A,MATCH(TRIM(SUBSTITUTE($B1845,CHAR(160)," ")),'Catalog'!$C:$C,0)),""))))</f>
        <v>4411001</v>
      </c>
      <c r="H1845" s="8" t="str">
        <f aca="false">IFERROR(INDEX('TRANS'!$C:$C,MATCH($B1845,'TRANS'!$A:$A,0)),IFERROR(INDEX('Catalog'!$B:$B,MATCH($G1845,'Catalog'!$A:$A,0)),$B1845))</f>
        <v>3623 כרית ליישור אצבע פטיש</v>
      </c>
      <c r="I1845" s="8" t="str">
        <f aca="false">IF($G1845="","Unmatched","Matched")</f>
        <v>Matched</v>
      </c>
      <c r="J1845" s="8" t="n">
        <f aca="false">IF($G1845&lt;&gt;"",$G1845,$B1845)</f>
        <v>4411001</v>
      </c>
      <c r="K1845" s="8" t="str">
        <f aca="false">IF(COUNTIF($M$1:$M$10,$A1845)&gt;0,"Y","N")</f>
        <v>Y</v>
      </c>
    </row>
    <row r="1846" customFormat="false" ht="15" hidden="false" customHeight="true" outlineLevel="0" collapsed="false">
      <c r="A1846" s="8" t="s">
        <v>54</v>
      </c>
      <c r="B1846" s="8" t="s">
        <v>633</v>
      </c>
      <c r="C1846" s="19" t="n">
        <v>11</v>
      </c>
      <c r="D1846" s="19" t="n">
        <v>205.75</v>
      </c>
      <c r="E1846" s="19" t="n">
        <v>5</v>
      </c>
      <c r="F1846" s="19" t="n">
        <v>81.06</v>
      </c>
      <c r="G1846" s="8" t="n">
        <f aca="false">IFERROR(INDEX('TRANS'!$B:$B,MATCH($B1846,'TRANS'!$A:$A,0)),IFERROR(INDEX('TRANS'!$B:$B,MATCH(TRIM(SUBSTITUTE($B1846,CHAR(160)," ")),'TRANS'!$D:$D,0)),IFERROR(INDEX('Catalog'!$A:$A,MATCH($B1846,'Catalog'!$B:$B,0)),IFERROR(INDEX('Catalog'!$A:$A,MATCH(TRIM(SUBSTITUTE($B1846,CHAR(160)," ")),'Catalog'!$C:$C,0)),""))))</f>
        <v>4421000</v>
      </c>
      <c r="H1846" s="8" t="str">
        <f aca="false">IFERROR(INDEX('TRANS'!$C:$C,MATCH($B1846,'TRANS'!$A:$A,0)),IFERROR(INDEX('Catalog'!$B:$B,MATCH($G1846,'Catalog'!$A:$A,0)),$B1846))</f>
        <v>3655 שרוול מסיליקון לאצבע</v>
      </c>
      <c r="I1846" s="8" t="str">
        <f aca="false">IF($G1846="","Unmatched","Matched")</f>
        <v>Matched</v>
      </c>
      <c r="J1846" s="8" t="n">
        <f aca="false">IF($G1846&lt;&gt;"",$G1846,$B1846)</f>
        <v>4421000</v>
      </c>
      <c r="K1846" s="8" t="str">
        <f aca="false">IF(COUNTIF($M$1:$M$10,$A1846)&gt;0,"Y","N")</f>
        <v>Y</v>
      </c>
    </row>
    <row r="1847" customFormat="false" ht="15" hidden="false" customHeight="true" outlineLevel="0" collapsed="false">
      <c r="A1847" s="8" t="s">
        <v>54</v>
      </c>
      <c r="B1847" s="8" t="s">
        <v>637</v>
      </c>
      <c r="C1847" s="19" t="n">
        <v>8</v>
      </c>
      <c r="D1847" s="19" t="n">
        <v>299.64</v>
      </c>
      <c r="E1847" s="19" t="n">
        <v>0</v>
      </c>
      <c r="F1847" s="19" t="n">
        <v>0</v>
      </c>
      <c r="G1847" s="8" t="n">
        <f aca="false">IFERROR(INDEX('TRANS'!$B:$B,MATCH($B1847,'TRANS'!$A:$A,0)),IFERROR(INDEX('TRANS'!$B:$B,MATCH(TRIM(SUBSTITUTE($B1847,CHAR(160)," ")),'TRANS'!$D:$D,0)),IFERROR(INDEX('Catalog'!$A:$A,MATCH($B1847,'Catalog'!$B:$B,0)),IFERROR(INDEX('Catalog'!$A:$A,MATCH(TRIM(SUBSTITUTE($B1847,CHAR(160)," ")),'Catalog'!$C:$C,0)),""))))</f>
        <v>4421003</v>
      </c>
      <c r="H1847" s="8" t="str">
        <f aca="false">IFERROR(INDEX('TRANS'!$C:$C,MATCH($B1847,'TRANS'!$A:$A,0)),IFERROR(INDEX('Catalog'!$B:$B,MATCH($G1847,'Catalog'!$A:$A,0)),$B1847))</f>
        <v>3672 שרוול מגן לבוניון</v>
      </c>
      <c r="I1847" s="8" t="str">
        <f aca="false">IF($G1847="","Unmatched","Matched")</f>
        <v>Matched</v>
      </c>
      <c r="J1847" s="8" t="n">
        <f aca="false">IF($G1847&lt;&gt;"",$G1847,$B1847)</f>
        <v>4421003</v>
      </c>
      <c r="K1847" s="8" t="str">
        <f aca="false">IF(COUNTIF($M$1:$M$10,$A1847)&gt;0,"Y","N")</f>
        <v>Y</v>
      </c>
    </row>
    <row r="1848" customFormat="false" ht="15" hidden="false" customHeight="true" outlineLevel="0" collapsed="false">
      <c r="A1848" s="8" t="s">
        <v>54</v>
      </c>
      <c r="B1848" s="8" t="s">
        <v>739</v>
      </c>
      <c r="C1848" s="19" t="n">
        <v>0</v>
      </c>
      <c r="D1848" s="19" t="n">
        <v>0</v>
      </c>
      <c r="E1848" s="19" t="n">
        <v>5</v>
      </c>
      <c r="F1848" s="19" t="n">
        <v>119.29</v>
      </c>
      <c r="G1848" s="8" t="n">
        <f aca="false">IFERROR(INDEX('TRANS'!$B:$B,MATCH($B1848,'TRANS'!$A:$A,0)),IFERROR(INDEX('TRANS'!$B:$B,MATCH(TRIM(SUBSTITUTE($B1848,CHAR(160)," ")),'TRANS'!$D:$D,0)),IFERROR(INDEX('Catalog'!$A:$A,MATCH($B1848,'Catalog'!$B:$B,0)),IFERROR(INDEX('Catalog'!$A:$A,MATCH(TRIM(SUBSTITUTE($B1848,CHAR(160)," ")),'Catalog'!$C:$C,0)),""))))</f>
        <v>4413056</v>
      </c>
      <c r="H1848" s="8" t="str">
        <f aca="false">IFERROR(INDEX('TRANS'!$C:$C,MATCH($B1848,'TRANS'!$A:$A,0)),IFERROR(INDEX('Catalog'!$B:$B,MATCH($G1848,'Catalog'!$A:$A,0)),$B1848))</f>
        <v>LF360 מדרס מטטרזלי לנעלי עקב</v>
      </c>
      <c r="I1848" s="8" t="str">
        <f aca="false">IF($G1848="","Unmatched","Matched")</f>
        <v>Matched</v>
      </c>
      <c r="J1848" s="8" t="n">
        <f aca="false">IF($G1848&lt;&gt;"",$G1848,$B1848)</f>
        <v>4413056</v>
      </c>
      <c r="K1848" s="8" t="str">
        <f aca="false">IF(COUNTIF($M$1:$M$10,$A1848)&gt;0,"Y","N")</f>
        <v>Y</v>
      </c>
    </row>
    <row r="1849" customFormat="false" ht="15" hidden="false" customHeight="true" outlineLevel="0" collapsed="false">
      <c r="A1849" s="8" t="s">
        <v>54</v>
      </c>
      <c r="B1849" s="8" t="s">
        <v>1005</v>
      </c>
      <c r="C1849" s="19" t="n">
        <v>0</v>
      </c>
      <c r="D1849" s="19" t="n">
        <v>0</v>
      </c>
      <c r="E1849" s="19" t="n">
        <v>10</v>
      </c>
      <c r="F1849" s="19" t="n">
        <v>285.45</v>
      </c>
      <c r="G1849" s="8" t="n">
        <f aca="false">IFERROR(INDEX('TRANS'!$B:$B,MATCH($B1849,'TRANS'!$A:$A,0)),IFERROR(INDEX('TRANS'!$B:$B,MATCH(TRIM(SUBSTITUTE($B1849,CHAR(160)," ")),'TRANS'!$D:$D,0)),IFERROR(INDEX('Catalog'!$A:$A,MATCH($B1849,'Catalog'!$B:$B,0)),IFERROR(INDEX('Catalog'!$A:$A,MATCH(TRIM(SUBSTITUTE($B1849,CHAR(160)," ")),'Catalog'!$C:$C,0)),""))))</f>
        <v>4420023</v>
      </c>
      <c r="H1849" s="8" t="str">
        <f aca="false">IFERROR(INDEX('TRANS'!$C:$C,MATCH($B1849,'TRANS'!$A:$A,0)),IFERROR(INDEX('Catalog'!$B:$B,MATCH($G1849,'Catalog'!$A:$A,0)),$B1849))</f>
        <v>LF371 ריפוד סיליקון לנעלי אצבע</v>
      </c>
      <c r="I1849" s="8" t="str">
        <f aca="false">IF($G1849="","Unmatched","Matched")</f>
        <v>Matched</v>
      </c>
      <c r="J1849" s="8" t="n">
        <f aca="false">IF($G1849&lt;&gt;"",$G1849,$B1849)</f>
        <v>4420023</v>
      </c>
      <c r="K1849" s="8" t="str">
        <f aca="false">IF(COUNTIF($M$1:$M$10,$A1849)&gt;0,"Y","N")</f>
        <v>Y</v>
      </c>
    </row>
    <row r="1850" customFormat="false" ht="15" hidden="false" customHeight="true" outlineLevel="0" collapsed="false">
      <c r="A1850" s="8" t="s">
        <v>54</v>
      </c>
      <c r="B1850" s="8" t="s">
        <v>830</v>
      </c>
      <c r="C1850" s="19" t="n">
        <v>2</v>
      </c>
      <c r="D1850" s="19" t="n">
        <v>254</v>
      </c>
      <c r="E1850" s="19" t="n">
        <v>0</v>
      </c>
      <c r="F1850" s="19" t="n">
        <v>0</v>
      </c>
      <c r="G1850" s="8" t="n">
        <f aca="false">IFERROR(INDEX('TRANS'!$B:$B,MATCH($B1850,'TRANS'!$A:$A,0)),IFERROR(INDEX('TRANS'!$B:$B,MATCH(TRIM(SUBSTITUTE($B1850,CHAR(160)," ")),'TRANS'!$D:$D,0)),IFERROR(INDEX('Catalog'!$A:$A,MATCH($B1850,'Catalog'!$B:$B,0)),IFERROR(INDEX('Catalog'!$A:$A,MATCH(TRIM(SUBSTITUTE($B1850,CHAR(160)," ")),'Catalog'!$C:$C,0)),""))))</f>
        <v>4413197</v>
      </c>
      <c r="H1850" s="8" t="str">
        <f aca="false">IFERROR(INDEX('TRANS'!$C:$C,MATCH($B1850,'TRANS'!$A:$A,0)),IFERROR(INDEX('Catalog'!$B:$B,MATCH($G1850,'Catalog'!$A:$A,0)),$B1850))</f>
        <v>87 L מקבע כתף ויד</v>
      </c>
      <c r="I1850" s="8" t="str">
        <f aca="false">IF($G1850="","Unmatched","Matched")</f>
        <v>Matched</v>
      </c>
      <c r="J1850" s="8" t="n">
        <f aca="false">IF($G1850&lt;&gt;"",$G1850,$B1850)</f>
        <v>4413197</v>
      </c>
      <c r="K1850" s="8" t="str">
        <f aca="false">IF(COUNTIF($M$1:$M$10,$A1850)&gt;0,"Y","N")</f>
        <v>Y</v>
      </c>
    </row>
    <row r="1851" customFormat="false" ht="15" hidden="false" customHeight="true" outlineLevel="0" collapsed="false">
      <c r="A1851" s="8" t="s">
        <v>54</v>
      </c>
      <c r="B1851" s="8" t="s">
        <v>831</v>
      </c>
      <c r="C1851" s="19" t="n">
        <v>2</v>
      </c>
      <c r="D1851" s="19" t="n">
        <v>254</v>
      </c>
      <c r="E1851" s="19" t="n">
        <v>0</v>
      </c>
      <c r="F1851" s="19" t="n">
        <v>0</v>
      </c>
      <c r="G1851" s="8" t="n">
        <f aca="false">IFERROR(INDEX('TRANS'!$B:$B,MATCH($B1851,'TRANS'!$A:$A,0)),IFERROR(INDEX('TRANS'!$B:$B,MATCH(TRIM(SUBSTITUTE($B1851,CHAR(160)," ")),'TRANS'!$D:$D,0)),IFERROR(INDEX('Catalog'!$A:$A,MATCH($B1851,'Catalog'!$B:$B,0)),IFERROR(INDEX('Catalog'!$A:$A,MATCH(TRIM(SUBSTITUTE($B1851,CHAR(160)," ")),'Catalog'!$C:$C,0)),""))))</f>
        <v>4413196</v>
      </c>
      <c r="H1851" s="8" t="str">
        <f aca="false">IFERROR(INDEX('TRANS'!$C:$C,MATCH($B1851,'TRANS'!$A:$A,0)),IFERROR(INDEX('Catalog'!$B:$B,MATCH($G1851,'Catalog'!$A:$A,0)),$B1851))</f>
        <v>87 M מקבע כתף ויד</v>
      </c>
      <c r="I1851" s="8" t="str">
        <f aca="false">IF($G1851="","Unmatched","Matched")</f>
        <v>Matched</v>
      </c>
      <c r="J1851" s="8" t="n">
        <f aca="false">IF($G1851&lt;&gt;"",$G1851,$B1851)</f>
        <v>4413196</v>
      </c>
      <c r="K1851" s="8" t="str">
        <f aca="false">IF(COUNTIF($M$1:$M$10,$A1851)&gt;0,"Y","N")</f>
        <v>Y</v>
      </c>
    </row>
    <row r="1852" customFormat="false" ht="15" hidden="false" customHeight="true" outlineLevel="0" collapsed="false">
      <c r="A1852" s="8" t="s">
        <v>54</v>
      </c>
      <c r="B1852" s="8" t="s">
        <v>918</v>
      </c>
      <c r="C1852" s="19" t="n">
        <v>2</v>
      </c>
      <c r="D1852" s="19" t="n">
        <v>253.98</v>
      </c>
      <c r="E1852" s="19" t="n">
        <v>0</v>
      </c>
      <c r="F1852" s="19" t="n">
        <v>0</v>
      </c>
      <c r="G1852" s="8" t="n">
        <f aca="false">IFERROR(INDEX('TRANS'!$B:$B,MATCH($B1852,'TRANS'!$A:$A,0)),IFERROR(INDEX('TRANS'!$B:$B,MATCH(TRIM(SUBSTITUTE($B1852,CHAR(160)," ")),'TRANS'!$D:$D,0)),IFERROR(INDEX('Catalog'!$A:$A,MATCH($B1852,'Catalog'!$B:$B,0)),IFERROR(INDEX('Catalog'!$A:$A,MATCH(TRIM(SUBSTITUTE($B1852,CHAR(160)," ")),'Catalog'!$C:$C,0)),""))))</f>
        <v>4413195</v>
      </c>
      <c r="H1852" s="8" t="str">
        <f aca="false">IFERROR(INDEX('TRANS'!$C:$C,MATCH($B1852,'TRANS'!$A:$A,0)),IFERROR(INDEX('Catalog'!$B:$B,MATCH($G1852,'Catalog'!$A:$A,0)),$B1852))</f>
        <v>87 S מקבע כתף ויד</v>
      </c>
      <c r="I1852" s="8" t="str">
        <f aca="false">IF($G1852="","Unmatched","Matched")</f>
        <v>Matched</v>
      </c>
      <c r="J1852" s="8" t="n">
        <f aca="false">IF($G1852&lt;&gt;"",$G1852,$B1852)</f>
        <v>4413195</v>
      </c>
      <c r="K1852" s="8" t="str">
        <f aca="false">IF(COUNTIF($M$1:$M$10,$A1852)&gt;0,"Y","N")</f>
        <v>Y</v>
      </c>
    </row>
    <row r="1853" customFormat="false" ht="15" hidden="false" customHeight="true" outlineLevel="0" collapsed="false">
      <c r="A1853" s="8" t="s">
        <v>54</v>
      </c>
      <c r="B1853" s="8" t="s">
        <v>660</v>
      </c>
      <c r="C1853" s="19" t="n">
        <v>12</v>
      </c>
      <c r="D1853" s="19" t="n">
        <v>313.84</v>
      </c>
      <c r="E1853" s="19" t="n">
        <v>0</v>
      </c>
      <c r="F1853" s="19" t="n">
        <v>0</v>
      </c>
      <c r="G1853" s="8" t="n">
        <f aca="false">IFERROR(INDEX('TRANS'!$B:$B,MATCH($B1853,'TRANS'!$A:$A,0)),IFERROR(INDEX('TRANS'!$B:$B,MATCH(TRIM(SUBSTITUTE($B1853,CHAR(160)," ")),'TRANS'!$D:$D,0)),IFERROR(INDEX('Catalog'!$A:$A,MATCH($B1853,'Catalog'!$B:$B,0)),IFERROR(INDEX('Catalog'!$A:$A,MATCH(TRIM(SUBSTITUTE($B1853,CHAR(160)," ")),'Catalog'!$C:$C,0)),""))))</f>
        <v>4403019</v>
      </c>
      <c r="H1853" s="8" t="str">
        <f aca="false">IFERROR(INDEX('TRANS'!$C:$C,MATCH($B1853,'TRANS'!$A:$A,0)),IFERROR(INDEX('Catalog'!$B:$B,MATCH($G1853,'Catalog'!$A:$A,0)),$B1853))</f>
        <v>394B גרב.כסף לסכרתים שחור43-46</v>
      </c>
      <c r="I1853" s="8" t="str">
        <f aca="false">IF($G1853="","Unmatched","Matched")</f>
        <v>Matched</v>
      </c>
      <c r="J1853" s="8" t="n">
        <f aca="false">IF($G1853&lt;&gt;"",$G1853,$B1853)</f>
        <v>4403019</v>
      </c>
      <c r="K1853" s="8" t="str">
        <f aca="false">IF(COUNTIF($M$1:$M$10,$A1853)&gt;0,"Y","N")</f>
        <v>Y</v>
      </c>
    </row>
    <row r="1854" customFormat="false" ht="15" hidden="false" customHeight="true" outlineLevel="0" collapsed="false">
      <c r="A1854" s="8" t="s">
        <v>54</v>
      </c>
      <c r="B1854" s="8" t="s">
        <v>145</v>
      </c>
      <c r="C1854" s="19" t="n">
        <v>6</v>
      </c>
      <c r="D1854" s="19" t="n">
        <v>157.25</v>
      </c>
      <c r="E1854" s="19" t="n">
        <v>0</v>
      </c>
      <c r="F1854" s="19" t="n">
        <v>0</v>
      </c>
      <c r="G1854" s="8" t="str">
        <f aca="false">IFERROR(INDEX('TRANS'!$B:$B,MATCH($B1854,'TRANS'!$A:$A,0)),IFERROR(INDEX('TRANS'!$B:$B,MATCH(TRIM(SUBSTITUTE($B1854,CHAR(160)," ")),'TRANS'!$D:$D,0)),IFERROR(INDEX('Catalog'!$A:$A,MATCH($B1854,'Catalog'!$B:$B,0)),IFERROR(INDEX('Catalog'!$A:$A,MATCH(TRIM(SUBSTITUTE($B1854,CHAR(160)," ")),'Catalog'!$C:$C,0)),""))))</f>
        <v/>
      </c>
      <c r="H1854" s="8" t="str">
        <f aca="false">IFERROR(INDEX('TRANS'!$C:$C,MATCH($B1854,'TRANS'!$A:$A,0)),IFERROR(INDEX('Catalog'!$B:$B,MATCH($G1854,'Catalog'!$A:$A,0)),$B1854))</f>
        <v>394G-43-46</v>
      </c>
      <c r="I1854" s="8" t="str">
        <f aca="false">IF($G1854="","Unmatched","Matched")</f>
        <v>Unmatched</v>
      </c>
      <c r="J1854" s="8" t="str">
        <f aca="false">IF($G1854&lt;&gt;"",$G1854,$B1854)</f>
        <v>394G-43-46</v>
      </c>
      <c r="K1854" s="8" t="str">
        <f aca="false">IF(COUNTIF($M$1:$M$10,$A1854)&gt;0,"Y","N")</f>
        <v>Y</v>
      </c>
    </row>
    <row r="1855" customFormat="false" ht="15" hidden="false" customHeight="true" outlineLevel="0" collapsed="false">
      <c r="A1855" s="8" t="s">
        <v>54</v>
      </c>
      <c r="B1855" s="8" t="s">
        <v>842</v>
      </c>
      <c r="C1855" s="19" t="n">
        <v>2</v>
      </c>
      <c r="D1855" s="19" t="n">
        <v>287.03</v>
      </c>
      <c r="E1855" s="19" t="n">
        <v>2</v>
      </c>
      <c r="F1855" s="19" t="n">
        <v>328.05</v>
      </c>
      <c r="G1855" s="8" t="n">
        <f aca="false">IFERROR(INDEX('TRANS'!$B:$B,MATCH($B1855,'TRANS'!$A:$A,0)),IFERROR(INDEX('TRANS'!$B:$B,MATCH(TRIM(SUBSTITUTE($B1855,CHAR(160)," ")),'TRANS'!$D:$D,0)),IFERROR(INDEX('Catalog'!$A:$A,MATCH($B1855,'Catalog'!$B:$B,0)),IFERROR(INDEX('Catalog'!$A:$A,MATCH(TRIM(SUBSTITUTE($B1855,CHAR(160)," ")),'Catalog'!$C:$C,0)),""))))</f>
        <v>4413417</v>
      </c>
      <c r="H1855" s="8" t="str">
        <f aca="false">IFERROR(INDEX('TRANS'!$C:$C,MATCH($B1855,'TRANS'!$A:$A,0)),IFERROR(INDEX('Catalog'!$B:$B,MATCH($G1855,'Catalog'!$A:$A,0)),$B1855))</f>
        <v>SC39  L מגן שוק</v>
      </c>
      <c r="I1855" s="8" t="str">
        <f aca="false">IF($G1855="","Unmatched","Matched")</f>
        <v>Matched</v>
      </c>
      <c r="J1855" s="8" t="n">
        <f aca="false">IF($G1855&lt;&gt;"",$G1855,$B1855)</f>
        <v>4413417</v>
      </c>
      <c r="K1855" s="8" t="str">
        <f aca="false">IF(COUNTIF($M$1:$M$10,$A1855)&gt;0,"Y","N")</f>
        <v>Y</v>
      </c>
    </row>
    <row r="1856" customFormat="false" ht="15" hidden="false" customHeight="true" outlineLevel="0" collapsed="false">
      <c r="A1856" s="8" t="s">
        <v>54</v>
      </c>
      <c r="B1856" s="8" t="s">
        <v>846</v>
      </c>
      <c r="C1856" s="19" t="n">
        <v>2</v>
      </c>
      <c r="D1856" s="19" t="n">
        <v>281.14</v>
      </c>
      <c r="E1856" s="19" t="n">
        <v>0</v>
      </c>
      <c r="F1856" s="19" t="n">
        <v>0</v>
      </c>
      <c r="G1856" s="8" t="n">
        <f aca="false">IFERROR(INDEX('TRANS'!$B:$B,MATCH($B1856,'TRANS'!$A:$A,0)),IFERROR(INDEX('TRANS'!$B:$B,MATCH(TRIM(SUBSTITUTE($B1856,CHAR(160)," ")),'TRANS'!$D:$D,0)),IFERROR(INDEX('Catalog'!$A:$A,MATCH($B1856,'Catalog'!$B:$B,0)),IFERROR(INDEX('Catalog'!$A:$A,MATCH(TRIM(SUBSTITUTE($B1856,CHAR(160)," ")),'Catalog'!$C:$C,0)),""))))</f>
        <v>4413441</v>
      </c>
      <c r="H1856" s="8" t="str">
        <f aca="false">IFERROR(INDEX('TRANS'!$C:$C,MATCH($B1856,'TRANS'!$A:$A,0)),IFERROR(INDEX('Catalog'!$B:$B,MATCH($G1856,'Catalog'!$A:$A,0)),$B1856))</f>
        <v>SC422 XL מגן ברך</v>
      </c>
      <c r="I1856" s="8" t="str">
        <f aca="false">IF($G1856="","Unmatched","Matched")</f>
        <v>Matched</v>
      </c>
      <c r="J1856" s="8" t="n">
        <f aca="false">IF($G1856&lt;&gt;"",$G1856,$B1856)</f>
        <v>4413441</v>
      </c>
      <c r="K1856" s="8" t="str">
        <f aca="false">IF(COUNTIF($M$1:$M$10,$A1856)&gt;0,"Y","N")</f>
        <v>Y</v>
      </c>
    </row>
    <row r="1857" customFormat="false" ht="15" hidden="false" customHeight="true" outlineLevel="0" collapsed="false">
      <c r="A1857" s="8" t="s">
        <v>54</v>
      </c>
      <c r="B1857" s="8" t="s">
        <v>455</v>
      </c>
      <c r="C1857" s="19" t="n">
        <v>2</v>
      </c>
      <c r="D1857" s="19" t="n">
        <v>340.21</v>
      </c>
      <c r="E1857" s="19" t="n">
        <v>0</v>
      </c>
      <c r="F1857" s="19" t="n">
        <v>0</v>
      </c>
      <c r="G1857" s="8" t="str">
        <f aca="false">IFERROR(INDEX('TRANS'!$B:$B,MATCH($B1857,'TRANS'!$A:$A,0)),IFERROR(INDEX('TRANS'!$B:$B,MATCH(TRIM(SUBSTITUTE($B1857,CHAR(160)," ")),'TRANS'!$D:$D,0)),IFERROR(INDEX('Catalog'!$A:$A,MATCH($B1857,'Catalog'!$B:$B,0)),IFERROR(INDEX('Catalog'!$A:$A,MATCH(TRIM(SUBSTITUTE($B1857,CHAR(160)," ")),'Catalog'!$C:$C,0)),""))))</f>
        <v/>
      </c>
      <c r="H1857" s="8" t="str">
        <f aca="false">IFERROR(INDEX('TRANS'!$C:$C,MATCH($B1857,'TRANS'!$A:$A,0)),IFERROR(INDEX('Catalog'!$B:$B,MATCH($G1857,'Catalog'!$A:$A,0)),$B1857))</f>
        <v>06 XXL</v>
      </c>
      <c r="I1857" s="8" t="str">
        <f aca="false">IF($G1857="","Unmatched","Matched")</f>
        <v>Unmatched</v>
      </c>
      <c r="J1857" s="8" t="str">
        <f aca="false">IF($G1857&lt;&gt;"",$G1857,$B1857)</f>
        <v>06 XXL</v>
      </c>
      <c r="K1857" s="8" t="str">
        <f aca="false">IF(COUNTIF($M$1:$M$10,$A1857)&gt;0,"Y","N")</f>
        <v>Y</v>
      </c>
    </row>
    <row r="1858" customFormat="false" ht="15" hidden="false" customHeight="true" outlineLevel="0" collapsed="false">
      <c r="A1858" s="8" t="s">
        <v>54</v>
      </c>
      <c r="B1858" s="8" t="s">
        <v>954</v>
      </c>
      <c r="C1858" s="19" t="n">
        <v>2</v>
      </c>
      <c r="D1858" s="19" t="n">
        <v>524.88</v>
      </c>
      <c r="E1858" s="19" t="n">
        <v>0</v>
      </c>
      <c r="F1858" s="19" t="n">
        <v>0</v>
      </c>
      <c r="G1858" s="8" t="n">
        <f aca="false">IFERROR(INDEX('TRANS'!$B:$B,MATCH($B1858,'TRANS'!$A:$A,0)),IFERROR(INDEX('TRANS'!$B:$B,MATCH(TRIM(SUBSTITUTE($B1858,CHAR(160)," ")),'TRANS'!$D:$D,0)),IFERROR(INDEX('Catalog'!$A:$A,MATCH($B1858,'Catalog'!$B:$B,0)),IFERROR(INDEX('Catalog'!$A:$A,MATCH(TRIM(SUBSTITUTE($B1858,CHAR(160)," ")),'Catalog'!$C:$C,0)),""))))</f>
        <v>4408018</v>
      </c>
      <c r="H1858" s="8" t="str">
        <f aca="false">IFERROR(INDEX('TRANS'!$C:$C,MATCH($B1858,'TRANS'!$A:$A,0)),IFERROR(INDEX('Catalog'!$B:$B,MATCH($G1858,'Catalog'!$A:$A,0)),$B1858))</f>
        <v>07AU XXL.ח.גב """"איטלקית"""" אוריר</v>
      </c>
      <c r="I1858" s="8" t="str">
        <f aca="false">IF($G1858="","Unmatched","Matched")</f>
        <v>Matched</v>
      </c>
      <c r="J1858" s="8" t="n">
        <f aca="false">IF($G1858&lt;&gt;"",$G1858,$B1858)</f>
        <v>4408018</v>
      </c>
      <c r="K1858" s="8" t="str">
        <f aca="false">IF(COUNTIF($M$1:$M$10,$A1858)&gt;0,"Y","N")</f>
        <v>Y</v>
      </c>
    </row>
    <row r="1859" customFormat="false" ht="15" hidden="false" customHeight="true" outlineLevel="0" collapsed="false">
      <c r="A1859" s="8" t="s">
        <v>54</v>
      </c>
      <c r="B1859" s="8" t="s">
        <v>596</v>
      </c>
      <c r="C1859" s="19" t="n">
        <v>43</v>
      </c>
      <c r="D1859" s="19" t="n">
        <v>2680.6</v>
      </c>
      <c r="E1859" s="19" t="n">
        <v>24</v>
      </c>
      <c r="F1859" s="19" t="n">
        <v>1480.92</v>
      </c>
      <c r="G1859" s="8" t="n">
        <f aca="false">IFERROR(INDEX('TRANS'!$B:$B,MATCH($B1859,'TRANS'!$A:$A,0)),IFERROR(INDEX('TRANS'!$B:$B,MATCH(TRIM(SUBSTITUTE($B1859,CHAR(160)," ")),'TRANS'!$D:$D,0)),IFERROR(INDEX('Catalog'!$A:$A,MATCH($B1859,'Catalog'!$B:$B,0)),IFERROR(INDEX('Catalog'!$A:$A,MATCH(TRIM(SUBSTITUTE($B1859,CHAR(160)," ")),'Catalog'!$C:$C,0)),""))))</f>
        <v>4413372</v>
      </c>
      <c r="H1859" s="8" t="str">
        <f aca="false">IFERROR(INDEX('TRANS'!$C:$C,MATCH($B1859,'TRANS'!$A:$A,0)),IFERROR(INDEX('Catalog'!$B:$B,MATCH($G1859,'Catalog'!$A:$A,0)),$B1859))</f>
        <v>302 W מדרס לאישה</v>
      </c>
      <c r="I1859" s="8" t="str">
        <f aca="false">IF($G1859="","Unmatched","Matched")</f>
        <v>Matched</v>
      </c>
      <c r="J1859" s="8" t="n">
        <f aca="false">IF($G1859&lt;&gt;"",$G1859,$B1859)</f>
        <v>4413372</v>
      </c>
      <c r="K1859" s="8" t="str">
        <f aca="false">IF(COUNTIF($M$1:$M$10,$A1859)&gt;0,"Y","N")</f>
        <v>Y</v>
      </c>
    </row>
    <row r="1860" customFormat="false" ht="15" hidden="false" customHeight="true" outlineLevel="0" collapsed="false">
      <c r="A1860" s="8" t="s">
        <v>54</v>
      </c>
      <c r="B1860" s="8" t="s">
        <v>607</v>
      </c>
      <c r="C1860" s="19" t="n">
        <v>2</v>
      </c>
      <c r="D1860" s="19" t="n">
        <v>47.71</v>
      </c>
      <c r="E1860" s="19" t="n">
        <v>0</v>
      </c>
      <c r="F1860" s="19" t="n">
        <v>0</v>
      </c>
      <c r="G1860" s="8" t="n">
        <f aca="false">IFERROR(INDEX('TRANS'!$B:$B,MATCH($B1860,'TRANS'!$A:$A,0)),IFERROR(INDEX('TRANS'!$B:$B,MATCH(TRIM(SUBSTITUTE($B1860,CHAR(160)," ")),'TRANS'!$D:$D,0)),IFERROR(INDEX('Catalog'!$A:$A,MATCH($B1860,'Catalog'!$B:$B,0)),IFERROR(INDEX('Catalog'!$A:$A,MATCH(TRIM(SUBSTITUTE($B1860,CHAR(160)," ")),'Catalog'!$C:$C,0)),""))))</f>
        <v>4415297</v>
      </c>
      <c r="H1860" s="8" t="str">
        <f aca="false">IFERROR(INDEX('TRANS'!$C:$C,MATCH($B1860,'TRANS'!$A:$A,0)),IFERROR(INDEX('Catalog'!$B:$B,MATCH($G1860,'Catalog'!$A:$A,0)),$B1860))</f>
        <v>313 סט פלסטרים נגד שפשופים</v>
      </c>
      <c r="I1860" s="8" t="str">
        <f aca="false">IF($G1860="","Unmatched","Matched")</f>
        <v>Matched</v>
      </c>
      <c r="J1860" s="8" t="n">
        <f aca="false">IF($G1860&lt;&gt;"",$G1860,$B1860)</f>
        <v>4415297</v>
      </c>
      <c r="K1860" s="8" t="str">
        <f aca="false">IF(COUNTIF($M$1:$M$10,$A1860)&gt;0,"Y","N")</f>
        <v>Y</v>
      </c>
    </row>
    <row r="1861" customFormat="false" ht="15" hidden="false" customHeight="true" outlineLevel="0" collapsed="false">
      <c r="A1861" s="8" t="s">
        <v>54</v>
      </c>
      <c r="B1861" s="8" t="s">
        <v>791</v>
      </c>
      <c r="C1861" s="19" t="n">
        <v>8</v>
      </c>
      <c r="D1861" s="19" t="n">
        <v>299.64</v>
      </c>
      <c r="E1861" s="19" t="n">
        <v>1</v>
      </c>
      <c r="F1861" s="19" t="n">
        <v>37.45</v>
      </c>
      <c r="G1861" s="8" t="n">
        <f aca="false">IFERROR(INDEX('TRANS'!$B:$B,MATCH($B1861,'TRANS'!$A:$A,0)),IFERROR(INDEX('TRANS'!$B:$B,MATCH(TRIM(SUBSTITUTE($B1861,CHAR(160)," ")),'TRANS'!$D:$D,0)),IFERROR(INDEX('Catalog'!$A:$A,MATCH($B1861,'Catalog'!$B:$B,0)),IFERROR(INDEX('Catalog'!$A:$A,MATCH(TRIM(SUBSTITUTE($B1861,CHAR(160)," ")),'Catalog'!$C:$C,0)),""))))</f>
        <v>4403040</v>
      </c>
      <c r="H1861" s="8" t="str">
        <f aca="false">IFERROR(INDEX('TRANS'!$C:$C,MATCH($B1861,'TRANS'!$A:$A,0)),IFERROR(INDEX('Catalog'!$B:$B,MATCH($G1861,'Catalog'!$A:$A,0)),$B1861))</f>
        <v>3444B גרבי ג'ל לריכוך עור העקב</v>
      </c>
      <c r="I1861" s="8" t="str">
        <f aca="false">IF($G1861="","Unmatched","Matched")</f>
        <v>Matched</v>
      </c>
      <c r="J1861" s="8" t="n">
        <f aca="false">IF($G1861&lt;&gt;"",$G1861,$B1861)</f>
        <v>4403040</v>
      </c>
      <c r="K1861" s="8" t="str">
        <f aca="false">IF(COUNTIF($M$1:$M$10,$A1861)&gt;0,"Y","N")</f>
        <v>Y</v>
      </c>
    </row>
    <row r="1862" customFormat="false" ht="15" hidden="false" customHeight="true" outlineLevel="0" collapsed="false">
      <c r="A1862" s="8" t="s">
        <v>54</v>
      </c>
      <c r="B1862" s="8" t="s">
        <v>629</v>
      </c>
      <c r="C1862" s="19" t="n">
        <v>2</v>
      </c>
      <c r="D1862" s="19" t="n">
        <v>28.96</v>
      </c>
      <c r="E1862" s="19" t="n">
        <v>0</v>
      </c>
      <c r="F1862" s="19" t="n">
        <v>0</v>
      </c>
      <c r="G1862" s="8" t="n">
        <f aca="false">IFERROR(INDEX('TRANS'!$B:$B,MATCH($B1862,'TRANS'!$A:$A,0)),IFERROR(INDEX('TRANS'!$B:$B,MATCH(TRIM(SUBSTITUTE($B1862,CHAR(160)," ")),'TRANS'!$D:$D,0)),IFERROR(INDEX('Catalog'!$A:$A,MATCH($B1862,'Catalog'!$B:$B,0)),IFERROR(INDEX('Catalog'!$A:$A,MATCH(TRIM(SUBSTITUTE($B1862,CHAR(160)," ")),'Catalog'!$C:$C,0)),""))))</f>
        <v>4413059</v>
      </c>
      <c r="H1862" s="8" t="str">
        <f aca="false">IFERROR(INDEX('TRANS'!$C:$C,MATCH($B1862,'TRANS'!$A:$A,0)),IFERROR(INDEX('Catalog'!$B:$B,MATCH($G1862,'Catalog'!$A:$A,0)),$B1862))</f>
        <v>364S Lמפר.אצבע סיליק. ליבל.זוג</v>
      </c>
      <c r="I1862" s="8" t="str">
        <f aca="false">IF($G1862="","Unmatched","Matched")</f>
        <v>Matched</v>
      </c>
      <c r="J1862" s="8" t="n">
        <f aca="false">IF($G1862&lt;&gt;"",$G1862,$B1862)</f>
        <v>4413059</v>
      </c>
      <c r="K1862" s="8" t="str">
        <f aca="false">IF(COUNTIF($M$1:$M$10,$A1862)&gt;0,"Y","N")</f>
        <v>Y</v>
      </c>
    </row>
    <row r="1863" customFormat="false" ht="15" hidden="false" customHeight="true" outlineLevel="0" collapsed="false">
      <c r="A1863" s="8" t="s">
        <v>54</v>
      </c>
      <c r="B1863" s="8" t="s">
        <v>640</v>
      </c>
      <c r="C1863" s="19" t="n">
        <v>3</v>
      </c>
      <c r="D1863" s="19" t="n">
        <v>71.57</v>
      </c>
      <c r="E1863" s="19" t="n">
        <v>0</v>
      </c>
      <c r="F1863" s="19" t="n">
        <v>0</v>
      </c>
      <c r="G1863" s="8" t="n">
        <f aca="false">IFERROR(INDEX('TRANS'!$B:$B,MATCH($B1863,'TRANS'!$A:$A,0)),IFERROR(INDEX('TRANS'!$B:$B,MATCH(TRIM(SUBSTITUTE($B1863,CHAR(160)," ")),'TRANS'!$D:$D,0)),IFERROR(INDEX('Catalog'!$A:$A,MATCH($B1863,'Catalog'!$B:$B,0)),IFERROR(INDEX('Catalog'!$A:$A,MATCH(TRIM(SUBSTITUTE($B1863,CHAR(160)," ")),'Catalog'!$C:$C,0)),""))))</f>
        <v>4401000</v>
      </c>
      <c r="H1863" s="8" t="str">
        <f aca="false">IFERROR(INDEX('TRANS'!$C:$C,MATCH($B1863,'TRANS'!$A:$A,0)),IFERROR(INDEX('Catalog'!$B:$B,MATCH($G1863,'Catalog'!$A:$A,0)),$B1863))</f>
        <v>369  S-L אצבעון מסיליקון יחידה</v>
      </c>
      <c r="I1863" s="8" t="str">
        <f aca="false">IF($G1863="","Unmatched","Matched")</f>
        <v>Matched</v>
      </c>
      <c r="J1863" s="8" t="n">
        <f aca="false">IF($G1863&lt;&gt;"",$G1863,$B1863)</f>
        <v>4401000</v>
      </c>
      <c r="K1863" s="8" t="str">
        <f aca="false">IF(COUNTIF($M$1:$M$10,$A1863)&gt;0,"Y","N")</f>
        <v>Y</v>
      </c>
    </row>
    <row r="1864" customFormat="false" ht="15" hidden="false" customHeight="true" outlineLevel="0" collapsed="false">
      <c r="A1864" s="8" t="s">
        <v>54</v>
      </c>
      <c r="B1864" s="8" t="s">
        <v>641</v>
      </c>
      <c r="C1864" s="19" t="n">
        <v>8</v>
      </c>
      <c r="D1864" s="19" t="n">
        <v>209.58</v>
      </c>
      <c r="E1864" s="19" t="n">
        <v>0</v>
      </c>
      <c r="F1864" s="19" t="n">
        <v>0</v>
      </c>
      <c r="G1864" s="8" t="n">
        <f aca="false">IFERROR(INDEX('TRANS'!$B:$B,MATCH($B1864,'TRANS'!$A:$A,0)),IFERROR(INDEX('TRANS'!$B:$B,MATCH(TRIM(SUBSTITUTE($B1864,CHAR(160)," ")),'TRANS'!$D:$D,0)),IFERROR(INDEX('Catalog'!$A:$A,MATCH($B1864,'Catalog'!$B:$B,0)),IFERROR(INDEX('Catalog'!$A:$A,MATCH(TRIM(SUBSTITUTE($B1864,CHAR(160)," ")),'Catalog'!$C:$C,0)),""))))</f>
        <v>4401001</v>
      </c>
      <c r="H1864" s="8" t="str">
        <f aca="false">IFERROR(INDEX('TRANS'!$C:$C,MATCH($B1864,'TRANS'!$A:$A,0)),IFERROR(INDEX('Catalog'!$B:$B,MATCH($G1864,'Catalog'!$A:$A,0)),$B1864))</f>
        <v>369   XL אצבעון מסיליקון יחידה</v>
      </c>
      <c r="I1864" s="8" t="str">
        <f aca="false">IF($G1864="","Unmatched","Matched")</f>
        <v>Matched</v>
      </c>
      <c r="J1864" s="8" t="n">
        <f aca="false">IF($G1864&lt;&gt;"",$G1864,$B1864)</f>
        <v>4401001</v>
      </c>
      <c r="K1864" s="8" t="str">
        <f aca="false">IF(COUNTIF($M$1:$M$10,$A1864)&gt;0,"Y","N")</f>
        <v>Y</v>
      </c>
    </row>
    <row r="1865" customFormat="false" ht="15" hidden="false" customHeight="true" outlineLevel="0" collapsed="false">
      <c r="A1865" s="8" t="s">
        <v>54</v>
      </c>
      <c r="B1865" s="8" t="s">
        <v>407</v>
      </c>
      <c r="C1865" s="19" t="n">
        <v>7</v>
      </c>
      <c r="D1865" s="19" t="n">
        <v>425.76</v>
      </c>
      <c r="E1865" s="19" t="n">
        <v>0</v>
      </c>
      <c r="F1865" s="19" t="n">
        <v>0</v>
      </c>
      <c r="G1865" s="8" t="str">
        <f aca="false">IFERROR(INDEX('TRANS'!$B:$B,MATCH($B1865,'TRANS'!$A:$A,0)),IFERROR(INDEX('TRANS'!$B:$B,MATCH(TRIM(SUBSTITUTE($B1865,CHAR(160)," ")),'TRANS'!$D:$D,0)),IFERROR(INDEX('Catalog'!$A:$A,MATCH($B1865,'Catalog'!$B:$B,0)),IFERROR(INDEX('Catalog'!$A:$A,MATCH(TRIM(SUBSTITUTE($B1865,CHAR(160)," ")),'Catalog'!$C:$C,0)),""))))</f>
        <v/>
      </c>
      <c r="H1865" s="8" t="str">
        <f aca="false">IFERROR(INDEX('TRANS'!$C:$C,MATCH($B1865,'TRANS'!$A:$A,0)),IFERROR(INDEX('Catalog'!$B:$B,MATCH($G1865,'Catalog'!$A:$A,0)),$B1865))</f>
        <v>397-35-38</v>
      </c>
      <c r="I1865" s="8" t="str">
        <f aca="false">IF($G1865="","Unmatched","Matched")</f>
        <v>Unmatched</v>
      </c>
      <c r="J1865" s="8" t="str">
        <f aca="false">IF($G1865&lt;&gt;"",$G1865,$B1865)</f>
        <v>397-35-38</v>
      </c>
      <c r="K1865" s="8" t="str">
        <f aca="false">IF(COUNTIF($M$1:$M$10,$A1865)&gt;0,"Y","N")</f>
        <v>Y</v>
      </c>
    </row>
    <row r="1866" customFormat="false" ht="15" hidden="false" customHeight="true" outlineLevel="0" collapsed="false">
      <c r="A1866" s="8" t="s">
        <v>54</v>
      </c>
      <c r="B1866" s="8" t="s">
        <v>666</v>
      </c>
      <c r="C1866" s="19" t="n">
        <v>7</v>
      </c>
      <c r="D1866" s="19" t="n">
        <v>425.76</v>
      </c>
      <c r="E1866" s="19" t="n">
        <v>0</v>
      </c>
      <c r="F1866" s="19" t="n">
        <v>0</v>
      </c>
      <c r="G1866" s="8" t="n">
        <f aca="false">IFERROR(INDEX('TRANS'!$B:$B,MATCH($B1866,'TRANS'!$A:$A,0)),IFERROR(INDEX('TRANS'!$B:$B,MATCH(TRIM(SUBSTITUTE($B1866,CHAR(160)," ")),'TRANS'!$D:$D,0)),IFERROR(INDEX('Catalog'!$A:$A,MATCH($B1866,'Catalog'!$B:$B,0)),IFERROR(INDEX('Catalog'!$A:$A,MATCH(TRIM(SUBSTITUTE($B1866,CHAR(160)," ")),'Catalog'!$C:$C,0)),""))))</f>
        <v>4403029</v>
      </c>
      <c r="H1866" s="8" t="str">
        <f aca="false">IFERROR(INDEX('TRANS'!$C:$C,MATCH($B1866,'TRANS'!$A:$A,0)),IFERROR(INDEX('Catalog'!$B:$B,MATCH($G1866,'Catalog'!$A:$A,0)),$B1866))</f>
        <v>397 39-42 גרבי טיסה מידה</v>
      </c>
      <c r="I1866" s="8" t="str">
        <f aca="false">IF($G1866="","Unmatched","Matched")</f>
        <v>Matched</v>
      </c>
      <c r="J1866" s="8" t="n">
        <f aca="false">IF($G1866&lt;&gt;"",$G1866,$B1866)</f>
        <v>4403029</v>
      </c>
      <c r="K1866" s="8" t="str">
        <f aca="false">IF(COUNTIF($M$1:$M$10,$A1866)&gt;0,"Y","N")</f>
        <v>Y</v>
      </c>
    </row>
    <row r="1867" customFormat="false" ht="15" hidden="false" customHeight="true" outlineLevel="0" collapsed="false">
      <c r="A1867" s="8" t="s">
        <v>54</v>
      </c>
      <c r="B1867" s="8" t="s">
        <v>444</v>
      </c>
      <c r="C1867" s="19" t="n">
        <v>1</v>
      </c>
      <c r="D1867" s="19" t="n">
        <v>187.45</v>
      </c>
      <c r="E1867" s="19" t="n">
        <v>0</v>
      </c>
      <c r="F1867" s="19" t="n">
        <v>0</v>
      </c>
      <c r="G1867" s="8" t="str">
        <f aca="false">IFERROR(INDEX('TRANS'!$B:$B,MATCH($B1867,'TRANS'!$A:$A,0)),IFERROR(INDEX('TRANS'!$B:$B,MATCH(TRIM(SUBSTITUTE($B1867,CHAR(160)," ")),'TRANS'!$D:$D,0)),IFERROR(INDEX('Catalog'!$A:$A,MATCH($B1867,'Catalog'!$B:$B,0)),IFERROR(INDEX('Catalog'!$A:$A,MATCH(TRIM(SUBSTITUTE($B1867,CHAR(160)," ")),'Catalog'!$C:$C,0)),""))))</f>
        <v/>
      </c>
      <c r="H1867" s="8" t="str">
        <f aca="false">IFERROR(INDEX('TRANS'!$C:$C,MATCH($B1867,'TRANS'!$A:$A,0)),IFERROR(INDEX('Catalog'!$B:$B,MATCH($G1867,'Catalog'!$A:$A,0)),$B1867))</f>
        <v>422N L</v>
      </c>
      <c r="I1867" s="8" t="str">
        <f aca="false">IF($G1867="","Unmatched","Matched")</f>
        <v>Unmatched</v>
      </c>
      <c r="J1867" s="8" t="str">
        <f aca="false">IF($G1867&lt;&gt;"",$G1867,$B1867)</f>
        <v>422N L</v>
      </c>
      <c r="K1867" s="8" t="str">
        <f aca="false">IF(COUNTIF($M$1:$M$10,$A1867)&gt;0,"Y","N")</f>
        <v>Y</v>
      </c>
    </row>
    <row r="1868" customFormat="false" ht="15" hidden="false" customHeight="true" outlineLevel="0" collapsed="false">
      <c r="A1868" s="8" t="s">
        <v>54</v>
      </c>
      <c r="B1868" s="8" t="s">
        <v>446</v>
      </c>
      <c r="C1868" s="19" t="n">
        <v>1</v>
      </c>
      <c r="D1868" s="19" t="n">
        <v>187.45</v>
      </c>
      <c r="E1868" s="19" t="n">
        <v>0</v>
      </c>
      <c r="F1868" s="19" t="n">
        <v>0</v>
      </c>
      <c r="G1868" s="8" t="str">
        <f aca="false">IFERROR(INDEX('TRANS'!$B:$B,MATCH($B1868,'TRANS'!$A:$A,0)),IFERROR(INDEX('TRANS'!$B:$B,MATCH(TRIM(SUBSTITUTE($B1868,CHAR(160)," ")),'TRANS'!$D:$D,0)),IFERROR(INDEX('Catalog'!$A:$A,MATCH($B1868,'Catalog'!$B:$B,0)),IFERROR(INDEX('Catalog'!$A:$A,MATCH(TRIM(SUBSTITUTE($B1868,CHAR(160)," ")),'Catalog'!$C:$C,0)),""))))</f>
        <v/>
      </c>
      <c r="H1868" s="8" t="str">
        <f aca="false">IFERROR(INDEX('TRANS'!$C:$C,MATCH($B1868,'TRANS'!$A:$A,0)),IFERROR(INDEX('Catalog'!$B:$B,MATCH($G1868,'Catalog'!$A:$A,0)),$B1868))</f>
        <v>422N XL</v>
      </c>
      <c r="I1868" s="8" t="str">
        <f aca="false">IF($G1868="","Unmatched","Matched")</f>
        <v>Unmatched</v>
      </c>
      <c r="J1868" s="8" t="str">
        <f aca="false">IF($G1868&lt;&gt;"",$G1868,$B1868)</f>
        <v>422N XL</v>
      </c>
      <c r="K1868" s="8" t="str">
        <f aca="false">IF(COUNTIF($M$1:$M$10,$A1868)&gt;0,"Y","N")</f>
        <v>Y</v>
      </c>
    </row>
    <row r="1869" customFormat="false" ht="15" hidden="false" customHeight="true" outlineLevel="0" collapsed="false">
      <c r="A1869" s="8" t="s">
        <v>54</v>
      </c>
      <c r="B1869" s="8" t="s">
        <v>556</v>
      </c>
      <c r="C1869" s="19" t="n">
        <v>0</v>
      </c>
      <c r="D1869" s="19" t="n">
        <v>0</v>
      </c>
      <c r="E1869" s="19" t="n">
        <v>1</v>
      </c>
      <c r="F1869" s="19" t="n">
        <v>164.01</v>
      </c>
      <c r="G1869" s="8" t="n">
        <f aca="false">IFERROR(INDEX('TRANS'!$B:$B,MATCH($B1869,'TRANS'!$A:$A,0)),IFERROR(INDEX('TRANS'!$B:$B,MATCH(TRIM(SUBSTITUTE($B1869,CHAR(160)," ")),'TRANS'!$D:$D,0)),IFERROR(INDEX('Catalog'!$A:$A,MATCH($B1869,'Catalog'!$B:$B,0)),IFERROR(INDEX('Catalog'!$A:$A,MATCH(TRIM(SUBSTITUTE($B1869,CHAR(160)," ")),'Catalog'!$C:$C,0)),""))))</f>
        <v>4413127</v>
      </c>
      <c r="H1869" s="8" t="str">
        <f aca="false">IFERROR(INDEX('TRANS'!$C:$C,MATCH($B1869,'TRANS'!$A:$A,0)),IFERROR(INDEX('Catalog'!$B:$B,MATCH($G1869,'Catalog'!$A:$A,0)),$B1869))</f>
        <v>75 Lמיישר כתף יציב יישור גב צר</v>
      </c>
      <c r="I1869" s="8" t="str">
        <f aca="false">IF($G1869="","Unmatched","Matched")</f>
        <v>Matched</v>
      </c>
      <c r="J1869" s="8" t="n">
        <f aca="false">IF($G1869&lt;&gt;"",$G1869,$B1869)</f>
        <v>4413127</v>
      </c>
      <c r="K1869" s="8" t="str">
        <f aca="false">IF(COUNTIF($M$1:$M$10,$A1869)&gt;0,"Y","N")</f>
        <v>Y</v>
      </c>
    </row>
    <row r="1870" customFormat="false" ht="15" hidden="false" customHeight="true" outlineLevel="0" collapsed="false">
      <c r="A1870" s="8" t="s">
        <v>54</v>
      </c>
      <c r="B1870" s="8" t="s">
        <v>930</v>
      </c>
      <c r="C1870" s="19" t="n">
        <v>0</v>
      </c>
      <c r="D1870" s="19" t="n">
        <v>0</v>
      </c>
      <c r="E1870" s="19" t="n">
        <v>1</v>
      </c>
      <c r="F1870" s="19" t="n">
        <v>164.01</v>
      </c>
      <c r="G1870" s="8" t="n">
        <f aca="false">IFERROR(INDEX('TRANS'!$B:$B,MATCH($B1870,'TRANS'!$A:$A,0)),IFERROR(INDEX('TRANS'!$B:$B,MATCH(TRIM(SUBSTITUTE($B1870,CHAR(160)," ")),'TRANS'!$D:$D,0)),IFERROR(INDEX('Catalog'!$A:$A,MATCH($B1870,'Catalog'!$B:$B,0)),IFERROR(INDEX('Catalog'!$A:$A,MATCH(TRIM(SUBSTITUTE($B1870,CHAR(160)," ")),'Catalog'!$C:$C,0)),""))))</f>
        <v>4413128</v>
      </c>
      <c r="H1870" s="8" t="str">
        <f aca="false">IFERROR(INDEX('TRANS'!$C:$C,MATCH($B1870,'TRANS'!$A:$A,0)),IFERROR(INDEX('Catalog'!$B:$B,MATCH($G1870,'Catalog'!$A:$A,0)),$B1870))</f>
        <v>75 Mמיישר כתף יציב יישור גב צר</v>
      </c>
      <c r="I1870" s="8" t="str">
        <f aca="false">IF($G1870="","Unmatched","Matched")</f>
        <v>Matched</v>
      </c>
      <c r="J1870" s="8" t="n">
        <f aca="false">IF($G1870&lt;&gt;"",$G1870,$B1870)</f>
        <v>4413128</v>
      </c>
      <c r="K1870" s="8" t="str">
        <f aca="false">IF(COUNTIF($M$1:$M$10,$A1870)&gt;0,"Y","N")</f>
        <v>Y</v>
      </c>
    </row>
    <row r="1871" customFormat="false" ht="15" hidden="false" customHeight="true" outlineLevel="0" collapsed="false">
      <c r="A1871" s="8" t="s">
        <v>54</v>
      </c>
      <c r="B1871" s="8" t="s">
        <v>557</v>
      </c>
      <c r="C1871" s="19" t="n">
        <v>0</v>
      </c>
      <c r="D1871" s="19" t="n">
        <v>0</v>
      </c>
      <c r="E1871" s="19" t="n">
        <v>1</v>
      </c>
      <c r="F1871" s="19" t="n">
        <v>164.01</v>
      </c>
      <c r="G1871" s="8" t="n">
        <f aca="false">IFERROR(INDEX('TRANS'!$B:$B,MATCH($B1871,'TRANS'!$A:$A,0)),IFERROR(INDEX('TRANS'!$B:$B,MATCH(TRIM(SUBSTITUTE($B1871,CHAR(160)," ")),'TRANS'!$D:$D,0)),IFERROR(INDEX('Catalog'!$A:$A,MATCH($B1871,'Catalog'!$B:$B,0)),IFERROR(INDEX('Catalog'!$A:$A,MATCH(TRIM(SUBSTITUTE($B1871,CHAR(160)," ")),'Catalog'!$C:$C,0)),""))))</f>
        <v>4413129</v>
      </c>
      <c r="H1871" s="8" t="str">
        <f aca="false">IFERROR(INDEX('TRANS'!$C:$C,MATCH($B1871,'TRANS'!$A:$A,0)),IFERROR(INDEX('Catalog'!$B:$B,MATCH($G1871,'Catalog'!$A:$A,0)),$B1871))</f>
        <v>75 XLמיישר כתף יציב יישור ג.צר</v>
      </c>
      <c r="I1871" s="8" t="str">
        <f aca="false">IF($G1871="","Unmatched","Matched")</f>
        <v>Matched</v>
      </c>
      <c r="J1871" s="8" t="n">
        <f aca="false">IF($G1871&lt;&gt;"",$G1871,$B1871)</f>
        <v>4413129</v>
      </c>
      <c r="K1871" s="8" t="str">
        <f aca="false">IF(COUNTIF($M$1:$M$10,$A1871)&gt;0,"Y","N")</f>
        <v>Y</v>
      </c>
    </row>
    <row r="1872" customFormat="false" ht="15" hidden="false" customHeight="true" outlineLevel="0" collapsed="false">
      <c r="A1872" s="8" t="s">
        <v>54</v>
      </c>
      <c r="B1872" s="8" t="s">
        <v>700</v>
      </c>
      <c r="C1872" s="19" t="n">
        <v>6</v>
      </c>
      <c r="D1872" s="19" t="n">
        <v>103.77</v>
      </c>
      <c r="E1872" s="19" t="n">
        <v>0</v>
      </c>
      <c r="F1872" s="19" t="n">
        <v>0</v>
      </c>
      <c r="G1872" s="8" t="n">
        <f aca="false">IFERROR(INDEX('TRANS'!$B:$B,MATCH($B1872,'TRANS'!$A:$A,0)),IFERROR(INDEX('TRANS'!$B:$B,MATCH(TRIM(SUBSTITUTE($B1872,CHAR(160)," ")),'TRANS'!$D:$D,0)),IFERROR(INDEX('Catalog'!$A:$A,MATCH($B1872,'Catalog'!$B:$B,0)),IFERROR(INDEX('Catalog'!$A:$A,MATCH(TRIM(SUBSTITUTE($B1872,CHAR(160)," ")),'Catalog'!$C:$C,0)),""))))</f>
        <v>4401012</v>
      </c>
      <c r="H1872" s="8" t="str">
        <f aca="false">IFERROR(INDEX('TRANS'!$C:$C,MATCH($B1872,'TRANS'!$A:$A,0)),IFERROR(INDEX('Catalog'!$B:$B,MATCH($G1872,'Catalog'!$A:$A,0)),$B1872))</f>
        <v>805AT-B אתלטיק טייפ שחור 20מ""""מ</v>
      </c>
      <c r="I1872" s="8" t="str">
        <f aca="false">IF($G1872="","Unmatched","Matched")</f>
        <v>Matched</v>
      </c>
      <c r="J1872" s="8" t="n">
        <f aca="false">IF($G1872&lt;&gt;"",$G1872,$B1872)</f>
        <v>4401012</v>
      </c>
      <c r="K1872" s="8" t="str">
        <f aca="false">IF(COUNTIF($M$1:$M$10,$A1872)&gt;0,"Y","N")</f>
        <v>Y</v>
      </c>
    </row>
    <row r="1873" customFormat="false" ht="15" hidden="false" customHeight="true" outlineLevel="0" collapsed="false">
      <c r="A1873" s="8" t="s">
        <v>54</v>
      </c>
      <c r="B1873" s="8" t="s">
        <v>701</v>
      </c>
      <c r="C1873" s="19" t="n">
        <v>6</v>
      </c>
      <c r="D1873" s="19" t="n">
        <v>103.77</v>
      </c>
      <c r="E1873" s="19" t="n">
        <v>0</v>
      </c>
      <c r="F1873" s="19" t="n">
        <v>0</v>
      </c>
      <c r="G1873" s="8" t="n">
        <f aca="false">IFERROR(INDEX('TRANS'!$B:$B,MATCH($B1873,'TRANS'!$A:$A,0)),IFERROR(INDEX('TRANS'!$B:$B,MATCH(TRIM(SUBSTITUTE($B1873,CHAR(160)," ")),'TRANS'!$D:$D,0)),IFERROR(INDEX('Catalog'!$A:$A,MATCH($B1873,'Catalog'!$B:$B,0)),IFERROR(INDEX('Catalog'!$A:$A,MATCH(TRIM(SUBSTITUTE($B1873,CHAR(160)," ")),'Catalog'!$C:$C,0)),""))))</f>
        <v>4401011</v>
      </c>
      <c r="H1873" s="8" t="str">
        <f aca="false">IFERROR(INDEX('TRANS'!$C:$C,MATCH($B1873,'TRANS'!$A:$A,0)),IFERROR(INDEX('Catalog'!$B:$B,MATCH($G1873,'Catalog'!$A:$A,0)),$B1873))</f>
        <v>805AT-Cאתלטיק טייפ בז' 20מ""""מ20</v>
      </c>
      <c r="I1873" s="8" t="str">
        <f aca="false">IF($G1873="","Unmatched","Matched")</f>
        <v>Matched</v>
      </c>
      <c r="J1873" s="8" t="n">
        <f aca="false">IF($G1873&lt;&gt;"",$G1873,$B1873)</f>
        <v>4401011</v>
      </c>
      <c r="K1873" s="8" t="str">
        <f aca="false">IF(COUNTIF($M$1:$M$10,$A1873)&gt;0,"Y","N")</f>
        <v>Y</v>
      </c>
    </row>
    <row r="1874" customFormat="false" ht="15" hidden="false" customHeight="true" outlineLevel="0" collapsed="false">
      <c r="A1874" s="8" t="s">
        <v>54</v>
      </c>
      <c r="B1874" s="8" t="s">
        <v>886</v>
      </c>
      <c r="C1874" s="19" t="n">
        <v>3</v>
      </c>
      <c r="D1874" s="19" t="n">
        <v>90</v>
      </c>
      <c r="E1874" s="19" t="n">
        <v>0</v>
      </c>
      <c r="F1874" s="19" t="n">
        <v>0</v>
      </c>
      <c r="G1874" s="8" t="n">
        <f aca="false">IFERROR(INDEX('TRANS'!$B:$B,MATCH($B1874,'TRANS'!$A:$A,0)),IFERROR(INDEX('TRANS'!$B:$B,MATCH(TRIM(SUBSTITUTE($B1874,CHAR(160)," ")),'TRANS'!$D:$D,0)),IFERROR(INDEX('Catalog'!$A:$A,MATCH($B1874,'Catalog'!$B:$B,0)),IFERROR(INDEX('Catalog'!$A:$A,MATCH(TRIM(SUBSTITUTE($B1874,CHAR(160)," ")),'Catalog'!$C:$C,0)),""))))</f>
        <v>4409015</v>
      </c>
      <c r="H1874" s="8" t="str">
        <f aca="false">IFERROR(INDEX('TRANS'!$C:$C,MATCH($B1874,'TRANS'!$A:$A,0)),IFERROR(INDEX('Catalog'!$B:$B,MATCH($G1874,'Catalog'!$A:$A,0)),$B1874))</f>
        <v>808KT-BL       טייפ קינזיולוגי</v>
      </c>
      <c r="I1874" s="8" t="str">
        <f aca="false">IF($G1874="","Unmatched","Matched")</f>
        <v>Matched</v>
      </c>
      <c r="J1874" s="8" t="n">
        <f aca="false">IF($G1874&lt;&gt;"",$G1874,$B1874)</f>
        <v>4409015</v>
      </c>
      <c r="K1874" s="8" t="str">
        <f aca="false">IF(COUNTIF($M$1:$M$10,$A1874)&gt;0,"Y","N")</f>
        <v>Y</v>
      </c>
    </row>
    <row r="1875" customFormat="false" ht="15" hidden="false" customHeight="true" outlineLevel="0" collapsed="false">
      <c r="A1875" s="8" t="s">
        <v>54</v>
      </c>
      <c r="B1875" s="8" t="s">
        <v>706</v>
      </c>
      <c r="C1875" s="19" t="n">
        <v>6</v>
      </c>
      <c r="D1875" s="19" t="n">
        <v>180</v>
      </c>
      <c r="E1875" s="19" t="n">
        <v>0</v>
      </c>
      <c r="F1875" s="19" t="n">
        <v>0</v>
      </c>
      <c r="G1875" s="8" t="n">
        <f aca="false">IFERROR(INDEX('TRANS'!$B:$B,MATCH($B1875,'TRANS'!$A:$A,0)),IFERROR(INDEX('TRANS'!$B:$B,MATCH(TRIM(SUBSTITUTE($B1875,CHAR(160)," ")),'TRANS'!$D:$D,0)),IFERROR(INDEX('Catalog'!$A:$A,MATCH($B1875,'Catalog'!$B:$B,0)),IFERROR(INDEX('Catalog'!$A:$A,MATCH(TRIM(SUBSTITUTE($B1875,CHAR(160)," ")),'Catalog'!$C:$C,0)),""))))</f>
        <v>4409016</v>
      </c>
      <c r="H1875" s="8" t="str">
        <f aca="false">IFERROR(INDEX('TRANS'!$C:$C,MATCH($B1875,'TRANS'!$A:$A,0)),IFERROR(INDEX('Catalog'!$B:$B,MATCH($G1875,'Catalog'!$A:$A,0)),$B1875))</f>
        <v>808KT-C        טייפ קינזיולוגי</v>
      </c>
      <c r="I1875" s="8" t="str">
        <f aca="false">IF($G1875="","Unmatched","Matched")</f>
        <v>Matched</v>
      </c>
      <c r="J1875" s="8" t="n">
        <f aca="false">IF($G1875&lt;&gt;"",$G1875,$B1875)</f>
        <v>4409016</v>
      </c>
      <c r="K1875" s="8" t="str">
        <f aca="false">IF(COUNTIF($M$1:$M$10,$A1875)&gt;0,"Y","N")</f>
        <v>Y</v>
      </c>
    </row>
    <row r="1876" customFormat="false" ht="15" hidden="false" customHeight="true" outlineLevel="0" collapsed="false">
      <c r="A1876" s="8" t="s">
        <v>54</v>
      </c>
      <c r="B1876" s="8" t="s">
        <v>725</v>
      </c>
      <c r="C1876" s="19" t="n">
        <v>6</v>
      </c>
      <c r="D1876" s="19" t="n">
        <v>224.73</v>
      </c>
      <c r="E1876" s="19" t="n">
        <v>0</v>
      </c>
      <c r="F1876" s="19" t="n">
        <v>0</v>
      </c>
      <c r="G1876" s="8" t="n">
        <f aca="false">IFERROR(INDEX('TRANS'!$B:$B,MATCH($B1876,'TRANS'!$A:$A,0)),IFERROR(INDEX('TRANS'!$B:$B,MATCH(TRIM(SUBSTITUTE($B1876,CHAR(160)," ")),'TRANS'!$D:$D,0)),IFERROR(INDEX('Catalog'!$A:$A,MATCH($B1876,'Catalog'!$B:$B,0)),IFERROR(INDEX('Catalog'!$A:$A,MATCH(TRIM(SUBSTITUTE($B1876,CHAR(160)," ")),'Catalog'!$C:$C,0)),""))))</f>
        <v>4408207</v>
      </c>
      <c r="H1876" s="8" t="str">
        <f aca="false">IFERROR(INDEX('TRANS'!$C:$C,MATCH($B1876,'TRANS'!$A:$A,0)),IFERROR(INDEX('Catalog'!$B:$B,MATCH($G1876,'Catalog'!$A:$A,0)),$B1876))</f>
        <v>AC-25 חבק לשורש כף היד</v>
      </c>
      <c r="I1876" s="8" t="str">
        <f aca="false">IF($G1876="","Unmatched","Matched")</f>
        <v>Matched</v>
      </c>
      <c r="J1876" s="8" t="n">
        <f aca="false">IF($G1876&lt;&gt;"",$G1876,$B1876)</f>
        <v>4408207</v>
      </c>
      <c r="K1876" s="8" t="str">
        <f aca="false">IF(COUNTIF($M$1:$M$10,$A1876)&gt;0,"Y","N")</f>
        <v>Y</v>
      </c>
    </row>
    <row r="1877" customFormat="false" ht="15" hidden="false" customHeight="true" outlineLevel="0" collapsed="false">
      <c r="A1877" s="8" t="s">
        <v>54</v>
      </c>
      <c r="B1877" s="8" t="s">
        <v>728</v>
      </c>
      <c r="C1877" s="19" t="n">
        <v>2</v>
      </c>
      <c r="D1877" s="19" t="n">
        <v>84.27</v>
      </c>
      <c r="E1877" s="19" t="n">
        <v>1</v>
      </c>
      <c r="F1877" s="19" t="n">
        <v>42.14</v>
      </c>
      <c r="G1877" s="8" t="n">
        <f aca="false">IFERROR(INDEX('TRANS'!$B:$B,MATCH($B1877,'TRANS'!$A:$A,0)),IFERROR(INDEX('TRANS'!$B:$B,MATCH(TRIM(SUBSTITUTE($B1877,CHAR(160)," ")),'TRANS'!$D:$D,0)),IFERROR(INDEX('Catalog'!$A:$A,MATCH($B1877,'Catalog'!$B:$B,0)),IFERROR(INDEX('Catalog'!$A:$A,MATCH(TRIM(SUBSTITUTE($B1877,CHAR(160)," ")),'Catalog'!$C:$C,0)),""))))</f>
        <v>4415028</v>
      </c>
      <c r="H1877" s="8" t="str">
        <f aca="false">IFERROR(INDEX('TRANS'!$C:$C,MATCH($B1877,'TRANS'!$A:$A,0)),IFERROR(INDEX('Catalog'!$B:$B,MATCH($G1877,'Catalog'!$A:$A,0)),$B1877))</f>
        <v>AC-28 סד לאגודל</v>
      </c>
      <c r="I1877" s="8" t="str">
        <f aca="false">IF($G1877="","Unmatched","Matched")</f>
        <v>Matched</v>
      </c>
      <c r="J1877" s="8" t="n">
        <f aca="false">IF($G1877&lt;&gt;"",$G1877,$B1877)</f>
        <v>4415028</v>
      </c>
      <c r="K1877" s="8" t="str">
        <f aca="false">IF(COUNTIF($M$1:$M$10,$A1877)&gt;0,"Y","N")</f>
        <v>Y</v>
      </c>
    </row>
    <row r="1878" customFormat="false" ht="15" hidden="false" customHeight="true" outlineLevel="0" collapsed="false">
      <c r="A1878" s="8" t="s">
        <v>54</v>
      </c>
      <c r="B1878" s="8" t="s">
        <v>729</v>
      </c>
      <c r="C1878" s="19" t="n">
        <v>9</v>
      </c>
      <c r="D1878" s="19" t="n">
        <v>337.09</v>
      </c>
      <c r="E1878" s="19" t="n">
        <v>2</v>
      </c>
      <c r="F1878" s="19" t="n">
        <v>74.91</v>
      </c>
      <c r="G1878" s="8" t="n">
        <f aca="false">IFERROR(INDEX('TRANS'!$B:$B,MATCH($B1878,'TRANS'!$A:$A,0)),IFERROR(INDEX('TRANS'!$B:$B,MATCH(TRIM(SUBSTITUTE($B1878,CHAR(160)," ")),'TRANS'!$D:$D,0)),IFERROR(INDEX('Catalog'!$A:$A,MATCH($B1878,'Catalog'!$B:$B,0)),IFERROR(INDEX('Catalog'!$A:$A,MATCH(TRIM(SUBSTITUTE($B1878,CHAR(160)," ")),'Catalog'!$C:$C,0)),""))))</f>
        <v>4413326</v>
      </c>
      <c r="H1878" s="8" t="str">
        <f aca="false">IFERROR(INDEX('TRANS'!$C:$C,MATCH($B1878,'TRANS'!$A:$A,0)),IFERROR(INDEX('Catalog'!$B:$B,MATCH($G1878,'Catalog'!$A:$A,0)),$B1878))</f>
        <v>AC37 מגן קרסול נושם</v>
      </c>
      <c r="I1878" s="8" t="str">
        <f aca="false">IF($G1878="","Unmatched","Matched")</f>
        <v>Matched</v>
      </c>
      <c r="J1878" s="8" t="n">
        <f aca="false">IF($G1878&lt;&gt;"",$G1878,$B1878)</f>
        <v>4413326</v>
      </c>
      <c r="K1878" s="8" t="str">
        <f aca="false">IF(COUNTIF($M$1:$M$10,$A1878)&gt;0,"Y","N")</f>
        <v>Y</v>
      </c>
    </row>
    <row r="1879" customFormat="false" ht="15" hidden="false" customHeight="true" outlineLevel="0" collapsed="false">
      <c r="A1879" s="8" t="s">
        <v>54</v>
      </c>
      <c r="B1879" s="8" t="s">
        <v>732</v>
      </c>
      <c r="C1879" s="19" t="n">
        <v>3</v>
      </c>
      <c r="D1879" s="19" t="n">
        <v>217.83</v>
      </c>
      <c r="E1879" s="19" t="n">
        <v>10</v>
      </c>
      <c r="F1879" s="19" t="n">
        <v>796.52</v>
      </c>
      <c r="G1879" s="8" t="n">
        <f aca="false">IFERROR(INDEX('TRANS'!$B:$B,MATCH($B1879,'TRANS'!$A:$A,0)),IFERROR(INDEX('TRANS'!$B:$B,MATCH(TRIM(SUBSTITUTE($B1879,CHAR(160)," ")),'TRANS'!$D:$D,0)),IFERROR(INDEX('Catalog'!$A:$A,MATCH($B1879,'Catalog'!$B:$B,0)),IFERROR(INDEX('Catalog'!$A:$A,MATCH(TRIM(SUBSTITUTE($B1879,CHAR(160)," ")),'Catalog'!$C:$C,0)),""))))</f>
        <v>4413456</v>
      </c>
      <c r="H1879" s="8" t="str">
        <f aca="false">IFERROR(INDEX('TRANS'!$C:$C,MATCH($B1879,'TRANS'!$A:$A,0)),IFERROR(INDEX('Catalog'!$B:$B,MATCH($G1879,'Catalog'!$A:$A,0)),$B1879))</f>
        <v>AC75 XXL  מיישר כתפיים אקטיב</v>
      </c>
      <c r="I1879" s="8" t="str">
        <f aca="false">IF($G1879="","Unmatched","Matched")</f>
        <v>Matched</v>
      </c>
      <c r="J1879" s="8" t="n">
        <f aca="false">IF($G1879&lt;&gt;"",$G1879,$B1879)</f>
        <v>4413456</v>
      </c>
      <c r="K1879" s="8" t="str">
        <f aca="false">IF(COUNTIF($M$1:$M$10,$A1879)&gt;0,"Y","N")</f>
        <v>Y</v>
      </c>
    </row>
    <row r="1880" customFormat="false" ht="15" hidden="false" customHeight="true" outlineLevel="0" collapsed="false">
      <c r="A1880" s="8" t="s">
        <v>54</v>
      </c>
      <c r="B1880" s="8" t="s">
        <v>114</v>
      </c>
      <c r="C1880" s="19" t="n">
        <v>2</v>
      </c>
      <c r="D1880" s="19" t="n">
        <v>215.52</v>
      </c>
      <c r="E1880" s="19" t="n">
        <v>0</v>
      </c>
      <c r="F1880" s="19" t="n">
        <v>0</v>
      </c>
      <c r="G1880" s="8" t="str">
        <f aca="false">IFERROR(INDEX('TRANS'!$B:$B,MATCH($B1880,'TRANS'!$A:$A,0)),IFERROR(INDEX('TRANS'!$B:$B,MATCH(TRIM(SUBSTITUTE($B1880,CHAR(160)," ")),'TRANS'!$D:$D,0)),IFERROR(INDEX('Catalog'!$A:$A,MATCH($B1880,'Catalog'!$B:$B,0)),IFERROR(INDEX('Catalog'!$A:$A,MATCH(TRIM(SUBSTITUTE($B1880,CHAR(160)," ")),'Catalog'!$C:$C,0)),""))))</f>
        <v/>
      </c>
      <c r="H1880" s="8" t="str">
        <f aca="false">IFERROR(INDEX('TRANS'!$C:$C,MATCH($B1880,'TRANS'!$A:$A,0)),IFERROR(INDEX('Catalog'!$B:$B,MATCH($G1880,'Catalog'!$A:$A,0)),$B1880))</f>
        <v>T39 L</v>
      </c>
      <c r="I1880" s="8" t="str">
        <f aca="false">IF($G1880="","Unmatched","Matched")</f>
        <v>Unmatched</v>
      </c>
      <c r="J1880" s="8" t="str">
        <f aca="false">IF($G1880&lt;&gt;"",$G1880,$B1880)</f>
        <v>T39 L</v>
      </c>
      <c r="K1880" s="8" t="str">
        <f aca="false">IF(COUNTIF($M$1:$M$10,$A1880)&gt;0,"Y","N")</f>
        <v>Y</v>
      </c>
    </row>
    <row r="1881" customFormat="false" ht="15" hidden="false" customHeight="true" outlineLevel="0" collapsed="false">
      <c r="A1881" s="8" t="s">
        <v>54</v>
      </c>
      <c r="B1881" s="8" t="s">
        <v>135</v>
      </c>
      <c r="C1881" s="19" t="n">
        <v>1</v>
      </c>
      <c r="D1881" s="19" t="n">
        <v>107.76</v>
      </c>
      <c r="E1881" s="19" t="n">
        <v>0</v>
      </c>
      <c r="F1881" s="19" t="n">
        <v>0</v>
      </c>
      <c r="G1881" s="8" t="str">
        <f aca="false">IFERROR(INDEX('TRANS'!$B:$B,MATCH($B1881,'TRANS'!$A:$A,0)),IFERROR(INDEX('TRANS'!$B:$B,MATCH(TRIM(SUBSTITUTE($B1881,CHAR(160)," ")),'TRANS'!$D:$D,0)),IFERROR(INDEX('Catalog'!$A:$A,MATCH($B1881,'Catalog'!$B:$B,0)),IFERROR(INDEX('Catalog'!$A:$A,MATCH(TRIM(SUBSTITUTE($B1881,CHAR(160)," ")),'Catalog'!$C:$C,0)),""))))</f>
        <v/>
      </c>
      <c r="H1881" s="8" t="str">
        <f aca="false">IFERROR(INDEX('TRANS'!$C:$C,MATCH($B1881,'TRANS'!$A:$A,0)),IFERROR(INDEX('Catalog'!$B:$B,MATCH($G1881,'Catalog'!$A:$A,0)),$B1881))</f>
        <v>T39 XL</v>
      </c>
      <c r="I1881" s="8" t="str">
        <f aca="false">IF($G1881="","Unmatched","Matched")</f>
        <v>Unmatched</v>
      </c>
      <c r="J1881" s="8" t="str">
        <f aca="false">IF($G1881&lt;&gt;"",$G1881,$B1881)</f>
        <v>T39 XL</v>
      </c>
      <c r="K1881" s="8" t="str">
        <f aca="false">IF(COUNTIF($M$1:$M$10,$A1881)&gt;0,"Y","N")</f>
        <v>Y</v>
      </c>
    </row>
    <row r="1882" customFormat="false" ht="15" hidden="false" customHeight="true" outlineLevel="0" collapsed="false">
      <c r="A1882" s="8" t="s">
        <v>54</v>
      </c>
      <c r="B1882" s="8" t="s">
        <v>253</v>
      </c>
      <c r="C1882" s="19" t="n">
        <v>1</v>
      </c>
      <c r="D1882" s="19" t="n">
        <v>234.34</v>
      </c>
      <c r="E1882" s="19" t="n">
        <v>1</v>
      </c>
      <c r="F1882" s="19" t="n">
        <v>234.31</v>
      </c>
      <c r="G1882" s="8" t="str">
        <f aca="false">IFERROR(INDEX('TRANS'!$B:$B,MATCH($B1882,'TRANS'!$A:$A,0)),IFERROR(INDEX('TRANS'!$B:$B,MATCH(TRIM(SUBSTITUTE($B1882,CHAR(160)," ")),'TRANS'!$D:$D,0)),IFERROR(INDEX('Catalog'!$A:$A,MATCH($B1882,'Catalog'!$B:$B,0)),IFERROR(INDEX('Catalog'!$A:$A,MATCH(TRIM(SUBSTITUTE($B1882,CHAR(160)," ")),'Catalog'!$C:$C,0)),""))))</f>
        <v/>
      </c>
      <c r="H1882" s="8" t="str">
        <f aca="false">IFERROR(INDEX('TRANS'!$C:$C,MATCH($B1882,'TRANS'!$A:$A,0)),IFERROR(INDEX('Catalog'!$B:$B,MATCH($G1882,'Catalog'!$A:$A,0)),$B1882))</f>
        <v>07UB XXL</v>
      </c>
      <c r="I1882" s="8" t="str">
        <f aca="false">IF($G1882="","Unmatched","Matched")</f>
        <v>Unmatched</v>
      </c>
      <c r="J1882" s="8" t="str">
        <f aca="false">IF($G1882&lt;&gt;"",$G1882,$B1882)</f>
        <v>07UB XXL</v>
      </c>
      <c r="K1882" s="8" t="str">
        <f aca="false">IF(COUNTIF($M$1:$M$10,$A1882)&gt;0,"Y","N")</f>
        <v>Y</v>
      </c>
    </row>
    <row r="1883" customFormat="false" ht="15" hidden="false" customHeight="true" outlineLevel="0" collapsed="false">
      <c r="A1883" s="8" t="s">
        <v>54</v>
      </c>
      <c r="B1883" s="8" t="s">
        <v>144</v>
      </c>
      <c r="C1883" s="19" t="n">
        <v>1</v>
      </c>
      <c r="D1883" s="19" t="n">
        <v>234.32</v>
      </c>
      <c r="E1883" s="19" t="n">
        <v>1</v>
      </c>
      <c r="F1883" s="19" t="n">
        <v>234.35</v>
      </c>
      <c r="G1883" s="8" t="str">
        <f aca="false">IFERROR(INDEX('TRANS'!$B:$B,MATCH($B1883,'TRANS'!$A:$A,0)),IFERROR(INDEX('TRANS'!$B:$B,MATCH(TRIM(SUBSTITUTE($B1883,CHAR(160)," ")),'TRANS'!$D:$D,0)),IFERROR(INDEX('Catalog'!$A:$A,MATCH($B1883,'Catalog'!$B:$B,0)),IFERROR(INDEX('Catalog'!$A:$A,MATCH(TRIM(SUBSTITUTE($B1883,CHAR(160)," ")),'Catalog'!$C:$C,0)),""))))</f>
        <v/>
      </c>
      <c r="H1883" s="8" t="str">
        <f aca="false">IFERROR(INDEX('TRANS'!$C:$C,MATCH($B1883,'TRANS'!$A:$A,0)),IFERROR(INDEX('Catalog'!$B:$B,MATCH($G1883,'Catalog'!$A:$A,0)),$B1883))</f>
        <v>07UB-L-XL</v>
      </c>
      <c r="I1883" s="8" t="str">
        <f aca="false">IF($G1883="","Unmatched","Matched")</f>
        <v>Unmatched</v>
      </c>
      <c r="J1883" s="8" t="str">
        <f aca="false">IF($G1883&lt;&gt;"",$G1883,$B1883)</f>
        <v>07UB-L-XL</v>
      </c>
      <c r="K1883" s="8" t="str">
        <f aca="false">IF(COUNTIF($M$1:$M$10,$A1883)&gt;0,"Y","N")</f>
        <v>Y</v>
      </c>
    </row>
    <row r="1884" customFormat="false" ht="15" hidden="false" customHeight="true" outlineLevel="0" collapsed="false">
      <c r="A1884" s="8" t="s">
        <v>54</v>
      </c>
      <c r="B1884" s="8" t="s">
        <v>328</v>
      </c>
      <c r="C1884" s="19" t="n">
        <v>1</v>
      </c>
      <c r="D1884" s="19" t="n">
        <v>234.31</v>
      </c>
      <c r="E1884" s="19" t="n">
        <v>0</v>
      </c>
      <c r="F1884" s="19" t="n">
        <v>0</v>
      </c>
      <c r="G1884" s="8" t="str">
        <f aca="false">IFERROR(INDEX('TRANS'!$B:$B,MATCH($B1884,'TRANS'!$A:$A,0)),IFERROR(INDEX('TRANS'!$B:$B,MATCH(TRIM(SUBSTITUTE($B1884,CHAR(160)," ")),'TRANS'!$D:$D,0)),IFERROR(INDEX('Catalog'!$A:$A,MATCH($B1884,'Catalog'!$B:$B,0)),IFERROR(INDEX('Catalog'!$A:$A,MATCH(TRIM(SUBSTITUTE($B1884,CHAR(160)," ")),'Catalog'!$C:$C,0)),""))))</f>
        <v/>
      </c>
      <c r="H1884" s="8" t="str">
        <f aca="false">IFERROR(INDEX('TRANS'!$C:$C,MATCH($B1884,'TRANS'!$A:$A,0)),IFERROR(INDEX('Catalog'!$B:$B,MATCH($G1884,'Catalog'!$A:$A,0)),$B1884))</f>
        <v>07UB-S-M</v>
      </c>
      <c r="I1884" s="8" t="str">
        <f aca="false">IF($G1884="","Unmatched","Matched")</f>
        <v>Unmatched</v>
      </c>
      <c r="J1884" s="8" t="str">
        <f aca="false">IF($G1884&lt;&gt;"",$G1884,$B1884)</f>
        <v>07UB-S-M</v>
      </c>
      <c r="K1884" s="8" t="str">
        <f aca="false">IF(COUNTIF($M$1:$M$10,$A1884)&gt;0,"Y","N")</f>
        <v>Y</v>
      </c>
    </row>
    <row r="1885" customFormat="false" ht="15" hidden="false" customHeight="true" outlineLevel="0" collapsed="false">
      <c r="A1885" s="8" t="s">
        <v>54</v>
      </c>
      <c r="B1885" s="8" t="s">
        <v>568</v>
      </c>
      <c r="C1885" s="19" t="n">
        <v>1</v>
      </c>
      <c r="D1885" s="19" t="n">
        <v>110.11</v>
      </c>
      <c r="E1885" s="19" t="n">
        <v>0</v>
      </c>
      <c r="F1885" s="19" t="n">
        <v>0</v>
      </c>
      <c r="G1885" s="8" t="n">
        <f aca="false">IFERROR(INDEX('TRANS'!$B:$B,MATCH($B1885,'TRANS'!$A:$A,0)),IFERROR(INDEX('TRANS'!$B:$B,MATCH(TRIM(SUBSTITUTE($B1885,CHAR(160)," ")),'TRANS'!$D:$D,0)),IFERROR(INDEX('Catalog'!$A:$A,MATCH($B1885,'Catalog'!$B:$B,0)),IFERROR(INDEX('Catalog'!$A:$A,MATCH(TRIM(SUBSTITUTE($B1885,CHAR(160)," ")),'Catalog'!$C:$C,0)),""))))</f>
        <v>4408115</v>
      </c>
      <c r="H1885" s="8" t="str">
        <f aca="false">IFERROR(INDEX('TRANS'!$C:$C,MATCH($B1885,'TRANS'!$A:$A,0)),IFERROR(INDEX('Catalog'!$B:$B,MATCH($G1885,'Catalog'!$A:$A,0)),$B1885))</f>
        <v>11EU L ח.בטן לאחר ניתוח</v>
      </c>
      <c r="I1885" s="8" t="str">
        <f aca="false">IF($G1885="","Unmatched","Matched")</f>
        <v>Matched</v>
      </c>
      <c r="J1885" s="8" t="n">
        <f aca="false">IF($G1885&lt;&gt;"",$G1885,$B1885)</f>
        <v>4408115</v>
      </c>
      <c r="K1885" s="8" t="str">
        <f aca="false">IF(COUNTIF($M$1:$M$10,$A1885)&gt;0,"Y","N")</f>
        <v>Y</v>
      </c>
    </row>
    <row r="1886" customFormat="false" ht="15" hidden="false" customHeight="true" outlineLevel="0" collapsed="false">
      <c r="A1886" s="8" t="s">
        <v>54</v>
      </c>
      <c r="B1886" s="8" t="s">
        <v>569</v>
      </c>
      <c r="C1886" s="19" t="n">
        <v>1</v>
      </c>
      <c r="D1886" s="19" t="n">
        <v>110.15</v>
      </c>
      <c r="E1886" s="19" t="n">
        <v>0</v>
      </c>
      <c r="F1886" s="19" t="n">
        <v>0</v>
      </c>
      <c r="G1886" s="8" t="n">
        <f aca="false">IFERROR(INDEX('TRANS'!$B:$B,MATCH($B1886,'TRANS'!$A:$A,0)),IFERROR(INDEX('TRANS'!$B:$B,MATCH(TRIM(SUBSTITUTE($B1886,CHAR(160)," ")),'TRANS'!$D:$D,0)),IFERROR(INDEX('Catalog'!$A:$A,MATCH($B1886,'Catalog'!$B:$B,0)),IFERROR(INDEX('Catalog'!$A:$A,MATCH(TRIM(SUBSTITUTE($B1886,CHAR(160)," ")),'Catalog'!$C:$C,0)),""))))</f>
        <v>4408114</v>
      </c>
      <c r="H1886" s="8" t="str">
        <f aca="false">IFERROR(INDEX('TRANS'!$C:$C,MATCH($B1886,'TRANS'!$A:$A,0)),IFERROR(INDEX('Catalog'!$B:$B,MATCH($G1886,'Catalog'!$A:$A,0)),$B1886))</f>
        <v>11EU M ח.בטן לאחר ניתוח</v>
      </c>
      <c r="I1886" s="8" t="str">
        <f aca="false">IF($G1886="","Unmatched","Matched")</f>
        <v>Matched</v>
      </c>
      <c r="J1886" s="8" t="n">
        <f aca="false">IF($G1886&lt;&gt;"",$G1886,$B1886)</f>
        <v>4408114</v>
      </c>
      <c r="K1886" s="8" t="str">
        <f aca="false">IF(COUNTIF($M$1:$M$10,$A1886)&gt;0,"Y","N")</f>
        <v>Y</v>
      </c>
    </row>
    <row r="1887" customFormat="false" ht="15" hidden="false" customHeight="true" outlineLevel="0" collapsed="false">
      <c r="A1887" s="8" t="s">
        <v>54</v>
      </c>
      <c r="B1887" s="8" t="s">
        <v>778</v>
      </c>
      <c r="C1887" s="19" t="n">
        <v>1</v>
      </c>
      <c r="D1887" s="19" t="n">
        <v>110.11</v>
      </c>
      <c r="E1887" s="19" t="n">
        <v>0</v>
      </c>
      <c r="F1887" s="19" t="n">
        <v>0</v>
      </c>
      <c r="G1887" s="8" t="n">
        <f aca="false">IFERROR(INDEX('TRANS'!$B:$B,MATCH($B1887,'TRANS'!$A:$A,0)),IFERROR(INDEX('TRANS'!$B:$B,MATCH(TRIM(SUBSTITUTE($B1887,CHAR(160)," ")),'TRANS'!$D:$D,0)),IFERROR(INDEX('Catalog'!$A:$A,MATCH($B1887,'Catalog'!$B:$B,0)),IFERROR(INDEX('Catalog'!$A:$A,MATCH(TRIM(SUBSTITUTE($B1887,CHAR(160)," ")),'Catalog'!$C:$C,0)),""))))</f>
        <v>4408116</v>
      </c>
      <c r="H1887" s="8" t="str">
        <f aca="false">IFERROR(INDEX('TRANS'!$C:$C,MATCH($B1887,'TRANS'!$A:$A,0)),IFERROR(INDEX('Catalog'!$B:$B,MATCH($G1887,'Catalog'!$A:$A,0)),$B1887))</f>
        <v>11EU XLח.בטן לאחר ניתוח</v>
      </c>
      <c r="I1887" s="8" t="str">
        <f aca="false">IF($G1887="","Unmatched","Matched")</f>
        <v>Matched</v>
      </c>
      <c r="J1887" s="8" t="n">
        <f aca="false">IF($G1887&lt;&gt;"",$G1887,$B1887)</f>
        <v>4408116</v>
      </c>
      <c r="K1887" s="8" t="str">
        <f aca="false">IF(COUNTIF($M$1:$M$10,$A1887)&gt;0,"Y","N")</f>
        <v>Y</v>
      </c>
    </row>
    <row r="1888" customFormat="false" ht="15" hidden="false" customHeight="true" outlineLevel="0" collapsed="false">
      <c r="A1888" s="8" t="s">
        <v>54</v>
      </c>
      <c r="B1888" s="8" t="s">
        <v>856</v>
      </c>
      <c r="C1888" s="19" t="n">
        <v>1</v>
      </c>
      <c r="D1888" s="19" t="n">
        <v>110.11</v>
      </c>
      <c r="E1888" s="19" t="n">
        <v>0</v>
      </c>
      <c r="F1888" s="19" t="n">
        <v>0</v>
      </c>
      <c r="G1888" s="8" t="n">
        <f aca="false">IFERROR(INDEX('TRANS'!$B:$B,MATCH($B1888,'TRANS'!$A:$A,0)),IFERROR(INDEX('TRANS'!$B:$B,MATCH(TRIM(SUBSTITUTE($B1888,CHAR(160)," ")),'TRANS'!$D:$D,0)),IFERROR(INDEX('Catalog'!$A:$A,MATCH($B1888,'Catalog'!$B:$B,0)),IFERROR(INDEX('Catalog'!$A:$A,MATCH(TRIM(SUBSTITUTE($B1888,CHAR(160)," ")),'Catalog'!$C:$C,0)),""))))</f>
        <v>4408132</v>
      </c>
      <c r="H1888" s="8" t="str">
        <f aca="false">IFERROR(INDEX('TRANS'!$C:$C,MATCH($B1888,'TRANS'!$A:$A,0)),IFERROR(INDEX('Catalog'!$B:$B,MATCH($G1888,'Catalog'!$A:$A,0)),$B1888))</f>
        <v>11EU XXL חגורת בטןלאחר ניתוח</v>
      </c>
      <c r="I1888" s="8" t="str">
        <f aca="false">IF($G1888="","Unmatched","Matched")</f>
        <v>Matched</v>
      </c>
      <c r="J1888" s="8" t="n">
        <f aca="false">IF($G1888&lt;&gt;"",$G1888,$B1888)</f>
        <v>4408132</v>
      </c>
      <c r="K1888" s="8" t="str">
        <f aca="false">IF(COUNTIF($M$1:$M$10,$A1888)&gt;0,"Y","N")</f>
        <v>Y</v>
      </c>
    </row>
    <row r="1889" customFormat="false" ht="15" hidden="false" customHeight="true" outlineLevel="0" collapsed="false">
      <c r="A1889" s="8" t="s">
        <v>54</v>
      </c>
      <c r="B1889" s="8" t="s">
        <v>185</v>
      </c>
      <c r="C1889" s="19" t="n">
        <v>1</v>
      </c>
      <c r="D1889" s="19" t="n">
        <v>115</v>
      </c>
      <c r="E1889" s="19" t="n">
        <v>0</v>
      </c>
      <c r="F1889" s="19" t="n">
        <v>41.98</v>
      </c>
      <c r="G1889" s="8" t="str">
        <f aca="false">IFERROR(INDEX('TRANS'!$B:$B,MATCH($B1889,'TRANS'!$A:$A,0)),IFERROR(INDEX('TRANS'!$B:$B,MATCH(TRIM(SUBSTITUTE($B1889,CHAR(160)," ")),'TRANS'!$D:$D,0)),IFERROR(INDEX('Catalog'!$A:$A,MATCH($B1889,'Catalog'!$B:$B,0)),IFERROR(INDEX('Catalog'!$A:$A,MATCH(TRIM(SUBSTITUTE($B1889,CHAR(160)," ")),'Catalog'!$C:$C,0)),""))))</f>
        <v/>
      </c>
      <c r="H1889" s="8" t="str">
        <f aca="false">IFERROR(INDEX('TRANS'!$C:$C,MATCH($B1889,'TRANS'!$A:$A,0)),IFERROR(INDEX('Catalog'!$B:$B,MATCH($G1889,'Catalog'!$A:$A,0)),$B1889))</f>
        <v>13 L</v>
      </c>
      <c r="I1889" s="8" t="str">
        <f aca="false">IF($G1889="","Unmatched","Matched")</f>
        <v>Unmatched</v>
      </c>
      <c r="J1889" s="8" t="str">
        <f aca="false">IF($G1889&lt;&gt;"",$G1889,$B1889)</f>
        <v>13 L</v>
      </c>
      <c r="K1889" s="8" t="str">
        <f aca="false">IF(COUNTIF($M$1:$M$10,$A1889)&gt;0,"Y","N")</f>
        <v>Y</v>
      </c>
    </row>
    <row r="1890" customFormat="false" ht="15" hidden="false" customHeight="true" outlineLevel="0" collapsed="false">
      <c r="A1890" s="8" t="s">
        <v>54</v>
      </c>
      <c r="B1890" s="8" t="s">
        <v>938</v>
      </c>
      <c r="C1890" s="19" t="n">
        <v>0</v>
      </c>
      <c r="D1890" s="19" t="n">
        <v>0</v>
      </c>
      <c r="E1890" s="19" t="n">
        <v>2</v>
      </c>
      <c r="F1890" s="19" t="n">
        <v>313.94</v>
      </c>
      <c r="G1890" s="8" t="n">
        <f aca="false">IFERROR(INDEX('TRANS'!$B:$B,MATCH($B1890,'TRANS'!$A:$A,0)),IFERROR(INDEX('TRANS'!$B:$B,MATCH(TRIM(SUBSTITUTE($B1890,CHAR(160)," ")),'TRANS'!$D:$D,0)),IFERROR(INDEX('Catalog'!$A:$A,MATCH($B1890,'Catalog'!$B:$B,0)),IFERROR(INDEX('Catalog'!$A:$A,MATCH(TRIM(SUBSTITUTE($B1890,CHAR(160)," ")),'Catalog'!$C:$C,0)),""))))</f>
        <v>4408179</v>
      </c>
      <c r="H1890" s="8" t="str">
        <f aca="false">IFERROR(INDEX('TRANS'!$C:$C,MATCH($B1890,'TRANS'!$A:$A,0)),IFERROR(INDEX('Catalog'!$B:$B,MATCH($G1890,'Catalog'!$A:$A,0)),$B1890))</f>
        <v>13 XL חגורה לשבר טבור</v>
      </c>
      <c r="I1890" s="8" t="str">
        <f aca="false">IF($G1890="","Unmatched","Matched")</f>
        <v>Matched</v>
      </c>
      <c r="J1890" s="8" t="n">
        <f aca="false">IF($G1890&lt;&gt;"",$G1890,$B1890)</f>
        <v>4408179</v>
      </c>
      <c r="K1890" s="8" t="str">
        <f aca="false">IF(COUNTIF($M$1:$M$10,$A1890)&gt;0,"Y","N")</f>
        <v>Y</v>
      </c>
    </row>
    <row r="1891" customFormat="false" ht="15" hidden="false" customHeight="true" outlineLevel="0" collapsed="false">
      <c r="A1891" s="8" t="s">
        <v>54</v>
      </c>
      <c r="B1891" s="8" t="s">
        <v>782</v>
      </c>
      <c r="C1891" s="19" t="n">
        <v>0</v>
      </c>
      <c r="D1891" s="19" t="n">
        <v>0</v>
      </c>
      <c r="E1891" s="19" t="n">
        <v>1</v>
      </c>
      <c r="F1891" s="19" t="n">
        <v>156.97</v>
      </c>
      <c r="G1891" s="8" t="n">
        <f aca="false">IFERROR(INDEX('TRANS'!$B:$B,MATCH($B1891,'TRANS'!$A:$A,0)),IFERROR(INDEX('TRANS'!$B:$B,MATCH(TRIM(SUBSTITUTE($B1891,CHAR(160)," ")),'TRANS'!$D:$D,0)),IFERROR(INDEX('Catalog'!$A:$A,MATCH($B1891,'Catalog'!$B:$B,0)),IFERROR(INDEX('Catalog'!$A:$A,MATCH(TRIM(SUBSTITUTE($B1891,CHAR(160)," ")),'Catalog'!$C:$C,0)),""))))</f>
        <v>4408180</v>
      </c>
      <c r="H1891" s="8" t="str">
        <f aca="false">IFERROR(INDEX('TRANS'!$C:$C,MATCH($B1891,'TRANS'!$A:$A,0)),IFERROR(INDEX('Catalog'!$B:$B,MATCH($G1891,'Catalog'!$A:$A,0)),$B1891))</f>
        <v>13 XXL חגורה לשבר טבור</v>
      </c>
      <c r="I1891" s="8" t="str">
        <f aca="false">IF($G1891="","Unmatched","Matched")</f>
        <v>Matched</v>
      </c>
      <c r="J1891" s="8" t="n">
        <f aca="false">IF($G1891&lt;&gt;"",$G1891,$B1891)</f>
        <v>4408180</v>
      </c>
      <c r="K1891" s="8" t="str">
        <f aca="false">IF(COUNTIF($M$1:$M$10,$A1891)&gt;0,"Y","N")</f>
        <v>Y</v>
      </c>
    </row>
    <row r="1892" customFormat="false" ht="15" hidden="false" customHeight="true" outlineLevel="0" collapsed="false">
      <c r="A1892" s="8" t="s">
        <v>54</v>
      </c>
      <c r="B1892" s="8" t="s">
        <v>572</v>
      </c>
      <c r="C1892" s="19" t="n">
        <v>5</v>
      </c>
      <c r="D1892" s="19" t="n">
        <v>1312.2</v>
      </c>
      <c r="E1892" s="19" t="n">
        <v>2</v>
      </c>
      <c r="F1892" s="19" t="n">
        <v>432.44</v>
      </c>
      <c r="G1892" s="8" t="n">
        <f aca="false">IFERROR(INDEX('TRANS'!$B:$B,MATCH($B1892,'TRANS'!$A:$A,0)),IFERROR(INDEX('TRANS'!$B:$B,MATCH(TRIM(SUBSTITUTE($B1892,CHAR(160)," ")),'TRANS'!$D:$D,0)),IFERROR(INDEX('Catalog'!$A:$A,MATCH($B1892,'Catalog'!$B:$B,0)),IFERROR(INDEX('Catalog'!$A:$A,MATCH(TRIM(SUBSTITUTE($B1892,CHAR(160)," ")),'Catalog'!$C:$C,0)),""))))</f>
        <v>4408203</v>
      </c>
      <c r="H1892" s="8" t="str">
        <f aca="false">IFERROR(INDEX('TRANS'!$C:$C,MATCH($B1892,'TRANS'!$A:$A,0)),IFERROR(INDEX('Catalog'!$B:$B,MATCH($G1892,'Catalog'!$A:$A,0)),$B1892))</f>
        <v>14 0 חגורה למנותחי בית חזה</v>
      </c>
      <c r="I1892" s="8" t="str">
        <f aca="false">IF($G1892="","Unmatched","Matched")</f>
        <v>Matched</v>
      </c>
      <c r="J1892" s="8" t="n">
        <f aca="false">IF($G1892&lt;&gt;"",$G1892,$B1892)</f>
        <v>4408203</v>
      </c>
      <c r="K1892" s="8" t="str">
        <f aca="false">IF(COUNTIF($M$1:$M$10,$A1892)&gt;0,"Y","N")</f>
        <v>Y</v>
      </c>
    </row>
    <row r="1893" customFormat="false" ht="15" hidden="false" customHeight="true" outlineLevel="0" collapsed="false">
      <c r="A1893" s="8" t="s">
        <v>54</v>
      </c>
      <c r="B1893" s="8" t="s">
        <v>577</v>
      </c>
      <c r="C1893" s="19" t="n">
        <v>3</v>
      </c>
      <c r="D1893" s="19" t="n">
        <v>112.36</v>
      </c>
      <c r="E1893" s="19" t="n">
        <v>2</v>
      </c>
      <c r="F1893" s="19" t="n">
        <v>74.91</v>
      </c>
      <c r="G1893" s="8" t="n">
        <f aca="false">IFERROR(INDEX('TRANS'!$B:$B,MATCH($B1893,'TRANS'!$A:$A,0)),IFERROR(INDEX('TRANS'!$B:$B,MATCH(TRIM(SUBSTITUTE($B1893,CHAR(160)," ")),'TRANS'!$D:$D,0)),IFERROR(INDEX('Catalog'!$A:$A,MATCH($B1893,'Catalog'!$B:$B,0)),IFERROR(INDEX('Catalog'!$A:$A,MATCH(TRIM(SUBSTITUTE($B1893,CHAR(160)," ")),'Catalog'!$C:$C,0)),""))))</f>
        <v>4411017</v>
      </c>
      <c r="H1893" s="8" t="str">
        <f aca="false">IFERROR(INDEX('TRANS'!$C:$C,MATCH($B1893,'TRANS'!$A:$A,0)),IFERROR(INDEX('Catalog'!$B:$B,MATCH($G1893,'Catalog'!$A:$A,0)),$B1893))</f>
        <v>211L כפפות לחץ</v>
      </c>
      <c r="I1893" s="8" t="str">
        <f aca="false">IF($G1893="","Unmatched","Matched")</f>
        <v>Matched</v>
      </c>
      <c r="J1893" s="8" t="n">
        <f aca="false">IF($G1893&lt;&gt;"",$G1893,$B1893)</f>
        <v>4411017</v>
      </c>
      <c r="K1893" s="8" t="str">
        <f aca="false">IF(COUNTIF($M$1:$M$10,$A1893)&gt;0,"Y","N")</f>
        <v>Y</v>
      </c>
    </row>
    <row r="1894" customFormat="false" ht="15" hidden="false" customHeight="true" outlineLevel="0" collapsed="false">
      <c r="A1894" s="8" t="s">
        <v>54</v>
      </c>
      <c r="B1894" s="8" t="s">
        <v>578</v>
      </c>
      <c r="C1894" s="19" t="n">
        <v>2</v>
      </c>
      <c r="D1894" s="19" t="n">
        <v>74.9</v>
      </c>
      <c r="E1894" s="19" t="n">
        <v>1</v>
      </c>
      <c r="F1894" s="19" t="n">
        <v>37.45</v>
      </c>
      <c r="G1894" s="8" t="n">
        <f aca="false">IFERROR(INDEX('TRANS'!$B:$B,MATCH($B1894,'TRANS'!$A:$A,0)),IFERROR(INDEX('TRANS'!$B:$B,MATCH(TRIM(SUBSTITUTE($B1894,CHAR(160)," ")),'TRANS'!$D:$D,0)),IFERROR(INDEX('Catalog'!$A:$A,MATCH($B1894,'Catalog'!$B:$B,0)),IFERROR(INDEX('Catalog'!$A:$A,MATCH(TRIM(SUBSTITUTE($B1894,CHAR(160)," ")),'Catalog'!$C:$C,0)),""))))</f>
        <v>4411018</v>
      </c>
      <c r="H1894" s="8" t="str">
        <f aca="false">IFERROR(INDEX('TRANS'!$C:$C,MATCH($B1894,'TRANS'!$A:$A,0)),IFERROR(INDEX('Catalog'!$B:$B,MATCH($G1894,'Catalog'!$A:$A,0)),$B1894))</f>
        <v>211M כפפות לחץ</v>
      </c>
      <c r="I1894" s="8" t="str">
        <f aca="false">IF($G1894="","Unmatched","Matched")</f>
        <v>Matched</v>
      </c>
      <c r="J1894" s="8" t="n">
        <f aca="false">IF($G1894&lt;&gt;"",$G1894,$B1894)</f>
        <v>4411018</v>
      </c>
      <c r="K1894" s="8" t="str">
        <f aca="false">IF(COUNTIF($M$1:$M$10,$A1894)&gt;0,"Y","N")</f>
        <v>Y</v>
      </c>
    </row>
    <row r="1895" customFormat="false" ht="15" hidden="false" customHeight="true" outlineLevel="0" collapsed="false">
      <c r="A1895" s="8" t="s">
        <v>54</v>
      </c>
      <c r="B1895" s="8" t="s">
        <v>579</v>
      </c>
      <c r="C1895" s="19" t="n">
        <v>1</v>
      </c>
      <c r="D1895" s="19" t="n">
        <v>37.45</v>
      </c>
      <c r="E1895" s="19" t="n">
        <v>1</v>
      </c>
      <c r="F1895" s="19" t="n">
        <v>37.45</v>
      </c>
      <c r="G1895" s="8" t="n">
        <f aca="false">IFERROR(INDEX('TRANS'!$B:$B,MATCH($B1895,'TRANS'!$A:$A,0)),IFERROR(INDEX('TRANS'!$B:$B,MATCH(TRIM(SUBSTITUTE($B1895,CHAR(160)," ")),'TRANS'!$D:$D,0)),IFERROR(INDEX('Catalog'!$A:$A,MATCH($B1895,'Catalog'!$B:$B,0)),IFERROR(INDEX('Catalog'!$A:$A,MATCH(TRIM(SUBSTITUTE($B1895,CHAR(160)," ")),'Catalog'!$C:$C,0)),""))))</f>
        <v>4411019</v>
      </c>
      <c r="H1895" s="8" t="str">
        <f aca="false">IFERROR(INDEX('TRANS'!$C:$C,MATCH($B1895,'TRANS'!$A:$A,0)),IFERROR(INDEX('Catalog'!$B:$B,MATCH($G1895,'Catalog'!$A:$A,0)),$B1895))</f>
        <v>211S כפפות לחץ</v>
      </c>
      <c r="I1895" s="8" t="str">
        <f aca="false">IF($G1895="","Unmatched","Matched")</f>
        <v>Matched</v>
      </c>
      <c r="J1895" s="8" t="n">
        <f aca="false">IF($G1895&lt;&gt;"",$G1895,$B1895)</f>
        <v>4411019</v>
      </c>
      <c r="K1895" s="8" t="str">
        <f aca="false">IF(COUNTIF($M$1:$M$10,$A1895)&gt;0,"Y","N")</f>
        <v>Y</v>
      </c>
    </row>
    <row r="1896" customFormat="false" ht="15" hidden="false" customHeight="true" outlineLevel="0" collapsed="false">
      <c r="A1896" s="8" t="s">
        <v>54</v>
      </c>
      <c r="B1896" s="8" t="s">
        <v>967</v>
      </c>
      <c r="C1896" s="19" t="n">
        <v>1</v>
      </c>
      <c r="D1896" s="19" t="n">
        <v>37.45</v>
      </c>
      <c r="E1896" s="19" t="n">
        <v>1</v>
      </c>
      <c r="F1896" s="19" t="n">
        <v>37.45</v>
      </c>
      <c r="G1896" s="8" t="n">
        <f aca="false">IFERROR(INDEX('TRANS'!$B:$B,MATCH($B1896,'TRANS'!$A:$A,0)),IFERROR(INDEX('TRANS'!$B:$B,MATCH(TRIM(SUBSTITUTE($B1896,CHAR(160)," ")),'TRANS'!$D:$D,0)),IFERROR(INDEX('Catalog'!$A:$A,MATCH($B1896,'Catalog'!$B:$B,0)),IFERROR(INDEX('Catalog'!$A:$A,MATCH(TRIM(SUBSTITUTE($B1896,CHAR(160)," ")),'Catalog'!$C:$C,0)),""))))</f>
        <v>4411020</v>
      </c>
      <c r="H1896" s="8" t="str">
        <f aca="false">IFERROR(INDEX('TRANS'!$C:$C,MATCH($B1896,'TRANS'!$A:$A,0)),IFERROR(INDEX('Catalog'!$B:$B,MATCH($G1896,'Catalog'!$A:$A,0)),$B1896))</f>
        <v>211XL כפפות לחץ</v>
      </c>
      <c r="I1896" s="8" t="str">
        <f aca="false">IF($G1896="","Unmatched","Matched")</f>
        <v>Matched</v>
      </c>
      <c r="J1896" s="8" t="n">
        <f aca="false">IF($G1896&lt;&gt;"",$G1896,$B1896)</f>
        <v>4411020</v>
      </c>
      <c r="K1896" s="8" t="str">
        <f aca="false">IF(COUNTIF($M$1:$M$10,$A1896)&gt;0,"Y","N")</f>
        <v>Y</v>
      </c>
    </row>
    <row r="1897" customFormat="false" ht="15" hidden="false" customHeight="true" outlineLevel="0" collapsed="false">
      <c r="A1897" s="8" t="s">
        <v>54</v>
      </c>
      <c r="B1897" s="8" t="s">
        <v>580</v>
      </c>
      <c r="C1897" s="19" t="n">
        <v>0</v>
      </c>
      <c r="D1897" s="19" t="n">
        <v>0</v>
      </c>
      <c r="E1897" s="19" t="n">
        <v>2</v>
      </c>
      <c r="F1897" s="19" t="n">
        <v>79.59</v>
      </c>
      <c r="G1897" s="8" t="n">
        <f aca="false">IFERROR(INDEX('TRANS'!$B:$B,MATCH($B1897,'TRANS'!$A:$A,0)),IFERROR(INDEX('TRANS'!$B:$B,MATCH(TRIM(SUBSTITUTE($B1897,CHAR(160)," ")),'TRANS'!$D:$D,0)),IFERROR(INDEX('Catalog'!$A:$A,MATCH($B1897,'Catalog'!$B:$B,0)),IFERROR(INDEX('Catalog'!$A:$A,MATCH(TRIM(SUBSTITUTE($B1897,CHAR(160)," ")),'Catalog'!$C:$C,0)),""))))</f>
        <v>4411021</v>
      </c>
      <c r="H1897" s="8" t="str">
        <f aca="false">IFERROR(INDEX('TRANS'!$C:$C,MATCH($B1897,'TRANS'!$A:$A,0)),IFERROR(INDEX('Catalog'!$B:$B,MATCH($G1897,'Catalog'!$A:$A,0)),$B1897))</f>
        <v>212L כפפות אגודל לחץ</v>
      </c>
      <c r="I1897" s="8" t="str">
        <f aca="false">IF($G1897="","Unmatched","Matched")</f>
        <v>Matched</v>
      </c>
      <c r="J1897" s="8" t="n">
        <f aca="false">IF($G1897&lt;&gt;"",$G1897,$B1897)</f>
        <v>4411021</v>
      </c>
      <c r="K1897" s="8" t="str">
        <f aca="false">IF(COUNTIF($M$1:$M$10,$A1897)&gt;0,"Y","N")</f>
        <v>Y</v>
      </c>
    </row>
    <row r="1898" customFormat="false" ht="15" hidden="false" customHeight="true" outlineLevel="0" collapsed="false">
      <c r="A1898" s="8" t="s">
        <v>54</v>
      </c>
      <c r="B1898" s="8" t="s">
        <v>581</v>
      </c>
      <c r="C1898" s="19" t="n">
        <v>1</v>
      </c>
      <c r="D1898" s="19" t="n">
        <v>39.79</v>
      </c>
      <c r="E1898" s="19" t="n">
        <v>2</v>
      </c>
      <c r="F1898" s="19" t="n">
        <v>79.59</v>
      </c>
      <c r="G1898" s="8" t="n">
        <f aca="false">IFERROR(INDEX('TRANS'!$B:$B,MATCH($B1898,'TRANS'!$A:$A,0)),IFERROR(INDEX('TRANS'!$B:$B,MATCH(TRIM(SUBSTITUTE($B1898,CHAR(160)," ")),'TRANS'!$D:$D,0)),IFERROR(INDEX('Catalog'!$A:$A,MATCH($B1898,'Catalog'!$B:$B,0)),IFERROR(INDEX('Catalog'!$A:$A,MATCH(TRIM(SUBSTITUTE($B1898,CHAR(160)," ")),'Catalog'!$C:$C,0)),""))))</f>
        <v>4411022</v>
      </c>
      <c r="H1898" s="8" t="str">
        <f aca="false">IFERROR(INDEX('TRANS'!$C:$C,MATCH($B1898,'TRANS'!$A:$A,0)),IFERROR(INDEX('Catalog'!$B:$B,MATCH($G1898,'Catalog'!$A:$A,0)),$B1898))</f>
        <v>212M כפפות אגודל לחץ</v>
      </c>
      <c r="I1898" s="8" t="str">
        <f aca="false">IF($G1898="","Unmatched","Matched")</f>
        <v>Matched</v>
      </c>
      <c r="J1898" s="8" t="n">
        <f aca="false">IF($G1898&lt;&gt;"",$G1898,$B1898)</f>
        <v>4411022</v>
      </c>
      <c r="K1898" s="8" t="str">
        <f aca="false">IF(COUNTIF($M$1:$M$10,$A1898)&gt;0,"Y","N")</f>
        <v>Y</v>
      </c>
    </row>
    <row r="1899" customFormat="false" ht="15" hidden="false" customHeight="true" outlineLevel="0" collapsed="false">
      <c r="A1899" s="8" t="s">
        <v>54</v>
      </c>
      <c r="B1899" s="8" t="s">
        <v>582</v>
      </c>
      <c r="C1899" s="19" t="n">
        <v>0</v>
      </c>
      <c r="D1899" s="19" t="n">
        <v>0</v>
      </c>
      <c r="E1899" s="19" t="n">
        <v>2</v>
      </c>
      <c r="F1899" s="19" t="n">
        <v>79.59</v>
      </c>
      <c r="G1899" s="8" t="n">
        <f aca="false">IFERROR(INDEX('TRANS'!$B:$B,MATCH($B1899,'TRANS'!$A:$A,0)),IFERROR(INDEX('TRANS'!$B:$B,MATCH(TRIM(SUBSTITUTE($B1899,CHAR(160)," ")),'TRANS'!$D:$D,0)),IFERROR(INDEX('Catalog'!$A:$A,MATCH($B1899,'Catalog'!$B:$B,0)),IFERROR(INDEX('Catalog'!$A:$A,MATCH(TRIM(SUBSTITUTE($B1899,CHAR(160)," ")),'Catalog'!$C:$C,0)),""))))</f>
        <v>4411023</v>
      </c>
      <c r="H1899" s="8" t="str">
        <f aca="false">IFERROR(INDEX('TRANS'!$C:$C,MATCH($B1899,'TRANS'!$A:$A,0)),IFERROR(INDEX('Catalog'!$B:$B,MATCH($G1899,'Catalog'!$A:$A,0)),$B1899))</f>
        <v>212S כפפות אגודל לחץ</v>
      </c>
      <c r="I1899" s="8" t="str">
        <f aca="false">IF($G1899="","Unmatched","Matched")</f>
        <v>Matched</v>
      </c>
      <c r="J1899" s="8" t="n">
        <f aca="false">IF($G1899&lt;&gt;"",$G1899,$B1899)</f>
        <v>4411023</v>
      </c>
      <c r="K1899" s="8" t="str">
        <f aca="false">IF(COUNTIF($M$1:$M$10,$A1899)&gt;0,"Y","N")</f>
        <v>Y</v>
      </c>
    </row>
    <row r="1900" customFormat="false" ht="15" hidden="false" customHeight="true" outlineLevel="0" collapsed="false">
      <c r="A1900" s="8" t="s">
        <v>54</v>
      </c>
      <c r="B1900" s="8" t="s">
        <v>941</v>
      </c>
      <c r="C1900" s="19" t="n">
        <v>4</v>
      </c>
      <c r="D1900" s="19" t="n">
        <v>334.4</v>
      </c>
      <c r="E1900" s="19" t="n">
        <v>0</v>
      </c>
      <c r="F1900" s="19" t="n">
        <v>0</v>
      </c>
      <c r="G1900" s="8" t="n">
        <f aca="false">IFERROR(INDEX('TRANS'!$B:$B,MATCH($B1900,'TRANS'!$A:$A,0)),IFERROR(INDEX('TRANS'!$B:$B,MATCH(TRIM(SUBSTITUTE($B1900,CHAR(160)," ")),'TRANS'!$D:$D,0)),IFERROR(INDEX('Catalog'!$A:$A,MATCH($B1900,'Catalog'!$B:$B,0)),IFERROR(INDEX('Catalog'!$A:$A,MATCH(TRIM(SUBSTITUTE($B1900,CHAR(160)," ")),'Catalog'!$C:$C,0)),""))))</f>
        <v>4413154</v>
      </c>
      <c r="H1900" s="8" t="str">
        <f aca="false">IFERROR(INDEX('TRANS'!$C:$C,MATCH($B1900,'TRANS'!$A:$A,0)),IFERROR(INDEX('Catalog'!$B:$B,MATCH($G1900,'Catalog'!$A:$A,0)),$B1900))</f>
        <v>305GA מדרס אורטופ.מתכוון37-38</v>
      </c>
      <c r="I1900" s="8" t="str">
        <f aca="false">IF($G1900="","Unmatched","Matched")</f>
        <v>Matched</v>
      </c>
      <c r="J1900" s="8" t="n">
        <f aca="false">IF($G1900&lt;&gt;"",$G1900,$B1900)</f>
        <v>4413154</v>
      </c>
      <c r="K1900" s="8" t="str">
        <f aca="false">IF(COUNTIF($M$1:$M$10,$A1900)&gt;0,"Y","N")</f>
        <v>Y</v>
      </c>
    </row>
    <row r="1901" customFormat="false" ht="15" hidden="false" customHeight="true" outlineLevel="0" collapsed="false">
      <c r="A1901" s="8" t="s">
        <v>54</v>
      </c>
      <c r="B1901" s="8" t="s">
        <v>600</v>
      </c>
      <c r="C1901" s="19" t="n">
        <v>17</v>
      </c>
      <c r="D1901" s="19" t="n">
        <v>1381.93</v>
      </c>
      <c r="E1901" s="19" t="n">
        <v>5</v>
      </c>
      <c r="F1901" s="19" t="n">
        <v>406.02</v>
      </c>
      <c r="G1901" s="8" t="n">
        <f aca="false">IFERROR(INDEX('TRANS'!$B:$B,MATCH($B1901,'TRANS'!$A:$A,0)),IFERROR(INDEX('TRANS'!$B:$B,MATCH(TRIM(SUBSTITUTE($B1901,CHAR(160)," ")),'TRANS'!$D:$D,0)),IFERROR(INDEX('Catalog'!$A:$A,MATCH($B1901,'Catalog'!$B:$B,0)),IFERROR(INDEX('Catalog'!$A:$A,MATCH(TRIM(SUBSTITUTE($B1901,CHAR(160)," ")),'Catalog'!$C:$C,0)),""))))</f>
        <v>4413158</v>
      </c>
      <c r="H1901" s="8" t="str">
        <f aca="false">IFERROR(INDEX('TRANS'!$C:$C,MATCH($B1901,'TRANS'!$A:$A,0)),IFERROR(INDEX('Catalog'!$B:$B,MATCH($G1901,'Catalog'!$A:$A,0)),$B1901))</f>
        <v>305GA מדרס אורטופ.מתכוון45-46</v>
      </c>
      <c r="I1901" s="8" t="str">
        <f aca="false">IF($G1901="","Unmatched","Matched")</f>
        <v>Matched</v>
      </c>
      <c r="J1901" s="8" t="n">
        <f aca="false">IF($G1901&lt;&gt;"",$G1901,$B1901)</f>
        <v>4413158</v>
      </c>
      <c r="K1901" s="8" t="str">
        <f aca="false">IF(COUNTIF($M$1:$M$10,$A1901)&gt;0,"Y","N")</f>
        <v>Y</v>
      </c>
    </row>
    <row r="1902" customFormat="false" ht="15" hidden="false" customHeight="true" outlineLevel="0" collapsed="false">
      <c r="A1902" s="8" t="s">
        <v>54</v>
      </c>
      <c r="B1902" s="8" t="s">
        <v>611</v>
      </c>
      <c r="C1902" s="19" t="n">
        <v>1</v>
      </c>
      <c r="D1902" s="19" t="n">
        <v>61.41</v>
      </c>
      <c r="E1902" s="19" t="n">
        <v>0</v>
      </c>
      <c r="F1902" s="19" t="n">
        <v>0</v>
      </c>
      <c r="G1902" s="8" t="n">
        <f aca="false">IFERROR(INDEX('TRANS'!$B:$B,MATCH($B1902,'TRANS'!$A:$A,0)),IFERROR(INDEX('TRANS'!$B:$B,MATCH(TRIM(SUBSTITUTE($B1902,CHAR(160)," ")),'TRANS'!$D:$D,0)),IFERROR(INDEX('Catalog'!$A:$A,MATCH($B1902,'Catalog'!$B:$B,0)),IFERROR(INDEX('Catalog'!$A:$A,MATCH(TRIM(SUBSTITUTE($B1902,CHAR(160)," ")),'Catalog'!$C:$C,0)),""))))</f>
        <v>4413161</v>
      </c>
      <c r="H1902" s="8" t="str">
        <f aca="false">IFERROR(INDEX('TRANS'!$C:$C,MATCH($B1902,'TRANS'!$A:$A,0)),IFERROR(INDEX('Catalog'!$B:$B,MATCH($G1902,'Catalog'!$A:$A,0)),$B1902))</f>
        <v>34+ L מגן קרסול עקב סגור+רצוע</v>
      </c>
      <c r="I1902" s="8" t="str">
        <f aca="false">IF($G1902="","Unmatched","Matched")</f>
        <v>Matched</v>
      </c>
      <c r="J1902" s="8" t="n">
        <f aca="false">IF($G1902&lt;&gt;"",$G1902,$B1902)</f>
        <v>4413161</v>
      </c>
      <c r="K1902" s="8" t="str">
        <f aca="false">IF(COUNTIF($M$1:$M$10,$A1902)&gt;0,"Y","N")</f>
        <v>Y</v>
      </c>
    </row>
    <row r="1903" customFormat="false" ht="15" hidden="false" customHeight="true" outlineLevel="0" collapsed="false">
      <c r="A1903" s="8" t="s">
        <v>54</v>
      </c>
      <c r="B1903" s="8" t="s">
        <v>790</v>
      </c>
      <c r="C1903" s="19" t="n">
        <v>1</v>
      </c>
      <c r="D1903" s="19" t="n">
        <v>61.41</v>
      </c>
      <c r="E1903" s="19" t="n">
        <v>0</v>
      </c>
      <c r="F1903" s="19" t="n">
        <v>0</v>
      </c>
      <c r="G1903" s="8" t="n">
        <f aca="false">IFERROR(INDEX('TRANS'!$B:$B,MATCH($B1903,'TRANS'!$A:$A,0)),IFERROR(INDEX('TRANS'!$B:$B,MATCH(TRIM(SUBSTITUTE($B1903,CHAR(160)," ")),'TRANS'!$D:$D,0)),IFERROR(INDEX('Catalog'!$A:$A,MATCH($B1903,'Catalog'!$B:$B,0)),IFERROR(INDEX('Catalog'!$A:$A,MATCH(TRIM(SUBSTITUTE($B1903,CHAR(160)," ")),'Catalog'!$C:$C,0)),""))))</f>
        <v>4413160</v>
      </c>
      <c r="H1903" s="8" t="str">
        <f aca="false">IFERROR(INDEX('TRANS'!$C:$C,MATCH($B1903,'TRANS'!$A:$A,0)),IFERROR(INDEX('Catalog'!$B:$B,MATCH($G1903,'Catalog'!$A:$A,0)),$B1903))</f>
        <v>34+ M מגן קרסול עקב סגור+רצוע</v>
      </c>
      <c r="I1903" s="8" t="str">
        <f aca="false">IF($G1903="","Unmatched","Matched")</f>
        <v>Matched</v>
      </c>
      <c r="J1903" s="8" t="n">
        <f aca="false">IF($G1903&lt;&gt;"",$G1903,$B1903)</f>
        <v>4413160</v>
      </c>
      <c r="K1903" s="8" t="str">
        <f aca="false">IF(COUNTIF($M$1:$M$10,$A1903)&gt;0,"Y","N")</f>
        <v>Y</v>
      </c>
    </row>
    <row r="1904" customFormat="false" ht="15" hidden="false" customHeight="true" outlineLevel="0" collapsed="false">
      <c r="A1904" s="8" t="s">
        <v>54</v>
      </c>
      <c r="B1904" s="8" t="s">
        <v>613</v>
      </c>
      <c r="C1904" s="19" t="n">
        <v>1</v>
      </c>
      <c r="D1904" s="19" t="n">
        <v>30.89</v>
      </c>
      <c r="E1904" s="19" t="n">
        <v>0</v>
      </c>
      <c r="F1904" s="19" t="n">
        <v>0</v>
      </c>
      <c r="G1904" s="8" t="n">
        <f aca="false">IFERROR(INDEX('TRANS'!$B:$B,MATCH($B1904,'TRANS'!$A:$A,0)),IFERROR(INDEX('TRANS'!$B:$B,MATCH(TRIM(SUBSTITUTE($B1904,CHAR(160)," ")),'TRANS'!$D:$D,0)),IFERROR(INDEX('Catalog'!$A:$A,MATCH($B1904,'Catalog'!$B:$B,0)),IFERROR(INDEX('Catalog'!$A:$A,MATCH(TRIM(SUBSTITUTE($B1904,CHAR(160)," ")),'Catalog'!$C:$C,0)),""))))</f>
        <v>4413048</v>
      </c>
      <c r="H1904" s="8" t="str">
        <f aca="false">IFERROR(INDEX('TRANS'!$C:$C,MATCH($B1904,'TRANS'!$A:$A,0)),IFERROR(INDEX('Catalog'!$B:$B,MATCH($G1904,'Catalog'!$A:$A,0)),$B1904))</f>
        <v>35 L מגן קרסול לבן</v>
      </c>
      <c r="I1904" s="8" t="str">
        <f aca="false">IF($G1904="","Unmatched","Matched")</f>
        <v>Matched</v>
      </c>
      <c r="J1904" s="8" t="n">
        <f aca="false">IF($G1904&lt;&gt;"",$G1904,$B1904)</f>
        <v>4413048</v>
      </c>
      <c r="K1904" s="8" t="str">
        <f aca="false">IF(COUNTIF($M$1:$M$10,$A1904)&gt;0,"Y","N")</f>
        <v>Y</v>
      </c>
    </row>
    <row r="1905" customFormat="false" ht="15" hidden="false" customHeight="true" outlineLevel="0" collapsed="false">
      <c r="A1905" s="8" t="s">
        <v>54</v>
      </c>
      <c r="B1905" s="8" t="s">
        <v>614</v>
      </c>
      <c r="C1905" s="19" t="n">
        <v>1</v>
      </c>
      <c r="D1905" s="19" t="n">
        <v>30.89</v>
      </c>
      <c r="E1905" s="19" t="n">
        <v>0</v>
      </c>
      <c r="F1905" s="19" t="n">
        <v>0</v>
      </c>
      <c r="G1905" s="8" t="n">
        <f aca="false">IFERROR(INDEX('TRANS'!$B:$B,MATCH($B1905,'TRANS'!$A:$A,0)),IFERROR(INDEX('TRANS'!$B:$B,MATCH(TRIM(SUBSTITUTE($B1905,CHAR(160)," ")),'TRANS'!$D:$D,0)),IFERROR(INDEX('Catalog'!$A:$A,MATCH($B1905,'Catalog'!$B:$B,0)),IFERROR(INDEX('Catalog'!$A:$A,MATCH(TRIM(SUBSTITUTE($B1905,CHAR(160)," ")),'Catalog'!$C:$C,0)),""))))</f>
        <v>4413049</v>
      </c>
      <c r="H1905" s="8" t="str">
        <f aca="false">IFERROR(INDEX('TRANS'!$C:$C,MATCH($B1905,'TRANS'!$A:$A,0)),IFERROR(INDEX('Catalog'!$B:$B,MATCH($G1905,'Catalog'!$A:$A,0)),$B1905))</f>
        <v>35 M מגן קרסול לבן</v>
      </c>
      <c r="I1905" s="8" t="str">
        <f aca="false">IF($G1905="","Unmatched","Matched")</f>
        <v>Matched</v>
      </c>
      <c r="J1905" s="8" t="n">
        <f aca="false">IF($G1905&lt;&gt;"",$G1905,$B1905)</f>
        <v>4413049</v>
      </c>
      <c r="K1905" s="8" t="str">
        <f aca="false">IF(COUNTIF($M$1:$M$10,$A1905)&gt;0,"Y","N")</f>
        <v>Y</v>
      </c>
    </row>
    <row r="1906" customFormat="false" ht="15" hidden="false" customHeight="true" outlineLevel="0" collapsed="false">
      <c r="A1906" s="8" t="s">
        <v>54</v>
      </c>
      <c r="B1906" s="8" t="s">
        <v>792</v>
      </c>
      <c r="C1906" s="19" t="n">
        <v>1</v>
      </c>
      <c r="D1906" s="19" t="n">
        <v>30.89</v>
      </c>
      <c r="E1906" s="19" t="n">
        <v>0</v>
      </c>
      <c r="F1906" s="19" t="n">
        <v>0</v>
      </c>
      <c r="G1906" s="8" t="n">
        <f aca="false">IFERROR(INDEX('TRANS'!$B:$B,MATCH($B1906,'TRANS'!$A:$A,0)),IFERROR(INDEX('TRANS'!$B:$B,MATCH(TRIM(SUBSTITUTE($B1906,CHAR(160)," ")),'TRANS'!$D:$D,0)),IFERROR(INDEX('Catalog'!$A:$A,MATCH($B1906,'Catalog'!$B:$B,0)),IFERROR(INDEX('Catalog'!$A:$A,MATCH(TRIM(SUBSTITUTE($B1906,CHAR(160)," ")),'Catalog'!$C:$C,0)),""))))</f>
        <v>4413047</v>
      </c>
      <c r="H1906" s="8" t="str">
        <f aca="false">IFERROR(INDEX('TRANS'!$C:$C,MATCH($B1906,'TRANS'!$A:$A,0)),IFERROR(INDEX('Catalog'!$B:$B,MATCH($G1906,'Catalog'!$A:$A,0)),$B1906))</f>
        <v>35 S מגן קרסול לבן</v>
      </c>
      <c r="I1906" s="8" t="str">
        <f aca="false">IF($G1906="","Unmatched","Matched")</f>
        <v>Matched</v>
      </c>
      <c r="J1906" s="8" t="n">
        <f aca="false">IF($G1906&lt;&gt;"",$G1906,$B1906)</f>
        <v>4413047</v>
      </c>
      <c r="K1906" s="8" t="str">
        <f aca="false">IF(COUNTIF($M$1:$M$10,$A1906)&gt;0,"Y","N")</f>
        <v>Y</v>
      </c>
    </row>
    <row r="1907" customFormat="false" ht="15" hidden="false" customHeight="true" outlineLevel="0" collapsed="false">
      <c r="A1907" s="8" t="s">
        <v>54</v>
      </c>
      <c r="B1907" s="8" t="s">
        <v>793</v>
      </c>
      <c r="C1907" s="19" t="n">
        <v>1</v>
      </c>
      <c r="D1907" s="19" t="n">
        <v>30.89</v>
      </c>
      <c r="E1907" s="19" t="n">
        <v>0</v>
      </c>
      <c r="F1907" s="19" t="n">
        <v>0</v>
      </c>
      <c r="G1907" s="8" t="n">
        <f aca="false">IFERROR(INDEX('TRANS'!$B:$B,MATCH($B1907,'TRANS'!$A:$A,0)),IFERROR(INDEX('TRANS'!$B:$B,MATCH(TRIM(SUBSTITUTE($B1907,CHAR(160)," ")),'TRANS'!$D:$D,0)),IFERROR(INDEX('Catalog'!$A:$A,MATCH($B1907,'Catalog'!$B:$B,0)),IFERROR(INDEX('Catalog'!$A:$A,MATCH(TRIM(SUBSTITUTE($B1907,CHAR(160)," ")),'Catalog'!$C:$C,0)),""))))</f>
        <v>4413050</v>
      </c>
      <c r="H1907" s="8" t="str">
        <f aca="false">IFERROR(INDEX('TRANS'!$C:$C,MATCH($B1907,'TRANS'!$A:$A,0)),IFERROR(INDEX('Catalog'!$B:$B,MATCH($G1907,'Catalog'!$A:$A,0)),$B1907))</f>
        <v>35 XL מגן קרסול לבן</v>
      </c>
      <c r="I1907" s="8" t="str">
        <f aca="false">IF($G1907="","Unmatched","Matched")</f>
        <v>Matched</v>
      </c>
      <c r="J1907" s="8" t="n">
        <f aca="false">IF($G1907&lt;&gt;"",$G1907,$B1907)</f>
        <v>4413050</v>
      </c>
      <c r="K1907" s="8" t="str">
        <f aca="false">IF(COUNTIF($M$1:$M$10,$A1907)&gt;0,"Y","N")</f>
        <v>Y</v>
      </c>
    </row>
    <row r="1908" customFormat="false" ht="15" hidden="false" customHeight="true" outlineLevel="0" collapsed="false">
      <c r="A1908" s="8" t="s">
        <v>54</v>
      </c>
      <c r="B1908" s="8" t="s">
        <v>626</v>
      </c>
      <c r="C1908" s="19" t="n">
        <v>6</v>
      </c>
      <c r="D1908" s="19" t="n">
        <v>182.52</v>
      </c>
      <c r="E1908" s="19" t="n">
        <v>1</v>
      </c>
      <c r="F1908" s="19" t="n">
        <v>30.42</v>
      </c>
      <c r="G1908" s="8" t="n">
        <f aca="false">IFERROR(INDEX('TRANS'!$B:$B,MATCH($B1908,'TRANS'!$A:$A,0)),IFERROR(INDEX('TRANS'!$B:$B,MATCH(TRIM(SUBSTITUTE($B1908,CHAR(160)," ")),'TRANS'!$D:$D,0)),IFERROR(INDEX('Catalog'!$A:$A,MATCH($B1908,'Catalog'!$B:$B,0)),IFERROR(INDEX('Catalog'!$A:$A,MATCH(TRIM(SUBSTITUTE($B1908,CHAR(160)," ")),'Catalog'!$C:$C,0)),""))))</f>
        <v>4411000</v>
      </c>
      <c r="H1908" s="8" t="str">
        <f aca="false">IFERROR(INDEX('TRANS'!$C:$C,MATCH($B1908,'TRANS'!$A:$A,0)),IFERROR(INDEX('Catalog'!$B:$B,MATCH($G1908,'Catalog'!$A:$A,0)),$B1908))</f>
        <v>כרית מטטרזלי סיליקון362</v>
      </c>
      <c r="I1908" s="8" t="str">
        <f aca="false">IF($G1908="","Unmatched","Matched")</f>
        <v>Matched</v>
      </c>
      <c r="J1908" s="8" t="n">
        <f aca="false">IF($G1908&lt;&gt;"",$G1908,$B1908)</f>
        <v>4411000</v>
      </c>
      <c r="K1908" s="8" t="str">
        <f aca="false">IF(COUNTIF($M$1:$M$10,$A1908)&gt;0,"Y","N")</f>
        <v>Y</v>
      </c>
    </row>
    <row r="1909" customFormat="false" ht="15" hidden="false" customHeight="true" outlineLevel="0" collapsed="false">
      <c r="A1909" s="8" t="s">
        <v>54</v>
      </c>
      <c r="B1909" s="8" t="s">
        <v>652</v>
      </c>
      <c r="C1909" s="19" t="n">
        <v>1</v>
      </c>
      <c r="D1909" s="19" t="n">
        <v>35.11</v>
      </c>
      <c r="E1909" s="19" t="n">
        <v>0</v>
      </c>
      <c r="F1909" s="19" t="n">
        <v>0</v>
      </c>
      <c r="G1909" s="8" t="n">
        <f aca="false">IFERROR(INDEX('TRANS'!$B:$B,MATCH($B1909,'TRANS'!$A:$A,0)),IFERROR(INDEX('TRANS'!$B:$B,MATCH(TRIM(SUBSTITUTE($B1909,CHAR(160)," ")),'TRANS'!$D:$D,0)),IFERROR(INDEX('Catalog'!$A:$A,MATCH($B1909,'Catalog'!$B:$B,0)),IFERROR(INDEX('Catalog'!$A:$A,MATCH(TRIM(SUBSTITUTE($B1909,CHAR(160)," ")),'Catalog'!$C:$C,0)),""))))</f>
        <v>4403000</v>
      </c>
      <c r="H1909" s="8" t="str">
        <f aca="false">IFERROR(INDEX('TRANS'!$C:$C,MATCH($B1909,'TRANS'!$A:$A,0)),IFERROR(INDEX('Catalog'!$B:$B,MATCH($G1909,'Catalog'!$A:$A,0)),$B1909))</f>
        <v>390B גרב.כסף לסכרתים שחור35-38</v>
      </c>
      <c r="I1909" s="8" t="str">
        <f aca="false">IF($G1909="","Unmatched","Matched")</f>
        <v>Matched</v>
      </c>
      <c r="J1909" s="8" t="n">
        <f aca="false">IF($G1909&lt;&gt;"",$G1909,$B1909)</f>
        <v>4403000</v>
      </c>
      <c r="K1909" s="8" t="str">
        <f aca="false">IF(COUNTIF($M$1:$M$10,$A1909)&gt;0,"Y","N")</f>
        <v>Y</v>
      </c>
    </row>
    <row r="1910" customFormat="false" ht="15" hidden="false" customHeight="true" outlineLevel="0" collapsed="false">
      <c r="A1910" s="8" t="s">
        <v>54</v>
      </c>
      <c r="B1910" s="8" t="s">
        <v>653</v>
      </c>
      <c r="C1910" s="19" t="n">
        <v>3</v>
      </c>
      <c r="D1910" s="19" t="n">
        <v>102.52</v>
      </c>
      <c r="E1910" s="19" t="n">
        <v>2</v>
      </c>
      <c r="F1910" s="19" t="n">
        <v>70.22</v>
      </c>
      <c r="G1910" s="8" t="n">
        <f aca="false">IFERROR(INDEX('TRANS'!$B:$B,MATCH($B1910,'TRANS'!$A:$A,0)),IFERROR(INDEX('TRANS'!$B:$B,MATCH(TRIM(SUBSTITUTE($B1910,CHAR(160)," ")),'TRANS'!$D:$D,0)),IFERROR(INDEX('Catalog'!$A:$A,MATCH($B1910,'Catalog'!$B:$B,0)),IFERROR(INDEX('Catalog'!$A:$A,MATCH(TRIM(SUBSTITUTE($B1910,CHAR(160)," ")),'Catalog'!$C:$C,0)),""))))</f>
        <v>4403001</v>
      </c>
      <c r="H1910" s="8" t="str">
        <f aca="false">IFERROR(INDEX('TRANS'!$C:$C,MATCH($B1910,'TRANS'!$A:$A,0)),IFERROR(INDEX('Catalog'!$B:$B,MATCH($G1910,'Catalog'!$A:$A,0)),$B1910))</f>
        <v>390B 39-42.גרב.כסף לסכרתיים שח</v>
      </c>
      <c r="I1910" s="8" t="str">
        <f aca="false">IF($G1910="","Unmatched","Matched")</f>
        <v>Matched</v>
      </c>
      <c r="J1910" s="8" t="n">
        <f aca="false">IF($G1910&lt;&gt;"",$G1910,$B1910)</f>
        <v>4403001</v>
      </c>
      <c r="K1910" s="8" t="str">
        <f aca="false">IF(COUNTIF($M$1:$M$10,$A1910)&gt;0,"Y","N")</f>
        <v>Y</v>
      </c>
    </row>
    <row r="1911" customFormat="false" ht="15" hidden="false" customHeight="true" outlineLevel="0" collapsed="false">
      <c r="A1911" s="8" t="s">
        <v>54</v>
      </c>
      <c r="B1911" s="8" t="s">
        <v>654</v>
      </c>
      <c r="C1911" s="19" t="n">
        <v>6</v>
      </c>
      <c r="D1911" s="19" t="n">
        <v>210.64</v>
      </c>
      <c r="E1911" s="19" t="n">
        <v>4</v>
      </c>
      <c r="F1911" s="19" t="n">
        <v>140.42</v>
      </c>
      <c r="G1911" s="8" t="n">
        <f aca="false">IFERROR(INDEX('TRANS'!$B:$B,MATCH($B1911,'TRANS'!$A:$A,0)),IFERROR(INDEX('TRANS'!$B:$B,MATCH(TRIM(SUBSTITUTE($B1911,CHAR(160)," ")),'TRANS'!$D:$D,0)),IFERROR(INDEX('Catalog'!$A:$A,MATCH($B1911,'Catalog'!$B:$B,0)),IFERROR(INDEX('Catalog'!$A:$A,MATCH(TRIM(SUBSTITUTE($B1911,CHAR(160)," ")),'Catalog'!$C:$C,0)),""))))</f>
        <v>4403002</v>
      </c>
      <c r="H1911" s="8" t="str">
        <f aca="false">IFERROR(INDEX('TRANS'!$C:$C,MATCH($B1911,'TRANS'!$A:$A,0)),IFERROR(INDEX('Catalog'!$B:$B,MATCH($G1911,'Catalog'!$A:$A,0)),$B1911))</f>
        <v>390B 43-46.גרב.כסף לסכרתיים שח</v>
      </c>
      <c r="I1911" s="8" t="str">
        <f aca="false">IF($G1911="","Unmatched","Matched")</f>
        <v>Matched</v>
      </c>
      <c r="J1911" s="8" t="n">
        <f aca="false">IF($G1911&lt;&gt;"",$G1911,$B1911)</f>
        <v>4403002</v>
      </c>
      <c r="K1911" s="8" t="str">
        <f aca="false">IF(COUNTIF($M$1:$M$10,$A1911)&gt;0,"Y","N")</f>
        <v>Y</v>
      </c>
    </row>
    <row r="1912" customFormat="false" ht="15" hidden="false" customHeight="true" outlineLevel="0" collapsed="false">
      <c r="A1912" s="8" t="s">
        <v>54</v>
      </c>
      <c r="B1912" s="8" t="s">
        <v>655</v>
      </c>
      <c r="C1912" s="19" t="n">
        <v>1</v>
      </c>
      <c r="D1912" s="19" t="n">
        <v>35.11</v>
      </c>
      <c r="E1912" s="19" t="n">
        <v>0</v>
      </c>
      <c r="F1912" s="19" t="n">
        <v>0</v>
      </c>
      <c r="G1912" s="8" t="n">
        <f aca="false">IFERROR(INDEX('TRANS'!$B:$B,MATCH($B1912,'TRANS'!$A:$A,0)),IFERROR(INDEX('TRANS'!$B:$B,MATCH(TRIM(SUBSTITUTE($B1912,CHAR(160)," ")),'TRANS'!$D:$D,0)),IFERROR(INDEX('Catalog'!$A:$A,MATCH($B1912,'Catalog'!$B:$B,0)),IFERROR(INDEX('Catalog'!$A:$A,MATCH(TRIM(SUBSTITUTE($B1912,CHAR(160)," ")),'Catalog'!$C:$C,0)),""))))</f>
        <v>4403003</v>
      </c>
      <c r="H1912" s="8" t="str">
        <f aca="false">IFERROR(INDEX('TRANS'!$C:$C,MATCH($B1912,'TRANS'!$A:$A,0)),IFERROR(INDEX('Catalog'!$B:$B,MATCH($G1912,'Catalog'!$A:$A,0)),$B1912))</f>
        <v>390G ג.כסף לסכרתיים אפור35-38</v>
      </c>
      <c r="I1912" s="8" t="str">
        <f aca="false">IF($G1912="","Unmatched","Matched")</f>
        <v>Matched</v>
      </c>
      <c r="J1912" s="8" t="n">
        <f aca="false">IF($G1912&lt;&gt;"",$G1912,$B1912)</f>
        <v>4403003</v>
      </c>
      <c r="K1912" s="8" t="str">
        <f aca="false">IF(COUNTIF($M$1:$M$10,$A1912)&gt;0,"Y","N")</f>
        <v>Y</v>
      </c>
    </row>
    <row r="1913" customFormat="false" ht="15" hidden="false" customHeight="true" outlineLevel="0" collapsed="false">
      <c r="A1913" s="8" t="s">
        <v>54</v>
      </c>
      <c r="B1913" s="8" t="s">
        <v>107</v>
      </c>
      <c r="C1913" s="19" t="n">
        <v>1</v>
      </c>
      <c r="D1913" s="19" t="n">
        <v>35.11</v>
      </c>
      <c r="E1913" s="19" t="n">
        <v>0</v>
      </c>
      <c r="F1913" s="19" t="n">
        <v>0</v>
      </c>
      <c r="G1913" s="8" t="str">
        <f aca="false">IFERROR(INDEX('TRANS'!$B:$B,MATCH($B1913,'TRANS'!$A:$A,0)),IFERROR(INDEX('TRANS'!$B:$B,MATCH(TRIM(SUBSTITUTE($B1913,CHAR(160)," ")),'TRANS'!$D:$D,0)),IFERROR(INDEX('Catalog'!$A:$A,MATCH($B1913,'Catalog'!$B:$B,0)),IFERROR(INDEX('Catalog'!$A:$A,MATCH(TRIM(SUBSTITUTE($B1913,CHAR(160)," ")),'Catalog'!$C:$C,0)),""))))</f>
        <v/>
      </c>
      <c r="H1913" s="8" t="str">
        <f aca="false">IFERROR(INDEX('TRANS'!$C:$C,MATCH($B1913,'TRANS'!$A:$A,0)),IFERROR(INDEX('Catalog'!$B:$B,MATCH($G1913,'Catalog'!$A:$A,0)),$B1913))</f>
        <v>390G-39-42</v>
      </c>
      <c r="I1913" s="8" t="str">
        <f aca="false">IF($G1913="","Unmatched","Matched")</f>
        <v>Unmatched</v>
      </c>
      <c r="J1913" s="8" t="str">
        <f aca="false">IF($G1913&lt;&gt;"",$G1913,$B1913)</f>
        <v>390G-39-42</v>
      </c>
      <c r="K1913" s="8" t="str">
        <f aca="false">IF(COUNTIF($M$1:$M$10,$A1913)&gt;0,"Y","N")</f>
        <v>Y</v>
      </c>
    </row>
    <row r="1914" customFormat="false" ht="15" hidden="false" customHeight="true" outlineLevel="0" collapsed="false">
      <c r="A1914" s="8" t="s">
        <v>54</v>
      </c>
      <c r="B1914" s="8" t="s">
        <v>656</v>
      </c>
      <c r="C1914" s="19" t="n">
        <v>1</v>
      </c>
      <c r="D1914" s="19" t="n">
        <v>35.11</v>
      </c>
      <c r="E1914" s="19" t="n">
        <v>0</v>
      </c>
      <c r="F1914" s="19" t="n">
        <v>0</v>
      </c>
      <c r="G1914" s="8" t="n">
        <f aca="false">IFERROR(INDEX('TRANS'!$B:$B,MATCH($B1914,'TRANS'!$A:$A,0)),IFERROR(INDEX('TRANS'!$B:$B,MATCH(TRIM(SUBSTITUTE($B1914,CHAR(160)," ")),'TRANS'!$D:$D,0)),IFERROR(INDEX('Catalog'!$A:$A,MATCH($B1914,'Catalog'!$B:$B,0)),IFERROR(INDEX('Catalog'!$A:$A,MATCH(TRIM(SUBSTITUTE($B1914,CHAR(160)," ")),'Catalog'!$C:$C,0)),""))))</f>
        <v>4403005</v>
      </c>
      <c r="H1914" s="8" t="str">
        <f aca="false">IFERROR(INDEX('TRANS'!$C:$C,MATCH($B1914,'TRANS'!$A:$A,0)),IFERROR(INDEX('Catalog'!$B:$B,MATCH($G1914,'Catalog'!$A:$A,0)),$B1914))</f>
        <v>G390.43-46 גרבי כסף לסכרת מידה</v>
      </c>
      <c r="I1914" s="8" t="str">
        <f aca="false">IF($G1914="","Unmatched","Matched")</f>
        <v>Matched</v>
      </c>
      <c r="J1914" s="8" t="n">
        <f aca="false">IF($G1914&lt;&gt;"",$G1914,$B1914)</f>
        <v>4403005</v>
      </c>
      <c r="K1914" s="8" t="str">
        <f aca="false">IF(COUNTIF($M$1:$M$10,$A1914)&gt;0,"Y","N")</f>
        <v>Y</v>
      </c>
    </row>
    <row r="1915" customFormat="false" ht="15" hidden="false" customHeight="true" outlineLevel="0" collapsed="false">
      <c r="A1915" s="8" t="s">
        <v>54</v>
      </c>
      <c r="B1915" s="8" t="s">
        <v>658</v>
      </c>
      <c r="C1915" s="19" t="n">
        <v>7</v>
      </c>
      <c r="D1915" s="19" t="n">
        <v>174.1</v>
      </c>
      <c r="E1915" s="19" t="n">
        <v>3</v>
      </c>
      <c r="F1915" s="19" t="n">
        <v>73.01</v>
      </c>
      <c r="G1915" s="8" t="n">
        <f aca="false">IFERROR(INDEX('TRANS'!$B:$B,MATCH($B1915,'TRANS'!$A:$A,0)),IFERROR(INDEX('TRANS'!$B:$B,MATCH(TRIM(SUBSTITUTE($B1915,CHAR(160)," ")),'TRANS'!$D:$D,0)),IFERROR(INDEX('Catalog'!$A:$A,MATCH($B1915,'Catalog'!$B:$B,0)),IFERROR(INDEX('Catalog'!$A:$A,MATCH(TRIM(SUBSTITUTE($B1915,CHAR(160)," ")),'Catalog'!$C:$C,0)),""))))</f>
        <v>4403017</v>
      </c>
      <c r="H1915" s="8" t="str">
        <f aca="false">IFERROR(INDEX('TRANS'!$C:$C,MATCH($B1915,'TRANS'!$A:$A,0)),IFERROR(INDEX('Catalog'!$B:$B,MATCH($G1915,'Catalog'!$A:$A,0)),$B1915))</f>
        <v>394B גרב.כסף לסכרתים שחור35-38</v>
      </c>
      <c r="I1915" s="8" t="str">
        <f aca="false">IF($G1915="","Unmatched","Matched")</f>
        <v>Matched</v>
      </c>
      <c r="J1915" s="8" t="n">
        <f aca="false">IF($G1915&lt;&gt;"",$G1915,$B1915)</f>
        <v>4403017</v>
      </c>
      <c r="K1915" s="8" t="str">
        <f aca="false">IF(COUNTIF($M$1:$M$10,$A1915)&gt;0,"Y","N")</f>
        <v>Y</v>
      </c>
    </row>
    <row r="1916" customFormat="false" ht="15" hidden="false" customHeight="true" outlineLevel="0" collapsed="false">
      <c r="A1916" s="8" t="s">
        <v>54</v>
      </c>
      <c r="B1916" s="8" t="s">
        <v>232</v>
      </c>
      <c r="C1916" s="19" t="n">
        <v>4</v>
      </c>
      <c r="D1916" s="19" t="n">
        <v>101.09</v>
      </c>
      <c r="E1916" s="19" t="n">
        <v>0</v>
      </c>
      <c r="F1916" s="19" t="n">
        <v>0</v>
      </c>
      <c r="G1916" s="8" t="str">
        <f aca="false">IFERROR(INDEX('TRANS'!$B:$B,MATCH($B1916,'TRANS'!$A:$A,0)),IFERROR(INDEX('TRANS'!$B:$B,MATCH(TRIM(SUBSTITUTE($B1916,CHAR(160)," ")),'TRANS'!$D:$D,0)),IFERROR(INDEX('Catalog'!$A:$A,MATCH($B1916,'Catalog'!$B:$B,0)),IFERROR(INDEX('Catalog'!$A:$A,MATCH(TRIM(SUBSTITUTE($B1916,CHAR(160)," ")),'Catalog'!$C:$C,0)),""))))</f>
        <v/>
      </c>
      <c r="H1916" s="8" t="str">
        <f aca="false">IFERROR(INDEX('TRANS'!$C:$C,MATCH($B1916,'TRANS'!$A:$A,0)),IFERROR(INDEX('Catalog'!$B:$B,MATCH($G1916,'Catalog'!$A:$A,0)),$B1916))</f>
        <v>394G-35-38</v>
      </c>
      <c r="I1916" s="8" t="str">
        <f aca="false">IF($G1916="","Unmatched","Matched")</f>
        <v>Unmatched</v>
      </c>
      <c r="J1916" s="8" t="str">
        <f aca="false">IF($G1916&lt;&gt;"",$G1916,$B1916)</f>
        <v>394G-35-38</v>
      </c>
      <c r="K1916" s="8" t="str">
        <f aca="false">IF(COUNTIF($M$1:$M$10,$A1916)&gt;0,"Y","N")</f>
        <v>Y</v>
      </c>
    </row>
    <row r="1917" customFormat="false" ht="15" hidden="false" customHeight="true" outlineLevel="0" collapsed="false">
      <c r="A1917" s="8" t="s">
        <v>54</v>
      </c>
      <c r="B1917" s="8" t="s">
        <v>83</v>
      </c>
      <c r="C1917" s="19" t="n">
        <v>4</v>
      </c>
      <c r="D1917" s="19" t="n">
        <v>101.09</v>
      </c>
      <c r="E1917" s="19" t="n">
        <v>0</v>
      </c>
      <c r="F1917" s="19" t="n">
        <v>0</v>
      </c>
      <c r="G1917" s="8" t="str">
        <f aca="false">IFERROR(INDEX('TRANS'!$B:$B,MATCH($B1917,'TRANS'!$A:$A,0)),IFERROR(INDEX('TRANS'!$B:$B,MATCH(TRIM(SUBSTITUTE($B1917,CHAR(160)," ")),'TRANS'!$D:$D,0)),IFERROR(INDEX('Catalog'!$A:$A,MATCH($B1917,'Catalog'!$B:$B,0)),IFERROR(INDEX('Catalog'!$A:$A,MATCH(TRIM(SUBSTITUTE($B1917,CHAR(160)," ")),'Catalog'!$C:$C,0)),""))))</f>
        <v/>
      </c>
      <c r="H1917" s="8" t="str">
        <f aca="false">IFERROR(INDEX('TRANS'!$C:$C,MATCH($B1917,'TRANS'!$A:$A,0)),IFERROR(INDEX('Catalog'!$B:$B,MATCH($G1917,'Catalog'!$A:$A,0)),$B1917))</f>
        <v>394G-39-42</v>
      </c>
      <c r="I1917" s="8" t="str">
        <f aca="false">IF($G1917="","Unmatched","Matched")</f>
        <v>Unmatched</v>
      </c>
      <c r="J1917" s="8" t="str">
        <f aca="false">IF($G1917&lt;&gt;"",$G1917,$B1917)</f>
        <v>394G-39-42</v>
      </c>
      <c r="K1917" s="8" t="str">
        <f aca="false">IF(COUNTIF($M$1:$M$10,$A1917)&gt;0,"Y","N")</f>
        <v>Y</v>
      </c>
    </row>
    <row r="1918" customFormat="false" ht="15" hidden="false" customHeight="true" outlineLevel="0" collapsed="false">
      <c r="A1918" s="8" t="s">
        <v>54</v>
      </c>
      <c r="B1918" s="8" t="s">
        <v>662</v>
      </c>
      <c r="C1918" s="19" t="n">
        <v>0</v>
      </c>
      <c r="D1918" s="19" t="n">
        <v>0</v>
      </c>
      <c r="E1918" s="19" t="n">
        <v>5</v>
      </c>
      <c r="F1918" s="19" t="n">
        <v>129.17</v>
      </c>
      <c r="G1918" s="8" t="n">
        <f aca="false">IFERROR(INDEX('TRANS'!$B:$B,MATCH($B1918,'TRANS'!$A:$A,0)),IFERROR(INDEX('TRANS'!$B:$B,MATCH(TRIM(SUBSTITUTE($B1918,CHAR(160)," ")),'TRANS'!$D:$D,0)),IFERROR(INDEX('Catalog'!$A:$A,MATCH($B1918,'Catalog'!$B:$B,0)),IFERROR(INDEX('Catalog'!$A:$A,MATCH(TRIM(SUBSTITUTE($B1918,CHAR(160)," ")),'Catalog'!$C:$C,0)),""))))</f>
        <v>4403024</v>
      </c>
      <c r="H1918" s="8" t="str">
        <f aca="false">IFERROR(INDEX('TRANS'!$C:$C,MATCH($B1918,'TRANS'!$A:$A,0)),IFERROR(INDEX('Catalog'!$B:$B,MATCH($G1918,'Catalog'!$A:$A,0)),$B1918))</f>
        <v>394W 39-42 גרב.כסף לסכרתים לבן</v>
      </c>
      <c r="I1918" s="8" t="str">
        <f aca="false">IF($G1918="","Unmatched","Matched")</f>
        <v>Matched</v>
      </c>
      <c r="J1918" s="8" t="n">
        <f aca="false">IF($G1918&lt;&gt;"",$G1918,$B1918)</f>
        <v>4403024</v>
      </c>
      <c r="K1918" s="8" t="str">
        <f aca="false">IF(COUNTIF($M$1:$M$10,$A1918)&gt;0,"Y","N")</f>
        <v>Y</v>
      </c>
    </row>
    <row r="1919" customFormat="false" ht="15" hidden="false" customHeight="true" outlineLevel="0" collapsed="false">
      <c r="A1919" s="8" t="s">
        <v>54</v>
      </c>
      <c r="B1919" s="8" t="s">
        <v>663</v>
      </c>
      <c r="C1919" s="19" t="n">
        <v>0</v>
      </c>
      <c r="D1919" s="19" t="n">
        <v>0</v>
      </c>
      <c r="E1919" s="19" t="n">
        <v>5</v>
      </c>
      <c r="F1919" s="19" t="n">
        <v>129.17</v>
      </c>
      <c r="G1919" s="8" t="n">
        <f aca="false">IFERROR(INDEX('TRANS'!$B:$B,MATCH($B1919,'TRANS'!$A:$A,0)),IFERROR(INDEX('TRANS'!$B:$B,MATCH(TRIM(SUBSTITUTE($B1919,CHAR(160)," ")),'TRANS'!$D:$D,0)),IFERROR(INDEX('Catalog'!$A:$A,MATCH($B1919,'Catalog'!$B:$B,0)),IFERROR(INDEX('Catalog'!$A:$A,MATCH(TRIM(SUBSTITUTE($B1919,CHAR(160)," ")),'Catalog'!$C:$C,0)),""))))</f>
        <v>4403025</v>
      </c>
      <c r="H1919" s="8" t="str">
        <f aca="false">IFERROR(INDEX('TRANS'!$C:$C,MATCH($B1919,'TRANS'!$A:$A,0)),IFERROR(INDEX('Catalog'!$B:$B,MATCH($G1919,'Catalog'!$A:$A,0)),$B1919))</f>
        <v>394W 43-46 גרב.כסף לסכרתים לבן</v>
      </c>
      <c r="I1919" s="8" t="str">
        <f aca="false">IF($G1919="","Unmatched","Matched")</f>
        <v>Matched</v>
      </c>
      <c r="J1919" s="8" t="n">
        <f aca="false">IF($G1919&lt;&gt;"",$G1919,$B1919)</f>
        <v>4403025</v>
      </c>
      <c r="K1919" s="8" t="str">
        <f aca="false">IF(COUNTIF($M$1:$M$10,$A1919)&gt;0,"Y","N")</f>
        <v>Y</v>
      </c>
    </row>
    <row r="1920" customFormat="false" ht="15" hidden="false" customHeight="true" outlineLevel="0" collapsed="false">
      <c r="A1920" s="8" t="s">
        <v>54</v>
      </c>
      <c r="B1920" s="8" t="s">
        <v>665</v>
      </c>
      <c r="C1920" s="19" t="n">
        <v>0</v>
      </c>
      <c r="D1920" s="19" t="n">
        <v>0</v>
      </c>
      <c r="E1920" s="19" t="n">
        <v>5</v>
      </c>
      <c r="F1920" s="19" t="n">
        <v>139.93</v>
      </c>
      <c r="G1920" s="8" t="n">
        <f aca="false">IFERROR(INDEX('TRANS'!$B:$B,MATCH($B1920,'TRANS'!$A:$A,0)),IFERROR(INDEX('TRANS'!$B:$B,MATCH(TRIM(SUBSTITUTE($B1920,CHAR(160)," ")),'TRANS'!$D:$D,0)),IFERROR(INDEX('Catalog'!$A:$A,MATCH($B1920,'Catalog'!$B:$B,0)),IFERROR(INDEX('Catalog'!$A:$A,MATCH(TRIM(SUBSTITUTE($B1920,CHAR(160)," ")),'Catalog'!$C:$C,0)),""))))</f>
        <v>4403045</v>
      </c>
      <c r="H1920" s="8" t="str">
        <f aca="false">IFERROR(INDEX('TRANS'!$C:$C,MATCH($B1920,'TRANS'!$A:$A,0)),IFERROR(INDEX('Catalog'!$B:$B,MATCH($G1920,'Catalog'!$A:$A,0)),$B1920))</f>
        <v>395B גרבי קיץ אנטי בקטריא43-46</v>
      </c>
      <c r="I1920" s="8" t="str">
        <f aca="false">IF($G1920="","Unmatched","Matched")</f>
        <v>Matched</v>
      </c>
      <c r="J1920" s="8" t="n">
        <f aca="false">IF($G1920&lt;&gt;"",$G1920,$B1920)</f>
        <v>4403045</v>
      </c>
      <c r="K1920" s="8" t="str">
        <f aca="false">IF(COUNTIF($M$1:$M$10,$A1920)&gt;0,"Y","N")</f>
        <v>Y</v>
      </c>
    </row>
    <row r="1921" customFormat="false" ht="15" hidden="false" customHeight="true" outlineLevel="0" collapsed="false">
      <c r="A1921" s="8" t="s">
        <v>54</v>
      </c>
      <c r="B1921" s="8" t="s">
        <v>408</v>
      </c>
      <c r="C1921" s="19" t="n">
        <v>8</v>
      </c>
      <c r="D1921" s="19" t="n">
        <v>480.56</v>
      </c>
      <c r="E1921" s="19" t="n">
        <v>0</v>
      </c>
      <c r="F1921" s="19" t="n">
        <v>0</v>
      </c>
      <c r="G1921" s="8" t="str">
        <f aca="false">IFERROR(INDEX('TRANS'!$B:$B,MATCH($B1921,'TRANS'!$A:$A,0)),IFERROR(INDEX('TRANS'!$B:$B,MATCH(TRIM(SUBSTITUTE($B1921,CHAR(160)," ")),'TRANS'!$D:$D,0)),IFERROR(INDEX('Catalog'!$A:$A,MATCH($B1921,'Catalog'!$B:$B,0)),IFERROR(INDEX('Catalog'!$A:$A,MATCH(TRIM(SUBSTITUTE($B1921,CHAR(160)," ")),'Catalog'!$C:$C,0)),""))))</f>
        <v/>
      </c>
      <c r="H1921" s="8" t="str">
        <f aca="false">IFERROR(INDEX('TRANS'!$C:$C,MATCH($B1921,'TRANS'!$A:$A,0)),IFERROR(INDEX('Catalog'!$B:$B,MATCH($G1921,'Catalog'!$A:$A,0)),$B1921))</f>
        <v>397-43-46</v>
      </c>
      <c r="I1921" s="8" t="str">
        <f aca="false">IF($G1921="","Unmatched","Matched")</f>
        <v>Unmatched</v>
      </c>
      <c r="J1921" s="8" t="str">
        <f aca="false">IF($G1921&lt;&gt;"",$G1921,$B1921)</f>
        <v>397-43-46</v>
      </c>
      <c r="K1921" s="8" t="str">
        <f aca="false">IF(COUNTIF($M$1:$M$10,$A1921)&gt;0,"Y","N")</f>
        <v>Y</v>
      </c>
    </row>
    <row r="1922" customFormat="false" ht="15" hidden="false" customHeight="true" outlineLevel="0" collapsed="false">
      <c r="A1922" s="8" t="s">
        <v>54</v>
      </c>
      <c r="B1922" s="8" t="s">
        <v>667</v>
      </c>
      <c r="C1922" s="19" t="n">
        <v>0</v>
      </c>
      <c r="D1922" s="19" t="n">
        <v>0</v>
      </c>
      <c r="E1922" s="19" t="n">
        <v>9</v>
      </c>
      <c r="F1922" s="19" t="n">
        <v>518.49</v>
      </c>
      <c r="G1922" s="8" t="n">
        <f aca="false">IFERROR(INDEX('TRANS'!$B:$B,MATCH($B1922,'TRANS'!$A:$A,0)),IFERROR(INDEX('TRANS'!$B:$B,MATCH(TRIM(SUBSTITUTE($B1922,CHAR(160)," ")),'TRANS'!$D:$D,0)),IFERROR(INDEX('Catalog'!$A:$A,MATCH($B1922,'Catalog'!$B:$B,0)),IFERROR(INDEX('Catalog'!$A:$A,MATCH(TRIM(SUBSTITUTE($B1922,CHAR(160)," ")),'Catalog'!$C:$C,0)),""))))</f>
        <v>4403041</v>
      </c>
      <c r="H1922" s="8" t="str">
        <f aca="false">IFERROR(INDEX('TRANS'!$C:$C,MATCH($B1922,'TRANS'!$A:$A,0)),IFERROR(INDEX('Catalog'!$B:$B,MATCH($G1922,'Catalog'!$A:$A,0)),$B1922))</f>
        <v>397A-גרבי טיסה אנטי בקטרי35-38</v>
      </c>
      <c r="I1922" s="8" t="str">
        <f aca="false">IF($G1922="","Unmatched","Matched")</f>
        <v>Matched</v>
      </c>
      <c r="J1922" s="8" t="n">
        <f aca="false">IF($G1922&lt;&gt;"",$G1922,$B1922)</f>
        <v>4403041</v>
      </c>
      <c r="K1922" s="8" t="str">
        <f aca="false">IF(COUNTIF($M$1:$M$10,$A1922)&gt;0,"Y","N")</f>
        <v>Y</v>
      </c>
    </row>
    <row r="1923" customFormat="false" ht="15" hidden="false" customHeight="true" outlineLevel="0" collapsed="false">
      <c r="A1923" s="8" t="s">
        <v>54</v>
      </c>
      <c r="B1923" s="8" t="s">
        <v>668</v>
      </c>
      <c r="C1923" s="19" t="n">
        <v>0</v>
      </c>
      <c r="D1923" s="19" t="n">
        <v>0</v>
      </c>
      <c r="E1923" s="19" t="n">
        <v>4</v>
      </c>
      <c r="F1923" s="19" t="n">
        <v>227.63</v>
      </c>
      <c r="G1923" s="8" t="n">
        <f aca="false">IFERROR(INDEX('TRANS'!$B:$B,MATCH($B1923,'TRANS'!$A:$A,0)),IFERROR(INDEX('TRANS'!$B:$B,MATCH(TRIM(SUBSTITUTE($B1923,CHAR(160)," ")),'TRANS'!$D:$D,0)),IFERROR(INDEX('Catalog'!$A:$A,MATCH($B1923,'Catalog'!$B:$B,0)),IFERROR(INDEX('Catalog'!$A:$A,MATCH(TRIM(SUBSTITUTE($B1923,CHAR(160)," ")),'Catalog'!$C:$C,0)),""))))</f>
        <v>4403042</v>
      </c>
      <c r="H1923" s="8" t="str">
        <f aca="false">IFERROR(INDEX('TRANS'!$C:$C,MATCH($B1923,'TRANS'!$A:$A,0)),IFERROR(INDEX('Catalog'!$B:$B,MATCH($G1923,'Catalog'!$A:$A,0)),$B1923))</f>
        <v>397A-גרבי טיסה אנטי בקטרי39-42</v>
      </c>
      <c r="I1923" s="8" t="str">
        <f aca="false">IF($G1923="","Unmatched","Matched")</f>
        <v>Matched</v>
      </c>
      <c r="J1923" s="8" t="n">
        <f aca="false">IF($G1923&lt;&gt;"",$G1923,$B1923)</f>
        <v>4403042</v>
      </c>
      <c r="K1923" s="8" t="str">
        <f aca="false">IF(COUNTIF($M$1:$M$10,$A1923)&gt;0,"Y","N")</f>
        <v>Y</v>
      </c>
    </row>
    <row r="1924" customFormat="false" ht="15" hidden="false" customHeight="true" outlineLevel="0" collapsed="false">
      <c r="A1924" s="8" t="s">
        <v>54</v>
      </c>
      <c r="B1924" s="8" t="s">
        <v>809</v>
      </c>
      <c r="C1924" s="19" t="n">
        <v>0</v>
      </c>
      <c r="D1924" s="19" t="n">
        <v>0</v>
      </c>
      <c r="E1924" s="19" t="n">
        <v>2</v>
      </c>
      <c r="F1924" s="19" t="n">
        <v>70.21</v>
      </c>
      <c r="G1924" s="8" t="n">
        <f aca="false">IFERROR(INDEX('TRANS'!$B:$B,MATCH($B1924,'TRANS'!$A:$A,0)),IFERROR(INDEX('TRANS'!$B:$B,MATCH(TRIM(SUBSTITUTE($B1924,CHAR(160)," ")),'TRANS'!$D:$D,0)),IFERROR(INDEX('Catalog'!$A:$A,MATCH($B1924,'Catalog'!$B:$B,0)),IFERROR(INDEX('Catalog'!$A:$A,MATCH(TRIM(SUBSTITUTE($B1924,CHAR(160)," ")),'Catalog'!$C:$C,0)),""))))</f>
        <v>4413112</v>
      </c>
      <c r="H1924" s="8" t="str">
        <f aca="false">IFERROR(INDEX('TRANS'!$C:$C,MATCH($B1924,'TRANS'!$A:$A,0)),IFERROR(INDEX('Catalog'!$B:$B,MATCH($G1924,'Catalog'!$A:$A,0)),$B1924))</f>
        <v>49  L מגן ירך</v>
      </c>
      <c r="I1924" s="8" t="str">
        <f aca="false">IF($G1924="","Unmatched","Matched")</f>
        <v>Matched</v>
      </c>
      <c r="J1924" s="8" t="n">
        <f aca="false">IF($G1924&lt;&gt;"",$G1924,$B1924)</f>
        <v>4413112</v>
      </c>
      <c r="K1924" s="8" t="str">
        <f aca="false">IF(COUNTIF($M$1:$M$10,$A1924)&gt;0,"Y","N")</f>
        <v>Y</v>
      </c>
    </row>
    <row r="1925" customFormat="false" ht="15" hidden="false" customHeight="true" outlineLevel="0" collapsed="false">
      <c r="A1925" s="8" t="s">
        <v>54</v>
      </c>
      <c r="B1925" s="8" t="s">
        <v>812</v>
      </c>
      <c r="C1925" s="19" t="n">
        <v>0</v>
      </c>
      <c r="D1925" s="19" t="n">
        <v>0</v>
      </c>
      <c r="E1925" s="19" t="n">
        <v>2</v>
      </c>
      <c r="F1925" s="19" t="n">
        <v>70.21</v>
      </c>
      <c r="G1925" s="8" t="n">
        <f aca="false">IFERROR(INDEX('TRANS'!$B:$B,MATCH($B1925,'TRANS'!$A:$A,0)),IFERROR(INDEX('TRANS'!$B:$B,MATCH(TRIM(SUBSTITUTE($B1925,CHAR(160)," ")),'TRANS'!$D:$D,0)),IFERROR(INDEX('Catalog'!$A:$A,MATCH($B1925,'Catalog'!$B:$B,0)),IFERROR(INDEX('Catalog'!$A:$A,MATCH(TRIM(SUBSTITUTE($B1925,CHAR(160)," ")),'Catalog'!$C:$C,0)),""))))</f>
        <v>4413114</v>
      </c>
      <c r="H1925" s="8" t="str">
        <f aca="false">IFERROR(INDEX('TRANS'!$C:$C,MATCH($B1925,'TRANS'!$A:$A,0)),IFERROR(INDEX('Catalog'!$B:$B,MATCH($G1925,'Catalog'!$A:$A,0)),$B1925))</f>
        <v>49 XL מגן ירך</v>
      </c>
      <c r="I1925" s="8" t="str">
        <f aca="false">IF($G1925="","Unmatched","Matched")</f>
        <v>Matched</v>
      </c>
      <c r="J1925" s="8" t="n">
        <f aca="false">IF($G1925&lt;&gt;"",$G1925,$B1925)</f>
        <v>4413114</v>
      </c>
      <c r="K1925" s="8" t="str">
        <f aca="false">IF(COUNTIF($M$1:$M$10,$A1925)&gt;0,"Y","N")</f>
        <v>Y</v>
      </c>
    </row>
    <row r="1926" customFormat="false" ht="15" hidden="false" customHeight="true" outlineLevel="0" collapsed="false">
      <c r="A1926" s="8" t="s">
        <v>54</v>
      </c>
      <c r="B1926" s="8" t="s">
        <v>928</v>
      </c>
      <c r="C1926" s="19" t="n">
        <v>0</v>
      </c>
      <c r="D1926" s="19" t="n">
        <v>0</v>
      </c>
      <c r="E1926" s="19" t="n">
        <v>3</v>
      </c>
      <c r="F1926" s="19" t="n">
        <v>105.32</v>
      </c>
      <c r="G1926" s="8" t="n">
        <f aca="false">IFERROR(INDEX('TRANS'!$B:$B,MATCH($B1926,'TRANS'!$A:$A,0)),IFERROR(INDEX('TRANS'!$B:$B,MATCH(TRIM(SUBSTITUTE($B1926,CHAR(160)," ")),'TRANS'!$D:$D,0)),IFERROR(INDEX('Catalog'!$A:$A,MATCH($B1926,'Catalog'!$B:$B,0)),IFERROR(INDEX('Catalog'!$A:$A,MATCH(TRIM(SUBSTITUTE($B1926,CHAR(160)," ")),'Catalog'!$C:$C,0)),""))))</f>
        <v>4413115</v>
      </c>
      <c r="H1926" s="8" t="str">
        <f aca="false">IFERROR(INDEX('TRANS'!$C:$C,MATCH($B1926,'TRANS'!$A:$A,0)),IFERROR(INDEX('Catalog'!$B:$B,MATCH($G1926,'Catalog'!$A:$A,0)),$B1926))</f>
        <v>49 XXL מגן ירך</v>
      </c>
      <c r="I1926" s="8" t="str">
        <f aca="false">IF($G1926="","Unmatched","Matched")</f>
        <v>Matched</v>
      </c>
      <c r="J1926" s="8" t="n">
        <f aca="false">IF($G1926&lt;&gt;"",$G1926,$B1926)</f>
        <v>4413115</v>
      </c>
      <c r="K1926" s="8" t="str">
        <f aca="false">IF(COUNTIF($M$1:$M$10,$A1926)&gt;0,"Y","N")</f>
        <v>Y</v>
      </c>
    </row>
    <row r="1927" customFormat="false" ht="15" hidden="false" customHeight="true" outlineLevel="0" collapsed="false">
      <c r="A1927" s="8" t="s">
        <v>54</v>
      </c>
      <c r="B1927" s="8" t="s">
        <v>694</v>
      </c>
      <c r="C1927" s="19" t="n">
        <v>0</v>
      </c>
      <c r="D1927" s="19" t="n">
        <v>0</v>
      </c>
      <c r="E1927" s="19" t="n">
        <v>2</v>
      </c>
      <c r="F1927" s="19" t="n">
        <v>370.88</v>
      </c>
      <c r="G1927" s="8" t="n">
        <f aca="false">IFERROR(INDEX('TRANS'!$B:$B,MATCH($B1927,'TRANS'!$A:$A,0)),IFERROR(INDEX('TRANS'!$B:$B,MATCH(TRIM(SUBSTITUTE($B1927,CHAR(160)," ")),'TRANS'!$D:$D,0)),IFERROR(INDEX('Catalog'!$A:$A,MATCH($B1927,'Catalog'!$B:$B,0)),IFERROR(INDEX('Catalog'!$A:$A,MATCH(TRIM(SUBSTITUTE($B1927,CHAR(160)," ")),'Catalog'!$C:$C,0)),""))))</f>
        <v>4413132</v>
      </c>
      <c r="H1927" s="8" t="str">
        <f aca="false">IFERROR(INDEX('TRANS'!$C:$C,MATCH($B1927,'TRANS'!$A:$A,0)),IFERROR(INDEX('Catalog'!$B:$B,MATCH($G1927,'Catalog'!$A:$A,0)),$B1927))</f>
        <v>76 Lמיישר כתף יציב יישור רחב</v>
      </c>
      <c r="I1927" s="8" t="str">
        <f aca="false">IF($G1927="","Unmatched","Matched")</f>
        <v>Matched</v>
      </c>
      <c r="J1927" s="8" t="n">
        <f aca="false">IF($G1927&lt;&gt;"",$G1927,$B1927)</f>
        <v>4413132</v>
      </c>
      <c r="K1927" s="8" t="str">
        <f aca="false">IF(COUNTIF($M$1:$M$10,$A1927)&gt;0,"Y","N")</f>
        <v>Y</v>
      </c>
    </row>
    <row r="1928" customFormat="false" ht="15" hidden="false" customHeight="true" outlineLevel="0" collapsed="false">
      <c r="A1928" s="8" t="s">
        <v>54</v>
      </c>
      <c r="B1928" s="8" t="s">
        <v>695</v>
      </c>
      <c r="C1928" s="19" t="n">
        <v>0</v>
      </c>
      <c r="D1928" s="19" t="n">
        <v>0</v>
      </c>
      <c r="E1928" s="19" t="n">
        <v>2</v>
      </c>
      <c r="F1928" s="19" t="n">
        <v>370.88</v>
      </c>
      <c r="G1928" s="8" t="n">
        <f aca="false">IFERROR(INDEX('TRANS'!$B:$B,MATCH($B1928,'TRANS'!$A:$A,0)),IFERROR(INDEX('TRANS'!$B:$B,MATCH(TRIM(SUBSTITUTE($B1928,CHAR(160)," ")),'TRANS'!$D:$D,0)),IFERROR(INDEX('Catalog'!$A:$A,MATCH($B1928,'Catalog'!$B:$B,0)),IFERROR(INDEX('Catalog'!$A:$A,MATCH(TRIM(SUBSTITUTE($B1928,CHAR(160)," ")),'Catalog'!$C:$C,0)),""))))</f>
        <v>4413134</v>
      </c>
      <c r="H1928" s="8" t="str">
        <f aca="false">IFERROR(INDEX('TRANS'!$C:$C,MATCH($B1928,'TRANS'!$A:$A,0)),IFERROR(INDEX('Catalog'!$B:$B,MATCH($G1928,'Catalog'!$A:$A,0)),$B1928))</f>
        <v>76 XLמיישר כתף יציב יישור רחב</v>
      </c>
      <c r="I1928" s="8" t="str">
        <f aca="false">IF($G1928="","Unmatched","Matched")</f>
        <v>Matched</v>
      </c>
      <c r="J1928" s="8" t="n">
        <f aca="false">IF($G1928&lt;&gt;"",$G1928,$B1928)</f>
        <v>4413134</v>
      </c>
      <c r="K1928" s="8" t="str">
        <f aca="false">IF(COUNTIF($M$1:$M$10,$A1928)&gt;0,"Y","N")</f>
        <v>Y</v>
      </c>
    </row>
    <row r="1929" customFormat="false" ht="15" hidden="false" customHeight="true" outlineLevel="0" collapsed="false">
      <c r="A1929" s="8" t="s">
        <v>54</v>
      </c>
      <c r="B1929" s="8" t="s">
        <v>127</v>
      </c>
      <c r="C1929" s="19" t="n">
        <v>0</v>
      </c>
      <c r="D1929" s="19" t="n">
        <v>0</v>
      </c>
      <c r="E1929" s="19" t="n">
        <v>1</v>
      </c>
      <c r="F1929" s="19" t="n">
        <v>210.88</v>
      </c>
      <c r="G1929" s="8" t="str">
        <f aca="false">IFERROR(INDEX('TRANS'!$B:$B,MATCH($B1929,'TRANS'!$A:$A,0)),IFERROR(INDEX('TRANS'!$B:$B,MATCH(TRIM(SUBSTITUTE($B1929,CHAR(160)," ")),'TRANS'!$D:$D,0)),IFERROR(INDEX('Catalog'!$A:$A,MATCH($B1929,'Catalog'!$B:$B,0)),IFERROR(INDEX('Catalog'!$A:$A,MATCH(TRIM(SUBSTITUTE($B1929,CHAR(160)," ")),'Catalog'!$C:$C,0)),""))))</f>
        <v/>
      </c>
      <c r="H1929" s="8" t="str">
        <f aca="false">IFERROR(INDEX('TRANS'!$C:$C,MATCH($B1929,'TRANS'!$A:$A,0)),IFERROR(INDEX('Catalog'!$B:$B,MATCH($G1929,'Catalog'!$A:$A,0)),$B1929))</f>
        <v>76 XXL</v>
      </c>
      <c r="I1929" s="8" t="str">
        <f aca="false">IF($G1929="","Unmatched","Matched")</f>
        <v>Unmatched</v>
      </c>
      <c r="J1929" s="8" t="str">
        <f aca="false">IF($G1929&lt;&gt;"",$G1929,$B1929)</f>
        <v>76 XXL</v>
      </c>
      <c r="K1929" s="8" t="str">
        <f aca="false">IF(COUNTIF($M$1:$M$10,$A1929)&gt;0,"Y","N")</f>
        <v>Y</v>
      </c>
    </row>
    <row r="1930" customFormat="false" ht="15" hidden="false" customHeight="true" outlineLevel="0" collapsed="false">
      <c r="A1930" s="8" t="s">
        <v>54</v>
      </c>
      <c r="B1930" s="8" t="s">
        <v>434</v>
      </c>
      <c r="C1930" s="19" t="n">
        <v>1</v>
      </c>
      <c r="D1930" s="19" t="n">
        <v>472.69</v>
      </c>
      <c r="E1930" s="19" t="n">
        <v>0</v>
      </c>
      <c r="F1930" s="19" t="n">
        <v>0</v>
      </c>
      <c r="G1930" s="8" t="str">
        <f aca="false">IFERROR(INDEX('TRANS'!$B:$B,MATCH($B1930,'TRANS'!$A:$A,0)),IFERROR(INDEX('TRANS'!$B:$B,MATCH(TRIM(SUBSTITUTE($B1930,CHAR(160)," ")),'TRANS'!$D:$D,0)),IFERROR(INDEX('Catalog'!$A:$A,MATCH($B1930,'Catalog'!$B:$B,0)),IFERROR(INDEX('Catalog'!$A:$A,MATCH(TRIM(SUBSTITUTE($B1930,CHAR(160)," ")),'Catalog'!$C:$C,0)),""))))</f>
        <v/>
      </c>
      <c r="H1930" s="8" t="str">
        <f aca="false">IFERROR(INDEX('TRANS'!$C:$C,MATCH($B1930,'TRANS'!$A:$A,0)),IFERROR(INDEX('Catalog'!$B:$B,MATCH($G1930,'Catalog'!$A:$A,0)),$B1930))</f>
        <v>776 M</v>
      </c>
      <c r="I1930" s="8" t="str">
        <f aca="false">IF($G1930="","Unmatched","Matched")</f>
        <v>Unmatched</v>
      </c>
      <c r="J1930" s="8" t="str">
        <f aca="false">IF($G1930&lt;&gt;"",$G1930,$B1930)</f>
        <v>776 M</v>
      </c>
      <c r="K1930" s="8" t="str">
        <f aca="false">IF(COUNTIF($M$1:$M$10,$A1930)&gt;0,"Y","N")</f>
        <v>Y</v>
      </c>
    </row>
    <row r="1931" customFormat="false" ht="15" hidden="false" customHeight="true" outlineLevel="0" collapsed="false">
      <c r="A1931" s="8" t="s">
        <v>54</v>
      </c>
      <c r="B1931" s="8" t="s">
        <v>526</v>
      </c>
      <c r="C1931" s="19" t="n">
        <v>1</v>
      </c>
      <c r="D1931" s="19" t="n">
        <v>472.68</v>
      </c>
      <c r="E1931" s="19" t="n">
        <v>0</v>
      </c>
      <c r="F1931" s="19" t="n">
        <v>0</v>
      </c>
      <c r="G1931" s="8" t="str">
        <f aca="false">IFERROR(INDEX('TRANS'!$B:$B,MATCH($B1931,'TRANS'!$A:$A,0)),IFERROR(INDEX('TRANS'!$B:$B,MATCH(TRIM(SUBSTITUTE($B1931,CHAR(160)," ")),'TRANS'!$D:$D,0)),IFERROR(INDEX('Catalog'!$A:$A,MATCH($B1931,'Catalog'!$B:$B,0)),IFERROR(INDEX('Catalog'!$A:$A,MATCH(TRIM(SUBSTITUTE($B1931,CHAR(160)," ")),'Catalog'!$C:$C,0)),""))))</f>
        <v/>
      </c>
      <c r="H1931" s="8" t="str">
        <f aca="false">IFERROR(INDEX('TRANS'!$C:$C,MATCH($B1931,'TRANS'!$A:$A,0)),IFERROR(INDEX('Catalog'!$B:$B,MATCH($G1931,'Catalog'!$A:$A,0)),$B1931))</f>
        <v>776 XL</v>
      </c>
      <c r="I1931" s="8" t="str">
        <f aca="false">IF($G1931="","Unmatched","Matched")</f>
        <v>Unmatched</v>
      </c>
      <c r="J1931" s="8" t="str">
        <f aca="false">IF($G1931&lt;&gt;"",$G1931,$B1931)</f>
        <v>776 XL</v>
      </c>
      <c r="K1931" s="8" t="str">
        <f aca="false">IF(COUNTIF($M$1:$M$10,$A1931)&gt;0,"Y","N")</f>
        <v>Y</v>
      </c>
    </row>
    <row r="1932" customFormat="false" ht="15" hidden="false" customHeight="true" outlineLevel="0" collapsed="false">
      <c r="A1932" s="8" t="s">
        <v>54</v>
      </c>
      <c r="B1932" s="8" t="s">
        <v>64</v>
      </c>
      <c r="C1932" s="19" t="n">
        <v>8</v>
      </c>
      <c r="D1932" s="19" t="n">
        <v>1123.24</v>
      </c>
      <c r="E1932" s="19" t="n">
        <v>4</v>
      </c>
      <c r="F1932" s="19" t="n">
        <v>562.29</v>
      </c>
      <c r="G1932" s="8" t="str">
        <f aca="false">IFERROR(INDEX('TRANS'!$B:$B,MATCH($B1932,'TRANS'!$A:$A,0)),IFERROR(INDEX('TRANS'!$B:$B,MATCH(TRIM(SUBSTITUTE($B1932,CHAR(160)," ")),'TRANS'!$D:$D,0)),IFERROR(INDEX('Catalog'!$A:$A,MATCH($B1932,'Catalog'!$B:$B,0)),IFERROR(INDEX('Catalog'!$A:$A,MATCH(TRIM(SUBSTITUTE($B1932,CHAR(160)," ")),'Catalog'!$C:$C,0)),""))))</f>
        <v/>
      </c>
      <c r="H1932" s="8" t="str">
        <f aca="false">IFERROR(INDEX('TRANS'!$C:$C,MATCH($B1932,'TRANS'!$A:$A,0)),IFERROR(INDEX('Catalog'!$B:$B,MATCH($G1932,'Catalog'!$A:$A,0)),$B1932))</f>
        <v>84-L-XXL</v>
      </c>
      <c r="I1932" s="8" t="str">
        <f aca="false">IF($G1932="","Unmatched","Matched")</f>
        <v>Unmatched</v>
      </c>
      <c r="J1932" s="8" t="str">
        <f aca="false">IF($G1932&lt;&gt;"",$G1932,$B1932)</f>
        <v>84-L-XXL</v>
      </c>
      <c r="K1932" s="8" t="str">
        <f aca="false">IF(COUNTIF($M$1:$M$10,$A1932)&gt;0,"Y","N")</f>
        <v>Y</v>
      </c>
    </row>
    <row r="1933" customFormat="false" ht="15" hidden="false" customHeight="true" outlineLevel="0" collapsed="false">
      <c r="A1933" s="8" t="s">
        <v>54</v>
      </c>
      <c r="B1933" s="8" t="s">
        <v>62</v>
      </c>
      <c r="C1933" s="19" t="n">
        <v>17</v>
      </c>
      <c r="D1933" s="19" t="n">
        <v>2388.75</v>
      </c>
      <c r="E1933" s="19" t="n">
        <v>9</v>
      </c>
      <c r="F1933" s="19" t="n">
        <v>1265.16</v>
      </c>
      <c r="G1933" s="8" t="str">
        <f aca="false">IFERROR(INDEX('TRANS'!$B:$B,MATCH($B1933,'TRANS'!$A:$A,0)),IFERROR(INDEX('TRANS'!$B:$B,MATCH(TRIM(SUBSTITUTE($B1933,CHAR(160)," ")),'TRANS'!$D:$D,0)),IFERROR(INDEX('Catalog'!$A:$A,MATCH($B1933,'Catalog'!$B:$B,0)),IFERROR(INDEX('Catalog'!$A:$A,MATCH(TRIM(SUBSTITUTE($B1933,CHAR(160)," ")),'Catalog'!$C:$C,0)),""))))</f>
        <v/>
      </c>
      <c r="H1933" s="8" t="str">
        <f aca="false">IFERROR(INDEX('TRANS'!$C:$C,MATCH($B1933,'TRANS'!$A:$A,0)),IFERROR(INDEX('Catalog'!$B:$B,MATCH($G1933,'Catalog'!$A:$A,0)),$B1933))</f>
        <v>84-S-M</v>
      </c>
      <c r="I1933" s="8" t="str">
        <f aca="false">IF($G1933="","Unmatched","Matched")</f>
        <v>Unmatched</v>
      </c>
      <c r="J1933" s="8" t="str">
        <f aca="false">IF($G1933&lt;&gt;"",$G1933,$B1933)</f>
        <v>84-S-M</v>
      </c>
      <c r="K1933" s="8" t="str">
        <f aca="false">IF(COUNTIF($M$1:$M$10,$A1933)&gt;0,"Y","N")</f>
        <v>Y</v>
      </c>
    </row>
    <row r="1934" customFormat="false" ht="15" hidden="false" customHeight="true" outlineLevel="0" collapsed="false">
      <c r="A1934" s="8" t="s">
        <v>54</v>
      </c>
      <c r="B1934" s="8" t="s">
        <v>708</v>
      </c>
      <c r="C1934" s="19" t="n">
        <v>1</v>
      </c>
      <c r="D1934" s="19" t="n">
        <v>56.67</v>
      </c>
      <c r="E1934" s="19" t="n">
        <v>0</v>
      </c>
      <c r="F1934" s="19" t="n">
        <v>0</v>
      </c>
      <c r="G1934" s="8" t="n">
        <f aca="false">IFERROR(INDEX('TRANS'!$B:$B,MATCH($B1934,'TRANS'!$A:$A,0)),IFERROR(INDEX('TRANS'!$B:$B,MATCH(TRIM(SUBSTITUTE($B1934,CHAR(160)," ")),'TRANS'!$D:$D,0)),IFERROR(INDEX('Catalog'!$A:$A,MATCH($B1934,'Catalog'!$B:$B,0)),IFERROR(INDEX('Catalog'!$A:$A,MATCH(TRIM(SUBSTITUTE($B1934,CHAR(160)," ")),'Catalog'!$C:$C,0)),""))))</f>
        <v>4413135</v>
      </c>
      <c r="H1934" s="8" t="str">
        <f aca="false">IFERROR(INDEX('TRANS'!$C:$C,MATCH($B1934,'TRANS'!$A:$A,0)),IFERROR(INDEX('Catalog'!$B:$B,MATCH($G1934,'Catalog'!$A:$A,0)),$B1934))</f>
        <v>85 L (מתלה ליד )כיס</v>
      </c>
      <c r="I1934" s="8" t="str">
        <f aca="false">IF($G1934="","Unmatched","Matched")</f>
        <v>Matched</v>
      </c>
      <c r="J1934" s="8" t="n">
        <f aca="false">IF($G1934&lt;&gt;"",$G1934,$B1934)</f>
        <v>4413135</v>
      </c>
      <c r="K1934" s="8" t="str">
        <f aca="false">IF(COUNTIF($M$1:$M$10,$A1934)&gt;0,"Y","N")</f>
        <v>Y</v>
      </c>
    </row>
    <row r="1935" customFormat="false" ht="15" hidden="false" customHeight="true" outlineLevel="0" collapsed="false">
      <c r="A1935" s="8" t="s">
        <v>54</v>
      </c>
      <c r="B1935" s="8" t="s">
        <v>709</v>
      </c>
      <c r="C1935" s="19" t="n">
        <v>1</v>
      </c>
      <c r="D1935" s="19" t="n">
        <v>56.67</v>
      </c>
      <c r="E1935" s="19" t="n">
        <v>0</v>
      </c>
      <c r="F1935" s="19" t="n">
        <v>0</v>
      </c>
      <c r="G1935" s="8" t="n">
        <f aca="false">IFERROR(INDEX('TRANS'!$B:$B,MATCH($B1935,'TRANS'!$A:$A,0)),IFERROR(INDEX('TRANS'!$B:$B,MATCH(TRIM(SUBSTITUTE($B1935,CHAR(160)," ")),'TRANS'!$D:$D,0)),IFERROR(INDEX('Catalog'!$A:$A,MATCH($B1935,'Catalog'!$B:$B,0)),IFERROR(INDEX('Catalog'!$A:$A,MATCH(TRIM(SUBSTITUTE($B1935,CHAR(160)," ")),'Catalog'!$C:$C,0)),""))))</f>
        <v>4413136</v>
      </c>
      <c r="H1935" s="8" t="str">
        <f aca="false">IFERROR(INDEX('TRANS'!$C:$C,MATCH($B1935,'TRANS'!$A:$A,0)),IFERROR(INDEX('Catalog'!$B:$B,MATCH($G1935,'Catalog'!$A:$A,0)),$B1935))</f>
        <v>85 M (מתלה ליד )כיס</v>
      </c>
      <c r="I1935" s="8" t="str">
        <f aca="false">IF($G1935="","Unmatched","Matched")</f>
        <v>Matched</v>
      </c>
      <c r="J1935" s="8" t="n">
        <f aca="false">IF($G1935&lt;&gt;"",$G1935,$B1935)</f>
        <v>4413136</v>
      </c>
      <c r="K1935" s="8" t="str">
        <f aca="false">IF(COUNTIF($M$1:$M$10,$A1935)&gt;0,"Y","N")</f>
        <v>Y</v>
      </c>
    </row>
    <row r="1936" customFormat="false" ht="15" hidden="false" customHeight="true" outlineLevel="0" collapsed="false">
      <c r="A1936" s="8" t="s">
        <v>54</v>
      </c>
      <c r="B1936" s="8" t="s">
        <v>710</v>
      </c>
      <c r="C1936" s="19" t="n">
        <v>1</v>
      </c>
      <c r="D1936" s="19" t="n">
        <v>56.67</v>
      </c>
      <c r="E1936" s="19" t="n">
        <v>0</v>
      </c>
      <c r="F1936" s="19" t="n">
        <v>0</v>
      </c>
      <c r="G1936" s="8" t="n">
        <f aca="false">IFERROR(INDEX('TRANS'!$B:$B,MATCH($B1936,'TRANS'!$A:$A,0)),IFERROR(INDEX('TRANS'!$B:$B,MATCH(TRIM(SUBSTITUTE($B1936,CHAR(160)," ")),'TRANS'!$D:$D,0)),IFERROR(INDEX('Catalog'!$A:$A,MATCH($B1936,'Catalog'!$B:$B,0)),IFERROR(INDEX('Catalog'!$A:$A,MATCH(TRIM(SUBSTITUTE($B1936,CHAR(160)," ")),'Catalog'!$C:$C,0)),""))))</f>
        <v>4413138</v>
      </c>
      <c r="H1936" s="8" t="str">
        <f aca="false">IFERROR(INDEX('TRANS'!$C:$C,MATCH($B1936,'TRANS'!$A:$A,0)),IFERROR(INDEX('Catalog'!$B:$B,MATCH($G1936,'Catalog'!$A:$A,0)),$B1936))</f>
        <v>85 XL (מתלה ליד )כיס</v>
      </c>
      <c r="I1936" s="8" t="str">
        <f aca="false">IF($G1936="","Unmatched","Matched")</f>
        <v>Matched</v>
      </c>
      <c r="J1936" s="8" t="n">
        <f aca="false">IF($G1936&lt;&gt;"",$G1936,$B1936)</f>
        <v>4413138</v>
      </c>
      <c r="K1936" s="8" t="str">
        <f aca="false">IF(COUNTIF($M$1:$M$10,$A1936)&gt;0,"Y","N")</f>
        <v>Y</v>
      </c>
    </row>
    <row r="1937" customFormat="false" ht="15" hidden="false" customHeight="true" outlineLevel="0" collapsed="false">
      <c r="A1937" s="8" t="s">
        <v>54</v>
      </c>
      <c r="B1937" s="8" t="s">
        <v>836</v>
      </c>
      <c r="C1937" s="19" t="n">
        <v>2</v>
      </c>
      <c r="D1937" s="19" t="n">
        <v>61.78</v>
      </c>
      <c r="E1937" s="19" t="n">
        <v>0</v>
      </c>
      <c r="F1937" s="19" t="n">
        <v>0</v>
      </c>
      <c r="G1937" s="8" t="n">
        <f aca="false">IFERROR(INDEX('TRANS'!$B:$B,MATCH($B1937,'TRANS'!$A:$A,0)),IFERROR(INDEX('TRANS'!$B:$B,MATCH(TRIM(SUBSTITUTE($B1937,CHAR(160)," ")),'TRANS'!$D:$D,0)),IFERROR(INDEX('Catalog'!$A:$A,MATCH($B1937,'Catalog'!$B:$B,0)),IFERROR(INDEX('Catalog'!$A:$A,MATCH(TRIM(SUBSTITUTE($B1937,CHAR(160)," ")),'Catalog'!$C:$C,0)),""))))</f>
        <v>4413139</v>
      </c>
      <c r="H1937" s="8" t="str">
        <f aca="false">IFERROR(INDEX('TRANS'!$C:$C,MATCH($B1937,'TRANS'!$A:$A,0)),IFERROR(INDEX('Catalog'!$B:$B,MATCH($G1937,'Catalog'!$A:$A,0)),$B1937))</f>
        <v>95 L מגן מרפק רגיל לבן</v>
      </c>
      <c r="I1937" s="8" t="str">
        <f aca="false">IF($G1937="","Unmatched","Matched")</f>
        <v>Matched</v>
      </c>
      <c r="J1937" s="8" t="n">
        <f aca="false">IF($G1937&lt;&gt;"",$G1937,$B1937)</f>
        <v>4413139</v>
      </c>
      <c r="K1937" s="8" t="str">
        <f aca="false">IF(COUNTIF($M$1:$M$10,$A1937)&gt;0,"Y","N")</f>
        <v>Y</v>
      </c>
    </row>
    <row r="1938" customFormat="false" ht="15" hidden="false" customHeight="true" outlineLevel="0" collapsed="false">
      <c r="A1938" s="8" t="s">
        <v>54</v>
      </c>
      <c r="B1938" s="8" t="s">
        <v>716</v>
      </c>
      <c r="C1938" s="19" t="n">
        <v>2</v>
      </c>
      <c r="D1938" s="19" t="n">
        <v>61.78</v>
      </c>
      <c r="E1938" s="19" t="n">
        <v>0</v>
      </c>
      <c r="F1938" s="19" t="n">
        <v>0</v>
      </c>
      <c r="G1938" s="8" t="n">
        <f aca="false">IFERROR(INDEX('TRANS'!$B:$B,MATCH($B1938,'TRANS'!$A:$A,0)),IFERROR(INDEX('TRANS'!$B:$B,MATCH(TRIM(SUBSTITUTE($B1938,CHAR(160)," ")),'TRANS'!$D:$D,0)),IFERROR(INDEX('Catalog'!$A:$A,MATCH($B1938,'Catalog'!$B:$B,0)),IFERROR(INDEX('Catalog'!$A:$A,MATCH(TRIM(SUBSTITUTE($B1938,CHAR(160)," ")),'Catalog'!$C:$C,0)),""))))</f>
        <v>4413140</v>
      </c>
      <c r="H1938" s="8" t="str">
        <f aca="false">IFERROR(INDEX('TRANS'!$C:$C,MATCH($B1938,'TRANS'!$A:$A,0)),IFERROR(INDEX('Catalog'!$B:$B,MATCH($G1938,'Catalog'!$A:$A,0)),$B1938))</f>
        <v>95 M מגן מרפק רגיל לבן</v>
      </c>
      <c r="I1938" s="8" t="str">
        <f aca="false">IF($G1938="","Unmatched","Matched")</f>
        <v>Matched</v>
      </c>
      <c r="J1938" s="8" t="n">
        <f aca="false">IF($G1938&lt;&gt;"",$G1938,$B1938)</f>
        <v>4413140</v>
      </c>
      <c r="K1938" s="8" t="str">
        <f aca="false">IF(COUNTIF($M$1:$M$10,$A1938)&gt;0,"Y","N")</f>
        <v>Y</v>
      </c>
    </row>
    <row r="1939" customFormat="false" ht="15" hidden="false" customHeight="true" outlineLevel="0" collapsed="false">
      <c r="A1939" s="8" t="s">
        <v>54</v>
      </c>
      <c r="B1939" s="8" t="s">
        <v>838</v>
      </c>
      <c r="C1939" s="19" t="n">
        <v>1</v>
      </c>
      <c r="D1939" s="19" t="n">
        <v>30.89</v>
      </c>
      <c r="E1939" s="19" t="n">
        <v>0</v>
      </c>
      <c r="F1939" s="19" t="n">
        <v>0</v>
      </c>
      <c r="G1939" s="8" t="n">
        <f aca="false">IFERROR(INDEX('TRANS'!$B:$B,MATCH($B1939,'TRANS'!$A:$A,0)),IFERROR(INDEX('TRANS'!$B:$B,MATCH(TRIM(SUBSTITUTE($B1939,CHAR(160)," ")),'TRANS'!$D:$D,0)),IFERROR(INDEX('Catalog'!$A:$A,MATCH($B1939,'Catalog'!$B:$B,0)),IFERROR(INDEX('Catalog'!$A:$A,MATCH(TRIM(SUBSTITUTE($B1939,CHAR(160)," ")),'Catalog'!$C:$C,0)),""))))</f>
        <v>4413142</v>
      </c>
      <c r="H1939" s="8" t="str">
        <f aca="false">IFERROR(INDEX('TRANS'!$C:$C,MATCH($B1939,'TRANS'!$A:$A,0)),IFERROR(INDEX('Catalog'!$B:$B,MATCH($G1939,'Catalog'!$A:$A,0)),$B1939))</f>
        <v>95 XL מגן מרפק רגיל לבן</v>
      </c>
      <c r="I1939" s="8" t="str">
        <f aca="false">IF($G1939="","Unmatched","Matched")</f>
        <v>Matched</v>
      </c>
      <c r="J1939" s="8" t="n">
        <f aca="false">IF($G1939&lt;&gt;"",$G1939,$B1939)</f>
        <v>4413142</v>
      </c>
      <c r="K1939" s="8" t="str">
        <f aca="false">IF(COUNTIF($M$1:$M$10,$A1939)&gt;0,"Y","N")</f>
        <v>Y</v>
      </c>
    </row>
    <row r="1940" customFormat="false" ht="15" hidden="false" customHeight="true" outlineLevel="0" collapsed="false">
      <c r="A1940" s="8" t="s">
        <v>54</v>
      </c>
      <c r="B1940" s="8" t="s">
        <v>997</v>
      </c>
      <c r="C1940" s="19" t="n">
        <v>1</v>
      </c>
      <c r="D1940" s="19" t="n">
        <v>30.89</v>
      </c>
      <c r="E1940" s="19" t="n">
        <v>0</v>
      </c>
      <c r="F1940" s="19" t="n">
        <v>0</v>
      </c>
      <c r="G1940" s="8" t="n">
        <f aca="false">IFERROR(INDEX('TRANS'!$B:$B,MATCH($B1940,'TRANS'!$A:$A,0)),IFERROR(INDEX('TRANS'!$B:$B,MATCH(TRIM(SUBSTITUTE($B1940,CHAR(160)," ")),'TRANS'!$D:$D,0)),IFERROR(INDEX('Catalog'!$A:$A,MATCH($B1940,'Catalog'!$B:$B,0)),IFERROR(INDEX('Catalog'!$A:$A,MATCH(TRIM(SUBSTITUTE($B1940,CHAR(160)," ")),'Catalog'!$C:$C,0)),""))))</f>
        <v>4413144</v>
      </c>
      <c r="H1940" s="8" t="str">
        <f aca="false">IFERROR(INDEX('TRANS'!$C:$C,MATCH($B1940,'TRANS'!$A:$A,0)),IFERROR(INDEX('Catalog'!$B:$B,MATCH($G1940,'Catalog'!$A:$A,0)),$B1940))</f>
        <v>95 XXL מגן מרפק רגיל לבן</v>
      </c>
      <c r="I1940" s="8" t="str">
        <f aca="false">IF($G1940="","Unmatched","Matched")</f>
        <v>Matched</v>
      </c>
      <c r="J1940" s="8" t="n">
        <f aca="false">IF($G1940&lt;&gt;"",$G1940,$B1940)</f>
        <v>4413144</v>
      </c>
      <c r="K1940" s="8" t="str">
        <f aca="false">IF(COUNTIF($M$1:$M$10,$A1940)&gt;0,"Y","N")</f>
        <v>Y</v>
      </c>
    </row>
    <row r="1941" customFormat="false" ht="15" hidden="false" customHeight="true" outlineLevel="0" collapsed="false">
      <c r="A1941" s="8" t="s">
        <v>54</v>
      </c>
      <c r="B1941" s="8" t="s">
        <v>718</v>
      </c>
      <c r="C1941" s="19" t="n">
        <v>1</v>
      </c>
      <c r="D1941" s="19" t="n">
        <v>30.89</v>
      </c>
      <c r="E1941" s="19" t="n">
        <v>0</v>
      </c>
      <c r="F1941" s="19" t="n">
        <v>0</v>
      </c>
      <c r="G1941" s="8" t="n">
        <f aca="false">IFERROR(INDEX('TRANS'!$B:$B,MATCH($B1941,'TRANS'!$A:$A,0)),IFERROR(INDEX('TRANS'!$B:$B,MATCH(TRIM(SUBSTITUTE($B1941,CHAR(160)," ")),'TRANS'!$D:$D,0)),IFERROR(INDEX('Catalog'!$A:$A,MATCH($B1941,'Catalog'!$B:$B,0)),IFERROR(INDEX('Catalog'!$A:$A,MATCH(TRIM(SUBSTITUTE($B1941,CHAR(160)," ")),'Catalog'!$C:$C,0)),""))))</f>
        <v>4413501</v>
      </c>
      <c r="H1941" s="8" t="str">
        <f aca="false">IFERROR(INDEX('TRANS'!$C:$C,MATCH($B1941,'TRANS'!$A:$A,0)),IFERROR(INDEX('Catalog'!$B:$B,MATCH($G1941,'Catalog'!$A:$A,0)),$B1941))</f>
        <v>95B M מגן מרפק שחור</v>
      </c>
      <c r="I1941" s="8" t="str">
        <f aca="false">IF($G1941="","Unmatched","Matched")</f>
        <v>Matched</v>
      </c>
      <c r="J1941" s="8" t="n">
        <f aca="false">IF($G1941&lt;&gt;"",$G1941,$B1941)</f>
        <v>4413501</v>
      </c>
      <c r="K1941" s="8" t="str">
        <f aca="false">IF(COUNTIF($M$1:$M$10,$A1941)&gt;0,"Y","N")</f>
        <v>Y</v>
      </c>
    </row>
    <row r="1942" customFormat="false" ht="15" hidden="false" customHeight="true" outlineLevel="0" collapsed="false">
      <c r="A1942" s="8" t="s">
        <v>54</v>
      </c>
      <c r="B1942" s="8" t="s">
        <v>731</v>
      </c>
      <c r="C1942" s="19" t="n">
        <v>9</v>
      </c>
      <c r="D1942" s="19" t="n">
        <v>666.36</v>
      </c>
      <c r="E1942" s="19" t="n">
        <v>1</v>
      </c>
      <c r="F1942" s="19" t="n">
        <v>74.95</v>
      </c>
      <c r="G1942" s="8" t="n">
        <f aca="false">IFERROR(INDEX('TRANS'!$B:$B,MATCH($B1942,'TRANS'!$A:$A,0)),IFERROR(INDEX('TRANS'!$B:$B,MATCH(TRIM(SUBSTITUTE($B1942,CHAR(160)," ")),'TRANS'!$D:$D,0)),IFERROR(INDEX('Catalog'!$A:$A,MATCH($B1942,'Catalog'!$B:$B,0)),IFERROR(INDEX('Catalog'!$A:$A,MATCH(TRIM(SUBSTITUTE($B1942,CHAR(160)," ")),'Catalog'!$C:$C,0)),""))))</f>
        <v>4413329</v>
      </c>
      <c r="H1942" s="8" t="str">
        <f aca="false">IFERROR(INDEX('TRANS'!$C:$C,MATCH($B1942,'TRANS'!$A:$A,0)),IFERROR(INDEX('Catalog'!$B:$B,MATCH($G1942,'Catalog'!$A:$A,0)),$B1942))</f>
        <v>AC45X מגן ברך עם תמיכות</v>
      </c>
      <c r="I1942" s="8" t="str">
        <f aca="false">IF($G1942="","Unmatched","Matched")</f>
        <v>Matched</v>
      </c>
      <c r="J1942" s="8" t="n">
        <f aca="false">IF($G1942&lt;&gt;"",$G1942,$B1942)</f>
        <v>4413329</v>
      </c>
      <c r="K1942" s="8" t="str">
        <f aca="false">IF(COUNTIF($M$1:$M$10,$A1942)&gt;0,"Y","N")</f>
        <v>Y</v>
      </c>
    </row>
    <row r="1943" customFormat="false" ht="15" hidden="false" customHeight="true" outlineLevel="0" collapsed="false">
      <c r="A1943" s="8" t="s">
        <v>54</v>
      </c>
      <c r="B1943" s="8" t="s">
        <v>756</v>
      </c>
      <c r="C1943" s="19" t="n">
        <v>3</v>
      </c>
      <c r="D1943" s="19" t="n">
        <v>432.29</v>
      </c>
      <c r="E1943" s="19" t="n">
        <v>0</v>
      </c>
      <c r="F1943" s="19" t="n">
        <v>0</v>
      </c>
      <c r="G1943" s="8" t="n">
        <f aca="false">IFERROR(INDEX('TRANS'!$B:$B,MATCH($B1943,'TRANS'!$A:$A,0)),IFERROR(INDEX('TRANS'!$B:$B,MATCH(TRIM(SUBSTITUTE($B1943,CHAR(160)," ")),'TRANS'!$D:$D,0)),IFERROR(INDEX('Catalog'!$A:$A,MATCH($B1943,'Catalog'!$B:$B,0)),IFERROR(INDEX('Catalog'!$A:$A,MATCH(TRIM(SUBSTITUTE($B1943,CHAR(160)," ")),'Catalog'!$C:$C,0)),""))))</f>
        <v>4413416</v>
      </c>
      <c r="H1943" s="8" t="str">
        <f aca="false">IFERROR(INDEX('TRANS'!$C:$C,MATCH($B1943,'TRANS'!$A:$A,0)),IFERROR(INDEX('Catalog'!$B:$B,MATCH($G1943,'Catalog'!$A:$A,0)),$B1943))</f>
        <v>SC39  M מגן שוק</v>
      </c>
      <c r="I1943" s="8" t="str">
        <f aca="false">IF($G1943="","Unmatched","Matched")</f>
        <v>Matched</v>
      </c>
      <c r="J1943" s="8" t="n">
        <f aca="false">IF($G1943&lt;&gt;"",$G1943,$B1943)</f>
        <v>4413416</v>
      </c>
      <c r="K1943" s="8" t="str">
        <f aca="false">IF(COUNTIF($M$1:$M$10,$A1943)&gt;0,"Y","N")</f>
        <v>Y</v>
      </c>
    </row>
    <row r="1944" customFormat="false" ht="15" hidden="false" customHeight="true" outlineLevel="0" collapsed="false">
      <c r="A1944" s="8" t="s">
        <v>54</v>
      </c>
      <c r="B1944" s="8" t="s">
        <v>843</v>
      </c>
      <c r="C1944" s="19" t="n">
        <v>1</v>
      </c>
      <c r="D1944" s="19" t="n">
        <v>141.77</v>
      </c>
      <c r="E1944" s="19" t="n">
        <v>2</v>
      </c>
      <c r="F1944" s="19" t="n">
        <v>328.06</v>
      </c>
      <c r="G1944" s="8" t="n">
        <f aca="false">IFERROR(INDEX('TRANS'!$B:$B,MATCH($B1944,'TRANS'!$A:$A,0)),IFERROR(INDEX('TRANS'!$B:$B,MATCH(TRIM(SUBSTITUTE($B1944,CHAR(160)," ")),'TRANS'!$D:$D,0)),IFERROR(INDEX('Catalog'!$A:$A,MATCH($B1944,'Catalog'!$B:$B,0)),IFERROR(INDEX('Catalog'!$A:$A,MATCH(TRIM(SUBSTITUTE($B1944,CHAR(160)," ")),'Catalog'!$C:$C,0)),""))))</f>
        <v>4413415</v>
      </c>
      <c r="H1944" s="8" t="str">
        <f aca="false">IFERROR(INDEX('TRANS'!$C:$C,MATCH($B1944,'TRANS'!$A:$A,0)),IFERROR(INDEX('Catalog'!$B:$B,MATCH($G1944,'Catalog'!$A:$A,0)),$B1944))</f>
        <v>SC39  S מגן שוק</v>
      </c>
      <c r="I1944" s="8" t="str">
        <f aca="false">IF($G1944="","Unmatched","Matched")</f>
        <v>Matched</v>
      </c>
      <c r="J1944" s="8" t="n">
        <f aca="false">IF($G1944&lt;&gt;"",$G1944,$B1944)</f>
        <v>4413415</v>
      </c>
      <c r="K1944" s="8" t="str">
        <f aca="false">IF(COUNTIF($M$1:$M$10,$A1944)&gt;0,"Y","N")</f>
        <v>Y</v>
      </c>
    </row>
    <row r="1945" customFormat="false" ht="15" hidden="false" customHeight="true" outlineLevel="0" collapsed="false">
      <c r="A1945" s="8" t="s">
        <v>54</v>
      </c>
      <c r="B1945" s="8" t="s">
        <v>931</v>
      </c>
      <c r="C1945" s="19" t="n">
        <v>1</v>
      </c>
      <c r="D1945" s="19" t="n">
        <v>145.26</v>
      </c>
      <c r="E1945" s="19" t="n">
        <v>1</v>
      </c>
      <c r="F1945" s="19" t="n">
        <v>164.02</v>
      </c>
      <c r="G1945" s="8" t="n">
        <f aca="false">IFERROR(INDEX('TRANS'!$B:$B,MATCH($B1945,'TRANS'!$A:$A,0)),IFERROR(INDEX('TRANS'!$B:$B,MATCH(TRIM(SUBSTITUTE($B1945,CHAR(160)," ")),'TRANS'!$D:$D,0)),IFERROR(INDEX('Catalog'!$A:$A,MATCH($B1945,'Catalog'!$B:$B,0)),IFERROR(INDEX('Catalog'!$A:$A,MATCH(TRIM(SUBSTITUTE($B1945,CHAR(160)," ")),'Catalog'!$C:$C,0)),""))))</f>
        <v>4413418</v>
      </c>
      <c r="H1945" s="8" t="str">
        <f aca="false">IFERROR(INDEX('TRANS'!$C:$C,MATCH($B1945,'TRANS'!$A:$A,0)),IFERROR(INDEX('Catalog'!$B:$B,MATCH($G1945,'Catalog'!$A:$A,0)),$B1945))</f>
        <v>SC39 XL מגן שוק</v>
      </c>
      <c r="I1945" s="8" t="str">
        <f aca="false">IF($G1945="","Unmatched","Matched")</f>
        <v>Matched</v>
      </c>
      <c r="J1945" s="8" t="n">
        <f aca="false">IF($G1945&lt;&gt;"",$G1945,$B1945)</f>
        <v>4413418</v>
      </c>
      <c r="K1945" s="8" t="str">
        <f aca="false">IF(COUNTIF($M$1:$M$10,$A1945)&gt;0,"Y","N")</f>
        <v>Y</v>
      </c>
    </row>
    <row r="1946" customFormat="false" ht="15" hidden="false" customHeight="true" outlineLevel="0" collapsed="false">
      <c r="A1946" s="8" t="s">
        <v>54</v>
      </c>
      <c r="B1946" s="8" t="s">
        <v>757</v>
      </c>
      <c r="C1946" s="19" t="n">
        <v>1</v>
      </c>
      <c r="D1946" s="19" t="n">
        <v>140.57</v>
      </c>
      <c r="E1946" s="19" t="n">
        <v>0</v>
      </c>
      <c r="F1946" s="19" t="n">
        <v>0</v>
      </c>
      <c r="G1946" s="8" t="n">
        <f aca="false">IFERROR(INDEX('TRANS'!$B:$B,MATCH($B1946,'TRANS'!$A:$A,0)),IFERROR(INDEX('TRANS'!$B:$B,MATCH(TRIM(SUBSTITUTE($B1946,CHAR(160)," ")),'TRANS'!$D:$D,0)),IFERROR(INDEX('Catalog'!$A:$A,MATCH($B1946,'Catalog'!$B:$B,0)),IFERROR(INDEX('Catalog'!$A:$A,MATCH(TRIM(SUBSTITUTE($B1946,CHAR(160)," ")),'Catalog'!$C:$C,0)),""))))</f>
        <v>4413439</v>
      </c>
      <c r="H1946" s="8" t="str">
        <f aca="false">IFERROR(INDEX('TRANS'!$C:$C,MATCH($B1946,'TRANS'!$A:$A,0)),IFERROR(INDEX('Catalog'!$B:$B,MATCH($G1946,'Catalog'!$A:$A,0)),$B1946))</f>
        <v>SC422  M מגן ברך</v>
      </c>
      <c r="I1946" s="8" t="str">
        <f aca="false">IF($G1946="","Unmatched","Matched")</f>
        <v>Matched</v>
      </c>
      <c r="J1946" s="8" t="n">
        <f aca="false">IF($G1946&lt;&gt;"",$G1946,$B1946)</f>
        <v>4413439</v>
      </c>
      <c r="K1946" s="8" t="str">
        <f aca="false">IF(COUNTIF($M$1:$M$10,$A1946)&gt;0,"Y","N")</f>
        <v>Y</v>
      </c>
    </row>
    <row r="1947" customFormat="false" ht="15" hidden="false" customHeight="true" outlineLevel="0" collapsed="false">
      <c r="A1947" s="8" t="s">
        <v>54</v>
      </c>
      <c r="B1947" s="8" t="s">
        <v>845</v>
      </c>
      <c r="C1947" s="19" t="n">
        <v>1</v>
      </c>
      <c r="D1947" s="19" t="n">
        <v>140.57</v>
      </c>
      <c r="E1947" s="19" t="n">
        <v>0</v>
      </c>
      <c r="F1947" s="19" t="n">
        <v>0</v>
      </c>
      <c r="G1947" s="8" t="n">
        <f aca="false">IFERROR(INDEX('TRANS'!$B:$B,MATCH($B1947,'TRANS'!$A:$A,0)),IFERROR(INDEX('TRANS'!$B:$B,MATCH(TRIM(SUBSTITUTE($B1947,CHAR(160)," ")),'TRANS'!$D:$D,0)),IFERROR(INDEX('Catalog'!$A:$A,MATCH($B1947,'Catalog'!$B:$B,0)),IFERROR(INDEX('Catalog'!$A:$A,MATCH(TRIM(SUBSTITUTE($B1947,CHAR(160)," ")),'Catalog'!$C:$C,0)),""))))</f>
        <v>4413438</v>
      </c>
      <c r="H1947" s="8" t="str">
        <f aca="false">IFERROR(INDEX('TRANS'!$C:$C,MATCH($B1947,'TRANS'!$A:$A,0)),IFERROR(INDEX('Catalog'!$B:$B,MATCH($G1947,'Catalog'!$A:$A,0)),$B1947))</f>
        <v>SC422  S מגן ברך</v>
      </c>
      <c r="I1947" s="8" t="str">
        <f aca="false">IF($G1947="","Unmatched","Matched")</f>
        <v>Matched</v>
      </c>
      <c r="J1947" s="8" t="n">
        <f aca="false">IF($G1947&lt;&gt;"",$G1947,$B1947)</f>
        <v>4413438</v>
      </c>
      <c r="K1947" s="8" t="str">
        <f aca="false">IF(COUNTIF($M$1:$M$10,$A1947)&gt;0,"Y","N")</f>
        <v>Y</v>
      </c>
    </row>
    <row r="1948" customFormat="false" ht="15" hidden="false" customHeight="true" outlineLevel="0" collapsed="false">
      <c r="A1948" s="8" t="s">
        <v>54</v>
      </c>
      <c r="B1948" s="8" t="s">
        <v>758</v>
      </c>
      <c r="C1948" s="19" t="n">
        <v>1</v>
      </c>
      <c r="D1948" s="19" t="n">
        <v>140.57</v>
      </c>
      <c r="E1948" s="19" t="n">
        <v>0</v>
      </c>
      <c r="F1948" s="19" t="n">
        <v>0</v>
      </c>
      <c r="G1948" s="8" t="n">
        <f aca="false">IFERROR(INDEX('TRANS'!$B:$B,MATCH($B1948,'TRANS'!$A:$A,0)),IFERROR(INDEX('TRANS'!$B:$B,MATCH(TRIM(SUBSTITUTE($B1948,CHAR(160)," ")),'TRANS'!$D:$D,0)),IFERROR(INDEX('Catalog'!$A:$A,MATCH($B1948,'Catalog'!$B:$B,0)),IFERROR(INDEX('Catalog'!$A:$A,MATCH(TRIM(SUBSTITUTE($B1948,CHAR(160)," ")),'Catalog'!$C:$C,0)),""))))</f>
        <v>4413442</v>
      </c>
      <c r="H1948" s="8" t="str">
        <f aca="false">IFERROR(INDEX('TRANS'!$C:$C,MATCH($B1948,'TRANS'!$A:$A,0)),IFERROR(INDEX('Catalog'!$B:$B,MATCH($G1948,'Catalog'!$A:$A,0)),$B1948))</f>
        <v>SC422 XXLמגן ברך</v>
      </c>
      <c r="I1948" s="8" t="str">
        <f aca="false">IF($G1948="","Unmatched","Matched")</f>
        <v>Matched</v>
      </c>
      <c r="J1948" s="8" t="n">
        <f aca="false">IF($G1948&lt;&gt;"",$G1948,$B1948)</f>
        <v>4413442</v>
      </c>
      <c r="K1948" s="8" t="str">
        <f aca="false">IF(COUNTIF($M$1:$M$10,$A1948)&gt;0,"Y","N")</f>
        <v>Y</v>
      </c>
    </row>
    <row r="1949" customFormat="false" ht="15" hidden="false" customHeight="true" outlineLevel="0" collapsed="false">
      <c r="A1949" s="8" t="s">
        <v>54</v>
      </c>
      <c r="B1949" s="8" t="s">
        <v>765</v>
      </c>
      <c r="C1949" s="19" t="n">
        <v>1</v>
      </c>
      <c r="D1949" s="19" t="n">
        <v>92.29</v>
      </c>
      <c r="E1949" s="19" t="n">
        <v>1</v>
      </c>
      <c r="F1949" s="19" t="n">
        <v>65</v>
      </c>
      <c r="G1949" s="8" t="n">
        <f aca="false">IFERROR(INDEX('TRANS'!$B:$B,MATCH($B1949,'TRANS'!$A:$A,0)),IFERROR(INDEX('TRANS'!$B:$B,MATCH(TRIM(SUBSTITUTE($B1949,CHAR(160)," ")),'TRANS'!$D:$D,0)),IFERROR(INDEX('Catalog'!$A:$A,MATCH($B1949,'Catalog'!$B:$B,0)),IFERROR(INDEX('Catalog'!$A:$A,MATCH(TRIM(SUBSTITUTE($B1949,CHAR(160)," ")),'Catalog'!$C:$C,0)),""))))</f>
        <v>4403034</v>
      </c>
      <c r="H1949" s="8" t="str">
        <f aca="false">IFERROR(INDEX('TRANS'!$C:$C,MATCH($B1949,'TRANS'!$A:$A,0)),IFERROR(INDEX('Catalog'!$B:$B,MATCH($G1949,'Catalog'!$A:$A,0)),$B1949))</f>
        <v>ST3555 S-Mגרב לילה לטיפ.בדורבן</v>
      </c>
      <c r="I1949" s="8" t="str">
        <f aca="false">IF($G1949="","Unmatched","Matched")</f>
        <v>Matched</v>
      </c>
      <c r="J1949" s="8" t="n">
        <f aca="false">IF($G1949&lt;&gt;"",$G1949,$B1949)</f>
        <v>4403034</v>
      </c>
      <c r="K1949" s="8" t="str">
        <f aca="false">IF(COUNTIF($M$1:$M$10,$A1949)&gt;0,"Y","N")</f>
        <v>Y</v>
      </c>
    </row>
    <row r="1950" customFormat="false" ht="15" hidden="false" customHeight="true" outlineLevel="0" collapsed="false">
      <c r="A1950" s="8" t="s">
        <v>54</v>
      </c>
      <c r="B1950" s="8" t="s">
        <v>774</v>
      </c>
      <c r="C1950" s="19" t="n">
        <v>1</v>
      </c>
      <c r="D1950" s="19" t="n">
        <v>187.45</v>
      </c>
      <c r="E1950" s="19" t="n">
        <v>2</v>
      </c>
      <c r="F1950" s="19" t="n">
        <v>374.9</v>
      </c>
      <c r="G1950" s="8" t="n">
        <f aca="false">IFERROR(INDEX('TRANS'!$B:$B,MATCH($B1950,'TRANS'!$A:$A,0)),IFERROR(INDEX('TRANS'!$B:$B,MATCH(TRIM(SUBSTITUTE($B1950,CHAR(160)," ")),'TRANS'!$D:$D,0)),IFERROR(INDEX('Catalog'!$A:$A,MATCH($B1950,'Catalog'!$B:$B,0)),IFERROR(INDEX('Catalog'!$A:$A,MATCH(TRIM(SUBSTITUTE($B1950,CHAR(160)," ")),'Catalog'!$C:$C,0)),""))))</f>
        <v>4422006</v>
      </c>
      <c r="H1950" s="8" t="str">
        <f aca="false">IFERROR(INDEX('TRANS'!$C:$C,MATCH($B1950,'TRANS'!$A:$A,0)),IFERROR(INDEX('Catalog'!$B:$B,MATCH($G1950,'Catalog'!$A:$A,0)),$B1950))</f>
        <v>T78 L תומך זרוע וכתף</v>
      </c>
      <c r="I1950" s="8" t="str">
        <f aca="false">IF($G1950="","Unmatched","Matched")</f>
        <v>Matched</v>
      </c>
      <c r="J1950" s="8" t="n">
        <f aca="false">IF($G1950&lt;&gt;"",$G1950,$B1950)</f>
        <v>4422006</v>
      </c>
      <c r="K1950" s="8" t="str">
        <f aca="false">IF(COUNTIF($M$1:$M$10,$A1950)&gt;0,"Y","N")</f>
        <v>Y</v>
      </c>
    </row>
    <row r="1951" customFormat="false" ht="15" hidden="false" customHeight="true" outlineLevel="0" collapsed="false">
      <c r="A1951" s="8" t="s">
        <v>54</v>
      </c>
      <c r="B1951" s="8" t="s">
        <v>851</v>
      </c>
      <c r="C1951" s="19" t="n">
        <v>0</v>
      </c>
      <c r="D1951" s="19" t="n">
        <v>0</v>
      </c>
      <c r="E1951" s="19" t="n">
        <v>1</v>
      </c>
      <c r="F1951" s="19" t="n">
        <v>187.45</v>
      </c>
      <c r="G1951" s="8" t="n">
        <f aca="false">IFERROR(INDEX('TRANS'!$B:$B,MATCH($B1951,'TRANS'!$A:$A,0)),IFERROR(INDEX('TRANS'!$B:$B,MATCH(TRIM(SUBSTITUTE($B1951,CHAR(160)," ")),'TRANS'!$D:$D,0)),IFERROR(INDEX('Catalog'!$A:$A,MATCH($B1951,'Catalog'!$B:$B,0)),IFERROR(INDEX('Catalog'!$A:$A,MATCH(TRIM(SUBSTITUTE($B1951,CHAR(160)," ")),'Catalog'!$C:$C,0)),""))))</f>
        <v>4422005</v>
      </c>
      <c r="H1951" s="8" t="str">
        <f aca="false">IFERROR(INDEX('TRANS'!$C:$C,MATCH($B1951,'TRANS'!$A:$A,0)),IFERROR(INDEX('Catalog'!$B:$B,MATCH($G1951,'Catalog'!$A:$A,0)),$B1951))</f>
        <v>T78 M תומך זרוע וכתף</v>
      </c>
      <c r="I1951" s="8" t="str">
        <f aca="false">IF($G1951="","Unmatched","Matched")</f>
        <v>Matched</v>
      </c>
      <c r="J1951" s="8" t="n">
        <f aca="false">IF($G1951&lt;&gt;"",$G1951,$B1951)</f>
        <v>4422005</v>
      </c>
      <c r="K1951" s="8" t="str">
        <f aca="false">IF(COUNTIF($M$1:$M$10,$A1951)&gt;0,"Y","N")</f>
        <v>Y</v>
      </c>
    </row>
    <row r="1952" customFormat="false" ht="15" hidden="false" customHeight="true" outlineLevel="0" collapsed="false">
      <c r="A1952" s="8" t="s">
        <v>54</v>
      </c>
      <c r="B1952" s="8" t="s">
        <v>919</v>
      </c>
      <c r="C1952" s="19" t="n">
        <v>0</v>
      </c>
      <c r="D1952" s="19" t="n">
        <v>0</v>
      </c>
      <c r="E1952" s="19" t="n">
        <v>1</v>
      </c>
      <c r="F1952" s="19" t="n">
        <v>187.45</v>
      </c>
      <c r="G1952" s="8" t="n">
        <f aca="false">IFERROR(INDEX('TRANS'!$B:$B,MATCH($B1952,'TRANS'!$A:$A,0)),IFERROR(INDEX('TRANS'!$B:$B,MATCH(TRIM(SUBSTITUTE($B1952,CHAR(160)," ")),'TRANS'!$D:$D,0)),IFERROR(INDEX('Catalog'!$A:$A,MATCH($B1952,'Catalog'!$B:$B,0)),IFERROR(INDEX('Catalog'!$A:$A,MATCH(TRIM(SUBSTITUTE($B1952,CHAR(160)," ")),'Catalog'!$C:$C,0)),""))))</f>
        <v>4422004</v>
      </c>
      <c r="H1952" s="8" t="str">
        <f aca="false">IFERROR(INDEX('TRANS'!$C:$C,MATCH($B1952,'TRANS'!$A:$A,0)),IFERROR(INDEX('Catalog'!$B:$B,MATCH($G1952,'Catalog'!$A:$A,0)),$B1952))</f>
        <v>T78 S תומך זרוע וכתף</v>
      </c>
      <c r="I1952" s="8" t="str">
        <f aca="false">IF($G1952="","Unmatched","Matched")</f>
        <v>Matched</v>
      </c>
      <c r="J1952" s="8" t="n">
        <f aca="false">IF($G1952&lt;&gt;"",$G1952,$B1952)</f>
        <v>4422004</v>
      </c>
      <c r="K1952" s="8" t="str">
        <f aca="false">IF(COUNTIF($M$1:$M$10,$A1952)&gt;0,"Y","N")</f>
        <v>Y</v>
      </c>
    </row>
    <row r="1953" customFormat="false" ht="15" hidden="false" customHeight="true" outlineLevel="0" collapsed="false">
      <c r="A1953" s="8" t="s">
        <v>54</v>
      </c>
      <c r="B1953" s="8" t="s">
        <v>946</v>
      </c>
      <c r="C1953" s="19" t="n">
        <v>1</v>
      </c>
      <c r="D1953" s="19" t="n">
        <v>187.45</v>
      </c>
      <c r="E1953" s="19" t="n">
        <v>0</v>
      </c>
      <c r="F1953" s="19" t="n">
        <v>0</v>
      </c>
      <c r="G1953" s="8" t="n">
        <f aca="false">IFERROR(INDEX('TRANS'!$B:$B,MATCH($B1953,'TRANS'!$A:$A,0)),IFERROR(INDEX('TRANS'!$B:$B,MATCH(TRIM(SUBSTITUTE($B1953,CHAR(160)," ")),'TRANS'!$D:$D,0)),IFERROR(INDEX('Catalog'!$A:$A,MATCH($B1953,'Catalog'!$B:$B,0)),IFERROR(INDEX('Catalog'!$A:$A,MATCH(TRIM(SUBSTITUTE($B1953,CHAR(160)," ")),'Catalog'!$C:$C,0)),""))))</f>
        <v>4422007</v>
      </c>
      <c r="H1953" s="8" t="str">
        <f aca="false">IFERROR(INDEX('TRANS'!$C:$C,MATCH($B1953,'TRANS'!$A:$A,0)),IFERROR(INDEX('Catalog'!$B:$B,MATCH($G1953,'Catalog'!$A:$A,0)),$B1953))</f>
        <v>T78 XLתומך זרוע וכתף</v>
      </c>
      <c r="I1953" s="8" t="str">
        <f aca="false">IF($G1953="","Unmatched","Matched")</f>
        <v>Matched</v>
      </c>
      <c r="J1953" s="8" t="n">
        <f aca="false">IF($G1953&lt;&gt;"",$G1953,$B1953)</f>
        <v>4422007</v>
      </c>
      <c r="K1953" s="8" t="str">
        <f aca="false">IF(COUNTIF($M$1:$M$10,$A1953)&gt;0,"Y","N")</f>
        <v>Y</v>
      </c>
    </row>
    <row r="1954" customFormat="false" ht="15" hidden="false" customHeight="true" outlineLevel="0" collapsed="false">
      <c r="A1954" s="8" t="s">
        <v>54</v>
      </c>
      <c r="B1954" s="8" t="s">
        <v>123</v>
      </c>
      <c r="C1954" s="19" t="n">
        <v>0</v>
      </c>
      <c r="D1954" s="19" t="n">
        <v>0</v>
      </c>
      <c r="E1954" s="19" t="n">
        <v>1</v>
      </c>
      <c r="F1954" s="19" t="n">
        <v>187.44</v>
      </c>
      <c r="G1954" s="8" t="str">
        <f aca="false">IFERROR(INDEX('TRANS'!$B:$B,MATCH($B1954,'TRANS'!$A:$A,0)),IFERROR(INDEX('TRANS'!$B:$B,MATCH(TRIM(SUBSTITUTE($B1954,CHAR(160)," ")),'TRANS'!$D:$D,0)),IFERROR(INDEX('Catalog'!$A:$A,MATCH($B1954,'Catalog'!$B:$B,0)),IFERROR(INDEX('Catalog'!$A:$A,MATCH(TRIM(SUBSTITUTE($B1954,CHAR(160)," ")),'Catalog'!$C:$C,0)),""))))</f>
        <v/>
      </c>
      <c r="H1954" s="8" t="str">
        <f aca="false">IFERROR(INDEX('TRANS'!$C:$C,MATCH($B1954,'TRANS'!$A:$A,0)),IFERROR(INDEX('Catalog'!$B:$B,MATCH($G1954,'Catalog'!$A:$A,0)),$B1954))</f>
        <v>T78 XS</v>
      </c>
      <c r="I1954" s="8" t="str">
        <f aca="false">IF($G1954="","Unmatched","Matched")</f>
        <v>Unmatched</v>
      </c>
      <c r="J1954" s="8" t="str">
        <f aca="false">IF($G1954&lt;&gt;"",$G1954,$B1954)</f>
        <v>T78 XS</v>
      </c>
      <c r="K1954" s="8" t="str">
        <f aca="false">IF(COUNTIF($M$1:$M$10,$A1954)&gt;0,"Y","N")</f>
        <v>Y</v>
      </c>
    </row>
    <row r="1955" customFormat="false" ht="15" hidden="false" customHeight="true" outlineLevel="0" collapsed="false">
      <c r="A1955" s="8" t="s">
        <v>54</v>
      </c>
      <c r="B1955" s="8" t="s">
        <v>933</v>
      </c>
      <c r="C1955" s="19" t="n">
        <v>1</v>
      </c>
      <c r="D1955" s="19" t="n">
        <v>187.45</v>
      </c>
      <c r="E1955" s="19" t="n">
        <v>0</v>
      </c>
      <c r="F1955" s="19" t="n">
        <v>0</v>
      </c>
      <c r="G1955" s="8" t="n">
        <f aca="false">IFERROR(INDEX('TRANS'!$B:$B,MATCH($B1955,'TRANS'!$A:$A,0)),IFERROR(INDEX('TRANS'!$B:$B,MATCH(TRIM(SUBSTITUTE($B1955,CHAR(160)," ")),'TRANS'!$D:$D,0)),IFERROR(INDEX('Catalog'!$A:$A,MATCH($B1955,'Catalog'!$B:$B,0)),IFERROR(INDEX('Catalog'!$A:$A,MATCH(TRIM(SUBSTITUTE($B1955,CHAR(160)," ")),'Catalog'!$C:$C,0)),""))))</f>
        <v>4422009</v>
      </c>
      <c r="H1955" s="8" t="str">
        <f aca="false">IFERROR(INDEX('TRANS'!$C:$C,MATCH($B1955,'TRANS'!$A:$A,0)),IFERROR(INDEX('Catalog'!$B:$B,MATCH($G1955,'Catalog'!$A:$A,0)),$B1955))</f>
        <v>T78 XXL תומך זרוע וכתף</v>
      </c>
      <c r="I1955" s="8" t="str">
        <f aca="false">IF($G1955="","Unmatched","Matched")</f>
        <v>Matched</v>
      </c>
      <c r="J1955" s="8" t="n">
        <f aca="false">IF($G1955&lt;&gt;"",$G1955,$B1955)</f>
        <v>4422009</v>
      </c>
      <c r="K1955" s="8" t="str">
        <f aca="false">IF(COUNTIF($M$1:$M$10,$A1955)&gt;0,"Y","N")</f>
        <v>Y</v>
      </c>
    </row>
    <row r="1956" customFormat="false" ht="15" hidden="false" customHeight="true" outlineLevel="0" collapsed="false">
      <c r="A1956" s="8" t="s">
        <v>54</v>
      </c>
      <c r="B1956" s="8" t="s">
        <v>193</v>
      </c>
      <c r="C1956" s="19" t="n">
        <v>1</v>
      </c>
      <c r="D1956" s="19" t="n">
        <v>81.2</v>
      </c>
      <c r="E1956" s="19" t="n">
        <v>0</v>
      </c>
      <c r="F1956" s="19" t="n">
        <v>0</v>
      </c>
      <c r="G1956" s="8" t="str">
        <f aca="false">IFERROR(INDEX('TRANS'!$B:$B,MATCH($B1956,'TRANS'!$A:$A,0)),IFERROR(INDEX('TRANS'!$B:$B,MATCH(TRIM(SUBSTITUTE($B1956,CHAR(160)," ")),'TRANS'!$D:$D,0)),IFERROR(INDEX('Catalog'!$A:$A,MATCH($B1956,'Catalog'!$B:$B,0)),IFERROR(INDEX('Catalog'!$A:$A,MATCH(TRIM(SUBSTITUTE($B1956,CHAR(160)," ")),'Catalog'!$C:$C,0)),""))))</f>
        <v/>
      </c>
      <c r="H1956" s="8" t="str">
        <f aca="false">IFERROR(INDEX('TRANS'!$C:$C,MATCH($B1956,'TRANS'!$A:$A,0)),IFERROR(INDEX('Catalog'!$B:$B,MATCH($G1956,'Catalog'!$A:$A,0)),$B1956))</f>
        <v>305GA-35-36</v>
      </c>
      <c r="I1956" s="8" t="str">
        <f aca="false">IF($G1956="","Unmatched","Matched")</f>
        <v>Unmatched</v>
      </c>
      <c r="J1956" s="8" t="str">
        <f aca="false">IF($G1956&lt;&gt;"",$G1956,$B1956)</f>
        <v>305GA-35-36</v>
      </c>
      <c r="K1956" s="8" t="str">
        <f aca="false">IF(COUNTIF($M$1:$M$10,$A1956)&gt;0,"Y","N")</f>
        <v>Y</v>
      </c>
    </row>
    <row r="1957" customFormat="false" ht="15" hidden="false" customHeight="true" outlineLevel="0" collapsed="false">
      <c r="A1957" s="8" t="s">
        <v>54</v>
      </c>
      <c r="B1957" s="8" t="s">
        <v>597</v>
      </c>
      <c r="C1957" s="19" t="n">
        <v>6</v>
      </c>
      <c r="D1957" s="19" t="n">
        <v>485.86</v>
      </c>
      <c r="E1957" s="19" t="n">
        <v>4</v>
      </c>
      <c r="F1957" s="19" t="n">
        <v>324.83</v>
      </c>
      <c r="G1957" s="8" t="n">
        <f aca="false">IFERROR(INDEX('TRANS'!$B:$B,MATCH($B1957,'TRANS'!$A:$A,0)),IFERROR(INDEX('TRANS'!$B:$B,MATCH(TRIM(SUBSTITUTE($B1957,CHAR(160)," ")),'TRANS'!$D:$D,0)),IFERROR(INDEX('Catalog'!$A:$A,MATCH($B1957,'Catalog'!$B:$B,0)),IFERROR(INDEX('Catalog'!$A:$A,MATCH(TRIM(SUBSTITUTE($B1957,CHAR(160)," ")),'Catalog'!$C:$C,0)),""))))</f>
        <v>4413155</v>
      </c>
      <c r="H1957" s="8" t="str">
        <f aca="false">IFERROR(INDEX('TRANS'!$C:$C,MATCH($B1957,'TRANS'!$A:$A,0)),IFERROR(INDEX('Catalog'!$B:$B,MATCH($G1957,'Catalog'!$A:$A,0)),$B1957))</f>
        <v>305GA מדרס אורטופ.מתכוון39-40</v>
      </c>
      <c r="I1957" s="8" t="str">
        <f aca="false">IF($G1957="","Unmatched","Matched")</f>
        <v>Matched</v>
      </c>
      <c r="J1957" s="8" t="n">
        <f aca="false">IF($G1957&lt;&gt;"",$G1957,$B1957)</f>
        <v>4413155</v>
      </c>
      <c r="K1957" s="8" t="str">
        <f aca="false">IF(COUNTIF($M$1:$M$10,$A1957)&gt;0,"Y","N")</f>
        <v>Y</v>
      </c>
    </row>
    <row r="1958" customFormat="false" ht="15" hidden="false" customHeight="true" outlineLevel="0" collapsed="false">
      <c r="A1958" s="8" t="s">
        <v>54</v>
      </c>
      <c r="B1958" s="8" t="s">
        <v>598</v>
      </c>
      <c r="C1958" s="19" t="n">
        <v>11</v>
      </c>
      <c r="D1958" s="19" t="n">
        <v>890.54</v>
      </c>
      <c r="E1958" s="19" t="n">
        <v>4</v>
      </c>
      <c r="F1958" s="19" t="n">
        <v>324.79</v>
      </c>
      <c r="G1958" s="8" t="n">
        <f aca="false">IFERROR(INDEX('TRANS'!$B:$B,MATCH($B1958,'TRANS'!$A:$A,0)),IFERROR(INDEX('TRANS'!$B:$B,MATCH(TRIM(SUBSTITUTE($B1958,CHAR(160)," ")),'TRANS'!$D:$D,0)),IFERROR(INDEX('Catalog'!$A:$A,MATCH($B1958,'Catalog'!$B:$B,0)),IFERROR(INDEX('Catalog'!$A:$A,MATCH(TRIM(SUBSTITUTE($B1958,CHAR(160)," ")),'Catalog'!$C:$C,0)),""))))</f>
        <v>4413156</v>
      </c>
      <c r="H1958" s="8" t="str">
        <f aca="false">IFERROR(INDEX('TRANS'!$C:$C,MATCH($B1958,'TRANS'!$A:$A,0)),IFERROR(INDEX('Catalog'!$B:$B,MATCH($G1958,'Catalog'!$A:$A,0)),$B1958))</f>
        <v>305GA מדרס אורטופ.מתכוון41-42</v>
      </c>
      <c r="I1958" s="8" t="str">
        <f aca="false">IF($G1958="","Unmatched","Matched")</f>
        <v>Matched</v>
      </c>
      <c r="J1958" s="8" t="n">
        <f aca="false">IF($G1958&lt;&gt;"",$G1958,$B1958)</f>
        <v>4413156</v>
      </c>
      <c r="K1958" s="8" t="str">
        <f aca="false">IF(COUNTIF($M$1:$M$10,$A1958)&gt;0,"Y","N")</f>
        <v>Y</v>
      </c>
    </row>
    <row r="1959" customFormat="false" ht="15" hidden="false" customHeight="true" outlineLevel="0" collapsed="false">
      <c r="A1959" s="8" t="s">
        <v>54</v>
      </c>
      <c r="B1959" s="8" t="s">
        <v>599</v>
      </c>
      <c r="C1959" s="19" t="n">
        <v>23</v>
      </c>
      <c r="D1959" s="19" t="n">
        <v>1858.22</v>
      </c>
      <c r="E1959" s="19" t="n">
        <v>13</v>
      </c>
      <c r="F1959" s="19" t="n">
        <v>1055.63</v>
      </c>
      <c r="G1959" s="8" t="n">
        <f aca="false">IFERROR(INDEX('TRANS'!$B:$B,MATCH($B1959,'TRANS'!$A:$A,0)),IFERROR(INDEX('TRANS'!$B:$B,MATCH(TRIM(SUBSTITUTE($B1959,CHAR(160)," ")),'TRANS'!$D:$D,0)),IFERROR(INDEX('Catalog'!$A:$A,MATCH($B1959,'Catalog'!$B:$B,0)),IFERROR(INDEX('Catalog'!$A:$A,MATCH(TRIM(SUBSTITUTE($B1959,CHAR(160)," ")),'Catalog'!$C:$C,0)),""))))</f>
        <v>4413157</v>
      </c>
      <c r="H1959" s="8" t="str">
        <f aca="false">IFERROR(INDEX('TRANS'!$C:$C,MATCH($B1959,'TRANS'!$A:$A,0)),IFERROR(INDEX('Catalog'!$B:$B,MATCH($G1959,'Catalog'!$A:$A,0)),$B1959))</f>
        <v>305GA מדרס אורטופ.מתכוון43-44</v>
      </c>
      <c r="I1959" s="8" t="str">
        <f aca="false">IF($G1959="","Unmatched","Matched")</f>
        <v>Matched</v>
      </c>
      <c r="J1959" s="8" t="n">
        <f aca="false">IF($G1959&lt;&gt;"",$G1959,$B1959)</f>
        <v>4413157</v>
      </c>
      <c r="K1959" s="8" t="str">
        <f aca="false">IF(COUNTIF($M$1:$M$10,$A1959)&gt;0,"Y","N")</f>
        <v>Y</v>
      </c>
    </row>
    <row r="1960" customFormat="false" ht="15" hidden="false" customHeight="true" outlineLevel="0" collapsed="false">
      <c r="A1960" s="8" t="s">
        <v>54</v>
      </c>
      <c r="B1960" s="8" t="s">
        <v>605</v>
      </c>
      <c r="C1960" s="19" t="n">
        <v>116</v>
      </c>
      <c r="D1960" s="19" t="n">
        <v>1605.3</v>
      </c>
      <c r="E1960" s="19" t="n">
        <v>4</v>
      </c>
      <c r="F1960" s="19" t="n">
        <v>67.33</v>
      </c>
      <c r="G1960" s="8" t="n">
        <f aca="false">IFERROR(INDEX('TRANS'!$B:$B,MATCH($B1960,'TRANS'!$A:$A,0)),IFERROR(INDEX('TRANS'!$B:$B,MATCH(TRIM(SUBSTITUTE($B1960,CHAR(160)," ")),'TRANS'!$D:$D,0)),IFERROR(INDEX('Catalog'!$A:$A,MATCH($B1960,'Catalog'!$B:$B,0)),IFERROR(INDEX('Catalog'!$A:$A,MATCH(TRIM(SUBSTITUTE($B1960,CHAR(160)," ")),'Catalog'!$C:$C,0)),""))))</f>
        <v>4413033</v>
      </c>
      <c r="H1960" s="8" t="str">
        <f aca="false">IFERROR(INDEX('TRANS'!$C:$C,MATCH($B1960,'TRANS'!$A:$A,0)),IFERROR(INDEX('Catalog'!$B:$B,MATCH($G1960,'Catalog'!$A:$A,0)),$B1960))</f>
        <v>311'מדב.ג'ל למניעת שפשוף 5 יח</v>
      </c>
      <c r="I1960" s="8" t="str">
        <f aca="false">IF($G1960="","Unmatched","Matched")</f>
        <v>Matched</v>
      </c>
      <c r="J1960" s="8" t="n">
        <f aca="false">IF($G1960&lt;&gt;"",$G1960,$B1960)</f>
        <v>4413033</v>
      </c>
      <c r="K1960" s="8" t="str">
        <f aca="false">IF(COUNTIF($M$1:$M$10,$A1960)&gt;0,"Y","N")</f>
        <v>Y</v>
      </c>
    </row>
    <row r="1961" customFormat="false" ht="15" hidden="false" customHeight="true" outlineLevel="0" collapsed="false">
      <c r="A1961" s="8" t="s">
        <v>54</v>
      </c>
      <c r="B1961" s="8" t="s">
        <v>609</v>
      </c>
      <c r="C1961" s="19" t="n">
        <v>136</v>
      </c>
      <c r="D1961" s="19" t="n">
        <v>2266.58</v>
      </c>
      <c r="E1961" s="19" t="n">
        <v>5</v>
      </c>
      <c r="F1961" s="19" t="n">
        <v>90.35</v>
      </c>
      <c r="G1961" s="8" t="n">
        <f aca="false">IFERROR(INDEX('TRANS'!$B:$B,MATCH($B1961,'TRANS'!$A:$A,0)),IFERROR(INDEX('TRANS'!$B:$B,MATCH(TRIM(SUBSTITUTE($B1961,CHAR(160)," ")),'TRANS'!$D:$D,0)),IFERROR(INDEX('Catalog'!$A:$A,MATCH($B1961,'Catalog'!$B:$B,0)),IFERROR(INDEX('Catalog'!$A:$A,MATCH(TRIM(SUBSTITUTE($B1961,CHAR(160)," ")),'Catalog'!$C:$C,0)),""))))</f>
        <v>4402007</v>
      </c>
      <c r="H1961" s="8" t="str">
        <f aca="false">IFERROR(INDEX('TRANS'!$C:$C,MATCH($B1961,'TRANS'!$A:$A,0)),IFERROR(INDEX('Catalog'!$B:$B,MATCH($G1961,'Catalog'!$A:$A,0)),$B1961))</f>
        <v>320 בליסטר פלסטר</v>
      </c>
      <c r="I1961" s="8" t="str">
        <f aca="false">IF($G1961="","Unmatched","Matched")</f>
        <v>Matched</v>
      </c>
      <c r="J1961" s="8" t="n">
        <f aca="false">IF($G1961&lt;&gt;"",$G1961,$B1961)</f>
        <v>4402007</v>
      </c>
      <c r="K1961" s="8" t="str">
        <f aca="false">IF(COUNTIF($M$1:$M$10,$A1961)&gt;0,"Y","N")</f>
        <v>Y</v>
      </c>
    </row>
    <row r="1962" customFormat="false" ht="15" hidden="false" customHeight="true" outlineLevel="0" collapsed="false">
      <c r="A1962" s="8" t="s">
        <v>54</v>
      </c>
      <c r="B1962" s="8" t="s">
        <v>636</v>
      </c>
      <c r="C1962" s="19" t="n">
        <v>25</v>
      </c>
      <c r="D1962" s="19" t="n">
        <v>363.41</v>
      </c>
      <c r="E1962" s="19" t="n">
        <v>3</v>
      </c>
      <c r="F1962" s="19" t="n">
        <v>43.75</v>
      </c>
      <c r="G1962" s="8" t="n">
        <f aca="false">IFERROR(INDEX('TRANS'!$B:$B,MATCH($B1962,'TRANS'!$A:$A,0)),IFERROR(INDEX('TRANS'!$B:$B,MATCH(TRIM(SUBSTITUTE($B1962,CHAR(160)," ")),'TRANS'!$D:$D,0)),IFERROR(INDEX('Catalog'!$A:$A,MATCH($B1962,'Catalog'!$B:$B,0)),IFERROR(INDEX('Catalog'!$A:$A,MATCH(TRIM(SUBSTITUTE($B1962,CHAR(160)," ")),'Catalog'!$C:$C,0)),""))))</f>
        <v>4413063</v>
      </c>
      <c r="H1962" s="8" t="str">
        <f aca="false">IFERROR(INDEX('TRANS'!$C:$C,MATCH($B1962,'TRANS'!$A:$A,0)),IFERROR(INDEX('Catalog'!$B:$B,MATCH($G1962,'Catalog'!$A:$A,0)),$B1962))</f>
        <v>366S-'מדבק.לשחרור לחץ מיבלת2יח</v>
      </c>
      <c r="I1962" s="8" t="str">
        <f aca="false">IF($G1962="","Unmatched","Matched")</f>
        <v>Matched</v>
      </c>
      <c r="J1962" s="8" t="n">
        <f aca="false">IF($G1962&lt;&gt;"",$G1962,$B1962)</f>
        <v>4413063</v>
      </c>
      <c r="K1962" s="8" t="str">
        <f aca="false">IF(COUNTIF($M$1:$M$10,$A1962)&gt;0,"Y","N")</f>
        <v>Y</v>
      </c>
    </row>
    <row r="1963" customFormat="false" ht="15" hidden="false" customHeight="true" outlineLevel="0" collapsed="false">
      <c r="A1963" s="8" t="s">
        <v>54</v>
      </c>
      <c r="B1963" s="8" t="s">
        <v>659</v>
      </c>
      <c r="C1963" s="19" t="n">
        <v>10</v>
      </c>
      <c r="D1963" s="19" t="n">
        <v>235.22</v>
      </c>
      <c r="E1963" s="19" t="n">
        <v>0</v>
      </c>
      <c r="F1963" s="19" t="n">
        <v>0</v>
      </c>
      <c r="G1963" s="8" t="n">
        <f aca="false">IFERROR(INDEX('TRANS'!$B:$B,MATCH($B1963,'TRANS'!$A:$A,0)),IFERROR(INDEX('TRANS'!$B:$B,MATCH(TRIM(SUBSTITUTE($B1963,CHAR(160)," ")),'TRANS'!$D:$D,0)),IFERROR(INDEX('Catalog'!$A:$A,MATCH($B1963,'Catalog'!$B:$B,0)),IFERROR(INDEX('Catalog'!$A:$A,MATCH(TRIM(SUBSTITUTE($B1963,CHAR(160)," ")),'Catalog'!$C:$C,0)),""))))</f>
        <v>4403018</v>
      </c>
      <c r="H1963" s="8" t="str">
        <f aca="false">IFERROR(INDEX('TRANS'!$C:$C,MATCH($B1963,'TRANS'!$A:$A,0)),IFERROR(INDEX('Catalog'!$B:$B,MATCH($G1963,'Catalog'!$A:$A,0)),$B1963))</f>
        <v>394B גרב.כסף לסכרתים שחור39-42</v>
      </c>
      <c r="I1963" s="8" t="str">
        <f aca="false">IF($G1963="","Unmatched","Matched")</f>
        <v>Matched</v>
      </c>
      <c r="J1963" s="8" t="n">
        <f aca="false">IF($G1963&lt;&gt;"",$G1963,$B1963)</f>
        <v>4403018</v>
      </c>
      <c r="K1963" s="8" t="str">
        <f aca="false">IF(COUNTIF($M$1:$M$10,$A1963)&gt;0,"Y","N")</f>
        <v>Y</v>
      </c>
    </row>
    <row r="1964" customFormat="false" ht="15" hidden="false" customHeight="true" outlineLevel="0" collapsed="false">
      <c r="A1964" s="8" t="s">
        <v>54</v>
      </c>
      <c r="B1964" s="8" t="s">
        <v>661</v>
      </c>
      <c r="C1964" s="19" t="n">
        <v>0</v>
      </c>
      <c r="D1964" s="19" t="n">
        <v>0</v>
      </c>
      <c r="E1964" s="19" t="n">
        <v>3</v>
      </c>
      <c r="F1964" s="19" t="n">
        <v>73.01</v>
      </c>
      <c r="G1964" s="8" t="n">
        <f aca="false">IFERROR(INDEX('TRANS'!$B:$B,MATCH($B1964,'TRANS'!$A:$A,0)),IFERROR(INDEX('TRANS'!$B:$B,MATCH(TRIM(SUBSTITUTE($B1964,CHAR(160)," ")),'TRANS'!$D:$D,0)),IFERROR(INDEX('Catalog'!$A:$A,MATCH($B1964,'Catalog'!$B:$B,0)),IFERROR(INDEX('Catalog'!$A:$A,MATCH(TRIM(SUBSTITUTE($B1964,CHAR(160)," ")),'Catalog'!$C:$C,0)),""))))</f>
        <v>4403023</v>
      </c>
      <c r="H1964" s="8" t="str">
        <f aca="false">IFERROR(INDEX('TRANS'!$C:$C,MATCH($B1964,'TRANS'!$A:$A,0)),IFERROR(INDEX('Catalog'!$B:$B,MATCH($G1964,'Catalog'!$A:$A,0)),$B1964))</f>
        <v>394W 35-38 גרב.כסף לסכרתים לבן</v>
      </c>
      <c r="I1964" s="8" t="str">
        <f aca="false">IF($G1964="","Unmatched","Matched")</f>
        <v>Matched</v>
      </c>
      <c r="J1964" s="8" t="n">
        <f aca="false">IF($G1964&lt;&gt;"",$G1964,$B1964)</f>
        <v>4403023</v>
      </c>
      <c r="K1964" s="8" t="str">
        <f aca="false">IF(COUNTIF($M$1:$M$10,$A1964)&gt;0,"Y","N")</f>
        <v>Y</v>
      </c>
    </row>
    <row r="1965" customFormat="false" ht="15" hidden="false" customHeight="true" outlineLevel="0" collapsed="false">
      <c r="A1965" s="8" t="s">
        <v>54</v>
      </c>
      <c r="B1965" s="8" t="s">
        <v>664</v>
      </c>
      <c r="C1965" s="19" t="n">
        <v>0</v>
      </c>
      <c r="D1965" s="19" t="n">
        <v>0</v>
      </c>
      <c r="E1965" s="19" t="n">
        <v>3</v>
      </c>
      <c r="F1965" s="19" t="n">
        <v>79.09</v>
      </c>
      <c r="G1965" s="8" t="n">
        <f aca="false">IFERROR(INDEX('TRANS'!$B:$B,MATCH($B1965,'TRANS'!$A:$A,0)),IFERROR(INDEX('TRANS'!$B:$B,MATCH(TRIM(SUBSTITUTE($B1965,CHAR(160)," ")),'TRANS'!$D:$D,0)),IFERROR(INDEX('Catalog'!$A:$A,MATCH($B1965,'Catalog'!$B:$B,0)),IFERROR(INDEX('Catalog'!$A:$A,MATCH(TRIM(SUBSTITUTE($B1965,CHAR(160)," ")),'Catalog'!$C:$C,0)),""))))</f>
        <v>4403044</v>
      </c>
      <c r="H1965" s="8" t="str">
        <f aca="false">IFERROR(INDEX('TRANS'!$C:$C,MATCH($B1965,'TRANS'!$A:$A,0)),IFERROR(INDEX('Catalog'!$B:$B,MATCH($G1965,'Catalog'!$A:$A,0)),$B1965))</f>
        <v>395B גרבי קיץ אנטי בקטריא39-42</v>
      </c>
      <c r="I1965" s="8" t="str">
        <f aca="false">IF($G1965="","Unmatched","Matched")</f>
        <v>Matched</v>
      </c>
      <c r="J1965" s="8" t="n">
        <f aca="false">IF($G1965&lt;&gt;"",$G1965,$B1965)</f>
        <v>4403044</v>
      </c>
      <c r="K1965" s="8" t="str">
        <f aca="false">IF(COUNTIF($M$1:$M$10,$A1965)&gt;0,"Y","N")</f>
        <v>Y</v>
      </c>
    </row>
    <row r="1966" customFormat="false" ht="15" hidden="false" customHeight="true" outlineLevel="0" collapsed="false">
      <c r="A1966" s="8" t="s">
        <v>54</v>
      </c>
      <c r="B1966" s="8" t="s">
        <v>669</v>
      </c>
      <c r="C1966" s="19" t="n">
        <v>0</v>
      </c>
      <c r="D1966" s="19" t="n">
        <v>0</v>
      </c>
      <c r="E1966" s="19" t="n">
        <v>6</v>
      </c>
      <c r="F1966" s="19" t="n">
        <v>328.8</v>
      </c>
      <c r="G1966" s="8" t="n">
        <f aca="false">IFERROR(INDEX('TRANS'!$B:$B,MATCH($B1966,'TRANS'!$A:$A,0)),IFERROR(INDEX('TRANS'!$B:$B,MATCH(TRIM(SUBSTITUTE($B1966,CHAR(160)," ")),'TRANS'!$D:$D,0)),IFERROR(INDEX('Catalog'!$A:$A,MATCH($B1966,'Catalog'!$B:$B,0)),IFERROR(INDEX('Catalog'!$A:$A,MATCH(TRIM(SUBSTITUTE($B1966,CHAR(160)," ")),'Catalog'!$C:$C,0)),""))))</f>
        <v>4403043</v>
      </c>
      <c r="H1966" s="8" t="str">
        <f aca="false">IFERROR(INDEX('TRANS'!$C:$C,MATCH($B1966,'TRANS'!$A:$A,0)),IFERROR(INDEX('Catalog'!$B:$B,MATCH($G1966,'Catalog'!$A:$A,0)),$B1966))</f>
        <v>397A-גרבי טיסה אנטי בקטרי43-46</v>
      </c>
      <c r="I1966" s="8" t="str">
        <f aca="false">IF($G1966="","Unmatched","Matched")</f>
        <v>Matched</v>
      </c>
      <c r="J1966" s="8" t="n">
        <f aca="false">IF($G1966&lt;&gt;"",$G1966,$B1966)</f>
        <v>4403043</v>
      </c>
      <c r="K1966" s="8" t="str">
        <f aca="false">IF(COUNTIF($M$1:$M$10,$A1966)&gt;0,"Y","N")</f>
        <v>Y</v>
      </c>
    </row>
    <row r="1967" customFormat="false" ht="15" hidden="false" customHeight="true" outlineLevel="0" collapsed="false">
      <c r="A1967" s="8" t="s">
        <v>54</v>
      </c>
      <c r="B1967" s="8" t="s">
        <v>696</v>
      </c>
      <c r="C1967" s="19" t="n">
        <v>24</v>
      </c>
      <c r="D1967" s="19" t="n">
        <v>435.62</v>
      </c>
      <c r="E1967" s="19" t="n">
        <v>0</v>
      </c>
      <c r="F1967" s="19" t="n">
        <v>0</v>
      </c>
      <c r="G1967" s="8" t="n">
        <f aca="false">IFERROR(INDEX('TRANS'!$B:$B,MATCH($B1967,'TRANS'!$A:$A,0)),IFERROR(INDEX('TRANS'!$B:$B,MATCH(TRIM(SUBSTITUTE($B1967,CHAR(160)," ")),'TRANS'!$D:$D,0)),IFERROR(INDEX('Catalog'!$A:$A,MATCH($B1967,'Catalog'!$B:$B,0)),IFERROR(INDEX('Catalog'!$A:$A,MATCH(TRIM(SUBSTITUTE($B1967,CHAR(160)," ")),'Catalog'!$C:$C,0)),""))))</f>
        <v>4422000</v>
      </c>
      <c r="H1967" s="8" t="str">
        <f aca="false">IFERROR(INDEX('TRANS'!$C:$C,MATCH($B1967,'TRANS'!$A:$A,0)),IFERROR(INDEX('Catalog'!$B:$B,MATCH($G1967,'Catalog'!$A:$A,0)),$B1967))</f>
        <v>801  תחבושת אלסטית מקררת</v>
      </c>
      <c r="I1967" s="8" t="str">
        <f aca="false">IF($G1967="","Unmatched","Matched")</f>
        <v>Matched</v>
      </c>
      <c r="J1967" s="8" t="n">
        <f aca="false">IF($G1967&lt;&gt;"",$G1967,$B1967)</f>
        <v>4422000</v>
      </c>
      <c r="K1967" s="8" t="str">
        <f aca="false">IF(COUNTIF($M$1:$M$10,$A1967)&gt;0,"Y","N")</f>
        <v>Y</v>
      </c>
    </row>
    <row r="1968" customFormat="false" ht="15" hidden="false" customHeight="true" outlineLevel="0" collapsed="false">
      <c r="A1968" s="8" t="s">
        <v>54</v>
      </c>
      <c r="B1968" s="8" t="s">
        <v>737</v>
      </c>
      <c r="C1968" s="19" t="n">
        <v>39</v>
      </c>
      <c r="D1968" s="19" t="n">
        <v>806.26</v>
      </c>
      <c r="E1968" s="19" t="n">
        <v>0</v>
      </c>
      <c r="F1968" s="19" t="n">
        <v>0</v>
      </c>
      <c r="G1968" s="8" t="n">
        <f aca="false">IFERROR(INDEX('TRANS'!$B:$B,MATCH($B1968,'TRANS'!$A:$A,0)),IFERROR(INDEX('TRANS'!$B:$B,MATCH(TRIM(SUBSTITUTE($B1968,CHAR(160)," ")),'TRANS'!$D:$D,0)),IFERROR(INDEX('Catalog'!$A:$A,MATCH($B1968,'Catalog'!$B:$B,0)),IFERROR(INDEX('Catalog'!$A:$A,MATCH(TRIM(SUBSTITUTE($B1968,CHAR(160)," ")),'Catalog'!$C:$C,0)),""))))</f>
        <v>4409004</v>
      </c>
      <c r="H1968" s="8" t="str">
        <f aca="false">IFERROR(INDEX('TRANS'!$C:$C,MATCH($B1968,'TRANS'!$A:$A,0)),IFERROR(INDEX('Catalog'!$B:$B,MATCH($G1968,'Catalog'!$A:$A,0)),$B1968))</f>
        <v>FC335 טלק מעושר באלוורה</v>
      </c>
      <c r="I1968" s="8" t="str">
        <f aca="false">IF($G1968="","Unmatched","Matched")</f>
        <v>Matched</v>
      </c>
      <c r="J1968" s="8" t="n">
        <f aca="false">IF($G1968&lt;&gt;"",$G1968,$B1968)</f>
        <v>4409004</v>
      </c>
      <c r="K1968" s="8" t="str">
        <f aca="false">IF(COUNTIF($M$1:$M$10,$A1968)&gt;0,"Y","N")</f>
        <v>Y</v>
      </c>
    </row>
    <row r="1969" customFormat="false" ht="15" hidden="false" customHeight="true" outlineLevel="0" collapsed="false">
      <c r="A1969" s="8" t="s">
        <v>54</v>
      </c>
      <c r="B1969" s="8" t="s">
        <v>852</v>
      </c>
      <c r="C1969" s="19" t="n">
        <v>11</v>
      </c>
      <c r="D1969" s="19" t="n">
        <v>1246.35</v>
      </c>
      <c r="E1969" s="19" t="n">
        <v>6</v>
      </c>
      <c r="F1969" s="19" t="n">
        <v>870.9</v>
      </c>
      <c r="G1969" s="8" t="n">
        <f aca="false">IFERROR(INDEX('TRANS'!$B:$B,MATCH($B1969,'TRANS'!$A:$A,0)),IFERROR(INDEX('TRANS'!$B:$B,MATCH(TRIM(SUBSTITUTE($B1969,CHAR(160)," ")),'TRANS'!$D:$D,0)),IFERROR(INDEX('Catalog'!$A:$A,MATCH($B1969,'Catalog'!$B:$B,0)),IFERROR(INDEX('Catalog'!$A:$A,MATCH(TRIM(SUBSTITUTE($B1969,CHAR(160)," ")),'Catalog'!$C:$C,0)),""))))</f>
        <v>4408190</v>
      </c>
      <c r="H1969" s="8" t="str">
        <f aca="false">IFERROR(INDEX('TRANS'!$C:$C,MATCH($B1969,'TRANS'!$A:$A,0)),IFERROR(INDEX('Catalog'!$B:$B,MATCH($G1969,'Catalog'!$A:$A,0)),$B1969))</f>
        <v>M078 חגורת גב +סגירה כפולה</v>
      </c>
      <c r="I1969" s="8" t="str">
        <f aca="false">IF($G1969="","Unmatched","Matched")</f>
        <v>Matched</v>
      </c>
      <c r="J1969" s="8" t="n">
        <f aca="false">IF($G1969&lt;&gt;"",$G1969,$B1969)</f>
        <v>4408190</v>
      </c>
      <c r="K1969" s="8" t="str">
        <f aca="false">IF(COUNTIF($M$1:$M$10,$A1969)&gt;0,"Y","N")</f>
        <v>Y</v>
      </c>
    </row>
    <row r="1970" customFormat="false" ht="15" hidden="false" customHeight="true" outlineLevel="0" collapsed="false">
      <c r="A1970" s="8" t="s">
        <v>54</v>
      </c>
      <c r="B1970" s="8" t="s">
        <v>57</v>
      </c>
      <c r="C1970" s="19" t="n">
        <v>8</v>
      </c>
      <c r="D1970" s="19" t="n">
        <v>246.75</v>
      </c>
      <c r="E1970" s="19" t="n">
        <v>16</v>
      </c>
      <c r="F1970" s="19" t="n">
        <v>458.12</v>
      </c>
      <c r="G1970" s="8" t="str">
        <f aca="false">IFERROR(INDEX('TRANS'!$B:$B,MATCH($B1970,'TRANS'!$A:$A,0)),IFERROR(INDEX('TRANS'!$B:$B,MATCH(TRIM(SUBSTITUTE($B1970,CHAR(160)," ")),'TRANS'!$D:$D,0)),IFERROR(INDEX('Catalog'!$A:$A,MATCH($B1970,'Catalog'!$B:$B,0)),IFERROR(INDEX('Catalog'!$A:$A,MATCH(TRIM(SUBSTITUTE($B1970,CHAR(160)," ")),'Catalog'!$C:$C,0)),""))))</f>
        <v/>
      </c>
      <c r="H1970" s="8" t="str">
        <f aca="false">IFERROR(INDEX('TRANS'!$C:$C,MATCH($B1970,'TRANS'!$A:$A,0)),IFERROR(INDEX('Catalog'!$B:$B,MATCH($G1970,'Catalog'!$A:$A,0)),$B1970))</f>
        <v>M93</v>
      </c>
      <c r="I1970" s="8" t="str">
        <f aca="false">IF($G1970="","Unmatched","Matched")</f>
        <v>Unmatched</v>
      </c>
      <c r="J1970" s="8" t="str">
        <f aca="false">IF($G1970&lt;&gt;"",$G1970,$B1970)</f>
        <v>M93</v>
      </c>
      <c r="K1970" s="8" t="str">
        <f aca="false">IF(COUNTIF($M$1:$M$10,$A1970)&gt;0,"Y","N")</f>
        <v>Y</v>
      </c>
    </row>
    <row r="1971" customFormat="false" ht="15" hidden="false" customHeight="true" outlineLevel="0" collapsed="false">
      <c r="A1971" s="8" t="s">
        <v>54</v>
      </c>
      <c r="B1971" s="8" t="s">
        <v>576</v>
      </c>
      <c r="C1971" s="19" t="n">
        <v>0</v>
      </c>
      <c r="D1971" s="19" t="n">
        <v>0</v>
      </c>
      <c r="E1971" s="19" t="n">
        <v>1</v>
      </c>
      <c r="F1971" s="19" t="n">
        <v>39.8</v>
      </c>
      <c r="G1971" s="8" t="n">
        <f aca="false">IFERROR(INDEX('TRANS'!$B:$B,MATCH($B1971,'TRANS'!$A:$A,0)),IFERROR(INDEX('TRANS'!$B:$B,MATCH(TRIM(SUBSTITUTE($B1971,CHAR(160)," ")),'TRANS'!$D:$D,0)),IFERROR(INDEX('Catalog'!$A:$A,MATCH($B1971,'Catalog'!$B:$B,0)),IFERROR(INDEX('Catalog'!$A:$A,MATCH(TRIM(SUBSTITUTE($B1971,CHAR(160)," ")),'Catalog'!$C:$C,0)),""))))</f>
        <v>4408053</v>
      </c>
      <c r="H1971" s="8" t="str">
        <f aca="false">IFERROR(INDEX('TRANS'!$C:$C,MATCH($B1971,'TRANS'!$A:$A,0)),IFERROR(INDEX('Catalog'!$B:$B,MATCH($G1971,'Catalog'!$A:$A,0)),$B1971))</f>
        <v>21 M  חבק יד ארוך</v>
      </c>
      <c r="I1971" s="8" t="str">
        <f aca="false">IF($G1971="","Unmatched","Matched")</f>
        <v>Matched</v>
      </c>
      <c r="J1971" s="8" t="n">
        <f aca="false">IF($G1971&lt;&gt;"",$G1971,$B1971)</f>
        <v>4408053</v>
      </c>
      <c r="K1971" s="8" t="str">
        <f aca="false">IF(COUNTIF($M$1:$M$10,$A1971)&gt;0,"Y","N")</f>
        <v>Y</v>
      </c>
    </row>
    <row r="1972" customFormat="false" ht="15" hidden="false" customHeight="true" outlineLevel="0" collapsed="false">
      <c r="A1972" s="8" t="s">
        <v>54</v>
      </c>
      <c r="B1972" s="8" t="s">
        <v>882</v>
      </c>
      <c r="C1972" s="19" t="n">
        <v>0</v>
      </c>
      <c r="D1972" s="19" t="n">
        <v>0</v>
      </c>
      <c r="E1972" s="19" t="n">
        <v>1</v>
      </c>
      <c r="F1972" s="19" t="n">
        <v>260</v>
      </c>
      <c r="G1972" s="8" t="n">
        <f aca="false">IFERROR(INDEX('TRANS'!$B:$B,MATCH($B1972,'TRANS'!$A:$A,0)),IFERROR(INDEX('TRANS'!$B:$B,MATCH(TRIM(SUBSTITUTE($B1972,CHAR(160)," ")),'TRANS'!$D:$D,0)),IFERROR(INDEX('Catalog'!$A:$A,MATCH($B1972,'Catalog'!$B:$B,0)),IFERROR(INDEX('Catalog'!$A:$A,MATCH(TRIM(SUBSTITUTE($B1972,CHAR(160)," ")),'Catalog'!$C:$C,0)),""))))</f>
        <v>4408272</v>
      </c>
      <c r="H1972" s="8" t="str">
        <f aca="false">IFERROR(INDEX('TRANS'!$C:$C,MATCH($B1972,'TRANS'!$A:$A,0)),IFERROR(INDEX('Catalog'!$B:$B,MATCH($G1972,'Catalog'!$A:$A,0)),$B1972))</f>
        <v>70N S חגורת פאבליק</v>
      </c>
      <c r="I1972" s="8" t="str">
        <f aca="false">IF($G1972="","Unmatched","Matched")</f>
        <v>Matched</v>
      </c>
      <c r="J1972" s="8" t="n">
        <f aca="false">IF($G1972&lt;&gt;"",$G1972,$B1972)</f>
        <v>4408272</v>
      </c>
      <c r="K1972" s="8" t="str">
        <f aca="false">IF(COUNTIF($M$1:$M$10,$A1972)&gt;0,"Y","N")</f>
        <v>Y</v>
      </c>
    </row>
    <row r="1973" customFormat="false" ht="15" hidden="false" customHeight="true" outlineLevel="0" collapsed="false">
      <c r="A1973" s="8" t="s">
        <v>54</v>
      </c>
      <c r="B1973" s="8" t="s">
        <v>364</v>
      </c>
      <c r="C1973" s="19" t="n">
        <v>0</v>
      </c>
      <c r="D1973" s="19" t="n">
        <v>0</v>
      </c>
      <c r="E1973" s="19" t="n">
        <v>1</v>
      </c>
      <c r="F1973" s="19" t="n">
        <v>421.81</v>
      </c>
      <c r="G1973" s="8" t="str">
        <f aca="false">IFERROR(INDEX('TRANS'!$B:$B,MATCH($B1973,'TRANS'!$A:$A,0)),IFERROR(INDEX('TRANS'!$B:$B,MATCH(TRIM(SUBSTITUTE($B1973,CHAR(160)," ")),'TRANS'!$D:$D,0)),IFERROR(INDEX('Catalog'!$A:$A,MATCH($B1973,'Catalog'!$B:$B,0)),IFERROR(INDEX('Catalog'!$A:$A,MATCH(TRIM(SUBSTITUTE($B1973,CHAR(160)," ")),'Catalog'!$C:$C,0)),""))))</f>
        <v/>
      </c>
      <c r="H1973" s="8" t="str">
        <f aca="false">IFERROR(INDEX('TRANS'!$C:$C,MATCH($B1973,'TRANS'!$A:$A,0)),IFERROR(INDEX('Catalog'!$B:$B,MATCH($G1973,'Catalog'!$A:$A,0)),$B1973))</f>
        <v>בונוסים ללקוחות</v>
      </c>
      <c r="I1973" s="8" t="str">
        <f aca="false">IF($G1973="","Unmatched","Matched")</f>
        <v>Unmatched</v>
      </c>
      <c r="J1973" s="8" t="str">
        <f aca="false">IF($G1973&lt;&gt;"",$G1973,$B1973)</f>
        <v>בונוסים ללקוחות</v>
      </c>
      <c r="K1973" s="8" t="str">
        <f aca="false">IF(COUNTIF($M$1:$M$10,$A1973)&gt;0,"Y","N")</f>
        <v>Y</v>
      </c>
    </row>
    <row r="1974" customFormat="false" ht="15" hidden="false" customHeight="true" outlineLevel="0" collapsed="false">
      <c r="A1974" s="8" t="s">
        <v>54</v>
      </c>
      <c r="B1974" s="8" t="s">
        <v>775</v>
      </c>
      <c r="C1974" s="19" t="n">
        <v>1</v>
      </c>
      <c r="D1974" s="19" t="n">
        <v>117.13</v>
      </c>
      <c r="E1974" s="19" t="n">
        <v>0</v>
      </c>
      <c r="F1974" s="19" t="n">
        <v>0</v>
      </c>
      <c r="G1974" s="8" t="n">
        <f aca="false">IFERROR(INDEX('TRANS'!$B:$B,MATCH($B1974,'TRANS'!$A:$A,0)),IFERROR(INDEX('TRANS'!$B:$B,MATCH(TRIM(SUBSTITUTE($B1974,CHAR(160)," ")),'TRANS'!$D:$D,0)),IFERROR(INDEX('Catalog'!$A:$A,MATCH($B1974,'Catalog'!$B:$B,0)),IFERROR(INDEX('Catalog'!$A:$A,MATCH(TRIM(SUBSTITUTE($B1974,CHAR(160)," ")),'Catalog'!$C:$C,0)),""))))</f>
        <v>4408221</v>
      </c>
      <c r="H1974" s="8" t="str">
        <f aca="false">IFERROR(INDEX('TRANS'!$C:$C,MATCH($B1974,'TRANS'!$A:$A,0)),IFERROR(INDEX('Catalog'!$B:$B,MATCH($G1974,'Catalog'!$A:$A,0)),$B1974))</f>
        <v>078G-L חגורת גב אפורה</v>
      </c>
      <c r="I1974" s="8" t="str">
        <f aca="false">IF($G1974="","Unmatched","Matched")</f>
        <v>Matched</v>
      </c>
      <c r="J1974" s="8" t="n">
        <f aca="false">IF($G1974&lt;&gt;"",$G1974,$B1974)</f>
        <v>4408221</v>
      </c>
      <c r="K1974" s="8" t="str">
        <f aca="false">IF(COUNTIF($M$1:$M$10,$A1974)&gt;0,"Y","N")</f>
        <v>Y</v>
      </c>
    </row>
    <row r="1975" customFormat="false" ht="15" hidden="false" customHeight="true" outlineLevel="0" collapsed="false">
      <c r="A1975" s="8" t="s">
        <v>54</v>
      </c>
      <c r="B1975" s="8" t="s">
        <v>936</v>
      </c>
      <c r="C1975" s="19" t="n">
        <v>0</v>
      </c>
      <c r="D1975" s="19" t="n">
        <v>0</v>
      </c>
      <c r="E1975" s="19" t="n">
        <v>1</v>
      </c>
      <c r="F1975" s="19" t="n">
        <v>85</v>
      </c>
      <c r="G1975" s="8" t="n">
        <f aca="false">IFERROR(INDEX('TRANS'!$B:$B,MATCH($B1975,'TRANS'!$A:$A,0)),IFERROR(INDEX('TRANS'!$B:$B,MATCH(TRIM(SUBSTITUTE($B1975,CHAR(160)," ")),'TRANS'!$D:$D,0)),IFERROR(INDEX('Catalog'!$A:$A,MATCH($B1975,'Catalog'!$B:$B,0)),IFERROR(INDEX('Catalog'!$A:$A,MATCH(TRIM(SUBSTITUTE($B1975,CHAR(160)," ")),'Catalog'!$C:$C,0)),""))))</f>
        <v>4408034</v>
      </c>
      <c r="H1975" s="8" t="str">
        <f aca="false">IFERROR(INDEX('TRANS'!$C:$C,MATCH($B1975,'TRANS'!$A:$A,0)),IFERROR(INDEX('Catalog'!$B:$B,MATCH($G1975,'Catalog'!$A:$A,0)),$B1975))</f>
        <v>11 XL""""חגורת בטן""""אורירית</v>
      </c>
      <c r="I1975" s="8" t="str">
        <f aca="false">IF($G1975="","Unmatched","Matched")</f>
        <v>Matched</v>
      </c>
      <c r="J1975" s="8" t="n">
        <f aca="false">IF($G1975&lt;&gt;"",$G1975,$B1975)</f>
        <v>4408034</v>
      </c>
      <c r="K1975" s="8" t="str">
        <f aca="false">IF(COUNTIF($M$1:$M$10,$A1975)&gt;0,"Y","N")</f>
        <v>Y</v>
      </c>
    </row>
    <row r="1976" customFormat="false" ht="15" hidden="false" customHeight="true" outlineLevel="0" collapsed="false">
      <c r="A1976" s="8" t="s">
        <v>54</v>
      </c>
      <c r="B1976" s="8" t="s">
        <v>571</v>
      </c>
      <c r="C1976" s="19" t="n">
        <v>0</v>
      </c>
      <c r="D1976" s="19" t="n">
        <v>0</v>
      </c>
      <c r="E1976" s="19" t="n">
        <v>1</v>
      </c>
      <c r="F1976" s="19" t="n">
        <v>130</v>
      </c>
      <c r="G1976" s="8" t="n">
        <f aca="false">IFERROR(INDEX('TRANS'!$B:$B,MATCH($B1976,'TRANS'!$A:$A,0)),IFERROR(INDEX('TRANS'!$B:$B,MATCH(TRIM(SUBSTITUTE($B1976,CHAR(160)," ")),'TRANS'!$D:$D,0)),IFERROR(INDEX('Catalog'!$A:$A,MATCH($B1976,'Catalog'!$B:$B,0)),IFERROR(INDEX('Catalog'!$A:$A,MATCH(TRIM(SUBSTITUTE($B1976,CHAR(160)," ")),'Catalog'!$C:$C,0)),""))))</f>
        <v>4408154</v>
      </c>
      <c r="H1976" s="8" t="str">
        <f aca="false">IFERROR(INDEX('TRANS'!$C:$C,MATCH($B1976,'TRANS'!$A:$A,0)),IFERROR(INDEX('Catalog'!$B:$B,MATCH($G1976,'Catalog'!$A:$A,0)),$B1976))</f>
        <v>11TO XXLחגורה למנותחי בית החזה</v>
      </c>
      <c r="I1976" s="8" t="str">
        <f aca="false">IF($G1976="","Unmatched","Matched")</f>
        <v>Matched</v>
      </c>
      <c r="J1976" s="8" t="n">
        <f aca="false">IF($G1976&lt;&gt;"",$G1976,$B1976)</f>
        <v>4408154</v>
      </c>
      <c r="K1976" s="8" t="str">
        <f aca="false">IF(COUNTIF($M$1:$M$10,$A1976)&gt;0,"Y","N")</f>
        <v>Y</v>
      </c>
    </row>
    <row r="1977" customFormat="false" ht="15" hidden="false" customHeight="true" outlineLevel="0" collapsed="false">
      <c r="A1977" s="8" t="s">
        <v>54</v>
      </c>
      <c r="B1977" s="8" t="s">
        <v>977</v>
      </c>
      <c r="C1977" s="19" t="n">
        <v>0</v>
      </c>
      <c r="D1977" s="19" t="n">
        <v>0</v>
      </c>
      <c r="E1977" s="19" t="n">
        <v>1</v>
      </c>
      <c r="F1977" s="19" t="n">
        <v>90</v>
      </c>
      <c r="G1977" s="8" t="n">
        <f aca="false">IFERROR(INDEX('TRANS'!$B:$B,MATCH($B1977,'TRANS'!$A:$A,0)),IFERROR(INDEX('TRANS'!$B:$B,MATCH(TRIM(SUBSTITUTE($B1977,CHAR(160)," ")),'TRANS'!$D:$D,0)),IFERROR(INDEX('Catalog'!$A:$A,MATCH($B1977,'Catalog'!$B:$B,0)),IFERROR(INDEX('Catalog'!$A:$A,MATCH(TRIM(SUBSTITUTE($B1977,CHAR(160)," ")),'Catalog'!$C:$C,0)),""))))</f>
        <v>4408232</v>
      </c>
      <c r="H1977" s="8" t="str">
        <f aca="false">IFERROR(INDEX('TRANS'!$C:$C,MATCH($B1977,'TRANS'!$A:$A,0)),IFERROR(INDEX('Catalog'!$B:$B,MATCH($G1977,'Catalog'!$A:$A,0)),$B1977))</f>
        <v>16 XXL חגורת הריון</v>
      </c>
      <c r="I1977" s="8" t="str">
        <f aca="false">IF($G1977="","Unmatched","Matched")</f>
        <v>Matched</v>
      </c>
      <c r="J1977" s="8" t="n">
        <f aca="false">IF($G1977&lt;&gt;"",$G1977,$B1977)</f>
        <v>4408232</v>
      </c>
      <c r="K1977" s="8" t="str">
        <f aca="false">IF(COUNTIF($M$1:$M$10,$A1977)&gt;0,"Y","N")</f>
        <v>Y</v>
      </c>
    </row>
    <row r="1978" customFormat="false" ht="15" hidden="false" customHeight="true" outlineLevel="0" collapsed="false">
      <c r="A1978" s="8" t="s">
        <v>54</v>
      </c>
      <c r="B1978" s="8" t="s">
        <v>618</v>
      </c>
      <c r="C1978" s="19" t="n">
        <v>1</v>
      </c>
      <c r="D1978" s="19" t="n">
        <v>30.89</v>
      </c>
      <c r="E1978" s="19" t="n">
        <v>0</v>
      </c>
      <c r="F1978" s="19" t="n">
        <v>0</v>
      </c>
      <c r="G1978" s="8" t="n">
        <f aca="false">IFERROR(INDEX('TRANS'!$B:$B,MATCH($B1978,'TRANS'!$A:$A,0)),IFERROR(INDEX('TRANS'!$B:$B,MATCH(TRIM(SUBSTITUTE($B1978,CHAR(160)," ")),'TRANS'!$D:$D,0)),IFERROR(INDEX('Catalog'!$A:$A,MATCH($B1978,'Catalog'!$B:$B,0)),IFERROR(INDEX('Catalog'!$A:$A,MATCH(TRIM(SUBSTITUTE($B1978,CHAR(160)," ")),'Catalog'!$C:$C,0)),""))))</f>
        <v>4413491</v>
      </c>
      <c r="H1978" s="8" t="str">
        <f aca="false">IFERROR(INDEX('TRANS'!$C:$C,MATCH($B1978,'TRANS'!$A:$A,0)),IFERROR(INDEX('Catalog'!$B:$B,MATCH($G1978,'Catalog'!$A:$A,0)),$B1978))</f>
        <v>35B XL מגן קרסול שחור</v>
      </c>
      <c r="I1978" s="8" t="str">
        <f aca="false">IF($G1978="","Unmatched","Matched")</f>
        <v>Matched</v>
      </c>
      <c r="J1978" s="8" t="n">
        <f aca="false">IF($G1978&lt;&gt;"",$G1978,$B1978)</f>
        <v>4413491</v>
      </c>
      <c r="K1978" s="8" t="str">
        <f aca="false">IF(COUNTIF($M$1:$M$10,$A1978)&gt;0,"Y","N")</f>
        <v>Y</v>
      </c>
    </row>
    <row r="1979" customFormat="false" ht="15" hidden="false" customHeight="true" outlineLevel="0" collapsed="false">
      <c r="A1979" s="8" t="s">
        <v>54</v>
      </c>
      <c r="B1979" s="8" t="s">
        <v>639</v>
      </c>
      <c r="C1979" s="19" t="n">
        <v>2</v>
      </c>
      <c r="D1979" s="19" t="n">
        <v>60.84</v>
      </c>
      <c r="E1979" s="19" t="n">
        <v>0</v>
      </c>
      <c r="F1979" s="19" t="n">
        <v>0</v>
      </c>
      <c r="G1979" s="8" t="n">
        <f aca="false">IFERROR(INDEX('TRANS'!$B:$B,MATCH($B1979,'TRANS'!$A:$A,0)),IFERROR(INDEX('TRANS'!$B:$B,MATCH(TRIM(SUBSTITUTE($B1979,CHAR(160)," ")),'TRANS'!$D:$D,0)),IFERROR(INDEX('Catalog'!$A:$A,MATCH($B1979,'Catalog'!$B:$B,0)),IFERROR(INDEX('Catalog'!$A:$A,MATCH(TRIM(SUBSTITUTE($B1979,CHAR(160)," ")),'Catalog'!$C:$C,0)),""))))</f>
        <v>4413371</v>
      </c>
      <c r="H1979" s="8" t="str">
        <f aca="false">IFERROR(INDEX('TRANS'!$C:$C,MATCH($B1979,'TRANS'!$A:$A,0)),IFERROR(INDEX('Catalog'!$B:$B,MATCH($G1979,'Catalog'!$A:$A,0)),$B1979))</f>
        <v>3675    מגן זרת מסיליקון</v>
      </c>
      <c r="I1979" s="8" t="str">
        <f aca="false">IF($G1979="","Unmatched","Matched")</f>
        <v>Matched</v>
      </c>
      <c r="J1979" s="8" t="n">
        <f aca="false">IF($G1979&lt;&gt;"",$G1979,$B1979)</f>
        <v>4413371</v>
      </c>
      <c r="K1979" s="8" t="str">
        <f aca="false">IF(COUNTIF($M$1:$M$10,$A1979)&gt;0,"Y","N")</f>
        <v>Y</v>
      </c>
    </row>
    <row r="1980" customFormat="false" ht="15" hidden="false" customHeight="true" outlineLevel="0" collapsed="false">
      <c r="A1980" s="8" t="s">
        <v>54</v>
      </c>
      <c r="B1980" s="8" t="s">
        <v>996</v>
      </c>
      <c r="C1980" s="19" t="n">
        <v>0</v>
      </c>
      <c r="D1980" s="19" t="n">
        <v>0</v>
      </c>
      <c r="E1980" s="19" t="n">
        <v>1</v>
      </c>
      <c r="F1980" s="19" t="n">
        <v>126.51</v>
      </c>
      <c r="G1980" s="8" t="n">
        <f aca="false">IFERROR(INDEX('TRANS'!$B:$B,MATCH($B1980,'TRANS'!$A:$A,0)),IFERROR(INDEX('TRANS'!$B:$B,MATCH(TRIM(SUBSTITUTE($B1980,CHAR(160)," ")),'TRANS'!$D:$D,0)),IFERROR(INDEX('Catalog'!$A:$A,MATCH($B1980,'Catalog'!$B:$B,0)),IFERROR(INDEX('Catalog'!$A:$A,MATCH(TRIM(SUBSTITUTE($B1980,CHAR(160)," ")),'Catalog'!$C:$C,0)),""))))</f>
        <v>4413074</v>
      </c>
      <c r="H1980" s="8" t="str">
        <f aca="false">IFERROR(INDEX('TRANS'!$C:$C,MATCH($B1980,'TRANS'!$A:$A,0)),IFERROR(INDEX('Catalog'!$B:$B,MATCH($G1980,'Catalog'!$A:$A,0)),$B1980))</f>
        <v>41  XL.מ.ברך מוצלב+ספירלות בצד</v>
      </c>
      <c r="I1980" s="8" t="str">
        <f aca="false">IF($G1980="","Unmatched","Matched")</f>
        <v>Matched</v>
      </c>
      <c r="J1980" s="8" t="n">
        <f aca="false">IF($G1980&lt;&gt;"",$G1980,$B1980)</f>
        <v>4413074</v>
      </c>
      <c r="K1980" s="8" t="str">
        <f aca="false">IF(COUNTIF($M$1:$M$10,$A1980)&gt;0,"Y","N")</f>
        <v>Y</v>
      </c>
    </row>
    <row r="1981" customFormat="false" ht="15" hidden="false" customHeight="true" outlineLevel="0" collapsed="false">
      <c r="A1981" s="8" t="s">
        <v>54</v>
      </c>
      <c r="B1981" s="8" t="s">
        <v>674</v>
      </c>
      <c r="C1981" s="19" t="n">
        <v>1</v>
      </c>
      <c r="D1981" s="19" t="n">
        <v>30.89</v>
      </c>
      <c r="E1981" s="19" t="n">
        <v>0</v>
      </c>
      <c r="F1981" s="19" t="n">
        <v>0</v>
      </c>
      <c r="G1981" s="8" t="n">
        <f aca="false">IFERROR(INDEX('TRANS'!$B:$B,MATCH($B1981,'TRANS'!$A:$A,0)),IFERROR(INDEX('TRANS'!$B:$B,MATCH(TRIM(SUBSTITUTE($B1981,CHAR(160)," ")),'TRANS'!$D:$D,0)),IFERROR(INDEX('Catalog'!$A:$A,MATCH($B1981,'Catalog'!$B:$B,0)),IFERROR(INDEX('Catalog'!$A:$A,MATCH(TRIM(SUBSTITUTE($B1981,CHAR(160)," ")),'Catalog'!$C:$C,0)),""))))</f>
        <v>4413095</v>
      </c>
      <c r="H1981" s="8" t="str">
        <f aca="false">IFERROR(INDEX('TRANS'!$C:$C,MATCH($B1981,'TRANS'!$A:$A,0)),IFERROR(INDEX('Catalog'!$B:$B,MATCH($G1981,'Catalog'!$A:$A,0)),$B1981))</f>
        <v>45 XL מגן ברך לבן</v>
      </c>
      <c r="I1981" s="8" t="str">
        <f aca="false">IF($G1981="","Unmatched","Matched")</f>
        <v>Matched</v>
      </c>
      <c r="J1981" s="8" t="n">
        <f aca="false">IF($G1981&lt;&gt;"",$G1981,$B1981)</f>
        <v>4413095</v>
      </c>
      <c r="K1981" s="8" t="str">
        <f aca="false">IF(COUNTIF($M$1:$M$10,$A1981)&gt;0,"Y","N")</f>
        <v>Y</v>
      </c>
    </row>
    <row r="1982" customFormat="false" ht="15" hidden="false" customHeight="true" outlineLevel="0" collapsed="false">
      <c r="A1982" s="8" t="s">
        <v>54</v>
      </c>
      <c r="B1982" s="8" t="s">
        <v>682</v>
      </c>
      <c r="C1982" s="19" t="n">
        <v>1</v>
      </c>
      <c r="D1982" s="19" t="n">
        <v>37.45</v>
      </c>
      <c r="E1982" s="19" t="n">
        <v>0</v>
      </c>
      <c r="F1982" s="19" t="n">
        <v>0</v>
      </c>
      <c r="G1982" s="8" t="n">
        <f aca="false">IFERROR(INDEX('TRANS'!$B:$B,MATCH($B1982,'TRANS'!$A:$A,0)),IFERROR(INDEX('TRANS'!$B:$B,MATCH(TRIM(SUBSTITUTE($B1982,CHAR(160)," ")),'TRANS'!$D:$D,0)),IFERROR(INDEX('Catalog'!$A:$A,MATCH($B1982,'Catalog'!$B:$B,0)),IFERROR(INDEX('Catalog'!$A:$A,MATCH(TRIM(SUBSTITUTE($B1982,CHAR(160)," ")),'Catalog'!$C:$C,0)),""))))</f>
        <v>4413105</v>
      </c>
      <c r="H1982" s="8" t="str">
        <f aca="false">IFERROR(INDEX('TRANS'!$C:$C,MATCH($B1982,'TRANS'!$A:$A,0)),IFERROR(INDEX('Catalog'!$B:$B,MATCH($G1982,'Catalog'!$A:$A,0)),$B1982))</f>
        <v>45E XXLמגן ברך ארוך לבן</v>
      </c>
      <c r="I1982" s="8" t="str">
        <f aca="false">IF($G1982="","Unmatched","Matched")</f>
        <v>Matched</v>
      </c>
      <c r="J1982" s="8" t="n">
        <f aca="false">IF($G1982&lt;&gt;"",$G1982,$B1982)</f>
        <v>4413105</v>
      </c>
      <c r="K1982" s="8" t="str">
        <f aca="false">IF(COUNTIF($M$1:$M$10,$A1982)&gt;0,"Y","N")</f>
        <v>Y</v>
      </c>
    </row>
    <row r="1983" customFormat="false" ht="15" hidden="false" customHeight="true" outlineLevel="0" collapsed="false">
      <c r="A1983" s="8" t="s">
        <v>54</v>
      </c>
      <c r="B1983" s="8" t="s">
        <v>686</v>
      </c>
      <c r="C1983" s="19" t="n">
        <v>2</v>
      </c>
      <c r="D1983" s="19" t="n">
        <v>74.91</v>
      </c>
      <c r="E1983" s="19" t="n">
        <v>0</v>
      </c>
      <c r="F1983" s="19" t="n">
        <v>0</v>
      </c>
      <c r="G1983" s="8" t="n">
        <f aca="false">IFERROR(INDEX('TRANS'!$B:$B,MATCH($B1983,'TRANS'!$A:$A,0)),IFERROR(INDEX('TRANS'!$B:$B,MATCH(TRIM(SUBSTITUTE($B1983,CHAR(160)," ")),'TRANS'!$D:$D,0)),IFERROR(INDEX('Catalog'!$A:$A,MATCH($B1983,'Catalog'!$B:$B,0)),IFERROR(INDEX('Catalog'!$A:$A,MATCH(TRIM(SUBSTITUTE($B1983,CHAR(160)," ")),'Catalog'!$C:$C,0)),""))))</f>
        <v>4413398</v>
      </c>
      <c r="H1983" s="8" t="str">
        <f aca="false">IFERROR(INDEX('TRANS'!$C:$C,MATCH($B1983,'TRANS'!$A:$A,0)),IFERROR(INDEX('Catalog'!$B:$B,MATCH($G1983,'Catalog'!$A:$A,0)),$B1983))</f>
        <v>45EC XXL'מגן ברך ארוך בז</v>
      </c>
      <c r="I1983" s="8" t="str">
        <f aca="false">IF($G1983="","Unmatched","Matched")</f>
        <v>Matched</v>
      </c>
      <c r="J1983" s="8" t="n">
        <f aca="false">IF($G1983&lt;&gt;"",$G1983,$B1983)</f>
        <v>4413398</v>
      </c>
      <c r="K1983" s="8" t="str">
        <f aca="false">IF(COUNTIF($M$1:$M$10,$A1983)&gt;0,"Y","N")</f>
        <v>Y</v>
      </c>
    </row>
    <row r="1984" customFormat="false" ht="15" hidden="false" customHeight="true" outlineLevel="0" collapsed="false">
      <c r="A1984" s="8" t="s">
        <v>54</v>
      </c>
      <c r="B1984" s="8" t="s">
        <v>217</v>
      </c>
      <c r="C1984" s="19" t="n">
        <v>2</v>
      </c>
      <c r="D1984" s="19" t="n">
        <v>113.34</v>
      </c>
      <c r="E1984" s="19" t="n">
        <v>0</v>
      </c>
      <c r="F1984" s="19" t="n">
        <v>0</v>
      </c>
      <c r="G1984" s="8" t="str">
        <f aca="false">IFERROR(INDEX('TRANS'!$B:$B,MATCH($B1984,'TRANS'!$A:$A,0)),IFERROR(INDEX('TRANS'!$B:$B,MATCH(TRIM(SUBSTITUTE($B1984,CHAR(160)," ")),'TRANS'!$D:$D,0)),IFERROR(INDEX('Catalog'!$A:$A,MATCH($B1984,'Catalog'!$B:$B,0)),IFERROR(INDEX('Catalog'!$A:$A,MATCH(TRIM(SUBSTITUTE($B1984,CHAR(160)," ")),'Catalog'!$C:$C,0)),""))))</f>
        <v/>
      </c>
      <c r="H1984" s="8" t="str">
        <f aca="false">IFERROR(INDEX('TRANS'!$C:$C,MATCH($B1984,'TRANS'!$A:$A,0)),IFERROR(INDEX('Catalog'!$B:$B,MATCH($G1984,'Catalog'!$A:$A,0)),$B1984))</f>
        <v>48 XXL</v>
      </c>
      <c r="I1984" s="8" t="str">
        <f aca="false">IF($G1984="","Unmatched","Matched")</f>
        <v>Unmatched</v>
      </c>
      <c r="J1984" s="8" t="str">
        <f aca="false">IF($G1984&lt;&gt;"",$G1984,$B1984)</f>
        <v>48 XXL</v>
      </c>
      <c r="K1984" s="8" t="str">
        <f aca="false">IF(COUNTIF($M$1:$M$10,$A1984)&gt;0,"Y","N")</f>
        <v>Y</v>
      </c>
    </row>
    <row r="1985" customFormat="false" ht="15" hidden="false" customHeight="true" outlineLevel="0" collapsed="false">
      <c r="A1985" s="8" t="s">
        <v>54</v>
      </c>
      <c r="B1985" s="8" t="s">
        <v>968</v>
      </c>
      <c r="C1985" s="19" t="n">
        <v>0</v>
      </c>
      <c r="D1985" s="19" t="n">
        <v>0</v>
      </c>
      <c r="E1985" s="19" t="n">
        <v>1</v>
      </c>
      <c r="F1985" s="19" t="n">
        <v>111.04</v>
      </c>
      <c r="G1985" s="8" t="n">
        <f aca="false">IFERROR(INDEX('TRANS'!$B:$B,MATCH($B1985,'TRANS'!$A:$A,0)),IFERROR(INDEX('TRANS'!$B:$B,MATCH(TRIM(SUBSTITUTE($B1985,CHAR(160)," ")),'TRANS'!$D:$D,0)),IFERROR(INDEX('Catalog'!$A:$A,MATCH($B1985,'Catalog'!$B:$B,0)),IFERROR(INDEX('Catalog'!$A:$A,MATCH(TRIM(SUBSTITUTE($B1985,CHAR(160)," ")),'Catalog'!$C:$C,0)),""))))</f>
        <v>4413118</v>
      </c>
      <c r="H1985" s="8" t="str">
        <f aca="false">IFERROR(INDEX('TRANS'!$C:$C,MATCH($B1985,'TRANS'!$A:$A,0)),IFERROR(INDEX('Catalog'!$B:$B,MATCH($G1985,'Catalog'!$A:$A,0)),$B1985))</f>
        <v>50 M מתלה אשכים לאחר ניתוח</v>
      </c>
      <c r="I1985" s="8" t="str">
        <f aca="false">IF($G1985="","Unmatched","Matched")</f>
        <v>Matched</v>
      </c>
      <c r="J1985" s="8" t="n">
        <f aca="false">IF($G1985&lt;&gt;"",$G1985,$B1985)</f>
        <v>4413118</v>
      </c>
      <c r="K1985" s="8" t="str">
        <f aca="false">IF(COUNTIF($M$1:$M$10,$A1985)&gt;0,"Y","N")</f>
        <v>Y</v>
      </c>
    </row>
    <row r="1986" customFormat="false" ht="15" hidden="false" customHeight="true" outlineLevel="0" collapsed="false">
      <c r="A1986" s="8" t="s">
        <v>54</v>
      </c>
      <c r="B1986" s="8" t="s">
        <v>45</v>
      </c>
      <c r="C1986" s="19" t="n">
        <v>12</v>
      </c>
      <c r="D1986" s="19" t="n">
        <v>1554.98</v>
      </c>
      <c r="E1986" s="19" t="n">
        <v>1</v>
      </c>
      <c r="F1986" s="19" t="n">
        <v>222.13</v>
      </c>
      <c r="G1986" s="8" t="str">
        <f aca="false">IFERROR(INDEX('TRANS'!$B:$B,MATCH($B1986,'TRANS'!$A:$A,0)),IFERROR(INDEX('TRANS'!$B:$B,MATCH(TRIM(SUBSTITUTE($B1986,CHAR(160)," ")),'TRANS'!$D:$D,0)),IFERROR(INDEX('Catalog'!$A:$A,MATCH($B1986,'Catalog'!$B:$B,0)),IFERROR(INDEX('Catalog'!$A:$A,MATCH(TRIM(SUBSTITUTE($B1986,CHAR(160)," ")),'Catalog'!$C:$C,0)),""))))</f>
        <v/>
      </c>
      <c r="H1986" s="8" t="str">
        <f aca="false">IFERROR(INDEX('TRANS'!$C:$C,MATCH($B1986,'TRANS'!$A:$A,0)),IFERROR(INDEX('Catalog'!$B:$B,MATCH($G1986,'Catalog'!$A:$A,0)),$B1986))</f>
        <v>67 0</v>
      </c>
      <c r="I1986" s="8" t="str">
        <f aca="false">IF($G1986="","Unmatched","Matched")</f>
        <v>Unmatched</v>
      </c>
      <c r="J1986" s="8" t="str">
        <f aca="false">IF($G1986&lt;&gt;"",$G1986,$B1986)</f>
        <v>67 0</v>
      </c>
      <c r="K1986" s="8" t="str">
        <f aca="false">IF(COUNTIF($M$1:$M$10,$A1986)&gt;0,"Y","N")</f>
        <v>Y</v>
      </c>
    </row>
    <row r="1987" customFormat="false" ht="15" hidden="false" customHeight="true" outlineLevel="0" collapsed="false">
      <c r="A1987" s="8" t="s">
        <v>54</v>
      </c>
      <c r="B1987" s="8" t="s">
        <v>884</v>
      </c>
      <c r="C1987" s="19" t="n">
        <v>0</v>
      </c>
      <c r="D1987" s="19" t="n">
        <v>0</v>
      </c>
      <c r="E1987" s="19" t="n">
        <v>1</v>
      </c>
      <c r="F1987" s="19" t="n">
        <v>17.3</v>
      </c>
      <c r="G1987" s="8" t="n">
        <f aca="false">IFERROR(INDEX('TRANS'!$B:$B,MATCH($B1987,'TRANS'!$A:$A,0)),IFERROR(INDEX('TRANS'!$B:$B,MATCH(TRIM(SUBSTITUTE($B1987,CHAR(160)," ")),'TRANS'!$D:$D,0)),IFERROR(INDEX('Catalog'!$A:$A,MATCH($B1987,'Catalog'!$B:$B,0)),IFERROR(INDEX('Catalog'!$A:$A,MATCH(TRIM(SUBSTITUTE($B1987,CHAR(160)," ")),'Catalog'!$C:$C,0)),""))))</f>
        <v>4401013</v>
      </c>
      <c r="H1987" s="8" t="str">
        <f aca="false">IFERROR(INDEX('TRANS'!$C:$C,MATCH($B1987,'TRANS'!$A:$A,0)),IFERROR(INDEX('Catalog'!$B:$B,MATCH($G1987,'Catalog'!$A:$A,0)),$B1987))</f>
        <v>805AT-BLאתלטיק טייפ כחול 20מ""""מ</v>
      </c>
      <c r="I1987" s="8" t="str">
        <f aca="false">IF($G1987="","Unmatched","Matched")</f>
        <v>Matched</v>
      </c>
      <c r="J1987" s="8" t="n">
        <f aca="false">IF($G1987&lt;&gt;"",$G1987,$B1987)</f>
        <v>4401013</v>
      </c>
      <c r="K1987" s="8" t="str">
        <f aca="false">IF(COUNTIF($M$1:$M$10,$A1987)&gt;0,"Y","N")</f>
        <v>Y</v>
      </c>
    </row>
    <row r="1988" customFormat="false" ht="15" hidden="false" customHeight="true" outlineLevel="0" collapsed="false">
      <c r="A1988" s="8" t="s">
        <v>54</v>
      </c>
      <c r="B1988" s="8" t="s">
        <v>707</v>
      </c>
      <c r="C1988" s="19" t="n">
        <v>0</v>
      </c>
      <c r="D1988" s="19" t="n">
        <v>0</v>
      </c>
      <c r="E1988" s="19" t="n">
        <v>1</v>
      </c>
      <c r="F1988" s="19" t="n">
        <v>47.3</v>
      </c>
      <c r="G1988" s="8" t="n">
        <f aca="false">IFERROR(INDEX('TRANS'!$B:$B,MATCH($B1988,'TRANS'!$A:$A,0)),IFERROR(INDEX('TRANS'!$B:$B,MATCH(TRIM(SUBSTITUTE($B1988,CHAR(160)," ")),'TRANS'!$D:$D,0)),IFERROR(INDEX('Catalog'!$A:$A,MATCH($B1988,'Catalog'!$B:$B,0)),IFERROR(INDEX('Catalog'!$A:$A,MATCH(TRIM(SUBSTITUTE($B1988,CHAR(160)," ")),'Catalog'!$C:$C,0)),""))))</f>
        <v>4411015</v>
      </c>
      <c r="H1988" s="8" t="str">
        <f aca="false">IFERROR(INDEX('TRANS'!$C:$C,MATCH($B1988,'TRANS'!$A:$A,0)),IFERROR(INDEX('Catalog'!$B:$B,MATCH($G1988,'Catalog'!$A:$A,0)),$B1988))</f>
        <v>820 0 כרית חום וקור</v>
      </c>
      <c r="I1988" s="8" t="str">
        <f aca="false">IF($G1988="","Unmatched","Matched")</f>
        <v>Matched</v>
      </c>
      <c r="J1988" s="8" t="n">
        <f aca="false">IF($G1988&lt;&gt;"",$G1988,$B1988)</f>
        <v>4411015</v>
      </c>
      <c r="K1988" s="8" t="str">
        <f aca="false">IF(COUNTIF($M$1:$M$10,$A1988)&gt;0,"Y","N")</f>
        <v>Y</v>
      </c>
    </row>
    <row r="1989" customFormat="false" ht="15" hidden="false" customHeight="true" outlineLevel="0" collapsed="false">
      <c r="A1989" s="8" t="s">
        <v>54</v>
      </c>
      <c r="B1989" s="8" t="s">
        <v>764</v>
      </c>
      <c r="C1989" s="19" t="n">
        <v>1</v>
      </c>
      <c r="D1989" s="19" t="n">
        <v>65</v>
      </c>
      <c r="E1989" s="19" t="n">
        <v>3</v>
      </c>
      <c r="F1989" s="19" t="n">
        <v>195</v>
      </c>
      <c r="G1989" s="8" t="n">
        <f aca="false">IFERROR(INDEX('TRANS'!$B:$B,MATCH($B1989,'TRANS'!$A:$A,0)),IFERROR(INDEX('TRANS'!$B:$B,MATCH(TRIM(SUBSTITUTE($B1989,CHAR(160)," ")),'TRANS'!$D:$D,0)),IFERROR(INDEX('Catalog'!$A:$A,MATCH($B1989,'Catalog'!$B:$B,0)),IFERROR(INDEX('Catalog'!$A:$A,MATCH(TRIM(SUBSTITUTE($B1989,CHAR(160)," ")),'Catalog'!$C:$C,0)),""))))</f>
        <v>4403035</v>
      </c>
      <c r="H1989" s="8" t="str">
        <f aca="false">IFERROR(INDEX('TRANS'!$C:$C,MATCH($B1989,'TRANS'!$A:$A,0)),IFERROR(INDEX('Catalog'!$B:$B,MATCH($G1989,'Catalog'!$A:$A,0)),$B1989))</f>
        <v>ST3555L-XLגרב לילה לטיפ.בדורבן</v>
      </c>
      <c r="I1989" s="8" t="str">
        <f aca="false">IF($G1989="","Unmatched","Matched")</f>
        <v>Matched</v>
      </c>
      <c r="J1989" s="8" t="n">
        <f aca="false">IF($G1989&lt;&gt;"",$G1989,$B1989)</f>
        <v>4403035</v>
      </c>
      <c r="K1989" s="8" t="str">
        <f aca="false">IF(COUNTIF($M$1:$M$10,$A1989)&gt;0,"Y","N")</f>
        <v>Y</v>
      </c>
    </row>
    <row r="1990" customFormat="false" ht="15" hidden="false" customHeight="true" outlineLevel="0" collapsed="false">
      <c r="A1990" s="8" t="s">
        <v>54</v>
      </c>
      <c r="B1990" s="8" t="s">
        <v>971</v>
      </c>
      <c r="C1990" s="19" t="n">
        <v>0</v>
      </c>
      <c r="D1990" s="19" t="n">
        <v>0</v>
      </c>
      <c r="E1990" s="19" t="n">
        <v>1</v>
      </c>
      <c r="F1990" s="19" t="n">
        <v>94.64</v>
      </c>
      <c r="G1990" s="8" t="n">
        <f aca="false">IFERROR(INDEX('TRANS'!$B:$B,MATCH($B1990,'TRANS'!$A:$A,0)),IFERROR(INDEX('TRANS'!$B:$B,MATCH(TRIM(SUBSTITUTE($B1990,CHAR(160)," ")),'TRANS'!$D:$D,0)),IFERROR(INDEX('Catalog'!$A:$A,MATCH($B1990,'Catalog'!$B:$B,0)),IFERROR(INDEX('Catalog'!$A:$A,MATCH(TRIM(SUBSTITUTE($B1990,CHAR(160)," ")),'Catalog'!$C:$C,0)),""))))</f>
        <v>4408090</v>
      </c>
      <c r="H1990" s="8" t="str">
        <f aca="false">IFERROR(INDEX('TRANS'!$C:$C,MATCH($B1990,'TRANS'!$A:$A,0)),IFERROR(INDEX('Catalog'!$B:$B,MATCH($G1990,'Catalog'!$A:$A,0)),$B1990))</f>
        <v>T11C L  חגורת גב פוג'יאמה</v>
      </c>
      <c r="I1990" s="8" t="str">
        <f aca="false">IF($G1990="","Unmatched","Matched")</f>
        <v>Matched</v>
      </c>
      <c r="J1990" s="8" t="n">
        <f aca="false">IF($G1990&lt;&gt;"",$G1990,$B1990)</f>
        <v>4408090</v>
      </c>
      <c r="K1990" s="8" t="str">
        <f aca="false">IF(COUNTIF($M$1:$M$10,$A1990)&gt;0,"Y","N")</f>
        <v>Y</v>
      </c>
    </row>
    <row r="1991" customFormat="false" ht="15" hidden="false" customHeight="true" outlineLevel="0" collapsed="false">
      <c r="A1991" s="8" t="s">
        <v>54</v>
      </c>
      <c r="B1991" s="8" t="s">
        <v>110</v>
      </c>
      <c r="C1991" s="19" t="n">
        <v>0</v>
      </c>
      <c r="D1991" s="19" t="n">
        <v>0</v>
      </c>
      <c r="E1991" s="19" t="n">
        <v>2</v>
      </c>
      <c r="F1991" s="19" t="n">
        <v>215.52</v>
      </c>
      <c r="G1991" s="8" t="str">
        <f aca="false">IFERROR(INDEX('TRANS'!$B:$B,MATCH($B1991,'TRANS'!$A:$A,0)),IFERROR(INDEX('TRANS'!$B:$B,MATCH(TRIM(SUBSTITUTE($B1991,CHAR(160)," ")),'TRANS'!$D:$D,0)),IFERROR(INDEX('Catalog'!$A:$A,MATCH($B1991,'Catalog'!$B:$B,0)),IFERROR(INDEX('Catalog'!$A:$A,MATCH(TRIM(SUBSTITUTE($B1991,CHAR(160)," ")),'Catalog'!$C:$C,0)),""))))</f>
        <v/>
      </c>
      <c r="H1991" s="8" t="str">
        <f aca="false">IFERROR(INDEX('TRANS'!$C:$C,MATCH($B1991,'TRANS'!$A:$A,0)),IFERROR(INDEX('Catalog'!$B:$B,MATCH($G1991,'Catalog'!$A:$A,0)),$B1991))</f>
        <v>T39 M</v>
      </c>
      <c r="I1991" s="8" t="str">
        <f aca="false">IF($G1991="","Unmatched","Matched")</f>
        <v>Unmatched</v>
      </c>
      <c r="J1991" s="8" t="str">
        <f aca="false">IF($G1991&lt;&gt;"",$G1991,$B1991)</f>
        <v>T39 M</v>
      </c>
      <c r="K1991" s="8" t="str">
        <f aca="false">IF(COUNTIF($M$1:$M$10,$A1991)&gt;0,"Y","N")</f>
        <v>Y</v>
      </c>
    </row>
    <row r="1992" customFormat="false" ht="15" hidden="false" customHeight="true" outlineLevel="0" collapsed="false">
      <c r="A1992" s="8" t="s">
        <v>54</v>
      </c>
      <c r="B1992" s="8" t="s">
        <v>422</v>
      </c>
      <c r="C1992" s="19" t="n">
        <v>2</v>
      </c>
      <c r="D1992" s="19" t="n">
        <v>189.27</v>
      </c>
      <c r="E1992" s="19" t="n">
        <v>0</v>
      </c>
      <c r="F1992" s="19" t="n">
        <v>0</v>
      </c>
      <c r="G1992" s="8" t="str">
        <f aca="false">IFERROR(INDEX('TRANS'!$B:$B,MATCH($B1992,'TRANS'!$A:$A,0)),IFERROR(INDEX('TRANS'!$B:$B,MATCH(TRIM(SUBSTITUTE($B1992,CHAR(160)," ")),'TRANS'!$D:$D,0)),IFERROR(INDEX('Catalog'!$A:$A,MATCH($B1992,'Catalog'!$B:$B,0)),IFERROR(INDEX('Catalog'!$A:$A,MATCH(TRIM(SUBSTITUTE($B1992,CHAR(160)," ")),'Catalog'!$C:$C,0)),""))))</f>
        <v/>
      </c>
      <c r="H1992" s="8" t="str">
        <f aca="false">IFERROR(INDEX('TRANS'!$C:$C,MATCH($B1992,'TRANS'!$A:$A,0)),IFERROR(INDEX('Catalog'!$B:$B,MATCH($G1992,'Catalog'!$A:$A,0)),$B1992))</f>
        <v>T95 L</v>
      </c>
      <c r="I1992" s="8" t="str">
        <f aca="false">IF($G1992="","Unmatched","Matched")</f>
        <v>Unmatched</v>
      </c>
      <c r="J1992" s="8" t="str">
        <f aca="false">IF($G1992&lt;&gt;"",$G1992,$B1992)</f>
        <v>T95 L</v>
      </c>
      <c r="K1992" s="8" t="str">
        <f aca="false">IF(COUNTIF($M$1:$M$10,$A1992)&gt;0,"Y","N")</f>
        <v>Y</v>
      </c>
    </row>
    <row r="1993" customFormat="false" ht="15" hidden="false" customHeight="true" outlineLevel="0" collapsed="false">
      <c r="A1993" s="8" t="s">
        <v>54</v>
      </c>
      <c r="B1993" s="8" t="s">
        <v>744</v>
      </c>
      <c r="C1993" s="19" t="n">
        <v>12</v>
      </c>
      <c r="D1993" s="19" t="n">
        <v>300.06</v>
      </c>
      <c r="E1993" s="19" t="n">
        <v>0</v>
      </c>
      <c r="F1993" s="19" t="n">
        <v>0</v>
      </c>
      <c r="G1993" s="8" t="n">
        <f aca="false">IFERROR(INDEX('TRANS'!$B:$B,MATCH($B1993,'TRANS'!$A:$A,0)),IFERROR(INDEX('TRANS'!$B:$B,MATCH(TRIM(SUBSTITUTE($B1993,CHAR(160)," ")),'TRANS'!$D:$D,0)),IFERROR(INDEX('Catalog'!$A:$A,MATCH($B1993,'Catalog'!$B:$B,0)),IFERROR(INDEX('Catalog'!$A:$A,MATCH(TRIM(SUBSTITUTE($B1993,CHAR(160)," ")),'Catalog'!$C:$C,0)),""))))</f>
        <v>4417000</v>
      </c>
      <c r="H1993" s="8" t="str">
        <f aca="false">IFERROR(INDEX('TRANS'!$C:$C,MATCH($B1993,'TRANS'!$A:$A,0)),IFERROR(INDEX('Catalog'!$B:$B,MATCH($G1993,'Catalog'!$A:$A,0)),$B1993))</f>
        <v>PD342-פומפיה להסרת עור קשה</v>
      </c>
      <c r="I1993" s="8" t="str">
        <f aca="false">IF($G1993="","Unmatched","Matched")</f>
        <v>Matched</v>
      </c>
      <c r="J1993" s="8" t="n">
        <f aca="false">IF($G1993&lt;&gt;"",$G1993,$B1993)</f>
        <v>4417000</v>
      </c>
      <c r="K1993" s="8" t="str">
        <f aca="false">IF(COUNTIF($M$1:$M$10,$A1993)&gt;0,"Y","N")</f>
        <v>Y</v>
      </c>
    </row>
    <row r="1994" customFormat="false" ht="15" hidden="false" customHeight="true" outlineLevel="0" collapsed="false">
      <c r="A1994" s="8" t="s">
        <v>54</v>
      </c>
      <c r="B1994" s="8" t="s">
        <v>735</v>
      </c>
      <c r="C1994" s="19" t="n">
        <v>3</v>
      </c>
      <c r="D1994" s="19" t="n">
        <v>42.05</v>
      </c>
      <c r="E1994" s="19" t="n">
        <v>0</v>
      </c>
      <c r="F1994" s="19" t="n">
        <v>0</v>
      </c>
      <c r="G1994" s="8" t="n">
        <f aca="false">IFERROR(INDEX('TRANS'!$B:$B,MATCH($B1994,'TRANS'!$A:$A,0)),IFERROR(INDEX('TRANS'!$B:$B,MATCH(TRIM(SUBSTITUTE($B1994,CHAR(160)," ")),'TRANS'!$D:$D,0)),IFERROR(INDEX('Catalog'!$A:$A,MATCH($B1994,'Catalog'!$B:$B,0)),IFERROR(INDEX('Catalog'!$A:$A,MATCH(TRIM(SUBSTITUTE($B1994,CHAR(160)," ")),'Catalog'!$C:$C,0)),""))))</f>
        <v>4413149</v>
      </c>
      <c r="H1994" s="8" t="str">
        <f aca="false">IFERROR(INDEX('TRANS'!$C:$C,MATCH($B1994,'TRANS'!$A:$A,0)),IFERROR(INDEX('Catalog'!$B:$B,MATCH($G1994,'Catalog'!$A:$A,0)),$B1994))</f>
        <v>FC321-מלח אמבט לכף הרגל</v>
      </c>
      <c r="I1994" s="8" t="str">
        <f aca="false">IF($G1994="","Unmatched","Matched")</f>
        <v>Matched</v>
      </c>
      <c r="J1994" s="8" t="n">
        <f aca="false">IF($G1994&lt;&gt;"",$G1994,$B1994)</f>
        <v>4413149</v>
      </c>
      <c r="K1994" s="8" t="str">
        <f aca="false">IF(COUNTIF($M$1:$M$10,$A1994)&gt;0,"Y","N")</f>
        <v>Y</v>
      </c>
    </row>
    <row r="1995" customFormat="false" ht="15" hidden="false" customHeight="true" outlineLevel="0" collapsed="false">
      <c r="A1995" s="8" t="s">
        <v>54</v>
      </c>
      <c r="B1995" s="8" t="s">
        <v>738</v>
      </c>
      <c r="C1995" s="19" t="n">
        <v>6</v>
      </c>
      <c r="D1995" s="19" t="n">
        <v>182.6</v>
      </c>
      <c r="E1995" s="19" t="n">
        <v>0</v>
      </c>
      <c r="F1995" s="19" t="n">
        <v>0</v>
      </c>
      <c r="G1995" s="8" t="n">
        <f aca="false">IFERROR(INDEX('TRANS'!$B:$B,MATCH($B1995,'TRANS'!$A:$A,0)),IFERROR(INDEX('TRANS'!$B:$B,MATCH(TRIM(SUBSTITUTE($B1995,CHAR(160)," ")),'TRANS'!$D:$D,0)),IFERROR(INDEX('Catalog'!$A:$A,MATCH($B1995,'Catalog'!$B:$B,0)),IFERROR(INDEX('Catalog'!$A:$A,MATCH(TRIM(SUBSTITUTE($B1995,CHAR(160)," ")),'Catalog'!$C:$C,0)),""))))</f>
        <v>4414000</v>
      </c>
      <c r="H1995" s="8" t="str">
        <f aca="false">IFERROR(INDEX('TRANS'!$C:$C,MATCH($B1995,'TRANS'!$A:$A,0)),IFERROR(INDEX('Catalog'!$B:$B,MATCH($G1995,'Catalog'!$A:$A,0)),$B1995))</f>
        <v>FC342-נוזל לציפורן חודרנית</v>
      </c>
      <c r="I1995" s="8" t="str">
        <f aca="false">IF($G1995="","Unmatched","Matched")</f>
        <v>Matched</v>
      </c>
      <c r="J1995" s="8" t="n">
        <f aca="false">IF($G1995&lt;&gt;"",$G1995,$B1995)</f>
        <v>4414000</v>
      </c>
      <c r="K1995" s="8" t="str">
        <f aca="false">IF(COUNTIF($M$1:$M$10,$A1995)&gt;0,"Y","N")</f>
        <v>Y</v>
      </c>
    </row>
    <row r="1996" customFormat="false" ht="15" hidden="false" customHeight="true" outlineLevel="0" collapsed="false">
      <c r="A1996" s="8" t="s">
        <v>8</v>
      </c>
      <c r="B1996" s="8" t="s">
        <v>493</v>
      </c>
      <c r="C1996" s="19" t="n">
        <v>0</v>
      </c>
      <c r="D1996" s="19" t="n">
        <v>7427.59</v>
      </c>
      <c r="E1996" s="19" t="n">
        <v>0</v>
      </c>
      <c r="F1996" s="19" t="n">
        <v>0</v>
      </c>
      <c r="G1996" s="8" t="str">
        <f aca="false">IFERROR(INDEX('TRANS'!$B:$B,MATCH($B1996,'TRANS'!$A:$A,0)),IFERROR(INDEX('TRANS'!$B:$B,MATCH(TRIM(SUBSTITUTE($B1996,CHAR(160)," ")),'TRANS'!$D:$D,0)),IFERROR(INDEX('Catalog'!$A:$A,MATCH($B1996,'Catalog'!$B:$B,0)),IFERROR(INDEX('Catalog'!$A:$A,MATCH(TRIM(SUBSTITUTE($B1996,CHAR(160)," ")),'Catalog'!$C:$C,0)),""))))</f>
        <v/>
      </c>
      <c r="H1996" s="8" t="str">
        <f aca="false">IFERROR(INDEX('TRANS'!$C:$C,MATCH($B1996,'TRANS'!$A:$A,0)),IFERROR(INDEX('Catalog'!$B:$B,MATCH($G1996,'Catalog'!$A:$A,0)),$B1996))</f>
        <v>(NO ITEM CODE)</v>
      </c>
      <c r="I1996" s="8" t="str">
        <f aca="false">IF($G1996="","Unmatched","Matched")</f>
        <v>Unmatched</v>
      </c>
      <c r="J1996" s="8" t="str">
        <f aca="false">IF($G1996&lt;&gt;"",$G1996,$B1996)</f>
        <v>(NO ITEM CODE)</v>
      </c>
      <c r="K1996" s="8" t="str">
        <f aca="false">IF(COUNTIF($M$1:$M$10,$A1996)&gt;0,"Y","N")</f>
        <v>N</v>
      </c>
    </row>
    <row r="1997" customFormat="false" ht="15" hidden="false" customHeight="true" outlineLevel="0" collapsed="false">
      <c r="A1997" s="8" t="s">
        <v>8</v>
      </c>
      <c r="B1997" s="8" t="s">
        <v>272</v>
      </c>
      <c r="C1997" s="19" t="n">
        <v>6300</v>
      </c>
      <c r="D1997" s="19" t="n">
        <v>297486</v>
      </c>
      <c r="E1997" s="19" t="n">
        <v>6360</v>
      </c>
      <c r="F1997" s="19" t="n">
        <v>300319.2</v>
      </c>
      <c r="G1997" s="8" t="str">
        <f aca="false">IFERROR(INDEX('TRANS'!$B:$B,MATCH($B1997,'TRANS'!$A:$A,0)),IFERROR(INDEX('TRANS'!$B:$B,MATCH(TRIM(SUBSTITUTE($B1997,CHAR(160)," ")),'TRANS'!$D:$D,0)),IFERROR(INDEX('Catalog'!$A:$A,MATCH($B1997,'Catalog'!$B:$B,0)),IFERROR(INDEX('Catalog'!$A:$A,MATCH(TRIM(SUBSTITUTE($B1997,CHAR(160)," ")),'Catalog'!$C:$C,0)),""))))</f>
        <v/>
      </c>
      <c r="H1997" s="8" t="str">
        <f aca="false">IFERROR(INDEX('TRANS'!$C:$C,MATCH($B1997,'TRANS'!$A:$A,0)),IFERROR(INDEX('Catalog'!$B:$B,MATCH($G1997,'Catalog'!$A:$A,0)),$B1997))</f>
        <v>LU302M 0</v>
      </c>
      <c r="I1997" s="8" t="str">
        <f aca="false">IF($G1997="","Unmatched","Matched")</f>
        <v>Unmatched</v>
      </c>
      <c r="J1997" s="8" t="str">
        <f aca="false">IF($G1997&lt;&gt;"",$G1997,$B1997)</f>
        <v>LU302M 0</v>
      </c>
      <c r="K1997" s="8" t="str">
        <f aca="false">IF(COUNTIF($M$1:$M$10,$A1997)&gt;0,"Y","N")</f>
        <v>N</v>
      </c>
    </row>
    <row r="1998" customFormat="false" ht="15" hidden="false" customHeight="true" outlineLevel="0" collapsed="false">
      <c r="A1998" s="8" t="s">
        <v>8</v>
      </c>
      <c r="B1998" s="8" t="s">
        <v>273</v>
      </c>
      <c r="C1998" s="19" t="n">
        <v>2400</v>
      </c>
      <c r="D1998" s="19" t="n">
        <v>113328</v>
      </c>
      <c r="E1998" s="19" t="n">
        <v>2400</v>
      </c>
      <c r="F1998" s="19" t="n">
        <v>113328</v>
      </c>
      <c r="G1998" s="8" t="str">
        <f aca="false">IFERROR(INDEX('TRANS'!$B:$B,MATCH($B1998,'TRANS'!$A:$A,0)),IFERROR(INDEX('TRANS'!$B:$B,MATCH(TRIM(SUBSTITUTE($B1998,CHAR(160)," ")),'TRANS'!$D:$D,0)),IFERROR(INDEX('Catalog'!$A:$A,MATCH($B1998,'Catalog'!$B:$B,0)),IFERROR(INDEX('Catalog'!$A:$A,MATCH(TRIM(SUBSTITUTE($B1998,CHAR(160)," ")),'Catalog'!$C:$C,0)),""))))</f>
        <v/>
      </c>
      <c r="H1998" s="8" t="str">
        <f aca="false">IFERROR(INDEX('TRANS'!$C:$C,MATCH($B1998,'TRANS'!$A:$A,0)),IFERROR(INDEX('Catalog'!$B:$B,MATCH($G1998,'Catalog'!$A:$A,0)),$B1998))</f>
        <v>LU302W 0</v>
      </c>
      <c r="I1998" s="8" t="str">
        <f aca="false">IF($G1998="","Unmatched","Matched")</f>
        <v>Unmatched</v>
      </c>
      <c r="J1998" s="8" t="str">
        <f aca="false">IF($G1998&lt;&gt;"",$G1998,$B1998)</f>
        <v>LU302W 0</v>
      </c>
      <c r="K1998" s="8" t="str">
        <f aca="false">IF(COUNTIF($M$1:$M$10,$A1998)&gt;0,"Y","N")</f>
        <v>N</v>
      </c>
    </row>
    <row r="1999" customFormat="false" ht="15" hidden="false" customHeight="true" outlineLevel="0" collapsed="false">
      <c r="A1999" s="8" t="s">
        <v>8</v>
      </c>
      <c r="B1999" s="8" t="s">
        <v>1006</v>
      </c>
      <c r="C1999" s="19" t="n">
        <v>1600</v>
      </c>
      <c r="D1999" s="19" t="n">
        <v>63104</v>
      </c>
      <c r="E1999" s="19" t="n">
        <v>1600</v>
      </c>
      <c r="F1999" s="19" t="n">
        <v>63104</v>
      </c>
      <c r="G1999" s="8" t="str">
        <f aca="false">IFERROR(INDEX('TRANS'!$B:$B,MATCH($B1999,'TRANS'!$A:$A,0)),IFERROR(INDEX('TRANS'!$B:$B,MATCH(TRIM(SUBSTITUTE($B1999,CHAR(160)," ")),'TRANS'!$D:$D,0)),IFERROR(INDEX('Catalog'!$A:$A,MATCH($B1999,'Catalog'!$B:$B,0)),IFERROR(INDEX('Catalog'!$A:$A,MATCH(TRIM(SUBSTITUTE($B1999,CHAR(160)," ")),'Catalog'!$C:$C,0)),""))))</f>
        <v/>
      </c>
      <c r="H1999" s="8" t="str">
        <f aca="false">IFERROR(INDEX('TRANS'!$C:$C,MATCH($B1999,'TRANS'!$A:$A,0)),IFERROR(INDEX('Catalog'!$B:$B,MATCH($G1999,'Catalog'!$A:$A,0)),$B1999))</f>
        <v>LU308 L</v>
      </c>
      <c r="I1999" s="8" t="str">
        <f aca="false">IF($G1999="","Unmatched","Matched")</f>
        <v>Unmatched</v>
      </c>
      <c r="J1999" s="8" t="str">
        <f aca="false">IF($G1999&lt;&gt;"",$G1999,$B1999)</f>
        <v>LU308 L</v>
      </c>
      <c r="K1999" s="8" t="str">
        <f aca="false">IF(COUNTIF($M$1:$M$10,$A1999)&gt;0,"Y","N")</f>
        <v>N</v>
      </c>
    </row>
    <row r="2000" customFormat="false" ht="15" hidden="false" customHeight="true" outlineLevel="0" collapsed="false">
      <c r="A2000" s="8" t="s">
        <v>8</v>
      </c>
      <c r="B2000" s="8" t="s">
        <v>1007</v>
      </c>
      <c r="C2000" s="19" t="n">
        <v>2400</v>
      </c>
      <c r="D2000" s="19" t="n">
        <v>94656</v>
      </c>
      <c r="E2000" s="19" t="n">
        <v>2400</v>
      </c>
      <c r="F2000" s="19" t="n">
        <v>94656</v>
      </c>
      <c r="G2000" s="8" t="str">
        <f aca="false">IFERROR(INDEX('TRANS'!$B:$B,MATCH($B2000,'TRANS'!$A:$A,0)),IFERROR(INDEX('TRANS'!$B:$B,MATCH(TRIM(SUBSTITUTE($B2000,CHAR(160)," ")),'TRANS'!$D:$D,0)),IFERROR(INDEX('Catalog'!$A:$A,MATCH($B2000,'Catalog'!$B:$B,0)),IFERROR(INDEX('Catalog'!$A:$A,MATCH(TRIM(SUBSTITUTE($B2000,CHAR(160)," ")),'Catalog'!$C:$C,0)),""))))</f>
        <v/>
      </c>
      <c r="H2000" s="8" t="str">
        <f aca="false">IFERROR(INDEX('TRANS'!$C:$C,MATCH($B2000,'TRANS'!$A:$A,0)),IFERROR(INDEX('Catalog'!$B:$B,MATCH($G2000,'Catalog'!$A:$A,0)),$B2000))</f>
        <v>LU308 M</v>
      </c>
      <c r="I2000" s="8" t="str">
        <f aca="false">IF($G2000="","Unmatched","Matched")</f>
        <v>Unmatched</v>
      </c>
      <c r="J2000" s="8" t="str">
        <f aca="false">IF($G2000&lt;&gt;"",$G2000,$B2000)</f>
        <v>LU308 M</v>
      </c>
      <c r="K2000" s="8" t="str">
        <f aca="false">IF(COUNTIF($M$1:$M$10,$A2000)&gt;0,"Y","N")</f>
        <v>N</v>
      </c>
    </row>
    <row r="2001" customFormat="false" ht="15" hidden="false" customHeight="true" outlineLevel="0" collapsed="false">
      <c r="A2001" s="8" t="s">
        <v>8</v>
      </c>
      <c r="B2001" s="8" t="s">
        <v>1008</v>
      </c>
      <c r="C2001" s="19" t="n">
        <v>4320</v>
      </c>
      <c r="D2001" s="19" t="n">
        <v>67910.4</v>
      </c>
      <c r="E2001" s="19" t="n">
        <v>4320</v>
      </c>
      <c r="F2001" s="19" t="n">
        <v>67910.4</v>
      </c>
      <c r="G2001" s="8" t="str">
        <f aca="false">IFERROR(INDEX('TRANS'!$B:$B,MATCH($B2001,'TRANS'!$A:$A,0)),IFERROR(INDEX('TRANS'!$B:$B,MATCH(TRIM(SUBSTITUTE($B2001,CHAR(160)," ")),'TRANS'!$D:$D,0)),IFERROR(INDEX('Catalog'!$A:$A,MATCH($B2001,'Catalog'!$B:$B,0)),IFERROR(INDEX('Catalog'!$A:$A,MATCH(TRIM(SUBSTITUTE($B2001,CHAR(160)," ")),'Catalog'!$C:$C,0)),""))))</f>
        <v/>
      </c>
      <c r="H2001" s="8" t="str">
        <f aca="false">IFERROR(INDEX('TRANS'!$C:$C,MATCH($B2001,'TRANS'!$A:$A,0)),IFERROR(INDEX('Catalog'!$B:$B,MATCH($G2001,'Catalog'!$A:$A,0)),$B2001))</f>
        <v>LU313 0</v>
      </c>
      <c r="I2001" s="8" t="str">
        <f aca="false">IF($G2001="","Unmatched","Matched")</f>
        <v>Unmatched</v>
      </c>
      <c r="J2001" s="8" t="str">
        <f aca="false">IF($G2001&lt;&gt;"",$G2001,$B2001)</f>
        <v>LU313 0</v>
      </c>
      <c r="K2001" s="8" t="str">
        <f aca="false">IF(COUNTIF($M$1:$M$10,$A2001)&gt;0,"Y","N")</f>
        <v>N</v>
      </c>
    </row>
    <row r="2002" customFormat="false" ht="15" hidden="false" customHeight="true" outlineLevel="0" collapsed="false">
      <c r="A2002" s="8" t="s">
        <v>8</v>
      </c>
      <c r="B2002" s="8" t="s">
        <v>1009</v>
      </c>
      <c r="C2002" s="19" t="n">
        <v>8100</v>
      </c>
      <c r="D2002" s="19" t="n">
        <v>81891</v>
      </c>
      <c r="E2002" s="19" t="n">
        <v>5400</v>
      </c>
      <c r="F2002" s="19" t="n">
        <v>54594</v>
      </c>
      <c r="G2002" s="8" t="str">
        <f aca="false">IFERROR(INDEX('TRANS'!$B:$B,MATCH($B2002,'TRANS'!$A:$A,0)),IFERROR(INDEX('TRANS'!$B:$B,MATCH(TRIM(SUBSTITUTE($B2002,CHAR(160)," ")),'TRANS'!$D:$D,0)),IFERROR(INDEX('Catalog'!$A:$A,MATCH($B2002,'Catalog'!$B:$B,0)),IFERROR(INDEX('Catalog'!$A:$A,MATCH(TRIM(SUBSTITUTE($B2002,CHAR(160)," ")),'Catalog'!$C:$C,0)),""))))</f>
        <v/>
      </c>
      <c r="H2002" s="8" t="str">
        <f aca="false">IFERROR(INDEX('TRANS'!$C:$C,MATCH($B2002,'TRANS'!$A:$A,0)),IFERROR(INDEX('Catalog'!$B:$B,MATCH($G2002,'Catalog'!$A:$A,0)),$B2002))</f>
        <v>LU364-S-L</v>
      </c>
      <c r="I2002" s="8" t="str">
        <f aca="false">IF($G2002="","Unmatched","Matched")</f>
        <v>Unmatched</v>
      </c>
      <c r="J2002" s="8" t="str">
        <f aca="false">IF($G2002&lt;&gt;"",$G2002,$B2002)</f>
        <v>LU364-S-L</v>
      </c>
      <c r="K2002" s="8" t="str">
        <f aca="false">IF(COUNTIF($M$1:$M$10,$A2002)&gt;0,"Y","N")</f>
        <v>N</v>
      </c>
    </row>
    <row r="2003" customFormat="false" ht="15" hidden="false" customHeight="true" outlineLevel="0" collapsed="false">
      <c r="A2003" s="8" t="s">
        <v>8</v>
      </c>
      <c r="B2003" s="8" t="s">
        <v>1010</v>
      </c>
      <c r="C2003" s="19" t="n">
        <v>4050</v>
      </c>
      <c r="D2003" s="19" t="n">
        <v>40945.5</v>
      </c>
      <c r="E2003" s="19" t="n">
        <v>1350</v>
      </c>
      <c r="F2003" s="19" t="n">
        <v>13648.5</v>
      </c>
      <c r="G2003" s="8" t="str">
        <f aca="false">IFERROR(INDEX('TRANS'!$B:$B,MATCH($B2003,'TRANS'!$A:$A,0)),IFERROR(INDEX('TRANS'!$B:$B,MATCH(TRIM(SUBSTITUTE($B2003,CHAR(160)," ")),'TRANS'!$D:$D,0)),IFERROR(INDEX('Catalog'!$A:$A,MATCH($B2003,'Catalog'!$B:$B,0)),IFERROR(INDEX('Catalog'!$A:$A,MATCH(TRIM(SUBSTITUTE($B2003,CHAR(160)," ")),'Catalog'!$C:$C,0)),""))))</f>
        <v/>
      </c>
      <c r="H2003" s="8" t="str">
        <f aca="false">IFERROR(INDEX('TRANS'!$C:$C,MATCH($B2003,'TRANS'!$A:$A,0)),IFERROR(INDEX('Catalog'!$B:$B,MATCH($G2003,'Catalog'!$A:$A,0)),$B2003))</f>
        <v>LU364 XL</v>
      </c>
      <c r="I2003" s="8" t="str">
        <f aca="false">IF($G2003="","Unmatched","Matched")</f>
        <v>Unmatched</v>
      </c>
      <c r="J2003" s="8" t="str">
        <f aca="false">IF($G2003&lt;&gt;"",$G2003,$B2003)</f>
        <v>LU364 XL</v>
      </c>
      <c r="K2003" s="8" t="str">
        <f aca="false">IF(COUNTIF($M$1:$M$10,$A2003)&gt;0,"Y","N")</f>
        <v>N</v>
      </c>
    </row>
    <row r="2004" customFormat="false" ht="15" hidden="false" customHeight="true" outlineLevel="0" collapsed="false">
      <c r="A2004" s="8" t="s">
        <v>8</v>
      </c>
      <c r="B2004" s="8" t="s">
        <v>1011</v>
      </c>
      <c r="C2004" s="19" t="n">
        <v>3780</v>
      </c>
      <c r="D2004" s="19" t="n">
        <v>53751.6</v>
      </c>
      <c r="E2004" s="19" t="n">
        <v>1010</v>
      </c>
      <c r="F2004" s="19" t="n">
        <v>14362.2</v>
      </c>
      <c r="G2004" s="8" t="str">
        <f aca="false">IFERROR(INDEX('TRANS'!$B:$B,MATCH($B2004,'TRANS'!$A:$A,0)),IFERROR(INDEX('TRANS'!$B:$B,MATCH(TRIM(SUBSTITUTE($B2004,CHAR(160)," ")),'TRANS'!$D:$D,0)),IFERROR(INDEX('Catalog'!$A:$A,MATCH($B2004,'Catalog'!$B:$B,0)),IFERROR(INDEX('Catalog'!$A:$A,MATCH(TRIM(SUBSTITUTE($B2004,CHAR(160)," ")),'Catalog'!$C:$C,0)),""))))</f>
        <v/>
      </c>
      <c r="H2004" s="8" t="str">
        <f aca="false">IFERROR(INDEX('TRANS'!$C:$C,MATCH($B2004,'TRANS'!$A:$A,0)),IFERROR(INDEX('Catalog'!$B:$B,MATCH($G2004,'Catalog'!$A:$A,0)),$B2004))</f>
        <v>LU3641 0</v>
      </c>
      <c r="I2004" s="8" t="str">
        <f aca="false">IF($G2004="","Unmatched","Matched")</f>
        <v>Unmatched</v>
      </c>
      <c r="J2004" s="8" t="str">
        <f aca="false">IF($G2004&lt;&gt;"",$G2004,$B2004)</f>
        <v>LU3641 0</v>
      </c>
      <c r="K2004" s="8" t="str">
        <f aca="false">IF(COUNTIF($M$1:$M$10,$A2004)&gt;0,"Y","N")</f>
        <v>N</v>
      </c>
    </row>
    <row r="2005" customFormat="false" ht="15" hidden="false" customHeight="true" outlineLevel="0" collapsed="false">
      <c r="A2005" s="8" t="s">
        <v>8</v>
      </c>
      <c r="B2005" s="8" t="s">
        <v>1012</v>
      </c>
      <c r="C2005" s="19" t="n">
        <v>4860</v>
      </c>
      <c r="D2005" s="19" t="n">
        <v>47239.2</v>
      </c>
      <c r="E2005" s="19" t="n">
        <v>2160</v>
      </c>
      <c r="F2005" s="19" t="n">
        <v>20995.2</v>
      </c>
      <c r="G2005" s="8" t="str">
        <f aca="false">IFERROR(INDEX('TRANS'!$B:$B,MATCH($B2005,'TRANS'!$A:$A,0)),IFERROR(INDEX('TRANS'!$B:$B,MATCH(TRIM(SUBSTITUTE($B2005,CHAR(160)," ")),'TRANS'!$D:$D,0)),IFERROR(INDEX('Catalog'!$A:$A,MATCH($B2005,'Catalog'!$B:$B,0)),IFERROR(INDEX('Catalog'!$A:$A,MATCH(TRIM(SUBSTITUTE($B2005,CHAR(160)," ")),'Catalog'!$C:$C,0)),""))))</f>
        <v/>
      </c>
      <c r="H2005" s="8" t="str">
        <f aca="false">IFERROR(INDEX('TRANS'!$C:$C,MATCH($B2005,'TRANS'!$A:$A,0)),IFERROR(INDEX('Catalog'!$B:$B,MATCH($G2005,'Catalog'!$A:$A,0)),$B2005))</f>
        <v>LU365-S-L</v>
      </c>
      <c r="I2005" s="8" t="str">
        <f aca="false">IF($G2005="","Unmatched","Matched")</f>
        <v>Unmatched</v>
      </c>
      <c r="J2005" s="8" t="str">
        <f aca="false">IF($G2005&lt;&gt;"",$G2005,$B2005)</f>
        <v>LU365-S-L</v>
      </c>
      <c r="K2005" s="8" t="str">
        <f aca="false">IF(COUNTIF($M$1:$M$10,$A2005)&gt;0,"Y","N")</f>
        <v>N</v>
      </c>
    </row>
    <row r="2006" customFormat="false" ht="15" hidden="false" customHeight="true" outlineLevel="0" collapsed="false">
      <c r="A2006" s="8" t="s">
        <v>8</v>
      </c>
      <c r="B2006" s="8" t="s">
        <v>1013</v>
      </c>
      <c r="C2006" s="19" t="n">
        <v>17820</v>
      </c>
      <c r="D2006" s="19" t="n">
        <v>219007.8</v>
      </c>
      <c r="E2006" s="19" t="n">
        <v>3000</v>
      </c>
      <c r="F2006" s="19" t="n">
        <v>36870</v>
      </c>
      <c r="G2006" s="8" t="str">
        <f aca="false">IFERROR(INDEX('TRANS'!$B:$B,MATCH($B2006,'TRANS'!$A:$A,0)),IFERROR(INDEX('TRANS'!$B:$B,MATCH(TRIM(SUBSTITUTE($B2006,CHAR(160)," ")),'TRANS'!$D:$D,0)),IFERROR(INDEX('Catalog'!$A:$A,MATCH($B2006,'Catalog'!$B:$B,0)),IFERROR(INDEX('Catalog'!$A:$A,MATCH(TRIM(SUBSTITUTE($B2006,CHAR(160)," ")),'Catalog'!$C:$C,0)),""))))</f>
        <v/>
      </c>
      <c r="H2006" s="8" t="str">
        <f aca="false">IFERROR(INDEX('TRANS'!$C:$C,MATCH($B2006,'TRANS'!$A:$A,0)),IFERROR(INDEX('Catalog'!$B:$B,MATCH($G2006,'Catalog'!$A:$A,0)),$B2006))</f>
        <v>LU3655 0</v>
      </c>
      <c r="I2006" s="8" t="str">
        <f aca="false">IF($G2006="","Unmatched","Matched")</f>
        <v>Unmatched</v>
      </c>
      <c r="J2006" s="8" t="str">
        <f aca="false">IF($G2006&lt;&gt;"",$G2006,$B2006)</f>
        <v>LU3655 0</v>
      </c>
      <c r="K2006" s="8" t="str">
        <f aca="false">IF(COUNTIF($M$1:$M$10,$A2006)&gt;0,"Y","N")</f>
        <v>N</v>
      </c>
    </row>
    <row r="2007" customFormat="false" ht="15" hidden="false" customHeight="true" outlineLevel="0" collapsed="false">
      <c r="A2007" s="8" t="s">
        <v>8</v>
      </c>
      <c r="B2007" s="8" t="s">
        <v>1014</v>
      </c>
      <c r="C2007" s="19" t="n">
        <v>4860</v>
      </c>
      <c r="D2007" s="19" t="n">
        <v>47239.2</v>
      </c>
      <c r="E2007" s="19" t="n">
        <v>2430</v>
      </c>
      <c r="F2007" s="19" t="n">
        <v>23619.6</v>
      </c>
      <c r="G2007" s="8" t="str">
        <f aca="false">IFERROR(INDEX('TRANS'!$B:$B,MATCH($B2007,'TRANS'!$A:$A,0)),IFERROR(INDEX('TRANS'!$B:$B,MATCH(TRIM(SUBSTITUTE($B2007,CHAR(160)," ")),'TRANS'!$D:$D,0)),IFERROR(INDEX('Catalog'!$A:$A,MATCH($B2007,'Catalog'!$B:$B,0)),IFERROR(INDEX('Catalog'!$A:$A,MATCH(TRIM(SUBSTITUTE($B2007,CHAR(160)," ")),'Catalog'!$C:$C,0)),""))))</f>
        <v/>
      </c>
      <c r="H2007" s="8" t="str">
        <f aca="false">IFERROR(INDEX('TRANS'!$C:$C,MATCH($B2007,'TRANS'!$A:$A,0)),IFERROR(INDEX('Catalog'!$B:$B,MATCH($G2007,'Catalog'!$A:$A,0)),$B2007))</f>
        <v>LU366S 0</v>
      </c>
      <c r="I2007" s="8" t="str">
        <f aca="false">IF($G2007="","Unmatched","Matched")</f>
        <v>Unmatched</v>
      </c>
      <c r="J2007" s="8" t="str">
        <f aca="false">IF($G2007&lt;&gt;"",$G2007,$B2007)</f>
        <v>LU366S 0</v>
      </c>
      <c r="K2007" s="8" t="str">
        <f aca="false">IF(COUNTIF($M$1:$M$10,$A2007)&gt;0,"Y","N")</f>
        <v>N</v>
      </c>
    </row>
    <row r="2008" customFormat="false" ht="15" hidden="false" customHeight="true" outlineLevel="0" collapsed="false">
      <c r="A2008" s="8" t="s">
        <v>8</v>
      </c>
      <c r="B2008" s="8" t="s">
        <v>1015</v>
      </c>
      <c r="C2008" s="19" t="n">
        <v>1350</v>
      </c>
      <c r="D2008" s="19" t="n">
        <v>18306</v>
      </c>
      <c r="E2008" s="19" t="n">
        <v>1350</v>
      </c>
      <c r="F2008" s="19" t="n">
        <v>18306</v>
      </c>
      <c r="G2008" s="8" t="str">
        <f aca="false">IFERROR(INDEX('TRANS'!$B:$B,MATCH($B2008,'TRANS'!$A:$A,0)),IFERROR(INDEX('TRANS'!$B:$B,MATCH(TRIM(SUBSTITUTE($B2008,CHAR(160)," ")),'TRANS'!$D:$D,0)),IFERROR(INDEX('Catalog'!$A:$A,MATCH($B2008,'Catalog'!$B:$B,0)),IFERROR(INDEX('Catalog'!$A:$A,MATCH(TRIM(SUBSTITUTE($B2008,CHAR(160)," ")),'Catalog'!$C:$C,0)),""))))</f>
        <v/>
      </c>
      <c r="H2008" s="8" t="str">
        <f aca="false">IFERROR(INDEX('TRANS'!$C:$C,MATCH($B2008,'TRANS'!$A:$A,0)),IFERROR(INDEX('Catalog'!$B:$B,MATCH($G2008,'Catalog'!$A:$A,0)),$B2008))</f>
        <v>LU3677S 0</v>
      </c>
      <c r="I2008" s="8" t="str">
        <f aca="false">IF($G2008="","Unmatched","Matched")</f>
        <v>Unmatched</v>
      </c>
      <c r="J2008" s="8" t="str">
        <f aca="false">IF($G2008&lt;&gt;"",$G2008,$B2008)</f>
        <v>LU3677S 0</v>
      </c>
      <c r="K2008" s="8" t="str">
        <f aca="false">IF(COUNTIF($M$1:$M$10,$A2008)&gt;0,"Y","N")</f>
        <v>N</v>
      </c>
    </row>
    <row r="2009" customFormat="false" ht="15" hidden="false" customHeight="true" outlineLevel="0" collapsed="false">
      <c r="A2009" s="8" t="s">
        <v>8</v>
      </c>
      <c r="B2009" s="8" t="s">
        <v>1016</v>
      </c>
      <c r="C2009" s="19" t="n">
        <v>14000</v>
      </c>
      <c r="D2009" s="19" t="n">
        <v>105840</v>
      </c>
      <c r="E2009" s="19" t="n">
        <v>6000</v>
      </c>
      <c r="F2009" s="19" t="n">
        <v>45360</v>
      </c>
      <c r="G2009" s="8" t="str">
        <f aca="false">IFERROR(INDEX('TRANS'!$B:$B,MATCH($B2009,'TRANS'!$A:$A,0)),IFERROR(INDEX('TRANS'!$B:$B,MATCH(TRIM(SUBSTITUTE($B2009,CHAR(160)," ")),'TRANS'!$D:$D,0)),IFERROR(INDEX('Catalog'!$A:$A,MATCH($B2009,'Catalog'!$B:$B,0)),IFERROR(INDEX('Catalog'!$A:$A,MATCH(TRIM(SUBSTITUTE($B2009,CHAR(160)," ")),'Catalog'!$C:$C,0)),""))))</f>
        <v/>
      </c>
      <c r="H2009" s="8" t="str">
        <f aca="false">IFERROR(INDEX('TRANS'!$C:$C,MATCH($B2009,'TRANS'!$A:$A,0)),IFERROR(INDEX('Catalog'!$B:$B,MATCH($G2009,'Catalog'!$A:$A,0)),$B2009))</f>
        <v>LU370 0</v>
      </c>
      <c r="I2009" s="8" t="str">
        <f aca="false">IF($G2009="","Unmatched","Matched")</f>
        <v>Unmatched</v>
      </c>
      <c r="J2009" s="8" t="str">
        <f aca="false">IF($G2009&lt;&gt;"",$G2009,$B2009)</f>
        <v>LU370 0</v>
      </c>
      <c r="K2009" s="8" t="str">
        <f aca="false">IF(COUNTIF($M$1:$M$10,$A2009)&gt;0,"Y","N")</f>
        <v>N</v>
      </c>
    </row>
    <row r="2010" customFormat="false" ht="15" hidden="false" customHeight="true" outlineLevel="0" collapsed="false">
      <c r="A2010" s="8" t="s">
        <v>8</v>
      </c>
      <c r="B2010" s="8" t="s">
        <v>1017</v>
      </c>
      <c r="C2010" s="19" t="n">
        <v>9600</v>
      </c>
      <c r="D2010" s="19" t="n">
        <v>93888</v>
      </c>
      <c r="E2010" s="19" t="n">
        <v>4800</v>
      </c>
      <c r="F2010" s="19" t="n">
        <v>46944</v>
      </c>
      <c r="G2010" s="8" t="str">
        <f aca="false">IFERROR(INDEX('TRANS'!$B:$B,MATCH($B2010,'TRANS'!$A:$A,0)),IFERROR(INDEX('TRANS'!$B:$B,MATCH(TRIM(SUBSTITUTE($B2010,CHAR(160)," ")),'TRANS'!$D:$D,0)),IFERROR(INDEX('Catalog'!$A:$A,MATCH($B2010,'Catalog'!$B:$B,0)),IFERROR(INDEX('Catalog'!$A:$A,MATCH(TRIM(SUBSTITUTE($B2010,CHAR(160)," ")),'Catalog'!$C:$C,0)),""))))</f>
        <v/>
      </c>
      <c r="H2010" s="8" t="str">
        <f aca="false">IFERROR(INDEX('TRANS'!$C:$C,MATCH($B2010,'TRANS'!$A:$A,0)),IFERROR(INDEX('Catalog'!$B:$B,MATCH($G2010,'Catalog'!$A:$A,0)),$B2010))</f>
        <v>LU372 0</v>
      </c>
      <c r="I2010" s="8" t="str">
        <f aca="false">IF($G2010="","Unmatched","Matched")</f>
        <v>Unmatched</v>
      </c>
      <c r="J2010" s="8" t="str">
        <f aca="false">IF($G2010&lt;&gt;"",$G2010,$B2010)</f>
        <v>LU372 0</v>
      </c>
      <c r="K2010" s="8" t="str">
        <f aca="false">IF(COUNTIF($M$1:$M$10,$A2010)&gt;0,"Y","N")</f>
        <v>N</v>
      </c>
    </row>
    <row r="2011" customFormat="false" ht="15" hidden="false" customHeight="true" outlineLevel="0" collapsed="false">
      <c r="A2011" s="8" t="s">
        <v>8</v>
      </c>
      <c r="B2011" s="8" t="s">
        <v>1018</v>
      </c>
      <c r="C2011" s="19" t="n">
        <v>9000</v>
      </c>
      <c r="D2011" s="19" t="n">
        <v>88020</v>
      </c>
      <c r="E2011" s="19" t="n">
        <v>6000</v>
      </c>
      <c r="F2011" s="19" t="n">
        <v>58680</v>
      </c>
      <c r="G2011" s="8" t="str">
        <f aca="false">IFERROR(INDEX('TRANS'!$B:$B,MATCH($B2011,'TRANS'!$A:$A,0)),IFERROR(INDEX('TRANS'!$B:$B,MATCH(TRIM(SUBSTITUTE($B2011,CHAR(160)," ")),'TRANS'!$D:$D,0)),IFERROR(INDEX('Catalog'!$A:$A,MATCH($B2011,'Catalog'!$B:$B,0)),IFERROR(INDEX('Catalog'!$A:$A,MATCH(TRIM(SUBSTITUTE($B2011,CHAR(160)," ")),'Catalog'!$C:$C,0)),""))))</f>
        <v/>
      </c>
      <c r="H2011" s="8" t="str">
        <f aca="false">IFERROR(INDEX('TRANS'!$C:$C,MATCH($B2011,'TRANS'!$A:$A,0)),IFERROR(INDEX('Catalog'!$B:$B,MATCH($G2011,'Catalog'!$A:$A,0)),$B2011))</f>
        <v>LU374 0</v>
      </c>
      <c r="I2011" s="8" t="str">
        <f aca="false">IF($G2011="","Unmatched","Matched")</f>
        <v>Unmatched</v>
      </c>
      <c r="J2011" s="8" t="str">
        <f aca="false">IF($G2011&lt;&gt;"",$G2011,$B2011)</f>
        <v>LU374 0</v>
      </c>
      <c r="K2011" s="8" t="str">
        <f aca="false">IF(COUNTIF($M$1:$M$10,$A2011)&gt;0,"Y","N")</f>
        <v>N</v>
      </c>
    </row>
    <row r="2012" customFormat="false" ht="15" hidden="false" customHeight="true" outlineLevel="0" collapsed="false">
      <c r="A2012" s="8" t="s">
        <v>8</v>
      </c>
      <c r="B2012" s="8" t="s">
        <v>1019</v>
      </c>
      <c r="C2012" s="19" t="n">
        <v>3200</v>
      </c>
      <c r="D2012" s="19" t="n">
        <v>45856</v>
      </c>
      <c r="E2012" s="19" t="n">
        <v>1600</v>
      </c>
      <c r="F2012" s="19" t="n">
        <v>22928</v>
      </c>
      <c r="G2012" s="8" t="str">
        <f aca="false">IFERROR(INDEX('TRANS'!$B:$B,MATCH($B2012,'TRANS'!$A:$A,0)),IFERROR(INDEX('TRANS'!$B:$B,MATCH(TRIM(SUBSTITUTE($B2012,CHAR(160)," ")),'TRANS'!$D:$D,0)),IFERROR(INDEX('Catalog'!$A:$A,MATCH($B2012,'Catalog'!$B:$B,0)),IFERROR(INDEX('Catalog'!$A:$A,MATCH(TRIM(SUBSTITUTE($B2012,CHAR(160)," ")),'Catalog'!$C:$C,0)),""))))</f>
        <v/>
      </c>
      <c r="H2012" s="8" t="str">
        <f aca="false">IFERROR(INDEX('TRANS'!$C:$C,MATCH($B2012,'TRANS'!$A:$A,0)),IFERROR(INDEX('Catalog'!$B:$B,MATCH($G2012,'Catalog'!$A:$A,0)),$B2012))</f>
        <v>LULF370 0</v>
      </c>
      <c r="I2012" s="8" t="str">
        <f aca="false">IF($G2012="","Unmatched","Matched")</f>
        <v>Unmatched</v>
      </c>
      <c r="J2012" s="8" t="str">
        <f aca="false">IF($G2012&lt;&gt;"",$G2012,$B2012)</f>
        <v>LULF370 0</v>
      </c>
      <c r="K2012" s="8" t="str">
        <f aca="false">IF(COUNTIF($M$1:$M$10,$A2012)&gt;0,"Y","N")</f>
        <v>N</v>
      </c>
    </row>
    <row r="2013" customFormat="false" ht="15" hidden="false" customHeight="true" outlineLevel="0" collapsed="false">
      <c r="A2013" s="8" t="s">
        <v>8</v>
      </c>
      <c r="B2013" s="8" t="s">
        <v>1020</v>
      </c>
      <c r="C2013" s="19" t="n">
        <v>4200</v>
      </c>
      <c r="D2013" s="19" t="n">
        <v>61824</v>
      </c>
      <c r="E2013" s="19" t="n">
        <v>2800</v>
      </c>
      <c r="F2013" s="19" t="n">
        <v>41216</v>
      </c>
      <c r="G2013" s="8" t="str">
        <f aca="false">IFERROR(INDEX('TRANS'!$B:$B,MATCH($B2013,'TRANS'!$A:$A,0)),IFERROR(INDEX('TRANS'!$B:$B,MATCH(TRIM(SUBSTITUTE($B2013,CHAR(160)," ")),'TRANS'!$D:$D,0)),IFERROR(INDEX('Catalog'!$A:$A,MATCH($B2013,'Catalog'!$B:$B,0)),IFERROR(INDEX('Catalog'!$A:$A,MATCH(TRIM(SUBSTITUTE($B2013,CHAR(160)," ")),'Catalog'!$C:$C,0)),""))))</f>
        <v/>
      </c>
      <c r="H2013" s="8" t="str">
        <f aca="false">IFERROR(INDEX('TRANS'!$C:$C,MATCH($B2013,'TRANS'!$A:$A,0)),IFERROR(INDEX('Catalog'!$B:$B,MATCH($G2013,'Catalog'!$A:$A,0)),$B2013))</f>
        <v>LULF373 0</v>
      </c>
      <c r="I2013" s="8" t="str">
        <f aca="false">IF($G2013="","Unmatched","Matched")</f>
        <v>Unmatched</v>
      </c>
      <c r="J2013" s="8" t="str">
        <f aca="false">IF($G2013&lt;&gt;"",$G2013,$B2013)</f>
        <v>LULF373 0</v>
      </c>
      <c r="K2013" s="8" t="str">
        <f aca="false">IF(COUNTIF($M$1:$M$10,$A2013)&gt;0,"Y","N")</f>
        <v>N</v>
      </c>
    </row>
    <row r="2014" customFormat="false" ht="15" hidden="false" customHeight="true" outlineLevel="0" collapsed="false">
      <c r="A2014" s="8" t="s">
        <v>8</v>
      </c>
      <c r="B2014" s="8" t="s">
        <v>187</v>
      </c>
      <c r="C2014" s="19" t="n">
        <v>5400</v>
      </c>
      <c r="D2014" s="19" t="n">
        <v>47844</v>
      </c>
      <c r="E2014" s="19" t="n">
        <v>1800</v>
      </c>
      <c r="F2014" s="19" t="n">
        <v>15948</v>
      </c>
      <c r="G2014" s="8" t="str">
        <f aca="false">IFERROR(INDEX('TRANS'!$B:$B,MATCH($B2014,'TRANS'!$A:$A,0)),IFERROR(INDEX('TRANS'!$B:$B,MATCH(TRIM(SUBSTITUTE($B2014,CHAR(160)," ")),'TRANS'!$D:$D,0)),IFERROR(INDEX('Catalog'!$A:$A,MATCH($B2014,'Catalog'!$B:$B,0)),IFERROR(INDEX('Catalog'!$A:$A,MATCH(TRIM(SUBSTITUTE($B2014,CHAR(160)," ")),'Catalog'!$C:$C,0)),""))))</f>
        <v/>
      </c>
      <c r="H2014" s="8" t="str">
        <f aca="false">IFERROR(INDEX('TRANS'!$C:$C,MATCH($B2014,'TRANS'!$A:$A,0)),IFERROR(INDEX('Catalog'!$B:$B,MATCH($G2014,'Catalog'!$A:$A,0)),$B2014))</f>
        <v>LUPD340 0</v>
      </c>
      <c r="I2014" s="8" t="str">
        <f aca="false">IF($G2014="","Unmatched","Matched")</f>
        <v>Unmatched</v>
      </c>
      <c r="J2014" s="8" t="str">
        <f aca="false">IF($G2014&lt;&gt;"",$G2014,$B2014)</f>
        <v>LUPD340 0</v>
      </c>
      <c r="K2014" s="8" t="str">
        <f aca="false">IF(COUNTIF($M$1:$M$10,$A2014)&gt;0,"Y","N")</f>
        <v>N</v>
      </c>
    </row>
    <row r="2015" customFormat="false" ht="15" hidden="false" customHeight="true" outlineLevel="0" collapsed="false">
      <c r="A2015" s="8" t="s">
        <v>8</v>
      </c>
      <c r="B2015" s="8" t="s">
        <v>1021</v>
      </c>
      <c r="C2015" s="19" t="n">
        <v>4152</v>
      </c>
      <c r="D2015" s="19" t="n">
        <v>73822.56</v>
      </c>
      <c r="E2015" s="19" t="n">
        <v>2400</v>
      </c>
      <c r="F2015" s="19" t="n">
        <v>42672</v>
      </c>
      <c r="G2015" s="8" t="str">
        <f aca="false">IFERROR(INDEX('TRANS'!$B:$B,MATCH($B2015,'TRANS'!$A:$A,0)),IFERROR(INDEX('TRANS'!$B:$B,MATCH(TRIM(SUBSTITUTE($B2015,CHAR(160)," ")),'TRANS'!$D:$D,0)),IFERROR(INDEX('Catalog'!$A:$A,MATCH($B2015,'Catalog'!$B:$B,0)),IFERROR(INDEX('Catalog'!$A:$A,MATCH(TRIM(SUBSTITUTE($B2015,CHAR(160)," ")),'Catalog'!$C:$C,0)),""))))</f>
        <v/>
      </c>
      <c r="H2015" s="8" t="str">
        <f aca="false">IFERROR(INDEX('TRANS'!$C:$C,MATCH($B2015,'TRANS'!$A:$A,0)),IFERROR(INDEX('Catalog'!$B:$B,MATCH($G2015,'Catalog'!$A:$A,0)),$B2015))</f>
        <v>LUPD342 0</v>
      </c>
      <c r="I2015" s="8" t="str">
        <f aca="false">IF($G2015="","Unmatched","Matched")</f>
        <v>Unmatched</v>
      </c>
      <c r="J2015" s="8" t="str">
        <f aca="false">IF($G2015&lt;&gt;"",$G2015,$B2015)</f>
        <v>LUPD342 0</v>
      </c>
      <c r="K2015" s="8" t="str">
        <f aca="false">IF(COUNTIF($M$1:$M$10,$A2015)&gt;0,"Y","N")</f>
        <v>N</v>
      </c>
    </row>
    <row r="2016" customFormat="false" ht="15" hidden="false" customHeight="true" outlineLevel="0" collapsed="false">
      <c r="A2016" s="8" t="s">
        <v>8</v>
      </c>
      <c r="B2016" s="8" t="s">
        <v>177</v>
      </c>
      <c r="C2016" s="19" t="n">
        <v>7000</v>
      </c>
      <c r="D2016" s="19" t="n">
        <v>39270</v>
      </c>
      <c r="E2016" s="19" t="n">
        <v>3275</v>
      </c>
      <c r="F2016" s="19" t="n">
        <v>18372.75</v>
      </c>
      <c r="G2016" s="8" t="str">
        <f aca="false">IFERROR(INDEX('TRANS'!$B:$B,MATCH($B2016,'TRANS'!$A:$A,0)),IFERROR(INDEX('TRANS'!$B:$B,MATCH(TRIM(SUBSTITUTE($B2016,CHAR(160)," ")),'TRANS'!$D:$D,0)),IFERROR(INDEX('Catalog'!$A:$A,MATCH($B2016,'Catalog'!$B:$B,0)),IFERROR(INDEX('Catalog'!$A:$A,MATCH(TRIM(SUBSTITUTE($B2016,CHAR(160)," ")),'Catalog'!$C:$C,0)),""))))</f>
        <v/>
      </c>
      <c r="H2016" s="8" t="str">
        <f aca="false">IFERROR(INDEX('TRANS'!$C:$C,MATCH($B2016,'TRANS'!$A:$A,0)),IFERROR(INDEX('Catalog'!$B:$B,MATCH($G2016,'Catalog'!$A:$A,0)),$B2016))</f>
        <v>LUPD344 0</v>
      </c>
      <c r="I2016" s="8" t="str">
        <f aca="false">IF($G2016="","Unmatched","Matched")</f>
        <v>Unmatched</v>
      </c>
      <c r="J2016" s="8" t="str">
        <f aca="false">IF($G2016&lt;&gt;"",$G2016,$B2016)</f>
        <v>LUPD344 0</v>
      </c>
      <c r="K2016" s="8" t="str">
        <f aca="false">IF(COUNTIF($M$1:$M$10,$A2016)&gt;0,"Y","N")</f>
        <v>N</v>
      </c>
    </row>
    <row r="2017" customFormat="false" ht="15" hidden="false" customHeight="true" outlineLevel="0" collapsed="false">
      <c r="A2017" s="8" t="s">
        <v>10</v>
      </c>
      <c r="B2017" s="8" t="s">
        <v>1022</v>
      </c>
      <c r="C2017" s="19" t="n">
        <v>7450</v>
      </c>
      <c r="D2017" s="19" t="n">
        <v>422328</v>
      </c>
      <c r="E2017" s="19" t="n">
        <v>5000</v>
      </c>
      <c r="F2017" s="19" t="n">
        <v>272050</v>
      </c>
      <c r="G2017" s="8" t="str">
        <f aca="false">IFERROR(INDEX('TRANS'!$B:$B,MATCH($B2017,'TRANS'!$A:$A,0)),IFERROR(INDEX('TRANS'!$B:$B,MATCH(TRIM(SUBSTITUTE($B2017,CHAR(160)," ")),'TRANS'!$D:$D,0)),IFERROR(INDEX('Catalog'!$A:$A,MATCH($B2017,'Catalog'!$B:$B,0)),IFERROR(INDEX('Catalog'!$A:$A,MATCH(TRIM(SUBSTITUTE($B2017,CHAR(160)," ")),'Catalog'!$C:$C,0)),""))))</f>
        <v/>
      </c>
      <c r="H2017" s="8" t="str">
        <f aca="false">IFERROR(INDEX('TRANS'!$C:$C,MATCH($B2017,'TRANS'!$A:$A,0)),IFERROR(INDEX('Catalog'!$B:$B,MATCH($G2017,'Catalog'!$A:$A,0)),$B2017))</f>
        <v>K078 L</v>
      </c>
      <c r="I2017" s="8" t="str">
        <f aca="false">IF($G2017="","Unmatched","Matched")</f>
        <v>Unmatched</v>
      </c>
      <c r="J2017" s="8" t="str">
        <f aca="false">IF($G2017&lt;&gt;"",$G2017,$B2017)</f>
        <v>K078 L</v>
      </c>
      <c r="K2017" s="8" t="str">
        <f aca="false">IF(COUNTIF($M$1:$M$10,$A2017)&gt;0,"Y","N")</f>
        <v>N</v>
      </c>
    </row>
    <row r="2018" customFormat="false" ht="15" hidden="false" customHeight="true" outlineLevel="0" collapsed="false">
      <c r="A2018" s="8" t="s">
        <v>10</v>
      </c>
      <c r="B2018" s="8" t="s">
        <v>1023</v>
      </c>
      <c r="C2018" s="19" t="n">
        <v>3800</v>
      </c>
      <c r="D2018" s="19" t="n">
        <v>215142.5</v>
      </c>
      <c r="E2018" s="19" t="n">
        <v>2200</v>
      </c>
      <c r="F2018" s="19" t="n">
        <v>119702</v>
      </c>
      <c r="G2018" s="8" t="str">
        <f aca="false">IFERROR(INDEX('TRANS'!$B:$B,MATCH($B2018,'TRANS'!$A:$A,0)),IFERROR(INDEX('TRANS'!$B:$B,MATCH(TRIM(SUBSTITUTE($B2018,CHAR(160)," ")),'TRANS'!$D:$D,0)),IFERROR(INDEX('Catalog'!$A:$A,MATCH($B2018,'Catalog'!$B:$B,0)),IFERROR(INDEX('Catalog'!$A:$A,MATCH(TRIM(SUBSTITUTE($B2018,CHAR(160)," ")),'Catalog'!$C:$C,0)),""))))</f>
        <v/>
      </c>
      <c r="H2018" s="8" t="str">
        <f aca="false">IFERROR(INDEX('TRANS'!$C:$C,MATCH($B2018,'TRANS'!$A:$A,0)),IFERROR(INDEX('Catalog'!$B:$B,MATCH($G2018,'Catalog'!$A:$A,0)),$B2018))</f>
        <v>K078 M</v>
      </c>
      <c r="I2018" s="8" t="str">
        <f aca="false">IF($G2018="","Unmatched","Matched")</f>
        <v>Unmatched</v>
      </c>
      <c r="J2018" s="8" t="str">
        <f aca="false">IF($G2018&lt;&gt;"",$G2018,$B2018)</f>
        <v>K078 M</v>
      </c>
      <c r="K2018" s="8" t="str">
        <f aca="false">IF(COUNTIF($M$1:$M$10,$A2018)&gt;0,"Y","N")</f>
        <v>N</v>
      </c>
    </row>
    <row r="2019" customFormat="false" ht="15" hidden="false" customHeight="true" outlineLevel="0" collapsed="false">
      <c r="A2019" s="8" t="s">
        <v>10</v>
      </c>
      <c r="B2019" s="8" t="s">
        <v>1024</v>
      </c>
      <c r="C2019" s="19" t="n">
        <v>5850</v>
      </c>
      <c r="D2019" s="19" t="n">
        <v>332000</v>
      </c>
      <c r="E2019" s="19" t="n">
        <v>3700</v>
      </c>
      <c r="F2019" s="19" t="n">
        <v>201317</v>
      </c>
      <c r="G2019" s="8" t="str">
        <f aca="false">IFERROR(INDEX('TRANS'!$B:$B,MATCH($B2019,'TRANS'!$A:$A,0)),IFERROR(INDEX('TRANS'!$B:$B,MATCH(TRIM(SUBSTITUTE($B2019,CHAR(160)," ")),'TRANS'!$D:$D,0)),IFERROR(INDEX('Catalog'!$A:$A,MATCH($B2019,'Catalog'!$B:$B,0)),IFERROR(INDEX('Catalog'!$A:$A,MATCH(TRIM(SUBSTITUTE($B2019,CHAR(160)," ")),'Catalog'!$C:$C,0)),""))))</f>
        <v/>
      </c>
      <c r="H2019" s="8" t="str">
        <f aca="false">IFERROR(INDEX('TRANS'!$C:$C,MATCH($B2019,'TRANS'!$A:$A,0)),IFERROR(INDEX('Catalog'!$B:$B,MATCH($G2019,'Catalog'!$A:$A,0)),$B2019))</f>
        <v>K078 XL</v>
      </c>
      <c r="I2019" s="8" t="str">
        <f aca="false">IF($G2019="","Unmatched","Matched")</f>
        <v>Unmatched</v>
      </c>
      <c r="J2019" s="8" t="str">
        <f aca="false">IF($G2019&lt;&gt;"",$G2019,$B2019)</f>
        <v>K078 XL</v>
      </c>
      <c r="K2019" s="8" t="str">
        <f aca="false">IF(COUNTIF($M$1:$M$10,$A2019)&gt;0,"Y","N")</f>
        <v>N</v>
      </c>
    </row>
    <row r="2020" customFormat="false" ht="15" hidden="false" customHeight="true" outlineLevel="0" collapsed="false">
      <c r="A2020" s="8" t="s">
        <v>10</v>
      </c>
      <c r="B2020" s="8" t="s">
        <v>1025</v>
      </c>
      <c r="C2020" s="19" t="n">
        <v>2565</v>
      </c>
      <c r="D2020" s="19" t="n">
        <v>146555.55</v>
      </c>
      <c r="E2020" s="19" t="n">
        <v>1305</v>
      </c>
      <c r="F2020" s="19" t="n">
        <v>71005.05</v>
      </c>
      <c r="G2020" s="8" t="str">
        <f aca="false">IFERROR(INDEX('TRANS'!$B:$B,MATCH($B2020,'TRANS'!$A:$A,0)),IFERROR(INDEX('TRANS'!$B:$B,MATCH(TRIM(SUBSTITUTE($B2020,CHAR(160)," ")),'TRANS'!$D:$D,0)),IFERROR(INDEX('Catalog'!$A:$A,MATCH($B2020,'Catalog'!$B:$B,0)),IFERROR(INDEX('Catalog'!$A:$A,MATCH(TRIM(SUBSTITUTE($B2020,CHAR(160)," ")),'Catalog'!$C:$C,0)),""))))</f>
        <v/>
      </c>
      <c r="H2020" s="8" t="str">
        <f aca="false">IFERROR(INDEX('TRANS'!$C:$C,MATCH($B2020,'TRANS'!$A:$A,0)),IFERROR(INDEX('Catalog'!$B:$B,MATCH($G2020,'Catalog'!$A:$A,0)),$B2020))</f>
        <v>K078 XXL</v>
      </c>
      <c r="I2020" s="8" t="str">
        <f aca="false">IF($G2020="","Unmatched","Matched")</f>
        <v>Unmatched</v>
      </c>
      <c r="J2020" s="8" t="str">
        <f aca="false">IF($G2020&lt;&gt;"",$G2020,$B2020)</f>
        <v>K078 XXL</v>
      </c>
      <c r="K2020" s="8" t="str">
        <f aca="false">IF(COUNTIF($M$1:$M$10,$A2020)&gt;0,"Y","N")</f>
        <v>N</v>
      </c>
    </row>
    <row r="2021" customFormat="false" ht="15" hidden="false" customHeight="true" outlineLevel="0" collapsed="false">
      <c r="A2021" s="8" t="s">
        <v>10</v>
      </c>
      <c r="B2021" s="8" t="s">
        <v>1026</v>
      </c>
      <c r="C2021" s="19" t="n">
        <v>1400</v>
      </c>
      <c r="D2021" s="19" t="n">
        <v>62020</v>
      </c>
      <c r="E2021" s="19" t="n">
        <v>1000</v>
      </c>
      <c r="F2021" s="19" t="n">
        <v>44300</v>
      </c>
      <c r="G2021" s="8" t="str">
        <f aca="false">IFERROR(INDEX('TRANS'!$B:$B,MATCH($B2021,'TRANS'!$A:$A,0)),IFERROR(INDEX('TRANS'!$B:$B,MATCH(TRIM(SUBSTITUTE($B2021,CHAR(160)," ")),'TRANS'!$D:$D,0)),IFERROR(INDEX('Catalog'!$A:$A,MATCH($B2021,'Catalog'!$B:$B,0)),IFERROR(INDEX('Catalog'!$A:$A,MATCH(TRIM(SUBSTITUTE($B2021,CHAR(160)," ")),'Catalog'!$C:$C,0)),""))))</f>
        <v/>
      </c>
      <c r="H2021" s="8" t="str">
        <f aca="false">IFERROR(INDEX('TRANS'!$C:$C,MATCH($B2021,'TRANS'!$A:$A,0)),IFERROR(INDEX('Catalog'!$B:$B,MATCH($G2021,'Catalog'!$A:$A,0)),$B2021))</f>
        <v>K11U L</v>
      </c>
      <c r="I2021" s="8" t="str">
        <f aca="false">IF($G2021="","Unmatched","Matched")</f>
        <v>Unmatched</v>
      </c>
      <c r="J2021" s="8" t="str">
        <f aca="false">IF($G2021&lt;&gt;"",$G2021,$B2021)</f>
        <v>K11U L</v>
      </c>
      <c r="K2021" s="8" t="str">
        <f aca="false">IF(COUNTIF($M$1:$M$10,$A2021)&gt;0,"Y","N")</f>
        <v>N</v>
      </c>
    </row>
    <row r="2022" customFormat="false" ht="15" hidden="false" customHeight="true" outlineLevel="0" collapsed="false">
      <c r="A2022" s="8" t="s">
        <v>10</v>
      </c>
      <c r="B2022" s="8" t="s">
        <v>1027</v>
      </c>
      <c r="C2022" s="19" t="n">
        <v>950</v>
      </c>
      <c r="D2022" s="19" t="n">
        <v>42085</v>
      </c>
      <c r="E2022" s="19" t="n">
        <v>650</v>
      </c>
      <c r="F2022" s="19" t="n">
        <v>28795</v>
      </c>
      <c r="G2022" s="8" t="str">
        <f aca="false">IFERROR(INDEX('TRANS'!$B:$B,MATCH($B2022,'TRANS'!$A:$A,0)),IFERROR(INDEX('TRANS'!$B:$B,MATCH(TRIM(SUBSTITUTE($B2022,CHAR(160)," ")),'TRANS'!$D:$D,0)),IFERROR(INDEX('Catalog'!$A:$A,MATCH($B2022,'Catalog'!$B:$B,0)),IFERROR(INDEX('Catalog'!$A:$A,MATCH(TRIM(SUBSTITUTE($B2022,CHAR(160)," ")),'Catalog'!$C:$C,0)),""))))</f>
        <v/>
      </c>
      <c r="H2022" s="8" t="str">
        <f aca="false">IFERROR(INDEX('TRANS'!$C:$C,MATCH($B2022,'TRANS'!$A:$A,0)),IFERROR(INDEX('Catalog'!$B:$B,MATCH($G2022,'Catalog'!$A:$A,0)),$B2022))</f>
        <v>K11U M</v>
      </c>
      <c r="I2022" s="8" t="str">
        <f aca="false">IF($G2022="","Unmatched","Matched")</f>
        <v>Unmatched</v>
      </c>
      <c r="J2022" s="8" t="str">
        <f aca="false">IF($G2022&lt;&gt;"",$G2022,$B2022)</f>
        <v>K11U M</v>
      </c>
      <c r="K2022" s="8" t="str">
        <f aca="false">IF(COUNTIF($M$1:$M$10,$A2022)&gt;0,"Y","N")</f>
        <v>N</v>
      </c>
    </row>
    <row r="2023" customFormat="false" ht="15" hidden="false" customHeight="true" outlineLevel="0" collapsed="false">
      <c r="A2023" s="8" t="s">
        <v>10</v>
      </c>
      <c r="B2023" s="8" t="s">
        <v>1028</v>
      </c>
      <c r="C2023" s="19" t="n">
        <v>1300</v>
      </c>
      <c r="D2023" s="19" t="n">
        <v>57590</v>
      </c>
      <c r="E2023" s="19" t="n">
        <v>900</v>
      </c>
      <c r="F2023" s="19" t="n">
        <v>39870</v>
      </c>
      <c r="G2023" s="8" t="str">
        <f aca="false">IFERROR(INDEX('TRANS'!$B:$B,MATCH($B2023,'TRANS'!$A:$A,0)),IFERROR(INDEX('TRANS'!$B:$B,MATCH(TRIM(SUBSTITUTE($B2023,CHAR(160)," ")),'TRANS'!$D:$D,0)),IFERROR(INDEX('Catalog'!$A:$A,MATCH($B2023,'Catalog'!$B:$B,0)),IFERROR(INDEX('Catalog'!$A:$A,MATCH(TRIM(SUBSTITUTE($B2023,CHAR(160)," ")),'Catalog'!$C:$C,0)),""))))</f>
        <v/>
      </c>
      <c r="H2023" s="8" t="str">
        <f aca="false">IFERROR(INDEX('TRANS'!$C:$C,MATCH($B2023,'TRANS'!$A:$A,0)),IFERROR(INDEX('Catalog'!$B:$B,MATCH($G2023,'Catalog'!$A:$A,0)),$B2023))</f>
        <v>K11U XL</v>
      </c>
      <c r="I2023" s="8" t="str">
        <f aca="false">IF($G2023="","Unmatched","Matched")</f>
        <v>Unmatched</v>
      </c>
      <c r="J2023" s="8" t="str">
        <f aca="false">IF($G2023&lt;&gt;"",$G2023,$B2023)</f>
        <v>K11U XL</v>
      </c>
      <c r="K2023" s="8" t="str">
        <f aca="false">IF(COUNTIF($M$1:$M$10,$A2023)&gt;0,"Y","N")</f>
        <v>N</v>
      </c>
    </row>
    <row r="2024" customFormat="false" ht="15" hidden="false" customHeight="true" outlineLevel="0" collapsed="false">
      <c r="A2024" s="8" t="s">
        <v>10</v>
      </c>
      <c r="B2024" s="8" t="s">
        <v>1029</v>
      </c>
      <c r="C2024" s="19" t="n">
        <v>945</v>
      </c>
      <c r="D2024" s="19" t="n">
        <v>41863.5</v>
      </c>
      <c r="E2024" s="19" t="n">
        <v>720</v>
      </c>
      <c r="F2024" s="19" t="n">
        <v>31896</v>
      </c>
      <c r="G2024" s="8" t="str">
        <f aca="false">IFERROR(INDEX('TRANS'!$B:$B,MATCH($B2024,'TRANS'!$A:$A,0)),IFERROR(INDEX('TRANS'!$B:$B,MATCH(TRIM(SUBSTITUTE($B2024,CHAR(160)," ")),'TRANS'!$D:$D,0)),IFERROR(INDEX('Catalog'!$A:$A,MATCH($B2024,'Catalog'!$B:$B,0)),IFERROR(INDEX('Catalog'!$A:$A,MATCH(TRIM(SUBSTITUTE($B2024,CHAR(160)," ")),'Catalog'!$C:$C,0)),""))))</f>
        <v/>
      </c>
      <c r="H2024" s="8" t="str">
        <f aca="false">IFERROR(INDEX('TRANS'!$C:$C,MATCH($B2024,'TRANS'!$A:$A,0)),IFERROR(INDEX('Catalog'!$B:$B,MATCH($G2024,'Catalog'!$A:$A,0)),$B2024))</f>
        <v>K11U XXL</v>
      </c>
      <c r="I2024" s="8" t="str">
        <f aca="false">IF($G2024="","Unmatched","Matched")</f>
        <v>Unmatched</v>
      </c>
      <c r="J2024" s="8" t="str">
        <f aca="false">IF($G2024&lt;&gt;"",$G2024,$B2024)</f>
        <v>K11U XXL</v>
      </c>
      <c r="K2024" s="8" t="str">
        <f aca="false">IF(COUNTIF($M$1:$M$10,$A2024)&gt;0,"Y","N")</f>
        <v>N</v>
      </c>
    </row>
    <row r="2025" customFormat="false" ht="15" hidden="false" customHeight="true" outlineLevel="0" collapsed="false">
      <c r="A2025" s="8" t="s">
        <v>10</v>
      </c>
      <c r="B2025" s="8" t="s">
        <v>1030</v>
      </c>
      <c r="C2025" s="19" t="n">
        <v>7320</v>
      </c>
      <c r="D2025" s="19" t="n">
        <v>92964</v>
      </c>
      <c r="E2025" s="19" t="n">
        <v>4200</v>
      </c>
      <c r="F2025" s="19" t="n">
        <v>53340</v>
      </c>
      <c r="G2025" s="8" t="str">
        <f aca="false">IFERROR(INDEX('TRANS'!$B:$B,MATCH($B2025,'TRANS'!$A:$A,0)),IFERROR(INDEX('TRANS'!$B:$B,MATCH(TRIM(SUBSTITUTE($B2025,CHAR(160)," ")),'TRANS'!$D:$D,0)),IFERROR(INDEX('Catalog'!$A:$A,MATCH($B2025,'Catalog'!$B:$B,0)),IFERROR(INDEX('Catalog'!$A:$A,MATCH(TRIM(SUBSTITUTE($B2025,CHAR(160)," ")),'Catalog'!$C:$C,0)),""))))</f>
        <v/>
      </c>
      <c r="H2025" s="8" t="str">
        <f aca="false">IFERROR(INDEX('TRANS'!$C:$C,MATCH($B2025,'TRANS'!$A:$A,0)),IFERROR(INDEX('Catalog'!$B:$B,MATCH($G2025,'Catalog'!$A:$A,0)),$B2025))</f>
        <v>K35 L</v>
      </c>
      <c r="I2025" s="8" t="str">
        <f aca="false">IF($G2025="","Unmatched","Matched")</f>
        <v>Unmatched</v>
      </c>
      <c r="J2025" s="8" t="str">
        <f aca="false">IF($G2025&lt;&gt;"",$G2025,$B2025)</f>
        <v>K35 L</v>
      </c>
      <c r="K2025" s="8" t="str">
        <f aca="false">IF(COUNTIF($M$1:$M$10,$A2025)&gt;0,"Y","N")</f>
        <v>N</v>
      </c>
    </row>
    <row r="2026" customFormat="false" ht="15" hidden="false" customHeight="true" outlineLevel="0" collapsed="false">
      <c r="A2026" s="8" t="s">
        <v>10</v>
      </c>
      <c r="B2026" s="8" t="s">
        <v>1031</v>
      </c>
      <c r="C2026" s="19" t="n">
        <v>4920</v>
      </c>
      <c r="D2026" s="19" t="n">
        <v>62484</v>
      </c>
      <c r="E2026" s="19" t="n">
        <v>3720</v>
      </c>
      <c r="F2026" s="19" t="n">
        <v>47244</v>
      </c>
      <c r="G2026" s="8" t="str">
        <f aca="false">IFERROR(INDEX('TRANS'!$B:$B,MATCH($B2026,'TRANS'!$A:$A,0)),IFERROR(INDEX('TRANS'!$B:$B,MATCH(TRIM(SUBSTITUTE($B2026,CHAR(160)," ")),'TRANS'!$D:$D,0)),IFERROR(INDEX('Catalog'!$A:$A,MATCH($B2026,'Catalog'!$B:$B,0)),IFERROR(INDEX('Catalog'!$A:$A,MATCH(TRIM(SUBSTITUTE($B2026,CHAR(160)," ")),'Catalog'!$C:$C,0)),""))))</f>
        <v/>
      </c>
      <c r="H2026" s="8" t="str">
        <f aca="false">IFERROR(INDEX('TRANS'!$C:$C,MATCH($B2026,'TRANS'!$A:$A,0)),IFERROR(INDEX('Catalog'!$B:$B,MATCH($G2026,'Catalog'!$A:$A,0)),$B2026))</f>
        <v>K35 M</v>
      </c>
      <c r="I2026" s="8" t="str">
        <f aca="false">IF($G2026="","Unmatched","Matched")</f>
        <v>Unmatched</v>
      </c>
      <c r="J2026" s="8" t="str">
        <f aca="false">IF($G2026&lt;&gt;"",$G2026,$B2026)</f>
        <v>K35 M</v>
      </c>
      <c r="K2026" s="8" t="str">
        <f aca="false">IF(COUNTIF($M$1:$M$10,$A2026)&gt;0,"Y","N")</f>
        <v>N</v>
      </c>
    </row>
    <row r="2027" customFormat="false" ht="15" hidden="false" customHeight="true" outlineLevel="0" collapsed="false">
      <c r="A2027" s="8" t="s">
        <v>10</v>
      </c>
      <c r="B2027" s="8" t="s">
        <v>1032</v>
      </c>
      <c r="C2027" s="19" t="n">
        <v>1920</v>
      </c>
      <c r="D2027" s="19" t="n">
        <v>24384</v>
      </c>
      <c r="E2027" s="19" t="n">
        <v>1560</v>
      </c>
      <c r="F2027" s="19" t="n">
        <v>19812</v>
      </c>
      <c r="G2027" s="8" t="str">
        <f aca="false">IFERROR(INDEX('TRANS'!$B:$B,MATCH($B2027,'TRANS'!$A:$A,0)),IFERROR(INDEX('TRANS'!$B:$B,MATCH(TRIM(SUBSTITUTE($B2027,CHAR(160)," ")),'TRANS'!$D:$D,0)),IFERROR(INDEX('Catalog'!$A:$A,MATCH($B2027,'Catalog'!$B:$B,0)),IFERROR(INDEX('Catalog'!$A:$A,MATCH(TRIM(SUBSTITUTE($B2027,CHAR(160)," ")),'Catalog'!$C:$C,0)),""))))</f>
        <v/>
      </c>
      <c r="H2027" s="8" t="str">
        <f aca="false">IFERROR(INDEX('TRANS'!$C:$C,MATCH($B2027,'TRANS'!$A:$A,0)),IFERROR(INDEX('Catalog'!$B:$B,MATCH($G2027,'Catalog'!$A:$A,0)),$B2027))</f>
        <v>K35 S</v>
      </c>
      <c r="I2027" s="8" t="str">
        <f aca="false">IF($G2027="","Unmatched","Matched")</f>
        <v>Unmatched</v>
      </c>
      <c r="J2027" s="8" t="str">
        <f aca="false">IF($G2027&lt;&gt;"",$G2027,$B2027)</f>
        <v>K35 S</v>
      </c>
      <c r="K2027" s="8" t="str">
        <f aca="false">IF(COUNTIF($M$1:$M$10,$A2027)&gt;0,"Y","N")</f>
        <v>N</v>
      </c>
    </row>
    <row r="2028" customFormat="false" ht="15" hidden="false" customHeight="true" outlineLevel="0" collapsed="false">
      <c r="A2028" s="8" t="s">
        <v>10</v>
      </c>
      <c r="B2028" s="8" t="s">
        <v>1033</v>
      </c>
      <c r="C2028" s="19" t="n">
        <v>5400</v>
      </c>
      <c r="D2028" s="19" t="n">
        <v>68580</v>
      </c>
      <c r="E2028" s="19" t="n">
        <v>4680</v>
      </c>
      <c r="F2028" s="19" t="n">
        <v>59436</v>
      </c>
      <c r="G2028" s="8" t="str">
        <f aca="false">IFERROR(INDEX('TRANS'!$B:$B,MATCH($B2028,'TRANS'!$A:$A,0)),IFERROR(INDEX('TRANS'!$B:$B,MATCH(TRIM(SUBSTITUTE($B2028,CHAR(160)," ")),'TRANS'!$D:$D,0)),IFERROR(INDEX('Catalog'!$A:$A,MATCH($B2028,'Catalog'!$B:$B,0)),IFERROR(INDEX('Catalog'!$A:$A,MATCH(TRIM(SUBSTITUTE($B2028,CHAR(160)," ")),'Catalog'!$C:$C,0)),""))))</f>
        <v/>
      </c>
      <c r="H2028" s="8" t="str">
        <f aca="false">IFERROR(INDEX('TRANS'!$C:$C,MATCH($B2028,'TRANS'!$A:$A,0)),IFERROR(INDEX('Catalog'!$B:$B,MATCH($G2028,'Catalog'!$A:$A,0)),$B2028))</f>
        <v>K35 XL</v>
      </c>
      <c r="I2028" s="8" t="str">
        <f aca="false">IF($G2028="","Unmatched","Matched")</f>
        <v>Unmatched</v>
      </c>
      <c r="J2028" s="8" t="str">
        <f aca="false">IF($G2028&lt;&gt;"",$G2028,$B2028)</f>
        <v>K35 XL</v>
      </c>
      <c r="K2028" s="8" t="str">
        <f aca="false">IF(COUNTIF($M$1:$M$10,$A2028)&gt;0,"Y","N")</f>
        <v>N</v>
      </c>
    </row>
    <row r="2029" customFormat="false" ht="15" hidden="false" customHeight="true" outlineLevel="0" collapsed="false">
      <c r="A2029" s="8" t="s">
        <v>10</v>
      </c>
      <c r="B2029" s="8" t="s">
        <v>1034</v>
      </c>
      <c r="C2029" s="19" t="n">
        <v>9480</v>
      </c>
      <c r="D2029" s="19" t="n">
        <v>118622.4</v>
      </c>
      <c r="E2029" s="19" t="n">
        <v>8160</v>
      </c>
      <c r="F2029" s="19" t="n">
        <v>97593.6</v>
      </c>
      <c r="G2029" s="8" t="str">
        <f aca="false">IFERROR(INDEX('TRANS'!$B:$B,MATCH($B2029,'TRANS'!$A:$A,0)),IFERROR(INDEX('TRANS'!$B:$B,MATCH(TRIM(SUBSTITUTE($B2029,CHAR(160)," ")),'TRANS'!$D:$D,0)),IFERROR(INDEX('Catalog'!$A:$A,MATCH($B2029,'Catalog'!$B:$B,0)),IFERROR(INDEX('Catalog'!$A:$A,MATCH(TRIM(SUBSTITUTE($B2029,CHAR(160)," ")),'Catalog'!$C:$C,0)),""))))</f>
        <v/>
      </c>
      <c r="H2029" s="8" t="str">
        <f aca="false">IFERROR(INDEX('TRANS'!$C:$C,MATCH($B2029,'TRANS'!$A:$A,0)),IFERROR(INDEX('Catalog'!$B:$B,MATCH($G2029,'Catalog'!$A:$A,0)),$B2029))</f>
        <v>K45 L</v>
      </c>
      <c r="I2029" s="8" t="str">
        <f aca="false">IF($G2029="","Unmatched","Matched")</f>
        <v>Unmatched</v>
      </c>
      <c r="J2029" s="8" t="str">
        <f aca="false">IF($G2029&lt;&gt;"",$G2029,$B2029)</f>
        <v>K45 L</v>
      </c>
      <c r="K2029" s="8" t="str">
        <f aca="false">IF(COUNTIF($M$1:$M$10,$A2029)&gt;0,"Y","N")</f>
        <v>N</v>
      </c>
    </row>
    <row r="2030" customFormat="false" ht="15" hidden="false" customHeight="true" outlineLevel="0" collapsed="false">
      <c r="A2030" s="8" t="s">
        <v>10</v>
      </c>
      <c r="B2030" s="8" t="s">
        <v>1035</v>
      </c>
      <c r="C2030" s="19" t="n">
        <v>6720</v>
      </c>
      <c r="D2030" s="19" t="n">
        <v>87360</v>
      </c>
      <c r="E2030" s="19" t="n">
        <v>4560</v>
      </c>
      <c r="F2030" s="19" t="n">
        <v>59280</v>
      </c>
      <c r="G2030" s="8" t="str">
        <f aca="false">IFERROR(INDEX('TRANS'!$B:$B,MATCH($B2030,'TRANS'!$A:$A,0)),IFERROR(INDEX('TRANS'!$B:$B,MATCH(TRIM(SUBSTITUTE($B2030,CHAR(160)," ")),'TRANS'!$D:$D,0)),IFERROR(INDEX('Catalog'!$A:$A,MATCH($B2030,'Catalog'!$B:$B,0)),IFERROR(INDEX('Catalog'!$A:$A,MATCH(TRIM(SUBSTITUTE($B2030,CHAR(160)," ")),'Catalog'!$C:$C,0)),""))))</f>
        <v/>
      </c>
      <c r="H2030" s="8" t="str">
        <f aca="false">IFERROR(INDEX('TRANS'!$C:$C,MATCH($B2030,'TRANS'!$A:$A,0)),IFERROR(INDEX('Catalog'!$B:$B,MATCH($G2030,'Catalog'!$A:$A,0)),$B2030))</f>
        <v>K45 M</v>
      </c>
      <c r="I2030" s="8" t="str">
        <f aca="false">IF($G2030="","Unmatched","Matched")</f>
        <v>Unmatched</v>
      </c>
      <c r="J2030" s="8" t="str">
        <f aca="false">IF($G2030&lt;&gt;"",$G2030,$B2030)</f>
        <v>K45 M</v>
      </c>
      <c r="K2030" s="8" t="str">
        <f aca="false">IF(COUNTIF($M$1:$M$10,$A2030)&gt;0,"Y","N")</f>
        <v>N</v>
      </c>
    </row>
    <row r="2031" customFormat="false" ht="15" hidden="false" customHeight="true" outlineLevel="0" collapsed="false">
      <c r="A2031" s="8" t="s">
        <v>10</v>
      </c>
      <c r="B2031" s="8" t="s">
        <v>1036</v>
      </c>
      <c r="C2031" s="19" t="n">
        <v>2040</v>
      </c>
      <c r="D2031" s="19" t="n">
        <v>26520</v>
      </c>
      <c r="E2031" s="19" t="n">
        <v>1440</v>
      </c>
      <c r="F2031" s="19" t="n">
        <v>18720</v>
      </c>
      <c r="G2031" s="8" t="str">
        <f aca="false">IFERROR(INDEX('TRANS'!$B:$B,MATCH($B2031,'TRANS'!$A:$A,0)),IFERROR(INDEX('TRANS'!$B:$B,MATCH(TRIM(SUBSTITUTE($B2031,CHAR(160)," ")),'TRANS'!$D:$D,0)),IFERROR(INDEX('Catalog'!$A:$A,MATCH($B2031,'Catalog'!$B:$B,0)),IFERROR(INDEX('Catalog'!$A:$A,MATCH(TRIM(SUBSTITUTE($B2031,CHAR(160)," ")),'Catalog'!$C:$C,0)),""))))</f>
        <v/>
      </c>
      <c r="H2031" s="8" t="str">
        <f aca="false">IFERROR(INDEX('TRANS'!$C:$C,MATCH($B2031,'TRANS'!$A:$A,0)),IFERROR(INDEX('Catalog'!$B:$B,MATCH($G2031,'Catalog'!$A:$A,0)),$B2031))</f>
        <v>K45 S</v>
      </c>
      <c r="I2031" s="8" t="str">
        <f aca="false">IF($G2031="","Unmatched","Matched")</f>
        <v>Unmatched</v>
      </c>
      <c r="J2031" s="8" t="str">
        <f aca="false">IF($G2031&lt;&gt;"",$G2031,$B2031)</f>
        <v>K45 S</v>
      </c>
      <c r="K2031" s="8" t="str">
        <f aca="false">IF(COUNTIF($M$1:$M$10,$A2031)&gt;0,"Y","N")</f>
        <v>N</v>
      </c>
    </row>
    <row r="2032" customFormat="false" ht="15" hidden="false" customHeight="true" outlineLevel="0" collapsed="false">
      <c r="A2032" s="8" t="s">
        <v>10</v>
      </c>
      <c r="B2032" s="8" t="s">
        <v>1037</v>
      </c>
      <c r="C2032" s="19" t="n">
        <v>9960</v>
      </c>
      <c r="D2032" s="19" t="n">
        <v>124737.6</v>
      </c>
      <c r="E2032" s="19" t="n">
        <v>6840</v>
      </c>
      <c r="F2032" s="19" t="n">
        <v>81806.4</v>
      </c>
      <c r="G2032" s="8" t="str">
        <f aca="false">IFERROR(INDEX('TRANS'!$B:$B,MATCH($B2032,'TRANS'!$A:$A,0)),IFERROR(INDEX('TRANS'!$B:$B,MATCH(TRIM(SUBSTITUTE($B2032,CHAR(160)," ")),'TRANS'!$D:$D,0)),IFERROR(INDEX('Catalog'!$A:$A,MATCH($B2032,'Catalog'!$B:$B,0)),IFERROR(INDEX('Catalog'!$A:$A,MATCH(TRIM(SUBSTITUTE($B2032,CHAR(160)," ")),'Catalog'!$C:$C,0)),""))))</f>
        <v/>
      </c>
      <c r="H2032" s="8" t="str">
        <f aca="false">IFERROR(INDEX('TRANS'!$C:$C,MATCH($B2032,'TRANS'!$A:$A,0)),IFERROR(INDEX('Catalog'!$B:$B,MATCH($G2032,'Catalog'!$A:$A,0)),$B2032))</f>
        <v>K45 XL</v>
      </c>
      <c r="I2032" s="8" t="str">
        <f aca="false">IF($G2032="","Unmatched","Matched")</f>
        <v>Unmatched</v>
      </c>
      <c r="J2032" s="8" t="str">
        <f aca="false">IF($G2032&lt;&gt;"",$G2032,$B2032)</f>
        <v>K45 XL</v>
      </c>
      <c r="K2032" s="8" t="str">
        <f aca="false">IF(COUNTIF($M$1:$M$10,$A2032)&gt;0,"Y","N")</f>
        <v>N</v>
      </c>
    </row>
    <row r="2033" customFormat="false" ht="15" hidden="false" customHeight="true" outlineLevel="0" collapsed="false">
      <c r="A2033" s="8" t="s">
        <v>10</v>
      </c>
      <c r="B2033" s="8" t="s">
        <v>1038</v>
      </c>
      <c r="C2033" s="19" t="n">
        <v>1500</v>
      </c>
      <c r="D2033" s="19" t="n">
        <v>32400</v>
      </c>
      <c r="E2033" s="19" t="n">
        <v>900</v>
      </c>
      <c r="F2033" s="19" t="n">
        <v>19440</v>
      </c>
      <c r="G2033" s="8" t="str">
        <f aca="false">IFERROR(INDEX('TRANS'!$B:$B,MATCH($B2033,'TRANS'!$A:$A,0)),IFERROR(INDEX('TRANS'!$B:$B,MATCH(TRIM(SUBSTITUTE($B2033,CHAR(160)," ")),'TRANS'!$D:$D,0)),IFERROR(INDEX('Catalog'!$A:$A,MATCH($B2033,'Catalog'!$B:$B,0)),IFERROR(INDEX('Catalog'!$A:$A,MATCH(TRIM(SUBSTITUTE($B2033,CHAR(160)," ")),'Catalog'!$C:$C,0)),""))))</f>
        <v/>
      </c>
      <c r="H2033" s="8" t="str">
        <f aca="false">IFERROR(INDEX('TRANS'!$C:$C,MATCH($B2033,'TRANS'!$A:$A,0)),IFERROR(INDEX('Catalog'!$B:$B,MATCH($G2033,'Catalog'!$A:$A,0)),$B2033))</f>
        <v>K61 L</v>
      </c>
      <c r="I2033" s="8" t="str">
        <f aca="false">IF($G2033="","Unmatched","Matched")</f>
        <v>Unmatched</v>
      </c>
      <c r="J2033" s="8" t="str">
        <f aca="false">IF($G2033&lt;&gt;"",$G2033,$B2033)</f>
        <v>K61 L</v>
      </c>
      <c r="K2033" s="8" t="str">
        <f aca="false">IF(COUNTIF($M$1:$M$10,$A2033)&gt;0,"Y","N")</f>
        <v>N</v>
      </c>
    </row>
    <row r="2034" customFormat="false" ht="15" hidden="false" customHeight="true" outlineLevel="0" collapsed="false">
      <c r="A2034" s="8" t="s">
        <v>10</v>
      </c>
      <c r="B2034" s="8" t="s">
        <v>1039</v>
      </c>
      <c r="C2034" s="19" t="n">
        <v>720</v>
      </c>
      <c r="D2034" s="19" t="n">
        <v>15552</v>
      </c>
      <c r="E2034" s="19" t="n">
        <v>660</v>
      </c>
      <c r="F2034" s="19" t="n">
        <v>14256</v>
      </c>
      <c r="G2034" s="8" t="str">
        <f aca="false">IFERROR(INDEX('TRANS'!$B:$B,MATCH($B2034,'TRANS'!$A:$A,0)),IFERROR(INDEX('TRANS'!$B:$B,MATCH(TRIM(SUBSTITUTE($B2034,CHAR(160)," ")),'TRANS'!$D:$D,0)),IFERROR(INDEX('Catalog'!$A:$A,MATCH($B2034,'Catalog'!$B:$B,0)),IFERROR(INDEX('Catalog'!$A:$A,MATCH(TRIM(SUBSTITUTE($B2034,CHAR(160)," ")),'Catalog'!$C:$C,0)),""))))</f>
        <v/>
      </c>
      <c r="H2034" s="8" t="str">
        <f aca="false">IFERROR(INDEX('TRANS'!$C:$C,MATCH($B2034,'TRANS'!$A:$A,0)),IFERROR(INDEX('Catalog'!$B:$B,MATCH($G2034,'Catalog'!$A:$A,0)),$B2034))</f>
        <v>K61 M</v>
      </c>
      <c r="I2034" s="8" t="str">
        <f aca="false">IF($G2034="","Unmatched","Matched")</f>
        <v>Unmatched</v>
      </c>
      <c r="J2034" s="8" t="str">
        <f aca="false">IF($G2034&lt;&gt;"",$G2034,$B2034)</f>
        <v>K61 M</v>
      </c>
      <c r="K2034" s="8" t="str">
        <f aca="false">IF(COUNTIF($M$1:$M$10,$A2034)&gt;0,"Y","N")</f>
        <v>N</v>
      </c>
    </row>
    <row r="2035" customFormat="false" ht="15" hidden="false" customHeight="true" outlineLevel="0" collapsed="false">
      <c r="A2035" s="8" t="s">
        <v>10</v>
      </c>
      <c r="B2035" s="8" t="s">
        <v>1040</v>
      </c>
      <c r="C2035" s="19" t="n">
        <v>1680</v>
      </c>
      <c r="D2035" s="19" t="n">
        <v>28560</v>
      </c>
      <c r="E2035" s="19" t="n">
        <v>1440</v>
      </c>
      <c r="F2035" s="19" t="n">
        <v>24480</v>
      </c>
      <c r="G2035" s="8" t="str">
        <f aca="false">IFERROR(INDEX('TRANS'!$B:$B,MATCH($B2035,'TRANS'!$A:$A,0)),IFERROR(INDEX('TRANS'!$B:$B,MATCH(TRIM(SUBSTITUTE($B2035,CHAR(160)," ")),'TRANS'!$D:$D,0)),IFERROR(INDEX('Catalog'!$A:$A,MATCH($B2035,'Catalog'!$B:$B,0)),IFERROR(INDEX('Catalog'!$A:$A,MATCH(TRIM(SUBSTITUTE($B2035,CHAR(160)," ")),'Catalog'!$C:$C,0)),""))))</f>
        <v/>
      </c>
      <c r="H2035" s="8" t="str">
        <f aca="false">IFERROR(INDEX('TRANS'!$C:$C,MATCH($B2035,'TRANS'!$A:$A,0)),IFERROR(INDEX('Catalog'!$B:$B,MATCH($G2035,'Catalog'!$A:$A,0)),$B2035))</f>
        <v>K801 0</v>
      </c>
      <c r="I2035" s="8" t="str">
        <f aca="false">IF($G2035="","Unmatched","Matched")</f>
        <v>Unmatched</v>
      </c>
      <c r="J2035" s="8" t="str">
        <f aca="false">IF($G2035&lt;&gt;"",$G2035,$B2035)</f>
        <v>K801 0</v>
      </c>
      <c r="K2035" s="8" t="str">
        <f aca="false">IF(COUNTIF($M$1:$M$10,$A2035)&gt;0,"Y","N")</f>
        <v>N</v>
      </c>
    </row>
    <row r="2036" customFormat="false" ht="15" hidden="false" customHeight="true" outlineLevel="0" collapsed="false">
      <c r="A2036" s="8" t="s">
        <v>10</v>
      </c>
      <c r="B2036" s="8" t="s">
        <v>1041</v>
      </c>
      <c r="C2036" s="19" t="n">
        <v>1360</v>
      </c>
      <c r="D2036" s="19" t="n">
        <v>46240</v>
      </c>
      <c r="E2036" s="19" t="n">
        <v>1040</v>
      </c>
      <c r="F2036" s="19" t="n">
        <v>35360</v>
      </c>
      <c r="G2036" s="8" t="str">
        <f aca="false">IFERROR(INDEX('TRANS'!$B:$B,MATCH($B2036,'TRANS'!$A:$A,0)),IFERROR(INDEX('TRANS'!$B:$B,MATCH(TRIM(SUBSTITUTE($B2036,CHAR(160)," ")),'TRANS'!$D:$D,0)),IFERROR(INDEX('Catalog'!$A:$A,MATCH($B2036,'Catalog'!$B:$B,0)),IFERROR(INDEX('Catalog'!$A:$A,MATCH(TRIM(SUBSTITUTE($B2036,CHAR(160)," ")),'Catalog'!$C:$C,0)),""))))</f>
        <v/>
      </c>
      <c r="H2036" s="8" t="str">
        <f aca="false">IFERROR(INDEX('TRANS'!$C:$C,MATCH($B2036,'TRANS'!$A:$A,0)),IFERROR(INDEX('Catalog'!$B:$B,MATCH($G2036,'Catalog'!$A:$A,0)),$B2036))</f>
        <v>K85 L</v>
      </c>
      <c r="I2036" s="8" t="str">
        <f aca="false">IF($G2036="","Unmatched","Matched")</f>
        <v>Unmatched</v>
      </c>
      <c r="J2036" s="8" t="str">
        <f aca="false">IF($G2036&lt;&gt;"",$G2036,$B2036)</f>
        <v>K85 L</v>
      </c>
      <c r="K2036" s="8" t="str">
        <f aca="false">IF(COUNTIF($M$1:$M$10,$A2036)&gt;0,"Y","N")</f>
        <v>N</v>
      </c>
    </row>
    <row r="2037" customFormat="false" ht="15" hidden="false" customHeight="true" outlineLevel="0" collapsed="false">
      <c r="A2037" s="8" t="s">
        <v>10</v>
      </c>
      <c r="B2037" s="8" t="s">
        <v>1042</v>
      </c>
      <c r="C2037" s="19" t="n">
        <v>800</v>
      </c>
      <c r="D2037" s="19" t="n">
        <v>27200</v>
      </c>
      <c r="E2037" s="19" t="n">
        <v>720</v>
      </c>
      <c r="F2037" s="19" t="n">
        <v>24480</v>
      </c>
      <c r="G2037" s="8" t="str">
        <f aca="false">IFERROR(INDEX('TRANS'!$B:$B,MATCH($B2037,'TRANS'!$A:$A,0)),IFERROR(INDEX('TRANS'!$B:$B,MATCH(TRIM(SUBSTITUTE($B2037,CHAR(160)," ")),'TRANS'!$D:$D,0)),IFERROR(INDEX('Catalog'!$A:$A,MATCH($B2037,'Catalog'!$B:$B,0)),IFERROR(INDEX('Catalog'!$A:$A,MATCH(TRIM(SUBSTITUTE($B2037,CHAR(160)," ")),'Catalog'!$C:$C,0)),""))))</f>
        <v/>
      </c>
      <c r="H2037" s="8" t="str">
        <f aca="false">IFERROR(INDEX('TRANS'!$C:$C,MATCH($B2037,'TRANS'!$A:$A,0)),IFERROR(INDEX('Catalog'!$B:$B,MATCH($G2037,'Catalog'!$A:$A,0)),$B2037))</f>
        <v>K85 M</v>
      </c>
      <c r="I2037" s="8" t="str">
        <f aca="false">IF($G2037="","Unmatched","Matched")</f>
        <v>Unmatched</v>
      </c>
      <c r="J2037" s="8" t="str">
        <f aca="false">IF($G2037&lt;&gt;"",$G2037,$B2037)</f>
        <v>K85 M</v>
      </c>
      <c r="K2037" s="8" t="str">
        <f aca="false">IF(COUNTIF($M$1:$M$10,$A2037)&gt;0,"Y","N")</f>
        <v>N</v>
      </c>
    </row>
    <row r="2038" customFormat="false" ht="15" hidden="false" customHeight="true" outlineLevel="0" collapsed="false">
      <c r="A2038" s="8" t="s">
        <v>10</v>
      </c>
      <c r="B2038" s="8" t="s">
        <v>1043</v>
      </c>
      <c r="C2038" s="19" t="n">
        <v>0</v>
      </c>
      <c r="D2038" s="19" t="n">
        <v>0</v>
      </c>
      <c r="E2038" s="19" t="n">
        <v>-2</v>
      </c>
      <c r="F2038" s="19" t="n">
        <v>-1176</v>
      </c>
      <c r="G2038" s="8" t="str">
        <f aca="false">IFERROR(INDEX('TRANS'!$B:$B,MATCH($B2038,'TRANS'!$A:$A,0)),IFERROR(INDEX('TRANS'!$B:$B,MATCH(TRIM(SUBSTITUTE($B2038,CHAR(160)," ")),'TRANS'!$D:$D,0)),IFERROR(INDEX('Catalog'!$A:$A,MATCH($B2038,'Catalog'!$B:$B,0)),IFERROR(INDEX('Catalog'!$A:$A,MATCH(TRIM(SUBSTITUTE($B2038,CHAR(160)," ")),'Catalog'!$C:$C,0)),""))))</f>
        <v/>
      </c>
      <c r="H2038" s="8" t="str">
        <f aca="false">IFERROR(INDEX('TRANS'!$C:$C,MATCH($B2038,'TRANS'!$A:$A,0)),IFERROR(INDEX('Catalog'!$B:$B,MATCH($G2038,'Catalog'!$A:$A,0)),$B2038))</f>
        <v>99 General</v>
      </c>
      <c r="I2038" s="8" t="str">
        <f aca="false">IF($G2038="","Unmatched","Matched")</f>
        <v>Unmatched</v>
      </c>
      <c r="J2038" s="8" t="str">
        <f aca="false">IF($G2038&lt;&gt;"",$G2038,$B2038)</f>
        <v>99 General</v>
      </c>
      <c r="K2038" s="8" t="str">
        <f aca="false">IF(COUNTIF($M$1:$M$10,$A2038)&gt;0,"Y","N")</f>
        <v>N</v>
      </c>
    </row>
    <row r="2039" customFormat="false" ht="15" hidden="false" customHeight="true" outlineLevel="0" collapsed="false">
      <c r="A2039" s="8" t="s">
        <v>10</v>
      </c>
      <c r="B2039" s="8" t="s">
        <v>1044</v>
      </c>
      <c r="C2039" s="19" t="n">
        <v>1700</v>
      </c>
      <c r="D2039" s="19" t="n">
        <v>53890</v>
      </c>
      <c r="E2039" s="19" t="n">
        <v>1250</v>
      </c>
      <c r="F2039" s="19" t="n">
        <v>39625</v>
      </c>
      <c r="G2039" s="8" t="str">
        <f aca="false">IFERROR(INDEX('TRANS'!$B:$B,MATCH($B2039,'TRANS'!$A:$A,0)),IFERROR(INDEX('TRANS'!$B:$B,MATCH(TRIM(SUBSTITUTE($B2039,CHAR(160)," ")),'TRANS'!$D:$D,0)),IFERROR(INDEX('Catalog'!$A:$A,MATCH($B2039,'Catalog'!$B:$B,0)),IFERROR(INDEX('Catalog'!$A:$A,MATCH(TRIM(SUBSTITUTE($B2039,CHAR(160)," ")),'Catalog'!$C:$C,0)),""))))</f>
        <v/>
      </c>
      <c r="H2039" s="8" t="str">
        <f aca="false">IFERROR(INDEX('TRANS'!$C:$C,MATCH($B2039,'TRANS'!$A:$A,0)),IFERROR(INDEX('Catalog'!$B:$B,MATCH($G2039,'Catalog'!$A:$A,0)),$B2039))</f>
        <v>KST11 0</v>
      </c>
      <c r="I2039" s="8" t="str">
        <f aca="false">IF($G2039="","Unmatched","Matched")</f>
        <v>Unmatched</v>
      </c>
      <c r="J2039" s="8" t="str">
        <f aca="false">IF($G2039&lt;&gt;"",$G2039,$B2039)</f>
        <v>KST11 0</v>
      </c>
      <c r="K2039" s="8" t="str">
        <f aca="false">IF(COUNTIF($M$1:$M$10,$A2039)&gt;0,"Y","N")</f>
        <v>N</v>
      </c>
    </row>
    <row r="2040" customFormat="false" ht="15" hidden="false" customHeight="true" outlineLevel="0" collapsed="false">
      <c r="A2040" s="8" t="s">
        <v>10</v>
      </c>
      <c r="B2040" s="8" t="s">
        <v>1045</v>
      </c>
      <c r="C2040" s="19" t="n">
        <v>4920</v>
      </c>
      <c r="D2040" s="19" t="n">
        <v>66912</v>
      </c>
      <c r="E2040" s="19" t="n">
        <v>4080</v>
      </c>
      <c r="F2040" s="19" t="n">
        <v>55488</v>
      </c>
      <c r="G2040" s="8" t="str">
        <f aca="false">IFERROR(INDEX('TRANS'!$B:$B,MATCH($B2040,'TRANS'!$A:$A,0)),IFERROR(INDEX('TRANS'!$B:$B,MATCH(TRIM(SUBSTITUTE($B2040,CHAR(160)," ")),'TRANS'!$D:$D,0)),IFERROR(INDEX('Catalog'!$A:$A,MATCH($B2040,'Catalog'!$B:$B,0)),IFERROR(INDEX('Catalog'!$A:$A,MATCH(TRIM(SUBSTITUTE($B2040,CHAR(160)," ")),'Catalog'!$C:$C,0)),""))))</f>
        <v/>
      </c>
      <c r="H2040" s="8" t="str">
        <f aca="false">IFERROR(INDEX('TRANS'!$C:$C,MATCH($B2040,'TRANS'!$A:$A,0)),IFERROR(INDEX('Catalog'!$B:$B,MATCH($G2040,'Catalog'!$A:$A,0)),$B2040))</f>
        <v>KST20 0</v>
      </c>
      <c r="I2040" s="8" t="str">
        <f aca="false">IF($G2040="","Unmatched","Matched")</f>
        <v>Unmatched</v>
      </c>
      <c r="J2040" s="8" t="str">
        <f aca="false">IF($G2040&lt;&gt;"",$G2040,$B2040)</f>
        <v>KST20 0</v>
      </c>
      <c r="K2040" s="8" t="str">
        <f aca="false">IF(COUNTIF($M$1:$M$10,$A2040)&gt;0,"Y","N")</f>
        <v>N</v>
      </c>
    </row>
    <row r="2041" customFormat="false" ht="15" hidden="false" customHeight="true" outlineLevel="0" collapsed="false">
      <c r="A2041" s="8" t="s">
        <v>10</v>
      </c>
      <c r="B2041" s="8" t="s">
        <v>1046</v>
      </c>
      <c r="C2041" s="19" t="n">
        <v>21480</v>
      </c>
      <c r="D2041" s="19" t="n">
        <v>344287.2</v>
      </c>
      <c r="E2041" s="19" t="n">
        <v>15110</v>
      </c>
      <c r="F2041" s="19" t="n">
        <v>227103.3</v>
      </c>
      <c r="G2041" s="8" t="str">
        <f aca="false">IFERROR(INDEX('TRANS'!$B:$B,MATCH($B2041,'TRANS'!$A:$A,0)),IFERROR(INDEX('TRANS'!$B:$B,MATCH(TRIM(SUBSTITUTE($B2041,CHAR(160)," ")),'TRANS'!$D:$D,0)),IFERROR(INDEX('Catalog'!$A:$A,MATCH($B2041,'Catalog'!$B:$B,0)),IFERROR(INDEX('Catalog'!$A:$A,MATCH(TRIM(SUBSTITUTE($B2041,CHAR(160)," ")),'Catalog'!$C:$C,0)),""))))</f>
        <v/>
      </c>
      <c r="H2041" s="8" t="str">
        <f aca="false">IFERROR(INDEX('TRANS'!$C:$C,MATCH($B2041,'TRANS'!$A:$A,0)),IFERROR(INDEX('Catalog'!$B:$B,MATCH($G2041,'Catalog'!$A:$A,0)),$B2041))</f>
        <v>KST25 0</v>
      </c>
      <c r="I2041" s="8" t="str">
        <f aca="false">IF($G2041="","Unmatched","Matched")</f>
        <v>Unmatched</v>
      </c>
      <c r="J2041" s="8" t="str">
        <f aca="false">IF($G2041&lt;&gt;"",$G2041,$B2041)</f>
        <v>KST25 0</v>
      </c>
      <c r="K2041" s="8" t="str">
        <f aca="false">IF(COUNTIF($M$1:$M$10,$A2041)&gt;0,"Y","N")</f>
        <v>N</v>
      </c>
    </row>
    <row r="2042" customFormat="false" ht="15" hidden="false" customHeight="true" outlineLevel="0" collapsed="false">
      <c r="A2042" s="8" t="s">
        <v>10</v>
      </c>
      <c r="B2042" s="8" t="s">
        <v>1047</v>
      </c>
      <c r="C2042" s="19" t="n">
        <v>4157</v>
      </c>
      <c r="D2042" s="19" t="n">
        <v>99932.5</v>
      </c>
      <c r="E2042" s="19" t="n">
        <v>3359</v>
      </c>
      <c r="F2042" s="19" t="n">
        <v>75577.5</v>
      </c>
      <c r="G2042" s="8" t="str">
        <f aca="false">IFERROR(INDEX('TRANS'!$B:$B,MATCH($B2042,'TRANS'!$A:$A,0)),IFERROR(INDEX('TRANS'!$B:$B,MATCH(TRIM(SUBSTITUTE($B2042,CHAR(160)," ")),'TRANS'!$D:$D,0)),IFERROR(INDEX('Catalog'!$A:$A,MATCH($B2042,'Catalog'!$B:$B,0)),IFERROR(INDEX('Catalog'!$A:$A,MATCH(TRIM(SUBSTITUTE($B2042,CHAR(160)," ")),'Catalog'!$C:$C,0)),""))))</f>
        <v/>
      </c>
      <c r="H2042" s="8" t="str">
        <f aca="false">IFERROR(INDEX('TRANS'!$C:$C,MATCH($B2042,'TRANS'!$A:$A,0)),IFERROR(INDEX('Catalog'!$B:$B,MATCH($G2042,'Catalog'!$A:$A,0)),$B2042))</f>
        <v>KST27L 0</v>
      </c>
      <c r="I2042" s="8" t="str">
        <f aca="false">IF($G2042="","Unmatched","Matched")</f>
        <v>Unmatched</v>
      </c>
      <c r="J2042" s="8" t="str">
        <f aca="false">IF($G2042&lt;&gt;"",$G2042,$B2042)</f>
        <v>KST27L 0</v>
      </c>
      <c r="K2042" s="8" t="str">
        <f aca="false">IF(COUNTIF($M$1:$M$10,$A2042)&gt;0,"Y","N")</f>
        <v>N</v>
      </c>
    </row>
    <row r="2043" customFormat="false" ht="15" hidden="false" customHeight="true" outlineLevel="0" collapsed="false">
      <c r="A2043" s="8" t="s">
        <v>10</v>
      </c>
      <c r="B2043" s="8" t="s">
        <v>510</v>
      </c>
      <c r="C2043" s="19" t="n">
        <v>5600</v>
      </c>
      <c r="D2043" s="19" t="n">
        <v>135200</v>
      </c>
      <c r="E2043" s="19" t="n">
        <v>3920</v>
      </c>
      <c r="F2043" s="19" t="n">
        <v>88200</v>
      </c>
      <c r="G2043" s="8" t="str">
        <f aca="false">IFERROR(INDEX('TRANS'!$B:$B,MATCH($B2043,'TRANS'!$A:$A,0)),IFERROR(INDEX('TRANS'!$B:$B,MATCH(TRIM(SUBSTITUTE($B2043,CHAR(160)," ")),'TRANS'!$D:$D,0)),IFERROR(INDEX('Catalog'!$A:$A,MATCH($B2043,'Catalog'!$B:$B,0)),IFERROR(INDEX('Catalog'!$A:$A,MATCH(TRIM(SUBSTITUTE($B2043,CHAR(160)," ")),'Catalog'!$C:$C,0)),""))))</f>
        <v/>
      </c>
      <c r="H2043" s="8" t="str">
        <f aca="false">IFERROR(INDEX('TRANS'!$C:$C,MATCH($B2043,'TRANS'!$A:$A,0)),IFERROR(INDEX('Catalog'!$B:$B,MATCH($G2043,'Catalog'!$A:$A,0)),$B2043))</f>
        <v>KST27R 0</v>
      </c>
      <c r="I2043" s="8" t="str">
        <f aca="false">IF($G2043="","Unmatched","Matched")</f>
        <v>Unmatched</v>
      </c>
      <c r="J2043" s="8" t="str">
        <f aca="false">IF($G2043&lt;&gt;"",$G2043,$B2043)</f>
        <v>KST27R 0</v>
      </c>
      <c r="K2043" s="8" t="str">
        <f aca="false">IF(COUNTIF($M$1:$M$10,$A2043)&gt;0,"Y","N")</f>
        <v>N</v>
      </c>
    </row>
    <row r="2044" customFormat="false" ht="15" hidden="false" customHeight="true" outlineLevel="0" collapsed="false">
      <c r="A2044" s="8" t="s">
        <v>10</v>
      </c>
      <c r="B2044" s="8" t="s">
        <v>74</v>
      </c>
      <c r="C2044" s="19" t="n">
        <v>-1</v>
      </c>
      <c r="D2044" s="19" t="n">
        <v>-62.43</v>
      </c>
      <c r="E2044" s="19" t="n">
        <v>0</v>
      </c>
      <c r="F2044" s="19" t="n">
        <v>0</v>
      </c>
      <c r="G2044" s="8" t="str">
        <f aca="false">IFERROR(INDEX('TRANS'!$B:$B,MATCH($B2044,'TRANS'!$A:$A,0)),IFERROR(INDEX('TRANS'!$B:$B,MATCH(TRIM(SUBSTITUTE($B2044,CHAR(160)," ")),'TRANS'!$D:$D,0)),IFERROR(INDEX('Catalog'!$A:$A,MATCH($B2044,'Catalog'!$B:$B,0)),IFERROR(INDEX('Catalog'!$A:$A,MATCH(TRIM(SUBSTITUTE($B2044,CHAR(160)," ")),'Catalog'!$C:$C,0)),""))))</f>
        <v/>
      </c>
      <c r="H2044" s="8" t="str">
        <f aca="false">IFERROR(INDEX('TRANS'!$C:$C,MATCH($B2044,'TRANS'!$A:$A,0)),IFERROR(INDEX('Catalog'!$B:$B,MATCH($G2044,'Catalog'!$A:$A,0)),$B2044))</f>
        <v>ST27L 0</v>
      </c>
      <c r="I2044" s="8" t="str">
        <f aca="false">IF($G2044="","Unmatched","Matched")</f>
        <v>Unmatched</v>
      </c>
      <c r="J2044" s="8" t="str">
        <f aca="false">IF($G2044&lt;&gt;"",$G2044,$B2044)</f>
        <v>ST27L 0</v>
      </c>
      <c r="K2044" s="8" t="str">
        <f aca="false">IF(COUNTIF($M$1:$M$10,$A2044)&gt;0,"Y","N")</f>
        <v>N</v>
      </c>
    </row>
    <row r="2045" customFormat="false" ht="15" hidden="false" customHeight="true" outlineLevel="0" collapsed="false">
      <c r="A2045" s="8" t="s">
        <v>10</v>
      </c>
      <c r="B2045" s="8" t="s">
        <v>1048</v>
      </c>
      <c r="C2045" s="19" t="n">
        <v>6240</v>
      </c>
      <c r="D2045" s="19" t="n">
        <v>119520</v>
      </c>
      <c r="E2045" s="19" t="n">
        <v>4956</v>
      </c>
      <c r="F2045" s="19" t="n">
        <v>88216.8</v>
      </c>
      <c r="G2045" s="8" t="str">
        <f aca="false">IFERROR(INDEX('TRANS'!$B:$B,MATCH($B2045,'TRANS'!$A:$A,0)),IFERROR(INDEX('TRANS'!$B:$B,MATCH(TRIM(SUBSTITUTE($B2045,CHAR(160)," ")),'TRANS'!$D:$D,0)),IFERROR(INDEX('Catalog'!$A:$A,MATCH($B2045,'Catalog'!$B:$B,0)),IFERROR(INDEX('Catalog'!$A:$A,MATCH(TRIM(SUBSTITUTE($B2045,CHAR(160)," ")),'Catalog'!$C:$C,0)),""))))</f>
        <v/>
      </c>
      <c r="H2045" s="8" t="str">
        <f aca="false">IFERROR(INDEX('TRANS'!$C:$C,MATCH($B2045,'TRANS'!$A:$A,0)),IFERROR(INDEX('Catalog'!$B:$B,MATCH($G2045,'Catalog'!$A:$A,0)),$B2045))</f>
        <v>KST28 0</v>
      </c>
      <c r="I2045" s="8" t="str">
        <f aca="false">IF($G2045="","Unmatched","Matched")</f>
        <v>Unmatched</v>
      </c>
      <c r="J2045" s="8" t="str">
        <f aca="false">IF($G2045&lt;&gt;"",$G2045,$B2045)</f>
        <v>KST28 0</v>
      </c>
      <c r="K2045" s="8" t="str">
        <f aca="false">IF(COUNTIF($M$1:$M$10,$A2045)&gt;0,"Y","N")</f>
        <v>N</v>
      </c>
    </row>
    <row r="2046" customFormat="false" ht="15" hidden="false" customHeight="true" outlineLevel="0" collapsed="false">
      <c r="A2046" s="8" t="s">
        <v>10</v>
      </c>
      <c r="B2046" s="8" t="s">
        <v>1049</v>
      </c>
      <c r="C2046" s="19" t="n">
        <v>7800</v>
      </c>
      <c r="D2046" s="19" t="n">
        <v>145066.8</v>
      </c>
      <c r="E2046" s="19" t="n">
        <v>6120</v>
      </c>
      <c r="F2046" s="19" t="n">
        <v>107283.6</v>
      </c>
      <c r="G2046" s="8" t="str">
        <f aca="false">IFERROR(INDEX('TRANS'!$B:$B,MATCH($B2046,'TRANS'!$A:$A,0)),IFERROR(INDEX('TRANS'!$B:$B,MATCH(TRIM(SUBSTITUTE($B2046,CHAR(160)," ")),'TRANS'!$D:$D,0)),IFERROR(INDEX('Catalog'!$A:$A,MATCH($B2046,'Catalog'!$B:$B,0)),IFERROR(INDEX('Catalog'!$A:$A,MATCH(TRIM(SUBSTITUTE($B2046,CHAR(160)," ")),'Catalog'!$C:$C,0)),""))))</f>
        <v/>
      </c>
      <c r="H2046" s="8" t="str">
        <f aca="false">IFERROR(INDEX('TRANS'!$C:$C,MATCH($B2046,'TRANS'!$A:$A,0)),IFERROR(INDEX('Catalog'!$B:$B,MATCH($G2046,'Catalog'!$A:$A,0)),$B2046))</f>
        <v>KST37 0</v>
      </c>
      <c r="I2046" s="8" t="str">
        <f aca="false">IF($G2046="","Unmatched","Matched")</f>
        <v>Unmatched</v>
      </c>
      <c r="J2046" s="8" t="str">
        <f aca="false">IF($G2046&lt;&gt;"",$G2046,$B2046)</f>
        <v>KST37 0</v>
      </c>
      <c r="K2046" s="8" t="str">
        <f aca="false">IF(COUNTIF($M$1:$M$10,$A2046)&gt;0,"Y","N")</f>
        <v>N</v>
      </c>
    </row>
    <row r="2047" customFormat="false" ht="15" hidden="false" customHeight="true" outlineLevel="0" collapsed="false">
      <c r="A2047" s="8" t="s">
        <v>10</v>
      </c>
      <c r="B2047" s="8" t="s">
        <v>429</v>
      </c>
      <c r="C2047" s="19" t="n">
        <v>13299</v>
      </c>
      <c r="D2047" s="19" t="n">
        <v>577794.6</v>
      </c>
      <c r="E2047" s="19" t="n">
        <v>9589</v>
      </c>
      <c r="F2047" s="19" t="n">
        <v>396984.6</v>
      </c>
      <c r="G2047" s="8" t="str">
        <f aca="false">IFERROR(INDEX('TRANS'!$B:$B,MATCH($B2047,'TRANS'!$A:$A,0)),IFERROR(INDEX('TRANS'!$B:$B,MATCH(TRIM(SUBSTITUTE($B2047,CHAR(160)," ")),'TRANS'!$D:$D,0)),IFERROR(INDEX('Catalog'!$A:$A,MATCH($B2047,'Catalog'!$B:$B,0)),IFERROR(INDEX('Catalog'!$A:$A,MATCH(TRIM(SUBSTITUTE($B2047,CHAR(160)," ")),'Catalog'!$C:$C,0)),""))))</f>
        <v/>
      </c>
      <c r="H2047" s="8" t="str">
        <f aca="false">IFERROR(INDEX('TRANS'!$C:$C,MATCH($B2047,'TRANS'!$A:$A,0)),IFERROR(INDEX('Catalog'!$B:$B,MATCH($G2047,'Catalog'!$A:$A,0)),$B2047))</f>
        <v>KST422 0</v>
      </c>
      <c r="I2047" s="8" t="str">
        <f aca="false">IF($G2047="","Unmatched","Matched")</f>
        <v>Unmatched</v>
      </c>
      <c r="J2047" s="8" t="str">
        <f aca="false">IF($G2047&lt;&gt;"",$G2047,$B2047)</f>
        <v>KST422 0</v>
      </c>
      <c r="K2047" s="8" t="str">
        <f aca="false">IF(COUNTIF($M$1:$M$10,$A2047)&gt;0,"Y","N")</f>
        <v>N</v>
      </c>
    </row>
    <row r="2048" customFormat="false" ht="15" hidden="false" customHeight="true" outlineLevel="0" collapsed="false">
      <c r="A2048" s="8" t="s">
        <v>10</v>
      </c>
      <c r="B2048" s="8" t="s">
        <v>1050</v>
      </c>
      <c r="C2048" s="19" t="n">
        <v>4080</v>
      </c>
      <c r="D2048" s="19" t="n">
        <v>77112</v>
      </c>
      <c r="E2048" s="19" t="n">
        <v>3000</v>
      </c>
      <c r="F2048" s="19" t="n">
        <v>56700</v>
      </c>
      <c r="G2048" s="8" t="str">
        <f aca="false">IFERROR(INDEX('TRANS'!$B:$B,MATCH($B2048,'TRANS'!$A:$A,0)),IFERROR(INDEX('TRANS'!$B:$B,MATCH(TRIM(SUBSTITUTE($B2048,CHAR(160)," ")),'TRANS'!$D:$D,0)),IFERROR(INDEX('Catalog'!$A:$A,MATCH($B2048,'Catalog'!$B:$B,0)),IFERROR(INDEX('Catalog'!$A:$A,MATCH(TRIM(SUBSTITUTE($B2048,CHAR(160)," ")),'Catalog'!$C:$C,0)),""))))</f>
        <v/>
      </c>
      <c r="H2048" s="8" t="str">
        <f aca="false">IFERROR(INDEX('TRANS'!$C:$C,MATCH($B2048,'TRANS'!$A:$A,0)),IFERROR(INDEX('Catalog'!$B:$B,MATCH($G2048,'Catalog'!$A:$A,0)),$B2048))</f>
        <v>KST91 0</v>
      </c>
      <c r="I2048" s="8" t="str">
        <f aca="false">IF($G2048="","Unmatched","Matched")</f>
        <v>Unmatched</v>
      </c>
      <c r="J2048" s="8" t="str">
        <f aca="false">IF($G2048&lt;&gt;"",$G2048,$B2048)</f>
        <v>KST91 0</v>
      </c>
      <c r="K2048" s="8" t="str">
        <f aca="false">IF(COUNTIF($M$1:$M$10,$A2048)&gt;0,"Y","N")</f>
        <v>N</v>
      </c>
    </row>
    <row r="2049" customFormat="false" ht="15" hidden="false" customHeight="true" outlineLevel="0" collapsed="false">
      <c r="A2049" s="8" t="s">
        <v>10</v>
      </c>
      <c r="B2049" s="8" t="s">
        <v>1051</v>
      </c>
      <c r="C2049" s="19" t="n">
        <v>5040</v>
      </c>
      <c r="D2049" s="19" t="n">
        <v>114775.2</v>
      </c>
      <c r="E2049" s="19" t="n">
        <v>3360</v>
      </c>
      <c r="F2049" s="19" t="n">
        <v>71467.2</v>
      </c>
      <c r="G2049" s="8" t="str">
        <f aca="false">IFERROR(INDEX('TRANS'!$B:$B,MATCH($B2049,'TRANS'!$A:$A,0)),IFERROR(INDEX('TRANS'!$B:$B,MATCH(TRIM(SUBSTITUTE($B2049,CHAR(160)," ")),'TRANS'!$D:$D,0)),IFERROR(INDEX('Catalog'!$A:$A,MATCH($B2049,'Catalog'!$B:$B,0)),IFERROR(INDEX('Catalog'!$A:$A,MATCH(TRIM(SUBSTITUTE($B2049,CHAR(160)," ")),'Catalog'!$C:$C,0)),""))))</f>
        <v/>
      </c>
      <c r="H2049" s="8" t="str">
        <f aca="false">IFERROR(INDEX('TRANS'!$C:$C,MATCH($B2049,'TRANS'!$A:$A,0)),IFERROR(INDEX('Catalog'!$B:$B,MATCH($G2049,'Catalog'!$A:$A,0)),$B2049))</f>
        <v>KST95 0</v>
      </c>
      <c r="I2049" s="8" t="str">
        <f aca="false">IF($G2049="","Unmatched","Matched")</f>
        <v>Unmatched</v>
      </c>
      <c r="J2049" s="8" t="str">
        <f aca="false">IF($G2049&lt;&gt;"",$G2049,$B2049)</f>
        <v>KST95 0</v>
      </c>
      <c r="K2049" s="8" t="str">
        <f aca="false">IF(COUNTIF($M$1:$M$10,$A2049)&gt;0,"Y","N")</f>
        <v>N</v>
      </c>
    </row>
    <row r="2050" customFormat="false" ht="15" hidden="false" customHeight="true" outlineLevel="0" collapsed="false">
      <c r="A2050" s="8" t="s">
        <v>42</v>
      </c>
      <c r="B2050" s="8" t="s">
        <v>493</v>
      </c>
      <c r="C2050" s="19" t="n">
        <v>0</v>
      </c>
      <c r="D2050" s="19" t="n">
        <v>-2545.41</v>
      </c>
      <c r="E2050" s="19" t="n">
        <v>0</v>
      </c>
      <c r="F2050" s="19" t="n">
        <v>0</v>
      </c>
      <c r="G2050" s="8" t="str">
        <f aca="false">IFERROR(INDEX('TRANS'!$B:$B,MATCH($B2050,'TRANS'!$A:$A,0)),IFERROR(INDEX('TRANS'!$B:$B,MATCH(TRIM(SUBSTITUTE($B2050,CHAR(160)," ")),'TRANS'!$D:$D,0)),IFERROR(INDEX('Catalog'!$A:$A,MATCH($B2050,'Catalog'!$B:$B,0)),IFERROR(INDEX('Catalog'!$A:$A,MATCH(TRIM(SUBSTITUTE($B2050,CHAR(160)," ")),'Catalog'!$C:$C,0)),""))))</f>
        <v/>
      </c>
      <c r="H2050" s="8" t="str">
        <f aca="false">IFERROR(INDEX('TRANS'!$C:$C,MATCH($B2050,'TRANS'!$A:$A,0)),IFERROR(INDEX('Catalog'!$B:$B,MATCH($G2050,'Catalog'!$A:$A,0)),$B2050))</f>
        <v>(NO ITEM CODE)</v>
      </c>
      <c r="I2050" s="8" t="str">
        <f aca="false">IF($G2050="","Unmatched","Matched")</f>
        <v>Unmatched</v>
      </c>
      <c r="J2050" s="8" t="str">
        <f aca="false">IF($G2050&lt;&gt;"",$G2050,$B2050)</f>
        <v>(NO ITEM CODE)</v>
      </c>
      <c r="K2050" s="8" t="str">
        <f aca="false">IF(COUNTIF($M$1:$M$10,$A2050)&gt;0,"Y","N")</f>
        <v>Y</v>
      </c>
    </row>
    <row r="2051" customFormat="false" ht="15" hidden="false" customHeight="true" outlineLevel="0" collapsed="false">
      <c r="A2051" s="8" t="s">
        <v>42</v>
      </c>
      <c r="B2051" s="8" t="s">
        <v>524</v>
      </c>
      <c r="C2051" s="19" t="n">
        <v>1</v>
      </c>
      <c r="D2051" s="19" t="n">
        <v>444.83</v>
      </c>
      <c r="E2051" s="19" t="n">
        <v>0</v>
      </c>
      <c r="F2051" s="19" t="n">
        <v>0</v>
      </c>
      <c r="G2051" s="8" t="str">
        <f aca="false">IFERROR(INDEX('TRANS'!$B:$B,MATCH($B2051,'TRANS'!$A:$A,0)),IFERROR(INDEX('TRANS'!$B:$B,MATCH(TRIM(SUBSTITUTE($B2051,CHAR(160)," ")),'TRANS'!$D:$D,0)),IFERROR(INDEX('Catalog'!$A:$A,MATCH($B2051,'Catalog'!$B:$B,0)),IFERROR(INDEX('Catalog'!$A:$A,MATCH(TRIM(SUBSTITUTE($B2051,CHAR(160)," ")),'Catalog'!$C:$C,0)),""))))</f>
        <v/>
      </c>
      <c r="H2051" s="8" t="str">
        <f aca="false">IFERROR(INDEX('TRANS'!$C:$C,MATCH($B2051,'TRANS'!$A:$A,0)),IFERROR(INDEX('Catalog'!$B:$B,MATCH($G2051,'Catalog'!$A:$A,0)),$B2051))</f>
        <v>062 L</v>
      </c>
      <c r="I2051" s="8" t="str">
        <f aca="false">IF($G2051="","Unmatched","Matched")</f>
        <v>Unmatched</v>
      </c>
      <c r="J2051" s="8" t="str">
        <f aca="false">IF($G2051&lt;&gt;"",$G2051,$B2051)</f>
        <v>062 L</v>
      </c>
      <c r="K2051" s="8" t="str">
        <f aca="false">IF(COUNTIF($M$1:$M$10,$A2051)&gt;0,"Y","N")</f>
        <v>Y</v>
      </c>
    </row>
    <row r="2052" customFormat="false" ht="15" hidden="false" customHeight="true" outlineLevel="0" collapsed="false">
      <c r="A2052" s="8" t="s">
        <v>42</v>
      </c>
      <c r="B2052" s="8" t="s">
        <v>494</v>
      </c>
      <c r="C2052" s="19" t="n">
        <v>1</v>
      </c>
      <c r="D2052" s="19" t="n">
        <v>444.83</v>
      </c>
      <c r="E2052" s="19" t="n">
        <v>0</v>
      </c>
      <c r="F2052" s="19" t="n">
        <v>0</v>
      </c>
      <c r="G2052" s="8" t="str">
        <f aca="false">IFERROR(INDEX('TRANS'!$B:$B,MATCH($B2052,'TRANS'!$A:$A,0)),IFERROR(INDEX('TRANS'!$B:$B,MATCH(TRIM(SUBSTITUTE($B2052,CHAR(160)," ")),'TRANS'!$D:$D,0)),IFERROR(INDEX('Catalog'!$A:$A,MATCH($B2052,'Catalog'!$B:$B,0)),IFERROR(INDEX('Catalog'!$A:$A,MATCH(TRIM(SUBSTITUTE($B2052,CHAR(160)," ")),'Catalog'!$C:$C,0)),""))))</f>
        <v/>
      </c>
      <c r="H2052" s="8" t="str">
        <f aca="false">IFERROR(INDEX('TRANS'!$C:$C,MATCH($B2052,'TRANS'!$A:$A,0)),IFERROR(INDEX('Catalog'!$B:$B,MATCH($G2052,'Catalog'!$A:$A,0)),$B2052))</f>
        <v>062 M</v>
      </c>
      <c r="I2052" s="8" t="str">
        <f aca="false">IF($G2052="","Unmatched","Matched")</f>
        <v>Unmatched</v>
      </c>
      <c r="J2052" s="8" t="str">
        <f aca="false">IF($G2052&lt;&gt;"",$G2052,$B2052)</f>
        <v>062 M</v>
      </c>
      <c r="K2052" s="8" t="str">
        <f aca="false">IF(COUNTIF($M$1:$M$10,$A2052)&gt;0,"Y","N")</f>
        <v>Y</v>
      </c>
    </row>
    <row r="2053" customFormat="false" ht="15" hidden="false" customHeight="true" outlineLevel="0" collapsed="false">
      <c r="A2053" s="8" t="s">
        <v>42</v>
      </c>
      <c r="B2053" s="8" t="s">
        <v>495</v>
      </c>
      <c r="C2053" s="19" t="n">
        <v>1</v>
      </c>
      <c r="D2053" s="19" t="n">
        <v>444.83</v>
      </c>
      <c r="E2053" s="19" t="n">
        <v>0</v>
      </c>
      <c r="F2053" s="19" t="n">
        <v>0</v>
      </c>
      <c r="G2053" s="8" t="str">
        <f aca="false">IFERROR(INDEX('TRANS'!$B:$B,MATCH($B2053,'TRANS'!$A:$A,0)),IFERROR(INDEX('TRANS'!$B:$B,MATCH(TRIM(SUBSTITUTE($B2053,CHAR(160)," ")),'TRANS'!$D:$D,0)),IFERROR(INDEX('Catalog'!$A:$A,MATCH($B2053,'Catalog'!$B:$B,0)),IFERROR(INDEX('Catalog'!$A:$A,MATCH(TRIM(SUBSTITUTE($B2053,CHAR(160)," ")),'Catalog'!$C:$C,0)),""))))</f>
        <v/>
      </c>
      <c r="H2053" s="8" t="str">
        <f aca="false">IFERROR(INDEX('TRANS'!$C:$C,MATCH($B2053,'TRANS'!$A:$A,0)),IFERROR(INDEX('Catalog'!$B:$B,MATCH($G2053,'Catalog'!$A:$A,0)),$B2053))</f>
        <v>062 S</v>
      </c>
      <c r="I2053" s="8" t="str">
        <f aca="false">IF($G2053="","Unmatched","Matched")</f>
        <v>Unmatched</v>
      </c>
      <c r="J2053" s="8" t="str">
        <f aca="false">IF($G2053&lt;&gt;"",$G2053,$B2053)</f>
        <v>062 S</v>
      </c>
      <c r="K2053" s="8" t="str">
        <f aca="false">IF(COUNTIF($M$1:$M$10,$A2053)&gt;0,"Y","N")</f>
        <v>Y</v>
      </c>
    </row>
    <row r="2054" customFormat="false" ht="15" hidden="false" customHeight="true" outlineLevel="0" collapsed="false">
      <c r="A2054" s="8" t="s">
        <v>42</v>
      </c>
      <c r="B2054" s="8" t="s">
        <v>496</v>
      </c>
      <c r="C2054" s="19" t="n">
        <v>5</v>
      </c>
      <c r="D2054" s="19" t="n">
        <v>1645.89</v>
      </c>
      <c r="E2054" s="19" t="n">
        <v>0</v>
      </c>
      <c r="F2054" s="19" t="n">
        <v>0</v>
      </c>
      <c r="G2054" s="8" t="str">
        <f aca="false">IFERROR(INDEX('TRANS'!$B:$B,MATCH($B2054,'TRANS'!$A:$A,0)),IFERROR(INDEX('TRANS'!$B:$B,MATCH(TRIM(SUBSTITUTE($B2054,CHAR(160)," ")),'TRANS'!$D:$D,0)),IFERROR(INDEX('Catalog'!$A:$A,MATCH($B2054,'Catalog'!$B:$B,0)),IFERROR(INDEX('Catalog'!$A:$A,MATCH(TRIM(SUBSTITUTE($B2054,CHAR(160)," ")),'Catalog'!$C:$C,0)),""))))</f>
        <v/>
      </c>
      <c r="H2054" s="8" t="str">
        <f aca="false">IFERROR(INDEX('TRANS'!$C:$C,MATCH($B2054,'TRANS'!$A:$A,0)),IFERROR(INDEX('Catalog'!$B:$B,MATCH($G2054,'Catalog'!$A:$A,0)),$B2054))</f>
        <v>062 XL</v>
      </c>
      <c r="I2054" s="8" t="str">
        <f aca="false">IF($G2054="","Unmatched","Matched")</f>
        <v>Unmatched</v>
      </c>
      <c r="J2054" s="8" t="str">
        <f aca="false">IF($G2054&lt;&gt;"",$G2054,$B2054)</f>
        <v>062 XL</v>
      </c>
      <c r="K2054" s="8" t="str">
        <f aca="false">IF(COUNTIF($M$1:$M$10,$A2054)&gt;0,"Y","N")</f>
        <v>Y</v>
      </c>
    </row>
    <row r="2055" customFormat="false" ht="15" hidden="false" customHeight="true" outlineLevel="0" collapsed="false">
      <c r="A2055" s="8" t="s">
        <v>42</v>
      </c>
      <c r="B2055" s="8" t="s">
        <v>934</v>
      </c>
      <c r="C2055" s="19" t="n">
        <v>8</v>
      </c>
      <c r="D2055" s="19" t="n">
        <v>1890.04</v>
      </c>
      <c r="E2055" s="19" t="n">
        <v>3</v>
      </c>
      <c r="F2055" s="19" t="n">
        <v>762.45</v>
      </c>
      <c r="G2055" s="8" t="n">
        <f aca="false">IFERROR(INDEX('TRANS'!$B:$B,MATCH($B2055,'TRANS'!$A:$A,0)),IFERROR(INDEX('TRANS'!$B:$B,MATCH(TRIM(SUBSTITUTE($B2055,CHAR(160)," ")),'TRANS'!$D:$D,0)),IFERROR(INDEX('Catalog'!$A:$A,MATCH($B2055,'Catalog'!$B:$B,0)),IFERROR(INDEX('Catalog'!$A:$A,MATCH(TRIM(SUBSTITUTE($B2055,CHAR(160)," ")),'Catalog'!$C:$C,0)),""))))</f>
        <v>4408119</v>
      </c>
      <c r="H2055" s="8" t="str">
        <f aca="false">IFERROR(INDEX('TRANS'!$C:$C,MATCH($B2055,'TRANS'!$A:$A,0)),IFERROR(INDEX('Catalog'!$B:$B,MATCH($G2055,'Catalog'!$A:$A,0)),$B2055))</f>
        <v>06U L ח.בטן מותנית צר</v>
      </c>
      <c r="I2055" s="8" t="str">
        <f aca="false">IF($G2055="","Unmatched","Matched")</f>
        <v>Matched</v>
      </c>
      <c r="J2055" s="8" t="n">
        <f aca="false">IF($G2055&lt;&gt;"",$G2055,$B2055)</f>
        <v>4408119</v>
      </c>
      <c r="K2055" s="8" t="str">
        <f aca="false">IF(COUNTIF($M$1:$M$10,$A2055)&gt;0,"Y","N")</f>
        <v>Y</v>
      </c>
    </row>
    <row r="2056" customFormat="false" ht="15" hidden="false" customHeight="true" outlineLevel="0" collapsed="false">
      <c r="A2056" s="8" t="s">
        <v>42</v>
      </c>
      <c r="B2056" s="8" t="s">
        <v>120</v>
      </c>
      <c r="C2056" s="19" t="n">
        <v>6</v>
      </c>
      <c r="D2056" s="19" t="n">
        <v>1410.54</v>
      </c>
      <c r="E2056" s="19" t="n">
        <v>5</v>
      </c>
      <c r="F2056" s="19" t="n">
        <v>1232.63</v>
      </c>
      <c r="G2056" s="8" t="str">
        <f aca="false">IFERROR(INDEX('TRANS'!$B:$B,MATCH($B2056,'TRANS'!$A:$A,0)),IFERROR(INDEX('TRANS'!$B:$B,MATCH(TRIM(SUBSTITUTE($B2056,CHAR(160)," ")),'TRANS'!$D:$D,0)),IFERROR(INDEX('Catalog'!$A:$A,MATCH($B2056,'Catalog'!$B:$B,0)),IFERROR(INDEX('Catalog'!$A:$A,MATCH(TRIM(SUBSTITUTE($B2056,CHAR(160)," ")),'Catalog'!$C:$C,0)),""))))</f>
        <v/>
      </c>
      <c r="H2056" s="8" t="str">
        <f aca="false">IFERROR(INDEX('TRANS'!$C:$C,MATCH($B2056,'TRANS'!$A:$A,0)),IFERROR(INDEX('Catalog'!$B:$B,MATCH($G2056,'Catalog'!$A:$A,0)),$B2056))</f>
        <v>06U M</v>
      </c>
      <c r="I2056" s="8" t="str">
        <f aca="false">IF($G2056="","Unmatched","Matched")</f>
        <v>Unmatched</v>
      </c>
      <c r="J2056" s="8" t="str">
        <f aca="false">IF($G2056&lt;&gt;"",$G2056,$B2056)</f>
        <v>06U M</v>
      </c>
      <c r="K2056" s="8" t="str">
        <f aca="false">IF(COUNTIF($M$1:$M$10,$A2056)&gt;0,"Y","N")</f>
        <v>Y</v>
      </c>
    </row>
    <row r="2057" customFormat="false" ht="15" hidden="false" customHeight="true" outlineLevel="0" collapsed="false">
      <c r="A2057" s="8" t="s">
        <v>42</v>
      </c>
      <c r="B2057" s="8" t="s">
        <v>243</v>
      </c>
      <c r="C2057" s="19" t="n">
        <v>3</v>
      </c>
      <c r="D2057" s="19" t="n">
        <v>722.63</v>
      </c>
      <c r="E2057" s="19" t="n">
        <v>1</v>
      </c>
      <c r="F2057" s="19" t="n">
        <v>406.69</v>
      </c>
      <c r="G2057" s="8" t="str">
        <f aca="false">IFERROR(INDEX('TRANS'!$B:$B,MATCH($B2057,'TRANS'!$A:$A,0)),IFERROR(INDEX('TRANS'!$B:$B,MATCH(TRIM(SUBSTITUTE($B2057,CHAR(160)," ")),'TRANS'!$D:$D,0)),IFERROR(INDEX('Catalog'!$A:$A,MATCH($B2057,'Catalog'!$B:$B,0)),IFERROR(INDEX('Catalog'!$A:$A,MATCH(TRIM(SUBSTITUTE($B2057,CHAR(160)," ")),'Catalog'!$C:$C,0)),""))))</f>
        <v/>
      </c>
      <c r="H2057" s="8" t="str">
        <f aca="false">IFERROR(INDEX('TRANS'!$C:$C,MATCH($B2057,'TRANS'!$A:$A,0)),IFERROR(INDEX('Catalog'!$B:$B,MATCH($G2057,'Catalog'!$A:$A,0)),$B2057))</f>
        <v>06U S</v>
      </c>
      <c r="I2057" s="8" t="str">
        <f aca="false">IF($G2057="","Unmatched","Matched")</f>
        <v>Unmatched</v>
      </c>
      <c r="J2057" s="8" t="str">
        <f aca="false">IF($G2057&lt;&gt;"",$G2057,$B2057)</f>
        <v>06U S</v>
      </c>
      <c r="K2057" s="8" t="str">
        <f aca="false">IF(COUNTIF($M$1:$M$10,$A2057)&gt;0,"Y","N")</f>
        <v>Y</v>
      </c>
    </row>
    <row r="2058" customFormat="false" ht="15" hidden="false" customHeight="true" outlineLevel="0" collapsed="false">
      <c r="A2058" s="8" t="s">
        <v>42</v>
      </c>
      <c r="B2058" s="8" t="s">
        <v>935</v>
      </c>
      <c r="C2058" s="19" t="n">
        <v>5</v>
      </c>
      <c r="D2058" s="19" t="n">
        <v>1256.35</v>
      </c>
      <c r="E2058" s="19" t="n">
        <v>6</v>
      </c>
      <c r="F2058" s="19" t="n">
        <v>1474.07</v>
      </c>
      <c r="G2058" s="8" t="n">
        <f aca="false">IFERROR(INDEX('TRANS'!$B:$B,MATCH($B2058,'TRANS'!$A:$A,0)),IFERROR(INDEX('TRANS'!$B:$B,MATCH(TRIM(SUBSTITUTE($B2058,CHAR(160)," ")),'TRANS'!$D:$D,0)),IFERROR(INDEX('Catalog'!$A:$A,MATCH($B2058,'Catalog'!$B:$B,0)),IFERROR(INDEX('Catalog'!$A:$A,MATCH(TRIM(SUBSTITUTE($B2058,CHAR(160)," ")),'Catalog'!$C:$C,0)),""))))</f>
        <v>4408120</v>
      </c>
      <c r="H2058" s="8" t="str">
        <f aca="false">IFERROR(INDEX('TRANS'!$C:$C,MATCH($B2058,'TRANS'!$A:$A,0)),IFERROR(INDEX('Catalog'!$B:$B,MATCH($G2058,'Catalog'!$A:$A,0)),$B2058))</f>
        <v>06U XL ח.בטן מותנית צר</v>
      </c>
      <c r="I2058" s="8" t="str">
        <f aca="false">IF($G2058="","Unmatched","Matched")</f>
        <v>Matched</v>
      </c>
      <c r="J2058" s="8" t="n">
        <f aca="false">IF($G2058&lt;&gt;"",$G2058,$B2058)</f>
        <v>4408120</v>
      </c>
      <c r="K2058" s="8" t="str">
        <f aca="false">IF(COUNTIF($M$1:$M$10,$A2058)&gt;0,"Y","N")</f>
        <v>Y</v>
      </c>
    </row>
    <row r="2059" customFormat="false" ht="15" hidden="false" customHeight="true" outlineLevel="0" collapsed="false">
      <c r="A2059" s="8" t="s">
        <v>42</v>
      </c>
      <c r="B2059" s="8" t="s">
        <v>365</v>
      </c>
      <c r="C2059" s="19" t="n">
        <v>2</v>
      </c>
      <c r="D2059" s="19" t="n">
        <v>508.3</v>
      </c>
      <c r="E2059" s="19" t="n">
        <v>1</v>
      </c>
      <c r="F2059" s="19" t="n">
        <v>254.15</v>
      </c>
      <c r="G2059" s="8" t="str">
        <f aca="false">IFERROR(INDEX('TRANS'!$B:$B,MATCH($B2059,'TRANS'!$A:$A,0)),IFERROR(INDEX('TRANS'!$B:$B,MATCH(TRIM(SUBSTITUTE($B2059,CHAR(160)," ")),'TRANS'!$D:$D,0)),IFERROR(INDEX('Catalog'!$A:$A,MATCH($B2059,'Catalog'!$B:$B,0)),IFERROR(INDEX('Catalog'!$A:$A,MATCH(TRIM(SUBSTITUTE($B2059,CHAR(160)," ")),'Catalog'!$C:$C,0)),""))))</f>
        <v/>
      </c>
      <c r="H2059" s="8" t="str">
        <f aca="false">IFERROR(INDEX('TRANS'!$C:$C,MATCH($B2059,'TRANS'!$A:$A,0)),IFERROR(INDEX('Catalog'!$B:$B,MATCH($G2059,'Catalog'!$A:$A,0)),$B2059))</f>
        <v>06U XS</v>
      </c>
      <c r="I2059" s="8" t="str">
        <f aca="false">IF($G2059="","Unmatched","Matched")</f>
        <v>Unmatched</v>
      </c>
      <c r="J2059" s="8" t="str">
        <f aca="false">IF($G2059&lt;&gt;"",$G2059,$B2059)</f>
        <v>06U XS</v>
      </c>
      <c r="K2059" s="8" t="str">
        <f aca="false">IF(COUNTIF($M$1:$M$10,$A2059)&gt;0,"Y","N")</f>
        <v>Y</v>
      </c>
    </row>
    <row r="2060" customFormat="false" ht="15" hidden="false" customHeight="true" outlineLevel="0" collapsed="false">
      <c r="A2060" s="8" t="s">
        <v>42</v>
      </c>
      <c r="B2060" s="8" t="s">
        <v>194</v>
      </c>
      <c r="C2060" s="19" t="n">
        <v>6</v>
      </c>
      <c r="D2060" s="19" t="n">
        <v>1436.42</v>
      </c>
      <c r="E2060" s="19" t="n">
        <v>5</v>
      </c>
      <c r="F2060" s="19" t="n">
        <v>1207.22</v>
      </c>
      <c r="G2060" s="8" t="str">
        <f aca="false">IFERROR(INDEX('TRANS'!$B:$B,MATCH($B2060,'TRANS'!$A:$A,0)),IFERROR(INDEX('TRANS'!$B:$B,MATCH(TRIM(SUBSTITUTE($B2060,CHAR(160)," ")),'TRANS'!$D:$D,0)),IFERROR(INDEX('Catalog'!$A:$A,MATCH($B2060,'Catalog'!$B:$B,0)),IFERROR(INDEX('Catalog'!$A:$A,MATCH(TRIM(SUBSTITUTE($B2060,CHAR(160)," ")),'Catalog'!$C:$C,0)),""))))</f>
        <v/>
      </c>
      <c r="H2060" s="8" t="str">
        <f aca="false">IFERROR(INDEX('TRANS'!$C:$C,MATCH($B2060,'TRANS'!$A:$A,0)),IFERROR(INDEX('Catalog'!$B:$B,MATCH($G2060,'Catalog'!$A:$A,0)),$B2060))</f>
        <v>06U XXL</v>
      </c>
      <c r="I2060" s="8" t="str">
        <f aca="false">IF($G2060="","Unmatched","Matched")</f>
        <v>Unmatched</v>
      </c>
      <c r="J2060" s="8" t="str">
        <f aca="false">IF($G2060&lt;&gt;"",$G2060,$B2060)</f>
        <v>06U XXL</v>
      </c>
      <c r="K2060" s="8" t="str">
        <f aca="false">IF(COUNTIF($M$1:$M$10,$A2060)&gt;0,"Y","N")</f>
        <v>Y</v>
      </c>
    </row>
    <row r="2061" customFormat="false" ht="15" hidden="false" customHeight="true" outlineLevel="0" collapsed="false">
      <c r="A2061" s="8" t="s">
        <v>42</v>
      </c>
      <c r="B2061" s="8" t="s">
        <v>950</v>
      </c>
      <c r="C2061" s="19" t="n">
        <v>0</v>
      </c>
      <c r="D2061" s="19" t="n">
        <v>0</v>
      </c>
      <c r="E2061" s="19" t="n">
        <v>1</v>
      </c>
      <c r="F2061" s="19" t="n">
        <v>169.4</v>
      </c>
      <c r="G2061" s="8" t="n">
        <f aca="false">IFERROR(INDEX('TRANS'!$B:$B,MATCH($B2061,'TRANS'!$A:$A,0)),IFERROR(INDEX('TRANS'!$B:$B,MATCH(TRIM(SUBSTITUTE($B2061,CHAR(160)," ")),'TRANS'!$D:$D,0)),IFERROR(INDEX('Catalog'!$A:$A,MATCH($B2061,'Catalog'!$B:$B,0)),IFERROR(INDEX('Catalog'!$A:$A,MATCH(TRIM(SUBSTITUTE($B2061,CHAR(160)," ")),'Catalog'!$C:$C,0)),""))))</f>
        <v>4408245</v>
      </c>
      <c r="H2061" s="8" t="str">
        <f aca="false">IFERROR(INDEX('TRANS'!$C:$C,MATCH($B2061,'TRANS'!$A:$A,0)),IFERROR(INDEX('Catalog'!$B:$B,MATCH($G2061,'Catalog'!$A:$A,0)),$B2061))</f>
        <v>077A   XXL חגורת גב עם חיזוקים</v>
      </c>
      <c r="I2061" s="8" t="str">
        <f aca="false">IF($G2061="","Unmatched","Matched")</f>
        <v>Matched</v>
      </c>
      <c r="J2061" s="8" t="n">
        <f aca="false">IF($G2061&lt;&gt;"",$G2061,$B2061)</f>
        <v>4408245</v>
      </c>
      <c r="K2061" s="8" t="str">
        <f aca="false">IF(COUNTIF($M$1:$M$10,$A2061)&gt;0,"Y","N")</f>
        <v>Y</v>
      </c>
    </row>
    <row r="2062" customFormat="false" ht="15" hidden="false" customHeight="true" outlineLevel="0" collapsed="false">
      <c r="A2062" s="8" t="s">
        <v>42</v>
      </c>
      <c r="B2062" s="8" t="s">
        <v>913</v>
      </c>
      <c r="C2062" s="19" t="n">
        <v>5</v>
      </c>
      <c r="D2062" s="19" t="n">
        <v>1368.28</v>
      </c>
      <c r="E2062" s="19" t="n">
        <v>8</v>
      </c>
      <c r="F2062" s="19" t="n">
        <v>1451</v>
      </c>
      <c r="G2062" s="8" t="n">
        <f aca="false">IFERROR(INDEX('TRANS'!$B:$B,MATCH($B2062,'TRANS'!$A:$A,0)),IFERROR(INDEX('TRANS'!$B:$B,MATCH(TRIM(SUBSTITUTE($B2062,CHAR(160)," ")),'TRANS'!$D:$D,0)),IFERROR(INDEX('Catalog'!$A:$A,MATCH($B2062,'Catalog'!$B:$B,0)),IFERROR(INDEX('Catalog'!$A:$A,MATCH(TRIM(SUBSTITUTE($B2062,CHAR(160)," ")),'Catalog'!$C:$C,0)),""))))</f>
        <v>4408135</v>
      </c>
      <c r="H2062" s="8" t="str">
        <f aca="false">IFERROR(INDEX('TRANS'!$C:$C,MATCH($B2062,'TRANS'!$A:$A,0)),IFERROR(INDEX('Catalog'!$B:$B,MATCH($G2062,'Catalog'!$A:$A,0)),$B2062))</f>
        <v>077A L-XLחגורת גב</v>
      </c>
      <c r="I2062" s="8" t="str">
        <f aca="false">IF($G2062="","Unmatched","Matched")</f>
        <v>Matched</v>
      </c>
      <c r="J2062" s="8" t="n">
        <f aca="false">IF($G2062&lt;&gt;"",$G2062,$B2062)</f>
        <v>4408135</v>
      </c>
      <c r="K2062" s="8" t="str">
        <f aca="false">IF(COUNTIF($M$1:$M$10,$A2062)&gt;0,"Y","N")</f>
        <v>Y</v>
      </c>
    </row>
    <row r="2063" customFormat="false" ht="15" hidden="false" customHeight="true" outlineLevel="0" collapsed="false">
      <c r="A2063" s="8" t="s">
        <v>42</v>
      </c>
      <c r="B2063" s="8" t="s">
        <v>914</v>
      </c>
      <c r="C2063" s="19" t="n">
        <v>0</v>
      </c>
      <c r="D2063" s="19" t="n">
        <v>0</v>
      </c>
      <c r="E2063" s="19" t="n">
        <v>4</v>
      </c>
      <c r="F2063" s="19" t="n">
        <v>886.1</v>
      </c>
      <c r="G2063" s="8" t="n">
        <f aca="false">IFERROR(INDEX('TRANS'!$B:$B,MATCH($B2063,'TRANS'!$A:$A,0)),IFERROR(INDEX('TRANS'!$B:$B,MATCH(TRIM(SUBSTITUTE($B2063,CHAR(160)," ")),'TRANS'!$D:$D,0)),IFERROR(INDEX('Catalog'!$A:$A,MATCH($B2063,'Catalog'!$B:$B,0)),IFERROR(INDEX('Catalog'!$A:$A,MATCH(TRIM(SUBSTITUTE($B2063,CHAR(160)," ")),'Catalog'!$C:$C,0)),""))))</f>
        <v>4408134</v>
      </c>
      <c r="H2063" s="8" t="str">
        <f aca="false">IFERROR(INDEX('TRANS'!$C:$C,MATCH($B2063,'TRANS'!$A:$A,0)),IFERROR(INDEX('Catalog'!$B:$B,MATCH($G2063,'Catalog'!$A:$A,0)),$B2063))</f>
        <v>077A S-M חגורת גב</v>
      </c>
      <c r="I2063" s="8" t="str">
        <f aca="false">IF($G2063="","Unmatched","Matched")</f>
        <v>Matched</v>
      </c>
      <c r="J2063" s="8" t="n">
        <f aca="false">IF($G2063&lt;&gt;"",$G2063,$B2063)</f>
        <v>4408134</v>
      </c>
      <c r="K2063" s="8" t="str">
        <f aca="false">IF(COUNTIF($M$1:$M$10,$A2063)&gt;0,"Y","N")</f>
        <v>Y</v>
      </c>
    </row>
    <row r="2064" customFormat="false" ht="15" hidden="false" customHeight="true" outlineLevel="0" collapsed="false">
      <c r="A2064" s="8" t="s">
        <v>42</v>
      </c>
      <c r="B2064" s="8" t="s">
        <v>561</v>
      </c>
      <c r="C2064" s="19" t="n">
        <v>56</v>
      </c>
      <c r="D2064" s="19" t="n">
        <v>10667.91</v>
      </c>
      <c r="E2064" s="19" t="n">
        <v>49</v>
      </c>
      <c r="F2064" s="19" t="n">
        <v>10009.17</v>
      </c>
      <c r="G2064" s="8" t="n">
        <f aca="false">IFERROR(INDEX('TRANS'!$B:$B,MATCH($B2064,'TRANS'!$A:$A,0)),IFERROR(INDEX('TRANS'!$B:$B,MATCH(TRIM(SUBSTITUTE($B2064,CHAR(160)," ")),'TRANS'!$D:$D,0)),IFERROR(INDEX('Catalog'!$A:$A,MATCH($B2064,'Catalog'!$B:$B,0)),IFERROR(INDEX('Catalog'!$A:$A,MATCH(TRIM(SUBSTITUTE($B2064,CHAR(160)," ")),'Catalog'!$C:$C,0)),""))))</f>
        <v>4408192</v>
      </c>
      <c r="H2064" s="8" t="str">
        <f aca="false">IFERROR(INDEX('TRANS'!$C:$C,MATCH($B2064,'TRANS'!$A:$A,0)),IFERROR(INDEX('Catalog'!$B:$B,MATCH($G2064,'Catalog'!$A:$A,0)),$B2064))</f>
        <v>078 L חגורת גב +סגירה</v>
      </c>
      <c r="I2064" s="8" t="str">
        <f aca="false">IF($G2064="","Unmatched","Matched")</f>
        <v>Matched</v>
      </c>
      <c r="J2064" s="8" t="n">
        <f aca="false">IF($G2064&lt;&gt;"",$G2064,$B2064)</f>
        <v>4408192</v>
      </c>
      <c r="K2064" s="8" t="str">
        <f aca="false">IF(COUNTIF($M$1:$M$10,$A2064)&gt;0,"Y","N")</f>
        <v>Y</v>
      </c>
    </row>
    <row r="2065" customFormat="false" ht="15" hidden="false" customHeight="true" outlineLevel="0" collapsed="false">
      <c r="A2065" s="8" t="s">
        <v>42</v>
      </c>
      <c r="B2065" s="8" t="s">
        <v>852</v>
      </c>
      <c r="C2065" s="19" t="n">
        <v>47</v>
      </c>
      <c r="D2065" s="19" t="n">
        <v>9331.31</v>
      </c>
      <c r="E2065" s="19" t="n">
        <v>32</v>
      </c>
      <c r="F2065" s="19" t="n">
        <v>6512.22</v>
      </c>
      <c r="G2065" s="8" t="n">
        <f aca="false">IFERROR(INDEX('TRANS'!$B:$B,MATCH($B2065,'TRANS'!$A:$A,0)),IFERROR(INDEX('TRANS'!$B:$B,MATCH(TRIM(SUBSTITUTE($B2065,CHAR(160)," ")),'TRANS'!$D:$D,0)),IFERROR(INDEX('Catalog'!$A:$A,MATCH($B2065,'Catalog'!$B:$B,0)),IFERROR(INDEX('Catalog'!$A:$A,MATCH(TRIM(SUBSTITUTE($B2065,CHAR(160)," ")),'Catalog'!$C:$C,0)),""))))</f>
        <v>4408190</v>
      </c>
      <c r="H2065" s="8" t="str">
        <f aca="false">IFERROR(INDEX('TRANS'!$C:$C,MATCH($B2065,'TRANS'!$A:$A,0)),IFERROR(INDEX('Catalog'!$B:$B,MATCH($G2065,'Catalog'!$A:$A,0)),$B2065))</f>
        <v>M078 חגורת גב +סגירה כפולה</v>
      </c>
      <c r="I2065" s="8" t="str">
        <f aca="false">IF($G2065="","Unmatched","Matched")</f>
        <v>Matched</v>
      </c>
      <c r="J2065" s="8" t="n">
        <f aca="false">IF($G2065&lt;&gt;"",$G2065,$B2065)</f>
        <v>4408190</v>
      </c>
      <c r="K2065" s="8" t="str">
        <f aca="false">IF(COUNTIF($M$1:$M$10,$A2065)&gt;0,"Y","N")</f>
        <v>Y</v>
      </c>
    </row>
    <row r="2066" customFormat="false" ht="15" hidden="false" customHeight="true" outlineLevel="0" collapsed="false">
      <c r="A2066" s="8" t="s">
        <v>42</v>
      </c>
      <c r="B2066" s="8" t="s">
        <v>853</v>
      </c>
      <c r="C2066" s="19" t="n">
        <v>11</v>
      </c>
      <c r="D2066" s="19" t="n">
        <v>2420.12</v>
      </c>
      <c r="E2066" s="19" t="n">
        <v>12</v>
      </c>
      <c r="F2066" s="19" t="n">
        <v>2456.65</v>
      </c>
      <c r="G2066" s="8" t="n">
        <f aca="false">IFERROR(INDEX('TRANS'!$B:$B,MATCH($B2066,'TRANS'!$A:$A,0)),IFERROR(INDEX('TRANS'!$B:$B,MATCH(TRIM(SUBSTITUTE($B2066,CHAR(160)," ")),'TRANS'!$D:$D,0)),IFERROR(INDEX('Catalog'!$A:$A,MATCH($B2066,'Catalog'!$B:$B,0)),IFERROR(INDEX('Catalog'!$A:$A,MATCH(TRIM(SUBSTITUTE($B2066,CHAR(160)," ")),'Catalog'!$C:$C,0)),""))))</f>
        <v>4408217</v>
      </c>
      <c r="H2066" s="8" t="str">
        <f aca="false">IFERROR(INDEX('TRANS'!$C:$C,MATCH($B2066,'TRANS'!$A:$A,0)),IFERROR(INDEX('Catalog'!$B:$B,MATCH($G2066,'Catalog'!$A:$A,0)),$B2066))</f>
        <v>S078 חגורת גב +סגירה כפולה</v>
      </c>
      <c r="I2066" s="8" t="str">
        <f aca="false">IF($G2066="","Unmatched","Matched")</f>
        <v>Matched</v>
      </c>
      <c r="J2066" s="8" t="n">
        <f aca="false">IF($G2066&lt;&gt;"",$G2066,$B2066)</f>
        <v>4408217</v>
      </c>
      <c r="K2066" s="8" t="str">
        <f aca="false">IF(COUNTIF($M$1:$M$10,$A2066)&gt;0,"Y","N")</f>
        <v>Y</v>
      </c>
    </row>
    <row r="2067" customFormat="false" ht="15" hidden="false" customHeight="true" outlineLevel="0" collapsed="false">
      <c r="A2067" s="8" t="s">
        <v>42</v>
      </c>
      <c r="B2067" s="8" t="s">
        <v>562</v>
      </c>
      <c r="C2067" s="19" t="n">
        <v>47</v>
      </c>
      <c r="D2067" s="19" t="n">
        <v>8888.35</v>
      </c>
      <c r="E2067" s="19" t="n">
        <v>39</v>
      </c>
      <c r="F2067" s="19" t="n">
        <v>7973.5</v>
      </c>
      <c r="G2067" s="8" t="n">
        <f aca="false">IFERROR(INDEX('TRANS'!$B:$B,MATCH($B2067,'TRANS'!$A:$A,0)),IFERROR(INDEX('TRANS'!$B:$B,MATCH(TRIM(SUBSTITUTE($B2067,CHAR(160)," ")),'TRANS'!$D:$D,0)),IFERROR(INDEX('Catalog'!$A:$A,MATCH($B2067,'Catalog'!$B:$B,0)),IFERROR(INDEX('Catalog'!$A:$A,MATCH(TRIM(SUBSTITUTE($B2067,CHAR(160)," ")),'Catalog'!$C:$C,0)),""))))</f>
        <v>4408218</v>
      </c>
      <c r="H2067" s="8" t="str">
        <f aca="false">IFERROR(INDEX('TRANS'!$C:$C,MATCH($B2067,'TRANS'!$A:$A,0)),IFERROR(INDEX('Catalog'!$B:$B,MATCH($G2067,'Catalog'!$A:$A,0)),$B2067))</f>
        <v>078XL חגורת גב +סגירה כפולה</v>
      </c>
      <c r="I2067" s="8" t="str">
        <f aca="false">IF($G2067="","Unmatched","Matched")</f>
        <v>Matched</v>
      </c>
      <c r="J2067" s="8" t="n">
        <f aca="false">IF($G2067&lt;&gt;"",$G2067,$B2067)</f>
        <v>4408218</v>
      </c>
      <c r="K2067" s="8" t="str">
        <f aca="false">IF(COUNTIF($M$1:$M$10,$A2067)&gt;0,"Y","N")</f>
        <v>Y</v>
      </c>
    </row>
    <row r="2068" customFormat="false" ht="15" hidden="false" customHeight="true" outlineLevel="0" collapsed="false">
      <c r="A2068" s="8" t="s">
        <v>42</v>
      </c>
      <c r="B2068" s="8" t="s">
        <v>854</v>
      </c>
      <c r="C2068" s="19" t="n">
        <v>34</v>
      </c>
      <c r="D2068" s="19" t="n">
        <v>6847.67</v>
      </c>
      <c r="E2068" s="19" t="n">
        <v>37</v>
      </c>
      <c r="F2068" s="19" t="n">
        <v>7613.52</v>
      </c>
      <c r="G2068" s="8" t="n">
        <f aca="false">IFERROR(INDEX('TRANS'!$B:$B,MATCH($B2068,'TRANS'!$A:$A,0)),IFERROR(INDEX('TRANS'!$B:$B,MATCH(TRIM(SUBSTITUTE($B2068,CHAR(160)," ")),'TRANS'!$D:$D,0)),IFERROR(INDEX('Catalog'!$A:$A,MATCH($B2068,'Catalog'!$B:$B,0)),IFERROR(INDEX('Catalog'!$A:$A,MATCH(TRIM(SUBSTITUTE($B2068,CHAR(160)," ")),'Catalog'!$C:$C,0)),""))))</f>
        <v>4408265</v>
      </c>
      <c r="H2068" s="8" t="str">
        <f aca="false">IFERROR(INDEX('TRANS'!$C:$C,MATCH($B2068,'TRANS'!$A:$A,0)),IFERROR(INDEX('Catalog'!$B:$B,MATCH($G2068,'Catalog'!$A:$A,0)),$B2068))</f>
        <v>078XXL חגורת גב +סגירה כפולה</v>
      </c>
      <c r="I2068" s="8" t="str">
        <f aca="false">IF($G2068="","Unmatched","Matched")</f>
        <v>Matched</v>
      </c>
      <c r="J2068" s="8" t="n">
        <f aca="false">IF($G2068&lt;&gt;"",$G2068,$B2068)</f>
        <v>4408265</v>
      </c>
      <c r="K2068" s="8" t="str">
        <f aca="false">IF(COUNTIF($M$1:$M$10,$A2068)&gt;0,"Y","N")</f>
        <v>Y</v>
      </c>
    </row>
    <row r="2069" customFormat="false" ht="15" hidden="false" customHeight="true" outlineLevel="0" collapsed="false">
      <c r="A2069" s="8" t="s">
        <v>42</v>
      </c>
      <c r="B2069" s="8" t="s">
        <v>775</v>
      </c>
      <c r="C2069" s="19" t="n">
        <v>14</v>
      </c>
      <c r="D2069" s="19" t="n">
        <v>2782.52</v>
      </c>
      <c r="E2069" s="19" t="n">
        <v>21</v>
      </c>
      <c r="F2069" s="19" t="n">
        <v>4405.02</v>
      </c>
      <c r="G2069" s="8" t="n">
        <f aca="false">IFERROR(INDEX('TRANS'!$B:$B,MATCH($B2069,'TRANS'!$A:$A,0)),IFERROR(INDEX('TRANS'!$B:$B,MATCH(TRIM(SUBSTITUTE($B2069,CHAR(160)," ")),'TRANS'!$D:$D,0)),IFERROR(INDEX('Catalog'!$A:$A,MATCH($B2069,'Catalog'!$B:$B,0)),IFERROR(INDEX('Catalog'!$A:$A,MATCH(TRIM(SUBSTITUTE($B2069,CHAR(160)," ")),'Catalog'!$C:$C,0)),""))))</f>
        <v>4408221</v>
      </c>
      <c r="H2069" s="8" t="str">
        <f aca="false">IFERROR(INDEX('TRANS'!$C:$C,MATCH($B2069,'TRANS'!$A:$A,0)),IFERROR(INDEX('Catalog'!$B:$B,MATCH($G2069,'Catalog'!$A:$A,0)),$B2069))</f>
        <v>078G-L חגורת גב אפורה</v>
      </c>
      <c r="I2069" s="8" t="str">
        <f aca="false">IF($G2069="","Unmatched","Matched")</f>
        <v>Matched</v>
      </c>
      <c r="J2069" s="8" t="n">
        <f aca="false">IF($G2069&lt;&gt;"",$G2069,$B2069)</f>
        <v>4408221</v>
      </c>
      <c r="K2069" s="8" t="str">
        <f aca="false">IF(COUNTIF($M$1:$M$10,$A2069)&gt;0,"Y","N")</f>
        <v>Y</v>
      </c>
    </row>
    <row r="2070" customFormat="false" ht="15" hidden="false" customHeight="true" outlineLevel="0" collapsed="false">
      <c r="A2070" s="8" t="s">
        <v>42</v>
      </c>
      <c r="B2070" s="8" t="s">
        <v>563</v>
      </c>
      <c r="C2070" s="19" t="n">
        <v>10</v>
      </c>
      <c r="D2070" s="19" t="n">
        <v>1958.96</v>
      </c>
      <c r="E2070" s="19" t="n">
        <v>7</v>
      </c>
      <c r="F2070" s="19" t="n">
        <v>1397.74</v>
      </c>
      <c r="G2070" s="8" t="n">
        <f aca="false">IFERROR(INDEX('TRANS'!$B:$B,MATCH($B2070,'TRANS'!$A:$A,0)),IFERROR(INDEX('TRANS'!$B:$B,MATCH(TRIM(SUBSTITUTE($B2070,CHAR(160)," ")),'TRANS'!$D:$D,0)),IFERROR(INDEX('Catalog'!$A:$A,MATCH($B2070,'Catalog'!$B:$B,0)),IFERROR(INDEX('Catalog'!$A:$A,MATCH(TRIM(SUBSTITUTE($B2070,CHAR(160)," ")),'Catalog'!$C:$C,0)),""))))</f>
        <v>4408220</v>
      </c>
      <c r="H2070" s="8" t="str">
        <f aca="false">IFERROR(INDEX('TRANS'!$C:$C,MATCH($B2070,'TRANS'!$A:$A,0)),IFERROR(INDEX('Catalog'!$B:$B,MATCH($G2070,'Catalog'!$A:$A,0)),$B2070))</f>
        <v>078G-M חגורת גב אפורה</v>
      </c>
      <c r="I2070" s="8" t="str">
        <f aca="false">IF($G2070="","Unmatched","Matched")</f>
        <v>Matched</v>
      </c>
      <c r="J2070" s="8" t="n">
        <f aca="false">IF($G2070&lt;&gt;"",$G2070,$B2070)</f>
        <v>4408220</v>
      </c>
      <c r="K2070" s="8" t="str">
        <f aca="false">IF(COUNTIF($M$1:$M$10,$A2070)&gt;0,"Y","N")</f>
        <v>Y</v>
      </c>
    </row>
    <row r="2071" customFormat="false" ht="15" hidden="false" customHeight="true" outlineLevel="0" collapsed="false">
      <c r="A2071" s="8" t="s">
        <v>42</v>
      </c>
      <c r="B2071" s="8" t="s">
        <v>969</v>
      </c>
      <c r="C2071" s="19" t="n">
        <v>7</v>
      </c>
      <c r="D2071" s="19" t="n">
        <v>1354.28</v>
      </c>
      <c r="E2071" s="19" t="n">
        <v>2</v>
      </c>
      <c r="F2071" s="19" t="n">
        <v>402.38</v>
      </c>
      <c r="G2071" s="8" t="n">
        <f aca="false">IFERROR(INDEX('TRANS'!$B:$B,MATCH($B2071,'TRANS'!$A:$A,0)),IFERROR(INDEX('TRANS'!$B:$B,MATCH(TRIM(SUBSTITUTE($B2071,CHAR(160)," ")),'TRANS'!$D:$D,0)),IFERROR(INDEX('Catalog'!$A:$A,MATCH($B2071,'Catalog'!$B:$B,0)),IFERROR(INDEX('Catalog'!$A:$A,MATCH(TRIM(SUBSTITUTE($B2071,CHAR(160)," ")),'Catalog'!$C:$C,0)),""))))</f>
        <v>4408219</v>
      </c>
      <c r="H2071" s="8" t="str">
        <f aca="false">IFERROR(INDEX('TRANS'!$C:$C,MATCH($B2071,'TRANS'!$A:$A,0)),IFERROR(INDEX('Catalog'!$B:$B,MATCH($G2071,'Catalog'!$A:$A,0)),$B2071))</f>
        <v>078G-S חגורת גב אפורה</v>
      </c>
      <c r="I2071" s="8" t="str">
        <f aca="false">IF($G2071="","Unmatched","Matched")</f>
        <v>Matched</v>
      </c>
      <c r="J2071" s="8" t="n">
        <f aca="false">IF($G2071&lt;&gt;"",$G2071,$B2071)</f>
        <v>4408219</v>
      </c>
      <c r="K2071" s="8" t="str">
        <f aca="false">IF(COUNTIF($M$1:$M$10,$A2071)&gt;0,"Y","N")</f>
        <v>Y</v>
      </c>
    </row>
    <row r="2072" customFormat="false" ht="15" hidden="false" customHeight="true" outlineLevel="0" collapsed="false">
      <c r="A2072" s="8" t="s">
        <v>42</v>
      </c>
      <c r="B2072" s="8" t="s">
        <v>776</v>
      </c>
      <c r="C2072" s="19" t="n">
        <v>12</v>
      </c>
      <c r="D2072" s="19" t="n">
        <v>2290.76</v>
      </c>
      <c r="E2072" s="19" t="n">
        <v>4</v>
      </c>
      <c r="F2072" s="19" t="n">
        <v>825.94</v>
      </c>
      <c r="G2072" s="8" t="n">
        <f aca="false">IFERROR(INDEX('TRANS'!$B:$B,MATCH($B2072,'TRANS'!$A:$A,0)),IFERROR(INDEX('TRANS'!$B:$B,MATCH(TRIM(SUBSTITUTE($B2072,CHAR(160)," ")),'TRANS'!$D:$D,0)),IFERROR(INDEX('Catalog'!$A:$A,MATCH($B2072,'Catalog'!$B:$B,0)),IFERROR(INDEX('Catalog'!$A:$A,MATCH(TRIM(SUBSTITUTE($B2072,CHAR(160)," ")),'Catalog'!$C:$C,0)),""))))</f>
        <v>4408222</v>
      </c>
      <c r="H2072" s="8" t="str">
        <f aca="false">IFERROR(INDEX('TRANS'!$C:$C,MATCH($B2072,'TRANS'!$A:$A,0)),IFERROR(INDEX('Catalog'!$B:$B,MATCH($G2072,'Catalog'!$A:$A,0)),$B2072))</f>
        <v>078G-XLחגורת גב אפורה</v>
      </c>
      <c r="I2072" s="8" t="str">
        <f aca="false">IF($G2072="","Unmatched","Matched")</f>
        <v>Matched</v>
      </c>
      <c r="J2072" s="8" t="n">
        <f aca="false">IF($G2072&lt;&gt;"",$G2072,$B2072)</f>
        <v>4408222</v>
      </c>
      <c r="K2072" s="8" t="str">
        <f aca="false">IF(COUNTIF($M$1:$M$10,$A2072)&gt;0,"Y","N")</f>
        <v>Y</v>
      </c>
    </row>
    <row r="2073" customFormat="false" ht="15" hidden="false" customHeight="true" outlineLevel="0" collapsed="false">
      <c r="A2073" s="8" t="s">
        <v>42</v>
      </c>
      <c r="B2073" s="8" t="s">
        <v>777</v>
      </c>
      <c r="C2073" s="19" t="n">
        <v>14</v>
      </c>
      <c r="D2073" s="19" t="n">
        <v>2824.88</v>
      </c>
      <c r="E2073" s="19" t="n">
        <v>6</v>
      </c>
      <c r="F2073" s="19" t="n">
        <v>1207.14</v>
      </c>
      <c r="G2073" s="8" t="n">
        <f aca="false">IFERROR(INDEX('TRANS'!$B:$B,MATCH($B2073,'TRANS'!$A:$A,0)),IFERROR(INDEX('TRANS'!$B:$B,MATCH(TRIM(SUBSTITUTE($B2073,CHAR(160)," ")),'TRANS'!$D:$D,0)),IFERROR(INDEX('Catalog'!$A:$A,MATCH($B2073,'Catalog'!$B:$B,0)),IFERROR(INDEX('Catalog'!$A:$A,MATCH(TRIM(SUBSTITUTE($B2073,CHAR(160)," ")),'Catalog'!$C:$C,0)),""))))</f>
        <v>4408223</v>
      </c>
      <c r="H2073" s="8" t="str">
        <f aca="false">IFERROR(INDEX('TRANS'!$C:$C,MATCH($B2073,'TRANS'!$A:$A,0)),IFERROR(INDEX('Catalog'!$B:$B,MATCH($G2073,'Catalog'!$A:$A,0)),$B2073))</f>
        <v>078G-XXLחגורת גב אפורה</v>
      </c>
      <c r="I2073" s="8" t="str">
        <f aca="false">IF($G2073="","Unmatched","Matched")</f>
        <v>Matched</v>
      </c>
      <c r="J2073" s="8" t="n">
        <f aca="false">IF($G2073&lt;&gt;"",$G2073,$B2073)</f>
        <v>4408223</v>
      </c>
      <c r="K2073" s="8" t="str">
        <f aca="false">IF(COUNTIF($M$1:$M$10,$A2073)&gt;0,"Y","N")</f>
        <v>Y</v>
      </c>
    </row>
    <row r="2074" customFormat="false" ht="15" hidden="false" customHeight="true" outlineLevel="0" collapsed="false">
      <c r="A2074" s="8" t="s">
        <v>42</v>
      </c>
      <c r="B2074" s="8" t="s">
        <v>951</v>
      </c>
      <c r="C2074" s="19" t="n">
        <v>5</v>
      </c>
      <c r="D2074" s="19" t="n">
        <v>2111.49</v>
      </c>
      <c r="E2074" s="19" t="n">
        <v>1</v>
      </c>
      <c r="F2074" s="19" t="n">
        <v>427.04</v>
      </c>
      <c r="G2074" s="8" t="n">
        <f aca="false">IFERROR(INDEX('TRANS'!$B:$B,MATCH($B2074,'TRANS'!$A:$A,0)),IFERROR(INDEX('TRANS'!$B:$B,MATCH(TRIM(SUBSTITUTE($B2074,CHAR(160)," ")),'TRANS'!$D:$D,0)),IFERROR(INDEX('Catalog'!$A:$A,MATCH($B2074,'Catalog'!$B:$B,0)),IFERROR(INDEX('Catalog'!$A:$A,MATCH(TRIM(SUBSTITUTE($B2074,CHAR(160)," ")),'Catalog'!$C:$C,0)),""))))</f>
        <v>4408015</v>
      </c>
      <c r="H2074" s="8" t="str">
        <f aca="false">IFERROR(INDEX('TRANS'!$C:$C,MATCH($B2074,'TRANS'!$A:$A,0)),IFERROR(INDEX('Catalog'!$B:$B,MATCH($G2074,'Catalog'!$A:$A,0)),$B2074))</f>
        <v>07AU L ח.גב """"איטלקית"""" אורירית</v>
      </c>
      <c r="I2074" s="8" t="str">
        <f aca="false">IF($G2074="","Unmatched","Matched")</f>
        <v>Matched</v>
      </c>
      <c r="J2074" s="8" t="n">
        <f aca="false">IF($G2074&lt;&gt;"",$G2074,$B2074)</f>
        <v>4408015</v>
      </c>
      <c r="K2074" s="8" t="str">
        <f aca="false">IF(COUNTIF($M$1:$M$10,$A2074)&gt;0,"Y","N")</f>
        <v>Y</v>
      </c>
    </row>
    <row r="2075" customFormat="false" ht="15" hidden="false" customHeight="true" outlineLevel="0" collapsed="false">
      <c r="A2075" s="8" t="s">
        <v>42</v>
      </c>
      <c r="B2075" s="8" t="s">
        <v>952</v>
      </c>
      <c r="C2075" s="19" t="n">
        <v>3</v>
      </c>
      <c r="D2075" s="19" t="n">
        <v>1328.57</v>
      </c>
      <c r="E2075" s="19" t="n">
        <v>2</v>
      </c>
      <c r="F2075" s="19" t="n">
        <v>948.98</v>
      </c>
      <c r="G2075" s="8" t="n">
        <f aca="false">IFERROR(INDEX('TRANS'!$B:$B,MATCH($B2075,'TRANS'!$A:$A,0)),IFERROR(INDEX('TRANS'!$B:$B,MATCH(TRIM(SUBSTITUTE($B2075,CHAR(160)," ")),'TRANS'!$D:$D,0)),IFERROR(INDEX('Catalog'!$A:$A,MATCH($B2075,'Catalog'!$B:$B,0)),IFERROR(INDEX('Catalog'!$A:$A,MATCH(TRIM(SUBSTITUTE($B2075,CHAR(160)," ")),'Catalog'!$C:$C,0)),""))))</f>
        <v>4408016</v>
      </c>
      <c r="H2075" s="8" t="str">
        <f aca="false">IFERROR(INDEX('TRANS'!$C:$C,MATCH($B2075,'TRANS'!$A:$A,0)),IFERROR(INDEX('Catalog'!$B:$B,MATCH($G2075,'Catalog'!$A:$A,0)),$B2075))</f>
        <v>07AU M ח.גב """"איטלקית"""" אורירית</v>
      </c>
      <c r="I2075" s="8" t="str">
        <f aca="false">IF($G2075="","Unmatched","Matched")</f>
        <v>Matched</v>
      </c>
      <c r="J2075" s="8" t="n">
        <f aca="false">IF($G2075&lt;&gt;"",$G2075,$B2075)</f>
        <v>4408016</v>
      </c>
      <c r="K2075" s="8" t="str">
        <f aca="false">IF(COUNTIF($M$1:$M$10,$A2075)&gt;0,"Y","N")</f>
        <v>Y</v>
      </c>
    </row>
    <row r="2076" customFormat="false" ht="15" hidden="false" customHeight="true" outlineLevel="0" collapsed="false">
      <c r="A2076" s="8" t="s">
        <v>42</v>
      </c>
      <c r="B2076" s="8" t="s">
        <v>972</v>
      </c>
      <c r="C2076" s="19" t="n">
        <v>0</v>
      </c>
      <c r="D2076" s="19" t="n">
        <v>0</v>
      </c>
      <c r="E2076" s="19" t="n">
        <v>1</v>
      </c>
      <c r="F2076" s="19" t="n">
        <v>474.49</v>
      </c>
      <c r="G2076" s="8" t="n">
        <f aca="false">IFERROR(INDEX('TRANS'!$B:$B,MATCH($B2076,'TRANS'!$A:$A,0)),IFERROR(INDEX('TRANS'!$B:$B,MATCH(TRIM(SUBSTITUTE($B2076,CHAR(160)," ")),'TRANS'!$D:$D,0)),IFERROR(INDEX('Catalog'!$A:$A,MATCH($B2076,'Catalog'!$B:$B,0)),IFERROR(INDEX('Catalog'!$A:$A,MATCH(TRIM(SUBSTITUTE($B2076,CHAR(160)," ")),'Catalog'!$C:$C,0)),""))))</f>
        <v>4408014</v>
      </c>
      <c r="H2076" s="8" t="str">
        <f aca="false">IFERROR(INDEX('TRANS'!$C:$C,MATCH($B2076,'TRANS'!$A:$A,0)),IFERROR(INDEX('Catalog'!$B:$B,MATCH($G2076,'Catalog'!$A:$A,0)),$B2076))</f>
        <v>07AU S ח.גב """"איטלקית"""" אורירית</v>
      </c>
      <c r="I2076" s="8" t="str">
        <f aca="false">IF($G2076="","Unmatched","Matched")</f>
        <v>Matched</v>
      </c>
      <c r="J2076" s="8" t="n">
        <f aca="false">IF($G2076&lt;&gt;"",$G2076,$B2076)</f>
        <v>4408014</v>
      </c>
      <c r="K2076" s="8" t="str">
        <f aca="false">IF(COUNTIF($M$1:$M$10,$A2076)&gt;0,"Y","N")</f>
        <v>Y</v>
      </c>
    </row>
    <row r="2077" customFormat="false" ht="15" hidden="false" customHeight="true" outlineLevel="0" collapsed="false">
      <c r="A2077" s="8" t="s">
        <v>42</v>
      </c>
      <c r="B2077" s="8" t="s">
        <v>953</v>
      </c>
      <c r="C2077" s="19" t="n">
        <v>5</v>
      </c>
      <c r="D2077" s="19" t="n">
        <v>2301.28</v>
      </c>
      <c r="E2077" s="19" t="n">
        <v>4</v>
      </c>
      <c r="F2077" s="19" t="n">
        <v>1755.62</v>
      </c>
      <c r="G2077" s="8" t="n">
        <f aca="false">IFERROR(INDEX('TRANS'!$B:$B,MATCH($B2077,'TRANS'!$A:$A,0)),IFERROR(INDEX('TRANS'!$B:$B,MATCH(TRIM(SUBSTITUTE($B2077,CHAR(160)," ")),'TRANS'!$D:$D,0)),IFERROR(INDEX('Catalog'!$A:$A,MATCH($B2077,'Catalog'!$B:$B,0)),IFERROR(INDEX('Catalog'!$A:$A,MATCH(TRIM(SUBSTITUTE($B2077,CHAR(160)," ")),'Catalog'!$C:$C,0)),""))))</f>
        <v>4408017</v>
      </c>
      <c r="H2077" s="8" t="str">
        <f aca="false">IFERROR(INDEX('TRANS'!$C:$C,MATCH($B2077,'TRANS'!$A:$A,0)),IFERROR(INDEX('Catalog'!$B:$B,MATCH($G2077,'Catalog'!$A:$A,0)),$B2077))</f>
        <v>07AU XL ח.גב """"איטלקית"""" אורירית</v>
      </c>
      <c r="I2077" s="8" t="str">
        <f aca="false">IF($G2077="","Unmatched","Matched")</f>
        <v>Matched</v>
      </c>
      <c r="J2077" s="8" t="n">
        <f aca="false">IF($G2077&lt;&gt;"",$G2077,$B2077)</f>
        <v>4408017</v>
      </c>
      <c r="K2077" s="8" t="str">
        <f aca="false">IF(COUNTIF($M$1:$M$10,$A2077)&gt;0,"Y","N")</f>
        <v>Y</v>
      </c>
    </row>
    <row r="2078" customFormat="false" ht="15" hidden="false" customHeight="true" outlineLevel="0" collapsed="false">
      <c r="A2078" s="8" t="s">
        <v>42</v>
      </c>
      <c r="B2078" s="8" t="s">
        <v>254</v>
      </c>
      <c r="C2078" s="19" t="n">
        <v>0</v>
      </c>
      <c r="D2078" s="19" t="n">
        <v>0</v>
      </c>
      <c r="E2078" s="19" t="n">
        <v>3</v>
      </c>
      <c r="F2078" s="19" t="n">
        <v>1423.47</v>
      </c>
      <c r="G2078" s="8" t="str">
        <f aca="false">IFERROR(INDEX('TRANS'!$B:$B,MATCH($B2078,'TRANS'!$A:$A,0)),IFERROR(INDEX('TRANS'!$B:$B,MATCH(TRIM(SUBSTITUTE($B2078,CHAR(160)," ")),'TRANS'!$D:$D,0)),IFERROR(INDEX('Catalog'!$A:$A,MATCH($B2078,'Catalog'!$B:$B,0)),IFERROR(INDEX('Catalog'!$A:$A,MATCH(TRIM(SUBSTITUTE($B2078,CHAR(160)," ")),'Catalog'!$C:$C,0)),""))))</f>
        <v/>
      </c>
      <c r="H2078" s="8" t="str">
        <f aca="false">IFERROR(INDEX('TRANS'!$C:$C,MATCH($B2078,'TRANS'!$A:$A,0)),IFERROR(INDEX('Catalog'!$B:$B,MATCH($G2078,'Catalog'!$A:$A,0)),$B2078))</f>
        <v>07AU XS</v>
      </c>
      <c r="I2078" s="8" t="str">
        <f aca="false">IF($G2078="","Unmatched","Matched")</f>
        <v>Unmatched</v>
      </c>
      <c r="J2078" s="8" t="str">
        <f aca="false">IF($G2078&lt;&gt;"",$G2078,$B2078)</f>
        <v>07AU XS</v>
      </c>
      <c r="K2078" s="8" t="str">
        <f aca="false">IF(COUNTIF($M$1:$M$10,$A2078)&gt;0,"Y","N")</f>
        <v>Y</v>
      </c>
    </row>
    <row r="2079" customFormat="false" ht="15" hidden="false" customHeight="true" outlineLevel="0" collapsed="false">
      <c r="A2079" s="8" t="s">
        <v>42</v>
      </c>
      <c r="B2079" s="8" t="s">
        <v>954</v>
      </c>
      <c r="C2079" s="19" t="n">
        <v>3</v>
      </c>
      <c r="D2079" s="19" t="n">
        <v>1209.96</v>
      </c>
      <c r="E2079" s="19" t="n">
        <v>2</v>
      </c>
      <c r="F2079" s="19" t="n">
        <v>901.53</v>
      </c>
      <c r="G2079" s="8" t="n">
        <f aca="false">IFERROR(INDEX('TRANS'!$B:$B,MATCH($B2079,'TRANS'!$A:$A,0)),IFERROR(INDEX('TRANS'!$B:$B,MATCH(TRIM(SUBSTITUTE($B2079,CHAR(160)," ")),'TRANS'!$D:$D,0)),IFERROR(INDEX('Catalog'!$A:$A,MATCH($B2079,'Catalog'!$B:$B,0)),IFERROR(INDEX('Catalog'!$A:$A,MATCH(TRIM(SUBSTITUTE($B2079,CHAR(160)," ")),'Catalog'!$C:$C,0)),""))))</f>
        <v>4408018</v>
      </c>
      <c r="H2079" s="8" t="str">
        <f aca="false">IFERROR(INDEX('TRANS'!$C:$C,MATCH($B2079,'TRANS'!$A:$A,0)),IFERROR(INDEX('Catalog'!$B:$B,MATCH($G2079,'Catalog'!$A:$A,0)),$B2079))</f>
        <v>07AU XXL.ח.גב """"איטלקית"""" אוריר</v>
      </c>
      <c r="I2079" s="8" t="str">
        <f aca="false">IF($G2079="","Unmatched","Matched")</f>
        <v>Matched</v>
      </c>
      <c r="J2079" s="8" t="n">
        <f aca="false">IF($G2079&lt;&gt;"",$G2079,$B2079)</f>
        <v>4408018</v>
      </c>
      <c r="K2079" s="8" t="str">
        <f aca="false">IF(COUNTIF($M$1:$M$10,$A2079)&gt;0,"Y","N")</f>
        <v>Y</v>
      </c>
    </row>
    <row r="2080" customFormat="false" ht="15" hidden="false" customHeight="true" outlineLevel="0" collapsed="false">
      <c r="A2080" s="8" t="s">
        <v>42</v>
      </c>
      <c r="B2080" s="8" t="s">
        <v>366</v>
      </c>
      <c r="C2080" s="19" t="n">
        <v>0</v>
      </c>
      <c r="D2080" s="19" t="n">
        <v>0</v>
      </c>
      <c r="E2080" s="19" t="n">
        <v>1</v>
      </c>
      <c r="F2080" s="19" t="n">
        <v>677.88</v>
      </c>
      <c r="G2080" s="8" t="str">
        <f aca="false">IFERROR(INDEX('TRANS'!$B:$B,MATCH($B2080,'TRANS'!$A:$A,0)),IFERROR(INDEX('TRANS'!$B:$B,MATCH(TRIM(SUBSTITUTE($B2080,CHAR(160)," ")),'TRANS'!$D:$D,0)),IFERROR(INDEX('Catalog'!$A:$A,MATCH($B2080,'Catalog'!$B:$B,0)),IFERROR(INDEX('Catalog'!$A:$A,MATCH(TRIM(SUBSTITUTE($B2080,CHAR(160)," ")),'Catalog'!$C:$C,0)),""))))</f>
        <v/>
      </c>
      <c r="H2080" s="8" t="str">
        <f aca="false">IFERROR(INDEX('TRANS'!$C:$C,MATCH($B2080,'TRANS'!$A:$A,0)),IFERROR(INDEX('Catalog'!$B:$B,MATCH($G2080,'Catalog'!$A:$A,0)),$B2080))</f>
        <v>07UB XS</v>
      </c>
      <c r="I2080" s="8" t="str">
        <f aca="false">IF($G2080="","Unmatched","Matched")</f>
        <v>Unmatched</v>
      </c>
      <c r="J2080" s="8" t="str">
        <f aca="false">IF($G2080&lt;&gt;"",$G2080,$B2080)</f>
        <v>07UB XS</v>
      </c>
      <c r="K2080" s="8" t="str">
        <f aca="false">IF(COUNTIF($M$1:$M$10,$A2080)&gt;0,"Y","N")</f>
        <v>Y</v>
      </c>
    </row>
    <row r="2081" customFormat="false" ht="15" hidden="false" customHeight="true" outlineLevel="0" collapsed="false">
      <c r="A2081" s="8" t="s">
        <v>42</v>
      </c>
      <c r="B2081" s="8" t="s">
        <v>253</v>
      </c>
      <c r="C2081" s="19" t="n">
        <v>2</v>
      </c>
      <c r="D2081" s="19" t="n">
        <v>847.28</v>
      </c>
      <c r="E2081" s="19" t="n">
        <v>2</v>
      </c>
      <c r="F2081" s="19" t="n">
        <v>783.73</v>
      </c>
      <c r="G2081" s="8" t="str">
        <f aca="false">IFERROR(INDEX('TRANS'!$B:$B,MATCH($B2081,'TRANS'!$A:$A,0)),IFERROR(INDEX('TRANS'!$B:$B,MATCH(TRIM(SUBSTITUTE($B2081,CHAR(160)," ")),'TRANS'!$D:$D,0)),IFERROR(INDEX('Catalog'!$A:$A,MATCH($B2081,'Catalog'!$B:$B,0)),IFERROR(INDEX('Catalog'!$A:$A,MATCH(TRIM(SUBSTITUTE($B2081,CHAR(160)," ")),'Catalog'!$C:$C,0)),""))))</f>
        <v/>
      </c>
      <c r="H2081" s="8" t="str">
        <f aca="false">IFERROR(INDEX('TRANS'!$C:$C,MATCH($B2081,'TRANS'!$A:$A,0)),IFERROR(INDEX('Catalog'!$B:$B,MATCH($G2081,'Catalog'!$A:$A,0)),$B2081))</f>
        <v>07UB XXL</v>
      </c>
      <c r="I2081" s="8" t="str">
        <f aca="false">IF($G2081="","Unmatched","Matched")</f>
        <v>Unmatched</v>
      </c>
      <c r="J2081" s="8" t="str">
        <f aca="false">IF($G2081&lt;&gt;"",$G2081,$B2081)</f>
        <v>07UB XXL</v>
      </c>
      <c r="K2081" s="8" t="str">
        <f aca="false">IF(COUNTIF($M$1:$M$10,$A2081)&gt;0,"Y","N")</f>
        <v>Y</v>
      </c>
    </row>
    <row r="2082" customFormat="false" ht="15" hidden="false" customHeight="true" outlineLevel="0" collapsed="false">
      <c r="A2082" s="8" t="s">
        <v>42</v>
      </c>
      <c r="B2082" s="8" t="s">
        <v>144</v>
      </c>
      <c r="C2082" s="19" t="n">
        <v>6</v>
      </c>
      <c r="D2082" s="19" t="n">
        <v>2541.84</v>
      </c>
      <c r="E2082" s="19" t="n">
        <v>8</v>
      </c>
      <c r="F2082" s="19" t="n">
        <v>3177.32</v>
      </c>
      <c r="G2082" s="8" t="str">
        <f aca="false">IFERROR(INDEX('TRANS'!$B:$B,MATCH($B2082,'TRANS'!$A:$A,0)),IFERROR(INDEX('TRANS'!$B:$B,MATCH(TRIM(SUBSTITUTE($B2082,CHAR(160)," ")),'TRANS'!$D:$D,0)),IFERROR(INDEX('Catalog'!$A:$A,MATCH($B2082,'Catalog'!$B:$B,0)),IFERROR(INDEX('Catalog'!$A:$A,MATCH(TRIM(SUBSTITUTE($B2082,CHAR(160)," ")),'Catalog'!$C:$C,0)),""))))</f>
        <v/>
      </c>
      <c r="H2082" s="8" t="str">
        <f aca="false">IFERROR(INDEX('TRANS'!$C:$C,MATCH($B2082,'TRANS'!$A:$A,0)),IFERROR(INDEX('Catalog'!$B:$B,MATCH($G2082,'Catalog'!$A:$A,0)),$B2082))</f>
        <v>07UB-L-XL</v>
      </c>
      <c r="I2082" s="8" t="str">
        <f aca="false">IF($G2082="","Unmatched","Matched")</f>
        <v>Unmatched</v>
      </c>
      <c r="J2082" s="8" t="str">
        <f aca="false">IF($G2082&lt;&gt;"",$G2082,$B2082)</f>
        <v>07UB-L-XL</v>
      </c>
      <c r="K2082" s="8" t="str">
        <f aca="false">IF(COUNTIF($M$1:$M$10,$A2082)&gt;0,"Y","N")</f>
        <v>Y</v>
      </c>
    </row>
    <row r="2083" customFormat="false" ht="15" hidden="false" customHeight="true" outlineLevel="0" collapsed="false">
      <c r="A2083" s="8" t="s">
        <v>42</v>
      </c>
      <c r="B2083" s="8" t="s">
        <v>328</v>
      </c>
      <c r="C2083" s="19" t="n">
        <v>2</v>
      </c>
      <c r="D2083" s="19" t="n">
        <v>780.04</v>
      </c>
      <c r="E2083" s="19" t="n">
        <v>1</v>
      </c>
      <c r="F2083" s="19" t="n">
        <v>423.64</v>
      </c>
      <c r="G2083" s="8" t="str">
        <f aca="false">IFERROR(INDEX('TRANS'!$B:$B,MATCH($B2083,'TRANS'!$A:$A,0)),IFERROR(INDEX('TRANS'!$B:$B,MATCH(TRIM(SUBSTITUTE($B2083,CHAR(160)," ")),'TRANS'!$D:$D,0)),IFERROR(INDEX('Catalog'!$A:$A,MATCH($B2083,'Catalog'!$B:$B,0)),IFERROR(INDEX('Catalog'!$A:$A,MATCH(TRIM(SUBSTITUTE($B2083,CHAR(160)," ")),'Catalog'!$C:$C,0)),""))))</f>
        <v/>
      </c>
      <c r="H2083" s="8" t="str">
        <f aca="false">IFERROR(INDEX('TRANS'!$C:$C,MATCH($B2083,'TRANS'!$A:$A,0)),IFERROR(INDEX('Catalog'!$B:$B,MATCH($G2083,'Catalog'!$A:$A,0)),$B2083))</f>
        <v>07UB-S-M</v>
      </c>
      <c r="I2083" s="8" t="str">
        <f aca="false">IF($G2083="","Unmatched","Matched")</f>
        <v>Unmatched</v>
      </c>
      <c r="J2083" s="8" t="str">
        <f aca="false">IF($G2083&lt;&gt;"",$G2083,$B2083)</f>
        <v>07UB-S-M</v>
      </c>
      <c r="K2083" s="8" t="str">
        <f aca="false">IF(COUNTIF($M$1:$M$10,$A2083)&gt;0,"Y","N")</f>
        <v>Y</v>
      </c>
    </row>
    <row r="2084" customFormat="false" ht="15" hidden="false" customHeight="true" outlineLevel="0" collapsed="false">
      <c r="A2084" s="8" t="s">
        <v>42</v>
      </c>
      <c r="B2084" s="8" t="s">
        <v>125</v>
      </c>
      <c r="C2084" s="19" t="n">
        <v>10</v>
      </c>
      <c r="D2084" s="19" t="n">
        <v>1929.17</v>
      </c>
      <c r="E2084" s="19" t="n">
        <v>10</v>
      </c>
      <c r="F2084" s="19" t="n">
        <v>1963.34</v>
      </c>
      <c r="G2084" s="8" t="str">
        <f aca="false">IFERROR(INDEX('TRANS'!$B:$B,MATCH($B2084,'TRANS'!$A:$A,0)),IFERROR(INDEX('TRANS'!$B:$B,MATCH(TRIM(SUBSTITUTE($B2084,CHAR(160)," ")),'TRANS'!$D:$D,0)),IFERROR(INDEX('Catalog'!$A:$A,MATCH($B2084,'Catalog'!$B:$B,0)),IFERROR(INDEX('Catalog'!$A:$A,MATCH(TRIM(SUBSTITUTE($B2084,CHAR(160)," ")),'Catalog'!$C:$C,0)),""))))</f>
        <v/>
      </c>
      <c r="H2084" s="8" t="str">
        <f aca="false">IFERROR(INDEX('TRANS'!$C:$C,MATCH($B2084,'TRANS'!$A:$A,0)),IFERROR(INDEX('Catalog'!$B:$B,MATCH($G2084,'Catalog'!$A:$A,0)),$B2084))</f>
        <v>099-L-XL</v>
      </c>
      <c r="I2084" s="8" t="str">
        <f aca="false">IF($G2084="","Unmatched","Matched")</f>
        <v>Unmatched</v>
      </c>
      <c r="J2084" s="8" t="str">
        <f aca="false">IF($G2084&lt;&gt;"",$G2084,$B2084)</f>
        <v>099-L-XL</v>
      </c>
      <c r="K2084" s="8" t="str">
        <f aca="false">IF(COUNTIF($M$1:$M$10,$A2084)&gt;0,"Y","N")</f>
        <v>Y</v>
      </c>
    </row>
    <row r="2085" customFormat="false" ht="15" hidden="false" customHeight="true" outlineLevel="0" collapsed="false">
      <c r="A2085" s="8" t="s">
        <v>42</v>
      </c>
      <c r="B2085" s="8" t="s">
        <v>215</v>
      </c>
      <c r="C2085" s="19" t="n">
        <v>3</v>
      </c>
      <c r="D2085" s="19" t="n">
        <v>456.69</v>
      </c>
      <c r="E2085" s="19" t="n">
        <v>3</v>
      </c>
      <c r="F2085" s="19" t="n">
        <v>440.43</v>
      </c>
      <c r="G2085" s="8" t="str">
        <f aca="false">IFERROR(INDEX('TRANS'!$B:$B,MATCH($B2085,'TRANS'!$A:$A,0)),IFERROR(INDEX('TRANS'!$B:$B,MATCH(TRIM(SUBSTITUTE($B2085,CHAR(160)," ")),'TRANS'!$D:$D,0)),IFERROR(INDEX('Catalog'!$A:$A,MATCH($B2085,'Catalog'!$B:$B,0)),IFERROR(INDEX('Catalog'!$A:$A,MATCH(TRIM(SUBSTITUTE($B2085,CHAR(160)," ")),'Catalog'!$C:$C,0)),""))))</f>
        <v/>
      </c>
      <c r="H2085" s="8" t="str">
        <f aca="false">IFERROR(INDEX('TRANS'!$C:$C,MATCH($B2085,'TRANS'!$A:$A,0)),IFERROR(INDEX('Catalog'!$B:$B,MATCH($G2085,'Catalog'!$A:$A,0)),$B2085))</f>
        <v>099-S-M</v>
      </c>
      <c r="I2085" s="8" t="str">
        <f aca="false">IF($G2085="","Unmatched","Matched")</f>
        <v>Unmatched</v>
      </c>
      <c r="J2085" s="8" t="str">
        <f aca="false">IF($G2085&lt;&gt;"",$G2085,$B2085)</f>
        <v>099-S-M</v>
      </c>
      <c r="K2085" s="8" t="str">
        <f aca="false">IF(COUNTIF($M$1:$M$10,$A2085)&gt;0,"Y","N")</f>
        <v>Y</v>
      </c>
    </row>
    <row r="2086" customFormat="false" ht="15" hidden="false" customHeight="true" outlineLevel="0" collapsed="false">
      <c r="A2086" s="8" t="s">
        <v>42</v>
      </c>
      <c r="B2086" s="8" t="s">
        <v>564</v>
      </c>
      <c r="C2086" s="19" t="n">
        <v>4</v>
      </c>
      <c r="D2086" s="19" t="n">
        <v>1071.33</v>
      </c>
      <c r="E2086" s="19" t="n">
        <v>0</v>
      </c>
      <c r="F2086" s="19" t="n">
        <v>0</v>
      </c>
      <c r="G2086" s="8" t="n">
        <f aca="false">IFERROR(INDEX('TRANS'!$B:$B,MATCH($B2086,'TRANS'!$A:$A,0)),IFERROR(INDEX('TRANS'!$B:$B,MATCH(TRIM(SUBSTITUTE($B2086,CHAR(160)," ")),'TRANS'!$D:$D,0)),IFERROR(INDEX('Catalog'!$A:$A,MATCH($B2086,'Catalog'!$B:$B,0)),IFERROR(INDEX('Catalog'!$A:$A,MATCH(TRIM(SUBSTITUTE($B2086,CHAR(160)," ")),'Catalog'!$C:$C,0)),""))))</f>
        <v>4408027</v>
      </c>
      <c r="H2086" s="8" t="str">
        <f aca="false">IFERROR(INDEX('TRANS'!$C:$C,MATCH($B2086,'TRANS'!$A:$A,0)),IFERROR(INDEX('Catalog'!$B:$B,MATCH($G2086,'Catalog'!$A:$A,0)),$B2086))</f>
        <v>10 L """"חגורת גב """"לומבו</v>
      </c>
      <c r="I2086" s="8" t="str">
        <f aca="false">IF($G2086="","Unmatched","Matched")</f>
        <v>Matched</v>
      </c>
      <c r="J2086" s="8" t="n">
        <f aca="false">IF($G2086&lt;&gt;"",$G2086,$B2086)</f>
        <v>4408027</v>
      </c>
      <c r="K2086" s="8" t="str">
        <f aca="false">IF(COUNTIF($M$1:$M$10,$A2086)&gt;0,"Y","N")</f>
        <v>Y</v>
      </c>
    </row>
    <row r="2087" customFormat="false" ht="15" hidden="false" customHeight="true" outlineLevel="0" collapsed="false">
      <c r="A2087" s="8" t="s">
        <v>42</v>
      </c>
      <c r="B2087" s="8" t="s">
        <v>565</v>
      </c>
      <c r="C2087" s="19" t="n">
        <v>2</v>
      </c>
      <c r="D2087" s="19" t="n">
        <v>475.29</v>
      </c>
      <c r="E2087" s="19" t="n">
        <v>0</v>
      </c>
      <c r="F2087" s="19" t="n">
        <v>0</v>
      </c>
      <c r="G2087" s="8" t="n">
        <f aca="false">IFERROR(INDEX('TRANS'!$B:$B,MATCH($B2087,'TRANS'!$A:$A,0)),IFERROR(INDEX('TRANS'!$B:$B,MATCH(TRIM(SUBSTITUTE($B2087,CHAR(160)," ")),'TRANS'!$D:$D,0)),IFERROR(INDEX('Catalog'!$A:$A,MATCH($B2087,'Catalog'!$B:$B,0)),IFERROR(INDEX('Catalog'!$A:$A,MATCH(TRIM(SUBSTITUTE($B2087,CHAR(160)," ")),'Catalog'!$C:$C,0)),""))))</f>
        <v>4408028</v>
      </c>
      <c r="H2087" s="8" t="str">
        <f aca="false">IFERROR(INDEX('TRANS'!$C:$C,MATCH($B2087,'TRANS'!$A:$A,0)),IFERROR(INDEX('Catalog'!$B:$B,MATCH($G2087,'Catalog'!$A:$A,0)),$B2087))</f>
        <v>10 M """"חגורת גב """"לומבו</v>
      </c>
      <c r="I2087" s="8" t="str">
        <f aca="false">IF($G2087="","Unmatched","Matched")</f>
        <v>Matched</v>
      </c>
      <c r="J2087" s="8" t="n">
        <f aca="false">IF($G2087&lt;&gt;"",$G2087,$B2087)</f>
        <v>4408028</v>
      </c>
      <c r="K2087" s="8" t="str">
        <f aca="false">IF(COUNTIF($M$1:$M$10,$A2087)&gt;0,"Y","N")</f>
        <v>Y</v>
      </c>
    </row>
    <row r="2088" customFormat="false" ht="15" hidden="false" customHeight="true" outlineLevel="0" collapsed="false">
      <c r="A2088" s="8" t="s">
        <v>42</v>
      </c>
      <c r="B2088" s="8" t="s">
        <v>497</v>
      </c>
      <c r="C2088" s="19" t="n">
        <v>1</v>
      </c>
      <c r="D2088" s="19" t="n">
        <v>223.66</v>
      </c>
      <c r="E2088" s="19" t="n">
        <v>0</v>
      </c>
      <c r="F2088" s="19" t="n">
        <v>0</v>
      </c>
      <c r="G2088" s="8" t="str">
        <f aca="false">IFERROR(INDEX('TRANS'!$B:$B,MATCH($B2088,'TRANS'!$A:$A,0)),IFERROR(INDEX('TRANS'!$B:$B,MATCH(TRIM(SUBSTITUTE($B2088,CHAR(160)," ")),'TRANS'!$D:$D,0)),IFERROR(INDEX('Catalog'!$A:$A,MATCH($B2088,'Catalog'!$B:$B,0)),IFERROR(INDEX('Catalog'!$A:$A,MATCH(TRIM(SUBSTITUTE($B2088,CHAR(160)," ")),'Catalog'!$C:$C,0)),""))))</f>
        <v/>
      </c>
      <c r="H2088" s="8" t="str">
        <f aca="false">IFERROR(INDEX('TRANS'!$C:$C,MATCH($B2088,'TRANS'!$A:$A,0)),IFERROR(INDEX('Catalog'!$B:$B,MATCH($G2088,'Catalog'!$A:$A,0)),$B2088))</f>
        <v>10 S</v>
      </c>
      <c r="I2088" s="8" t="str">
        <f aca="false">IF($G2088="","Unmatched","Matched")</f>
        <v>Unmatched</v>
      </c>
      <c r="J2088" s="8" t="str">
        <f aca="false">IF($G2088&lt;&gt;"",$G2088,$B2088)</f>
        <v>10 S</v>
      </c>
      <c r="K2088" s="8" t="str">
        <f aca="false">IF(COUNTIF($M$1:$M$10,$A2088)&gt;0,"Y","N")</f>
        <v>Y</v>
      </c>
    </row>
    <row r="2089" customFormat="false" ht="15" hidden="false" customHeight="true" outlineLevel="0" collapsed="false">
      <c r="A2089" s="8" t="s">
        <v>42</v>
      </c>
      <c r="B2089" s="8" t="s">
        <v>566</v>
      </c>
      <c r="C2089" s="19" t="n">
        <v>2</v>
      </c>
      <c r="D2089" s="19" t="n">
        <v>475.28</v>
      </c>
      <c r="E2089" s="19" t="n">
        <v>0</v>
      </c>
      <c r="F2089" s="19" t="n">
        <v>0</v>
      </c>
      <c r="G2089" s="8" t="n">
        <f aca="false">IFERROR(INDEX('TRANS'!$B:$B,MATCH($B2089,'TRANS'!$A:$A,0)),IFERROR(INDEX('TRANS'!$B:$B,MATCH(TRIM(SUBSTITUTE($B2089,CHAR(160)," ")),'TRANS'!$D:$D,0)),IFERROR(INDEX('Catalog'!$A:$A,MATCH($B2089,'Catalog'!$B:$B,0)),IFERROR(INDEX('Catalog'!$A:$A,MATCH(TRIM(SUBSTITUTE($B2089,CHAR(160)," ")),'Catalog'!$C:$C,0)),""))))</f>
        <v>4408029</v>
      </c>
      <c r="H2089" s="8" t="str">
        <f aca="false">IFERROR(INDEX('TRANS'!$C:$C,MATCH($B2089,'TRANS'!$A:$A,0)),IFERROR(INDEX('Catalog'!$B:$B,MATCH($G2089,'Catalog'!$A:$A,0)),$B2089))</f>
        <v>10 XL """"חגורת גב """"לומבו</v>
      </c>
      <c r="I2089" s="8" t="str">
        <f aca="false">IF($G2089="","Unmatched","Matched")</f>
        <v>Matched</v>
      </c>
      <c r="J2089" s="8" t="n">
        <f aca="false">IF($G2089&lt;&gt;"",$G2089,$B2089)</f>
        <v>4408029</v>
      </c>
      <c r="K2089" s="8" t="str">
        <f aca="false">IF(COUNTIF($M$1:$M$10,$A2089)&gt;0,"Y","N")</f>
        <v>Y</v>
      </c>
    </row>
    <row r="2090" customFormat="false" ht="15" hidden="false" customHeight="true" outlineLevel="0" collapsed="false">
      <c r="A2090" s="8" t="s">
        <v>42</v>
      </c>
      <c r="B2090" s="8" t="s">
        <v>423</v>
      </c>
      <c r="C2090" s="19" t="n">
        <v>3</v>
      </c>
      <c r="D2090" s="19" t="n">
        <v>742.02</v>
      </c>
      <c r="E2090" s="19" t="n">
        <v>0</v>
      </c>
      <c r="F2090" s="19" t="n">
        <v>0</v>
      </c>
      <c r="G2090" s="8" t="str">
        <f aca="false">IFERROR(INDEX('TRANS'!$B:$B,MATCH($B2090,'TRANS'!$A:$A,0)),IFERROR(INDEX('TRANS'!$B:$B,MATCH(TRIM(SUBSTITUTE($B2090,CHAR(160)," ")),'TRANS'!$D:$D,0)),IFERROR(INDEX('Catalog'!$A:$A,MATCH($B2090,'Catalog'!$B:$B,0)),IFERROR(INDEX('Catalog'!$A:$A,MATCH(TRIM(SUBSTITUTE($B2090,CHAR(160)," ")),'Catalog'!$C:$C,0)),""))))</f>
        <v/>
      </c>
      <c r="H2090" s="8" t="str">
        <f aca="false">IFERROR(INDEX('TRANS'!$C:$C,MATCH($B2090,'TRANS'!$A:$A,0)),IFERROR(INDEX('Catalog'!$B:$B,MATCH($G2090,'Catalog'!$A:$A,0)),$B2090))</f>
        <v>10 XXL</v>
      </c>
      <c r="I2090" s="8" t="str">
        <f aca="false">IF($G2090="","Unmatched","Matched")</f>
        <v>Unmatched</v>
      </c>
      <c r="J2090" s="8" t="str">
        <f aca="false">IF($G2090&lt;&gt;"",$G2090,$B2090)</f>
        <v>10 XXL</v>
      </c>
      <c r="K2090" s="8" t="str">
        <f aca="false">IF(COUNTIF($M$1:$M$10,$A2090)&gt;0,"Y","N")</f>
        <v>Y</v>
      </c>
    </row>
    <row r="2091" customFormat="false" ht="15" hidden="false" customHeight="true" outlineLevel="0" collapsed="false">
      <c r="A2091" s="8" t="s">
        <v>42</v>
      </c>
      <c r="B2091" s="8" t="s">
        <v>855</v>
      </c>
      <c r="C2091" s="19" t="n">
        <v>5</v>
      </c>
      <c r="D2091" s="19" t="n">
        <v>974.15</v>
      </c>
      <c r="E2091" s="19" t="n">
        <v>6</v>
      </c>
      <c r="F2091" s="19" t="n">
        <v>1149.5</v>
      </c>
      <c r="G2091" s="8" t="n">
        <f aca="false">IFERROR(INDEX('TRANS'!$B:$B,MATCH($B2091,'TRANS'!$A:$A,0)),IFERROR(INDEX('TRANS'!$B:$B,MATCH(TRIM(SUBSTITUTE($B2091,CHAR(160)," ")),'TRANS'!$D:$D,0)),IFERROR(INDEX('Catalog'!$A:$A,MATCH($B2091,'Catalog'!$B:$B,0)),IFERROR(INDEX('Catalog'!$A:$A,MATCH(TRIM(SUBSTITUTE($B2091,CHAR(160)," ")),'Catalog'!$C:$C,0)),""))))</f>
        <v>4408032</v>
      </c>
      <c r="H2091" s="8" t="str">
        <f aca="false">IFERROR(INDEX('TRANS'!$C:$C,MATCH($B2091,'TRANS'!$A:$A,0)),IFERROR(INDEX('Catalog'!$B:$B,MATCH($G2091,'Catalog'!$A:$A,0)),$B2091))</f>
        <v>11 L""""חגורת בטן""""אורירית</v>
      </c>
      <c r="I2091" s="8" t="str">
        <f aca="false">IF($G2091="","Unmatched","Matched")</f>
        <v>Matched</v>
      </c>
      <c r="J2091" s="8" t="n">
        <f aca="false">IF($G2091&lt;&gt;"",$G2091,$B2091)</f>
        <v>4408032</v>
      </c>
      <c r="K2091" s="8" t="str">
        <f aca="false">IF(COUNTIF($M$1:$M$10,$A2091)&gt;0,"Y","N")</f>
        <v>Y</v>
      </c>
    </row>
    <row r="2092" customFormat="false" ht="15" hidden="false" customHeight="true" outlineLevel="0" collapsed="false">
      <c r="A2092" s="8" t="s">
        <v>42</v>
      </c>
      <c r="B2092" s="8" t="s">
        <v>567</v>
      </c>
      <c r="C2092" s="19" t="n">
        <v>7</v>
      </c>
      <c r="D2092" s="19" t="n">
        <v>1285.88</v>
      </c>
      <c r="E2092" s="19" t="n">
        <v>11</v>
      </c>
      <c r="F2092" s="19" t="n">
        <v>2065.21</v>
      </c>
      <c r="G2092" s="8" t="n">
        <f aca="false">IFERROR(INDEX('TRANS'!$B:$B,MATCH($B2092,'TRANS'!$A:$A,0)),IFERROR(INDEX('TRANS'!$B:$B,MATCH(TRIM(SUBSTITUTE($B2092,CHAR(160)," ")),'TRANS'!$D:$D,0)),IFERROR(INDEX('Catalog'!$A:$A,MATCH($B2092,'Catalog'!$B:$B,0)),IFERROR(INDEX('Catalog'!$A:$A,MATCH(TRIM(SUBSTITUTE($B2092,CHAR(160)," ")),'Catalog'!$C:$C,0)),""))))</f>
        <v>4408033</v>
      </c>
      <c r="H2092" s="8" t="str">
        <f aca="false">IFERROR(INDEX('TRANS'!$C:$C,MATCH($B2092,'TRANS'!$A:$A,0)),IFERROR(INDEX('Catalog'!$B:$B,MATCH($G2092,'Catalog'!$A:$A,0)),$B2092))</f>
        <v>11 M""""חגורת בטן""""אורירית</v>
      </c>
      <c r="I2092" s="8" t="str">
        <f aca="false">IF($G2092="","Unmatched","Matched")</f>
        <v>Matched</v>
      </c>
      <c r="J2092" s="8" t="n">
        <f aca="false">IF($G2092&lt;&gt;"",$G2092,$B2092)</f>
        <v>4408033</v>
      </c>
      <c r="K2092" s="8" t="str">
        <f aca="false">IF(COUNTIF($M$1:$M$10,$A2092)&gt;0,"Y","N")</f>
        <v>Y</v>
      </c>
    </row>
    <row r="2093" customFormat="false" ht="15" hidden="false" customHeight="true" outlineLevel="0" collapsed="false">
      <c r="A2093" s="8" t="s">
        <v>42</v>
      </c>
      <c r="B2093" s="8" t="s">
        <v>973</v>
      </c>
      <c r="C2093" s="19" t="n">
        <v>4</v>
      </c>
      <c r="D2093" s="19" t="n">
        <v>711.13</v>
      </c>
      <c r="E2093" s="19" t="n">
        <v>5</v>
      </c>
      <c r="F2093" s="19" t="n">
        <v>935.19</v>
      </c>
      <c r="G2093" s="8" t="n">
        <f aca="false">IFERROR(INDEX('TRANS'!$B:$B,MATCH($B2093,'TRANS'!$A:$A,0)),IFERROR(INDEX('TRANS'!$B:$B,MATCH(TRIM(SUBSTITUTE($B2093,CHAR(160)," ")),'TRANS'!$D:$D,0)),IFERROR(INDEX('Catalog'!$A:$A,MATCH($B2093,'Catalog'!$B:$B,0)),IFERROR(INDEX('Catalog'!$A:$A,MATCH(TRIM(SUBSTITUTE($B2093,CHAR(160)," ")),'Catalog'!$C:$C,0)),""))))</f>
        <v>4408031</v>
      </c>
      <c r="H2093" s="8" t="str">
        <f aca="false">IFERROR(INDEX('TRANS'!$C:$C,MATCH($B2093,'TRANS'!$A:$A,0)),IFERROR(INDEX('Catalog'!$B:$B,MATCH($G2093,'Catalog'!$A:$A,0)),$B2093))</f>
        <v>11 S""""חגורת בטן""""אורירית</v>
      </c>
      <c r="I2093" s="8" t="str">
        <f aca="false">IF($G2093="","Unmatched","Matched")</f>
        <v>Matched</v>
      </c>
      <c r="J2093" s="8" t="n">
        <f aca="false">IF($G2093&lt;&gt;"",$G2093,$B2093)</f>
        <v>4408031</v>
      </c>
      <c r="K2093" s="8" t="str">
        <f aca="false">IF(COUNTIF($M$1:$M$10,$A2093)&gt;0,"Y","N")</f>
        <v>Y</v>
      </c>
    </row>
    <row r="2094" customFormat="false" ht="15" hidden="false" customHeight="true" outlineLevel="0" collapsed="false">
      <c r="A2094" s="8" t="s">
        <v>42</v>
      </c>
      <c r="B2094" s="8" t="s">
        <v>936</v>
      </c>
      <c r="C2094" s="19" t="n">
        <v>5</v>
      </c>
      <c r="D2094" s="19" t="n">
        <v>944.93</v>
      </c>
      <c r="E2094" s="19" t="n">
        <v>5</v>
      </c>
      <c r="F2094" s="19" t="n">
        <v>935.19</v>
      </c>
      <c r="G2094" s="8" t="n">
        <f aca="false">IFERROR(INDEX('TRANS'!$B:$B,MATCH($B2094,'TRANS'!$A:$A,0)),IFERROR(INDEX('TRANS'!$B:$B,MATCH(TRIM(SUBSTITUTE($B2094,CHAR(160)," ")),'TRANS'!$D:$D,0)),IFERROR(INDEX('Catalog'!$A:$A,MATCH($B2094,'Catalog'!$B:$B,0)),IFERROR(INDEX('Catalog'!$A:$A,MATCH(TRIM(SUBSTITUTE($B2094,CHAR(160)," ")),'Catalog'!$C:$C,0)),""))))</f>
        <v>4408034</v>
      </c>
      <c r="H2094" s="8" t="str">
        <f aca="false">IFERROR(INDEX('TRANS'!$C:$C,MATCH($B2094,'TRANS'!$A:$A,0)),IFERROR(INDEX('Catalog'!$B:$B,MATCH($G2094,'Catalog'!$A:$A,0)),$B2094))</f>
        <v>11 XL""""חגורת בטן""""אורירית</v>
      </c>
      <c r="I2094" s="8" t="str">
        <f aca="false">IF($G2094="","Unmatched","Matched")</f>
        <v>Matched</v>
      </c>
      <c r="J2094" s="8" t="n">
        <f aca="false">IF($G2094&lt;&gt;"",$G2094,$B2094)</f>
        <v>4408034</v>
      </c>
      <c r="K2094" s="8" t="str">
        <f aca="false">IF(COUNTIF($M$1:$M$10,$A2094)&gt;0,"Y","N")</f>
        <v>Y</v>
      </c>
    </row>
    <row r="2095" customFormat="false" ht="15" hidden="false" customHeight="true" outlineLevel="0" collapsed="false">
      <c r="A2095" s="8" t="s">
        <v>42</v>
      </c>
      <c r="B2095" s="8" t="s">
        <v>301</v>
      </c>
      <c r="C2095" s="19" t="n">
        <v>0</v>
      </c>
      <c r="D2095" s="19" t="n">
        <v>0</v>
      </c>
      <c r="E2095" s="19" t="n">
        <v>2</v>
      </c>
      <c r="F2095" s="19" t="n">
        <v>508.3</v>
      </c>
      <c r="G2095" s="8" t="str">
        <f aca="false">IFERROR(INDEX('TRANS'!$B:$B,MATCH($B2095,'TRANS'!$A:$A,0)),IFERROR(INDEX('TRANS'!$B:$B,MATCH(TRIM(SUBSTITUTE($B2095,CHAR(160)," ")),'TRANS'!$D:$D,0)),IFERROR(INDEX('Catalog'!$A:$A,MATCH($B2095,'Catalog'!$B:$B,0)),IFERROR(INDEX('Catalog'!$A:$A,MATCH(TRIM(SUBSTITUTE($B2095,CHAR(160)," ")),'Catalog'!$C:$C,0)),""))))</f>
        <v/>
      </c>
      <c r="H2095" s="8" t="str">
        <f aca="false">IFERROR(INDEX('TRANS'!$C:$C,MATCH($B2095,'TRANS'!$A:$A,0)),IFERROR(INDEX('Catalog'!$B:$B,MATCH($G2095,'Catalog'!$A:$A,0)),$B2095))</f>
        <v>11 XS</v>
      </c>
      <c r="I2095" s="8" t="str">
        <f aca="false">IF($G2095="","Unmatched","Matched")</f>
        <v>Unmatched</v>
      </c>
      <c r="J2095" s="8" t="str">
        <f aca="false">IF($G2095&lt;&gt;"",$G2095,$B2095)</f>
        <v>11 XS</v>
      </c>
      <c r="K2095" s="8" t="str">
        <f aca="false">IF(COUNTIF($M$1:$M$10,$A2095)&gt;0,"Y","N")</f>
        <v>Y</v>
      </c>
    </row>
    <row r="2096" customFormat="false" ht="15" hidden="false" customHeight="true" outlineLevel="0" collapsed="false">
      <c r="A2096" s="8" t="s">
        <v>42</v>
      </c>
      <c r="B2096" s="8" t="s">
        <v>937</v>
      </c>
      <c r="C2096" s="19" t="n">
        <v>9</v>
      </c>
      <c r="D2096" s="19" t="n">
        <v>1832.38</v>
      </c>
      <c r="E2096" s="19" t="n">
        <v>10</v>
      </c>
      <c r="F2096" s="19" t="n">
        <v>1909.33</v>
      </c>
      <c r="G2096" s="8" t="n">
        <f aca="false">IFERROR(INDEX('TRANS'!$B:$B,MATCH($B2096,'TRANS'!$A:$A,0)),IFERROR(INDEX('TRANS'!$B:$B,MATCH(TRIM(SUBSTITUTE($B2096,CHAR(160)," ")),'TRANS'!$D:$D,0)),IFERROR(INDEX('Catalog'!$A:$A,MATCH($B2096,'Catalog'!$B:$B,0)),IFERROR(INDEX('Catalog'!$A:$A,MATCH(TRIM(SUBSTITUTE($B2096,CHAR(160)," ")),'Catalog'!$C:$C,0)),""))))</f>
        <v>4408035</v>
      </c>
      <c r="H2096" s="8" t="str">
        <f aca="false">IFERROR(INDEX('TRANS'!$C:$C,MATCH($B2096,'TRANS'!$A:$A,0)),IFERROR(INDEX('Catalog'!$B:$B,MATCH($G2096,'Catalog'!$A:$A,0)),$B2096))</f>
        <v>11 XXL""""חגורת בטן""""אורירית</v>
      </c>
      <c r="I2096" s="8" t="str">
        <f aca="false">IF($G2096="","Unmatched","Matched")</f>
        <v>Matched</v>
      </c>
      <c r="J2096" s="8" t="n">
        <f aca="false">IF($G2096&lt;&gt;"",$G2096,$B2096)</f>
        <v>4408035</v>
      </c>
      <c r="K2096" s="8" t="str">
        <f aca="false">IF(COUNTIF($M$1:$M$10,$A2096)&gt;0,"Y","N")</f>
        <v>Y</v>
      </c>
    </row>
    <row r="2097" customFormat="false" ht="15" hidden="false" customHeight="true" outlineLevel="0" collapsed="false">
      <c r="A2097" s="8" t="s">
        <v>42</v>
      </c>
      <c r="B2097" s="8" t="s">
        <v>568</v>
      </c>
      <c r="C2097" s="19" t="n">
        <v>10</v>
      </c>
      <c r="D2097" s="19" t="n">
        <v>1960.84</v>
      </c>
      <c r="E2097" s="19" t="n">
        <v>8</v>
      </c>
      <c r="F2097" s="19" t="n">
        <v>1592.55</v>
      </c>
      <c r="G2097" s="8" t="n">
        <f aca="false">IFERROR(INDEX('TRANS'!$B:$B,MATCH($B2097,'TRANS'!$A:$A,0)),IFERROR(INDEX('TRANS'!$B:$B,MATCH(TRIM(SUBSTITUTE($B2097,CHAR(160)," ")),'TRANS'!$D:$D,0)),IFERROR(INDEX('Catalog'!$A:$A,MATCH($B2097,'Catalog'!$B:$B,0)),IFERROR(INDEX('Catalog'!$A:$A,MATCH(TRIM(SUBSTITUTE($B2097,CHAR(160)," ")),'Catalog'!$C:$C,0)),""))))</f>
        <v>4408115</v>
      </c>
      <c r="H2097" s="8" t="str">
        <f aca="false">IFERROR(INDEX('TRANS'!$C:$C,MATCH($B2097,'TRANS'!$A:$A,0)),IFERROR(INDEX('Catalog'!$B:$B,MATCH($G2097,'Catalog'!$A:$A,0)),$B2097))</f>
        <v>11EU L ח.בטן לאחר ניתוח</v>
      </c>
      <c r="I2097" s="8" t="str">
        <f aca="false">IF($G2097="","Unmatched","Matched")</f>
        <v>Matched</v>
      </c>
      <c r="J2097" s="8" t="n">
        <f aca="false">IF($G2097&lt;&gt;"",$G2097,$B2097)</f>
        <v>4408115</v>
      </c>
      <c r="K2097" s="8" t="str">
        <f aca="false">IF(COUNTIF($M$1:$M$10,$A2097)&gt;0,"Y","N")</f>
        <v>Y</v>
      </c>
    </row>
    <row r="2098" customFormat="false" ht="15" hidden="false" customHeight="true" outlineLevel="0" collapsed="false">
      <c r="A2098" s="8" t="s">
        <v>42</v>
      </c>
      <c r="B2098" s="8" t="s">
        <v>569</v>
      </c>
      <c r="C2098" s="19" t="n">
        <v>5</v>
      </c>
      <c r="D2098" s="19" t="n">
        <v>973.31</v>
      </c>
      <c r="E2098" s="19" t="n">
        <v>10</v>
      </c>
      <c r="F2098" s="19" t="n">
        <v>1930.97</v>
      </c>
      <c r="G2098" s="8" t="n">
        <f aca="false">IFERROR(INDEX('TRANS'!$B:$B,MATCH($B2098,'TRANS'!$A:$A,0)),IFERROR(INDEX('TRANS'!$B:$B,MATCH(TRIM(SUBSTITUTE($B2098,CHAR(160)," ")),'TRANS'!$D:$D,0)),IFERROR(INDEX('Catalog'!$A:$A,MATCH($B2098,'Catalog'!$B:$B,0)),IFERROR(INDEX('Catalog'!$A:$A,MATCH(TRIM(SUBSTITUTE($B2098,CHAR(160)," ")),'Catalog'!$C:$C,0)),""))))</f>
        <v>4408114</v>
      </c>
      <c r="H2098" s="8" t="str">
        <f aca="false">IFERROR(INDEX('TRANS'!$C:$C,MATCH($B2098,'TRANS'!$A:$A,0)),IFERROR(INDEX('Catalog'!$B:$B,MATCH($G2098,'Catalog'!$A:$A,0)),$B2098))</f>
        <v>11EU M ח.בטן לאחר ניתוח</v>
      </c>
      <c r="I2098" s="8" t="str">
        <f aca="false">IF($G2098="","Unmatched","Matched")</f>
        <v>Matched</v>
      </c>
      <c r="J2098" s="8" t="n">
        <f aca="false">IF($G2098&lt;&gt;"",$G2098,$B2098)</f>
        <v>4408114</v>
      </c>
      <c r="K2098" s="8" t="str">
        <f aca="false">IF(COUNTIF($M$1:$M$10,$A2098)&gt;0,"Y","N")</f>
        <v>Y</v>
      </c>
    </row>
    <row r="2099" customFormat="false" ht="15" hidden="false" customHeight="true" outlineLevel="0" collapsed="false">
      <c r="A2099" s="8" t="s">
        <v>42</v>
      </c>
      <c r="B2099" s="8" t="s">
        <v>156</v>
      </c>
      <c r="C2099" s="19" t="n">
        <v>4</v>
      </c>
      <c r="D2099" s="19" t="n">
        <v>705.15</v>
      </c>
      <c r="E2099" s="19" t="n">
        <v>5</v>
      </c>
      <c r="F2099" s="19" t="n">
        <v>975.44</v>
      </c>
      <c r="G2099" s="8" t="str">
        <f aca="false">IFERROR(INDEX('TRANS'!$B:$B,MATCH($B2099,'TRANS'!$A:$A,0)),IFERROR(INDEX('TRANS'!$B:$B,MATCH(TRIM(SUBSTITUTE($B2099,CHAR(160)," ")),'TRANS'!$D:$D,0)),IFERROR(INDEX('Catalog'!$A:$A,MATCH($B2099,'Catalog'!$B:$B,0)),IFERROR(INDEX('Catalog'!$A:$A,MATCH(TRIM(SUBSTITUTE($B2099,CHAR(160)," ")),'Catalog'!$C:$C,0)),""))))</f>
        <v/>
      </c>
      <c r="H2099" s="8" t="str">
        <f aca="false">IFERROR(INDEX('TRANS'!$C:$C,MATCH($B2099,'TRANS'!$A:$A,0)),IFERROR(INDEX('Catalog'!$B:$B,MATCH($G2099,'Catalog'!$A:$A,0)),$B2099))</f>
        <v>11EU S</v>
      </c>
      <c r="I2099" s="8" t="str">
        <f aca="false">IF($G2099="","Unmatched","Matched")</f>
        <v>Unmatched</v>
      </c>
      <c r="J2099" s="8" t="str">
        <f aca="false">IF($G2099&lt;&gt;"",$G2099,$B2099)</f>
        <v>11EU S</v>
      </c>
      <c r="K2099" s="8" t="str">
        <f aca="false">IF(COUNTIF($M$1:$M$10,$A2099)&gt;0,"Y","N")</f>
        <v>Y</v>
      </c>
    </row>
    <row r="2100" customFormat="false" ht="15" hidden="false" customHeight="true" outlineLevel="0" collapsed="false">
      <c r="A2100" s="8" t="s">
        <v>42</v>
      </c>
      <c r="B2100" s="8" t="s">
        <v>778</v>
      </c>
      <c r="C2100" s="19" t="n">
        <v>5</v>
      </c>
      <c r="D2100" s="19" t="n">
        <v>973.31</v>
      </c>
      <c r="E2100" s="19" t="n">
        <v>7</v>
      </c>
      <c r="F2100" s="19" t="n">
        <v>1323.81</v>
      </c>
      <c r="G2100" s="8" t="n">
        <f aca="false">IFERROR(INDEX('TRANS'!$B:$B,MATCH($B2100,'TRANS'!$A:$A,0)),IFERROR(INDEX('TRANS'!$B:$B,MATCH(TRIM(SUBSTITUTE($B2100,CHAR(160)," ")),'TRANS'!$D:$D,0)),IFERROR(INDEX('Catalog'!$A:$A,MATCH($B2100,'Catalog'!$B:$B,0)),IFERROR(INDEX('Catalog'!$A:$A,MATCH(TRIM(SUBSTITUTE($B2100,CHAR(160)," ")),'Catalog'!$C:$C,0)),""))))</f>
        <v>4408116</v>
      </c>
      <c r="H2100" s="8" t="str">
        <f aca="false">IFERROR(INDEX('TRANS'!$C:$C,MATCH($B2100,'TRANS'!$A:$A,0)),IFERROR(INDEX('Catalog'!$B:$B,MATCH($G2100,'Catalog'!$A:$A,0)),$B2100))</f>
        <v>11EU XLח.בטן לאחר ניתוח</v>
      </c>
      <c r="I2100" s="8" t="str">
        <f aca="false">IF($G2100="","Unmatched","Matched")</f>
        <v>Matched</v>
      </c>
      <c r="J2100" s="8" t="n">
        <f aca="false">IF($G2100&lt;&gt;"",$G2100,$B2100)</f>
        <v>4408116</v>
      </c>
      <c r="K2100" s="8" t="str">
        <f aca="false">IF(COUNTIF($M$1:$M$10,$A2100)&gt;0,"Y","N")</f>
        <v>Y</v>
      </c>
    </row>
    <row r="2101" customFormat="false" ht="15" hidden="false" customHeight="true" outlineLevel="0" collapsed="false">
      <c r="A2101" s="8" t="s">
        <v>42</v>
      </c>
      <c r="B2101" s="8" t="s">
        <v>367</v>
      </c>
      <c r="C2101" s="19" t="n">
        <v>0</v>
      </c>
      <c r="D2101" s="19" t="n">
        <v>0</v>
      </c>
      <c r="E2101" s="19" t="n">
        <v>1</v>
      </c>
      <c r="F2101" s="19" t="n">
        <v>199.07</v>
      </c>
      <c r="G2101" s="8" t="str">
        <f aca="false">IFERROR(INDEX('TRANS'!$B:$B,MATCH($B2101,'TRANS'!$A:$A,0)),IFERROR(INDEX('TRANS'!$B:$B,MATCH(TRIM(SUBSTITUTE($B2101,CHAR(160)," ")),'TRANS'!$D:$D,0)),IFERROR(INDEX('Catalog'!$A:$A,MATCH($B2101,'Catalog'!$B:$B,0)),IFERROR(INDEX('Catalog'!$A:$A,MATCH(TRIM(SUBSTITUTE($B2101,CHAR(160)," ")),'Catalog'!$C:$C,0)),""))))</f>
        <v/>
      </c>
      <c r="H2101" s="8" t="str">
        <f aca="false">IFERROR(INDEX('TRANS'!$C:$C,MATCH($B2101,'TRANS'!$A:$A,0)),IFERROR(INDEX('Catalog'!$B:$B,MATCH($G2101,'Catalog'!$A:$A,0)),$B2101))</f>
        <v>11EU XS</v>
      </c>
      <c r="I2101" s="8" t="str">
        <f aca="false">IF($G2101="","Unmatched","Matched")</f>
        <v>Unmatched</v>
      </c>
      <c r="J2101" s="8" t="str">
        <f aca="false">IF($G2101&lt;&gt;"",$G2101,$B2101)</f>
        <v>11EU XS</v>
      </c>
      <c r="K2101" s="8" t="str">
        <f aca="false">IF(COUNTIF($M$1:$M$10,$A2101)&gt;0,"Y","N")</f>
        <v>Y</v>
      </c>
    </row>
    <row r="2102" customFormat="false" ht="15" hidden="false" customHeight="true" outlineLevel="0" collapsed="false">
      <c r="A2102" s="8" t="s">
        <v>42</v>
      </c>
      <c r="B2102" s="8" t="s">
        <v>856</v>
      </c>
      <c r="C2102" s="19" t="n">
        <v>11</v>
      </c>
      <c r="D2102" s="19" t="n">
        <v>2217.55</v>
      </c>
      <c r="E2102" s="19" t="n">
        <v>5</v>
      </c>
      <c r="F2102" s="19" t="n">
        <v>915.71</v>
      </c>
      <c r="G2102" s="8" t="n">
        <f aca="false">IFERROR(INDEX('TRANS'!$B:$B,MATCH($B2102,'TRANS'!$A:$A,0)),IFERROR(INDEX('TRANS'!$B:$B,MATCH(TRIM(SUBSTITUTE($B2102,CHAR(160)," ")),'TRANS'!$D:$D,0)),IFERROR(INDEX('Catalog'!$A:$A,MATCH($B2102,'Catalog'!$B:$B,0)),IFERROR(INDEX('Catalog'!$A:$A,MATCH(TRIM(SUBSTITUTE($B2102,CHAR(160)," ")),'Catalog'!$C:$C,0)),""))))</f>
        <v>4408132</v>
      </c>
      <c r="H2102" s="8" t="str">
        <f aca="false">IFERROR(INDEX('TRANS'!$C:$C,MATCH($B2102,'TRANS'!$A:$A,0)),IFERROR(INDEX('Catalog'!$B:$B,MATCH($G2102,'Catalog'!$A:$A,0)),$B2102))</f>
        <v>11EU XXL חגורת בטןלאחר ניתוח</v>
      </c>
      <c r="I2102" s="8" t="str">
        <f aca="false">IF($G2102="","Unmatched","Matched")</f>
        <v>Matched</v>
      </c>
      <c r="J2102" s="8" t="n">
        <f aca="false">IF($G2102&lt;&gt;"",$G2102,$B2102)</f>
        <v>4408132</v>
      </c>
      <c r="K2102" s="8" t="str">
        <f aca="false">IF(COUNTIF($M$1:$M$10,$A2102)&gt;0,"Y","N")</f>
        <v>Y</v>
      </c>
    </row>
    <row r="2103" customFormat="false" ht="15" hidden="false" customHeight="true" outlineLevel="0" collapsed="false">
      <c r="A2103" s="8" t="s">
        <v>42</v>
      </c>
      <c r="B2103" s="8" t="s">
        <v>368</v>
      </c>
      <c r="C2103" s="19" t="n">
        <v>2</v>
      </c>
      <c r="D2103" s="19" t="n">
        <v>769.32</v>
      </c>
      <c r="E2103" s="19" t="n">
        <v>1</v>
      </c>
      <c r="F2103" s="19" t="n">
        <v>384.66</v>
      </c>
      <c r="G2103" s="8" t="str">
        <f aca="false">IFERROR(INDEX('TRANS'!$B:$B,MATCH($B2103,'TRANS'!$A:$A,0)),IFERROR(INDEX('TRANS'!$B:$B,MATCH(TRIM(SUBSTITUTE($B2103,CHAR(160)," ")),'TRANS'!$D:$D,0)),IFERROR(INDEX('Catalog'!$A:$A,MATCH($B2103,'Catalog'!$B:$B,0)),IFERROR(INDEX('Catalog'!$A:$A,MATCH(TRIM(SUBSTITUTE($B2103,CHAR(160)," ")),'Catalog'!$C:$C,0)),""))))</f>
        <v/>
      </c>
      <c r="H2103" s="8" t="str">
        <f aca="false">IFERROR(INDEX('TRANS'!$C:$C,MATCH($B2103,'TRANS'!$A:$A,0)),IFERROR(INDEX('Catalog'!$B:$B,MATCH($G2103,'Catalog'!$A:$A,0)),$B2103))</f>
        <v>11NOR L</v>
      </c>
      <c r="I2103" s="8" t="str">
        <f aca="false">IF($G2103="","Unmatched","Matched")</f>
        <v>Unmatched</v>
      </c>
      <c r="J2103" s="8" t="str">
        <f aca="false">IF($G2103&lt;&gt;"",$G2103,$B2103)</f>
        <v>11NOR L</v>
      </c>
      <c r="K2103" s="8" t="str">
        <f aca="false">IF(COUNTIF($M$1:$M$10,$A2103)&gt;0,"Y","N")</f>
        <v>Y</v>
      </c>
    </row>
    <row r="2104" customFormat="false" ht="15" hidden="false" customHeight="true" outlineLevel="0" collapsed="false">
      <c r="A2104" s="8" t="s">
        <v>42</v>
      </c>
      <c r="B2104" s="8" t="s">
        <v>343</v>
      </c>
      <c r="C2104" s="19" t="n">
        <v>4</v>
      </c>
      <c r="D2104" s="19" t="n">
        <v>1404.01</v>
      </c>
      <c r="E2104" s="19" t="n">
        <v>0</v>
      </c>
      <c r="F2104" s="19" t="n">
        <v>0</v>
      </c>
      <c r="G2104" s="8" t="str">
        <f aca="false">IFERROR(INDEX('TRANS'!$B:$B,MATCH($B2104,'TRANS'!$A:$A,0)),IFERROR(INDEX('TRANS'!$B:$B,MATCH(TRIM(SUBSTITUTE($B2104,CHAR(160)," ")),'TRANS'!$D:$D,0)),IFERROR(INDEX('Catalog'!$A:$A,MATCH($B2104,'Catalog'!$B:$B,0)),IFERROR(INDEX('Catalog'!$A:$A,MATCH(TRIM(SUBSTITUTE($B2104,CHAR(160)," ")),'Catalog'!$C:$C,0)),""))))</f>
        <v/>
      </c>
      <c r="H2104" s="8" t="str">
        <f aca="false">IFERROR(INDEX('TRANS'!$C:$C,MATCH($B2104,'TRANS'!$A:$A,0)),IFERROR(INDEX('Catalog'!$B:$B,MATCH($G2104,'Catalog'!$A:$A,0)),$B2104))</f>
        <v>11NOR XL</v>
      </c>
      <c r="I2104" s="8" t="str">
        <f aca="false">IF($G2104="","Unmatched","Matched")</f>
        <v>Unmatched</v>
      </c>
      <c r="J2104" s="8" t="str">
        <f aca="false">IF($G2104&lt;&gt;"",$G2104,$B2104)</f>
        <v>11NOR XL</v>
      </c>
      <c r="K2104" s="8" t="str">
        <f aca="false">IF(COUNTIF($M$1:$M$10,$A2104)&gt;0,"Y","N")</f>
        <v>Y</v>
      </c>
    </row>
    <row r="2105" customFormat="false" ht="15" hidden="false" customHeight="true" outlineLevel="0" collapsed="false">
      <c r="A2105" s="8" t="s">
        <v>42</v>
      </c>
      <c r="B2105" s="8" t="s">
        <v>196</v>
      </c>
      <c r="C2105" s="19" t="n">
        <v>3</v>
      </c>
      <c r="D2105" s="19" t="n">
        <v>1387.82</v>
      </c>
      <c r="E2105" s="19" t="n">
        <v>4</v>
      </c>
      <c r="F2105" s="19" t="n">
        <v>1652.48</v>
      </c>
      <c r="G2105" s="8" t="str">
        <f aca="false">IFERROR(INDEX('TRANS'!$B:$B,MATCH($B2105,'TRANS'!$A:$A,0)),IFERROR(INDEX('TRANS'!$B:$B,MATCH(TRIM(SUBSTITUTE($B2105,CHAR(160)," ")),'TRANS'!$D:$D,0)),IFERROR(INDEX('Catalog'!$A:$A,MATCH($B2105,'Catalog'!$B:$B,0)),IFERROR(INDEX('Catalog'!$A:$A,MATCH(TRIM(SUBSTITUTE($B2105,CHAR(160)," ")),'Catalog'!$C:$C,0)),""))))</f>
        <v/>
      </c>
      <c r="H2105" s="8" t="str">
        <f aca="false">IFERROR(INDEX('TRANS'!$C:$C,MATCH($B2105,'TRANS'!$A:$A,0)),IFERROR(INDEX('Catalog'!$B:$B,MATCH($G2105,'Catalog'!$A:$A,0)),$B2105))</f>
        <v>11NOR XXL</v>
      </c>
      <c r="I2105" s="8" t="str">
        <f aca="false">IF($G2105="","Unmatched","Matched")</f>
        <v>Unmatched</v>
      </c>
      <c r="J2105" s="8" t="str">
        <f aca="false">IF($G2105&lt;&gt;"",$G2105,$B2105)</f>
        <v>11NOR XXL</v>
      </c>
      <c r="K2105" s="8" t="str">
        <f aca="false">IF(COUNTIF($M$1:$M$10,$A2105)&gt;0,"Y","N")</f>
        <v>Y</v>
      </c>
    </row>
    <row r="2106" customFormat="false" ht="15" hidden="false" customHeight="true" outlineLevel="0" collapsed="false">
      <c r="A2106" s="8" t="s">
        <v>42</v>
      </c>
      <c r="B2106" s="8" t="s">
        <v>955</v>
      </c>
      <c r="C2106" s="19" t="n">
        <v>7</v>
      </c>
      <c r="D2106" s="19" t="n">
        <v>1560.07</v>
      </c>
      <c r="E2106" s="19" t="n">
        <v>4</v>
      </c>
      <c r="F2106" s="19" t="n">
        <v>909.01</v>
      </c>
      <c r="G2106" s="8" t="n">
        <f aca="false">IFERROR(INDEX('TRANS'!$B:$B,MATCH($B2106,'TRANS'!$A:$A,0)),IFERROR(INDEX('TRANS'!$B:$B,MATCH(TRIM(SUBSTITUTE($B2106,CHAR(160)," ")),'TRANS'!$D:$D,0)),IFERROR(INDEX('Catalog'!$A:$A,MATCH($B2106,'Catalog'!$B:$B,0)),IFERROR(INDEX('Catalog'!$A:$A,MATCH(TRIM(SUBSTITUTE($B2106,CHAR(160)," ")),'Catalog'!$C:$C,0)),""))))</f>
        <v>4408147</v>
      </c>
      <c r="H2106" s="8" t="str">
        <f aca="false">IFERROR(INDEX('TRANS'!$C:$C,MATCH($B2106,'TRANS'!$A:$A,0)),IFERROR(INDEX('Catalog'!$B:$B,MATCH($G2106,'Catalog'!$A:$A,0)),$B2106))</f>
        <v>11PS Lחגורה למנותחי בטן</v>
      </c>
      <c r="I2106" s="8" t="str">
        <f aca="false">IF($G2106="","Unmatched","Matched")</f>
        <v>Matched</v>
      </c>
      <c r="J2106" s="8" t="n">
        <f aca="false">IF($G2106&lt;&gt;"",$G2106,$B2106)</f>
        <v>4408147</v>
      </c>
      <c r="K2106" s="8" t="str">
        <f aca="false">IF(COUNTIF($M$1:$M$10,$A2106)&gt;0,"Y","N")</f>
        <v>Y</v>
      </c>
    </row>
    <row r="2107" customFormat="false" ht="15" hidden="false" customHeight="true" outlineLevel="0" collapsed="false">
      <c r="A2107" s="8" t="s">
        <v>42</v>
      </c>
      <c r="B2107" s="8" t="s">
        <v>350</v>
      </c>
      <c r="C2107" s="19" t="n">
        <v>3</v>
      </c>
      <c r="D2107" s="19" t="n">
        <v>675.62</v>
      </c>
      <c r="E2107" s="19" t="n">
        <v>1</v>
      </c>
      <c r="F2107" s="19" t="n">
        <v>221.11</v>
      </c>
      <c r="G2107" s="8" t="str">
        <f aca="false">IFERROR(INDEX('TRANS'!$B:$B,MATCH($B2107,'TRANS'!$A:$A,0)),IFERROR(INDEX('TRANS'!$B:$B,MATCH(TRIM(SUBSTITUTE($B2107,CHAR(160)," ")),'TRANS'!$D:$D,0)),IFERROR(INDEX('Catalog'!$A:$A,MATCH($B2107,'Catalog'!$B:$B,0)),IFERROR(INDEX('Catalog'!$A:$A,MATCH(TRIM(SUBSTITUTE($B2107,CHAR(160)," ")),'Catalog'!$C:$C,0)),""))))</f>
        <v/>
      </c>
      <c r="H2107" s="8" t="str">
        <f aca="false">IFERROR(INDEX('TRANS'!$C:$C,MATCH($B2107,'TRANS'!$A:$A,0)),IFERROR(INDEX('Catalog'!$B:$B,MATCH($G2107,'Catalog'!$A:$A,0)),$B2107))</f>
        <v>11PS M</v>
      </c>
      <c r="I2107" s="8" t="str">
        <f aca="false">IF($G2107="","Unmatched","Matched")</f>
        <v>Unmatched</v>
      </c>
      <c r="J2107" s="8" t="str">
        <f aca="false">IF($G2107&lt;&gt;"",$G2107,$B2107)</f>
        <v>11PS M</v>
      </c>
      <c r="K2107" s="8" t="str">
        <f aca="false">IF(COUNTIF($M$1:$M$10,$A2107)&gt;0,"Y","N")</f>
        <v>Y</v>
      </c>
    </row>
    <row r="2108" customFormat="false" ht="15" hidden="false" customHeight="true" outlineLevel="0" collapsed="false">
      <c r="A2108" s="8" t="s">
        <v>42</v>
      </c>
      <c r="B2108" s="8" t="s">
        <v>1052</v>
      </c>
      <c r="C2108" s="19" t="n">
        <v>2</v>
      </c>
      <c r="D2108" s="19" t="n">
        <v>454.51</v>
      </c>
      <c r="E2108" s="19" t="n">
        <v>0</v>
      </c>
      <c r="F2108" s="19" t="n">
        <v>0</v>
      </c>
      <c r="G2108" s="8" t="n">
        <f aca="false">IFERROR(INDEX('TRANS'!$B:$B,MATCH($B2108,'TRANS'!$A:$A,0)),IFERROR(INDEX('TRANS'!$B:$B,MATCH(TRIM(SUBSTITUTE($B2108,CHAR(160)," ")),'TRANS'!$D:$D,0)),IFERROR(INDEX('Catalog'!$A:$A,MATCH($B2108,'Catalog'!$B:$B,0)),IFERROR(INDEX('Catalog'!$A:$A,MATCH(TRIM(SUBSTITUTE($B2108,CHAR(160)," ")),'Catalog'!$C:$C,0)),""))))</f>
        <v>4408145</v>
      </c>
      <c r="H2108" s="8" t="str">
        <f aca="false">IFERROR(INDEX('TRANS'!$C:$C,MATCH($B2108,'TRANS'!$A:$A,0)),IFERROR(INDEX('Catalog'!$B:$B,MATCH($G2108,'Catalog'!$A:$A,0)),$B2108))</f>
        <v>11PS Sחגורה למנותחי בטן</v>
      </c>
      <c r="I2108" s="8" t="str">
        <f aca="false">IF($G2108="","Unmatched","Matched")</f>
        <v>Matched</v>
      </c>
      <c r="J2108" s="8" t="n">
        <f aca="false">IF($G2108&lt;&gt;"",$G2108,$B2108)</f>
        <v>4408145</v>
      </c>
      <c r="K2108" s="8" t="str">
        <f aca="false">IF(COUNTIF($M$1:$M$10,$A2108)&gt;0,"Y","N")</f>
        <v>Y</v>
      </c>
    </row>
    <row r="2109" customFormat="false" ht="15" hidden="false" customHeight="true" outlineLevel="0" collapsed="false">
      <c r="A2109" s="8" t="s">
        <v>42</v>
      </c>
      <c r="B2109" s="8" t="s">
        <v>991</v>
      </c>
      <c r="C2109" s="19" t="n">
        <v>7</v>
      </c>
      <c r="D2109" s="19" t="n">
        <v>1584.68</v>
      </c>
      <c r="E2109" s="19" t="n">
        <v>4</v>
      </c>
      <c r="F2109" s="19" t="n">
        <v>909.01</v>
      </c>
      <c r="G2109" s="8" t="n">
        <f aca="false">IFERROR(INDEX('TRANS'!$B:$B,MATCH($B2109,'TRANS'!$A:$A,0)),IFERROR(INDEX('TRANS'!$B:$B,MATCH(TRIM(SUBSTITUTE($B2109,CHAR(160)," ")),'TRANS'!$D:$D,0)),IFERROR(INDEX('Catalog'!$A:$A,MATCH($B2109,'Catalog'!$B:$B,0)),IFERROR(INDEX('Catalog'!$A:$A,MATCH(TRIM(SUBSTITUTE($B2109,CHAR(160)," ")),'Catalog'!$C:$C,0)),""))))</f>
        <v>4408148</v>
      </c>
      <c r="H2109" s="8" t="str">
        <f aca="false">IFERROR(INDEX('TRANS'!$C:$C,MATCH($B2109,'TRANS'!$A:$A,0)),IFERROR(INDEX('Catalog'!$B:$B,MATCH($G2109,'Catalog'!$A:$A,0)),$B2109))</f>
        <v>11PS XLחגורה למנותחי בטן</v>
      </c>
      <c r="I2109" s="8" t="str">
        <f aca="false">IF($G2109="","Unmatched","Matched")</f>
        <v>Matched</v>
      </c>
      <c r="J2109" s="8" t="n">
        <f aca="false">IF($G2109&lt;&gt;"",$G2109,$B2109)</f>
        <v>4408148</v>
      </c>
      <c r="K2109" s="8" t="str">
        <f aca="false">IF(COUNTIF($M$1:$M$10,$A2109)&gt;0,"Y","N")</f>
        <v>Y</v>
      </c>
    </row>
    <row r="2110" customFormat="false" ht="15" hidden="false" customHeight="true" outlineLevel="0" collapsed="false">
      <c r="A2110" s="8" t="s">
        <v>42</v>
      </c>
      <c r="B2110" s="8" t="s">
        <v>302</v>
      </c>
      <c r="C2110" s="19" t="n">
        <v>1</v>
      </c>
      <c r="D2110" s="19" t="n">
        <v>208.83</v>
      </c>
      <c r="E2110" s="19" t="n">
        <v>2</v>
      </c>
      <c r="F2110" s="19" t="n">
        <v>796.44</v>
      </c>
      <c r="G2110" s="8" t="str">
        <f aca="false">IFERROR(INDEX('TRANS'!$B:$B,MATCH($B2110,'TRANS'!$A:$A,0)),IFERROR(INDEX('TRANS'!$B:$B,MATCH(TRIM(SUBSTITUTE($B2110,CHAR(160)," ")),'TRANS'!$D:$D,0)),IFERROR(INDEX('Catalog'!$A:$A,MATCH($B2110,'Catalog'!$B:$B,0)),IFERROR(INDEX('Catalog'!$A:$A,MATCH(TRIM(SUBSTITUTE($B2110,CHAR(160)," ")),'Catalog'!$C:$C,0)),""))))</f>
        <v/>
      </c>
      <c r="H2110" s="8" t="str">
        <f aca="false">IFERROR(INDEX('TRANS'!$C:$C,MATCH($B2110,'TRANS'!$A:$A,0)),IFERROR(INDEX('Catalog'!$B:$B,MATCH($G2110,'Catalog'!$A:$A,0)),$B2110))</f>
        <v>11PS XS</v>
      </c>
      <c r="I2110" s="8" t="str">
        <f aca="false">IF($G2110="","Unmatched","Matched")</f>
        <v>Unmatched</v>
      </c>
      <c r="J2110" s="8" t="str">
        <f aca="false">IF($G2110&lt;&gt;"",$G2110,$B2110)</f>
        <v>11PS XS</v>
      </c>
      <c r="K2110" s="8" t="str">
        <f aca="false">IF(COUNTIF($M$1:$M$10,$A2110)&gt;0,"Y","N")</f>
        <v>Y</v>
      </c>
    </row>
    <row r="2111" customFormat="false" ht="15" hidden="false" customHeight="true" outlineLevel="0" collapsed="false">
      <c r="A2111" s="8" t="s">
        <v>42</v>
      </c>
      <c r="B2111" s="8" t="s">
        <v>779</v>
      </c>
      <c r="C2111" s="19" t="n">
        <v>9</v>
      </c>
      <c r="D2111" s="19" t="n">
        <v>2803.61</v>
      </c>
      <c r="E2111" s="19" t="n">
        <v>8</v>
      </c>
      <c r="F2111" s="19" t="n">
        <v>2376.18</v>
      </c>
      <c r="G2111" s="8" t="n">
        <f aca="false">IFERROR(INDEX('TRANS'!$B:$B,MATCH($B2111,'TRANS'!$A:$A,0)),IFERROR(INDEX('TRANS'!$B:$B,MATCH(TRIM(SUBSTITUTE($B2111,CHAR(160)," ")),'TRANS'!$D:$D,0)),IFERROR(INDEX('Catalog'!$A:$A,MATCH($B2111,'Catalog'!$B:$B,0)),IFERROR(INDEX('Catalog'!$A:$A,MATCH(TRIM(SUBSTITUTE($B2111,CHAR(160)," ")),'Catalog'!$C:$C,0)),""))))</f>
        <v>4408149</v>
      </c>
      <c r="H2111" s="8" t="str">
        <f aca="false">IFERROR(INDEX('TRANS'!$C:$C,MATCH($B2111,'TRANS'!$A:$A,0)),IFERROR(INDEX('Catalog'!$B:$B,MATCH($G2111,'Catalog'!$A:$A,0)),$B2111))</f>
        <v>11PS XXLחגורה למנותחי בטן</v>
      </c>
      <c r="I2111" s="8" t="str">
        <f aca="false">IF($G2111="","Unmatched","Matched")</f>
        <v>Matched</v>
      </c>
      <c r="J2111" s="8" t="n">
        <f aca="false">IF($G2111&lt;&gt;"",$G2111,$B2111)</f>
        <v>4408149</v>
      </c>
      <c r="K2111" s="8" t="str">
        <f aca="false">IF(COUNTIF($M$1:$M$10,$A2111)&gt;0,"Y","N")</f>
        <v>Y</v>
      </c>
    </row>
    <row r="2112" customFormat="false" ht="15" hidden="false" customHeight="true" outlineLevel="0" collapsed="false">
      <c r="A2112" s="8" t="s">
        <v>42</v>
      </c>
      <c r="B2112" s="8" t="s">
        <v>857</v>
      </c>
      <c r="C2112" s="19" t="n">
        <v>12</v>
      </c>
      <c r="D2112" s="19" t="n">
        <v>3470.66</v>
      </c>
      <c r="E2112" s="19" t="n">
        <v>14</v>
      </c>
      <c r="F2112" s="19" t="n">
        <v>4030.19</v>
      </c>
      <c r="G2112" s="8" t="n">
        <f aca="false">IFERROR(INDEX('TRANS'!$B:$B,MATCH($B2112,'TRANS'!$A:$A,0)),IFERROR(INDEX('TRANS'!$B:$B,MATCH(TRIM(SUBSTITUTE($B2112,CHAR(160)," ")),'TRANS'!$D:$D,0)),IFERROR(INDEX('Catalog'!$A:$A,MATCH($B2112,'Catalog'!$B:$B,0)),IFERROR(INDEX('Catalog'!$A:$A,MATCH(TRIM(SUBSTITUTE($B2112,CHAR(160)," ")),'Catalog'!$C:$C,0)),""))))</f>
        <v>4408261</v>
      </c>
      <c r="H2112" s="8" t="str">
        <f aca="false">IFERROR(INDEX('TRANS'!$C:$C,MATCH($B2112,'TRANS'!$A:$A,0)),IFERROR(INDEX('Catalog'!$B:$B,MATCH($G2112,'Catalog'!$A:$A,0)),$B2112))</f>
        <v>11STO L חגורה אחרי ניתוח</v>
      </c>
      <c r="I2112" s="8" t="str">
        <f aca="false">IF($G2112="","Unmatched","Matched")</f>
        <v>Matched</v>
      </c>
      <c r="J2112" s="8" t="n">
        <f aca="false">IF($G2112&lt;&gt;"",$G2112,$B2112)</f>
        <v>4408261</v>
      </c>
      <c r="K2112" s="8" t="str">
        <f aca="false">IF(COUNTIF($M$1:$M$10,$A2112)&gt;0,"Y","N")</f>
        <v>Y</v>
      </c>
    </row>
    <row r="2113" customFormat="false" ht="15" hidden="false" customHeight="true" outlineLevel="0" collapsed="false">
      <c r="A2113" s="8" t="s">
        <v>42</v>
      </c>
      <c r="B2113" s="8" t="s">
        <v>924</v>
      </c>
      <c r="C2113" s="19" t="n">
        <v>8</v>
      </c>
      <c r="D2113" s="19" t="n">
        <v>2193.23</v>
      </c>
      <c r="E2113" s="19" t="n">
        <v>4</v>
      </c>
      <c r="F2113" s="19" t="n">
        <v>1172.97</v>
      </c>
      <c r="G2113" s="8" t="n">
        <f aca="false">IFERROR(INDEX('TRANS'!$B:$B,MATCH($B2113,'TRANS'!$A:$A,0)),IFERROR(INDEX('TRANS'!$B:$B,MATCH(TRIM(SUBSTITUTE($B2113,CHAR(160)," ")),'TRANS'!$D:$D,0)),IFERROR(INDEX('Catalog'!$A:$A,MATCH($B2113,'Catalog'!$B:$B,0)),IFERROR(INDEX('Catalog'!$A:$A,MATCH(TRIM(SUBSTITUTE($B2113,CHAR(160)," ")),'Catalog'!$C:$C,0)),""))))</f>
        <v>4408260</v>
      </c>
      <c r="H2113" s="8" t="str">
        <f aca="false">IFERROR(INDEX('TRANS'!$C:$C,MATCH($B2113,'TRANS'!$A:$A,0)),IFERROR(INDEX('Catalog'!$B:$B,MATCH($G2113,'Catalog'!$A:$A,0)),$B2113))</f>
        <v>11STO M חגורה אחרי ניתוח</v>
      </c>
      <c r="I2113" s="8" t="str">
        <f aca="false">IF($G2113="","Unmatched","Matched")</f>
        <v>Matched</v>
      </c>
      <c r="J2113" s="8" t="n">
        <f aca="false">IF($G2113&lt;&gt;"",$G2113,$B2113)</f>
        <v>4408260</v>
      </c>
      <c r="K2113" s="8" t="str">
        <f aca="false">IF(COUNTIF($M$1:$M$10,$A2113)&gt;0,"Y","N")</f>
        <v>Y</v>
      </c>
    </row>
    <row r="2114" customFormat="false" ht="15" hidden="false" customHeight="true" outlineLevel="0" collapsed="false">
      <c r="A2114" s="8" t="s">
        <v>42</v>
      </c>
      <c r="B2114" s="8" t="s">
        <v>981</v>
      </c>
      <c r="C2114" s="19" t="n">
        <v>1</v>
      </c>
      <c r="D2114" s="19" t="n">
        <v>240.61</v>
      </c>
      <c r="E2114" s="19" t="n">
        <v>4</v>
      </c>
      <c r="F2114" s="19" t="n">
        <v>1306.88</v>
      </c>
      <c r="G2114" s="8" t="n">
        <f aca="false">IFERROR(INDEX('TRANS'!$B:$B,MATCH($B2114,'TRANS'!$A:$A,0)),IFERROR(INDEX('TRANS'!$B:$B,MATCH(TRIM(SUBSTITUTE($B2114,CHAR(160)," ")),'TRANS'!$D:$D,0)),IFERROR(INDEX('Catalog'!$A:$A,MATCH($B2114,'Catalog'!$B:$B,0)),IFERROR(INDEX('Catalog'!$A:$A,MATCH(TRIM(SUBSTITUTE($B2114,CHAR(160)," ")),'Catalog'!$C:$C,0)),""))))</f>
        <v>4408259</v>
      </c>
      <c r="H2114" s="8" t="str">
        <f aca="false">IFERROR(INDEX('TRANS'!$C:$C,MATCH($B2114,'TRANS'!$A:$A,0)),IFERROR(INDEX('Catalog'!$B:$B,MATCH($G2114,'Catalog'!$A:$A,0)),$B2114))</f>
        <v>11STO S חגורה אחרי ניתוח</v>
      </c>
      <c r="I2114" s="8" t="str">
        <f aca="false">IF($G2114="","Unmatched","Matched")</f>
        <v>Matched</v>
      </c>
      <c r="J2114" s="8" t="n">
        <f aca="false">IF($G2114&lt;&gt;"",$G2114,$B2114)</f>
        <v>4408259</v>
      </c>
      <c r="K2114" s="8" t="str">
        <f aca="false">IF(COUNTIF($M$1:$M$10,$A2114)&gt;0,"Y","N")</f>
        <v>Y</v>
      </c>
    </row>
    <row r="2115" customFormat="false" ht="15" hidden="false" customHeight="true" outlineLevel="0" collapsed="false">
      <c r="A2115" s="8" t="s">
        <v>42</v>
      </c>
      <c r="B2115" s="8" t="s">
        <v>780</v>
      </c>
      <c r="C2115" s="19" t="n">
        <v>11</v>
      </c>
      <c r="D2115" s="19" t="n">
        <v>3022.64</v>
      </c>
      <c r="E2115" s="19" t="n">
        <v>4</v>
      </c>
      <c r="F2115" s="19" t="n">
        <v>1172.97</v>
      </c>
      <c r="G2115" s="8" t="n">
        <f aca="false">IFERROR(INDEX('TRANS'!$B:$B,MATCH($B2115,'TRANS'!$A:$A,0)),IFERROR(INDEX('TRANS'!$B:$B,MATCH(TRIM(SUBSTITUTE($B2115,CHAR(160)," ")),'TRANS'!$D:$D,0)),IFERROR(INDEX('Catalog'!$A:$A,MATCH($B2115,'Catalog'!$B:$B,0)),IFERROR(INDEX('Catalog'!$A:$A,MATCH(TRIM(SUBSTITUTE($B2115,CHAR(160)," ")),'Catalog'!$C:$C,0)),""))))</f>
        <v>4408262</v>
      </c>
      <c r="H2115" s="8" t="str">
        <f aca="false">IFERROR(INDEX('TRANS'!$C:$C,MATCH($B2115,'TRANS'!$A:$A,0)),IFERROR(INDEX('Catalog'!$B:$B,MATCH($G2115,'Catalog'!$A:$A,0)),$B2115))</f>
        <v>11STO XL  חגורה אחרי ניתוח</v>
      </c>
      <c r="I2115" s="8" t="str">
        <f aca="false">IF($G2115="","Unmatched","Matched")</f>
        <v>Matched</v>
      </c>
      <c r="J2115" s="8" t="n">
        <f aca="false">IF($G2115&lt;&gt;"",$G2115,$B2115)</f>
        <v>4408262</v>
      </c>
      <c r="K2115" s="8" t="str">
        <f aca="false">IF(COUNTIF($M$1:$M$10,$A2115)&gt;0,"Y","N")</f>
        <v>Y</v>
      </c>
    </row>
    <row r="2116" customFormat="false" ht="15" hidden="false" customHeight="true" outlineLevel="0" collapsed="false">
      <c r="A2116" s="8" t="s">
        <v>42</v>
      </c>
      <c r="B2116" s="8" t="s">
        <v>570</v>
      </c>
      <c r="C2116" s="19" t="n">
        <v>13</v>
      </c>
      <c r="D2116" s="19" t="n">
        <v>4020.81</v>
      </c>
      <c r="E2116" s="19" t="n">
        <v>7</v>
      </c>
      <c r="F2116" s="19" t="n">
        <v>2182.28</v>
      </c>
      <c r="G2116" s="8" t="n">
        <f aca="false">IFERROR(INDEX('TRANS'!$B:$B,MATCH($B2116,'TRANS'!$A:$A,0)),IFERROR(INDEX('TRANS'!$B:$B,MATCH(TRIM(SUBSTITUTE($B2116,CHAR(160)," ")),'TRANS'!$D:$D,0)),IFERROR(INDEX('Catalog'!$A:$A,MATCH($B2116,'Catalog'!$B:$B,0)),IFERROR(INDEX('Catalog'!$A:$A,MATCH(TRIM(SUBSTITUTE($B2116,CHAR(160)," ")),'Catalog'!$C:$C,0)),""))))</f>
        <v>4408263</v>
      </c>
      <c r="H2116" s="8" t="str">
        <f aca="false">IFERROR(INDEX('TRANS'!$C:$C,MATCH($B2116,'TRANS'!$A:$A,0)),IFERROR(INDEX('Catalog'!$B:$B,MATCH($G2116,'Catalog'!$A:$A,0)),$B2116))</f>
        <v>11STO XXL חגורה אחרי ניתוח</v>
      </c>
      <c r="I2116" s="8" t="str">
        <f aca="false">IF($G2116="","Unmatched","Matched")</f>
        <v>Matched</v>
      </c>
      <c r="J2116" s="8" t="n">
        <f aca="false">IF($G2116&lt;&gt;"",$G2116,$B2116)</f>
        <v>4408263</v>
      </c>
      <c r="K2116" s="8" t="str">
        <f aca="false">IF(COUNTIF($M$1:$M$10,$A2116)&gt;0,"Y","N")</f>
        <v>Y</v>
      </c>
    </row>
    <row r="2117" customFormat="false" ht="15" hidden="false" customHeight="true" outlineLevel="0" collapsed="false">
      <c r="A2117" s="8" t="s">
        <v>42</v>
      </c>
      <c r="B2117" s="8" t="s">
        <v>225</v>
      </c>
      <c r="C2117" s="19" t="n">
        <v>0</v>
      </c>
      <c r="D2117" s="19" t="n">
        <v>0</v>
      </c>
      <c r="E2117" s="19" t="n">
        <v>4</v>
      </c>
      <c r="F2117" s="19" t="n">
        <v>1097.77</v>
      </c>
      <c r="G2117" s="8" t="str">
        <f aca="false">IFERROR(INDEX('TRANS'!$B:$B,MATCH($B2117,'TRANS'!$A:$A,0)),IFERROR(INDEX('TRANS'!$B:$B,MATCH(TRIM(SUBSTITUTE($B2117,CHAR(160)," ")),'TRANS'!$D:$D,0)),IFERROR(INDEX('Catalog'!$A:$A,MATCH($B2117,'Catalog'!$B:$B,0)),IFERROR(INDEX('Catalog'!$A:$A,MATCH(TRIM(SUBSTITUTE($B2117,CHAR(160)," ")),'Catalog'!$C:$C,0)),""))))</f>
        <v/>
      </c>
      <c r="H2117" s="8" t="str">
        <f aca="false">IFERROR(INDEX('TRANS'!$C:$C,MATCH($B2117,'TRANS'!$A:$A,0)),IFERROR(INDEX('Catalog'!$B:$B,MATCH($G2117,'Catalog'!$A:$A,0)),$B2117))</f>
        <v>11STOB L</v>
      </c>
      <c r="I2117" s="8" t="str">
        <f aca="false">IF($G2117="","Unmatched","Matched")</f>
        <v>Unmatched</v>
      </c>
      <c r="J2117" s="8" t="str">
        <f aca="false">IF($G2117&lt;&gt;"",$G2117,$B2117)</f>
        <v>11STOB L</v>
      </c>
      <c r="K2117" s="8" t="str">
        <f aca="false">IF(COUNTIF($M$1:$M$10,$A2117)&gt;0,"Y","N")</f>
        <v>Y</v>
      </c>
    </row>
    <row r="2118" customFormat="false" ht="15" hidden="false" customHeight="true" outlineLevel="0" collapsed="false">
      <c r="A2118" s="8" t="s">
        <v>42</v>
      </c>
      <c r="B2118" s="8" t="s">
        <v>288</v>
      </c>
      <c r="C2118" s="19" t="n">
        <v>2</v>
      </c>
      <c r="D2118" s="19" t="n">
        <v>541.37</v>
      </c>
      <c r="E2118" s="19" t="n">
        <v>2</v>
      </c>
      <c r="F2118" s="19" t="n">
        <v>601.52</v>
      </c>
      <c r="G2118" s="8" t="str">
        <f aca="false">IFERROR(INDEX('TRANS'!$B:$B,MATCH($B2118,'TRANS'!$A:$A,0)),IFERROR(INDEX('TRANS'!$B:$B,MATCH(TRIM(SUBSTITUTE($B2118,CHAR(160)," ")),'TRANS'!$D:$D,0)),IFERROR(INDEX('Catalog'!$A:$A,MATCH($B2118,'Catalog'!$B:$B,0)),IFERROR(INDEX('Catalog'!$A:$A,MATCH(TRIM(SUBSTITUTE($B2118,CHAR(160)," ")),'Catalog'!$C:$C,0)),""))))</f>
        <v/>
      </c>
      <c r="H2118" s="8" t="str">
        <f aca="false">IFERROR(INDEX('TRANS'!$C:$C,MATCH($B2118,'TRANS'!$A:$A,0)),IFERROR(INDEX('Catalog'!$B:$B,MATCH($G2118,'Catalog'!$A:$A,0)),$B2118))</f>
        <v>11STOB M</v>
      </c>
      <c r="I2118" s="8" t="str">
        <f aca="false">IF($G2118="","Unmatched","Matched")</f>
        <v>Unmatched</v>
      </c>
      <c r="J2118" s="8" t="str">
        <f aca="false">IF($G2118&lt;&gt;"",$G2118,$B2118)</f>
        <v>11STOB M</v>
      </c>
      <c r="K2118" s="8" t="str">
        <f aca="false">IF(COUNTIF($M$1:$M$10,$A2118)&gt;0,"Y","N")</f>
        <v>Y</v>
      </c>
    </row>
    <row r="2119" customFormat="false" ht="15" hidden="false" customHeight="true" outlineLevel="0" collapsed="false">
      <c r="A2119" s="8" t="s">
        <v>42</v>
      </c>
      <c r="B2119" s="8" t="s">
        <v>498</v>
      </c>
      <c r="C2119" s="19" t="n">
        <v>3</v>
      </c>
      <c r="D2119" s="19" t="n">
        <v>902.28</v>
      </c>
      <c r="E2119" s="19" t="n">
        <v>0</v>
      </c>
      <c r="F2119" s="19" t="n">
        <v>0</v>
      </c>
      <c r="G2119" s="8" t="str">
        <f aca="false">IFERROR(INDEX('TRANS'!$B:$B,MATCH($B2119,'TRANS'!$A:$A,0)),IFERROR(INDEX('TRANS'!$B:$B,MATCH(TRIM(SUBSTITUTE($B2119,CHAR(160)," ")),'TRANS'!$D:$D,0)),IFERROR(INDEX('Catalog'!$A:$A,MATCH($B2119,'Catalog'!$B:$B,0)),IFERROR(INDEX('Catalog'!$A:$A,MATCH(TRIM(SUBSTITUTE($B2119,CHAR(160)," ")),'Catalog'!$C:$C,0)),""))))</f>
        <v/>
      </c>
      <c r="H2119" s="8" t="str">
        <f aca="false">IFERROR(INDEX('TRANS'!$C:$C,MATCH($B2119,'TRANS'!$A:$A,0)),IFERROR(INDEX('Catalog'!$B:$B,MATCH($G2119,'Catalog'!$A:$A,0)),$B2119))</f>
        <v>11STOB S</v>
      </c>
      <c r="I2119" s="8" t="str">
        <f aca="false">IF($G2119="","Unmatched","Matched")</f>
        <v>Unmatched</v>
      </c>
      <c r="J2119" s="8" t="str">
        <f aca="false">IF($G2119&lt;&gt;"",$G2119,$B2119)</f>
        <v>11STOB S</v>
      </c>
      <c r="K2119" s="8" t="str">
        <f aca="false">IF(COUNTIF($M$1:$M$10,$A2119)&gt;0,"Y","N")</f>
        <v>Y</v>
      </c>
    </row>
    <row r="2120" customFormat="false" ht="15" hidden="false" customHeight="true" outlineLevel="0" collapsed="false">
      <c r="A2120" s="8" t="s">
        <v>42</v>
      </c>
      <c r="B2120" s="8" t="s">
        <v>249</v>
      </c>
      <c r="C2120" s="19" t="n">
        <v>1</v>
      </c>
      <c r="D2120" s="19" t="n">
        <v>255.65</v>
      </c>
      <c r="E2120" s="19" t="n">
        <v>3</v>
      </c>
      <c r="F2120" s="19" t="n">
        <v>872.2</v>
      </c>
      <c r="G2120" s="8" t="str">
        <f aca="false">IFERROR(INDEX('TRANS'!$B:$B,MATCH($B2120,'TRANS'!$A:$A,0)),IFERROR(INDEX('TRANS'!$B:$B,MATCH(TRIM(SUBSTITUTE($B2120,CHAR(160)," ")),'TRANS'!$D:$D,0)),IFERROR(INDEX('Catalog'!$A:$A,MATCH($B2120,'Catalog'!$B:$B,0)),IFERROR(INDEX('Catalog'!$A:$A,MATCH(TRIM(SUBSTITUTE($B2120,CHAR(160)," ")),'Catalog'!$C:$C,0)),""))))</f>
        <v/>
      </c>
      <c r="H2120" s="8" t="str">
        <f aca="false">IFERROR(INDEX('TRANS'!$C:$C,MATCH($B2120,'TRANS'!$A:$A,0)),IFERROR(INDEX('Catalog'!$B:$B,MATCH($G2120,'Catalog'!$A:$A,0)),$B2120))</f>
        <v>11STOB XL</v>
      </c>
      <c r="I2120" s="8" t="str">
        <f aca="false">IF($G2120="","Unmatched","Matched")</f>
        <v>Unmatched</v>
      </c>
      <c r="J2120" s="8" t="str">
        <f aca="false">IF($G2120&lt;&gt;"",$G2120,$B2120)</f>
        <v>11STOB XL</v>
      </c>
      <c r="K2120" s="8" t="str">
        <f aca="false">IF(COUNTIF($M$1:$M$10,$A2120)&gt;0,"Y","N")</f>
        <v>Y</v>
      </c>
    </row>
    <row r="2121" customFormat="false" ht="15" hidden="false" customHeight="true" outlineLevel="0" collapsed="false">
      <c r="A2121" s="8" t="s">
        <v>42</v>
      </c>
      <c r="B2121" s="8" t="s">
        <v>858</v>
      </c>
      <c r="C2121" s="19" t="n">
        <v>3</v>
      </c>
      <c r="D2121" s="19" t="n">
        <v>807.17</v>
      </c>
      <c r="E2121" s="19" t="n">
        <v>8</v>
      </c>
      <c r="F2121" s="19" t="n">
        <v>2295.32</v>
      </c>
      <c r="G2121" s="8" t="n">
        <f aca="false">IFERROR(INDEX('TRANS'!$B:$B,MATCH($B2121,'TRANS'!$A:$A,0)),IFERROR(INDEX('TRANS'!$B:$B,MATCH(TRIM(SUBSTITUTE($B2121,CHAR(160)," ")),'TRANS'!$D:$D,0)),IFERROR(INDEX('Catalog'!$A:$A,MATCH($B2121,'Catalog'!$B:$B,0)),IFERROR(INDEX('Catalog'!$A:$A,MATCH(TRIM(SUBSTITUTE($B2121,CHAR(160)," ")),'Catalog'!$C:$C,0)),""))))</f>
        <v>4408152</v>
      </c>
      <c r="H2121" s="8" t="str">
        <f aca="false">IFERROR(INDEX('TRANS'!$C:$C,MATCH($B2121,'TRANS'!$A:$A,0)),IFERROR(INDEX('Catalog'!$B:$B,MATCH($G2121,'Catalog'!$A:$A,0)),$B2121))</f>
        <v>11TO L חגורה למנותחי בית החזה</v>
      </c>
      <c r="I2121" s="8" t="str">
        <f aca="false">IF($G2121="","Unmatched","Matched")</f>
        <v>Matched</v>
      </c>
      <c r="J2121" s="8" t="n">
        <f aca="false">IF($G2121&lt;&gt;"",$G2121,$B2121)</f>
        <v>4408152</v>
      </c>
      <c r="K2121" s="8" t="str">
        <f aca="false">IF(COUNTIF($M$1:$M$10,$A2121)&gt;0,"Y","N")</f>
        <v>Y</v>
      </c>
    </row>
    <row r="2122" customFormat="false" ht="15" hidden="false" customHeight="true" outlineLevel="0" collapsed="false">
      <c r="A2122" s="8" t="s">
        <v>42</v>
      </c>
      <c r="B2122" s="8" t="s">
        <v>925</v>
      </c>
      <c r="C2122" s="19" t="n">
        <v>4</v>
      </c>
      <c r="D2122" s="19" t="n">
        <v>1087.85</v>
      </c>
      <c r="E2122" s="19" t="n">
        <v>4</v>
      </c>
      <c r="F2122" s="19" t="n">
        <v>1106.86</v>
      </c>
      <c r="G2122" s="8" t="n">
        <f aca="false">IFERROR(INDEX('TRANS'!$B:$B,MATCH($B2122,'TRANS'!$A:$A,0)),IFERROR(INDEX('TRANS'!$B:$B,MATCH(TRIM(SUBSTITUTE($B2122,CHAR(160)," ")),'TRANS'!$D:$D,0)),IFERROR(INDEX('Catalog'!$A:$A,MATCH($B2122,'Catalog'!$B:$B,0)),IFERROR(INDEX('Catalog'!$A:$A,MATCH(TRIM(SUBSTITUTE($B2122,CHAR(160)," ")),'Catalog'!$C:$C,0)),""))))</f>
        <v>4408151</v>
      </c>
      <c r="H2122" s="8" t="str">
        <f aca="false">IFERROR(INDEX('TRANS'!$C:$C,MATCH($B2122,'TRANS'!$A:$A,0)),IFERROR(INDEX('Catalog'!$B:$B,MATCH($G2122,'Catalog'!$A:$A,0)),$B2122))</f>
        <v>11TO M חגורה למנותחי בית החזה</v>
      </c>
      <c r="I2122" s="8" t="str">
        <f aca="false">IF($G2122="","Unmatched","Matched")</f>
        <v>Matched</v>
      </c>
      <c r="J2122" s="8" t="n">
        <f aca="false">IF($G2122&lt;&gt;"",$G2122,$B2122)</f>
        <v>4408151</v>
      </c>
      <c r="K2122" s="8" t="str">
        <f aca="false">IF(COUNTIF($M$1:$M$10,$A2122)&gt;0,"Y","N")</f>
        <v>Y</v>
      </c>
    </row>
    <row r="2123" customFormat="false" ht="15" hidden="false" customHeight="true" outlineLevel="0" collapsed="false">
      <c r="A2123" s="8" t="s">
        <v>42</v>
      </c>
      <c r="B2123" s="8" t="s">
        <v>980</v>
      </c>
      <c r="C2123" s="19" t="n">
        <v>0</v>
      </c>
      <c r="D2123" s="19" t="n">
        <v>0</v>
      </c>
      <c r="E2123" s="19" t="n">
        <v>1</v>
      </c>
      <c r="F2123" s="19" t="n">
        <v>283.81</v>
      </c>
      <c r="G2123" s="8" t="n">
        <f aca="false">IFERROR(INDEX('TRANS'!$B:$B,MATCH($B2123,'TRANS'!$A:$A,0)),IFERROR(INDEX('TRANS'!$B:$B,MATCH(TRIM(SUBSTITUTE($B2123,CHAR(160)," ")),'TRANS'!$D:$D,0)),IFERROR(INDEX('Catalog'!$A:$A,MATCH($B2123,'Catalog'!$B:$B,0)),IFERROR(INDEX('Catalog'!$A:$A,MATCH(TRIM(SUBSTITUTE($B2123,CHAR(160)," ")),'Catalog'!$C:$C,0)),""))))</f>
        <v>4408150</v>
      </c>
      <c r="H2123" s="8" t="str">
        <f aca="false">IFERROR(INDEX('TRANS'!$C:$C,MATCH($B2123,'TRANS'!$A:$A,0)),IFERROR(INDEX('Catalog'!$B:$B,MATCH($G2123,'Catalog'!$A:$A,0)),$B2123))</f>
        <v>11TO S חגורה למנותחי בית החזה</v>
      </c>
      <c r="I2123" s="8" t="str">
        <f aca="false">IF($G2123="","Unmatched","Matched")</f>
        <v>Matched</v>
      </c>
      <c r="J2123" s="8" t="n">
        <f aca="false">IF($G2123&lt;&gt;"",$G2123,$B2123)</f>
        <v>4408150</v>
      </c>
      <c r="K2123" s="8" t="str">
        <f aca="false">IF(COUNTIF($M$1:$M$10,$A2123)&gt;0,"Y","N")</f>
        <v>Y</v>
      </c>
    </row>
    <row r="2124" customFormat="false" ht="15" hidden="false" customHeight="true" outlineLevel="0" collapsed="false">
      <c r="A2124" s="8" t="s">
        <v>42</v>
      </c>
      <c r="B2124" s="8" t="s">
        <v>781</v>
      </c>
      <c r="C2124" s="19" t="n">
        <v>5</v>
      </c>
      <c r="D2124" s="19" t="n">
        <v>1092.68</v>
      </c>
      <c r="E2124" s="19" t="n">
        <v>8</v>
      </c>
      <c r="F2124" s="19" t="n">
        <v>2199.53</v>
      </c>
      <c r="G2124" s="8" t="n">
        <f aca="false">IFERROR(INDEX('TRANS'!$B:$B,MATCH($B2124,'TRANS'!$A:$A,0)),IFERROR(INDEX('TRANS'!$B:$B,MATCH(TRIM(SUBSTITUTE($B2124,CHAR(160)," ")),'TRANS'!$D:$D,0)),IFERROR(INDEX('Catalog'!$A:$A,MATCH($B2124,'Catalog'!$B:$B,0)),IFERROR(INDEX('Catalog'!$A:$A,MATCH(TRIM(SUBSTITUTE($B2124,CHAR(160)," ")),'Catalog'!$C:$C,0)),""))))</f>
        <v>4408153</v>
      </c>
      <c r="H2124" s="8" t="str">
        <f aca="false">IFERROR(INDEX('TRANS'!$C:$C,MATCH($B2124,'TRANS'!$A:$A,0)),IFERROR(INDEX('Catalog'!$B:$B,MATCH($G2124,'Catalog'!$A:$A,0)),$B2124))</f>
        <v>11TO XLחגורה למנותחי בית החזה</v>
      </c>
      <c r="I2124" s="8" t="str">
        <f aca="false">IF($G2124="","Unmatched","Matched")</f>
        <v>Matched</v>
      </c>
      <c r="J2124" s="8" t="n">
        <f aca="false">IF($G2124&lt;&gt;"",$G2124,$B2124)</f>
        <v>4408153</v>
      </c>
      <c r="K2124" s="8" t="str">
        <f aca="false">IF(COUNTIF($M$1:$M$10,$A2124)&gt;0,"Y","N")</f>
        <v>Y</v>
      </c>
    </row>
    <row r="2125" customFormat="false" ht="15" hidden="false" customHeight="true" outlineLevel="0" collapsed="false">
      <c r="A2125" s="8" t="s">
        <v>42</v>
      </c>
      <c r="B2125" s="8" t="s">
        <v>571</v>
      </c>
      <c r="C2125" s="19" t="n">
        <v>13</v>
      </c>
      <c r="D2125" s="19" t="n">
        <v>3788.89</v>
      </c>
      <c r="E2125" s="19" t="n">
        <v>13</v>
      </c>
      <c r="F2125" s="19" t="n">
        <v>3929.19</v>
      </c>
      <c r="G2125" s="8" t="n">
        <f aca="false">IFERROR(INDEX('TRANS'!$B:$B,MATCH($B2125,'TRANS'!$A:$A,0)),IFERROR(INDEX('TRANS'!$B:$B,MATCH(TRIM(SUBSTITUTE($B2125,CHAR(160)," ")),'TRANS'!$D:$D,0)),IFERROR(INDEX('Catalog'!$A:$A,MATCH($B2125,'Catalog'!$B:$B,0)),IFERROR(INDEX('Catalog'!$A:$A,MATCH(TRIM(SUBSTITUTE($B2125,CHAR(160)," ")),'Catalog'!$C:$C,0)),""))))</f>
        <v>4408154</v>
      </c>
      <c r="H2125" s="8" t="str">
        <f aca="false">IFERROR(INDEX('TRANS'!$C:$C,MATCH($B2125,'TRANS'!$A:$A,0)),IFERROR(INDEX('Catalog'!$B:$B,MATCH($G2125,'Catalog'!$A:$A,0)),$B2125))</f>
        <v>11TO XXLחגורה למנותחי בית החזה</v>
      </c>
      <c r="I2125" s="8" t="str">
        <f aca="false">IF($G2125="","Unmatched","Matched")</f>
        <v>Matched</v>
      </c>
      <c r="J2125" s="8" t="n">
        <f aca="false">IF($G2125&lt;&gt;"",$G2125,$B2125)</f>
        <v>4408154</v>
      </c>
      <c r="K2125" s="8" t="str">
        <f aca="false">IF(COUNTIF($M$1:$M$10,$A2125)&gt;0,"Y","N")</f>
        <v>Y</v>
      </c>
    </row>
    <row r="2126" customFormat="false" ht="15" hidden="false" customHeight="true" outlineLevel="0" collapsed="false">
      <c r="A2126" s="8" t="s">
        <v>42</v>
      </c>
      <c r="B2126" s="8" t="s">
        <v>73</v>
      </c>
      <c r="C2126" s="19" t="n">
        <v>2</v>
      </c>
      <c r="D2126" s="19" t="n">
        <v>567.62</v>
      </c>
      <c r="E2126" s="19" t="n">
        <v>0</v>
      </c>
      <c r="F2126" s="19" t="n">
        <v>0</v>
      </c>
      <c r="G2126" s="8" t="str">
        <f aca="false">IFERROR(INDEX('TRANS'!$B:$B,MATCH($B2126,'TRANS'!$A:$A,0)),IFERROR(INDEX('TRANS'!$B:$B,MATCH(TRIM(SUBSTITUTE($B2126,CHAR(160)," ")),'TRANS'!$D:$D,0)),IFERROR(INDEX('Catalog'!$A:$A,MATCH($B2126,'Catalog'!$B:$B,0)),IFERROR(INDEX('Catalog'!$A:$A,MATCH(TRIM(SUBSTITUTE($B2126,CHAR(160)," ")),'Catalog'!$C:$C,0)),""))))</f>
        <v/>
      </c>
      <c r="H2126" s="8" t="str">
        <f aca="false">IFERROR(INDEX('TRANS'!$C:$C,MATCH($B2126,'TRANS'!$A:$A,0)),IFERROR(INDEX('Catalog'!$B:$B,MATCH($G2126,'Catalog'!$A:$A,0)),$B2126))</f>
        <v>11TO XXXL</v>
      </c>
      <c r="I2126" s="8" t="str">
        <f aca="false">IF($G2126="","Unmatched","Matched")</f>
        <v>Unmatched</v>
      </c>
      <c r="J2126" s="8" t="str">
        <f aca="false">IF($G2126&lt;&gt;"",$G2126,$B2126)</f>
        <v>11TO XXXL</v>
      </c>
      <c r="K2126" s="8" t="str">
        <f aca="false">IF(COUNTIF($M$1:$M$10,$A2126)&gt;0,"Y","N")</f>
        <v>Y</v>
      </c>
    </row>
    <row r="2127" customFormat="false" ht="15" hidden="false" customHeight="true" outlineLevel="0" collapsed="false">
      <c r="A2127" s="8" t="s">
        <v>42</v>
      </c>
      <c r="B2127" s="8" t="s">
        <v>337</v>
      </c>
      <c r="C2127" s="19" t="n">
        <v>1</v>
      </c>
      <c r="D2127" s="19" t="n">
        <v>165.58</v>
      </c>
      <c r="E2127" s="19" t="n">
        <v>0</v>
      </c>
      <c r="F2127" s="19" t="n">
        <v>0</v>
      </c>
      <c r="G2127" s="8" t="str">
        <f aca="false">IFERROR(INDEX('TRANS'!$B:$B,MATCH($B2127,'TRANS'!$A:$A,0)),IFERROR(INDEX('TRANS'!$B:$B,MATCH(TRIM(SUBSTITUTE($B2127,CHAR(160)," ")),'TRANS'!$D:$D,0)),IFERROR(INDEX('Catalog'!$A:$A,MATCH($B2127,'Catalog'!$B:$B,0)),IFERROR(INDEX('Catalog'!$A:$A,MATCH(TRIM(SUBSTITUTE($B2127,CHAR(160)," ")),'Catalog'!$C:$C,0)),""))))</f>
        <v/>
      </c>
      <c r="H2127" s="8" t="str">
        <f aca="false">IFERROR(INDEX('TRANS'!$C:$C,MATCH($B2127,'TRANS'!$A:$A,0)),IFERROR(INDEX('Catalog'!$B:$B,MATCH($G2127,'Catalog'!$A:$A,0)),$B2127))</f>
        <v>11U M</v>
      </c>
      <c r="I2127" s="8" t="str">
        <f aca="false">IF($G2127="","Unmatched","Matched")</f>
        <v>Unmatched</v>
      </c>
      <c r="J2127" s="8" t="str">
        <f aca="false">IF($G2127&lt;&gt;"",$G2127,$B2127)</f>
        <v>11U M</v>
      </c>
      <c r="K2127" s="8" t="str">
        <f aca="false">IF(COUNTIF($M$1:$M$10,$A2127)&gt;0,"Y","N")</f>
        <v>Y</v>
      </c>
    </row>
    <row r="2128" customFormat="false" ht="15" hidden="false" customHeight="true" outlineLevel="0" collapsed="false">
      <c r="A2128" s="8" t="s">
        <v>42</v>
      </c>
      <c r="B2128" s="8" t="s">
        <v>947</v>
      </c>
      <c r="C2128" s="19" t="n">
        <v>5</v>
      </c>
      <c r="D2128" s="19" t="n">
        <v>810.68</v>
      </c>
      <c r="E2128" s="19" t="n">
        <v>7</v>
      </c>
      <c r="F2128" s="19" t="n">
        <v>1285.88</v>
      </c>
      <c r="G2128" s="8" t="n">
        <f aca="false">IFERROR(INDEX('TRANS'!$B:$B,MATCH($B2128,'TRANS'!$A:$A,0)),IFERROR(INDEX('TRANS'!$B:$B,MATCH(TRIM(SUBSTITUTE($B2128,CHAR(160)," ")),'TRANS'!$D:$D,0)),IFERROR(INDEX('Catalog'!$A:$A,MATCH($B2128,'Catalog'!$B:$B,0)),IFERROR(INDEX('Catalog'!$A:$A,MATCH(TRIM(SUBSTITUTE($B2128,CHAR(160)," ")),'Catalog'!$C:$C,0)),""))))</f>
        <v>4408226</v>
      </c>
      <c r="H2128" s="8" t="str">
        <f aca="false">IFERROR(INDEX('TRANS'!$C:$C,MATCH($B2128,'TRANS'!$A:$A,0)),IFERROR(INDEX('Catalog'!$B:$B,MATCH($G2128,'Catalog'!$A:$A,0)),$B2128))</f>
        <v>L 11 אפורUG חגורת בטן</v>
      </c>
      <c r="I2128" s="8" t="str">
        <f aca="false">IF($G2128="","Unmatched","Matched")</f>
        <v>Matched</v>
      </c>
      <c r="J2128" s="8" t="n">
        <f aca="false">IF($G2128&lt;&gt;"",$G2128,$B2128)</f>
        <v>4408226</v>
      </c>
      <c r="K2128" s="8" t="str">
        <f aca="false">IF(COUNTIF($M$1:$M$10,$A2128)&gt;0,"Y","N")</f>
        <v>Y</v>
      </c>
    </row>
    <row r="2129" customFormat="false" ht="15" hidden="false" customHeight="true" outlineLevel="0" collapsed="false">
      <c r="A2129" s="8" t="s">
        <v>42</v>
      </c>
      <c r="B2129" s="8" t="s">
        <v>128</v>
      </c>
      <c r="C2129" s="19" t="n">
        <v>5</v>
      </c>
      <c r="D2129" s="19" t="n">
        <v>903.85</v>
      </c>
      <c r="E2129" s="19" t="n">
        <v>6</v>
      </c>
      <c r="F2129" s="19" t="n">
        <v>1062.23</v>
      </c>
      <c r="G2129" s="8" t="str">
        <f aca="false">IFERROR(INDEX('TRANS'!$B:$B,MATCH($B2129,'TRANS'!$A:$A,0)),IFERROR(INDEX('TRANS'!$B:$B,MATCH(TRIM(SUBSTITUTE($B2129,CHAR(160)," ")),'TRANS'!$D:$D,0)),IFERROR(INDEX('Catalog'!$A:$A,MATCH($B2129,'Catalog'!$B:$B,0)),IFERROR(INDEX('Catalog'!$A:$A,MATCH(TRIM(SUBSTITUTE($B2129,CHAR(160)," ")),'Catalog'!$C:$C,0)),""))))</f>
        <v/>
      </c>
      <c r="H2129" s="8" t="str">
        <f aca="false">IFERROR(INDEX('TRANS'!$C:$C,MATCH($B2129,'TRANS'!$A:$A,0)),IFERROR(INDEX('Catalog'!$B:$B,MATCH($G2129,'Catalog'!$A:$A,0)),$B2129))</f>
        <v>11UG M</v>
      </c>
      <c r="I2129" s="8" t="str">
        <f aca="false">IF($G2129="","Unmatched","Matched")</f>
        <v>Unmatched</v>
      </c>
      <c r="J2129" s="8" t="str">
        <f aca="false">IF($G2129&lt;&gt;"",$G2129,$B2129)</f>
        <v>11UG M</v>
      </c>
      <c r="K2129" s="8" t="str">
        <f aca="false">IF(COUNTIF($M$1:$M$10,$A2129)&gt;0,"Y","N")</f>
        <v>Y</v>
      </c>
    </row>
    <row r="2130" customFormat="false" ht="15" hidden="false" customHeight="true" outlineLevel="0" collapsed="false">
      <c r="A2130" s="8" t="s">
        <v>42</v>
      </c>
      <c r="B2130" s="8" t="s">
        <v>148</v>
      </c>
      <c r="C2130" s="19" t="n">
        <v>5</v>
      </c>
      <c r="D2130" s="19" t="n">
        <v>916.54</v>
      </c>
      <c r="E2130" s="19" t="n">
        <v>7</v>
      </c>
      <c r="F2130" s="19" t="n">
        <v>1239.29</v>
      </c>
      <c r="G2130" s="8" t="str">
        <f aca="false">IFERROR(INDEX('TRANS'!$B:$B,MATCH($B2130,'TRANS'!$A:$A,0)),IFERROR(INDEX('TRANS'!$B:$B,MATCH(TRIM(SUBSTITUTE($B2130,CHAR(160)," ")),'TRANS'!$D:$D,0)),IFERROR(INDEX('Catalog'!$A:$A,MATCH($B2130,'Catalog'!$B:$B,0)),IFERROR(INDEX('Catalog'!$A:$A,MATCH(TRIM(SUBSTITUTE($B2130,CHAR(160)," ")),'Catalog'!$C:$C,0)),""))))</f>
        <v/>
      </c>
      <c r="H2130" s="8" t="str">
        <f aca="false">IFERROR(INDEX('TRANS'!$C:$C,MATCH($B2130,'TRANS'!$A:$A,0)),IFERROR(INDEX('Catalog'!$B:$B,MATCH($G2130,'Catalog'!$A:$A,0)),$B2130))</f>
        <v>11UG S</v>
      </c>
      <c r="I2130" s="8" t="str">
        <f aca="false">IF($G2130="","Unmatched","Matched")</f>
        <v>Unmatched</v>
      </c>
      <c r="J2130" s="8" t="str">
        <f aca="false">IF($G2130&lt;&gt;"",$G2130,$B2130)</f>
        <v>11UG S</v>
      </c>
      <c r="K2130" s="8" t="str">
        <f aca="false">IF(COUNTIF($M$1:$M$10,$A2130)&gt;0,"Y","N")</f>
        <v>Y</v>
      </c>
    </row>
    <row r="2131" customFormat="false" ht="15" hidden="false" customHeight="true" outlineLevel="0" collapsed="false">
      <c r="A2131" s="8" t="s">
        <v>42</v>
      </c>
      <c r="B2131" s="8" t="s">
        <v>216</v>
      </c>
      <c r="C2131" s="19" t="n">
        <v>5</v>
      </c>
      <c r="D2131" s="19" t="n">
        <v>845.38</v>
      </c>
      <c r="E2131" s="19" t="n">
        <v>3</v>
      </c>
      <c r="F2131" s="19" t="n">
        <v>540.43</v>
      </c>
      <c r="G2131" s="8" t="str">
        <f aca="false">IFERROR(INDEX('TRANS'!$B:$B,MATCH($B2131,'TRANS'!$A:$A,0)),IFERROR(INDEX('TRANS'!$B:$B,MATCH(TRIM(SUBSTITUTE($B2131,CHAR(160)," ")),'TRANS'!$D:$D,0)),IFERROR(INDEX('Catalog'!$A:$A,MATCH($B2131,'Catalog'!$B:$B,0)),IFERROR(INDEX('Catalog'!$A:$A,MATCH(TRIM(SUBSTITUTE($B2131,CHAR(160)," ")),'Catalog'!$C:$C,0)),""))))</f>
        <v/>
      </c>
      <c r="H2131" s="8" t="str">
        <f aca="false">IFERROR(INDEX('TRANS'!$C:$C,MATCH($B2131,'TRANS'!$A:$A,0)),IFERROR(INDEX('Catalog'!$B:$B,MATCH($G2131,'Catalog'!$A:$A,0)),$B2131))</f>
        <v>11UG XL</v>
      </c>
      <c r="I2131" s="8" t="str">
        <f aca="false">IF($G2131="","Unmatched","Matched")</f>
        <v>Unmatched</v>
      </c>
      <c r="J2131" s="8" t="str">
        <f aca="false">IF($G2131&lt;&gt;"",$G2131,$B2131)</f>
        <v>11UG XL</v>
      </c>
      <c r="K2131" s="8" t="str">
        <f aca="false">IF(COUNTIF($M$1:$M$10,$A2131)&gt;0,"Y","N")</f>
        <v>Y</v>
      </c>
    </row>
    <row r="2132" customFormat="false" ht="15" hidden="false" customHeight="true" outlineLevel="0" collapsed="false">
      <c r="A2132" s="8" t="s">
        <v>42</v>
      </c>
      <c r="B2132" s="8" t="s">
        <v>255</v>
      </c>
      <c r="C2132" s="19" t="n">
        <v>1</v>
      </c>
      <c r="D2132" s="19" t="n">
        <v>186.36</v>
      </c>
      <c r="E2132" s="19" t="n">
        <v>3</v>
      </c>
      <c r="F2132" s="19" t="n">
        <v>540.42</v>
      </c>
      <c r="G2132" s="8" t="str">
        <f aca="false">IFERROR(INDEX('TRANS'!$B:$B,MATCH($B2132,'TRANS'!$A:$A,0)),IFERROR(INDEX('TRANS'!$B:$B,MATCH(TRIM(SUBSTITUTE($B2132,CHAR(160)," ")),'TRANS'!$D:$D,0)),IFERROR(INDEX('Catalog'!$A:$A,MATCH($B2132,'Catalog'!$B:$B,0)),IFERROR(INDEX('Catalog'!$A:$A,MATCH(TRIM(SUBSTITUTE($B2132,CHAR(160)," ")),'Catalog'!$C:$C,0)),""))))</f>
        <v/>
      </c>
      <c r="H2132" s="8" t="str">
        <f aca="false">IFERROR(INDEX('TRANS'!$C:$C,MATCH($B2132,'TRANS'!$A:$A,0)),IFERROR(INDEX('Catalog'!$B:$B,MATCH($G2132,'Catalog'!$A:$A,0)),$B2132))</f>
        <v>11UG XS</v>
      </c>
      <c r="I2132" s="8" t="str">
        <f aca="false">IF($G2132="","Unmatched","Matched")</f>
        <v>Unmatched</v>
      </c>
      <c r="J2132" s="8" t="str">
        <f aca="false">IF($G2132&lt;&gt;"",$G2132,$B2132)</f>
        <v>11UG XS</v>
      </c>
      <c r="K2132" s="8" t="str">
        <f aca="false">IF(COUNTIF($M$1:$M$10,$A2132)&gt;0,"Y","N")</f>
        <v>Y</v>
      </c>
    </row>
    <row r="2133" customFormat="false" ht="15" hidden="false" customHeight="true" outlineLevel="0" collapsed="false">
      <c r="A2133" s="8" t="s">
        <v>42</v>
      </c>
      <c r="B2133" s="8" t="s">
        <v>137</v>
      </c>
      <c r="C2133" s="19" t="n">
        <v>11</v>
      </c>
      <c r="D2133" s="19" t="n">
        <v>2325.29</v>
      </c>
      <c r="E2133" s="19" t="n">
        <v>8</v>
      </c>
      <c r="F2133" s="19" t="n">
        <v>1586.54</v>
      </c>
      <c r="G2133" s="8" t="str">
        <f aca="false">IFERROR(INDEX('TRANS'!$B:$B,MATCH($B2133,'TRANS'!$A:$A,0)),IFERROR(INDEX('TRANS'!$B:$B,MATCH(TRIM(SUBSTITUTE($B2133,CHAR(160)," ")),'TRANS'!$D:$D,0)),IFERROR(INDEX('Catalog'!$A:$A,MATCH($B2133,'Catalog'!$B:$B,0)),IFERROR(INDEX('Catalog'!$A:$A,MATCH(TRIM(SUBSTITUTE($B2133,CHAR(160)," ")),'Catalog'!$C:$C,0)),""))))</f>
        <v/>
      </c>
      <c r="H2133" s="8" t="str">
        <f aca="false">IFERROR(INDEX('TRANS'!$C:$C,MATCH($B2133,'TRANS'!$A:$A,0)),IFERROR(INDEX('Catalog'!$B:$B,MATCH($G2133,'Catalog'!$A:$A,0)),$B2133))</f>
        <v>11UG XXL</v>
      </c>
      <c r="I2133" s="8" t="str">
        <f aca="false">IF($G2133="","Unmatched","Matched")</f>
        <v>Unmatched</v>
      </c>
      <c r="J2133" s="8" t="str">
        <f aca="false">IF($G2133&lt;&gt;"",$G2133,$B2133)</f>
        <v>11UG XXL</v>
      </c>
      <c r="K2133" s="8" t="str">
        <f aca="false">IF(COUNTIF($M$1:$M$10,$A2133)&gt;0,"Y","N")</f>
        <v>Y</v>
      </c>
    </row>
    <row r="2134" customFormat="false" ht="15" hidden="false" customHeight="true" outlineLevel="0" collapsed="false">
      <c r="A2134" s="8" t="s">
        <v>42</v>
      </c>
      <c r="B2134" s="8" t="s">
        <v>185</v>
      </c>
      <c r="C2134" s="19" t="n">
        <v>3</v>
      </c>
      <c r="D2134" s="19" t="n">
        <v>823.05</v>
      </c>
      <c r="E2134" s="19" t="n">
        <v>1</v>
      </c>
      <c r="F2134" s="19" t="n">
        <v>283.81</v>
      </c>
      <c r="G2134" s="8" t="str">
        <f aca="false">IFERROR(INDEX('TRANS'!$B:$B,MATCH($B2134,'TRANS'!$A:$A,0)),IFERROR(INDEX('TRANS'!$B:$B,MATCH(TRIM(SUBSTITUTE($B2134,CHAR(160)," ")),'TRANS'!$D:$D,0)),IFERROR(INDEX('Catalog'!$A:$A,MATCH($B2134,'Catalog'!$B:$B,0)),IFERROR(INDEX('Catalog'!$A:$A,MATCH(TRIM(SUBSTITUTE($B2134,CHAR(160)," ")),'Catalog'!$C:$C,0)),""))))</f>
        <v/>
      </c>
      <c r="H2134" s="8" t="str">
        <f aca="false">IFERROR(INDEX('TRANS'!$C:$C,MATCH($B2134,'TRANS'!$A:$A,0)),IFERROR(INDEX('Catalog'!$B:$B,MATCH($G2134,'Catalog'!$A:$A,0)),$B2134))</f>
        <v>13 L</v>
      </c>
      <c r="I2134" s="8" t="str">
        <f aca="false">IF($G2134="","Unmatched","Matched")</f>
        <v>Unmatched</v>
      </c>
      <c r="J2134" s="8" t="str">
        <f aca="false">IF($G2134&lt;&gt;"",$G2134,$B2134)</f>
        <v>13 L</v>
      </c>
      <c r="K2134" s="8" t="str">
        <f aca="false">IF(COUNTIF($M$1:$M$10,$A2134)&gt;0,"Y","N")</f>
        <v>Y</v>
      </c>
    </row>
    <row r="2135" customFormat="false" ht="15" hidden="false" customHeight="true" outlineLevel="0" collapsed="false">
      <c r="A2135" s="8" t="s">
        <v>42</v>
      </c>
      <c r="B2135" s="8" t="s">
        <v>174</v>
      </c>
      <c r="C2135" s="19" t="n">
        <v>1</v>
      </c>
      <c r="D2135" s="19" t="n">
        <v>227.05</v>
      </c>
      <c r="E2135" s="19" t="n">
        <v>5</v>
      </c>
      <c r="F2135" s="19" t="n">
        <v>1419.05</v>
      </c>
      <c r="G2135" s="8" t="str">
        <f aca="false">IFERROR(INDEX('TRANS'!$B:$B,MATCH($B2135,'TRANS'!$A:$A,0)),IFERROR(INDEX('TRANS'!$B:$B,MATCH(TRIM(SUBSTITUTE($B2135,CHAR(160)," ")),'TRANS'!$D:$D,0)),IFERROR(INDEX('Catalog'!$A:$A,MATCH($B2135,'Catalog'!$B:$B,0)),IFERROR(INDEX('Catalog'!$A:$A,MATCH(TRIM(SUBSTITUTE($B2135,CHAR(160)," ")),'Catalog'!$C:$C,0)),""))))</f>
        <v/>
      </c>
      <c r="H2135" s="8" t="str">
        <f aca="false">IFERROR(INDEX('TRANS'!$C:$C,MATCH($B2135,'TRANS'!$A:$A,0)),IFERROR(INDEX('Catalog'!$B:$B,MATCH($G2135,'Catalog'!$A:$A,0)),$B2135))</f>
        <v>13 M</v>
      </c>
      <c r="I2135" s="8" t="str">
        <f aca="false">IF($G2135="","Unmatched","Matched")</f>
        <v>Unmatched</v>
      </c>
      <c r="J2135" s="8" t="str">
        <f aca="false">IF($G2135&lt;&gt;"",$G2135,$B2135)</f>
        <v>13 M</v>
      </c>
      <c r="K2135" s="8" t="str">
        <f aca="false">IF(COUNTIF($M$1:$M$10,$A2135)&gt;0,"Y","N")</f>
        <v>Y</v>
      </c>
    </row>
    <row r="2136" customFormat="false" ht="15" hidden="false" customHeight="true" outlineLevel="0" collapsed="false">
      <c r="A2136" s="8" t="s">
        <v>42</v>
      </c>
      <c r="B2136" s="8" t="s">
        <v>369</v>
      </c>
      <c r="C2136" s="19" t="n">
        <v>0</v>
      </c>
      <c r="D2136" s="19" t="n">
        <v>0</v>
      </c>
      <c r="E2136" s="19" t="n">
        <v>1</v>
      </c>
      <c r="F2136" s="19" t="n">
        <v>241.25</v>
      </c>
      <c r="G2136" s="8" t="str">
        <f aca="false">IFERROR(INDEX('TRANS'!$B:$B,MATCH($B2136,'TRANS'!$A:$A,0)),IFERROR(INDEX('TRANS'!$B:$B,MATCH(TRIM(SUBSTITUTE($B2136,CHAR(160)," ")),'TRANS'!$D:$D,0)),IFERROR(INDEX('Catalog'!$A:$A,MATCH($B2136,'Catalog'!$B:$B,0)),IFERROR(INDEX('Catalog'!$A:$A,MATCH(TRIM(SUBSTITUTE($B2136,CHAR(160)," ")),'Catalog'!$C:$C,0)),""))))</f>
        <v/>
      </c>
      <c r="H2136" s="8" t="str">
        <f aca="false">IFERROR(INDEX('TRANS'!$C:$C,MATCH($B2136,'TRANS'!$A:$A,0)),IFERROR(INDEX('Catalog'!$B:$B,MATCH($G2136,'Catalog'!$A:$A,0)),$B2136))</f>
        <v>13 S</v>
      </c>
      <c r="I2136" s="8" t="str">
        <f aca="false">IF($G2136="","Unmatched","Matched")</f>
        <v>Unmatched</v>
      </c>
      <c r="J2136" s="8" t="str">
        <f aca="false">IF($G2136&lt;&gt;"",$G2136,$B2136)</f>
        <v>13 S</v>
      </c>
      <c r="K2136" s="8" t="str">
        <f aca="false">IF(COUNTIF($M$1:$M$10,$A2136)&gt;0,"Y","N")</f>
        <v>Y</v>
      </c>
    </row>
    <row r="2137" customFormat="false" ht="15" hidden="false" customHeight="true" outlineLevel="0" collapsed="false">
      <c r="A2137" s="8" t="s">
        <v>42</v>
      </c>
      <c r="B2137" s="8" t="s">
        <v>938</v>
      </c>
      <c r="C2137" s="19" t="n">
        <v>8</v>
      </c>
      <c r="D2137" s="19" t="n">
        <v>2185.34</v>
      </c>
      <c r="E2137" s="19" t="n">
        <v>5</v>
      </c>
      <c r="F2137" s="19" t="n">
        <v>1333.91</v>
      </c>
      <c r="G2137" s="8" t="n">
        <f aca="false">IFERROR(INDEX('TRANS'!$B:$B,MATCH($B2137,'TRANS'!$A:$A,0)),IFERROR(INDEX('TRANS'!$B:$B,MATCH(TRIM(SUBSTITUTE($B2137,CHAR(160)," ")),'TRANS'!$D:$D,0)),IFERROR(INDEX('Catalog'!$A:$A,MATCH($B2137,'Catalog'!$B:$B,0)),IFERROR(INDEX('Catalog'!$A:$A,MATCH(TRIM(SUBSTITUTE($B2137,CHAR(160)," ")),'Catalog'!$C:$C,0)),""))))</f>
        <v>4408179</v>
      </c>
      <c r="H2137" s="8" t="str">
        <f aca="false">IFERROR(INDEX('TRANS'!$C:$C,MATCH($B2137,'TRANS'!$A:$A,0)),IFERROR(INDEX('Catalog'!$B:$B,MATCH($G2137,'Catalog'!$A:$A,0)),$B2137))</f>
        <v>13 XL חגורה לשבר טבור</v>
      </c>
      <c r="I2137" s="8" t="str">
        <f aca="false">IF($G2137="","Unmatched","Matched")</f>
        <v>Matched</v>
      </c>
      <c r="J2137" s="8" t="n">
        <f aca="false">IF($G2137&lt;&gt;"",$G2137,$B2137)</f>
        <v>4408179</v>
      </c>
      <c r="K2137" s="8" t="str">
        <f aca="false">IF(COUNTIF($M$1:$M$10,$A2137)&gt;0,"Y","N")</f>
        <v>Y</v>
      </c>
    </row>
    <row r="2138" customFormat="false" ht="15" hidden="false" customHeight="true" outlineLevel="0" collapsed="false">
      <c r="A2138" s="8" t="s">
        <v>42</v>
      </c>
      <c r="B2138" s="8" t="s">
        <v>370</v>
      </c>
      <c r="C2138" s="19" t="n">
        <v>0</v>
      </c>
      <c r="D2138" s="19" t="n">
        <v>0</v>
      </c>
      <c r="E2138" s="19" t="n">
        <v>1</v>
      </c>
      <c r="F2138" s="19" t="n">
        <v>283.81</v>
      </c>
      <c r="G2138" s="8" t="str">
        <f aca="false">IFERROR(INDEX('TRANS'!$B:$B,MATCH($B2138,'TRANS'!$A:$A,0)),IFERROR(INDEX('TRANS'!$B:$B,MATCH(TRIM(SUBSTITUTE($B2138,CHAR(160)," ")),'TRANS'!$D:$D,0)),IFERROR(INDEX('Catalog'!$A:$A,MATCH($B2138,'Catalog'!$B:$B,0)),IFERROR(INDEX('Catalog'!$A:$A,MATCH(TRIM(SUBSTITUTE($B2138,CHAR(160)," ")),'Catalog'!$C:$C,0)),""))))</f>
        <v/>
      </c>
      <c r="H2138" s="8" t="str">
        <f aca="false">IFERROR(INDEX('TRANS'!$C:$C,MATCH($B2138,'TRANS'!$A:$A,0)),IFERROR(INDEX('Catalog'!$B:$B,MATCH($G2138,'Catalog'!$A:$A,0)),$B2138))</f>
        <v>13 XS</v>
      </c>
      <c r="I2138" s="8" t="str">
        <f aca="false">IF($G2138="","Unmatched","Matched")</f>
        <v>Unmatched</v>
      </c>
      <c r="J2138" s="8" t="str">
        <f aca="false">IF($G2138&lt;&gt;"",$G2138,$B2138)</f>
        <v>13 XS</v>
      </c>
      <c r="K2138" s="8" t="str">
        <f aca="false">IF(COUNTIF($M$1:$M$10,$A2138)&gt;0,"Y","N")</f>
        <v>Y</v>
      </c>
    </row>
    <row r="2139" customFormat="false" ht="15" hidden="false" customHeight="true" outlineLevel="0" collapsed="false">
      <c r="A2139" s="8" t="s">
        <v>42</v>
      </c>
      <c r="B2139" s="8" t="s">
        <v>782</v>
      </c>
      <c r="C2139" s="19" t="n">
        <v>2</v>
      </c>
      <c r="D2139" s="19" t="n">
        <v>481.04</v>
      </c>
      <c r="E2139" s="19" t="n">
        <v>7</v>
      </c>
      <c r="F2139" s="19" t="n">
        <v>1901.53</v>
      </c>
      <c r="G2139" s="8" t="n">
        <f aca="false">IFERROR(INDEX('TRANS'!$B:$B,MATCH($B2139,'TRANS'!$A:$A,0)),IFERROR(INDEX('TRANS'!$B:$B,MATCH(TRIM(SUBSTITUTE($B2139,CHAR(160)," ")),'TRANS'!$D:$D,0)),IFERROR(INDEX('Catalog'!$A:$A,MATCH($B2139,'Catalog'!$B:$B,0)),IFERROR(INDEX('Catalog'!$A:$A,MATCH(TRIM(SUBSTITUTE($B2139,CHAR(160)," ")),'Catalog'!$C:$C,0)),""))))</f>
        <v>4408180</v>
      </c>
      <c r="H2139" s="8" t="str">
        <f aca="false">IFERROR(INDEX('TRANS'!$C:$C,MATCH($B2139,'TRANS'!$A:$A,0)),IFERROR(INDEX('Catalog'!$B:$B,MATCH($G2139,'Catalog'!$A:$A,0)),$B2139))</f>
        <v>13 XXL חגורה לשבר טבור</v>
      </c>
      <c r="I2139" s="8" t="str">
        <f aca="false">IF($G2139="","Unmatched","Matched")</f>
        <v>Matched</v>
      </c>
      <c r="J2139" s="8" t="n">
        <f aca="false">IF($G2139&lt;&gt;"",$G2139,$B2139)</f>
        <v>4408180</v>
      </c>
      <c r="K2139" s="8" t="str">
        <f aca="false">IF(COUNTIF($M$1:$M$10,$A2139)&gt;0,"Y","N")</f>
        <v>Y</v>
      </c>
    </row>
    <row r="2140" customFormat="false" ht="15" hidden="false" customHeight="true" outlineLevel="0" collapsed="false">
      <c r="A2140" s="8" t="s">
        <v>42</v>
      </c>
      <c r="B2140" s="8" t="s">
        <v>499</v>
      </c>
      <c r="C2140" s="19" t="n">
        <v>1</v>
      </c>
      <c r="D2140" s="19" t="n">
        <v>97.17</v>
      </c>
      <c r="E2140" s="19" t="n">
        <v>0</v>
      </c>
      <c r="F2140" s="19" t="n">
        <v>0</v>
      </c>
      <c r="G2140" s="8" t="str">
        <f aca="false">IFERROR(INDEX('TRANS'!$B:$B,MATCH($B2140,'TRANS'!$A:$A,0)),IFERROR(INDEX('TRANS'!$B:$B,MATCH(TRIM(SUBSTITUTE($B2140,CHAR(160)," ")),'TRANS'!$D:$D,0)),IFERROR(INDEX('Catalog'!$A:$A,MATCH($B2140,'Catalog'!$B:$B,0)),IFERROR(INDEX('Catalog'!$A:$A,MATCH(TRIM(SUBSTITUTE($B2140,CHAR(160)," ")),'Catalog'!$C:$C,0)),""))))</f>
        <v/>
      </c>
      <c r="H2140" s="8" t="str">
        <f aca="false">IFERROR(INDEX('TRANS'!$C:$C,MATCH($B2140,'TRANS'!$A:$A,0)),IFERROR(INDEX('Catalog'!$B:$B,MATCH($G2140,'Catalog'!$A:$A,0)),$B2140))</f>
        <v>13B L</v>
      </c>
      <c r="I2140" s="8" t="str">
        <f aca="false">IF($G2140="","Unmatched","Matched")</f>
        <v>Unmatched</v>
      </c>
      <c r="J2140" s="8" t="str">
        <f aca="false">IF($G2140&lt;&gt;"",$G2140,$B2140)</f>
        <v>13B L</v>
      </c>
      <c r="K2140" s="8" t="str">
        <f aca="false">IF(COUNTIF($M$1:$M$10,$A2140)&gt;0,"Y","N")</f>
        <v>Y</v>
      </c>
    </row>
    <row r="2141" customFormat="false" ht="15" hidden="false" customHeight="true" outlineLevel="0" collapsed="false">
      <c r="A2141" s="8" t="s">
        <v>42</v>
      </c>
      <c r="B2141" s="8" t="s">
        <v>500</v>
      </c>
      <c r="C2141" s="19" t="n">
        <v>1</v>
      </c>
      <c r="D2141" s="19" t="n">
        <v>106.69</v>
      </c>
      <c r="E2141" s="19" t="n">
        <v>0</v>
      </c>
      <c r="F2141" s="19" t="n">
        <v>0</v>
      </c>
      <c r="G2141" s="8" t="str">
        <f aca="false">IFERROR(INDEX('TRANS'!$B:$B,MATCH($B2141,'TRANS'!$A:$A,0)),IFERROR(INDEX('TRANS'!$B:$B,MATCH(TRIM(SUBSTITUTE($B2141,CHAR(160)," ")),'TRANS'!$D:$D,0)),IFERROR(INDEX('Catalog'!$A:$A,MATCH($B2141,'Catalog'!$B:$B,0)),IFERROR(INDEX('Catalog'!$A:$A,MATCH(TRIM(SUBSTITUTE($B2141,CHAR(160)," ")),'Catalog'!$C:$C,0)),""))))</f>
        <v/>
      </c>
      <c r="H2141" s="8" t="str">
        <f aca="false">IFERROR(INDEX('TRANS'!$C:$C,MATCH($B2141,'TRANS'!$A:$A,0)),IFERROR(INDEX('Catalog'!$B:$B,MATCH($G2141,'Catalog'!$A:$A,0)),$B2141))</f>
        <v>13B M</v>
      </c>
      <c r="I2141" s="8" t="str">
        <f aca="false">IF($G2141="","Unmatched","Matched")</f>
        <v>Unmatched</v>
      </c>
      <c r="J2141" s="8" t="str">
        <f aca="false">IF($G2141&lt;&gt;"",$G2141,$B2141)</f>
        <v>13B M</v>
      </c>
      <c r="K2141" s="8" t="str">
        <f aca="false">IF(COUNTIF($M$1:$M$10,$A2141)&gt;0,"Y","N")</f>
        <v>Y</v>
      </c>
    </row>
    <row r="2142" customFormat="false" ht="15" hidden="false" customHeight="true" outlineLevel="0" collapsed="false">
      <c r="A2142" s="8" t="s">
        <v>42</v>
      </c>
      <c r="B2142" s="8" t="s">
        <v>153</v>
      </c>
      <c r="C2142" s="19" t="n">
        <v>7</v>
      </c>
      <c r="D2142" s="19" t="n">
        <v>769.64</v>
      </c>
      <c r="E2142" s="19" t="n">
        <v>5</v>
      </c>
      <c r="F2142" s="19" t="n">
        <v>560.17</v>
      </c>
      <c r="G2142" s="8" t="str">
        <f aca="false">IFERROR(INDEX('TRANS'!$B:$B,MATCH($B2142,'TRANS'!$A:$A,0)),IFERROR(INDEX('TRANS'!$B:$B,MATCH(TRIM(SUBSTITUTE($B2142,CHAR(160)," ")),'TRANS'!$D:$D,0)),IFERROR(INDEX('Catalog'!$A:$A,MATCH($B2142,'Catalog'!$B:$B,0)),IFERROR(INDEX('Catalog'!$A:$A,MATCH(TRIM(SUBSTITUTE($B2142,CHAR(160)," ")),'Catalog'!$C:$C,0)),""))))</f>
        <v/>
      </c>
      <c r="H2142" s="8" t="str">
        <f aca="false">IFERROR(INDEX('TRANS'!$C:$C,MATCH($B2142,'TRANS'!$A:$A,0)),IFERROR(INDEX('Catalog'!$B:$B,MATCH($G2142,'Catalog'!$A:$A,0)),$B2142))</f>
        <v>13B S</v>
      </c>
      <c r="I2142" s="8" t="str">
        <f aca="false">IF($G2142="","Unmatched","Matched")</f>
        <v>Unmatched</v>
      </c>
      <c r="J2142" s="8" t="str">
        <f aca="false">IF($G2142&lt;&gt;"",$G2142,$B2142)</f>
        <v>13B S</v>
      </c>
      <c r="K2142" s="8" t="str">
        <f aca="false">IF(COUNTIF($M$1:$M$10,$A2142)&gt;0,"Y","N")</f>
        <v>Y</v>
      </c>
    </row>
    <row r="2143" customFormat="false" ht="15" hidden="false" customHeight="true" outlineLevel="0" collapsed="false">
      <c r="A2143" s="8" t="s">
        <v>42</v>
      </c>
      <c r="B2143" s="8" t="s">
        <v>572</v>
      </c>
      <c r="C2143" s="19" t="n">
        <v>13</v>
      </c>
      <c r="D2143" s="19" t="n">
        <v>5658.71</v>
      </c>
      <c r="E2143" s="19" t="n">
        <v>5</v>
      </c>
      <c r="F2143" s="19" t="n">
        <v>2277.55</v>
      </c>
      <c r="G2143" s="8" t="n">
        <f aca="false">IFERROR(INDEX('TRANS'!$B:$B,MATCH($B2143,'TRANS'!$A:$A,0)),IFERROR(INDEX('TRANS'!$B:$B,MATCH(TRIM(SUBSTITUTE($B2143,CHAR(160)," ")),'TRANS'!$D:$D,0)),IFERROR(INDEX('Catalog'!$A:$A,MATCH($B2143,'Catalog'!$B:$B,0)),IFERROR(INDEX('Catalog'!$A:$A,MATCH(TRIM(SUBSTITUTE($B2143,CHAR(160)," ")),'Catalog'!$C:$C,0)),""))))</f>
        <v>4408203</v>
      </c>
      <c r="H2143" s="8" t="str">
        <f aca="false">IFERROR(INDEX('TRANS'!$C:$C,MATCH($B2143,'TRANS'!$A:$A,0)),IFERROR(INDEX('Catalog'!$B:$B,MATCH($G2143,'Catalog'!$A:$A,0)),$B2143))</f>
        <v>14 0 חגורה למנותחי בית חזה</v>
      </c>
      <c r="I2143" s="8" t="str">
        <f aca="false">IF($G2143="","Unmatched","Matched")</f>
        <v>Matched</v>
      </c>
      <c r="J2143" s="8" t="n">
        <f aca="false">IF($G2143&lt;&gt;"",$G2143,$B2143)</f>
        <v>4408203</v>
      </c>
      <c r="K2143" s="8" t="str">
        <f aca="false">IF(COUNTIF($M$1:$M$10,$A2143)&gt;0,"Y","N")</f>
        <v>Y</v>
      </c>
    </row>
    <row r="2144" customFormat="false" ht="15" hidden="false" customHeight="true" outlineLevel="0" collapsed="false">
      <c r="A2144" s="8" t="s">
        <v>42</v>
      </c>
      <c r="B2144" s="8" t="s">
        <v>229</v>
      </c>
      <c r="C2144" s="19" t="n">
        <v>3</v>
      </c>
      <c r="D2144" s="19" t="n">
        <v>457.95</v>
      </c>
      <c r="E2144" s="19" t="n">
        <v>2</v>
      </c>
      <c r="F2144" s="19" t="n">
        <v>482.89</v>
      </c>
      <c r="G2144" s="8" t="str">
        <f aca="false">IFERROR(INDEX('TRANS'!$B:$B,MATCH($B2144,'TRANS'!$A:$A,0)),IFERROR(INDEX('TRANS'!$B:$B,MATCH(TRIM(SUBSTITUTE($B2144,CHAR(160)," ")),'TRANS'!$D:$D,0)),IFERROR(INDEX('Catalog'!$A:$A,MATCH($B2144,'Catalog'!$B:$B,0)),IFERROR(INDEX('Catalog'!$A:$A,MATCH(TRIM(SUBSTITUTE($B2144,CHAR(160)," ")),'Catalog'!$C:$C,0)),""))))</f>
        <v/>
      </c>
      <c r="H2144" s="8" t="str">
        <f aca="false">IFERROR(INDEX('TRANS'!$C:$C,MATCH($B2144,'TRANS'!$A:$A,0)),IFERROR(INDEX('Catalog'!$B:$B,MATCH($G2144,'Catalog'!$A:$A,0)),$B2144))</f>
        <v>15M L</v>
      </c>
      <c r="I2144" s="8" t="str">
        <f aca="false">IF($G2144="","Unmatched","Matched")</f>
        <v>Unmatched</v>
      </c>
      <c r="J2144" s="8" t="str">
        <f aca="false">IF($G2144&lt;&gt;"",$G2144,$B2144)</f>
        <v>15M L</v>
      </c>
      <c r="K2144" s="8" t="str">
        <f aca="false">IF(COUNTIF($M$1:$M$10,$A2144)&gt;0,"Y","N")</f>
        <v>Y</v>
      </c>
    </row>
    <row r="2145" customFormat="false" ht="15" hidden="false" customHeight="true" outlineLevel="0" collapsed="false">
      <c r="A2145" s="8" t="s">
        <v>42</v>
      </c>
      <c r="B2145" s="8" t="s">
        <v>404</v>
      </c>
      <c r="C2145" s="19" t="n">
        <v>2</v>
      </c>
      <c r="D2145" s="19" t="n">
        <v>443.07</v>
      </c>
      <c r="E2145" s="19" t="n">
        <v>0</v>
      </c>
      <c r="F2145" s="19" t="n">
        <v>0</v>
      </c>
      <c r="G2145" s="8" t="str">
        <f aca="false">IFERROR(INDEX('TRANS'!$B:$B,MATCH($B2145,'TRANS'!$A:$A,0)),IFERROR(INDEX('TRANS'!$B:$B,MATCH(TRIM(SUBSTITUTE($B2145,CHAR(160)," ")),'TRANS'!$D:$D,0)),IFERROR(INDEX('Catalog'!$A:$A,MATCH($B2145,'Catalog'!$B:$B,0)),IFERROR(INDEX('Catalog'!$A:$A,MATCH(TRIM(SUBSTITUTE($B2145,CHAR(160)," ")),'Catalog'!$C:$C,0)),""))))</f>
        <v/>
      </c>
      <c r="H2145" s="8" t="str">
        <f aca="false">IFERROR(INDEX('TRANS'!$C:$C,MATCH($B2145,'TRANS'!$A:$A,0)),IFERROR(INDEX('Catalog'!$B:$B,MATCH($G2145,'Catalog'!$A:$A,0)),$B2145))</f>
        <v>15M M</v>
      </c>
      <c r="I2145" s="8" t="str">
        <f aca="false">IF($G2145="","Unmatched","Matched")</f>
        <v>Unmatched</v>
      </c>
      <c r="J2145" s="8" t="str">
        <f aca="false">IF($G2145&lt;&gt;"",$G2145,$B2145)</f>
        <v>15M M</v>
      </c>
      <c r="K2145" s="8" t="str">
        <f aca="false">IF(COUNTIF($M$1:$M$10,$A2145)&gt;0,"Y","N")</f>
        <v>Y</v>
      </c>
    </row>
    <row r="2146" customFormat="false" ht="15" hidden="false" customHeight="true" outlineLevel="0" collapsed="false">
      <c r="A2146" s="8" t="s">
        <v>42</v>
      </c>
      <c r="B2146" s="8" t="s">
        <v>211</v>
      </c>
      <c r="C2146" s="19" t="n">
        <v>3</v>
      </c>
      <c r="D2146" s="19" t="n">
        <v>724.32</v>
      </c>
      <c r="E2146" s="19" t="n">
        <v>1</v>
      </c>
      <c r="F2146" s="19" t="n">
        <v>228.74</v>
      </c>
      <c r="G2146" s="8" t="str">
        <f aca="false">IFERROR(INDEX('TRANS'!$B:$B,MATCH($B2146,'TRANS'!$A:$A,0)),IFERROR(INDEX('TRANS'!$B:$B,MATCH(TRIM(SUBSTITUTE($B2146,CHAR(160)," ")),'TRANS'!$D:$D,0)),IFERROR(INDEX('Catalog'!$A:$A,MATCH($B2146,'Catalog'!$B:$B,0)),IFERROR(INDEX('Catalog'!$A:$A,MATCH(TRIM(SUBSTITUTE($B2146,CHAR(160)," ")),'Catalog'!$C:$C,0)),""))))</f>
        <v/>
      </c>
      <c r="H2146" s="8" t="str">
        <f aca="false">IFERROR(INDEX('TRANS'!$C:$C,MATCH($B2146,'TRANS'!$A:$A,0)),IFERROR(INDEX('Catalog'!$B:$B,MATCH($G2146,'Catalog'!$A:$A,0)),$B2146))</f>
        <v>15M XL</v>
      </c>
      <c r="I2146" s="8" t="str">
        <f aca="false">IF($G2146="","Unmatched","Matched")</f>
        <v>Unmatched</v>
      </c>
      <c r="J2146" s="8" t="str">
        <f aca="false">IF($G2146&lt;&gt;"",$G2146,$B2146)</f>
        <v>15M XL</v>
      </c>
      <c r="K2146" s="8" t="str">
        <f aca="false">IF(COUNTIF($M$1:$M$10,$A2146)&gt;0,"Y","N")</f>
        <v>Y</v>
      </c>
    </row>
    <row r="2147" customFormat="false" ht="15" hidden="false" customHeight="true" outlineLevel="0" collapsed="false">
      <c r="A2147" s="8" t="s">
        <v>42</v>
      </c>
      <c r="B2147" s="8" t="s">
        <v>241</v>
      </c>
      <c r="C2147" s="19" t="n">
        <v>2</v>
      </c>
      <c r="D2147" s="19" t="n">
        <v>393.94</v>
      </c>
      <c r="E2147" s="19" t="n">
        <v>2</v>
      </c>
      <c r="F2147" s="19" t="n">
        <v>482.89</v>
      </c>
      <c r="G2147" s="8" t="str">
        <f aca="false">IFERROR(INDEX('TRANS'!$B:$B,MATCH($B2147,'TRANS'!$A:$A,0)),IFERROR(INDEX('TRANS'!$B:$B,MATCH(TRIM(SUBSTITUTE($B2147,CHAR(160)," ")),'TRANS'!$D:$D,0)),IFERROR(INDEX('Catalog'!$A:$A,MATCH($B2147,'Catalog'!$B:$B,0)),IFERROR(INDEX('Catalog'!$A:$A,MATCH(TRIM(SUBSTITUTE($B2147,CHAR(160)," ")),'Catalog'!$C:$C,0)),""))))</f>
        <v/>
      </c>
      <c r="H2147" s="8" t="str">
        <f aca="false">IFERROR(INDEX('TRANS'!$C:$C,MATCH($B2147,'TRANS'!$A:$A,0)),IFERROR(INDEX('Catalog'!$B:$B,MATCH($G2147,'Catalog'!$A:$A,0)),$B2147))</f>
        <v>15M XXL</v>
      </c>
      <c r="I2147" s="8" t="str">
        <f aca="false">IF($G2147="","Unmatched","Matched")</f>
        <v>Unmatched</v>
      </c>
      <c r="J2147" s="8" t="str">
        <f aca="false">IF($G2147&lt;&gt;"",$G2147,$B2147)</f>
        <v>15M XXL</v>
      </c>
      <c r="K2147" s="8" t="str">
        <f aca="false">IF(COUNTIF($M$1:$M$10,$A2147)&gt;0,"Y","N")</f>
        <v>Y</v>
      </c>
    </row>
    <row r="2148" customFormat="false" ht="15" hidden="false" customHeight="true" outlineLevel="0" collapsed="false">
      <c r="A2148" s="8" t="s">
        <v>42</v>
      </c>
      <c r="B2148" s="8" t="s">
        <v>573</v>
      </c>
      <c r="C2148" s="19" t="n">
        <v>3</v>
      </c>
      <c r="D2148" s="19" t="n">
        <v>709.93</v>
      </c>
      <c r="E2148" s="19" t="n">
        <v>3</v>
      </c>
      <c r="F2148" s="19" t="n">
        <v>762.46</v>
      </c>
      <c r="G2148" s="8" t="n">
        <f aca="false">IFERROR(INDEX('TRANS'!$B:$B,MATCH($B2148,'TRANS'!$A:$A,0)),IFERROR(INDEX('TRANS'!$B:$B,MATCH(TRIM(SUBSTITUTE($B2148,CHAR(160)," ")),'TRANS'!$D:$D,0)),IFERROR(INDEX('Catalog'!$A:$A,MATCH($B2148,'Catalog'!$B:$B,0)),IFERROR(INDEX('Catalog'!$A:$A,MATCH(TRIM(SUBSTITUTE($B2148,CHAR(160)," ")),'Catalog'!$C:$C,0)),""))))</f>
        <v>4408131</v>
      </c>
      <c r="H2148" s="8" t="str">
        <f aca="false">IFERROR(INDEX('TRANS'!$C:$C,MATCH($B2148,'TRANS'!$A:$A,0)),IFERROR(INDEX('Catalog'!$B:$B,MATCH($G2148,'Catalog'!$A:$A,0)),$B2148))</f>
        <v>15W L חגורת צלעות לאשה</v>
      </c>
      <c r="I2148" s="8" t="str">
        <f aca="false">IF($G2148="","Unmatched","Matched")</f>
        <v>Matched</v>
      </c>
      <c r="J2148" s="8" t="n">
        <f aca="false">IF($G2148&lt;&gt;"",$G2148,$B2148)</f>
        <v>4408131</v>
      </c>
      <c r="K2148" s="8" t="str">
        <f aca="false">IF(COUNTIF($M$1:$M$10,$A2148)&gt;0,"Y","N")</f>
        <v>Y</v>
      </c>
    </row>
    <row r="2149" customFormat="false" ht="15" hidden="false" customHeight="true" outlineLevel="0" collapsed="false">
      <c r="A2149" s="8" t="s">
        <v>42</v>
      </c>
      <c r="B2149" s="8" t="s">
        <v>263</v>
      </c>
      <c r="C2149" s="19" t="n">
        <v>6</v>
      </c>
      <c r="D2149" s="19" t="n">
        <v>1524.9</v>
      </c>
      <c r="E2149" s="19" t="n">
        <v>0</v>
      </c>
      <c r="F2149" s="19" t="n">
        <v>0.00999999999999091</v>
      </c>
      <c r="G2149" s="8" t="str">
        <f aca="false">IFERROR(INDEX('TRANS'!$B:$B,MATCH($B2149,'TRANS'!$A:$A,0)),IFERROR(INDEX('TRANS'!$B:$B,MATCH(TRIM(SUBSTITUTE($B2149,CHAR(160)," ")),'TRANS'!$D:$D,0)),IFERROR(INDEX('Catalog'!$A:$A,MATCH($B2149,'Catalog'!$B:$B,0)),IFERROR(INDEX('Catalog'!$A:$A,MATCH(TRIM(SUBSTITUTE($B2149,CHAR(160)," ")),'Catalog'!$C:$C,0)),""))))</f>
        <v/>
      </c>
      <c r="H2149" s="8" t="str">
        <f aca="false">IFERROR(INDEX('TRANS'!$C:$C,MATCH($B2149,'TRANS'!$A:$A,0)),IFERROR(INDEX('Catalog'!$B:$B,MATCH($G2149,'Catalog'!$A:$A,0)),$B2149))</f>
        <v>15W M</v>
      </c>
      <c r="I2149" s="8" t="str">
        <f aca="false">IF($G2149="","Unmatched","Matched")</f>
        <v>Unmatched</v>
      </c>
      <c r="J2149" s="8" t="str">
        <f aca="false">IF($G2149&lt;&gt;"",$G2149,$B2149)</f>
        <v>15W M</v>
      </c>
      <c r="K2149" s="8" t="str">
        <f aca="false">IF(COUNTIF($M$1:$M$10,$A2149)&gt;0,"Y","N")</f>
        <v>Y</v>
      </c>
    </row>
    <row r="2150" customFormat="false" ht="15" hidden="false" customHeight="true" outlineLevel="0" collapsed="false">
      <c r="A2150" s="8" t="s">
        <v>42</v>
      </c>
      <c r="B2150" s="8" t="s">
        <v>405</v>
      </c>
      <c r="C2150" s="19" t="n">
        <v>2</v>
      </c>
      <c r="D2150" s="19" t="n">
        <v>470.18</v>
      </c>
      <c r="E2150" s="19" t="n">
        <v>0</v>
      </c>
      <c r="F2150" s="19" t="n">
        <v>0</v>
      </c>
      <c r="G2150" s="8" t="str">
        <f aca="false">IFERROR(INDEX('TRANS'!$B:$B,MATCH($B2150,'TRANS'!$A:$A,0)),IFERROR(INDEX('TRANS'!$B:$B,MATCH(TRIM(SUBSTITUTE($B2150,CHAR(160)," ")),'TRANS'!$D:$D,0)),IFERROR(INDEX('Catalog'!$A:$A,MATCH($B2150,'Catalog'!$B:$B,0)),IFERROR(INDEX('Catalog'!$A:$A,MATCH(TRIM(SUBSTITUTE($B2150,CHAR(160)," ")),'Catalog'!$C:$C,0)),""))))</f>
        <v/>
      </c>
      <c r="H2150" s="8" t="str">
        <f aca="false">IFERROR(INDEX('TRANS'!$C:$C,MATCH($B2150,'TRANS'!$A:$A,0)),IFERROR(INDEX('Catalog'!$B:$B,MATCH($G2150,'Catalog'!$A:$A,0)),$B2150))</f>
        <v>15W S</v>
      </c>
      <c r="I2150" s="8" t="str">
        <f aca="false">IF($G2150="","Unmatched","Matched")</f>
        <v>Unmatched</v>
      </c>
      <c r="J2150" s="8" t="str">
        <f aca="false">IF($G2150&lt;&gt;"",$G2150,$B2150)</f>
        <v>15W S</v>
      </c>
      <c r="K2150" s="8" t="str">
        <f aca="false">IF(COUNTIF($M$1:$M$10,$A2150)&gt;0,"Y","N")</f>
        <v>Y</v>
      </c>
    </row>
    <row r="2151" customFormat="false" ht="15" hidden="false" customHeight="true" outlineLevel="0" collapsed="false">
      <c r="A2151" s="8" t="s">
        <v>42</v>
      </c>
      <c r="B2151" s="8" t="s">
        <v>317</v>
      </c>
      <c r="C2151" s="19" t="n">
        <v>2</v>
      </c>
      <c r="D2151" s="19" t="n">
        <v>493.9</v>
      </c>
      <c r="E2151" s="19" t="n">
        <v>1</v>
      </c>
      <c r="F2151" s="19" t="n">
        <v>228.74</v>
      </c>
      <c r="G2151" s="8" t="str">
        <f aca="false">IFERROR(INDEX('TRANS'!$B:$B,MATCH($B2151,'TRANS'!$A:$A,0)),IFERROR(INDEX('TRANS'!$B:$B,MATCH(TRIM(SUBSTITUTE($B2151,CHAR(160)," ")),'TRANS'!$D:$D,0)),IFERROR(INDEX('Catalog'!$A:$A,MATCH($B2151,'Catalog'!$B:$B,0)),IFERROR(INDEX('Catalog'!$A:$A,MATCH(TRIM(SUBSTITUTE($B2151,CHAR(160)," ")),'Catalog'!$C:$C,0)),""))))</f>
        <v/>
      </c>
      <c r="H2151" s="8" t="str">
        <f aca="false">IFERROR(INDEX('TRANS'!$C:$C,MATCH($B2151,'TRANS'!$A:$A,0)),IFERROR(INDEX('Catalog'!$B:$B,MATCH($G2151,'Catalog'!$A:$A,0)),$B2151))</f>
        <v>15W XL</v>
      </c>
      <c r="I2151" s="8" t="str">
        <f aca="false">IF($G2151="","Unmatched","Matched")</f>
        <v>Unmatched</v>
      </c>
      <c r="J2151" s="8" t="str">
        <f aca="false">IF($G2151&lt;&gt;"",$G2151,$B2151)</f>
        <v>15W XL</v>
      </c>
      <c r="K2151" s="8" t="str">
        <f aca="false">IF(COUNTIF($M$1:$M$10,$A2151)&gt;0,"Y","N")</f>
        <v>Y</v>
      </c>
    </row>
    <row r="2152" customFormat="false" ht="15" hidden="false" customHeight="true" outlineLevel="0" collapsed="false">
      <c r="A2152" s="8" t="s">
        <v>42</v>
      </c>
      <c r="B2152" s="8" t="s">
        <v>318</v>
      </c>
      <c r="C2152" s="19" t="n">
        <v>0</v>
      </c>
      <c r="D2152" s="19" t="n">
        <v>0</v>
      </c>
      <c r="E2152" s="19" t="n">
        <v>1</v>
      </c>
      <c r="F2152" s="19" t="n">
        <v>228.73</v>
      </c>
      <c r="G2152" s="8" t="str">
        <f aca="false">IFERROR(INDEX('TRANS'!$B:$B,MATCH($B2152,'TRANS'!$A:$A,0)),IFERROR(INDEX('TRANS'!$B:$B,MATCH(TRIM(SUBSTITUTE($B2152,CHAR(160)," ")),'TRANS'!$D:$D,0)),IFERROR(INDEX('Catalog'!$A:$A,MATCH($B2152,'Catalog'!$B:$B,0)),IFERROR(INDEX('Catalog'!$A:$A,MATCH(TRIM(SUBSTITUTE($B2152,CHAR(160)," ")),'Catalog'!$C:$C,0)),""))))</f>
        <v/>
      </c>
      <c r="H2152" s="8" t="str">
        <f aca="false">IFERROR(INDEX('TRANS'!$C:$C,MATCH($B2152,'TRANS'!$A:$A,0)),IFERROR(INDEX('Catalog'!$B:$B,MATCH($G2152,'Catalog'!$A:$A,0)),$B2152))</f>
        <v>15W XXL</v>
      </c>
      <c r="I2152" s="8" t="str">
        <f aca="false">IF($G2152="","Unmatched","Matched")</f>
        <v>Unmatched</v>
      </c>
      <c r="J2152" s="8" t="str">
        <f aca="false">IF($G2152&lt;&gt;"",$G2152,$B2152)</f>
        <v>15W XXL</v>
      </c>
      <c r="K2152" s="8" t="str">
        <f aca="false">IF(COUNTIF($M$1:$M$10,$A2152)&gt;0,"Y","N")</f>
        <v>Y</v>
      </c>
    </row>
    <row r="2153" customFormat="false" ht="15" hidden="false" customHeight="true" outlineLevel="0" collapsed="false">
      <c r="A2153" s="8" t="s">
        <v>42</v>
      </c>
      <c r="B2153" s="8" t="s">
        <v>977</v>
      </c>
      <c r="C2153" s="19" t="n">
        <v>3</v>
      </c>
      <c r="D2153" s="19" t="n">
        <v>651.88</v>
      </c>
      <c r="E2153" s="19" t="n">
        <v>3</v>
      </c>
      <c r="F2153" s="19" t="n">
        <v>663.32</v>
      </c>
      <c r="G2153" s="8" t="n">
        <f aca="false">IFERROR(INDEX('TRANS'!$B:$B,MATCH($B2153,'TRANS'!$A:$A,0)),IFERROR(INDEX('TRANS'!$B:$B,MATCH(TRIM(SUBSTITUTE($B2153,CHAR(160)," ")),'TRANS'!$D:$D,0)),IFERROR(INDEX('Catalog'!$A:$A,MATCH($B2153,'Catalog'!$B:$B,0)),IFERROR(INDEX('Catalog'!$A:$A,MATCH(TRIM(SUBSTITUTE($B2153,CHAR(160)," ")),'Catalog'!$C:$C,0)),""))))</f>
        <v>4408232</v>
      </c>
      <c r="H2153" s="8" t="str">
        <f aca="false">IFERROR(INDEX('TRANS'!$C:$C,MATCH($B2153,'TRANS'!$A:$A,0)),IFERROR(INDEX('Catalog'!$B:$B,MATCH($G2153,'Catalog'!$A:$A,0)),$B2153))</f>
        <v>16 XXL חגורת הריון</v>
      </c>
      <c r="I2153" s="8" t="str">
        <f aca="false">IF($G2153="","Unmatched","Matched")</f>
        <v>Matched</v>
      </c>
      <c r="J2153" s="8" t="n">
        <f aca="false">IF($G2153&lt;&gt;"",$G2153,$B2153)</f>
        <v>4408232</v>
      </c>
      <c r="K2153" s="8" t="str">
        <f aca="false">IF(COUNTIF($M$1:$M$10,$A2153)&gt;0,"Y","N")</f>
        <v>Y</v>
      </c>
    </row>
    <row r="2154" customFormat="false" ht="15" hidden="false" customHeight="true" outlineLevel="0" collapsed="false">
      <c r="A2154" s="8" t="s">
        <v>42</v>
      </c>
      <c r="B2154" s="8" t="s">
        <v>574</v>
      </c>
      <c r="C2154" s="19" t="n">
        <v>12</v>
      </c>
      <c r="D2154" s="19" t="n">
        <v>2550.34</v>
      </c>
      <c r="E2154" s="19" t="n">
        <v>15</v>
      </c>
      <c r="F2154" s="19" t="n">
        <v>3339.46</v>
      </c>
      <c r="G2154" s="8" t="n">
        <f aca="false">IFERROR(INDEX('TRANS'!$B:$B,MATCH($B2154,'TRANS'!$A:$A,0)),IFERROR(INDEX('TRANS'!$B:$B,MATCH(TRIM(SUBSTITUTE($B2154,CHAR(160)," ")),'TRANS'!$D:$D,0)),IFERROR(INDEX('Catalog'!$A:$A,MATCH($B2154,'Catalog'!$B:$B,0)),IFERROR(INDEX('Catalog'!$A:$A,MATCH(TRIM(SUBSTITUTE($B2154,CHAR(160)," ")),'Catalog'!$C:$C,0)),""))))</f>
        <v>4408230</v>
      </c>
      <c r="H2154" s="8" t="str">
        <f aca="false">IFERROR(INDEX('TRANS'!$C:$C,MATCH($B2154,'TRANS'!$A:$A,0)),IFERROR(INDEX('Catalog'!$B:$B,MATCH($G2154,'Catalog'!$A:$A,0)),$B2154))</f>
        <v>16 L-XL חגורת הריון</v>
      </c>
      <c r="I2154" s="8" t="str">
        <f aca="false">IF($G2154="","Unmatched","Matched")</f>
        <v>Matched</v>
      </c>
      <c r="J2154" s="8" t="n">
        <f aca="false">IF($G2154&lt;&gt;"",$G2154,$B2154)</f>
        <v>4408230</v>
      </c>
      <c r="K2154" s="8" t="str">
        <f aca="false">IF(COUNTIF($M$1:$M$10,$A2154)&gt;0,"Y","N")</f>
        <v>Y</v>
      </c>
    </row>
    <row r="2155" customFormat="false" ht="15" hidden="false" customHeight="true" outlineLevel="0" collapsed="false">
      <c r="A2155" s="8" t="s">
        <v>42</v>
      </c>
      <c r="B2155" s="8" t="s">
        <v>575</v>
      </c>
      <c r="C2155" s="19" t="n">
        <v>3</v>
      </c>
      <c r="D2155" s="19" t="n">
        <v>640.44</v>
      </c>
      <c r="E2155" s="19" t="n">
        <v>10</v>
      </c>
      <c r="F2155" s="19" t="n">
        <v>2218.69</v>
      </c>
      <c r="G2155" s="8" t="n">
        <f aca="false">IFERROR(INDEX('TRANS'!$B:$B,MATCH($B2155,'TRANS'!$A:$A,0)),IFERROR(INDEX('TRANS'!$B:$B,MATCH(TRIM(SUBSTITUTE($B2155,CHAR(160)," ")),'TRANS'!$D:$D,0)),IFERROR(INDEX('Catalog'!$A:$A,MATCH($B2155,'Catalog'!$B:$B,0)),IFERROR(INDEX('Catalog'!$A:$A,MATCH(TRIM(SUBSTITUTE($B2155,CHAR(160)," ")),'Catalog'!$C:$C,0)),""))))</f>
        <v>4408231</v>
      </c>
      <c r="H2155" s="8" t="str">
        <f aca="false">IFERROR(INDEX('TRANS'!$C:$C,MATCH($B2155,'TRANS'!$A:$A,0)),IFERROR(INDEX('Catalog'!$B:$B,MATCH($G2155,'Catalog'!$A:$A,0)),$B2155))</f>
        <v>16 S-M חגורת הריון</v>
      </c>
      <c r="I2155" s="8" t="str">
        <f aca="false">IF($G2155="","Unmatched","Matched")</f>
        <v>Matched</v>
      </c>
      <c r="J2155" s="8" t="n">
        <f aca="false">IF($G2155&lt;&gt;"",$G2155,$B2155)</f>
        <v>4408231</v>
      </c>
      <c r="K2155" s="8" t="str">
        <f aca="false">IF(COUNTIF($M$1:$M$10,$A2155)&gt;0,"Y","N")</f>
        <v>Y</v>
      </c>
    </row>
    <row r="2156" customFormat="false" ht="15" hidden="false" customHeight="true" outlineLevel="0" collapsed="false">
      <c r="A2156" s="8" t="s">
        <v>42</v>
      </c>
      <c r="B2156" s="8" t="s">
        <v>143</v>
      </c>
      <c r="C2156" s="19" t="n">
        <v>1</v>
      </c>
      <c r="D2156" s="19" t="n">
        <v>475.35</v>
      </c>
      <c r="E2156" s="19" t="n">
        <v>1</v>
      </c>
      <c r="F2156" s="19" t="n">
        <v>503.31</v>
      </c>
      <c r="G2156" s="8" t="str">
        <f aca="false">IFERROR(INDEX('TRANS'!$B:$B,MATCH($B2156,'TRANS'!$A:$A,0)),IFERROR(INDEX('TRANS'!$B:$B,MATCH(TRIM(SUBSTITUTE($B2156,CHAR(160)," ")),'TRANS'!$D:$D,0)),IFERROR(INDEX('Catalog'!$A:$A,MATCH($B2156,'Catalog'!$B:$B,0)),IFERROR(INDEX('Catalog'!$A:$A,MATCH(TRIM(SUBSTITUTE($B2156,CHAR(160)," ")),'Catalog'!$C:$C,0)),""))))</f>
        <v/>
      </c>
      <c r="H2156" s="8" t="str">
        <f aca="false">IFERROR(INDEX('TRANS'!$C:$C,MATCH($B2156,'TRANS'!$A:$A,0)),IFERROR(INDEX('Catalog'!$B:$B,MATCH($G2156,'Catalog'!$A:$A,0)),$B2156))</f>
        <v>18 L</v>
      </c>
      <c r="I2156" s="8" t="str">
        <f aca="false">IF($G2156="","Unmatched","Matched")</f>
        <v>Unmatched</v>
      </c>
      <c r="J2156" s="8" t="str">
        <f aca="false">IF($G2156&lt;&gt;"",$G2156,$B2156)</f>
        <v>18 L</v>
      </c>
      <c r="K2156" s="8" t="str">
        <f aca="false">IF(COUNTIF($M$1:$M$10,$A2156)&gt;0,"Y","N")</f>
        <v>Y</v>
      </c>
    </row>
    <row r="2157" customFormat="false" ht="15" hidden="false" customHeight="true" outlineLevel="0" collapsed="false">
      <c r="A2157" s="8" t="s">
        <v>42</v>
      </c>
      <c r="B2157" s="8" t="s">
        <v>115</v>
      </c>
      <c r="C2157" s="19" t="n">
        <v>1</v>
      </c>
      <c r="D2157" s="19" t="n">
        <v>559.24</v>
      </c>
      <c r="E2157" s="19" t="n">
        <v>1</v>
      </c>
      <c r="F2157" s="19" t="n">
        <v>559.24</v>
      </c>
      <c r="G2157" s="8" t="str">
        <f aca="false">IFERROR(INDEX('TRANS'!$B:$B,MATCH($B2157,'TRANS'!$A:$A,0)),IFERROR(INDEX('TRANS'!$B:$B,MATCH(TRIM(SUBSTITUTE($B2157,CHAR(160)," ")),'TRANS'!$D:$D,0)),IFERROR(INDEX('Catalog'!$A:$A,MATCH($B2157,'Catalog'!$B:$B,0)),IFERROR(INDEX('Catalog'!$A:$A,MATCH(TRIM(SUBSTITUTE($B2157,CHAR(160)," ")),'Catalog'!$C:$C,0)),""))))</f>
        <v/>
      </c>
      <c r="H2157" s="8" t="str">
        <f aca="false">IFERROR(INDEX('TRANS'!$C:$C,MATCH($B2157,'TRANS'!$A:$A,0)),IFERROR(INDEX('Catalog'!$B:$B,MATCH($G2157,'Catalog'!$A:$A,0)),$B2157))</f>
        <v>18 M</v>
      </c>
      <c r="I2157" s="8" t="str">
        <f aca="false">IF($G2157="","Unmatched","Matched")</f>
        <v>Unmatched</v>
      </c>
      <c r="J2157" s="8" t="str">
        <f aca="false">IF($G2157&lt;&gt;"",$G2157,$B2157)</f>
        <v>18 M</v>
      </c>
      <c r="K2157" s="8" t="str">
        <f aca="false">IF(COUNTIF($M$1:$M$10,$A2157)&gt;0,"Y","N")</f>
        <v>Y</v>
      </c>
    </row>
    <row r="2158" customFormat="false" ht="15" hidden="false" customHeight="true" outlineLevel="0" collapsed="false">
      <c r="A2158" s="8" t="s">
        <v>42</v>
      </c>
      <c r="B2158" s="8" t="s">
        <v>970</v>
      </c>
      <c r="C2158" s="19" t="n">
        <v>3</v>
      </c>
      <c r="D2158" s="19" t="n">
        <v>162.22</v>
      </c>
      <c r="E2158" s="19" t="n">
        <v>0</v>
      </c>
      <c r="F2158" s="19" t="n">
        <v>0</v>
      </c>
      <c r="G2158" s="8" t="n">
        <f aca="false">IFERROR(INDEX('TRANS'!$B:$B,MATCH($B2158,'TRANS'!$A:$A,0)),IFERROR(INDEX('TRANS'!$B:$B,MATCH(TRIM(SUBSTITUTE($B2158,CHAR(160)," ")),'TRANS'!$D:$D,0)),IFERROR(INDEX('Catalog'!$A:$A,MATCH($B2158,'Catalog'!$B:$B,0)),IFERROR(INDEX('Catalog'!$A:$A,MATCH(TRIM(SUBSTITUTE($B2158,CHAR(160)," ")),'Catalog'!$C:$C,0)),""))))</f>
        <v>4408046</v>
      </c>
      <c r="H2158" s="8" t="str">
        <f aca="false">IFERROR(INDEX('TRANS'!$C:$C,MATCH($B2158,'TRANS'!$A:$A,0)),IFERROR(INDEX('Catalog'!$B:$B,MATCH($G2158,'Catalog'!$A:$A,0)),$B2158))</f>
        <v>20 L חבק יד מתכוון עם צמדן</v>
      </c>
      <c r="I2158" s="8" t="str">
        <f aca="false">IF($G2158="","Unmatched","Matched")</f>
        <v>Matched</v>
      </c>
      <c r="J2158" s="8" t="n">
        <f aca="false">IF($G2158&lt;&gt;"",$G2158,$B2158)</f>
        <v>4408046</v>
      </c>
      <c r="K2158" s="8" t="str">
        <f aca="false">IF(COUNTIF($M$1:$M$10,$A2158)&gt;0,"Y","N")</f>
        <v>Y</v>
      </c>
    </row>
    <row r="2159" customFormat="false" ht="15" hidden="false" customHeight="true" outlineLevel="0" collapsed="false">
      <c r="A2159" s="8" t="s">
        <v>42</v>
      </c>
      <c r="B2159" s="8" t="s">
        <v>939</v>
      </c>
      <c r="C2159" s="19" t="n">
        <v>4</v>
      </c>
      <c r="D2159" s="19" t="n">
        <v>219.29</v>
      </c>
      <c r="E2159" s="19" t="n">
        <v>1</v>
      </c>
      <c r="F2159" s="19" t="n">
        <v>60.08</v>
      </c>
      <c r="G2159" s="8" t="n">
        <f aca="false">IFERROR(INDEX('TRANS'!$B:$B,MATCH($B2159,'TRANS'!$A:$A,0)),IFERROR(INDEX('TRANS'!$B:$B,MATCH(TRIM(SUBSTITUTE($B2159,CHAR(160)," ")),'TRANS'!$D:$D,0)),IFERROR(INDEX('Catalog'!$A:$A,MATCH($B2159,'Catalog'!$B:$B,0)),IFERROR(INDEX('Catalog'!$A:$A,MATCH(TRIM(SUBSTITUTE($B2159,CHAR(160)," ")),'Catalog'!$C:$C,0)),""))))</f>
        <v>4408047</v>
      </c>
      <c r="H2159" s="8" t="str">
        <f aca="false">IFERROR(INDEX('TRANS'!$C:$C,MATCH($B2159,'TRANS'!$A:$A,0)),IFERROR(INDEX('Catalog'!$B:$B,MATCH($G2159,'Catalog'!$A:$A,0)),$B2159))</f>
        <v>20 M חבק יד מתכוון עם צמדן</v>
      </c>
      <c r="I2159" s="8" t="str">
        <f aca="false">IF($G2159="","Unmatched","Matched")</f>
        <v>Matched</v>
      </c>
      <c r="J2159" s="8" t="n">
        <f aca="false">IF($G2159&lt;&gt;"",$G2159,$B2159)</f>
        <v>4408047</v>
      </c>
      <c r="K2159" s="8" t="str">
        <f aca="false">IF(COUNTIF($M$1:$M$10,$A2159)&gt;0,"Y","N")</f>
        <v>Y</v>
      </c>
    </row>
    <row r="2160" customFormat="false" ht="15" hidden="false" customHeight="true" outlineLevel="0" collapsed="false">
      <c r="A2160" s="8" t="s">
        <v>42</v>
      </c>
      <c r="B2160" s="8" t="s">
        <v>940</v>
      </c>
      <c r="C2160" s="19" t="n">
        <v>10</v>
      </c>
      <c r="D2160" s="19" t="n">
        <v>576.77</v>
      </c>
      <c r="E2160" s="19" t="n">
        <v>0</v>
      </c>
      <c r="F2160" s="19" t="n">
        <v>0</v>
      </c>
      <c r="G2160" s="8" t="n">
        <f aca="false">IFERROR(INDEX('TRANS'!$B:$B,MATCH($B2160,'TRANS'!$A:$A,0)),IFERROR(INDEX('TRANS'!$B:$B,MATCH(TRIM(SUBSTITUTE($B2160,CHAR(160)," ")),'TRANS'!$D:$D,0)),IFERROR(INDEX('Catalog'!$A:$A,MATCH($B2160,'Catalog'!$B:$B,0)),IFERROR(INDEX('Catalog'!$A:$A,MATCH(TRIM(SUBSTITUTE($B2160,CHAR(160)," ")),'Catalog'!$C:$C,0)),""))))</f>
        <v>4408048</v>
      </c>
      <c r="H2160" s="8" t="str">
        <f aca="false">IFERROR(INDEX('TRANS'!$C:$C,MATCH($B2160,'TRANS'!$A:$A,0)),IFERROR(INDEX('Catalog'!$B:$B,MATCH($G2160,'Catalog'!$A:$A,0)),$B2160))</f>
        <v>20 S חבק יד מתכוון עם צמדן</v>
      </c>
      <c r="I2160" s="8" t="str">
        <f aca="false">IF($G2160="","Unmatched","Matched")</f>
        <v>Matched</v>
      </c>
      <c r="J2160" s="8" t="n">
        <f aca="false">IF($G2160&lt;&gt;"",$G2160,$B2160)</f>
        <v>4408048</v>
      </c>
      <c r="K2160" s="8" t="str">
        <f aca="false">IF(COUNTIF($M$1:$M$10,$A2160)&gt;0,"Y","N")</f>
        <v>Y</v>
      </c>
    </row>
    <row r="2161" customFormat="false" ht="15" hidden="false" customHeight="true" outlineLevel="0" collapsed="false">
      <c r="A2161" s="8" t="s">
        <v>42</v>
      </c>
      <c r="B2161" s="8" t="s">
        <v>908</v>
      </c>
      <c r="C2161" s="19" t="n">
        <v>2</v>
      </c>
      <c r="D2161" s="19" t="n">
        <v>120.16</v>
      </c>
      <c r="E2161" s="19" t="n">
        <v>0</v>
      </c>
      <c r="F2161" s="19" t="n">
        <v>0</v>
      </c>
      <c r="G2161" s="8" t="n">
        <f aca="false">IFERROR(INDEX('TRANS'!$B:$B,MATCH($B2161,'TRANS'!$A:$A,0)),IFERROR(INDEX('TRANS'!$B:$B,MATCH(TRIM(SUBSTITUTE($B2161,CHAR(160)," ")),'TRANS'!$D:$D,0)),IFERROR(INDEX('Catalog'!$A:$A,MATCH($B2161,'Catalog'!$B:$B,0)),IFERROR(INDEX('Catalog'!$A:$A,MATCH(TRIM(SUBSTITUTE($B2161,CHAR(160)," ")),'Catalog'!$C:$C,0)),""))))</f>
        <v>4408049</v>
      </c>
      <c r="H2161" s="8" t="str">
        <f aca="false">IFERROR(INDEX('TRANS'!$C:$C,MATCH($B2161,'TRANS'!$A:$A,0)),IFERROR(INDEX('Catalog'!$B:$B,MATCH($G2161,'Catalog'!$A:$A,0)),$B2161))</f>
        <v>20 XL חבק יד מתכוון עם צמדן</v>
      </c>
      <c r="I2161" s="8" t="str">
        <f aca="false">IF($G2161="","Unmatched","Matched")</f>
        <v>Matched</v>
      </c>
      <c r="J2161" s="8" t="n">
        <f aca="false">IF($G2161&lt;&gt;"",$G2161,$B2161)</f>
        <v>4408049</v>
      </c>
      <c r="K2161" s="8" t="str">
        <f aca="false">IF(COUNTIF($M$1:$M$10,$A2161)&gt;0,"Y","N")</f>
        <v>Y</v>
      </c>
    </row>
    <row r="2162" customFormat="false" ht="15" hidden="false" customHeight="true" outlineLevel="0" collapsed="false">
      <c r="A2162" s="8" t="s">
        <v>42</v>
      </c>
      <c r="B2162" s="8" t="s">
        <v>335</v>
      </c>
      <c r="C2162" s="19" t="n">
        <v>4</v>
      </c>
      <c r="D2162" s="19" t="n">
        <v>198.27</v>
      </c>
      <c r="E2162" s="19" t="n">
        <v>0</v>
      </c>
      <c r="F2162" s="19" t="n">
        <v>0</v>
      </c>
      <c r="G2162" s="8" t="str">
        <f aca="false">IFERROR(INDEX('TRANS'!$B:$B,MATCH($B2162,'TRANS'!$A:$A,0)),IFERROR(INDEX('TRANS'!$B:$B,MATCH(TRIM(SUBSTITUTE($B2162,CHAR(160)," ")),'TRANS'!$D:$D,0)),IFERROR(INDEX('Catalog'!$A:$A,MATCH($B2162,'Catalog'!$B:$B,0)),IFERROR(INDEX('Catalog'!$A:$A,MATCH(TRIM(SUBSTITUTE($B2162,CHAR(160)," ")),'Catalog'!$C:$C,0)),""))))</f>
        <v/>
      </c>
      <c r="H2162" s="8" t="str">
        <f aca="false">IFERROR(INDEX('TRANS'!$C:$C,MATCH($B2162,'TRANS'!$A:$A,0)),IFERROR(INDEX('Catalog'!$B:$B,MATCH($G2162,'Catalog'!$A:$A,0)),$B2162))</f>
        <v>20 XS</v>
      </c>
      <c r="I2162" s="8" t="str">
        <f aca="false">IF($G2162="","Unmatched","Matched")</f>
        <v>Unmatched</v>
      </c>
      <c r="J2162" s="8" t="str">
        <f aca="false">IF($G2162&lt;&gt;"",$G2162,$B2162)</f>
        <v>20 XS</v>
      </c>
      <c r="K2162" s="8" t="str">
        <f aca="false">IF(COUNTIF($M$1:$M$10,$A2162)&gt;0,"Y","N")</f>
        <v>Y</v>
      </c>
    </row>
    <row r="2163" customFormat="false" ht="15" hidden="false" customHeight="true" outlineLevel="0" collapsed="false">
      <c r="A2163" s="8" t="s">
        <v>42</v>
      </c>
      <c r="B2163" s="8" t="s">
        <v>859</v>
      </c>
      <c r="C2163" s="19" t="n">
        <v>0</v>
      </c>
      <c r="D2163" s="19" t="n">
        <v>0</v>
      </c>
      <c r="E2163" s="19" t="n">
        <v>3</v>
      </c>
      <c r="F2163" s="19" t="n">
        <v>237.04</v>
      </c>
      <c r="G2163" s="8" t="n">
        <f aca="false">IFERROR(INDEX('TRANS'!$B:$B,MATCH($B2163,'TRANS'!$A:$A,0)),IFERROR(INDEX('TRANS'!$B:$B,MATCH(TRIM(SUBSTITUTE($B2163,CHAR(160)," ")),'TRANS'!$D:$D,0)),IFERROR(INDEX('Catalog'!$A:$A,MATCH($B2163,'Catalog'!$B:$B,0)),IFERROR(INDEX('Catalog'!$A:$A,MATCH(TRIM(SUBSTITUTE($B2163,CHAR(160)," ")),'Catalog'!$C:$C,0)),""))))</f>
        <v>4408275</v>
      </c>
      <c r="H2163" s="8" t="str">
        <f aca="false">IFERROR(INDEX('TRANS'!$C:$C,MATCH($B2163,'TRANS'!$A:$A,0)),IFERROR(INDEX('Catalog'!$B:$B,MATCH($G2163,'Catalog'!$A:$A,0)),$B2163))</f>
        <v>202  ONE SIZE חבק יד</v>
      </c>
      <c r="I2163" s="8" t="str">
        <f aca="false">IF($G2163="","Unmatched","Matched")</f>
        <v>Matched</v>
      </c>
      <c r="J2163" s="8" t="n">
        <f aca="false">IF($G2163&lt;&gt;"",$G2163,$B2163)</f>
        <v>4408275</v>
      </c>
      <c r="K2163" s="8" t="str">
        <f aca="false">IF(COUNTIF($M$1:$M$10,$A2163)&gt;0,"Y","N")</f>
        <v>Y</v>
      </c>
    </row>
    <row r="2164" customFormat="false" ht="15" hidden="false" customHeight="true" outlineLevel="0" collapsed="false">
      <c r="A2164" s="8" t="s">
        <v>42</v>
      </c>
      <c r="B2164" s="8" t="s">
        <v>783</v>
      </c>
      <c r="C2164" s="19" t="n">
        <v>4</v>
      </c>
      <c r="D2164" s="19" t="n">
        <v>266.22</v>
      </c>
      <c r="E2164" s="19" t="n">
        <v>8</v>
      </c>
      <c r="F2164" s="19" t="n">
        <v>568.4</v>
      </c>
      <c r="G2164" s="8" t="n">
        <f aca="false">IFERROR(INDEX('TRANS'!$B:$B,MATCH($B2164,'TRANS'!$A:$A,0)),IFERROR(INDEX('TRANS'!$B:$B,MATCH(TRIM(SUBSTITUTE($B2164,CHAR(160)," ")),'TRANS'!$D:$D,0)),IFERROR(INDEX('Catalog'!$A:$A,MATCH($B2164,'Catalog'!$B:$B,0)),IFERROR(INDEX('Catalog'!$A:$A,MATCH(TRIM(SUBSTITUTE($B2164,CHAR(160)," ")),'Catalog'!$C:$C,0)),""))))</f>
        <v>4408052</v>
      </c>
      <c r="H2164" s="8" t="str">
        <f aca="false">IFERROR(INDEX('TRANS'!$C:$C,MATCH($B2164,'TRANS'!$A:$A,0)),IFERROR(INDEX('Catalog'!$B:$B,MATCH($G2164,'Catalog'!$A:$A,0)),$B2164))</f>
        <v>21 L  חבק יד ארוך</v>
      </c>
      <c r="I2164" s="8" t="str">
        <f aca="false">IF($G2164="","Unmatched","Matched")</f>
        <v>Matched</v>
      </c>
      <c r="J2164" s="8" t="n">
        <f aca="false">IF($G2164&lt;&gt;"",$G2164,$B2164)</f>
        <v>4408052</v>
      </c>
      <c r="K2164" s="8" t="str">
        <f aca="false">IF(COUNTIF($M$1:$M$10,$A2164)&gt;0,"Y","N")</f>
        <v>Y</v>
      </c>
    </row>
    <row r="2165" customFormat="false" ht="15" hidden="false" customHeight="true" outlineLevel="0" collapsed="false">
      <c r="A2165" s="8" t="s">
        <v>42</v>
      </c>
      <c r="B2165" s="8" t="s">
        <v>576</v>
      </c>
      <c r="C2165" s="19" t="n">
        <v>8</v>
      </c>
      <c r="D2165" s="19" t="n">
        <v>557.82</v>
      </c>
      <c r="E2165" s="19" t="n">
        <v>8</v>
      </c>
      <c r="F2165" s="19" t="n">
        <v>568.4</v>
      </c>
      <c r="G2165" s="8" t="n">
        <f aca="false">IFERROR(INDEX('TRANS'!$B:$B,MATCH($B2165,'TRANS'!$A:$A,0)),IFERROR(INDEX('TRANS'!$B:$B,MATCH(TRIM(SUBSTITUTE($B2165,CHAR(160)," ")),'TRANS'!$D:$D,0)),IFERROR(INDEX('Catalog'!$A:$A,MATCH($B2165,'Catalog'!$B:$B,0)),IFERROR(INDEX('Catalog'!$A:$A,MATCH(TRIM(SUBSTITUTE($B2165,CHAR(160)," ")),'Catalog'!$C:$C,0)),""))))</f>
        <v>4408053</v>
      </c>
      <c r="H2165" s="8" t="str">
        <f aca="false">IFERROR(INDEX('TRANS'!$C:$C,MATCH($B2165,'TRANS'!$A:$A,0)),IFERROR(INDEX('Catalog'!$B:$B,MATCH($G2165,'Catalog'!$A:$A,0)),$B2165))</f>
        <v>21 M  חבק יד ארוך</v>
      </c>
      <c r="I2165" s="8" t="str">
        <f aca="false">IF($G2165="","Unmatched","Matched")</f>
        <v>Matched</v>
      </c>
      <c r="J2165" s="8" t="n">
        <f aca="false">IF($G2165&lt;&gt;"",$G2165,$B2165)</f>
        <v>4408053</v>
      </c>
      <c r="K2165" s="8" t="str">
        <f aca="false">IF(COUNTIF($M$1:$M$10,$A2165)&gt;0,"Y","N")</f>
        <v>Y</v>
      </c>
    </row>
    <row r="2166" customFormat="false" ht="15" hidden="false" customHeight="true" outlineLevel="0" collapsed="false">
      <c r="A2166" s="8" t="s">
        <v>42</v>
      </c>
      <c r="B2166" s="8" t="s">
        <v>784</v>
      </c>
      <c r="C2166" s="19" t="n">
        <v>3</v>
      </c>
      <c r="D2166" s="19" t="n">
        <v>205.06</v>
      </c>
      <c r="E2166" s="19" t="n">
        <v>5</v>
      </c>
      <c r="F2166" s="19" t="n">
        <v>345.36</v>
      </c>
      <c r="G2166" s="8" t="n">
        <f aca="false">IFERROR(INDEX('TRANS'!$B:$B,MATCH($B2166,'TRANS'!$A:$A,0)),IFERROR(INDEX('TRANS'!$B:$B,MATCH(TRIM(SUBSTITUTE($B2166,CHAR(160)," ")),'TRANS'!$D:$D,0)),IFERROR(INDEX('Catalog'!$A:$A,MATCH($B2166,'Catalog'!$B:$B,0)),IFERROR(INDEX('Catalog'!$A:$A,MATCH(TRIM(SUBSTITUTE($B2166,CHAR(160)," ")),'Catalog'!$C:$C,0)),""))))</f>
        <v>4408051</v>
      </c>
      <c r="H2166" s="8" t="str">
        <f aca="false">IFERROR(INDEX('TRANS'!$C:$C,MATCH($B2166,'TRANS'!$A:$A,0)),IFERROR(INDEX('Catalog'!$B:$B,MATCH($G2166,'Catalog'!$A:$A,0)),$B2166))</f>
        <v>21 S  חבק יד ארוך</v>
      </c>
      <c r="I2166" s="8" t="str">
        <f aca="false">IF($G2166="","Unmatched","Matched")</f>
        <v>Matched</v>
      </c>
      <c r="J2166" s="8" t="n">
        <f aca="false">IF($G2166&lt;&gt;"",$G2166,$B2166)</f>
        <v>4408051</v>
      </c>
      <c r="K2166" s="8" t="str">
        <f aca="false">IF(COUNTIF($M$1:$M$10,$A2166)&gt;0,"Y","N")</f>
        <v>Y</v>
      </c>
    </row>
    <row r="2167" customFormat="false" ht="15" hidden="false" customHeight="true" outlineLevel="0" collapsed="false">
      <c r="A2167" s="8" t="s">
        <v>42</v>
      </c>
      <c r="B2167" s="8" t="s">
        <v>785</v>
      </c>
      <c r="C2167" s="19" t="n">
        <v>4</v>
      </c>
      <c r="D2167" s="19" t="n">
        <v>262.82</v>
      </c>
      <c r="E2167" s="19" t="n">
        <v>2</v>
      </c>
      <c r="F2167" s="19" t="n">
        <v>136.71</v>
      </c>
      <c r="G2167" s="8" t="n">
        <f aca="false">IFERROR(INDEX('TRANS'!$B:$B,MATCH($B2167,'TRANS'!$A:$A,0)),IFERROR(INDEX('TRANS'!$B:$B,MATCH(TRIM(SUBSTITUTE($B2167,CHAR(160)," ")),'TRANS'!$D:$D,0)),IFERROR(INDEX('Catalog'!$A:$A,MATCH($B2167,'Catalog'!$B:$B,0)),IFERROR(INDEX('Catalog'!$A:$A,MATCH(TRIM(SUBSTITUTE($B2167,CHAR(160)," ")),'Catalog'!$C:$C,0)),""))))</f>
        <v>4408054</v>
      </c>
      <c r="H2167" s="8" t="str">
        <f aca="false">IFERROR(INDEX('TRANS'!$C:$C,MATCH($B2167,'TRANS'!$A:$A,0)),IFERROR(INDEX('Catalog'!$B:$B,MATCH($G2167,'Catalog'!$A:$A,0)),$B2167))</f>
        <v>21 XL חבק יד ארוך</v>
      </c>
      <c r="I2167" s="8" t="str">
        <f aca="false">IF($G2167="","Unmatched","Matched")</f>
        <v>Matched</v>
      </c>
      <c r="J2167" s="8" t="n">
        <f aca="false">IF($G2167&lt;&gt;"",$G2167,$B2167)</f>
        <v>4408054</v>
      </c>
      <c r="K2167" s="8" t="str">
        <f aca="false">IF(COUNTIF($M$1:$M$10,$A2167)&gt;0,"Y","N")</f>
        <v>Y</v>
      </c>
    </row>
    <row r="2168" customFormat="false" ht="15" hidden="false" customHeight="true" outlineLevel="0" collapsed="false">
      <c r="A2168" s="8" t="s">
        <v>42</v>
      </c>
      <c r="B2168" s="8" t="s">
        <v>577</v>
      </c>
      <c r="C2168" s="19" t="n">
        <v>10</v>
      </c>
      <c r="D2168" s="19" t="n">
        <v>631.37</v>
      </c>
      <c r="E2168" s="19" t="n">
        <v>19</v>
      </c>
      <c r="F2168" s="19" t="n">
        <v>1212.05</v>
      </c>
      <c r="G2168" s="8" t="n">
        <f aca="false">IFERROR(INDEX('TRANS'!$B:$B,MATCH($B2168,'TRANS'!$A:$A,0)),IFERROR(INDEX('TRANS'!$B:$B,MATCH(TRIM(SUBSTITUTE($B2168,CHAR(160)," ")),'TRANS'!$D:$D,0)),IFERROR(INDEX('Catalog'!$A:$A,MATCH($B2168,'Catalog'!$B:$B,0)),IFERROR(INDEX('Catalog'!$A:$A,MATCH(TRIM(SUBSTITUTE($B2168,CHAR(160)," ")),'Catalog'!$C:$C,0)),""))))</f>
        <v>4411017</v>
      </c>
      <c r="H2168" s="8" t="str">
        <f aca="false">IFERROR(INDEX('TRANS'!$C:$C,MATCH($B2168,'TRANS'!$A:$A,0)),IFERROR(INDEX('Catalog'!$B:$B,MATCH($G2168,'Catalog'!$A:$A,0)),$B2168))</f>
        <v>211L כפפות לחץ</v>
      </c>
      <c r="I2168" s="8" t="str">
        <f aca="false">IF($G2168="","Unmatched","Matched")</f>
        <v>Matched</v>
      </c>
      <c r="J2168" s="8" t="n">
        <f aca="false">IF($G2168&lt;&gt;"",$G2168,$B2168)</f>
        <v>4411017</v>
      </c>
      <c r="K2168" s="8" t="str">
        <f aca="false">IF(COUNTIF($M$1:$M$10,$A2168)&gt;0,"Y","N")</f>
        <v>Y</v>
      </c>
    </row>
    <row r="2169" customFormat="false" ht="15" hidden="false" customHeight="true" outlineLevel="0" collapsed="false">
      <c r="A2169" s="8" t="s">
        <v>42</v>
      </c>
      <c r="B2169" s="8" t="s">
        <v>578</v>
      </c>
      <c r="C2169" s="19" t="n">
        <v>43</v>
      </c>
      <c r="D2169" s="19" t="n">
        <v>2531.63</v>
      </c>
      <c r="E2169" s="19" t="n">
        <v>40</v>
      </c>
      <c r="F2169" s="19" t="n">
        <v>2537.48</v>
      </c>
      <c r="G2169" s="8" t="n">
        <f aca="false">IFERROR(INDEX('TRANS'!$B:$B,MATCH($B2169,'TRANS'!$A:$A,0)),IFERROR(INDEX('TRANS'!$B:$B,MATCH(TRIM(SUBSTITUTE($B2169,CHAR(160)," ")),'TRANS'!$D:$D,0)),IFERROR(INDEX('Catalog'!$A:$A,MATCH($B2169,'Catalog'!$B:$B,0)),IFERROR(INDEX('Catalog'!$A:$A,MATCH(TRIM(SUBSTITUTE($B2169,CHAR(160)," ")),'Catalog'!$C:$C,0)),""))))</f>
        <v>4411018</v>
      </c>
      <c r="H2169" s="8" t="str">
        <f aca="false">IFERROR(INDEX('TRANS'!$C:$C,MATCH($B2169,'TRANS'!$A:$A,0)),IFERROR(INDEX('Catalog'!$B:$B,MATCH($G2169,'Catalog'!$A:$A,0)),$B2169))</f>
        <v>211M כפפות לחץ</v>
      </c>
      <c r="I2169" s="8" t="str">
        <f aca="false">IF($G2169="","Unmatched","Matched")</f>
        <v>Matched</v>
      </c>
      <c r="J2169" s="8" t="n">
        <f aca="false">IF($G2169&lt;&gt;"",$G2169,$B2169)</f>
        <v>4411018</v>
      </c>
      <c r="K2169" s="8" t="str">
        <f aca="false">IF(COUNTIF($M$1:$M$10,$A2169)&gt;0,"Y","N")</f>
        <v>Y</v>
      </c>
    </row>
    <row r="2170" customFormat="false" ht="15" hidden="false" customHeight="true" outlineLevel="0" collapsed="false">
      <c r="A2170" s="8" t="s">
        <v>42</v>
      </c>
      <c r="B2170" s="8" t="s">
        <v>579</v>
      </c>
      <c r="C2170" s="19" t="n">
        <v>31</v>
      </c>
      <c r="D2170" s="19" t="n">
        <v>1896.96</v>
      </c>
      <c r="E2170" s="19" t="n">
        <v>26</v>
      </c>
      <c r="F2170" s="19" t="n">
        <v>1648.75</v>
      </c>
      <c r="G2170" s="8" t="n">
        <f aca="false">IFERROR(INDEX('TRANS'!$B:$B,MATCH($B2170,'TRANS'!$A:$A,0)),IFERROR(INDEX('TRANS'!$B:$B,MATCH(TRIM(SUBSTITUTE($B2170,CHAR(160)," ")),'TRANS'!$D:$D,0)),IFERROR(INDEX('Catalog'!$A:$A,MATCH($B2170,'Catalog'!$B:$B,0)),IFERROR(INDEX('Catalog'!$A:$A,MATCH(TRIM(SUBSTITUTE($B2170,CHAR(160)," ")),'Catalog'!$C:$C,0)),""))))</f>
        <v>4411019</v>
      </c>
      <c r="H2170" s="8" t="str">
        <f aca="false">IFERROR(INDEX('TRANS'!$C:$C,MATCH($B2170,'TRANS'!$A:$A,0)),IFERROR(INDEX('Catalog'!$B:$B,MATCH($G2170,'Catalog'!$A:$A,0)),$B2170))</f>
        <v>211S כפפות לחץ</v>
      </c>
      <c r="I2170" s="8" t="str">
        <f aca="false">IF($G2170="","Unmatched","Matched")</f>
        <v>Matched</v>
      </c>
      <c r="J2170" s="8" t="n">
        <f aca="false">IF($G2170&lt;&gt;"",$G2170,$B2170)</f>
        <v>4411019</v>
      </c>
      <c r="K2170" s="8" t="str">
        <f aca="false">IF(COUNTIF($M$1:$M$10,$A2170)&gt;0,"Y","N")</f>
        <v>Y</v>
      </c>
    </row>
    <row r="2171" customFormat="false" ht="15" hidden="false" customHeight="true" outlineLevel="0" collapsed="false">
      <c r="A2171" s="8" t="s">
        <v>42</v>
      </c>
      <c r="B2171" s="8" t="s">
        <v>967</v>
      </c>
      <c r="C2171" s="19" t="n">
        <v>8</v>
      </c>
      <c r="D2171" s="19" t="n">
        <v>507.82</v>
      </c>
      <c r="E2171" s="19" t="n">
        <v>9</v>
      </c>
      <c r="F2171" s="19" t="n">
        <v>580.62</v>
      </c>
      <c r="G2171" s="8" t="n">
        <f aca="false">IFERROR(INDEX('TRANS'!$B:$B,MATCH($B2171,'TRANS'!$A:$A,0)),IFERROR(INDEX('TRANS'!$B:$B,MATCH(TRIM(SUBSTITUTE($B2171,CHAR(160)," ")),'TRANS'!$D:$D,0)),IFERROR(INDEX('Catalog'!$A:$A,MATCH($B2171,'Catalog'!$B:$B,0)),IFERROR(INDEX('Catalog'!$A:$A,MATCH(TRIM(SUBSTITUTE($B2171,CHAR(160)," ")),'Catalog'!$C:$C,0)),""))))</f>
        <v>4411020</v>
      </c>
      <c r="H2171" s="8" t="str">
        <f aca="false">IFERROR(INDEX('TRANS'!$C:$C,MATCH($B2171,'TRANS'!$A:$A,0)),IFERROR(INDEX('Catalog'!$B:$B,MATCH($G2171,'Catalog'!$A:$A,0)),$B2171))</f>
        <v>211XL כפפות לחץ</v>
      </c>
      <c r="I2171" s="8" t="str">
        <f aca="false">IF($G2171="","Unmatched","Matched")</f>
        <v>Matched</v>
      </c>
      <c r="J2171" s="8" t="n">
        <f aca="false">IF($G2171&lt;&gt;"",$G2171,$B2171)</f>
        <v>4411020</v>
      </c>
      <c r="K2171" s="8" t="str">
        <f aca="false">IF(COUNTIF($M$1:$M$10,$A2171)&gt;0,"Y","N")</f>
        <v>Y</v>
      </c>
    </row>
    <row r="2172" customFormat="false" ht="15" hidden="false" customHeight="true" outlineLevel="0" collapsed="false">
      <c r="A2172" s="8" t="s">
        <v>42</v>
      </c>
      <c r="B2172" s="8" t="s">
        <v>580</v>
      </c>
      <c r="C2172" s="19" t="n">
        <v>26</v>
      </c>
      <c r="D2172" s="19" t="n">
        <v>1703.91</v>
      </c>
      <c r="E2172" s="19" t="n">
        <v>48</v>
      </c>
      <c r="F2172" s="19" t="n">
        <v>3263.75</v>
      </c>
      <c r="G2172" s="8" t="n">
        <f aca="false">IFERROR(INDEX('TRANS'!$B:$B,MATCH($B2172,'TRANS'!$A:$A,0)),IFERROR(INDEX('TRANS'!$B:$B,MATCH(TRIM(SUBSTITUTE($B2172,CHAR(160)," ")),'TRANS'!$D:$D,0)),IFERROR(INDEX('Catalog'!$A:$A,MATCH($B2172,'Catalog'!$B:$B,0)),IFERROR(INDEX('Catalog'!$A:$A,MATCH(TRIM(SUBSTITUTE($B2172,CHAR(160)," ")),'Catalog'!$C:$C,0)),""))))</f>
        <v>4411021</v>
      </c>
      <c r="H2172" s="8" t="str">
        <f aca="false">IFERROR(INDEX('TRANS'!$C:$C,MATCH($B2172,'TRANS'!$A:$A,0)),IFERROR(INDEX('Catalog'!$B:$B,MATCH($G2172,'Catalog'!$A:$A,0)),$B2172))</f>
        <v>212L כפפות אגודל לחץ</v>
      </c>
      <c r="I2172" s="8" t="str">
        <f aca="false">IF($G2172="","Unmatched","Matched")</f>
        <v>Matched</v>
      </c>
      <c r="J2172" s="8" t="n">
        <f aca="false">IF($G2172&lt;&gt;"",$G2172,$B2172)</f>
        <v>4411021</v>
      </c>
      <c r="K2172" s="8" t="str">
        <f aca="false">IF(COUNTIF($M$1:$M$10,$A2172)&gt;0,"Y","N")</f>
        <v>Y</v>
      </c>
    </row>
    <row r="2173" customFormat="false" ht="15" hidden="false" customHeight="true" outlineLevel="0" collapsed="false">
      <c r="A2173" s="8" t="s">
        <v>42</v>
      </c>
      <c r="B2173" s="8" t="s">
        <v>581</v>
      </c>
      <c r="C2173" s="19" t="n">
        <v>67</v>
      </c>
      <c r="D2173" s="19" t="n">
        <v>4170.49</v>
      </c>
      <c r="E2173" s="19" t="n">
        <v>81</v>
      </c>
      <c r="F2173" s="19" t="n">
        <v>5475.48</v>
      </c>
      <c r="G2173" s="8" t="n">
        <f aca="false">IFERROR(INDEX('TRANS'!$B:$B,MATCH($B2173,'TRANS'!$A:$A,0)),IFERROR(INDEX('TRANS'!$B:$B,MATCH(TRIM(SUBSTITUTE($B2173,CHAR(160)," ")),'TRANS'!$D:$D,0)),IFERROR(INDEX('Catalog'!$A:$A,MATCH($B2173,'Catalog'!$B:$B,0)),IFERROR(INDEX('Catalog'!$A:$A,MATCH(TRIM(SUBSTITUTE($B2173,CHAR(160)," ")),'Catalog'!$C:$C,0)),""))))</f>
        <v>4411022</v>
      </c>
      <c r="H2173" s="8" t="str">
        <f aca="false">IFERROR(INDEX('TRANS'!$C:$C,MATCH($B2173,'TRANS'!$A:$A,0)),IFERROR(INDEX('Catalog'!$B:$B,MATCH($G2173,'Catalog'!$A:$A,0)),$B2173))</f>
        <v>212M כפפות אגודל לחץ</v>
      </c>
      <c r="I2173" s="8" t="str">
        <f aca="false">IF($G2173="","Unmatched","Matched")</f>
        <v>Matched</v>
      </c>
      <c r="J2173" s="8" t="n">
        <f aca="false">IF($G2173&lt;&gt;"",$G2173,$B2173)</f>
        <v>4411022</v>
      </c>
      <c r="K2173" s="8" t="str">
        <f aca="false">IF(COUNTIF($M$1:$M$10,$A2173)&gt;0,"Y","N")</f>
        <v>Y</v>
      </c>
    </row>
    <row r="2174" customFormat="false" ht="15" hidden="false" customHeight="true" outlineLevel="0" collapsed="false">
      <c r="A2174" s="8" t="s">
        <v>42</v>
      </c>
      <c r="B2174" s="8" t="s">
        <v>582</v>
      </c>
      <c r="C2174" s="19" t="n">
        <v>61</v>
      </c>
      <c r="D2174" s="19" t="n">
        <v>3870.96</v>
      </c>
      <c r="E2174" s="19" t="n">
        <v>83</v>
      </c>
      <c r="F2174" s="19" t="n">
        <v>5689.48</v>
      </c>
      <c r="G2174" s="8" t="n">
        <f aca="false">IFERROR(INDEX('TRANS'!$B:$B,MATCH($B2174,'TRANS'!$A:$A,0)),IFERROR(INDEX('TRANS'!$B:$B,MATCH(TRIM(SUBSTITUTE($B2174,CHAR(160)," ")),'TRANS'!$D:$D,0)),IFERROR(INDEX('Catalog'!$A:$A,MATCH($B2174,'Catalog'!$B:$B,0)),IFERROR(INDEX('Catalog'!$A:$A,MATCH(TRIM(SUBSTITUTE($B2174,CHAR(160)," ")),'Catalog'!$C:$C,0)),""))))</f>
        <v>4411023</v>
      </c>
      <c r="H2174" s="8" t="str">
        <f aca="false">IFERROR(INDEX('TRANS'!$C:$C,MATCH($B2174,'TRANS'!$A:$A,0)),IFERROR(INDEX('Catalog'!$B:$B,MATCH($G2174,'Catalog'!$A:$A,0)),$B2174))</f>
        <v>212S כפפות אגודל לחץ</v>
      </c>
      <c r="I2174" s="8" t="str">
        <f aca="false">IF($G2174="","Unmatched","Matched")</f>
        <v>Matched</v>
      </c>
      <c r="J2174" s="8" t="n">
        <f aca="false">IF($G2174&lt;&gt;"",$G2174,$B2174)</f>
        <v>4411023</v>
      </c>
      <c r="K2174" s="8" t="str">
        <f aca="false">IF(COUNTIF($M$1:$M$10,$A2174)&gt;0,"Y","N")</f>
        <v>Y</v>
      </c>
    </row>
    <row r="2175" customFormat="false" ht="15" hidden="false" customHeight="true" outlineLevel="0" collapsed="false">
      <c r="A2175" s="8" t="s">
        <v>42</v>
      </c>
      <c r="B2175" s="8" t="s">
        <v>982</v>
      </c>
      <c r="C2175" s="19" t="n">
        <v>17</v>
      </c>
      <c r="D2175" s="19" t="n">
        <v>1067.16</v>
      </c>
      <c r="E2175" s="19" t="n">
        <v>11</v>
      </c>
      <c r="F2175" s="19" t="n">
        <v>755.48</v>
      </c>
      <c r="G2175" s="8" t="n">
        <f aca="false">IFERROR(INDEX('TRANS'!$B:$B,MATCH($B2175,'TRANS'!$A:$A,0)),IFERROR(INDEX('TRANS'!$B:$B,MATCH(TRIM(SUBSTITUTE($B2175,CHAR(160)," ")),'TRANS'!$D:$D,0)),IFERROR(INDEX('Catalog'!$A:$A,MATCH($B2175,'Catalog'!$B:$B,0)),IFERROR(INDEX('Catalog'!$A:$A,MATCH(TRIM(SUBSTITUTE($B2175,CHAR(160)," ")),'Catalog'!$C:$C,0)),""))))</f>
        <v>4411024</v>
      </c>
      <c r="H2175" s="8" t="str">
        <f aca="false">IFERROR(INDEX('TRANS'!$C:$C,MATCH($B2175,'TRANS'!$A:$A,0)),IFERROR(INDEX('Catalog'!$B:$B,MATCH($G2175,'Catalog'!$A:$A,0)),$B2175))</f>
        <v>212XL כפפות אגודל לחץ</v>
      </c>
      <c r="I2175" s="8" t="str">
        <f aca="false">IF($G2175="","Unmatched","Matched")</f>
        <v>Matched</v>
      </c>
      <c r="J2175" s="8" t="n">
        <f aca="false">IF($G2175&lt;&gt;"",$G2175,$B2175)</f>
        <v>4411024</v>
      </c>
      <c r="K2175" s="8" t="str">
        <f aca="false">IF(COUNTIF($M$1:$M$10,$A2175)&gt;0,"Y","N")</f>
        <v>Y</v>
      </c>
    </row>
    <row r="2176" customFormat="false" ht="15" hidden="false" customHeight="true" outlineLevel="0" collapsed="false">
      <c r="A2176" s="8" t="s">
        <v>42</v>
      </c>
      <c r="B2176" s="8" t="s">
        <v>860</v>
      </c>
      <c r="C2176" s="19" t="n">
        <v>4</v>
      </c>
      <c r="D2176" s="19" t="n">
        <v>762.4</v>
      </c>
      <c r="E2176" s="19" t="n">
        <v>25</v>
      </c>
      <c r="F2176" s="19" t="n">
        <v>4913.91</v>
      </c>
      <c r="G2176" s="8" t="n">
        <f aca="false">IFERROR(INDEX('TRANS'!$B:$B,MATCH($B2176,'TRANS'!$A:$A,0)),IFERROR(INDEX('TRANS'!$B:$B,MATCH(TRIM(SUBSTITUTE($B2176,CHAR(160)," ")),'TRANS'!$D:$D,0)),IFERROR(INDEX('Catalog'!$A:$A,MATCH($B2176,'Catalog'!$B:$B,0)),IFERROR(INDEX('Catalog'!$A:$A,MATCH(TRIM(SUBSTITUTE($B2176,CHAR(160)," ")),'Catalog'!$C:$C,0)),""))))</f>
        <v>4411026</v>
      </c>
      <c r="H2176" s="8" t="str">
        <f aca="false">IFERROR(INDEX('TRANS'!$C:$C,MATCH($B2176,'TRANS'!$A:$A,0)),IFERROR(INDEX('Catalog'!$B:$B,MATCH($G2176,'Catalog'!$A:$A,0)),$B2176))</f>
        <v>213CTSL L שמאל CTS כפפות</v>
      </c>
      <c r="I2176" s="8" t="str">
        <f aca="false">IF($G2176="","Unmatched","Matched")</f>
        <v>Matched</v>
      </c>
      <c r="J2176" s="8" t="n">
        <f aca="false">IF($G2176&lt;&gt;"",$G2176,$B2176)</f>
        <v>4411026</v>
      </c>
      <c r="K2176" s="8" t="str">
        <f aca="false">IF(COUNTIF($M$1:$M$10,$A2176)&gt;0,"Y","N")</f>
        <v>Y</v>
      </c>
    </row>
    <row r="2177" customFormat="false" ht="15" hidden="false" customHeight="true" outlineLevel="0" collapsed="false">
      <c r="A2177" s="8" t="s">
        <v>42</v>
      </c>
      <c r="B2177" s="8" t="s">
        <v>861</v>
      </c>
      <c r="C2177" s="19" t="n">
        <v>21</v>
      </c>
      <c r="D2177" s="19" t="n">
        <v>3886.13</v>
      </c>
      <c r="E2177" s="19" t="n">
        <v>38</v>
      </c>
      <c r="F2177" s="19" t="n">
        <v>7359.01</v>
      </c>
      <c r="G2177" s="8" t="n">
        <f aca="false">IFERROR(INDEX('TRANS'!$B:$B,MATCH($B2177,'TRANS'!$A:$A,0)),IFERROR(INDEX('TRANS'!$B:$B,MATCH(TRIM(SUBSTITUTE($B2177,CHAR(160)," ")),'TRANS'!$D:$D,0)),IFERROR(INDEX('Catalog'!$A:$A,MATCH($B2177,'Catalog'!$B:$B,0)),IFERROR(INDEX('Catalog'!$A:$A,MATCH(TRIM(SUBSTITUTE($B2177,CHAR(160)," ")),'Catalog'!$C:$C,0)),""))))</f>
        <v>4411027</v>
      </c>
      <c r="H2177" s="8" t="str">
        <f aca="false">IFERROR(INDEX('TRANS'!$C:$C,MATCH($B2177,'TRANS'!$A:$A,0)),IFERROR(INDEX('Catalog'!$B:$B,MATCH($G2177,'Catalog'!$A:$A,0)),$B2177))</f>
        <v>213CTSL M שמאל CTS כפפות</v>
      </c>
      <c r="I2177" s="8" t="str">
        <f aca="false">IF($G2177="","Unmatched","Matched")</f>
        <v>Matched</v>
      </c>
      <c r="J2177" s="8" t="n">
        <f aca="false">IF($G2177&lt;&gt;"",$G2177,$B2177)</f>
        <v>4411027</v>
      </c>
      <c r="K2177" s="8" t="str">
        <f aca="false">IF(COUNTIF($M$1:$M$10,$A2177)&gt;0,"Y","N")</f>
        <v>Y</v>
      </c>
    </row>
    <row r="2178" customFormat="false" ht="15" hidden="false" customHeight="true" outlineLevel="0" collapsed="false">
      <c r="A2178" s="8" t="s">
        <v>42</v>
      </c>
      <c r="B2178" s="8" t="s">
        <v>862</v>
      </c>
      <c r="C2178" s="19" t="n">
        <v>16</v>
      </c>
      <c r="D2178" s="19" t="n">
        <v>3060.19</v>
      </c>
      <c r="E2178" s="19" t="n">
        <v>55</v>
      </c>
      <c r="F2178" s="19" t="n">
        <v>10996.54</v>
      </c>
      <c r="G2178" s="8" t="n">
        <f aca="false">IFERROR(INDEX('TRANS'!$B:$B,MATCH($B2178,'TRANS'!$A:$A,0)),IFERROR(INDEX('TRANS'!$B:$B,MATCH(TRIM(SUBSTITUTE($B2178,CHAR(160)," ")),'TRANS'!$D:$D,0)),IFERROR(INDEX('Catalog'!$A:$A,MATCH($B2178,'Catalog'!$B:$B,0)),IFERROR(INDEX('Catalog'!$A:$A,MATCH(TRIM(SUBSTITUTE($B2178,CHAR(160)," ")),'Catalog'!$C:$C,0)),""))))</f>
        <v>4411028</v>
      </c>
      <c r="H2178" s="8" t="str">
        <f aca="false">IFERROR(INDEX('TRANS'!$C:$C,MATCH($B2178,'TRANS'!$A:$A,0)),IFERROR(INDEX('Catalog'!$B:$B,MATCH($G2178,'Catalog'!$A:$A,0)),$B2178))</f>
        <v>213CTSL S שמאל CTS כפפות</v>
      </c>
      <c r="I2178" s="8" t="str">
        <f aca="false">IF($G2178="","Unmatched","Matched")</f>
        <v>Matched</v>
      </c>
      <c r="J2178" s="8" t="n">
        <f aca="false">IF($G2178&lt;&gt;"",$G2178,$B2178)</f>
        <v>4411028</v>
      </c>
      <c r="K2178" s="8" t="str">
        <f aca="false">IF(COUNTIF($M$1:$M$10,$A2178)&gt;0,"Y","N")</f>
        <v>Y</v>
      </c>
    </row>
    <row r="2179" customFormat="false" ht="15" hidden="false" customHeight="true" outlineLevel="0" collapsed="false">
      <c r="A2179" s="8" t="s">
        <v>42</v>
      </c>
      <c r="B2179" s="8" t="s">
        <v>863</v>
      </c>
      <c r="C2179" s="19" t="n">
        <v>9</v>
      </c>
      <c r="D2179" s="19" t="n">
        <v>1662.46</v>
      </c>
      <c r="E2179" s="19" t="n">
        <v>48</v>
      </c>
      <c r="F2179" s="19" t="n">
        <v>9857.91</v>
      </c>
      <c r="G2179" s="8" t="n">
        <f aca="false">IFERROR(INDEX('TRANS'!$B:$B,MATCH($B2179,'TRANS'!$A:$A,0)),IFERROR(INDEX('TRANS'!$B:$B,MATCH(TRIM(SUBSTITUTE($B2179,CHAR(160)," ")),'TRANS'!$D:$D,0)),IFERROR(INDEX('Catalog'!$A:$A,MATCH($B2179,'Catalog'!$B:$B,0)),IFERROR(INDEX('Catalog'!$A:$A,MATCH(TRIM(SUBSTITUTE($B2179,CHAR(160)," ")),'Catalog'!$C:$C,0)),""))))</f>
        <v>4411029</v>
      </c>
      <c r="H2179" s="8" t="str">
        <f aca="false">IFERROR(INDEX('TRANS'!$C:$C,MATCH($B2179,'TRANS'!$A:$A,0)),IFERROR(INDEX('Catalog'!$B:$B,MATCH($G2179,'Catalog'!$A:$A,0)),$B2179))</f>
        <v>213CTSR L ימין CTS כפפות</v>
      </c>
      <c r="I2179" s="8" t="str">
        <f aca="false">IF($G2179="","Unmatched","Matched")</f>
        <v>Matched</v>
      </c>
      <c r="J2179" s="8" t="n">
        <f aca="false">IF($G2179&lt;&gt;"",$G2179,$B2179)</f>
        <v>4411029</v>
      </c>
      <c r="K2179" s="8" t="str">
        <f aca="false">IF(COUNTIF($M$1:$M$10,$A2179)&gt;0,"Y","N")</f>
        <v>Y</v>
      </c>
    </row>
    <row r="2180" customFormat="false" ht="15" hidden="false" customHeight="true" outlineLevel="0" collapsed="false">
      <c r="A2180" s="8" t="s">
        <v>42</v>
      </c>
      <c r="B2180" s="8" t="s">
        <v>864</v>
      </c>
      <c r="C2180" s="19" t="n">
        <v>29</v>
      </c>
      <c r="D2180" s="19" t="n">
        <v>5601.54</v>
      </c>
      <c r="E2180" s="19" t="n">
        <v>81</v>
      </c>
      <c r="F2180" s="19" t="n">
        <v>15851.97</v>
      </c>
      <c r="G2180" s="8" t="n">
        <f aca="false">IFERROR(INDEX('TRANS'!$B:$B,MATCH($B2180,'TRANS'!$A:$A,0)),IFERROR(INDEX('TRANS'!$B:$B,MATCH(TRIM(SUBSTITUTE($B2180,CHAR(160)," ")),'TRANS'!$D:$D,0)),IFERROR(INDEX('Catalog'!$A:$A,MATCH($B2180,'Catalog'!$B:$B,0)),IFERROR(INDEX('Catalog'!$A:$A,MATCH(TRIM(SUBSTITUTE($B2180,CHAR(160)," ")),'Catalog'!$C:$C,0)),""))))</f>
        <v>4411030</v>
      </c>
      <c r="H2180" s="8" t="str">
        <f aca="false">IFERROR(INDEX('TRANS'!$C:$C,MATCH($B2180,'TRANS'!$A:$A,0)),IFERROR(INDEX('Catalog'!$B:$B,MATCH($G2180,'Catalog'!$A:$A,0)),$B2180))</f>
        <v>213CTSR M ימין CTS כפפות</v>
      </c>
      <c r="I2180" s="8" t="str">
        <f aca="false">IF($G2180="","Unmatched","Matched")</f>
        <v>Matched</v>
      </c>
      <c r="J2180" s="8" t="n">
        <f aca="false">IF($G2180&lt;&gt;"",$G2180,$B2180)</f>
        <v>4411030</v>
      </c>
      <c r="K2180" s="8" t="str">
        <f aca="false">IF(COUNTIF($M$1:$M$10,$A2180)&gt;0,"Y","N")</f>
        <v>Y</v>
      </c>
    </row>
    <row r="2181" customFormat="false" ht="15" hidden="false" customHeight="true" outlineLevel="0" collapsed="false">
      <c r="A2181" s="8" t="s">
        <v>42</v>
      </c>
      <c r="B2181" s="8" t="s">
        <v>865</v>
      </c>
      <c r="C2181" s="19" t="n">
        <v>21</v>
      </c>
      <c r="D2181" s="19" t="n">
        <v>3928.48</v>
      </c>
      <c r="E2181" s="19" t="n">
        <v>90</v>
      </c>
      <c r="F2181" s="19" t="n">
        <v>17558.83</v>
      </c>
      <c r="G2181" s="8" t="n">
        <f aca="false">IFERROR(INDEX('TRANS'!$B:$B,MATCH($B2181,'TRANS'!$A:$A,0)),IFERROR(INDEX('TRANS'!$B:$B,MATCH(TRIM(SUBSTITUTE($B2181,CHAR(160)," ")),'TRANS'!$D:$D,0)),IFERROR(INDEX('Catalog'!$A:$A,MATCH($B2181,'Catalog'!$B:$B,0)),IFERROR(INDEX('Catalog'!$A:$A,MATCH(TRIM(SUBSTITUTE($B2181,CHAR(160)," ")),'Catalog'!$C:$C,0)),""))))</f>
        <v>4411031</v>
      </c>
      <c r="H2181" s="8" t="str">
        <f aca="false">IFERROR(INDEX('TRANS'!$C:$C,MATCH($B2181,'TRANS'!$A:$A,0)),IFERROR(INDEX('Catalog'!$B:$B,MATCH($G2181,'Catalog'!$A:$A,0)),$B2181))</f>
        <v>213CTS  S ימין CTS כפפות</v>
      </c>
      <c r="I2181" s="8" t="str">
        <f aca="false">IF($G2181="","Unmatched","Matched")</f>
        <v>Matched</v>
      </c>
      <c r="J2181" s="8" t="n">
        <f aca="false">IF($G2181&lt;&gt;"",$G2181,$B2181)</f>
        <v>4411031</v>
      </c>
      <c r="K2181" s="8" t="str">
        <f aca="false">IF(COUNTIF($M$1:$M$10,$A2181)&gt;0,"Y","N")</f>
        <v>Y</v>
      </c>
    </row>
    <row r="2182" customFormat="false" ht="15" hidden="false" customHeight="true" outlineLevel="0" collapsed="false">
      <c r="A2182" s="8" t="s">
        <v>42</v>
      </c>
      <c r="B2182" s="8" t="s">
        <v>583</v>
      </c>
      <c r="C2182" s="19" t="n">
        <v>40</v>
      </c>
      <c r="D2182" s="19" t="n">
        <v>2072.6</v>
      </c>
      <c r="E2182" s="19" t="n">
        <v>41</v>
      </c>
      <c r="F2182" s="19" t="n">
        <v>2186.28</v>
      </c>
      <c r="G2182" s="8" t="n">
        <f aca="false">IFERROR(INDEX('TRANS'!$B:$B,MATCH($B2182,'TRANS'!$A:$A,0)),IFERROR(INDEX('TRANS'!$B:$B,MATCH(TRIM(SUBSTITUTE($B2182,CHAR(160)," ")),'TRANS'!$D:$D,0)),IFERROR(INDEX('Catalog'!$A:$A,MATCH($B2182,'Catalog'!$B:$B,0)),IFERROR(INDEX('Catalog'!$A:$A,MATCH(TRIM(SUBSTITUTE($B2182,CHAR(160)," ")),'Catalog'!$C:$C,0)),""))))</f>
        <v>4415029</v>
      </c>
      <c r="H2182" s="8" t="str">
        <f aca="false">IFERROR(INDEX('TRANS'!$C:$C,MATCH($B2182,'TRANS'!$A:$A,0)),IFERROR(INDEX('Catalog'!$B:$B,MATCH($G2182,'Catalog'!$A:$A,0)),$B2182))</f>
        <v>סד קיבוע לאצבע הדק</v>
      </c>
      <c r="I2182" s="8" t="str">
        <f aca="false">IF($G2182="","Unmatched","Matched")</f>
        <v>Matched</v>
      </c>
      <c r="J2182" s="8" t="n">
        <f aca="false">IF($G2182&lt;&gt;"",$G2182,$B2182)</f>
        <v>4415029</v>
      </c>
      <c r="K2182" s="8" t="str">
        <f aca="false">IF(COUNTIF($M$1:$M$10,$A2182)&gt;0,"Y","N")</f>
        <v>Y</v>
      </c>
    </row>
    <row r="2183" customFormat="false" ht="15" hidden="false" customHeight="true" outlineLevel="0" collapsed="false">
      <c r="A2183" s="8" t="s">
        <v>42</v>
      </c>
      <c r="B2183" s="8" t="s">
        <v>584</v>
      </c>
      <c r="C2183" s="19" t="n">
        <v>27</v>
      </c>
      <c r="D2183" s="19" t="n">
        <v>916.47</v>
      </c>
      <c r="E2183" s="19" t="n">
        <v>11</v>
      </c>
      <c r="F2183" s="19" t="n">
        <v>389.04</v>
      </c>
      <c r="G2183" s="8" t="n">
        <f aca="false">IFERROR(INDEX('TRANS'!$B:$B,MATCH($B2183,'TRANS'!$A:$A,0)),IFERROR(INDEX('TRANS'!$B:$B,MATCH(TRIM(SUBSTITUTE($B2183,CHAR(160)," ")),'TRANS'!$D:$D,0)),IFERROR(INDEX('Catalog'!$A:$A,MATCH($B2183,'Catalog'!$B:$B,0)),IFERROR(INDEX('Catalog'!$A:$A,MATCH(TRIM(SUBSTITUTE($B2183,CHAR(160)," ")),'Catalog'!$C:$C,0)),""))))</f>
        <v>4415162</v>
      </c>
      <c r="H2183" s="8" t="str">
        <f aca="false">IFERROR(INDEX('TRANS'!$C:$C,MATCH($B2183,'TRANS'!$A:$A,0)),IFERROR(INDEX('Catalog'!$B:$B,MATCH($G2183,'Catalog'!$A:$A,0)),$B2183))</f>
        <v>238L סד ליישור אצבע</v>
      </c>
      <c r="I2183" s="8" t="str">
        <f aca="false">IF($G2183="","Unmatched","Matched")</f>
        <v>Matched</v>
      </c>
      <c r="J2183" s="8" t="n">
        <f aca="false">IF($G2183&lt;&gt;"",$G2183,$B2183)</f>
        <v>4415162</v>
      </c>
      <c r="K2183" s="8" t="str">
        <f aca="false">IF(COUNTIF($M$1:$M$10,$A2183)&gt;0,"Y","N")</f>
        <v>Y</v>
      </c>
    </row>
    <row r="2184" customFormat="false" ht="15" hidden="false" customHeight="true" outlineLevel="0" collapsed="false">
      <c r="A2184" s="8" t="s">
        <v>42</v>
      </c>
      <c r="B2184" s="8" t="s">
        <v>926</v>
      </c>
      <c r="C2184" s="19" t="n">
        <v>27</v>
      </c>
      <c r="D2184" s="19" t="n">
        <v>928.1</v>
      </c>
      <c r="E2184" s="19" t="n">
        <v>29</v>
      </c>
      <c r="F2184" s="19" t="n">
        <v>1029.29</v>
      </c>
      <c r="G2184" s="8" t="n">
        <f aca="false">IFERROR(INDEX('TRANS'!$B:$B,MATCH($B2184,'TRANS'!$A:$A,0)),IFERROR(INDEX('TRANS'!$B:$B,MATCH(TRIM(SUBSTITUTE($B2184,CHAR(160)," ")),'TRANS'!$D:$D,0)),IFERROR(INDEX('Catalog'!$A:$A,MATCH($B2184,'Catalog'!$B:$B,0)),IFERROR(INDEX('Catalog'!$A:$A,MATCH(TRIM(SUBSTITUTE($B2184,CHAR(160)," ")),'Catalog'!$C:$C,0)),""))))</f>
        <v>4415161</v>
      </c>
      <c r="H2184" s="8" t="str">
        <f aca="false">IFERROR(INDEX('TRANS'!$C:$C,MATCH($B2184,'TRANS'!$A:$A,0)),IFERROR(INDEX('Catalog'!$B:$B,MATCH($G2184,'Catalog'!$A:$A,0)),$B2184))</f>
        <v>238M סד ליישור אצבע</v>
      </c>
      <c r="I2184" s="8" t="str">
        <f aca="false">IF($G2184="","Unmatched","Matched")</f>
        <v>Matched</v>
      </c>
      <c r="J2184" s="8" t="n">
        <f aca="false">IF($G2184&lt;&gt;"",$G2184,$B2184)</f>
        <v>4415161</v>
      </c>
      <c r="K2184" s="8" t="str">
        <f aca="false">IF(COUNTIF($M$1:$M$10,$A2184)&gt;0,"Y","N")</f>
        <v>Y</v>
      </c>
    </row>
    <row r="2185" customFormat="false" ht="15" hidden="false" customHeight="true" outlineLevel="0" collapsed="false">
      <c r="A2185" s="8" t="s">
        <v>42</v>
      </c>
      <c r="B2185" s="8" t="s">
        <v>585</v>
      </c>
      <c r="C2185" s="19" t="n">
        <v>16</v>
      </c>
      <c r="D2185" s="19" t="n">
        <v>527.65</v>
      </c>
      <c r="E2185" s="19" t="n">
        <v>18</v>
      </c>
      <c r="F2185" s="19" t="n">
        <v>623.56</v>
      </c>
      <c r="G2185" s="8" t="n">
        <f aca="false">IFERROR(INDEX('TRANS'!$B:$B,MATCH($B2185,'TRANS'!$A:$A,0)),IFERROR(INDEX('TRANS'!$B:$B,MATCH(TRIM(SUBSTITUTE($B2185,CHAR(160)," ")),'TRANS'!$D:$D,0)),IFERROR(INDEX('Catalog'!$A:$A,MATCH($B2185,'Catalog'!$B:$B,0)),IFERROR(INDEX('Catalog'!$A:$A,MATCH(TRIM(SUBSTITUTE($B2185,CHAR(160)," ")),'Catalog'!$C:$C,0)),""))))</f>
        <v>4415160</v>
      </c>
      <c r="H2185" s="8" t="str">
        <f aca="false">IFERROR(INDEX('TRANS'!$C:$C,MATCH($B2185,'TRANS'!$A:$A,0)),IFERROR(INDEX('Catalog'!$B:$B,MATCH($G2185,'Catalog'!$A:$A,0)),$B2185))</f>
        <v>238S סד ליישור אצבע</v>
      </c>
      <c r="I2185" s="8" t="str">
        <f aca="false">IF($G2185="","Unmatched","Matched")</f>
        <v>Matched</v>
      </c>
      <c r="J2185" s="8" t="n">
        <f aca="false">IF($G2185&lt;&gt;"",$G2185,$B2185)</f>
        <v>4415160</v>
      </c>
      <c r="K2185" s="8" t="str">
        <f aca="false">IF(COUNTIF($M$1:$M$10,$A2185)&gt;0,"Y","N")</f>
        <v>Y</v>
      </c>
    </row>
    <row r="2186" customFormat="false" ht="15" hidden="false" customHeight="true" outlineLevel="0" collapsed="false">
      <c r="A2186" s="8" t="s">
        <v>42</v>
      </c>
      <c r="B2186" s="8" t="s">
        <v>927</v>
      </c>
      <c r="C2186" s="19" t="n">
        <v>10</v>
      </c>
      <c r="D2186" s="19" t="n">
        <v>335.78</v>
      </c>
      <c r="E2186" s="19" t="n">
        <v>16</v>
      </c>
      <c r="F2186" s="19" t="n">
        <v>574.46</v>
      </c>
      <c r="G2186" s="8" t="n">
        <f aca="false">IFERROR(INDEX('TRANS'!$B:$B,MATCH($B2186,'TRANS'!$A:$A,0)),IFERROR(INDEX('TRANS'!$B:$B,MATCH(TRIM(SUBSTITUTE($B2186,CHAR(160)," ")),'TRANS'!$D:$D,0)),IFERROR(INDEX('Catalog'!$A:$A,MATCH($B2186,'Catalog'!$B:$B,0)),IFERROR(INDEX('Catalog'!$A:$A,MATCH(TRIM(SUBSTITUTE($B2186,CHAR(160)," ")),'Catalog'!$C:$C,0)),""))))</f>
        <v>4415163</v>
      </c>
      <c r="H2186" s="8" t="str">
        <f aca="false">IFERROR(INDEX('TRANS'!$C:$C,MATCH($B2186,'TRANS'!$A:$A,0)),IFERROR(INDEX('Catalog'!$B:$B,MATCH($G2186,'Catalog'!$A:$A,0)),$B2186))</f>
        <v>238XL סד ליישור אצבע</v>
      </c>
      <c r="I2186" s="8" t="str">
        <f aca="false">IF($G2186="","Unmatched","Matched")</f>
        <v>Matched</v>
      </c>
      <c r="J2186" s="8" t="n">
        <f aca="false">IF($G2186&lt;&gt;"",$G2186,$B2186)</f>
        <v>4415163</v>
      </c>
      <c r="K2186" s="8" t="str">
        <f aca="false">IF(COUNTIF($M$1:$M$10,$A2186)&gt;0,"Y","N")</f>
        <v>Y</v>
      </c>
    </row>
    <row r="2187" customFormat="false" ht="15" hidden="false" customHeight="true" outlineLevel="0" collapsed="false">
      <c r="A2187" s="8" t="s">
        <v>42</v>
      </c>
      <c r="B2187" s="8" t="s">
        <v>586</v>
      </c>
      <c r="C2187" s="19" t="n">
        <v>22</v>
      </c>
      <c r="D2187" s="19" t="n">
        <v>750.39</v>
      </c>
      <c r="E2187" s="19" t="n">
        <v>9</v>
      </c>
      <c r="F2187" s="19" t="n">
        <v>311.94</v>
      </c>
      <c r="G2187" s="8" t="n">
        <f aca="false">IFERROR(INDEX('TRANS'!$B:$B,MATCH($B2187,'TRANS'!$A:$A,0)),IFERROR(INDEX('TRANS'!$B:$B,MATCH(TRIM(SUBSTITUTE($B2187,CHAR(160)," ")),'TRANS'!$D:$D,0)),IFERROR(INDEX('Catalog'!$A:$A,MATCH($B2187,'Catalog'!$B:$B,0)),IFERROR(INDEX('Catalog'!$A:$A,MATCH(TRIM(SUBSTITUTE($B2187,CHAR(160)," ")),'Catalog'!$C:$C,0)),""))))</f>
        <v>4419013</v>
      </c>
      <c r="H2187" s="8" t="str">
        <f aca="false">IFERROR(INDEX('TRANS'!$C:$C,MATCH($B2187,'TRANS'!$A:$A,0)),IFERROR(INDEX('Catalog'!$B:$B,MATCH($G2187,'Catalog'!$A:$A,0)),$B2187))</f>
        <v>239B L-XL STRAP4U</v>
      </c>
      <c r="I2187" s="8" t="str">
        <f aca="false">IF($G2187="","Unmatched","Matched")</f>
        <v>Matched</v>
      </c>
      <c r="J2187" s="8" t="n">
        <f aca="false">IF($G2187&lt;&gt;"",$G2187,$B2187)</f>
        <v>4419013</v>
      </c>
      <c r="K2187" s="8" t="str">
        <f aca="false">IF(COUNTIF($M$1:$M$10,$A2187)&gt;0,"Y","N")</f>
        <v>Y</v>
      </c>
    </row>
    <row r="2188" customFormat="false" ht="15" hidden="false" customHeight="true" outlineLevel="0" collapsed="false">
      <c r="A2188" s="8" t="s">
        <v>42</v>
      </c>
      <c r="B2188" s="8" t="s">
        <v>587</v>
      </c>
      <c r="C2188" s="19" t="n">
        <v>32</v>
      </c>
      <c r="D2188" s="19" t="n">
        <v>1041.52</v>
      </c>
      <c r="E2188" s="19" t="n">
        <v>13</v>
      </c>
      <c r="F2188" s="19" t="n">
        <v>447.11</v>
      </c>
      <c r="G2188" s="8" t="n">
        <f aca="false">IFERROR(INDEX('TRANS'!$B:$B,MATCH($B2188,'TRANS'!$A:$A,0)),IFERROR(INDEX('TRANS'!$B:$B,MATCH(TRIM(SUBSTITUTE($B2188,CHAR(160)," ")),'TRANS'!$D:$D,0)),IFERROR(INDEX('Catalog'!$A:$A,MATCH($B2188,'Catalog'!$B:$B,0)),IFERROR(INDEX('Catalog'!$A:$A,MATCH(TRIM(SUBSTITUTE($B2188,CHAR(160)," ")),'Catalog'!$C:$C,0)),""))))</f>
        <v>4419011</v>
      </c>
      <c r="H2188" s="8" t="str">
        <f aca="false">IFERROR(INDEX('TRANS'!$C:$C,MATCH($B2188,'TRANS'!$A:$A,0)),IFERROR(INDEX('Catalog'!$B:$B,MATCH($G2188,'Catalog'!$A:$A,0)),$B2188))</f>
        <v>239B S-M STRAP4U</v>
      </c>
      <c r="I2188" s="8" t="str">
        <f aca="false">IF($G2188="","Unmatched","Matched")</f>
        <v>Matched</v>
      </c>
      <c r="J2188" s="8" t="n">
        <f aca="false">IF($G2188&lt;&gt;"",$G2188,$B2188)</f>
        <v>4419011</v>
      </c>
      <c r="K2188" s="8" t="str">
        <f aca="false">IF(COUNTIF($M$1:$M$10,$A2188)&gt;0,"Y","N")</f>
        <v>Y</v>
      </c>
    </row>
    <row r="2189" customFormat="false" ht="15" hidden="false" customHeight="true" outlineLevel="0" collapsed="false">
      <c r="A2189" s="8" t="s">
        <v>42</v>
      </c>
      <c r="B2189" s="8" t="s">
        <v>538</v>
      </c>
      <c r="C2189" s="19" t="n">
        <v>4</v>
      </c>
      <c r="D2189" s="19" t="n">
        <v>133.44</v>
      </c>
      <c r="E2189" s="19" t="n">
        <v>6</v>
      </c>
      <c r="F2189" s="19" t="n">
        <v>207.96</v>
      </c>
      <c r="G2189" s="8" t="str">
        <f aca="false">IFERROR(INDEX('TRANS'!$B:$B,MATCH($B2189,'TRANS'!$A:$A,0)),IFERROR(INDEX('TRANS'!$B:$B,MATCH(TRIM(SUBSTITUTE($B2189,CHAR(160)," ")),'TRANS'!$D:$D,0)),IFERROR(INDEX('Catalog'!$A:$A,MATCH($B2189,'Catalog'!$B:$B,0)),IFERROR(INDEX('Catalog'!$A:$A,MATCH(TRIM(SUBSTITUTE($B2189,CHAR(160)," ")),'Catalog'!$C:$C,0)),""))))</f>
        <v/>
      </c>
      <c r="H2189" s="8" t="str">
        <f aca="false">IFERROR(INDEX('TRANS'!$C:$C,MATCH($B2189,'TRANS'!$A:$A,0)),IFERROR(INDEX('Catalog'!$B:$B,MATCH($G2189,'Catalog'!$A:$A,0)),$B2189))</f>
        <v>239P-S-M</v>
      </c>
      <c r="I2189" s="8" t="str">
        <f aca="false">IF($G2189="","Unmatched","Matched")</f>
        <v>Unmatched</v>
      </c>
      <c r="J2189" s="8" t="str">
        <f aca="false">IF($G2189&lt;&gt;"",$G2189,$B2189)</f>
        <v>239P-S-M</v>
      </c>
      <c r="K2189" s="8" t="str">
        <f aca="false">IF(COUNTIF($M$1:$M$10,$A2189)&gt;0,"Y","N")</f>
        <v>Y</v>
      </c>
    </row>
    <row r="2190" customFormat="false" ht="15" hidden="false" customHeight="true" outlineLevel="0" collapsed="false">
      <c r="A2190" s="8" t="s">
        <v>42</v>
      </c>
      <c r="B2190" s="8" t="s">
        <v>588</v>
      </c>
      <c r="C2190" s="19" t="n">
        <v>3</v>
      </c>
      <c r="D2190" s="19" t="n">
        <v>98.78</v>
      </c>
      <c r="E2190" s="19" t="n">
        <v>2</v>
      </c>
      <c r="F2190" s="19" t="n">
        <v>65.85</v>
      </c>
      <c r="G2190" s="8" t="n">
        <f aca="false">IFERROR(INDEX('TRANS'!$B:$B,MATCH($B2190,'TRANS'!$A:$A,0)),IFERROR(INDEX('TRANS'!$B:$B,MATCH(TRIM(SUBSTITUTE($B2190,CHAR(160)," ")),'TRANS'!$D:$D,0)),IFERROR(INDEX('Catalog'!$A:$A,MATCH($B2190,'Catalog'!$B:$B,0)),IFERROR(INDEX('Catalog'!$A:$A,MATCH(TRIM(SUBSTITUTE($B2190,CHAR(160)," ")),'Catalog'!$C:$C,0)),""))))</f>
        <v>4419014</v>
      </c>
      <c r="H2190" s="8" t="str">
        <f aca="false">IFERROR(INDEX('TRANS'!$C:$C,MATCH($B2190,'TRANS'!$A:$A,0)),IFERROR(INDEX('Catalog'!$B:$B,MATCH($G2190,'Catalog'!$A:$A,0)),$B2190))</f>
        <v>239TR L-XL STRAP4U</v>
      </c>
      <c r="I2190" s="8" t="str">
        <f aca="false">IF($G2190="","Unmatched","Matched")</f>
        <v>Matched</v>
      </c>
      <c r="J2190" s="8" t="n">
        <f aca="false">IF($G2190&lt;&gt;"",$G2190,$B2190)</f>
        <v>4419014</v>
      </c>
      <c r="K2190" s="8" t="str">
        <f aca="false">IF(COUNTIF($M$1:$M$10,$A2190)&gt;0,"Y","N")</f>
        <v>Y</v>
      </c>
    </row>
    <row r="2191" customFormat="false" ht="15" hidden="false" customHeight="true" outlineLevel="0" collapsed="false">
      <c r="A2191" s="8" t="s">
        <v>42</v>
      </c>
      <c r="B2191" s="8" t="s">
        <v>589</v>
      </c>
      <c r="C2191" s="19" t="n">
        <v>37</v>
      </c>
      <c r="D2191" s="19" t="n">
        <v>2516.81</v>
      </c>
      <c r="E2191" s="19" t="n">
        <v>45</v>
      </c>
      <c r="F2191" s="19" t="n">
        <v>3154.96</v>
      </c>
      <c r="G2191" s="8" t="n">
        <f aca="false">IFERROR(INDEX('TRANS'!$B:$B,MATCH($B2191,'TRANS'!$A:$A,0)),IFERROR(INDEX('TRANS'!$B:$B,MATCH(TRIM(SUBSTITUTE($B2191,CHAR(160)," ")),'TRANS'!$D:$D,0)),IFERROR(INDEX('Catalog'!$A:$A,MATCH($B2191,'Catalog'!$B:$B,0)),IFERROR(INDEX('Catalog'!$A:$A,MATCH(TRIM(SUBSTITUTE($B2191,CHAR(160)," ")),'Catalog'!$C:$C,0)),""))))</f>
        <v>4421005</v>
      </c>
      <c r="H2191" s="8" t="str">
        <f aca="false">IFERROR(INDEX('TRANS'!$C:$C,MATCH($B2191,'TRANS'!$A:$A,0)),IFERROR(INDEX('Catalog'!$B:$B,MATCH($G2191,'Catalog'!$A:$A,0)),$B2191))</f>
        <v>שרוול לגבס קצר יד</v>
      </c>
      <c r="I2191" s="8" t="str">
        <f aca="false">IF($G2191="","Unmatched","Matched")</f>
        <v>Matched</v>
      </c>
      <c r="J2191" s="8" t="n">
        <f aca="false">IF($G2191&lt;&gt;"",$G2191,$B2191)</f>
        <v>4421005</v>
      </c>
      <c r="K2191" s="8" t="str">
        <f aca="false">IF(COUNTIF($M$1:$M$10,$A2191)&gt;0,"Y","N")</f>
        <v>Y</v>
      </c>
    </row>
    <row r="2192" customFormat="false" ht="15" hidden="false" customHeight="true" outlineLevel="0" collapsed="false">
      <c r="A2192" s="8" t="s">
        <v>42</v>
      </c>
      <c r="B2192" s="8" t="s">
        <v>590</v>
      </c>
      <c r="C2192" s="19" t="n">
        <v>88</v>
      </c>
      <c r="D2192" s="19" t="n">
        <v>6228.56</v>
      </c>
      <c r="E2192" s="19" t="n">
        <v>119</v>
      </c>
      <c r="F2192" s="19" t="n">
        <v>8898.68</v>
      </c>
      <c r="G2192" s="8" t="n">
        <f aca="false">IFERROR(INDEX('TRANS'!$B:$B,MATCH($B2192,'TRANS'!$A:$A,0)),IFERROR(INDEX('TRANS'!$B:$B,MATCH(TRIM(SUBSTITUTE($B2192,CHAR(160)," ")),'TRANS'!$D:$D,0)),IFERROR(INDEX('Catalog'!$A:$A,MATCH($B2192,'Catalog'!$B:$B,0)),IFERROR(INDEX('Catalog'!$A:$A,MATCH(TRIM(SUBSTITUTE($B2192,CHAR(160)," ")),'Catalog'!$C:$C,0)),""))))</f>
        <v>4421006</v>
      </c>
      <c r="H2192" s="8" t="str">
        <f aca="false">IFERROR(INDEX('TRANS'!$C:$C,MATCH($B2192,'TRANS'!$A:$A,0)),IFERROR(INDEX('Catalog'!$B:$B,MATCH($G2192,'Catalog'!$A:$A,0)),$B2192))</f>
        <v>שרוול לגבס ארוך יד</v>
      </c>
      <c r="I2192" s="8" t="str">
        <f aca="false">IF($G2192="","Unmatched","Matched")</f>
        <v>Matched</v>
      </c>
      <c r="J2192" s="8" t="n">
        <f aca="false">IF($G2192&lt;&gt;"",$G2192,$B2192)</f>
        <v>4421006</v>
      </c>
      <c r="K2192" s="8" t="str">
        <f aca="false">IF(COUNTIF($M$1:$M$10,$A2192)&gt;0,"Y","N")</f>
        <v>Y</v>
      </c>
    </row>
    <row r="2193" customFormat="false" ht="15" hidden="false" customHeight="true" outlineLevel="0" collapsed="false">
      <c r="A2193" s="8" t="s">
        <v>42</v>
      </c>
      <c r="B2193" s="8" t="s">
        <v>948</v>
      </c>
      <c r="C2193" s="19" t="n">
        <v>8</v>
      </c>
      <c r="D2193" s="19" t="n">
        <v>1373.13</v>
      </c>
      <c r="E2193" s="19" t="n">
        <v>3</v>
      </c>
      <c r="F2193" s="19" t="n">
        <v>559.07</v>
      </c>
      <c r="G2193" s="8" t="n">
        <f aca="false">IFERROR(INDEX('TRANS'!$B:$B,MATCH($B2193,'TRANS'!$A:$A,0)),IFERROR(INDEX('TRANS'!$B:$B,MATCH(TRIM(SUBSTITUTE($B2193,CHAR(160)," ")),'TRANS'!$D:$D,0)),IFERROR(INDEX('Catalog'!$A:$A,MATCH($B2193,'Catalog'!$B:$B,0)),IFERROR(INDEX('Catalog'!$A:$A,MATCH(TRIM(SUBSTITUTE($B2193,CHAR(160)," ")),'Catalog'!$C:$C,0)),""))))</f>
        <v>4415000</v>
      </c>
      <c r="H2193" s="8" t="str">
        <f aca="false">IFERROR(INDEX('TRANS'!$C:$C,MATCH($B2193,'TRANS'!$A:$A,0)),IFERROR(INDEX('Catalog'!$B:$B,MATCH($G2193,'Catalog'!$A:$A,0)),$B2193))</f>
        <v>26 L סד ליד דו צדדי לאחר שבר</v>
      </c>
      <c r="I2193" s="8" t="str">
        <f aca="false">IF($G2193="","Unmatched","Matched")</f>
        <v>Matched</v>
      </c>
      <c r="J2193" s="8" t="n">
        <f aca="false">IF($G2193&lt;&gt;"",$G2193,$B2193)</f>
        <v>4415000</v>
      </c>
      <c r="K2193" s="8" t="str">
        <f aca="false">IF(COUNTIF($M$1:$M$10,$A2193)&gt;0,"Y","N")</f>
        <v>Y</v>
      </c>
    </row>
    <row r="2194" customFormat="false" ht="15" hidden="false" customHeight="true" outlineLevel="0" collapsed="false">
      <c r="A2194" s="8" t="s">
        <v>42</v>
      </c>
      <c r="B2194" s="8" t="s">
        <v>956</v>
      </c>
      <c r="C2194" s="19" t="n">
        <v>15</v>
      </c>
      <c r="D2194" s="19" t="n">
        <v>2693.71</v>
      </c>
      <c r="E2194" s="19" t="n">
        <v>5</v>
      </c>
      <c r="F2194" s="19" t="n">
        <v>913.16</v>
      </c>
      <c r="G2194" s="8" t="n">
        <f aca="false">IFERROR(INDEX('TRANS'!$B:$B,MATCH($B2194,'TRANS'!$A:$A,0)),IFERROR(INDEX('TRANS'!$B:$B,MATCH(TRIM(SUBSTITUTE($B2194,CHAR(160)," ")),'TRANS'!$D:$D,0)),IFERROR(INDEX('Catalog'!$A:$A,MATCH($B2194,'Catalog'!$B:$B,0)),IFERROR(INDEX('Catalog'!$A:$A,MATCH(TRIM(SUBSTITUTE($B2194,CHAR(160)," ")),'Catalog'!$C:$C,0)),""))))</f>
        <v>4415001</v>
      </c>
      <c r="H2194" s="8" t="str">
        <f aca="false">IFERROR(INDEX('TRANS'!$C:$C,MATCH($B2194,'TRANS'!$A:$A,0)),IFERROR(INDEX('Catalog'!$B:$B,MATCH($G2194,'Catalog'!$A:$A,0)),$B2194))</f>
        <v>26 M סד ליד דו צדדי לאחר שבר</v>
      </c>
      <c r="I2194" s="8" t="str">
        <f aca="false">IF($G2194="","Unmatched","Matched")</f>
        <v>Matched</v>
      </c>
      <c r="J2194" s="8" t="n">
        <f aca="false">IF($G2194&lt;&gt;"",$G2194,$B2194)</f>
        <v>4415001</v>
      </c>
      <c r="K2194" s="8" t="str">
        <f aca="false">IF(COUNTIF($M$1:$M$10,$A2194)&gt;0,"Y","N")</f>
        <v>Y</v>
      </c>
    </row>
    <row r="2195" customFormat="false" ht="15" hidden="false" customHeight="true" outlineLevel="0" collapsed="false">
      <c r="A2195" s="8" t="s">
        <v>42</v>
      </c>
      <c r="B2195" s="8" t="s">
        <v>787</v>
      </c>
      <c r="C2195" s="19" t="n">
        <v>7</v>
      </c>
      <c r="D2195" s="19" t="n">
        <v>1205.4</v>
      </c>
      <c r="E2195" s="19" t="n">
        <v>3</v>
      </c>
      <c r="F2195" s="19" t="n">
        <v>559.08</v>
      </c>
      <c r="G2195" s="8" t="n">
        <f aca="false">IFERROR(INDEX('TRANS'!$B:$B,MATCH($B2195,'TRANS'!$A:$A,0)),IFERROR(INDEX('TRANS'!$B:$B,MATCH(TRIM(SUBSTITUTE($B2195,CHAR(160)," ")),'TRANS'!$D:$D,0)),IFERROR(INDEX('Catalog'!$A:$A,MATCH($B2195,'Catalog'!$B:$B,0)),IFERROR(INDEX('Catalog'!$A:$A,MATCH(TRIM(SUBSTITUTE($B2195,CHAR(160)," ")),'Catalog'!$C:$C,0)),""))))</f>
        <v>4415002</v>
      </c>
      <c r="H2195" s="8" t="str">
        <f aca="false">IFERROR(INDEX('TRANS'!$C:$C,MATCH($B2195,'TRANS'!$A:$A,0)),IFERROR(INDEX('Catalog'!$B:$B,MATCH($G2195,'Catalog'!$A:$A,0)),$B2195))</f>
        <v>26 S סד ליד דו צדדי לאחר שבר</v>
      </c>
      <c r="I2195" s="8" t="str">
        <f aca="false">IF($G2195="","Unmatched","Matched")</f>
        <v>Matched</v>
      </c>
      <c r="J2195" s="8" t="n">
        <f aca="false">IF($G2195&lt;&gt;"",$G2195,$B2195)</f>
        <v>4415002</v>
      </c>
      <c r="K2195" s="8" t="str">
        <f aca="false">IF(COUNTIF($M$1:$M$10,$A2195)&gt;0,"Y","N")</f>
        <v>Y</v>
      </c>
    </row>
    <row r="2196" customFormat="false" ht="15" hidden="false" customHeight="true" outlineLevel="0" collapsed="false">
      <c r="A2196" s="8" t="s">
        <v>42</v>
      </c>
      <c r="B2196" s="8" t="s">
        <v>949</v>
      </c>
      <c r="C2196" s="19" t="n">
        <v>2</v>
      </c>
      <c r="D2196" s="19" t="n">
        <v>344.77</v>
      </c>
      <c r="E2196" s="19" t="n">
        <v>0</v>
      </c>
      <c r="F2196" s="19" t="n">
        <v>0</v>
      </c>
      <c r="G2196" s="8" t="n">
        <f aca="false">IFERROR(INDEX('TRANS'!$B:$B,MATCH($B2196,'TRANS'!$A:$A,0)),IFERROR(INDEX('TRANS'!$B:$B,MATCH(TRIM(SUBSTITUTE($B2196,CHAR(160)," ")),'TRANS'!$D:$D,0)),IFERROR(INDEX('Catalog'!$A:$A,MATCH($B2196,'Catalog'!$B:$B,0)),IFERROR(INDEX('Catalog'!$A:$A,MATCH(TRIM(SUBSTITUTE($B2196,CHAR(160)," ")),'Catalog'!$C:$C,0)),""))))</f>
        <v>4415003</v>
      </c>
      <c r="H2196" s="8" t="str">
        <f aca="false">IFERROR(INDEX('TRANS'!$C:$C,MATCH($B2196,'TRANS'!$A:$A,0)),IFERROR(INDEX('Catalog'!$B:$B,MATCH($G2196,'Catalog'!$A:$A,0)),$B2196))</f>
        <v>26 XL סד ליד דו צדדי לאחר שבר</v>
      </c>
      <c r="I2196" s="8" t="str">
        <f aca="false">IF($G2196="","Unmatched","Matched")</f>
        <v>Matched</v>
      </c>
      <c r="J2196" s="8" t="n">
        <f aca="false">IF($G2196&lt;&gt;"",$G2196,$B2196)</f>
        <v>4415003</v>
      </c>
      <c r="K2196" s="8" t="str">
        <f aca="false">IF(COUNTIF($M$1:$M$10,$A2196)&gt;0,"Y","N")</f>
        <v>Y</v>
      </c>
    </row>
    <row r="2197" customFormat="false" ht="15" hidden="false" customHeight="true" outlineLevel="0" collapsed="false">
      <c r="A2197" s="8" t="s">
        <v>42</v>
      </c>
      <c r="B2197" s="8" t="s">
        <v>178</v>
      </c>
      <c r="C2197" s="19" t="n">
        <v>1</v>
      </c>
      <c r="D2197" s="19" t="n">
        <v>171.1</v>
      </c>
      <c r="E2197" s="19" t="n">
        <v>4</v>
      </c>
      <c r="F2197" s="19" t="n">
        <v>726.8</v>
      </c>
      <c r="G2197" s="8" t="str">
        <f aca="false">IFERROR(INDEX('TRANS'!$B:$B,MATCH($B2197,'TRANS'!$A:$A,0)),IFERROR(INDEX('TRANS'!$B:$B,MATCH(TRIM(SUBSTITUTE($B2197,CHAR(160)," ")),'TRANS'!$D:$D,0)),IFERROR(INDEX('Catalog'!$A:$A,MATCH($B2197,'Catalog'!$B:$B,0)),IFERROR(INDEX('Catalog'!$A:$A,MATCH(TRIM(SUBSTITUTE($B2197,CHAR(160)," ")),'Catalog'!$C:$C,0)),""))))</f>
        <v/>
      </c>
      <c r="H2197" s="8" t="str">
        <f aca="false">IFERROR(INDEX('TRANS'!$C:$C,MATCH($B2197,'TRANS'!$A:$A,0)),IFERROR(INDEX('Catalog'!$B:$B,MATCH($G2197,'Catalog'!$A:$A,0)),$B2197))</f>
        <v>26 XS</v>
      </c>
      <c r="I2197" s="8" t="str">
        <f aca="false">IF($G2197="","Unmatched","Matched")</f>
        <v>Unmatched</v>
      </c>
      <c r="J2197" s="8" t="str">
        <f aca="false">IF($G2197&lt;&gt;"",$G2197,$B2197)</f>
        <v>26 XS</v>
      </c>
      <c r="K2197" s="8" t="str">
        <f aca="false">IF(COUNTIF($M$1:$M$10,$A2197)&gt;0,"Y","N")</f>
        <v>Y</v>
      </c>
    </row>
    <row r="2198" customFormat="false" ht="15" hidden="false" customHeight="true" outlineLevel="0" collapsed="false">
      <c r="A2198" s="8" t="s">
        <v>42</v>
      </c>
      <c r="B2198" s="8" t="s">
        <v>591</v>
      </c>
      <c r="C2198" s="19" t="n">
        <v>1</v>
      </c>
      <c r="D2198" s="19" t="n">
        <v>158.41</v>
      </c>
      <c r="E2198" s="19" t="n">
        <v>3</v>
      </c>
      <c r="F2198" s="19" t="n">
        <v>516.08</v>
      </c>
      <c r="G2198" s="8" t="n">
        <f aca="false">IFERROR(INDEX('TRANS'!$B:$B,MATCH($B2198,'TRANS'!$A:$A,0)),IFERROR(INDEX('TRANS'!$B:$B,MATCH(TRIM(SUBSTITUTE($B2198,CHAR(160)," ")),'TRANS'!$D:$D,0)),IFERROR(INDEX('Catalog'!$A:$A,MATCH($B2198,'Catalog'!$B:$B,0)),IFERROR(INDEX('Catalog'!$A:$A,MATCH(TRIM(SUBSTITUTE($B2198,CHAR(160)," ")),'Catalog'!$C:$C,0)),""))))</f>
        <v>4415004</v>
      </c>
      <c r="H2198" s="8" t="str">
        <f aca="false">IFERROR(INDEX('TRANS'!$C:$C,MATCH($B2198,'TRANS'!$A:$A,0)),IFERROR(INDEX('Catalog'!$B:$B,MATCH($G2198,'Catalog'!$A:$A,0)),$B2198))</f>
        <v>26 XXL סד ליד דו צדדי לאחר שבר</v>
      </c>
      <c r="I2198" s="8" t="str">
        <f aca="false">IF($G2198="","Unmatched","Matched")</f>
        <v>Matched</v>
      </c>
      <c r="J2198" s="8" t="n">
        <f aca="false">IF($G2198&lt;&gt;"",$G2198,$B2198)</f>
        <v>4415004</v>
      </c>
      <c r="K2198" s="8" t="str">
        <f aca="false">IF(COUNTIF($M$1:$M$10,$A2198)&gt;0,"Y","N")</f>
        <v>Y</v>
      </c>
    </row>
    <row r="2199" customFormat="false" ht="15" hidden="false" customHeight="true" outlineLevel="0" collapsed="false">
      <c r="A2199" s="8" t="s">
        <v>42</v>
      </c>
      <c r="B2199" s="8" t="s">
        <v>592</v>
      </c>
      <c r="C2199" s="19" t="n">
        <v>111</v>
      </c>
      <c r="D2199" s="19" t="n">
        <v>15059.63</v>
      </c>
      <c r="E2199" s="19" t="n">
        <v>82</v>
      </c>
      <c r="F2199" s="19" t="n">
        <v>11331.44</v>
      </c>
      <c r="G2199" s="8" t="n">
        <f aca="false">IFERROR(INDEX('TRANS'!$B:$B,MATCH($B2199,'TRANS'!$A:$A,0)),IFERROR(INDEX('TRANS'!$B:$B,MATCH(TRIM(SUBSTITUTE($B2199,CHAR(160)," ")),'TRANS'!$D:$D,0)),IFERROR(INDEX('Catalog'!$A:$A,MATCH($B2199,'Catalog'!$B:$B,0)),IFERROR(INDEX('Catalog'!$A:$A,MATCH(TRIM(SUBSTITUTE($B2199,CHAR(160)," ")),'Catalog'!$C:$C,0)),""))))</f>
        <v>4415158</v>
      </c>
      <c r="H2199" s="8" t="str">
        <f aca="false">IFERROR(INDEX('TRANS'!$C:$C,MATCH($B2199,'TRANS'!$A:$A,0)),IFERROR(INDEX('Catalog'!$B:$B,MATCH($G2199,'Catalog'!$A:$A,0)),$B2199))</f>
        <v>266 סד ליד דו צדדי</v>
      </c>
      <c r="I2199" s="8" t="str">
        <f aca="false">IF($G2199="","Unmatched","Matched")</f>
        <v>Matched</v>
      </c>
      <c r="J2199" s="8" t="n">
        <f aca="false">IF($G2199&lt;&gt;"",$G2199,$B2199)</f>
        <v>4415158</v>
      </c>
      <c r="K2199" s="8" t="str">
        <f aca="false">IF(COUNTIF($M$1:$M$10,$A2199)&gt;0,"Y","N")</f>
        <v>Y</v>
      </c>
    </row>
    <row r="2200" customFormat="false" ht="15" hidden="false" customHeight="true" outlineLevel="0" collapsed="false">
      <c r="A2200" s="8" t="s">
        <v>42</v>
      </c>
      <c r="B2200" s="8" t="s">
        <v>231</v>
      </c>
      <c r="C2200" s="19" t="n">
        <v>1</v>
      </c>
      <c r="D2200" s="19" t="n">
        <v>196.53</v>
      </c>
      <c r="E2200" s="19" t="n">
        <v>2</v>
      </c>
      <c r="F2200" s="19" t="n">
        <v>323.56</v>
      </c>
      <c r="G2200" s="8" t="str">
        <f aca="false">IFERROR(INDEX('TRANS'!$B:$B,MATCH($B2200,'TRANS'!$A:$A,0)),IFERROR(INDEX('TRANS'!$B:$B,MATCH(TRIM(SUBSTITUTE($B2200,CHAR(160)," ")),'TRANS'!$D:$D,0)),IFERROR(INDEX('Catalog'!$A:$A,MATCH($B2200,'Catalog'!$B:$B,0)),IFERROR(INDEX('Catalog'!$A:$A,MATCH(TRIM(SUBSTITUTE($B2200,CHAR(160)," ")),'Catalog'!$C:$C,0)),""))))</f>
        <v/>
      </c>
      <c r="H2200" s="8" t="str">
        <f aca="false">IFERROR(INDEX('TRANS'!$C:$C,MATCH($B2200,'TRANS'!$A:$A,0)),IFERROR(INDEX('Catalog'!$B:$B,MATCH($G2200,'Catalog'!$A:$A,0)),$B2200))</f>
        <v>267LB-L-XL</v>
      </c>
      <c r="I2200" s="8" t="str">
        <f aca="false">IF($G2200="","Unmatched","Matched")</f>
        <v>Unmatched</v>
      </c>
      <c r="J2200" s="8" t="str">
        <f aca="false">IF($G2200&lt;&gt;"",$G2200,$B2200)</f>
        <v>267LB-L-XL</v>
      </c>
      <c r="K2200" s="8" t="str">
        <f aca="false">IF(COUNTIF($M$1:$M$10,$A2200)&gt;0,"Y","N")</f>
        <v>Y</v>
      </c>
    </row>
    <row r="2201" customFormat="false" ht="15" hidden="false" customHeight="true" outlineLevel="0" collapsed="false">
      <c r="A2201" s="8" t="s">
        <v>42</v>
      </c>
      <c r="B2201" s="8" t="s">
        <v>250</v>
      </c>
      <c r="C2201" s="19" t="n">
        <v>1</v>
      </c>
      <c r="D2201" s="19" t="n">
        <v>167.05</v>
      </c>
      <c r="E2201" s="19" t="n">
        <v>2</v>
      </c>
      <c r="F2201" s="19" t="n">
        <v>373.41</v>
      </c>
      <c r="G2201" s="8" t="str">
        <f aca="false">IFERROR(INDEX('TRANS'!$B:$B,MATCH($B2201,'TRANS'!$A:$A,0)),IFERROR(INDEX('TRANS'!$B:$B,MATCH(TRIM(SUBSTITUTE($B2201,CHAR(160)," ")),'TRANS'!$D:$D,0)),IFERROR(INDEX('Catalog'!$A:$A,MATCH($B2201,'Catalog'!$B:$B,0)),IFERROR(INDEX('Catalog'!$A:$A,MATCH(TRIM(SUBSTITUTE($B2201,CHAR(160)," ")),'Catalog'!$C:$C,0)),""))))</f>
        <v/>
      </c>
      <c r="H2201" s="8" t="str">
        <f aca="false">IFERROR(INDEX('TRANS'!$C:$C,MATCH($B2201,'TRANS'!$A:$A,0)),IFERROR(INDEX('Catalog'!$B:$B,MATCH($G2201,'Catalog'!$A:$A,0)),$B2201))</f>
        <v>267LB-S-M</v>
      </c>
      <c r="I2201" s="8" t="str">
        <f aca="false">IF($G2201="","Unmatched","Matched")</f>
        <v>Unmatched</v>
      </c>
      <c r="J2201" s="8" t="str">
        <f aca="false">IF($G2201&lt;&gt;"",$G2201,$B2201)</f>
        <v>267LB-S-M</v>
      </c>
      <c r="K2201" s="8" t="str">
        <f aca="false">IF(COUNTIF($M$1:$M$10,$A2201)&gt;0,"Y","N")</f>
        <v>Y</v>
      </c>
    </row>
    <row r="2202" customFormat="false" ht="15" hidden="false" customHeight="true" outlineLevel="0" collapsed="false">
      <c r="A2202" s="8" t="s">
        <v>42</v>
      </c>
      <c r="B2202" s="8" t="s">
        <v>290</v>
      </c>
      <c r="C2202" s="19" t="n">
        <v>0</v>
      </c>
      <c r="D2202" s="19" t="n">
        <v>0</v>
      </c>
      <c r="E2202" s="19" t="n">
        <v>1</v>
      </c>
      <c r="F2202" s="19" t="n">
        <v>127.03</v>
      </c>
      <c r="G2202" s="8" t="str">
        <f aca="false">IFERROR(INDEX('TRANS'!$B:$B,MATCH($B2202,'TRANS'!$A:$A,0)),IFERROR(INDEX('TRANS'!$B:$B,MATCH(TRIM(SUBSTITUTE($B2202,CHAR(160)," ")),'TRANS'!$D:$D,0)),IFERROR(INDEX('Catalog'!$A:$A,MATCH($B2202,'Catalog'!$B:$B,0)),IFERROR(INDEX('Catalog'!$A:$A,MATCH(TRIM(SUBSTITUTE($B2202,CHAR(160)," ")),'Catalog'!$C:$C,0)),""))))</f>
        <v/>
      </c>
      <c r="H2202" s="8" t="str">
        <f aca="false">IFERROR(INDEX('TRANS'!$C:$C,MATCH($B2202,'TRANS'!$A:$A,0)),IFERROR(INDEX('Catalog'!$B:$B,MATCH($G2202,'Catalog'!$A:$A,0)),$B2202))</f>
        <v>267RB XXL</v>
      </c>
      <c r="I2202" s="8" t="str">
        <f aca="false">IF($G2202="","Unmatched","Matched")</f>
        <v>Unmatched</v>
      </c>
      <c r="J2202" s="8" t="str">
        <f aca="false">IF($G2202&lt;&gt;"",$G2202,$B2202)</f>
        <v>267RB XXL</v>
      </c>
      <c r="K2202" s="8" t="str">
        <f aca="false">IF(COUNTIF($M$1:$M$10,$A2202)&gt;0,"Y","N")</f>
        <v>Y</v>
      </c>
    </row>
    <row r="2203" customFormat="false" ht="15" hidden="false" customHeight="true" outlineLevel="0" collapsed="false">
      <c r="A2203" s="8" t="s">
        <v>42</v>
      </c>
      <c r="B2203" s="8" t="s">
        <v>357</v>
      </c>
      <c r="C2203" s="19" t="n">
        <v>3</v>
      </c>
      <c r="D2203" s="19" t="n">
        <v>501.15</v>
      </c>
      <c r="E2203" s="19" t="n">
        <v>0</v>
      </c>
      <c r="F2203" s="19" t="n">
        <v>0</v>
      </c>
      <c r="G2203" s="8" t="str">
        <f aca="false">IFERROR(INDEX('TRANS'!$B:$B,MATCH($B2203,'TRANS'!$A:$A,0)),IFERROR(INDEX('TRANS'!$B:$B,MATCH(TRIM(SUBSTITUTE($B2203,CHAR(160)," ")),'TRANS'!$D:$D,0)),IFERROR(INDEX('Catalog'!$A:$A,MATCH($B2203,'Catalog'!$B:$B,0)),IFERROR(INDEX('Catalog'!$A:$A,MATCH(TRIM(SUBSTITUTE($B2203,CHAR(160)," ")),'Catalog'!$C:$C,0)),""))))</f>
        <v/>
      </c>
      <c r="H2203" s="8" t="str">
        <f aca="false">IFERROR(INDEX('TRANS'!$C:$C,MATCH($B2203,'TRANS'!$A:$A,0)),IFERROR(INDEX('Catalog'!$B:$B,MATCH($G2203,'Catalog'!$A:$A,0)),$B2203))</f>
        <v>267RB-L-XL</v>
      </c>
      <c r="I2203" s="8" t="str">
        <f aca="false">IF($G2203="","Unmatched","Matched")</f>
        <v>Unmatched</v>
      </c>
      <c r="J2203" s="8" t="str">
        <f aca="false">IF($G2203&lt;&gt;"",$G2203,$B2203)</f>
        <v>267RB-L-XL</v>
      </c>
      <c r="K2203" s="8" t="str">
        <f aca="false">IF(COUNTIF($M$1:$M$10,$A2203)&gt;0,"Y","N")</f>
        <v>Y</v>
      </c>
    </row>
    <row r="2204" customFormat="false" ht="15" hidden="false" customHeight="true" outlineLevel="0" collapsed="false">
      <c r="A2204" s="8" t="s">
        <v>42</v>
      </c>
      <c r="B2204" s="8" t="s">
        <v>291</v>
      </c>
      <c r="C2204" s="19" t="n">
        <v>1</v>
      </c>
      <c r="D2204" s="19" t="n">
        <v>167.05</v>
      </c>
      <c r="E2204" s="19" t="n">
        <v>1</v>
      </c>
      <c r="F2204" s="19" t="n">
        <v>196.53</v>
      </c>
      <c r="G2204" s="8" t="str">
        <f aca="false">IFERROR(INDEX('TRANS'!$B:$B,MATCH($B2204,'TRANS'!$A:$A,0)),IFERROR(INDEX('TRANS'!$B:$B,MATCH(TRIM(SUBSTITUTE($B2204,CHAR(160)," ")),'TRANS'!$D:$D,0)),IFERROR(INDEX('Catalog'!$A:$A,MATCH($B2204,'Catalog'!$B:$B,0)),IFERROR(INDEX('Catalog'!$A:$A,MATCH(TRIM(SUBSTITUTE($B2204,CHAR(160)," ")),'Catalog'!$C:$C,0)),""))))</f>
        <v/>
      </c>
      <c r="H2204" s="8" t="str">
        <f aca="false">IFERROR(INDEX('TRANS'!$C:$C,MATCH($B2204,'TRANS'!$A:$A,0)),IFERROR(INDEX('Catalog'!$B:$B,MATCH($G2204,'Catalog'!$A:$A,0)),$B2204))</f>
        <v>267RB-S-M</v>
      </c>
      <c r="I2204" s="8" t="str">
        <f aca="false">IF($G2204="","Unmatched","Matched")</f>
        <v>Unmatched</v>
      </c>
      <c r="J2204" s="8" t="str">
        <f aca="false">IF($G2204&lt;&gt;"",$G2204,$B2204)</f>
        <v>267RB-S-M</v>
      </c>
      <c r="K2204" s="8" t="str">
        <f aca="false">IF(COUNTIF($M$1:$M$10,$A2204)&gt;0,"Y","N")</f>
        <v>Y</v>
      </c>
    </row>
    <row r="2205" customFormat="false" ht="15" hidden="false" customHeight="true" outlineLevel="0" collapsed="false">
      <c r="A2205" s="8" t="s">
        <v>42</v>
      </c>
      <c r="B2205" s="8" t="s">
        <v>371</v>
      </c>
      <c r="C2205" s="19" t="n">
        <v>0</v>
      </c>
      <c r="D2205" s="19" t="n">
        <v>0</v>
      </c>
      <c r="E2205" s="19" t="n">
        <v>1</v>
      </c>
      <c r="F2205" s="19" t="n">
        <v>196.52</v>
      </c>
      <c r="G2205" s="8" t="str">
        <f aca="false">IFERROR(INDEX('TRANS'!$B:$B,MATCH($B2205,'TRANS'!$A:$A,0)),IFERROR(INDEX('TRANS'!$B:$B,MATCH(TRIM(SUBSTITUTE($B2205,CHAR(160)," ")),'TRANS'!$D:$D,0)),IFERROR(INDEX('Catalog'!$A:$A,MATCH($B2205,'Catalog'!$B:$B,0)),IFERROR(INDEX('Catalog'!$A:$A,MATCH(TRIM(SUBSTITUTE($B2205,CHAR(160)," ")),'Catalog'!$C:$C,0)),""))))</f>
        <v/>
      </c>
      <c r="H2205" s="8" t="str">
        <f aca="false">IFERROR(INDEX('TRANS'!$C:$C,MATCH($B2205,'TRANS'!$A:$A,0)),IFERROR(INDEX('Catalog'!$B:$B,MATCH($G2205,'Catalog'!$A:$A,0)),$B2205))</f>
        <v>267LC XXL</v>
      </c>
      <c r="I2205" s="8" t="str">
        <f aca="false">IF($G2205="","Unmatched","Matched")</f>
        <v>Unmatched</v>
      </c>
      <c r="J2205" s="8" t="str">
        <f aca="false">IF($G2205&lt;&gt;"",$G2205,$B2205)</f>
        <v>267LC XXL</v>
      </c>
      <c r="K2205" s="8" t="str">
        <f aca="false">IF(COUNTIF($M$1:$M$10,$A2205)&gt;0,"Y","N")</f>
        <v>Y</v>
      </c>
    </row>
    <row r="2206" customFormat="false" ht="15" hidden="false" customHeight="true" outlineLevel="0" collapsed="false">
      <c r="A2206" s="8" t="s">
        <v>42</v>
      </c>
      <c r="B2206" s="8" t="s">
        <v>303</v>
      </c>
      <c r="C2206" s="19" t="n">
        <v>0</v>
      </c>
      <c r="D2206" s="19" t="n">
        <v>0</v>
      </c>
      <c r="E2206" s="19" t="n">
        <v>2</v>
      </c>
      <c r="F2206" s="19" t="n">
        <v>303.9</v>
      </c>
      <c r="G2206" s="8" t="str">
        <f aca="false">IFERROR(INDEX('TRANS'!$B:$B,MATCH($B2206,'TRANS'!$A:$A,0)),IFERROR(INDEX('TRANS'!$B:$B,MATCH(TRIM(SUBSTITUTE($B2206,CHAR(160)," ")),'TRANS'!$D:$D,0)),IFERROR(INDEX('Catalog'!$A:$A,MATCH($B2206,'Catalog'!$B:$B,0)),IFERROR(INDEX('Catalog'!$A:$A,MATCH(TRIM(SUBSTITUTE($B2206,CHAR(160)," ")),'Catalog'!$C:$C,0)),""))))</f>
        <v/>
      </c>
      <c r="H2206" s="8" t="str">
        <f aca="false">IFERROR(INDEX('TRANS'!$C:$C,MATCH($B2206,'TRANS'!$A:$A,0)),IFERROR(INDEX('Catalog'!$B:$B,MATCH($G2206,'Catalog'!$A:$A,0)),$B2206))</f>
        <v>267LC-L-XL</v>
      </c>
      <c r="I2206" s="8" t="str">
        <f aca="false">IF($G2206="","Unmatched","Matched")</f>
        <v>Unmatched</v>
      </c>
      <c r="J2206" s="8" t="str">
        <f aca="false">IF($G2206&lt;&gt;"",$G2206,$B2206)</f>
        <v>267LC-L-XL</v>
      </c>
      <c r="K2206" s="8" t="str">
        <f aca="false">IF(COUNTIF($M$1:$M$10,$A2206)&gt;0,"Y","N")</f>
        <v>Y</v>
      </c>
    </row>
    <row r="2207" customFormat="false" ht="15" hidden="false" customHeight="true" outlineLevel="0" collapsed="false">
      <c r="A2207" s="8" t="s">
        <v>42</v>
      </c>
      <c r="B2207" s="8" t="s">
        <v>256</v>
      </c>
      <c r="C2207" s="19" t="n">
        <v>0</v>
      </c>
      <c r="D2207" s="19" t="n">
        <v>0</v>
      </c>
      <c r="E2207" s="19" t="n">
        <v>3</v>
      </c>
      <c r="F2207" s="19" t="n">
        <v>589.58</v>
      </c>
      <c r="G2207" s="8" t="str">
        <f aca="false">IFERROR(INDEX('TRANS'!$B:$B,MATCH($B2207,'TRANS'!$A:$A,0)),IFERROR(INDEX('TRANS'!$B:$B,MATCH(TRIM(SUBSTITUTE($B2207,CHAR(160)," ")),'TRANS'!$D:$D,0)),IFERROR(INDEX('Catalog'!$A:$A,MATCH($B2207,'Catalog'!$B:$B,0)),IFERROR(INDEX('Catalog'!$A:$A,MATCH(TRIM(SUBSTITUTE($B2207,CHAR(160)," ")),'Catalog'!$C:$C,0)),""))))</f>
        <v/>
      </c>
      <c r="H2207" s="8" t="str">
        <f aca="false">IFERROR(INDEX('TRANS'!$C:$C,MATCH($B2207,'TRANS'!$A:$A,0)),IFERROR(INDEX('Catalog'!$B:$B,MATCH($G2207,'Catalog'!$A:$A,0)),$B2207))</f>
        <v>267LC-S-M</v>
      </c>
      <c r="I2207" s="8" t="str">
        <f aca="false">IF($G2207="","Unmatched","Matched")</f>
        <v>Unmatched</v>
      </c>
      <c r="J2207" s="8" t="str">
        <f aca="false">IF($G2207&lt;&gt;"",$G2207,$B2207)</f>
        <v>267LC-S-M</v>
      </c>
      <c r="K2207" s="8" t="str">
        <f aca="false">IF(COUNTIF($M$1:$M$10,$A2207)&gt;0,"Y","N")</f>
        <v>Y</v>
      </c>
    </row>
    <row r="2208" customFormat="false" ht="15" hidden="false" customHeight="true" outlineLevel="0" collapsed="false">
      <c r="A2208" s="8" t="s">
        <v>42</v>
      </c>
      <c r="B2208" s="8" t="s">
        <v>501</v>
      </c>
      <c r="C2208" s="19" t="n">
        <v>1</v>
      </c>
      <c r="D2208" s="19" t="n">
        <v>167.05</v>
      </c>
      <c r="E2208" s="19" t="n">
        <v>0</v>
      </c>
      <c r="F2208" s="19" t="n">
        <v>0</v>
      </c>
      <c r="G2208" s="8" t="str">
        <f aca="false">IFERROR(INDEX('TRANS'!$B:$B,MATCH($B2208,'TRANS'!$A:$A,0)),IFERROR(INDEX('TRANS'!$B:$B,MATCH(TRIM(SUBSTITUTE($B2208,CHAR(160)," ")),'TRANS'!$D:$D,0)),IFERROR(INDEX('Catalog'!$A:$A,MATCH($B2208,'Catalog'!$B:$B,0)),IFERROR(INDEX('Catalog'!$A:$A,MATCH(TRIM(SUBSTITUTE($B2208,CHAR(160)," ")),'Catalog'!$C:$C,0)),""))))</f>
        <v/>
      </c>
      <c r="H2208" s="8" t="str">
        <f aca="false">IFERROR(INDEX('TRANS'!$C:$C,MATCH($B2208,'TRANS'!$A:$A,0)),IFERROR(INDEX('Catalog'!$B:$B,MATCH($G2208,'Catalog'!$A:$A,0)),$B2208))</f>
        <v>267RC-L-XL</v>
      </c>
      <c r="I2208" s="8" t="str">
        <f aca="false">IF($G2208="","Unmatched","Matched")</f>
        <v>Unmatched</v>
      </c>
      <c r="J2208" s="8" t="str">
        <f aca="false">IF($G2208&lt;&gt;"",$G2208,$B2208)</f>
        <v>267RC-L-XL</v>
      </c>
      <c r="K2208" s="8" t="str">
        <f aca="false">IF(COUNTIF($M$1:$M$10,$A2208)&gt;0,"Y","N")</f>
        <v>Y</v>
      </c>
    </row>
    <row r="2209" customFormat="false" ht="15" hidden="false" customHeight="true" outlineLevel="0" collapsed="false">
      <c r="A2209" s="8" t="s">
        <v>42</v>
      </c>
      <c r="B2209" s="8" t="s">
        <v>304</v>
      </c>
      <c r="C2209" s="19" t="n">
        <v>1</v>
      </c>
      <c r="D2209" s="19" t="n">
        <v>167.05</v>
      </c>
      <c r="E2209" s="19" t="n">
        <v>2</v>
      </c>
      <c r="F2209" s="19" t="n">
        <v>303.91</v>
      </c>
      <c r="G2209" s="8" t="str">
        <f aca="false">IFERROR(INDEX('TRANS'!$B:$B,MATCH($B2209,'TRANS'!$A:$A,0)),IFERROR(INDEX('TRANS'!$B:$B,MATCH(TRIM(SUBSTITUTE($B2209,CHAR(160)," ")),'TRANS'!$D:$D,0)),IFERROR(INDEX('Catalog'!$A:$A,MATCH($B2209,'Catalog'!$B:$B,0)),IFERROR(INDEX('Catalog'!$A:$A,MATCH(TRIM(SUBSTITUTE($B2209,CHAR(160)," ")),'Catalog'!$C:$C,0)),""))))</f>
        <v/>
      </c>
      <c r="H2209" s="8" t="str">
        <f aca="false">IFERROR(INDEX('TRANS'!$C:$C,MATCH($B2209,'TRANS'!$A:$A,0)),IFERROR(INDEX('Catalog'!$B:$B,MATCH($G2209,'Catalog'!$A:$A,0)),$B2209))</f>
        <v>267RC-S-M</v>
      </c>
      <c r="I2209" s="8" t="str">
        <f aca="false">IF($G2209="","Unmatched","Matched")</f>
        <v>Unmatched</v>
      </c>
      <c r="J2209" s="8" t="str">
        <f aca="false">IF($G2209&lt;&gt;"",$G2209,$B2209)</f>
        <v>267RC-S-M</v>
      </c>
      <c r="K2209" s="8" t="str">
        <f aca="false">IF(COUNTIF($M$1:$M$10,$A2209)&gt;0,"Y","N")</f>
        <v>Y</v>
      </c>
    </row>
    <row r="2210" customFormat="false" ht="15" hidden="false" customHeight="true" outlineLevel="0" collapsed="false">
      <c r="A2210" s="8" t="s">
        <v>42</v>
      </c>
      <c r="B2210" s="8" t="s">
        <v>593</v>
      </c>
      <c r="C2210" s="19" t="n">
        <v>37</v>
      </c>
      <c r="D2210" s="19" t="n">
        <v>7197.31</v>
      </c>
      <c r="E2210" s="19" t="n">
        <v>48</v>
      </c>
      <c r="F2210" s="19" t="n">
        <v>9990.82</v>
      </c>
      <c r="G2210" s="8" t="n">
        <f aca="false">IFERROR(INDEX('TRANS'!$B:$B,MATCH($B2210,'TRANS'!$A:$A,0)),IFERROR(INDEX('TRANS'!$B:$B,MATCH(TRIM(SUBSTITUTE($B2210,CHAR(160)," ")),'TRANS'!$D:$D,0)),IFERROR(INDEX('Catalog'!$A:$A,MATCH($B2210,'Catalog'!$B:$B,0)),IFERROR(INDEX('Catalog'!$A:$A,MATCH(TRIM(SUBSTITUTE($B2210,CHAR(160)," ")),'Catalog'!$C:$C,0)),""))))</f>
        <v>4415159</v>
      </c>
      <c r="H2210" s="8" t="str">
        <f aca="false">IFERROR(INDEX('TRANS'!$C:$C,MATCH($B2210,'TRANS'!$A:$A,0)),IFERROR(INDEX('Catalog'!$B:$B,MATCH($G2210,'Catalog'!$A:$A,0)),$B2210))</f>
        <v>268 סד לאגודל</v>
      </c>
      <c r="I2210" s="8" t="str">
        <f aca="false">IF($G2210="","Unmatched","Matched")</f>
        <v>Matched</v>
      </c>
      <c r="J2210" s="8" t="n">
        <f aca="false">IF($G2210&lt;&gt;"",$G2210,$B2210)</f>
        <v>4415159</v>
      </c>
      <c r="K2210" s="8" t="str">
        <f aca="false">IF(COUNTIF($M$1:$M$10,$A2210)&gt;0,"Y","N")</f>
        <v>Y</v>
      </c>
    </row>
    <row r="2211" customFormat="false" ht="15" hidden="false" customHeight="true" outlineLevel="0" collapsed="false">
      <c r="A2211" s="8" t="s">
        <v>42</v>
      </c>
      <c r="B2211" s="8" t="s">
        <v>957</v>
      </c>
      <c r="C2211" s="19" t="n">
        <v>1</v>
      </c>
      <c r="D2211" s="19" t="n">
        <v>171.1</v>
      </c>
      <c r="E2211" s="19" t="n">
        <v>1</v>
      </c>
      <c r="F2211" s="19" t="n">
        <v>186.36</v>
      </c>
      <c r="G2211" s="8" t="n">
        <f aca="false">IFERROR(INDEX('TRANS'!$B:$B,MATCH($B2211,'TRANS'!$A:$A,0)),IFERROR(INDEX('TRANS'!$B:$B,MATCH(TRIM(SUBSTITUTE($B2211,CHAR(160)," ")),'TRANS'!$D:$D,0)),IFERROR(INDEX('Catalog'!$A:$A,MATCH($B2211,'Catalog'!$B:$B,0)),IFERROR(INDEX('Catalog'!$A:$A,MATCH(TRIM(SUBSTITUTE($B2211,CHAR(160)," ")),'Catalog'!$C:$C,0)),""))))</f>
        <v>4415005</v>
      </c>
      <c r="H2211" s="8" t="str">
        <f aca="false">IFERROR(INDEX('TRANS'!$C:$C,MATCH($B2211,'TRANS'!$A:$A,0)),IFERROR(INDEX('Catalog'!$B:$B,MATCH($G2211,'Catalog'!$A:$A,0)),$B2211))</f>
        <v>28 L סד לאגודל לאחר שבר</v>
      </c>
      <c r="I2211" s="8" t="str">
        <f aca="false">IF($G2211="","Unmatched","Matched")</f>
        <v>Matched</v>
      </c>
      <c r="J2211" s="8" t="n">
        <f aca="false">IF($G2211&lt;&gt;"",$G2211,$B2211)</f>
        <v>4415005</v>
      </c>
      <c r="K2211" s="8" t="str">
        <f aca="false">IF(COUNTIF($M$1:$M$10,$A2211)&gt;0,"Y","N")</f>
        <v>Y</v>
      </c>
    </row>
    <row r="2212" customFormat="false" ht="15" hidden="false" customHeight="true" outlineLevel="0" collapsed="false">
      <c r="A2212" s="8" t="s">
        <v>42</v>
      </c>
      <c r="B2212" s="8" t="s">
        <v>594</v>
      </c>
      <c r="C2212" s="19" t="n">
        <v>7</v>
      </c>
      <c r="D2212" s="19" t="n">
        <v>1289.26</v>
      </c>
      <c r="E2212" s="19" t="n">
        <v>6</v>
      </c>
      <c r="F2212" s="19" t="n">
        <v>1099.51</v>
      </c>
      <c r="G2212" s="8" t="n">
        <f aca="false">IFERROR(INDEX('TRANS'!$B:$B,MATCH($B2212,'TRANS'!$A:$A,0)),IFERROR(INDEX('TRANS'!$B:$B,MATCH(TRIM(SUBSTITUTE($B2212,CHAR(160)," ")),'TRANS'!$D:$D,0)),IFERROR(INDEX('Catalog'!$A:$A,MATCH($B2212,'Catalog'!$B:$B,0)),IFERROR(INDEX('Catalog'!$A:$A,MATCH(TRIM(SUBSTITUTE($B2212,CHAR(160)," ")),'Catalog'!$C:$C,0)),""))))</f>
        <v>4415006</v>
      </c>
      <c r="H2212" s="8" t="str">
        <f aca="false">IFERROR(INDEX('TRANS'!$C:$C,MATCH($B2212,'TRANS'!$A:$A,0)),IFERROR(INDEX('Catalog'!$B:$B,MATCH($G2212,'Catalog'!$A:$A,0)),$B2212))</f>
        <v>28 M סד לאגודל לאחר שבר</v>
      </c>
      <c r="I2212" s="8" t="str">
        <f aca="false">IF($G2212="","Unmatched","Matched")</f>
        <v>Matched</v>
      </c>
      <c r="J2212" s="8" t="n">
        <f aca="false">IF($G2212&lt;&gt;"",$G2212,$B2212)</f>
        <v>4415006</v>
      </c>
      <c r="K2212" s="8" t="str">
        <f aca="false">IF(COUNTIF($M$1:$M$10,$A2212)&gt;0,"Y","N")</f>
        <v>Y</v>
      </c>
    </row>
    <row r="2213" customFormat="false" ht="15" hidden="false" customHeight="true" outlineLevel="0" collapsed="false">
      <c r="A2213" s="8" t="s">
        <v>42</v>
      </c>
      <c r="B2213" s="8" t="s">
        <v>958</v>
      </c>
      <c r="C2213" s="19" t="n">
        <v>8</v>
      </c>
      <c r="D2213" s="19" t="n">
        <v>1404.45</v>
      </c>
      <c r="E2213" s="19" t="n">
        <v>5</v>
      </c>
      <c r="F2213" s="19" t="n">
        <v>931.78</v>
      </c>
      <c r="G2213" s="8" t="n">
        <f aca="false">IFERROR(INDEX('TRANS'!$B:$B,MATCH($B2213,'TRANS'!$A:$A,0)),IFERROR(INDEX('TRANS'!$B:$B,MATCH(TRIM(SUBSTITUTE($B2213,CHAR(160)," ")),'TRANS'!$D:$D,0)),IFERROR(INDEX('Catalog'!$A:$A,MATCH($B2213,'Catalog'!$B:$B,0)),IFERROR(INDEX('Catalog'!$A:$A,MATCH(TRIM(SUBSTITUTE($B2213,CHAR(160)," ")),'Catalog'!$C:$C,0)),""))))</f>
        <v>4415007</v>
      </c>
      <c r="H2213" s="8" t="str">
        <f aca="false">IFERROR(INDEX('TRANS'!$C:$C,MATCH($B2213,'TRANS'!$A:$A,0)),IFERROR(INDEX('Catalog'!$B:$B,MATCH($G2213,'Catalog'!$A:$A,0)),$B2213))</f>
        <v>28 S סד לאגודל לאחר שבר</v>
      </c>
      <c r="I2213" s="8" t="str">
        <f aca="false">IF($G2213="","Unmatched","Matched")</f>
        <v>Matched</v>
      </c>
      <c r="J2213" s="8" t="n">
        <f aca="false">IF($G2213&lt;&gt;"",$G2213,$B2213)</f>
        <v>4415007</v>
      </c>
      <c r="K2213" s="8" t="str">
        <f aca="false">IF(COUNTIF($M$1:$M$10,$A2213)&gt;0,"Y","N")</f>
        <v>Y</v>
      </c>
    </row>
    <row r="2214" customFormat="false" ht="15" hidden="false" customHeight="true" outlineLevel="0" collapsed="false">
      <c r="A2214" s="8" t="s">
        <v>42</v>
      </c>
      <c r="B2214" s="8" t="s">
        <v>959</v>
      </c>
      <c r="C2214" s="19" t="n">
        <v>3</v>
      </c>
      <c r="D2214" s="19" t="n">
        <v>543.82</v>
      </c>
      <c r="E2214" s="19" t="n">
        <v>1</v>
      </c>
      <c r="F2214" s="19" t="n">
        <v>186.35</v>
      </c>
      <c r="G2214" s="8" t="n">
        <f aca="false">IFERROR(INDEX('TRANS'!$B:$B,MATCH($B2214,'TRANS'!$A:$A,0)),IFERROR(INDEX('TRANS'!$B:$B,MATCH(TRIM(SUBSTITUTE($B2214,CHAR(160)," ")),'TRANS'!$D:$D,0)),IFERROR(INDEX('Catalog'!$A:$A,MATCH($B2214,'Catalog'!$B:$B,0)),IFERROR(INDEX('Catalog'!$A:$A,MATCH(TRIM(SUBSTITUTE($B2214,CHAR(160)," ")),'Catalog'!$C:$C,0)),""))))</f>
        <v>4415008</v>
      </c>
      <c r="H2214" s="8" t="str">
        <f aca="false">IFERROR(INDEX('TRANS'!$C:$C,MATCH($B2214,'TRANS'!$A:$A,0)),IFERROR(INDEX('Catalog'!$B:$B,MATCH($G2214,'Catalog'!$A:$A,0)),$B2214))</f>
        <v>28 XL סד לאגודל לאחר שבר</v>
      </c>
      <c r="I2214" s="8" t="str">
        <f aca="false">IF($G2214="","Unmatched","Matched")</f>
        <v>Matched</v>
      </c>
      <c r="J2214" s="8" t="n">
        <f aca="false">IF($G2214&lt;&gt;"",$G2214,$B2214)</f>
        <v>4415008</v>
      </c>
      <c r="K2214" s="8" t="str">
        <f aca="false">IF(COUNTIF($M$1:$M$10,$A2214)&gt;0,"Y","N")</f>
        <v>Y</v>
      </c>
    </row>
    <row r="2215" customFormat="false" ht="15" hidden="false" customHeight="true" outlineLevel="0" collapsed="false">
      <c r="A2215" s="8" t="s">
        <v>42</v>
      </c>
      <c r="B2215" s="8" t="s">
        <v>1053</v>
      </c>
      <c r="C2215" s="19" t="n">
        <v>1</v>
      </c>
      <c r="D2215" s="19" t="n">
        <v>158.41</v>
      </c>
      <c r="E2215" s="19" t="n">
        <v>0</v>
      </c>
      <c r="F2215" s="19" t="n">
        <v>0</v>
      </c>
      <c r="G2215" s="8" t="n">
        <f aca="false">IFERROR(INDEX('TRANS'!$B:$B,MATCH($B2215,'TRANS'!$A:$A,0)),IFERROR(INDEX('TRANS'!$B:$B,MATCH(TRIM(SUBSTITUTE($B2215,CHAR(160)," ")),'TRANS'!$D:$D,0)),IFERROR(INDEX('Catalog'!$A:$A,MATCH($B2215,'Catalog'!$B:$B,0)),IFERROR(INDEX('Catalog'!$A:$A,MATCH(TRIM(SUBSTITUTE($B2215,CHAR(160)," ")),'Catalog'!$C:$C,0)),""))))</f>
        <v>4415025</v>
      </c>
      <c r="H2215" s="8" t="str">
        <f aca="false">IFERROR(INDEX('TRANS'!$C:$C,MATCH($B2215,'TRANS'!$A:$A,0)),IFERROR(INDEX('Catalog'!$B:$B,MATCH($G2215,'Catalog'!$A:$A,0)),$B2215))</f>
        <v>28-XS סד לאגודל לאחר שבר</v>
      </c>
      <c r="I2215" s="8" t="str">
        <f aca="false">IF($G2215="","Unmatched","Matched")</f>
        <v>Matched</v>
      </c>
      <c r="J2215" s="8" t="n">
        <f aca="false">IF($G2215&lt;&gt;"",$G2215,$B2215)</f>
        <v>4415025</v>
      </c>
      <c r="K2215" s="8" t="str">
        <f aca="false">IF(COUNTIF($M$1:$M$10,$A2215)&gt;0,"Y","N")</f>
        <v>Y</v>
      </c>
    </row>
    <row r="2216" customFormat="false" ht="15" hidden="false" customHeight="true" outlineLevel="0" collapsed="false">
      <c r="A2216" s="8" t="s">
        <v>42</v>
      </c>
      <c r="B2216" s="8" t="s">
        <v>283</v>
      </c>
      <c r="C2216" s="19" t="n">
        <v>4</v>
      </c>
      <c r="D2216" s="19" t="n">
        <v>426.88</v>
      </c>
      <c r="E2216" s="19" t="n">
        <v>2</v>
      </c>
      <c r="F2216" s="19" t="n">
        <v>240.52</v>
      </c>
      <c r="G2216" s="8" t="str">
        <f aca="false">IFERROR(INDEX('TRANS'!$B:$B,MATCH($B2216,'TRANS'!$A:$A,0)),IFERROR(INDEX('TRANS'!$B:$B,MATCH(TRIM(SUBSTITUTE($B2216,CHAR(160)," ")),'TRANS'!$D:$D,0)),IFERROR(INDEX('Catalog'!$A:$A,MATCH($B2216,'Catalog'!$B:$B,0)),IFERROR(INDEX('Catalog'!$A:$A,MATCH(TRIM(SUBSTITUTE($B2216,CHAR(160)," ")),'Catalog'!$C:$C,0)),""))))</f>
        <v/>
      </c>
      <c r="H2216" s="8" t="str">
        <f aca="false">IFERROR(INDEX('TRANS'!$C:$C,MATCH($B2216,'TRANS'!$A:$A,0)),IFERROR(INDEX('Catalog'!$B:$B,MATCH($G2216,'Catalog'!$A:$A,0)),$B2216))</f>
        <v>30 L</v>
      </c>
      <c r="I2216" s="8" t="str">
        <f aca="false">IF($G2216="","Unmatched","Matched")</f>
        <v>Unmatched</v>
      </c>
      <c r="J2216" s="8" t="str">
        <f aca="false">IF($G2216&lt;&gt;"",$G2216,$B2216)</f>
        <v>30 L</v>
      </c>
      <c r="K2216" s="8" t="str">
        <f aca="false">IF(COUNTIF($M$1:$M$10,$A2216)&gt;0,"Y","N")</f>
        <v>Y</v>
      </c>
    </row>
    <row r="2217" customFormat="false" ht="15" hidden="false" customHeight="true" outlineLevel="0" collapsed="false">
      <c r="A2217" s="8" t="s">
        <v>42</v>
      </c>
      <c r="B2217" s="8" t="s">
        <v>173</v>
      </c>
      <c r="C2217" s="19" t="n">
        <v>1</v>
      </c>
      <c r="D2217" s="19" t="n">
        <v>120.25</v>
      </c>
      <c r="E2217" s="19" t="n">
        <v>5</v>
      </c>
      <c r="F2217" s="19" t="n">
        <v>553.16</v>
      </c>
      <c r="G2217" s="8" t="str">
        <f aca="false">IFERROR(INDEX('TRANS'!$B:$B,MATCH($B2217,'TRANS'!$A:$A,0)),IFERROR(INDEX('TRANS'!$B:$B,MATCH(TRIM(SUBSTITUTE($B2217,CHAR(160)," ")),'TRANS'!$D:$D,0)),IFERROR(INDEX('Catalog'!$A:$A,MATCH($B2217,'Catalog'!$B:$B,0)),IFERROR(INDEX('Catalog'!$A:$A,MATCH(TRIM(SUBSTITUTE($B2217,CHAR(160)," ")),'Catalog'!$C:$C,0)),""))))</f>
        <v/>
      </c>
      <c r="H2217" s="8" t="str">
        <f aca="false">IFERROR(INDEX('TRANS'!$C:$C,MATCH($B2217,'TRANS'!$A:$A,0)),IFERROR(INDEX('Catalog'!$B:$B,MATCH($G2217,'Catalog'!$A:$A,0)),$B2217))</f>
        <v>30 M</v>
      </c>
      <c r="I2217" s="8" t="str">
        <f aca="false">IF($G2217="","Unmatched","Matched")</f>
        <v>Unmatched</v>
      </c>
      <c r="J2217" s="8" t="str">
        <f aca="false">IF($G2217&lt;&gt;"",$G2217,$B2217)</f>
        <v>30 M</v>
      </c>
      <c r="K2217" s="8" t="str">
        <f aca="false">IF(COUNTIF($M$1:$M$10,$A2217)&gt;0,"Y","N")</f>
        <v>Y</v>
      </c>
    </row>
    <row r="2218" customFormat="false" ht="15" hidden="false" customHeight="true" outlineLevel="0" collapsed="false">
      <c r="A2218" s="8" t="s">
        <v>42</v>
      </c>
      <c r="B2218" s="8" t="s">
        <v>319</v>
      </c>
      <c r="C2218" s="19" t="n">
        <v>4</v>
      </c>
      <c r="D2218" s="19" t="n">
        <v>462.96</v>
      </c>
      <c r="E2218" s="19" t="n">
        <v>0</v>
      </c>
      <c r="F2218" s="19" t="n">
        <v>0</v>
      </c>
      <c r="G2218" s="8" t="str">
        <f aca="false">IFERROR(INDEX('TRANS'!$B:$B,MATCH($B2218,'TRANS'!$A:$A,0)),IFERROR(INDEX('TRANS'!$B:$B,MATCH(TRIM(SUBSTITUTE($B2218,CHAR(160)," ")),'TRANS'!$D:$D,0)),IFERROR(INDEX('Catalog'!$A:$A,MATCH($B2218,'Catalog'!$B:$B,0)),IFERROR(INDEX('Catalog'!$A:$A,MATCH(TRIM(SUBSTITUTE($B2218,CHAR(160)," ")),'Catalog'!$C:$C,0)),""))))</f>
        <v/>
      </c>
      <c r="H2218" s="8" t="str">
        <f aca="false">IFERROR(INDEX('TRANS'!$C:$C,MATCH($B2218,'TRANS'!$A:$A,0)),IFERROR(INDEX('Catalog'!$B:$B,MATCH($G2218,'Catalog'!$A:$A,0)),$B2218))</f>
        <v>30 XL</v>
      </c>
      <c r="I2218" s="8" t="str">
        <f aca="false">IF($G2218="","Unmatched","Matched")</f>
        <v>Unmatched</v>
      </c>
      <c r="J2218" s="8" t="str">
        <f aca="false">IF($G2218&lt;&gt;"",$G2218,$B2218)</f>
        <v>30 XL</v>
      </c>
      <c r="K2218" s="8" t="str">
        <f aca="false">IF(COUNTIF($M$1:$M$10,$A2218)&gt;0,"Y","N")</f>
        <v>Y</v>
      </c>
    </row>
    <row r="2219" customFormat="false" ht="15" hidden="false" customHeight="true" outlineLevel="0" collapsed="false">
      <c r="A2219" s="8" t="s">
        <v>42</v>
      </c>
      <c r="B2219" s="8" t="s">
        <v>248</v>
      </c>
      <c r="C2219" s="19" t="n">
        <v>0</v>
      </c>
      <c r="D2219" s="19" t="n">
        <v>0</v>
      </c>
      <c r="E2219" s="19" t="n">
        <v>3</v>
      </c>
      <c r="F2219" s="19" t="n">
        <v>336.7</v>
      </c>
      <c r="G2219" s="8" t="str">
        <f aca="false">IFERROR(INDEX('TRANS'!$B:$B,MATCH($B2219,'TRANS'!$A:$A,0)),IFERROR(INDEX('TRANS'!$B:$B,MATCH(TRIM(SUBSTITUTE($B2219,CHAR(160)," ")),'TRANS'!$D:$D,0)),IFERROR(INDEX('Catalog'!$A:$A,MATCH($B2219,'Catalog'!$B:$B,0)),IFERROR(INDEX('Catalog'!$A:$A,MATCH(TRIM(SUBSTITUTE($B2219,CHAR(160)," ")),'Catalog'!$C:$C,0)),""))))</f>
        <v/>
      </c>
      <c r="H2219" s="8" t="str">
        <f aca="false">IFERROR(INDEX('TRANS'!$C:$C,MATCH($B2219,'TRANS'!$A:$A,0)),IFERROR(INDEX('Catalog'!$B:$B,MATCH($G2219,'Catalog'!$A:$A,0)),$B2219))</f>
        <v>30 XXL</v>
      </c>
      <c r="I2219" s="8" t="str">
        <f aca="false">IF($G2219="","Unmatched","Matched")</f>
        <v>Unmatched</v>
      </c>
      <c r="J2219" s="8" t="str">
        <f aca="false">IF($G2219&lt;&gt;"",$G2219,$B2219)</f>
        <v>30 XXL</v>
      </c>
      <c r="K2219" s="8" t="str">
        <f aca="false">IF(COUNTIF($M$1:$M$10,$A2219)&gt;0,"Y","N")</f>
        <v>Y</v>
      </c>
    </row>
    <row r="2220" customFormat="false" ht="15" hidden="false" customHeight="true" outlineLevel="0" collapsed="false">
      <c r="A2220" s="8" t="s">
        <v>42</v>
      </c>
      <c r="B2220" s="8" t="s">
        <v>97</v>
      </c>
      <c r="C2220" s="19" t="n">
        <v>0</v>
      </c>
      <c r="D2220" s="19" t="n">
        <v>0</v>
      </c>
      <c r="E2220" s="19" t="n">
        <v>20</v>
      </c>
      <c r="F2220" s="19" t="n">
        <v>0</v>
      </c>
      <c r="G2220" s="8" t="str">
        <f aca="false">IFERROR(INDEX('TRANS'!$B:$B,MATCH($B2220,'TRANS'!$A:$A,0)),IFERROR(INDEX('TRANS'!$B:$B,MATCH(TRIM(SUBSTITUTE($B2220,CHAR(160)," ")),'TRANS'!$D:$D,0)),IFERROR(INDEX('Catalog'!$A:$A,MATCH($B2220,'Catalog'!$B:$B,0)),IFERROR(INDEX('Catalog'!$A:$A,MATCH(TRIM(SUBSTITUTE($B2220,CHAR(160)," ")),'Catalog'!$C:$C,0)),""))))</f>
        <v/>
      </c>
      <c r="H2220" s="8" t="str">
        <f aca="false">IFERROR(INDEX('TRANS'!$C:$C,MATCH($B2220,'TRANS'!$A:$A,0)),IFERROR(INDEX('Catalog'!$B:$B,MATCH($G2220,'Catalog'!$A:$A,0)),$B2220))</f>
        <v>30 Days Trial</v>
      </c>
      <c r="I2220" s="8" t="str">
        <f aca="false">IF($G2220="","Unmatched","Matched")</f>
        <v>Unmatched</v>
      </c>
      <c r="J2220" s="8" t="str">
        <f aca="false">IF($G2220&lt;&gt;"",$G2220,$B2220)</f>
        <v>30 Days Trial</v>
      </c>
      <c r="K2220" s="8" t="str">
        <f aca="false">IF(COUNTIF($M$1:$M$10,$A2220)&gt;0,"Y","N")</f>
        <v>Y</v>
      </c>
    </row>
    <row r="2221" customFormat="false" ht="15" hidden="false" customHeight="true" outlineLevel="0" collapsed="false">
      <c r="A2221" s="8" t="s">
        <v>42</v>
      </c>
      <c r="B2221" s="8" t="s">
        <v>52</v>
      </c>
      <c r="C2221" s="19" t="n">
        <v>0</v>
      </c>
      <c r="D2221" s="19" t="n">
        <v>0</v>
      </c>
      <c r="E2221" s="19" t="n">
        <v>1288</v>
      </c>
      <c r="F2221" s="19" t="n">
        <v>0</v>
      </c>
      <c r="G2221" s="8" t="str">
        <f aca="false">IFERROR(INDEX('TRANS'!$B:$B,MATCH($B2221,'TRANS'!$A:$A,0)),IFERROR(INDEX('TRANS'!$B:$B,MATCH(TRIM(SUBSTITUTE($B2221,CHAR(160)," ")),'TRANS'!$D:$D,0)),IFERROR(INDEX('Catalog'!$A:$A,MATCH($B2221,'Catalog'!$B:$B,0)),IFERROR(INDEX('Catalog'!$A:$A,MATCH(TRIM(SUBSTITUTE($B2221,CHAR(160)," ")),'Catalog'!$C:$C,0)),""))))</f>
        <v/>
      </c>
      <c r="H2221" s="8" t="str">
        <f aca="false">IFERROR(INDEX('TRANS'!$C:$C,MATCH($B2221,'TRANS'!$A:$A,0)),IFERROR(INDEX('Catalog'!$B:$B,MATCH($G2221,'Catalog'!$A:$A,0)),$B2221))</f>
        <v>30 Nights Trial</v>
      </c>
      <c r="I2221" s="8" t="str">
        <f aca="false">IF($G2221="","Unmatched","Matched")</f>
        <v>Unmatched</v>
      </c>
      <c r="J2221" s="8" t="str">
        <f aca="false">IF($G2221&lt;&gt;"",$G2221,$B2221)</f>
        <v>30 Nights Trial</v>
      </c>
      <c r="K2221" s="8" t="str">
        <f aca="false">IF(COUNTIF($M$1:$M$10,$A2221)&gt;0,"Y","N")</f>
        <v>Y</v>
      </c>
    </row>
    <row r="2222" customFormat="false" ht="15" hidden="false" customHeight="true" outlineLevel="0" collapsed="false">
      <c r="A2222" s="8" t="s">
        <v>42</v>
      </c>
      <c r="B2222" s="8" t="s">
        <v>788</v>
      </c>
      <c r="C2222" s="19" t="n">
        <v>14</v>
      </c>
      <c r="D2222" s="19" t="n">
        <v>1642.21</v>
      </c>
      <c r="E2222" s="19" t="n">
        <v>0</v>
      </c>
      <c r="F2222" s="19" t="n">
        <v>0</v>
      </c>
      <c r="G2222" s="8" t="n">
        <f aca="false">IFERROR(INDEX('TRANS'!$B:$B,MATCH($B2222,'TRANS'!$A:$A,0)),IFERROR(INDEX('TRANS'!$B:$B,MATCH(TRIM(SUBSTITUTE($B2222,CHAR(160)," ")),'TRANS'!$D:$D,0)),IFERROR(INDEX('Catalog'!$A:$A,MATCH($B2222,'Catalog'!$B:$B,0)),IFERROR(INDEX('Catalog'!$A:$A,MATCH(TRIM(SUBSTITUTE($B2222,CHAR(160)," ")),'Catalog'!$C:$C,0)),""))))</f>
        <v>4420036</v>
      </c>
      <c r="H2222" s="8" t="str">
        <f aca="false">IFERROR(INDEX('TRANS'!$C:$C,MATCH($B2222,'TRANS'!$A:$A,0)),IFERROR(INDEX('Catalog'!$B:$B,MATCH($G2222,'Catalog'!$A:$A,0)),$B2222))</f>
        <v>301CM 41-45 'רפידת ג'ל בז</v>
      </c>
      <c r="I2222" s="8" t="str">
        <f aca="false">IF($G2222="","Unmatched","Matched")</f>
        <v>Matched</v>
      </c>
      <c r="J2222" s="8" t="n">
        <f aca="false">IF($G2222&lt;&gt;"",$G2222,$B2222)</f>
        <v>4420036</v>
      </c>
      <c r="K2222" s="8" t="str">
        <f aca="false">IF(COUNTIF($M$1:$M$10,$A2222)&gt;0,"Y","N")</f>
        <v>Y</v>
      </c>
    </row>
    <row r="2223" customFormat="false" ht="15" hidden="false" customHeight="true" outlineLevel="0" collapsed="false">
      <c r="A2223" s="8" t="s">
        <v>42</v>
      </c>
      <c r="B2223" s="8" t="s">
        <v>789</v>
      </c>
      <c r="C2223" s="19" t="n">
        <v>4</v>
      </c>
      <c r="D2223" s="19" t="n">
        <v>476.3</v>
      </c>
      <c r="E2223" s="19" t="n">
        <v>6</v>
      </c>
      <c r="F2223" s="19" t="n">
        <v>502.05</v>
      </c>
      <c r="G2223" s="8" t="n">
        <f aca="false">IFERROR(INDEX('TRANS'!$B:$B,MATCH($B2223,'TRANS'!$A:$A,0)),IFERROR(INDEX('TRANS'!$B:$B,MATCH(TRIM(SUBSTITUTE($B2223,CHAR(160)," ")),'TRANS'!$D:$D,0)),IFERROR(INDEX('Catalog'!$A:$A,MATCH($B2223,'Catalog'!$B:$B,0)),IFERROR(INDEX('Catalog'!$A:$A,MATCH(TRIM(SUBSTITUTE($B2223,CHAR(160)," ")),'Catalog'!$C:$C,0)),""))))</f>
        <v>4420035</v>
      </c>
      <c r="H2223" s="8" t="str">
        <f aca="false">IFERROR(INDEX('TRANS'!$C:$C,MATCH($B2223,'TRANS'!$A:$A,0)),IFERROR(INDEX('Catalog'!$B:$B,MATCH($G2223,'Catalog'!$A:$A,0)),$B2223))</f>
        <v>301CW 36-40 'רפידת ג'ל בז</v>
      </c>
      <c r="I2223" s="8" t="str">
        <f aca="false">IF($G2223="","Unmatched","Matched")</f>
        <v>Matched</v>
      </c>
      <c r="J2223" s="8" t="n">
        <f aca="false">IF($G2223&lt;&gt;"",$G2223,$B2223)</f>
        <v>4420035</v>
      </c>
      <c r="K2223" s="8" t="str">
        <f aca="false">IF(COUNTIF($M$1:$M$10,$A2223)&gt;0,"Y","N")</f>
        <v>Y</v>
      </c>
    </row>
    <row r="2224" customFormat="false" ht="15" hidden="false" customHeight="true" outlineLevel="0" collapsed="false">
      <c r="A2224" s="8" t="s">
        <v>42</v>
      </c>
      <c r="B2224" s="8" t="s">
        <v>416</v>
      </c>
      <c r="C2224" s="19" t="n">
        <v>1</v>
      </c>
      <c r="D2224" s="19" t="n">
        <v>102.98</v>
      </c>
      <c r="E2224" s="19" t="n">
        <v>0</v>
      </c>
      <c r="F2224" s="19" t="n">
        <v>0</v>
      </c>
      <c r="G2224" s="8" t="str">
        <f aca="false">IFERROR(INDEX('TRANS'!$B:$B,MATCH($B2224,'TRANS'!$A:$A,0)),IFERROR(INDEX('TRANS'!$B:$B,MATCH(TRIM(SUBSTITUTE($B2224,CHAR(160)," ")),'TRANS'!$D:$D,0)),IFERROR(INDEX('Catalog'!$A:$A,MATCH($B2224,'Catalog'!$B:$B,0)),IFERROR(INDEX('Catalog'!$A:$A,MATCH(TRIM(SUBSTITUTE($B2224,CHAR(160)," ")),'Catalog'!$C:$C,0)),""))))</f>
        <v/>
      </c>
      <c r="H2224" s="8" t="str">
        <f aca="false">IFERROR(INDEX('TRANS'!$C:$C,MATCH($B2224,'TRANS'!$A:$A,0)),IFERROR(INDEX('Catalog'!$B:$B,MATCH($G2224,'Catalog'!$A:$A,0)),$B2224))</f>
        <v>301JM-41-45</v>
      </c>
      <c r="I2224" s="8" t="str">
        <f aca="false">IF($G2224="","Unmatched","Matched")</f>
        <v>Unmatched</v>
      </c>
      <c r="J2224" s="8" t="str">
        <f aca="false">IF($G2224&lt;&gt;"",$G2224,$B2224)</f>
        <v>301JM-41-45</v>
      </c>
      <c r="K2224" s="8" t="str">
        <f aca="false">IF(COUNTIF($M$1:$M$10,$A2224)&gt;0,"Y","N")</f>
        <v>Y</v>
      </c>
    </row>
    <row r="2225" customFormat="false" ht="15" hidden="false" customHeight="true" outlineLevel="0" collapsed="false">
      <c r="A2225" s="8" t="s">
        <v>42</v>
      </c>
      <c r="B2225" s="8" t="s">
        <v>1054</v>
      </c>
      <c r="C2225" s="19" t="n">
        <v>1</v>
      </c>
      <c r="D2225" s="19" t="n">
        <v>128.73</v>
      </c>
      <c r="E2225" s="19" t="n">
        <v>4</v>
      </c>
      <c r="F2225" s="19" t="n">
        <v>257.47</v>
      </c>
      <c r="G2225" s="8" t="n">
        <f aca="false">IFERROR(INDEX('TRANS'!$B:$B,MATCH($B2225,'TRANS'!$A:$A,0)),IFERROR(INDEX('TRANS'!$B:$B,MATCH(TRIM(SUBSTITUTE($B2225,CHAR(160)," ")),'TRANS'!$D:$D,0)),IFERROR(INDEX('Catalog'!$A:$A,MATCH($B2225,'Catalog'!$B:$B,0)),IFERROR(INDEX('Catalog'!$A:$A,MATCH(TRIM(SUBSTITUTE($B2225,CHAR(160)," ")),'Catalog'!$C:$C,0)),""))))</f>
        <v>4420037</v>
      </c>
      <c r="H2225" s="8" t="str">
        <f aca="false">IFERROR(INDEX('TRANS'!$C:$C,MATCH($B2225,'TRANS'!$A:$A,0)),IFERROR(INDEX('Catalog'!$B:$B,MATCH($G2225,'Catalog'!$A:$A,0)),$B2225))</f>
        <v>301JW רפידת ג'ל כחול36-40</v>
      </c>
      <c r="I2225" s="8" t="str">
        <f aca="false">IF($G2225="","Unmatched","Matched")</f>
        <v>Matched</v>
      </c>
      <c r="J2225" s="8" t="n">
        <f aca="false">IF($G2225&lt;&gt;"",$G2225,$B2225)</f>
        <v>4420037</v>
      </c>
      <c r="K2225" s="8" t="str">
        <f aca="false">IF(COUNTIF($M$1:$M$10,$A2225)&gt;0,"Y","N")</f>
        <v>Y</v>
      </c>
    </row>
    <row r="2226" customFormat="false" ht="15" hidden="false" customHeight="true" outlineLevel="0" collapsed="false">
      <c r="A2226" s="8" t="s">
        <v>42</v>
      </c>
      <c r="B2226" s="8" t="s">
        <v>595</v>
      </c>
      <c r="C2226" s="19" t="n">
        <v>13</v>
      </c>
      <c r="D2226" s="19" t="n">
        <v>1570.5</v>
      </c>
      <c r="E2226" s="19" t="n">
        <v>16</v>
      </c>
      <c r="F2226" s="19" t="n">
        <v>1943.8</v>
      </c>
      <c r="G2226" s="8" t="n">
        <f aca="false">IFERROR(INDEX('TRANS'!$B:$B,MATCH($B2226,'TRANS'!$A:$A,0)),IFERROR(INDEX('TRANS'!$B:$B,MATCH(TRIM(SUBSTITUTE($B2226,CHAR(160)," ")),'TRANS'!$D:$D,0)),IFERROR(INDEX('Catalog'!$A:$A,MATCH($B2226,'Catalog'!$B:$B,0)),IFERROR(INDEX('Catalog'!$A:$A,MATCH(TRIM(SUBSTITUTE($B2226,CHAR(160)," ")),'Catalog'!$C:$C,0)),""))))</f>
        <v>4413348</v>
      </c>
      <c r="H2226" s="8" t="str">
        <f aca="false">IFERROR(INDEX('TRANS'!$C:$C,MATCH($B2226,'TRANS'!$A:$A,0)),IFERROR(INDEX('Catalog'!$B:$B,MATCH($G2226,'Catalog'!$A:$A,0)),$B2226))</f>
        <v>302 מדרס ג'ל לגבר</v>
      </c>
      <c r="I2226" s="8" t="str">
        <f aca="false">IF($G2226="","Unmatched","Matched")</f>
        <v>Matched</v>
      </c>
      <c r="J2226" s="8" t="n">
        <f aca="false">IF($G2226&lt;&gt;"",$G2226,$B2226)</f>
        <v>4413348</v>
      </c>
      <c r="K2226" s="8" t="str">
        <f aca="false">IF(COUNTIF($M$1:$M$10,$A2226)&gt;0,"Y","N")</f>
        <v>Y</v>
      </c>
    </row>
    <row r="2227" customFormat="false" ht="15" hidden="false" customHeight="true" outlineLevel="0" collapsed="false">
      <c r="A2227" s="8" t="s">
        <v>42</v>
      </c>
      <c r="B2227" s="8" t="s">
        <v>596</v>
      </c>
      <c r="C2227" s="19" t="n">
        <v>3</v>
      </c>
      <c r="D2227" s="19" t="n">
        <v>367.11</v>
      </c>
      <c r="E2227" s="19" t="n">
        <v>9</v>
      </c>
      <c r="F2227" s="19" t="n">
        <v>1055.59</v>
      </c>
      <c r="G2227" s="8" t="n">
        <f aca="false">IFERROR(INDEX('TRANS'!$B:$B,MATCH($B2227,'TRANS'!$A:$A,0)),IFERROR(INDEX('TRANS'!$B:$B,MATCH(TRIM(SUBSTITUTE($B2227,CHAR(160)," ")),'TRANS'!$D:$D,0)),IFERROR(INDEX('Catalog'!$A:$A,MATCH($B2227,'Catalog'!$B:$B,0)),IFERROR(INDEX('Catalog'!$A:$A,MATCH(TRIM(SUBSTITUTE($B2227,CHAR(160)," ")),'Catalog'!$C:$C,0)),""))))</f>
        <v>4413372</v>
      </c>
      <c r="H2227" s="8" t="str">
        <f aca="false">IFERROR(INDEX('TRANS'!$C:$C,MATCH($B2227,'TRANS'!$A:$A,0)),IFERROR(INDEX('Catalog'!$B:$B,MATCH($G2227,'Catalog'!$A:$A,0)),$B2227))</f>
        <v>302 W מדרס לאישה</v>
      </c>
      <c r="I2227" s="8" t="str">
        <f aca="false">IF($G2227="","Unmatched","Matched")</f>
        <v>Matched</v>
      </c>
      <c r="J2227" s="8" t="n">
        <f aca="false">IF($G2227&lt;&gt;"",$G2227,$B2227)</f>
        <v>4413372</v>
      </c>
      <c r="K2227" s="8" t="str">
        <f aca="false">IF(COUNTIF($M$1:$M$10,$A2227)&gt;0,"Y","N")</f>
        <v>Y</v>
      </c>
    </row>
    <row r="2228" customFormat="false" ht="15" hidden="false" customHeight="true" outlineLevel="0" collapsed="false">
      <c r="A2228" s="8" t="s">
        <v>42</v>
      </c>
      <c r="B2228" s="8" t="s">
        <v>920</v>
      </c>
      <c r="C2228" s="19" t="n">
        <v>1</v>
      </c>
      <c r="D2228" s="19" t="n">
        <v>182.17</v>
      </c>
      <c r="E2228" s="19" t="n">
        <v>0</v>
      </c>
      <c r="F2228" s="19" t="n">
        <v>0</v>
      </c>
      <c r="G2228" s="8" t="n">
        <f aca="false">IFERROR(INDEX('TRANS'!$B:$B,MATCH($B2228,'TRANS'!$A:$A,0)),IFERROR(INDEX('TRANS'!$B:$B,MATCH(TRIM(SUBSTITUTE($B2228,CHAR(160)," ")),'TRANS'!$D:$D,0)),IFERROR(INDEX('Catalog'!$A:$A,MATCH($B2228,'Catalog'!$B:$B,0)),IFERROR(INDEX('Catalog'!$A:$A,MATCH(TRIM(SUBSTITUTE($B2228,CHAR(160)," ")),'Catalog'!$C:$C,0)),""))))</f>
        <v>4413018</v>
      </c>
      <c r="H2228" s="8" t="str">
        <f aca="false">IFERROR(INDEX('TRANS'!$C:$C,MATCH($B2228,'TRANS'!$A:$A,0)),IFERROR(INDEX('Catalog'!$B:$B,MATCH($G2228,'Catalog'!$A:$A,0)),$B2228))</f>
        <v>303 37-38 מדרסי סיליק.לח.סכרת</v>
      </c>
      <c r="I2228" s="8" t="str">
        <f aca="false">IF($G2228="","Unmatched","Matched")</f>
        <v>Matched</v>
      </c>
      <c r="J2228" s="8" t="n">
        <f aca="false">IF($G2228&lt;&gt;"",$G2228,$B2228)</f>
        <v>4413018</v>
      </c>
      <c r="K2228" s="8" t="str">
        <f aca="false">IF(COUNTIF($M$1:$M$10,$A2228)&gt;0,"Y","N")</f>
        <v>Y</v>
      </c>
    </row>
    <row r="2229" customFormat="false" ht="15" hidden="false" customHeight="true" outlineLevel="0" collapsed="false">
      <c r="A2229" s="8" t="s">
        <v>42</v>
      </c>
      <c r="B2229" s="8" t="s">
        <v>126</v>
      </c>
      <c r="C2229" s="19" t="n">
        <v>2</v>
      </c>
      <c r="D2229" s="19" t="n">
        <v>428.64</v>
      </c>
      <c r="E2229" s="19" t="n">
        <v>1</v>
      </c>
      <c r="F2229" s="19" t="n">
        <v>192.89</v>
      </c>
      <c r="G2229" s="8" t="str">
        <f aca="false">IFERROR(INDEX('TRANS'!$B:$B,MATCH($B2229,'TRANS'!$A:$A,0)),IFERROR(INDEX('TRANS'!$B:$B,MATCH(TRIM(SUBSTITUTE($B2229,CHAR(160)," ")),'TRANS'!$D:$D,0)),IFERROR(INDEX('Catalog'!$A:$A,MATCH($B2229,'Catalog'!$B:$B,0)),IFERROR(INDEX('Catalog'!$A:$A,MATCH(TRIM(SUBSTITUTE($B2229,CHAR(160)," ")),'Catalog'!$C:$C,0)),""))))</f>
        <v/>
      </c>
      <c r="H2229" s="8" t="str">
        <f aca="false">IFERROR(INDEX('TRANS'!$C:$C,MATCH($B2229,'TRANS'!$A:$A,0)),IFERROR(INDEX('Catalog'!$B:$B,MATCH($G2229,'Catalog'!$A:$A,0)),$B2229))</f>
        <v>303-39-40</v>
      </c>
      <c r="I2229" s="8" t="str">
        <f aca="false">IF($G2229="","Unmatched","Matched")</f>
        <v>Unmatched</v>
      </c>
      <c r="J2229" s="8" t="str">
        <f aca="false">IF($G2229&lt;&gt;"",$G2229,$B2229)</f>
        <v>303-39-40</v>
      </c>
      <c r="K2229" s="8" t="str">
        <f aca="false">IF(COUNTIF($M$1:$M$10,$A2229)&gt;0,"Y","N")</f>
        <v>Y</v>
      </c>
    </row>
    <row r="2230" customFormat="false" ht="15" hidden="false" customHeight="true" outlineLevel="0" collapsed="false">
      <c r="A2230" s="8" t="s">
        <v>42</v>
      </c>
      <c r="B2230" s="8" t="s">
        <v>921</v>
      </c>
      <c r="C2230" s="19" t="n">
        <v>2</v>
      </c>
      <c r="D2230" s="19" t="n">
        <v>428.64</v>
      </c>
      <c r="E2230" s="19" t="n">
        <v>3</v>
      </c>
      <c r="F2230" s="19" t="n">
        <v>600.09</v>
      </c>
      <c r="G2230" s="8" t="n">
        <f aca="false">IFERROR(INDEX('TRANS'!$B:$B,MATCH($B2230,'TRANS'!$A:$A,0)),IFERROR(INDEX('TRANS'!$B:$B,MATCH(TRIM(SUBSTITUTE($B2230,CHAR(160)," ")),'TRANS'!$D:$D,0)),IFERROR(INDEX('Catalog'!$A:$A,MATCH($B2230,'Catalog'!$B:$B,0)),IFERROR(INDEX('Catalog'!$A:$A,MATCH(TRIM(SUBSTITUTE($B2230,CHAR(160)," ")),'Catalog'!$C:$C,0)),""))))</f>
        <v>4413020</v>
      </c>
      <c r="H2230" s="8" t="str">
        <f aca="false">IFERROR(INDEX('TRANS'!$C:$C,MATCH($B2230,'TRANS'!$A:$A,0)),IFERROR(INDEX('Catalog'!$B:$B,MATCH($G2230,'Catalog'!$A:$A,0)),$B2230))</f>
        <v>303 41-42 מדרסי סיליק.לח.סכרת</v>
      </c>
      <c r="I2230" s="8" t="str">
        <f aca="false">IF($G2230="","Unmatched","Matched")</f>
        <v>Matched</v>
      </c>
      <c r="J2230" s="8" t="n">
        <f aca="false">IF($G2230&lt;&gt;"",$G2230,$B2230)</f>
        <v>4413020</v>
      </c>
      <c r="K2230" s="8" t="str">
        <f aca="false">IF(COUNTIF($M$1:$M$10,$A2230)&gt;0,"Y","N")</f>
        <v>Y</v>
      </c>
    </row>
    <row r="2231" customFormat="false" ht="15" hidden="false" customHeight="true" outlineLevel="0" collapsed="false">
      <c r="A2231" s="8" t="s">
        <v>42</v>
      </c>
      <c r="B2231" s="8" t="s">
        <v>111</v>
      </c>
      <c r="C2231" s="19" t="n">
        <v>4</v>
      </c>
      <c r="D2231" s="19" t="n">
        <v>782.27</v>
      </c>
      <c r="E2231" s="19" t="n">
        <v>3</v>
      </c>
      <c r="F2231" s="19" t="n">
        <v>447.32</v>
      </c>
      <c r="G2231" s="8" t="str">
        <f aca="false">IFERROR(INDEX('TRANS'!$B:$B,MATCH($B2231,'TRANS'!$A:$A,0)),IFERROR(INDEX('TRANS'!$B:$B,MATCH(TRIM(SUBSTITUTE($B2231,CHAR(160)," ")),'TRANS'!$D:$D,0)),IFERROR(INDEX('Catalog'!$A:$A,MATCH($B2231,'Catalog'!$B:$B,0)),IFERROR(INDEX('Catalog'!$A:$A,MATCH(TRIM(SUBSTITUTE($B2231,CHAR(160)," ")),'Catalog'!$C:$C,0)),""))))</f>
        <v/>
      </c>
      <c r="H2231" s="8" t="str">
        <f aca="false">IFERROR(INDEX('TRANS'!$C:$C,MATCH($B2231,'TRANS'!$A:$A,0)),IFERROR(INDEX('Catalog'!$B:$B,MATCH($G2231,'Catalog'!$A:$A,0)),$B2231))</f>
        <v>303-43-44</v>
      </c>
      <c r="I2231" s="8" t="str">
        <f aca="false">IF($G2231="","Unmatched","Matched")</f>
        <v>Unmatched</v>
      </c>
      <c r="J2231" s="8" t="str">
        <f aca="false">IF($G2231&lt;&gt;"",$G2231,$B2231)</f>
        <v>303-43-44</v>
      </c>
      <c r="K2231" s="8" t="str">
        <f aca="false">IF(COUNTIF($M$1:$M$10,$A2231)&gt;0,"Y","N")</f>
        <v>Y</v>
      </c>
    </row>
    <row r="2232" customFormat="false" ht="15" hidden="false" customHeight="true" outlineLevel="0" collapsed="false">
      <c r="A2232" s="8" t="s">
        <v>42</v>
      </c>
      <c r="B2232" s="8" t="s">
        <v>922</v>
      </c>
      <c r="C2232" s="19" t="n">
        <v>4</v>
      </c>
      <c r="D2232" s="19" t="n">
        <v>814.42</v>
      </c>
      <c r="E2232" s="19" t="n">
        <v>7</v>
      </c>
      <c r="F2232" s="19" t="n">
        <v>1282.81</v>
      </c>
      <c r="G2232" s="8" t="n">
        <f aca="false">IFERROR(INDEX('TRANS'!$B:$B,MATCH($B2232,'TRANS'!$A:$A,0)),IFERROR(INDEX('TRANS'!$B:$B,MATCH(TRIM(SUBSTITUTE($B2232,CHAR(160)," ")),'TRANS'!$D:$D,0)),IFERROR(INDEX('Catalog'!$A:$A,MATCH($B2232,'Catalog'!$B:$B,0)),IFERROR(INDEX('Catalog'!$A:$A,MATCH(TRIM(SUBSTITUTE($B2232,CHAR(160)," ")),'Catalog'!$C:$C,0)),""))))</f>
        <v>4413022</v>
      </c>
      <c r="H2232" s="8" t="str">
        <f aca="false">IFERROR(INDEX('TRANS'!$C:$C,MATCH($B2232,'TRANS'!$A:$A,0)),IFERROR(INDEX('Catalog'!$B:$B,MATCH($G2232,'Catalog'!$A:$A,0)),$B2232))</f>
        <v>303 45-46 מדרסי סיליק.לח.סכרת</v>
      </c>
      <c r="I2232" s="8" t="str">
        <f aca="false">IF($G2232="","Unmatched","Matched")</f>
        <v>Matched</v>
      </c>
      <c r="J2232" s="8" t="n">
        <f aca="false">IF($G2232&lt;&gt;"",$G2232,$B2232)</f>
        <v>4413022</v>
      </c>
      <c r="K2232" s="8" t="str">
        <f aca="false">IF(COUNTIF($M$1:$M$10,$A2232)&gt;0,"Y","N")</f>
        <v>Y</v>
      </c>
    </row>
    <row r="2233" customFormat="false" ht="15" hidden="false" customHeight="true" outlineLevel="0" collapsed="false">
      <c r="A2233" s="8" t="s">
        <v>42</v>
      </c>
      <c r="B2233" s="8" t="s">
        <v>235</v>
      </c>
      <c r="C2233" s="19" t="n">
        <v>0</v>
      </c>
      <c r="D2233" s="19" t="n">
        <v>0</v>
      </c>
      <c r="E2233" s="19" t="n">
        <v>4</v>
      </c>
      <c r="F2233" s="19" t="n">
        <v>618.33</v>
      </c>
      <c r="G2233" s="8" t="str">
        <f aca="false">IFERROR(INDEX('TRANS'!$B:$B,MATCH($B2233,'TRANS'!$A:$A,0)),IFERROR(INDEX('TRANS'!$B:$B,MATCH(TRIM(SUBSTITUTE($B2233,CHAR(160)," ")),'TRANS'!$D:$D,0)),IFERROR(INDEX('Catalog'!$A:$A,MATCH($B2233,'Catalog'!$B:$B,0)),IFERROR(INDEX('Catalog'!$A:$A,MATCH(TRIM(SUBSTITUTE($B2233,CHAR(160)," ")),'Catalog'!$C:$C,0)),""))))</f>
        <v/>
      </c>
      <c r="H2233" s="8" t="str">
        <f aca="false">IFERROR(INDEX('TRANS'!$C:$C,MATCH($B2233,'TRANS'!$A:$A,0)),IFERROR(INDEX('Catalog'!$B:$B,MATCH($G2233,'Catalog'!$A:$A,0)),$B2233))</f>
        <v>305-35-36</v>
      </c>
      <c r="I2233" s="8" t="str">
        <f aca="false">IF($G2233="","Unmatched","Matched")</f>
        <v>Unmatched</v>
      </c>
      <c r="J2233" s="8" t="str">
        <f aca="false">IF($G2233&lt;&gt;"",$G2233,$B2233)</f>
        <v>305-35-36</v>
      </c>
      <c r="K2233" s="8" t="str">
        <f aca="false">IF(COUNTIF($M$1:$M$10,$A2233)&gt;0,"Y","N")</f>
        <v>Y</v>
      </c>
    </row>
    <row r="2234" customFormat="false" ht="15" hidden="false" customHeight="true" outlineLevel="0" collapsed="false">
      <c r="A2234" s="8" t="s">
        <v>42</v>
      </c>
      <c r="B2234" s="8" t="s">
        <v>200</v>
      </c>
      <c r="C2234" s="19" t="n">
        <v>0</v>
      </c>
      <c r="D2234" s="19" t="n">
        <v>0</v>
      </c>
      <c r="E2234" s="19" t="n">
        <v>5</v>
      </c>
      <c r="F2234" s="19" t="n">
        <v>796.21</v>
      </c>
      <c r="G2234" s="8" t="str">
        <f aca="false">IFERROR(INDEX('TRANS'!$B:$B,MATCH($B2234,'TRANS'!$A:$A,0)),IFERROR(INDEX('TRANS'!$B:$B,MATCH(TRIM(SUBSTITUTE($B2234,CHAR(160)," ")),'TRANS'!$D:$D,0)),IFERROR(INDEX('Catalog'!$A:$A,MATCH($B2234,'Catalog'!$B:$B,0)),IFERROR(INDEX('Catalog'!$A:$A,MATCH(TRIM(SUBSTITUTE($B2234,CHAR(160)," ")),'Catalog'!$C:$C,0)),""))))</f>
        <v/>
      </c>
      <c r="H2234" s="8" t="str">
        <f aca="false">IFERROR(INDEX('TRANS'!$C:$C,MATCH($B2234,'TRANS'!$A:$A,0)),IFERROR(INDEX('Catalog'!$B:$B,MATCH($G2234,'Catalog'!$A:$A,0)),$B2234))</f>
        <v>305-37-38</v>
      </c>
      <c r="I2234" s="8" t="str">
        <f aca="false">IF($G2234="","Unmatched","Matched")</f>
        <v>Unmatched</v>
      </c>
      <c r="J2234" s="8" t="str">
        <f aca="false">IF($G2234&lt;&gt;"",$G2234,$B2234)</f>
        <v>305-37-38</v>
      </c>
      <c r="K2234" s="8" t="str">
        <f aca="false">IF(COUNTIF($M$1:$M$10,$A2234)&gt;0,"Y","N")</f>
        <v>Y</v>
      </c>
    </row>
    <row r="2235" customFormat="false" ht="15" hidden="false" customHeight="true" outlineLevel="0" collapsed="false">
      <c r="A2235" s="8" t="s">
        <v>42</v>
      </c>
      <c r="B2235" s="8" t="s">
        <v>140</v>
      </c>
      <c r="C2235" s="19" t="n">
        <v>0</v>
      </c>
      <c r="D2235" s="19" t="n">
        <v>0</v>
      </c>
      <c r="E2235" s="19" t="n">
        <v>10</v>
      </c>
      <c r="F2235" s="19" t="n">
        <v>1660.18</v>
      </c>
      <c r="G2235" s="8" t="str">
        <f aca="false">IFERROR(INDEX('TRANS'!$B:$B,MATCH($B2235,'TRANS'!$A:$A,0)),IFERROR(INDEX('TRANS'!$B:$B,MATCH(TRIM(SUBSTITUTE($B2235,CHAR(160)," ")),'TRANS'!$D:$D,0)),IFERROR(INDEX('Catalog'!$A:$A,MATCH($B2235,'Catalog'!$B:$B,0)),IFERROR(INDEX('Catalog'!$A:$A,MATCH(TRIM(SUBSTITUTE($B2235,CHAR(160)," ")),'Catalog'!$C:$C,0)),""))))</f>
        <v/>
      </c>
      <c r="H2235" s="8" t="str">
        <f aca="false">IFERROR(INDEX('TRANS'!$C:$C,MATCH($B2235,'TRANS'!$A:$A,0)),IFERROR(INDEX('Catalog'!$B:$B,MATCH($G2235,'Catalog'!$A:$A,0)),$B2235))</f>
        <v>305-39-40</v>
      </c>
      <c r="I2235" s="8" t="str">
        <f aca="false">IF($G2235="","Unmatched","Matched")</f>
        <v>Unmatched</v>
      </c>
      <c r="J2235" s="8" t="str">
        <f aca="false">IF($G2235&lt;&gt;"",$G2235,$B2235)</f>
        <v>305-39-40</v>
      </c>
      <c r="K2235" s="8" t="str">
        <f aca="false">IF(COUNTIF($M$1:$M$10,$A2235)&gt;0,"Y","N")</f>
        <v>Y</v>
      </c>
    </row>
    <row r="2236" customFormat="false" ht="15" hidden="false" customHeight="true" outlineLevel="0" collapsed="false">
      <c r="A2236" s="8" t="s">
        <v>42</v>
      </c>
      <c r="B2236" s="8" t="s">
        <v>102</v>
      </c>
      <c r="C2236" s="19" t="n">
        <v>0</v>
      </c>
      <c r="D2236" s="19" t="n">
        <v>0</v>
      </c>
      <c r="E2236" s="19" t="n">
        <v>17</v>
      </c>
      <c r="F2236" s="19" t="n">
        <v>2752.89</v>
      </c>
      <c r="G2236" s="8" t="str">
        <f aca="false">IFERROR(INDEX('TRANS'!$B:$B,MATCH($B2236,'TRANS'!$A:$A,0)),IFERROR(INDEX('TRANS'!$B:$B,MATCH(TRIM(SUBSTITUTE($B2236,CHAR(160)," ")),'TRANS'!$D:$D,0)),IFERROR(INDEX('Catalog'!$A:$A,MATCH($B2236,'Catalog'!$B:$B,0)),IFERROR(INDEX('Catalog'!$A:$A,MATCH(TRIM(SUBSTITUTE($B2236,CHAR(160)," ")),'Catalog'!$C:$C,0)),""))))</f>
        <v/>
      </c>
      <c r="H2236" s="8" t="str">
        <f aca="false">IFERROR(INDEX('TRANS'!$C:$C,MATCH($B2236,'TRANS'!$A:$A,0)),IFERROR(INDEX('Catalog'!$B:$B,MATCH($G2236,'Catalog'!$A:$A,0)),$B2236))</f>
        <v>305-41-42</v>
      </c>
      <c r="I2236" s="8" t="str">
        <f aca="false">IF($G2236="","Unmatched","Matched")</f>
        <v>Unmatched</v>
      </c>
      <c r="J2236" s="8" t="str">
        <f aca="false">IF($G2236&lt;&gt;"",$G2236,$B2236)</f>
        <v>305-41-42</v>
      </c>
      <c r="K2236" s="8" t="str">
        <f aca="false">IF(COUNTIF($M$1:$M$10,$A2236)&gt;0,"Y","N")</f>
        <v>Y</v>
      </c>
    </row>
    <row r="2237" customFormat="false" ht="15" hidden="false" customHeight="true" outlineLevel="0" collapsed="false">
      <c r="A2237" s="8" t="s">
        <v>42</v>
      </c>
      <c r="B2237" s="8" t="s">
        <v>108</v>
      </c>
      <c r="C2237" s="19" t="n">
        <v>0</v>
      </c>
      <c r="D2237" s="19" t="n">
        <v>0</v>
      </c>
      <c r="E2237" s="19" t="n">
        <v>16</v>
      </c>
      <c r="F2237" s="19" t="n">
        <v>2524.16</v>
      </c>
      <c r="G2237" s="8" t="str">
        <f aca="false">IFERROR(INDEX('TRANS'!$B:$B,MATCH($B2237,'TRANS'!$A:$A,0)),IFERROR(INDEX('TRANS'!$B:$B,MATCH(TRIM(SUBSTITUTE($B2237,CHAR(160)," ")),'TRANS'!$D:$D,0)),IFERROR(INDEX('Catalog'!$A:$A,MATCH($B2237,'Catalog'!$B:$B,0)),IFERROR(INDEX('Catalog'!$A:$A,MATCH(TRIM(SUBSTITUTE($B2237,CHAR(160)," ")),'Catalog'!$C:$C,0)),""))))</f>
        <v/>
      </c>
      <c r="H2237" s="8" t="str">
        <f aca="false">IFERROR(INDEX('TRANS'!$C:$C,MATCH($B2237,'TRANS'!$A:$A,0)),IFERROR(INDEX('Catalog'!$B:$B,MATCH($G2237,'Catalog'!$A:$A,0)),$B2237))</f>
        <v>305-43-44</v>
      </c>
      <c r="I2237" s="8" t="str">
        <f aca="false">IF($G2237="","Unmatched","Matched")</f>
        <v>Unmatched</v>
      </c>
      <c r="J2237" s="8" t="str">
        <f aca="false">IF($G2237&lt;&gt;"",$G2237,$B2237)</f>
        <v>305-43-44</v>
      </c>
      <c r="K2237" s="8" t="str">
        <f aca="false">IF(COUNTIF($M$1:$M$10,$A2237)&gt;0,"Y","N")</f>
        <v>Y</v>
      </c>
    </row>
    <row r="2238" customFormat="false" ht="15" hidden="false" customHeight="true" outlineLevel="0" collapsed="false">
      <c r="A2238" s="8" t="s">
        <v>42</v>
      </c>
      <c r="B2238" s="8" t="s">
        <v>201</v>
      </c>
      <c r="C2238" s="19" t="n">
        <v>0</v>
      </c>
      <c r="D2238" s="19" t="n">
        <v>0</v>
      </c>
      <c r="E2238" s="19" t="n">
        <v>5</v>
      </c>
      <c r="F2238" s="19" t="n">
        <v>746.67</v>
      </c>
      <c r="G2238" s="8" t="str">
        <f aca="false">IFERROR(INDEX('TRANS'!$B:$B,MATCH($B2238,'TRANS'!$A:$A,0)),IFERROR(INDEX('TRANS'!$B:$B,MATCH(TRIM(SUBSTITUTE($B2238,CHAR(160)," ")),'TRANS'!$D:$D,0)),IFERROR(INDEX('Catalog'!$A:$A,MATCH($B2238,'Catalog'!$B:$B,0)),IFERROR(INDEX('Catalog'!$A:$A,MATCH(TRIM(SUBSTITUTE($B2238,CHAR(160)," ")),'Catalog'!$C:$C,0)),""))))</f>
        <v/>
      </c>
      <c r="H2238" s="8" t="str">
        <f aca="false">IFERROR(INDEX('TRANS'!$C:$C,MATCH($B2238,'TRANS'!$A:$A,0)),IFERROR(INDEX('Catalog'!$B:$B,MATCH($G2238,'Catalog'!$A:$A,0)),$B2238))</f>
        <v>305-45-46</v>
      </c>
      <c r="I2238" s="8" t="str">
        <f aca="false">IF($G2238="","Unmatched","Matched")</f>
        <v>Unmatched</v>
      </c>
      <c r="J2238" s="8" t="str">
        <f aca="false">IF($G2238&lt;&gt;"",$G2238,$B2238)</f>
        <v>305-45-46</v>
      </c>
      <c r="K2238" s="8" t="str">
        <f aca="false">IF(COUNTIF($M$1:$M$10,$A2238)&gt;0,"Y","N")</f>
        <v>Y</v>
      </c>
    </row>
    <row r="2239" customFormat="false" ht="15" hidden="false" customHeight="true" outlineLevel="0" collapsed="false">
      <c r="A2239" s="8" t="s">
        <v>42</v>
      </c>
      <c r="B2239" s="8" t="s">
        <v>193</v>
      </c>
      <c r="C2239" s="19" t="n">
        <v>1</v>
      </c>
      <c r="D2239" s="19" t="n">
        <v>169.41</v>
      </c>
      <c r="E2239" s="19" t="n">
        <v>5</v>
      </c>
      <c r="F2239" s="19" t="n">
        <v>770.8</v>
      </c>
      <c r="G2239" s="8" t="str">
        <f aca="false">IFERROR(INDEX('TRANS'!$B:$B,MATCH($B2239,'TRANS'!$A:$A,0)),IFERROR(INDEX('TRANS'!$B:$B,MATCH(TRIM(SUBSTITUTE($B2239,CHAR(160)," ")),'TRANS'!$D:$D,0)),IFERROR(INDEX('Catalog'!$A:$A,MATCH($B2239,'Catalog'!$B:$B,0)),IFERROR(INDEX('Catalog'!$A:$A,MATCH(TRIM(SUBSTITUTE($B2239,CHAR(160)," ")),'Catalog'!$C:$C,0)),""))))</f>
        <v/>
      </c>
      <c r="H2239" s="8" t="str">
        <f aca="false">IFERROR(INDEX('TRANS'!$C:$C,MATCH($B2239,'TRANS'!$A:$A,0)),IFERROR(INDEX('Catalog'!$B:$B,MATCH($G2239,'Catalog'!$A:$A,0)),$B2239))</f>
        <v>305GA-35-36</v>
      </c>
      <c r="I2239" s="8" t="str">
        <f aca="false">IF($G2239="","Unmatched","Matched")</f>
        <v>Unmatched</v>
      </c>
      <c r="J2239" s="8" t="str">
        <f aca="false">IF($G2239&lt;&gt;"",$G2239,$B2239)</f>
        <v>305GA-35-36</v>
      </c>
      <c r="K2239" s="8" t="str">
        <f aca="false">IF(COUNTIF($M$1:$M$10,$A2239)&gt;0,"Y","N")</f>
        <v>Y</v>
      </c>
    </row>
    <row r="2240" customFormat="false" ht="15" hidden="false" customHeight="true" outlineLevel="0" collapsed="false">
      <c r="A2240" s="8" t="s">
        <v>42</v>
      </c>
      <c r="B2240" s="8" t="s">
        <v>941</v>
      </c>
      <c r="C2240" s="19" t="n">
        <v>10</v>
      </c>
      <c r="D2240" s="19" t="n">
        <v>1558.57</v>
      </c>
      <c r="E2240" s="19" t="n">
        <v>4</v>
      </c>
      <c r="F2240" s="19" t="n">
        <v>660.7</v>
      </c>
      <c r="G2240" s="8" t="n">
        <f aca="false">IFERROR(INDEX('TRANS'!$B:$B,MATCH($B2240,'TRANS'!$A:$A,0)),IFERROR(INDEX('TRANS'!$B:$B,MATCH(TRIM(SUBSTITUTE($B2240,CHAR(160)," ")),'TRANS'!$D:$D,0)),IFERROR(INDEX('Catalog'!$A:$A,MATCH($B2240,'Catalog'!$B:$B,0)),IFERROR(INDEX('Catalog'!$A:$A,MATCH(TRIM(SUBSTITUTE($B2240,CHAR(160)," ")),'Catalog'!$C:$C,0)),""))))</f>
        <v>4413154</v>
      </c>
      <c r="H2240" s="8" t="str">
        <f aca="false">IFERROR(INDEX('TRANS'!$C:$C,MATCH($B2240,'TRANS'!$A:$A,0)),IFERROR(INDEX('Catalog'!$B:$B,MATCH($G2240,'Catalog'!$A:$A,0)),$B2240))</f>
        <v>305GA מדרס אורטופ.מתכוון37-38</v>
      </c>
      <c r="I2240" s="8" t="str">
        <f aca="false">IF($G2240="","Unmatched","Matched")</f>
        <v>Matched</v>
      </c>
      <c r="J2240" s="8" t="n">
        <f aca="false">IF($G2240&lt;&gt;"",$G2240,$B2240)</f>
        <v>4413154</v>
      </c>
      <c r="K2240" s="8" t="str">
        <f aca="false">IF(COUNTIF($M$1:$M$10,$A2240)&gt;0,"Y","N")</f>
        <v>Y</v>
      </c>
    </row>
    <row r="2241" customFormat="false" ht="15" hidden="false" customHeight="true" outlineLevel="0" collapsed="false">
      <c r="A2241" s="8" t="s">
        <v>42</v>
      </c>
      <c r="B2241" s="8" t="s">
        <v>597</v>
      </c>
      <c r="C2241" s="19" t="n">
        <v>13</v>
      </c>
      <c r="D2241" s="19" t="n">
        <v>1939.76</v>
      </c>
      <c r="E2241" s="19" t="n">
        <v>9</v>
      </c>
      <c r="F2241" s="19" t="n">
        <v>1377.27</v>
      </c>
      <c r="G2241" s="8" t="n">
        <f aca="false">IFERROR(INDEX('TRANS'!$B:$B,MATCH($B2241,'TRANS'!$A:$A,0)),IFERROR(INDEX('TRANS'!$B:$B,MATCH(TRIM(SUBSTITUTE($B2241,CHAR(160)," ")),'TRANS'!$D:$D,0)),IFERROR(INDEX('Catalog'!$A:$A,MATCH($B2241,'Catalog'!$B:$B,0)),IFERROR(INDEX('Catalog'!$A:$A,MATCH(TRIM(SUBSTITUTE($B2241,CHAR(160)," ")),'Catalog'!$C:$C,0)),""))))</f>
        <v>4413155</v>
      </c>
      <c r="H2241" s="8" t="str">
        <f aca="false">IFERROR(INDEX('TRANS'!$C:$C,MATCH($B2241,'TRANS'!$A:$A,0)),IFERROR(INDEX('Catalog'!$B:$B,MATCH($G2241,'Catalog'!$A:$A,0)),$B2241))</f>
        <v>305GA מדרס אורטופ.מתכוון39-40</v>
      </c>
      <c r="I2241" s="8" t="str">
        <f aca="false">IF($G2241="","Unmatched","Matched")</f>
        <v>Matched</v>
      </c>
      <c r="J2241" s="8" t="n">
        <f aca="false">IF($G2241&lt;&gt;"",$G2241,$B2241)</f>
        <v>4413155</v>
      </c>
      <c r="K2241" s="8" t="str">
        <f aca="false">IF(COUNTIF($M$1:$M$10,$A2241)&gt;0,"Y","N")</f>
        <v>Y</v>
      </c>
    </row>
    <row r="2242" customFormat="false" ht="15" hidden="false" customHeight="true" outlineLevel="0" collapsed="false">
      <c r="A2242" s="8" t="s">
        <v>42</v>
      </c>
      <c r="B2242" s="8" t="s">
        <v>598</v>
      </c>
      <c r="C2242" s="19" t="n">
        <v>23</v>
      </c>
      <c r="D2242" s="19" t="n">
        <v>3618.11</v>
      </c>
      <c r="E2242" s="19" t="n">
        <v>11</v>
      </c>
      <c r="F2242" s="19" t="n">
        <v>1753.37</v>
      </c>
      <c r="G2242" s="8" t="n">
        <f aca="false">IFERROR(INDEX('TRANS'!$B:$B,MATCH($B2242,'TRANS'!$A:$A,0)),IFERROR(INDEX('TRANS'!$B:$B,MATCH(TRIM(SUBSTITUTE($B2242,CHAR(160)," ")),'TRANS'!$D:$D,0)),IFERROR(INDEX('Catalog'!$A:$A,MATCH($B2242,'Catalog'!$B:$B,0)),IFERROR(INDEX('Catalog'!$A:$A,MATCH(TRIM(SUBSTITUTE($B2242,CHAR(160)," ")),'Catalog'!$C:$C,0)),""))))</f>
        <v>4413156</v>
      </c>
      <c r="H2242" s="8" t="str">
        <f aca="false">IFERROR(INDEX('TRANS'!$C:$C,MATCH($B2242,'TRANS'!$A:$A,0)),IFERROR(INDEX('Catalog'!$B:$B,MATCH($G2242,'Catalog'!$A:$A,0)),$B2242))</f>
        <v>305GA מדרס אורטופ.מתכוון41-42</v>
      </c>
      <c r="I2242" s="8" t="str">
        <f aca="false">IF($G2242="","Unmatched","Matched")</f>
        <v>Matched</v>
      </c>
      <c r="J2242" s="8" t="n">
        <f aca="false">IF($G2242&lt;&gt;"",$G2242,$B2242)</f>
        <v>4413156</v>
      </c>
      <c r="K2242" s="8" t="str">
        <f aca="false">IF(COUNTIF($M$1:$M$10,$A2242)&gt;0,"Y","N")</f>
        <v>Y</v>
      </c>
    </row>
    <row r="2243" customFormat="false" ht="15" hidden="false" customHeight="true" outlineLevel="0" collapsed="false">
      <c r="A2243" s="8" t="s">
        <v>42</v>
      </c>
      <c r="B2243" s="8" t="s">
        <v>599</v>
      </c>
      <c r="C2243" s="19" t="n">
        <v>32</v>
      </c>
      <c r="D2243" s="19" t="n">
        <v>4917.04</v>
      </c>
      <c r="E2243" s="19" t="n">
        <v>15</v>
      </c>
      <c r="F2243" s="19" t="n">
        <v>2312.44</v>
      </c>
      <c r="G2243" s="8" t="n">
        <f aca="false">IFERROR(INDEX('TRANS'!$B:$B,MATCH($B2243,'TRANS'!$A:$A,0)),IFERROR(INDEX('TRANS'!$B:$B,MATCH(TRIM(SUBSTITUTE($B2243,CHAR(160)," ")),'TRANS'!$D:$D,0)),IFERROR(INDEX('Catalog'!$A:$A,MATCH($B2243,'Catalog'!$B:$B,0)),IFERROR(INDEX('Catalog'!$A:$A,MATCH(TRIM(SUBSTITUTE($B2243,CHAR(160)," ")),'Catalog'!$C:$C,0)),""))))</f>
        <v>4413157</v>
      </c>
      <c r="H2243" s="8" t="str">
        <f aca="false">IFERROR(INDEX('TRANS'!$C:$C,MATCH($B2243,'TRANS'!$A:$A,0)),IFERROR(INDEX('Catalog'!$B:$B,MATCH($G2243,'Catalog'!$A:$A,0)),$B2243))</f>
        <v>305GA מדרס אורטופ.מתכוון43-44</v>
      </c>
      <c r="I2243" s="8" t="str">
        <f aca="false">IF($G2243="","Unmatched","Matched")</f>
        <v>Matched</v>
      </c>
      <c r="J2243" s="8" t="n">
        <f aca="false">IF($G2243&lt;&gt;"",$G2243,$B2243)</f>
        <v>4413157</v>
      </c>
      <c r="K2243" s="8" t="str">
        <f aca="false">IF(COUNTIF($M$1:$M$10,$A2243)&gt;0,"Y","N")</f>
        <v>Y</v>
      </c>
    </row>
    <row r="2244" customFormat="false" ht="15" hidden="false" customHeight="true" outlineLevel="0" collapsed="false">
      <c r="A2244" s="8" t="s">
        <v>42</v>
      </c>
      <c r="B2244" s="8" t="s">
        <v>600</v>
      </c>
      <c r="C2244" s="19" t="n">
        <v>24</v>
      </c>
      <c r="D2244" s="19" t="n">
        <v>3765.85</v>
      </c>
      <c r="E2244" s="19" t="n">
        <v>18</v>
      </c>
      <c r="F2244" s="19" t="n">
        <v>2854.56</v>
      </c>
      <c r="G2244" s="8" t="n">
        <f aca="false">IFERROR(INDEX('TRANS'!$B:$B,MATCH($B2244,'TRANS'!$A:$A,0)),IFERROR(INDEX('TRANS'!$B:$B,MATCH(TRIM(SUBSTITUTE($B2244,CHAR(160)," ")),'TRANS'!$D:$D,0)),IFERROR(INDEX('Catalog'!$A:$A,MATCH($B2244,'Catalog'!$B:$B,0)),IFERROR(INDEX('Catalog'!$A:$A,MATCH(TRIM(SUBSTITUTE($B2244,CHAR(160)," ")),'Catalog'!$C:$C,0)),""))))</f>
        <v>4413158</v>
      </c>
      <c r="H2244" s="8" t="str">
        <f aca="false">IFERROR(INDEX('TRANS'!$C:$C,MATCH($B2244,'TRANS'!$A:$A,0)),IFERROR(INDEX('Catalog'!$B:$B,MATCH($G2244,'Catalog'!$A:$A,0)),$B2244))</f>
        <v>305GA מדרס אורטופ.מתכוון45-46</v>
      </c>
      <c r="I2244" s="8" t="str">
        <f aca="false">IF($G2244="","Unmatched","Matched")</f>
        <v>Matched</v>
      </c>
      <c r="J2244" s="8" t="n">
        <f aca="false">IF($G2244&lt;&gt;"",$G2244,$B2244)</f>
        <v>4413158</v>
      </c>
      <c r="K2244" s="8" t="str">
        <f aca="false">IF(COUNTIF($M$1:$M$10,$A2244)&gt;0,"Y","N")</f>
        <v>Y</v>
      </c>
    </row>
    <row r="2245" customFormat="false" ht="15" hidden="false" customHeight="true" outlineLevel="0" collapsed="false">
      <c r="A2245" s="8" t="s">
        <v>42</v>
      </c>
      <c r="B2245" s="8" t="s">
        <v>601</v>
      </c>
      <c r="C2245" s="19" t="n">
        <v>12</v>
      </c>
      <c r="D2245" s="19" t="n">
        <v>1927.23</v>
      </c>
      <c r="E2245" s="19" t="n">
        <v>14</v>
      </c>
      <c r="F2245" s="19" t="n">
        <v>2277.7</v>
      </c>
      <c r="G2245" s="8" t="n">
        <f aca="false">IFERROR(INDEX('TRANS'!$B:$B,MATCH($B2245,'TRANS'!$A:$A,0)),IFERROR(INDEX('TRANS'!$B:$B,MATCH(TRIM(SUBSTITUTE($B2245,CHAR(160)," ")),'TRANS'!$D:$D,0)),IFERROR(INDEX('Catalog'!$A:$A,MATCH($B2245,'Catalog'!$B:$B,0)),IFERROR(INDEX('Catalog'!$A:$A,MATCH(TRIM(SUBSTITUTE($B2245,CHAR(160)," ")),'Catalog'!$C:$C,0)),""))))</f>
        <v>4416000</v>
      </c>
      <c r="H2245" s="8" t="str">
        <f aca="false">IFERROR(INDEX('TRANS'!$C:$C,MATCH($B2245,'TRANS'!$A:$A,0)),IFERROR(INDEX('Catalog'!$B:$B,MATCH($G2245,'Catalog'!$A:$A,0)),$B2245))</f>
        <v>307 L עקבים לדורבן-זוג כריות</v>
      </c>
      <c r="I2245" s="8" t="str">
        <f aca="false">IF($G2245="","Unmatched","Matched")</f>
        <v>Matched</v>
      </c>
      <c r="J2245" s="8" t="n">
        <f aca="false">IF($G2245&lt;&gt;"",$G2245,$B2245)</f>
        <v>4416000</v>
      </c>
      <c r="K2245" s="8" t="str">
        <f aca="false">IF(COUNTIF($M$1:$M$10,$A2245)&gt;0,"Y","N")</f>
        <v>Y</v>
      </c>
    </row>
    <row r="2246" customFormat="false" ht="15" hidden="false" customHeight="true" outlineLevel="0" collapsed="false">
      <c r="A2246" s="8" t="s">
        <v>42</v>
      </c>
      <c r="B2246" s="8" t="s">
        <v>602</v>
      </c>
      <c r="C2246" s="19" t="n">
        <v>17</v>
      </c>
      <c r="D2246" s="19" t="n">
        <v>2561.29</v>
      </c>
      <c r="E2246" s="19" t="n">
        <v>15</v>
      </c>
      <c r="F2246" s="19" t="n">
        <v>2411.17</v>
      </c>
      <c r="G2246" s="8" t="n">
        <f aca="false">IFERROR(INDEX('TRANS'!$B:$B,MATCH($B2246,'TRANS'!$A:$A,0)),IFERROR(INDEX('TRANS'!$B:$B,MATCH(TRIM(SUBSTITUTE($B2246,CHAR(160)," ")),'TRANS'!$D:$D,0)),IFERROR(INDEX('Catalog'!$A:$A,MATCH($B2246,'Catalog'!$B:$B,0)),IFERROR(INDEX('Catalog'!$A:$A,MATCH(TRIM(SUBSTITUTE($B2246,CHAR(160)," ")),'Catalog'!$C:$C,0)),""))))</f>
        <v>4416001</v>
      </c>
      <c r="H2246" s="8" t="str">
        <f aca="false">IFERROR(INDEX('TRANS'!$C:$C,MATCH($B2246,'TRANS'!$A:$A,0)),IFERROR(INDEX('Catalog'!$B:$B,MATCH($G2246,'Catalog'!$A:$A,0)),$B2246))</f>
        <v>307 M עקבים לדורבן-זוג כריות</v>
      </c>
      <c r="I2246" s="8" t="str">
        <f aca="false">IF($G2246="","Unmatched","Matched")</f>
        <v>Matched</v>
      </c>
      <c r="J2246" s="8" t="n">
        <f aca="false">IF($G2246&lt;&gt;"",$G2246,$B2246)</f>
        <v>4416001</v>
      </c>
      <c r="K2246" s="8" t="str">
        <f aca="false">IF(COUNTIF($M$1:$M$10,$A2246)&gt;0,"Y","N")</f>
        <v>Y</v>
      </c>
    </row>
    <row r="2247" customFormat="false" ht="15" hidden="false" customHeight="true" outlineLevel="0" collapsed="false">
      <c r="A2247" s="8" t="s">
        <v>42</v>
      </c>
      <c r="B2247" s="8" t="s">
        <v>960</v>
      </c>
      <c r="C2247" s="19" t="n">
        <v>3</v>
      </c>
      <c r="D2247" s="19" t="n">
        <v>475.55</v>
      </c>
      <c r="E2247" s="19" t="n">
        <v>2</v>
      </c>
      <c r="F2247" s="19" t="n">
        <v>317.05</v>
      </c>
      <c r="G2247" s="8" t="n">
        <f aca="false">IFERROR(INDEX('TRANS'!$B:$B,MATCH($B2247,'TRANS'!$A:$A,0)),IFERROR(INDEX('TRANS'!$B:$B,MATCH(TRIM(SUBSTITUTE($B2247,CHAR(160)," ")),'TRANS'!$D:$D,0)),IFERROR(INDEX('Catalog'!$A:$A,MATCH($B2247,'Catalog'!$B:$B,0)),IFERROR(INDEX('Catalog'!$A:$A,MATCH(TRIM(SUBSTITUTE($B2247,CHAR(160)," ")),'Catalog'!$C:$C,0)),""))))</f>
        <v>4416002</v>
      </c>
      <c r="H2247" s="8" t="str">
        <f aca="false">IFERROR(INDEX('TRANS'!$C:$C,MATCH($B2247,'TRANS'!$A:$A,0)),IFERROR(INDEX('Catalog'!$B:$B,MATCH($G2247,'Catalog'!$A:$A,0)),$B2247))</f>
        <v>307 S עקבים לדורבן-זוג כריות</v>
      </c>
      <c r="I2247" s="8" t="str">
        <f aca="false">IF($G2247="","Unmatched","Matched")</f>
        <v>Matched</v>
      </c>
      <c r="J2247" s="8" t="n">
        <f aca="false">IF($G2247&lt;&gt;"",$G2247,$B2247)</f>
        <v>4416002</v>
      </c>
      <c r="K2247" s="8" t="str">
        <f aca="false">IF(COUNTIF($M$1:$M$10,$A2247)&gt;0,"Y","N")</f>
        <v>Y</v>
      </c>
    </row>
    <row r="2248" customFormat="false" ht="15" hidden="false" customHeight="true" outlineLevel="0" collapsed="false">
      <c r="A2248" s="8" t="s">
        <v>42</v>
      </c>
      <c r="B2248" s="8" t="s">
        <v>603</v>
      </c>
      <c r="C2248" s="19" t="n">
        <v>9</v>
      </c>
      <c r="D2248" s="19" t="n">
        <v>1451.68</v>
      </c>
      <c r="E2248" s="19" t="n">
        <v>19</v>
      </c>
      <c r="F2248" s="19" t="n">
        <v>2978.53</v>
      </c>
      <c r="G2248" s="8" t="n">
        <f aca="false">IFERROR(INDEX('TRANS'!$B:$B,MATCH($B2248,'TRANS'!$A:$A,0)),IFERROR(INDEX('TRANS'!$B:$B,MATCH(TRIM(SUBSTITUTE($B2248,CHAR(160)," ")),'TRANS'!$D:$D,0)),IFERROR(INDEX('Catalog'!$A:$A,MATCH($B2248,'Catalog'!$B:$B,0)),IFERROR(INDEX('Catalog'!$A:$A,MATCH(TRIM(SUBSTITUTE($B2248,CHAR(160)," ")),'Catalog'!$C:$C,0)),""))))</f>
        <v>4411016</v>
      </c>
      <c r="H2248" s="8" t="str">
        <f aca="false">IFERROR(INDEX('TRANS'!$C:$C,MATCH($B2248,'TRANS'!$A:$A,0)),IFERROR(INDEX('Catalog'!$B:$B,MATCH($G2248,'Catalog'!$A:$A,0)),$B2248))</f>
        <v>307 XL כרית סיליקון לעקב</v>
      </c>
      <c r="I2248" s="8" t="str">
        <f aca="false">IF($G2248="","Unmatched","Matched")</f>
        <v>Matched</v>
      </c>
      <c r="J2248" s="8" t="n">
        <f aca="false">IF($G2248&lt;&gt;"",$G2248,$B2248)</f>
        <v>4411016</v>
      </c>
      <c r="K2248" s="8" t="str">
        <f aca="false">IF(COUNTIF($M$1:$M$10,$A2248)&gt;0,"Y","N")</f>
        <v>Y</v>
      </c>
    </row>
    <row r="2249" customFormat="false" ht="15" hidden="false" customHeight="true" outlineLevel="0" collapsed="false">
      <c r="A2249" s="8" t="s">
        <v>42</v>
      </c>
      <c r="B2249" s="8" t="s">
        <v>909</v>
      </c>
      <c r="C2249" s="19" t="n">
        <v>11</v>
      </c>
      <c r="D2249" s="19" t="n">
        <v>1072.24</v>
      </c>
      <c r="E2249" s="19" t="n">
        <v>11</v>
      </c>
      <c r="F2249" s="19" t="n">
        <v>1177.89</v>
      </c>
      <c r="G2249" s="8" t="n">
        <f aca="false">IFERROR(INDEX('TRANS'!$B:$B,MATCH($B2249,'TRANS'!$A:$A,0)),IFERROR(INDEX('TRANS'!$B:$B,MATCH(TRIM(SUBSTITUTE($B2249,CHAR(160)," ")),'TRANS'!$D:$D,0)),IFERROR(INDEX('Catalog'!$A:$A,MATCH($B2249,'Catalog'!$B:$B,0)),IFERROR(INDEX('Catalog'!$A:$A,MATCH(TRIM(SUBSTITUTE($B2249,CHAR(160)," ")),'Catalog'!$C:$C,0)),""))))</f>
        <v>4416003</v>
      </c>
      <c r="H2249" s="8" t="str">
        <f aca="false">IFERROR(INDEX('TRANS'!$C:$C,MATCH($B2249,'TRANS'!$A:$A,0)),IFERROR(INDEX('Catalog'!$B:$B,MATCH($G2249,'Catalog'!$A:$A,0)),$B2249))</f>
        <v>308 Lעקבים סיליקון כחול לדורבן</v>
      </c>
      <c r="I2249" s="8" t="str">
        <f aca="false">IF($G2249="","Unmatched","Matched")</f>
        <v>Matched</v>
      </c>
      <c r="J2249" s="8" t="n">
        <f aca="false">IF($G2249&lt;&gt;"",$G2249,$B2249)</f>
        <v>4416003</v>
      </c>
      <c r="K2249" s="8" t="str">
        <f aca="false">IF(COUNTIF($M$1:$M$10,$A2249)&gt;0,"Y","N")</f>
        <v>Y</v>
      </c>
    </row>
    <row r="2250" customFormat="false" ht="15" hidden="false" customHeight="true" outlineLevel="0" collapsed="false">
      <c r="A2250" s="8" t="s">
        <v>42</v>
      </c>
      <c r="B2250" s="8" t="s">
        <v>604</v>
      </c>
      <c r="C2250" s="19" t="n">
        <v>7</v>
      </c>
      <c r="D2250" s="19" t="n">
        <v>696.69</v>
      </c>
      <c r="E2250" s="19" t="n">
        <v>7</v>
      </c>
      <c r="F2250" s="19" t="n">
        <v>759.58</v>
      </c>
      <c r="G2250" s="8" t="n">
        <f aca="false">IFERROR(INDEX('TRANS'!$B:$B,MATCH($B2250,'TRANS'!$A:$A,0)),IFERROR(INDEX('TRANS'!$B:$B,MATCH(TRIM(SUBSTITUTE($B2250,CHAR(160)," ")),'TRANS'!$D:$D,0)),IFERROR(INDEX('Catalog'!$A:$A,MATCH($B2250,'Catalog'!$B:$B,0)),IFERROR(INDEX('Catalog'!$A:$A,MATCH(TRIM(SUBSTITUTE($B2250,CHAR(160)," ")),'Catalog'!$C:$C,0)),""))))</f>
        <v>4416005</v>
      </c>
      <c r="H2250" s="8" t="str">
        <f aca="false">IFERROR(INDEX('TRANS'!$C:$C,MATCH($B2250,'TRANS'!$A:$A,0)),IFERROR(INDEX('Catalog'!$B:$B,MATCH($G2250,'Catalog'!$A:$A,0)),$B2250))</f>
        <v>308 Mעקבים סיליק.כחול לדורבן</v>
      </c>
      <c r="I2250" s="8" t="str">
        <f aca="false">IF($G2250="","Unmatched","Matched")</f>
        <v>Matched</v>
      </c>
      <c r="J2250" s="8" t="n">
        <f aca="false">IF($G2250&lt;&gt;"",$G2250,$B2250)</f>
        <v>4416005</v>
      </c>
      <c r="K2250" s="8" t="str">
        <f aca="false">IF(COUNTIF($M$1:$M$10,$A2250)&gt;0,"Y","N")</f>
        <v>Y</v>
      </c>
    </row>
    <row r="2251" customFormat="false" ht="15" hidden="false" customHeight="true" outlineLevel="0" collapsed="false">
      <c r="A2251" s="8" t="s">
        <v>42</v>
      </c>
      <c r="B2251" s="8" t="s">
        <v>605</v>
      </c>
      <c r="C2251" s="19" t="n">
        <v>16</v>
      </c>
      <c r="D2251" s="19" t="n">
        <v>464.23</v>
      </c>
      <c r="E2251" s="19" t="n">
        <v>14</v>
      </c>
      <c r="F2251" s="19" t="n">
        <v>473.39</v>
      </c>
      <c r="G2251" s="8" t="n">
        <f aca="false">IFERROR(INDEX('TRANS'!$B:$B,MATCH($B2251,'TRANS'!$A:$A,0)),IFERROR(INDEX('TRANS'!$B:$B,MATCH(TRIM(SUBSTITUTE($B2251,CHAR(160)," ")),'TRANS'!$D:$D,0)),IFERROR(INDEX('Catalog'!$A:$A,MATCH($B2251,'Catalog'!$B:$B,0)),IFERROR(INDEX('Catalog'!$A:$A,MATCH(TRIM(SUBSTITUTE($B2251,CHAR(160)," ")),'Catalog'!$C:$C,0)),""))))</f>
        <v>4413033</v>
      </c>
      <c r="H2251" s="8" t="str">
        <f aca="false">IFERROR(INDEX('TRANS'!$C:$C,MATCH($B2251,'TRANS'!$A:$A,0)),IFERROR(INDEX('Catalog'!$B:$B,MATCH($G2251,'Catalog'!$A:$A,0)),$B2251))</f>
        <v>311'מדב.ג'ל למניעת שפשוף 5 יח</v>
      </c>
      <c r="I2251" s="8" t="str">
        <f aca="false">IF($G2251="","Unmatched","Matched")</f>
        <v>Matched</v>
      </c>
      <c r="J2251" s="8" t="n">
        <f aca="false">IF($G2251&lt;&gt;"",$G2251,$B2251)</f>
        <v>4413033</v>
      </c>
      <c r="K2251" s="8" t="str">
        <f aca="false">IF(COUNTIF($M$1:$M$10,$A2251)&gt;0,"Y","N")</f>
        <v>Y</v>
      </c>
    </row>
    <row r="2252" customFormat="false" ht="15" hidden="false" customHeight="true" outlineLevel="0" collapsed="false">
      <c r="A2252" s="8" t="s">
        <v>42</v>
      </c>
      <c r="B2252" s="8" t="s">
        <v>606</v>
      </c>
      <c r="C2252" s="19" t="n">
        <v>47</v>
      </c>
      <c r="D2252" s="19" t="n">
        <v>1772.16</v>
      </c>
      <c r="E2252" s="19" t="n">
        <v>36</v>
      </c>
      <c r="F2252" s="19" t="n">
        <v>1415.01</v>
      </c>
      <c r="G2252" s="8" t="n">
        <f aca="false">IFERROR(INDEX('TRANS'!$B:$B,MATCH($B2252,'TRANS'!$A:$A,0)),IFERROR(INDEX('TRANS'!$B:$B,MATCH(TRIM(SUBSTITUTE($B2252,CHAR(160)," ")),'TRANS'!$D:$D,0)),IFERROR(INDEX('Catalog'!$A:$A,MATCH($B2252,'Catalog'!$B:$B,0)),IFERROR(INDEX('Catalog'!$A:$A,MATCH(TRIM(SUBSTITUTE($B2252,CHAR(160)," ")),'Catalog'!$C:$C,0)),""))))</f>
        <v>4413034</v>
      </c>
      <c r="H2252" s="8" t="str">
        <f aca="false">IFERROR(INDEX('TRANS'!$C:$C,MATCH($B2252,'TRANS'!$A:$A,0)),IFERROR(INDEX('Catalog'!$B:$B,MATCH($G2252,'Catalog'!$A:$A,0)),$B2252))</f>
        <v>312 9 מ""""ס להתאמהX5 מדבקה גדולה</v>
      </c>
      <c r="I2252" s="8" t="str">
        <f aca="false">IF($G2252="","Unmatched","Matched")</f>
        <v>Matched</v>
      </c>
      <c r="J2252" s="8" t="n">
        <f aca="false">IF($G2252&lt;&gt;"",$G2252,$B2252)</f>
        <v>4413034</v>
      </c>
      <c r="K2252" s="8" t="str">
        <f aca="false">IF(COUNTIF($M$1:$M$10,$A2252)&gt;0,"Y","N")</f>
        <v>Y</v>
      </c>
    </row>
    <row r="2253" customFormat="false" ht="15" hidden="false" customHeight="true" outlineLevel="0" collapsed="false">
      <c r="A2253" s="8" t="s">
        <v>42</v>
      </c>
      <c r="B2253" s="8" t="s">
        <v>607</v>
      </c>
      <c r="C2253" s="19" t="n">
        <v>20</v>
      </c>
      <c r="D2253" s="19" t="n">
        <v>791.62</v>
      </c>
      <c r="E2253" s="19" t="n">
        <v>31</v>
      </c>
      <c r="F2253" s="19" t="n">
        <v>1278.43</v>
      </c>
      <c r="G2253" s="8" t="n">
        <f aca="false">IFERROR(INDEX('TRANS'!$B:$B,MATCH($B2253,'TRANS'!$A:$A,0)),IFERROR(INDEX('TRANS'!$B:$B,MATCH(TRIM(SUBSTITUTE($B2253,CHAR(160)," ")),'TRANS'!$D:$D,0)),IFERROR(INDEX('Catalog'!$A:$A,MATCH($B2253,'Catalog'!$B:$B,0)),IFERROR(INDEX('Catalog'!$A:$A,MATCH(TRIM(SUBSTITUTE($B2253,CHAR(160)," ")),'Catalog'!$C:$C,0)),""))))</f>
        <v>4415297</v>
      </c>
      <c r="H2253" s="8" t="str">
        <f aca="false">IFERROR(INDEX('TRANS'!$C:$C,MATCH($B2253,'TRANS'!$A:$A,0)),IFERROR(INDEX('Catalog'!$B:$B,MATCH($G2253,'Catalog'!$A:$A,0)),$B2253))</f>
        <v>313 סט פלסטרים נגד שפשופים</v>
      </c>
      <c r="I2253" s="8" t="str">
        <f aca="false">IF($G2253="","Unmatched","Matched")</f>
        <v>Matched</v>
      </c>
      <c r="J2253" s="8" t="n">
        <f aca="false">IF($G2253&lt;&gt;"",$G2253,$B2253)</f>
        <v>4415297</v>
      </c>
      <c r="K2253" s="8" t="str">
        <f aca="false">IF(COUNTIF($M$1:$M$10,$A2253)&gt;0,"Y","N")</f>
        <v>Y</v>
      </c>
    </row>
    <row r="2254" customFormat="false" ht="15" hidden="false" customHeight="true" outlineLevel="0" collapsed="false">
      <c r="A2254" s="8" t="s">
        <v>42</v>
      </c>
      <c r="B2254" s="8" t="s">
        <v>199</v>
      </c>
      <c r="C2254" s="19" t="n">
        <v>6</v>
      </c>
      <c r="D2254" s="19" t="n">
        <v>1884.83</v>
      </c>
      <c r="E2254" s="19" t="n">
        <v>4</v>
      </c>
      <c r="F2254" s="19" t="n">
        <v>1384.78</v>
      </c>
      <c r="G2254" s="8" t="str">
        <f aca="false">IFERROR(INDEX('TRANS'!$B:$B,MATCH($B2254,'TRANS'!$A:$A,0)),IFERROR(INDEX('TRANS'!$B:$B,MATCH(TRIM(SUBSTITUTE($B2254,CHAR(160)," ")),'TRANS'!$D:$D,0)),IFERROR(INDEX('Catalog'!$A:$A,MATCH($B2254,'Catalog'!$B:$B,0)),IFERROR(INDEX('Catalog'!$A:$A,MATCH(TRIM(SUBSTITUTE($B2254,CHAR(160)," ")),'Catalog'!$C:$C,0)),""))))</f>
        <v/>
      </c>
      <c r="H2254" s="8" t="str">
        <f aca="false">IFERROR(INDEX('TRANS'!$C:$C,MATCH($B2254,'TRANS'!$A:$A,0)),IFERROR(INDEX('Catalog'!$B:$B,MATCH($G2254,'Catalog'!$A:$A,0)),$B2254))</f>
        <v>32 L</v>
      </c>
      <c r="I2254" s="8" t="str">
        <f aca="false">IF($G2254="","Unmatched","Matched")</f>
        <v>Unmatched</v>
      </c>
      <c r="J2254" s="8" t="str">
        <f aca="false">IF($G2254&lt;&gt;"",$G2254,$B2254)</f>
        <v>32 L</v>
      </c>
      <c r="K2254" s="8" t="str">
        <f aca="false">IF(COUNTIF($M$1:$M$10,$A2254)&gt;0,"Y","N")</f>
        <v>Y</v>
      </c>
    </row>
    <row r="2255" customFormat="false" ht="15" hidden="false" customHeight="true" outlineLevel="0" collapsed="false">
      <c r="A2255" s="8" t="s">
        <v>42</v>
      </c>
      <c r="B2255" s="8" t="s">
        <v>261</v>
      </c>
      <c r="C2255" s="19" t="n">
        <v>2</v>
      </c>
      <c r="D2255" s="19" t="n">
        <v>634.68</v>
      </c>
      <c r="E2255" s="19" t="n">
        <v>2</v>
      </c>
      <c r="F2255" s="19" t="n">
        <v>769.32</v>
      </c>
      <c r="G2255" s="8" t="str">
        <f aca="false">IFERROR(INDEX('TRANS'!$B:$B,MATCH($B2255,'TRANS'!$A:$A,0)),IFERROR(INDEX('TRANS'!$B:$B,MATCH(TRIM(SUBSTITUTE($B2255,CHAR(160)," ")),'TRANS'!$D:$D,0)),IFERROR(INDEX('Catalog'!$A:$A,MATCH($B2255,'Catalog'!$B:$B,0)),IFERROR(INDEX('Catalog'!$A:$A,MATCH(TRIM(SUBSTITUTE($B2255,CHAR(160)," ")),'Catalog'!$C:$C,0)),""))))</f>
        <v/>
      </c>
      <c r="H2255" s="8" t="str">
        <f aca="false">IFERROR(INDEX('TRANS'!$C:$C,MATCH($B2255,'TRANS'!$A:$A,0)),IFERROR(INDEX('Catalog'!$B:$B,MATCH($G2255,'Catalog'!$A:$A,0)),$B2255))</f>
        <v>32 M</v>
      </c>
      <c r="I2255" s="8" t="str">
        <f aca="false">IF($G2255="","Unmatched","Matched")</f>
        <v>Unmatched</v>
      </c>
      <c r="J2255" s="8" t="str">
        <f aca="false">IF($G2255&lt;&gt;"",$G2255,$B2255)</f>
        <v>32 M</v>
      </c>
      <c r="K2255" s="8" t="str">
        <f aca="false">IF(COUNTIF($M$1:$M$10,$A2255)&gt;0,"Y","N")</f>
        <v>Y</v>
      </c>
    </row>
    <row r="2256" customFormat="false" ht="15" hidden="false" customHeight="true" outlineLevel="0" collapsed="false">
      <c r="A2256" s="8" t="s">
        <v>42</v>
      </c>
      <c r="B2256" s="8" t="s">
        <v>608</v>
      </c>
      <c r="C2256" s="19" t="n">
        <v>0</v>
      </c>
      <c r="D2256" s="19" t="n">
        <v>0</v>
      </c>
      <c r="E2256" s="19" t="n">
        <v>4</v>
      </c>
      <c r="F2256" s="19" t="n">
        <v>1538.64</v>
      </c>
      <c r="G2256" s="8" t="n">
        <f aca="false">IFERROR(INDEX('TRANS'!$B:$B,MATCH($B2256,'TRANS'!$A:$A,0)),IFERROR(INDEX('TRANS'!$B:$B,MATCH(TRIM(SUBSTITUTE($B2256,CHAR(160)," ")),'TRANS'!$D:$D,0)),IFERROR(INDEX('Catalog'!$A:$A,MATCH($B2256,'Catalog'!$B:$B,0)),IFERROR(INDEX('Catalog'!$A:$A,MATCH(TRIM(SUBSTITUTE($B2256,CHAR(160)," ")),'Catalog'!$C:$C,0)),""))))</f>
        <v>4415013</v>
      </c>
      <c r="H2256" s="8" t="str">
        <f aca="false">IFERROR(INDEX('TRANS'!$C:$C,MATCH($B2256,'TRANS'!$A:$A,0)),IFERROR(INDEX('Catalog'!$B:$B,MATCH($G2256,'Catalog'!$A:$A,0)),$B2256))</f>
        <v>32 XL סד קרסול+מוטות אלומיניום</v>
      </c>
      <c r="I2256" s="8" t="str">
        <f aca="false">IF($G2256="","Unmatched","Matched")</f>
        <v>Matched</v>
      </c>
      <c r="J2256" s="8" t="n">
        <f aca="false">IF($G2256&lt;&gt;"",$G2256,$B2256)</f>
        <v>4415013</v>
      </c>
      <c r="K2256" s="8" t="str">
        <f aca="false">IF(COUNTIF($M$1:$M$10,$A2256)&gt;0,"Y","N")</f>
        <v>Y</v>
      </c>
    </row>
    <row r="2257" customFormat="false" ht="15" hidden="false" customHeight="true" outlineLevel="0" collapsed="false">
      <c r="A2257" s="8" t="s">
        <v>42</v>
      </c>
      <c r="B2257" s="8" t="s">
        <v>289</v>
      </c>
      <c r="C2257" s="19" t="n">
        <v>1</v>
      </c>
      <c r="D2257" s="19" t="n">
        <v>346.19</v>
      </c>
      <c r="E2257" s="19" t="n">
        <v>0</v>
      </c>
      <c r="F2257" s="19" t="n">
        <v>0</v>
      </c>
      <c r="G2257" s="8" t="str">
        <f aca="false">IFERROR(INDEX('TRANS'!$B:$B,MATCH($B2257,'TRANS'!$A:$A,0)),IFERROR(INDEX('TRANS'!$B:$B,MATCH(TRIM(SUBSTITUTE($B2257,CHAR(160)," ")),'TRANS'!$D:$D,0)),IFERROR(INDEX('Catalog'!$A:$A,MATCH($B2257,'Catalog'!$B:$B,0)),IFERROR(INDEX('Catalog'!$A:$A,MATCH(TRIM(SUBSTITUTE($B2257,CHAR(160)," ")),'Catalog'!$C:$C,0)),""))))</f>
        <v/>
      </c>
      <c r="H2257" s="8" t="str">
        <f aca="false">IFERROR(INDEX('TRANS'!$C:$C,MATCH($B2257,'TRANS'!$A:$A,0)),IFERROR(INDEX('Catalog'!$B:$B,MATCH($G2257,'Catalog'!$A:$A,0)),$B2257))</f>
        <v>32 XXL</v>
      </c>
      <c r="I2257" s="8" t="str">
        <f aca="false">IF($G2257="","Unmatched","Matched")</f>
        <v>Unmatched</v>
      </c>
      <c r="J2257" s="8" t="str">
        <f aca="false">IF($G2257&lt;&gt;"",$G2257,$B2257)</f>
        <v>32 XXL</v>
      </c>
      <c r="K2257" s="8" t="str">
        <f aca="false">IF(COUNTIF($M$1:$M$10,$A2257)&gt;0,"Y","N")</f>
        <v>Y</v>
      </c>
    </row>
    <row r="2258" customFormat="false" ht="15" hidden="false" customHeight="true" outlineLevel="0" collapsed="false">
      <c r="A2258" s="8" t="s">
        <v>42</v>
      </c>
      <c r="B2258" s="8" t="s">
        <v>609</v>
      </c>
      <c r="C2258" s="19" t="n">
        <v>28</v>
      </c>
      <c r="D2258" s="19" t="n">
        <v>898.41</v>
      </c>
      <c r="E2258" s="19" t="n">
        <v>28</v>
      </c>
      <c r="F2258" s="19" t="n">
        <v>974.74</v>
      </c>
      <c r="G2258" s="8" t="n">
        <f aca="false">IFERROR(INDEX('TRANS'!$B:$B,MATCH($B2258,'TRANS'!$A:$A,0)),IFERROR(INDEX('TRANS'!$B:$B,MATCH(TRIM(SUBSTITUTE($B2258,CHAR(160)," ")),'TRANS'!$D:$D,0)),IFERROR(INDEX('Catalog'!$A:$A,MATCH($B2258,'Catalog'!$B:$B,0)),IFERROR(INDEX('Catalog'!$A:$A,MATCH(TRIM(SUBSTITUTE($B2258,CHAR(160)," ")),'Catalog'!$C:$C,0)),""))))</f>
        <v>4402007</v>
      </c>
      <c r="H2258" s="8" t="str">
        <f aca="false">IFERROR(INDEX('TRANS'!$C:$C,MATCH($B2258,'TRANS'!$A:$A,0)),IFERROR(INDEX('Catalog'!$B:$B,MATCH($G2258,'Catalog'!$A:$A,0)),$B2258))</f>
        <v>320 בליסטר פלסטר</v>
      </c>
      <c r="I2258" s="8" t="str">
        <f aca="false">IF($G2258="","Unmatched","Matched")</f>
        <v>Matched</v>
      </c>
      <c r="J2258" s="8" t="n">
        <f aca="false">IF($G2258&lt;&gt;"",$G2258,$B2258)</f>
        <v>4402007</v>
      </c>
      <c r="K2258" s="8" t="str">
        <f aca="false">IF(COUNTIF($M$1:$M$10,$A2258)&gt;0,"Y","N")</f>
        <v>Y</v>
      </c>
    </row>
    <row r="2259" customFormat="false" ht="15" hidden="false" customHeight="true" outlineLevel="0" collapsed="false">
      <c r="A2259" s="8" t="s">
        <v>42</v>
      </c>
      <c r="B2259" s="8" t="s">
        <v>277</v>
      </c>
      <c r="C2259" s="19" t="n">
        <v>1</v>
      </c>
      <c r="D2259" s="19" t="n">
        <v>222.8</v>
      </c>
      <c r="E2259" s="19" t="n">
        <v>0</v>
      </c>
      <c r="F2259" s="19" t="n">
        <v>0</v>
      </c>
      <c r="G2259" s="8" t="str">
        <f aca="false">IFERROR(INDEX('TRANS'!$B:$B,MATCH($B2259,'TRANS'!$A:$A,0)),IFERROR(INDEX('TRANS'!$B:$B,MATCH(TRIM(SUBSTITUTE($B2259,CHAR(160)," ")),'TRANS'!$D:$D,0)),IFERROR(INDEX('Catalog'!$A:$A,MATCH($B2259,'Catalog'!$B:$B,0)),IFERROR(INDEX('Catalog'!$A:$A,MATCH(TRIM(SUBSTITUTE($B2259,CHAR(160)," ")),'Catalog'!$C:$C,0)),""))))</f>
        <v/>
      </c>
      <c r="H2259" s="8" t="str">
        <f aca="false">IFERROR(INDEX('TRANS'!$C:$C,MATCH($B2259,'TRANS'!$A:$A,0)),IFERROR(INDEX('Catalog'!$B:$B,MATCH($G2259,'Catalog'!$A:$A,0)),$B2259))</f>
        <v>332B M</v>
      </c>
      <c r="I2259" s="8" t="str">
        <f aca="false">IF($G2259="","Unmatched","Matched")</f>
        <v>Unmatched</v>
      </c>
      <c r="J2259" s="8" t="str">
        <f aca="false">IF($G2259&lt;&gt;"",$G2259,$B2259)</f>
        <v>332B M</v>
      </c>
      <c r="K2259" s="8" t="str">
        <f aca="false">IF(COUNTIF($M$1:$M$10,$A2259)&gt;0,"Y","N")</f>
        <v>Y</v>
      </c>
    </row>
    <row r="2260" customFormat="false" ht="15" hidden="false" customHeight="true" outlineLevel="0" collapsed="false">
      <c r="A2260" s="8" t="s">
        <v>42</v>
      </c>
      <c r="B2260" s="8" t="s">
        <v>867</v>
      </c>
      <c r="C2260" s="19" t="n">
        <v>4</v>
      </c>
      <c r="D2260" s="19" t="n">
        <v>936.92</v>
      </c>
      <c r="E2260" s="19" t="n">
        <v>0</v>
      </c>
      <c r="F2260" s="19" t="n">
        <v>0</v>
      </c>
      <c r="G2260" s="8" t="n">
        <f aca="false">IFERROR(INDEX('TRANS'!$B:$B,MATCH($B2260,'TRANS'!$A:$A,0)),IFERROR(INDEX('TRANS'!$B:$B,MATCH(TRIM(SUBSTITUTE($B2260,CHAR(160)," ")),'TRANS'!$D:$D,0)),IFERROR(INDEX('Catalog'!$A:$A,MATCH($B2260,'Catalog'!$B:$B,0)),IFERROR(INDEX('Catalog'!$A:$A,MATCH(TRIM(SUBSTITUTE($B2260,CHAR(160)," ")),'Catalog'!$C:$C,0)),""))))</f>
        <v>4415019</v>
      </c>
      <c r="H2260" s="8" t="str">
        <f aca="false">IFERROR(INDEX('TRANS'!$C:$C,MATCH($B2260,'TRANS'!$A:$A,0)),IFERROR(INDEX('Catalog'!$B:$B,MATCH($G2260,'Catalog'!$A:$A,0)),$B2260))</f>
        <v>333 סד לקרסול עם כריות אויר</v>
      </c>
      <c r="I2260" s="8" t="str">
        <f aca="false">IF($G2260="","Unmatched","Matched")</f>
        <v>Matched</v>
      </c>
      <c r="J2260" s="8" t="n">
        <f aca="false">IF($G2260&lt;&gt;"",$G2260,$B2260)</f>
        <v>4415019</v>
      </c>
      <c r="K2260" s="8" t="str">
        <f aca="false">IF(COUNTIF($M$1:$M$10,$A2260)&gt;0,"Y","N")</f>
        <v>Y</v>
      </c>
    </row>
    <row r="2261" customFormat="false" ht="15" hidden="false" customHeight="true" outlineLevel="0" collapsed="false">
      <c r="A2261" s="8" t="s">
        <v>42</v>
      </c>
      <c r="B2261" s="8" t="s">
        <v>910</v>
      </c>
      <c r="C2261" s="19" t="n">
        <v>18</v>
      </c>
      <c r="D2261" s="19" t="n">
        <v>1328.31</v>
      </c>
      <c r="E2261" s="19" t="n">
        <v>12</v>
      </c>
      <c r="F2261" s="19" t="n">
        <v>1007.48</v>
      </c>
      <c r="G2261" s="8" t="n">
        <f aca="false">IFERROR(INDEX('TRANS'!$B:$B,MATCH($B2261,'TRANS'!$A:$A,0)),IFERROR(INDEX('TRANS'!$B:$B,MATCH(TRIM(SUBSTITUTE($B2261,CHAR(160)," ")),'TRANS'!$D:$D,0)),IFERROR(INDEX('Catalog'!$A:$A,MATCH($B2261,'Catalog'!$B:$B,0)),IFERROR(INDEX('Catalog'!$A:$A,MATCH(TRIM(SUBSTITUTE($B2261,CHAR(160)," ")),'Catalog'!$C:$C,0)),""))))</f>
        <v>4413043</v>
      </c>
      <c r="H2261" s="8" t="str">
        <f aca="false">IFERROR(INDEX('TRANS'!$C:$C,MATCH($B2261,'TRANS'!$A:$A,0)),IFERROR(INDEX('Catalog'!$B:$B,MATCH($G2261,'Catalog'!$A:$A,0)),$B2261))</f>
        <v>34  L מגן קרסול עקב סגור</v>
      </c>
      <c r="I2261" s="8" t="str">
        <f aca="false">IF($G2261="","Unmatched","Matched")</f>
        <v>Matched</v>
      </c>
      <c r="J2261" s="8" t="n">
        <f aca="false">IF($G2261&lt;&gt;"",$G2261,$B2261)</f>
        <v>4413043</v>
      </c>
      <c r="K2261" s="8" t="str">
        <f aca="false">IF(COUNTIF($M$1:$M$10,$A2261)&gt;0,"Y","N")</f>
        <v>Y</v>
      </c>
    </row>
    <row r="2262" customFormat="false" ht="15" hidden="false" customHeight="true" outlineLevel="0" collapsed="false">
      <c r="A2262" s="8" t="s">
        <v>42</v>
      </c>
      <c r="B2262" s="8" t="s">
        <v>915</v>
      </c>
      <c r="C2262" s="19" t="n">
        <v>7</v>
      </c>
      <c r="D2262" s="19" t="n">
        <v>518.41</v>
      </c>
      <c r="E2262" s="19" t="n">
        <v>4</v>
      </c>
      <c r="F2262" s="19" t="n">
        <v>317.48</v>
      </c>
      <c r="G2262" s="8" t="n">
        <f aca="false">IFERROR(INDEX('TRANS'!$B:$B,MATCH($B2262,'TRANS'!$A:$A,0)),IFERROR(INDEX('TRANS'!$B:$B,MATCH(TRIM(SUBSTITUTE($B2262,CHAR(160)," ")),'TRANS'!$D:$D,0)),IFERROR(INDEX('Catalog'!$A:$A,MATCH($B2262,'Catalog'!$B:$B,0)),IFERROR(INDEX('Catalog'!$A:$A,MATCH(TRIM(SUBSTITUTE($B2262,CHAR(160)," ")),'Catalog'!$C:$C,0)),""))))</f>
        <v>4413041</v>
      </c>
      <c r="H2262" s="8" t="str">
        <f aca="false">IFERROR(INDEX('TRANS'!$C:$C,MATCH($B2262,'TRANS'!$A:$A,0)),IFERROR(INDEX('Catalog'!$B:$B,MATCH($G2262,'Catalog'!$A:$A,0)),$B2262))</f>
        <v>34  M מגן קרסול עקב סגור</v>
      </c>
      <c r="I2262" s="8" t="str">
        <f aca="false">IF($G2262="","Unmatched","Matched")</f>
        <v>Matched</v>
      </c>
      <c r="J2262" s="8" t="n">
        <f aca="false">IF($G2262&lt;&gt;"",$G2262,$B2262)</f>
        <v>4413041</v>
      </c>
      <c r="K2262" s="8" t="str">
        <f aca="false">IF(COUNTIF($M$1:$M$10,$A2262)&gt;0,"Y","N")</f>
        <v>Y</v>
      </c>
    </row>
    <row r="2263" customFormat="false" ht="15" hidden="false" customHeight="true" outlineLevel="0" collapsed="false">
      <c r="A2263" s="8" t="s">
        <v>42</v>
      </c>
      <c r="B2263" s="8" t="s">
        <v>984</v>
      </c>
      <c r="C2263" s="19" t="n">
        <v>5</v>
      </c>
      <c r="D2263" s="19" t="n">
        <v>359.81</v>
      </c>
      <c r="E2263" s="19" t="n">
        <v>1</v>
      </c>
      <c r="F2263" s="19" t="n">
        <v>84.66</v>
      </c>
      <c r="G2263" s="8" t="n">
        <f aca="false">IFERROR(INDEX('TRANS'!$B:$B,MATCH($B2263,'TRANS'!$A:$A,0)),IFERROR(INDEX('TRANS'!$B:$B,MATCH(TRIM(SUBSTITUTE($B2263,CHAR(160)," ")),'TRANS'!$D:$D,0)),IFERROR(INDEX('Catalog'!$A:$A,MATCH($B2263,'Catalog'!$B:$B,0)),IFERROR(INDEX('Catalog'!$A:$A,MATCH(TRIM(SUBSTITUTE($B2263,CHAR(160)," ")),'Catalog'!$C:$C,0)),""))))</f>
        <v>4413042</v>
      </c>
      <c r="H2263" s="8" t="str">
        <f aca="false">IFERROR(INDEX('TRANS'!$C:$C,MATCH($B2263,'TRANS'!$A:$A,0)),IFERROR(INDEX('Catalog'!$B:$B,MATCH($G2263,'Catalog'!$A:$A,0)),$B2263))</f>
        <v>34  S מגן קרסול עקב סגור</v>
      </c>
      <c r="I2263" s="8" t="str">
        <f aca="false">IF($G2263="","Unmatched","Matched")</f>
        <v>Matched</v>
      </c>
      <c r="J2263" s="8" t="n">
        <f aca="false">IF($G2263&lt;&gt;"",$G2263,$B2263)</f>
        <v>4413042</v>
      </c>
      <c r="K2263" s="8" t="str">
        <f aca="false">IF(COUNTIF($M$1:$M$10,$A2263)&gt;0,"Y","N")</f>
        <v>Y</v>
      </c>
    </row>
    <row r="2264" customFormat="false" ht="15" hidden="false" customHeight="true" outlineLevel="0" collapsed="false">
      <c r="A2264" s="8" t="s">
        <v>42</v>
      </c>
      <c r="B2264" s="8" t="s">
        <v>916</v>
      </c>
      <c r="C2264" s="19" t="n">
        <v>6</v>
      </c>
      <c r="D2264" s="19" t="n">
        <v>469.86</v>
      </c>
      <c r="E2264" s="19" t="n">
        <v>8</v>
      </c>
      <c r="F2264" s="19" t="n">
        <v>656.11</v>
      </c>
      <c r="G2264" s="8" t="n">
        <f aca="false">IFERROR(INDEX('TRANS'!$B:$B,MATCH($B2264,'TRANS'!$A:$A,0)),IFERROR(INDEX('TRANS'!$B:$B,MATCH(TRIM(SUBSTITUTE($B2264,CHAR(160)," ")),'TRANS'!$D:$D,0)),IFERROR(INDEX('Catalog'!$A:$A,MATCH($B2264,'Catalog'!$B:$B,0)),IFERROR(INDEX('Catalog'!$A:$A,MATCH(TRIM(SUBSTITUTE($B2264,CHAR(160)," ")),'Catalog'!$C:$C,0)),""))))</f>
        <v>4413044</v>
      </c>
      <c r="H2264" s="8" t="str">
        <f aca="false">IFERROR(INDEX('TRANS'!$C:$C,MATCH($B2264,'TRANS'!$A:$A,0)),IFERROR(INDEX('Catalog'!$B:$B,MATCH($G2264,'Catalog'!$A:$A,0)),$B2264))</f>
        <v>34 XL מגן קרסול עקב סגור</v>
      </c>
      <c r="I2264" s="8" t="str">
        <f aca="false">IF($G2264="","Unmatched","Matched")</f>
        <v>Matched</v>
      </c>
      <c r="J2264" s="8" t="n">
        <f aca="false">IF($G2264&lt;&gt;"",$G2264,$B2264)</f>
        <v>4413044</v>
      </c>
      <c r="K2264" s="8" t="str">
        <f aca="false">IF(COUNTIF($M$1:$M$10,$A2264)&gt;0,"Y","N")</f>
        <v>Y</v>
      </c>
    </row>
    <row r="2265" customFormat="false" ht="15" hidden="false" customHeight="true" outlineLevel="0" collapsed="false">
      <c r="A2265" s="8" t="s">
        <v>42</v>
      </c>
      <c r="B2265" s="8" t="s">
        <v>212</v>
      </c>
      <c r="C2265" s="19" t="n">
        <v>0</v>
      </c>
      <c r="D2265" s="19" t="n">
        <v>0</v>
      </c>
      <c r="E2265" s="19" t="n">
        <v>1</v>
      </c>
      <c r="F2265" s="19" t="n">
        <v>76.2</v>
      </c>
      <c r="G2265" s="8" t="str">
        <f aca="false">IFERROR(INDEX('TRANS'!$B:$B,MATCH($B2265,'TRANS'!$A:$A,0)),IFERROR(INDEX('TRANS'!$B:$B,MATCH(TRIM(SUBSTITUTE($B2265,CHAR(160)," ")),'TRANS'!$D:$D,0)),IFERROR(INDEX('Catalog'!$A:$A,MATCH($B2265,'Catalog'!$B:$B,0)),IFERROR(INDEX('Catalog'!$A:$A,MATCH(TRIM(SUBSTITUTE($B2265,CHAR(160)," ")),'Catalog'!$C:$C,0)),""))))</f>
        <v/>
      </c>
      <c r="H2265" s="8" t="str">
        <f aca="false">IFERROR(INDEX('TRANS'!$C:$C,MATCH($B2265,'TRANS'!$A:$A,0)),IFERROR(INDEX('Catalog'!$B:$B,MATCH($G2265,'Catalog'!$A:$A,0)),$B2265))</f>
        <v>34 XS</v>
      </c>
      <c r="I2265" s="8" t="str">
        <f aca="false">IF($G2265="","Unmatched","Matched")</f>
        <v>Unmatched</v>
      </c>
      <c r="J2265" s="8" t="str">
        <f aca="false">IF($G2265&lt;&gt;"",$G2265,$B2265)</f>
        <v>34 XS</v>
      </c>
      <c r="K2265" s="8" t="str">
        <f aca="false">IF(COUNTIF($M$1:$M$10,$A2265)&gt;0,"Y","N")</f>
        <v>Y</v>
      </c>
    </row>
    <row r="2266" customFormat="false" ht="15" hidden="false" customHeight="true" outlineLevel="0" collapsed="false">
      <c r="A2266" s="8" t="s">
        <v>42</v>
      </c>
      <c r="B2266" s="8" t="s">
        <v>985</v>
      </c>
      <c r="C2266" s="19" t="n">
        <v>11</v>
      </c>
      <c r="D2266" s="19" t="n">
        <v>863.53</v>
      </c>
      <c r="E2266" s="19" t="n">
        <v>19</v>
      </c>
      <c r="F2266" s="19" t="n">
        <v>1557.75</v>
      </c>
      <c r="G2266" s="8" t="n">
        <f aca="false">IFERROR(INDEX('TRANS'!$B:$B,MATCH($B2266,'TRANS'!$A:$A,0)),IFERROR(INDEX('TRANS'!$B:$B,MATCH(TRIM(SUBSTITUTE($B2266,CHAR(160)," ")),'TRANS'!$D:$D,0)),IFERROR(INDEX('Catalog'!$A:$A,MATCH($B2266,'Catalog'!$B:$B,0)),IFERROR(INDEX('Catalog'!$A:$A,MATCH(TRIM(SUBSTITUTE($B2266,CHAR(160)," ")),'Catalog'!$C:$C,0)),""))))</f>
        <v>4413046</v>
      </c>
      <c r="H2266" s="8" t="str">
        <f aca="false">IFERROR(INDEX('TRANS'!$C:$C,MATCH($B2266,'TRANS'!$A:$A,0)),IFERROR(INDEX('Catalog'!$B:$B,MATCH($G2266,'Catalog'!$A:$A,0)),$B2266))</f>
        <v>34 XXL מגן קרסול עקב סגור</v>
      </c>
      <c r="I2266" s="8" t="str">
        <f aca="false">IF($G2266="","Unmatched","Matched")</f>
        <v>Matched</v>
      </c>
      <c r="J2266" s="8" t="n">
        <f aca="false">IF($G2266&lt;&gt;"",$G2266,$B2266)</f>
        <v>4413046</v>
      </c>
      <c r="K2266" s="8" t="str">
        <f aca="false">IF(COUNTIF($M$1:$M$10,$A2266)&gt;0,"Y","N")</f>
        <v>Y</v>
      </c>
    </row>
    <row r="2267" customFormat="false" ht="15" hidden="false" customHeight="true" outlineLevel="0" collapsed="false">
      <c r="A2267" s="8" t="s">
        <v>42</v>
      </c>
      <c r="B2267" s="8" t="s">
        <v>611</v>
      </c>
      <c r="C2267" s="19" t="n">
        <v>10</v>
      </c>
      <c r="D2267" s="19" t="n">
        <v>1165.88</v>
      </c>
      <c r="E2267" s="19" t="n">
        <v>28</v>
      </c>
      <c r="F2267" s="19" t="n">
        <v>3410.85</v>
      </c>
      <c r="G2267" s="8" t="n">
        <f aca="false">IFERROR(INDEX('TRANS'!$B:$B,MATCH($B2267,'TRANS'!$A:$A,0)),IFERROR(INDEX('TRANS'!$B:$B,MATCH(TRIM(SUBSTITUTE($B2267,CHAR(160)," ")),'TRANS'!$D:$D,0)),IFERROR(INDEX('Catalog'!$A:$A,MATCH($B2267,'Catalog'!$B:$B,0)),IFERROR(INDEX('Catalog'!$A:$A,MATCH(TRIM(SUBSTITUTE($B2267,CHAR(160)," ")),'Catalog'!$C:$C,0)),""))))</f>
        <v>4413161</v>
      </c>
      <c r="H2267" s="8" t="str">
        <f aca="false">IFERROR(INDEX('TRANS'!$C:$C,MATCH($B2267,'TRANS'!$A:$A,0)),IFERROR(INDEX('Catalog'!$B:$B,MATCH($G2267,'Catalog'!$A:$A,0)),$B2267))</f>
        <v>34+ L מגן קרסול עקב סגור+רצוע</v>
      </c>
      <c r="I2267" s="8" t="str">
        <f aca="false">IF($G2267="","Unmatched","Matched")</f>
        <v>Matched</v>
      </c>
      <c r="J2267" s="8" t="n">
        <f aca="false">IF($G2267&lt;&gt;"",$G2267,$B2267)</f>
        <v>4413161</v>
      </c>
      <c r="K2267" s="8" t="str">
        <f aca="false">IF(COUNTIF($M$1:$M$10,$A2267)&gt;0,"Y","N")</f>
        <v>Y</v>
      </c>
    </row>
    <row r="2268" customFormat="false" ht="15" hidden="false" customHeight="true" outlineLevel="0" collapsed="false">
      <c r="A2268" s="8" t="s">
        <v>42</v>
      </c>
      <c r="B2268" s="8" t="s">
        <v>790</v>
      </c>
      <c r="C2268" s="19" t="n">
        <v>18</v>
      </c>
      <c r="D2268" s="19" t="n">
        <v>2013.67</v>
      </c>
      <c r="E2268" s="19" t="n">
        <v>12</v>
      </c>
      <c r="F2268" s="19" t="n">
        <v>1460.86</v>
      </c>
      <c r="G2268" s="8" t="n">
        <f aca="false">IFERROR(INDEX('TRANS'!$B:$B,MATCH($B2268,'TRANS'!$A:$A,0)),IFERROR(INDEX('TRANS'!$B:$B,MATCH(TRIM(SUBSTITUTE($B2268,CHAR(160)," ")),'TRANS'!$D:$D,0)),IFERROR(INDEX('Catalog'!$A:$A,MATCH($B2268,'Catalog'!$B:$B,0)),IFERROR(INDEX('Catalog'!$A:$A,MATCH(TRIM(SUBSTITUTE($B2268,CHAR(160)," ")),'Catalog'!$C:$C,0)),""))))</f>
        <v>4413160</v>
      </c>
      <c r="H2268" s="8" t="str">
        <f aca="false">IFERROR(INDEX('TRANS'!$C:$C,MATCH($B2268,'TRANS'!$A:$A,0)),IFERROR(INDEX('Catalog'!$B:$B,MATCH($G2268,'Catalog'!$A:$A,0)),$B2268))</f>
        <v>34+ M מגן קרסול עקב סגור+רצוע</v>
      </c>
      <c r="I2268" s="8" t="str">
        <f aca="false">IF($G2268="","Unmatched","Matched")</f>
        <v>Matched</v>
      </c>
      <c r="J2268" s="8" t="n">
        <f aca="false">IF($G2268&lt;&gt;"",$G2268,$B2268)</f>
        <v>4413160</v>
      </c>
      <c r="K2268" s="8" t="str">
        <f aca="false">IF(COUNTIF($M$1:$M$10,$A2268)&gt;0,"Y","N")</f>
        <v>Y</v>
      </c>
    </row>
    <row r="2269" customFormat="false" ht="15" hidden="false" customHeight="true" outlineLevel="0" collapsed="false">
      <c r="A2269" s="8" t="s">
        <v>42</v>
      </c>
      <c r="B2269" s="8" t="s">
        <v>942</v>
      </c>
      <c r="C2269" s="19" t="n">
        <v>6</v>
      </c>
      <c r="D2269" s="19" t="n">
        <v>693.58</v>
      </c>
      <c r="E2269" s="19" t="n">
        <v>6</v>
      </c>
      <c r="F2269" s="19" t="n">
        <v>736.81</v>
      </c>
      <c r="G2269" s="8" t="n">
        <f aca="false">IFERROR(INDEX('TRANS'!$B:$B,MATCH($B2269,'TRANS'!$A:$A,0)),IFERROR(INDEX('TRANS'!$B:$B,MATCH(TRIM(SUBSTITUTE($B2269,CHAR(160)," ")),'TRANS'!$D:$D,0)),IFERROR(INDEX('Catalog'!$A:$A,MATCH($B2269,'Catalog'!$B:$B,0)),IFERROR(INDEX('Catalog'!$A:$A,MATCH(TRIM(SUBSTITUTE($B2269,CHAR(160)," ")),'Catalog'!$C:$C,0)),""))))</f>
        <v>4413159</v>
      </c>
      <c r="H2269" s="8" t="str">
        <f aca="false">IFERROR(INDEX('TRANS'!$C:$C,MATCH($B2269,'TRANS'!$A:$A,0)),IFERROR(INDEX('Catalog'!$B:$B,MATCH($G2269,'Catalog'!$A:$A,0)),$B2269))</f>
        <v>34+ S מגן קרסול עקב סגור+רצוע</v>
      </c>
      <c r="I2269" s="8" t="str">
        <f aca="false">IF($G2269="","Unmatched","Matched")</f>
        <v>Matched</v>
      </c>
      <c r="J2269" s="8" t="n">
        <f aca="false">IF($G2269&lt;&gt;"",$G2269,$B2269)</f>
        <v>4413159</v>
      </c>
      <c r="K2269" s="8" t="str">
        <f aca="false">IF(COUNTIF($M$1:$M$10,$A2269)&gt;0,"Y","N")</f>
        <v>Y</v>
      </c>
    </row>
    <row r="2270" customFormat="false" ht="15" hidden="false" customHeight="true" outlineLevel="0" collapsed="false">
      <c r="A2270" s="8" t="s">
        <v>42</v>
      </c>
      <c r="B2270" s="8" t="s">
        <v>612</v>
      </c>
      <c r="C2270" s="19" t="n">
        <v>10</v>
      </c>
      <c r="D2270" s="19" t="n">
        <v>1181.38</v>
      </c>
      <c r="E2270" s="19" t="n">
        <v>5</v>
      </c>
      <c r="F2270" s="19" t="n">
        <v>609.74</v>
      </c>
      <c r="G2270" s="8" t="n">
        <f aca="false">IFERROR(INDEX('TRANS'!$B:$B,MATCH($B2270,'TRANS'!$A:$A,0)),IFERROR(INDEX('TRANS'!$B:$B,MATCH(TRIM(SUBSTITUTE($B2270,CHAR(160)," ")),'TRANS'!$D:$D,0)),IFERROR(INDEX('Catalog'!$A:$A,MATCH($B2270,'Catalog'!$B:$B,0)),IFERROR(INDEX('Catalog'!$A:$A,MATCH(TRIM(SUBSTITUTE($B2270,CHAR(160)," ")),'Catalog'!$C:$C,0)),""))))</f>
        <v>4413162</v>
      </c>
      <c r="H2270" s="8" t="str">
        <f aca="false">IFERROR(INDEX('TRANS'!$C:$C,MATCH($B2270,'TRANS'!$A:$A,0)),IFERROR(INDEX('Catalog'!$B:$B,MATCH($G2270,'Catalog'!$A:$A,0)),$B2270))</f>
        <v>34+XL מגן קרסול עקב סגור+רצוע</v>
      </c>
      <c r="I2270" s="8" t="str">
        <f aca="false">IF($G2270="","Unmatched","Matched")</f>
        <v>Matched</v>
      </c>
      <c r="J2270" s="8" t="n">
        <f aca="false">IF($G2270&lt;&gt;"",$G2270,$B2270)</f>
        <v>4413162</v>
      </c>
      <c r="K2270" s="8" t="str">
        <f aca="false">IF(COUNTIF($M$1:$M$10,$A2270)&gt;0,"Y","N")</f>
        <v>Y</v>
      </c>
    </row>
    <row r="2271" customFormat="false" ht="15" hidden="false" customHeight="true" outlineLevel="0" collapsed="false">
      <c r="A2271" s="8" t="s">
        <v>42</v>
      </c>
      <c r="B2271" s="8" t="s">
        <v>197</v>
      </c>
      <c r="C2271" s="19" t="n">
        <v>2</v>
      </c>
      <c r="D2271" s="19" t="n">
        <v>222.04</v>
      </c>
      <c r="E2271" s="19" t="n">
        <v>5</v>
      </c>
      <c r="F2271" s="19" t="n">
        <v>622.46</v>
      </c>
      <c r="G2271" s="8" t="str">
        <f aca="false">IFERROR(INDEX('TRANS'!$B:$B,MATCH($B2271,'TRANS'!$A:$A,0)),IFERROR(INDEX('TRANS'!$B:$B,MATCH(TRIM(SUBSTITUTE($B2271,CHAR(160)," ")),'TRANS'!$D:$D,0)),IFERROR(INDEX('Catalog'!$A:$A,MATCH($B2271,'Catalog'!$B:$B,0)),IFERROR(INDEX('Catalog'!$A:$A,MATCH(TRIM(SUBSTITUTE($B2271,CHAR(160)," ")),'Catalog'!$C:$C,0)),""))))</f>
        <v/>
      </c>
      <c r="H2271" s="8" t="str">
        <f aca="false">IFERROR(INDEX('TRANS'!$C:$C,MATCH($B2271,'TRANS'!$A:$A,0)),IFERROR(INDEX('Catalog'!$B:$B,MATCH($G2271,'Catalog'!$A:$A,0)),$B2271))</f>
        <v>34+ XS</v>
      </c>
      <c r="I2271" s="8" t="str">
        <f aca="false">IF($G2271="","Unmatched","Matched")</f>
        <v>Unmatched</v>
      </c>
      <c r="J2271" s="8" t="str">
        <f aca="false">IF($G2271&lt;&gt;"",$G2271,$B2271)</f>
        <v>34+ XS</v>
      </c>
      <c r="K2271" s="8" t="str">
        <f aca="false">IF(COUNTIF($M$1:$M$10,$A2271)&gt;0,"Y","N")</f>
        <v>Y</v>
      </c>
    </row>
    <row r="2272" customFormat="false" ht="15" hidden="false" customHeight="true" outlineLevel="0" collapsed="false">
      <c r="A2272" s="8" t="s">
        <v>42</v>
      </c>
      <c r="B2272" s="8" t="s">
        <v>943</v>
      </c>
      <c r="C2272" s="19" t="n">
        <v>7</v>
      </c>
      <c r="D2272" s="19" t="n">
        <v>813.77</v>
      </c>
      <c r="E2272" s="19" t="n">
        <v>9</v>
      </c>
      <c r="F2272" s="19" t="n">
        <v>1105.2</v>
      </c>
      <c r="G2272" s="8" t="n">
        <f aca="false">IFERROR(INDEX('TRANS'!$B:$B,MATCH($B2272,'TRANS'!$A:$A,0)),IFERROR(INDEX('TRANS'!$B:$B,MATCH(TRIM(SUBSTITUTE($B2272,CHAR(160)," ")),'TRANS'!$D:$D,0)),IFERROR(INDEX('Catalog'!$A:$A,MATCH($B2272,'Catalog'!$B:$B,0)),IFERROR(INDEX('Catalog'!$A:$A,MATCH(TRIM(SUBSTITUTE($B2272,CHAR(160)," ")),'Catalog'!$C:$C,0)),""))))</f>
        <v>4413303</v>
      </c>
      <c r="H2272" s="8" t="str">
        <f aca="false">IFERROR(INDEX('TRANS'!$C:$C,MATCH($B2272,'TRANS'!$A:$A,0)),IFERROR(INDEX('Catalog'!$B:$B,MATCH($G2272,'Catalog'!$A:$A,0)),$B2272))</f>
        <v>34+XXL מ.קרסול+עכב סגור+רצועות</v>
      </c>
      <c r="I2272" s="8" t="str">
        <f aca="false">IF($G2272="","Unmatched","Matched")</f>
        <v>Matched</v>
      </c>
      <c r="J2272" s="8" t="n">
        <f aca="false">IF($G2272&lt;&gt;"",$G2272,$B2272)</f>
        <v>4413303</v>
      </c>
      <c r="K2272" s="8" t="str">
        <f aca="false">IF(COUNTIF($M$1:$M$10,$A2272)&gt;0,"Y","N")</f>
        <v>Y</v>
      </c>
    </row>
    <row r="2273" customFormat="false" ht="15" hidden="false" customHeight="true" outlineLevel="0" collapsed="false">
      <c r="A2273" s="8" t="s">
        <v>42</v>
      </c>
      <c r="B2273" s="8" t="s">
        <v>791</v>
      </c>
      <c r="C2273" s="19" t="n">
        <v>17</v>
      </c>
      <c r="D2273" s="19" t="n">
        <v>1083.19</v>
      </c>
      <c r="E2273" s="19" t="n">
        <v>35</v>
      </c>
      <c r="F2273" s="19" t="n">
        <v>2305.45</v>
      </c>
      <c r="G2273" s="8" t="n">
        <f aca="false">IFERROR(INDEX('TRANS'!$B:$B,MATCH($B2273,'TRANS'!$A:$A,0)),IFERROR(INDEX('TRANS'!$B:$B,MATCH(TRIM(SUBSTITUTE($B2273,CHAR(160)," ")),'TRANS'!$D:$D,0)),IFERROR(INDEX('Catalog'!$A:$A,MATCH($B2273,'Catalog'!$B:$B,0)),IFERROR(INDEX('Catalog'!$A:$A,MATCH(TRIM(SUBSTITUTE($B2273,CHAR(160)," ")),'Catalog'!$C:$C,0)),""))))</f>
        <v>4403040</v>
      </c>
      <c r="H2273" s="8" t="str">
        <f aca="false">IFERROR(INDEX('TRANS'!$C:$C,MATCH($B2273,'TRANS'!$A:$A,0)),IFERROR(INDEX('Catalog'!$B:$B,MATCH($G2273,'Catalog'!$A:$A,0)),$B2273))</f>
        <v>3444B גרבי ג'ל לריכוך עור העקב</v>
      </c>
      <c r="I2273" s="8" t="str">
        <f aca="false">IF($G2273="","Unmatched","Matched")</f>
        <v>Matched</v>
      </c>
      <c r="J2273" s="8" t="n">
        <f aca="false">IF($G2273&lt;&gt;"",$G2273,$B2273)</f>
        <v>4403040</v>
      </c>
      <c r="K2273" s="8" t="str">
        <f aca="false">IF(COUNTIF($M$1:$M$10,$A2273)&gt;0,"Y","N")</f>
        <v>Y</v>
      </c>
    </row>
    <row r="2274" customFormat="false" ht="15" hidden="false" customHeight="true" outlineLevel="0" collapsed="false">
      <c r="A2274" s="8" t="s">
        <v>42</v>
      </c>
      <c r="B2274" s="8" t="s">
        <v>613</v>
      </c>
      <c r="C2274" s="19" t="n">
        <v>10</v>
      </c>
      <c r="D2274" s="19" t="n">
        <v>503.64</v>
      </c>
      <c r="E2274" s="19" t="n">
        <v>14</v>
      </c>
      <c r="F2274" s="19" t="n">
        <v>748.39</v>
      </c>
      <c r="G2274" s="8" t="n">
        <f aca="false">IFERROR(INDEX('TRANS'!$B:$B,MATCH($B2274,'TRANS'!$A:$A,0)),IFERROR(INDEX('TRANS'!$B:$B,MATCH(TRIM(SUBSTITUTE($B2274,CHAR(160)," ")),'TRANS'!$D:$D,0)),IFERROR(INDEX('Catalog'!$A:$A,MATCH($B2274,'Catalog'!$B:$B,0)),IFERROR(INDEX('Catalog'!$A:$A,MATCH(TRIM(SUBSTITUTE($B2274,CHAR(160)," ")),'Catalog'!$C:$C,0)),""))))</f>
        <v>4413048</v>
      </c>
      <c r="H2274" s="8" t="str">
        <f aca="false">IFERROR(INDEX('TRANS'!$C:$C,MATCH($B2274,'TRANS'!$A:$A,0)),IFERROR(INDEX('Catalog'!$B:$B,MATCH($G2274,'Catalog'!$A:$A,0)),$B2274))</f>
        <v>35 L מגן קרסול לבן</v>
      </c>
      <c r="I2274" s="8" t="str">
        <f aca="false">IF($G2274="","Unmatched","Matched")</f>
        <v>Matched</v>
      </c>
      <c r="J2274" s="8" t="n">
        <f aca="false">IF($G2274&lt;&gt;"",$G2274,$B2274)</f>
        <v>4413048</v>
      </c>
      <c r="K2274" s="8" t="str">
        <f aca="false">IF(COUNTIF($M$1:$M$10,$A2274)&gt;0,"Y","N")</f>
        <v>Y</v>
      </c>
    </row>
    <row r="2275" customFormat="false" ht="15" hidden="false" customHeight="true" outlineLevel="0" collapsed="false">
      <c r="A2275" s="8" t="s">
        <v>42</v>
      </c>
      <c r="B2275" s="8" t="s">
        <v>614</v>
      </c>
      <c r="C2275" s="19" t="n">
        <v>7</v>
      </c>
      <c r="D2275" s="19" t="n">
        <v>349.06</v>
      </c>
      <c r="E2275" s="19" t="n">
        <v>12</v>
      </c>
      <c r="F2275" s="19" t="n">
        <v>653.42</v>
      </c>
      <c r="G2275" s="8" t="n">
        <f aca="false">IFERROR(INDEX('TRANS'!$B:$B,MATCH($B2275,'TRANS'!$A:$A,0)),IFERROR(INDEX('TRANS'!$B:$B,MATCH(TRIM(SUBSTITUTE($B2275,CHAR(160)," ")),'TRANS'!$D:$D,0)),IFERROR(INDEX('Catalog'!$A:$A,MATCH($B2275,'Catalog'!$B:$B,0)),IFERROR(INDEX('Catalog'!$A:$A,MATCH(TRIM(SUBSTITUTE($B2275,CHAR(160)," ")),'Catalog'!$C:$C,0)),""))))</f>
        <v>4413049</v>
      </c>
      <c r="H2275" s="8" t="str">
        <f aca="false">IFERROR(INDEX('TRANS'!$C:$C,MATCH($B2275,'TRANS'!$A:$A,0)),IFERROR(INDEX('Catalog'!$B:$B,MATCH($G2275,'Catalog'!$A:$A,0)),$B2275))</f>
        <v>35 M מגן קרסול לבן</v>
      </c>
      <c r="I2275" s="8" t="str">
        <f aca="false">IF($G2275="","Unmatched","Matched")</f>
        <v>Matched</v>
      </c>
      <c r="J2275" s="8" t="n">
        <f aca="false">IF($G2275&lt;&gt;"",$G2275,$B2275)</f>
        <v>4413049</v>
      </c>
      <c r="K2275" s="8" t="str">
        <f aca="false">IF(COUNTIF($M$1:$M$10,$A2275)&gt;0,"Y","N")</f>
        <v>Y</v>
      </c>
    </row>
    <row r="2276" customFormat="false" ht="15" hidden="false" customHeight="true" outlineLevel="0" collapsed="false">
      <c r="A2276" s="8" t="s">
        <v>42</v>
      </c>
      <c r="B2276" s="8" t="s">
        <v>792</v>
      </c>
      <c r="C2276" s="19" t="n">
        <v>2</v>
      </c>
      <c r="D2276" s="19" t="n">
        <v>111.7</v>
      </c>
      <c r="E2276" s="19" t="n">
        <v>8</v>
      </c>
      <c r="F2276" s="19" t="n">
        <v>421.65</v>
      </c>
      <c r="G2276" s="8" t="n">
        <f aca="false">IFERROR(INDEX('TRANS'!$B:$B,MATCH($B2276,'TRANS'!$A:$A,0)),IFERROR(INDEX('TRANS'!$B:$B,MATCH(TRIM(SUBSTITUTE($B2276,CHAR(160)," ")),'TRANS'!$D:$D,0)),IFERROR(INDEX('Catalog'!$A:$A,MATCH($B2276,'Catalog'!$B:$B,0)),IFERROR(INDEX('Catalog'!$A:$A,MATCH(TRIM(SUBSTITUTE($B2276,CHAR(160)," ")),'Catalog'!$C:$C,0)),""))))</f>
        <v>4413047</v>
      </c>
      <c r="H2276" s="8" t="str">
        <f aca="false">IFERROR(INDEX('TRANS'!$C:$C,MATCH($B2276,'TRANS'!$A:$A,0)),IFERROR(INDEX('Catalog'!$B:$B,MATCH($G2276,'Catalog'!$A:$A,0)),$B2276))</f>
        <v>35 S מגן קרסול לבן</v>
      </c>
      <c r="I2276" s="8" t="str">
        <f aca="false">IF($G2276="","Unmatched","Matched")</f>
        <v>Matched</v>
      </c>
      <c r="J2276" s="8" t="n">
        <f aca="false">IF($G2276&lt;&gt;"",$G2276,$B2276)</f>
        <v>4413047</v>
      </c>
      <c r="K2276" s="8" t="str">
        <f aca="false">IF(COUNTIF($M$1:$M$10,$A2276)&gt;0,"Y","N")</f>
        <v>Y</v>
      </c>
    </row>
    <row r="2277" customFormat="false" ht="15" hidden="false" customHeight="true" outlineLevel="0" collapsed="false">
      <c r="A2277" s="8" t="s">
        <v>42</v>
      </c>
      <c r="B2277" s="8" t="s">
        <v>793</v>
      </c>
      <c r="C2277" s="19" t="n">
        <v>1</v>
      </c>
      <c r="D2277" s="19" t="n">
        <v>47.47</v>
      </c>
      <c r="E2277" s="19" t="n">
        <v>11</v>
      </c>
      <c r="F2277" s="19" t="n">
        <v>591.63</v>
      </c>
      <c r="G2277" s="8" t="n">
        <f aca="false">IFERROR(INDEX('TRANS'!$B:$B,MATCH($B2277,'TRANS'!$A:$A,0)),IFERROR(INDEX('TRANS'!$B:$B,MATCH(TRIM(SUBSTITUTE($B2277,CHAR(160)," ")),'TRANS'!$D:$D,0)),IFERROR(INDEX('Catalog'!$A:$A,MATCH($B2277,'Catalog'!$B:$B,0)),IFERROR(INDEX('Catalog'!$A:$A,MATCH(TRIM(SUBSTITUTE($B2277,CHAR(160)," ")),'Catalog'!$C:$C,0)),""))))</f>
        <v>4413050</v>
      </c>
      <c r="H2277" s="8" t="str">
        <f aca="false">IFERROR(INDEX('TRANS'!$C:$C,MATCH($B2277,'TRANS'!$A:$A,0)),IFERROR(INDEX('Catalog'!$B:$B,MATCH($G2277,'Catalog'!$A:$A,0)),$B2277))</f>
        <v>35 XL מגן קרסול לבן</v>
      </c>
      <c r="I2277" s="8" t="str">
        <f aca="false">IF($G2277="","Unmatched","Matched")</f>
        <v>Matched</v>
      </c>
      <c r="J2277" s="8" t="n">
        <f aca="false">IF($G2277&lt;&gt;"",$G2277,$B2277)</f>
        <v>4413050</v>
      </c>
      <c r="K2277" s="8" t="str">
        <f aca="false">IF(COUNTIF($M$1:$M$10,$A2277)&gt;0,"Y","N")</f>
        <v>Y</v>
      </c>
    </row>
    <row r="2278" customFormat="false" ht="15" hidden="false" customHeight="true" outlineLevel="0" collapsed="false">
      <c r="A2278" s="8" t="s">
        <v>42</v>
      </c>
      <c r="B2278" s="8" t="s">
        <v>134</v>
      </c>
      <c r="C2278" s="19" t="n">
        <v>2</v>
      </c>
      <c r="D2278" s="19" t="n">
        <v>110</v>
      </c>
      <c r="E2278" s="19" t="n">
        <v>4</v>
      </c>
      <c r="F2278" s="19" t="n">
        <v>212.23</v>
      </c>
      <c r="G2278" s="8" t="str">
        <f aca="false">IFERROR(INDEX('TRANS'!$B:$B,MATCH($B2278,'TRANS'!$A:$A,0)),IFERROR(INDEX('TRANS'!$B:$B,MATCH(TRIM(SUBSTITUTE($B2278,CHAR(160)," ")),'TRANS'!$D:$D,0)),IFERROR(INDEX('Catalog'!$A:$A,MATCH($B2278,'Catalog'!$B:$B,0)),IFERROR(INDEX('Catalog'!$A:$A,MATCH(TRIM(SUBSTITUTE($B2278,CHAR(160)," ")),'Catalog'!$C:$C,0)),""))))</f>
        <v/>
      </c>
      <c r="H2278" s="8" t="str">
        <f aca="false">IFERROR(INDEX('TRANS'!$C:$C,MATCH($B2278,'TRANS'!$A:$A,0)),IFERROR(INDEX('Catalog'!$B:$B,MATCH($G2278,'Catalog'!$A:$A,0)),$B2278))</f>
        <v>35 XS</v>
      </c>
      <c r="I2278" s="8" t="str">
        <f aca="false">IF($G2278="","Unmatched","Matched")</f>
        <v>Unmatched</v>
      </c>
      <c r="J2278" s="8" t="str">
        <f aca="false">IF($G2278&lt;&gt;"",$G2278,$B2278)</f>
        <v>35 XS</v>
      </c>
      <c r="K2278" s="8" t="str">
        <f aca="false">IF(COUNTIF($M$1:$M$10,$A2278)&gt;0,"Y","N")</f>
        <v>Y</v>
      </c>
    </row>
    <row r="2279" customFormat="false" ht="15" hidden="false" customHeight="true" outlineLevel="0" collapsed="false">
      <c r="A2279" s="8" t="s">
        <v>42</v>
      </c>
      <c r="B2279" s="8" t="s">
        <v>794</v>
      </c>
      <c r="C2279" s="19" t="n">
        <v>16</v>
      </c>
      <c r="D2279" s="19" t="n">
        <v>823.18</v>
      </c>
      <c r="E2279" s="19" t="n">
        <v>9</v>
      </c>
      <c r="F2279" s="19" t="n">
        <v>494.27</v>
      </c>
      <c r="G2279" s="8" t="n">
        <f aca="false">IFERROR(INDEX('TRANS'!$B:$B,MATCH($B2279,'TRANS'!$A:$A,0)),IFERROR(INDEX('TRANS'!$B:$B,MATCH(TRIM(SUBSTITUTE($B2279,CHAR(160)," ")),'TRANS'!$D:$D,0)),IFERROR(INDEX('Catalog'!$A:$A,MATCH($B2279,'Catalog'!$B:$B,0)),IFERROR(INDEX('Catalog'!$A:$A,MATCH(TRIM(SUBSTITUTE($B2279,CHAR(160)," ")),'Catalog'!$C:$C,0)),""))))</f>
        <v>4413051</v>
      </c>
      <c r="H2279" s="8" t="str">
        <f aca="false">IFERROR(INDEX('TRANS'!$C:$C,MATCH($B2279,'TRANS'!$A:$A,0)),IFERROR(INDEX('Catalog'!$B:$B,MATCH($G2279,'Catalog'!$A:$A,0)),$B2279))</f>
        <v>35 XXL מגן קרסול לבן</v>
      </c>
      <c r="I2279" s="8" t="str">
        <f aca="false">IF($G2279="","Unmatched","Matched")</f>
        <v>Matched</v>
      </c>
      <c r="J2279" s="8" t="n">
        <f aca="false">IF($G2279&lt;&gt;"",$G2279,$B2279)</f>
        <v>4413051</v>
      </c>
      <c r="K2279" s="8" t="str">
        <f aca="false">IF(COUNTIF($M$1:$M$10,$A2279)&gt;0,"Y","N")</f>
        <v>Y</v>
      </c>
    </row>
    <row r="2280" customFormat="false" ht="15" hidden="false" customHeight="true" outlineLevel="0" collapsed="false">
      <c r="A2280" s="8" t="s">
        <v>42</v>
      </c>
      <c r="B2280" s="8" t="s">
        <v>615</v>
      </c>
      <c r="C2280" s="19" t="n">
        <v>5</v>
      </c>
      <c r="D2280" s="19" t="n">
        <v>240.15</v>
      </c>
      <c r="E2280" s="19" t="n">
        <v>17</v>
      </c>
      <c r="F2280" s="19" t="n">
        <v>924.29</v>
      </c>
      <c r="G2280" s="8" t="n">
        <f aca="false">IFERROR(INDEX('TRANS'!$B:$B,MATCH($B2280,'TRANS'!$A:$A,0)),IFERROR(INDEX('TRANS'!$B:$B,MATCH(TRIM(SUBSTITUTE($B2280,CHAR(160)," ")),'TRANS'!$D:$D,0)),IFERROR(INDEX('Catalog'!$A:$A,MATCH($B2280,'Catalog'!$B:$B,0)),IFERROR(INDEX('Catalog'!$A:$A,MATCH(TRIM(SUBSTITUTE($B2280,CHAR(160)," ")),'Catalog'!$C:$C,0)),""))))</f>
        <v>4413490</v>
      </c>
      <c r="H2280" s="8" t="str">
        <f aca="false">IFERROR(INDEX('TRANS'!$C:$C,MATCH($B2280,'TRANS'!$A:$A,0)),IFERROR(INDEX('Catalog'!$B:$B,MATCH($G2280,'Catalog'!$A:$A,0)),$B2280))</f>
        <v>35B L מגן קרסול שחור</v>
      </c>
      <c r="I2280" s="8" t="str">
        <f aca="false">IF($G2280="","Unmatched","Matched")</f>
        <v>Matched</v>
      </c>
      <c r="J2280" s="8" t="n">
        <f aca="false">IF($G2280&lt;&gt;"",$G2280,$B2280)</f>
        <v>4413490</v>
      </c>
      <c r="K2280" s="8" t="str">
        <f aca="false">IF(COUNTIF($M$1:$M$10,$A2280)&gt;0,"Y","N")</f>
        <v>Y</v>
      </c>
    </row>
    <row r="2281" customFormat="false" ht="15" hidden="false" customHeight="true" outlineLevel="0" collapsed="false">
      <c r="A2281" s="8" t="s">
        <v>42</v>
      </c>
      <c r="B2281" s="8" t="s">
        <v>616</v>
      </c>
      <c r="C2281" s="19" t="n">
        <v>10</v>
      </c>
      <c r="D2281" s="19" t="n">
        <v>505.44</v>
      </c>
      <c r="E2281" s="19" t="n">
        <v>9</v>
      </c>
      <c r="F2281" s="19" t="n">
        <v>502.65</v>
      </c>
      <c r="G2281" s="8" t="n">
        <f aca="false">IFERROR(INDEX('TRANS'!$B:$B,MATCH($B2281,'TRANS'!$A:$A,0)),IFERROR(INDEX('TRANS'!$B:$B,MATCH(TRIM(SUBSTITUTE($B2281,CHAR(160)," ")),'TRANS'!$D:$D,0)),IFERROR(INDEX('Catalog'!$A:$A,MATCH($B2281,'Catalog'!$B:$B,0)),IFERROR(INDEX('Catalog'!$A:$A,MATCH(TRIM(SUBSTITUTE($B2281,CHAR(160)," ")),'Catalog'!$C:$C,0)),""))))</f>
        <v>4413492</v>
      </c>
      <c r="H2281" s="8" t="str">
        <f aca="false">IFERROR(INDEX('TRANS'!$C:$C,MATCH($B2281,'TRANS'!$A:$A,0)),IFERROR(INDEX('Catalog'!$B:$B,MATCH($G2281,'Catalog'!$A:$A,0)),$B2281))</f>
        <v>35B M מגן קרסול שחור</v>
      </c>
      <c r="I2281" s="8" t="str">
        <f aca="false">IF($G2281="","Unmatched","Matched")</f>
        <v>Matched</v>
      </c>
      <c r="J2281" s="8" t="n">
        <f aca="false">IF($G2281&lt;&gt;"",$G2281,$B2281)</f>
        <v>4413492</v>
      </c>
      <c r="K2281" s="8" t="str">
        <f aca="false">IF(COUNTIF($M$1:$M$10,$A2281)&gt;0,"Y","N")</f>
        <v>Y</v>
      </c>
    </row>
    <row r="2282" customFormat="false" ht="15" hidden="false" customHeight="true" outlineLevel="0" collapsed="false">
      <c r="A2282" s="8" t="s">
        <v>42</v>
      </c>
      <c r="B2282" s="8" t="s">
        <v>617</v>
      </c>
      <c r="C2282" s="19" t="n">
        <v>6</v>
      </c>
      <c r="D2282" s="19" t="n">
        <v>312.76</v>
      </c>
      <c r="E2282" s="19" t="n">
        <v>4</v>
      </c>
      <c r="F2282" s="19" t="n">
        <v>223.4</v>
      </c>
      <c r="G2282" s="8" t="n">
        <f aca="false">IFERROR(INDEX('TRANS'!$B:$B,MATCH($B2282,'TRANS'!$A:$A,0)),IFERROR(INDEX('TRANS'!$B:$B,MATCH(TRIM(SUBSTITUTE($B2282,CHAR(160)," ")),'TRANS'!$D:$D,0)),IFERROR(INDEX('Catalog'!$A:$A,MATCH($B2282,'Catalog'!$B:$B,0)),IFERROR(INDEX('Catalog'!$A:$A,MATCH(TRIM(SUBSTITUTE($B2282,CHAR(160)," ")),'Catalog'!$C:$C,0)),""))))</f>
        <v>4413493</v>
      </c>
      <c r="H2282" s="8" t="str">
        <f aca="false">IFERROR(INDEX('TRANS'!$C:$C,MATCH($B2282,'TRANS'!$A:$A,0)),IFERROR(INDEX('Catalog'!$B:$B,MATCH($G2282,'Catalog'!$A:$A,0)),$B2282))</f>
        <v>35B S מגן קרסול שחור</v>
      </c>
      <c r="I2282" s="8" t="str">
        <f aca="false">IF($G2282="","Unmatched","Matched")</f>
        <v>Matched</v>
      </c>
      <c r="J2282" s="8" t="n">
        <f aca="false">IF($G2282&lt;&gt;"",$G2282,$B2282)</f>
        <v>4413493</v>
      </c>
      <c r="K2282" s="8" t="str">
        <f aca="false">IF(COUNTIF($M$1:$M$10,$A2282)&gt;0,"Y","N")</f>
        <v>Y</v>
      </c>
    </row>
    <row r="2283" customFormat="false" ht="15" hidden="false" customHeight="true" outlineLevel="0" collapsed="false">
      <c r="A2283" s="8" t="s">
        <v>42</v>
      </c>
      <c r="B2283" s="8" t="s">
        <v>618</v>
      </c>
      <c r="C2283" s="19" t="n">
        <v>6</v>
      </c>
      <c r="D2283" s="19" t="n">
        <v>304.38</v>
      </c>
      <c r="E2283" s="19" t="n">
        <v>7</v>
      </c>
      <c r="F2283" s="19" t="n">
        <v>390.95</v>
      </c>
      <c r="G2283" s="8" t="n">
        <f aca="false">IFERROR(INDEX('TRANS'!$B:$B,MATCH($B2283,'TRANS'!$A:$A,0)),IFERROR(INDEX('TRANS'!$B:$B,MATCH(TRIM(SUBSTITUTE($B2283,CHAR(160)," ")),'TRANS'!$D:$D,0)),IFERROR(INDEX('Catalog'!$A:$A,MATCH($B2283,'Catalog'!$B:$B,0)),IFERROR(INDEX('Catalog'!$A:$A,MATCH(TRIM(SUBSTITUTE($B2283,CHAR(160)," ")),'Catalog'!$C:$C,0)),""))))</f>
        <v>4413491</v>
      </c>
      <c r="H2283" s="8" t="str">
        <f aca="false">IFERROR(INDEX('TRANS'!$C:$C,MATCH($B2283,'TRANS'!$A:$A,0)),IFERROR(INDEX('Catalog'!$B:$B,MATCH($G2283,'Catalog'!$A:$A,0)),$B2283))</f>
        <v>35B XL מגן קרסול שחור</v>
      </c>
      <c r="I2283" s="8" t="str">
        <f aca="false">IF($G2283="","Unmatched","Matched")</f>
        <v>Matched</v>
      </c>
      <c r="J2283" s="8" t="n">
        <f aca="false">IF($G2283&lt;&gt;"",$G2283,$B2283)</f>
        <v>4413491</v>
      </c>
      <c r="K2283" s="8" t="str">
        <f aca="false">IF(COUNTIF($M$1:$M$10,$A2283)&gt;0,"Y","N")</f>
        <v>Y</v>
      </c>
    </row>
    <row r="2284" customFormat="false" ht="15" hidden="false" customHeight="true" outlineLevel="0" collapsed="false">
      <c r="A2284" s="8" t="s">
        <v>42</v>
      </c>
      <c r="B2284" s="8" t="s">
        <v>619</v>
      </c>
      <c r="C2284" s="19" t="n">
        <v>9</v>
      </c>
      <c r="D2284" s="19" t="n">
        <v>485.89</v>
      </c>
      <c r="E2284" s="19" t="n">
        <v>2</v>
      </c>
      <c r="F2284" s="19" t="n">
        <v>103.33</v>
      </c>
      <c r="G2284" s="8" t="n">
        <f aca="false">IFERROR(INDEX('TRANS'!$B:$B,MATCH($B2284,'TRANS'!$A:$A,0)),IFERROR(INDEX('TRANS'!$B:$B,MATCH(TRIM(SUBSTITUTE($B2284,CHAR(160)," ")),'TRANS'!$D:$D,0)),IFERROR(INDEX('Catalog'!$A:$A,MATCH($B2284,'Catalog'!$B:$B,0)),IFERROR(INDEX('Catalog'!$A:$A,MATCH(TRIM(SUBSTITUTE($B2284,CHAR(160)," ")),'Catalog'!$C:$C,0)),""))))</f>
        <v>4413494</v>
      </c>
      <c r="H2284" s="8" t="str">
        <f aca="false">IFERROR(INDEX('TRANS'!$C:$C,MATCH($B2284,'TRANS'!$A:$A,0)),IFERROR(INDEX('Catalog'!$B:$B,MATCH($G2284,'Catalog'!$A:$A,0)),$B2284))</f>
        <v>35B XXL מגן קרסול שחור</v>
      </c>
      <c r="I2284" s="8" t="str">
        <f aca="false">IF($G2284="","Unmatched","Matched")</f>
        <v>Matched</v>
      </c>
      <c r="J2284" s="8" t="n">
        <f aca="false">IF($G2284&lt;&gt;"",$G2284,$B2284)</f>
        <v>4413494</v>
      </c>
      <c r="K2284" s="8" t="str">
        <f aca="false">IF(COUNTIF($M$1:$M$10,$A2284)&gt;0,"Y","N")</f>
        <v>Y</v>
      </c>
    </row>
    <row r="2285" customFormat="false" ht="15" hidden="false" customHeight="true" outlineLevel="0" collapsed="false">
      <c r="A2285" s="8" t="s">
        <v>42</v>
      </c>
      <c r="B2285" s="8" t="s">
        <v>620</v>
      </c>
      <c r="C2285" s="19" t="n">
        <v>13</v>
      </c>
      <c r="D2285" s="19" t="n">
        <v>636.69</v>
      </c>
      <c r="E2285" s="19" t="n">
        <v>9</v>
      </c>
      <c r="F2285" s="19" t="n">
        <v>441.22</v>
      </c>
      <c r="G2285" s="8" t="n">
        <f aca="false">IFERROR(INDEX('TRANS'!$B:$B,MATCH($B2285,'TRANS'!$A:$A,0)),IFERROR(INDEX('TRANS'!$B:$B,MATCH(TRIM(SUBSTITUTE($B2285,CHAR(160)," ")),'TRANS'!$D:$D,0)),IFERROR(INDEX('Catalog'!$A:$A,MATCH($B2285,'Catalog'!$B:$B,0)),IFERROR(INDEX('Catalog'!$A:$A,MATCH(TRIM(SUBSTITUTE($B2285,CHAR(160)," ")),'Catalog'!$C:$C,0)),""))))</f>
        <v>4413053</v>
      </c>
      <c r="H2285" s="8" t="str">
        <f aca="false">IFERROR(INDEX('TRANS'!$C:$C,MATCH($B2285,'TRANS'!$A:$A,0)),IFERROR(INDEX('Catalog'!$B:$B,MATCH($G2285,'Catalog'!$A:$A,0)),$B2285))</f>
        <v>35C L מגן קרסול חום</v>
      </c>
      <c r="I2285" s="8" t="str">
        <f aca="false">IF($G2285="","Unmatched","Matched")</f>
        <v>Matched</v>
      </c>
      <c r="J2285" s="8" t="n">
        <f aca="false">IF($G2285&lt;&gt;"",$G2285,$B2285)</f>
        <v>4413053</v>
      </c>
      <c r="K2285" s="8" t="str">
        <f aca="false">IF(COUNTIF($M$1:$M$10,$A2285)&gt;0,"Y","N")</f>
        <v>Y</v>
      </c>
    </row>
    <row r="2286" customFormat="false" ht="15" hidden="false" customHeight="true" outlineLevel="0" collapsed="false">
      <c r="A2286" s="8" t="s">
        <v>42</v>
      </c>
      <c r="B2286" s="8" t="s">
        <v>621</v>
      </c>
      <c r="C2286" s="19" t="n">
        <v>5</v>
      </c>
      <c r="D2286" s="19" t="n">
        <v>240.15</v>
      </c>
      <c r="E2286" s="19" t="n">
        <v>1</v>
      </c>
      <c r="F2286" s="19" t="n">
        <v>55.84</v>
      </c>
      <c r="G2286" s="8" t="n">
        <f aca="false">IFERROR(INDEX('TRANS'!$B:$B,MATCH($B2286,'TRANS'!$A:$A,0)),IFERROR(INDEX('TRANS'!$B:$B,MATCH(TRIM(SUBSTITUTE($B2286,CHAR(160)," ")),'TRANS'!$D:$D,0)),IFERROR(INDEX('Catalog'!$A:$A,MATCH($B2286,'Catalog'!$B:$B,0)),IFERROR(INDEX('Catalog'!$A:$A,MATCH(TRIM(SUBSTITUTE($B2286,CHAR(160)," ")),'Catalog'!$C:$C,0)),""))))</f>
        <v>4413054</v>
      </c>
      <c r="H2286" s="8" t="str">
        <f aca="false">IFERROR(INDEX('TRANS'!$C:$C,MATCH($B2286,'TRANS'!$A:$A,0)),IFERROR(INDEX('Catalog'!$B:$B,MATCH($G2286,'Catalog'!$A:$A,0)),$B2286))</f>
        <v>35C M מגן קרסול חום</v>
      </c>
      <c r="I2286" s="8" t="str">
        <f aca="false">IF($G2286="","Unmatched","Matched")</f>
        <v>Matched</v>
      </c>
      <c r="J2286" s="8" t="n">
        <f aca="false">IF($G2286&lt;&gt;"",$G2286,$B2286)</f>
        <v>4413054</v>
      </c>
      <c r="K2286" s="8" t="str">
        <f aca="false">IF(COUNTIF($M$1:$M$10,$A2286)&gt;0,"Y","N")</f>
        <v>Y</v>
      </c>
    </row>
    <row r="2287" customFormat="false" ht="15" hidden="false" customHeight="true" outlineLevel="0" collapsed="false">
      <c r="A2287" s="8" t="s">
        <v>42</v>
      </c>
      <c r="B2287" s="8" t="s">
        <v>622</v>
      </c>
      <c r="C2287" s="19" t="n">
        <v>11</v>
      </c>
      <c r="D2287" s="19" t="n">
        <v>565.17</v>
      </c>
      <c r="E2287" s="19" t="n">
        <v>9</v>
      </c>
      <c r="F2287" s="19" t="n">
        <v>474.71</v>
      </c>
      <c r="G2287" s="8" t="n">
        <f aca="false">IFERROR(INDEX('TRANS'!$B:$B,MATCH($B2287,'TRANS'!$A:$A,0)),IFERROR(INDEX('TRANS'!$B:$B,MATCH(TRIM(SUBSTITUTE($B2287,CHAR(160)," ")),'TRANS'!$D:$D,0)),IFERROR(INDEX('Catalog'!$A:$A,MATCH($B2287,'Catalog'!$B:$B,0)),IFERROR(INDEX('Catalog'!$A:$A,MATCH(TRIM(SUBSTITUTE($B2287,CHAR(160)," ")),'Catalog'!$C:$C,0)),""))))</f>
        <v>4413052</v>
      </c>
      <c r="H2287" s="8" t="str">
        <f aca="false">IFERROR(INDEX('TRANS'!$C:$C,MATCH($B2287,'TRANS'!$A:$A,0)),IFERROR(INDEX('Catalog'!$B:$B,MATCH($G2287,'Catalog'!$A:$A,0)),$B2287))</f>
        <v>35C S מגן קרסול חום</v>
      </c>
      <c r="I2287" s="8" t="str">
        <f aca="false">IF($G2287="","Unmatched","Matched")</f>
        <v>Matched</v>
      </c>
      <c r="J2287" s="8" t="n">
        <f aca="false">IF($G2287&lt;&gt;"",$G2287,$B2287)</f>
        <v>4413052</v>
      </c>
      <c r="K2287" s="8" t="str">
        <f aca="false">IF(COUNTIF($M$1:$M$10,$A2287)&gt;0,"Y","N")</f>
        <v>Y</v>
      </c>
    </row>
    <row r="2288" customFormat="false" ht="15" hidden="false" customHeight="true" outlineLevel="0" collapsed="false">
      <c r="A2288" s="8" t="s">
        <v>42</v>
      </c>
      <c r="B2288" s="8" t="s">
        <v>795</v>
      </c>
      <c r="C2288" s="19" t="n">
        <v>1</v>
      </c>
      <c r="D2288" s="19" t="n">
        <v>55.85</v>
      </c>
      <c r="E2288" s="19" t="n">
        <v>4</v>
      </c>
      <c r="F2288" s="19" t="n">
        <v>223.4</v>
      </c>
      <c r="G2288" s="8" t="n">
        <f aca="false">IFERROR(INDEX('TRANS'!$B:$B,MATCH($B2288,'TRANS'!$A:$A,0)),IFERROR(INDEX('TRANS'!$B:$B,MATCH(TRIM(SUBSTITUTE($B2288,CHAR(160)," ")),'TRANS'!$D:$D,0)),IFERROR(INDEX('Catalog'!$A:$A,MATCH($B2288,'Catalog'!$B:$B,0)),IFERROR(INDEX('Catalog'!$A:$A,MATCH(TRIM(SUBSTITUTE($B2288,CHAR(160)," ")),'Catalog'!$C:$C,0)),""))))</f>
        <v>4413055</v>
      </c>
      <c r="H2288" s="8" t="str">
        <f aca="false">IFERROR(INDEX('TRANS'!$C:$C,MATCH($B2288,'TRANS'!$A:$A,0)),IFERROR(INDEX('Catalog'!$B:$B,MATCH($G2288,'Catalog'!$A:$A,0)),$B2288))</f>
        <v>35C XL מגן קרסול חום</v>
      </c>
      <c r="I2288" s="8" t="str">
        <f aca="false">IF($G2288="","Unmatched","Matched")</f>
        <v>Matched</v>
      </c>
      <c r="J2288" s="8" t="n">
        <f aca="false">IF($G2288&lt;&gt;"",$G2288,$B2288)</f>
        <v>4413055</v>
      </c>
      <c r="K2288" s="8" t="str">
        <f aca="false">IF(COUNTIF($M$1:$M$10,$A2288)&gt;0,"Y","N")</f>
        <v>Y</v>
      </c>
    </row>
    <row r="2289" customFormat="false" ht="15" hidden="false" customHeight="true" outlineLevel="0" collapsed="false">
      <c r="A2289" s="8" t="s">
        <v>42</v>
      </c>
      <c r="B2289" s="8" t="s">
        <v>161</v>
      </c>
      <c r="C2289" s="19" t="n">
        <v>6</v>
      </c>
      <c r="D2289" s="19" t="n">
        <v>314.94</v>
      </c>
      <c r="E2289" s="19" t="n">
        <v>6</v>
      </c>
      <c r="F2289" s="19" t="n">
        <v>329.5</v>
      </c>
      <c r="G2289" s="8" t="str">
        <f aca="false">IFERROR(INDEX('TRANS'!$B:$B,MATCH($B2289,'TRANS'!$A:$A,0)),IFERROR(INDEX('TRANS'!$B:$B,MATCH(TRIM(SUBSTITUTE($B2289,CHAR(160)," ")),'TRANS'!$D:$D,0)),IFERROR(INDEX('Catalog'!$A:$A,MATCH($B2289,'Catalog'!$B:$B,0)),IFERROR(INDEX('Catalog'!$A:$A,MATCH(TRIM(SUBSTITUTE($B2289,CHAR(160)," ")),'Catalog'!$C:$C,0)),""))))</f>
        <v/>
      </c>
      <c r="H2289" s="8" t="str">
        <f aca="false">IFERROR(INDEX('TRANS'!$C:$C,MATCH($B2289,'TRANS'!$A:$A,0)),IFERROR(INDEX('Catalog'!$B:$B,MATCH($G2289,'Catalog'!$A:$A,0)),$B2289))</f>
        <v>35C XS</v>
      </c>
      <c r="I2289" s="8" t="str">
        <f aca="false">IF($G2289="","Unmatched","Matched")</f>
        <v>Unmatched</v>
      </c>
      <c r="J2289" s="8" t="str">
        <f aca="false">IF($G2289&lt;&gt;"",$G2289,$B2289)</f>
        <v>35C XS</v>
      </c>
      <c r="K2289" s="8" t="str">
        <f aca="false">IF(COUNTIF($M$1:$M$10,$A2289)&gt;0,"Y","N")</f>
        <v>Y</v>
      </c>
    </row>
    <row r="2290" customFormat="false" ht="15" hidden="false" customHeight="true" outlineLevel="0" collapsed="false">
      <c r="A2290" s="8" t="s">
        <v>42</v>
      </c>
      <c r="B2290" s="8" t="s">
        <v>189</v>
      </c>
      <c r="C2290" s="19" t="n">
        <v>8</v>
      </c>
      <c r="D2290" s="19" t="n">
        <v>413.49</v>
      </c>
      <c r="E2290" s="19" t="n">
        <v>4</v>
      </c>
      <c r="F2290" s="19" t="n">
        <v>223.4</v>
      </c>
      <c r="G2290" s="8" t="str">
        <f aca="false">IFERROR(INDEX('TRANS'!$B:$B,MATCH($B2290,'TRANS'!$A:$A,0)),IFERROR(INDEX('TRANS'!$B:$B,MATCH(TRIM(SUBSTITUTE($B2290,CHAR(160)," ")),'TRANS'!$D:$D,0)),IFERROR(INDEX('Catalog'!$A:$A,MATCH($B2290,'Catalog'!$B:$B,0)),IFERROR(INDEX('Catalog'!$A:$A,MATCH(TRIM(SUBSTITUTE($B2290,CHAR(160)," ")),'Catalog'!$C:$C,0)),""))))</f>
        <v/>
      </c>
      <c r="H2290" s="8" t="str">
        <f aca="false">IFERROR(INDEX('TRANS'!$C:$C,MATCH($B2290,'TRANS'!$A:$A,0)),IFERROR(INDEX('Catalog'!$B:$B,MATCH($G2290,'Catalog'!$A:$A,0)),$B2290))</f>
        <v>35C XXL</v>
      </c>
      <c r="I2290" s="8" t="str">
        <f aca="false">IF($G2290="","Unmatched","Matched")</f>
        <v>Unmatched</v>
      </c>
      <c r="J2290" s="8" t="str">
        <f aca="false">IF($G2290&lt;&gt;"",$G2290,$B2290)</f>
        <v>35C XXL</v>
      </c>
      <c r="K2290" s="8" t="str">
        <f aca="false">IF(COUNTIF($M$1:$M$10,$A2290)&gt;0,"Y","N")</f>
        <v>Y</v>
      </c>
    </row>
    <row r="2291" customFormat="false" ht="15" hidden="false" customHeight="true" outlineLevel="0" collapsed="false">
      <c r="A2291" s="8" t="s">
        <v>42</v>
      </c>
      <c r="B2291" s="8" t="s">
        <v>623</v>
      </c>
      <c r="C2291" s="19" t="n">
        <v>59</v>
      </c>
      <c r="D2291" s="19" t="n">
        <v>4542.97</v>
      </c>
      <c r="E2291" s="19" t="n">
        <v>78</v>
      </c>
      <c r="F2291" s="19" t="n">
        <v>6127.87</v>
      </c>
      <c r="G2291" s="8" t="n">
        <f aca="false">IFERROR(INDEX('TRANS'!$B:$B,MATCH($B2291,'TRANS'!$A:$A,0)),IFERROR(INDEX('TRANS'!$B:$B,MATCH(TRIM(SUBSTITUTE($B2291,CHAR(160)," ")),'TRANS'!$D:$D,0)),IFERROR(INDEX('Catalog'!$A:$A,MATCH($B2291,'Catalog'!$B:$B,0)),IFERROR(INDEX('Catalog'!$A:$A,MATCH(TRIM(SUBSTITUTE($B2291,CHAR(160)," ")),'Catalog'!$C:$C,0)),""))))</f>
        <v>4421007</v>
      </c>
      <c r="H2291" s="8" t="str">
        <f aca="false">IFERROR(INDEX('TRANS'!$C:$C,MATCH($B2291,'TRANS'!$A:$A,0)),IFERROR(INDEX('Catalog'!$B:$B,MATCH($G2291,'Catalog'!$A:$A,0)),$B2291))</f>
        <v>שרוול לגבס קצר רגל</v>
      </c>
      <c r="I2291" s="8" t="str">
        <f aca="false">IF($G2291="","Unmatched","Matched")</f>
        <v>Matched</v>
      </c>
      <c r="J2291" s="8" t="n">
        <f aca="false">IF($G2291&lt;&gt;"",$G2291,$B2291)</f>
        <v>4421007</v>
      </c>
      <c r="K2291" s="8" t="str">
        <f aca="false">IF(COUNTIF($M$1:$M$10,$A2291)&gt;0,"Y","N")</f>
        <v>Y</v>
      </c>
    </row>
    <row r="2292" customFormat="false" ht="15" hidden="false" customHeight="true" outlineLevel="0" collapsed="false">
      <c r="A2292" s="8" t="s">
        <v>42</v>
      </c>
      <c r="B2292" s="8" t="s">
        <v>624</v>
      </c>
      <c r="C2292" s="19" t="n">
        <v>29</v>
      </c>
      <c r="D2292" s="19" t="n">
        <v>2300.87</v>
      </c>
      <c r="E2292" s="19" t="n">
        <v>109</v>
      </c>
      <c r="F2292" s="19" t="n">
        <v>8986.70999999999</v>
      </c>
      <c r="G2292" s="8" t="n">
        <f aca="false">IFERROR(INDEX('TRANS'!$B:$B,MATCH($B2292,'TRANS'!$A:$A,0)),IFERROR(INDEX('TRANS'!$B:$B,MATCH(TRIM(SUBSTITUTE($B2292,CHAR(160)," ")),'TRANS'!$D:$D,0)),IFERROR(INDEX('Catalog'!$A:$A,MATCH($B2292,'Catalog'!$B:$B,0)),IFERROR(INDEX('Catalog'!$A:$A,MATCH(TRIM(SUBSTITUTE($B2292,CHAR(160)," ")),'Catalog'!$C:$C,0)),""))))</f>
        <v>4421008</v>
      </c>
      <c r="H2292" s="8" t="str">
        <f aca="false">IFERROR(INDEX('TRANS'!$C:$C,MATCH($B2292,'TRANS'!$A:$A,0)),IFERROR(INDEX('Catalog'!$B:$B,MATCH($G2292,'Catalog'!$A:$A,0)),$B2292))</f>
        <v>שרוול לגבס ארוך רגל</v>
      </c>
      <c r="I2292" s="8" t="str">
        <f aca="false">IF($G2292="","Unmatched","Matched")</f>
        <v>Matched</v>
      </c>
      <c r="J2292" s="8" t="n">
        <f aca="false">IF($G2292&lt;&gt;"",$G2292,$B2292)</f>
        <v>4421008</v>
      </c>
      <c r="K2292" s="8" t="str">
        <f aca="false">IF(COUNTIF($M$1:$M$10,$A2292)&gt;0,"Y","N")</f>
        <v>Y</v>
      </c>
    </row>
    <row r="2293" customFormat="false" ht="15" hidden="false" customHeight="true" outlineLevel="0" collapsed="false">
      <c r="A2293" s="8" t="s">
        <v>42</v>
      </c>
      <c r="B2293" s="8" t="s">
        <v>625</v>
      </c>
      <c r="C2293" s="19" t="n">
        <v>23</v>
      </c>
      <c r="D2293" s="19" t="n">
        <v>2419.57</v>
      </c>
      <c r="E2293" s="19" t="n">
        <v>24</v>
      </c>
      <c r="F2293" s="19" t="n">
        <v>2581.44</v>
      </c>
      <c r="G2293" s="8" t="n">
        <f aca="false">IFERROR(INDEX('TRANS'!$B:$B,MATCH($B2293,'TRANS'!$A:$A,0)),IFERROR(INDEX('TRANS'!$B:$B,MATCH(TRIM(SUBSTITUTE($B2293,CHAR(160)," ")),'TRANS'!$D:$D,0)),IFERROR(INDEX('Catalog'!$A:$A,MATCH($B2293,'Catalog'!$B:$B,0)),IFERROR(INDEX('Catalog'!$A:$A,MATCH(TRIM(SUBSTITUTE($B2293,CHAR(160)," ")),'Catalog'!$C:$C,0)),""))))</f>
        <v>4421001</v>
      </c>
      <c r="H2293" s="8" t="str">
        <f aca="false">IFERROR(INDEX('TRANS'!$C:$C,MATCH($B2293,'TRANS'!$A:$A,0)),IFERROR(INDEX('Catalog'!$B:$B,MATCH($G2293,'Catalog'!$A:$A,0)),$B2293))</f>
        <v>3611 שרוול מטטרזלי מסיליקון</v>
      </c>
      <c r="I2293" s="8" t="str">
        <f aca="false">IF($G2293="","Unmatched","Matched")</f>
        <v>Matched</v>
      </c>
      <c r="J2293" s="8" t="n">
        <f aca="false">IF($G2293&lt;&gt;"",$G2293,$B2293)</f>
        <v>4421001</v>
      </c>
      <c r="K2293" s="8" t="str">
        <f aca="false">IF(COUNTIF($M$1:$M$10,$A2293)&gt;0,"Y","N")</f>
        <v>Y</v>
      </c>
    </row>
    <row r="2294" customFormat="false" ht="15" hidden="false" customHeight="true" outlineLevel="0" collapsed="false">
      <c r="A2294" s="8" t="s">
        <v>42</v>
      </c>
      <c r="B2294" s="8" t="s">
        <v>626</v>
      </c>
      <c r="C2294" s="19" t="n">
        <v>53</v>
      </c>
      <c r="D2294" s="19" t="n">
        <v>2553.04</v>
      </c>
      <c r="E2294" s="19" t="n">
        <v>101</v>
      </c>
      <c r="F2294" s="19" t="n">
        <v>5373.49</v>
      </c>
      <c r="G2294" s="8" t="n">
        <f aca="false">IFERROR(INDEX('TRANS'!$B:$B,MATCH($B2294,'TRANS'!$A:$A,0)),IFERROR(INDEX('TRANS'!$B:$B,MATCH(TRIM(SUBSTITUTE($B2294,CHAR(160)," ")),'TRANS'!$D:$D,0)),IFERROR(INDEX('Catalog'!$A:$A,MATCH($B2294,'Catalog'!$B:$B,0)),IFERROR(INDEX('Catalog'!$A:$A,MATCH(TRIM(SUBSTITUTE($B2294,CHAR(160)," ")),'Catalog'!$C:$C,0)),""))))</f>
        <v>4411000</v>
      </c>
      <c r="H2294" s="8" t="str">
        <f aca="false">IFERROR(INDEX('TRANS'!$C:$C,MATCH($B2294,'TRANS'!$A:$A,0)),IFERROR(INDEX('Catalog'!$B:$B,MATCH($G2294,'Catalog'!$A:$A,0)),$B2294))</f>
        <v>כרית מטטרזלי סיליקון362</v>
      </c>
      <c r="I2294" s="8" t="str">
        <f aca="false">IF($G2294="","Unmatched","Matched")</f>
        <v>Matched</v>
      </c>
      <c r="J2294" s="8" t="n">
        <f aca="false">IF($G2294&lt;&gt;"",$G2294,$B2294)</f>
        <v>4411000</v>
      </c>
      <c r="K2294" s="8" t="str">
        <f aca="false">IF(COUNTIF($M$1:$M$10,$A2294)&gt;0,"Y","N")</f>
        <v>Y</v>
      </c>
    </row>
    <row r="2295" customFormat="false" ht="15" hidden="false" customHeight="true" outlineLevel="0" collapsed="false">
      <c r="A2295" s="8" t="s">
        <v>42</v>
      </c>
      <c r="B2295" s="8" t="s">
        <v>627</v>
      </c>
      <c r="C2295" s="19" t="n">
        <v>21</v>
      </c>
      <c r="D2295" s="19" t="n">
        <v>1221.99</v>
      </c>
      <c r="E2295" s="19" t="n">
        <v>32</v>
      </c>
      <c r="F2295" s="19" t="n">
        <v>1800.87</v>
      </c>
      <c r="G2295" s="8" t="n">
        <f aca="false">IFERROR(INDEX('TRANS'!$B:$B,MATCH($B2295,'TRANS'!$A:$A,0)),IFERROR(INDEX('TRANS'!$B:$B,MATCH(TRIM(SUBSTITUTE($B2295,CHAR(160)," ")),'TRANS'!$D:$D,0)),IFERROR(INDEX('Catalog'!$A:$A,MATCH($B2295,'Catalog'!$B:$B,0)),IFERROR(INDEX('Catalog'!$A:$A,MATCH(TRIM(SUBSTITUTE($B2295,CHAR(160)," ")),'Catalog'!$C:$C,0)),""))))</f>
        <v>4413058</v>
      </c>
      <c r="H2295" s="8" t="str">
        <f aca="false">IFERROR(INDEX('TRANS'!$C:$C,MATCH($B2295,'TRANS'!$A:$A,0)),IFERROR(INDEX('Catalog'!$B:$B,MATCH($G2295,'Catalog'!$A:$A,0)),$B2295))</f>
        <v>3622S מדבקה לשחרור לחץ 2 יח</v>
      </c>
      <c r="I2295" s="8" t="str">
        <f aca="false">IF($G2295="","Unmatched","Matched")</f>
        <v>Matched</v>
      </c>
      <c r="J2295" s="8" t="n">
        <f aca="false">IF($G2295&lt;&gt;"",$G2295,$B2295)</f>
        <v>4413058</v>
      </c>
      <c r="K2295" s="8" t="str">
        <f aca="false">IF(COUNTIF($M$1:$M$10,$A2295)&gt;0,"Y","N")</f>
        <v>Y</v>
      </c>
    </row>
    <row r="2296" customFormat="false" ht="15" hidden="false" customHeight="true" outlineLevel="0" collapsed="false">
      <c r="A2296" s="8" t="s">
        <v>42</v>
      </c>
      <c r="B2296" s="8" t="s">
        <v>628</v>
      </c>
      <c r="C2296" s="19" t="n">
        <v>52</v>
      </c>
      <c r="D2296" s="19" t="n">
        <v>2526.33</v>
      </c>
      <c r="E2296" s="19" t="n">
        <v>92</v>
      </c>
      <c r="F2296" s="19" t="n">
        <v>4567.53</v>
      </c>
      <c r="G2296" s="8" t="n">
        <f aca="false">IFERROR(INDEX('TRANS'!$B:$B,MATCH($B2296,'TRANS'!$A:$A,0)),IFERROR(INDEX('TRANS'!$B:$B,MATCH(TRIM(SUBSTITUTE($B2296,CHAR(160)," ")),'TRANS'!$D:$D,0)),IFERROR(INDEX('Catalog'!$A:$A,MATCH($B2296,'Catalog'!$B:$B,0)),IFERROR(INDEX('Catalog'!$A:$A,MATCH(TRIM(SUBSTITUTE($B2296,CHAR(160)," ")),'Catalog'!$C:$C,0)),""))))</f>
        <v>4411001</v>
      </c>
      <c r="H2296" s="8" t="str">
        <f aca="false">IFERROR(INDEX('TRANS'!$C:$C,MATCH($B2296,'TRANS'!$A:$A,0)),IFERROR(INDEX('Catalog'!$B:$B,MATCH($G2296,'Catalog'!$A:$A,0)),$B2296))</f>
        <v>3623 כרית ליישור אצבע פטיש</v>
      </c>
      <c r="I2296" s="8" t="str">
        <f aca="false">IF($G2296="","Unmatched","Matched")</f>
        <v>Matched</v>
      </c>
      <c r="J2296" s="8" t="n">
        <f aca="false">IF($G2296&lt;&gt;"",$G2296,$B2296)</f>
        <v>4411001</v>
      </c>
      <c r="K2296" s="8" t="str">
        <f aca="false">IF(COUNTIF($M$1:$M$10,$A2296)&gt;0,"Y","N")</f>
        <v>Y</v>
      </c>
    </row>
    <row r="2297" customFormat="false" ht="15" hidden="false" customHeight="true" outlineLevel="0" collapsed="false">
      <c r="A2297" s="8" t="s">
        <v>42</v>
      </c>
      <c r="B2297" s="8" t="s">
        <v>59</v>
      </c>
      <c r="C2297" s="19" t="n">
        <v>27</v>
      </c>
      <c r="D2297" s="19" t="n">
        <v>1298.25</v>
      </c>
      <c r="E2297" s="19" t="n">
        <v>33</v>
      </c>
      <c r="F2297" s="19" t="n">
        <v>1632.01</v>
      </c>
      <c r="G2297" s="8" t="str">
        <f aca="false">IFERROR(INDEX('TRANS'!$B:$B,MATCH($B2297,'TRANS'!$A:$A,0)),IFERROR(INDEX('TRANS'!$B:$B,MATCH(TRIM(SUBSTITUTE($B2297,CHAR(160)," ")),'TRANS'!$D:$D,0)),IFERROR(INDEX('Catalog'!$A:$A,MATCH($B2297,'Catalog'!$B:$B,0)),IFERROR(INDEX('Catalog'!$A:$A,MATCH(TRIM(SUBSTITUTE($B2297,CHAR(160)," ")),'Catalog'!$C:$C,0)),""))))</f>
        <v/>
      </c>
      <c r="H2297" s="8" t="str">
        <f aca="false">IFERROR(INDEX('TRANS'!$C:$C,MATCH($B2297,'TRANS'!$A:$A,0)),IFERROR(INDEX('Catalog'!$B:$B,MATCH($G2297,'Catalog'!$A:$A,0)),$B2297))</f>
        <v>363 L/R</v>
      </c>
      <c r="I2297" s="8" t="str">
        <f aca="false">IF($G2297="","Unmatched","Matched")</f>
        <v>Unmatched</v>
      </c>
      <c r="J2297" s="8" t="str">
        <f aca="false">IF($G2297&lt;&gt;"",$G2297,$B2297)</f>
        <v>363 L/R</v>
      </c>
      <c r="K2297" s="8" t="str">
        <f aca="false">IF(COUNTIF($M$1:$M$10,$A2297)&gt;0,"Y","N")</f>
        <v>Y</v>
      </c>
    </row>
    <row r="2298" customFormat="false" ht="15" hidden="false" customHeight="true" outlineLevel="0" collapsed="false">
      <c r="A2298" s="8" t="s">
        <v>42</v>
      </c>
      <c r="B2298" s="8" t="s">
        <v>151</v>
      </c>
      <c r="C2298" s="19" t="n">
        <v>0</v>
      </c>
      <c r="D2298" s="19" t="n">
        <v>0</v>
      </c>
      <c r="E2298" s="19" t="n">
        <v>9</v>
      </c>
      <c r="F2298" s="19" t="n">
        <v>230.47</v>
      </c>
      <c r="G2298" s="8" t="str">
        <f aca="false">IFERROR(INDEX('TRANS'!$B:$B,MATCH($B2298,'TRANS'!$A:$A,0)),IFERROR(INDEX('TRANS'!$B:$B,MATCH(TRIM(SUBSTITUTE($B2298,CHAR(160)," ")),'TRANS'!$D:$D,0)),IFERROR(INDEX('Catalog'!$A:$A,MATCH($B2298,'Catalog'!$B:$B,0)),IFERROR(INDEX('Catalog'!$A:$A,MATCH(TRIM(SUBSTITUTE($B2298,CHAR(160)," ")),'Catalog'!$C:$C,0)),""))))</f>
        <v/>
      </c>
      <c r="H2298" s="8" t="str">
        <f aca="false">IFERROR(INDEX('TRANS'!$C:$C,MATCH($B2298,'TRANS'!$A:$A,0)),IFERROR(INDEX('Catalog'!$B:$B,MATCH($G2298,'Catalog'!$A:$A,0)),$B2298))</f>
        <v>364 S-L</v>
      </c>
      <c r="I2298" s="8" t="str">
        <f aca="false">IF($G2298="","Unmatched","Matched")</f>
        <v>Unmatched</v>
      </c>
      <c r="J2298" s="8" t="str">
        <f aca="false">IF($G2298&lt;&gt;"",$G2298,$B2298)</f>
        <v>364 S-L</v>
      </c>
      <c r="K2298" s="8" t="str">
        <f aca="false">IF(COUNTIF($M$1:$M$10,$A2298)&gt;0,"Y","N")</f>
        <v>Y</v>
      </c>
    </row>
    <row r="2299" customFormat="false" ht="15" hidden="false" customHeight="true" outlineLevel="0" collapsed="false">
      <c r="A2299" s="8" t="s">
        <v>42</v>
      </c>
      <c r="B2299" s="8" t="s">
        <v>629</v>
      </c>
      <c r="C2299" s="19" t="n">
        <v>47</v>
      </c>
      <c r="D2299" s="19" t="n">
        <v>1124.83</v>
      </c>
      <c r="E2299" s="19" t="n">
        <v>38</v>
      </c>
      <c r="F2299" s="19" t="n">
        <v>976.87</v>
      </c>
      <c r="G2299" s="8" t="n">
        <f aca="false">IFERROR(INDEX('TRANS'!$B:$B,MATCH($B2299,'TRANS'!$A:$A,0)),IFERROR(INDEX('TRANS'!$B:$B,MATCH(TRIM(SUBSTITUTE($B2299,CHAR(160)," ")),'TRANS'!$D:$D,0)),IFERROR(INDEX('Catalog'!$A:$A,MATCH($B2299,'Catalog'!$B:$B,0)),IFERROR(INDEX('Catalog'!$A:$A,MATCH(TRIM(SUBSTITUTE($B2299,CHAR(160)," ")),'Catalog'!$C:$C,0)),""))))</f>
        <v>4413059</v>
      </c>
      <c r="H2299" s="8" t="str">
        <f aca="false">IFERROR(INDEX('TRANS'!$C:$C,MATCH($B2299,'TRANS'!$A:$A,0)),IFERROR(INDEX('Catalog'!$B:$B,MATCH($G2299,'Catalog'!$A:$A,0)),$B2299))</f>
        <v>364S Lמפר.אצבע סיליק. ליבל.זוג</v>
      </c>
      <c r="I2299" s="8" t="str">
        <f aca="false">IF($G2299="","Unmatched","Matched")</f>
        <v>Matched</v>
      </c>
      <c r="J2299" s="8" t="n">
        <f aca="false">IF($G2299&lt;&gt;"",$G2299,$B2299)</f>
        <v>4413059</v>
      </c>
      <c r="K2299" s="8" t="str">
        <f aca="false">IF(COUNTIF($M$1:$M$10,$A2299)&gt;0,"Y","N")</f>
        <v>Y</v>
      </c>
    </row>
    <row r="2300" customFormat="false" ht="15" hidden="false" customHeight="true" outlineLevel="0" collapsed="false">
      <c r="A2300" s="8" t="s">
        <v>42</v>
      </c>
      <c r="B2300" s="8" t="s">
        <v>630</v>
      </c>
      <c r="C2300" s="19" t="n">
        <v>20</v>
      </c>
      <c r="D2300" s="19" t="n">
        <v>501.53</v>
      </c>
      <c r="E2300" s="19" t="n">
        <v>21</v>
      </c>
      <c r="F2300" s="19" t="n">
        <v>525.08</v>
      </c>
      <c r="G2300" s="8" t="n">
        <f aca="false">IFERROR(INDEX('TRANS'!$B:$B,MATCH($B2300,'TRANS'!$A:$A,0)),IFERROR(INDEX('TRANS'!$B:$B,MATCH(TRIM(SUBSTITUTE($B2300,CHAR(160)," ")),'TRANS'!$D:$D,0)),IFERROR(INDEX('Catalog'!$A:$A,MATCH($B2300,'Catalog'!$B:$B,0)),IFERROR(INDEX('Catalog'!$A:$A,MATCH(TRIM(SUBSTITUTE($B2300,CHAR(160)," ")),'Catalog'!$C:$C,0)),""))))</f>
        <v>4413060</v>
      </c>
      <c r="H2300" s="8" t="str">
        <f aca="false">IFERROR(INDEX('TRANS'!$C:$C,MATCH($B2300,'TRANS'!$A:$A,0)),IFERROR(INDEX('Catalog'!$B:$B,MATCH($G2300,'Catalog'!$A:$A,0)),$B2300))</f>
        <v>364 XLמפריד אצבע סיליקון ליבלת</v>
      </c>
      <c r="I2300" s="8" t="str">
        <f aca="false">IF($G2300="","Unmatched","Matched")</f>
        <v>Matched</v>
      </c>
      <c r="J2300" s="8" t="n">
        <f aca="false">IF($G2300&lt;&gt;"",$G2300,$B2300)</f>
        <v>4413060</v>
      </c>
      <c r="K2300" s="8" t="str">
        <f aca="false">IF(COUNTIF($M$1:$M$10,$A2300)&gt;0,"Y","N")</f>
        <v>Y</v>
      </c>
    </row>
    <row r="2301" customFormat="false" ht="15" hidden="false" customHeight="true" outlineLevel="0" collapsed="false">
      <c r="A2301" s="8" t="s">
        <v>42</v>
      </c>
      <c r="B2301" s="8" t="s">
        <v>631</v>
      </c>
      <c r="C2301" s="19" t="n">
        <v>9</v>
      </c>
      <c r="D2301" s="19" t="n">
        <v>321.52</v>
      </c>
      <c r="E2301" s="19" t="n">
        <v>0</v>
      </c>
      <c r="F2301" s="19" t="n">
        <v>0</v>
      </c>
      <c r="G2301" s="8" t="n">
        <f aca="false">IFERROR(INDEX('TRANS'!$B:$B,MATCH($B2301,'TRANS'!$A:$A,0)),IFERROR(INDEX('TRANS'!$B:$B,MATCH(TRIM(SUBSTITUTE($B2301,CHAR(160)," ")),'TRANS'!$D:$D,0)),IFERROR(INDEX('Catalog'!$A:$A,MATCH($B2301,'Catalog'!$B:$B,0)),IFERROR(INDEX('Catalog'!$A:$A,MATCH(TRIM(SUBSTITUTE($B2301,CHAR(160)," ")),'Catalog'!$C:$C,0)),""))))</f>
        <v>4413061</v>
      </c>
      <c r="H2301" s="8" t="str">
        <f aca="false">IFERROR(INDEX('TRANS'!$C:$C,MATCH($B2301,'TRANS'!$A:$A,0)),IFERROR(INDEX('Catalog'!$B:$B,MATCH($G2301,'Catalog'!$A:$A,0)),$B2301))</f>
        <v>3641-מיישר בוהן סיליקון קשיח</v>
      </c>
      <c r="I2301" s="8" t="str">
        <f aca="false">IF($G2301="","Unmatched","Matched")</f>
        <v>Matched</v>
      </c>
      <c r="J2301" s="8" t="n">
        <f aca="false">IF($G2301&lt;&gt;"",$G2301,$B2301)</f>
        <v>4413061</v>
      </c>
      <c r="K2301" s="8" t="str">
        <f aca="false">IF(COUNTIF($M$1:$M$10,$A2301)&gt;0,"Y","N")</f>
        <v>Y</v>
      </c>
    </row>
    <row r="2302" customFormat="false" ht="15" hidden="false" customHeight="true" outlineLevel="0" collapsed="false">
      <c r="A2302" s="8" t="s">
        <v>42</v>
      </c>
      <c r="B2302" s="8" t="s">
        <v>68</v>
      </c>
      <c r="C2302" s="19" t="n">
        <v>0</v>
      </c>
      <c r="D2302" s="19" t="n">
        <v>0</v>
      </c>
      <c r="E2302" s="19" t="n">
        <v>40</v>
      </c>
      <c r="F2302" s="19" t="n">
        <v>992.54</v>
      </c>
      <c r="G2302" s="8" t="str">
        <f aca="false">IFERROR(INDEX('TRANS'!$B:$B,MATCH($B2302,'TRANS'!$A:$A,0)),IFERROR(INDEX('TRANS'!$B:$B,MATCH(TRIM(SUBSTITUTE($B2302,CHAR(160)," ")),'TRANS'!$D:$D,0)),IFERROR(INDEX('Catalog'!$A:$A,MATCH($B2302,'Catalog'!$B:$B,0)),IFERROR(INDEX('Catalog'!$A:$A,MATCH(TRIM(SUBSTITUTE($B2302,CHAR(160)," ")),'Catalog'!$C:$C,0)),""))))</f>
        <v/>
      </c>
      <c r="H2302" s="8" t="str">
        <f aca="false">IFERROR(INDEX('TRANS'!$C:$C,MATCH($B2302,'TRANS'!$A:$A,0)),IFERROR(INDEX('Catalog'!$B:$B,MATCH($G2302,'Catalog'!$A:$A,0)),$B2302))</f>
        <v>365 S-L</v>
      </c>
      <c r="I2302" s="8" t="str">
        <f aca="false">IF($G2302="","Unmatched","Matched")</f>
        <v>Unmatched</v>
      </c>
      <c r="J2302" s="8" t="str">
        <f aca="false">IF($G2302&lt;&gt;"",$G2302,$B2302)</f>
        <v>365 S-L</v>
      </c>
      <c r="K2302" s="8" t="str">
        <f aca="false">IF(COUNTIF($M$1:$M$10,$A2302)&gt;0,"Y","N")</f>
        <v>Y</v>
      </c>
    </row>
    <row r="2303" customFormat="false" ht="15" hidden="false" customHeight="true" outlineLevel="0" collapsed="false">
      <c r="A2303" s="8" t="s">
        <v>42</v>
      </c>
      <c r="B2303" s="8" t="s">
        <v>632</v>
      </c>
      <c r="C2303" s="19" t="n">
        <v>33</v>
      </c>
      <c r="D2303" s="19" t="n">
        <v>791.32</v>
      </c>
      <c r="E2303" s="19" t="n">
        <v>19</v>
      </c>
      <c r="F2303" s="19" t="n">
        <v>484.5</v>
      </c>
      <c r="G2303" s="8" t="n">
        <f aca="false">IFERROR(INDEX('TRANS'!$B:$B,MATCH($B2303,'TRANS'!$A:$A,0)),IFERROR(INDEX('TRANS'!$B:$B,MATCH(TRIM(SUBSTITUTE($B2303,CHAR(160)," ")),'TRANS'!$D:$D,0)),IFERROR(INDEX('Catalog'!$A:$A,MATCH($B2303,'Catalog'!$B:$B,0)),IFERROR(INDEX('Catalog'!$A:$A,MATCH(TRIM(SUBSTITUTE($B2303,CHAR(160)," ")),'Catalog'!$C:$C,0)),""))))</f>
        <v>4409000</v>
      </c>
      <c r="H2303" s="8" t="str">
        <f aca="false">IFERROR(INDEX('TRANS'!$C:$C,MATCH($B2303,'TRANS'!$A:$A,0)),IFERROR(INDEX('Catalog'!$B:$B,MATCH($G2303,'Catalog'!$A:$A,0)),$B2303))</f>
        <v>365 S-Lטבעת אלסטית מסיליקון</v>
      </c>
      <c r="I2303" s="8" t="str">
        <f aca="false">IF($G2303="","Unmatched","Matched")</f>
        <v>Matched</v>
      </c>
      <c r="J2303" s="8" t="n">
        <f aca="false">IF($G2303&lt;&gt;"",$G2303,$B2303)</f>
        <v>4409000</v>
      </c>
      <c r="K2303" s="8" t="str">
        <f aca="false">IF(COUNTIF($M$1:$M$10,$A2303)&gt;0,"Y","N")</f>
        <v>Y</v>
      </c>
    </row>
    <row r="2304" customFormat="false" ht="15" hidden="false" customHeight="true" outlineLevel="0" collapsed="false">
      <c r="A2304" s="8" t="s">
        <v>42</v>
      </c>
      <c r="B2304" s="8" t="s">
        <v>226</v>
      </c>
      <c r="C2304" s="19" t="n">
        <v>0</v>
      </c>
      <c r="D2304" s="19" t="n">
        <v>0</v>
      </c>
      <c r="E2304" s="19" t="n">
        <v>4</v>
      </c>
      <c r="F2304" s="19" t="n">
        <v>96.28</v>
      </c>
      <c r="G2304" s="8" t="str">
        <f aca="false">IFERROR(INDEX('TRANS'!$B:$B,MATCH($B2304,'TRANS'!$A:$A,0)),IFERROR(INDEX('TRANS'!$B:$B,MATCH(TRIM(SUBSTITUTE($B2304,CHAR(160)," ")),'TRANS'!$D:$D,0)),IFERROR(INDEX('Catalog'!$A:$A,MATCH($B2304,'Catalog'!$B:$B,0)),IFERROR(INDEX('Catalog'!$A:$A,MATCH(TRIM(SUBSTITUTE($B2304,CHAR(160)," ")),'Catalog'!$C:$C,0)),""))))</f>
        <v/>
      </c>
      <c r="H2304" s="8" t="str">
        <f aca="false">IFERROR(INDEX('TRANS'!$C:$C,MATCH($B2304,'TRANS'!$A:$A,0)),IFERROR(INDEX('Catalog'!$B:$B,MATCH($G2304,'Catalog'!$A:$A,0)),$B2304))</f>
        <v>365 XL</v>
      </c>
      <c r="I2304" s="8" t="str">
        <f aca="false">IF($G2304="","Unmatched","Matched")</f>
        <v>Unmatched</v>
      </c>
      <c r="J2304" s="8" t="str">
        <f aca="false">IF($G2304&lt;&gt;"",$G2304,$B2304)</f>
        <v>365 XL</v>
      </c>
      <c r="K2304" s="8" t="str">
        <f aca="false">IF(COUNTIF($M$1:$M$10,$A2304)&gt;0,"Y","N")</f>
        <v>Y</v>
      </c>
    </row>
    <row r="2305" customFormat="false" ht="15" hidden="false" customHeight="true" outlineLevel="0" collapsed="false">
      <c r="A2305" s="8" t="s">
        <v>42</v>
      </c>
      <c r="B2305" s="8" t="s">
        <v>868</v>
      </c>
      <c r="C2305" s="19" t="n">
        <v>19</v>
      </c>
      <c r="D2305" s="19" t="n">
        <v>477.66</v>
      </c>
      <c r="E2305" s="19" t="n">
        <v>7</v>
      </c>
      <c r="F2305" s="19" t="n">
        <v>169.78</v>
      </c>
      <c r="G2305" s="8" t="n">
        <f aca="false">IFERROR(INDEX('TRANS'!$B:$B,MATCH($B2305,'TRANS'!$A:$A,0)),IFERROR(INDEX('TRANS'!$B:$B,MATCH(TRIM(SUBSTITUTE($B2305,CHAR(160)," ")),'TRANS'!$D:$D,0)),IFERROR(INDEX('Catalog'!$A:$A,MATCH($B2305,'Catalog'!$B:$B,0)),IFERROR(INDEX('Catalog'!$A:$A,MATCH(TRIM(SUBSTITUTE($B2305,CHAR(160)," ")),'Catalog'!$C:$C,0)),""))))</f>
        <v>4409001</v>
      </c>
      <c r="H2305" s="8" t="str">
        <f aca="false">IFERROR(INDEX('TRANS'!$C:$C,MATCH($B2305,'TRANS'!$A:$A,0)),IFERROR(INDEX('Catalog'!$B:$B,MATCH($G2305,'Catalog'!$A:$A,0)),$B2305))</f>
        <v>365  X-Lטבעת אלסטית מסיליקון</v>
      </c>
      <c r="I2305" s="8" t="str">
        <f aca="false">IF($G2305="","Unmatched","Matched")</f>
        <v>Matched</v>
      </c>
      <c r="J2305" s="8" t="n">
        <f aca="false">IF($G2305&lt;&gt;"",$G2305,$B2305)</f>
        <v>4409001</v>
      </c>
      <c r="K2305" s="8" t="str">
        <f aca="false">IF(COUNTIF($M$1:$M$10,$A2305)&gt;0,"Y","N")</f>
        <v>Y</v>
      </c>
    </row>
    <row r="2306" customFormat="false" ht="15" hidden="false" customHeight="true" outlineLevel="0" collapsed="false">
      <c r="A2306" s="8" t="s">
        <v>42</v>
      </c>
      <c r="B2306" s="8" t="s">
        <v>633</v>
      </c>
      <c r="C2306" s="19" t="n">
        <v>51</v>
      </c>
      <c r="D2306" s="19" t="n">
        <v>1617.89</v>
      </c>
      <c r="E2306" s="19" t="n">
        <v>98</v>
      </c>
      <c r="F2306" s="19" t="n">
        <v>3156.38</v>
      </c>
      <c r="G2306" s="8" t="n">
        <f aca="false">IFERROR(INDEX('TRANS'!$B:$B,MATCH($B2306,'TRANS'!$A:$A,0)),IFERROR(INDEX('TRANS'!$B:$B,MATCH(TRIM(SUBSTITUTE($B2306,CHAR(160)," ")),'TRANS'!$D:$D,0)),IFERROR(INDEX('Catalog'!$A:$A,MATCH($B2306,'Catalog'!$B:$B,0)),IFERROR(INDEX('Catalog'!$A:$A,MATCH(TRIM(SUBSTITUTE($B2306,CHAR(160)," ")),'Catalog'!$C:$C,0)),""))))</f>
        <v>4421000</v>
      </c>
      <c r="H2306" s="8" t="str">
        <f aca="false">IFERROR(INDEX('TRANS'!$C:$C,MATCH($B2306,'TRANS'!$A:$A,0)),IFERROR(INDEX('Catalog'!$B:$B,MATCH($G2306,'Catalog'!$A:$A,0)),$B2306))</f>
        <v>3655 שרוול מסיליקון לאצבע</v>
      </c>
      <c r="I2306" s="8" t="str">
        <f aca="false">IF($G2306="","Unmatched","Matched")</f>
        <v>Matched</v>
      </c>
      <c r="J2306" s="8" t="n">
        <f aca="false">IF($G2306&lt;&gt;"",$G2306,$B2306)</f>
        <v>4421000</v>
      </c>
      <c r="K2306" s="8" t="str">
        <f aca="false">IF(COUNTIF($M$1:$M$10,$A2306)&gt;0,"Y","N")</f>
        <v>Y</v>
      </c>
    </row>
    <row r="2307" customFormat="false" ht="15" hidden="false" customHeight="true" outlineLevel="0" collapsed="false">
      <c r="A2307" s="8" t="s">
        <v>42</v>
      </c>
      <c r="B2307" s="8" t="s">
        <v>634</v>
      </c>
      <c r="C2307" s="19" t="n">
        <v>5</v>
      </c>
      <c r="D2307" s="19" t="n">
        <v>577.2</v>
      </c>
      <c r="E2307" s="19" t="n">
        <v>11</v>
      </c>
      <c r="F2307" s="19" t="n">
        <v>1280.67</v>
      </c>
      <c r="G2307" s="8" t="n">
        <f aca="false">IFERROR(INDEX('TRANS'!$B:$B,MATCH($B2307,'TRANS'!$A:$A,0)),IFERROR(INDEX('TRANS'!$B:$B,MATCH(TRIM(SUBSTITUTE($B2307,CHAR(160)," ")),'TRANS'!$D:$D,0)),IFERROR(INDEX('Catalog'!$A:$A,MATCH($B2307,'Catalog'!$B:$B,0)),IFERROR(INDEX('Catalog'!$A:$A,MATCH(TRIM(SUBSTITUTE($B2307,CHAR(160)," ")),'Catalog'!$C:$C,0)),""))))</f>
        <v>4413340</v>
      </c>
      <c r="H2307" s="8" t="str">
        <f aca="false">IFERROR(INDEX('TRANS'!$C:$C,MATCH($B2307,'TRANS'!$A:$A,0)),IFERROR(INDEX('Catalog'!$B:$B,MATCH($G2307,'Catalog'!$A:$A,0)),$B2307))</f>
        <v>3666 מפריד הלוקס</v>
      </c>
      <c r="I2307" s="8" t="str">
        <f aca="false">IF($G2307="","Unmatched","Matched")</f>
        <v>Matched</v>
      </c>
      <c r="J2307" s="8" t="n">
        <f aca="false">IF($G2307&lt;&gt;"",$G2307,$B2307)</f>
        <v>4413340</v>
      </c>
      <c r="K2307" s="8" t="str">
        <f aca="false">IF(COUNTIF($M$1:$M$10,$A2307)&gt;0,"Y","N")</f>
        <v>Y</v>
      </c>
    </row>
    <row r="2308" customFormat="false" ht="15" hidden="false" customHeight="true" outlineLevel="0" collapsed="false">
      <c r="A2308" s="8" t="s">
        <v>42</v>
      </c>
      <c r="B2308" s="8" t="s">
        <v>635</v>
      </c>
      <c r="C2308" s="19" t="n">
        <v>21</v>
      </c>
      <c r="D2308" s="19" t="n">
        <v>1172.09</v>
      </c>
      <c r="E2308" s="19" t="n">
        <v>12</v>
      </c>
      <c r="F2308" s="19" t="n">
        <v>687.14</v>
      </c>
      <c r="G2308" s="8" t="n">
        <f aca="false">IFERROR(INDEX('TRANS'!$B:$B,MATCH($B2308,'TRANS'!$A:$A,0)),IFERROR(INDEX('TRANS'!$B:$B,MATCH(TRIM(SUBSTITUTE($B2308,CHAR(160)," ")),'TRANS'!$D:$D,0)),IFERROR(INDEX('Catalog'!$A:$A,MATCH($B2308,'Catalog'!$B:$B,0)),IFERROR(INDEX('Catalog'!$A:$A,MATCH(TRIM(SUBSTITUTE($B2308,CHAR(160)," ")),'Catalog'!$C:$C,0)),""))))</f>
        <v>4413307</v>
      </c>
      <c r="H2308" s="8" t="str">
        <f aca="false">IFERROR(INDEX('TRANS'!$C:$C,MATCH($B2308,'TRANS'!$A:$A,0)),IFERROR(INDEX('Catalog'!$B:$B,MATCH($G2308,'Catalog'!$A:$A,0)),$B2308))</f>
        <v>URI 3667 מגן בוניון</v>
      </c>
      <c r="I2308" s="8" t="str">
        <f aca="false">IF($G2308="","Unmatched","Matched")</f>
        <v>Matched</v>
      </c>
      <c r="J2308" s="8" t="n">
        <f aca="false">IF($G2308&lt;&gt;"",$G2308,$B2308)</f>
        <v>4413307</v>
      </c>
      <c r="K2308" s="8" t="str">
        <f aca="false">IF(COUNTIF($M$1:$M$10,$A2308)&gt;0,"Y","N")</f>
        <v>Y</v>
      </c>
    </row>
    <row r="2309" customFormat="false" ht="15" hidden="false" customHeight="true" outlineLevel="0" collapsed="false">
      <c r="A2309" s="8" t="s">
        <v>42</v>
      </c>
      <c r="B2309" s="8" t="s">
        <v>636</v>
      </c>
      <c r="C2309" s="19" t="n">
        <v>5</v>
      </c>
      <c r="D2309" s="19" t="n">
        <v>152.1</v>
      </c>
      <c r="E2309" s="19" t="n">
        <v>16</v>
      </c>
      <c r="F2309" s="19" t="n">
        <v>470.02</v>
      </c>
      <c r="G2309" s="8" t="n">
        <f aca="false">IFERROR(INDEX('TRANS'!$B:$B,MATCH($B2309,'TRANS'!$A:$A,0)),IFERROR(INDEX('TRANS'!$B:$B,MATCH(TRIM(SUBSTITUTE($B2309,CHAR(160)," ")),'TRANS'!$D:$D,0)),IFERROR(INDEX('Catalog'!$A:$A,MATCH($B2309,'Catalog'!$B:$B,0)),IFERROR(INDEX('Catalog'!$A:$A,MATCH(TRIM(SUBSTITUTE($B2309,CHAR(160)," ")),'Catalog'!$C:$C,0)),""))))</f>
        <v>4413063</v>
      </c>
      <c r="H2309" s="8" t="str">
        <f aca="false">IFERROR(INDEX('TRANS'!$C:$C,MATCH($B2309,'TRANS'!$A:$A,0)),IFERROR(INDEX('Catalog'!$B:$B,MATCH($G2309,'Catalog'!$A:$A,0)),$B2309))</f>
        <v>366S-'מדבק.לשחרור לחץ מיבלת2יח</v>
      </c>
      <c r="I2309" s="8" t="str">
        <f aca="false">IF($G2309="","Unmatched","Matched")</f>
        <v>Matched</v>
      </c>
      <c r="J2309" s="8" t="n">
        <f aca="false">IF($G2309&lt;&gt;"",$G2309,$B2309)</f>
        <v>4413063</v>
      </c>
      <c r="K2309" s="8" t="str">
        <f aca="false">IF(COUNTIF($M$1:$M$10,$A2309)&gt;0,"Y","N")</f>
        <v>Y</v>
      </c>
    </row>
    <row r="2310" customFormat="false" ht="15" hidden="false" customHeight="true" outlineLevel="0" collapsed="false">
      <c r="A2310" s="8" t="s">
        <v>42</v>
      </c>
      <c r="B2310" s="8" t="s">
        <v>637</v>
      </c>
      <c r="C2310" s="19" t="n">
        <v>29</v>
      </c>
      <c r="D2310" s="19" t="n">
        <v>1777.68</v>
      </c>
      <c r="E2310" s="19" t="n">
        <v>41</v>
      </c>
      <c r="F2310" s="19" t="n">
        <v>2749.04</v>
      </c>
      <c r="G2310" s="8" t="n">
        <f aca="false">IFERROR(INDEX('TRANS'!$B:$B,MATCH($B2310,'TRANS'!$A:$A,0)),IFERROR(INDEX('TRANS'!$B:$B,MATCH(TRIM(SUBSTITUTE($B2310,CHAR(160)," ")),'TRANS'!$D:$D,0)),IFERROR(INDEX('Catalog'!$A:$A,MATCH($B2310,'Catalog'!$B:$B,0)),IFERROR(INDEX('Catalog'!$A:$A,MATCH(TRIM(SUBSTITUTE($B2310,CHAR(160)," ")),'Catalog'!$C:$C,0)),""))))</f>
        <v>4421003</v>
      </c>
      <c r="H2310" s="8" t="str">
        <f aca="false">IFERROR(INDEX('TRANS'!$C:$C,MATCH($B2310,'TRANS'!$A:$A,0)),IFERROR(INDEX('Catalog'!$B:$B,MATCH($G2310,'Catalog'!$A:$A,0)),$B2310))</f>
        <v>3672 שרוול מגן לבוניון</v>
      </c>
      <c r="I2310" s="8" t="str">
        <f aca="false">IF($G2310="","Unmatched","Matched")</f>
        <v>Matched</v>
      </c>
      <c r="J2310" s="8" t="n">
        <f aca="false">IF($G2310&lt;&gt;"",$G2310,$B2310)</f>
        <v>4421003</v>
      </c>
      <c r="K2310" s="8" t="str">
        <f aca="false">IF(COUNTIF($M$1:$M$10,$A2310)&gt;0,"Y","N")</f>
        <v>Y</v>
      </c>
    </row>
    <row r="2311" customFormat="false" ht="15" hidden="false" customHeight="true" outlineLevel="0" collapsed="false">
      <c r="A2311" s="8" t="s">
        <v>42</v>
      </c>
      <c r="B2311" s="8" t="s">
        <v>638</v>
      </c>
      <c r="C2311" s="19" t="n">
        <v>96</v>
      </c>
      <c r="D2311" s="19" t="n">
        <v>6399.12</v>
      </c>
      <c r="E2311" s="19" t="n">
        <v>157</v>
      </c>
      <c r="F2311" s="19" t="n">
        <v>10900.19</v>
      </c>
      <c r="G2311" s="8" t="n">
        <f aca="false">IFERROR(INDEX('TRANS'!$B:$B,MATCH($B2311,'TRANS'!$A:$A,0)),IFERROR(INDEX('TRANS'!$B:$B,MATCH(TRIM(SUBSTITUTE($B2311,CHAR(160)," ")),'TRANS'!$D:$D,0)),IFERROR(INDEX('Catalog'!$A:$A,MATCH($B2311,'Catalog'!$B:$B,0)),IFERROR(INDEX('Catalog'!$A:$A,MATCH(TRIM(SUBSTITUTE($B2311,CHAR(160)," ")),'Catalog'!$C:$C,0)),""))))</f>
        <v>4413370</v>
      </c>
      <c r="H2311" s="8" t="str">
        <f aca="false">IFERROR(INDEX('TRANS'!$C:$C,MATCH($B2311,'TRANS'!$A:$A,0)),IFERROR(INDEX('Catalog'!$B:$B,MATCH($G2311,'Catalog'!$A:$A,0)),$B2311))</f>
        <v>3674 0 מ.בוניון+מפריד אצבע</v>
      </c>
      <c r="I2311" s="8" t="str">
        <f aca="false">IF($G2311="","Unmatched","Matched")</f>
        <v>Matched</v>
      </c>
      <c r="J2311" s="8" t="n">
        <f aca="false">IF($G2311&lt;&gt;"",$G2311,$B2311)</f>
        <v>4413370</v>
      </c>
      <c r="K2311" s="8" t="str">
        <f aca="false">IF(COUNTIF($M$1:$M$10,$A2311)&gt;0,"Y","N")</f>
        <v>Y</v>
      </c>
    </row>
    <row r="2312" customFormat="false" ht="15" hidden="false" customHeight="true" outlineLevel="0" collapsed="false">
      <c r="A2312" s="8" t="s">
        <v>42</v>
      </c>
      <c r="B2312" s="8" t="s">
        <v>639</v>
      </c>
      <c r="C2312" s="19" t="n">
        <v>21</v>
      </c>
      <c r="D2312" s="19" t="n">
        <v>1097.25</v>
      </c>
      <c r="E2312" s="19" t="n">
        <v>50</v>
      </c>
      <c r="F2312" s="19" t="n">
        <v>2679.34</v>
      </c>
      <c r="G2312" s="8" t="n">
        <f aca="false">IFERROR(INDEX('TRANS'!$B:$B,MATCH($B2312,'TRANS'!$A:$A,0)),IFERROR(INDEX('TRANS'!$B:$B,MATCH(TRIM(SUBSTITUTE($B2312,CHAR(160)," ")),'TRANS'!$D:$D,0)),IFERROR(INDEX('Catalog'!$A:$A,MATCH($B2312,'Catalog'!$B:$B,0)),IFERROR(INDEX('Catalog'!$A:$A,MATCH(TRIM(SUBSTITUTE($B2312,CHAR(160)," ")),'Catalog'!$C:$C,0)),""))))</f>
        <v>4413371</v>
      </c>
      <c r="H2312" s="8" t="str">
        <f aca="false">IFERROR(INDEX('TRANS'!$C:$C,MATCH($B2312,'TRANS'!$A:$A,0)),IFERROR(INDEX('Catalog'!$B:$B,MATCH($G2312,'Catalog'!$A:$A,0)),$B2312))</f>
        <v>3675    מגן זרת מסיליקון</v>
      </c>
      <c r="I2312" s="8" t="str">
        <f aca="false">IF($G2312="","Unmatched","Matched")</f>
        <v>Matched</v>
      </c>
      <c r="J2312" s="8" t="n">
        <f aca="false">IF($G2312&lt;&gt;"",$G2312,$B2312)</f>
        <v>4413371</v>
      </c>
      <c r="K2312" s="8" t="str">
        <f aca="false">IF(COUNTIF($M$1:$M$10,$A2312)&gt;0,"Y","N")</f>
        <v>Y</v>
      </c>
    </row>
    <row r="2313" customFormat="false" ht="15" hidden="false" customHeight="true" outlineLevel="0" collapsed="false">
      <c r="A2313" s="8" t="s">
        <v>42</v>
      </c>
      <c r="B2313" s="8" t="s">
        <v>986</v>
      </c>
      <c r="C2313" s="19" t="n">
        <v>17</v>
      </c>
      <c r="D2313" s="19" t="n">
        <v>546.84</v>
      </c>
      <c r="E2313" s="19" t="n">
        <v>13</v>
      </c>
      <c r="F2313" s="19" t="n">
        <v>483.62</v>
      </c>
      <c r="G2313" s="8" t="n">
        <f aca="false">IFERROR(INDEX('TRANS'!$B:$B,MATCH($B2313,'TRANS'!$A:$A,0)),IFERROR(INDEX('TRANS'!$B:$B,MATCH(TRIM(SUBSTITUTE($B2313,CHAR(160)," ")),'TRANS'!$D:$D,0)),IFERROR(INDEX('Catalog'!$A:$A,MATCH($B2313,'Catalog'!$B:$B,0)),IFERROR(INDEX('Catalog'!$A:$A,MATCH(TRIM(SUBSTITUTE($B2313,CHAR(160)," ")),'Catalog'!$C:$C,0)),""))))</f>
        <v>4413066</v>
      </c>
      <c r="H2313" s="8" t="str">
        <f aca="false">IFERROR(INDEX('TRANS'!$C:$C,MATCH($B2313,'TRANS'!$A:$A,0)),IFERROR(INDEX('Catalog'!$B:$B,MATCH($G2313,'Catalog'!$A:$A,0)),$B2313))</f>
        <v>3677S-מד.לשחרור לחץ א.הבוניון</v>
      </c>
      <c r="I2313" s="8" t="str">
        <f aca="false">IF($G2313="","Unmatched","Matched")</f>
        <v>Matched</v>
      </c>
      <c r="J2313" s="8" t="n">
        <f aca="false">IF($G2313&lt;&gt;"",$G2313,$B2313)</f>
        <v>4413066</v>
      </c>
      <c r="K2313" s="8" t="str">
        <f aca="false">IF(COUNTIF($M$1:$M$10,$A2313)&gt;0,"Y","N")</f>
        <v>Y</v>
      </c>
    </row>
    <row r="2314" customFormat="false" ht="15" hidden="false" customHeight="true" outlineLevel="0" collapsed="false">
      <c r="A2314" s="8" t="s">
        <v>42</v>
      </c>
      <c r="B2314" s="8" t="s">
        <v>152</v>
      </c>
      <c r="C2314" s="19" t="n">
        <v>0</v>
      </c>
      <c r="D2314" s="19" t="n">
        <v>0</v>
      </c>
      <c r="E2314" s="19" t="n">
        <v>9</v>
      </c>
      <c r="F2314" s="19" t="n">
        <v>358.07</v>
      </c>
      <c r="G2314" s="8" t="str">
        <f aca="false">IFERROR(INDEX('TRANS'!$B:$B,MATCH($B2314,'TRANS'!$A:$A,0)),IFERROR(INDEX('TRANS'!$B:$B,MATCH(TRIM(SUBSTITUTE($B2314,CHAR(160)," ")),'TRANS'!$D:$D,0)),IFERROR(INDEX('Catalog'!$A:$A,MATCH($B2314,'Catalog'!$B:$B,0)),IFERROR(INDEX('Catalog'!$A:$A,MATCH(TRIM(SUBSTITUTE($B2314,CHAR(160)," ")),'Catalog'!$C:$C,0)),""))))</f>
        <v/>
      </c>
      <c r="H2314" s="8" t="str">
        <f aca="false">IFERROR(INDEX('TRANS'!$C:$C,MATCH($B2314,'TRANS'!$A:$A,0)),IFERROR(INDEX('Catalog'!$B:$B,MATCH($G2314,'Catalog'!$A:$A,0)),$B2314))</f>
        <v>369 S-L</v>
      </c>
      <c r="I2314" s="8" t="str">
        <f aca="false">IF($G2314="","Unmatched","Matched")</f>
        <v>Unmatched</v>
      </c>
      <c r="J2314" s="8" t="str">
        <f aca="false">IF($G2314&lt;&gt;"",$G2314,$B2314)</f>
        <v>369 S-L</v>
      </c>
      <c r="K2314" s="8" t="str">
        <f aca="false">IF(COUNTIF($M$1:$M$10,$A2314)&gt;0,"Y","N")</f>
        <v>Y</v>
      </c>
    </row>
    <row r="2315" customFormat="false" ht="15" hidden="false" customHeight="true" outlineLevel="0" collapsed="false">
      <c r="A2315" s="8" t="s">
        <v>42</v>
      </c>
      <c r="B2315" s="8" t="s">
        <v>640</v>
      </c>
      <c r="C2315" s="19" t="n">
        <v>22</v>
      </c>
      <c r="D2315" s="19" t="n">
        <v>884.38</v>
      </c>
      <c r="E2315" s="19" t="n">
        <v>8</v>
      </c>
      <c r="F2315" s="19" t="n">
        <v>319.24</v>
      </c>
      <c r="G2315" s="8" t="n">
        <f aca="false">IFERROR(INDEX('TRANS'!$B:$B,MATCH($B2315,'TRANS'!$A:$A,0)),IFERROR(INDEX('TRANS'!$B:$B,MATCH(TRIM(SUBSTITUTE($B2315,CHAR(160)," ")),'TRANS'!$D:$D,0)),IFERROR(INDEX('Catalog'!$A:$A,MATCH($B2315,'Catalog'!$B:$B,0)),IFERROR(INDEX('Catalog'!$A:$A,MATCH(TRIM(SUBSTITUTE($B2315,CHAR(160)," ")),'Catalog'!$C:$C,0)),""))))</f>
        <v>4401000</v>
      </c>
      <c r="H2315" s="8" t="str">
        <f aca="false">IFERROR(INDEX('TRANS'!$C:$C,MATCH($B2315,'TRANS'!$A:$A,0)),IFERROR(INDEX('Catalog'!$B:$B,MATCH($G2315,'Catalog'!$A:$A,0)),$B2315))</f>
        <v>369  S-L אצבעון מסיליקון יחידה</v>
      </c>
      <c r="I2315" s="8" t="str">
        <f aca="false">IF($G2315="","Unmatched","Matched")</f>
        <v>Matched</v>
      </c>
      <c r="J2315" s="8" t="n">
        <f aca="false">IF($G2315&lt;&gt;"",$G2315,$B2315)</f>
        <v>4401000</v>
      </c>
      <c r="K2315" s="8" t="str">
        <f aca="false">IF(COUNTIF($M$1:$M$10,$A2315)&gt;0,"Y","N")</f>
        <v>Y</v>
      </c>
    </row>
    <row r="2316" customFormat="false" ht="15" hidden="false" customHeight="true" outlineLevel="0" collapsed="false">
      <c r="A2316" s="8" t="s">
        <v>42</v>
      </c>
      <c r="B2316" s="8" t="s">
        <v>113</v>
      </c>
      <c r="C2316" s="19" t="n">
        <v>0</v>
      </c>
      <c r="D2316" s="19" t="n">
        <v>0</v>
      </c>
      <c r="E2316" s="19" t="n">
        <v>15</v>
      </c>
      <c r="F2316" s="19" t="n">
        <v>667.98</v>
      </c>
      <c r="G2316" s="8" t="str">
        <f aca="false">IFERROR(INDEX('TRANS'!$B:$B,MATCH($B2316,'TRANS'!$A:$A,0)),IFERROR(INDEX('TRANS'!$B:$B,MATCH(TRIM(SUBSTITUTE($B2316,CHAR(160)," ")),'TRANS'!$D:$D,0)),IFERROR(INDEX('Catalog'!$A:$A,MATCH($B2316,'Catalog'!$B:$B,0)),IFERROR(INDEX('Catalog'!$A:$A,MATCH(TRIM(SUBSTITUTE($B2316,CHAR(160)," ")),'Catalog'!$C:$C,0)),""))))</f>
        <v/>
      </c>
      <c r="H2316" s="8" t="str">
        <f aca="false">IFERROR(INDEX('TRANS'!$C:$C,MATCH($B2316,'TRANS'!$A:$A,0)),IFERROR(INDEX('Catalog'!$B:$B,MATCH($G2316,'Catalog'!$A:$A,0)),$B2316))</f>
        <v>369 XL</v>
      </c>
      <c r="I2316" s="8" t="str">
        <f aca="false">IF($G2316="","Unmatched","Matched")</f>
        <v>Unmatched</v>
      </c>
      <c r="J2316" s="8" t="str">
        <f aca="false">IF($G2316&lt;&gt;"",$G2316,$B2316)</f>
        <v>369 XL</v>
      </c>
      <c r="K2316" s="8" t="str">
        <f aca="false">IF(COUNTIF($M$1:$M$10,$A2316)&gt;0,"Y","N")</f>
        <v>Y</v>
      </c>
    </row>
    <row r="2317" customFormat="false" ht="15" hidden="false" customHeight="true" outlineLevel="0" collapsed="false">
      <c r="A2317" s="8" t="s">
        <v>42</v>
      </c>
      <c r="B2317" s="8" t="s">
        <v>641</v>
      </c>
      <c r="C2317" s="19" t="n">
        <v>21</v>
      </c>
      <c r="D2317" s="19" t="n">
        <v>916.59</v>
      </c>
      <c r="E2317" s="19" t="n">
        <v>7</v>
      </c>
      <c r="F2317" s="19" t="n">
        <v>317.39</v>
      </c>
      <c r="G2317" s="8" t="n">
        <f aca="false">IFERROR(INDEX('TRANS'!$B:$B,MATCH($B2317,'TRANS'!$A:$A,0)),IFERROR(INDEX('TRANS'!$B:$B,MATCH(TRIM(SUBSTITUTE($B2317,CHAR(160)," ")),'TRANS'!$D:$D,0)),IFERROR(INDEX('Catalog'!$A:$A,MATCH($B2317,'Catalog'!$B:$B,0)),IFERROR(INDEX('Catalog'!$A:$A,MATCH(TRIM(SUBSTITUTE($B2317,CHAR(160)," ")),'Catalog'!$C:$C,0)),""))))</f>
        <v>4401001</v>
      </c>
      <c r="H2317" s="8" t="str">
        <f aca="false">IFERROR(INDEX('TRANS'!$C:$C,MATCH($B2317,'TRANS'!$A:$A,0)),IFERROR(INDEX('Catalog'!$B:$B,MATCH($G2317,'Catalog'!$A:$A,0)),$B2317))</f>
        <v>369   XL אצבעון מסיליקון יחידה</v>
      </c>
      <c r="I2317" s="8" t="str">
        <f aca="false">IF($G2317="","Unmatched","Matched")</f>
        <v>Matched</v>
      </c>
      <c r="J2317" s="8" t="n">
        <f aca="false">IF($G2317&lt;&gt;"",$G2317,$B2317)</f>
        <v>4401001</v>
      </c>
      <c r="K2317" s="8" t="str">
        <f aca="false">IF(COUNTIF($M$1:$M$10,$A2317)&gt;0,"Y","N")</f>
        <v>Y</v>
      </c>
    </row>
    <row r="2318" customFormat="false" ht="15" hidden="false" customHeight="true" outlineLevel="0" collapsed="false">
      <c r="A2318" s="8" t="s">
        <v>42</v>
      </c>
      <c r="B2318" s="8" t="s">
        <v>642</v>
      </c>
      <c r="C2318" s="19" t="n">
        <v>21</v>
      </c>
      <c r="D2318" s="19" t="n">
        <v>486.98</v>
      </c>
      <c r="E2318" s="19" t="n">
        <v>15</v>
      </c>
      <c r="F2318" s="19" t="n">
        <v>351.12</v>
      </c>
      <c r="G2318" s="8" t="n">
        <f aca="false">IFERROR(INDEX('TRANS'!$B:$B,MATCH($B2318,'TRANS'!$A:$A,0)),IFERROR(INDEX('TRANS'!$B:$B,MATCH(TRIM(SUBSTITUTE($B2318,CHAR(160)," ")),'TRANS'!$D:$D,0)),IFERROR(INDEX('Catalog'!$A:$A,MATCH($B2318,'Catalog'!$B:$B,0)),IFERROR(INDEX('Catalog'!$A:$A,MATCH(TRIM(SUBSTITUTE($B2318,CHAR(160)," ")),'Catalog'!$C:$C,0)),""))))</f>
        <v>4420000</v>
      </c>
      <c r="H2318" s="8" t="str">
        <f aca="false">IFERROR(INDEX('TRANS'!$C:$C,MATCH($B2318,'TRANS'!$A:$A,0)),IFERROR(INDEX('Catalog'!$B:$B,MATCH($G2318,'Catalog'!$A:$A,0)),$B2318))</f>
        <v>370  רפידת נוחות-זוג</v>
      </c>
      <c r="I2318" s="8" t="str">
        <f aca="false">IF($G2318="","Unmatched","Matched")</f>
        <v>Matched</v>
      </c>
      <c r="J2318" s="8" t="n">
        <f aca="false">IF($G2318&lt;&gt;"",$G2318,$B2318)</f>
        <v>4420000</v>
      </c>
      <c r="K2318" s="8" t="str">
        <f aca="false">IF(COUNTIF($M$1:$M$10,$A2318)&gt;0,"Y","N")</f>
        <v>Y</v>
      </c>
    </row>
    <row r="2319" customFormat="false" ht="15" hidden="false" customHeight="true" outlineLevel="0" collapsed="false">
      <c r="A2319" s="8" t="s">
        <v>42</v>
      </c>
      <c r="B2319" s="8" t="s">
        <v>643</v>
      </c>
      <c r="C2319" s="19" t="n">
        <v>15</v>
      </c>
      <c r="D2319" s="19" t="n">
        <v>339.76</v>
      </c>
      <c r="E2319" s="19" t="n">
        <v>26</v>
      </c>
      <c r="F2319" s="19" t="n">
        <v>433.97</v>
      </c>
      <c r="G2319" s="8" t="n">
        <f aca="false">IFERROR(INDEX('TRANS'!$B:$B,MATCH($B2319,'TRANS'!$A:$A,0)),IFERROR(INDEX('TRANS'!$B:$B,MATCH(TRIM(SUBSTITUTE($B2319,CHAR(160)," ")),'TRANS'!$D:$D,0)),IFERROR(INDEX('Catalog'!$A:$A,MATCH($B2319,'Catalog'!$B:$B,0)),IFERROR(INDEX('Catalog'!$A:$A,MATCH(TRIM(SUBSTITUTE($B2319,CHAR(160)," ")),'Catalog'!$C:$C,0)),""))))</f>
        <v>4420027</v>
      </c>
      <c r="H2319" s="8" t="str">
        <f aca="false">IFERROR(INDEX('TRANS'!$C:$C,MATCH($B2319,'TRANS'!$A:$A,0)),IFERROR(INDEX('Catalog'!$B:$B,MATCH($G2319,'Catalog'!$A:$A,0)),$B2319))</f>
        <v>370K 0 רפידת לילדים אנטי ריח</v>
      </c>
      <c r="I2319" s="8" t="str">
        <f aca="false">IF($G2319="","Unmatched","Matched")</f>
        <v>Matched</v>
      </c>
      <c r="J2319" s="8" t="n">
        <f aca="false">IF($G2319&lt;&gt;"",$G2319,$B2319)</f>
        <v>4420027</v>
      </c>
      <c r="K2319" s="8" t="str">
        <f aca="false">IF(COUNTIF($M$1:$M$10,$A2319)&gt;0,"Y","N")</f>
        <v>Y</v>
      </c>
    </row>
    <row r="2320" customFormat="false" ht="15" hidden="false" customHeight="true" outlineLevel="0" collapsed="false">
      <c r="A2320" s="8" t="s">
        <v>42</v>
      </c>
      <c r="B2320" s="8" t="s">
        <v>644</v>
      </c>
      <c r="C2320" s="19" t="n">
        <v>27</v>
      </c>
      <c r="D2320" s="19" t="n">
        <v>602.49</v>
      </c>
      <c r="E2320" s="19" t="n">
        <v>23</v>
      </c>
      <c r="F2320" s="19" t="n">
        <v>320.88</v>
      </c>
      <c r="G2320" s="8" t="n">
        <f aca="false">IFERROR(INDEX('TRANS'!$B:$B,MATCH($B2320,'TRANS'!$A:$A,0)),IFERROR(INDEX('TRANS'!$B:$B,MATCH(TRIM(SUBSTITUTE($B2320,CHAR(160)," ")),'TRANS'!$D:$D,0)),IFERROR(INDEX('Catalog'!$A:$A,MATCH($B2320,'Catalog'!$B:$B,0)),IFERROR(INDEX('Catalog'!$A:$A,MATCH(TRIM(SUBSTITUTE($B2320,CHAR(160)," ")),'Catalog'!$C:$C,0)),""))))</f>
        <v>4420001</v>
      </c>
      <c r="H2320" s="8" t="str">
        <f aca="false">IFERROR(INDEX('TRANS'!$C:$C,MATCH($B2320,'TRANS'!$A:$A,0)),IFERROR(INDEX('Catalog'!$B:$B,MATCH($G2320,'Catalog'!$A:$A,0)),$B2320))</f>
        <v>371 רפידת מגבת כותנה-זוג</v>
      </c>
      <c r="I2320" s="8" t="str">
        <f aca="false">IF($G2320="","Unmatched","Matched")</f>
        <v>Matched</v>
      </c>
      <c r="J2320" s="8" t="n">
        <f aca="false">IF($G2320&lt;&gt;"",$G2320,$B2320)</f>
        <v>4420001</v>
      </c>
      <c r="K2320" s="8" t="str">
        <f aca="false">IF(COUNTIF($M$1:$M$10,$A2320)&gt;0,"Y","N")</f>
        <v>Y</v>
      </c>
    </row>
    <row r="2321" customFormat="false" ht="15" hidden="false" customHeight="true" outlineLevel="0" collapsed="false">
      <c r="A2321" s="8" t="s">
        <v>42</v>
      </c>
      <c r="B2321" s="8" t="s">
        <v>645</v>
      </c>
      <c r="C2321" s="19" t="n">
        <v>18</v>
      </c>
      <c r="D2321" s="19" t="n">
        <v>468.71</v>
      </c>
      <c r="E2321" s="19" t="n">
        <v>25</v>
      </c>
      <c r="F2321" s="19" t="n">
        <v>676.12</v>
      </c>
      <c r="G2321" s="8" t="n">
        <f aca="false">IFERROR(INDEX('TRANS'!$B:$B,MATCH($B2321,'TRANS'!$A:$A,0)),IFERROR(INDEX('TRANS'!$B:$B,MATCH(TRIM(SUBSTITUTE($B2321,CHAR(160)," ")),'TRANS'!$D:$D,0)),IFERROR(INDEX('Catalog'!$A:$A,MATCH($B2321,'Catalog'!$B:$B,0)),IFERROR(INDEX('Catalog'!$A:$A,MATCH(TRIM(SUBSTITUTE($B2321,CHAR(160)," ")),'Catalog'!$C:$C,0)),""))))</f>
        <v>4420002</v>
      </c>
      <c r="H2321" s="8" t="str">
        <f aca="false">IFERROR(INDEX('TRANS'!$C:$C,MATCH($B2321,'TRANS'!$A:$A,0)),IFERROR(INDEX('Catalog'!$B:$B,MATCH($G2321,'Catalog'!$A:$A,0)),$B2321))</f>
        <v>372 רפידת אנטי ריח -זוג</v>
      </c>
      <c r="I2321" s="8" t="str">
        <f aca="false">IF($G2321="","Unmatched","Matched")</f>
        <v>Matched</v>
      </c>
      <c r="J2321" s="8" t="n">
        <f aca="false">IF($G2321&lt;&gt;"",$G2321,$B2321)</f>
        <v>4420002</v>
      </c>
      <c r="K2321" s="8" t="str">
        <f aca="false">IF(COUNTIF($M$1:$M$10,$A2321)&gt;0,"Y","N")</f>
        <v>Y</v>
      </c>
    </row>
    <row r="2322" customFormat="false" ht="15" hidden="false" customHeight="true" outlineLevel="0" collapsed="false">
      <c r="A2322" s="8" t="s">
        <v>42</v>
      </c>
      <c r="B2322" s="8" t="s">
        <v>646</v>
      </c>
      <c r="C2322" s="19" t="n">
        <v>18</v>
      </c>
      <c r="D2322" s="19" t="n">
        <v>443.78</v>
      </c>
      <c r="E2322" s="19" t="n">
        <v>19</v>
      </c>
      <c r="F2322" s="19" t="n">
        <v>510.22</v>
      </c>
      <c r="G2322" s="8" t="n">
        <f aca="false">IFERROR(INDEX('TRANS'!$B:$B,MATCH($B2322,'TRANS'!$A:$A,0)),IFERROR(INDEX('TRANS'!$B:$B,MATCH(TRIM(SUBSTITUTE($B2322,CHAR(160)," ")),'TRANS'!$D:$D,0)),IFERROR(INDEX('Catalog'!$A:$A,MATCH($B2322,'Catalog'!$B:$B,0)),IFERROR(INDEX('Catalog'!$A:$A,MATCH(TRIM(SUBSTITUTE($B2322,CHAR(160)," ")),'Catalog'!$C:$C,0)),""))))</f>
        <v>4420003</v>
      </c>
      <c r="H2322" s="8" t="str">
        <f aca="false">IFERROR(INDEX('TRANS'!$C:$C,MATCH($B2322,'TRANS'!$A:$A,0)),IFERROR(INDEX('Catalog'!$B:$B,MATCH($G2322,'Catalog'!$A:$A,0)),$B2322))</f>
        <v>374 רפידת בולמת זעזועים -זוג</v>
      </c>
      <c r="I2322" s="8" t="str">
        <f aca="false">IF($G2322="","Unmatched","Matched")</f>
        <v>Matched</v>
      </c>
      <c r="J2322" s="8" t="n">
        <f aca="false">IF($G2322&lt;&gt;"",$G2322,$B2322)</f>
        <v>4420003</v>
      </c>
      <c r="K2322" s="8" t="str">
        <f aca="false">IF(COUNTIF($M$1:$M$10,$A2322)&gt;0,"Y","N")</f>
        <v>Y</v>
      </c>
    </row>
    <row r="2323" customFormat="false" ht="15" hidden="false" customHeight="true" outlineLevel="0" collapsed="false">
      <c r="A2323" s="8" t="s">
        <v>42</v>
      </c>
      <c r="B2323" s="8" t="s">
        <v>264</v>
      </c>
      <c r="C2323" s="19" t="n">
        <v>5</v>
      </c>
      <c r="D2323" s="19" t="n">
        <v>279.35</v>
      </c>
      <c r="E2323" s="19" t="n">
        <v>2</v>
      </c>
      <c r="F2323" s="19" t="n">
        <v>120.6</v>
      </c>
      <c r="G2323" s="8" t="str">
        <f aca="false">IFERROR(INDEX('TRANS'!$B:$B,MATCH($B2323,'TRANS'!$A:$A,0)),IFERROR(INDEX('TRANS'!$B:$B,MATCH(TRIM(SUBSTITUTE($B2323,CHAR(160)," ")),'TRANS'!$D:$D,0)),IFERROR(INDEX('Catalog'!$A:$A,MATCH($B2323,'Catalog'!$B:$B,0)),IFERROR(INDEX('Catalog'!$A:$A,MATCH(TRIM(SUBSTITUTE($B2323,CHAR(160)," ")),'Catalog'!$C:$C,0)),""))))</f>
        <v/>
      </c>
      <c r="H2323" s="8" t="str">
        <f aca="false">IFERROR(INDEX('TRANS'!$C:$C,MATCH($B2323,'TRANS'!$A:$A,0)),IFERROR(INDEX('Catalog'!$B:$B,MATCH($G2323,'Catalog'!$A:$A,0)),$B2323))</f>
        <v>376-35-37</v>
      </c>
      <c r="I2323" s="8" t="str">
        <f aca="false">IF($G2323="","Unmatched","Matched")</f>
        <v>Unmatched</v>
      </c>
      <c r="J2323" s="8" t="str">
        <f aca="false">IF($G2323&lt;&gt;"",$G2323,$B2323)</f>
        <v>376-35-37</v>
      </c>
      <c r="K2323" s="8" t="str">
        <f aca="false">IF(COUNTIF($M$1:$M$10,$A2323)&gt;0,"Y","N")</f>
        <v>Y</v>
      </c>
    </row>
    <row r="2324" customFormat="false" ht="15" hidden="false" customHeight="true" outlineLevel="0" collapsed="false">
      <c r="A2324" s="8" t="s">
        <v>42</v>
      </c>
      <c r="B2324" s="8" t="s">
        <v>121</v>
      </c>
      <c r="C2324" s="19" t="n">
        <v>9</v>
      </c>
      <c r="D2324" s="19" t="n">
        <v>495.74</v>
      </c>
      <c r="E2324" s="19" t="n">
        <v>12</v>
      </c>
      <c r="F2324" s="19" t="n">
        <v>729.94</v>
      </c>
      <c r="G2324" s="8" t="str">
        <f aca="false">IFERROR(INDEX('TRANS'!$B:$B,MATCH($B2324,'TRANS'!$A:$A,0)),IFERROR(INDEX('TRANS'!$B:$B,MATCH(TRIM(SUBSTITUTE($B2324,CHAR(160)," ")),'TRANS'!$D:$D,0)),IFERROR(INDEX('Catalog'!$A:$A,MATCH($B2324,'Catalog'!$B:$B,0)),IFERROR(INDEX('Catalog'!$A:$A,MATCH(TRIM(SUBSTITUTE($B2324,CHAR(160)," ")),'Catalog'!$C:$C,0)),""))))</f>
        <v/>
      </c>
      <c r="H2324" s="8" t="str">
        <f aca="false">IFERROR(INDEX('TRANS'!$C:$C,MATCH($B2324,'TRANS'!$A:$A,0)),IFERROR(INDEX('Catalog'!$B:$B,MATCH($G2324,'Catalog'!$A:$A,0)),$B2324))</f>
        <v>376-38-40</v>
      </c>
      <c r="I2324" s="8" t="str">
        <f aca="false">IF($G2324="","Unmatched","Matched")</f>
        <v>Unmatched</v>
      </c>
      <c r="J2324" s="8" t="str">
        <f aca="false">IF($G2324&lt;&gt;"",$G2324,$B2324)</f>
        <v>376-38-40</v>
      </c>
      <c r="K2324" s="8" t="str">
        <f aca="false">IF(COUNTIF($M$1:$M$10,$A2324)&gt;0,"Y","N")</f>
        <v>Y</v>
      </c>
    </row>
    <row r="2325" customFormat="false" ht="15" hidden="false" customHeight="true" outlineLevel="0" collapsed="false">
      <c r="A2325" s="8" t="s">
        <v>42</v>
      </c>
      <c r="B2325" s="8" t="s">
        <v>78</v>
      </c>
      <c r="C2325" s="19" t="n">
        <v>12</v>
      </c>
      <c r="D2325" s="19" t="n">
        <v>717.21</v>
      </c>
      <c r="E2325" s="19" t="n">
        <v>25</v>
      </c>
      <c r="F2325" s="19" t="n">
        <v>1525.06</v>
      </c>
      <c r="G2325" s="8" t="str">
        <f aca="false">IFERROR(INDEX('TRANS'!$B:$B,MATCH($B2325,'TRANS'!$A:$A,0)),IFERROR(INDEX('TRANS'!$B:$B,MATCH(TRIM(SUBSTITUTE($B2325,CHAR(160)," ")),'TRANS'!$D:$D,0)),IFERROR(INDEX('Catalog'!$A:$A,MATCH($B2325,'Catalog'!$B:$B,0)),IFERROR(INDEX('Catalog'!$A:$A,MATCH(TRIM(SUBSTITUTE($B2325,CHAR(160)," ")),'Catalog'!$C:$C,0)),""))))</f>
        <v/>
      </c>
      <c r="H2325" s="8" t="str">
        <f aca="false">IFERROR(INDEX('TRANS'!$C:$C,MATCH($B2325,'TRANS'!$A:$A,0)),IFERROR(INDEX('Catalog'!$B:$B,MATCH($G2325,'Catalog'!$A:$A,0)),$B2325))</f>
        <v>376-41-43</v>
      </c>
      <c r="I2325" s="8" t="str">
        <f aca="false">IF($G2325="","Unmatched","Matched")</f>
        <v>Unmatched</v>
      </c>
      <c r="J2325" s="8" t="str">
        <f aca="false">IF($G2325&lt;&gt;"",$G2325,$B2325)</f>
        <v>376-41-43</v>
      </c>
      <c r="K2325" s="8" t="str">
        <f aca="false">IF(COUNTIF($M$1:$M$10,$A2325)&gt;0,"Y","N")</f>
        <v>Y</v>
      </c>
    </row>
    <row r="2326" customFormat="false" ht="15" hidden="false" customHeight="true" outlineLevel="0" collapsed="false">
      <c r="A2326" s="8" t="s">
        <v>42</v>
      </c>
      <c r="B2326" s="8" t="s">
        <v>81</v>
      </c>
      <c r="C2326" s="19" t="n">
        <v>14</v>
      </c>
      <c r="D2326" s="19" t="n">
        <v>812.28</v>
      </c>
      <c r="E2326" s="19" t="n">
        <v>21</v>
      </c>
      <c r="F2326" s="19" t="n">
        <v>1313.88</v>
      </c>
      <c r="G2326" s="8" t="str">
        <f aca="false">IFERROR(INDEX('TRANS'!$B:$B,MATCH($B2326,'TRANS'!$A:$A,0)),IFERROR(INDEX('TRANS'!$B:$B,MATCH(TRIM(SUBSTITUTE($B2326,CHAR(160)," ")),'TRANS'!$D:$D,0)),IFERROR(INDEX('Catalog'!$A:$A,MATCH($B2326,'Catalog'!$B:$B,0)),IFERROR(INDEX('Catalog'!$A:$A,MATCH(TRIM(SUBSTITUTE($B2326,CHAR(160)," ")),'Catalog'!$C:$C,0)),""))))</f>
        <v/>
      </c>
      <c r="H2326" s="8" t="str">
        <f aca="false">IFERROR(INDEX('TRANS'!$C:$C,MATCH($B2326,'TRANS'!$A:$A,0)),IFERROR(INDEX('Catalog'!$B:$B,MATCH($G2326,'Catalog'!$A:$A,0)),$B2326))</f>
        <v>376-44-45</v>
      </c>
      <c r="I2326" s="8" t="str">
        <f aca="false">IF($G2326="","Unmatched","Matched")</f>
        <v>Unmatched</v>
      </c>
      <c r="J2326" s="8" t="str">
        <f aca="false">IF($G2326&lt;&gt;"",$G2326,$B2326)</f>
        <v>376-44-45</v>
      </c>
      <c r="K2326" s="8" t="str">
        <f aca="false">IF(COUNTIF($M$1:$M$10,$A2326)&gt;0,"Y","N")</f>
        <v>Y</v>
      </c>
    </row>
    <row r="2327" customFormat="false" ht="15" hidden="false" customHeight="true" outlineLevel="0" collapsed="false">
      <c r="A2327" s="8" t="s">
        <v>42</v>
      </c>
      <c r="B2327" s="8" t="s">
        <v>647</v>
      </c>
      <c r="C2327" s="19" t="n">
        <v>5</v>
      </c>
      <c r="D2327" s="19" t="n">
        <v>298.31</v>
      </c>
      <c r="E2327" s="19" t="n">
        <v>7</v>
      </c>
      <c r="F2327" s="19" t="n">
        <v>434.79</v>
      </c>
      <c r="G2327" s="8" t="n">
        <f aca="false">IFERROR(INDEX('TRANS'!$B:$B,MATCH($B2327,'TRANS'!$A:$A,0)),IFERROR(INDEX('TRANS'!$B:$B,MATCH(TRIM(SUBSTITUTE($B2327,CHAR(160)," ")),'TRANS'!$D:$D,0)),IFERROR(INDEX('Catalog'!$A:$A,MATCH($B2327,'Catalog'!$B:$B,0)),IFERROR(INDEX('Catalog'!$A:$A,MATCH(TRIM(SUBSTITUTE($B2327,CHAR(160)," ")),'Catalog'!$C:$C,0)),""))))</f>
        <v>4420032</v>
      </c>
      <c r="H2327" s="8" t="str">
        <f aca="false">IFERROR(INDEX('TRANS'!$C:$C,MATCH($B2327,'TRANS'!$A:$A,0)),IFERROR(INDEX('Catalog'!$B:$B,MATCH($G2327,'Catalog'!$A:$A,0)),$B2327))</f>
        <v>46-47 רפידת ספורט 376 מידה</v>
      </c>
      <c r="I2327" s="8" t="str">
        <f aca="false">IF($G2327="","Unmatched","Matched")</f>
        <v>Matched</v>
      </c>
      <c r="J2327" s="8" t="n">
        <f aca="false">IF($G2327&lt;&gt;"",$G2327,$B2327)</f>
        <v>4420032</v>
      </c>
      <c r="K2327" s="8" t="str">
        <f aca="false">IF(COUNTIF($M$1:$M$10,$A2327)&gt;0,"Y","N")</f>
        <v>Y</v>
      </c>
    </row>
    <row r="2328" customFormat="false" ht="15" hidden="false" customHeight="true" outlineLevel="0" collapsed="false">
      <c r="A2328" s="8" t="s">
        <v>42</v>
      </c>
      <c r="B2328" s="8" t="s">
        <v>869</v>
      </c>
      <c r="C2328" s="19" t="n">
        <v>19</v>
      </c>
      <c r="D2328" s="19" t="n">
        <v>3386.25</v>
      </c>
      <c r="E2328" s="19" t="n">
        <v>6</v>
      </c>
      <c r="F2328" s="19" t="n">
        <v>1157.33</v>
      </c>
      <c r="G2328" s="8" t="n">
        <f aca="false">IFERROR(INDEX('TRANS'!$B:$B,MATCH($B2328,'TRANS'!$A:$A,0)),IFERROR(INDEX('TRANS'!$B:$B,MATCH(TRIM(SUBSTITUTE($B2328,CHAR(160)," ")),'TRANS'!$D:$D,0)),IFERROR(INDEX('Catalog'!$A:$A,MATCH($B2328,'Catalog'!$B:$B,0)),IFERROR(INDEX('Catalog'!$A:$A,MATCH(TRIM(SUBSTITUTE($B2328,CHAR(160)," ")),'Catalog'!$C:$C,0)),""))))</f>
        <v>4413523</v>
      </c>
      <c r="H2328" s="8" t="str">
        <f aca="false">IFERROR(INDEX('TRANS'!$C:$C,MATCH($B2328,'TRANS'!$A:$A,0)),IFERROR(INDEX('Catalog'!$B:$B,MATCH($G2328,'Catalog'!$A:$A,0)),$B2328))</f>
        <v>35-38 מדרסי אפיק ג'ל נוחות</v>
      </c>
      <c r="I2328" s="8" t="str">
        <f aca="false">IF($G2328="","Unmatched","Matched")</f>
        <v>Matched</v>
      </c>
      <c r="J2328" s="8" t="n">
        <f aca="false">IF($G2328&lt;&gt;"",$G2328,$B2328)</f>
        <v>4413523</v>
      </c>
      <c r="K2328" s="8" t="str">
        <f aca="false">IF(COUNTIF($M$1:$M$10,$A2328)&gt;0,"Y","N")</f>
        <v>Y</v>
      </c>
    </row>
    <row r="2329" customFormat="false" ht="15" hidden="false" customHeight="true" outlineLevel="0" collapsed="false">
      <c r="A2329" s="8" t="s">
        <v>42</v>
      </c>
      <c r="B2329" s="8" t="s">
        <v>870</v>
      </c>
      <c r="C2329" s="19" t="n">
        <v>15</v>
      </c>
      <c r="D2329" s="19" t="n">
        <v>2957.61</v>
      </c>
      <c r="E2329" s="19" t="n">
        <v>19</v>
      </c>
      <c r="F2329" s="19" t="n">
        <v>3825.63</v>
      </c>
      <c r="G2329" s="8" t="n">
        <f aca="false">IFERROR(INDEX('TRANS'!$B:$B,MATCH($B2329,'TRANS'!$A:$A,0)),IFERROR(INDEX('TRANS'!$B:$B,MATCH(TRIM(SUBSTITUTE($B2329,CHAR(160)," ")),'TRANS'!$D:$D,0)),IFERROR(INDEX('Catalog'!$A:$A,MATCH($B2329,'Catalog'!$B:$B,0)),IFERROR(INDEX('Catalog'!$A:$A,MATCH(TRIM(SUBSTITUTE($B2329,CHAR(160)," ")),'Catalog'!$C:$C,0)),""))))</f>
        <v>4413524</v>
      </c>
      <c r="H2329" s="8" t="str">
        <f aca="false">IFERROR(INDEX('TRANS'!$C:$C,MATCH($B2329,'TRANS'!$A:$A,0)),IFERROR(INDEX('Catalog'!$B:$B,MATCH($G2329,'Catalog'!$A:$A,0)),$B2329))</f>
        <v>39-42 מדרסי אפיק ג'ל נוחות</v>
      </c>
      <c r="I2329" s="8" t="str">
        <f aca="false">IF($G2329="","Unmatched","Matched")</f>
        <v>Matched</v>
      </c>
      <c r="J2329" s="8" t="n">
        <f aca="false">IF($G2329&lt;&gt;"",$G2329,$B2329)</f>
        <v>4413524</v>
      </c>
      <c r="K2329" s="8" t="str">
        <f aca="false">IF(COUNTIF($M$1:$M$10,$A2329)&gt;0,"Y","N")</f>
        <v>Y</v>
      </c>
    </row>
    <row r="2330" customFormat="false" ht="15" hidden="false" customHeight="true" outlineLevel="0" collapsed="false">
      <c r="A2330" s="8" t="s">
        <v>42</v>
      </c>
      <c r="B2330" s="8" t="s">
        <v>871</v>
      </c>
      <c r="C2330" s="19" t="n">
        <v>21</v>
      </c>
      <c r="D2330" s="19" t="n">
        <v>3932.8</v>
      </c>
      <c r="E2330" s="19" t="n">
        <v>10</v>
      </c>
      <c r="F2330" s="19" t="n">
        <v>2023.27</v>
      </c>
      <c r="G2330" s="8" t="n">
        <f aca="false">IFERROR(INDEX('TRANS'!$B:$B,MATCH($B2330,'TRANS'!$A:$A,0)),IFERROR(INDEX('TRANS'!$B:$B,MATCH(TRIM(SUBSTITUTE($B2330,CHAR(160)," ")),'TRANS'!$D:$D,0)),IFERROR(INDEX('Catalog'!$A:$A,MATCH($B2330,'Catalog'!$B:$B,0)),IFERROR(INDEX('Catalog'!$A:$A,MATCH(TRIM(SUBSTITUTE($B2330,CHAR(160)," ")),'Catalog'!$C:$C,0)),""))))</f>
        <v>4413525</v>
      </c>
      <c r="H2330" s="8" t="str">
        <f aca="false">IFERROR(INDEX('TRANS'!$C:$C,MATCH($B2330,'TRANS'!$A:$A,0)),IFERROR(INDEX('Catalog'!$B:$B,MATCH($G2330,'Catalog'!$A:$A,0)),$B2330))</f>
        <v>43-47 מדרסי אפיק ג'ל נוחות</v>
      </c>
      <c r="I2330" s="8" t="str">
        <f aca="false">IF($G2330="","Unmatched","Matched")</f>
        <v>Matched</v>
      </c>
      <c r="J2330" s="8" t="n">
        <f aca="false">IF($G2330&lt;&gt;"",$G2330,$B2330)</f>
        <v>4413525</v>
      </c>
      <c r="K2330" s="8" t="str">
        <f aca="false">IF(COUNTIF($M$1:$M$10,$A2330)&gt;0,"Y","N")</f>
        <v>Y</v>
      </c>
    </row>
    <row r="2331" customFormat="false" ht="15" hidden="false" customHeight="true" outlineLevel="0" collapsed="false">
      <c r="A2331" s="8" t="s">
        <v>42</v>
      </c>
      <c r="B2331" s="8" t="s">
        <v>872</v>
      </c>
      <c r="C2331" s="19" t="n">
        <v>2</v>
      </c>
      <c r="D2331" s="19" t="n">
        <v>385.77</v>
      </c>
      <c r="E2331" s="19" t="n">
        <v>0</v>
      </c>
      <c r="F2331" s="19" t="n">
        <v>0</v>
      </c>
      <c r="G2331" s="8" t="n">
        <f aca="false">IFERROR(INDEX('TRANS'!$B:$B,MATCH($B2331,'TRANS'!$A:$A,0)),IFERROR(INDEX('TRANS'!$B:$B,MATCH(TRIM(SUBSTITUTE($B2331,CHAR(160)," ")),'TRANS'!$D:$D,0)),IFERROR(INDEX('Catalog'!$A:$A,MATCH($B2331,'Catalog'!$B:$B,0)),IFERROR(INDEX('Catalog'!$A:$A,MATCH(TRIM(SUBSTITUTE($B2331,CHAR(160)," ")),'Catalog'!$C:$C,0)),""))))</f>
        <v>4413520</v>
      </c>
      <c r="H2331" s="8" t="str">
        <f aca="false">IFERROR(INDEX('TRANS'!$C:$C,MATCH($B2331,'TRANS'!$A:$A,0)),IFERROR(INDEX('Catalog'!$B:$B,MATCH($G2331,'Catalog'!$A:$A,0)),$B2331))</f>
        <v>מדרסי אפיק ג'ל מולט.ספורט35-38</v>
      </c>
      <c r="I2331" s="8" t="str">
        <f aca="false">IF($G2331="","Unmatched","Matched")</f>
        <v>Matched</v>
      </c>
      <c r="J2331" s="8" t="n">
        <f aca="false">IF($G2331&lt;&gt;"",$G2331,$B2331)</f>
        <v>4413520</v>
      </c>
      <c r="K2331" s="8" t="str">
        <f aca="false">IF(COUNTIF($M$1:$M$10,$A2331)&gt;0,"Y","N")</f>
        <v>Y</v>
      </c>
    </row>
    <row r="2332" customFormat="false" ht="15" hidden="false" customHeight="true" outlineLevel="0" collapsed="false">
      <c r="A2332" s="8" t="s">
        <v>42</v>
      </c>
      <c r="B2332" s="8" t="s">
        <v>873</v>
      </c>
      <c r="C2332" s="19" t="n">
        <v>7</v>
      </c>
      <c r="D2332" s="19" t="n">
        <v>1382.35</v>
      </c>
      <c r="E2332" s="19" t="n">
        <v>14</v>
      </c>
      <c r="F2332" s="19" t="n">
        <v>2893.34</v>
      </c>
      <c r="G2332" s="8" t="n">
        <f aca="false">IFERROR(INDEX('TRANS'!$B:$B,MATCH($B2332,'TRANS'!$A:$A,0)),IFERROR(INDEX('TRANS'!$B:$B,MATCH(TRIM(SUBSTITUTE($B2332,CHAR(160)," ")),'TRANS'!$D:$D,0)),IFERROR(INDEX('Catalog'!$A:$A,MATCH($B2332,'Catalog'!$B:$B,0)),IFERROR(INDEX('Catalog'!$A:$A,MATCH(TRIM(SUBSTITUTE($B2332,CHAR(160)," ")),'Catalog'!$C:$C,0)),""))))</f>
        <v>4413521</v>
      </c>
      <c r="H2332" s="8" t="str">
        <f aca="false">IFERROR(INDEX('TRANS'!$C:$C,MATCH($B2332,'TRANS'!$A:$A,0)),IFERROR(INDEX('Catalog'!$B:$B,MATCH($G2332,'Catalog'!$A:$A,0)),$B2332))</f>
        <v>מדרסי אפיק ג'ל מולטי ספור39-42</v>
      </c>
      <c r="I2332" s="8" t="str">
        <f aca="false">IF($G2332="","Unmatched","Matched")</f>
        <v>Matched</v>
      </c>
      <c r="J2332" s="8" t="n">
        <f aca="false">IF($G2332&lt;&gt;"",$G2332,$B2332)</f>
        <v>4413521</v>
      </c>
      <c r="K2332" s="8" t="str">
        <f aca="false">IF(COUNTIF($M$1:$M$10,$A2332)&gt;0,"Y","N")</f>
        <v>Y</v>
      </c>
    </row>
    <row r="2333" customFormat="false" ht="15" hidden="false" customHeight="true" outlineLevel="0" collapsed="false">
      <c r="A2333" s="8" t="s">
        <v>42</v>
      </c>
      <c r="B2333" s="8" t="s">
        <v>874</v>
      </c>
      <c r="C2333" s="19" t="n">
        <v>19</v>
      </c>
      <c r="D2333" s="19" t="n">
        <v>3707.74</v>
      </c>
      <c r="E2333" s="19" t="n">
        <v>15</v>
      </c>
      <c r="F2333" s="19" t="n">
        <v>2955.59</v>
      </c>
      <c r="G2333" s="8" t="n">
        <f aca="false">IFERROR(INDEX('TRANS'!$B:$B,MATCH($B2333,'TRANS'!$A:$A,0)),IFERROR(INDEX('TRANS'!$B:$B,MATCH(TRIM(SUBSTITUTE($B2333,CHAR(160)," ")),'TRANS'!$D:$D,0)),IFERROR(INDEX('Catalog'!$A:$A,MATCH($B2333,'Catalog'!$B:$B,0)),IFERROR(INDEX('Catalog'!$A:$A,MATCH(TRIM(SUBSTITUTE($B2333,CHAR(160)," ")),'Catalog'!$C:$C,0)),""))))</f>
        <v>4413522</v>
      </c>
      <c r="H2333" s="8" t="str">
        <f aca="false">IFERROR(INDEX('TRANS'!$C:$C,MATCH($B2333,'TRANS'!$A:$A,0)),IFERROR(INDEX('Catalog'!$B:$B,MATCH($G2333,'Catalog'!$A:$A,0)),$B2333))</f>
        <v>מדרסי אפיק ג'ל מולט.ספורט43-47</v>
      </c>
      <c r="I2333" s="8" t="str">
        <f aca="false">IF($G2333="","Unmatched","Matched")</f>
        <v>Matched</v>
      </c>
      <c r="J2333" s="8" t="n">
        <f aca="false">IF($G2333&lt;&gt;"",$G2333,$B2333)</f>
        <v>4413522</v>
      </c>
      <c r="K2333" s="8" t="str">
        <f aca="false">IF(COUNTIF($M$1:$M$10,$A2333)&gt;0,"Y","N")</f>
        <v>Y</v>
      </c>
    </row>
    <row r="2334" customFormat="false" ht="15" hidden="false" customHeight="true" outlineLevel="0" collapsed="false">
      <c r="A2334" s="8" t="s">
        <v>42</v>
      </c>
      <c r="B2334" s="8" t="s">
        <v>875</v>
      </c>
      <c r="C2334" s="19" t="n">
        <v>5</v>
      </c>
      <c r="D2334" s="19" t="n">
        <v>953.72</v>
      </c>
      <c r="E2334" s="19" t="n">
        <v>3</v>
      </c>
      <c r="F2334" s="19" t="n">
        <v>621.54</v>
      </c>
      <c r="G2334" s="8" t="n">
        <f aca="false">IFERROR(INDEX('TRANS'!$B:$B,MATCH($B2334,'TRANS'!$A:$A,0)),IFERROR(INDEX('TRANS'!$B:$B,MATCH(TRIM(SUBSTITUTE($B2334,CHAR(160)," ")),'TRANS'!$D:$D,0)),IFERROR(INDEX('Catalog'!$A:$A,MATCH($B2334,'Catalog'!$B:$B,0)),IFERROR(INDEX('Catalog'!$A:$A,MATCH(TRIM(SUBSTITUTE($B2334,CHAR(160)," ")),'Catalog'!$C:$C,0)),""))))</f>
        <v>4413527</v>
      </c>
      <c r="H2334" s="8" t="str">
        <f aca="false">IFERROR(INDEX('TRANS'!$C:$C,MATCH($B2334,'TRANS'!$A:$A,0)),IFERROR(INDEX('Catalog'!$B:$B,MATCH($G2334,'Catalog'!$A:$A,0)),$B2334))</f>
        <v>35-38 מדרסי אפיק ג'ל עבודה</v>
      </c>
      <c r="I2334" s="8" t="str">
        <f aca="false">IF($G2334="","Unmatched","Matched")</f>
        <v>Matched</v>
      </c>
      <c r="J2334" s="8" t="n">
        <f aca="false">IF($G2334&lt;&gt;"",$G2334,$B2334)</f>
        <v>4413527</v>
      </c>
      <c r="K2334" s="8" t="str">
        <f aca="false">IF(COUNTIF($M$1:$M$10,$A2334)&gt;0,"Y","N")</f>
        <v>Y</v>
      </c>
    </row>
    <row r="2335" customFormat="false" ht="15" hidden="false" customHeight="true" outlineLevel="0" collapsed="false">
      <c r="A2335" s="8" t="s">
        <v>42</v>
      </c>
      <c r="B2335" s="8" t="s">
        <v>876</v>
      </c>
      <c r="C2335" s="19" t="n">
        <v>17</v>
      </c>
      <c r="D2335" s="19" t="n">
        <v>3236.36</v>
      </c>
      <c r="E2335" s="19" t="n">
        <v>10</v>
      </c>
      <c r="F2335" s="19" t="n">
        <v>2003.92</v>
      </c>
      <c r="G2335" s="8" t="n">
        <f aca="false">IFERROR(INDEX('TRANS'!$B:$B,MATCH($B2335,'TRANS'!$A:$A,0)),IFERROR(INDEX('TRANS'!$B:$B,MATCH(TRIM(SUBSTITUTE($B2335,CHAR(160)," ")),'TRANS'!$D:$D,0)),IFERROR(INDEX('Catalog'!$A:$A,MATCH($B2335,'Catalog'!$B:$B,0)),IFERROR(INDEX('Catalog'!$A:$A,MATCH(TRIM(SUBSTITUTE($B2335,CHAR(160)," ")),'Catalog'!$C:$C,0)),""))))</f>
        <v>4413528</v>
      </c>
      <c r="H2335" s="8" t="str">
        <f aca="false">IFERROR(INDEX('TRANS'!$C:$C,MATCH($B2335,'TRANS'!$A:$A,0)),IFERROR(INDEX('Catalog'!$B:$B,MATCH($G2335,'Catalog'!$A:$A,0)),$B2335))</f>
        <v>39-42 מדרסי אפיק ג'ל עבודה</v>
      </c>
      <c r="I2335" s="8" t="str">
        <f aca="false">IF($G2335="","Unmatched","Matched")</f>
        <v>Matched</v>
      </c>
      <c r="J2335" s="8" t="n">
        <f aca="false">IF($G2335&lt;&gt;"",$G2335,$B2335)</f>
        <v>4413528</v>
      </c>
      <c r="K2335" s="8" t="str">
        <f aca="false">IF(COUNTIF($M$1:$M$10,$A2335)&gt;0,"Y","N")</f>
        <v>Y</v>
      </c>
    </row>
    <row r="2336" customFormat="false" ht="15" hidden="false" customHeight="true" outlineLevel="0" collapsed="false">
      <c r="A2336" s="8" t="s">
        <v>42</v>
      </c>
      <c r="B2336" s="8" t="s">
        <v>877</v>
      </c>
      <c r="C2336" s="19" t="n">
        <v>38</v>
      </c>
      <c r="D2336" s="19" t="n">
        <v>7404.9</v>
      </c>
      <c r="E2336" s="19" t="n">
        <v>25</v>
      </c>
      <c r="F2336" s="19" t="n">
        <v>4931.83</v>
      </c>
      <c r="G2336" s="8" t="n">
        <f aca="false">IFERROR(INDEX('TRANS'!$B:$B,MATCH($B2336,'TRANS'!$A:$A,0)),IFERROR(INDEX('TRANS'!$B:$B,MATCH(TRIM(SUBSTITUTE($B2336,CHAR(160)," ")),'TRANS'!$D:$D,0)),IFERROR(INDEX('Catalog'!$A:$A,MATCH($B2336,'Catalog'!$B:$B,0)),IFERROR(INDEX('Catalog'!$A:$A,MATCH(TRIM(SUBSTITUTE($B2336,CHAR(160)," ")),'Catalog'!$C:$C,0)),""))))</f>
        <v>4413529</v>
      </c>
      <c r="H2336" s="8" t="str">
        <f aca="false">IFERROR(INDEX('TRANS'!$C:$C,MATCH($B2336,'TRANS'!$A:$A,0)),IFERROR(INDEX('Catalog'!$B:$B,MATCH($G2336,'Catalog'!$A:$A,0)),$B2336))</f>
        <v>43-47 מדרסי אפיק ג'ל עבודה</v>
      </c>
      <c r="I2336" s="8" t="str">
        <f aca="false">IF($G2336="","Unmatched","Matched")</f>
        <v>Matched</v>
      </c>
      <c r="J2336" s="8" t="n">
        <f aca="false">IF($G2336&lt;&gt;"",$G2336,$B2336)</f>
        <v>4413529</v>
      </c>
      <c r="K2336" s="8" t="str">
        <f aca="false">IF(COUNTIF($M$1:$M$10,$A2336)&gt;0,"Y","N")</f>
        <v>Y</v>
      </c>
    </row>
    <row r="2337" customFormat="false" ht="15" hidden="false" customHeight="true" outlineLevel="0" collapsed="false">
      <c r="A2337" s="8" t="s">
        <v>42</v>
      </c>
      <c r="B2337" s="8" t="s">
        <v>648</v>
      </c>
      <c r="C2337" s="19" t="n">
        <v>14</v>
      </c>
      <c r="D2337" s="19" t="n">
        <v>2149.27</v>
      </c>
      <c r="E2337" s="19" t="n">
        <v>4</v>
      </c>
      <c r="F2337" s="19" t="n">
        <v>627.65</v>
      </c>
      <c r="G2337" s="8" t="n">
        <f aca="false">IFERROR(INDEX('TRANS'!$B:$B,MATCH($B2337,'TRANS'!$A:$A,0)),IFERROR(INDEX('TRANS'!$B:$B,MATCH(TRIM(SUBSTITUTE($B2337,CHAR(160)," ")),'TRANS'!$D:$D,0)),IFERROR(INDEX('Catalog'!$A:$A,MATCH($B2337,'Catalog'!$B:$B,0)),IFERROR(INDEX('Catalog'!$A:$A,MATCH(TRIM(SUBSTITUTE($B2337,CHAR(160)," ")),'Catalog'!$C:$C,0)),""))))</f>
        <v>4408069</v>
      </c>
      <c r="H2337" s="8" t="str">
        <f aca="false">IFERROR(INDEX('TRANS'!$C:$C,MATCH($B2337,'TRANS'!$A:$A,0)),IFERROR(INDEX('Catalog'!$B:$B,MATCH($G2337,'Catalog'!$A:$A,0)),$B2337))</f>
        <v>38 .חבישת""""הלוקס ולגוס""""לאחר נית</v>
      </c>
      <c r="I2337" s="8" t="str">
        <f aca="false">IF($G2337="","Unmatched","Matched")</f>
        <v>Matched</v>
      </c>
      <c r="J2337" s="8" t="n">
        <f aca="false">IF($G2337&lt;&gt;"",$G2337,$B2337)</f>
        <v>4408069</v>
      </c>
      <c r="K2337" s="8" t="str">
        <f aca="false">IF(COUNTIF($M$1:$M$10,$A2337)&gt;0,"Y","N")</f>
        <v>Y</v>
      </c>
    </row>
    <row r="2338" customFormat="false" ht="15" hidden="false" customHeight="true" outlineLevel="0" collapsed="false">
      <c r="A2338" s="8" t="s">
        <v>42</v>
      </c>
      <c r="B2338" s="8" t="s">
        <v>649</v>
      </c>
      <c r="C2338" s="19" t="n">
        <v>58</v>
      </c>
      <c r="D2338" s="19" t="n">
        <v>4549.11</v>
      </c>
      <c r="E2338" s="19" t="n">
        <v>158</v>
      </c>
      <c r="F2338" s="19" t="n">
        <v>12859.93</v>
      </c>
      <c r="G2338" s="8" t="n">
        <f aca="false">IFERROR(INDEX('TRANS'!$B:$B,MATCH($B2338,'TRANS'!$A:$A,0)),IFERROR(INDEX('TRANS'!$B:$B,MATCH(TRIM(SUBSTITUTE($B2338,CHAR(160)," ")),'TRANS'!$D:$D,0)),IFERROR(INDEX('Catalog'!$A:$A,MATCH($B2338,'Catalog'!$B:$B,0)),IFERROR(INDEX('Catalog'!$A:$A,MATCH(TRIM(SUBSTITUTE($B2338,CHAR(160)," ")),'Catalog'!$C:$C,0)),""))))</f>
        <v>4413452</v>
      </c>
      <c r="H2338" s="8" t="str">
        <f aca="false">IFERROR(INDEX('TRANS'!$C:$C,MATCH($B2338,'TRANS'!$A:$A,0)),IFERROR(INDEX('Catalog'!$B:$B,MATCH($G2338,'Catalog'!$A:$A,0)),$B2338))</f>
        <v>386  מיישר בוניון-האלוקס ולגוס</v>
      </c>
      <c r="I2338" s="8" t="str">
        <f aca="false">IF($G2338="","Unmatched","Matched")</f>
        <v>Matched</v>
      </c>
      <c r="J2338" s="8" t="n">
        <f aca="false">IF($G2338&lt;&gt;"",$G2338,$B2338)</f>
        <v>4413452</v>
      </c>
      <c r="K2338" s="8" t="str">
        <f aca="false">IF(COUNTIF($M$1:$M$10,$A2338)&gt;0,"Y","N")</f>
        <v>Y</v>
      </c>
    </row>
    <row r="2339" customFormat="false" ht="15" hidden="false" customHeight="true" outlineLevel="0" collapsed="false">
      <c r="A2339" s="8" t="s">
        <v>42</v>
      </c>
      <c r="B2339" s="8" t="s">
        <v>650</v>
      </c>
      <c r="C2339" s="19" t="n">
        <v>29</v>
      </c>
      <c r="D2339" s="19" t="n">
        <v>3537.02</v>
      </c>
      <c r="E2339" s="19" t="n">
        <v>26</v>
      </c>
      <c r="F2339" s="19" t="n">
        <v>3231.09</v>
      </c>
      <c r="G2339" s="8" t="n">
        <f aca="false">IFERROR(INDEX('TRANS'!$B:$B,MATCH($B2339,'TRANS'!$A:$A,0)),IFERROR(INDEX('TRANS'!$B:$B,MATCH(TRIM(SUBSTITUTE($B2339,CHAR(160)," ")),'TRANS'!$D:$D,0)),IFERROR(INDEX('Catalog'!$A:$A,MATCH($B2339,'Catalog'!$B:$B,0)),IFERROR(INDEX('Catalog'!$A:$A,MATCH(TRIM(SUBSTITUTE($B2339,CHAR(160)," ")),'Catalog'!$C:$C,0)),""))))</f>
        <v>4415298</v>
      </c>
      <c r="H2339" s="8" t="str">
        <f aca="false">IFERROR(INDEX('TRANS'!$C:$C,MATCH($B2339,'TRANS'!$A:$A,0)),IFERROR(INDEX('Catalog'!$B:$B,MATCH($G2339,'Catalog'!$A:$A,0)),$B2339))</f>
        <v>388B L סד לילה שחור לבוהן שמאל</v>
      </c>
      <c r="I2339" s="8" t="str">
        <f aca="false">IF($G2339="","Unmatched","Matched")</f>
        <v>Matched</v>
      </c>
      <c r="J2339" s="8" t="n">
        <f aca="false">IF($G2339&lt;&gt;"",$G2339,$B2339)</f>
        <v>4415298</v>
      </c>
      <c r="K2339" s="8" t="str">
        <f aca="false">IF(COUNTIF($M$1:$M$10,$A2339)&gt;0,"Y","N")</f>
        <v>Y</v>
      </c>
    </row>
    <row r="2340" customFormat="false" ht="15" hidden="false" customHeight="true" outlineLevel="0" collapsed="false">
      <c r="A2340" s="8" t="s">
        <v>42</v>
      </c>
      <c r="B2340" s="8" t="s">
        <v>651</v>
      </c>
      <c r="C2340" s="19" t="n">
        <v>32</v>
      </c>
      <c r="D2340" s="19" t="n">
        <v>3896.02</v>
      </c>
      <c r="E2340" s="19" t="n">
        <v>25</v>
      </c>
      <c r="F2340" s="19" t="n">
        <v>3164.64</v>
      </c>
      <c r="G2340" s="8" t="n">
        <f aca="false">IFERROR(INDEX('TRANS'!$B:$B,MATCH($B2340,'TRANS'!$A:$A,0)),IFERROR(INDEX('TRANS'!$B:$B,MATCH(TRIM(SUBSTITUTE($B2340,CHAR(160)," ")),'TRANS'!$D:$D,0)),IFERROR(INDEX('Catalog'!$A:$A,MATCH($B2340,'Catalog'!$B:$B,0)),IFERROR(INDEX('Catalog'!$A:$A,MATCH(TRIM(SUBSTITUTE($B2340,CHAR(160)," ")),'Catalog'!$C:$C,0)),""))))</f>
        <v>4415299</v>
      </c>
      <c r="H2340" s="8" t="str">
        <f aca="false">IFERROR(INDEX('TRANS'!$C:$C,MATCH($B2340,'TRANS'!$A:$A,0)),IFERROR(INDEX('Catalog'!$B:$B,MATCH($G2340,'Catalog'!$A:$A,0)),$B2340))</f>
        <v>388B L סד לילה שחור לבוהן ימין</v>
      </c>
      <c r="I2340" s="8" t="str">
        <f aca="false">IF($G2340="","Unmatched","Matched")</f>
        <v>Matched</v>
      </c>
      <c r="J2340" s="8" t="n">
        <f aca="false">IF($G2340&lt;&gt;"",$G2340,$B2340)</f>
        <v>4415299</v>
      </c>
      <c r="K2340" s="8" t="str">
        <f aca="false">IF(COUNTIF($M$1:$M$10,$A2340)&gt;0,"Y","N")</f>
        <v>Y</v>
      </c>
    </row>
    <row r="2341" customFormat="false" ht="15" hidden="false" customHeight="true" outlineLevel="0" collapsed="false">
      <c r="A2341" s="8" t="s">
        <v>42</v>
      </c>
      <c r="B2341" s="8" t="s">
        <v>652</v>
      </c>
      <c r="C2341" s="19" t="n">
        <v>6</v>
      </c>
      <c r="D2341" s="19" t="n">
        <v>297.69</v>
      </c>
      <c r="E2341" s="19" t="n">
        <v>0</v>
      </c>
      <c r="F2341" s="19" t="n">
        <v>0</v>
      </c>
      <c r="G2341" s="8" t="n">
        <f aca="false">IFERROR(INDEX('TRANS'!$B:$B,MATCH($B2341,'TRANS'!$A:$A,0)),IFERROR(INDEX('TRANS'!$B:$B,MATCH(TRIM(SUBSTITUTE($B2341,CHAR(160)," ")),'TRANS'!$D:$D,0)),IFERROR(INDEX('Catalog'!$A:$A,MATCH($B2341,'Catalog'!$B:$B,0)),IFERROR(INDEX('Catalog'!$A:$A,MATCH(TRIM(SUBSTITUTE($B2341,CHAR(160)," ")),'Catalog'!$C:$C,0)),""))))</f>
        <v>4403000</v>
      </c>
      <c r="H2341" s="8" t="str">
        <f aca="false">IFERROR(INDEX('TRANS'!$C:$C,MATCH($B2341,'TRANS'!$A:$A,0)),IFERROR(INDEX('Catalog'!$B:$B,MATCH($G2341,'Catalog'!$A:$A,0)),$B2341))</f>
        <v>390B גרב.כסף לסכרתים שחור35-38</v>
      </c>
      <c r="I2341" s="8" t="str">
        <f aca="false">IF($G2341="","Unmatched","Matched")</f>
        <v>Matched</v>
      </c>
      <c r="J2341" s="8" t="n">
        <f aca="false">IF($G2341&lt;&gt;"",$G2341,$B2341)</f>
        <v>4403000</v>
      </c>
      <c r="K2341" s="8" t="str">
        <f aca="false">IF(COUNTIF($M$1:$M$10,$A2341)&gt;0,"Y","N")</f>
        <v>Y</v>
      </c>
    </row>
    <row r="2342" customFormat="false" ht="15" hidden="false" customHeight="true" outlineLevel="0" collapsed="false">
      <c r="A2342" s="8" t="s">
        <v>42</v>
      </c>
      <c r="B2342" s="8" t="s">
        <v>653</v>
      </c>
      <c r="C2342" s="19" t="n">
        <v>11</v>
      </c>
      <c r="D2342" s="19" t="n">
        <v>587.39</v>
      </c>
      <c r="E2342" s="19" t="n">
        <v>18</v>
      </c>
      <c r="F2342" s="19" t="n">
        <v>958.18</v>
      </c>
      <c r="G2342" s="8" t="n">
        <f aca="false">IFERROR(INDEX('TRANS'!$B:$B,MATCH($B2342,'TRANS'!$A:$A,0)),IFERROR(INDEX('TRANS'!$B:$B,MATCH(TRIM(SUBSTITUTE($B2342,CHAR(160)," ")),'TRANS'!$D:$D,0)),IFERROR(INDEX('Catalog'!$A:$A,MATCH($B2342,'Catalog'!$B:$B,0)),IFERROR(INDEX('Catalog'!$A:$A,MATCH(TRIM(SUBSTITUTE($B2342,CHAR(160)," ")),'Catalog'!$C:$C,0)),""))))</f>
        <v>4403001</v>
      </c>
      <c r="H2342" s="8" t="str">
        <f aca="false">IFERROR(INDEX('TRANS'!$C:$C,MATCH($B2342,'TRANS'!$A:$A,0)),IFERROR(INDEX('Catalog'!$B:$B,MATCH($G2342,'Catalog'!$A:$A,0)),$B2342))</f>
        <v>390B 39-42.גרב.כסף לסכרתיים שח</v>
      </c>
      <c r="I2342" s="8" t="str">
        <f aca="false">IF($G2342="","Unmatched","Matched")</f>
        <v>Matched</v>
      </c>
      <c r="J2342" s="8" t="n">
        <f aca="false">IF($G2342&lt;&gt;"",$G2342,$B2342)</f>
        <v>4403001</v>
      </c>
      <c r="K2342" s="8" t="str">
        <f aca="false">IF(COUNTIF($M$1:$M$10,$A2342)&gt;0,"Y","N")</f>
        <v>Y</v>
      </c>
    </row>
    <row r="2343" customFormat="false" ht="15" hidden="false" customHeight="true" outlineLevel="0" collapsed="false">
      <c r="A2343" s="8" t="s">
        <v>42</v>
      </c>
      <c r="B2343" s="8" t="s">
        <v>654</v>
      </c>
      <c r="C2343" s="19" t="n">
        <v>49</v>
      </c>
      <c r="D2343" s="19" t="n">
        <v>2348.86</v>
      </c>
      <c r="E2343" s="19" t="n">
        <v>0</v>
      </c>
      <c r="F2343" s="19" t="n">
        <v>0</v>
      </c>
      <c r="G2343" s="8" t="n">
        <f aca="false">IFERROR(INDEX('TRANS'!$B:$B,MATCH($B2343,'TRANS'!$A:$A,0)),IFERROR(INDEX('TRANS'!$B:$B,MATCH(TRIM(SUBSTITUTE($B2343,CHAR(160)," ")),'TRANS'!$D:$D,0)),IFERROR(INDEX('Catalog'!$A:$A,MATCH($B2343,'Catalog'!$B:$B,0)),IFERROR(INDEX('Catalog'!$A:$A,MATCH(TRIM(SUBSTITUTE($B2343,CHAR(160)," ")),'Catalog'!$C:$C,0)),""))))</f>
        <v>4403002</v>
      </c>
      <c r="H2343" s="8" t="str">
        <f aca="false">IFERROR(INDEX('TRANS'!$C:$C,MATCH($B2343,'TRANS'!$A:$A,0)),IFERROR(INDEX('Catalog'!$B:$B,MATCH($G2343,'Catalog'!$A:$A,0)),$B2343))</f>
        <v>390B 43-46.גרב.כסף לסכרתיים שח</v>
      </c>
      <c r="I2343" s="8" t="str">
        <f aca="false">IF($G2343="","Unmatched","Matched")</f>
        <v>Matched</v>
      </c>
      <c r="J2343" s="8" t="n">
        <f aca="false">IF($G2343&lt;&gt;"",$G2343,$B2343)</f>
        <v>4403002</v>
      </c>
      <c r="K2343" s="8" t="str">
        <f aca="false">IF(COUNTIF($M$1:$M$10,$A2343)&gt;0,"Y","N")</f>
        <v>Y</v>
      </c>
    </row>
    <row r="2344" customFormat="false" ht="15" hidden="false" customHeight="true" outlineLevel="0" collapsed="false">
      <c r="A2344" s="8" t="s">
        <v>42</v>
      </c>
      <c r="B2344" s="8" t="s">
        <v>655</v>
      </c>
      <c r="C2344" s="19" t="n">
        <v>6</v>
      </c>
      <c r="D2344" s="19" t="n">
        <v>327.33</v>
      </c>
      <c r="E2344" s="19" t="n">
        <v>0</v>
      </c>
      <c r="F2344" s="19" t="n">
        <v>0</v>
      </c>
      <c r="G2344" s="8" t="n">
        <f aca="false">IFERROR(INDEX('TRANS'!$B:$B,MATCH($B2344,'TRANS'!$A:$A,0)),IFERROR(INDEX('TRANS'!$B:$B,MATCH(TRIM(SUBSTITUTE($B2344,CHAR(160)," ")),'TRANS'!$D:$D,0)),IFERROR(INDEX('Catalog'!$A:$A,MATCH($B2344,'Catalog'!$B:$B,0)),IFERROR(INDEX('Catalog'!$A:$A,MATCH(TRIM(SUBSTITUTE($B2344,CHAR(160)," ")),'Catalog'!$C:$C,0)),""))))</f>
        <v>4403003</v>
      </c>
      <c r="H2344" s="8" t="str">
        <f aca="false">IFERROR(INDEX('TRANS'!$C:$C,MATCH($B2344,'TRANS'!$A:$A,0)),IFERROR(INDEX('Catalog'!$B:$B,MATCH($G2344,'Catalog'!$A:$A,0)),$B2344))</f>
        <v>390G ג.כסף לסכרתיים אפור35-38</v>
      </c>
      <c r="I2344" s="8" t="str">
        <f aca="false">IF($G2344="","Unmatched","Matched")</f>
        <v>Matched</v>
      </c>
      <c r="J2344" s="8" t="n">
        <f aca="false">IF($G2344&lt;&gt;"",$G2344,$B2344)</f>
        <v>4403003</v>
      </c>
      <c r="K2344" s="8" t="str">
        <f aca="false">IF(COUNTIF($M$1:$M$10,$A2344)&gt;0,"Y","N")</f>
        <v>Y</v>
      </c>
    </row>
    <row r="2345" customFormat="false" ht="15" hidden="false" customHeight="true" outlineLevel="0" collapsed="false">
      <c r="A2345" s="8" t="s">
        <v>42</v>
      </c>
      <c r="B2345" s="8" t="s">
        <v>107</v>
      </c>
      <c r="C2345" s="19" t="n">
        <v>12</v>
      </c>
      <c r="D2345" s="19" t="n">
        <v>603.87</v>
      </c>
      <c r="E2345" s="19" t="n">
        <v>4</v>
      </c>
      <c r="F2345" s="19" t="n">
        <v>228.49</v>
      </c>
      <c r="G2345" s="8" t="str">
        <f aca="false">IFERROR(INDEX('TRANS'!$B:$B,MATCH($B2345,'TRANS'!$A:$A,0)),IFERROR(INDEX('TRANS'!$B:$B,MATCH(TRIM(SUBSTITUTE($B2345,CHAR(160)," ")),'TRANS'!$D:$D,0)),IFERROR(INDEX('Catalog'!$A:$A,MATCH($B2345,'Catalog'!$B:$B,0)),IFERROR(INDEX('Catalog'!$A:$A,MATCH(TRIM(SUBSTITUTE($B2345,CHAR(160)," ")),'Catalog'!$C:$C,0)),""))))</f>
        <v/>
      </c>
      <c r="H2345" s="8" t="str">
        <f aca="false">IFERROR(INDEX('TRANS'!$C:$C,MATCH($B2345,'TRANS'!$A:$A,0)),IFERROR(INDEX('Catalog'!$B:$B,MATCH($G2345,'Catalog'!$A:$A,0)),$B2345))</f>
        <v>390G-39-42</v>
      </c>
      <c r="I2345" s="8" t="str">
        <f aca="false">IF($G2345="","Unmatched","Matched")</f>
        <v>Unmatched</v>
      </c>
      <c r="J2345" s="8" t="str">
        <f aca="false">IF($G2345&lt;&gt;"",$G2345,$B2345)</f>
        <v>390G-39-42</v>
      </c>
      <c r="K2345" s="8" t="str">
        <f aca="false">IF(COUNTIF($M$1:$M$10,$A2345)&gt;0,"Y","N")</f>
        <v>Y</v>
      </c>
    </row>
    <row r="2346" customFormat="false" ht="15" hidden="false" customHeight="true" outlineLevel="0" collapsed="false">
      <c r="A2346" s="8" t="s">
        <v>42</v>
      </c>
      <c r="B2346" s="8" t="s">
        <v>656</v>
      </c>
      <c r="C2346" s="19" t="n">
        <v>43</v>
      </c>
      <c r="D2346" s="19" t="n">
        <v>2129.24</v>
      </c>
      <c r="E2346" s="19" t="n">
        <v>12</v>
      </c>
      <c r="F2346" s="19" t="n">
        <v>596.68</v>
      </c>
      <c r="G2346" s="8" t="n">
        <f aca="false">IFERROR(INDEX('TRANS'!$B:$B,MATCH($B2346,'TRANS'!$A:$A,0)),IFERROR(INDEX('TRANS'!$B:$B,MATCH(TRIM(SUBSTITUTE($B2346,CHAR(160)," ")),'TRANS'!$D:$D,0)),IFERROR(INDEX('Catalog'!$A:$A,MATCH($B2346,'Catalog'!$B:$B,0)),IFERROR(INDEX('Catalog'!$A:$A,MATCH(TRIM(SUBSTITUTE($B2346,CHAR(160)," ")),'Catalog'!$C:$C,0)),""))))</f>
        <v>4403005</v>
      </c>
      <c r="H2346" s="8" t="str">
        <f aca="false">IFERROR(INDEX('TRANS'!$C:$C,MATCH($B2346,'TRANS'!$A:$A,0)),IFERROR(INDEX('Catalog'!$B:$B,MATCH($G2346,'Catalog'!$A:$A,0)),$B2346))</f>
        <v>G390.43-46 גרבי כסף לסכרת מידה</v>
      </c>
      <c r="I2346" s="8" t="str">
        <f aca="false">IF($G2346="","Unmatched","Matched")</f>
        <v>Matched</v>
      </c>
      <c r="J2346" s="8" t="n">
        <f aca="false">IF($G2346&lt;&gt;"",$G2346,$B2346)</f>
        <v>4403005</v>
      </c>
      <c r="K2346" s="8" t="str">
        <f aca="false">IF(COUNTIF($M$1:$M$10,$A2346)&gt;0,"Y","N")</f>
        <v>Y</v>
      </c>
    </row>
    <row r="2347" customFormat="false" ht="15" hidden="false" customHeight="true" outlineLevel="0" collapsed="false">
      <c r="A2347" s="8" t="s">
        <v>42</v>
      </c>
      <c r="B2347" s="8" t="s">
        <v>990</v>
      </c>
      <c r="C2347" s="19" t="n">
        <v>10</v>
      </c>
      <c r="D2347" s="19" t="n">
        <v>495.08</v>
      </c>
      <c r="E2347" s="19" t="n">
        <v>0</v>
      </c>
      <c r="F2347" s="19" t="n">
        <v>0</v>
      </c>
      <c r="G2347" s="8" t="n">
        <f aca="false">IFERROR(INDEX('TRANS'!$B:$B,MATCH($B2347,'TRANS'!$A:$A,0)),IFERROR(INDEX('TRANS'!$B:$B,MATCH(TRIM(SUBSTITUTE($B2347,CHAR(160)," ")),'TRANS'!$D:$D,0)),IFERROR(INDEX('Catalog'!$A:$A,MATCH($B2347,'Catalog'!$B:$B,0)),IFERROR(INDEX('Catalog'!$A:$A,MATCH(TRIM(SUBSTITUTE($B2347,CHAR(160)," ")),'Catalog'!$C:$C,0)),""))))</f>
        <v>4403006</v>
      </c>
      <c r="H2347" s="8" t="str">
        <f aca="false">IFERROR(INDEX('TRANS'!$C:$C,MATCH($B2347,'TRANS'!$A:$A,0)),IFERROR(INDEX('Catalog'!$B:$B,MATCH($G2347,'Catalog'!$A:$A,0)),$B2347))</f>
        <v>390W גרב כסף לסכרתיים לבן35-38</v>
      </c>
      <c r="I2347" s="8" t="str">
        <f aca="false">IF($G2347="","Unmatched","Matched")</f>
        <v>Matched</v>
      </c>
      <c r="J2347" s="8" t="n">
        <f aca="false">IF($G2347&lt;&gt;"",$G2347,$B2347)</f>
        <v>4403006</v>
      </c>
      <c r="K2347" s="8" t="str">
        <f aca="false">IF(COUNTIF($M$1:$M$10,$A2347)&gt;0,"Y","N")</f>
        <v>Y</v>
      </c>
    </row>
    <row r="2348" customFormat="false" ht="15" hidden="false" customHeight="true" outlineLevel="0" collapsed="false">
      <c r="A2348" s="8" t="s">
        <v>42</v>
      </c>
      <c r="B2348" s="8" t="s">
        <v>657</v>
      </c>
      <c r="C2348" s="19" t="n">
        <v>14</v>
      </c>
      <c r="D2348" s="19" t="n">
        <v>725.3</v>
      </c>
      <c r="E2348" s="19" t="n">
        <v>4</v>
      </c>
      <c r="F2348" s="19" t="n">
        <v>203.12</v>
      </c>
      <c r="G2348" s="8" t="n">
        <f aca="false">IFERROR(INDEX('TRANS'!$B:$B,MATCH($B2348,'TRANS'!$A:$A,0)),IFERROR(INDEX('TRANS'!$B:$B,MATCH(TRIM(SUBSTITUTE($B2348,CHAR(160)," ")),'TRANS'!$D:$D,0)),IFERROR(INDEX('Catalog'!$A:$A,MATCH($B2348,'Catalog'!$B:$B,0)),IFERROR(INDEX('Catalog'!$A:$A,MATCH(TRIM(SUBSTITUTE($B2348,CHAR(160)," ")),'Catalog'!$C:$C,0)),""))))</f>
        <v>4403007</v>
      </c>
      <c r="H2348" s="8" t="str">
        <f aca="false">IFERROR(INDEX('TRANS'!$C:$C,MATCH($B2348,'TRANS'!$A:$A,0)),IFERROR(INDEX('Catalog'!$B:$B,MATCH($G2348,'Catalog'!$A:$A,0)),$B2348))</f>
        <v>390W גרב.כסף לסכרתיים לבן39-42</v>
      </c>
      <c r="I2348" s="8" t="str">
        <f aca="false">IF($G2348="","Unmatched","Matched")</f>
        <v>Matched</v>
      </c>
      <c r="J2348" s="8" t="n">
        <f aca="false">IF($G2348&lt;&gt;"",$G2348,$B2348)</f>
        <v>4403007</v>
      </c>
      <c r="K2348" s="8" t="str">
        <f aca="false">IF(COUNTIF($M$1:$M$10,$A2348)&gt;0,"Y","N")</f>
        <v>Y</v>
      </c>
    </row>
    <row r="2349" customFormat="false" ht="15" hidden="false" customHeight="true" outlineLevel="0" collapsed="false">
      <c r="A2349" s="8" t="s">
        <v>42</v>
      </c>
      <c r="B2349" s="8" t="s">
        <v>796</v>
      </c>
      <c r="C2349" s="19" t="n">
        <v>60</v>
      </c>
      <c r="D2349" s="19" t="n">
        <v>2866.3</v>
      </c>
      <c r="E2349" s="19" t="n">
        <v>12</v>
      </c>
      <c r="F2349" s="19" t="n">
        <v>637.89</v>
      </c>
      <c r="G2349" s="8" t="n">
        <f aca="false">IFERROR(INDEX('TRANS'!$B:$B,MATCH($B2349,'TRANS'!$A:$A,0)),IFERROR(INDEX('TRANS'!$B:$B,MATCH(TRIM(SUBSTITUTE($B2349,CHAR(160)," ")),'TRANS'!$D:$D,0)),IFERROR(INDEX('Catalog'!$A:$A,MATCH($B2349,'Catalog'!$B:$B,0)),IFERROR(INDEX('Catalog'!$A:$A,MATCH(TRIM(SUBSTITUTE($B2349,CHAR(160)," ")),'Catalog'!$C:$C,0)),""))))</f>
        <v>4403008</v>
      </c>
      <c r="H2349" s="8" t="str">
        <f aca="false">IFERROR(INDEX('TRANS'!$C:$C,MATCH($B2349,'TRANS'!$A:$A,0)),IFERROR(INDEX('Catalog'!$B:$B,MATCH($G2349,'Catalog'!$A:$A,0)),$B2349))</f>
        <v>390W גרב.כסף לסכרתיים לבן43-46</v>
      </c>
      <c r="I2349" s="8" t="str">
        <f aca="false">IF($G2349="","Unmatched","Matched")</f>
        <v>Matched</v>
      </c>
      <c r="J2349" s="8" t="n">
        <f aca="false">IF($G2349&lt;&gt;"",$G2349,$B2349)</f>
        <v>4403008</v>
      </c>
      <c r="K2349" s="8" t="str">
        <f aca="false">IF(COUNTIF($M$1:$M$10,$A2349)&gt;0,"Y","N")</f>
        <v>Y</v>
      </c>
    </row>
    <row r="2350" customFormat="false" ht="15" hidden="false" customHeight="true" outlineLevel="0" collapsed="false">
      <c r="A2350" s="8" t="s">
        <v>42</v>
      </c>
      <c r="B2350" s="8" t="s">
        <v>155</v>
      </c>
      <c r="C2350" s="19" t="n">
        <v>0</v>
      </c>
      <c r="D2350" s="19" t="n">
        <v>0</v>
      </c>
      <c r="E2350" s="19" t="n">
        <v>8</v>
      </c>
      <c r="F2350" s="19" t="n">
        <v>406.25</v>
      </c>
      <c r="G2350" s="8" t="str">
        <f aca="false">IFERROR(INDEX('TRANS'!$B:$B,MATCH($B2350,'TRANS'!$A:$A,0)),IFERROR(INDEX('TRANS'!$B:$B,MATCH(TRIM(SUBSTITUTE($B2350,CHAR(160)," ")),'TRANS'!$D:$D,0)),IFERROR(INDEX('Catalog'!$A:$A,MATCH($B2350,'Catalog'!$B:$B,0)),IFERROR(INDEX('Catalog'!$A:$A,MATCH(TRIM(SUBSTITUTE($B2350,CHAR(160)," ")),'Catalog'!$C:$C,0)),""))))</f>
        <v/>
      </c>
      <c r="H2350" s="8" t="str">
        <f aca="false">IFERROR(INDEX('TRANS'!$C:$C,MATCH($B2350,'TRANS'!$A:$A,0)),IFERROR(INDEX('Catalog'!$B:$B,MATCH($G2350,'Catalog'!$A:$A,0)),$B2350))</f>
        <v>391B-35-38</v>
      </c>
      <c r="I2350" s="8" t="str">
        <f aca="false">IF($G2350="","Unmatched","Matched")</f>
        <v>Unmatched</v>
      </c>
      <c r="J2350" s="8" t="str">
        <f aca="false">IF($G2350&lt;&gt;"",$G2350,$B2350)</f>
        <v>391B-35-38</v>
      </c>
      <c r="K2350" s="8" t="str">
        <f aca="false">IF(COUNTIF($M$1:$M$10,$A2350)&gt;0,"Y","N")</f>
        <v>Y</v>
      </c>
    </row>
    <row r="2351" customFormat="false" ht="15" hidden="false" customHeight="true" outlineLevel="0" collapsed="false">
      <c r="A2351" s="8" t="s">
        <v>42</v>
      </c>
      <c r="B2351" s="8" t="s">
        <v>92</v>
      </c>
      <c r="C2351" s="19" t="n">
        <v>0</v>
      </c>
      <c r="D2351" s="19" t="n">
        <v>0</v>
      </c>
      <c r="E2351" s="19" t="n">
        <v>22</v>
      </c>
      <c r="F2351" s="19" t="n">
        <v>1206.01</v>
      </c>
      <c r="G2351" s="8" t="str">
        <f aca="false">IFERROR(INDEX('TRANS'!$B:$B,MATCH($B2351,'TRANS'!$A:$A,0)),IFERROR(INDEX('TRANS'!$B:$B,MATCH(TRIM(SUBSTITUTE($B2351,CHAR(160)," ")),'TRANS'!$D:$D,0)),IFERROR(INDEX('Catalog'!$A:$A,MATCH($B2351,'Catalog'!$B:$B,0)),IFERROR(INDEX('Catalog'!$A:$A,MATCH(TRIM(SUBSTITUTE($B2351,CHAR(160)," ")),'Catalog'!$C:$C,0)),""))))</f>
        <v/>
      </c>
      <c r="H2351" s="8" t="str">
        <f aca="false">IFERROR(INDEX('TRANS'!$C:$C,MATCH($B2351,'TRANS'!$A:$A,0)),IFERROR(INDEX('Catalog'!$B:$B,MATCH($G2351,'Catalog'!$A:$A,0)),$B2351))</f>
        <v>391B-39-42</v>
      </c>
      <c r="I2351" s="8" t="str">
        <f aca="false">IF($G2351="","Unmatched","Matched")</f>
        <v>Unmatched</v>
      </c>
      <c r="J2351" s="8" t="str">
        <f aca="false">IF($G2351&lt;&gt;"",$G2351,$B2351)</f>
        <v>391B-39-42</v>
      </c>
      <c r="K2351" s="8" t="str">
        <f aca="false">IF(COUNTIF($M$1:$M$10,$A2351)&gt;0,"Y","N")</f>
        <v>Y</v>
      </c>
    </row>
    <row r="2352" customFormat="false" ht="15" hidden="false" customHeight="true" outlineLevel="0" collapsed="false">
      <c r="A2352" s="8" t="s">
        <v>42</v>
      </c>
      <c r="B2352" s="8" t="s">
        <v>63</v>
      </c>
      <c r="C2352" s="19" t="n">
        <v>0</v>
      </c>
      <c r="D2352" s="19" t="n">
        <v>0</v>
      </c>
      <c r="E2352" s="19" t="n">
        <v>75</v>
      </c>
      <c r="F2352" s="19" t="n">
        <v>3844.42</v>
      </c>
      <c r="G2352" s="8" t="str">
        <f aca="false">IFERROR(INDEX('TRANS'!$B:$B,MATCH($B2352,'TRANS'!$A:$A,0)),IFERROR(INDEX('TRANS'!$B:$B,MATCH(TRIM(SUBSTITUTE($B2352,CHAR(160)," ")),'TRANS'!$D:$D,0)),IFERROR(INDEX('Catalog'!$A:$A,MATCH($B2352,'Catalog'!$B:$B,0)),IFERROR(INDEX('Catalog'!$A:$A,MATCH(TRIM(SUBSTITUTE($B2352,CHAR(160)," ")),'Catalog'!$C:$C,0)),""))))</f>
        <v/>
      </c>
      <c r="H2352" s="8" t="str">
        <f aca="false">IFERROR(INDEX('TRANS'!$C:$C,MATCH($B2352,'TRANS'!$A:$A,0)),IFERROR(INDEX('Catalog'!$B:$B,MATCH($G2352,'Catalog'!$A:$A,0)),$B2352))</f>
        <v>391B-43-46</v>
      </c>
      <c r="I2352" s="8" t="str">
        <f aca="false">IF($G2352="","Unmatched","Matched")</f>
        <v>Unmatched</v>
      </c>
      <c r="J2352" s="8" t="str">
        <f aca="false">IF($G2352&lt;&gt;"",$G2352,$B2352)</f>
        <v>391B-43-46</v>
      </c>
      <c r="K2352" s="8" t="str">
        <f aca="false">IF(COUNTIF($M$1:$M$10,$A2352)&gt;0,"Y","N")</f>
        <v>Y</v>
      </c>
    </row>
    <row r="2353" customFormat="false" ht="15" hidden="false" customHeight="true" outlineLevel="0" collapsed="false">
      <c r="A2353" s="8" t="s">
        <v>42</v>
      </c>
      <c r="B2353" s="8" t="s">
        <v>191</v>
      </c>
      <c r="C2353" s="19" t="n">
        <v>0</v>
      </c>
      <c r="D2353" s="19" t="n">
        <v>0</v>
      </c>
      <c r="E2353" s="19" t="n">
        <v>4</v>
      </c>
      <c r="F2353" s="19" t="n">
        <v>218.97</v>
      </c>
      <c r="G2353" s="8" t="str">
        <f aca="false">IFERROR(INDEX('TRANS'!$B:$B,MATCH($B2353,'TRANS'!$A:$A,0)),IFERROR(INDEX('TRANS'!$B:$B,MATCH(TRIM(SUBSTITUTE($B2353,CHAR(160)," ")),'TRANS'!$D:$D,0)),IFERROR(INDEX('Catalog'!$A:$A,MATCH($B2353,'Catalog'!$B:$B,0)),IFERROR(INDEX('Catalog'!$A:$A,MATCH(TRIM(SUBSTITUTE($B2353,CHAR(160)," ")),'Catalog'!$C:$C,0)),""))))</f>
        <v/>
      </c>
      <c r="H2353" s="8" t="str">
        <f aca="false">IFERROR(INDEX('TRANS'!$C:$C,MATCH($B2353,'TRANS'!$A:$A,0)),IFERROR(INDEX('Catalog'!$B:$B,MATCH($G2353,'Catalog'!$A:$A,0)),$B2353))</f>
        <v>391W-35-38</v>
      </c>
      <c r="I2353" s="8" t="str">
        <f aca="false">IF($G2353="","Unmatched","Matched")</f>
        <v>Unmatched</v>
      </c>
      <c r="J2353" s="8" t="str">
        <f aca="false">IF($G2353&lt;&gt;"",$G2353,$B2353)</f>
        <v>391W-35-38</v>
      </c>
      <c r="K2353" s="8" t="str">
        <f aca="false">IF(COUNTIF($M$1:$M$10,$A2353)&gt;0,"Y","N")</f>
        <v>Y</v>
      </c>
    </row>
    <row r="2354" customFormat="false" ht="15" hidden="false" customHeight="true" outlineLevel="0" collapsed="false">
      <c r="A2354" s="8" t="s">
        <v>42</v>
      </c>
      <c r="B2354" s="8" t="s">
        <v>372</v>
      </c>
      <c r="C2354" s="19" t="n">
        <v>0</v>
      </c>
      <c r="D2354" s="19" t="n">
        <v>0</v>
      </c>
      <c r="E2354" s="19" t="n">
        <v>1</v>
      </c>
      <c r="F2354" s="19" t="n">
        <v>63.47</v>
      </c>
      <c r="G2354" s="8" t="str">
        <f aca="false">IFERROR(INDEX('TRANS'!$B:$B,MATCH($B2354,'TRANS'!$A:$A,0)),IFERROR(INDEX('TRANS'!$B:$B,MATCH(TRIM(SUBSTITUTE($B2354,CHAR(160)," ")),'TRANS'!$D:$D,0)),IFERROR(INDEX('Catalog'!$A:$A,MATCH($B2354,'Catalog'!$B:$B,0)),IFERROR(INDEX('Catalog'!$A:$A,MATCH(TRIM(SUBSTITUTE($B2354,CHAR(160)," ")),'Catalog'!$C:$C,0)),""))))</f>
        <v/>
      </c>
      <c r="H2354" s="8" t="str">
        <f aca="false">IFERROR(INDEX('TRANS'!$C:$C,MATCH($B2354,'TRANS'!$A:$A,0)),IFERROR(INDEX('Catalog'!$B:$B,MATCH($G2354,'Catalog'!$A:$A,0)),$B2354))</f>
        <v>391W-39-42</v>
      </c>
      <c r="I2354" s="8" t="str">
        <f aca="false">IF($G2354="","Unmatched","Matched")</f>
        <v>Unmatched</v>
      </c>
      <c r="J2354" s="8" t="str">
        <f aca="false">IF($G2354&lt;&gt;"",$G2354,$B2354)</f>
        <v>391W-39-42</v>
      </c>
      <c r="K2354" s="8" t="str">
        <f aca="false">IF(COUNTIF($M$1:$M$10,$A2354)&gt;0,"Y","N")</f>
        <v>Y</v>
      </c>
    </row>
    <row r="2355" customFormat="false" ht="15" hidden="false" customHeight="true" outlineLevel="0" collapsed="false">
      <c r="A2355" s="8" t="s">
        <v>42</v>
      </c>
      <c r="B2355" s="8" t="s">
        <v>89</v>
      </c>
      <c r="C2355" s="19" t="n">
        <v>0</v>
      </c>
      <c r="D2355" s="19" t="n">
        <v>0</v>
      </c>
      <c r="E2355" s="19" t="n">
        <v>23</v>
      </c>
      <c r="F2355" s="19" t="n">
        <v>1215.53</v>
      </c>
      <c r="G2355" s="8" t="str">
        <f aca="false">IFERROR(INDEX('TRANS'!$B:$B,MATCH($B2355,'TRANS'!$A:$A,0)),IFERROR(INDEX('TRANS'!$B:$B,MATCH(TRIM(SUBSTITUTE($B2355,CHAR(160)," ")),'TRANS'!$D:$D,0)),IFERROR(INDEX('Catalog'!$A:$A,MATCH($B2355,'Catalog'!$B:$B,0)),IFERROR(INDEX('Catalog'!$A:$A,MATCH(TRIM(SUBSTITUTE($B2355,CHAR(160)," ")),'Catalog'!$C:$C,0)),""))))</f>
        <v/>
      </c>
      <c r="H2355" s="8" t="str">
        <f aca="false">IFERROR(INDEX('TRANS'!$C:$C,MATCH($B2355,'TRANS'!$A:$A,0)),IFERROR(INDEX('Catalog'!$B:$B,MATCH($G2355,'Catalog'!$A:$A,0)),$B2355))</f>
        <v>391W-43-46</v>
      </c>
      <c r="I2355" s="8" t="str">
        <f aca="false">IF($G2355="","Unmatched","Matched")</f>
        <v>Unmatched</v>
      </c>
      <c r="J2355" s="8" t="str">
        <f aca="false">IF($G2355&lt;&gt;"",$G2355,$B2355)</f>
        <v>391W-43-46</v>
      </c>
      <c r="K2355" s="8" t="str">
        <f aca="false">IF(COUNTIF($M$1:$M$10,$A2355)&gt;0,"Y","N")</f>
        <v>Y</v>
      </c>
    </row>
    <row r="2356" customFormat="false" ht="15" hidden="false" customHeight="true" outlineLevel="0" collapsed="false">
      <c r="A2356" s="8" t="s">
        <v>42</v>
      </c>
      <c r="B2356" s="8" t="s">
        <v>658</v>
      </c>
      <c r="C2356" s="19" t="n">
        <v>10</v>
      </c>
      <c r="D2356" s="19" t="n">
        <v>477.98</v>
      </c>
      <c r="E2356" s="19" t="n">
        <v>4</v>
      </c>
      <c r="F2356" s="19" t="n">
        <v>164.97</v>
      </c>
      <c r="G2356" s="8" t="n">
        <f aca="false">IFERROR(INDEX('TRANS'!$B:$B,MATCH($B2356,'TRANS'!$A:$A,0)),IFERROR(INDEX('TRANS'!$B:$B,MATCH(TRIM(SUBSTITUTE($B2356,CHAR(160)," ")),'TRANS'!$D:$D,0)),IFERROR(INDEX('Catalog'!$A:$A,MATCH($B2356,'Catalog'!$B:$B,0)),IFERROR(INDEX('Catalog'!$A:$A,MATCH(TRIM(SUBSTITUTE($B2356,CHAR(160)," ")),'Catalog'!$C:$C,0)),""))))</f>
        <v>4403017</v>
      </c>
      <c r="H2356" s="8" t="str">
        <f aca="false">IFERROR(INDEX('TRANS'!$C:$C,MATCH($B2356,'TRANS'!$A:$A,0)),IFERROR(INDEX('Catalog'!$B:$B,MATCH($G2356,'Catalog'!$A:$A,0)),$B2356))</f>
        <v>394B גרב.כסף לסכרתים שחור35-38</v>
      </c>
      <c r="I2356" s="8" t="str">
        <f aca="false">IF($G2356="","Unmatched","Matched")</f>
        <v>Matched</v>
      </c>
      <c r="J2356" s="8" t="n">
        <f aca="false">IF($G2356&lt;&gt;"",$G2356,$B2356)</f>
        <v>4403017</v>
      </c>
      <c r="K2356" s="8" t="str">
        <f aca="false">IF(COUNTIF($M$1:$M$10,$A2356)&gt;0,"Y","N")</f>
        <v>Y</v>
      </c>
    </row>
    <row r="2357" customFormat="false" ht="15" hidden="false" customHeight="true" outlineLevel="0" collapsed="false">
      <c r="A2357" s="8" t="s">
        <v>42</v>
      </c>
      <c r="B2357" s="8" t="s">
        <v>659</v>
      </c>
      <c r="C2357" s="19" t="n">
        <v>50</v>
      </c>
      <c r="D2357" s="19" t="n">
        <v>1968.05</v>
      </c>
      <c r="E2357" s="19" t="n">
        <v>0</v>
      </c>
      <c r="F2357" s="19" t="n">
        <v>0</v>
      </c>
      <c r="G2357" s="8" t="n">
        <f aca="false">IFERROR(INDEX('TRANS'!$B:$B,MATCH($B2357,'TRANS'!$A:$A,0)),IFERROR(INDEX('TRANS'!$B:$B,MATCH(TRIM(SUBSTITUTE($B2357,CHAR(160)," ")),'TRANS'!$D:$D,0)),IFERROR(INDEX('Catalog'!$A:$A,MATCH($B2357,'Catalog'!$B:$B,0)),IFERROR(INDEX('Catalog'!$A:$A,MATCH(TRIM(SUBSTITUTE($B2357,CHAR(160)," ")),'Catalog'!$C:$C,0)),""))))</f>
        <v>4403018</v>
      </c>
      <c r="H2357" s="8" t="str">
        <f aca="false">IFERROR(INDEX('TRANS'!$C:$C,MATCH($B2357,'TRANS'!$A:$A,0)),IFERROR(INDEX('Catalog'!$B:$B,MATCH($G2357,'Catalog'!$A:$A,0)),$B2357))</f>
        <v>394B גרב.כסף לסכרתים שחור39-42</v>
      </c>
      <c r="I2357" s="8" t="str">
        <f aca="false">IF($G2357="","Unmatched","Matched")</f>
        <v>Matched</v>
      </c>
      <c r="J2357" s="8" t="n">
        <f aca="false">IF($G2357&lt;&gt;"",$G2357,$B2357)</f>
        <v>4403018</v>
      </c>
      <c r="K2357" s="8" t="str">
        <f aca="false">IF(COUNTIF($M$1:$M$10,$A2357)&gt;0,"Y","N")</f>
        <v>Y</v>
      </c>
    </row>
    <row r="2358" customFormat="false" ht="15" hidden="false" customHeight="true" outlineLevel="0" collapsed="false">
      <c r="A2358" s="8" t="s">
        <v>42</v>
      </c>
      <c r="B2358" s="8" t="s">
        <v>660</v>
      </c>
      <c r="C2358" s="19" t="n">
        <v>214</v>
      </c>
      <c r="D2358" s="19" t="n">
        <v>8505.31</v>
      </c>
      <c r="E2358" s="19" t="n">
        <v>21</v>
      </c>
      <c r="F2358" s="19" t="n">
        <v>827.7</v>
      </c>
      <c r="G2358" s="8" t="n">
        <f aca="false">IFERROR(INDEX('TRANS'!$B:$B,MATCH($B2358,'TRANS'!$A:$A,0)),IFERROR(INDEX('TRANS'!$B:$B,MATCH(TRIM(SUBSTITUTE($B2358,CHAR(160)," ")),'TRANS'!$D:$D,0)),IFERROR(INDEX('Catalog'!$A:$A,MATCH($B2358,'Catalog'!$B:$B,0)),IFERROR(INDEX('Catalog'!$A:$A,MATCH(TRIM(SUBSTITUTE($B2358,CHAR(160)," ")),'Catalog'!$C:$C,0)),""))))</f>
        <v>4403019</v>
      </c>
      <c r="H2358" s="8" t="str">
        <f aca="false">IFERROR(INDEX('TRANS'!$C:$C,MATCH($B2358,'TRANS'!$A:$A,0)),IFERROR(INDEX('Catalog'!$B:$B,MATCH($G2358,'Catalog'!$A:$A,0)),$B2358))</f>
        <v>394B גרב.כסף לסכרתים שחור43-46</v>
      </c>
      <c r="I2358" s="8" t="str">
        <f aca="false">IF($G2358="","Unmatched","Matched")</f>
        <v>Matched</v>
      </c>
      <c r="J2358" s="8" t="n">
        <f aca="false">IF($G2358&lt;&gt;"",$G2358,$B2358)</f>
        <v>4403019</v>
      </c>
      <c r="K2358" s="8" t="str">
        <f aca="false">IF(COUNTIF($M$1:$M$10,$A2358)&gt;0,"Y","N")</f>
        <v>Y</v>
      </c>
    </row>
    <row r="2359" customFormat="false" ht="15" hidden="false" customHeight="true" outlineLevel="0" collapsed="false">
      <c r="A2359" s="8" t="s">
        <v>42</v>
      </c>
      <c r="B2359" s="8" t="s">
        <v>232</v>
      </c>
      <c r="C2359" s="19" t="n">
        <v>25</v>
      </c>
      <c r="D2359" s="19" t="n">
        <v>1017.05</v>
      </c>
      <c r="E2359" s="19" t="n">
        <v>2</v>
      </c>
      <c r="F2359" s="19" t="n">
        <v>76.14</v>
      </c>
      <c r="G2359" s="8" t="str">
        <f aca="false">IFERROR(INDEX('TRANS'!$B:$B,MATCH($B2359,'TRANS'!$A:$A,0)),IFERROR(INDEX('TRANS'!$B:$B,MATCH(TRIM(SUBSTITUTE($B2359,CHAR(160)," ")),'TRANS'!$D:$D,0)),IFERROR(INDEX('Catalog'!$A:$A,MATCH($B2359,'Catalog'!$B:$B,0)),IFERROR(INDEX('Catalog'!$A:$A,MATCH(TRIM(SUBSTITUTE($B2359,CHAR(160)," ")),'Catalog'!$C:$C,0)),""))))</f>
        <v/>
      </c>
      <c r="H2359" s="8" t="str">
        <f aca="false">IFERROR(INDEX('TRANS'!$C:$C,MATCH($B2359,'TRANS'!$A:$A,0)),IFERROR(INDEX('Catalog'!$B:$B,MATCH($G2359,'Catalog'!$A:$A,0)),$B2359))</f>
        <v>394G-35-38</v>
      </c>
      <c r="I2359" s="8" t="str">
        <f aca="false">IF($G2359="","Unmatched","Matched")</f>
        <v>Unmatched</v>
      </c>
      <c r="J2359" s="8" t="str">
        <f aca="false">IF($G2359&lt;&gt;"",$G2359,$B2359)</f>
        <v>394G-35-38</v>
      </c>
      <c r="K2359" s="8" t="str">
        <f aca="false">IF(COUNTIF($M$1:$M$10,$A2359)&gt;0,"Y","N")</f>
        <v>Y</v>
      </c>
    </row>
    <row r="2360" customFormat="false" ht="15" hidden="false" customHeight="true" outlineLevel="0" collapsed="false">
      <c r="A2360" s="8" t="s">
        <v>42</v>
      </c>
      <c r="B2360" s="8" t="s">
        <v>83</v>
      </c>
      <c r="C2360" s="19" t="n">
        <v>37</v>
      </c>
      <c r="D2360" s="19" t="n">
        <v>1542.56</v>
      </c>
      <c r="E2360" s="19" t="n">
        <v>17</v>
      </c>
      <c r="F2360" s="19" t="n">
        <v>713.2</v>
      </c>
      <c r="G2360" s="8" t="str">
        <f aca="false">IFERROR(INDEX('TRANS'!$B:$B,MATCH($B2360,'TRANS'!$A:$A,0)),IFERROR(INDEX('TRANS'!$B:$B,MATCH(TRIM(SUBSTITUTE($B2360,CHAR(160)," ")),'TRANS'!$D:$D,0)),IFERROR(INDEX('Catalog'!$A:$A,MATCH($B2360,'Catalog'!$B:$B,0)),IFERROR(INDEX('Catalog'!$A:$A,MATCH(TRIM(SUBSTITUTE($B2360,CHAR(160)," ")),'Catalog'!$C:$C,0)),""))))</f>
        <v/>
      </c>
      <c r="H2360" s="8" t="str">
        <f aca="false">IFERROR(INDEX('TRANS'!$C:$C,MATCH($B2360,'TRANS'!$A:$A,0)),IFERROR(INDEX('Catalog'!$B:$B,MATCH($G2360,'Catalog'!$A:$A,0)),$B2360))</f>
        <v>394G-39-42</v>
      </c>
      <c r="I2360" s="8" t="str">
        <f aca="false">IF($G2360="","Unmatched","Matched")</f>
        <v>Unmatched</v>
      </c>
      <c r="J2360" s="8" t="str">
        <f aca="false">IF($G2360&lt;&gt;"",$G2360,$B2360)</f>
        <v>394G-39-42</v>
      </c>
      <c r="K2360" s="8" t="str">
        <f aca="false">IF(COUNTIF($M$1:$M$10,$A2360)&gt;0,"Y","N")</f>
        <v>Y</v>
      </c>
    </row>
    <row r="2361" customFormat="false" ht="15" hidden="false" customHeight="true" outlineLevel="0" collapsed="false">
      <c r="A2361" s="8" t="s">
        <v>42</v>
      </c>
      <c r="B2361" s="8" t="s">
        <v>145</v>
      </c>
      <c r="C2361" s="19" t="n">
        <v>23</v>
      </c>
      <c r="D2361" s="19" t="n">
        <v>893.96</v>
      </c>
      <c r="E2361" s="19" t="n">
        <v>5</v>
      </c>
      <c r="F2361" s="19" t="n">
        <v>253.8</v>
      </c>
      <c r="G2361" s="8" t="str">
        <f aca="false">IFERROR(INDEX('TRANS'!$B:$B,MATCH($B2361,'TRANS'!$A:$A,0)),IFERROR(INDEX('TRANS'!$B:$B,MATCH(TRIM(SUBSTITUTE($B2361,CHAR(160)," ")),'TRANS'!$D:$D,0)),IFERROR(INDEX('Catalog'!$A:$A,MATCH($B2361,'Catalog'!$B:$B,0)),IFERROR(INDEX('Catalog'!$A:$A,MATCH(TRIM(SUBSTITUTE($B2361,CHAR(160)," ")),'Catalog'!$C:$C,0)),""))))</f>
        <v/>
      </c>
      <c r="H2361" s="8" t="str">
        <f aca="false">IFERROR(INDEX('TRANS'!$C:$C,MATCH($B2361,'TRANS'!$A:$A,0)),IFERROR(INDEX('Catalog'!$B:$B,MATCH($G2361,'Catalog'!$A:$A,0)),$B2361))</f>
        <v>394G-43-46</v>
      </c>
      <c r="I2361" s="8" t="str">
        <f aca="false">IF($G2361="","Unmatched","Matched")</f>
        <v>Unmatched</v>
      </c>
      <c r="J2361" s="8" t="str">
        <f aca="false">IF($G2361&lt;&gt;"",$G2361,$B2361)</f>
        <v>394G-43-46</v>
      </c>
      <c r="K2361" s="8" t="str">
        <f aca="false">IF(COUNTIF($M$1:$M$10,$A2361)&gt;0,"Y","N")</f>
        <v>Y</v>
      </c>
    </row>
    <row r="2362" customFormat="false" ht="15" hidden="false" customHeight="true" outlineLevel="0" collapsed="false">
      <c r="A2362" s="8" t="s">
        <v>42</v>
      </c>
      <c r="B2362" s="8" t="s">
        <v>661</v>
      </c>
      <c r="C2362" s="19" t="n">
        <v>8</v>
      </c>
      <c r="D2362" s="19" t="n">
        <v>301.67</v>
      </c>
      <c r="E2362" s="19" t="n">
        <v>0</v>
      </c>
      <c r="F2362" s="19" t="n">
        <v>0</v>
      </c>
      <c r="G2362" s="8" t="n">
        <f aca="false">IFERROR(INDEX('TRANS'!$B:$B,MATCH($B2362,'TRANS'!$A:$A,0)),IFERROR(INDEX('TRANS'!$B:$B,MATCH(TRIM(SUBSTITUTE($B2362,CHAR(160)," ")),'TRANS'!$D:$D,0)),IFERROR(INDEX('Catalog'!$A:$A,MATCH($B2362,'Catalog'!$B:$B,0)),IFERROR(INDEX('Catalog'!$A:$A,MATCH(TRIM(SUBSTITUTE($B2362,CHAR(160)," ")),'Catalog'!$C:$C,0)),""))))</f>
        <v>4403023</v>
      </c>
      <c r="H2362" s="8" t="str">
        <f aca="false">IFERROR(INDEX('TRANS'!$C:$C,MATCH($B2362,'TRANS'!$A:$A,0)),IFERROR(INDEX('Catalog'!$B:$B,MATCH($G2362,'Catalog'!$A:$A,0)),$B2362))</f>
        <v>394W 35-38 גרב.כסף לסכרתים לבן</v>
      </c>
      <c r="I2362" s="8" t="str">
        <f aca="false">IF($G2362="","Unmatched","Matched")</f>
        <v>Matched</v>
      </c>
      <c r="J2362" s="8" t="n">
        <f aca="false">IF($G2362&lt;&gt;"",$G2362,$B2362)</f>
        <v>4403023</v>
      </c>
      <c r="K2362" s="8" t="str">
        <f aca="false">IF(COUNTIF($M$1:$M$10,$A2362)&gt;0,"Y","N")</f>
        <v>Y</v>
      </c>
    </row>
    <row r="2363" customFormat="false" ht="15" hidden="false" customHeight="true" outlineLevel="0" collapsed="false">
      <c r="A2363" s="8" t="s">
        <v>42</v>
      </c>
      <c r="B2363" s="8" t="s">
        <v>662</v>
      </c>
      <c r="C2363" s="19" t="n">
        <v>70</v>
      </c>
      <c r="D2363" s="19" t="n">
        <v>2796.69</v>
      </c>
      <c r="E2363" s="19" t="n">
        <v>11</v>
      </c>
      <c r="F2363" s="19" t="n">
        <v>525.39</v>
      </c>
      <c r="G2363" s="8" t="n">
        <f aca="false">IFERROR(INDEX('TRANS'!$B:$B,MATCH($B2363,'TRANS'!$A:$A,0)),IFERROR(INDEX('TRANS'!$B:$B,MATCH(TRIM(SUBSTITUTE($B2363,CHAR(160)," ")),'TRANS'!$D:$D,0)),IFERROR(INDEX('Catalog'!$A:$A,MATCH($B2363,'Catalog'!$B:$B,0)),IFERROR(INDEX('Catalog'!$A:$A,MATCH(TRIM(SUBSTITUTE($B2363,CHAR(160)," ")),'Catalog'!$C:$C,0)),""))))</f>
        <v>4403024</v>
      </c>
      <c r="H2363" s="8" t="str">
        <f aca="false">IFERROR(INDEX('TRANS'!$C:$C,MATCH($B2363,'TRANS'!$A:$A,0)),IFERROR(INDEX('Catalog'!$B:$B,MATCH($G2363,'Catalog'!$A:$A,0)),$B2363))</f>
        <v>394W 39-42 גרב.כסף לסכרתים לבן</v>
      </c>
      <c r="I2363" s="8" t="str">
        <f aca="false">IF($G2363="","Unmatched","Matched")</f>
        <v>Matched</v>
      </c>
      <c r="J2363" s="8" t="n">
        <f aca="false">IF($G2363&lt;&gt;"",$G2363,$B2363)</f>
        <v>4403024</v>
      </c>
      <c r="K2363" s="8" t="str">
        <f aca="false">IF(COUNTIF($M$1:$M$10,$A2363)&gt;0,"Y","N")</f>
        <v>Y</v>
      </c>
    </row>
    <row r="2364" customFormat="false" ht="15" hidden="false" customHeight="true" outlineLevel="0" collapsed="false">
      <c r="A2364" s="8" t="s">
        <v>42</v>
      </c>
      <c r="B2364" s="8" t="s">
        <v>663</v>
      </c>
      <c r="C2364" s="19" t="n">
        <v>106</v>
      </c>
      <c r="D2364" s="19" t="n">
        <v>4288.69</v>
      </c>
      <c r="E2364" s="19" t="n">
        <v>41</v>
      </c>
      <c r="F2364" s="19" t="n">
        <v>1642.18</v>
      </c>
      <c r="G2364" s="8" t="n">
        <f aca="false">IFERROR(INDEX('TRANS'!$B:$B,MATCH($B2364,'TRANS'!$A:$A,0)),IFERROR(INDEX('TRANS'!$B:$B,MATCH(TRIM(SUBSTITUTE($B2364,CHAR(160)," ")),'TRANS'!$D:$D,0)),IFERROR(INDEX('Catalog'!$A:$A,MATCH($B2364,'Catalog'!$B:$B,0)),IFERROR(INDEX('Catalog'!$A:$A,MATCH(TRIM(SUBSTITUTE($B2364,CHAR(160)," ")),'Catalog'!$C:$C,0)),""))))</f>
        <v>4403025</v>
      </c>
      <c r="H2364" s="8" t="str">
        <f aca="false">IFERROR(INDEX('TRANS'!$C:$C,MATCH($B2364,'TRANS'!$A:$A,0)),IFERROR(INDEX('Catalog'!$B:$B,MATCH($G2364,'Catalog'!$A:$A,0)),$B2364))</f>
        <v>394W 43-46 גרב.כסף לסכרתים לבן</v>
      </c>
      <c r="I2364" s="8" t="str">
        <f aca="false">IF($G2364="","Unmatched","Matched")</f>
        <v>Matched</v>
      </c>
      <c r="J2364" s="8" t="n">
        <f aca="false">IF($G2364&lt;&gt;"",$G2364,$B2364)</f>
        <v>4403025</v>
      </c>
      <c r="K2364" s="8" t="str">
        <f aca="false">IF(COUNTIF($M$1:$M$10,$A2364)&gt;0,"Y","N")</f>
        <v>Y</v>
      </c>
    </row>
    <row r="2365" customFormat="false" ht="15" hidden="false" customHeight="true" outlineLevel="0" collapsed="false">
      <c r="A2365" s="8" t="s">
        <v>42</v>
      </c>
      <c r="B2365" s="8" t="s">
        <v>82</v>
      </c>
      <c r="C2365" s="19" t="n">
        <v>0</v>
      </c>
      <c r="D2365" s="19" t="n">
        <v>0</v>
      </c>
      <c r="E2365" s="19" t="n">
        <v>19</v>
      </c>
      <c r="F2365" s="19" t="n">
        <v>910.28</v>
      </c>
      <c r="G2365" s="8" t="str">
        <f aca="false">IFERROR(INDEX('TRANS'!$B:$B,MATCH($B2365,'TRANS'!$A:$A,0)),IFERROR(INDEX('TRANS'!$B:$B,MATCH(TRIM(SUBSTITUTE($B2365,CHAR(160)," ")),'TRANS'!$D:$D,0)),IFERROR(INDEX('Catalog'!$A:$A,MATCH($B2365,'Catalog'!$B:$B,0)),IFERROR(INDEX('Catalog'!$A:$A,MATCH(TRIM(SUBSTITUTE($B2365,CHAR(160)," ")),'Catalog'!$C:$C,0)),""))))</f>
        <v/>
      </c>
      <c r="H2365" s="8" t="str">
        <f aca="false">IFERROR(INDEX('TRANS'!$C:$C,MATCH($B2365,'TRANS'!$A:$A,0)),IFERROR(INDEX('Catalog'!$B:$B,MATCH($G2365,'Catalog'!$A:$A,0)),$B2365))</f>
        <v>395B-35-38</v>
      </c>
      <c r="I2365" s="8" t="str">
        <f aca="false">IF($G2365="","Unmatched","Matched")</f>
        <v>Unmatched</v>
      </c>
      <c r="J2365" s="8" t="str">
        <f aca="false">IF($G2365&lt;&gt;"",$G2365,$B2365)</f>
        <v>395B-35-38</v>
      </c>
      <c r="K2365" s="8" t="str">
        <f aca="false">IF(COUNTIF($M$1:$M$10,$A2365)&gt;0,"Y","N")</f>
        <v>Y</v>
      </c>
    </row>
    <row r="2366" customFormat="false" ht="15" hidden="false" customHeight="true" outlineLevel="0" collapsed="false">
      <c r="A2366" s="8" t="s">
        <v>42</v>
      </c>
      <c r="B2366" s="8" t="s">
        <v>664</v>
      </c>
      <c r="C2366" s="19" t="n">
        <v>0</v>
      </c>
      <c r="D2366" s="19" t="n">
        <v>0</v>
      </c>
      <c r="E2366" s="19" t="n">
        <v>69</v>
      </c>
      <c r="F2366" s="19" t="n">
        <v>3268.57</v>
      </c>
      <c r="G2366" s="8" t="n">
        <f aca="false">IFERROR(INDEX('TRANS'!$B:$B,MATCH($B2366,'TRANS'!$A:$A,0)),IFERROR(INDEX('TRANS'!$B:$B,MATCH(TRIM(SUBSTITUTE($B2366,CHAR(160)," ")),'TRANS'!$D:$D,0)),IFERROR(INDEX('Catalog'!$A:$A,MATCH($B2366,'Catalog'!$B:$B,0)),IFERROR(INDEX('Catalog'!$A:$A,MATCH(TRIM(SUBSTITUTE($B2366,CHAR(160)," ")),'Catalog'!$C:$C,0)),""))))</f>
        <v>4403044</v>
      </c>
      <c r="H2366" s="8" t="str">
        <f aca="false">IFERROR(INDEX('TRANS'!$C:$C,MATCH($B2366,'TRANS'!$A:$A,0)),IFERROR(INDEX('Catalog'!$B:$B,MATCH($G2366,'Catalog'!$A:$A,0)),$B2366))</f>
        <v>395B גרבי קיץ אנטי בקטריא39-42</v>
      </c>
      <c r="I2366" s="8" t="str">
        <f aca="false">IF($G2366="","Unmatched","Matched")</f>
        <v>Matched</v>
      </c>
      <c r="J2366" s="8" t="n">
        <f aca="false">IF($G2366&lt;&gt;"",$G2366,$B2366)</f>
        <v>4403044</v>
      </c>
      <c r="K2366" s="8" t="str">
        <f aca="false">IF(COUNTIF($M$1:$M$10,$A2366)&gt;0,"Y","N")</f>
        <v>Y</v>
      </c>
    </row>
    <row r="2367" customFormat="false" ht="15" hidden="false" customHeight="true" outlineLevel="0" collapsed="false">
      <c r="A2367" s="8" t="s">
        <v>42</v>
      </c>
      <c r="B2367" s="8" t="s">
        <v>665</v>
      </c>
      <c r="C2367" s="19" t="n">
        <v>0</v>
      </c>
      <c r="D2367" s="19" t="n">
        <v>0</v>
      </c>
      <c r="E2367" s="19" t="n">
        <v>185</v>
      </c>
      <c r="F2367" s="19" t="n">
        <v>8537.98</v>
      </c>
      <c r="G2367" s="8" t="n">
        <f aca="false">IFERROR(INDEX('TRANS'!$B:$B,MATCH($B2367,'TRANS'!$A:$A,0)),IFERROR(INDEX('TRANS'!$B:$B,MATCH(TRIM(SUBSTITUTE($B2367,CHAR(160)," ")),'TRANS'!$D:$D,0)),IFERROR(INDEX('Catalog'!$A:$A,MATCH($B2367,'Catalog'!$B:$B,0)),IFERROR(INDEX('Catalog'!$A:$A,MATCH(TRIM(SUBSTITUTE($B2367,CHAR(160)," ")),'Catalog'!$C:$C,0)),""))))</f>
        <v>4403045</v>
      </c>
      <c r="H2367" s="8" t="str">
        <f aca="false">IFERROR(INDEX('TRANS'!$C:$C,MATCH($B2367,'TRANS'!$A:$A,0)),IFERROR(INDEX('Catalog'!$B:$B,MATCH($G2367,'Catalog'!$A:$A,0)),$B2367))</f>
        <v>395B גרבי קיץ אנטי בקטריא43-46</v>
      </c>
      <c r="I2367" s="8" t="str">
        <f aca="false">IF($G2367="","Unmatched","Matched")</f>
        <v>Matched</v>
      </c>
      <c r="J2367" s="8" t="n">
        <f aca="false">IF($G2367&lt;&gt;"",$G2367,$B2367)</f>
        <v>4403045</v>
      </c>
      <c r="K2367" s="8" t="str">
        <f aca="false">IF(COUNTIF($M$1:$M$10,$A2367)&gt;0,"Y","N")</f>
        <v>Y</v>
      </c>
    </row>
    <row r="2368" customFormat="false" ht="15" hidden="false" customHeight="true" outlineLevel="0" collapsed="false">
      <c r="A2368" s="8" t="s">
        <v>42</v>
      </c>
      <c r="B2368" s="8" t="s">
        <v>65</v>
      </c>
      <c r="C2368" s="19" t="n">
        <v>0</v>
      </c>
      <c r="D2368" s="19" t="n">
        <v>0</v>
      </c>
      <c r="E2368" s="19" t="n">
        <v>57</v>
      </c>
      <c r="F2368" s="19" t="n">
        <v>2646.58</v>
      </c>
      <c r="G2368" s="8" t="str">
        <f aca="false">IFERROR(INDEX('TRANS'!$B:$B,MATCH($B2368,'TRANS'!$A:$A,0)),IFERROR(INDEX('TRANS'!$B:$B,MATCH(TRIM(SUBSTITUTE($B2368,CHAR(160)," ")),'TRANS'!$D:$D,0)),IFERROR(INDEX('Catalog'!$A:$A,MATCH($B2368,'Catalog'!$B:$B,0)),IFERROR(INDEX('Catalog'!$A:$A,MATCH(TRIM(SUBSTITUTE($B2368,CHAR(160)," ")),'Catalog'!$C:$C,0)),""))))</f>
        <v/>
      </c>
      <c r="H2368" s="8" t="str">
        <f aca="false">IFERROR(INDEX('TRANS'!$C:$C,MATCH($B2368,'TRANS'!$A:$A,0)),IFERROR(INDEX('Catalog'!$B:$B,MATCH($G2368,'Catalog'!$A:$A,0)),$B2368))</f>
        <v>395W-35-38</v>
      </c>
      <c r="I2368" s="8" t="str">
        <f aca="false">IF($G2368="","Unmatched","Matched")</f>
        <v>Unmatched</v>
      </c>
      <c r="J2368" s="8" t="str">
        <f aca="false">IF($G2368&lt;&gt;"",$G2368,$B2368)</f>
        <v>395W-35-38</v>
      </c>
      <c r="K2368" s="8" t="str">
        <f aca="false">IF(COUNTIF($M$1:$M$10,$A2368)&gt;0,"Y","N")</f>
        <v>Y</v>
      </c>
    </row>
    <row r="2369" customFormat="false" ht="15" hidden="false" customHeight="true" outlineLevel="0" collapsed="false">
      <c r="A2369" s="8" t="s">
        <v>42</v>
      </c>
      <c r="B2369" s="8" t="s">
        <v>60</v>
      </c>
      <c r="C2369" s="19" t="n">
        <v>0</v>
      </c>
      <c r="D2369" s="19" t="n">
        <v>0</v>
      </c>
      <c r="E2369" s="19" t="n">
        <v>93</v>
      </c>
      <c r="F2369" s="19" t="n">
        <v>4332.58</v>
      </c>
      <c r="G2369" s="8" t="str">
        <f aca="false">IFERROR(INDEX('TRANS'!$B:$B,MATCH($B2369,'TRANS'!$A:$A,0)),IFERROR(INDEX('TRANS'!$B:$B,MATCH(TRIM(SUBSTITUTE($B2369,CHAR(160)," ")),'TRANS'!$D:$D,0)),IFERROR(INDEX('Catalog'!$A:$A,MATCH($B2369,'Catalog'!$B:$B,0)),IFERROR(INDEX('Catalog'!$A:$A,MATCH(TRIM(SUBSTITUTE($B2369,CHAR(160)," ")),'Catalog'!$C:$C,0)),""))))</f>
        <v/>
      </c>
      <c r="H2369" s="8" t="str">
        <f aca="false">IFERROR(INDEX('TRANS'!$C:$C,MATCH($B2369,'TRANS'!$A:$A,0)),IFERROR(INDEX('Catalog'!$B:$B,MATCH($G2369,'Catalog'!$A:$A,0)),$B2369))</f>
        <v>395W-39-42</v>
      </c>
      <c r="I2369" s="8" t="str">
        <f aca="false">IF($G2369="","Unmatched","Matched")</f>
        <v>Unmatched</v>
      </c>
      <c r="J2369" s="8" t="str">
        <f aca="false">IF($G2369&lt;&gt;"",$G2369,$B2369)</f>
        <v>395W-39-42</v>
      </c>
      <c r="K2369" s="8" t="str">
        <f aca="false">IF(COUNTIF($M$1:$M$10,$A2369)&gt;0,"Y","N")</f>
        <v>Y</v>
      </c>
    </row>
    <row r="2370" customFormat="false" ht="15" hidden="false" customHeight="true" outlineLevel="0" collapsed="false">
      <c r="A2370" s="8" t="s">
        <v>42</v>
      </c>
      <c r="B2370" s="8" t="s">
        <v>58</v>
      </c>
      <c r="C2370" s="19" t="n">
        <v>0</v>
      </c>
      <c r="D2370" s="19" t="n">
        <v>0</v>
      </c>
      <c r="E2370" s="19" t="n">
        <v>124</v>
      </c>
      <c r="F2370" s="19" t="n">
        <v>5835.45</v>
      </c>
      <c r="G2370" s="8" t="str">
        <f aca="false">IFERROR(INDEX('TRANS'!$B:$B,MATCH($B2370,'TRANS'!$A:$A,0)),IFERROR(INDEX('TRANS'!$B:$B,MATCH(TRIM(SUBSTITUTE($B2370,CHAR(160)," ")),'TRANS'!$D:$D,0)),IFERROR(INDEX('Catalog'!$A:$A,MATCH($B2370,'Catalog'!$B:$B,0)),IFERROR(INDEX('Catalog'!$A:$A,MATCH(TRIM(SUBSTITUTE($B2370,CHAR(160)," ")),'Catalog'!$C:$C,0)),""))))</f>
        <v/>
      </c>
      <c r="H2370" s="8" t="str">
        <f aca="false">IFERROR(INDEX('TRANS'!$C:$C,MATCH($B2370,'TRANS'!$A:$A,0)),IFERROR(INDEX('Catalog'!$B:$B,MATCH($G2370,'Catalog'!$A:$A,0)),$B2370))</f>
        <v>395W-43-46</v>
      </c>
      <c r="I2370" s="8" t="str">
        <f aca="false">IF($G2370="","Unmatched","Matched")</f>
        <v>Unmatched</v>
      </c>
      <c r="J2370" s="8" t="str">
        <f aca="false">IF($G2370&lt;&gt;"",$G2370,$B2370)</f>
        <v>395W-43-46</v>
      </c>
      <c r="K2370" s="8" t="str">
        <f aca="false">IF(COUNTIF($M$1:$M$10,$A2370)&gt;0,"Y","N")</f>
        <v>Y</v>
      </c>
    </row>
    <row r="2371" customFormat="false" ht="15" hidden="false" customHeight="true" outlineLevel="0" collapsed="false">
      <c r="A2371" s="8" t="s">
        <v>42</v>
      </c>
      <c r="B2371" s="8" t="s">
        <v>407</v>
      </c>
      <c r="C2371" s="19" t="n">
        <v>85</v>
      </c>
      <c r="D2371" s="19" t="n">
        <v>8777.86</v>
      </c>
      <c r="E2371" s="19" t="n">
        <v>0</v>
      </c>
      <c r="F2371" s="19" t="n">
        <v>0</v>
      </c>
      <c r="G2371" s="8" t="str">
        <f aca="false">IFERROR(INDEX('TRANS'!$B:$B,MATCH($B2371,'TRANS'!$A:$A,0)),IFERROR(INDEX('TRANS'!$B:$B,MATCH(TRIM(SUBSTITUTE($B2371,CHAR(160)," ")),'TRANS'!$D:$D,0)),IFERROR(INDEX('Catalog'!$A:$A,MATCH($B2371,'Catalog'!$B:$B,0)),IFERROR(INDEX('Catalog'!$A:$A,MATCH(TRIM(SUBSTITUTE($B2371,CHAR(160)," ")),'Catalog'!$C:$C,0)),""))))</f>
        <v/>
      </c>
      <c r="H2371" s="8" t="str">
        <f aca="false">IFERROR(INDEX('TRANS'!$C:$C,MATCH($B2371,'TRANS'!$A:$A,0)),IFERROR(INDEX('Catalog'!$B:$B,MATCH($G2371,'Catalog'!$A:$A,0)),$B2371))</f>
        <v>397-35-38</v>
      </c>
      <c r="I2371" s="8" t="str">
        <f aca="false">IF($G2371="","Unmatched","Matched")</f>
        <v>Unmatched</v>
      </c>
      <c r="J2371" s="8" t="str">
        <f aca="false">IF($G2371&lt;&gt;"",$G2371,$B2371)</f>
        <v>397-35-38</v>
      </c>
      <c r="K2371" s="8" t="str">
        <f aca="false">IF(COUNTIF($M$1:$M$10,$A2371)&gt;0,"Y","N")</f>
        <v>Y</v>
      </c>
    </row>
    <row r="2372" customFormat="false" ht="15" hidden="false" customHeight="true" outlineLevel="0" collapsed="false">
      <c r="A2372" s="8" t="s">
        <v>42</v>
      </c>
      <c r="B2372" s="8" t="s">
        <v>666</v>
      </c>
      <c r="C2372" s="19" t="n">
        <v>174</v>
      </c>
      <c r="D2372" s="19" t="n">
        <v>17260.97</v>
      </c>
      <c r="E2372" s="19" t="n">
        <v>1</v>
      </c>
      <c r="F2372" s="19" t="n">
        <v>97.17</v>
      </c>
      <c r="G2372" s="8" t="n">
        <f aca="false">IFERROR(INDEX('TRANS'!$B:$B,MATCH($B2372,'TRANS'!$A:$A,0)),IFERROR(INDEX('TRANS'!$B:$B,MATCH(TRIM(SUBSTITUTE($B2372,CHAR(160)," ")),'TRANS'!$D:$D,0)),IFERROR(INDEX('Catalog'!$A:$A,MATCH($B2372,'Catalog'!$B:$B,0)),IFERROR(INDEX('Catalog'!$A:$A,MATCH(TRIM(SUBSTITUTE($B2372,CHAR(160)," ")),'Catalog'!$C:$C,0)),""))))</f>
        <v>4403029</v>
      </c>
      <c r="H2372" s="8" t="str">
        <f aca="false">IFERROR(INDEX('TRANS'!$C:$C,MATCH($B2372,'TRANS'!$A:$A,0)),IFERROR(INDEX('Catalog'!$B:$B,MATCH($G2372,'Catalog'!$A:$A,0)),$B2372))</f>
        <v>397 39-42 גרבי טיסה מידה</v>
      </c>
      <c r="I2372" s="8" t="str">
        <f aca="false">IF($G2372="","Unmatched","Matched")</f>
        <v>Matched</v>
      </c>
      <c r="J2372" s="8" t="n">
        <f aca="false">IF($G2372&lt;&gt;"",$G2372,$B2372)</f>
        <v>4403029</v>
      </c>
      <c r="K2372" s="8" t="str">
        <f aca="false">IF(COUNTIF($M$1:$M$10,$A2372)&gt;0,"Y","N")</f>
        <v>Y</v>
      </c>
    </row>
    <row r="2373" customFormat="false" ht="15" hidden="false" customHeight="true" outlineLevel="0" collapsed="false">
      <c r="A2373" s="8" t="s">
        <v>42</v>
      </c>
      <c r="B2373" s="8" t="s">
        <v>408</v>
      </c>
      <c r="C2373" s="19" t="n">
        <v>172</v>
      </c>
      <c r="D2373" s="19" t="n">
        <v>16455.99</v>
      </c>
      <c r="E2373" s="19" t="n">
        <v>0</v>
      </c>
      <c r="F2373" s="19" t="n">
        <v>0</v>
      </c>
      <c r="G2373" s="8" t="str">
        <f aca="false">IFERROR(INDEX('TRANS'!$B:$B,MATCH($B2373,'TRANS'!$A:$A,0)),IFERROR(INDEX('TRANS'!$B:$B,MATCH(TRIM(SUBSTITUTE($B2373,CHAR(160)," ")),'TRANS'!$D:$D,0)),IFERROR(INDEX('Catalog'!$A:$A,MATCH($B2373,'Catalog'!$B:$B,0)),IFERROR(INDEX('Catalog'!$A:$A,MATCH(TRIM(SUBSTITUTE($B2373,CHAR(160)," ")),'Catalog'!$C:$C,0)),""))))</f>
        <v/>
      </c>
      <c r="H2373" s="8" t="str">
        <f aca="false">IFERROR(INDEX('TRANS'!$C:$C,MATCH($B2373,'TRANS'!$A:$A,0)),IFERROR(INDEX('Catalog'!$B:$B,MATCH($G2373,'Catalog'!$A:$A,0)),$B2373))</f>
        <v>397-43-46</v>
      </c>
      <c r="I2373" s="8" t="str">
        <f aca="false">IF($G2373="","Unmatched","Matched")</f>
        <v>Unmatched</v>
      </c>
      <c r="J2373" s="8" t="str">
        <f aca="false">IF($G2373&lt;&gt;"",$G2373,$B2373)</f>
        <v>397-43-46</v>
      </c>
      <c r="K2373" s="8" t="str">
        <f aca="false">IF(COUNTIF($M$1:$M$10,$A2373)&gt;0,"Y","N")</f>
        <v>Y</v>
      </c>
    </row>
    <row r="2374" customFormat="false" ht="15" hidden="false" customHeight="true" outlineLevel="0" collapsed="false">
      <c r="A2374" s="8" t="s">
        <v>42</v>
      </c>
      <c r="B2374" s="8" t="s">
        <v>667</v>
      </c>
      <c r="C2374" s="19" t="n">
        <v>12</v>
      </c>
      <c r="D2374" s="19" t="n">
        <v>1234.64</v>
      </c>
      <c r="E2374" s="19" t="n">
        <v>216</v>
      </c>
      <c r="F2374" s="19" t="n">
        <v>22588</v>
      </c>
      <c r="G2374" s="8" t="n">
        <f aca="false">IFERROR(INDEX('TRANS'!$B:$B,MATCH($B2374,'TRANS'!$A:$A,0)),IFERROR(INDEX('TRANS'!$B:$B,MATCH(TRIM(SUBSTITUTE($B2374,CHAR(160)," ")),'TRANS'!$D:$D,0)),IFERROR(INDEX('Catalog'!$A:$A,MATCH($B2374,'Catalog'!$B:$B,0)),IFERROR(INDEX('Catalog'!$A:$A,MATCH(TRIM(SUBSTITUTE($B2374,CHAR(160)," ")),'Catalog'!$C:$C,0)),""))))</f>
        <v>4403041</v>
      </c>
      <c r="H2374" s="8" t="str">
        <f aca="false">IFERROR(INDEX('TRANS'!$C:$C,MATCH($B2374,'TRANS'!$A:$A,0)),IFERROR(INDEX('Catalog'!$B:$B,MATCH($G2374,'Catalog'!$A:$A,0)),$B2374))</f>
        <v>397A-גרבי טיסה אנטי בקטרי35-38</v>
      </c>
      <c r="I2374" s="8" t="str">
        <f aca="false">IF($G2374="","Unmatched","Matched")</f>
        <v>Matched</v>
      </c>
      <c r="J2374" s="8" t="n">
        <f aca="false">IF($G2374&lt;&gt;"",$G2374,$B2374)</f>
        <v>4403041</v>
      </c>
      <c r="K2374" s="8" t="str">
        <f aca="false">IF(COUNTIF($M$1:$M$10,$A2374)&gt;0,"Y","N")</f>
        <v>Y</v>
      </c>
    </row>
    <row r="2375" customFormat="false" ht="15" hidden="false" customHeight="true" outlineLevel="0" collapsed="false">
      <c r="A2375" s="8" t="s">
        <v>42</v>
      </c>
      <c r="B2375" s="8" t="s">
        <v>668</v>
      </c>
      <c r="C2375" s="19" t="n">
        <v>21</v>
      </c>
      <c r="D2375" s="19" t="n">
        <v>2194.94</v>
      </c>
      <c r="E2375" s="19" t="n">
        <v>488</v>
      </c>
      <c r="F2375" s="19" t="n">
        <v>50859.04</v>
      </c>
      <c r="G2375" s="8" t="n">
        <f aca="false">IFERROR(INDEX('TRANS'!$B:$B,MATCH($B2375,'TRANS'!$A:$A,0)),IFERROR(INDEX('TRANS'!$B:$B,MATCH(TRIM(SUBSTITUTE($B2375,CHAR(160)," ")),'TRANS'!$D:$D,0)),IFERROR(INDEX('Catalog'!$A:$A,MATCH($B2375,'Catalog'!$B:$B,0)),IFERROR(INDEX('Catalog'!$A:$A,MATCH(TRIM(SUBSTITUTE($B2375,CHAR(160)," ")),'Catalog'!$C:$C,0)),""))))</f>
        <v>4403042</v>
      </c>
      <c r="H2375" s="8" t="str">
        <f aca="false">IFERROR(INDEX('TRANS'!$C:$C,MATCH($B2375,'TRANS'!$A:$A,0)),IFERROR(INDEX('Catalog'!$B:$B,MATCH($G2375,'Catalog'!$A:$A,0)),$B2375))</f>
        <v>397A-גרבי טיסה אנטי בקטרי39-42</v>
      </c>
      <c r="I2375" s="8" t="str">
        <f aca="false">IF($G2375="","Unmatched","Matched")</f>
        <v>Matched</v>
      </c>
      <c r="J2375" s="8" t="n">
        <f aca="false">IF($G2375&lt;&gt;"",$G2375,$B2375)</f>
        <v>4403042</v>
      </c>
      <c r="K2375" s="8" t="str">
        <f aca="false">IF(COUNTIF($M$1:$M$10,$A2375)&gt;0,"Y","N")</f>
        <v>Y</v>
      </c>
    </row>
    <row r="2376" customFormat="false" ht="15" hidden="false" customHeight="true" outlineLevel="0" collapsed="false">
      <c r="A2376" s="8" t="s">
        <v>42</v>
      </c>
      <c r="B2376" s="8" t="s">
        <v>669</v>
      </c>
      <c r="C2376" s="19" t="n">
        <v>15</v>
      </c>
      <c r="D2376" s="19" t="n">
        <v>1497.59</v>
      </c>
      <c r="E2376" s="19" t="n">
        <v>348</v>
      </c>
      <c r="F2376" s="19" t="n">
        <v>35869.72</v>
      </c>
      <c r="G2376" s="8" t="n">
        <f aca="false">IFERROR(INDEX('TRANS'!$B:$B,MATCH($B2376,'TRANS'!$A:$A,0)),IFERROR(INDEX('TRANS'!$B:$B,MATCH(TRIM(SUBSTITUTE($B2376,CHAR(160)," ")),'TRANS'!$D:$D,0)),IFERROR(INDEX('Catalog'!$A:$A,MATCH($B2376,'Catalog'!$B:$B,0)),IFERROR(INDEX('Catalog'!$A:$A,MATCH(TRIM(SUBSTITUTE($B2376,CHAR(160)," ")),'Catalog'!$C:$C,0)),""))))</f>
        <v>4403043</v>
      </c>
      <c r="H2376" s="8" t="str">
        <f aca="false">IFERROR(INDEX('TRANS'!$C:$C,MATCH($B2376,'TRANS'!$A:$A,0)),IFERROR(INDEX('Catalog'!$B:$B,MATCH($G2376,'Catalog'!$A:$A,0)),$B2376))</f>
        <v>397A-גרבי טיסה אנטי בקטרי43-46</v>
      </c>
      <c r="I2376" s="8" t="str">
        <f aca="false">IF($G2376="","Unmatched","Matched")</f>
        <v>Matched</v>
      </c>
      <c r="J2376" s="8" t="n">
        <f aca="false">IF($G2376&lt;&gt;"",$G2376,$B2376)</f>
        <v>4403043</v>
      </c>
      <c r="K2376" s="8" t="str">
        <f aca="false">IF(COUNTIF($M$1:$M$10,$A2376)&gt;0,"Y","N")</f>
        <v>Y</v>
      </c>
    </row>
    <row r="2377" customFormat="false" ht="15" hidden="false" customHeight="true" outlineLevel="0" collapsed="false">
      <c r="A2377" s="8" t="s">
        <v>42</v>
      </c>
      <c r="B2377" s="8" t="s">
        <v>670</v>
      </c>
      <c r="C2377" s="19" t="n">
        <v>20</v>
      </c>
      <c r="D2377" s="19" t="n">
        <v>1809.11</v>
      </c>
      <c r="E2377" s="19" t="n">
        <v>34</v>
      </c>
      <c r="F2377" s="19" t="n">
        <v>3139.12</v>
      </c>
      <c r="G2377" s="8" t="n">
        <f aca="false">IFERROR(INDEX('TRANS'!$B:$B,MATCH($B2377,'TRANS'!$A:$A,0)),IFERROR(INDEX('TRANS'!$B:$B,MATCH(TRIM(SUBSTITUTE($B2377,CHAR(160)," ")),'TRANS'!$D:$D,0)),IFERROR(INDEX('Catalog'!$A:$A,MATCH($B2377,'Catalog'!$B:$B,0)),IFERROR(INDEX('Catalog'!$A:$A,MATCH(TRIM(SUBSTITUTE($B2377,CHAR(160)," ")),'Catalog'!$C:$C,0)),""))))</f>
        <v>4420016</v>
      </c>
      <c r="H2377" s="8" t="str">
        <f aca="false">IFERROR(INDEX('TRANS'!$C:$C,MATCH($B2377,'TRANS'!$A:$A,0)),IFERROR(INDEX('Catalog'!$B:$B,MATCH($G2377,'Catalog'!$A:$A,0)),$B2377))</f>
        <v>40-רצועת פיקה לברך</v>
      </c>
      <c r="I2377" s="8" t="str">
        <f aca="false">IF($G2377="","Unmatched","Matched")</f>
        <v>Matched</v>
      </c>
      <c r="J2377" s="8" t="n">
        <f aca="false">IF($G2377&lt;&gt;"",$G2377,$B2377)</f>
        <v>4420016</v>
      </c>
      <c r="K2377" s="8" t="str">
        <f aca="false">IF(COUNTIF($M$1:$M$10,$A2377)&gt;0,"Y","N")</f>
        <v>Y</v>
      </c>
    </row>
    <row r="2378" customFormat="false" ht="15" hidden="false" customHeight="true" outlineLevel="0" collapsed="false">
      <c r="A2378" s="8" t="s">
        <v>42</v>
      </c>
      <c r="B2378" s="8" t="s">
        <v>671</v>
      </c>
      <c r="C2378" s="19" t="n">
        <v>18</v>
      </c>
      <c r="D2378" s="19" t="n">
        <v>2925.79</v>
      </c>
      <c r="E2378" s="19" t="n">
        <v>49</v>
      </c>
      <c r="F2378" s="19" t="n">
        <v>8024.67</v>
      </c>
      <c r="G2378" s="8" t="n">
        <f aca="false">IFERROR(INDEX('TRANS'!$B:$B,MATCH($B2378,'TRANS'!$A:$A,0)),IFERROR(INDEX('TRANS'!$B:$B,MATCH(TRIM(SUBSTITUTE($B2378,CHAR(160)," ")),'TRANS'!$D:$D,0)),IFERROR(INDEX('Catalog'!$A:$A,MATCH($B2378,'Catalog'!$B:$B,0)),IFERROR(INDEX('Catalog'!$A:$A,MATCH(TRIM(SUBSTITUTE($B2378,CHAR(160)," ")),'Catalog'!$C:$C,0)),""))))</f>
        <v>4420017</v>
      </c>
      <c r="H2378" s="8" t="str">
        <f aca="false">IFERROR(INDEX('TRANS'!$C:$C,MATCH($B2378,'TRANS'!$A:$A,0)),IFERROR(INDEX('Catalog'!$B:$B,MATCH($G2378,'Catalog'!$A:$A,0)),$B2378))</f>
        <v>4022 רצועת """"פיקה""""+כרית</v>
      </c>
      <c r="I2378" s="8" t="str">
        <f aca="false">IF($G2378="","Unmatched","Matched")</f>
        <v>Matched</v>
      </c>
      <c r="J2378" s="8" t="n">
        <f aca="false">IF($G2378&lt;&gt;"",$G2378,$B2378)</f>
        <v>4420017</v>
      </c>
      <c r="K2378" s="8" t="str">
        <f aca="false">IF(COUNTIF($M$1:$M$10,$A2378)&gt;0,"Y","N")</f>
        <v>Y</v>
      </c>
    </row>
    <row r="2379" customFormat="false" ht="15" hidden="false" customHeight="true" outlineLevel="0" collapsed="false">
      <c r="A2379" s="8" t="s">
        <v>42</v>
      </c>
      <c r="B2379" s="8" t="s">
        <v>797</v>
      </c>
      <c r="C2379" s="19" t="n">
        <v>5</v>
      </c>
      <c r="D2379" s="19" t="n">
        <v>1109.34</v>
      </c>
      <c r="E2379" s="19" t="n">
        <v>2</v>
      </c>
      <c r="F2379" s="19" t="n">
        <v>411.71</v>
      </c>
      <c r="G2379" s="8" t="n">
        <f aca="false">IFERROR(INDEX('TRANS'!$B:$B,MATCH($B2379,'TRANS'!$A:$A,0)),IFERROR(INDEX('TRANS'!$B:$B,MATCH(TRIM(SUBSTITUTE($B2379,CHAR(160)," ")),'TRANS'!$D:$D,0)),IFERROR(INDEX('Catalog'!$A:$A,MATCH($B2379,'Catalog'!$B:$B,0)),IFERROR(INDEX('Catalog'!$A:$A,MATCH(TRIM(SUBSTITUTE($B2379,CHAR(160)," ")),'Catalog'!$C:$C,0)),""))))</f>
        <v>4413072</v>
      </c>
      <c r="H2379" s="8" t="str">
        <f aca="false">IFERROR(INDEX('TRANS'!$C:$C,MATCH($B2379,'TRANS'!$A:$A,0)),IFERROR(INDEX('Catalog'!$B:$B,MATCH($G2379,'Catalog'!$A:$A,0)),$B2379))</f>
        <v>41 Lמ.ברך מוצלב+ספירלות בצדדים</v>
      </c>
      <c r="I2379" s="8" t="str">
        <f aca="false">IF($G2379="","Unmatched","Matched")</f>
        <v>Matched</v>
      </c>
      <c r="J2379" s="8" t="n">
        <f aca="false">IF($G2379&lt;&gt;"",$G2379,$B2379)</f>
        <v>4413072</v>
      </c>
      <c r="K2379" s="8" t="str">
        <f aca="false">IF(COUNTIF($M$1:$M$10,$A2379)&gt;0,"Y","N")</f>
        <v>Y</v>
      </c>
    </row>
    <row r="2380" customFormat="false" ht="15" hidden="false" customHeight="true" outlineLevel="0" collapsed="false">
      <c r="A2380" s="8" t="s">
        <v>42</v>
      </c>
      <c r="B2380" s="8" t="s">
        <v>983</v>
      </c>
      <c r="C2380" s="19" t="n">
        <v>4</v>
      </c>
      <c r="D2380" s="19" t="n">
        <v>846.3</v>
      </c>
      <c r="E2380" s="19" t="n">
        <v>4</v>
      </c>
      <c r="F2380" s="19" t="n">
        <v>869.17</v>
      </c>
      <c r="G2380" s="8" t="n">
        <f aca="false">IFERROR(INDEX('TRANS'!$B:$B,MATCH($B2380,'TRANS'!$A:$A,0)),IFERROR(INDEX('TRANS'!$B:$B,MATCH(TRIM(SUBSTITUTE($B2380,CHAR(160)," ")),'TRANS'!$D:$D,0)),IFERROR(INDEX('Catalog'!$A:$A,MATCH($B2380,'Catalog'!$B:$B,0)),IFERROR(INDEX('Catalog'!$A:$A,MATCH(TRIM(SUBSTITUTE($B2380,CHAR(160)," ")),'Catalog'!$C:$C,0)),""))))</f>
        <v>4413073</v>
      </c>
      <c r="H2380" s="8" t="str">
        <f aca="false">IFERROR(INDEX('TRANS'!$C:$C,MATCH($B2380,'TRANS'!$A:$A,0)),IFERROR(INDEX('Catalog'!$B:$B,MATCH($G2380,'Catalog'!$A:$A,0)),$B2380))</f>
        <v>41 Mמ.ברך מוצלב+ספירלות בצדדים</v>
      </c>
      <c r="I2380" s="8" t="str">
        <f aca="false">IF($G2380="","Unmatched","Matched")</f>
        <v>Matched</v>
      </c>
      <c r="J2380" s="8" t="n">
        <f aca="false">IF($G2380&lt;&gt;"",$G2380,$B2380)</f>
        <v>4413073</v>
      </c>
      <c r="K2380" s="8" t="str">
        <f aca="false">IF(COUNTIF($M$1:$M$10,$A2380)&gt;0,"Y","N")</f>
        <v>Y</v>
      </c>
    </row>
    <row r="2381" customFormat="false" ht="15" hidden="false" customHeight="true" outlineLevel="0" collapsed="false">
      <c r="A2381" s="8" t="s">
        <v>42</v>
      </c>
      <c r="B2381" s="8" t="s">
        <v>995</v>
      </c>
      <c r="C2381" s="19" t="n">
        <v>0</v>
      </c>
      <c r="D2381" s="19" t="n">
        <v>0</v>
      </c>
      <c r="E2381" s="19" t="n">
        <v>1</v>
      </c>
      <c r="F2381" s="19" t="n">
        <v>205.86</v>
      </c>
      <c r="G2381" s="8" t="n">
        <f aca="false">IFERROR(INDEX('TRANS'!$B:$B,MATCH($B2381,'TRANS'!$A:$A,0)),IFERROR(INDEX('TRANS'!$B:$B,MATCH(TRIM(SUBSTITUTE($B2381,CHAR(160)," ")),'TRANS'!$D:$D,0)),IFERROR(INDEX('Catalog'!$A:$A,MATCH($B2381,'Catalog'!$B:$B,0)),IFERROR(INDEX('Catalog'!$A:$A,MATCH(TRIM(SUBSTITUTE($B2381,CHAR(160)," ")),'Catalog'!$C:$C,0)),""))))</f>
        <v>4413071</v>
      </c>
      <c r="H2381" s="8" t="str">
        <f aca="false">IFERROR(INDEX('TRANS'!$C:$C,MATCH($B2381,'TRANS'!$A:$A,0)),IFERROR(INDEX('Catalog'!$B:$B,MATCH($G2381,'Catalog'!$A:$A,0)),$B2381))</f>
        <v>41 Sמ.ברך מוצלב+ספירלות בצדדים</v>
      </c>
      <c r="I2381" s="8" t="str">
        <f aca="false">IF($G2381="","Unmatched","Matched")</f>
        <v>Matched</v>
      </c>
      <c r="J2381" s="8" t="n">
        <f aca="false">IF($G2381&lt;&gt;"",$G2381,$B2381)</f>
        <v>4413071</v>
      </c>
      <c r="K2381" s="8" t="str">
        <f aca="false">IF(COUNTIF($M$1:$M$10,$A2381)&gt;0,"Y","N")</f>
        <v>Y</v>
      </c>
    </row>
    <row r="2382" customFormat="false" ht="15" hidden="false" customHeight="true" outlineLevel="0" collapsed="false">
      <c r="A2382" s="8" t="s">
        <v>42</v>
      </c>
      <c r="B2382" s="8" t="s">
        <v>996</v>
      </c>
      <c r="C2382" s="19" t="n">
        <v>5</v>
      </c>
      <c r="D2382" s="19" t="n">
        <v>1052.16</v>
      </c>
      <c r="E2382" s="19" t="n">
        <v>0</v>
      </c>
      <c r="F2382" s="19" t="n">
        <v>0</v>
      </c>
      <c r="G2382" s="8" t="n">
        <f aca="false">IFERROR(INDEX('TRANS'!$B:$B,MATCH($B2382,'TRANS'!$A:$A,0)),IFERROR(INDEX('TRANS'!$B:$B,MATCH(TRIM(SUBSTITUTE($B2382,CHAR(160)," ")),'TRANS'!$D:$D,0)),IFERROR(INDEX('Catalog'!$A:$A,MATCH($B2382,'Catalog'!$B:$B,0)),IFERROR(INDEX('Catalog'!$A:$A,MATCH(TRIM(SUBSTITUTE($B2382,CHAR(160)," ")),'Catalog'!$C:$C,0)),""))))</f>
        <v>4413074</v>
      </c>
      <c r="H2382" s="8" t="str">
        <f aca="false">IFERROR(INDEX('TRANS'!$C:$C,MATCH($B2382,'TRANS'!$A:$A,0)),IFERROR(INDEX('Catalog'!$B:$B,MATCH($G2382,'Catalog'!$A:$A,0)),$B2382))</f>
        <v>41  XL.מ.ברך מוצלב+ספירלות בצד</v>
      </c>
      <c r="I2382" s="8" t="str">
        <f aca="false">IF($G2382="","Unmatched","Matched")</f>
        <v>Matched</v>
      </c>
      <c r="J2382" s="8" t="n">
        <f aca="false">IF($G2382&lt;&gt;"",$G2382,$B2382)</f>
        <v>4413074</v>
      </c>
      <c r="K2382" s="8" t="str">
        <f aca="false">IF(COUNTIF($M$1:$M$10,$A2382)&gt;0,"Y","N")</f>
        <v>Y</v>
      </c>
    </row>
    <row r="2383" customFormat="false" ht="15" hidden="false" customHeight="true" outlineLevel="0" collapsed="false">
      <c r="A2383" s="8" t="s">
        <v>42</v>
      </c>
      <c r="B2383" s="8" t="s">
        <v>373</v>
      </c>
      <c r="C2383" s="19" t="n">
        <v>0</v>
      </c>
      <c r="D2383" s="19" t="n">
        <v>0</v>
      </c>
      <c r="E2383" s="19" t="n">
        <v>1</v>
      </c>
      <c r="F2383" s="19" t="n">
        <v>205.86</v>
      </c>
      <c r="G2383" s="8" t="str">
        <f aca="false">IFERROR(INDEX('TRANS'!$B:$B,MATCH($B2383,'TRANS'!$A:$A,0)),IFERROR(INDEX('TRANS'!$B:$B,MATCH(TRIM(SUBSTITUTE($B2383,CHAR(160)," ")),'TRANS'!$D:$D,0)),IFERROR(INDEX('Catalog'!$A:$A,MATCH($B2383,'Catalog'!$B:$B,0)),IFERROR(INDEX('Catalog'!$A:$A,MATCH(TRIM(SUBSTITUTE($B2383,CHAR(160)," ")),'Catalog'!$C:$C,0)),""))))</f>
        <v/>
      </c>
      <c r="H2383" s="8" t="str">
        <f aca="false">IFERROR(INDEX('TRANS'!$C:$C,MATCH($B2383,'TRANS'!$A:$A,0)),IFERROR(INDEX('Catalog'!$B:$B,MATCH($G2383,'Catalog'!$A:$A,0)),$B2383))</f>
        <v>41 XS</v>
      </c>
      <c r="I2383" s="8" t="str">
        <f aca="false">IF($G2383="","Unmatched","Matched")</f>
        <v>Unmatched</v>
      </c>
      <c r="J2383" s="8" t="str">
        <f aca="false">IF($G2383&lt;&gt;"",$G2383,$B2383)</f>
        <v>41 XS</v>
      </c>
      <c r="K2383" s="8" t="str">
        <f aca="false">IF(COUNTIF($M$1:$M$10,$A2383)&gt;0,"Y","N")</f>
        <v>Y</v>
      </c>
    </row>
    <row r="2384" customFormat="false" ht="15" hidden="false" customHeight="true" outlineLevel="0" collapsed="false">
      <c r="A2384" s="8" t="s">
        <v>42</v>
      </c>
      <c r="B2384" s="8" t="s">
        <v>502</v>
      </c>
      <c r="C2384" s="19" t="n">
        <v>5</v>
      </c>
      <c r="D2384" s="19" t="n">
        <v>961.9</v>
      </c>
      <c r="E2384" s="19" t="n">
        <v>0</v>
      </c>
      <c r="F2384" s="19" t="n">
        <v>0</v>
      </c>
      <c r="G2384" s="8" t="str">
        <f aca="false">IFERROR(INDEX('TRANS'!$B:$B,MATCH($B2384,'TRANS'!$A:$A,0)),IFERROR(INDEX('TRANS'!$B:$B,MATCH(TRIM(SUBSTITUTE($B2384,CHAR(160)," ")),'TRANS'!$D:$D,0)),IFERROR(INDEX('Catalog'!$A:$A,MATCH($B2384,'Catalog'!$B:$B,0)),IFERROR(INDEX('Catalog'!$A:$A,MATCH(TRIM(SUBSTITUTE($B2384,CHAR(160)," ")),'Catalog'!$C:$C,0)),""))))</f>
        <v/>
      </c>
      <c r="H2384" s="8" t="str">
        <f aca="false">IFERROR(INDEX('TRANS'!$C:$C,MATCH($B2384,'TRANS'!$A:$A,0)),IFERROR(INDEX('Catalog'!$B:$B,MATCH($G2384,'Catalog'!$A:$A,0)),$B2384))</f>
        <v>41 XXL</v>
      </c>
      <c r="I2384" s="8" t="str">
        <f aca="false">IF($G2384="","Unmatched","Matched")</f>
        <v>Unmatched</v>
      </c>
      <c r="J2384" s="8" t="str">
        <f aca="false">IF($G2384&lt;&gt;"",$G2384,$B2384)</f>
        <v>41 XXL</v>
      </c>
      <c r="K2384" s="8" t="str">
        <f aca="false">IF(COUNTIF($M$1:$M$10,$A2384)&gt;0,"Y","N")</f>
        <v>Y</v>
      </c>
    </row>
    <row r="2385" customFormat="false" ht="15" hidden="false" customHeight="true" outlineLevel="0" collapsed="false">
      <c r="A2385" s="8" t="s">
        <v>42</v>
      </c>
      <c r="B2385" s="8" t="s">
        <v>672</v>
      </c>
      <c r="C2385" s="19" t="n">
        <v>1</v>
      </c>
      <c r="D2385" s="19" t="n">
        <v>245.68</v>
      </c>
      <c r="E2385" s="19" t="n">
        <v>5</v>
      </c>
      <c r="F2385" s="19" t="n">
        <v>1093.28</v>
      </c>
      <c r="G2385" s="8" t="n">
        <f aca="false">IFERROR(INDEX('TRANS'!$B:$B,MATCH($B2385,'TRANS'!$A:$A,0)),IFERROR(INDEX('TRANS'!$B:$B,MATCH(TRIM(SUBSTITUTE($B2385,CHAR(160)," ")),'TRANS'!$D:$D,0)),IFERROR(INDEX('Catalog'!$A:$A,MATCH($B2385,'Catalog'!$B:$B,0)),IFERROR(INDEX('Catalog'!$A:$A,MATCH(TRIM(SUBSTITUTE($B2385,CHAR(160)," ")),'Catalog'!$C:$C,0)),""))))</f>
        <v>4413076</v>
      </c>
      <c r="H2385" s="8" t="str">
        <f aca="false">IFERROR(INDEX('TRANS'!$C:$C,MATCH($B2385,'TRANS'!$A:$A,0)),IFERROR(INDEX('Catalog'!$B:$B,MATCH($G2385,'Catalog'!$A:$A,0)),$B2385))</f>
        <v>41X L מגן ברך מוצלב+מוט</v>
      </c>
      <c r="I2385" s="8" t="str">
        <f aca="false">IF($G2385="","Unmatched","Matched")</f>
        <v>Matched</v>
      </c>
      <c r="J2385" s="8" t="n">
        <f aca="false">IF($G2385&lt;&gt;"",$G2385,$B2385)</f>
        <v>4413076</v>
      </c>
      <c r="K2385" s="8" t="str">
        <f aca="false">IF(COUNTIF($M$1:$M$10,$A2385)&gt;0,"Y","N")</f>
        <v>Y</v>
      </c>
    </row>
    <row r="2386" customFormat="false" ht="15" hidden="false" customHeight="true" outlineLevel="0" collapsed="false">
      <c r="A2386" s="8" t="s">
        <v>42</v>
      </c>
      <c r="B2386" s="8" t="s">
        <v>267</v>
      </c>
      <c r="C2386" s="19" t="n">
        <v>0</v>
      </c>
      <c r="D2386" s="19" t="n">
        <v>0</v>
      </c>
      <c r="E2386" s="19" t="n">
        <v>2</v>
      </c>
      <c r="F2386" s="19" t="n">
        <v>491.36</v>
      </c>
      <c r="G2386" s="8" t="str">
        <f aca="false">IFERROR(INDEX('TRANS'!$B:$B,MATCH($B2386,'TRANS'!$A:$A,0)),IFERROR(INDEX('TRANS'!$B:$B,MATCH(TRIM(SUBSTITUTE($B2386,CHAR(160)," ")),'TRANS'!$D:$D,0)),IFERROR(INDEX('Catalog'!$A:$A,MATCH($B2386,'Catalog'!$B:$B,0)),IFERROR(INDEX('Catalog'!$A:$A,MATCH(TRIM(SUBSTITUTE($B2386,CHAR(160)," ")),'Catalog'!$C:$C,0)),""))))</f>
        <v/>
      </c>
      <c r="H2386" s="8" t="str">
        <f aca="false">IFERROR(INDEX('TRANS'!$C:$C,MATCH($B2386,'TRANS'!$A:$A,0)),IFERROR(INDEX('Catalog'!$B:$B,MATCH($G2386,'Catalog'!$A:$A,0)),$B2386))</f>
        <v>41X M</v>
      </c>
      <c r="I2386" s="8" t="str">
        <f aca="false">IF($G2386="","Unmatched","Matched")</f>
        <v>Unmatched</v>
      </c>
      <c r="J2386" s="8" t="str">
        <f aca="false">IF($G2386&lt;&gt;"",$G2386,$B2386)</f>
        <v>41X M</v>
      </c>
      <c r="K2386" s="8" t="str">
        <f aca="false">IF(COUNTIF($M$1:$M$10,$A2386)&gt;0,"Y","N")</f>
        <v>Y</v>
      </c>
    </row>
    <row r="2387" customFormat="false" ht="15" hidden="false" customHeight="true" outlineLevel="0" collapsed="false">
      <c r="A2387" s="8" t="s">
        <v>42</v>
      </c>
      <c r="B2387" s="8" t="s">
        <v>503</v>
      </c>
      <c r="C2387" s="19" t="n">
        <v>1</v>
      </c>
      <c r="D2387" s="19" t="n">
        <v>245.68</v>
      </c>
      <c r="E2387" s="19" t="n">
        <v>0</v>
      </c>
      <c r="F2387" s="19" t="n">
        <v>0</v>
      </c>
      <c r="G2387" s="8" t="str">
        <f aca="false">IFERROR(INDEX('TRANS'!$B:$B,MATCH($B2387,'TRANS'!$A:$A,0)),IFERROR(INDEX('TRANS'!$B:$B,MATCH(TRIM(SUBSTITUTE($B2387,CHAR(160)," ")),'TRANS'!$D:$D,0)),IFERROR(INDEX('Catalog'!$A:$A,MATCH($B2387,'Catalog'!$B:$B,0)),IFERROR(INDEX('Catalog'!$A:$A,MATCH(TRIM(SUBSTITUTE($B2387,CHAR(160)," ")),'Catalog'!$C:$C,0)),""))))</f>
        <v/>
      </c>
      <c r="H2387" s="8" t="str">
        <f aca="false">IFERROR(INDEX('TRANS'!$C:$C,MATCH($B2387,'TRANS'!$A:$A,0)),IFERROR(INDEX('Catalog'!$B:$B,MATCH($G2387,'Catalog'!$A:$A,0)),$B2387))</f>
        <v>41X S</v>
      </c>
      <c r="I2387" s="8" t="str">
        <f aca="false">IF($G2387="","Unmatched","Matched")</f>
        <v>Unmatched</v>
      </c>
      <c r="J2387" s="8" t="str">
        <f aca="false">IF($G2387&lt;&gt;"",$G2387,$B2387)</f>
        <v>41X S</v>
      </c>
      <c r="K2387" s="8" t="str">
        <f aca="false">IF(COUNTIF($M$1:$M$10,$A2387)&gt;0,"Y","N")</f>
        <v>Y</v>
      </c>
    </row>
    <row r="2388" customFormat="false" ht="15" hidden="false" customHeight="true" outlineLevel="0" collapsed="false">
      <c r="A2388" s="8" t="s">
        <v>42</v>
      </c>
      <c r="B2388" s="8" t="s">
        <v>268</v>
      </c>
      <c r="C2388" s="19" t="n">
        <v>1</v>
      </c>
      <c r="D2388" s="19" t="n">
        <v>245.68</v>
      </c>
      <c r="E2388" s="19" t="n">
        <v>2</v>
      </c>
      <c r="F2388" s="19" t="n">
        <v>491.36</v>
      </c>
      <c r="G2388" s="8" t="str">
        <f aca="false">IFERROR(INDEX('TRANS'!$B:$B,MATCH($B2388,'TRANS'!$A:$A,0)),IFERROR(INDEX('TRANS'!$B:$B,MATCH(TRIM(SUBSTITUTE($B2388,CHAR(160)," ")),'TRANS'!$D:$D,0)),IFERROR(INDEX('Catalog'!$A:$A,MATCH($B2388,'Catalog'!$B:$B,0)),IFERROR(INDEX('Catalog'!$A:$A,MATCH(TRIM(SUBSTITUTE($B2388,CHAR(160)," ")),'Catalog'!$C:$C,0)),""))))</f>
        <v/>
      </c>
      <c r="H2388" s="8" t="str">
        <f aca="false">IFERROR(INDEX('TRANS'!$C:$C,MATCH($B2388,'TRANS'!$A:$A,0)),IFERROR(INDEX('Catalog'!$B:$B,MATCH($G2388,'Catalog'!$A:$A,0)),$B2388))</f>
        <v>41X XXL</v>
      </c>
      <c r="I2388" s="8" t="str">
        <f aca="false">IF($G2388="","Unmatched","Matched")</f>
        <v>Unmatched</v>
      </c>
      <c r="J2388" s="8" t="str">
        <f aca="false">IF($G2388&lt;&gt;"",$G2388,$B2388)</f>
        <v>41X XXL</v>
      </c>
      <c r="K2388" s="8" t="str">
        <f aca="false">IF(COUNTIF($M$1:$M$10,$A2388)&gt;0,"Y","N")</f>
        <v>Y</v>
      </c>
    </row>
    <row r="2389" customFormat="false" ht="15" hidden="false" customHeight="true" outlineLevel="0" collapsed="false">
      <c r="A2389" s="8" t="s">
        <v>42</v>
      </c>
      <c r="B2389" s="8" t="s">
        <v>457</v>
      </c>
      <c r="C2389" s="19" t="n">
        <v>1</v>
      </c>
      <c r="D2389" s="19" t="n">
        <v>269.33</v>
      </c>
      <c r="E2389" s="19" t="n">
        <v>0</v>
      </c>
      <c r="F2389" s="19" t="n">
        <v>0</v>
      </c>
      <c r="G2389" s="8" t="str">
        <f aca="false">IFERROR(INDEX('TRANS'!$B:$B,MATCH($B2389,'TRANS'!$A:$A,0)),IFERROR(INDEX('TRANS'!$B:$B,MATCH(TRIM(SUBSTITUTE($B2389,CHAR(160)," ")),'TRANS'!$D:$D,0)),IFERROR(INDEX('Catalog'!$A:$A,MATCH($B2389,'Catalog'!$B:$B,0)),IFERROR(INDEX('Catalog'!$A:$A,MATCH(TRIM(SUBSTITUTE($B2389,CHAR(160)," ")),'Catalog'!$C:$C,0)),""))))</f>
        <v/>
      </c>
      <c r="H2389" s="8" t="str">
        <f aca="false">IFERROR(INDEX('TRANS'!$C:$C,MATCH($B2389,'TRANS'!$A:$A,0)),IFERROR(INDEX('Catalog'!$B:$B,MATCH($G2389,'Catalog'!$A:$A,0)),$B2389))</f>
        <v>422 XL</v>
      </c>
      <c r="I2389" s="8" t="str">
        <f aca="false">IF($G2389="","Unmatched","Matched")</f>
        <v>Unmatched</v>
      </c>
      <c r="J2389" s="8" t="str">
        <f aca="false">IF($G2389&lt;&gt;"",$G2389,$B2389)</f>
        <v>422 XL</v>
      </c>
      <c r="K2389" s="8" t="str">
        <f aca="false">IF(COUNTIF($M$1:$M$10,$A2389)&gt;0,"Y","N")</f>
        <v>Y</v>
      </c>
    </row>
    <row r="2390" customFormat="false" ht="15" hidden="false" customHeight="true" outlineLevel="0" collapsed="false">
      <c r="A2390" s="8" t="s">
        <v>42</v>
      </c>
      <c r="B2390" s="8" t="s">
        <v>331</v>
      </c>
      <c r="C2390" s="19" t="n">
        <v>0</v>
      </c>
      <c r="D2390" s="19" t="n">
        <v>0</v>
      </c>
      <c r="E2390" s="19" t="n">
        <v>1</v>
      </c>
      <c r="F2390" s="19" t="n">
        <v>190.6</v>
      </c>
      <c r="G2390" s="8" t="str">
        <f aca="false">IFERROR(INDEX('TRANS'!$B:$B,MATCH($B2390,'TRANS'!$A:$A,0)),IFERROR(INDEX('TRANS'!$B:$B,MATCH(TRIM(SUBSTITUTE($B2390,CHAR(160)," ")),'TRANS'!$D:$D,0)),IFERROR(INDEX('Catalog'!$A:$A,MATCH($B2390,'Catalog'!$B:$B,0)),IFERROR(INDEX('Catalog'!$A:$A,MATCH(TRIM(SUBSTITUTE($B2390,CHAR(160)," ")),'Catalog'!$C:$C,0)),""))))</f>
        <v/>
      </c>
      <c r="H2390" s="8" t="str">
        <f aca="false">IFERROR(INDEX('TRANS'!$C:$C,MATCH($B2390,'TRANS'!$A:$A,0)),IFERROR(INDEX('Catalog'!$B:$B,MATCH($G2390,'Catalog'!$A:$A,0)),$B2390))</f>
        <v>422E L</v>
      </c>
      <c r="I2390" s="8" t="str">
        <f aca="false">IF($G2390="","Unmatched","Matched")</f>
        <v>Unmatched</v>
      </c>
      <c r="J2390" s="8" t="str">
        <f aca="false">IF($G2390&lt;&gt;"",$G2390,$B2390)</f>
        <v>422E L</v>
      </c>
      <c r="K2390" s="8" t="str">
        <f aca="false">IF(COUNTIF($M$1:$M$10,$A2390)&gt;0,"Y","N")</f>
        <v>Y</v>
      </c>
    </row>
    <row r="2391" customFormat="false" ht="15" hidden="false" customHeight="true" outlineLevel="0" collapsed="false">
      <c r="A2391" s="8" t="s">
        <v>42</v>
      </c>
      <c r="B2391" s="8" t="s">
        <v>236</v>
      </c>
      <c r="C2391" s="19" t="n">
        <v>0</v>
      </c>
      <c r="D2391" s="19" t="n">
        <v>0</v>
      </c>
      <c r="E2391" s="19" t="n">
        <v>1</v>
      </c>
      <c r="F2391" s="19" t="n">
        <v>211.78</v>
      </c>
      <c r="G2391" s="8" t="str">
        <f aca="false">IFERROR(INDEX('TRANS'!$B:$B,MATCH($B2391,'TRANS'!$A:$A,0)),IFERROR(INDEX('TRANS'!$B:$B,MATCH(TRIM(SUBSTITUTE($B2391,CHAR(160)," ")),'TRANS'!$D:$D,0)),IFERROR(INDEX('Catalog'!$A:$A,MATCH($B2391,'Catalog'!$B:$B,0)),IFERROR(INDEX('Catalog'!$A:$A,MATCH(TRIM(SUBSTITUTE($B2391,CHAR(160)," ")),'Catalog'!$C:$C,0)),""))))</f>
        <v/>
      </c>
      <c r="H2391" s="8" t="str">
        <f aca="false">IFERROR(INDEX('TRANS'!$C:$C,MATCH($B2391,'TRANS'!$A:$A,0)),IFERROR(INDEX('Catalog'!$B:$B,MATCH($G2391,'Catalog'!$A:$A,0)),$B2391))</f>
        <v>422E XL</v>
      </c>
      <c r="I2391" s="8" t="str">
        <f aca="false">IF($G2391="","Unmatched","Matched")</f>
        <v>Unmatched</v>
      </c>
      <c r="J2391" s="8" t="str">
        <f aca="false">IF($G2391&lt;&gt;"",$G2391,$B2391)</f>
        <v>422E XL</v>
      </c>
      <c r="K2391" s="8" t="str">
        <f aca="false">IF(COUNTIF($M$1:$M$10,$A2391)&gt;0,"Y","N")</f>
        <v>Y</v>
      </c>
    </row>
    <row r="2392" customFormat="false" ht="15" hidden="false" customHeight="true" outlineLevel="0" collapsed="false">
      <c r="A2392" s="8" t="s">
        <v>42</v>
      </c>
      <c r="B2392" s="8" t="s">
        <v>146</v>
      </c>
      <c r="C2392" s="19" t="n">
        <v>9</v>
      </c>
      <c r="D2392" s="19" t="n">
        <v>2960.06</v>
      </c>
      <c r="E2392" s="19" t="n">
        <v>7</v>
      </c>
      <c r="F2392" s="19" t="n">
        <v>1638.38</v>
      </c>
      <c r="G2392" s="8" t="str">
        <f aca="false">IFERROR(INDEX('TRANS'!$B:$B,MATCH($B2392,'TRANS'!$A:$A,0)),IFERROR(INDEX('TRANS'!$B:$B,MATCH(TRIM(SUBSTITUTE($B2392,CHAR(160)," ")),'TRANS'!$D:$D,0)),IFERROR(INDEX('Catalog'!$A:$A,MATCH($B2392,'Catalog'!$B:$B,0)),IFERROR(INDEX('Catalog'!$A:$A,MATCH(TRIM(SUBSTITUTE($B2392,CHAR(160)," ")),'Catalog'!$C:$C,0)),""))))</f>
        <v/>
      </c>
      <c r="H2392" s="8" t="str">
        <f aca="false">IFERROR(INDEX('TRANS'!$C:$C,MATCH($B2392,'TRANS'!$A:$A,0)),IFERROR(INDEX('Catalog'!$B:$B,MATCH($G2392,'Catalog'!$A:$A,0)),$B2392))</f>
        <v>422EB L</v>
      </c>
      <c r="I2392" s="8" t="str">
        <f aca="false">IF($G2392="","Unmatched","Matched")</f>
        <v>Unmatched</v>
      </c>
      <c r="J2392" s="8" t="str">
        <f aca="false">IF($G2392&lt;&gt;"",$G2392,$B2392)</f>
        <v>422EB L</v>
      </c>
      <c r="K2392" s="8" t="str">
        <f aca="false">IF(COUNTIF($M$1:$M$10,$A2392)&gt;0,"Y","N")</f>
        <v>Y</v>
      </c>
    </row>
    <row r="2393" customFormat="false" ht="15" hidden="false" customHeight="true" outlineLevel="0" collapsed="false">
      <c r="A2393" s="8" t="s">
        <v>42</v>
      </c>
      <c r="B2393" s="8" t="s">
        <v>167</v>
      </c>
      <c r="C2393" s="19" t="n">
        <v>3</v>
      </c>
      <c r="D2393" s="19" t="n">
        <v>992.81</v>
      </c>
      <c r="E2393" s="19" t="n">
        <v>7</v>
      </c>
      <c r="F2393" s="19" t="n">
        <v>1461.29</v>
      </c>
      <c r="G2393" s="8" t="str">
        <f aca="false">IFERROR(INDEX('TRANS'!$B:$B,MATCH($B2393,'TRANS'!$A:$A,0)),IFERROR(INDEX('TRANS'!$B:$B,MATCH(TRIM(SUBSTITUTE($B2393,CHAR(160)," ")),'TRANS'!$D:$D,0)),IFERROR(INDEX('Catalog'!$A:$A,MATCH($B2393,'Catalog'!$B:$B,0)),IFERROR(INDEX('Catalog'!$A:$A,MATCH(TRIM(SUBSTITUTE($B2393,CHAR(160)," ")),'Catalog'!$C:$C,0)),""))))</f>
        <v/>
      </c>
      <c r="H2393" s="8" t="str">
        <f aca="false">IFERROR(INDEX('TRANS'!$C:$C,MATCH($B2393,'TRANS'!$A:$A,0)),IFERROR(INDEX('Catalog'!$B:$B,MATCH($G2393,'Catalog'!$A:$A,0)),$B2393))</f>
        <v>422EB M</v>
      </c>
      <c r="I2393" s="8" t="str">
        <f aca="false">IF($G2393="","Unmatched","Matched")</f>
        <v>Unmatched</v>
      </c>
      <c r="J2393" s="8" t="str">
        <f aca="false">IF($G2393&lt;&gt;"",$G2393,$B2393)</f>
        <v>422EB M</v>
      </c>
      <c r="K2393" s="8" t="str">
        <f aca="false">IF(COUNTIF($M$1:$M$10,$A2393)&gt;0,"Y","N")</f>
        <v>Y</v>
      </c>
    </row>
    <row r="2394" customFormat="false" ht="15" hidden="false" customHeight="true" outlineLevel="0" collapsed="false">
      <c r="A2394" s="8" t="s">
        <v>42</v>
      </c>
      <c r="B2394" s="8" t="s">
        <v>270</v>
      </c>
      <c r="C2394" s="19" t="n">
        <v>1</v>
      </c>
      <c r="D2394" s="19" t="n">
        <v>367.71</v>
      </c>
      <c r="E2394" s="19" t="n">
        <v>1</v>
      </c>
      <c r="F2394" s="19" t="n">
        <v>367.71</v>
      </c>
      <c r="G2394" s="8" t="str">
        <f aca="false">IFERROR(INDEX('TRANS'!$B:$B,MATCH($B2394,'TRANS'!$A:$A,0)),IFERROR(INDEX('TRANS'!$B:$B,MATCH(TRIM(SUBSTITUTE($B2394,CHAR(160)," ")),'TRANS'!$D:$D,0)),IFERROR(INDEX('Catalog'!$A:$A,MATCH($B2394,'Catalog'!$B:$B,0)),IFERROR(INDEX('Catalog'!$A:$A,MATCH(TRIM(SUBSTITUTE($B2394,CHAR(160)," ")),'Catalog'!$C:$C,0)),""))))</f>
        <v/>
      </c>
      <c r="H2394" s="8" t="str">
        <f aca="false">IFERROR(INDEX('TRANS'!$C:$C,MATCH($B2394,'TRANS'!$A:$A,0)),IFERROR(INDEX('Catalog'!$B:$B,MATCH($G2394,'Catalog'!$A:$A,0)),$B2394))</f>
        <v>422EB XL</v>
      </c>
      <c r="I2394" s="8" t="str">
        <f aca="false">IF($G2394="","Unmatched","Matched")</f>
        <v>Unmatched</v>
      </c>
      <c r="J2394" s="8" t="str">
        <f aca="false">IF($G2394&lt;&gt;"",$G2394,$B2394)</f>
        <v>422EB XL</v>
      </c>
      <c r="K2394" s="8" t="str">
        <f aca="false">IF(COUNTIF($M$1:$M$10,$A2394)&gt;0,"Y","N")</f>
        <v>Y</v>
      </c>
    </row>
    <row r="2395" customFormat="false" ht="15" hidden="false" customHeight="true" outlineLevel="0" collapsed="false">
      <c r="A2395" s="8" t="s">
        <v>42</v>
      </c>
      <c r="B2395" s="8" t="s">
        <v>418</v>
      </c>
      <c r="C2395" s="19" t="n">
        <v>1</v>
      </c>
      <c r="D2395" s="19" t="n">
        <v>312.55</v>
      </c>
      <c r="E2395" s="19" t="n">
        <v>0</v>
      </c>
      <c r="F2395" s="19" t="n">
        <v>0</v>
      </c>
      <c r="G2395" s="8" t="str">
        <f aca="false">IFERROR(INDEX('TRANS'!$B:$B,MATCH($B2395,'TRANS'!$A:$A,0)),IFERROR(INDEX('TRANS'!$B:$B,MATCH(TRIM(SUBSTITUTE($B2395,CHAR(160)," ")),'TRANS'!$D:$D,0)),IFERROR(INDEX('Catalog'!$A:$A,MATCH($B2395,'Catalog'!$B:$B,0)),IFERROR(INDEX('Catalog'!$A:$A,MATCH(TRIM(SUBSTITUTE($B2395,CHAR(160)," ")),'Catalog'!$C:$C,0)),""))))</f>
        <v/>
      </c>
      <c r="H2395" s="8" t="str">
        <f aca="false">IFERROR(INDEX('TRANS'!$C:$C,MATCH($B2395,'TRANS'!$A:$A,0)),IFERROR(INDEX('Catalog'!$B:$B,MATCH($G2395,'Catalog'!$A:$A,0)),$B2395))</f>
        <v>422EB XXL</v>
      </c>
      <c r="I2395" s="8" t="str">
        <f aca="false">IF($G2395="","Unmatched","Matched")</f>
        <v>Unmatched</v>
      </c>
      <c r="J2395" s="8" t="str">
        <f aca="false">IF($G2395&lt;&gt;"",$G2395,$B2395)</f>
        <v>422EB XXL</v>
      </c>
      <c r="K2395" s="8" t="str">
        <f aca="false">IF(COUNTIF($M$1:$M$10,$A2395)&gt;0,"Y","N")</f>
        <v>Y</v>
      </c>
    </row>
    <row r="2396" customFormat="false" ht="15" hidden="false" customHeight="true" outlineLevel="0" collapsed="false">
      <c r="A2396" s="8" t="s">
        <v>42</v>
      </c>
      <c r="B2396" s="8" t="s">
        <v>458</v>
      </c>
      <c r="C2396" s="19" t="n">
        <v>2</v>
      </c>
      <c r="D2396" s="19" t="n">
        <v>596.46</v>
      </c>
      <c r="E2396" s="19" t="n">
        <v>0</v>
      </c>
      <c r="F2396" s="19" t="n">
        <v>0</v>
      </c>
      <c r="G2396" s="8" t="str">
        <f aca="false">IFERROR(INDEX('TRANS'!$B:$B,MATCH($B2396,'TRANS'!$A:$A,0)),IFERROR(INDEX('TRANS'!$B:$B,MATCH(TRIM(SUBSTITUTE($B2396,CHAR(160)," ")),'TRANS'!$D:$D,0)),IFERROR(INDEX('Catalog'!$A:$A,MATCH($B2396,'Catalog'!$B:$B,0)),IFERROR(INDEX('Catalog'!$A:$A,MATCH(TRIM(SUBSTITUTE($B2396,CHAR(160)," ")),'Catalog'!$C:$C,0)),""))))</f>
        <v/>
      </c>
      <c r="H2396" s="8" t="str">
        <f aca="false">IFERROR(INDEX('TRANS'!$C:$C,MATCH($B2396,'TRANS'!$A:$A,0)),IFERROR(INDEX('Catalog'!$B:$B,MATCH($G2396,'Catalog'!$A:$A,0)),$B2396))</f>
        <v>422N XXL</v>
      </c>
      <c r="I2396" s="8" t="str">
        <f aca="false">IF($G2396="","Unmatched","Matched")</f>
        <v>Unmatched</v>
      </c>
      <c r="J2396" s="8" t="str">
        <f aca="false">IF($G2396&lt;&gt;"",$G2396,$B2396)</f>
        <v>422N XXL</v>
      </c>
      <c r="K2396" s="8" t="str">
        <f aca="false">IF(COUNTIF($M$1:$M$10,$A2396)&gt;0,"Y","N")</f>
        <v>Y</v>
      </c>
    </row>
    <row r="2397" customFormat="false" ht="15" hidden="false" customHeight="true" outlineLevel="0" collapsed="false">
      <c r="A2397" s="8" t="s">
        <v>42</v>
      </c>
      <c r="B2397" s="8" t="s">
        <v>481</v>
      </c>
      <c r="C2397" s="19" t="n">
        <v>1</v>
      </c>
      <c r="D2397" s="19" t="n">
        <v>324.07</v>
      </c>
      <c r="E2397" s="19" t="n">
        <v>0</v>
      </c>
      <c r="F2397" s="19" t="n">
        <v>0</v>
      </c>
      <c r="G2397" s="8" t="str">
        <f aca="false">IFERROR(INDEX('TRANS'!$B:$B,MATCH($B2397,'TRANS'!$A:$A,0)),IFERROR(INDEX('TRANS'!$B:$B,MATCH(TRIM(SUBSTITUTE($B2397,CHAR(160)," ")),'TRANS'!$D:$D,0)),IFERROR(INDEX('Catalog'!$A:$A,MATCH($B2397,'Catalog'!$B:$B,0)),IFERROR(INDEX('Catalog'!$A:$A,MATCH(TRIM(SUBSTITUTE($B2397,CHAR(160)," ")),'Catalog'!$C:$C,0)),""))))</f>
        <v/>
      </c>
      <c r="H2397" s="8" t="str">
        <f aca="false">IFERROR(INDEX('TRANS'!$C:$C,MATCH($B2397,'TRANS'!$A:$A,0)),IFERROR(INDEX('Catalog'!$B:$B,MATCH($G2397,'Catalog'!$A:$A,0)),$B2397))</f>
        <v>422N+ L</v>
      </c>
      <c r="I2397" s="8" t="str">
        <f aca="false">IF($G2397="","Unmatched","Matched")</f>
        <v>Unmatched</v>
      </c>
      <c r="J2397" s="8" t="str">
        <f aca="false">IF($G2397&lt;&gt;"",$G2397,$B2397)</f>
        <v>422N+ L</v>
      </c>
      <c r="K2397" s="8" t="str">
        <f aca="false">IF(COUNTIF($M$1:$M$10,$A2397)&gt;0,"Y","N")</f>
        <v>Y</v>
      </c>
    </row>
    <row r="2398" customFormat="false" ht="15" hidden="false" customHeight="true" outlineLevel="0" collapsed="false">
      <c r="A2398" s="8" t="s">
        <v>42</v>
      </c>
      <c r="B2398" s="8" t="s">
        <v>482</v>
      </c>
      <c r="C2398" s="19" t="n">
        <v>1</v>
      </c>
      <c r="D2398" s="19" t="n">
        <v>324.08</v>
      </c>
      <c r="E2398" s="19" t="n">
        <v>0</v>
      </c>
      <c r="F2398" s="19" t="n">
        <v>0</v>
      </c>
      <c r="G2398" s="8" t="str">
        <f aca="false">IFERROR(INDEX('TRANS'!$B:$B,MATCH($B2398,'TRANS'!$A:$A,0)),IFERROR(INDEX('TRANS'!$B:$B,MATCH(TRIM(SUBSTITUTE($B2398,CHAR(160)," ")),'TRANS'!$D:$D,0)),IFERROR(INDEX('Catalog'!$A:$A,MATCH($B2398,'Catalog'!$B:$B,0)),IFERROR(INDEX('Catalog'!$A:$A,MATCH(TRIM(SUBSTITUTE($B2398,CHAR(160)," ")),'Catalog'!$C:$C,0)),""))))</f>
        <v/>
      </c>
      <c r="H2398" s="8" t="str">
        <f aca="false">IFERROR(INDEX('TRANS'!$C:$C,MATCH($B2398,'TRANS'!$A:$A,0)),IFERROR(INDEX('Catalog'!$B:$B,MATCH($G2398,'Catalog'!$A:$A,0)),$B2398))</f>
        <v>422N+ M</v>
      </c>
      <c r="I2398" s="8" t="str">
        <f aca="false">IF($G2398="","Unmatched","Matched")</f>
        <v>Unmatched</v>
      </c>
      <c r="J2398" s="8" t="str">
        <f aca="false">IF($G2398&lt;&gt;"",$G2398,$B2398)</f>
        <v>422N+ M</v>
      </c>
      <c r="K2398" s="8" t="str">
        <f aca="false">IF(COUNTIF($M$1:$M$10,$A2398)&gt;0,"Y","N")</f>
        <v>Y</v>
      </c>
    </row>
    <row r="2399" customFormat="false" ht="15" hidden="false" customHeight="true" outlineLevel="0" collapsed="false">
      <c r="A2399" s="8" t="s">
        <v>42</v>
      </c>
      <c r="B2399" s="8" t="s">
        <v>504</v>
      </c>
      <c r="C2399" s="19" t="n">
        <v>1</v>
      </c>
      <c r="D2399" s="19" t="n">
        <v>305.01</v>
      </c>
      <c r="E2399" s="19" t="n">
        <v>0</v>
      </c>
      <c r="F2399" s="19" t="n">
        <v>0</v>
      </c>
      <c r="G2399" s="8" t="str">
        <f aca="false">IFERROR(INDEX('TRANS'!$B:$B,MATCH($B2399,'TRANS'!$A:$A,0)),IFERROR(INDEX('TRANS'!$B:$B,MATCH(TRIM(SUBSTITUTE($B2399,CHAR(160)," ")),'TRANS'!$D:$D,0)),IFERROR(INDEX('Catalog'!$A:$A,MATCH($B2399,'Catalog'!$B:$B,0)),IFERROR(INDEX('Catalog'!$A:$A,MATCH(TRIM(SUBSTITUTE($B2399,CHAR(160)," ")),'Catalog'!$C:$C,0)),""))))</f>
        <v/>
      </c>
      <c r="H2399" s="8" t="str">
        <f aca="false">IFERROR(INDEX('TRANS'!$C:$C,MATCH($B2399,'TRANS'!$A:$A,0)),IFERROR(INDEX('Catalog'!$B:$B,MATCH($G2399,'Catalog'!$A:$A,0)),$B2399))</f>
        <v>422N+ XXL</v>
      </c>
      <c r="I2399" s="8" t="str">
        <f aca="false">IF($G2399="","Unmatched","Matched")</f>
        <v>Unmatched</v>
      </c>
      <c r="J2399" s="8" t="str">
        <f aca="false">IF($G2399&lt;&gt;"",$G2399,$B2399)</f>
        <v>422N+ XXL</v>
      </c>
      <c r="K2399" s="8" t="str">
        <f aca="false">IF(COUNTIF($M$1:$M$10,$A2399)&gt;0,"Y","N")</f>
        <v>Y</v>
      </c>
    </row>
    <row r="2400" customFormat="false" ht="15" hidden="false" customHeight="true" outlineLevel="0" collapsed="false">
      <c r="A2400" s="8" t="s">
        <v>42</v>
      </c>
      <c r="B2400" s="8" t="s">
        <v>798</v>
      </c>
      <c r="C2400" s="19" t="n">
        <v>15</v>
      </c>
      <c r="D2400" s="19" t="n">
        <v>801.44</v>
      </c>
      <c r="E2400" s="19" t="n">
        <v>10</v>
      </c>
      <c r="F2400" s="19" t="n">
        <v>552.91</v>
      </c>
      <c r="G2400" s="8" t="n">
        <f aca="false">IFERROR(INDEX('TRANS'!$B:$B,MATCH($B2400,'TRANS'!$A:$A,0)),IFERROR(INDEX('TRANS'!$B:$B,MATCH(TRIM(SUBSTITUTE($B2400,CHAR(160)," ")),'TRANS'!$D:$D,0)),IFERROR(INDEX('Catalog'!$A:$A,MATCH($B2400,'Catalog'!$B:$B,0)),IFERROR(INDEX('Catalog'!$A:$A,MATCH(TRIM(SUBSTITUTE($B2400,CHAR(160)," ")),'Catalog'!$C:$C,0)),""))))</f>
        <v>4413092</v>
      </c>
      <c r="H2400" s="8" t="str">
        <f aca="false">IFERROR(INDEX('TRANS'!$C:$C,MATCH($B2400,'TRANS'!$A:$A,0)),IFERROR(INDEX('Catalog'!$B:$B,MATCH($G2400,'Catalog'!$A:$A,0)),$B2400))</f>
        <v>45 L מגן ברך לבן</v>
      </c>
      <c r="I2400" s="8" t="str">
        <f aca="false">IF($G2400="","Unmatched","Matched")</f>
        <v>Matched</v>
      </c>
      <c r="J2400" s="8" t="n">
        <f aca="false">IF($G2400&lt;&gt;"",$G2400,$B2400)</f>
        <v>4413092</v>
      </c>
      <c r="K2400" s="8" t="str">
        <f aca="false">IF(COUNTIF($M$1:$M$10,$A2400)&gt;0,"Y","N")</f>
        <v>Y</v>
      </c>
    </row>
    <row r="2401" customFormat="false" ht="15" hidden="false" customHeight="true" outlineLevel="0" collapsed="false">
      <c r="A2401" s="8" t="s">
        <v>42</v>
      </c>
      <c r="B2401" s="8" t="s">
        <v>799</v>
      </c>
      <c r="C2401" s="19" t="n">
        <v>7</v>
      </c>
      <c r="D2401" s="19" t="n">
        <v>333.4</v>
      </c>
      <c r="E2401" s="19" t="n">
        <v>2</v>
      </c>
      <c r="F2401" s="19" t="n">
        <v>111.7</v>
      </c>
      <c r="G2401" s="8" t="n">
        <f aca="false">IFERROR(INDEX('TRANS'!$B:$B,MATCH($B2401,'TRANS'!$A:$A,0)),IFERROR(INDEX('TRANS'!$B:$B,MATCH(TRIM(SUBSTITUTE($B2401,CHAR(160)," ")),'TRANS'!$D:$D,0)),IFERROR(INDEX('Catalog'!$A:$A,MATCH($B2401,'Catalog'!$B:$B,0)),IFERROR(INDEX('Catalog'!$A:$A,MATCH(TRIM(SUBSTITUTE($B2401,CHAR(160)," ")),'Catalog'!$C:$C,0)),""))))</f>
        <v>4413093</v>
      </c>
      <c r="H2401" s="8" t="str">
        <f aca="false">IFERROR(INDEX('TRANS'!$C:$C,MATCH($B2401,'TRANS'!$A:$A,0)),IFERROR(INDEX('Catalog'!$B:$B,MATCH($G2401,'Catalog'!$A:$A,0)),$B2401))</f>
        <v>45 M מגן ברך לבן</v>
      </c>
      <c r="I2401" s="8" t="str">
        <f aca="false">IF($G2401="","Unmatched","Matched")</f>
        <v>Matched</v>
      </c>
      <c r="J2401" s="8" t="n">
        <f aca="false">IF($G2401&lt;&gt;"",$G2401,$B2401)</f>
        <v>4413093</v>
      </c>
      <c r="K2401" s="8" t="str">
        <f aca="false">IF(COUNTIF($M$1:$M$10,$A2401)&gt;0,"Y","N")</f>
        <v>Y</v>
      </c>
    </row>
    <row r="2402" customFormat="false" ht="15" hidden="false" customHeight="true" outlineLevel="0" collapsed="false">
      <c r="A2402" s="8" t="s">
        <v>42</v>
      </c>
      <c r="B2402" s="8" t="s">
        <v>673</v>
      </c>
      <c r="C2402" s="19" t="n">
        <v>6</v>
      </c>
      <c r="D2402" s="19" t="n">
        <v>286.18</v>
      </c>
      <c r="E2402" s="19" t="n">
        <v>1</v>
      </c>
      <c r="F2402" s="19" t="n">
        <v>55.86</v>
      </c>
      <c r="G2402" s="8" t="n">
        <f aca="false">IFERROR(INDEX('TRANS'!$B:$B,MATCH($B2402,'TRANS'!$A:$A,0)),IFERROR(INDEX('TRANS'!$B:$B,MATCH(TRIM(SUBSTITUTE($B2402,CHAR(160)," ")),'TRANS'!$D:$D,0)),IFERROR(INDEX('Catalog'!$A:$A,MATCH($B2402,'Catalog'!$B:$B,0)),IFERROR(INDEX('Catalog'!$A:$A,MATCH(TRIM(SUBSTITUTE($B2402,CHAR(160)," ")),'Catalog'!$C:$C,0)),""))))</f>
        <v>4413094</v>
      </c>
      <c r="H2402" s="8" t="str">
        <f aca="false">IFERROR(INDEX('TRANS'!$C:$C,MATCH($B2402,'TRANS'!$A:$A,0)),IFERROR(INDEX('Catalog'!$B:$B,MATCH($G2402,'Catalog'!$A:$A,0)),$B2402))</f>
        <v>45 S מגן ברך לבן</v>
      </c>
      <c r="I2402" s="8" t="str">
        <f aca="false">IF($G2402="","Unmatched","Matched")</f>
        <v>Matched</v>
      </c>
      <c r="J2402" s="8" t="n">
        <f aca="false">IF($G2402&lt;&gt;"",$G2402,$B2402)</f>
        <v>4413094</v>
      </c>
      <c r="K2402" s="8" t="str">
        <f aca="false">IF(COUNTIF($M$1:$M$10,$A2402)&gt;0,"Y","N")</f>
        <v>Y</v>
      </c>
    </row>
    <row r="2403" customFormat="false" ht="15" hidden="false" customHeight="true" outlineLevel="0" collapsed="false">
      <c r="A2403" s="8" t="s">
        <v>42</v>
      </c>
      <c r="B2403" s="8" t="s">
        <v>674</v>
      </c>
      <c r="C2403" s="19" t="n">
        <v>4</v>
      </c>
      <c r="D2403" s="19" t="n">
        <v>223.4</v>
      </c>
      <c r="E2403" s="19" t="n">
        <v>0</v>
      </c>
      <c r="F2403" s="19" t="n">
        <v>0</v>
      </c>
      <c r="G2403" s="8" t="n">
        <f aca="false">IFERROR(INDEX('TRANS'!$B:$B,MATCH($B2403,'TRANS'!$A:$A,0)),IFERROR(INDEX('TRANS'!$B:$B,MATCH(TRIM(SUBSTITUTE($B2403,CHAR(160)," ")),'TRANS'!$D:$D,0)),IFERROR(INDEX('Catalog'!$A:$A,MATCH($B2403,'Catalog'!$B:$B,0)),IFERROR(INDEX('Catalog'!$A:$A,MATCH(TRIM(SUBSTITUTE($B2403,CHAR(160)," ")),'Catalog'!$C:$C,0)),""))))</f>
        <v>4413095</v>
      </c>
      <c r="H2403" s="8" t="str">
        <f aca="false">IFERROR(INDEX('TRANS'!$C:$C,MATCH($B2403,'TRANS'!$A:$A,0)),IFERROR(INDEX('Catalog'!$B:$B,MATCH($G2403,'Catalog'!$A:$A,0)),$B2403))</f>
        <v>45 XL מגן ברך לבן</v>
      </c>
      <c r="I2403" s="8" t="str">
        <f aca="false">IF($G2403="","Unmatched","Matched")</f>
        <v>Matched</v>
      </c>
      <c r="J2403" s="8" t="n">
        <f aca="false">IF($G2403&lt;&gt;"",$G2403,$B2403)</f>
        <v>4413095</v>
      </c>
      <c r="K2403" s="8" t="str">
        <f aca="false">IF(COUNTIF($M$1:$M$10,$A2403)&gt;0,"Y","N")</f>
        <v>Y</v>
      </c>
    </row>
    <row r="2404" customFormat="false" ht="15" hidden="false" customHeight="true" outlineLevel="0" collapsed="false">
      <c r="A2404" s="8" t="s">
        <v>42</v>
      </c>
      <c r="B2404" s="8" t="s">
        <v>994</v>
      </c>
      <c r="C2404" s="19" t="n">
        <v>3</v>
      </c>
      <c r="D2404" s="19" t="n">
        <v>140.97</v>
      </c>
      <c r="E2404" s="19" t="n">
        <v>4</v>
      </c>
      <c r="F2404" s="19" t="n">
        <v>223.4</v>
      </c>
      <c r="G2404" s="8" t="n">
        <f aca="false">IFERROR(INDEX('TRANS'!$B:$B,MATCH($B2404,'TRANS'!$A:$A,0)),IFERROR(INDEX('TRANS'!$B:$B,MATCH(TRIM(SUBSTITUTE($B2404,CHAR(160)," ")),'TRANS'!$D:$D,0)),IFERROR(INDEX('Catalog'!$A:$A,MATCH($B2404,'Catalog'!$B:$B,0)),IFERROR(INDEX('Catalog'!$A:$A,MATCH(TRIM(SUBSTITUTE($B2404,CHAR(160)," ")),'Catalog'!$C:$C,0)),""))))</f>
        <v>4413332</v>
      </c>
      <c r="H2404" s="8" t="str">
        <f aca="false">IFERROR(INDEX('TRANS'!$C:$C,MATCH($B2404,'TRANS'!$A:$A,0)),IFERROR(INDEX('Catalog'!$B:$B,MATCH($G2404,'Catalog'!$A:$A,0)),$B2404))</f>
        <v>45  XS מגן ברך רגיל לבן</v>
      </c>
      <c r="I2404" s="8" t="str">
        <f aca="false">IF($G2404="","Unmatched","Matched")</f>
        <v>Matched</v>
      </c>
      <c r="J2404" s="8" t="n">
        <f aca="false">IF($G2404&lt;&gt;"",$G2404,$B2404)</f>
        <v>4413332</v>
      </c>
      <c r="K2404" s="8" t="str">
        <f aca="false">IF(COUNTIF($M$1:$M$10,$A2404)&gt;0,"Y","N")</f>
        <v>Y</v>
      </c>
    </row>
    <row r="2405" customFormat="false" ht="15" hidden="false" customHeight="true" outlineLevel="0" collapsed="false">
      <c r="A2405" s="8" t="s">
        <v>42</v>
      </c>
      <c r="B2405" s="8" t="s">
        <v>800</v>
      </c>
      <c r="C2405" s="19" t="n">
        <v>5</v>
      </c>
      <c r="D2405" s="19" t="n">
        <v>270.87</v>
      </c>
      <c r="E2405" s="19" t="n">
        <v>8</v>
      </c>
      <c r="F2405" s="19" t="n">
        <v>430.05</v>
      </c>
      <c r="G2405" s="8" t="n">
        <f aca="false">IFERROR(INDEX('TRANS'!$B:$B,MATCH($B2405,'TRANS'!$A:$A,0)),IFERROR(INDEX('TRANS'!$B:$B,MATCH(TRIM(SUBSTITUTE($B2405,CHAR(160)," ")),'TRANS'!$D:$D,0)),IFERROR(INDEX('Catalog'!$A:$A,MATCH($B2405,'Catalog'!$B:$B,0)),IFERROR(INDEX('Catalog'!$A:$A,MATCH(TRIM(SUBSTITUTE($B2405,CHAR(160)," ")),'Catalog'!$C:$C,0)),""))))</f>
        <v>4413096</v>
      </c>
      <c r="H2405" s="8" t="str">
        <f aca="false">IFERROR(INDEX('TRANS'!$C:$C,MATCH($B2405,'TRANS'!$A:$A,0)),IFERROR(INDEX('Catalog'!$B:$B,MATCH($G2405,'Catalog'!$A:$A,0)),$B2405))</f>
        <v>45 XXL מגן ברך לבן</v>
      </c>
      <c r="I2405" s="8" t="str">
        <f aca="false">IF($G2405="","Unmatched","Matched")</f>
        <v>Matched</v>
      </c>
      <c r="J2405" s="8" t="n">
        <f aca="false">IF($G2405&lt;&gt;"",$G2405,$B2405)</f>
        <v>4413096</v>
      </c>
      <c r="K2405" s="8" t="str">
        <f aca="false">IF(COUNTIF($M$1:$M$10,$A2405)&gt;0,"Y","N")</f>
        <v>Y</v>
      </c>
    </row>
    <row r="2406" customFormat="false" ht="15" hidden="false" customHeight="true" outlineLevel="0" collapsed="false">
      <c r="A2406" s="8" t="s">
        <v>42</v>
      </c>
      <c r="B2406" s="8" t="s">
        <v>675</v>
      </c>
      <c r="C2406" s="19" t="n">
        <v>29</v>
      </c>
      <c r="D2406" s="19" t="n">
        <v>1567.57</v>
      </c>
      <c r="E2406" s="19" t="n">
        <v>18</v>
      </c>
      <c r="F2406" s="19" t="n">
        <v>971.77</v>
      </c>
      <c r="G2406" s="8" t="n">
        <f aca="false">IFERROR(INDEX('TRANS'!$B:$B,MATCH($B2406,'TRANS'!$A:$A,0)),IFERROR(INDEX('TRANS'!$B:$B,MATCH(TRIM(SUBSTITUTE($B2406,CHAR(160)," ")),'TRANS'!$D:$D,0)),IFERROR(INDEX('Catalog'!$A:$A,MATCH($B2406,'Catalog'!$B:$B,0)),IFERROR(INDEX('Catalog'!$A:$A,MATCH(TRIM(SUBSTITUTE($B2406,CHAR(160)," ")),'Catalog'!$C:$C,0)),""))))</f>
        <v>4413495</v>
      </c>
      <c r="H2406" s="8" t="str">
        <f aca="false">IFERROR(INDEX('TRANS'!$C:$C,MATCH($B2406,'TRANS'!$A:$A,0)),IFERROR(INDEX('Catalog'!$B:$B,MATCH($G2406,'Catalog'!$A:$A,0)),$B2406))</f>
        <v>45B L מגן ברך שחור</v>
      </c>
      <c r="I2406" s="8" t="str">
        <f aca="false">IF($G2406="","Unmatched","Matched")</f>
        <v>Matched</v>
      </c>
      <c r="J2406" s="8" t="n">
        <f aca="false">IF($G2406&lt;&gt;"",$G2406,$B2406)</f>
        <v>4413495</v>
      </c>
      <c r="K2406" s="8" t="str">
        <f aca="false">IF(COUNTIF($M$1:$M$10,$A2406)&gt;0,"Y","N")</f>
        <v>Y</v>
      </c>
    </row>
    <row r="2407" customFormat="false" ht="15" hidden="false" customHeight="true" outlineLevel="0" collapsed="false">
      <c r="A2407" s="8" t="s">
        <v>42</v>
      </c>
      <c r="B2407" s="8" t="s">
        <v>676</v>
      </c>
      <c r="C2407" s="19" t="n">
        <v>17</v>
      </c>
      <c r="D2407" s="19" t="n">
        <v>875.61</v>
      </c>
      <c r="E2407" s="19" t="n">
        <v>24</v>
      </c>
      <c r="F2407" s="19" t="n">
        <v>1334.78</v>
      </c>
      <c r="G2407" s="8" t="n">
        <f aca="false">IFERROR(INDEX('TRANS'!$B:$B,MATCH($B2407,'TRANS'!$A:$A,0)),IFERROR(INDEX('TRANS'!$B:$B,MATCH(TRIM(SUBSTITUTE($B2407,CHAR(160)," ")),'TRANS'!$D:$D,0)),IFERROR(INDEX('Catalog'!$A:$A,MATCH($B2407,'Catalog'!$B:$B,0)),IFERROR(INDEX('Catalog'!$A:$A,MATCH(TRIM(SUBSTITUTE($B2407,CHAR(160)," ")),'Catalog'!$C:$C,0)),""))))</f>
        <v>4413497</v>
      </c>
      <c r="H2407" s="8" t="str">
        <f aca="false">IFERROR(INDEX('TRANS'!$C:$C,MATCH($B2407,'TRANS'!$A:$A,0)),IFERROR(INDEX('Catalog'!$B:$B,MATCH($G2407,'Catalog'!$A:$A,0)),$B2407))</f>
        <v>45B M מגן ברך שחור</v>
      </c>
      <c r="I2407" s="8" t="str">
        <f aca="false">IF($G2407="","Unmatched","Matched")</f>
        <v>Matched</v>
      </c>
      <c r="J2407" s="8" t="n">
        <f aca="false">IF($G2407&lt;&gt;"",$G2407,$B2407)</f>
        <v>4413497</v>
      </c>
      <c r="K2407" s="8" t="str">
        <f aca="false">IF(COUNTIF($M$1:$M$10,$A2407)&gt;0,"Y","N")</f>
        <v>Y</v>
      </c>
    </row>
    <row r="2408" customFormat="false" ht="15" hidden="false" customHeight="true" outlineLevel="0" collapsed="false">
      <c r="A2408" s="8" t="s">
        <v>42</v>
      </c>
      <c r="B2408" s="8" t="s">
        <v>801</v>
      </c>
      <c r="C2408" s="19" t="n">
        <v>9</v>
      </c>
      <c r="D2408" s="19" t="n">
        <v>457.96</v>
      </c>
      <c r="E2408" s="19" t="n">
        <v>4</v>
      </c>
      <c r="F2408" s="19" t="n">
        <v>212.23</v>
      </c>
      <c r="G2408" s="8" t="n">
        <f aca="false">IFERROR(INDEX('TRANS'!$B:$B,MATCH($B2408,'TRANS'!$A:$A,0)),IFERROR(INDEX('TRANS'!$B:$B,MATCH(TRIM(SUBSTITUTE($B2408,CHAR(160)," ")),'TRANS'!$D:$D,0)),IFERROR(INDEX('Catalog'!$A:$A,MATCH($B2408,'Catalog'!$B:$B,0)),IFERROR(INDEX('Catalog'!$A:$A,MATCH(TRIM(SUBSTITUTE($B2408,CHAR(160)," ")),'Catalog'!$C:$C,0)),""))))</f>
        <v>4413498</v>
      </c>
      <c r="H2408" s="8" t="str">
        <f aca="false">IFERROR(INDEX('TRANS'!$C:$C,MATCH($B2408,'TRANS'!$A:$A,0)),IFERROR(INDEX('Catalog'!$B:$B,MATCH($G2408,'Catalog'!$A:$A,0)),$B2408))</f>
        <v>45B S מגן ברך שחור</v>
      </c>
      <c r="I2408" s="8" t="str">
        <f aca="false">IF($G2408="","Unmatched","Matched")</f>
        <v>Matched</v>
      </c>
      <c r="J2408" s="8" t="n">
        <f aca="false">IF($G2408&lt;&gt;"",$G2408,$B2408)</f>
        <v>4413498</v>
      </c>
      <c r="K2408" s="8" t="str">
        <f aca="false">IF(COUNTIF($M$1:$M$10,$A2408)&gt;0,"Y","N")</f>
        <v>Y</v>
      </c>
    </row>
    <row r="2409" customFormat="false" ht="15" hidden="false" customHeight="true" outlineLevel="0" collapsed="false">
      <c r="A2409" s="8" t="s">
        <v>42</v>
      </c>
      <c r="B2409" s="8" t="s">
        <v>802</v>
      </c>
      <c r="C2409" s="19" t="n">
        <v>10</v>
      </c>
      <c r="D2409" s="19" t="n">
        <v>505.43</v>
      </c>
      <c r="E2409" s="19" t="n">
        <v>7</v>
      </c>
      <c r="F2409" s="19" t="n">
        <v>379.77</v>
      </c>
      <c r="G2409" s="8" t="n">
        <f aca="false">IFERROR(INDEX('TRANS'!$B:$B,MATCH($B2409,'TRANS'!$A:$A,0)),IFERROR(INDEX('TRANS'!$B:$B,MATCH(TRIM(SUBSTITUTE($B2409,CHAR(160)," ")),'TRANS'!$D:$D,0)),IFERROR(INDEX('Catalog'!$A:$A,MATCH($B2409,'Catalog'!$B:$B,0)),IFERROR(INDEX('Catalog'!$A:$A,MATCH(TRIM(SUBSTITUTE($B2409,CHAR(160)," ")),'Catalog'!$C:$C,0)),""))))</f>
        <v>4413496</v>
      </c>
      <c r="H2409" s="8" t="str">
        <f aca="false">IFERROR(INDEX('TRANS'!$C:$C,MATCH($B2409,'TRANS'!$A:$A,0)),IFERROR(INDEX('Catalog'!$B:$B,MATCH($G2409,'Catalog'!$A:$A,0)),$B2409))</f>
        <v>45B XL מגן ברך שחור</v>
      </c>
      <c r="I2409" s="8" t="str">
        <f aca="false">IF($G2409="","Unmatched","Matched")</f>
        <v>Matched</v>
      </c>
      <c r="J2409" s="8" t="n">
        <f aca="false">IF($G2409&lt;&gt;"",$G2409,$B2409)</f>
        <v>4413496</v>
      </c>
      <c r="K2409" s="8" t="str">
        <f aca="false">IF(COUNTIF($M$1:$M$10,$A2409)&gt;0,"Y","N")</f>
        <v>Y</v>
      </c>
    </row>
    <row r="2410" customFormat="false" ht="15" hidden="false" customHeight="true" outlineLevel="0" collapsed="false">
      <c r="A2410" s="8" t="s">
        <v>42</v>
      </c>
      <c r="B2410" s="8" t="s">
        <v>803</v>
      </c>
      <c r="C2410" s="19" t="n">
        <v>12</v>
      </c>
      <c r="D2410" s="19" t="n">
        <v>608.76</v>
      </c>
      <c r="E2410" s="19" t="n">
        <v>11</v>
      </c>
      <c r="F2410" s="19" t="n">
        <v>586.42</v>
      </c>
      <c r="G2410" s="8" t="n">
        <f aca="false">IFERROR(INDEX('TRANS'!$B:$B,MATCH($B2410,'TRANS'!$A:$A,0)),IFERROR(INDEX('TRANS'!$B:$B,MATCH(TRIM(SUBSTITUTE($B2410,CHAR(160)," ")),'TRANS'!$D:$D,0)),IFERROR(INDEX('Catalog'!$A:$A,MATCH($B2410,'Catalog'!$B:$B,0)),IFERROR(INDEX('Catalog'!$A:$A,MATCH(TRIM(SUBSTITUTE($B2410,CHAR(160)," ")),'Catalog'!$C:$C,0)),""))))</f>
        <v>4413499</v>
      </c>
      <c r="H2410" s="8" t="str">
        <f aca="false">IFERROR(INDEX('TRANS'!$C:$C,MATCH($B2410,'TRANS'!$A:$A,0)),IFERROR(INDEX('Catalog'!$B:$B,MATCH($G2410,'Catalog'!$A:$A,0)),$B2410))</f>
        <v>45B XXLמגן ברך שחור</v>
      </c>
      <c r="I2410" s="8" t="str">
        <f aca="false">IF($G2410="","Unmatched","Matched")</f>
        <v>Matched</v>
      </c>
      <c r="J2410" s="8" t="n">
        <f aca="false">IF($G2410&lt;&gt;"",$G2410,$B2410)</f>
        <v>4413499</v>
      </c>
      <c r="K2410" s="8" t="str">
        <f aca="false">IF(COUNTIF($M$1:$M$10,$A2410)&gt;0,"Y","N")</f>
        <v>Y</v>
      </c>
    </row>
    <row r="2411" customFormat="false" ht="15" hidden="false" customHeight="true" outlineLevel="0" collapsed="false">
      <c r="A2411" s="8" t="s">
        <v>42</v>
      </c>
      <c r="B2411" s="8" t="s">
        <v>677</v>
      </c>
      <c r="C2411" s="19" t="n">
        <v>10</v>
      </c>
      <c r="D2411" s="19" t="n">
        <v>531.92</v>
      </c>
      <c r="E2411" s="19" t="n">
        <v>8</v>
      </c>
      <c r="F2411" s="19" t="n">
        <v>435.62</v>
      </c>
      <c r="G2411" s="8" t="n">
        <f aca="false">IFERROR(INDEX('TRANS'!$B:$B,MATCH($B2411,'TRANS'!$A:$A,0)),IFERROR(INDEX('TRANS'!$B:$B,MATCH(TRIM(SUBSTITUTE($B2411,CHAR(160)," ")),'TRANS'!$D:$D,0)),IFERROR(INDEX('Catalog'!$A:$A,MATCH($B2411,'Catalog'!$B:$B,0)),IFERROR(INDEX('Catalog'!$A:$A,MATCH(TRIM(SUBSTITUTE($B2411,CHAR(160)," ")),'Catalog'!$C:$C,0)),""))))</f>
        <v>4413098</v>
      </c>
      <c r="H2411" s="8" t="str">
        <f aca="false">IFERROR(INDEX('TRANS'!$C:$C,MATCH($B2411,'TRANS'!$A:$A,0)),IFERROR(INDEX('Catalog'!$B:$B,MATCH($G2411,'Catalog'!$A:$A,0)),$B2411))</f>
        <v>45C L מגן ברך חום</v>
      </c>
      <c r="I2411" s="8" t="str">
        <f aca="false">IF($G2411="","Unmatched","Matched")</f>
        <v>Matched</v>
      </c>
      <c r="J2411" s="8" t="n">
        <f aca="false">IF($G2411&lt;&gt;"",$G2411,$B2411)</f>
        <v>4413098</v>
      </c>
      <c r="K2411" s="8" t="str">
        <f aca="false">IF(COUNTIF($M$1:$M$10,$A2411)&gt;0,"Y","N")</f>
        <v>Y</v>
      </c>
    </row>
    <row r="2412" customFormat="false" ht="15" hidden="false" customHeight="true" outlineLevel="0" collapsed="false">
      <c r="A2412" s="8" t="s">
        <v>42</v>
      </c>
      <c r="B2412" s="8" t="s">
        <v>678</v>
      </c>
      <c r="C2412" s="19" t="n">
        <v>2</v>
      </c>
      <c r="D2412" s="19" t="n">
        <v>101.62</v>
      </c>
      <c r="E2412" s="19" t="n">
        <v>8</v>
      </c>
      <c r="F2412" s="19" t="n">
        <v>418.87</v>
      </c>
      <c r="G2412" s="8" t="n">
        <f aca="false">IFERROR(INDEX('TRANS'!$B:$B,MATCH($B2412,'TRANS'!$A:$A,0)),IFERROR(INDEX('TRANS'!$B:$B,MATCH(TRIM(SUBSTITUTE($B2412,CHAR(160)," ")),'TRANS'!$D:$D,0)),IFERROR(INDEX('Catalog'!$A:$A,MATCH($B2412,'Catalog'!$B:$B,0)),IFERROR(INDEX('Catalog'!$A:$A,MATCH(TRIM(SUBSTITUTE($B2412,CHAR(160)," ")),'Catalog'!$C:$C,0)),""))))</f>
        <v>4413099</v>
      </c>
      <c r="H2412" s="8" t="str">
        <f aca="false">IFERROR(INDEX('TRANS'!$C:$C,MATCH($B2412,'TRANS'!$A:$A,0)),IFERROR(INDEX('Catalog'!$B:$B,MATCH($G2412,'Catalog'!$A:$A,0)),$B2412))</f>
        <v>45C M מגן ברך חום</v>
      </c>
      <c r="I2412" s="8" t="str">
        <f aca="false">IF($G2412="","Unmatched","Matched")</f>
        <v>Matched</v>
      </c>
      <c r="J2412" s="8" t="n">
        <f aca="false">IF($G2412&lt;&gt;"",$G2412,$B2412)</f>
        <v>4413099</v>
      </c>
      <c r="K2412" s="8" t="str">
        <f aca="false">IF(COUNTIF($M$1:$M$10,$A2412)&gt;0,"Y","N")</f>
        <v>Y</v>
      </c>
    </row>
    <row r="2413" customFormat="false" ht="15" hidden="false" customHeight="true" outlineLevel="0" collapsed="false">
      <c r="A2413" s="8" t="s">
        <v>42</v>
      </c>
      <c r="B2413" s="8" t="s">
        <v>679</v>
      </c>
      <c r="C2413" s="19" t="n">
        <v>4</v>
      </c>
      <c r="D2413" s="19" t="n">
        <v>192.68</v>
      </c>
      <c r="E2413" s="19" t="n">
        <v>4</v>
      </c>
      <c r="F2413" s="19" t="n">
        <v>217.81</v>
      </c>
      <c r="G2413" s="8" t="n">
        <f aca="false">IFERROR(INDEX('TRANS'!$B:$B,MATCH($B2413,'TRANS'!$A:$A,0)),IFERROR(INDEX('TRANS'!$B:$B,MATCH(TRIM(SUBSTITUTE($B2413,CHAR(160)," ")),'TRANS'!$D:$D,0)),IFERROR(INDEX('Catalog'!$A:$A,MATCH($B2413,'Catalog'!$B:$B,0)),IFERROR(INDEX('Catalog'!$A:$A,MATCH(TRIM(SUBSTITUTE($B2413,CHAR(160)," ")),'Catalog'!$C:$C,0)),""))))</f>
        <v>4413097</v>
      </c>
      <c r="H2413" s="8" t="str">
        <f aca="false">IFERROR(INDEX('TRANS'!$C:$C,MATCH($B2413,'TRANS'!$A:$A,0)),IFERROR(INDEX('Catalog'!$B:$B,MATCH($G2413,'Catalog'!$A:$A,0)),$B2413))</f>
        <v>45C S מגן ברך חום</v>
      </c>
      <c r="I2413" s="8" t="str">
        <f aca="false">IF($G2413="","Unmatched","Matched")</f>
        <v>Matched</v>
      </c>
      <c r="J2413" s="8" t="n">
        <f aca="false">IF($G2413&lt;&gt;"",$G2413,$B2413)</f>
        <v>4413097</v>
      </c>
      <c r="K2413" s="8" t="str">
        <f aca="false">IF(COUNTIF($M$1:$M$10,$A2413)&gt;0,"Y","N")</f>
        <v>Y</v>
      </c>
    </row>
    <row r="2414" customFormat="false" ht="15" hidden="false" customHeight="true" outlineLevel="0" collapsed="false">
      <c r="A2414" s="8" t="s">
        <v>42</v>
      </c>
      <c r="B2414" s="8" t="s">
        <v>680</v>
      </c>
      <c r="C2414" s="19" t="n">
        <v>2</v>
      </c>
      <c r="D2414" s="19" t="n">
        <v>111.7</v>
      </c>
      <c r="E2414" s="19" t="n">
        <v>2</v>
      </c>
      <c r="F2414" s="19" t="n">
        <v>111.69</v>
      </c>
      <c r="G2414" s="8" t="n">
        <f aca="false">IFERROR(INDEX('TRANS'!$B:$B,MATCH($B2414,'TRANS'!$A:$A,0)),IFERROR(INDEX('TRANS'!$B:$B,MATCH(TRIM(SUBSTITUTE($B2414,CHAR(160)," ")),'TRANS'!$D:$D,0)),IFERROR(INDEX('Catalog'!$A:$A,MATCH($B2414,'Catalog'!$B:$B,0)),IFERROR(INDEX('Catalog'!$A:$A,MATCH(TRIM(SUBSTITUTE($B2414,CHAR(160)," ")),'Catalog'!$C:$C,0)),""))))</f>
        <v>4413100</v>
      </c>
      <c r="H2414" s="8" t="str">
        <f aca="false">IFERROR(INDEX('TRANS'!$C:$C,MATCH($B2414,'TRANS'!$A:$A,0)),IFERROR(INDEX('Catalog'!$B:$B,MATCH($G2414,'Catalog'!$A:$A,0)),$B2414))</f>
        <v>45C XL מגן ברך חום</v>
      </c>
      <c r="I2414" s="8" t="str">
        <f aca="false">IF($G2414="","Unmatched","Matched")</f>
        <v>Matched</v>
      </c>
      <c r="J2414" s="8" t="n">
        <f aca="false">IF($G2414&lt;&gt;"",$G2414,$B2414)</f>
        <v>4413100</v>
      </c>
      <c r="K2414" s="8" t="str">
        <f aca="false">IF(COUNTIF($M$1:$M$10,$A2414)&gt;0,"Y","N")</f>
        <v>Y</v>
      </c>
    </row>
    <row r="2415" customFormat="false" ht="15" hidden="false" customHeight="true" outlineLevel="0" collapsed="false">
      <c r="A2415" s="8" t="s">
        <v>42</v>
      </c>
      <c r="B2415" s="8" t="s">
        <v>265</v>
      </c>
      <c r="C2415" s="19" t="n">
        <v>3</v>
      </c>
      <c r="D2415" s="19" t="n">
        <v>139.63</v>
      </c>
      <c r="E2415" s="19" t="n">
        <v>2</v>
      </c>
      <c r="F2415" s="19" t="n">
        <v>106.11</v>
      </c>
      <c r="G2415" s="8" t="str">
        <f aca="false">IFERROR(INDEX('TRANS'!$B:$B,MATCH($B2415,'TRANS'!$A:$A,0)),IFERROR(INDEX('TRANS'!$B:$B,MATCH(TRIM(SUBSTITUTE($B2415,CHAR(160)," ")),'TRANS'!$D:$D,0)),IFERROR(INDEX('Catalog'!$A:$A,MATCH($B2415,'Catalog'!$B:$B,0)),IFERROR(INDEX('Catalog'!$A:$A,MATCH(TRIM(SUBSTITUTE($B2415,CHAR(160)," ")),'Catalog'!$C:$C,0)),""))))</f>
        <v/>
      </c>
      <c r="H2415" s="8" t="str">
        <f aca="false">IFERROR(INDEX('TRANS'!$C:$C,MATCH($B2415,'TRANS'!$A:$A,0)),IFERROR(INDEX('Catalog'!$B:$B,MATCH($G2415,'Catalog'!$A:$A,0)),$B2415))</f>
        <v>45C XS</v>
      </c>
      <c r="I2415" s="8" t="str">
        <f aca="false">IF($G2415="","Unmatched","Matched")</f>
        <v>Unmatched</v>
      </c>
      <c r="J2415" s="8" t="str">
        <f aca="false">IF($G2415&lt;&gt;"",$G2415,$B2415)</f>
        <v>45C XS</v>
      </c>
      <c r="K2415" s="8" t="str">
        <f aca="false">IF(COUNTIF($M$1:$M$10,$A2415)&gt;0,"Y","N")</f>
        <v>Y</v>
      </c>
    </row>
    <row r="2416" customFormat="false" ht="15" hidden="false" customHeight="true" outlineLevel="0" collapsed="false">
      <c r="A2416" s="8" t="s">
        <v>42</v>
      </c>
      <c r="B2416" s="8" t="s">
        <v>84</v>
      </c>
      <c r="C2416" s="19" t="n">
        <v>14</v>
      </c>
      <c r="D2416" s="19" t="n">
        <v>693.62</v>
      </c>
      <c r="E2416" s="19" t="n">
        <v>15</v>
      </c>
      <c r="F2416" s="19" t="n">
        <v>832.15</v>
      </c>
      <c r="G2416" s="8" t="str">
        <f aca="false">IFERROR(INDEX('TRANS'!$B:$B,MATCH($B2416,'TRANS'!$A:$A,0)),IFERROR(INDEX('TRANS'!$B:$B,MATCH(TRIM(SUBSTITUTE($B2416,CHAR(160)," ")),'TRANS'!$D:$D,0)),IFERROR(INDEX('Catalog'!$A:$A,MATCH($B2416,'Catalog'!$B:$B,0)),IFERROR(INDEX('Catalog'!$A:$A,MATCH(TRIM(SUBSTITUTE($B2416,CHAR(160)," ")),'Catalog'!$C:$C,0)),""))))</f>
        <v/>
      </c>
      <c r="H2416" s="8" t="str">
        <f aca="false">IFERROR(INDEX('TRANS'!$C:$C,MATCH($B2416,'TRANS'!$A:$A,0)),IFERROR(INDEX('Catalog'!$B:$B,MATCH($G2416,'Catalog'!$A:$A,0)),$B2416))</f>
        <v>45C XXL</v>
      </c>
      <c r="I2416" s="8" t="str">
        <f aca="false">IF($G2416="","Unmatched","Matched")</f>
        <v>Unmatched</v>
      </c>
      <c r="J2416" s="8" t="str">
        <f aca="false">IF($G2416&lt;&gt;"",$G2416,$B2416)</f>
        <v>45C XXL</v>
      </c>
      <c r="K2416" s="8" t="str">
        <f aca="false">IF(COUNTIF($M$1:$M$10,$A2416)&gt;0,"Y","N")</f>
        <v>Y</v>
      </c>
    </row>
    <row r="2417" customFormat="false" ht="15" hidden="false" customHeight="true" outlineLevel="0" collapsed="false">
      <c r="A2417" s="8" t="s">
        <v>42</v>
      </c>
      <c r="B2417" s="8" t="s">
        <v>804</v>
      </c>
      <c r="C2417" s="19" t="n">
        <v>8</v>
      </c>
      <c r="D2417" s="19" t="n">
        <v>521.37</v>
      </c>
      <c r="E2417" s="19" t="n">
        <v>6</v>
      </c>
      <c r="F2417" s="19" t="n">
        <v>396.12</v>
      </c>
      <c r="G2417" s="8" t="n">
        <f aca="false">IFERROR(INDEX('TRANS'!$B:$B,MATCH($B2417,'TRANS'!$A:$A,0)),IFERROR(INDEX('TRANS'!$B:$B,MATCH(TRIM(SUBSTITUTE($B2417,CHAR(160)," ")),'TRANS'!$D:$D,0)),IFERROR(INDEX('Catalog'!$A:$A,MATCH($B2417,'Catalog'!$B:$B,0)),IFERROR(INDEX('Catalog'!$A:$A,MATCH(TRIM(SUBSTITUTE($B2417,CHAR(160)," ")),'Catalog'!$C:$C,0)),""))))</f>
        <v>4413102</v>
      </c>
      <c r="H2417" s="8" t="str">
        <f aca="false">IFERROR(INDEX('TRANS'!$C:$C,MATCH($B2417,'TRANS'!$A:$A,0)),IFERROR(INDEX('Catalog'!$B:$B,MATCH($G2417,'Catalog'!$A:$A,0)),$B2417))</f>
        <v>45E  L        מגן ברך ארוך לבן</v>
      </c>
      <c r="I2417" s="8" t="str">
        <f aca="false">IF($G2417="","Unmatched","Matched")</f>
        <v>Matched</v>
      </c>
      <c r="J2417" s="8" t="n">
        <f aca="false">IF($G2417&lt;&gt;"",$G2417,$B2417)</f>
        <v>4413102</v>
      </c>
      <c r="K2417" s="8" t="str">
        <f aca="false">IF(COUNTIF($M$1:$M$10,$A2417)&gt;0,"Y","N")</f>
        <v>Y</v>
      </c>
    </row>
    <row r="2418" customFormat="false" ht="15" hidden="false" customHeight="true" outlineLevel="0" collapsed="false">
      <c r="A2418" s="8" t="s">
        <v>42</v>
      </c>
      <c r="B2418" s="8" t="s">
        <v>805</v>
      </c>
      <c r="C2418" s="19" t="n">
        <v>3</v>
      </c>
      <c r="D2418" s="19" t="n">
        <v>166.69</v>
      </c>
      <c r="E2418" s="19" t="n">
        <v>1</v>
      </c>
      <c r="F2418" s="19" t="n">
        <v>60.95</v>
      </c>
      <c r="G2418" s="8" t="n">
        <f aca="false">IFERROR(INDEX('TRANS'!$B:$B,MATCH($B2418,'TRANS'!$A:$A,0)),IFERROR(INDEX('TRANS'!$B:$B,MATCH(TRIM(SUBSTITUTE($B2418,CHAR(160)," ")),'TRANS'!$D:$D,0)),IFERROR(INDEX('Catalog'!$A:$A,MATCH($B2418,'Catalog'!$B:$B,0)),IFERROR(INDEX('Catalog'!$A:$A,MATCH(TRIM(SUBSTITUTE($B2418,CHAR(160)," ")),'Catalog'!$C:$C,0)),""))))</f>
        <v>4413103</v>
      </c>
      <c r="H2418" s="8" t="str">
        <f aca="false">IFERROR(INDEX('TRANS'!$C:$C,MATCH($B2418,'TRANS'!$A:$A,0)),IFERROR(INDEX('Catalog'!$B:$B,MATCH($G2418,'Catalog'!$A:$A,0)),$B2418))</f>
        <v>45E Mמגן ברך ארוך לבן</v>
      </c>
      <c r="I2418" s="8" t="str">
        <f aca="false">IF($G2418="","Unmatched","Matched")</f>
        <v>Matched</v>
      </c>
      <c r="J2418" s="8" t="n">
        <f aca="false">IF($G2418&lt;&gt;"",$G2418,$B2418)</f>
        <v>4413103</v>
      </c>
      <c r="K2418" s="8" t="str">
        <f aca="false">IF(COUNTIF($M$1:$M$10,$A2418)&gt;0,"Y","N")</f>
        <v>Y</v>
      </c>
    </row>
    <row r="2419" customFormat="false" ht="15" hidden="false" customHeight="true" outlineLevel="0" collapsed="false">
      <c r="A2419" s="8" t="s">
        <v>42</v>
      </c>
      <c r="B2419" s="8" t="s">
        <v>806</v>
      </c>
      <c r="C2419" s="19" t="n">
        <v>2</v>
      </c>
      <c r="D2419" s="19" t="n">
        <v>108.34</v>
      </c>
      <c r="E2419" s="19" t="n">
        <v>3</v>
      </c>
      <c r="F2419" s="19" t="n">
        <v>196.36</v>
      </c>
      <c r="G2419" s="8" t="n">
        <f aca="false">IFERROR(INDEX('TRANS'!$B:$B,MATCH($B2419,'TRANS'!$A:$A,0)),IFERROR(INDEX('TRANS'!$B:$B,MATCH(TRIM(SUBSTITUTE($B2419,CHAR(160)," ")),'TRANS'!$D:$D,0)),IFERROR(INDEX('Catalog'!$A:$A,MATCH($B2419,'Catalog'!$B:$B,0)),IFERROR(INDEX('Catalog'!$A:$A,MATCH(TRIM(SUBSTITUTE($B2419,CHAR(160)," ")),'Catalog'!$C:$C,0)),""))))</f>
        <v>4413101</v>
      </c>
      <c r="H2419" s="8" t="str">
        <f aca="false">IFERROR(INDEX('TRANS'!$C:$C,MATCH($B2419,'TRANS'!$A:$A,0)),IFERROR(INDEX('Catalog'!$B:$B,MATCH($G2419,'Catalog'!$A:$A,0)),$B2419))</f>
        <v>45E Sמגן ברך ארוך לבן</v>
      </c>
      <c r="I2419" s="8" t="str">
        <f aca="false">IF($G2419="","Unmatched","Matched")</f>
        <v>Matched</v>
      </c>
      <c r="J2419" s="8" t="n">
        <f aca="false">IF($G2419&lt;&gt;"",$G2419,$B2419)</f>
        <v>4413101</v>
      </c>
      <c r="K2419" s="8" t="str">
        <f aca="false">IF(COUNTIF($M$1:$M$10,$A2419)&gt;0,"Y","N")</f>
        <v>Y</v>
      </c>
    </row>
    <row r="2420" customFormat="false" ht="15" hidden="false" customHeight="true" outlineLevel="0" collapsed="false">
      <c r="A2420" s="8" t="s">
        <v>42</v>
      </c>
      <c r="B2420" s="8" t="s">
        <v>681</v>
      </c>
      <c r="C2420" s="19" t="n">
        <v>6</v>
      </c>
      <c r="D2420" s="19" t="n">
        <v>363.1</v>
      </c>
      <c r="E2420" s="19" t="n">
        <v>5</v>
      </c>
      <c r="F2420" s="19" t="n">
        <v>331.78</v>
      </c>
      <c r="G2420" s="8" t="n">
        <f aca="false">IFERROR(INDEX('TRANS'!$B:$B,MATCH($B2420,'TRANS'!$A:$A,0)),IFERROR(INDEX('TRANS'!$B:$B,MATCH(TRIM(SUBSTITUTE($B2420,CHAR(160)," ")),'TRANS'!$D:$D,0)),IFERROR(INDEX('Catalog'!$A:$A,MATCH($B2420,'Catalog'!$B:$B,0)),IFERROR(INDEX('Catalog'!$A:$A,MATCH(TRIM(SUBSTITUTE($B2420,CHAR(160)," ")),'Catalog'!$C:$C,0)),""))))</f>
        <v>4413104</v>
      </c>
      <c r="H2420" s="8" t="str">
        <f aca="false">IFERROR(INDEX('TRANS'!$C:$C,MATCH($B2420,'TRANS'!$A:$A,0)),IFERROR(INDEX('Catalog'!$B:$B,MATCH($G2420,'Catalog'!$A:$A,0)),$B2420))</f>
        <v>45E XLמגן ברך ארוך לבן</v>
      </c>
      <c r="I2420" s="8" t="str">
        <f aca="false">IF($G2420="","Unmatched","Matched")</f>
        <v>Matched</v>
      </c>
      <c r="J2420" s="8" t="n">
        <f aca="false">IF($G2420&lt;&gt;"",$G2420,$B2420)</f>
        <v>4413104</v>
      </c>
      <c r="K2420" s="8" t="str">
        <f aca="false">IF(COUNTIF($M$1:$M$10,$A2420)&gt;0,"Y","N")</f>
        <v>Y</v>
      </c>
    </row>
    <row r="2421" customFormat="false" ht="15" hidden="false" customHeight="true" outlineLevel="0" collapsed="false">
      <c r="A2421" s="8" t="s">
        <v>42</v>
      </c>
      <c r="B2421" s="8" t="s">
        <v>682</v>
      </c>
      <c r="C2421" s="19" t="n">
        <v>11</v>
      </c>
      <c r="D2421" s="19" t="n">
        <v>683.03</v>
      </c>
      <c r="E2421" s="19" t="n">
        <v>13</v>
      </c>
      <c r="F2421" s="19" t="n">
        <v>856.55</v>
      </c>
      <c r="G2421" s="8" t="n">
        <f aca="false">IFERROR(INDEX('TRANS'!$B:$B,MATCH($B2421,'TRANS'!$A:$A,0)),IFERROR(INDEX('TRANS'!$B:$B,MATCH(TRIM(SUBSTITUTE($B2421,CHAR(160)," ")),'TRANS'!$D:$D,0)),IFERROR(INDEX('Catalog'!$A:$A,MATCH($B2421,'Catalog'!$B:$B,0)),IFERROR(INDEX('Catalog'!$A:$A,MATCH(TRIM(SUBSTITUTE($B2421,CHAR(160)," ")),'Catalog'!$C:$C,0)),""))))</f>
        <v>4413105</v>
      </c>
      <c r="H2421" s="8" t="str">
        <f aca="false">IFERROR(INDEX('TRANS'!$C:$C,MATCH($B2421,'TRANS'!$A:$A,0)),IFERROR(INDEX('Catalog'!$B:$B,MATCH($G2421,'Catalog'!$A:$A,0)),$B2421))</f>
        <v>45E XXLמגן ברך ארוך לבן</v>
      </c>
      <c r="I2421" s="8" t="str">
        <f aca="false">IF($G2421="","Unmatched","Matched")</f>
        <v>Matched</v>
      </c>
      <c r="J2421" s="8" t="n">
        <f aca="false">IF($G2421&lt;&gt;"",$G2421,$B2421)</f>
        <v>4413105</v>
      </c>
      <c r="K2421" s="8" t="str">
        <f aca="false">IF(COUNTIF($M$1:$M$10,$A2421)&gt;0,"Y","N")</f>
        <v>Y</v>
      </c>
    </row>
    <row r="2422" customFormat="false" ht="15" hidden="false" customHeight="true" outlineLevel="0" collapsed="false">
      <c r="A2422" s="8" t="s">
        <v>42</v>
      </c>
      <c r="B2422" s="8" t="s">
        <v>683</v>
      </c>
      <c r="C2422" s="19" t="n">
        <v>1</v>
      </c>
      <c r="D2422" s="19" t="n">
        <v>54.17</v>
      </c>
      <c r="E2422" s="19" t="n">
        <v>7</v>
      </c>
      <c r="F2422" s="19" t="n">
        <v>460.43</v>
      </c>
      <c r="G2422" s="8" t="n">
        <f aca="false">IFERROR(INDEX('TRANS'!$B:$B,MATCH($B2422,'TRANS'!$A:$A,0)),IFERROR(INDEX('TRANS'!$B:$B,MATCH(TRIM(SUBSTITUTE($B2422,CHAR(160)," ")),'TRANS'!$D:$D,0)),IFERROR(INDEX('Catalog'!$A:$A,MATCH($B2422,'Catalog'!$B:$B,0)),IFERROR(INDEX('Catalog'!$A:$A,MATCH(TRIM(SUBSTITUTE($B2422,CHAR(160)," ")),'Catalog'!$C:$C,0)),""))))</f>
        <v>4413396</v>
      </c>
      <c r="H2422" s="8" t="str">
        <f aca="false">IFERROR(INDEX('TRANS'!$C:$C,MATCH($B2422,'TRANS'!$A:$A,0)),IFERROR(INDEX('Catalog'!$B:$B,MATCH($G2422,'Catalog'!$A:$A,0)),$B2422))</f>
        <v>45EC L 'מגן ברך ארוך בז</v>
      </c>
      <c r="I2422" s="8" t="str">
        <f aca="false">IF($G2422="","Unmatched","Matched")</f>
        <v>Matched</v>
      </c>
      <c r="J2422" s="8" t="n">
        <f aca="false">IF($G2422&lt;&gt;"",$G2422,$B2422)</f>
        <v>4413396</v>
      </c>
      <c r="K2422" s="8" t="str">
        <f aca="false">IF(COUNTIF($M$1:$M$10,$A2422)&gt;0,"Y","N")</f>
        <v>Y</v>
      </c>
    </row>
    <row r="2423" customFormat="false" ht="15" hidden="false" customHeight="true" outlineLevel="0" collapsed="false">
      <c r="A2423" s="8" t="s">
        <v>42</v>
      </c>
      <c r="B2423" s="8" t="s">
        <v>684</v>
      </c>
      <c r="C2423" s="19" t="n">
        <v>9</v>
      </c>
      <c r="D2423" s="19" t="n">
        <v>582.31</v>
      </c>
      <c r="E2423" s="19" t="n">
        <v>14</v>
      </c>
      <c r="F2423" s="19" t="n">
        <v>914.1</v>
      </c>
      <c r="G2423" s="8" t="n">
        <f aca="false">IFERROR(INDEX('TRANS'!$B:$B,MATCH($B2423,'TRANS'!$A:$A,0)),IFERROR(INDEX('TRANS'!$B:$B,MATCH(TRIM(SUBSTITUTE($B2423,CHAR(160)," ")),'TRANS'!$D:$D,0)),IFERROR(INDEX('Catalog'!$A:$A,MATCH($B2423,'Catalog'!$B:$B,0)),IFERROR(INDEX('Catalog'!$A:$A,MATCH(TRIM(SUBSTITUTE($B2423,CHAR(160)," ")),'Catalog'!$C:$C,0)),""))))</f>
        <v>4413395</v>
      </c>
      <c r="H2423" s="8" t="str">
        <f aca="false">IFERROR(INDEX('TRANS'!$C:$C,MATCH($B2423,'TRANS'!$A:$A,0)),IFERROR(INDEX('Catalog'!$B:$B,MATCH($G2423,'Catalog'!$A:$A,0)),$B2423))</f>
        <v>45EC M 'מגן ברך ארוך בז</v>
      </c>
      <c r="I2423" s="8" t="str">
        <f aca="false">IF($G2423="","Unmatched","Matched")</f>
        <v>Matched</v>
      </c>
      <c r="J2423" s="8" t="n">
        <f aca="false">IF($G2423&lt;&gt;"",$G2423,$B2423)</f>
        <v>4413395</v>
      </c>
      <c r="K2423" s="8" t="str">
        <f aca="false">IF(COUNTIF($M$1:$M$10,$A2423)&gt;0,"Y","N")</f>
        <v>Y</v>
      </c>
    </row>
    <row r="2424" customFormat="false" ht="15" hidden="false" customHeight="true" outlineLevel="0" collapsed="false">
      <c r="A2424" s="8" t="s">
        <v>42</v>
      </c>
      <c r="B2424" s="8" t="s">
        <v>807</v>
      </c>
      <c r="C2424" s="19" t="n">
        <v>2</v>
      </c>
      <c r="D2424" s="19" t="n">
        <v>135.42</v>
      </c>
      <c r="E2424" s="19" t="n">
        <v>1</v>
      </c>
      <c r="F2424" s="19" t="n">
        <v>60.94</v>
      </c>
      <c r="G2424" s="8" t="n">
        <f aca="false">IFERROR(INDEX('TRANS'!$B:$B,MATCH($B2424,'TRANS'!$A:$A,0)),IFERROR(INDEX('TRANS'!$B:$B,MATCH(TRIM(SUBSTITUTE($B2424,CHAR(160)," ")),'TRANS'!$D:$D,0)),IFERROR(INDEX('Catalog'!$A:$A,MATCH($B2424,'Catalog'!$B:$B,0)),IFERROR(INDEX('Catalog'!$A:$A,MATCH(TRIM(SUBSTITUTE($B2424,CHAR(160)," ")),'Catalog'!$C:$C,0)),""))))</f>
        <v>4413394</v>
      </c>
      <c r="H2424" s="8" t="str">
        <f aca="false">IFERROR(INDEX('TRANS'!$C:$C,MATCH($B2424,'TRANS'!$A:$A,0)),IFERROR(INDEX('Catalog'!$B:$B,MATCH($G2424,'Catalog'!$A:$A,0)),$B2424))</f>
        <v>45EC S 'מגן ברך ארוך בז</v>
      </c>
      <c r="I2424" s="8" t="str">
        <f aca="false">IF($G2424="","Unmatched","Matched")</f>
        <v>Matched</v>
      </c>
      <c r="J2424" s="8" t="n">
        <f aca="false">IF($G2424&lt;&gt;"",$G2424,$B2424)</f>
        <v>4413394</v>
      </c>
      <c r="K2424" s="8" t="str">
        <f aca="false">IF(COUNTIF($M$1:$M$10,$A2424)&gt;0,"Y","N")</f>
        <v>Y</v>
      </c>
    </row>
    <row r="2425" customFormat="false" ht="15" hidden="false" customHeight="true" outlineLevel="0" collapsed="false">
      <c r="A2425" s="8" t="s">
        <v>42</v>
      </c>
      <c r="B2425" s="8" t="s">
        <v>685</v>
      </c>
      <c r="C2425" s="19" t="n">
        <v>0</v>
      </c>
      <c r="D2425" s="19" t="n">
        <v>0</v>
      </c>
      <c r="E2425" s="19" t="n">
        <v>2</v>
      </c>
      <c r="F2425" s="19" t="n">
        <v>128.65</v>
      </c>
      <c r="G2425" s="8" t="n">
        <f aca="false">IFERROR(INDEX('TRANS'!$B:$B,MATCH($B2425,'TRANS'!$A:$A,0)),IFERROR(INDEX('TRANS'!$B:$B,MATCH(TRIM(SUBSTITUTE($B2425,CHAR(160)," ")),'TRANS'!$D:$D,0)),IFERROR(INDEX('Catalog'!$A:$A,MATCH($B2425,'Catalog'!$B:$B,0)),IFERROR(INDEX('Catalog'!$A:$A,MATCH(TRIM(SUBSTITUTE($B2425,CHAR(160)," ")),'Catalog'!$C:$C,0)),""))))</f>
        <v>4413397</v>
      </c>
      <c r="H2425" s="8" t="str">
        <f aca="false">IFERROR(INDEX('TRANS'!$C:$C,MATCH($B2425,'TRANS'!$A:$A,0)),IFERROR(INDEX('Catalog'!$B:$B,MATCH($G2425,'Catalog'!$A:$A,0)),$B2425))</f>
        <v>45EC XL'מגן ברך ארוך בז</v>
      </c>
      <c r="I2425" s="8" t="str">
        <f aca="false">IF($G2425="","Unmatched","Matched")</f>
        <v>Matched</v>
      </c>
      <c r="J2425" s="8" t="n">
        <f aca="false">IF($G2425&lt;&gt;"",$G2425,$B2425)</f>
        <v>4413397</v>
      </c>
      <c r="K2425" s="8" t="str">
        <f aca="false">IF(COUNTIF($M$1:$M$10,$A2425)&gt;0,"Y","N")</f>
        <v>Y</v>
      </c>
    </row>
    <row r="2426" customFormat="false" ht="15" hidden="false" customHeight="true" outlineLevel="0" collapsed="false">
      <c r="A2426" s="8" t="s">
        <v>42</v>
      </c>
      <c r="B2426" s="8" t="s">
        <v>686</v>
      </c>
      <c r="C2426" s="19" t="n">
        <v>10</v>
      </c>
      <c r="D2426" s="19" t="n">
        <v>594.16</v>
      </c>
      <c r="E2426" s="19" t="n">
        <v>11</v>
      </c>
      <c r="F2426" s="19" t="n">
        <v>724.52</v>
      </c>
      <c r="G2426" s="8" t="n">
        <f aca="false">IFERROR(INDEX('TRANS'!$B:$B,MATCH($B2426,'TRANS'!$A:$A,0)),IFERROR(INDEX('TRANS'!$B:$B,MATCH(TRIM(SUBSTITUTE($B2426,CHAR(160)," ")),'TRANS'!$D:$D,0)),IFERROR(INDEX('Catalog'!$A:$A,MATCH($B2426,'Catalog'!$B:$B,0)),IFERROR(INDEX('Catalog'!$A:$A,MATCH(TRIM(SUBSTITUTE($B2426,CHAR(160)," ")),'Catalog'!$C:$C,0)),""))))</f>
        <v>4413398</v>
      </c>
      <c r="H2426" s="8" t="str">
        <f aca="false">IFERROR(INDEX('TRANS'!$C:$C,MATCH($B2426,'TRANS'!$A:$A,0)),IFERROR(INDEX('Catalog'!$B:$B,MATCH($G2426,'Catalog'!$A:$A,0)),$B2426))</f>
        <v>45EC XXL'מגן ברך ארוך בז</v>
      </c>
      <c r="I2426" s="8" t="str">
        <f aca="false">IF($G2426="","Unmatched","Matched")</f>
        <v>Matched</v>
      </c>
      <c r="J2426" s="8" t="n">
        <f aca="false">IF($G2426&lt;&gt;"",$G2426,$B2426)</f>
        <v>4413398</v>
      </c>
      <c r="K2426" s="8" t="str">
        <f aca="false">IF(COUNTIF($M$1:$M$10,$A2426)&gt;0,"Y","N")</f>
        <v>Y</v>
      </c>
    </row>
    <row r="2427" customFormat="false" ht="15" hidden="false" customHeight="true" outlineLevel="0" collapsed="false">
      <c r="A2427" s="8" t="s">
        <v>42</v>
      </c>
      <c r="B2427" s="8" t="s">
        <v>808</v>
      </c>
      <c r="C2427" s="19" t="n">
        <v>2</v>
      </c>
      <c r="D2427" s="19" t="n">
        <v>189.55</v>
      </c>
      <c r="E2427" s="19" t="n">
        <v>0</v>
      </c>
      <c r="F2427" s="19" t="n">
        <v>-10.25</v>
      </c>
      <c r="G2427" s="8" t="n">
        <f aca="false">IFERROR(INDEX('TRANS'!$B:$B,MATCH($B2427,'TRANS'!$A:$A,0)),IFERROR(INDEX('TRANS'!$B:$B,MATCH(TRIM(SUBSTITUTE($B2427,CHAR(160)," ")),'TRANS'!$D:$D,0)),IFERROR(INDEX('Catalog'!$A:$A,MATCH($B2427,'Catalog'!$B:$B,0)),IFERROR(INDEX('Catalog'!$A:$A,MATCH(TRIM(SUBSTITUTE($B2427,CHAR(160)," ")),'Catalog'!$C:$C,0)),""))))</f>
        <v>4413107</v>
      </c>
      <c r="H2427" s="8" t="str">
        <f aca="false">IFERROR(INDEX('TRANS'!$C:$C,MATCH($B2427,'TRANS'!$A:$A,0)),IFERROR(INDEX('Catalog'!$B:$B,MATCH($G2427,'Catalog'!$A:$A,0)),$B2427))</f>
        <v>48 L מגן ברך מחמם</v>
      </c>
      <c r="I2427" s="8" t="str">
        <f aca="false">IF($G2427="","Unmatched","Matched")</f>
        <v>Matched</v>
      </c>
      <c r="J2427" s="8" t="n">
        <f aca="false">IF($G2427&lt;&gt;"",$G2427,$B2427)</f>
        <v>4413107</v>
      </c>
      <c r="K2427" s="8" t="str">
        <f aca="false">IF(COUNTIF($M$1:$M$10,$A2427)&gt;0,"Y","N")</f>
        <v>Y</v>
      </c>
    </row>
    <row r="2428" customFormat="false" ht="15" hidden="false" customHeight="true" outlineLevel="0" collapsed="false">
      <c r="A2428" s="8" t="s">
        <v>42</v>
      </c>
      <c r="B2428" s="8" t="s">
        <v>911</v>
      </c>
      <c r="C2428" s="19" t="n">
        <v>0</v>
      </c>
      <c r="D2428" s="19" t="n">
        <v>0</v>
      </c>
      <c r="E2428" s="19" t="n">
        <v>2</v>
      </c>
      <c r="F2428" s="19" t="n">
        <v>204.92</v>
      </c>
      <c r="G2428" s="8" t="n">
        <f aca="false">IFERROR(INDEX('TRANS'!$B:$B,MATCH($B2428,'TRANS'!$A:$A,0)),IFERROR(INDEX('TRANS'!$B:$B,MATCH(TRIM(SUBSTITUTE($B2428,CHAR(160)," ")),'TRANS'!$D:$D,0)),IFERROR(INDEX('Catalog'!$A:$A,MATCH($B2428,'Catalog'!$B:$B,0)),IFERROR(INDEX('Catalog'!$A:$A,MATCH(TRIM(SUBSTITUTE($B2428,CHAR(160)," ")),'Catalog'!$C:$C,0)),""))))</f>
        <v>4413108</v>
      </c>
      <c r="H2428" s="8" t="str">
        <f aca="false">IFERROR(INDEX('TRANS'!$C:$C,MATCH($B2428,'TRANS'!$A:$A,0)),IFERROR(INDEX('Catalog'!$B:$B,MATCH($G2428,'Catalog'!$A:$A,0)),$B2428))</f>
        <v>48 M מגן ברך מחמם</v>
      </c>
      <c r="I2428" s="8" t="str">
        <f aca="false">IF($G2428="","Unmatched","Matched")</f>
        <v>Matched</v>
      </c>
      <c r="J2428" s="8" t="n">
        <f aca="false">IF($G2428&lt;&gt;"",$G2428,$B2428)</f>
        <v>4413108</v>
      </c>
      <c r="K2428" s="8" t="str">
        <f aca="false">IF(COUNTIF($M$1:$M$10,$A2428)&gt;0,"Y","N")</f>
        <v>Y</v>
      </c>
    </row>
    <row r="2429" customFormat="false" ht="15" hidden="false" customHeight="true" outlineLevel="0" collapsed="false">
      <c r="A2429" s="8" t="s">
        <v>42</v>
      </c>
      <c r="B2429" s="8" t="s">
        <v>374</v>
      </c>
      <c r="C2429" s="19" t="n">
        <v>4</v>
      </c>
      <c r="D2429" s="19" t="n">
        <v>394.47</v>
      </c>
      <c r="E2429" s="19" t="n">
        <v>1</v>
      </c>
      <c r="F2429" s="19" t="n">
        <v>102.46</v>
      </c>
      <c r="G2429" s="8" t="str">
        <f aca="false">IFERROR(INDEX('TRANS'!$B:$B,MATCH($B2429,'TRANS'!$A:$A,0)),IFERROR(INDEX('TRANS'!$B:$B,MATCH(TRIM(SUBSTITUTE($B2429,CHAR(160)," ")),'TRANS'!$D:$D,0)),IFERROR(INDEX('Catalog'!$A:$A,MATCH($B2429,'Catalog'!$B:$B,0)),IFERROR(INDEX('Catalog'!$A:$A,MATCH(TRIM(SUBSTITUTE($B2429,CHAR(160)," ")),'Catalog'!$C:$C,0)),""))))</f>
        <v/>
      </c>
      <c r="H2429" s="8" t="str">
        <f aca="false">IFERROR(INDEX('TRANS'!$C:$C,MATCH($B2429,'TRANS'!$A:$A,0)),IFERROR(INDEX('Catalog'!$B:$B,MATCH($G2429,'Catalog'!$A:$A,0)),$B2429))</f>
        <v>48 XL</v>
      </c>
      <c r="I2429" s="8" t="str">
        <f aca="false">IF($G2429="","Unmatched","Matched")</f>
        <v>Unmatched</v>
      </c>
      <c r="J2429" s="8" t="str">
        <f aca="false">IF($G2429&lt;&gt;"",$G2429,$B2429)</f>
        <v>48 XL</v>
      </c>
      <c r="K2429" s="8" t="str">
        <f aca="false">IF(COUNTIF($M$1:$M$10,$A2429)&gt;0,"Y","N")</f>
        <v>Y</v>
      </c>
    </row>
    <row r="2430" customFormat="false" ht="15" hidden="false" customHeight="true" outlineLevel="0" collapsed="false">
      <c r="A2430" s="8" t="s">
        <v>42</v>
      </c>
      <c r="B2430" s="8" t="s">
        <v>505</v>
      </c>
      <c r="C2430" s="19" t="n">
        <v>1</v>
      </c>
      <c r="D2430" s="19" t="n">
        <v>87.09</v>
      </c>
      <c r="E2430" s="19" t="n">
        <v>0</v>
      </c>
      <c r="F2430" s="19" t="n">
        <v>0</v>
      </c>
      <c r="G2430" s="8" t="str">
        <f aca="false">IFERROR(INDEX('TRANS'!$B:$B,MATCH($B2430,'TRANS'!$A:$A,0)),IFERROR(INDEX('TRANS'!$B:$B,MATCH(TRIM(SUBSTITUTE($B2430,CHAR(160)," ")),'TRANS'!$D:$D,0)),IFERROR(INDEX('Catalog'!$A:$A,MATCH($B2430,'Catalog'!$B:$B,0)),IFERROR(INDEX('Catalog'!$A:$A,MATCH(TRIM(SUBSTITUTE($B2430,CHAR(160)," ")),'Catalog'!$C:$C,0)),""))))</f>
        <v/>
      </c>
      <c r="H2430" s="8" t="str">
        <f aca="false">IFERROR(INDEX('TRANS'!$C:$C,MATCH($B2430,'TRANS'!$A:$A,0)),IFERROR(INDEX('Catalog'!$B:$B,MATCH($G2430,'Catalog'!$A:$A,0)),$B2430))</f>
        <v>48 XS</v>
      </c>
      <c r="I2430" s="8" t="str">
        <f aca="false">IF($G2430="","Unmatched","Matched")</f>
        <v>Unmatched</v>
      </c>
      <c r="J2430" s="8" t="str">
        <f aca="false">IF($G2430&lt;&gt;"",$G2430,$B2430)</f>
        <v>48 XS</v>
      </c>
      <c r="K2430" s="8" t="str">
        <f aca="false">IF(COUNTIF($M$1:$M$10,$A2430)&gt;0,"Y","N")</f>
        <v>Y</v>
      </c>
    </row>
    <row r="2431" customFormat="false" ht="15" hidden="false" customHeight="true" outlineLevel="0" collapsed="false">
      <c r="A2431" s="8" t="s">
        <v>42</v>
      </c>
      <c r="B2431" s="8" t="s">
        <v>217</v>
      </c>
      <c r="C2431" s="19" t="n">
        <v>4</v>
      </c>
      <c r="D2431" s="19" t="n">
        <v>409.84</v>
      </c>
      <c r="E2431" s="19" t="n">
        <v>4</v>
      </c>
      <c r="F2431" s="19" t="n">
        <v>399.58</v>
      </c>
      <c r="G2431" s="8" t="str">
        <f aca="false">IFERROR(INDEX('TRANS'!$B:$B,MATCH($B2431,'TRANS'!$A:$A,0)),IFERROR(INDEX('TRANS'!$B:$B,MATCH(TRIM(SUBSTITUTE($B2431,CHAR(160)," ")),'TRANS'!$D:$D,0)),IFERROR(INDEX('Catalog'!$A:$A,MATCH($B2431,'Catalog'!$B:$B,0)),IFERROR(INDEX('Catalog'!$A:$A,MATCH(TRIM(SUBSTITUTE($B2431,CHAR(160)," ")),'Catalog'!$C:$C,0)),""))))</f>
        <v/>
      </c>
      <c r="H2431" s="8" t="str">
        <f aca="false">IFERROR(INDEX('TRANS'!$C:$C,MATCH($B2431,'TRANS'!$A:$A,0)),IFERROR(INDEX('Catalog'!$B:$B,MATCH($G2431,'Catalog'!$A:$A,0)),$B2431))</f>
        <v>48 XXL</v>
      </c>
      <c r="I2431" s="8" t="str">
        <f aca="false">IF($G2431="","Unmatched","Matched")</f>
        <v>Unmatched</v>
      </c>
      <c r="J2431" s="8" t="str">
        <f aca="false">IF($G2431&lt;&gt;"",$G2431,$B2431)</f>
        <v>48 XXL</v>
      </c>
      <c r="K2431" s="8" t="str">
        <f aca="false">IF(COUNTIF($M$1:$M$10,$A2431)&gt;0,"Y","N")</f>
        <v>Y</v>
      </c>
    </row>
    <row r="2432" customFormat="false" ht="15" hidden="false" customHeight="true" outlineLevel="0" collapsed="false">
      <c r="A2432" s="8" t="s">
        <v>42</v>
      </c>
      <c r="B2432" s="8" t="s">
        <v>809</v>
      </c>
      <c r="C2432" s="19" t="n">
        <v>7</v>
      </c>
      <c r="D2432" s="19" t="n">
        <v>396.99</v>
      </c>
      <c r="E2432" s="19" t="n">
        <v>5</v>
      </c>
      <c r="F2432" s="19" t="n">
        <v>311.01</v>
      </c>
      <c r="G2432" s="8" t="n">
        <f aca="false">IFERROR(INDEX('TRANS'!$B:$B,MATCH($B2432,'TRANS'!$A:$A,0)),IFERROR(INDEX('TRANS'!$B:$B,MATCH(TRIM(SUBSTITUTE($B2432,CHAR(160)," ")),'TRANS'!$D:$D,0)),IFERROR(INDEX('Catalog'!$A:$A,MATCH($B2432,'Catalog'!$B:$B,0)),IFERROR(INDEX('Catalog'!$A:$A,MATCH(TRIM(SUBSTITUTE($B2432,CHAR(160)," ")),'Catalog'!$C:$C,0)),""))))</f>
        <v>4413112</v>
      </c>
      <c r="H2432" s="8" t="str">
        <f aca="false">IFERROR(INDEX('TRANS'!$C:$C,MATCH($B2432,'TRANS'!$A:$A,0)),IFERROR(INDEX('Catalog'!$B:$B,MATCH($G2432,'Catalog'!$A:$A,0)),$B2432))</f>
        <v>49  L מגן ירך</v>
      </c>
      <c r="I2432" s="8" t="str">
        <f aca="false">IF($G2432="","Unmatched","Matched")</f>
        <v>Matched</v>
      </c>
      <c r="J2432" s="8" t="n">
        <f aca="false">IF($G2432&lt;&gt;"",$G2432,$B2432)</f>
        <v>4413112</v>
      </c>
      <c r="K2432" s="8" t="str">
        <f aca="false">IF(COUNTIF($M$1:$M$10,$A2432)&gt;0,"Y","N")</f>
        <v>Y</v>
      </c>
    </row>
    <row r="2433" customFormat="false" ht="15" hidden="false" customHeight="true" outlineLevel="0" collapsed="false">
      <c r="A2433" s="8" t="s">
        <v>42</v>
      </c>
      <c r="B2433" s="8" t="s">
        <v>810</v>
      </c>
      <c r="C2433" s="19" t="n">
        <v>11</v>
      </c>
      <c r="D2433" s="19" t="n">
        <v>675.74</v>
      </c>
      <c r="E2433" s="19" t="n">
        <v>4</v>
      </c>
      <c r="F2433" s="19" t="n">
        <v>238.03</v>
      </c>
      <c r="G2433" s="8" t="n">
        <f aca="false">IFERROR(INDEX('TRANS'!$B:$B,MATCH($B2433,'TRANS'!$A:$A,0)),IFERROR(INDEX('TRANS'!$B:$B,MATCH(TRIM(SUBSTITUTE($B2433,CHAR(160)," ")),'TRANS'!$D:$D,0)),IFERROR(INDEX('Catalog'!$A:$A,MATCH($B2433,'Catalog'!$B:$B,0)),IFERROR(INDEX('Catalog'!$A:$A,MATCH(TRIM(SUBSTITUTE($B2433,CHAR(160)," ")),'Catalog'!$C:$C,0)),""))))</f>
        <v>4413113</v>
      </c>
      <c r="H2433" s="8" t="str">
        <f aca="false">IFERROR(INDEX('TRANS'!$C:$C,MATCH($B2433,'TRANS'!$A:$A,0)),IFERROR(INDEX('Catalog'!$B:$B,MATCH($G2433,'Catalog'!$A:$A,0)),$B2433))</f>
        <v>49  M מגן ירך</v>
      </c>
      <c r="I2433" s="8" t="str">
        <f aca="false">IF($G2433="","Unmatched","Matched")</f>
        <v>Matched</v>
      </c>
      <c r="J2433" s="8" t="n">
        <f aca="false">IF($G2433&lt;&gt;"",$G2433,$B2433)</f>
        <v>4413113</v>
      </c>
      <c r="K2433" s="8" t="str">
        <f aca="false">IF(COUNTIF($M$1:$M$10,$A2433)&gt;0,"Y","N")</f>
        <v>Y</v>
      </c>
    </row>
    <row r="2434" customFormat="false" ht="15" hidden="false" customHeight="true" outlineLevel="0" collapsed="false">
      <c r="A2434" s="8" t="s">
        <v>42</v>
      </c>
      <c r="B2434" s="8" t="s">
        <v>811</v>
      </c>
      <c r="C2434" s="19" t="n">
        <v>3</v>
      </c>
      <c r="D2434" s="19" t="n">
        <v>183.63</v>
      </c>
      <c r="E2434" s="19" t="n">
        <v>2</v>
      </c>
      <c r="F2434" s="19" t="n">
        <v>126.95</v>
      </c>
      <c r="G2434" s="8" t="n">
        <f aca="false">IFERROR(INDEX('TRANS'!$B:$B,MATCH($B2434,'TRANS'!$A:$A,0)),IFERROR(INDEX('TRANS'!$B:$B,MATCH(TRIM(SUBSTITUTE($B2434,CHAR(160)," ")),'TRANS'!$D:$D,0)),IFERROR(INDEX('Catalog'!$A:$A,MATCH($B2434,'Catalog'!$B:$B,0)),IFERROR(INDEX('Catalog'!$A:$A,MATCH(TRIM(SUBSTITUTE($B2434,CHAR(160)," ")),'Catalog'!$C:$C,0)),""))))</f>
        <v>4413111</v>
      </c>
      <c r="H2434" s="8" t="str">
        <f aca="false">IFERROR(INDEX('TRANS'!$C:$C,MATCH($B2434,'TRANS'!$A:$A,0)),IFERROR(INDEX('Catalog'!$B:$B,MATCH($G2434,'Catalog'!$A:$A,0)),$B2434))</f>
        <v>49  S מגן ירך</v>
      </c>
      <c r="I2434" s="8" t="str">
        <f aca="false">IF($G2434="","Unmatched","Matched")</f>
        <v>Matched</v>
      </c>
      <c r="J2434" s="8" t="n">
        <f aca="false">IF($G2434&lt;&gt;"",$G2434,$B2434)</f>
        <v>4413111</v>
      </c>
      <c r="K2434" s="8" t="str">
        <f aca="false">IF(COUNTIF($M$1:$M$10,$A2434)&gt;0,"Y","N")</f>
        <v>Y</v>
      </c>
    </row>
    <row r="2435" customFormat="false" ht="15" hidden="false" customHeight="true" outlineLevel="0" collapsed="false">
      <c r="A2435" s="8" t="s">
        <v>42</v>
      </c>
      <c r="B2435" s="8" t="s">
        <v>812</v>
      </c>
      <c r="C2435" s="19" t="n">
        <v>6</v>
      </c>
      <c r="D2435" s="19" t="n">
        <v>367.91</v>
      </c>
      <c r="E2435" s="19" t="n">
        <v>4</v>
      </c>
      <c r="F2435" s="19" t="n">
        <v>253.88</v>
      </c>
      <c r="G2435" s="8" t="n">
        <f aca="false">IFERROR(INDEX('TRANS'!$B:$B,MATCH($B2435,'TRANS'!$A:$A,0)),IFERROR(INDEX('TRANS'!$B:$B,MATCH(TRIM(SUBSTITUTE($B2435,CHAR(160)," ")),'TRANS'!$D:$D,0)),IFERROR(INDEX('Catalog'!$A:$A,MATCH($B2435,'Catalog'!$B:$B,0)),IFERROR(INDEX('Catalog'!$A:$A,MATCH(TRIM(SUBSTITUTE($B2435,CHAR(160)," ")),'Catalog'!$C:$C,0)),""))))</f>
        <v>4413114</v>
      </c>
      <c r="H2435" s="8" t="str">
        <f aca="false">IFERROR(INDEX('TRANS'!$C:$C,MATCH($B2435,'TRANS'!$A:$A,0)),IFERROR(INDEX('Catalog'!$B:$B,MATCH($G2435,'Catalog'!$A:$A,0)),$B2435))</f>
        <v>49 XL מגן ירך</v>
      </c>
      <c r="I2435" s="8" t="str">
        <f aca="false">IF($G2435="","Unmatched","Matched")</f>
        <v>Matched</v>
      </c>
      <c r="J2435" s="8" t="n">
        <f aca="false">IF($G2435&lt;&gt;"",$G2435,$B2435)</f>
        <v>4413114</v>
      </c>
      <c r="K2435" s="8" t="str">
        <f aca="false">IF(COUNTIF($M$1:$M$10,$A2435)&gt;0,"Y","N")</f>
        <v>Y</v>
      </c>
    </row>
    <row r="2436" customFormat="false" ht="15" hidden="false" customHeight="true" outlineLevel="0" collapsed="false">
      <c r="A2436" s="8" t="s">
        <v>42</v>
      </c>
      <c r="B2436" s="8" t="s">
        <v>928</v>
      </c>
      <c r="C2436" s="19" t="n">
        <v>6</v>
      </c>
      <c r="D2436" s="19" t="n">
        <v>358.61</v>
      </c>
      <c r="E2436" s="19" t="n">
        <v>4</v>
      </c>
      <c r="F2436" s="19" t="n">
        <v>253.89</v>
      </c>
      <c r="G2436" s="8" t="n">
        <f aca="false">IFERROR(INDEX('TRANS'!$B:$B,MATCH($B2436,'TRANS'!$A:$A,0)),IFERROR(INDEX('TRANS'!$B:$B,MATCH(TRIM(SUBSTITUTE($B2436,CHAR(160)," ")),'TRANS'!$D:$D,0)),IFERROR(INDEX('Catalog'!$A:$A,MATCH($B2436,'Catalog'!$B:$B,0)),IFERROR(INDEX('Catalog'!$A:$A,MATCH(TRIM(SUBSTITUTE($B2436,CHAR(160)," ")),'Catalog'!$C:$C,0)),""))))</f>
        <v>4413115</v>
      </c>
      <c r="H2436" s="8" t="str">
        <f aca="false">IFERROR(INDEX('TRANS'!$C:$C,MATCH($B2436,'TRANS'!$A:$A,0)),IFERROR(INDEX('Catalog'!$B:$B,MATCH($G2436,'Catalog'!$A:$A,0)),$B2436))</f>
        <v>49 XXL מגן ירך</v>
      </c>
      <c r="I2436" s="8" t="str">
        <f aca="false">IF($G2436="","Unmatched","Matched")</f>
        <v>Matched</v>
      </c>
      <c r="J2436" s="8" t="n">
        <f aca="false">IF($G2436&lt;&gt;"",$G2436,$B2436)</f>
        <v>4413115</v>
      </c>
      <c r="K2436" s="8" t="str">
        <f aca="false">IF(COUNTIF($M$1:$M$10,$A2436)&gt;0,"Y","N")</f>
        <v>Y</v>
      </c>
    </row>
    <row r="2437" customFormat="false" ht="15" hidden="false" customHeight="true" outlineLevel="0" collapsed="false">
      <c r="A2437" s="8" t="s">
        <v>42</v>
      </c>
      <c r="B2437" s="8" t="s">
        <v>208</v>
      </c>
      <c r="C2437" s="19" t="n">
        <v>1</v>
      </c>
      <c r="D2437" s="19" t="n">
        <v>240</v>
      </c>
      <c r="E2437" s="19" t="n">
        <v>4</v>
      </c>
      <c r="F2437" s="19" t="n">
        <v>941.62</v>
      </c>
      <c r="G2437" s="8" t="str">
        <f aca="false">IFERROR(INDEX('TRANS'!$B:$B,MATCH($B2437,'TRANS'!$A:$A,0)),IFERROR(INDEX('TRANS'!$B:$B,MATCH(TRIM(SUBSTITUTE($B2437,CHAR(160)," ")),'TRANS'!$D:$D,0)),IFERROR(INDEX('Catalog'!$A:$A,MATCH($B2437,'Catalog'!$B:$B,0)),IFERROR(INDEX('Catalog'!$A:$A,MATCH(TRIM(SUBSTITUTE($B2437,CHAR(160)," ")),'Catalog'!$C:$C,0)),""))))</f>
        <v/>
      </c>
      <c r="H2437" s="8" t="str">
        <f aca="false">IFERROR(INDEX('TRANS'!$C:$C,MATCH($B2437,'TRANS'!$A:$A,0)),IFERROR(INDEX('Catalog'!$B:$B,MATCH($G2437,'Catalog'!$A:$A,0)),$B2437))</f>
        <v>49PS L</v>
      </c>
      <c r="I2437" s="8" t="str">
        <f aca="false">IF($G2437="","Unmatched","Matched")</f>
        <v>Unmatched</v>
      </c>
      <c r="J2437" s="8" t="str">
        <f aca="false">IF($G2437&lt;&gt;"",$G2437,$B2437)</f>
        <v>49PS L</v>
      </c>
      <c r="K2437" s="8" t="str">
        <f aca="false">IF(COUNTIF($M$1:$M$10,$A2437)&gt;0,"Y","N")</f>
        <v>Y</v>
      </c>
    </row>
    <row r="2438" customFormat="false" ht="15" hidden="false" customHeight="true" outlineLevel="0" collapsed="false">
      <c r="A2438" s="8" t="s">
        <v>42</v>
      </c>
      <c r="B2438" s="8" t="s">
        <v>242</v>
      </c>
      <c r="C2438" s="19" t="n">
        <v>1</v>
      </c>
      <c r="D2438" s="19" t="n">
        <v>241.44</v>
      </c>
      <c r="E2438" s="19" t="n">
        <v>3</v>
      </c>
      <c r="F2438" s="19" t="n">
        <v>724.32</v>
      </c>
      <c r="G2438" s="8" t="str">
        <f aca="false">IFERROR(INDEX('TRANS'!$B:$B,MATCH($B2438,'TRANS'!$A:$A,0)),IFERROR(INDEX('TRANS'!$B:$B,MATCH(TRIM(SUBSTITUTE($B2438,CHAR(160)," ")),'TRANS'!$D:$D,0)),IFERROR(INDEX('Catalog'!$A:$A,MATCH($B2438,'Catalog'!$B:$B,0)),IFERROR(INDEX('Catalog'!$A:$A,MATCH(TRIM(SUBSTITUTE($B2438,CHAR(160)," ")),'Catalog'!$C:$C,0)),""))))</f>
        <v/>
      </c>
      <c r="H2438" s="8" t="str">
        <f aca="false">IFERROR(INDEX('TRANS'!$C:$C,MATCH($B2438,'TRANS'!$A:$A,0)),IFERROR(INDEX('Catalog'!$B:$B,MATCH($G2438,'Catalog'!$A:$A,0)),$B2438))</f>
        <v>49PS M</v>
      </c>
      <c r="I2438" s="8" t="str">
        <f aca="false">IF($G2438="","Unmatched","Matched")</f>
        <v>Unmatched</v>
      </c>
      <c r="J2438" s="8" t="str">
        <f aca="false">IF($G2438&lt;&gt;"",$G2438,$B2438)</f>
        <v>49PS M</v>
      </c>
      <c r="K2438" s="8" t="str">
        <f aca="false">IF(COUNTIF($M$1:$M$10,$A2438)&gt;0,"Y","N")</f>
        <v>Y</v>
      </c>
    </row>
    <row r="2439" customFormat="false" ht="15" hidden="false" customHeight="true" outlineLevel="0" collapsed="false">
      <c r="A2439" s="8" t="s">
        <v>42</v>
      </c>
      <c r="B2439" s="8" t="s">
        <v>312</v>
      </c>
      <c r="C2439" s="19" t="n">
        <v>1</v>
      </c>
      <c r="D2439" s="19" t="n">
        <v>241.44</v>
      </c>
      <c r="E2439" s="19" t="n">
        <v>0</v>
      </c>
      <c r="F2439" s="19" t="n">
        <v>0</v>
      </c>
      <c r="G2439" s="8" t="str">
        <f aca="false">IFERROR(INDEX('TRANS'!$B:$B,MATCH($B2439,'TRANS'!$A:$A,0)),IFERROR(INDEX('TRANS'!$B:$B,MATCH(TRIM(SUBSTITUTE($B2439,CHAR(160)," ")),'TRANS'!$D:$D,0)),IFERROR(INDEX('Catalog'!$A:$A,MATCH($B2439,'Catalog'!$B:$B,0)),IFERROR(INDEX('Catalog'!$A:$A,MATCH(TRIM(SUBSTITUTE($B2439,CHAR(160)," ")),'Catalog'!$C:$C,0)),""))))</f>
        <v/>
      </c>
      <c r="H2439" s="8" t="str">
        <f aca="false">IFERROR(INDEX('TRANS'!$C:$C,MATCH($B2439,'TRANS'!$A:$A,0)),IFERROR(INDEX('Catalog'!$B:$B,MATCH($G2439,'Catalog'!$A:$A,0)),$B2439))</f>
        <v>49PS XL</v>
      </c>
      <c r="I2439" s="8" t="str">
        <f aca="false">IF($G2439="","Unmatched","Matched")</f>
        <v>Unmatched</v>
      </c>
      <c r="J2439" s="8" t="str">
        <f aca="false">IF($G2439&lt;&gt;"",$G2439,$B2439)</f>
        <v>49PS XL</v>
      </c>
      <c r="K2439" s="8" t="str">
        <f aca="false">IF(COUNTIF($M$1:$M$10,$A2439)&gt;0,"Y","N")</f>
        <v>Y</v>
      </c>
    </row>
    <row r="2440" customFormat="false" ht="15" hidden="false" customHeight="true" outlineLevel="0" collapsed="false">
      <c r="A2440" s="8" t="s">
        <v>42</v>
      </c>
      <c r="B2440" s="8" t="s">
        <v>281</v>
      </c>
      <c r="C2440" s="19" t="n">
        <v>3</v>
      </c>
      <c r="D2440" s="19" t="n">
        <v>722.63</v>
      </c>
      <c r="E2440" s="19" t="n">
        <v>1</v>
      </c>
      <c r="F2440" s="19" t="n">
        <v>241.44</v>
      </c>
      <c r="G2440" s="8" t="str">
        <f aca="false">IFERROR(INDEX('TRANS'!$B:$B,MATCH($B2440,'TRANS'!$A:$A,0)),IFERROR(INDEX('TRANS'!$B:$B,MATCH(TRIM(SUBSTITUTE($B2440,CHAR(160)," ")),'TRANS'!$D:$D,0)),IFERROR(INDEX('Catalog'!$A:$A,MATCH($B2440,'Catalog'!$B:$B,0)),IFERROR(INDEX('Catalog'!$A:$A,MATCH(TRIM(SUBSTITUTE($B2440,CHAR(160)," ")),'Catalog'!$C:$C,0)),""))))</f>
        <v/>
      </c>
      <c r="H2440" s="8" t="str">
        <f aca="false">IFERROR(INDEX('TRANS'!$C:$C,MATCH($B2440,'TRANS'!$A:$A,0)),IFERROR(INDEX('Catalog'!$B:$B,MATCH($G2440,'Catalog'!$A:$A,0)),$B2440))</f>
        <v>49PS XXL</v>
      </c>
      <c r="I2440" s="8" t="str">
        <f aca="false">IF($G2440="","Unmatched","Matched")</f>
        <v>Unmatched</v>
      </c>
      <c r="J2440" s="8" t="str">
        <f aca="false">IF($G2440&lt;&gt;"",$G2440,$B2440)</f>
        <v>49PS XXL</v>
      </c>
      <c r="K2440" s="8" t="str">
        <f aca="false">IF(COUNTIF($M$1:$M$10,$A2440)&gt;0,"Y","N")</f>
        <v>Y</v>
      </c>
    </row>
    <row r="2441" customFormat="false" ht="15" hidden="false" customHeight="true" outlineLevel="0" collapsed="false">
      <c r="A2441" s="8" t="s">
        <v>42</v>
      </c>
      <c r="B2441" s="8" t="s">
        <v>976</v>
      </c>
      <c r="C2441" s="19" t="n">
        <v>6</v>
      </c>
      <c r="D2441" s="19" t="n">
        <v>1114.22</v>
      </c>
      <c r="E2441" s="19" t="n">
        <v>6</v>
      </c>
      <c r="F2441" s="19" t="n">
        <v>1134.31</v>
      </c>
      <c r="G2441" s="8" t="n">
        <f aca="false">IFERROR(INDEX('TRANS'!$B:$B,MATCH($B2441,'TRANS'!$A:$A,0)),IFERROR(INDEX('TRANS'!$B:$B,MATCH(TRIM(SUBSTITUTE($B2441,CHAR(160)," ")),'TRANS'!$D:$D,0)),IFERROR(INDEX('Catalog'!$A:$A,MATCH($B2441,'Catalog'!$B:$B,0)),IFERROR(INDEX('Catalog'!$A:$A,MATCH(TRIM(SUBSTITUTE($B2441,CHAR(160)," ")),'Catalog'!$C:$C,0)),""))))</f>
        <v>4413117</v>
      </c>
      <c r="H2441" s="8" t="str">
        <f aca="false">IFERROR(INDEX('TRANS'!$C:$C,MATCH($B2441,'TRANS'!$A:$A,0)),IFERROR(INDEX('Catalog'!$B:$B,MATCH($G2441,'Catalog'!$A:$A,0)),$B2441))</f>
        <v>50 L מתלה אשכים לאחר ניתוח</v>
      </c>
      <c r="I2441" s="8" t="str">
        <f aca="false">IF($G2441="","Unmatched","Matched")</f>
        <v>Matched</v>
      </c>
      <c r="J2441" s="8" t="n">
        <f aca="false">IF($G2441&lt;&gt;"",$G2441,$B2441)</f>
        <v>4413117</v>
      </c>
      <c r="K2441" s="8" t="str">
        <f aca="false">IF(COUNTIF($M$1:$M$10,$A2441)&gt;0,"Y","N")</f>
        <v>Y</v>
      </c>
    </row>
    <row r="2442" customFormat="false" ht="15" hidden="false" customHeight="true" outlineLevel="0" collapsed="false">
      <c r="A2442" s="8" t="s">
        <v>42</v>
      </c>
      <c r="B2442" s="8" t="s">
        <v>968</v>
      </c>
      <c r="C2442" s="19" t="n">
        <v>8</v>
      </c>
      <c r="D2442" s="19" t="n">
        <v>1575.97</v>
      </c>
      <c r="E2442" s="19" t="n">
        <v>7</v>
      </c>
      <c r="F2442" s="19" t="n">
        <v>1355.15</v>
      </c>
      <c r="G2442" s="8" t="n">
        <f aca="false">IFERROR(INDEX('TRANS'!$B:$B,MATCH($B2442,'TRANS'!$A:$A,0)),IFERROR(INDEX('TRANS'!$B:$B,MATCH(TRIM(SUBSTITUTE($B2442,CHAR(160)," ")),'TRANS'!$D:$D,0)),IFERROR(INDEX('Catalog'!$A:$A,MATCH($B2442,'Catalog'!$B:$B,0)),IFERROR(INDEX('Catalog'!$A:$A,MATCH(TRIM(SUBSTITUTE($B2442,CHAR(160)," ")),'Catalog'!$C:$C,0)),""))))</f>
        <v>4413118</v>
      </c>
      <c r="H2442" s="8" t="str">
        <f aca="false">IFERROR(INDEX('TRANS'!$C:$C,MATCH($B2442,'TRANS'!$A:$A,0)),IFERROR(INDEX('Catalog'!$B:$B,MATCH($G2442,'Catalog'!$A:$A,0)),$B2442))</f>
        <v>50 M מתלה אשכים לאחר ניתוח</v>
      </c>
      <c r="I2442" s="8" t="str">
        <f aca="false">IF($G2442="","Unmatched","Matched")</f>
        <v>Matched</v>
      </c>
      <c r="J2442" s="8" t="n">
        <f aca="false">IF($G2442&lt;&gt;"",$G2442,$B2442)</f>
        <v>4413118</v>
      </c>
      <c r="K2442" s="8" t="str">
        <f aca="false">IF(COUNTIF($M$1:$M$10,$A2442)&gt;0,"Y","N")</f>
        <v>Y</v>
      </c>
    </row>
    <row r="2443" customFormat="false" ht="15" hidden="false" customHeight="true" outlineLevel="0" collapsed="false">
      <c r="A2443" s="8" t="s">
        <v>42</v>
      </c>
      <c r="B2443" s="8" t="s">
        <v>209</v>
      </c>
      <c r="C2443" s="19" t="n">
        <v>2</v>
      </c>
      <c r="D2443" s="19" t="n">
        <v>371.41</v>
      </c>
      <c r="E2443" s="19" t="n">
        <v>1</v>
      </c>
      <c r="F2443" s="19" t="n">
        <v>180.68</v>
      </c>
      <c r="G2443" s="8" t="str">
        <f aca="false">IFERROR(INDEX('TRANS'!$B:$B,MATCH($B2443,'TRANS'!$A:$A,0)),IFERROR(INDEX('TRANS'!$B:$B,MATCH(TRIM(SUBSTITUTE($B2443,CHAR(160)," ")),'TRANS'!$D:$D,0)),IFERROR(INDEX('Catalog'!$A:$A,MATCH($B2443,'Catalog'!$B:$B,0)),IFERROR(INDEX('Catalog'!$A:$A,MATCH(TRIM(SUBSTITUTE($B2443,CHAR(160)," ")),'Catalog'!$C:$C,0)),""))))</f>
        <v/>
      </c>
      <c r="H2443" s="8" t="str">
        <f aca="false">IFERROR(INDEX('TRANS'!$C:$C,MATCH($B2443,'TRANS'!$A:$A,0)),IFERROR(INDEX('Catalog'!$B:$B,MATCH($G2443,'Catalog'!$A:$A,0)),$B2443))</f>
        <v>50 S</v>
      </c>
      <c r="I2443" s="8" t="str">
        <f aca="false">IF($G2443="","Unmatched","Matched")</f>
        <v>Unmatched</v>
      </c>
      <c r="J2443" s="8" t="str">
        <f aca="false">IF($G2443&lt;&gt;"",$G2443,$B2443)</f>
        <v>50 S</v>
      </c>
      <c r="K2443" s="8" t="str">
        <f aca="false">IF(COUNTIF($M$1:$M$10,$A2443)&gt;0,"Y","N")</f>
        <v>Y</v>
      </c>
    </row>
    <row r="2444" customFormat="false" ht="15" hidden="false" customHeight="true" outlineLevel="0" collapsed="false">
      <c r="A2444" s="8" t="s">
        <v>42</v>
      </c>
      <c r="B2444" s="8" t="s">
        <v>944</v>
      </c>
      <c r="C2444" s="19" t="n">
        <v>7</v>
      </c>
      <c r="D2444" s="19" t="n">
        <v>1355.13</v>
      </c>
      <c r="E2444" s="19" t="n">
        <v>7</v>
      </c>
      <c r="F2444" s="19" t="n">
        <v>1375.24</v>
      </c>
      <c r="G2444" s="8" t="n">
        <f aca="false">IFERROR(INDEX('TRANS'!$B:$B,MATCH($B2444,'TRANS'!$A:$A,0)),IFERROR(INDEX('TRANS'!$B:$B,MATCH(TRIM(SUBSTITUTE($B2444,CHAR(160)," ")),'TRANS'!$D:$D,0)),IFERROR(INDEX('Catalog'!$A:$A,MATCH($B2444,'Catalog'!$B:$B,0)),IFERROR(INDEX('Catalog'!$A:$A,MATCH(TRIM(SUBSTITUTE($B2444,CHAR(160)," ")),'Catalog'!$C:$C,0)),""))))</f>
        <v>4413119</v>
      </c>
      <c r="H2444" s="8" t="str">
        <f aca="false">IFERROR(INDEX('TRANS'!$C:$C,MATCH($B2444,'TRANS'!$A:$A,0)),IFERROR(INDEX('Catalog'!$B:$B,MATCH($G2444,'Catalog'!$A:$A,0)),$B2444))</f>
        <v>50 XL מתלה אשכים לאחר ניתוח</v>
      </c>
      <c r="I2444" s="8" t="str">
        <f aca="false">IF($G2444="","Unmatched","Matched")</f>
        <v>Matched</v>
      </c>
      <c r="J2444" s="8" t="n">
        <f aca="false">IF($G2444&lt;&gt;"",$G2444,$B2444)</f>
        <v>4413119</v>
      </c>
      <c r="K2444" s="8" t="str">
        <f aca="false">IF(COUNTIF($M$1:$M$10,$A2444)&gt;0,"Y","N")</f>
        <v>Y</v>
      </c>
    </row>
    <row r="2445" customFormat="false" ht="15" hidden="false" customHeight="true" outlineLevel="0" collapsed="false">
      <c r="A2445" s="8" t="s">
        <v>42</v>
      </c>
      <c r="B2445" s="8" t="s">
        <v>375</v>
      </c>
      <c r="C2445" s="19" t="n">
        <v>1</v>
      </c>
      <c r="D2445" s="19" t="n">
        <v>200.76</v>
      </c>
      <c r="E2445" s="19" t="n">
        <v>1</v>
      </c>
      <c r="F2445" s="19" t="n">
        <v>180.69</v>
      </c>
      <c r="G2445" s="8" t="str">
        <f aca="false">IFERROR(INDEX('TRANS'!$B:$B,MATCH($B2445,'TRANS'!$A:$A,0)),IFERROR(INDEX('TRANS'!$B:$B,MATCH(TRIM(SUBSTITUTE($B2445,CHAR(160)," ")),'TRANS'!$D:$D,0)),IFERROR(INDEX('Catalog'!$A:$A,MATCH($B2445,'Catalog'!$B:$B,0)),IFERROR(INDEX('Catalog'!$A:$A,MATCH(TRIM(SUBSTITUTE($B2445,CHAR(160)," ")),'Catalog'!$C:$C,0)),""))))</f>
        <v/>
      </c>
      <c r="H2445" s="8" t="str">
        <f aca="false">IFERROR(INDEX('TRANS'!$C:$C,MATCH($B2445,'TRANS'!$A:$A,0)),IFERROR(INDEX('Catalog'!$B:$B,MATCH($G2445,'Catalog'!$A:$A,0)),$B2445))</f>
        <v>50 XS</v>
      </c>
      <c r="I2445" s="8" t="str">
        <f aca="false">IF($G2445="","Unmatched","Matched")</f>
        <v>Unmatched</v>
      </c>
      <c r="J2445" s="8" t="str">
        <f aca="false">IF($G2445&lt;&gt;"",$G2445,$B2445)</f>
        <v>50 XS</v>
      </c>
      <c r="K2445" s="8" t="str">
        <f aca="false">IF(COUNTIF($M$1:$M$10,$A2445)&gt;0,"Y","N")</f>
        <v>Y</v>
      </c>
    </row>
    <row r="2446" customFormat="false" ht="15" hidden="false" customHeight="true" outlineLevel="0" collapsed="false">
      <c r="A2446" s="8" t="s">
        <v>42</v>
      </c>
      <c r="B2446" s="8" t="s">
        <v>160</v>
      </c>
      <c r="C2446" s="19" t="n">
        <v>2</v>
      </c>
      <c r="D2446" s="19" t="n">
        <v>401.52</v>
      </c>
      <c r="E2446" s="19" t="n">
        <v>2</v>
      </c>
      <c r="F2446" s="19" t="n">
        <v>381.44</v>
      </c>
      <c r="G2446" s="8" t="str">
        <f aca="false">IFERROR(INDEX('TRANS'!$B:$B,MATCH($B2446,'TRANS'!$A:$A,0)),IFERROR(INDEX('TRANS'!$B:$B,MATCH(TRIM(SUBSTITUTE($B2446,CHAR(160)," ")),'TRANS'!$D:$D,0)),IFERROR(INDEX('Catalog'!$A:$A,MATCH($B2446,'Catalog'!$B:$B,0)),IFERROR(INDEX('Catalog'!$A:$A,MATCH(TRIM(SUBSTITUTE($B2446,CHAR(160)," ")),'Catalog'!$C:$C,0)),""))))</f>
        <v/>
      </c>
      <c r="H2446" s="8" t="str">
        <f aca="false">IFERROR(INDEX('TRANS'!$C:$C,MATCH($B2446,'TRANS'!$A:$A,0)),IFERROR(INDEX('Catalog'!$B:$B,MATCH($G2446,'Catalog'!$A:$A,0)),$B2446))</f>
        <v>50 XXL</v>
      </c>
      <c r="I2446" s="8" t="str">
        <f aca="false">IF($G2446="","Unmatched","Matched")</f>
        <v>Unmatched</v>
      </c>
      <c r="J2446" s="8" t="str">
        <f aca="false">IF($G2446&lt;&gt;"",$G2446,$B2446)</f>
        <v>50 XXL</v>
      </c>
      <c r="K2446" s="8" t="str">
        <f aca="false">IF(COUNTIF($M$1:$M$10,$A2446)&gt;0,"Y","N")</f>
        <v>Y</v>
      </c>
    </row>
    <row r="2447" customFormat="false" ht="15" hidden="false" customHeight="true" outlineLevel="0" collapsed="false">
      <c r="A2447" s="8" t="s">
        <v>42</v>
      </c>
      <c r="B2447" s="8" t="s">
        <v>210</v>
      </c>
      <c r="C2447" s="19" t="n">
        <v>4</v>
      </c>
      <c r="D2447" s="19" t="n">
        <v>594.59</v>
      </c>
      <c r="E2447" s="19" t="n">
        <v>2</v>
      </c>
      <c r="F2447" s="19" t="n">
        <v>304.92</v>
      </c>
      <c r="G2447" s="8" t="str">
        <f aca="false">IFERROR(INDEX('TRANS'!$B:$B,MATCH($B2447,'TRANS'!$A:$A,0)),IFERROR(INDEX('TRANS'!$B:$B,MATCH(TRIM(SUBSTITUTE($B2447,CHAR(160)," ")),'TRANS'!$D:$D,0)),IFERROR(INDEX('Catalog'!$A:$A,MATCH($B2447,'Catalog'!$B:$B,0)),IFERROR(INDEX('Catalog'!$A:$A,MATCH(TRIM(SUBSTITUTE($B2447,CHAR(160)," ")),'Catalog'!$C:$C,0)),""))))</f>
        <v/>
      </c>
      <c r="H2447" s="8" t="str">
        <f aca="false">IFERROR(INDEX('TRANS'!$C:$C,MATCH($B2447,'TRANS'!$A:$A,0)),IFERROR(INDEX('Catalog'!$B:$B,MATCH($G2447,'Catalog'!$A:$A,0)),$B2447))</f>
        <v>55 M</v>
      </c>
      <c r="I2447" s="8" t="str">
        <f aca="false">IF($G2447="","Unmatched","Matched")</f>
        <v>Unmatched</v>
      </c>
      <c r="J2447" s="8" t="str">
        <f aca="false">IF($G2447&lt;&gt;"",$G2447,$B2447)</f>
        <v>55 M</v>
      </c>
      <c r="K2447" s="8" t="str">
        <f aca="false">IF(COUNTIF($M$1:$M$10,$A2447)&gt;0,"Y","N")</f>
        <v>Y</v>
      </c>
    </row>
    <row r="2448" customFormat="false" ht="15" hidden="false" customHeight="true" outlineLevel="0" collapsed="false">
      <c r="A2448" s="8" t="s">
        <v>42</v>
      </c>
      <c r="B2448" s="8" t="s">
        <v>687</v>
      </c>
      <c r="C2448" s="19" t="n">
        <v>0</v>
      </c>
      <c r="D2448" s="19" t="n">
        <v>0</v>
      </c>
      <c r="E2448" s="19" t="n">
        <v>3</v>
      </c>
      <c r="F2448" s="19" t="n">
        <v>442.13</v>
      </c>
      <c r="G2448" s="8" t="n">
        <f aca="false">IFERROR(INDEX('TRANS'!$B:$B,MATCH($B2448,'TRANS'!$A:$A,0)),IFERROR(INDEX('TRANS'!$B:$B,MATCH(TRIM(SUBSTITUTE($B2448,CHAR(160)," ")),'TRANS'!$D:$D,0)),IFERROR(INDEX('Catalog'!$A:$A,MATCH($B2448,'Catalog'!$B:$B,0)),IFERROR(INDEX('Catalog'!$A:$A,MATCH(TRIM(SUBSTITUTE($B2448,CHAR(160)," ")),'Catalog'!$C:$C,0)),""))))</f>
        <v>4413124</v>
      </c>
      <c r="H2448" s="8" t="str">
        <f aca="false">IFERROR(INDEX('TRANS'!$C:$C,MATCH($B2448,'TRANS'!$A:$A,0)),IFERROR(INDEX('Catalog'!$B:$B,MATCH($G2448,'Catalog'!$A:$A,0)),$B2448))</f>
        <v>55 XL מתלה אשכים לספורטאים</v>
      </c>
      <c r="I2448" s="8" t="str">
        <f aca="false">IF($G2448="","Unmatched","Matched")</f>
        <v>Matched</v>
      </c>
      <c r="J2448" s="8" t="n">
        <f aca="false">IF($G2448&lt;&gt;"",$G2448,$B2448)</f>
        <v>4413124</v>
      </c>
      <c r="K2448" s="8" t="str">
        <f aca="false">IF(COUNTIF($M$1:$M$10,$A2448)&gt;0,"Y","N")</f>
        <v>Y</v>
      </c>
    </row>
    <row r="2449" customFormat="false" ht="15" hidden="false" customHeight="true" outlineLevel="0" collapsed="false">
      <c r="A2449" s="8" t="s">
        <v>42</v>
      </c>
      <c r="B2449" s="8" t="s">
        <v>230</v>
      </c>
      <c r="C2449" s="19" t="n">
        <v>4</v>
      </c>
      <c r="D2449" s="19" t="n">
        <v>762.31</v>
      </c>
      <c r="E2449" s="19" t="n">
        <v>3</v>
      </c>
      <c r="F2449" s="19" t="n">
        <v>457.38</v>
      </c>
      <c r="G2449" s="8" t="str">
        <f aca="false">IFERROR(INDEX('TRANS'!$B:$B,MATCH($B2449,'TRANS'!$A:$A,0)),IFERROR(INDEX('TRANS'!$B:$B,MATCH(TRIM(SUBSTITUTE($B2449,CHAR(160)," ")),'TRANS'!$D:$D,0)),IFERROR(INDEX('Catalog'!$A:$A,MATCH($B2449,'Catalog'!$B:$B,0)),IFERROR(INDEX('Catalog'!$A:$A,MATCH(TRIM(SUBSTITUTE($B2449,CHAR(160)," ")),'Catalog'!$C:$C,0)),""))))</f>
        <v/>
      </c>
      <c r="H2449" s="8" t="str">
        <f aca="false">IFERROR(INDEX('TRANS'!$C:$C,MATCH($B2449,'TRANS'!$A:$A,0)),IFERROR(INDEX('Catalog'!$B:$B,MATCH($G2449,'Catalog'!$A:$A,0)),$B2449))</f>
        <v>55 XXL</v>
      </c>
      <c r="I2449" s="8" t="str">
        <f aca="false">IF($G2449="","Unmatched","Matched")</f>
        <v>Unmatched</v>
      </c>
      <c r="J2449" s="8" t="str">
        <f aca="false">IF($G2449&lt;&gt;"",$G2449,$B2449)</f>
        <v>55 XXL</v>
      </c>
      <c r="K2449" s="8" t="str">
        <f aca="false">IF(COUNTIF($M$1:$M$10,$A2449)&gt;0,"Y","N")</f>
        <v>Y</v>
      </c>
    </row>
    <row r="2450" customFormat="false" ht="15" hidden="false" customHeight="true" outlineLevel="0" collapsed="false">
      <c r="A2450" s="8" t="s">
        <v>42</v>
      </c>
      <c r="B2450" s="8" t="s">
        <v>220</v>
      </c>
      <c r="C2450" s="19" t="n">
        <v>0</v>
      </c>
      <c r="D2450" s="19" t="n">
        <v>0</v>
      </c>
      <c r="E2450" s="19" t="n">
        <v>1</v>
      </c>
      <c r="F2450" s="19" t="n">
        <v>129.59</v>
      </c>
      <c r="G2450" s="8" t="str">
        <f aca="false">IFERROR(INDEX('TRANS'!$B:$B,MATCH($B2450,'TRANS'!$A:$A,0)),IFERROR(INDEX('TRANS'!$B:$B,MATCH(TRIM(SUBSTITUTE($B2450,CHAR(160)," ")),'TRANS'!$D:$D,0)),IFERROR(INDEX('Catalog'!$A:$A,MATCH($B2450,'Catalog'!$B:$B,0)),IFERROR(INDEX('Catalog'!$A:$A,MATCH(TRIM(SUBSTITUTE($B2450,CHAR(160)," ")),'Catalog'!$C:$C,0)),""))))</f>
        <v/>
      </c>
      <c r="H2450" s="8" t="str">
        <f aca="false">IFERROR(INDEX('TRANS'!$C:$C,MATCH($B2450,'TRANS'!$A:$A,0)),IFERROR(INDEX('Catalog'!$B:$B,MATCH($G2450,'Catalog'!$A:$A,0)),$B2450))</f>
        <v>56B M</v>
      </c>
      <c r="I2450" s="8" t="str">
        <f aca="false">IF($G2450="","Unmatched","Matched")</f>
        <v>Unmatched</v>
      </c>
      <c r="J2450" s="8" t="str">
        <f aca="false">IF($G2450&lt;&gt;"",$G2450,$B2450)</f>
        <v>56B M</v>
      </c>
      <c r="K2450" s="8" t="str">
        <f aca="false">IF(COUNTIF($M$1:$M$10,$A2450)&gt;0,"Y","N")</f>
        <v>Y</v>
      </c>
    </row>
    <row r="2451" customFormat="false" ht="15" hidden="false" customHeight="true" outlineLevel="0" collapsed="false">
      <c r="A2451" s="8" t="s">
        <v>42</v>
      </c>
      <c r="B2451" s="8" t="s">
        <v>813</v>
      </c>
      <c r="C2451" s="19" t="n">
        <v>3</v>
      </c>
      <c r="D2451" s="19" t="n">
        <v>1615.09</v>
      </c>
      <c r="E2451" s="19" t="n">
        <v>2</v>
      </c>
      <c r="F2451" s="19" t="n">
        <v>1078.65</v>
      </c>
      <c r="G2451" s="8" t="n">
        <f aca="false">IFERROR(INDEX('TRANS'!$B:$B,MATCH($B2451,'TRANS'!$A:$A,0)),IFERROR(INDEX('TRANS'!$B:$B,MATCH(TRIM(SUBSTITUTE($B2451,CHAR(160)," ")),'TRANS'!$D:$D,0)),IFERROR(INDEX('Catalog'!$A:$A,MATCH($B2451,'Catalog'!$B:$B,0)),IFERROR(INDEX('Catalog'!$A:$A,MATCH(TRIM(SUBSTITUTE($B2451,CHAR(160)," ")),'Catalog'!$C:$C,0)),""))))</f>
        <v>4408071</v>
      </c>
      <c r="H2451" s="8" t="str">
        <f aca="false">IFERROR(INDEX('TRANS'!$C:$C,MATCH($B2451,'TRANS'!$A:$A,0)),IFERROR(INDEX('Catalog'!$B:$B,MATCH($G2451,'Catalog'!$A:$A,0)),$B2451))</f>
        <v>59D L חגורת שבר דו צדדי</v>
      </c>
      <c r="I2451" s="8" t="str">
        <f aca="false">IF($G2451="","Unmatched","Matched")</f>
        <v>Matched</v>
      </c>
      <c r="J2451" s="8" t="n">
        <f aca="false">IF($G2451&lt;&gt;"",$G2451,$B2451)</f>
        <v>4408071</v>
      </c>
      <c r="K2451" s="8" t="str">
        <f aca="false">IF(COUNTIF($M$1:$M$10,$A2451)&gt;0,"Y","N")</f>
        <v>Y</v>
      </c>
    </row>
    <row r="2452" customFormat="false" ht="15" hidden="false" customHeight="true" outlineLevel="0" collapsed="false">
      <c r="A2452" s="8" t="s">
        <v>42</v>
      </c>
      <c r="B2452" s="8" t="s">
        <v>878</v>
      </c>
      <c r="C2452" s="19" t="n">
        <v>10</v>
      </c>
      <c r="D2452" s="19" t="n">
        <v>5220.04</v>
      </c>
      <c r="E2452" s="19" t="n">
        <v>5</v>
      </c>
      <c r="F2452" s="19" t="n">
        <v>2668.24</v>
      </c>
      <c r="G2452" s="8" t="n">
        <f aca="false">IFERROR(INDEX('TRANS'!$B:$B,MATCH($B2452,'TRANS'!$A:$A,0)),IFERROR(INDEX('TRANS'!$B:$B,MATCH(TRIM(SUBSTITUTE($B2452,CHAR(160)," ")),'TRANS'!$D:$D,0)),IFERROR(INDEX('Catalog'!$A:$A,MATCH($B2452,'Catalog'!$B:$B,0)),IFERROR(INDEX('Catalog'!$A:$A,MATCH(TRIM(SUBSTITUTE($B2452,CHAR(160)," ")),'Catalog'!$C:$C,0)),""))))</f>
        <v>4408072</v>
      </c>
      <c r="H2452" s="8" t="str">
        <f aca="false">IFERROR(INDEX('TRANS'!$C:$C,MATCH($B2452,'TRANS'!$A:$A,0)),IFERROR(INDEX('Catalog'!$B:$B,MATCH($G2452,'Catalog'!$A:$A,0)),$B2452))</f>
        <v>59D M חגורת שבר דו צדדי</v>
      </c>
      <c r="I2452" s="8" t="str">
        <f aca="false">IF($G2452="","Unmatched","Matched")</f>
        <v>Matched</v>
      </c>
      <c r="J2452" s="8" t="n">
        <f aca="false">IF($G2452&lt;&gt;"",$G2452,$B2452)</f>
        <v>4408072</v>
      </c>
      <c r="K2452" s="8" t="str">
        <f aca="false">IF(COUNTIF($M$1:$M$10,$A2452)&gt;0,"Y","N")</f>
        <v>Y</v>
      </c>
    </row>
    <row r="2453" customFormat="false" ht="15" hidden="false" customHeight="true" outlineLevel="0" collapsed="false">
      <c r="A2453" s="8" t="s">
        <v>42</v>
      </c>
      <c r="B2453" s="8" t="s">
        <v>879</v>
      </c>
      <c r="C2453" s="19" t="n">
        <v>1</v>
      </c>
      <c r="D2453" s="19" t="n">
        <v>567.71</v>
      </c>
      <c r="E2453" s="19" t="n">
        <v>0</v>
      </c>
      <c r="F2453" s="19" t="n">
        <v>0</v>
      </c>
      <c r="G2453" s="8" t="n">
        <f aca="false">IFERROR(INDEX('TRANS'!$B:$B,MATCH($B2453,'TRANS'!$A:$A,0)),IFERROR(INDEX('TRANS'!$B:$B,MATCH(TRIM(SUBSTITUTE($B2453,CHAR(160)," ")),'TRANS'!$D:$D,0)),IFERROR(INDEX('Catalog'!$A:$A,MATCH($B2453,'Catalog'!$B:$B,0)),IFERROR(INDEX('Catalog'!$A:$A,MATCH(TRIM(SUBSTITUTE($B2453,CHAR(160)," ")),'Catalog'!$C:$C,0)),""))))</f>
        <v>4408070</v>
      </c>
      <c r="H2453" s="8" t="str">
        <f aca="false">IFERROR(INDEX('TRANS'!$C:$C,MATCH($B2453,'TRANS'!$A:$A,0)),IFERROR(INDEX('Catalog'!$B:$B,MATCH($G2453,'Catalog'!$A:$A,0)),$B2453))</f>
        <v>59D S חגורת שבר דו צדדי</v>
      </c>
      <c r="I2453" s="8" t="str">
        <f aca="false">IF($G2453="","Unmatched","Matched")</f>
        <v>Matched</v>
      </c>
      <c r="J2453" s="8" t="n">
        <f aca="false">IF($G2453&lt;&gt;"",$G2453,$B2453)</f>
        <v>4408070</v>
      </c>
      <c r="K2453" s="8" t="str">
        <f aca="false">IF(COUNTIF($M$1:$M$10,$A2453)&gt;0,"Y","N")</f>
        <v>Y</v>
      </c>
    </row>
    <row r="2454" customFormat="false" ht="15" hidden="false" customHeight="true" outlineLevel="0" collapsed="false">
      <c r="A2454" s="8" t="s">
        <v>42</v>
      </c>
      <c r="B2454" s="8" t="s">
        <v>979</v>
      </c>
      <c r="C2454" s="19" t="n">
        <v>1</v>
      </c>
      <c r="D2454" s="19" t="n">
        <v>567.71</v>
      </c>
      <c r="E2454" s="19" t="n">
        <v>2</v>
      </c>
      <c r="F2454" s="19" t="n">
        <v>1078.65</v>
      </c>
      <c r="G2454" s="8" t="n">
        <f aca="false">IFERROR(INDEX('TRANS'!$B:$B,MATCH($B2454,'TRANS'!$A:$A,0)),IFERROR(INDEX('TRANS'!$B:$B,MATCH(TRIM(SUBSTITUTE($B2454,CHAR(160)," ")),'TRANS'!$D:$D,0)),IFERROR(INDEX('Catalog'!$A:$A,MATCH($B2454,'Catalog'!$B:$B,0)),IFERROR(INDEX('Catalog'!$A:$A,MATCH(TRIM(SUBSTITUTE($B2454,CHAR(160)," ")),'Catalog'!$C:$C,0)),""))))</f>
        <v>4408073</v>
      </c>
      <c r="H2454" s="8" t="str">
        <f aca="false">IFERROR(INDEX('TRANS'!$C:$C,MATCH($B2454,'TRANS'!$A:$A,0)),IFERROR(INDEX('Catalog'!$B:$B,MATCH($G2454,'Catalog'!$A:$A,0)),$B2454))</f>
        <v>59D XL חגורת שבר דו צדדי</v>
      </c>
      <c r="I2454" s="8" t="str">
        <f aca="false">IF($G2454="","Unmatched","Matched")</f>
        <v>Matched</v>
      </c>
      <c r="J2454" s="8" t="n">
        <f aca="false">IF($G2454&lt;&gt;"",$G2454,$B2454)</f>
        <v>4408073</v>
      </c>
      <c r="K2454" s="8" t="str">
        <f aca="false">IF(COUNTIF($M$1:$M$10,$A2454)&gt;0,"Y","N")</f>
        <v>Y</v>
      </c>
    </row>
    <row r="2455" customFormat="false" ht="15" hidden="false" customHeight="true" outlineLevel="0" collapsed="false">
      <c r="A2455" s="8" t="s">
        <v>42</v>
      </c>
      <c r="B2455" s="8" t="s">
        <v>688</v>
      </c>
      <c r="C2455" s="19" t="n">
        <v>7</v>
      </c>
      <c r="D2455" s="19" t="n">
        <v>2193.44</v>
      </c>
      <c r="E2455" s="19" t="n">
        <v>4</v>
      </c>
      <c r="F2455" s="19" t="n">
        <v>1355.6</v>
      </c>
      <c r="G2455" s="8" t="n">
        <f aca="false">IFERROR(INDEX('TRANS'!$B:$B,MATCH($B2455,'TRANS'!$A:$A,0)),IFERROR(INDEX('TRANS'!$B:$B,MATCH(TRIM(SUBSTITUTE($B2455,CHAR(160)," ")),'TRANS'!$D:$D,0)),IFERROR(INDEX('Catalog'!$A:$A,MATCH($B2455,'Catalog'!$B:$B,0)),IFERROR(INDEX('Catalog'!$A:$A,MATCH(TRIM(SUBSTITUTE($B2455,CHAR(160)," ")),'Catalog'!$C:$C,0)),""))))</f>
        <v>4408076</v>
      </c>
      <c r="H2455" s="8" t="str">
        <f aca="false">IFERROR(INDEX('TRANS'!$C:$C,MATCH($B2455,'TRANS'!$A:$A,0)),IFERROR(INDEX('Catalog'!$B:$B,MATCH($G2455,'Catalog'!$A:$A,0)),$B2455))</f>
        <v>59L L חגורת שבר לצד שמאל</v>
      </c>
      <c r="I2455" s="8" t="str">
        <f aca="false">IF($G2455="","Unmatched","Matched")</f>
        <v>Matched</v>
      </c>
      <c r="J2455" s="8" t="n">
        <f aca="false">IF($G2455&lt;&gt;"",$G2455,$B2455)</f>
        <v>4408076</v>
      </c>
      <c r="K2455" s="8" t="str">
        <f aca="false">IF(COUNTIF($M$1:$M$10,$A2455)&gt;0,"Y","N")</f>
        <v>Y</v>
      </c>
    </row>
    <row r="2456" customFormat="false" ht="15" hidden="false" customHeight="true" outlineLevel="0" collapsed="false">
      <c r="A2456" s="8" t="s">
        <v>42</v>
      </c>
      <c r="B2456" s="8" t="s">
        <v>814</v>
      </c>
      <c r="C2456" s="19" t="n">
        <v>19</v>
      </c>
      <c r="D2456" s="19" t="n">
        <v>6160.04</v>
      </c>
      <c r="E2456" s="19" t="n">
        <v>8</v>
      </c>
      <c r="F2456" s="19" t="n">
        <v>2643.42</v>
      </c>
      <c r="G2456" s="8" t="n">
        <f aca="false">IFERROR(INDEX('TRANS'!$B:$B,MATCH($B2456,'TRANS'!$A:$A,0)),IFERROR(INDEX('TRANS'!$B:$B,MATCH(TRIM(SUBSTITUTE($B2456,CHAR(160)," ")),'TRANS'!$D:$D,0)),IFERROR(INDEX('Catalog'!$A:$A,MATCH($B2456,'Catalog'!$B:$B,0)),IFERROR(INDEX('Catalog'!$A:$A,MATCH(TRIM(SUBSTITUTE($B2456,CHAR(160)," ")),'Catalog'!$C:$C,0)),""))))</f>
        <v>4408077</v>
      </c>
      <c r="H2456" s="8" t="str">
        <f aca="false">IFERROR(INDEX('TRANS'!$C:$C,MATCH($B2456,'TRANS'!$A:$A,0)),IFERROR(INDEX('Catalog'!$B:$B,MATCH($G2456,'Catalog'!$A:$A,0)),$B2456))</f>
        <v>59L M חגורת שבר לצד שמאל</v>
      </c>
      <c r="I2456" s="8" t="str">
        <f aca="false">IF($G2456="","Unmatched","Matched")</f>
        <v>Matched</v>
      </c>
      <c r="J2456" s="8" t="n">
        <f aca="false">IF($G2456&lt;&gt;"",$G2456,$B2456)</f>
        <v>4408077</v>
      </c>
      <c r="K2456" s="8" t="str">
        <f aca="false">IF(COUNTIF($M$1:$M$10,$A2456)&gt;0,"Y","N")</f>
        <v>Y</v>
      </c>
    </row>
    <row r="2457" customFormat="false" ht="15" hidden="false" customHeight="true" outlineLevel="0" collapsed="false">
      <c r="A2457" s="8" t="s">
        <v>42</v>
      </c>
      <c r="B2457" s="8" t="s">
        <v>815</v>
      </c>
      <c r="C2457" s="19" t="n">
        <v>5</v>
      </c>
      <c r="D2457" s="19" t="n">
        <v>1575.88</v>
      </c>
      <c r="E2457" s="19" t="n">
        <v>1</v>
      </c>
      <c r="F2457" s="19" t="n">
        <v>305.01</v>
      </c>
      <c r="G2457" s="8" t="n">
        <f aca="false">IFERROR(INDEX('TRANS'!$B:$B,MATCH($B2457,'TRANS'!$A:$A,0)),IFERROR(INDEX('TRANS'!$B:$B,MATCH(TRIM(SUBSTITUTE($B2457,CHAR(160)," ")),'TRANS'!$D:$D,0)),IFERROR(INDEX('Catalog'!$A:$A,MATCH($B2457,'Catalog'!$B:$B,0)),IFERROR(INDEX('Catalog'!$A:$A,MATCH(TRIM(SUBSTITUTE($B2457,CHAR(160)," ")),'Catalog'!$C:$C,0)),""))))</f>
        <v>4408075</v>
      </c>
      <c r="H2457" s="8" t="str">
        <f aca="false">IFERROR(INDEX('TRANS'!$C:$C,MATCH($B2457,'TRANS'!$A:$A,0)),IFERROR(INDEX('Catalog'!$B:$B,MATCH($G2457,'Catalog'!$A:$A,0)),$B2457))</f>
        <v>59L S חגורת שבר לצד שמאל</v>
      </c>
      <c r="I2457" s="8" t="str">
        <f aca="false">IF($G2457="","Unmatched","Matched")</f>
        <v>Matched</v>
      </c>
      <c r="J2457" s="8" t="n">
        <f aca="false">IF($G2457&lt;&gt;"",$G2457,$B2457)</f>
        <v>4408075</v>
      </c>
      <c r="K2457" s="8" t="str">
        <f aca="false">IF(COUNTIF($M$1:$M$10,$A2457)&gt;0,"Y","N")</f>
        <v>Y</v>
      </c>
    </row>
    <row r="2458" customFormat="false" ht="15" hidden="false" customHeight="true" outlineLevel="0" collapsed="false">
      <c r="A2458" s="8" t="s">
        <v>42</v>
      </c>
      <c r="B2458" s="8" t="s">
        <v>816</v>
      </c>
      <c r="C2458" s="19" t="n">
        <v>1</v>
      </c>
      <c r="D2458" s="19" t="n">
        <v>288.06</v>
      </c>
      <c r="E2458" s="19" t="n">
        <v>3</v>
      </c>
      <c r="F2458" s="19" t="n">
        <v>915.03</v>
      </c>
      <c r="G2458" s="8" t="n">
        <f aca="false">IFERROR(INDEX('TRANS'!$B:$B,MATCH($B2458,'TRANS'!$A:$A,0)),IFERROR(INDEX('TRANS'!$B:$B,MATCH(TRIM(SUBSTITUTE($B2458,CHAR(160)," ")),'TRANS'!$D:$D,0)),IFERROR(INDEX('Catalog'!$A:$A,MATCH($B2458,'Catalog'!$B:$B,0)),IFERROR(INDEX('Catalog'!$A:$A,MATCH(TRIM(SUBSTITUTE($B2458,CHAR(160)," ")),'Catalog'!$C:$C,0)),""))))</f>
        <v>4408078</v>
      </c>
      <c r="H2458" s="8" t="str">
        <f aca="false">IFERROR(INDEX('TRANS'!$C:$C,MATCH($B2458,'TRANS'!$A:$A,0)),IFERROR(INDEX('Catalog'!$B:$B,MATCH($G2458,'Catalog'!$A:$A,0)),$B2458))</f>
        <v>59L XLחגורת שבר לצד שמאל</v>
      </c>
      <c r="I2458" s="8" t="str">
        <f aca="false">IF($G2458="","Unmatched","Matched")</f>
        <v>Matched</v>
      </c>
      <c r="J2458" s="8" t="n">
        <f aca="false">IF($G2458&lt;&gt;"",$G2458,$B2458)</f>
        <v>4408078</v>
      </c>
      <c r="K2458" s="8" t="str">
        <f aca="false">IF(COUNTIF($M$1:$M$10,$A2458)&gt;0,"Y","N")</f>
        <v>Y</v>
      </c>
    </row>
    <row r="2459" customFormat="false" ht="15" hidden="false" customHeight="true" outlineLevel="0" collapsed="false">
      <c r="A2459" s="8" t="s">
        <v>42</v>
      </c>
      <c r="B2459" s="8" t="s">
        <v>817</v>
      </c>
      <c r="C2459" s="19" t="n">
        <v>12</v>
      </c>
      <c r="D2459" s="19" t="n">
        <v>3763.9</v>
      </c>
      <c r="E2459" s="19" t="n">
        <v>5</v>
      </c>
      <c r="F2459" s="19" t="n">
        <v>1609.78</v>
      </c>
      <c r="G2459" s="8" t="n">
        <f aca="false">IFERROR(INDEX('TRANS'!$B:$B,MATCH($B2459,'TRANS'!$A:$A,0)),IFERROR(INDEX('TRANS'!$B:$B,MATCH(TRIM(SUBSTITUTE($B2459,CHAR(160)," ")),'TRANS'!$D:$D,0)),IFERROR(INDEX('Catalog'!$A:$A,MATCH($B2459,'Catalog'!$B:$B,0)),IFERROR(INDEX('Catalog'!$A:$A,MATCH(TRIM(SUBSTITUTE($B2459,CHAR(160)," ")),'Catalog'!$C:$C,0)),""))))</f>
        <v>4408080</v>
      </c>
      <c r="H2459" s="8" t="str">
        <f aca="false">IFERROR(INDEX('TRANS'!$C:$C,MATCH($B2459,'TRANS'!$A:$A,0)),IFERROR(INDEX('Catalog'!$B:$B,MATCH($G2459,'Catalog'!$A:$A,0)),$B2459))</f>
        <v>59R L חגורת שבר לצד ימין</v>
      </c>
      <c r="I2459" s="8" t="str">
        <f aca="false">IF($G2459="","Unmatched","Matched")</f>
        <v>Matched</v>
      </c>
      <c r="J2459" s="8" t="n">
        <f aca="false">IF($G2459&lt;&gt;"",$G2459,$B2459)</f>
        <v>4408080</v>
      </c>
      <c r="K2459" s="8" t="str">
        <f aca="false">IF(COUNTIF($M$1:$M$10,$A2459)&gt;0,"Y","N")</f>
        <v>Y</v>
      </c>
    </row>
    <row r="2460" customFormat="false" ht="15" hidden="false" customHeight="true" outlineLevel="0" collapsed="false">
      <c r="A2460" s="8" t="s">
        <v>42</v>
      </c>
      <c r="B2460" s="8" t="s">
        <v>689</v>
      </c>
      <c r="C2460" s="19" t="n">
        <v>22</v>
      </c>
      <c r="D2460" s="19" t="n">
        <v>6832</v>
      </c>
      <c r="E2460" s="19" t="n">
        <v>6</v>
      </c>
      <c r="F2460" s="19" t="n">
        <v>2033.4</v>
      </c>
      <c r="G2460" s="8" t="n">
        <f aca="false">IFERROR(INDEX('TRANS'!$B:$B,MATCH($B2460,'TRANS'!$A:$A,0)),IFERROR(INDEX('TRANS'!$B:$B,MATCH(TRIM(SUBSTITUTE($B2460,CHAR(160)," ")),'TRANS'!$D:$D,0)),IFERROR(INDEX('Catalog'!$A:$A,MATCH($B2460,'Catalog'!$B:$B,0)),IFERROR(INDEX('Catalog'!$A:$A,MATCH(TRIM(SUBSTITUTE($B2460,CHAR(160)," ")),'Catalog'!$C:$C,0)),""))))</f>
        <v>4408081</v>
      </c>
      <c r="H2460" s="8" t="str">
        <f aca="false">IFERROR(INDEX('TRANS'!$C:$C,MATCH($B2460,'TRANS'!$A:$A,0)),IFERROR(INDEX('Catalog'!$B:$B,MATCH($G2460,'Catalog'!$A:$A,0)),$B2460))</f>
        <v>59R M חגורת שבר לצד ימין</v>
      </c>
      <c r="I2460" s="8" t="str">
        <f aca="false">IF($G2460="","Unmatched","Matched")</f>
        <v>Matched</v>
      </c>
      <c r="J2460" s="8" t="n">
        <f aca="false">IF($G2460&lt;&gt;"",$G2460,$B2460)</f>
        <v>4408081</v>
      </c>
      <c r="K2460" s="8" t="str">
        <f aca="false">IF(COUNTIF($M$1:$M$10,$A2460)&gt;0,"Y","N")</f>
        <v>Y</v>
      </c>
    </row>
    <row r="2461" customFormat="false" ht="15" hidden="false" customHeight="true" outlineLevel="0" collapsed="false">
      <c r="A2461" s="8" t="s">
        <v>42</v>
      </c>
      <c r="B2461" s="8" t="s">
        <v>690</v>
      </c>
      <c r="C2461" s="19" t="n">
        <v>7</v>
      </c>
      <c r="D2461" s="19" t="n">
        <v>2118.1</v>
      </c>
      <c r="E2461" s="19" t="n">
        <v>5</v>
      </c>
      <c r="F2461" s="19" t="n">
        <v>1660.61</v>
      </c>
      <c r="G2461" s="8" t="n">
        <f aca="false">IFERROR(INDEX('TRANS'!$B:$B,MATCH($B2461,'TRANS'!$A:$A,0)),IFERROR(INDEX('TRANS'!$B:$B,MATCH(TRIM(SUBSTITUTE($B2461,CHAR(160)," ")),'TRANS'!$D:$D,0)),IFERROR(INDEX('Catalog'!$A:$A,MATCH($B2461,'Catalog'!$B:$B,0)),IFERROR(INDEX('Catalog'!$A:$A,MATCH(TRIM(SUBSTITUTE($B2461,CHAR(160)," ")),'Catalog'!$C:$C,0)),""))))</f>
        <v>4408079</v>
      </c>
      <c r="H2461" s="8" t="str">
        <f aca="false">IFERROR(INDEX('TRANS'!$C:$C,MATCH($B2461,'TRANS'!$A:$A,0)),IFERROR(INDEX('Catalog'!$B:$B,MATCH($G2461,'Catalog'!$A:$A,0)),$B2461))</f>
        <v>59R S חגורת שבר לצד ימין</v>
      </c>
      <c r="I2461" s="8" t="str">
        <f aca="false">IF($G2461="","Unmatched","Matched")</f>
        <v>Matched</v>
      </c>
      <c r="J2461" s="8" t="n">
        <f aca="false">IF($G2461&lt;&gt;"",$G2461,$B2461)</f>
        <v>4408079</v>
      </c>
      <c r="K2461" s="8" t="str">
        <f aca="false">IF(COUNTIF($M$1:$M$10,$A2461)&gt;0,"Y","N")</f>
        <v>Y</v>
      </c>
    </row>
    <row r="2462" customFormat="false" ht="15" hidden="false" customHeight="true" outlineLevel="0" collapsed="false">
      <c r="A2462" s="8" t="s">
        <v>42</v>
      </c>
      <c r="B2462" s="8" t="s">
        <v>818</v>
      </c>
      <c r="C2462" s="19" t="n">
        <v>5</v>
      </c>
      <c r="D2462" s="19" t="n">
        <v>1643.66</v>
      </c>
      <c r="E2462" s="19" t="n">
        <v>2</v>
      </c>
      <c r="F2462" s="19" t="n">
        <v>677.8</v>
      </c>
      <c r="G2462" s="8" t="n">
        <f aca="false">IFERROR(INDEX('TRANS'!$B:$B,MATCH($B2462,'TRANS'!$A:$A,0)),IFERROR(INDEX('TRANS'!$B:$B,MATCH(TRIM(SUBSTITUTE($B2462,CHAR(160)," ")),'TRANS'!$D:$D,0)),IFERROR(INDEX('Catalog'!$A:$A,MATCH($B2462,'Catalog'!$B:$B,0)),IFERROR(INDEX('Catalog'!$A:$A,MATCH(TRIM(SUBSTITUTE($B2462,CHAR(160)," ")),'Catalog'!$C:$C,0)),""))))</f>
        <v>4408082</v>
      </c>
      <c r="H2462" s="8" t="str">
        <f aca="false">IFERROR(INDEX('TRANS'!$C:$C,MATCH($B2462,'TRANS'!$A:$A,0)),IFERROR(INDEX('Catalog'!$B:$B,MATCH($G2462,'Catalog'!$A:$A,0)),$B2462))</f>
        <v>59R XL חגורת שבר לצד ימין</v>
      </c>
      <c r="I2462" s="8" t="str">
        <f aca="false">IF($G2462="","Unmatched","Matched")</f>
        <v>Matched</v>
      </c>
      <c r="J2462" s="8" t="n">
        <f aca="false">IF($G2462&lt;&gt;"",$G2462,$B2462)</f>
        <v>4408082</v>
      </c>
      <c r="K2462" s="8" t="str">
        <f aca="false">IF(COUNTIF($M$1:$M$10,$A2462)&gt;0,"Y","N")</f>
        <v>Y</v>
      </c>
    </row>
    <row r="2463" customFormat="false" ht="15" hidden="false" customHeight="true" outlineLevel="0" collapsed="false">
      <c r="A2463" s="8" t="s">
        <v>42</v>
      </c>
      <c r="B2463" s="8" t="s">
        <v>285</v>
      </c>
      <c r="C2463" s="19" t="n">
        <v>0</v>
      </c>
      <c r="D2463" s="19" t="n">
        <v>0</v>
      </c>
      <c r="E2463" s="19" t="n">
        <v>2</v>
      </c>
      <c r="F2463" s="19" t="n">
        <v>1078.65</v>
      </c>
      <c r="G2463" s="8" t="str">
        <f aca="false">IFERROR(INDEX('TRANS'!$B:$B,MATCH($B2463,'TRANS'!$A:$A,0)),IFERROR(INDEX('TRANS'!$B:$B,MATCH(TRIM(SUBSTITUTE($B2463,CHAR(160)," ")),'TRANS'!$D:$D,0)),IFERROR(INDEX('Catalog'!$A:$A,MATCH($B2463,'Catalog'!$B:$B,0)),IFERROR(INDEX('Catalog'!$A:$A,MATCH(TRIM(SUBSTITUTE($B2463,CHAR(160)," ")),'Catalog'!$C:$C,0)),""))))</f>
        <v/>
      </c>
      <c r="H2463" s="8" t="str">
        <f aca="false">IFERROR(INDEX('TRANS'!$C:$C,MATCH($B2463,'TRANS'!$A:$A,0)),IFERROR(INDEX('Catalog'!$B:$B,MATCH($G2463,'Catalog'!$A:$A,0)),$B2463))</f>
        <v>59DB L</v>
      </c>
      <c r="I2463" s="8" t="str">
        <f aca="false">IF($G2463="","Unmatched","Matched")</f>
        <v>Unmatched</v>
      </c>
      <c r="J2463" s="8" t="str">
        <f aca="false">IF($G2463&lt;&gt;"",$G2463,$B2463)</f>
        <v>59DB L</v>
      </c>
      <c r="K2463" s="8" t="str">
        <f aca="false">IF(COUNTIF($M$1:$M$10,$A2463)&gt;0,"Y","N")</f>
        <v>Y</v>
      </c>
    </row>
    <row r="2464" customFormat="false" ht="15" hidden="false" customHeight="true" outlineLevel="0" collapsed="false">
      <c r="A2464" s="8" t="s">
        <v>42</v>
      </c>
      <c r="B2464" s="8" t="s">
        <v>286</v>
      </c>
      <c r="C2464" s="19" t="n">
        <v>0</v>
      </c>
      <c r="D2464" s="19" t="n">
        <v>0</v>
      </c>
      <c r="E2464" s="19" t="n">
        <v>2</v>
      </c>
      <c r="F2464" s="19" t="n">
        <v>993.5</v>
      </c>
      <c r="G2464" s="8" t="str">
        <f aca="false">IFERROR(INDEX('TRANS'!$B:$B,MATCH($B2464,'TRANS'!$A:$A,0)),IFERROR(INDEX('TRANS'!$B:$B,MATCH(TRIM(SUBSTITUTE($B2464,CHAR(160)," ")),'TRANS'!$D:$D,0)),IFERROR(INDEX('Catalog'!$A:$A,MATCH($B2464,'Catalog'!$B:$B,0)),IFERROR(INDEX('Catalog'!$A:$A,MATCH(TRIM(SUBSTITUTE($B2464,CHAR(160)," ")),'Catalog'!$C:$C,0)),""))))</f>
        <v/>
      </c>
      <c r="H2464" s="8" t="str">
        <f aca="false">IFERROR(INDEX('TRANS'!$C:$C,MATCH($B2464,'TRANS'!$A:$A,0)),IFERROR(INDEX('Catalog'!$B:$B,MATCH($G2464,'Catalog'!$A:$A,0)),$B2464))</f>
        <v>59DB M</v>
      </c>
      <c r="I2464" s="8" t="str">
        <f aca="false">IF($G2464="","Unmatched","Matched")</f>
        <v>Unmatched</v>
      </c>
      <c r="J2464" s="8" t="str">
        <f aca="false">IF($G2464&lt;&gt;"",$G2464,$B2464)</f>
        <v>59DB M</v>
      </c>
      <c r="K2464" s="8" t="str">
        <f aca="false">IF(COUNTIF($M$1:$M$10,$A2464)&gt;0,"Y","N")</f>
        <v>Y</v>
      </c>
    </row>
    <row r="2465" customFormat="false" ht="15" hidden="false" customHeight="true" outlineLevel="0" collapsed="false">
      <c r="A2465" s="8" t="s">
        <v>42</v>
      </c>
      <c r="B2465" s="8" t="s">
        <v>376</v>
      </c>
      <c r="C2465" s="19" t="n">
        <v>0</v>
      </c>
      <c r="D2465" s="19" t="n">
        <v>0</v>
      </c>
      <c r="E2465" s="19" t="n">
        <v>1</v>
      </c>
      <c r="F2465" s="19" t="n">
        <v>567.71</v>
      </c>
      <c r="G2465" s="8" t="str">
        <f aca="false">IFERROR(INDEX('TRANS'!$B:$B,MATCH($B2465,'TRANS'!$A:$A,0)),IFERROR(INDEX('TRANS'!$B:$B,MATCH(TRIM(SUBSTITUTE($B2465,CHAR(160)," ")),'TRANS'!$D:$D,0)),IFERROR(INDEX('Catalog'!$A:$A,MATCH($B2465,'Catalog'!$B:$B,0)),IFERROR(INDEX('Catalog'!$A:$A,MATCH(TRIM(SUBSTITUTE($B2465,CHAR(160)," ")),'Catalog'!$C:$C,0)),""))))</f>
        <v/>
      </c>
      <c r="H2465" s="8" t="str">
        <f aca="false">IFERROR(INDEX('TRANS'!$C:$C,MATCH($B2465,'TRANS'!$A:$A,0)),IFERROR(INDEX('Catalog'!$B:$B,MATCH($G2465,'Catalog'!$A:$A,0)),$B2465))</f>
        <v>59DB S</v>
      </c>
      <c r="I2465" s="8" t="str">
        <f aca="false">IF($G2465="","Unmatched","Matched")</f>
        <v>Unmatched</v>
      </c>
      <c r="J2465" s="8" t="str">
        <f aca="false">IF($G2465&lt;&gt;"",$G2465,$B2465)</f>
        <v>59DB S</v>
      </c>
      <c r="K2465" s="8" t="str">
        <f aca="false">IF(COUNTIF($M$1:$M$10,$A2465)&gt;0,"Y","N")</f>
        <v>Y</v>
      </c>
    </row>
    <row r="2466" customFormat="false" ht="15" hidden="false" customHeight="true" outlineLevel="0" collapsed="false">
      <c r="A2466" s="8" t="s">
        <v>42</v>
      </c>
      <c r="B2466" s="8" t="s">
        <v>506</v>
      </c>
      <c r="C2466" s="19" t="n">
        <v>1</v>
      </c>
      <c r="D2466" s="19" t="n">
        <v>482.55</v>
      </c>
      <c r="E2466" s="19" t="n">
        <v>0</v>
      </c>
      <c r="F2466" s="19" t="n">
        <v>0</v>
      </c>
      <c r="G2466" s="8" t="str">
        <f aca="false">IFERROR(INDEX('TRANS'!$B:$B,MATCH($B2466,'TRANS'!$A:$A,0)),IFERROR(INDEX('TRANS'!$B:$B,MATCH(TRIM(SUBSTITUTE($B2466,CHAR(160)," ")),'TRANS'!$D:$D,0)),IFERROR(INDEX('Catalog'!$A:$A,MATCH($B2466,'Catalog'!$B:$B,0)),IFERROR(INDEX('Catalog'!$A:$A,MATCH(TRIM(SUBSTITUTE($B2466,CHAR(160)," ")),'Catalog'!$C:$C,0)),""))))</f>
        <v/>
      </c>
      <c r="H2466" s="8" t="str">
        <f aca="false">IFERROR(INDEX('TRANS'!$C:$C,MATCH($B2466,'TRANS'!$A:$A,0)),IFERROR(INDEX('Catalog'!$B:$B,MATCH($G2466,'Catalog'!$A:$A,0)),$B2466))</f>
        <v>59DB XL</v>
      </c>
      <c r="I2466" s="8" t="str">
        <f aca="false">IF($G2466="","Unmatched","Matched")</f>
        <v>Unmatched</v>
      </c>
      <c r="J2466" s="8" t="str">
        <f aca="false">IF($G2466&lt;&gt;"",$G2466,$B2466)</f>
        <v>59DB XL</v>
      </c>
      <c r="K2466" s="8" t="str">
        <f aca="false">IF(COUNTIF($M$1:$M$10,$A2466)&gt;0,"Y","N")</f>
        <v>Y</v>
      </c>
    </row>
    <row r="2467" customFormat="false" ht="15" hidden="false" customHeight="true" outlineLevel="0" collapsed="false">
      <c r="A2467" s="8" t="s">
        <v>42</v>
      </c>
      <c r="B2467" s="8" t="s">
        <v>237</v>
      </c>
      <c r="C2467" s="19" t="n">
        <v>4</v>
      </c>
      <c r="D2467" s="19" t="n">
        <v>1270.87</v>
      </c>
      <c r="E2467" s="19" t="n">
        <v>3</v>
      </c>
      <c r="F2467" s="19" t="n">
        <v>965.87</v>
      </c>
      <c r="G2467" s="8" t="str">
        <f aca="false">IFERROR(INDEX('TRANS'!$B:$B,MATCH($B2467,'TRANS'!$A:$A,0)),IFERROR(INDEX('TRANS'!$B:$B,MATCH(TRIM(SUBSTITUTE($B2467,CHAR(160)," ")),'TRANS'!$D:$D,0)),IFERROR(INDEX('Catalog'!$A:$A,MATCH($B2467,'Catalog'!$B:$B,0)),IFERROR(INDEX('Catalog'!$A:$A,MATCH(TRIM(SUBSTITUTE($B2467,CHAR(160)," ")),'Catalog'!$C:$C,0)),""))))</f>
        <v/>
      </c>
      <c r="H2467" s="8" t="str">
        <f aca="false">IFERROR(INDEX('TRANS'!$C:$C,MATCH($B2467,'TRANS'!$A:$A,0)),IFERROR(INDEX('Catalog'!$B:$B,MATCH($G2467,'Catalog'!$A:$A,0)),$B2467))</f>
        <v>59LB L</v>
      </c>
      <c r="I2467" s="8" t="str">
        <f aca="false">IF($G2467="","Unmatched","Matched")</f>
        <v>Unmatched</v>
      </c>
      <c r="J2467" s="8" t="str">
        <f aca="false">IF($G2467&lt;&gt;"",$G2467,$B2467)</f>
        <v>59LB L</v>
      </c>
      <c r="K2467" s="8" t="str">
        <f aca="false">IF(COUNTIF($M$1:$M$10,$A2467)&gt;0,"Y","N")</f>
        <v>Y</v>
      </c>
    </row>
    <row r="2468" customFormat="false" ht="15" hidden="false" customHeight="true" outlineLevel="0" collapsed="false">
      <c r="A2468" s="8" t="s">
        <v>42</v>
      </c>
      <c r="B2468" s="8" t="s">
        <v>202</v>
      </c>
      <c r="C2468" s="19" t="n">
        <v>0</v>
      </c>
      <c r="D2468" s="19" t="n">
        <v>0</v>
      </c>
      <c r="E2468" s="19" t="n">
        <v>5</v>
      </c>
      <c r="F2468" s="19" t="n">
        <v>1660.61</v>
      </c>
      <c r="G2468" s="8" t="str">
        <f aca="false">IFERROR(INDEX('TRANS'!$B:$B,MATCH($B2468,'TRANS'!$A:$A,0)),IFERROR(INDEX('TRANS'!$B:$B,MATCH(TRIM(SUBSTITUTE($B2468,CHAR(160)," ")),'TRANS'!$D:$D,0)),IFERROR(INDEX('Catalog'!$A:$A,MATCH($B2468,'Catalog'!$B:$B,0)),IFERROR(INDEX('Catalog'!$A:$A,MATCH(TRIM(SUBSTITUTE($B2468,CHAR(160)," ")),'Catalog'!$C:$C,0)),""))))</f>
        <v/>
      </c>
      <c r="H2468" s="8" t="str">
        <f aca="false">IFERROR(INDEX('TRANS'!$C:$C,MATCH($B2468,'TRANS'!$A:$A,0)),IFERROR(INDEX('Catalog'!$B:$B,MATCH($G2468,'Catalog'!$A:$A,0)),$B2468))</f>
        <v>59LB M</v>
      </c>
      <c r="I2468" s="8" t="str">
        <f aca="false">IF($G2468="","Unmatched","Matched")</f>
        <v>Unmatched</v>
      </c>
      <c r="J2468" s="8" t="str">
        <f aca="false">IF($G2468&lt;&gt;"",$G2468,$B2468)</f>
        <v>59LB M</v>
      </c>
      <c r="K2468" s="8" t="str">
        <f aca="false">IF(COUNTIF($M$1:$M$10,$A2468)&gt;0,"Y","N")</f>
        <v>Y</v>
      </c>
    </row>
    <row r="2469" customFormat="false" ht="15" hidden="false" customHeight="true" outlineLevel="0" collapsed="false">
      <c r="A2469" s="8" t="s">
        <v>42</v>
      </c>
      <c r="B2469" s="8" t="s">
        <v>203</v>
      </c>
      <c r="C2469" s="19" t="n">
        <v>3</v>
      </c>
      <c r="D2469" s="19" t="n">
        <v>915.03</v>
      </c>
      <c r="E2469" s="19" t="n">
        <v>5</v>
      </c>
      <c r="F2469" s="19" t="n">
        <v>1626.72</v>
      </c>
      <c r="G2469" s="8" t="str">
        <f aca="false">IFERROR(INDEX('TRANS'!$B:$B,MATCH($B2469,'TRANS'!$A:$A,0)),IFERROR(INDEX('TRANS'!$B:$B,MATCH(TRIM(SUBSTITUTE($B2469,CHAR(160)," ")),'TRANS'!$D:$D,0)),IFERROR(INDEX('Catalog'!$A:$A,MATCH($B2469,'Catalog'!$B:$B,0)),IFERROR(INDEX('Catalog'!$A:$A,MATCH(TRIM(SUBSTITUTE($B2469,CHAR(160)," ")),'Catalog'!$C:$C,0)),""))))</f>
        <v/>
      </c>
      <c r="H2469" s="8" t="str">
        <f aca="false">IFERROR(INDEX('TRANS'!$C:$C,MATCH($B2469,'TRANS'!$A:$A,0)),IFERROR(INDEX('Catalog'!$B:$B,MATCH($G2469,'Catalog'!$A:$A,0)),$B2469))</f>
        <v>59RB L</v>
      </c>
      <c r="I2469" s="8" t="str">
        <f aca="false">IF($G2469="","Unmatched","Matched")</f>
        <v>Unmatched</v>
      </c>
      <c r="J2469" s="8" t="str">
        <f aca="false">IF($G2469&lt;&gt;"",$G2469,$B2469)</f>
        <v>59RB L</v>
      </c>
      <c r="K2469" s="8" t="str">
        <f aca="false">IF(COUNTIF($M$1:$M$10,$A2469)&gt;0,"Y","N")</f>
        <v>Y</v>
      </c>
    </row>
    <row r="2470" customFormat="false" ht="15" hidden="false" customHeight="true" outlineLevel="0" collapsed="false">
      <c r="A2470" s="8" t="s">
        <v>42</v>
      </c>
      <c r="B2470" s="8" t="s">
        <v>204</v>
      </c>
      <c r="C2470" s="19" t="n">
        <v>0</v>
      </c>
      <c r="D2470" s="19" t="n">
        <v>0</v>
      </c>
      <c r="E2470" s="19" t="n">
        <v>5</v>
      </c>
      <c r="F2470" s="19" t="n">
        <v>1585.61</v>
      </c>
      <c r="G2470" s="8" t="str">
        <f aca="false">IFERROR(INDEX('TRANS'!$B:$B,MATCH($B2470,'TRANS'!$A:$A,0)),IFERROR(INDEX('TRANS'!$B:$B,MATCH(TRIM(SUBSTITUTE($B2470,CHAR(160)," ")),'TRANS'!$D:$D,0)),IFERROR(INDEX('Catalog'!$A:$A,MATCH($B2470,'Catalog'!$B:$B,0)),IFERROR(INDEX('Catalog'!$A:$A,MATCH(TRIM(SUBSTITUTE($B2470,CHAR(160)," ")),'Catalog'!$C:$C,0)),""))))</f>
        <v/>
      </c>
      <c r="H2470" s="8" t="str">
        <f aca="false">IFERROR(INDEX('TRANS'!$C:$C,MATCH($B2470,'TRANS'!$A:$A,0)),IFERROR(INDEX('Catalog'!$B:$B,MATCH($G2470,'Catalog'!$A:$A,0)),$B2470))</f>
        <v>59RB M</v>
      </c>
      <c r="I2470" s="8" t="str">
        <f aca="false">IF($G2470="","Unmatched","Matched")</f>
        <v>Unmatched</v>
      </c>
      <c r="J2470" s="8" t="str">
        <f aca="false">IF($G2470&lt;&gt;"",$G2470,$B2470)</f>
        <v>59RB M</v>
      </c>
      <c r="K2470" s="8" t="str">
        <f aca="false">IF(COUNTIF($M$1:$M$10,$A2470)&gt;0,"Y","N")</f>
        <v>Y</v>
      </c>
    </row>
    <row r="2471" customFormat="false" ht="15" hidden="false" customHeight="true" outlineLevel="0" collapsed="false">
      <c r="A2471" s="8" t="s">
        <v>42</v>
      </c>
      <c r="B2471" s="8" t="s">
        <v>377</v>
      </c>
      <c r="C2471" s="19" t="n">
        <v>0</v>
      </c>
      <c r="D2471" s="19" t="n">
        <v>0</v>
      </c>
      <c r="E2471" s="19" t="n">
        <v>1</v>
      </c>
      <c r="F2471" s="19" t="n">
        <v>338.9</v>
      </c>
      <c r="G2471" s="8" t="str">
        <f aca="false">IFERROR(INDEX('TRANS'!$B:$B,MATCH($B2471,'TRANS'!$A:$A,0)),IFERROR(INDEX('TRANS'!$B:$B,MATCH(TRIM(SUBSTITUTE($B2471,CHAR(160)," ")),'TRANS'!$D:$D,0)),IFERROR(INDEX('Catalog'!$A:$A,MATCH($B2471,'Catalog'!$B:$B,0)),IFERROR(INDEX('Catalog'!$A:$A,MATCH(TRIM(SUBSTITUTE($B2471,CHAR(160)," ")),'Catalog'!$C:$C,0)),""))))</f>
        <v/>
      </c>
      <c r="H2471" s="8" t="str">
        <f aca="false">IFERROR(INDEX('TRANS'!$C:$C,MATCH($B2471,'TRANS'!$A:$A,0)),IFERROR(INDEX('Catalog'!$B:$B,MATCH($G2471,'Catalog'!$A:$A,0)),$B2471))</f>
        <v>59RB XL</v>
      </c>
      <c r="I2471" s="8" t="str">
        <f aca="false">IF($G2471="","Unmatched","Matched")</f>
        <v>Unmatched</v>
      </c>
      <c r="J2471" s="8" t="str">
        <f aca="false">IF($G2471&lt;&gt;"",$G2471,$B2471)</f>
        <v>59RB XL</v>
      </c>
      <c r="K2471" s="8" t="str">
        <f aca="false">IF(COUNTIF($M$1:$M$10,$A2471)&gt;0,"Y","N")</f>
        <v>Y</v>
      </c>
    </row>
    <row r="2472" customFormat="false" ht="15" hidden="false" customHeight="true" outlineLevel="0" collapsed="false">
      <c r="A2472" s="8" t="s">
        <v>42</v>
      </c>
      <c r="B2472" s="8" t="s">
        <v>378</v>
      </c>
      <c r="C2472" s="19" t="n">
        <v>0</v>
      </c>
      <c r="D2472" s="19" t="n">
        <v>0</v>
      </c>
      <c r="E2472" s="19" t="n">
        <v>1</v>
      </c>
      <c r="F2472" s="19" t="n">
        <v>288.07</v>
      </c>
      <c r="G2472" s="8" t="str">
        <f aca="false">IFERROR(INDEX('TRANS'!$B:$B,MATCH($B2472,'TRANS'!$A:$A,0)),IFERROR(INDEX('TRANS'!$B:$B,MATCH(TRIM(SUBSTITUTE($B2472,CHAR(160)," ")),'TRANS'!$D:$D,0)),IFERROR(INDEX('Catalog'!$A:$A,MATCH($B2472,'Catalog'!$B:$B,0)),IFERROR(INDEX('Catalog'!$A:$A,MATCH(TRIM(SUBSTITUTE($B2472,CHAR(160)," ")),'Catalog'!$C:$C,0)),""))))</f>
        <v/>
      </c>
      <c r="H2472" s="8" t="str">
        <f aca="false">IFERROR(INDEX('TRANS'!$C:$C,MATCH($B2472,'TRANS'!$A:$A,0)),IFERROR(INDEX('Catalog'!$B:$B,MATCH($G2472,'Catalog'!$A:$A,0)),$B2472))</f>
        <v>59RB XXL</v>
      </c>
      <c r="I2472" s="8" t="str">
        <f aca="false">IF($G2472="","Unmatched","Matched")</f>
        <v>Unmatched</v>
      </c>
      <c r="J2472" s="8" t="str">
        <f aca="false">IF($G2472&lt;&gt;"",$G2472,$B2472)</f>
        <v>59RB XXL</v>
      </c>
      <c r="K2472" s="8" t="str">
        <f aca="false">IF(COUNTIF($M$1:$M$10,$A2472)&gt;0,"Y","N")</f>
        <v>Y</v>
      </c>
    </row>
    <row r="2473" customFormat="false" ht="15" hidden="false" customHeight="true" outlineLevel="0" collapsed="false">
      <c r="A2473" s="8" t="s">
        <v>42</v>
      </c>
      <c r="B2473" s="8" t="s">
        <v>917</v>
      </c>
      <c r="C2473" s="19" t="n">
        <v>7</v>
      </c>
      <c r="D2473" s="19" t="n">
        <v>592.35</v>
      </c>
      <c r="E2473" s="19" t="n">
        <v>11</v>
      </c>
      <c r="F2473" s="19" t="n">
        <v>973.9</v>
      </c>
      <c r="G2473" s="8" t="n">
        <f aca="false">IFERROR(INDEX('TRANS'!$B:$B,MATCH($B2473,'TRANS'!$A:$A,0)),IFERROR(INDEX('TRANS'!$B:$B,MATCH(TRIM(SUBSTITUTE($B2473,CHAR(160)," ")),'TRANS'!$D:$D,0)),IFERROR(INDEX('Catalog'!$A:$A,MATCH($B2473,'Catalog'!$B:$B,0)),IFERROR(INDEX('Catalog'!$A:$A,MATCH(TRIM(SUBSTITUTE($B2473,CHAR(160)," ")),'Catalog'!$C:$C,0)),""))))</f>
        <v>4418000</v>
      </c>
      <c r="H2473" s="8" t="str">
        <f aca="false">IFERROR(INDEX('TRANS'!$C:$C,MATCH($B2473,'TRANS'!$A:$A,0)),IFERROR(INDEX('Catalog'!$B:$B,MATCH($G2473,'Catalog'!$A:$A,0)),$B2473))</f>
        <v>60 L צוארון ספוגי</v>
      </c>
      <c r="I2473" s="8" t="str">
        <f aca="false">IF($G2473="","Unmatched","Matched")</f>
        <v>Matched</v>
      </c>
      <c r="J2473" s="8" t="n">
        <f aca="false">IF($G2473&lt;&gt;"",$G2473,$B2473)</f>
        <v>4418000</v>
      </c>
      <c r="K2473" s="8" t="str">
        <f aca="false">IF(COUNTIF($M$1:$M$10,$A2473)&gt;0,"Y","N")</f>
        <v>Y</v>
      </c>
    </row>
    <row r="2474" customFormat="false" ht="15" hidden="false" customHeight="true" outlineLevel="0" collapsed="false">
      <c r="A2474" s="8" t="s">
        <v>42</v>
      </c>
      <c r="B2474" s="8" t="s">
        <v>691</v>
      </c>
      <c r="C2474" s="19" t="n">
        <v>7</v>
      </c>
      <c r="D2474" s="19" t="n">
        <v>592.35</v>
      </c>
      <c r="E2474" s="19" t="n">
        <v>20</v>
      </c>
      <c r="F2474" s="19" t="n">
        <v>1732.1</v>
      </c>
      <c r="G2474" s="8" t="n">
        <f aca="false">IFERROR(INDEX('TRANS'!$B:$B,MATCH($B2474,'TRANS'!$A:$A,0)),IFERROR(INDEX('TRANS'!$B:$B,MATCH(TRIM(SUBSTITUTE($B2474,CHAR(160)," ")),'TRANS'!$D:$D,0)),IFERROR(INDEX('Catalog'!$A:$A,MATCH($B2474,'Catalog'!$B:$B,0)),IFERROR(INDEX('Catalog'!$A:$A,MATCH(TRIM(SUBSTITUTE($B2474,CHAR(160)," ")),'Catalog'!$C:$C,0)),""))))</f>
        <v>4418001</v>
      </c>
      <c r="H2474" s="8" t="str">
        <f aca="false">IFERROR(INDEX('TRANS'!$C:$C,MATCH($B2474,'TRANS'!$A:$A,0)),IFERROR(INDEX('Catalog'!$B:$B,MATCH($G2474,'Catalog'!$A:$A,0)),$B2474))</f>
        <v>60 M צוארון ספוגי</v>
      </c>
      <c r="I2474" s="8" t="str">
        <f aca="false">IF($G2474="","Unmatched","Matched")</f>
        <v>Matched</v>
      </c>
      <c r="J2474" s="8" t="n">
        <f aca="false">IF($G2474&lt;&gt;"",$G2474,$B2474)</f>
        <v>4418001</v>
      </c>
      <c r="K2474" s="8" t="str">
        <f aca="false">IF(COUNTIF($M$1:$M$10,$A2474)&gt;0,"Y","N")</f>
        <v>Y</v>
      </c>
    </row>
    <row r="2475" customFormat="false" ht="15" hidden="false" customHeight="true" outlineLevel="0" collapsed="false">
      <c r="A2475" s="8" t="s">
        <v>42</v>
      </c>
      <c r="B2475" s="8" t="s">
        <v>692</v>
      </c>
      <c r="C2475" s="19" t="n">
        <v>8</v>
      </c>
      <c r="D2475" s="19" t="n">
        <v>686.59</v>
      </c>
      <c r="E2475" s="19" t="n">
        <v>10</v>
      </c>
      <c r="F2475" s="19" t="n">
        <v>888.51</v>
      </c>
      <c r="G2475" s="8" t="n">
        <f aca="false">IFERROR(INDEX('TRANS'!$B:$B,MATCH($B2475,'TRANS'!$A:$A,0)),IFERROR(INDEX('TRANS'!$B:$B,MATCH(TRIM(SUBSTITUTE($B2475,CHAR(160)," ")),'TRANS'!$D:$D,0)),IFERROR(INDEX('Catalog'!$A:$A,MATCH($B2475,'Catalog'!$B:$B,0)),IFERROR(INDEX('Catalog'!$A:$A,MATCH(TRIM(SUBSTITUTE($B2475,CHAR(160)," ")),'Catalog'!$C:$C,0)),""))))</f>
        <v>4418002</v>
      </c>
      <c r="H2475" s="8" t="str">
        <f aca="false">IFERROR(INDEX('TRANS'!$C:$C,MATCH($B2475,'TRANS'!$A:$A,0)),IFERROR(INDEX('Catalog'!$B:$B,MATCH($G2475,'Catalog'!$A:$A,0)),$B2475))</f>
        <v>60 S צוארון ספוגי</v>
      </c>
      <c r="I2475" s="8" t="str">
        <f aca="false">IF($G2475="","Unmatched","Matched")</f>
        <v>Matched</v>
      </c>
      <c r="J2475" s="8" t="n">
        <f aca="false">IF($G2475&lt;&gt;"",$G2475,$B2475)</f>
        <v>4418002</v>
      </c>
      <c r="K2475" s="8" t="str">
        <f aca="false">IF(COUNTIF($M$1:$M$10,$A2475)&gt;0,"Y","N")</f>
        <v>Y</v>
      </c>
    </row>
    <row r="2476" customFormat="false" ht="15" hidden="false" customHeight="true" outlineLevel="0" collapsed="false">
      <c r="A2476" s="8" t="s">
        <v>42</v>
      </c>
      <c r="B2476" s="8" t="s">
        <v>819</v>
      </c>
      <c r="C2476" s="19" t="n">
        <v>2</v>
      </c>
      <c r="D2476" s="19" t="n">
        <v>166.04</v>
      </c>
      <c r="E2476" s="19" t="n">
        <v>5</v>
      </c>
      <c r="F2476" s="19" t="n">
        <v>426.3</v>
      </c>
      <c r="G2476" s="8" t="n">
        <f aca="false">IFERROR(INDEX('TRANS'!$B:$B,MATCH($B2476,'TRANS'!$A:$A,0)),IFERROR(INDEX('TRANS'!$B:$B,MATCH(TRIM(SUBSTITUTE($B2476,CHAR(160)," ")),'TRANS'!$D:$D,0)),IFERROR(INDEX('Catalog'!$A:$A,MATCH($B2476,'Catalog'!$B:$B,0)),IFERROR(INDEX('Catalog'!$A:$A,MATCH(TRIM(SUBSTITUTE($B2476,CHAR(160)," ")),'Catalog'!$C:$C,0)),""))))</f>
        <v>4418003</v>
      </c>
      <c r="H2476" s="8" t="str">
        <f aca="false">IFERROR(INDEX('TRANS'!$C:$C,MATCH($B2476,'TRANS'!$A:$A,0)),IFERROR(INDEX('Catalog'!$B:$B,MATCH($G2476,'Catalog'!$A:$A,0)),$B2476))</f>
        <v>60 XL צוארון ספוגי</v>
      </c>
      <c r="I2476" s="8" t="str">
        <f aca="false">IF($G2476="","Unmatched","Matched")</f>
        <v>Matched</v>
      </c>
      <c r="J2476" s="8" t="n">
        <f aca="false">IF($G2476&lt;&gt;"",$G2476,$B2476)</f>
        <v>4418003</v>
      </c>
      <c r="K2476" s="8" t="str">
        <f aca="false">IF(COUNTIF($M$1:$M$10,$A2476)&gt;0,"Y","N")</f>
        <v>Y</v>
      </c>
    </row>
    <row r="2477" customFormat="false" ht="15" hidden="false" customHeight="true" outlineLevel="0" collapsed="false">
      <c r="A2477" s="8" t="s">
        <v>42</v>
      </c>
      <c r="B2477" s="8" t="s">
        <v>349</v>
      </c>
      <c r="C2477" s="19" t="n">
        <v>5</v>
      </c>
      <c r="D2477" s="19" t="n">
        <v>394.9</v>
      </c>
      <c r="E2477" s="19" t="n">
        <v>0</v>
      </c>
      <c r="F2477" s="19" t="n">
        <v>0</v>
      </c>
      <c r="G2477" s="8" t="str">
        <f aca="false">IFERROR(INDEX('TRANS'!$B:$B,MATCH($B2477,'TRANS'!$A:$A,0)),IFERROR(INDEX('TRANS'!$B:$B,MATCH(TRIM(SUBSTITUTE($B2477,CHAR(160)," ")),'TRANS'!$D:$D,0)),IFERROR(INDEX('Catalog'!$A:$A,MATCH($B2477,'Catalog'!$B:$B,0)),IFERROR(INDEX('Catalog'!$A:$A,MATCH(TRIM(SUBSTITUTE($B2477,CHAR(160)," ")),'Catalog'!$C:$C,0)),""))))</f>
        <v/>
      </c>
      <c r="H2477" s="8" t="str">
        <f aca="false">IFERROR(INDEX('TRANS'!$C:$C,MATCH($B2477,'TRANS'!$A:$A,0)),IFERROR(INDEX('Catalog'!$B:$B,MATCH($G2477,'Catalog'!$A:$A,0)),$B2477))</f>
        <v>60 XS</v>
      </c>
      <c r="I2477" s="8" t="str">
        <f aca="false">IF($G2477="","Unmatched","Matched")</f>
        <v>Unmatched</v>
      </c>
      <c r="J2477" s="8" t="str">
        <f aca="false">IF($G2477&lt;&gt;"",$G2477,$B2477)</f>
        <v>60 XS</v>
      </c>
      <c r="K2477" s="8" t="str">
        <f aca="false">IF(COUNTIF($M$1:$M$10,$A2477)&gt;0,"Y","N")</f>
        <v>Y</v>
      </c>
    </row>
    <row r="2478" customFormat="false" ht="15" hidden="false" customHeight="true" outlineLevel="0" collapsed="false">
      <c r="A2478" s="8" t="s">
        <v>42</v>
      </c>
      <c r="B2478" s="8" t="s">
        <v>223</v>
      </c>
      <c r="C2478" s="19" t="n">
        <v>1</v>
      </c>
      <c r="D2478" s="19" t="n">
        <v>89.75</v>
      </c>
      <c r="E2478" s="19" t="n">
        <v>2</v>
      </c>
      <c r="F2478" s="19" t="n">
        <v>170.52</v>
      </c>
      <c r="G2478" s="8" t="str">
        <f aca="false">IFERROR(INDEX('TRANS'!$B:$B,MATCH($B2478,'TRANS'!$A:$A,0)),IFERROR(INDEX('TRANS'!$B:$B,MATCH(TRIM(SUBSTITUTE($B2478,CHAR(160)," ")),'TRANS'!$D:$D,0)),IFERROR(INDEX('Catalog'!$A:$A,MATCH($B2478,'Catalog'!$B:$B,0)),IFERROR(INDEX('Catalog'!$A:$A,MATCH(TRIM(SUBSTITUTE($B2478,CHAR(160)," ")),'Catalog'!$C:$C,0)),""))))</f>
        <v/>
      </c>
      <c r="H2478" s="8" t="str">
        <f aca="false">IFERROR(INDEX('TRANS'!$C:$C,MATCH($B2478,'TRANS'!$A:$A,0)),IFERROR(INDEX('Catalog'!$B:$B,MATCH($G2478,'Catalog'!$A:$A,0)),$B2478))</f>
        <v>60 XXL</v>
      </c>
      <c r="I2478" s="8" t="str">
        <f aca="false">IF($G2478="","Unmatched","Matched")</f>
        <v>Unmatched</v>
      </c>
      <c r="J2478" s="8" t="str">
        <f aca="false">IF($G2478&lt;&gt;"",$G2478,$B2478)</f>
        <v>60 XXL</v>
      </c>
      <c r="K2478" s="8" t="str">
        <f aca="false">IF(COUNTIF($M$1:$M$10,$A2478)&gt;0,"Y","N")</f>
        <v>Y</v>
      </c>
    </row>
    <row r="2479" customFormat="false" ht="15" hidden="false" customHeight="true" outlineLevel="0" collapsed="false">
      <c r="A2479" s="8" t="s">
        <v>42</v>
      </c>
      <c r="B2479" s="8" t="s">
        <v>93</v>
      </c>
      <c r="C2479" s="19" t="n">
        <v>3</v>
      </c>
      <c r="D2479" s="19" t="n">
        <v>255.79</v>
      </c>
      <c r="E2479" s="19" t="n">
        <v>6</v>
      </c>
      <c r="F2479" s="19" t="n">
        <v>538.49</v>
      </c>
      <c r="G2479" s="8" t="str">
        <f aca="false">IFERROR(INDEX('TRANS'!$B:$B,MATCH($B2479,'TRANS'!$A:$A,0)),IFERROR(INDEX('TRANS'!$B:$B,MATCH(TRIM(SUBSTITUTE($B2479,CHAR(160)," ")),'TRANS'!$D:$D,0)),IFERROR(INDEX('Catalog'!$A:$A,MATCH($B2479,'Catalog'!$B:$B,0)),IFERROR(INDEX('Catalog'!$A:$A,MATCH(TRIM(SUBSTITUTE($B2479,CHAR(160)," ")),'Catalog'!$C:$C,0)),""))))</f>
        <v/>
      </c>
      <c r="H2479" s="8" t="str">
        <f aca="false">IFERROR(INDEX('TRANS'!$C:$C,MATCH($B2479,'TRANS'!$A:$A,0)),IFERROR(INDEX('Catalog'!$B:$B,MATCH($G2479,'Catalog'!$A:$A,0)),$B2479))</f>
        <v>60B L</v>
      </c>
      <c r="I2479" s="8" t="str">
        <f aca="false">IF($G2479="","Unmatched","Matched")</f>
        <v>Unmatched</v>
      </c>
      <c r="J2479" s="8" t="str">
        <f aca="false">IF($G2479&lt;&gt;"",$G2479,$B2479)</f>
        <v>60B L</v>
      </c>
      <c r="K2479" s="8" t="str">
        <f aca="false">IF(COUNTIF($M$1:$M$10,$A2479)&gt;0,"Y","N")</f>
        <v>Y</v>
      </c>
    </row>
    <row r="2480" customFormat="false" ht="15" hidden="false" customHeight="true" outlineLevel="0" collapsed="false">
      <c r="A2480" s="8" t="s">
        <v>42</v>
      </c>
      <c r="B2480" s="8" t="s">
        <v>75</v>
      </c>
      <c r="C2480" s="19" t="n">
        <v>7</v>
      </c>
      <c r="D2480" s="19" t="n">
        <v>569.92</v>
      </c>
      <c r="E2480" s="19" t="n">
        <v>16</v>
      </c>
      <c r="F2480" s="19" t="n">
        <v>1409</v>
      </c>
      <c r="G2480" s="8" t="str">
        <f aca="false">IFERROR(INDEX('TRANS'!$B:$B,MATCH($B2480,'TRANS'!$A:$A,0)),IFERROR(INDEX('TRANS'!$B:$B,MATCH(TRIM(SUBSTITUTE($B2480,CHAR(160)," ")),'TRANS'!$D:$D,0)),IFERROR(INDEX('Catalog'!$A:$A,MATCH($B2480,'Catalog'!$B:$B,0)),IFERROR(INDEX('Catalog'!$A:$A,MATCH(TRIM(SUBSTITUTE($B2480,CHAR(160)," ")),'Catalog'!$C:$C,0)),""))))</f>
        <v/>
      </c>
      <c r="H2480" s="8" t="str">
        <f aca="false">IFERROR(INDEX('TRANS'!$C:$C,MATCH($B2480,'TRANS'!$A:$A,0)),IFERROR(INDEX('Catalog'!$B:$B,MATCH($G2480,'Catalog'!$A:$A,0)),$B2480))</f>
        <v>60B M</v>
      </c>
      <c r="I2480" s="8" t="str">
        <f aca="false">IF($G2480="","Unmatched","Matched")</f>
        <v>Unmatched</v>
      </c>
      <c r="J2480" s="8" t="str">
        <f aca="false">IF($G2480&lt;&gt;"",$G2480,$B2480)</f>
        <v>60B M</v>
      </c>
      <c r="K2480" s="8" t="str">
        <f aca="false">IF(COUNTIF($M$1:$M$10,$A2480)&gt;0,"Y","N")</f>
        <v>Y</v>
      </c>
    </row>
    <row r="2481" customFormat="false" ht="15" hidden="false" customHeight="true" outlineLevel="0" collapsed="false">
      <c r="A2481" s="8" t="s">
        <v>42</v>
      </c>
      <c r="B2481" s="8" t="s">
        <v>85</v>
      </c>
      <c r="C2481" s="19" t="n">
        <v>9</v>
      </c>
      <c r="D2481" s="19" t="n">
        <v>776.34</v>
      </c>
      <c r="E2481" s="19" t="n">
        <v>6</v>
      </c>
      <c r="F2481" s="19" t="n">
        <v>529.51</v>
      </c>
      <c r="G2481" s="8" t="str">
        <f aca="false">IFERROR(INDEX('TRANS'!$B:$B,MATCH($B2481,'TRANS'!$A:$A,0)),IFERROR(INDEX('TRANS'!$B:$B,MATCH(TRIM(SUBSTITUTE($B2481,CHAR(160)," ")),'TRANS'!$D:$D,0)),IFERROR(INDEX('Catalog'!$A:$A,MATCH($B2481,'Catalog'!$B:$B,0)),IFERROR(INDEX('Catalog'!$A:$A,MATCH(TRIM(SUBSTITUTE($B2481,CHAR(160)," ")),'Catalog'!$C:$C,0)),""))))</f>
        <v/>
      </c>
      <c r="H2481" s="8" t="str">
        <f aca="false">IFERROR(INDEX('TRANS'!$C:$C,MATCH($B2481,'TRANS'!$A:$A,0)),IFERROR(INDEX('Catalog'!$B:$B,MATCH($G2481,'Catalog'!$A:$A,0)),$B2481))</f>
        <v>60B S</v>
      </c>
      <c r="I2481" s="8" t="str">
        <f aca="false">IF($G2481="","Unmatched","Matched")</f>
        <v>Unmatched</v>
      </c>
      <c r="J2481" s="8" t="str">
        <f aca="false">IF($G2481&lt;&gt;"",$G2481,$B2481)</f>
        <v>60B S</v>
      </c>
      <c r="K2481" s="8" t="str">
        <f aca="false">IF(COUNTIF($M$1:$M$10,$A2481)&gt;0,"Y","N")</f>
        <v>Y</v>
      </c>
    </row>
    <row r="2482" customFormat="false" ht="15" hidden="false" customHeight="true" outlineLevel="0" collapsed="false">
      <c r="A2482" s="8" t="s">
        <v>42</v>
      </c>
      <c r="B2482" s="8" t="s">
        <v>257</v>
      </c>
      <c r="C2482" s="19" t="n">
        <v>0</v>
      </c>
      <c r="D2482" s="19" t="n">
        <v>0</v>
      </c>
      <c r="E2482" s="19" t="n">
        <v>3</v>
      </c>
      <c r="F2482" s="19" t="n">
        <v>260.27</v>
      </c>
      <c r="G2482" s="8" t="str">
        <f aca="false">IFERROR(INDEX('TRANS'!$B:$B,MATCH($B2482,'TRANS'!$A:$A,0)),IFERROR(INDEX('TRANS'!$B:$B,MATCH(TRIM(SUBSTITUTE($B2482,CHAR(160)," ")),'TRANS'!$D:$D,0)),IFERROR(INDEX('Catalog'!$A:$A,MATCH($B2482,'Catalog'!$B:$B,0)),IFERROR(INDEX('Catalog'!$A:$A,MATCH(TRIM(SUBSTITUTE($B2482,CHAR(160)," ")),'Catalog'!$C:$C,0)),""))))</f>
        <v/>
      </c>
      <c r="H2482" s="8" t="str">
        <f aca="false">IFERROR(INDEX('TRANS'!$C:$C,MATCH($B2482,'TRANS'!$A:$A,0)),IFERROR(INDEX('Catalog'!$B:$B,MATCH($G2482,'Catalog'!$A:$A,0)),$B2482))</f>
        <v>60B XL</v>
      </c>
      <c r="I2482" s="8" t="str">
        <f aca="false">IF($G2482="","Unmatched","Matched")</f>
        <v>Unmatched</v>
      </c>
      <c r="J2482" s="8" t="str">
        <f aca="false">IF($G2482&lt;&gt;"",$G2482,$B2482)</f>
        <v>60B XL</v>
      </c>
      <c r="K2482" s="8" t="str">
        <f aca="false">IF(COUNTIF($M$1:$M$10,$A2482)&gt;0,"Y","N")</f>
        <v>Y</v>
      </c>
    </row>
    <row r="2483" customFormat="false" ht="15" hidden="false" customHeight="true" outlineLevel="0" collapsed="false">
      <c r="A2483" s="8" t="s">
        <v>42</v>
      </c>
      <c r="B2483" s="8" t="s">
        <v>537</v>
      </c>
      <c r="C2483" s="19" t="n">
        <v>3</v>
      </c>
      <c r="D2483" s="19" t="n">
        <v>269.25</v>
      </c>
      <c r="E2483" s="19" t="n">
        <v>1</v>
      </c>
      <c r="F2483" s="19" t="n">
        <v>89.75</v>
      </c>
      <c r="G2483" s="8" t="str">
        <f aca="false">IFERROR(INDEX('TRANS'!$B:$B,MATCH($B2483,'TRANS'!$A:$A,0)),IFERROR(INDEX('TRANS'!$B:$B,MATCH(TRIM(SUBSTITUTE($B2483,CHAR(160)," ")),'TRANS'!$D:$D,0)),IFERROR(INDEX('Catalog'!$A:$A,MATCH($B2483,'Catalog'!$B:$B,0)),IFERROR(INDEX('Catalog'!$A:$A,MATCH(TRIM(SUBSTITUTE($B2483,CHAR(160)," ")),'Catalog'!$C:$C,0)),""))))</f>
        <v/>
      </c>
      <c r="H2483" s="8" t="str">
        <f aca="false">IFERROR(INDEX('TRANS'!$C:$C,MATCH($B2483,'TRANS'!$A:$A,0)),IFERROR(INDEX('Catalog'!$B:$B,MATCH($G2483,'Catalog'!$A:$A,0)),$B2483))</f>
        <v>60B XS</v>
      </c>
      <c r="I2483" s="8" t="str">
        <f aca="false">IF($G2483="","Unmatched","Matched")</f>
        <v>Unmatched</v>
      </c>
      <c r="J2483" s="8" t="str">
        <f aca="false">IF($G2483&lt;&gt;"",$G2483,$B2483)</f>
        <v>60B XS</v>
      </c>
      <c r="K2483" s="8" t="str">
        <f aca="false">IF(COUNTIF($M$1:$M$10,$A2483)&gt;0,"Y","N")</f>
        <v>Y</v>
      </c>
    </row>
    <row r="2484" customFormat="false" ht="15" hidden="false" customHeight="true" outlineLevel="0" collapsed="false">
      <c r="A2484" s="8" t="s">
        <v>42</v>
      </c>
      <c r="B2484" s="8" t="s">
        <v>379</v>
      </c>
      <c r="C2484" s="19" t="n">
        <v>0</v>
      </c>
      <c r="D2484" s="19" t="n">
        <v>0</v>
      </c>
      <c r="E2484" s="19" t="n">
        <v>1</v>
      </c>
      <c r="F2484" s="19" t="n">
        <v>80.77</v>
      </c>
      <c r="G2484" s="8" t="str">
        <f aca="false">IFERROR(INDEX('TRANS'!$B:$B,MATCH($B2484,'TRANS'!$A:$A,0)),IFERROR(INDEX('TRANS'!$B:$B,MATCH(TRIM(SUBSTITUTE($B2484,CHAR(160)," ")),'TRANS'!$D:$D,0)),IFERROR(INDEX('Catalog'!$A:$A,MATCH($B2484,'Catalog'!$B:$B,0)),IFERROR(INDEX('Catalog'!$A:$A,MATCH(TRIM(SUBSTITUTE($B2484,CHAR(160)," ")),'Catalog'!$C:$C,0)),""))))</f>
        <v/>
      </c>
      <c r="H2484" s="8" t="str">
        <f aca="false">IFERROR(INDEX('TRANS'!$C:$C,MATCH($B2484,'TRANS'!$A:$A,0)),IFERROR(INDEX('Catalog'!$B:$B,MATCH($G2484,'Catalog'!$A:$A,0)),$B2484))</f>
        <v>60B XXL</v>
      </c>
      <c r="I2484" s="8" t="str">
        <f aca="false">IF($G2484="","Unmatched","Matched")</f>
        <v>Unmatched</v>
      </c>
      <c r="J2484" s="8" t="str">
        <f aca="false">IF($G2484&lt;&gt;"",$G2484,$B2484)</f>
        <v>60B XXL</v>
      </c>
      <c r="K2484" s="8" t="str">
        <f aca="false">IF(COUNTIF($M$1:$M$10,$A2484)&gt;0,"Y","N")</f>
        <v>Y</v>
      </c>
    </row>
    <row r="2485" customFormat="false" ht="15" hidden="false" customHeight="true" outlineLevel="0" collapsed="false">
      <c r="A2485" s="8" t="s">
        <v>42</v>
      </c>
      <c r="B2485" s="8" t="s">
        <v>96</v>
      </c>
      <c r="C2485" s="19" t="n">
        <v>5</v>
      </c>
      <c r="D2485" s="19" t="n">
        <v>559.16</v>
      </c>
      <c r="E2485" s="19" t="n">
        <v>4</v>
      </c>
      <c r="F2485" s="19" t="n">
        <v>456.96</v>
      </c>
      <c r="G2485" s="8" t="str">
        <f aca="false">IFERROR(INDEX('TRANS'!$B:$B,MATCH($B2485,'TRANS'!$A:$A,0)),IFERROR(INDEX('TRANS'!$B:$B,MATCH(TRIM(SUBSTITUTE($B2485,CHAR(160)," ")),'TRANS'!$D:$D,0)),IFERROR(INDEX('Catalog'!$A:$A,MATCH($B2485,'Catalog'!$B:$B,0)),IFERROR(INDEX('Catalog'!$A:$A,MATCH(TRIM(SUBSTITUTE($B2485,CHAR(160)," ")),'Catalog'!$C:$C,0)),""))))</f>
        <v/>
      </c>
      <c r="H2485" s="8" t="str">
        <f aca="false">IFERROR(INDEX('TRANS'!$C:$C,MATCH($B2485,'TRANS'!$A:$A,0)),IFERROR(INDEX('Catalog'!$B:$B,MATCH($G2485,'Catalog'!$A:$A,0)),$B2485))</f>
        <v>63 L</v>
      </c>
      <c r="I2485" s="8" t="str">
        <f aca="false">IF($G2485="","Unmatched","Matched")</f>
        <v>Unmatched</v>
      </c>
      <c r="J2485" s="8" t="str">
        <f aca="false">IF($G2485&lt;&gt;"",$G2485,$B2485)</f>
        <v>63 L</v>
      </c>
      <c r="K2485" s="8" t="str">
        <f aca="false">IF(COUNTIF($M$1:$M$10,$A2485)&gt;0,"Y","N")</f>
        <v>Y</v>
      </c>
    </row>
    <row r="2486" customFormat="false" ht="15" hidden="false" customHeight="true" outlineLevel="0" collapsed="false">
      <c r="A2486" s="8" t="s">
        <v>42</v>
      </c>
      <c r="B2486" s="8" t="s">
        <v>109</v>
      </c>
      <c r="C2486" s="19" t="n">
        <v>13</v>
      </c>
      <c r="D2486" s="19" t="n">
        <v>1521.16</v>
      </c>
      <c r="E2486" s="19" t="n">
        <v>5</v>
      </c>
      <c r="F2486" s="19" t="n">
        <v>565.17</v>
      </c>
      <c r="G2486" s="8" t="str">
        <f aca="false">IFERROR(INDEX('TRANS'!$B:$B,MATCH($B2486,'TRANS'!$A:$A,0)),IFERROR(INDEX('TRANS'!$B:$B,MATCH(TRIM(SUBSTITUTE($B2486,CHAR(160)," ")),'TRANS'!$D:$D,0)),IFERROR(INDEX('Catalog'!$A:$A,MATCH($B2486,'Catalog'!$B:$B,0)),IFERROR(INDEX('Catalog'!$A:$A,MATCH(TRIM(SUBSTITUTE($B2486,CHAR(160)," ")),'Catalog'!$C:$C,0)),""))))</f>
        <v/>
      </c>
      <c r="H2486" s="8" t="str">
        <f aca="false">IFERROR(INDEX('TRANS'!$C:$C,MATCH($B2486,'TRANS'!$A:$A,0)),IFERROR(INDEX('Catalog'!$B:$B,MATCH($G2486,'Catalog'!$A:$A,0)),$B2486))</f>
        <v>63 M</v>
      </c>
      <c r="I2486" s="8" t="str">
        <f aca="false">IF($G2486="","Unmatched","Matched")</f>
        <v>Unmatched</v>
      </c>
      <c r="J2486" s="8" t="str">
        <f aca="false">IF($G2486&lt;&gt;"",$G2486,$B2486)</f>
        <v>63 M</v>
      </c>
      <c r="K2486" s="8" t="str">
        <f aca="false">IF(COUNTIF($M$1:$M$10,$A2486)&gt;0,"Y","N")</f>
        <v>Y</v>
      </c>
    </row>
    <row r="2487" customFormat="false" ht="15" hidden="false" customHeight="true" outlineLevel="0" collapsed="false">
      <c r="A2487" s="8" t="s">
        <v>42</v>
      </c>
      <c r="B2487" s="8" t="s">
        <v>157</v>
      </c>
      <c r="C2487" s="19" t="n">
        <v>7</v>
      </c>
      <c r="D2487" s="19" t="n">
        <v>805.67</v>
      </c>
      <c r="E2487" s="19" t="n">
        <v>4</v>
      </c>
      <c r="F2487" s="19" t="n">
        <v>438.93</v>
      </c>
      <c r="G2487" s="8" t="str">
        <f aca="false">IFERROR(INDEX('TRANS'!$B:$B,MATCH($B2487,'TRANS'!$A:$A,0)),IFERROR(INDEX('TRANS'!$B:$B,MATCH(TRIM(SUBSTITUTE($B2487,CHAR(160)," ")),'TRANS'!$D:$D,0)),IFERROR(INDEX('Catalog'!$A:$A,MATCH($B2487,'Catalog'!$B:$B,0)),IFERROR(INDEX('Catalog'!$A:$A,MATCH(TRIM(SUBSTITUTE($B2487,CHAR(160)," ")),'Catalog'!$C:$C,0)),""))))</f>
        <v/>
      </c>
      <c r="H2487" s="8" t="str">
        <f aca="false">IFERROR(INDEX('TRANS'!$C:$C,MATCH($B2487,'TRANS'!$A:$A,0)),IFERROR(INDEX('Catalog'!$B:$B,MATCH($G2487,'Catalog'!$A:$A,0)),$B2487))</f>
        <v>63 S</v>
      </c>
      <c r="I2487" s="8" t="str">
        <f aca="false">IF($G2487="","Unmatched","Matched")</f>
        <v>Unmatched</v>
      </c>
      <c r="J2487" s="8" t="str">
        <f aca="false">IF($G2487&lt;&gt;"",$G2487,$B2487)</f>
        <v>63 S</v>
      </c>
      <c r="K2487" s="8" t="str">
        <f aca="false">IF(COUNTIF($M$1:$M$10,$A2487)&gt;0,"Y","N")</f>
        <v>Y</v>
      </c>
    </row>
    <row r="2488" customFormat="false" ht="15" hidden="false" customHeight="true" outlineLevel="0" collapsed="false">
      <c r="A2488" s="8" t="s">
        <v>42</v>
      </c>
      <c r="B2488" s="8" t="s">
        <v>45</v>
      </c>
      <c r="C2488" s="19" t="n">
        <v>236</v>
      </c>
      <c r="D2488" s="19" t="n">
        <v>60269.1</v>
      </c>
      <c r="E2488" s="19" t="n">
        <v>3486</v>
      </c>
      <c r="F2488" s="19" t="n">
        <v>946061.130000004</v>
      </c>
      <c r="G2488" s="8" t="str">
        <f aca="false">IFERROR(INDEX('TRANS'!$B:$B,MATCH($B2488,'TRANS'!$A:$A,0)),IFERROR(INDEX('TRANS'!$B:$B,MATCH(TRIM(SUBSTITUTE($B2488,CHAR(160)," ")),'TRANS'!$D:$D,0)),IFERROR(INDEX('Catalog'!$A:$A,MATCH($B2488,'Catalog'!$B:$B,0)),IFERROR(INDEX('Catalog'!$A:$A,MATCH(TRIM(SUBSTITUTE($B2488,CHAR(160)," ")),'Catalog'!$C:$C,0)),""))))</f>
        <v/>
      </c>
      <c r="H2488" s="8" t="str">
        <f aca="false">IFERROR(INDEX('TRANS'!$C:$C,MATCH($B2488,'TRANS'!$A:$A,0)),IFERROR(INDEX('Catalog'!$B:$B,MATCH($G2488,'Catalog'!$A:$A,0)),$B2488))</f>
        <v>67 0</v>
      </c>
      <c r="I2488" s="8" t="str">
        <f aca="false">IF($G2488="","Unmatched","Matched")</f>
        <v>Unmatched</v>
      </c>
      <c r="J2488" s="8" t="str">
        <f aca="false">IF($G2488&lt;&gt;"",$G2488,$B2488)</f>
        <v>67 0</v>
      </c>
      <c r="K2488" s="8" t="str">
        <f aca="false">IF(COUNTIF($M$1:$M$10,$A2488)&gt;0,"Y","N")</f>
        <v>Y</v>
      </c>
    </row>
    <row r="2489" customFormat="false" ht="15" hidden="false" customHeight="true" outlineLevel="0" collapsed="false">
      <c r="A2489" s="8" t="s">
        <v>42</v>
      </c>
      <c r="B2489" s="8" t="s">
        <v>881</v>
      </c>
      <c r="C2489" s="19" t="n">
        <v>1</v>
      </c>
      <c r="D2489" s="19" t="n">
        <v>581.27</v>
      </c>
      <c r="E2489" s="19" t="n">
        <v>2</v>
      </c>
      <c r="F2489" s="19" t="n">
        <v>1169.32</v>
      </c>
      <c r="G2489" s="8" t="n">
        <f aca="false">IFERROR(INDEX('TRANS'!$B:$B,MATCH($B2489,'TRANS'!$A:$A,0)),IFERROR(INDEX('TRANS'!$B:$B,MATCH(TRIM(SUBSTITUTE($B2489,CHAR(160)," ")),'TRANS'!$D:$D,0)),IFERROR(INDEX('Catalog'!$A:$A,MATCH($B2489,'Catalog'!$B:$B,0)),IFERROR(INDEX('Catalog'!$A:$A,MATCH(TRIM(SUBSTITUTE($B2489,CHAR(160)," ")),'Catalog'!$C:$C,0)),""))))</f>
        <v>4408273</v>
      </c>
      <c r="H2489" s="8" t="str">
        <f aca="false">IFERROR(INDEX('TRANS'!$C:$C,MATCH($B2489,'TRANS'!$A:$A,0)),IFERROR(INDEX('Catalog'!$B:$B,MATCH($G2489,'Catalog'!$A:$A,0)),$B2489))</f>
        <v>70N M חגורת פאבליק</v>
      </c>
      <c r="I2489" s="8" t="str">
        <f aca="false">IF($G2489="","Unmatched","Matched")</f>
        <v>Matched</v>
      </c>
      <c r="J2489" s="8" t="n">
        <f aca="false">IF($G2489&lt;&gt;"",$G2489,$B2489)</f>
        <v>4408273</v>
      </c>
      <c r="K2489" s="8" t="str">
        <f aca="false">IF(COUNTIF($M$1:$M$10,$A2489)&gt;0,"Y","N")</f>
        <v>Y</v>
      </c>
    </row>
    <row r="2490" customFormat="false" ht="15" hidden="false" customHeight="true" outlineLevel="0" collapsed="false">
      <c r="A2490" s="8" t="s">
        <v>42</v>
      </c>
      <c r="B2490" s="8" t="s">
        <v>882</v>
      </c>
      <c r="C2490" s="19" t="n">
        <v>1</v>
      </c>
      <c r="D2490" s="19" t="n">
        <v>467.73</v>
      </c>
      <c r="E2490" s="19" t="n">
        <v>8</v>
      </c>
      <c r="F2490" s="19" t="n">
        <v>4677.28</v>
      </c>
      <c r="G2490" s="8" t="n">
        <f aca="false">IFERROR(INDEX('TRANS'!$B:$B,MATCH($B2490,'TRANS'!$A:$A,0)),IFERROR(INDEX('TRANS'!$B:$B,MATCH(TRIM(SUBSTITUTE($B2490,CHAR(160)," ")),'TRANS'!$D:$D,0)),IFERROR(INDEX('Catalog'!$A:$A,MATCH($B2490,'Catalog'!$B:$B,0)),IFERROR(INDEX('Catalog'!$A:$A,MATCH(TRIM(SUBSTITUTE($B2490,CHAR(160)," ")),'Catalog'!$C:$C,0)),""))))</f>
        <v>4408272</v>
      </c>
      <c r="H2490" s="8" t="str">
        <f aca="false">IFERROR(INDEX('TRANS'!$C:$C,MATCH($B2490,'TRANS'!$A:$A,0)),IFERROR(INDEX('Catalog'!$B:$B,MATCH($G2490,'Catalog'!$A:$A,0)),$B2490))</f>
        <v>70N S חגורת פאבליק</v>
      </c>
      <c r="I2490" s="8" t="str">
        <f aca="false">IF($G2490="","Unmatched","Matched")</f>
        <v>Matched</v>
      </c>
      <c r="J2490" s="8" t="n">
        <f aca="false">IF($G2490&lt;&gt;"",$G2490,$B2490)</f>
        <v>4408272</v>
      </c>
      <c r="K2490" s="8" t="str">
        <f aca="false">IF(COUNTIF($M$1:$M$10,$A2490)&gt;0,"Y","N")</f>
        <v>Y</v>
      </c>
    </row>
    <row r="2491" customFormat="false" ht="15" hidden="false" customHeight="true" outlineLevel="0" collapsed="false">
      <c r="A2491" s="8" t="s">
        <v>42</v>
      </c>
      <c r="B2491" s="8" t="s">
        <v>883</v>
      </c>
      <c r="C2491" s="19" t="n">
        <v>3</v>
      </c>
      <c r="D2491" s="19" t="n">
        <v>1520.1</v>
      </c>
      <c r="E2491" s="19" t="n">
        <v>6</v>
      </c>
      <c r="F2491" s="19" t="n">
        <v>3332.55</v>
      </c>
      <c r="G2491" s="8" t="n">
        <f aca="false">IFERROR(INDEX('TRANS'!$B:$B,MATCH($B2491,'TRANS'!$A:$A,0)),IFERROR(INDEX('TRANS'!$B:$B,MATCH(TRIM(SUBSTITUTE($B2491,CHAR(160)," ")),'TRANS'!$D:$D,0)),IFERROR(INDEX('Catalog'!$A:$A,MATCH($B2491,'Catalog'!$B:$B,0)),IFERROR(INDEX('Catalog'!$A:$A,MATCH(TRIM(SUBSTITUTE($B2491,CHAR(160)," ")),'Catalog'!$C:$C,0)),""))))</f>
        <v>4408271</v>
      </c>
      <c r="H2491" s="8" t="str">
        <f aca="false">IFERROR(INDEX('TRANS'!$C:$C,MATCH($B2491,'TRANS'!$A:$A,0)),IFERROR(INDEX('Catalog'!$B:$B,MATCH($G2491,'Catalog'!$A:$A,0)),$B2491))</f>
        <v>70N XS חגורת פאבליק</v>
      </c>
      <c r="I2491" s="8" t="str">
        <f aca="false">IF($G2491="","Unmatched","Matched")</f>
        <v>Matched</v>
      </c>
      <c r="J2491" s="8" t="n">
        <f aca="false">IF($G2491&lt;&gt;"",$G2491,$B2491)</f>
        <v>4408271</v>
      </c>
      <c r="K2491" s="8" t="str">
        <f aca="false">IF(COUNTIF($M$1:$M$10,$A2491)&gt;0,"Y","N")</f>
        <v>Y</v>
      </c>
    </row>
    <row r="2492" customFormat="false" ht="15" hidden="false" customHeight="true" outlineLevel="0" collapsed="false">
      <c r="A2492" s="8" t="s">
        <v>42</v>
      </c>
      <c r="B2492" s="8" t="s">
        <v>380</v>
      </c>
      <c r="C2492" s="19" t="n">
        <v>0</v>
      </c>
      <c r="D2492" s="19" t="n">
        <v>0</v>
      </c>
      <c r="E2492" s="19" t="n">
        <v>1</v>
      </c>
      <c r="F2492" s="19" t="n">
        <v>316.45</v>
      </c>
      <c r="G2492" s="8" t="str">
        <f aca="false">IFERROR(INDEX('TRANS'!$B:$B,MATCH($B2492,'TRANS'!$A:$A,0)),IFERROR(INDEX('TRANS'!$B:$B,MATCH(TRIM(SUBSTITUTE($B2492,CHAR(160)," ")),'TRANS'!$D:$D,0)),IFERROR(INDEX('Catalog'!$A:$A,MATCH($B2492,'Catalog'!$B:$B,0)),IFERROR(INDEX('Catalog'!$A:$A,MATCH(TRIM(SUBSTITUTE($B2492,CHAR(160)," ")),'Catalog'!$C:$C,0)),""))))</f>
        <v/>
      </c>
      <c r="H2492" s="8" t="str">
        <f aca="false">IFERROR(INDEX('TRANS'!$C:$C,MATCH($B2492,'TRANS'!$A:$A,0)),IFERROR(INDEX('Catalog'!$B:$B,MATCH($G2492,'Catalog'!$A:$A,0)),$B2492))</f>
        <v>74 XXL</v>
      </c>
      <c r="I2492" s="8" t="str">
        <f aca="false">IF($G2492="","Unmatched","Matched")</f>
        <v>Unmatched</v>
      </c>
      <c r="J2492" s="8" t="str">
        <f aca="false">IF($G2492&lt;&gt;"",$G2492,$B2492)</f>
        <v>74 XXL</v>
      </c>
      <c r="K2492" s="8" t="str">
        <f aca="false">IF(COUNTIF($M$1:$M$10,$A2492)&gt;0,"Y","N")</f>
        <v>Y</v>
      </c>
    </row>
    <row r="2493" customFormat="false" ht="15" hidden="false" customHeight="true" outlineLevel="0" collapsed="false">
      <c r="A2493" s="8" t="s">
        <v>42</v>
      </c>
      <c r="B2493" s="8" t="s">
        <v>820</v>
      </c>
      <c r="C2493" s="19" t="n">
        <v>3</v>
      </c>
      <c r="D2493" s="19" t="n">
        <v>1045.51</v>
      </c>
      <c r="E2493" s="19" t="n">
        <v>0</v>
      </c>
      <c r="F2493" s="19" t="n">
        <v>0</v>
      </c>
      <c r="G2493" s="8" t="n">
        <f aca="false">IFERROR(INDEX('TRANS'!$B:$B,MATCH($B2493,'TRANS'!$A:$A,0)),IFERROR(INDEX('TRANS'!$B:$B,MATCH(TRIM(SUBSTITUTE($B2493,CHAR(160)," ")),'TRANS'!$D:$D,0)),IFERROR(INDEX('Catalog'!$A:$A,MATCH($B2493,'Catalog'!$B:$B,0)),IFERROR(INDEX('Catalog'!$A:$A,MATCH(TRIM(SUBSTITUTE($B2493,CHAR(160)," ")),'Catalog'!$C:$C,0)),""))))</f>
        <v>4413165</v>
      </c>
      <c r="H2493" s="8" t="str">
        <f aca="false">IFERROR(INDEX('TRANS'!$C:$C,MATCH($B2493,'TRANS'!$A:$A,0)),IFERROR(INDEX('Catalog'!$B:$B,MATCH($G2493,'Catalog'!$A:$A,0)),$B2493))</f>
        <v>74 L-XL מיצב כתפיים</v>
      </c>
      <c r="I2493" s="8" t="str">
        <f aca="false">IF($G2493="","Unmatched","Matched")</f>
        <v>Matched</v>
      </c>
      <c r="J2493" s="8" t="n">
        <f aca="false">IF($G2493&lt;&gt;"",$G2493,$B2493)</f>
        <v>4413165</v>
      </c>
      <c r="K2493" s="8" t="str">
        <f aca="false">IF(COUNTIF($M$1:$M$10,$A2493)&gt;0,"Y","N")</f>
        <v>Y</v>
      </c>
    </row>
    <row r="2494" customFormat="false" ht="15" hidden="false" customHeight="true" outlineLevel="0" collapsed="false">
      <c r="A2494" s="8" t="s">
        <v>42</v>
      </c>
      <c r="B2494" s="8" t="s">
        <v>169</v>
      </c>
      <c r="C2494" s="19" t="n">
        <v>3</v>
      </c>
      <c r="D2494" s="19" t="n">
        <v>931.76</v>
      </c>
      <c r="E2494" s="19" t="n">
        <v>3</v>
      </c>
      <c r="F2494" s="19" t="n">
        <v>1019.67</v>
      </c>
      <c r="G2494" s="8" t="str">
        <f aca="false">IFERROR(INDEX('TRANS'!$B:$B,MATCH($B2494,'TRANS'!$A:$A,0)),IFERROR(INDEX('TRANS'!$B:$B,MATCH(TRIM(SUBSTITUTE($B2494,CHAR(160)," ")),'TRANS'!$D:$D,0)),IFERROR(INDEX('Catalog'!$A:$A,MATCH($B2494,'Catalog'!$B:$B,0)),IFERROR(INDEX('Catalog'!$A:$A,MATCH(TRIM(SUBSTITUTE($B2494,CHAR(160)," ")),'Catalog'!$C:$C,0)),""))))</f>
        <v/>
      </c>
      <c r="H2494" s="8" t="str">
        <f aca="false">IFERROR(INDEX('TRANS'!$C:$C,MATCH($B2494,'TRANS'!$A:$A,0)),IFERROR(INDEX('Catalog'!$B:$B,MATCH($G2494,'Catalog'!$A:$A,0)),$B2494))</f>
        <v>74-S-M</v>
      </c>
      <c r="I2494" s="8" t="str">
        <f aca="false">IF($G2494="","Unmatched","Matched")</f>
        <v>Unmatched</v>
      </c>
      <c r="J2494" s="8" t="str">
        <f aca="false">IF($G2494&lt;&gt;"",$G2494,$B2494)</f>
        <v>74-S-M</v>
      </c>
      <c r="K2494" s="8" t="str">
        <f aca="false">IF(COUNTIF($M$1:$M$10,$A2494)&gt;0,"Y","N")</f>
        <v>Y</v>
      </c>
    </row>
    <row r="2495" customFormat="false" ht="15" hidden="false" customHeight="true" outlineLevel="0" collapsed="false">
      <c r="A2495" s="8" t="s">
        <v>42</v>
      </c>
      <c r="B2495" s="8" t="s">
        <v>556</v>
      </c>
      <c r="C2495" s="19" t="n">
        <v>10</v>
      </c>
      <c r="D2495" s="19" t="n">
        <v>2446.37</v>
      </c>
      <c r="E2495" s="19" t="n">
        <v>8</v>
      </c>
      <c r="F2495" s="19" t="n">
        <v>2238.8</v>
      </c>
      <c r="G2495" s="8" t="n">
        <f aca="false">IFERROR(INDEX('TRANS'!$B:$B,MATCH($B2495,'TRANS'!$A:$A,0)),IFERROR(INDEX('TRANS'!$B:$B,MATCH(TRIM(SUBSTITUTE($B2495,CHAR(160)," ")),'TRANS'!$D:$D,0)),IFERROR(INDEX('Catalog'!$A:$A,MATCH($B2495,'Catalog'!$B:$B,0)),IFERROR(INDEX('Catalog'!$A:$A,MATCH(TRIM(SUBSTITUTE($B2495,CHAR(160)," ")),'Catalog'!$C:$C,0)),""))))</f>
        <v>4413127</v>
      </c>
      <c r="H2495" s="8" t="str">
        <f aca="false">IFERROR(INDEX('TRANS'!$C:$C,MATCH($B2495,'TRANS'!$A:$A,0)),IFERROR(INDEX('Catalog'!$B:$B,MATCH($G2495,'Catalog'!$A:$A,0)),$B2495))</f>
        <v>75 Lמיישר כתף יציב יישור גב צר</v>
      </c>
      <c r="I2495" s="8" t="str">
        <f aca="false">IF($G2495="","Unmatched","Matched")</f>
        <v>Matched</v>
      </c>
      <c r="J2495" s="8" t="n">
        <f aca="false">IF($G2495&lt;&gt;"",$G2495,$B2495)</f>
        <v>4413127</v>
      </c>
      <c r="K2495" s="8" t="str">
        <f aca="false">IF(COUNTIF($M$1:$M$10,$A2495)&gt;0,"Y","N")</f>
        <v>Y</v>
      </c>
    </row>
    <row r="2496" customFormat="false" ht="15" hidden="false" customHeight="true" outlineLevel="0" collapsed="false">
      <c r="A2496" s="8" t="s">
        <v>42</v>
      </c>
      <c r="B2496" s="8" t="s">
        <v>930</v>
      </c>
      <c r="C2496" s="19" t="n">
        <v>6</v>
      </c>
      <c r="D2496" s="19" t="n">
        <v>1645.74</v>
      </c>
      <c r="E2496" s="19" t="n">
        <v>12</v>
      </c>
      <c r="F2496" s="19" t="n">
        <v>3380.44</v>
      </c>
      <c r="G2496" s="8" t="n">
        <f aca="false">IFERROR(INDEX('TRANS'!$B:$B,MATCH($B2496,'TRANS'!$A:$A,0)),IFERROR(INDEX('TRANS'!$B:$B,MATCH(TRIM(SUBSTITUTE($B2496,CHAR(160)," ")),'TRANS'!$D:$D,0)),IFERROR(INDEX('Catalog'!$A:$A,MATCH($B2496,'Catalog'!$B:$B,0)),IFERROR(INDEX('Catalog'!$A:$A,MATCH(TRIM(SUBSTITUTE($B2496,CHAR(160)," ")),'Catalog'!$C:$C,0)),""))))</f>
        <v>4413128</v>
      </c>
      <c r="H2496" s="8" t="str">
        <f aca="false">IFERROR(INDEX('TRANS'!$C:$C,MATCH($B2496,'TRANS'!$A:$A,0)),IFERROR(INDEX('Catalog'!$B:$B,MATCH($G2496,'Catalog'!$A:$A,0)),$B2496))</f>
        <v>75 Mמיישר כתף יציב יישור גב צר</v>
      </c>
      <c r="I2496" s="8" t="str">
        <f aca="false">IF($G2496="","Unmatched","Matched")</f>
        <v>Matched</v>
      </c>
      <c r="J2496" s="8" t="n">
        <f aca="false">IF($G2496&lt;&gt;"",$G2496,$B2496)</f>
        <v>4413128</v>
      </c>
      <c r="K2496" s="8" t="str">
        <f aca="false">IF(COUNTIF($M$1:$M$10,$A2496)&gt;0,"Y","N")</f>
        <v>Y</v>
      </c>
    </row>
    <row r="2497" customFormat="false" ht="15" hidden="false" customHeight="true" outlineLevel="0" collapsed="false">
      <c r="A2497" s="8" t="s">
        <v>42</v>
      </c>
      <c r="B2497" s="8" t="s">
        <v>987</v>
      </c>
      <c r="C2497" s="19" t="n">
        <v>4</v>
      </c>
      <c r="D2497" s="19" t="n">
        <v>1126.81</v>
      </c>
      <c r="E2497" s="19" t="n">
        <v>3</v>
      </c>
      <c r="F2497" s="19" t="n">
        <v>845.1</v>
      </c>
      <c r="G2497" s="8" t="n">
        <f aca="false">IFERROR(INDEX('TRANS'!$B:$B,MATCH($B2497,'TRANS'!$A:$A,0)),IFERROR(INDEX('TRANS'!$B:$B,MATCH(TRIM(SUBSTITUTE($B2497,CHAR(160)," ")),'TRANS'!$D:$D,0)),IFERROR(INDEX('Catalog'!$A:$A,MATCH($B2497,'Catalog'!$B:$B,0)),IFERROR(INDEX('Catalog'!$A:$A,MATCH(TRIM(SUBSTITUTE($B2497,CHAR(160)," ")),'Catalog'!$C:$C,0)),""))))</f>
        <v>4413126</v>
      </c>
      <c r="H2497" s="8" t="str">
        <f aca="false">IFERROR(INDEX('TRANS'!$C:$C,MATCH($B2497,'TRANS'!$A:$A,0)),IFERROR(INDEX('Catalog'!$B:$B,MATCH($G2497,'Catalog'!$A:$A,0)),$B2497))</f>
        <v>75 Sמיישר כתף יציב יישור גב צר</v>
      </c>
      <c r="I2497" s="8" t="str">
        <f aca="false">IF($G2497="","Unmatched","Matched")</f>
        <v>Matched</v>
      </c>
      <c r="J2497" s="8" t="n">
        <f aca="false">IF($G2497&lt;&gt;"",$G2497,$B2497)</f>
        <v>4413126</v>
      </c>
      <c r="K2497" s="8" t="str">
        <f aca="false">IF(COUNTIF($M$1:$M$10,$A2497)&gt;0,"Y","N")</f>
        <v>Y</v>
      </c>
    </row>
    <row r="2498" customFormat="false" ht="15" hidden="false" customHeight="true" outlineLevel="0" collapsed="false">
      <c r="A2498" s="8" t="s">
        <v>42</v>
      </c>
      <c r="B2498" s="8" t="s">
        <v>557</v>
      </c>
      <c r="C2498" s="19" t="n">
        <v>7</v>
      </c>
      <c r="D2498" s="19" t="n">
        <v>1912.61</v>
      </c>
      <c r="E2498" s="19" t="n">
        <v>5</v>
      </c>
      <c r="F2498" s="19" t="n">
        <v>1364.02</v>
      </c>
      <c r="G2498" s="8" t="n">
        <f aca="false">IFERROR(INDEX('TRANS'!$B:$B,MATCH($B2498,'TRANS'!$A:$A,0)),IFERROR(INDEX('TRANS'!$B:$B,MATCH(TRIM(SUBSTITUTE($B2498,CHAR(160)," ")),'TRANS'!$D:$D,0)),IFERROR(INDEX('Catalog'!$A:$A,MATCH($B2498,'Catalog'!$B:$B,0)),IFERROR(INDEX('Catalog'!$A:$A,MATCH(TRIM(SUBSTITUTE($B2498,CHAR(160)," ")),'Catalog'!$C:$C,0)),""))))</f>
        <v>4413129</v>
      </c>
      <c r="H2498" s="8" t="str">
        <f aca="false">IFERROR(INDEX('TRANS'!$C:$C,MATCH($B2498,'TRANS'!$A:$A,0)),IFERROR(INDEX('Catalog'!$B:$B,MATCH($G2498,'Catalog'!$A:$A,0)),$B2498))</f>
        <v>75 XLמיישר כתף יציב יישור ג.צר</v>
      </c>
      <c r="I2498" s="8" t="str">
        <f aca="false">IF($G2498="","Unmatched","Matched")</f>
        <v>Matched</v>
      </c>
      <c r="J2498" s="8" t="n">
        <f aca="false">IF($G2498&lt;&gt;"",$G2498,$B2498)</f>
        <v>4413129</v>
      </c>
      <c r="K2498" s="8" t="str">
        <f aca="false">IF(COUNTIF($M$1:$M$10,$A2498)&gt;0,"Y","N")</f>
        <v>Y</v>
      </c>
    </row>
    <row r="2499" customFormat="false" ht="15" hidden="false" customHeight="true" outlineLevel="0" collapsed="false">
      <c r="A2499" s="8" t="s">
        <v>42</v>
      </c>
      <c r="B2499" s="8" t="s">
        <v>224</v>
      </c>
      <c r="C2499" s="19" t="n">
        <v>2</v>
      </c>
      <c r="D2499" s="19" t="n">
        <v>800.62</v>
      </c>
      <c r="E2499" s="19" t="n">
        <v>3</v>
      </c>
      <c r="F2499" s="19" t="n">
        <v>830.28</v>
      </c>
      <c r="G2499" s="8" t="str">
        <f aca="false">IFERROR(INDEX('TRANS'!$B:$B,MATCH($B2499,'TRANS'!$A:$A,0)),IFERROR(INDEX('TRANS'!$B:$B,MATCH(TRIM(SUBSTITUTE($B2499,CHAR(160)," ")),'TRANS'!$D:$D,0)),IFERROR(INDEX('Catalog'!$A:$A,MATCH($B2499,'Catalog'!$B:$B,0)),IFERROR(INDEX('Catalog'!$A:$A,MATCH(TRIM(SUBSTITUTE($B2499,CHAR(160)," ")),'Catalog'!$C:$C,0)),""))))</f>
        <v/>
      </c>
      <c r="H2499" s="8" t="str">
        <f aca="false">IFERROR(INDEX('TRANS'!$C:$C,MATCH($B2499,'TRANS'!$A:$A,0)),IFERROR(INDEX('Catalog'!$B:$B,MATCH($G2499,'Catalog'!$A:$A,0)),$B2499))</f>
        <v>75 XS</v>
      </c>
      <c r="I2499" s="8" t="str">
        <f aca="false">IF($G2499="","Unmatched","Matched")</f>
        <v>Unmatched</v>
      </c>
      <c r="J2499" s="8" t="str">
        <f aca="false">IF($G2499&lt;&gt;"",$G2499,$B2499)</f>
        <v>75 XS</v>
      </c>
      <c r="K2499" s="8" t="str">
        <f aca="false">IF(COUNTIF($M$1:$M$10,$A2499)&gt;0,"Y","N")</f>
        <v>Y</v>
      </c>
    </row>
    <row r="2500" customFormat="false" ht="15" hidden="false" customHeight="true" outlineLevel="0" collapsed="false">
      <c r="A2500" s="8" t="s">
        <v>42</v>
      </c>
      <c r="B2500" s="8" t="s">
        <v>693</v>
      </c>
      <c r="C2500" s="19" t="n">
        <v>4</v>
      </c>
      <c r="D2500" s="19" t="n">
        <v>1082.33</v>
      </c>
      <c r="E2500" s="19" t="n">
        <v>9</v>
      </c>
      <c r="F2500" s="19" t="n">
        <v>2535.29</v>
      </c>
      <c r="G2500" s="8" t="n">
        <f aca="false">IFERROR(INDEX('TRANS'!$B:$B,MATCH($B2500,'TRANS'!$A:$A,0)),IFERROR(INDEX('TRANS'!$B:$B,MATCH(TRIM(SUBSTITUTE($B2500,CHAR(160)," ")),'TRANS'!$D:$D,0)),IFERROR(INDEX('Catalog'!$A:$A,MATCH($B2500,'Catalog'!$B:$B,0)),IFERROR(INDEX('Catalog'!$A:$A,MATCH(TRIM(SUBSTITUTE($B2500,CHAR(160)," ")),'Catalog'!$C:$C,0)),""))))</f>
        <v>4413130</v>
      </c>
      <c r="H2500" s="8" t="str">
        <f aca="false">IFERROR(INDEX('TRANS'!$C:$C,MATCH($B2500,'TRANS'!$A:$A,0)),IFERROR(INDEX('Catalog'!$B:$B,MATCH($G2500,'Catalog'!$A:$A,0)),$B2500))</f>
        <v>75  XXL מיישר כתף יציב ישור צר</v>
      </c>
      <c r="I2500" s="8" t="str">
        <f aca="false">IF($G2500="","Unmatched","Matched")</f>
        <v>Matched</v>
      </c>
      <c r="J2500" s="8" t="n">
        <f aca="false">IF($G2500&lt;&gt;"",$G2500,$B2500)</f>
        <v>4413130</v>
      </c>
      <c r="K2500" s="8" t="str">
        <f aca="false">IF(COUNTIF($M$1:$M$10,$A2500)&gt;0,"Y","N")</f>
        <v>Y</v>
      </c>
    </row>
    <row r="2501" customFormat="false" ht="15" hidden="false" customHeight="true" outlineLevel="0" collapsed="false">
      <c r="A2501" s="8" t="s">
        <v>42</v>
      </c>
      <c r="B2501" s="8" t="s">
        <v>694</v>
      </c>
      <c r="C2501" s="19" t="n">
        <v>18</v>
      </c>
      <c r="D2501" s="19" t="n">
        <v>6268.91</v>
      </c>
      <c r="E2501" s="19" t="n">
        <v>13</v>
      </c>
      <c r="F2501" s="19" t="n">
        <v>4727.73</v>
      </c>
      <c r="G2501" s="8" t="n">
        <f aca="false">IFERROR(INDEX('TRANS'!$B:$B,MATCH($B2501,'TRANS'!$A:$A,0)),IFERROR(INDEX('TRANS'!$B:$B,MATCH(TRIM(SUBSTITUTE($B2501,CHAR(160)," ")),'TRANS'!$D:$D,0)),IFERROR(INDEX('Catalog'!$A:$A,MATCH($B2501,'Catalog'!$B:$B,0)),IFERROR(INDEX('Catalog'!$A:$A,MATCH(TRIM(SUBSTITUTE($B2501,CHAR(160)," ")),'Catalog'!$C:$C,0)),""))))</f>
        <v>4413132</v>
      </c>
      <c r="H2501" s="8" t="str">
        <f aca="false">IFERROR(INDEX('TRANS'!$C:$C,MATCH($B2501,'TRANS'!$A:$A,0)),IFERROR(INDEX('Catalog'!$B:$B,MATCH($G2501,'Catalog'!$A:$A,0)),$B2501))</f>
        <v>76 Lמיישר כתף יציב יישור רחב</v>
      </c>
      <c r="I2501" s="8" t="str">
        <f aca="false">IF($G2501="","Unmatched","Matched")</f>
        <v>Matched</v>
      </c>
      <c r="J2501" s="8" t="n">
        <f aca="false">IF($G2501&lt;&gt;"",$G2501,$B2501)</f>
        <v>4413132</v>
      </c>
      <c r="K2501" s="8" t="str">
        <f aca="false">IF(COUNTIF($M$1:$M$10,$A2501)&gt;0,"Y","N")</f>
        <v>Y</v>
      </c>
    </row>
    <row r="2502" customFormat="false" ht="15" hidden="false" customHeight="true" outlineLevel="0" collapsed="false">
      <c r="A2502" s="8" t="s">
        <v>42</v>
      </c>
      <c r="B2502" s="8" t="s">
        <v>962</v>
      </c>
      <c r="C2502" s="19" t="n">
        <v>23</v>
      </c>
      <c r="D2502" s="19" t="n">
        <v>7640.03</v>
      </c>
      <c r="E2502" s="19" t="n">
        <v>24</v>
      </c>
      <c r="F2502" s="19" t="n">
        <v>8788.27</v>
      </c>
      <c r="G2502" s="8" t="n">
        <f aca="false">IFERROR(INDEX('TRANS'!$B:$B,MATCH($B2502,'TRANS'!$A:$A,0)),IFERROR(INDEX('TRANS'!$B:$B,MATCH(TRIM(SUBSTITUTE($B2502,CHAR(160)," ")),'TRANS'!$D:$D,0)),IFERROR(INDEX('Catalog'!$A:$A,MATCH($B2502,'Catalog'!$B:$B,0)),IFERROR(INDEX('Catalog'!$A:$A,MATCH(TRIM(SUBSTITUTE($B2502,CHAR(160)," ")),'Catalog'!$C:$C,0)),""))))</f>
        <v>4413133</v>
      </c>
      <c r="H2502" s="8" t="str">
        <f aca="false">IFERROR(INDEX('TRANS'!$C:$C,MATCH($B2502,'TRANS'!$A:$A,0)),IFERROR(INDEX('Catalog'!$B:$B,MATCH($G2502,'Catalog'!$A:$A,0)),$B2502))</f>
        <v>76 Mמיישר כתף יציב,יישור רחב</v>
      </c>
      <c r="I2502" s="8" t="str">
        <f aca="false">IF($G2502="","Unmatched","Matched")</f>
        <v>Matched</v>
      </c>
      <c r="J2502" s="8" t="n">
        <f aca="false">IF($G2502&lt;&gt;"",$G2502,$B2502)</f>
        <v>4413133</v>
      </c>
      <c r="K2502" s="8" t="str">
        <f aca="false">IF(COUNTIF($M$1:$M$10,$A2502)&gt;0,"Y","N")</f>
        <v>Y</v>
      </c>
    </row>
    <row r="2503" customFormat="false" ht="15" hidden="false" customHeight="true" outlineLevel="0" collapsed="false">
      <c r="A2503" s="8" t="s">
        <v>42</v>
      </c>
      <c r="B2503" s="8" t="s">
        <v>821</v>
      </c>
      <c r="C2503" s="19" t="n">
        <v>9</v>
      </c>
      <c r="D2503" s="19" t="n">
        <v>3108.02</v>
      </c>
      <c r="E2503" s="19" t="n">
        <v>11</v>
      </c>
      <c r="F2503" s="19" t="n">
        <v>4060.52</v>
      </c>
      <c r="G2503" s="8" t="n">
        <f aca="false">IFERROR(INDEX('TRANS'!$B:$B,MATCH($B2503,'TRANS'!$A:$A,0)),IFERROR(INDEX('TRANS'!$B:$B,MATCH(TRIM(SUBSTITUTE($B2503,CHAR(160)," ")),'TRANS'!$D:$D,0)),IFERROR(INDEX('Catalog'!$A:$A,MATCH($B2503,'Catalog'!$B:$B,0)),IFERROR(INDEX('Catalog'!$A:$A,MATCH(TRIM(SUBSTITUTE($B2503,CHAR(160)," ")),'Catalog'!$C:$C,0)),""))))</f>
        <v>4413131</v>
      </c>
      <c r="H2503" s="8" t="str">
        <f aca="false">IFERROR(INDEX('TRANS'!$C:$C,MATCH($B2503,'TRANS'!$A:$A,0)),IFERROR(INDEX('Catalog'!$B:$B,MATCH($G2503,'Catalog'!$A:$A,0)),$B2503))</f>
        <v>76 Sמיישר כתף יציב יישור ג.רחב</v>
      </c>
      <c r="I2503" s="8" t="str">
        <f aca="false">IF($G2503="","Unmatched","Matched")</f>
        <v>Matched</v>
      </c>
      <c r="J2503" s="8" t="n">
        <f aca="false">IF($G2503&lt;&gt;"",$G2503,$B2503)</f>
        <v>4413131</v>
      </c>
      <c r="K2503" s="8" t="str">
        <f aca="false">IF(COUNTIF($M$1:$M$10,$A2503)&gt;0,"Y","N")</f>
        <v>Y</v>
      </c>
    </row>
    <row r="2504" customFormat="false" ht="15" hidden="false" customHeight="true" outlineLevel="0" collapsed="false">
      <c r="A2504" s="8" t="s">
        <v>42</v>
      </c>
      <c r="B2504" s="8" t="s">
        <v>695</v>
      </c>
      <c r="C2504" s="19" t="n">
        <v>16</v>
      </c>
      <c r="D2504" s="19" t="n">
        <v>5754.54</v>
      </c>
      <c r="E2504" s="19" t="n">
        <v>18</v>
      </c>
      <c r="F2504" s="19" t="n">
        <v>6424.39</v>
      </c>
      <c r="G2504" s="8" t="n">
        <f aca="false">IFERROR(INDEX('TRANS'!$B:$B,MATCH($B2504,'TRANS'!$A:$A,0)),IFERROR(INDEX('TRANS'!$B:$B,MATCH(TRIM(SUBSTITUTE($B2504,CHAR(160)," ")),'TRANS'!$D:$D,0)),IFERROR(INDEX('Catalog'!$A:$A,MATCH($B2504,'Catalog'!$B:$B,0)),IFERROR(INDEX('Catalog'!$A:$A,MATCH(TRIM(SUBSTITUTE($B2504,CHAR(160)," ")),'Catalog'!$C:$C,0)),""))))</f>
        <v>4413134</v>
      </c>
      <c r="H2504" s="8" t="str">
        <f aca="false">IFERROR(INDEX('TRANS'!$C:$C,MATCH($B2504,'TRANS'!$A:$A,0)),IFERROR(INDEX('Catalog'!$B:$B,MATCH($G2504,'Catalog'!$A:$A,0)),$B2504))</f>
        <v>76 XLמיישר כתף יציב יישור רחב</v>
      </c>
      <c r="I2504" s="8" t="str">
        <f aca="false">IF($G2504="","Unmatched","Matched")</f>
        <v>Matched</v>
      </c>
      <c r="J2504" s="8" t="n">
        <f aca="false">IF($G2504&lt;&gt;"",$G2504,$B2504)</f>
        <v>4413134</v>
      </c>
      <c r="K2504" s="8" t="str">
        <f aca="false">IF(COUNTIF($M$1:$M$10,$A2504)&gt;0,"Y","N")</f>
        <v>Y</v>
      </c>
    </row>
    <row r="2505" customFormat="false" ht="15" hidden="false" customHeight="true" outlineLevel="0" collapsed="false">
      <c r="A2505" s="8" t="s">
        <v>42</v>
      </c>
      <c r="B2505" s="8" t="s">
        <v>154</v>
      </c>
      <c r="C2505" s="19" t="n">
        <v>4</v>
      </c>
      <c r="D2505" s="19" t="n">
        <v>1005.54</v>
      </c>
      <c r="E2505" s="19" t="n">
        <v>8</v>
      </c>
      <c r="F2505" s="19" t="n">
        <v>2859.54</v>
      </c>
      <c r="G2505" s="8" t="str">
        <f aca="false">IFERROR(INDEX('TRANS'!$B:$B,MATCH($B2505,'TRANS'!$A:$A,0)),IFERROR(INDEX('TRANS'!$B:$B,MATCH(TRIM(SUBSTITUTE($B2505,CHAR(160)," ")),'TRANS'!$D:$D,0)),IFERROR(INDEX('Catalog'!$A:$A,MATCH($B2505,'Catalog'!$B:$B,0)),IFERROR(INDEX('Catalog'!$A:$A,MATCH(TRIM(SUBSTITUTE($B2505,CHAR(160)," ")),'Catalog'!$C:$C,0)),""))))</f>
        <v/>
      </c>
      <c r="H2505" s="8" t="str">
        <f aca="false">IFERROR(INDEX('TRANS'!$C:$C,MATCH($B2505,'TRANS'!$A:$A,0)),IFERROR(INDEX('Catalog'!$B:$B,MATCH($G2505,'Catalog'!$A:$A,0)),$B2505))</f>
        <v>76 XS</v>
      </c>
      <c r="I2505" s="8" t="str">
        <f aca="false">IF($G2505="","Unmatched","Matched")</f>
        <v>Unmatched</v>
      </c>
      <c r="J2505" s="8" t="str">
        <f aca="false">IF($G2505&lt;&gt;"",$G2505,$B2505)</f>
        <v>76 XS</v>
      </c>
      <c r="K2505" s="8" t="str">
        <f aca="false">IF(COUNTIF($M$1:$M$10,$A2505)&gt;0,"Y","N")</f>
        <v>Y</v>
      </c>
    </row>
    <row r="2506" customFormat="false" ht="15" hidden="false" customHeight="true" outlineLevel="0" collapsed="false">
      <c r="A2506" s="8" t="s">
        <v>42</v>
      </c>
      <c r="B2506" s="8" t="s">
        <v>127</v>
      </c>
      <c r="C2506" s="19" t="n">
        <v>12</v>
      </c>
      <c r="D2506" s="19" t="n">
        <v>4210.4</v>
      </c>
      <c r="E2506" s="19" t="n">
        <v>10</v>
      </c>
      <c r="F2506" s="19" t="n">
        <v>3641.13</v>
      </c>
      <c r="G2506" s="8" t="str">
        <f aca="false">IFERROR(INDEX('TRANS'!$B:$B,MATCH($B2506,'TRANS'!$A:$A,0)),IFERROR(INDEX('TRANS'!$B:$B,MATCH(TRIM(SUBSTITUTE($B2506,CHAR(160)," ")),'TRANS'!$D:$D,0)),IFERROR(INDEX('Catalog'!$A:$A,MATCH($B2506,'Catalog'!$B:$B,0)),IFERROR(INDEX('Catalog'!$A:$A,MATCH(TRIM(SUBSTITUTE($B2506,CHAR(160)," ")),'Catalog'!$C:$C,0)),""))))</f>
        <v/>
      </c>
      <c r="H2506" s="8" t="str">
        <f aca="false">IFERROR(INDEX('TRANS'!$C:$C,MATCH($B2506,'TRANS'!$A:$A,0)),IFERROR(INDEX('Catalog'!$B:$B,MATCH($G2506,'Catalog'!$A:$A,0)),$B2506))</f>
        <v>76 XXL</v>
      </c>
      <c r="I2506" s="8" t="str">
        <f aca="false">IF($G2506="","Unmatched","Matched")</f>
        <v>Unmatched</v>
      </c>
      <c r="J2506" s="8" t="str">
        <f aca="false">IF($G2506&lt;&gt;"",$G2506,$B2506)</f>
        <v>76 XXL</v>
      </c>
      <c r="K2506" s="8" t="str">
        <f aca="false">IF(COUNTIF($M$1:$M$10,$A2506)&gt;0,"Y","N")</f>
        <v>Y</v>
      </c>
    </row>
    <row r="2507" customFormat="false" ht="15" hidden="false" customHeight="true" outlineLevel="0" collapsed="false">
      <c r="A2507" s="8" t="s">
        <v>42</v>
      </c>
      <c r="B2507" s="8" t="s">
        <v>410</v>
      </c>
      <c r="C2507" s="19" t="n">
        <v>5</v>
      </c>
      <c r="D2507" s="19" t="n">
        <v>3676.5</v>
      </c>
      <c r="E2507" s="19" t="n">
        <v>0</v>
      </c>
      <c r="F2507" s="19" t="n">
        <v>0</v>
      </c>
      <c r="G2507" s="8" t="str">
        <f aca="false">IFERROR(INDEX('TRANS'!$B:$B,MATCH($B2507,'TRANS'!$A:$A,0)),IFERROR(INDEX('TRANS'!$B:$B,MATCH(TRIM(SUBSTITUTE($B2507,CHAR(160)," ")),'TRANS'!$D:$D,0)),IFERROR(INDEX('Catalog'!$A:$A,MATCH($B2507,'Catalog'!$B:$B,0)),IFERROR(INDEX('Catalog'!$A:$A,MATCH(TRIM(SUBSTITUTE($B2507,CHAR(160)," ")),'Catalog'!$C:$C,0)),""))))</f>
        <v/>
      </c>
      <c r="H2507" s="8" t="str">
        <f aca="false">IFERROR(INDEX('TRANS'!$C:$C,MATCH($B2507,'TRANS'!$A:$A,0)),IFERROR(INDEX('Catalog'!$B:$B,MATCH($G2507,'Catalog'!$A:$A,0)),$B2507))</f>
        <v>776 L</v>
      </c>
      <c r="I2507" s="8" t="str">
        <f aca="false">IF($G2507="","Unmatched","Matched")</f>
        <v>Unmatched</v>
      </c>
      <c r="J2507" s="8" t="str">
        <f aca="false">IF($G2507&lt;&gt;"",$G2507,$B2507)</f>
        <v>776 L</v>
      </c>
      <c r="K2507" s="8" t="str">
        <f aca="false">IF(COUNTIF($M$1:$M$10,$A2507)&gt;0,"Y","N")</f>
        <v>Y</v>
      </c>
    </row>
    <row r="2508" customFormat="false" ht="15" hidden="false" customHeight="true" outlineLevel="0" collapsed="false">
      <c r="A2508" s="8" t="s">
        <v>42</v>
      </c>
      <c r="B2508" s="8" t="s">
        <v>434</v>
      </c>
      <c r="C2508" s="19" t="n">
        <v>2</v>
      </c>
      <c r="D2508" s="19" t="n">
        <v>1581.75</v>
      </c>
      <c r="E2508" s="19" t="n">
        <v>0</v>
      </c>
      <c r="F2508" s="19" t="n">
        <v>0</v>
      </c>
      <c r="G2508" s="8" t="str">
        <f aca="false">IFERROR(INDEX('TRANS'!$B:$B,MATCH($B2508,'TRANS'!$A:$A,0)),IFERROR(INDEX('TRANS'!$B:$B,MATCH(TRIM(SUBSTITUTE($B2508,CHAR(160)," ")),'TRANS'!$D:$D,0)),IFERROR(INDEX('Catalog'!$A:$A,MATCH($B2508,'Catalog'!$B:$B,0)),IFERROR(INDEX('Catalog'!$A:$A,MATCH(TRIM(SUBSTITUTE($B2508,CHAR(160)," ")),'Catalog'!$C:$C,0)),""))))</f>
        <v/>
      </c>
      <c r="H2508" s="8" t="str">
        <f aca="false">IFERROR(INDEX('TRANS'!$C:$C,MATCH($B2508,'TRANS'!$A:$A,0)),IFERROR(INDEX('Catalog'!$B:$B,MATCH($G2508,'Catalog'!$A:$A,0)),$B2508))</f>
        <v>776 M</v>
      </c>
      <c r="I2508" s="8" t="str">
        <f aca="false">IF($G2508="","Unmatched","Matched")</f>
        <v>Unmatched</v>
      </c>
      <c r="J2508" s="8" t="str">
        <f aca="false">IF($G2508&lt;&gt;"",$G2508,$B2508)</f>
        <v>776 M</v>
      </c>
      <c r="K2508" s="8" t="str">
        <f aca="false">IF(COUNTIF($M$1:$M$10,$A2508)&gt;0,"Y","N")</f>
        <v>Y</v>
      </c>
    </row>
    <row r="2509" customFormat="false" ht="15" hidden="false" customHeight="true" outlineLevel="0" collapsed="false">
      <c r="A2509" s="8" t="s">
        <v>42</v>
      </c>
      <c r="B2509" s="8" t="s">
        <v>435</v>
      </c>
      <c r="C2509" s="19" t="n">
        <v>3</v>
      </c>
      <c r="D2509" s="19" t="n">
        <v>2265.75</v>
      </c>
      <c r="E2509" s="19" t="n">
        <v>0</v>
      </c>
      <c r="F2509" s="19" t="n">
        <v>0</v>
      </c>
      <c r="G2509" s="8" t="str">
        <f aca="false">IFERROR(INDEX('TRANS'!$B:$B,MATCH($B2509,'TRANS'!$A:$A,0)),IFERROR(INDEX('TRANS'!$B:$B,MATCH(TRIM(SUBSTITUTE($B2509,CHAR(160)," ")),'TRANS'!$D:$D,0)),IFERROR(INDEX('Catalog'!$A:$A,MATCH($B2509,'Catalog'!$B:$B,0)),IFERROR(INDEX('Catalog'!$A:$A,MATCH(TRIM(SUBSTITUTE($B2509,CHAR(160)," ")),'Catalog'!$C:$C,0)),""))))</f>
        <v/>
      </c>
      <c r="H2509" s="8" t="str">
        <f aca="false">IFERROR(INDEX('TRANS'!$C:$C,MATCH($B2509,'TRANS'!$A:$A,0)),IFERROR(INDEX('Catalog'!$B:$B,MATCH($G2509,'Catalog'!$A:$A,0)),$B2509))</f>
        <v>776 S</v>
      </c>
      <c r="I2509" s="8" t="str">
        <f aca="false">IF($G2509="","Unmatched","Matched")</f>
        <v>Unmatched</v>
      </c>
      <c r="J2509" s="8" t="str">
        <f aca="false">IF($G2509&lt;&gt;"",$G2509,$B2509)</f>
        <v>776 S</v>
      </c>
      <c r="K2509" s="8" t="str">
        <f aca="false">IF(COUNTIF($M$1:$M$10,$A2509)&gt;0,"Y","N")</f>
        <v>Y</v>
      </c>
    </row>
    <row r="2510" customFormat="false" ht="15" hidden="false" customHeight="true" outlineLevel="0" collapsed="false">
      <c r="A2510" s="8" t="s">
        <v>42</v>
      </c>
      <c r="B2510" s="8" t="s">
        <v>526</v>
      </c>
      <c r="C2510" s="19" t="n">
        <v>3</v>
      </c>
      <c r="D2510" s="19" t="n">
        <v>2308.5</v>
      </c>
      <c r="E2510" s="19" t="n">
        <v>0</v>
      </c>
      <c r="F2510" s="19" t="n">
        <v>0</v>
      </c>
      <c r="G2510" s="8" t="str">
        <f aca="false">IFERROR(INDEX('TRANS'!$B:$B,MATCH($B2510,'TRANS'!$A:$A,0)),IFERROR(INDEX('TRANS'!$B:$B,MATCH(TRIM(SUBSTITUTE($B2510,CHAR(160)," ")),'TRANS'!$D:$D,0)),IFERROR(INDEX('Catalog'!$A:$A,MATCH($B2510,'Catalog'!$B:$B,0)),IFERROR(INDEX('Catalog'!$A:$A,MATCH(TRIM(SUBSTITUTE($B2510,CHAR(160)," ")),'Catalog'!$C:$C,0)),""))))</f>
        <v/>
      </c>
      <c r="H2510" s="8" t="str">
        <f aca="false">IFERROR(INDEX('TRANS'!$C:$C,MATCH($B2510,'TRANS'!$A:$A,0)),IFERROR(INDEX('Catalog'!$B:$B,MATCH($G2510,'Catalog'!$A:$A,0)),$B2510))</f>
        <v>776 XL</v>
      </c>
      <c r="I2510" s="8" t="str">
        <f aca="false">IF($G2510="","Unmatched","Matched")</f>
        <v>Unmatched</v>
      </c>
      <c r="J2510" s="8" t="str">
        <f aca="false">IF($G2510&lt;&gt;"",$G2510,$B2510)</f>
        <v>776 XL</v>
      </c>
      <c r="K2510" s="8" t="str">
        <f aca="false">IF(COUNTIF($M$1:$M$10,$A2510)&gt;0,"Y","N")</f>
        <v>Y</v>
      </c>
    </row>
    <row r="2511" customFormat="false" ht="15" hidden="false" customHeight="true" outlineLevel="0" collapsed="false">
      <c r="A2511" s="8" t="s">
        <v>42</v>
      </c>
      <c r="B2511" s="8" t="s">
        <v>696</v>
      </c>
      <c r="C2511" s="19" t="n">
        <v>28</v>
      </c>
      <c r="D2511" s="19" t="n">
        <v>1021.98</v>
      </c>
      <c r="E2511" s="19" t="n">
        <v>24</v>
      </c>
      <c r="F2511" s="19" t="n">
        <v>891.43</v>
      </c>
      <c r="G2511" s="8" t="n">
        <f aca="false">IFERROR(INDEX('TRANS'!$B:$B,MATCH($B2511,'TRANS'!$A:$A,0)),IFERROR(INDEX('TRANS'!$B:$B,MATCH(TRIM(SUBSTITUTE($B2511,CHAR(160)," ")),'TRANS'!$D:$D,0)),IFERROR(INDEX('Catalog'!$A:$A,MATCH($B2511,'Catalog'!$B:$B,0)),IFERROR(INDEX('Catalog'!$A:$A,MATCH(TRIM(SUBSTITUTE($B2511,CHAR(160)," ")),'Catalog'!$C:$C,0)),""))))</f>
        <v>4422000</v>
      </c>
      <c r="H2511" s="8" t="str">
        <f aca="false">IFERROR(INDEX('TRANS'!$C:$C,MATCH($B2511,'TRANS'!$A:$A,0)),IFERROR(INDEX('Catalog'!$B:$B,MATCH($G2511,'Catalog'!$A:$A,0)),$B2511))</f>
        <v>801  תחבושת אלסטית מקררת</v>
      </c>
      <c r="I2511" s="8" t="str">
        <f aca="false">IF($G2511="","Unmatched","Matched")</f>
        <v>Matched</v>
      </c>
      <c r="J2511" s="8" t="n">
        <f aca="false">IF($G2511&lt;&gt;"",$G2511,$B2511)</f>
        <v>4422000</v>
      </c>
      <c r="K2511" s="8" t="str">
        <f aca="false">IF(COUNTIF($M$1:$M$10,$A2511)&gt;0,"Y","N")</f>
        <v>Y</v>
      </c>
    </row>
    <row r="2512" customFormat="false" ht="15" hidden="false" customHeight="true" outlineLevel="0" collapsed="false">
      <c r="A2512" s="8" t="s">
        <v>42</v>
      </c>
      <c r="B2512" s="8" t="s">
        <v>55</v>
      </c>
      <c r="C2512" s="19" t="n">
        <v>34</v>
      </c>
      <c r="D2512" s="19" t="n">
        <v>176.64</v>
      </c>
      <c r="E2512" s="19" t="n">
        <v>353</v>
      </c>
      <c r="F2512" s="19" t="n">
        <v>1994.13</v>
      </c>
      <c r="G2512" s="8" t="str">
        <f aca="false">IFERROR(INDEX('TRANS'!$B:$B,MATCH($B2512,'TRANS'!$A:$A,0)),IFERROR(INDEX('TRANS'!$B:$B,MATCH(TRIM(SUBSTITUTE($B2512,CHAR(160)," ")),'TRANS'!$D:$D,0)),IFERROR(INDEX('Catalog'!$A:$A,MATCH($B2512,'Catalog'!$B:$B,0)),IFERROR(INDEX('Catalog'!$A:$A,MATCH(TRIM(SUBSTITUTE($B2512,CHAR(160)," ")),'Catalog'!$C:$C,0)),""))))</f>
        <v/>
      </c>
      <c r="H2512" s="8" t="str">
        <f aca="false">IFERROR(INDEX('TRANS'!$C:$C,MATCH($B2512,'TRANS'!$A:$A,0)),IFERROR(INDEX('Catalog'!$B:$B,MATCH($G2512,'Catalog'!$A:$A,0)),$B2512))</f>
        <v>8011 0</v>
      </c>
      <c r="I2512" s="8" t="str">
        <f aca="false">IF($G2512="","Unmatched","Matched")</f>
        <v>Unmatched</v>
      </c>
      <c r="J2512" s="8" t="str">
        <f aca="false">IF($G2512&lt;&gt;"",$G2512,$B2512)</f>
        <v>8011 0</v>
      </c>
      <c r="K2512" s="8" t="str">
        <f aca="false">IF(COUNTIF($M$1:$M$10,$A2512)&gt;0,"Y","N")</f>
        <v>Y</v>
      </c>
    </row>
    <row r="2513" customFormat="false" ht="15" hidden="false" customHeight="true" outlineLevel="0" collapsed="false">
      <c r="A2513" s="8" t="s">
        <v>42</v>
      </c>
      <c r="B2513" s="8" t="s">
        <v>697</v>
      </c>
      <c r="C2513" s="19" t="n">
        <v>21</v>
      </c>
      <c r="D2513" s="19" t="n">
        <v>577.66</v>
      </c>
      <c r="E2513" s="19" t="n">
        <v>39</v>
      </c>
      <c r="F2513" s="19" t="n">
        <v>975.76</v>
      </c>
      <c r="G2513" s="8" t="n">
        <f aca="false">IFERROR(INDEX('TRANS'!$B:$B,MATCH($B2513,'TRANS'!$A:$A,0)),IFERROR(INDEX('TRANS'!$B:$B,MATCH(TRIM(SUBSTITUTE($B2513,CHAR(160)," ")),'TRANS'!$D:$D,0)),IFERROR(INDEX('Catalog'!$A:$A,MATCH($B2513,'Catalog'!$B:$B,0)),IFERROR(INDEX('Catalog'!$A:$A,MATCH(TRIM(SUBSTITUTE($B2513,CHAR(160)," ")),'Catalog'!$C:$C,0)),""))))</f>
        <v>4409011</v>
      </c>
      <c r="H2513" s="8" t="str">
        <f aca="false">IFERROR(INDEX('TRANS'!$C:$C,MATCH($B2513,'TRANS'!$A:$A,0)),IFERROR(INDEX('Catalog'!$B:$B,MATCH($G2513,'Catalog'!$A:$A,0)),$B2513))</f>
        <v>804AT-B      טייפ חבישה לספורט</v>
      </c>
      <c r="I2513" s="8" t="str">
        <f aca="false">IF($G2513="","Unmatched","Matched")</f>
        <v>Matched</v>
      </c>
      <c r="J2513" s="8" t="n">
        <f aca="false">IF($G2513&lt;&gt;"",$G2513,$B2513)</f>
        <v>4409011</v>
      </c>
      <c r="K2513" s="8" t="str">
        <f aca="false">IF(COUNTIF($M$1:$M$10,$A2513)&gt;0,"Y","N")</f>
        <v>Y</v>
      </c>
    </row>
    <row r="2514" customFormat="false" ht="15" hidden="false" customHeight="true" outlineLevel="0" collapsed="false">
      <c r="A2514" s="8" t="s">
        <v>42</v>
      </c>
      <c r="B2514" s="8" t="s">
        <v>698</v>
      </c>
      <c r="C2514" s="19" t="n">
        <v>31</v>
      </c>
      <c r="D2514" s="19" t="n">
        <v>851.24</v>
      </c>
      <c r="E2514" s="19" t="n">
        <v>30</v>
      </c>
      <c r="F2514" s="19" t="n">
        <v>825.57</v>
      </c>
      <c r="G2514" s="8" t="n">
        <f aca="false">IFERROR(INDEX('TRANS'!$B:$B,MATCH($B2514,'TRANS'!$A:$A,0)),IFERROR(INDEX('TRANS'!$B:$B,MATCH(TRIM(SUBSTITUTE($B2514,CHAR(160)," ")),'TRANS'!$D:$D,0)),IFERROR(INDEX('Catalog'!$A:$A,MATCH($B2514,'Catalog'!$B:$B,0)),IFERROR(INDEX('Catalog'!$A:$A,MATCH(TRIM(SUBSTITUTE($B2514,CHAR(160)," ")),'Catalog'!$C:$C,0)),""))))</f>
        <v>4409013</v>
      </c>
      <c r="H2514" s="8" t="str">
        <f aca="false">IFERROR(INDEX('TRANS'!$C:$C,MATCH($B2514,'TRANS'!$A:$A,0)),IFERROR(INDEX('Catalog'!$B:$B,MATCH($G2514,'Catalog'!$A:$A,0)),$B2514))</f>
        <v>804AT-BL     טייפ חבישה לספורט</v>
      </c>
      <c r="I2514" s="8" t="str">
        <f aca="false">IF($G2514="","Unmatched","Matched")</f>
        <v>Matched</v>
      </c>
      <c r="J2514" s="8" t="n">
        <f aca="false">IF($G2514&lt;&gt;"",$G2514,$B2514)</f>
        <v>4409013</v>
      </c>
      <c r="K2514" s="8" t="str">
        <f aca="false">IF(COUNTIF($M$1:$M$10,$A2514)&gt;0,"Y","N")</f>
        <v>Y</v>
      </c>
    </row>
    <row r="2515" customFormat="false" ht="15" hidden="false" customHeight="true" outlineLevel="0" collapsed="false">
      <c r="A2515" s="8" t="s">
        <v>42</v>
      </c>
      <c r="B2515" s="8" t="s">
        <v>699</v>
      </c>
      <c r="C2515" s="19" t="n">
        <v>29</v>
      </c>
      <c r="D2515" s="19" t="n">
        <v>742.52</v>
      </c>
      <c r="E2515" s="19" t="n">
        <v>46</v>
      </c>
      <c r="F2515" s="19" t="n">
        <v>1293.06</v>
      </c>
      <c r="G2515" s="8" t="n">
        <f aca="false">IFERROR(INDEX('TRANS'!$B:$B,MATCH($B2515,'TRANS'!$A:$A,0)),IFERROR(INDEX('TRANS'!$B:$B,MATCH(TRIM(SUBSTITUTE($B2515,CHAR(160)," ")),'TRANS'!$D:$D,0)),IFERROR(INDEX('Catalog'!$A:$A,MATCH($B2515,'Catalog'!$B:$B,0)),IFERROR(INDEX('Catalog'!$A:$A,MATCH(TRIM(SUBSTITUTE($B2515,CHAR(160)," ")),'Catalog'!$C:$C,0)),""))))</f>
        <v>4409012</v>
      </c>
      <c r="H2515" s="8" t="str">
        <f aca="false">IFERROR(INDEX('TRANS'!$C:$C,MATCH($B2515,'TRANS'!$A:$A,0)),IFERROR(INDEX('Catalog'!$B:$B,MATCH($G2515,'Catalog'!$A:$A,0)),$B2515))</f>
        <v>804AT-C      טייפ חבישה לספורט</v>
      </c>
      <c r="I2515" s="8" t="str">
        <f aca="false">IF($G2515="","Unmatched","Matched")</f>
        <v>Matched</v>
      </c>
      <c r="J2515" s="8" t="n">
        <f aca="false">IF($G2515&lt;&gt;"",$G2515,$B2515)</f>
        <v>4409012</v>
      </c>
      <c r="K2515" s="8" t="str">
        <f aca="false">IF(COUNTIF($M$1:$M$10,$A2515)&gt;0,"Y","N")</f>
        <v>Y</v>
      </c>
    </row>
    <row r="2516" customFormat="false" ht="15" hidden="false" customHeight="true" outlineLevel="0" collapsed="false">
      <c r="A2516" s="8" t="s">
        <v>42</v>
      </c>
      <c r="B2516" s="8" t="s">
        <v>822</v>
      </c>
      <c r="C2516" s="19" t="n">
        <v>21</v>
      </c>
      <c r="D2516" s="19" t="n">
        <v>559.46</v>
      </c>
      <c r="E2516" s="19" t="n">
        <v>61</v>
      </c>
      <c r="F2516" s="19" t="n">
        <v>1618.4</v>
      </c>
      <c r="G2516" s="8" t="n">
        <f aca="false">IFERROR(INDEX('TRANS'!$B:$B,MATCH($B2516,'TRANS'!$A:$A,0)),IFERROR(INDEX('TRANS'!$B:$B,MATCH(TRIM(SUBSTITUTE($B2516,CHAR(160)," ")),'TRANS'!$D:$D,0)),IFERROR(INDEX('Catalog'!$A:$A,MATCH($B2516,'Catalog'!$B:$B,0)),IFERROR(INDEX('Catalog'!$A:$A,MATCH(TRIM(SUBSTITUTE($B2516,CHAR(160)," ")),'Catalog'!$C:$C,0)),""))))</f>
        <v>4409010</v>
      </c>
      <c r="H2516" s="8" t="str">
        <f aca="false">IFERROR(INDEX('TRANS'!$C:$C,MATCH($B2516,'TRANS'!$A:$A,0)),IFERROR(INDEX('Catalog'!$B:$B,MATCH($G2516,'Catalog'!$A:$A,0)),$B2516))</f>
        <v>804AT-W      טייפ חבישה לספורט</v>
      </c>
      <c r="I2516" s="8" t="str">
        <f aca="false">IF($G2516="","Unmatched","Matched")</f>
        <v>Matched</v>
      </c>
      <c r="J2516" s="8" t="n">
        <f aca="false">IF($G2516&lt;&gt;"",$G2516,$B2516)</f>
        <v>4409010</v>
      </c>
      <c r="K2516" s="8" t="str">
        <f aca="false">IF(COUNTIF($M$1:$M$10,$A2516)&gt;0,"Y","N")</f>
        <v>Y</v>
      </c>
    </row>
    <row r="2517" customFormat="false" ht="15" hidden="false" customHeight="true" outlineLevel="0" collapsed="false">
      <c r="A2517" s="8" t="s">
        <v>42</v>
      </c>
      <c r="B2517" s="8" t="s">
        <v>700</v>
      </c>
      <c r="C2517" s="19" t="n">
        <v>22</v>
      </c>
      <c r="D2517" s="19" t="n">
        <v>577.89</v>
      </c>
      <c r="E2517" s="19" t="n">
        <v>41</v>
      </c>
      <c r="F2517" s="19" t="n">
        <v>1164.86</v>
      </c>
      <c r="G2517" s="8" t="n">
        <f aca="false">IFERROR(INDEX('TRANS'!$B:$B,MATCH($B2517,'TRANS'!$A:$A,0)),IFERROR(INDEX('TRANS'!$B:$B,MATCH(TRIM(SUBSTITUTE($B2517,CHAR(160)," ")),'TRANS'!$D:$D,0)),IFERROR(INDEX('Catalog'!$A:$A,MATCH($B2517,'Catalog'!$B:$B,0)),IFERROR(INDEX('Catalog'!$A:$A,MATCH(TRIM(SUBSTITUTE($B2517,CHAR(160)," ")),'Catalog'!$C:$C,0)),""))))</f>
        <v>4401012</v>
      </c>
      <c r="H2517" s="8" t="str">
        <f aca="false">IFERROR(INDEX('TRANS'!$C:$C,MATCH($B2517,'TRANS'!$A:$A,0)),IFERROR(INDEX('Catalog'!$B:$B,MATCH($G2517,'Catalog'!$A:$A,0)),$B2517))</f>
        <v>805AT-B אתלטיק טייפ שחור 20מ""""מ</v>
      </c>
      <c r="I2517" s="8" t="str">
        <f aca="false">IF($G2517="","Unmatched","Matched")</f>
        <v>Matched</v>
      </c>
      <c r="J2517" s="8" t="n">
        <f aca="false">IF($G2517&lt;&gt;"",$G2517,$B2517)</f>
        <v>4401012</v>
      </c>
      <c r="K2517" s="8" t="str">
        <f aca="false">IF(COUNTIF($M$1:$M$10,$A2517)&gt;0,"Y","N")</f>
        <v>Y</v>
      </c>
    </row>
    <row r="2518" customFormat="false" ht="15" hidden="false" customHeight="true" outlineLevel="0" collapsed="false">
      <c r="A2518" s="8" t="s">
        <v>42</v>
      </c>
      <c r="B2518" s="8" t="s">
        <v>884</v>
      </c>
      <c r="C2518" s="19" t="n">
        <v>6</v>
      </c>
      <c r="D2518" s="19" t="n">
        <v>158.5</v>
      </c>
      <c r="E2518" s="19" t="n">
        <v>4</v>
      </c>
      <c r="F2518" s="19" t="n">
        <v>107.9</v>
      </c>
      <c r="G2518" s="8" t="n">
        <f aca="false">IFERROR(INDEX('TRANS'!$B:$B,MATCH($B2518,'TRANS'!$A:$A,0)),IFERROR(INDEX('TRANS'!$B:$B,MATCH(TRIM(SUBSTITUTE($B2518,CHAR(160)," ")),'TRANS'!$D:$D,0)),IFERROR(INDEX('Catalog'!$A:$A,MATCH($B2518,'Catalog'!$B:$B,0)),IFERROR(INDEX('Catalog'!$A:$A,MATCH(TRIM(SUBSTITUTE($B2518,CHAR(160)," ")),'Catalog'!$C:$C,0)),""))))</f>
        <v>4401013</v>
      </c>
      <c r="H2518" s="8" t="str">
        <f aca="false">IFERROR(INDEX('TRANS'!$C:$C,MATCH($B2518,'TRANS'!$A:$A,0)),IFERROR(INDEX('Catalog'!$B:$B,MATCH($G2518,'Catalog'!$A:$A,0)),$B2518))</f>
        <v>805AT-BLאתלטיק טייפ כחול 20מ""""מ</v>
      </c>
      <c r="I2518" s="8" t="str">
        <f aca="false">IF($G2518="","Unmatched","Matched")</f>
        <v>Matched</v>
      </c>
      <c r="J2518" s="8" t="n">
        <f aca="false">IF($G2518&lt;&gt;"",$G2518,$B2518)</f>
        <v>4401013</v>
      </c>
      <c r="K2518" s="8" t="str">
        <f aca="false">IF(COUNTIF($M$1:$M$10,$A2518)&gt;0,"Y","N")</f>
        <v>Y</v>
      </c>
    </row>
    <row r="2519" customFormat="false" ht="15" hidden="false" customHeight="true" outlineLevel="0" collapsed="false">
      <c r="A2519" s="8" t="s">
        <v>42</v>
      </c>
      <c r="B2519" s="8" t="s">
        <v>701</v>
      </c>
      <c r="C2519" s="19" t="n">
        <v>14</v>
      </c>
      <c r="D2519" s="19" t="n">
        <v>378.95</v>
      </c>
      <c r="E2519" s="19" t="n">
        <v>10</v>
      </c>
      <c r="F2519" s="19" t="n">
        <v>289.25</v>
      </c>
      <c r="G2519" s="8" t="n">
        <f aca="false">IFERROR(INDEX('TRANS'!$B:$B,MATCH($B2519,'TRANS'!$A:$A,0)),IFERROR(INDEX('TRANS'!$B:$B,MATCH(TRIM(SUBSTITUTE($B2519,CHAR(160)," ")),'TRANS'!$D:$D,0)),IFERROR(INDEX('Catalog'!$A:$A,MATCH($B2519,'Catalog'!$B:$B,0)),IFERROR(INDEX('Catalog'!$A:$A,MATCH(TRIM(SUBSTITUTE($B2519,CHAR(160)," ")),'Catalog'!$C:$C,0)),""))))</f>
        <v>4401011</v>
      </c>
      <c r="H2519" s="8" t="str">
        <f aca="false">IFERROR(INDEX('TRANS'!$C:$C,MATCH($B2519,'TRANS'!$A:$A,0)),IFERROR(INDEX('Catalog'!$B:$B,MATCH($G2519,'Catalog'!$A:$A,0)),$B2519))</f>
        <v>805AT-Cאתלטיק טייפ בז' 20מ""""מ20</v>
      </c>
      <c r="I2519" s="8" t="str">
        <f aca="false">IF($G2519="","Unmatched","Matched")</f>
        <v>Matched</v>
      </c>
      <c r="J2519" s="8" t="n">
        <f aca="false">IF($G2519&lt;&gt;"",$G2519,$B2519)</f>
        <v>4401011</v>
      </c>
      <c r="K2519" s="8" t="str">
        <f aca="false">IF(COUNTIF($M$1:$M$10,$A2519)&gt;0,"Y","N")</f>
        <v>Y</v>
      </c>
    </row>
    <row r="2520" customFormat="false" ht="15" hidden="false" customHeight="true" outlineLevel="0" collapsed="false">
      <c r="A2520" s="8" t="s">
        <v>42</v>
      </c>
      <c r="B2520" s="8" t="s">
        <v>1000</v>
      </c>
      <c r="C2520" s="19" t="n">
        <v>12</v>
      </c>
      <c r="D2520" s="19" t="n">
        <v>318.56</v>
      </c>
      <c r="E2520" s="19" t="n">
        <v>13</v>
      </c>
      <c r="F2520" s="19" t="n">
        <v>345.56</v>
      </c>
      <c r="G2520" s="8" t="n">
        <f aca="false">IFERROR(INDEX('TRANS'!$B:$B,MATCH($B2520,'TRANS'!$A:$A,0)),IFERROR(INDEX('TRANS'!$B:$B,MATCH(TRIM(SUBSTITUTE($B2520,CHAR(160)," ")),'TRANS'!$D:$D,0)),IFERROR(INDEX('Catalog'!$A:$A,MATCH($B2520,'Catalog'!$B:$B,0)),IFERROR(INDEX('Catalog'!$A:$A,MATCH(TRIM(SUBSTITUTE($B2520,CHAR(160)," ")),'Catalog'!$C:$C,0)),""))))</f>
        <v>4401014</v>
      </c>
      <c r="H2520" s="8" t="str">
        <f aca="false">IFERROR(INDEX('TRANS'!$C:$C,MATCH($B2520,'TRANS'!$A:$A,0)),IFERROR(INDEX('Catalog'!$B:$B,MATCH($G2520,'Catalog'!$A:$A,0)),$B2520))</f>
        <v>805AT-W  אתלטיק טייפ לבן 20מ""""מ</v>
      </c>
      <c r="I2520" s="8" t="str">
        <f aca="false">IF($G2520="","Unmatched","Matched")</f>
        <v>Matched</v>
      </c>
      <c r="J2520" s="8" t="n">
        <f aca="false">IF($G2520&lt;&gt;"",$G2520,$B2520)</f>
        <v>4401014</v>
      </c>
      <c r="K2520" s="8" t="str">
        <f aca="false">IF(COUNTIF($M$1:$M$10,$A2520)&gt;0,"Y","N")</f>
        <v>Y</v>
      </c>
    </row>
    <row r="2521" customFormat="false" ht="15" hidden="false" customHeight="true" outlineLevel="0" collapsed="false">
      <c r="A2521" s="8" t="s">
        <v>42</v>
      </c>
      <c r="B2521" s="8" t="s">
        <v>823</v>
      </c>
      <c r="C2521" s="19" t="n">
        <v>56</v>
      </c>
      <c r="D2521" s="19" t="n">
        <v>1127.78</v>
      </c>
      <c r="E2521" s="19" t="n">
        <v>69</v>
      </c>
      <c r="F2521" s="19" t="n">
        <v>1301.9</v>
      </c>
      <c r="G2521" s="8" t="n">
        <f aca="false">IFERROR(INDEX('TRANS'!$B:$B,MATCH($B2521,'TRANS'!$A:$A,0)),IFERROR(INDEX('TRANS'!$B:$B,MATCH(TRIM(SUBSTITUTE($B2521,CHAR(160)," ")),'TRANS'!$D:$D,0)),IFERROR(INDEX('Catalog'!$A:$A,MATCH($B2521,'Catalog'!$B:$B,0)),IFERROR(INDEX('Catalog'!$A:$A,MATCH(TRIM(SUBSTITUTE($B2521,CHAR(160)," ")),'Catalog'!$C:$C,0)),""))))</f>
        <v>4422024</v>
      </c>
      <c r="H2521" s="8" t="str">
        <f aca="false">IFERROR(INDEX('TRANS'!$C:$C,MATCH($B2521,'TRANS'!$A:$A,0)),IFERROR(INDEX('Catalog'!$B:$B,MATCH($G2521,'Catalog'!$A:$A,0)),$B2521))</f>
        <v>806CB-BLACK      תחבושת א.נצמ</v>
      </c>
      <c r="I2521" s="8" t="str">
        <f aca="false">IF($G2521="","Unmatched","Matched")</f>
        <v>Matched</v>
      </c>
      <c r="J2521" s="8" t="n">
        <f aca="false">IF($G2521&lt;&gt;"",$G2521,$B2521)</f>
        <v>4422024</v>
      </c>
      <c r="K2521" s="8" t="str">
        <f aca="false">IF(COUNTIF($M$1:$M$10,$A2521)&gt;0,"Y","N")</f>
        <v>Y</v>
      </c>
    </row>
    <row r="2522" customFormat="false" ht="15" hidden="false" customHeight="true" outlineLevel="0" collapsed="false">
      <c r="A2522" s="8" t="s">
        <v>42</v>
      </c>
      <c r="B2522" s="8" t="s">
        <v>824</v>
      </c>
      <c r="C2522" s="19" t="n">
        <v>59</v>
      </c>
      <c r="D2522" s="19" t="n">
        <v>1141.76</v>
      </c>
      <c r="E2522" s="19" t="n">
        <v>49</v>
      </c>
      <c r="F2522" s="19" t="n">
        <v>955.59</v>
      </c>
      <c r="G2522" s="8" t="n">
        <f aca="false">IFERROR(INDEX('TRANS'!$B:$B,MATCH($B2522,'TRANS'!$A:$A,0)),IFERROR(INDEX('TRANS'!$B:$B,MATCH(TRIM(SUBSTITUTE($B2522,CHAR(160)," ")),'TRANS'!$D:$D,0)),IFERROR(INDEX('Catalog'!$A:$A,MATCH($B2522,'Catalog'!$B:$B,0)),IFERROR(INDEX('Catalog'!$A:$A,MATCH(TRIM(SUBSTITUTE($B2522,CHAR(160)," ")),'Catalog'!$C:$C,0)),""))))</f>
        <v>4422023</v>
      </c>
      <c r="H2522" s="8" t="str">
        <f aca="false">IFERROR(INDEX('TRANS'!$C:$C,MATCH($B2522,'TRANS'!$A:$A,0)),IFERROR(INDEX('Catalog'!$B:$B,MATCH($G2522,'Catalog'!$A:$A,0)),$B2522))</f>
        <v>806CB-BEIGE      תחבושת א.נצמ</v>
      </c>
      <c r="I2522" s="8" t="str">
        <f aca="false">IF($G2522="","Unmatched","Matched")</f>
        <v>Matched</v>
      </c>
      <c r="J2522" s="8" t="n">
        <f aca="false">IF($G2522&lt;&gt;"",$G2522,$B2522)</f>
        <v>4422023</v>
      </c>
      <c r="K2522" s="8" t="str">
        <f aca="false">IF(COUNTIF($M$1:$M$10,$A2522)&gt;0,"Y","N")</f>
        <v>Y</v>
      </c>
    </row>
    <row r="2523" customFormat="false" ht="15" hidden="false" customHeight="true" outlineLevel="0" collapsed="false">
      <c r="A2523" s="8" t="s">
        <v>42</v>
      </c>
      <c r="B2523" s="8" t="s">
        <v>825</v>
      </c>
      <c r="C2523" s="19" t="n">
        <v>13</v>
      </c>
      <c r="D2523" s="19" t="n">
        <v>240.54</v>
      </c>
      <c r="E2523" s="19" t="n">
        <v>7</v>
      </c>
      <c r="F2523" s="19" t="n">
        <v>148.19</v>
      </c>
      <c r="G2523" s="8" t="n">
        <f aca="false">IFERROR(INDEX('TRANS'!$B:$B,MATCH($B2523,'TRANS'!$A:$A,0)),IFERROR(INDEX('TRANS'!$B:$B,MATCH(TRIM(SUBSTITUTE($B2523,CHAR(160)," ")),'TRANS'!$D:$D,0)),IFERROR(INDEX('Catalog'!$A:$A,MATCH($B2523,'Catalog'!$B:$B,0)),IFERROR(INDEX('Catalog'!$A:$A,MATCH(TRIM(SUBSTITUTE($B2523,CHAR(160)," ")),'Catalog'!$C:$C,0)),""))))</f>
        <v>4422025</v>
      </c>
      <c r="H2523" s="8" t="str">
        <f aca="false">IFERROR(INDEX('TRANS'!$C:$C,MATCH($B2523,'TRANS'!$A:$A,0)),IFERROR(INDEX('Catalog'!$B:$B,MATCH($G2523,'Catalog'!$A:$A,0)),$B2523))</f>
        <v>806CB-GREEN      תחבושת א.נצמ</v>
      </c>
      <c r="I2523" s="8" t="str">
        <f aca="false">IF($G2523="","Unmatched","Matched")</f>
        <v>Matched</v>
      </c>
      <c r="J2523" s="8" t="n">
        <f aca="false">IF($G2523&lt;&gt;"",$G2523,$B2523)</f>
        <v>4422025</v>
      </c>
      <c r="K2523" s="8" t="str">
        <f aca="false">IF(COUNTIF($M$1:$M$10,$A2523)&gt;0,"Y","N")</f>
        <v>Y</v>
      </c>
    </row>
    <row r="2524" customFormat="false" ht="15" hidden="false" customHeight="true" outlineLevel="0" collapsed="false">
      <c r="A2524" s="8" t="s">
        <v>42</v>
      </c>
      <c r="B2524" s="8" t="s">
        <v>826</v>
      </c>
      <c r="C2524" s="19" t="n">
        <v>3</v>
      </c>
      <c r="D2524" s="19" t="n">
        <v>59.28</v>
      </c>
      <c r="E2524" s="19" t="n">
        <v>5</v>
      </c>
      <c r="F2524" s="19" t="n">
        <v>100.32</v>
      </c>
      <c r="G2524" s="8" t="n">
        <f aca="false">IFERROR(INDEX('TRANS'!$B:$B,MATCH($B2524,'TRANS'!$A:$A,0)),IFERROR(INDEX('TRANS'!$B:$B,MATCH(TRIM(SUBSTITUTE($B2524,CHAR(160)," ")),'TRANS'!$D:$D,0)),IFERROR(INDEX('Catalog'!$A:$A,MATCH($B2524,'Catalog'!$B:$B,0)),IFERROR(INDEX('Catalog'!$A:$A,MATCH(TRIM(SUBSTITUTE($B2524,CHAR(160)," ")),'Catalog'!$C:$C,0)),""))))</f>
        <v>4422026</v>
      </c>
      <c r="H2524" s="8" t="str">
        <f aca="false">IFERROR(INDEX('TRANS'!$C:$C,MATCH($B2524,'TRANS'!$A:$A,0)),IFERROR(INDEX('Catalog'!$B:$B,MATCH($G2524,'Catalog'!$A:$A,0)),$B2524))</f>
        <v>806CB-PINK       תחבושת א.נצמ</v>
      </c>
      <c r="I2524" s="8" t="str">
        <f aca="false">IF($G2524="","Unmatched","Matched")</f>
        <v>Matched</v>
      </c>
      <c r="J2524" s="8" t="n">
        <f aca="false">IF($G2524&lt;&gt;"",$G2524,$B2524)</f>
        <v>4422026</v>
      </c>
      <c r="K2524" s="8" t="str">
        <f aca="false">IF(COUNTIF($M$1:$M$10,$A2524)&gt;0,"Y","N")</f>
        <v>Y</v>
      </c>
    </row>
    <row r="2525" customFormat="false" ht="15" hidden="false" customHeight="true" outlineLevel="0" collapsed="false">
      <c r="A2525" s="8" t="s">
        <v>42</v>
      </c>
      <c r="B2525" s="8" t="s">
        <v>702</v>
      </c>
      <c r="C2525" s="19" t="n">
        <v>7</v>
      </c>
      <c r="D2525" s="19" t="n">
        <v>140.22</v>
      </c>
      <c r="E2525" s="19" t="n">
        <v>38</v>
      </c>
      <c r="F2525" s="19" t="n">
        <v>726.2</v>
      </c>
      <c r="G2525" s="8" t="n">
        <f aca="false">IFERROR(INDEX('TRANS'!$B:$B,MATCH($B2525,'TRANS'!$A:$A,0)),IFERROR(INDEX('TRANS'!$B:$B,MATCH(TRIM(SUBSTITUTE($B2525,CHAR(160)," ")),'TRANS'!$D:$D,0)),IFERROR(INDEX('Catalog'!$A:$A,MATCH($B2525,'Catalog'!$B:$B,0)),IFERROR(INDEX('Catalog'!$A:$A,MATCH(TRIM(SUBSTITUTE($B2525,CHAR(160)," ")),'Catalog'!$C:$C,0)),""))))</f>
        <v>4422032</v>
      </c>
      <c r="H2525" s="8" t="str">
        <f aca="false">IFERROR(INDEX('TRANS'!$C:$C,MATCH($B2525,'TRANS'!$A:$A,0)),IFERROR(INDEX('Catalog'!$B:$B,MATCH($G2525,'Catalog'!$A:$A,0)),$B2525))</f>
        <v>807B-Bתחבושת נצמדת שחור 20 מ""""מ</v>
      </c>
      <c r="I2525" s="8" t="str">
        <f aca="false">IF($G2525="","Unmatched","Matched")</f>
        <v>Matched</v>
      </c>
      <c r="J2525" s="8" t="n">
        <f aca="false">IF($G2525&lt;&gt;"",$G2525,$B2525)</f>
        <v>4422032</v>
      </c>
      <c r="K2525" s="8" t="str">
        <f aca="false">IF(COUNTIF($M$1:$M$10,$A2525)&gt;0,"Y","N")</f>
        <v>Y</v>
      </c>
    </row>
    <row r="2526" customFormat="false" ht="15" hidden="false" customHeight="true" outlineLevel="0" collapsed="false">
      <c r="A2526" s="8" t="s">
        <v>42</v>
      </c>
      <c r="B2526" s="8" t="s">
        <v>703</v>
      </c>
      <c r="C2526" s="19" t="n">
        <v>6</v>
      </c>
      <c r="D2526" s="19" t="n">
        <v>117.41</v>
      </c>
      <c r="E2526" s="19" t="n">
        <v>12</v>
      </c>
      <c r="F2526" s="19" t="n">
        <v>251.91</v>
      </c>
      <c r="G2526" s="8" t="n">
        <f aca="false">IFERROR(INDEX('TRANS'!$B:$B,MATCH($B2526,'TRANS'!$A:$A,0)),IFERROR(INDEX('TRANS'!$B:$B,MATCH(TRIM(SUBSTITUTE($B2526,CHAR(160)," ")),'TRANS'!$D:$D,0)),IFERROR(INDEX('Catalog'!$A:$A,MATCH($B2526,'Catalog'!$B:$B,0)),IFERROR(INDEX('Catalog'!$A:$A,MATCH(TRIM(SUBSTITUTE($B2526,CHAR(160)," ")),'Catalog'!$C:$C,0)),""))))</f>
        <v>4422033</v>
      </c>
      <c r="H2526" s="8" t="str">
        <f aca="false">IFERROR(INDEX('TRANS'!$C:$C,MATCH($B2526,'TRANS'!$A:$A,0)),IFERROR(INDEX('Catalog'!$B:$B,MATCH($G2526,'Catalog'!$A:$A,0)),$B2526))</f>
        <v>807CB-BLתחבושת נצמדת כחול20מ""""מ</v>
      </c>
      <c r="I2526" s="8" t="str">
        <f aca="false">IF($G2526="","Unmatched","Matched")</f>
        <v>Matched</v>
      </c>
      <c r="J2526" s="8" t="n">
        <f aca="false">IF($G2526&lt;&gt;"",$G2526,$B2526)</f>
        <v>4422033</v>
      </c>
      <c r="K2526" s="8" t="str">
        <f aca="false">IF(COUNTIF($M$1:$M$10,$A2526)&gt;0,"Y","N")</f>
        <v>Y</v>
      </c>
    </row>
    <row r="2527" customFormat="false" ht="15" hidden="false" customHeight="true" outlineLevel="0" collapsed="false">
      <c r="A2527" s="8" t="s">
        <v>42</v>
      </c>
      <c r="B2527" s="8" t="s">
        <v>704</v>
      </c>
      <c r="C2527" s="19" t="n">
        <v>26</v>
      </c>
      <c r="D2527" s="19" t="n">
        <v>496.32</v>
      </c>
      <c r="E2527" s="19" t="n">
        <v>37</v>
      </c>
      <c r="F2527" s="19" t="n">
        <v>784.61</v>
      </c>
      <c r="G2527" s="8" t="n">
        <f aca="false">IFERROR(INDEX('TRANS'!$B:$B,MATCH($B2527,'TRANS'!$A:$A,0)),IFERROR(INDEX('TRANS'!$B:$B,MATCH(TRIM(SUBSTITUTE($B2527,CHAR(160)," ")),'TRANS'!$D:$D,0)),IFERROR(INDEX('Catalog'!$A:$A,MATCH($B2527,'Catalog'!$B:$B,0)),IFERROR(INDEX('Catalog'!$A:$A,MATCH(TRIM(SUBSTITUTE($B2527,CHAR(160)," ")),'Catalog'!$C:$C,0)),""))))</f>
        <v>4422031</v>
      </c>
      <c r="H2527" s="8" t="str">
        <f aca="false">IFERROR(INDEX('TRANS'!$C:$C,MATCH($B2527,'TRANS'!$A:$A,0)),IFERROR(INDEX('Catalog'!$B:$B,MATCH($G2527,'Catalog'!$A:$A,0)),$B2527))</f>
        <v>807CB-Cתחבושת נצמדת בז' 20 מ""""מ</v>
      </c>
      <c r="I2527" s="8" t="str">
        <f aca="false">IF($G2527="","Unmatched","Matched")</f>
        <v>Matched</v>
      </c>
      <c r="J2527" s="8" t="n">
        <f aca="false">IF($G2527&lt;&gt;"",$G2527,$B2527)</f>
        <v>4422031</v>
      </c>
      <c r="K2527" s="8" t="str">
        <f aca="false">IF(COUNTIF($M$1:$M$10,$A2527)&gt;0,"Y","N")</f>
        <v>Y</v>
      </c>
    </row>
    <row r="2528" customFormat="false" ht="15" hidden="false" customHeight="true" outlineLevel="0" collapsed="false">
      <c r="A2528" s="8" t="s">
        <v>42</v>
      </c>
      <c r="B2528" s="8" t="s">
        <v>885</v>
      </c>
      <c r="C2528" s="19" t="n">
        <v>8</v>
      </c>
      <c r="D2528" s="19" t="n">
        <v>162.3</v>
      </c>
      <c r="E2528" s="19" t="n">
        <v>31</v>
      </c>
      <c r="F2528" s="19" t="n">
        <v>660.02</v>
      </c>
      <c r="G2528" s="8" t="n">
        <f aca="false">IFERROR(INDEX('TRANS'!$B:$B,MATCH($B2528,'TRANS'!$A:$A,0)),IFERROR(INDEX('TRANS'!$B:$B,MATCH(TRIM(SUBSTITUTE($B2528,CHAR(160)," ")),'TRANS'!$D:$D,0)),IFERROR(INDEX('Catalog'!$A:$A,MATCH($B2528,'Catalog'!$B:$B,0)),IFERROR(INDEX('Catalog'!$A:$A,MATCH(TRIM(SUBSTITUTE($B2528,CHAR(160)," ")),'Catalog'!$C:$C,0)),""))))</f>
        <v>4422034</v>
      </c>
      <c r="H2528" s="8" t="str">
        <f aca="false">IFERROR(INDEX('TRANS'!$C:$C,MATCH($B2528,'TRANS'!$A:$A,0)),IFERROR(INDEX('Catalog'!$B:$B,MATCH($G2528,'Catalog'!$A:$A,0)),$B2528))</f>
        <v>807CB-P תחבושת נצמדת ורוד 20ממ</v>
      </c>
      <c r="I2528" s="8" t="str">
        <f aca="false">IF($G2528="","Unmatched","Matched")</f>
        <v>Matched</v>
      </c>
      <c r="J2528" s="8" t="n">
        <f aca="false">IF($G2528&lt;&gt;"",$G2528,$B2528)</f>
        <v>4422034</v>
      </c>
      <c r="K2528" s="8" t="str">
        <f aca="false">IF(COUNTIF($M$1:$M$10,$A2528)&gt;0,"Y","N")</f>
        <v>Y</v>
      </c>
    </row>
    <row r="2529" customFormat="false" ht="15" hidden="false" customHeight="true" outlineLevel="0" collapsed="false">
      <c r="A2529" s="8" t="s">
        <v>42</v>
      </c>
      <c r="B2529" s="8" t="s">
        <v>705</v>
      </c>
      <c r="C2529" s="19" t="n">
        <v>20</v>
      </c>
      <c r="D2529" s="19" t="n">
        <v>1479.33</v>
      </c>
      <c r="E2529" s="19" t="n">
        <v>18</v>
      </c>
      <c r="F2529" s="19" t="n">
        <v>1282.67</v>
      </c>
      <c r="G2529" s="8" t="n">
        <f aca="false">IFERROR(INDEX('TRANS'!$B:$B,MATCH($B2529,'TRANS'!$A:$A,0)),IFERROR(INDEX('TRANS'!$B:$B,MATCH(TRIM(SUBSTITUTE($B2529,CHAR(160)," ")),'TRANS'!$D:$D,0)),IFERROR(INDEX('Catalog'!$A:$A,MATCH($B2529,'Catalog'!$B:$B,0)),IFERROR(INDEX('Catalog'!$A:$A,MATCH(TRIM(SUBSTITUTE($B2529,CHAR(160)," ")),'Catalog'!$C:$C,0)),""))))</f>
        <v>4409017</v>
      </c>
      <c r="H2529" s="8" t="str">
        <f aca="false">IFERROR(INDEX('TRANS'!$C:$C,MATCH($B2529,'TRANS'!$A:$A,0)),IFERROR(INDEX('Catalog'!$B:$B,MATCH($G2529,'Catalog'!$A:$A,0)),$B2529))</f>
        <v>808KT-B        טייפ קינזיולוגי</v>
      </c>
      <c r="I2529" s="8" t="str">
        <f aca="false">IF($G2529="","Unmatched","Matched")</f>
        <v>Matched</v>
      </c>
      <c r="J2529" s="8" t="n">
        <f aca="false">IF($G2529&lt;&gt;"",$G2529,$B2529)</f>
        <v>4409017</v>
      </c>
      <c r="K2529" s="8" t="str">
        <f aca="false">IF(COUNTIF($M$1:$M$10,$A2529)&gt;0,"Y","N")</f>
        <v>Y</v>
      </c>
    </row>
    <row r="2530" customFormat="false" ht="15" hidden="false" customHeight="true" outlineLevel="0" collapsed="false">
      <c r="A2530" s="8" t="s">
        <v>42</v>
      </c>
      <c r="B2530" s="8" t="s">
        <v>886</v>
      </c>
      <c r="C2530" s="19" t="n">
        <v>5</v>
      </c>
      <c r="D2530" s="19" t="n">
        <v>359.14</v>
      </c>
      <c r="E2530" s="19" t="n">
        <v>10</v>
      </c>
      <c r="F2530" s="19" t="n">
        <v>556.53</v>
      </c>
      <c r="G2530" s="8" t="n">
        <f aca="false">IFERROR(INDEX('TRANS'!$B:$B,MATCH($B2530,'TRANS'!$A:$A,0)),IFERROR(INDEX('TRANS'!$B:$B,MATCH(TRIM(SUBSTITUTE($B2530,CHAR(160)," ")),'TRANS'!$D:$D,0)),IFERROR(INDEX('Catalog'!$A:$A,MATCH($B2530,'Catalog'!$B:$B,0)),IFERROR(INDEX('Catalog'!$A:$A,MATCH(TRIM(SUBSTITUTE($B2530,CHAR(160)," ")),'Catalog'!$C:$C,0)),""))))</f>
        <v>4409015</v>
      </c>
      <c r="H2530" s="8" t="str">
        <f aca="false">IFERROR(INDEX('TRANS'!$C:$C,MATCH($B2530,'TRANS'!$A:$A,0)),IFERROR(INDEX('Catalog'!$B:$B,MATCH($G2530,'Catalog'!$A:$A,0)),$B2530))</f>
        <v>808KT-BL       טייפ קינזיולוגי</v>
      </c>
      <c r="I2530" s="8" t="str">
        <f aca="false">IF($G2530="","Unmatched","Matched")</f>
        <v>Matched</v>
      </c>
      <c r="J2530" s="8" t="n">
        <f aca="false">IF($G2530&lt;&gt;"",$G2530,$B2530)</f>
        <v>4409015</v>
      </c>
      <c r="K2530" s="8" t="str">
        <f aca="false">IF(COUNTIF($M$1:$M$10,$A2530)&gt;0,"Y","N")</f>
        <v>Y</v>
      </c>
    </row>
    <row r="2531" customFormat="false" ht="15" hidden="false" customHeight="true" outlineLevel="0" collapsed="false">
      <c r="A2531" s="8" t="s">
        <v>42</v>
      </c>
      <c r="B2531" s="8" t="s">
        <v>706</v>
      </c>
      <c r="C2531" s="19" t="n">
        <v>39</v>
      </c>
      <c r="D2531" s="19" t="n">
        <v>2903.04</v>
      </c>
      <c r="E2531" s="19" t="n">
        <v>26</v>
      </c>
      <c r="F2531" s="19" t="n">
        <v>1967.09</v>
      </c>
      <c r="G2531" s="8" t="n">
        <f aca="false">IFERROR(INDEX('TRANS'!$B:$B,MATCH($B2531,'TRANS'!$A:$A,0)),IFERROR(INDEX('TRANS'!$B:$B,MATCH(TRIM(SUBSTITUTE($B2531,CHAR(160)," ")),'TRANS'!$D:$D,0)),IFERROR(INDEX('Catalog'!$A:$A,MATCH($B2531,'Catalog'!$B:$B,0)),IFERROR(INDEX('Catalog'!$A:$A,MATCH(TRIM(SUBSTITUTE($B2531,CHAR(160)," ")),'Catalog'!$C:$C,0)),""))))</f>
        <v>4409016</v>
      </c>
      <c r="H2531" s="8" t="str">
        <f aca="false">IFERROR(INDEX('TRANS'!$C:$C,MATCH($B2531,'TRANS'!$A:$A,0)),IFERROR(INDEX('Catalog'!$B:$B,MATCH($G2531,'Catalog'!$A:$A,0)),$B2531))</f>
        <v>808KT-C        טייפ קינזיולוגי</v>
      </c>
      <c r="I2531" s="8" t="str">
        <f aca="false">IF($G2531="","Unmatched","Matched")</f>
        <v>Matched</v>
      </c>
      <c r="J2531" s="8" t="n">
        <f aca="false">IF($G2531&lt;&gt;"",$G2531,$B2531)</f>
        <v>4409016</v>
      </c>
      <c r="K2531" s="8" t="str">
        <f aca="false">IF(COUNTIF($M$1:$M$10,$A2531)&gt;0,"Y","N")</f>
        <v>Y</v>
      </c>
    </row>
    <row r="2532" customFormat="false" ht="15" hidden="false" customHeight="true" outlineLevel="0" collapsed="false">
      <c r="A2532" s="8" t="s">
        <v>42</v>
      </c>
      <c r="B2532" s="8" t="s">
        <v>887</v>
      </c>
      <c r="C2532" s="19" t="n">
        <v>10</v>
      </c>
      <c r="D2532" s="19" t="n">
        <v>705.46</v>
      </c>
      <c r="E2532" s="19" t="n">
        <v>18</v>
      </c>
      <c r="F2532" s="19" t="n">
        <v>1197.18</v>
      </c>
      <c r="G2532" s="8" t="n">
        <f aca="false">IFERROR(INDEX('TRANS'!$B:$B,MATCH($B2532,'TRANS'!$A:$A,0)),IFERROR(INDEX('TRANS'!$B:$B,MATCH(TRIM(SUBSTITUTE($B2532,CHAR(160)," ")),'TRANS'!$D:$D,0)),IFERROR(INDEX('Catalog'!$A:$A,MATCH($B2532,'Catalog'!$B:$B,0)),IFERROR(INDEX('Catalog'!$A:$A,MATCH(TRIM(SUBSTITUTE($B2532,CHAR(160)," ")),'Catalog'!$C:$C,0)),""))))</f>
        <v>4409014</v>
      </c>
      <c r="H2532" s="8" t="str">
        <f aca="false">IFERROR(INDEX('TRANS'!$C:$C,MATCH($B2532,'TRANS'!$A:$A,0)),IFERROR(INDEX('Catalog'!$B:$B,MATCH($G2532,'Catalog'!$A:$A,0)),$B2532))</f>
        <v>808KT-P        טייפ קינזיולוגי</v>
      </c>
      <c r="I2532" s="8" t="str">
        <f aca="false">IF($G2532="","Unmatched","Matched")</f>
        <v>Matched</v>
      </c>
      <c r="J2532" s="8" t="n">
        <f aca="false">IF($G2532&lt;&gt;"",$G2532,$B2532)</f>
        <v>4409014</v>
      </c>
      <c r="K2532" s="8" t="str">
        <f aca="false">IF(COUNTIF($M$1:$M$10,$A2532)&gt;0,"Y","N")</f>
        <v>Y</v>
      </c>
    </row>
    <row r="2533" customFormat="false" ht="15" hidden="false" customHeight="true" outlineLevel="0" collapsed="false">
      <c r="A2533" s="8" t="s">
        <v>42</v>
      </c>
      <c r="B2533" s="8" t="s">
        <v>112</v>
      </c>
      <c r="C2533" s="19" t="n">
        <v>1</v>
      </c>
      <c r="D2533" s="19" t="n">
        <v>85.51</v>
      </c>
      <c r="E2533" s="19" t="n">
        <v>0</v>
      </c>
      <c r="F2533" s="19" t="n">
        <v>0</v>
      </c>
      <c r="G2533" s="8" t="str">
        <f aca="false">IFERROR(INDEX('TRANS'!$B:$B,MATCH($B2533,'TRANS'!$A:$A,0)),IFERROR(INDEX('TRANS'!$B:$B,MATCH(TRIM(SUBSTITUTE($B2533,CHAR(160)," ")),'TRANS'!$D:$D,0)),IFERROR(INDEX('Catalog'!$A:$A,MATCH($B2533,'Catalog'!$B:$B,0)),IFERROR(INDEX('Catalog'!$A:$A,MATCH(TRIM(SUBSTITUTE($B2533,CHAR(160)," ")),'Catalog'!$C:$C,0)),""))))</f>
        <v/>
      </c>
      <c r="H2533" s="8" t="str">
        <f aca="false">IFERROR(INDEX('TRANS'!$C:$C,MATCH($B2533,'TRANS'!$A:$A,0)),IFERROR(INDEX('Catalog'!$B:$B,MATCH($G2533,'Catalog'!$A:$A,0)),$B2533))</f>
        <v>808KTP-B</v>
      </c>
      <c r="I2533" s="8" t="str">
        <f aca="false">IF($G2533="","Unmatched","Matched")</f>
        <v>Unmatched</v>
      </c>
      <c r="J2533" s="8" t="str">
        <f aca="false">IF($G2533&lt;&gt;"",$G2533,$B2533)</f>
        <v>808KTP-B</v>
      </c>
      <c r="K2533" s="8" t="str">
        <f aca="false">IF(COUNTIF($M$1:$M$10,$A2533)&gt;0,"Y","N")</f>
        <v>Y</v>
      </c>
    </row>
    <row r="2534" customFormat="false" ht="15" hidden="false" customHeight="true" outlineLevel="0" collapsed="false">
      <c r="A2534" s="8" t="s">
        <v>42</v>
      </c>
      <c r="B2534" s="8" t="s">
        <v>79</v>
      </c>
      <c r="C2534" s="19" t="n">
        <v>3</v>
      </c>
      <c r="D2534" s="19" t="n">
        <v>243.7</v>
      </c>
      <c r="E2534" s="19" t="n">
        <v>1</v>
      </c>
      <c r="F2534" s="19" t="n">
        <v>72.68</v>
      </c>
      <c r="G2534" s="8" t="str">
        <f aca="false">IFERROR(INDEX('TRANS'!$B:$B,MATCH($B2534,'TRANS'!$A:$A,0)),IFERROR(INDEX('TRANS'!$B:$B,MATCH(TRIM(SUBSTITUTE($B2534,CHAR(160)," ")),'TRANS'!$D:$D,0)),IFERROR(INDEX('Catalog'!$A:$A,MATCH($B2534,'Catalog'!$B:$B,0)),IFERROR(INDEX('Catalog'!$A:$A,MATCH(TRIM(SUBSTITUTE($B2534,CHAR(160)," ")),'Catalog'!$C:$C,0)),""))))</f>
        <v/>
      </c>
      <c r="H2534" s="8" t="str">
        <f aca="false">IFERROR(INDEX('TRANS'!$C:$C,MATCH($B2534,'TRANS'!$A:$A,0)),IFERROR(INDEX('Catalog'!$B:$B,MATCH($G2534,'Catalog'!$A:$A,0)),$B2534))</f>
        <v>808KTP-BL</v>
      </c>
      <c r="I2534" s="8" t="str">
        <f aca="false">IF($G2534="","Unmatched","Matched")</f>
        <v>Unmatched</v>
      </c>
      <c r="J2534" s="8" t="str">
        <f aca="false">IF($G2534&lt;&gt;"",$G2534,$B2534)</f>
        <v>808KTP-BL</v>
      </c>
      <c r="K2534" s="8" t="str">
        <f aca="false">IF(COUNTIF($M$1:$M$10,$A2534)&gt;0,"Y","N")</f>
        <v>Y</v>
      </c>
    </row>
    <row r="2535" customFormat="false" ht="15" hidden="false" customHeight="true" outlineLevel="0" collapsed="false">
      <c r="A2535" s="8" t="s">
        <v>42</v>
      </c>
      <c r="B2535" s="8" t="s">
        <v>87</v>
      </c>
      <c r="C2535" s="19" t="n">
        <v>2</v>
      </c>
      <c r="D2535" s="19" t="n">
        <v>141.09</v>
      </c>
      <c r="E2535" s="19" t="n">
        <v>0</v>
      </c>
      <c r="F2535" s="19" t="n">
        <v>0</v>
      </c>
      <c r="G2535" s="8" t="str">
        <f aca="false">IFERROR(INDEX('TRANS'!$B:$B,MATCH($B2535,'TRANS'!$A:$A,0)),IFERROR(INDEX('TRANS'!$B:$B,MATCH(TRIM(SUBSTITUTE($B2535,CHAR(160)," ")),'TRANS'!$D:$D,0)),IFERROR(INDEX('Catalog'!$A:$A,MATCH($B2535,'Catalog'!$B:$B,0)),IFERROR(INDEX('Catalog'!$A:$A,MATCH(TRIM(SUBSTITUTE($B2535,CHAR(160)," ")),'Catalog'!$C:$C,0)),""))))</f>
        <v/>
      </c>
      <c r="H2535" s="8" t="str">
        <f aca="false">IFERROR(INDEX('TRANS'!$C:$C,MATCH($B2535,'TRANS'!$A:$A,0)),IFERROR(INDEX('Catalog'!$B:$B,MATCH($G2535,'Catalog'!$A:$A,0)),$B2535))</f>
        <v>808KTP-C</v>
      </c>
      <c r="I2535" s="8" t="str">
        <f aca="false">IF($G2535="","Unmatched","Matched")</f>
        <v>Unmatched</v>
      </c>
      <c r="J2535" s="8" t="str">
        <f aca="false">IF($G2535&lt;&gt;"",$G2535,$B2535)</f>
        <v>808KTP-C</v>
      </c>
      <c r="K2535" s="8" t="str">
        <f aca="false">IF(COUNTIF($M$1:$M$10,$A2535)&gt;0,"Y","N")</f>
        <v>Y</v>
      </c>
    </row>
    <row r="2536" customFormat="false" ht="15" hidden="false" customHeight="true" outlineLevel="0" collapsed="false">
      <c r="A2536" s="8" t="s">
        <v>42</v>
      </c>
      <c r="B2536" s="8" t="s">
        <v>164</v>
      </c>
      <c r="C2536" s="19" t="n">
        <v>0</v>
      </c>
      <c r="D2536" s="19" t="n">
        <v>0</v>
      </c>
      <c r="E2536" s="19" t="n">
        <v>1</v>
      </c>
      <c r="F2536" s="19" t="n">
        <v>72.68</v>
      </c>
      <c r="G2536" s="8" t="str">
        <f aca="false">IFERROR(INDEX('TRANS'!$B:$B,MATCH($B2536,'TRANS'!$A:$A,0)),IFERROR(INDEX('TRANS'!$B:$B,MATCH(TRIM(SUBSTITUTE($B2536,CHAR(160)," ")),'TRANS'!$D:$D,0)),IFERROR(INDEX('Catalog'!$A:$A,MATCH($B2536,'Catalog'!$B:$B,0)),IFERROR(INDEX('Catalog'!$A:$A,MATCH(TRIM(SUBSTITUTE($B2536,CHAR(160)," ")),'Catalog'!$C:$C,0)),""))))</f>
        <v/>
      </c>
      <c r="H2536" s="8" t="str">
        <f aca="false">IFERROR(INDEX('TRANS'!$C:$C,MATCH($B2536,'TRANS'!$A:$A,0)),IFERROR(INDEX('Catalog'!$B:$B,MATCH($G2536,'Catalog'!$A:$A,0)),$B2536))</f>
        <v>808KTP-P</v>
      </c>
      <c r="I2536" s="8" t="str">
        <f aca="false">IF($G2536="","Unmatched","Matched")</f>
        <v>Unmatched</v>
      </c>
      <c r="J2536" s="8" t="str">
        <f aca="false">IF($G2536&lt;&gt;"",$G2536,$B2536)</f>
        <v>808KTP-P</v>
      </c>
      <c r="K2536" s="8" t="str">
        <f aca="false">IF(COUNTIF($M$1:$M$10,$A2536)&gt;0,"Y","N")</f>
        <v>Y</v>
      </c>
    </row>
    <row r="2537" customFormat="false" ht="15" hidden="false" customHeight="true" outlineLevel="0" collapsed="false">
      <c r="A2537" s="8" t="s">
        <v>42</v>
      </c>
      <c r="B2537" s="8" t="s">
        <v>707</v>
      </c>
      <c r="C2537" s="19" t="n">
        <v>19</v>
      </c>
      <c r="D2537" s="19" t="n">
        <v>1463.4</v>
      </c>
      <c r="E2537" s="19" t="n">
        <v>37</v>
      </c>
      <c r="F2537" s="19" t="n">
        <v>3044.13</v>
      </c>
      <c r="G2537" s="8" t="n">
        <f aca="false">IFERROR(INDEX('TRANS'!$B:$B,MATCH($B2537,'TRANS'!$A:$A,0)),IFERROR(INDEX('TRANS'!$B:$B,MATCH(TRIM(SUBSTITUTE($B2537,CHAR(160)," ")),'TRANS'!$D:$D,0)),IFERROR(INDEX('Catalog'!$A:$A,MATCH($B2537,'Catalog'!$B:$B,0)),IFERROR(INDEX('Catalog'!$A:$A,MATCH(TRIM(SUBSTITUTE($B2537,CHAR(160)," ")),'Catalog'!$C:$C,0)),""))))</f>
        <v>4411015</v>
      </c>
      <c r="H2537" s="8" t="str">
        <f aca="false">IFERROR(INDEX('TRANS'!$C:$C,MATCH($B2537,'TRANS'!$A:$A,0)),IFERROR(INDEX('Catalog'!$B:$B,MATCH($G2537,'Catalog'!$A:$A,0)),$B2537))</f>
        <v>820 0 כרית חום וקור</v>
      </c>
      <c r="I2537" s="8" t="str">
        <f aca="false">IF($G2537="","Unmatched","Matched")</f>
        <v>Matched</v>
      </c>
      <c r="J2537" s="8" t="n">
        <f aca="false">IF($G2537&lt;&gt;"",$G2537,$B2537)</f>
        <v>4411015</v>
      </c>
      <c r="K2537" s="8" t="str">
        <f aca="false">IF(COUNTIF($M$1:$M$10,$A2537)&gt;0,"Y","N")</f>
        <v>Y</v>
      </c>
    </row>
    <row r="2538" customFormat="false" ht="15" hidden="false" customHeight="true" outlineLevel="0" collapsed="false">
      <c r="A2538" s="8" t="s">
        <v>42</v>
      </c>
      <c r="B2538" s="8" t="s">
        <v>64</v>
      </c>
      <c r="C2538" s="19" t="n">
        <v>37</v>
      </c>
      <c r="D2538" s="19" t="n">
        <v>8672.74</v>
      </c>
      <c r="E2538" s="19" t="n">
        <v>39</v>
      </c>
      <c r="F2538" s="19" t="n">
        <v>9467.11</v>
      </c>
      <c r="G2538" s="8" t="str">
        <f aca="false">IFERROR(INDEX('TRANS'!$B:$B,MATCH($B2538,'TRANS'!$A:$A,0)),IFERROR(INDEX('TRANS'!$B:$B,MATCH(TRIM(SUBSTITUTE($B2538,CHAR(160)," ")),'TRANS'!$D:$D,0)),IFERROR(INDEX('Catalog'!$A:$A,MATCH($B2538,'Catalog'!$B:$B,0)),IFERROR(INDEX('Catalog'!$A:$A,MATCH(TRIM(SUBSTITUTE($B2538,CHAR(160)," ")),'Catalog'!$C:$C,0)),""))))</f>
        <v/>
      </c>
      <c r="H2538" s="8" t="str">
        <f aca="false">IFERROR(INDEX('TRANS'!$C:$C,MATCH($B2538,'TRANS'!$A:$A,0)),IFERROR(INDEX('Catalog'!$B:$B,MATCH($G2538,'Catalog'!$A:$A,0)),$B2538))</f>
        <v>84-L-XXL</v>
      </c>
      <c r="I2538" s="8" t="str">
        <f aca="false">IF($G2538="","Unmatched","Matched")</f>
        <v>Unmatched</v>
      </c>
      <c r="J2538" s="8" t="str">
        <f aca="false">IF($G2538&lt;&gt;"",$G2538,$B2538)</f>
        <v>84-L-XXL</v>
      </c>
      <c r="K2538" s="8" t="str">
        <f aca="false">IF(COUNTIF($M$1:$M$10,$A2538)&gt;0,"Y","N")</f>
        <v>Y</v>
      </c>
    </row>
    <row r="2539" customFormat="false" ht="15" hidden="false" customHeight="true" outlineLevel="0" collapsed="false">
      <c r="A2539" s="8" t="s">
        <v>42</v>
      </c>
      <c r="B2539" s="8" t="s">
        <v>62</v>
      </c>
      <c r="C2539" s="19" t="n">
        <v>71</v>
      </c>
      <c r="D2539" s="19" t="n">
        <v>17147.06</v>
      </c>
      <c r="E2539" s="19" t="n">
        <v>57</v>
      </c>
      <c r="F2539" s="19" t="n">
        <v>14092.68</v>
      </c>
      <c r="G2539" s="8" t="str">
        <f aca="false">IFERROR(INDEX('TRANS'!$B:$B,MATCH($B2539,'TRANS'!$A:$A,0)),IFERROR(INDEX('TRANS'!$B:$B,MATCH(TRIM(SUBSTITUTE($B2539,CHAR(160)," ")),'TRANS'!$D:$D,0)),IFERROR(INDEX('Catalog'!$A:$A,MATCH($B2539,'Catalog'!$B:$B,0)),IFERROR(INDEX('Catalog'!$A:$A,MATCH(TRIM(SUBSTITUTE($B2539,CHAR(160)," ")),'Catalog'!$C:$C,0)),""))))</f>
        <v/>
      </c>
      <c r="H2539" s="8" t="str">
        <f aca="false">IFERROR(INDEX('TRANS'!$C:$C,MATCH($B2539,'TRANS'!$A:$A,0)),IFERROR(INDEX('Catalog'!$B:$B,MATCH($G2539,'Catalog'!$A:$A,0)),$B2539))</f>
        <v>84-S-M</v>
      </c>
      <c r="I2539" s="8" t="str">
        <f aca="false">IF($G2539="","Unmatched","Matched")</f>
        <v>Unmatched</v>
      </c>
      <c r="J2539" s="8" t="str">
        <f aca="false">IF($G2539&lt;&gt;"",$G2539,$B2539)</f>
        <v>84-S-M</v>
      </c>
      <c r="K2539" s="8" t="str">
        <f aca="false">IF(COUNTIF($M$1:$M$10,$A2539)&gt;0,"Y","N")</f>
        <v>Y</v>
      </c>
    </row>
    <row r="2540" customFormat="false" ht="15" hidden="false" customHeight="true" outlineLevel="0" collapsed="false">
      <c r="A2540" s="8" t="s">
        <v>42</v>
      </c>
      <c r="B2540" s="8" t="s">
        <v>827</v>
      </c>
      <c r="C2540" s="19" t="n">
        <v>23</v>
      </c>
      <c r="D2540" s="19" t="n">
        <v>3618.72</v>
      </c>
      <c r="E2540" s="19" t="n">
        <v>14</v>
      </c>
      <c r="F2540" s="19" t="n">
        <v>2309.85</v>
      </c>
      <c r="G2540" s="8" t="n">
        <f aca="false">IFERROR(INDEX('TRANS'!$B:$B,MATCH($B2540,'TRANS'!$A:$A,0)),IFERROR(INDEX('TRANS'!$B:$B,MATCH(TRIM(SUBSTITUTE($B2540,CHAR(160)," ")),'TRANS'!$D:$D,0)),IFERROR(INDEX('Catalog'!$A:$A,MATCH($B2540,'Catalog'!$B:$B,0)),IFERROR(INDEX('Catalog'!$A:$A,MATCH(TRIM(SUBSTITUTE($B2540,CHAR(160)," ")),'Catalog'!$C:$C,0)),""))))</f>
        <v>4413176</v>
      </c>
      <c r="H2540" s="8" t="str">
        <f aca="false">IFERROR(INDEX('TRANS'!$C:$C,MATCH($B2540,'TRANS'!$A:$A,0)),IFERROR(INDEX('Catalog'!$B:$B,MATCH($G2540,'Catalog'!$A:$A,0)),$B2540))</f>
        <v>85+ Lמתלה ליד)כיס(+רצועת חיזוק</v>
      </c>
      <c r="I2540" s="8" t="str">
        <f aca="false">IF($G2540="","Unmatched","Matched")</f>
        <v>Matched</v>
      </c>
      <c r="J2540" s="8" t="n">
        <f aca="false">IF($G2540&lt;&gt;"",$G2540,$B2540)</f>
        <v>4413176</v>
      </c>
      <c r="K2540" s="8" t="str">
        <f aca="false">IF(COUNTIF($M$1:$M$10,$A2540)&gt;0,"Y","N")</f>
        <v>Y</v>
      </c>
    </row>
    <row r="2541" customFormat="false" ht="15" hidden="false" customHeight="true" outlineLevel="0" collapsed="false">
      <c r="A2541" s="8" t="s">
        <v>42</v>
      </c>
      <c r="B2541" s="8" t="s">
        <v>828</v>
      </c>
      <c r="C2541" s="19" t="n">
        <v>15</v>
      </c>
      <c r="D2541" s="19" t="n">
        <v>2455.27</v>
      </c>
      <c r="E2541" s="19" t="n">
        <v>3</v>
      </c>
      <c r="F2541" s="19" t="n">
        <v>496.2</v>
      </c>
      <c r="G2541" s="8" t="n">
        <f aca="false">IFERROR(INDEX('TRANS'!$B:$B,MATCH($B2541,'TRANS'!$A:$A,0)),IFERROR(INDEX('TRANS'!$B:$B,MATCH(TRIM(SUBSTITUTE($B2541,CHAR(160)," ")),'TRANS'!$D:$D,0)),IFERROR(INDEX('Catalog'!$A:$A,MATCH($B2541,'Catalog'!$B:$B,0)),IFERROR(INDEX('Catalog'!$A:$A,MATCH(TRIM(SUBSTITUTE($B2541,CHAR(160)," ")),'Catalog'!$C:$C,0)),""))))</f>
        <v>4413175</v>
      </c>
      <c r="H2541" s="8" t="str">
        <f aca="false">IFERROR(INDEX('TRANS'!$C:$C,MATCH($B2541,'TRANS'!$A:$A,0)),IFERROR(INDEX('Catalog'!$B:$B,MATCH($G2541,'Catalog'!$A:$A,0)),$B2541))</f>
        <v>85+ Mמתלה ליד)כיס(+רצועת חיזוק</v>
      </c>
      <c r="I2541" s="8" t="str">
        <f aca="false">IF($G2541="","Unmatched","Matched")</f>
        <v>Matched</v>
      </c>
      <c r="J2541" s="8" t="n">
        <f aca="false">IF($G2541&lt;&gt;"",$G2541,$B2541)</f>
        <v>4413175</v>
      </c>
      <c r="K2541" s="8" t="str">
        <f aca="false">IF(COUNTIF($M$1:$M$10,$A2541)&gt;0,"Y","N")</f>
        <v>Y</v>
      </c>
    </row>
    <row r="2542" customFormat="false" ht="15" hidden="false" customHeight="true" outlineLevel="0" collapsed="false">
      <c r="A2542" s="8" t="s">
        <v>42</v>
      </c>
      <c r="B2542" s="8" t="s">
        <v>459</v>
      </c>
      <c r="C2542" s="19" t="n">
        <v>2</v>
      </c>
      <c r="D2542" s="19" t="n">
        <v>342.2</v>
      </c>
      <c r="E2542" s="19" t="n">
        <v>1</v>
      </c>
      <c r="F2542" s="19" t="n">
        <v>171.1</v>
      </c>
      <c r="G2542" s="8" t="str">
        <f aca="false">IFERROR(INDEX('TRANS'!$B:$B,MATCH($B2542,'TRANS'!$A:$A,0)),IFERROR(INDEX('TRANS'!$B:$B,MATCH(TRIM(SUBSTITUTE($B2542,CHAR(160)," ")),'TRANS'!$D:$D,0)),IFERROR(INDEX('Catalog'!$A:$A,MATCH($B2542,'Catalog'!$B:$B,0)),IFERROR(INDEX('Catalog'!$A:$A,MATCH(TRIM(SUBSTITUTE($B2542,CHAR(160)," ")),'Catalog'!$C:$C,0)),""))))</f>
        <v/>
      </c>
      <c r="H2542" s="8" t="str">
        <f aca="false">IFERROR(INDEX('TRANS'!$C:$C,MATCH($B2542,'TRANS'!$A:$A,0)),IFERROR(INDEX('Catalog'!$B:$B,MATCH($G2542,'Catalog'!$A:$A,0)),$B2542))</f>
        <v>85+ S</v>
      </c>
      <c r="I2542" s="8" t="str">
        <f aca="false">IF($G2542="","Unmatched","Matched")</f>
        <v>Unmatched</v>
      </c>
      <c r="J2542" s="8" t="str">
        <f aca="false">IF($G2542&lt;&gt;"",$G2542,$B2542)</f>
        <v>85+ S</v>
      </c>
      <c r="K2542" s="8" t="str">
        <f aca="false">IF(COUNTIF($M$1:$M$10,$A2542)&gt;0,"Y","N")</f>
        <v>Y</v>
      </c>
    </row>
    <row r="2543" customFormat="false" ht="15" hidden="false" customHeight="true" outlineLevel="0" collapsed="false">
      <c r="A2543" s="8" t="s">
        <v>42</v>
      </c>
      <c r="B2543" s="8" t="s">
        <v>829</v>
      </c>
      <c r="C2543" s="19" t="n">
        <v>9</v>
      </c>
      <c r="D2543" s="19" t="n">
        <v>1488.56</v>
      </c>
      <c r="E2543" s="19" t="n">
        <v>12</v>
      </c>
      <c r="F2543" s="19" t="n">
        <v>1984.78</v>
      </c>
      <c r="G2543" s="8" t="n">
        <f aca="false">IFERROR(INDEX('TRANS'!$B:$B,MATCH($B2543,'TRANS'!$A:$A,0)),IFERROR(INDEX('TRANS'!$B:$B,MATCH(TRIM(SUBSTITUTE($B2543,CHAR(160)," ")),'TRANS'!$D:$D,0)),IFERROR(INDEX('Catalog'!$A:$A,MATCH($B2543,'Catalog'!$B:$B,0)),IFERROR(INDEX('Catalog'!$A:$A,MATCH(TRIM(SUBSTITUTE($B2543,CHAR(160)," ")),'Catalog'!$C:$C,0)),""))))</f>
        <v>4413177</v>
      </c>
      <c r="H2543" s="8" t="str">
        <f aca="false">IFERROR(INDEX('TRANS'!$C:$C,MATCH($B2543,'TRANS'!$A:$A,0)),IFERROR(INDEX('Catalog'!$B:$B,MATCH($G2543,'Catalog'!$A:$A,0)),$B2543))</f>
        <v>85+ XLמתלה ליד)כיס(רצועת חיזוק</v>
      </c>
      <c r="I2543" s="8" t="str">
        <f aca="false">IF($G2543="","Unmatched","Matched")</f>
        <v>Matched</v>
      </c>
      <c r="J2543" s="8" t="n">
        <f aca="false">IF($G2543&lt;&gt;"",$G2543,$B2543)</f>
        <v>4413177</v>
      </c>
      <c r="K2543" s="8" t="str">
        <f aca="false">IF(COUNTIF($M$1:$M$10,$A2543)&gt;0,"Y","N")</f>
        <v>Y</v>
      </c>
    </row>
    <row r="2544" customFormat="false" ht="15" hidden="false" customHeight="true" outlineLevel="0" collapsed="false">
      <c r="A2544" s="8" t="s">
        <v>42</v>
      </c>
      <c r="B2544" s="8" t="s">
        <v>708</v>
      </c>
      <c r="C2544" s="19" t="n">
        <v>7</v>
      </c>
      <c r="D2544" s="19" t="n">
        <v>701.97</v>
      </c>
      <c r="E2544" s="19" t="n">
        <v>9</v>
      </c>
      <c r="F2544" s="19" t="n">
        <v>906.76</v>
      </c>
      <c r="G2544" s="8" t="n">
        <f aca="false">IFERROR(INDEX('TRANS'!$B:$B,MATCH($B2544,'TRANS'!$A:$A,0)),IFERROR(INDEX('TRANS'!$B:$B,MATCH(TRIM(SUBSTITUTE($B2544,CHAR(160)," ")),'TRANS'!$D:$D,0)),IFERROR(INDEX('Catalog'!$A:$A,MATCH($B2544,'Catalog'!$B:$B,0)),IFERROR(INDEX('Catalog'!$A:$A,MATCH(TRIM(SUBSTITUTE($B2544,CHAR(160)," ")),'Catalog'!$C:$C,0)),""))))</f>
        <v>4413135</v>
      </c>
      <c r="H2544" s="8" t="str">
        <f aca="false">IFERROR(INDEX('TRANS'!$C:$C,MATCH($B2544,'TRANS'!$A:$A,0)),IFERROR(INDEX('Catalog'!$B:$B,MATCH($G2544,'Catalog'!$A:$A,0)),$B2544))</f>
        <v>85 L (מתלה ליד )כיס</v>
      </c>
      <c r="I2544" s="8" t="str">
        <f aca="false">IF($G2544="","Unmatched","Matched")</f>
        <v>Matched</v>
      </c>
      <c r="J2544" s="8" t="n">
        <f aca="false">IF($G2544&lt;&gt;"",$G2544,$B2544)</f>
        <v>4413135</v>
      </c>
      <c r="K2544" s="8" t="str">
        <f aca="false">IF(COUNTIF($M$1:$M$10,$A2544)&gt;0,"Y","N")</f>
        <v>Y</v>
      </c>
    </row>
    <row r="2545" customFormat="false" ht="15" hidden="false" customHeight="true" outlineLevel="0" collapsed="false">
      <c r="A2545" s="8" t="s">
        <v>42</v>
      </c>
      <c r="B2545" s="8" t="s">
        <v>709</v>
      </c>
      <c r="C2545" s="19" t="n">
        <v>5</v>
      </c>
      <c r="D2545" s="19" t="n">
        <v>512.3</v>
      </c>
      <c r="E2545" s="19" t="n">
        <v>6</v>
      </c>
      <c r="F2545" s="19" t="n">
        <v>614.75</v>
      </c>
      <c r="G2545" s="8" t="n">
        <f aca="false">IFERROR(INDEX('TRANS'!$B:$B,MATCH($B2545,'TRANS'!$A:$A,0)),IFERROR(INDEX('TRANS'!$B:$B,MATCH(TRIM(SUBSTITUTE($B2545,CHAR(160)," ")),'TRANS'!$D:$D,0)),IFERROR(INDEX('Catalog'!$A:$A,MATCH($B2545,'Catalog'!$B:$B,0)),IFERROR(INDEX('Catalog'!$A:$A,MATCH(TRIM(SUBSTITUTE($B2545,CHAR(160)," ")),'Catalog'!$C:$C,0)),""))))</f>
        <v>4413136</v>
      </c>
      <c r="H2545" s="8" t="str">
        <f aca="false">IFERROR(INDEX('TRANS'!$C:$C,MATCH($B2545,'TRANS'!$A:$A,0)),IFERROR(INDEX('Catalog'!$B:$B,MATCH($G2545,'Catalog'!$A:$A,0)),$B2545))</f>
        <v>85 M (מתלה ליד )כיס</v>
      </c>
      <c r="I2545" s="8" t="str">
        <f aca="false">IF($G2545="","Unmatched","Matched")</f>
        <v>Matched</v>
      </c>
      <c r="J2545" s="8" t="n">
        <f aca="false">IF($G2545&lt;&gt;"",$G2545,$B2545)</f>
        <v>4413136</v>
      </c>
      <c r="K2545" s="8" t="str">
        <f aca="false">IF(COUNTIF($M$1:$M$10,$A2545)&gt;0,"Y","N")</f>
        <v>Y</v>
      </c>
    </row>
    <row r="2546" customFormat="false" ht="15" hidden="false" customHeight="true" outlineLevel="0" collapsed="false">
      <c r="A2546" s="8" t="s">
        <v>42</v>
      </c>
      <c r="B2546" s="8" t="s">
        <v>963</v>
      </c>
      <c r="C2546" s="19" t="n">
        <v>1</v>
      </c>
      <c r="D2546" s="19" t="n">
        <v>102.46</v>
      </c>
      <c r="E2546" s="19" t="n">
        <v>2</v>
      </c>
      <c r="F2546" s="19" t="n">
        <v>204.92</v>
      </c>
      <c r="G2546" s="8" t="n">
        <f aca="false">IFERROR(INDEX('TRANS'!$B:$B,MATCH($B2546,'TRANS'!$A:$A,0)),IFERROR(INDEX('TRANS'!$B:$B,MATCH(TRIM(SUBSTITUTE($B2546,CHAR(160)," ")),'TRANS'!$D:$D,0)),IFERROR(INDEX('Catalog'!$A:$A,MATCH($B2546,'Catalog'!$B:$B,0)),IFERROR(INDEX('Catalog'!$A:$A,MATCH(TRIM(SUBSTITUTE($B2546,CHAR(160)," ")),'Catalog'!$C:$C,0)),""))))</f>
        <v>4413137</v>
      </c>
      <c r="H2546" s="8" t="str">
        <f aca="false">IFERROR(INDEX('TRANS'!$C:$C,MATCH($B2546,'TRANS'!$A:$A,0)),IFERROR(INDEX('Catalog'!$B:$B,MATCH($G2546,'Catalog'!$A:$A,0)),$B2546))</f>
        <v>85 S (מתלה ליד )כיס</v>
      </c>
      <c r="I2546" s="8" t="str">
        <f aca="false">IF($G2546="","Unmatched","Matched")</f>
        <v>Matched</v>
      </c>
      <c r="J2546" s="8" t="n">
        <f aca="false">IF($G2546&lt;&gt;"",$G2546,$B2546)</f>
        <v>4413137</v>
      </c>
      <c r="K2546" s="8" t="str">
        <f aca="false">IF(COUNTIF($M$1:$M$10,$A2546)&gt;0,"Y","N")</f>
        <v>Y</v>
      </c>
    </row>
    <row r="2547" customFormat="false" ht="15" hidden="false" customHeight="true" outlineLevel="0" collapsed="false">
      <c r="A2547" s="8" t="s">
        <v>42</v>
      </c>
      <c r="B2547" s="8" t="s">
        <v>710</v>
      </c>
      <c r="C2547" s="19" t="n">
        <v>7</v>
      </c>
      <c r="D2547" s="19" t="n">
        <v>701.85</v>
      </c>
      <c r="E2547" s="19" t="n">
        <v>4</v>
      </c>
      <c r="F2547" s="19" t="n">
        <v>409.84</v>
      </c>
      <c r="G2547" s="8" t="n">
        <f aca="false">IFERROR(INDEX('TRANS'!$B:$B,MATCH($B2547,'TRANS'!$A:$A,0)),IFERROR(INDEX('TRANS'!$B:$B,MATCH(TRIM(SUBSTITUTE($B2547,CHAR(160)," ")),'TRANS'!$D:$D,0)),IFERROR(INDEX('Catalog'!$A:$A,MATCH($B2547,'Catalog'!$B:$B,0)),IFERROR(INDEX('Catalog'!$A:$A,MATCH(TRIM(SUBSTITUTE($B2547,CHAR(160)," ")),'Catalog'!$C:$C,0)),""))))</f>
        <v>4413138</v>
      </c>
      <c r="H2547" s="8" t="str">
        <f aca="false">IFERROR(INDEX('TRANS'!$C:$C,MATCH($B2547,'TRANS'!$A:$A,0)),IFERROR(INDEX('Catalog'!$B:$B,MATCH($G2547,'Catalog'!$A:$A,0)),$B2547))</f>
        <v>85 XL (מתלה ליד )כיס</v>
      </c>
      <c r="I2547" s="8" t="str">
        <f aca="false">IF($G2547="","Unmatched","Matched")</f>
        <v>Matched</v>
      </c>
      <c r="J2547" s="8" t="n">
        <f aca="false">IF($G2547&lt;&gt;"",$G2547,$B2547)</f>
        <v>4413138</v>
      </c>
      <c r="K2547" s="8" t="str">
        <f aca="false">IF(COUNTIF($M$1:$M$10,$A2547)&gt;0,"Y","N")</f>
        <v>Y</v>
      </c>
    </row>
    <row r="2548" customFormat="false" ht="15" hidden="false" customHeight="true" outlineLevel="0" collapsed="false">
      <c r="A2548" s="8" t="s">
        <v>42</v>
      </c>
      <c r="B2548" s="8" t="s">
        <v>711</v>
      </c>
      <c r="C2548" s="19" t="n">
        <v>19</v>
      </c>
      <c r="D2548" s="19" t="n">
        <v>1900.63</v>
      </c>
      <c r="E2548" s="19" t="n">
        <v>29</v>
      </c>
      <c r="F2548" s="19" t="n">
        <v>2889.34</v>
      </c>
      <c r="G2548" s="8" t="n">
        <f aca="false">IFERROR(INDEX('TRANS'!$B:$B,MATCH($B2548,'TRANS'!$A:$A,0)),IFERROR(INDEX('TRANS'!$B:$B,MATCH(TRIM(SUBSTITUTE($B2548,CHAR(160)," ")),'TRANS'!$D:$D,0)),IFERROR(INDEX('Catalog'!$A:$A,MATCH($B2548,'Catalog'!$B:$B,0)),IFERROR(INDEX('Catalog'!$A:$A,MATCH(TRIM(SUBSTITUTE($B2548,CHAR(160)," ")),'Catalog'!$C:$C,0)),""))))</f>
        <v>4413516</v>
      </c>
      <c r="H2548" s="8" t="str">
        <f aca="false">IFERROR(INDEX('TRANS'!$C:$C,MATCH($B2548,'TRANS'!$A:$A,0)),IFERROR(INDEX('Catalog'!$B:$B,MATCH($G2548,'Catalog'!$A:$A,0)),$B2548))</f>
        <v>85B L מתלה רשת לזרוע שחור</v>
      </c>
      <c r="I2548" s="8" t="str">
        <f aca="false">IF($G2548="","Unmatched","Matched")</f>
        <v>Matched</v>
      </c>
      <c r="J2548" s="8" t="n">
        <f aca="false">IF($G2548&lt;&gt;"",$G2548,$B2548)</f>
        <v>4413516</v>
      </c>
      <c r="K2548" s="8" t="str">
        <f aca="false">IF(COUNTIF($M$1:$M$10,$A2548)&gt;0,"Y","N")</f>
        <v>Y</v>
      </c>
    </row>
    <row r="2549" customFormat="false" ht="15" hidden="false" customHeight="true" outlineLevel="0" collapsed="false">
      <c r="A2549" s="8" t="s">
        <v>42</v>
      </c>
      <c r="B2549" s="8" t="s">
        <v>712</v>
      </c>
      <c r="C2549" s="19" t="n">
        <v>5</v>
      </c>
      <c r="D2549" s="19" t="n">
        <v>512.3</v>
      </c>
      <c r="E2549" s="19" t="n">
        <v>16</v>
      </c>
      <c r="F2549" s="19" t="n">
        <v>1618.86</v>
      </c>
      <c r="G2549" s="8" t="n">
        <f aca="false">IFERROR(INDEX('TRANS'!$B:$B,MATCH($B2549,'TRANS'!$A:$A,0)),IFERROR(INDEX('TRANS'!$B:$B,MATCH(TRIM(SUBSTITUTE($B2549,CHAR(160)," ")),'TRANS'!$D:$D,0)),IFERROR(INDEX('Catalog'!$A:$A,MATCH($B2549,'Catalog'!$B:$B,0)),IFERROR(INDEX('Catalog'!$A:$A,MATCH(TRIM(SUBSTITUTE($B2549,CHAR(160)," ")),'Catalog'!$C:$C,0)),""))))</f>
        <v>4413517</v>
      </c>
      <c r="H2549" s="8" t="str">
        <f aca="false">IFERROR(INDEX('TRANS'!$C:$C,MATCH($B2549,'TRANS'!$A:$A,0)),IFERROR(INDEX('Catalog'!$B:$B,MATCH($G2549,'Catalog'!$A:$A,0)),$B2549))</f>
        <v>85B M מתלה רשת לזרוע שחור</v>
      </c>
      <c r="I2549" s="8" t="str">
        <f aca="false">IF($G2549="","Unmatched","Matched")</f>
        <v>Matched</v>
      </c>
      <c r="J2549" s="8" t="n">
        <f aca="false">IF($G2549&lt;&gt;"",$G2549,$B2549)</f>
        <v>4413517</v>
      </c>
      <c r="K2549" s="8" t="str">
        <f aca="false">IF(COUNTIF($M$1:$M$10,$A2549)&gt;0,"Y","N")</f>
        <v>Y</v>
      </c>
    </row>
    <row r="2550" customFormat="false" ht="15" hidden="false" customHeight="true" outlineLevel="0" collapsed="false">
      <c r="A2550" s="8" t="s">
        <v>42</v>
      </c>
      <c r="B2550" s="8" t="s">
        <v>713</v>
      </c>
      <c r="C2550" s="19" t="n">
        <v>2</v>
      </c>
      <c r="D2550" s="19" t="n">
        <v>204.92</v>
      </c>
      <c r="E2550" s="19" t="n">
        <v>6</v>
      </c>
      <c r="F2550" s="19" t="n">
        <v>604.51</v>
      </c>
      <c r="G2550" s="8" t="n">
        <f aca="false">IFERROR(INDEX('TRANS'!$B:$B,MATCH($B2550,'TRANS'!$A:$A,0)),IFERROR(INDEX('TRANS'!$B:$B,MATCH(TRIM(SUBSTITUTE($B2550,CHAR(160)," ")),'TRANS'!$D:$D,0)),IFERROR(INDEX('Catalog'!$A:$A,MATCH($B2550,'Catalog'!$B:$B,0)),IFERROR(INDEX('Catalog'!$A:$A,MATCH(TRIM(SUBSTITUTE($B2550,CHAR(160)," ")),'Catalog'!$C:$C,0)),""))))</f>
        <v>4413519</v>
      </c>
      <c r="H2550" s="8" t="str">
        <f aca="false">IFERROR(INDEX('TRANS'!$C:$C,MATCH($B2550,'TRANS'!$A:$A,0)),IFERROR(INDEX('Catalog'!$B:$B,MATCH($G2550,'Catalog'!$A:$A,0)),$B2550))</f>
        <v>85B S מתלה רשת לזרוע שחור</v>
      </c>
      <c r="I2550" s="8" t="str">
        <f aca="false">IF($G2550="","Unmatched","Matched")</f>
        <v>Matched</v>
      </c>
      <c r="J2550" s="8" t="n">
        <f aca="false">IF($G2550&lt;&gt;"",$G2550,$B2550)</f>
        <v>4413519</v>
      </c>
      <c r="K2550" s="8" t="str">
        <f aca="false">IF(COUNTIF($M$1:$M$10,$A2550)&gt;0,"Y","N")</f>
        <v>Y</v>
      </c>
    </row>
    <row r="2551" customFormat="false" ht="15" hidden="false" customHeight="true" outlineLevel="0" collapsed="false">
      <c r="A2551" s="8" t="s">
        <v>42</v>
      </c>
      <c r="B2551" s="8" t="s">
        <v>714</v>
      </c>
      <c r="C2551" s="19" t="n">
        <v>9</v>
      </c>
      <c r="D2551" s="19" t="n">
        <v>891.4</v>
      </c>
      <c r="E2551" s="19" t="n">
        <v>20</v>
      </c>
      <c r="F2551" s="19" t="n">
        <v>2028.71</v>
      </c>
      <c r="G2551" s="8" t="n">
        <f aca="false">IFERROR(INDEX('TRANS'!$B:$B,MATCH($B2551,'TRANS'!$A:$A,0)),IFERROR(INDEX('TRANS'!$B:$B,MATCH(TRIM(SUBSTITUTE($B2551,CHAR(160)," ")),'TRANS'!$D:$D,0)),IFERROR(INDEX('Catalog'!$A:$A,MATCH($B2551,'Catalog'!$B:$B,0)),IFERROR(INDEX('Catalog'!$A:$A,MATCH(TRIM(SUBSTITUTE($B2551,CHAR(160)," ")),'Catalog'!$C:$C,0)),""))))</f>
        <v>4413518</v>
      </c>
      <c r="H2551" s="8" t="str">
        <f aca="false">IFERROR(INDEX('TRANS'!$C:$C,MATCH($B2551,'TRANS'!$A:$A,0)),IFERROR(INDEX('Catalog'!$B:$B,MATCH($G2551,'Catalog'!$A:$A,0)),$B2551))</f>
        <v>85B XL מתלה רשת לזרוע שחור</v>
      </c>
      <c r="I2551" s="8" t="str">
        <f aca="false">IF($G2551="","Unmatched","Matched")</f>
        <v>Matched</v>
      </c>
      <c r="J2551" s="8" t="n">
        <f aca="false">IF($G2551&lt;&gt;"",$G2551,$B2551)</f>
        <v>4413518</v>
      </c>
      <c r="K2551" s="8" t="str">
        <f aca="false">IF(COUNTIF($M$1:$M$10,$A2551)&gt;0,"Y","N")</f>
        <v>Y</v>
      </c>
    </row>
    <row r="2552" customFormat="false" ht="15" hidden="false" customHeight="true" outlineLevel="0" collapsed="false">
      <c r="A2552" s="8" t="s">
        <v>42</v>
      </c>
      <c r="B2552" s="8" t="s">
        <v>715</v>
      </c>
      <c r="C2552" s="19" t="n">
        <v>63</v>
      </c>
      <c r="D2552" s="19" t="n">
        <v>5676.34</v>
      </c>
      <c r="E2552" s="19" t="n">
        <v>37</v>
      </c>
      <c r="F2552" s="19" t="n">
        <v>3406.84</v>
      </c>
      <c r="G2552" s="8" t="n">
        <f aca="false">IFERROR(INDEX('TRANS'!$B:$B,MATCH($B2552,'TRANS'!$A:$A,0)),IFERROR(INDEX('TRANS'!$B:$B,MATCH(TRIM(SUBSTITUTE($B2552,CHAR(160)," ")),'TRANS'!$D:$D,0)),IFERROR(INDEX('Catalog'!$A:$A,MATCH($B2552,'Catalog'!$B:$B,0)),IFERROR(INDEX('Catalog'!$A:$A,MATCH(TRIM(SUBSTITUTE($B2552,CHAR(160)," ")),'Catalog'!$C:$C,0)),""))))</f>
        <v>4413455</v>
      </c>
      <c r="H2552" s="8" t="str">
        <f aca="false">IFERROR(INDEX('TRANS'!$C:$C,MATCH($B2552,'TRANS'!$A:$A,0)),IFERROR(INDEX('Catalog'!$B:$B,MATCH($G2552,'Catalog'!$A:$A,0)),$B2552))</f>
        <v>85K מתלה ליד לילדים</v>
      </c>
      <c r="I2552" s="8" t="str">
        <f aca="false">IF($G2552="","Unmatched","Matched")</f>
        <v>Matched</v>
      </c>
      <c r="J2552" s="8" t="n">
        <f aca="false">IF($G2552&lt;&gt;"",$G2552,$B2552)</f>
        <v>4413455</v>
      </c>
      <c r="K2552" s="8" t="str">
        <f aca="false">IF(COUNTIF($M$1:$M$10,$A2552)&gt;0,"Y","N")</f>
        <v>Y</v>
      </c>
    </row>
    <row r="2553" customFormat="false" ht="15" hidden="false" customHeight="true" outlineLevel="0" collapsed="false">
      <c r="A2553" s="8" t="s">
        <v>42</v>
      </c>
      <c r="B2553" s="8" t="s">
        <v>507</v>
      </c>
      <c r="C2553" s="19" t="n">
        <v>1</v>
      </c>
      <c r="D2553" s="19" t="n">
        <v>211.78</v>
      </c>
      <c r="E2553" s="19" t="n">
        <v>0</v>
      </c>
      <c r="F2553" s="19" t="n">
        <v>0</v>
      </c>
      <c r="G2553" s="8" t="str">
        <f aca="false">IFERROR(INDEX('TRANS'!$B:$B,MATCH($B2553,'TRANS'!$A:$A,0)),IFERROR(INDEX('TRANS'!$B:$B,MATCH(TRIM(SUBSTITUTE($B2553,CHAR(160)," ")),'TRANS'!$D:$D,0)),IFERROR(INDEX('Catalog'!$A:$A,MATCH($B2553,'Catalog'!$B:$B,0)),IFERROR(INDEX('Catalog'!$A:$A,MATCH(TRIM(SUBSTITUTE($B2553,CHAR(160)," ")),'Catalog'!$C:$C,0)),""))))</f>
        <v/>
      </c>
      <c r="H2553" s="8" t="str">
        <f aca="false">IFERROR(INDEX('TRANS'!$C:$C,MATCH($B2553,'TRANS'!$A:$A,0)),IFERROR(INDEX('Catalog'!$B:$B,MATCH($G2553,'Catalog'!$A:$A,0)),$B2553))</f>
        <v>86U XL</v>
      </c>
      <c r="I2553" s="8" t="str">
        <f aca="false">IF($G2553="","Unmatched","Matched")</f>
        <v>Unmatched</v>
      </c>
      <c r="J2553" s="8" t="str">
        <f aca="false">IF($G2553&lt;&gt;"",$G2553,$B2553)</f>
        <v>86U XL</v>
      </c>
      <c r="K2553" s="8" t="str">
        <f aca="false">IF(COUNTIF($M$1:$M$10,$A2553)&gt;0,"Y","N")</f>
        <v>Y</v>
      </c>
    </row>
    <row r="2554" customFormat="false" ht="15" hidden="false" customHeight="true" outlineLevel="0" collapsed="false">
      <c r="A2554" s="8" t="s">
        <v>42</v>
      </c>
      <c r="B2554" s="8" t="s">
        <v>508</v>
      </c>
      <c r="C2554" s="19" t="n">
        <v>2</v>
      </c>
      <c r="D2554" s="19" t="n">
        <v>334.11</v>
      </c>
      <c r="E2554" s="19" t="n">
        <v>0</v>
      </c>
      <c r="F2554" s="19" t="n">
        <v>0</v>
      </c>
      <c r="G2554" s="8" t="str">
        <f aca="false">IFERROR(INDEX('TRANS'!$B:$B,MATCH($B2554,'TRANS'!$A:$A,0)),IFERROR(INDEX('TRANS'!$B:$B,MATCH(TRIM(SUBSTITUTE($B2554,CHAR(160)," ")),'TRANS'!$D:$D,0)),IFERROR(INDEX('Catalog'!$A:$A,MATCH($B2554,'Catalog'!$B:$B,0)),IFERROR(INDEX('Catalog'!$A:$A,MATCH(TRIM(SUBSTITUTE($B2554,CHAR(160)," ")),'Catalog'!$C:$C,0)),""))))</f>
        <v/>
      </c>
      <c r="H2554" s="8" t="str">
        <f aca="false">IFERROR(INDEX('TRANS'!$C:$C,MATCH($B2554,'TRANS'!$A:$A,0)),IFERROR(INDEX('Catalog'!$B:$B,MATCH($G2554,'Catalog'!$A:$A,0)),$B2554))</f>
        <v>86U XXL</v>
      </c>
      <c r="I2554" s="8" t="str">
        <f aca="false">IF($G2554="","Unmatched","Matched")</f>
        <v>Unmatched</v>
      </c>
      <c r="J2554" s="8" t="str">
        <f aca="false">IF($G2554&lt;&gt;"",$G2554,$B2554)</f>
        <v>86U XXL</v>
      </c>
      <c r="K2554" s="8" t="str">
        <f aca="false">IF(COUNTIF($M$1:$M$10,$A2554)&gt;0,"Y","N")</f>
        <v>Y</v>
      </c>
    </row>
    <row r="2555" customFormat="false" ht="15" hidden="false" customHeight="true" outlineLevel="0" collapsed="false">
      <c r="A2555" s="8" t="s">
        <v>42</v>
      </c>
      <c r="B2555" s="8" t="s">
        <v>830</v>
      </c>
      <c r="C2555" s="19" t="n">
        <v>6</v>
      </c>
      <c r="D2555" s="19" t="n">
        <v>2040.19</v>
      </c>
      <c r="E2555" s="19" t="n">
        <v>14</v>
      </c>
      <c r="F2555" s="19" t="n">
        <v>4863.68</v>
      </c>
      <c r="G2555" s="8" t="n">
        <f aca="false">IFERROR(INDEX('TRANS'!$B:$B,MATCH($B2555,'TRANS'!$A:$A,0)),IFERROR(INDEX('TRANS'!$B:$B,MATCH(TRIM(SUBSTITUTE($B2555,CHAR(160)," ")),'TRANS'!$D:$D,0)),IFERROR(INDEX('Catalog'!$A:$A,MATCH($B2555,'Catalog'!$B:$B,0)),IFERROR(INDEX('Catalog'!$A:$A,MATCH(TRIM(SUBSTITUTE($B2555,CHAR(160)," ")),'Catalog'!$C:$C,0)),""))))</f>
        <v>4413197</v>
      </c>
      <c r="H2555" s="8" t="str">
        <f aca="false">IFERROR(INDEX('TRANS'!$C:$C,MATCH($B2555,'TRANS'!$A:$A,0)),IFERROR(INDEX('Catalog'!$B:$B,MATCH($G2555,'Catalog'!$A:$A,0)),$B2555))</f>
        <v>87 L מקבע כתף ויד</v>
      </c>
      <c r="I2555" s="8" t="str">
        <f aca="false">IF($G2555="","Unmatched","Matched")</f>
        <v>Matched</v>
      </c>
      <c r="J2555" s="8" t="n">
        <f aca="false">IF($G2555&lt;&gt;"",$G2555,$B2555)</f>
        <v>4413197</v>
      </c>
      <c r="K2555" s="8" t="str">
        <f aca="false">IF(COUNTIF($M$1:$M$10,$A2555)&gt;0,"Y","N")</f>
        <v>Y</v>
      </c>
    </row>
    <row r="2556" customFormat="false" ht="15" hidden="false" customHeight="true" outlineLevel="0" collapsed="false">
      <c r="A2556" s="8" t="s">
        <v>42</v>
      </c>
      <c r="B2556" s="8" t="s">
        <v>831</v>
      </c>
      <c r="C2556" s="19" t="n">
        <v>6</v>
      </c>
      <c r="D2556" s="19" t="n">
        <v>2054.59</v>
      </c>
      <c r="E2556" s="19" t="n">
        <v>4</v>
      </c>
      <c r="F2556" s="19" t="n">
        <v>1420.85</v>
      </c>
      <c r="G2556" s="8" t="n">
        <f aca="false">IFERROR(INDEX('TRANS'!$B:$B,MATCH($B2556,'TRANS'!$A:$A,0)),IFERROR(INDEX('TRANS'!$B:$B,MATCH(TRIM(SUBSTITUTE($B2556,CHAR(160)," ")),'TRANS'!$D:$D,0)),IFERROR(INDEX('Catalog'!$A:$A,MATCH($B2556,'Catalog'!$B:$B,0)),IFERROR(INDEX('Catalog'!$A:$A,MATCH(TRIM(SUBSTITUTE($B2556,CHAR(160)," ")),'Catalog'!$C:$C,0)),""))))</f>
        <v>4413196</v>
      </c>
      <c r="H2556" s="8" t="str">
        <f aca="false">IFERROR(INDEX('TRANS'!$C:$C,MATCH($B2556,'TRANS'!$A:$A,0)),IFERROR(INDEX('Catalog'!$B:$B,MATCH($G2556,'Catalog'!$A:$A,0)),$B2556))</f>
        <v>87 M מקבע כתף ויד</v>
      </c>
      <c r="I2556" s="8" t="str">
        <f aca="false">IF($G2556="","Unmatched","Matched")</f>
        <v>Matched</v>
      </c>
      <c r="J2556" s="8" t="n">
        <f aca="false">IF($G2556&lt;&gt;"",$G2556,$B2556)</f>
        <v>4413196</v>
      </c>
      <c r="K2556" s="8" t="str">
        <f aca="false">IF(COUNTIF($M$1:$M$10,$A2556)&gt;0,"Y","N")</f>
        <v>Y</v>
      </c>
    </row>
    <row r="2557" customFormat="false" ht="15" hidden="false" customHeight="true" outlineLevel="0" collapsed="false">
      <c r="A2557" s="8" t="s">
        <v>42</v>
      </c>
      <c r="B2557" s="8" t="s">
        <v>918</v>
      </c>
      <c r="C2557" s="19" t="n">
        <v>4</v>
      </c>
      <c r="D2557" s="19" t="n">
        <v>1347.98</v>
      </c>
      <c r="E2557" s="19" t="n">
        <v>1</v>
      </c>
      <c r="F2557" s="19" t="n">
        <v>309.68</v>
      </c>
      <c r="G2557" s="8" t="n">
        <f aca="false">IFERROR(INDEX('TRANS'!$B:$B,MATCH($B2557,'TRANS'!$A:$A,0)),IFERROR(INDEX('TRANS'!$B:$B,MATCH(TRIM(SUBSTITUTE($B2557,CHAR(160)," ")),'TRANS'!$D:$D,0)),IFERROR(INDEX('Catalog'!$A:$A,MATCH($B2557,'Catalog'!$B:$B,0)),IFERROR(INDEX('Catalog'!$A:$A,MATCH(TRIM(SUBSTITUTE($B2557,CHAR(160)," ")),'Catalog'!$C:$C,0)),""))))</f>
        <v>4413195</v>
      </c>
      <c r="H2557" s="8" t="str">
        <f aca="false">IFERROR(INDEX('TRANS'!$C:$C,MATCH($B2557,'TRANS'!$A:$A,0)),IFERROR(INDEX('Catalog'!$B:$B,MATCH($G2557,'Catalog'!$A:$A,0)),$B2557))</f>
        <v>87 S מקבע כתף ויד</v>
      </c>
      <c r="I2557" s="8" t="str">
        <f aca="false">IF($G2557="","Unmatched","Matched")</f>
        <v>Matched</v>
      </c>
      <c r="J2557" s="8" t="n">
        <f aca="false">IF($G2557&lt;&gt;"",$G2557,$B2557)</f>
        <v>4413195</v>
      </c>
      <c r="K2557" s="8" t="str">
        <f aca="false">IF(COUNTIF($M$1:$M$10,$A2557)&gt;0,"Y","N")</f>
        <v>Y</v>
      </c>
    </row>
    <row r="2558" customFormat="false" ht="15" hidden="false" customHeight="true" outlineLevel="0" collapsed="false">
      <c r="A2558" s="8" t="s">
        <v>42</v>
      </c>
      <c r="B2558" s="8" t="s">
        <v>832</v>
      </c>
      <c r="C2558" s="19" t="n">
        <v>8</v>
      </c>
      <c r="D2558" s="19" t="n">
        <v>2623.1</v>
      </c>
      <c r="E2558" s="19" t="n">
        <v>13</v>
      </c>
      <c r="F2558" s="19" t="n">
        <v>4486.14</v>
      </c>
      <c r="G2558" s="8" t="n">
        <f aca="false">IFERROR(INDEX('TRANS'!$B:$B,MATCH($B2558,'TRANS'!$A:$A,0)),IFERROR(INDEX('TRANS'!$B:$B,MATCH(TRIM(SUBSTITUTE($B2558,CHAR(160)," ")),'TRANS'!$D:$D,0)),IFERROR(INDEX('Catalog'!$A:$A,MATCH($B2558,'Catalog'!$B:$B,0)),IFERROR(INDEX('Catalog'!$A:$A,MATCH(TRIM(SUBSTITUTE($B2558,CHAR(160)," ")),'Catalog'!$C:$C,0)),""))))</f>
        <v>4413198</v>
      </c>
      <c r="H2558" s="8" t="str">
        <f aca="false">IFERROR(INDEX('TRANS'!$C:$C,MATCH($B2558,'TRANS'!$A:$A,0)),IFERROR(INDEX('Catalog'!$B:$B,MATCH($G2558,'Catalog'!$A:$A,0)),$B2558))</f>
        <v>87 XL מקבע כתף ויד</v>
      </c>
      <c r="I2558" s="8" t="str">
        <f aca="false">IF($G2558="","Unmatched","Matched")</f>
        <v>Matched</v>
      </c>
      <c r="J2558" s="8" t="n">
        <f aca="false">IF($G2558&lt;&gt;"",$G2558,$B2558)</f>
        <v>4413198</v>
      </c>
      <c r="K2558" s="8" t="str">
        <f aca="false">IF(COUNTIF($M$1:$M$10,$A2558)&gt;0,"Y","N")</f>
        <v>Y</v>
      </c>
    </row>
    <row r="2559" customFormat="false" ht="15" hidden="false" customHeight="true" outlineLevel="0" collapsed="false">
      <c r="A2559" s="8" t="s">
        <v>42</v>
      </c>
      <c r="B2559" s="8" t="s">
        <v>923</v>
      </c>
      <c r="C2559" s="19" t="n">
        <v>13</v>
      </c>
      <c r="D2559" s="19" t="n">
        <v>4294.14</v>
      </c>
      <c r="E2559" s="19" t="n">
        <v>11</v>
      </c>
      <c r="F2559" s="19" t="n">
        <v>4043.96</v>
      </c>
      <c r="G2559" s="8" t="n">
        <f aca="false">IFERROR(INDEX('TRANS'!$B:$B,MATCH($B2559,'TRANS'!$A:$A,0)),IFERROR(INDEX('TRANS'!$B:$B,MATCH(TRIM(SUBSTITUTE($B2559,CHAR(160)," ")),'TRANS'!$D:$D,0)),IFERROR(INDEX('Catalog'!$A:$A,MATCH($B2559,'Catalog'!$B:$B,0)),IFERROR(INDEX('Catalog'!$A:$A,MATCH(TRIM(SUBSTITUTE($B2559,CHAR(160)," ")),'Catalog'!$C:$C,0)),""))))</f>
        <v>4413204</v>
      </c>
      <c r="H2559" s="8" t="str">
        <f aca="false">IFERROR(INDEX('TRANS'!$C:$C,MATCH($B2559,'TRANS'!$A:$A,0)),IFERROR(INDEX('Catalog'!$B:$B,MATCH($G2559,'Catalog'!$A:$A,0)),$B2559))</f>
        <v>87 XXL מקבע כתף ויד</v>
      </c>
      <c r="I2559" s="8" t="str">
        <f aca="false">IF($G2559="","Unmatched","Matched")</f>
        <v>Matched</v>
      </c>
      <c r="J2559" s="8" t="n">
        <f aca="false">IF($G2559&lt;&gt;"",$G2559,$B2559)</f>
        <v>4413204</v>
      </c>
      <c r="K2559" s="8" t="str">
        <f aca="false">IF(COUNTIF($M$1:$M$10,$A2559)&gt;0,"Y","N")</f>
        <v>Y</v>
      </c>
    </row>
    <row r="2560" customFormat="false" ht="15" hidden="false" customHeight="true" outlineLevel="0" collapsed="false">
      <c r="A2560" s="8" t="s">
        <v>42</v>
      </c>
      <c r="B2560" s="8" t="s">
        <v>426</v>
      </c>
      <c r="C2560" s="19" t="n">
        <v>1</v>
      </c>
      <c r="D2560" s="19" t="n">
        <v>468.15</v>
      </c>
      <c r="E2560" s="19" t="n">
        <v>0</v>
      </c>
      <c r="F2560" s="19" t="n">
        <v>0</v>
      </c>
      <c r="G2560" s="8" t="str">
        <f aca="false">IFERROR(INDEX('TRANS'!$B:$B,MATCH($B2560,'TRANS'!$A:$A,0)),IFERROR(INDEX('TRANS'!$B:$B,MATCH(TRIM(SUBSTITUTE($B2560,CHAR(160)," ")),'TRANS'!$D:$D,0)),IFERROR(INDEX('Catalog'!$A:$A,MATCH($B2560,'Catalog'!$B:$B,0)),IFERROR(INDEX('Catalog'!$A:$A,MATCH(TRIM(SUBSTITUTE($B2560,CHAR(160)," ")),'Catalog'!$C:$C,0)),""))))</f>
        <v/>
      </c>
      <c r="H2560" s="8" t="str">
        <f aca="false">IFERROR(INDEX('TRANS'!$C:$C,MATCH($B2560,'TRANS'!$A:$A,0)),IFERROR(INDEX('Catalog'!$B:$B,MATCH($G2560,'Catalog'!$A:$A,0)),$B2560))</f>
        <v>88L XXL</v>
      </c>
      <c r="I2560" s="8" t="str">
        <f aca="false">IF($G2560="","Unmatched","Matched")</f>
        <v>Unmatched</v>
      </c>
      <c r="J2560" s="8" t="str">
        <f aca="false">IF($G2560&lt;&gt;"",$G2560,$B2560)</f>
        <v>88L XXL</v>
      </c>
      <c r="K2560" s="8" t="str">
        <f aca="false">IF(COUNTIF($M$1:$M$10,$A2560)&gt;0,"Y","N")</f>
        <v>Y</v>
      </c>
    </row>
    <row r="2561" customFormat="false" ht="15" hidden="false" customHeight="true" outlineLevel="0" collapsed="false">
      <c r="A2561" s="8" t="s">
        <v>42</v>
      </c>
      <c r="B2561" s="8" t="s">
        <v>348</v>
      </c>
      <c r="C2561" s="19" t="n">
        <v>2</v>
      </c>
      <c r="D2561" s="19" t="n">
        <v>1101.52</v>
      </c>
      <c r="E2561" s="19" t="n">
        <v>1</v>
      </c>
      <c r="F2561" s="19" t="n">
        <v>495.69</v>
      </c>
      <c r="G2561" s="8" t="str">
        <f aca="false">IFERROR(INDEX('TRANS'!$B:$B,MATCH($B2561,'TRANS'!$A:$A,0)),IFERROR(INDEX('TRANS'!$B:$B,MATCH(TRIM(SUBSTITUTE($B2561,CHAR(160)," ")),'TRANS'!$D:$D,0)),IFERROR(INDEX('Catalog'!$A:$A,MATCH($B2561,'Catalog'!$B:$B,0)),IFERROR(INDEX('Catalog'!$A:$A,MATCH(TRIM(SUBSTITUTE($B2561,CHAR(160)," ")),'Catalog'!$C:$C,0)),""))))</f>
        <v/>
      </c>
      <c r="H2561" s="8" t="str">
        <f aca="false">IFERROR(INDEX('TRANS'!$C:$C,MATCH($B2561,'TRANS'!$A:$A,0)),IFERROR(INDEX('Catalog'!$B:$B,MATCH($G2561,'Catalog'!$A:$A,0)),$B2561))</f>
        <v>88L- L-XL</v>
      </c>
      <c r="I2561" s="8" t="str">
        <f aca="false">IF($G2561="","Unmatched","Matched")</f>
        <v>Unmatched</v>
      </c>
      <c r="J2561" s="8" t="str">
        <f aca="false">IF($G2561&lt;&gt;"",$G2561,$B2561)</f>
        <v>88L- L-XL</v>
      </c>
      <c r="K2561" s="8" t="str">
        <f aca="false">IF(COUNTIF($M$1:$M$10,$A2561)&gt;0,"Y","N")</f>
        <v>Y</v>
      </c>
    </row>
    <row r="2562" customFormat="false" ht="15" hidden="false" customHeight="true" outlineLevel="0" collapsed="false">
      <c r="A2562" s="8" t="s">
        <v>42</v>
      </c>
      <c r="B2562" s="8" t="s">
        <v>427</v>
      </c>
      <c r="C2562" s="19" t="n">
        <v>1</v>
      </c>
      <c r="D2562" s="19" t="n">
        <v>550.76</v>
      </c>
      <c r="E2562" s="19" t="n">
        <v>0</v>
      </c>
      <c r="F2562" s="19" t="n">
        <v>0</v>
      </c>
      <c r="G2562" s="8" t="str">
        <f aca="false">IFERROR(INDEX('TRANS'!$B:$B,MATCH($B2562,'TRANS'!$A:$A,0)),IFERROR(INDEX('TRANS'!$B:$B,MATCH(TRIM(SUBSTITUTE($B2562,CHAR(160)," ")),'TRANS'!$D:$D,0)),IFERROR(INDEX('Catalog'!$A:$A,MATCH($B2562,'Catalog'!$B:$B,0)),IFERROR(INDEX('Catalog'!$A:$A,MATCH(TRIM(SUBSTITUTE($B2562,CHAR(160)," ")),'Catalog'!$C:$C,0)),""))))</f>
        <v/>
      </c>
      <c r="H2562" s="8" t="str">
        <f aca="false">IFERROR(INDEX('TRANS'!$C:$C,MATCH($B2562,'TRANS'!$A:$A,0)),IFERROR(INDEX('Catalog'!$B:$B,MATCH($G2562,'Catalog'!$A:$A,0)),$B2562))</f>
        <v>88L- S-M</v>
      </c>
      <c r="I2562" s="8" t="str">
        <f aca="false">IF($G2562="","Unmatched","Matched")</f>
        <v>Unmatched</v>
      </c>
      <c r="J2562" s="8" t="str">
        <f aca="false">IF($G2562&lt;&gt;"",$G2562,$B2562)</f>
        <v>88L- S-M</v>
      </c>
      <c r="K2562" s="8" t="str">
        <f aca="false">IF(COUNTIF($M$1:$M$10,$A2562)&gt;0,"Y","N")</f>
        <v>Y</v>
      </c>
    </row>
    <row r="2563" customFormat="false" ht="15" hidden="false" customHeight="true" outlineLevel="0" collapsed="false">
      <c r="A2563" s="8" t="s">
        <v>42</v>
      </c>
      <c r="B2563" s="8" t="s">
        <v>509</v>
      </c>
      <c r="C2563" s="19" t="n">
        <v>1</v>
      </c>
      <c r="D2563" s="19" t="n">
        <v>550.76</v>
      </c>
      <c r="E2563" s="19" t="n">
        <v>0</v>
      </c>
      <c r="F2563" s="19" t="n">
        <v>0</v>
      </c>
      <c r="G2563" s="8" t="str">
        <f aca="false">IFERROR(INDEX('TRANS'!$B:$B,MATCH($B2563,'TRANS'!$A:$A,0)),IFERROR(INDEX('TRANS'!$B:$B,MATCH(TRIM(SUBSTITUTE($B2563,CHAR(160)," ")),'TRANS'!$D:$D,0)),IFERROR(INDEX('Catalog'!$A:$A,MATCH($B2563,'Catalog'!$B:$B,0)),IFERROR(INDEX('Catalog'!$A:$A,MATCH(TRIM(SUBSTITUTE($B2563,CHAR(160)," ")),'Catalog'!$C:$C,0)),""))))</f>
        <v/>
      </c>
      <c r="H2563" s="8" t="str">
        <f aca="false">IFERROR(INDEX('TRANS'!$C:$C,MATCH($B2563,'TRANS'!$A:$A,0)),IFERROR(INDEX('Catalog'!$B:$B,MATCH($G2563,'Catalog'!$A:$A,0)),$B2563))</f>
        <v>88R XXL</v>
      </c>
      <c r="I2563" s="8" t="str">
        <f aca="false">IF($G2563="","Unmatched","Matched")</f>
        <v>Unmatched</v>
      </c>
      <c r="J2563" s="8" t="str">
        <f aca="false">IF($G2563&lt;&gt;"",$G2563,$B2563)</f>
        <v>88R XXL</v>
      </c>
      <c r="K2563" s="8" t="str">
        <f aca="false">IF(COUNTIF($M$1:$M$10,$A2563)&gt;0,"Y","N")</f>
        <v>Y</v>
      </c>
    </row>
    <row r="2564" customFormat="false" ht="15" hidden="false" customHeight="true" outlineLevel="0" collapsed="false">
      <c r="A2564" s="8" t="s">
        <v>42</v>
      </c>
      <c r="B2564" s="8" t="s">
        <v>258</v>
      </c>
      <c r="C2564" s="19" t="n">
        <v>5</v>
      </c>
      <c r="D2564" s="19" t="n">
        <v>2557.65</v>
      </c>
      <c r="E2564" s="19" t="n">
        <v>3</v>
      </c>
      <c r="F2564" s="19" t="n">
        <v>1487.05</v>
      </c>
      <c r="G2564" s="8" t="str">
        <f aca="false">IFERROR(INDEX('TRANS'!$B:$B,MATCH($B2564,'TRANS'!$A:$A,0)),IFERROR(INDEX('TRANS'!$B:$B,MATCH(TRIM(SUBSTITUTE($B2564,CHAR(160)," ")),'TRANS'!$D:$D,0)),IFERROR(INDEX('Catalog'!$A:$A,MATCH($B2564,'Catalog'!$B:$B,0)),IFERROR(INDEX('Catalog'!$A:$A,MATCH(TRIM(SUBSTITUTE($B2564,CHAR(160)," ")),'Catalog'!$C:$C,0)),""))))</f>
        <v/>
      </c>
      <c r="H2564" s="8" t="str">
        <f aca="false">IFERROR(INDEX('TRANS'!$C:$C,MATCH($B2564,'TRANS'!$A:$A,0)),IFERROR(INDEX('Catalog'!$B:$B,MATCH($G2564,'Catalog'!$A:$A,0)),$B2564))</f>
        <v>88R- L-XL</v>
      </c>
      <c r="I2564" s="8" t="str">
        <f aca="false">IF($G2564="","Unmatched","Matched")</f>
        <v>Unmatched</v>
      </c>
      <c r="J2564" s="8" t="str">
        <f aca="false">IF($G2564&lt;&gt;"",$G2564,$B2564)</f>
        <v>88R- L-XL</v>
      </c>
      <c r="K2564" s="8" t="str">
        <f aca="false">IF(COUNTIF($M$1:$M$10,$A2564)&gt;0,"Y","N")</f>
        <v>Y</v>
      </c>
    </row>
    <row r="2565" customFormat="false" ht="15" hidden="false" customHeight="true" outlineLevel="0" collapsed="false">
      <c r="A2565" s="8" t="s">
        <v>42</v>
      </c>
      <c r="B2565" s="8" t="s">
        <v>305</v>
      </c>
      <c r="C2565" s="19" t="n">
        <v>1</v>
      </c>
      <c r="D2565" s="19" t="n">
        <v>468.15</v>
      </c>
      <c r="E2565" s="19" t="n">
        <v>2</v>
      </c>
      <c r="F2565" s="19" t="n">
        <v>1046.45</v>
      </c>
      <c r="G2565" s="8" t="str">
        <f aca="false">IFERROR(INDEX('TRANS'!$B:$B,MATCH($B2565,'TRANS'!$A:$A,0)),IFERROR(INDEX('TRANS'!$B:$B,MATCH(TRIM(SUBSTITUTE($B2565,CHAR(160)," ")),'TRANS'!$D:$D,0)),IFERROR(INDEX('Catalog'!$A:$A,MATCH($B2565,'Catalog'!$B:$B,0)),IFERROR(INDEX('Catalog'!$A:$A,MATCH(TRIM(SUBSTITUTE($B2565,CHAR(160)," ")),'Catalog'!$C:$C,0)),""))))</f>
        <v/>
      </c>
      <c r="H2565" s="8" t="str">
        <f aca="false">IFERROR(INDEX('TRANS'!$C:$C,MATCH($B2565,'TRANS'!$A:$A,0)),IFERROR(INDEX('Catalog'!$B:$B,MATCH($G2565,'Catalog'!$A:$A,0)),$B2565))</f>
        <v>88R- S-M</v>
      </c>
      <c r="I2565" s="8" t="str">
        <f aca="false">IF($G2565="","Unmatched","Matched")</f>
        <v>Unmatched</v>
      </c>
      <c r="J2565" s="8" t="str">
        <f aca="false">IF($G2565&lt;&gt;"",$G2565,$B2565)</f>
        <v>88R- S-M</v>
      </c>
      <c r="K2565" s="8" t="str">
        <f aca="false">IF(COUNTIF($M$1:$M$10,$A2565)&gt;0,"Y","N")</f>
        <v>Y</v>
      </c>
    </row>
    <row r="2566" customFormat="false" ht="15" hidden="false" customHeight="true" outlineLevel="0" collapsed="false">
      <c r="A2566" s="8" t="s">
        <v>42</v>
      </c>
      <c r="B2566" s="8" t="s">
        <v>833</v>
      </c>
      <c r="C2566" s="19" t="n">
        <v>90</v>
      </c>
      <c r="D2566" s="19" t="n">
        <v>12488.58</v>
      </c>
      <c r="E2566" s="19" t="n">
        <v>108</v>
      </c>
      <c r="F2566" s="19" t="n">
        <v>15573.72</v>
      </c>
      <c r="G2566" s="8" t="n">
        <f aca="false">IFERROR(INDEX('TRANS'!$B:$B,MATCH($B2566,'TRANS'!$A:$A,0)),IFERROR(INDEX('TRANS'!$B:$B,MATCH(TRIM(SUBSTITUTE($B2566,CHAR(160)," ")),'TRANS'!$D:$D,0)),IFERROR(INDEX('Catalog'!$A:$A,MATCH($B2566,'Catalog'!$B:$B,0)),IFERROR(INDEX('Catalog'!$A:$A,MATCH(TRIM(SUBSTITUTE($B2566,CHAR(160)," ")),'Catalog'!$C:$C,0)),""))))</f>
        <v>4408266</v>
      </c>
      <c r="H2566" s="8" t="str">
        <f aca="false">IFERROR(INDEX('TRANS'!$C:$C,MATCH($B2566,'TRANS'!$A:$A,0)),IFERROR(INDEX('Catalog'!$B:$B,MATCH($G2566,'Catalog'!$A:$A,0)),$B2566))</f>
        <v>91B חבק טניס אלבו</v>
      </c>
      <c r="I2566" s="8" t="str">
        <f aca="false">IF($G2566="","Unmatched","Matched")</f>
        <v>Matched</v>
      </c>
      <c r="J2566" s="8" t="n">
        <f aca="false">IF($G2566&lt;&gt;"",$G2566,$B2566)</f>
        <v>4408266</v>
      </c>
      <c r="K2566" s="8" t="str">
        <f aca="false">IF(COUNTIF($M$1:$M$10,$A2566)&gt;0,"Y","N")</f>
        <v>Y</v>
      </c>
    </row>
    <row r="2567" customFormat="false" ht="15" hidden="false" customHeight="true" outlineLevel="0" collapsed="false">
      <c r="A2567" s="8" t="s">
        <v>42</v>
      </c>
      <c r="B2567" s="8" t="s">
        <v>834</v>
      </c>
      <c r="C2567" s="19" t="n">
        <v>7</v>
      </c>
      <c r="D2567" s="19" t="n">
        <v>1719.83</v>
      </c>
      <c r="E2567" s="19" t="n">
        <v>10</v>
      </c>
      <c r="F2567" s="19" t="n">
        <v>1737.83</v>
      </c>
      <c r="G2567" s="8" t="n">
        <f aca="false">IFERROR(INDEX('TRANS'!$B:$B,MATCH($B2567,'TRANS'!$A:$A,0)),IFERROR(INDEX('TRANS'!$B:$B,MATCH(TRIM(SUBSTITUTE($B2567,CHAR(160)," ")),'TRANS'!$D:$D,0)),IFERROR(INDEX('Catalog'!$A:$A,MATCH($B2567,'Catalog'!$B:$B,0)),IFERROR(INDEX('Catalog'!$A:$A,MATCH(TRIM(SUBSTITUTE($B2567,CHAR(160)," ")),'Catalog'!$C:$C,0)),""))))</f>
        <v>4408084</v>
      </c>
      <c r="H2567" s="8" t="str">
        <f aca="false">IFERROR(INDEX('TRANS'!$C:$C,MATCH($B2567,'TRANS'!$A:$A,0)),IFERROR(INDEX('Catalog'!$B:$B,MATCH($G2567,'Catalog'!$A:$A,0)),$B2567))</f>
        <v>922L.חבק יד לטניס כרית סיליק</v>
      </c>
      <c r="I2567" s="8" t="str">
        <f aca="false">IF($G2567="","Unmatched","Matched")</f>
        <v>Matched</v>
      </c>
      <c r="J2567" s="8" t="n">
        <f aca="false">IF($G2567&lt;&gt;"",$G2567,$B2567)</f>
        <v>4408084</v>
      </c>
      <c r="K2567" s="8" t="str">
        <f aca="false">IF(COUNTIF($M$1:$M$10,$A2567)&gt;0,"Y","N")</f>
        <v>Y</v>
      </c>
    </row>
    <row r="2568" customFormat="false" ht="15" hidden="false" customHeight="true" outlineLevel="0" collapsed="false">
      <c r="A2568" s="8" t="s">
        <v>42</v>
      </c>
      <c r="B2568" s="8" t="s">
        <v>175</v>
      </c>
      <c r="C2568" s="19" t="n">
        <v>3</v>
      </c>
      <c r="D2568" s="19" t="n">
        <v>718.73</v>
      </c>
      <c r="E2568" s="19" t="n">
        <v>5</v>
      </c>
      <c r="F2568" s="19" t="n">
        <v>1001.11</v>
      </c>
      <c r="G2568" s="8" t="str">
        <f aca="false">IFERROR(INDEX('TRANS'!$B:$B,MATCH($B2568,'TRANS'!$A:$A,0)),IFERROR(INDEX('TRANS'!$B:$B,MATCH(TRIM(SUBSTITUTE($B2568,CHAR(160)," ")),'TRANS'!$D:$D,0)),IFERROR(INDEX('Catalog'!$A:$A,MATCH($B2568,'Catalog'!$B:$B,0)),IFERROR(INDEX('Catalog'!$A:$A,MATCH(TRIM(SUBSTITUTE($B2568,CHAR(160)," ")),'Catalog'!$C:$C,0)),""))))</f>
        <v/>
      </c>
      <c r="H2568" s="8" t="str">
        <f aca="false">IFERROR(INDEX('TRANS'!$C:$C,MATCH($B2568,'TRANS'!$A:$A,0)),IFERROR(INDEX('Catalog'!$B:$B,MATCH($G2568,'Catalog'!$A:$A,0)),$B2568))</f>
        <v>922 M</v>
      </c>
      <c r="I2568" s="8" t="str">
        <f aca="false">IF($G2568="","Unmatched","Matched")</f>
        <v>Unmatched</v>
      </c>
      <c r="J2568" s="8" t="str">
        <f aca="false">IF($G2568&lt;&gt;"",$G2568,$B2568)</f>
        <v>922 M</v>
      </c>
      <c r="K2568" s="8" t="str">
        <f aca="false">IF(COUNTIF($M$1:$M$10,$A2568)&gt;0,"Y","N")</f>
        <v>Y</v>
      </c>
    </row>
    <row r="2569" customFormat="false" ht="15" hidden="false" customHeight="true" outlineLevel="0" collapsed="false">
      <c r="A2569" s="8" t="s">
        <v>42</v>
      </c>
      <c r="B2569" s="8" t="s">
        <v>282</v>
      </c>
      <c r="C2569" s="19" t="n">
        <v>1</v>
      </c>
      <c r="D2569" s="19" t="n">
        <v>256.69</v>
      </c>
      <c r="E2569" s="19" t="n">
        <v>2</v>
      </c>
      <c r="F2569" s="19" t="n">
        <v>383.73</v>
      </c>
      <c r="G2569" s="8" t="str">
        <f aca="false">IFERROR(INDEX('TRANS'!$B:$B,MATCH($B2569,'TRANS'!$A:$A,0)),IFERROR(INDEX('TRANS'!$B:$B,MATCH(TRIM(SUBSTITUTE($B2569,CHAR(160)," ")),'TRANS'!$D:$D,0)),IFERROR(INDEX('Catalog'!$A:$A,MATCH($B2569,'Catalog'!$B:$B,0)),IFERROR(INDEX('Catalog'!$A:$A,MATCH(TRIM(SUBSTITUTE($B2569,CHAR(160)," ")),'Catalog'!$C:$C,0)),""))))</f>
        <v/>
      </c>
      <c r="H2569" s="8" t="str">
        <f aca="false">IFERROR(INDEX('TRANS'!$C:$C,MATCH($B2569,'TRANS'!$A:$A,0)),IFERROR(INDEX('Catalog'!$B:$B,MATCH($G2569,'Catalog'!$A:$A,0)),$B2569))</f>
        <v>922 S</v>
      </c>
      <c r="I2569" s="8" t="str">
        <f aca="false">IF($G2569="","Unmatched","Matched")</f>
        <v>Unmatched</v>
      </c>
      <c r="J2569" s="8" t="str">
        <f aca="false">IF($G2569&lt;&gt;"",$G2569,$B2569)</f>
        <v>922 S</v>
      </c>
      <c r="K2569" s="8" t="str">
        <f aca="false">IF(COUNTIF($M$1:$M$10,$A2569)&gt;0,"Y","N")</f>
        <v>Y</v>
      </c>
    </row>
    <row r="2570" customFormat="false" ht="15" hidden="false" customHeight="true" outlineLevel="0" collapsed="false">
      <c r="A2570" s="8" t="s">
        <v>42</v>
      </c>
      <c r="B2570" s="8" t="s">
        <v>835</v>
      </c>
      <c r="C2570" s="19" t="n">
        <v>4</v>
      </c>
      <c r="D2570" s="19" t="n">
        <v>988.26</v>
      </c>
      <c r="E2570" s="19" t="n">
        <v>6</v>
      </c>
      <c r="F2570" s="19" t="n">
        <v>1203.6</v>
      </c>
      <c r="G2570" s="8" t="n">
        <f aca="false">IFERROR(INDEX('TRANS'!$B:$B,MATCH($B2570,'TRANS'!$A:$A,0)),IFERROR(INDEX('TRANS'!$B:$B,MATCH(TRIM(SUBSTITUTE($B2570,CHAR(160)," ")),'TRANS'!$D:$D,0)),IFERROR(INDEX('Catalog'!$A:$A,MATCH($B2570,'Catalog'!$B:$B,0)),IFERROR(INDEX('Catalog'!$A:$A,MATCH(TRIM(SUBSTITUTE($B2570,CHAR(160)," ")),'Catalog'!$C:$C,0)),""))))</f>
        <v>4408087</v>
      </c>
      <c r="H2570" s="8" t="str">
        <f aca="false">IFERROR(INDEX('TRANS'!$C:$C,MATCH($B2570,'TRANS'!$A:$A,0)),IFERROR(INDEX('Catalog'!$B:$B,MATCH($G2570,'Catalog'!$A:$A,0)),$B2570))</f>
        <v>922XLחבק יד לטניס כרית סיליק</v>
      </c>
      <c r="I2570" s="8" t="str">
        <f aca="false">IF($G2570="","Unmatched","Matched")</f>
        <v>Matched</v>
      </c>
      <c r="J2570" s="8" t="n">
        <f aca="false">IF($G2570&lt;&gt;"",$G2570,$B2570)</f>
        <v>4408087</v>
      </c>
      <c r="K2570" s="8" t="str">
        <f aca="false">IF(COUNTIF($M$1:$M$10,$A2570)&gt;0,"Y","N")</f>
        <v>Y</v>
      </c>
    </row>
    <row r="2571" customFormat="false" ht="15" hidden="false" customHeight="true" outlineLevel="0" collapsed="false">
      <c r="A2571" s="8" t="s">
        <v>42</v>
      </c>
      <c r="B2571" s="8" t="s">
        <v>221</v>
      </c>
      <c r="C2571" s="19" t="n">
        <v>1</v>
      </c>
      <c r="D2571" s="19" t="n">
        <v>256.69</v>
      </c>
      <c r="E2571" s="19" t="n">
        <v>4</v>
      </c>
      <c r="F2571" s="19" t="n">
        <v>1001.94</v>
      </c>
      <c r="G2571" s="8" t="str">
        <f aca="false">IFERROR(INDEX('TRANS'!$B:$B,MATCH($B2571,'TRANS'!$A:$A,0)),IFERROR(INDEX('TRANS'!$B:$B,MATCH(TRIM(SUBSTITUTE($B2571,CHAR(160)," ")),'TRANS'!$D:$D,0)),IFERROR(INDEX('Catalog'!$A:$A,MATCH($B2571,'Catalog'!$B:$B,0)),IFERROR(INDEX('Catalog'!$A:$A,MATCH(TRIM(SUBSTITUTE($B2571,CHAR(160)," ")),'Catalog'!$C:$C,0)),""))))</f>
        <v/>
      </c>
      <c r="H2571" s="8" t="str">
        <f aca="false">IFERROR(INDEX('TRANS'!$C:$C,MATCH($B2571,'TRANS'!$A:$A,0)),IFERROR(INDEX('Catalog'!$B:$B,MATCH($G2571,'Catalog'!$A:$A,0)),$B2571))</f>
        <v>922 XXL</v>
      </c>
      <c r="I2571" s="8" t="str">
        <f aca="false">IF($G2571="","Unmatched","Matched")</f>
        <v>Unmatched</v>
      </c>
      <c r="J2571" s="8" t="str">
        <f aca="false">IF($G2571&lt;&gt;"",$G2571,$B2571)</f>
        <v>922 XXL</v>
      </c>
      <c r="K2571" s="8" t="str">
        <f aca="false">IF(COUNTIF($M$1:$M$10,$A2571)&gt;0,"Y","N")</f>
        <v>Y</v>
      </c>
    </row>
    <row r="2572" customFormat="false" ht="15" hidden="false" customHeight="true" outlineLevel="0" collapsed="false">
      <c r="A2572" s="8" t="s">
        <v>42</v>
      </c>
      <c r="B2572" s="8" t="s">
        <v>836</v>
      </c>
      <c r="C2572" s="19" t="n">
        <v>4</v>
      </c>
      <c r="D2572" s="19" t="n">
        <v>201.05</v>
      </c>
      <c r="E2572" s="19" t="n">
        <v>6</v>
      </c>
      <c r="F2572" s="19" t="n">
        <v>204.8</v>
      </c>
      <c r="G2572" s="8" t="n">
        <f aca="false">IFERROR(INDEX('TRANS'!$B:$B,MATCH($B2572,'TRANS'!$A:$A,0)),IFERROR(INDEX('TRANS'!$B:$B,MATCH(TRIM(SUBSTITUTE($B2572,CHAR(160)," ")),'TRANS'!$D:$D,0)),IFERROR(INDEX('Catalog'!$A:$A,MATCH($B2572,'Catalog'!$B:$B,0)),IFERROR(INDEX('Catalog'!$A:$A,MATCH(TRIM(SUBSTITUTE($B2572,CHAR(160)," ")),'Catalog'!$C:$C,0)),""))))</f>
        <v>4413139</v>
      </c>
      <c r="H2572" s="8" t="str">
        <f aca="false">IFERROR(INDEX('TRANS'!$C:$C,MATCH($B2572,'TRANS'!$A:$A,0)),IFERROR(INDEX('Catalog'!$B:$B,MATCH($G2572,'Catalog'!$A:$A,0)),$B2572))</f>
        <v>95 L מגן מרפק רגיל לבן</v>
      </c>
      <c r="I2572" s="8" t="str">
        <f aca="false">IF($G2572="","Unmatched","Matched")</f>
        <v>Matched</v>
      </c>
      <c r="J2572" s="8" t="n">
        <f aca="false">IF($G2572&lt;&gt;"",$G2572,$B2572)</f>
        <v>4413139</v>
      </c>
      <c r="K2572" s="8" t="str">
        <f aca="false">IF(COUNTIF($M$1:$M$10,$A2572)&gt;0,"Y","N")</f>
        <v>Y</v>
      </c>
    </row>
    <row r="2573" customFormat="false" ht="15" hidden="false" customHeight="true" outlineLevel="0" collapsed="false">
      <c r="A2573" s="8" t="s">
        <v>42</v>
      </c>
      <c r="B2573" s="8" t="s">
        <v>716</v>
      </c>
      <c r="C2573" s="19" t="n">
        <v>3</v>
      </c>
      <c r="D2573" s="19" t="n">
        <v>165.85</v>
      </c>
      <c r="E2573" s="19" t="n">
        <v>2</v>
      </c>
      <c r="F2573" s="19" t="n">
        <v>81.19</v>
      </c>
      <c r="G2573" s="8" t="n">
        <f aca="false">IFERROR(INDEX('TRANS'!$B:$B,MATCH($B2573,'TRANS'!$A:$A,0)),IFERROR(INDEX('TRANS'!$B:$B,MATCH(TRIM(SUBSTITUTE($B2573,CHAR(160)," ")),'TRANS'!$D:$D,0)),IFERROR(INDEX('Catalog'!$A:$A,MATCH($B2573,'Catalog'!$B:$B,0)),IFERROR(INDEX('Catalog'!$A:$A,MATCH(TRIM(SUBSTITUTE($B2573,CHAR(160)," ")),'Catalog'!$C:$C,0)),""))))</f>
        <v>4413140</v>
      </c>
      <c r="H2573" s="8" t="str">
        <f aca="false">IFERROR(INDEX('TRANS'!$C:$C,MATCH($B2573,'TRANS'!$A:$A,0)),IFERROR(INDEX('Catalog'!$B:$B,MATCH($G2573,'Catalog'!$A:$A,0)),$B2573))</f>
        <v>95 M מגן מרפק רגיל לבן</v>
      </c>
      <c r="I2573" s="8" t="str">
        <f aca="false">IF($G2573="","Unmatched","Matched")</f>
        <v>Matched</v>
      </c>
      <c r="J2573" s="8" t="n">
        <f aca="false">IF($G2573&lt;&gt;"",$G2573,$B2573)</f>
        <v>4413140</v>
      </c>
      <c r="K2573" s="8" t="str">
        <f aca="false">IF(COUNTIF($M$1:$M$10,$A2573)&gt;0,"Y","N")</f>
        <v>Y</v>
      </c>
    </row>
    <row r="2574" customFormat="false" ht="15" hidden="false" customHeight="true" outlineLevel="0" collapsed="false">
      <c r="A2574" s="8" t="s">
        <v>42</v>
      </c>
      <c r="B2574" s="8" t="s">
        <v>837</v>
      </c>
      <c r="C2574" s="19" t="n">
        <v>1</v>
      </c>
      <c r="D2574" s="19" t="n">
        <v>55.85</v>
      </c>
      <c r="E2574" s="19" t="n">
        <v>1</v>
      </c>
      <c r="F2574" s="19" t="n">
        <v>47.47</v>
      </c>
      <c r="G2574" s="8" t="n">
        <f aca="false">IFERROR(INDEX('TRANS'!$B:$B,MATCH($B2574,'TRANS'!$A:$A,0)),IFERROR(INDEX('TRANS'!$B:$B,MATCH(TRIM(SUBSTITUTE($B2574,CHAR(160)," ")),'TRANS'!$D:$D,0)),IFERROR(INDEX('Catalog'!$A:$A,MATCH($B2574,'Catalog'!$B:$B,0)),IFERROR(INDEX('Catalog'!$A:$A,MATCH(TRIM(SUBSTITUTE($B2574,CHAR(160)," ")),'Catalog'!$C:$C,0)),""))))</f>
        <v>4413141</v>
      </c>
      <c r="H2574" s="8" t="str">
        <f aca="false">IFERROR(INDEX('TRANS'!$C:$C,MATCH($B2574,'TRANS'!$A:$A,0)),IFERROR(INDEX('Catalog'!$B:$B,MATCH($G2574,'Catalog'!$A:$A,0)),$B2574))</f>
        <v>95 S מגן מרפק רגיל לבן</v>
      </c>
      <c r="I2574" s="8" t="str">
        <f aca="false">IF($G2574="","Unmatched","Matched")</f>
        <v>Matched</v>
      </c>
      <c r="J2574" s="8" t="n">
        <f aca="false">IF($G2574&lt;&gt;"",$G2574,$B2574)</f>
        <v>4413141</v>
      </c>
      <c r="K2574" s="8" t="str">
        <f aca="false">IF(COUNTIF($M$1:$M$10,$A2574)&gt;0,"Y","N")</f>
        <v>Y</v>
      </c>
    </row>
    <row r="2575" customFormat="false" ht="15" hidden="false" customHeight="true" outlineLevel="0" collapsed="false">
      <c r="A2575" s="8" t="s">
        <v>42</v>
      </c>
      <c r="B2575" s="8" t="s">
        <v>838</v>
      </c>
      <c r="C2575" s="19" t="n">
        <v>0</v>
      </c>
      <c r="D2575" s="19" t="n">
        <v>0</v>
      </c>
      <c r="E2575" s="19" t="n">
        <v>1</v>
      </c>
      <c r="F2575" s="19" t="n">
        <v>25.34</v>
      </c>
      <c r="G2575" s="8" t="n">
        <f aca="false">IFERROR(INDEX('TRANS'!$B:$B,MATCH($B2575,'TRANS'!$A:$A,0)),IFERROR(INDEX('TRANS'!$B:$B,MATCH(TRIM(SUBSTITUTE($B2575,CHAR(160)," ")),'TRANS'!$D:$D,0)),IFERROR(INDEX('Catalog'!$A:$A,MATCH($B2575,'Catalog'!$B:$B,0)),IFERROR(INDEX('Catalog'!$A:$A,MATCH(TRIM(SUBSTITUTE($B2575,CHAR(160)," ")),'Catalog'!$C:$C,0)),""))))</f>
        <v>4413142</v>
      </c>
      <c r="H2575" s="8" t="str">
        <f aca="false">IFERROR(INDEX('TRANS'!$C:$C,MATCH($B2575,'TRANS'!$A:$A,0)),IFERROR(INDEX('Catalog'!$B:$B,MATCH($G2575,'Catalog'!$A:$A,0)),$B2575))</f>
        <v>95 XL מגן מרפק רגיל לבן</v>
      </c>
      <c r="I2575" s="8" t="str">
        <f aca="false">IF($G2575="","Unmatched","Matched")</f>
        <v>Matched</v>
      </c>
      <c r="J2575" s="8" t="n">
        <f aca="false">IF($G2575&lt;&gt;"",$G2575,$B2575)</f>
        <v>4413142</v>
      </c>
      <c r="K2575" s="8" t="str">
        <f aca="false">IF(COUNTIF($M$1:$M$10,$A2575)&gt;0,"Y","N")</f>
        <v>Y</v>
      </c>
    </row>
    <row r="2576" customFormat="false" ht="15" hidden="false" customHeight="true" outlineLevel="0" collapsed="false">
      <c r="A2576" s="8" t="s">
        <v>42</v>
      </c>
      <c r="B2576" s="8" t="s">
        <v>945</v>
      </c>
      <c r="C2576" s="19" t="n">
        <v>1</v>
      </c>
      <c r="D2576" s="19" t="n">
        <v>55.85</v>
      </c>
      <c r="E2576" s="19" t="n">
        <v>0</v>
      </c>
      <c r="F2576" s="19" t="n">
        <v>0</v>
      </c>
      <c r="G2576" s="8" t="n">
        <f aca="false">IFERROR(INDEX('TRANS'!$B:$B,MATCH($B2576,'TRANS'!$A:$A,0)),IFERROR(INDEX('TRANS'!$B:$B,MATCH(TRIM(SUBSTITUTE($B2576,CHAR(160)," ")),'TRANS'!$D:$D,0)),IFERROR(INDEX('Catalog'!$A:$A,MATCH($B2576,'Catalog'!$B:$B,0)),IFERROR(INDEX('Catalog'!$A:$A,MATCH(TRIM(SUBSTITUTE($B2576,CHAR(160)," ")),'Catalog'!$C:$C,0)),""))))</f>
        <v>4413143</v>
      </c>
      <c r="H2576" s="8" t="str">
        <f aca="false">IFERROR(INDEX('TRANS'!$C:$C,MATCH($B2576,'TRANS'!$A:$A,0)),IFERROR(INDEX('Catalog'!$B:$B,MATCH($G2576,'Catalog'!$A:$A,0)),$B2576))</f>
        <v>95 XS מגן מרפק רגיל לבן</v>
      </c>
      <c r="I2576" s="8" t="str">
        <f aca="false">IF($G2576="","Unmatched","Matched")</f>
        <v>Matched</v>
      </c>
      <c r="J2576" s="8" t="n">
        <f aca="false">IF($G2576&lt;&gt;"",$G2576,$B2576)</f>
        <v>4413143</v>
      </c>
      <c r="K2576" s="8" t="str">
        <f aca="false">IF(COUNTIF($M$1:$M$10,$A2576)&gt;0,"Y","N")</f>
        <v>Y</v>
      </c>
    </row>
    <row r="2577" customFormat="false" ht="15" hidden="false" customHeight="true" outlineLevel="0" collapsed="false">
      <c r="A2577" s="8" t="s">
        <v>42</v>
      </c>
      <c r="B2577" s="8" t="s">
        <v>997</v>
      </c>
      <c r="C2577" s="19" t="n">
        <v>0</v>
      </c>
      <c r="D2577" s="19" t="n">
        <v>0</v>
      </c>
      <c r="E2577" s="19" t="n">
        <v>3</v>
      </c>
      <c r="F2577" s="19" t="n">
        <v>76.14</v>
      </c>
      <c r="G2577" s="8" t="n">
        <f aca="false">IFERROR(INDEX('TRANS'!$B:$B,MATCH($B2577,'TRANS'!$A:$A,0)),IFERROR(INDEX('TRANS'!$B:$B,MATCH(TRIM(SUBSTITUTE($B2577,CHAR(160)," ")),'TRANS'!$D:$D,0)),IFERROR(INDEX('Catalog'!$A:$A,MATCH($B2577,'Catalog'!$B:$B,0)),IFERROR(INDEX('Catalog'!$A:$A,MATCH(TRIM(SUBSTITUTE($B2577,CHAR(160)," ")),'Catalog'!$C:$C,0)),""))))</f>
        <v>4413144</v>
      </c>
      <c r="H2577" s="8" t="str">
        <f aca="false">IFERROR(INDEX('TRANS'!$C:$C,MATCH($B2577,'TRANS'!$A:$A,0)),IFERROR(INDEX('Catalog'!$B:$B,MATCH($G2577,'Catalog'!$A:$A,0)),$B2577))</f>
        <v>95 XXL מגן מרפק רגיל לבן</v>
      </c>
      <c r="I2577" s="8" t="str">
        <f aca="false">IF($G2577="","Unmatched","Matched")</f>
        <v>Matched</v>
      </c>
      <c r="J2577" s="8" t="n">
        <f aca="false">IF($G2577&lt;&gt;"",$G2577,$B2577)</f>
        <v>4413144</v>
      </c>
      <c r="K2577" s="8" t="str">
        <f aca="false">IF(COUNTIF($M$1:$M$10,$A2577)&gt;0,"Y","N")</f>
        <v>Y</v>
      </c>
    </row>
    <row r="2578" customFormat="false" ht="15" hidden="false" customHeight="true" outlineLevel="0" collapsed="false">
      <c r="A2578" s="8" t="s">
        <v>42</v>
      </c>
      <c r="B2578" s="8" t="s">
        <v>717</v>
      </c>
      <c r="C2578" s="19" t="n">
        <v>14</v>
      </c>
      <c r="D2578" s="19" t="n">
        <v>730.67</v>
      </c>
      <c r="E2578" s="19" t="n">
        <v>11</v>
      </c>
      <c r="F2578" s="19" t="n">
        <v>364.69</v>
      </c>
      <c r="G2578" s="8" t="n">
        <f aca="false">IFERROR(INDEX('TRANS'!$B:$B,MATCH($B2578,'TRANS'!$A:$A,0)),IFERROR(INDEX('TRANS'!$B:$B,MATCH(TRIM(SUBSTITUTE($B2578,CHAR(160)," ")),'TRANS'!$D:$D,0)),IFERROR(INDEX('Catalog'!$A:$A,MATCH($B2578,'Catalog'!$B:$B,0)),IFERROR(INDEX('Catalog'!$A:$A,MATCH(TRIM(SUBSTITUTE($B2578,CHAR(160)," ")),'Catalog'!$C:$C,0)),""))))</f>
        <v>4413500</v>
      </c>
      <c r="H2578" s="8" t="str">
        <f aca="false">IFERROR(INDEX('TRANS'!$C:$C,MATCH($B2578,'TRANS'!$A:$A,0)),IFERROR(INDEX('Catalog'!$B:$B,MATCH($G2578,'Catalog'!$A:$A,0)),$B2578))</f>
        <v>95B L מגן מרפק שחור</v>
      </c>
      <c r="I2578" s="8" t="str">
        <f aca="false">IF($G2578="","Unmatched","Matched")</f>
        <v>Matched</v>
      </c>
      <c r="J2578" s="8" t="n">
        <f aca="false">IF($G2578&lt;&gt;"",$G2578,$B2578)</f>
        <v>4413500</v>
      </c>
      <c r="K2578" s="8" t="str">
        <f aca="false">IF(COUNTIF($M$1:$M$10,$A2578)&gt;0,"Y","N")</f>
        <v>Y</v>
      </c>
    </row>
    <row r="2579" customFormat="false" ht="15" hidden="false" customHeight="true" outlineLevel="0" collapsed="false">
      <c r="A2579" s="8" t="s">
        <v>42</v>
      </c>
      <c r="B2579" s="8" t="s">
        <v>718</v>
      </c>
      <c r="C2579" s="19" t="n">
        <v>5</v>
      </c>
      <c r="D2579" s="19" t="n">
        <v>249.88</v>
      </c>
      <c r="E2579" s="19" t="n">
        <v>11</v>
      </c>
      <c r="F2579" s="19" t="n">
        <v>361.89</v>
      </c>
      <c r="G2579" s="8" t="n">
        <f aca="false">IFERROR(INDEX('TRANS'!$B:$B,MATCH($B2579,'TRANS'!$A:$A,0)),IFERROR(INDEX('TRANS'!$B:$B,MATCH(TRIM(SUBSTITUTE($B2579,CHAR(160)," ")),'TRANS'!$D:$D,0)),IFERROR(INDEX('Catalog'!$A:$A,MATCH($B2579,'Catalog'!$B:$B,0)),IFERROR(INDEX('Catalog'!$A:$A,MATCH(TRIM(SUBSTITUTE($B2579,CHAR(160)," ")),'Catalog'!$C:$C,0)),""))))</f>
        <v>4413501</v>
      </c>
      <c r="H2579" s="8" t="str">
        <f aca="false">IFERROR(INDEX('TRANS'!$C:$C,MATCH($B2579,'TRANS'!$A:$A,0)),IFERROR(INDEX('Catalog'!$B:$B,MATCH($G2579,'Catalog'!$A:$A,0)),$B2579))</f>
        <v>95B M מגן מרפק שחור</v>
      </c>
      <c r="I2579" s="8" t="str">
        <f aca="false">IF($G2579="","Unmatched","Matched")</f>
        <v>Matched</v>
      </c>
      <c r="J2579" s="8" t="n">
        <f aca="false">IF($G2579&lt;&gt;"",$G2579,$B2579)</f>
        <v>4413501</v>
      </c>
      <c r="K2579" s="8" t="str">
        <f aca="false">IF(COUNTIF($M$1:$M$10,$A2579)&gt;0,"Y","N")</f>
        <v>Y</v>
      </c>
    </row>
    <row r="2580" customFormat="false" ht="15" hidden="false" customHeight="true" outlineLevel="0" collapsed="false">
      <c r="A2580" s="8" t="s">
        <v>42</v>
      </c>
      <c r="B2580" s="8" t="s">
        <v>719</v>
      </c>
      <c r="C2580" s="19" t="n">
        <v>1</v>
      </c>
      <c r="D2580" s="19" t="n">
        <v>55.85</v>
      </c>
      <c r="E2580" s="19" t="n">
        <v>3</v>
      </c>
      <c r="F2580" s="19" t="n">
        <v>167.54</v>
      </c>
      <c r="G2580" s="8" t="n">
        <f aca="false">IFERROR(INDEX('TRANS'!$B:$B,MATCH($B2580,'TRANS'!$A:$A,0)),IFERROR(INDEX('TRANS'!$B:$B,MATCH(TRIM(SUBSTITUTE($B2580,CHAR(160)," ")),'TRANS'!$D:$D,0)),IFERROR(INDEX('Catalog'!$A:$A,MATCH($B2580,'Catalog'!$B:$B,0)),IFERROR(INDEX('Catalog'!$A:$A,MATCH(TRIM(SUBSTITUTE($B2580,CHAR(160)," ")),'Catalog'!$C:$C,0)),""))))</f>
        <v>4413502</v>
      </c>
      <c r="H2580" s="8" t="str">
        <f aca="false">IFERROR(INDEX('TRANS'!$C:$C,MATCH($B2580,'TRANS'!$A:$A,0)),IFERROR(INDEX('Catalog'!$B:$B,MATCH($G2580,'Catalog'!$A:$A,0)),$B2580))</f>
        <v>95B S מגן מרפק שחור</v>
      </c>
      <c r="I2580" s="8" t="str">
        <f aca="false">IF($G2580="","Unmatched","Matched")</f>
        <v>Matched</v>
      </c>
      <c r="J2580" s="8" t="n">
        <f aca="false">IF($G2580&lt;&gt;"",$G2580,$B2580)</f>
        <v>4413502</v>
      </c>
      <c r="K2580" s="8" t="str">
        <f aca="false">IF(COUNTIF($M$1:$M$10,$A2580)&gt;0,"Y","N")</f>
        <v>Y</v>
      </c>
    </row>
    <row r="2581" customFormat="false" ht="15" hidden="false" customHeight="true" outlineLevel="0" collapsed="false">
      <c r="A2581" s="8" t="s">
        <v>42</v>
      </c>
      <c r="B2581" s="8" t="s">
        <v>720</v>
      </c>
      <c r="C2581" s="19" t="n">
        <v>3</v>
      </c>
      <c r="D2581" s="19" t="n">
        <v>167.55</v>
      </c>
      <c r="E2581" s="19" t="n">
        <v>1</v>
      </c>
      <c r="F2581" s="19" t="n">
        <v>50.26</v>
      </c>
      <c r="G2581" s="8" t="n">
        <f aca="false">IFERROR(INDEX('TRANS'!$B:$B,MATCH($B2581,'TRANS'!$A:$A,0)),IFERROR(INDEX('TRANS'!$B:$B,MATCH(TRIM(SUBSTITUTE($B2581,CHAR(160)," ")),'TRANS'!$D:$D,0)),IFERROR(INDEX('Catalog'!$A:$A,MATCH($B2581,'Catalog'!$B:$B,0)),IFERROR(INDEX('Catalog'!$A:$A,MATCH(TRIM(SUBSTITUTE($B2581,CHAR(160)," ")),'Catalog'!$C:$C,0)),""))))</f>
        <v>4413503</v>
      </c>
      <c r="H2581" s="8" t="str">
        <f aca="false">IFERROR(INDEX('TRANS'!$C:$C,MATCH($B2581,'TRANS'!$A:$A,0)),IFERROR(INDEX('Catalog'!$B:$B,MATCH($G2581,'Catalog'!$A:$A,0)),$B2581))</f>
        <v>95B XL מגן מרפק שחור</v>
      </c>
      <c r="I2581" s="8" t="str">
        <f aca="false">IF($G2581="","Unmatched","Matched")</f>
        <v>Matched</v>
      </c>
      <c r="J2581" s="8" t="n">
        <f aca="false">IF($G2581&lt;&gt;"",$G2581,$B2581)</f>
        <v>4413503</v>
      </c>
      <c r="K2581" s="8" t="str">
        <f aca="false">IF(COUNTIF($M$1:$M$10,$A2581)&gt;0,"Y","N")</f>
        <v>Y</v>
      </c>
    </row>
    <row r="2582" customFormat="false" ht="15" hidden="false" customHeight="true" outlineLevel="0" collapsed="false">
      <c r="A2582" s="8" t="s">
        <v>42</v>
      </c>
      <c r="B2582" s="8" t="s">
        <v>150</v>
      </c>
      <c r="C2582" s="19" t="n">
        <v>6</v>
      </c>
      <c r="D2582" s="19" t="n">
        <v>309.97</v>
      </c>
      <c r="E2582" s="19" t="n">
        <v>4</v>
      </c>
      <c r="F2582" s="19" t="n">
        <v>156.71</v>
      </c>
      <c r="G2582" s="8" t="str">
        <f aca="false">IFERROR(INDEX('TRANS'!$B:$B,MATCH($B2582,'TRANS'!$A:$A,0)),IFERROR(INDEX('TRANS'!$B:$B,MATCH(TRIM(SUBSTITUTE($B2582,CHAR(160)," ")),'TRANS'!$D:$D,0)),IFERROR(INDEX('Catalog'!$A:$A,MATCH($B2582,'Catalog'!$B:$B,0)),IFERROR(INDEX('Catalog'!$A:$A,MATCH(TRIM(SUBSTITUTE($B2582,CHAR(160)," ")),'Catalog'!$C:$C,0)),""))))</f>
        <v/>
      </c>
      <c r="H2582" s="8" t="str">
        <f aca="false">IFERROR(INDEX('TRANS'!$C:$C,MATCH($B2582,'TRANS'!$A:$A,0)),IFERROR(INDEX('Catalog'!$B:$B,MATCH($G2582,'Catalog'!$A:$A,0)),$B2582))</f>
        <v>95B XS</v>
      </c>
      <c r="I2582" s="8" t="str">
        <f aca="false">IF($G2582="","Unmatched","Matched")</f>
        <v>Unmatched</v>
      </c>
      <c r="J2582" s="8" t="str">
        <f aca="false">IF($G2582&lt;&gt;"",$G2582,$B2582)</f>
        <v>95B XS</v>
      </c>
      <c r="K2582" s="8" t="str">
        <f aca="false">IF(COUNTIF($M$1:$M$10,$A2582)&gt;0,"Y","N")</f>
        <v>Y</v>
      </c>
    </row>
    <row r="2583" customFormat="false" ht="15" hidden="false" customHeight="true" outlineLevel="0" collapsed="false">
      <c r="A2583" s="8" t="s">
        <v>42</v>
      </c>
      <c r="B2583" s="8" t="s">
        <v>1002</v>
      </c>
      <c r="C2583" s="19" t="n">
        <v>1</v>
      </c>
      <c r="D2583" s="19" t="n">
        <v>55.85</v>
      </c>
      <c r="E2583" s="19" t="n">
        <v>1</v>
      </c>
      <c r="F2583" s="19" t="n">
        <v>55.85</v>
      </c>
      <c r="G2583" s="8" t="n">
        <f aca="false">IFERROR(INDEX('TRANS'!$B:$B,MATCH($B2583,'TRANS'!$A:$A,0)),IFERROR(INDEX('TRANS'!$B:$B,MATCH(TRIM(SUBSTITUTE($B2583,CHAR(160)," ")),'TRANS'!$D:$D,0)),IFERROR(INDEX('Catalog'!$A:$A,MATCH($B2583,'Catalog'!$B:$B,0)),IFERROR(INDEX('Catalog'!$A:$A,MATCH(TRIM(SUBSTITUTE($B2583,CHAR(160)," ")),'Catalog'!$C:$C,0)),""))))</f>
        <v>4413504</v>
      </c>
      <c r="H2583" s="8" t="str">
        <f aca="false">IFERROR(INDEX('TRANS'!$C:$C,MATCH($B2583,'TRANS'!$A:$A,0)),IFERROR(INDEX('Catalog'!$B:$B,MATCH($G2583,'Catalog'!$A:$A,0)),$B2583))</f>
        <v>95B XXLמגן מרפק שחור</v>
      </c>
      <c r="I2583" s="8" t="str">
        <f aca="false">IF($G2583="","Unmatched","Matched")</f>
        <v>Matched</v>
      </c>
      <c r="J2583" s="8" t="n">
        <f aca="false">IF($G2583&lt;&gt;"",$G2583,$B2583)</f>
        <v>4413504</v>
      </c>
      <c r="K2583" s="8" t="str">
        <f aca="false">IF(COUNTIF($M$1:$M$10,$A2583)&gt;0,"Y","N")</f>
        <v>Y</v>
      </c>
    </row>
    <row r="2584" customFormat="false" ht="15" hidden="false" customHeight="true" outlineLevel="0" collapsed="false">
      <c r="A2584" s="8" t="s">
        <v>42</v>
      </c>
      <c r="B2584" s="8" t="s">
        <v>721</v>
      </c>
      <c r="C2584" s="19" t="n">
        <v>1</v>
      </c>
      <c r="D2584" s="19" t="n">
        <v>55.85</v>
      </c>
      <c r="E2584" s="19" t="n">
        <v>1</v>
      </c>
      <c r="F2584" s="19" t="n">
        <v>25.34</v>
      </c>
      <c r="G2584" s="8" t="n">
        <f aca="false">IFERROR(INDEX('TRANS'!$B:$B,MATCH($B2584,'TRANS'!$A:$A,0)),IFERROR(INDEX('TRANS'!$B:$B,MATCH(TRIM(SUBSTITUTE($B2584,CHAR(160)," ")),'TRANS'!$D:$D,0)),IFERROR(INDEX('Catalog'!$A:$A,MATCH($B2584,'Catalog'!$B:$B,0)),IFERROR(INDEX('Catalog'!$A:$A,MATCH(TRIM(SUBSTITUTE($B2584,CHAR(160)," ")),'Catalog'!$C:$C,0)),""))))</f>
        <v>4413365</v>
      </c>
      <c r="H2584" s="8" t="str">
        <f aca="false">IFERROR(INDEX('TRANS'!$C:$C,MATCH($B2584,'TRANS'!$A:$A,0)),IFERROR(INDEX('Catalog'!$B:$B,MATCH($G2584,'Catalog'!$A:$A,0)),$B2584))</f>
        <v>95C L 'מגן מרפק בז</v>
      </c>
      <c r="I2584" s="8" t="str">
        <f aca="false">IF($G2584="","Unmatched","Matched")</f>
        <v>Matched</v>
      </c>
      <c r="J2584" s="8" t="n">
        <f aca="false">IF($G2584&lt;&gt;"",$G2584,$B2584)</f>
        <v>4413365</v>
      </c>
      <c r="K2584" s="8" t="str">
        <f aca="false">IF(COUNTIF($M$1:$M$10,$A2584)&gt;0,"Y","N")</f>
        <v>Y</v>
      </c>
    </row>
    <row r="2585" customFormat="false" ht="15" hidden="false" customHeight="true" outlineLevel="0" collapsed="false">
      <c r="A2585" s="8" t="s">
        <v>42</v>
      </c>
      <c r="B2585" s="8" t="s">
        <v>722</v>
      </c>
      <c r="C2585" s="19" t="n">
        <v>1</v>
      </c>
      <c r="D2585" s="19" t="n">
        <v>55.85</v>
      </c>
      <c r="E2585" s="19" t="n">
        <v>2</v>
      </c>
      <c r="F2585" s="19" t="n">
        <v>81.18</v>
      </c>
      <c r="G2585" s="8" t="n">
        <f aca="false">IFERROR(INDEX('TRANS'!$B:$B,MATCH($B2585,'TRANS'!$A:$A,0)),IFERROR(INDEX('TRANS'!$B:$B,MATCH(TRIM(SUBSTITUTE($B2585,CHAR(160)," ")),'TRANS'!$D:$D,0)),IFERROR(INDEX('Catalog'!$A:$A,MATCH($B2585,'Catalog'!$B:$B,0)),IFERROR(INDEX('Catalog'!$A:$A,MATCH(TRIM(SUBSTITUTE($B2585,CHAR(160)," ")),'Catalog'!$C:$C,0)),""))))</f>
        <v>4413364</v>
      </c>
      <c r="H2585" s="8" t="str">
        <f aca="false">IFERROR(INDEX('TRANS'!$C:$C,MATCH($B2585,'TRANS'!$A:$A,0)),IFERROR(INDEX('Catalog'!$B:$B,MATCH($G2585,'Catalog'!$A:$A,0)),$B2585))</f>
        <v>95C M 'מגן מרפק בז</v>
      </c>
      <c r="I2585" s="8" t="str">
        <f aca="false">IF($G2585="","Unmatched","Matched")</f>
        <v>Matched</v>
      </c>
      <c r="J2585" s="8" t="n">
        <f aca="false">IF($G2585&lt;&gt;"",$G2585,$B2585)</f>
        <v>4413364</v>
      </c>
      <c r="K2585" s="8" t="str">
        <f aca="false">IF(COUNTIF($M$1:$M$10,$A2585)&gt;0,"Y","N")</f>
        <v>Y</v>
      </c>
    </row>
    <row r="2586" customFormat="false" ht="15" hidden="false" customHeight="true" outlineLevel="0" collapsed="false">
      <c r="A2586" s="8" t="s">
        <v>42</v>
      </c>
      <c r="B2586" s="8" t="s">
        <v>840</v>
      </c>
      <c r="C2586" s="19" t="n">
        <v>0</v>
      </c>
      <c r="D2586" s="19" t="n">
        <v>0</v>
      </c>
      <c r="E2586" s="19" t="n">
        <v>3</v>
      </c>
      <c r="F2586" s="19" t="n">
        <v>137.04</v>
      </c>
      <c r="G2586" s="8" t="n">
        <f aca="false">IFERROR(INDEX('TRANS'!$B:$B,MATCH($B2586,'TRANS'!$A:$A,0)),IFERROR(INDEX('TRANS'!$B:$B,MATCH(TRIM(SUBSTITUTE($B2586,CHAR(160)," ")),'TRANS'!$D:$D,0)),IFERROR(INDEX('Catalog'!$A:$A,MATCH($B2586,'Catalog'!$B:$B,0)),IFERROR(INDEX('Catalog'!$A:$A,MATCH(TRIM(SUBSTITUTE($B2586,CHAR(160)," ")),'Catalog'!$C:$C,0)),""))))</f>
        <v>4413367</v>
      </c>
      <c r="H2586" s="8" t="str">
        <f aca="false">IFERROR(INDEX('TRANS'!$C:$C,MATCH($B2586,'TRANS'!$A:$A,0)),IFERROR(INDEX('Catalog'!$B:$B,MATCH($G2586,'Catalog'!$A:$A,0)),$B2586))</f>
        <v>95C XL'מגן מרפק בז</v>
      </c>
      <c r="I2586" s="8" t="str">
        <f aca="false">IF($G2586="","Unmatched","Matched")</f>
        <v>Matched</v>
      </c>
      <c r="J2586" s="8" t="n">
        <f aca="false">IF($G2586&lt;&gt;"",$G2586,$B2586)</f>
        <v>4413367</v>
      </c>
      <c r="K2586" s="8" t="str">
        <f aca="false">IF(COUNTIF($M$1:$M$10,$A2586)&gt;0,"Y","N")</f>
        <v>Y</v>
      </c>
    </row>
    <row r="2587" customFormat="false" ht="15" hidden="false" customHeight="true" outlineLevel="0" collapsed="false">
      <c r="A2587" s="8" t="s">
        <v>42</v>
      </c>
      <c r="B2587" s="8" t="s">
        <v>1003</v>
      </c>
      <c r="C2587" s="19" t="n">
        <v>2</v>
      </c>
      <c r="D2587" s="19" t="n">
        <v>110</v>
      </c>
      <c r="E2587" s="19" t="n">
        <v>3</v>
      </c>
      <c r="F2587" s="19" t="n">
        <v>161.96</v>
      </c>
      <c r="G2587" s="8" t="n">
        <f aca="false">IFERROR(INDEX('TRANS'!$B:$B,MATCH($B2587,'TRANS'!$A:$A,0)),IFERROR(INDEX('TRANS'!$B:$B,MATCH(TRIM(SUBSTITUTE($B2587,CHAR(160)," ")),'TRANS'!$D:$D,0)),IFERROR(INDEX('Catalog'!$A:$A,MATCH($B2587,'Catalog'!$B:$B,0)),IFERROR(INDEX('Catalog'!$A:$A,MATCH(TRIM(SUBSTITUTE($B2587,CHAR(160)," ")),'Catalog'!$C:$C,0)),""))))</f>
        <v>4413368</v>
      </c>
      <c r="H2587" s="8" t="str">
        <f aca="false">IFERROR(INDEX('TRANS'!$C:$C,MATCH($B2587,'TRANS'!$A:$A,0)),IFERROR(INDEX('Catalog'!$B:$B,MATCH($G2587,'Catalog'!$A:$A,0)),$B2587))</f>
        <v>95C XS'מגן מרפק בז</v>
      </c>
      <c r="I2587" s="8" t="str">
        <f aca="false">IF($G2587="","Unmatched","Matched")</f>
        <v>Matched</v>
      </c>
      <c r="J2587" s="8" t="n">
        <f aca="false">IF($G2587&lt;&gt;"",$G2587,$B2587)</f>
        <v>4413368</v>
      </c>
      <c r="K2587" s="8" t="str">
        <f aca="false">IF(COUNTIF($M$1:$M$10,$A2587)&gt;0,"Y","N")</f>
        <v>Y</v>
      </c>
    </row>
    <row r="2588" customFormat="false" ht="15" hidden="false" customHeight="true" outlineLevel="0" collapsed="false">
      <c r="A2588" s="8" t="s">
        <v>42</v>
      </c>
      <c r="B2588" s="8" t="s">
        <v>1055</v>
      </c>
      <c r="C2588" s="19" t="n">
        <v>0</v>
      </c>
      <c r="D2588" s="19" t="n">
        <v>0</v>
      </c>
      <c r="E2588" s="19" t="n">
        <v>2</v>
      </c>
      <c r="F2588" s="19" t="n">
        <v>111.69</v>
      </c>
      <c r="G2588" s="8" t="n">
        <f aca="false">IFERROR(INDEX('TRANS'!$B:$B,MATCH($B2588,'TRANS'!$A:$A,0)),IFERROR(INDEX('TRANS'!$B:$B,MATCH(TRIM(SUBSTITUTE($B2588,CHAR(160)," ")),'TRANS'!$D:$D,0)),IFERROR(INDEX('Catalog'!$A:$A,MATCH($B2588,'Catalog'!$B:$B,0)),IFERROR(INDEX('Catalog'!$A:$A,MATCH(TRIM(SUBSTITUTE($B2588,CHAR(160)," ")),'Catalog'!$C:$C,0)),""))))</f>
        <v>4413369</v>
      </c>
      <c r="H2588" s="8" t="str">
        <f aca="false">IFERROR(INDEX('TRANS'!$C:$C,MATCH($B2588,'TRANS'!$A:$A,0)),IFERROR(INDEX('Catalog'!$B:$B,MATCH($G2588,'Catalog'!$A:$A,0)),$B2588))</f>
        <v>95C XXL'מגן מרפק בז</v>
      </c>
      <c r="I2588" s="8" t="str">
        <f aca="false">IF($G2588="","Unmatched","Matched")</f>
        <v>Matched</v>
      </c>
      <c r="J2588" s="8" t="n">
        <f aca="false">IF($G2588&lt;&gt;"",$G2588,$B2588)</f>
        <v>4413369</v>
      </c>
      <c r="K2588" s="8" t="str">
        <f aca="false">IF(COUNTIF($M$1:$M$10,$A2588)&gt;0,"Y","N")</f>
        <v>Y</v>
      </c>
    </row>
    <row r="2589" customFormat="false" ht="15" hidden="false" customHeight="true" outlineLevel="0" collapsed="false">
      <c r="A2589" s="8" t="s">
        <v>42</v>
      </c>
      <c r="B2589" s="8" t="s">
        <v>205</v>
      </c>
      <c r="C2589" s="19" t="n">
        <v>4</v>
      </c>
      <c r="D2589" s="19" t="n">
        <v>223</v>
      </c>
      <c r="E2589" s="19" t="n">
        <v>5</v>
      </c>
      <c r="F2589" s="19" t="n">
        <v>177.06</v>
      </c>
      <c r="G2589" s="8" t="str">
        <f aca="false">IFERROR(INDEX('TRANS'!$B:$B,MATCH($B2589,'TRANS'!$A:$A,0)),IFERROR(INDEX('TRANS'!$B:$B,MATCH(TRIM(SUBSTITUTE($B2589,CHAR(160)," ")),'TRANS'!$D:$D,0)),IFERROR(INDEX('Catalog'!$A:$A,MATCH($B2589,'Catalog'!$B:$B,0)),IFERROR(INDEX('Catalog'!$A:$A,MATCH(TRIM(SUBSTITUTE($B2589,CHAR(160)," ")),'Catalog'!$C:$C,0)),""))))</f>
        <v/>
      </c>
      <c r="H2589" s="8" t="str">
        <f aca="false">IFERROR(INDEX('TRANS'!$C:$C,MATCH($B2589,'TRANS'!$A:$A,0)),IFERROR(INDEX('Catalog'!$B:$B,MATCH($G2589,'Catalog'!$A:$A,0)),$B2589))</f>
        <v>95G L</v>
      </c>
      <c r="I2589" s="8" t="str">
        <f aca="false">IF($G2589="","Unmatched","Matched")</f>
        <v>Unmatched</v>
      </c>
      <c r="J2589" s="8" t="str">
        <f aca="false">IF($G2589&lt;&gt;"",$G2589,$B2589)</f>
        <v>95G L</v>
      </c>
      <c r="K2589" s="8" t="str">
        <f aca="false">IF(COUNTIF($M$1:$M$10,$A2589)&gt;0,"Y","N")</f>
        <v>Y</v>
      </c>
    </row>
    <row r="2590" customFormat="false" ht="15" hidden="false" customHeight="true" outlineLevel="0" collapsed="false">
      <c r="A2590" s="8" t="s">
        <v>42</v>
      </c>
      <c r="B2590" s="8" t="s">
        <v>182</v>
      </c>
      <c r="C2590" s="19" t="n">
        <v>5</v>
      </c>
      <c r="D2590" s="19" t="n">
        <v>251.32</v>
      </c>
      <c r="E2590" s="19" t="n">
        <v>6</v>
      </c>
      <c r="F2590" s="19" t="n">
        <v>271.53</v>
      </c>
      <c r="G2590" s="8" t="str">
        <f aca="false">IFERROR(INDEX('TRANS'!$B:$B,MATCH($B2590,'TRANS'!$A:$A,0)),IFERROR(INDEX('TRANS'!$B:$B,MATCH(TRIM(SUBSTITUTE($B2590,CHAR(160)," ")),'TRANS'!$D:$D,0)),IFERROR(INDEX('Catalog'!$A:$A,MATCH($B2590,'Catalog'!$B:$B,0)),IFERROR(INDEX('Catalog'!$A:$A,MATCH(TRIM(SUBSTITUTE($B2590,CHAR(160)," ")),'Catalog'!$C:$C,0)),""))))</f>
        <v/>
      </c>
      <c r="H2590" s="8" t="str">
        <f aca="false">IFERROR(INDEX('TRANS'!$C:$C,MATCH($B2590,'TRANS'!$A:$A,0)),IFERROR(INDEX('Catalog'!$B:$B,MATCH($G2590,'Catalog'!$A:$A,0)),$B2590))</f>
        <v>95G M</v>
      </c>
      <c r="I2590" s="8" t="str">
        <f aca="false">IF($G2590="","Unmatched","Matched")</f>
        <v>Unmatched</v>
      </c>
      <c r="J2590" s="8" t="str">
        <f aca="false">IF($G2590&lt;&gt;"",$G2590,$B2590)</f>
        <v>95G M</v>
      </c>
      <c r="K2590" s="8" t="str">
        <f aca="false">IF(COUNTIF($M$1:$M$10,$A2590)&gt;0,"Y","N")</f>
        <v>Y</v>
      </c>
    </row>
    <row r="2591" customFormat="false" ht="15" hidden="false" customHeight="true" outlineLevel="0" collapsed="false">
      <c r="A2591" s="8" t="s">
        <v>42</v>
      </c>
      <c r="B2591" s="8" t="s">
        <v>183</v>
      </c>
      <c r="C2591" s="19" t="n">
        <v>3</v>
      </c>
      <c r="D2591" s="19" t="n">
        <v>159.17</v>
      </c>
      <c r="E2591" s="19" t="n">
        <v>6</v>
      </c>
      <c r="F2591" s="19" t="n">
        <v>241.36</v>
      </c>
      <c r="G2591" s="8" t="str">
        <f aca="false">IFERROR(INDEX('TRANS'!$B:$B,MATCH($B2591,'TRANS'!$A:$A,0)),IFERROR(INDEX('TRANS'!$B:$B,MATCH(TRIM(SUBSTITUTE($B2591,CHAR(160)," ")),'TRANS'!$D:$D,0)),IFERROR(INDEX('Catalog'!$A:$A,MATCH($B2591,'Catalog'!$B:$B,0)),IFERROR(INDEX('Catalog'!$A:$A,MATCH(TRIM(SUBSTITUTE($B2591,CHAR(160)," ")),'Catalog'!$C:$C,0)),""))))</f>
        <v/>
      </c>
      <c r="H2591" s="8" t="str">
        <f aca="false">IFERROR(INDEX('TRANS'!$C:$C,MATCH($B2591,'TRANS'!$A:$A,0)),IFERROR(INDEX('Catalog'!$B:$B,MATCH($G2591,'Catalog'!$A:$A,0)),$B2591))</f>
        <v>95G S</v>
      </c>
      <c r="I2591" s="8" t="str">
        <f aca="false">IF($G2591="","Unmatched","Matched")</f>
        <v>Unmatched</v>
      </c>
      <c r="J2591" s="8" t="str">
        <f aca="false">IF($G2591&lt;&gt;"",$G2591,$B2591)</f>
        <v>95G S</v>
      </c>
      <c r="K2591" s="8" t="str">
        <f aca="false">IF(COUNTIF($M$1:$M$10,$A2591)&gt;0,"Y","N")</f>
        <v>Y</v>
      </c>
    </row>
    <row r="2592" customFormat="false" ht="15" hidden="false" customHeight="true" outlineLevel="0" collapsed="false">
      <c r="A2592" s="8" t="s">
        <v>42</v>
      </c>
      <c r="B2592" s="8" t="s">
        <v>227</v>
      </c>
      <c r="C2592" s="19" t="n">
        <v>1</v>
      </c>
      <c r="D2592" s="19" t="n">
        <v>47.47</v>
      </c>
      <c r="E2592" s="19" t="n">
        <v>4</v>
      </c>
      <c r="F2592" s="19" t="n">
        <v>126.27</v>
      </c>
      <c r="G2592" s="8" t="str">
        <f aca="false">IFERROR(INDEX('TRANS'!$B:$B,MATCH($B2592,'TRANS'!$A:$A,0)),IFERROR(INDEX('TRANS'!$B:$B,MATCH(TRIM(SUBSTITUTE($B2592,CHAR(160)," ")),'TRANS'!$D:$D,0)),IFERROR(INDEX('Catalog'!$A:$A,MATCH($B2592,'Catalog'!$B:$B,0)),IFERROR(INDEX('Catalog'!$A:$A,MATCH(TRIM(SUBSTITUTE($B2592,CHAR(160)," ")),'Catalog'!$C:$C,0)),""))))</f>
        <v/>
      </c>
      <c r="H2592" s="8" t="str">
        <f aca="false">IFERROR(INDEX('TRANS'!$C:$C,MATCH($B2592,'TRANS'!$A:$A,0)),IFERROR(INDEX('Catalog'!$B:$B,MATCH($G2592,'Catalog'!$A:$A,0)),$B2592))</f>
        <v>95G XL</v>
      </c>
      <c r="I2592" s="8" t="str">
        <f aca="false">IF($G2592="","Unmatched","Matched")</f>
        <v>Unmatched</v>
      </c>
      <c r="J2592" s="8" t="str">
        <f aca="false">IF($G2592&lt;&gt;"",$G2592,$B2592)</f>
        <v>95G XL</v>
      </c>
      <c r="K2592" s="8" t="str">
        <f aca="false">IF(COUNTIF($M$1:$M$10,$A2592)&gt;0,"Y","N")</f>
        <v>Y</v>
      </c>
    </row>
    <row r="2593" customFormat="false" ht="15" hidden="false" customHeight="true" outlineLevel="0" collapsed="false">
      <c r="A2593" s="8" t="s">
        <v>42</v>
      </c>
      <c r="B2593" s="8" t="s">
        <v>723</v>
      </c>
      <c r="C2593" s="19" t="n">
        <v>18</v>
      </c>
      <c r="D2593" s="19" t="n">
        <v>2871.51</v>
      </c>
      <c r="E2593" s="19" t="n">
        <v>15</v>
      </c>
      <c r="F2593" s="19" t="n">
        <v>2414.05</v>
      </c>
      <c r="G2593" s="8" t="n">
        <f aca="false">IFERROR(INDEX('TRANS'!$B:$B,MATCH($B2593,'TRANS'!$A:$A,0)),IFERROR(INDEX('TRANS'!$B:$B,MATCH(TRIM(SUBSTITUTE($B2593,CHAR(160)," ")),'TRANS'!$D:$D,0)),IFERROR(INDEX('Catalog'!$A:$A,MATCH($B2593,'Catalog'!$B:$B,0)),IFERROR(INDEX('Catalog'!$A:$A,MATCH(TRIM(SUBSTITUTE($B2593,CHAR(160)," ")),'Catalog'!$C:$C,0)),""))))</f>
        <v>4408205</v>
      </c>
      <c r="H2593" s="8" t="str">
        <f aca="false">IFERROR(INDEX('TRANS'!$C:$C,MATCH($B2593,'TRANS'!$A:$A,0)),IFERROR(INDEX('Catalog'!$B:$B,MATCH($G2593,'Catalog'!$A:$A,0)),$B2593))</f>
        <v>AC-07 חגורת גב עם תמיכות</v>
      </c>
      <c r="I2593" s="8" t="str">
        <f aca="false">IF($G2593="","Unmatched","Matched")</f>
        <v>Matched</v>
      </c>
      <c r="J2593" s="8" t="n">
        <f aca="false">IF($G2593&lt;&gt;"",$G2593,$B2593)</f>
        <v>4408205</v>
      </c>
      <c r="K2593" s="8" t="str">
        <f aca="false">IF(COUNTIF($M$1:$M$10,$A2593)&gt;0,"Y","N")</f>
        <v>Y</v>
      </c>
    </row>
    <row r="2594" customFormat="false" ht="15" hidden="false" customHeight="true" outlineLevel="0" collapsed="false">
      <c r="A2594" s="8" t="s">
        <v>42</v>
      </c>
      <c r="B2594" s="8" t="s">
        <v>724</v>
      </c>
      <c r="C2594" s="19" t="n">
        <v>1</v>
      </c>
      <c r="D2594" s="19" t="n">
        <v>132.97</v>
      </c>
      <c r="E2594" s="19" t="n">
        <v>8</v>
      </c>
      <c r="F2594" s="19" t="n">
        <v>1037.14</v>
      </c>
      <c r="G2594" s="8" t="n">
        <f aca="false">IFERROR(INDEX('TRANS'!$B:$B,MATCH($B2594,'TRANS'!$A:$A,0)),IFERROR(INDEX('TRANS'!$B:$B,MATCH(TRIM(SUBSTITUTE($B2594,CHAR(160)," ")),'TRANS'!$D:$D,0)),IFERROR(INDEX('Catalog'!$A:$A,MATCH($B2594,'Catalog'!$B:$B,0)),IFERROR(INDEX('Catalog'!$A:$A,MATCH(TRIM(SUBSTITUTE($B2594,CHAR(160)," ")),'Catalog'!$C:$C,0)),""))))</f>
        <v>4408206</v>
      </c>
      <c r="H2594" s="8" t="str">
        <f aca="false">IFERROR(INDEX('TRANS'!$C:$C,MATCH($B2594,'TRANS'!$A:$A,0)),IFERROR(INDEX('Catalog'!$B:$B,MATCH($G2594,'Catalog'!$A:$A,0)),$B2594))</f>
        <v>AC-11 חגורת בטן קלה</v>
      </c>
      <c r="I2594" s="8" t="str">
        <f aca="false">IF($G2594="","Unmatched","Matched")</f>
        <v>Matched</v>
      </c>
      <c r="J2594" s="8" t="n">
        <f aca="false">IF($G2594&lt;&gt;"",$G2594,$B2594)</f>
        <v>4408206</v>
      </c>
      <c r="K2594" s="8" t="str">
        <f aca="false">IF(COUNTIF($M$1:$M$10,$A2594)&gt;0,"Y","N")</f>
        <v>Y</v>
      </c>
    </row>
    <row r="2595" customFormat="false" ht="15" hidden="false" customHeight="true" outlineLevel="0" collapsed="false">
      <c r="A2595" s="8" t="s">
        <v>42</v>
      </c>
      <c r="B2595" s="8" t="s">
        <v>725</v>
      </c>
      <c r="C2595" s="19" t="n">
        <v>25</v>
      </c>
      <c r="D2595" s="19" t="n">
        <v>1540.71</v>
      </c>
      <c r="E2595" s="19" t="n">
        <v>20</v>
      </c>
      <c r="F2595" s="19" t="n">
        <v>1320.38</v>
      </c>
      <c r="G2595" s="8" t="n">
        <f aca="false">IFERROR(INDEX('TRANS'!$B:$B,MATCH($B2595,'TRANS'!$A:$A,0)),IFERROR(INDEX('TRANS'!$B:$B,MATCH(TRIM(SUBSTITUTE($B2595,CHAR(160)," ")),'TRANS'!$D:$D,0)),IFERROR(INDEX('Catalog'!$A:$A,MATCH($B2595,'Catalog'!$B:$B,0)),IFERROR(INDEX('Catalog'!$A:$A,MATCH(TRIM(SUBSTITUTE($B2595,CHAR(160)," ")),'Catalog'!$C:$C,0)),""))))</f>
        <v>4408207</v>
      </c>
      <c r="H2595" s="8" t="str">
        <f aca="false">IFERROR(INDEX('TRANS'!$C:$C,MATCH($B2595,'TRANS'!$A:$A,0)),IFERROR(INDEX('Catalog'!$B:$B,MATCH($G2595,'Catalog'!$A:$A,0)),$B2595))</f>
        <v>AC-25 חבק לשורש כף היד</v>
      </c>
      <c r="I2595" s="8" t="str">
        <f aca="false">IF($G2595="","Unmatched","Matched")</f>
        <v>Matched</v>
      </c>
      <c r="J2595" s="8" t="n">
        <f aca="false">IF($G2595&lt;&gt;"",$G2595,$B2595)</f>
        <v>4408207</v>
      </c>
      <c r="K2595" s="8" t="str">
        <f aca="false">IF(COUNTIF($M$1:$M$10,$A2595)&gt;0,"Y","N")</f>
        <v>Y</v>
      </c>
    </row>
    <row r="2596" customFormat="false" ht="15" hidden="false" customHeight="true" outlineLevel="0" collapsed="false">
      <c r="A2596" s="8" t="s">
        <v>42</v>
      </c>
      <c r="B2596" s="8" t="s">
        <v>726</v>
      </c>
      <c r="C2596" s="19" t="n">
        <v>38</v>
      </c>
      <c r="D2596" s="19" t="n">
        <v>2834.69</v>
      </c>
      <c r="E2596" s="19" t="n">
        <v>63</v>
      </c>
      <c r="F2596" s="19" t="n">
        <v>5168.55</v>
      </c>
      <c r="G2596" s="8" t="n">
        <f aca="false">IFERROR(INDEX('TRANS'!$B:$B,MATCH($B2596,'TRANS'!$A:$A,0)),IFERROR(INDEX('TRANS'!$B:$B,MATCH(TRIM(SUBSTITUTE($B2596,CHAR(160)," ")),'TRANS'!$D:$D,0)),IFERROR(INDEX('Catalog'!$A:$A,MATCH($B2596,'Catalog'!$B:$B,0)),IFERROR(INDEX('Catalog'!$A:$A,MATCH(TRIM(SUBSTITUTE($B2596,CHAR(160)," ")),'Catalog'!$C:$C,0)),""))))</f>
        <v>4415026</v>
      </c>
      <c r="H2596" s="8" t="str">
        <f aca="false">IFERROR(INDEX('TRANS'!$C:$C,MATCH($B2596,'TRANS'!$A:$A,0)),IFERROR(INDEX('Catalog'!$B:$B,MATCH($G2596,'Catalog'!$A:$A,0)),$B2596))</f>
        <v>AC-27L סד לש.כף יד שמאל</v>
      </c>
      <c r="I2596" s="8" t="str">
        <f aca="false">IF($G2596="","Unmatched","Matched")</f>
        <v>Matched</v>
      </c>
      <c r="J2596" s="8" t="n">
        <f aca="false">IF($G2596&lt;&gt;"",$G2596,$B2596)</f>
        <v>4415026</v>
      </c>
      <c r="K2596" s="8" t="str">
        <f aca="false">IF(COUNTIF($M$1:$M$10,$A2596)&gt;0,"Y","N")</f>
        <v>Y</v>
      </c>
    </row>
    <row r="2597" customFormat="false" ht="15" hidden="false" customHeight="true" outlineLevel="0" collapsed="false">
      <c r="A2597" s="8" t="s">
        <v>42</v>
      </c>
      <c r="B2597" s="8" t="s">
        <v>727</v>
      </c>
      <c r="C2597" s="19" t="n">
        <v>35</v>
      </c>
      <c r="D2597" s="19" t="n">
        <v>2758.36</v>
      </c>
      <c r="E2597" s="19" t="n">
        <v>71</v>
      </c>
      <c r="F2597" s="19" t="n">
        <v>5807.67</v>
      </c>
      <c r="G2597" s="8" t="n">
        <f aca="false">IFERROR(INDEX('TRANS'!$B:$B,MATCH($B2597,'TRANS'!$A:$A,0)),IFERROR(INDEX('TRANS'!$B:$B,MATCH(TRIM(SUBSTITUTE($B2597,CHAR(160)," ")),'TRANS'!$D:$D,0)),IFERROR(INDEX('Catalog'!$A:$A,MATCH($B2597,'Catalog'!$B:$B,0)),IFERROR(INDEX('Catalog'!$A:$A,MATCH(TRIM(SUBSTITUTE($B2597,CHAR(160)," ")),'Catalog'!$C:$C,0)),""))))</f>
        <v>4415027</v>
      </c>
      <c r="H2597" s="8" t="str">
        <f aca="false">IFERROR(INDEX('TRANS'!$C:$C,MATCH($B2597,'TRANS'!$A:$A,0)),IFERROR(INDEX('Catalog'!$B:$B,MATCH($G2597,'Catalog'!$A:$A,0)),$B2597))</f>
        <v>AC-27R סד לש.כף יד ימין</v>
      </c>
      <c r="I2597" s="8" t="str">
        <f aca="false">IF($G2597="","Unmatched","Matched")</f>
        <v>Matched</v>
      </c>
      <c r="J2597" s="8" t="n">
        <f aca="false">IF($G2597&lt;&gt;"",$G2597,$B2597)</f>
        <v>4415027</v>
      </c>
      <c r="K2597" s="8" t="str">
        <f aca="false">IF(COUNTIF($M$1:$M$10,$A2597)&gt;0,"Y","N")</f>
        <v>Y</v>
      </c>
    </row>
    <row r="2598" customFormat="false" ht="15" hidden="false" customHeight="true" outlineLevel="0" collapsed="false">
      <c r="A2598" s="8" t="s">
        <v>42</v>
      </c>
      <c r="B2598" s="8" t="s">
        <v>728</v>
      </c>
      <c r="C2598" s="19" t="n">
        <v>78</v>
      </c>
      <c r="D2598" s="19" t="n">
        <v>5485.72</v>
      </c>
      <c r="E2598" s="19" t="n">
        <v>90</v>
      </c>
      <c r="F2598" s="19" t="n">
        <v>6704.59</v>
      </c>
      <c r="G2598" s="8" t="n">
        <f aca="false">IFERROR(INDEX('TRANS'!$B:$B,MATCH($B2598,'TRANS'!$A:$A,0)),IFERROR(INDEX('TRANS'!$B:$B,MATCH(TRIM(SUBSTITUTE($B2598,CHAR(160)," ")),'TRANS'!$D:$D,0)),IFERROR(INDEX('Catalog'!$A:$A,MATCH($B2598,'Catalog'!$B:$B,0)),IFERROR(INDEX('Catalog'!$A:$A,MATCH(TRIM(SUBSTITUTE($B2598,CHAR(160)," ")),'Catalog'!$C:$C,0)),""))))</f>
        <v>4415028</v>
      </c>
      <c r="H2598" s="8" t="str">
        <f aca="false">IFERROR(INDEX('TRANS'!$C:$C,MATCH($B2598,'TRANS'!$A:$A,0)),IFERROR(INDEX('Catalog'!$B:$B,MATCH($G2598,'Catalog'!$A:$A,0)),$B2598))</f>
        <v>AC-28 סד לאגודל</v>
      </c>
      <c r="I2598" s="8" t="str">
        <f aca="false">IF($G2598="","Unmatched","Matched")</f>
        <v>Matched</v>
      </c>
      <c r="J2598" s="8" t="n">
        <f aca="false">IF($G2598&lt;&gt;"",$G2598,$B2598)</f>
        <v>4415028</v>
      </c>
      <c r="K2598" s="8" t="str">
        <f aca="false">IF(COUNTIF($M$1:$M$10,$A2598)&gt;0,"Y","N")</f>
        <v>Y</v>
      </c>
    </row>
    <row r="2599" customFormat="false" ht="15" hidden="false" customHeight="true" outlineLevel="0" collapsed="false">
      <c r="A2599" s="8" t="s">
        <v>42</v>
      </c>
      <c r="B2599" s="8" t="s">
        <v>729</v>
      </c>
      <c r="C2599" s="19" t="n">
        <v>17</v>
      </c>
      <c r="D2599" s="19" t="n">
        <v>1019.63</v>
      </c>
      <c r="E2599" s="19" t="n">
        <v>23</v>
      </c>
      <c r="F2599" s="19" t="n">
        <v>1469.35</v>
      </c>
      <c r="G2599" s="8" t="n">
        <f aca="false">IFERROR(INDEX('TRANS'!$B:$B,MATCH($B2599,'TRANS'!$A:$A,0)),IFERROR(INDEX('TRANS'!$B:$B,MATCH(TRIM(SUBSTITUTE($B2599,CHAR(160)," ")),'TRANS'!$D:$D,0)),IFERROR(INDEX('Catalog'!$A:$A,MATCH($B2599,'Catalog'!$B:$B,0)),IFERROR(INDEX('Catalog'!$A:$A,MATCH(TRIM(SUBSTITUTE($B2599,CHAR(160)," ")),'Catalog'!$C:$C,0)),""))))</f>
        <v>4413326</v>
      </c>
      <c r="H2599" s="8" t="str">
        <f aca="false">IFERROR(INDEX('TRANS'!$C:$C,MATCH($B2599,'TRANS'!$A:$A,0)),IFERROR(INDEX('Catalog'!$B:$B,MATCH($G2599,'Catalog'!$A:$A,0)),$B2599))</f>
        <v>AC37 מגן קרסול נושם</v>
      </c>
      <c r="I2599" s="8" t="str">
        <f aca="false">IF($G2599="","Unmatched","Matched")</f>
        <v>Matched</v>
      </c>
      <c r="J2599" s="8" t="n">
        <f aca="false">IF($G2599&lt;&gt;"",$G2599,$B2599)</f>
        <v>4413326</v>
      </c>
      <c r="K2599" s="8" t="str">
        <f aca="false">IF(COUNTIF($M$1:$M$10,$A2599)&gt;0,"Y","N")</f>
        <v>Y</v>
      </c>
    </row>
    <row r="2600" customFormat="false" ht="15" hidden="false" customHeight="true" outlineLevel="0" collapsed="false">
      <c r="A2600" s="8" t="s">
        <v>42</v>
      </c>
      <c r="B2600" s="8" t="s">
        <v>730</v>
      </c>
      <c r="C2600" s="19" t="n">
        <v>27</v>
      </c>
      <c r="D2600" s="19" t="n">
        <v>3649.3</v>
      </c>
      <c r="E2600" s="19" t="n">
        <v>38</v>
      </c>
      <c r="F2600" s="19" t="n">
        <v>5302.73</v>
      </c>
      <c r="G2600" s="8" t="n">
        <f aca="false">IFERROR(INDEX('TRANS'!$B:$B,MATCH($B2600,'TRANS'!$A:$A,0)),IFERROR(INDEX('TRANS'!$B:$B,MATCH(TRIM(SUBSTITUTE($B2600,CHAR(160)," ")),'TRANS'!$D:$D,0)),IFERROR(INDEX('Catalog'!$A:$A,MATCH($B2600,'Catalog'!$B:$B,0)),IFERROR(INDEX('Catalog'!$A:$A,MATCH(TRIM(SUBSTITUTE($B2600,CHAR(160)," ")),'Catalog'!$C:$C,0)),""))))</f>
        <v>4420026</v>
      </c>
      <c r="H2600" s="8" t="str">
        <f aca="false">IFERROR(INDEX('TRANS'!$C:$C,MATCH($B2600,'TRANS'!$A:$A,0)),IFERROR(INDEX('Catalog'!$B:$B,MATCH($G2600,'Catalog'!$A:$A,0)),$B2600))</f>
        <v>AC40 רצועה לפיקת הברך</v>
      </c>
      <c r="I2600" s="8" t="str">
        <f aca="false">IF($G2600="","Unmatched","Matched")</f>
        <v>Matched</v>
      </c>
      <c r="J2600" s="8" t="n">
        <f aca="false">IF($G2600&lt;&gt;"",$G2600,$B2600)</f>
        <v>4420026</v>
      </c>
      <c r="K2600" s="8" t="str">
        <f aca="false">IF(COUNTIF($M$1:$M$10,$A2600)&gt;0,"Y","N")</f>
        <v>Y</v>
      </c>
    </row>
    <row r="2601" customFormat="false" ht="15" hidden="false" customHeight="true" outlineLevel="0" collapsed="false">
      <c r="A2601" s="8" t="s">
        <v>42</v>
      </c>
      <c r="B2601" s="8" t="s">
        <v>560</v>
      </c>
      <c r="C2601" s="19" t="n">
        <v>75</v>
      </c>
      <c r="D2601" s="19" t="n">
        <v>12803.3</v>
      </c>
      <c r="E2601" s="19" t="n">
        <v>75</v>
      </c>
      <c r="F2601" s="19" t="n">
        <v>13650.72</v>
      </c>
      <c r="G2601" s="8" t="n">
        <f aca="false">IFERROR(INDEX('TRANS'!$B:$B,MATCH($B2601,'TRANS'!$A:$A,0)),IFERROR(INDEX('TRANS'!$B:$B,MATCH(TRIM(SUBSTITUTE($B2601,CHAR(160)," ")),'TRANS'!$D:$D,0)),IFERROR(INDEX('Catalog'!$A:$A,MATCH($B2601,'Catalog'!$B:$B,0)),IFERROR(INDEX('Catalog'!$A:$A,MATCH(TRIM(SUBSTITUTE($B2601,CHAR(160)," ")),'Catalog'!$C:$C,0)),""))))</f>
        <v>4413328</v>
      </c>
      <c r="H2601" s="8" t="str">
        <f aca="false">IFERROR(INDEX('TRANS'!$C:$C,MATCH($B2601,'TRANS'!$A:$A,0)),IFERROR(INDEX('Catalog'!$B:$B,MATCH($G2601,'Catalog'!$A:$A,0)),$B2601))</f>
        <v>AC43D מגן ברך + צירים</v>
      </c>
      <c r="I2601" s="8" t="str">
        <f aca="false">IF($G2601="","Unmatched","Matched")</f>
        <v>Matched</v>
      </c>
      <c r="J2601" s="8" t="n">
        <f aca="false">IF($G2601&lt;&gt;"",$G2601,$B2601)</f>
        <v>4413328</v>
      </c>
      <c r="K2601" s="8" t="str">
        <f aca="false">IF(COUNTIF($M$1:$M$10,$A2601)&gt;0,"Y","N")</f>
        <v>Y</v>
      </c>
    </row>
    <row r="2602" customFormat="false" ht="15" hidden="false" customHeight="true" outlineLevel="0" collapsed="false">
      <c r="A2602" s="8" t="s">
        <v>42</v>
      </c>
      <c r="B2602" s="8" t="s">
        <v>731</v>
      </c>
      <c r="C2602" s="19" t="n">
        <v>107</v>
      </c>
      <c r="D2602" s="19" t="n">
        <v>13400.11</v>
      </c>
      <c r="E2602" s="19" t="n">
        <v>136</v>
      </c>
      <c r="F2602" s="19" t="n">
        <v>17867.04</v>
      </c>
      <c r="G2602" s="8" t="n">
        <f aca="false">IFERROR(INDEX('TRANS'!$B:$B,MATCH($B2602,'TRANS'!$A:$A,0)),IFERROR(INDEX('TRANS'!$B:$B,MATCH(TRIM(SUBSTITUTE($B2602,CHAR(160)," ")),'TRANS'!$D:$D,0)),IFERROR(INDEX('Catalog'!$A:$A,MATCH($B2602,'Catalog'!$B:$B,0)),IFERROR(INDEX('Catalog'!$A:$A,MATCH(TRIM(SUBSTITUTE($B2602,CHAR(160)," ")),'Catalog'!$C:$C,0)),""))))</f>
        <v>4413329</v>
      </c>
      <c r="H2602" s="8" t="str">
        <f aca="false">IFERROR(INDEX('TRANS'!$C:$C,MATCH($B2602,'TRANS'!$A:$A,0)),IFERROR(INDEX('Catalog'!$B:$B,MATCH($G2602,'Catalog'!$A:$A,0)),$B2602))</f>
        <v>AC45X מגן ברך עם תמיכות</v>
      </c>
      <c r="I2602" s="8" t="str">
        <f aca="false">IF($G2602="","Unmatched","Matched")</f>
        <v>Matched</v>
      </c>
      <c r="J2602" s="8" t="n">
        <f aca="false">IF($G2602&lt;&gt;"",$G2602,$B2602)</f>
        <v>4413329</v>
      </c>
      <c r="K2602" s="8" t="str">
        <f aca="false">IF(COUNTIF($M$1:$M$10,$A2602)&gt;0,"Y","N")</f>
        <v>Y</v>
      </c>
    </row>
    <row r="2603" customFormat="false" ht="15" hidden="false" customHeight="true" outlineLevel="0" collapsed="false">
      <c r="A2603" s="8" t="s">
        <v>42</v>
      </c>
      <c r="B2603" s="8" t="s">
        <v>906</v>
      </c>
      <c r="C2603" s="19" t="n">
        <v>33</v>
      </c>
      <c r="D2603" s="19" t="n">
        <v>3431.61</v>
      </c>
      <c r="E2603" s="19" t="n">
        <v>37</v>
      </c>
      <c r="F2603" s="19" t="n">
        <v>3962.6</v>
      </c>
      <c r="G2603" s="8" t="n">
        <f aca="false">IFERROR(INDEX('TRANS'!$B:$B,MATCH($B2603,'TRANS'!$A:$A,0)),IFERROR(INDEX('TRANS'!$B:$B,MATCH(TRIM(SUBSTITUTE($B2603,CHAR(160)," ")),'TRANS'!$D:$D,0)),IFERROR(INDEX('Catalog'!$A:$A,MATCH($B2603,'Catalog'!$B:$B,0)),IFERROR(INDEX('Catalog'!$A:$A,MATCH(TRIM(SUBSTITUTE($B2603,CHAR(160)," ")),'Catalog'!$C:$C,0)),""))))</f>
        <v>4413330</v>
      </c>
      <c r="H2603" s="8" t="str">
        <f aca="false">IFERROR(INDEX('TRANS'!$C:$C,MATCH($B2603,'TRANS'!$A:$A,0)),IFERROR(INDEX('Catalog'!$B:$B,MATCH($G2603,'Catalog'!$A:$A,0)),$B2603))</f>
        <v>AC49 מגן ירך</v>
      </c>
      <c r="I2603" s="8" t="str">
        <f aca="false">IF($G2603="","Unmatched","Matched")</f>
        <v>Matched</v>
      </c>
      <c r="J2603" s="8" t="n">
        <f aca="false">IF($G2603&lt;&gt;"",$G2603,$B2603)</f>
        <v>4413330</v>
      </c>
      <c r="K2603" s="8" t="str">
        <f aca="false">IF(COUNTIF($M$1:$M$10,$A2603)&gt;0,"Y","N")</f>
        <v>Y</v>
      </c>
    </row>
    <row r="2604" customFormat="false" ht="15" hidden="false" customHeight="true" outlineLevel="0" collapsed="false">
      <c r="A2604" s="8" t="s">
        <v>42</v>
      </c>
      <c r="B2604" s="8" t="s">
        <v>732</v>
      </c>
      <c r="C2604" s="19" t="n">
        <v>128</v>
      </c>
      <c r="D2604" s="19" t="n">
        <v>15662.12</v>
      </c>
      <c r="E2604" s="19" t="n">
        <v>903</v>
      </c>
      <c r="F2604" s="19" t="n">
        <v>121131.92</v>
      </c>
      <c r="G2604" s="8" t="n">
        <f aca="false">IFERROR(INDEX('TRANS'!$B:$B,MATCH($B2604,'TRANS'!$A:$A,0)),IFERROR(INDEX('TRANS'!$B:$B,MATCH(TRIM(SUBSTITUTE($B2604,CHAR(160)," ")),'TRANS'!$D:$D,0)),IFERROR(INDEX('Catalog'!$A:$A,MATCH($B2604,'Catalog'!$B:$B,0)),IFERROR(INDEX('Catalog'!$A:$A,MATCH(TRIM(SUBSTITUTE($B2604,CHAR(160)," ")),'Catalog'!$C:$C,0)),""))))</f>
        <v>4413456</v>
      </c>
      <c r="H2604" s="8" t="str">
        <f aca="false">IFERROR(INDEX('TRANS'!$C:$C,MATCH($B2604,'TRANS'!$A:$A,0)),IFERROR(INDEX('Catalog'!$B:$B,MATCH($G2604,'Catalog'!$A:$A,0)),$B2604))</f>
        <v>AC75 XXL  מיישר כתפיים אקטיב</v>
      </c>
      <c r="I2604" s="8" t="str">
        <f aca="false">IF($G2604="","Unmatched","Matched")</f>
        <v>Matched</v>
      </c>
      <c r="J2604" s="8" t="n">
        <f aca="false">IF($G2604&lt;&gt;"",$G2604,$B2604)</f>
        <v>4413456</v>
      </c>
      <c r="K2604" s="8" t="str">
        <f aca="false">IF(COUNTIF($M$1:$M$10,$A2604)&gt;0,"Y","N")</f>
        <v>Y</v>
      </c>
    </row>
    <row r="2605" customFormat="false" ht="15" hidden="false" customHeight="true" outlineLevel="0" collapsed="false">
      <c r="A2605" s="8" t="s">
        <v>42</v>
      </c>
      <c r="B2605" s="8" t="s">
        <v>558</v>
      </c>
      <c r="C2605" s="19" t="n">
        <v>489</v>
      </c>
      <c r="D2605" s="19" t="n">
        <v>59910.55</v>
      </c>
      <c r="E2605" s="19" t="n">
        <v>5248</v>
      </c>
      <c r="F2605" s="19" t="n">
        <v>711931.409999993</v>
      </c>
      <c r="G2605" s="8" t="n">
        <f aca="false">IFERROR(INDEX('TRANS'!$B:$B,MATCH($B2605,'TRANS'!$A:$A,0)),IFERROR(INDEX('TRANS'!$B:$B,MATCH(TRIM(SUBSTITUTE($B2605,CHAR(160)," ")),'TRANS'!$D:$D,0)),IFERROR(INDEX('Catalog'!$A:$A,MATCH($B2605,'Catalog'!$B:$B,0)),IFERROR(INDEX('Catalog'!$A:$A,MATCH(TRIM(SUBSTITUTE($B2605,CHAR(160)," ")),'Catalog'!$C:$C,0)),""))))</f>
        <v>4413453</v>
      </c>
      <c r="H2605" s="8" t="str">
        <f aca="false">IFERROR(INDEX('TRANS'!$C:$C,MATCH($B2605,'TRANS'!$A:$A,0)),IFERROR(INDEX('Catalog'!$B:$B,MATCH($G2605,'Catalog'!$A:$A,0)),$B2605))</f>
        <v>AC75 מישר כתפיים אקטיב</v>
      </c>
      <c r="I2605" s="8" t="str">
        <f aca="false">IF($G2605="","Unmatched","Matched")</f>
        <v>Matched</v>
      </c>
      <c r="J2605" s="8" t="n">
        <f aca="false">IF($G2605&lt;&gt;"",$G2605,$B2605)</f>
        <v>4413453</v>
      </c>
      <c r="K2605" s="8" t="str">
        <f aca="false">IF(COUNTIF($M$1:$M$10,$A2605)&gt;0,"Y","N")</f>
        <v>Y</v>
      </c>
    </row>
    <row r="2606" customFormat="false" ht="15" hidden="false" customHeight="true" outlineLevel="0" collapsed="false">
      <c r="A2606" s="8" t="s">
        <v>42</v>
      </c>
      <c r="B2606" s="8" t="s">
        <v>733</v>
      </c>
      <c r="C2606" s="19" t="n">
        <v>177</v>
      </c>
      <c r="D2606" s="19" t="n">
        <v>11579.94</v>
      </c>
      <c r="E2606" s="19" t="n">
        <v>151</v>
      </c>
      <c r="F2606" s="19" t="n">
        <v>10272.38</v>
      </c>
      <c r="G2606" s="8" t="n">
        <f aca="false">IFERROR(INDEX('TRANS'!$B:$B,MATCH($B2606,'TRANS'!$A:$A,0)),IFERROR(INDEX('TRANS'!$B:$B,MATCH(TRIM(SUBSTITUTE($B2606,CHAR(160)," ")),'TRANS'!$D:$D,0)),IFERROR(INDEX('Catalog'!$A:$A,MATCH($B2606,'Catalog'!$B:$B,0)),IFERROR(INDEX('Catalog'!$A:$A,MATCH(TRIM(SUBSTITUTE($B2606,CHAR(160)," ")),'Catalog'!$C:$C,0)),""))))</f>
        <v>4408208</v>
      </c>
      <c r="H2606" s="8" t="str">
        <f aca="false">IFERROR(INDEX('TRANS'!$C:$C,MATCH($B2606,'TRANS'!$A:$A,0)),IFERROR(INDEX('Catalog'!$B:$B,MATCH($G2606,'Catalog'!$A:$A,0)),$B2606))</f>
        <v>AC91 חבק טניס</v>
      </c>
      <c r="I2606" s="8" t="str">
        <f aca="false">IF($G2606="","Unmatched","Matched")</f>
        <v>Matched</v>
      </c>
      <c r="J2606" s="8" t="n">
        <f aca="false">IF($G2606&lt;&gt;"",$G2606,$B2606)</f>
        <v>4408208</v>
      </c>
      <c r="K2606" s="8" t="str">
        <f aca="false">IF(COUNTIF($M$1:$M$10,$A2606)&gt;0,"Y","N")</f>
        <v>Y</v>
      </c>
    </row>
    <row r="2607" customFormat="false" ht="15" hidden="false" customHeight="true" outlineLevel="0" collapsed="false">
      <c r="A2607" s="8" t="s">
        <v>42</v>
      </c>
      <c r="B2607" s="8" t="s">
        <v>734</v>
      </c>
      <c r="C2607" s="19" t="n">
        <v>46</v>
      </c>
      <c r="D2607" s="19" t="n">
        <v>3244.73</v>
      </c>
      <c r="E2607" s="19" t="n">
        <v>25</v>
      </c>
      <c r="F2607" s="19" t="n">
        <v>1839.94</v>
      </c>
      <c r="G2607" s="8" t="n">
        <f aca="false">IFERROR(INDEX('TRANS'!$B:$B,MATCH($B2607,'TRANS'!$A:$A,0)),IFERROR(INDEX('TRANS'!$B:$B,MATCH(TRIM(SUBSTITUTE($B2607,CHAR(160)," ")),'TRANS'!$D:$D,0)),IFERROR(INDEX('Catalog'!$A:$A,MATCH($B2607,'Catalog'!$B:$B,0)),IFERROR(INDEX('Catalog'!$A:$A,MATCH(TRIM(SUBSTITUTE($B2607,CHAR(160)," ")),'Catalog'!$C:$C,0)),""))))</f>
        <v>4413331</v>
      </c>
      <c r="H2607" s="8" t="str">
        <f aca="false">IFERROR(INDEX('TRANS'!$C:$C,MATCH($B2607,'TRANS'!$A:$A,0)),IFERROR(INDEX('Catalog'!$B:$B,MATCH($G2607,'Catalog'!$A:$A,0)),$B2607))</f>
        <v>AC95 מגן מרפק</v>
      </c>
      <c r="I2607" s="8" t="str">
        <f aca="false">IF($G2607="","Unmatched","Matched")</f>
        <v>Matched</v>
      </c>
      <c r="J2607" s="8" t="n">
        <f aca="false">IF($G2607&lt;&gt;"",$G2607,$B2607)</f>
        <v>4413331</v>
      </c>
      <c r="K2607" s="8" t="str">
        <f aca="false">IF(COUNTIF($M$1:$M$10,$A2607)&gt;0,"Y","N")</f>
        <v>Y</v>
      </c>
    </row>
    <row r="2608" customFormat="false" ht="15" hidden="false" customHeight="true" outlineLevel="0" collapsed="false">
      <c r="A2608" s="8" t="s">
        <v>42</v>
      </c>
      <c r="B2608" s="8" t="s">
        <v>735</v>
      </c>
      <c r="C2608" s="19" t="n">
        <v>22</v>
      </c>
      <c r="D2608" s="19" t="n">
        <v>521.57</v>
      </c>
      <c r="E2608" s="19" t="n">
        <v>33</v>
      </c>
      <c r="F2608" s="19" t="n">
        <v>813.42</v>
      </c>
      <c r="G2608" s="8" t="n">
        <f aca="false">IFERROR(INDEX('TRANS'!$B:$B,MATCH($B2608,'TRANS'!$A:$A,0)),IFERROR(INDEX('TRANS'!$B:$B,MATCH(TRIM(SUBSTITUTE($B2608,CHAR(160)," ")),'TRANS'!$D:$D,0)),IFERROR(INDEX('Catalog'!$A:$A,MATCH($B2608,'Catalog'!$B:$B,0)),IFERROR(INDEX('Catalog'!$A:$A,MATCH(TRIM(SUBSTITUTE($B2608,CHAR(160)," ")),'Catalog'!$C:$C,0)),""))))</f>
        <v>4413149</v>
      </c>
      <c r="H2608" s="8" t="str">
        <f aca="false">IFERROR(INDEX('TRANS'!$C:$C,MATCH($B2608,'TRANS'!$A:$A,0)),IFERROR(INDEX('Catalog'!$B:$B,MATCH($G2608,'Catalog'!$A:$A,0)),$B2608))</f>
        <v>FC321-מלח אמבט לכף הרגל</v>
      </c>
      <c r="I2608" s="8" t="str">
        <f aca="false">IF($G2608="","Unmatched","Matched")</f>
        <v>Matched</v>
      </c>
      <c r="J2608" s="8" t="n">
        <f aca="false">IF($G2608&lt;&gt;"",$G2608,$B2608)</f>
        <v>4413149</v>
      </c>
      <c r="K2608" s="8" t="str">
        <f aca="false">IF(COUNTIF($M$1:$M$10,$A2608)&gt;0,"Y","N")</f>
        <v>Y</v>
      </c>
    </row>
    <row r="2609" customFormat="false" ht="15" hidden="false" customHeight="true" outlineLevel="0" collapsed="false">
      <c r="A2609" s="8" t="s">
        <v>42</v>
      </c>
      <c r="B2609" s="8" t="s">
        <v>736</v>
      </c>
      <c r="C2609" s="19" t="n">
        <v>95</v>
      </c>
      <c r="D2609" s="19" t="n">
        <v>3318.11</v>
      </c>
      <c r="E2609" s="19" t="n">
        <v>115</v>
      </c>
      <c r="F2609" s="19" t="n">
        <v>4112.59</v>
      </c>
      <c r="G2609" s="8" t="n">
        <f aca="false">IFERROR(INDEX('TRANS'!$B:$B,MATCH($B2609,'TRANS'!$A:$A,0)),IFERROR(INDEX('TRANS'!$B:$B,MATCH(TRIM(SUBSTITUTE($B2609,CHAR(160)," ")),'TRANS'!$D:$D,0)),IFERROR(INDEX('Catalog'!$A:$A,MATCH($B2609,'Catalog'!$B:$B,0)),IFERROR(INDEX('Catalog'!$A:$A,MATCH(TRIM(SUBSTITUTE($B2609,CHAR(160)," ")),'Catalog'!$C:$C,0)),""))))</f>
        <v>4422035</v>
      </c>
      <c r="H2609" s="8" t="str">
        <f aca="false">IFERROR(INDEX('TRANS'!$C:$C,MATCH($B2609,'TRANS'!$A:$A,0)),IFERROR(INDEX('Catalog'!$B:$B,MATCH($G2609,'Catalog'!$A:$A,0)),$B2609))</f>
        <v>FCתרסיס דאודורנט אנטיבק.נעל333</v>
      </c>
      <c r="I2609" s="8" t="str">
        <f aca="false">IF($G2609="","Unmatched","Matched")</f>
        <v>Matched</v>
      </c>
      <c r="J2609" s="8" t="n">
        <f aca="false">IF($G2609&lt;&gt;"",$G2609,$B2609)</f>
        <v>4422035</v>
      </c>
      <c r="K2609" s="8" t="str">
        <f aca="false">IF(COUNTIF($M$1:$M$10,$A2609)&gt;0,"Y","N")</f>
        <v>Y</v>
      </c>
    </row>
    <row r="2610" customFormat="false" ht="15" hidden="false" customHeight="true" outlineLevel="0" collapsed="false">
      <c r="A2610" s="8" t="s">
        <v>42</v>
      </c>
      <c r="B2610" s="8" t="s">
        <v>888</v>
      </c>
      <c r="C2610" s="19" t="n">
        <v>37</v>
      </c>
      <c r="D2610" s="19" t="n">
        <v>1488.94</v>
      </c>
      <c r="E2610" s="19" t="n">
        <v>84</v>
      </c>
      <c r="F2610" s="19" t="n">
        <v>3401.31</v>
      </c>
      <c r="G2610" s="8" t="n">
        <f aca="false">IFERROR(INDEX('TRANS'!$B:$B,MATCH($B2610,'TRANS'!$A:$A,0)),IFERROR(INDEX('TRANS'!$B:$B,MATCH(TRIM(SUBSTITUTE($B2610,CHAR(160)," ")),'TRANS'!$D:$D,0)),IFERROR(INDEX('Catalog'!$A:$A,MATCH($B2610,'Catalog'!$B:$B,0)),IFERROR(INDEX('Catalog'!$A:$A,MATCH(TRIM(SUBSTITUTE($B2610,CHAR(160)," ")),'Catalog'!$C:$C,0)),""))))</f>
        <v>4422036</v>
      </c>
      <c r="H2610" s="8" t="str">
        <f aca="false">IFERROR(INDEX('TRANS'!$C:$C,MATCH($B2610,'TRANS'!$A:$A,0)),IFERROR(INDEX('Catalog'!$B:$B,MATCH($G2610,'Catalog'!$A:$A,0)),$B2610))</f>
        <v>FC334  תרסיס דאודורנט לכף הרגל</v>
      </c>
      <c r="I2610" s="8" t="str">
        <f aca="false">IF($G2610="","Unmatched","Matched")</f>
        <v>Matched</v>
      </c>
      <c r="J2610" s="8" t="n">
        <f aca="false">IF($G2610&lt;&gt;"",$G2610,$B2610)</f>
        <v>4422036</v>
      </c>
      <c r="K2610" s="8" t="str">
        <f aca="false">IF(COUNTIF($M$1:$M$10,$A2610)&gt;0,"Y","N")</f>
        <v>Y</v>
      </c>
    </row>
    <row r="2611" customFormat="false" ht="15" hidden="false" customHeight="true" outlineLevel="0" collapsed="false">
      <c r="A2611" s="8" t="s">
        <v>42</v>
      </c>
      <c r="B2611" s="8" t="s">
        <v>737</v>
      </c>
      <c r="C2611" s="19" t="n">
        <v>9</v>
      </c>
      <c r="D2611" s="19" t="n">
        <v>330.54</v>
      </c>
      <c r="E2611" s="19" t="n">
        <v>11</v>
      </c>
      <c r="F2611" s="19" t="n">
        <v>456.73</v>
      </c>
      <c r="G2611" s="8" t="n">
        <f aca="false">IFERROR(INDEX('TRANS'!$B:$B,MATCH($B2611,'TRANS'!$A:$A,0)),IFERROR(INDEX('TRANS'!$B:$B,MATCH(TRIM(SUBSTITUTE($B2611,CHAR(160)," ")),'TRANS'!$D:$D,0)),IFERROR(INDEX('Catalog'!$A:$A,MATCH($B2611,'Catalog'!$B:$B,0)),IFERROR(INDEX('Catalog'!$A:$A,MATCH(TRIM(SUBSTITUTE($B2611,CHAR(160)," ")),'Catalog'!$C:$C,0)),""))))</f>
        <v>4409004</v>
      </c>
      <c r="H2611" s="8" t="str">
        <f aca="false">IFERROR(INDEX('TRANS'!$C:$C,MATCH($B2611,'TRANS'!$A:$A,0)),IFERROR(INDEX('Catalog'!$B:$B,MATCH($G2611,'Catalog'!$A:$A,0)),$B2611))</f>
        <v>FC335 טלק מעושר באלוורה</v>
      </c>
      <c r="I2611" s="8" t="str">
        <f aca="false">IF($G2611="","Unmatched","Matched")</f>
        <v>Matched</v>
      </c>
      <c r="J2611" s="8" t="n">
        <f aca="false">IF($G2611&lt;&gt;"",$G2611,$B2611)</f>
        <v>4409004</v>
      </c>
      <c r="K2611" s="8" t="str">
        <f aca="false">IF(COUNTIF($M$1:$M$10,$A2611)&gt;0,"Y","N")</f>
        <v>Y</v>
      </c>
    </row>
    <row r="2612" customFormat="false" ht="15" hidden="false" customHeight="true" outlineLevel="0" collapsed="false">
      <c r="A2612" s="8" t="s">
        <v>42</v>
      </c>
      <c r="B2612" s="8" t="s">
        <v>738</v>
      </c>
      <c r="C2612" s="19" t="n">
        <v>41</v>
      </c>
      <c r="D2612" s="19" t="n">
        <v>2518.71</v>
      </c>
      <c r="E2612" s="19" t="n">
        <v>57</v>
      </c>
      <c r="F2612" s="19" t="n">
        <v>3604.73</v>
      </c>
      <c r="G2612" s="8" t="n">
        <f aca="false">IFERROR(INDEX('TRANS'!$B:$B,MATCH($B2612,'TRANS'!$A:$A,0)),IFERROR(INDEX('TRANS'!$B:$B,MATCH(TRIM(SUBSTITUTE($B2612,CHAR(160)," ")),'TRANS'!$D:$D,0)),IFERROR(INDEX('Catalog'!$A:$A,MATCH($B2612,'Catalog'!$B:$B,0)),IFERROR(INDEX('Catalog'!$A:$A,MATCH(TRIM(SUBSTITUTE($B2612,CHAR(160)," ")),'Catalog'!$C:$C,0)),""))))</f>
        <v>4414000</v>
      </c>
      <c r="H2612" s="8" t="str">
        <f aca="false">IFERROR(INDEX('TRANS'!$C:$C,MATCH($B2612,'TRANS'!$A:$A,0)),IFERROR(INDEX('Catalog'!$B:$B,MATCH($G2612,'Catalog'!$A:$A,0)),$B2612))</f>
        <v>FC342-נוזל לציפורן חודרנית</v>
      </c>
      <c r="I2612" s="8" t="str">
        <f aca="false">IF($G2612="","Unmatched","Matched")</f>
        <v>Matched</v>
      </c>
      <c r="J2612" s="8" t="n">
        <f aca="false">IF($G2612&lt;&gt;"",$G2612,$B2612)</f>
        <v>4414000</v>
      </c>
      <c r="K2612" s="8" t="str">
        <f aca="false">IF(COUNTIF($M$1:$M$10,$A2612)&gt;0,"Y","N")</f>
        <v>Y</v>
      </c>
    </row>
    <row r="2613" customFormat="false" ht="15" hidden="false" customHeight="true" outlineLevel="0" collapsed="false">
      <c r="A2613" s="8" t="s">
        <v>42</v>
      </c>
      <c r="B2613" s="8" t="s">
        <v>66</v>
      </c>
      <c r="C2613" s="19" t="n">
        <v>22</v>
      </c>
      <c r="D2613" s="19" t="n">
        <v>2430.05</v>
      </c>
      <c r="E2613" s="19" t="n">
        <v>59</v>
      </c>
      <c r="F2613" s="19" t="n">
        <v>4725.26</v>
      </c>
      <c r="G2613" s="8" t="str">
        <f aca="false">IFERROR(INDEX('TRANS'!$B:$B,MATCH($B2613,'TRANS'!$A:$A,0)),IFERROR(INDEX('TRANS'!$B:$B,MATCH(TRIM(SUBSTITUTE($B2613,CHAR(160)," ")),'TRANS'!$D:$D,0)),IFERROR(INDEX('Catalog'!$A:$A,MATCH($B2613,'Catalog'!$B:$B,0)),IFERROR(INDEX('Catalog'!$A:$A,MATCH(TRIM(SUBSTITUTE($B2613,CHAR(160)," ")),'Catalog'!$C:$C,0)),""))))</f>
        <v/>
      </c>
      <c r="H2613" s="8" t="str">
        <f aca="false">IFERROR(INDEX('TRANS'!$C:$C,MATCH($B2613,'TRANS'!$A:$A,0)),IFERROR(INDEX('Catalog'!$B:$B,MATCH($G2613,'Catalog'!$A:$A,0)),$B2613))</f>
        <v>FC3422 0</v>
      </c>
      <c r="I2613" s="8" t="str">
        <f aca="false">IF($G2613="","Unmatched","Matched")</f>
        <v>Unmatched</v>
      </c>
      <c r="J2613" s="8" t="str">
        <f aca="false">IF($G2613&lt;&gt;"",$G2613,$B2613)</f>
        <v>FC3422 0</v>
      </c>
      <c r="K2613" s="8" t="str">
        <f aca="false">IF(COUNTIF($M$1:$M$10,$A2613)&gt;0,"Y","N")</f>
        <v>Y</v>
      </c>
    </row>
    <row r="2614" customFormat="false" ht="15" hidden="false" customHeight="true" outlineLevel="0" collapsed="false">
      <c r="A2614" s="8" t="s">
        <v>42</v>
      </c>
      <c r="B2614" s="8" t="s">
        <v>50</v>
      </c>
      <c r="C2614" s="19" t="n">
        <v>1349</v>
      </c>
      <c r="D2614" s="19" t="n">
        <v>13.45</v>
      </c>
      <c r="E2614" s="19" t="n">
        <v>1765</v>
      </c>
      <c r="F2614" s="19" t="n">
        <v>-4708.48</v>
      </c>
      <c r="G2614" s="8" t="str">
        <f aca="false">IFERROR(INDEX('TRANS'!$B:$B,MATCH($B2614,'TRANS'!$A:$A,0)),IFERROR(INDEX('TRANS'!$B:$B,MATCH(TRIM(SUBSTITUTE($B2614,CHAR(160)," ")),'TRANS'!$D:$D,0)),IFERROR(INDEX('Catalog'!$A:$A,MATCH($B2614,'Catalog'!$B:$B,0)),IFERROR(INDEX('Catalog'!$A:$A,MATCH(TRIM(SUBSTITUTE($B2614,CHAR(160)," ")),'Catalog'!$C:$C,0)),""))))</f>
        <v/>
      </c>
      <c r="H2614" s="8" t="str">
        <f aca="false">IFERROR(INDEX('TRANS'!$C:$C,MATCH($B2614,'TRANS'!$A:$A,0)),IFERROR(INDEX('Catalog'!$B:$B,MATCH($G2614,'Catalog'!$A:$A,0)),$B2614))</f>
        <v>M92</v>
      </c>
      <c r="I2614" s="8" t="str">
        <f aca="false">IF($G2614="","Unmatched","Matched")</f>
        <v>Unmatched</v>
      </c>
      <c r="J2614" s="8" t="str">
        <f aca="false">IF($G2614&lt;&gt;"",$G2614,$B2614)</f>
        <v>M92</v>
      </c>
      <c r="K2614" s="8" t="str">
        <f aca="false">IF(COUNTIF($M$1:$M$10,$A2614)&gt;0,"Y","N")</f>
        <v>Y</v>
      </c>
    </row>
    <row r="2615" customFormat="false" ht="15" hidden="false" customHeight="true" outlineLevel="0" collapsed="false">
      <c r="A2615" s="8" t="s">
        <v>42</v>
      </c>
      <c r="B2615" s="8" t="s">
        <v>57</v>
      </c>
      <c r="C2615" s="19" t="n">
        <v>6</v>
      </c>
      <c r="D2615" s="19" t="n">
        <v>152.52</v>
      </c>
      <c r="E2615" s="19" t="n">
        <v>-1</v>
      </c>
      <c r="F2615" s="19" t="n">
        <v>-25.42</v>
      </c>
      <c r="G2615" s="8" t="str">
        <f aca="false">IFERROR(INDEX('TRANS'!$B:$B,MATCH($B2615,'TRANS'!$A:$A,0)),IFERROR(INDEX('TRANS'!$B:$B,MATCH(TRIM(SUBSTITUTE($B2615,CHAR(160)," ")),'TRANS'!$D:$D,0)),IFERROR(INDEX('Catalog'!$A:$A,MATCH($B2615,'Catalog'!$B:$B,0)),IFERROR(INDEX('Catalog'!$A:$A,MATCH(TRIM(SUBSTITUTE($B2615,CHAR(160)," ")),'Catalog'!$C:$C,0)),""))))</f>
        <v/>
      </c>
      <c r="H2615" s="8" t="str">
        <f aca="false">IFERROR(INDEX('TRANS'!$C:$C,MATCH($B2615,'TRANS'!$A:$A,0)),IFERROR(INDEX('Catalog'!$B:$B,MATCH($G2615,'Catalog'!$A:$A,0)),$B2615))</f>
        <v>M93</v>
      </c>
      <c r="I2615" s="8" t="str">
        <f aca="false">IF($G2615="","Unmatched","Matched")</f>
        <v>Unmatched</v>
      </c>
      <c r="J2615" s="8" t="str">
        <f aca="false">IF($G2615&lt;&gt;"",$G2615,$B2615)</f>
        <v>M93</v>
      </c>
      <c r="K2615" s="8" t="str">
        <f aca="false">IF(COUNTIF($M$1:$M$10,$A2615)&gt;0,"Y","N")</f>
        <v>Y</v>
      </c>
    </row>
    <row r="2616" customFormat="false" ht="15" hidden="false" customHeight="true" outlineLevel="0" collapsed="false">
      <c r="A2616" s="8" t="s">
        <v>42</v>
      </c>
      <c r="B2616" s="8" t="s">
        <v>51</v>
      </c>
      <c r="C2616" s="19" t="n">
        <v>1942</v>
      </c>
      <c r="D2616" s="19" t="n">
        <v>82126.22</v>
      </c>
      <c r="E2616" s="19" t="n">
        <v>1329</v>
      </c>
      <c r="F2616" s="19" t="n">
        <v>54328.93</v>
      </c>
      <c r="G2616" s="8" t="str">
        <f aca="false">IFERROR(INDEX('TRANS'!$B:$B,MATCH($B2616,'TRANS'!$A:$A,0)),IFERROR(INDEX('TRANS'!$B:$B,MATCH(TRIM(SUBSTITUTE($B2616,CHAR(160)," ")),'TRANS'!$D:$D,0)),IFERROR(INDEX('Catalog'!$A:$A,MATCH($B2616,'Catalog'!$B:$B,0)),IFERROR(INDEX('Catalog'!$A:$A,MATCH(TRIM(SUBSTITUTE($B2616,CHAR(160)," ")),'Catalog'!$C:$C,0)),""))))</f>
        <v/>
      </c>
      <c r="H2616" s="8" t="str">
        <f aca="false">IFERROR(INDEX('TRANS'!$C:$C,MATCH($B2616,'TRANS'!$A:$A,0)),IFERROR(INDEX('Catalog'!$B:$B,MATCH($G2616,'Catalog'!$A:$A,0)),$B2616))</f>
        <v>M94</v>
      </c>
      <c r="I2616" s="8" t="str">
        <f aca="false">IF($G2616="","Unmatched","Matched")</f>
        <v>Unmatched</v>
      </c>
      <c r="J2616" s="8" t="str">
        <f aca="false">IF($G2616&lt;&gt;"",$G2616,$B2616)</f>
        <v>M94</v>
      </c>
      <c r="K2616" s="8" t="str">
        <f aca="false">IF(COUNTIF($M$1:$M$10,$A2616)&gt;0,"Y","N")</f>
        <v>Y</v>
      </c>
    </row>
    <row r="2617" customFormat="false" ht="15" hidden="false" customHeight="true" outlineLevel="0" collapsed="false">
      <c r="A2617" s="8" t="s">
        <v>42</v>
      </c>
      <c r="B2617" s="8" t="s">
        <v>47</v>
      </c>
      <c r="C2617" s="19" t="n">
        <v>4978</v>
      </c>
      <c r="D2617" s="19" t="n">
        <v>83925.83</v>
      </c>
      <c r="E2617" s="19" t="n">
        <v>3342</v>
      </c>
      <c r="F2617" s="19" t="n">
        <v>51232.76</v>
      </c>
      <c r="G2617" s="8" t="str">
        <f aca="false">IFERROR(INDEX('TRANS'!$B:$B,MATCH($B2617,'TRANS'!$A:$A,0)),IFERROR(INDEX('TRANS'!$B:$B,MATCH(TRIM(SUBSTITUTE($B2617,CHAR(160)," ")),'TRANS'!$D:$D,0)),IFERROR(INDEX('Catalog'!$A:$A,MATCH($B2617,'Catalog'!$B:$B,0)),IFERROR(INDEX('Catalog'!$A:$A,MATCH(TRIM(SUBSTITUTE($B2617,CHAR(160)," ")),'Catalog'!$C:$C,0)),""))))</f>
        <v/>
      </c>
      <c r="H2617" s="8" t="str">
        <f aca="false">IFERROR(INDEX('TRANS'!$C:$C,MATCH($B2617,'TRANS'!$A:$A,0)),IFERROR(INDEX('Catalog'!$B:$B,MATCH($G2617,'Catalog'!$A:$A,0)),$B2617))</f>
        <v>M95</v>
      </c>
      <c r="I2617" s="8" t="str">
        <f aca="false">IF($G2617="","Unmatched","Matched")</f>
        <v>Unmatched</v>
      </c>
      <c r="J2617" s="8" t="str">
        <f aca="false">IF($G2617&lt;&gt;"",$G2617,$B2617)</f>
        <v>M95</v>
      </c>
      <c r="K2617" s="8" t="str">
        <f aca="false">IF(COUNTIF($M$1:$M$10,$A2617)&gt;0,"Y","N")</f>
        <v>Y</v>
      </c>
    </row>
    <row r="2618" customFormat="false" ht="15" hidden="false" customHeight="true" outlineLevel="0" collapsed="false">
      <c r="A2618" s="8" t="s">
        <v>42</v>
      </c>
      <c r="B2618" s="8" t="s">
        <v>71</v>
      </c>
      <c r="C2618" s="19" t="n">
        <v>0</v>
      </c>
      <c r="D2618" s="19" t="n">
        <v>0</v>
      </c>
      <c r="E2618" s="19" t="n">
        <v>25</v>
      </c>
      <c r="F2618" s="19" t="n">
        <v>23150.68</v>
      </c>
      <c r="G2618" s="8" t="str">
        <f aca="false">IFERROR(INDEX('TRANS'!$B:$B,MATCH($B2618,'TRANS'!$A:$A,0)),IFERROR(INDEX('TRANS'!$B:$B,MATCH(TRIM(SUBSTITUTE($B2618,CHAR(160)," ")),'TRANS'!$D:$D,0)),IFERROR(INDEX('Catalog'!$A:$A,MATCH($B2618,'Catalog'!$B:$B,0)),IFERROR(INDEX('Catalog'!$A:$A,MATCH(TRIM(SUBSTITUTE($B2618,CHAR(160)," ")),'Catalog'!$C:$C,0)),""))))</f>
        <v/>
      </c>
      <c r="H2618" s="8" t="str">
        <f aca="false">IFERROR(INDEX('TRANS'!$C:$C,MATCH($B2618,'TRANS'!$A:$A,0)),IFERROR(INDEX('Catalog'!$B:$B,MATCH($G2618,'Catalog'!$A:$A,0)),$B2618))</f>
        <v>MSG001FB 0</v>
      </c>
      <c r="I2618" s="8" t="str">
        <f aca="false">IF($G2618="","Unmatched","Matched")</f>
        <v>Unmatched</v>
      </c>
      <c r="J2618" s="8" t="str">
        <f aca="false">IF($G2618&lt;&gt;"",$G2618,$B2618)</f>
        <v>MSG001FB 0</v>
      </c>
      <c r="K2618" s="8" t="str">
        <f aca="false">IF(COUNTIF($M$1:$M$10,$A2618)&gt;0,"Y","N")</f>
        <v>Y</v>
      </c>
    </row>
    <row r="2619" customFormat="false" ht="15" hidden="false" customHeight="true" outlineLevel="0" collapsed="false">
      <c r="A2619" s="8" t="s">
        <v>42</v>
      </c>
      <c r="B2619" s="8" t="s">
        <v>117</v>
      </c>
      <c r="C2619" s="19" t="n">
        <v>0</v>
      </c>
      <c r="D2619" s="19" t="n">
        <v>0</v>
      </c>
      <c r="E2619" s="19" t="n">
        <v>12</v>
      </c>
      <c r="F2619" s="19" t="n">
        <v>11151.68</v>
      </c>
      <c r="G2619" s="8" t="str">
        <f aca="false">IFERROR(INDEX('TRANS'!$B:$B,MATCH($B2619,'TRANS'!$A:$A,0)),IFERROR(INDEX('TRANS'!$B:$B,MATCH(TRIM(SUBSTITUTE($B2619,CHAR(160)," ")),'TRANS'!$D:$D,0)),IFERROR(INDEX('Catalog'!$A:$A,MATCH($B2619,'Catalog'!$B:$B,0)),IFERROR(INDEX('Catalog'!$A:$A,MATCH(TRIM(SUBSTITUTE($B2619,CHAR(160)," ")),'Catalog'!$C:$C,0)),""))))</f>
        <v/>
      </c>
      <c r="H2619" s="8" t="str">
        <f aca="false">IFERROR(INDEX('TRANS'!$C:$C,MATCH($B2619,'TRANS'!$A:$A,0)),IFERROR(INDEX('Catalog'!$B:$B,MATCH($G2619,'Catalog'!$A:$A,0)),$B2619))</f>
        <v>MSG001FC</v>
      </c>
      <c r="I2619" s="8" t="str">
        <f aca="false">IF($G2619="","Unmatched","Matched")</f>
        <v>Unmatched</v>
      </c>
      <c r="J2619" s="8" t="str">
        <f aca="false">IF($G2619&lt;&gt;"",$G2619,$B2619)</f>
        <v>MSG001FC</v>
      </c>
      <c r="K2619" s="8" t="str">
        <f aca="false">IF(COUNTIF($M$1:$M$10,$A2619)&gt;0,"Y","N")</f>
        <v>Y</v>
      </c>
    </row>
    <row r="2620" customFormat="false" ht="15" hidden="false" customHeight="true" outlineLevel="0" collapsed="false">
      <c r="A2620" s="8" t="s">
        <v>42</v>
      </c>
      <c r="B2620" s="8" t="s">
        <v>76</v>
      </c>
      <c r="C2620" s="19" t="n">
        <v>0</v>
      </c>
      <c r="D2620" s="19" t="n">
        <v>0</v>
      </c>
      <c r="E2620" s="19" t="n">
        <v>18</v>
      </c>
      <c r="F2620" s="19" t="n">
        <v>16626.44</v>
      </c>
      <c r="G2620" s="8" t="str">
        <f aca="false">IFERROR(INDEX('TRANS'!$B:$B,MATCH($B2620,'TRANS'!$A:$A,0)),IFERROR(INDEX('TRANS'!$B:$B,MATCH(TRIM(SUBSTITUTE($B2620,CHAR(160)," ")),'TRANS'!$D:$D,0)),IFERROR(INDEX('Catalog'!$A:$A,MATCH($B2620,'Catalog'!$B:$B,0)),IFERROR(INDEX('Catalog'!$A:$A,MATCH(TRIM(SUBSTITUTE($B2620,CHAR(160)," ")),'Catalog'!$C:$C,0)),""))))</f>
        <v/>
      </c>
      <c r="H2620" s="8" t="str">
        <f aca="false">IFERROR(INDEX('TRANS'!$C:$C,MATCH($B2620,'TRANS'!$A:$A,0)),IFERROR(INDEX('Catalog'!$B:$B,MATCH($G2620,'Catalog'!$A:$A,0)),$B2620))</f>
        <v>MSG002S 0</v>
      </c>
      <c r="I2620" s="8" t="str">
        <f aca="false">IF($G2620="","Unmatched","Matched")</f>
        <v>Unmatched</v>
      </c>
      <c r="J2620" s="8" t="str">
        <f aca="false">IF($G2620&lt;&gt;"",$G2620,$B2620)</f>
        <v>MSG002S 0</v>
      </c>
      <c r="K2620" s="8" t="str">
        <f aca="false">IF(COUNTIF($M$1:$M$10,$A2620)&gt;0,"Y","N")</f>
        <v>Y</v>
      </c>
    </row>
    <row r="2621" customFormat="false" ht="15" hidden="false" customHeight="true" outlineLevel="0" collapsed="false">
      <c r="A2621" s="8" t="s">
        <v>42</v>
      </c>
      <c r="B2621" s="8" t="s">
        <v>103</v>
      </c>
      <c r="C2621" s="19" t="n">
        <v>0</v>
      </c>
      <c r="D2621" s="19" t="n">
        <v>0</v>
      </c>
      <c r="E2621" s="19" t="n">
        <v>18</v>
      </c>
      <c r="F2621" s="19" t="n">
        <v>193.02</v>
      </c>
      <c r="G2621" s="8" t="str">
        <f aca="false">IFERROR(INDEX('TRANS'!$B:$B,MATCH($B2621,'TRANS'!$A:$A,0)),IFERROR(INDEX('TRANS'!$B:$B,MATCH(TRIM(SUBSTITUTE($B2621,CHAR(160)," ")),'TRANS'!$D:$D,0)),IFERROR(INDEX('Catalog'!$A:$A,MATCH($B2621,'Catalog'!$B:$B,0)),IFERROR(INDEX('Catalog'!$A:$A,MATCH(TRIM(SUBSTITUTE($B2621,CHAR(160)," ")),'Catalog'!$C:$C,0)),""))))</f>
        <v/>
      </c>
      <c r="H2621" s="8" t="str">
        <f aca="false">IFERROR(INDEX('TRANS'!$C:$C,MATCH($B2621,'TRANS'!$A:$A,0)),IFERROR(INDEX('Catalog'!$B:$B,MATCH($G2621,'Catalog'!$A:$A,0)),$B2621))</f>
        <v>VMFPCB30 0</v>
      </c>
      <c r="I2621" s="8" t="str">
        <f aca="false">IF($G2621="","Unmatched","Matched")</f>
        <v>Unmatched</v>
      </c>
      <c r="J2621" s="8" t="str">
        <f aca="false">IF($G2621&lt;&gt;"",$G2621,$B2621)</f>
        <v>VMFPCB30 0</v>
      </c>
      <c r="K2621" s="8" t="str">
        <f aca="false">IF(COUNTIF($M$1:$M$10,$A2621)&gt;0,"Y","N")</f>
        <v>Y</v>
      </c>
    </row>
    <row r="2622" customFormat="false" ht="15" hidden="false" customHeight="true" outlineLevel="0" collapsed="false">
      <c r="A2622" s="8" t="s">
        <v>42</v>
      </c>
      <c r="B2622" s="8" t="s">
        <v>306</v>
      </c>
      <c r="C2622" s="19" t="n">
        <v>0</v>
      </c>
      <c r="D2622" s="19" t="n">
        <v>0</v>
      </c>
      <c r="E2622" s="19" t="n">
        <v>2</v>
      </c>
      <c r="F2622" s="19" t="n">
        <v>60.94</v>
      </c>
      <c r="G2622" s="8" t="str">
        <f aca="false">IFERROR(INDEX('TRANS'!$B:$B,MATCH($B2622,'TRANS'!$A:$A,0)),IFERROR(INDEX('TRANS'!$B:$B,MATCH(TRIM(SUBSTITUTE($B2622,CHAR(160)," ")),'TRANS'!$D:$D,0)),IFERROR(INDEX('Catalog'!$A:$A,MATCH($B2622,'Catalog'!$B:$B,0)),IFERROR(INDEX('Catalog'!$A:$A,MATCH(TRIM(SUBSTITUTE($B2622,CHAR(160)," ")),'Catalog'!$C:$C,0)),""))))</f>
        <v/>
      </c>
      <c r="H2622" s="8" t="str">
        <f aca="false">IFERROR(INDEX('TRANS'!$C:$C,MATCH($B2622,'TRANS'!$A:$A,0)),IFERROR(INDEX('Catalog'!$B:$B,MATCH($G2622,'Catalog'!$A:$A,0)),$B2622))</f>
        <v>VMFPCB31 0</v>
      </c>
      <c r="I2622" s="8" t="str">
        <f aca="false">IF($G2622="","Unmatched","Matched")</f>
        <v>Unmatched</v>
      </c>
      <c r="J2622" s="8" t="str">
        <f aca="false">IF($G2622&lt;&gt;"",$G2622,$B2622)</f>
        <v>VMFPCB31 0</v>
      </c>
      <c r="K2622" s="8" t="str">
        <f aca="false">IF(COUNTIF($M$1:$M$10,$A2622)&gt;0,"Y","N")</f>
        <v>Y</v>
      </c>
    </row>
    <row r="2623" customFormat="false" ht="15" hidden="false" customHeight="true" outlineLevel="0" collapsed="false">
      <c r="A2623" s="8" t="s">
        <v>42</v>
      </c>
      <c r="B2623" s="8" t="s">
        <v>307</v>
      </c>
      <c r="C2623" s="19" t="n">
        <v>0</v>
      </c>
      <c r="D2623" s="19" t="n">
        <v>0</v>
      </c>
      <c r="E2623" s="19" t="n">
        <v>2</v>
      </c>
      <c r="F2623" s="19" t="n">
        <v>57.56</v>
      </c>
      <c r="G2623" s="8" t="str">
        <f aca="false">IFERROR(INDEX('TRANS'!$B:$B,MATCH($B2623,'TRANS'!$A:$A,0)),IFERROR(INDEX('TRANS'!$B:$B,MATCH(TRIM(SUBSTITUTE($B2623,CHAR(160)," ")),'TRANS'!$D:$D,0)),IFERROR(INDEX('Catalog'!$A:$A,MATCH($B2623,'Catalog'!$B:$B,0)),IFERROR(INDEX('Catalog'!$A:$A,MATCH(TRIM(SUBSTITUTE($B2623,CHAR(160)," ")),'Catalog'!$C:$C,0)),""))))</f>
        <v/>
      </c>
      <c r="H2623" s="8" t="str">
        <f aca="false">IFERROR(INDEX('TRANS'!$C:$C,MATCH($B2623,'TRANS'!$A:$A,0)),IFERROR(INDEX('Catalog'!$B:$B,MATCH($G2623,'Catalog'!$A:$A,0)),$B2623))</f>
        <v>VMFPCG34 0</v>
      </c>
      <c r="I2623" s="8" t="str">
        <f aca="false">IF($G2623="","Unmatched","Matched")</f>
        <v>Unmatched</v>
      </c>
      <c r="J2623" s="8" t="str">
        <f aca="false">IF($G2623&lt;&gt;"",$G2623,$B2623)</f>
        <v>VMFPCG34 0</v>
      </c>
      <c r="K2623" s="8" t="str">
        <f aca="false">IF(COUNTIF($M$1:$M$10,$A2623)&gt;0,"Y","N")</f>
        <v>Y</v>
      </c>
    </row>
    <row r="2624" customFormat="false" ht="15" hidden="false" customHeight="true" outlineLevel="0" collapsed="false">
      <c r="A2624" s="8" t="s">
        <v>42</v>
      </c>
      <c r="B2624" s="8" t="s">
        <v>259</v>
      </c>
      <c r="C2624" s="19" t="n">
        <v>0</v>
      </c>
      <c r="D2624" s="19" t="n">
        <v>0</v>
      </c>
      <c r="E2624" s="19" t="n">
        <v>3</v>
      </c>
      <c r="F2624" s="19" t="n">
        <v>182.84</v>
      </c>
      <c r="G2624" s="8" t="str">
        <f aca="false">IFERROR(INDEX('TRANS'!$B:$B,MATCH($B2624,'TRANS'!$A:$A,0)),IFERROR(INDEX('TRANS'!$B:$B,MATCH(TRIM(SUBSTITUTE($B2624,CHAR(160)," ")),'TRANS'!$D:$D,0)),IFERROR(INDEX('Catalog'!$A:$A,MATCH($B2624,'Catalog'!$B:$B,0)),IFERROR(INDEX('Catalog'!$A:$A,MATCH(TRIM(SUBSTITUTE($B2624,CHAR(160)," ")),'Catalog'!$C:$C,0)),""))))</f>
        <v/>
      </c>
      <c r="H2624" s="8" t="str">
        <f aca="false">IFERROR(INDEX('TRANS'!$C:$C,MATCH($B2624,'TRANS'!$A:$A,0)),IFERROR(INDEX('Catalog'!$B:$B,MATCH($G2624,'Catalog'!$A:$A,0)),$B2624))</f>
        <v>VMFPCN32 0</v>
      </c>
      <c r="I2624" s="8" t="str">
        <f aca="false">IF($G2624="","Unmatched","Matched")</f>
        <v>Unmatched</v>
      </c>
      <c r="J2624" s="8" t="str">
        <f aca="false">IF($G2624&lt;&gt;"",$G2624,$B2624)</f>
        <v>VMFPCN32 0</v>
      </c>
      <c r="K2624" s="8" t="str">
        <f aca="false">IF(COUNTIF($M$1:$M$10,$A2624)&gt;0,"Y","N")</f>
        <v>Y</v>
      </c>
    </row>
    <row r="2625" customFormat="false" ht="15" hidden="false" customHeight="true" outlineLevel="0" collapsed="false">
      <c r="A2625" s="8" t="s">
        <v>42</v>
      </c>
      <c r="B2625" s="8" t="s">
        <v>381</v>
      </c>
      <c r="C2625" s="19" t="n">
        <v>0</v>
      </c>
      <c r="D2625" s="19" t="n">
        <v>0</v>
      </c>
      <c r="E2625" s="19" t="n">
        <v>1</v>
      </c>
      <c r="F2625" s="19" t="n">
        <v>67.72</v>
      </c>
      <c r="G2625" s="8" t="str">
        <f aca="false">IFERROR(INDEX('TRANS'!$B:$B,MATCH($B2625,'TRANS'!$A:$A,0)),IFERROR(INDEX('TRANS'!$B:$B,MATCH(TRIM(SUBSTITUTE($B2625,CHAR(160)," ")),'TRANS'!$D:$D,0)),IFERROR(INDEX('Catalog'!$A:$A,MATCH($B2625,'Catalog'!$B:$B,0)),IFERROR(INDEX('Catalog'!$A:$A,MATCH(TRIM(SUBSTITUTE($B2625,CHAR(160)," ")),'Catalog'!$C:$C,0)),""))))</f>
        <v/>
      </c>
      <c r="H2625" s="8" t="str">
        <f aca="false">IFERROR(INDEX('TRANS'!$C:$C,MATCH($B2625,'TRANS'!$A:$A,0)),IFERROR(INDEX('Catalog'!$B:$B,MATCH($G2625,'Catalog'!$A:$A,0)),$B2625))</f>
        <v>VMFPCW33 0</v>
      </c>
      <c r="I2625" s="8" t="str">
        <f aca="false">IF($G2625="","Unmatched","Matched")</f>
        <v>Unmatched</v>
      </c>
      <c r="J2625" s="8" t="str">
        <f aca="false">IF($G2625&lt;&gt;"",$G2625,$B2625)</f>
        <v>VMFPCW33 0</v>
      </c>
      <c r="K2625" s="8" t="str">
        <f aca="false">IF(COUNTIF($M$1:$M$10,$A2625)&gt;0,"Y","N")</f>
        <v>Y</v>
      </c>
    </row>
    <row r="2626" customFormat="false" ht="15" hidden="false" customHeight="true" outlineLevel="0" collapsed="false">
      <c r="A2626" s="8" t="s">
        <v>42</v>
      </c>
      <c r="B2626" s="8" t="s">
        <v>184</v>
      </c>
      <c r="C2626" s="19" t="n">
        <v>0</v>
      </c>
      <c r="D2626" s="19" t="n">
        <v>0</v>
      </c>
      <c r="E2626" s="19" t="n">
        <v>6</v>
      </c>
      <c r="F2626" s="19" t="n">
        <v>121.91</v>
      </c>
      <c r="G2626" s="8" t="str">
        <f aca="false">IFERROR(INDEX('TRANS'!$B:$B,MATCH($B2626,'TRANS'!$A:$A,0)),IFERROR(INDEX('TRANS'!$B:$B,MATCH(TRIM(SUBSTITUTE($B2626,CHAR(160)," ")),'TRANS'!$D:$D,0)),IFERROR(INDEX('Catalog'!$A:$A,MATCH($B2626,'Catalog'!$B:$B,0)),IFERROR(INDEX('Catalog'!$A:$A,MATCH(TRIM(SUBSTITUTE($B2626,CHAR(160)," ")),'Catalog'!$C:$C,0)),""))))</f>
        <v/>
      </c>
      <c r="H2626" s="8" t="str">
        <f aca="false">IFERROR(INDEX('TRANS'!$C:$C,MATCH($B2626,'TRANS'!$A:$A,0)),IFERROR(INDEX('Catalog'!$B:$B,MATCH($G2626,'Catalog'!$A:$A,0)),$B2626))</f>
        <v>VMSPCC52 0</v>
      </c>
      <c r="I2626" s="8" t="str">
        <f aca="false">IF($G2626="","Unmatched","Matched")</f>
        <v>Unmatched</v>
      </c>
      <c r="J2626" s="8" t="str">
        <f aca="false">IF($G2626&lt;&gt;"",$G2626,$B2626)</f>
        <v>VMSPCC52 0</v>
      </c>
      <c r="K2626" s="8" t="str">
        <f aca="false">IF(COUNTIF($M$1:$M$10,$A2626)&gt;0,"Y","N")</f>
        <v>Y</v>
      </c>
    </row>
    <row r="2627" customFormat="false" ht="15" hidden="false" customHeight="true" outlineLevel="0" collapsed="false">
      <c r="A2627" s="8" t="s">
        <v>42</v>
      </c>
      <c r="B2627" s="8" t="s">
        <v>382</v>
      </c>
      <c r="C2627" s="19" t="n">
        <v>0</v>
      </c>
      <c r="D2627" s="19" t="n">
        <v>0</v>
      </c>
      <c r="E2627" s="19" t="n">
        <v>1</v>
      </c>
      <c r="F2627" s="19" t="n">
        <v>0.01</v>
      </c>
      <c r="G2627" s="8" t="str">
        <f aca="false">IFERROR(INDEX('TRANS'!$B:$B,MATCH($B2627,'TRANS'!$A:$A,0)),IFERROR(INDEX('TRANS'!$B:$B,MATCH(TRIM(SUBSTITUTE($B2627,CHAR(160)," ")),'TRANS'!$D:$D,0)),IFERROR(INDEX('Catalog'!$A:$A,MATCH($B2627,'Catalog'!$B:$B,0)),IFERROR(INDEX('Catalog'!$A:$A,MATCH(TRIM(SUBSTITUTE($B2627,CHAR(160)," ")),'Catalog'!$C:$C,0)),""))))</f>
        <v/>
      </c>
      <c r="H2627" s="8" t="str">
        <f aca="false">IFERROR(INDEX('TRANS'!$C:$C,MATCH($B2627,'TRANS'!$A:$A,0)),IFERROR(INDEX('Catalog'!$B:$B,MATCH($G2627,'Catalog'!$A:$A,0)),$B2627))</f>
        <v>VMSPCL46 0</v>
      </c>
      <c r="I2627" s="8" t="str">
        <f aca="false">IF($G2627="","Unmatched","Matched")</f>
        <v>Unmatched</v>
      </c>
      <c r="J2627" s="8" t="str">
        <f aca="false">IF($G2627&lt;&gt;"",$G2627,$B2627)</f>
        <v>VMSPCL46 0</v>
      </c>
      <c r="K2627" s="8" t="str">
        <f aca="false">IF(COUNTIF($M$1:$M$10,$A2627)&gt;0,"Y","N")</f>
        <v>Y</v>
      </c>
    </row>
    <row r="2628" customFormat="false" ht="15" hidden="false" customHeight="true" outlineLevel="0" collapsed="false">
      <c r="A2628" s="8" t="s">
        <v>42</v>
      </c>
      <c r="B2628" s="8" t="s">
        <v>308</v>
      </c>
      <c r="C2628" s="19" t="n">
        <v>0</v>
      </c>
      <c r="D2628" s="19" t="n">
        <v>0</v>
      </c>
      <c r="E2628" s="19" t="n">
        <v>2</v>
      </c>
      <c r="F2628" s="19" t="n">
        <v>60.96</v>
      </c>
      <c r="G2628" s="8" t="str">
        <f aca="false">IFERROR(INDEX('TRANS'!$B:$B,MATCH($B2628,'TRANS'!$A:$A,0)),IFERROR(INDEX('TRANS'!$B:$B,MATCH(TRIM(SUBSTITUTE($B2628,CHAR(160)," ")),'TRANS'!$D:$D,0)),IFERROR(INDEX('Catalog'!$A:$A,MATCH($B2628,'Catalog'!$B:$B,0)),IFERROR(INDEX('Catalog'!$A:$A,MATCH(TRIM(SUBSTITUTE($B2628,CHAR(160)," ")),'Catalog'!$C:$C,0)),""))))</f>
        <v/>
      </c>
      <c r="H2628" s="8" t="str">
        <f aca="false">IFERROR(INDEX('TRANS'!$C:$C,MATCH($B2628,'TRANS'!$A:$A,0)),IFERROR(INDEX('Catalog'!$B:$B,MATCH($G2628,'Catalog'!$A:$A,0)),$B2628))</f>
        <v>VMSPCL55 0</v>
      </c>
      <c r="I2628" s="8" t="str">
        <f aca="false">IF($G2628="","Unmatched","Matched")</f>
        <v>Unmatched</v>
      </c>
      <c r="J2628" s="8" t="str">
        <f aca="false">IF($G2628&lt;&gt;"",$G2628,$B2628)</f>
        <v>VMSPCL55 0</v>
      </c>
      <c r="K2628" s="8" t="str">
        <f aca="false">IF(COUNTIF($M$1:$M$10,$A2628)&gt;0,"Y","N")</f>
        <v>Y</v>
      </c>
    </row>
    <row r="2629" customFormat="false" ht="15" hidden="false" customHeight="true" outlineLevel="0" collapsed="false">
      <c r="A2629" s="8" t="s">
        <v>42</v>
      </c>
      <c r="B2629" s="8" t="s">
        <v>383</v>
      </c>
      <c r="C2629" s="19" t="n">
        <v>0</v>
      </c>
      <c r="D2629" s="19" t="n">
        <v>0</v>
      </c>
      <c r="E2629" s="19" t="n">
        <v>1</v>
      </c>
      <c r="F2629" s="19" t="n">
        <v>0</v>
      </c>
      <c r="G2629" s="8" t="str">
        <f aca="false">IFERROR(INDEX('TRANS'!$B:$B,MATCH($B2629,'TRANS'!$A:$A,0)),IFERROR(INDEX('TRANS'!$B:$B,MATCH(TRIM(SUBSTITUTE($B2629,CHAR(160)," ")),'TRANS'!$D:$D,0)),IFERROR(INDEX('Catalog'!$A:$A,MATCH($B2629,'Catalog'!$B:$B,0)),IFERROR(INDEX('Catalog'!$A:$A,MATCH(TRIM(SUBSTITUTE($B2629,CHAR(160)," ")),'Catalog'!$C:$C,0)),""))))</f>
        <v/>
      </c>
      <c r="H2629" s="8" t="str">
        <f aca="false">IFERROR(INDEX('TRANS'!$C:$C,MATCH($B2629,'TRANS'!$A:$A,0)),IFERROR(INDEX('Catalog'!$B:$B,MATCH($G2629,'Catalog'!$A:$A,0)),$B2629))</f>
        <v>VMSPCN51 0</v>
      </c>
      <c r="I2629" s="8" t="str">
        <f aca="false">IF($G2629="","Unmatched","Matched")</f>
        <v>Unmatched</v>
      </c>
      <c r="J2629" s="8" t="str">
        <f aca="false">IF($G2629&lt;&gt;"",$G2629,$B2629)</f>
        <v>VMSPCN51 0</v>
      </c>
      <c r="K2629" s="8" t="str">
        <f aca="false">IF(COUNTIF($M$1:$M$10,$A2629)&gt;0,"Y","N")</f>
        <v>Y</v>
      </c>
    </row>
    <row r="2630" customFormat="false" ht="15" hidden="false" customHeight="true" outlineLevel="0" collapsed="false">
      <c r="A2630" s="8" t="s">
        <v>42</v>
      </c>
      <c r="B2630" s="8" t="s">
        <v>309</v>
      </c>
      <c r="C2630" s="19" t="n">
        <v>0</v>
      </c>
      <c r="D2630" s="19" t="n">
        <v>0</v>
      </c>
      <c r="E2630" s="19" t="n">
        <v>2</v>
      </c>
      <c r="F2630" s="19" t="n">
        <v>0.02</v>
      </c>
      <c r="G2630" s="8" t="str">
        <f aca="false">IFERROR(INDEX('TRANS'!$B:$B,MATCH($B2630,'TRANS'!$A:$A,0)),IFERROR(INDEX('TRANS'!$B:$B,MATCH(TRIM(SUBSTITUTE($B2630,CHAR(160)," ")),'TRANS'!$D:$D,0)),IFERROR(INDEX('Catalog'!$A:$A,MATCH($B2630,'Catalog'!$B:$B,0)),IFERROR(INDEX('Catalog'!$A:$A,MATCH(TRIM(SUBSTITUTE($B2630,CHAR(160)," ")),'Catalog'!$C:$C,0)),""))))</f>
        <v/>
      </c>
      <c r="H2630" s="8" t="str">
        <f aca="false">IFERROR(INDEX('TRANS'!$C:$C,MATCH($B2630,'TRANS'!$A:$A,0)),IFERROR(INDEX('Catalog'!$B:$B,MATCH($G2630,'Catalog'!$A:$A,0)),$B2630))</f>
        <v>VMSPCS48 0</v>
      </c>
      <c r="I2630" s="8" t="str">
        <f aca="false">IF($G2630="","Unmatched","Matched")</f>
        <v>Unmatched</v>
      </c>
      <c r="J2630" s="8" t="str">
        <f aca="false">IF($G2630&lt;&gt;"",$G2630,$B2630)</f>
        <v>VMSPCS48 0</v>
      </c>
      <c r="K2630" s="8" t="str">
        <f aca="false">IF(COUNTIF($M$1:$M$10,$A2630)&gt;0,"Y","N")</f>
        <v>Y</v>
      </c>
    </row>
    <row r="2631" customFormat="false" ht="15" hidden="false" customHeight="true" outlineLevel="0" collapsed="false">
      <c r="A2631" s="8" t="s">
        <v>42</v>
      </c>
      <c r="B2631" s="8" t="s">
        <v>384</v>
      </c>
      <c r="C2631" s="19" t="n">
        <v>0</v>
      </c>
      <c r="D2631" s="19" t="n">
        <v>0</v>
      </c>
      <c r="E2631" s="19" t="n">
        <v>1</v>
      </c>
      <c r="F2631" s="19" t="n">
        <v>0.01</v>
      </c>
      <c r="G2631" s="8" t="str">
        <f aca="false">IFERROR(INDEX('TRANS'!$B:$B,MATCH($B2631,'TRANS'!$A:$A,0)),IFERROR(INDEX('TRANS'!$B:$B,MATCH(TRIM(SUBSTITUTE($B2631,CHAR(160)," ")),'TRANS'!$D:$D,0)),IFERROR(INDEX('Catalog'!$A:$A,MATCH($B2631,'Catalog'!$B:$B,0)),IFERROR(INDEX('Catalog'!$A:$A,MATCH(TRIM(SUBSTITUTE($B2631,CHAR(160)," ")),'Catalog'!$C:$C,0)),""))))</f>
        <v/>
      </c>
      <c r="H2631" s="8" t="str">
        <f aca="false">IFERROR(INDEX('TRANS'!$C:$C,MATCH($B2631,'TRANS'!$A:$A,0)),IFERROR(INDEX('Catalog'!$B:$B,MATCH($G2631,'Catalog'!$A:$A,0)),$B2631))</f>
        <v>VMSPCT49 0</v>
      </c>
      <c r="I2631" s="8" t="str">
        <f aca="false">IF($G2631="","Unmatched","Matched")</f>
        <v>Unmatched</v>
      </c>
      <c r="J2631" s="8" t="str">
        <f aca="false">IF($G2631&lt;&gt;"",$G2631,$B2631)</f>
        <v>VMSPCT49 0</v>
      </c>
      <c r="K2631" s="8" t="str">
        <f aca="false">IF(COUNTIF($M$1:$M$10,$A2631)&gt;0,"Y","N")</f>
        <v>Y</v>
      </c>
    </row>
    <row r="2632" customFormat="false" ht="15" hidden="false" customHeight="true" outlineLevel="0" collapsed="false">
      <c r="A2632" s="8" t="s">
        <v>42</v>
      </c>
      <c r="B2632" s="8" t="s">
        <v>129</v>
      </c>
      <c r="C2632" s="19" t="n">
        <v>13</v>
      </c>
      <c r="D2632" s="19" t="n">
        <v>6356.08</v>
      </c>
      <c r="E2632" s="19" t="n">
        <v>8</v>
      </c>
      <c r="F2632" s="19" t="n">
        <v>4448.54</v>
      </c>
      <c r="G2632" s="8" t="str">
        <f aca="false">IFERROR(INDEX('TRANS'!$B:$B,MATCH($B2632,'TRANS'!$A:$A,0)),IFERROR(INDEX('TRANS'!$B:$B,MATCH(TRIM(SUBSTITUTE($B2632,CHAR(160)," ")),'TRANS'!$D:$D,0)),IFERROR(INDEX('Catalog'!$A:$A,MATCH($B2632,'Catalog'!$B:$B,0)),IFERROR(INDEX('Catalog'!$A:$A,MATCH(TRIM(SUBSTITUTE($B2632,CHAR(160)," ")),'Catalog'!$C:$C,0)),""))))</f>
        <v/>
      </c>
      <c r="H2632" s="8" t="str">
        <f aca="false">IFERROR(INDEX('TRANS'!$C:$C,MATCH($B2632,'TRANS'!$A:$A,0)),IFERROR(INDEX('Catalog'!$B:$B,MATCH($G2632,'Catalog'!$A:$A,0)),$B2632))</f>
        <v>N433D L</v>
      </c>
      <c r="I2632" s="8" t="str">
        <f aca="false">IF($G2632="","Unmatched","Matched")</f>
        <v>Unmatched</v>
      </c>
      <c r="J2632" s="8" t="str">
        <f aca="false">IF($G2632&lt;&gt;"",$G2632,$B2632)</f>
        <v>N433D L</v>
      </c>
      <c r="K2632" s="8" t="str">
        <f aca="false">IF(COUNTIF($M$1:$M$10,$A2632)&gt;0,"Y","N")</f>
        <v>Y</v>
      </c>
    </row>
    <row r="2633" customFormat="false" ht="15" hidden="false" customHeight="true" outlineLevel="0" collapsed="false">
      <c r="A2633" s="8" t="s">
        <v>42</v>
      </c>
      <c r="B2633" s="8" t="s">
        <v>139</v>
      </c>
      <c r="C2633" s="19" t="n">
        <v>10</v>
      </c>
      <c r="D2633" s="19" t="n">
        <v>5369.65</v>
      </c>
      <c r="E2633" s="19" t="n">
        <v>5</v>
      </c>
      <c r="F2633" s="19" t="n">
        <v>2728.44</v>
      </c>
      <c r="G2633" s="8" t="str">
        <f aca="false">IFERROR(INDEX('TRANS'!$B:$B,MATCH($B2633,'TRANS'!$A:$A,0)),IFERROR(INDEX('TRANS'!$B:$B,MATCH(TRIM(SUBSTITUTE($B2633,CHAR(160)," ")),'TRANS'!$D:$D,0)),IFERROR(INDEX('Catalog'!$A:$A,MATCH($B2633,'Catalog'!$B:$B,0)),IFERROR(INDEX('Catalog'!$A:$A,MATCH(TRIM(SUBSTITUTE($B2633,CHAR(160)," ")),'Catalog'!$C:$C,0)),""))))</f>
        <v/>
      </c>
      <c r="H2633" s="8" t="str">
        <f aca="false">IFERROR(INDEX('TRANS'!$C:$C,MATCH($B2633,'TRANS'!$A:$A,0)),IFERROR(INDEX('Catalog'!$B:$B,MATCH($G2633,'Catalog'!$A:$A,0)),$B2633))</f>
        <v>N433D M</v>
      </c>
      <c r="I2633" s="8" t="str">
        <f aca="false">IF($G2633="","Unmatched","Matched")</f>
        <v>Unmatched</v>
      </c>
      <c r="J2633" s="8" t="str">
        <f aca="false">IF($G2633&lt;&gt;"",$G2633,$B2633)</f>
        <v>N433D M</v>
      </c>
      <c r="K2633" s="8" t="str">
        <f aca="false">IF(COUNTIF($M$1:$M$10,$A2633)&gt;0,"Y","N")</f>
        <v>Y</v>
      </c>
    </row>
    <row r="2634" customFormat="false" ht="15" hidden="false" customHeight="true" outlineLevel="0" collapsed="false">
      <c r="A2634" s="8" t="s">
        <v>42</v>
      </c>
      <c r="B2634" s="8" t="s">
        <v>276</v>
      </c>
      <c r="C2634" s="19" t="n">
        <v>1</v>
      </c>
      <c r="D2634" s="19" t="n">
        <v>593.14</v>
      </c>
      <c r="E2634" s="19" t="n">
        <v>1</v>
      </c>
      <c r="F2634" s="19" t="n">
        <v>593.14</v>
      </c>
      <c r="G2634" s="8" t="str">
        <f aca="false">IFERROR(INDEX('TRANS'!$B:$B,MATCH($B2634,'TRANS'!$A:$A,0)),IFERROR(INDEX('TRANS'!$B:$B,MATCH(TRIM(SUBSTITUTE($B2634,CHAR(160)," ")),'TRANS'!$D:$D,0)),IFERROR(INDEX('Catalog'!$A:$A,MATCH($B2634,'Catalog'!$B:$B,0)),IFERROR(INDEX('Catalog'!$A:$A,MATCH(TRIM(SUBSTITUTE($B2634,CHAR(160)," ")),'Catalog'!$C:$C,0)),""))))</f>
        <v/>
      </c>
      <c r="H2634" s="8" t="str">
        <f aca="false">IFERROR(INDEX('TRANS'!$C:$C,MATCH($B2634,'TRANS'!$A:$A,0)),IFERROR(INDEX('Catalog'!$B:$B,MATCH($G2634,'Catalog'!$A:$A,0)),$B2634))</f>
        <v>N433D S</v>
      </c>
      <c r="I2634" s="8" t="str">
        <f aca="false">IF($G2634="","Unmatched","Matched")</f>
        <v>Unmatched</v>
      </c>
      <c r="J2634" s="8" t="str">
        <f aca="false">IF($G2634&lt;&gt;"",$G2634,$B2634)</f>
        <v>N433D S</v>
      </c>
      <c r="K2634" s="8" t="str">
        <f aca="false">IF(COUNTIF($M$1:$M$10,$A2634)&gt;0,"Y","N")</f>
        <v>Y</v>
      </c>
    </row>
    <row r="2635" customFormat="false" ht="15" hidden="false" customHeight="true" outlineLevel="0" collapsed="false">
      <c r="A2635" s="8" t="s">
        <v>42</v>
      </c>
      <c r="B2635" s="8" t="s">
        <v>122</v>
      </c>
      <c r="C2635" s="19" t="n">
        <v>6</v>
      </c>
      <c r="D2635" s="19" t="n">
        <v>3347.07</v>
      </c>
      <c r="E2635" s="19" t="n">
        <v>4</v>
      </c>
      <c r="F2635" s="19" t="n">
        <v>2253.92</v>
      </c>
      <c r="G2635" s="8" t="str">
        <f aca="false">IFERROR(INDEX('TRANS'!$B:$B,MATCH($B2635,'TRANS'!$A:$A,0)),IFERROR(INDEX('TRANS'!$B:$B,MATCH(TRIM(SUBSTITUTE($B2635,CHAR(160)," ")),'TRANS'!$D:$D,0)),IFERROR(INDEX('Catalog'!$A:$A,MATCH($B2635,'Catalog'!$B:$B,0)),IFERROR(INDEX('Catalog'!$A:$A,MATCH(TRIM(SUBSTITUTE($B2635,CHAR(160)," ")),'Catalog'!$C:$C,0)),""))))</f>
        <v/>
      </c>
      <c r="H2635" s="8" t="str">
        <f aca="false">IFERROR(INDEX('TRANS'!$C:$C,MATCH($B2635,'TRANS'!$A:$A,0)),IFERROR(INDEX('Catalog'!$B:$B,MATCH($G2635,'Catalog'!$A:$A,0)),$B2635))</f>
        <v>N433D XL</v>
      </c>
      <c r="I2635" s="8" t="str">
        <f aca="false">IF($G2635="","Unmatched","Matched")</f>
        <v>Unmatched</v>
      </c>
      <c r="J2635" s="8" t="str">
        <f aca="false">IF($G2635&lt;&gt;"",$G2635,$B2635)</f>
        <v>N433D XL</v>
      </c>
      <c r="K2635" s="8" t="str">
        <f aca="false">IF(COUNTIF($M$1:$M$10,$A2635)&gt;0,"Y","N")</f>
        <v>Y</v>
      </c>
    </row>
    <row r="2636" customFormat="false" ht="15" hidden="false" customHeight="true" outlineLevel="0" collapsed="false">
      <c r="A2636" s="8" t="s">
        <v>42</v>
      </c>
      <c r="B2636" s="8" t="s">
        <v>279</v>
      </c>
      <c r="C2636" s="19" t="n">
        <v>5</v>
      </c>
      <c r="D2636" s="19" t="n">
        <v>2698.79</v>
      </c>
      <c r="E2636" s="19" t="n">
        <v>1</v>
      </c>
      <c r="F2636" s="19" t="n">
        <v>682.11</v>
      </c>
      <c r="G2636" s="8" t="str">
        <f aca="false">IFERROR(INDEX('TRANS'!$B:$B,MATCH($B2636,'TRANS'!$A:$A,0)),IFERROR(INDEX('TRANS'!$B:$B,MATCH(TRIM(SUBSTITUTE($B2636,CHAR(160)," ")),'TRANS'!$D:$D,0)),IFERROR(INDEX('Catalog'!$A:$A,MATCH($B2636,'Catalog'!$B:$B,0)),IFERROR(INDEX('Catalog'!$A:$A,MATCH(TRIM(SUBSTITUTE($B2636,CHAR(160)," ")),'Catalog'!$C:$C,0)),""))))</f>
        <v/>
      </c>
      <c r="H2636" s="8" t="str">
        <f aca="false">IFERROR(INDEX('TRANS'!$C:$C,MATCH($B2636,'TRANS'!$A:$A,0)),IFERROR(INDEX('Catalog'!$B:$B,MATCH($G2636,'Catalog'!$A:$A,0)),$B2636))</f>
        <v>N433D XXL</v>
      </c>
      <c r="I2636" s="8" t="str">
        <f aca="false">IF($G2636="","Unmatched","Matched")</f>
        <v>Unmatched</v>
      </c>
      <c r="J2636" s="8" t="str">
        <f aca="false">IF($G2636&lt;&gt;"",$G2636,$B2636)</f>
        <v>N433D XXL</v>
      </c>
      <c r="K2636" s="8" t="str">
        <f aca="false">IF(COUNTIF($M$1:$M$10,$A2636)&gt;0,"Y","N")</f>
        <v>Y</v>
      </c>
    </row>
    <row r="2637" customFormat="false" ht="15" hidden="false" customHeight="true" outlineLevel="0" collapsed="false">
      <c r="A2637" s="8" t="s">
        <v>42</v>
      </c>
      <c r="B2637" s="8" t="s">
        <v>742</v>
      </c>
      <c r="C2637" s="19" t="n">
        <v>12</v>
      </c>
      <c r="D2637" s="19" t="n">
        <v>288.08</v>
      </c>
      <c r="E2637" s="19" t="n">
        <v>9</v>
      </c>
      <c r="F2637" s="19" t="n">
        <v>223.91</v>
      </c>
      <c r="G2637" s="8" t="n">
        <f aca="false">IFERROR(INDEX('TRANS'!$B:$B,MATCH($B2637,'TRANS'!$A:$A,0)),IFERROR(INDEX('TRANS'!$B:$B,MATCH(TRIM(SUBSTITUTE($B2637,CHAR(160)," ")),'TRANS'!$D:$D,0)),IFERROR(INDEX('Catalog'!$A:$A,MATCH($B2637,'Catalog'!$B:$B,0)),IFERROR(INDEX('Catalog'!$A:$A,MATCH(TRIM(SUBSTITUTE($B2637,CHAR(160)," ")),'Catalog'!$C:$C,0)),""))))</f>
        <v>4419006</v>
      </c>
      <c r="H2637" s="8" t="str">
        <f aca="false">IFERROR(INDEX('TRANS'!$C:$C,MATCH($B2637,'TRANS'!$A:$A,0)),IFERROR(INDEX('Catalog'!$B:$B,MATCH($G2637,'Catalog'!$A:$A,0)),$B2637))</f>
        <v>PD340-קוצץ ציפורניים</v>
      </c>
      <c r="I2637" s="8" t="str">
        <f aca="false">IF($G2637="","Unmatched","Matched")</f>
        <v>Matched</v>
      </c>
      <c r="J2637" s="8" t="n">
        <f aca="false">IF($G2637&lt;&gt;"",$G2637,$B2637)</f>
        <v>4419006</v>
      </c>
      <c r="K2637" s="8" t="str">
        <f aca="false">IF(COUNTIF($M$1:$M$10,$A2637)&gt;0,"Y","N")</f>
        <v>Y</v>
      </c>
    </row>
    <row r="2638" customFormat="false" ht="15" hidden="false" customHeight="true" outlineLevel="0" collapsed="false">
      <c r="A2638" s="8" t="s">
        <v>42</v>
      </c>
      <c r="B2638" s="8" t="s">
        <v>743</v>
      </c>
      <c r="C2638" s="19" t="n">
        <v>3</v>
      </c>
      <c r="D2638" s="19" t="n">
        <v>149.27</v>
      </c>
      <c r="E2638" s="19" t="n">
        <v>8</v>
      </c>
      <c r="F2638" s="19" t="n">
        <v>410.46</v>
      </c>
      <c r="G2638" s="8" t="n">
        <f aca="false">IFERROR(INDEX('TRANS'!$B:$B,MATCH($B2638,'TRANS'!$A:$A,0)),IFERROR(INDEX('TRANS'!$B:$B,MATCH(TRIM(SUBSTITUTE($B2638,CHAR(160)," ")),'TRANS'!$D:$D,0)),IFERROR(INDEX('Catalog'!$A:$A,MATCH($B2638,'Catalog'!$B:$B,0)),IFERROR(INDEX('Catalog'!$A:$A,MATCH(TRIM(SUBSTITUTE($B2638,CHAR(160)," ")),'Catalog'!$C:$C,0)),""))))</f>
        <v>4413150</v>
      </c>
      <c r="H2638" s="8" t="str">
        <f aca="false">IFERROR(INDEX('TRANS'!$C:$C,MATCH($B2638,'TRANS'!$A:$A,0)),IFERROR(INDEX('Catalog'!$B:$B,MATCH($G2638,'Catalog'!$A:$A,0)),$B2638))</f>
        <v>PD341-מקצוע להסרת עור קשה</v>
      </c>
      <c r="I2638" s="8" t="str">
        <f aca="false">IF($G2638="","Unmatched","Matched")</f>
        <v>Matched</v>
      </c>
      <c r="J2638" s="8" t="n">
        <f aca="false">IF($G2638&lt;&gt;"",$G2638,$B2638)</f>
        <v>4413150</v>
      </c>
      <c r="K2638" s="8" t="str">
        <f aca="false">IF(COUNTIF($M$1:$M$10,$A2638)&gt;0,"Y","N")</f>
        <v>Y</v>
      </c>
    </row>
    <row r="2639" customFormat="false" ht="15" hidden="false" customHeight="true" outlineLevel="0" collapsed="false">
      <c r="A2639" s="8" t="s">
        <v>42</v>
      </c>
      <c r="B2639" s="8" t="s">
        <v>744</v>
      </c>
      <c r="C2639" s="19" t="n">
        <v>3</v>
      </c>
      <c r="D2639" s="19" t="n">
        <v>109.62</v>
      </c>
      <c r="E2639" s="19" t="n">
        <v>2</v>
      </c>
      <c r="F2639" s="19" t="n">
        <v>86.79</v>
      </c>
      <c r="G2639" s="8" t="n">
        <f aca="false">IFERROR(INDEX('TRANS'!$B:$B,MATCH($B2639,'TRANS'!$A:$A,0)),IFERROR(INDEX('TRANS'!$B:$B,MATCH(TRIM(SUBSTITUTE($B2639,CHAR(160)," ")),'TRANS'!$D:$D,0)),IFERROR(INDEX('Catalog'!$A:$A,MATCH($B2639,'Catalog'!$B:$B,0)),IFERROR(INDEX('Catalog'!$A:$A,MATCH(TRIM(SUBSTITUTE($B2639,CHAR(160)," ")),'Catalog'!$C:$C,0)),""))))</f>
        <v>4417000</v>
      </c>
      <c r="H2639" s="8" t="str">
        <f aca="false">IFERROR(INDEX('TRANS'!$C:$C,MATCH($B2639,'TRANS'!$A:$A,0)),IFERROR(INDEX('Catalog'!$B:$B,MATCH($G2639,'Catalog'!$A:$A,0)),$B2639))</f>
        <v>PD342-פומפיה להסרת עור קשה</v>
      </c>
      <c r="I2639" s="8" t="str">
        <f aca="false">IF($G2639="","Unmatched","Matched")</f>
        <v>Matched</v>
      </c>
      <c r="J2639" s="8" t="n">
        <f aca="false">IF($G2639&lt;&gt;"",$G2639,$B2639)</f>
        <v>4417000</v>
      </c>
      <c r="K2639" s="8" t="str">
        <f aca="false">IF(COUNTIF($M$1:$M$10,$A2639)&gt;0,"Y","N")</f>
        <v>Y</v>
      </c>
    </row>
    <row r="2640" customFormat="false" ht="15" hidden="false" customHeight="true" outlineLevel="0" collapsed="false">
      <c r="A2640" s="8" t="s">
        <v>42</v>
      </c>
      <c r="B2640" s="8" t="s">
        <v>745</v>
      </c>
      <c r="C2640" s="19" t="n">
        <v>8</v>
      </c>
      <c r="D2640" s="19" t="n">
        <v>110.56</v>
      </c>
      <c r="E2640" s="19" t="n">
        <v>16</v>
      </c>
      <c r="F2640" s="19" t="n">
        <v>243.52</v>
      </c>
      <c r="G2640" s="8" t="n">
        <f aca="false">IFERROR(INDEX('TRANS'!$B:$B,MATCH($B2640,'TRANS'!$A:$A,0)),IFERROR(INDEX('TRANS'!$B:$B,MATCH(TRIM(SUBSTITUTE($B2640,CHAR(160)," ")),'TRANS'!$D:$D,0)),IFERROR(INDEX('Catalog'!$A:$A,MATCH($B2640,'Catalog'!$B:$B,0)),IFERROR(INDEX('Catalog'!$A:$A,MATCH(TRIM(SUBSTITUTE($B2640,CHAR(160)," ")),'Catalog'!$C:$C,0)),""))))</f>
        <v>4401002</v>
      </c>
      <c r="H2640" s="8" t="str">
        <f aca="false">IFERROR(INDEX('TRANS'!$C:$C,MATCH($B2640,'TRANS'!$A:$A,0)),IFERROR(INDEX('Catalog'!$B:$B,MATCH($G2640,'Catalog'!$A:$A,0)),$B2640))</f>
        <v>PD 344-אבן טבעית להסרת עור קשה</v>
      </c>
      <c r="I2640" s="8" t="str">
        <f aca="false">IF($G2640="","Unmatched","Matched")</f>
        <v>Matched</v>
      </c>
      <c r="J2640" s="8" t="n">
        <f aca="false">IF($G2640&lt;&gt;"",$G2640,$B2640)</f>
        <v>4401002</v>
      </c>
      <c r="K2640" s="8" t="str">
        <f aca="false">IF(COUNTIF($M$1:$M$10,$A2640)&gt;0,"Y","N")</f>
        <v>Y</v>
      </c>
    </row>
    <row r="2641" customFormat="false" ht="15" hidden="false" customHeight="true" outlineLevel="0" collapsed="false">
      <c r="A2641" s="8" t="s">
        <v>42</v>
      </c>
      <c r="B2641" s="8" t="s">
        <v>746</v>
      </c>
      <c r="C2641" s="19" t="n">
        <v>7</v>
      </c>
      <c r="D2641" s="19" t="n">
        <v>120.43</v>
      </c>
      <c r="E2641" s="19" t="n">
        <v>11</v>
      </c>
      <c r="F2641" s="19" t="n">
        <v>187.77</v>
      </c>
      <c r="G2641" s="8" t="n">
        <f aca="false">IFERROR(INDEX('TRANS'!$B:$B,MATCH($B2641,'TRANS'!$A:$A,0)),IFERROR(INDEX('TRANS'!$B:$B,MATCH(TRIM(SUBSTITUTE($B2641,CHAR(160)," ")),'TRANS'!$D:$D,0)),IFERROR(INDEX('Catalog'!$A:$A,MATCH($B2641,'Catalog'!$B:$B,0)),IFERROR(INDEX('Catalog'!$A:$A,MATCH(TRIM(SUBSTITUTE($B2641,CHAR(160)," ")),'Catalog'!$C:$C,0)),""))))</f>
        <v>4415080</v>
      </c>
      <c r="H2641" s="8" t="str">
        <f aca="false">IFERROR(INDEX('TRANS'!$C:$C,MATCH($B2641,'TRANS'!$A:$A,0)),IFERROR(INDEX('Catalog'!$B:$B,MATCH($G2641,'Catalog'!$A:$A,0)),$B2641))</f>
        <v>PD346-10 סכינים למקצוע</v>
      </c>
      <c r="I2641" s="8" t="str">
        <f aca="false">IF($G2641="","Unmatched","Matched")</f>
        <v>Matched</v>
      </c>
      <c r="J2641" s="8" t="n">
        <f aca="false">IF($G2641&lt;&gt;"",$G2641,$B2641)</f>
        <v>4415080</v>
      </c>
      <c r="K2641" s="8" t="str">
        <f aca="false">IF(COUNTIF($M$1:$M$10,$A2641)&gt;0,"Y","N")</f>
        <v>Y</v>
      </c>
    </row>
    <row r="2642" customFormat="false" ht="15" hidden="false" customHeight="true" outlineLevel="0" collapsed="false">
      <c r="A2642" s="8" t="s">
        <v>42</v>
      </c>
      <c r="B2642" s="8" t="s">
        <v>747</v>
      </c>
      <c r="C2642" s="19" t="n">
        <v>232</v>
      </c>
      <c r="D2642" s="19" t="n">
        <v>31029.93</v>
      </c>
      <c r="E2642" s="19" t="n">
        <v>163</v>
      </c>
      <c r="F2642" s="19" t="n">
        <v>25188.4</v>
      </c>
      <c r="G2642" s="8" t="n">
        <f aca="false">IFERROR(INDEX('TRANS'!$B:$B,MATCH($B2642,'TRANS'!$A:$A,0)),IFERROR(INDEX('TRANS'!$B:$B,MATCH(TRIM(SUBSTITUTE($B2642,CHAR(160)," ")),'TRANS'!$D:$D,0)),IFERROR(INDEX('Catalog'!$A:$A,MATCH($B2642,'Catalog'!$B:$B,0)),IFERROR(INDEX('Catalog'!$A:$A,MATCH(TRIM(SUBSTITUTE($B2642,CHAR(160)," ")),'Catalog'!$C:$C,0)),""))))</f>
        <v>4408249</v>
      </c>
      <c r="H2642" s="8" t="str">
        <f aca="false">IFERROR(INDEX('TRANS'!$C:$C,MATCH($B2642,'TRANS'!$A:$A,0)),IFERROR(INDEX('Catalog'!$B:$B,MATCH($G2642,'Catalog'!$A:$A,0)),$B2642))</f>
        <v>SC25  L חבק יד</v>
      </c>
      <c r="I2642" s="8" t="str">
        <f aca="false">IF($G2642="","Unmatched","Matched")</f>
        <v>Matched</v>
      </c>
      <c r="J2642" s="8" t="n">
        <f aca="false">IF($G2642&lt;&gt;"",$G2642,$B2642)</f>
        <v>4408249</v>
      </c>
      <c r="K2642" s="8" t="str">
        <f aca="false">IF(COUNTIF($M$1:$M$10,$A2642)&gt;0,"Y","N")</f>
        <v>Y</v>
      </c>
    </row>
    <row r="2643" customFormat="false" ht="15" hidden="false" customHeight="true" outlineLevel="0" collapsed="false">
      <c r="A2643" s="8" t="s">
        <v>42</v>
      </c>
      <c r="B2643" s="8" t="s">
        <v>748</v>
      </c>
      <c r="C2643" s="19" t="n">
        <v>175</v>
      </c>
      <c r="D2643" s="19" t="n">
        <v>23677.47</v>
      </c>
      <c r="E2643" s="19" t="n">
        <v>139</v>
      </c>
      <c r="F2643" s="19" t="n">
        <v>20844.09</v>
      </c>
      <c r="G2643" s="8" t="n">
        <f aca="false">IFERROR(INDEX('TRANS'!$B:$B,MATCH($B2643,'TRANS'!$A:$A,0)),IFERROR(INDEX('TRANS'!$B:$B,MATCH(TRIM(SUBSTITUTE($B2643,CHAR(160)," ")),'TRANS'!$D:$D,0)),IFERROR(INDEX('Catalog'!$A:$A,MATCH($B2643,'Catalog'!$B:$B,0)),IFERROR(INDEX('Catalog'!$A:$A,MATCH(TRIM(SUBSTITUTE($B2643,CHAR(160)," ")),'Catalog'!$C:$C,0)),""))))</f>
        <v>4408248</v>
      </c>
      <c r="H2643" s="8" t="str">
        <f aca="false">IFERROR(INDEX('TRANS'!$C:$C,MATCH($B2643,'TRANS'!$A:$A,0)),IFERROR(INDEX('Catalog'!$B:$B,MATCH($G2643,'Catalog'!$A:$A,0)),$B2643))</f>
        <v>SC25  M חבק יד</v>
      </c>
      <c r="I2643" s="8" t="str">
        <f aca="false">IF($G2643="","Unmatched","Matched")</f>
        <v>Matched</v>
      </c>
      <c r="J2643" s="8" t="n">
        <f aca="false">IF($G2643&lt;&gt;"",$G2643,$B2643)</f>
        <v>4408248</v>
      </c>
      <c r="K2643" s="8" t="str">
        <f aca="false">IF(COUNTIF($M$1:$M$10,$A2643)&gt;0,"Y","N")</f>
        <v>Y</v>
      </c>
    </row>
    <row r="2644" customFormat="false" ht="15" hidden="false" customHeight="true" outlineLevel="0" collapsed="false">
      <c r="A2644" s="8" t="s">
        <v>42</v>
      </c>
      <c r="B2644" s="8" t="s">
        <v>749</v>
      </c>
      <c r="C2644" s="19" t="n">
        <v>78</v>
      </c>
      <c r="D2644" s="19" t="n">
        <v>10651.73</v>
      </c>
      <c r="E2644" s="19" t="n">
        <v>63</v>
      </c>
      <c r="F2644" s="19" t="n">
        <v>9662.92</v>
      </c>
      <c r="G2644" s="8" t="n">
        <f aca="false">IFERROR(INDEX('TRANS'!$B:$B,MATCH($B2644,'TRANS'!$A:$A,0)),IFERROR(INDEX('TRANS'!$B:$B,MATCH(TRIM(SUBSTITUTE($B2644,CHAR(160)," ")),'TRANS'!$D:$D,0)),IFERROR(INDEX('Catalog'!$A:$A,MATCH($B2644,'Catalog'!$B:$B,0)),IFERROR(INDEX('Catalog'!$A:$A,MATCH(TRIM(SUBSTITUTE($B2644,CHAR(160)," ")),'Catalog'!$C:$C,0)),""))))</f>
        <v>4408247</v>
      </c>
      <c r="H2644" s="8" t="str">
        <f aca="false">IFERROR(INDEX('TRANS'!$C:$C,MATCH($B2644,'TRANS'!$A:$A,0)),IFERROR(INDEX('Catalog'!$B:$B,MATCH($G2644,'Catalog'!$A:$A,0)),$B2644))</f>
        <v>SC25  S חבק יד</v>
      </c>
      <c r="I2644" s="8" t="str">
        <f aca="false">IF($G2644="","Unmatched","Matched")</f>
        <v>Matched</v>
      </c>
      <c r="J2644" s="8" t="n">
        <f aca="false">IF($G2644&lt;&gt;"",$G2644,$B2644)</f>
        <v>4408247</v>
      </c>
      <c r="K2644" s="8" t="str">
        <f aca="false">IF(COUNTIF($M$1:$M$10,$A2644)&gt;0,"Y","N")</f>
        <v>Y</v>
      </c>
    </row>
    <row r="2645" customFormat="false" ht="15" hidden="false" customHeight="true" outlineLevel="0" collapsed="false">
      <c r="A2645" s="8" t="s">
        <v>42</v>
      </c>
      <c r="B2645" s="8" t="s">
        <v>750</v>
      </c>
      <c r="C2645" s="19" t="n">
        <v>117</v>
      </c>
      <c r="D2645" s="19" t="n">
        <v>14875.86</v>
      </c>
      <c r="E2645" s="19" t="n">
        <v>78</v>
      </c>
      <c r="F2645" s="19" t="n">
        <v>11585</v>
      </c>
      <c r="G2645" s="8" t="n">
        <f aca="false">IFERROR(INDEX('TRANS'!$B:$B,MATCH($B2645,'TRANS'!$A:$A,0)),IFERROR(INDEX('TRANS'!$B:$B,MATCH(TRIM(SUBSTITUTE($B2645,CHAR(160)," ")),'TRANS'!$D:$D,0)),IFERROR(INDEX('Catalog'!$A:$A,MATCH($B2645,'Catalog'!$B:$B,0)),IFERROR(INDEX('Catalog'!$A:$A,MATCH(TRIM(SUBSTITUTE($B2645,CHAR(160)," ")),'Catalog'!$C:$C,0)),""))))</f>
        <v>4408250</v>
      </c>
      <c r="H2645" s="8" t="str">
        <f aca="false">IFERROR(INDEX('TRANS'!$C:$C,MATCH($B2645,'TRANS'!$A:$A,0)),IFERROR(INDEX('Catalog'!$B:$B,MATCH($G2645,'Catalog'!$A:$A,0)),$B2645))</f>
        <v>SC25 XL חבק יד</v>
      </c>
      <c r="I2645" s="8" t="str">
        <f aca="false">IF($G2645="","Unmatched","Matched")</f>
        <v>Matched</v>
      </c>
      <c r="J2645" s="8" t="n">
        <f aca="false">IF($G2645&lt;&gt;"",$G2645,$B2645)</f>
        <v>4408250</v>
      </c>
      <c r="K2645" s="8" t="str">
        <f aca="false">IF(COUNTIF($M$1:$M$10,$A2645)&gt;0,"Y","N")</f>
        <v>Y</v>
      </c>
    </row>
    <row r="2646" customFormat="false" ht="15" hidden="false" customHeight="true" outlineLevel="0" collapsed="false">
      <c r="A2646" s="8" t="s">
        <v>42</v>
      </c>
      <c r="B2646" s="8" t="s">
        <v>751</v>
      </c>
      <c r="C2646" s="19" t="n">
        <v>21</v>
      </c>
      <c r="D2646" s="19" t="n">
        <v>2759.77</v>
      </c>
      <c r="E2646" s="19" t="n">
        <v>13</v>
      </c>
      <c r="F2646" s="19" t="n">
        <v>1871.97</v>
      </c>
      <c r="G2646" s="8" t="n">
        <f aca="false">IFERROR(INDEX('TRANS'!$B:$B,MATCH($B2646,'TRANS'!$A:$A,0)),IFERROR(INDEX('TRANS'!$B:$B,MATCH(TRIM(SUBSTITUTE($B2646,CHAR(160)," ")),'TRANS'!$D:$D,0)),IFERROR(INDEX('Catalog'!$A:$A,MATCH($B2646,'Catalog'!$B:$B,0)),IFERROR(INDEX('Catalog'!$A:$A,MATCH(TRIM(SUBSTITUTE($B2646,CHAR(160)," ")),'Catalog'!$C:$C,0)),""))))</f>
        <v>4413422</v>
      </c>
      <c r="H2646" s="8" t="str">
        <f aca="false">IFERROR(INDEX('TRANS'!$C:$C,MATCH($B2646,'TRANS'!$A:$A,0)),IFERROR(INDEX('Catalog'!$B:$B,MATCH($G2646,'Catalog'!$A:$A,0)),$B2646))</f>
        <v>SC35L  L מגן קרסול שמאל</v>
      </c>
      <c r="I2646" s="8" t="str">
        <f aca="false">IF($G2646="","Unmatched","Matched")</f>
        <v>Matched</v>
      </c>
      <c r="J2646" s="8" t="n">
        <f aca="false">IF($G2646&lt;&gt;"",$G2646,$B2646)</f>
        <v>4413422</v>
      </c>
      <c r="K2646" s="8" t="str">
        <f aca="false">IF(COUNTIF($M$1:$M$10,$A2646)&gt;0,"Y","N")</f>
        <v>Y</v>
      </c>
    </row>
    <row r="2647" customFormat="false" ht="15" hidden="false" customHeight="true" outlineLevel="0" collapsed="false">
      <c r="A2647" s="8" t="s">
        <v>42</v>
      </c>
      <c r="B2647" s="8" t="s">
        <v>841</v>
      </c>
      <c r="C2647" s="19" t="n">
        <v>29</v>
      </c>
      <c r="D2647" s="19" t="n">
        <v>3713.45</v>
      </c>
      <c r="E2647" s="19" t="n">
        <v>31</v>
      </c>
      <c r="F2647" s="19" t="n">
        <v>4649.76</v>
      </c>
      <c r="G2647" s="8" t="n">
        <f aca="false">IFERROR(INDEX('TRANS'!$B:$B,MATCH($B2647,'TRANS'!$A:$A,0)),IFERROR(INDEX('TRANS'!$B:$B,MATCH(TRIM(SUBSTITUTE($B2647,CHAR(160)," ")),'TRANS'!$D:$D,0)),IFERROR(INDEX('Catalog'!$A:$A,MATCH($B2647,'Catalog'!$B:$B,0)),IFERROR(INDEX('Catalog'!$A:$A,MATCH(TRIM(SUBSTITUTE($B2647,CHAR(160)," ")),'Catalog'!$C:$C,0)),""))))</f>
        <v>4413421</v>
      </c>
      <c r="H2647" s="8" t="str">
        <f aca="false">IFERROR(INDEX('TRANS'!$C:$C,MATCH($B2647,'TRANS'!$A:$A,0)),IFERROR(INDEX('Catalog'!$B:$B,MATCH($G2647,'Catalog'!$A:$A,0)),$B2647))</f>
        <v>SC35L  M מגן קרסול שמאל</v>
      </c>
      <c r="I2647" s="8" t="str">
        <f aca="false">IF($G2647="","Unmatched","Matched")</f>
        <v>Matched</v>
      </c>
      <c r="J2647" s="8" t="n">
        <f aca="false">IF($G2647&lt;&gt;"",$G2647,$B2647)</f>
        <v>4413421</v>
      </c>
      <c r="K2647" s="8" t="str">
        <f aca="false">IF(COUNTIF($M$1:$M$10,$A2647)&gt;0,"Y","N")</f>
        <v>Y</v>
      </c>
    </row>
    <row r="2648" customFormat="false" ht="15" hidden="false" customHeight="true" outlineLevel="0" collapsed="false">
      <c r="A2648" s="8" t="s">
        <v>42</v>
      </c>
      <c r="B2648" s="8" t="s">
        <v>992</v>
      </c>
      <c r="C2648" s="19" t="n">
        <v>6</v>
      </c>
      <c r="D2648" s="19" t="n">
        <v>749.8</v>
      </c>
      <c r="E2648" s="19" t="n">
        <v>2</v>
      </c>
      <c r="F2648" s="19" t="n">
        <v>271.06</v>
      </c>
      <c r="G2648" s="8" t="n">
        <f aca="false">IFERROR(INDEX('TRANS'!$B:$B,MATCH($B2648,'TRANS'!$A:$A,0)),IFERROR(INDEX('TRANS'!$B:$B,MATCH(TRIM(SUBSTITUTE($B2648,CHAR(160)," ")),'TRANS'!$D:$D,0)),IFERROR(INDEX('Catalog'!$A:$A,MATCH($B2648,'Catalog'!$B:$B,0)),IFERROR(INDEX('Catalog'!$A:$A,MATCH(TRIM(SUBSTITUTE($B2648,CHAR(160)," ")),'Catalog'!$C:$C,0)),""))))</f>
        <v>4413420</v>
      </c>
      <c r="H2648" s="8" t="str">
        <f aca="false">IFERROR(INDEX('TRANS'!$C:$C,MATCH($B2648,'TRANS'!$A:$A,0)),IFERROR(INDEX('Catalog'!$B:$B,MATCH($G2648,'Catalog'!$A:$A,0)),$B2648))</f>
        <v>SC35L  S מגן קרסול שמאל</v>
      </c>
      <c r="I2648" s="8" t="str">
        <f aca="false">IF($G2648="","Unmatched","Matched")</f>
        <v>Matched</v>
      </c>
      <c r="J2648" s="8" t="n">
        <f aca="false">IF($G2648&lt;&gt;"",$G2648,$B2648)</f>
        <v>4413420</v>
      </c>
      <c r="K2648" s="8" t="str">
        <f aca="false">IF(COUNTIF($M$1:$M$10,$A2648)&gt;0,"Y","N")</f>
        <v>Y</v>
      </c>
    </row>
    <row r="2649" customFormat="false" ht="15" hidden="false" customHeight="true" outlineLevel="0" collapsed="false">
      <c r="A2649" s="8" t="s">
        <v>42</v>
      </c>
      <c r="B2649" s="8" t="s">
        <v>752</v>
      </c>
      <c r="C2649" s="19" t="n">
        <v>2</v>
      </c>
      <c r="D2649" s="19" t="n">
        <v>198.94</v>
      </c>
      <c r="E2649" s="19" t="n">
        <v>1</v>
      </c>
      <c r="F2649" s="19" t="n">
        <v>135.53</v>
      </c>
      <c r="G2649" s="8" t="n">
        <f aca="false">IFERROR(INDEX('TRANS'!$B:$B,MATCH($B2649,'TRANS'!$A:$A,0)),IFERROR(INDEX('TRANS'!$B:$B,MATCH(TRIM(SUBSTITUTE($B2649,CHAR(160)," ")),'TRANS'!$D:$D,0)),IFERROR(INDEX('Catalog'!$A:$A,MATCH($B2649,'Catalog'!$B:$B,0)),IFERROR(INDEX('Catalog'!$A:$A,MATCH(TRIM(SUBSTITUTE($B2649,CHAR(160)," ")),'Catalog'!$C:$C,0)),""))))</f>
        <v>4413423</v>
      </c>
      <c r="H2649" s="8" t="str">
        <f aca="false">IFERROR(INDEX('TRANS'!$C:$C,MATCH($B2649,'TRANS'!$A:$A,0)),IFERROR(INDEX('Catalog'!$B:$B,MATCH($G2649,'Catalog'!$A:$A,0)),$B2649))</f>
        <v>SC35L XL מגן קרסול שמאל</v>
      </c>
      <c r="I2649" s="8" t="str">
        <f aca="false">IF($G2649="","Unmatched","Matched")</f>
        <v>Matched</v>
      </c>
      <c r="J2649" s="8" t="n">
        <f aca="false">IF($G2649&lt;&gt;"",$G2649,$B2649)</f>
        <v>4413423</v>
      </c>
      <c r="K2649" s="8" t="str">
        <f aca="false">IF(COUNTIF($M$1:$M$10,$A2649)&gt;0,"Y","N")</f>
        <v>Y</v>
      </c>
    </row>
    <row r="2650" customFormat="false" ht="15" hidden="false" customHeight="true" outlineLevel="0" collapsed="false">
      <c r="A2650" s="8" t="s">
        <v>42</v>
      </c>
      <c r="B2650" s="8" t="s">
        <v>753</v>
      </c>
      <c r="C2650" s="19" t="n">
        <v>19</v>
      </c>
      <c r="D2650" s="19" t="n">
        <v>2558.22</v>
      </c>
      <c r="E2650" s="19" t="n">
        <v>8</v>
      </c>
      <c r="F2650" s="19" t="n">
        <v>1168.91</v>
      </c>
      <c r="G2650" s="8" t="n">
        <f aca="false">IFERROR(INDEX('TRANS'!$B:$B,MATCH($B2650,'TRANS'!$A:$A,0)),IFERROR(INDEX('TRANS'!$B:$B,MATCH(TRIM(SUBSTITUTE($B2650,CHAR(160)," ")),'TRANS'!$D:$D,0)),IFERROR(INDEX('Catalog'!$A:$A,MATCH($B2650,'Catalog'!$B:$B,0)),IFERROR(INDEX('Catalog'!$A:$A,MATCH(TRIM(SUBSTITUTE($B2650,CHAR(160)," ")),'Catalog'!$C:$C,0)),""))))</f>
        <v>4413426</v>
      </c>
      <c r="H2650" s="8" t="str">
        <f aca="false">IFERROR(INDEX('TRANS'!$C:$C,MATCH($B2650,'TRANS'!$A:$A,0)),IFERROR(INDEX('Catalog'!$B:$B,MATCH($G2650,'Catalog'!$A:$A,0)),$B2650))</f>
        <v>SC35R  L מגן קרסול ימין</v>
      </c>
      <c r="I2650" s="8" t="str">
        <f aca="false">IF($G2650="","Unmatched","Matched")</f>
        <v>Matched</v>
      </c>
      <c r="J2650" s="8" t="n">
        <f aca="false">IF($G2650&lt;&gt;"",$G2650,$B2650)</f>
        <v>4413426</v>
      </c>
      <c r="K2650" s="8" t="str">
        <f aca="false">IF(COUNTIF($M$1:$M$10,$A2650)&gt;0,"Y","N")</f>
        <v>Y</v>
      </c>
    </row>
    <row r="2651" customFormat="false" ht="15" hidden="false" customHeight="true" outlineLevel="0" collapsed="false">
      <c r="A2651" s="8" t="s">
        <v>42</v>
      </c>
      <c r="B2651" s="8" t="s">
        <v>754</v>
      </c>
      <c r="C2651" s="19" t="n">
        <v>22</v>
      </c>
      <c r="D2651" s="19" t="n">
        <v>2807.29</v>
      </c>
      <c r="E2651" s="19" t="n">
        <v>33</v>
      </c>
      <c r="F2651" s="19" t="n">
        <v>4540.08</v>
      </c>
      <c r="G2651" s="8" t="n">
        <f aca="false">IFERROR(INDEX('TRANS'!$B:$B,MATCH($B2651,'TRANS'!$A:$A,0)),IFERROR(INDEX('TRANS'!$B:$B,MATCH(TRIM(SUBSTITUTE($B2651,CHAR(160)," ")),'TRANS'!$D:$D,0)),IFERROR(INDEX('Catalog'!$A:$A,MATCH($B2651,'Catalog'!$B:$B,0)),IFERROR(INDEX('Catalog'!$A:$A,MATCH(TRIM(SUBSTITUTE($B2651,CHAR(160)," ")),'Catalog'!$C:$C,0)),""))))</f>
        <v>4413425</v>
      </c>
      <c r="H2651" s="8" t="str">
        <f aca="false">IFERROR(INDEX('TRANS'!$C:$C,MATCH($B2651,'TRANS'!$A:$A,0)),IFERROR(INDEX('Catalog'!$B:$B,MATCH($G2651,'Catalog'!$A:$A,0)),$B2651))</f>
        <v>SC35R  M מגן קרסול ימין</v>
      </c>
      <c r="I2651" s="8" t="str">
        <f aca="false">IF($G2651="","Unmatched","Matched")</f>
        <v>Matched</v>
      </c>
      <c r="J2651" s="8" t="n">
        <f aca="false">IF($G2651&lt;&gt;"",$G2651,$B2651)</f>
        <v>4413425</v>
      </c>
      <c r="K2651" s="8" t="str">
        <f aca="false">IF(COUNTIF($M$1:$M$10,$A2651)&gt;0,"Y","N")</f>
        <v>Y</v>
      </c>
    </row>
    <row r="2652" customFormat="false" ht="15" hidden="false" customHeight="true" outlineLevel="0" collapsed="false">
      <c r="A2652" s="8" t="s">
        <v>42</v>
      </c>
      <c r="B2652" s="8" t="s">
        <v>755</v>
      </c>
      <c r="C2652" s="19" t="n">
        <v>10</v>
      </c>
      <c r="D2652" s="19" t="n">
        <v>1235.1</v>
      </c>
      <c r="E2652" s="19" t="n">
        <v>8</v>
      </c>
      <c r="F2652" s="19" t="n">
        <v>1219.75</v>
      </c>
      <c r="G2652" s="8" t="n">
        <f aca="false">IFERROR(INDEX('TRANS'!$B:$B,MATCH($B2652,'TRANS'!$A:$A,0)),IFERROR(INDEX('TRANS'!$B:$B,MATCH(TRIM(SUBSTITUTE($B2652,CHAR(160)," ")),'TRANS'!$D:$D,0)),IFERROR(INDEX('Catalog'!$A:$A,MATCH($B2652,'Catalog'!$B:$B,0)),IFERROR(INDEX('Catalog'!$A:$A,MATCH(TRIM(SUBSTITUTE($B2652,CHAR(160)," ")),'Catalog'!$C:$C,0)),""))))</f>
        <v>4413424</v>
      </c>
      <c r="H2652" s="8" t="str">
        <f aca="false">IFERROR(INDEX('TRANS'!$C:$C,MATCH($B2652,'TRANS'!$A:$A,0)),IFERROR(INDEX('Catalog'!$B:$B,MATCH($G2652,'Catalog'!$A:$A,0)),$B2652))</f>
        <v>SC35R  S מגן קרסול ימין</v>
      </c>
      <c r="I2652" s="8" t="str">
        <f aca="false">IF($G2652="","Unmatched","Matched")</f>
        <v>Matched</v>
      </c>
      <c r="J2652" s="8" t="n">
        <f aca="false">IF($G2652&lt;&gt;"",$G2652,$B2652)</f>
        <v>4413424</v>
      </c>
      <c r="K2652" s="8" t="str">
        <f aca="false">IF(COUNTIF($M$1:$M$10,$A2652)&gt;0,"Y","N")</f>
        <v>Y</v>
      </c>
    </row>
    <row r="2653" customFormat="false" ht="15" hidden="false" customHeight="true" outlineLevel="0" collapsed="false">
      <c r="A2653" s="8" t="s">
        <v>42</v>
      </c>
      <c r="B2653" s="8" t="s">
        <v>993</v>
      </c>
      <c r="C2653" s="19" t="n">
        <v>2</v>
      </c>
      <c r="D2653" s="19" t="n">
        <v>279.5</v>
      </c>
      <c r="E2653" s="19" t="n">
        <v>2</v>
      </c>
      <c r="F2653" s="19" t="n">
        <v>321.87</v>
      </c>
      <c r="G2653" s="8" t="n">
        <f aca="false">IFERROR(INDEX('TRANS'!$B:$B,MATCH($B2653,'TRANS'!$A:$A,0)),IFERROR(INDEX('TRANS'!$B:$B,MATCH(TRIM(SUBSTITUTE($B2653,CHAR(160)," ")),'TRANS'!$D:$D,0)),IFERROR(INDEX('Catalog'!$A:$A,MATCH($B2653,'Catalog'!$B:$B,0)),IFERROR(INDEX('Catalog'!$A:$A,MATCH(TRIM(SUBSTITUTE($B2653,CHAR(160)," ")),'Catalog'!$C:$C,0)),""))))</f>
        <v>4413427</v>
      </c>
      <c r="H2653" s="8" t="str">
        <f aca="false">IFERROR(INDEX('TRANS'!$C:$C,MATCH($B2653,'TRANS'!$A:$A,0)),IFERROR(INDEX('Catalog'!$B:$B,MATCH($G2653,'Catalog'!$A:$A,0)),$B2653))</f>
        <v>SC35R  XLמגן קרסול ימין</v>
      </c>
      <c r="I2653" s="8" t="str">
        <f aca="false">IF($G2653="","Unmatched","Matched")</f>
        <v>Matched</v>
      </c>
      <c r="J2653" s="8" t="n">
        <f aca="false">IF($G2653&lt;&gt;"",$G2653,$B2653)</f>
        <v>4413427</v>
      </c>
      <c r="K2653" s="8" t="str">
        <f aca="false">IF(COUNTIF($M$1:$M$10,$A2653)&gt;0,"Y","N")</f>
        <v>Y</v>
      </c>
    </row>
    <row r="2654" customFormat="false" ht="15" hidden="false" customHeight="true" outlineLevel="0" collapsed="false">
      <c r="A2654" s="8" t="s">
        <v>42</v>
      </c>
      <c r="B2654" s="8" t="s">
        <v>842</v>
      </c>
      <c r="C2654" s="19" t="n">
        <v>32</v>
      </c>
      <c r="D2654" s="19" t="n">
        <v>7712.87</v>
      </c>
      <c r="E2654" s="19" t="n">
        <v>30</v>
      </c>
      <c r="F2654" s="19" t="n">
        <v>8480.59</v>
      </c>
      <c r="G2654" s="8" t="n">
        <f aca="false">IFERROR(INDEX('TRANS'!$B:$B,MATCH($B2654,'TRANS'!$A:$A,0)),IFERROR(INDEX('TRANS'!$B:$B,MATCH(TRIM(SUBSTITUTE($B2654,CHAR(160)," ")),'TRANS'!$D:$D,0)),IFERROR(INDEX('Catalog'!$A:$A,MATCH($B2654,'Catalog'!$B:$B,0)),IFERROR(INDEX('Catalog'!$A:$A,MATCH(TRIM(SUBSTITUTE($B2654,CHAR(160)," ")),'Catalog'!$C:$C,0)),""))))</f>
        <v>4413417</v>
      </c>
      <c r="H2654" s="8" t="str">
        <f aca="false">IFERROR(INDEX('TRANS'!$C:$C,MATCH($B2654,'TRANS'!$A:$A,0)),IFERROR(INDEX('Catalog'!$B:$B,MATCH($G2654,'Catalog'!$A:$A,0)),$B2654))</f>
        <v>SC39  L מגן שוק</v>
      </c>
      <c r="I2654" s="8" t="str">
        <f aca="false">IF($G2654="","Unmatched","Matched")</f>
        <v>Matched</v>
      </c>
      <c r="J2654" s="8" t="n">
        <f aca="false">IF($G2654&lt;&gt;"",$G2654,$B2654)</f>
        <v>4413417</v>
      </c>
      <c r="K2654" s="8" t="str">
        <f aca="false">IF(COUNTIF($M$1:$M$10,$A2654)&gt;0,"Y","N")</f>
        <v>Y</v>
      </c>
    </row>
    <row r="2655" customFormat="false" ht="15" hidden="false" customHeight="true" outlineLevel="0" collapsed="false">
      <c r="A2655" s="8" t="s">
        <v>42</v>
      </c>
      <c r="B2655" s="8" t="s">
        <v>756</v>
      </c>
      <c r="C2655" s="19" t="n">
        <v>48</v>
      </c>
      <c r="D2655" s="19" t="n">
        <v>11668.72</v>
      </c>
      <c r="E2655" s="19" t="n">
        <v>43</v>
      </c>
      <c r="F2655" s="19" t="n">
        <v>11521.22</v>
      </c>
      <c r="G2655" s="8" t="n">
        <f aca="false">IFERROR(INDEX('TRANS'!$B:$B,MATCH($B2655,'TRANS'!$A:$A,0)),IFERROR(INDEX('TRANS'!$B:$B,MATCH(TRIM(SUBSTITUTE($B2655,CHAR(160)," ")),'TRANS'!$D:$D,0)),IFERROR(INDEX('Catalog'!$A:$A,MATCH($B2655,'Catalog'!$B:$B,0)),IFERROR(INDEX('Catalog'!$A:$A,MATCH(TRIM(SUBSTITUTE($B2655,CHAR(160)," ")),'Catalog'!$C:$C,0)),""))))</f>
        <v>4413416</v>
      </c>
      <c r="H2655" s="8" t="str">
        <f aca="false">IFERROR(INDEX('TRANS'!$C:$C,MATCH($B2655,'TRANS'!$A:$A,0)),IFERROR(INDEX('Catalog'!$B:$B,MATCH($G2655,'Catalog'!$A:$A,0)),$B2655))</f>
        <v>SC39  M מגן שוק</v>
      </c>
      <c r="I2655" s="8" t="str">
        <f aca="false">IF($G2655="","Unmatched","Matched")</f>
        <v>Matched</v>
      </c>
      <c r="J2655" s="8" t="n">
        <f aca="false">IF($G2655&lt;&gt;"",$G2655,$B2655)</f>
        <v>4413416</v>
      </c>
      <c r="K2655" s="8" t="str">
        <f aca="false">IF(COUNTIF($M$1:$M$10,$A2655)&gt;0,"Y","N")</f>
        <v>Y</v>
      </c>
    </row>
    <row r="2656" customFormat="false" ht="15" hidden="false" customHeight="true" outlineLevel="0" collapsed="false">
      <c r="A2656" s="8" t="s">
        <v>42</v>
      </c>
      <c r="B2656" s="8" t="s">
        <v>843</v>
      </c>
      <c r="C2656" s="19" t="n">
        <v>8</v>
      </c>
      <c r="D2656" s="19" t="n">
        <v>1905.33</v>
      </c>
      <c r="E2656" s="19" t="n">
        <v>9</v>
      </c>
      <c r="F2656" s="19" t="n">
        <v>2550.14</v>
      </c>
      <c r="G2656" s="8" t="n">
        <f aca="false">IFERROR(INDEX('TRANS'!$B:$B,MATCH($B2656,'TRANS'!$A:$A,0)),IFERROR(INDEX('TRANS'!$B:$B,MATCH(TRIM(SUBSTITUTE($B2656,CHAR(160)," ")),'TRANS'!$D:$D,0)),IFERROR(INDEX('Catalog'!$A:$A,MATCH($B2656,'Catalog'!$B:$B,0)),IFERROR(INDEX('Catalog'!$A:$A,MATCH(TRIM(SUBSTITUTE($B2656,CHAR(160)," ")),'Catalog'!$C:$C,0)),""))))</f>
        <v>4413415</v>
      </c>
      <c r="H2656" s="8" t="str">
        <f aca="false">IFERROR(INDEX('TRANS'!$C:$C,MATCH($B2656,'TRANS'!$A:$A,0)),IFERROR(INDEX('Catalog'!$B:$B,MATCH($G2656,'Catalog'!$A:$A,0)),$B2656))</f>
        <v>SC39  S מגן שוק</v>
      </c>
      <c r="I2656" s="8" t="str">
        <f aca="false">IF($G2656="","Unmatched","Matched")</f>
        <v>Matched</v>
      </c>
      <c r="J2656" s="8" t="n">
        <f aca="false">IF($G2656&lt;&gt;"",$G2656,$B2656)</f>
        <v>4413415</v>
      </c>
      <c r="K2656" s="8" t="str">
        <f aca="false">IF(COUNTIF($M$1:$M$10,$A2656)&gt;0,"Y","N")</f>
        <v>Y</v>
      </c>
    </row>
    <row r="2657" customFormat="false" ht="15" hidden="false" customHeight="true" outlineLevel="0" collapsed="false">
      <c r="A2657" s="8" t="s">
        <v>42</v>
      </c>
      <c r="B2657" s="8" t="s">
        <v>931</v>
      </c>
      <c r="C2657" s="19" t="n">
        <v>5</v>
      </c>
      <c r="D2657" s="19" t="n">
        <v>1239.44</v>
      </c>
      <c r="E2657" s="19" t="n">
        <v>8</v>
      </c>
      <c r="F2657" s="19" t="n">
        <v>2223.84</v>
      </c>
      <c r="G2657" s="8" t="n">
        <f aca="false">IFERROR(INDEX('TRANS'!$B:$B,MATCH($B2657,'TRANS'!$A:$A,0)),IFERROR(INDEX('TRANS'!$B:$B,MATCH(TRIM(SUBSTITUTE($B2657,CHAR(160)," ")),'TRANS'!$D:$D,0)),IFERROR(INDEX('Catalog'!$A:$A,MATCH($B2657,'Catalog'!$B:$B,0)),IFERROR(INDEX('Catalog'!$A:$A,MATCH(TRIM(SUBSTITUTE($B2657,CHAR(160)," ")),'Catalog'!$C:$C,0)),""))))</f>
        <v>4413418</v>
      </c>
      <c r="H2657" s="8" t="str">
        <f aca="false">IFERROR(INDEX('TRANS'!$C:$C,MATCH($B2657,'TRANS'!$A:$A,0)),IFERROR(INDEX('Catalog'!$B:$B,MATCH($G2657,'Catalog'!$A:$A,0)),$B2657))</f>
        <v>SC39 XL מגן שוק</v>
      </c>
      <c r="I2657" s="8" t="str">
        <f aca="false">IF($G2657="","Unmatched","Matched")</f>
        <v>Matched</v>
      </c>
      <c r="J2657" s="8" t="n">
        <f aca="false">IF($G2657&lt;&gt;"",$G2657,$B2657)</f>
        <v>4413418</v>
      </c>
      <c r="K2657" s="8" t="str">
        <f aca="false">IF(COUNTIF($M$1:$M$10,$A2657)&gt;0,"Y","N")</f>
        <v>Y</v>
      </c>
    </row>
    <row r="2658" customFormat="false" ht="15" hidden="false" customHeight="true" outlineLevel="0" collapsed="false">
      <c r="A2658" s="8" t="s">
        <v>42</v>
      </c>
      <c r="B2658" s="8" t="s">
        <v>932</v>
      </c>
      <c r="C2658" s="19" t="n">
        <v>5</v>
      </c>
      <c r="D2658" s="19" t="n">
        <v>1131.82</v>
      </c>
      <c r="E2658" s="19" t="n">
        <v>3</v>
      </c>
      <c r="F2658" s="19" t="n">
        <v>830.28</v>
      </c>
      <c r="G2658" s="8" t="n">
        <f aca="false">IFERROR(INDEX('TRANS'!$B:$B,MATCH($B2658,'TRANS'!$A:$A,0)),IFERROR(INDEX('TRANS'!$B:$B,MATCH(TRIM(SUBSTITUTE($B2658,CHAR(160)," ")),'TRANS'!$D:$D,0)),IFERROR(INDEX('Catalog'!$A:$A,MATCH($B2658,'Catalog'!$B:$B,0)),IFERROR(INDEX('Catalog'!$A:$A,MATCH(TRIM(SUBSTITUTE($B2658,CHAR(160)," ")),'Catalog'!$C:$C,0)),""))))</f>
        <v>4413419</v>
      </c>
      <c r="H2658" s="8" t="str">
        <f aca="false">IFERROR(INDEX('TRANS'!$C:$C,MATCH($B2658,'TRANS'!$A:$A,0)),IFERROR(INDEX('Catalog'!$B:$B,MATCH($G2658,'Catalog'!$A:$A,0)),$B2658))</f>
        <v>SC39 XXLמגן שוק</v>
      </c>
      <c r="I2658" s="8" t="str">
        <f aca="false">IF($G2658="","Unmatched","Matched")</f>
        <v>Matched</v>
      </c>
      <c r="J2658" s="8" t="n">
        <f aca="false">IF($G2658&lt;&gt;"",$G2658,$B2658)</f>
        <v>4413419</v>
      </c>
      <c r="K2658" s="8" t="str">
        <f aca="false">IF(COUNTIF($M$1:$M$10,$A2658)&gt;0,"Y","N")</f>
        <v>Y</v>
      </c>
    </row>
    <row r="2659" customFormat="false" ht="15" hidden="false" customHeight="true" outlineLevel="0" collapsed="false">
      <c r="A2659" s="8" t="s">
        <v>42</v>
      </c>
      <c r="B2659" s="8" t="s">
        <v>844</v>
      </c>
      <c r="C2659" s="19" t="n">
        <v>104</v>
      </c>
      <c r="D2659" s="19" t="n">
        <v>22533.16</v>
      </c>
      <c r="E2659" s="19" t="n">
        <v>98</v>
      </c>
      <c r="F2659" s="19" t="n">
        <v>21742.65</v>
      </c>
      <c r="G2659" s="8" t="n">
        <f aca="false">IFERROR(INDEX('TRANS'!$B:$B,MATCH($B2659,'TRANS'!$A:$A,0)),IFERROR(INDEX('TRANS'!$B:$B,MATCH(TRIM(SUBSTITUTE($B2659,CHAR(160)," ")),'TRANS'!$D:$D,0)),IFERROR(INDEX('Catalog'!$A:$A,MATCH($B2659,'Catalog'!$B:$B,0)),IFERROR(INDEX('Catalog'!$A:$A,MATCH(TRIM(SUBSTITUTE($B2659,CHAR(160)," ")),'Catalog'!$C:$C,0)),""))))</f>
        <v>4413440</v>
      </c>
      <c r="H2659" s="8" t="str">
        <f aca="false">IFERROR(INDEX('TRANS'!$C:$C,MATCH($B2659,'TRANS'!$A:$A,0)),IFERROR(INDEX('Catalog'!$B:$B,MATCH($G2659,'Catalog'!$A:$A,0)),$B2659))</f>
        <v>SC422  L מגן ברך</v>
      </c>
      <c r="I2659" s="8" t="str">
        <f aca="false">IF($G2659="","Unmatched","Matched")</f>
        <v>Matched</v>
      </c>
      <c r="J2659" s="8" t="n">
        <f aca="false">IF($G2659&lt;&gt;"",$G2659,$B2659)</f>
        <v>4413440</v>
      </c>
      <c r="K2659" s="8" t="str">
        <f aca="false">IF(COUNTIF($M$1:$M$10,$A2659)&gt;0,"Y","N")</f>
        <v>Y</v>
      </c>
    </row>
    <row r="2660" customFormat="false" ht="15" hidden="false" customHeight="true" outlineLevel="0" collapsed="false">
      <c r="A2660" s="8" t="s">
        <v>42</v>
      </c>
      <c r="B2660" s="8" t="s">
        <v>757</v>
      </c>
      <c r="C2660" s="19" t="n">
        <v>110</v>
      </c>
      <c r="D2660" s="19" t="n">
        <v>23786.53</v>
      </c>
      <c r="E2660" s="19" t="n">
        <v>92</v>
      </c>
      <c r="F2660" s="19" t="n">
        <v>20424.09</v>
      </c>
      <c r="G2660" s="8" t="n">
        <f aca="false">IFERROR(INDEX('TRANS'!$B:$B,MATCH($B2660,'TRANS'!$A:$A,0)),IFERROR(INDEX('TRANS'!$B:$B,MATCH(TRIM(SUBSTITUTE($B2660,CHAR(160)," ")),'TRANS'!$D:$D,0)),IFERROR(INDEX('Catalog'!$A:$A,MATCH($B2660,'Catalog'!$B:$B,0)),IFERROR(INDEX('Catalog'!$A:$A,MATCH(TRIM(SUBSTITUTE($B2660,CHAR(160)," ")),'Catalog'!$C:$C,0)),""))))</f>
        <v>4413439</v>
      </c>
      <c r="H2660" s="8" t="str">
        <f aca="false">IFERROR(INDEX('TRANS'!$C:$C,MATCH($B2660,'TRANS'!$A:$A,0)),IFERROR(INDEX('Catalog'!$B:$B,MATCH($G2660,'Catalog'!$A:$A,0)),$B2660))</f>
        <v>SC422  M מגן ברך</v>
      </c>
      <c r="I2660" s="8" t="str">
        <f aca="false">IF($G2660="","Unmatched","Matched")</f>
        <v>Matched</v>
      </c>
      <c r="J2660" s="8" t="n">
        <f aca="false">IF($G2660&lt;&gt;"",$G2660,$B2660)</f>
        <v>4413439</v>
      </c>
      <c r="K2660" s="8" t="str">
        <f aca="false">IF(COUNTIF($M$1:$M$10,$A2660)&gt;0,"Y","N")</f>
        <v>Y</v>
      </c>
    </row>
    <row r="2661" customFormat="false" ht="15" hidden="false" customHeight="true" outlineLevel="0" collapsed="false">
      <c r="A2661" s="8" t="s">
        <v>42</v>
      </c>
      <c r="B2661" s="8" t="s">
        <v>845</v>
      </c>
      <c r="C2661" s="19" t="n">
        <v>24</v>
      </c>
      <c r="D2661" s="19" t="n">
        <v>5398.22</v>
      </c>
      <c r="E2661" s="19" t="n">
        <v>32</v>
      </c>
      <c r="F2661" s="19" t="n">
        <v>6862.08</v>
      </c>
      <c r="G2661" s="8" t="n">
        <f aca="false">IFERROR(INDEX('TRANS'!$B:$B,MATCH($B2661,'TRANS'!$A:$A,0)),IFERROR(INDEX('TRANS'!$B:$B,MATCH(TRIM(SUBSTITUTE($B2661,CHAR(160)," ")),'TRANS'!$D:$D,0)),IFERROR(INDEX('Catalog'!$A:$A,MATCH($B2661,'Catalog'!$B:$B,0)),IFERROR(INDEX('Catalog'!$A:$A,MATCH(TRIM(SUBSTITUTE($B2661,CHAR(160)," ")),'Catalog'!$C:$C,0)),""))))</f>
        <v>4413438</v>
      </c>
      <c r="H2661" s="8" t="str">
        <f aca="false">IFERROR(INDEX('TRANS'!$C:$C,MATCH($B2661,'TRANS'!$A:$A,0)),IFERROR(INDEX('Catalog'!$B:$B,MATCH($G2661,'Catalog'!$A:$A,0)),$B2661))</f>
        <v>SC422  S מגן ברך</v>
      </c>
      <c r="I2661" s="8" t="str">
        <f aca="false">IF($G2661="","Unmatched","Matched")</f>
        <v>Matched</v>
      </c>
      <c r="J2661" s="8" t="n">
        <f aca="false">IF($G2661&lt;&gt;"",$G2661,$B2661)</f>
        <v>4413438</v>
      </c>
      <c r="K2661" s="8" t="str">
        <f aca="false">IF(COUNTIF($M$1:$M$10,$A2661)&gt;0,"Y","N")</f>
        <v>Y</v>
      </c>
    </row>
    <row r="2662" customFormat="false" ht="15" hidden="false" customHeight="true" outlineLevel="0" collapsed="false">
      <c r="A2662" s="8" t="s">
        <v>42</v>
      </c>
      <c r="B2662" s="8" t="s">
        <v>846</v>
      </c>
      <c r="C2662" s="19" t="n">
        <v>30</v>
      </c>
      <c r="D2662" s="19" t="n">
        <v>6655.4</v>
      </c>
      <c r="E2662" s="19" t="n">
        <v>44</v>
      </c>
      <c r="F2662" s="19" t="n">
        <v>9975.14</v>
      </c>
      <c r="G2662" s="8" t="n">
        <f aca="false">IFERROR(INDEX('TRANS'!$B:$B,MATCH($B2662,'TRANS'!$A:$A,0)),IFERROR(INDEX('TRANS'!$B:$B,MATCH(TRIM(SUBSTITUTE($B2662,CHAR(160)," ")),'TRANS'!$D:$D,0)),IFERROR(INDEX('Catalog'!$A:$A,MATCH($B2662,'Catalog'!$B:$B,0)),IFERROR(INDEX('Catalog'!$A:$A,MATCH(TRIM(SUBSTITUTE($B2662,CHAR(160)," ")),'Catalog'!$C:$C,0)),""))))</f>
        <v>4413441</v>
      </c>
      <c r="H2662" s="8" t="str">
        <f aca="false">IFERROR(INDEX('TRANS'!$C:$C,MATCH($B2662,'TRANS'!$A:$A,0)),IFERROR(INDEX('Catalog'!$B:$B,MATCH($G2662,'Catalog'!$A:$A,0)),$B2662))</f>
        <v>SC422 XL מגן ברך</v>
      </c>
      <c r="I2662" s="8" t="str">
        <f aca="false">IF($G2662="","Unmatched","Matched")</f>
        <v>Matched</v>
      </c>
      <c r="J2662" s="8" t="n">
        <f aca="false">IF($G2662&lt;&gt;"",$G2662,$B2662)</f>
        <v>4413441</v>
      </c>
      <c r="K2662" s="8" t="str">
        <f aca="false">IF(COUNTIF($M$1:$M$10,$A2662)&gt;0,"Y","N")</f>
        <v>Y</v>
      </c>
    </row>
    <row r="2663" customFormat="false" ht="15" hidden="false" customHeight="true" outlineLevel="0" collapsed="false">
      <c r="A2663" s="8" t="s">
        <v>42</v>
      </c>
      <c r="B2663" s="8" t="s">
        <v>758</v>
      </c>
      <c r="C2663" s="19" t="n">
        <v>19</v>
      </c>
      <c r="D2663" s="19" t="n">
        <v>4359.52</v>
      </c>
      <c r="E2663" s="19" t="n">
        <v>18</v>
      </c>
      <c r="F2663" s="19" t="n">
        <v>4002.89</v>
      </c>
      <c r="G2663" s="8" t="n">
        <f aca="false">IFERROR(INDEX('TRANS'!$B:$B,MATCH($B2663,'TRANS'!$A:$A,0)),IFERROR(INDEX('TRANS'!$B:$B,MATCH(TRIM(SUBSTITUTE($B2663,CHAR(160)," ")),'TRANS'!$D:$D,0)),IFERROR(INDEX('Catalog'!$A:$A,MATCH($B2663,'Catalog'!$B:$B,0)),IFERROR(INDEX('Catalog'!$A:$A,MATCH(TRIM(SUBSTITUTE($B2663,CHAR(160)," ")),'Catalog'!$C:$C,0)),""))))</f>
        <v>4413442</v>
      </c>
      <c r="H2663" s="8" t="str">
        <f aca="false">IFERROR(INDEX('TRANS'!$C:$C,MATCH($B2663,'TRANS'!$A:$A,0)),IFERROR(INDEX('Catalog'!$B:$B,MATCH($G2663,'Catalog'!$A:$A,0)),$B2663))</f>
        <v>SC422 XXLמגן ברך</v>
      </c>
      <c r="I2663" s="8" t="str">
        <f aca="false">IF($G2663="","Unmatched","Matched")</f>
        <v>Matched</v>
      </c>
      <c r="J2663" s="8" t="n">
        <f aca="false">IF($G2663&lt;&gt;"",$G2663,$B2663)</f>
        <v>4413442</v>
      </c>
      <c r="K2663" s="8" t="str">
        <f aca="false">IF(COUNTIF($M$1:$M$10,$A2663)&gt;0,"Y","N")</f>
        <v>Y</v>
      </c>
    </row>
    <row r="2664" customFormat="false" ht="15" hidden="false" customHeight="true" outlineLevel="0" collapsed="false">
      <c r="A2664" s="8" t="s">
        <v>42</v>
      </c>
      <c r="B2664" s="8" t="s">
        <v>759</v>
      </c>
      <c r="C2664" s="19" t="n">
        <v>57</v>
      </c>
      <c r="D2664" s="19" t="n">
        <v>7428.9</v>
      </c>
      <c r="E2664" s="19" t="n">
        <v>49</v>
      </c>
      <c r="F2664" s="19" t="n">
        <v>7479.33</v>
      </c>
      <c r="G2664" s="8" t="n">
        <f aca="false">IFERROR(INDEX('TRANS'!$B:$B,MATCH($B2664,'TRANS'!$A:$A,0)),IFERROR(INDEX('TRANS'!$B:$B,MATCH(TRIM(SUBSTITUTE($B2664,CHAR(160)," ")),'TRANS'!$D:$D,0)),IFERROR(INDEX('Catalog'!$A:$A,MATCH($B2664,'Catalog'!$B:$B,0)),IFERROR(INDEX('Catalog'!$A:$A,MATCH(TRIM(SUBSTITUTE($B2664,CHAR(160)," ")),'Catalog'!$C:$C,0)),""))))</f>
        <v>4413407</v>
      </c>
      <c r="H2664" s="8" t="str">
        <f aca="false">IFERROR(INDEX('TRANS'!$C:$C,MATCH($B2664,'TRANS'!$A:$A,0)),IFERROR(INDEX('Catalog'!$B:$B,MATCH($G2664,'Catalog'!$A:$A,0)),$B2664))</f>
        <v>SC95 L מגן מרפק</v>
      </c>
      <c r="I2664" s="8" t="str">
        <f aca="false">IF($G2664="","Unmatched","Matched")</f>
        <v>Matched</v>
      </c>
      <c r="J2664" s="8" t="n">
        <f aca="false">IF($G2664&lt;&gt;"",$G2664,$B2664)</f>
        <v>4413407</v>
      </c>
      <c r="K2664" s="8" t="str">
        <f aca="false">IF(COUNTIF($M$1:$M$10,$A2664)&gt;0,"Y","N")</f>
        <v>Y</v>
      </c>
    </row>
    <row r="2665" customFormat="false" ht="15" hidden="false" customHeight="true" outlineLevel="0" collapsed="false">
      <c r="A2665" s="8" t="s">
        <v>42</v>
      </c>
      <c r="B2665" s="8" t="s">
        <v>760</v>
      </c>
      <c r="C2665" s="19" t="n">
        <v>62</v>
      </c>
      <c r="D2665" s="19" t="n">
        <v>7912.97</v>
      </c>
      <c r="E2665" s="19" t="n">
        <v>24</v>
      </c>
      <c r="F2665" s="19" t="n">
        <v>3511.4</v>
      </c>
      <c r="G2665" s="8" t="n">
        <f aca="false">IFERROR(INDEX('TRANS'!$B:$B,MATCH($B2665,'TRANS'!$A:$A,0)),IFERROR(INDEX('TRANS'!$B:$B,MATCH(TRIM(SUBSTITUTE($B2665,CHAR(160)," ")),'TRANS'!$D:$D,0)),IFERROR(INDEX('Catalog'!$A:$A,MATCH($B2665,'Catalog'!$B:$B,0)),IFERROR(INDEX('Catalog'!$A:$A,MATCH(TRIM(SUBSTITUTE($B2665,CHAR(160)," ")),'Catalog'!$C:$C,0)),""))))</f>
        <v>4413406</v>
      </c>
      <c r="H2665" s="8" t="str">
        <f aca="false">IFERROR(INDEX('TRANS'!$C:$C,MATCH($B2665,'TRANS'!$A:$A,0)),IFERROR(INDEX('Catalog'!$B:$B,MATCH($G2665,'Catalog'!$A:$A,0)),$B2665))</f>
        <v>SC95 M מגן מרפק</v>
      </c>
      <c r="I2665" s="8" t="str">
        <f aca="false">IF($G2665="","Unmatched","Matched")</f>
        <v>Matched</v>
      </c>
      <c r="J2665" s="8" t="n">
        <f aca="false">IF($G2665&lt;&gt;"",$G2665,$B2665)</f>
        <v>4413406</v>
      </c>
      <c r="K2665" s="8" t="str">
        <f aca="false">IF(COUNTIF($M$1:$M$10,$A2665)&gt;0,"Y","N")</f>
        <v>Y</v>
      </c>
    </row>
    <row r="2666" customFormat="false" ht="15" hidden="false" customHeight="true" outlineLevel="0" collapsed="false">
      <c r="A2666" s="8" t="s">
        <v>42</v>
      </c>
      <c r="B2666" s="8" t="s">
        <v>761</v>
      </c>
      <c r="C2666" s="19" t="n">
        <v>13</v>
      </c>
      <c r="D2666" s="19" t="n">
        <v>1727.35</v>
      </c>
      <c r="E2666" s="19" t="n">
        <v>19</v>
      </c>
      <c r="F2666" s="19" t="n">
        <v>2879.92</v>
      </c>
      <c r="G2666" s="8" t="n">
        <f aca="false">IFERROR(INDEX('TRANS'!$B:$B,MATCH($B2666,'TRANS'!$A:$A,0)),IFERROR(INDEX('TRANS'!$B:$B,MATCH(TRIM(SUBSTITUTE($B2666,CHAR(160)," ")),'TRANS'!$D:$D,0)),IFERROR(INDEX('Catalog'!$A:$A,MATCH($B2666,'Catalog'!$B:$B,0)),IFERROR(INDEX('Catalog'!$A:$A,MATCH(TRIM(SUBSTITUTE($B2666,CHAR(160)," ")),'Catalog'!$C:$C,0)),""))))</f>
        <v>4413405</v>
      </c>
      <c r="H2666" s="8" t="str">
        <f aca="false">IFERROR(INDEX('TRANS'!$C:$C,MATCH($B2666,'TRANS'!$A:$A,0)),IFERROR(INDEX('Catalog'!$B:$B,MATCH($G2666,'Catalog'!$A:$A,0)),$B2666))</f>
        <v>SC95 S מגן מרפק</v>
      </c>
      <c r="I2666" s="8" t="str">
        <f aca="false">IF($G2666="","Unmatched","Matched")</f>
        <v>Matched</v>
      </c>
      <c r="J2666" s="8" t="n">
        <f aca="false">IF($G2666&lt;&gt;"",$G2666,$B2666)</f>
        <v>4413405</v>
      </c>
      <c r="K2666" s="8" t="str">
        <f aca="false">IF(COUNTIF($M$1:$M$10,$A2666)&gt;0,"Y","N")</f>
        <v>Y</v>
      </c>
    </row>
    <row r="2667" customFormat="false" ht="15" hidden="false" customHeight="true" outlineLevel="0" collapsed="false">
      <c r="A2667" s="8" t="s">
        <v>42</v>
      </c>
      <c r="B2667" s="8" t="s">
        <v>847</v>
      </c>
      <c r="C2667" s="19" t="n">
        <v>17</v>
      </c>
      <c r="D2667" s="19" t="n">
        <v>2215.35</v>
      </c>
      <c r="E2667" s="19" t="n">
        <v>22</v>
      </c>
      <c r="F2667" s="19" t="n">
        <v>3405.1</v>
      </c>
      <c r="G2667" s="8" t="n">
        <f aca="false">IFERROR(INDEX('TRANS'!$B:$B,MATCH($B2667,'TRANS'!$A:$A,0)),IFERROR(INDEX('TRANS'!$B:$B,MATCH(TRIM(SUBSTITUTE($B2667,CHAR(160)," ")),'TRANS'!$D:$D,0)),IFERROR(INDEX('Catalog'!$A:$A,MATCH($B2667,'Catalog'!$B:$B,0)),IFERROR(INDEX('Catalog'!$A:$A,MATCH(TRIM(SUBSTITUTE($B2667,CHAR(160)," ")),'Catalog'!$C:$C,0)),""))))</f>
        <v>4413408</v>
      </c>
      <c r="H2667" s="8" t="str">
        <f aca="false">IFERROR(INDEX('TRANS'!$C:$C,MATCH($B2667,'TRANS'!$A:$A,0)),IFERROR(INDEX('Catalog'!$B:$B,MATCH($G2667,'Catalog'!$A:$A,0)),$B2667))</f>
        <v>SC95 XLמגן מרפק</v>
      </c>
      <c r="I2667" s="8" t="str">
        <f aca="false">IF($G2667="","Unmatched","Matched")</f>
        <v>Matched</v>
      </c>
      <c r="J2667" s="8" t="n">
        <f aca="false">IF($G2667&lt;&gt;"",$G2667,$B2667)</f>
        <v>4413408</v>
      </c>
      <c r="K2667" s="8" t="str">
        <f aca="false">IF(COUNTIF($M$1:$M$10,$A2667)&gt;0,"Y","N")</f>
        <v>Y</v>
      </c>
    </row>
    <row r="2668" customFormat="false" ht="15" hidden="false" customHeight="true" outlineLevel="0" collapsed="false">
      <c r="A2668" s="8" t="s">
        <v>42</v>
      </c>
      <c r="B2668" s="8" t="s">
        <v>762</v>
      </c>
      <c r="C2668" s="19" t="n">
        <v>0</v>
      </c>
      <c r="D2668" s="19" t="n">
        <v>0</v>
      </c>
      <c r="E2668" s="19" t="n">
        <v>7</v>
      </c>
      <c r="F2668" s="19" t="n">
        <v>1976.39</v>
      </c>
      <c r="G2668" s="8" t="n">
        <f aca="false">IFERROR(INDEX('TRANS'!$B:$B,MATCH($B2668,'TRANS'!$A:$A,0)),IFERROR(INDEX('TRANS'!$B:$B,MATCH(TRIM(SUBSTITUTE($B2668,CHAR(160)," ")),'TRANS'!$D:$D,0)),IFERROR(INDEX('Catalog'!$A:$A,MATCH($B2668,'Catalog'!$B:$B,0)),IFERROR(INDEX('Catalog'!$A:$A,MATCH(TRIM(SUBSTITUTE($B2668,CHAR(160)," ")),'Catalog'!$C:$C,0)),""))))</f>
        <v>4413534</v>
      </c>
      <c r="H2668" s="8" t="str">
        <f aca="false">IFERROR(INDEX('TRANS'!$C:$C,MATCH($B2668,'TRANS'!$A:$A,0)),IFERROR(INDEX('Catalog'!$B:$B,MATCH($G2668,'Catalog'!$A:$A,0)),$B2668))</f>
        <v>SH333 מקבע קרסול</v>
      </c>
      <c r="I2668" s="8" t="str">
        <f aca="false">IF($G2668="","Unmatched","Matched")</f>
        <v>Matched</v>
      </c>
      <c r="J2668" s="8" t="n">
        <f aca="false">IF($G2668&lt;&gt;"",$G2668,$B2668)</f>
        <v>4413534</v>
      </c>
      <c r="K2668" s="8" t="str">
        <f aca="false">IF(COUNTIF($M$1:$M$10,$A2668)&gt;0,"Y","N")</f>
        <v>Y</v>
      </c>
    </row>
    <row r="2669" customFormat="false" ht="15" hidden="false" customHeight="true" outlineLevel="0" collapsed="false">
      <c r="A2669" s="8" t="s">
        <v>42</v>
      </c>
      <c r="B2669" s="8" t="s">
        <v>890</v>
      </c>
      <c r="C2669" s="19" t="n">
        <v>1</v>
      </c>
      <c r="D2669" s="19" t="n">
        <v>324.08</v>
      </c>
      <c r="E2669" s="19" t="n">
        <v>6</v>
      </c>
      <c r="F2669" s="19" t="n">
        <v>2116.04</v>
      </c>
      <c r="G2669" s="8" t="n">
        <f aca="false">IFERROR(INDEX('TRANS'!$B:$B,MATCH($B2669,'TRANS'!$A:$A,0)),IFERROR(INDEX('TRANS'!$B:$B,MATCH(TRIM(SUBSTITUTE($B2669,CHAR(160)," ")),'TRANS'!$D:$D,0)),IFERROR(INDEX('Catalog'!$A:$A,MATCH($B2669,'Catalog'!$B:$B,0)),IFERROR(INDEX('Catalog'!$A:$A,MATCH(TRIM(SUBSTITUTE($B2669,CHAR(160)," ")),'Catalog'!$C:$C,0)),""))))</f>
        <v>4422037</v>
      </c>
      <c r="H2669" s="8" t="str">
        <f aca="false">IFERROR(INDEX('TRANS'!$C:$C,MATCH($B2669,'TRANS'!$A:$A,0)),IFERROR(INDEX('Catalog'!$B:$B,MATCH($G2669,'Catalog'!$A:$A,0)),$B2669))</f>
        <v>SH422 1 תומך ברך גנושילד</v>
      </c>
      <c r="I2669" s="8" t="str">
        <f aca="false">IF($G2669="","Unmatched","Matched")</f>
        <v>Matched</v>
      </c>
      <c r="J2669" s="8" t="n">
        <f aca="false">IF($G2669&lt;&gt;"",$G2669,$B2669)</f>
        <v>4422037</v>
      </c>
      <c r="K2669" s="8" t="str">
        <f aca="false">IF(COUNTIF($M$1:$M$10,$A2669)&gt;0,"Y","N")</f>
        <v>Y</v>
      </c>
    </row>
    <row r="2670" customFormat="false" ht="15" hidden="false" customHeight="true" outlineLevel="0" collapsed="false">
      <c r="A2670" s="8" t="s">
        <v>42</v>
      </c>
      <c r="B2670" s="8" t="s">
        <v>891</v>
      </c>
      <c r="C2670" s="19" t="n">
        <v>0</v>
      </c>
      <c r="D2670" s="19" t="n">
        <v>0</v>
      </c>
      <c r="E2670" s="19" t="n">
        <v>13</v>
      </c>
      <c r="F2670" s="19" t="n">
        <v>4594.31</v>
      </c>
      <c r="G2670" s="8" t="n">
        <f aca="false">IFERROR(INDEX('TRANS'!$B:$B,MATCH($B2670,'TRANS'!$A:$A,0)),IFERROR(INDEX('TRANS'!$B:$B,MATCH(TRIM(SUBSTITUTE($B2670,CHAR(160)," ")),'TRANS'!$D:$D,0)),IFERROR(INDEX('Catalog'!$A:$A,MATCH($B2670,'Catalog'!$B:$B,0)),IFERROR(INDEX('Catalog'!$A:$A,MATCH(TRIM(SUBSTITUTE($B2670,CHAR(160)," ")),'Catalog'!$C:$C,0)),""))))</f>
        <v>4422038</v>
      </c>
      <c r="H2670" s="8" t="str">
        <f aca="false">IFERROR(INDEX('TRANS'!$C:$C,MATCH($B2670,'TRANS'!$A:$A,0)),IFERROR(INDEX('Catalog'!$B:$B,MATCH($G2670,'Catalog'!$A:$A,0)),$B2670))</f>
        <v>SH422 2 תומך ברך גנושילד</v>
      </c>
      <c r="I2670" s="8" t="str">
        <f aca="false">IF($G2670="","Unmatched","Matched")</f>
        <v>Matched</v>
      </c>
      <c r="J2670" s="8" t="n">
        <f aca="false">IF($G2670&lt;&gt;"",$G2670,$B2670)</f>
        <v>4422038</v>
      </c>
      <c r="K2670" s="8" t="str">
        <f aca="false">IF(COUNTIF($M$1:$M$10,$A2670)&gt;0,"Y","N")</f>
        <v>Y</v>
      </c>
    </row>
    <row r="2671" customFormat="false" ht="15" hidden="false" customHeight="true" outlineLevel="0" collapsed="false">
      <c r="A2671" s="8" t="s">
        <v>42</v>
      </c>
      <c r="B2671" s="8" t="s">
        <v>892</v>
      </c>
      <c r="C2671" s="19" t="n">
        <v>3</v>
      </c>
      <c r="D2671" s="19" t="n">
        <v>953.18</v>
      </c>
      <c r="E2671" s="19" t="n">
        <v>25</v>
      </c>
      <c r="F2671" s="19" t="n">
        <v>8864.49</v>
      </c>
      <c r="G2671" s="8" t="n">
        <f aca="false">IFERROR(INDEX('TRANS'!$B:$B,MATCH($B2671,'TRANS'!$A:$A,0)),IFERROR(INDEX('TRANS'!$B:$B,MATCH(TRIM(SUBSTITUTE($B2671,CHAR(160)," ")),'TRANS'!$D:$D,0)),IFERROR(INDEX('Catalog'!$A:$A,MATCH($B2671,'Catalog'!$B:$B,0)),IFERROR(INDEX('Catalog'!$A:$A,MATCH(TRIM(SUBSTITUTE($B2671,CHAR(160)," ")),'Catalog'!$C:$C,0)),""))))</f>
        <v>4422039</v>
      </c>
      <c r="H2671" s="8" t="str">
        <f aca="false">IFERROR(INDEX('TRANS'!$C:$C,MATCH($B2671,'TRANS'!$A:$A,0)),IFERROR(INDEX('Catalog'!$B:$B,MATCH($G2671,'Catalog'!$A:$A,0)),$B2671))</f>
        <v>SH422 3 תומך ברך גנושילד</v>
      </c>
      <c r="I2671" s="8" t="str">
        <f aca="false">IF($G2671="","Unmatched","Matched")</f>
        <v>Matched</v>
      </c>
      <c r="J2671" s="8" t="n">
        <f aca="false">IF($G2671&lt;&gt;"",$G2671,$B2671)</f>
        <v>4422039</v>
      </c>
      <c r="K2671" s="8" t="str">
        <f aca="false">IF(COUNTIF($M$1:$M$10,$A2671)&gt;0,"Y","N")</f>
        <v>Y</v>
      </c>
    </row>
    <row r="2672" customFormat="false" ht="15" hidden="false" customHeight="true" outlineLevel="0" collapsed="false">
      <c r="A2672" s="8" t="s">
        <v>42</v>
      </c>
      <c r="B2672" s="8" t="s">
        <v>893</v>
      </c>
      <c r="C2672" s="19" t="n">
        <v>3</v>
      </c>
      <c r="D2672" s="19" t="n">
        <v>972.23</v>
      </c>
      <c r="E2672" s="19" t="n">
        <v>17</v>
      </c>
      <c r="F2672" s="19" t="n">
        <v>6115.75</v>
      </c>
      <c r="G2672" s="8" t="n">
        <f aca="false">IFERROR(INDEX('TRANS'!$B:$B,MATCH($B2672,'TRANS'!$A:$A,0)),IFERROR(INDEX('TRANS'!$B:$B,MATCH(TRIM(SUBSTITUTE($B2672,CHAR(160)," ")),'TRANS'!$D:$D,0)),IFERROR(INDEX('Catalog'!$A:$A,MATCH($B2672,'Catalog'!$B:$B,0)),IFERROR(INDEX('Catalog'!$A:$A,MATCH(TRIM(SUBSTITUTE($B2672,CHAR(160)," ")),'Catalog'!$C:$C,0)),""))))</f>
        <v>4422040</v>
      </c>
      <c r="H2672" s="8" t="str">
        <f aca="false">IFERROR(INDEX('TRANS'!$C:$C,MATCH($B2672,'TRANS'!$A:$A,0)),IFERROR(INDEX('Catalog'!$B:$B,MATCH($G2672,'Catalog'!$A:$A,0)),$B2672))</f>
        <v>SH422 4 תומך ברך גנושילד</v>
      </c>
      <c r="I2672" s="8" t="str">
        <f aca="false">IF($G2672="","Unmatched","Matched")</f>
        <v>Matched</v>
      </c>
      <c r="J2672" s="8" t="n">
        <f aca="false">IF($G2672&lt;&gt;"",$G2672,$B2672)</f>
        <v>4422040</v>
      </c>
      <c r="K2672" s="8" t="str">
        <f aca="false">IF(COUNTIF($M$1:$M$10,$A2672)&gt;0,"Y","N")</f>
        <v>Y</v>
      </c>
    </row>
    <row r="2673" customFormat="false" ht="15" hidden="false" customHeight="true" outlineLevel="0" collapsed="false">
      <c r="A2673" s="8" t="s">
        <v>42</v>
      </c>
      <c r="B2673" s="8" t="s">
        <v>763</v>
      </c>
      <c r="C2673" s="19" t="n">
        <v>2</v>
      </c>
      <c r="D2673" s="19" t="n">
        <v>629.09</v>
      </c>
      <c r="E2673" s="19" t="n">
        <v>11</v>
      </c>
      <c r="F2673" s="19" t="n">
        <v>3899.34</v>
      </c>
      <c r="G2673" s="8" t="n">
        <f aca="false">IFERROR(INDEX('TRANS'!$B:$B,MATCH($B2673,'TRANS'!$A:$A,0)),IFERROR(INDEX('TRANS'!$B:$B,MATCH(TRIM(SUBSTITUTE($B2673,CHAR(160)," ")),'TRANS'!$D:$D,0)),IFERROR(INDEX('Catalog'!$A:$A,MATCH($B2673,'Catalog'!$B:$B,0)),IFERROR(INDEX('Catalog'!$A:$A,MATCH(TRIM(SUBSTITUTE($B2673,CHAR(160)," ")),'Catalog'!$C:$C,0)),""))))</f>
        <v>4422041</v>
      </c>
      <c r="H2673" s="8" t="str">
        <f aca="false">IFERROR(INDEX('TRANS'!$C:$C,MATCH($B2673,'TRANS'!$A:$A,0)),IFERROR(INDEX('Catalog'!$B:$B,MATCH($G2673,'Catalog'!$A:$A,0)),$B2673))</f>
        <v>SH422 5 תומך ברך גנושילד</v>
      </c>
      <c r="I2673" s="8" t="str">
        <f aca="false">IF($G2673="","Unmatched","Matched")</f>
        <v>Matched</v>
      </c>
      <c r="J2673" s="8" t="n">
        <f aca="false">IF($G2673&lt;&gt;"",$G2673,$B2673)</f>
        <v>4422041</v>
      </c>
      <c r="K2673" s="8" t="str">
        <f aca="false">IF(COUNTIF($M$1:$M$10,$A2673)&gt;0,"Y","N")</f>
        <v>Y</v>
      </c>
    </row>
    <row r="2674" customFormat="false" ht="15" hidden="false" customHeight="true" outlineLevel="0" collapsed="false">
      <c r="A2674" s="8" t="s">
        <v>42</v>
      </c>
      <c r="B2674" s="8" t="s">
        <v>894</v>
      </c>
      <c r="C2674" s="19" t="n">
        <v>3</v>
      </c>
      <c r="D2674" s="19" t="n">
        <v>953.18</v>
      </c>
      <c r="E2674" s="19" t="n">
        <v>6</v>
      </c>
      <c r="F2674" s="19" t="n">
        <v>2173.24</v>
      </c>
      <c r="G2674" s="8" t="n">
        <f aca="false">IFERROR(INDEX('TRANS'!$B:$B,MATCH($B2674,'TRANS'!$A:$A,0)),IFERROR(INDEX('TRANS'!$B:$B,MATCH(TRIM(SUBSTITUTE($B2674,CHAR(160)," ")),'TRANS'!$D:$D,0)),IFERROR(INDEX('Catalog'!$A:$A,MATCH($B2674,'Catalog'!$B:$B,0)),IFERROR(INDEX('Catalog'!$A:$A,MATCH(TRIM(SUBSTITUTE($B2674,CHAR(160)," ")),'Catalog'!$C:$C,0)),""))))</f>
        <v>4422042</v>
      </c>
      <c r="H2674" s="8" t="str">
        <f aca="false">IFERROR(INDEX('TRANS'!$C:$C,MATCH($B2674,'TRANS'!$A:$A,0)),IFERROR(INDEX('Catalog'!$B:$B,MATCH($G2674,'Catalog'!$A:$A,0)),$B2674))</f>
        <v>SH422 6 תומך ברך גנושילד</v>
      </c>
      <c r="I2674" s="8" t="str">
        <f aca="false">IF($G2674="","Unmatched","Matched")</f>
        <v>Matched</v>
      </c>
      <c r="J2674" s="8" t="n">
        <f aca="false">IF($G2674&lt;&gt;"",$G2674,$B2674)</f>
        <v>4422042</v>
      </c>
      <c r="K2674" s="8" t="str">
        <f aca="false">IF(COUNTIF($M$1:$M$10,$A2674)&gt;0,"Y","N")</f>
        <v>Y</v>
      </c>
    </row>
    <row r="2675" customFormat="false" ht="15" hidden="false" customHeight="true" outlineLevel="0" collapsed="false">
      <c r="A2675" s="8" t="s">
        <v>42</v>
      </c>
      <c r="B2675" s="8" t="s">
        <v>72</v>
      </c>
      <c r="C2675" s="19" t="n">
        <v>0</v>
      </c>
      <c r="D2675" s="19" t="n">
        <v>0</v>
      </c>
      <c r="E2675" s="19" t="n">
        <v>5</v>
      </c>
      <c r="F2675" s="19" t="n">
        <v>3770.84</v>
      </c>
      <c r="G2675" s="8" t="str">
        <f aca="false">IFERROR(INDEX('TRANS'!$B:$B,MATCH($B2675,'TRANS'!$A:$A,0)),IFERROR(INDEX('TRANS'!$B:$B,MATCH(TRIM(SUBSTITUTE($B2675,CHAR(160)," ")),'TRANS'!$D:$D,0)),IFERROR(INDEX('Catalog'!$A:$A,MATCH($B2675,'Catalog'!$B:$B,0)),IFERROR(INDEX('Catalog'!$A:$A,MATCH(TRIM(SUBSTITUTE($B2675,CHAR(160)," ")),'Catalog'!$C:$C,0)),""))))</f>
        <v/>
      </c>
      <c r="H2675" s="8" t="str">
        <f aca="false">IFERROR(INDEX('TRANS'!$C:$C,MATCH($B2675,'TRANS'!$A:$A,0)),IFERROR(INDEX('Catalog'!$B:$B,MATCH($G2675,'Catalog'!$A:$A,0)),$B2675))</f>
        <v>SH776 L</v>
      </c>
      <c r="I2675" s="8" t="str">
        <f aca="false">IF($G2675="","Unmatched","Matched")</f>
        <v>Unmatched</v>
      </c>
      <c r="J2675" s="8" t="str">
        <f aca="false">IF($G2675&lt;&gt;"",$G2675,$B2675)</f>
        <v>SH776 L</v>
      </c>
      <c r="K2675" s="8" t="str">
        <f aca="false">IF(COUNTIF($M$1:$M$10,$A2675)&gt;0,"Y","N")</f>
        <v>Y</v>
      </c>
    </row>
    <row r="2676" customFormat="false" ht="15" hidden="false" customHeight="true" outlineLevel="0" collapsed="false">
      <c r="A2676" s="8" t="s">
        <v>42</v>
      </c>
      <c r="B2676" s="8" t="s">
        <v>101</v>
      </c>
      <c r="C2676" s="19" t="n">
        <v>0</v>
      </c>
      <c r="D2676" s="19" t="n">
        <v>0</v>
      </c>
      <c r="E2676" s="19" t="n">
        <v>1</v>
      </c>
      <c r="F2676" s="19" t="n">
        <v>847.37</v>
      </c>
      <c r="G2676" s="8" t="str">
        <f aca="false">IFERROR(INDEX('TRANS'!$B:$B,MATCH($B2676,'TRANS'!$A:$A,0)),IFERROR(INDEX('TRANS'!$B:$B,MATCH(TRIM(SUBSTITUTE($B2676,CHAR(160)," ")),'TRANS'!$D:$D,0)),IFERROR(INDEX('Catalog'!$A:$A,MATCH($B2676,'Catalog'!$B:$B,0)),IFERROR(INDEX('Catalog'!$A:$A,MATCH(TRIM(SUBSTITUTE($B2676,CHAR(160)," ")),'Catalog'!$C:$C,0)),""))))</f>
        <v/>
      </c>
      <c r="H2676" s="8" t="str">
        <f aca="false">IFERROR(INDEX('TRANS'!$C:$C,MATCH($B2676,'TRANS'!$A:$A,0)),IFERROR(INDEX('Catalog'!$B:$B,MATCH($G2676,'Catalog'!$A:$A,0)),$B2676))</f>
        <v>SH776 M</v>
      </c>
      <c r="I2676" s="8" t="str">
        <f aca="false">IF($G2676="","Unmatched","Matched")</f>
        <v>Unmatched</v>
      </c>
      <c r="J2676" s="8" t="str">
        <f aca="false">IF($G2676&lt;&gt;"",$G2676,$B2676)</f>
        <v>SH776 M</v>
      </c>
      <c r="K2676" s="8" t="str">
        <f aca="false">IF(COUNTIF($M$1:$M$10,$A2676)&gt;0,"Y","N")</f>
        <v>Y</v>
      </c>
    </row>
    <row r="2677" customFormat="false" ht="15" hidden="false" customHeight="true" outlineLevel="0" collapsed="false">
      <c r="A2677" s="8" t="s">
        <v>42</v>
      </c>
      <c r="B2677" s="8" t="s">
        <v>149</v>
      </c>
      <c r="C2677" s="19" t="n">
        <v>0</v>
      </c>
      <c r="D2677" s="19" t="n">
        <v>0</v>
      </c>
      <c r="E2677" s="19" t="n">
        <v>5</v>
      </c>
      <c r="F2677" s="19" t="n">
        <v>4109.75</v>
      </c>
      <c r="G2677" s="8" t="str">
        <f aca="false">IFERROR(INDEX('TRANS'!$B:$B,MATCH($B2677,'TRANS'!$A:$A,0)),IFERROR(INDEX('TRANS'!$B:$B,MATCH(TRIM(SUBSTITUTE($B2677,CHAR(160)," ")),'TRANS'!$D:$D,0)),IFERROR(INDEX('Catalog'!$A:$A,MATCH($B2677,'Catalog'!$B:$B,0)),IFERROR(INDEX('Catalog'!$A:$A,MATCH(TRIM(SUBSTITUTE($B2677,CHAR(160)," ")),'Catalog'!$C:$C,0)),""))))</f>
        <v/>
      </c>
      <c r="H2677" s="8" t="str">
        <f aca="false">IFERROR(INDEX('TRANS'!$C:$C,MATCH($B2677,'TRANS'!$A:$A,0)),IFERROR(INDEX('Catalog'!$B:$B,MATCH($G2677,'Catalog'!$A:$A,0)),$B2677))</f>
        <v>SH776 S</v>
      </c>
      <c r="I2677" s="8" t="str">
        <f aca="false">IF($G2677="","Unmatched","Matched")</f>
        <v>Unmatched</v>
      </c>
      <c r="J2677" s="8" t="str">
        <f aca="false">IF($G2677&lt;&gt;"",$G2677,$B2677)</f>
        <v>SH776 S</v>
      </c>
      <c r="K2677" s="8" t="str">
        <f aca="false">IF(COUNTIF($M$1:$M$10,$A2677)&gt;0,"Y","N")</f>
        <v>Y</v>
      </c>
    </row>
    <row r="2678" customFormat="false" ht="15" hidden="false" customHeight="true" outlineLevel="0" collapsed="false">
      <c r="A2678" s="8" t="s">
        <v>42</v>
      </c>
      <c r="B2678" s="8" t="s">
        <v>86</v>
      </c>
      <c r="C2678" s="19" t="n">
        <v>0</v>
      </c>
      <c r="D2678" s="19" t="n">
        <v>0</v>
      </c>
      <c r="E2678" s="19" t="n">
        <v>4</v>
      </c>
      <c r="F2678" s="19" t="n">
        <v>3347.11</v>
      </c>
      <c r="G2678" s="8" t="str">
        <f aca="false">IFERROR(INDEX('TRANS'!$B:$B,MATCH($B2678,'TRANS'!$A:$A,0)),IFERROR(INDEX('TRANS'!$B:$B,MATCH(TRIM(SUBSTITUTE($B2678,CHAR(160)," ")),'TRANS'!$D:$D,0)),IFERROR(INDEX('Catalog'!$A:$A,MATCH($B2678,'Catalog'!$B:$B,0)),IFERROR(INDEX('Catalog'!$A:$A,MATCH(TRIM(SUBSTITUTE($B2678,CHAR(160)," ")),'Catalog'!$C:$C,0)),""))))</f>
        <v/>
      </c>
      <c r="H2678" s="8" t="str">
        <f aca="false">IFERROR(INDEX('TRANS'!$C:$C,MATCH($B2678,'TRANS'!$A:$A,0)),IFERROR(INDEX('Catalog'!$B:$B,MATCH($G2678,'Catalog'!$A:$A,0)),$B2678))</f>
        <v>SH776 XL</v>
      </c>
      <c r="I2678" s="8" t="str">
        <f aca="false">IF($G2678="","Unmatched","Matched")</f>
        <v>Unmatched</v>
      </c>
      <c r="J2678" s="8" t="str">
        <f aca="false">IF($G2678&lt;&gt;"",$G2678,$B2678)</f>
        <v>SH776 XL</v>
      </c>
      <c r="K2678" s="8" t="str">
        <f aca="false">IF(COUNTIF($M$1:$M$10,$A2678)&gt;0,"Y","N")</f>
        <v>Y</v>
      </c>
    </row>
    <row r="2679" customFormat="false" ht="15" hidden="false" customHeight="true" outlineLevel="0" collapsed="false">
      <c r="A2679" s="8" t="s">
        <v>42</v>
      </c>
      <c r="B2679" s="8" t="s">
        <v>138</v>
      </c>
      <c r="C2679" s="19" t="n">
        <v>3</v>
      </c>
      <c r="D2679" s="19" t="n">
        <v>347.57</v>
      </c>
      <c r="E2679" s="19" t="n">
        <v>4</v>
      </c>
      <c r="F2679" s="19" t="n">
        <v>386.2</v>
      </c>
      <c r="G2679" s="8" t="str">
        <f aca="false">IFERROR(INDEX('TRANS'!$B:$B,MATCH($B2679,'TRANS'!$A:$A,0)),IFERROR(INDEX('TRANS'!$B:$B,MATCH(TRIM(SUBSTITUTE($B2679,CHAR(160)," ")),'TRANS'!$D:$D,0)),IFERROR(INDEX('Catalog'!$A:$A,MATCH($B2679,'Catalog'!$B:$B,0)),IFERROR(INDEX('Catalog'!$A:$A,MATCH(TRIM(SUBSTITUTE($B2679,CHAR(160)," ")),'Catalog'!$C:$C,0)),""))))</f>
        <v/>
      </c>
      <c r="H2679" s="8" t="str">
        <f aca="false">IFERROR(INDEX('TRANS'!$C:$C,MATCH($B2679,'TRANS'!$A:$A,0)),IFERROR(INDEX('Catalog'!$B:$B,MATCH($G2679,'Catalog'!$A:$A,0)),$B2679))</f>
        <v>SP302W 0</v>
      </c>
      <c r="I2679" s="8" t="str">
        <f aca="false">IF($G2679="","Unmatched","Matched")</f>
        <v>Unmatched</v>
      </c>
      <c r="J2679" s="8" t="str">
        <f aca="false">IF($G2679&lt;&gt;"",$G2679,$B2679)</f>
        <v>SP302W 0</v>
      </c>
      <c r="K2679" s="8" t="str">
        <f aca="false">IF(COUNTIF($M$1:$M$10,$A2679)&gt;0,"Y","N")</f>
        <v>Y</v>
      </c>
    </row>
    <row r="2680" customFormat="false" ht="15" hidden="false" customHeight="true" outlineLevel="0" collapsed="false">
      <c r="A2680" s="8" t="s">
        <v>42</v>
      </c>
      <c r="B2680" s="8" t="s">
        <v>895</v>
      </c>
      <c r="C2680" s="19" t="n">
        <v>17</v>
      </c>
      <c r="D2680" s="19" t="n">
        <v>1808.7</v>
      </c>
      <c r="E2680" s="19" t="n">
        <v>25</v>
      </c>
      <c r="F2680" s="19" t="n">
        <v>2680.53</v>
      </c>
      <c r="G2680" s="8" t="n">
        <f aca="false">IFERROR(INDEX('TRANS'!$B:$B,MATCH($B2680,'TRANS'!$A:$A,0)),IFERROR(INDEX('TRANS'!$B:$B,MATCH(TRIM(SUBSTITUTE($B2680,CHAR(160)," ")),'TRANS'!$D:$D,0)),IFERROR(INDEX('Catalog'!$A:$A,MATCH($B2680,'Catalog'!$B:$B,0)),IFERROR(INDEX('Catalog'!$A:$A,MATCH(TRIM(SUBSTITUTE($B2680,CHAR(160)," ")),'Catalog'!$C:$C,0)),""))))</f>
        <v>4408270</v>
      </c>
      <c r="H2680" s="8" t="str">
        <f aca="false">IFERROR(INDEX('TRANS'!$C:$C,MATCH($B2680,'TRANS'!$A:$A,0)),IFERROR(INDEX('Catalog'!$B:$B,MATCH($G2680,'Catalog'!$A:$A,0)),$B2680))</f>
        <v>ST11  חגורת בטן</v>
      </c>
      <c r="I2680" s="8" t="str">
        <f aca="false">IF($G2680="","Unmatched","Matched")</f>
        <v>Matched</v>
      </c>
      <c r="J2680" s="8" t="n">
        <f aca="false">IF($G2680&lt;&gt;"",$G2680,$B2680)</f>
        <v>4408270</v>
      </c>
      <c r="K2680" s="8" t="str">
        <f aca="false">IF(COUNTIF($M$1:$M$10,$A2680)&gt;0,"Y","N")</f>
        <v>Y</v>
      </c>
    </row>
    <row r="2681" customFormat="false" ht="15" hidden="false" customHeight="true" outlineLevel="0" collapsed="false">
      <c r="A2681" s="8" t="s">
        <v>42</v>
      </c>
      <c r="B2681" s="8" t="s">
        <v>896</v>
      </c>
      <c r="C2681" s="19" t="n">
        <v>40</v>
      </c>
      <c r="D2681" s="19" t="n">
        <v>1979.25</v>
      </c>
      <c r="E2681" s="19" t="n">
        <v>37</v>
      </c>
      <c r="F2681" s="19" t="n">
        <v>1824.45</v>
      </c>
      <c r="G2681" s="8" t="n">
        <f aca="false">IFERROR(INDEX('TRANS'!$B:$B,MATCH($B2681,'TRANS'!$A:$A,0)),IFERROR(INDEX('TRANS'!$B:$B,MATCH(TRIM(SUBSTITUTE($B2681,CHAR(160)," ")),'TRANS'!$D:$D,0)),IFERROR(INDEX('Catalog'!$A:$A,MATCH($B2681,'Catalog'!$B:$B,0)),IFERROR(INDEX('Catalog'!$A:$A,MATCH(TRIM(SUBSTITUTE($B2681,CHAR(160)," ")),'Catalog'!$C:$C,0)),""))))</f>
        <v>4408268</v>
      </c>
      <c r="H2681" s="8" t="str">
        <f aca="false">IFERROR(INDEX('TRANS'!$C:$C,MATCH($B2681,'TRANS'!$A:$A,0)),IFERROR(INDEX('Catalog'!$B:$B,MATCH($G2681,'Catalog'!$A:$A,0)),$B2681))</f>
        <v>ST20 חבק יד</v>
      </c>
      <c r="I2681" s="8" t="str">
        <f aca="false">IF($G2681="","Unmatched","Matched")</f>
        <v>Matched</v>
      </c>
      <c r="J2681" s="8" t="n">
        <f aca="false">IF($G2681&lt;&gt;"",$G2681,$B2681)</f>
        <v>4408268</v>
      </c>
      <c r="K2681" s="8" t="str">
        <f aca="false">IF(COUNTIF($M$1:$M$10,$A2681)&gt;0,"Y","N")</f>
        <v>Y</v>
      </c>
    </row>
    <row r="2682" customFormat="false" ht="15" hidden="false" customHeight="true" outlineLevel="0" collapsed="false">
      <c r="A2682" s="8" t="s">
        <v>42</v>
      </c>
      <c r="B2682" s="8" t="s">
        <v>897</v>
      </c>
      <c r="C2682" s="19" t="n">
        <v>119</v>
      </c>
      <c r="D2682" s="19" t="n">
        <v>6627.84</v>
      </c>
      <c r="E2682" s="19" t="n">
        <v>75</v>
      </c>
      <c r="F2682" s="19" t="n">
        <v>4330.42</v>
      </c>
      <c r="G2682" s="8" t="n">
        <f aca="false">IFERROR(INDEX('TRANS'!$B:$B,MATCH($B2682,'TRANS'!$A:$A,0)),IFERROR(INDEX('TRANS'!$B:$B,MATCH(TRIM(SUBSTITUTE($B2682,CHAR(160)," ")),'TRANS'!$D:$D,0)),IFERROR(INDEX('Catalog'!$A:$A,MATCH($B2682,'Catalog'!$B:$B,0)),IFERROR(INDEX('Catalog'!$A:$A,MATCH(TRIM(SUBSTITUTE($B2682,CHAR(160)," ")),'Catalog'!$C:$C,0)),""))))</f>
        <v>4408267</v>
      </c>
      <c r="H2682" s="8" t="str">
        <f aca="false">IFERROR(INDEX('TRANS'!$C:$C,MATCH($B2682,'TRANS'!$A:$A,0)),IFERROR(INDEX('Catalog'!$B:$B,MATCH($G2682,'Catalog'!$A:$A,0)),$B2682))</f>
        <v>ST25 חבק שורש לכף היד</v>
      </c>
      <c r="I2682" s="8" t="str">
        <f aca="false">IF($G2682="","Unmatched","Matched")</f>
        <v>Matched</v>
      </c>
      <c r="J2682" s="8" t="n">
        <f aca="false">IF($G2682&lt;&gt;"",$G2682,$B2682)</f>
        <v>4408267</v>
      </c>
      <c r="K2682" s="8" t="str">
        <f aca="false">IF(COUNTIF($M$1:$M$10,$A2682)&gt;0,"Y","N")</f>
        <v>Y</v>
      </c>
    </row>
    <row r="2683" customFormat="false" ht="15" hidden="false" customHeight="true" outlineLevel="0" collapsed="false">
      <c r="A2683" s="8" t="s">
        <v>42</v>
      </c>
      <c r="B2683" s="8" t="s">
        <v>510</v>
      </c>
      <c r="C2683" s="19" t="n">
        <v>2</v>
      </c>
      <c r="D2683" s="19" t="n">
        <v>153.02</v>
      </c>
      <c r="E2683" s="19" t="n">
        <v>0</v>
      </c>
      <c r="F2683" s="19" t="n">
        <v>0</v>
      </c>
      <c r="G2683" s="8" t="str">
        <f aca="false">IFERROR(INDEX('TRANS'!$B:$B,MATCH($B2683,'TRANS'!$A:$A,0)),IFERROR(INDEX('TRANS'!$B:$B,MATCH(TRIM(SUBSTITUTE($B2683,CHAR(160)," ")),'TRANS'!$D:$D,0)),IFERROR(INDEX('Catalog'!$A:$A,MATCH($B2683,'Catalog'!$B:$B,0)),IFERROR(INDEX('Catalog'!$A:$A,MATCH(TRIM(SUBSTITUTE($B2683,CHAR(160)," ")),'Catalog'!$C:$C,0)),""))))</f>
        <v/>
      </c>
      <c r="H2683" s="8" t="str">
        <f aca="false">IFERROR(INDEX('TRANS'!$C:$C,MATCH($B2683,'TRANS'!$A:$A,0)),IFERROR(INDEX('Catalog'!$B:$B,MATCH($G2683,'Catalog'!$A:$A,0)),$B2683))</f>
        <v>KST27R 0</v>
      </c>
      <c r="I2683" s="8" t="str">
        <f aca="false">IF($G2683="","Unmatched","Matched")</f>
        <v>Unmatched</v>
      </c>
      <c r="J2683" s="8" t="str">
        <f aca="false">IF($G2683&lt;&gt;"",$G2683,$B2683)</f>
        <v>KST27R 0</v>
      </c>
      <c r="K2683" s="8" t="str">
        <f aca="false">IF(COUNTIF($M$1:$M$10,$A2683)&gt;0,"Y","N")</f>
        <v>Y</v>
      </c>
    </row>
    <row r="2684" customFormat="false" ht="15" hidden="false" customHeight="true" outlineLevel="0" collapsed="false">
      <c r="A2684" s="8" t="s">
        <v>42</v>
      </c>
      <c r="B2684" s="8" t="s">
        <v>74</v>
      </c>
      <c r="C2684" s="19" t="n">
        <v>27</v>
      </c>
      <c r="D2684" s="19" t="n">
        <v>2071.44</v>
      </c>
      <c r="E2684" s="19" t="n">
        <v>31</v>
      </c>
      <c r="F2684" s="19" t="n">
        <v>2565.21</v>
      </c>
      <c r="G2684" s="8" t="str">
        <f aca="false">IFERROR(INDEX('TRANS'!$B:$B,MATCH($B2684,'TRANS'!$A:$A,0)),IFERROR(INDEX('TRANS'!$B:$B,MATCH(TRIM(SUBSTITUTE($B2684,CHAR(160)," ")),'TRANS'!$D:$D,0)),IFERROR(INDEX('Catalog'!$A:$A,MATCH($B2684,'Catalog'!$B:$B,0)),IFERROR(INDEX('Catalog'!$A:$A,MATCH(TRIM(SUBSTITUTE($B2684,CHAR(160)," ")),'Catalog'!$C:$C,0)),""))))</f>
        <v/>
      </c>
      <c r="H2684" s="8" t="str">
        <f aca="false">IFERROR(INDEX('TRANS'!$C:$C,MATCH($B2684,'TRANS'!$A:$A,0)),IFERROR(INDEX('Catalog'!$B:$B,MATCH($G2684,'Catalog'!$A:$A,0)),$B2684))</f>
        <v>ST27L 0</v>
      </c>
      <c r="I2684" s="8" t="str">
        <f aca="false">IF($G2684="","Unmatched","Matched")</f>
        <v>Unmatched</v>
      </c>
      <c r="J2684" s="8" t="str">
        <f aca="false">IF($G2684&lt;&gt;"",$G2684,$B2684)</f>
        <v>ST27L 0</v>
      </c>
      <c r="K2684" s="8" t="str">
        <f aca="false">IF(COUNTIF($M$1:$M$10,$A2684)&gt;0,"Y","N")</f>
        <v>Y</v>
      </c>
    </row>
    <row r="2685" customFormat="false" ht="15" hidden="false" customHeight="true" outlineLevel="0" collapsed="false">
      <c r="A2685" s="8" t="s">
        <v>42</v>
      </c>
      <c r="B2685" s="8" t="s">
        <v>70</v>
      </c>
      <c r="C2685" s="19" t="n">
        <v>58</v>
      </c>
      <c r="D2685" s="19" t="n">
        <v>4518.28</v>
      </c>
      <c r="E2685" s="19" t="n">
        <v>35</v>
      </c>
      <c r="F2685" s="19" t="n">
        <v>2899.65</v>
      </c>
      <c r="G2685" s="8" t="str">
        <f aca="false">IFERROR(INDEX('TRANS'!$B:$B,MATCH($B2685,'TRANS'!$A:$A,0)),IFERROR(INDEX('TRANS'!$B:$B,MATCH(TRIM(SUBSTITUTE($B2685,CHAR(160)," ")),'TRANS'!$D:$D,0)),IFERROR(INDEX('Catalog'!$A:$A,MATCH($B2685,'Catalog'!$B:$B,0)),IFERROR(INDEX('Catalog'!$A:$A,MATCH(TRIM(SUBSTITUTE($B2685,CHAR(160)," ")),'Catalog'!$C:$C,0)),""))))</f>
        <v/>
      </c>
      <c r="H2685" s="8" t="str">
        <f aca="false">IFERROR(INDEX('TRANS'!$C:$C,MATCH($B2685,'TRANS'!$A:$A,0)),IFERROR(INDEX('Catalog'!$B:$B,MATCH($G2685,'Catalog'!$A:$A,0)),$B2685))</f>
        <v>ST27R 0</v>
      </c>
      <c r="I2685" s="8" t="str">
        <f aca="false">IF($G2685="","Unmatched","Matched")</f>
        <v>Unmatched</v>
      </c>
      <c r="J2685" s="8" t="str">
        <f aca="false">IF($G2685&lt;&gt;"",$G2685,$B2685)</f>
        <v>ST27R 0</v>
      </c>
      <c r="K2685" s="8" t="str">
        <f aca="false">IF(COUNTIF($M$1:$M$10,$A2685)&gt;0,"Y","N")</f>
        <v>Y</v>
      </c>
    </row>
    <row r="2686" customFormat="false" ht="15" hidden="false" customHeight="true" outlineLevel="0" collapsed="false">
      <c r="A2686" s="8" t="s">
        <v>42</v>
      </c>
      <c r="B2686" s="8" t="s">
        <v>898</v>
      </c>
      <c r="C2686" s="19" t="n">
        <v>139</v>
      </c>
      <c r="D2686" s="19" t="n">
        <v>9859.42</v>
      </c>
      <c r="E2686" s="19" t="n">
        <v>195</v>
      </c>
      <c r="F2686" s="19" t="n">
        <v>14388.34</v>
      </c>
      <c r="G2686" s="8" t="n">
        <f aca="false">IFERROR(INDEX('TRANS'!$B:$B,MATCH($B2686,'TRANS'!$A:$A,0)),IFERROR(INDEX('TRANS'!$B:$B,MATCH(TRIM(SUBSTITUTE($B2686,CHAR(160)," ")),'TRANS'!$D:$D,0)),IFERROR(INDEX('Catalog'!$A:$A,MATCH($B2686,'Catalog'!$B:$B,0)),IFERROR(INDEX('Catalog'!$A:$A,MATCH(TRIM(SUBSTITUTE($B2686,CHAR(160)," ")),'Catalog'!$C:$C,0)),""))))</f>
        <v>4415177</v>
      </c>
      <c r="H2686" s="8" t="str">
        <f aca="false">IFERROR(INDEX('TRANS'!$C:$C,MATCH($B2686,'TRANS'!$A:$A,0)),IFERROR(INDEX('Catalog'!$B:$B,MATCH($G2686,'Catalog'!$A:$A,0)),$B2686))</f>
        <v>ST28 סד אגודלי עם מוט תמיכה</v>
      </c>
      <c r="I2686" s="8" t="str">
        <f aca="false">IF($G2686="","Unmatched","Matched")</f>
        <v>Matched</v>
      </c>
      <c r="J2686" s="8" t="n">
        <f aca="false">IF($G2686&lt;&gt;"",$G2686,$B2686)</f>
        <v>4415177</v>
      </c>
      <c r="K2686" s="8" t="str">
        <f aca="false">IF(COUNTIF($M$1:$M$10,$A2686)&gt;0,"Y","N")</f>
        <v>Y</v>
      </c>
    </row>
    <row r="2687" customFormat="false" ht="15" hidden="false" customHeight="true" outlineLevel="0" collapsed="false">
      <c r="A2687" s="8" t="s">
        <v>42</v>
      </c>
      <c r="B2687" s="8" t="s">
        <v>899</v>
      </c>
      <c r="C2687" s="19" t="n">
        <v>34</v>
      </c>
      <c r="D2687" s="19" t="n">
        <v>1954.84</v>
      </c>
      <c r="E2687" s="19" t="n">
        <v>28</v>
      </c>
      <c r="F2687" s="19" t="n">
        <v>1729.62</v>
      </c>
      <c r="G2687" s="8" t="n">
        <f aca="false">IFERROR(INDEX('TRANS'!$B:$B,MATCH($B2687,'TRANS'!$A:$A,0)),IFERROR(INDEX('TRANS'!$B:$B,MATCH(TRIM(SUBSTITUTE($B2687,CHAR(160)," ")),'TRANS'!$D:$D,0)),IFERROR(INDEX('Catalog'!$A:$A,MATCH($B2687,'Catalog'!$B:$B,0)),IFERROR(INDEX('Catalog'!$A:$A,MATCH(TRIM(SUBSTITUTE($B2687,CHAR(160)," ")),'Catalog'!$C:$C,0)),""))))</f>
        <v>4408269</v>
      </c>
      <c r="H2687" s="8" t="str">
        <f aca="false">IFERROR(INDEX('TRANS'!$C:$C,MATCH($B2687,'TRANS'!$A:$A,0)),IFERROR(INDEX('Catalog'!$B:$B,MATCH($G2687,'Catalog'!$A:$A,0)),$B2687))</f>
        <v>ST37 חבק לקרסול</v>
      </c>
      <c r="I2687" s="8" t="str">
        <f aca="false">IF($G2687="","Unmatched","Matched")</f>
        <v>Matched</v>
      </c>
      <c r="J2687" s="8" t="n">
        <f aca="false">IF($G2687&lt;&gt;"",$G2687,$B2687)</f>
        <v>4408269</v>
      </c>
      <c r="K2687" s="8" t="str">
        <f aca="false">IF(COUNTIF($M$1:$M$10,$A2687)&gt;0,"Y","N")</f>
        <v>Y</v>
      </c>
    </row>
    <row r="2688" customFormat="false" ht="15" hidden="false" customHeight="true" outlineLevel="0" collapsed="false">
      <c r="A2688" s="8" t="s">
        <v>42</v>
      </c>
      <c r="B2688" s="8" t="s">
        <v>900</v>
      </c>
      <c r="C2688" s="19" t="n">
        <v>24</v>
      </c>
      <c r="D2688" s="19" t="n">
        <v>3685.84</v>
      </c>
      <c r="E2688" s="19" t="n">
        <v>23</v>
      </c>
      <c r="F2688" s="19" t="n">
        <v>3743.91</v>
      </c>
      <c r="G2688" s="8" t="n">
        <f aca="false">IFERROR(INDEX('TRANS'!$B:$B,MATCH($B2688,'TRANS'!$A:$A,0)),IFERROR(INDEX('TRANS'!$B:$B,MATCH(TRIM(SUBSTITUTE($B2688,CHAR(160)," ")),'TRANS'!$D:$D,0)),IFERROR(INDEX('Catalog'!$A:$A,MATCH($B2688,'Catalog'!$B:$B,0)),IFERROR(INDEX('Catalog'!$A:$A,MATCH(TRIM(SUBSTITUTE($B2688,CHAR(160)," ")),'Catalog'!$C:$C,0)),""))))</f>
        <v>4402011</v>
      </c>
      <c r="H2688" s="8" t="str">
        <f aca="false">IFERROR(INDEX('TRANS'!$C:$C,MATCH($B2688,'TRANS'!$A:$A,0)),IFERROR(INDEX('Catalog'!$B:$B,MATCH($G2688,'Catalog'!$A:$A,0)),$B2688))</f>
        <v>S-XLST422 מגן ברך+כרית ג'ל</v>
      </c>
      <c r="I2688" s="8" t="str">
        <f aca="false">IF($G2688="","Unmatched","Matched")</f>
        <v>Matched</v>
      </c>
      <c r="J2688" s="8" t="n">
        <f aca="false">IF($G2688&lt;&gt;"",$G2688,$B2688)</f>
        <v>4402011</v>
      </c>
      <c r="K2688" s="8" t="str">
        <f aca="false">IF(COUNTIF($M$1:$M$10,$A2688)&gt;0,"Y","N")</f>
        <v>Y</v>
      </c>
    </row>
    <row r="2689" customFormat="false" ht="15" hidden="false" customHeight="true" outlineLevel="0" collapsed="false">
      <c r="A2689" s="8" t="s">
        <v>42</v>
      </c>
      <c r="B2689" s="8" t="s">
        <v>94</v>
      </c>
      <c r="C2689" s="19" t="n">
        <v>0</v>
      </c>
      <c r="D2689" s="19" t="n">
        <v>0</v>
      </c>
      <c r="E2689" s="19" t="n">
        <v>20</v>
      </c>
      <c r="F2689" s="19" t="n">
        <v>7780.4</v>
      </c>
      <c r="G2689" s="8" t="str">
        <f aca="false">IFERROR(INDEX('TRANS'!$B:$B,MATCH($B2689,'TRANS'!$A:$A,0)),IFERROR(INDEX('TRANS'!$B:$B,MATCH(TRIM(SUBSTITUTE($B2689,CHAR(160)," ")),'TRANS'!$D:$D,0)),IFERROR(INDEX('Catalog'!$A:$A,MATCH($B2689,'Catalog'!$B:$B,0)),IFERROR(INDEX('Catalog'!$A:$A,MATCH(TRIM(SUBSTITUTE($B2689,CHAR(160)," ")),'Catalog'!$C:$C,0)),""))))</f>
        <v/>
      </c>
      <c r="H2689" s="8" t="str">
        <f aca="false">IFERROR(INDEX('TRANS'!$C:$C,MATCH($B2689,'TRANS'!$A:$A,0)),IFERROR(INDEX('Catalog'!$B:$B,MATCH($G2689,'Catalog'!$A:$A,0)),$B2689))</f>
        <v>ST433D 0</v>
      </c>
      <c r="I2689" s="8" t="str">
        <f aca="false">IF($G2689="","Unmatched","Matched")</f>
        <v>Unmatched</v>
      </c>
      <c r="J2689" s="8" t="str">
        <f aca="false">IF($G2689&lt;&gt;"",$G2689,$B2689)</f>
        <v>ST433D 0</v>
      </c>
      <c r="K2689" s="8" t="str">
        <f aca="false">IF(COUNTIF($M$1:$M$10,$A2689)&gt;0,"Y","N")</f>
        <v>Y</v>
      </c>
    </row>
    <row r="2690" customFormat="false" ht="15" hidden="false" customHeight="true" outlineLevel="0" collapsed="false">
      <c r="A2690" s="8" t="s">
        <v>42</v>
      </c>
      <c r="B2690" s="8" t="s">
        <v>80</v>
      </c>
      <c r="C2690" s="19" t="n">
        <v>41</v>
      </c>
      <c r="D2690" s="19" t="n">
        <v>3157.24</v>
      </c>
      <c r="E2690" s="19" t="n">
        <v>27</v>
      </c>
      <c r="F2690" s="19" t="n">
        <v>2144.41</v>
      </c>
      <c r="G2690" s="8" t="str">
        <f aca="false">IFERROR(INDEX('TRANS'!$B:$B,MATCH($B2690,'TRANS'!$A:$A,0)),IFERROR(INDEX('TRANS'!$B:$B,MATCH(TRIM(SUBSTITUTE($B2690,CHAR(160)," ")),'TRANS'!$D:$D,0)),IFERROR(INDEX('Catalog'!$A:$A,MATCH($B2690,'Catalog'!$B:$B,0)),IFERROR(INDEX('Catalog'!$A:$A,MATCH(TRIM(SUBSTITUTE($B2690,CHAR(160)," ")),'Catalog'!$C:$C,0)),""))))</f>
        <v/>
      </c>
      <c r="H2690" s="8" t="str">
        <f aca="false">IFERROR(INDEX('TRANS'!$C:$C,MATCH($B2690,'TRANS'!$A:$A,0)),IFERROR(INDEX('Catalog'!$B:$B,MATCH($G2690,'Catalog'!$A:$A,0)),$B2690))</f>
        <v>ST45X 0</v>
      </c>
      <c r="I2690" s="8" t="str">
        <f aca="false">IF($G2690="","Unmatched","Matched")</f>
        <v>Unmatched</v>
      </c>
      <c r="J2690" s="8" t="str">
        <f aca="false">IF($G2690&lt;&gt;"",$G2690,$B2690)</f>
        <v>ST45X 0</v>
      </c>
      <c r="K2690" s="8" t="str">
        <f aca="false">IF(COUNTIF($M$1:$M$10,$A2690)&gt;0,"Y","N")</f>
        <v>Y</v>
      </c>
    </row>
    <row r="2691" customFormat="false" ht="15" hidden="false" customHeight="true" outlineLevel="0" collapsed="false">
      <c r="A2691" s="8" t="s">
        <v>42</v>
      </c>
      <c r="B2691" s="8" t="s">
        <v>902</v>
      </c>
      <c r="C2691" s="19" t="n">
        <v>1</v>
      </c>
      <c r="D2691" s="19" t="n">
        <v>68.56</v>
      </c>
      <c r="E2691" s="19" t="n">
        <v>0</v>
      </c>
      <c r="F2691" s="19" t="n">
        <v>0</v>
      </c>
      <c r="G2691" s="8" t="n">
        <f aca="false">IFERROR(INDEX('TRANS'!$B:$B,MATCH($B2691,'TRANS'!$A:$A,0)),IFERROR(INDEX('TRANS'!$B:$B,MATCH(TRIM(SUBSTITUTE($B2691,CHAR(160)," ")),'TRANS'!$D:$D,0)),IFERROR(INDEX('Catalog'!$A:$A,MATCH($B2691,'Catalog'!$B:$B,0)),IFERROR(INDEX('Catalog'!$A:$A,MATCH(TRIM(SUBSTITUTE($B2691,CHAR(160)," ")),'Catalog'!$C:$C,0)),""))))</f>
        <v>4413533</v>
      </c>
      <c r="H2691" s="8" t="str">
        <f aca="false">IFERROR(INDEX('TRANS'!$C:$C,MATCH($B2691,'TRANS'!$A:$A,0)),IFERROR(INDEX('Catalog'!$B:$B,MATCH($G2691,'Catalog'!$A:$A,0)),$B2691))</f>
        <v>ST49 מגן ירך</v>
      </c>
      <c r="I2691" s="8" t="str">
        <f aca="false">IF($G2691="","Unmatched","Matched")</f>
        <v>Matched</v>
      </c>
      <c r="J2691" s="8" t="n">
        <f aca="false">IF($G2691&lt;&gt;"",$G2691,$B2691)</f>
        <v>4413533</v>
      </c>
      <c r="K2691" s="8" t="str">
        <f aca="false">IF(COUNTIF($M$1:$M$10,$A2691)&gt;0,"Y","N")</f>
        <v>Y</v>
      </c>
    </row>
    <row r="2692" customFormat="false" ht="15" hidden="false" customHeight="true" outlineLevel="0" collapsed="false">
      <c r="A2692" s="8" t="s">
        <v>42</v>
      </c>
      <c r="B2692" s="8" t="s">
        <v>105</v>
      </c>
      <c r="C2692" s="19" t="n">
        <v>5</v>
      </c>
      <c r="D2692" s="19" t="n">
        <v>893.39</v>
      </c>
      <c r="E2692" s="19" t="n">
        <v>13</v>
      </c>
      <c r="F2692" s="19" t="n">
        <v>2539.63</v>
      </c>
      <c r="G2692" s="8" t="str">
        <f aca="false">IFERROR(INDEX('TRANS'!$B:$B,MATCH($B2692,'TRANS'!$A:$A,0)),IFERROR(INDEX('TRANS'!$B:$B,MATCH(TRIM(SUBSTITUTE($B2692,CHAR(160)," ")),'TRANS'!$D:$D,0)),IFERROR(INDEX('Catalog'!$A:$A,MATCH($B2692,'Catalog'!$B:$B,0)),IFERROR(INDEX('Catalog'!$A:$A,MATCH(TRIM(SUBSTITUTE($B2692,CHAR(160)," ")),'Catalog'!$C:$C,0)),""))))</f>
        <v/>
      </c>
      <c r="H2692" s="8" t="str">
        <f aca="false">IFERROR(INDEX('TRANS'!$C:$C,MATCH($B2692,'TRANS'!$A:$A,0)),IFERROR(INDEX('Catalog'!$B:$B,MATCH($G2692,'Catalog'!$A:$A,0)),$B2692))</f>
        <v>T03 L</v>
      </c>
      <c r="I2692" s="8" t="str">
        <f aca="false">IF($G2692="","Unmatched","Matched")</f>
        <v>Unmatched</v>
      </c>
      <c r="J2692" s="8" t="str">
        <f aca="false">IF($G2692&lt;&gt;"",$G2692,$B2692)</f>
        <v>T03 L</v>
      </c>
      <c r="K2692" s="8" t="str">
        <f aca="false">IF(COUNTIF($M$1:$M$10,$A2692)&gt;0,"Y","N")</f>
        <v>Y</v>
      </c>
    </row>
    <row r="2693" customFormat="false" ht="15" hidden="false" customHeight="true" outlineLevel="0" collapsed="false">
      <c r="A2693" s="8" t="s">
        <v>42</v>
      </c>
      <c r="B2693" s="8" t="s">
        <v>141</v>
      </c>
      <c r="C2693" s="19" t="n">
        <v>7</v>
      </c>
      <c r="D2693" s="19" t="n">
        <v>1304.95</v>
      </c>
      <c r="E2693" s="19" t="n">
        <v>7</v>
      </c>
      <c r="F2693" s="19" t="n">
        <v>1365.18</v>
      </c>
      <c r="G2693" s="8" t="str">
        <f aca="false">IFERROR(INDEX('TRANS'!$B:$B,MATCH($B2693,'TRANS'!$A:$A,0)),IFERROR(INDEX('TRANS'!$B:$B,MATCH(TRIM(SUBSTITUTE($B2693,CHAR(160)," ")),'TRANS'!$D:$D,0)),IFERROR(INDEX('Catalog'!$A:$A,MATCH($B2693,'Catalog'!$B:$B,0)),IFERROR(INDEX('Catalog'!$A:$A,MATCH(TRIM(SUBSTITUTE($B2693,CHAR(160)," ")),'Catalog'!$C:$C,0)),""))))</f>
        <v/>
      </c>
      <c r="H2693" s="8" t="str">
        <f aca="false">IFERROR(INDEX('TRANS'!$C:$C,MATCH($B2693,'TRANS'!$A:$A,0)),IFERROR(INDEX('Catalog'!$B:$B,MATCH($G2693,'Catalog'!$A:$A,0)),$B2693))</f>
        <v>T03 M</v>
      </c>
      <c r="I2693" s="8" t="str">
        <f aca="false">IF($G2693="","Unmatched","Matched")</f>
        <v>Unmatched</v>
      </c>
      <c r="J2693" s="8" t="str">
        <f aca="false">IF($G2693&lt;&gt;"",$G2693,$B2693)</f>
        <v>T03 M</v>
      </c>
      <c r="K2693" s="8" t="str">
        <f aca="false">IF(COUNTIF($M$1:$M$10,$A2693)&gt;0,"Y","N")</f>
        <v>Y</v>
      </c>
    </row>
    <row r="2694" customFormat="false" ht="15" hidden="false" customHeight="true" outlineLevel="0" collapsed="false">
      <c r="A2694" s="8" t="s">
        <v>42</v>
      </c>
      <c r="B2694" s="8" t="s">
        <v>228</v>
      </c>
      <c r="C2694" s="19" t="n">
        <v>1</v>
      </c>
      <c r="D2694" s="19" t="n">
        <v>200.76</v>
      </c>
      <c r="E2694" s="19" t="n">
        <v>4</v>
      </c>
      <c r="F2694" s="19" t="n">
        <v>803.05</v>
      </c>
      <c r="G2694" s="8" t="str">
        <f aca="false">IFERROR(INDEX('TRANS'!$B:$B,MATCH($B2694,'TRANS'!$A:$A,0)),IFERROR(INDEX('TRANS'!$B:$B,MATCH(TRIM(SUBSTITUTE($B2694,CHAR(160)," ")),'TRANS'!$D:$D,0)),IFERROR(INDEX('Catalog'!$A:$A,MATCH($B2694,'Catalog'!$B:$B,0)),IFERROR(INDEX('Catalog'!$A:$A,MATCH(TRIM(SUBSTITUTE($B2694,CHAR(160)," ")),'Catalog'!$C:$C,0)),""))))</f>
        <v/>
      </c>
      <c r="H2694" s="8" t="str">
        <f aca="false">IFERROR(INDEX('TRANS'!$C:$C,MATCH($B2694,'TRANS'!$A:$A,0)),IFERROR(INDEX('Catalog'!$B:$B,MATCH($G2694,'Catalog'!$A:$A,0)),$B2694))</f>
        <v>T03 S</v>
      </c>
      <c r="I2694" s="8" t="str">
        <f aca="false">IF($G2694="","Unmatched","Matched")</f>
        <v>Unmatched</v>
      </c>
      <c r="J2694" s="8" t="str">
        <f aca="false">IF($G2694&lt;&gt;"",$G2694,$B2694)</f>
        <v>T03 S</v>
      </c>
      <c r="K2694" s="8" t="str">
        <f aca="false">IF(COUNTIF($M$1:$M$10,$A2694)&gt;0,"Y","N")</f>
        <v>Y</v>
      </c>
    </row>
    <row r="2695" customFormat="false" ht="15" hidden="false" customHeight="true" outlineLevel="0" collapsed="false">
      <c r="A2695" s="8" t="s">
        <v>42</v>
      </c>
      <c r="B2695" s="8" t="s">
        <v>147</v>
      </c>
      <c r="C2695" s="19" t="n">
        <v>0</v>
      </c>
      <c r="D2695" s="19" t="n">
        <v>0</v>
      </c>
      <c r="E2695" s="19" t="n">
        <v>6</v>
      </c>
      <c r="F2695" s="19" t="n">
        <v>1204.57</v>
      </c>
      <c r="G2695" s="8" t="str">
        <f aca="false">IFERROR(INDEX('TRANS'!$B:$B,MATCH($B2695,'TRANS'!$A:$A,0)),IFERROR(INDEX('TRANS'!$B:$B,MATCH(TRIM(SUBSTITUTE($B2695,CHAR(160)," ")),'TRANS'!$D:$D,0)),IFERROR(INDEX('Catalog'!$A:$A,MATCH($B2695,'Catalog'!$B:$B,0)),IFERROR(INDEX('Catalog'!$A:$A,MATCH(TRIM(SUBSTITUTE($B2695,CHAR(160)," ")),'Catalog'!$C:$C,0)),""))))</f>
        <v/>
      </c>
      <c r="H2695" s="8" t="str">
        <f aca="false">IFERROR(INDEX('TRANS'!$C:$C,MATCH($B2695,'TRANS'!$A:$A,0)),IFERROR(INDEX('Catalog'!$B:$B,MATCH($G2695,'Catalog'!$A:$A,0)),$B2695))</f>
        <v>T03 XL</v>
      </c>
      <c r="I2695" s="8" t="str">
        <f aca="false">IF($G2695="","Unmatched","Matched")</f>
        <v>Unmatched</v>
      </c>
      <c r="J2695" s="8" t="str">
        <f aca="false">IF($G2695&lt;&gt;"",$G2695,$B2695)</f>
        <v>T03 XL</v>
      </c>
      <c r="K2695" s="8" t="str">
        <f aca="false">IF(COUNTIF($M$1:$M$10,$A2695)&gt;0,"Y","N")</f>
        <v>Y</v>
      </c>
    </row>
    <row r="2696" customFormat="false" ht="15" hidden="false" customHeight="true" outlineLevel="0" collapsed="false">
      <c r="A2696" s="8" t="s">
        <v>42</v>
      </c>
      <c r="B2696" s="8" t="s">
        <v>162</v>
      </c>
      <c r="C2696" s="19" t="n">
        <v>6</v>
      </c>
      <c r="D2696" s="19" t="n">
        <v>1114.23</v>
      </c>
      <c r="E2696" s="19" t="n">
        <v>5</v>
      </c>
      <c r="F2696" s="19" t="n">
        <v>923.51</v>
      </c>
      <c r="G2696" s="8" t="str">
        <f aca="false">IFERROR(INDEX('TRANS'!$B:$B,MATCH($B2696,'TRANS'!$A:$A,0)),IFERROR(INDEX('TRANS'!$B:$B,MATCH(TRIM(SUBSTITUTE($B2696,CHAR(160)," ")),'TRANS'!$D:$D,0)),IFERROR(INDEX('Catalog'!$A:$A,MATCH($B2696,'Catalog'!$B:$B,0)),IFERROR(INDEX('Catalog'!$A:$A,MATCH(TRIM(SUBSTITUTE($B2696,CHAR(160)," ")),'Catalog'!$C:$C,0)),""))))</f>
        <v/>
      </c>
      <c r="H2696" s="8" t="str">
        <f aca="false">IFERROR(INDEX('TRANS'!$C:$C,MATCH($B2696,'TRANS'!$A:$A,0)),IFERROR(INDEX('Catalog'!$B:$B,MATCH($G2696,'Catalog'!$A:$A,0)),$B2696))</f>
        <v>T03 XXL</v>
      </c>
      <c r="I2696" s="8" t="str">
        <f aca="false">IF($G2696="","Unmatched","Matched")</f>
        <v>Unmatched</v>
      </c>
      <c r="J2696" s="8" t="str">
        <f aca="false">IF($G2696&lt;&gt;"",$G2696,$B2696)</f>
        <v>T03 XXL</v>
      </c>
      <c r="K2696" s="8" t="str">
        <f aca="false">IF(COUNTIF($M$1:$M$10,$A2696)&gt;0,"Y","N")</f>
        <v>Y</v>
      </c>
    </row>
    <row r="2697" customFormat="false" ht="15" hidden="false" customHeight="true" outlineLevel="0" collapsed="false">
      <c r="A2697" s="8" t="s">
        <v>42</v>
      </c>
      <c r="B2697" s="8" t="s">
        <v>988</v>
      </c>
      <c r="C2697" s="19" t="n">
        <v>4</v>
      </c>
      <c r="D2697" s="19" t="n">
        <v>633.06</v>
      </c>
      <c r="E2697" s="19" t="n">
        <v>0</v>
      </c>
      <c r="F2697" s="19" t="n">
        <v>0</v>
      </c>
      <c r="G2697" s="8" t="n">
        <f aca="false">IFERROR(INDEX('TRANS'!$B:$B,MATCH($B2697,'TRANS'!$A:$A,0)),IFERROR(INDEX('TRANS'!$B:$B,MATCH(TRIM(SUBSTITUTE($B2697,CHAR(160)," ")),'TRANS'!$D:$D,0)),IFERROR(INDEX('Catalog'!$A:$A,MATCH($B2697,'Catalog'!$B:$B,0)),IFERROR(INDEX('Catalog'!$A:$A,MATCH(TRIM(SUBSTITUTE($B2697,CHAR(160)," ")),'Catalog'!$C:$C,0)),""))))</f>
        <v>4408091</v>
      </c>
      <c r="H2697" s="8" t="str">
        <f aca="false">IFERROR(INDEX('TRANS'!$C:$C,MATCH($B2697,'TRANS'!$A:$A,0)),IFERROR(INDEX('Catalog'!$B:$B,MATCH($G2697,'Catalog'!$A:$A,0)),$B2697))</f>
        <v>T11C M  חגורת גב פוג'יאמה</v>
      </c>
      <c r="I2697" s="8" t="str">
        <f aca="false">IF($G2697="","Unmatched","Matched")</f>
        <v>Matched</v>
      </c>
      <c r="J2697" s="8" t="n">
        <f aca="false">IF($G2697&lt;&gt;"",$G2697,$B2697)</f>
        <v>4408091</v>
      </c>
      <c r="K2697" s="8" t="str">
        <f aca="false">IF(COUNTIF($M$1:$M$10,$A2697)&gt;0,"Y","N")</f>
        <v>Y</v>
      </c>
    </row>
    <row r="2698" customFormat="false" ht="15" hidden="false" customHeight="true" outlineLevel="0" collapsed="false">
      <c r="A2698" s="8" t="s">
        <v>42</v>
      </c>
      <c r="B2698" s="8" t="s">
        <v>766</v>
      </c>
      <c r="C2698" s="19" t="n">
        <v>4</v>
      </c>
      <c r="D2698" s="19" t="n">
        <v>624.51</v>
      </c>
      <c r="E2698" s="19" t="n">
        <v>1</v>
      </c>
      <c r="F2698" s="19" t="n">
        <v>171.1</v>
      </c>
      <c r="G2698" s="8" t="n">
        <f aca="false">IFERROR(INDEX('TRANS'!$B:$B,MATCH($B2698,'TRANS'!$A:$A,0)),IFERROR(INDEX('TRANS'!$B:$B,MATCH(TRIM(SUBSTITUTE($B2698,CHAR(160)," ")),'TRANS'!$D:$D,0)),IFERROR(INDEX('Catalog'!$A:$A,MATCH($B2698,'Catalog'!$B:$B,0)),IFERROR(INDEX('Catalog'!$A:$A,MATCH(TRIM(SUBSTITUTE($B2698,CHAR(160)," ")),'Catalog'!$C:$C,0)),""))))</f>
        <v>4408092</v>
      </c>
      <c r="H2698" s="8" t="str">
        <f aca="false">IFERROR(INDEX('TRANS'!$C:$C,MATCH($B2698,'TRANS'!$A:$A,0)),IFERROR(INDEX('Catalog'!$B:$B,MATCH($G2698,'Catalog'!$A:$A,0)),$B2698))</f>
        <v>T11C XL חגורת גב פוג'יאמה</v>
      </c>
      <c r="I2698" s="8" t="str">
        <f aca="false">IF($G2698="","Unmatched","Matched")</f>
        <v>Matched</v>
      </c>
      <c r="J2698" s="8" t="n">
        <f aca="false">IF($G2698&lt;&gt;"",$G2698,$B2698)</f>
        <v>4408092</v>
      </c>
      <c r="K2698" s="8" t="str">
        <f aca="false">IF(COUNTIF($M$1:$M$10,$A2698)&gt;0,"Y","N")</f>
        <v>Y</v>
      </c>
    </row>
    <row r="2699" customFormat="false" ht="15" hidden="false" customHeight="true" outlineLevel="0" collapsed="false">
      <c r="A2699" s="8" t="s">
        <v>42</v>
      </c>
      <c r="B2699" s="8" t="s">
        <v>559</v>
      </c>
      <c r="C2699" s="19" t="n">
        <v>5</v>
      </c>
      <c r="D2699" s="19" t="n">
        <v>855.5</v>
      </c>
      <c r="E2699" s="19" t="n">
        <v>2</v>
      </c>
      <c r="F2699" s="19" t="n">
        <v>422.65</v>
      </c>
      <c r="G2699" s="8" t="n">
        <f aca="false">IFERROR(INDEX('TRANS'!$B:$B,MATCH($B2699,'TRANS'!$A:$A,0)),IFERROR(INDEX('TRANS'!$B:$B,MATCH(TRIM(SUBSTITUTE($B2699,CHAR(160)," ")),'TRANS'!$D:$D,0)),IFERROR(INDEX('Catalog'!$A:$A,MATCH($B2699,'Catalog'!$B:$B,0)),IFERROR(INDEX('Catalog'!$A:$A,MATCH(TRIM(SUBSTITUTE($B2699,CHAR(160)," ")),'Catalog'!$C:$C,0)),""))))</f>
        <v>4408093</v>
      </c>
      <c r="H2699" s="8" t="str">
        <f aca="false">IFERROR(INDEX('TRANS'!$C:$C,MATCH($B2699,'TRANS'!$A:$A,0)),IFERROR(INDEX('Catalog'!$B:$B,MATCH($G2699,'Catalog'!$A:$A,0)),$B2699))</f>
        <v>T11C XXL חגורת גב פוג'יאמה</v>
      </c>
      <c r="I2699" s="8" t="str">
        <f aca="false">IF($G2699="","Unmatched","Matched")</f>
        <v>Matched</v>
      </c>
      <c r="J2699" s="8" t="n">
        <f aca="false">IF($G2699&lt;&gt;"",$G2699,$B2699)</f>
        <v>4408093</v>
      </c>
      <c r="K2699" s="8" t="str">
        <f aca="false">IF(COUNTIF($M$1:$M$10,$A2699)&gt;0,"Y","N")</f>
        <v>Y</v>
      </c>
    </row>
    <row r="2700" customFormat="false" ht="15" hidden="false" customHeight="true" outlineLevel="0" collapsed="false">
      <c r="A2700" s="8" t="s">
        <v>42</v>
      </c>
      <c r="B2700" s="8" t="s">
        <v>767</v>
      </c>
      <c r="C2700" s="19" t="n">
        <v>5</v>
      </c>
      <c r="D2700" s="19" t="n">
        <v>295.88</v>
      </c>
      <c r="E2700" s="19" t="n">
        <v>10</v>
      </c>
      <c r="F2700" s="19" t="n">
        <v>591.78</v>
      </c>
      <c r="G2700" s="8" t="n">
        <f aca="false">IFERROR(INDEX('TRANS'!$B:$B,MATCH($B2700,'TRANS'!$A:$A,0)),IFERROR(INDEX('TRANS'!$B:$B,MATCH(TRIM(SUBSTITUTE($B2700,CHAR(160)," ")),'TRANS'!$D:$D,0)),IFERROR(INDEX('Catalog'!$A:$A,MATCH($B2700,'Catalog'!$B:$B,0)),IFERROR(INDEX('Catalog'!$A:$A,MATCH(TRIM(SUBSTITUTE($B2700,CHAR(160)," ")),'Catalog'!$C:$C,0)),""))))</f>
        <v>4408095</v>
      </c>
      <c r="H2700" s="8" t="str">
        <f aca="false">IFERROR(INDEX('TRANS'!$C:$C,MATCH($B2700,'TRANS'!$A:$A,0)),IFERROR(INDEX('Catalog'!$B:$B,MATCH($G2700,'Catalog'!$A:$A,0)),$B2700))</f>
        <v>T20 L-XL  חבק יד עם צמדן</v>
      </c>
      <c r="I2700" s="8" t="str">
        <f aca="false">IF($G2700="","Unmatched","Matched")</f>
        <v>Matched</v>
      </c>
      <c r="J2700" s="8" t="n">
        <f aca="false">IF($G2700&lt;&gt;"",$G2700,$B2700)</f>
        <v>4408095</v>
      </c>
      <c r="K2700" s="8" t="str">
        <f aca="false">IF(COUNTIF($M$1:$M$10,$A2700)&gt;0,"Y","N")</f>
        <v>Y</v>
      </c>
    </row>
    <row r="2701" customFormat="false" ht="15" hidden="false" customHeight="true" outlineLevel="0" collapsed="false">
      <c r="A2701" s="8" t="s">
        <v>42</v>
      </c>
      <c r="B2701" s="8" t="s">
        <v>975</v>
      </c>
      <c r="C2701" s="19" t="n">
        <v>8</v>
      </c>
      <c r="D2701" s="19" t="n">
        <v>482.4</v>
      </c>
      <c r="E2701" s="19" t="n">
        <v>0</v>
      </c>
      <c r="F2701" s="19" t="n">
        <v>0</v>
      </c>
      <c r="G2701" s="8" t="n">
        <f aca="false">IFERROR(INDEX('TRANS'!$B:$B,MATCH($B2701,'TRANS'!$A:$A,0)),IFERROR(INDEX('TRANS'!$B:$B,MATCH(TRIM(SUBSTITUTE($B2701,CHAR(160)," ")),'TRANS'!$D:$D,0)),IFERROR(INDEX('Catalog'!$A:$A,MATCH($B2701,'Catalog'!$B:$B,0)),IFERROR(INDEX('Catalog'!$A:$A,MATCH(TRIM(SUBSTITUTE($B2701,CHAR(160)," ")),'Catalog'!$C:$C,0)),""))))</f>
        <v>4408094</v>
      </c>
      <c r="H2701" s="8" t="str">
        <f aca="false">IFERROR(INDEX('TRANS'!$C:$C,MATCH($B2701,'TRANS'!$A:$A,0)),IFERROR(INDEX('Catalog'!$B:$B,MATCH($G2701,'Catalog'!$A:$A,0)),$B2701))</f>
        <v>T20 S-M חבק יד עם צמדן</v>
      </c>
      <c r="I2701" s="8" t="str">
        <f aca="false">IF($G2701="","Unmatched","Matched")</f>
        <v>Matched</v>
      </c>
      <c r="J2701" s="8" t="n">
        <f aca="false">IF($G2701&lt;&gt;"",$G2701,$B2701)</f>
        <v>4408094</v>
      </c>
      <c r="K2701" s="8" t="str">
        <f aca="false">IF(COUNTIF($M$1:$M$10,$A2701)&gt;0,"Y","N")</f>
        <v>Y</v>
      </c>
    </row>
    <row r="2702" customFormat="false" ht="15" hidden="false" customHeight="true" outlineLevel="0" collapsed="false">
      <c r="A2702" s="8" t="s">
        <v>42</v>
      </c>
      <c r="B2702" s="8" t="s">
        <v>511</v>
      </c>
      <c r="C2702" s="19" t="n">
        <v>1</v>
      </c>
      <c r="D2702" s="19" t="n">
        <v>51.46</v>
      </c>
      <c r="E2702" s="19" t="n">
        <v>0</v>
      </c>
      <c r="F2702" s="19" t="n">
        <v>0</v>
      </c>
      <c r="G2702" s="8" t="str">
        <f aca="false">IFERROR(INDEX('TRANS'!$B:$B,MATCH($B2702,'TRANS'!$A:$A,0)),IFERROR(INDEX('TRANS'!$B:$B,MATCH(TRIM(SUBSTITUTE($B2702,CHAR(160)," ")),'TRANS'!$D:$D,0)),IFERROR(INDEX('Catalog'!$A:$A,MATCH($B2702,'Catalog'!$B:$B,0)),IFERROR(INDEX('Catalog'!$A:$A,MATCH(TRIM(SUBSTITUTE($B2702,CHAR(160)," ")),'Catalog'!$C:$C,0)),""))))</f>
        <v/>
      </c>
      <c r="H2702" s="8" t="str">
        <f aca="false">IFERROR(INDEX('TRANS'!$C:$C,MATCH($B2702,'TRANS'!$A:$A,0)),IFERROR(INDEX('Catalog'!$B:$B,MATCH($G2702,'Catalog'!$A:$A,0)),$B2702))</f>
        <v>T20C XS</v>
      </c>
      <c r="I2702" s="8" t="str">
        <f aca="false">IF($G2702="","Unmatched","Matched")</f>
        <v>Unmatched</v>
      </c>
      <c r="J2702" s="8" t="str">
        <f aca="false">IF($G2702&lt;&gt;"",$G2702,$B2702)</f>
        <v>T20C XS</v>
      </c>
      <c r="K2702" s="8" t="str">
        <f aca="false">IF(COUNTIF($M$1:$M$10,$A2702)&gt;0,"Y","N")</f>
        <v>Y</v>
      </c>
    </row>
    <row r="2703" customFormat="false" ht="15" hidden="false" customHeight="true" outlineLevel="0" collapsed="false">
      <c r="A2703" s="8" t="s">
        <v>42</v>
      </c>
      <c r="B2703" s="8" t="s">
        <v>768</v>
      </c>
      <c r="C2703" s="19" t="n">
        <v>2</v>
      </c>
      <c r="D2703" s="19" t="n">
        <v>138.54</v>
      </c>
      <c r="E2703" s="19" t="n">
        <v>1</v>
      </c>
      <c r="F2703" s="19" t="n">
        <v>57.9</v>
      </c>
      <c r="G2703" s="8" t="n">
        <f aca="false">IFERROR(INDEX('TRANS'!$B:$B,MATCH($B2703,'TRANS'!$A:$A,0)),IFERROR(INDEX('TRANS'!$B:$B,MATCH(TRIM(SUBSTITUTE($B2703,CHAR(160)," ")),'TRANS'!$D:$D,0)),IFERROR(INDEX('Catalog'!$A:$A,MATCH($B2703,'Catalog'!$B:$B,0)),IFERROR(INDEX('Catalog'!$A:$A,MATCH(TRIM(SUBSTITUTE($B2703,CHAR(160)," ")),'Catalog'!$C:$C,0)),""))))</f>
        <v>4408097</v>
      </c>
      <c r="H2703" s="8" t="str">
        <f aca="false">IFERROR(INDEX('TRANS'!$C:$C,MATCH($B2703,'TRANS'!$A:$A,0)),IFERROR(INDEX('Catalog'!$B:$B,MATCH($G2703,'Catalog'!$A:$A,0)),$B2703))</f>
        <v>T20C L-XL חבק יד עם צמדן חום</v>
      </c>
      <c r="I2703" s="8" t="str">
        <f aca="false">IF($G2703="","Unmatched","Matched")</f>
        <v>Matched</v>
      </c>
      <c r="J2703" s="8" t="n">
        <f aca="false">IF($G2703&lt;&gt;"",$G2703,$B2703)</f>
        <v>4408097</v>
      </c>
      <c r="K2703" s="8" t="str">
        <f aca="false">IF(COUNTIF($M$1:$M$10,$A2703)&gt;0,"Y","N")</f>
        <v>Y</v>
      </c>
    </row>
    <row r="2704" customFormat="false" ht="15" hidden="false" customHeight="true" outlineLevel="0" collapsed="false">
      <c r="A2704" s="8" t="s">
        <v>42</v>
      </c>
      <c r="B2704" s="8" t="s">
        <v>769</v>
      </c>
      <c r="C2704" s="19" t="n">
        <v>3</v>
      </c>
      <c r="D2704" s="19" t="n">
        <v>180.1</v>
      </c>
      <c r="E2704" s="19" t="n">
        <v>2</v>
      </c>
      <c r="F2704" s="19" t="n">
        <v>128.64</v>
      </c>
      <c r="G2704" s="8" t="n">
        <f aca="false">IFERROR(INDEX('TRANS'!$B:$B,MATCH($B2704,'TRANS'!$A:$A,0)),IFERROR(INDEX('TRANS'!$B:$B,MATCH(TRIM(SUBSTITUTE($B2704,CHAR(160)," ")),'TRANS'!$D:$D,0)),IFERROR(INDEX('Catalog'!$A:$A,MATCH($B2704,'Catalog'!$B:$B,0)),IFERROR(INDEX('Catalog'!$A:$A,MATCH(TRIM(SUBSTITUTE($B2704,CHAR(160)," ")),'Catalog'!$C:$C,0)),""))))</f>
        <v>4408096</v>
      </c>
      <c r="H2704" s="8" t="str">
        <f aca="false">IFERROR(INDEX('TRANS'!$C:$C,MATCH($B2704,'TRANS'!$A:$A,0)),IFERROR(INDEX('Catalog'!$B:$B,MATCH($G2704,'Catalog'!$A:$A,0)),$B2704))</f>
        <v>T20C S-M חבק יד עם צמדןחום</v>
      </c>
      <c r="I2704" s="8" t="str">
        <f aca="false">IF($G2704="","Unmatched","Matched")</f>
        <v>Matched</v>
      </c>
      <c r="J2704" s="8" t="n">
        <f aca="false">IF($G2704&lt;&gt;"",$G2704,$B2704)</f>
        <v>4408096</v>
      </c>
      <c r="K2704" s="8" t="str">
        <f aca="false">IF(COUNTIF($M$1:$M$10,$A2704)&gt;0,"Y","N")</f>
        <v>Y</v>
      </c>
    </row>
    <row r="2705" customFormat="false" ht="15" hidden="false" customHeight="true" outlineLevel="0" collapsed="false">
      <c r="A2705" s="8" t="s">
        <v>42</v>
      </c>
      <c r="B2705" s="8" t="s">
        <v>770</v>
      </c>
      <c r="C2705" s="19" t="n">
        <v>15</v>
      </c>
      <c r="D2705" s="19" t="n">
        <v>1157.32</v>
      </c>
      <c r="E2705" s="19" t="n">
        <v>11</v>
      </c>
      <c r="F2705" s="19" t="n">
        <v>905.85</v>
      </c>
      <c r="G2705" s="8" t="n">
        <f aca="false">IFERROR(INDEX('TRANS'!$B:$B,MATCH($B2705,'TRANS'!$A:$A,0)),IFERROR(INDEX('TRANS'!$B:$B,MATCH(TRIM(SUBSTITUTE($B2705,CHAR(160)," ")),'TRANS'!$D:$D,0)),IFERROR(INDEX('Catalog'!$A:$A,MATCH($B2705,'Catalog'!$B:$B,0)),IFERROR(INDEX('Catalog'!$A:$A,MATCH(TRIM(SUBSTITUTE($B2705,CHAR(160)," ")),'Catalog'!$C:$C,0)),""))))</f>
        <v>4408098</v>
      </c>
      <c r="H2705" s="8" t="str">
        <f aca="false">IFERROR(INDEX('TRANS'!$C:$C,MATCH($B2705,'TRANS'!$A:$A,0)),IFERROR(INDEX('Catalog'!$B:$B,MATCH($G2705,'Catalog'!$A:$A,0)),$B2705))</f>
        <v>T25-חבק יד אגודלי</v>
      </c>
      <c r="I2705" s="8" t="str">
        <f aca="false">IF($G2705="","Unmatched","Matched")</f>
        <v>Matched</v>
      </c>
      <c r="J2705" s="8" t="n">
        <f aca="false">IF($G2705&lt;&gt;"",$G2705,$B2705)</f>
        <v>4408098</v>
      </c>
      <c r="K2705" s="8" t="str">
        <f aca="false">IF(COUNTIF($M$1:$M$10,$A2705)&gt;0,"Y","N")</f>
        <v>Y</v>
      </c>
    </row>
    <row r="2706" customFormat="false" ht="15" hidden="false" customHeight="true" outlineLevel="0" collapsed="false">
      <c r="A2706" s="8" t="s">
        <v>42</v>
      </c>
      <c r="B2706" s="8" t="s">
        <v>848</v>
      </c>
      <c r="C2706" s="19" t="n">
        <v>29</v>
      </c>
      <c r="D2706" s="19" t="n">
        <v>2256.45</v>
      </c>
      <c r="E2706" s="19" t="n">
        <v>17</v>
      </c>
      <c r="F2706" s="19" t="n">
        <v>1392.68</v>
      </c>
      <c r="G2706" s="8" t="n">
        <f aca="false">IFERROR(INDEX('TRANS'!$B:$B,MATCH($B2706,'TRANS'!$A:$A,0)),IFERROR(INDEX('TRANS'!$B:$B,MATCH(TRIM(SUBSTITUTE($B2706,CHAR(160)," ")),'TRANS'!$D:$D,0)),IFERROR(INDEX('Catalog'!$A:$A,MATCH($B2706,'Catalog'!$B:$B,0)),IFERROR(INDEX('Catalog'!$A:$A,MATCH(TRIM(SUBSTITUTE($B2706,CHAR(160)," ")),'Catalog'!$C:$C,0)),""))))</f>
        <v>4408264</v>
      </c>
      <c r="H2706" s="8" t="str">
        <f aca="false">IFERROR(INDEX('TRANS'!$C:$C,MATCH($B2706,'TRANS'!$A:$A,0)),IFERROR(INDEX('Catalog'!$B:$B,MATCH($G2706,'Catalog'!$A:$A,0)),$B2706))</f>
        <v>T25B   חבק יד אגודלי</v>
      </c>
      <c r="I2706" s="8" t="str">
        <f aca="false">IF($G2706="","Unmatched","Matched")</f>
        <v>Matched</v>
      </c>
      <c r="J2706" s="8" t="n">
        <f aca="false">IF($G2706&lt;&gt;"",$G2706,$B2706)</f>
        <v>4408264</v>
      </c>
      <c r="K2706" s="8" t="str">
        <f aca="false">IF(COUNTIF($M$1:$M$10,$A2706)&gt;0,"Y","N")</f>
        <v>Y</v>
      </c>
    </row>
    <row r="2707" customFormat="false" ht="15" hidden="false" customHeight="true" outlineLevel="0" collapsed="false">
      <c r="A2707" s="8" t="s">
        <v>42</v>
      </c>
      <c r="B2707" s="8" t="s">
        <v>904</v>
      </c>
      <c r="C2707" s="19" t="n">
        <v>16</v>
      </c>
      <c r="D2707" s="19" t="n">
        <v>1155.27</v>
      </c>
      <c r="E2707" s="19" t="n">
        <v>9</v>
      </c>
      <c r="F2707" s="19" t="n">
        <v>715.41</v>
      </c>
      <c r="G2707" s="8" t="n">
        <f aca="false">IFERROR(INDEX('TRANS'!$B:$B,MATCH($B2707,'TRANS'!$A:$A,0)),IFERROR(INDEX('TRANS'!$B:$B,MATCH(TRIM(SUBSTITUTE($B2707,CHAR(160)," ")),'TRANS'!$D:$D,0)),IFERROR(INDEX('Catalog'!$A:$A,MATCH($B2707,'Catalog'!$B:$B,0)),IFERROR(INDEX('Catalog'!$A:$A,MATCH(TRIM(SUBSTITUTE($B2707,CHAR(160)," ")),'Catalog'!$C:$C,0)),""))))</f>
        <v>4408099</v>
      </c>
      <c r="H2707" s="8" t="str">
        <f aca="false">IFERROR(INDEX('TRANS'!$C:$C,MATCH($B2707,'TRANS'!$A:$A,0)),IFERROR(INDEX('Catalog'!$B:$B,MATCH($G2707,'Catalog'!$A:$A,0)),$B2707))</f>
        <v>T25C-חבק יד אגודלי</v>
      </c>
      <c r="I2707" s="8" t="str">
        <f aca="false">IF($G2707="","Unmatched","Matched")</f>
        <v>Matched</v>
      </c>
      <c r="J2707" s="8" t="n">
        <f aca="false">IF($G2707&lt;&gt;"",$G2707,$B2707)</f>
        <v>4408099</v>
      </c>
      <c r="K2707" s="8" t="str">
        <f aca="false">IF(COUNTIF($M$1:$M$10,$A2707)&gt;0,"Y","N")</f>
        <v>Y</v>
      </c>
    </row>
    <row r="2708" customFormat="false" ht="15" hidden="false" customHeight="true" outlineLevel="0" collapsed="false">
      <c r="A2708" s="8" t="s">
        <v>42</v>
      </c>
      <c r="B2708" s="8" t="s">
        <v>266</v>
      </c>
      <c r="C2708" s="19" t="n">
        <v>3</v>
      </c>
      <c r="D2708" s="19" t="n">
        <v>381.09</v>
      </c>
      <c r="E2708" s="19" t="n">
        <v>2</v>
      </c>
      <c r="F2708" s="19" t="n">
        <v>241.37</v>
      </c>
      <c r="G2708" s="8" t="str">
        <f aca="false">IFERROR(INDEX('TRANS'!$B:$B,MATCH($B2708,'TRANS'!$A:$A,0)),IFERROR(INDEX('TRANS'!$B:$B,MATCH(TRIM(SUBSTITUTE($B2708,CHAR(160)," ")),'TRANS'!$D:$D,0)),IFERROR(INDEX('Catalog'!$A:$A,MATCH($B2708,'Catalog'!$B:$B,0)),IFERROR(INDEX('Catalog'!$A:$A,MATCH(TRIM(SUBSTITUTE($B2708,CHAR(160)," ")),'Catalog'!$C:$C,0)),""))))</f>
        <v/>
      </c>
      <c r="H2708" s="8" t="str">
        <f aca="false">IFERROR(INDEX('TRANS'!$C:$C,MATCH($B2708,'TRANS'!$A:$A,0)),IFERROR(INDEX('Catalog'!$B:$B,MATCH($G2708,'Catalog'!$A:$A,0)),$B2708))</f>
        <v>T28A XS</v>
      </c>
      <c r="I2708" s="8" t="str">
        <f aca="false">IF($G2708="","Unmatched","Matched")</f>
        <v>Unmatched</v>
      </c>
      <c r="J2708" s="8" t="str">
        <f aca="false">IF($G2708&lt;&gt;"",$G2708,$B2708)</f>
        <v>T28A XS</v>
      </c>
      <c r="K2708" s="8" t="str">
        <f aca="false">IF(COUNTIF($M$1:$M$10,$A2708)&gt;0,"Y","N")</f>
        <v>Y</v>
      </c>
    </row>
    <row r="2709" customFormat="false" ht="15" hidden="false" customHeight="true" outlineLevel="0" collapsed="false">
      <c r="A2709" s="8" t="s">
        <v>42</v>
      </c>
      <c r="B2709" s="8" t="s">
        <v>352</v>
      </c>
      <c r="C2709" s="19" t="n">
        <v>1</v>
      </c>
      <c r="D2709" s="19" t="n">
        <v>127.03</v>
      </c>
      <c r="E2709" s="19" t="n">
        <v>0</v>
      </c>
      <c r="F2709" s="19" t="n">
        <v>0</v>
      </c>
      <c r="G2709" s="8" t="str">
        <f aca="false">IFERROR(INDEX('TRANS'!$B:$B,MATCH($B2709,'TRANS'!$A:$A,0)),IFERROR(INDEX('TRANS'!$B:$B,MATCH(TRIM(SUBSTITUTE($B2709,CHAR(160)," ")),'TRANS'!$D:$D,0)),IFERROR(INDEX('Catalog'!$A:$A,MATCH($B2709,'Catalog'!$B:$B,0)),IFERROR(INDEX('Catalog'!$A:$A,MATCH(TRIM(SUBSTITUTE($B2709,CHAR(160)," ")),'Catalog'!$C:$C,0)),""))))</f>
        <v/>
      </c>
      <c r="H2709" s="8" t="str">
        <f aca="false">IFERROR(INDEX('TRANS'!$C:$C,MATCH($B2709,'TRANS'!$A:$A,0)),IFERROR(INDEX('Catalog'!$B:$B,MATCH($G2709,'Catalog'!$A:$A,0)),$B2709))</f>
        <v>T28A XXL</v>
      </c>
      <c r="I2709" s="8" t="str">
        <f aca="false">IF($G2709="","Unmatched","Matched")</f>
        <v>Unmatched</v>
      </c>
      <c r="J2709" s="8" t="str">
        <f aca="false">IF($G2709&lt;&gt;"",$G2709,$B2709)</f>
        <v>T28A XXL</v>
      </c>
      <c r="K2709" s="8" t="str">
        <f aca="false">IF(COUNTIF($M$1:$M$10,$A2709)&gt;0,"Y","N")</f>
        <v>Y</v>
      </c>
    </row>
    <row r="2710" customFormat="false" ht="15" hidden="false" customHeight="true" outlineLevel="0" collapsed="false">
      <c r="A2710" s="8" t="s">
        <v>42</v>
      </c>
      <c r="B2710" s="8" t="s">
        <v>964</v>
      </c>
      <c r="C2710" s="19" t="n">
        <v>5</v>
      </c>
      <c r="D2710" s="19" t="n">
        <v>571.64</v>
      </c>
      <c r="E2710" s="19" t="n">
        <v>11</v>
      </c>
      <c r="F2710" s="19" t="n">
        <v>1352.91</v>
      </c>
      <c r="G2710" s="8" t="n">
        <f aca="false">IFERROR(INDEX('TRANS'!$B:$B,MATCH($B2710,'TRANS'!$A:$A,0)),IFERROR(INDEX('TRANS'!$B:$B,MATCH(TRIM(SUBSTITUTE($B2710,CHAR(160)," ")),'TRANS'!$D:$D,0)),IFERROR(INDEX('Catalog'!$A:$A,MATCH($B2710,'Catalog'!$B:$B,0)),IFERROR(INDEX('Catalog'!$A:$A,MATCH(TRIM(SUBSTITUTE($B2710,CHAR(160)," ")),'Catalog'!$C:$C,0)),""))))</f>
        <v>4415073</v>
      </c>
      <c r="H2710" s="8" t="str">
        <f aca="false">IFERROR(INDEX('TRANS'!$C:$C,MATCH($B2710,'TRANS'!$A:$A,0)),IFERROR(INDEX('Catalog'!$B:$B,MATCH($G2710,'Catalog'!$A:$A,0)),$B2710))</f>
        <v>T28A L-XL סד לאגודל</v>
      </c>
      <c r="I2710" s="8" t="str">
        <f aca="false">IF($G2710="","Unmatched","Matched")</f>
        <v>Matched</v>
      </c>
      <c r="J2710" s="8" t="n">
        <f aca="false">IF($G2710&lt;&gt;"",$G2710,$B2710)</f>
        <v>4415073</v>
      </c>
      <c r="K2710" s="8" t="str">
        <f aca="false">IF(COUNTIF($M$1:$M$10,$A2710)&gt;0,"Y","N")</f>
        <v>Y</v>
      </c>
    </row>
    <row r="2711" customFormat="false" ht="15" hidden="false" customHeight="true" outlineLevel="0" collapsed="false">
      <c r="A2711" s="8" t="s">
        <v>42</v>
      </c>
      <c r="B2711" s="8" t="s">
        <v>912</v>
      </c>
      <c r="C2711" s="19" t="n">
        <v>8</v>
      </c>
      <c r="D2711" s="19" t="n">
        <v>943.43</v>
      </c>
      <c r="E2711" s="19" t="n">
        <v>10</v>
      </c>
      <c r="F2711" s="19" t="n">
        <v>1244.93</v>
      </c>
      <c r="G2711" s="8" t="n">
        <f aca="false">IFERROR(INDEX('TRANS'!$B:$B,MATCH($B2711,'TRANS'!$A:$A,0)),IFERROR(INDEX('TRANS'!$B:$B,MATCH(TRIM(SUBSTITUTE($B2711,CHAR(160)," ")),'TRANS'!$D:$D,0)),IFERROR(INDEX('Catalog'!$A:$A,MATCH($B2711,'Catalog'!$B:$B,0)),IFERROR(INDEX('Catalog'!$A:$A,MATCH(TRIM(SUBSTITUTE($B2711,CHAR(160)," ")),'Catalog'!$C:$C,0)),""))))</f>
        <v>4415072</v>
      </c>
      <c r="H2711" s="8" t="str">
        <f aca="false">IFERROR(INDEX('TRANS'!$C:$C,MATCH($B2711,'TRANS'!$A:$A,0)),IFERROR(INDEX('Catalog'!$B:$B,MATCH($G2711,'Catalog'!$A:$A,0)),$B2711))</f>
        <v>T28A S-M סד לאגודל</v>
      </c>
      <c r="I2711" s="8" t="str">
        <f aca="false">IF($G2711="","Unmatched","Matched")</f>
        <v>Matched</v>
      </c>
      <c r="J2711" s="8" t="n">
        <f aca="false">IF($G2711&lt;&gt;"",$G2711,$B2711)</f>
        <v>4415072</v>
      </c>
      <c r="K2711" s="8" t="str">
        <f aca="false">IF(COUNTIF($M$1:$M$10,$A2711)&gt;0,"Y","N")</f>
        <v>Y</v>
      </c>
    </row>
    <row r="2712" customFormat="false" ht="15" hidden="false" customHeight="true" outlineLevel="0" collapsed="false">
      <c r="A2712" s="8" t="s">
        <v>42</v>
      </c>
      <c r="B2712" s="8" t="s">
        <v>512</v>
      </c>
      <c r="C2712" s="19" t="n">
        <v>3</v>
      </c>
      <c r="D2712" s="19" t="n">
        <v>336.63</v>
      </c>
      <c r="E2712" s="19" t="n">
        <v>0</v>
      </c>
      <c r="F2712" s="19" t="n">
        <v>0</v>
      </c>
      <c r="G2712" s="8" t="str">
        <f aca="false">IFERROR(INDEX('TRANS'!$B:$B,MATCH($B2712,'TRANS'!$A:$A,0)),IFERROR(INDEX('TRANS'!$B:$B,MATCH(TRIM(SUBSTITUTE($B2712,CHAR(160)," ")),'TRANS'!$D:$D,0)),IFERROR(INDEX('Catalog'!$A:$A,MATCH($B2712,'Catalog'!$B:$B,0)),IFERROR(INDEX('Catalog'!$A:$A,MATCH(TRIM(SUBSTITUTE($B2712,CHAR(160)," ")),'Catalog'!$C:$C,0)),""))))</f>
        <v/>
      </c>
      <c r="H2712" s="8" t="str">
        <f aca="false">IFERROR(INDEX('TRANS'!$C:$C,MATCH($B2712,'TRANS'!$A:$A,0)),IFERROR(INDEX('Catalog'!$B:$B,MATCH($G2712,'Catalog'!$A:$A,0)),$B2712))</f>
        <v>T28AC XS</v>
      </c>
      <c r="I2712" s="8" t="str">
        <f aca="false">IF($G2712="","Unmatched","Matched")</f>
        <v>Unmatched</v>
      </c>
      <c r="J2712" s="8" t="str">
        <f aca="false">IF($G2712&lt;&gt;"",$G2712,$B2712)</f>
        <v>T28AC XS</v>
      </c>
      <c r="K2712" s="8" t="str">
        <f aca="false">IF(COUNTIF($M$1:$M$10,$A2712)&gt;0,"Y","N")</f>
        <v>Y</v>
      </c>
    </row>
    <row r="2713" customFormat="false" ht="15" hidden="false" customHeight="true" outlineLevel="0" collapsed="false">
      <c r="A2713" s="8" t="s">
        <v>42</v>
      </c>
      <c r="B2713" s="8" t="s">
        <v>244</v>
      </c>
      <c r="C2713" s="19" t="n">
        <v>2</v>
      </c>
      <c r="D2713" s="19" t="n">
        <v>228.65</v>
      </c>
      <c r="E2713" s="19" t="n">
        <v>2</v>
      </c>
      <c r="F2713" s="19" t="n">
        <v>228.66</v>
      </c>
      <c r="G2713" s="8" t="str">
        <f aca="false">IFERROR(INDEX('TRANS'!$B:$B,MATCH($B2713,'TRANS'!$A:$A,0)),IFERROR(INDEX('TRANS'!$B:$B,MATCH(TRIM(SUBSTITUTE($B2713,CHAR(160)," ")),'TRANS'!$D:$D,0)),IFERROR(INDEX('Catalog'!$A:$A,MATCH($B2713,'Catalog'!$B:$B,0)),IFERROR(INDEX('Catalog'!$A:$A,MATCH(TRIM(SUBSTITUTE($B2713,CHAR(160)," ")),'Catalog'!$C:$C,0)),""))))</f>
        <v/>
      </c>
      <c r="H2713" s="8" t="str">
        <f aca="false">IFERROR(INDEX('TRANS'!$C:$C,MATCH($B2713,'TRANS'!$A:$A,0)),IFERROR(INDEX('Catalog'!$B:$B,MATCH($G2713,'Catalog'!$A:$A,0)),$B2713))</f>
        <v>T28AC XXL</v>
      </c>
      <c r="I2713" s="8" t="str">
        <f aca="false">IF($G2713="","Unmatched","Matched")</f>
        <v>Unmatched</v>
      </c>
      <c r="J2713" s="8" t="str">
        <f aca="false">IF($G2713&lt;&gt;"",$G2713,$B2713)</f>
        <v>T28AC XXL</v>
      </c>
      <c r="K2713" s="8" t="str">
        <f aca="false">IF(COUNTIF($M$1:$M$10,$A2713)&gt;0,"Y","N")</f>
        <v>Y</v>
      </c>
    </row>
    <row r="2714" customFormat="false" ht="15" hidden="false" customHeight="true" outlineLevel="0" collapsed="false">
      <c r="A2714" s="8" t="s">
        <v>42</v>
      </c>
      <c r="B2714" s="8" t="s">
        <v>771</v>
      </c>
      <c r="C2714" s="19" t="n">
        <v>1</v>
      </c>
      <c r="D2714" s="19" t="n">
        <v>127.03</v>
      </c>
      <c r="E2714" s="19" t="n">
        <v>3</v>
      </c>
      <c r="F2714" s="19" t="n">
        <v>381.1</v>
      </c>
      <c r="G2714" s="8" t="n">
        <f aca="false">IFERROR(INDEX('TRANS'!$B:$B,MATCH($B2714,'TRANS'!$A:$A,0)),IFERROR(INDEX('TRANS'!$B:$B,MATCH(TRIM(SUBSTITUTE($B2714,CHAR(160)," ")),'TRANS'!$D:$D,0)),IFERROR(INDEX('Catalog'!$A:$A,MATCH($B2714,'Catalog'!$B:$B,0)),IFERROR(INDEX('Catalog'!$A:$A,MATCH(TRIM(SUBSTITUTE($B2714,CHAR(160)," ")),'Catalog'!$C:$C,0)),""))))</f>
        <v>4415075</v>
      </c>
      <c r="H2714" s="8" t="str">
        <f aca="false">IFERROR(INDEX('TRANS'!$C:$C,MATCH($B2714,'TRANS'!$A:$A,0)),IFERROR(INDEX('Catalog'!$B:$B,MATCH($G2714,'Catalog'!$A:$A,0)),$B2714))</f>
        <v>T28AC L-XL סד לאגודל</v>
      </c>
      <c r="I2714" s="8" t="str">
        <f aca="false">IF($G2714="","Unmatched","Matched")</f>
        <v>Matched</v>
      </c>
      <c r="J2714" s="8" t="n">
        <f aca="false">IF($G2714&lt;&gt;"",$G2714,$B2714)</f>
        <v>4415075</v>
      </c>
      <c r="K2714" s="8" t="str">
        <f aca="false">IF(COUNTIF($M$1:$M$10,$A2714)&gt;0,"Y","N")</f>
        <v>Y</v>
      </c>
    </row>
    <row r="2715" customFormat="false" ht="15" hidden="false" customHeight="true" outlineLevel="0" collapsed="false">
      <c r="A2715" s="8" t="s">
        <v>42</v>
      </c>
      <c r="B2715" s="8" t="s">
        <v>772</v>
      </c>
      <c r="C2715" s="19" t="n">
        <v>7</v>
      </c>
      <c r="D2715" s="19" t="n">
        <v>836.92</v>
      </c>
      <c r="E2715" s="19" t="n">
        <v>14</v>
      </c>
      <c r="F2715" s="19" t="n">
        <v>1702.26</v>
      </c>
      <c r="G2715" s="8" t="n">
        <f aca="false">IFERROR(INDEX('TRANS'!$B:$B,MATCH($B2715,'TRANS'!$A:$A,0)),IFERROR(INDEX('TRANS'!$B:$B,MATCH(TRIM(SUBSTITUTE($B2715,CHAR(160)," ")),'TRANS'!$D:$D,0)),IFERROR(INDEX('Catalog'!$A:$A,MATCH($B2715,'Catalog'!$B:$B,0)),IFERROR(INDEX('Catalog'!$A:$A,MATCH(TRIM(SUBSTITUTE($B2715,CHAR(160)," ")),'Catalog'!$C:$C,0)),""))))</f>
        <v>4415074</v>
      </c>
      <c r="H2715" s="8" t="str">
        <f aca="false">IFERROR(INDEX('TRANS'!$C:$C,MATCH($B2715,'TRANS'!$A:$A,0)),IFERROR(INDEX('Catalog'!$B:$B,MATCH($G2715,'Catalog'!$A:$A,0)),$B2715))</f>
        <v>T28AC S-M סד לאגודל</v>
      </c>
      <c r="I2715" s="8" t="str">
        <f aca="false">IF($G2715="","Unmatched","Matched")</f>
        <v>Matched</v>
      </c>
      <c r="J2715" s="8" t="n">
        <f aca="false">IF($G2715&lt;&gt;"",$G2715,$B2715)</f>
        <v>4415074</v>
      </c>
      <c r="K2715" s="8" t="str">
        <f aca="false">IF(COUNTIF($M$1:$M$10,$A2715)&gt;0,"Y","N")</f>
        <v>Y</v>
      </c>
    </row>
    <row r="2716" customFormat="false" ht="15" hidden="false" customHeight="true" outlineLevel="0" collapsed="false">
      <c r="A2716" s="8" t="s">
        <v>42</v>
      </c>
      <c r="B2716" s="8" t="s">
        <v>90</v>
      </c>
      <c r="C2716" s="19" t="n">
        <v>7</v>
      </c>
      <c r="D2716" s="19" t="n">
        <v>1735.88</v>
      </c>
      <c r="E2716" s="19" t="n">
        <v>18</v>
      </c>
      <c r="F2716" s="19" t="n">
        <v>4396.84</v>
      </c>
      <c r="G2716" s="8" t="str">
        <f aca="false">IFERROR(INDEX('TRANS'!$B:$B,MATCH($B2716,'TRANS'!$A:$A,0)),IFERROR(INDEX('TRANS'!$B:$B,MATCH(TRIM(SUBSTITUTE($B2716,CHAR(160)," ")),'TRANS'!$D:$D,0)),IFERROR(INDEX('Catalog'!$A:$A,MATCH($B2716,'Catalog'!$B:$B,0)),IFERROR(INDEX('Catalog'!$A:$A,MATCH(TRIM(SUBSTITUTE($B2716,CHAR(160)," ")),'Catalog'!$C:$C,0)),""))))</f>
        <v/>
      </c>
      <c r="H2716" s="8" t="str">
        <f aca="false">IFERROR(INDEX('TRANS'!$C:$C,MATCH($B2716,'TRANS'!$A:$A,0)),IFERROR(INDEX('Catalog'!$B:$B,MATCH($G2716,'Catalog'!$A:$A,0)),$B2716))</f>
        <v>T33 L</v>
      </c>
      <c r="I2716" s="8" t="str">
        <f aca="false">IF($G2716="","Unmatched","Matched")</f>
        <v>Unmatched</v>
      </c>
      <c r="J2716" s="8" t="str">
        <f aca="false">IF($G2716&lt;&gt;"",$G2716,$B2716)</f>
        <v>T33 L</v>
      </c>
      <c r="K2716" s="8" t="str">
        <f aca="false">IF(COUNTIF($M$1:$M$10,$A2716)&gt;0,"Y","N")</f>
        <v>Y</v>
      </c>
    </row>
    <row r="2717" customFormat="false" ht="15" hidden="false" customHeight="true" outlineLevel="0" collapsed="false">
      <c r="A2717" s="8" t="s">
        <v>42</v>
      </c>
      <c r="B2717" s="8" t="s">
        <v>133</v>
      </c>
      <c r="C2717" s="19" t="n">
        <v>2</v>
      </c>
      <c r="D2717" s="19" t="n">
        <v>508.3</v>
      </c>
      <c r="E2717" s="19" t="n">
        <v>9</v>
      </c>
      <c r="F2717" s="19" t="n">
        <v>2236.54</v>
      </c>
      <c r="G2717" s="8" t="str">
        <f aca="false">IFERROR(INDEX('TRANS'!$B:$B,MATCH($B2717,'TRANS'!$A:$A,0)),IFERROR(INDEX('TRANS'!$B:$B,MATCH(TRIM(SUBSTITUTE($B2717,CHAR(160)," ")),'TRANS'!$D:$D,0)),IFERROR(INDEX('Catalog'!$A:$A,MATCH($B2717,'Catalog'!$B:$B,0)),IFERROR(INDEX('Catalog'!$A:$A,MATCH(TRIM(SUBSTITUTE($B2717,CHAR(160)," ")),'Catalog'!$C:$C,0)),""))))</f>
        <v/>
      </c>
      <c r="H2717" s="8" t="str">
        <f aca="false">IFERROR(INDEX('TRANS'!$C:$C,MATCH($B2717,'TRANS'!$A:$A,0)),IFERROR(INDEX('Catalog'!$B:$B,MATCH($G2717,'Catalog'!$A:$A,0)),$B2717))</f>
        <v>T33 M</v>
      </c>
      <c r="I2717" s="8" t="str">
        <f aca="false">IF($G2717="","Unmatched","Matched")</f>
        <v>Unmatched</v>
      </c>
      <c r="J2717" s="8" t="str">
        <f aca="false">IF($G2717&lt;&gt;"",$G2717,$B2717)</f>
        <v>T33 M</v>
      </c>
      <c r="K2717" s="8" t="str">
        <f aca="false">IF(COUNTIF($M$1:$M$10,$A2717)&gt;0,"Y","N")</f>
        <v>Y</v>
      </c>
    </row>
    <row r="2718" customFormat="false" ht="15" hidden="false" customHeight="true" outlineLevel="0" collapsed="false">
      <c r="A2718" s="8" t="s">
        <v>42</v>
      </c>
      <c r="B2718" s="8" t="s">
        <v>166</v>
      </c>
      <c r="C2718" s="19" t="n">
        <v>2</v>
      </c>
      <c r="D2718" s="19" t="n">
        <v>508.3</v>
      </c>
      <c r="E2718" s="19" t="n">
        <v>5</v>
      </c>
      <c r="F2718" s="19" t="n">
        <v>1245.34</v>
      </c>
      <c r="G2718" s="8" t="str">
        <f aca="false">IFERROR(INDEX('TRANS'!$B:$B,MATCH($B2718,'TRANS'!$A:$A,0)),IFERROR(INDEX('TRANS'!$B:$B,MATCH(TRIM(SUBSTITUTE($B2718,CHAR(160)," ")),'TRANS'!$D:$D,0)),IFERROR(INDEX('Catalog'!$A:$A,MATCH($B2718,'Catalog'!$B:$B,0)),IFERROR(INDEX('Catalog'!$A:$A,MATCH(TRIM(SUBSTITUTE($B2718,CHAR(160)," ")),'Catalog'!$C:$C,0)),""))))</f>
        <v/>
      </c>
      <c r="H2718" s="8" t="str">
        <f aca="false">IFERROR(INDEX('TRANS'!$C:$C,MATCH($B2718,'TRANS'!$A:$A,0)),IFERROR(INDEX('Catalog'!$B:$B,MATCH($G2718,'Catalog'!$A:$A,0)),$B2718))</f>
        <v>T33 S</v>
      </c>
      <c r="I2718" s="8" t="str">
        <f aca="false">IF($G2718="","Unmatched","Matched")</f>
        <v>Unmatched</v>
      </c>
      <c r="J2718" s="8" t="str">
        <f aca="false">IF($G2718&lt;&gt;"",$G2718,$B2718)</f>
        <v>T33 S</v>
      </c>
      <c r="K2718" s="8" t="str">
        <f aca="false">IF(COUNTIF($M$1:$M$10,$A2718)&gt;0,"Y","N")</f>
        <v>Y</v>
      </c>
    </row>
    <row r="2719" customFormat="false" ht="15" hidden="false" customHeight="true" outlineLevel="0" collapsed="false">
      <c r="A2719" s="8" t="s">
        <v>42</v>
      </c>
      <c r="B2719" s="8" t="s">
        <v>118</v>
      </c>
      <c r="C2719" s="19" t="n">
        <v>4</v>
      </c>
      <c r="D2719" s="19" t="n">
        <v>927.65</v>
      </c>
      <c r="E2719" s="19" t="n">
        <v>4</v>
      </c>
      <c r="F2719" s="19" t="n">
        <v>1016.61</v>
      </c>
      <c r="G2719" s="8" t="str">
        <f aca="false">IFERROR(INDEX('TRANS'!$B:$B,MATCH($B2719,'TRANS'!$A:$A,0)),IFERROR(INDEX('TRANS'!$B:$B,MATCH(TRIM(SUBSTITUTE($B2719,CHAR(160)," ")),'TRANS'!$D:$D,0)),IFERROR(INDEX('Catalog'!$A:$A,MATCH($B2719,'Catalog'!$B:$B,0)),IFERROR(INDEX('Catalog'!$A:$A,MATCH(TRIM(SUBSTITUTE($B2719,CHAR(160)," ")),'Catalog'!$C:$C,0)),""))))</f>
        <v/>
      </c>
      <c r="H2719" s="8" t="str">
        <f aca="false">IFERROR(INDEX('TRANS'!$C:$C,MATCH($B2719,'TRANS'!$A:$A,0)),IFERROR(INDEX('Catalog'!$B:$B,MATCH($G2719,'Catalog'!$A:$A,0)),$B2719))</f>
        <v>T33 XL</v>
      </c>
      <c r="I2719" s="8" t="str">
        <f aca="false">IF($G2719="","Unmatched","Matched")</f>
        <v>Unmatched</v>
      </c>
      <c r="J2719" s="8" t="str">
        <f aca="false">IF($G2719&lt;&gt;"",$G2719,$B2719)</f>
        <v>T33 XL</v>
      </c>
      <c r="K2719" s="8" t="str">
        <f aca="false">IF(COUNTIF($M$1:$M$10,$A2719)&gt;0,"Y","N")</f>
        <v>Y</v>
      </c>
    </row>
    <row r="2720" customFormat="false" ht="15" hidden="false" customHeight="true" outlineLevel="0" collapsed="false">
      <c r="A2720" s="8" t="s">
        <v>42</v>
      </c>
      <c r="B2720" s="8" t="s">
        <v>159</v>
      </c>
      <c r="C2720" s="19" t="n">
        <v>5</v>
      </c>
      <c r="D2720" s="19" t="n">
        <v>1138.64</v>
      </c>
      <c r="E2720" s="19" t="n">
        <v>3</v>
      </c>
      <c r="F2720" s="19" t="n">
        <v>762.45</v>
      </c>
      <c r="G2720" s="8" t="str">
        <f aca="false">IFERROR(INDEX('TRANS'!$B:$B,MATCH($B2720,'TRANS'!$A:$A,0)),IFERROR(INDEX('TRANS'!$B:$B,MATCH(TRIM(SUBSTITUTE($B2720,CHAR(160)," ")),'TRANS'!$D:$D,0)),IFERROR(INDEX('Catalog'!$A:$A,MATCH($B2720,'Catalog'!$B:$B,0)),IFERROR(INDEX('Catalog'!$A:$A,MATCH(TRIM(SUBSTITUTE($B2720,CHAR(160)," ")),'Catalog'!$C:$C,0)),""))))</f>
        <v/>
      </c>
      <c r="H2720" s="8" t="str">
        <f aca="false">IFERROR(INDEX('TRANS'!$C:$C,MATCH($B2720,'TRANS'!$A:$A,0)),IFERROR(INDEX('Catalog'!$B:$B,MATCH($G2720,'Catalog'!$A:$A,0)),$B2720))</f>
        <v>T33 XXL</v>
      </c>
      <c r="I2720" s="8" t="str">
        <f aca="false">IF($G2720="","Unmatched","Matched")</f>
        <v>Unmatched</v>
      </c>
      <c r="J2720" s="8" t="str">
        <f aca="false">IF($G2720&lt;&gt;"",$G2720,$B2720)</f>
        <v>T33 XXL</v>
      </c>
      <c r="K2720" s="8" t="str">
        <f aca="false">IF(COUNTIF($M$1:$M$10,$A2720)&gt;0,"Y","N")</f>
        <v>Y</v>
      </c>
    </row>
    <row r="2721" customFormat="false" ht="15" hidden="false" customHeight="true" outlineLevel="0" collapsed="false">
      <c r="A2721" s="8" t="s">
        <v>42</v>
      </c>
      <c r="B2721" s="8" t="s">
        <v>385</v>
      </c>
      <c r="C2721" s="19" t="n">
        <v>6</v>
      </c>
      <c r="D2721" s="19" t="n">
        <v>817.69</v>
      </c>
      <c r="E2721" s="19" t="n">
        <v>1</v>
      </c>
      <c r="F2721" s="19" t="n">
        <v>120.26</v>
      </c>
      <c r="G2721" s="8" t="str">
        <f aca="false">IFERROR(INDEX('TRANS'!$B:$B,MATCH($B2721,'TRANS'!$A:$A,0)),IFERROR(INDEX('TRANS'!$B:$B,MATCH(TRIM(SUBSTITUTE($B2721,CHAR(160)," ")),'TRANS'!$D:$D,0)),IFERROR(INDEX('Catalog'!$A:$A,MATCH($B2721,'Catalog'!$B:$B,0)),IFERROR(INDEX('Catalog'!$A:$A,MATCH(TRIM(SUBSTITUTE($B2721,CHAR(160)," ")),'Catalog'!$C:$C,0)),""))))</f>
        <v/>
      </c>
      <c r="H2721" s="8" t="str">
        <f aca="false">IFERROR(INDEX('TRANS'!$C:$C,MATCH($B2721,'TRANS'!$A:$A,0)),IFERROR(INDEX('Catalog'!$B:$B,MATCH($G2721,'Catalog'!$A:$A,0)),$B2721))</f>
        <v>T35 L</v>
      </c>
      <c r="I2721" s="8" t="str">
        <f aca="false">IF($G2721="","Unmatched","Matched")</f>
        <v>Unmatched</v>
      </c>
      <c r="J2721" s="8" t="str">
        <f aca="false">IF($G2721&lt;&gt;"",$G2721,$B2721)</f>
        <v>T35 L</v>
      </c>
      <c r="K2721" s="8" t="str">
        <f aca="false">IF(COUNTIF($M$1:$M$10,$A2721)&gt;0,"Y","N")</f>
        <v>Y</v>
      </c>
    </row>
    <row r="2722" customFormat="false" ht="15" hidden="false" customHeight="true" outlineLevel="0" collapsed="false">
      <c r="A2722" s="8" t="s">
        <v>42</v>
      </c>
      <c r="B2722" s="8" t="s">
        <v>513</v>
      </c>
      <c r="C2722" s="19" t="n">
        <v>5</v>
      </c>
      <c r="D2722" s="19" t="n">
        <v>577.2</v>
      </c>
      <c r="E2722" s="19" t="n">
        <v>0</v>
      </c>
      <c r="F2722" s="19" t="n">
        <v>0</v>
      </c>
      <c r="G2722" s="8" t="str">
        <f aca="false">IFERROR(INDEX('TRANS'!$B:$B,MATCH($B2722,'TRANS'!$A:$A,0)),IFERROR(INDEX('TRANS'!$B:$B,MATCH(TRIM(SUBSTITUTE($B2722,CHAR(160)," ")),'TRANS'!$D:$D,0)),IFERROR(INDEX('Catalog'!$A:$A,MATCH($B2722,'Catalog'!$B:$B,0)),IFERROR(INDEX('Catalog'!$A:$A,MATCH(TRIM(SUBSTITUTE($B2722,CHAR(160)," ")),'Catalog'!$C:$C,0)),""))))</f>
        <v/>
      </c>
      <c r="H2722" s="8" t="str">
        <f aca="false">IFERROR(INDEX('TRANS'!$C:$C,MATCH($B2722,'TRANS'!$A:$A,0)),IFERROR(INDEX('Catalog'!$B:$B,MATCH($G2722,'Catalog'!$A:$A,0)),$B2722))</f>
        <v>T35 M</v>
      </c>
      <c r="I2722" s="8" t="str">
        <f aca="false">IF($G2722="","Unmatched","Matched")</f>
        <v>Unmatched</v>
      </c>
      <c r="J2722" s="8" t="str">
        <f aca="false">IF($G2722&lt;&gt;"",$G2722,$B2722)</f>
        <v>T35 M</v>
      </c>
      <c r="K2722" s="8" t="str">
        <f aca="false">IF(COUNTIF($M$1:$M$10,$A2722)&gt;0,"Y","N")</f>
        <v>Y</v>
      </c>
    </row>
    <row r="2723" customFormat="false" ht="15" hidden="false" customHeight="true" outlineLevel="0" collapsed="false">
      <c r="A2723" s="8" t="s">
        <v>42</v>
      </c>
      <c r="B2723" s="8" t="s">
        <v>386</v>
      </c>
      <c r="C2723" s="19" t="n">
        <v>2</v>
      </c>
      <c r="D2723" s="19" t="n">
        <v>204.42</v>
      </c>
      <c r="E2723" s="19" t="n">
        <v>1</v>
      </c>
      <c r="F2723" s="19" t="n">
        <v>120.25</v>
      </c>
      <c r="G2723" s="8" t="str">
        <f aca="false">IFERROR(INDEX('TRANS'!$B:$B,MATCH($B2723,'TRANS'!$A:$A,0)),IFERROR(INDEX('TRANS'!$B:$B,MATCH(TRIM(SUBSTITUTE($B2723,CHAR(160)," ")),'TRANS'!$D:$D,0)),IFERROR(INDEX('Catalog'!$A:$A,MATCH($B2723,'Catalog'!$B:$B,0)),IFERROR(INDEX('Catalog'!$A:$A,MATCH(TRIM(SUBSTITUTE($B2723,CHAR(160)," ")),'Catalog'!$C:$C,0)),""))))</f>
        <v/>
      </c>
      <c r="H2723" s="8" t="str">
        <f aca="false">IFERROR(INDEX('TRANS'!$C:$C,MATCH($B2723,'TRANS'!$A:$A,0)),IFERROR(INDEX('Catalog'!$B:$B,MATCH($G2723,'Catalog'!$A:$A,0)),$B2723))</f>
        <v>T35 XL</v>
      </c>
      <c r="I2723" s="8" t="str">
        <f aca="false">IF($G2723="","Unmatched","Matched")</f>
        <v>Unmatched</v>
      </c>
      <c r="J2723" s="8" t="str">
        <f aca="false">IF($G2723&lt;&gt;"",$G2723,$B2723)</f>
        <v>T35 XL</v>
      </c>
      <c r="K2723" s="8" t="str">
        <f aca="false">IF(COUNTIF($M$1:$M$10,$A2723)&gt;0,"Y","N")</f>
        <v>Y</v>
      </c>
    </row>
    <row r="2724" customFormat="false" ht="15" hidden="false" customHeight="true" outlineLevel="0" collapsed="false">
      <c r="A2724" s="8" t="s">
        <v>42</v>
      </c>
      <c r="B2724" s="8" t="s">
        <v>387</v>
      </c>
      <c r="C2724" s="19" t="n">
        <v>2</v>
      </c>
      <c r="D2724" s="19" t="n">
        <v>240.5</v>
      </c>
      <c r="E2724" s="19" t="n">
        <v>1</v>
      </c>
      <c r="F2724" s="19" t="n">
        <v>120.25</v>
      </c>
      <c r="G2724" s="8" t="str">
        <f aca="false">IFERROR(INDEX('TRANS'!$B:$B,MATCH($B2724,'TRANS'!$A:$A,0)),IFERROR(INDEX('TRANS'!$B:$B,MATCH(TRIM(SUBSTITUTE($B2724,CHAR(160)," ")),'TRANS'!$D:$D,0)),IFERROR(INDEX('Catalog'!$A:$A,MATCH($B2724,'Catalog'!$B:$B,0)),IFERROR(INDEX('Catalog'!$A:$A,MATCH(TRIM(SUBSTITUTE($B2724,CHAR(160)," ")),'Catalog'!$C:$C,0)),""))))</f>
        <v/>
      </c>
      <c r="H2724" s="8" t="str">
        <f aca="false">IFERROR(INDEX('TRANS'!$C:$C,MATCH($B2724,'TRANS'!$A:$A,0)),IFERROR(INDEX('Catalog'!$B:$B,MATCH($G2724,'Catalog'!$A:$A,0)),$B2724))</f>
        <v>T35 XXL</v>
      </c>
      <c r="I2724" s="8" t="str">
        <f aca="false">IF($G2724="","Unmatched","Matched")</f>
        <v>Unmatched</v>
      </c>
      <c r="J2724" s="8" t="str">
        <f aca="false">IF($G2724&lt;&gt;"",$G2724,$B2724)</f>
        <v>T35 XXL</v>
      </c>
      <c r="K2724" s="8" t="str">
        <f aca="false">IF(COUNTIF($M$1:$M$10,$A2724)&gt;0,"Y","N")</f>
        <v>Y</v>
      </c>
    </row>
    <row r="2725" customFormat="false" ht="15" hidden="false" customHeight="true" outlineLevel="0" collapsed="false">
      <c r="A2725" s="8" t="s">
        <v>42</v>
      </c>
      <c r="B2725" s="8" t="s">
        <v>114</v>
      </c>
      <c r="C2725" s="19" t="n">
        <v>2</v>
      </c>
      <c r="D2725" s="19" t="n">
        <v>331.21</v>
      </c>
      <c r="E2725" s="19" t="n">
        <v>8</v>
      </c>
      <c r="F2725" s="19" t="n">
        <v>1461.23</v>
      </c>
      <c r="G2725" s="8" t="str">
        <f aca="false">IFERROR(INDEX('TRANS'!$B:$B,MATCH($B2725,'TRANS'!$A:$A,0)),IFERROR(INDEX('TRANS'!$B:$B,MATCH(TRIM(SUBSTITUTE($B2725,CHAR(160)," ")),'TRANS'!$D:$D,0)),IFERROR(INDEX('Catalog'!$A:$A,MATCH($B2725,'Catalog'!$B:$B,0)),IFERROR(INDEX('Catalog'!$A:$A,MATCH(TRIM(SUBSTITUTE($B2725,CHAR(160)," ")),'Catalog'!$C:$C,0)),""))))</f>
        <v/>
      </c>
      <c r="H2725" s="8" t="str">
        <f aca="false">IFERROR(INDEX('TRANS'!$C:$C,MATCH($B2725,'TRANS'!$A:$A,0)),IFERROR(INDEX('Catalog'!$B:$B,MATCH($G2725,'Catalog'!$A:$A,0)),$B2725))</f>
        <v>T39 L</v>
      </c>
      <c r="I2725" s="8" t="str">
        <f aca="false">IF($G2725="","Unmatched","Matched")</f>
        <v>Unmatched</v>
      </c>
      <c r="J2725" s="8" t="str">
        <f aca="false">IF($G2725&lt;&gt;"",$G2725,$B2725)</f>
        <v>T39 L</v>
      </c>
      <c r="K2725" s="8" t="str">
        <f aca="false">IF(COUNTIF($M$1:$M$10,$A2725)&gt;0,"Y","N")</f>
        <v>Y</v>
      </c>
    </row>
    <row r="2726" customFormat="false" ht="15" hidden="false" customHeight="true" outlineLevel="0" collapsed="false">
      <c r="A2726" s="8" t="s">
        <v>42</v>
      </c>
      <c r="B2726" s="8" t="s">
        <v>110</v>
      </c>
      <c r="C2726" s="19" t="n">
        <v>0</v>
      </c>
      <c r="D2726" s="19" t="n">
        <v>0</v>
      </c>
      <c r="E2726" s="19" t="n">
        <v>3</v>
      </c>
      <c r="F2726" s="19" t="n">
        <v>565.01</v>
      </c>
      <c r="G2726" s="8" t="str">
        <f aca="false">IFERROR(INDEX('TRANS'!$B:$B,MATCH($B2726,'TRANS'!$A:$A,0)),IFERROR(INDEX('TRANS'!$B:$B,MATCH(TRIM(SUBSTITUTE($B2726,CHAR(160)," ")),'TRANS'!$D:$D,0)),IFERROR(INDEX('Catalog'!$A:$A,MATCH($B2726,'Catalog'!$B:$B,0)),IFERROR(INDEX('Catalog'!$A:$A,MATCH(TRIM(SUBSTITUTE($B2726,CHAR(160)," ")),'Catalog'!$C:$C,0)),""))))</f>
        <v/>
      </c>
      <c r="H2726" s="8" t="str">
        <f aca="false">IFERROR(INDEX('TRANS'!$C:$C,MATCH($B2726,'TRANS'!$A:$A,0)),IFERROR(INDEX('Catalog'!$B:$B,MATCH($G2726,'Catalog'!$A:$A,0)),$B2726))</f>
        <v>T39 M</v>
      </c>
      <c r="I2726" s="8" t="str">
        <f aca="false">IF($G2726="","Unmatched","Matched")</f>
        <v>Unmatched</v>
      </c>
      <c r="J2726" s="8" t="str">
        <f aca="false">IF($G2726&lt;&gt;"",$G2726,$B2726)</f>
        <v>T39 M</v>
      </c>
      <c r="K2726" s="8" t="str">
        <f aca="false">IF(COUNTIF($M$1:$M$10,$A2726)&gt;0,"Y","N")</f>
        <v>Y</v>
      </c>
    </row>
    <row r="2727" customFormat="false" ht="15" hidden="false" customHeight="true" outlineLevel="0" collapsed="false">
      <c r="A2727" s="8" t="s">
        <v>42</v>
      </c>
      <c r="B2727" s="8" t="s">
        <v>849</v>
      </c>
      <c r="C2727" s="19" t="n">
        <v>0</v>
      </c>
      <c r="D2727" s="19" t="n">
        <v>0</v>
      </c>
      <c r="E2727" s="19" t="n">
        <v>1</v>
      </c>
      <c r="F2727" s="19" t="n">
        <v>194.83</v>
      </c>
      <c r="G2727" s="8" t="n">
        <f aca="false">IFERROR(INDEX('TRANS'!$B:$B,MATCH($B2727,'TRANS'!$A:$A,0)),IFERROR(INDEX('TRANS'!$B:$B,MATCH(TRIM(SUBSTITUTE($B2727,CHAR(160)," ")),'TRANS'!$D:$D,0)),IFERROR(INDEX('Catalog'!$A:$A,MATCH($B2727,'Catalog'!$B:$B,0)),IFERROR(INDEX('Catalog'!$A:$A,MATCH(TRIM(SUBSTITUTE($B2727,CHAR(160)," ")),'Catalog'!$C:$C,0)),""))))</f>
        <v>4413180</v>
      </c>
      <c r="H2727" s="8" t="str">
        <f aca="false">IFERROR(INDEX('TRANS'!$C:$C,MATCH($B2727,'TRANS'!$A:$A,0)),IFERROR(INDEX('Catalog'!$B:$B,MATCH($G2727,'Catalog'!$A:$A,0)),$B2727))</f>
        <v>T39  S מגן שוק</v>
      </c>
      <c r="I2727" s="8" t="str">
        <f aca="false">IF($G2727="","Unmatched","Matched")</f>
        <v>Matched</v>
      </c>
      <c r="J2727" s="8" t="n">
        <f aca="false">IF($G2727&lt;&gt;"",$G2727,$B2727)</f>
        <v>4413180</v>
      </c>
      <c r="K2727" s="8" t="str">
        <f aca="false">IF(COUNTIF($M$1:$M$10,$A2727)&gt;0,"Y","N")</f>
        <v>Y</v>
      </c>
    </row>
    <row r="2728" customFormat="false" ht="15" hidden="false" customHeight="true" outlineLevel="0" collapsed="false">
      <c r="A2728" s="8" t="s">
        <v>42</v>
      </c>
      <c r="B2728" s="8" t="s">
        <v>135</v>
      </c>
      <c r="C2728" s="19" t="n">
        <v>1</v>
      </c>
      <c r="D2728" s="19" t="n">
        <v>194.83</v>
      </c>
      <c r="E2728" s="19" t="n">
        <v>1</v>
      </c>
      <c r="F2728" s="19" t="n">
        <v>165.61</v>
      </c>
      <c r="G2728" s="8" t="str">
        <f aca="false">IFERROR(INDEX('TRANS'!$B:$B,MATCH($B2728,'TRANS'!$A:$A,0)),IFERROR(INDEX('TRANS'!$B:$B,MATCH(TRIM(SUBSTITUTE($B2728,CHAR(160)," ")),'TRANS'!$D:$D,0)),IFERROR(INDEX('Catalog'!$A:$A,MATCH($B2728,'Catalog'!$B:$B,0)),IFERROR(INDEX('Catalog'!$A:$A,MATCH(TRIM(SUBSTITUTE($B2728,CHAR(160)," ")),'Catalog'!$C:$C,0)),""))))</f>
        <v/>
      </c>
      <c r="H2728" s="8" t="str">
        <f aca="false">IFERROR(INDEX('TRANS'!$C:$C,MATCH($B2728,'TRANS'!$A:$A,0)),IFERROR(INDEX('Catalog'!$B:$B,MATCH($G2728,'Catalog'!$A:$A,0)),$B2728))</f>
        <v>T39 XL</v>
      </c>
      <c r="I2728" s="8" t="str">
        <f aca="false">IF($G2728="","Unmatched","Matched")</f>
        <v>Unmatched</v>
      </c>
      <c r="J2728" s="8" t="str">
        <f aca="false">IF($G2728&lt;&gt;"",$G2728,$B2728)</f>
        <v>T39 XL</v>
      </c>
      <c r="K2728" s="8" t="str">
        <f aca="false">IF(COUNTIF($M$1:$M$10,$A2728)&gt;0,"Y","N")</f>
        <v>Y</v>
      </c>
    </row>
    <row r="2729" customFormat="false" ht="15" hidden="false" customHeight="true" outlineLevel="0" collapsed="false">
      <c r="A2729" s="8" t="s">
        <v>42</v>
      </c>
      <c r="B2729" s="8" t="s">
        <v>342</v>
      </c>
      <c r="C2729" s="19" t="n">
        <v>0</v>
      </c>
      <c r="D2729" s="19" t="n">
        <v>0</v>
      </c>
      <c r="E2729" s="19" t="n">
        <v>1</v>
      </c>
      <c r="F2729" s="19" t="n">
        <v>194.83</v>
      </c>
      <c r="G2729" s="8" t="str">
        <f aca="false">IFERROR(INDEX('TRANS'!$B:$B,MATCH($B2729,'TRANS'!$A:$A,0)),IFERROR(INDEX('TRANS'!$B:$B,MATCH(TRIM(SUBSTITUTE($B2729,CHAR(160)," ")),'TRANS'!$D:$D,0)),IFERROR(INDEX('Catalog'!$A:$A,MATCH($B2729,'Catalog'!$B:$B,0)),IFERROR(INDEX('Catalog'!$A:$A,MATCH(TRIM(SUBSTITUTE($B2729,CHAR(160)," ")),'Catalog'!$C:$C,0)),""))))</f>
        <v/>
      </c>
      <c r="H2729" s="8" t="str">
        <f aca="false">IFERROR(INDEX('TRANS'!$C:$C,MATCH($B2729,'TRANS'!$A:$A,0)),IFERROR(INDEX('Catalog'!$B:$B,MATCH($G2729,'Catalog'!$A:$A,0)),$B2729))</f>
        <v>T39 XS</v>
      </c>
      <c r="I2729" s="8" t="str">
        <f aca="false">IF($G2729="","Unmatched","Matched")</f>
        <v>Unmatched</v>
      </c>
      <c r="J2729" s="8" t="str">
        <f aca="false">IF($G2729&lt;&gt;"",$G2729,$B2729)</f>
        <v>T39 XS</v>
      </c>
      <c r="K2729" s="8" t="str">
        <f aca="false">IF(COUNTIF($M$1:$M$10,$A2729)&gt;0,"Y","N")</f>
        <v>Y</v>
      </c>
    </row>
    <row r="2730" customFormat="false" ht="15" hidden="false" customHeight="true" outlineLevel="0" collapsed="false">
      <c r="A2730" s="8" t="s">
        <v>42</v>
      </c>
      <c r="B2730" s="8" t="s">
        <v>287</v>
      </c>
      <c r="C2730" s="19" t="n">
        <v>1</v>
      </c>
      <c r="D2730" s="19" t="n">
        <v>194.83</v>
      </c>
      <c r="E2730" s="19" t="n">
        <v>1</v>
      </c>
      <c r="F2730" s="19" t="n">
        <v>194.83</v>
      </c>
      <c r="G2730" s="8" t="str">
        <f aca="false">IFERROR(INDEX('TRANS'!$B:$B,MATCH($B2730,'TRANS'!$A:$A,0)),IFERROR(INDEX('TRANS'!$B:$B,MATCH(TRIM(SUBSTITUTE($B2730,CHAR(160)," ")),'TRANS'!$D:$D,0)),IFERROR(INDEX('Catalog'!$A:$A,MATCH($B2730,'Catalog'!$B:$B,0)),IFERROR(INDEX('Catalog'!$A:$A,MATCH(TRIM(SUBSTITUTE($B2730,CHAR(160)," ")),'Catalog'!$C:$C,0)),""))))</f>
        <v/>
      </c>
      <c r="H2730" s="8" t="str">
        <f aca="false">IFERROR(INDEX('TRANS'!$C:$C,MATCH($B2730,'TRANS'!$A:$A,0)),IFERROR(INDEX('Catalog'!$B:$B,MATCH($G2730,'Catalog'!$A:$A,0)),$B2730))</f>
        <v>T39 XXL</v>
      </c>
      <c r="I2730" s="8" t="str">
        <f aca="false">IF($G2730="","Unmatched","Matched")</f>
        <v>Unmatched</v>
      </c>
      <c r="J2730" s="8" t="str">
        <f aca="false">IF($G2730&lt;&gt;"",$G2730,$B2730)</f>
        <v>T39 XXL</v>
      </c>
      <c r="K2730" s="8" t="str">
        <f aca="false">IF(COUNTIF($M$1:$M$10,$A2730)&gt;0,"Y","N")</f>
        <v>Y</v>
      </c>
    </row>
    <row r="2731" customFormat="false" ht="15" hidden="false" customHeight="true" outlineLevel="0" collapsed="false">
      <c r="A2731" s="8" t="s">
        <v>42</v>
      </c>
      <c r="B2731" s="8" t="s">
        <v>124</v>
      </c>
      <c r="C2731" s="19" t="n">
        <v>5</v>
      </c>
      <c r="D2731" s="19" t="n">
        <v>778.5</v>
      </c>
      <c r="E2731" s="19" t="n">
        <v>6</v>
      </c>
      <c r="F2731" s="19" t="n">
        <v>975.27</v>
      </c>
      <c r="G2731" s="8" t="str">
        <f aca="false">IFERROR(INDEX('TRANS'!$B:$B,MATCH($B2731,'TRANS'!$A:$A,0)),IFERROR(INDEX('TRANS'!$B:$B,MATCH(TRIM(SUBSTITUTE($B2731,CHAR(160)," ")),'TRANS'!$D:$D,0)),IFERROR(INDEX('Catalog'!$A:$A,MATCH($B2731,'Catalog'!$B:$B,0)),IFERROR(INDEX('Catalog'!$A:$A,MATCH(TRIM(SUBSTITUTE($B2731,CHAR(160)," ")),'Catalog'!$C:$C,0)),""))))</f>
        <v/>
      </c>
      <c r="H2731" s="8" t="str">
        <f aca="false">IFERROR(INDEX('TRANS'!$C:$C,MATCH($B2731,'TRANS'!$A:$A,0)),IFERROR(INDEX('Catalog'!$B:$B,MATCH($G2731,'Catalog'!$A:$A,0)),$B2731))</f>
        <v>T402 L</v>
      </c>
      <c r="I2731" s="8" t="str">
        <f aca="false">IF($G2731="","Unmatched","Matched")</f>
        <v>Unmatched</v>
      </c>
      <c r="J2731" s="8" t="str">
        <f aca="false">IF($G2731&lt;&gt;"",$G2731,$B2731)</f>
        <v>T402 L</v>
      </c>
      <c r="K2731" s="8" t="str">
        <f aca="false">IF(COUNTIF($M$1:$M$10,$A2731)&gt;0,"Y","N")</f>
        <v>Y</v>
      </c>
    </row>
    <row r="2732" customFormat="false" ht="15" hidden="false" customHeight="true" outlineLevel="0" collapsed="false">
      <c r="A2732" s="8" t="s">
        <v>42</v>
      </c>
      <c r="B2732" s="8" t="s">
        <v>262</v>
      </c>
      <c r="C2732" s="19" t="n">
        <v>6</v>
      </c>
      <c r="D2732" s="19" t="n">
        <v>958.15</v>
      </c>
      <c r="E2732" s="19" t="n">
        <v>1</v>
      </c>
      <c r="F2732" s="19" t="n">
        <v>153.99</v>
      </c>
      <c r="G2732" s="8" t="str">
        <f aca="false">IFERROR(INDEX('TRANS'!$B:$B,MATCH($B2732,'TRANS'!$A:$A,0)),IFERROR(INDEX('TRANS'!$B:$B,MATCH(TRIM(SUBSTITUTE($B2732,CHAR(160)," ")),'TRANS'!$D:$D,0)),IFERROR(INDEX('Catalog'!$A:$A,MATCH($B2732,'Catalog'!$B:$B,0)),IFERROR(INDEX('Catalog'!$A:$A,MATCH(TRIM(SUBSTITUTE($B2732,CHAR(160)," ")),'Catalog'!$C:$C,0)),""))))</f>
        <v/>
      </c>
      <c r="H2732" s="8" t="str">
        <f aca="false">IFERROR(INDEX('TRANS'!$C:$C,MATCH($B2732,'TRANS'!$A:$A,0)),IFERROR(INDEX('Catalog'!$B:$B,MATCH($G2732,'Catalog'!$A:$A,0)),$B2732))</f>
        <v>T402 M</v>
      </c>
      <c r="I2732" s="8" t="str">
        <f aca="false">IF($G2732="","Unmatched","Matched")</f>
        <v>Unmatched</v>
      </c>
      <c r="J2732" s="8" t="str">
        <f aca="false">IF($G2732&lt;&gt;"",$G2732,$B2732)</f>
        <v>T402 M</v>
      </c>
      <c r="K2732" s="8" t="str">
        <f aca="false">IF(COUNTIF($M$1:$M$10,$A2732)&gt;0,"Y","N")</f>
        <v>Y</v>
      </c>
    </row>
    <row r="2733" customFormat="false" ht="15" hidden="false" customHeight="true" outlineLevel="0" collapsed="false">
      <c r="A2733" s="8" t="s">
        <v>42</v>
      </c>
      <c r="B2733" s="8" t="s">
        <v>533</v>
      </c>
      <c r="C2733" s="19" t="n">
        <v>1</v>
      </c>
      <c r="D2733" s="19" t="n">
        <v>153.99</v>
      </c>
      <c r="E2733" s="19" t="n">
        <v>0</v>
      </c>
      <c r="F2733" s="19" t="n">
        <v>0</v>
      </c>
      <c r="G2733" s="8" t="str">
        <f aca="false">IFERROR(INDEX('TRANS'!$B:$B,MATCH($B2733,'TRANS'!$A:$A,0)),IFERROR(INDEX('TRANS'!$B:$B,MATCH(TRIM(SUBSTITUTE($B2733,CHAR(160)," ")),'TRANS'!$D:$D,0)),IFERROR(INDEX('Catalog'!$A:$A,MATCH($B2733,'Catalog'!$B:$B,0)),IFERROR(INDEX('Catalog'!$A:$A,MATCH(TRIM(SUBSTITUTE($B2733,CHAR(160)," ")),'Catalog'!$C:$C,0)),""))))</f>
        <v/>
      </c>
      <c r="H2733" s="8" t="str">
        <f aca="false">IFERROR(INDEX('TRANS'!$C:$C,MATCH($B2733,'TRANS'!$A:$A,0)),IFERROR(INDEX('Catalog'!$B:$B,MATCH($G2733,'Catalog'!$A:$A,0)),$B2733))</f>
        <v>T402 S</v>
      </c>
      <c r="I2733" s="8" t="str">
        <f aca="false">IF($G2733="","Unmatched","Matched")</f>
        <v>Unmatched</v>
      </c>
      <c r="J2733" s="8" t="str">
        <f aca="false">IF($G2733&lt;&gt;"",$G2733,$B2733)</f>
        <v>T402 S</v>
      </c>
      <c r="K2733" s="8" t="str">
        <f aca="false">IF(COUNTIF($M$1:$M$10,$A2733)&gt;0,"Y","N")</f>
        <v>Y</v>
      </c>
    </row>
    <row r="2734" customFormat="false" ht="15" hidden="false" customHeight="true" outlineLevel="0" collapsed="false">
      <c r="A2734" s="8" t="s">
        <v>42</v>
      </c>
      <c r="B2734" s="8" t="s">
        <v>142</v>
      </c>
      <c r="C2734" s="19" t="n">
        <v>2</v>
      </c>
      <c r="D2734" s="19" t="n">
        <v>316.53</v>
      </c>
      <c r="E2734" s="19" t="n">
        <v>4</v>
      </c>
      <c r="F2734" s="19" t="n">
        <v>633.07</v>
      </c>
      <c r="G2734" s="8" t="str">
        <f aca="false">IFERROR(INDEX('TRANS'!$B:$B,MATCH($B2734,'TRANS'!$A:$A,0)),IFERROR(INDEX('TRANS'!$B:$B,MATCH(TRIM(SUBSTITUTE($B2734,CHAR(160)," ")),'TRANS'!$D:$D,0)),IFERROR(INDEX('Catalog'!$A:$A,MATCH($B2734,'Catalog'!$B:$B,0)),IFERROR(INDEX('Catalog'!$A:$A,MATCH(TRIM(SUBSTITUTE($B2734,CHAR(160)," ")),'Catalog'!$C:$C,0)),""))))</f>
        <v/>
      </c>
      <c r="H2734" s="8" t="str">
        <f aca="false">IFERROR(INDEX('TRANS'!$C:$C,MATCH($B2734,'TRANS'!$A:$A,0)),IFERROR(INDEX('Catalog'!$B:$B,MATCH($G2734,'Catalog'!$A:$A,0)),$B2734))</f>
        <v>T402 XL</v>
      </c>
      <c r="I2734" s="8" t="str">
        <f aca="false">IF($G2734="","Unmatched","Matched")</f>
        <v>Unmatched</v>
      </c>
      <c r="J2734" s="8" t="str">
        <f aca="false">IF($G2734&lt;&gt;"",$G2734,$B2734)</f>
        <v>T402 XL</v>
      </c>
      <c r="K2734" s="8" t="str">
        <f aca="false">IF(COUNTIF($M$1:$M$10,$A2734)&gt;0,"Y","N")</f>
        <v>Y</v>
      </c>
    </row>
    <row r="2735" customFormat="false" ht="15" hidden="false" customHeight="true" outlineLevel="0" collapsed="false">
      <c r="A2735" s="8" t="s">
        <v>42</v>
      </c>
      <c r="B2735" s="8" t="s">
        <v>158</v>
      </c>
      <c r="C2735" s="19" t="n">
        <v>6</v>
      </c>
      <c r="D2735" s="19" t="n">
        <v>1000.93</v>
      </c>
      <c r="E2735" s="19" t="n">
        <v>2</v>
      </c>
      <c r="F2735" s="19" t="n">
        <v>325.09</v>
      </c>
      <c r="G2735" s="8" t="str">
        <f aca="false">IFERROR(INDEX('TRANS'!$B:$B,MATCH($B2735,'TRANS'!$A:$A,0)),IFERROR(INDEX('TRANS'!$B:$B,MATCH(TRIM(SUBSTITUTE($B2735,CHAR(160)," ")),'TRANS'!$D:$D,0)),IFERROR(INDEX('Catalog'!$A:$A,MATCH($B2735,'Catalog'!$B:$B,0)),IFERROR(INDEX('Catalog'!$A:$A,MATCH(TRIM(SUBSTITUTE($B2735,CHAR(160)," ")),'Catalog'!$C:$C,0)),""))))</f>
        <v/>
      </c>
      <c r="H2735" s="8" t="str">
        <f aca="false">IFERROR(INDEX('TRANS'!$C:$C,MATCH($B2735,'TRANS'!$A:$A,0)),IFERROR(INDEX('Catalog'!$B:$B,MATCH($G2735,'Catalog'!$A:$A,0)),$B2735))</f>
        <v>T402 XXL</v>
      </c>
      <c r="I2735" s="8" t="str">
        <f aca="false">IF($G2735="","Unmatched","Matched")</f>
        <v>Unmatched</v>
      </c>
      <c r="J2735" s="8" t="str">
        <f aca="false">IF($G2735&lt;&gt;"",$G2735,$B2735)</f>
        <v>T402 XXL</v>
      </c>
      <c r="K2735" s="8" t="str">
        <f aca="false">IF(COUNTIF($M$1:$M$10,$A2735)&gt;0,"Y","N")</f>
        <v>Y</v>
      </c>
    </row>
    <row r="2736" customFormat="false" ht="15" hidden="false" customHeight="true" outlineLevel="0" collapsed="false">
      <c r="A2736" s="8" t="s">
        <v>42</v>
      </c>
      <c r="B2736" s="8" t="s">
        <v>88</v>
      </c>
      <c r="C2736" s="19" t="n">
        <v>15</v>
      </c>
      <c r="D2736" s="19" t="n">
        <v>2057.92</v>
      </c>
      <c r="E2736" s="19" t="n">
        <v>22</v>
      </c>
      <c r="F2736" s="19" t="n">
        <v>3198.69</v>
      </c>
      <c r="G2736" s="8" t="str">
        <f aca="false">IFERROR(INDEX('TRANS'!$B:$B,MATCH($B2736,'TRANS'!$A:$A,0)),IFERROR(INDEX('TRANS'!$B:$B,MATCH(TRIM(SUBSTITUTE($B2736,CHAR(160)," ")),'TRANS'!$D:$D,0)),IFERROR(INDEX('Catalog'!$A:$A,MATCH($B2736,'Catalog'!$B:$B,0)),IFERROR(INDEX('Catalog'!$A:$A,MATCH(TRIM(SUBSTITUTE($B2736,CHAR(160)," ")),'Catalog'!$C:$C,0)),""))))</f>
        <v/>
      </c>
      <c r="H2736" s="8" t="str">
        <f aca="false">IFERROR(INDEX('TRANS'!$C:$C,MATCH($B2736,'TRANS'!$A:$A,0)),IFERROR(INDEX('Catalog'!$B:$B,MATCH($G2736,'Catalog'!$A:$A,0)),$B2736))</f>
        <v>T40B 0</v>
      </c>
      <c r="I2736" s="8" t="str">
        <f aca="false">IF($G2736="","Unmatched","Matched")</f>
        <v>Unmatched</v>
      </c>
      <c r="J2736" s="8" t="str">
        <f aca="false">IF($G2736&lt;&gt;"",$G2736,$B2736)</f>
        <v>T40B 0</v>
      </c>
      <c r="K2736" s="8" t="str">
        <f aca="false">IF(COUNTIF($M$1:$M$10,$A2736)&gt;0,"Y","N")</f>
        <v>Y</v>
      </c>
    </row>
    <row r="2737" customFormat="false" ht="15" hidden="false" customHeight="true" outlineLevel="0" collapsed="false">
      <c r="A2737" s="8" t="s">
        <v>42</v>
      </c>
      <c r="B2737" s="8" t="s">
        <v>388</v>
      </c>
      <c r="C2737" s="19" t="n">
        <v>3</v>
      </c>
      <c r="D2737" s="19" t="n">
        <v>877.71</v>
      </c>
      <c r="E2737" s="19" t="n">
        <v>1</v>
      </c>
      <c r="F2737" s="19" t="n">
        <v>266.87</v>
      </c>
      <c r="G2737" s="8" t="str">
        <f aca="false">IFERROR(INDEX('TRANS'!$B:$B,MATCH($B2737,'TRANS'!$A:$A,0)),IFERROR(INDEX('TRANS'!$B:$B,MATCH(TRIM(SUBSTITUTE($B2737,CHAR(160)," ")),'TRANS'!$D:$D,0)),IFERROR(INDEX('Catalog'!$A:$A,MATCH($B2737,'Catalog'!$B:$B,0)),IFERROR(INDEX('Catalog'!$A:$A,MATCH(TRIM(SUBSTITUTE($B2737,CHAR(160)," ")),'Catalog'!$C:$C,0)),""))))</f>
        <v/>
      </c>
      <c r="H2737" s="8" t="str">
        <f aca="false">IFERROR(INDEX('TRANS'!$C:$C,MATCH($B2737,'TRANS'!$A:$A,0)),IFERROR(INDEX('Catalog'!$B:$B,MATCH($G2737,'Catalog'!$A:$A,0)),$B2737))</f>
        <v>T42 L</v>
      </c>
      <c r="I2737" s="8" t="str">
        <f aca="false">IF($G2737="","Unmatched","Matched")</f>
        <v>Unmatched</v>
      </c>
      <c r="J2737" s="8" t="str">
        <f aca="false">IF($G2737&lt;&gt;"",$G2737,$B2737)</f>
        <v>T42 L</v>
      </c>
      <c r="K2737" s="8" t="str">
        <f aca="false">IF(COUNTIF($M$1:$M$10,$A2737)&gt;0,"Y","N")</f>
        <v>Y</v>
      </c>
    </row>
    <row r="2738" customFormat="false" ht="15" hidden="false" customHeight="true" outlineLevel="0" collapsed="false">
      <c r="A2738" s="8" t="s">
        <v>42</v>
      </c>
      <c r="B2738" s="8" t="s">
        <v>389</v>
      </c>
      <c r="C2738" s="19" t="n">
        <v>0</v>
      </c>
      <c r="D2738" s="19" t="n">
        <v>0</v>
      </c>
      <c r="E2738" s="19" t="n">
        <v>1</v>
      </c>
      <c r="F2738" s="19" t="n">
        <v>296.53</v>
      </c>
      <c r="G2738" s="8" t="str">
        <f aca="false">IFERROR(INDEX('TRANS'!$B:$B,MATCH($B2738,'TRANS'!$A:$A,0)),IFERROR(INDEX('TRANS'!$B:$B,MATCH(TRIM(SUBSTITUTE($B2738,CHAR(160)," ")),'TRANS'!$D:$D,0)),IFERROR(INDEX('Catalog'!$A:$A,MATCH($B2738,'Catalog'!$B:$B,0)),IFERROR(INDEX('Catalog'!$A:$A,MATCH(TRIM(SUBSTITUTE($B2738,CHAR(160)," ")),'Catalog'!$C:$C,0)),""))))</f>
        <v/>
      </c>
      <c r="H2738" s="8" t="str">
        <f aca="false">IFERROR(INDEX('TRANS'!$C:$C,MATCH($B2738,'TRANS'!$A:$A,0)),IFERROR(INDEX('Catalog'!$B:$B,MATCH($G2738,'Catalog'!$A:$A,0)),$B2738))</f>
        <v>T42 M</v>
      </c>
      <c r="I2738" s="8" t="str">
        <f aca="false">IF($G2738="","Unmatched","Matched")</f>
        <v>Unmatched</v>
      </c>
      <c r="J2738" s="8" t="str">
        <f aca="false">IF($G2738&lt;&gt;"",$G2738,$B2738)</f>
        <v>T42 M</v>
      </c>
      <c r="K2738" s="8" t="str">
        <f aca="false">IF(COUNTIF($M$1:$M$10,$A2738)&gt;0,"Y","N")</f>
        <v>Y</v>
      </c>
    </row>
    <row r="2739" customFormat="false" ht="15" hidden="false" customHeight="true" outlineLevel="0" collapsed="false">
      <c r="A2739" s="8" t="s">
        <v>42</v>
      </c>
      <c r="B2739" s="8" t="s">
        <v>514</v>
      </c>
      <c r="C2739" s="19" t="n">
        <v>1</v>
      </c>
      <c r="D2739" s="19" t="n">
        <v>296.53</v>
      </c>
      <c r="E2739" s="19" t="n">
        <v>0</v>
      </c>
      <c r="F2739" s="19" t="n">
        <v>0</v>
      </c>
      <c r="G2739" s="8" t="str">
        <f aca="false">IFERROR(INDEX('TRANS'!$B:$B,MATCH($B2739,'TRANS'!$A:$A,0)),IFERROR(INDEX('TRANS'!$B:$B,MATCH(TRIM(SUBSTITUTE($B2739,CHAR(160)," ")),'TRANS'!$D:$D,0)),IFERROR(INDEX('Catalog'!$A:$A,MATCH($B2739,'Catalog'!$B:$B,0)),IFERROR(INDEX('Catalog'!$A:$A,MATCH(TRIM(SUBSTITUTE($B2739,CHAR(160)," ")),'Catalog'!$C:$C,0)),""))))</f>
        <v/>
      </c>
      <c r="H2739" s="8" t="str">
        <f aca="false">IFERROR(INDEX('TRANS'!$C:$C,MATCH($B2739,'TRANS'!$A:$A,0)),IFERROR(INDEX('Catalog'!$B:$B,MATCH($G2739,'Catalog'!$A:$A,0)),$B2739))</f>
        <v>T42 XL</v>
      </c>
      <c r="I2739" s="8" t="str">
        <f aca="false">IF($G2739="","Unmatched","Matched")</f>
        <v>Unmatched</v>
      </c>
      <c r="J2739" s="8" t="str">
        <f aca="false">IF($G2739&lt;&gt;"",$G2739,$B2739)</f>
        <v>T42 XL</v>
      </c>
      <c r="K2739" s="8" t="str">
        <f aca="false">IF(COUNTIF($M$1:$M$10,$A2739)&gt;0,"Y","N")</f>
        <v>Y</v>
      </c>
    </row>
    <row r="2740" customFormat="false" ht="15" hidden="false" customHeight="true" outlineLevel="0" collapsed="false">
      <c r="A2740" s="8" t="s">
        <v>42</v>
      </c>
      <c r="B2740" s="8" t="s">
        <v>390</v>
      </c>
      <c r="C2740" s="19" t="n">
        <v>0</v>
      </c>
      <c r="D2740" s="19" t="n">
        <v>0</v>
      </c>
      <c r="E2740" s="19" t="n">
        <v>1</v>
      </c>
      <c r="F2740" s="19" t="n">
        <v>308.06</v>
      </c>
      <c r="G2740" s="8" t="str">
        <f aca="false">IFERROR(INDEX('TRANS'!$B:$B,MATCH($B2740,'TRANS'!$A:$A,0)),IFERROR(INDEX('TRANS'!$B:$B,MATCH(TRIM(SUBSTITUTE($B2740,CHAR(160)," ")),'TRANS'!$D:$D,0)),IFERROR(INDEX('Catalog'!$A:$A,MATCH($B2740,'Catalog'!$B:$B,0)),IFERROR(INDEX('Catalog'!$A:$A,MATCH(TRIM(SUBSTITUTE($B2740,CHAR(160)," ")),'Catalog'!$C:$C,0)),""))))</f>
        <v/>
      </c>
      <c r="H2740" s="8" t="str">
        <f aca="false">IFERROR(INDEX('TRANS'!$C:$C,MATCH($B2740,'TRANS'!$A:$A,0)),IFERROR(INDEX('Catalog'!$B:$B,MATCH($G2740,'Catalog'!$A:$A,0)),$B2740))</f>
        <v>T42X L</v>
      </c>
      <c r="I2740" s="8" t="str">
        <f aca="false">IF($G2740="","Unmatched","Matched")</f>
        <v>Unmatched</v>
      </c>
      <c r="J2740" s="8" t="str">
        <f aca="false">IF($G2740&lt;&gt;"",$G2740,$B2740)</f>
        <v>T42X L</v>
      </c>
      <c r="K2740" s="8" t="str">
        <f aca="false">IF(COUNTIF($M$1:$M$10,$A2740)&gt;0,"Y","N")</f>
        <v>Y</v>
      </c>
    </row>
    <row r="2741" customFormat="false" ht="15" hidden="false" customHeight="true" outlineLevel="0" collapsed="false">
      <c r="A2741" s="8" t="s">
        <v>42</v>
      </c>
      <c r="B2741" s="8" t="s">
        <v>391</v>
      </c>
      <c r="C2741" s="19" t="n">
        <v>0</v>
      </c>
      <c r="D2741" s="19" t="n">
        <v>0</v>
      </c>
      <c r="E2741" s="19" t="n">
        <v>1</v>
      </c>
      <c r="F2741" s="19" t="n">
        <v>342.29</v>
      </c>
      <c r="G2741" s="8" t="str">
        <f aca="false">IFERROR(INDEX('TRANS'!$B:$B,MATCH($B2741,'TRANS'!$A:$A,0)),IFERROR(INDEX('TRANS'!$B:$B,MATCH(TRIM(SUBSTITUTE($B2741,CHAR(160)," ")),'TRANS'!$D:$D,0)),IFERROR(INDEX('Catalog'!$A:$A,MATCH($B2741,'Catalog'!$B:$B,0)),IFERROR(INDEX('Catalog'!$A:$A,MATCH(TRIM(SUBSTITUTE($B2741,CHAR(160)," ")),'Catalog'!$C:$C,0)),""))))</f>
        <v/>
      </c>
      <c r="H2741" s="8" t="str">
        <f aca="false">IFERROR(INDEX('TRANS'!$C:$C,MATCH($B2741,'TRANS'!$A:$A,0)),IFERROR(INDEX('Catalog'!$B:$B,MATCH($G2741,'Catalog'!$A:$A,0)),$B2741))</f>
        <v>T43 XL</v>
      </c>
      <c r="I2741" s="8" t="str">
        <f aca="false">IF($G2741="","Unmatched","Matched")</f>
        <v>Unmatched</v>
      </c>
      <c r="J2741" s="8" t="str">
        <f aca="false">IF($G2741&lt;&gt;"",$G2741,$B2741)</f>
        <v>T43 XL</v>
      </c>
      <c r="K2741" s="8" t="str">
        <f aca="false">IF(COUNTIF($M$1:$M$10,$A2741)&gt;0,"Y","N")</f>
        <v>Y</v>
      </c>
    </row>
    <row r="2742" customFormat="false" ht="15" hidden="false" customHeight="true" outlineLevel="0" collapsed="false">
      <c r="A2742" s="8" t="s">
        <v>42</v>
      </c>
      <c r="B2742" s="8" t="s">
        <v>515</v>
      </c>
      <c r="C2742" s="19" t="n">
        <v>1</v>
      </c>
      <c r="D2742" s="19" t="n">
        <v>342.29</v>
      </c>
      <c r="E2742" s="19" t="n">
        <v>0</v>
      </c>
      <c r="F2742" s="19" t="n">
        <v>0</v>
      </c>
      <c r="G2742" s="8" t="str">
        <f aca="false">IFERROR(INDEX('TRANS'!$B:$B,MATCH($B2742,'TRANS'!$A:$A,0)),IFERROR(INDEX('TRANS'!$B:$B,MATCH(TRIM(SUBSTITUTE($B2742,CHAR(160)," ")),'TRANS'!$D:$D,0)),IFERROR(INDEX('Catalog'!$A:$A,MATCH($B2742,'Catalog'!$B:$B,0)),IFERROR(INDEX('Catalog'!$A:$A,MATCH(TRIM(SUBSTITUTE($B2742,CHAR(160)," ")),'Catalog'!$C:$C,0)),""))))</f>
        <v/>
      </c>
      <c r="H2742" s="8" t="str">
        <f aca="false">IFERROR(INDEX('TRANS'!$C:$C,MATCH($B2742,'TRANS'!$A:$A,0)),IFERROR(INDEX('Catalog'!$B:$B,MATCH($G2742,'Catalog'!$A:$A,0)),$B2742))</f>
        <v>T43 XXL</v>
      </c>
      <c r="I2742" s="8" t="str">
        <f aca="false">IF($G2742="","Unmatched","Matched")</f>
        <v>Unmatched</v>
      </c>
      <c r="J2742" s="8" t="str">
        <f aca="false">IF($G2742&lt;&gt;"",$G2742,$B2742)</f>
        <v>T43 XXL</v>
      </c>
      <c r="K2742" s="8" t="str">
        <f aca="false">IF(COUNTIF($M$1:$M$10,$A2742)&gt;0,"Y","N")</f>
        <v>Y</v>
      </c>
    </row>
    <row r="2743" customFormat="false" ht="15" hidden="false" customHeight="true" outlineLevel="0" collapsed="false">
      <c r="A2743" s="8" t="s">
        <v>42</v>
      </c>
      <c r="B2743" s="8" t="s">
        <v>247</v>
      </c>
      <c r="C2743" s="19" t="n">
        <v>0</v>
      </c>
      <c r="D2743" s="19" t="n">
        <v>0</v>
      </c>
      <c r="E2743" s="19" t="n">
        <v>1</v>
      </c>
      <c r="F2743" s="19" t="n">
        <v>728.73</v>
      </c>
      <c r="G2743" s="8" t="str">
        <f aca="false">IFERROR(INDEX('TRANS'!$B:$B,MATCH($B2743,'TRANS'!$A:$A,0)),IFERROR(INDEX('TRANS'!$B:$B,MATCH(TRIM(SUBSTITUTE($B2743,CHAR(160)," ")),'TRANS'!$D:$D,0)),IFERROR(INDEX('Catalog'!$A:$A,MATCH($B2743,'Catalog'!$B:$B,0)),IFERROR(INDEX('Catalog'!$A:$A,MATCH(TRIM(SUBSTITUTE($B2743,CHAR(160)," ")),'Catalog'!$C:$C,0)),""))))</f>
        <v/>
      </c>
      <c r="H2743" s="8" t="str">
        <f aca="false">IFERROR(INDEX('TRANS'!$C:$C,MATCH($B2743,'TRANS'!$A:$A,0)),IFERROR(INDEX('Catalog'!$B:$B,MATCH($G2743,'Catalog'!$A:$A,0)),$B2743))</f>
        <v>T43V L</v>
      </c>
      <c r="I2743" s="8" t="str">
        <f aca="false">IF($G2743="","Unmatched","Matched")</f>
        <v>Unmatched</v>
      </c>
      <c r="J2743" s="8" t="str">
        <f aca="false">IF($G2743&lt;&gt;"",$G2743,$B2743)</f>
        <v>T43V L</v>
      </c>
      <c r="K2743" s="8" t="str">
        <f aca="false">IF(COUNTIF($M$1:$M$10,$A2743)&gt;0,"Y","N")</f>
        <v>Y</v>
      </c>
    </row>
    <row r="2744" customFormat="false" ht="15" hidden="false" customHeight="true" outlineLevel="0" collapsed="false">
      <c r="A2744" s="8" t="s">
        <v>42</v>
      </c>
      <c r="B2744" s="8" t="s">
        <v>392</v>
      </c>
      <c r="C2744" s="19" t="n">
        <v>0</v>
      </c>
      <c r="D2744" s="19" t="n">
        <v>0</v>
      </c>
      <c r="E2744" s="19" t="n">
        <v>1</v>
      </c>
      <c r="F2744" s="19" t="n">
        <v>655.85</v>
      </c>
      <c r="G2744" s="8" t="str">
        <f aca="false">IFERROR(INDEX('TRANS'!$B:$B,MATCH($B2744,'TRANS'!$A:$A,0)),IFERROR(INDEX('TRANS'!$B:$B,MATCH(TRIM(SUBSTITUTE($B2744,CHAR(160)," ")),'TRANS'!$D:$D,0)),IFERROR(INDEX('Catalog'!$A:$A,MATCH($B2744,'Catalog'!$B:$B,0)),IFERROR(INDEX('Catalog'!$A:$A,MATCH(TRIM(SUBSTITUTE($B2744,CHAR(160)," ")),'Catalog'!$C:$C,0)),""))))</f>
        <v/>
      </c>
      <c r="H2744" s="8" t="str">
        <f aca="false">IFERROR(INDEX('TRANS'!$C:$C,MATCH($B2744,'TRANS'!$A:$A,0)),IFERROR(INDEX('Catalog'!$B:$B,MATCH($G2744,'Catalog'!$A:$A,0)),$B2744))</f>
        <v>T43V M</v>
      </c>
      <c r="I2744" s="8" t="str">
        <f aca="false">IF($G2744="","Unmatched","Matched")</f>
        <v>Unmatched</v>
      </c>
      <c r="J2744" s="8" t="str">
        <f aca="false">IF($G2744&lt;&gt;"",$G2744,$B2744)</f>
        <v>T43V M</v>
      </c>
      <c r="K2744" s="8" t="str">
        <f aca="false">IF(COUNTIF($M$1:$M$10,$A2744)&gt;0,"Y","N")</f>
        <v>Y</v>
      </c>
    </row>
    <row r="2745" customFormat="false" ht="15" hidden="false" customHeight="true" outlineLevel="0" collapsed="false">
      <c r="A2745" s="8" t="s">
        <v>42</v>
      </c>
      <c r="B2745" s="8" t="s">
        <v>310</v>
      </c>
      <c r="C2745" s="19" t="n">
        <v>0</v>
      </c>
      <c r="D2745" s="19" t="n">
        <v>0</v>
      </c>
      <c r="E2745" s="19" t="n">
        <v>2</v>
      </c>
      <c r="F2745" s="19" t="n">
        <v>1384.59</v>
      </c>
      <c r="G2745" s="8" t="str">
        <f aca="false">IFERROR(INDEX('TRANS'!$B:$B,MATCH($B2745,'TRANS'!$A:$A,0)),IFERROR(INDEX('TRANS'!$B:$B,MATCH(TRIM(SUBSTITUTE($B2745,CHAR(160)," ")),'TRANS'!$D:$D,0)),IFERROR(INDEX('Catalog'!$A:$A,MATCH($B2745,'Catalog'!$B:$B,0)),IFERROR(INDEX('Catalog'!$A:$A,MATCH(TRIM(SUBSTITUTE($B2745,CHAR(160)," ")),'Catalog'!$C:$C,0)),""))))</f>
        <v/>
      </c>
      <c r="H2745" s="8" t="str">
        <f aca="false">IFERROR(INDEX('TRANS'!$C:$C,MATCH($B2745,'TRANS'!$A:$A,0)),IFERROR(INDEX('Catalog'!$B:$B,MATCH($G2745,'Catalog'!$A:$A,0)),$B2745))</f>
        <v>T43V XL</v>
      </c>
      <c r="I2745" s="8" t="str">
        <f aca="false">IF($G2745="","Unmatched","Matched")</f>
        <v>Unmatched</v>
      </c>
      <c r="J2745" s="8" t="str">
        <f aca="false">IF($G2745&lt;&gt;"",$G2745,$B2745)</f>
        <v>T43V XL</v>
      </c>
      <c r="K2745" s="8" t="str">
        <f aca="false">IF(COUNTIF($M$1:$M$10,$A2745)&gt;0,"Y","N")</f>
        <v>Y</v>
      </c>
    </row>
    <row r="2746" customFormat="false" ht="15" hidden="false" customHeight="true" outlineLevel="0" collapsed="false">
      <c r="A2746" s="8" t="s">
        <v>42</v>
      </c>
      <c r="B2746" s="8" t="s">
        <v>340</v>
      </c>
      <c r="C2746" s="19" t="n">
        <v>1</v>
      </c>
      <c r="D2746" s="19" t="n">
        <v>727.03</v>
      </c>
      <c r="E2746" s="19" t="n">
        <v>1</v>
      </c>
      <c r="F2746" s="19" t="n">
        <v>728.72</v>
      </c>
      <c r="G2746" s="8" t="str">
        <f aca="false">IFERROR(INDEX('TRANS'!$B:$B,MATCH($B2746,'TRANS'!$A:$A,0)),IFERROR(INDEX('TRANS'!$B:$B,MATCH(TRIM(SUBSTITUTE($B2746,CHAR(160)," ")),'TRANS'!$D:$D,0)),IFERROR(INDEX('Catalog'!$A:$A,MATCH($B2746,'Catalog'!$B:$B,0)),IFERROR(INDEX('Catalog'!$A:$A,MATCH(TRIM(SUBSTITUTE($B2746,CHAR(160)," ")),'Catalog'!$C:$C,0)),""))))</f>
        <v/>
      </c>
      <c r="H2746" s="8" t="str">
        <f aca="false">IFERROR(INDEX('TRANS'!$C:$C,MATCH($B2746,'TRANS'!$A:$A,0)),IFERROR(INDEX('Catalog'!$B:$B,MATCH($G2746,'Catalog'!$A:$A,0)),$B2746))</f>
        <v>T43V XXL</v>
      </c>
      <c r="I2746" s="8" t="str">
        <f aca="false">IF($G2746="","Unmatched","Matched")</f>
        <v>Unmatched</v>
      </c>
      <c r="J2746" s="8" t="str">
        <f aca="false">IF($G2746&lt;&gt;"",$G2746,$B2746)</f>
        <v>T43V XXL</v>
      </c>
      <c r="K2746" s="8" t="str">
        <f aca="false">IF(COUNTIF($M$1:$M$10,$A2746)&gt;0,"Y","N")</f>
        <v>Y</v>
      </c>
    </row>
    <row r="2747" customFormat="false" ht="15" hidden="false" customHeight="true" outlineLevel="0" collapsed="false">
      <c r="A2747" s="8" t="s">
        <v>42</v>
      </c>
      <c r="B2747" s="8" t="s">
        <v>965</v>
      </c>
      <c r="C2747" s="19" t="n">
        <v>8</v>
      </c>
      <c r="D2747" s="19" t="n">
        <v>1446.32</v>
      </c>
      <c r="E2747" s="19" t="n">
        <v>8</v>
      </c>
      <c r="F2747" s="19" t="n">
        <v>1524.73</v>
      </c>
      <c r="G2747" s="8" t="n">
        <f aca="false">IFERROR(INDEX('TRANS'!$B:$B,MATCH($B2747,'TRANS'!$A:$A,0)),IFERROR(INDEX('TRANS'!$B:$B,MATCH(TRIM(SUBSTITUTE($B2747,CHAR(160)," ")),'TRANS'!$D:$D,0)),IFERROR(INDEX('Catalog'!$A:$A,MATCH($B2747,'Catalog'!$B:$B,0)),IFERROR(INDEX('Catalog'!$A:$A,MATCH(TRIM(SUBSTITUTE($B2747,CHAR(160)," ")),'Catalog'!$C:$C,0)),""))))</f>
        <v>4413184</v>
      </c>
      <c r="H2747" s="8" t="str">
        <f aca="false">IFERROR(INDEX('TRANS'!$C:$C,MATCH($B2747,'TRANS'!$A:$A,0)),IFERROR(INDEX('Catalog'!$B:$B,MATCH($G2747,'Catalog'!$A:$A,0)),$B2747))</f>
        <v>T 45 L מגן ברך רגיל</v>
      </c>
      <c r="I2747" s="8" t="str">
        <f aca="false">IF($G2747="","Unmatched","Matched")</f>
        <v>Matched</v>
      </c>
      <c r="J2747" s="8" t="n">
        <f aca="false">IF($G2747&lt;&gt;"",$G2747,$B2747)</f>
        <v>4413184</v>
      </c>
      <c r="K2747" s="8" t="str">
        <f aca="false">IF(COUNTIF($M$1:$M$10,$A2747)&gt;0,"Y","N")</f>
        <v>Y</v>
      </c>
    </row>
    <row r="2748" customFormat="false" ht="15" hidden="false" customHeight="true" outlineLevel="0" collapsed="false">
      <c r="A2748" s="8" t="s">
        <v>42</v>
      </c>
      <c r="B2748" s="8" t="s">
        <v>773</v>
      </c>
      <c r="C2748" s="19" t="n">
        <v>2</v>
      </c>
      <c r="D2748" s="19" t="n">
        <v>381.18</v>
      </c>
      <c r="E2748" s="19" t="n">
        <v>2</v>
      </c>
      <c r="F2748" s="19" t="n">
        <v>381.18</v>
      </c>
      <c r="G2748" s="8" t="n">
        <f aca="false">IFERROR(INDEX('TRANS'!$B:$B,MATCH($B2748,'TRANS'!$A:$A,0)),IFERROR(INDEX('TRANS'!$B:$B,MATCH(TRIM(SUBSTITUTE($B2748,CHAR(160)," ")),'TRANS'!$D:$D,0)),IFERROR(INDEX('Catalog'!$A:$A,MATCH($B2748,'Catalog'!$B:$B,0)),IFERROR(INDEX('Catalog'!$A:$A,MATCH(TRIM(SUBSTITUTE($B2748,CHAR(160)," ")),'Catalog'!$C:$C,0)),""))))</f>
        <v>4413183</v>
      </c>
      <c r="H2748" s="8" t="str">
        <f aca="false">IFERROR(INDEX('TRANS'!$C:$C,MATCH($B2748,'TRANS'!$A:$A,0)),IFERROR(INDEX('Catalog'!$B:$B,MATCH($G2748,'Catalog'!$A:$A,0)),$B2748))</f>
        <v>T 45 M מגן ברך רגיל</v>
      </c>
      <c r="I2748" s="8" t="str">
        <f aca="false">IF($G2748="","Unmatched","Matched")</f>
        <v>Matched</v>
      </c>
      <c r="J2748" s="8" t="n">
        <f aca="false">IF($G2748&lt;&gt;"",$G2748,$B2748)</f>
        <v>4413183</v>
      </c>
      <c r="K2748" s="8" t="str">
        <f aca="false">IF(COUNTIF($M$1:$M$10,$A2748)&gt;0,"Y","N")</f>
        <v>Y</v>
      </c>
    </row>
    <row r="2749" customFormat="false" ht="15" hidden="false" customHeight="true" outlineLevel="0" collapsed="false">
      <c r="A2749" s="8" t="s">
        <v>42</v>
      </c>
      <c r="B2749" s="8" t="s">
        <v>966</v>
      </c>
      <c r="C2749" s="19" t="n">
        <v>2</v>
      </c>
      <c r="D2749" s="19" t="n">
        <v>321.84</v>
      </c>
      <c r="E2749" s="19" t="n">
        <v>4</v>
      </c>
      <c r="F2749" s="19" t="n">
        <v>743.31</v>
      </c>
      <c r="G2749" s="8" t="n">
        <f aca="false">IFERROR(INDEX('TRANS'!$B:$B,MATCH($B2749,'TRANS'!$A:$A,0)),IFERROR(INDEX('TRANS'!$B:$B,MATCH(TRIM(SUBSTITUTE($B2749,CHAR(160)," ")),'TRANS'!$D:$D,0)),IFERROR(INDEX('Catalog'!$A:$A,MATCH($B2749,'Catalog'!$B:$B,0)),IFERROR(INDEX('Catalog'!$A:$A,MATCH(TRIM(SUBSTITUTE($B2749,CHAR(160)," ")),'Catalog'!$C:$C,0)),""))))</f>
        <v>4413185</v>
      </c>
      <c r="H2749" s="8" t="str">
        <f aca="false">IFERROR(INDEX('TRANS'!$C:$C,MATCH($B2749,'TRANS'!$A:$A,0)),IFERROR(INDEX('Catalog'!$B:$B,MATCH($G2749,'Catalog'!$A:$A,0)),$B2749))</f>
        <v>T 45XL מגן ברך רגיל</v>
      </c>
      <c r="I2749" s="8" t="str">
        <f aca="false">IF($G2749="","Unmatched","Matched")</f>
        <v>Matched</v>
      </c>
      <c r="J2749" s="8" t="n">
        <f aca="false">IF($G2749&lt;&gt;"",$G2749,$B2749)</f>
        <v>4413185</v>
      </c>
      <c r="K2749" s="8" t="str">
        <f aca="false">IF(COUNTIF($M$1:$M$10,$A2749)&gt;0,"Y","N")</f>
        <v>Y</v>
      </c>
    </row>
    <row r="2750" customFormat="false" ht="15" hidden="false" customHeight="true" outlineLevel="0" collapsed="false">
      <c r="A2750" s="8" t="s">
        <v>42</v>
      </c>
      <c r="B2750" s="8" t="s">
        <v>333</v>
      </c>
      <c r="C2750" s="19" t="n">
        <v>0</v>
      </c>
      <c r="D2750" s="19" t="n">
        <v>0</v>
      </c>
      <c r="E2750" s="19" t="n">
        <v>1</v>
      </c>
      <c r="F2750" s="19" t="n">
        <v>171.53</v>
      </c>
      <c r="G2750" s="8" t="str">
        <f aca="false">IFERROR(INDEX('TRANS'!$B:$B,MATCH($B2750,'TRANS'!$A:$A,0)),IFERROR(INDEX('TRANS'!$B:$B,MATCH(TRIM(SUBSTITUTE($B2750,CHAR(160)," ")),'TRANS'!$D:$D,0)),IFERROR(INDEX('Catalog'!$A:$A,MATCH($B2750,'Catalog'!$B:$B,0)),IFERROR(INDEX('Catalog'!$A:$A,MATCH(TRIM(SUBSTITUTE($B2750,CHAR(160)," ")),'Catalog'!$C:$C,0)),""))))</f>
        <v/>
      </c>
      <c r="H2750" s="8" t="str">
        <f aca="false">IFERROR(INDEX('TRANS'!$C:$C,MATCH($B2750,'TRANS'!$A:$A,0)),IFERROR(INDEX('Catalog'!$B:$B,MATCH($G2750,'Catalog'!$A:$A,0)),$B2750))</f>
        <v>T45 XS</v>
      </c>
      <c r="I2750" s="8" t="str">
        <f aca="false">IF($G2750="","Unmatched","Matched")</f>
        <v>Unmatched</v>
      </c>
      <c r="J2750" s="8" t="str">
        <f aca="false">IF($G2750&lt;&gt;"",$G2750,$B2750)</f>
        <v>T45 XS</v>
      </c>
      <c r="K2750" s="8" t="str">
        <f aca="false">IF(COUNTIF($M$1:$M$10,$A2750)&gt;0,"Y","N")</f>
        <v>Y</v>
      </c>
    </row>
    <row r="2751" customFormat="false" ht="15" hidden="false" customHeight="true" outlineLevel="0" collapsed="false">
      <c r="A2751" s="8" t="s">
        <v>42</v>
      </c>
      <c r="B2751" s="8" t="s">
        <v>1004</v>
      </c>
      <c r="C2751" s="19" t="n">
        <v>2</v>
      </c>
      <c r="D2751" s="19" t="n">
        <v>381.18</v>
      </c>
      <c r="E2751" s="19" t="n">
        <v>2</v>
      </c>
      <c r="F2751" s="19" t="n">
        <v>362.13</v>
      </c>
      <c r="G2751" s="8" t="n">
        <f aca="false">IFERROR(INDEX('TRANS'!$B:$B,MATCH($B2751,'TRANS'!$A:$A,0)),IFERROR(INDEX('TRANS'!$B:$B,MATCH(TRIM(SUBSTITUTE($B2751,CHAR(160)," ")),'TRANS'!$D:$D,0)),IFERROR(INDEX('Catalog'!$A:$A,MATCH($B2751,'Catalog'!$B:$B,0)),IFERROR(INDEX('Catalog'!$A:$A,MATCH(TRIM(SUBSTITUTE($B2751,CHAR(160)," ")),'Catalog'!$C:$C,0)),""))))</f>
        <v>4413286</v>
      </c>
      <c r="H2751" s="8" t="str">
        <f aca="false">IFERROR(INDEX('TRANS'!$C:$C,MATCH($B2751,'TRANS'!$A:$A,0)),IFERROR(INDEX('Catalog'!$B:$B,MATCH($G2751,'Catalog'!$A:$A,0)),$B2751))</f>
        <v>T45 XXL מגן ברך רגיל</v>
      </c>
      <c r="I2751" s="8" t="str">
        <f aca="false">IF($G2751="","Unmatched","Matched")</f>
        <v>Matched</v>
      </c>
      <c r="J2751" s="8" t="n">
        <f aca="false">IF($G2751&lt;&gt;"",$G2751,$B2751)</f>
        <v>4413286</v>
      </c>
      <c r="K2751" s="8" t="str">
        <f aca="false">IF(COUNTIF($M$1:$M$10,$A2751)&gt;0,"Y","N")</f>
        <v>Y</v>
      </c>
    </row>
    <row r="2752" customFormat="false" ht="15" hidden="false" customHeight="true" outlineLevel="0" collapsed="false">
      <c r="A2752" s="8" t="s">
        <v>42</v>
      </c>
      <c r="B2752" s="8" t="s">
        <v>168</v>
      </c>
      <c r="C2752" s="19" t="n">
        <v>5</v>
      </c>
      <c r="D2752" s="19" t="n">
        <v>964.44</v>
      </c>
      <c r="E2752" s="19" t="n">
        <v>2</v>
      </c>
      <c r="F2752" s="19" t="n">
        <v>407.21</v>
      </c>
      <c r="G2752" s="8" t="str">
        <f aca="false">IFERROR(INDEX('TRANS'!$B:$B,MATCH($B2752,'TRANS'!$A:$A,0)),IFERROR(INDEX('TRANS'!$B:$B,MATCH(TRIM(SUBSTITUTE($B2752,CHAR(160)," ")),'TRANS'!$D:$D,0)),IFERROR(INDEX('Catalog'!$A:$A,MATCH($B2752,'Catalog'!$B:$B,0)),IFERROR(INDEX('Catalog'!$A:$A,MATCH(TRIM(SUBSTITUTE($B2752,CHAR(160)," ")),'Catalog'!$C:$C,0)),""))))</f>
        <v/>
      </c>
      <c r="H2752" s="8" t="str">
        <f aca="false">IFERROR(INDEX('TRANS'!$C:$C,MATCH($B2752,'TRANS'!$A:$A,0)),IFERROR(INDEX('Catalog'!$B:$B,MATCH($G2752,'Catalog'!$A:$A,0)),$B2752))</f>
        <v>T45X L</v>
      </c>
      <c r="I2752" s="8" t="str">
        <f aca="false">IF($G2752="","Unmatched","Matched")</f>
        <v>Unmatched</v>
      </c>
      <c r="J2752" s="8" t="str">
        <f aca="false">IF($G2752&lt;&gt;"",$G2752,$B2752)</f>
        <v>T45X L</v>
      </c>
      <c r="K2752" s="8" t="str">
        <f aca="false">IF(COUNTIF($M$1:$M$10,$A2752)&gt;0,"Y","N")</f>
        <v>Y</v>
      </c>
    </row>
    <row r="2753" customFormat="false" ht="15" hidden="false" customHeight="true" outlineLevel="0" collapsed="false">
      <c r="A2753" s="8" t="s">
        <v>42</v>
      </c>
      <c r="B2753" s="8" t="s">
        <v>188</v>
      </c>
      <c r="C2753" s="19" t="n">
        <v>3</v>
      </c>
      <c r="D2753" s="19" t="n">
        <v>578.66</v>
      </c>
      <c r="E2753" s="19" t="n">
        <v>1</v>
      </c>
      <c r="F2753" s="19" t="n">
        <v>214.33</v>
      </c>
      <c r="G2753" s="8" t="str">
        <f aca="false">IFERROR(INDEX('TRANS'!$B:$B,MATCH($B2753,'TRANS'!$A:$A,0)),IFERROR(INDEX('TRANS'!$B:$B,MATCH(TRIM(SUBSTITUTE($B2753,CHAR(160)," ")),'TRANS'!$D:$D,0)),IFERROR(INDEX('Catalog'!$A:$A,MATCH($B2753,'Catalog'!$B:$B,0)),IFERROR(INDEX('Catalog'!$A:$A,MATCH(TRIM(SUBSTITUTE($B2753,CHAR(160)," ")),'Catalog'!$C:$C,0)),""))))</f>
        <v/>
      </c>
      <c r="H2753" s="8" t="str">
        <f aca="false">IFERROR(INDEX('TRANS'!$C:$C,MATCH($B2753,'TRANS'!$A:$A,0)),IFERROR(INDEX('Catalog'!$B:$B,MATCH($G2753,'Catalog'!$A:$A,0)),$B2753))</f>
        <v>T45X M</v>
      </c>
      <c r="I2753" s="8" t="str">
        <f aca="false">IF($G2753="","Unmatched","Matched")</f>
        <v>Unmatched</v>
      </c>
      <c r="J2753" s="8" t="str">
        <f aca="false">IF($G2753&lt;&gt;"",$G2753,$B2753)</f>
        <v>T45X M</v>
      </c>
      <c r="K2753" s="8" t="str">
        <f aca="false">IF(COUNTIF($M$1:$M$10,$A2753)&gt;0,"Y","N")</f>
        <v>Y</v>
      </c>
    </row>
    <row r="2754" customFormat="false" ht="15" hidden="false" customHeight="true" outlineLevel="0" collapsed="false">
      <c r="A2754" s="8" t="s">
        <v>42</v>
      </c>
      <c r="B2754" s="8" t="s">
        <v>907</v>
      </c>
      <c r="C2754" s="19" t="n">
        <v>3</v>
      </c>
      <c r="D2754" s="19" t="n">
        <v>610.81</v>
      </c>
      <c r="E2754" s="19" t="n">
        <v>2</v>
      </c>
      <c r="F2754" s="19" t="n">
        <v>428.64</v>
      </c>
      <c r="G2754" s="8" t="n">
        <f aca="false">IFERROR(INDEX('TRANS'!$B:$B,MATCH($B2754,'TRANS'!$A:$A,0)),IFERROR(INDEX('TRANS'!$B:$B,MATCH(TRIM(SUBSTITUTE($B2754,CHAR(160)," ")),'TRANS'!$D:$D,0)),IFERROR(INDEX('Catalog'!$A:$A,MATCH($B2754,'Catalog'!$B:$B,0)),IFERROR(INDEX('Catalog'!$A:$A,MATCH(TRIM(SUBSTITUTE($B2754,CHAR(160)," ")),'Catalog'!$C:$C,0)),""))))</f>
        <v>4413224</v>
      </c>
      <c r="H2754" s="8" t="str">
        <f aca="false">IFERROR(INDEX('TRANS'!$C:$C,MATCH($B2754,'TRANS'!$A:$A,0)),IFERROR(INDEX('Catalog'!$B:$B,MATCH($G2754,'Catalog'!$A:$A,0)),$B2754))</f>
        <v>T45X XL מגן ברך רגיל</v>
      </c>
      <c r="I2754" s="8" t="str">
        <f aca="false">IF($G2754="","Unmatched","Matched")</f>
        <v>Matched</v>
      </c>
      <c r="J2754" s="8" t="n">
        <f aca="false">IF($G2754&lt;&gt;"",$G2754,$B2754)</f>
        <v>4413224</v>
      </c>
      <c r="K2754" s="8" t="str">
        <f aca="false">IF(COUNTIF($M$1:$M$10,$A2754)&gt;0,"Y","N")</f>
        <v>Y</v>
      </c>
    </row>
    <row r="2755" customFormat="false" ht="15" hidden="false" customHeight="true" outlineLevel="0" collapsed="false">
      <c r="A2755" s="8" t="s">
        <v>42</v>
      </c>
      <c r="B2755" s="8" t="s">
        <v>850</v>
      </c>
      <c r="C2755" s="19" t="n">
        <v>3</v>
      </c>
      <c r="D2755" s="19" t="n">
        <v>610.81</v>
      </c>
      <c r="E2755" s="19" t="n">
        <v>4</v>
      </c>
      <c r="F2755" s="19" t="n">
        <v>857.28</v>
      </c>
      <c r="G2755" s="8" t="n">
        <f aca="false">IFERROR(INDEX('TRANS'!$B:$B,MATCH($B2755,'TRANS'!$A:$A,0)),IFERROR(INDEX('TRANS'!$B:$B,MATCH(TRIM(SUBSTITUTE($B2755,CHAR(160)," ")),'TRANS'!$D:$D,0)),IFERROR(INDEX('Catalog'!$A:$A,MATCH($B2755,'Catalog'!$B:$B,0)),IFERROR(INDEX('Catalog'!$A:$A,MATCH(TRIM(SUBSTITUTE($B2755,CHAR(160)," ")),'Catalog'!$C:$C,0)),""))))</f>
        <v>4413260</v>
      </c>
      <c r="H2755" s="8" t="str">
        <f aca="false">IFERROR(INDEX('TRANS'!$C:$C,MATCH($B2755,'TRANS'!$A:$A,0)),IFERROR(INDEX('Catalog'!$B:$B,MATCH($G2755,'Catalog'!$A:$A,0)),$B2755))</f>
        <v>T45X-XXLמגן ברך רגיל</v>
      </c>
      <c r="I2755" s="8" t="str">
        <f aca="false">IF($G2755="","Unmatched","Matched")</f>
        <v>Matched</v>
      </c>
      <c r="J2755" s="8" t="n">
        <f aca="false">IF($G2755&lt;&gt;"",$G2755,$B2755)</f>
        <v>4413260</v>
      </c>
      <c r="K2755" s="8" t="str">
        <f aca="false">IF(COUNTIF($M$1:$M$10,$A2755)&gt;0,"Y","N")</f>
        <v>Y</v>
      </c>
    </row>
    <row r="2756" customFormat="false" ht="15" hidden="false" customHeight="true" outlineLevel="0" collapsed="false">
      <c r="A2756" s="8" t="s">
        <v>42</v>
      </c>
      <c r="B2756" s="8" t="s">
        <v>774</v>
      </c>
      <c r="C2756" s="19" t="n">
        <v>13</v>
      </c>
      <c r="D2756" s="19" t="n">
        <v>4143.74</v>
      </c>
      <c r="E2756" s="19" t="n">
        <v>17</v>
      </c>
      <c r="F2756" s="19" t="n">
        <v>4795.46</v>
      </c>
      <c r="G2756" s="8" t="n">
        <f aca="false">IFERROR(INDEX('TRANS'!$B:$B,MATCH($B2756,'TRANS'!$A:$A,0)),IFERROR(INDEX('TRANS'!$B:$B,MATCH(TRIM(SUBSTITUTE($B2756,CHAR(160)," ")),'TRANS'!$D:$D,0)),IFERROR(INDEX('Catalog'!$A:$A,MATCH($B2756,'Catalog'!$B:$B,0)),IFERROR(INDEX('Catalog'!$A:$A,MATCH(TRIM(SUBSTITUTE($B2756,CHAR(160)," ")),'Catalog'!$C:$C,0)),""))))</f>
        <v>4422006</v>
      </c>
      <c r="H2756" s="8" t="str">
        <f aca="false">IFERROR(INDEX('TRANS'!$C:$C,MATCH($B2756,'TRANS'!$A:$A,0)),IFERROR(INDEX('Catalog'!$B:$B,MATCH($G2756,'Catalog'!$A:$A,0)),$B2756))</f>
        <v>T78 L תומך זרוע וכתף</v>
      </c>
      <c r="I2756" s="8" t="str">
        <f aca="false">IF($G2756="","Unmatched","Matched")</f>
        <v>Matched</v>
      </c>
      <c r="J2756" s="8" t="n">
        <f aca="false">IF($G2756&lt;&gt;"",$G2756,$B2756)</f>
        <v>4422006</v>
      </c>
      <c r="K2756" s="8" t="str">
        <f aca="false">IF(COUNTIF($M$1:$M$10,$A2756)&gt;0,"Y","N")</f>
        <v>Y</v>
      </c>
    </row>
    <row r="2757" customFormat="false" ht="15" hidden="false" customHeight="true" outlineLevel="0" collapsed="false">
      <c r="A2757" s="8" t="s">
        <v>42</v>
      </c>
      <c r="B2757" s="8" t="s">
        <v>851</v>
      </c>
      <c r="C2757" s="19" t="n">
        <v>13</v>
      </c>
      <c r="D2757" s="19" t="n">
        <v>4112.05</v>
      </c>
      <c r="E2757" s="19" t="n">
        <v>17</v>
      </c>
      <c r="F2757" s="19" t="n">
        <v>5388.52</v>
      </c>
      <c r="G2757" s="8" t="n">
        <f aca="false">IFERROR(INDEX('TRANS'!$B:$B,MATCH($B2757,'TRANS'!$A:$A,0)),IFERROR(INDEX('TRANS'!$B:$B,MATCH(TRIM(SUBSTITUTE($B2757,CHAR(160)," ")),'TRANS'!$D:$D,0)),IFERROR(INDEX('Catalog'!$A:$A,MATCH($B2757,'Catalog'!$B:$B,0)),IFERROR(INDEX('Catalog'!$A:$A,MATCH(TRIM(SUBSTITUTE($B2757,CHAR(160)," ")),'Catalog'!$C:$C,0)),""))))</f>
        <v>4422005</v>
      </c>
      <c r="H2757" s="8" t="str">
        <f aca="false">IFERROR(INDEX('TRANS'!$C:$C,MATCH($B2757,'TRANS'!$A:$A,0)),IFERROR(INDEX('Catalog'!$B:$B,MATCH($G2757,'Catalog'!$A:$A,0)),$B2757))</f>
        <v>T78 M תומך זרוע וכתף</v>
      </c>
      <c r="I2757" s="8" t="str">
        <f aca="false">IF($G2757="","Unmatched","Matched")</f>
        <v>Matched</v>
      </c>
      <c r="J2757" s="8" t="n">
        <f aca="false">IF($G2757&lt;&gt;"",$G2757,$B2757)</f>
        <v>4422005</v>
      </c>
      <c r="K2757" s="8" t="str">
        <f aca="false">IF(COUNTIF($M$1:$M$10,$A2757)&gt;0,"Y","N")</f>
        <v>Y</v>
      </c>
    </row>
    <row r="2758" customFormat="false" ht="15" hidden="false" customHeight="true" outlineLevel="0" collapsed="false">
      <c r="A2758" s="8" t="s">
        <v>42</v>
      </c>
      <c r="B2758" s="8" t="s">
        <v>919</v>
      </c>
      <c r="C2758" s="19" t="n">
        <v>9</v>
      </c>
      <c r="D2758" s="19" t="n">
        <v>2866.41</v>
      </c>
      <c r="E2758" s="19" t="n">
        <v>7</v>
      </c>
      <c r="F2758" s="19" t="n">
        <v>2287.57</v>
      </c>
      <c r="G2758" s="8" t="n">
        <f aca="false">IFERROR(INDEX('TRANS'!$B:$B,MATCH($B2758,'TRANS'!$A:$A,0)),IFERROR(INDEX('TRANS'!$B:$B,MATCH(TRIM(SUBSTITUTE($B2758,CHAR(160)," ")),'TRANS'!$D:$D,0)),IFERROR(INDEX('Catalog'!$A:$A,MATCH($B2758,'Catalog'!$B:$B,0)),IFERROR(INDEX('Catalog'!$A:$A,MATCH(TRIM(SUBSTITUTE($B2758,CHAR(160)," ")),'Catalog'!$C:$C,0)),""))))</f>
        <v>4422004</v>
      </c>
      <c r="H2758" s="8" t="str">
        <f aca="false">IFERROR(INDEX('TRANS'!$C:$C,MATCH($B2758,'TRANS'!$A:$A,0)),IFERROR(INDEX('Catalog'!$B:$B,MATCH($G2758,'Catalog'!$A:$A,0)),$B2758))</f>
        <v>T78 S תומך זרוע וכתף</v>
      </c>
      <c r="I2758" s="8" t="str">
        <f aca="false">IF($G2758="","Unmatched","Matched")</f>
        <v>Matched</v>
      </c>
      <c r="J2758" s="8" t="n">
        <f aca="false">IF($G2758&lt;&gt;"",$G2758,$B2758)</f>
        <v>4422004</v>
      </c>
      <c r="K2758" s="8" t="str">
        <f aca="false">IF(COUNTIF($M$1:$M$10,$A2758)&gt;0,"Y","N")</f>
        <v>Y</v>
      </c>
    </row>
    <row r="2759" customFormat="false" ht="15" hidden="false" customHeight="true" outlineLevel="0" collapsed="false">
      <c r="A2759" s="8" t="s">
        <v>42</v>
      </c>
      <c r="B2759" s="8" t="s">
        <v>946</v>
      </c>
      <c r="C2759" s="19" t="n">
        <v>4</v>
      </c>
      <c r="D2759" s="19" t="n">
        <v>1266.48</v>
      </c>
      <c r="E2759" s="19" t="n">
        <v>3</v>
      </c>
      <c r="F2759" s="19" t="n">
        <v>881.15</v>
      </c>
      <c r="G2759" s="8" t="n">
        <f aca="false">IFERROR(INDEX('TRANS'!$B:$B,MATCH($B2759,'TRANS'!$A:$A,0)),IFERROR(INDEX('TRANS'!$B:$B,MATCH(TRIM(SUBSTITUTE($B2759,CHAR(160)," ")),'TRANS'!$D:$D,0)),IFERROR(INDEX('Catalog'!$A:$A,MATCH($B2759,'Catalog'!$B:$B,0)),IFERROR(INDEX('Catalog'!$A:$A,MATCH(TRIM(SUBSTITUTE($B2759,CHAR(160)," ")),'Catalog'!$C:$C,0)),""))))</f>
        <v>4422007</v>
      </c>
      <c r="H2759" s="8" t="str">
        <f aca="false">IFERROR(INDEX('TRANS'!$C:$C,MATCH($B2759,'TRANS'!$A:$A,0)),IFERROR(INDEX('Catalog'!$B:$B,MATCH($G2759,'Catalog'!$A:$A,0)),$B2759))</f>
        <v>T78 XLתומך זרוע וכתף</v>
      </c>
      <c r="I2759" s="8" t="str">
        <f aca="false">IF($G2759="","Unmatched","Matched")</f>
        <v>Matched</v>
      </c>
      <c r="J2759" s="8" t="n">
        <f aca="false">IF($G2759&lt;&gt;"",$G2759,$B2759)</f>
        <v>4422007</v>
      </c>
      <c r="K2759" s="8" t="str">
        <f aca="false">IF(COUNTIF($M$1:$M$10,$A2759)&gt;0,"Y","N")</f>
        <v>Y</v>
      </c>
    </row>
    <row r="2760" customFormat="false" ht="15" hidden="false" customHeight="true" outlineLevel="0" collapsed="false">
      <c r="A2760" s="8" t="s">
        <v>42</v>
      </c>
      <c r="B2760" s="8" t="s">
        <v>123</v>
      </c>
      <c r="C2760" s="19" t="n">
        <v>7</v>
      </c>
      <c r="D2760" s="19" t="n">
        <v>2187.78</v>
      </c>
      <c r="E2760" s="19" t="n">
        <v>11</v>
      </c>
      <c r="F2760" s="19" t="n">
        <v>3592.34</v>
      </c>
      <c r="G2760" s="8" t="str">
        <f aca="false">IFERROR(INDEX('TRANS'!$B:$B,MATCH($B2760,'TRANS'!$A:$A,0)),IFERROR(INDEX('TRANS'!$B:$B,MATCH(TRIM(SUBSTITUTE($B2760,CHAR(160)," ")),'TRANS'!$D:$D,0)),IFERROR(INDEX('Catalog'!$A:$A,MATCH($B2760,'Catalog'!$B:$B,0)),IFERROR(INDEX('Catalog'!$A:$A,MATCH(TRIM(SUBSTITUTE($B2760,CHAR(160)," ")),'Catalog'!$C:$C,0)),""))))</f>
        <v/>
      </c>
      <c r="H2760" s="8" t="str">
        <f aca="false">IFERROR(INDEX('TRANS'!$C:$C,MATCH($B2760,'TRANS'!$A:$A,0)),IFERROR(INDEX('Catalog'!$B:$B,MATCH($G2760,'Catalog'!$A:$A,0)),$B2760))</f>
        <v>T78 XS</v>
      </c>
      <c r="I2760" s="8" t="str">
        <f aca="false">IF($G2760="","Unmatched","Matched")</f>
        <v>Unmatched</v>
      </c>
      <c r="J2760" s="8" t="str">
        <f aca="false">IF($G2760&lt;&gt;"",$G2760,$B2760)</f>
        <v>T78 XS</v>
      </c>
      <c r="K2760" s="8" t="str">
        <f aca="false">IF(COUNTIF($M$1:$M$10,$A2760)&gt;0,"Y","N")</f>
        <v>Y</v>
      </c>
    </row>
    <row r="2761" customFormat="false" ht="15" hidden="false" customHeight="true" outlineLevel="0" collapsed="false">
      <c r="A2761" s="8" t="s">
        <v>42</v>
      </c>
      <c r="B2761" s="8" t="s">
        <v>933</v>
      </c>
      <c r="C2761" s="19" t="n">
        <v>5</v>
      </c>
      <c r="D2761" s="19" t="n">
        <v>1653.83</v>
      </c>
      <c r="E2761" s="19" t="n">
        <v>5</v>
      </c>
      <c r="F2761" s="19" t="n">
        <v>1609.78</v>
      </c>
      <c r="G2761" s="8" t="n">
        <f aca="false">IFERROR(INDEX('TRANS'!$B:$B,MATCH($B2761,'TRANS'!$A:$A,0)),IFERROR(INDEX('TRANS'!$B:$B,MATCH(TRIM(SUBSTITUTE($B2761,CHAR(160)," ")),'TRANS'!$D:$D,0)),IFERROR(INDEX('Catalog'!$A:$A,MATCH($B2761,'Catalog'!$B:$B,0)),IFERROR(INDEX('Catalog'!$A:$A,MATCH(TRIM(SUBSTITUTE($B2761,CHAR(160)," ")),'Catalog'!$C:$C,0)),""))))</f>
        <v>4422009</v>
      </c>
      <c r="H2761" s="8" t="str">
        <f aca="false">IFERROR(INDEX('TRANS'!$C:$C,MATCH($B2761,'TRANS'!$A:$A,0)),IFERROR(INDEX('Catalog'!$B:$B,MATCH($G2761,'Catalog'!$A:$A,0)),$B2761))</f>
        <v>T78 XXL תומך זרוע וכתף</v>
      </c>
      <c r="I2761" s="8" t="str">
        <f aca="false">IF($G2761="","Unmatched","Matched")</f>
        <v>Matched</v>
      </c>
      <c r="J2761" s="8" t="n">
        <f aca="false">IF($G2761&lt;&gt;"",$G2761,$B2761)</f>
        <v>4422009</v>
      </c>
      <c r="K2761" s="8" t="str">
        <f aca="false">IF(COUNTIF($M$1:$M$10,$A2761)&gt;0,"Y","N")</f>
        <v>Y</v>
      </c>
    </row>
    <row r="2762" customFormat="false" ht="15" hidden="false" customHeight="true" outlineLevel="0" collapsed="false">
      <c r="A2762" s="8" t="s">
        <v>42</v>
      </c>
      <c r="B2762" s="8" t="s">
        <v>422</v>
      </c>
      <c r="C2762" s="19" t="n">
        <v>1</v>
      </c>
      <c r="D2762" s="19" t="n">
        <v>85.54</v>
      </c>
      <c r="E2762" s="19" t="n">
        <v>0</v>
      </c>
      <c r="F2762" s="19" t="n">
        <v>0</v>
      </c>
      <c r="G2762" s="8" t="str">
        <f aca="false">IFERROR(INDEX('TRANS'!$B:$B,MATCH($B2762,'TRANS'!$A:$A,0)),IFERROR(INDEX('TRANS'!$B:$B,MATCH(TRIM(SUBSTITUTE($B2762,CHAR(160)," ")),'TRANS'!$D:$D,0)),IFERROR(INDEX('Catalog'!$A:$A,MATCH($B2762,'Catalog'!$B:$B,0)),IFERROR(INDEX('Catalog'!$A:$A,MATCH(TRIM(SUBSTITUTE($B2762,CHAR(160)," ")),'Catalog'!$C:$C,0)),""))))</f>
        <v/>
      </c>
      <c r="H2762" s="8" t="str">
        <f aca="false">IFERROR(INDEX('TRANS'!$C:$C,MATCH($B2762,'TRANS'!$A:$A,0)),IFERROR(INDEX('Catalog'!$B:$B,MATCH($G2762,'Catalog'!$A:$A,0)),$B2762))</f>
        <v>T95 L</v>
      </c>
      <c r="I2762" s="8" t="str">
        <f aca="false">IF($G2762="","Unmatched","Matched")</f>
        <v>Unmatched</v>
      </c>
      <c r="J2762" s="8" t="str">
        <f aca="false">IF($G2762&lt;&gt;"",$G2762,$B2762)</f>
        <v>T95 L</v>
      </c>
      <c r="K2762" s="8" t="str">
        <f aca="false">IF(COUNTIF($M$1:$M$10,$A2762)&gt;0,"Y","N")</f>
        <v>Y</v>
      </c>
    </row>
    <row r="2763" customFormat="false" ht="15" hidden="false" customHeight="true" outlineLevel="0" collapsed="false">
      <c r="A2763" s="8" t="s">
        <v>42</v>
      </c>
      <c r="B2763" s="8" t="s">
        <v>431</v>
      </c>
      <c r="C2763" s="19" t="n">
        <v>3</v>
      </c>
      <c r="D2763" s="19" t="n">
        <v>427.74</v>
      </c>
      <c r="E2763" s="19" t="n">
        <v>0</v>
      </c>
      <c r="F2763" s="19" t="n">
        <v>0</v>
      </c>
      <c r="G2763" s="8" t="str">
        <f aca="false">IFERROR(INDEX('TRANS'!$B:$B,MATCH($B2763,'TRANS'!$A:$A,0)),IFERROR(INDEX('TRANS'!$B:$B,MATCH(TRIM(SUBSTITUTE($B2763,CHAR(160)," ")),'TRANS'!$D:$D,0)),IFERROR(INDEX('Catalog'!$A:$A,MATCH($B2763,'Catalog'!$B:$B,0)),IFERROR(INDEX('Catalog'!$A:$A,MATCH(TRIM(SUBSTITUTE($B2763,CHAR(160)," ")),'Catalog'!$C:$C,0)),""))))</f>
        <v/>
      </c>
      <c r="H2763" s="8" t="str">
        <f aca="false">IFERROR(INDEX('TRANS'!$C:$C,MATCH($B2763,'TRANS'!$A:$A,0)),IFERROR(INDEX('Catalog'!$B:$B,MATCH($G2763,'Catalog'!$A:$A,0)),$B2763))</f>
        <v>T95 M</v>
      </c>
      <c r="I2763" s="8" t="str">
        <f aca="false">IF($G2763="","Unmatched","Matched")</f>
        <v>Unmatched</v>
      </c>
      <c r="J2763" s="8" t="str">
        <f aca="false">IF($G2763&lt;&gt;"",$G2763,$B2763)</f>
        <v>T95 M</v>
      </c>
      <c r="K2763" s="8" t="str">
        <f aca="false">IF(COUNTIF($M$1:$M$10,$A2763)&gt;0,"Y","N")</f>
        <v>Y</v>
      </c>
    </row>
    <row r="2764" customFormat="false" ht="15" hidden="false" customHeight="true" outlineLevel="0" collapsed="false">
      <c r="A2764" s="8" t="s">
        <v>42</v>
      </c>
      <c r="B2764" s="8" t="s">
        <v>905</v>
      </c>
      <c r="C2764" s="19" t="n">
        <v>1</v>
      </c>
      <c r="D2764" s="19" t="n">
        <v>145.43</v>
      </c>
      <c r="E2764" s="19" t="n">
        <v>0</v>
      </c>
      <c r="F2764" s="19" t="n">
        <v>0</v>
      </c>
      <c r="G2764" s="8" t="n">
        <f aca="false">IFERROR(INDEX('TRANS'!$B:$B,MATCH($B2764,'TRANS'!$A:$A,0)),IFERROR(INDEX('TRANS'!$B:$B,MATCH(TRIM(SUBSTITUTE($B2764,CHAR(160)," ")),'TRANS'!$D:$D,0)),IFERROR(INDEX('Catalog'!$A:$A,MATCH($B2764,'Catalog'!$B:$B,0)),IFERROR(INDEX('Catalog'!$A:$A,MATCH(TRIM(SUBSTITUTE($B2764,CHAR(160)," ")),'Catalog'!$C:$C,0)),""))))</f>
        <v>4413210</v>
      </c>
      <c r="H2764" s="8" t="str">
        <f aca="false">IFERROR(INDEX('TRANS'!$C:$C,MATCH($B2764,'TRANS'!$A:$A,0)),IFERROR(INDEX('Catalog'!$B:$B,MATCH($G2764,'Catalog'!$A:$A,0)),$B2764))</f>
        <v>T95 S מגן מרפק רגיל</v>
      </c>
      <c r="I2764" s="8" t="str">
        <f aca="false">IF($G2764="","Unmatched","Matched")</f>
        <v>Matched</v>
      </c>
      <c r="J2764" s="8" t="n">
        <f aca="false">IF($G2764&lt;&gt;"",$G2764,$B2764)</f>
        <v>4413210</v>
      </c>
      <c r="K2764" s="8" t="str">
        <f aca="false">IF(COUNTIF($M$1:$M$10,$A2764)&gt;0,"Y","N")</f>
        <v>Y</v>
      </c>
    </row>
    <row r="2765" customFormat="false" ht="15" hidden="false" customHeight="true" outlineLevel="0" collapsed="false">
      <c r="A2765" s="8" t="s">
        <v>42</v>
      </c>
      <c r="B2765" s="8" t="s">
        <v>516</v>
      </c>
      <c r="C2765" s="19" t="n">
        <v>2</v>
      </c>
      <c r="D2765" s="19" t="n">
        <v>342.2</v>
      </c>
      <c r="E2765" s="19" t="n">
        <v>0</v>
      </c>
      <c r="F2765" s="19" t="n">
        <v>0</v>
      </c>
      <c r="G2765" s="8" t="str">
        <f aca="false">IFERROR(INDEX('TRANS'!$B:$B,MATCH($B2765,'TRANS'!$A:$A,0)),IFERROR(INDEX('TRANS'!$B:$B,MATCH(TRIM(SUBSTITUTE($B2765,CHAR(160)," ")),'TRANS'!$D:$D,0)),IFERROR(INDEX('Catalog'!$A:$A,MATCH($B2765,'Catalog'!$B:$B,0)),IFERROR(INDEX('Catalog'!$A:$A,MATCH(TRIM(SUBSTITUTE($B2765,CHAR(160)," ")),'Catalog'!$C:$C,0)),""))))</f>
        <v/>
      </c>
      <c r="H2765" s="8" t="str">
        <f aca="false">IFERROR(INDEX('TRANS'!$C:$C,MATCH($B2765,'TRANS'!$A:$A,0)),IFERROR(INDEX('Catalog'!$B:$B,MATCH($G2765,'Catalog'!$A:$A,0)),$B2765))</f>
        <v>T95 XS</v>
      </c>
      <c r="I2765" s="8" t="str">
        <f aca="false">IF($G2765="","Unmatched","Matched")</f>
        <v>Unmatched</v>
      </c>
      <c r="J2765" s="8" t="str">
        <f aca="false">IF($G2765&lt;&gt;"",$G2765,$B2765)</f>
        <v>T95 XS</v>
      </c>
      <c r="K2765" s="8" t="str">
        <f aca="false">IF(COUNTIF($M$1:$M$10,$A2765)&gt;0,"Y","N")</f>
        <v>Y</v>
      </c>
    </row>
    <row r="2766" customFormat="false" ht="15" hidden="false" customHeight="true" outlineLevel="0" collapsed="false">
      <c r="A2766" s="8" t="s">
        <v>42</v>
      </c>
      <c r="B2766" s="8" t="s">
        <v>180</v>
      </c>
      <c r="C2766" s="19" t="n">
        <v>342</v>
      </c>
      <c r="D2766" s="19" t="n">
        <v>45417.98</v>
      </c>
      <c r="E2766" s="19" t="n">
        <v>4</v>
      </c>
      <c r="F2766" s="19" t="n">
        <v>532.72</v>
      </c>
      <c r="G2766" s="8" t="str">
        <f aca="false">IFERROR(INDEX('TRANS'!$B:$B,MATCH($B2766,'TRANS'!$A:$A,0)),IFERROR(INDEX('TRANS'!$B:$B,MATCH(TRIM(SUBSTITUTE($B2766,CHAR(160)," ")),'TRANS'!$D:$D,0)),IFERROR(INDEX('Catalog'!$A:$A,MATCH($B2766,'Catalog'!$B:$B,0)),IFERROR(INDEX('Catalog'!$A:$A,MATCH(TRIM(SUBSTITUTE($B2766,CHAR(160)," ")),'Catalog'!$C:$C,0)),""))))</f>
        <v/>
      </c>
      <c r="H2766" s="8" t="str">
        <f aca="false">IFERROR(INDEX('TRANS'!$C:$C,MATCH($B2766,'TRANS'!$A:$A,0)),IFERROR(INDEX('Catalog'!$B:$B,MATCH($G2766,'Catalog'!$A:$A,0)),$B2766))</f>
        <v>WEB-AC75 XXL</v>
      </c>
      <c r="I2766" s="8" t="str">
        <f aca="false">IF($G2766="","Unmatched","Matched")</f>
        <v>Unmatched</v>
      </c>
      <c r="J2766" s="8" t="str">
        <f aca="false">IF($G2766&lt;&gt;"",$G2766,$B2766)</f>
        <v>WEB-AC75 XXL</v>
      </c>
      <c r="K2766" s="8" t="str">
        <f aca="false">IF(COUNTIF($M$1:$M$10,$A2766)&gt;0,"Y","N")</f>
        <v>Y</v>
      </c>
    </row>
    <row r="2767" customFormat="false" ht="15" hidden="false" customHeight="true" outlineLevel="0" collapsed="false">
      <c r="A2767" s="8" t="s">
        <v>42</v>
      </c>
      <c r="B2767" s="8" t="s">
        <v>98</v>
      </c>
      <c r="C2767" s="19" t="n">
        <v>1815</v>
      </c>
      <c r="D2767" s="19" t="n">
        <v>240271.27</v>
      </c>
      <c r="E2767" s="19" t="n">
        <v>20</v>
      </c>
      <c r="F2767" s="19" t="n">
        <v>2706.8</v>
      </c>
      <c r="G2767" s="8" t="str">
        <f aca="false">IFERROR(INDEX('TRANS'!$B:$B,MATCH($B2767,'TRANS'!$A:$A,0)),IFERROR(INDEX('TRANS'!$B:$B,MATCH(TRIM(SUBSTITUTE($B2767,CHAR(160)," ")),'TRANS'!$D:$D,0)),IFERROR(INDEX('Catalog'!$A:$A,MATCH($B2767,'Catalog'!$B:$B,0)),IFERROR(INDEX('Catalog'!$A:$A,MATCH(TRIM(SUBSTITUTE($B2767,CHAR(160)," ")),'Catalog'!$C:$C,0)),""))))</f>
        <v/>
      </c>
      <c r="H2767" s="8" t="str">
        <f aca="false">IFERROR(INDEX('TRANS'!$C:$C,MATCH($B2767,'TRANS'!$A:$A,0)),IFERROR(INDEX('Catalog'!$B:$B,MATCH($G2767,'Catalog'!$A:$A,0)),$B2767))</f>
        <v>WEB-AC75-S-XL</v>
      </c>
      <c r="I2767" s="8" t="str">
        <f aca="false">IF($G2767="","Unmatched","Matched")</f>
        <v>Unmatched</v>
      </c>
      <c r="J2767" s="8" t="str">
        <f aca="false">IF($G2767&lt;&gt;"",$G2767,$B2767)</f>
        <v>WEB-AC75-S-XL</v>
      </c>
      <c r="K2767" s="8" t="str">
        <f aca="false">IF(COUNTIF($M$1:$M$10,$A2767)&gt;0,"Y","N")</f>
        <v>Y</v>
      </c>
    </row>
    <row r="2768" customFormat="false" ht="15" hidden="false" customHeight="true" outlineLevel="0" collapsed="false">
      <c r="A2768" s="8" t="s">
        <v>42</v>
      </c>
      <c r="B2768" s="8" t="s">
        <v>517</v>
      </c>
      <c r="C2768" s="19" t="n">
        <v>0</v>
      </c>
      <c r="D2768" s="19" t="n">
        <v>0</v>
      </c>
      <c r="E2768" s="19" t="n">
        <v>0</v>
      </c>
      <c r="F2768" s="19" t="n">
        <v>-169.32</v>
      </c>
      <c r="G2768" s="8" t="str">
        <f aca="false">IFERROR(INDEX('TRANS'!$B:$B,MATCH($B2768,'TRANS'!$A:$A,0)),IFERROR(INDEX('TRANS'!$B:$B,MATCH(TRIM(SUBSTITUTE($B2768,CHAR(160)," ")),'TRANS'!$D:$D,0)),IFERROR(INDEX('Catalog'!$A:$A,MATCH($B2768,'Catalog'!$B:$B,0)),IFERROR(INDEX('Catalog'!$A:$A,MATCH(TRIM(SUBSTITUTE($B2768,CHAR(160)," ")),'Catalog'!$C:$C,0)),""))))</f>
        <v/>
      </c>
      <c r="H2768" s="8" t="str">
        <f aca="false">IFERROR(INDEX('TRANS'!$C:$C,MATCH($B2768,'TRANS'!$A:$A,0)),IFERROR(INDEX('Catalog'!$B:$B,MATCH($G2768,'Catalog'!$A:$A,0)),$B2768))</f>
        <v>הנחה 200 ש"ח</v>
      </c>
      <c r="I2768" s="8" t="str">
        <f aca="false">IF($G2768="","Unmatched","Matched")</f>
        <v>Unmatched</v>
      </c>
      <c r="J2768" s="8" t="str">
        <f aca="false">IF($G2768&lt;&gt;"",$G2768,$B2768)</f>
        <v>הנחה 200 ש"ח</v>
      </c>
      <c r="K2768" s="8" t="str">
        <f aca="false">IF(COUNTIF($M$1:$M$10,$A2768)&gt;0,"Y","N")</f>
        <v>Y</v>
      </c>
    </row>
    <row r="2769" customFormat="false" ht="15" hidden="false" customHeight="true" outlineLevel="0" collapsed="false">
      <c r="A2769" s="8" t="s">
        <v>42</v>
      </c>
      <c r="B2769" s="8" t="s">
        <v>518</v>
      </c>
      <c r="C2769" s="19" t="n">
        <v>2</v>
      </c>
      <c r="D2769" s="19" t="n">
        <v>181.43</v>
      </c>
      <c r="E2769" s="19" t="n">
        <v>0</v>
      </c>
      <c r="F2769" s="19" t="n">
        <v>0</v>
      </c>
      <c r="G2769" s="8" t="str">
        <f aca="false">IFERROR(INDEX('TRANS'!$B:$B,MATCH($B2769,'TRANS'!$A:$A,0)),IFERROR(INDEX('TRANS'!$B:$B,MATCH(TRIM(SUBSTITUTE($B2769,CHAR(160)," ")),'TRANS'!$D:$D,0)),IFERROR(INDEX('Catalog'!$A:$A,MATCH($B2769,'Catalog'!$B:$B,0)),IFERROR(INDEX('Catalog'!$A:$A,MATCH(TRIM(SUBSTITUTE($B2769,CHAR(160)," ")),'Catalog'!$C:$C,0)),""))))</f>
        <v/>
      </c>
      <c r="H2769" s="8" t="str">
        <f aca="false">IFERROR(INDEX('TRANS'!$C:$C,MATCH($B2769,'TRANS'!$A:$A,0)),IFERROR(INDEX('Catalog'!$B:$B,MATCH($G2769,'Catalog'!$A:$A,0)),$B2769))</f>
        <v>הנחות לקוחות</v>
      </c>
      <c r="I2769" s="8" t="str">
        <f aca="false">IF($G2769="","Unmatched","Matched")</f>
        <v>Unmatched</v>
      </c>
      <c r="J2769" s="8" t="str">
        <f aca="false">IF($G2769&lt;&gt;"",$G2769,$B2769)</f>
        <v>הנחות לקוחות</v>
      </c>
      <c r="K2769" s="8" t="str">
        <f aca="false">IF(COUNTIF($M$1:$M$10,$A2769)&gt;0,"Y","N")</f>
        <v>Y</v>
      </c>
    </row>
    <row r="2770" customFormat="false" ht="15" hidden="false" customHeight="true" outlineLevel="0" collapsed="false">
      <c r="A2770" s="8" t="s">
        <v>49</v>
      </c>
      <c r="B2770" s="8" t="s">
        <v>950</v>
      </c>
      <c r="C2770" s="19" t="n">
        <v>1</v>
      </c>
      <c r="D2770" s="19" t="n">
        <v>282.12</v>
      </c>
      <c r="E2770" s="19" t="n">
        <v>0</v>
      </c>
      <c r="F2770" s="19" t="n">
        <v>0</v>
      </c>
      <c r="G2770" s="8" t="n">
        <f aca="false">IFERROR(INDEX('TRANS'!$B:$B,MATCH($B2770,'TRANS'!$A:$A,0)),IFERROR(INDEX('TRANS'!$B:$B,MATCH(TRIM(SUBSTITUTE($B2770,CHAR(160)," ")),'TRANS'!$D:$D,0)),IFERROR(INDEX('Catalog'!$A:$A,MATCH($B2770,'Catalog'!$B:$B,0)),IFERROR(INDEX('Catalog'!$A:$A,MATCH(TRIM(SUBSTITUTE($B2770,CHAR(160)," ")),'Catalog'!$C:$C,0)),""))))</f>
        <v>4408245</v>
      </c>
      <c r="H2770" s="8" t="str">
        <f aca="false">IFERROR(INDEX('TRANS'!$C:$C,MATCH($B2770,'TRANS'!$A:$A,0)),IFERROR(INDEX('Catalog'!$B:$B,MATCH($G2770,'Catalog'!$A:$A,0)),$B2770))</f>
        <v>077A   XXL חגורת גב עם חיזוקים</v>
      </c>
      <c r="I2770" s="8" t="str">
        <f aca="false">IF($G2770="","Unmatched","Matched")</f>
        <v>Matched</v>
      </c>
      <c r="J2770" s="8" t="n">
        <f aca="false">IF($G2770&lt;&gt;"",$G2770,$B2770)</f>
        <v>4408245</v>
      </c>
      <c r="K2770" s="8" t="str">
        <f aca="false">IF(COUNTIF($M$1:$M$10,$A2770)&gt;0,"Y","N")</f>
        <v>Y</v>
      </c>
    </row>
    <row r="2771" customFormat="false" ht="15" hidden="false" customHeight="true" outlineLevel="0" collapsed="false">
      <c r="A2771" s="8" t="s">
        <v>49</v>
      </c>
      <c r="B2771" s="8" t="s">
        <v>913</v>
      </c>
      <c r="C2771" s="19" t="n">
        <v>2</v>
      </c>
      <c r="D2771" s="19" t="n">
        <v>564.24</v>
      </c>
      <c r="E2771" s="19" t="n">
        <v>2</v>
      </c>
      <c r="F2771" s="19" t="n">
        <v>564.24</v>
      </c>
      <c r="G2771" s="8" t="n">
        <f aca="false">IFERROR(INDEX('TRANS'!$B:$B,MATCH($B2771,'TRANS'!$A:$A,0)),IFERROR(INDEX('TRANS'!$B:$B,MATCH(TRIM(SUBSTITUTE($B2771,CHAR(160)," ")),'TRANS'!$D:$D,0)),IFERROR(INDEX('Catalog'!$A:$A,MATCH($B2771,'Catalog'!$B:$B,0)),IFERROR(INDEX('Catalog'!$A:$A,MATCH(TRIM(SUBSTITUTE($B2771,CHAR(160)," ")),'Catalog'!$C:$C,0)),""))))</f>
        <v>4408135</v>
      </c>
      <c r="H2771" s="8" t="str">
        <f aca="false">IFERROR(INDEX('TRANS'!$C:$C,MATCH($B2771,'TRANS'!$A:$A,0)),IFERROR(INDEX('Catalog'!$B:$B,MATCH($G2771,'Catalog'!$A:$A,0)),$B2771))</f>
        <v>077A L-XLחגורת גב</v>
      </c>
      <c r="I2771" s="8" t="str">
        <f aca="false">IF($G2771="","Unmatched","Matched")</f>
        <v>Matched</v>
      </c>
      <c r="J2771" s="8" t="n">
        <f aca="false">IF($G2771&lt;&gt;"",$G2771,$B2771)</f>
        <v>4408135</v>
      </c>
      <c r="K2771" s="8" t="str">
        <f aca="false">IF(COUNTIF($M$1:$M$10,$A2771)&gt;0,"Y","N")</f>
        <v>Y</v>
      </c>
    </row>
    <row r="2772" customFormat="false" ht="15" hidden="false" customHeight="true" outlineLevel="0" collapsed="false">
      <c r="A2772" s="8" t="s">
        <v>49</v>
      </c>
      <c r="B2772" s="8" t="s">
        <v>561</v>
      </c>
      <c r="C2772" s="19" t="n">
        <v>6</v>
      </c>
      <c r="D2772" s="19" t="n">
        <v>1209.65</v>
      </c>
      <c r="E2772" s="19" t="n">
        <v>0</v>
      </c>
      <c r="F2772" s="19" t="n">
        <v>0</v>
      </c>
      <c r="G2772" s="8" t="n">
        <f aca="false">IFERROR(INDEX('TRANS'!$B:$B,MATCH($B2772,'TRANS'!$A:$A,0)),IFERROR(INDEX('TRANS'!$B:$B,MATCH(TRIM(SUBSTITUTE($B2772,CHAR(160)," ")),'TRANS'!$D:$D,0)),IFERROR(INDEX('Catalog'!$A:$A,MATCH($B2772,'Catalog'!$B:$B,0)),IFERROR(INDEX('Catalog'!$A:$A,MATCH(TRIM(SUBSTITUTE($B2772,CHAR(160)," ")),'Catalog'!$C:$C,0)),""))))</f>
        <v>4408192</v>
      </c>
      <c r="H2772" s="8" t="str">
        <f aca="false">IFERROR(INDEX('TRANS'!$C:$C,MATCH($B2772,'TRANS'!$A:$A,0)),IFERROR(INDEX('Catalog'!$B:$B,MATCH($G2772,'Catalog'!$A:$A,0)),$B2772))</f>
        <v>078 L חגורת גב +סגירה</v>
      </c>
      <c r="I2772" s="8" t="str">
        <f aca="false">IF($G2772="","Unmatched","Matched")</f>
        <v>Matched</v>
      </c>
      <c r="J2772" s="8" t="n">
        <f aca="false">IF($G2772&lt;&gt;"",$G2772,$B2772)</f>
        <v>4408192</v>
      </c>
      <c r="K2772" s="8" t="str">
        <f aca="false">IF(COUNTIF($M$1:$M$10,$A2772)&gt;0,"Y","N")</f>
        <v>Y</v>
      </c>
    </row>
    <row r="2773" customFormat="false" ht="15" hidden="false" customHeight="true" outlineLevel="0" collapsed="false">
      <c r="A2773" s="8" t="s">
        <v>49</v>
      </c>
      <c r="B2773" s="8" t="s">
        <v>852</v>
      </c>
      <c r="C2773" s="19" t="n">
        <v>2</v>
      </c>
      <c r="D2773" s="19" t="n">
        <v>423.56</v>
      </c>
      <c r="E2773" s="19" t="n">
        <v>0</v>
      </c>
      <c r="F2773" s="19" t="n">
        <v>0</v>
      </c>
      <c r="G2773" s="8" t="n">
        <f aca="false">IFERROR(INDEX('TRANS'!$B:$B,MATCH($B2773,'TRANS'!$A:$A,0)),IFERROR(INDEX('TRANS'!$B:$B,MATCH(TRIM(SUBSTITUTE($B2773,CHAR(160)," ")),'TRANS'!$D:$D,0)),IFERROR(INDEX('Catalog'!$A:$A,MATCH($B2773,'Catalog'!$B:$B,0)),IFERROR(INDEX('Catalog'!$A:$A,MATCH(TRIM(SUBSTITUTE($B2773,CHAR(160)," ")),'Catalog'!$C:$C,0)),""))))</f>
        <v>4408190</v>
      </c>
      <c r="H2773" s="8" t="str">
        <f aca="false">IFERROR(INDEX('TRANS'!$C:$C,MATCH($B2773,'TRANS'!$A:$A,0)),IFERROR(INDEX('Catalog'!$B:$B,MATCH($G2773,'Catalog'!$A:$A,0)),$B2773))</f>
        <v>M078 חגורת גב +סגירה כפולה</v>
      </c>
      <c r="I2773" s="8" t="str">
        <f aca="false">IF($G2773="","Unmatched","Matched")</f>
        <v>Matched</v>
      </c>
      <c r="J2773" s="8" t="n">
        <f aca="false">IF($G2773&lt;&gt;"",$G2773,$B2773)</f>
        <v>4408190</v>
      </c>
      <c r="K2773" s="8" t="str">
        <f aca="false">IF(COUNTIF($M$1:$M$10,$A2773)&gt;0,"Y","N")</f>
        <v>Y</v>
      </c>
    </row>
    <row r="2774" customFormat="false" ht="15" hidden="false" customHeight="true" outlineLevel="0" collapsed="false">
      <c r="A2774" s="8" t="s">
        <v>49</v>
      </c>
      <c r="B2774" s="8" t="s">
        <v>562</v>
      </c>
      <c r="C2774" s="19" t="n">
        <v>2</v>
      </c>
      <c r="D2774" s="19" t="n">
        <v>423.56</v>
      </c>
      <c r="E2774" s="19" t="n">
        <v>0</v>
      </c>
      <c r="F2774" s="19" t="n">
        <v>0</v>
      </c>
      <c r="G2774" s="8" t="n">
        <f aca="false">IFERROR(INDEX('TRANS'!$B:$B,MATCH($B2774,'TRANS'!$A:$A,0)),IFERROR(INDEX('TRANS'!$B:$B,MATCH(TRIM(SUBSTITUTE($B2774,CHAR(160)," ")),'TRANS'!$D:$D,0)),IFERROR(INDEX('Catalog'!$A:$A,MATCH($B2774,'Catalog'!$B:$B,0)),IFERROR(INDEX('Catalog'!$A:$A,MATCH(TRIM(SUBSTITUTE($B2774,CHAR(160)," ")),'Catalog'!$C:$C,0)),""))))</f>
        <v>4408218</v>
      </c>
      <c r="H2774" s="8" t="str">
        <f aca="false">IFERROR(INDEX('TRANS'!$C:$C,MATCH($B2774,'TRANS'!$A:$A,0)),IFERROR(INDEX('Catalog'!$B:$B,MATCH($G2774,'Catalog'!$A:$A,0)),$B2774))</f>
        <v>078XL חגורת גב +סגירה כפולה</v>
      </c>
      <c r="I2774" s="8" t="str">
        <f aca="false">IF($G2774="","Unmatched","Matched")</f>
        <v>Matched</v>
      </c>
      <c r="J2774" s="8" t="n">
        <f aca="false">IF($G2774&lt;&gt;"",$G2774,$B2774)</f>
        <v>4408218</v>
      </c>
      <c r="K2774" s="8" t="str">
        <f aca="false">IF(COUNTIF($M$1:$M$10,$A2774)&gt;0,"Y","N")</f>
        <v>Y</v>
      </c>
    </row>
    <row r="2775" customFormat="false" ht="15" hidden="false" customHeight="true" outlineLevel="0" collapsed="false">
      <c r="A2775" s="8" t="s">
        <v>49</v>
      </c>
      <c r="B2775" s="8" t="s">
        <v>854</v>
      </c>
      <c r="C2775" s="19" t="n">
        <v>2</v>
      </c>
      <c r="D2775" s="19" t="n">
        <v>423.56</v>
      </c>
      <c r="E2775" s="19" t="n">
        <v>0</v>
      </c>
      <c r="F2775" s="19" t="n">
        <v>0</v>
      </c>
      <c r="G2775" s="8" t="n">
        <f aca="false">IFERROR(INDEX('TRANS'!$B:$B,MATCH($B2775,'TRANS'!$A:$A,0)),IFERROR(INDEX('TRANS'!$B:$B,MATCH(TRIM(SUBSTITUTE($B2775,CHAR(160)," ")),'TRANS'!$D:$D,0)),IFERROR(INDEX('Catalog'!$A:$A,MATCH($B2775,'Catalog'!$B:$B,0)),IFERROR(INDEX('Catalog'!$A:$A,MATCH(TRIM(SUBSTITUTE($B2775,CHAR(160)," ")),'Catalog'!$C:$C,0)),""))))</f>
        <v>4408265</v>
      </c>
      <c r="H2775" s="8" t="str">
        <f aca="false">IFERROR(INDEX('TRANS'!$C:$C,MATCH($B2775,'TRANS'!$A:$A,0)),IFERROR(INDEX('Catalog'!$B:$B,MATCH($G2775,'Catalog'!$A:$A,0)),$B2775))</f>
        <v>078XXL חגורת גב +סגירה כפולה</v>
      </c>
      <c r="I2775" s="8" t="str">
        <f aca="false">IF($G2775="","Unmatched","Matched")</f>
        <v>Matched</v>
      </c>
      <c r="J2775" s="8" t="n">
        <f aca="false">IF($G2775&lt;&gt;"",$G2775,$B2775)</f>
        <v>4408265</v>
      </c>
      <c r="K2775" s="8" t="str">
        <f aca="false">IF(COUNTIF($M$1:$M$10,$A2775)&gt;0,"Y","N")</f>
        <v>Y</v>
      </c>
    </row>
    <row r="2776" customFormat="false" ht="15" hidden="false" customHeight="true" outlineLevel="0" collapsed="false">
      <c r="A2776" s="8" t="s">
        <v>49</v>
      </c>
      <c r="B2776" s="8" t="s">
        <v>356</v>
      </c>
      <c r="C2776" s="19" t="n">
        <v>1</v>
      </c>
      <c r="D2776" s="19" t="n">
        <v>196.53</v>
      </c>
      <c r="E2776" s="19" t="n">
        <v>0</v>
      </c>
      <c r="F2776" s="19" t="n">
        <v>0</v>
      </c>
      <c r="G2776" s="8" t="str">
        <f aca="false">IFERROR(INDEX('TRANS'!$B:$B,MATCH($B2776,'TRANS'!$A:$A,0)),IFERROR(INDEX('TRANS'!$B:$B,MATCH(TRIM(SUBSTITUTE($B2776,CHAR(160)," ")),'TRANS'!$D:$D,0)),IFERROR(INDEX('Catalog'!$A:$A,MATCH($B2776,'Catalog'!$B:$B,0)),IFERROR(INDEX('Catalog'!$A:$A,MATCH(TRIM(SUBSTITUTE($B2776,CHAR(160)," ")),'Catalog'!$C:$C,0)),""))))</f>
        <v/>
      </c>
      <c r="H2776" s="8" t="str">
        <f aca="false">IFERROR(INDEX('TRANS'!$C:$C,MATCH($B2776,'TRANS'!$A:$A,0)),IFERROR(INDEX('Catalog'!$B:$B,MATCH($G2776,'Catalog'!$A:$A,0)),$B2776))</f>
        <v>267LB XXL</v>
      </c>
      <c r="I2776" s="8" t="str">
        <f aca="false">IF($G2776="","Unmatched","Matched")</f>
        <v>Unmatched</v>
      </c>
      <c r="J2776" s="8" t="str">
        <f aca="false">IF($G2776&lt;&gt;"",$G2776,$B2776)</f>
        <v>267LB XXL</v>
      </c>
      <c r="K2776" s="8" t="str">
        <f aca="false">IF(COUNTIF($M$1:$M$10,$A2776)&gt;0,"Y","N")</f>
        <v>Y</v>
      </c>
    </row>
    <row r="2777" customFormat="false" ht="15" hidden="false" customHeight="true" outlineLevel="0" collapsed="false">
      <c r="A2777" s="8" t="s">
        <v>49</v>
      </c>
      <c r="B2777" s="8" t="s">
        <v>291</v>
      </c>
      <c r="C2777" s="19" t="n">
        <v>1</v>
      </c>
      <c r="D2777" s="19" t="n">
        <v>196.53</v>
      </c>
      <c r="E2777" s="19" t="n">
        <v>0</v>
      </c>
      <c r="F2777" s="19" t="n">
        <v>0</v>
      </c>
      <c r="G2777" s="8" t="str">
        <f aca="false">IFERROR(INDEX('TRANS'!$B:$B,MATCH($B2777,'TRANS'!$A:$A,0)),IFERROR(INDEX('TRANS'!$B:$B,MATCH(TRIM(SUBSTITUTE($B2777,CHAR(160)," ")),'TRANS'!$D:$D,0)),IFERROR(INDEX('Catalog'!$A:$A,MATCH($B2777,'Catalog'!$B:$B,0)),IFERROR(INDEX('Catalog'!$A:$A,MATCH(TRIM(SUBSTITUTE($B2777,CHAR(160)," ")),'Catalog'!$C:$C,0)),""))))</f>
        <v/>
      </c>
      <c r="H2777" s="8" t="str">
        <f aca="false">IFERROR(INDEX('TRANS'!$C:$C,MATCH($B2777,'TRANS'!$A:$A,0)),IFERROR(INDEX('Catalog'!$B:$B,MATCH($G2777,'Catalog'!$A:$A,0)),$B2777))</f>
        <v>267RB-S-M</v>
      </c>
      <c r="I2777" s="8" t="str">
        <f aca="false">IF($G2777="","Unmatched","Matched")</f>
        <v>Unmatched</v>
      </c>
      <c r="J2777" s="8" t="str">
        <f aca="false">IF($G2777&lt;&gt;"",$G2777,$B2777)</f>
        <v>267RB-S-M</v>
      </c>
      <c r="K2777" s="8" t="str">
        <f aca="false">IF(COUNTIF($M$1:$M$10,$A2777)&gt;0,"Y","N")</f>
        <v>Y</v>
      </c>
    </row>
    <row r="2778" customFormat="false" ht="15" hidden="false" customHeight="true" outlineLevel="0" collapsed="false">
      <c r="A2778" s="8" t="s">
        <v>49</v>
      </c>
      <c r="B2778" s="8" t="s">
        <v>788</v>
      </c>
      <c r="C2778" s="19" t="n">
        <v>2</v>
      </c>
      <c r="D2778" s="19" t="n">
        <v>257.46</v>
      </c>
      <c r="E2778" s="19" t="n">
        <v>0</v>
      </c>
      <c r="F2778" s="19" t="n">
        <v>0</v>
      </c>
      <c r="G2778" s="8" t="n">
        <f aca="false">IFERROR(INDEX('TRANS'!$B:$B,MATCH($B2778,'TRANS'!$A:$A,0)),IFERROR(INDEX('TRANS'!$B:$B,MATCH(TRIM(SUBSTITUTE($B2778,CHAR(160)," ")),'TRANS'!$D:$D,0)),IFERROR(INDEX('Catalog'!$A:$A,MATCH($B2778,'Catalog'!$B:$B,0)),IFERROR(INDEX('Catalog'!$A:$A,MATCH(TRIM(SUBSTITUTE($B2778,CHAR(160)," ")),'Catalog'!$C:$C,0)),""))))</f>
        <v>4420036</v>
      </c>
      <c r="H2778" s="8" t="str">
        <f aca="false">IFERROR(INDEX('TRANS'!$C:$C,MATCH($B2778,'TRANS'!$A:$A,0)),IFERROR(INDEX('Catalog'!$B:$B,MATCH($G2778,'Catalog'!$A:$A,0)),$B2778))</f>
        <v>301CM 41-45 'רפידת ג'ל בז</v>
      </c>
      <c r="I2778" s="8" t="str">
        <f aca="false">IF($G2778="","Unmatched","Matched")</f>
        <v>Matched</v>
      </c>
      <c r="J2778" s="8" t="n">
        <f aca="false">IF($G2778&lt;&gt;"",$G2778,$B2778)</f>
        <v>4420036</v>
      </c>
      <c r="K2778" s="8" t="str">
        <f aca="false">IF(COUNTIF($M$1:$M$10,$A2778)&gt;0,"Y","N")</f>
        <v>Y</v>
      </c>
    </row>
    <row r="2779" customFormat="false" ht="15" hidden="false" customHeight="true" outlineLevel="0" collapsed="false">
      <c r="A2779" s="8" t="s">
        <v>49</v>
      </c>
      <c r="B2779" s="8" t="s">
        <v>789</v>
      </c>
      <c r="C2779" s="19" t="n">
        <v>1</v>
      </c>
      <c r="D2779" s="19" t="n">
        <v>128.73</v>
      </c>
      <c r="E2779" s="19" t="n">
        <v>0</v>
      </c>
      <c r="F2779" s="19" t="n">
        <v>0</v>
      </c>
      <c r="G2779" s="8" t="n">
        <f aca="false">IFERROR(INDEX('TRANS'!$B:$B,MATCH($B2779,'TRANS'!$A:$A,0)),IFERROR(INDEX('TRANS'!$B:$B,MATCH(TRIM(SUBSTITUTE($B2779,CHAR(160)," ")),'TRANS'!$D:$D,0)),IFERROR(INDEX('Catalog'!$A:$A,MATCH($B2779,'Catalog'!$B:$B,0)),IFERROR(INDEX('Catalog'!$A:$A,MATCH(TRIM(SUBSTITUTE($B2779,CHAR(160)," ")),'Catalog'!$C:$C,0)),""))))</f>
        <v>4420035</v>
      </c>
      <c r="H2779" s="8" t="str">
        <f aca="false">IFERROR(INDEX('TRANS'!$C:$C,MATCH($B2779,'TRANS'!$A:$A,0)),IFERROR(INDEX('Catalog'!$B:$B,MATCH($G2779,'Catalog'!$A:$A,0)),$B2779))</f>
        <v>301CW 36-40 'רפידת ג'ל בז</v>
      </c>
      <c r="I2779" s="8" t="str">
        <f aca="false">IF($G2779="","Unmatched","Matched")</f>
        <v>Matched</v>
      </c>
      <c r="J2779" s="8" t="n">
        <f aca="false">IF($G2779&lt;&gt;"",$G2779,$B2779)</f>
        <v>4420035</v>
      </c>
      <c r="K2779" s="8" t="str">
        <f aca="false">IF(COUNTIF($M$1:$M$10,$A2779)&gt;0,"Y","N")</f>
        <v>Y</v>
      </c>
    </row>
    <row r="2780" customFormat="false" ht="15" hidden="false" customHeight="true" outlineLevel="0" collapsed="false">
      <c r="A2780" s="8" t="s">
        <v>49</v>
      </c>
      <c r="B2780" s="8" t="s">
        <v>610</v>
      </c>
      <c r="C2780" s="19" t="n">
        <v>0</v>
      </c>
      <c r="D2780" s="19" t="n">
        <v>0</v>
      </c>
      <c r="E2780" s="19" t="n">
        <v>1</v>
      </c>
      <c r="F2780" s="19" t="n">
        <v>231.27</v>
      </c>
      <c r="G2780" s="8" t="n">
        <f aca="false">IFERROR(INDEX('TRANS'!$B:$B,MATCH($B2780,'TRANS'!$A:$A,0)),IFERROR(INDEX('TRANS'!$B:$B,MATCH(TRIM(SUBSTITUTE($B2780,CHAR(160)," ")),'TRANS'!$D:$D,0)),IFERROR(INDEX('Catalog'!$A:$A,MATCH($B2780,'Catalog'!$B:$B,0)),IFERROR(INDEX('Catalog'!$A:$A,MATCH(TRIM(SUBSTITUTE($B2780,CHAR(160)," ")),'Catalog'!$C:$C,0)),""))))</f>
        <v>4413347</v>
      </c>
      <c r="H2780" s="8" t="str">
        <f aca="false">IFERROR(INDEX('TRANS'!$C:$C,MATCH($B2780,'TRANS'!$A:$A,0)),IFERROR(INDEX('Catalog'!$B:$B,MATCH($G2780,'Catalog'!$A:$A,0)),$B2780))</f>
        <v>322-L מגן קרסול+כרית סילקון</v>
      </c>
      <c r="I2780" s="8" t="str">
        <f aca="false">IF($G2780="","Unmatched","Matched")</f>
        <v>Matched</v>
      </c>
      <c r="J2780" s="8" t="n">
        <f aca="false">IF($G2780&lt;&gt;"",$G2780,$B2780)</f>
        <v>4413347</v>
      </c>
      <c r="K2780" s="8" t="str">
        <f aca="false">IF(COUNTIF($M$1:$M$10,$A2780)&gt;0,"Y","N")</f>
        <v>Y</v>
      </c>
    </row>
    <row r="2781" customFormat="false" ht="15" hidden="false" customHeight="true" outlineLevel="0" collapsed="false">
      <c r="A2781" s="8" t="s">
        <v>49</v>
      </c>
      <c r="B2781" s="8" t="s">
        <v>433</v>
      </c>
      <c r="C2781" s="19" t="n">
        <v>1</v>
      </c>
      <c r="D2781" s="19" t="n">
        <v>231.27</v>
      </c>
      <c r="E2781" s="19" t="n">
        <v>0</v>
      </c>
      <c r="F2781" s="19" t="n">
        <v>0</v>
      </c>
      <c r="G2781" s="8" t="str">
        <f aca="false">IFERROR(INDEX('TRANS'!$B:$B,MATCH($B2781,'TRANS'!$A:$A,0)),IFERROR(INDEX('TRANS'!$B:$B,MATCH(TRIM(SUBSTITUTE($B2781,CHAR(160)," ")),'TRANS'!$D:$D,0)),IFERROR(INDEX('Catalog'!$A:$A,MATCH($B2781,'Catalog'!$B:$B,0)),IFERROR(INDEX('Catalog'!$A:$A,MATCH(TRIM(SUBSTITUTE($B2781,CHAR(160)," ")),'Catalog'!$C:$C,0)),""))))</f>
        <v/>
      </c>
      <c r="H2781" s="8" t="str">
        <f aca="false">IFERROR(INDEX('TRANS'!$C:$C,MATCH($B2781,'TRANS'!$A:$A,0)),IFERROR(INDEX('Catalog'!$B:$B,MATCH($G2781,'Catalog'!$A:$A,0)),$B2781))</f>
        <v>322B L</v>
      </c>
      <c r="I2781" s="8" t="str">
        <f aca="false">IF($G2781="","Unmatched","Matched")</f>
        <v>Unmatched</v>
      </c>
      <c r="J2781" s="8" t="str">
        <f aca="false">IF($G2781&lt;&gt;"",$G2781,$B2781)</f>
        <v>322B L</v>
      </c>
      <c r="K2781" s="8" t="str">
        <f aca="false">IF(COUNTIF($M$1:$M$10,$A2781)&gt;0,"Y","N")</f>
        <v>Y</v>
      </c>
    </row>
    <row r="2782" customFormat="false" ht="15" hidden="false" customHeight="true" outlineLevel="0" collapsed="false">
      <c r="A2782" s="8" t="s">
        <v>49</v>
      </c>
      <c r="B2782" s="8" t="s">
        <v>163</v>
      </c>
      <c r="C2782" s="19" t="n">
        <v>1</v>
      </c>
      <c r="D2782" s="19" t="n">
        <v>231.27</v>
      </c>
      <c r="E2782" s="19" t="n">
        <v>0</v>
      </c>
      <c r="F2782" s="19" t="n">
        <v>0</v>
      </c>
      <c r="G2782" s="8" t="str">
        <f aca="false">IFERROR(INDEX('TRANS'!$B:$B,MATCH($B2782,'TRANS'!$A:$A,0)),IFERROR(INDEX('TRANS'!$B:$B,MATCH(TRIM(SUBSTITUTE($B2782,CHAR(160)," ")),'TRANS'!$D:$D,0)),IFERROR(INDEX('Catalog'!$A:$A,MATCH($B2782,'Catalog'!$B:$B,0)),IFERROR(INDEX('Catalog'!$A:$A,MATCH(TRIM(SUBSTITUTE($B2782,CHAR(160)," ")),'Catalog'!$C:$C,0)),""))))</f>
        <v/>
      </c>
      <c r="H2782" s="8" t="str">
        <f aca="false">IFERROR(INDEX('TRANS'!$C:$C,MATCH($B2782,'TRANS'!$A:$A,0)),IFERROR(INDEX('Catalog'!$B:$B,MATCH($G2782,'Catalog'!$A:$A,0)),$B2782))</f>
        <v>322B M</v>
      </c>
      <c r="I2782" s="8" t="str">
        <f aca="false">IF($G2782="","Unmatched","Matched")</f>
        <v>Unmatched</v>
      </c>
      <c r="J2782" s="8" t="str">
        <f aca="false">IF($G2782&lt;&gt;"",$G2782,$B2782)</f>
        <v>322B M</v>
      </c>
      <c r="K2782" s="8" t="str">
        <f aca="false">IF(COUNTIF($M$1:$M$10,$A2782)&gt;0,"Y","N")</f>
        <v>Y</v>
      </c>
    </row>
    <row r="2783" customFormat="false" ht="15" hidden="false" customHeight="true" outlineLevel="0" collapsed="false">
      <c r="A2783" s="8" t="s">
        <v>49</v>
      </c>
      <c r="B2783" s="8" t="s">
        <v>393</v>
      </c>
      <c r="C2783" s="19" t="n">
        <v>1</v>
      </c>
      <c r="D2783" s="19" t="n">
        <v>231.27</v>
      </c>
      <c r="E2783" s="19" t="n">
        <v>1</v>
      </c>
      <c r="F2783" s="19" t="n">
        <v>231.27</v>
      </c>
      <c r="G2783" s="8" t="str">
        <f aca="false">IFERROR(INDEX('TRANS'!$B:$B,MATCH($B2783,'TRANS'!$A:$A,0)),IFERROR(INDEX('TRANS'!$B:$B,MATCH(TRIM(SUBSTITUTE($B2783,CHAR(160)," ")),'TRANS'!$D:$D,0)),IFERROR(INDEX('Catalog'!$A:$A,MATCH($B2783,'Catalog'!$B:$B,0)),IFERROR(INDEX('Catalog'!$A:$A,MATCH(TRIM(SUBSTITUTE($B2783,CHAR(160)," ")),'Catalog'!$C:$C,0)),""))))</f>
        <v/>
      </c>
      <c r="H2783" s="8" t="str">
        <f aca="false">IFERROR(INDEX('TRANS'!$C:$C,MATCH($B2783,'TRANS'!$A:$A,0)),IFERROR(INDEX('Catalog'!$B:$B,MATCH($G2783,'Catalog'!$A:$A,0)),$B2783))</f>
        <v>322B S</v>
      </c>
      <c r="I2783" s="8" t="str">
        <f aca="false">IF($G2783="","Unmatched","Matched")</f>
        <v>Unmatched</v>
      </c>
      <c r="J2783" s="8" t="str">
        <f aca="false">IF($G2783&lt;&gt;"",$G2783,$B2783)</f>
        <v>322B S</v>
      </c>
      <c r="K2783" s="8" t="str">
        <f aca="false">IF(COUNTIF($M$1:$M$10,$A2783)&gt;0,"Y","N")</f>
        <v>Y</v>
      </c>
    </row>
    <row r="2784" customFormat="false" ht="15" hidden="false" customHeight="true" outlineLevel="0" collapsed="false">
      <c r="A2784" s="8" t="s">
        <v>49</v>
      </c>
      <c r="B2784" s="8" t="s">
        <v>394</v>
      </c>
      <c r="C2784" s="19" t="n">
        <v>1</v>
      </c>
      <c r="D2784" s="19" t="n">
        <v>231.27</v>
      </c>
      <c r="E2784" s="19" t="n">
        <v>1</v>
      </c>
      <c r="F2784" s="19" t="n">
        <v>231.27</v>
      </c>
      <c r="G2784" s="8" t="str">
        <f aca="false">IFERROR(INDEX('TRANS'!$B:$B,MATCH($B2784,'TRANS'!$A:$A,0)),IFERROR(INDEX('TRANS'!$B:$B,MATCH(TRIM(SUBSTITUTE($B2784,CHAR(160)," ")),'TRANS'!$D:$D,0)),IFERROR(INDEX('Catalog'!$A:$A,MATCH($B2784,'Catalog'!$B:$B,0)),IFERROR(INDEX('Catalog'!$A:$A,MATCH(TRIM(SUBSTITUTE($B2784,CHAR(160)," ")),'Catalog'!$C:$C,0)),""))))</f>
        <v/>
      </c>
      <c r="H2784" s="8" t="str">
        <f aca="false">IFERROR(INDEX('TRANS'!$C:$C,MATCH($B2784,'TRANS'!$A:$A,0)),IFERROR(INDEX('Catalog'!$B:$B,MATCH($G2784,'Catalog'!$A:$A,0)),$B2784))</f>
        <v>322B XL</v>
      </c>
      <c r="I2784" s="8" t="str">
        <f aca="false">IF($G2784="","Unmatched","Matched")</f>
        <v>Unmatched</v>
      </c>
      <c r="J2784" s="8" t="str">
        <f aca="false">IF($G2784&lt;&gt;"",$G2784,$B2784)</f>
        <v>322B XL</v>
      </c>
      <c r="K2784" s="8" t="str">
        <f aca="false">IF(COUNTIF($M$1:$M$10,$A2784)&gt;0,"Y","N")</f>
        <v>Y</v>
      </c>
    </row>
    <row r="2785" customFormat="false" ht="15" hidden="false" customHeight="true" outlineLevel="0" collapsed="false">
      <c r="A2785" s="8" t="s">
        <v>49</v>
      </c>
      <c r="B2785" s="8" t="s">
        <v>395</v>
      </c>
      <c r="C2785" s="19" t="n">
        <v>0</v>
      </c>
      <c r="D2785" s="19" t="n">
        <v>0</v>
      </c>
      <c r="E2785" s="19" t="n">
        <v>1</v>
      </c>
      <c r="F2785" s="19" t="n">
        <v>231.27</v>
      </c>
      <c r="G2785" s="8" t="str">
        <f aca="false">IFERROR(INDEX('TRANS'!$B:$B,MATCH($B2785,'TRANS'!$A:$A,0)),IFERROR(INDEX('TRANS'!$B:$B,MATCH(TRIM(SUBSTITUTE($B2785,CHAR(160)," ")),'TRANS'!$D:$D,0)),IFERROR(INDEX('Catalog'!$A:$A,MATCH($B2785,'Catalog'!$B:$B,0)),IFERROR(INDEX('Catalog'!$A:$A,MATCH(TRIM(SUBSTITUTE($B2785,CHAR(160)," ")),'Catalog'!$C:$C,0)),""))))</f>
        <v/>
      </c>
      <c r="H2785" s="8" t="str">
        <f aca="false">IFERROR(INDEX('TRANS'!$C:$C,MATCH($B2785,'TRANS'!$A:$A,0)),IFERROR(INDEX('Catalog'!$B:$B,MATCH($G2785,'Catalog'!$A:$A,0)),$B2785))</f>
        <v>322B XXL</v>
      </c>
      <c r="I2785" s="8" t="str">
        <f aca="false">IF($G2785="","Unmatched","Matched")</f>
        <v>Unmatched</v>
      </c>
      <c r="J2785" s="8" t="str">
        <f aca="false">IF($G2785&lt;&gt;"",$G2785,$B2785)</f>
        <v>322B XXL</v>
      </c>
      <c r="K2785" s="8" t="str">
        <f aca="false">IF(COUNTIF($M$1:$M$10,$A2785)&gt;0,"Y","N")</f>
        <v>Y</v>
      </c>
    </row>
    <row r="2786" customFormat="false" ht="15" hidden="false" customHeight="true" outlineLevel="0" collapsed="false">
      <c r="A2786" s="8" t="s">
        <v>49</v>
      </c>
      <c r="B2786" s="8" t="s">
        <v>207</v>
      </c>
      <c r="C2786" s="19" t="n">
        <v>2</v>
      </c>
      <c r="D2786" s="19" t="n">
        <v>445.6</v>
      </c>
      <c r="E2786" s="19" t="n">
        <v>0</v>
      </c>
      <c r="F2786" s="19" t="n">
        <v>0</v>
      </c>
      <c r="G2786" s="8" t="str">
        <f aca="false">IFERROR(INDEX('TRANS'!$B:$B,MATCH($B2786,'TRANS'!$A:$A,0)),IFERROR(INDEX('TRANS'!$B:$B,MATCH(TRIM(SUBSTITUTE($B2786,CHAR(160)," ")),'TRANS'!$D:$D,0)),IFERROR(INDEX('Catalog'!$A:$A,MATCH($B2786,'Catalog'!$B:$B,0)),IFERROR(INDEX('Catalog'!$A:$A,MATCH(TRIM(SUBSTITUTE($B2786,CHAR(160)," ")),'Catalog'!$C:$C,0)),""))))</f>
        <v/>
      </c>
      <c r="H2786" s="8" t="str">
        <f aca="false">IFERROR(INDEX('TRANS'!$C:$C,MATCH($B2786,'TRANS'!$A:$A,0)),IFERROR(INDEX('Catalog'!$B:$B,MATCH($G2786,'Catalog'!$A:$A,0)),$B2786))</f>
        <v>332B L</v>
      </c>
      <c r="I2786" s="8" t="str">
        <f aca="false">IF($G2786="","Unmatched","Matched")</f>
        <v>Unmatched</v>
      </c>
      <c r="J2786" s="8" t="str">
        <f aca="false">IF($G2786&lt;&gt;"",$G2786,$B2786)</f>
        <v>332B L</v>
      </c>
      <c r="K2786" s="8" t="str">
        <f aca="false">IF(COUNTIF($M$1:$M$10,$A2786)&gt;0,"Y","N")</f>
        <v>Y</v>
      </c>
    </row>
    <row r="2787" customFormat="false" ht="15" hidden="false" customHeight="true" outlineLevel="0" collapsed="false">
      <c r="A2787" s="8" t="s">
        <v>49</v>
      </c>
      <c r="B2787" s="8" t="s">
        <v>277</v>
      </c>
      <c r="C2787" s="19" t="n">
        <v>5</v>
      </c>
      <c r="D2787" s="19" t="n">
        <v>1114</v>
      </c>
      <c r="E2787" s="19" t="n">
        <v>0</v>
      </c>
      <c r="F2787" s="19" t="n">
        <v>0</v>
      </c>
      <c r="G2787" s="8" t="str">
        <f aca="false">IFERROR(INDEX('TRANS'!$B:$B,MATCH($B2787,'TRANS'!$A:$A,0)),IFERROR(INDEX('TRANS'!$B:$B,MATCH(TRIM(SUBSTITUTE($B2787,CHAR(160)," ")),'TRANS'!$D:$D,0)),IFERROR(INDEX('Catalog'!$A:$A,MATCH($B2787,'Catalog'!$B:$B,0)),IFERROR(INDEX('Catalog'!$A:$A,MATCH(TRIM(SUBSTITUTE($B2787,CHAR(160)," ")),'Catalog'!$C:$C,0)),""))))</f>
        <v/>
      </c>
      <c r="H2787" s="8" t="str">
        <f aca="false">IFERROR(INDEX('TRANS'!$C:$C,MATCH($B2787,'TRANS'!$A:$A,0)),IFERROR(INDEX('Catalog'!$B:$B,MATCH($G2787,'Catalog'!$A:$A,0)),$B2787))</f>
        <v>332B M</v>
      </c>
      <c r="I2787" s="8" t="str">
        <f aca="false">IF($G2787="","Unmatched","Matched")</f>
        <v>Unmatched</v>
      </c>
      <c r="J2787" s="8" t="str">
        <f aca="false">IF($G2787&lt;&gt;"",$G2787,$B2787)</f>
        <v>332B M</v>
      </c>
      <c r="K2787" s="8" t="str">
        <f aca="false">IF(COUNTIF($M$1:$M$10,$A2787)&gt;0,"Y","N")</f>
        <v>Y</v>
      </c>
    </row>
    <row r="2788" customFormat="false" ht="15" hidden="false" customHeight="true" outlineLevel="0" collapsed="false">
      <c r="A2788" s="8" t="s">
        <v>49</v>
      </c>
      <c r="B2788" s="8" t="s">
        <v>251</v>
      </c>
      <c r="C2788" s="19" t="n">
        <v>1</v>
      </c>
      <c r="D2788" s="19" t="n">
        <v>231.2</v>
      </c>
      <c r="E2788" s="19" t="n">
        <v>1</v>
      </c>
      <c r="F2788" s="19" t="n">
        <v>222.8</v>
      </c>
      <c r="G2788" s="8" t="str">
        <f aca="false">IFERROR(INDEX('TRANS'!$B:$B,MATCH($B2788,'TRANS'!$A:$A,0)),IFERROR(INDEX('TRANS'!$B:$B,MATCH(TRIM(SUBSTITUTE($B2788,CHAR(160)," ")),'TRANS'!$D:$D,0)),IFERROR(INDEX('Catalog'!$A:$A,MATCH($B2788,'Catalog'!$B:$B,0)),IFERROR(INDEX('Catalog'!$A:$A,MATCH(TRIM(SUBSTITUTE($B2788,CHAR(160)," ")),'Catalog'!$C:$C,0)),""))))</f>
        <v/>
      </c>
      <c r="H2788" s="8" t="str">
        <f aca="false">IFERROR(INDEX('TRANS'!$C:$C,MATCH($B2788,'TRANS'!$A:$A,0)),IFERROR(INDEX('Catalog'!$B:$B,MATCH($G2788,'Catalog'!$A:$A,0)),$B2788))</f>
        <v>332B S</v>
      </c>
      <c r="I2788" s="8" t="str">
        <f aca="false">IF($G2788="","Unmatched","Matched")</f>
        <v>Unmatched</v>
      </c>
      <c r="J2788" s="8" t="str">
        <f aca="false">IF($G2788&lt;&gt;"",$G2788,$B2788)</f>
        <v>332B S</v>
      </c>
      <c r="K2788" s="8" t="str">
        <f aca="false">IF(COUNTIF($M$1:$M$10,$A2788)&gt;0,"Y","N")</f>
        <v>Y</v>
      </c>
    </row>
    <row r="2789" customFormat="false" ht="15" hidden="false" customHeight="true" outlineLevel="0" collapsed="false">
      <c r="A2789" s="8" t="s">
        <v>49</v>
      </c>
      <c r="B2789" s="8" t="s">
        <v>192</v>
      </c>
      <c r="C2789" s="19" t="n">
        <v>2</v>
      </c>
      <c r="D2789" s="19" t="n">
        <v>445.6</v>
      </c>
      <c r="E2789" s="19" t="n">
        <v>1</v>
      </c>
      <c r="F2789" s="19" t="n">
        <v>222.8</v>
      </c>
      <c r="G2789" s="8" t="str">
        <f aca="false">IFERROR(INDEX('TRANS'!$B:$B,MATCH($B2789,'TRANS'!$A:$A,0)),IFERROR(INDEX('TRANS'!$B:$B,MATCH(TRIM(SUBSTITUTE($B2789,CHAR(160)," ")),'TRANS'!$D:$D,0)),IFERROR(INDEX('Catalog'!$A:$A,MATCH($B2789,'Catalog'!$B:$B,0)),IFERROR(INDEX('Catalog'!$A:$A,MATCH(TRIM(SUBSTITUTE($B2789,CHAR(160)," ")),'Catalog'!$C:$C,0)),""))))</f>
        <v/>
      </c>
      <c r="H2789" s="8" t="str">
        <f aca="false">IFERROR(INDEX('TRANS'!$C:$C,MATCH($B2789,'TRANS'!$A:$A,0)),IFERROR(INDEX('Catalog'!$B:$B,MATCH($G2789,'Catalog'!$A:$A,0)),$B2789))</f>
        <v>332B XL</v>
      </c>
      <c r="I2789" s="8" t="str">
        <f aca="false">IF($G2789="","Unmatched","Matched")</f>
        <v>Unmatched</v>
      </c>
      <c r="J2789" s="8" t="str">
        <f aca="false">IF($G2789&lt;&gt;"",$G2789,$B2789)</f>
        <v>332B XL</v>
      </c>
      <c r="K2789" s="8" t="str">
        <f aca="false">IF(COUNTIF($M$1:$M$10,$A2789)&gt;0,"Y","N")</f>
        <v>Y</v>
      </c>
    </row>
    <row r="2790" customFormat="false" ht="15" hidden="false" customHeight="true" outlineLevel="0" collapsed="false">
      <c r="A2790" s="8" t="s">
        <v>49</v>
      </c>
      <c r="B2790" s="8" t="s">
        <v>278</v>
      </c>
      <c r="C2790" s="19" t="n">
        <v>0</v>
      </c>
      <c r="D2790" s="19" t="n">
        <v>0</v>
      </c>
      <c r="E2790" s="19" t="n">
        <v>1</v>
      </c>
      <c r="F2790" s="19" t="n">
        <v>222.8</v>
      </c>
      <c r="G2790" s="8" t="str">
        <f aca="false">IFERROR(INDEX('TRANS'!$B:$B,MATCH($B2790,'TRANS'!$A:$A,0)),IFERROR(INDEX('TRANS'!$B:$B,MATCH(TRIM(SUBSTITUTE($B2790,CHAR(160)," ")),'TRANS'!$D:$D,0)),IFERROR(INDEX('Catalog'!$A:$A,MATCH($B2790,'Catalog'!$B:$B,0)),IFERROR(INDEX('Catalog'!$A:$A,MATCH(TRIM(SUBSTITUTE($B2790,CHAR(160)," ")),'Catalog'!$C:$C,0)),""))))</f>
        <v/>
      </c>
      <c r="H2790" s="8" t="str">
        <f aca="false">IFERROR(INDEX('TRANS'!$C:$C,MATCH($B2790,'TRANS'!$A:$A,0)),IFERROR(INDEX('Catalog'!$B:$B,MATCH($G2790,'Catalog'!$A:$A,0)),$B2790))</f>
        <v>332B XXL</v>
      </c>
      <c r="I2790" s="8" t="str">
        <f aca="false">IF($G2790="","Unmatched","Matched")</f>
        <v>Unmatched</v>
      </c>
      <c r="J2790" s="8" t="str">
        <f aca="false">IF($G2790&lt;&gt;"",$G2790,$B2790)</f>
        <v>332B XXL</v>
      </c>
      <c r="K2790" s="8" t="str">
        <f aca="false">IF(COUNTIF($M$1:$M$10,$A2790)&gt;0,"Y","N")</f>
        <v>Y</v>
      </c>
    </row>
    <row r="2791" customFormat="false" ht="15" hidden="false" customHeight="true" outlineLevel="0" collapsed="false">
      <c r="A2791" s="8" t="s">
        <v>49</v>
      </c>
      <c r="B2791" s="8" t="s">
        <v>615</v>
      </c>
      <c r="C2791" s="19" t="n">
        <v>1</v>
      </c>
      <c r="D2791" s="19" t="n">
        <v>55.85</v>
      </c>
      <c r="E2791" s="19" t="n">
        <v>0</v>
      </c>
      <c r="F2791" s="19" t="n">
        <v>0</v>
      </c>
      <c r="G2791" s="8" t="n">
        <f aca="false">IFERROR(INDEX('TRANS'!$B:$B,MATCH($B2791,'TRANS'!$A:$A,0)),IFERROR(INDEX('TRANS'!$B:$B,MATCH(TRIM(SUBSTITUTE($B2791,CHAR(160)," ")),'TRANS'!$D:$D,0)),IFERROR(INDEX('Catalog'!$A:$A,MATCH($B2791,'Catalog'!$B:$B,0)),IFERROR(INDEX('Catalog'!$A:$A,MATCH(TRIM(SUBSTITUTE($B2791,CHAR(160)," ")),'Catalog'!$C:$C,0)),""))))</f>
        <v>4413490</v>
      </c>
      <c r="H2791" s="8" t="str">
        <f aca="false">IFERROR(INDEX('TRANS'!$C:$C,MATCH($B2791,'TRANS'!$A:$A,0)),IFERROR(INDEX('Catalog'!$B:$B,MATCH($G2791,'Catalog'!$A:$A,0)),$B2791))</f>
        <v>35B L מגן קרסול שחור</v>
      </c>
      <c r="I2791" s="8" t="str">
        <f aca="false">IF($G2791="","Unmatched","Matched")</f>
        <v>Matched</v>
      </c>
      <c r="J2791" s="8" t="n">
        <f aca="false">IF($G2791&lt;&gt;"",$G2791,$B2791)</f>
        <v>4413490</v>
      </c>
      <c r="K2791" s="8" t="str">
        <f aca="false">IF(COUNTIF($M$1:$M$10,$A2791)&gt;0,"Y","N")</f>
        <v>Y</v>
      </c>
    </row>
    <row r="2792" customFormat="false" ht="15" hidden="false" customHeight="true" outlineLevel="0" collapsed="false">
      <c r="A2792" s="8" t="s">
        <v>49</v>
      </c>
      <c r="B2792" s="8" t="s">
        <v>616</v>
      </c>
      <c r="C2792" s="19" t="n">
        <v>5</v>
      </c>
      <c r="D2792" s="19" t="n">
        <v>277.55</v>
      </c>
      <c r="E2792" s="19" t="n">
        <v>0</v>
      </c>
      <c r="F2792" s="19" t="n">
        <v>0</v>
      </c>
      <c r="G2792" s="8" t="n">
        <f aca="false">IFERROR(INDEX('TRANS'!$B:$B,MATCH($B2792,'TRANS'!$A:$A,0)),IFERROR(INDEX('TRANS'!$B:$B,MATCH(TRIM(SUBSTITUTE($B2792,CHAR(160)," ")),'TRANS'!$D:$D,0)),IFERROR(INDEX('Catalog'!$A:$A,MATCH($B2792,'Catalog'!$B:$B,0)),IFERROR(INDEX('Catalog'!$A:$A,MATCH(TRIM(SUBSTITUTE($B2792,CHAR(160)," ")),'Catalog'!$C:$C,0)),""))))</f>
        <v>4413492</v>
      </c>
      <c r="H2792" s="8" t="str">
        <f aca="false">IFERROR(INDEX('TRANS'!$C:$C,MATCH($B2792,'TRANS'!$A:$A,0)),IFERROR(INDEX('Catalog'!$B:$B,MATCH($G2792,'Catalog'!$A:$A,0)),$B2792))</f>
        <v>35B M מגן קרסול שחור</v>
      </c>
      <c r="I2792" s="8" t="str">
        <f aca="false">IF($G2792="","Unmatched","Matched")</f>
        <v>Matched</v>
      </c>
      <c r="J2792" s="8" t="n">
        <f aca="false">IF($G2792&lt;&gt;"",$G2792,$B2792)</f>
        <v>4413492</v>
      </c>
      <c r="K2792" s="8" t="str">
        <f aca="false">IF(COUNTIF($M$1:$M$10,$A2792)&gt;0,"Y","N")</f>
        <v>Y</v>
      </c>
    </row>
    <row r="2793" customFormat="false" ht="15" hidden="false" customHeight="true" outlineLevel="0" collapsed="false">
      <c r="A2793" s="8" t="s">
        <v>49</v>
      </c>
      <c r="B2793" s="8" t="s">
        <v>617</v>
      </c>
      <c r="C2793" s="19" t="n">
        <v>1</v>
      </c>
      <c r="D2793" s="19" t="n">
        <v>55.85</v>
      </c>
      <c r="E2793" s="19" t="n">
        <v>0</v>
      </c>
      <c r="F2793" s="19" t="n">
        <v>0</v>
      </c>
      <c r="G2793" s="8" t="n">
        <f aca="false">IFERROR(INDEX('TRANS'!$B:$B,MATCH($B2793,'TRANS'!$A:$A,0)),IFERROR(INDEX('TRANS'!$B:$B,MATCH(TRIM(SUBSTITUTE($B2793,CHAR(160)," ")),'TRANS'!$D:$D,0)),IFERROR(INDEX('Catalog'!$A:$A,MATCH($B2793,'Catalog'!$B:$B,0)),IFERROR(INDEX('Catalog'!$A:$A,MATCH(TRIM(SUBSTITUTE($B2793,CHAR(160)," ")),'Catalog'!$C:$C,0)),""))))</f>
        <v>4413493</v>
      </c>
      <c r="H2793" s="8" t="str">
        <f aca="false">IFERROR(INDEX('TRANS'!$C:$C,MATCH($B2793,'TRANS'!$A:$A,0)),IFERROR(INDEX('Catalog'!$B:$B,MATCH($G2793,'Catalog'!$A:$A,0)),$B2793))</f>
        <v>35B S מגן קרסול שחור</v>
      </c>
      <c r="I2793" s="8" t="str">
        <f aca="false">IF($G2793="","Unmatched","Matched")</f>
        <v>Matched</v>
      </c>
      <c r="J2793" s="8" t="n">
        <f aca="false">IF($G2793&lt;&gt;"",$G2793,$B2793)</f>
        <v>4413493</v>
      </c>
      <c r="K2793" s="8" t="str">
        <f aca="false">IF(COUNTIF($M$1:$M$10,$A2793)&gt;0,"Y","N")</f>
        <v>Y</v>
      </c>
    </row>
    <row r="2794" customFormat="false" ht="15" hidden="false" customHeight="true" outlineLevel="0" collapsed="false">
      <c r="A2794" s="8" t="s">
        <v>49</v>
      </c>
      <c r="B2794" s="8" t="s">
        <v>618</v>
      </c>
      <c r="C2794" s="19" t="n">
        <v>4</v>
      </c>
      <c r="D2794" s="19" t="n">
        <v>223.4</v>
      </c>
      <c r="E2794" s="19" t="n">
        <v>1</v>
      </c>
      <c r="F2794" s="19" t="n">
        <v>55.85</v>
      </c>
      <c r="G2794" s="8" t="n">
        <f aca="false">IFERROR(INDEX('TRANS'!$B:$B,MATCH($B2794,'TRANS'!$A:$A,0)),IFERROR(INDEX('TRANS'!$B:$B,MATCH(TRIM(SUBSTITUTE($B2794,CHAR(160)," ")),'TRANS'!$D:$D,0)),IFERROR(INDEX('Catalog'!$A:$A,MATCH($B2794,'Catalog'!$B:$B,0)),IFERROR(INDEX('Catalog'!$A:$A,MATCH(TRIM(SUBSTITUTE($B2794,CHAR(160)," ")),'Catalog'!$C:$C,0)),""))))</f>
        <v>4413491</v>
      </c>
      <c r="H2794" s="8" t="str">
        <f aca="false">IFERROR(INDEX('TRANS'!$C:$C,MATCH($B2794,'TRANS'!$A:$A,0)),IFERROR(INDEX('Catalog'!$B:$B,MATCH($G2794,'Catalog'!$A:$A,0)),$B2794))</f>
        <v>35B XL מגן קרסול שחור</v>
      </c>
      <c r="I2794" s="8" t="str">
        <f aca="false">IF($G2794="","Unmatched","Matched")</f>
        <v>Matched</v>
      </c>
      <c r="J2794" s="8" t="n">
        <f aca="false">IF($G2794&lt;&gt;"",$G2794,$B2794)</f>
        <v>4413491</v>
      </c>
      <c r="K2794" s="8" t="str">
        <f aca="false">IF(COUNTIF($M$1:$M$10,$A2794)&gt;0,"Y","N")</f>
        <v>Y</v>
      </c>
    </row>
    <row r="2795" customFormat="false" ht="15" hidden="false" customHeight="true" outlineLevel="0" collapsed="false">
      <c r="A2795" s="8" t="s">
        <v>49</v>
      </c>
      <c r="B2795" s="8" t="s">
        <v>619</v>
      </c>
      <c r="C2795" s="19" t="n">
        <v>0</v>
      </c>
      <c r="D2795" s="19" t="n">
        <v>0</v>
      </c>
      <c r="E2795" s="19" t="n">
        <v>1</v>
      </c>
      <c r="F2795" s="19" t="n">
        <v>55.85</v>
      </c>
      <c r="G2795" s="8" t="n">
        <f aca="false">IFERROR(INDEX('TRANS'!$B:$B,MATCH($B2795,'TRANS'!$A:$A,0)),IFERROR(INDEX('TRANS'!$B:$B,MATCH(TRIM(SUBSTITUTE($B2795,CHAR(160)," ")),'TRANS'!$D:$D,0)),IFERROR(INDEX('Catalog'!$A:$A,MATCH($B2795,'Catalog'!$B:$B,0)),IFERROR(INDEX('Catalog'!$A:$A,MATCH(TRIM(SUBSTITUTE($B2795,CHAR(160)," ")),'Catalog'!$C:$C,0)),""))))</f>
        <v>4413494</v>
      </c>
      <c r="H2795" s="8" t="str">
        <f aca="false">IFERROR(INDEX('TRANS'!$C:$C,MATCH($B2795,'TRANS'!$A:$A,0)),IFERROR(INDEX('Catalog'!$B:$B,MATCH($G2795,'Catalog'!$A:$A,0)),$B2795))</f>
        <v>35B XXL מגן קרסול שחור</v>
      </c>
      <c r="I2795" s="8" t="str">
        <f aca="false">IF($G2795="","Unmatched","Matched")</f>
        <v>Matched</v>
      </c>
      <c r="J2795" s="8" t="n">
        <f aca="false">IF($G2795&lt;&gt;"",$G2795,$B2795)</f>
        <v>4413494</v>
      </c>
      <c r="K2795" s="8" t="str">
        <f aca="false">IF(COUNTIF($M$1:$M$10,$A2795)&gt;0,"Y","N")</f>
        <v>Y</v>
      </c>
    </row>
    <row r="2796" customFormat="false" ht="15" hidden="false" customHeight="true" outlineLevel="0" collapsed="false">
      <c r="A2796" s="8" t="s">
        <v>49</v>
      </c>
      <c r="B2796" s="8" t="s">
        <v>671</v>
      </c>
      <c r="C2796" s="19" t="n">
        <v>10</v>
      </c>
      <c r="D2796" s="19" t="n">
        <v>1711</v>
      </c>
      <c r="E2796" s="19" t="n">
        <v>9</v>
      </c>
      <c r="F2796" s="19" t="n">
        <v>1539.9</v>
      </c>
      <c r="G2796" s="8" t="n">
        <f aca="false">IFERROR(INDEX('TRANS'!$B:$B,MATCH($B2796,'TRANS'!$A:$A,0)),IFERROR(INDEX('TRANS'!$B:$B,MATCH(TRIM(SUBSTITUTE($B2796,CHAR(160)," ")),'TRANS'!$D:$D,0)),IFERROR(INDEX('Catalog'!$A:$A,MATCH($B2796,'Catalog'!$B:$B,0)),IFERROR(INDEX('Catalog'!$A:$A,MATCH(TRIM(SUBSTITUTE($B2796,CHAR(160)," ")),'Catalog'!$C:$C,0)),""))))</f>
        <v>4420017</v>
      </c>
      <c r="H2796" s="8" t="str">
        <f aca="false">IFERROR(INDEX('TRANS'!$C:$C,MATCH($B2796,'TRANS'!$A:$A,0)),IFERROR(INDEX('Catalog'!$B:$B,MATCH($G2796,'Catalog'!$A:$A,0)),$B2796))</f>
        <v>4022 רצועת """"פיקה""""+כרית</v>
      </c>
      <c r="I2796" s="8" t="str">
        <f aca="false">IF($G2796="","Unmatched","Matched")</f>
        <v>Matched</v>
      </c>
      <c r="J2796" s="8" t="n">
        <f aca="false">IF($G2796&lt;&gt;"",$G2796,$B2796)</f>
        <v>4420017</v>
      </c>
      <c r="K2796" s="8" t="str">
        <f aca="false">IF(COUNTIF($M$1:$M$10,$A2796)&gt;0,"Y","N")</f>
        <v>Y</v>
      </c>
    </row>
    <row r="2797" customFormat="false" ht="15" hidden="false" customHeight="true" outlineLevel="0" collapsed="false">
      <c r="A2797" s="8" t="s">
        <v>49</v>
      </c>
      <c r="B2797" s="8" t="s">
        <v>673</v>
      </c>
      <c r="C2797" s="19" t="n">
        <v>1</v>
      </c>
      <c r="D2797" s="19" t="n">
        <v>54.15</v>
      </c>
      <c r="E2797" s="19" t="n">
        <v>0</v>
      </c>
      <c r="F2797" s="19" t="n">
        <v>0</v>
      </c>
      <c r="G2797" s="8" t="n">
        <f aca="false">IFERROR(INDEX('TRANS'!$B:$B,MATCH($B2797,'TRANS'!$A:$A,0)),IFERROR(INDEX('TRANS'!$B:$B,MATCH(TRIM(SUBSTITUTE($B2797,CHAR(160)," ")),'TRANS'!$D:$D,0)),IFERROR(INDEX('Catalog'!$A:$A,MATCH($B2797,'Catalog'!$B:$B,0)),IFERROR(INDEX('Catalog'!$A:$A,MATCH(TRIM(SUBSTITUTE($B2797,CHAR(160)," ")),'Catalog'!$C:$C,0)),""))))</f>
        <v>4413094</v>
      </c>
      <c r="H2797" s="8" t="str">
        <f aca="false">IFERROR(INDEX('TRANS'!$C:$C,MATCH($B2797,'TRANS'!$A:$A,0)),IFERROR(INDEX('Catalog'!$B:$B,MATCH($G2797,'Catalog'!$A:$A,0)),$B2797))</f>
        <v>45 S מגן ברך לבן</v>
      </c>
      <c r="I2797" s="8" t="str">
        <f aca="false">IF($G2797="","Unmatched","Matched")</f>
        <v>Matched</v>
      </c>
      <c r="J2797" s="8" t="n">
        <f aca="false">IF($G2797&lt;&gt;"",$G2797,$B2797)</f>
        <v>4413094</v>
      </c>
      <c r="K2797" s="8" t="str">
        <f aca="false">IF(COUNTIF($M$1:$M$10,$A2797)&gt;0,"Y","N")</f>
        <v>Y</v>
      </c>
    </row>
    <row r="2798" customFormat="false" ht="15" hidden="false" customHeight="true" outlineLevel="0" collapsed="false">
      <c r="A2798" s="8" t="s">
        <v>49</v>
      </c>
      <c r="B2798" s="8" t="s">
        <v>675</v>
      </c>
      <c r="C2798" s="19" t="n">
        <v>6</v>
      </c>
      <c r="D2798" s="19" t="n">
        <v>335.1</v>
      </c>
      <c r="E2798" s="19" t="n">
        <v>3</v>
      </c>
      <c r="F2798" s="19" t="n">
        <v>167.55</v>
      </c>
      <c r="G2798" s="8" t="n">
        <f aca="false">IFERROR(INDEX('TRANS'!$B:$B,MATCH($B2798,'TRANS'!$A:$A,0)),IFERROR(INDEX('TRANS'!$B:$B,MATCH(TRIM(SUBSTITUTE($B2798,CHAR(160)," ")),'TRANS'!$D:$D,0)),IFERROR(INDEX('Catalog'!$A:$A,MATCH($B2798,'Catalog'!$B:$B,0)),IFERROR(INDEX('Catalog'!$A:$A,MATCH(TRIM(SUBSTITUTE($B2798,CHAR(160)," ")),'Catalog'!$C:$C,0)),""))))</f>
        <v>4413495</v>
      </c>
      <c r="H2798" s="8" t="str">
        <f aca="false">IFERROR(INDEX('TRANS'!$C:$C,MATCH($B2798,'TRANS'!$A:$A,0)),IFERROR(INDEX('Catalog'!$B:$B,MATCH($G2798,'Catalog'!$A:$A,0)),$B2798))</f>
        <v>45B L מגן ברך שחור</v>
      </c>
      <c r="I2798" s="8" t="str">
        <f aca="false">IF($G2798="","Unmatched","Matched")</f>
        <v>Matched</v>
      </c>
      <c r="J2798" s="8" t="n">
        <f aca="false">IF($G2798&lt;&gt;"",$G2798,$B2798)</f>
        <v>4413495</v>
      </c>
      <c r="K2798" s="8" t="str">
        <f aca="false">IF(COUNTIF($M$1:$M$10,$A2798)&gt;0,"Y","N")</f>
        <v>Y</v>
      </c>
    </row>
    <row r="2799" customFormat="false" ht="15" hidden="false" customHeight="true" outlineLevel="0" collapsed="false">
      <c r="A2799" s="8" t="s">
        <v>49</v>
      </c>
      <c r="B2799" s="8" t="s">
        <v>676</v>
      </c>
      <c r="C2799" s="19" t="n">
        <v>3</v>
      </c>
      <c r="D2799" s="19" t="n">
        <v>167.55</v>
      </c>
      <c r="E2799" s="19" t="n">
        <v>1</v>
      </c>
      <c r="F2799" s="19" t="n">
        <v>55.85</v>
      </c>
      <c r="G2799" s="8" t="n">
        <f aca="false">IFERROR(INDEX('TRANS'!$B:$B,MATCH($B2799,'TRANS'!$A:$A,0)),IFERROR(INDEX('TRANS'!$B:$B,MATCH(TRIM(SUBSTITUTE($B2799,CHAR(160)," ")),'TRANS'!$D:$D,0)),IFERROR(INDEX('Catalog'!$A:$A,MATCH($B2799,'Catalog'!$B:$B,0)),IFERROR(INDEX('Catalog'!$A:$A,MATCH(TRIM(SUBSTITUTE($B2799,CHAR(160)," ")),'Catalog'!$C:$C,0)),""))))</f>
        <v>4413497</v>
      </c>
      <c r="H2799" s="8" t="str">
        <f aca="false">IFERROR(INDEX('TRANS'!$C:$C,MATCH($B2799,'TRANS'!$A:$A,0)),IFERROR(INDEX('Catalog'!$B:$B,MATCH($G2799,'Catalog'!$A:$A,0)),$B2799))</f>
        <v>45B M מגן ברך שחור</v>
      </c>
      <c r="I2799" s="8" t="str">
        <f aca="false">IF($G2799="","Unmatched","Matched")</f>
        <v>Matched</v>
      </c>
      <c r="J2799" s="8" t="n">
        <f aca="false">IF($G2799&lt;&gt;"",$G2799,$B2799)</f>
        <v>4413497</v>
      </c>
      <c r="K2799" s="8" t="str">
        <f aca="false">IF(COUNTIF($M$1:$M$10,$A2799)&gt;0,"Y","N")</f>
        <v>Y</v>
      </c>
    </row>
    <row r="2800" customFormat="false" ht="15" hidden="false" customHeight="true" outlineLevel="0" collapsed="false">
      <c r="A2800" s="8" t="s">
        <v>49</v>
      </c>
      <c r="B2800" s="8" t="s">
        <v>801</v>
      </c>
      <c r="C2800" s="19" t="n">
        <v>2</v>
      </c>
      <c r="D2800" s="19" t="n">
        <v>111.7</v>
      </c>
      <c r="E2800" s="19" t="n">
        <v>0</v>
      </c>
      <c r="F2800" s="19" t="n">
        <v>0</v>
      </c>
      <c r="G2800" s="8" t="n">
        <f aca="false">IFERROR(INDEX('TRANS'!$B:$B,MATCH($B2800,'TRANS'!$A:$A,0)),IFERROR(INDEX('TRANS'!$B:$B,MATCH(TRIM(SUBSTITUTE($B2800,CHAR(160)," ")),'TRANS'!$D:$D,0)),IFERROR(INDEX('Catalog'!$A:$A,MATCH($B2800,'Catalog'!$B:$B,0)),IFERROR(INDEX('Catalog'!$A:$A,MATCH(TRIM(SUBSTITUTE($B2800,CHAR(160)," ")),'Catalog'!$C:$C,0)),""))))</f>
        <v>4413498</v>
      </c>
      <c r="H2800" s="8" t="str">
        <f aca="false">IFERROR(INDEX('TRANS'!$C:$C,MATCH($B2800,'TRANS'!$A:$A,0)),IFERROR(INDEX('Catalog'!$B:$B,MATCH($G2800,'Catalog'!$A:$A,0)),$B2800))</f>
        <v>45B S מגן ברך שחור</v>
      </c>
      <c r="I2800" s="8" t="str">
        <f aca="false">IF($G2800="","Unmatched","Matched")</f>
        <v>Matched</v>
      </c>
      <c r="J2800" s="8" t="n">
        <f aca="false">IF($G2800&lt;&gt;"",$G2800,$B2800)</f>
        <v>4413498</v>
      </c>
      <c r="K2800" s="8" t="str">
        <f aca="false">IF(COUNTIF($M$1:$M$10,$A2800)&gt;0,"Y","N")</f>
        <v>Y</v>
      </c>
    </row>
    <row r="2801" customFormat="false" ht="15" hidden="false" customHeight="true" outlineLevel="0" collapsed="false">
      <c r="A2801" s="8" t="s">
        <v>49</v>
      </c>
      <c r="B2801" s="8" t="s">
        <v>802</v>
      </c>
      <c r="C2801" s="19" t="n">
        <v>8</v>
      </c>
      <c r="D2801" s="19" t="n">
        <v>443.4</v>
      </c>
      <c r="E2801" s="19" t="n">
        <v>2</v>
      </c>
      <c r="F2801" s="19" t="n">
        <v>111.7</v>
      </c>
      <c r="G2801" s="8" t="n">
        <f aca="false">IFERROR(INDEX('TRANS'!$B:$B,MATCH($B2801,'TRANS'!$A:$A,0)),IFERROR(INDEX('TRANS'!$B:$B,MATCH(TRIM(SUBSTITUTE($B2801,CHAR(160)," ")),'TRANS'!$D:$D,0)),IFERROR(INDEX('Catalog'!$A:$A,MATCH($B2801,'Catalog'!$B:$B,0)),IFERROR(INDEX('Catalog'!$A:$A,MATCH(TRIM(SUBSTITUTE($B2801,CHAR(160)," ")),'Catalog'!$C:$C,0)),""))))</f>
        <v>4413496</v>
      </c>
      <c r="H2801" s="8" t="str">
        <f aca="false">IFERROR(INDEX('TRANS'!$C:$C,MATCH($B2801,'TRANS'!$A:$A,0)),IFERROR(INDEX('Catalog'!$B:$B,MATCH($G2801,'Catalog'!$A:$A,0)),$B2801))</f>
        <v>45B XL מגן ברך שחור</v>
      </c>
      <c r="I2801" s="8" t="str">
        <f aca="false">IF($G2801="","Unmatched","Matched")</f>
        <v>Matched</v>
      </c>
      <c r="J2801" s="8" t="n">
        <f aca="false">IF($G2801&lt;&gt;"",$G2801,$B2801)</f>
        <v>4413496</v>
      </c>
      <c r="K2801" s="8" t="str">
        <f aca="false">IF(COUNTIF($M$1:$M$10,$A2801)&gt;0,"Y","N")</f>
        <v>Y</v>
      </c>
    </row>
    <row r="2802" customFormat="false" ht="15" hidden="false" customHeight="true" outlineLevel="0" collapsed="false">
      <c r="A2802" s="8" t="s">
        <v>49</v>
      </c>
      <c r="B2802" s="8" t="s">
        <v>803</v>
      </c>
      <c r="C2802" s="19" t="n">
        <v>8</v>
      </c>
      <c r="D2802" s="19" t="n">
        <v>443.45</v>
      </c>
      <c r="E2802" s="19" t="n">
        <v>2</v>
      </c>
      <c r="F2802" s="19" t="n">
        <v>111.7</v>
      </c>
      <c r="G2802" s="8" t="n">
        <f aca="false">IFERROR(INDEX('TRANS'!$B:$B,MATCH($B2802,'TRANS'!$A:$A,0)),IFERROR(INDEX('TRANS'!$B:$B,MATCH(TRIM(SUBSTITUTE($B2802,CHAR(160)," ")),'TRANS'!$D:$D,0)),IFERROR(INDEX('Catalog'!$A:$A,MATCH($B2802,'Catalog'!$B:$B,0)),IFERROR(INDEX('Catalog'!$A:$A,MATCH(TRIM(SUBSTITUTE($B2802,CHAR(160)," ")),'Catalog'!$C:$C,0)),""))))</f>
        <v>4413499</v>
      </c>
      <c r="H2802" s="8" t="str">
        <f aca="false">IFERROR(INDEX('TRANS'!$C:$C,MATCH($B2802,'TRANS'!$A:$A,0)),IFERROR(INDEX('Catalog'!$B:$B,MATCH($G2802,'Catalog'!$A:$A,0)),$B2802))</f>
        <v>45B XXLמגן ברך שחור</v>
      </c>
      <c r="I2802" s="8" t="str">
        <f aca="false">IF($G2802="","Unmatched","Matched")</f>
        <v>Matched</v>
      </c>
      <c r="J2802" s="8" t="n">
        <f aca="false">IF($G2802&lt;&gt;"",$G2802,$B2802)</f>
        <v>4413499</v>
      </c>
      <c r="K2802" s="8" t="str">
        <f aca="false">IF(COUNTIF($M$1:$M$10,$A2802)&gt;0,"Y","N")</f>
        <v>Y</v>
      </c>
    </row>
    <row r="2803" customFormat="false" ht="15" hidden="false" customHeight="true" outlineLevel="0" collapsed="false">
      <c r="A2803" s="8" t="s">
        <v>49</v>
      </c>
      <c r="B2803" s="8" t="s">
        <v>697</v>
      </c>
      <c r="C2803" s="19" t="n">
        <v>12</v>
      </c>
      <c r="D2803" s="19" t="n">
        <v>373.55</v>
      </c>
      <c r="E2803" s="19" t="n">
        <v>8</v>
      </c>
      <c r="F2803" s="19" t="n">
        <v>250.16</v>
      </c>
      <c r="G2803" s="8" t="n">
        <f aca="false">IFERROR(INDEX('TRANS'!$B:$B,MATCH($B2803,'TRANS'!$A:$A,0)),IFERROR(INDEX('TRANS'!$B:$B,MATCH(TRIM(SUBSTITUTE($B2803,CHAR(160)," ")),'TRANS'!$D:$D,0)),IFERROR(INDEX('Catalog'!$A:$A,MATCH($B2803,'Catalog'!$B:$B,0)),IFERROR(INDEX('Catalog'!$A:$A,MATCH(TRIM(SUBSTITUTE($B2803,CHAR(160)," ")),'Catalog'!$C:$C,0)),""))))</f>
        <v>4409011</v>
      </c>
      <c r="H2803" s="8" t="str">
        <f aca="false">IFERROR(INDEX('TRANS'!$C:$C,MATCH($B2803,'TRANS'!$A:$A,0)),IFERROR(INDEX('Catalog'!$B:$B,MATCH($G2803,'Catalog'!$A:$A,0)),$B2803))</f>
        <v>804AT-B      טייפ חבישה לספורט</v>
      </c>
      <c r="I2803" s="8" t="str">
        <f aca="false">IF($G2803="","Unmatched","Matched")</f>
        <v>Matched</v>
      </c>
      <c r="J2803" s="8" t="n">
        <f aca="false">IF($G2803&lt;&gt;"",$G2803,$B2803)</f>
        <v>4409011</v>
      </c>
      <c r="K2803" s="8" t="str">
        <f aca="false">IF(COUNTIF($M$1:$M$10,$A2803)&gt;0,"Y","N")</f>
        <v>Y</v>
      </c>
    </row>
    <row r="2804" customFormat="false" ht="15" hidden="false" customHeight="true" outlineLevel="0" collapsed="false">
      <c r="A2804" s="8" t="s">
        <v>49</v>
      </c>
      <c r="B2804" s="8" t="s">
        <v>698</v>
      </c>
      <c r="C2804" s="19" t="n">
        <v>13</v>
      </c>
      <c r="D2804" s="19" t="n">
        <v>401.41</v>
      </c>
      <c r="E2804" s="19" t="n">
        <v>7</v>
      </c>
      <c r="F2804" s="19" t="n">
        <v>218.89</v>
      </c>
      <c r="G2804" s="8" t="n">
        <f aca="false">IFERROR(INDEX('TRANS'!$B:$B,MATCH($B2804,'TRANS'!$A:$A,0)),IFERROR(INDEX('TRANS'!$B:$B,MATCH(TRIM(SUBSTITUTE($B2804,CHAR(160)," ")),'TRANS'!$D:$D,0)),IFERROR(INDEX('Catalog'!$A:$A,MATCH($B2804,'Catalog'!$B:$B,0)),IFERROR(INDEX('Catalog'!$A:$A,MATCH(TRIM(SUBSTITUTE($B2804,CHAR(160)," ")),'Catalog'!$C:$C,0)),""))))</f>
        <v>4409013</v>
      </c>
      <c r="H2804" s="8" t="str">
        <f aca="false">IFERROR(INDEX('TRANS'!$C:$C,MATCH($B2804,'TRANS'!$A:$A,0)),IFERROR(INDEX('Catalog'!$B:$B,MATCH($G2804,'Catalog'!$A:$A,0)),$B2804))</f>
        <v>804AT-BL     טייפ חבישה לספורט</v>
      </c>
      <c r="I2804" s="8" t="str">
        <f aca="false">IF($G2804="","Unmatched","Matched")</f>
        <v>Matched</v>
      </c>
      <c r="J2804" s="8" t="n">
        <f aca="false">IF($G2804&lt;&gt;"",$G2804,$B2804)</f>
        <v>4409013</v>
      </c>
      <c r="K2804" s="8" t="str">
        <f aca="false">IF(COUNTIF($M$1:$M$10,$A2804)&gt;0,"Y","N")</f>
        <v>Y</v>
      </c>
    </row>
    <row r="2805" customFormat="false" ht="15" hidden="false" customHeight="true" outlineLevel="0" collapsed="false">
      <c r="A2805" s="8" t="s">
        <v>49</v>
      </c>
      <c r="B2805" s="8" t="s">
        <v>699</v>
      </c>
      <c r="C2805" s="19" t="n">
        <v>6</v>
      </c>
      <c r="D2805" s="19" t="n">
        <v>186.85</v>
      </c>
      <c r="E2805" s="19" t="n">
        <v>6</v>
      </c>
      <c r="F2805" s="19" t="n">
        <v>187.62</v>
      </c>
      <c r="G2805" s="8" t="n">
        <f aca="false">IFERROR(INDEX('TRANS'!$B:$B,MATCH($B2805,'TRANS'!$A:$A,0)),IFERROR(INDEX('TRANS'!$B:$B,MATCH(TRIM(SUBSTITUTE($B2805,CHAR(160)," ")),'TRANS'!$D:$D,0)),IFERROR(INDEX('Catalog'!$A:$A,MATCH($B2805,'Catalog'!$B:$B,0)),IFERROR(INDEX('Catalog'!$A:$A,MATCH(TRIM(SUBSTITUTE($B2805,CHAR(160)," ")),'Catalog'!$C:$C,0)),""))))</f>
        <v>4409012</v>
      </c>
      <c r="H2805" s="8" t="str">
        <f aca="false">IFERROR(INDEX('TRANS'!$C:$C,MATCH($B2805,'TRANS'!$A:$A,0)),IFERROR(INDEX('Catalog'!$B:$B,MATCH($G2805,'Catalog'!$A:$A,0)),$B2805))</f>
        <v>804AT-C      טייפ חבישה לספורט</v>
      </c>
      <c r="I2805" s="8" t="str">
        <f aca="false">IF($G2805="","Unmatched","Matched")</f>
        <v>Matched</v>
      </c>
      <c r="J2805" s="8" t="n">
        <f aca="false">IF($G2805&lt;&gt;"",$G2805,$B2805)</f>
        <v>4409012</v>
      </c>
      <c r="K2805" s="8" t="str">
        <f aca="false">IF(COUNTIF($M$1:$M$10,$A2805)&gt;0,"Y","N")</f>
        <v>Y</v>
      </c>
    </row>
    <row r="2806" customFormat="false" ht="15" hidden="false" customHeight="true" outlineLevel="0" collapsed="false">
      <c r="A2806" s="8" t="s">
        <v>49</v>
      </c>
      <c r="B2806" s="8" t="s">
        <v>822</v>
      </c>
      <c r="C2806" s="19" t="n">
        <v>15</v>
      </c>
      <c r="D2806" s="19" t="n">
        <v>468.2</v>
      </c>
      <c r="E2806" s="19" t="n">
        <v>19</v>
      </c>
      <c r="F2806" s="19" t="n">
        <v>594.13</v>
      </c>
      <c r="G2806" s="8" t="n">
        <f aca="false">IFERROR(INDEX('TRANS'!$B:$B,MATCH($B2806,'TRANS'!$A:$A,0)),IFERROR(INDEX('TRANS'!$B:$B,MATCH(TRIM(SUBSTITUTE($B2806,CHAR(160)," ")),'TRANS'!$D:$D,0)),IFERROR(INDEX('Catalog'!$A:$A,MATCH($B2806,'Catalog'!$B:$B,0)),IFERROR(INDEX('Catalog'!$A:$A,MATCH(TRIM(SUBSTITUTE($B2806,CHAR(160)," ")),'Catalog'!$C:$C,0)),""))))</f>
        <v>4409010</v>
      </c>
      <c r="H2806" s="8" t="str">
        <f aca="false">IFERROR(INDEX('TRANS'!$C:$C,MATCH($B2806,'TRANS'!$A:$A,0)),IFERROR(INDEX('Catalog'!$B:$B,MATCH($G2806,'Catalog'!$A:$A,0)),$B2806))</f>
        <v>804AT-W      טייפ חבישה לספורט</v>
      </c>
      <c r="I2806" s="8" t="str">
        <f aca="false">IF($G2806="","Unmatched","Matched")</f>
        <v>Matched</v>
      </c>
      <c r="J2806" s="8" t="n">
        <f aca="false">IF($G2806&lt;&gt;"",$G2806,$B2806)</f>
        <v>4409010</v>
      </c>
      <c r="K2806" s="8" t="str">
        <f aca="false">IF(COUNTIF($M$1:$M$10,$A2806)&gt;0,"Y","N")</f>
        <v>Y</v>
      </c>
    </row>
    <row r="2807" customFormat="false" ht="15" hidden="false" customHeight="true" outlineLevel="0" collapsed="false">
      <c r="A2807" s="8" t="s">
        <v>49</v>
      </c>
      <c r="B2807" s="8" t="s">
        <v>700</v>
      </c>
      <c r="C2807" s="19" t="n">
        <v>14</v>
      </c>
      <c r="D2807" s="19" t="n">
        <v>417.43</v>
      </c>
      <c r="E2807" s="19" t="n">
        <v>1</v>
      </c>
      <c r="F2807" s="19" t="n">
        <v>31.27</v>
      </c>
      <c r="G2807" s="8" t="n">
        <f aca="false">IFERROR(INDEX('TRANS'!$B:$B,MATCH($B2807,'TRANS'!$A:$A,0)),IFERROR(INDEX('TRANS'!$B:$B,MATCH(TRIM(SUBSTITUTE($B2807,CHAR(160)," ")),'TRANS'!$D:$D,0)),IFERROR(INDEX('Catalog'!$A:$A,MATCH($B2807,'Catalog'!$B:$B,0)),IFERROR(INDEX('Catalog'!$A:$A,MATCH(TRIM(SUBSTITUTE($B2807,CHAR(160)," ")),'Catalog'!$C:$C,0)),""))))</f>
        <v>4401012</v>
      </c>
      <c r="H2807" s="8" t="str">
        <f aca="false">IFERROR(INDEX('TRANS'!$C:$C,MATCH($B2807,'TRANS'!$A:$A,0)),IFERROR(INDEX('Catalog'!$B:$B,MATCH($G2807,'Catalog'!$A:$A,0)),$B2807))</f>
        <v>805AT-B אתלטיק טייפ שחור 20מ""""מ</v>
      </c>
      <c r="I2807" s="8" t="str">
        <f aca="false">IF($G2807="","Unmatched","Matched")</f>
        <v>Matched</v>
      </c>
      <c r="J2807" s="8" t="n">
        <f aca="false">IF($G2807&lt;&gt;"",$G2807,$B2807)</f>
        <v>4401012</v>
      </c>
      <c r="K2807" s="8" t="str">
        <f aca="false">IF(COUNTIF($M$1:$M$10,$A2807)&gt;0,"Y","N")</f>
        <v>Y</v>
      </c>
    </row>
    <row r="2808" customFormat="false" ht="15" hidden="false" customHeight="true" outlineLevel="0" collapsed="false">
      <c r="A2808" s="8" t="s">
        <v>49</v>
      </c>
      <c r="B2808" s="8" t="s">
        <v>884</v>
      </c>
      <c r="C2808" s="19" t="n">
        <v>1</v>
      </c>
      <c r="D2808" s="19" t="n">
        <v>28.73</v>
      </c>
      <c r="E2808" s="19" t="n">
        <v>4</v>
      </c>
      <c r="F2808" s="19" t="n">
        <v>125.08</v>
      </c>
      <c r="G2808" s="8" t="n">
        <f aca="false">IFERROR(INDEX('TRANS'!$B:$B,MATCH($B2808,'TRANS'!$A:$A,0)),IFERROR(INDEX('TRANS'!$B:$B,MATCH(TRIM(SUBSTITUTE($B2808,CHAR(160)," ")),'TRANS'!$D:$D,0)),IFERROR(INDEX('Catalog'!$A:$A,MATCH($B2808,'Catalog'!$B:$B,0)),IFERROR(INDEX('Catalog'!$A:$A,MATCH(TRIM(SUBSTITUTE($B2808,CHAR(160)," ")),'Catalog'!$C:$C,0)),""))))</f>
        <v>4401013</v>
      </c>
      <c r="H2808" s="8" t="str">
        <f aca="false">IFERROR(INDEX('TRANS'!$C:$C,MATCH($B2808,'TRANS'!$A:$A,0)),IFERROR(INDEX('Catalog'!$B:$B,MATCH($G2808,'Catalog'!$A:$A,0)),$B2808))</f>
        <v>805AT-BLאתלטיק טייפ כחול 20מ""""מ</v>
      </c>
      <c r="I2808" s="8" t="str">
        <f aca="false">IF($G2808="","Unmatched","Matched")</f>
        <v>Matched</v>
      </c>
      <c r="J2808" s="8" t="n">
        <f aca="false">IF($G2808&lt;&gt;"",$G2808,$B2808)</f>
        <v>4401013</v>
      </c>
      <c r="K2808" s="8" t="str">
        <f aca="false">IF(COUNTIF($M$1:$M$10,$A2808)&gt;0,"Y","N")</f>
        <v>Y</v>
      </c>
    </row>
    <row r="2809" customFormat="false" ht="15" hidden="false" customHeight="true" outlineLevel="0" collapsed="false">
      <c r="A2809" s="8" t="s">
        <v>49</v>
      </c>
      <c r="B2809" s="8" t="s">
        <v>701</v>
      </c>
      <c r="C2809" s="19" t="n">
        <v>9</v>
      </c>
      <c r="D2809" s="19" t="n">
        <v>276.35</v>
      </c>
      <c r="E2809" s="19" t="n">
        <v>1</v>
      </c>
      <c r="F2809" s="19" t="n">
        <v>31.27</v>
      </c>
      <c r="G2809" s="8" t="n">
        <f aca="false">IFERROR(INDEX('TRANS'!$B:$B,MATCH($B2809,'TRANS'!$A:$A,0)),IFERROR(INDEX('TRANS'!$B:$B,MATCH(TRIM(SUBSTITUTE($B2809,CHAR(160)," ")),'TRANS'!$D:$D,0)),IFERROR(INDEX('Catalog'!$A:$A,MATCH($B2809,'Catalog'!$B:$B,0)),IFERROR(INDEX('Catalog'!$A:$A,MATCH(TRIM(SUBSTITUTE($B2809,CHAR(160)," ")),'Catalog'!$C:$C,0)),""))))</f>
        <v>4401011</v>
      </c>
      <c r="H2809" s="8" t="str">
        <f aca="false">IFERROR(INDEX('TRANS'!$C:$C,MATCH($B2809,'TRANS'!$A:$A,0)),IFERROR(INDEX('Catalog'!$B:$B,MATCH($G2809,'Catalog'!$A:$A,0)),$B2809))</f>
        <v>805AT-Cאתלטיק טייפ בז' 20מ""""מ20</v>
      </c>
      <c r="I2809" s="8" t="str">
        <f aca="false">IF($G2809="","Unmatched","Matched")</f>
        <v>Matched</v>
      </c>
      <c r="J2809" s="8" t="n">
        <f aca="false">IF($G2809&lt;&gt;"",$G2809,$B2809)</f>
        <v>4401011</v>
      </c>
      <c r="K2809" s="8" t="str">
        <f aca="false">IF(COUNTIF($M$1:$M$10,$A2809)&gt;0,"Y","N")</f>
        <v>Y</v>
      </c>
    </row>
    <row r="2810" customFormat="false" ht="15" hidden="false" customHeight="true" outlineLevel="0" collapsed="false">
      <c r="A2810" s="8" t="s">
        <v>49</v>
      </c>
      <c r="B2810" s="8" t="s">
        <v>1000</v>
      </c>
      <c r="C2810" s="19" t="n">
        <v>4</v>
      </c>
      <c r="D2810" s="19" t="n">
        <v>125.08</v>
      </c>
      <c r="E2810" s="19" t="n">
        <v>0</v>
      </c>
      <c r="F2810" s="19" t="n">
        <v>0</v>
      </c>
      <c r="G2810" s="8" t="n">
        <f aca="false">IFERROR(INDEX('TRANS'!$B:$B,MATCH($B2810,'TRANS'!$A:$A,0)),IFERROR(INDEX('TRANS'!$B:$B,MATCH(TRIM(SUBSTITUTE($B2810,CHAR(160)," ")),'TRANS'!$D:$D,0)),IFERROR(INDEX('Catalog'!$A:$A,MATCH($B2810,'Catalog'!$B:$B,0)),IFERROR(INDEX('Catalog'!$A:$A,MATCH(TRIM(SUBSTITUTE($B2810,CHAR(160)," ")),'Catalog'!$C:$C,0)),""))))</f>
        <v>4401014</v>
      </c>
      <c r="H2810" s="8" t="str">
        <f aca="false">IFERROR(INDEX('TRANS'!$C:$C,MATCH($B2810,'TRANS'!$A:$A,0)),IFERROR(INDEX('Catalog'!$B:$B,MATCH($G2810,'Catalog'!$A:$A,0)),$B2810))</f>
        <v>805AT-W  אתלטיק טייפ לבן 20מ""""מ</v>
      </c>
      <c r="I2810" s="8" t="str">
        <f aca="false">IF($G2810="","Unmatched","Matched")</f>
        <v>Matched</v>
      </c>
      <c r="J2810" s="8" t="n">
        <f aca="false">IF($G2810&lt;&gt;"",$G2810,$B2810)</f>
        <v>4401014</v>
      </c>
      <c r="K2810" s="8" t="str">
        <f aca="false">IF(COUNTIF($M$1:$M$10,$A2810)&gt;0,"Y","N")</f>
        <v>Y</v>
      </c>
    </row>
    <row r="2811" customFormat="false" ht="15" hidden="false" customHeight="true" outlineLevel="0" collapsed="false">
      <c r="A2811" s="8" t="s">
        <v>49</v>
      </c>
      <c r="B2811" s="8" t="s">
        <v>362</v>
      </c>
      <c r="C2811" s="19" t="n">
        <v>1</v>
      </c>
      <c r="D2811" s="19" t="n">
        <v>255.8</v>
      </c>
      <c r="E2811" s="19" t="n">
        <v>1</v>
      </c>
      <c r="F2811" s="19" t="n">
        <v>256.69</v>
      </c>
      <c r="G2811" s="8" t="str">
        <f aca="false">IFERROR(INDEX('TRANS'!$B:$B,MATCH($B2811,'TRANS'!$A:$A,0)),IFERROR(INDEX('TRANS'!$B:$B,MATCH(TRIM(SUBSTITUTE($B2811,CHAR(160)," ")),'TRANS'!$D:$D,0)),IFERROR(INDEX('Catalog'!$A:$A,MATCH($B2811,'Catalog'!$B:$B,0)),IFERROR(INDEX('Catalog'!$A:$A,MATCH(TRIM(SUBSTITUTE($B2811,CHAR(160)," ")),'Catalog'!$C:$C,0)),""))))</f>
        <v/>
      </c>
      <c r="H2811" s="8" t="str">
        <f aca="false">IFERROR(INDEX('TRANS'!$C:$C,MATCH($B2811,'TRANS'!$A:$A,0)),IFERROR(INDEX('Catalog'!$B:$B,MATCH($G2811,'Catalog'!$A:$A,0)),$B2811))</f>
        <v>922B L</v>
      </c>
      <c r="I2811" s="8" t="str">
        <f aca="false">IF($G2811="","Unmatched","Matched")</f>
        <v>Unmatched</v>
      </c>
      <c r="J2811" s="8" t="str">
        <f aca="false">IF($G2811&lt;&gt;"",$G2811,$B2811)</f>
        <v>922B L</v>
      </c>
      <c r="K2811" s="8" t="str">
        <f aca="false">IF(COUNTIF($M$1:$M$10,$A2811)&gt;0,"Y","N")</f>
        <v>Y</v>
      </c>
    </row>
    <row r="2812" customFormat="false" ht="15" hidden="false" customHeight="true" outlineLevel="0" collapsed="false">
      <c r="A2812" s="8" t="s">
        <v>49</v>
      </c>
      <c r="B2812" s="8" t="s">
        <v>487</v>
      </c>
      <c r="C2812" s="19" t="n">
        <v>1</v>
      </c>
      <c r="D2812" s="19" t="n">
        <v>256.69</v>
      </c>
      <c r="E2812" s="19" t="n">
        <v>0</v>
      </c>
      <c r="F2812" s="19" t="n">
        <v>0</v>
      </c>
      <c r="G2812" s="8" t="str">
        <f aca="false">IFERROR(INDEX('TRANS'!$B:$B,MATCH($B2812,'TRANS'!$A:$A,0)),IFERROR(INDEX('TRANS'!$B:$B,MATCH(TRIM(SUBSTITUTE($B2812,CHAR(160)," ")),'TRANS'!$D:$D,0)),IFERROR(INDEX('Catalog'!$A:$A,MATCH($B2812,'Catalog'!$B:$B,0)),IFERROR(INDEX('Catalog'!$A:$A,MATCH(TRIM(SUBSTITUTE($B2812,CHAR(160)," ")),'Catalog'!$C:$C,0)),""))))</f>
        <v/>
      </c>
      <c r="H2812" s="8" t="str">
        <f aca="false">IFERROR(INDEX('TRANS'!$C:$C,MATCH($B2812,'TRANS'!$A:$A,0)),IFERROR(INDEX('Catalog'!$B:$B,MATCH($G2812,'Catalog'!$A:$A,0)),$B2812))</f>
        <v>922B M</v>
      </c>
      <c r="I2812" s="8" t="str">
        <f aca="false">IF($G2812="","Unmatched","Matched")</f>
        <v>Unmatched</v>
      </c>
      <c r="J2812" s="8" t="str">
        <f aca="false">IF($G2812&lt;&gt;"",$G2812,$B2812)</f>
        <v>922B M</v>
      </c>
      <c r="K2812" s="8" t="str">
        <f aca="false">IF(COUNTIF($M$1:$M$10,$A2812)&gt;0,"Y","N")</f>
        <v>Y</v>
      </c>
    </row>
    <row r="2813" customFormat="false" ht="15" hidden="false" customHeight="true" outlineLevel="0" collapsed="false">
      <c r="A2813" s="8" t="s">
        <v>49</v>
      </c>
      <c r="B2813" s="8" t="s">
        <v>338</v>
      </c>
      <c r="C2813" s="19" t="n">
        <v>1</v>
      </c>
      <c r="D2813" s="19" t="n">
        <v>256.69</v>
      </c>
      <c r="E2813" s="19" t="n">
        <v>0</v>
      </c>
      <c r="F2813" s="19" t="n">
        <v>0</v>
      </c>
      <c r="G2813" s="8" t="str">
        <f aca="false">IFERROR(INDEX('TRANS'!$B:$B,MATCH($B2813,'TRANS'!$A:$A,0)),IFERROR(INDEX('TRANS'!$B:$B,MATCH(TRIM(SUBSTITUTE($B2813,CHAR(160)," ")),'TRANS'!$D:$D,0)),IFERROR(INDEX('Catalog'!$A:$A,MATCH($B2813,'Catalog'!$B:$B,0)),IFERROR(INDEX('Catalog'!$A:$A,MATCH(TRIM(SUBSTITUTE($B2813,CHAR(160)," ")),'Catalog'!$C:$C,0)),""))))</f>
        <v/>
      </c>
      <c r="H2813" s="8" t="str">
        <f aca="false">IFERROR(INDEX('TRANS'!$C:$C,MATCH($B2813,'TRANS'!$A:$A,0)),IFERROR(INDEX('Catalog'!$B:$B,MATCH($G2813,'Catalog'!$A:$A,0)),$B2813))</f>
        <v>922B XL</v>
      </c>
      <c r="I2813" s="8" t="str">
        <f aca="false">IF($G2813="","Unmatched","Matched")</f>
        <v>Unmatched</v>
      </c>
      <c r="J2813" s="8" t="str">
        <f aca="false">IF($G2813&lt;&gt;"",$G2813,$B2813)</f>
        <v>922B XL</v>
      </c>
      <c r="K2813" s="8" t="str">
        <f aca="false">IF(COUNTIF($M$1:$M$10,$A2813)&gt;0,"Y","N")</f>
        <v>Y</v>
      </c>
    </row>
    <row r="2814" customFormat="false" ht="15" hidden="false" customHeight="true" outlineLevel="0" collapsed="false">
      <c r="A2814" s="8" t="s">
        <v>49</v>
      </c>
      <c r="B2814" s="8" t="s">
        <v>717</v>
      </c>
      <c r="C2814" s="19" t="n">
        <v>0</v>
      </c>
      <c r="D2814" s="19" t="n">
        <v>0</v>
      </c>
      <c r="E2814" s="19" t="n">
        <v>2</v>
      </c>
      <c r="F2814" s="19" t="n">
        <v>111.7</v>
      </c>
      <c r="G2814" s="8" t="n">
        <f aca="false">IFERROR(INDEX('TRANS'!$B:$B,MATCH($B2814,'TRANS'!$A:$A,0)),IFERROR(INDEX('TRANS'!$B:$B,MATCH(TRIM(SUBSTITUTE($B2814,CHAR(160)," ")),'TRANS'!$D:$D,0)),IFERROR(INDEX('Catalog'!$A:$A,MATCH($B2814,'Catalog'!$B:$B,0)),IFERROR(INDEX('Catalog'!$A:$A,MATCH(TRIM(SUBSTITUTE($B2814,CHAR(160)," ")),'Catalog'!$C:$C,0)),""))))</f>
        <v>4413500</v>
      </c>
      <c r="H2814" s="8" t="str">
        <f aca="false">IFERROR(INDEX('TRANS'!$C:$C,MATCH($B2814,'TRANS'!$A:$A,0)),IFERROR(INDEX('Catalog'!$B:$B,MATCH($G2814,'Catalog'!$A:$A,0)),$B2814))</f>
        <v>95B L מגן מרפק שחור</v>
      </c>
      <c r="I2814" s="8" t="str">
        <f aca="false">IF($G2814="","Unmatched","Matched")</f>
        <v>Matched</v>
      </c>
      <c r="J2814" s="8" t="n">
        <f aca="false">IF($G2814&lt;&gt;"",$G2814,$B2814)</f>
        <v>4413500</v>
      </c>
      <c r="K2814" s="8" t="str">
        <f aca="false">IF(COUNTIF($M$1:$M$10,$A2814)&gt;0,"Y","N")</f>
        <v>Y</v>
      </c>
    </row>
    <row r="2815" customFormat="false" ht="15" hidden="false" customHeight="true" outlineLevel="0" collapsed="false">
      <c r="A2815" s="8" t="s">
        <v>49</v>
      </c>
      <c r="B2815" s="8" t="s">
        <v>718</v>
      </c>
      <c r="C2815" s="19" t="n">
        <v>7</v>
      </c>
      <c r="D2815" s="19" t="n">
        <v>390.95</v>
      </c>
      <c r="E2815" s="19" t="n">
        <v>2</v>
      </c>
      <c r="F2815" s="19" t="n">
        <v>111.7</v>
      </c>
      <c r="G2815" s="8" t="n">
        <f aca="false">IFERROR(INDEX('TRANS'!$B:$B,MATCH($B2815,'TRANS'!$A:$A,0)),IFERROR(INDEX('TRANS'!$B:$B,MATCH(TRIM(SUBSTITUTE($B2815,CHAR(160)," ")),'TRANS'!$D:$D,0)),IFERROR(INDEX('Catalog'!$A:$A,MATCH($B2815,'Catalog'!$B:$B,0)),IFERROR(INDEX('Catalog'!$A:$A,MATCH(TRIM(SUBSTITUTE($B2815,CHAR(160)," ")),'Catalog'!$C:$C,0)),""))))</f>
        <v>4413501</v>
      </c>
      <c r="H2815" s="8" t="str">
        <f aca="false">IFERROR(INDEX('TRANS'!$C:$C,MATCH($B2815,'TRANS'!$A:$A,0)),IFERROR(INDEX('Catalog'!$B:$B,MATCH($G2815,'Catalog'!$A:$A,0)),$B2815))</f>
        <v>95B M מגן מרפק שחור</v>
      </c>
      <c r="I2815" s="8" t="str">
        <f aca="false">IF($G2815="","Unmatched","Matched")</f>
        <v>Matched</v>
      </c>
      <c r="J2815" s="8" t="n">
        <f aca="false">IF($G2815&lt;&gt;"",$G2815,$B2815)</f>
        <v>4413501</v>
      </c>
      <c r="K2815" s="8" t="str">
        <f aca="false">IF(COUNTIF($M$1:$M$10,$A2815)&gt;0,"Y","N")</f>
        <v>Y</v>
      </c>
    </row>
    <row r="2816" customFormat="false" ht="15" hidden="false" customHeight="true" outlineLevel="0" collapsed="false">
      <c r="A2816" s="8" t="s">
        <v>49</v>
      </c>
      <c r="B2816" s="8" t="s">
        <v>719</v>
      </c>
      <c r="C2816" s="19" t="n">
        <v>1</v>
      </c>
      <c r="D2816" s="19" t="n">
        <v>55.85</v>
      </c>
      <c r="E2816" s="19" t="n">
        <v>1</v>
      </c>
      <c r="F2816" s="19" t="n">
        <v>55.85</v>
      </c>
      <c r="G2816" s="8" t="n">
        <f aca="false">IFERROR(INDEX('TRANS'!$B:$B,MATCH($B2816,'TRANS'!$A:$A,0)),IFERROR(INDEX('TRANS'!$B:$B,MATCH(TRIM(SUBSTITUTE($B2816,CHAR(160)," ")),'TRANS'!$D:$D,0)),IFERROR(INDEX('Catalog'!$A:$A,MATCH($B2816,'Catalog'!$B:$B,0)),IFERROR(INDEX('Catalog'!$A:$A,MATCH(TRIM(SUBSTITUTE($B2816,CHAR(160)," ")),'Catalog'!$C:$C,0)),""))))</f>
        <v>4413502</v>
      </c>
      <c r="H2816" s="8" t="str">
        <f aca="false">IFERROR(INDEX('TRANS'!$C:$C,MATCH($B2816,'TRANS'!$A:$A,0)),IFERROR(INDEX('Catalog'!$B:$B,MATCH($G2816,'Catalog'!$A:$A,0)),$B2816))</f>
        <v>95B S מגן מרפק שחור</v>
      </c>
      <c r="I2816" s="8" t="str">
        <f aca="false">IF($G2816="","Unmatched","Matched")</f>
        <v>Matched</v>
      </c>
      <c r="J2816" s="8" t="n">
        <f aca="false">IF($G2816&lt;&gt;"",$G2816,$B2816)</f>
        <v>4413502</v>
      </c>
      <c r="K2816" s="8" t="str">
        <f aca="false">IF(COUNTIF($M$1:$M$10,$A2816)&gt;0,"Y","N")</f>
        <v>Y</v>
      </c>
    </row>
    <row r="2817" customFormat="false" ht="15" hidden="false" customHeight="true" outlineLevel="0" collapsed="false">
      <c r="A2817" s="8" t="s">
        <v>49</v>
      </c>
      <c r="B2817" s="8" t="s">
        <v>720</v>
      </c>
      <c r="C2817" s="19" t="n">
        <v>1</v>
      </c>
      <c r="D2817" s="19" t="n">
        <v>55.85</v>
      </c>
      <c r="E2817" s="19" t="n">
        <v>0</v>
      </c>
      <c r="F2817" s="19" t="n">
        <v>0</v>
      </c>
      <c r="G2817" s="8" t="n">
        <f aca="false">IFERROR(INDEX('TRANS'!$B:$B,MATCH($B2817,'TRANS'!$A:$A,0)),IFERROR(INDEX('TRANS'!$B:$B,MATCH(TRIM(SUBSTITUTE($B2817,CHAR(160)," ")),'TRANS'!$D:$D,0)),IFERROR(INDEX('Catalog'!$A:$A,MATCH($B2817,'Catalog'!$B:$B,0)),IFERROR(INDEX('Catalog'!$A:$A,MATCH(TRIM(SUBSTITUTE($B2817,CHAR(160)," ")),'Catalog'!$C:$C,0)),""))))</f>
        <v>4413503</v>
      </c>
      <c r="H2817" s="8" t="str">
        <f aca="false">IFERROR(INDEX('TRANS'!$C:$C,MATCH($B2817,'TRANS'!$A:$A,0)),IFERROR(INDEX('Catalog'!$B:$B,MATCH($G2817,'Catalog'!$A:$A,0)),$B2817))</f>
        <v>95B XL מגן מרפק שחור</v>
      </c>
      <c r="I2817" s="8" t="str">
        <f aca="false">IF($G2817="","Unmatched","Matched")</f>
        <v>Matched</v>
      </c>
      <c r="J2817" s="8" t="n">
        <f aca="false">IF($G2817&lt;&gt;"",$G2817,$B2817)</f>
        <v>4413503</v>
      </c>
      <c r="K2817" s="8" t="str">
        <f aca="false">IF(COUNTIF($M$1:$M$10,$A2817)&gt;0,"Y","N")</f>
        <v>Y</v>
      </c>
    </row>
    <row r="2818" customFormat="false" ht="15" hidden="false" customHeight="true" outlineLevel="0" collapsed="false">
      <c r="A2818" s="8" t="s">
        <v>49</v>
      </c>
      <c r="B2818" s="8" t="s">
        <v>150</v>
      </c>
      <c r="C2818" s="19" t="n">
        <v>1</v>
      </c>
      <c r="D2818" s="19" t="n">
        <v>55.85</v>
      </c>
      <c r="E2818" s="19" t="n">
        <v>5</v>
      </c>
      <c r="F2818" s="19" t="n">
        <v>279.25</v>
      </c>
      <c r="G2818" s="8" t="str">
        <f aca="false">IFERROR(INDEX('TRANS'!$B:$B,MATCH($B2818,'TRANS'!$A:$A,0)),IFERROR(INDEX('TRANS'!$B:$B,MATCH(TRIM(SUBSTITUTE($B2818,CHAR(160)," ")),'TRANS'!$D:$D,0)),IFERROR(INDEX('Catalog'!$A:$A,MATCH($B2818,'Catalog'!$B:$B,0)),IFERROR(INDEX('Catalog'!$A:$A,MATCH(TRIM(SUBSTITUTE($B2818,CHAR(160)," ")),'Catalog'!$C:$C,0)),""))))</f>
        <v/>
      </c>
      <c r="H2818" s="8" t="str">
        <f aca="false">IFERROR(INDEX('TRANS'!$C:$C,MATCH($B2818,'TRANS'!$A:$A,0)),IFERROR(INDEX('Catalog'!$B:$B,MATCH($G2818,'Catalog'!$A:$A,0)),$B2818))</f>
        <v>95B XS</v>
      </c>
      <c r="I2818" s="8" t="str">
        <f aca="false">IF($G2818="","Unmatched","Matched")</f>
        <v>Unmatched</v>
      </c>
      <c r="J2818" s="8" t="str">
        <f aca="false">IF($G2818&lt;&gt;"",$G2818,$B2818)</f>
        <v>95B XS</v>
      </c>
      <c r="K2818" s="8" t="str">
        <f aca="false">IF(COUNTIF($M$1:$M$10,$A2818)&gt;0,"Y","N")</f>
        <v>Y</v>
      </c>
    </row>
    <row r="2819" customFormat="false" ht="15" hidden="false" customHeight="true" outlineLevel="0" collapsed="false">
      <c r="A2819" s="8" t="s">
        <v>49</v>
      </c>
      <c r="B2819" s="8" t="s">
        <v>205</v>
      </c>
      <c r="C2819" s="19" t="n">
        <v>1</v>
      </c>
      <c r="D2819" s="19" t="n">
        <v>55.85</v>
      </c>
      <c r="E2819" s="19" t="n">
        <v>0</v>
      </c>
      <c r="F2819" s="19" t="n">
        <v>0</v>
      </c>
      <c r="G2819" s="8" t="str">
        <f aca="false">IFERROR(INDEX('TRANS'!$B:$B,MATCH($B2819,'TRANS'!$A:$A,0)),IFERROR(INDEX('TRANS'!$B:$B,MATCH(TRIM(SUBSTITUTE($B2819,CHAR(160)," ")),'TRANS'!$D:$D,0)),IFERROR(INDEX('Catalog'!$A:$A,MATCH($B2819,'Catalog'!$B:$B,0)),IFERROR(INDEX('Catalog'!$A:$A,MATCH(TRIM(SUBSTITUTE($B2819,CHAR(160)," ")),'Catalog'!$C:$C,0)),""))))</f>
        <v/>
      </c>
      <c r="H2819" s="8" t="str">
        <f aca="false">IFERROR(INDEX('TRANS'!$C:$C,MATCH($B2819,'TRANS'!$A:$A,0)),IFERROR(INDEX('Catalog'!$B:$B,MATCH($G2819,'Catalog'!$A:$A,0)),$B2819))</f>
        <v>95G L</v>
      </c>
      <c r="I2819" s="8" t="str">
        <f aca="false">IF($G2819="","Unmatched","Matched")</f>
        <v>Unmatched</v>
      </c>
      <c r="J2819" s="8" t="str">
        <f aca="false">IF($G2819&lt;&gt;"",$G2819,$B2819)</f>
        <v>95G L</v>
      </c>
      <c r="K2819" s="8" t="str">
        <f aca="false">IF(COUNTIF($M$1:$M$10,$A2819)&gt;0,"Y","N")</f>
        <v>Y</v>
      </c>
    </row>
    <row r="2820" customFormat="false" ht="15" hidden="false" customHeight="true" outlineLevel="0" collapsed="false">
      <c r="A2820" s="8" t="s">
        <v>49</v>
      </c>
      <c r="B2820" s="8" t="s">
        <v>182</v>
      </c>
      <c r="C2820" s="19" t="n">
        <v>2</v>
      </c>
      <c r="D2820" s="19" t="n">
        <v>108.3</v>
      </c>
      <c r="E2820" s="19" t="n">
        <v>0</v>
      </c>
      <c r="F2820" s="19" t="n">
        <v>0</v>
      </c>
      <c r="G2820" s="8" t="str">
        <f aca="false">IFERROR(INDEX('TRANS'!$B:$B,MATCH($B2820,'TRANS'!$A:$A,0)),IFERROR(INDEX('TRANS'!$B:$B,MATCH(TRIM(SUBSTITUTE($B2820,CHAR(160)," ")),'TRANS'!$D:$D,0)),IFERROR(INDEX('Catalog'!$A:$A,MATCH($B2820,'Catalog'!$B:$B,0)),IFERROR(INDEX('Catalog'!$A:$A,MATCH(TRIM(SUBSTITUTE($B2820,CHAR(160)," ")),'Catalog'!$C:$C,0)),""))))</f>
        <v/>
      </c>
      <c r="H2820" s="8" t="str">
        <f aca="false">IFERROR(INDEX('TRANS'!$C:$C,MATCH($B2820,'TRANS'!$A:$A,0)),IFERROR(INDEX('Catalog'!$B:$B,MATCH($G2820,'Catalog'!$A:$A,0)),$B2820))</f>
        <v>95G M</v>
      </c>
      <c r="I2820" s="8" t="str">
        <f aca="false">IF($G2820="","Unmatched","Matched")</f>
        <v>Unmatched</v>
      </c>
      <c r="J2820" s="8" t="str">
        <f aca="false">IF($G2820&lt;&gt;"",$G2820,$B2820)</f>
        <v>95G M</v>
      </c>
      <c r="K2820" s="8" t="str">
        <f aca="false">IF(COUNTIF($M$1:$M$10,$A2820)&gt;0,"Y","N")</f>
        <v>Y</v>
      </c>
    </row>
    <row r="2821" customFormat="false" ht="15" hidden="false" customHeight="true" outlineLevel="0" collapsed="false">
      <c r="A2821" s="8" t="s">
        <v>49</v>
      </c>
      <c r="B2821" s="8" t="s">
        <v>519</v>
      </c>
      <c r="C2821" s="19" t="n">
        <v>1</v>
      </c>
      <c r="D2821" s="19" t="n">
        <v>55.85</v>
      </c>
      <c r="E2821" s="19" t="n">
        <v>0</v>
      </c>
      <c r="F2821" s="19" t="n">
        <v>0</v>
      </c>
      <c r="G2821" s="8" t="str">
        <f aca="false">IFERROR(INDEX('TRANS'!$B:$B,MATCH($B2821,'TRANS'!$A:$A,0)),IFERROR(INDEX('TRANS'!$B:$B,MATCH(TRIM(SUBSTITUTE($B2821,CHAR(160)," ")),'TRANS'!$D:$D,0)),IFERROR(INDEX('Catalog'!$A:$A,MATCH($B2821,'Catalog'!$B:$B,0)),IFERROR(INDEX('Catalog'!$A:$A,MATCH(TRIM(SUBSTITUTE($B2821,CHAR(160)," ")),'Catalog'!$C:$C,0)),""))))</f>
        <v/>
      </c>
      <c r="H2821" s="8" t="str">
        <f aca="false">IFERROR(INDEX('TRANS'!$C:$C,MATCH($B2821,'TRANS'!$A:$A,0)),IFERROR(INDEX('Catalog'!$B:$B,MATCH($G2821,'Catalog'!$A:$A,0)),$B2821))</f>
        <v>95G XXL</v>
      </c>
      <c r="I2821" s="8" t="str">
        <f aca="false">IF($G2821="","Unmatched","Matched")</f>
        <v>Unmatched</v>
      </c>
      <c r="J2821" s="8" t="str">
        <f aca="false">IF($G2821&lt;&gt;"",$G2821,$B2821)</f>
        <v>95G XXL</v>
      </c>
      <c r="K2821" s="8" t="str">
        <f aca="false">IF(COUNTIF($M$1:$M$10,$A2821)&gt;0,"Y","N")</f>
        <v>Y</v>
      </c>
    </row>
    <row r="2822" customFormat="false" ht="15" hidden="false" customHeight="true" outlineLevel="0" collapsed="false">
      <c r="A2822" s="8" t="s">
        <v>49</v>
      </c>
      <c r="B2822" s="8" t="s">
        <v>723</v>
      </c>
      <c r="C2822" s="19" t="n">
        <v>8</v>
      </c>
      <c r="D2822" s="19" t="n">
        <v>1355.28</v>
      </c>
      <c r="E2822" s="19" t="n">
        <v>5</v>
      </c>
      <c r="F2822" s="19" t="n">
        <v>847.05</v>
      </c>
      <c r="G2822" s="8" t="n">
        <f aca="false">IFERROR(INDEX('TRANS'!$B:$B,MATCH($B2822,'TRANS'!$A:$A,0)),IFERROR(INDEX('TRANS'!$B:$B,MATCH(TRIM(SUBSTITUTE($B2822,CHAR(160)," ")),'TRANS'!$D:$D,0)),IFERROR(INDEX('Catalog'!$A:$A,MATCH($B2822,'Catalog'!$B:$B,0)),IFERROR(INDEX('Catalog'!$A:$A,MATCH(TRIM(SUBSTITUTE($B2822,CHAR(160)," ")),'Catalog'!$C:$C,0)),""))))</f>
        <v>4408205</v>
      </c>
      <c r="H2822" s="8" t="str">
        <f aca="false">IFERROR(INDEX('TRANS'!$C:$C,MATCH($B2822,'TRANS'!$A:$A,0)),IFERROR(INDEX('Catalog'!$B:$B,MATCH($G2822,'Catalog'!$A:$A,0)),$B2822))</f>
        <v>AC-07 חגורת גב עם תמיכות</v>
      </c>
      <c r="I2822" s="8" t="str">
        <f aca="false">IF($G2822="","Unmatched","Matched")</f>
        <v>Matched</v>
      </c>
      <c r="J2822" s="8" t="n">
        <f aca="false">IF($G2822&lt;&gt;"",$G2822,$B2822)</f>
        <v>4408205</v>
      </c>
      <c r="K2822" s="8" t="str">
        <f aca="false">IF(COUNTIF($M$1:$M$10,$A2822)&gt;0,"Y","N")</f>
        <v>Y</v>
      </c>
    </row>
    <row r="2823" customFormat="false" ht="15" hidden="false" customHeight="true" outlineLevel="0" collapsed="false">
      <c r="A2823" s="8" t="s">
        <v>49</v>
      </c>
      <c r="B2823" s="8" t="s">
        <v>725</v>
      </c>
      <c r="C2823" s="19" t="n">
        <v>37</v>
      </c>
      <c r="D2823" s="19" t="n">
        <v>2350.84</v>
      </c>
      <c r="E2823" s="19" t="n">
        <v>16</v>
      </c>
      <c r="F2823" s="19" t="n">
        <v>1083.36</v>
      </c>
      <c r="G2823" s="8" t="n">
        <f aca="false">IFERROR(INDEX('TRANS'!$B:$B,MATCH($B2823,'TRANS'!$A:$A,0)),IFERROR(INDEX('TRANS'!$B:$B,MATCH(TRIM(SUBSTITUTE($B2823,CHAR(160)," ")),'TRANS'!$D:$D,0)),IFERROR(INDEX('Catalog'!$A:$A,MATCH($B2823,'Catalog'!$B:$B,0)),IFERROR(INDEX('Catalog'!$A:$A,MATCH(TRIM(SUBSTITUTE($B2823,CHAR(160)," ")),'Catalog'!$C:$C,0)),""))))</f>
        <v>4408207</v>
      </c>
      <c r="H2823" s="8" t="str">
        <f aca="false">IFERROR(INDEX('TRANS'!$C:$C,MATCH($B2823,'TRANS'!$A:$A,0)),IFERROR(INDEX('Catalog'!$B:$B,MATCH($G2823,'Catalog'!$A:$A,0)),$B2823))</f>
        <v>AC-25 חבק לשורש כף היד</v>
      </c>
      <c r="I2823" s="8" t="str">
        <f aca="false">IF($G2823="","Unmatched","Matched")</f>
        <v>Matched</v>
      </c>
      <c r="J2823" s="8" t="n">
        <f aca="false">IF($G2823&lt;&gt;"",$G2823,$B2823)</f>
        <v>4408207</v>
      </c>
      <c r="K2823" s="8" t="str">
        <f aca="false">IF(COUNTIF($M$1:$M$10,$A2823)&gt;0,"Y","N")</f>
        <v>Y</v>
      </c>
    </row>
    <row r="2824" customFormat="false" ht="15" hidden="false" customHeight="true" outlineLevel="0" collapsed="false">
      <c r="A2824" s="8" t="s">
        <v>49</v>
      </c>
      <c r="B2824" s="8" t="s">
        <v>729</v>
      </c>
      <c r="C2824" s="19" t="n">
        <v>6</v>
      </c>
      <c r="D2824" s="19" t="n">
        <v>357.87</v>
      </c>
      <c r="E2824" s="19" t="n">
        <v>3</v>
      </c>
      <c r="F2824" s="19" t="n">
        <v>179.41</v>
      </c>
      <c r="G2824" s="8" t="n">
        <f aca="false">IFERROR(INDEX('TRANS'!$B:$B,MATCH($B2824,'TRANS'!$A:$A,0)),IFERROR(INDEX('TRANS'!$B:$B,MATCH(TRIM(SUBSTITUTE($B2824,CHAR(160)," ")),'TRANS'!$D:$D,0)),IFERROR(INDEX('Catalog'!$A:$A,MATCH($B2824,'Catalog'!$B:$B,0)),IFERROR(INDEX('Catalog'!$A:$A,MATCH(TRIM(SUBSTITUTE($B2824,CHAR(160)," ")),'Catalog'!$C:$C,0)),""))))</f>
        <v>4413326</v>
      </c>
      <c r="H2824" s="8" t="str">
        <f aca="false">IFERROR(INDEX('TRANS'!$C:$C,MATCH($B2824,'TRANS'!$A:$A,0)),IFERROR(INDEX('Catalog'!$B:$B,MATCH($G2824,'Catalog'!$A:$A,0)),$B2824))</f>
        <v>AC37 מגן קרסול נושם</v>
      </c>
      <c r="I2824" s="8" t="str">
        <f aca="false">IF($G2824="","Unmatched","Matched")</f>
        <v>Matched</v>
      </c>
      <c r="J2824" s="8" t="n">
        <f aca="false">IF($G2824&lt;&gt;"",$G2824,$B2824)</f>
        <v>4413326</v>
      </c>
      <c r="K2824" s="8" t="str">
        <f aca="false">IF(COUNTIF($M$1:$M$10,$A2824)&gt;0,"Y","N")</f>
        <v>Y</v>
      </c>
    </row>
    <row r="2825" customFormat="false" ht="15" hidden="false" customHeight="true" outlineLevel="0" collapsed="false">
      <c r="A2825" s="8" t="s">
        <v>49</v>
      </c>
      <c r="B2825" s="8" t="s">
        <v>730</v>
      </c>
      <c r="C2825" s="19" t="n">
        <v>10</v>
      </c>
      <c r="D2825" s="19" t="n">
        <v>1456.8</v>
      </c>
      <c r="E2825" s="19" t="n">
        <v>7</v>
      </c>
      <c r="F2825" s="19" t="n">
        <v>1019.76</v>
      </c>
      <c r="G2825" s="8" t="n">
        <f aca="false">IFERROR(INDEX('TRANS'!$B:$B,MATCH($B2825,'TRANS'!$A:$A,0)),IFERROR(INDEX('TRANS'!$B:$B,MATCH(TRIM(SUBSTITUTE($B2825,CHAR(160)," ")),'TRANS'!$D:$D,0)),IFERROR(INDEX('Catalog'!$A:$A,MATCH($B2825,'Catalog'!$B:$B,0)),IFERROR(INDEX('Catalog'!$A:$A,MATCH(TRIM(SUBSTITUTE($B2825,CHAR(160)," ")),'Catalog'!$C:$C,0)),""))))</f>
        <v>4420026</v>
      </c>
      <c r="H2825" s="8" t="str">
        <f aca="false">IFERROR(INDEX('TRANS'!$C:$C,MATCH($B2825,'TRANS'!$A:$A,0)),IFERROR(INDEX('Catalog'!$B:$B,MATCH($G2825,'Catalog'!$A:$A,0)),$B2825))</f>
        <v>AC40 רצועה לפיקת הברך</v>
      </c>
      <c r="I2825" s="8" t="str">
        <f aca="false">IF($G2825="","Unmatched","Matched")</f>
        <v>Matched</v>
      </c>
      <c r="J2825" s="8" t="n">
        <f aca="false">IF($G2825&lt;&gt;"",$G2825,$B2825)</f>
        <v>4420026</v>
      </c>
      <c r="K2825" s="8" t="str">
        <f aca="false">IF(COUNTIF($M$1:$M$10,$A2825)&gt;0,"Y","N")</f>
        <v>Y</v>
      </c>
    </row>
    <row r="2826" customFormat="false" ht="15" hidden="false" customHeight="true" outlineLevel="0" collapsed="false">
      <c r="A2826" s="8" t="s">
        <v>49</v>
      </c>
      <c r="B2826" s="8" t="s">
        <v>560</v>
      </c>
      <c r="C2826" s="19" t="n">
        <v>4</v>
      </c>
      <c r="D2826" s="19" t="n">
        <v>684.4</v>
      </c>
      <c r="E2826" s="19" t="n">
        <v>0</v>
      </c>
      <c r="F2826" s="19" t="n">
        <v>0</v>
      </c>
      <c r="G2826" s="8" t="n">
        <f aca="false">IFERROR(INDEX('TRANS'!$B:$B,MATCH($B2826,'TRANS'!$A:$A,0)),IFERROR(INDEX('TRANS'!$B:$B,MATCH(TRIM(SUBSTITUTE($B2826,CHAR(160)," ")),'TRANS'!$D:$D,0)),IFERROR(INDEX('Catalog'!$A:$A,MATCH($B2826,'Catalog'!$B:$B,0)),IFERROR(INDEX('Catalog'!$A:$A,MATCH(TRIM(SUBSTITUTE($B2826,CHAR(160)," ")),'Catalog'!$C:$C,0)),""))))</f>
        <v>4413328</v>
      </c>
      <c r="H2826" s="8" t="str">
        <f aca="false">IFERROR(INDEX('TRANS'!$C:$C,MATCH($B2826,'TRANS'!$A:$A,0)),IFERROR(INDEX('Catalog'!$B:$B,MATCH($G2826,'Catalog'!$A:$A,0)),$B2826))</f>
        <v>AC43D מגן ברך + צירים</v>
      </c>
      <c r="I2826" s="8" t="str">
        <f aca="false">IF($G2826="","Unmatched","Matched")</f>
        <v>Matched</v>
      </c>
      <c r="J2826" s="8" t="n">
        <f aca="false">IF($G2826&lt;&gt;"",$G2826,$B2826)</f>
        <v>4413328</v>
      </c>
      <c r="K2826" s="8" t="str">
        <f aca="false">IF(COUNTIF($M$1:$M$10,$A2826)&gt;0,"Y","N")</f>
        <v>Y</v>
      </c>
    </row>
    <row r="2827" customFormat="false" ht="15" hidden="false" customHeight="true" outlineLevel="0" collapsed="false">
      <c r="A2827" s="8" t="s">
        <v>49</v>
      </c>
      <c r="B2827" s="8" t="s">
        <v>998</v>
      </c>
      <c r="C2827" s="19" t="n">
        <v>0</v>
      </c>
      <c r="D2827" s="19" t="n">
        <v>0</v>
      </c>
      <c r="E2827" s="19" t="n">
        <v>1</v>
      </c>
      <c r="F2827" s="19" t="n">
        <v>132.97</v>
      </c>
      <c r="G2827" s="8" t="n">
        <f aca="false">IFERROR(INDEX('TRANS'!$B:$B,MATCH($B2827,'TRANS'!$A:$A,0)),IFERROR(INDEX('TRANS'!$B:$B,MATCH(TRIM(SUBSTITUTE($B2827,CHAR(160)," ")),'TRANS'!$D:$D,0)),IFERROR(INDEX('Catalog'!$A:$A,MATCH($B2827,'Catalog'!$B:$B,0)),IFERROR(INDEX('Catalog'!$A:$A,MATCH(TRIM(SUBSTITUTE($B2827,CHAR(160)," ")),'Catalog'!$C:$C,0)),""))))</f>
        <v>4413451</v>
      </c>
      <c r="H2827" s="8" t="str">
        <f aca="false">IFERROR(INDEX('TRANS'!$C:$C,MATCH($B2827,'TRANS'!$A:$A,0)),IFERROR(INDEX('Catalog'!$B:$B,MATCH($G2827,'Catalog'!$A:$A,0)),$B2827))</f>
        <v>LF378 L מדרס ג'ל לנעלי עקב</v>
      </c>
      <c r="I2827" s="8" t="str">
        <f aca="false">IF($G2827="","Unmatched","Matched")</f>
        <v>Matched</v>
      </c>
      <c r="J2827" s="8" t="n">
        <f aca="false">IF($G2827&lt;&gt;"",$G2827,$B2827)</f>
        <v>4413451</v>
      </c>
      <c r="K2827" s="8" t="str">
        <f aca="false">IF(COUNTIF($M$1:$M$10,$A2827)&gt;0,"Y","N")</f>
        <v>Y</v>
      </c>
    </row>
    <row r="2828" customFormat="false" ht="15" hidden="false" customHeight="true" outlineLevel="0" collapsed="false">
      <c r="A2828" s="8" t="s">
        <v>49</v>
      </c>
      <c r="B2828" s="8" t="s">
        <v>1056</v>
      </c>
      <c r="C2828" s="19" t="n">
        <v>1</v>
      </c>
      <c r="D2828" s="19" t="n">
        <v>132.97</v>
      </c>
      <c r="E2828" s="19" t="n">
        <v>0</v>
      </c>
      <c r="F2828" s="19" t="n">
        <v>0</v>
      </c>
      <c r="G2828" s="8" t="n">
        <f aca="false">IFERROR(INDEX('TRANS'!$B:$B,MATCH($B2828,'TRANS'!$A:$A,0)),IFERROR(INDEX('TRANS'!$B:$B,MATCH(TRIM(SUBSTITUTE($B2828,CHAR(160)," ")),'TRANS'!$D:$D,0)),IFERROR(INDEX('Catalog'!$A:$A,MATCH($B2828,'Catalog'!$B:$B,0)),IFERROR(INDEX('Catalog'!$A:$A,MATCH(TRIM(SUBSTITUTE($B2828,CHAR(160)," ")),'Catalog'!$C:$C,0)),""))))</f>
        <v>4413450</v>
      </c>
      <c r="H2828" s="8" t="str">
        <f aca="false">IFERROR(INDEX('TRANS'!$C:$C,MATCH($B2828,'TRANS'!$A:$A,0)),IFERROR(INDEX('Catalog'!$B:$B,MATCH($G2828,'Catalog'!$A:$A,0)),$B2828))</f>
        <v>LF378 M מדרס ג'ל לנעלי עקב</v>
      </c>
      <c r="I2828" s="8" t="str">
        <f aca="false">IF($G2828="","Unmatched","Matched")</f>
        <v>Matched</v>
      </c>
      <c r="J2828" s="8" t="n">
        <f aca="false">IF($G2828&lt;&gt;"",$G2828,$B2828)</f>
        <v>4413450</v>
      </c>
      <c r="K2828" s="8" t="str">
        <f aca="false">IF(COUNTIF($M$1:$M$10,$A2828)&gt;0,"Y","N")</f>
        <v>Y</v>
      </c>
    </row>
    <row r="2829" customFormat="false" ht="15" hidden="false" customHeight="true" outlineLevel="0" collapsed="false">
      <c r="A2829" s="8" t="s">
        <v>49</v>
      </c>
      <c r="B2829" s="8" t="s">
        <v>999</v>
      </c>
      <c r="C2829" s="19" t="n">
        <v>0</v>
      </c>
      <c r="D2829" s="19" t="n">
        <v>0</v>
      </c>
      <c r="E2829" s="19" t="n">
        <v>1</v>
      </c>
      <c r="F2829" s="19" t="n">
        <v>132.97</v>
      </c>
      <c r="G2829" s="8" t="n">
        <f aca="false">IFERROR(INDEX('TRANS'!$B:$B,MATCH($B2829,'TRANS'!$A:$A,0)),IFERROR(INDEX('TRANS'!$B:$B,MATCH(TRIM(SUBSTITUTE($B2829,CHAR(160)," ")),'TRANS'!$D:$D,0)),IFERROR(INDEX('Catalog'!$A:$A,MATCH($B2829,'Catalog'!$B:$B,0)),IFERROR(INDEX('Catalog'!$A:$A,MATCH(TRIM(SUBSTITUTE($B2829,CHAR(160)," ")),'Catalog'!$C:$C,0)),""))))</f>
        <v>4413449</v>
      </c>
      <c r="H2829" s="8" t="str">
        <f aca="false">IFERROR(INDEX('TRANS'!$C:$C,MATCH($B2829,'TRANS'!$A:$A,0)),IFERROR(INDEX('Catalog'!$B:$B,MATCH($G2829,'Catalog'!$A:$A,0)),$B2829))</f>
        <v>LF378 S מדרס ג'ל לנעלי עקב</v>
      </c>
      <c r="I2829" s="8" t="str">
        <f aca="false">IF($G2829="","Unmatched","Matched")</f>
        <v>Matched</v>
      </c>
      <c r="J2829" s="8" t="n">
        <f aca="false">IF($G2829&lt;&gt;"",$G2829,$B2829)</f>
        <v>4413449</v>
      </c>
      <c r="K2829" s="8" t="str">
        <f aca="false">IF(COUNTIF($M$1:$M$10,$A2829)&gt;0,"Y","N")</f>
        <v>Y</v>
      </c>
    </row>
    <row r="2830" customFormat="false" ht="15" hidden="false" customHeight="true" outlineLevel="0" collapsed="false">
      <c r="A2830" s="8" t="s">
        <v>49</v>
      </c>
      <c r="B2830" s="8" t="s">
        <v>50</v>
      </c>
      <c r="C2830" s="19" t="n">
        <v>0</v>
      </c>
      <c r="D2830" s="19" t="n">
        <v>0</v>
      </c>
      <c r="E2830" s="19" t="n">
        <v>2</v>
      </c>
      <c r="F2830" s="19" t="n">
        <v>0.01</v>
      </c>
      <c r="G2830" s="8" t="str">
        <f aca="false">IFERROR(INDEX('TRANS'!$B:$B,MATCH($B2830,'TRANS'!$A:$A,0)),IFERROR(INDEX('TRANS'!$B:$B,MATCH(TRIM(SUBSTITUTE($B2830,CHAR(160)," ")),'TRANS'!$D:$D,0)),IFERROR(INDEX('Catalog'!$A:$A,MATCH($B2830,'Catalog'!$B:$B,0)),IFERROR(INDEX('Catalog'!$A:$A,MATCH(TRIM(SUBSTITUTE($B2830,CHAR(160)," ")),'Catalog'!$C:$C,0)),""))))</f>
        <v/>
      </c>
      <c r="H2830" s="8" t="str">
        <f aca="false">IFERROR(INDEX('TRANS'!$C:$C,MATCH($B2830,'TRANS'!$A:$A,0)),IFERROR(INDEX('Catalog'!$B:$B,MATCH($G2830,'Catalog'!$A:$A,0)),$B2830))</f>
        <v>M92</v>
      </c>
      <c r="I2830" s="8" t="str">
        <f aca="false">IF($G2830="","Unmatched","Matched")</f>
        <v>Unmatched</v>
      </c>
      <c r="J2830" s="8" t="str">
        <f aca="false">IF($G2830&lt;&gt;"",$G2830,$B2830)</f>
        <v>M92</v>
      </c>
      <c r="K2830" s="8" t="str">
        <f aca="false">IF(COUNTIF($M$1:$M$10,$A2830)&gt;0,"Y","N")</f>
        <v>Y</v>
      </c>
    </row>
    <row r="2831" customFormat="false" ht="15" hidden="false" customHeight="true" outlineLevel="0" collapsed="false">
      <c r="A2831" s="8" t="s">
        <v>49</v>
      </c>
      <c r="B2831" s="8" t="s">
        <v>57</v>
      </c>
      <c r="C2831" s="19" t="n">
        <v>167</v>
      </c>
      <c r="D2831" s="19" t="n">
        <v>4230.96</v>
      </c>
      <c r="E2831" s="19" t="n">
        <v>76</v>
      </c>
      <c r="F2831" s="19" t="n">
        <v>1931.92</v>
      </c>
      <c r="G2831" s="8" t="str">
        <f aca="false">IFERROR(INDEX('TRANS'!$B:$B,MATCH($B2831,'TRANS'!$A:$A,0)),IFERROR(INDEX('TRANS'!$B:$B,MATCH(TRIM(SUBSTITUTE($B2831,CHAR(160)," ")),'TRANS'!$D:$D,0)),IFERROR(INDEX('Catalog'!$A:$A,MATCH($B2831,'Catalog'!$B:$B,0)),IFERROR(INDEX('Catalog'!$A:$A,MATCH(TRIM(SUBSTITUTE($B2831,CHAR(160)," ")),'Catalog'!$C:$C,0)),""))))</f>
        <v/>
      </c>
      <c r="H2831" s="8" t="str">
        <f aca="false">IFERROR(INDEX('TRANS'!$C:$C,MATCH($B2831,'TRANS'!$A:$A,0)),IFERROR(INDEX('Catalog'!$B:$B,MATCH($G2831,'Catalog'!$A:$A,0)),$B2831))</f>
        <v>M93</v>
      </c>
      <c r="I2831" s="8" t="str">
        <f aca="false">IF($G2831="","Unmatched","Matched")</f>
        <v>Unmatched</v>
      </c>
      <c r="J2831" s="8" t="str">
        <f aca="false">IF($G2831&lt;&gt;"",$G2831,$B2831)</f>
        <v>M93</v>
      </c>
      <c r="K2831" s="8" t="str">
        <f aca="false">IF(COUNTIF($M$1:$M$10,$A2831)&gt;0,"Y","N")</f>
        <v>Y</v>
      </c>
    </row>
    <row r="2832" customFormat="false" ht="15" hidden="false" customHeight="true" outlineLevel="0" collapsed="false">
      <c r="A2832" s="8" t="s">
        <v>49</v>
      </c>
      <c r="B2832" s="8" t="s">
        <v>47</v>
      </c>
      <c r="C2832" s="19" t="n">
        <v>1</v>
      </c>
      <c r="D2832" s="19" t="n">
        <v>16.86</v>
      </c>
      <c r="E2832" s="19" t="n">
        <v>0</v>
      </c>
      <c r="F2832" s="19" t="n">
        <v>0</v>
      </c>
      <c r="G2832" s="8" t="str">
        <f aca="false">IFERROR(INDEX('TRANS'!$B:$B,MATCH($B2832,'TRANS'!$A:$A,0)),IFERROR(INDEX('TRANS'!$B:$B,MATCH(TRIM(SUBSTITUTE($B2832,CHAR(160)," ")),'TRANS'!$D:$D,0)),IFERROR(INDEX('Catalog'!$A:$A,MATCH($B2832,'Catalog'!$B:$B,0)),IFERROR(INDEX('Catalog'!$A:$A,MATCH(TRIM(SUBSTITUTE($B2832,CHAR(160)," ")),'Catalog'!$C:$C,0)),""))))</f>
        <v/>
      </c>
      <c r="H2832" s="8" t="str">
        <f aca="false">IFERROR(INDEX('TRANS'!$C:$C,MATCH($B2832,'TRANS'!$A:$A,0)),IFERROR(INDEX('Catalog'!$B:$B,MATCH($G2832,'Catalog'!$A:$A,0)),$B2832))</f>
        <v>M95</v>
      </c>
      <c r="I2832" s="8" t="str">
        <f aca="false">IF($G2832="","Unmatched","Matched")</f>
        <v>Unmatched</v>
      </c>
      <c r="J2832" s="8" t="str">
        <f aca="false">IF($G2832&lt;&gt;"",$G2832,$B2832)</f>
        <v>M95</v>
      </c>
      <c r="K2832" s="8" t="str">
        <f aca="false">IF(COUNTIF($M$1:$M$10,$A2832)&gt;0,"Y","N")</f>
        <v>Y</v>
      </c>
    </row>
    <row r="2833" customFormat="false" ht="15" hidden="false" customHeight="true" outlineLevel="0" collapsed="false">
      <c r="A2833" s="8" t="s">
        <v>49</v>
      </c>
      <c r="B2833" s="8" t="s">
        <v>138</v>
      </c>
      <c r="C2833" s="19" t="n">
        <v>1</v>
      </c>
      <c r="D2833" s="19" t="n">
        <v>128.73</v>
      </c>
      <c r="E2833" s="19" t="n">
        <v>0</v>
      </c>
      <c r="F2833" s="19" t="n">
        <v>0</v>
      </c>
      <c r="G2833" s="8" t="str">
        <f aca="false">IFERROR(INDEX('TRANS'!$B:$B,MATCH($B2833,'TRANS'!$A:$A,0)),IFERROR(INDEX('TRANS'!$B:$B,MATCH(TRIM(SUBSTITUTE($B2833,CHAR(160)," ")),'TRANS'!$D:$D,0)),IFERROR(INDEX('Catalog'!$A:$A,MATCH($B2833,'Catalog'!$B:$B,0)),IFERROR(INDEX('Catalog'!$A:$A,MATCH(TRIM(SUBSTITUTE($B2833,CHAR(160)," ")),'Catalog'!$C:$C,0)),""))))</f>
        <v/>
      </c>
      <c r="H2833" s="8" t="str">
        <f aca="false">IFERROR(INDEX('TRANS'!$C:$C,MATCH($B2833,'TRANS'!$A:$A,0)),IFERROR(INDEX('Catalog'!$B:$B,MATCH($G2833,'Catalog'!$A:$A,0)),$B2833))</f>
        <v>SP302W 0</v>
      </c>
      <c r="I2833" s="8" t="str">
        <f aca="false">IF($G2833="","Unmatched","Matched")</f>
        <v>Unmatched</v>
      </c>
      <c r="J2833" s="8" t="str">
        <f aca="false">IF($G2833&lt;&gt;"",$G2833,$B2833)</f>
        <v>SP302W 0</v>
      </c>
      <c r="K2833" s="8" t="str">
        <f aca="false">IF(COUNTIF($M$1:$M$10,$A2833)&gt;0,"Y","N")</f>
        <v>Y</v>
      </c>
    </row>
    <row r="2834" customFormat="false" ht="15" hidden="false" customHeight="true" outlineLevel="0" collapsed="false">
      <c r="A2834" s="8" t="s">
        <v>49</v>
      </c>
      <c r="B2834" s="8" t="s">
        <v>311</v>
      </c>
      <c r="C2834" s="19" t="n">
        <v>3</v>
      </c>
      <c r="D2834" s="19" t="n">
        <v>897.21</v>
      </c>
      <c r="E2834" s="19" t="n">
        <v>2</v>
      </c>
      <c r="F2834" s="19" t="n">
        <v>598.14</v>
      </c>
      <c r="G2834" s="8" t="str">
        <f aca="false">IFERROR(INDEX('TRANS'!$B:$B,MATCH($B2834,'TRANS'!$A:$A,0)),IFERROR(INDEX('TRANS'!$B:$B,MATCH(TRIM(SUBSTITUTE($B2834,CHAR(160)," ")),'TRANS'!$D:$D,0)),IFERROR(INDEX('Catalog'!$A:$A,MATCH($B2834,'Catalog'!$B:$B,0)),IFERROR(INDEX('Catalog'!$A:$A,MATCH(TRIM(SUBSTITUTE($B2834,CHAR(160)," ")),'Catalog'!$C:$C,0)),""))))</f>
        <v/>
      </c>
      <c r="H2834" s="8" t="str">
        <f aca="false">IFERROR(INDEX('TRANS'!$C:$C,MATCH($B2834,'TRANS'!$A:$A,0)),IFERROR(INDEX('Catalog'!$B:$B,MATCH($G2834,'Catalog'!$A:$A,0)),$B2834))</f>
        <v>T401 L</v>
      </c>
      <c r="I2834" s="8" t="str">
        <f aca="false">IF($G2834="","Unmatched","Matched")</f>
        <v>Unmatched</v>
      </c>
      <c r="J2834" s="8" t="str">
        <f aca="false">IF($G2834&lt;&gt;"",$G2834,$B2834)</f>
        <v>T401 L</v>
      </c>
      <c r="K2834" s="8" t="str">
        <f aca="false">IF(COUNTIF($M$1:$M$10,$A2834)&gt;0,"Y","N")</f>
        <v>Y</v>
      </c>
    </row>
    <row r="2835" customFormat="false" ht="15" hidden="false" customHeight="true" outlineLevel="0" collapsed="false">
      <c r="A2835" s="8" t="s">
        <v>49</v>
      </c>
      <c r="B2835" s="8" t="s">
        <v>520</v>
      </c>
      <c r="C2835" s="19" t="n">
        <v>2</v>
      </c>
      <c r="D2835" s="19" t="n">
        <v>598.14</v>
      </c>
      <c r="E2835" s="19" t="n">
        <v>0</v>
      </c>
      <c r="F2835" s="19" t="n">
        <v>0</v>
      </c>
      <c r="G2835" s="8" t="str">
        <f aca="false">IFERROR(INDEX('TRANS'!$B:$B,MATCH($B2835,'TRANS'!$A:$A,0)),IFERROR(INDEX('TRANS'!$B:$B,MATCH(TRIM(SUBSTITUTE($B2835,CHAR(160)," ")),'TRANS'!$D:$D,0)),IFERROR(INDEX('Catalog'!$A:$A,MATCH($B2835,'Catalog'!$B:$B,0)),IFERROR(INDEX('Catalog'!$A:$A,MATCH(TRIM(SUBSTITUTE($B2835,CHAR(160)," ")),'Catalog'!$C:$C,0)),""))))</f>
        <v/>
      </c>
      <c r="H2835" s="8" t="str">
        <f aca="false">IFERROR(INDEX('TRANS'!$C:$C,MATCH($B2835,'TRANS'!$A:$A,0)),IFERROR(INDEX('Catalog'!$B:$B,MATCH($G2835,'Catalog'!$A:$A,0)),$B2835))</f>
        <v>T401 M</v>
      </c>
      <c r="I2835" s="8" t="str">
        <f aca="false">IF($G2835="","Unmatched","Matched")</f>
        <v>Unmatched</v>
      </c>
      <c r="J2835" s="8" t="str">
        <f aca="false">IF($G2835&lt;&gt;"",$G2835,$B2835)</f>
        <v>T401 M</v>
      </c>
      <c r="K2835" s="8" t="str">
        <f aca="false">IF(COUNTIF($M$1:$M$10,$A2835)&gt;0,"Y","N")</f>
        <v>Y</v>
      </c>
    </row>
    <row r="2836" customFormat="false" ht="15" hidden="false" customHeight="true" outlineLevel="0" collapsed="false">
      <c r="A2836" s="8" t="s">
        <v>49</v>
      </c>
      <c r="B2836" s="8" t="s">
        <v>396</v>
      </c>
      <c r="C2836" s="19" t="n">
        <v>0</v>
      </c>
      <c r="D2836" s="19" t="n">
        <v>0</v>
      </c>
      <c r="E2836" s="19" t="n">
        <v>1</v>
      </c>
      <c r="F2836" s="19" t="n">
        <v>299.07</v>
      </c>
      <c r="G2836" s="8" t="str">
        <f aca="false">IFERROR(INDEX('TRANS'!$B:$B,MATCH($B2836,'TRANS'!$A:$A,0)),IFERROR(INDEX('TRANS'!$B:$B,MATCH(TRIM(SUBSTITUTE($B2836,CHAR(160)," ")),'TRANS'!$D:$D,0)),IFERROR(INDEX('Catalog'!$A:$A,MATCH($B2836,'Catalog'!$B:$B,0)),IFERROR(INDEX('Catalog'!$A:$A,MATCH(TRIM(SUBSTITUTE($B2836,CHAR(160)," ")),'Catalog'!$C:$C,0)),""))))</f>
        <v/>
      </c>
      <c r="H2836" s="8" t="str">
        <f aca="false">IFERROR(INDEX('TRANS'!$C:$C,MATCH($B2836,'TRANS'!$A:$A,0)),IFERROR(INDEX('Catalog'!$B:$B,MATCH($G2836,'Catalog'!$A:$A,0)),$B2836))</f>
        <v>T401 S</v>
      </c>
      <c r="I2836" s="8" t="str">
        <f aca="false">IF($G2836="","Unmatched","Matched")</f>
        <v>Unmatched</v>
      </c>
      <c r="J2836" s="8" t="str">
        <f aca="false">IF($G2836&lt;&gt;"",$G2836,$B2836)</f>
        <v>T401 S</v>
      </c>
      <c r="K2836" s="8" t="str">
        <f aca="false">IF(COUNTIF($M$1:$M$10,$A2836)&gt;0,"Y","N")</f>
        <v>Y</v>
      </c>
    </row>
    <row r="2837" customFormat="false" ht="15" hidden="false" customHeight="true" outlineLevel="0" collapsed="false">
      <c r="A2837" s="8" t="s">
        <v>49</v>
      </c>
      <c r="B2837" s="8" t="s">
        <v>397</v>
      </c>
      <c r="C2837" s="19" t="n">
        <v>0</v>
      </c>
      <c r="D2837" s="19" t="n">
        <v>0</v>
      </c>
      <c r="E2837" s="19" t="n">
        <v>1</v>
      </c>
      <c r="F2837" s="19" t="n">
        <v>299.07</v>
      </c>
      <c r="G2837" s="8" t="str">
        <f aca="false">IFERROR(INDEX('TRANS'!$B:$B,MATCH($B2837,'TRANS'!$A:$A,0)),IFERROR(INDEX('TRANS'!$B:$B,MATCH(TRIM(SUBSTITUTE($B2837,CHAR(160)," ")),'TRANS'!$D:$D,0)),IFERROR(INDEX('Catalog'!$A:$A,MATCH($B2837,'Catalog'!$B:$B,0)),IFERROR(INDEX('Catalog'!$A:$A,MATCH(TRIM(SUBSTITUTE($B2837,CHAR(160)," ")),'Catalog'!$C:$C,0)),""))))</f>
        <v/>
      </c>
      <c r="H2837" s="8" t="str">
        <f aca="false">IFERROR(INDEX('TRANS'!$C:$C,MATCH($B2837,'TRANS'!$A:$A,0)),IFERROR(INDEX('Catalog'!$B:$B,MATCH($G2837,'Catalog'!$A:$A,0)),$B2837))</f>
        <v>T401 XL</v>
      </c>
      <c r="I2837" s="8" t="str">
        <f aca="false">IF($G2837="","Unmatched","Matched")</f>
        <v>Unmatched</v>
      </c>
      <c r="J2837" s="8" t="str">
        <f aca="false">IF($G2837&lt;&gt;"",$G2837,$B2837)</f>
        <v>T401 XL</v>
      </c>
      <c r="K2837" s="8" t="str">
        <f aca="false">IF(COUNTIF($M$1:$M$10,$A2837)&gt;0,"Y","N")</f>
        <v>Y</v>
      </c>
    </row>
    <row r="2838" customFormat="false" ht="15" hidden="false" customHeight="true" outlineLevel="0" collapsed="false">
      <c r="A2838" s="8" t="s">
        <v>49</v>
      </c>
      <c r="B2838" s="8" t="s">
        <v>98</v>
      </c>
      <c r="C2838" s="19" t="n">
        <v>1</v>
      </c>
      <c r="D2838" s="19" t="n">
        <v>143.98</v>
      </c>
      <c r="E2838" s="19" t="n">
        <v>0</v>
      </c>
      <c r="F2838" s="19" t="n">
        <v>0</v>
      </c>
      <c r="G2838" s="8" t="str">
        <f aca="false">IFERROR(INDEX('TRANS'!$B:$B,MATCH($B2838,'TRANS'!$A:$A,0)),IFERROR(INDEX('TRANS'!$B:$B,MATCH(TRIM(SUBSTITUTE($B2838,CHAR(160)," ")),'TRANS'!$D:$D,0)),IFERROR(INDEX('Catalog'!$A:$A,MATCH($B2838,'Catalog'!$B:$B,0)),IFERROR(INDEX('Catalog'!$A:$A,MATCH(TRIM(SUBSTITUTE($B2838,CHAR(160)," ")),'Catalog'!$C:$C,0)),""))))</f>
        <v/>
      </c>
      <c r="H2838" s="8" t="str">
        <f aca="false">IFERROR(INDEX('TRANS'!$C:$C,MATCH($B2838,'TRANS'!$A:$A,0)),IFERROR(INDEX('Catalog'!$B:$B,MATCH($G2838,'Catalog'!$A:$A,0)),$B2838))</f>
        <v>WEB-AC75-S-XL</v>
      </c>
      <c r="I2838" s="8" t="str">
        <f aca="false">IF($G2838="","Unmatched","Matched")</f>
        <v>Unmatched</v>
      </c>
      <c r="J2838" s="8" t="str">
        <f aca="false">IF($G2838&lt;&gt;"",$G2838,$B2838)</f>
        <v>WEB-AC75-S-XL</v>
      </c>
      <c r="K2838" s="8" t="str">
        <f aca="false">IF(COUNTIF($M$1:$M$10,$A2838)&gt;0,"Y","N")</f>
        <v>Y</v>
      </c>
    </row>
    <row r="2839" customFormat="false" ht="15" hidden="false" customHeight="true" outlineLevel="0" collapsed="false">
      <c r="A2839" s="8" t="s">
        <v>1057</v>
      </c>
      <c r="B2839" s="8" t="s">
        <v>620</v>
      </c>
      <c r="C2839" s="19" t="n">
        <v>20</v>
      </c>
      <c r="D2839" s="19" t="n">
        <v>248.43</v>
      </c>
      <c r="E2839" s="19" t="n">
        <v>0</v>
      </c>
      <c r="F2839" s="19" t="n">
        <v>0</v>
      </c>
      <c r="G2839" s="8" t="n">
        <f aca="false">IFERROR(INDEX('TRANS'!$B:$B,MATCH($B2839,'TRANS'!$A:$A,0)),IFERROR(INDEX('TRANS'!$B:$B,MATCH(TRIM(SUBSTITUTE($B2839,CHAR(160)," ")),'TRANS'!$D:$D,0)),IFERROR(INDEX('Catalog'!$A:$A,MATCH($B2839,'Catalog'!$B:$B,0)),IFERROR(INDEX('Catalog'!$A:$A,MATCH(TRIM(SUBSTITUTE($B2839,CHAR(160)," ")),'Catalog'!$C:$C,0)),""))))</f>
        <v>4413053</v>
      </c>
      <c r="H2839" s="8" t="str">
        <f aca="false">IFERROR(INDEX('TRANS'!$C:$C,MATCH($B2839,'TRANS'!$A:$A,0)),IFERROR(INDEX('Catalog'!$B:$B,MATCH($G2839,'Catalog'!$A:$A,0)),$B2839))</f>
        <v>35C L מגן קרסול חום</v>
      </c>
      <c r="I2839" s="8" t="str">
        <f aca="false">IF($G2839="","Unmatched","Matched")</f>
        <v>Matched</v>
      </c>
      <c r="J2839" s="8" t="n">
        <f aca="false">IF($G2839&lt;&gt;"",$G2839,$B2839)</f>
        <v>4413053</v>
      </c>
      <c r="K2839" s="8" t="str">
        <f aca="false">IF(COUNTIF($M$1:$M$10,$A2839)&gt;0,"Y","N")</f>
        <v>N</v>
      </c>
    </row>
    <row r="2840" customFormat="false" ht="15" hidden="false" customHeight="true" outlineLevel="0" collapsed="false">
      <c r="A2840" s="8" t="s">
        <v>1057</v>
      </c>
      <c r="B2840" s="8" t="s">
        <v>869</v>
      </c>
      <c r="C2840" s="19" t="n">
        <v>1</v>
      </c>
      <c r="D2840" s="19" t="n">
        <v>0.04</v>
      </c>
      <c r="E2840" s="19" t="n">
        <v>0</v>
      </c>
      <c r="F2840" s="19" t="n">
        <v>0</v>
      </c>
      <c r="G2840" s="8" t="n">
        <f aca="false">IFERROR(INDEX('TRANS'!$B:$B,MATCH($B2840,'TRANS'!$A:$A,0)),IFERROR(INDEX('TRANS'!$B:$B,MATCH(TRIM(SUBSTITUTE($B2840,CHAR(160)," ")),'TRANS'!$D:$D,0)),IFERROR(INDEX('Catalog'!$A:$A,MATCH($B2840,'Catalog'!$B:$B,0)),IFERROR(INDEX('Catalog'!$A:$A,MATCH(TRIM(SUBSTITUTE($B2840,CHAR(160)," ")),'Catalog'!$C:$C,0)),""))))</f>
        <v>4413523</v>
      </c>
      <c r="H2840" s="8" t="str">
        <f aca="false">IFERROR(INDEX('TRANS'!$C:$C,MATCH($B2840,'TRANS'!$A:$A,0)),IFERROR(INDEX('Catalog'!$B:$B,MATCH($G2840,'Catalog'!$A:$A,0)),$B2840))</f>
        <v>35-38 מדרסי אפיק ג'ל נוחות</v>
      </c>
      <c r="I2840" s="8" t="str">
        <f aca="false">IF($G2840="","Unmatched","Matched")</f>
        <v>Matched</v>
      </c>
      <c r="J2840" s="8" t="n">
        <f aca="false">IF($G2840&lt;&gt;"",$G2840,$B2840)</f>
        <v>4413523</v>
      </c>
      <c r="K2840" s="8" t="str">
        <f aca="false">IF(COUNTIF($M$1:$M$10,$A2840)&gt;0,"Y","N")</f>
        <v>N</v>
      </c>
    </row>
    <row r="2841" customFormat="false" ht="15" hidden="false" customHeight="true" outlineLevel="0" collapsed="false">
      <c r="A2841" s="8" t="s">
        <v>1057</v>
      </c>
      <c r="B2841" s="8" t="s">
        <v>872</v>
      </c>
      <c r="C2841" s="19" t="n">
        <v>1</v>
      </c>
      <c r="D2841" s="19" t="n">
        <v>0.04</v>
      </c>
      <c r="E2841" s="19" t="n">
        <v>0</v>
      </c>
      <c r="F2841" s="19" t="n">
        <v>0</v>
      </c>
      <c r="G2841" s="8" t="n">
        <f aca="false">IFERROR(INDEX('TRANS'!$B:$B,MATCH($B2841,'TRANS'!$A:$A,0)),IFERROR(INDEX('TRANS'!$B:$B,MATCH(TRIM(SUBSTITUTE($B2841,CHAR(160)," ")),'TRANS'!$D:$D,0)),IFERROR(INDEX('Catalog'!$A:$A,MATCH($B2841,'Catalog'!$B:$B,0)),IFERROR(INDEX('Catalog'!$A:$A,MATCH(TRIM(SUBSTITUTE($B2841,CHAR(160)," ")),'Catalog'!$C:$C,0)),""))))</f>
        <v>4413520</v>
      </c>
      <c r="H2841" s="8" t="str">
        <f aca="false">IFERROR(INDEX('TRANS'!$C:$C,MATCH($B2841,'TRANS'!$A:$A,0)),IFERROR(INDEX('Catalog'!$B:$B,MATCH($G2841,'Catalog'!$A:$A,0)),$B2841))</f>
        <v>מדרסי אפיק ג'ל מולט.ספורט35-38</v>
      </c>
      <c r="I2841" s="8" t="str">
        <f aca="false">IF($G2841="","Unmatched","Matched")</f>
        <v>Matched</v>
      </c>
      <c r="J2841" s="8" t="n">
        <f aca="false">IF($G2841&lt;&gt;"",$G2841,$B2841)</f>
        <v>4413520</v>
      </c>
      <c r="K2841" s="8" t="str">
        <f aca="false">IF(COUNTIF($M$1:$M$10,$A2841)&gt;0,"Y","N")</f>
        <v>N</v>
      </c>
    </row>
    <row r="2842" customFormat="false" ht="15" hidden="false" customHeight="true" outlineLevel="0" collapsed="false">
      <c r="A2842" s="8" t="s">
        <v>1057</v>
      </c>
      <c r="B2842" s="8" t="s">
        <v>875</v>
      </c>
      <c r="C2842" s="19" t="n">
        <v>1</v>
      </c>
      <c r="D2842" s="19" t="n">
        <v>0.04</v>
      </c>
      <c r="E2842" s="19" t="n">
        <v>0</v>
      </c>
      <c r="F2842" s="19" t="n">
        <v>0</v>
      </c>
      <c r="G2842" s="8" t="n">
        <f aca="false">IFERROR(INDEX('TRANS'!$B:$B,MATCH($B2842,'TRANS'!$A:$A,0)),IFERROR(INDEX('TRANS'!$B:$B,MATCH(TRIM(SUBSTITUTE($B2842,CHAR(160)," ")),'TRANS'!$D:$D,0)),IFERROR(INDEX('Catalog'!$A:$A,MATCH($B2842,'Catalog'!$B:$B,0)),IFERROR(INDEX('Catalog'!$A:$A,MATCH(TRIM(SUBSTITUTE($B2842,CHAR(160)," ")),'Catalog'!$C:$C,0)),""))))</f>
        <v>4413527</v>
      </c>
      <c r="H2842" s="8" t="str">
        <f aca="false">IFERROR(INDEX('TRANS'!$C:$C,MATCH($B2842,'TRANS'!$A:$A,0)),IFERROR(INDEX('Catalog'!$B:$B,MATCH($G2842,'Catalog'!$A:$A,0)),$B2842))</f>
        <v>35-38 מדרסי אפיק ג'ל עבודה</v>
      </c>
      <c r="I2842" s="8" t="str">
        <f aca="false">IF($G2842="","Unmatched","Matched")</f>
        <v>Matched</v>
      </c>
      <c r="J2842" s="8" t="n">
        <f aca="false">IF($G2842&lt;&gt;"",$G2842,$B2842)</f>
        <v>4413527</v>
      </c>
      <c r="K2842" s="8" t="str">
        <f aca="false">IF(COUNTIF($M$1:$M$10,$A2842)&gt;0,"Y","N")</f>
        <v>N</v>
      </c>
    </row>
    <row r="2843" customFormat="false" ht="15" hidden="false" customHeight="true" outlineLevel="0" collapsed="false">
      <c r="A2843" s="8" t="s">
        <v>1057</v>
      </c>
      <c r="B2843" s="8" t="s">
        <v>876</v>
      </c>
      <c r="C2843" s="19" t="n">
        <v>1</v>
      </c>
      <c r="D2843" s="19" t="n">
        <v>0.04</v>
      </c>
      <c r="E2843" s="19" t="n">
        <v>0</v>
      </c>
      <c r="F2843" s="19" t="n">
        <v>0</v>
      </c>
      <c r="G2843" s="8" t="n">
        <f aca="false">IFERROR(INDEX('TRANS'!$B:$B,MATCH($B2843,'TRANS'!$A:$A,0)),IFERROR(INDEX('TRANS'!$B:$B,MATCH(TRIM(SUBSTITUTE($B2843,CHAR(160)," ")),'TRANS'!$D:$D,0)),IFERROR(INDEX('Catalog'!$A:$A,MATCH($B2843,'Catalog'!$B:$B,0)),IFERROR(INDEX('Catalog'!$A:$A,MATCH(TRIM(SUBSTITUTE($B2843,CHAR(160)," ")),'Catalog'!$C:$C,0)),""))))</f>
        <v>4413528</v>
      </c>
      <c r="H2843" s="8" t="str">
        <f aca="false">IFERROR(INDEX('TRANS'!$C:$C,MATCH($B2843,'TRANS'!$A:$A,0)),IFERROR(INDEX('Catalog'!$B:$B,MATCH($G2843,'Catalog'!$A:$A,0)),$B2843))</f>
        <v>39-42 מדרסי אפיק ג'ל עבודה</v>
      </c>
      <c r="I2843" s="8" t="str">
        <f aca="false">IF($G2843="","Unmatched","Matched")</f>
        <v>Matched</v>
      </c>
      <c r="J2843" s="8" t="n">
        <f aca="false">IF($G2843&lt;&gt;"",$G2843,$B2843)</f>
        <v>4413528</v>
      </c>
      <c r="K2843" s="8" t="str">
        <f aca="false">IF(COUNTIF($M$1:$M$10,$A2843)&gt;0,"Y","N")</f>
        <v>N</v>
      </c>
    </row>
    <row r="2844" customFormat="false" ht="15" hidden="false" customHeight="true" outlineLevel="0" collapsed="false">
      <c r="A2844" s="8" t="s">
        <v>1058</v>
      </c>
      <c r="B2844" s="8" t="s">
        <v>592</v>
      </c>
      <c r="C2844" s="19" t="n">
        <v>110</v>
      </c>
      <c r="D2844" s="19" t="n">
        <v>2664.28</v>
      </c>
      <c r="E2844" s="19" t="n">
        <v>120</v>
      </c>
      <c r="F2844" s="19" t="n">
        <v>2683</v>
      </c>
      <c r="G2844" s="8" t="n">
        <f aca="false">IFERROR(INDEX('TRANS'!$B:$B,MATCH($B2844,'TRANS'!$A:$A,0)),IFERROR(INDEX('TRANS'!$B:$B,MATCH(TRIM(SUBSTITUTE($B2844,CHAR(160)," ")),'TRANS'!$D:$D,0)),IFERROR(INDEX('Catalog'!$A:$A,MATCH($B2844,'Catalog'!$B:$B,0)),IFERROR(INDEX('Catalog'!$A:$A,MATCH(TRIM(SUBSTITUTE($B2844,CHAR(160)," ")),'Catalog'!$C:$C,0)),""))))</f>
        <v>4415158</v>
      </c>
      <c r="H2844" s="8" t="str">
        <f aca="false">IFERROR(INDEX('TRANS'!$C:$C,MATCH($B2844,'TRANS'!$A:$A,0)),IFERROR(INDEX('Catalog'!$B:$B,MATCH($G2844,'Catalog'!$A:$A,0)),$B2844))</f>
        <v>266 סד ליד דו צדדי</v>
      </c>
      <c r="I2844" s="8" t="str">
        <f aca="false">IF($G2844="","Unmatched","Matched")</f>
        <v>Matched</v>
      </c>
      <c r="J2844" s="8" t="n">
        <f aca="false">IF($G2844&lt;&gt;"",$G2844,$B2844)</f>
        <v>4415158</v>
      </c>
      <c r="K2844" s="8" t="str">
        <f aca="false">IF(COUNTIF($M$1:$M$10,$A2844)&gt;0,"Y","N")</f>
        <v>N</v>
      </c>
    </row>
    <row r="2845" customFormat="false" ht="15" hidden="false" customHeight="true" outlineLevel="0" collapsed="false">
      <c r="A2845" s="8" t="s">
        <v>1058</v>
      </c>
      <c r="B2845" s="8" t="s">
        <v>601</v>
      </c>
      <c r="C2845" s="19" t="n">
        <v>20</v>
      </c>
      <c r="D2845" s="19" t="n">
        <v>771.24</v>
      </c>
      <c r="E2845" s="19" t="n">
        <v>20</v>
      </c>
      <c r="F2845" s="19" t="n">
        <v>720.44</v>
      </c>
      <c r="G2845" s="8" t="n">
        <f aca="false">IFERROR(INDEX('TRANS'!$B:$B,MATCH($B2845,'TRANS'!$A:$A,0)),IFERROR(INDEX('TRANS'!$B:$B,MATCH(TRIM(SUBSTITUTE($B2845,CHAR(160)," ")),'TRANS'!$D:$D,0)),IFERROR(INDEX('Catalog'!$A:$A,MATCH($B2845,'Catalog'!$B:$B,0)),IFERROR(INDEX('Catalog'!$A:$A,MATCH(TRIM(SUBSTITUTE($B2845,CHAR(160)," ")),'Catalog'!$C:$C,0)),""))))</f>
        <v>4416000</v>
      </c>
      <c r="H2845" s="8" t="str">
        <f aca="false">IFERROR(INDEX('TRANS'!$C:$C,MATCH($B2845,'TRANS'!$A:$A,0)),IFERROR(INDEX('Catalog'!$B:$B,MATCH($G2845,'Catalog'!$A:$A,0)),$B2845))</f>
        <v>307 L עקבים לדורבן-זוג כריות</v>
      </c>
      <c r="I2845" s="8" t="str">
        <f aca="false">IF($G2845="","Unmatched","Matched")</f>
        <v>Matched</v>
      </c>
      <c r="J2845" s="8" t="n">
        <f aca="false">IF($G2845&lt;&gt;"",$G2845,$B2845)</f>
        <v>4416000</v>
      </c>
      <c r="K2845" s="8" t="str">
        <f aca="false">IF(COUNTIF($M$1:$M$10,$A2845)&gt;0,"Y","N")</f>
        <v>N</v>
      </c>
    </row>
    <row r="2846" customFormat="false" ht="15" hidden="false" customHeight="true" outlineLevel="0" collapsed="false">
      <c r="A2846" s="8" t="s">
        <v>1058</v>
      </c>
      <c r="B2846" s="8" t="s">
        <v>602</v>
      </c>
      <c r="C2846" s="19" t="n">
        <v>40</v>
      </c>
      <c r="D2846" s="19" t="n">
        <v>1583.48</v>
      </c>
      <c r="E2846" s="19" t="n">
        <v>40</v>
      </c>
      <c r="F2846" s="19" t="n">
        <v>1440.87</v>
      </c>
      <c r="G2846" s="8" t="n">
        <f aca="false">IFERROR(INDEX('TRANS'!$B:$B,MATCH($B2846,'TRANS'!$A:$A,0)),IFERROR(INDEX('TRANS'!$B:$B,MATCH(TRIM(SUBSTITUTE($B2846,CHAR(160)," ")),'TRANS'!$D:$D,0)),IFERROR(INDEX('Catalog'!$A:$A,MATCH($B2846,'Catalog'!$B:$B,0)),IFERROR(INDEX('Catalog'!$A:$A,MATCH(TRIM(SUBSTITUTE($B2846,CHAR(160)," ")),'Catalog'!$C:$C,0)),""))))</f>
        <v>4416001</v>
      </c>
      <c r="H2846" s="8" t="str">
        <f aca="false">IFERROR(INDEX('TRANS'!$C:$C,MATCH($B2846,'TRANS'!$A:$A,0)),IFERROR(INDEX('Catalog'!$B:$B,MATCH($G2846,'Catalog'!$A:$A,0)),$B2846))</f>
        <v>307 M עקבים לדורבן-זוג כריות</v>
      </c>
      <c r="I2846" s="8" t="str">
        <f aca="false">IF($G2846="","Unmatched","Matched")</f>
        <v>Matched</v>
      </c>
      <c r="J2846" s="8" t="n">
        <f aca="false">IF($G2846&lt;&gt;"",$G2846,$B2846)</f>
        <v>4416001</v>
      </c>
      <c r="K2846" s="8" t="str">
        <f aca="false">IF(COUNTIF($M$1:$M$10,$A2846)&gt;0,"Y","N")</f>
        <v>N</v>
      </c>
    </row>
    <row r="2847" customFormat="false" ht="15" hidden="false" customHeight="true" outlineLevel="0" collapsed="false">
      <c r="A2847" s="8" t="s">
        <v>1058</v>
      </c>
      <c r="B2847" s="8" t="s">
        <v>603</v>
      </c>
      <c r="C2847" s="19" t="n">
        <v>10</v>
      </c>
      <c r="D2847" s="19" t="n">
        <v>385.62</v>
      </c>
      <c r="E2847" s="19" t="n">
        <v>0</v>
      </c>
      <c r="F2847" s="19" t="n">
        <v>0</v>
      </c>
      <c r="G2847" s="8" t="n">
        <f aca="false">IFERROR(INDEX('TRANS'!$B:$B,MATCH($B2847,'TRANS'!$A:$A,0)),IFERROR(INDEX('TRANS'!$B:$B,MATCH(TRIM(SUBSTITUTE($B2847,CHAR(160)," ")),'TRANS'!$D:$D,0)),IFERROR(INDEX('Catalog'!$A:$A,MATCH($B2847,'Catalog'!$B:$B,0)),IFERROR(INDEX('Catalog'!$A:$A,MATCH(TRIM(SUBSTITUTE($B2847,CHAR(160)," ")),'Catalog'!$C:$C,0)),""))))</f>
        <v>4411016</v>
      </c>
      <c r="H2847" s="8" t="str">
        <f aca="false">IFERROR(INDEX('TRANS'!$C:$C,MATCH($B2847,'TRANS'!$A:$A,0)),IFERROR(INDEX('Catalog'!$B:$B,MATCH($G2847,'Catalog'!$A:$A,0)),$B2847))</f>
        <v>307 XL כרית סיליקון לעקב</v>
      </c>
      <c r="I2847" s="8" t="str">
        <f aca="false">IF($G2847="","Unmatched","Matched")</f>
        <v>Matched</v>
      </c>
      <c r="J2847" s="8" t="n">
        <f aca="false">IF($G2847&lt;&gt;"",$G2847,$B2847)</f>
        <v>4411016</v>
      </c>
      <c r="K2847" s="8" t="str">
        <f aca="false">IF(COUNTIF($M$1:$M$10,$A2847)&gt;0,"Y","N")</f>
        <v>N</v>
      </c>
    </row>
    <row r="2848" customFormat="false" ht="15" hidden="false" customHeight="true" outlineLevel="0" collapsed="false">
      <c r="A2848" s="8" t="s">
        <v>1058</v>
      </c>
      <c r="B2848" s="8" t="s">
        <v>606</v>
      </c>
      <c r="C2848" s="19" t="n">
        <v>0</v>
      </c>
      <c r="D2848" s="19" t="n">
        <v>0</v>
      </c>
      <c r="E2848" s="19" t="n">
        <v>40</v>
      </c>
      <c r="F2848" s="19" t="n">
        <v>262.63</v>
      </c>
      <c r="G2848" s="8" t="n">
        <f aca="false">IFERROR(INDEX('TRANS'!$B:$B,MATCH($B2848,'TRANS'!$A:$A,0)),IFERROR(INDEX('TRANS'!$B:$B,MATCH(TRIM(SUBSTITUTE($B2848,CHAR(160)," ")),'TRANS'!$D:$D,0)),IFERROR(INDEX('Catalog'!$A:$A,MATCH($B2848,'Catalog'!$B:$B,0)),IFERROR(INDEX('Catalog'!$A:$A,MATCH(TRIM(SUBSTITUTE($B2848,CHAR(160)," ")),'Catalog'!$C:$C,0)),""))))</f>
        <v>4413034</v>
      </c>
      <c r="H2848" s="8" t="str">
        <f aca="false">IFERROR(INDEX('TRANS'!$C:$C,MATCH($B2848,'TRANS'!$A:$A,0)),IFERROR(INDEX('Catalog'!$B:$B,MATCH($G2848,'Catalog'!$A:$A,0)),$B2848))</f>
        <v>312 9 מ""""ס להתאמהX5 מדבקה גדולה</v>
      </c>
      <c r="I2848" s="8" t="str">
        <f aca="false">IF($G2848="","Unmatched","Matched")</f>
        <v>Matched</v>
      </c>
      <c r="J2848" s="8" t="n">
        <f aca="false">IF($G2848&lt;&gt;"",$G2848,$B2848)</f>
        <v>4413034</v>
      </c>
      <c r="K2848" s="8" t="str">
        <f aca="false">IF(COUNTIF($M$1:$M$10,$A2848)&gt;0,"Y","N")</f>
        <v>N</v>
      </c>
    </row>
    <row r="2849" customFormat="false" ht="15" hidden="false" customHeight="true" outlineLevel="0" collapsed="false">
      <c r="A2849" s="8" t="s">
        <v>1058</v>
      </c>
      <c r="B2849" s="8" t="s">
        <v>615</v>
      </c>
      <c r="C2849" s="19" t="n">
        <v>40</v>
      </c>
      <c r="D2849" s="19" t="n">
        <v>467.91</v>
      </c>
      <c r="E2849" s="19" t="n">
        <v>20</v>
      </c>
      <c r="F2849" s="19" t="n">
        <v>220.03</v>
      </c>
      <c r="G2849" s="8" t="n">
        <f aca="false">IFERROR(INDEX('TRANS'!$B:$B,MATCH($B2849,'TRANS'!$A:$A,0)),IFERROR(INDEX('TRANS'!$B:$B,MATCH(TRIM(SUBSTITUTE($B2849,CHAR(160)," ")),'TRANS'!$D:$D,0)),IFERROR(INDEX('Catalog'!$A:$A,MATCH($B2849,'Catalog'!$B:$B,0)),IFERROR(INDEX('Catalog'!$A:$A,MATCH(TRIM(SUBSTITUTE($B2849,CHAR(160)," ")),'Catalog'!$C:$C,0)),""))))</f>
        <v>4413490</v>
      </c>
      <c r="H2849" s="8" t="str">
        <f aca="false">IFERROR(INDEX('TRANS'!$C:$C,MATCH($B2849,'TRANS'!$A:$A,0)),IFERROR(INDEX('Catalog'!$B:$B,MATCH($G2849,'Catalog'!$A:$A,0)),$B2849))</f>
        <v>35B L מגן קרסול שחור</v>
      </c>
      <c r="I2849" s="8" t="str">
        <f aca="false">IF($G2849="","Unmatched","Matched")</f>
        <v>Matched</v>
      </c>
      <c r="J2849" s="8" t="n">
        <f aca="false">IF($G2849&lt;&gt;"",$G2849,$B2849)</f>
        <v>4413490</v>
      </c>
      <c r="K2849" s="8" t="str">
        <f aca="false">IF(COUNTIF($M$1:$M$10,$A2849)&gt;0,"Y","N")</f>
        <v>N</v>
      </c>
    </row>
    <row r="2850" customFormat="false" ht="15" hidden="false" customHeight="true" outlineLevel="0" collapsed="false">
      <c r="A2850" s="8" t="s">
        <v>1058</v>
      </c>
      <c r="B2850" s="8" t="s">
        <v>616</v>
      </c>
      <c r="C2850" s="19" t="n">
        <v>40</v>
      </c>
      <c r="D2850" s="19" t="n">
        <v>464.71</v>
      </c>
      <c r="E2850" s="19" t="n">
        <v>40</v>
      </c>
      <c r="F2850" s="19" t="n">
        <v>440.07</v>
      </c>
      <c r="G2850" s="8" t="n">
        <f aca="false">IFERROR(INDEX('TRANS'!$B:$B,MATCH($B2850,'TRANS'!$A:$A,0)),IFERROR(INDEX('TRANS'!$B:$B,MATCH(TRIM(SUBSTITUTE($B2850,CHAR(160)," ")),'TRANS'!$D:$D,0)),IFERROR(INDEX('Catalog'!$A:$A,MATCH($B2850,'Catalog'!$B:$B,0)),IFERROR(INDEX('Catalog'!$A:$A,MATCH(TRIM(SUBSTITUTE($B2850,CHAR(160)," ")),'Catalog'!$C:$C,0)),""))))</f>
        <v>4413492</v>
      </c>
      <c r="H2850" s="8" t="str">
        <f aca="false">IFERROR(INDEX('TRANS'!$C:$C,MATCH($B2850,'TRANS'!$A:$A,0)),IFERROR(INDEX('Catalog'!$B:$B,MATCH($G2850,'Catalog'!$A:$A,0)),$B2850))</f>
        <v>35B M מגן קרסול שחור</v>
      </c>
      <c r="I2850" s="8" t="str">
        <f aca="false">IF($G2850="","Unmatched","Matched")</f>
        <v>Matched</v>
      </c>
      <c r="J2850" s="8" t="n">
        <f aca="false">IF($G2850&lt;&gt;"",$G2850,$B2850)</f>
        <v>4413492</v>
      </c>
      <c r="K2850" s="8" t="str">
        <f aca="false">IF(COUNTIF($M$1:$M$10,$A2850)&gt;0,"Y","N")</f>
        <v>N</v>
      </c>
    </row>
    <row r="2851" customFormat="false" ht="15" hidden="false" customHeight="true" outlineLevel="0" collapsed="false">
      <c r="A2851" s="8" t="s">
        <v>1058</v>
      </c>
      <c r="B2851" s="8" t="s">
        <v>617</v>
      </c>
      <c r="C2851" s="19" t="n">
        <v>30</v>
      </c>
      <c r="D2851" s="19" t="n">
        <v>350.13</v>
      </c>
      <c r="E2851" s="19" t="n">
        <v>0</v>
      </c>
      <c r="F2851" s="19" t="n">
        <v>0</v>
      </c>
      <c r="G2851" s="8" t="n">
        <f aca="false">IFERROR(INDEX('TRANS'!$B:$B,MATCH($B2851,'TRANS'!$A:$A,0)),IFERROR(INDEX('TRANS'!$B:$B,MATCH(TRIM(SUBSTITUTE($B2851,CHAR(160)," ")),'TRANS'!$D:$D,0)),IFERROR(INDEX('Catalog'!$A:$A,MATCH($B2851,'Catalog'!$B:$B,0)),IFERROR(INDEX('Catalog'!$A:$A,MATCH(TRIM(SUBSTITUTE($B2851,CHAR(160)," ")),'Catalog'!$C:$C,0)),""))))</f>
        <v>4413493</v>
      </c>
      <c r="H2851" s="8" t="str">
        <f aca="false">IFERROR(INDEX('TRANS'!$C:$C,MATCH($B2851,'TRANS'!$A:$A,0)),IFERROR(INDEX('Catalog'!$B:$B,MATCH($G2851,'Catalog'!$A:$A,0)),$B2851))</f>
        <v>35B S מגן קרסול שחור</v>
      </c>
      <c r="I2851" s="8" t="str">
        <f aca="false">IF($G2851="","Unmatched","Matched")</f>
        <v>Matched</v>
      </c>
      <c r="J2851" s="8" t="n">
        <f aca="false">IF($G2851&lt;&gt;"",$G2851,$B2851)</f>
        <v>4413493</v>
      </c>
      <c r="K2851" s="8" t="str">
        <f aca="false">IF(COUNTIF($M$1:$M$10,$A2851)&gt;0,"Y","N")</f>
        <v>N</v>
      </c>
    </row>
    <row r="2852" customFormat="false" ht="15" hidden="false" customHeight="true" outlineLevel="0" collapsed="false">
      <c r="A2852" s="8" t="s">
        <v>1058</v>
      </c>
      <c r="B2852" s="8" t="s">
        <v>618</v>
      </c>
      <c r="C2852" s="19" t="n">
        <v>30</v>
      </c>
      <c r="D2852" s="19" t="n">
        <v>346.94</v>
      </c>
      <c r="E2852" s="19" t="n">
        <v>0</v>
      </c>
      <c r="F2852" s="19" t="n">
        <v>0</v>
      </c>
      <c r="G2852" s="8" t="n">
        <f aca="false">IFERROR(INDEX('TRANS'!$B:$B,MATCH($B2852,'TRANS'!$A:$A,0)),IFERROR(INDEX('TRANS'!$B:$B,MATCH(TRIM(SUBSTITUTE($B2852,CHAR(160)," ")),'TRANS'!$D:$D,0)),IFERROR(INDEX('Catalog'!$A:$A,MATCH($B2852,'Catalog'!$B:$B,0)),IFERROR(INDEX('Catalog'!$A:$A,MATCH(TRIM(SUBSTITUTE($B2852,CHAR(160)," ")),'Catalog'!$C:$C,0)),""))))</f>
        <v>4413491</v>
      </c>
      <c r="H2852" s="8" t="str">
        <f aca="false">IFERROR(INDEX('TRANS'!$C:$C,MATCH($B2852,'TRANS'!$A:$A,0)),IFERROR(INDEX('Catalog'!$B:$B,MATCH($G2852,'Catalog'!$A:$A,0)),$B2852))</f>
        <v>35B XL מגן קרסול שחור</v>
      </c>
      <c r="I2852" s="8" t="str">
        <f aca="false">IF($G2852="","Unmatched","Matched")</f>
        <v>Matched</v>
      </c>
      <c r="J2852" s="8" t="n">
        <f aca="false">IF($G2852&lt;&gt;"",$G2852,$B2852)</f>
        <v>4413491</v>
      </c>
      <c r="K2852" s="8" t="str">
        <f aca="false">IF(COUNTIF($M$1:$M$10,$A2852)&gt;0,"Y","N")</f>
        <v>N</v>
      </c>
    </row>
    <row r="2853" customFormat="false" ht="15" hidden="false" customHeight="true" outlineLevel="0" collapsed="false">
      <c r="A2853" s="8" t="s">
        <v>1058</v>
      </c>
      <c r="B2853" s="8" t="s">
        <v>619</v>
      </c>
      <c r="C2853" s="19" t="n">
        <v>15</v>
      </c>
      <c r="D2853" s="19" t="n">
        <v>181.33</v>
      </c>
      <c r="E2853" s="19" t="n">
        <v>0</v>
      </c>
      <c r="F2853" s="19" t="n">
        <v>0</v>
      </c>
      <c r="G2853" s="8" t="n">
        <f aca="false">IFERROR(INDEX('TRANS'!$B:$B,MATCH($B2853,'TRANS'!$A:$A,0)),IFERROR(INDEX('TRANS'!$B:$B,MATCH(TRIM(SUBSTITUTE($B2853,CHAR(160)," ")),'TRANS'!$D:$D,0)),IFERROR(INDEX('Catalog'!$A:$A,MATCH($B2853,'Catalog'!$B:$B,0)),IFERROR(INDEX('Catalog'!$A:$A,MATCH(TRIM(SUBSTITUTE($B2853,CHAR(160)," ")),'Catalog'!$C:$C,0)),""))))</f>
        <v>4413494</v>
      </c>
      <c r="H2853" s="8" t="str">
        <f aca="false">IFERROR(INDEX('TRANS'!$C:$C,MATCH($B2853,'TRANS'!$A:$A,0)),IFERROR(INDEX('Catalog'!$B:$B,MATCH($G2853,'Catalog'!$A:$A,0)),$B2853))</f>
        <v>35B XXL מגן קרסול שחור</v>
      </c>
      <c r="I2853" s="8" t="str">
        <f aca="false">IF($G2853="","Unmatched","Matched")</f>
        <v>Matched</v>
      </c>
      <c r="J2853" s="8" t="n">
        <f aca="false">IF($G2853&lt;&gt;"",$G2853,$B2853)</f>
        <v>4413494</v>
      </c>
      <c r="K2853" s="8" t="str">
        <f aca="false">IF(COUNTIF($M$1:$M$10,$A2853)&gt;0,"Y","N")</f>
        <v>N</v>
      </c>
    </row>
    <row r="2854" customFormat="false" ht="15" hidden="false" customHeight="true" outlineLevel="0" collapsed="false">
      <c r="A2854" s="8" t="s">
        <v>1058</v>
      </c>
      <c r="B2854" s="8" t="s">
        <v>631</v>
      </c>
      <c r="C2854" s="19" t="n">
        <v>20</v>
      </c>
      <c r="D2854" s="19" t="n">
        <v>110.89</v>
      </c>
      <c r="E2854" s="19" t="n">
        <v>0</v>
      </c>
      <c r="F2854" s="19" t="n">
        <v>0</v>
      </c>
      <c r="G2854" s="8" t="n">
        <f aca="false">IFERROR(INDEX('TRANS'!$B:$B,MATCH($B2854,'TRANS'!$A:$A,0)),IFERROR(INDEX('TRANS'!$B:$B,MATCH(TRIM(SUBSTITUTE($B2854,CHAR(160)," ")),'TRANS'!$D:$D,0)),IFERROR(INDEX('Catalog'!$A:$A,MATCH($B2854,'Catalog'!$B:$B,0)),IFERROR(INDEX('Catalog'!$A:$A,MATCH(TRIM(SUBSTITUTE($B2854,CHAR(160)," ")),'Catalog'!$C:$C,0)),""))))</f>
        <v>4413061</v>
      </c>
      <c r="H2854" s="8" t="str">
        <f aca="false">IFERROR(INDEX('TRANS'!$C:$C,MATCH($B2854,'TRANS'!$A:$A,0)),IFERROR(INDEX('Catalog'!$B:$B,MATCH($G2854,'Catalog'!$A:$A,0)),$B2854))</f>
        <v>3641-מיישר בוהן סיליקון קשיח</v>
      </c>
      <c r="I2854" s="8" t="str">
        <f aca="false">IF($G2854="","Unmatched","Matched")</f>
        <v>Matched</v>
      </c>
      <c r="J2854" s="8" t="n">
        <f aca="false">IF($G2854&lt;&gt;"",$G2854,$B2854)</f>
        <v>4413061</v>
      </c>
      <c r="K2854" s="8" t="str">
        <f aca="false">IF(COUNTIF($M$1:$M$10,$A2854)&gt;0,"Y","N")</f>
        <v>N</v>
      </c>
    </row>
    <row r="2855" customFormat="false" ht="15" hidden="false" customHeight="true" outlineLevel="0" collapsed="false">
      <c r="A2855" s="8" t="s">
        <v>1058</v>
      </c>
      <c r="B2855" s="8" t="s">
        <v>633</v>
      </c>
      <c r="C2855" s="19" t="n">
        <v>80</v>
      </c>
      <c r="D2855" s="19" t="n">
        <v>1154.65</v>
      </c>
      <c r="E2855" s="19" t="n">
        <v>40</v>
      </c>
      <c r="F2855" s="19" t="n">
        <v>539.44</v>
      </c>
      <c r="G2855" s="8" t="n">
        <f aca="false">IFERROR(INDEX('TRANS'!$B:$B,MATCH($B2855,'TRANS'!$A:$A,0)),IFERROR(INDEX('TRANS'!$B:$B,MATCH(TRIM(SUBSTITUTE($B2855,CHAR(160)," ")),'TRANS'!$D:$D,0)),IFERROR(INDEX('Catalog'!$A:$A,MATCH($B2855,'Catalog'!$B:$B,0)),IFERROR(INDEX('Catalog'!$A:$A,MATCH(TRIM(SUBSTITUTE($B2855,CHAR(160)," ")),'Catalog'!$C:$C,0)),""))))</f>
        <v>4421000</v>
      </c>
      <c r="H2855" s="8" t="str">
        <f aca="false">IFERROR(INDEX('TRANS'!$C:$C,MATCH($B2855,'TRANS'!$A:$A,0)),IFERROR(INDEX('Catalog'!$B:$B,MATCH($G2855,'Catalog'!$A:$A,0)),$B2855))</f>
        <v>3655 שרוול מסיליקון לאצבע</v>
      </c>
      <c r="I2855" s="8" t="str">
        <f aca="false">IF($G2855="","Unmatched","Matched")</f>
        <v>Matched</v>
      </c>
      <c r="J2855" s="8" t="n">
        <f aca="false">IF($G2855&lt;&gt;"",$G2855,$B2855)</f>
        <v>4421000</v>
      </c>
      <c r="K2855" s="8" t="str">
        <f aca="false">IF(COUNTIF($M$1:$M$10,$A2855)&gt;0,"Y","N")</f>
        <v>N</v>
      </c>
    </row>
    <row r="2856" customFormat="false" ht="15" hidden="false" customHeight="true" outlineLevel="0" collapsed="false">
      <c r="A2856" s="8" t="s">
        <v>1058</v>
      </c>
      <c r="B2856" s="8" t="s">
        <v>635</v>
      </c>
      <c r="C2856" s="19" t="n">
        <v>40</v>
      </c>
      <c r="D2856" s="19" t="n">
        <v>672.71</v>
      </c>
      <c r="E2856" s="19" t="n">
        <v>80</v>
      </c>
      <c r="F2856" s="19" t="n">
        <v>1291.82</v>
      </c>
      <c r="G2856" s="8" t="n">
        <f aca="false">IFERROR(INDEX('TRANS'!$B:$B,MATCH($B2856,'TRANS'!$A:$A,0)),IFERROR(INDEX('TRANS'!$B:$B,MATCH(TRIM(SUBSTITUTE($B2856,CHAR(160)," ")),'TRANS'!$D:$D,0)),IFERROR(INDEX('Catalog'!$A:$A,MATCH($B2856,'Catalog'!$B:$B,0)),IFERROR(INDEX('Catalog'!$A:$A,MATCH(TRIM(SUBSTITUTE($B2856,CHAR(160)," ")),'Catalog'!$C:$C,0)),""))))</f>
        <v>4413307</v>
      </c>
      <c r="H2856" s="8" t="str">
        <f aca="false">IFERROR(INDEX('TRANS'!$C:$C,MATCH($B2856,'TRANS'!$A:$A,0)),IFERROR(INDEX('Catalog'!$B:$B,MATCH($G2856,'Catalog'!$A:$A,0)),$B2856))</f>
        <v>URI 3667 מגן בוניון</v>
      </c>
      <c r="I2856" s="8" t="str">
        <f aca="false">IF($G2856="","Unmatched","Matched")</f>
        <v>Matched</v>
      </c>
      <c r="J2856" s="8" t="n">
        <f aca="false">IF($G2856&lt;&gt;"",$G2856,$B2856)</f>
        <v>4413307</v>
      </c>
      <c r="K2856" s="8" t="str">
        <f aca="false">IF(COUNTIF($M$1:$M$10,$A2856)&gt;0,"Y","N")</f>
        <v>N</v>
      </c>
    </row>
    <row r="2857" customFormat="false" ht="15" hidden="false" customHeight="true" outlineLevel="0" collapsed="false">
      <c r="A2857" s="8" t="s">
        <v>1058</v>
      </c>
      <c r="B2857" s="8" t="s">
        <v>638</v>
      </c>
      <c r="C2857" s="19" t="n">
        <v>140</v>
      </c>
      <c r="D2857" s="19" t="n">
        <v>2491.69</v>
      </c>
      <c r="E2857" s="19" t="n">
        <v>80</v>
      </c>
      <c r="F2857" s="19" t="n">
        <v>1320.21</v>
      </c>
      <c r="G2857" s="8" t="n">
        <f aca="false">IFERROR(INDEX('TRANS'!$B:$B,MATCH($B2857,'TRANS'!$A:$A,0)),IFERROR(INDEX('TRANS'!$B:$B,MATCH(TRIM(SUBSTITUTE($B2857,CHAR(160)," ")),'TRANS'!$D:$D,0)),IFERROR(INDEX('Catalog'!$A:$A,MATCH($B2857,'Catalog'!$B:$B,0)),IFERROR(INDEX('Catalog'!$A:$A,MATCH(TRIM(SUBSTITUTE($B2857,CHAR(160)," ")),'Catalog'!$C:$C,0)),""))))</f>
        <v>4413370</v>
      </c>
      <c r="H2857" s="8" t="str">
        <f aca="false">IFERROR(INDEX('TRANS'!$C:$C,MATCH($B2857,'TRANS'!$A:$A,0)),IFERROR(INDEX('Catalog'!$B:$B,MATCH($G2857,'Catalog'!$A:$A,0)),$B2857))</f>
        <v>3674 0 מ.בוניון+מפריד אצבע</v>
      </c>
      <c r="I2857" s="8" t="str">
        <f aca="false">IF($G2857="","Unmatched","Matched")</f>
        <v>Matched</v>
      </c>
      <c r="J2857" s="8" t="n">
        <f aca="false">IF($G2857&lt;&gt;"",$G2857,$B2857)</f>
        <v>4413370</v>
      </c>
      <c r="K2857" s="8" t="str">
        <f aca="false">IF(COUNTIF($M$1:$M$10,$A2857)&gt;0,"Y","N")</f>
        <v>N</v>
      </c>
    </row>
    <row r="2858" customFormat="false" ht="15" hidden="false" customHeight="true" outlineLevel="0" collapsed="false">
      <c r="A2858" s="8" t="s">
        <v>1058</v>
      </c>
      <c r="B2858" s="8" t="s">
        <v>639</v>
      </c>
      <c r="C2858" s="19" t="n">
        <v>80</v>
      </c>
      <c r="D2858" s="19" t="n">
        <v>1162.48</v>
      </c>
      <c r="E2858" s="19" t="n">
        <v>40</v>
      </c>
      <c r="F2858" s="19" t="n">
        <v>539.44</v>
      </c>
      <c r="G2858" s="8" t="n">
        <f aca="false">IFERROR(INDEX('TRANS'!$B:$B,MATCH($B2858,'TRANS'!$A:$A,0)),IFERROR(INDEX('TRANS'!$B:$B,MATCH(TRIM(SUBSTITUTE($B2858,CHAR(160)," ")),'TRANS'!$D:$D,0)),IFERROR(INDEX('Catalog'!$A:$A,MATCH($B2858,'Catalog'!$B:$B,0)),IFERROR(INDEX('Catalog'!$A:$A,MATCH(TRIM(SUBSTITUTE($B2858,CHAR(160)," ")),'Catalog'!$C:$C,0)),""))))</f>
        <v>4413371</v>
      </c>
      <c r="H2858" s="8" t="str">
        <f aca="false">IFERROR(INDEX('TRANS'!$C:$C,MATCH($B2858,'TRANS'!$A:$A,0)),IFERROR(INDEX('Catalog'!$B:$B,MATCH($G2858,'Catalog'!$A:$A,0)),$B2858))</f>
        <v>3675    מגן זרת מסיליקון</v>
      </c>
      <c r="I2858" s="8" t="str">
        <f aca="false">IF($G2858="","Unmatched","Matched")</f>
        <v>Matched</v>
      </c>
      <c r="J2858" s="8" t="n">
        <f aca="false">IF($G2858&lt;&gt;"",$G2858,$B2858)</f>
        <v>4413371</v>
      </c>
      <c r="K2858" s="8" t="str">
        <f aca="false">IF(COUNTIF($M$1:$M$10,$A2858)&gt;0,"Y","N")</f>
        <v>N</v>
      </c>
    </row>
    <row r="2859" customFormat="false" ht="15" hidden="false" customHeight="true" outlineLevel="0" collapsed="false">
      <c r="A2859" s="8" t="s">
        <v>1058</v>
      </c>
      <c r="B2859" s="8" t="s">
        <v>872</v>
      </c>
      <c r="C2859" s="19" t="n">
        <v>1</v>
      </c>
      <c r="D2859" s="19" t="n">
        <v>0.04</v>
      </c>
      <c r="E2859" s="19" t="n">
        <v>0</v>
      </c>
      <c r="F2859" s="19" t="n">
        <v>0</v>
      </c>
      <c r="G2859" s="8" t="n">
        <f aca="false">IFERROR(INDEX('TRANS'!$B:$B,MATCH($B2859,'TRANS'!$A:$A,0)),IFERROR(INDEX('TRANS'!$B:$B,MATCH(TRIM(SUBSTITUTE($B2859,CHAR(160)," ")),'TRANS'!$D:$D,0)),IFERROR(INDEX('Catalog'!$A:$A,MATCH($B2859,'Catalog'!$B:$B,0)),IFERROR(INDEX('Catalog'!$A:$A,MATCH(TRIM(SUBSTITUTE($B2859,CHAR(160)," ")),'Catalog'!$C:$C,0)),""))))</f>
        <v>4413520</v>
      </c>
      <c r="H2859" s="8" t="str">
        <f aca="false">IFERROR(INDEX('TRANS'!$C:$C,MATCH($B2859,'TRANS'!$A:$A,0)),IFERROR(INDEX('Catalog'!$B:$B,MATCH($G2859,'Catalog'!$A:$A,0)),$B2859))</f>
        <v>מדרסי אפיק ג'ל מולט.ספורט35-38</v>
      </c>
      <c r="I2859" s="8" t="str">
        <f aca="false">IF($G2859="","Unmatched","Matched")</f>
        <v>Matched</v>
      </c>
      <c r="J2859" s="8" t="n">
        <f aca="false">IF($G2859&lt;&gt;"",$G2859,$B2859)</f>
        <v>4413520</v>
      </c>
      <c r="K2859" s="8" t="str">
        <f aca="false">IF(COUNTIF($M$1:$M$10,$A2859)&gt;0,"Y","N")</f>
        <v>N</v>
      </c>
    </row>
    <row r="2860" customFormat="false" ht="15" hidden="false" customHeight="true" outlineLevel="0" collapsed="false">
      <c r="A2860" s="8" t="s">
        <v>1058</v>
      </c>
      <c r="B2860" s="8" t="s">
        <v>873</v>
      </c>
      <c r="C2860" s="19" t="n">
        <v>1</v>
      </c>
      <c r="D2860" s="19" t="n">
        <v>0.04</v>
      </c>
      <c r="E2860" s="19" t="n">
        <v>0</v>
      </c>
      <c r="F2860" s="19" t="n">
        <v>0</v>
      </c>
      <c r="G2860" s="8" t="n">
        <f aca="false">IFERROR(INDEX('TRANS'!$B:$B,MATCH($B2860,'TRANS'!$A:$A,0)),IFERROR(INDEX('TRANS'!$B:$B,MATCH(TRIM(SUBSTITUTE($B2860,CHAR(160)," ")),'TRANS'!$D:$D,0)),IFERROR(INDEX('Catalog'!$A:$A,MATCH($B2860,'Catalog'!$B:$B,0)),IFERROR(INDEX('Catalog'!$A:$A,MATCH(TRIM(SUBSTITUTE($B2860,CHAR(160)," ")),'Catalog'!$C:$C,0)),""))))</f>
        <v>4413521</v>
      </c>
      <c r="H2860" s="8" t="str">
        <f aca="false">IFERROR(INDEX('TRANS'!$C:$C,MATCH($B2860,'TRANS'!$A:$A,0)),IFERROR(INDEX('Catalog'!$B:$B,MATCH($G2860,'Catalog'!$A:$A,0)),$B2860))</f>
        <v>מדרסי אפיק ג'ל מולטי ספור39-42</v>
      </c>
      <c r="I2860" s="8" t="str">
        <f aca="false">IF($G2860="","Unmatched","Matched")</f>
        <v>Matched</v>
      </c>
      <c r="J2860" s="8" t="n">
        <f aca="false">IF($G2860&lt;&gt;"",$G2860,$B2860)</f>
        <v>4413521</v>
      </c>
      <c r="K2860" s="8" t="str">
        <f aca="false">IF(COUNTIF($M$1:$M$10,$A2860)&gt;0,"Y","N")</f>
        <v>N</v>
      </c>
    </row>
    <row r="2861" customFormat="false" ht="15" hidden="false" customHeight="true" outlineLevel="0" collapsed="false">
      <c r="A2861" s="8" t="s">
        <v>1058</v>
      </c>
      <c r="B2861" s="8" t="s">
        <v>372</v>
      </c>
      <c r="C2861" s="19" t="n">
        <v>1</v>
      </c>
      <c r="D2861" s="19" t="n">
        <v>0.04</v>
      </c>
      <c r="E2861" s="19" t="n">
        <v>0</v>
      </c>
      <c r="F2861" s="19" t="n">
        <v>0</v>
      </c>
      <c r="G2861" s="8" t="str">
        <f aca="false">IFERROR(INDEX('TRANS'!$B:$B,MATCH($B2861,'TRANS'!$A:$A,0)),IFERROR(INDEX('TRANS'!$B:$B,MATCH(TRIM(SUBSTITUTE($B2861,CHAR(160)," ")),'TRANS'!$D:$D,0)),IFERROR(INDEX('Catalog'!$A:$A,MATCH($B2861,'Catalog'!$B:$B,0)),IFERROR(INDEX('Catalog'!$A:$A,MATCH(TRIM(SUBSTITUTE($B2861,CHAR(160)," ")),'Catalog'!$C:$C,0)),""))))</f>
        <v/>
      </c>
      <c r="H2861" s="8" t="str">
        <f aca="false">IFERROR(INDEX('TRANS'!$C:$C,MATCH($B2861,'TRANS'!$A:$A,0)),IFERROR(INDEX('Catalog'!$B:$B,MATCH($G2861,'Catalog'!$A:$A,0)),$B2861))</f>
        <v>391W-39-42</v>
      </c>
      <c r="I2861" s="8" t="str">
        <f aca="false">IF($G2861="","Unmatched","Matched")</f>
        <v>Unmatched</v>
      </c>
      <c r="J2861" s="8" t="str">
        <f aca="false">IF($G2861&lt;&gt;"",$G2861,$B2861)</f>
        <v>391W-39-42</v>
      </c>
      <c r="K2861" s="8" t="str">
        <f aca="false">IF(COUNTIF($M$1:$M$10,$A2861)&gt;0,"Y","N")</f>
        <v>N</v>
      </c>
    </row>
    <row r="2862" customFormat="false" ht="15" hidden="false" customHeight="true" outlineLevel="0" collapsed="false">
      <c r="A2862" s="8" t="s">
        <v>1058</v>
      </c>
      <c r="B2862" s="8" t="s">
        <v>407</v>
      </c>
      <c r="C2862" s="19" t="n">
        <v>100</v>
      </c>
      <c r="D2862" s="19" t="n">
        <v>3125.8</v>
      </c>
      <c r="E2862" s="19" t="n">
        <v>0</v>
      </c>
      <c r="F2862" s="19" t="n">
        <v>0</v>
      </c>
      <c r="G2862" s="8" t="str">
        <f aca="false">IFERROR(INDEX('TRANS'!$B:$B,MATCH($B2862,'TRANS'!$A:$A,0)),IFERROR(INDEX('TRANS'!$B:$B,MATCH(TRIM(SUBSTITUTE($B2862,CHAR(160)," ")),'TRANS'!$D:$D,0)),IFERROR(INDEX('Catalog'!$A:$A,MATCH($B2862,'Catalog'!$B:$B,0)),IFERROR(INDEX('Catalog'!$A:$A,MATCH(TRIM(SUBSTITUTE($B2862,CHAR(160)," ")),'Catalog'!$C:$C,0)),""))))</f>
        <v/>
      </c>
      <c r="H2862" s="8" t="str">
        <f aca="false">IFERROR(INDEX('TRANS'!$C:$C,MATCH($B2862,'TRANS'!$A:$A,0)),IFERROR(INDEX('Catalog'!$B:$B,MATCH($G2862,'Catalog'!$A:$A,0)),$B2862))</f>
        <v>397-35-38</v>
      </c>
      <c r="I2862" s="8" t="str">
        <f aca="false">IF($G2862="","Unmatched","Matched")</f>
        <v>Unmatched</v>
      </c>
      <c r="J2862" s="8" t="str">
        <f aca="false">IF($G2862&lt;&gt;"",$G2862,$B2862)</f>
        <v>397-35-38</v>
      </c>
      <c r="K2862" s="8" t="str">
        <f aca="false">IF(COUNTIF($M$1:$M$10,$A2862)&gt;0,"Y","N")</f>
        <v>N</v>
      </c>
    </row>
    <row r="2863" customFormat="false" ht="15" hidden="false" customHeight="true" outlineLevel="0" collapsed="false">
      <c r="A2863" s="8" t="s">
        <v>1058</v>
      </c>
      <c r="B2863" s="8" t="s">
        <v>666</v>
      </c>
      <c r="C2863" s="19" t="n">
        <v>170</v>
      </c>
      <c r="D2863" s="19" t="n">
        <v>5271.27</v>
      </c>
      <c r="E2863" s="19" t="n">
        <v>0</v>
      </c>
      <c r="F2863" s="19" t="n">
        <v>0</v>
      </c>
      <c r="G2863" s="8" t="n">
        <f aca="false">IFERROR(INDEX('TRANS'!$B:$B,MATCH($B2863,'TRANS'!$A:$A,0)),IFERROR(INDEX('TRANS'!$B:$B,MATCH(TRIM(SUBSTITUTE($B2863,CHAR(160)," ")),'TRANS'!$D:$D,0)),IFERROR(INDEX('Catalog'!$A:$A,MATCH($B2863,'Catalog'!$B:$B,0)),IFERROR(INDEX('Catalog'!$A:$A,MATCH(TRIM(SUBSTITUTE($B2863,CHAR(160)," ")),'Catalog'!$C:$C,0)),""))))</f>
        <v>4403029</v>
      </c>
      <c r="H2863" s="8" t="str">
        <f aca="false">IFERROR(INDEX('TRANS'!$C:$C,MATCH($B2863,'TRANS'!$A:$A,0)),IFERROR(INDEX('Catalog'!$B:$B,MATCH($G2863,'Catalog'!$A:$A,0)),$B2863))</f>
        <v>397 39-42 גרבי טיסה מידה</v>
      </c>
      <c r="I2863" s="8" t="str">
        <f aca="false">IF($G2863="","Unmatched","Matched")</f>
        <v>Matched</v>
      </c>
      <c r="J2863" s="8" t="n">
        <f aca="false">IF($G2863&lt;&gt;"",$G2863,$B2863)</f>
        <v>4403029</v>
      </c>
      <c r="K2863" s="8" t="str">
        <f aca="false">IF(COUNTIF($M$1:$M$10,$A2863)&gt;0,"Y","N")</f>
        <v>N</v>
      </c>
    </row>
    <row r="2864" customFormat="false" ht="15" hidden="false" customHeight="true" outlineLevel="0" collapsed="false">
      <c r="A2864" s="8" t="s">
        <v>1058</v>
      </c>
      <c r="B2864" s="8" t="s">
        <v>408</v>
      </c>
      <c r="C2864" s="19" t="n">
        <v>120</v>
      </c>
      <c r="D2864" s="19" t="n">
        <v>3741.27</v>
      </c>
      <c r="E2864" s="19" t="n">
        <v>0</v>
      </c>
      <c r="F2864" s="19" t="n">
        <v>0</v>
      </c>
      <c r="G2864" s="8" t="str">
        <f aca="false">IFERROR(INDEX('TRANS'!$B:$B,MATCH($B2864,'TRANS'!$A:$A,0)),IFERROR(INDEX('TRANS'!$B:$B,MATCH(TRIM(SUBSTITUTE($B2864,CHAR(160)," ")),'TRANS'!$D:$D,0)),IFERROR(INDEX('Catalog'!$A:$A,MATCH($B2864,'Catalog'!$B:$B,0)),IFERROR(INDEX('Catalog'!$A:$A,MATCH(TRIM(SUBSTITUTE($B2864,CHAR(160)," ")),'Catalog'!$C:$C,0)),""))))</f>
        <v/>
      </c>
      <c r="H2864" s="8" t="str">
        <f aca="false">IFERROR(INDEX('TRANS'!$C:$C,MATCH($B2864,'TRANS'!$A:$A,0)),IFERROR(INDEX('Catalog'!$B:$B,MATCH($G2864,'Catalog'!$A:$A,0)),$B2864))</f>
        <v>397-43-46</v>
      </c>
      <c r="I2864" s="8" t="str">
        <f aca="false">IF($G2864="","Unmatched","Matched")</f>
        <v>Unmatched</v>
      </c>
      <c r="J2864" s="8" t="str">
        <f aca="false">IF($G2864&lt;&gt;"",$G2864,$B2864)</f>
        <v>397-43-46</v>
      </c>
      <c r="K2864" s="8" t="str">
        <f aca="false">IF(COUNTIF($M$1:$M$10,$A2864)&gt;0,"Y","N")</f>
        <v>N</v>
      </c>
    </row>
    <row r="2865" customFormat="false" ht="15" hidden="false" customHeight="true" outlineLevel="0" collapsed="false">
      <c r="A2865" s="8" t="s">
        <v>1058</v>
      </c>
      <c r="B2865" s="8" t="s">
        <v>667</v>
      </c>
      <c r="C2865" s="19" t="n">
        <v>0</v>
      </c>
      <c r="D2865" s="19" t="n">
        <v>0</v>
      </c>
      <c r="E2865" s="19" t="n">
        <v>60</v>
      </c>
      <c r="F2865" s="19" t="n">
        <v>1716.4</v>
      </c>
      <c r="G2865" s="8" t="n">
        <f aca="false">IFERROR(INDEX('TRANS'!$B:$B,MATCH($B2865,'TRANS'!$A:$A,0)),IFERROR(INDEX('TRANS'!$B:$B,MATCH(TRIM(SUBSTITUTE($B2865,CHAR(160)," ")),'TRANS'!$D:$D,0)),IFERROR(INDEX('Catalog'!$A:$A,MATCH($B2865,'Catalog'!$B:$B,0)),IFERROR(INDEX('Catalog'!$A:$A,MATCH(TRIM(SUBSTITUTE($B2865,CHAR(160)," ")),'Catalog'!$C:$C,0)),""))))</f>
        <v>4403041</v>
      </c>
      <c r="H2865" s="8" t="str">
        <f aca="false">IFERROR(INDEX('TRANS'!$C:$C,MATCH($B2865,'TRANS'!$A:$A,0)),IFERROR(INDEX('Catalog'!$B:$B,MATCH($G2865,'Catalog'!$A:$A,0)),$B2865))</f>
        <v>397A-גרבי טיסה אנטי בקטרי35-38</v>
      </c>
      <c r="I2865" s="8" t="str">
        <f aca="false">IF($G2865="","Unmatched","Matched")</f>
        <v>Matched</v>
      </c>
      <c r="J2865" s="8" t="n">
        <f aca="false">IF($G2865&lt;&gt;"",$G2865,$B2865)</f>
        <v>4403041</v>
      </c>
      <c r="K2865" s="8" t="str">
        <f aca="false">IF(COUNTIF($M$1:$M$10,$A2865)&gt;0,"Y","N")</f>
        <v>N</v>
      </c>
    </row>
    <row r="2866" customFormat="false" ht="15" hidden="false" customHeight="true" outlineLevel="0" collapsed="false">
      <c r="A2866" s="8" t="s">
        <v>1058</v>
      </c>
      <c r="B2866" s="8" t="s">
        <v>668</v>
      </c>
      <c r="C2866" s="19" t="n">
        <v>1</v>
      </c>
      <c r="D2866" s="19" t="n">
        <v>0.04</v>
      </c>
      <c r="E2866" s="19" t="n">
        <v>190</v>
      </c>
      <c r="F2866" s="19" t="n">
        <v>5449.26</v>
      </c>
      <c r="G2866" s="8" t="n">
        <f aca="false">IFERROR(INDEX('TRANS'!$B:$B,MATCH($B2866,'TRANS'!$A:$A,0)),IFERROR(INDEX('TRANS'!$B:$B,MATCH(TRIM(SUBSTITUTE($B2866,CHAR(160)," ")),'TRANS'!$D:$D,0)),IFERROR(INDEX('Catalog'!$A:$A,MATCH($B2866,'Catalog'!$B:$B,0)),IFERROR(INDEX('Catalog'!$A:$A,MATCH(TRIM(SUBSTITUTE($B2866,CHAR(160)," ")),'Catalog'!$C:$C,0)),""))))</f>
        <v>4403042</v>
      </c>
      <c r="H2866" s="8" t="str">
        <f aca="false">IFERROR(INDEX('TRANS'!$C:$C,MATCH($B2866,'TRANS'!$A:$A,0)),IFERROR(INDEX('Catalog'!$B:$B,MATCH($G2866,'Catalog'!$A:$A,0)),$B2866))</f>
        <v>397A-גרבי טיסה אנטי בקטרי39-42</v>
      </c>
      <c r="I2866" s="8" t="str">
        <f aca="false">IF($G2866="","Unmatched","Matched")</f>
        <v>Matched</v>
      </c>
      <c r="J2866" s="8" t="n">
        <f aca="false">IF($G2866&lt;&gt;"",$G2866,$B2866)</f>
        <v>4403042</v>
      </c>
      <c r="K2866" s="8" t="str">
        <f aca="false">IF(COUNTIF($M$1:$M$10,$A2866)&gt;0,"Y","N")</f>
        <v>N</v>
      </c>
    </row>
    <row r="2867" customFormat="false" ht="15" hidden="false" customHeight="true" outlineLevel="0" collapsed="false">
      <c r="A2867" s="8" t="s">
        <v>1058</v>
      </c>
      <c r="B2867" s="8" t="s">
        <v>669</v>
      </c>
      <c r="C2867" s="19" t="n">
        <v>0</v>
      </c>
      <c r="D2867" s="19" t="n">
        <v>0</v>
      </c>
      <c r="E2867" s="19" t="n">
        <v>120</v>
      </c>
      <c r="F2867" s="19" t="n">
        <v>3441.19</v>
      </c>
      <c r="G2867" s="8" t="n">
        <f aca="false">IFERROR(INDEX('TRANS'!$B:$B,MATCH($B2867,'TRANS'!$A:$A,0)),IFERROR(INDEX('TRANS'!$B:$B,MATCH(TRIM(SUBSTITUTE($B2867,CHAR(160)," ")),'TRANS'!$D:$D,0)),IFERROR(INDEX('Catalog'!$A:$A,MATCH($B2867,'Catalog'!$B:$B,0)),IFERROR(INDEX('Catalog'!$A:$A,MATCH(TRIM(SUBSTITUTE($B2867,CHAR(160)," ")),'Catalog'!$C:$C,0)),""))))</f>
        <v>4403043</v>
      </c>
      <c r="H2867" s="8" t="str">
        <f aca="false">IFERROR(INDEX('TRANS'!$C:$C,MATCH($B2867,'TRANS'!$A:$A,0)),IFERROR(INDEX('Catalog'!$B:$B,MATCH($G2867,'Catalog'!$A:$A,0)),$B2867))</f>
        <v>397A-גרבי טיסה אנטי בקטרי43-46</v>
      </c>
      <c r="I2867" s="8" t="str">
        <f aca="false">IF($G2867="","Unmatched","Matched")</f>
        <v>Matched</v>
      </c>
      <c r="J2867" s="8" t="n">
        <f aca="false">IF($G2867&lt;&gt;"",$G2867,$B2867)</f>
        <v>4403043</v>
      </c>
      <c r="K2867" s="8" t="str">
        <f aca="false">IF(COUNTIF($M$1:$M$10,$A2867)&gt;0,"Y","N")</f>
        <v>N</v>
      </c>
    </row>
    <row r="2868" customFormat="false" ht="15" hidden="false" customHeight="true" outlineLevel="0" collapsed="false">
      <c r="A2868" s="8" t="s">
        <v>1058</v>
      </c>
      <c r="B2868" s="8" t="s">
        <v>675</v>
      </c>
      <c r="C2868" s="19" t="n">
        <v>80</v>
      </c>
      <c r="D2868" s="19" t="n">
        <v>947.66</v>
      </c>
      <c r="E2868" s="19" t="n">
        <v>0</v>
      </c>
      <c r="F2868" s="19" t="n">
        <v>0</v>
      </c>
      <c r="G2868" s="8" t="n">
        <f aca="false">IFERROR(INDEX('TRANS'!$B:$B,MATCH($B2868,'TRANS'!$A:$A,0)),IFERROR(INDEX('TRANS'!$B:$B,MATCH(TRIM(SUBSTITUTE($B2868,CHAR(160)," ")),'TRANS'!$D:$D,0)),IFERROR(INDEX('Catalog'!$A:$A,MATCH($B2868,'Catalog'!$B:$B,0)),IFERROR(INDEX('Catalog'!$A:$A,MATCH(TRIM(SUBSTITUTE($B2868,CHAR(160)," ")),'Catalog'!$C:$C,0)),""))))</f>
        <v>4413495</v>
      </c>
      <c r="H2868" s="8" t="str">
        <f aca="false">IFERROR(INDEX('TRANS'!$C:$C,MATCH($B2868,'TRANS'!$A:$A,0)),IFERROR(INDEX('Catalog'!$B:$B,MATCH($G2868,'Catalog'!$A:$A,0)),$B2868))</f>
        <v>45B L מגן ברך שחור</v>
      </c>
      <c r="I2868" s="8" t="str">
        <f aca="false">IF($G2868="","Unmatched","Matched")</f>
        <v>Matched</v>
      </c>
      <c r="J2868" s="8" t="n">
        <f aca="false">IF($G2868&lt;&gt;"",$G2868,$B2868)</f>
        <v>4413495</v>
      </c>
      <c r="K2868" s="8" t="str">
        <f aca="false">IF(COUNTIF($M$1:$M$10,$A2868)&gt;0,"Y","N")</f>
        <v>N</v>
      </c>
    </row>
    <row r="2869" customFormat="false" ht="15" hidden="false" customHeight="true" outlineLevel="0" collapsed="false">
      <c r="A2869" s="8" t="s">
        <v>1058</v>
      </c>
      <c r="B2869" s="8" t="s">
        <v>676</v>
      </c>
      <c r="C2869" s="19" t="n">
        <v>70</v>
      </c>
      <c r="D2869" s="19" t="n">
        <v>827.99</v>
      </c>
      <c r="E2869" s="19" t="n">
        <v>0</v>
      </c>
      <c r="F2869" s="19" t="n">
        <v>0</v>
      </c>
      <c r="G2869" s="8" t="n">
        <f aca="false">IFERROR(INDEX('TRANS'!$B:$B,MATCH($B2869,'TRANS'!$A:$A,0)),IFERROR(INDEX('TRANS'!$B:$B,MATCH(TRIM(SUBSTITUTE($B2869,CHAR(160)," ")),'TRANS'!$D:$D,0)),IFERROR(INDEX('Catalog'!$A:$A,MATCH($B2869,'Catalog'!$B:$B,0)),IFERROR(INDEX('Catalog'!$A:$A,MATCH(TRIM(SUBSTITUTE($B2869,CHAR(160)," ")),'Catalog'!$C:$C,0)),""))))</f>
        <v>4413497</v>
      </c>
      <c r="H2869" s="8" t="str">
        <f aca="false">IFERROR(INDEX('TRANS'!$C:$C,MATCH($B2869,'TRANS'!$A:$A,0)),IFERROR(INDEX('Catalog'!$B:$B,MATCH($G2869,'Catalog'!$A:$A,0)),$B2869))</f>
        <v>45B M מגן ברך שחור</v>
      </c>
      <c r="I2869" s="8" t="str">
        <f aca="false">IF($G2869="","Unmatched","Matched")</f>
        <v>Matched</v>
      </c>
      <c r="J2869" s="8" t="n">
        <f aca="false">IF($G2869&lt;&gt;"",$G2869,$B2869)</f>
        <v>4413497</v>
      </c>
      <c r="K2869" s="8" t="str">
        <f aca="false">IF(COUNTIF($M$1:$M$10,$A2869)&gt;0,"Y","N")</f>
        <v>N</v>
      </c>
    </row>
    <row r="2870" customFormat="false" ht="15" hidden="false" customHeight="true" outlineLevel="0" collapsed="false">
      <c r="A2870" s="8" t="s">
        <v>1058</v>
      </c>
      <c r="B2870" s="8" t="s">
        <v>801</v>
      </c>
      <c r="C2870" s="19" t="n">
        <v>20</v>
      </c>
      <c r="D2870" s="19" t="n">
        <v>239.35</v>
      </c>
      <c r="E2870" s="19" t="n">
        <v>0</v>
      </c>
      <c r="F2870" s="19" t="n">
        <v>0</v>
      </c>
      <c r="G2870" s="8" t="n">
        <f aca="false">IFERROR(INDEX('TRANS'!$B:$B,MATCH($B2870,'TRANS'!$A:$A,0)),IFERROR(INDEX('TRANS'!$B:$B,MATCH(TRIM(SUBSTITUTE($B2870,CHAR(160)," ")),'TRANS'!$D:$D,0)),IFERROR(INDEX('Catalog'!$A:$A,MATCH($B2870,'Catalog'!$B:$B,0)),IFERROR(INDEX('Catalog'!$A:$A,MATCH(TRIM(SUBSTITUTE($B2870,CHAR(160)," ")),'Catalog'!$C:$C,0)),""))))</f>
        <v>4413498</v>
      </c>
      <c r="H2870" s="8" t="str">
        <f aca="false">IFERROR(INDEX('TRANS'!$C:$C,MATCH($B2870,'TRANS'!$A:$A,0)),IFERROR(INDEX('Catalog'!$B:$B,MATCH($G2870,'Catalog'!$A:$A,0)),$B2870))</f>
        <v>45B S מגן ברך שחור</v>
      </c>
      <c r="I2870" s="8" t="str">
        <f aca="false">IF($G2870="","Unmatched","Matched")</f>
        <v>Matched</v>
      </c>
      <c r="J2870" s="8" t="n">
        <f aca="false">IF($G2870&lt;&gt;"",$G2870,$B2870)</f>
        <v>4413498</v>
      </c>
      <c r="K2870" s="8" t="str">
        <f aca="false">IF(COUNTIF($M$1:$M$10,$A2870)&gt;0,"Y","N")</f>
        <v>N</v>
      </c>
    </row>
    <row r="2871" customFormat="false" ht="15" hidden="false" customHeight="true" outlineLevel="0" collapsed="false">
      <c r="A2871" s="8" t="s">
        <v>1058</v>
      </c>
      <c r="B2871" s="8" t="s">
        <v>802</v>
      </c>
      <c r="C2871" s="19" t="n">
        <v>50</v>
      </c>
      <c r="D2871" s="19" t="n">
        <v>595.13</v>
      </c>
      <c r="E2871" s="19" t="n">
        <v>0</v>
      </c>
      <c r="F2871" s="19" t="n">
        <v>0</v>
      </c>
      <c r="G2871" s="8" t="n">
        <f aca="false">IFERROR(INDEX('TRANS'!$B:$B,MATCH($B2871,'TRANS'!$A:$A,0)),IFERROR(INDEX('TRANS'!$B:$B,MATCH(TRIM(SUBSTITUTE($B2871,CHAR(160)," ")),'TRANS'!$D:$D,0)),IFERROR(INDEX('Catalog'!$A:$A,MATCH($B2871,'Catalog'!$B:$B,0)),IFERROR(INDEX('Catalog'!$A:$A,MATCH(TRIM(SUBSTITUTE($B2871,CHAR(160)," ")),'Catalog'!$C:$C,0)),""))))</f>
        <v>4413496</v>
      </c>
      <c r="H2871" s="8" t="str">
        <f aca="false">IFERROR(INDEX('TRANS'!$C:$C,MATCH($B2871,'TRANS'!$A:$A,0)),IFERROR(INDEX('Catalog'!$B:$B,MATCH($G2871,'Catalog'!$A:$A,0)),$B2871))</f>
        <v>45B XL מגן ברך שחור</v>
      </c>
      <c r="I2871" s="8" t="str">
        <f aca="false">IF($G2871="","Unmatched","Matched")</f>
        <v>Matched</v>
      </c>
      <c r="J2871" s="8" t="n">
        <f aca="false">IF($G2871&lt;&gt;"",$G2871,$B2871)</f>
        <v>4413496</v>
      </c>
      <c r="K2871" s="8" t="str">
        <f aca="false">IF(COUNTIF($M$1:$M$10,$A2871)&gt;0,"Y","N")</f>
        <v>N</v>
      </c>
    </row>
    <row r="2872" customFormat="false" ht="15" hidden="false" customHeight="true" outlineLevel="0" collapsed="false">
      <c r="A2872" s="8" t="s">
        <v>1058</v>
      </c>
      <c r="B2872" s="8" t="s">
        <v>803</v>
      </c>
      <c r="C2872" s="19" t="n">
        <v>35</v>
      </c>
      <c r="D2872" s="19" t="n">
        <v>423.61</v>
      </c>
      <c r="E2872" s="19" t="n">
        <v>0</v>
      </c>
      <c r="F2872" s="19" t="n">
        <v>0</v>
      </c>
      <c r="G2872" s="8" t="n">
        <f aca="false">IFERROR(INDEX('TRANS'!$B:$B,MATCH($B2872,'TRANS'!$A:$A,0)),IFERROR(INDEX('TRANS'!$B:$B,MATCH(TRIM(SUBSTITUTE($B2872,CHAR(160)," ")),'TRANS'!$D:$D,0)),IFERROR(INDEX('Catalog'!$A:$A,MATCH($B2872,'Catalog'!$B:$B,0)),IFERROR(INDEX('Catalog'!$A:$A,MATCH(TRIM(SUBSTITUTE($B2872,CHAR(160)," ")),'Catalog'!$C:$C,0)),""))))</f>
        <v>4413499</v>
      </c>
      <c r="H2872" s="8" t="str">
        <f aca="false">IFERROR(INDEX('TRANS'!$C:$C,MATCH($B2872,'TRANS'!$A:$A,0)),IFERROR(INDEX('Catalog'!$B:$B,MATCH($G2872,'Catalog'!$A:$A,0)),$B2872))</f>
        <v>45B XXLמגן ברך שחור</v>
      </c>
      <c r="I2872" s="8" t="str">
        <f aca="false">IF($G2872="","Unmatched","Matched")</f>
        <v>Matched</v>
      </c>
      <c r="J2872" s="8" t="n">
        <f aca="false">IF($G2872&lt;&gt;"",$G2872,$B2872)</f>
        <v>4413499</v>
      </c>
      <c r="K2872" s="8" t="str">
        <f aca="false">IF(COUNTIF($M$1:$M$10,$A2872)&gt;0,"Y","N")</f>
        <v>N</v>
      </c>
    </row>
    <row r="2873" customFormat="false" ht="15" hidden="false" customHeight="true" outlineLevel="0" collapsed="false">
      <c r="A2873" s="8" t="s">
        <v>1058</v>
      </c>
      <c r="B2873" s="8" t="s">
        <v>463</v>
      </c>
      <c r="C2873" s="19" t="n">
        <v>1</v>
      </c>
      <c r="D2873" s="19" t="n">
        <v>65.35</v>
      </c>
      <c r="E2873" s="19" t="n">
        <v>0</v>
      </c>
      <c r="F2873" s="19" t="n">
        <v>0</v>
      </c>
      <c r="G2873" s="8" t="str">
        <f aca="false">IFERROR(INDEX('TRANS'!$B:$B,MATCH($B2873,'TRANS'!$A:$A,0)),IFERROR(INDEX('TRANS'!$B:$B,MATCH(TRIM(SUBSTITUTE($B2873,CHAR(160)," ")),'TRANS'!$D:$D,0)),IFERROR(INDEX('Catalog'!$A:$A,MATCH($B2873,'Catalog'!$B:$B,0)),IFERROR(INDEX('Catalog'!$A:$A,MATCH(TRIM(SUBSTITUTE($B2873,CHAR(160)," ")),'Catalog'!$C:$C,0)),""))))</f>
        <v/>
      </c>
      <c r="H2873" s="8" t="str">
        <f aca="false">IFERROR(INDEX('TRANS'!$C:$C,MATCH($B2873,'TRANS'!$A:$A,0)),IFERROR(INDEX('Catalog'!$B:$B,MATCH($G2873,'Catalog'!$A:$A,0)),$B2873))</f>
        <v>78A XXL</v>
      </c>
      <c r="I2873" s="8" t="str">
        <f aca="false">IF($G2873="","Unmatched","Matched")</f>
        <v>Unmatched</v>
      </c>
      <c r="J2873" s="8" t="str">
        <f aca="false">IF($G2873&lt;&gt;"",$G2873,$B2873)</f>
        <v>78A XXL</v>
      </c>
      <c r="K2873" s="8" t="str">
        <f aca="false">IF(COUNTIF($M$1:$M$10,$A2873)&gt;0,"Y","N")</f>
        <v>N</v>
      </c>
    </row>
    <row r="2874" customFormat="false" ht="15" hidden="false" customHeight="true" outlineLevel="0" collapsed="false">
      <c r="A2874" s="8" t="s">
        <v>1058</v>
      </c>
      <c r="B2874" s="8" t="s">
        <v>696</v>
      </c>
      <c r="C2874" s="19" t="n">
        <v>130</v>
      </c>
      <c r="D2874" s="19" t="n">
        <v>1382.91</v>
      </c>
      <c r="E2874" s="19" t="n">
        <v>0</v>
      </c>
      <c r="F2874" s="19" t="n">
        <v>0</v>
      </c>
      <c r="G2874" s="8" t="n">
        <f aca="false">IFERROR(INDEX('TRANS'!$B:$B,MATCH($B2874,'TRANS'!$A:$A,0)),IFERROR(INDEX('TRANS'!$B:$B,MATCH(TRIM(SUBSTITUTE($B2874,CHAR(160)," ")),'TRANS'!$D:$D,0)),IFERROR(INDEX('Catalog'!$A:$A,MATCH($B2874,'Catalog'!$B:$B,0)),IFERROR(INDEX('Catalog'!$A:$A,MATCH(TRIM(SUBSTITUTE($B2874,CHAR(160)," ")),'Catalog'!$C:$C,0)),""))))</f>
        <v>4422000</v>
      </c>
      <c r="H2874" s="8" t="str">
        <f aca="false">IFERROR(INDEX('TRANS'!$C:$C,MATCH($B2874,'TRANS'!$A:$A,0)),IFERROR(INDEX('Catalog'!$B:$B,MATCH($G2874,'Catalog'!$A:$A,0)),$B2874))</f>
        <v>801  תחבושת אלסטית מקררת</v>
      </c>
      <c r="I2874" s="8" t="str">
        <f aca="false">IF($G2874="","Unmatched","Matched")</f>
        <v>Matched</v>
      </c>
      <c r="J2874" s="8" t="n">
        <f aca="false">IF($G2874&lt;&gt;"",$G2874,$B2874)</f>
        <v>4422000</v>
      </c>
      <c r="K2874" s="8" t="str">
        <f aca="false">IF(COUNTIF($M$1:$M$10,$A2874)&gt;0,"Y","N")</f>
        <v>N</v>
      </c>
    </row>
    <row r="2875" customFormat="false" ht="15" hidden="false" customHeight="true" outlineLevel="0" collapsed="false">
      <c r="A2875" s="8" t="s">
        <v>1058</v>
      </c>
      <c r="B2875" s="8" t="s">
        <v>708</v>
      </c>
      <c r="C2875" s="19" t="n">
        <v>50</v>
      </c>
      <c r="D2875" s="19" t="n">
        <v>1050</v>
      </c>
      <c r="E2875" s="19" t="n">
        <v>0</v>
      </c>
      <c r="F2875" s="19" t="n">
        <v>0</v>
      </c>
      <c r="G2875" s="8" t="n">
        <f aca="false">IFERROR(INDEX('TRANS'!$B:$B,MATCH($B2875,'TRANS'!$A:$A,0)),IFERROR(INDEX('TRANS'!$B:$B,MATCH(TRIM(SUBSTITUTE($B2875,CHAR(160)," ")),'TRANS'!$D:$D,0)),IFERROR(INDEX('Catalog'!$A:$A,MATCH($B2875,'Catalog'!$B:$B,0)),IFERROR(INDEX('Catalog'!$A:$A,MATCH(TRIM(SUBSTITUTE($B2875,CHAR(160)," ")),'Catalog'!$C:$C,0)),""))))</f>
        <v>4413135</v>
      </c>
      <c r="H2875" s="8" t="str">
        <f aca="false">IFERROR(INDEX('TRANS'!$C:$C,MATCH($B2875,'TRANS'!$A:$A,0)),IFERROR(INDEX('Catalog'!$B:$B,MATCH($G2875,'Catalog'!$A:$A,0)),$B2875))</f>
        <v>85 L (מתלה ליד )כיס</v>
      </c>
      <c r="I2875" s="8" t="str">
        <f aca="false">IF($G2875="","Unmatched","Matched")</f>
        <v>Matched</v>
      </c>
      <c r="J2875" s="8" t="n">
        <f aca="false">IF($G2875&lt;&gt;"",$G2875,$B2875)</f>
        <v>4413135</v>
      </c>
      <c r="K2875" s="8" t="str">
        <f aca="false">IF(COUNTIF($M$1:$M$10,$A2875)&gt;0,"Y","N")</f>
        <v>N</v>
      </c>
    </row>
    <row r="2876" customFormat="false" ht="15" hidden="false" customHeight="true" outlineLevel="0" collapsed="false">
      <c r="A2876" s="8" t="s">
        <v>1058</v>
      </c>
      <c r="B2876" s="8" t="s">
        <v>709</v>
      </c>
      <c r="C2876" s="19" t="n">
        <v>50</v>
      </c>
      <c r="D2876" s="19" t="n">
        <v>1050</v>
      </c>
      <c r="E2876" s="19" t="n">
        <v>0</v>
      </c>
      <c r="F2876" s="19" t="n">
        <v>0</v>
      </c>
      <c r="G2876" s="8" t="n">
        <f aca="false">IFERROR(INDEX('TRANS'!$B:$B,MATCH($B2876,'TRANS'!$A:$A,0)),IFERROR(INDEX('TRANS'!$B:$B,MATCH(TRIM(SUBSTITUTE($B2876,CHAR(160)," ")),'TRANS'!$D:$D,0)),IFERROR(INDEX('Catalog'!$A:$A,MATCH($B2876,'Catalog'!$B:$B,0)),IFERROR(INDEX('Catalog'!$A:$A,MATCH(TRIM(SUBSTITUTE($B2876,CHAR(160)," ")),'Catalog'!$C:$C,0)),""))))</f>
        <v>4413136</v>
      </c>
      <c r="H2876" s="8" t="str">
        <f aca="false">IFERROR(INDEX('TRANS'!$C:$C,MATCH($B2876,'TRANS'!$A:$A,0)),IFERROR(INDEX('Catalog'!$B:$B,MATCH($G2876,'Catalog'!$A:$A,0)),$B2876))</f>
        <v>85 M (מתלה ליד )כיס</v>
      </c>
      <c r="I2876" s="8" t="str">
        <f aca="false">IF($G2876="","Unmatched","Matched")</f>
        <v>Matched</v>
      </c>
      <c r="J2876" s="8" t="n">
        <f aca="false">IF($G2876&lt;&gt;"",$G2876,$B2876)</f>
        <v>4413136</v>
      </c>
      <c r="K2876" s="8" t="str">
        <f aca="false">IF(COUNTIF($M$1:$M$10,$A2876)&gt;0,"Y","N")</f>
        <v>N</v>
      </c>
    </row>
    <row r="2877" customFormat="false" ht="15" hidden="false" customHeight="true" outlineLevel="0" collapsed="false">
      <c r="A2877" s="8" t="s">
        <v>1058</v>
      </c>
      <c r="B2877" s="8" t="s">
        <v>963</v>
      </c>
      <c r="C2877" s="19" t="n">
        <v>40</v>
      </c>
      <c r="D2877" s="19" t="n">
        <v>846.71</v>
      </c>
      <c r="E2877" s="19" t="n">
        <v>0</v>
      </c>
      <c r="F2877" s="19" t="n">
        <v>0</v>
      </c>
      <c r="G2877" s="8" t="n">
        <f aca="false">IFERROR(INDEX('TRANS'!$B:$B,MATCH($B2877,'TRANS'!$A:$A,0)),IFERROR(INDEX('TRANS'!$B:$B,MATCH(TRIM(SUBSTITUTE($B2877,CHAR(160)," ")),'TRANS'!$D:$D,0)),IFERROR(INDEX('Catalog'!$A:$A,MATCH($B2877,'Catalog'!$B:$B,0)),IFERROR(INDEX('Catalog'!$A:$A,MATCH(TRIM(SUBSTITUTE($B2877,CHAR(160)," ")),'Catalog'!$C:$C,0)),""))))</f>
        <v>4413137</v>
      </c>
      <c r="H2877" s="8" t="str">
        <f aca="false">IFERROR(INDEX('TRANS'!$C:$C,MATCH($B2877,'TRANS'!$A:$A,0)),IFERROR(INDEX('Catalog'!$B:$B,MATCH($G2877,'Catalog'!$A:$A,0)),$B2877))</f>
        <v>85 S (מתלה ליד )כיס</v>
      </c>
      <c r="I2877" s="8" t="str">
        <f aca="false">IF($G2877="","Unmatched","Matched")</f>
        <v>Matched</v>
      </c>
      <c r="J2877" s="8" t="n">
        <f aca="false">IF($G2877&lt;&gt;"",$G2877,$B2877)</f>
        <v>4413137</v>
      </c>
      <c r="K2877" s="8" t="str">
        <f aca="false">IF(COUNTIF($M$1:$M$10,$A2877)&gt;0,"Y","N")</f>
        <v>N</v>
      </c>
    </row>
    <row r="2878" customFormat="false" ht="15" hidden="false" customHeight="true" outlineLevel="0" collapsed="false">
      <c r="A2878" s="8" t="s">
        <v>1058</v>
      </c>
      <c r="B2878" s="8" t="s">
        <v>710</v>
      </c>
      <c r="C2878" s="19" t="n">
        <v>15</v>
      </c>
      <c r="D2878" s="19" t="n">
        <v>304.94</v>
      </c>
      <c r="E2878" s="19" t="n">
        <v>0</v>
      </c>
      <c r="F2878" s="19" t="n">
        <v>0</v>
      </c>
      <c r="G2878" s="8" t="n">
        <f aca="false">IFERROR(INDEX('TRANS'!$B:$B,MATCH($B2878,'TRANS'!$A:$A,0)),IFERROR(INDEX('TRANS'!$B:$B,MATCH(TRIM(SUBSTITUTE($B2878,CHAR(160)," ")),'TRANS'!$D:$D,0)),IFERROR(INDEX('Catalog'!$A:$A,MATCH($B2878,'Catalog'!$B:$B,0)),IFERROR(INDEX('Catalog'!$A:$A,MATCH(TRIM(SUBSTITUTE($B2878,CHAR(160)," ")),'Catalog'!$C:$C,0)),""))))</f>
        <v>4413138</v>
      </c>
      <c r="H2878" s="8" t="str">
        <f aca="false">IFERROR(INDEX('TRANS'!$C:$C,MATCH($B2878,'TRANS'!$A:$A,0)),IFERROR(INDEX('Catalog'!$B:$B,MATCH($G2878,'Catalog'!$A:$A,0)),$B2878))</f>
        <v>85 XL (מתלה ליד )כיס</v>
      </c>
      <c r="I2878" s="8" t="str">
        <f aca="false">IF($G2878="","Unmatched","Matched")</f>
        <v>Matched</v>
      </c>
      <c r="J2878" s="8" t="n">
        <f aca="false">IF($G2878&lt;&gt;"",$G2878,$B2878)</f>
        <v>4413138</v>
      </c>
      <c r="K2878" s="8" t="str">
        <f aca="false">IF(COUNTIF($M$1:$M$10,$A2878)&gt;0,"Y","N")</f>
        <v>N</v>
      </c>
    </row>
    <row r="2879" customFormat="false" ht="15" hidden="false" customHeight="true" outlineLevel="0" collapsed="false">
      <c r="A2879" s="8" t="s">
        <v>1058</v>
      </c>
      <c r="B2879" s="8" t="s">
        <v>717</v>
      </c>
      <c r="C2879" s="19" t="n">
        <v>10</v>
      </c>
      <c r="D2879" s="19" t="n">
        <v>114.58</v>
      </c>
      <c r="E2879" s="19" t="n">
        <v>20</v>
      </c>
      <c r="F2879" s="19" t="n">
        <v>220.03</v>
      </c>
      <c r="G2879" s="8" t="n">
        <f aca="false">IFERROR(INDEX('TRANS'!$B:$B,MATCH($B2879,'TRANS'!$A:$A,0)),IFERROR(INDEX('TRANS'!$B:$B,MATCH(TRIM(SUBSTITUTE($B2879,CHAR(160)," ")),'TRANS'!$D:$D,0)),IFERROR(INDEX('Catalog'!$A:$A,MATCH($B2879,'Catalog'!$B:$B,0)),IFERROR(INDEX('Catalog'!$A:$A,MATCH(TRIM(SUBSTITUTE($B2879,CHAR(160)," ")),'Catalog'!$C:$C,0)),""))))</f>
        <v>4413500</v>
      </c>
      <c r="H2879" s="8" t="str">
        <f aca="false">IFERROR(INDEX('TRANS'!$C:$C,MATCH($B2879,'TRANS'!$A:$A,0)),IFERROR(INDEX('Catalog'!$B:$B,MATCH($G2879,'Catalog'!$A:$A,0)),$B2879))</f>
        <v>95B L מגן מרפק שחור</v>
      </c>
      <c r="I2879" s="8" t="str">
        <f aca="false">IF($G2879="","Unmatched","Matched")</f>
        <v>Matched</v>
      </c>
      <c r="J2879" s="8" t="n">
        <f aca="false">IF($G2879&lt;&gt;"",$G2879,$B2879)</f>
        <v>4413500</v>
      </c>
      <c r="K2879" s="8" t="str">
        <f aca="false">IF(COUNTIF($M$1:$M$10,$A2879)&gt;0,"Y","N")</f>
        <v>N</v>
      </c>
    </row>
    <row r="2880" customFormat="false" ht="15" hidden="false" customHeight="true" outlineLevel="0" collapsed="false">
      <c r="A2880" s="8" t="s">
        <v>1058</v>
      </c>
      <c r="B2880" s="8" t="s">
        <v>718</v>
      </c>
      <c r="C2880" s="19" t="n">
        <v>0</v>
      </c>
      <c r="D2880" s="19" t="n">
        <v>0</v>
      </c>
      <c r="E2880" s="19" t="n">
        <v>40</v>
      </c>
      <c r="F2880" s="19" t="n">
        <v>440.07</v>
      </c>
      <c r="G2880" s="8" t="n">
        <f aca="false">IFERROR(INDEX('TRANS'!$B:$B,MATCH($B2880,'TRANS'!$A:$A,0)),IFERROR(INDEX('TRANS'!$B:$B,MATCH(TRIM(SUBSTITUTE($B2880,CHAR(160)," ")),'TRANS'!$D:$D,0)),IFERROR(INDEX('Catalog'!$A:$A,MATCH($B2880,'Catalog'!$B:$B,0)),IFERROR(INDEX('Catalog'!$A:$A,MATCH(TRIM(SUBSTITUTE($B2880,CHAR(160)," ")),'Catalog'!$C:$C,0)),""))))</f>
        <v>4413501</v>
      </c>
      <c r="H2880" s="8" t="str">
        <f aca="false">IFERROR(INDEX('TRANS'!$C:$C,MATCH($B2880,'TRANS'!$A:$A,0)),IFERROR(INDEX('Catalog'!$B:$B,MATCH($G2880,'Catalog'!$A:$A,0)),$B2880))</f>
        <v>95B M מגן מרפק שחור</v>
      </c>
      <c r="I2880" s="8" t="str">
        <f aca="false">IF($G2880="","Unmatched","Matched")</f>
        <v>Matched</v>
      </c>
      <c r="J2880" s="8" t="n">
        <f aca="false">IF($G2880&lt;&gt;"",$G2880,$B2880)</f>
        <v>4413501</v>
      </c>
      <c r="K2880" s="8" t="str">
        <f aca="false">IF(COUNTIF($M$1:$M$10,$A2880)&gt;0,"Y","N")</f>
        <v>N</v>
      </c>
    </row>
    <row r="2881" customFormat="false" ht="15" hidden="false" customHeight="true" outlineLevel="0" collapsed="false">
      <c r="A2881" s="8" t="s">
        <v>1058</v>
      </c>
      <c r="B2881" s="8" t="s">
        <v>720</v>
      </c>
      <c r="C2881" s="19" t="n">
        <v>10</v>
      </c>
      <c r="D2881" s="19" t="n">
        <v>117.78</v>
      </c>
      <c r="E2881" s="19" t="n">
        <v>20</v>
      </c>
      <c r="F2881" s="19" t="n">
        <v>220.03</v>
      </c>
      <c r="G2881" s="8" t="n">
        <f aca="false">IFERROR(INDEX('TRANS'!$B:$B,MATCH($B2881,'TRANS'!$A:$A,0)),IFERROR(INDEX('TRANS'!$B:$B,MATCH(TRIM(SUBSTITUTE($B2881,CHAR(160)," ")),'TRANS'!$D:$D,0)),IFERROR(INDEX('Catalog'!$A:$A,MATCH($B2881,'Catalog'!$B:$B,0)),IFERROR(INDEX('Catalog'!$A:$A,MATCH(TRIM(SUBSTITUTE($B2881,CHAR(160)," ")),'Catalog'!$C:$C,0)),""))))</f>
        <v>4413503</v>
      </c>
      <c r="H2881" s="8" t="str">
        <f aca="false">IFERROR(INDEX('TRANS'!$C:$C,MATCH($B2881,'TRANS'!$A:$A,0)),IFERROR(INDEX('Catalog'!$B:$B,MATCH($G2881,'Catalog'!$A:$A,0)),$B2881))</f>
        <v>95B XL מגן מרפק שחור</v>
      </c>
      <c r="I2881" s="8" t="str">
        <f aca="false">IF($G2881="","Unmatched","Matched")</f>
        <v>Matched</v>
      </c>
      <c r="J2881" s="8" t="n">
        <f aca="false">IF($G2881&lt;&gt;"",$G2881,$B2881)</f>
        <v>4413503</v>
      </c>
      <c r="K2881" s="8" t="str">
        <f aca="false">IF(COUNTIF($M$1:$M$10,$A2881)&gt;0,"Y","N")</f>
        <v>N</v>
      </c>
    </row>
    <row r="2882" customFormat="false" ht="15" hidden="false" customHeight="true" outlineLevel="0" collapsed="false">
      <c r="A2882" s="8" t="s">
        <v>1058</v>
      </c>
      <c r="B2882" s="8" t="s">
        <v>723</v>
      </c>
      <c r="C2882" s="19" t="n">
        <v>60</v>
      </c>
      <c r="D2882" s="19" t="n">
        <v>2564.02</v>
      </c>
      <c r="E2882" s="19" t="n">
        <v>0</v>
      </c>
      <c r="F2882" s="19" t="n">
        <v>0</v>
      </c>
      <c r="G2882" s="8" t="n">
        <f aca="false">IFERROR(INDEX('TRANS'!$B:$B,MATCH($B2882,'TRANS'!$A:$A,0)),IFERROR(INDEX('TRANS'!$B:$B,MATCH(TRIM(SUBSTITUTE($B2882,CHAR(160)," ")),'TRANS'!$D:$D,0)),IFERROR(INDEX('Catalog'!$A:$A,MATCH($B2882,'Catalog'!$B:$B,0)),IFERROR(INDEX('Catalog'!$A:$A,MATCH(TRIM(SUBSTITUTE($B2882,CHAR(160)," ")),'Catalog'!$C:$C,0)),""))))</f>
        <v>4408205</v>
      </c>
      <c r="H2882" s="8" t="str">
        <f aca="false">IFERROR(INDEX('TRANS'!$C:$C,MATCH($B2882,'TRANS'!$A:$A,0)),IFERROR(INDEX('Catalog'!$B:$B,MATCH($G2882,'Catalog'!$A:$A,0)),$B2882))</f>
        <v>AC-07 חגורת גב עם תמיכות</v>
      </c>
      <c r="I2882" s="8" t="str">
        <f aca="false">IF($G2882="","Unmatched","Matched")</f>
        <v>Matched</v>
      </c>
      <c r="J2882" s="8" t="n">
        <f aca="false">IF($G2882&lt;&gt;"",$G2882,$B2882)</f>
        <v>4408205</v>
      </c>
      <c r="K2882" s="8" t="str">
        <f aca="false">IF(COUNTIF($M$1:$M$10,$A2882)&gt;0,"Y","N")</f>
        <v>N</v>
      </c>
    </row>
    <row r="2883" customFormat="false" ht="15" hidden="false" customHeight="true" outlineLevel="0" collapsed="false">
      <c r="A2883" s="8" t="s">
        <v>1058</v>
      </c>
      <c r="B2883" s="8" t="s">
        <v>725</v>
      </c>
      <c r="C2883" s="19" t="n">
        <v>450</v>
      </c>
      <c r="D2883" s="19" t="n">
        <v>7393.9</v>
      </c>
      <c r="E2883" s="19" t="n">
        <v>260</v>
      </c>
      <c r="F2883" s="19" t="n">
        <v>3917.19</v>
      </c>
      <c r="G2883" s="8" t="n">
        <f aca="false">IFERROR(INDEX('TRANS'!$B:$B,MATCH($B2883,'TRANS'!$A:$A,0)),IFERROR(INDEX('TRANS'!$B:$B,MATCH(TRIM(SUBSTITUTE($B2883,CHAR(160)," ")),'TRANS'!$D:$D,0)),IFERROR(INDEX('Catalog'!$A:$A,MATCH($B2883,'Catalog'!$B:$B,0)),IFERROR(INDEX('Catalog'!$A:$A,MATCH(TRIM(SUBSTITUTE($B2883,CHAR(160)," ")),'Catalog'!$C:$C,0)),""))))</f>
        <v>4408207</v>
      </c>
      <c r="H2883" s="8" t="str">
        <f aca="false">IFERROR(INDEX('TRANS'!$C:$C,MATCH($B2883,'TRANS'!$A:$A,0)),IFERROR(INDEX('Catalog'!$B:$B,MATCH($G2883,'Catalog'!$A:$A,0)),$B2883))</f>
        <v>AC-25 חבק לשורש כף היד</v>
      </c>
      <c r="I2883" s="8" t="str">
        <f aca="false">IF($G2883="","Unmatched","Matched")</f>
        <v>Matched</v>
      </c>
      <c r="J2883" s="8" t="n">
        <f aca="false">IF($G2883&lt;&gt;"",$G2883,$B2883)</f>
        <v>4408207</v>
      </c>
      <c r="K2883" s="8" t="str">
        <f aca="false">IF(COUNTIF($M$1:$M$10,$A2883)&gt;0,"Y","N")</f>
        <v>N</v>
      </c>
    </row>
    <row r="2884" customFormat="false" ht="15" hidden="false" customHeight="true" outlineLevel="0" collapsed="false">
      <c r="A2884" s="8" t="s">
        <v>1058</v>
      </c>
      <c r="B2884" s="8" t="s">
        <v>726</v>
      </c>
      <c r="C2884" s="19" t="n">
        <v>30</v>
      </c>
      <c r="D2884" s="19" t="n">
        <v>934.5</v>
      </c>
      <c r="E2884" s="19" t="n">
        <v>0</v>
      </c>
      <c r="F2884" s="19" t="n">
        <v>0</v>
      </c>
      <c r="G2884" s="8" t="n">
        <f aca="false">IFERROR(INDEX('TRANS'!$B:$B,MATCH($B2884,'TRANS'!$A:$A,0)),IFERROR(INDEX('TRANS'!$B:$B,MATCH(TRIM(SUBSTITUTE($B2884,CHAR(160)," ")),'TRANS'!$D:$D,0)),IFERROR(INDEX('Catalog'!$A:$A,MATCH($B2884,'Catalog'!$B:$B,0)),IFERROR(INDEX('Catalog'!$A:$A,MATCH(TRIM(SUBSTITUTE($B2884,CHAR(160)," ")),'Catalog'!$C:$C,0)),""))))</f>
        <v>4415026</v>
      </c>
      <c r="H2884" s="8" t="str">
        <f aca="false">IFERROR(INDEX('TRANS'!$C:$C,MATCH($B2884,'TRANS'!$A:$A,0)),IFERROR(INDEX('Catalog'!$B:$B,MATCH($G2884,'Catalog'!$A:$A,0)),$B2884))</f>
        <v>AC-27L סד לש.כף יד שמאל</v>
      </c>
      <c r="I2884" s="8" t="str">
        <f aca="false">IF($G2884="","Unmatched","Matched")</f>
        <v>Matched</v>
      </c>
      <c r="J2884" s="8" t="n">
        <f aca="false">IF($G2884&lt;&gt;"",$G2884,$B2884)</f>
        <v>4415026</v>
      </c>
      <c r="K2884" s="8" t="str">
        <f aca="false">IF(COUNTIF($M$1:$M$10,$A2884)&gt;0,"Y","N")</f>
        <v>N</v>
      </c>
    </row>
    <row r="2885" customFormat="false" ht="15" hidden="false" customHeight="true" outlineLevel="0" collapsed="false">
      <c r="A2885" s="8" t="s">
        <v>1058</v>
      </c>
      <c r="B2885" s="8" t="s">
        <v>727</v>
      </c>
      <c r="C2885" s="19" t="n">
        <v>40</v>
      </c>
      <c r="D2885" s="19" t="n">
        <v>1251.74</v>
      </c>
      <c r="E2885" s="19" t="n">
        <v>0</v>
      </c>
      <c r="F2885" s="19" t="n">
        <v>0</v>
      </c>
      <c r="G2885" s="8" t="n">
        <f aca="false">IFERROR(INDEX('TRANS'!$B:$B,MATCH($B2885,'TRANS'!$A:$A,0)),IFERROR(INDEX('TRANS'!$B:$B,MATCH(TRIM(SUBSTITUTE($B2885,CHAR(160)," ")),'TRANS'!$D:$D,0)),IFERROR(INDEX('Catalog'!$A:$A,MATCH($B2885,'Catalog'!$B:$B,0)),IFERROR(INDEX('Catalog'!$A:$A,MATCH(TRIM(SUBSTITUTE($B2885,CHAR(160)," ")),'Catalog'!$C:$C,0)),""))))</f>
        <v>4415027</v>
      </c>
      <c r="H2885" s="8" t="str">
        <f aca="false">IFERROR(INDEX('TRANS'!$C:$C,MATCH($B2885,'TRANS'!$A:$A,0)),IFERROR(INDEX('Catalog'!$B:$B,MATCH($G2885,'Catalog'!$A:$A,0)),$B2885))</f>
        <v>AC-27R סד לש.כף יד ימין</v>
      </c>
      <c r="I2885" s="8" t="str">
        <f aca="false">IF($G2885="","Unmatched","Matched")</f>
        <v>Matched</v>
      </c>
      <c r="J2885" s="8" t="n">
        <f aca="false">IF($G2885&lt;&gt;"",$G2885,$B2885)</f>
        <v>4415027</v>
      </c>
      <c r="K2885" s="8" t="str">
        <f aca="false">IF(COUNTIF($M$1:$M$10,$A2885)&gt;0,"Y","N")</f>
        <v>N</v>
      </c>
    </row>
    <row r="2886" customFormat="false" ht="15" hidden="false" customHeight="true" outlineLevel="0" collapsed="false">
      <c r="A2886" s="8" t="s">
        <v>1058</v>
      </c>
      <c r="B2886" s="8" t="s">
        <v>728</v>
      </c>
      <c r="C2886" s="19" t="n">
        <v>470</v>
      </c>
      <c r="D2886" s="19" t="n">
        <v>7664.64</v>
      </c>
      <c r="E2886" s="19" t="n">
        <v>260</v>
      </c>
      <c r="F2886" s="19" t="n">
        <v>3917.19</v>
      </c>
      <c r="G2886" s="8" t="n">
        <f aca="false">IFERROR(INDEX('TRANS'!$B:$B,MATCH($B2886,'TRANS'!$A:$A,0)),IFERROR(INDEX('TRANS'!$B:$B,MATCH(TRIM(SUBSTITUTE($B2886,CHAR(160)," ")),'TRANS'!$D:$D,0)),IFERROR(INDEX('Catalog'!$A:$A,MATCH($B2886,'Catalog'!$B:$B,0)),IFERROR(INDEX('Catalog'!$A:$A,MATCH(TRIM(SUBSTITUTE($B2886,CHAR(160)," ")),'Catalog'!$C:$C,0)),""))))</f>
        <v>4415028</v>
      </c>
      <c r="H2886" s="8" t="str">
        <f aca="false">IFERROR(INDEX('TRANS'!$C:$C,MATCH($B2886,'TRANS'!$A:$A,0)),IFERROR(INDEX('Catalog'!$B:$B,MATCH($G2886,'Catalog'!$A:$A,0)),$B2886))</f>
        <v>AC-28 סד לאגודל</v>
      </c>
      <c r="I2886" s="8" t="str">
        <f aca="false">IF($G2886="","Unmatched","Matched")</f>
        <v>Matched</v>
      </c>
      <c r="J2886" s="8" t="n">
        <f aca="false">IF($G2886&lt;&gt;"",$G2886,$B2886)</f>
        <v>4415028</v>
      </c>
      <c r="K2886" s="8" t="str">
        <f aca="false">IF(COUNTIF($M$1:$M$10,$A2886)&gt;0,"Y","N")</f>
        <v>N</v>
      </c>
    </row>
    <row r="2887" customFormat="false" ht="15" hidden="false" customHeight="true" outlineLevel="0" collapsed="false">
      <c r="A2887" s="8" t="s">
        <v>1058</v>
      </c>
      <c r="B2887" s="8" t="s">
        <v>729</v>
      </c>
      <c r="C2887" s="19" t="n">
        <v>30</v>
      </c>
      <c r="D2887" s="19" t="n">
        <v>598.37</v>
      </c>
      <c r="E2887" s="19" t="n">
        <v>0</v>
      </c>
      <c r="F2887" s="19" t="n">
        <v>0</v>
      </c>
      <c r="G2887" s="8" t="n">
        <f aca="false">IFERROR(INDEX('TRANS'!$B:$B,MATCH($B2887,'TRANS'!$A:$A,0)),IFERROR(INDEX('TRANS'!$B:$B,MATCH(TRIM(SUBSTITUTE($B2887,CHAR(160)," ")),'TRANS'!$D:$D,0)),IFERROR(INDEX('Catalog'!$A:$A,MATCH($B2887,'Catalog'!$B:$B,0)),IFERROR(INDEX('Catalog'!$A:$A,MATCH(TRIM(SUBSTITUTE($B2887,CHAR(160)," ")),'Catalog'!$C:$C,0)),""))))</f>
        <v>4413326</v>
      </c>
      <c r="H2887" s="8" t="str">
        <f aca="false">IFERROR(INDEX('TRANS'!$C:$C,MATCH($B2887,'TRANS'!$A:$A,0)),IFERROR(INDEX('Catalog'!$B:$B,MATCH($G2887,'Catalog'!$A:$A,0)),$B2887))</f>
        <v>AC37 מגן קרסול נושם</v>
      </c>
      <c r="I2887" s="8" t="str">
        <f aca="false">IF($G2887="","Unmatched","Matched")</f>
        <v>Matched</v>
      </c>
      <c r="J2887" s="8" t="n">
        <f aca="false">IF($G2887&lt;&gt;"",$G2887,$B2887)</f>
        <v>4413326</v>
      </c>
      <c r="K2887" s="8" t="str">
        <f aca="false">IF(COUNTIF($M$1:$M$10,$A2887)&gt;0,"Y","N")</f>
        <v>N</v>
      </c>
    </row>
    <row r="2888" customFormat="false" ht="15" hidden="false" customHeight="true" outlineLevel="0" collapsed="false">
      <c r="A2888" s="8" t="s">
        <v>1058</v>
      </c>
      <c r="B2888" s="8" t="s">
        <v>560</v>
      </c>
      <c r="C2888" s="19" t="n">
        <v>20</v>
      </c>
      <c r="D2888" s="19" t="n">
        <v>959.45</v>
      </c>
      <c r="E2888" s="19" t="n">
        <v>0</v>
      </c>
      <c r="F2888" s="19" t="n">
        <v>0</v>
      </c>
      <c r="G2888" s="8" t="n">
        <f aca="false">IFERROR(INDEX('TRANS'!$B:$B,MATCH($B2888,'TRANS'!$A:$A,0)),IFERROR(INDEX('TRANS'!$B:$B,MATCH(TRIM(SUBSTITUTE($B2888,CHAR(160)," ")),'TRANS'!$D:$D,0)),IFERROR(INDEX('Catalog'!$A:$A,MATCH($B2888,'Catalog'!$B:$B,0)),IFERROR(INDEX('Catalog'!$A:$A,MATCH(TRIM(SUBSTITUTE($B2888,CHAR(160)," ")),'Catalog'!$C:$C,0)),""))))</f>
        <v>4413328</v>
      </c>
      <c r="H2888" s="8" t="str">
        <f aca="false">IFERROR(INDEX('TRANS'!$C:$C,MATCH($B2888,'TRANS'!$A:$A,0)),IFERROR(INDEX('Catalog'!$B:$B,MATCH($G2888,'Catalog'!$A:$A,0)),$B2888))</f>
        <v>AC43D מגן ברך + צירים</v>
      </c>
      <c r="I2888" s="8" t="str">
        <f aca="false">IF($G2888="","Unmatched","Matched")</f>
        <v>Matched</v>
      </c>
      <c r="J2888" s="8" t="n">
        <f aca="false">IF($G2888&lt;&gt;"",$G2888,$B2888)</f>
        <v>4413328</v>
      </c>
      <c r="K2888" s="8" t="str">
        <f aca="false">IF(COUNTIF($M$1:$M$10,$A2888)&gt;0,"Y","N")</f>
        <v>N</v>
      </c>
    </row>
    <row r="2889" customFormat="false" ht="15" hidden="false" customHeight="true" outlineLevel="0" collapsed="false">
      <c r="A2889" s="8" t="s">
        <v>1058</v>
      </c>
      <c r="B2889" s="8" t="s">
        <v>731</v>
      </c>
      <c r="C2889" s="19" t="n">
        <v>140</v>
      </c>
      <c r="D2889" s="19" t="n">
        <v>5088.22</v>
      </c>
      <c r="E2889" s="19" t="n">
        <v>100</v>
      </c>
      <c r="F2889" s="19" t="n">
        <v>3379.37</v>
      </c>
      <c r="G2889" s="8" t="n">
        <f aca="false">IFERROR(INDEX('TRANS'!$B:$B,MATCH($B2889,'TRANS'!$A:$A,0)),IFERROR(INDEX('TRANS'!$B:$B,MATCH(TRIM(SUBSTITUTE($B2889,CHAR(160)," ")),'TRANS'!$D:$D,0)),IFERROR(INDEX('Catalog'!$A:$A,MATCH($B2889,'Catalog'!$B:$B,0)),IFERROR(INDEX('Catalog'!$A:$A,MATCH(TRIM(SUBSTITUTE($B2889,CHAR(160)," ")),'Catalog'!$C:$C,0)),""))))</f>
        <v>4413329</v>
      </c>
      <c r="H2889" s="8" t="str">
        <f aca="false">IFERROR(INDEX('TRANS'!$C:$C,MATCH($B2889,'TRANS'!$A:$A,0)),IFERROR(INDEX('Catalog'!$B:$B,MATCH($G2889,'Catalog'!$A:$A,0)),$B2889))</f>
        <v>AC45X מגן ברך עם תמיכות</v>
      </c>
      <c r="I2889" s="8" t="str">
        <f aca="false">IF($G2889="","Unmatched","Matched")</f>
        <v>Matched</v>
      </c>
      <c r="J2889" s="8" t="n">
        <f aca="false">IF($G2889&lt;&gt;"",$G2889,$B2889)</f>
        <v>4413329</v>
      </c>
      <c r="K2889" s="8" t="str">
        <f aca="false">IF(COUNTIF($M$1:$M$10,$A2889)&gt;0,"Y","N")</f>
        <v>N</v>
      </c>
    </row>
    <row r="2890" customFormat="false" ht="15" hidden="false" customHeight="true" outlineLevel="0" collapsed="false">
      <c r="A2890" s="8" t="s">
        <v>1058</v>
      </c>
      <c r="B2890" s="8" t="s">
        <v>733</v>
      </c>
      <c r="C2890" s="19" t="n">
        <v>70</v>
      </c>
      <c r="D2890" s="19" t="n">
        <v>1192.26</v>
      </c>
      <c r="E2890" s="19" t="n">
        <v>20</v>
      </c>
      <c r="F2890" s="19" t="n">
        <v>315.86</v>
      </c>
      <c r="G2890" s="8" t="n">
        <f aca="false">IFERROR(INDEX('TRANS'!$B:$B,MATCH($B2890,'TRANS'!$A:$A,0)),IFERROR(INDEX('TRANS'!$B:$B,MATCH(TRIM(SUBSTITUTE($B2890,CHAR(160)," ")),'TRANS'!$D:$D,0)),IFERROR(INDEX('Catalog'!$A:$A,MATCH($B2890,'Catalog'!$B:$B,0)),IFERROR(INDEX('Catalog'!$A:$A,MATCH(TRIM(SUBSTITUTE($B2890,CHAR(160)," ")),'Catalog'!$C:$C,0)),""))))</f>
        <v>4408208</v>
      </c>
      <c r="H2890" s="8" t="str">
        <f aca="false">IFERROR(INDEX('TRANS'!$C:$C,MATCH($B2890,'TRANS'!$A:$A,0)),IFERROR(INDEX('Catalog'!$B:$B,MATCH($G2890,'Catalog'!$A:$A,0)),$B2890))</f>
        <v>AC91 חבק טניס</v>
      </c>
      <c r="I2890" s="8" t="str">
        <f aca="false">IF($G2890="","Unmatched","Matched")</f>
        <v>Matched</v>
      </c>
      <c r="J2890" s="8" t="n">
        <f aca="false">IF($G2890&lt;&gt;"",$G2890,$B2890)</f>
        <v>4408208</v>
      </c>
      <c r="K2890" s="8" t="str">
        <f aca="false">IF(COUNTIF($M$1:$M$10,$A2890)&gt;0,"Y","N")</f>
        <v>N</v>
      </c>
    </row>
    <row r="2891" customFormat="false" ht="15" hidden="false" customHeight="true" outlineLevel="0" collapsed="false">
      <c r="A2891" s="8" t="s">
        <v>1058</v>
      </c>
      <c r="B2891" s="8" t="s">
        <v>734</v>
      </c>
      <c r="C2891" s="19" t="n">
        <v>20</v>
      </c>
      <c r="D2891" s="19" t="n">
        <v>348.53</v>
      </c>
      <c r="E2891" s="19" t="n">
        <v>20</v>
      </c>
      <c r="F2891" s="19" t="n">
        <v>330.05</v>
      </c>
      <c r="G2891" s="8" t="n">
        <f aca="false">IFERROR(INDEX('TRANS'!$B:$B,MATCH($B2891,'TRANS'!$A:$A,0)),IFERROR(INDEX('TRANS'!$B:$B,MATCH(TRIM(SUBSTITUTE($B2891,CHAR(160)," ")),'TRANS'!$D:$D,0)),IFERROR(INDEX('Catalog'!$A:$A,MATCH($B2891,'Catalog'!$B:$B,0)),IFERROR(INDEX('Catalog'!$A:$A,MATCH(TRIM(SUBSTITUTE($B2891,CHAR(160)," ")),'Catalog'!$C:$C,0)),""))))</f>
        <v>4413331</v>
      </c>
      <c r="H2891" s="8" t="str">
        <f aca="false">IFERROR(INDEX('TRANS'!$C:$C,MATCH($B2891,'TRANS'!$A:$A,0)),IFERROR(INDEX('Catalog'!$B:$B,MATCH($G2891,'Catalog'!$A:$A,0)),$B2891))</f>
        <v>AC95 מגן מרפק</v>
      </c>
      <c r="I2891" s="8" t="str">
        <f aca="false">IF($G2891="","Unmatched","Matched")</f>
        <v>Matched</v>
      </c>
      <c r="J2891" s="8" t="n">
        <f aca="false">IF($G2891&lt;&gt;"",$G2891,$B2891)</f>
        <v>4413331</v>
      </c>
      <c r="K2891" s="8" t="str">
        <f aca="false">IF(COUNTIF($M$1:$M$10,$A2891)&gt;0,"Y","N")</f>
        <v>N</v>
      </c>
    </row>
    <row r="2892" customFormat="false" ht="15" hidden="false" customHeight="true" outlineLevel="0" collapsed="false">
      <c r="A2892" s="8" t="s">
        <v>1059</v>
      </c>
      <c r="B2892" s="8" t="s">
        <v>561</v>
      </c>
      <c r="C2892" s="19" t="n">
        <v>0</v>
      </c>
      <c r="D2892" s="19" t="n">
        <v>0</v>
      </c>
      <c r="E2892" s="19" t="n">
        <v>40</v>
      </c>
      <c r="F2892" s="19" t="n">
        <v>2484.42</v>
      </c>
      <c r="G2892" s="8" t="n">
        <f aca="false">IFERROR(INDEX('TRANS'!$B:$B,MATCH($B2892,'TRANS'!$A:$A,0)),IFERROR(INDEX('TRANS'!$B:$B,MATCH(TRIM(SUBSTITUTE($B2892,CHAR(160)," ")),'TRANS'!$D:$D,0)),IFERROR(INDEX('Catalog'!$A:$A,MATCH($B2892,'Catalog'!$B:$B,0)),IFERROR(INDEX('Catalog'!$A:$A,MATCH(TRIM(SUBSTITUTE($B2892,CHAR(160)," ")),'Catalog'!$C:$C,0)),""))))</f>
        <v>4408192</v>
      </c>
      <c r="H2892" s="8" t="str">
        <f aca="false">IFERROR(INDEX('TRANS'!$C:$C,MATCH($B2892,'TRANS'!$A:$A,0)),IFERROR(INDEX('Catalog'!$B:$B,MATCH($G2892,'Catalog'!$A:$A,0)),$B2892))</f>
        <v>078 L חגורת גב +סגירה</v>
      </c>
      <c r="I2892" s="8" t="str">
        <f aca="false">IF($G2892="","Unmatched","Matched")</f>
        <v>Matched</v>
      </c>
      <c r="J2892" s="8" t="n">
        <f aca="false">IF($G2892&lt;&gt;"",$G2892,$B2892)</f>
        <v>4408192</v>
      </c>
      <c r="K2892" s="8" t="str">
        <f aca="false">IF(COUNTIF($M$1:$M$10,$A2892)&gt;0,"Y","N")</f>
        <v>N</v>
      </c>
    </row>
    <row r="2893" customFormat="false" ht="15" hidden="false" customHeight="true" outlineLevel="0" collapsed="false">
      <c r="A2893" s="8" t="s">
        <v>1059</v>
      </c>
      <c r="B2893" s="8" t="s">
        <v>852</v>
      </c>
      <c r="C2893" s="19" t="n">
        <v>0</v>
      </c>
      <c r="D2893" s="19" t="n">
        <v>0</v>
      </c>
      <c r="E2893" s="19" t="n">
        <v>50</v>
      </c>
      <c r="F2893" s="19" t="n">
        <v>3105.52</v>
      </c>
      <c r="G2893" s="8" t="n">
        <f aca="false">IFERROR(INDEX('TRANS'!$B:$B,MATCH($B2893,'TRANS'!$A:$A,0)),IFERROR(INDEX('TRANS'!$B:$B,MATCH(TRIM(SUBSTITUTE($B2893,CHAR(160)," ")),'TRANS'!$D:$D,0)),IFERROR(INDEX('Catalog'!$A:$A,MATCH($B2893,'Catalog'!$B:$B,0)),IFERROR(INDEX('Catalog'!$A:$A,MATCH(TRIM(SUBSTITUTE($B2893,CHAR(160)," ")),'Catalog'!$C:$C,0)),""))))</f>
        <v>4408190</v>
      </c>
      <c r="H2893" s="8" t="str">
        <f aca="false">IFERROR(INDEX('TRANS'!$C:$C,MATCH($B2893,'TRANS'!$A:$A,0)),IFERROR(INDEX('Catalog'!$B:$B,MATCH($G2893,'Catalog'!$A:$A,0)),$B2893))</f>
        <v>M078 חגורת גב +סגירה כפולה</v>
      </c>
      <c r="I2893" s="8" t="str">
        <f aca="false">IF($G2893="","Unmatched","Matched")</f>
        <v>Matched</v>
      </c>
      <c r="J2893" s="8" t="n">
        <f aca="false">IF($G2893&lt;&gt;"",$G2893,$B2893)</f>
        <v>4408190</v>
      </c>
      <c r="K2893" s="8" t="str">
        <f aca="false">IF(COUNTIF($M$1:$M$10,$A2893)&gt;0,"Y","N")</f>
        <v>N</v>
      </c>
    </row>
    <row r="2894" customFormat="false" ht="15" hidden="false" customHeight="true" outlineLevel="0" collapsed="false">
      <c r="A2894" s="8" t="s">
        <v>1059</v>
      </c>
      <c r="B2894" s="8" t="s">
        <v>853</v>
      </c>
      <c r="C2894" s="19" t="n">
        <v>0</v>
      </c>
      <c r="D2894" s="19" t="n">
        <v>0</v>
      </c>
      <c r="E2894" s="19" t="n">
        <v>30</v>
      </c>
      <c r="F2894" s="19" t="n">
        <v>1882.66</v>
      </c>
      <c r="G2894" s="8" t="n">
        <f aca="false">IFERROR(INDEX('TRANS'!$B:$B,MATCH($B2894,'TRANS'!$A:$A,0)),IFERROR(INDEX('TRANS'!$B:$B,MATCH(TRIM(SUBSTITUTE($B2894,CHAR(160)," ")),'TRANS'!$D:$D,0)),IFERROR(INDEX('Catalog'!$A:$A,MATCH($B2894,'Catalog'!$B:$B,0)),IFERROR(INDEX('Catalog'!$A:$A,MATCH(TRIM(SUBSTITUTE($B2894,CHAR(160)," ")),'Catalog'!$C:$C,0)),""))))</f>
        <v>4408217</v>
      </c>
      <c r="H2894" s="8" t="str">
        <f aca="false">IFERROR(INDEX('TRANS'!$C:$C,MATCH($B2894,'TRANS'!$A:$A,0)),IFERROR(INDEX('Catalog'!$B:$B,MATCH($G2894,'Catalog'!$A:$A,0)),$B2894))</f>
        <v>S078 חגורת גב +סגירה כפולה</v>
      </c>
      <c r="I2894" s="8" t="str">
        <f aca="false">IF($G2894="","Unmatched","Matched")</f>
        <v>Matched</v>
      </c>
      <c r="J2894" s="8" t="n">
        <f aca="false">IF($G2894&lt;&gt;"",$G2894,$B2894)</f>
        <v>4408217</v>
      </c>
      <c r="K2894" s="8" t="str">
        <f aca="false">IF(COUNTIF($M$1:$M$10,$A2894)&gt;0,"Y","N")</f>
        <v>N</v>
      </c>
    </row>
    <row r="2895" customFormat="false" ht="15" hidden="false" customHeight="true" outlineLevel="0" collapsed="false">
      <c r="A2895" s="8" t="s">
        <v>1059</v>
      </c>
      <c r="B2895" s="8" t="s">
        <v>562</v>
      </c>
      <c r="C2895" s="19" t="n">
        <v>0</v>
      </c>
      <c r="D2895" s="19" t="n">
        <v>0</v>
      </c>
      <c r="E2895" s="19" t="n">
        <v>40</v>
      </c>
      <c r="F2895" s="19" t="n">
        <v>2484.42</v>
      </c>
      <c r="G2895" s="8" t="n">
        <f aca="false">IFERROR(INDEX('TRANS'!$B:$B,MATCH($B2895,'TRANS'!$A:$A,0)),IFERROR(INDEX('TRANS'!$B:$B,MATCH(TRIM(SUBSTITUTE($B2895,CHAR(160)," ")),'TRANS'!$D:$D,0)),IFERROR(INDEX('Catalog'!$A:$A,MATCH($B2895,'Catalog'!$B:$B,0)),IFERROR(INDEX('Catalog'!$A:$A,MATCH(TRIM(SUBSTITUTE($B2895,CHAR(160)," ")),'Catalog'!$C:$C,0)),""))))</f>
        <v>4408218</v>
      </c>
      <c r="H2895" s="8" t="str">
        <f aca="false">IFERROR(INDEX('TRANS'!$C:$C,MATCH($B2895,'TRANS'!$A:$A,0)),IFERROR(INDEX('Catalog'!$B:$B,MATCH($G2895,'Catalog'!$A:$A,0)),$B2895))</f>
        <v>078XL חגורת גב +סגירה כפולה</v>
      </c>
      <c r="I2895" s="8" t="str">
        <f aca="false">IF($G2895="","Unmatched","Matched")</f>
        <v>Matched</v>
      </c>
      <c r="J2895" s="8" t="n">
        <f aca="false">IF($G2895&lt;&gt;"",$G2895,$B2895)</f>
        <v>4408218</v>
      </c>
      <c r="K2895" s="8" t="str">
        <f aca="false">IF(COUNTIF($M$1:$M$10,$A2895)&gt;0,"Y","N")</f>
        <v>N</v>
      </c>
    </row>
    <row r="2896" customFormat="false" ht="15" hidden="false" customHeight="true" outlineLevel="0" collapsed="false">
      <c r="A2896" s="8" t="s">
        <v>1059</v>
      </c>
      <c r="B2896" s="8" t="s">
        <v>775</v>
      </c>
      <c r="C2896" s="19" t="n">
        <v>190</v>
      </c>
      <c r="D2896" s="19" t="n">
        <v>13475.39</v>
      </c>
      <c r="E2896" s="19" t="n">
        <v>80</v>
      </c>
      <c r="F2896" s="19" t="n">
        <v>4998.35</v>
      </c>
      <c r="G2896" s="8" t="n">
        <f aca="false">IFERROR(INDEX('TRANS'!$B:$B,MATCH($B2896,'TRANS'!$A:$A,0)),IFERROR(INDEX('TRANS'!$B:$B,MATCH(TRIM(SUBSTITUTE($B2896,CHAR(160)," ")),'TRANS'!$D:$D,0)),IFERROR(INDEX('Catalog'!$A:$A,MATCH($B2896,'Catalog'!$B:$B,0)),IFERROR(INDEX('Catalog'!$A:$A,MATCH(TRIM(SUBSTITUTE($B2896,CHAR(160)," ")),'Catalog'!$C:$C,0)),""))))</f>
        <v>4408221</v>
      </c>
      <c r="H2896" s="8" t="str">
        <f aca="false">IFERROR(INDEX('TRANS'!$C:$C,MATCH($B2896,'TRANS'!$A:$A,0)),IFERROR(INDEX('Catalog'!$B:$B,MATCH($G2896,'Catalog'!$A:$A,0)),$B2896))</f>
        <v>078G-L חגורת גב אפורה</v>
      </c>
      <c r="I2896" s="8" t="str">
        <f aca="false">IF($G2896="","Unmatched","Matched")</f>
        <v>Matched</v>
      </c>
      <c r="J2896" s="8" t="n">
        <f aca="false">IF($G2896&lt;&gt;"",$G2896,$B2896)</f>
        <v>4408221</v>
      </c>
      <c r="K2896" s="8" t="str">
        <f aca="false">IF(COUNTIF($M$1:$M$10,$A2896)&gt;0,"Y","N")</f>
        <v>N</v>
      </c>
    </row>
    <row r="2897" customFormat="false" ht="15" hidden="false" customHeight="true" outlineLevel="0" collapsed="false">
      <c r="A2897" s="8" t="s">
        <v>1059</v>
      </c>
      <c r="B2897" s="8" t="s">
        <v>563</v>
      </c>
      <c r="C2897" s="19" t="n">
        <v>140</v>
      </c>
      <c r="D2897" s="19" t="n">
        <v>9909.22</v>
      </c>
      <c r="E2897" s="19" t="n">
        <v>50</v>
      </c>
      <c r="F2897" s="19" t="n">
        <v>3127.11</v>
      </c>
      <c r="G2897" s="8" t="n">
        <f aca="false">IFERROR(INDEX('TRANS'!$B:$B,MATCH($B2897,'TRANS'!$A:$A,0)),IFERROR(INDEX('TRANS'!$B:$B,MATCH(TRIM(SUBSTITUTE($B2897,CHAR(160)," ")),'TRANS'!$D:$D,0)),IFERROR(INDEX('Catalog'!$A:$A,MATCH($B2897,'Catalog'!$B:$B,0)),IFERROR(INDEX('Catalog'!$A:$A,MATCH(TRIM(SUBSTITUTE($B2897,CHAR(160)," ")),'Catalog'!$C:$C,0)),""))))</f>
        <v>4408220</v>
      </c>
      <c r="H2897" s="8" t="str">
        <f aca="false">IFERROR(INDEX('TRANS'!$C:$C,MATCH($B2897,'TRANS'!$A:$A,0)),IFERROR(INDEX('Catalog'!$B:$B,MATCH($G2897,'Catalog'!$A:$A,0)),$B2897))</f>
        <v>078G-M חגורת גב אפורה</v>
      </c>
      <c r="I2897" s="8" t="str">
        <f aca="false">IF($G2897="","Unmatched","Matched")</f>
        <v>Matched</v>
      </c>
      <c r="J2897" s="8" t="n">
        <f aca="false">IF($G2897&lt;&gt;"",$G2897,$B2897)</f>
        <v>4408220</v>
      </c>
      <c r="K2897" s="8" t="str">
        <f aca="false">IF(COUNTIF($M$1:$M$10,$A2897)&gt;0,"Y","N")</f>
        <v>N</v>
      </c>
    </row>
    <row r="2898" customFormat="false" ht="15" hidden="false" customHeight="true" outlineLevel="0" collapsed="false">
      <c r="A2898" s="8" t="s">
        <v>1059</v>
      </c>
      <c r="B2898" s="8" t="s">
        <v>969</v>
      </c>
      <c r="C2898" s="19" t="n">
        <v>70</v>
      </c>
      <c r="D2898" s="19" t="n">
        <v>5033.1</v>
      </c>
      <c r="E2898" s="19" t="n">
        <v>12</v>
      </c>
      <c r="F2898" s="19" t="n">
        <v>738.48</v>
      </c>
      <c r="G2898" s="8" t="n">
        <f aca="false">IFERROR(INDEX('TRANS'!$B:$B,MATCH($B2898,'TRANS'!$A:$A,0)),IFERROR(INDEX('TRANS'!$B:$B,MATCH(TRIM(SUBSTITUTE($B2898,CHAR(160)," ")),'TRANS'!$D:$D,0)),IFERROR(INDEX('Catalog'!$A:$A,MATCH($B2898,'Catalog'!$B:$B,0)),IFERROR(INDEX('Catalog'!$A:$A,MATCH(TRIM(SUBSTITUTE($B2898,CHAR(160)," ")),'Catalog'!$C:$C,0)),""))))</f>
        <v>4408219</v>
      </c>
      <c r="H2898" s="8" t="str">
        <f aca="false">IFERROR(INDEX('TRANS'!$C:$C,MATCH($B2898,'TRANS'!$A:$A,0)),IFERROR(INDEX('Catalog'!$B:$B,MATCH($G2898,'Catalog'!$A:$A,0)),$B2898))</f>
        <v>078G-S חגורת גב אפורה</v>
      </c>
      <c r="I2898" s="8" t="str">
        <f aca="false">IF($G2898="","Unmatched","Matched")</f>
        <v>Matched</v>
      </c>
      <c r="J2898" s="8" t="n">
        <f aca="false">IF($G2898&lt;&gt;"",$G2898,$B2898)</f>
        <v>4408219</v>
      </c>
      <c r="K2898" s="8" t="str">
        <f aca="false">IF(COUNTIF($M$1:$M$10,$A2898)&gt;0,"Y","N")</f>
        <v>N</v>
      </c>
    </row>
    <row r="2899" customFormat="false" ht="15" hidden="false" customHeight="true" outlineLevel="0" collapsed="false">
      <c r="A2899" s="8" t="s">
        <v>1059</v>
      </c>
      <c r="B2899" s="8" t="s">
        <v>776</v>
      </c>
      <c r="C2899" s="19" t="n">
        <v>160</v>
      </c>
      <c r="D2899" s="19" t="n">
        <v>11350</v>
      </c>
      <c r="E2899" s="19" t="n">
        <v>70</v>
      </c>
      <c r="F2899" s="19" t="n">
        <v>4455.67</v>
      </c>
      <c r="G2899" s="8" t="n">
        <f aca="false">IFERROR(INDEX('TRANS'!$B:$B,MATCH($B2899,'TRANS'!$A:$A,0)),IFERROR(INDEX('TRANS'!$B:$B,MATCH(TRIM(SUBSTITUTE($B2899,CHAR(160)," ")),'TRANS'!$D:$D,0)),IFERROR(INDEX('Catalog'!$A:$A,MATCH($B2899,'Catalog'!$B:$B,0)),IFERROR(INDEX('Catalog'!$A:$A,MATCH(TRIM(SUBSTITUTE($B2899,CHAR(160)," ")),'Catalog'!$C:$C,0)),""))))</f>
        <v>4408222</v>
      </c>
      <c r="H2899" s="8" t="str">
        <f aca="false">IFERROR(INDEX('TRANS'!$C:$C,MATCH($B2899,'TRANS'!$A:$A,0)),IFERROR(INDEX('Catalog'!$B:$B,MATCH($G2899,'Catalog'!$A:$A,0)),$B2899))</f>
        <v>078G-XLחגורת גב אפורה</v>
      </c>
      <c r="I2899" s="8" t="str">
        <f aca="false">IF($G2899="","Unmatched","Matched")</f>
        <v>Matched</v>
      </c>
      <c r="J2899" s="8" t="n">
        <f aca="false">IF($G2899&lt;&gt;"",$G2899,$B2899)</f>
        <v>4408222</v>
      </c>
      <c r="K2899" s="8" t="str">
        <f aca="false">IF(COUNTIF($M$1:$M$10,$A2899)&gt;0,"Y","N")</f>
        <v>N</v>
      </c>
    </row>
    <row r="2900" customFormat="false" ht="15" hidden="false" customHeight="true" outlineLevel="0" collapsed="false">
      <c r="A2900" s="8" t="s">
        <v>1059</v>
      </c>
      <c r="B2900" s="8" t="s">
        <v>777</v>
      </c>
      <c r="C2900" s="19" t="n">
        <v>106</v>
      </c>
      <c r="D2900" s="19" t="n">
        <v>7580.06</v>
      </c>
      <c r="E2900" s="19" t="n">
        <v>30</v>
      </c>
      <c r="F2900" s="19" t="n">
        <v>1920.14</v>
      </c>
      <c r="G2900" s="8" t="n">
        <f aca="false">IFERROR(INDEX('TRANS'!$B:$B,MATCH($B2900,'TRANS'!$A:$A,0)),IFERROR(INDEX('TRANS'!$B:$B,MATCH(TRIM(SUBSTITUTE($B2900,CHAR(160)," ")),'TRANS'!$D:$D,0)),IFERROR(INDEX('Catalog'!$A:$A,MATCH($B2900,'Catalog'!$B:$B,0)),IFERROR(INDEX('Catalog'!$A:$A,MATCH(TRIM(SUBSTITUTE($B2900,CHAR(160)," ")),'Catalog'!$C:$C,0)),""))))</f>
        <v>4408223</v>
      </c>
      <c r="H2900" s="8" t="str">
        <f aca="false">IFERROR(INDEX('TRANS'!$C:$C,MATCH($B2900,'TRANS'!$A:$A,0)),IFERROR(INDEX('Catalog'!$B:$B,MATCH($G2900,'Catalog'!$A:$A,0)),$B2900))</f>
        <v>078G-XXLחגורת גב אפורה</v>
      </c>
      <c r="I2900" s="8" t="str">
        <f aca="false">IF($G2900="","Unmatched","Matched")</f>
        <v>Matched</v>
      </c>
      <c r="J2900" s="8" t="n">
        <f aca="false">IF($G2900&lt;&gt;"",$G2900,$B2900)</f>
        <v>4408223</v>
      </c>
      <c r="K2900" s="8" t="str">
        <f aca="false">IF(COUNTIF($M$1:$M$10,$A2900)&gt;0,"Y","N")</f>
        <v>N</v>
      </c>
    </row>
    <row r="2901" customFormat="false" ht="15" hidden="false" customHeight="true" outlineLevel="0" collapsed="false">
      <c r="A2901" s="8" t="s">
        <v>1059</v>
      </c>
      <c r="B2901" s="8" t="s">
        <v>855</v>
      </c>
      <c r="C2901" s="19" t="n">
        <v>86</v>
      </c>
      <c r="D2901" s="19" t="n">
        <v>6914.07</v>
      </c>
      <c r="E2901" s="19" t="n">
        <v>20</v>
      </c>
      <c r="F2901" s="19" t="n">
        <v>1489.16</v>
      </c>
      <c r="G2901" s="8" t="n">
        <f aca="false">IFERROR(INDEX('TRANS'!$B:$B,MATCH($B2901,'TRANS'!$A:$A,0)),IFERROR(INDEX('TRANS'!$B:$B,MATCH(TRIM(SUBSTITUTE($B2901,CHAR(160)," ")),'TRANS'!$D:$D,0)),IFERROR(INDEX('Catalog'!$A:$A,MATCH($B2901,'Catalog'!$B:$B,0)),IFERROR(INDEX('Catalog'!$A:$A,MATCH(TRIM(SUBSTITUTE($B2901,CHAR(160)," ")),'Catalog'!$C:$C,0)),""))))</f>
        <v>4408032</v>
      </c>
      <c r="H2901" s="8" t="str">
        <f aca="false">IFERROR(INDEX('TRANS'!$C:$C,MATCH($B2901,'TRANS'!$A:$A,0)),IFERROR(INDEX('Catalog'!$B:$B,MATCH($G2901,'Catalog'!$A:$A,0)),$B2901))</f>
        <v>11 L""""חגורת בטן""""אורירית</v>
      </c>
      <c r="I2901" s="8" t="str">
        <f aca="false">IF($G2901="","Unmatched","Matched")</f>
        <v>Matched</v>
      </c>
      <c r="J2901" s="8" t="n">
        <f aca="false">IF($G2901&lt;&gt;"",$G2901,$B2901)</f>
        <v>4408032</v>
      </c>
      <c r="K2901" s="8" t="str">
        <f aca="false">IF(COUNTIF($M$1:$M$10,$A2901)&gt;0,"Y","N")</f>
        <v>N</v>
      </c>
    </row>
    <row r="2902" customFormat="false" ht="15" hidden="false" customHeight="true" outlineLevel="0" collapsed="false">
      <c r="A2902" s="8" t="s">
        <v>1059</v>
      </c>
      <c r="B2902" s="8" t="s">
        <v>567</v>
      </c>
      <c r="C2902" s="19" t="n">
        <v>92</v>
      </c>
      <c r="D2902" s="19" t="n">
        <v>7427.56</v>
      </c>
      <c r="E2902" s="19" t="n">
        <v>30</v>
      </c>
      <c r="F2902" s="19" t="n">
        <v>2069.36</v>
      </c>
      <c r="G2902" s="8" t="n">
        <f aca="false">IFERROR(INDEX('TRANS'!$B:$B,MATCH($B2902,'TRANS'!$A:$A,0)),IFERROR(INDEX('TRANS'!$B:$B,MATCH(TRIM(SUBSTITUTE($B2902,CHAR(160)," ")),'TRANS'!$D:$D,0)),IFERROR(INDEX('Catalog'!$A:$A,MATCH($B2902,'Catalog'!$B:$B,0)),IFERROR(INDEX('Catalog'!$A:$A,MATCH(TRIM(SUBSTITUTE($B2902,CHAR(160)," ")),'Catalog'!$C:$C,0)),""))))</f>
        <v>4408033</v>
      </c>
      <c r="H2902" s="8" t="str">
        <f aca="false">IFERROR(INDEX('TRANS'!$C:$C,MATCH($B2902,'TRANS'!$A:$A,0)),IFERROR(INDEX('Catalog'!$B:$B,MATCH($G2902,'Catalog'!$A:$A,0)),$B2902))</f>
        <v>11 M""""חגורת בטן""""אורירית</v>
      </c>
      <c r="I2902" s="8" t="str">
        <f aca="false">IF($G2902="","Unmatched","Matched")</f>
        <v>Matched</v>
      </c>
      <c r="J2902" s="8" t="n">
        <f aca="false">IF($G2902&lt;&gt;"",$G2902,$B2902)</f>
        <v>4408033</v>
      </c>
      <c r="K2902" s="8" t="str">
        <f aca="false">IF(COUNTIF($M$1:$M$10,$A2902)&gt;0,"Y","N")</f>
        <v>N</v>
      </c>
    </row>
    <row r="2903" customFormat="false" ht="15" hidden="false" customHeight="true" outlineLevel="0" collapsed="false">
      <c r="A2903" s="8" t="s">
        <v>1059</v>
      </c>
      <c r="B2903" s="8" t="s">
        <v>973</v>
      </c>
      <c r="C2903" s="19" t="n">
        <v>44</v>
      </c>
      <c r="D2903" s="19" t="n">
        <v>3544.17</v>
      </c>
      <c r="E2903" s="19" t="n">
        <v>30</v>
      </c>
      <c r="F2903" s="19" t="n">
        <v>2125.54</v>
      </c>
      <c r="G2903" s="8" t="n">
        <f aca="false">IFERROR(INDEX('TRANS'!$B:$B,MATCH($B2903,'TRANS'!$A:$A,0)),IFERROR(INDEX('TRANS'!$B:$B,MATCH(TRIM(SUBSTITUTE($B2903,CHAR(160)," ")),'TRANS'!$D:$D,0)),IFERROR(INDEX('Catalog'!$A:$A,MATCH($B2903,'Catalog'!$B:$B,0)),IFERROR(INDEX('Catalog'!$A:$A,MATCH(TRIM(SUBSTITUTE($B2903,CHAR(160)," ")),'Catalog'!$C:$C,0)),""))))</f>
        <v>4408031</v>
      </c>
      <c r="H2903" s="8" t="str">
        <f aca="false">IFERROR(INDEX('TRANS'!$C:$C,MATCH($B2903,'TRANS'!$A:$A,0)),IFERROR(INDEX('Catalog'!$B:$B,MATCH($G2903,'Catalog'!$A:$A,0)),$B2903))</f>
        <v>11 S""""חגורת בטן""""אורירית</v>
      </c>
      <c r="I2903" s="8" t="str">
        <f aca="false">IF($G2903="","Unmatched","Matched")</f>
        <v>Matched</v>
      </c>
      <c r="J2903" s="8" t="n">
        <f aca="false">IF($G2903&lt;&gt;"",$G2903,$B2903)</f>
        <v>4408031</v>
      </c>
      <c r="K2903" s="8" t="str">
        <f aca="false">IF(COUNTIF($M$1:$M$10,$A2903)&gt;0,"Y","N")</f>
        <v>N</v>
      </c>
    </row>
    <row r="2904" customFormat="false" ht="15" hidden="false" customHeight="true" outlineLevel="0" collapsed="false">
      <c r="A2904" s="8" t="s">
        <v>1059</v>
      </c>
      <c r="B2904" s="8" t="s">
        <v>936</v>
      </c>
      <c r="C2904" s="19" t="n">
        <v>74</v>
      </c>
      <c r="D2904" s="19" t="n">
        <v>5973.41</v>
      </c>
      <c r="E2904" s="19" t="n">
        <v>40</v>
      </c>
      <c r="F2904" s="19" t="n">
        <v>2815.32</v>
      </c>
      <c r="G2904" s="8" t="n">
        <f aca="false">IFERROR(INDEX('TRANS'!$B:$B,MATCH($B2904,'TRANS'!$A:$A,0)),IFERROR(INDEX('TRANS'!$B:$B,MATCH(TRIM(SUBSTITUTE($B2904,CHAR(160)," ")),'TRANS'!$D:$D,0)),IFERROR(INDEX('Catalog'!$A:$A,MATCH($B2904,'Catalog'!$B:$B,0)),IFERROR(INDEX('Catalog'!$A:$A,MATCH(TRIM(SUBSTITUTE($B2904,CHAR(160)," ")),'Catalog'!$C:$C,0)),""))))</f>
        <v>4408034</v>
      </c>
      <c r="H2904" s="8" t="str">
        <f aca="false">IFERROR(INDEX('TRANS'!$C:$C,MATCH($B2904,'TRANS'!$A:$A,0)),IFERROR(INDEX('Catalog'!$B:$B,MATCH($G2904,'Catalog'!$A:$A,0)),$B2904))</f>
        <v>11 XL""""חגורת בטן""""אורירית</v>
      </c>
      <c r="I2904" s="8" t="str">
        <f aca="false">IF($G2904="","Unmatched","Matched")</f>
        <v>Matched</v>
      </c>
      <c r="J2904" s="8" t="n">
        <f aca="false">IF($G2904&lt;&gt;"",$G2904,$B2904)</f>
        <v>4408034</v>
      </c>
      <c r="K2904" s="8" t="str">
        <f aca="false">IF(COUNTIF($M$1:$M$10,$A2904)&gt;0,"Y","N")</f>
        <v>N</v>
      </c>
    </row>
    <row r="2905" customFormat="false" ht="15" hidden="false" customHeight="true" outlineLevel="0" collapsed="false">
      <c r="A2905" s="8" t="s">
        <v>1059</v>
      </c>
      <c r="B2905" s="8" t="s">
        <v>574</v>
      </c>
      <c r="C2905" s="19" t="n">
        <v>48</v>
      </c>
      <c r="D2905" s="19" t="n">
        <v>3774.69</v>
      </c>
      <c r="E2905" s="19" t="n">
        <v>0</v>
      </c>
      <c r="F2905" s="19" t="n">
        <v>0</v>
      </c>
      <c r="G2905" s="8" t="n">
        <f aca="false">IFERROR(INDEX('TRANS'!$B:$B,MATCH($B2905,'TRANS'!$A:$A,0)),IFERROR(INDEX('TRANS'!$B:$B,MATCH(TRIM(SUBSTITUTE($B2905,CHAR(160)," ")),'TRANS'!$D:$D,0)),IFERROR(INDEX('Catalog'!$A:$A,MATCH($B2905,'Catalog'!$B:$B,0)),IFERROR(INDEX('Catalog'!$A:$A,MATCH(TRIM(SUBSTITUTE($B2905,CHAR(160)," ")),'Catalog'!$C:$C,0)),""))))</f>
        <v>4408230</v>
      </c>
      <c r="H2905" s="8" t="str">
        <f aca="false">IFERROR(INDEX('TRANS'!$C:$C,MATCH($B2905,'TRANS'!$A:$A,0)),IFERROR(INDEX('Catalog'!$B:$B,MATCH($G2905,'Catalog'!$A:$A,0)),$B2905))</f>
        <v>16 L-XL חגורת הריון</v>
      </c>
      <c r="I2905" s="8" t="str">
        <f aca="false">IF($G2905="","Unmatched","Matched")</f>
        <v>Matched</v>
      </c>
      <c r="J2905" s="8" t="n">
        <f aca="false">IF($G2905&lt;&gt;"",$G2905,$B2905)</f>
        <v>4408230</v>
      </c>
      <c r="K2905" s="8" t="str">
        <f aca="false">IF(COUNTIF($M$1:$M$10,$A2905)&gt;0,"Y","N")</f>
        <v>N</v>
      </c>
    </row>
    <row r="2906" customFormat="false" ht="15" hidden="false" customHeight="true" outlineLevel="0" collapsed="false">
      <c r="A2906" s="8" t="s">
        <v>1059</v>
      </c>
      <c r="B2906" s="8" t="s">
        <v>575</v>
      </c>
      <c r="C2906" s="19" t="n">
        <v>36</v>
      </c>
      <c r="D2906" s="19" t="n">
        <v>2831.44</v>
      </c>
      <c r="E2906" s="19" t="n">
        <v>6</v>
      </c>
      <c r="F2906" s="19" t="n">
        <v>405.76</v>
      </c>
      <c r="G2906" s="8" t="n">
        <f aca="false">IFERROR(INDEX('TRANS'!$B:$B,MATCH($B2906,'TRANS'!$A:$A,0)),IFERROR(INDEX('TRANS'!$B:$B,MATCH(TRIM(SUBSTITUTE($B2906,CHAR(160)," ")),'TRANS'!$D:$D,0)),IFERROR(INDEX('Catalog'!$A:$A,MATCH($B2906,'Catalog'!$B:$B,0)),IFERROR(INDEX('Catalog'!$A:$A,MATCH(TRIM(SUBSTITUTE($B2906,CHAR(160)," ")),'Catalog'!$C:$C,0)),""))))</f>
        <v>4408231</v>
      </c>
      <c r="H2906" s="8" t="str">
        <f aca="false">IFERROR(INDEX('TRANS'!$C:$C,MATCH($B2906,'TRANS'!$A:$A,0)),IFERROR(INDEX('Catalog'!$B:$B,MATCH($G2906,'Catalog'!$A:$A,0)),$B2906))</f>
        <v>16 S-M חגורת הריון</v>
      </c>
      <c r="I2906" s="8" t="str">
        <f aca="false">IF($G2906="","Unmatched","Matched")</f>
        <v>Matched</v>
      </c>
      <c r="J2906" s="8" t="n">
        <f aca="false">IF($G2906&lt;&gt;"",$G2906,$B2906)</f>
        <v>4408231</v>
      </c>
      <c r="K2906" s="8" t="str">
        <f aca="false">IF(COUNTIF($M$1:$M$10,$A2906)&gt;0,"Y","N")</f>
        <v>N</v>
      </c>
    </row>
    <row r="2907" customFormat="false" ht="15" hidden="false" customHeight="true" outlineLevel="0" collapsed="false">
      <c r="A2907" s="8" t="s">
        <v>1059</v>
      </c>
      <c r="B2907" s="8" t="s">
        <v>970</v>
      </c>
      <c r="C2907" s="19" t="n">
        <v>130</v>
      </c>
      <c r="D2907" s="19" t="n">
        <v>2673.97</v>
      </c>
      <c r="E2907" s="19" t="n">
        <v>40</v>
      </c>
      <c r="F2907" s="19" t="n">
        <v>731.76</v>
      </c>
      <c r="G2907" s="8" t="n">
        <f aca="false">IFERROR(INDEX('TRANS'!$B:$B,MATCH($B2907,'TRANS'!$A:$A,0)),IFERROR(INDEX('TRANS'!$B:$B,MATCH(TRIM(SUBSTITUTE($B2907,CHAR(160)," ")),'TRANS'!$D:$D,0)),IFERROR(INDEX('Catalog'!$A:$A,MATCH($B2907,'Catalog'!$B:$B,0)),IFERROR(INDEX('Catalog'!$A:$A,MATCH(TRIM(SUBSTITUTE($B2907,CHAR(160)," ")),'Catalog'!$C:$C,0)),""))))</f>
        <v>4408046</v>
      </c>
      <c r="H2907" s="8" t="str">
        <f aca="false">IFERROR(INDEX('TRANS'!$C:$C,MATCH($B2907,'TRANS'!$A:$A,0)),IFERROR(INDEX('Catalog'!$B:$B,MATCH($G2907,'Catalog'!$A:$A,0)),$B2907))</f>
        <v>20 L חבק יד מתכוון עם צמדן</v>
      </c>
      <c r="I2907" s="8" t="str">
        <f aca="false">IF($G2907="","Unmatched","Matched")</f>
        <v>Matched</v>
      </c>
      <c r="J2907" s="8" t="n">
        <f aca="false">IF($G2907&lt;&gt;"",$G2907,$B2907)</f>
        <v>4408046</v>
      </c>
      <c r="K2907" s="8" t="str">
        <f aca="false">IF(COUNTIF($M$1:$M$10,$A2907)&gt;0,"Y","N")</f>
        <v>N</v>
      </c>
    </row>
    <row r="2908" customFormat="false" ht="15" hidden="false" customHeight="true" outlineLevel="0" collapsed="false">
      <c r="A2908" s="8" t="s">
        <v>1059</v>
      </c>
      <c r="B2908" s="8" t="s">
        <v>939</v>
      </c>
      <c r="C2908" s="19" t="n">
        <v>270</v>
      </c>
      <c r="D2908" s="19" t="n">
        <v>5482.9</v>
      </c>
      <c r="E2908" s="19" t="n">
        <v>160</v>
      </c>
      <c r="F2908" s="19" t="n">
        <v>2883.67</v>
      </c>
      <c r="G2908" s="8" t="n">
        <f aca="false">IFERROR(INDEX('TRANS'!$B:$B,MATCH($B2908,'TRANS'!$A:$A,0)),IFERROR(INDEX('TRANS'!$B:$B,MATCH(TRIM(SUBSTITUTE($B2908,CHAR(160)," ")),'TRANS'!$D:$D,0)),IFERROR(INDEX('Catalog'!$A:$A,MATCH($B2908,'Catalog'!$B:$B,0)),IFERROR(INDEX('Catalog'!$A:$A,MATCH(TRIM(SUBSTITUTE($B2908,CHAR(160)," ")),'Catalog'!$C:$C,0)),""))))</f>
        <v>4408047</v>
      </c>
      <c r="H2908" s="8" t="str">
        <f aca="false">IFERROR(INDEX('TRANS'!$C:$C,MATCH($B2908,'TRANS'!$A:$A,0)),IFERROR(INDEX('Catalog'!$B:$B,MATCH($G2908,'Catalog'!$A:$A,0)),$B2908))</f>
        <v>20 M חבק יד מתכוון עם צמדן</v>
      </c>
      <c r="I2908" s="8" t="str">
        <f aca="false">IF($G2908="","Unmatched","Matched")</f>
        <v>Matched</v>
      </c>
      <c r="J2908" s="8" t="n">
        <f aca="false">IF($G2908&lt;&gt;"",$G2908,$B2908)</f>
        <v>4408047</v>
      </c>
      <c r="K2908" s="8" t="str">
        <f aca="false">IF(COUNTIF($M$1:$M$10,$A2908)&gt;0,"Y","N")</f>
        <v>N</v>
      </c>
    </row>
    <row r="2909" customFormat="false" ht="15" hidden="false" customHeight="true" outlineLevel="0" collapsed="false">
      <c r="A2909" s="8" t="s">
        <v>1059</v>
      </c>
      <c r="B2909" s="8" t="s">
        <v>940</v>
      </c>
      <c r="C2909" s="19" t="n">
        <v>150</v>
      </c>
      <c r="D2909" s="19" t="n">
        <v>3032.25</v>
      </c>
      <c r="E2909" s="19" t="n">
        <v>60</v>
      </c>
      <c r="F2909" s="19" t="n">
        <v>1086.79</v>
      </c>
      <c r="G2909" s="8" t="n">
        <f aca="false">IFERROR(INDEX('TRANS'!$B:$B,MATCH($B2909,'TRANS'!$A:$A,0)),IFERROR(INDEX('TRANS'!$B:$B,MATCH(TRIM(SUBSTITUTE($B2909,CHAR(160)," ")),'TRANS'!$D:$D,0)),IFERROR(INDEX('Catalog'!$A:$A,MATCH($B2909,'Catalog'!$B:$B,0)),IFERROR(INDEX('Catalog'!$A:$A,MATCH(TRIM(SUBSTITUTE($B2909,CHAR(160)," ")),'Catalog'!$C:$C,0)),""))))</f>
        <v>4408048</v>
      </c>
      <c r="H2909" s="8" t="str">
        <f aca="false">IFERROR(INDEX('TRANS'!$C:$C,MATCH($B2909,'TRANS'!$A:$A,0)),IFERROR(INDEX('Catalog'!$B:$B,MATCH($G2909,'Catalog'!$A:$A,0)),$B2909))</f>
        <v>20 S חבק יד מתכוון עם צמדן</v>
      </c>
      <c r="I2909" s="8" t="str">
        <f aca="false">IF($G2909="","Unmatched","Matched")</f>
        <v>Matched</v>
      </c>
      <c r="J2909" s="8" t="n">
        <f aca="false">IF($G2909&lt;&gt;"",$G2909,$B2909)</f>
        <v>4408048</v>
      </c>
      <c r="K2909" s="8" t="str">
        <f aca="false">IF(COUNTIF($M$1:$M$10,$A2909)&gt;0,"Y","N")</f>
        <v>N</v>
      </c>
    </row>
    <row r="2910" customFormat="false" ht="15" hidden="false" customHeight="true" outlineLevel="0" collapsed="false">
      <c r="A2910" s="8" t="s">
        <v>1059</v>
      </c>
      <c r="B2910" s="8" t="s">
        <v>908</v>
      </c>
      <c r="C2910" s="19" t="n">
        <v>90</v>
      </c>
      <c r="D2910" s="19" t="n">
        <v>1847.12</v>
      </c>
      <c r="E2910" s="19" t="n">
        <v>0</v>
      </c>
      <c r="F2910" s="19" t="n">
        <v>0</v>
      </c>
      <c r="G2910" s="8" t="n">
        <f aca="false">IFERROR(INDEX('TRANS'!$B:$B,MATCH($B2910,'TRANS'!$A:$A,0)),IFERROR(INDEX('TRANS'!$B:$B,MATCH(TRIM(SUBSTITUTE($B2910,CHAR(160)," ")),'TRANS'!$D:$D,0)),IFERROR(INDEX('Catalog'!$A:$A,MATCH($B2910,'Catalog'!$B:$B,0)),IFERROR(INDEX('Catalog'!$A:$A,MATCH(TRIM(SUBSTITUTE($B2910,CHAR(160)," ")),'Catalog'!$C:$C,0)),""))))</f>
        <v>4408049</v>
      </c>
      <c r="H2910" s="8" t="str">
        <f aca="false">IFERROR(INDEX('TRANS'!$C:$C,MATCH($B2910,'TRANS'!$A:$A,0)),IFERROR(INDEX('Catalog'!$B:$B,MATCH($G2910,'Catalog'!$A:$A,0)),$B2910))</f>
        <v>20 XL חבק יד מתכוון עם צמדן</v>
      </c>
      <c r="I2910" s="8" t="str">
        <f aca="false">IF($G2910="","Unmatched","Matched")</f>
        <v>Matched</v>
      </c>
      <c r="J2910" s="8" t="n">
        <f aca="false">IF($G2910&lt;&gt;"",$G2910,$B2910)</f>
        <v>4408049</v>
      </c>
      <c r="K2910" s="8" t="str">
        <f aca="false">IF(COUNTIF($M$1:$M$10,$A2910)&gt;0,"Y","N")</f>
        <v>N</v>
      </c>
    </row>
    <row r="2911" customFormat="false" ht="15" hidden="false" customHeight="true" outlineLevel="0" collapsed="false">
      <c r="A2911" s="8" t="s">
        <v>1059</v>
      </c>
      <c r="B2911" s="8" t="s">
        <v>783</v>
      </c>
      <c r="C2911" s="19" t="n">
        <v>160</v>
      </c>
      <c r="D2911" s="19" t="n">
        <v>3452.22</v>
      </c>
      <c r="E2911" s="19" t="n">
        <v>90</v>
      </c>
      <c r="F2911" s="19" t="n">
        <v>1749.35</v>
      </c>
      <c r="G2911" s="8" t="n">
        <f aca="false">IFERROR(INDEX('TRANS'!$B:$B,MATCH($B2911,'TRANS'!$A:$A,0)),IFERROR(INDEX('TRANS'!$B:$B,MATCH(TRIM(SUBSTITUTE($B2911,CHAR(160)," ")),'TRANS'!$D:$D,0)),IFERROR(INDEX('Catalog'!$A:$A,MATCH($B2911,'Catalog'!$B:$B,0)),IFERROR(INDEX('Catalog'!$A:$A,MATCH(TRIM(SUBSTITUTE($B2911,CHAR(160)," ")),'Catalog'!$C:$C,0)),""))))</f>
        <v>4408052</v>
      </c>
      <c r="H2911" s="8" t="str">
        <f aca="false">IFERROR(INDEX('TRANS'!$C:$C,MATCH($B2911,'TRANS'!$A:$A,0)),IFERROR(INDEX('Catalog'!$B:$B,MATCH($G2911,'Catalog'!$A:$A,0)),$B2911))</f>
        <v>21 L  חבק יד ארוך</v>
      </c>
      <c r="I2911" s="8" t="str">
        <f aca="false">IF($G2911="","Unmatched","Matched")</f>
        <v>Matched</v>
      </c>
      <c r="J2911" s="8" t="n">
        <f aca="false">IF($G2911&lt;&gt;"",$G2911,$B2911)</f>
        <v>4408052</v>
      </c>
      <c r="K2911" s="8" t="str">
        <f aca="false">IF(COUNTIF($M$1:$M$10,$A2911)&gt;0,"Y","N")</f>
        <v>N</v>
      </c>
    </row>
    <row r="2912" customFormat="false" ht="15" hidden="false" customHeight="true" outlineLevel="0" collapsed="false">
      <c r="A2912" s="8" t="s">
        <v>1059</v>
      </c>
      <c r="B2912" s="8" t="s">
        <v>576</v>
      </c>
      <c r="C2912" s="19" t="n">
        <v>370</v>
      </c>
      <c r="D2912" s="19" t="n">
        <v>7952.17</v>
      </c>
      <c r="E2912" s="19" t="n">
        <v>220</v>
      </c>
      <c r="F2912" s="19" t="n">
        <v>4219.15</v>
      </c>
      <c r="G2912" s="8" t="n">
        <f aca="false">IFERROR(INDEX('TRANS'!$B:$B,MATCH($B2912,'TRANS'!$A:$A,0)),IFERROR(INDEX('TRANS'!$B:$B,MATCH(TRIM(SUBSTITUTE($B2912,CHAR(160)," ")),'TRANS'!$D:$D,0)),IFERROR(INDEX('Catalog'!$A:$A,MATCH($B2912,'Catalog'!$B:$B,0)),IFERROR(INDEX('Catalog'!$A:$A,MATCH(TRIM(SUBSTITUTE($B2912,CHAR(160)," ")),'Catalog'!$C:$C,0)),""))))</f>
        <v>4408053</v>
      </c>
      <c r="H2912" s="8" t="str">
        <f aca="false">IFERROR(INDEX('TRANS'!$C:$C,MATCH($B2912,'TRANS'!$A:$A,0)),IFERROR(INDEX('Catalog'!$B:$B,MATCH($G2912,'Catalog'!$A:$A,0)),$B2912))</f>
        <v>21 M  חבק יד ארוך</v>
      </c>
      <c r="I2912" s="8" t="str">
        <f aca="false">IF($G2912="","Unmatched","Matched")</f>
        <v>Matched</v>
      </c>
      <c r="J2912" s="8" t="n">
        <f aca="false">IF($G2912&lt;&gt;"",$G2912,$B2912)</f>
        <v>4408053</v>
      </c>
      <c r="K2912" s="8" t="str">
        <f aca="false">IF(COUNTIF($M$1:$M$10,$A2912)&gt;0,"Y","N")</f>
        <v>N</v>
      </c>
    </row>
    <row r="2913" customFormat="false" ht="15" hidden="false" customHeight="true" outlineLevel="0" collapsed="false">
      <c r="A2913" s="8" t="s">
        <v>1059</v>
      </c>
      <c r="B2913" s="8" t="s">
        <v>784</v>
      </c>
      <c r="C2913" s="19" t="n">
        <v>280</v>
      </c>
      <c r="D2913" s="19" t="n">
        <v>6063.38</v>
      </c>
      <c r="E2913" s="19" t="n">
        <v>170</v>
      </c>
      <c r="F2913" s="19" t="n">
        <v>3296.5</v>
      </c>
      <c r="G2913" s="8" t="n">
        <f aca="false">IFERROR(INDEX('TRANS'!$B:$B,MATCH($B2913,'TRANS'!$A:$A,0)),IFERROR(INDEX('TRANS'!$B:$B,MATCH(TRIM(SUBSTITUTE($B2913,CHAR(160)," ")),'TRANS'!$D:$D,0)),IFERROR(INDEX('Catalog'!$A:$A,MATCH($B2913,'Catalog'!$B:$B,0)),IFERROR(INDEX('Catalog'!$A:$A,MATCH(TRIM(SUBSTITUTE($B2913,CHAR(160)," ")),'Catalog'!$C:$C,0)),""))))</f>
        <v>4408051</v>
      </c>
      <c r="H2913" s="8" t="str">
        <f aca="false">IFERROR(INDEX('TRANS'!$C:$C,MATCH($B2913,'TRANS'!$A:$A,0)),IFERROR(INDEX('Catalog'!$B:$B,MATCH($G2913,'Catalog'!$A:$A,0)),$B2913))</f>
        <v>21 S  חבק יד ארוך</v>
      </c>
      <c r="I2913" s="8" t="str">
        <f aca="false">IF($G2913="","Unmatched","Matched")</f>
        <v>Matched</v>
      </c>
      <c r="J2913" s="8" t="n">
        <f aca="false">IF($G2913&lt;&gt;"",$G2913,$B2913)</f>
        <v>4408051</v>
      </c>
      <c r="K2913" s="8" t="str">
        <f aca="false">IF(COUNTIF($M$1:$M$10,$A2913)&gt;0,"Y","N")</f>
        <v>N</v>
      </c>
    </row>
    <row r="2914" customFormat="false" ht="15" hidden="false" customHeight="true" outlineLevel="0" collapsed="false">
      <c r="A2914" s="8" t="s">
        <v>1059</v>
      </c>
      <c r="B2914" s="8" t="s">
        <v>595</v>
      </c>
      <c r="C2914" s="19" t="n">
        <v>320</v>
      </c>
      <c r="D2914" s="19" t="n">
        <v>11612.6</v>
      </c>
      <c r="E2914" s="19" t="n">
        <v>320</v>
      </c>
      <c r="F2914" s="19" t="n">
        <v>10705</v>
      </c>
      <c r="G2914" s="8" t="n">
        <f aca="false">IFERROR(INDEX('TRANS'!$B:$B,MATCH($B2914,'TRANS'!$A:$A,0)),IFERROR(INDEX('TRANS'!$B:$B,MATCH(TRIM(SUBSTITUTE($B2914,CHAR(160)," ")),'TRANS'!$D:$D,0)),IFERROR(INDEX('Catalog'!$A:$A,MATCH($B2914,'Catalog'!$B:$B,0)),IFERROR(INDEX('Catalog'!$A:$A,MATCH(TRIM(SUBSTITUTE($B2914,CHAR(160)," ")),'Catalog'!$C:$C,0)),""))))</f>
        <v>4413348</v>
      </c>
      <c r="H2914" s="8" t="str">
        <f aca="false">IFERROR(INDEX('TRANS'!$C:$C,MATCH($B2914,'TRANS'!$A:$A,0)),IFERROR(INDEX('Catalog'!$B:$B,MATCH($G2914,'Catalog'!$A:$A,0)),$B2914))</f>
        <v>302 מדרס ג'ל לגבר</v>
      </c>
      <c r="I2914" s="8" t="str">
        <f aca="false">IF($G2914="","Unmatched","Matched")</f>
        <v>Matched</v>
      </c>
      <c r="J2914" s="8" t="n">
        <f aca="false">IF($G2914&lt;&gt;"",$G2914,$B2914)</f>
        <v>4413348</v>
      </c>
      <c r="K2914" s="8" t="str">
        <f aca="false">IF(COUNTIF($M$1:$M$10,$A2914)&gt;0,"Y","N")</f>
        <v>N</v>
      </c>
    </row>
    <row r="2915" customFormat="false" ht="15" hidden="false" customHeight="true" outlineLevel="0" collapsed="false">
      <c r="A2915" s="8" t="s">
        <v>1059</v>
      </c>
      <c r="B2915" s="8" t="s">
        <v>596</v>
      </c>
      <c r="C2915" s="19" t="n">
        <v>330</v>
      </c>
      <c r="D2915" s="19" t="n">
        <v>11377.74</v>
      </c>
      <c r="E2915" s="19" t="n">
        <v>180</v>
      </c>
      <c r="F2915" s="19" t="n">
        <v>5597.66</v>
      </c>
      <c r="G2915" s="8" t="n">
        <f aca="false">IFERROR(INDEX('TRANS'!$B:$B,MATCH($B2915,'TRANS'!$A:$A,0)),IFERROR(INDEX('TRANS'!$B:$B,MATCH(TRIM(SUBSTITUTE($B2915,CHAR(160)," ")),'TRANS'!$D:$D,0)),IFERROR(INDEX('Catalog'!$A:$A,MATCH($B2915,'Catalog'!$B:$B,0)),IFERROR(INDEX('Catalog'!$A:$A,MATCH(TRIM(SUBSTITUTE($B2915,CHAR(160)," ")),'Catalog'!$C:$C,0)),""))))</f>
        <v>4413372</v>
      </c>
      <c r="H2915" s="8" t="str">
        <f aca="false">IFERROR(INDEX('TRANS'!$C:$C,MATCH($B2915,'TRANS'!$A:$A,0)),IFERROR(INDEX('Catalog'!$B:$B,MATCH($G2915,'Catalog'!$A:$A,0)),$B2915))</f>
        <v>302 W מדרס לאישה</v>
      </c>
      <c r="I2915" s="8" t="str">
        <f aca="false">IF($G2915="","Unmatched","Matched")</f>
        <v>Matched</v>
      </c>
      <c r="J2915" s="8" t="n">
        <f aca="false">IF($G2915&lt;&gt;"",$G2915,$B2915)</f>
        <v>4413372</v>
      </c>
      <c r="K2915" s="8" t="str">
        <f aca="false">IF(COUNTIF($M$1:$M$10,$A2915)&gt;0,"Y","N")</f>
        <v>N</v>
      </c>
    </row>
    <row r="2916" customFormat="false" ht="15" hidden="false" customHeight="true" outlineLevel="0" collapsed="false">
      <c r="A2916" s="8" t="s">
        <v>1059</v>
      </c>
      <c r="B2916" s="8" t="s">
        <v>601</v>
      </c>
      <c r="C2916" s="19" t="n">
        <v>300</v>
      </c>
      <c r="D2916" s="19" t="n">
        <v>11829.76</v>
      </c>
      <c r="E2916" s="19" t="n">
        <v>160</v>
      </c>
      <c r="F2916" s="19" t="n">
        <v>5602.35</v>
      </c>
      <c r="G2916" s="8" t="n">
        <f aca="false">IFERROR(INDEX('TRANS'!$B:$B,MATCH($B2916,'TRANS'!$A:$A,0)),IFERROR(INDEX('TRANS'!$B:$B,MATCH(TRIM(SUBSTITUTE($B2916,CHAR(160)," ")),'TRANS'!$D:$D,0)),IFERROR(INDEX('Catalog'!$A:$A,MATCH($B2916,'Catalog'!$B:$B,0)),IFERROR(INDEX('Catalog'!$A:$A,MATCH(TRIM(SUBSTITUTE($B2916,CHAR(160)," ")),'Catalog'!$C:$C,0)),""))))</f>
        <v>4416000</v>
      </c>
      <c r="H2916" s="8" t="str">
        <f aca="false">IFERROR(INDEX('TRANS'!$C:$C,MATCH($B2916,'TRANS'!$A:$A,0)),IFERROR(INDEX('Catalog'!$B:$B,MATCH($G2916,'Catalog'!$A:$A,0)),$B2916))</f>
        <v>307 L עקבים לדורבן-זוג כריות</v>
      </c>
      <c r="I2916" s="8" t="str">
        <f aca="false">IF($G2916="","Unmatched","Matched")</f>
        <v>Matched</v>
      </c>
      <c r="J2916" s="8" t="n">
        <f aca="false">IF($G2916&lt;&gt;"",$G2916,$B2916)</f>
        <v>4416000</v>
      </c>
      <c r="K2916" s="8" t="str">
        <f aca="false">IF(COUNTIF($M$1:$M$10,$A2916)&gt;0,"Y","N")</f>
        <v>N</v>
      </c>
    </row>
    <row r="2917" customFormat="false" ht="15" hidden="false" customHeight="true" outlineLevel="0" collapsed="false">
      <c r="A2917" s="8" t="s">
        <v>1059</v>
      </c>
      <c r="B2917" s="8" t="s">
        <v>602</v>
      </c>
      <c r="C2917" s="19" t="n">
        <v>360</v>
      </c>
      <c r="D2917" s="19" t="n">
        <v>14231.89</v>
      </c>
      <c r="E2917" s="19" t="n">
        <v>140</v>
      </c>
      <c r="F2917" s="19" t="n">
        <v>4902.66</v>
      </c>
      <c r="G2917" s="8" t="n">
        <f aca="false">IFERROR(INDEX('TRANS'!$B:$B,MATCH($B2917,'TRANS'!$A:$A,0)),IFERROR(INDEX('TRANS'!$B:$B,MATCH(TRIM(SUBSTITUTE($B2917,CHAR(160)," ")),'TRANS'!$D:$D,0)),IFERROR(INDEX('Catalog'!$A:$A,MATCH($B2917,'Catalog'!$B:$B,0)),IFERROR(INDEX('Catalog'!$A:$A,MATCH(TRIM(SUBSTITUTE($B2917,CHAR(160)," ")),'Catalog'!$C:$C,0)),""))))</f>
        <v>4416001</v>
      </c>
      <c r="H2917" s="8" t="str">
        <f aca="false">IFERROR(INDEX('TRANS'!$C:$C,MATCH($B2917,'TRANS'!$A:$A,0)),IFERROR(INDEX('Catalog'!$B:$B,MATCH($G2917,'Catalog'!$A:$A,0)),$B2917))</f>
        <v>307 M עקבים לדורבן-זוג כריות</v>
      </c>
      <c r="I2917" s="8" t="str">
        <f aca="false">IF($G2917="","Unmatched","Matched")</f>
        <v>Matched</v>
      </c>
      <c r="J2917" s="8" t="n">
        <f aca="false">IF($G2917&lt;&gt;"",$G2917,$B2917)</f>
        <v>4416001</v>
      </c>
      <c r="K2917" s="8" t="str">
        <f aca="false">IF(COUNTIF($M$1:$M$10,$A2917)&gt;0,"Y","N")</f>
        <v>N</v>
      </c>
    </row>
    <row r="2918" customFormat="false" ht="15" hidden="false" customHeight="true" outlineLevel="0" collapsed="false">
      <c r="A2918" s="8" t="s">
        <v>1059</v>
      </c>
      <c r="B2918" s="8" t="s">
        <v>960</v>
      </c>
      <c r="C2918" s="19" t="n">
        <v>110</v>
      </c>
      <c r="D2918" s="19" t="n">
        <v>4372.45</v>
      </c>
      <c r="E2918" s="19" t="n">
        <v>60</v>
      </c>
      <c r="F2918" s="19" t="n">
        <v>2128.4</v>
      </c>
      <c r="G2918" s="8" t="n">
        <f aca="false">IFERROR(INDEX('TRANS'!$B:$B,MATCH($B2918,'TRANS'!$A:$A,0)),IFERROR(INDEX('TRANS'!$B:$B,MATCH(TRIM(SUBSTITUTE($B2918,CHAR(160)," ")),'TRANS'!$D:$D,0)),IFERROR(INDEX('Catalog'!$A:$A,MATCH($B2918,'Catalog'!$B:$B,0)),IFERROR(INDEX('Catalog'!$A:$A,MATCH(TRIM(SUBSTITUTE($B2918,CHAR(160)," ")),'Catalog'!$C:$C,0)),""))))</f>
        <v>4416002</v>
      </c>
      <c r="H2918" s="8" t="str">
        <f aca="false">IFERROR(INDEX('TRANS'!$C:$C,MATCH($B2918,'TRANS'!$A:$A,0)),IFERROR(INDEX('Catalog'!$B:$B,MATCH($G2918,'Catalog'!$A:$A,0)),$B2918))</f>
        <v>307 S עקבים לדורבן-זוג כריות</v>
      </c>
      <c r="I2918" s="8" t="str">
        <f aca="false">IF($G2918="","Unmatched","Matched")</f>
        <v>Matched</v>
      </c>
      <c r="J2918" s="8" t="n">
        <f aca="false">IF($G2918&lt;&gt;"",$G2918,$B2918)</f>
        <v>4416002</v>
      </c>
      <c r="K2918" s="8" t="str">
        <f aca="false">IF(COUNTIF($M$1:$M$10,$A2918)&gt;0,"Y","N")</f>
        <v>N</v>
      </c>
    </row>
    <row r="2919" customFormat="false" ht="15" hidden="false" customHeight="true" outlineLevel="0" collapsed="false">
      <c r="A2919" s="8" t="s">
        <v>1059</v>
      </c>
      <c r="B2919" s="8" t="s">
        <v>605</v>
      </c>
      <c r="C2919" s="19" t="n">
        <v>320</v>
      </c>
      <c r="D2919" s="19" t="n">
        <v>5566.27</v>
      </c>
      <c r="E2919" s="19" t="n">
        <v>150</v>
      </c>
      <c r="F2919" s="19" t="n">
        <v>2313.37</v>
      </c>
      <c r="G2919" s="8" t="n">
        <f aca="false">IFERROR(INDEX('TRANS'!$B:$B,MATCH($B2919,'TRANS'!$A:$A,0)),IFERROR(INDEX('TRANS'!$B:$B,MATCH(TRIM(SUBSTITUTE($B2919,CHAR(160)," ")),'TRANS'!$D:$D,0)),IFERROR(INDEX('Catalog'!$A:$A,MATCH($B2919,'Catalog'!$B:$B,0)),IFERROR(INDEX('Catalog'!$A:$A,MATCH(TRIM(SUBSTITUTE($B2919,CHAR(160)," ")),'Catalog'!$C:$C,0)),""))))</f>
        <v>4413033</v>
      </c>
      <c r="H2919" s="8" t="str">
        <f aca="false">IFERROR(INDEX('TRANS'!$C:$C,MATCH($B2919,'TRANS'!$A:$A,0)),IFERROR(INDEX('Catalog'!$B:$B,MATCH($G2919,'Catalog'!$A:$A,0)),$B2919))</f>
        <v>311'מדב.ג'ל למניעת שפשוף 5 יח</v>
      </c>
      <c r="I2919" s="8" t="str">
        <f aca="false">IF($G2919="","Unmatched","Matched")</f>
        <v>Matched</v>
      </c>
      <c r="J2919" s="8" t="n">
        <f aca="false">IF($G2919&lt;&gt;"",$G2919,$B2919)</f>
        <v>4413033</v>
      </c>
      <c r="K2919" s="8" t="str">
        <f aca="false">IF(COUNTIF($M$1:$M$10,$A2919)&gt;0,"Y","N")</f>
        <v>N</v>
      </c>
    </row>
    <row r="2920" customFormat="false" ht="15" hidden="false" customHeight="true" outlineLevel="0" collapsed="false">
      <c r="A2920" s="8" t="s">
        <v>1059</v>
      </c>
      <c r="B2920" s="8" t="s">
        <v>613</v>
      </c>
      <c r="C2920" s="19" t="n">
        <v>130</v>
      </c>
      <c r="D2920" s="19" t="n">
        <v>1732.73</v>
      </c>
      <c r="E2920" s="19" t="n">
        <v>40</v>
      </c>
      <c r="F2920" s="19" t="n">
        <v>475.88</v>
      </c>
      <c r="G2920" s="8" t="n">
        <f aca="false">IFERROR(INDEX('TRANS'!$B:$B,MATCH($B2920,'TRANS'!$A:$A,0)),IFERROR(INDEX('TRANS'!$B:$B,MATCH(TRIM(SUBSTITUTE($B2920,CHAR(160)," ")),'TRANS'!$D:$D,0)),IFERROR(INDEX('Catalog'!$A:$A,MATCH($B2920,'Catalog'!$B:$B,0)),IFERROR(INDEX('Catalog'!$A:$A,MATCH(TRIM(SUBSTITUTE($B2920,CHAR(160)," ")),'Catalog'!$C:$C,0)),""))))</f>
        <v>4413048</v>
      </c>
      <c r="H2920" s="8" t="str">
        <f aca="false">IFERROR(INDEX('TRANS'!$C:$C,MATCH($B2920,'TRANS'!$A:$A,0)),IFERROR(INDEX('Catalog'!$B:$B,MATCH($G2920,'Catalog'!$A:$A,0)),$B2920))</f>
        <v>35 L מגן קרסול לבן</v>
      </c>
      <c r="I2920" s="8" t="str">
        <f aca="false">IF($G2920="","Unmatched","Matched")</f>
        <v>Matched</v>
      </c>
      <c r="J2920" s="8" t="n">
        <f aca="false">IF($G2920&lt;&gt;"",$G2920,$B2920)</f>
        <v>4413048</v>
      </c>
      <c r="K2920" s="8" t="str">
        <f aca="false">IF(COUNTIF($M$1:$M$10,$A2920)&gt;0,"Y","N")</f>
        <v>N</v>
      </c>
    </row>
    <row r="2921" customFormat="false" ht="15" hidden="false" customHeight="true" outlineLevel="0" collapsed="false">
      <c r="A2921" s="8" t="s">
        <v>1059</v>
      </c>
      <c r="B2921" s="8" t="s">
        <v>614</v>
      </c>
      <c r="C2921" s="19" t="n">
        <v>130</v>
      </c>
      <c r="D2921" s="19" t="n">
        <v>1745.61</v>
      </c>
      <c r="E2921" s="19" t="n">
        <v>60</v>
      </c>
      <c r="F2921" s="19" t="n">
        <v>709.19</v>
      </c>
      <c r="G2921" s="8" t="n">
        <f aca="false">IFERROR(INDEX('TRANS'!$B:$B,MATCH($B2921,'TRANS'!$A:$A,0)),IFERROR(INDEX('TRANS'!$B:$B,MATCH(TRIM(SUBSTITUTE($B2921,CHAR(160)," ")),'TRANS'!$D:$D,0)),IFERROR(INDEX('Catalog'!$A:$A,MATCH($B2921,'Catalog'!$B:$B,0)),IFERROR(INDEX('Catalog'!$A:$A,MATCH(TRIM(SUBSTITUTE($B2921,CHAR(160)," ")),'Catalog'!$C:$C,0)),""))))</f>
        <v>4413049</v>
      </c>
      <c r="H2921" s="8" t="str">
        <f aca="false">IFERROR(INDEX('TRANS'!$C:$C,MATCH($B2921,'TRANS'!$A:$A,0)),IFERROR(INDEX('Catalog'!$B:$B,MATCH($G2921,'Catalog'!$A:$A,0)),$B2921))</f>
        <v>35 M מגן קרסול לבן</v>
      </c>
      <c r="I2921" s="8" t="str">
        <f aca="false">IF($G2921="","Unmatched","Matched")</f>
        <v>Matched</v>
      </c>
      <c r="J2921" s="8" t="n">
        <f aca="false">IF($G2921&lt;&gt;"",$G2921,$B2921)</f>
        <v>4413049</v>
      </c>
      <c r="K2921" s="8" t="str">
        <f aca="false">IF(COUNTIF($M$1:$M$10,$A2921)&gt;0,"Y","N")</f>
        <v>N</v>
      </c>
    </row>
    <row r="2922" customFormat="false" ht="15" hidden="false" customHeight="true" outlineLevel="0" collapsed="false">
      <c r="A2922" s="8" t="s">
        <v>1059</v>
      </c>
      <c r="B2922" s="8" t="s">
        <v>792</v>
      </c>
      <c r="C2922" s="19" t="n">
        <v>120</v>
      </c>
      <c r="D2922" s="19" t="n">
        <v>1625.19</v>
      </c>
      <c r="E2922" s="19" t="n">
        <v>40</v>
      </c>
      <c r="F2922" s="19" t="n">
        <v>475.88</v>
      </c>
      <c r="G2922" s="8" t="n">
        <f aca="false">IFERROR(INDEX('TRANS'!$B:$B,MATCH($B2922,'TRANS'!$A:$A,0)),IFERROR(INDEX('TRANS'!$B:$B,MATCH(TRIM(SUBSTITUTE($B2922,CHAR(160)," ")),'TRANS'!$D:$D,0)),IFERROR(INDEX('Catalog'!$A:$A,MATCH($B2922,'Catalog'!$B:$B,0)),IFERROR(INDEX('Catalog'!$A:$A,MATCH(TRIM(SUBSTITUTE($B2922,CHAR(160)," ")),'Catalog'!$C:$C,0)),""))))</f>
        <v>4413047</v>
      </c>
      <c r="H2922" s="8" t="str">
        <f aca="false">IFERROR(INDEX('TRANS'!$C:$C,MATCH($B2922,'TRANS'!$A:$A,0)),IFERROR(INDEX('Catalog'!$B:$B,MATCH($G2922,'Catalog'!$A:$A,0)),$B2922))</f>
        <v>35 S מגן קרסול לבן</v>
      </c>
      <c r="I2922" s="8" t="str">
        <f aca="false">IF($G2922="","Unmatched","Matched")</f>
        <v>Matched</v>
      </c>
      <c r="J2922" s="8" t="n">
        <f aca="false">IF($G2922&lt;&gt;"",$G2922,$B2922)</f>
        <v>4413047</v>
      </c>
      <c r="K2922" s="8" t="str">
        <f aca="false">IF(COUNTIF($M$1:$M$10,$A2922)&gt;0,"Y","N")</f>
        <v>N</v>
      </c>
    </row>
    <row r="2923" customFormat="false" ht="15" hidden="false" customHeight="true" outlineLevel="0" collapsed="false">
      <c r="A2923" s="8" t="s">
        <v>1059</v>
      </c>
      <c r="B2923" s="8" t="s">
        <v>793</v>
      </c>
      <c r="C2923" s="19" t="n">
        <v>90</v>
      </c>
      <c r="D2923" s="19" t="n">
        <v>1217</v>
      </c>
      <c r="E2923" s="19" t="n">
        <v>70</v>
      </c>
      <c r="F2923" s="19" t="n">
        <v>840.1</v>
      </c>
      <c r="G2923" s="8" t="n">
        <f aca="false">IFERROR(INDEX('TRANS'!$B:$B,MATCH($B2923,'TRANS'!$A:$A,0)),IFERROR(INDEX('TRANS'!$B:$B,MATCH(TRIM(SUBSTITUTE($B2923,CHAR(160)," ")),'TRANS'!$D:$D,0)),IFERROR(INDEX('Catalog'!$A:$A,MATCH($B2923,'Catalog'!$B:$B,0)),IFERROR(INDEX('Catalog'!$A:$A,MATCH(TRIM(SUBSTITUTE($B2923,CHAR(160)," ")),'Catalog'!$C:$C,0)),""))))</f>
        <v>4413050</v>
      </c>
      <c r="H2923" s="8" t="str">
        <f aca="false">IFERROR(INDEX('TRANS'!$C:$C,MATCH($B2923,'TRANS'!$A:$A,0)),IFERROR(INDEX('Catalog'!$B:$B,MATCH($G2923,'Catalog'!$A:$A,0)),$B2923))</f>
        <v>35 XL מגן קרסול לבן</v>
      </c>
      <c r="I2923" s="8" t="str">
        <f aca="false">IF($G2923="","Unmatched","Matched")</f>
        <v>Matched</v>
      </c>
      <c r="J2923" s="8" t="n">
        <f aca="false">IF($G2923&lt;&gt;"",$G2923,$B2923)</f>
        <v>4413050</v>
      </c>
      <c r="K2923" s="8" t="str">
        <f aca="false">IF(COUNTIF($M$1:$M$10,$A2923)&gt;0,"Y","N")</f>
        <v>N</v>
      </c>
    </row>
    <row r="2924" customFormat="false" ht="15" hidden="false" customHeight="true" outlineLevel="0" collapsed="false">
      <c r="A2924" s="8" t="s">
        <v>1059</v>
      </c>
      <c r="B2924" s="8" t="s">
        <v>615</v>
      </c>
      <c r="C2924" s="19" t="n">
        <v>330</v>
      </c>
      <c r="D2924" s="19" t="n">
        <v>4752.9</v>
      </c>
      <c r="E2924" s="19" t="n">
        <v>150</v>
      </c>
      <c r="F2924" s="19" t="n">
        <v>1926.31</v>
      </c>
      <c r="G2924" s="8" t="n">
        <f aca="false">IFERROR(INDEX('TRANS'!$B:$B,MATCH($B2924,'TRANS'!$A:$A,0)),IFERROR(INDEX('TRANS'!$B:$B,MATCH(TRIM(SUBSTITUTE($B2924,CHAR(160)," ")),'TRANS'!$D:$D,0)),IFERROR(INDEX('Catalog'!$A:$A,MATCH($B2924,'Catalog'!$B:$B,0)),IFERROR(INDEX('Catalog'!$A:$A,MATCH(TRIM(SUBSTITUTE($B2924,CHAR(160)," ")),'Catalog'!$C:$C,0)),""))))</f>
        <v>4413490</v>
      </c>
      <c r="H2924" s="8" t="str">
        <f aca="false">IFERROR(INDEX('TRANS'!$C:$C,MATCH($B2924,'TRANS'!$A:$A,0)),IFERROR(INDEX('Catalog'!$B:$B,MATCH($G2924,'Catalog'!$A:$A,0)),$B2924))</f>
        <v>35B L מגן קרסול שחור</v>
      </c>
      <c r="I2924" s="8" t="str">
        <f aca="false">IF($G2924="","Unmatched","Matched")</f>
        <v>Matched</v>
      </c>
      <c r="J2924" s="8" t="n">
        <f aca="false">IF($G2924&lt;&gt;"",$G2924,$B2924)</f>
        <v>4413490</v>
      </c>
      <c r="K2924" s="8" t="str">
        <f aca="false">IF(COUNTIF($M$1:$M$10,$A2924)&gt;0,"Y","N")</f>
        <v>N</v>
      </c>
    </row>
    <row r="2925" customFormat="false" ht="15" hidden="false" customHeight="true" outlineLevel="0" collapsed="false">
      <c r="A2925" s="8" t="s">
        <v>1059</v>
      </c>
      <c r="B2925" s="8" t="s">
        <v>616</v>
      </c>
      <c r="C2925" s="19" t="n">
        <v>410</v>
      </c>
      <c r="D2925" s="19" t="n">
        <v>5869.73</v>
      </c>
      <c r="E2925" s="19" t="n">
        <v>200</v>
      </c>
      <c r="F2925" s="19" t="n">
        <v>2581.67</v>
      </c>
      <c r="G2925" s="8" t="n">
        <f aca="false">IFERROR(INDEX('TRANS'!$B:$B,MATCH($B2925,'TRANS'!$A:$A,0)),IFERROR(INDEX('TRANS'!$B:$B,MATCH(TRIM(SUBSTITUTE($B2925,CHAR(160)," ")),'TRANS'!$D:$D,0)),IFERROR(INDEX('Catalog'!$A:$A,MATCH($B2925,'Catalog'!$B:$B,0)),IFERROR(INDEX('Catalog'!$A:$A,MATCH(TRIM(SUBSTITUTE($B2925,CHAR(160)," ")),'Catalog'!$C:$C,0)),""))))</f>
        <v>4413492</v>
      </c>
      <c r="H2925" s="8" t="str">
        <f aca="false">IFERROR(INDEX('TRANS'!$C:$C,MATCH($B2925,'TRANS'!$A:$A,0)),IFERROR(INDEX('Catalog'!$B:$B,MATCH($G2925,'Catalog'!$A:$A,0)),$B2925))</f>
        <v>35B M מגן קרסול שחור</v>
      </c>
      <c r="I2925" s="8" t="str">
        <f aca="false">IF($G2925="","Unmatched","Matched")</f>
        <v>Matched</v>
      </c>
      <c r="J2925" s="8" t="n">
        <f aca="false">IF($G2925&lt;&gt;"",$G2925,$B2925)</f>
        <v>4413492</v>
      </c>
      <c r="K2925" s="8" t="str">
        <f aca="false">IF(COUNTIF($M$1:$M$10,$A2925)&gt;0,"Y","N")</f>
        <v>N</v>
      </c>
    </row>
    <row r="2926" customFormat="false" ht="15" hidden="false" customHeight="true" outlineLevel="0" collapsed="false">
      <c r="A2926" s="8" t="s">
        <v>1059</v>
      </c>
      <c r="B2926" s="8" t="s">
        <v>617</v>
      </c>
      <c r="C2926" s="19" t="n">
        <v>290</v>
      </c>
      <c r="D2926" s="19" t="n">
        <v>4175.47</v>
      </c>
      <c r="E2926" s="19" t="n">
        <v>160</v>
      </c>
      <c r="F2926" s="19" t="n">
        <v>2051.92</v>
      </c>
      <c r="G2926" s="8" t="n">
        <f aca="false">IFERROR(INDEX('TRANS'!$B:$B,MATCH($B2926,'TRANS'!$A:$A,0)),IFERROR(INDEX('TRANS'!$B:$B,MATCH(TRIM(SUBSTITUTE($B2926,CHAR(160)," ")),'TRANS'!$D:$D,0)),IFERROR(INDEX('Catalog'!$A:$A,MATCH($B2926,'Catalog'!$B:$B,0)),IFERROR(INDEX('Catalog'!$A:$A,MATCH(TRIM(SUBSTITUTE($B2926,CHAR(160)," ")),'Catalog'!$C:$C,0)),""))))</f>
        <v>4413493</v>
      </c>
      <c r="H2926" s="8" t="str">
        <f aca="false">IFERROR(INDEX('TRANS'!$C:$C,MATCH($B2926,'TRANS'!$A:$A,0)),IFERROR(INDEX('Catalog'!$B:$B,MATCH($G2926,'Catalog'!$A:$A,0)),$B2926))</f>
        <v>35B S מגן קרסול שחור</v>
      </c>
      <c r="I2926" s="8" t="str">
        <f aca="false">IF($G2926="","Unmatched","Matched")</f>
        <v>Matched</v>
      </c>
      <c r="J2926" s="8" t="n">
        <f aca="false">IF($G2926&lt;&gt;"",$G2926,$B2926)</f>
        <v>4413493</v>
      </c>
      <c r="K2926" s="8" t="str">
        <f aca="false">IF(COUNTIF($M$1:$M$10,$A2926)&gt;0,"Y","N")</f>
        <v>N</v>
      </c>
    </row>
    <row r="2927" customFormat="false" ht="15" hidden="false" customHeight="true" outlineLevel="0" collapsed="false">
      <c r="A2927" s="8" t="s">
        <v>1059</v>
      </c>
      <c r="B2927" s="8" t="s">
        <v>618</v>
      </c>
      <c r="C2927" s="19" t="n">
        <v>260</v>
      </c>
      <c r="D2927" s="19" t="n">
        <v>3761.23</v>
      </c>
      <c r="E2927" s="19" t="n">
        <v>120</v>
      </c>
      <c r="F2927" s="19" t="n">
        <v>1531.11</v>
      </c>
      <c r="G2927" s="8" t="n">
        <f aca="false">IFERROR(INDEX('TRANS'!$B:$B,MATCH($B2927,'TRANS'!$A:$A,0)),IFERROR(INDEX('TRANS'!$B:$B,MATCH(TRIM(SUBSTITUTE($B2927,CHAR(160)," ")),'TRANS'!$D:$D,0)),IFERROR(INDEX('Catalog'!$A:$A,MATCH($B2927,'Catalog'!$B:$B,0)),IFERROR(INDEX('Catalog'!$A:$A,MATCH(TRIM(SUBSTITUTE($B2927,CHAR(160)," ")),'Catalog'!$C:$C,0)),""))))</f>
        <v>4413491</v>
      </c>
      <c r="H2927" s="8" t="str">
        <f aca="false">IFERROR(INDEX('TRANS'!$C:$C,MATCH($B2927,'TRANS'!$A:$A,0)),IFERROR(INDEX('Catalog'!$B:$B,MATCH($G2927,'Catalog'!$A:$A,0)),$B2927))</f>
        <v>35B XL מגן קרסול שחור</v>
      </c>
      <c r="I2927" s="8" t="str">
        <f aca="false">IF($G2927="","Unmatched","Matched")</f>
        <v>Matched</v>
      </c>
      <c r="J2927" s="8" t="n">
        <f aca="false">IF($G2927&lt;&gt;"",$G2927,$B2927)</f>
        <v>4413491</v>
      </c>
      <c r="K2927" s="8" t="str">
        <f aca="false">IF(COUNTIF($M$1:$M$10,$A2927)&gt;0,"Y","N")</f>
        <v>N</v>
      </c>
    </row>
    <row r="2928" customFormat="false" ht="15" hidden="false" customHeight="true" outlineLevel="0" collapsed="false">
      <c r="A2928" s="8" t="s">
        <v>1059</v>
      </c>
      <c r="B2928" s="8" t="s">
        <v>620</v>
      </c>
      <c r="C2928" s="19" t="n">
        <v>180</v>
      </c>
      <c r="D2928" s="19" t="n">
        <v>2442.63</v>
      </c>
      <c r="E2928" s="19" t="n">
        <v>120</v>
      </c>
      <c r="F2928" s="19" t="n">
        <v>1478.58</v>
      </c>
      <c r="G2928" s="8" t="n">
        <f aca="false">IFERROR(INDEX('TRANS'!$B:$B,MATCH($B2928,'TRANS'!$A:$A,0)),IFERROR(INDEX('TRANS'!$B:$B,MATCH(TRIM(SUBSTITUTE($B2928,CHAR(160)," ")),'TRANS'!$D:$D,0)),IFERROR(INDEX('Catalog'!$A:$A,MATCH($B2928,'Catalog'!$B:$B,0)),IFERROR(INDEX('Catalog'!$A:$A,MATCH(TRIM(SUBSTITUTE($B2928,CHAR(160)," ")),'Catalog'!$C:$C,0)),""))))</f>
        <v>4413053</v>
      </c>
      <c r="H2928" s="8" t="str">
        <f aca="false">IFERROR(INDEX('TRANS'!$C:$C,MATCH($B2928,'TRANS'!$A:$A,0)),IFERROR(INDEX('Catalog'!$B:$B,MATCH($G2928,'Catalog'!$A:$A,0)),$B2928))</f>
        <v>35C L מגן קרסול חום</v>
      </c>
      <c r="I2928" s="8" t="str">
        <f aca="false">IF($G2928="","Unmatched","Matched")</f>
        <v>Matched</v>
      </c>
      <c r="J2928" s="8" t="n">
        <f aca="false">IF($G2928&lt;&gt;"",$G2928,$B2928)</f>
        <v>4413053</v>
      </c>
      <c r="K2928" s="8" t="str">
        <f aca="false">IF(COUNTIF($M$1:$M$10,$A2928)&gt;0,"Y","N")</f>
        <v>N</v>
      </c>
    </row>
    <row r="2929" customFormat="false" ht="15" hidden="false" customHeight="true" outlineLevel="0" collapsed="false">
      <c r="A2929" s="8" t="s">
        <v>1059</v>
      </c>
      <c r="B2929" s="8" t="s">
        <v>621</v>
      </c>
      <c r="C2929" s="19" t="n">
        <v>300</v>
      </c>
      <c r="D2929" s="19" t="n">
        <v>4166.18</v>
      </c>
      <c r="E2929" s="19" t="n">
        <v>140</v>
      </c>
      <c r="F2929" s="19" t="n">
        <v>1758.23</v>
      </c>
      <c r="G2929" s="8" t="n">
        <f aca="false">IFERROR(INDEX('TRANS'!$B:$B,MATCH($B2929,'TRANS'!$A:$A,0)),IFERROR(INDEX('TRANS'!$B:$B,MATCH(TRIM(SUBSTITUTE($B2929,CHAR(160)," ")),'TRANS'!$D:$D,0)),IFERROR(INDEX('Catalog'!$A:$A,MATCH($B2929,'Catalog'!$B:$B,0)),IFERROR(INDEX('Catalog'!$A:$A,MATCH(TRIM(SUBSTITUTE($B2929,CHAR(160)," ")),'Catalog'!$C:$C,0)),""))))</f>
        <v>4413054</v>
      </c>
      <c r="H2929" s="8" t="str">
        <f aca="false">IFERROR(INDEX('TRANS'!$C:$C,MATCH($B2929,'TRANS'!$A:$A,0)),IFERROR(INDEX('Catalog'!$B:$B,MATCH($G2929,'Catalog'!$A:$A,0)),$B2929))</f>
        <v>35C M מגן קרסול חום</v>
      </c>
      <c r="I2929" s="8" t="str">
        <f aca="false">IF($G2929="","Unmatched","Matched")</f>
        <v>Matched</v>
      </c>
      <c r="J2929" s="8" t="n">
        <f aca="false">IF($G2929&lt;&gt;"",$G2929,$B2929)</f>
        <v>4413054</v>
      </c>
      <c r="K2929" s="8" t="str">
        <f aca="false">IF(COUNTIF($M$1:$M$10,$A2929)&gt;0,"Y","N")</f>
        <v>N</v>
      </c>
    </row>
    <row r="2930" customFormat="false" ht="15" hidden="false" customHeight="true" outlineLevel="0" collapsed="false">
      <c r="A2930" s="8" t="s">
        <v>1059</v>
      </c>
      <c r="B2930" s="8" t="s">
        <v>622</v>
      </c>
      <c r="C2930" s="19" t="n">
        <v>240</v>
      </c>
      <c r="D2930" s="19" t="n">
        <v>3314.99</v>
      </c>
      <c r="E2930" s="19" t="n">
        <v>140</v>
      </c>
      <c r="F2930" s="19" t="n">
        <v>1733.31</v>
      </c>
      <c r="G2930" s="8" t="n">
        <f aca="false">IFERROR(INDEX('TRANS'!$B:$B,MATCH($B2930,'TRANS'!$A:$A,0)),IFERROR(INDEX('TRANS'!$B:$B,MATCH(TRIM(SUBSTITUTE($B2930,CHAR(160)," ")),'TRANS'!$D:$D,0)),IFERROR(INDEX('Catalog'!$A:$A,MATCH($B2930,'Catalog'!$B:$B,0)),IFERROR(INDEX('Catalog'!$A:$A,MATCH(TRIM(SUBSTITUTE($B2930,CHAR(160)," ")),'Catalog'!$C:$C,0)),""))))</f>
        <v>4413052</v>
      </c>
      <c r="H2930" s="8" t="str">
        <f aca="false">IFERROR(INDEX('TRANS'!$C:$C,MATCH($B2930,'TRANS'!$A:$A,0)),IFERROR(INDEX('Catalog'!$B:$B,MATCH($G2930,'Catalog'!$A:$A,0)),$B2930))</f>
        <v>35C S מגן קרסול חום</v>
      </c>
      <c r="I2930" s="8" t="str">
        <f aca="false">IF($G2930="","Unmatched","Matched")</f>
        <v>Matched</v>
      </c>
      <c r="J2930" s="8" t="n">
        <f aca="false">IF($G2930&lt;&gt;"",$G2930,$B2930)</f>
        <v>4413052</v>
      </c>
      <c r="K2930" s="8" t="str">
        <f aca="false">IF(COUNTIF($M$1:$M$10,$A2930)&gt;0,"Y","N")</f>
        <v>N</v>
      </c>
    </row>
    <row r="2931" customFormat="false" ht="15" hidden="false" customHeight="true" outlineLevel="0" collapsed="false">
      <c r="A2931" s="8" t="s">
        <v>1059</v>
      </c>
      <c r="B2931" s="8" t="s">
        <v>795</v>
      </c>
      <c r="C2931" s="19" t="n">
        <v>110</v>
      </c>
      <c r="D2931" s="19" t="n">
        <v>1506.19</v>
      </c>
      <c r="E2931" s="19" t="n">
        <v>60</v>
      </c>
      <c r="F2931" s="19" t="n">
        <v>758.84</v>
      </c>
      <c r="G2931" s="8" t="n">
        <f aca="false">IFERROR(INDEX('TRANS'!$B:$B,MATCH($B2931,'TRANS'!$A:$A,0)),IFERROR(INDEX('TRANS'!$B:$B,MATCH(TRIM(SUBSTITUTE($B2931,CHAR(160)," ")),'TRANS'!$D:$D,0)),IFERROR(INDEX('Catalog'!$A:$A,MATCH($B2931,'Catalog'!$B:$B,0)),IFERROR(INDEX('Catalog'!$A:$A,MATCH(TRIM(SUBSTITUTE($B2931,CHAR(160)," ")),'Catalog'!$C:$C,0)),""))))</f>
        <v>4413055</v>
      </c>
      <c r="H2931" s="8" t="str">
        <f aca="false">IFERROR(INDEX('TRANS'!$C:$C,MATCH($B2931,'TRANS'!$A:$A,0)),IFERROR(INDEX('Catalog'!$B:$B,MATCH($G2931,'Catalog'!$A:$A,0)),$B2931))</f>
        <v>35C XL מגן קרסול חום</v>
      </c>
      <c r="I2931" s="8" t="str">
        <f aca="false">IF($G2931="","Unmatched","Matched")</f>
        <v>Matched</v>
      </c>
      <c r="J2931" s="8" t="n">
        <f aca="false">IF($G2931&lt;&gt;"",$G2931,$B2931)</f>
        <v>4413055</v>
      </c>
      <c r="K2931" s="8" t="str">
        <f aca="false">IF(COUNTIF($M$1:$M$10,$A2931)&gt;0,"Y","N")</f>
        <v>N</v>
      </c>
    </row>
    <row r="2932" customFormat="false" ht="15" hidden="false" customHeight="true" outlineLevel="0" collapsed="false">
      <c r="A2932" s="8" t="s">
        <v>1059</v>
      </c>
      <c r="B2932" s="8" t="s">
        <v>628</v>
      </c>
      <c r="C2932" s="19" t="n">
        <v>160</v>
      </c>
      <c r="D2932" s="19" t="n">
        <v>3432.56</v>
      </c>
      <c r="E2932" s="19" t="n">
        <v>30</v>
      </c>
      <c r="F2932" s="19" t="n">
        <v>580.64</v>
      </c>
      <c r="G2932" s="8" t="n">
        <f aca="false">IFERROR(INDEX('TRANS'!$B:$B,MATCH($B2932,'TRANS'!$A:$A,0)),IFERROR(INDEX('TRANS'!$B:$B,MATCH(TRIM(SUBSTITUTE($B2932,CHAR(160)," ")),'TRANS'!$D:$D,0)),IFERROR(INDEX('Catalog'!$A:$A,MATCH($B2932,'Catalog'!$B:$B,0)),IFERROR(INDEX('Catalog'!$A:$A,MATCH(TRIM(SUBSTITUTE($B2932,CHAR(160)," ")),'Catalog'!$C:$C,0)),""))))</f>
        <v>4411001</v>
      </c>
      <c r="H2932" s="8" t="str">
        <f aca="false">IFERROR(INDEX('TRANS'!$C:$C,MATCH($B2932,'TRANS'!$A:$A,0)),IFERROR(INDEX('Catalog'!$B:$B,MATCH($G2932,'Catalog'!$A:$A,0)),$B2932))</f>
        <v>3623 כרית ליישור אצבע פטיש</v>
      </c>
      <c r="I2932" s="8" t="str">
        <f aca="false">IF($G2932="","Unmatched","Matched")</f>
        <v>Matched</v>
      </c>
      <c r="J2932" s="8" t="n">
        <f aca="false">IF($G2932&lt;&gt;"",$G2932,$B2932)</f>
        <v>4411001</v>
      </c>
      <c r="K2932" s="8" t="str">
        <f aca="false">IF(COUNTIF($M$1:$M$10,$A2932)&gt;0,"Y","N")</f>
        <v>N</v>
      </c>
    </row>
    <row r="2933" customFormat="false" ht="15" hidden="false" customHeight="true" outlineLevel="0" collapsed="false">
      <c r="A2933" s="8" t="s">
        <v>1059</v>
      </c>
      <c r="B2933" s="8" t="s">
        <v>629</v>
      </c>
      <c r="C2933" s="19" t="n">
        <v>500</v>
      </c>
      <c r="D2933" s="19" t="n">
        <v>4125.12</v>
      </c>
      <c r="E2933" s="19" t="n">
        <v>240</v>
      </c>
      <c r="F2933" s="19" t="n">
        <v>1803.09</v>
      </c>
      <c r="G2933" s="8" t="n">
        <f aca="false">IFERROR(INDEX('TRANS'!$B:$B,MATCH($B2933,'TRANS'!$A:$A,0)),IFERROR(INDEX('TRANS'!$B:$B,MATCH(TRIM(SUBSTITUTE($B2933,CHAR(160)," ")),'TRANS'!$D:$D,0)),IFERROR(INDEX('Catalog'!$A:$A,MATCH($B2933,'Catalog'!$B:$B,0)),IFERROR(INDEX('Catalog'!$A:$A,MATCH(TRIM(SUBSTITUTE($B2933,CHAR(160)," ")),'Catalog'!$C:$C,0)),""))))</f>
        <v>4413059</v>
      </c>
      <c r="H2933" s="8" t="str">
        <f aca="false">IFERROR(INDEX('TRANS'!$C:$C,MATCH($B2933,'TRANS'!$A:$A,0)),IFERROR(INDEX('Catalog'!$B:$B,MATCH($G2933,'Catalog'!$A:$A,0)),$B2933))</f>
        <v>364S Lמפר.אצבע סיליק. ליבל.זוג</v>
      </c>
      <c r="I2933" s="8" t="str">
        <f aca="false">IF($G2933="","Unmatched","Matched")</f>
        <v>Matched</v>
      </c>
      <c r="J2933" s="8" t="n">
        <f aca="false">IF($G2933&lt;&gt;"",$G2933,$B2933)</f>
        <v>4413059</v>
      </c>
      <c r="K2933" s="8" t="str">
        <f aca="false">IF(COUNTIF($M$1:$M$10,$A2933)&gt;0,"Y","N")</f>
        <v>N</v>
      </c>
    </row>
    <row r="2934" customFormat="false" ht="15" hidden="false" customHeight="true" outlineLevel="0" collapsed="false">
      <c r="A2934" s="8" t="s">
        <v>1059</v>
      </c>
      <c r="B2934" s="8" t="s">
        <v>630</v>
      </c>
      <c r="C2934" s="19" t="n">
        <v>610</v>
      </c>
      <c r="D2934" s="19" t="n">
        <v>4367.02</v>
      </c>
      <c r="E2934" s="19" t="n">
        <v>260</v>
      </c>
      <c r="F2934" s="19" t="n">
        <v>1663.86</v>
      </c>
      <c r="G2934" s="8" t="n">
        <f aca="false">IFERROR(INDEX('TRANS'!$B:$B,MATCH($B2934,'TRANS'!$A:$A,0)),IFERROR(INDEX('TRANS'!$B:$B,MATCH(TRIM(SUBSTITUTE($B2934,CHAR(160)," ")),'TRANS'!$D:$D,0)),IFERROR(INDEX('Catalog'!$A:$A,MATCH($B2934,'Catalog'!$B:$B,0)),IFERROR(INDEX('Catalog'!$A:$A,MATCH(TRIM(SUBSTITUTE($B2934,CHAR(160)," ")),'Catalog'!$C:$C,0)),""))))</f>
        <v>4413060</v>
      </c>
      <c r="H2934" s="8" t="str">
        <f aca="false">IFERROR(INDEX('TRANS'!$C:$C,MATCH($B2934,'TRANS'!$A:$A,0)),IFERROR(INDEX('Catalog'!$B:$B,MATCH($G2934,'Catalog'!$A:$A,0)),$B2934))</f>
        <v>364 XLמפריד אצבע סיליקון ליבלת</v>
      </c>
      <c r="I2934" s="8" t="str">
        <f aca="false">IF($G2934="","Unmatched","Matched")</f>
        <v>Matched</v>
      </c>
      <c r="J2934" s="8" t="n">
        <f aca="false">IF($G2934&lt;&gt;"",$G2934,$B2934)</f>
        <v>4413060</v>
      </c>
      <c r="K2934" s="8" t="str">
        <f aca="false">IF(COUNTIF($M$1:$M$10,$A2934)&gt;0,"Y","N")</f>
        <v>N</v>
      </c>
    </row>
    <row r="2935" customFormat="false" ht="15" hidden="false" customHeight="true" outlineLevel="0" collapsed="false">
      <c r="A2935" s="8" t="s">
        <v>1059</v>
      </c>
      <c r="B2935" s="8" t="s">
        <v>632</v>
      </c>
      <c r="C2935" s="19" t="n">
        <v>620</v>
      </c>
      <c r="D2935" s="19" t="n">
        <v>5381.25</v>
      </c>
      <c r="E2935" s="19" t="n">
        <v>270</v>
      </c>
      <c r="F2935" s="19" t="n">
        <v>2115.34</v>
      </c>
      <c r="G2935" s="8" t="n">
        <f aca="false">IFERROR(INDEX('TRANS'!$B:$B,MATCH($B2935,'TRANS'!$A:$A,0)),IFERROR(INDEX('TRANS'!$B:$B,MATCH(TRIM(SUBSTITUTE($B2935,CHAR(160)," ")),'TRANS'!$D:$D,0)),IFERROR(INDEX('Catalog'!$A:$A,MATCH($B2935,'Catalog'!$B:$B,0)),IFERROR(INDEX('Catalog'!$A:$A,MATCH(TRIM(SUBSTITUTE($B2935,CHAR(160)," ")),'Catalog'!$C:$C,0)),""))))</f>
        <v>4409000</v>
      </c>
      <c r="H2935" s="8" t="str">
        <f aca="false">IFERROR(INDEX('TRANS'!$C:$C,MATCH($B2935,'TRANS'!$A:$A,0)),IFERROR(INDEX('Catalog'!$B:$B,MATCH($G2935,'Catalog'!$A:$A,0)),$B2935))</f>
        <v>365 S-Lטבעת אלסטית מסיליקון</v>
      </c>
      <c r="I2935" s="8" t="str">
        <f aca="false">IF($G2935="","Unmatched","Matched")</f>
        <v>Matched</v>
      </c>
      <c r="J2935" s="8" t="n">
        <f aca="false">IF($G2935&lt;&gt;"",$G2935,$B2935)</f>
        <v>4409000</v>
      </c>
      <c r="K2935" s="8" t="str">
        <f aca="false">IF(COUNTIF($M$1:$M$10,$A2935)&gt;0,"Y","N")</f>
        <v>N</v>
      </c>
    </row>
    <row r="2936" customFormat="false" ht="15" hidden="false" customHeight="true" outlineLevel="0" collapsed="false">
      <c r="A2936" s="8" t="s">
        <v>1059</v>
      </c>
      <c r="B2936" s="8" t="s">
        <v>868</v>
      </c>
      <c r="C2936" s="19" t="n">
        <v>240</v>
      </c>
      <c r="D2936" s="19" t="n">
        <v>1921.02</v>
      </c>
      <c r="E2936" s="19" t="n">
        <v>90</v>
      </c>
      <c r="F2936" s="19" t="n">
        <v>648.84</v>
      </c>
      <c r="G2936" s="8" t="n">
        <f aca="false">IFERROR(INDEX('TRANS'!$B:$B,MATCH($B2936,'TRANS'!$A:$A,0)),IFERROR(INDEX('TRANS'!$B:$B,MATCH(TRIM(SUBSTITUTE($B2936,CHAR(160)," ")),'TRANS'!$D:$D,0)),IFERROR(INDEX('Catalog'!$A:$A,MATCH($B2936,'Catalog'!$B:$B,0)),IFERROR(INDEX('Catalog'!$A:$A,MATCH(TRIM(SUBSTITUTE($B2936,CHAR(160)," ")),'Catalog'!$C:$C,0)),""))))</f>
        <v>4409001</v>
      </c>
      <c r="H2936" s="8" t="str">
        <f aca="false">IFERROR(INDEX('TRANS'!$C:$C,MATCH($B2936,'TRANS'!$A:$A,0)),IFERROR(INDEX('Catalog'!$B:$B,MATCH($G2936,'Catalog'!$A:$A,0)),$B2936))</f>
        <v>365  X-Lטבעת אלסטית מסיליקון</v>
      </c>
      <c r="I2936" s="8" t="str">
        <f aca="false">IF($G2936="","Unmatched","Matched")</f>
        <v>Matched</v>
      </c>
      <c r="J2936" s="8" t="n">
        <f aca="false">IF($G2936&lt;&gt;"",$G2936,$B2936)</f>
        <v>4409001</v>
      </c>
      <c r="K2936" s="8" t="str">
        <f aca="false">IF(COUNTIF($M$1:$M$10,$A2936)&gt;0,"Y","N")</f>
        <v>N</v>
      </c>
    </row>
    <row r="2937" customFormat="false" ht="15" hidden="false" customHeight="true" outlineLevel="0" collapsed="false">
      <c r="A2937" s="8" t="s">
        <v>1059</v>
      </c>
      <c r="B2937" s="8" t="s">
        <v>633</v>
      </c>
      <c r="C2937" s="19" t="n">
        <v>460</v>
      </c>
      <c r="D2937" s="19" t="n">
        <v>6713.26</v>
      </c>
      <c r="E2937" s="19" t="n">
        <v>280</v>
      </c>
      <c r="F2937" s="19" t="n">
        <v>3690.6</v>
      </c>
      <c r="G2937" s="8" t="n">
        <f aca="false">IFERROR(INDEX('TRANS'!$B:$B,MATCH($B2937,'TRANS'!$A:$A,0)),IFERROR(INDEX('TRANS'!$B:$B,MATCH(TRIM(SUBSTITUTE($B2937,CHAR(160)," ")),'TRANS'!$D:$D,0)),IFERROR(INDEX('Catalog'!$A:$A,MATCH($B2937,'Catalog'!$B:$B,0)),IFERROR(INDEX('Catalog'!$A:$A,MATCH(TRIM(SUBSTITUTE($B2937,CHAR(160)," ")),'Catalog'!$C:$C,0)),""))))</f>
        <v>4421000</v>
      </c>
      <c r="H2937" s="8" t="str">
        <f aca="false">IFERROR(INDEX('TRANS'!$C:$C,MATCH($B2937,'TRANS'!$A:$A,0)),IFERROR(INDEX('Catalog'!$B:$B,MATCH($G2937,'Catalog'!$A:$A,0)),$B2937))</f>
        <v>3655 שרוול מסיליקון לאצבע</v>
      </c>
      <c r="I2937" s="8" t="str">
        <f aca="false">IF($G2937="","Unmatched","Matched")</f>
        <v>Matched</v>
      </c>
      <c r="J2937" s="8" t="n">
        <f aca="false">IF($G2937&lt;&gt;"",$G2937,$B2937)</f>
        <v>4421000</v>
      </c>
      <c r="K2937" s="8" t="str">
        <f aca="false">IF(COUNTIF($M$1:$M$10,$A2937)&gt;0,"Y","N")</f>
        <v>N</v>
      </c>
    </row>
    <row r="2938" customFormat="false" ht="15" hidden="false" customHeight="true" outlineLevel="0" collapsed="false">
      <c r="A2938" s="8" t="s">
        <v>1059</v>
      </c>
      <c r="B2938" s="8" t="s">
        <v>636</v>
      </c>
      <c r="C2938" s="19" t="n">
        <v>300</v>
      </c>
      <c r="D2938" s="19" t="n">
        <v>3400.92</v>
      </c>
      <c r="E2938" s="19" t="n">
        <v>100</v>
      </c>
      <c r="F2938" s="19" t="n">
        <v>1023.71</v>
      </c>
      <c r="G2938" s="8" t="n">
        <f aca="false">IFERROR(INDEX('TRANS'!$B:$B,MATCH($B2938,'TRANS'!$A:$A,0)),IFERROR(INDEX('TRANS'!$B:$B,MATCH(TRIM(SUBSTITUTE($B2938,CHAR(160)," ")),'TRANS'!$D:$D,0)),IFERROR(INDEX('Catalog'!$A:$A,MATCH($B2938,'Catalog'!$B:$B,0)),IFERROR(INDEX('Catalog'!$A:$A,MATCH(TRIM(SUBSTITUTE($B2938,CHAR(160)," ")),'Catalog'!$C:$C,0)),""))))</f>
        <v>4413063</v>
      </c>
      <c r="H2938" s="8" t="str">
        <f aca="false">IFERROR(INDEX('TRANS'!$C:$C,MATCH($B2938,'TRANS'!$A:$A,0)),IFERROR(INDEX('Catalog'!$B:$B,MATCH($G2938,'Catalog'!$A:$A,0)),$B2938))</f>
        <v>366S-'מדבק.לשחרור לחץ מיבלת2יח</v>
      </c>
      <c r="I2938" s="8" t="str">
        <f aca="false">IF($G2938="","Unmatched","Matched")</f>
        <v>Matched</v>
      </c>
      <c r="J2938" s="8" t="n">
        <f aca="false">IF($G2938&lt;&gt;"",$G2938,$B2938)</f>
        <v>4413063</v>
      </c>
      <c r="K2938" s="8" t="str">
        <f aca="false">IF(COUNTIF($M$1:$M$10,$A2938)&gt;0,"Y","N")</f>
        <v>N</v>
      </c>
    </row>
    <row r="2939" customFormat="false" ht="15" hidden="false" customHeight="true" outlineLevel="0" collapsed="false">
      <c r="A2939" s="8" t="s">
        <v>1059</v>
      </c>
      <c r="B2939" s="8" t="s">
        <v>986</v>
      </c>
      <c r="C2939" s="19" t="n">
        <v>280</v>
      </c>
      <c r="D2939" s="19" t="n">
        <v>4506.2</v>
      </c>
      <c r="E2939" s="19" t="n">
        <v>100</v>
      </c>
      <c r="F2939" s="19" t="n">
        <v>1403.27</v>
      </c>
      <c r="G2939" s="8" t="n">
        <f aca="false">IFERROR(INDEX('TRANS'!$B:$B,MATCH($B2939,'TRANS'!$A:$A,0)),IFERROR(INDEX('TRANS'!$B:$B,MATCH(TRIM(SUBSTITUTE($B2939,CHAR(160)," ")),'TRANS'!$D:$D,0)),IFERROR(INDEX('Catalog'!$A:$A,MATCH($B2939,'Catalog'!$B:$B,0)),IFERROR(INDEX('Catalog'!$A:$A,MATCH(TRIM(SUBSTITUTE($B2939,CHAR(160)," ")),'Catalog'!$C:$C,0)),""))))</f>
        <v>4413066</v>
      </c>
      <c r="H2939" s="8" t="str">
        <f aca="false">IFERROR(INDEX('TRANS'!$C:$C,MATCH($B2939,'TRANS'!$A:$A,0)),IFERROR(INDEX('Catalog'!$B:$B,MATCH($G2939,'Catalog'!$A:$A,0)),$B2939))</f>
        <v>3677S-מד.לשחרור לחץ א.הבוניון</v>
      </c>
      <c r="I2939" s="8" t="str">
        <f aca="false">IF($G2939="","Unmatched","Matched")</f>
        <v>Matched</v>
      </c>
      <c r="J2939" s="8" t="n">
        <f aca="false">IF($G2939&lt;&gt;"",$G2939,$B2939)</f>
        <v>4413066</v>
      </c>
      <c r="K2939" s="8" t="str">
        <f aca="false">IF(COUNTIF($M$1:$M$10,$A2939)&gt;0,"Y","N")</f>
        <v>N</v>
      </c>
    </row>
    <row r="2940" customFormat="false" ht="15" hidden="false" customHeight="true" outlineLevel="0" collapsed="false">
      <c r="A2940" s="8" t="s">
        <v>1059</v>
      </c>
      <c r="B2940" s="8" t="s">
        <v>640</v>
      </c>
      <c r="C2940" s="19" t="n">
        <v>220</v>
      </c>
      <c r="D2940" s="19" t="n">
        <v>2677.59</v>
      </c>
      <c r="E2940" s="19" t="n">
        <v>130</v>
      </c>
      <c r="F2940" s="19" t="n">
        <v>1408.78</v>
      </c>
      <c r="G2940" s="8" t="n">
        <f aca="false">IFERROR(INDEX('TRANS'!$B:$B,MATCH($B2940,'TRANS'!$A:$A,0)),IFERROR(INDEX('TRANS'!$B:$B,MATCH(TRIM(SUBSTITUTE($B2940,CHAR(160)," ")),'TRANS'!$D:$D,0)),IFERROR(INDEX('Catalog'!$A:$A,MATCH($B2940,'Catalog'!$B:$B,0)),IFERROR(INDEX('Catalog'!$A:$A,MATCH(TRIM(SUBSTITUTE($B2940,CHAR(160)," ")),'Catalog'!$C:$C,0)),""))))</f>
        <v>4401000</v>
      </c>
      <c r="H2940" s="8" t="str">
        <f aca="false">IFERROR(INDEX('TRANS'!$C:$C,MATCH($B2940,'TRANS'!$A:$A,0)),IFERROR(INDEX('Catalog'!$B:$B,MATCH($G2940,'Catalog'!$A:$A,0)),$B2940))</f>
        <v>369  S-L אצבעון מסיליקון יחידה</v>
      </c>
      <c r="I2940" s="8" t="str">
        <f aca="false">IF($G2940="","Unmatched","Matched")</f>
        <v>Matched</v>
      </c>
      <c r="J2940" s="8" t="n">
        <f aca="false">IF($G2940&lt;&gt;"",$G2940,$B2940)</f>
        <v>4401000</v>
      </c>
      <c r="K2940" s="8" t="str">
        <f aca="false">IF(COUNTIF($M$1:$M$10,$A2940)&gt;0,"Y","N")</f>
        <v>N</v>
      </c>
    </row>
    <row r="2941" customFormat="false" ht="15" hidden="false" customHeight="true" outlineLevel="0" collapsed="false">
      <c r="A2941" s="8" t="s">
        <v>1059</v>
      </c>
      <c r="B2941" s="8" t="s">
        <v>641</v>
      </c>
      <c r="C2941" s="19" t="n">
        <v>410</v>
      </c>
      <c r="D2941" s="19" t="n">
        <v>5839.77</v>
      </c>
      <c r="E2941" s="19" t="n">
        <v>240</v>
      </c>
      <c r="F2941" s="19" t="n">
        <v>3061.05</v>
      </c>
      <c r="G2941" s="8" t="n">
        <f aca="false">IFERROR(INDEX('TRANS'!$B:$B,MATCH($B2941,'TRANS'!$A:$A,0)),IFERROR(INDEX('TRANS'!$B:$B,MATCH(TRIM(SUBSTITUTE($B2941,CHAR(160)," ")),'TRANS'!$D:$D,0)),IFERROR(INDEX('Catalog'!$A:$A,MATCH($B2941,'Catalog'!$B:$B,0)),IFERROR(INDEX('Catalog'!$A:$A,MATCH(TRIM(SUBSTITUTE($B2941,CHAR(160)," ")),'Catalog'!$C:$C,0)),""))))</f>
        <v>4401001</v>
      </c>
      <c r="H2941" s="8" t="str">
        <f aca="false">IFERROR(INDEX('TRANS'!$C:$C,MATCH($B2941,'TRANS'!$A:$A,0)),IFERROR(INDEX('Catalog'!$B:$B,MATCH($G2941,'Catalog'!$A:$A,0)),$B2941))</f>
        <v>369   XL אצבעון מסיליקון יחידה</v>
      </c>
      <c r="I2941" s="8" t="str">
        <f aca="false">IF($G2941="","Unmatched","Matched")</f>
        <v>Matched</v>
      </c>
      <c r="J2941" s="8" t="n">
        <f aca="false">IF($G2941&lt;&gt;"",$G2941,$B2941)</f>
        <v>4401001</v>
      </c>
      <c r="K2941" s="8" t="str">
        <f aca="false">IF(COUNTIF($M$1:$M$10,$A2941)&gt;0,"Y","N")</f>
        <v>N</v>
      </c>
    </row>
    <row r="2942" customFormat="false" ht="15" hidden="false" customHeight="true" outlineLevel="0" collapsed="false">
      <c r="A2942" s="8" t="s">
        <v>1059</v>
      </c>
      <c r="B2942" s="8" t="s">
        <v>642</v>
      </c>
      <c r="C2942" s="19" t="n">
        <v>1400</v>
      </c>
      <c r="D2942" s="19" t="n">
        <v>9220.98</v>
      </c>
      <c r="E2942" s="19" t="n">
        <v>900</v>
      </c>
      <c r="F2942" s="19" t="n">
        <v>5311.54</v>
      </c>
      <c r="G2942" s="8" t="n">
        <f aca="false">IFERROR(INDEX('TRANS'!$B:$B,MATCH($B2942,'TRANS'!$A:$A,0)),IFERROR(INDEX('TRANS'!$B:$B,MATCH(TRIM(SUBSTITUTE($B2942,CHAR(160)," ")),'TRANS'!$D:$D,0)),IFERROR(INDEX('Catalog'!$A:$A,MATCH($B2942,'Catalog'!$B:$B,0)),IFERROR(INDEX('Catalog'!$A:$A,MATCH(TRIM(SUBSTITUTE($B2942,CHAR(160)," ")),'Catalog'!$C:$C,0)),""))))</f>
        <v>4420000</v>
      </c>
      <c r="H2942" s="8" t="str">
        <f aca="false">IFERROR(INDEX('TRANS'!$C:$C,MATCH($B2942,'TRANS'!$A:$A,0)),IFERROR(INDEX('Catalog'!$B:$B,MATCH($G2942,'Catalog'!$A:$A,0)),$B2942))</f>
        <v>370  רפידת נוחות-זוג</v>
      </c>
      <c r="I2942" s="8" t="str">
        <f aca="false">IF($G2942="","Unmatched","Matched")</f>
        <v>Matched</v>
      </c>
      <c r="J2942" s="8" t="n">
        <f aca="false">IF($G2942&lt;&gt;"",$G2942,$B2942)</f>
        <v>4420000</v>
      </c>
      <c r="K2942" s="8" t="str">
        <f aca="false">IF(COUNTIF($M$1:$M$10,$A2942)&gt;0,"Y","N")</f>
        <v>N</v>
      </c>
    </row>
    <row r="2943" customFormat="false" ht="15" hidden="false" customHeight="true" outlineLevel="0" collapsed="false">
      <c r="A2943" s="8" t="s">
        <v>1059</v>
      </c>
      <c r="B2943" s="8" t="s">
        <v>644</v>
      </c>
      <c r="C2943" s="19" t="n">
        <v>700</v>
      </c>
      <c r="D2943" s="19" t="n">
        <v>4321.16</v>
      </c>
      <c r="E2943" s="19" t="n">
        <v>300</v>
      </c>
      <c r="F2943" s="19" t="n">
        <v>1708.98</v>
      </c>
      <c r="G2943" s="8" t="n">
        <f aca="false">IFERROR(INDEX('TRANS'!$B:$B,MATCH($B2943,'TRANS'!$A:$A,0)),IFERROR(INDEX('TRANS'!$B:$B,MATCH(TRIM(SUBSTITUTE($B2943,CHAR(160)," ")),'TRANS'!$D:$D,0)),IFERROR(INDEX('Catalog'!$A:$A,MATCH($B2943,'Catalog'!$B:$B,0)),IFERROR(INDEX('Catalog'!$A:$A,MATCH(TRIM(SUBSTITUTE($B2943,CHAR(160)," ")),'Catalog'!$C:$C,0)),""))))</f>
        <v>4420001</v>
      </c>
      <c r="H2943" s="8" t="str">
        <f aca="false">IFERROR(INDEX('TRANS'!$C:$C,MATCH($B2943,'TRANS'!$A:$A,0)),IFERROR(INDEX('Catalog'!$B:$B,MATCH($G2943,'Catalog'!$A:$A,0)),$B2943))</f>
        <v>371 רפידת מגבת כותנה-זוג</v>
      </c>
      <c r="I2943" s="8" t="str">
        <f aca="false">IF($G2943="","Unmatched","Matched")</f>
        <v>Matched</v>
      </c>
      <c r="J2943" s="8" t="n">
        <f aca="false">IF($G2943&lt;&gt;"",$G2943,$B2943)</f>
        <v>4420001</v>
      </c>
      <c r="K2943" s="8" t="str">
        <f aca="false">IF(COUNTIF($M$1:$M$10,$A2943)&gt;0,"Y","N")</f>
        <v>N</v>
      </c>
    </row>
    <row r="2944" customFormat="false" ht="15" hidden="false" customHeight="true" outlineLevel="0" collapsed="false">
      <c r="A2944" s="8" t="s">
        <v>1059</v>
      </c>
      <c r="B2944" s="8" t="s">
        <v>645</v>
      </c>
      <c r="C2944" s="19" t="n">
        <v>1100</v>
      </c>
      <c r="D2944" s="19" t="n">
        <v>9165.26</v>
      </c>
      <c r="E2944" s="19" t="n">
        <v>500</v>
      </c>
      <c r="F2944" s="19" t="n">
        <v>3809.61</v>
      </c>
      <c r="G2944" s="8" t="n">
        <f aca="false">IFERROR(INDEX('TRANS'!$B:$B,MATCH($B2944,'TRANS'!$A:$A,0)),IFERROR(INDEX('TRANS'!$B:$B,MATCH(TRIM(SUBSTITUTE($B2944,CHAR(160)," ")),'TRANS'!$D:$D,0)),IFERROR(INDEX('Catalog'!$A:$A,MATCH($B2944,'Catalog'!$B:$B,0)),IFERROR(INDEX('Catalog'!$A:$A,MATCH(TRIM(SUBSTITUTE($B2944,CHAR(160)," ")),'Catalog'!$C:$C,0)),""))))</f>
        <v>4420002</v>
      </c>
      <c r="H2944" s="8" t="str">
        <f aca="false">IFERROR(INDEX('TRANS'!$C:$C,MATCH($B2944,'TRANS'!$A:$A,0)),IFERROR(INDEX('Catalog'!$B:$B,MATCH($G2944,'Catalog'!$A:$A,0)),$B2944))</f>
        <v>372 רפידת אנטי ריח -זוג</v>
      </c>
      <c r="I2944" s="8" t="str">
        <f aca="false">IF($G2944="","Unmatched","Matched")</f>
        <v>Matched</v>
      </c>
      <c r="J2944" s="8" t="n">
        <f aca="false">IF($G2944&lt;&gt;"",$G2944,$B2944)</f>
        <v>4420002</v>
      </c>
      <c r="K2944" s="8" t="str">
        <f aca="false">IF(COUNTIF($M$1:$M$10,$A2944)&gt;0,"Y","N")</f>
        <v>N</v>
      </c>
    </row>
    <row r="2945" customFormat="false" ht="15" hidden="false" customHeight="true" outlineLevel="0" collapsed="false">
      <c r="A2945" s="8" t="s">
        <v>1059</v>
      </c>
      <c r="B2945" s="8" t="s">
        <v>646</v>
      </c>
      <c r="C2945" s="19" t="n">
        <v>650</v>
      </c>
      <c r="D2945" s="19" t="n">
        <v>5869.12</v>
      </c>
      <c r="E2945" s="19" t="n">
        <v>500</v>
      </c>
      <c r="F2945" s="19" t="n">
        <v>4163.99</v>
      </c>
      <c r="G2945" s="8" t="n">
        <f aca="false">IFERROR(INDEX('TRANS'!$B:$B,MATCH($B2945,'TRANS'!$A:$A,0)),IFERROR(INDEX('TRANS'!$B:$B,MATCH(TRIM(SUBSTITUTE($B2945,CHAR(160)," ")),'TRANS'!$D:$D,0)),IFERROR(INDEX('Catalog'!$A:$A,MATCH($B2945,'Catalog'!$B:$B,0)),IFERROR(INDEX('Catalog'!$A:$A,MATCH(TRIM(SUBSTITUTE($B2945,CHAR(160)," ")),'Catalog'!$C:$C,0)),""))))</f>
        <v>4420003</v>
      </c>
      <c r="H2945" s="8" t="str">
        <f aca="false">IFERROR(INDEX('TRANS'!$C:$C,MATCH($B2945,'TRANS'!$A:$A,0)),IFERROR(INDEX('Catalog'!$B:$B,MATCH($G2945,'Catalog'!$A:$A,0)),$B2945))</f>
        <v>374 רפידת בולמת זעזועים -זוג</v>
      </c>
      <c r="I2945" s="8" t="str">
        <f aca="false">IF($G2945="","Unmatched","Matched")</f>
        <v>Matched</v>
      </c>
      <c r="J2945" s="8" t="n">
        <f aca="false">IF($G2945&lt;&gt;"",$G2945,$B2945)</f>
        <v>4420003</v>
      </c>
      <c r="K2945" s="8" t="str">
        <f aca="false">IF(COUNTIF($M$1:$M$10,$A2945)&gt;0,"Y","N")</f>
        <v>N</v>
      </c>
    </row>
    <row r="2946" customFormat="false" ht="15" hidden="false" customHeight="true" outlineLevel="0" collapsed="false">
      <c r="A2946" s="8" t="s">
        <v>1059</v>
      </c>
      <c r="B2946" s="8" t="s">
        <v>264</v>
      </c>
      <c r="C2946" s="19" t="n">
        <v>310</v>
      </c>
      <c r="D2946" s="19" t="n">
        <v>5975.18</v>
      </c>
      <c r="E2946" s="19" t="n">
        <v>140</v>
      </c>
      <c r="F2946" s="19" t="n">
        <v>2441.63</v>
      </c>
      <c r="G2946" s="8" t="str">
        <f aca="false">IFERROR(INDEX('TRANS'!$B:$B,MATCH($B2946,'TRANS'!$A:$A,0)),IFERROR(INDEX('TRANS'!$B:$B,MATCH(TRIM(SUBSTITUTE($B2946,CHAR(160)," ")),'TRANS'!$D:$D,0)),IFERROR(INDEX('Catalog'!$A:$A,MATCH($B2946,'Catalog'!$B:$B,0)),IFERROR(INDEX('Catalog'!$A:$A,MATCH(TRIM(SUBSTITUTE($B2946,CHAR(160)," ")),'Catalog'!$C:$C,0)),""))))</f>
        <v/>
      </c>
      <c r="H2946" s="8" t="str">
        <f aca="false">IFERROR(INDEX('TRANS'!$C:$C,MATCH($B2946,'TRANS'!$A:$A,0)),IFERROR(INDEX('Catalog'!$B:$B,MATCH($G2946,'Catalog'!$A:$A,0)),$B2946))</f>
        <v>376-35-37</v>
      </c>
      <c r="I2946" s="8" t="str">
        <f aca="false">IF($G2946="","Unmatched","Matched")</f>
        <v>Unmatched</v>
      </c>
      <c r="J2946" s="8" t="str">
        <f aca="false">IF($G2946&lt;&gt;"",$G2946,$B2946)</f>
        <v>376-35-37</v>
      </c>
      <c r="K2946" s="8" t="str">
        <f aca="false">IF(COUNTIF($M$1:$M$10,$A2946)&gt;0,"Y","N")</f>
        <v>N</v>
      </c>
    </row>
    <row r="2947" customFormat="false" ht="15" hidden="false" customHeight="true" outlineLevel="0" collapsed="false">
      <c r="A2947" s="8" t="s">
        <v>1059</v>
      </c>
      <c r="B2947" s="8" t="s">
        <v>121</v>
      </c>
      <c r="C2947" s="19" t="n">
        <v>470</v>
      </c>
      <c r="D2947" s="19" t="n">
        <v>9031.95</v>
      </c>
      <c r="E2947" s="19" t="n">
        <v>320</v>
      </c>
      <c r="F2947" s="19" t="n">
        <v>5572.95</v>
      </c>
      <c r="G2947" s="8" t="str">
        <f aca="false">IFERROR(INDEX('TRANS'!$B:$B,MATCH($B2947,'TRANS'!$A:$A,0)),IFERROR(INDEX('TRANS'!$B:$B,MATCH(TRIM(SUBSTITUTE($B2947,CHAR(160)," ")),'TRANS'!$D:$D,0)),IFERROR(INDEX('Catalog'!$A:$A,MATCH($B2947,'Catalog'!$B:$B,0)),IFERROR(INDEX('Catalog'!$A:$A,MATCH(TRIM(SUBSTITUTE($B2947,CHAR(160)," ")),'Catalog'!$C:$C,0)),""))))</f>
        <v/>
      </c>
      <c r="H2947" s="8" t="str">
        <f aca="false">IFERROR(INDEX('TRANS'!$C:$C,MATCH($B2947,'TRANS'!$A:$A,0)),IFERROR(INDEX('Catalog'!$B:$B,MATCH($G2947,'Catalog'!$A:$A,0)),$B2947))</f>
        <v>376-38-40</v>
      </c>
      <c r="I2947" s="8" t="str">
        <f aca="false">IF($G2947="","Unmatched","Matched")</f>
        <v>Unmatched</v>
      </c>
      <c r="J2947" s="8" t="str">
        <f aca="false">IF($G2947&lt;&gt;"",$G2947,$B2947)</f>
        <v>376-38-40</v>
      </c>
      <c r="K2947" s="8" t="str">
        <f aca="false">IF(COUNTIF($M$1:$M$10,$A2947)&gt;0,"Y","N")</f>
        <v>N</v>
      </c>
    </row>
    <row r="2948" customFormat="false" ht="15" hidden="false" customHeight="true" outlineLevel="0" collapsed="false">
      <c r="A2948" s="8" t="s">
        <v>1059</v>
      </c>
      <c r="B2948" s="8" t="s">
        <v>78</v>
      </c>
      <c r="C2948" s="19" t="n">
        <v>410</v>
      </c>
      <c r="D2948" s="19" t="n">
        <v>7871.82</v>
      </c>
      <c r="E2948" s="19" t="n">
        <v>310</v>
      </c>
      <c r="F2948" s="19" t="n">
        <v>5390.45</v>
      </c>
      <c r="G2948" s="8" t="str">
        <f aca="false">IFERROR(INDEX('TRANS'!$B:$B,MATCH($B2948,'TRANS'!$A:$A,0)),IFERROR(INDEX('TRANS'!$B:$B,MATCH(TRIM(SUBSTITUTE($B2948,CHAR(160)," ")),'TRANS'!$D:$D,0)),IFERROR(INDEX('Catalog'!$A:$A,MATCH($B2948,'Catalog'!$B:$B,0)),IFERROR(INDEX('Catalog'!$A:$A,MATCH(TRIM(SUBSTITUTE($B2948,CHAR(160)," ")),'Catalog'!$C:$C,0)),""))))</f>
        <v/>
      </c>
      <c r="H2948" s="8" t="str">
        <f aca="false">IFERROR(INDEX('TRANS'!$C:$C,MATCH($B2948,'TRANS'!$A:$A,0)),IFERROR(INDEX('Catalog'!$B:$B,MATCH($G2948,'Catalog'!$A:$A,0)),$B2948))</f>
        <v>376-41-43</v>
      </c>
      <c r="I2948" s="8" t="str">
        <f aca="false">IF($G2948="","Unmatched","Matched")</f>
        <v>Unmatched</v>
      </c>
      <c r="J2948" s="8" t="str">
        <f aca="false">IF($G2948&lt;&gt;"",$G2948,$B2948)</f>
        <v>376-41-43</v>
      </c>
      <c r="K2948" s="8" t="str">
        <f aca="false">IF(COUNTIF($M$1:$M$10,$A2948)&gt;0,"Y","N")</f>
        <v>N</v>
      </c>
    </row>
    <row r="2949" customFormat="false" ht="15" hidden="false" customHeight="true" outlineLevel="0" collapsed="false">
      <c r="A2949" s="8" t="s">
        <v>1059</v>
      </c>
      <c r="B2949" s="8" t="s">
        <v>81</v>
      </c>
      <c r="C2949" s="19" t="n">
        <v>400</v>
      </c>
      <c r="D2949" s="19" t="n">
        <v>7739.06</v>
      </c>
      <c r="E2949" s="19" t="n">
        <v>180</v>
      </c>
      <c r="F2949" s="19" t="n">
        <v>3083.47</v>
      </c>
      <c r="G2949" s="8" t="str">
        <f aca="false">IFERROR(INDEX('TRANS'!$B:$B,MATCH($B2949,'TRANS'!$A:$A,0)),IFERROR(INDEX('TRANS'!$B:$B,MATCH(TRIM(SUBSTITUTE($B2949,CHAR(160)," ")),'TRANS'!$D:$D,0)),IFERROR(INDEX('Catalog'!$A:$A,MATCH($B2949,'Catalog'!$B:$B,0)),IFERROR(INDEX('Catalog'!$A:$A,MATCH(TRIM(SUBSTITUTE($B2949,CHAR(160)," ")),'Catalog'!$C:$C,0)),""))))</f>
        <v/>
      </c>
      <c r="H2949" s="8" t="str">
        <f aca="false">IFERROR(INDEX('TRANS'!$C:$C,MATCH($B2949,'TRANS'!$A:$A,0)),IFERROR(INDEX('Catalog'!$B:$B,MATCH($G2949,'Catalog'!$A:$A,0)),$B2949))</f>
        <v>376-44-45</v>
      </c>
      <c r="I2949" s="8" t="str">
        <f aca="false">IF($G2949="","Unmatched","Matched")</f>
        <v>Unmatched</v>
      </c>
      <c r="J2949" s="8" t="str">
        <f aca="false">IF($G2949&lt;&gt;"",$G2949,$B2949)</f>
        <v>376-44-45</v>
      </c>
      <c r="K2949" s="8" t="str">
        <f aca="false">IF(COUNTIF($M$1:$M$10,$A2949)&gt;0,"Y","N")</f>
        <v>N</v>
      </c>
    </row>
    <row r="2950" customFormat="false" ht="15" hidden="false" customHeight="true" outlineLevel="0" collapsed="false">
      <c r="A2950" s="8" t="s">
        <v>1059</v>
      </c>
      <c r="B2950" s="8" t="s">
        <v>300</v>
      </c>
      <c r="C2950" s="19" t="n">
        <v>0</v>
      </c>
      <c r="D2950" s="19" t="n">
        <v>0</v>
      </c>
      <c r="E2950" s="19" t="n">
        <v>90</v>
      </c>
      <c r="F2950" s="19" t="n">
        <v>1583.55</v>
      </c>
      <c r="G2950" s="8" t="str">
        <f aca="false">IFERROR(INDEX('TRANS'!$B:$B,MATCH($B2950,'TRANS'!$A:$A,0)),IFERROR(INDEX('TRANS'!$B:$B,MATCH(TRIM(SUBSTITUTE($B2950,CHAR(160)," ")),'TRANS'!$D:$D,0)),IFERROR(INDEX('Catalog'!$A:$A,MATCH($B2950,'Catalog'!$B:$B,0)),IFERROR(INDEX('Catalog'!$A:$A,MATCH(TRIM(SUBSTITUTE($B2950,CHAR(160)," ")),'Catalog'!$C:$C,0)),""))))</f>
        <v/>
      </c>
      <c r="H2950" s="8" t="str">
        <f aca="false">IFERROR(INDEX('TRANS'!$C:$C,MATCH($B2950,'TRANS'!$A:$A,0)),IFERROR(INDEX('Catalog'!$B:$B,MATCH($G2950,'Catalog'!$A:$A,0)),$B2950))</f>
        <v>376-44-46</v>
      </c>
      <c r="I2950" s="8" t="str">
        <f aca="false">IF($G2950="","Unmatched","Matched")</f>
        <v>Unmatched</v>
      </c>
      <c r="J2950" s="8" t="str">
        <f aca="false">IF($G2950&lt;&gt;"",$G2950,$B2950)</f>
        <v>376-44-46</v>
      </c>
      <c r="K2950" s="8" t="str">
        <f aca="false">IF(COUNTIF($M$1:$M$10,$A2950)&gt;0,"Y","N")</f>
        <v>N</v>
      </c>
    </row>
    <row r="2951" customFormat="false" ht="15" hidden="false" customHeight="true" outlineLevel="0" collapsed="false">
      <c r="A2951" s="8" t="s">
        <v>1059</v>
      </c>
      <c r="B2951" s="8" t="s">
        <v>647</v>
      </c>
      <c r="C2951" s="19" t="n">
        <v>210</v>
      </c>
      <c r="D2951" s="19" t="n">
        <v>4085.1</v>
      </c>
      <c r="E2951" s="19" t="n">
        <v>60</v>
      </c>
      <c r="F2951" s="19" t="n">
        <v>1054.69</v>
      </c>
      <c r="G2951" s="8" t="n">
        <f aca="false">IFERROR(INDEX('TRANS'!$B:$B,MATCH($B2951,'TRANS'!$A:$A,0)),IFERROR(INDEX('TRANS'!$B:$B,MATCH(TRIM(SUBSTITUTE($B2951,CHAR(160)," ")),'TRANS'!$D:$D,0)),IFERROR(INDEX('Catalog'!$A:$A,MATCH($B2951,'Catalog'!$B:$B,0)),IFERROR(INDEX('Catalog'!$A:$A,MATCH(TRIM(SUBSTITUTE($B2951,CHAR(160)," ")),'Catalog'!$C:$C,0)),""))))</f>
        <v>4420032</v>
      </c>
      <c r="H2951" s="8" t="str">
        <f aca="false">IFERROR(INDEX('TRANS'!$C:$C,MATCH($B2951,'TRANS'!$A:$A,0)),IFERROR(INDEX('Catalog'!$B:$B,MATCH($G2951,'Catalog'!$A:$A,0)),$B2951))</f>
        <v>46-47 רפידת ספורט 376 מידה</v>
      </c>
      <c r="I2951" s="8" t="str">
        <f aca="false">IF($G2951="","Unmatched","Matched")</f>
        <v>Matched</v>
      </c>
      <c r="J2951" s="8" t="n">
        <f aca="false">IF($G2951&lt;&gt;"",$G2951,$B2951)</f>
        <v>4420032</v>
      </c>
      <c r="K2951" s="8" t="str">
        <f aca="false">IF(COUNTIF($M$1:$M$10,$A2951)&gt;0,"Y","N")</f>
        <v>N</v>
      </c>
    </row>
    <row r="2952" customFormat="false" ht="15" hidden="false" customHeight="true" outlineLevel="0" collapsed="false">
      <c r="A2952" s="8" t="s">
        <v>1059</v>
      </c>
      <c r="B2952" s="8" t="s">
        <v>649</v>
      </c>
      <c r="C2952" s="19" t="n">
        <v>470</v>
      </c>
      <c r="D2952" s="19" t="n">
        <v>10616.87</v>
      </c>
      <c r="E2952" s="19" t="n">
        <v>300</v>
      </c>
      <c r="F2952" s="19" t="n">
        <v>6040.43</v>
      </c>
      <c r="G2952" s="8" t="n">
        <f aca="false">IFERROR(INDEX('TRANS'!$B:$B,MATCH($B2952,'TRANS'!$A:$A,0)),IFERROR(INDEX('TRANS'!$B:$B,MATCH(TRIM(SUBSTITUTE($B2952,CHAR(160)," ")),'TRANS'!$D:$D,0)),IFERROR(INDEX('Catalog'!$A:$A,MATCH($B2952,'Catalog'!$B:$B,0)),IFERROR(INDEX('Catalog'!$A:$A,MATCH(TRIM(SUBSTITUTE($B2952,CHAR(160)," ")),'Catalog'!$C:$C,0)),""))))</f>
        <v>4413452</v>
      </c>
      <c r="H2952" s="8" t="str">
        <f aca="false">IFERROR(INDEX('TRANS'!$C:$C,MATCH($B2952,'TRANS'!$A:$A,0)),IFERROR(INDEX('Catalog'!$B:$B,MATCH($G2952,'Catalog'!$A:$A,0)),$B2952))</f>
        <v>386  מיישר בוניון-האלוקס ולגוס</v>
      </c>
      <c r="I2952" s="8" t="str">
        <f aca="false">IF($G2952="","Unmatched","Matched")</f>
        <v>Matched</v>
      </c>
      <c r="J2952" s="8" t="n">
        <f aca="false">IF($G2952&lt;&gt;"",$G2952,$B2952)</f>
        <v>4413452</v>
      </c>
      <c r="K2952" s="8" t="str">
        <f aca="false">IF(COUNTIF($M$1:$M$10,$A2952)&gt;0,"Y","N")</f>
        <v>N</v>
      </c>
    </row>
    <row r="2953" customFormat="false" ht="15" hidden="false" customHeight="true" outlineLevel="0" collapsed="false">
      <c r="A2953" s="8" t="s">
        <v>1059</v>
      </c>
      <c r="B2953" s="8" t="s">
        <v>372</v>
      </c>
      <c r="C2953" s="19" t="n">
        <v>1</v>
      </c>
      <c r="D2953" s="19" t="n">
        <v>0.04</v>
      </c>
      <c r="E2953" s="19" t="n">
        <v>0</v>
      </c>
      <c r="F2953" s="19" t="n">
        <v>0</v>
      </c>
      <c r="G2953" s="8" t="str">
        <f aca="false">IFERROR(INDEX('TRANS'!$B:$B,MATCH($B2953,'TRANS'!$A:$A,0)),IFERROR(INDEX('TRANS'!$B:$B,MATCH(TRIM(SUBSTITUTE($B2953,CHAR(160)," ")),'TRANS'!$D:$D,0)),IFERROR(INDEX('Catalog'!$A:$A,MATCH($B2953,'Catalog'!$B:$B,0)),IFERROR(INDEX('Catalog'!$A:$A,MATCH(TRIM(SUBSTITUTE($B2953,CHAR(160)," ")),'Catalog'!$C:$C,0)),""))))</f>
        <v/>
      </c>
      <c r="H2953" s="8" t="str">
        <f aca="false">IFERROR(INDEX('TRANS'!$C:$C,MATCH($B2953,'TRANS'!$A:$A,0)),IFERROR(INDEX('Catalog'!$B:$B,MATCH($G2953,'Catalog'!$A:$A,0)),$B2953))</f>
        <v>391W-39-42</v>
      </c>
      <c r="I2953" s="8" t="str">
        <f aca="false">IF($G2953="","Unmatched","Matched")</f>
        <v>Unmatched</v>
      </c>
      <c r="J2953" s="8" t="str">
        <f aca="false">IF($G2953&lt;&gt;"",$G2953,$B2953)</f>
        <v>391W-39-42</v>
      </c>
      <c r="K2953" s="8" t="str">
        <f aca="false">IF(COUNTIF($M$1:$M$10,$A2953)&gt;0,"Y","N")</f>
        <v>N</v>
      </c>
    </row>
    <row r="2954" customFormat="false" ht="15" hidden="false" customHeight="true" outlineLevel="0" collapsed="false">
      <c r="A2954" s="8" t="s">
        <v>1059</v>
      </c>
      <c r="B2954" s="8" t="s">
        <v>664</v>
      </c>
      <c r="C2954" s="19" t="n">
        <v>1</v>
      </c>
      <c r="D2954" s="19" t="n">
        <v>0.04</v>
      </c>
      <c r="E2954" s="19" t="n">
        <v>0</v>
      </c>
      <c r="F2954" s="19" t="n">
        <v>0</v>
      </c>
      <c r="G2954" s="8" t="n">
        <f aca="false">IFERROR(INDEX('TRANS'!$B:$B,MATCH($B2954,'TRANS'!$A:$A,0)),IFERROR(INDEX('TRANS'!$B:$B,MATCH(TRIM(SUBSTITUTE($B2954,CHAR(160)," ")),'TRANS'!$D:$D,0)),IFERROR(INDEX('Catalog'!$A:$A,MATCH($B2954,'Catalog'!$B:$B,0)),IFERROR(INDEX('Catalog'!$A:$A,MATCH(TRIM(SUBSTITUTE($B2954,CHAR(160)," ")),'Catalog'!$C:$C,0)),""))))</f>
        <v>4403044</v>
      </c>
      <c r="H2954" s="8" t="str">
        <f aca="false">IFERROR(INDEX('TRANS'!$C:$C,MATCH($B2954,'TRANS'!$A:$A,0)),IFERROR(INDEX('Catalog'!$B:$B,MATCH($G2954,'Catalog'!$A:$A,0)),$B2954))</f>
        <v>395B גרבי קיץ אנטי בקטריא39-42</v>
      </c>
      <c r="I2954" s="8" t="str">
        <f aca="false">IF($G2954="","Unmatched","Matched")</f>
        <v>Matched</v>
      </c>
      <c r="J2954" s="8" t="n">
        <f aca="false">IF($G2954&lt;&gt;"",$G2954,$B2954)</f>
        <v>4403044</v>
      </c>
      <c r="K2954" s="8" t="str">
        <f aca="false">IF(COUNTIF($M$1:$M$10,$A2954)&gt;0,"Y","N")</f>
        <v>N</v>
      </c>
    </row>
    <row r="2955" customFormat="false" ht="15" hidden="false" customHeight="true" outlineLevel="0" collapsed="false">
      <c r="A2955" s="8" t="s">
        <v>1059</v>
      </c>
      <c r="B2955" s="8" t="s">
        <v>407</v>
      </c>
      <c r="C2955" s="19" t="n">
        <v>440</v>
      </c>
      <c r="D2955" s="19" t="n">
        <v>15215.67</v>
      </c>
      <c r="E2955" s="19" t="n">
        <v>0</v>
      </c>
      <c r="F2955" s="19" t="n">
        <v>0</v>
      </c>
      <c r="G2955" s="8" t="str">
        <f aca="false">IFERROR(INDEX('TRANS'!$B:$B,MATCH($B2955,'TRANS'!$A:$A,0)),IFERROR(INDEX('TRANS'!$B:$B,MATCH(TRIM(SUBSTITUTE($B2955,CHAR(160)," ")),'TRANS'!$D:$D,0)),IFERROR(INDEX('Catalog'!$A:$A,MATCH($B2955,'Catalog'!$B:$B,0)),IFERROR(INDEX('Catalog'!$A:$A,MATCH(TRIM(SUBSTITUTE($B2955,CHAR(160)," ")),'Catalog'!$C:$C,0)),""))))</f>
        <v/>
      </c>
      <c r="H2955" s="8" t="str">
        <f aca="false">IFERROR(INDEX('TRANS'!$C:$C,MATCH($B2955,'TRANS'!$A:$A,0)),IFERROR(INDEX('Catalog'!$B:$B,MATCH($G2955,'Catalog'!$A:$A,0)),$B2955))</f>
        <v>397-35-38</v>
      </c>
      <c r="I2955" s="8" t="str">
        <f aca="false">IF($G2955="","Unmatched","Matched")</f>
        <v>Unmatched</v>
      </c>
      <c r="J2955" s="8" t="str">
        <f aca="false">IF($G2955&lt;&gt;"",$G2955,$B2955)</f>
        <v>397-35-38</v>
      </c>
      <c r="K2955" s="8" t="str">
        <f aca="false">IF(COUNTIF($M$1:$M$10,$A2955)&gt;0,"Y","N")</f>
        <v>N</v>
      </c>
    </row>
    <row r="2956" customFormat="false" ht="15" hidden="false" customHeight="true" outlineLevel="0" collapsed="false">
      <c r="A2956" s="8" t="s">
        <v>1059</v>
      </c>
      <c r="B2956" s="8" t="s">
        <v>666</v>
      </c>
      <c r="C2956" s="19" t="n">
        <v>510</v>
      </c>
      <c r="D2956" s="19" t="n">
        <v>17600.36</v>
      </c>
      <c r="E2956" s="19" t="n">
        <v>0</v>
      </c>
      <c r="F2956" s="19" t="n">
        <v>0</v>
      </c>
      <c r="G2956" s="8" t="n">
        <f aca="false">IFERROR(INDEX('TRANS'!$B:$B,MATCH($B2956,'TRANS'!$A:$A,0)),IFERROR(INDEX('TRANS'!$B:$B,MATCH(TRIM(SUBSTITUTE($B2956,CHAR(160)," ")),'TRANS'!$D:$D,0)),IFERROR(INDEX('Catalog'!$A:$A,MATCH($B2956,'Catalog'!$B:$B,0)),IFERROR(INDEX('Catalog'!$A:$A,MATCH(TRIM(SUBSTITUTE($B2956,CHAR(160)," ")),'Catalog'!$C:$C,0)),""))))</f>
        <v>4403029</v>
      </c>
      <c r="H2956" s="8" t="str">
        <f aca="false">IFERROR(INDEX('TRANS'!$C:$C,MATCH($B2956,'TRANS'!$A:$A,0)),IFERROR(INDEX('Catalog'!$B:$B,MATCH($G2956,'Catalog'!$A:$A,0)),$B2956))</f>
        <v>397 39-42 גרבי טיסה מידה</v>
      </c>
      <c r="I2956" s="8" t="str">
        <f aca="false">IF($G2956="","Unmatched","Matched")</f>
        <v>Matched</v>
      </c>
      <c r="J2956" s="8" t="n">
        <f aca="false">IF($G2956&lt;&gt;"",$G2956,$B2956)</f>
        <v>4403029</v>
      </c>
      <c r="K2956" s="8" t="str">
        <f aca="false">IF(COUNTIF($M$1:$M$10,$A2956)&gt;0,"Y","N")</f>
        <v>N</v>
      </c>
    </row>
    <row r="2957" customFormat="false" ht="15" hidden="false" customHeight="true" outlineLevel="0" collapsed="false">
      <c r="A2957" s="8" t="s">
        <v>1059</v>
      </c>
      <c r="B2957" s="8" t="s">
        <v>408</v>
      </c>
      <c r="C2957" s="19" t="n">
        <v>430</v>
      </c>
      <c r="D2957" s="19" t="n">
        <v>14809.75</v>
      </c>
      <c r="E2957" s="19" t="n">
        <v>0</v>
      </c>
      <c r="F2957" s="19" t="n">
        <v>0</v>
      </c>
      <c r="G2957" s="8" t="str">
        <f aca="false">IFERROR(INDEX('TRANS'!$B:$B,MATCH($B2957,'TRANS'!$A:$A,0)),IFERROR(INDEX('TRANS'!$B:$B,MATCH(TRIM(SUBSTITUTE($B2957,CHAR(160)," ")),'TRANS'!$D:$D,0)),IFERROR(INDEX('Catalog'!$A:$A,MATCH($B2957,'Catalog'!$B:$B,0)),IFERROR(INDEX('Catalog'!$A:$A,MATCH(TRIM(SUBSTITUTE($B2957,CHAR(160)," ")),'Catalog'!$C:$C,0)),""))))</f>
        <v/>
      </c>
      <c r="H2957" s="8" t="str">
        <f aca="false">IFERROR(INDEX('TRANS'!$C:$C,MATCH($B2957,'TRANS'!$A:$A,0)),IFERROR(INDEX('Catalog'!$B:$B,MATCH($G2957,'Catalog'!$A:$A,0)),$B2957))</f>
        <v>397-43-46</v>
      </c>
      <c r="I2957" s="8" t="str">
        <f aca="false">IF($G2957="","Unmatched","Matched")</f>
        <v>Unmatched</v>
      </c>
      <c r="J2957" s="8" t="str">
        <f aca="false">IF($G2957&lt;&gt;"",$G2957,$B2957)</f>
        <v>397-43-46</v>
      </c>
      <c r="K2957" s="8" t="str">
        <f aca="false">IF(COUNTIF($M$1:$M$10,$A2957)&gt;0,"Y","N")</f>
        <v>N</v>
      </c>
    </row>
    <row r="2958" customFormat="false" ht="15" hidden="false" customHeight="true" outlineLevel="0" collapsed="false">
      <c r="A2958" s="8" t="s">
        <v>1059</v>
      </c>
      <c r="B2958" s="8" t="s">
        <v>667</v>
      </c>
      <c r="C2958" s="19" t="n">
        <v>100</v>
      </c>
      <c r="D2958" s="19" t="n">
        <v>3325.21</v>
      </c>
      <c r="E2958" s="19" t="n">
        <v>450</v>
      </c>
      <c r="F2958" s="19" t="n">
        <v>14361.95</v>
      </c>
      <c r="G2958" s="8" t="n">
        <f aca="false">IFERROR(INDEX('TRANS'!$B:$B,MATCH($B2958,'TRANS'!$A:$A,0)),IFERROR(INDEX('TRANS'!$B:$B,MATCH(TRIM(SUBSTITUTE($B2958,CHAR(160)," ")),'TRANS'!$D:$D,0)),IFERROR(INDEX('Catalog'!$A:$A,MATCH($B2958,'Catalog'!$B:$B,0)),IFERROR(INDEX('Catalog'!$A:$A,MATCH(TRIM(SUBSTITUTE($B2958,CHAR(160)," ")),'Catalog'!$C:$C,0)),""))))</f>
        <v>4403041</v>
      </c>
      <c r="H2958" s="8" t="str">
        <f aca="false">IFERROR(INDEX('TRANS'!$C:$C,MATCH($B2958,'TRANS'!$A:$A,0)),IFERROR(INDEX('Catalog'!$B:$B,MATCH($G2958,'Catalog'!$A:$A,0)),$B2958))</f>
        <v>397A-גרבי טיסה אנטי בקטרי35-38</v>
      </c>
      <c r="I2958" s="8" t="str">
        <f aca="false">IF($G2958="","Unmatched","Matched")</f>
        <v>Matched</v>
      </c>
      <c r="J2958" s="8" t="n">
        <f aca="false">IF($G2958&lt;&gt;"",$G2958,$B2958)</f>
        <v>4403041</v>
      </c>
      <c r="K2958" s="8" t="str">
        <f aca="false">IF(COUNTIF($M$1:$M$10,$A2958)&gt;0,"Y","N")</f>
        <v>N</v>
      </c>
    </row>
    <row r="2959" customFormat="false" ht="15" hidden="false" customHeight="true" outlineLevel="0" collapsed="false">
      <c r="A2959" s="8" t="s">
        <v>1059</v>
      </c>
      <c r="B2959" s="8" t="s">
        <v>668</v>
      </c>
      <c r="C2959" s="19" t="n">
        <v>151</v>
      </c>
      <c r="D2959" s="19" t="n">
        <v>4987.86</v>
      </c>
      <c r="E2959" s="19" t="n">
        <v>520</v>
      </c>
      <c r="F2959" s="19" t="n">
        <v>15042.79</v>
      </c>
      <c r="G2959" s="8" t="n">
        <f aca="false">IFERROR(INDEX('TRANS'!$B:$B,MATCH($B2959,'TRANS'!$A:$A,0)),IFERROR(INDEX('TRANS'!$B:$B,MATCH(TRIM(SUBSTITUTE($B2959,CHAR(160)," ")),'TRANS'!$D:$D,0)),IFERROR(INDEX('Catalog'!$A:$A,MATCH($B2959,'Catalog'!$B:$B,0)),IFERROR(INDEX('Catalog'!$A:$A,MATCH(TRIM(SUBSTITUTE($B2959,CHAR(160)," ")),'Catalog'!$C:$C,0)),""))))</f>
        <v>4403042</v>
      </c>
      <c r="H2959" s="8" t="str">
        <f aca="false">IFERROR(INDEX('TRANS'!$C:$C,MATCH($B2959,'TRANS'!$A:$A,0)),IFERROR(INDEX('Catalog'!$B:$B,MATCH($G2959,'Catalog'!$A:$A,0)),$B2959))</f>
        <v>397A-גרבי טיסה אנטי בקטרי39-42</v>
      </c>
      <c r="I2959" s="8" t="str">
        <f aca="false">IF($G2959="","Unmatched","Matched")</f>
        <v>Matched</v>
      </c>
      <c r="J2959" s="8" t="n">
        <f aca="false">IF($G2959&lt;&gt;"",$G2959,$B2959)</f>
        <v>4403042</v>
      </c>
      <c r="K2959" s="8" t="str">
        <f aca="false">IF(COUNTIF($M$1:$M$10,$A2959)&gt;0,"Y","N")</f>
        <v>N</v>
      </c>
    </row>
    <row r="2960" customFormat="false" ht="15" hidden="false" customHeight="true" outlineLevel="0" collapsed="false">
      <c r="A2960" s="8" t="s">
        <v>1059</v>
      </c>
      <c r="B2960" s="8" t="s">
        <v>669</v>
      </c>
      <c r="C2960" s="19" t="n">
        <v>100</v>
      </c>
      <c r="D2960" s="19" t="n">
        <v>3325.21</v>
      </c>
      <c r="E2960" s="19" t="n">
        <v>600</v>
      </c>
      <c r="F2960" s="19" t="n">
        <v>17534.24</v>
      </c>
      <c r="G2960" s="8" t="n">
        <f aca="false">IFERROR(INDEX('TRANS'!$B:$B,MATCH($B2960,'TRANS'!$A:$A,0)),IFERROR(INDEX('TRANS'!$B:$B,MATCH(TRIM(SUBSTITUTE($B2960,CHAR(160)," ")),'TRANS'!$D:$D,0)),IFERROR(INDEX('Catalog'!$A:$A,MATCH($B2960,'Catalog'!$B:$B,0)),IFERROR(INDEX('Catalog'!$A:$A,MATCH(TRIM(SUBSTITUTE($B2960,CHAR(160)," ")),'Catalog'!$C:$C,0)),""))))</f>
        <v>4403043</v>
      </c>
      <c r="H2960" s="8" t="str">
        <f aca="false">IFERROR(INDEX('TRANS'!$C:$C,MATCH($B2960,'TRANS'!$A:$A,0)),IFERROR(INDEX('Catalog'!$B:$B,MATCH($G2960,'Catalog'!$A:$A,0)),$B2960))</f>
        <v>397A-גרבי טיסה אנטי בקטרי43-46</v>
      </c>
      <c r="I2960" s="8" t="str">
        <f aca="false">IF($G2960="","Unmatched","Matched")</f>
        <v>Matched</v>
      </c>
      <c r="J2960" s="8" t="n">
        <f aca="false">IF($G2960&lt;&gt;"",$G2960,$B2960)</f>
        <v>4403043</v>
      </c>
      <c r="K2960" s="8" t="str">
        <f aca="false">IF(COUNTIF($M$1:$M$10,$A2960)&gt;0,"Y","N")</f>
        <v>N</v>
      </c>
    </row>
    <row r="2961" customFormat="false" ht="15" hidden="false" customHeight="true" outlineLevel="0" collapsed="false">
      <c r="A2961" s="8" t="s">
        <v>1059</v>
      </c>
      <c r="B2961" s="8" t="s">
        <v>671</v>
      </c>
      <c r="C2961" s="19" t="n">
        <v>92</v>
      </c>
      <c r="D2961" s="19" t="n">
        <v>6336.99</v>
      </c>
      <c r="E2961" s="19" t="n">
        <v>50</v>
      </c>
      <c r="F2961" s="19" t="n">
        <v>3045.11</v>
      </c>
      <c r="G2961" s="8" t="n">
        <f aca="false">IFERROR(INDEX('TRANS'!$B:$B,MATCH($B2961,'TRANS'!$A:$A,0)),IFERROR(INDEX('TRANS'!$B:$B,MATCH(TRIM(SUBSTITUTE($B2961,CHAR(160)," ")),'TRANS'!$D:$D,0)),IFERROR(INDEX('Catalog'!$A:$A,MATCH($B2961,'Catalog'!$B:$B,0)),IFERROR(INDEX('Catalog'!$A:$A,MATCH(TRIM(SUBSTITUTE($B2961,CHAR(160)," ")),'Catalog'!$C:$C,0)),""))))</f>
        <v>4420017</v>
      </c>
      <c r="H2961" s="8" t="str">
        <f aca="false">IFERROR(INDEX('TRANS'!$C:$C,MATCH($B2961,'TRANS'!$A:$A,0)),IFERROR(INDEX('Catalog'!$B:$B,MATCH($G2961,'Catalog'!$A:$A,0)),$B2961))</f>
        <v>4022 רצועת """"פיקה""""+כרית</v>
      </c>
      <c r="I2961" s="8" t="str">
        <f aca="false">IF($G2961="","Unmatched","Matched")</f>
        <v>Matched</v>
      </c>
      <c r="J2961" s="8" t="n">
        <f aca="false">IF($G2961&lt;&gt;"",$G2961,$B2961)</f>
        <v>4420017</v>
      </c>
      <c r="K2961" s="8" t="str">
        <f aca="false">IF(COUNTIF($M$1:$M$10,$A2961)&gt;0,"Y","N")</f>
        <v>N</v>
      </c>
    </row>
    <row r="2962" customFormat="false" ht="15" hidden="false" customHeight="true" outlineLevel="0" collapsed="false">
      <c r="A2962" s="8" t="s">
        <v>1059</v>
      </c>
      <c r="B2962" s="8" t="s">
        <v>798</v>
      </c>
      <c r="C2962" s="19" t="n">
        <v>210</v>
      </c>
      <c r="D2962" s="19" t="n">
        <v>2891.34</v>
      </c>
      <c r="E2962" s="19" t="n">
        <v>120</v>
      </c>
      <c r="F2962" s="19" t="n">
        <v>1479.06</v>
      </c>
      <c r="G2962" s="8" t="n">
        <f aca="false">IFERROR(INDEX('TRANS'!$B:$B,MATCH($B2962,'TRANS'!$A:$A,0)),IFERROR(INDEX('TRANS'!$B:$B,MATCH(TRIM(SUBSTITUTE($B2962,CHAR(160)," ")),'TRANS'!$D:$D,0)),IFERROR(INDEX('Catalog'!$A:$A,MATCH($B2962,'Catalog'!$B:$B,0)),IFERROR(INDEX('Catalog'!$A:$A,MATCH(TRIM(SUBSTITUTE($B2962,CHAR(160)," ")),'Catalog'!$C:$C,0)),""))))</f>
        <v>4413092</v>
      </c>
      <c r="H2962" s="8" t="str">
        <f aca="false">IFERROR(INDEX('TRANS'!$C:$C,MATCH($B2962,'TRANS'!$A:$A,0)),IFERROR(INDEX('Catalog'!$B:$B,MATCH($G2962,'Catalog'!$A:$A,0)),$B2962))</f>
        <v>45 L מגן ברך לבן</v>
      </c>
      <c r="I2962" s="8" t="str">
        <f aca="false">IF($G2962="","Unmatched","Matched")</f>
        <v>Matched</v>
      </c>
      <c r="J2962" s="8" t="n">
        <f aca="false">IF($G2962&lt;&gt;"",$G2962,$B2962)</f>
        <v>4413092</v>
      </c>
      <c r="K2962" s="8" t="str">
        <f aca="false">IF(COUNTIF($M$1:$M$10,$A2962)&gt;0,"Y","N")</f>
        <v>N</v>
      </c>
    </row>
    <row r="2963" customFormat="false" ht="15" hidden="false" customHeight="true" outlineLevel="0" collapsed="false">
      <c r="A2963" s="8" t="s">
        <v>1059</v>
      </c>
      <c r="B2963" s="8" t="s">
        <v>799</v>
      </c>
      <c r="C2963" s="19" t="n">
        <v>230</v>
      </c>
      <c r="D2963" s="19" t="n">
        <v>3190.16</v>
      </c>
      <c r="E2963" s="19" t="n">
        <v>170</v>
      </c>
      <c r="F2963" s="19" t="n">
        <v>2112.98</v>
      </c>
      <c r="G2963" s="8" t="n">
        <f aca="false">IFERROR(INDEX('TRANS'!$B:$B,MATCH($B2963,'TRANS'!$A:$A,0)),IFERROR(INDEX('TRANS'!$B:$B,MATCH(TRIM(SUBSTITUTE($B2963,CHAR(160)," ")),'TRANS'!$D:$D,0)),IFERROR(INDEX('Catalog'!$A:$A,MATCH($B2963,'Catalog'!$B:$B,0)),IFERROR(INDEX('Catalog'!$A:$A,MATCH(TRIM(SUBSTITUTE($B2963,CHAR(160)," ")),'Catalog'!$C:$C,0)),""))))</f>
        <v>4413093</v>
      </c>
      <c r="H2963" s="8" t="str">
        <f aca="false">IFERROR(INDEX('TRANS'!$C:$C,MATCH($B2963,'TRANS'!$A:$A,0)),IFERROR(INDEX('Catalog'!$B:$B,MATCH($G2963,'Catalog'!$A:$A,0)),$B2963))</f>
        <v>45 M מגן ברך לבן</v>
      </c>
      <c r="I2963" s="8" t="str">
        <f aca="false">IF($G2963="","Unmatched","Matched")</f>
        <v>Matched</v>
      </c>
      <c r="J2963" s="8" t="n">
        <f aca="false">IF($G2963&lt;&gt;"",$G2963,$B2963)</f>
        <v>4413093</v>
      </c>
      <c r="K2963" s="8" t="str">
        <f aca="false">IF(COUNTIF($M$1:$M$10,$A2963)&gt;0,"Y","N")</f>
        <v>N</v>
      </c>
    </row>
    <row r="2964" customFormat="false" ht="15" hidden="false" customHeight="true" outlineLevel="0" collapsed="false">
      <c r="A2964" s="8" t="s">
        <v>1059</v>
      </c>
      <c r="B2964" s="8" t="s">
        <v>673</v>
      </c>
      <c r="C2964" s="19" t="n">
        <v>120</v>
      </c>
      <c r="D2964" s="19" t="n">
        <v>1690.84</v>
      </c>
      <c r="E2964" s="19" t="n">
        <v>50</v>
      </c>
      <c r="F2964" s="19" t="n">
        <v>619.49</v>
      </c>
      <c r="G2964" s="8" t="n">
        <f aca="false">IFERROR(INDEX('TRANS'!$B:$B,MATCH($B2964,'TRANS'!$A:$A,0)),IFERROR(INDEX('TRANS'!$B:$B,MATCH(TRIM(SUBSTITUTE($B2964,CHAR(160)," ")),'TRANS'!$D:$D,0)),IFERROR(INDEX('Catalog'!$A:$A,MATCH($B2964,'Catalog'!$B:$B,0)),IFERROR(INDEX('Catalog'!$A:$A,MATCH(TRIM(SUBSTITUTE($B2964,CHAR(160)," ")),'Catalog'!$C:$C,0)),""))))</f>
        <v>4413094</v>
      </c>
      <c r="H2964" s="8" t="str">
        <f aca="false">IFERROR(INDEX('TRANS'!$C:$C,MATCH($B2964,'TRANS'!$A:$A,0)),IFERROR(INDEX('Catalog'!$B:$B,MATCH($G2964,'Catalog'!$A:$A,0)),$B2964))</f>
        <v>45 S מגן ברך לבן</v>
      </c>
      <c r="I2964" s="8" t="str">
        <f aca="false">IF($G2964="","Unmatched","Matched")</f>
        <v>Matched</v>
      </c>
      <c r="J2964" s="8" t="n">
        <f aca="false">IF($G2964&lt;&gt;"",$G2964,$B2964)</f>
        <v>4413094</v>
      </c>
      <c r="K2964" s="8" t="str">
        <f aca="false">IF(COUNTIF($M$1:$M$10,$A2964)&gt;0,"Y","N")</f>
        <v>N</v>
      </c>
    </row>
    <row r="2965" customFormat="false" ht="15" hidden="false" customHeight="true" outlineLevel="0" collapsed="false">
      <c r="A2965" s="8" t="s">
        <v>1059</v>
      </c>
      <c r="B2965" s="8" t="s">
        <v>674</v>
      </c>
      <c r="C2965" s="19" t="n">
        <v>120</v>
      </c>
      <c r="D2965" s="19" t="n">
        <v>1685.88</v>
      </c>
      <c r="E2965" s="19" t="n">
        <v>40</v>
      </c>
      <c r="F2965" s="19" t="n">
        <v>508.99</v>
      </c>
      <c r="G2965" s="8" t="n">
        <f aca="false">IFERROR(INDEX('TRANS'!$B:$B,MATCH($B2965,'TRANS'!$A:$A,0)),IFERROR(INDEX('TRANS'!$B:$B,MATCH(TRIM(SUBSTITUTE($B2965,CHAR(160)," ")),'TRANS'!$D:$D,0)),IFERROR(INDEX('Catalog'!$A:$A,MATCH($B2965,'Catalog'!$B:$B,0)),IFERROR(INDEX('Catalog'!$A:$A,MATCH(TRIM(SUBSTITUTE($B2965,CHAR(160)," ")),'Catalog'!$C:$C,0)),""))))</f>
        <v>4413095</v>
      </c>
      <c r="H2965" s="8" t="str">
        <f aca="false">IFERROR(INDEX('TRANS'!$C:$C,MATCH($B2965,'TRANS'!$A:$A,0)),IFERROR(INDEX('Catalog'!$B:$B,MATCH($G2965,'Catalog'!$A:$A,0)),$B2965))</f>
        <v>45 XL מגן ברך לבן</v>
      </c>
      <c r="I2965" s="8" t="str">
        <f aca="false">IF($G2965="","Unmatched","Matched")</f>
        <v>Matched</v>
      </c>
      <c r="J2965" s="8" t="n">
        <f aca="false">IF($G2965&lt;&gt;"",$G2965,$B2965)</f>
        <v>4413095</v>
      </c>
      <c r="K2965" s="8" t="str">
        <f aca="false">IF(COUNTIF($M$1:$M$10,$A2965)&gt;0,"Y","N")</f>
        <v>N</v>
      </c>
    </row>
    <row r="2966" customFormat="false" ht="15" hidden="false" customHeight="true" outlineLevel="0" collapsed="false">
      <c r="A2966" s="8" t="s">
        <v>1059</v>
      </c>
      <c r="B2966" s="8" t="s">
        <v>675</v>
      </c>
      <c r="C2966" s="19" t="n">
        <v>530</v>
      </c>
      <c r="D2966" s="19" t="n">
        <v>7591.95</v>
      </c>
      <c r="E2966" s="19" t="n">
        <v>280</v>
      </c>
      <c r="F2966" s="19" t="n">
        <v>3734.22</v>
      </c>
      <c r="G2966" s="8" t="n">
        <f aca="false">IFERROR(INDEX('TRANS'!$B:$B,MATCH($B2966,'TRANS'!$A:$A,0)),IFERROR(INDEX('TRANS'!$B:$B,MATCH(TRIM(SUBSTITUTE($B2966,CHAR(160)," ")),'TRANS'!$D:$D,0)),IFERROR(INDEX('Catalog'!$A:$A,MATCH($B2966,'Catalog'!$B:$B,0)),IFERROR(INDEX('Catalog'!$A:$A,MATCH(TRIM(SUBSTITUTE($B2966,CHAR(160)," ")),'Catalog'!$C:$C,0)),""))))</f>
        <v>4413495</v>
      </c>
      <c r="H2966" s="8" t="str">
        <f aca="false">IFERROR(INDEX('TRANS'!$C:$C,MATCH($B2966,'TRANS'!$A:$A,0)),IFERROR(INDEX('Catalog'!$B:$B,MATCH($G2966,'Catalog'!$A:$A,0)),$B2966))</f>
        <v>45B L מגן ברך שחור</v>
      </c>
      <c r="I2966" s="8" t="str">
        <f aca="false">IF($G2966="","Unmatched","Matched")</f>
        <v>Matched</v>
      </c>
      <c r="J2966" s="8" t="n">
        <f aca="false">IF($G2966&lt;&gt;"",$G2966,$B2966)</f>
        <v>4413495</v>
      </c>
      <c r="K2966" s="8" t="str">
        <f aca="false">IF(COUNTIF($M$1:$M$10,$A2966)&gt;0,"Y","N")</f>
        <v>N</v>
      </c>
    </row>
    <row r="2967" customFormat="false" ht="15" hidden="false" customHeight="true" outlineLevel="0" collapsed="false">
      <c r="A2967" s="8" t="s">
        <v>1059</v>
      </c>
      <c r="B2967" s="8" t="s">
        <v>676</v>
      </c>
      <c r="C2967" s="19" t="n">
        <v>450</v>
      </c>
      <c r="D2967" s="19" t="n">
        <v>6527.88</v>
      </c>
      <c r="E2967" s="19" t="n">
        <v>220</v>
      </c>
      <c r="F2967" s="19" t="n">
        <v>2865.76</v>
      </c>
      <c r="G2967" s="8" t="n">
        <f aca="false">IFERROR(INDEX('TRANS'!$B:$B,MATCH($B2967,'TRANS'!$A:$A,0)),IFERROR(INDEX('TRANS'!$B:$B,MATCH(TRIM(SUBSTITUTE($B2967,CHAR(160)," ")),'TRANS'!$D:$D,0)),IFERROR(INDEX('Catalog'!$A:$A,MATCH($B2967,'Catalog'!$B:$B,0)),IFERROR(INDEX('Catalog'!$A:$A,MATCH(TRIM(SUBSTITUTE($B2967,CHAR(160)," ")),'Catalog'!$C:$C,0)),""))))</f>
        <v>4413497</v>
      </c>
      <c r="H2967" s="8" t="str">
        <f aca="false">IFERROR(INDEX('TRANS'!$C:$C,MATCH($B2967,'TRANS'!$A:$A,0)),IFERROR(INDEX('Catalog'!$B:$B,MATCH($G2967,'Catalog'!$A:$A,0)),$B2967))</f>
        <v>45B M מגן ברך שחור</v>
      </c>
      <c r="I2967" s="8" t="str">
        <f aca="false">IF($G2967="","Unmatched","Matched")</f>
        <v>Matched</v>
      </c>
      <c r="J2967" s="8" t="n">
        <f aca="false">IF($G2967&lt;&gt;"",$G2967,$B2967)</f>
        <v>4413497</v>
      </c>
      <c r="K2967" s="8" t="str">
        <f aca="false">IF(COUNTIF($M$1:$M$10,$A2967)&gt;0,"Y","N")</f>
        <v>N</v>
      </c>
    </row>
    <row r="2968" customFormat="false" ht="15" hidden="false" customHeight="true" outlineLevel="0" collapsed="false">
      <c r="A2968" s="8" t="s">
        <v>1059</v>
      </c>
      <c r="B2968" s="8" t="s">
        <v>801</v>
      </c>
      <c r="C2968" s="19" t="n">
        <v>280</v>
      </c>
      <c r="D2968" s="19" t="n">
        <v>4075.52</v>
      </c>
      <c r="E2968" s="19" t="n">
        <v>110</v>
      </c>
      <c r="F2968" s="19" t="n">
        <v>1440.49</v>
      </c>
      <c r="G2968" s="8" t="n">
        <f aca="false">IFERROR(INDEX('TRANS'!$B:$B,MATCH($B2968,'TRANS'!$A:$A,0)),IFERROR(INDEX('TRANS'!$B:$B,MATCH(TRIM(SUBSTITUTE($B2968,CHAR(160)," ")),'TRANS'!$D:$D,0)),IFERROR(INDEX('Catalog'!$A:$A,MATCH($B2968,'Catalog'!$B:$B,0)),IFERROR(INDEX('Catalog'!$A:$A,MATCH(TRIM(SUBSTITUTE($B2968,CHAR(160)," ")),'Catalog'!$C:$C,0)),""))))</f>
        <v>4413498</v>
      </c>
      <c r="H2968" s="8" t="str">
        <f aca="false">IFERROR(INDEX('TRANS'!$C:$C,MATCH($B2968,'TRANS'!$A:$A,0)),IFERROR(INDEX('Catalog'!$B:$B,MATCH($G2968,'Catalog'!$A:$A,0)),$B2968))</f>
        <v>45B S מגן ברך שחור</v>
      </c>
      <c r="I2968" s="8" t="str">
        <f aca="false">IF($G2968="","Unmatched","Matched")</f>
        <v>Matched</v>
      </c>
      <c r="J2968" s="8" t="n">
        <f aca="false">IF($G2968&lt;&gt;"",$G2968,$B2968)</f>
        <v>4413498</v>
      </c>
      <c r="K2968" s="8" t="str">
        <f aca="false">IF(COUNTIF($M$1:$M$10,$A2968)&gt;0,"Y","N")</f>
        <v>N</v>
      </c>
    </row>
    <row r="2969" customFormat="false" ht="15" hidden="false" customHeight="true" outlineLevel="0" collapsed="false">
      <c r="A2969" s="8" t="s">
        <v>1059</v>
      </c>
      <c r="B2969" s="8" t="s">
        <v>802</v>
      </c>
      <c r="C2969" s="19" t="n">
        <v>460</v>
      </c>
      <c r="D2969" s="19" t="n">
        <v>6699.09</v>
      </c>
      <c r="E2969" s="19" t="n">
        <v>230</v>
      </c>
      <c r="F2969" s="19" t="n">
        <v>2987.39</v>
      </c>
      <c r="G2969" s="8" t="n">
        <f aca="false">IFERROR(INDEX('TRANS'!$B:$B,MATCH($B2969,'TRANS'!$A:$A,0)),IFERROR(INDEX('TRANS'!$B:$B,MATCH(TRIM(SUBSTITUTE($B2969,CHAR(160)," ")),'TRANS'!$D:$D,0)),IFERROR(INDEX('Catalog'!$A:$A,MATCH($B2969,'Catalog'!$B:$B,0)),IFERROR(INDEX('Catalog'!$A:$A,MATCH(TRIM(SUBSTITUTE($B2969,CHAR(160)," ")),'Catalog'!$C:$C,0)),""))))</f>
        <v>4413496</v>
      </c>
      <c r="H2969" s="8" t="str">
        <f aca="false">IFERROR(INDEX('TRANS'!$C:$C,MATCH($B2969,'TRANS'!$A:$A,0)),IFERROR(INDEX('Catalog'!$B:$B,MATCH($G2969,'Catalog'!$A:$A,0)),$B2969))</f>
        <v>45B XL מגן ברך שחור</v>
      </c>
      <c r="I2969" s="8" t="str">
        <f aca="false">IF($G2969="","Unmatched","Matched")</f>
        <v>Matched</v>
      </c>
      <c r="J2969" s="8" t="n">
        <f aca="false">IF($G2969&lt;&gt;"",$G2969,$B2969)</f>
        <v>4413496</v>
      </c>
      <c r="K2969" s="8" t="str">
        <f aca="false">IF(COUNTIF($M$1:$M$10,$A2969)&gt;0,"Y","N")</f>
        <v>N</v>
      </c>
    </row>
    <row r="2970" customFormat="false" ht="15" hidden="false" customHeight="true" outlineLevel="0" collapsed="false">
      <c r="A2970" s="8" t="s">
        <v>1059</v>
      </c>
      <c r="B2970" s="8" t="s">
        <v>677</v>
      </c>
      <c r="C2970" s="19" t="n">
        <v>480</v>
      </c>
      <c r="D2970" s="19" t="n">
        <v>6509.97</v>
      </c>
      <c r="E2970" s="19" t="n">
        <v>230</v>
      </c>
      <c r="F2970" s="19" t="n">
        <v>2768.95</v>
      </c>
      <c r="G2970" s="8" t="n">
        <f aca="false">IFERROR(INDEX('TRANS'!$B:$B,MATCH($B2970,'TRANS'!$A:$A,0)),IFERROR(INDEX('TRANS'!$B:$B,MATCH(TRIM(SUBSTITUTE($B2970,CHAR(160)," ")),'TRANS'!$D:$D,0)),IFERROR(INDEX('Catalog'!$A:$A,MATCH($B2970,'Catalog'!$B:$B,0)),IFERROR(INDEX('Catalog'!$A:$A,MATCH(TRIM(SUBSTITUTE($B2970,CHAR(160)," ")),'Catalog'!$C:$C,0)),""))))</f>
        <v>4413098</v>
      </c>
      <c r="H2970" s="8" t="str">
        <f aca="false">IFERROR(INDEX('TRANS'!$C:$C,MATCH($B2970,'TRANS'!$A:$A,0)),IFERROR(INDEX('Catalog'!$B:$B,MATCH($G2970,'Catalog'!$A:$A,0)),$B2970))</f>
        <v>45C L מגן ברך חום</v>
      </c>
      <c r="I2970" s="8" t="str">
        <f aca="false">IF($G2970="","Unmatched","Matched")</f>
        <v>Matched</v>
      </c>
      <c r="J2970" s="8" t="n">
        <f aca="false">IF($G2970&lt;&gt;"",$G2970,$B2970)</f>
        <v>4413098</v>
      </c>
      <c r="K2970" s="8" t="str">
        <f aca="false">IF(COUNTIF($M$1:$M$10,$A2970)&gt;0,"Y","N")</f>
        <v>N</v>
      </c>
    </row>
    <row r="2971" customFormat="false" ht="15" hidden="false" customHeight="true" outlineLevel="0" collapsed="false">
      <c r="A2971" s="8" t="s">
        <v>1059</v>
      </c>
      <c r="B2971" s="8" t="s">
        <v>678</v>
      </c>
      <c r="C2971" s="19" t="n">
        <v>460</v>
      </c>
      <c r="D2971" s="19" t="n">
        <v>6185.43</v>
      </c>
      <c r="E2971" s="19" t="n">
        <v>290</v>
      </c>
      <c r="F2971" s="19" t="n">
        <v>3507.94</v>
      </c>
      <c r="G2971" s="8" t="n">
        <f aca="false">IFERROR(INDEX('TRANS'!$B:$B,MATCH($B2971,'TRANS'!$A:$A,0)),IFERROR(INDEX('TRANS'!$B:$B,MATCH(TRIM(SUBSTITUTE($B2971,CHAR(160)," ")),'TRANS'!$D:$D,0)),IFERROR(INDEX('Catalog'!$A:$A,MATCH($B2971,'Catalog'!$B:$B,0)),IFERROR(INDEX('Catalog'!$A:$A,MATCH(TRIM(SUBSTITUTE($B2971,CHAR(160)," ")),'Catalog'!$C:$C,0)),""))))</f>
        <v>4413099</v>
      </c>
      <c r="H2971" s="8" t="str">
        <f aca="false">IFERROR(INDEX('TRANS'!$C:$C,MATCH($B2971,'TRANS'!$A:$A,0)),IFERROR(INDEX('Catalog'!$B:$B,MATCH($G2971,'Catalog'!$A:$A,0)),$B2971))</f>
        <v>45C M מגן ברך חום</v>
      </c>
      <c r="I2971" s="8" t="str">
        <f aca="false">IF($G2971="","Unmatched","Matched")</f>
        <v>Matched</v>
      </c>
      <c r="J2971" s="8" t="n">
        <f aca="false">IF($G2971&lt;&gt;"",$G2971,$B2971)</f>
        <v>4413099</v>
      </c>
      <c r="K2971" s="8" t="str">
        <f aca="false">IF(COUNTIF($M$1:$M$10,$A2971)&gt;0,"Y","N")</f>
        <v>N</v>
      </c>
    </row>
    <row r="2972" customFormat="false" ht="15" hidden="false" customHeight="true" outlineLevel="0" collapsed="false">
      <c r="A2972" s="8" t="s">
        <v>1059</v>
      </c>
      <c r="B2972" s="8" t="s">
        <v>679</v>
      </c>
      <c r="C2972" s="19" t="n">
        <v>220</v>
      </c>
      <c r="D2972" s="19" t="n">
        <v>3020</v>
      </c>
      <c r="E2972" s="19" t="n">
        <v>170</v>
      </c>
      <c r="F2972" s="19" t="n">
        <v>2078.4</v>
      </c>
      <c r="G2972" s="8" t="n">
        <f aca="false">IFERROR(INDEX('TRANS'!$B:$B,MATCH($B2972,'TRANS'!$A:$A,0)),IFERROR(INDEX('TRANS'!$B:$B,MATCH(TRIM(SUBSTITUTE($B2972,CHAR(160)," ")),'TRANS'!$D:$D,0)),IFERROR(INDEX('Catalog'!$A:$A,MATCH($B2972,'Catalog'!$B:$B,0)),IFERROR(INDEX('Catalog'!$A:$A,MATCH(TRIM(SUBSTITUTE($B2972,CHAR(160)," ")),'Catalog'!$C:$C,0)),""))))</f>
        <v>4413097</v>
      </c>
      <c r="H2972" s="8" t="str">
        <f aca="false">IFERROR(INDEX('TRANS'!$C:$C,MATCH($B2972,'TRANS'!$A:$A,0)),IFERROR(INDEX('Catalog'!$B:$B,MATCH($G2972,'Catalog'!$A:$A,0)),$B2972))</f>
        <v>45C S מגן ברך חום</v>
      </c>
      <c r="I2972" s="8" t="str">
        <f aca="false">IF($G2972="","Unmatched","Matched")</f>
        <v>Matched</v>
      </c>
      <c r="J2972" s="8" t="n">
        <f aca="false">IF($G2972&lt;&gt;"",$G2972,$B2972)</f>
        <v>4413097</v>
      </c>
      <c r="K2972" s="8" t="str">
        <f aca="false">IF(COUNTIF($M$1:$M$10,$A2972)&gt;0,"Y","N")</f>
        <v>N</v>
      </c>
    </row>
    <row r="2973" customFormat="false" ht="15" hidden="false" customHeight="true" outlineLevel="0" collapsed="false">
      <c r="A2973" s="8" t="s">
        <v>1059</v>
      </c>
      <c r="B2973" s="8" t="s">
        <v>680</v>
      </c>
      <c r="C2973" s="19" t="n">
        <v>300</v>
      </c>
      <c r="D2973" s="19" t="n">
        <v>4073.24</v>
      </c>
      <c r="E2973" s="19" t="n">
        <v>230</v>
      </c>
      <c r="F2973" s="19" t="n">
        <v>2821.26</v>
      </c>
      <c r="G2973" s="8" t="n">
        <f aca="false">IFERROR(INDEX('TRANS'!$B:$B,MATCH($B2973,'TRANS'!$A:$A,0)),IFERROR(INDEX('TRANS'!$B:$B,MATCH(TRIM(SUBSTITUTE($B2973,CHAR(160)," ")),'TRANS'!$D:$D,0)),IFERROR(INDEX('Catalog'!$A:$A,MATCH($B2973,'Catalog'!$B:$B,0)),IFERROR(INDEX('Catalog'!$A:$A,MATCH(TRIM(SUBSTITUTE($B2973,CHAR(160)," ")),'Catalog'!$C:$C,0)),""))))</f>
        <v>4413100</v>
      </c>
      <c r="H2973" s="8" t="str">
        <f aca="false">IFERROR(INDEX('TRANS'!$C:$C,MATCH($B2973,'TRANS'!$A:$A,0)),IFERROR(INDEX('Catalog'!$B:$B,MATCH($G2973,'Catalog'!$A:$A,0)),$B2973))</f>
        <v>45C XL מגן ברך חום</v>
      </c>
      <c r="I2973" s="8" t="str">
        <f aca="false">IF($G2973="","Unmatched","Matched")</f>
        <v>Matched</v>
      </c>
      <c r="J2973" s="8" t="n">
        <f aca="false">IF($G2973&lt;&gt;"",$G2973,$B2973)</f>
        <v>4413100</v>
      </c>
      <c r="K2973" s="8" t="str">
        <f aca="false">IF(COUNTIF($M$1:$M$10,$A2973)&gt;0,"Y","N")</f>
        <v>N</v>
      </c>
    </row>
    <row r="2974" customFormat="false" ht="15" hidden="false" customHeight="true" outlineLevel="0" collapsed="false">
      <c r="A2974" s="8" t="s">
        <v>1059</v>
      </c>
      <c r="B2974" s="8" t="s">
        <v>696</v>
      </c>
      <c r="C2974" s="19" t="n">
        <v>430</v>
      </c>
      <c r="D2974" s="19" t="n">
        <v>5449.62</v>
      </c>
      <c r="E2974" s="19" t="n">
        <v>270</v>
      </c>
      <c r="F2974" s="19" t="n">
        <v>3124.1</v>
      </c>
      <c r="G2974" s="8" t="n">
        <f aca="false">IFERROR(INDEX('TRANS'!$B:$B,MATCH($B2974,'TRANS'!$A:$A,0)),IFERROR(INDEX('TRANS'!$B:$B,MATCH(TRIM(SUBSTITUTE($B2974,CHAR(160)," ")),'TRANS'!$D:$D,0)),IFERROR(INDEX('Catalog'!$A:$A,MATCH($B2974,'Catalog'!$B:$B,0)),IFERROR(INDEX('Catalog'!$A:$A,MATCH(TRIM(SUBSTITUTE($B2974,CHAR(160)," ")),'Catalog'!$C:$C,0)),""))))</f>
        <v>4422000</v>
      </c>
      <c r="H2974" s="8" t="str">
        <f aca="false">IFERROR(INDEX('TRANS'!$C:$C,MATCH($B2974,'TRANS'!$A:$A,0)),IFERROR(INDEX('Catalog'!$B:$B,MATCH($G2974,'Catalog'!$A:$A,0)),$B2974))</f>
        <v>801  תחבושת אלסטית מקררת</v>
      </c>
      <c r="I2974" s="8" t="str">
        <f aca="false">IF($G2974="","Unmatched","Matched")</f>
        <v>Matched</v>
      </c>
      <c r="J2974" s="8" t="n">
        <f aca="false">IF($G2974&lt;&gt;"",$G2974,$B2974)</f>
        <v>4422000</v>
      </c>
      <c r="K2974" s="8" t="str">
        <f aca="false">IF(COUNTIF($M$1:$M$10,$A2974)&gt;0,"Y","N")</f>
        <v>N</v>
      </c>
    </row>
    <row r="2975" customFormat="false" ht="15" hidden="false" customHeight="true" outlineLevel="0" collapsed="false">
      <c r="A2975" s="8" t="s">
        <v>1059</v>
      </c>
      <c r="B2975" s="8" t="s">
        <v>823</v>
      </c>
      <c r="C2975" s="19" t="n">
        <v>2700</v>
      </c>
      <c r="D2975" s="19" t="n">
        <v>20880.68</v>
      </c>
      <c r="E2975" s="19" t="n">
        <v>1500</v>
      </c>
      <c r="F2975" s="19" t="n">
        <v>10415.22</v>
      </c>
      <c r="G2975" s="8" t="n">
        <f aca="false">IFERROR(INDEX('TRANS'!$B:$B,MATCH($B2975,'TRANS'!$A:$A,0)),IFERROR(INDEX('TRANS'!$B:$B,MATCH(TRIM(SUBSTITUTE($B2975,CHAR(160)," ")),'TRANS'!$D:$D,0)),IFERROR(INDEX('Catalog'!$A:$A,MATCH($B2975,'Catalog'!$B:$B,0)),IFERROR(INDEX('Catalog'!$A:$A,MATCH(TRIM(SUBSTITUTE($B2975,CHAR(160)," ")),'Catalog'!$C:$C,0)),""))))</f>
        <v>4422024</v>
      </c>
      <c r="H2975" s="8" t="str">
        <f aca="false">IFERROR(INDEX('TRANS'!$C:$C,MATCH($B2975,'TRANS'!$A:$A,0)),IFERROR(INDEX('Catalog'!$B:$B,MATCH($G2975,'Catalog'!$A:$A,0)),$B2975))</f>
        <v>806CB-BLACK      תחבושת א.נצמ</v>
      </c>
      <c r="I2975" s="8" t="str">
        <f aca="false">IF($G2975="","Unmatched","Matched")</f>
        <v>Matched</v>
      </c>
      <c r="J2975" s="8" t="n">
        <f aca="false">IF($G2975&lt;&gt;"",$G2975,$B2975)</f>
        <v>4422024</v>
      </c>
      <c r="K2975" s="8" t="str">
        <f aca="false">IF(COUNTIF($M$1:$M$10,$A2975)&gt;0,"Y","N")</f>
        <v>N</v>
      </c>
    </row>
    <row r="2976" customFormat="false" ht="15" hidden="false" customHeight="true" outlineLevel="0" collapsed="false">
      <c r="A2976" s="8" t="s">
        <v>1059</v>
      </c>
      <c r="B2976" s="8" t="s">
        <v>824</v>
      </c>
      <c r="C2976" s="19" t="n">
        <v>2200</v>
      </c>
      <c r="D2976" s="19" t="n">
        <v>17111.62</v>
      </c>
      <c r="E2976" s="19" t="n">
        <v>1300</v>
      </c>
      <c r="F2976" s="19" t="n">
        <v>9059.98</v>
      </c>
      <c r="G2976" s="8" t="n">
        <f aca="false">IFERROR(INDEX('TRANS'!$B:$B,MATCH($B2976,'TRANS'!$A:$A,0)),IFERROR(INDEX('TRANS'!$B:$B,MATCH(TRIM(SUBSTITUTE($B2976,CHAR(160)," ")),'TRANS'!$D:$D,0)),IFERROR(INDEX('Catalog'!$A:$A,MATCH($B2976,'Catalog'!$B:$B,0)),IFERROR(INDEX('Catalog'!$A:$A,MATCH(TRIM(SUBSTITUTE($B2976,CHAR(160)," ")),'Catalog'!$C:$C,0)),""))))</f>
        <v>4422023</v>
      </c>
      <c r="H2976" s="8" t="str">
        <f aca="false">IFERROR(INDEX('TRANS'!$C:$C,MATCH($B2976,'TRANS'!$A:$A,0)),IFERROR(INDEX('Catalog'!$B:$B,MATCH($G2976,'Catalog'!$A:$A,0)),$B2976))</f>
        <v>806CB-BEIGE      תחבושת א.נצמ</v>
      </c>
      <c r="I2976" s="8" t="str">
        <f aca="false">IF($G2976="","Unmatched","Matched")</f>
        <v>Matched</v>
      </c>
      <c r="J2976" s="8" t="n">
        <f aca="false">IF($G2976&lt;&gt;"",$G2976,$B2976)</f>
        <v>4422023</v>
      </c>
      <c r="K2976" s="8" t="str">
        <f aca="false">IF(COUNTIF($M$1:$M$10,$A2976)&gt;0,"Y","N")</f>
        <v>N</v>
      </c>
    </row>
    <row r="2977" customFormat="false" ht="15" hidden="false" customHeight="true" outlineLevel="0" collapsed="false">
      <c r="A2977" s="8" t="s">
        <v>1059</v>
      </c>
      <c r="B2977" s="8" t="s">
        <v>825</v>
      </c>
      <c r="C2977" s="19" t="n">
        <v>1050</v>
      </c>
      <c r="D2977" s="19" t="n">
        <v>8166.17</v>
      </c>
      <c r="E2977" s="19" t="n">
        <v>800</v>
      </c>
      <c r="F2977" s="19" t="n">
        <v>5600.14</v>
      </c>
      <c r="G2977" s="8" t="n">
        <f aca="false">IFERROR(INDEX('TRANS'!$B:$B,MATCH($B2977,'TRANS'!$A:$A,0)),IFERROR(INDEX('TRANS'!$B:$B,MATCH(TRIM(SUBSTITUTE($B2977,CHAR(160)," ")),'TRANS'!$D:$D,0)),IFERROR(INDEX('Catalog'!$A:$A,MATCH($B2977,'Catalog'!$B:$B,0)),IFERROR(INDEX('Catalog'!$A:$A,MATCH(TRIM(SUBSTITUTE($B2977,CHAR(160)," ")),'Catalog'!$C:$C,0)),""))))</f>
        <v>4422025</v>
      </c>
      <c r="H2977" s="8" t="str">
        <f aca="false">IFERROR(INDEX('TRANS'!$C:$C,MATCH($B2977,'TRANS'!$A:$A,0)),IFERROR(INDEX('Catalog'!$B:$B,MATCH($G2977,'Catalog'!$A:$A,0)),$B2977))</f>
        <v>806CB-GREEN      תחבושת א.נצמ</v>
      </c>
      <c r="I2977" s="8" t="str">
        <f aca="false">IF($G2977="","Unmatched","Matched")</f>
        <v>Matched</v>
      </c>
      <c r="J2977" s="8" t="n">
        <f aca="false">IF($G2977&lt;&gt;"",$G2977,$B2977)</f>
        <v>4422025</v>
      </c>
      <c r="K2977" s="8" t="str">
        <f aca="false">IF(COUNTIF($M$1:$M$10,$A2977)&gt;0,"Y","N")</f>
        <v>N</v>
      </c>
    </row>
    <row r="2978" customFormat="false" ht="15" hidden="false" customHeight="true" outlineLevel="0" collapsed="false">
      <c r="A2978" s="8" t="s">
        <v>1059</v>
      </c>
      <c r="B2978" s="8" t="s">
        <v>826</v>
      </c>
      <c r="C2978" s="19" t="n">
        <v>1700</v>
      </c>
      <c r="D2978" s="19" t="n">
        <v>13176.93</v>
      </c>
      <c r="E2978" s="19" t="n">
        <v>1200</v>
      </c>
      <c r="F2978" s="19" t="n">
        <v>8358.9</v>
      </c>
      <c r="G2978" s="8" t="n">
        <f aca="false">IFERROR(INDEX('TRANS'!$B:$B,MATCH($B2978,'TRANS'!$A:$A,0)),IFERROR(INDEX('TRANS'!$B:$B,MATCH(TRIM(SUBSTITUTE($B2978,CHAR(160)," ")),'TRANS'!$D:$D,0)),IFERROR(INDEX('Catalog'!$A:$A,MATCH($B2978,'Catalog'!$B:$B,0)),IFERROR(INDEX('Catalog'!$A:$A,MATCH(TRIM(SUBSTITUTE($B2978,CHAR(160)," ")),'Catalog'!$C:$C,0)),""))))</f>
        <v>4422026</v>
      </c>
      <c r="H2978" s="8" t="str">
        <f aca="false">IFERROR(INDEX('TRANS'!$C:$C,MATCH($B2978,'TRANS'!$A:$A,0)),IFERROR(INDEX('Catalog'!$B:$B,MATCH($G2978,'Catalog'!$A:$A,0)),$B2978))</f>
        <v>806CB-PINK       תחבושת א.נצמ</v>
      </c>
      <c r="I2978" s="8" t="str">
        <f aca="false">IF($G2978="","Unmatched","Matched")</f>
        <v>Matched</v>
      </c>
      <c r="J2978" s="8" t="n">
        <f aca="false">IF($G2978&lt;&gt;"",$G2978,$B2978)</f>
        <v>4422026</v>
      </c>
      <c r="K2978" s="8" t="str">
        <f aca="false">IF(COUNTIF($M$1:$M$10,$A2978)&gt;0,"Y","N")</f>
        <v>N</v>
      </c>
    </row>
    <row r="2979" customFormat="false" ht="15" hidden="false" customHeight="true" outlineLevel="0" collapsed="false">
      <c r="A2979" s="8" t="s">
        <v>1059</v>
      </c>
      <c r="B2979" s="8" t="s">
        <v>705</v>
      </c>
      <c r="C2979" s="19" t="n">
        <v>500</v>
      </c>
      <c r="D2979" s="19" t="n">
        <v>9000.24</v>
      </c>
      <c r="E2979" s="19" t="n">
        <v>0</v>
      </c>
      <c r="F2979" s="19" t="n">
        <v>0</v>
      </c>
      <c r="G2979" s="8" t="n">
        <f aca="false">IFERROR(INDEX('TRANS'!$B:$B,MATCH($B2979,'TRANS'!$A:$A,0)),IFERROR(INDEX('TRANS'!$B:$B,MATCH(TRIM(SUBSTITUTE($B2979,CHAR(160)," ")),'TRANS'!$D:$D,0)),IFERROR(INDEX('Catalog'!$A:$A,MATCH($B2979,'Catalog'!$B:$B,0)),IFERROR(INDEX('Catalog'!$A:$A,MATCH(TRIM(SUBSTITUTE($B2979,CHAR(160)," ")),'Catalog'!$C:$C,0)),""))))</f>
        <v>4409017</v>
      </c>
      <c r="H2979" s="8" t="str">
        <f aca="false">IFERROR(INDEX('TRANS'!$C:$C,MATCH($B2979,'TRANS'!$A:$A,0)),IFERROR(INDEX('Catalog'!$B:$B,MATCH($G2979,'Catalog'!$A:$A,0)),$B2979))</f>
        <v>808KT-B        טייפ קינזיולוגי</v>
      </c>
      <c r="I2979" s="8" t="str">
        <f aca="false">IF($G2979="","Unmatched","Matched")</f>
        <v>Matched</v>
      </c>
      <c r="J2979" s="8" t="n">
        <f aca="false">IF($G2979&lt;&gt;"",$G2979,$B2979)</f>
        <v>4409017</v>
      </c>
      <c r="K2979" s="8" t="str">
        <f aca="false">IF(COUNTIF($M$1:$M$10,$A2979)&gt;0,"Y","N")</f>
        <v>N</v>
      </c>
    </row>
    <row r="2980" customFormat="false" ht="15" hidden="false" customHeight="true" outlineLevel="0" collapsed="false">
      <c r="A2980" s="8" t="s">
        <v>1059</v>
      </c>
      <c r="B2980" s="8" t="s">
        <v>886</v>
      </c>
      <c r="C2980" s="19" t="n">
        <v>400</v>
      </c>
      <c r="D2980" s="19" t="n">
        <v>7200.19</v>
      </c>
      <c r="E2980" s="19" t="n">
        <v>0</v>
      </c>
      <c r="F2980" s="19" t="n">
        <v>0</v>
      </c>
      <c r="G2980" s="8" t="n">
        <f aca="false">IFERROR(INDEX('TRANS'!$B:$B,MATCH($B2980,'TRANS'!$A:$A,0)),IFERROR(INDEX('TRANS'!$B:$B,MATCH(TRIM(SUBSTITUTE($B2980,CHAR(160)," ")),'TRANS'!$D:$D,0)),IFERROR(INDEX('Catalog'!$A:$A,MATCH($B2980,'Catalog'!$B:$B,0)),IFERROR(INDEX('Catalog'!$A:$A,MATCH(TRIM(SUBSTITUTE($B2980,CHAR(160)," ")),'Catalog'!$C:$C,0)),""))))</f>
        <v>4409015</v>
      </c>
      <c r="H2980" s="8" t="str">
        <f aca="false">IFERROR(INDEX('TRANS'!$C:$C,MATCH($B2980,'TRANS'!$A:$A,0)),IFERROR(INDEX('Catalog'!$B:$B,MATCH($G2980,'Catalog'!$A:$A,0)),$B2980))</f>
        <v>808KT-BL       טייפ קינזיולוגי</v>
      </c>
      <c r="I2980" s="8" t="str">
        <f aca="false">IF($G2980="","Unmatched","Matched")</f>
        <v>Matched</v>
      </c>
      <c r="J2980" s="8" t="n">
        <f aca="false">IF($G2980&lt;&gt;"",$G2980,$B2980)</f>
        <v>4409015</v>
      </c>
      <c r="K2980" s="8" t="str">
        <f aca="false">IF(COUNTIF($M$1:$M$10,$A2980)&gt;0,"Y","N")</f>
        <v>N</v>
      </c>
    </row>
    <row r="2981" customFormat="false" ht="15" hidden="false" customHeight="true" outlineLevel="0" collapsed="false">
      <c r="A2981" s="8" t="s">
        <v>1059</v>
      </c>
      <c r="B2981" s="8" t="s">
        <v>706</v>
      </c>
      <c r="C2981" s="19" t="n">
        <v>600</v>
      </c>
      <c r="D2981" s="19" t="n">
        <v>10800.29</v>
      </c>
      <c r="E2981" s="19" t="n">
        <v>0</v>
      </c>
      <c r="F2981" s="19" t="n">
        <v>0</v>
      </c>
      <c r="G2981" s="8" t="n">
        <f aca="false">IFERROR(INDEX('TRANS'!$B:$B,MATCH($B2981,'TRANS'!$A:$A,0)),IFERROR(INDEX('TRANS'!$B:$B,MATCH(TRIM(SUBSTITUTE($B2981,CHAR(160)," ")),'TRANS'!$D:$D,0)),IFERROR(INDEX('Catalog'!$A:$A,MATCH($B2981,'Catalog'!$B:$B,0)),IFERROR(INDEX('Catalog'!$A:$A,MATCH(TRIM(SUBSTITUTE($B2981,CHAR(160)," ")),'Catalog'!$C:$C,0)),""))))</f>
        <v>4409016</v>
      </c>
      <c r="H2981" s="8" t="str">
        <f aca="false">IFERROR(INDEX('TRANS'!$C:$C,MATCH($B2981,'TRANS'!$A:$A,0)),IFERROR(INDEX('Catalog'!$B:$B,MATCH($G2981,'Catalog'!$A:$A,0)),$B2981))</f>
        <v>808KT-C        טייפ קינזיולוגי</v>
      </c>
      <c r="I2981" s="8" t="str">
        <f aca="false">IF($G2981="","Unmatched","Matched")</f>
        <v>Matched</v>
      </c>
      <c r="J2981" s="8" t="n">
        <f aca="false">IF($G2981&lt;&gt;"",$G2981,$B2981)</f>
        <v>4409016</v>
      </c>
      <c r="K2981" s="8" t="str">
        <f aca="false">IF(COUNTIF($M$1:$M$10,$A2981)&gt;0,"Y","N")</f>
        <v>N</v>
      </c>
    </row>
    <row r="2982" customFormat="false" ht="15" hidden="false" customHeight="true" outlineLevel="0" collapsed="false">
      <c r="A2982" s="8" t="s">
        <v>1059</v>
      </c>
      <c r="B2982" s="8" t="s">
        <v>887</v>
      </c>
      <c r="C2982" s="19" t="n">
        <v>400</v>
      </c>
      <c r="D2982" s="19" t="n">
        <v>7200.19</v>
      </c>
      <c r="E2982" s="19" t="n">
        <v>0</v>
      </c>
      <c r="F2982" s="19" t="n">
        <v>0</v>
      </c>
      <c r="G2982" s="8" t="n">
        <f aca="false">IFERROR(INDEX('TRANS'!$B:$B,MATCH($B2982,'TRANS'!$A:$A,0)),IFERROR(INDEX('TRANS'!$B:$B,MATCH(TRIM(SUBSTITUTE($B2982,CHAR(160)," ")),'TRANS'!$D:$D,0)),IFERROR(INDEX('Catalog'!$A:$A,MATCH($B2982,'Catalog'!$B:$B,0)),IFERROR(INDEX('Catalog'!$A:$A,MATCH(TRIM(SUBSTITUTE($B2982,CHAR(160)," ")),'Catalog'!$C:$C,0)),""))))</f>
        <v>4409014</v>
      </c>
      <c r="H2982" s="8" t="str">
        <f aca="false">IFERROR(INDEX('TRANS'!$C:$C,MATCH($B2982,'TRANS'!$A:$A,0)),IFERROR(INDEX('Catalog'!$B:$B,MATCH($G2982,'Catalog'!$A:$A,0)),$B2982))</f>
        <v>808KT-P        טייפ קינזיולוגי</v>
      </c>
      <c r="I2982" s="8" t="str">
        <f aca="false">IF($G2982="","Unmatched","Matched")</f>
        <v>Matched</v>
      </c>
      <c r="J2982" s="8" t="n">
        <f aca="false">IF($G2982&lt;&gt;"",$G2982,$B2982)</f>
        <v>4409014</v>
      </c>
      <c r="K2982" s="8" t="str">
        <f aca="false">IF(COUNTIF($M$1:$M$10,$A2982)&gt;0,"Y","N")</f>
        <v>N</v>
      </c>
    </row>
    <row r="2983" customFormat="false" ht="15" hidden="false" customHeight="true" outlineLevel="0" collapsed="false">
      <c r="A2983" s="8" t="s">
        <v>1059</v>
      </c>
      <c r="B2983" s="8" t="s">
        <v>112</v>
      </c>
      <c r="C2983" s="19" t="n">
        <v>1800</v>
      </c>
      <c r="D2983" s="19" t="n">
        <v>33646.56</v>
      </c>
      <c r="E2983" s="19" t="n">
        <v>1300</v>
      </c>
      <c r="F2983" s="19" t="n">
        <v>21555.45</v>
      </c>
      <c r="G2983" s="8" t="str">
        <f aca="false">IFERROR(INDEX('TRANS'!$B:$B,MATCH($B2983,'TRANS'!$A:$A,0)),IFERROR(INDEX('TRANS'!$B:$B,MATCH(TRIM(SUBSTITUTE($B2983,CHAR(160)," ")),'TRANS'!$D:$D,0)),IFERROR(INDEX('Catalog'!$A:$A,MATCH($B2983,'Catalog'!$B:$B,0)),IFERROR(INDEX('Catalog'!$A:$A,MATCH(TRIM(SUBSTITUTE($B2983,CHAR(160)," ")),'Catalog'!$C:$C,0)),""))))</f>
        <v/>
      </c>
      <c r="H2983" s="8" t="str">
        <f aca="false">IFERROR(INDEX('TRANS'!$C:$C,MATCH($B2983,'TRANS'!$A:$A,0)),IFERROR(INDEX('Catalog'!$B:$B,MATCH($G2983,'Catalog'!$A:$A,0)),$B2983))</f>
        <v>808KTP-B</v>
      </c>
      <c r="I2983" s="8" t="str">
        <f aca="false">IF($G2983="","Unmatched","Matched")</f>
        <v>Unmatched</v>
      </c>
      <c r="J2983" s="8" t="str">
        <f aca="false">IF($G2983&lt;&gt;"",$G2983,$B2983)</f>
        <v>808KTP-B</v>
      </c>
      <c r="K2983" s="8" t="str">
        <f aca="false">IF(COUNTIF($M$1:$M$10,$A2983)&gt;0,"Y","N")</f>
        <v>N</v>
      </c>
    </row>
    <row r="2984" customFormat="false" ht="15" hidden="false" customHeight="true" outlineLevel="0" collapsed="false">
      <c r="A2984" s="8" t="s">
        <v>1059</v>
      </c>
      <c r="B2984" s="8" t="s">
        <v>79</v>
      </c>
      <c r="C2984" s="19" t="n">
        <v>1450</v>
      </c>
      <c r="D2984" s="19" t="n">
        <v>27344.66</v>
      </c>
      <c r="E2984" s="19" t="n">
        <v>1200</v>
      </c>
      <c r="F2984" s="19" t="n">
        <v>20061.36</v>
      </c>
      <c r="G2984" s="8" t="str">
        <f aca="false">IFERROR(INDEX('TRANS'!$B:$B,MATCH($B2984,'TRANS'!$A:$A,0)),IFERROR(INDEX('TRANS'!$B:$B,MATCH(TRIM(SUBSTITUTE($B2984,CHAR(160)," ")),'TRANS'!$D:$D,0)),IFERROR(INDEX('Catalog'!$A:$A,MATCH($B2984,'Catalog'!$B:$B,0)),IFERROR(INDEX('Catalog'!$A:$A,MATCH(TRIM(SUBSTITUTE($B2984,CHAR(160)," ")),'Catalog'!$C:$C,0)),""))))</f>
        <v/>
      </c>
      <c r="H2984" s="8" t="str">
        <f aca="false">IFERROR(INDEX('TRANS'!$C:$C,MATCH($B2984,'TRANS'!$A:$A,0)),IFERROR(INDEX('Catalog'!$B:$B,MATCH($G2984,'Catalog'!$A:$A,0)),$B2984))</f>
        <v>808KTP-BL</v>
      </c>
      <c r="I2984" s="8" t="str">
        <f aca="false">IF($G2984="","Unmatched","Matched")</f>
        <v>Unmatched</v>
      </c>
      <c r="J2984" s="8" t="str">
        <f aca="false">IF($G2984&lt;&gt;"",$G2984,$B2984)</f>
        <v>808KTP-BL</v>
      </c>
      <c r="K2984" s="8" t="str">
        <f aca="false">IF(COUNTIF($M$1:$M$10,$A2984)&gt;0,"Y","N")</f>
        <v>N</v>
      </c>
    </row>
    <row r="2985" customFormat="false" ht="15" hidden="false" customHeight="true" outlineLevel="0" collapsed="false">
      <c r="A2985" s="8" t="s">
        <v>1059</v>
      </c>
      <c r="B2985" s="8" t="s">
        <v>87</v>
      </c>
      <c r="C2985" s="19" t="n">
        <v>1700</v>
      </c>
      <c r="D2985" s="19" t="n">
        <v>32023.54</v>
      </c>
      <c r="E2985" s="19" t="n">
        <v>1400</v>
      </c>
      <c r="F2985" s="19" t="n">
        <v>22980.19</v>
      </c>
      <c r="G2985" s="8" t="str">
        <f aca="false">IFERROR(INDEX('TRANS'!$B:$B,MATCH($B2985,'TRANS'!$A:$A,0)),IFERROR(INDEX('TRANS'!$B:$B,MATCH(TRIM(SUBSTITUTE($B2985,CHAR(160)," ")),'TRANS'!$D:$D,0)),IFERROR(INDEX('Catalog'!$A:$A,MATCH($B2985,'Catalog'!$B:$B,0)),IFERROR(INDEX('Catalog'!$A:$A,MATCH(TRIM(SUBSTITUTE($B2985,CHAR(160)," ")),'Catalog'!$C:$C,0)),""))))</f>
        <v/>
      </c>
      <c r="H2985" s="8" t="str">
        <f aca="false">IFERROR(INDEX('TRANS'!$C:$C,MATCH($B2985,'TRANS'!$A:$A,0)),IFERROR(INDEX('Catalog'!$B:$B,MATCH($G2985,'Catalog'!$A:$A,0)),$B2985))</f>
        <v>808KTP-C</v>
      </c>
      <c r="I2985" s="8" t="str">
        <f aca="false">IF($G2985="","Unmatched","Matched")</f>
        <v>Unmatched</v>
      </c>
      <c r="J2985" s="8" t="str">
        <f aca="false">IF($G2985&lt;&gt;"",$G2985,$B2985)</f>
        <v>808KTP-C</v>
      </c>
      <c r="K2985" s="8" t="str">
        <f aca="false">IF(COUNTIF($M$1:$M$10,$A2985)&gt;0,"Y","N")</f>
        <v>N</v>
      </c>
    </row>
    <row r="2986" customFormat="false" ht="15" hidden="false" customHeight="true" outlineLevel="0" collapsed="false">
      <c r="A2986" s="8" t="s">
        <v>1059</v>
      </c>
      <c r="B2986" s="8" t="s">
        <v>164</v>
      </c>
      <c r="C2986" s="19" t="n">
        <v>1600</v>
      </c>
      <c r="D2986" s="19" t="n">
        <v>30065.76</v>
      </c>
      <c r="E2986" s="19" t="n">
        <v>1300</v>
      </c>
      <c r="F2986" s="19" t="n">
        <v>21555.45</v>
      </c>
      <c r="G2986" s="8" t="str">
        <f aca="false">IFERROR(INDEX('TRANS'!$B:$B,MATCH($B2986,'TRANS'!$A:$A,0)),IFERROR(INDEX('TRANS'!$B:$B,MATCH(TRIM(SUBSTITUTE($B2986,CHAR(160)," ")),'TRANS'!$D:$D,0)),IFERROR(INDEX('Catalog'!$A:$A,MATCH($B2986,'Catalog'!$B:$B,0)),IFERROR(INDEX('Catalog'!$A:$A,MATCH(TRIM(SUBSTITUTE($B2986,CHAR(160)," ")),'Catalog'!$C:$C,0)),""))))</f>
        <v/>
      </c>
      <c r="H2986" s="8" t="str">
        <f aca="false">IFERROR(INDEX('TRANS'!$C:$C,MATCH($B2986,'TRANS'!$A:$A,0)),IFERROR(INDEX('Catalog'!$B:$B,MATCH($G2986,'Catalog'!$A:$A,0)),$B2986))</f>
        <v>808KTP-P</v>
      </c>
      <c r="I2986" s="8" t="str">
        <f aca="false">IF($G2986="","Unmatched","Matched")</f>
        <v>Unmatched</v>
      </c>
      <c r="J2986" s="8" t="str">
        <f aca="false">IF($G2986&lt;&gt;"",$G2986,$B2986)</f>
        <v>808KTP-P</v>
      </c>
      <c r="K2986" s="8" t="str">
        <f aca="false">IF(COUNTIF($M$1:$M$10,$A2986)&gt;0,"Y","N")</f>
        <v>N</v>
      </c>
    </row>
    <row r="2987" customFormat="false" ht="15" hidden="false" customHeight="true" outlineLevel="0" collapsed="false">
      <c r="A2987" s="8" t="s">
        <v>1059</v>
      </c>
      <c r="B2987" s="8" t="s">
        <v>708</v>
      </c>
      <c r="C2987" s="19" t="n">
        <v>360</v>
      </c>
      <c r="D2987" s="19" t="n">
        <v>11222.39</v>
      </c>
      <c r="E2987" s="19" t="n">
        <v>230</v>
      </c>
      <c r="F2987" s="19" t="n">
        <v>6417.16</v>
      </c>
      <c r="G2987" s="8" t="n">
        <f aca="false">IFERROR(INDEX('TRANS'!$B:$B,MATCH($B2987,'TRANS'!$A:$A,0)),IFERROR(INDEX('TRANS'!$B:$B,MATCH(TRIM(SUBSTITUTE($B2987,CHAR(160)," ")),'TRANS'!$D:$D,0)),IFERROR(INDEX('Catalog'!$A:$A,MATCH($B2987,'Catalog'!$B:$B,0)),IFERROR(INDEX('Catalog'!$A:$A,MATCH(TRIM(SUBSTITUTE($B2987,CHAR(160)," ")),'Catalog'!$C:$C,0)),""))))</f>
        <v>4413135</v>
      </c>
      <c r="H2987" s="8" t="str">
        <f aca="false">IFERROR(INDEX('TRANS'!$C:$C,MATCH($B2987,'TRANS'!$A:$A,0)),IFERROR(INDEX('Catalog'!$B:$B,MATCH($G2987,'Catalog'!$A:$A,0)),$B2987))</f>
        <v>85 L (מתלה ליד )כיס</v>
      </c>
      <c r="I2987" s="8" t="str">
        <f aca="false">IF($G2987="","Unmatched","Matched")</f>
        <v>Matched</v>
      </c>
      <c r="J2987" s="8" t="n">
        <f aca="false">IF($G2987&lt;&gt;"",$G2987,$B2987)</f>
        <v>4413135</v>
      </c>
      <c r="K2987" s="8" t="str">
        <f aca="false">IF(COUNTIF($M$1:$M$10,$A2987)&gt;0,"Y","N")</f>
        <v>N</v>
      </c>
    </row>
    <row r="2988" customFormat="false" ht="15" hidden="false" customHeight="true" outlineLevel="0" collapsed="false">
      <c r="A2988" s="8" t="s">
        <v>1059</v>
      </c>
      <c r="B2988" s="8" t="s">
        <v>709</v>
      </c>
      <c r="C2988" s="19" t="n">
        <v>320</v>
      </c>
      <c r="D2988" s="19" t="n">
        <v>9921.33</v>
      </c>
      <c r="E2988" s="19" t="n">
        <v>190</v>
      </c>
      <c r="F2988" s="19" t="n">
        <v>5248.11</v>
      </c>
      <c r="G2988" s="8" t="n">
        <f aca="false">IFERROR(INDEX('TRANS'!$B:$B,MATCH($B2988,'TRANS'!$A:$A,0)),IFERROR(INDEX('TRANS'!$B:$B,MATCH(TRIM(SUBSTITUTE($B2988,CHAR(160)," ")),'TRANS'!$D:$D,0)),IFERROR(INDEX('Catalog'!$A:$A,MATCH($B2988,'Catalog'!$B:$B,0)),IFERROR(INDEX('Catalog'!$A:$A,MATCH(TRIM(SUBSTITUTE($B2988,CHAR(160)," ")),'Catalog'!$C:$C,0)),""))))</f>
        <v>4413136</v>
      </c>
      <c r="H2988" s="8" t="str">
        <f aca="false">IFERROR(INDEX('TRANS'!$C:$C,MATCH($B2988,'TRANS'!$A:$A,0)),IFERROR(INDEX('Catalog'!$B:$B,MATCH($G2988,'Catalog'!$A:$A,0)),$B2988))</f>
        <v>85 M (מתלה ליד )כיס</v>
      </c>
      <c r="I2988" s="8" t="str">
        <f aca="false">IF($G2988="","Unmatched","Matched")</f>
        <v>Matched</v>
      </c>
      <c r="J2988" s="8" t="n">
        <f aca="false">IF($G2988&lt;&gt;"",$G2988,$B2988)</f>
        <v>4413136</v>
      </c>
      <c r="K2988" s="8" t="str">
        <f aca="false">IF(COUNTIF($M$1:$M$10,$A2988)&gt;0,"Y","N")</f>
        <v>N</v>
      </c>
    </row>
    <row r="2989" customFormat="false" ht="15" hidden="false" customHeight="true" outlineLevel="0" collapsed="false">
      <c r="A2989" s="8" t="s">
        <v>1059</v>
      </c>
      <c r="B2989" s="8" t="s">
        <v>963</v>
      </c>
      <c r="C2989" s="19" t="n">
        <v>110</v>
      </c>
      <c r="D2989" s="19" t="n">
        <v>3432.26</v>
      </c>
      <c r="E2989" s="19" t="n">
        <v>20</v>
      </c>
      <c r="F2989" s="19" t="n">
        <v>583.98</v>
      </c>
      <c r="G2989" s="8" t="n">
        <f aca="false">IFERROR(INDEX('TRANS'!$B:$B,MATCH($B2989,'TRANS'!$A:$A,0)),IFERROR(INDEX('TRANS'!$B:$B,MATCH(TRIM(SUBSTITUTE($B2989,CHAR(160)," ")),'TRANS'!$D:$D,0)),IFERROR(INDEX('Catalog'!$A:$A,MATCH($B2989,'Catalog'!$B:$B,0)),IFERROR(INDEX('Catalog'!$A:$A,MATCH(TRIM(SUBSTITUTE($B2989,CHAR(160)," ")),'Catalog'!$C:$C,0)),""))))</f>
        <v>4413137</v>
      </c>
      <c r="H2989" s="8" t="str">
        <f aca="false">IFERROR(INDEX('TRANS'!$C:$C,MATCH($B2989,'TRANS'!$A:$A,0)),IFERROR(INDEX('Catalog'!$B:$B,MATCH($G2989,'Catalog'!$A:$A,0)),$B2989))</f>
        <v>85 S (מתלה ליד )כיס</v>
      </c>
      <c r="I2989" s="8" t="str">
        <f aca="false">IF($G2989="","Unmatched","Matched")</f>
        <v>Matched</v>
      </c>
      <c r="J2989" s="8" t="n">
        <f aca="false">IF($G2989&lt;&gt;"",$G2989,$B2989)</f>
        <v>4413137</v>
      </c>
      <c r="K2989" s="8" t="str">
        <f aca="false">IF(COUNTIF($M$1:$M$10,$A2989)&gt;0,"Y","N")</f>
        <v>N</v>
      </c>
    </row>
    <row r="2990" customFormat="false" ht="15" hidden="false" customHeight="true" outlineLevel="0" collapsed="false">
      <c r="A2990" s="8" t="s">
        <v>1059</v>
      </c>
      <c r="B2990" s="8" t="s">
        <v>710</v>
      </c>
      <c r="C2990" s="19" t="n">
        <v>170</v>
      </c>
      <c r="D2990" s="19" t="n">
        <v>5328.74</v>
      </c>
      <c r="E2990" s="19" t="n">
        <v>80</v>
      </c>
      <c r="F2990" s="19" t="n">
        <v>2208.1</v>
      </c>
      <c r="G2990" s="8" t="n">
        <f aca="false">IFERROR(INDEX('TRANS'!$B:$B,MATCH($B2990,'TRANS'!$A:$A,0)),IFERROR(INDEX('TRANS'!$B:$B,MATCH(TRIM(SUBSTITUTE($B2990,CHAR(160)," ")),'TRANS'!$D:$D,0)),IFERROR(INDEX('Catalog'!$A:$A,MATCH($B2990,'Catalog'!$B:$B,0)),IFERROR(INDEX('Catalog'!$A:$A,MATCH(TRIM(SUBSTITUTE($B2990,CHAR(160)," ")),'Catalog'!$C:$C,0)),""))))</f>
        <v>4413138</v>
      </c>
      <c r="H2990" s="8" t="str">
        <f aca="false">IFERROR(INDEX('TRANS'!$C:$C,MATCH($B2990,'TRANS'!$A:$A,0)),IFERROR(INDEX('Catalog'!$B:$B,MATCH($G2990,'Catalog'!$A:$A,0)),$B2990))</f>
        <v>85 XL (מתלה ליד )כיס</v>
      </c>
      <c r="I2990" s="8" t="str">
        <f aca="false">IF($G2990="","Unmatched","Matched")</f>
        <v>Matched</v>
      </c>
      <c r="J2990" s="8" t="n">
        <f aca="false">IF($G2990&lt;&gt;"",$G2990,$B2990)</f>
        <v>4413138</v>
      </c>
      <c r="K2990" s="8" t="str">
        <f aca="false">IF(COUNTIF($M$1:$M$10,$A2990)&gt;0,"Y","N")</f>
        <v>N</v>
      </c>
    </row>
    <row r="2991" customFormat="false" ht="15" hidden="false" customHeight="true" outlineLevel="0" collapsed="false">
      <c r="A2991" s="8" t="s">
        <v>1059</v>
      </c>
      <c r="B2991" s="8" t="s">
        <v>715</v>
      </c>
      <c r="C2991" s="19" t="n">
        <v>230</v>
      </c>
      <c r="D2991" s="19" t="n">
        <v>8815.84</v>
      </c>
      <c r="E2991" s="19" t="n">
        <v>120</v>
      </c>
      <c r="F2991" s="19" t="n">
        <v>4074.97</v>
      </c>
      <c r="G2991" s="8" t="n">
        <f aca="false">IFERROR(INDEX('TRANS'!$B:$B,MATCH($B2991,'TRANS'!$A:$A,0)),IFERROR(INDEX('TRANS'!$B:$B,MATCH(TRIM(SUBSTITUTE($B2991,CHAR(160)," ")),'TRANS'!$D:$D,0)),IFERROR(INDEX('Catalog'!$A:$A,MATCH($B2991,'Catalog'!$B:$B,0)),IFERROR(INDEX('Catalog'!$A:$A,MATCH(TRIM(SUBSTITUTE($B2991,CHAR(160)," ")),'Catalog'!$C:$C,0)),""))))</f>
        <v>4413455</v>
      </c>
      <c r="H2991" s="8" t="str">
        <f aca="false">IFERROR(INDEX('TRANS'!$C:$C,MATCH($B2991,'TRANS'!$A:$A,0)),IFERROR(INDEX('Catalog'!$B:$B,MATCH($G2991,'Catalog'!$A:$A,0)),$B2991))</f>
        <v>85K מתלה ליד לילדים</v>
      </c>
      <c r="I2991" s="8" t="str">
        <f aca="false">IF($G2991="","Unmatched","Matched")</f>
        <v>Matched</v>
      </c>
      <c r="J2991" s="8" t="n">
        <f aca="false">IF($G2991&lt;&gt;"",$G2991,$B2991)</f>
        <v>4413455</v>
      </c>
      <c r="K2991" s="8" t="str">
        <f aca="false">IF(COUNTIF($M$1:$M$10,$A2991)&gt;0,"Y","N")</f>
        <v>N</v>
      </c>
    </row>
    <row r="2992" customFormat="false" ht="15" hidden="false" customHeight="true" outlineLevel="0" collapsed="false">
      <c r="A2992" s="8" t="s">
        <v>1059</v>
      </c>
      <c r="B2992" s="8" t="s">
        <v>836</v>
      </c>
      <c r="C2992" s="19" t="n">
        <v>90</v>
      </c>
      <c r="D2992" s="19" t="n">
        <v>1296.79</v>
      </c>
      <c r="E2992" s="19" t="n">
        <v>40</v>
      </c>
      <c r="F2992" s="19" t="n">
        <v>520.31</v>
      </c>
      <c r="G2992" s="8" t="n">
        <f aca="false">IFERROR(INDEX('TRANS'!$B:$B,MATCH($B2992,'TRANS'!$A:$A,0)),IFERROR(INDEX('TRANS'!$B:$B,MATCH(TRIM(SUBSTITUTE($B2992,CHAR(160)," ")),'TRANS'!$D:$D,0)),IFERROR(INDEX('Catalog'!$A:$A,MATCH($B2992,'Catalog'!$B:$B,0)),IFERROR(INDEX('Catalog'!$A:$A,MATCH(TRIM(SUBSTITUTE($B2992,CHAR(160)," ")),'Catalog'!$C:$C,0)),""))))</f>
        <v>4413139</v>
      </c>
      <c r="H2992" s="8" t="str">
        <f aca="false">IFERROR(INDEX('TRANS'!$C:$C,MATCH($B2992,'TRANS'!$A:$A,0)),IFERROR(INDEX('Catalog'!$B:$B,MATCH($G2992,'Catalog'!$A:$A,0)),$B2992))</f>
        <v>95 L מגן מרפק רגיל לבן</v>
      </c>
      <c r="I2992" s="8" t="str">
        <f aca="false">IF($G2992="","Unmatched","Matched")</f>
        <v>Matched</v>
      </c>
      <c r="J2992" s="8" t="n">
        <f aca="false">IF($G2992&lt;&gt;"",$G2992,$B2992)</f>
        <v>4413139</v>
      </c>
      <c r="K2992" s="8" t="str">
        <f aca="false">IF(COUNTIF($M$1:$M$10,$A2992)&gt;0,"Y","N")</f>
        <v>N</v>
      </c>
    </row>
    <row r="2993" customFormat="false" ht="15" hidden="false" customHeight="true" outlineLevel="0" collapsed="false">
      <c r="A2993" s="8" t="s">
        <v>1059</v>
      </c>
      <c r="B2993" s="8" t="s">
        <v>716</v>
      </c>
      <c r="C2993" s="19" t="n">
        <v>120</v>
      </c>
      <c r="D2993" s="19" t="n">
        <v>1725.64</v>
      </c>
      <c r="E2993" s="19" t="n">
        <v>40</v>
      </c>
      <c r="F2993" s="19" t="n">
        <v>525.4</v>
      </c>
      <c r="G2993" s="8" t="n">
        <f aca="false">IFERROR(INDEX('TRANS'!$B:$B,MATCH($B2993,'TRANS'!$A:$A,0)),IFERROR(INDEX('TRANS'!$B:$B,MATCH(TRIM(SUBSTITUTE($B2993,CHAR(160)," ")),'TRANS'!$D:$D,0)),IFERROR(INDEX('Catalog'!$A:$A,MATCH($B2993,'Catalog'!$B:$B,0)),IFERROR(INDEX('Catalog'!$A:$A,MATCH(TRIM(SUBSTITUTE($B2993,CHAR(160)," ")),'Catalog'!$C:$C,0)),""))))</f>
        <v>4413140</v>
      </c>
      <c r="H2993" s="8" t="str">
        <f aca="false">IFERROR(INDEX('TRANS'!$C:$C,MATCH($B2993,'TRANS'!$A:$A,0)),IFERROR(INDEX('Catalog'!$B:$B,MATCH($G2993,'Catalog'!$A:$A,0)),$B2993))</f>
        <v>95 M מגן מרפק רגיל לבן</v>
      </c>
      <c r="I2993" s="8" t="str">
        <f aca="false">IF($G2993="","Unmatched","Matched")</f>
        <v>Matched</v>
      </c>
      <c r="J2993" s="8" t="n">
        <f aca="false">IF($G2993&lt;&gt;"",$G2993,$B2993)</f>
        <v>4413140</v>
      </c>
      <c r="K2993" s="8" t="str">
        <f aca="false">IF(COUNTIF($M$1:$M$10,$A2993)&gt;0,"Y","N")</f>
        <v>N</v>
      </c>
    </row>
    <row r="2994" customFormat="false" ht="15" hidden="false" customHeight="true" outlineLevel="0" collapsed="false">
      <c r="A2994" s="8" t="s">
        <v>1059</v>
      </c>
      <c r="B2994" s="8" t="s">
        <v>837</v>
      </c>
      <c r="C2994" s="19" t="n">
        <v>90</v>
      </c>
      <c r="D2994" s="19" t="n">
        <v>1304.22</v>
      </c>
      <c r="E2994" s="19" t="n">
        <v>20</v>
      </c>
      <c r="F2994" s="19" t="n">
        <v>270.09</v>
      </c>
      <c r="G2994" s="8" t="n">
        <f aca="false">IFERROR(INDEX('TRANS'!$B:$B,MATCH($B2994,'TRANS'!$A:$A,0)),IFERROR(INDEX('TRANS'!$B:$B,MATCH(TRIM(SUBSTITUTE($B2994,CHAR(160)," ")),'TRANS'!$D:$D,0)),IFERROR(INDEX('Catalog'!$A:$A,MATCH($B2994,'Catalog'!$B:$B,0)),IFERROR(INDEX('Catalog'!$A:$A,MATCH(TRIM(SUBSTITUTE($B2994,CHAR(160)," ")),'Catalog'!$C:$C,0)),""))))</f>
        <v>4413141</v>
      </c>
      <c r="H2994" s="8" t="str">
        <f aca="false">IFERROR(INDEX('TRANS'!$C:$C,MATCH($B2994,'TRANS'!$A:$A,0)),IFERROR(INDEX('Catalog'!$B:$B,MATCH($G2994,'Catalog'!$A:$A,0)),$B2994))</f>
        <v>95 S מגן מרפק רגיל לבן</v>
      </c>
      <c r="I2994" s="8" t="str">
        <f aca="false">IF($G2994="","Unmatched","Matched")</f>
        <v>Matched</v>
      </c>
      <c r="J2994" s="8" t="n">
        <f aca="false">IF($G2994&lt;&gt;"",$G2994,$B2994)</f>
        <v>4413141</v>
      </c>
      <c r="K2994" s="8" t="str">
        <f aca="false">IF(COUNTIF($M$1:$M$10,$A2994)&gt;0,"Y","N")</f>
        <v>N</v>
      </c>
    </row>
    <row r="2995" customFormat="false" ht="15" hidden="false" customHeight="true" outlineLevel="0" collapsed="false">
      <c r="A2995" s="8" t="s">
        <v>1059</v>
      </c>
      <c r="B2995" s="8" t="s">
        <v>717</v>
      </c>
      <c r="C2995" s="19" t="n">
        <v>320</v>
      </c>
      <c r="D2995" s="19" t="n">
        <v>4543.74</v>
      </c>
      <c r="E2995" s="19" t="n">
        <v>190</v>
      </c>
      <c r="F2995" s="19" t="n">
        <v>2462.67</v>
      </c>
      <c r="G2995" s="8" t="n">
        <f aca="false">IFERROR(INDEX('TRANS'!$B:$B,MATCH($B2995,'TRANS'!$A:$A,0)),IFERROR(INDEX('TRANS'!$B:$B,MATCH(TRIM(SUBSTITUTE($B2995,CHAR(160)," ")),'TRANS'!$D:$D,0)),IFERROR(INDEX('Catalog'!$A:$A,MATCH($B2995,'Catalog'!$B:$B,0)),IFERROR(INDEX('Catalog'!$A:$A,MATCH(TRIM(SUBSTITUTE($B2995,CHAR(160)," ")),'Catalog'!$C:$C,0)),""))))</f>
        <v>4413500</v>
      </c>
      <c r="H2995" s="8" t="str">
        <f aca="false">IFERROR(INDEX('TRANS'!$C:$C,MATCH($B2995,'TRANS'!$A:$A,0)),IFERROR(INDEX('Catalog'!$B:$B,MATCH($G2995,'Catalog'!$A:$A,0)),$B2995))</f>
        <v>95B L מגן מרפק שחור</v>
      </c>
      <c r="I2995" s="8" t="str">
        <f aca="false">IF($G2995="","Unmatched","Matched")</f>
        <v>Matched</v>
      </c>
      <c r="J2995" s="8" t="n">
        <f aca="false">IF($G2995&lt;&gt;"",$G2995,$B2995)</f>
        <v>4413500</v>
      </c>
      <c r="K2995" s="8" t="str">
        <f aca="false">IF(COUNTIF($M$1:$M$10,$A2995)&gt;0,"Y","N")</f>
        <v>N</v>
      </c>
    </row>
    <row r="2996" customFormat="false" ht="15" hidden="false" customHeight="true" outlineLevel="0" collapsed="false">
      <c r="A2996" s="8" t="s">
        <v>1059</v>
      </c>
      <c r="B2996" s="8" t="s">
        <v>718</v>
      </c>
      <c r="C2996" s="19" t="n">
        <v>300</v>
      </c>
      <c r="D2996" s="19" t="n">
        <v>4263.53</v>
      </c>
      <c r="E2996" s="19" t="n">
        <v>100</v>
      </c>
      <c r="F2996" s="19" t="n">
        <v>1280.9</v>
      </c>
      <c r="G2996" s="8" t="n">
        <f aca="false">IFERROR(INDEX('TRANS'!$B:$B,MATCH($B2996,'TRANS'!$A:$A,0)),IFERROR(INDEX('TRANS'!$B:$B,MATCH(TRIM(SUBSTITUTE($B2996,CHAR(160)," ")),'TRANS'!$D:$D,0)),IFERROR(INDEX('Catalog'!$A:$A,MATCH($B2996,'Catalog'!$B:$B,0)),IFERROR(INDEX('Catalog'!$A:$A,MATCH(TRIM(SUBSTITUTE($B2996,CHAR(160)," ")),'Catalog'!$C:$C,0)),""))))</f>
        <v>4413501</v>
      </c>
      <c r="H2996" s="8" t="str">
        <f aca="false">IFERROR(INDEX('TRANS'!$C:$C,MATCH($B2996,'TRANS'!$A:$A,0)),IFERROR(INDEX('Catalog'!$B:$B,MATCH($G2996,'Catalog'!$A:$A,0)),$B2996))</f>
        <v>95B M מגן מרפק שחור</v>
      </c>
      <c r="I2996" s="8" t="str">
        <f aca="false">IF($G2996="","Unmatched","Matched")</f>
        <v>Matched</v>
      </c>
      <c r="J2996" s="8" t="n">
        <f aca="false">IF($G2996&lt;&gt;"",$G2996,$B2996)</f>
        <v>4413501</v>
      </c>
      <c r="K2996" s="8" t="str">
        <f aca="false">IF(COUNTIF($M$1:$M$10,$A2996)&gt;0,"Y","N")</f>
        <v>N</v>
      </c>
    </row>
    <row r="2997" customFormat="false" ht="15" hidden="false" customHeight="true" outlineLevel="0" collapsed="false">
      <c r="A2997" s="8" t="s">
        <v>1059</v>
      </c>
      <c r="B2997" s="8" t="s">
        <v>719</v>
      </c>
      <c r="C2997" s="19" t="n">
        <v>220</v>
      </c>
      <c r="D2997" s="19" t="n">
        <v>3151.31</v>
      </c>
      <c r="E2997" s="19" t="n">
        <v>60</v>
      </c>
      <c r="F2997" s="19" t="n">
        <v>765.93</v>
      </c>
      <c r="G2997" s="8" t="n">
        <f aca="false">IFERROR(INDEX('TRANS'!$B:$B,MATCH($B2997,'TRANS'!$A:$A,0)),IFERROR(INDEX('TRANS'!$B:$B,MATCH(TRIM(SUBSTITUTE($B2997,CHAR(160)," ")),'TRANS'!$D:$D,0)),IFERROR(INDEX('Catalog'!$A:$A,MATCH($B2997,'Catalog'!$B:$B,0)),IFERROR(INDEX('Catalog'!$A:$A,MATCH(TRIM(SUBSTITUTE($B2997,CHAR(160)," ")),'Catalog'!$C:$C,0)),""))))</f>
        <v>4413502</v>
      </c>
      <c r="H2997" s="8" t="str">
        <f aca="false">IFERROR(INDEX('TRANS'!$C:$C,MATCH($B2997,'TRANS'!$A:$A,0)),IFERROR(INDEX('Catalog'!$B:$B,MATCH($G2997,'Catalog'!$A:$A,0)),$B2997))</f>
        <v>95B S מגן מרפק שחור</v>
      </c>
      <c r="I2997" s="8" t="str">
        <f aca="false">IF($G2997="","Unmatched","Matched")</f>
        <v>Matched</v>
      </c>
      <c r="J2997" s="8" t="n">
        <f aca="false">IF($G2997&lt;&gt;"",$G2997,$B2997)</f>
        <v>4413502</v>
      </c>
      <c r="K2997" s="8" t="str">
        <f aca="false">IF(COUNTIF($M$1:$M$10,$A2997)&gt;0,"Y","N")</f>
        <v>N</v>
      </c>
    </row>
    <row r="2998" customFormat="false" ht="15" hidden="false" customHeight="true" outlineLevel="0" collapsed="false">
      <c r="A2998" s="8" t="s">
        <v>1059</v>
      </c>
      <c r="B2998" s="8" t="s">
        <v>720</v>
      </c>
      <c r="C2998" s="19" t="n">
        <v>170</v>
      </c>
      <c r="D2998" s="19" t="n">
        <v>2444.95</v>
      </c>
      <c r="E2998" s="19" t="n">
        <v>50</v>
      </c>
      <c r="F2998" s="19" t="n">
        <v>635.73</v>
      </c>
      <c r="G2998" s="8" t="n">
        <f aca="false">IFERROR(INDEX('TRANS'!$B:$B,MATCH($B2998,'TRANS'!$A:$A,0)),IFERROR(INDEX('TRANS'!$B:$B,MATCH(TRIM(SUBSTITUTE($B2998,CHAR(160)," ")),'TRANS'!$D:$D,0)),IFERROR(INDEX('Catalog'!$A:$A,MATCH($B2998,'Catalog'!$B:$B,0)),IFERROR(INDEX('Catalog'!$A:$A,MATCH(TRIM(SUBSTITUTE($B2998,CHAR(160)," ")),'Catalog'!$C:$C,0)),""))))</f>
        <v>4413503</v>
      </c>
      <c r="H2998" s="8" t="str">
        <f aca="false">IFERROR(INDEX('TRANS'!$C:$C,MATCH($B2998,'TRANS'!$A:$A,0)),IFERROR(INDEX('Catalog'!$B:$B,MATCH($G2998,'Catalog'!$A:$A,0)),$B2998))</f>
        <v>95B XL מגן מרפק שחור</v>
      </c>
      <c r="I2998" s="8" t="str">
        <f aca="false">IF($G2998="","Unmatched","Matched")</f>
        <v>Matched</v>
      </c>
      <c r="J2998" s="8" t="n">
        <f aca="false">IF($G2998&lt;&gt;"",$G2998,$B2998)</f>
        <v>4413503</v>
      </c>
      <c r="K2998" s="8" t="str">
        <f aca="false">IF(COUNTIF($M$1:$M$10,$A2998)&gt;0,"Y","N")</f>
        <v>N</v>
      </c>
    </row>
    <row r="2999" customFormat="false" ht="15" hidden="false" customHeight="true" outlineLevel="0" collapsed="false">
      <c r="A2999" s="8" t="s">
        <v>1059</v>
      </c>
      <c r="B2999" s="8" t="s">
        <v>721</v>
      </c>
      <c r="C2999" s="19" t="n">
        <v>140</v>
      </c>
      <c r="D2999" s="19" t="n">
        <v>2022.47</v>
      </c>
      <c r="E2999" s="19" t="n">
        <v>20</v>
      </c>
      <c r="F2999" s="19" t="n">
        <v>250.22</v>
      </c>
      <c r="G2999" s="8" t="n">
        <f aca="false">IFERROR(INDEX('TRANS'!$B:$B,MATCH($B2999,'TRANS'!$A:$A,0)),IFERROR(INDEX('TRANS'!$B:$B,MATCH(TRIM(SUBSTITUTE($B2999,CHAR(160)," ")),'TRANS'!$D:$D,0)),IFERROR(INDEX('Catalog'!$A:$A,MATCH($B2999,'Catalog'!$B:$B,0)),IFERROR(INDEX('Catalog'!$A:$A,MATCH(TRIM(SUBSTITUTE($B2999,CHAR(160)," ")),'Catalog'!$C:$C,0)),""))))</f>
        <v>4413365</v>
      </c>
      <c r="H2999" s="8" t="str">
        <f aca="false">IFERROR(INDEX('TRANS'!$C:$C,MATCH($B2999,'TRANS'!$A:$A,0)),IFERROR(INDEX('Catalog'!$B:$B,MATCH($G2999,'Catalog'!$A:$A,0)),$B2999))</f>
        <v>95C L 'מגן מרפק בז</v>
      </c>
      <c r="I2999" s="8" t="str">
        <f aca="false">IF($G2999="","Unmatched","Matched")</f>
        <v>Matched</v>
      </c>
      <c r="J2999" s="8" t="n">
        <f aca="false">IF($G2999&lt;&gt;"",$G2999,$B2999)</f>
        <v>4413365</v>
      </c>
      <c r="K2999" s="8" t="str">
        <f aca="false">IF(COUNTIF($M$1:$M$10,$A2999)&gt;0,"Y","N")</f>
        <v>N</v>
      </c>
    </row>
    <row r="3000" customFormat="false" ht="15" hidden="false" customHeight="true" outlineLevel="0" collapsed="false">
      <c r="A3000" s="8" t="s">
        <v>1059</v>
      </c>
      <c r="B3000" s="8" t="s">
        <v>722</v>
      </c>
      <c r="C3000" s="19" t="n">
        <v>170</v>
      </c>
      <c r="D3000" s="19" t="n">
        <v>2469.69</v>
      </c>
      <c r="E3000" s="19" t="n">
        <v>80</v>
      </c>
      <c r="F3000" s="19" t="n">
        <v>1045.97</v>
      </c>
      <c r="G3000" s="8" t="n">
        <f aca="false">IFERROR(INDEX('TRANS'!$B:$B,MATCH($B3000,'TRANS'!$A:$A,0)),IFERROR(INDEX('TRANS'!$B:$B,MATCH(TRIM(SUBSTITUTE($B3000,CHAR(160)," ")),'TRANS'!$D:$D,0)),IFERROR(INDEX('Catalog'!$A:$A,MATCH($B3000,'Catalog'!$B:$B,0)),IFERROR(INDEX('Catalog'!$A:$A,MATCH(TRIM(SUBSTITUTE($B3000,CHAR(160)," ")),'Catalog'!$C:$C,0)),""))))</f>
        <v>4413364</v>
      </c>
      <c r="H3000" s="8" t="str">
        <f aca="false">IFERROR(INDEX('TRANS'!$C:$C,MATCH($B3000,'TRANS'!$A:$A,0)),IFERROR(INDEX('Catalog'!$B:$B,MATCH($G3000,'Catalog'!$A:$A,0)),$B3000))</f>
        <v>95C M 'מגן מרפק בז</v>
      </c>
      <c r="I3000" s="8" t="str">
        <f aca="false">IF($G3000="","Unmatched","Matched")</f>
        <v>Matched</v>
      </c>
      <c r="J3000" s="8" t="n">
        <f aca="false">IF($G3000&lt;&gt;"",$G3000,$B3000)</f>
        <v>4413364</v>
      </c>
      <c r="K3000" s="8" t="str">
        <f aca="false">IF(COUNTIF($M$1:$M$10,$A3000)&gt;0,"Y","N")</f>
        <v>N</v>
      </c>
    </row>
    <row r="3001" customFormat="false" ht="15" hidden="false" customHeight="true" outlineLevel="0" collapsed="false">
      <c r="A3001" s="8" t="s">
        <v>1059</v>
      </c>
      <c r="B3001" s="8" t="s">
        <v>839</v>
      </c>
      <c r="C3001" s="19" t="n">
        <v>132</v>
      </c>
      <c r="D3001" s="19" t="n">
        <v>1887.79</v>
      </c>
      <c r="E3001" s="19" t="n">
        <v>40</v>
      </c>
      <c r="F3001" s="19" t="n">
        <v>520.31</v>
      </c>
      <c r="G3001" s="8" t="n">
        <f aca="false">IFERROR(INDEX('TRANS'!$B:$B,MATCH($B3001,'TRANS'!$A:$A,0)),IFERROR(INDEX('TRANS'!$B:$B,MATCH(TRIM(SUBSTITUTE($B3001,CHAR(160)," ")),'TRANS'!$D:$D,0)),IFERROR(INDEX('Catalog'!$A:$A,MATCH($B3001,'Catalog'!$B:$B,0)),IFERROR(INDEX('Catalog'!$A:$A,MATCH(TRIM(SUBSTITUTE($B3001,CHAR(160)," ")),'Catalog'!$C:$C,0)),""))))</f>
        <v>4413366</v>
      </c>
      <c r="H3001" s="8" t="str">
        <f aca="false">IFERROR(INDEX('TRANS'!$C:$C,MATCH($B3001,'TRANS'!$A:$A,0)),IFERROR(INDEX('Catalog'!$B:$B,MATCH($G3001,'Catalog'!$A:$A,0)),$B3001))</f>
        <v>95C S 'מגן מרפק בז</v>
      </c>
      <c r="I3001" s="8" t="str">
        <f aca="false">IF($G3001="","Unmatched","Matched")</f>
        <v>Matched</v>
      </c>
      <c r="J3001" s="8" t="n">
        <f aca="false">IF($G3001&lt;&gt;"",$G3001,$B3001)</f>
        <v>4413366</v>
      </c>
      <c r="K3001" s="8" t="str">
        <f aca="false">IF(COUNTIF($M$1:$M$10,$A3001)&gt;0,"Y","N")</f>
        <v>N</v>
      </c>
    </row>
    <row r="3002" customFormat="false" ht="15" hidden="false" customHeight="true" outlineLevel="0" collapsed="false">
      <c r="A3002" s="8" t="s">
        <v>1059</v>
      </c>
      <c r="B3002" s="8" t="s">
        <v>840</v>
      </c>
      <c r="C3002" s="19" t="n">
        <v>90</v>
      </c>
      <c r="D3002" s="19" t="n">
        <v>1302.74</v>
      </c>
      <c r="E3002" s="19" t="n">
        <v>30</v>
      </c>
      <c r="F3002" s="19" t="n">
        <v>385.52</v>
      </c>
      <c r="G3002" s="8" t="n">
        <f aca="false">IFERROR(INDEX('TRANS'!$B:$B,MATCH($B3002,'TRANS'!$A:$A,0)),IFERROR(INDEX('TRANS'!$B:$B,MATCH(TRIM(SUBSTITUTE($B3002,CHAR(160)," ")),'TRANS'!$D:$D,0)),IFERROR(INDEX('Catalog'!$A:$A,MATCH($B3002,'Catalog'!$B:$B,0)),IFERROR(INDEX('Catalog'!$A:$A,MATCH(TRIM(SUBSTITUTE($B3002,CHAR(160)," ")),'Catalog'!$C:$C,0)),""))))</f>
        <v>4413367</v>
      </c>
      <c r="H3002" s="8" t="str">
        <f aca="false">IFERROR(INDEX('TRANS'!$C:$C,MATCH($B3002,'TRANS'!$A:$A,0)),IFERROR(INDEX('Catalog'!$B:$B,MATCH($G3002,'Catalog'!$A:$A,0)),$B3002))</f>
        <v>95C XL'מגן מרפק בז</v>
      </c>
      <c r="I3002" s="8" t="str">
        <f aca="false">IF($G3002="","Unmatched","Matched")</f>
        <v>Matched</v>
      </c>
      <c r="J3002" s="8" t="n">
        <f aca="false">IF($G3002&lt;&gt;"",$G3002,$B3002)</f>
        <v>4413367</v>
      </c>
      <c r="K3002" s="8" t="str">
        <f aca="false">IF(COUNTIF($M$1:$M$10,$A3002)&gt;0,"Y","N")</f>
        <v>N</v>
      </c>
    </row>
    <row r="3003" customFormat="false" ht="15" hidden="false" customHeight="true" outlineLevel="0" collapsed="false">
      <c r="A3003" s="8" t="s">
        <v>1059</v>
      </c>
      <c r="B3003" s="8" t="s">
        <v>725</v>
      </c>
      <c r="C3003" s="19" t="n">
        <v>690</v>
      </c>
      <c r="D3003" s="19" t="n">
        <v>13751.05</v>
      </c>
      <c r="E3003" s="19" t="n">
        <v>400</v>
      </c>
      <c r="F3003" s="19" t="n">
        <v>7161.24</v>
      </c>
      <c r="G3003" s="8" t="n">
        <f aca="false">IFERROR(INDEX('TRANS'!$B:$B,MATCH($B3003,'TRANS'!$A:$A,0)),IFERROR(INDEX('TRANS'!$B:$B,MATCH(TRIM(SUBSTITUTE($B3003,CHAR(160)," ")),'TRANS'!$D:$D,0)),IFERROR(INDEX('Catalog'!$A:$A,MATCH($B3003,'Catalog'!$B:$B,0)),IFERROR(INDEX('Catalog'!$A:$A,MATCH(TRIM(SUBSTITUTE($B3003,CHAR(160)," ")),'Catalog'!$C:$C,0)),""))))</f>
        <v>4408207</v>
      </c>
      <c r="H3003" s="8" t="str">
        <f aca="false">IFERROR(INDEX('TRANS'!$C:$C,MATCH($B3003,'TRANS'!$A:$A,0)),IFERROR(INDEX('Catalog'!$B:$B,MATCH($G3003,'Catalog'!$A:$A,0)),$B3003))</f>
        <v>AC-25 חבק לשורש כף היד</v>
      </c>
      <c r="I3003" s="8" t="str">
        <f aca="false">IF($G3003="","Unmatched","Matched")</f>
        <v>Matched</v>
      </c>
      <c r="J3003" s="8" t="n">
        <f aca="false">IF($G3003&lt;&gt;"",$G3003,$B3003)</f>
        <v>4408207</v>
      </c>
      <c r="K3003" s="8" t="str">
        <f aca="false">IF(COUNTIF($M$1:$M$10,$A3003)&gt;0,"Y","N")</f>
        <v>N</v>
      </c>
    </row>
    <row r="3004" customFormat="false" ht="15" hidden="false" customHeight="true" outlineLevel="0" collapsed="false">
      <c r="A3004" s="8" t="s">
        <v>1059</v>
      </c>
      <c r="B3004" s="8" t="s">
        <v>726</v>
      </c>
      <c r="C3004" s="19" t="n">
        <v>130</v>
      </c>
      <c r="D3004" s="19" t="n">
        <v>3257.15</v>
      </c>
      <c r="E3004" s="19" t="n">
        <v>50</v>
      </c>
      <c r="F3004" s="19" t="n">
        <v>1125.42</v>
      </c>
      <c r="G3004" s="8" t="n">
        <f aca="false">IFERROR(INDEX('TRANS'!$B:$B,MATCH($B3004,'TRANS'!$A:$A,0)),IFERROR(INDEX('TRANS'!$B:$B,MATCH(TRIM(SUBSTITUTE($B3004,CHAR(160)," ")),'TRANS'!$D:$D,0)),IFERROR(INDEX('Catalog'!$A:$A,MATCH($B3004,'Catalog'!$B:$B,0)),IFERROR(INDEX('Catalog'!$A:$A,MATCH(TRIM(SUBSTITUTE($B3004,CHAR(160)," ")),'Catalog'!$C:$C,0)),""))))</f>
        <v>4415026</v>
      </c>
      <c r="H3004" s="8" t="str">
        <f aca="false">IFERROR(INDEX('TRANS'!$C:$C,MATCH($B3004,'TRANS'!$A:$A,0)),IFERROR(INDEX('Catalog'!$B:$B,MATCH($G3004,'Catalog'!$A:$A,0)),$B3004))</f>
        <v>AC-27L סד לש.כף יד שמאל</v>
      </c>
      <c r="I3004" s="8" t="str">
        <f aca="false">IF($G3004="","Unmatched","Matched")</f>
        <v>Matched</v>
      </c>
      <c r="J3004" s="8" t="n">
        <f aca="false">IF($G3004&lt;&gt;"",$G3004,$B3004)</f>
        <v>4415026</v>
      </c>
      <c r="K3004" s="8" t="str">
        <f aca="false">IF(COUNTIF($M$1:$M$10,$A3004)&gt;0,"Y","N")</f>
        <v>N</v>
      </c>
    </row>
    <row r="3005" customFormat="false" ht="15" hidden="false" customHeight="true" outlineLevel="0" collapsed="false">
      <c r="A3005" s="8" t="s">
        <v>1059</v>
      </c>
      <c r="B3005" s="8" t="s">
        <v>727</v>
      </c>
      <c r="C3005" s="19" t="n">
        <v>280</v>
      </c>
      <c r="D3005" s="19" t="n">
        <v>7157.1</v>
      </c>
      <c r="E3005" s="19" t="n">
        <v>240</v>
      </c>
      <c r="F3005" s="19" t="n">
        <v>5493.57</v>
      </c>
      <c r="G3005" s="8" t="n">
        <f aca="false">IFERROR(INDEX('TRANS'!$B:$B,MATCH($B3005,'TRANS'!$A:$A,0)),IFERROR(INDEX('TRANS'!$B:$B,MATCH(TRIM(SUBSTITUTE($B3005,CHAR(160)," ")),'TRANS'!$D:$D,0)),IFERROR(INDEX('Catalog'!$A:$A,MATCH($B3005,'Catalog'!$B:$B,0)),IFERROR(INDEX('Catalog'!$A:$A,MATCH(TRIM(SUBSTITUTE($B3005,CHAR(160)," ")),'Catalog'!$C:$C,0)),""))))</f>
        <v>4415027</v>
      </c>
      <c r="H3005" s="8" t="str">
        <f aca="false">IFERROR(INDEX('TRANS'!$C:$C,MATCH($B3005,'TRANS'!$A:$A,0)),IFERROR(INDEX('Catalog'!$B:$B,MATCH($G3005,'Catalog'!$A:$A,0)),$B3005))</f>
        <v>AC-27R סד לש.כף יד ימין</v>
      </c>
      <c r="I3005" s="8" t="str">
        <f aca="false">IF($G3005="","Unmatched","Matched")</f>
        <v>Matched</v>
      </c>
      <c r="J3005" s="8" t="n">
        <f aca="false">IF($G3005&lt;&gt;"",$G3005,$B3005)</f>
        <v>4415027</v>
      </c>
      <c r="K3005" s="8" t="str">
        <f aca="false">IF(COUNTIF($M$1:$M$10,$A3005)&gt;0,"Y","N")</f>
        <v>N</v>
      </c>
    </row>
    <row r="3006" customFormat="false" ht="15" hidden="false" customHeight="true" outlineLevel="0" collapsed="false">
      <c r="A3006" s="8" t="s">
        <v>1059</v>
      </c>
      <c r="B3006" s="8" t="s">
        <v>728</v>
      </c>
      <c r="C3006" s="19" t="n">
        <v>410</v>
      </c>
      <c r="D3006" s="19" t="n">
        <v>8186.61</v>
      </c>
      <c r="E3006" s="19" t="n">
        <v>310</v>
      </c>
      <c r="F3006" s="19" t="n">
        <v>5600.4</v>
      </c>
      <c r="G3006" s="8" t="n">
        <f aca="false">IFERROR(INDEX('TRANS'!$B:$B,MATCH($B3006,'TRANS'!$A:$A,0)),IFERROR(INDEX('TRANS'!$B:$B,MATCH(TRIM(SUBSTITUTE($B3006,CHAR(160)," ")),'TRANS'!$D:$D,0)),IFERROR(INDEX('Catalog'!$A:$A,MATCH($B3006,'Catalog'!$B:$B,0)),IFERROR(INDEX('Catalog'!$A:$A,MATCH(TRIM(SUBSTITUTE($B3006,CHAR(160)," ")),'Catalog'!$C:$C,0)),""))))</f>
        <v>4415028</v>
      </c>
      <c r="H3006" s="8" t="str">
        <f aca="false">IFERROR(INDEX('TRANS'!$C:$C,MATCH($B3006,'TRANS'!$A:$A,0)),IFERROR(INDEX('Catalog'!$B:$B,MATCH($G3006,'Catalog'!$A:$A,0)),$B3006))</f>
        <v>AC-28 סד לאגודל</v>
      </c>
      <c r="I3006" s="8" t="str">
        <f aca="false">IF($G3006="","Unmatched","Matched")</f>
        <v>Matched</v>
      </c>
      <c r="J3006" s="8" t="n">
        <f aca="false">IF($G3006&lt;&gt;"",$G3006,$B3006)</f>
        <v>4415028</v>
      </c>
      <c r="K3006" s="8" t="str">
        <f aca="false">IF(COUNTIF($M$1:$M$10,$A3006)&gt;0,"Y","N")</f>
        <v>N</v>
      </c>
    </row>
    <row r="3007" customFormat="false" ht="15" hidden="false" customHeight="true" outlineLevel="0" collapsed="false">
      <c r="A3007" s="8" t="s">
        <v>1059</v>
      </c>
      <c r="B3007" s="8" t="s">
        <v>729</v>
      </c>
      <c r="C3007" s="19" t="n">
        <v>570</v>
      </c>
      <c r="D3007" s="19" t="n">
        <v>13974.56</v>
      </c>
      <c r="E3007" s="19" t="n">
        <v>310</v>
      </c>
      <c r="F3007" s="19" t="n">
        <v>6836.26</v>
      </c>
      <c r="G3007" s="8" t="n">
        <f aca="false">IFERROR(INDEX('TRANS'!$B:$B,MATCH($B3007,'TRANS'!$A:$A,0)),IFERROR(INDEX('TRANS'!$B:$B,MATCH(TRIM(SUBSTITUTE($B3007,CHAR(160)," ")),'TRANS'!$D:$D,0)),IFERROR(INDEX('Catalog'!$A:$A,MATCH($B3007,'Catalog'!$B:$B,0)),IFERROR(INDEX('Catalog'!$A:$A,MATCH(TRIM(SUBSTITUTE($B3007,CHAR(160)," ")),'Catalog'!$C:$C,0)),""))))</f>
        <v>4413326</v>
      </c>
      <c r="H3007" s="8" t="str">
        <f aca="false">IFERROR(INDEX('TRANS'!$C:$C,MATCH($B3007,'TRANS'!$A:$A,0)),IFERROR(INDEX('Catalog'!$B:$B,MATCH($G3007,'Catalog'!$A:$A,0)),$B3007))</f>
        <v>AC37 מגן קרסול נושם</v>
      </c>
      <c r="I3007" s="8" t="str">
        <f aca="false">IF($G3007="","Unmatched","Matched")</f>
        <v>Matched</v>
      </c>
      <c r="J3007" s="8" t="n">
        <f aca="false">IF($G3007&lt;&gt;"",$G3007,$B3007)</f>
        <v>4413326</v>
      </c>
      <c r="K3007" s="8" t="str">
        <f aca="false">IF(COUNTIF($M$1:$M$10,$A3007)&gt;0,"Y","N")</f>
        <v>N</v>
      </c>
    </row>
    <row r="3008" customFormat="false" ht="15" hidden="false" customHeight="true" outlineLevel="0" collapsed="false">
      <c r="A3008" s="8" t="s">
        <v>1059</v>
      </c>
      <c r="B3008" s="8" t="s">
        <v>560</v>
      </c>
      <c r="C3008" s="19" t="n">
        <v>360</v>
      </c>
      <c r="D3008" s="19" t="n">
        <v>20957.82</v>
      </c>
      <c r="E3008" s="19" t="n">
        <v>220</v>
      </c>
      <c r="F3008" s="19" t="n">
        <v>11484.69</v>
      </c>
      <c r="G3008" s="8" t="n">
        <f aca="false">IFERROR(INDEX('TRANS'!$B:$B,MATCH($B3008,'TRANS'!$A:$A,0)),IFERROR(INDEX('TRANS'!$B:$B,MATCH(TRIM(SUBSTITUTE($B3008,CHAR(160)," ")),'TRANS'!$D:$D,0)),IFERROR(INDEX('Catalog'!$A:$A,MATCH($B3008,'Catalog'!$B:$B,0)),IFERROR(INDEX('Catalog'!$A:$A,MATCH(TRIM(SUBSTITUTE($B3008,CHAR(160)," ")),'Catalog'!$C:$C,0)),""))))</f>
        <v>4413328</v>
      </c>
      <c r="H3008" s="8" t="str">
        <f aca="false">IFERROR(INDEX('TRANS'!$C:$C,MATCH($B3008,'TRANS'!$A:$A,0)),IFERROR(INDEX('Catalog'!$B:$B,MATCH($G3008,'Catalog'!$A:$A,0)),$B3008))</f>
        <v>AC43D מגן ברך + צירים</v>
      </c>
      <c r="I3008" s="8" t="str">
        <f aca="false">IF($G3008="","Unmatched","Matched")</f>
        <v>Matched</v>
      </c>
      <c r="J3008" s="8" t="n">
        <f aca="false">IF($G3008&lt;&gt;"",$G3008,$B3008)</f>
        <v>4413328</v>
      </c>
      <c r="K3008" s="8" t="str">
        <f aca="false">IF(COUNTIF($M$1:$M$10,$A3008)&gt;0,"Y","N")</f>
        <v>N</v>
      </c>
    </row>
    <row r="3009" customFormat="false" ht="15" hidden="false" customHeight="true" outlineLevel="0" collapsed="false">
      <c r="A3009" s="8" t="s">
        <v>1059</v>
      </c>
      <c r="B3009" s="8" t="s">
        <v>731</v>
      </c>
      <c r="C3009" s="19" t="n">
        <v>320</v>
      </c>
      <c r="D3009" s="19" t="n">
        <v>14546.37</v>
      </c>
      <c r="E3009" s="19" t="n">
        <v>210</v>
      </c>
      <c r="F3009" s="19" t="n">
        <v>8492.98</v>
      </c>
      <c r="G3009" s="8" t="n">
        <f aca="false">IFERROR(INDEX('TRANS'!$B:$B,MATCH($B3009,'TRANS'!$A:$A,0)),IFERROR(INDEX('TRANS'!$B:$B,MATCH(TRIM(SUBSTITUTE($B3009,CHAR(160)," ")),'TRANS'!$D:$D,0)),IFERROR(INDEX('Catalog'!$A:$A,MATCH($B3009,'Catalog'!$B:$B,0)),IFERROR(INDEX('Catalog'!$A:$A,MATCH(TRIM(SUBSTITUTE($B3009,CHAR(160)," ")),'Catalog'!$C:$C,0)),""))))</f>
        <v>4413329</v>
      </c>
      <c r="H3009" s="8" t="str">
        <f aca="false">IFERROR(INDEX('TRANS'!$C:$C,MATCH($B3009,'TRANS'!$A:$A,0)),IFERROR(INDEX('Catalog'!$B:$B,MATCH($G3009,'Catalog'!$A:$A,0)),$B3009))</f>
        <v>AC45X מגן ברך עם תמיכות</v>
      </c>
      <c r="I3009" s="8" t="str">
        <f aca="false">IF($G3009="","Unmatched","Matched")</f>
        <v>Matched</v>
      </c>
      <c r="J3009" s="8" t="n">
        <f aca="false">IF($G3009&lt;&gt;"",$G3009,$B3009)</f>
        <v>4413329</v>
      </c>
      <c r="K3009" s="8" t="str">
        <f aca="false">IF(COUNTIF($M$1:$M$10,$A3009)&gt;0,"Y","N")</f>
        <v>N</v>
      </c>
    </row>
    <row r="3010" customFormat="false" ht="15" hidden="false" customHeight="true" outlineLevel="0" collapsed="false">
      <c r="A3010" s="8" t="s">
        <v>1059</v>
      </c>
      <c r="B3010" s="8" t="s">
        <v>732</v>
      </c>
      <c r="C3010" s="19" t="n">
        <v>70</v>
      </c>
      <c r="D3010" s="19" t="n">
        <v>3583.91</v>
      </c>
      <c r="E3010" s="19" t="n">
        <v>30</v>
      </c>
      <c r="F3010" s="19" t="n">
        <v>1395.62</v>
      </c>
      <c r="G3010" s="8" t="n">
        <f aca="false">IFERROR(INDEX('TRANS'!$B:$B,MATCH($B3010,'TRANS'!$A:$A,0)),IFERROR(INDEX('TRANS'!$B:$B,MATCH(TRIM(SUBSTITUTE($B3010,CHAR(160)," ")),'TRANS'!$D:$D,0)),IFERROR(INDEX('Catalog'!$A:$A,MATCH($B3010,'Catalog'!$B:$B,0)),IFERROR(INDEX('Catalog'!$A:$A,MATCH(TRIM(SUBSTITUTE($B3010,CHAR(160)," ")),'Catalog'!$C:$C,0)),""))))</f>
        <v>4413456</v>
      </c>
      <c r="H3010" s="8" t="str">
        <f aca="false">IFERROR(INDEX('TRANS'!$C:$C,MATCH($B3010,'TRANS'!$A:$A,0)),IFERROR(INDEX('Catalog'!$B:$B,MATCH($G3010,'Catalog'!$A:$A,0)),$B3010))</f>
        <v>AC75 XXL  מיישר כתפיים אקטיב</v>
      </c>
      <c r="I3010" s="8" t="str">
        <f aca="false">IF($G3010="","Unmatched","Matched")</f>
        <v>Matched</v>
      </c>
      <c r="J3010" s="8" t="n">
        <f aca="false">IF($G3010&lt;&gt;"",$G3010,$B3010)</f>
        <v>4413456</v>
      </c>
      <c r="K3010" s="8" t="str">
        <f aca="false">IF(COUNTIF($M$1:$M$10,$A3010)&gt;0,"Y","N")</f>
        <v>N</v>
      </c>
    </row>
    <row r="3011" customFormat="false" ht="15" hidden="false" customHeight="true" outlineLevel="0" collapsed="false">
      <c r="A3011" s="8" t="s">
        <v>1059</v>
      </c>
      <c r="B3011" s="8" t="s">
        <v>558</v>
      </c>
      <c r="C3011" s="19" t="n">
        <v>280</v>
      </c>
      <c r="D3011" s="19" t="n">
        <v>14059.75</v>
      </c>
      <c r="E3011" s="19" t="n">
        <v>180</v>
      </c>
      <c r="F3011" s="19" t="n">
        <v>8098.31</v>
      </c>
      <c r="G3011" s="8" t="n">
        <f aca="false">IFERROR(INDEX('TRANS'!$B:$B,MATCH($B3011,'TRANS'!$A:$A,0)),IFERROR(INDEX('TRANS'!$B:$B,MATCH(TRIM(SUBSTITUTE($B3011,CHAR(160)," ")),'TRANS'!$D:$D,0)),IFERROR(INDEX('Catalog'!$A:$A,MATCH($B3011,'Catalog'!$B:$B,0)),IFERROR(INDEX('Catalog'!$A:$A,MATCH(TRIM(SUBSTITUTE($B3011,CHAR(160)," ")),'Catalog'!$C:$C,0)),""))))</f>
        <v>4413453</v>
      </c>
      <c r="H3011" s="8" t="str">
        <f aca="false">IFERROR(INDEX('TRANS'!$C:$C,MATCH($B3011,'TRANS'!$A:$A,0)),IFERROR(INDEX('Catalog'!$B:$B,MATCH($G3011,'Catalog'!$A:$A,0)),$B3011))</f>
        <v>AC75 מישר כתפיים אקטיב</v>
      </c>
      <c r="I3011" s="8" t="str">
        <f aca="false">IF($G3011="","Unmatched","Matched")</f>
        <v>Matched</v>
      </c>
      <c r="J3011" s="8" t="n">
        <f aca="false">IF($G3011&lt;&gt;"",$G3011,$B3011)</f>
        <v>4413453</v>
      </c>
      <c r="K3011" s="8" t="str">
        <f aca="false">IF(COUNTIF($M$1:$M$10,$A3011)&gt;0,"Y","N")</f>
        <v>N</v>
      </c>
    </row>
    <row r="3012" customFormat="false" ht="15" hidden="false" customHeight="true" outlineLevel="0" collapsed="false">
      <c r="A3012" s="8" t="s">
        <v>1059</v>
      </c>
      <c r="B3012" s="8" t="s">
        <v>733</v>
      </c>
      <c r="C3012" s="19" t="n">
        <v>150</v>
      </c>
      <c r="D3012" s="19" t="n">
        <v>3190.01</v>
      </c>
      <c r="E3012" s="19" t="n">
        <v>90</v>
      </c>
      <c r="F3012" s="19" t="n">
        <v>1724.96</v>
      </c>
      <c r="G3012" s="8" t="n">
        <f aca="false">IFERROR(INDEX('TRANS'!$B:$B,MATCH($B3012,'TRANS'!$A:$A,0)),IFERROR(INDEX('TRANS'!$B:$B,MATCH(TRIM(SUBSTITUTE($B3012,CHAR(160)," ")),'TRANS'!$D:$D,0)),IFERROR(INDEX('Catalog'!$A:$A,MATCH($B3012,'Catalog'!$B:$B,0)),IFERROR(INDEX('Catalog'!$A:$A,MATCH(TRIM(SUBSTITUTE($B3012,CHAR(160)," ")),'Catalog'!$C:$C,0)),""))))</f>
        <v>4408208</v>
      </c>
      <c r="H3012" s="8" t="str">
        <f aca="false">IFERROR(INDEX('TRANS'!$C:$C,MATCH($B3012,'TRANS'!$A:$A,0)),IFERROR(INDEX('Catalog'!$B:$B,MATCH($G3012,'Catalog'!$A:$A,0)),$B3012))</f>
        <v>AC91 חבק טניס</v>
      </c>
      <c r="I3012" s="8" t="str">
        <f aca="false">IF($G3012="","Unmatched","Matched")</f>
        <v>Matched</v>
      </c>
      <c r="J3012" s="8" t="n">
        <f aca="false">IF($G3012&lt;&gt;"",$G3012,$B3012)</f>
        <v>4408208</v>
      </c>
      <c r="K3012" s="8" t="str">
        <f aca="false">IF(COUNTIF($M$1:$M$10,$A3012)&gt;0,"Y","N")</f>
        <v>N</v>
      </c>
    </row>
    <row r="3013" customFormat="false" ht="15" hidden="false" customHeight="true" outlineLevel="0" collapsed="false">
      <c r="A3013" s="8" t="s">
        <v>1059</v>
      </c>
      <c r="B3013" s="8" t="s">
        <v>739</v>
      </c>
      <c r="C3013" s="19" t="n">
        <v>390</v>
      </c>
      <c r="D3013" s="19" t="n">
        <v>5070.67</v>
      </c>
      <c r="E3013" s="19" t="n">
        <v>290</v>
      </c>
      <c r="F3013" s="19" t="n">
        <v>3375.82</v>
      </c>
      <c r="G3013" s="8" t="n">
        <f aca="false">IFERROR(INDEX('TRANS'!$B:$B,MATCH($B3013,'TRANS'!$A:$A,0)),IFERROR(INDEX('TRANS'!$B:$B,MATCH(TRIM(SUBSTITUTE($B3013,CHAR(160)," ")),'TRANS'!$D:$D,0)),IFERROR(INDEX('Catalog'!$A:$A,MATCH($B3013,'Catalog'!$B:$B,0)),IFERROR(INDEX('Catalog'!$A:$A,MATCH(TRIM(SUBSTITUTE($B3013,CHAR(160)," ")),'Catalog'!$C:$C,0)),""))))</f>
        <v>4413056</v>
      </c>
      <c r="H3013" s="8" t="str">
        <f aca="false">IFERROR(INDEX('TRANS'!$C:$C,MATCH($B3013,'TRANS'!$A:$A,0)),IFERROR(INDEX('Catalog'!$B:$B,MATCH($G3013,'Catalog'!$A:$A,0)),$B3013))</f>
        <v>LF360 מדרס מטטרזלי לנעלי עקב</v>
      </c>
      <c r="I3013" s="8" t="str">
        <f aca="false">IF($G3013="","Unmatched","Matched")</f>
        <v>Matched</v>
      </c>
      <c r="J3013" s="8" t="n">
        <f aca="false">IF($G3013&lt;&gt;"",$G3013,$B3013)</f>
        <v>4413056</v>
      </c>
      <c r="K3013" s="8" t="str">
        <f aca="false">IF(COUNTIF($M$1:$M$10,$A3013)&gt;0,"Y","N")</f>
        <v>N</v>
      </c>
    </row>
    <row r="3014" customFormat="false" ht="15" hidden="false" customHeight="true" outlineLevel="0" collapsed="false">
      <c r="A3014" s="8" t="s">
        <v>1059</v>
      </c>
      <c r="B3014" s="8" t="s">
        <v>889</v>
      </c>
      <c r="C3014" s="19" t="n">
        <v>350</v>
      </c>
      <c r="D3014" s="19" t="n">
        <v>2971.65</v>
      </c>
      <c r="E3014" s="19" t="n">
        <v>220</v>
      </c>
      <c r="F3014" s="19" t="n">
        <v>1698.97</v>
      </c>
      <c r="G3014" s="8" t="n">
        <f aca="false">IFERROR(INDEX('TRANS'!$B:$B,MATCH($B3014,'TRANS'!$A:$A,0)),IFERROR(INDEX('TRANS'!$B:$B,MATCH(TRIM(SUBSTITUTE($B3014,CHAR(160)," ")),'TRANS'!$D:$D,0)),IFERROR(INDEX('Catalog'!$A:$A,MATCH($B3014,'Catalog'!$B:$B,0)),IFERROR(INDEX('Catalog'!$A:$A,MATCH(TRIM(SUBSTITUTE($B3014,CHAR(160)," ")),'Catalog'!$C:$C,0)),""))))</f>
        <v>4420022</v>
      </c>
      <c r="H3014" s="8" t="str">
        <f aca="false">IFERROR(INDEX('TRANS'!$C:$C,MATCH($B3014,'TRANS'!$A:$A,0)),IFERROR(INDEX('Catalog'!$B:$B,MATCH($G3014,'Catalog'!$A:$A,0)),$B3014))</f>
        <v>LF370 ריפוד סיליקון לעקב אחורי</v>
      </c>
      <c r="I3014" s="8" t="str">
        <f aca="false">IF($G3014="","Unmatched","Matched")</f>
        <v>Matched</v>
      </c>
      <c r="J3014" s="8" t="n">
        <f aca="false">IF($G3014&lt;&gt;"",$G3014,$B3014)</f>
        <v>4420022</v>
      </c>
      <c r="K3014" s="8" t="str">
        <f aca="false">IF(COUNTIF($M$1:$M$10,$A3014)&gt;0,"Y","N")</f>
        <v>N</v>
      </c>
    </row>
    <row r="3015" customFormat="false" ht="15" hidden="false" customHeight="true" outlineLevel="0" collapsed="false">
      <c r="A3015" s="8" t="s">
        <v>1059</v>
      </c>
      <c r="B3015" s="8" t="s">
        <v>1005</v>
      </c>
      <c r="C3015" s="19" t="n">
        <v>100</v>
      </c>
      <c r="D3015" s="19" t="n">
        <v>1421.76</v>
      </c>
      <c r="E3015" s="19" t="n">
        <v>80</v>
      </c>
      <c r="F3015" s="19" t="n">
        <v>1031.82</v>
      </c>
      <c r="G3015" s="8" t="n">
        <f aca="false">IFERROR(INDEX('TRANS'!$B:$B,MATCH($B3015,'TRANS'!$A:$A,0)),IFERROR(INDEX('TRANS'!$B:$B,MATCH(TRIM(SUBSTITUTE($B3015,CHAR(160)," ")),'TRANS'!$D:$D,0)),IFERROR(INDEX('Catalog'!$A:$A,MATCH($B3015,'Catalog'!$B:$B,0)),IFERROR(INDEX('Catalog'!$A:$A,MATCH(TRIM(SUBSTITUTE($B3015,CHAR(160)," ")),'Catalog'!$C:$C,0)),""))))</f>
        <v>4420023</v>
      </c>
      <c r="H3015" s="8" t="str">
        <f aca="false">IFERROR(INDEX('TRANS'!$C:$C,MATCH($B3015,'TRANS'!$A:$A,0)),IFERROR(INDEX('Catalog'!$B:$B,MATCH($G3015,'Catalog'!$A:$A,0)),$B3015))</f>
        <v>LF371 ריפוד סיליקון לנעלי אצבע</v>
      </c>
      <c r="I3015" s="8" t="str">
        <f aca="false">IF($G3015="","Unmatched","Matched")</f>
        <v>Matched</v>
      </c>
      <c r="J3015" s="8" t="n">
        <f aca="false">IF($G3015&lt;&gt;"",$G3015,$B3015)</f>
        <v>4420023</v>
      </c>
      <c r="K3015" s="8" t="str">
        <f aca="false">IF(COUNTIF($M$1:$M$10,$A3015)&gt;0,"Y","N")</f>
        <v>N</v>
      </c>
    </row>
    <row r="3016" customFormat="false" ht="15" hidden="false" customHeight="true" outlineLevel="0" collapsed="false">
      <c r="A3016" s="8" t="s">
        <v>1059</v>
      </c>
      <c r="B3016" s="8" t="s">
        <v>740</v>
      </c>
      <c r="C3016" s="19" t="n">
        <v>380</v>
      </c>
      <c r="D3016" s="19" t="n">
        <v>4708.46</v>
      </c>
      <c r="E3016" s="19" t="n">
        <v>260</v>
      </c>
      <c r="F3016" s="19" t="n">
        <v>2828.73</v>
      </c>
      <c r="G3016" s="8" t="n">
        <f aca="false">IFERROR(INDEX('TRANS'!$B:$B,MATCH($B3016,'TRANS'!$A:$A,0)),IFERROR(INDEX('TRANS'!$B:$B,MATCH(TRIM(SUBSTITUTE($B3016,CHAR(160)," ")),'TRANS'!$D:$D,0)),IFERROR(INDEX('Catalog'!$A:$A,MATCH($B3016,'Catalog'!$B:$B,0)),IFERROR(INDEX('Catalog'!$A:$A,MATCH(TRIM(SUBSTITUTE($B3016,CHAR(160)," ")),'Catalog'!$C:$C,0)),""))))</f>
        <v>4420024</v>
      </c>
      <c r="H3016" s="8" t="str">
        <f aca="false">IFERROR(INDEX('TRANS'!$C:$C,MATCH($B3016,'TRANS'!$A:$A,0)),IFERROR(INDEX('Catalog'!$B:$B,MATCH($G3016,'Catalog'!$A:$A,0)),$B3016))</f>
        <v>LFריפוד סיליק.לכרית כף הרגל373</v>
      </c>
      <c r="I3016" s="8" t="str">
        <f aca="false">IF($G3016="","Unmatched","Matched")</f>
        <v>Matched</v>
      </c>
      <c r="J3016" s="8" t="n">
        <f aca="false">IF($G3016&lt;&gt;"",$G3016,$B3016)</f>
        <v>4420024</v>
      </c>
      <c r="K3016" s="8" t="str">
        <f aca="false">IF(COUNTIF($M$1:$M$10,$A3016)&gt;0,"Y","N")</f>
        <v>N</v>
      </c>
    </row>
    <row r="3017" customFormat="false" ht="15" hidden="false" customHeight="true" outlineLevel="0" collapsed="false">
      <c r="A3017" s="8" t="s">
        <v>1059</v>
      </c>
      <c r="B3017" s="8" t="s">
        <v>741</v>
      </c>
      <c r="C3017" s="19" t="n">
        <v>280</v>
      </c>
      <c r="D3017" s="19" t="n">
        <v>3514.51</v>
      </c>
      <c r="E3017" s="19" t="n">
        <v>190</v>
      </c>
      <c r="F3017" s="19" t="n">
        <v>2146.62</v>
      </c>
      <c r="G3017" s="8" t="n">
        <f aca="false">IFERROR(INDEX('TRANS'!$B:$B,MATCH($B3017,'TRANS'!$A:$A,0)),IFERROR(INDEX('TRANS'!$B:$B,MATCH(TRIM(SUBSTITUTE($B3017,CHAR(160)," ")),'TRANS'!$D:$D,0)),IFERROR(INDEX('Catalog'!$A:$A,MATCH($B3017,'Catalog'!$B:$B,0)),IFERROR(INDEX('Catalog'!$A:$A,MATCH(TRIM(SUBSTITUTE($B3017,CHAR(160)," ")),'Catalog'!$C:$C,0)),""))))</f>
        <v>4420025</v>
      </c>
      <c r="H3017" s="8" t="str">
        <f aca="false">IFERROR(INDEX('TRANS'!$C:$C,MATCH($B3017,'TRANS'!$A:$A,0)),IFERROR(INDEX('Catalog'!$B:$B,MATCH($G3017,'Catalog'!$A:$A,0)),$B3017))</f>
        <v>LF374 ריפוד סיליק.לעקב תחתון</v>
      </c>
      <c r="I3017" s="8" t="str">
        <f aca="false">IF($G3017="","Unmatched","Matched")</f>
        <v>Matched</v>
      </c>
      <c r="J3017" s="8" t="n">
        <f aca="false">IF($G3017&lt;&gt;"",$G3017,$B3017)</f>
        <v>4420025</v>
      </c>
      <c r="K3017" s="8" t="str">
        <f aca="false">IF(COUNTIF($M$1:$M$10,$A3017)&gt;0,"Y","N")</f>
        <v>N</v>
      </c>
    </row>
    <row r="3018" customFormat="false" ht="15" hidden="false" customHeight="true" outlineLevel="0" collapsed="false">
      <c r="A3018" s="8" t="s">
        <v>1059</v>
      </c>
      <c r="B3018" s="8" t="s">
        <v>1060</v>
      </c>
      <c r="C3018" s="19" t="n">
        <v>80</v>
      </c>
      <c r="D3018" s="19" t="n">
        <v>2003.56</v>
      </c>
      <c r="E3018" s="19" t="n">
        <v>50</v>
      </c>
      <c r="F3018" s="19" t="n">
        <v>1108.46</v>
      </c>
      <c r="G3018" s="8" t="n">
        <f aca="false">IFERROR(INDEX('TRANS'!$B:$B,MATCH($B3018,'TRANS'!$A:$A,0)),IFERROR(INDEX('TRANS'!$B:$B,MATCH(TRIM(SUBSTITUTE($B3018,CHAR(160)," ")),'TRANS'!$D:$D,0)),IFERROR(INDEX('Catalog'!$A:$A,MATCH($B3018,'Catalog'!$B:$B,0)),IFERROR(INDEX('Catalog'!$A:$A,MATCH(TRIM(SUBSTITUTE($B3018,CHAR(160)," ")),'Catalog'!$C:$C,0)),""))))</f>
        <v>4413276</v>
      </c>
      <c r="H3018" s="8" t="str">
        <f aca="false">IFERROR(INDEX('TRANS'!$C:$C,MATCH($B3018,'TRANS'!$A:$A,0)),IFERROR(INDEX('Catalog'!$B:$B,MATCH($G3018,'Catalog'!$A:$A,0)),$B3018))</f>
        <v>LF377 L-מדרס סיליקון לנעלי עקב</v>
      </c>
      <c r="I3018" s="8" t="str">
        <f aca="false">IF($G3018="","Unmatched","Matched")</f>
        <v>Matched</v>
      </c>
      <c r="J3018" s="8" t="n">
        <f aca="false">IF($G3018&lt;&gt;"",$G3018,$B3018)</f>
        <v>4413276</v>
      </c>
      <c r="K3018" s="8" t="str">
        <f aca="false">IF(COUNTIF($M$1:$M$10,$A3018)&gt;0,"Y","N")</f>
        <v>N</v>
      </c>
    </row>
    <row r="3019" customFormat="false" ht="15" hidden="false" customHeight="true" outlineLevel="0" collapsed="false">
      <c r="A3019" s="8" t="s">
        <v>1059</v>
      </c>
      <c r="B3019" s="8" t="s">
        <v>1061</v>
      </c>
      <c r="C3019" s="19" t="n">
        <v>150</v>
      </c>
      <c r="D3019" s="19" t="n">
        <v>3742.11</v>
      </c>
      <c r="E3019" s="19" t="n">
        <v>110</v>
      </c>
      <c r="F3019" s="19" t="n">
        <v>2476.07</v>
      </c>
      <c r="G3019" s="8" t="n">
        <f aca="false">IFERROR(INDEX('TRANS'!$B:$B,MATCH($B3019,'TRANS'!$A:$A,0)),IFERROR(INDEX('TRANS'!$B:$B,MATCH(TRIM(SUBSTITUTE($B3019,CHAR(160)," ")),'TRANS'!$D:$D,0)),IFERROR(INDEX('Catalog'!$A:$A,MATCH($B3019,'Catalog'!$B:$B,0)),IFERROR(INDEX('Catalog'!$A:$A,MATCH(TRIM(SUBSTITUTE($B3019,CHAR(160)," ")),'Catalog'!$C:$C,0)),""))))</f>
        <v>4413277</v>
      </c>
      <c r="H3019" s="8" t="str">
        <f aca="false">IFERROR(INDEX('TRANS'!$C:$C,MATCH($B3019,'TRANS'!$A:$A,0)),IFERROR(INDEX('Catalog'!$B:$B,MATCH($G3019,'Catalog'!$A:$A,0)),$B3019))</f>
        <v>LF377 M-מדרס סיליקון לנעלי עקב</v>
      </c>
      <c r="I3019" s="8" t="str">
        <f aca="false">IF($G3019="","Unmatched","Matched")</f>
        <v>Matched</v>
      </c>
      <c r="J3019" s="8" t="n">
        <f aca="false">IF($G3019&lt;&gt;"",$G3019,$B3019)</f>
        <v>4413277</v>
      </c>
      <c r="K3019" s="8" t="str">
        <f aca="false">IF(COUNTIF($M$1:$M$10,$A3019)&gt;0,"Y","N")</f>
        <v>N</v>
      </c>
    </row>
    <row r="3020" customFormat="false" ht="15" hidden="false" customHeight="true" outlineLevel="0" collapsed="false">
      <c r="A3020" s="8" t="s">
        <v>1059</v>
      </c>
      <c r="B3020" s="8" t="s">
        <v>1062</v>
      </c>
      <c r="C3020" s="19" t="n">
        <v>120</v>
      </c>
      <c r="D3020" s="19" t="n">
        <v>2954.02</v>
      </c>
      <c r="E3020" s="19" t="n">
        <v>80</v>
      </c>
      <c r="F3020" s="19" t="n">
        <v>1809.24</v>
      </c>
      <c r="G3020" s="8" t="n">
        <f aca="false">IFERROR(INDEX('TRANS'!$B:$B,MATCH($B3020,'TRANS'!$A:$A,0)),IFERROR(INDEX('TRANS'!$B:$B,MATCH(TRIM(SUBSTITUTE($B3020,CHAR(160)," ")),'TRANS'!$D:$D,0)),IFERROR(INDEX('Catalog'!$A:$A,MATCH($B3020,'Catalog'!$B:$B,0)),IFERROR(INDEX('Catalog'!$A:$A,MATCH(TRIM(SUBSTITUTE($B3020,CHAR(160)," ")),'Catalog'!$C:$C,0)),""))))</f>
        <v>4413278</v>
      </c>
      <c r="H3020" s="8" t="str">
        <f aca="false">IFERROR(INDEX('TRANS'!$C:$C,MATCH($B3020,'TRANS'!$A:$A,0)),IFERROR(INDEX('Catalog'!$B:$B,MATCH($G3020,'Catalog'!$A:$A,0)),$B3020))</f>
        <v>LF377 S-מדרס סיליקון לנעלי עקב</v>
      </c>
      <c r="I3020" s="8" t="str">
        <f aca="false">IF($G3020="","Unmatched","Matched")</f>
        <v>Matched</v>
      </c>
      <c r="J3020" s="8" t="n">
        <f aca="false">IF($G3020&lt;&gt;"",$G3020,$B3020)</f>
        <v>4413278</v>
      </c>
      <c r="K3020" s="8" t="str">
        <f aca="false">IF(COUNTIF($M$1:$M$10,$A3020)&gt;0,"Y","N")</f>
        <v>N</v>
      </c>
    </row>
    <row r="3021" customFormat="false" ht="15" hidden="false" customHeight="true" outlineLevel="0" collapsed="false">
      <c r="A3021" s="8" t="s">
        <v>1059</v>
      </c>
      <c r="B3021" s="8" t="s">
        <v>74</v>
      </c>
      <c r="C3021" s="19" t="n">
        <v>210</v>
      </c>
      <c r="D3021" s="19" t="n">
        <v>6824.86</v>
      </c>
      <c r="E3021" s="19" t="n">
        <v>80</v>
      </c>
      <c r="F3021" s="19" t="n">
        <v>2337.49</v>
      </c>
      <c r="G3021" s="8" t="str">
        <f aca="false">IFERROR(INDEX('TRANS'!$B:$B,MATCH($B3021,'TRANS'!$A:$A,0)),IFERROR(INDEX('TRANS'!$B:$B,MATCH(TRIM(SUBSTITUTE($B3021,CHAR(160)," ")),'TRANS'!$D:$D,0)),IFERROR(INDEX('Catalog'!$A:$A,MATCH($B3021,'Catalog'!$B:$B,0)),IFERROR(INDEX('Catalog'!$A:$A,MATCH(TRIM(SUBSTITUTE($B3021,CHAR(160)," ")),'Catalog'!$C:$C,0)),""))))</f>
        <v/>
      </c>
      <c r="H3021" s="8" t="str">
        <f aca="false">IFERROR(INDEX('TRANS'!$C:$C,MATCH($B3021,'TRANS'!$A:$A,0)),IFERROR(INDEX('Catalog'!$B:$B,MATCH($G3021,'Catalog'!$A:$A,0)),$B3021))</f>
        <v>ST27L 0</v>
      </c>
      <c r="I3021" s="8" t="str">
        <f aca="false">IF($G3021="","Unmatched","Matched")</f>
        <v>Unmatched</v>
      </c>
      <c r="J3021" s="8" t="str">
        <f aca="false">IF($G3021&lt;&gt;"",$G3021,$B3021)</f>
        <v>ST27L 0</v>
      </c>
      <c r="K3021" s="8" t="str">
        <f aca="false">IF(COUNTIF($M$1:$M$10,$A3021)&gt;0,"Y","N")</f>
        <v>N</v>
      </c>
    </row>
    <row r="3022" customFormat="false" ht="15" hidden="false" customHeight="true" outlineLevel="0" collapsed="false">
      <c r="A3022" s="8" t="s">
        <v>1059</v>
      </c>
      <c r="B3022" s="8" t="s">
        <v>70</v>
      </c>
      <c r="C3022" s="19" t="n">
        <v>160</v>
      </c>
      <c r="D3022" s="19" t="n">
        <v>5147.48</v>
      </c>
      <c r="E3022" s="19" t="n">
        <v>90</v>
      </c>
      <c r="F3022" s="19" t="n">
        <v>2619.83</v>
      </c>
      <c r="G3022" s="8" t="str">
        <f aca="false">IFERROR(INDEX('TRANS'!$B:$B,MATCH($B3022,'TRANS'!$A:$A,0)),IFERROR(INDEX('TRANS'!$B:$B,MATCH(TRIM(SUBSTITUTE($B3022,CHAR(160)," ")),'TRANS'!$D:$D,0)),IFERROR(INDEX('Catalog'!$A:$A,MATCH($B3022,'Catalog'!$B:$B,0)),IFERROR(INDEX('Catalog'!$A:$A,MATCH(TRIM(SUBSTITUTE($B3022,CHAR(160)," ")),'Catalog'!$C:$C,0)),""))))</f>
        <v/>
      </c>
      <c r="H3022" s="8" t="str">
        <f aca="false">IFERROR(INDEX('TRANS'!$C:$C,MATCH($B3022,'TRANS'!$A:$A,0)),IFERROR(INDEX('Catalog'!$B:$B,MATCH($G3022,'Catalog'!$A:$A,0)),$B3022))</f>
        <v>ST27R 0</v>
      </c>
      <c r="I3022" s="8" t="str">
        <f aca="false">IF($G3022="","Unmatched","Matched")</f>
        <v>Unmatched</v>
      </c>
      <c r="J3022" s="8" t="str">
        <f aca="false">IF($G3022&lt;&gt;"",$G3022,$B3022)</f>
        <v>ST27R 0</v>
      </c>
      <c r="K3022" s="8" t="str">
        <f aca="false">IF(COUNTIF($M$1:$M$10,$A3022)&gt;0,"Y","N")</f>
        <v>N</v>
      </c>
    </row>
    <row r="3023" customFormat="false" ht="15" hidden="false" customHeight="true" outlineLevel="0" collapsed="false">
      <c r="A3023" s="8" t="s">
        <v>1059</v>
      </c>
      <c r="B3023" s="8" t="s">
        <v>900</v>
      </c>
      <c r="C3023" s="19" t="n">
        <v>240</v>
      </c>
      <c r="D3023" s="19" t="n">
        <v>14000.19</v>
      </c>
      <c r="E3023" s="19" t="n">
        <v>140</v>
      </c>
      <c r="F3023" s="19" t="n">
        <v>7279.87</v>
      </c>
      <c r="G3023" s="8" t="n">
        <f aca="false">IFERROR(INDEX('TRANS'!$B:$B,MATCH($B3023,'TRANS'!$A:$A,0)),IFERROR(INDEX('TRANS'!$B:$B,MATCH(TRIM(SUBSTITUTE($B3023,CHAR(160)," ")),'TRANS'!$D:$D,0)),IFERROR(INDEX('Catalog'!$A:$A,MATCH($B3023,'Catalog'!$B:$B,0)),IFERROR(INDEX('Catalog'!$A:$A,MATCH(TRIM(SUBSTITUTE($B3023,CHAR(160)," ")),'Catalog'!$C:$C,0)),""))))</f>
        <v>4402011</v>
      </c>
      <c r="H3023" s="8" t="str">
        <f aca="false">IFERROR(INDEX('TRANS'!$C:$C,MATCH($B3023,'TRANS'!$A:$A,0)),IFERROR(INDEX('Catalog'!$B:$B,MATCH($G3023,'Catalog'!$A:$A,0)),$B3023))</f>
        <v>S-XLST422 מגן ברך+כרית ג'ל</v>
      </c>
      <c r="I3023" s="8" t="str">
        <f aca="false">IF($G3023="","Unmatched","Matched")</f>
        <v>Matched</v>
      </c>
      <c r="J3023" s="8" t="n">
        <f aca="false">IF($G3023&lt;&gt;"",$G3023,$B3023)</f>
        <v>4402011</v>
      </c>
      <c r="K3023" s="8" t="str">
        <f aca="false">IF(COUNTIF($M$1:$M$10,$A3023)&gt;0,"Y","N")</f>
        <v>N</v>
      </c>
    </row>
    <row r="3024" customFormat="false" ht="15" hidden="false" customHeight="true" outlineLevel="0" collapsed="false">
      <c r="A3024" s="8" t="s">
        <v>1059</v>
      </c>
      <c r="B3024" s="8" t="s">
        <v>770</v>
      </c>
      <c r="C3024" s="19" t="n">
        <v>420</v>
      </c>
      <c r="D3024" s="19" t="n">
        <v>11942.24</v>
      </c>
      <c r="E3024" s="19" t="n">
        <v>260</v>
      </c>
      <c r="F3024" s="19" t="n">
        <v>6661.09</v>
      </c>
      <c r="G3024" s="8" t="n">
        <f aca="false">IFERROR(INDEX('TRANS'!$B:$B,MATCH($B3024,'TRANS'!$A:$A,0)),IFERROR(INDEX('TRANS'!$B:$B,MATCH(TRIM(SUBSTITUTE($B3024,CHAR(160)," ")),'TRANS'!$D:$D,0)),IFERROR(INDEX('Catalog'!$A:$A,MATCH($B3024,'Catalog'!$B:$B,0)),IFERROR(INDEX('Catalog'!$A:$A,MATCH(TRIM(SUBSTITUTE($B3024,CHAR(160)," ")),'Catalog'!$C:$C,0)),""))))</f>
        <v>4408098</v>
      </c>
      <c r="H3024" s="8" t="str">
        <f aca="false">IFERROR(INDEX('TRANS'!$C:$C,MATCH($B3024,'TRANS'!$A:$A,0)),IFERROR(INDEX('Catalog'!$B:$B,MATCH($G3024,'Catalog'!$A:$A,0)),$B3024))</f>
        <v>T25-חבק יד אגודלי</v>
      </c>
      <c r="I3024" s="8" t="str">
        <f aca="false">IF($G3024="","Unmatched","Matched")</f>
        <v>Matched</v>
      </c>
      <c r="J3024" s="8" t="n">
        <f aca="false">IF($G3024&lt;&gt;"",$G3024,$B3024)</f>
        <v>4408098</v>
      </c>
      <c r="K3024" s="8" t="str">
        <f aca="false">IF(COUNTIF($M$1:$M$10,$A3024)&gt;0,"Y","N")</f>
        <v>N</v>
      </c>
    </row>
    <row r="3025" customFormat="false" ht="15" hidden="false" customHeight="true" outlineLevel="0" collapsed="false">
      <c r="A3025" s="8" t="s">
        <v>1059</v>
      </c>
      <c r="B3025" s="8" t="s">
        <v>964</v>
      </c>
      <c r="C3025" s="19" t="n">
        <v>130</v>
      </c>
      <c r="D3025" s="19" t="n">
        <v>4871.88</v>
      </c>
      <c r="E3025" s="19" t="n">
        <v>0</v>
      </c>
      <c r="F3025" s="19" t="n">
        <v>0</v>
      </c>
      <c r="G3025" s="8" t="n">
        <f aca="false">IFERROR(INDEX('TRANS'!$B:$B,MATCH($B3025,'TRANS'!$A:$A,0)),IFERROR(INDEX('TRANS'!$B:$B,MATCH(TRIM(SUBSTITUTE($B3025,CHAR(160)," ")),'TRANS'!$D:$D,0)),IFERROR(INDEX('Catalog'!$A:$A,MATCH($B3025,'Catalog'!$B:$B,0)),IFERROR(INDEX('Catalog'!$A:$A,MATCH(TRIM(SUBSTITUTE($B3025,CHAR(160)," ")),'Catalog'!$C:$C,0)),""))))</f>
        <v>4415073</v>
      </c>
      <c r="H3025" s="8" t="str">
        <f aca="false">IFERROR(INDEX('TRANS'!$C:$C,MATCH($B3025,'TRANS'!$A:$A,0)),IFERROR(INDEX('Catalog'!$B:$B,MATCH($G3025,'Catalog'!$A:$A,0)),$B3025))</f>
        <v>T28A L-XL סד לאגודל</v>
      </c>
      <c r="I3025" s="8" t="str">
        <f aca="false">IF($G3025="","Unmatched","Matched")</f>
        <v>Matched</v>
      </c>
      <c r="J3025" s="8" t="n">
        <f aca="false">IF($G3025&lt;&gt;"",$G3025,$B3025)</f>
        <v>4415073</v>
      </c>
      <c r="K3025" s="8" t="str">
        <f aca="false">IF(COUNTIF($M$1:$M$10,$A3025)&gt;0,"Y","N")</f>
        <v>N</v>
      </c>
    </row>
    <row r="3026" customFormat="false" ht="15" hidden="false" customHeight="true" outlineLevel="0" collapsed="false">
      <c r="A3026" s="8" t="s">
        <v>1059</v>
      </c>
      <c r="B3026" s="8" t="s">
        <v>912</v>
      </c>
      <c r="C3026" s="19" t="n">
        <v>100</v>
      </c>
      <c r="D3026" s="19" t="n">
        <v>3878.72</v>
      </c>
      <c r="E3026" s="19" t="n">
        <v>40</v>
      </c>
      <c r="F3026" s="19" t="n">
        <v>1379.89</v>
      </c>
      <c r="G3026" s="8" t="n">
        <f aca="false">IFERROR(INDEX('TRANS'!$B:$B,MATCH($B3026,'TRANS'!$A:$A,0)),IFERROR(INDEX('TRANS'!$B:$B,MATCH(TRIM(SUBSTITUTE($B3026,CHAR(160)," ")),'TRANS'!$D:$D,0)),IFERROR(INDEX('Catalog'!$A:$A,MATCH($B3026,'Catalog'!$B:$B,0)),IFERROR(INDEX('Catalog'!$A:$A,MATCH(TRIM(SUBSTITUTE($B3026,CHAR(160)," ")),'Catalog'!$C:$C,0)),""))))</f>
        <v>4415072</v>
      </c>
      <c r="H3026" s="8" t="str">
        <f aca="false">IFERROR(INDEX('TRANS'!$C:$C,MATCH($B3026,'TRANS'!$A:$A,0)),IFERROR(INDEX('Catalog'!$B:$B,MATCH($G3026,'Catalog'!$A:$A,0)),$B3026))</f>
        <v>T28A S-M סד לאגודל</v>
      </c>
      <c r="I3026" s="8" t="str">
        <f aca="false">IF($G3026="","Unmatched","Matched")</f>
        <v>Matched</v>
      </c>
      <c r="J3026" s="8" t="n">
        <f aca="false">IF($G3026&lt;&gt;"",$G3026,$B3026)</f>
        <v>4415072</v>
      </c>
      <c r="K3026" s="8" t="str">
        <f aca="false">IF(COUNTIF($M$1:$M$10,$A3026)&gt;0,"Y","N")</f>
        <v>N</v>
      </c>
    </row>
    <row r="3027" customFormat="false" ht="15" hidden="false" customHeight="true" outlineLevel="0" collapsed="false">
      <c r="A3027" s="8" t="s">
        <v>1063</v>
      </c>
      <c r="B3027" s="8" t="s">
        <v>561</v>
      </c>
      <c r="C3027" s="19" t="n">
        <v>21</v>
      </c>
      <c r="D3027" s="19" t="n">
        <v>1149.45</v>
      </c>
      <c r="E3027" s="19" t="n">
        <v>41</v>
      </c>
      <c r="F3027" s="19" t="n">
        <v>1904.32</v>
      </c>
      <c r="G3027" s="8" t="n">
        <f aca="false">IFERROR(INDEX('TRANS'!$B:$B,MATCH($B3027,'TRANS'!$A:$A,0)),IFERROR(INDEX('TRANS'!$B:$B,MATCH(TRIM(SUBSTITUTE($B3027,CHAR(160)," ")),'TRANS'!$D:$D,0)),IFERROR(INDEX('Catalog'!$A:$A,MATCH($B3027,'Catalog'!$B:$B,0)),IFERROR(INDEX('Catalog'!$A:$A,MATCH(TRIM(SUBSTITUTE($B3027,CHAR(160)," ")),'Catalog'!$C:$C,0)),""))))</f>
        <v>4408192</v>
      </c>
      <c r="H3027" s="8" t="str">
        <f aca="false">IFERROR(INDEX('TRANS'!$C:$C,MATCH($B3027,'TRANS'!$A:$A,0)),IFERROR(INDEX('Catalog'!$B:$B,MATCH($G3027,'Catalog'!$A:$A,0)),$B3027))</f>
        <v>078 L חגורת גב +סגירה</v>
      </c>
      <c r="I3027" s="8" t="str">
        <f aca="false">IF($G3027="","Unmatched","Matched")</f>
        <v>Matched</v>
      </c>
      <c r="J3027" s="8" t="n">
        <f aca="false">IF($G3027&lt;&gt;"",$G3027,$B3027)</f>
        <v>4408192</v>
      </c>
      <c r="K3027" s="8" t="str">
        <f aca="false">IF(COUNTIF($M$1:$M$10,$A3027)&gt;0,"Y","N")</f>
        <v>N</v>
      </c>
    </row>
    <row r="3028" customFormat="false" ht="15" hidden="false" customHeight="true" outlineLevel="0" collapsed="false">
      <c r="A3028" s="8" t="s">
        <v>1063</v>
      </c>
      <c r="B3028" s="8" t="s">
        <v>852</v>
      </c>
      <c r="C3028" s="19" t="n">
        <v>10</v>
      </c>
      <c r="D3028" s="19" t="n">
        <v>574.7</v>
      </c>
      <c r="E3028" s="19" t="n">
        <v>20</v>
      </c>
      <c r="F3028" s="19" t="n">
        <v>960.49</v>
      </c>
      <c r="G3028" s="8" t="n">
        <f aca="false">IFERROR(INDEX('TRANS'!$B:$B,MATCH($B3028,'TRANS'!$A:$A,0)),IFERROR(INDEX('TRANS'!$B:$B,MATCH(TRIM(SUBSTITUTE($B3028,CHAR(160)," ")),'TRANS'!$D:$D,0)),IFERROR(INDEX('Catalog'!$A:$A,MATCH($B3028,'Catalog'!$B:$B,0)),IFERROR(INDEX('Catalog'!$A:$A,MATCH(TRIM(SUBSTITUTE($B3028,CHAR(160)," ")),'Catalog'!$C:$C,0)),""))))</f>
        <v>4408190</v>
      </c>
      <c r="H3028" s="8" t="str">
        <f aca="false">IFERROR(INDEX('TRANS'!$C:$C,MATCH($B3028,'TRANS'!$A:$A,0)),IFERROR(INDEX('Catalog'!$B:$B,MATCH($G3028,'Catalog'!$A:$A,0)),$B3028))</f>
        <v>M078 חגורת גב +סגירה כפולה</v>
      </c>
      <c r="I3028" s="8" t="str">
        <f aca="false">IF($G3028="","Unmatched","Matched")</f>
        <v>Matched</v>
      </c>
      <c r="J3028" s="8" t="n">
        <f aca="false">IF($G3028&lt;&gt;"",$G3028,$B3028)</f>
        <v>4408190</v>
      </c>
      <c r="K3028" s="8" t="str">
        <f aca="false">IF(COUNTIF($M$1:$M$10,$A3028)&gt;0,"Y","N")</f>
        <v>N</v>
      </c>
    </row>
    <row r="3029" customFormat="false" ht="15" hidden="false" customHeight="true" outlineLevel="0" collapsed="false">
      <c r="A3029" s="8" t="s">
        <v>1063</v>
      </c>
      <c r="B3029" s="8" t="s">
        <v>853</v>
      </c>
      <c r="C3029" s="19" t="n">
        <v>10</v>
      </c>
      <c r="D3029" s="19" t="n">
        <v>574.7</v>
      </c>
      <c r="E3029" s="19" t="n">
        <v>0</v>
      </c>
      <c r="F3029" s="19" t="n">
        <v>0</v>
      </c>
      <c r="G3029" s="8" t="n">
        <f aca="false">IFERROR(INDEX('TRANS'!$B:$B,MATCH($B3029,'TRANS'!$A:$A,0)),IFERROR(INDEX('TRANS'!$B:$B,MATCH(TRIM(SUBSTITUTE($B3029,CHAR(160)," ")),'TRANS'!$D:$D,0)),IFERROR(INDEX('Catalog'!$A:$A,MATCH($B3029,'Catalog'!$B:$B,0)),IFERROR(INDEX('Catalog'!$A:$A,MATCH(TRIM(SUBSTITUTE($B3029,CHAR(160)," ")),'Catalog'!$C:$C,0)),""))))</f>
        <v>4408217</v>
      </c>
      <c r="H3029" s="8" t="str">
        <f aca="false">IFERROR(INDEX('TRANS'!$C:$C,MATCH($B3029,'TRANS'!$A:$A,0)),IFERROR(INDEX('Catalog'!$B:$B,MATCH($G3029,'Catalog'!$A:$A,0)),$B3029))</f>
        <v>S078 חגורת גב +סגירה כפולה</v>
      </c>
      <c r="I3029" s="8" t="str">
        <f aca="false">IF($G3029="","Unmatched","Matched")</f>
        <v>Matched</v>
      </c>
      <c r="J3029" s="8" t="n">
        <f aca="false">IF($G3029&lt;&gt;"",$G3029,$B3029)</f>
        <v>4408217</v>
      </c>
      <c r="K3029" s="8" t="str">
        <f aca="false">IF(COUNTIF($M$1:$M$10,$A3029)&gt;0,"Y","N")</f>
        <v>N</v>
      </c>
    </row>
    <row r="3030" customFormat="false" ht="15" hidden="false" customHeight="true" outlineLevel="0" collapsed="false">
      <c r="A3030" s="8" t="s">
        <v>1063</v>
      </c>
      <c r="B3030" s="8" t="s">
        <v>562</v>
      </c>
      <c r="C3030" s="19" t="n">
        <v>20</v>
      </c>
      <c r="D3030" s="19" t="n">
        <v>1149.41</v>
      </c>
      <c r="E3030" s="19" t="n">
        <v>20</v>
      </c>
      <c r="F3030" s="19" t="n">
        <v>960.49</v>
      </c>
      <c r="G3030" s="8" t="n">
        <f aca="false">IFERROR(INDEX('TRANS'!$B:$B,MATCH($B3030,'TRANS'!$A:$A,0)),IFERROR(INDEX('TRANS'!$B:$B,MATCH(TRIM(SUBSTITUTE($B3030,CHAR(160)," ")),'TRANS'!$D:$D,0)),IFERROR(INDEX('Catalog'!$A:$A,MATCH($B3030,'Catalog'!$B:$B,0)),IFERROR(INDEX('Catalog'!$A:$A,MATCH(TRIM(SUBSTITUTE($B3030,CHAR(160)," ")),'Catalog'!$C:$C,0)),""))))</f>
        <v>4408218</v>
      </c>
      <c r="H3030" s="8" t="str">
        <f aca="false">IFERROR(INDEX('TRANS'!$C:$C,MATCH($B3030,'TRANS'!$A:$A,0)),IFERROR(INDEX('Catalog'!$B:$B,MATCH($G3030,'Catalog'!$A:$A,0)),$B3030))</f>
        <v>078XL חגורת גב +סגירה כפולה</v>
      </c>
      <c r="I3030" s="8" t="str">
        <f aca="false">IF($G3030="","Unmatched","Matched")</f>
        <v>Matched</v>
      </c>
      <c r="J3030" s="8" t="n">
        <f aca="false">IF($G3030&lt;&gt;"",$G3030,$B3030)</f>
        <v>4408218</v>
      </c>
      <c r="K3030" s="8" t="str">
        <f aca="false">IF(COUNTIF($M$1:$M$10,$A3030)&gt;0,"Y","N")</f>
        <v>N</v>
      </c>
    </row>
    <row r="3031" customFormat="false" ht="15" hidden="false" customHeight="true" outlineLevel="0" collapsed="false">
      <c r="A3031" s="8" t="s">
        <v>1063</v>
      </c>
      <c r="B3031" s="8" t="s">
        <v>854</v>
      </c>
      <c r="C3031" s="19" t="n">
        <v>10</v>
      </c>
      <c r="D3031" s="19" t="n">
        <v>574.7</v>
      </c>
      <c r="E3031" s="19" t="n">
        <v>0</v>
      </c>
      <c r="F3031" s="19" t="n">
        <v>0</v>
      </c>
      <c r="G3031" s="8" t="n">
        <f aca="false">IFERROR(INDEX('TRANS'!$B:$B,MATCH($B3031,'TRANS'!$A:$A,0)),IFERROR(INDEX('TRANS'!$B:$B,MATCH(TRIM(SUBSTITUTE($B3031,CHAR(160)," ")),'TRANS'!$D:$D,0)),IFERROR(INDEX('Catalog'!$A:$A,MATCH($B3031,'Catalog'!$B:$B,0)),IFERROR(INDEX('Catalog'!$A:$A,MATCH(TRIM(SUBSTITUTE($B3031,CHAR(160)," ")),'Catalog'!$C:$C,0)),""))))</f>
        <v>4408265</v>
      </c>
      <c r="H3031" s="8" t="str">
        <f aca="false">IFERROR(INDEX('TRANS'!$C:$C,MATCH($B3031,'TRANS'!$A:$A,0)),IFERROR(INDEX('Catalog'!$B:$B,MATCH($G3031,'Catalog'!$A:$A,0)),$B3031))</f>
        <v>078XXL חגורת גב +סגירה כפולה</v>
      </c>
      <c r="I3031" s="8" t="str">
        <f aca="false">IF($G3031="","Unmatched","Matched")</f>
        <v>Matched</v>
      </c>
      <c r="J3031" s="8" t="n">
        <f aca="false">IF($G3031&lt;&gt;"",$G3031,$B3031)</f>
        <v>4408265</v>
      </c>
      <c r="K3031" s="8" t="str">
        <f aca="false">IF(COUNTIF($M$1:$M$10,$A3031)&gt;0,"Y","N")</f>
        <v>N</v>
      </c>
    </row>
    <row r="3032" customFormat="false" ht="15" hidden="false" customHeight="true" outlineLevel="0" collapsed="false">
      <c r="A3032" s="8" t="s">
        <v>1063</v>
      </c>
      <c r="B3032" s="8" t="s">
        <v>855</v>
      </c>
      <c r="C3032" s="19" t="n">
        <v>48</v>
      </c>
      <c r="D3032" s="19" t="n">
        <v>2083.24</v>
      </c>
      <c r="E3032" s="19" t="n">
        <v>190</v>
      </c>
      <c r="F3032" s="19" t="n">
        <v>8127.63</v>
      </c>
      <c r="G3032" s="8" t="n">
        <f aca="false">IFERROR(INDEX('TRANS'!$B:$B,MATCH($B3032,'TRANS'!$A:$A,0)),IFERROR(INDEX('TRANS'!$B:$B,MATCH(TRIM(SUBSTITUTE($B3032,CHAR(160)," ")),'TRANS'!$D:$D,0)),IFERROR(INDEX('Catalog'!$A:$A,MATCH($B3032,'Catalog'!$B:$B,0)),IFERROR(INDEX('Catalog'!$A:$A,MATCH(TRIM(SUBSTITUTE($B3032,CHAR(160)," ")),'Catalog'!$C:$C,0)),""))))</f>
        <v>4408032</v>
      </c>
      <c r="H3032" s="8" t="str">
        <f aca="false">IFERROR(INDEX('TRANS'!$C:$C,MATCH($B3032,'TRANS'!$A:$A,0)),IFERROR(INDEX('Catalog'!$B:$B,MATCH($G3032,'Catalog'!$A:$A,0)),$B3032))</f>
        <v>11 L""""חגורת בטן""""אורירית</v>
      </c>
      <c r="I3032" s="8" t="str">
        <f aca="false">IF($G3032="","Unmatched","Matched")</f>
        <v>Matched</v>
      </c>
      <c r="J3032" s="8" t="n">
        <f aca="false">IF($G3032&lt;&gt;"",$G3032,$B3032)</f>
        <v>4408032</v>
      </c>
      <c r="K3032" s="8" t="str">
        <f aca="false">IF(COUNTIF($M$1:$M$10,$A3032)&gt;0,"Y","N")</f>
        <v>N</v>
      </c>
    </row>
    <row r="3033" customFormat="false" ht="15" hidden="false" customHeight="true" outlineLevel="0" collapsed="false">
      <c r="A3033" s="8" t="s">
        <v>1063</v>
      </c>
      <c r="B3033" s="8" t="s">
        <v>567</v>
      </c>
      <c r="C3033" s="19" t="n">
        <v>24</v>
      </c>
      <c r="D3033" s="19" t="n">
        <v>1046.86</v>
      </c>
      <c r="E3033" s="19" t="n">
        <v>134</v>
      </c>
      <c r="F3033" s="19" t="n">
        <v>5745.53</v>
      </c>
      <c r="G3033" s="8" t="n">
        <f aca="false">IFERROR(INDEX('TRANS'!$B:$B,MATCH($B3033,'TRANS'!$A:$A,0)),IFERROR(INDEX('TRANS'!$B:$B,MATCH(TRIM(SUBSTITUTE($B3033,CHAR(160)," ")),'TRANS'!$D:$D,0)),IFERROR(INDEX('Catalog'!$A:$A,MATCH($B3033,'Catalog'!$B:$B,0)),IFERROR(INDEX('Catalog'!$A:$A,MATCH(TRIM(SUBSTITUTE($B3033,CHAR(160)," ")),'Catalog'!$C:$C,0)),""))))</f>
        <v>4408033</v>
      </c>
      <c r="H3033" s="8" t="str">
        <f aca="false">IFERROR(INDEX('TRANS'!$C:$C,MATCH($B3033,'TRANS'!$A:$A,0)),IFERROR(INDEX('Catalog'!$B:$B,MATCH($G3033,'Catalog'!$A:$A,0)),$B3033))</f>
        <v>11 M""""חגורת בטן""""אורירית</v>
      </c>
      <c r="I3033" s="8" t="str">
        <f aca="false">IF($G3033="","Unmatched","Matched")</f>
        <v>Matched</v>
      </c>
      <c r="J3033" s="8" t="n">
        <f aca="false">IF($G3033&lt;&gt;"",$G3033,$B3033)</f>
        <v>4408033</v>
      </c>
      <c r="K3033" s="8" t="str">
        <f aca="false">IF(COUNTIF($M$1:$M$10,$A3033)&gt;0,"Y","N")</f>
        <v>N</v>
      </c>
    </row>
    <row r="3034" customFormat="false" ht="15" hidden="false" customHeight="true" outlineLevel="0" collapsed="false">
      <c r="A3034" s="8" t="s">
        <v>1063</v>
      </c>
      <c r="B3034" s="8" t="s">
        <v>973</v>
      </c>
      <c r="C3034" s="19" t="n">
        <v>0</v>
      </c>
      <c r="D3034" s="19" t="n">
        <v>0</v>
      </c>
      <c r="E3034" s="19" t="n">
        <v>55</v>
      </c>
      <c r="F3034" s="19" t="n">
        <v>2376.88</v>
      </c>
      <c r="G3034" s="8" t="n">
        <f aca="false">IFERROR(INDEX('TRANS'!$B:$B,MATCH($B3034,'TRANS'!$A:$A,0)),IFERROR(INDEX('TRANS'!$B:$B,MATCH(TRIM(SUBSTITUTE($B3034,CHAR(160)," ")),'TRANS'!$D:$D,0)),IFERROR(INDEX('Catalog'!$A:$A,MATCH($B3034,'Catalog'!$B:$B,0)),IFERROR(INDEX('Catalog'!$A:$A,MATCH(TRIM(SUBSTITUTE($B3034,CHAR(160)," ")),'Catalog'!$C:$C,0)),""))))</f>
        <v>4408031</v>
      </c>
      <c r="H3034" s="8" t="str">
        <f aca="false">IFERROR(INDEX('TRANS'!$C:$C,MATCH($B3034,'TRANS'!$A:$A,0)),IFERROR(INDEX('Catalog'!$B:$B,MATCH($G3034,'Catalog'!$A:$A,0)),$B3034))</f>
        <v>11 S""""חגורת בטן""""אורירית</v>
      </c>
      <c r="I3034" s="8" t="str">
        <f aca="false">IF($G3034="","Unmatched","Matched")</f>
        <v>Matched</v>
      </c>
      <c r="J3034" s="8" t="n">
        <f aca="false">IF($G3034&lt;&gt;"",$G3034,$B3034)</f>
        <v>4408031</v>
      </c>
      <c r="K3034" s="8" t="str">
        <f aca="false">IF(COUNTIF($M$1:$M$10,$A3034)&gt;0,"Y","N")</f>
        <v>N</v>
      </c>
    </row>
    <row r="3035" customFormat="false" ht="15" hidden="false" customHeight="true" outlineLevel="0" collapsed="false">
      <c r="A3035" s="8" t="s">
        <v>1063</v>
      </c>
      <c r="B3035" s="8" t="s">
        <v>936</v>
      </c>
      <c r="C3035" s="19" t="n">
        <v>96</v>
      </c>
      <c r="D3035" s="19" t="n">
        <v>4293.24</v>
      </c>
      <c r="E3035" s="19" t="n">
        <v>165</v>
      </c>
      <c r="F3035" s="19" t="n">
        <v>7168.64</v>
      </c>
      <c r="G3035" s="8" t="n">
        <f aca="false">IFERROR(INDEX('TRANS'!$B:$B,MATCH($B3035,'TRANS'!$A:$A,0)),IFERROR(INDEX('TRANS'!$B:$B,MATCH(TRIM(SUBSTITUTE($B3035,CHAR(160)," ")),'TRANS'!$D:$D,0)),IFERROR(INDEX('Catalog'!$A:$A,MATCH($B3035,'Catalog'!$B:$B,0)),IFERROR(INDEX('Catalog'!$A:$A,MATCH(TRIM(SUBSTITUTE($B3035,CHAR(160)," ")),'Catalog'!$C:$C,0)),""))))</f>
        <v>4408034</v>
      </c>
      <c r="H3035" s="8" t="str">
        <f aca="false">IFERROR(INDEX('TRANS'!$C:$C,MATCH($B3035,'TRANS'!$A:$A,0)),IFERROR(INDEX('Catalog'!$B:$B,MATCH($G3035,'Catalog'!$A:$A,0)),$B3035))</f>
        <v>11 XL""""חגורת בטן""""אורירית</v>
      </c>
      <c r="I3035" s="8" t="str">
        <f aca="false">IF($G3035="","Unmatched","Matched")</f>
        <v>Matched</v>
      </c>
      <c r="J3035" s="8" t="n">
        <f aca="false">IF($G3035&lt;&gt;"",$G3035,$B3035)</f>
        <v>4408034</v>
      </c>
      <c r="K3035" s="8" t="str">
        <f aca="false">IF(COUNTIF($M$1:$M$10,$A3035)&gt;0,"Y","N")</f>
        <v>N</v>
      </c>
    </row>
    <row r="3036" customFormat="false" ht="15" hidden="false" customHeight="true" outlineLevel="0" collapsed="false">
      <c r="A3036" s="8" t="s">
        <v>1063</v>
      </c>
      <c r="B3036" s="8" t="s">
        <v>937</v>
      </c>
      <c r="C3036" s="19" t="n">
        <v>60</v>
      </c>
      <c r="D3036" s="19" t="n">
        <v>2679.46</v>
      </c>
      <c r="E3036" s="19" t="n">
        <v>77</v>
      </c>
      <c r="F3036" s="19" t="n">
        <v>3327.6</v>
      </c>
      <c r="G3036" s="8" t="n">
        <f aca="false">IFERROR(INDEX('TRANS'!$B:$B,MATCH($B3036,'TRANS'!$A:$A,0)),IFERROR(INDEX('TRANS'!$B:$B,MATCH(TRIM(SUBSTITUTE($B3036,CHAR(160)," ")),'TRANS'!$D:$D,0)),IFERROR(INDEX('Catalog'!$A:$A,MATCH($B3036,'Catalog'!$B:$B,0)),IFERROR(INDEX('Catalog'!$A:$A,MATCH(TRIM(SUBSTITUTE($B3036,CHAR(160)," ")),'Catalog'!$C:$C,0)),""))))</f>
        <v>4408035</v>
      </c>
      <c r="H3036" s="8" t="str">
        <f aca="false">IFERROR(INDEX('TRANS'!$C:$C,MATCH($B3036,'TRANS'!$A:$A,0)),IFERROR(INDEX('Catalog'!$B:$B,MATCH($G3036,'Catalog'!$A:$A,0)),$B3036))</f>
        <v>11 XXL""""חגורת בטן""""אורירית</v>
      </c>
      <c r="I3036" s="8" t="str">
        <f aca="false">IF($G3036="","Unmatched","Matched")</f>
        <v>Matched</v>
      </c>
      <c r="J3036" s="8" t="n">
        <f aca="false">IF($G3036&lt;&gt;"",$G3036,$B3036)</f>
        <v>4408035</v>
      </c>
      <c r="K3036" s="8" t="str">
        <f aca="false">IF(COUNTIF($M$1:$M$10,$A3036)&gt;0,"Y","N")</f>
        <v>N</v>
      </c>
    </row>
    <row r="3037" customFormat="false" ht="15" hidden="false" customHeight="true" outlineLevel="0" collapsed="false">
      <c r="A3037" s="8" t="s">
        <v>1063</v>
      </c>
      <c r="B3037" s="8" t="s">
        <v>955</v>
      </c>
      <c r="C3037" s="19" t="n">
        <v>60</v>
      </c>
      <c r="D3037" s="19" t="n">
        <v>3158.62</v>
      </c>
      <c r="E3037" s="19" t="n">
        <v>58</v>
      </c>
      <c r="F3037" s="19" t="n">
        <v>2923.56</v>
      </c>
      <c r="G3037" s="8" t="n">
        <f aca="false">IFERROR(INDEX('TRANS'!$B:$B,MATCH($B3037,'TRANS'!$A:$A,0)),IFERROR(INDEX('TRANS'!$B:$B,MATCH(TRIM(SUBSTITUTE($B3037,CHAR(160)," ")),'TRANS'!$D:$D,0)),IFERROR(INDEX('Catalog'!$A:$A,MATCH($B3037,'Catalog'!$B:$B,0)),IFERROR(INDEX('Catalog'!$A:$A,MATCH(TRIM(SUBSTITUTE($B3037,CHAR(160)," ")),'Catalog'!$C:$C,0)),""))))</f>
        <v>4408147</v>
      </c>
      <c r="H3037" s="8" t="str">
        <f aca="false">IFERROR(INDEX('TRANS'!$C:$C,MATCH($B3037,'TRANS'!$A:$A,0)),IFERROR(INDEX('Catalog'!$B:$B,MATCH($G3037,'Catalog'!$A:$A,0)),$B3037))</f>
        <v>11PS Lחגורה למנותחי בטן</v>
      </c>
      <c r="I3037" s="8" t="str">
        <f aca="false">IF($G3037="","Unmatched","Matched")</f>
        <v>Matched</v>
      </c>
      <c r="J3037" s="8" t="n">
        <f aca="false">IF($G3037&lt;&gt;"",$G3037,$B3037)</f>
        <v>4408147</v>
      </c>
      <c r="K3037" s="8" t="str">
        <f aca="false">IF(COUNTIF($M$1:$M$10,$A3037)&gt;0,"Y","N")</f>
        <v>N</v>
      </c>
    </row>
    <row r="3038" customFormat="false" ht="15" hidden="false" customHeight="true" outlineLevel="0" collapsed="false">
      <c r="A3038" s="8" t="s">
        <v>1063</v>
      </c>
      <c r="B3038" s="8" t="s">
        <v>350</v>
      </c>
      <c r="C3038" s="19" t="n">
        <v>60</v>
      </c>
      <c r="D3038" s="19" t="n">
        <v>3197.73</v>
      </c>
      <c r="E3038" s="19" t="n">
        <v>46</v>
      </c>
      <c r="F3038" s="19" t="n">
        <v>2277.78</v>
      </c>
      <c r="G3038" s="8" t="str">
        <f aca="false">IFERROR(INDEX('TRANS'!$B:$B,MATCH($B3038,'TRANS'!$A:$A,0)),IFERROR(INDEX('TRANS'!$B:$B,MATCH(TRIM(SUBSTITUTE($B3038,CHAR(160)," ")),'TRANS'!$D:$D,0)),IFERROR(INDEX('Catalog'!$A:$A,MATCH($B3038,'Catalog'!$B:$B,0)),IFERROR(INDEX('Catalog'!$A:$A,MATCH(TRIM(SUBSTITUTE($B3038,CHAR(160)," ")),'Catalog'!$C:$C,0)),""))))</f>
        <v/>
      </c>
      <c r="H3038" s="8" t="str">
        <f aca="false">IFERROR(INDEX('TRANS'!$C:$C,MATCH($B3038,'TRANS'!$A:$A,0)),IFERROR(INDEX('Catalog'!$B:$B,MATCH($G3038,'Catalog'!$A:$A,0)),$B3038))</f>
        <v>11PS M</v>
      </c>
      <c r="I3038" s="8" t="str">
        <f aca="false">IF($G3038="","Unmatched","Matched")</f>
        <v>Unmatched</v>
      </c>
      <c r="J3038" s="8" t="str">
        <f aca="false">IF($G3038&lt;&gt;"",$G3038,$B3038)</f>
        <v>11PS M</v>
      </c>
      <c r="K3038" s="8" t="str">
        <f aca="false">IF(COUNTIF($M$1:$M$10,$A3038)&gt;0,"Y","N")</f>
        <v>N</v>
      </c>
    </row>
    <row r="3039" customFormat="false" ht="15" hidden="false" customHeight="true" outlineLevel="0" collapsed="false">
      <c r="A3039" s="8" t="s">
        <v>1063</v>
      </c>
      <c r="B3039" s="8" t="s">
        <v>1052</v>
      </c>
      <c r="C3039" s="19" t="n">
        <v>24</v>
      </c>
      <c r="D3039" s="19" t="n">
        <v>1279.11</v>
      </c>
      <c r="E3039" s="19" t="n">
        <v>23</v>
      </c>
      <c r="F3039" s="19" t="n">
        <v>1138.92</v>
      </c>
      <c r="G3039" s="8" t="n">
        <f aca="false">IFERROR(INDEX('TRANS'!$B:$B,MATCH($B3039,'TRANS'!$A:$A,0)),IFERROR(INDEX('TRANS'!$B:$B,MATCH(TRIM(SUBSTITUTE($B3039,CHAR(160)," ")),'TRANS'!$D:$D,0)),IFERROR(INDEX('Catalog'!$A:$A,MATCH($B3039,'Catalog'!$B:$B,0)),IFERROR(INDEX('Catalog'!$A:$A,MATCH(TRIM(SUBSTITUTE($B3039,CHAR(160)," ")),'Catalog'!$C:$C,0)),""))))</f>
        <v>4408145</v>
      </c>
      <c r="H3039" s="8" t="str">
        <f aca="false">IFERROR(INDEX('TRANS'!$C:$C,MATCH($B3039,'TRANS'!$A:$A,0)),IFERROR(INDEX('Catalog'!$B:$B,MATCH($G3039,'Catalog'!$A:$A,0)),$B3039))</f>
        <v>11PS Sחגורה למנותחי בטן</v>
      </c>
      <c r="I3039" s="8" t="str">
        <f aca="false">IF($G3039="","Unmatched","Matched")</f>
        <v>Matched</v>
      </c>
      <c r="J3039" s="8" t="n">
        <f aca="false">IF($G3039&lt;&gt;"",$G3039,$B3039)</f>
        <v>4408145</v>
      </c>
      <c r="K3039" s="8" t="str">
        <f aca="false">IF(COUNTIF($M$1:$M$10,$A3039)&gt;0,"Y","N")</f>
        <v>N</v>
      </c>
    </row>
    <row r="3040" customFormat="false" ht="15" hidden="false" customHeight="true" outlineLevel="0" collapsed="false">
      <c r="A3040" s="8" t="s">
        <v>1063</v>
      </c>
      <c r="B3040" s="8" t="s">
        <v>991</v>
      </c>
      <c r="C3040" s="19" t="n">
        <v>84</v>
      </c>
      <c r="D3040" s="19" t="n">
        <v>4705.74</v>
      </c>
      <c r="E3040" s="19" t="n">
        <v>44</v>
      </c>
      <c r="F3040" s="19" t="n">
        <v>2323.35</v>
      </c>
      <c r="G3040" s="8" t="n">
        <f aca="false">IFERROR(INDEX('TRANS'!$B:$B,MATCH($B3040,'TRANS'!$A:$A,0)),IFERROR(INDEX('TRANS'!$B:$B,MATCH(TRIM(SUBSTITUTE($B3040,CHAR(160)," ")),'TRANS'!$D:$D,0)),IFERROR(INDEX('Catalog'!$A:$A,MATCH($B3040,'Catalog'!$B:$B,0)),IFERROR(INDEX('Catalog'!$A:$A,MATCH(TRIM(SUBSTITUTE($B3040,CHAR(160)," ")),'Catalog'!$C:$C,0)),""))))</f>
        <v>4408148</v>
      </c>
      <c r="H3040" s="8" t="str">
        <f aca="false">IFERROR(INDEX('TRANS'!$C:$C,MATCH($B3040,'TRANS'!$A:$A,0)),IFERROR(INDEX('Catalog'!$B:$B,MATCH($G3040,'Catalog'!$A:$A,0)),$B3040))</f>
        <v>11PS XLחגורה למנותחי בטן</v>
      </c>
      <c r="I3040" s="8" t="str">
        <f aca="false">IF($G3040="","Unmatched","Matched")</f>
        <v>Matched</v>
      </c>
      <c r="J3040" s="8" t="n">
        <f aca="false">IF($G3040&lt;&gt;"",$G3040,$B3040)</f>
        <v>4408148</v>
      </c>
      <c r="K3040" s="8" t="str">
        <f aca="false">IF(COUNTIF($M$1:$M$10,$A3040)&gt;0,"Y","N")</f>
        <v>N</v>
      </c>
    </row>
    <row r="3041" customFormat="false" ht="15" hidden="false" customHeight="true" outlineLevel="0" collapsed="false">
      <c r="A3041" s="8" t="s">
        <v>1063</v>
      </c>
      <c r="B3041" s="8" t="s">
        <v>779</v>
      </c>
      <c r="C3041" s="19" t="n">
        <v>12</v>
      </c>
      <c r="D3041" s="19" t="n">
        <v>633.15</v>
      </c>
      <c r="E3041" s="19" t="n">
        <v>0</v>
      </c>
      <c r="F3041" s="19" t="n">
        <v>0</v>
      </c>
      <c r="G3041" s="8" t="n">
        <f aca="false">IFERROR(INDEX('TRANS'!$B:$B,MATCH($B3041,'TRANS'!$A:$A,0)),IFERROR(INDEX('TRANS'!$B:$B,MATCH(TRIM(SUBSTITUTE($B3041,CHAR(160)," ")),'TRANS'!$D:$D,0)),IFERROR(INDEX('Catalog'!$A:$A,MATCH($B3041,'Catalog'!$B:$B,0)),IFERROR(INDEX('Catalog'!$A:$A,MATCH(TRIM(SUBSTITUTE($B3041,CHAR(160)," ")),'Catalog'!$C:$C,0)),""))))</f>
        <v>4408149</v>
      </c>
      <c r="H3041" s="8" t="str">
        <f aca="false">IFERROR(INDEX('TRANS'!$C:$C,MATCH($B3041,'TRANS'!$A:$A,0)),IFERROR(INDEX('Catalog'!$B:$B,MATCH($G3041,'Catalog'!$A:$A,0)),$B3041))</f>
        <v>11PS XXLחגורה למנותחי בטן</v>
      </c>
      <c r="I3041" s="8" t="str">
        <f aca="false">IF($G3041="","Unmatched","Matched")</f>
        <v>Matched</v>
      </c>
      <c r="J3041" s="8" t="n">
        <f aca="false">IF($G3041&lt;&gt;"",$G3041,$B3041)</f>
        <v>4408149</v>
      </c>
      <c r="K3041" s="8" t="str">
        <f aca="false">IF(COUNTIF($M$1:$M$10,$A3041)&gt;0,"Y","N")</f>
        <v>N</v>
      </c>
    </row>
    <row r="3042" customFormat="false" ht="15" hidden="false" customHeight="true" outlineLevel="0" collapsed="false">
      <c r="A3042" s="8" t="s">
        <v>1063</v>
      </c>
      <c r="B3042" s="8" t="s">
        <v>229</v>
      </c>
      <c r="C3042" s="19" t="n">
        <v>36</v>
      </c>
      <c r="D3042" s="19" t="n">
        <v>1954.64</v>
      </c>
      <c r="E3042" s="19" t="n">
        <v>12</v>
      </c>
      <c r="F3042" s="19" t="n">
        <v>574.96</v>
      </c>
      <c r="G3042" s="8" t="str">
        <f aca="false">IFERROR(INDEX('TRANS'!$B:$B,MATCH($B3042,'TRANS'!$A:$A,0)),IFERROR(INDEX('TRANS'!$B:$B,MATCH(TRIM(SUBSTITUTE($B3042,CHAR(160)," ")),'TRANS'!$D:$D,0)),IFERROR(INDEX('Catalog'!$A:$A,MATCH($B3042,'Catalog'!$B:$B,0)),IFERROR(INDEX('Catalog'!$A:$A,MATCH(TRIM(SUBSTITUTE($B3042,CHAR(160)," ")),'Catalog'!$C:$C,0)),""))))</f>
        <v/>
      </c>
      <c r="H3042" s="8" t="str">
        <f aca="false">IFERROR(INDEX('TRANS'!$C:$C,MATCH($B3042,'TRANS'!$A:$A,0)),IFERROR(INDEX('Catalog'!$B:$B,MATCH($G3042,'Catalog'!$A:$A,0)),$B3042))</f>
        <v>15M L</v>
      </c>
      <c r="I3042" s="8" t="str">
        <f aca="false">IF($G3042="","Unmatched","Matched")</f>
        <v>Unmatched</v>
      </c>
      <c r="J3042" s="8" t="str">
        <f aca="false">IF($G3042&lt;&gt;"",$G3042,$B3042)</f>
        <v>15M L</v>
      </c>
      <c r="K3042" s="8" t="str">
        <f aca="false">IF(COUNTIF($M$1:$M$10,$A3042)&gt;0,"Y","N")</f>
        <v>N</v>
      </c>
    </row>
    <row r="3043" customFormat="false" ht="15" hidden="false" customHeight="true" outlineLevel="0" collapsed="false">
      <c r="A3043" s="8" t="s">
        <v>1063</v>
      </c>
      <c r="B3043" s="8" t="s">
        <v>404</v>
      </c>
      <c r="C3043" s="19" t="n">
        <v>12</v>
      </c>
      <c r="D3043" s="19" t="n">
        <v>669.64</v>
      </c>
      <c r="E3043" s="19" t="n">
        <v>0</v>
      </c>
      <c r="F3043" s="19" t="n">
        <v>0</v>
      </c>
      <c r="G3043" s="8" t="str">
        <f aca="false">IFERROR(INDEX('TRANS'!$B:$B,MATCH($B3043,'TRANS'!$A:$A,0)),IFERROR(INDEX('TRANS'!$B:$B,MATCH(TRIM(SUBSTITUTE($B3043,CHAR(160)," ")),'TRANS'!$D:$D,0)),IFERROR(INDEX('Catalog'!$A:$A,MATCH($B3043,'Catalog'!$B:$B,0)),IFERROR(INDEX('Catalog'!$A:$A,MATCH(TRIM(SUBSTITUTE($B3043,CHAR(160)," ")),'Catalog'!$C:$C,0)),""))))</f>
        <v/>
      </c>
      <c r="H3043" s="8" t="str">
        <f aca="false">IFERROR(INDEX('TRANS'!$C:$C,MATCH($B3043,'TRANS'!$A:$A,0)),IFERROR(INDEX('Catalog'!$B:$B,MATCH($G3043,'Catalog'!$A:$A,0)),$B3043))</f>
        <v>15M M</v>
      </c>
      <c r="I3043" s="8" t="str">
        <f aca="false">IF($G3043="","Unmatched","Matched")</f>
        <v>Unmatched</v>
      </c>
      <c r="J3043" s="8" t="str">
        <f aca="false">IF($G3043&lt;&gt;"",$G3043,$B3043)</f>
        <v>15M M</v>
      </c>
      <c r="K3043" s="8" t="str">
        <f aca="false">IF(COUNTIF($M$1:$M$10,$A3043)&gt;0,"Y","N")</f>
        <v>N</v>
      </c>
    </row>
    <row r="3044" customFormat="false" ht="15" hidden="false" customHeight="true" outlineLevel="0" collapsed="false">
      <c r="A3044" s="8" t="s">
        <v>1063</v>
      </c>
      <c r="B3044" s="8" t="s">
        <v>211</v>
      </c>
      <c r="C3044" s="19" t="n">
        <v>12</v>
      </c>
      <c r="D3044" s="19" t="n">
        <v>626.11</v>
      </c>
      <c r="E3044" s="19" t="n">
        <v>11</v>
      </c>
      <c r="F3044" s="19" t="n">
        <v>540.73</v>
      </c>
      <c r="G3044" s="8" t="str">
        <f aca="false">IFERROR(INDEX('TRANS'!$B:$B,MATCH($B3044,'TRANS'!$A:$A,0)),IFERROR(INDEX('TRANS'!$B:$B,MATCH(TRIM(SUBSTITUTE($B3044,CHAR(160)," ")),'TRANS'!$D:$D,0)),IFERROR(INDEX('Catalog'!$A:$A,MATCH($B3044,'Catalog'!$B:$B,0)),IFERROR(INDEX('Catalog'!$A:$A,MATCH(TRIM(SUBSTITUTE($B3044,CHAR(160)," ")),'Catalog'!$C:$C,0)),""))))</f>
        <v/>
      </c>
      <c r="H3044" s="8" t="str">
        <f aca="false">IFERROR(INDEX('TRANS'!$C:$C,MATCH($B3044,'TRANS'!$A:$A,0)),IFERROR(INDEX('Catalog'!$B:$B,MATCH($G3044,'Catalog'!$A:$A,0)),$B3044))</f>
        <v>15M XL</v>
      </c>
      <c r="I3044" s="8" t="str">
        <f aca="false">IF($G3044="","Unmatched","Matched")</f>
        <v>Unmatched</v>
      </c>
      <c r="J3044" s="8" t="str">
        <f aca="false">IF($G3044&lt;&gt;"",$G3044,$B3044)</f>
        <v>15M XL</v>
      </c>
      <c r="K3044" s="8" t="str">
        <f aca="false">IF(COUNTIF($M$1:$M$10,$A3044)&gt;0,"Y","N")</f>
        <v>N</v>
      </c>
    </row>
    <row r="3045" customFormat="false" ht="15" hidden="false" customHeight="true" outlineLevel="0" collapsed="false">
      <c r="A3045" s="8" t="s">
        <v>1063</v>
      </c>
      <c r="B3045" s="8" t="s">
        <v>573</v>
      </c>
      <c r="C3045" s="19" t="n">
        <v>12</v>
      </c>
      <c r="D3045" s="19" t="n">
        <v>551.69</v>
      </c>
      <c r="E3045" s="19" t="n">
        <v>0</v>
      </c>
      <c r="F3045" s="19" t="n">
        <v>0</v>
      </c>
      <c r="G3045" s="8" t="n">
        <f aca="false">IFERROR(INDEX('TRANS'!$B:$B,MATCH($B3045,'TRANS'!$A:$A,0)),IFERROR(INDEX('TRANS'!$B:$B,MATCH(TRIM(SUBSTITUTE($B3045,CHAR(160)," ")),'TRANS'!$D:$D,0)),IFERROR(INDEX('Catalog'!$A:$A,MATCH($B3045,'Catalog'!$B:$B,0)),IFERROR(INDEX('Catalog'!$A:$A,MATCH(TRIM(SUBSTITUTE($B3045,CHAR(160)," ")),'Catalog'!$C:$C,0)),""))))</f>
        <v>4408131</v>
      </c>
      <c r="H3045" s="8" t="str">
        <f aca="false">IFERROR(INDEX('TRANS'!$C:$C,MATCH($B3045,'TRANS'!$A:$A,0)),IFERROR(INDEX('Catalog'!$B:$B,MATCH($G3045,'Catalog'!$A:$A,0)),$B3045))</f>
        <v>15W L חגורת צלעות לאשה</v>
      </c>
      <c r="I3045" s="8" t="str">
        <f aca="false">IF($G3045="","Unmatched","Matched")</f>
        <v>Matched</v>
      </c>
      <c r="J3045" s="8" t="n">
        <f aca="false">IF($G3045&lt;&gt;"",$G3045,$B3045)</f>
        <v>4408131</v>
      </c>
      <c r="K3045" s="8" t="str">
        <f aca="false">IF(COUNTIF($M$1:$M$10,$A3045)&gt;0,"Y","N")</f>
        <v>N</v>
      </c>
    </row>
    <row r="3046" customFormat="false" ht="15" hidden="false" customHeight="true" outlineLevel="0" collapsed="false">
      <c r="A3046" s="8" t="s">
        <v>1063</v>
      </c>
      <c r="B3046" s="8" t="s">
        <v>263</v>
      </c>
      <c r="C3046" s="19" t="n">
        <v>12</v>
      </c>
      <c r="D3046" s="19" t="n">
        <v>593.66</v>
      </c>
      <c r="E3046" s="19" t="n">
        <v>12</v>
      </c>
      <c r="F3046" s="19" t="n">
        <v>513.14</v>
      </c>
      <c r="G3046" s="8" t="str">
        <f aca="false">IFERROR(INDEX('TRANS'!$B:$B,MATCH($B3046,'TRANS'!$A:$A,0)),IFERROR(INDEX('TRANS'!$B:$B,MATCH(TRIM(SUBSTITUTE($B3046,CHAR(160)," ")),'TRANS'!$D:$D,0)),IFERROR(INDEX('Catalog'!$A:$A,MATCH($B3046,'Catalog'!$B:$B,0)),IFERROR(INDEX('Catalog'!$A:$A,MATCH(TRIM(SUBSTITUTE($B3046,CHAR(160)," ")),'Catalog'!$C:$C,0)),""))))</f>
        <v/>
      </c>
      <c r="H3046" s="8" t="str">
        <f aca="false">IFERROR(INDEX('TRANS'!$C:$C,MATCH($B3046,'TRANS'!$A:$A,0)),IFERROR(INDEX('Catalog'!$B:$B,MATCH($G3046,'Catalog'!$A:$A,0)),$B3046))</f>
        <v>15W M</v>
      </c>
      <c r="I3046" s="8" t="str">
        <f aca="false">IF($G3046="","Unmatched","Matched")</f>
        <v>Unmatched</v>
      </c>
      <c r="J3046" s="8" t="str">
        <f aca="false">IF($G3046&lt;&gt;"",$G3046,$B3046)</f>
        <v>15W M</v>
      </c>
      <c r="K3046" s="8" t="str">
        <f aca="false">IF(COUNTIF($M$1:$M$10,$A3046)&gt;0,"Y","N")</f>
        <v>N</v>
      </c>
    </row>
    <row r="3047" customFormat="false" ht="15" hidden="false" customHeight="true" outlineLevel="0" collapsed="false">
      <c r="A3047" s="8" t="s">
        <v>1063</v>
      </c>
      <c r="B3047" s="8" t="s">
        <v>405</v>
      </c>
      <c r="C3047" s="19" t="n">
        <v>6</v>
      </c>
      <c r="D3047" s="19" t="n">
        <v>276.59</v>
      </c>
      <c r="E3047" s="19" t="n">
        <v>11</v>
      </c>
      <c r="F3047" s="19" t="n">
        <v>514.63</v>
      </c>
      <c r="G3047" s="8" t="str">
        <f aca="false">IFERROR(INDEX('TRANS'!$B:$B,MATCH($B3047,'TRANS'!$A:$A,0)),IFERROR(INDEX('TRANS'!$B:$B,MATCH(TRIM(SUBSTITUTE($B3047,CHAR(160)," ")),'TRANS'!$D:$D,0)),IFERROR(INDEX('Catalog'!$A:$A,MATCH($B3047,'Catalog'!$B:$B,0)),IFERROR(INDEX('Catalog'!$A:$A,MATCH(TRIM(SUBSTITUTE($B3047,CHAR(160)," ")),'Catalog'!$C:$C,0)),""))))</f>
        <v/>
      </c>
      <c r="H3047" s="8" t="str">
        <f aca="false">IFERROR(INDEX('TRANS'!$C:$C,MATCH($B3047,'TRANS'!$A:$A,0)),IFERROR(INDEX('Catalog'!$B:$B,MATCH($G3047,'Catalog'!$A:$A,0)),$B3047))</f>
        <v>15W S</v>
      </c>
      <c r="I3047" s="8" t="str">
        <f aca="false">IF($G3047="","Unmatched","Matched")</f>
        <v>Unmatched</v>
      </c>
      <c r="J3047" s="8" t="str">
        <f aca="false">IF($G3047&lt;&gt;"",$G3047,$B3047)</f>
        <v>15W S</v>
      </c>
      <c r="K3047" s="8" t="str">
        <f aca="false">IF(COUNTIF($M$1:$M$10,$A3047)&gt;0,"Y","N")</f>
        <v>N</v>
      </c>
    </row>
    <row r="3048" customFormat="false" ht="15" hidden="false" customHeight="true" outlineLevel="0" collapsed="false">
      <c r="A3048" s="8" t="s">
        <v>1063</v>
      </c>
      <c r="B3048" s="8" t="s">
        <v>317</v>
      </c>
      <c r="C3048" s="19" t="n">
        <v>12</v>
      </c>
      <c r="D3048" s="19" t="n">
        <v>593.66</v>
      </c>
      <c r="E3048" s="19" t="n">
        <v>0</v>
      </c>
      <c r="F3048" s="19" t="n">
        <v>0</v>
      </c>
      <c r="G3048" s="8" t="str">
        <f aca="false">IFERROR(INDEX('TRANS'!$B:$B,MATCH($B3048,'TRANS'!$A:$A,0)),IFERROR(INDEX('TRANS'!$B:$B,MATCH(TRIM(SUBSTITUTE($B3048,CHAR(160)," ")),'TRANS'!$D:$D,0)),IFERROR(INDEX('Catalog'!$A:$A,MATCH($B3048,'Catalog'!$B:$B,0)),IFERROR(INDEX('Catalog'!$A:$A,MATCH(TRIM(SUBSTITUTE($B3048,CHAR(160)," ")),'Catalog'!$C:$C,0)),""))))</f>
        <v/>
      </c>
      <c r="H3048" s="8" t="str">
        <f aca="false">IFERROR(INDEX('TRANS'!$C:$C,MATCH($B3048,'TRANS'!$A:$A,0)),IFERROR(INDEX('Catalog'!$B:$B,MATCH($G3048,'Catalog'!$A:$A,0)),$B3048))</f>
        <v>15W XL</v>
      </c>
      <c r="I3048" s="8" t="str">
        <f aca="false">IF($G3048="","Unmatched","Matched")</f>
        <v>Unmatched</v>
      </c>
      <c r="J3048" s="8" t="str">
        <f aca="false">IF($G3048&lt;&gt;"",$G3048,$B3048)</f>
        <v>15W XL</v>
      </c>
      <c r="K3048" s="8" t="str">
        <f aca="false">IF(COUNTIF($M$1:$M$10,$A3048)&gt;0,"Y","N")</f>
        <v>N</v>
      </c>
    </row>
    <row r="3049" customFormat="false" ht="15" hidden="false" customHeight="true" outlineLevel="0" collapsed="false">
      <c r="A3049" s="8" t="s">
        <v>1063</v>
      </c>
      <c r="B3049" s="8" t="s">
        <v>1064</v>
      </c>
      <c r="C3049" s="19" t="n">
        <v>6</v>
      </c>
      <c r="D3049" s="19" t="n">
        <v>276.59</v>
      </c>
      <c r="E3049" s="19" t="n">
        <v>0</v>
      </c>
      <c r="F3049" s="19" t="n">
        <v>0</v>
      </c>
      <c r="G3049" s="8" t="str">
        <f aca="false">IFERROR(INDEX('TRANS'!$B:$B,MATCH($B3049,'TRANS'!$A:$A,0)),IFERROR(INDEX('TRANS'!$B:$B,MATCH(TRIM(SUBSTITUTE($B3049,CHAR(160)," ")),'TRANS'!$D:$D,0)),IFERROR(INDEX('Catalog'!$A:$A,MATCH($B3049,'Catalog'!$B:$B,0)),IFERROR(INDEX('Catalog'!$A:$A,MATCH(TRIM(SUBSTITUTE($B3049,CHAR(160)," ")),'Catalog'!$C:$C,0)),""))))</f>
        <v/>
      </c>
      <c r="H3049" s="8" t="str">
        <f aca="false">IFERROR(INDEX('TRANS'!$C:$C,MATCH($B3049,'TRANS'!$A:$A,0)),IFERROR(INDEX('Catalog'!$B:$B,MATCH($G3049,'Catalog'!$A:$A,0)),$B3049))</f>
        <v>15W XS</v>
      </c>
      <c r="I3049" s="8" t="str">
        <f aca="false">IF($G3049="","Unmatched","Matched")</f>
        <v>Unmatched</v>
      </c>
      <c r="J3049" s="8" t="str">
        <f aca="false">IF($G3049&lt;&gt;"",$G3049,$B3049)</f>
        <v>15W XS</v>
      </c>
      <c r="K3049" s="8" t="str">
        <f aca="false">IF(COUNTIF($M$1:$M$10,$A3049)&gt;0,"Y","N")</f>
        <v>N</v>
      </c>
    </row>
    <row r="3050" customFormat="false" ht="15" hidden="false" customHeight="true" outlineLevel="0" collapsed="false">
      <c r="A3050" s="8" t="s">
        <v>1063</v>
      </c>
      <c r="B3050" s="8" t="s">
        <v>318</v>
      </c>
      <c r="C3050" s="19" t="n">
        <v>12</v>
      </c>
      <c r="D3050" s="19" t="n">
        <v>611.58</v>
      </c>
      <c r="E3050" s="19" t="n">
        <v>0</v>
      </c>
      <c r="F3050" s="19" t="n">
        <v>0</v>
      </c>
      <c r="G3050" s="8" t="str">
        <f aca="false">IFERROR(INDEX('TRANS'!$B:$B,MATCH($B3050,'TRANS'!$A:$A,0)),IFERROR(INDEX('TRANS'!$B:$B,MATCH(TRIM(SUBSTITUTE($B3050,CHAR(160)," ")),'TRANS'!$D:$D,0)),IFERROR(INDEX('Catalog'!$A:$A,MATCH($B3050,'Catalog'!$B:$B,0)),IFERROR(INDEX('Catalog'!$A:$A,MATCH(TRIM(SUBSTITUTE($B3050,CHAR(160)," ")),'Catalog'!$C:$C,0)),""))))</f>
        <v/>
      </c>
      <c r="H3050" s="8" t="str">
        <f aca="false">IFERROR(INDEX('TRANS'!$C:$C,MATCH($B3050,'TRANS'!$A:$A,0)),IFERROR(INDEX('Catalog'!$B:$B,MATCH($G3050,'Catalog'!$A:$A,0)),$B3050))</f>
        <v>15W XXL</v>
      </c>
      <c r="I3050" s="8" t="str">
        <f aca="false">IF($G3050="","Unmatched","Matched")</f>
        <v>Unmatched</v>
      </c>
      <c r="J3050" s="8" t="str">
        <f aca="false">IF($G3050&lt;&gt;"",$G3050,$B3050)</f>
        <v>15W XXL</v>
      </c>
      <c r="K3050" s="8" t="str">
        <f aca="false">IF(COUNTIF($M$1:$M$10,$A3050)&gt;0,"Y","N")</f>
        <v>N</v>
      </c>
    </row>
    <row r="3051" customFormat="false" ht="15" hidden="false" customHeight="true" outlineLevel="0" collapsed="false">
      <c r="A3051" s="8" t="s">
        <v>1063</v>
      </c>
      <c r="B3051" s="8" t="s">
        <v>970</v>
      </c>
      <c r="C3051" s="19" t="n">
        <v>12</v>
      </c>
      <c r="D3051" s="19" t="n">
        <v>161.52</v>
      </c>
      <c r="E3051" s="19" t="n">
        <v>0</v>
      </c>
      <c r="F3051" s="19" t="n">
        <v>0</v>
      </c>
      <c r="G3051" s="8" t="n">
        <f aca="false">IFERROR(INDEX('TRANS'!$B:$B,MATCH($B3051,'TRANS'!$A:$A,0)),IFERROR(INDEX('TRANS'!$B:$B,MATCH(TRIM(SUBSTITUTE($B3051,CHAR(160)," ")),'TRANS'!$D:$D,0)),IFERROR(INDEX('Catalog'!$A:$A,MATCH($B3051,'Catalog'!$B:$B,0)),IFERROR(INDEX('Catalog'!$A:$A,MATCH(TRIM(SUBSTITUTE($B3051,CHAR(160)," ")),'Catalog'!$C:$C,0)),""))))</f>
        <v>4408046</v>
      </c>
      <c r="H3051" s="8" t="str">
        <f aca="false">IFERROR(INDEX('TRANS'!$C:$C,MATCH($B3051,'TRANS'!$A:$A,0)),IFERROR(INDEX('Catalog'!$B:$B,MATCH($G3051,'Catalog'!$A:$A,0)),$B3051))</f>
        <v>20 L חבק יד מתכוון עם צמדן</v>
      </c>
      <c r="I3051" s="8" t="str">
        <f aca="false">IF($G3051="","Unmatched","Matched")</f>
        <v>Matched</v>
      </c>
      <c r="J3051" s="8" t="n">
        <f aca="false">IF($G3051&lt;&gt;"",$G3051,$B3051)</f>
        <v>4408046</v>
      </c>
      <c r="K3051" s="8" t="str">
        <f aca="false">IF(COUNTIF($M$1:$M$10,$A3051)&gt;0,"Y","N")</f>
        <v>N</v>
      </c>
    </row>
    <row r="3052" customFormat="false" ht="15" hidden="false" customHeight="true" outlineLevel="0" collapsed="false">
      <c r="A3052" s="8" t="s">
        <v>1063</v>
      </c>
      <c r="B3052" s="8" t="s">
        <v>939</v>
      </c>
      <c r="C3052" s="19" t="n">
        <v>12</v>
      </c>
      <c r="D3052" s="19" t="n">
        <v>165</v>
      </c>
      <c r="E3052" s="19" t="n">
        <v>23</v>
      </c>
      <c r="F3052" s="19" t="n">
        <v>296.96</v>
      </c>
      <c r="G3052" s="8" t="n">
        <f aca="false">IFERROR(INDEX('TRANS'!$B:$B,MATCH($B3052,'TRANS'!$A:$A,0)),IFERROR(INDEX('TRANS'!$B:$B,MATCH(TRIM(SUBSTITUTE($B3052,CHAR(160)," ")),'TRANS'!$D:$D,0)),IFERROR(INDEX('Catalog'!$A:$A,MATCH($B3052,'Catalog'!$B:$B,0)),IFERROR(INDEX('Catalog'!$A:$A,MATCH(TRIM(SUBSTITUTE($B3052,CHAR(160)," ")),'Catalog'!$C:$C,0)),""))))</f>
        <v>4408047</v>
      </c>
      <c r="H3052" s="8" t="str">
        <f aca="false">IFERROR(INDEX('TRANS'!$C:$C,MATCH($B3052,'TRANS'!$A:$A,0)),IFERROR(INDEX('Catalog'!$B:$B,MATCH($G3052,'Catalog'!$A:$A,0)),$B3052))</f>
        <v>20 M חבק יד מתכוון עם צמדן</v>
      </c>
      <c r="I3052" s="8" t="str">
        <f aca="false">IF($G3052="","Unmatched","Matched")</f>
        <v>Matched</v>
      </c>
      <c r="J3052" s="8" t="n">
        <f aca="false">IF($G3052&lt;&gt;"",$G3052,$B3052)</f>
        <v>4408047</v>
      </c>
      <c r="K3052" s="8" t="str">
        <f aca="false">IF(COUNTIF($M$1:$M$10,$A3052)&gt;0,"Y","N")</f>
        <v>N</v>
      </c>
    </row>
    <row r="3053" customFormat="false" ht="15" hidden="false" customHeight="true" outlineLevel="0" collapsed="false">
      <c r="A3053" s="8" t="s">
        <v>1063</v>
      </c>
      <c r="B3053" s="8" t="s">
        <v>940</v>
      </c>
      <c r="C3053" s="19" t="n">
        <v>12</v>
      </c>
      <c r="D3053" s="19" t="n">
        <v>161.52</v>
      </c>
      <c r="E3053" s="19" t="n">
        <v>0</v>
      </c>
      <c r="F3053" s="19" t="n">
        <v>0</v>
      </c>
      <c r="G3053" s="8" t="n">
        <f aca="false">IFERROR(INDEX('TRANS'!$B:$B,MATCH($B3053,'TRANS'!$A:$A,0)),IFERROR(INDEX('TRANS'!$B:$B,MATCH(TRIM(SUBSTITUTE($B3053,CHAR(160)," ")),'TRANS'!$D:$D,0)),IFERROR(INDEX('Catalog'!$A:$A,MATCH($B3053,'Catalog'!$B:$B,0)),IFERROR(INDEX('Catalog'!$A:$A,MATCH(TRIM(SUBSTITUTE($B3053,CHAR(160)," ")),'Catalog'!$C:$C,0)),""))))</f>
        <v>4408048</v>
      </c>
      <c r="H3053" s="8" t="str">
        <f aca="false">IFERROR(INDEX('TRANS'!$C:$C,MATCH($B3053,'TRANS'!$A:$A,0)),IFERROR(INDEX('Catalog'!$B:$B,MATCH($G3053,'Catalog'!$A:$A,0)),$B3053))</f>
        <v>20 S חבק יד מתכוון עם צמדן</v>
      </c>
      <c r="I3053" s="8" t="str">
        <f aca="false">IF($G3053="","Unmatched","Matched")</f>
        <v>Matched</v>
      </c>
      <c r="J3053" s="8" t="n">
        <f aca="false">IF($G3053&lt;&gt;"",$G3053,$B3053)</f>
        <v>4408048</v>
      </c>
      <c r="K3053" s="8" t="str">
        <f aca="false">IF(COUNTIF($M$1:$M$10,$A3053)&gt;0,"Y","N")</f>
        <v>N</v>
      </c>
    </row>
    <row r="3054" customFormat="false" ht="15" hidden="false" customHeight="true" outlineLevel="0" collapsed="false">
      <c r="A3054" s="8" t="s">
        <v>1063</v>
      </c>
      <c r="B3054" s="8" t="s">
        <v>860</v>
      </c>
      <c r="C3054" s="19" t="n">
        <v>15</v>
      </c>
      <c r="D3054" s="19" t="n">
        <v>575.1</v>
      </c>
      <c r="E3054" s="19" t="n">
        <v>10</v>
      </c>
      <c r="F3054" s="19" t="n">
        <v>364.25</v>
      </c>
      <c r="G3054" s="8" t="n">
        <f aca="false">IFERROR(INDEX('TRANS'!$B:$B,MATCH($B3054,'TRANS'!$A:$A,0)),IFERROR(INDEX('TRANS'!$B:$B,MATCH(TRIM(SUBSTITUTE($B3054,CHAR(160)," ")),'TRANS'!$D:$D,0)),IFERROR(INDEX('Catalog'!$A:$A,MATCH($B3054,'Catalog'!$B:$B,0)),IFERROR(INDEX('Catalog'!$A:$A,MATCH(TRIM(SUBSTITUTE($B3054,CHAR(160)," ")),'Catalog'!$C:$C,0)),""))))</f>
        <v>4411026</v>
      </c>
      <c r="H3054" s="8" t="str">
        <f aca="false">IFERROR(INDEX('TRANS'!$C:$C,MATCH($B3054,'TRANS'!$A:$A,0)),IFERROR(INDEX('Catalog'!$B:$B,MATCH($G3054,'Catalog'!$A:$A,0)),$B3054))</f>
        <v>213CTSL L שמאל CTS כפפות</v>
      </c>
      <c r="I3054" s="8" t="str">
        <f aca="false">IF($G3054="","Unmatched","Matched")</f>
        <v>Matched</v>
      </c>
      <c r="J3054" s="8" t="n">
        <f aca="false">IF($G3054&lt;&gt;"",$G3054,$B3054)</f>
        <v>4411026</v>
      </c>
      <c r="K3054" s="8" t="str">
        <f aca="false">IF(COUNTIF($M$1:$M$10,$A3054)&gt;0,"Y","N")</f>
        <v>N</v>
      </c>
    </row>
    <row r="3055" customFormat="false" ht="15" hidden="false" customHeight="true" outlineLevel="0" collapsed="false">
      <c r="A3055" s="8" t="s">
        <v>1063</v>
      </c>
      <c r="B3055" s="8" t="s">
        <v>861</v>
      </c>
      <c r="C3055" s="19" t="n">
        <v>15</v>
      </c>
      <c r="D3055" s="19" t="n">
        <v>575.1</v>
      </c>
      <c r="E3055" s="19" t="n">
        <v>50</v>
      </c>
      <c r="F3055" s="19" t="n">
        <v>1811.15</v>
      </c>
      <c r="G3055" s="8" t="n">
        <f aca="false">IFERROR(INDEX('TRANS'!$B:$B,MATCH($B3055,'TRANS'!$A:$A,0)),IFERROR(INDEX('TRANS'!$B:$B,MATCH(TRIM(SUBSTITUTE($B3055,CHAR(160)," ")),'TRANS'!$D:$D,0)),IFERROR(INDEX('Catalog'!$A:$A,MATCH($B3055,'Catalog'!$B:$B,0)),IFERROR(INDEX('Catalog'!$A:$A,MATCH(TRIM(SUBSTITUTE($B3055,CHAR(160)," ")),'Catalog'!$C:$C,0)),""))))</f>
        <v>4411027</v>
      </c>
      <c r="H3055" s="8" t="str">
        <f aca="false">IFERROR(INDEX('TRANS'!$C:$C,MATCH($B3055,'TRANS'!$A:$A,0)),IFERROR(INDEX('Catalog'!$B:$B,MATCH($G3055,'Catalog'!$A:$A,0)),$B3055))</f>
        <v>213CTSL M שמאל CTS כפפות</v>
      </c>
      <c r="I3055" s="8" t="str">
        <f aca="false">IF($G3055="","Unmatched","Matched")</f>
        <v>Matched</v>
      </c>
      <c r="J3055" s="8" t="n">
        <f aca="false">IF($G3055&lt;&gt;"",$G3055,$B3055)</f>
        <v>4411027</v>
      </c>
      <c r="K3055" s="8" t="str">
        <f aca="false">IF(COUNTIF($M$1:$M$10,$A3055)&gt;0,"Y","N")</f>
        <v>N</v>
      </c>
    </row>
    <row r="3056" customFormat="false" ht="15" hidden="false" customHeight="true" outlineLevel="0" collapsed="false">
      <c r="A3056" s="8" t="s">
        <v>1063</v>
      </c>
      <c r="B3056" s="8" t="s">
        <v>862</v>
      </c>
      <c r="C3056" s="19" t="n">
        <v>15</v>
      </c>
      <c r="D3056" s="19" t="n">
        <v>575.1</v>
      </c>
      <c r="E3056" s="19" t="n">
        <v>40</v>
      </c>
      <c r="F3056" s="19" t="n">
        <v>1446.9</v>
      </c>
      <c r="G3056" s="8" t="n">
        <f aca="false">IFERROR(INDEX('TRANS'!$B:$B,MATCH($B3056,'TRANS'!$A:$A,0)),IFERROR(INDEX('TRANS'!$B:$B,MATCH(TRIM(SUBSTITUTE($B3056,CHAR(160)," ")),'TRANS'!$D:$D,0)),IFERROR(INDEX('Catalog'!$A:$A,MATCH($B3056,'Catalog'!$B:$B,0)),IFERROR(INDEX('Catalog'!$A:$A,MATCH(TRIM(SUBSTITUTE($B3056,CHAR(160)," ")),'Catalog'!$C:$C,0)),""))))</f>
        <v>4411028</v>
      </c>
      <c r="H3056" s="8" t="str">
        <f aca="false">IFERROR(INDEX('TRANS'!$C:$C,MATCH($B3056,'TRANS'!$A:$A,0)),IFERROR(INDEX('Catalog'!$B:$B,MATCH($G3056,'Catalog'!$A:$A,0)),$B3056))</f>
        <v>213CTSL S שמאל CTS כפפות</v>
      </c>
      <c r="I3056" s="8" t="str">
        <f aca="false">IF($G3056="","Unmatched","Matched")</f>
        <v>Matched</v>
      </c>
      <c r="J3056" s="8" t="n">
        <f aca="false">IF($G3056&lt;&gt;"",$G3056,$B3056)</f>
        <v>4411028</v>
      </c>
      <c r="K3056" s="8" t="str">
        <f aca="false">IF(COUNTIF($M$1:$M$10,$A3056)&gt;0,"Y","N")</f>
        <v>N</v>
      </c>
    </row>
    <row r="3057" customFormat="false" ht="15" hidden="false" customHeight="true" outlineLevel="0" collapsed="false">
      <c r="A3057" s="8" t="s">
        <v>1063</v>
      </c>
      <c r="B3057" s="8" t="s">
        <v>863</v>
      </c>
      <c r="C3057" s="19" t="n">
        <v>15</v>
      </c>
      <c r="D3057" s="19" t="n">
        <v>575.1</v>
      </c>
      <c r="E3057" s="19" t="n">
        <v>20</v>
      </c>
      <c r="F3057" s="19" t="n">
        <v>723.45</v>
      </c>
      <c r="G3057" s="8" t="n">
        <f aca="false">IFERROR(INDEX('TRANS'!$B:$B,MATCH($B3057,'TRANS'!$A:$A,0)),IFERROR(INDEX('TRANS'!$B:$B,MATCH(TRIM(SUBSTITUTE($B3057,CHAR(160)," ")),'TRANS'!$D:$D,0)),IFERROR(INDEX('Catalog'!$A:$A,MATCH($B3057,'Catalog'!$B:$B,0)),IFERROR(INDEX('Catalog'!$A:$A,MATCH(TRIM(SUBSTITUTE($B3057,CHAR(160)," ")),'Catalog'!$C:$C,0)),""))))</f>
        <v>4411029</v>
      </c>
      <c r="H3057" s="8" t="str">
        <f aca="false">IFERROR(INDEX('TRANS'!$C:$C,MATCH($B3057,'TRANS'!$A:$A,0)),IFERROR(INDEX('Catalog'!$B:$B,MATCH($G3057,'Catalog'!$A:$A,0)),$B3057))</f>
        <v>213CTSR L ימין CTS כפפות</v>
      </c>
      <c r="I3057" s="8" t="str">
        <f aca="false">IF($G3057="","Unmatched","Matched")</f>
        <v>Matched</v>
      </c>
      <c r="J3057" s="8" t="n">
        <f aca="false">IF($G3057&lt;&gt;"",$G3057,$B3057)</f>
        <v>4411029</v>
      </c>
      <c r="K3057" s="8" t="str">
        <f aca="false">IF(COUNTIF($M$1:$M$10,$A3057)&gt;0,"Y","N")</f>
        <v>N</v>
      </c>
    </row>
    <row r="3058" customFormat="false" ht="15" hidden="false" customHeight="true" outlineLevel="0" collapsed="false">
      <c r="A3058" s="8" t="s">
        <v>1063</v>
      </c>
      <c r="B3058" s="8" t="s">
        <v>864</v>
      </c>
      <c r="C3058" s="19" t="n">
        <v>15</v>
      </c>
      <c r="D3058" s="19" t="n">
        <v>575.1</v>
      </c>
      <c r="E3058" s="19" t="n">
        <v>50</v>
      </c>
      <c r="F3058" s="19" t="n">
        <v>1788.47</v>
      </c>
      <c r="G3058" s="8" t="n">
        <f aca="false">IFERROR(INDEX('TRANS'!$B:$B,MATCH($B3058,'TRANS'!$A:$A,0)),IFERROR(INDEX('TRANS'!$B:$B,MATCH(TRIM(SUBSTITUTE($B3058,CHAR(160)," ")),'TRANS'!$D:$D,0)),IFERROR(INDEX('Catalog'!$A:$A,MATCH($B3058,'Catalog'!$B:$B,0)),IFERROR(INDEX('Catalog'!$A:$A,MATCH(TRIM(SUBSTITUTE($B3058,CHAR(160)," ")),'Catalog'!$C:$C,0)),""))))</f>
        <v>4411030</v>
      </c>
      <c r="H3058" s="8" t="str">
        <f aca="false">IFERROR(INDEX('TRANS'!$C:$C,MATCH($B3058,'TRANS'!$A:$A,0)),IFERROR(INDEX('Catalog'!$B:$B,MATCH($G3058,'Catalog'!$A:$A,0)),$B3058))</f>
        <v>213CTSR M ימין CTS כפפות</v>
      </c>
      <c r="I3058" s="8" t="str">
        <f aca="false">IF($G3058="","Unmatched","Matched")</f>
        <v>Matched</v>
      </c>
      <c r="J3058" s="8" t="n">
        <f aca="false">IF($G3058&lt;&gt;"",$G3058,$B3058)</f>
        <v>4411030</v>
      </c>
      <c r="K3058" s="8" t="str">
        <f aca="false">IF(COUNTIF($M$1:$M$10,$A3058)&gt;0,"Y","N")</f>
        <v>N</v>
      </c>
    </row>
    <row r="3059" customFormat="false" ht="15" hidden="false" customHeight="true" outlineLevel="0" collapsed="false">
      <c r="A3059" s="8" t="s">
        <v>1063</v>
      </c>
      <c r="B3059" s="8" t="s">
        <v>865</v>
      </c>
      <c r="C3059" s="19" t="n">
        <v>15</v>
      </c>
      <c r="D3059" s="19" t="n">
        <v>575.1</v>
      </c>
      <c r="E3059" s="19" t="n">
        <v>30</v>
      </c>
      <c r="F3059" s="19" t="n">
        <v>1082.65</v>
      </c>
      <c r="G3059" s="8" t="n">
        <f aca="false">IFERROR(INDEX('TRANS'!$B:$B,MATCH($B3059,'TRANS'!$A:$A,0)),IFERROR(INDEX('TRANS'!$B:$B,MATCH(TRIM(SUBSTITUTE($B3059,CHAR(160)," ")),'TRANS'!$D:$D,0)),IFERROR(INDEX('Catalog'!$A:$A,MATCH($B3059,'Catalog'!$B:$B,0)),IFERROR(INDEX('Catalog'!$A:$A,MATCH(TRIM(SUBSTITUTE($B3059,CHAR(160)," ")),'Catalog'!$C:$C,0)),""))))</f>
        <v>4411031</v>
      </c>
      <c r="H3059" s="8" t="str">
        <f aca="false">IFERROR(INDEX('TRANS'!$C:$C,MATCH($B3059,'TRANS'!$A:$A,0)),IFERROR(INDEX('Catalog'!$B:$B,MATCH($G3059,'Catalog'!$A:$A,0)),$B3059))</f>
        <v>213CTS  S ימין CTS כפפות</v>
      </c>
      <c r="I3059" s="8" t="str">
        <f aca="false">IF($G3059="","Unmatched","Matched")</f>
        <v>Matched</v>
      </c>
      <c r="J3059" s="8" t="n">
        <f aca="false">IF($G3059&lt;&gt;"",$G3059,$B3059)</f>
        <v>4411031</v>
      </c>
      <c r="K3059" s="8" t="str">
        <f aca="false">IF(COUNTIF($M$1:$M$10,$A3059)&gt;0,"Y","N")</f>
        <v>N</v>
      </c>
    </row>
    <row r="3060" customFormat="false" ht="15" hidden="false" customHeight="true" outlineLevel="0" collapsed="false">
      <c r="A3060" s="8" t="s">
        <v>1063</v>
      </c>
      <c r="B3060" s="8" t="s">
        <v>584</v>
      </c>
      <c r="C3060" s="19" t="n">
        <v>180</v>
      </c>
      <c r="D3060" s="19" t="n">
        <v>1479.51</v>
      </c>
      <c r="E3060" s="19" t="n">
        <v>93</v>
      </c>
      <c r="F3060" s="19" t="n">
        <v>713.31</v>
      </c>
      <c r="G3060" s="8" t="n">
        <f aca="false">IFERROR(INDEX('TRANS'!$B:$B,MATCH($B3060,'TRANS'!$A:$A,0)),IFERROR(INDEX('TRANS'!$B:$B,MATCH(TRIM(SUBSTITUTE($B3060,CHAR(160)," ")),'TRANS'!$D:$D,0)),IFERROR(INDEX('Catalog'!$A:$A,MATCH($B3060,'Catalog'!$B:$B,0)),IFERROR(INDEX('Catalog'!$A:$A,MATCH(TRIM(SUBSTITUTE($B3060,CHAR(160)," ")),'Catalog'!$C:$C,0)),""))))</f>
        <v>4415162</v>
      </c>
      <c r="H3060" s="8" t="str">
        <f aca="false">IFERROR(INDEX('TRANS'!$C:$C,MATCH($B3060,'TRANS'!$A:$A,0)),IFERROR(INDEX('Catalog'!$B:$B,MATCH($G3060,'Catalog'!$A:$A,0)),$B3060))</f>
        <v>238L סד ליישור אצבע</v>
      </c>
      <c r="I3060" s="8" t="str">
        <f aca="false">IF($G3060="","Unmatched","Matched")</f>
        <v>Matched</v>
      </c>
      <c r="J3060" s="8" t="n">
        <f aca="false">IF($G3060&lt;&gt;"",$G3060,$B3060)</f>
        <v>4415162</v>
      </c>
      <c r="K3060" s="8" t="str">
        <f aca="false">IF(COUNTIF($M$1:$M$10,$A3060)&gt;0,"Y","N")</f>
        <v>N</v>
      </c>
    </row>
    <row r="3061" customFormat="false" ht="15" hidden="false" customHeight="true" outlineLevel="0" collapsed="false">
      <c r="A3061" s="8" t="s">
        <v>1063</v>
      </c>
      <c r="B3061" s="8" t="s">
        <v>926</v>
      </c>
      <c r="C3061" s="19" t="n">
        <v>132</v>
      </c>
      <c r="D3061" s="19" t="n">
        <v>1082.3</v>
      </c>
      <c r="E3061" s="19" t="n">
        <v>104</v>
      </c>
      <c r="F3061" s="19" t="n">
        <v>799.1</v>
      </c>
      <c r="G3061" s="8" t="n">
        <f aca="false">IFERROR(INDEX('TRANS'!$B:$B,MATCH($B3061,'TRANS'!$A:$A,0)),IFERROR(INDEX('TRANS'!$B:$B,MATCH(TRIM(SUBSTITUTE($B3061,CHAR(160)," ")),'TRANS'!$D:$D,0)),IFERROR(INDEX('Catalog'!$A:$A,MATCH($B3061,'Catalog'!$B:$B,0)),IFERROR(INDEX('Catalog'!$A:$A,MATCH(TRIM(SUBSTITUTE($B3061,CHAR(160)," ")),'Catalog'!$C:$C,0)),""))))</f>
        <v>4415161</v>
      </c>
      <c r="H3061" s="8" t="str">
        <f aca="false">IFERROR(INDEX('TRANS'!$C:$C,MATCH($B3061,'TRANS'!$A:$A,0)),IFERROR(INDEX('Catalog'!$B:$B,MATCH($G3061,'Catalog'!$A:$A,0)),$B3061))</f>
        <v>238M סד ליישור אצבע</v>
      </c>
      <c r="I3061" s="8" t="str">
        <f aca="false">IF($G3061="","Unmatched","Matched")</f>
        <v>Matched</v>
      </c>
      <c r="J3061" s="8" t="n">
        <f aca="false">IF($G3061&lt;&gt;"",$G3061,$B3061)</f>
        <v>4415161</v>
      </c>
      <c r="K3061" s="8" t="str">
        <f aca="false">IF(COUNTIF($M$1:$M$10,$A3061)&gt;0,"Y","N")</f>
        <v>N</v>
      </c>
    </row>
    <row r="3062" customFormat="false" ht="15" hidden="false" customHeight="true" outlineLevel="0" collapsed="false">
      <c r="A3062" s="8" t="s">
        <v>1063</v>
      </c>
      <c r="B3062" s="8" t="s">
        <v>585</v>
      </c>
      <c r="C3062" s="19" t="n">
        <v>120</v>
      </c>
      <c r="D3062" s="19" t="n">
        <v>998.44</v>
      </c>
      <c r="E3062" s="19" t="n">
        <v>82</v>
      </c>
      <c r="F3062" s="19" t="n">
        <v>627.49</v>
      </c>
      <c r="G3062" s="8" t="n">
        <f aca="false">IFERROR(INDEX('TRANS'!$B:$B,MATCH($B3062,'TRANS'!$A:$A,0)),IFERROR(INDEX('TRANS'!$B:$B,MATCH(TRIM(SUBSTITUTE($B3062,CHAR(160)," ")),'TRANS'!$D:$D,0)),IFERROR(INDEX('Catalog'!$A:$A,MATCH($B3062,'Catalog'!$B:$B,0)),IFERROR(INDEX('Catalog'!$A:$A,MATCH(TRIM(SUBSTITUTE($B3062,CHAR(160)," ")),'Catalog'!$C:$C,0)),""))))</f>
        <v>4415160</v>
      </c>
      <c r="H3062" s="8" t="str">
        <f aca="false">IFERROR(INDEX('TRANS'!$C:$C,MATCH($B3062,'TRANS'!$A:$A,0)),IFERROR(INDEX('Catalog'!$B:$B,MATCH($G3062,'Catalog'!$A:$A,0)),$B3062))</f>
        <v>238S סד ליישור אצבע</v>
      </c>
      <c r="I3062" s="8" t="str">
        <f aca="false">IF($G3062="","Unmatched","Matched")</f>
        <v>Matched</v>
      </c>
      <c r="J3062" s="8" t="n">
        <f aca="false">IF($G3062&lt;&gt;"",$G3062,$B3062)</f>
        <v>4415160</v>
      </c>
      <c r="K3062" s="8" t="str">
        <f aca="false">IF(COUNTIF($M$1:$M$10,$A3062)&gt;0,"Y","N")</f>
        <v>N</v>
      </c>
    </row>
    <row r="3063" customFormat="false" ht="15" hidden="false" customHeight="true" outlineLevel="0" collapsed="false">
      <c r="A3063" s="8" t="s">
        <v>1063</v>
      </c>
      <c r="B3063" s="8" t="s">
        <v>927</v>
      </c>
      <c r="C3063" s="19" t="n">
        <v>60</v>
      </c>
      <c r="D3063" s="19" t="n">
        <v>491.5</v>
      </c>
      <c r="E3063" s="19" t="n">
        <v>48</v>
      </c>
      <c r="F3063" s="19" t="n">
        <v>364.77</v>
      </c>
      <c r="G3063" s="8" t="n">
        <f aca="false">IFERROR(INDEX('TRANS'!$B:$B,MATCH($B3063,'TRANS'!$A:$A,0)),IFERROR(INDEX('TRANS'!$B:$B,MATCH(TRIM(SUBSTITUTE($B3063,CHAR(160)," ")),'TRANS'!$D:$D,0)),IFERROR(INDEX('Catalog'!$A:$A,MATCH($B3063,'Catalog'!$B:$B,0)),IFERROR(INDEX('Catalog'!$A:$A,MATCH(TRIM(SUBSTITUTE($B3063,CHAR(160)," ")),'Catalog'!$C:$C,0)),""))))</f>
        <v>4415163</v>
      </c>
      <c r="H3063" s="8" t="str">
        <f aca="false">IFERROR(INDEX('TRANS'!$C:$C,MATCH($B3063,'TRANS'!$A:$A,0)),IFERROR(INDEX('Catalog'!$B:$B,MATCH($G3063,'Catalog'!$A:$A,0)),$B3063))</f>
        <v>238XL סד ליישור אצבע</v>
      </c>
      <c r="I3063" s="8" t="str">
        <f aca="false">IF($G3063="","Unmatched","Matched")</f>
        <v>Matched</v>
      </c>
      <c r="J3063" s="8" t="n">
        <f aca="false">IF($G3063&lt;&gt;"",$G3063,$B3063)</f>
        <v>4415163</v>
      </c>
      <c r="K3063" s="8" t="str">
        <f aca="false">IF(COUNTIF($M$1:$M$10,$A3063)&gt;0,"Y","N")</f>
        <v>N</v>
      </c>
    </row>
    <row r="3064" customFormat="false" ht="15" hidden="false" customHeight="true" outlineLevel="0" collapsed="false">
      <c r="A3064" s="8" t="s">
        <v>1063</v>
      </c>
      <c r="B3064" s="8" t="s">
        <v>948</v>
      </c>
      <c r="C3064" s="19" t="n">
        <v>12</v>
      </c>
      <c r="D3064" s="19" t="n">
        <v>499.83</v>
      </c>
      <c r="E3064" s="19" t="n">
        <v>11</v>
      </c>
      <c r="F3064" s="19" t="n">
        <v>436.08</v>
      </c>
      <c r="G3064" s="8" t="n">
        <f aca="false">IFERROR(INDEX('TRANS'!$B:$B,MATCH($B3064,'TRANS'!$A:$A,0)),IFERROR(INDEX('TRANS'!$B:$B,MATCH(TRIM(SUBSTITUTE($B3064,CHAR(160)," ")),'TRANS'!$D:$D,0)),IFERROR(INDEX('Catalog'!$A:$A,MATCH($B3064,'Catalog'!$B:$B,0)),IFERROR(INDEX('Catalog'!$A:$A,MATCH(TRIM(SUBSTITUTE($B3064,CHAR(160)," ")),'Catalog'!$C:$C,0)),""))))</f>
        <v>4415000</v>
      </c>
      <c r="H3064" s="8" t="str">
        <f aca="false">IFERROR(INDEX('TRANS'!$C:$C,MATCH($B3064,'TRANS'!$A:$A,0)),IFERROR(INDEX('Catalog'!$B:$B,MATCH($G3064,'Catalog'!$A:$A,0)),$B3064))</f>
        <v>26 L סד ליד דו צדדי לאחר שבר</v>
      </c>
      <c r="I3064" s="8" t="str">
        <f aca="false">IF($G3064="","Unmatched","Matched")</f>
        <v>Matched</v>
      </c>
      <c r="J3064" s="8" t="n">
        <f aca="false">IF($G3064&lt;&gt;"",$G3064,$B3064)</f>
        <v>4415000</v>
      </c>
      <c r="K3064" s="8" t="str">
        <f aca="false">IF(COUNTIF($M$1:$M$10,$A3064)&gt;0,"Y","N")</f>
        <v>N</v>
      </c>
    </row>
    <row r="3065" customFormat="false" ht="15" hidden="false" customHeight="true" outlineLevel="0" collapsed="false">
      <c r="A3065" s="8" t="s">
        <v>1063</v>
      </c>
      <c r="B3065" s="8" t="s">
        <v>956</v>
      </c>
      <c r="C3065" s="19" t="n">
        <v>12</v>
      </c>
      <c r="D3065" s="19" t="n">
        <v>499.83</v>
      </c>
      <c r="E3065" s="19" t="n">
        <v>11</v>
      </c>
      <c r="F3065" s="19" t="n">
        <v>436.08</v>
      </c>
      <c r="G3065" s="8" t="n">
        <f aca="false">IFERROR(INDEX('TRANS'!$B:$B,MATCH($B3065,'TRANS'!$A:$A,0)),IFERROR(INDEX('TRANS'!$B:$B,MATCH(TRIM(SUBSTITUTE($B3065,CHAR(160)," ")),'TRANS'!$D:$D,0)),IFERROR(INDEX('Catalog'!$A:$A,MATCH($B3065,'Catalog'!$B:$B,0)),IFERROR(INDEX('Catalog'!$A:$A,MATCH(TRIM(SUBSTITUTE($B3065,CHAR(160)," ")),'Catalog'!$C:$C,0)),""))))</f>
        <v>4415001</v>
      </c>
      <c r="H3065" s="8" t="str">
        <f aca="false">IFERROR(INDEX('TRANS'!$C:$C,MATCH($B3065,'TRANS'!$A:$A,0)),IFERROR(INDEX('Catalog'!$B:$B,MATCH($G3065,'Catalog'!$A:$A,0)),$B3065))</f>
        <v>26 M סד ליד דו צדדי לאחר שבר</v>
      </c>
      <c r="I3065" s="8" t="str">
        <f aca="false">IF($G3065="","Unmatched","Matched")</f>
        <v>Matched</v>
      </c>
      <c r="J3065" s="8" t="n">
        <f aca="false">IF($G3065&lt;&gt;"",$G3065,$B3065)</f>
        <v>4415001</v>
      </c>
      <c r="K3065" s="8" t="str">
        <f aca="false">IF(COUNTIF($M$1:$M$10,$A3065)&gt;0,"Y","N")</f>
        <v>N</v>
      </c>
    </row>
    <row r="3066" customFormat="false" ht="15" hidden="false" customHeight="true" outlineLevel="0" collapsed="false">
      <c r="A3066" s="8" t="s">
        <v>1063</v>
      </c>
      <c r="B3066" s="8" t="s">
        <v>787</v>
      </c>
      <c r="C3066" s="19" t="n">
        <v>17</v>
      </c>
      <c r="D3066" s="19" t="n">
        <v>765.75</v>
      </c>
      <c r="E3066" s="19" t="n">
        <v>0</v>
      </c>
      <c r="F3066" s="19" t="n">
        <v>0</v>
      </c>
      <c r="G3066" s="8" t="n">
        <f aca="false">IFERROR(INDEX('TRANS'!$B:$B,MATCH($B3066,'TRANS'!$A:$A,0)),IFERROR(INDEX('TRANS'!$B:$B,MATCH(TRIM(SUBSTITUTE($B3066,CHAR(160)," ")),'TRANS'!$D:$D,0)),IFERROR(INDEX('Catalog'!$A:$A,MATCH($B3066,'Catalog'!$B:$B,0)),IFERROR(INDEX('Catalog'!$A:$A,MATCH(TRIM(SUBSTITUTE($B3066,CHAR(160)," ")),'Catalog'!$C:$C,0)),""))))</f>
        <v>4415002</v>
      </c>
      <c r="H3066" s="8" t="str">
        <f aca="false">IFERROR(INDEX('TRANS'!$C:$C,MATCH($B3066,'TRANS'!$A:$A,0)),IFERROR(INDEX('Catalog'!$B:$B,MATCH($G3066,'Catalog'!$A:$A,0)),$B3066))</f>
        <v>26 S סד ליד דו צדדי לאחר שבר</v>
      </c>
      <c r="I3066" s="8" t="str">
        <f aca="false">IF($G3066="","Unmatched","Matched")</f>
        <v>Matched</v>
      </c>
      <c r="J3066" s="8" t="n">
        <f aca="false">IF($G3066&lt;&gt;"",$G3066,$B3066)</f>
        <v>4415002</v>
      </c>
      <c r="K3066" s="8" t="str">
        <f aca="false">IF(COUNTIF($M$1:$M$10,$A3066)&gt;0,"Y","N")</f>
        <v>N</v>
      </c>
    </row>
    <row r="3067" customFormat="false" ht="15" hidden="false" customHeight="true" outlineLevel="0" collapsed="false">
      <c r="A3067" s="8" t="s">
        <v>1063</v>
      </c>
      <c r="B3067" s="8" t="s">
        <v>949</v>
      </c>
      <c r="C3067" s="19" t="n">
        <v>12</v>
      </c>
      <c r="D3067" s="19" t="n">
        <v>499.83</v>
      </c>
      <c r="E3067" s="19" t="n">
        <v>6</v>
      </c>
      <c r="F3067" s="19" t="n">
        <v>218.06</v>
      </c>
      <c r="G3067" s="8" t="n">
        <f aca="false">IFERROR(INDEX('TRANS'!$B:$B,MATCH($B3067,'TRANS'!$A:$A,0)),IFERROR(INDEX('TRANS'!$B:$B,MATCH(TRIM(SUBSTITUTE($B3067,CHAR(160)," ")),'TRANS'!$D:$D,0)),IFERROR(INDEX('Catalog'!$A:$A,MATCH($B3067,'Catalog'!$B:$B,0)),IFERROR(INDEX('Catalog'!$A:$A,MATCH(TRIM(SUBSTITUTE($B3067,CHAR(160)," ")),'Catalog'!$C:$C,0)),""))))</f>
        <v>4415003</v>
      </c>
      <c r="H3067" s="8" t="str">
        <f aca="false">IFERROR(INDEX('TRANS'!$C:$C,MATCH($B3067,'TRANS'!$A:$A,0)),IFERROR(INDEX('Catalog'!$B:$B,MATCH($G3067,'Catalog'!$A:$A,0)),$B3067))</f>
        <v>26 XL סד ליד דו צדדי לאחר שבר</v>
      </c>
      <c r="I3067" s="8" t="str">
        <f aca="false">IF($G3067="","Unmatched","Matched")</f>
        <v>Matched</v>
      </c>
      <c r="J3067" s="8" t="n">
        <f aca="false">IF($G3067&lt;&gt;"",$G3067,$B3067)</f>
        <v>4415003</v>
      </c>
      <c r="K3067" s="8" t="str">
        <f aca="false">IF(COUNTIF($M$1:$M$10,$A3067)&gt;0,"Y","N")</f>
        <v>N</v>
      </c>
    </row>
    <row r="3068" customFormat="false" ht="15" hidden="false" customHeight="true" outlineLevel="0" collapsed="false">
      <c r="A3068" s="8" t="s">
        <v>1063</v>
      </c>
      <c r="B3068" s="8" t="s">
        <v>591</v>
      </c>
      <c r="C3068" s="19" t="n">
        <v>5</v>
      </c>
      <c r="D3068" s="19" t="n">
        <v>270</v>
      </c>
      <c r="E3068" s="19" t="n">
        <v>5</v>
      </c>
      <c r="F3068" s="19" t="n">
        <v>218.03</v>
      </c>
      <c r="G3068" s="8" t="n">
        <f aca="false">IFERROR(INDEX('TRANS'!$B:$B,MATCH($B3068,'TRANS'!$A:$A,0)),IFERROR(INDEX('TRANS'!$B:$B,MATCH(TRIM(SUBSTITUTE($B3068,CHAR(160)," ")),'TRANS'!$D:$D,0)),IFERROR(INDEX('Catalog'!$A:$A,MATCH($B3068,'Catalog'!$B:$B,0)),IFERROR(INDEX('Catalog'!$A:$A,MATCH(TRIM(SUBSTITUTE($B3068,CHAR(160)," ")),'Catalog'!$C:$C,0)),""))))</f>
        <v>4415004</v>
      </c>
      <c r="H3068" s="8" t="str">
        <f aca="false">IFERROR(INDEX('TRANS'!$C:$C,MATCH($B3068,'TRANS'!$A:$A,0)),IFERROR(INDEX('Catalog'!$B:$B,MATCH($G3068,'Catalog'!$A:$A,0)),$B3068))</f>
        <v>26 XXL סד ליד דו צדדי לאחר שבר</v>
      </c>
      <c r="I3068" s="8" t="str">
        <f aca="false">IF($G3068="","Unmatched","Matched")</f>
        <v>Matched</v>
      </c>
      <c r="J3068" s="8" t="n">
        <f aca="false">IF($G3068&lt;&gt;"",$G3068,$B3068)</f>
        <v>4415004</v>
      </c>
      <c r="K3068" s="8" t="str">
        <f aca="false">IF(COUNTIF($M$1:$M$10,$A3068)&gt;0,"Y","N")</f>
        <v>N</v>
      </c>
    </row>
    <row r="3069" customFormat="false" ht="15" hidden="false" customHeight="true" outlineLevel="0" collapsed="false">
      <c r="A3069" s="8" t="s">
        <v>1063</v>
      </c>
      <c r="B3069" s="8" t="s">
        <v>592</v>
      </c>
      <c r="C3069" s="19" t="n">
        <v>24</v>
      </c>
      <c r="D3069" s="19" t="n">
        <v>691.24</v>
      </c>
      <c r="E3069" s="19" t="n">
        <v>33</v>
      </c>
      <c r="F3069" s="19" t="n">
        <v>880.45</v>
      </c>
      <c r="G3069" s="8" t="n">
        <f aca="false">IFERROR(INDEX('TRANS'!$B:$B,MATCH($B3069,'TRANS'!$A:$A,0)),IFERROR(INDEX('TRANS'!$B:$B,MATCH(TRIM(SUBSTITUTE($B3069,CHAR(160)," ")),'TRANS'!$D:$D,0)),IFERROR(INDEX('Catalog'!$A:$A,MATCH($B3069,'Catalog'!$B:$B,0)),IFERROR(INDEX('Catalog'!$A:$A,MATCH(TRIM(SUBSTITUTE($B3069,CHAR(160)," ")),'Catalog'!$C:$C,0)),""))))</f>
        <v>4415158</v>
      </c>
      <c r="H3069" s="8" t="str">
        <f aca="false">IFERROR(INDEX('TRANS'!$C:$C,MATCH($B3069,'TRANS'!$A:$A,0)),IFERROR(INDEX('Catalog'!$B:$B,MATCH($G3069,'Catalog'!$A:$A,0)),$B3069))</f>
        <v>266 סד ליד דו צדדי</v>
      </c>
      <c r="I3069" s="8" t="str">
        <f aca="false">IF($G3069="","Unmatched","Matched")</f>
        <v>Matched</v>
      </c>
      <c r="J3069" s="8" t="n">
        <f aca="false">IF($G3069&lt;&gt;"",$G3069,$B3069)</f>
        <v>4415158</v>
      </c>
      <c r="K3069" s="8" t="str">
        <f aca="false">IF(COUNTIF($M$1:$M$10,$A3069)&gt;0,"Y","N")</f>
        <v>N</v>
      </c>
    </row>
    <row r="3070" customFormat="false" ht="15" hidden="false" customHeight="true" outlineLevel="0" collapsed="false">
      <c r="A3070" s="8" t="s">
        <v>1063</v>
      </c>
      <c r="B3070" s="8" t="s">
        <v>200</v>
      </c>
      <c r="C3070" s="19" t="n">
        <v>0</v>
      </c>
      <c r="D3070" s="19" t="n">
        <v>0</v>
      </c>
      <c r="E3070" s="19" t="n">
        <v>1</v>
      </c>
      <c r="F3070" s="19" t="n">
        <v>34.26</v>
      </c>
      <c r="G3070" s="8" t="str">
        <f aca="false">IFERROR(INDEX('TRANS'!$B:$B,MATCH($B3070,'TRANS'!$A:$A,0)),IFERROR(INDEX('TRANS'!$B:$B,MATCH(TRIM(SUBSTITUTE($B3070,CHAR(160)," ")),'TRANS'!$D:$D,0)),IFERROR(INDEX('Catalog'!$A:$A,MATCH($B3070,'Catalog'!$B:$B,0)),IFERROR(INDEX('Catalog'!$A:$A,MATCH(TRIM(SUBSTITUTE($B3070,CHAR(160)," ")),'Catalog'!$C:$C,0)),""))))</f>
        <v/>
      </c>
      <c r="H3070" s="8" t="str">
        <f aca="false">IFERROR(INDEX('TRANS'!$C:$C,MATCH($B3070,'TRANS'!$A:$A,0)),IFERROR(INDEX('Catalog'!$B:$B,MATCH($G3070,'Catalog'!$A:$A,0)),$B3070))</f>
        <v>305-37-38</v>
      </c>
      <c r="I3070" s="8" t="str">
        <f aca="false">IF($G3070="","Unmatched","Matched")</f>
        <v>Unmatched</v>
      </c>
      <c r="J3070" s="8" t="str">
        <f aca="false">IF($G3070&lt;&gt;"",$G3070,$B3070)</f>
        <v>305-37-38</v>
      </c>
      <c r="K3070" s="8" t="str">
        <f aca="false">IF(COUNTIF($M$1:$M$10,$A3070)&gt;0,"Y","N")</f>
        <v>N</v>
      </c>
    </row>
    <row r="3071" customFormat="false" ht="15" hidden="false" customHeight="true" outlineLevel="0" collapsed="false">
      <c r="A3071" s="8" t="s">
        <v>1063</v>
      </c>
      <c r="B3071" s="8" t="s">
        <v>140</v>
      </c>
      <c r="C3071" s="19" t="n">
        <v>0</v>
      </c>
      <c r="D3071" s="19" t="n">
        <v>0</v>
      </c>
      <c r="E3071" s="19" t="n">
        <v>4</v>
      </c>
      <c r="F3071" s="19" t="n">
        <v>137.05</v>
      </c>
      <c r="G3071" s="8" t="str">
        <f aca="false">IFERROR(INDEX('TRANS'!$B:$B,MATCH($B3071,'TRANS'!$A:$A,0)),IFERROR(INDEX('TRANS'!$B:$B,MATCH(TRIM(SUBSTITUTE($B3071,CHAR(160)," ")),'TRANS'!$D:$D,0)),IFERROR(INDEX('Catalog'!$A:$A,MATCH($B3071,'Catalog'!$B:$B,0)),IFERROR(INDEX('Catalog'!$A:$A,MATCH(TRIM(SUBSTITUTE($B3071,CHAR(160)," ")),'Catalog'!$C:$C,0)),""))))</f>
        <v/>
      </c>
      <c r="H3071" s="8" t="str">
        <f aca="false">IFERROR(INDEX('TRANS'!$C:$C,MATCH($B3071,'TRANS'!$A:$A,0)),IFERROR(INDEX('Catalog'!$B:$B,MATCH($G3071,'Catalog'!$A:$A,0)),$B3071))</f>
        <v>305-39-40</v>
      </c>
      <c r="I3071" s="8" t="str">
        <f aca="false">IF($G3071="","Unmatched","Matched")</f>
        <v>Unmatched</v>
      </c>
      <c r="J3071" s="8" t="str">
        <f aca="false">IF($G3071&lt;&gt;"",$G3071,$B3071)</f>
        <v>305-39-40</v>
      </c>
      <c r="K3071" s="8" t="str">
        <f aca="false">IF(COUNTIF($M$1:$M$10,$A3071)&gt;0,"Y","N")</f>
        <v>N</v>
      </c>
    </row>
    <row r="3072" customFormat="false" ht="15" hidden="false" customHeight="true" outlineLevel="0" collapsed="false">
      <c r="A3072" s="8" t="s">
        <v>1063</v>
      </c>
      <c r="B3072" s="8" t="s">
        <v>613</v>
      </c>
      <c r="C3072" s="19" t="n">
        <v>0</v>
      </c>
      <c r="D3072" s="19" t="n">
        <v>0</v>
      </c>
      <c r="E3072" s="19" t="n">
        <v>11</v>
      </c>
      <c r="F3072" s="19" t="n">
        <v>114.67</v>
      </c>
      <c r="G3072" s="8" t="n">
        <f aca="false">IFERROR(INDEX('TRANS'!$B:$B,MATCH($B3072,'TRANS'!$A:$A,0)),IFERROR(INDEX('TRANS'!$B:$B,MATCH(TRIM(SUBSTITUTE($B3072,CHAR(160)," ")),'TRANS'!$D:$D,0)),IFERROR(INDEX('Catalog'!$A:$A,MATCH($B3072,'Catalog'!$B:$B,0)),IFERROR(INDEX('Catalog'!$A:$A,MATCH(TRIM(SUBSTITUTE($B3072,CHAR(160)," ")),'Catalog'!$C:$C,0)),""))))</f>
        <v>4413048</v>
      </c>
      <c r="H3072" s="8" t="str">
        <f aca="false">IFERROR(INDEX('TRANS'!$C:$C,MATCH($B3072,'TRANS'!$A:$A,0)),IFERROR(INDEX('Catalog'!$B:$B,MATCH($G3072,'Catalog'!$A:$A,0)),$B3072))</f>
        <v>35 L מגן קרסול לבן</v>
      </c>
      <c r="I3072" s="8" t="str">
        <f aca="false">IF($G3072="","Unmatched","Matched")</f>
        <v>Matched</v>
      </c>
      <c r="J3072" s="8" t="n">
        <f aca="false">IF($G3072&lt;&gt;"",$G3072,$B3072)</f>
        <v>4413048</v>
      </c>
      <c r="K3072" s="8" t="str">
        <f aca="false">IF(COUNTIF($M$1:$M$10,$A3072)&gt;0,"Y","N")</f>
        <v>N</v>
      </c>
    </row>
    <row r="3073" customFormat="false" ht="15" hidden="false" customHeight="true" outlineLevel="0" collapsed="false">
      <c r="A3073" s="8" t="s">
        <v>1063</v>
      </c>
      <c r="B3073" s="8" t="s">
        <v>614</v>
      </c>
      <c r="C3073" s="19" t="n">
        <v>0</v>
      </c>
      <c r="D3073" s="19" t="n">
        <v>0</v>
      </c>
      <c r="E3073" s="19" t="n">
        <v>11</v>
      </c>
      <c r="F3073" s="19" t="n">
        <v>116.28</v>
      </c>
      <c r="G3073" s="8" t="n">
        <f aca="false">IFERROR(INDEX('TRANS'!$B:$B,MATCH($B3073,'TRANS'!$A:$A,0)),IFERROR(INDEX('TRANS'!$B:$B,MATCH(TRIM(SUBSTITUTE($B3073,CHAR(160)," ")),'TRANS'!$D:$D,0)),IFERROR(INDEX('Catalog'!$A:$A,MATCH($B3073,'Catalog'!$B:$B,0)),IFERROR(INDEX('Catalog'!$A:$A,MATCH(TRIM(SUBSTITUTE($B3073,CHAR(160)," ")),'Catalog'!$C:$C,0)),""))))</f>
        <v>4413049</v>
      </c>
      <c r="H3073" s="8" t="str">
        <f aca="false">IFERROR(INDEX('TRANS'!$C:$C,MATCH($B3073,'TRANS'!$A:$A,0)),IFERROR(INDEX('Catalog'!$B:$B,MATCH($G3073,'Catalog'!$A:$A,0)),$B3073))</f>
        <v>35 M מגן קרסול לבן</v>
      </c>
      <c r="I3073" s="8" t="str">
        <f aca="false">IF($G3073="","Unmatched","Matched")</f>
        <v>Matched</v>
      </c>
      <c r="J3073" s="8" t="n">
        <f aca="false">IF($G3073&lt;&gt;"",$G3073,$B3073)</f>
        <v>4413049</v>
      </c>
      <c r="K3073" s="8" t="str">
        <f aca="false">IF(COUNTIF($M$1:$M$10,$A3073)&gt;0,"Y","N")</f>
        <v>N</v>
      </c>
    </row>
    <row r="3074" customFormat="false" ht="15" hidden="false" customHeight="true" outlineLevel="0" collapsed="false">
      <c r="A3074" s="8" t="s">
        <v>1063</v>
      </c>
      <c r="B3074" s="8" t="s">
        <v>793</v>
      </c>
      <c r="C3074" s="19" t="n">
        <v>0</v>
      </c>
      <c r="D3074" s="19" t="n">
        <v>0</v>
      </c>
      <c r="E3074" s="19" t="n">
        <v>5</v>
      </c>
      <c r="F3074" s="19" t="n">
        <v>58.13</v>
      </c>
      <c r="G3074" s="8" t="n">
        <f aca="false">IFERROR(INDEX('TRANS'!$B:$B,MATCH($B3074,'TRANS'!$A:$A,0)),IFERROR(INDEX('TRANS'!$B:$B,MATCH(TRIM(SUBSTITUTE($B3074,CHAR(160)," ")),'TRANS'!$D:$D,0)),IFERROR(INDEX('Catalog'!$A:$A,MATCH($B3074,'Catalog'!$B:$B,0)),IFERROR(INDEX('Catalog'!$A:$A,MATCH(TRIM(SUBSTITUTE($B3074,CHAR(160)," ")),'Catalog'!$C:$C,0)),""))))</f>
        <v>4413050</v>
      </c>
      <c r="H3074" s="8" t="str">
        <f aca="false">IFERROR(INDEX('TRANS'!$C:$C,MATCH($B3074,'TRANS'!$A:$A,0)),IFERROR(INDEX('Catalog'!$B:$B,MATCH($G3074,'Catalog'!$A:$A,0)),$B3074))</f>
        <v>35 XL מגן קרסול לבן</v>
      </c>
      <c r="I3074" s="8" t="str">
        <f aca="false">IF($G3074="","Unmatched","Matched")</f>
        <v>Matched</v>
      </c>
      <c r="J3074" s="8" t="n">
        <f aca="false">IF($G3074&lt;&gt;"",$G3074,$B3074)</f>
        <v>4413050</v>
      </c>
      <c r="K3074" s="8" t="str">
        <f aca="false">IF(COUNTIF($M$1:$M$10,$A3074)&gt;0,"Y","N")</f>
        <v>N</v>
      </c>
    </row>
    <row r="3075" customFormat="false" ht="15" hidden="false" customHeight="true" outlineLevel="0" collapsed="false">
      <c r="A3075" s="8" t="s">
        <v>1063</v>
      </c>
      <c r="B3075" s="8" t="s">
        <v>1065</v>
      </c>
      <c r="C3075" s="19" t="n">
        <v>60</v>
      </c>
      <c r="D3075" s="19" t="n">
        <v>1931.87</v>
      </c>
      <c r="E3075" s="19" t="n">
        <v>79</v>
      </c>
      <c r="F3075" s="19" t="n">
        <v>2388.95</v>
      </c>
      <c r="G3075" s="8" t="str">
        <f aca="false">IFERROR(INDEX('TRANS'!$B:$B,MATCH($B3075,'TRANS'!$A:$A,0)),IFERROR(INDEX('TRANS'!$B:$B,MATCH(TRIM(SUBSTITUTE($B3075,CHAR(160)," ")),'TRANS'!$D:$D,0)),IFERROR(INDEX('Catalog'!$A:$A,MATCH($B3075,'Catalog'!$B:$B,0)),IFERROR(INDEX('Catalog'!$A:$A,MATCH(TRIM(SUBSTITUTE($B3075,CHAR(160)," ")),'Catalog'!$C:$C,0)),""))))</f>
        <v/>
      </c>
      <c r="H3075" s="8" t="str">
        <f aca="false">IFERROR(INDEX('TRANS'!$C:$C,MATCH($B3075,'TRANS'!$A:$A,0)),IFERROR(INDEX('Catalog'!$B:$B,MATCH($G3075,'Catalog'!$A:$A,0)),$B3075))</f>
        <v>38L 0</v>
      </c>
      <c r="I3075" s="8" t="str">
        <f aca="false">IF($G3075="","Unmatched","Matched")</f>
        <v>Unmatched</v>
      </c>
      <c r="J3075" s="8" t="str">
        <f aca="false">IF($G3075&lt;&gt;"",$G3075,$B3075)</f>
        <v>38L 0</v>
      </c>
      <c r="K3075" s="8" t="str">
        <f aca="false">IF(COUNTIF($M$1:$M$10,$A3075)&gt;0,"Y","N")</f>
        <v>N</v>
      </c>
    </row>
    <row r="3076" customFormat="false" ht="15" hidden="false" customHeight="true" outlineLevel="0" collapsed="false">
      <c r="A3076" s="8" t="s">
        <v>1063</v>
      </c>
      <c r="B3076" s="8" t="s">
        <v>1066</v>
      </c>
      <c r="C3076" s="19" t="n">
        <v>48</v>
      </c>
      <c r="D3076" s="19" t="n">
        <v>1587.63</v>
      </c>
      <c r="E3076" s="19" t="n">
        <v>123</v>
      </c>
      <c r="F3076" s="19" t="n">
        <v>3755.85</v>
      </c>
      <c r="G3076" s="8" t="str">
        <f aca="false">IFERROR(INDEX('TRANS'!$B:$B,MATCH($B3076,'TRANS'!$A:$A,0)),IFERROR(INDEX('TRANS'!$B:$B,MATCH(TRIM(SUBSTITUTE($B3076,CHAR(160)," ")),'TRANS'!$D:$D,0)),IFERROR(INDEX('Catalog'!$A:$A,MATCH($B3076,'Catalog'!$B:$B,0)),IFERROR(INDEX('Catalog'!$A:$A,MATCH(TRIM(SUBSTITUTE($B3076,CHAR(160)," ")),'Catalog'!$C:$C,0)),""))))</f>
        <v/>
      </c>
      <c r="H3076" s="8" t="str">
        <f aca="false">IFERROR(INDEX('TRANS'!$C:$C,MATCH($B3076,'TRANS'!$A:$A,0)),IFERROR(INDEX('Catalog'!$B:$B,MATCH($G3076,'Catalog'!$A:$A,0)),$B3076))</f>
        <v>38R 0</v>
      </c>
      <c r="I3076" s="8" t="str">
        <f aca="false">IF($G3076="","Unmatched","Matched")</f>
        <v>Unmatched</v>
      </c>
      <c r="J3076" s="8" t="str">
        <f aca="false">IF($G3076&lt;&gt;"",$G3076,$B3076)</f>
        <v>38R 0</v>
      </c>
      <c r="K3076" s="8" t="str">
        <f aca="false">IF(COUNTIF($M$1:$M$10,$A3076)&gt;0,"Y","N")</f>
        <v>N</v>
      </c>
    </row>
    <row r="3077" customFormat="false" ht="15" hidden="false" customHeight="true" outlineLevel="0" collapsed="false">
      <c r="A3077" s="8" t="s">
        <v>1063</v>
      </c>
      <c r="B3077" s="8" t="s">
        <v>649</v>
      </c>
      <c r="C3077" s="19" t="n">
        <v>1</v>
      </c>
      <c r="D3077" s="19" t="n">
        <v>0.03</v>
      </c>
      <c r="E3077" s="19" t="n">
        <v>0</v>
      </c>
      <c r="F3077" s="19" t="n">
        <v>0</v>
      </c>
      <c r="G3077" s="8" t="n">
        <f aca="false">IFERROR(INDEX('TRANS'!$B:$B,MATCH($B3077,'TRANS'!$A:$A,0)),IFERROR(INDEX('TRANS'!$B:$B,MATCH(TRIM(SUBSTITUTE($B3077,CHAR(160)," ")),'TRANS'!$D:$D,0)),IFERROR(INDEX('Catalog'!$A:$A,MATCH($B3077,'Catalog'!$B:$B,0)),IFERROR(INDEX('Catalog'!$A:$A,MATCH(TRIM(SUBSTITUTE($B3077,CHAR(160)," ")),'Catalog'!$C:$C,0)),""))))</f>
        <v>4413452</v>
      </c>
      <c r="H3077" s="8" t="str">
        <f aca="false">IFERROR(INDEX('TRANS'!$C:$C,MATCH($B3077,'TRANS'!$A:$A,0)),IFERROR(INDEX('Catalog'!$B:$B,MATCH($G3077,'Catalog'!$A:$A,0)),$B3077))</f>
        <v>386  מיישר בוניון-האלוקס ולגוס</v>
      </c>
      <c r="I3077" s="8" t="str">
        <f aca="false">IF($G3077="","Unmatched","Matched")</f>
        <v>Matched</v>
      </c>
      <c r="J3077" s="8" t="n">
        <f aca="false">IF($G3077&lt;&gt;"",$G3077,$B3077)</f>
        <v>4413452</v>
      </c>
      <c r="K3077" s="8" t="str">
        <f aca="false">IF(COUNTIF($M$1:$M$10,$A3077)&gt;0,"Y","N")</f>
        <v>N</v>
      </c>
    </row>
    <row r="3078" customFormat="false" ht="15" hidden="false" customHeight="true" outlineLevel="0" collapsed="false">
      <c r="A3078" s="8" t="s">
        <v>1063</v>
      </c>
      <c r="B3078" s="8" t="s">
        <v>650</v>
      </c>
      <c r="C3078" s="19" t="n">
        <v>1</v>
      </c>
      <c r="D3078" s="19" t="n">
        <v>0.03</v>
      </c>
      <c r="E3078" s="19" t="n">
        <v>0</v>
      </c>
      <c r="F3078" s="19" t="n">
        <v>0</v>
      </c>
      <c r="G3078" s="8" t="n">
        <f aca="false">IFERROR(INDEX('TRANS'!$B:$B,MATCH($B3078,'TRANS'!$A:$A,0)),IFERROR(INDEX('TRANS'!$B:$B,MATCH(TRIM(SUBSTITUTE($B3078,CHAR(160)," ")),'TRANS'!$D:$D,0)),IFERROR(INDEX('Catalog'!$A:$A,MATCH($B3078,'Catalog'!$B:$B,0)),IFERROR(INDEX('Catalog'!$A:$A,MATCH(TRIM(SUBSTITUTE($B3078,CHAR(160)," ")),'Catalog'!$C:$C,0)),""))))</f>
        <v>4415298</v>
      </c>
      <c r="H3078" s="8" t="str">
        <f aca="false">IFERROR(INDEX('TRANS'!$C:$C,MATCH($B3078,'TRANS'!$A:$A,0)),IFERROR(INDEX('Catalog'!$B:$B,MATCH($G3078,'Catalog'!$A:$A,0)),$B3078))</f>
        <v>388B L סד לילה שחור לבוהן שמאל</v>
      </c>
      <c r="I3078" s="8" t="str">
        <f aca="false">IF($G3078="","Unmatched","Matched")</f>
        <v>Matched</v>
      </c>
      <c r="J3078" s="8" t="n">
        <f aca="false">IF($G3078&lt;&gt;"",$G3078,$B3078)</f>
        <v>4415298</v>
      </c>
      <c r="K3078" s="8" t="str">
        <f aca="false">IF(COUNTIF($M$1:$M$10,$A3078)&gt;0,"Y","N")</f>
        <v>N</v>
      </c>
    </row>
    <row r="3079" customFormat="false" ht="15" hidden="false" customHeight="true" outlineLevel="0" collapsed="false">
      <c r="A3079" s="8" t="s">
        <v>1063</v>
      </c>
      <c r="B3079" s="8" t="s">
        <v>651</v>
      </c>
      <c r="C3079" s="19" t="n">
        <v>1</v>
      </c>
      <c r="D3079" s="19" t="n">
        <v>0.03</v>
      </c>
      <c r="E3079" s="19" t="n">
        <v>0</v>
      </c>
      <c r="F3079" s="19" t="n">
        <v>0</v>
      </c>
      <c r="G3079" s="8" t="n">
        <f aca="false">IFERROR(INDEX('TRANS'!$B:$B,MATCH($B3079,'TRANS'!$A:$A,0)),IFERROR(INDEX('TRANS'!$B:$B,MATCH(TRIM(SUBSTITUTE($B3079,CHAR(160)," ")),'TRANS'!$D:$D,0)),IFERROR(INDEX('Catalog'!$A:$A,MATCH($B3079,'Catalog'!$B:$B,0)),IFERROR(INDEX('Catalog'!$A:$A,MATCH(TRIM(SUBSTITUTE($B3079,CHAR(160)," ")),'Catalog'!$C:$C,0)),""))))</f>
        <v>4415299</v>
      </c>
      <c r="H3079" s="8" t="str">
        <f aca="false">IFERROR(INDEX('TRANS'!$C:$C,MATCH($B3079,'TRANS'!$A:$A,0)),IFERROR(INDEX('Catalog'!$B:$B,MATCH($G3079,'Catalog'!$A:$A,0)),$B3079))</f>
        <v>388B L סד לילה שחור לבוהן ימין</v>
      </c>
      <c r="I3079" s="8" t="str">
        <f aca="false">IF($G3079="","Unmatched","Matched")</f>
        <v>Matched</v>
      </c>
      <c r="J3079" s="8" t="n">
        <f aca="false">IF($G3079&lt;&gt;"",$G3079,$B3079)</f>
        <v>4415299</v>
      </c>
      <c r="K3079" s="8" t="str">
        <f aca="false">IF(COUNTIF($M$1:$M$10,$A3079)&gt;0,"Y","N")</f>
        <v>N</v>
      </c>
    </row>
    <row r="3080" customFormat="false" ht="15" hidden="false" customHeight="true" outlineLevel="0" collapsed="false">
      <c r="A3080" s="8" t="s">
        <v>1063</v>
      </c>
      <c r="B3080" s="8" t="s">
        <v>444</v>
      </c>
      <c r="C3080" s="19" t="n">
        <v>24</v>
      </c>
      <c r="D3080" s="19" t="n">
        <v>1767.01</v>
      </c>
      <c r="E3080" s="19" t="n">
        <v>0</v>
      </c>
      <c r="F3080" s="19" t="n">
        <v>0</v>
      </c>
      <c r="G3080" s="8" t="str">
        <f aca="false">IFERROR(INDEX('TRANS'!$B:$B,MATCH($B3080,'TRANS'!$A:$A,0)),IFERROR(INDEX('TRANS'!$B:$B,MATCH(TRIM(SUBSTITUTE($B3080,CHAR(160)," ")),'TRANS'!$D:$D,0)),IFERROR(INDEX('Catalog'!$A:$A,MATCH($B3080,'Catalog'!$B:$B,0)),IFERROR(INDEX('Catalog'!$A:$A,MATCH(TRIM(SUBSTITUTE($B3080,CHAR(160)," ")),'Catalog'!$C:$C,0)),""))))</f>
        <v/>
      </c>
      <c r="H3080" s="8" t="str">
        <f aca="false">IFERROR(INDEX('TRANS'!$C:$C,MATCH($B3080,'TRANS'!$A:$A,0)),IFERROR(INDEX('Catalog'!$B:$B,MATCH($G3080,'Catalog'!$A:$A,0)),$B3080))</f>
        <v>422N L</v>
      </c>
      <c r="I3080" s="8" t="str">
        <f aca="false">IF($G3080="","Unmatched","Matched")</f>
        <v>Unmatched</v>
      </c>
      <c r="J3080" s="8" t="str">
        <f aca="false">IF($G3080&lt;&gt;"",$G3080,$B3080)</f>
        <v>422N L</v>
      </c>
      <c r="K3080" s="8" t="str">
        <f aca="false">IF(COUNTIF($M$1:$M$10,$A3080)&gt;0,"Y","N")</f>
        <v>N</v>
      </c>
    </row>
    <row r="3081" customFormat="false" ht="15" hidden="false" customHeight="true" outlineLevel="0" collapsed="false">
      <c r="A3081" s="8" t="s">
        <v>1063</v>
      </c>
      <c r="B3081" s="8" t="s">
        <v>1067</v>
      </c>
      <c r="C3081" s="19" t="n">
        <v>24</v>
      </c>
      <c r="D3081" s="19" t="n">
        <v>1840.52</v>
      </c>
      <c r="E3081" s="19" t="n">
        <v>0</v>
      </c>
      <c r="F3081" s="19" t="n">
        <v>0</v>
      </c>
      <c r="G3081" s="8" t="str">
        <f aca="false">IFERROR(INDEX('TRANS'!$B:$B,MATCH($B3081,'TRANS'!$A:$A,0)),IFERROR(INDEX('TRANS'!$B:$B,MATCH(TRIM(SUBSTITUTE($B3081,CHAR(160)," ")),'TRANS'!$D:$D,0)),IFERROR(INDEX('Catalog'!$A:$A,MATCH($B3081,'Catalog'!$B:$B,0)),IFERROR(INDEX('Catalog'!$A:$A,MATCH(TRIM(SUBSTITUTE($B3081,CHAR(160)," ")),'Catalog'!$C:$C,0)),""))))</f>
        <v/>
      </c>
      <c r="H3081" s="8" t="str">
        <f aca="false">IFERROR(INDEX('TRANS'!$C:$C,MATCH($B3081,'TRANS'!$A:$A,0)),IFERROR(INDEX('Catalog'!$B:$B,MATCH($G3081,'Catalog'!$A:$A,0)),$B3081))</f>
        <v>422N M</v>
      </c>
      <c r="I3081" s="8" t="str">
        <f aca="false">IF($G3081="","Unmatched","Matched")</f>
        <v>Unmatched</v>
      </c>
      <c r="J3081" s="8" t="str">
        <f aca="false">IF($G3081&lt;&gt;"",$G3081,$B3081)</f>
        <v>422N M</v>
      </c>
      <c r="K3081" s="8" t="str">
        <f aca="false">IF(COUNTIF($M$1:$M$10,$A3081)&gt;0,"Y","N")</f>
        <v>N</v>
      </c>
    </row>
    <row r="3082" customFormat="false" ht="15" hidden="false" customHeight="true" outlineLevel="0" collapsed="false">
      <c r="A3082" s="8" t="s">
        <v>1063</v>
      </c>
      <c r="B3082" s="8" t="s">
        <v>446</v>
      </c>
      <c r="C3082" s="19" t="n">
        <v>24</v>
      </c>
      <c r="D3082" s="19" t="n">
        <v>1767.01</v>
      </c>
      <c r="E3082" s="19" t="n">
        <v>0</v>
      </c>
      <c r="F3082" s="19" t="n">
        <v>0</v>
      </c>
      <c r="G3082" s="8" t="str">
        <f aca="false">IFERROR(INDEX('TRANS'!$B:$B,MATCH($B3082,'TRANS'!$A:$A,0)),IFERROR(INDEX('TRANS'!$B:$B,MATCH(TRIM(SUBSTITUTE($B3082,CHAR(160)," ")),'TRANS'!$D:$D,0)),IFERROR(INDEX('Catalog'!$A:$A,MATCH($B3082,'Catalog'!$B:$B,0)),IFERROR(INDEX('Catalog'!$A:$A,MATCH(TRIM(SUBSTITUTE($B3082,CHAR(160)," ")),'Catalog'!$C:$C,0)),""))))</f>
        <v/>
      </c>
      <c r="H3082" s="8" t="str">
        <f aca="false">IFERROR(INDEX('TRANS'!$C:$C,MATCH($B3082,'TRANS'!$A:$A,0)),IFERROR(INDEX('Catalog'!$B:$B,MATCH($G3082,'Catalog'!$A:$A,0)),$B3082))</f>
        <v>422N XL</v>
      </c>
      <c r="I3082" s="8" t="str">
        <f aca="false">IF($G3082="","Unmatched","Matched")</f>
        <v>Unmatched</v>
      </c>
      <c r="J3082" s="8" t="str">
        <f aca="false">IF($G3082&lt;&gt;"",$G3082,$B3082)</f>
        <v>422N XL</v>
      </c>
      <c r="K3082" s="8" t="str">
        <f aca="false">IF(COUNTIF($M$1:$M$10,$A3082)&gt;0,"Y","N")</f>
        <v>N</v>
      </c>
    </row>
    <row r="3083" customFormat="false" ht="15" hidden="false" customHeight="true" outlineLevel="0" collapsed="false">
      <c r="A3083" s="8" t="s">
        <v>1063</v>
      </c>
      <c r="B3083" s="8" t="s">
        <v>484</v>
      </c>
      <c r="C3083" s="19" t="n">
        <v>24</v>
      </c>
      <c r="D3083" s="19" t="n">
        <v>2317.29</v>
      </c>
      <c r="E3083" s="19" t="n">
        <v>0</v>
      </c>
      <c r="F3083" s="19" t="n">
        <v>0</v>
      </c>
      <c r="G3083" s="8" t="str">
        <f aca="false">IFERROR(INDEX('TRANS'!$B:$B,MATCH($B3083,'TRANS'!$A:$A,0)),IFERROR(INDEX('TRANS'!$B:$B,MATCH(TRIM(SUBSTITUTE($B3083,CHAR(160)," ")),'TRANS'!$D:$D,0)),IFERROR(INDEX('Catalog'!$A:$A,MATCH($B3083,'Catalog'!$B:$B,0)),IFERROR(INDEX('Catalog'!$A:$A,MATCH(TRIM(SUBSTITUTE($B3083,CHAR(160)," ")),'Catalog'!$C:$C,0)),""))))</f>
        <v/>
      </c>
      <c r="H3083" s="8" t="str">
        <f aca="false">IFERROR(INDEX('TRANS'!$C:$C,MATCH($B3083,'TRANS'!$A:$A,0)),IFERROR(INDEX('Catalog'!$B:$B,MATCH($G3083,'Catalog'!$A:$A,0)),$B3083))</f>
        <v>422N+ XL</v>
      </c>
      <c r="I3083" s="8" t="str">
        <f aca="false">IF($G3083="","Unmatched","Matched")</f>
        <v>Unmatched</v>
      </c>
      <c r="J3083" s="8" t="str">
        <f aca="false">IF($G3083&lt;&gt;"",$G3083,$B3083)</f>
        <v>422N+ XL</v>
      </c>
      <c r="K3083" s="8" t="str">
        <f aca="false">IF(COUNTIF($M$1:$M$10,$A3083)&gt;0,"Y","N")</f>
        <v>N</v>
      </c>
    </row>
    <row r="3084" customFormat="false" ht="15" hidden="false" customHeight="true" outlineLevel="0" collapsed="false">
      <c r="A3084" s="8" t="s">
        <v>1063</v>
      </c>
      <c r="B3084" s="8" t="s">
        <v>798</v>
      </c>
      <c r="C3084" s="19" t="n">
        <v>12</v>
      </c>
      <c r="D3084" s="19" t="n">
        <v>134.14</v>
      </c>
      <c r="E3084" s="19" t="n">
        <v>11</v>
      </c>
      <c r="F3084" s="19" t="n">
        <v>114.67</v>
      </c>
      <c r="G3084" s="8" t="n">
        <f aca="false">IFERROR(INDEX('TRANS'!$B:$B,MATCH($B3084,'TRANS'!$A:$A,0)),IFERROR(INDEX('TRANS'!$B:$B,MATCH(TRIM(SUBSTITUTE($B3084,CHAR(160)," ")),'TRANS'!$D:$D,0)),IFERROR(INDEX('Catalog'!$A:$A,MATCH($B3084,'Catalog'!$B:$B,0)),IFERROR(INDEX('Catalog'!$A:$A,MATCH(TRIM(SUBSTITUTE($B3084,CHAR(160)," ")),'Catalog'!$C:$C,0)),""))))</f>
        <v>4413092</v>
      </c>
      <c r="H3084" s="8" t="str">
        <f aca="false">IFERROR(INDEX('TRANS'!$C:$C,MATCH($B3084,'TRANS'!$A:$A,0)),IFERROR(INDEX('Catalog'!$B:$B,MATCH($G3084,'Catalog'!$A:$A,0)),$B3084))</f>
        <v>45 L מגן ברך לבן</v>
      </c>
      <c r="I3084" s="8" t="str">
        <f aca="false">IF($G3084="","Unmatched","Matched")</f>
        <v>Matched</v>
      </c>
      <c r="J3084" s="8" t="n">
        <f aca="false">IF($G3084&lt;&gt;"",$G3084,$B3084)</f>
        <v>4413092</v>
      </c>
      <c r="K3084" s="8" t="str">
        <f aca="false">IF(COUNTIF($M$1:$M$10,$A3084)&gt;0,"Y","N")</f>
        <v>N</v>
      </c>
    </row>
    <row r="3085" customFormat="false" ht="15" hidden="false" customHeight="true" outlineLevel="0" collapsed="false">
      <c r="A3085" s="8" t="s">
        <v>1063</v>
      </c>
      <c r="B3085" s="8" t="s">
        <v>799</v>
      </c>
      <c r="C3085" s="19" t="n">
        <v>42</v>
      </c>
      <c r="D3085" s="19" t="n">
        <v>467.55</v>
      </c>
      <c r="E3085" s="19" t="n">
        <v>0</v>
      </c>
      <c r="F3085" s="19" t="n">
        <v>0</v>
      </c>
      <c r="G3085" s="8" t="n">
        <f aca="false">IFERROR(INDEX('TRANS'!$B:$B,MATCH($B3085,'TRANS'!$A:$A,0)),IFERROR(INDEX('TRANS'!$B:$B,MATCH(TRIM(SUBSTITUTE($B3085,CHAR(160)," ")),'TRANS'!$D:$D,0)),IFERROR(INDEX('Catalog'!$A:$A,MATCH($B3085,'Catalog'!$B:$B,0)),IFERROR(INDEX('Catalog'!$A:$A,MATCH(TRIM(SUBSTITUTE($B3085,CHAR(160)," ")),'Catalog'!$C:$C,0)),""))))</f>
        <v>4413093</v>
      </c>
      <c r="H3085" s="8" t="str">
        <f aca="false">IFERROR(INDEX('TRANS'!$C:$C,MATCH($B3085,'TRANS'!$A:$A,0)),IFERROR(INDEX('Catalog'!$B:$B,MATCH($G3085,'Catalog'!$A:$A,0)),$B3085))</f>
        <v>45 M מגן ברך לבן</v>
      </c>
      <c r="I3085" s="8" t="str">
        <f aca="false">IF($G3085="","Unmatched","Matched")</f>
        <v>Matched</v>
      </c>
      <c r="J3085" s="8" t="n">
        <f aca="false">IF($G3085&lt;&gt;"",$G3085,$B3085)</f>
        <v>4413093</v>
      </c>
      <c r="K3085" s="8" t="str">
        <f aca="false">IF(COUNTIF($M$1:$M$10,$A3085)&gt;0,"Y","N")</f>
        <v>N</v>
      </c>
    </row>
    <row r="3086" customFormat="false" ht="15" hidden="false" customHeight="true" outlineLevel="0" collapsed="false">
      <c r="A3086" s="8" t="s">
        <v>1063</v>
      </c>
      <c r="B3086" s="8" t="s">
        <v>673</v>
      </c>
      <c r="C3086" s="19" t="n">
        <v>6</v>
      </c>
      <c r="D3086" s="19" t="n">
        <v>62.51</v>
      </c>
      <c r="E3086" s="19" t="n">
        <v>0</v>
      </c>
      <c r="F3086" s="19" t="n">
        <v>0</v>
      </c>
      <c r="G3086" s="8" t="n">
        <f aca="false">IFERROR(INDEX('TRANS'!$B:$B,MATCH($B3086,'TRANS'!$A:$A,0)),IFERROR(INDEX('TRANS'!$B:$B,MATCH(TRIM(SUBSTITUTE($B3086,CHAR(160)," ")),'TRANS'!$D:$D,0)),IFERROR(INDEX('Catalog'!$A:$A,MATCH($B3086,'Catalog'!$B:$B,0)),IFERROR(INDEX('Catalog'!$A:$A,MATCH(TRIM(SUBSTITUTE($B3086,CHAR(160)," ")),'Catalog'!$C:$C,0)),""))))</f>
        <v>4413094</v>
      </c>
      <c r="H3086" s="8" t="str">
        <f aca="false">IFERROR(INDEX('TRANS'!$C:$C,MATCH($B3086,'TRANS'!$A:$A,0)),IFERROR(INDEX('Catalog'!$B:$B,MATCH($G3086,'Catalog'!$A:$A,0)),$B3086))</f>
        <v>45 S מגן ברך לבן</v>
      </c>
      <c r="I3086" s="8" t="str">
        <f aca="false">IF($G3086="","Unmatched","Matched")</f>
        <v>Matched</v>
      </c>
      <c r="J3086" s="8" t="n">
        <f aca="false">IF($G3086&lt;&gt;"",$G3086,$B3086)</f>
        <v>4413094</v>
      </c>
      <c r="K3086" s="8" t="str">
        <f aca="false">IF(COUNTIF($M$1:$M$10,$A3086)&gt;0,"Y","N")</f>
        <v>N</v>
      </c>
    </row>
    <row r="3087" customFormat="false" ht="15" hidden="false" customHeight="true" outlineLevel="0" collapsed="false">
      <c r="A3087" s="8" t="s">
        <v>1063</v>
      </c>
      <c r="B3087" s="8" t="s">
        <v>674</v>
      </c>
      <c r="C3087" s="19" t="n">
        <v>24</v>
      </c>
      <c r="D3087" s="19" t="n">
        <v>256.16</v>
      </c>
      <c r="E3087" s="19" t="n">
        <v>0</v>
      </c>
      <c r="F3087" s="19" t="n">
        <v>0</v>
      </c>
      <c r="G3087" s="8" t="n">
        <f aca="false">IFERROR(INDEX('TRANS'!$B:$B,MATCH($B3087,'TRANS'!$A:$A,0)),IFERROR(INDEX('TRANS'!$B:$B,MATCH(TRIM(SUBSTITUTE($B3087,CHAR(160)," ")),'TRANS'!$D:$D,0)),IFERROR(INDEX('Catalog'!$A:$A,MATCH($B3087,'Catalog'!$B:$B,0)),IFERROR(INDEX('Catalog'!$A:$A,MATCH(TRIM(SUBSTITUTE($B3087,CHAR(160)," ")),'Catalog'!$C:$C,0)),""))))</f>
        <v>4413095</v>
      </c>
      <c r="H3087" s="8" t="str">
        <f aca="false">IFERROR(INDEX('TRANS'!$C:$C,MATCH($B3087,'TRANS'!$A:$A,0)),IFERROR(INDEX('Catalog'!$B:$B,MATCH($G3087,'Catalog'!$A:$A,0)),$B3087))</f>
        <v>45 XL מגן ברך לבן</v>
      </c>
      <c r="I3087" s="8" t="str">
        <f aca="false">IF($G3087="","Unmatched","Matched")</f>
        <v>Matched</v>
      </c>
      <c r="J3087" s="8" t="n">
        <f aca="false">IF($G3087&lt;&gt;"",$G3087,$B3087)</f>
        <v>4413095</v>
      </c>
      <c r="K3087" s="8" t="str">
        <f aca="false">IF(COUNTIF($M$1:$M$10,$A3087)&gt;0,"Y","N")</f>
        <v>N</v>
      </c>
    </row>
    <row r="3088" customFormat="false" ht="15" hidden="false" customHeight="true" outlineLevel="0" collapsed="false">
      <c r="A3088" s="8" t="s">
        <v>1063</v>
      </c>
      <c r="B3088" s="8" t="s">
        <v>800</v>
      </c>
      <c r="C3088" s="19" t="n">
        <v>12</v>
      </c>
      <c r="D3088" s="19" t="n">
        <v>124.68</v>
      </c>
      <c r="E3088" s="19" t="n">
        <v>0</v>
      </c>
      <c r="F3088" s="19" t="n">
        <v>0</v>
      </c>
      <c r="G3088" s="8" t="n">
        <f aca="false">IFERROR(INDEX('TRANS'!$B:$B,MATCH($B3088,'TRANS'!$A:$A,0)),IFERROR(INDEX('TRANS'!$B:$B,MATCH(TRIM(SUBSTITUTE($B3088,CHAR(160)," ")),'TRANS'!$D:$D,0)),IFERROR(INDEX('Catalog'!$A:$A,MATCH($B3088,'Catalog'!$B:$B,0)),IFERROR(INDEX('Catalog'!$A:$A,MATCH(TRIM(SUBSTITUTE($B3088,CHAR(160)," ")),'Catalog'!$C:$C,0)),""))))</f>
        <v>4413096</v>
      </c>
      <c r="H3088" s="8" t="str">
        <f aca="false">IFERROR(INDEX('TRANS'!$C:$C,MATCH($B3088,'TRANS'!$A:$A,0)),IFERROR(INDEX('Catalog'!$B:$B,MATCH($G3088,'Catalog'!$A:$A,0)),$B3088))</f>
        <v>45 XXL מגן ברך לבן</v>
      </c>
      <c r="I3088" s="8" t="str">
        <f aca="false">IF($G3088="","Unmatched","Matched")</f>
        <v>Matched</v>
      </c>
      <c r="J3088" s="8" t="n">
        <f aca="false">IF($G3088&lt;&gt;"",$G3088,$B3088)</f>
        <v>4413096</v>
      </c>
      <c r="K3088" s="8" t="str">
        <f aca="false">IF(COUNTIF($M$1:$M$10,$A3088)&gt;0,"Y","N")</f>
        <v>N</v>
      </c>
    </row>
    <row r="3089" customFormat="false" ht="15" hidden="false" customHeight="true" outlineLevel="0" collapsed="false">
      <c r="A3089" s="8" t="s">
        <v>1063</v>
      </c>
      <c r="B3089" s="8" t="s">
        <v>208</v>
      </c>
      <c r="C3089" s="19" t="n">
        <v>961</v>
      </c>
      <c r="D3089" s="19" t="n">
        <v>56565.47</v>
      </c>
      <c r="E3089" s="19" t="n">
        <v>1595</v>
      </c>
      <c r="F3089" s="19" t="n">
        <v>88667.91</v>
      </c>
      <c r="G3089" s="8" t="str">
        <f aca="false">IFERROR(INDEX('TRANS'!$B:$B,MATCH($B3089,'TRANS'!$A:$A,0)),IFERROR(INDEX('TRANS'!$B:$B,MATCH(TRIM(SUBSTITUTE($B3089,CHAR(160)," ")),'TRANS'!$D:$D,0)),IFERROR(INDEX('Catalog'!$A:$A,MATCH($B3089,'Catalog'!$B:$B,0)),IFERROR(INDEX('Catalog'!$A:$A,MATCH(TRIM(SUBSTITUTE($B3089,CHAR(160)," ")),'Catalog'!$C:$C,0)),""))))</f>
        <v/>
      </c>
      <c r="H3089" s="8" t="str">
        <f aca="false">IFERROR(INDEX('TRANS'!$C:$C,MATCH($B3089,'TRANS'!$A:$A,0)),IFERROR(INDEX('Catalog'!$B:$B,MATCH($G3089,'Catalog'!$A:$A,0)),$B3089))</f>
        <v>49PS L</v>
      </c>
      <c r="I3089" s="8" t="str">
        <f aca="false">IF($G3089="","Unmatched","Matched")</f>
        <v>Unmatched</v>
      </c>
      <c r="J3089" s="8" t="str">
        <f aca="false">IF($G3089&lt;&gt;"",$G3089,$B3089)</f>
        <v>49PS L</v>
      </c>
      <c r="K3089" s="8" t="str">
        <f aca="false">IF(COUNTIF($M$1:$M$10,$A3089)&gt;0,"Y","N")</f>
        <v>N</v>
      </c>
    </row>
    <row r="3090" customFormat="false" ht="15" hidden="false" customHeight="true" outlineLevel="0" collapsed="false">
      <c r="A3090" s="8" t="s">
        <v>1063</v>
      </c>
      <c r="B3090" s="8" t="s">
        <v>242</v>
      </c>
      <c r="C3090" s="19" t="n">
        <v>1201</v>
      </c>
      <c r="D3090" s="19" t="n">
        <v>71527.56</v>
      </c>
      <c r="E3090" s="19" t="n">
        <v>936</v>
      </c>
      <c r="F3090" s="19" t="n">
        <v>51233.33</v>
      </c>
      <c r="G3090" s="8" t="str">
        <f aca="false">IFERROR(INDEX('TRANS'!$B:$B,MATCH($B3090,'TRANS'!$A:$A,0)),IFERROR(INDEX('TRANS'!$B:$B,MATCH(TRIM(SUBSTITUTE($B3090,CHAR(160)," ")),'TRANS'!$D:$D,0)),IFERROR(INDEX('Catalog'!$A:$A,MATCH($B3090,'Catalog'!$B:$B,0)),IFERROR(INDEX('Catalog'!$A:$A,MATCH(TRIM(SUBSTITUTE($B3090,CHAR(160)," ")),'Catalog'!$C:$C,0)),""))))</f>
        <v/>
      </c>
      <c r="H3090" s="8" t="str">
        <f aca="false">IFERROR(INDEX('TRANS'!$C:$C,MATCH($B3090,'TRANS'!$A:$A,0)),IFERROR(INDEX('Catalog'!$B:$B,MATCH($G3090,'Catalog'!$A:$A,0)),$B3090))</f>
        <v>49PS M</v>
      </c>
      <c r="I3090" s="8" t="str">
        <f aca="false">IF($G3090="","Unmatched","Matched")</f>
        <v>Unmatched</v>
      </c>
      <c r="J3090" s="8" t="str">
        <f aca="false">IF($G3090&lt;&gt;"",$G3090,$B3090)</f>
        <v>49PS M</v>
      </c>
      <c r="K3090" s="8" t="str">
        <f aca="false">IF(COUNTIF($M$1:$M$10,$A3090)&gt;0,"Y","N")</f>
        <v>N</v>
      </c>
    </row>
    <row r="3091" customFormat="false" ht="15" hidden="false" customHeight="true" outlineLevel="0" collapsed="false">
      <c r="A3091" s="8" t="s">
        <v>1063</v>
      </c>
      <c r="B3091" s="8" t="s">
        <v>485</v>
      </c>
      <c r="C3091" s="19" t="n">
        <v>97</v>
      </c>
      <c r="D3091" s="19" t="n">
        <v>5547.16</v>
      </c>
      <c r="E3091" s="19" t="n">
        <v>22</v>
      </c>
      <c r="F3091" s="19" t="n">
        <v>1299.26</v>
      </c>
      <c r="G3091" s="8" t="str">
        <f aca="false">IFERROR(INDEX('TRANS'!$B:$B,MATCH($B3091,'TRANS'!$A:$A,0)),IFERROR(INDEX('TRANS'!$B:$B,MATCH(TRIM(SUBSTITUTE($B3091,CHAR(160)," ")),'TRANS'!$D:$D,0)),IFERROR(INDEX('Catalog'!$A:$A,MATCH($B3091,'Catalog'!$B:$B,0)),IFERROR(INDEX('Catalog'!$A:$A,MATCH(TRIM(SUBSTITUTE($B3091,CHAR(160)," ")),'Catalog'!$C:$C,0)),""))))</f>
        <v/>
      </c>
      <c r="H3091" s="8" t="str">
        <f aca="false">IFERROR(INDEX('TRANS'!$C:$C,MATCH($B3091,'TRANS'!$A:$A,0)),IFERROR(INDEX('Catalog'!$B:$B,MATCH($G3091,'Catalog'!$A:$A,0)),$B3091))</f>
        <v>49PS S</v>
      </c>
      <c r="I3091" s="8" t="str">
        <f aca="false">IF($G3091="","Unmatched","Matched")</f>
        <v>Unmatched</v>
      </c>
      <c r="J3091" s="8" t="str">
        <f aca="false">IF($G3091&lt;&gt;"",$G3091,$B3091)</f>
        <v>49PS S</v>
      </c>
      <c r="K3091" s="8" t="str">
        <f aca="false">IF(COUNTIF($M$1:$M$10,$A3091)&gt;0,"Y","N")</f>
        <v>N</v>
      </c>
    </row>
    <row r="3092" customFormat="false" ht="15" hidden="false" customHeight="true" outlineLevel="0" collapsed="false">
      <c r="A3092" s="8" t="s">
        <v>1063</v>
      </c>
      <c r="B3092" s="8" t="s">
        <v>312</v>
      </c>
      <c r="C3092" s="19" t="n">
        <v>457</v>
      </c>
      <c r="D3092" s="19" t="n">
        <v>26963.79</v>
      </c>
      <c r="E3092" s="19" t="n">
        <v>550</v>
      </c>
      <c r="F3092" s="19" t="n">
        <v>31868.69</v>
      </c>
      <c r="G3092" s="8" t="str">
        <f aca="false">IFERROR(INDEX('TRANS'!$B:$B,MATCH($B3092,'TRANS'!$A:$A,0)),IFERROR(INDEX('TRANS'!$B:$B,MATCH(TRIM(SUBSTITUTE($B3092,CHAR(160)," ")),'TRANS'!$D:$D,0)),IFERROR(INDEX('Catalog'!$A:$A,MATCH($B3092,'Catalog'!$B:$B,0)),IFERROR(INDEX('Catalog'!$A:$A,MATCH(TRIM(SUBSTITUTE($B3092,CHAR(160)," ")),'Catalog'!$C:$C,0)),""))))</f>
        <v/>
      </c>
      <c r="H3092" s="8" t="str">
        <f aca="false">IFERROR(INDEX('TRANS'!$C:$C,MATCH($B3092,'TRANS'!$A:$A,0)),IFERROR(INDEX('Catalog'!$B:$B,MATCH($G3092,'Catalog'!$A:$A,0)),$B3092))</f>
        <v>49PS XL</v>
      </c>
      <c r="I3092" s="8" t="str">
        <f aca="false">IF($G3092="","Unmatched","Matched")</f>
        <v>Unmatched</v>
      </c>
      <c r="J3092" s="8" t="str">
        <f aca="false">IF($G3092&lt;&gt;"",$G3092,$B3092)</f>
        <v>49PS XL</v>
      </c>
      <c r="K3092" s="8" t="str">
        <f aca="false">IF(COUNTIF($M$1:$M$10,$A3092)&gt;0,"Y","N")</f>
        <v>N</v>
      </c>
    </row>
    <row r="3093" customFormat="false" ht="15" hidden="false" customHeight="true" outlineLevel="0" collapsed="false">
      <c r="A3093" s="8" t="s">
        <v>1063</v>
      </c>
      <c r="B3093" s="8" t="s">
        <v>281</v>
      </c>
      <c r="C3093" s="19" t="n">
        <v>61</v>
      </c>
      <c r="D3093" s="19" t="n">
        <v>3467</v>
      </c>
      <c r="E3093" s="19" t="n">
        <v>44</v>
      </c>
      <c r="F3093" s="19" t="n">
        <v>2598.48</v>
      </c>
      <c r="G3093" s="8" t="str">
        <f aca="false">IFERROR(INDEX('TRANS'!$B:$B,MATCH($B3093,'TRANS'!$A:$A,0)),IFERROR(INDEX('TRANS'!$B:$B,MATCH(TRIM(SUBSTITUTE($B3093,CHAR(160)," ")),'TRANS'!$D:$D,0)),IFERROR(INDEX('Catalog'!$A:$A,MATCH($B3093,'Catalog'!$B:$B,0)),IFERROR(INDEX('Catalog'!$A:$A,MATCH(TRIM(SUBSTITUTE($B3093,CHAR(160)," ")),'Catalog'!$C:$C,0)),""))))</f>
        <v/>
      </c>
      <c r="H3093" s="8" t="str">
        <f aca="false">IFERROR(INDEX('TRANS'!$C:$C,MATCH($B3093,'TRANS'!$A:$A,0)),IFERROR(INDEX('Catalog'!$B:$B,MATCH($G3093,'Catalog'!$A:$A,0)),$B3093))</f>
        <v>49PS XXL</v>
      </c>
      <c r="I3093" s="8" t="str">
        <f aca="false">IF($G3093="","Unmatched","Matched")</f>
        <v>Unmatched</v>
      </c>
      <c r="J3093" s="8" t="str">
        <f aca="false">IF($G3093&lt;&gt;"",$G3093,$B3093)</f>
        <v>49PS XXL</v>
      </c>
      <c r="K3093" s="8" t="str">
        <f aca="false">IF(COUNTIF($M$1:$M$10,$A3093)&gt;0,"Y","N")</f>
        <v>N</v>
      </c>
    </row>
    <row r="3094" customFormat="false" ht="15" hidden="false" customHeight="true" outlineLevel="0" collapsed="false">
      <c r="A3094" s="8" t="s">
        <v>1063</v>
      </c>
      <c r="B3094" s="8" t="s">
        <v>917</v>
      </c>
      <c r="C3094" s="19" t="n">
        <v>60</v>
      </c>
      <c r="D3094" s="19" t="n">
        <v>1353.58</v>
      </c>
      <c r="E3094" s="19" t="n">
        <v>11</v>
      </c>
      <c r="F3094" s="19" t="n">
        <v>232.59</v>
      </c>
      <c r="G3094" s="8" t="n">
        <f aca="false">IFERROR(INDEX('TRANS'!$B:$B,MATCH($B3094,'TRANS'!$A:$A,0)),IFERROR(INDEX('TRANS'!$B:$B,MATCH(TRIM(SUBSTITUTE($B3094,CHAR(160)," ")),'TRANS'!$D:$D,0)),IFERROR(INDEX('Catalog'!$A:$A,MATCH($B3094,'Catalog'!$B:$B,0)),IFERROR(INDEX('Catalog'!$A:$A,MATCH(TRIM(SUBSTITUTE($B3094,CHAR(160)," ")),'Catalog'!$C:$C,0)),""))))</f>
        <v>4418000</v>
      </c>
      <c r="H3094" s="8" t="str">
        <f aca="false">IFERROR(INDEX('TRANS'!$C:$C,MATCH($B3094,'TRANS'!$A:$A,0)),IFERROR(INDEX('Catalog'!$B:$B,MATCH($G3094,'Catalog'!$A:$A,0)),$B3094))</f>
        <v>60 L צוארון ספוגי</v>
      </c>
      <c r="I3094" s="8" t="str">
        <f aca="false">IF($G3094="","Unmatched","Matched")</f>
        <v>Matched</v>
      </c>
      <c r="J3094" s="8" t="n">
        <f aca="false">IF($G3094&lt;&gt;"",$G3094,$B3094)</f>
        <v>4418000</v>
      </c>
      <c r="K3094" s="8" t="str">
        <f aca="false">IF(COUNTIF($M$1:$M$10,$A3094)&gt;0,"Y","N")</f>
        <v>N</v>
      </c>
    </row>
    <row r="3095" customFormat="false" ht="15" hidden="false" customHeight="true" outlineLevel="0" collapsed="false">
      <c r="A3095" s="8" t="s">
        <v>1063</v>
      </c>
      <c r="B3095" s="8" t="s">
        <v>691</v>
      </c>
      <c r="C3095" s="19" t="n">
        <v>108</v>
      </c>
      <c r="D3095" s="19" t="n">
        <v>2454.28</v>
      </c>
      <c r="E3095" s="19" t="n">
        <v>69</v>
      </c>
      <c r="F3095" s="19" t="n">
        <v>1439.64</v>
      </c>
      <c r="G3095" s="8" t="n">
        <f aca="false">IFERROR(INDEX('TRANS'!$B:$B,MATCH($B3095,'TRANS'!$A:$A,0)),IFERROR(INDEX('TRANS'!$B:$B,MATCH(TRIM(SUBSTITUTE($B3095,CHAR(160)," ")),'TRANS'!$D:$D,0)),IFERROR(INDEX('Catalog'!$A:$A,MATCH($B3095,'Catalog'!$B:$B,0)),IFERROR(INDEX('Catalog'!$A:$A,MATCH(TRIM(SUBSTITUTE($B3095,CHAR(160)," ")),'Catalog'!$C:$C,0)),""))))</f>
        <v>4418001</v>
      </c>
      <c r="H3095" s="8" t="str">
        <f aca="false">IFERROR(INDEX('TRANS'!$C:$C,MATCH($B3095,'TRANS'!$A:$A,0)),IFERROR(INDEX('Catalog'!$B:$B,MATCH($G3095,'Catalog'!$A:$A,0)),$B3095))</f>
        <v>60 M צוארון ספוגי</v>
      </c>
      <c r="I3095" s="8" t="str">
        <f aca="false">IF($G3095="","Unmatched","Matched")</f>
        <v>Matched</v>
      </c>
      <c r="J3095" s="8" t="n">
        <f aca="false">IF($G3095&lt;&gt;"",$G3095,$B3095)</f>
        <v>4418001</v>
      </c>
      <c r="K3095" s="8" t="str">
        <f aca="false">IF(COUNTIF($M$1:$M$10,$A3095)&gt;0,"Y","N")</f>
        <v>N</v>
      </c>
    </row>
    <row r="3096" customFormat="false" ht="15" hidden="false" customHeight="true" outlineLevel="0" collapsed="false">
      <c r="A3096" s="8" t="s">
        <v>1063</v>
      </c>
      <c r="B3096" s="8" t="s">
        <v>692</v>
      </c>
      <c r="C3096" s="19" t="n">
        <v>60</v>
      </c>
      <c r="D3096" s="19" t="n">
        <v>1374.44</v>
      </c>
      <c r="E3096" s="19" t="n">
        <v>44</v>
      </c>
      <c r="F3096" s="19" t="n">
        <v>961.21</v>
      </c>
      <c r="G3096" s="8" t="n">
        <f aca="false">IFERROR(INDEX('TRANS'!$B:$B,MATCH($B3096,'TRANS'!$A:$A,0)),IFERROR(INDEX('TRANS'!$B:$B,MATCH(TRIM(SUBSTITUTE($B3096,CHAR(160)," ")),'TRANS'!$D:$D,0)),IFERROR(INDEX('Catalog'!$A:$A,MATCH($B3096,'Catalog'!$B:$B,0)),IFERROR(INDEX('Catalog'!$A:$A,MATCH(TRIM(SUBSTITUTE($B3096,CHAR(160)," ")),'Catalog'!$C:$C,0)),""))))</f>
        <v>4418002</v>
      </c>
      <c r="H3096" s="8" t="str">
        <f aca="false">IFERROR(INDEX('TRANS'!$C:$C,MATCH($B3096,'TRANS'!$A:$A,0)),IFERROR(INDEX('Catalog'!$B:$B,MATCH($G3096,'Catalog'!$A:$A,0)),$B3096))</f>
        <v>60 S צוארון ספוגי</v>
      </c>
      <c r="I3096" s="8" t="str">
        <f aca="false">IF($G3096="","Unmatched","Matched")</f>
        <v>Matched</v>
      </c>
      <c r="J3096" s="8" t="n">
        <f aca="false">IF($G3096&lt;&gt;"",$G3096,$B3096)</f>
        <v>4418002</v>
      </c>
      <c r="K3096" s="8" t="str">
        <f aca="false">IF(COUNTIF($M$1:$M$10,$A3096)&gt;0,"Y","N")</f>
        <v>N</v>
      </c>
    </row>
    <row r="3097" customFormat="false" ht="15" hidden="false" customHeight="true" outlineLevel="0" collapsed="false">
      <c r="A3097" s="8" t="s">
        <v>1063</v>
      </c>
      <c r="B3097" s="8" t="s">
        <v>349</v>
      </c>
      <c r="C3097" s="19" t="n">
        <v>12</v>
      </c>
      <c r="D3097" s="19" t="n">
        <v>286.12</v>
      </c>
      <c r="E3097" s="19" t="n">
        <v>0</v>
      </c>
      <c r="F3097" s="19" t="n">
        <v>0</v>
      </c>
      <c r="G3097" s="8" t="str">
        <f aca="false">IFERROR(INDEX('TRANS'!$B:$B,MATCH($B3097,'TRANS'!$A:$A,0)),IFERROR(INDEX('TRANS'!$B:$B,MATCH(TRIM(SUBSTITUTE($B3097,CHAR(160)," ")),'TRANS'!$D:$D,0)),IFERROR(INDEX('Catalog'!$A:$A,MATCH($B3097,'Catalog'!$B:$B,0)),IFERROR(INDEX('Catalog'!$A:$A,MATCH(TRIM(SUBSTITUTE($B3097,CHAR(160)," ")),'Catalog'!$C:$C,0)),""))))</f>
        <v/>
      </c>
      <c r="H3097" s="8" t="str">
        <f aca="false">IFERROR(INDEX('TRANS'!$C:$C,MATCH($B3097,'TRANS'!$A:$A,0)),IFERROR(INDEX('Catalog'!$B:$B,MATCH($G3097,'Catalog'!$A:$A,0)),$B3097))</f>
        <v>60 XS</v>
      </c>
      <c r="I3097" s="8" t="str">
        <f aca="false">IF($G3097="","Unmatched","Matched")</f>
        <v>Unmatched</v>
      </c>
      <c r="J3097" s="8" t="str">
        <f aca="false">IF($G3097&lt;&gt;"",$G3097,$B3097)</f>
        <v>60 XS</v>
      </c>
      <c r="K3097" s="8" t="str">
        <f aca="false">IF(COUNTIF($M$1:$M$10,$A3097)&gt;0,"Y","N")</f>
        <v>N</v>
      </c>
    </row>
    <row r="3098" customFormat="false" ht="15" hidden="false" customHeight="true" outlineLevel="0" collapsed="false">
      <c r="A3098" s="8" t="s">
        <v>1063</v>
      </c>
      <c r="B3098" s="8" t="s">
        <v>1068</v>
      </c>
      <c r="C3098" s="19" t="n">
        <v>60</v>
      </c>
      <c r="D3098" s="19" t="n">
        <v>1477.77</v>
      </c>
      <c r="E3098" s="19" t="n">
        <v>0</v>
      </c>
      <c r="F3098" s="19" t="n">
        <v>0</v>
      </c>
      <c r="G3098" s="8" t="str">
        <f aca="false">IFERROR(INDEX('TRANS'!$B:$B,MATCH($B3098,'TRANS'!$A:$A,0)),IFERROR(INDEX('TRANS'!$B:$B,MATCH(TRIM(SUBSTITUTE($B3098,CHAR(160)," ")),'TRANS'!$D:$D,0)),IFERROR(INDEX('Catalog'!$A:$A,MATCH($B3098,'Catalog'!$B:$B,0)),IFERROR(INDEX('Catalog'!$A:$A,MATCH(TRIM(SUBSTITUTE($B3098,CHAR(160)," ")),'Catalog'!$C:$C,0)),""))))</f>
        <v/>
      </c>
      <c r="H3098" s="8" t="str">
        <f aca="false">IFERROR(INDEX('TRANS'!$C:$C,MATCH($B3098,'TRANS'!$A:$A,0)),IFERROR(INDEX('Catalog'!$B:$B,MATCH($G3098,'Catalog'!$A:$A,0)),$B3098))</f>
        <v>62FC L</v>
      </c>
      <c r="I3098" s="8" t="str">
        <f aca="false">IF($G3098="","Unmatched","Matched")</f>
        <v>Unmatched</v>
      </c>
      <c r="J3098" s="8" t="str">
        <f aca="false">IF($G3098&lt;&gt;"",$G3098,$B3098)</f>
        <v>62FC L</v>
      </c>
      <c r="K3098" s="8" t="str">
        <f aca="false">IF(COUNTIF($M$1:$M$10,$A3098)&gt;0,"Y","N")</f>
        <v>N</v>
      </c>
    </row>
    <row r="3099" customFormat="false" ht="15" hidden="false" customHeight="true" outlineLevel="0" collapsed="false">
      <c r="A3099" s="8" t="s">
        <v>1063</v>
      </c>
      <c r="B3099" s="8" t="s">
        <v>1069</v>
      </c>
      <c r="C3099" s="19" t="n">
        <v>96</v>
      </c>
      <c r="D3099" s="19" t="n">
        <v>2423.08</v>
      </c>
      <c r="E3099" s="19" t="n">
        <v>0</v>
      </c>
      <c r="F3099" s="19" t="n">
        <v>0</v>
      </c>
      <c r="G3099" s="8" t="str">
        <f aca="false">IFERROR(INDEX('TRANS'!$B:$B,MATCH($B3099,'TRANS'!$A:$A,0)),IFERROR(INDEX('TRANS'!$B:$B,MATCH(TRIM(SUBSTITUTE($B3099,CHAR(160)," ")),'TRANS'!$D:$D,0)),IFERROR(INDEX('Catalog'!$A:$A,MATCH($B3099,'Catalog'!$B:$B,0)),IFERROR(INDEX('Catalog'!$A:$A,MATCH(TRIM(SUBSTITUTE($B3099,CHAR(160)," ")),'Catalog'!$C:$C,0)),""))))</f>
        <v/>
      </c>
      <c r="H3099" s="8" t="str">
        <f aca="false">IFERROR(INDEX('TRANS'!$C:$C,MATCH($B3099,'TRANS'!$A:$A,0)),IFERROR(INDEX('Catalog'!$B:$B,MATCH($G3099,'Catalog'!$A:$A,0)),$B3099))</f>
        <v>62FC M</v>
      </c>
      <c r="I3099" s="8" t="str">
        <f aca="false">IF($G3099="","Unmatched","Matched")</f>
        <v>Unmatched</v>
      </c>
      <c r="J3099" s="8" t="str">
        <f aca="false">IF($G3099&lt;&gt;"",$G3099,$B3099)</f>
        <v>62FC M</v>
      </c>
      <c r="K3099" s="8" t="str">
        <f aca="false">IF(COUNTIF($M$1:$M$10,$A3099)&gt;0,"Y","N")</f>
        <v>N</v>
      </c>
    </row>
    <row r="3100" customFormat="false" ht="15" hidden="false" customHeight="true" outlineLevel="0" collapsed="false">
      <c r="A3100" s="8" t="s">
        <v>1063</v>
      </c>
      <c r="B3100" s="8" t="s">
        <v>1070</v>
      </c>
      <c r="C3100" s="19" t="n">
        <v>36</v>
      </c>
      <c r="D3100" s="19" t="n">
        <v>887.28</v>
      </c>
      <c r="E3100" s="19" t="n">
        <v>5</v>
      </c>
      <c r="F3100" s="19" t="n">
        <v>130.82</v>
      </c>
      <c r="G3100" s="8" t="str">
        <f aca="false">IFERROR(INDEX('TRANS'!$B:$B,MATCH($B3100,'TRANS'!$A:$A,0)),IFERROR(INDEX('TRANS'!$B:$B,MATCH(TRIM(SUBSTITUTE($B3100,CHAR(160)," ")),'TRANS'!$D:$D,0)),IFERROR(INDEX('Catalog'!$A:$A,MATCH($B3100,'Catalog'!$B:$B,0)),IFERROR(INDEX('Catalog'!$A:$A,MATCH(TRIM(SUBSTITUTE($B3100,CHAR(160)," ")),'Catalog'!$C:$C,0)),""))))</f>
        <v/>
      </c>
      <c r="H3100" s="8" t="str">
        <f aca="false">IFERROR(INDEX('TRANS'!$C:$C,MATCH($B3100,'TRANS'!$A:$A,0)),IFERROR(INDEX('Catalog'!$B:$B,MATCH($G3100,'Catalog'!$A:$A,0)),$B3100))</f>
        <v>62FC S</v>
      </c>
      <c r="I3100" s="8" t="str">
        <f aca="false">IF($G3100="","Unmatched","Matched")</f>
        <v>Unmatched</v>
      </c>
      <c r="J3100" s="8" t="str">
        <f aca="false">IF($G3100&lt;&gt;"",$G3100,$B3100)</f>
        <v>62FC S</v>
      </c>
      <c r="K3100" s="8" t="str">
        <f aca="false">IF(COUNTIF($M$1:$M$10,$A3100)&gt;0,"Y","N")</f>
        <v>N</v>
      </c>
    </row>
    <row r="3101" customFormat="false" ht="15" hidden="false" customHeight="true" outlineLevel="0" collapsed="false">
      <c r="A3101" s="8" t="s">
        <v>1063</v>
      </c>
      <c r="B3101" s="8" t="s">
        <v>1071</v>
      </c>
      <c r="C3101" s="19" t="n">
        <v>12</v>
      </c>
      <c r="D3101" s="19" t="n">
        <v>293.7</v>
      </c>
      <c r="E3101" s="19" t="n">
        <v>0</v>
      </c>
      <c r="F3101" s="19" t="n">
        <v>0</v>
      </c>
      <c r="G3101" s="8" t="str">
        <f aca="false">IFERROR(INDEX('TRANS'!$B:$B,MATCH($B3101,'TRANS'!$A:$A,0)),IFERROR(INDEX('TRANS'!$B:$B,MATCH(TRIM(SUBSTITUTE($B3101,CHAR(160)," ")),'TRANS'!$D:$D,0)),IFERROR(INDEX('Catalog'!$A:$A,MATCH($B3101,'Catalog'!$B:$B,0)),IFERROR(INDEX('Catalog'!$A:$A,MATCH(TRIM(SUBSTITUTE($B3101,CHAR(160)," ")),'Catalog'!$C:$C,0)),""))))</f>
        <v/>
      </c>
      <c r="H3101" s="8" t="str">
        <f aca="false">IFERROR(INDEX('TRANS'!$C:$C,MATCH($B3101,'TRANS'!$A:$A,0)),IFERROR(INDEX('Catalog'!$B:$B,MATCH($G3101,'Catalog'!$A:$A,0)),$B3101))</f>
        <v>62FC XL</v>
      </c>
      <c r="I3101" s="8" t="str">
        <f aca="false">IF($G3101="","Unmatched","Matched")</f>
        <v>Unmatched</v>
      </c>
      <c r="J3101" s="8" t="str">
        <f aca="false">IF($G3101&lt;&gt;"",$G3101,$B3101)</f>
        <v>62FC XL</v>
      </c>
      <c r="K3101" s="8" t="str">
        <f aca="false">IF(COUNTIF($M$1:$M$10,$A3101)&gt;0,"Y","N")</f>
        <v>N</v>
      </c>
    </row>
    <row r="3102" customFormat="false" ht="15" hidden="false" customHeight="true" outlineLevel="0" collapsed="false">
      <c r="A3102" s="8" t="s">
        <v>1063</v>
      </c>
      <c r="B3102" s="8" t="s">
        <v>1072</v>
      </c>
      <c r="C3102" s="19" t="n">
        <v>0</v>
      </c>
      <c r="D3102" s="19" t="n">
        <v>0</v>
      </c>
      <c r="E3102" s="19" t="n">
        <v>16</v>
      </c>
      <c r="F3102" s="19" t="n">
        <v>401.07</v>
      </c>
      <c r="G3102" s="8" t="str">
        <f aca="false">IFERROR(INDEX('TRANS'!$B:$B,MATCH($B3102,'TRANS'!$A:$A,0)),IFERROR(INDEX('TRANS'!$B:$B,MATCH(TRIM(SUBSTITUTE($B3102,CHAR(160)," ")),'TRANS'!$D:$D,0)),IFERROR(INDEX('Catalog'!$A:$A,MATCH($B3102,'Catalog'!$B:$B,0)),IFERROR(INDEX('Catalog'!$A:$A,MATCH(TRIM(SUBSTITUTE($B3102,CHAR(160)," ")),'Catalog'!$C:$C,0)),""))))</f>
        <v/>
      </c>
      <c r="H3102" s="8" t="str">
        <f aca="false">IFERROR(INDEX('TRANS'!$C:$C,MATCH($B3102,'TRANS'!$A:$A,0)),IFERROR(INDEX('Catalog'!$B:$B,MATCH($G3102,'Catalog'!$A:$A,0)),$B3102))</f>
        <v>62FC XS</v>
      </c>
      <c r="I3102" s="8" t="str">
        <f aca="false">IF($G3102="","Unmatched","Matched")</f>
        <v>Unmatched</v>
      </c>
      <c r="J3102" s="8" t="str">
        <f aca="false">IF($G3102&lt;&gt;"",$G3102,$B3102)</f>
        <v>62FC XS</v>
      </c>
      <c r="K3102" s="8" t="str">
        <f aca="false">IF(COUNTIF($M$1:$M$10,$A3102)&gt;0,"Y","N")</f>
        <v>N</v>
      </c>
    </row>
    <row r="3103" customFormat="false" ht="15" hidden="false" customHeight="true" outlineLevel="0" collapsed="false">
      <c r="A3103" s="8" t="s">
        <v>1063</v>
      </c>
      <c r="B3103" s="8" t="s">
        <v>820</v>
      </c>
      <c r="C3103" s="19" t="n">
        <v>24</v>
      </c>
      <c r="D3103" s="19" t="n">
        <v>1954.03</v>
      </c>
      <c r="E3103" s="19" t="n">
        <v>27</v>
      </c>
      <c r="F3103" s="19" t="n">
        <v>2155.84</v>
      </c>
      <c r="G3103" s="8" t="n">
        <f aca="false">IFERROR(INDEX('TRANS'!$B:$B,MATCH($B3103,'TRANS'!$A:$A,0)),IFERROR(INDEX('TRANS'!$B:$B,MATCH(TRIM(SUBSTITUTE($B3103,CHAR(160)," ")),'TRANS'!$D:$D,0)),IFERROR(INDEX('Catalog'!$A:$A,MATCH($B3103,'Catalog'!$B:$B,0)),IFERROR(INDEX('Catalog'!$A:$A,MATCH(TRIM(SUBSTITUTE($B3103,CHAR(160)," ")),'Catalog'!$C:$C,0)),""))))</f>
        <v>4413165</v>
      </c>
      <c r="H3103" s="8" t="str">
        <f aca="false">IFERROR(INDEX('TRANS'!$C:$C,MATCH($B3103,'TRANS'!$A:$A,0)),IFERROR(INDEX('Catalog'!$B:$B,MATCH($G3103,'Catalog'!$A:$A,0)),$B3103))</f>
        <v>74 L-XL מיצב כתפיים</v>
      </c>
      <c r="I3103" s="8" t="str">
        <f aca="false">IF($G3103="","Unmatched","Matched")</f>
        <v>Matched</v>
      </c>
      <c r="J3103" s="8" t="n">
        <f aca="false">IF($G3103&lt;&gt;"",$G3103,$B3103)</f>
        <v>4413165</v>
      </c>
      <c r="K3103" s="8" t="str">
        <f aca="false">IF(COUNTIF($M$1:$M$10,$A3103)&gt;0,"Y","N")</f>
        <v>N</v>
      </c>
    </row>
    <row r="3104" customFormat="false" ht="15" hidden="false" customHeight="true" outlineLevel="0" collapsed="false">
      <c r="A3104" s="8" t="s">
        <v>1063</v>
      </c>
      <c r="B3104" s="8" t="s">
        <v>169</v>
      </c>
      <c r="C3104" s="19" t="n">
        <v>12</v>
      </c>
      <c r="D3104" s="19" t="n">
        <v>934.66</v>
      </c>
      <c r="E3104" s="19" t="n">
        <v>5</v>
      </c>
      <c r="F3104" s="19" t="n">
        <v>407.71</v>
      </c>
      <c r="G3104" s="8" t="str">
        <f aca="false">IFERROR(INDEX('TRANS'!$B:$B,MATCH($B3104,'TRANS'!$A:$A,0)),IFERROR(INDEX('TRANS'!$B:$B,MATCH(TRIM(SUBSTITUTE($B3104,CHAR(160)," ")),'TRANS'!$D:$D,0)),IFERROR(INDEX('Catalog'!$A:$A,MATCH($B3104,'Catalog'!$B:$B,0)),IFERROR(INDEX('Catalog'!$A:$A,MATCH(TRIM(SUBSTITUTE($B3104,CHAR(160)," ")),'Catalog'!$C:$C,0)),""))))</f>
        <v/>
      </c>
      <c r="H3104" s="8" t="str">
        <f aca="false">IFERROR(INDEX('TRANS'!$C:$C,MATCH($B3104,'TRANS'!$A:$A,0)),IFERROR(INDEX('Catalog'!$B:$B,MATCH($G3104,'Catalog'!$A:$A,0)),$B3104))</f>
        <v>74-S-M</v>
      </c>
      <c r="I3104" s="8" t="str">
        <f aca="false">IF($G3104="","Unmatched","Matched")</f>
        <v>Unmatched</v>
      </c>
      <c r="J3104" s="8" t="str">
        <f aca="false">IF($G3104&lt;&gt;"",$G3104,$B3104)</f>
        <v>74-S-M</v>
      </c>
      <c r="K3104" s="8" t="str">
        <f aca="false">IF(COUNTIF($M$1:$M$10,$A3104)&gt;0,"Y","N")</f>
        <v>N</v>
      </c>
    </row>
    <row r="3105" customFormat="false" ht="15" hidden="false" customHeight="true" outlineLevel="0" collapsed="false">
      <c r="A3105" s="8" t="s">
        <v>1063</v>
      </c>
      <c r="B3105" s="8" t="s">
        <v>1073</v>
      </c>
      <c r="C3105" s="19" t="n">
        <v>192</v>
      </c>
      <c r="D3105" s="19" t="n">
        <v>17774.47</v>
      </c>
      <c r="E3105" s="19" t="n">
        <v>140</v>
      </c>
      <c r="F3105" s="19" t="n">
        <v>12019.86</v>
      </c>
      <c r="G3105" s="8" t="str">
        <f aca="false">IFERROR(INDEX('TRANS'!$B:$B,MATCH($B3105,'TRANS'!$A:$A,0)),IFERROR(INDEX('TRANS'!$B:$B,MATCH(TRIM(SUBSTITUTE($B3105,CHAR(160)," ")),'TRANS'!$D:$D,0)),IFERROR(INDEX('Catalog'!$A:$A,MATCH($B3105,'Catalog'!$B:$B,0)),IFERROR(INDEX('Catalog'!$A:$A,MATCH(TRIM(SUBSTITUTE($B3105,CHAR(160)," ")),'Catalog'!$C:$C,0)),""))))</f>
        <v/>
      </c>
      <c r="H3105" s="8" t="str">
        <f aca="false">IFERROR(INDEX('TRANS'!$C:$C,MATCH($B3105,'TRANS'!$A:$A,0)),IFERROR(INDEX('Catalog'!$B:$B,MATCH($G3105,'Catalog'!$A:$A,0)),$B3105))</f>
        <v>86U L</v>
      </c>
      <c r="I3105" s="8" t="str">
        <f aca="false">IF($G3105="","Unmatched","Matched")</f>
        <v>Unmatched</v>
      </c>
      <c r="J3105" s="8" t="str">
        <f aca="false">IF($G3105&lt;&gt;"",$G3105,$B3105)</f>
        <v>86U L</v>
      </c>
      <c r="K3105" s="8" t="str">
        <f aca="false">IF(COUNTIF($M$1:$M$10,$A3105)&gt;0,"Y","N")</f>
        <v>N</v>
      </c>
    </row>
    <row r="3106" customFormat="false" ht="15" hidden="false" customHeight="true" outlineLevel="0" collapsed="false">
      <c r="A3106" s="8" t="s">
        <v>1063</v>
      </c>
      <c r="B3106" s="8" t="s">
        <v>1074</v>
      </c>
      <c r="C3106" s="19" t="n">
        <v>144</v>
      </c>
      <c r="D3106" s="19" t="n">
        <v>13547.77</v>
      </c>
      <c r="E3106" s="19" t="n">
        <v>115</v>
      </c>
      <c r="F3106" s="19" t="n">
        <v>10036.64</v>
      </c>
      <c r="G3106" s="8" t="str">
        <f aca="false">IFERROR(INDEX('TRANS'!$B:$B,MATCH($B3106,'TRANS'!$A:$A,0)),IFERROR(INDEX('TRANS'!$B:$B,MATCH(TRIM(SUBSTITUTE($B3106,CHAR(160)," ")),'TRANS'!$D:$D,0)),IFERROR(INDEX('Catalog'!$A:$A,MATCH($B3106,'Catalog'!$B:$B,0)),IFERROR(INDEX('Catalog'!$A:$A,MATCH(TRIM(SUBSTITUTE($B3106,CHAR(160)," ")),'Catalog'!$C:$C,0)),""))))</f>
        <v/>
      </c>
      <c r="H3106" s="8" t="str">
        <f aca="false">IFERROR(INDEX('TRANS'!$C:$C,MATCH($B3106,'TRANS'!$A:$A,0)),IFERROR(INDEX('Catalog'!$B:$B,MATCH($G3106,'Catalog'!$A:$A,0)),$B3106))</f>
        <v>86U M</v>
      </c>
      <c r="I3106" s="8" t="str">
        <f aca="false">IF($G3106="","Unmatched","Matched")</f>
        <v>Unmatched</v>
      </c>
      <c r="J3106" s="8" t="str">
        <f aca="false">IF($G3106&lt;&gt;"",$G3106,$B3106)</f>
        <v>86U M</v>
      </c>
      <c r="K3106" s="8" t="str">
        <f aca="false">IF(COUNTIF($M$1:$M$10,$A3106)&gt;0,"Y","N")</f>
        <v>N</v>
      </c>
    </row>
    <row r="3107" customFormat="false" ht="15" hidden="false" customHeight="true" outlineLevel="0" collapsed="false">
      <c r="A3107" s="8" t="s">
        <v>1063</v>
      </c>
      <c r="B3107" s="8" t="s">
        <v>507</v>
      </c>
      <c r="C3107" s="19" t="n">
        <v>120</v>
      </c>
      <c r="D3107" s="19" t="n">
        <v>10937.03</v>
      </c>
      <c r="E3107" s="19" t="n">
        <v>115</v>
      </c>
      <c r="F3107" s="19" t="n">
        <v>9990.34</v>
      </c>
      <c r="G3107" s="8" t="str">
        <f aca="false">IFERROR(INDEX('TRANS'!$B:$B,MATCH($B3107,'TRANS'!$A:$A,0)),IFERROR(INDEX('TRANS'!$B:$B,MATCH(TRIM(SUBSTITUTE($B3107,CHAR(160)," ")),'TRANS'!$D:$D,0)),IFERROR(INDEX('Catalog'!$A:$A,MATCH($B3107,'Catalog'!$B:$B,0)),IFERROR(INDEX('Catalog'!$A:$A,MATCH(TRIM(SUBSTITUTE($B3107,CHAR(160)," ")),'Catalog'!$C:$C,0)),""))))</f>
        <v/>
      </c>
      <c r="H3107" s="8" t="str">
        <f aca="false">IFERROR(INDEX('TRANS'!$C:$C,MATCH($B3107,'TRANS'!$A:$A,0)),IFERROR(INDEX('Catalog'!$B:$B,MATCH($G3107,'Catalog'!$A:$A,0)),$B3107))</f>
        <v>86U XL</v>
      </c>
      <c r="I3107" s="8" t="str">
        <f aca="false">IF($G3107="","Unmatched","Matched")</f>
        <v>Unmatched</v>
      </c>
      <c r="J3107" s="8" t="str">
        <f aca="false">IF($G3107&lt;&gt;"",$G3107,$B3107)</f>
        <v>86U XL</v>
      </c>
      <c r="K3107" s="8" t="str">
        <f aca="false">IF(COUNTIF($M$1:$M$10,$A3107)&gt;0,"Y","N")</f>
        <v>N</v>
      </c>
    </row>
    <row r="3108" customFormat="false" ht="15" hidden="false" customHeight="true" outlineLevel="0" collapsed="false">
      <c r="A3108" s="8" t="s">
        <v>1063</v>
      </c>
      <c r="B3108" s="8" t="s">
        <v>508</v>
      </c>
      <c r="C3108" s="19" t="n">
        <v>0</v>
      </c>
      <c r="D3108" s="19" t="n">
        <v>0</v>
      </c>
      <c r="E3108" s="19" t="n">
        <v>5</v>
      </c>
      <c r="F3108" s="19" t="n">
        <v>487.46</v>
      </c>
      <c r="G3108" s="8" t="str">
        <f aca="false">IFERROR(INDEX('TRANS'!$B:$B,MATCH($B3108,'TRANS'!$A:$A,0)),IFERROR(INDEX('TRANS'!$B:$B,MATCH(TRIM(SUBSTITUTE($B3108,CHAR(160)," ")),'TRANS'!$D:$D,0)),IFERROR(INDEX('Catalog'!$A:$A,MATCH($B3108,'Catalog'!$B:$B,0)),IFERROR(INDEX('Catalog'!$A:$A,MATCH(TRIM(SUBSTITUTE($B3108,CHAR(160)," ")),'Catalog'!$C:$C,0)),""))))</f>
        <v/>
      </c>
      <c r="H3108" s="8" t="str">
        <f aca="false">IFERROR(INDEX('TRANS'!$C:$C,MATCH($B3108,'TRANS'!$A:$A,0)),IFERROR(INDEX('Catalog'!$B:$B,MATCH($G3108,'Catalog'!$A:$A,0)),$B3108))</f>
        <v>86U XXL</v>
      </c>
      <c r="I3108" s="8" t="str">
        <f aca="false">IF($G3108="","Unmatched","Matched")</f>
        <v>Unmatched</v>
      </c>
      <c r="J3108" s="8" t="str">
        <f aca="false">IF($G3108&lt;&gt;"",$G3108,$B3108)</f>
        <v>86U XXL</v>
      </c>
      <c r="K3108" s="8" t="str">
        <f aca="false">IF(COUNTIF($M$1:$M$10,$A3108)&gt;0,"Y","N")</f>
        <v>N</v>
      </c>
    </row>
    <row r="3109" customFormat="false" ht="15" hidden="false" customHeight="true" outlineLevel="0" collapsed="false">
      <c r="A3109" s="8" t="s">
        <v>1063</v>
      </c>
      <c r="B3109" s="8" t="s">
        <v>833</v>
      </c>
      <c r="C3109" s="19" t="n">
        <v>100</v>
      </c>
      <c r="D3109" s="19" t="n">
        <v>4071.36</v>
      </c>
      <c r="E3109" s="19" t="n">
        <v>130</v>
      </c>
      <c r="F3109" s="19" t="n">
        <v>4715.64</v>
      </c>
      <c r="G3109" s="8" t="n">
        <f aca="false">IFERROR(INDEX('TRANS'!$B:$B,MATCH($B3109,'TRANS'!$A:$A,0)),IFERROR(INDEX('TRANS'!$B:$B,MATCH(TRIM(SUBSTITUTE($B3109,CHAR(160)," ")),'TRANS'!$D:$D,0)),IFERROR(INDEX('Catalog'!$A:$A,MATCH($B3109,'Catalog'!$B:$B,0)),IFERROR(INDEX('Catalog'!$A:$A,MATCH(TRIM(SUBSTITUTE($B3109,CHAR(160)," ")),'Catalog'!$C:$C,0)),""))))</f>
        <v>4408266</v>
      </c>
      <c r="H3109" s="8" t="str">
        <f aca="false">IFERROR(INDEX('TRANS'!$C:$C,MATCH($B3109,'TRANS'!$A:$A,0)),IFERROR(INDEX('Catalog'!$B:$B,MATCH($G3109,'Catalog'!$A:$A,0)),$B3109))</f>
        <v>91B חבק טניס אלבו</v>
      </c>
      <c r="I3109" s="8" t="str">
        <f aca="false">IF($G3109="","Unmatched","Matched")</f>
        <v>Matched</v>
      </c>
      <c r="J3109" s="8" t="n">
        <f aca="false">IF($G3109&lt;&gt;"",$G3109,$B3109)</f>
        <v>4408266</v>
      </c>
      <c r="K3109" s="8" t="str">
        <f aca="false">IF(COUNTIF($M$1:$M$10,$A3109)&gt;0,"Y","N")</f>
        <v>N</v>
      </c>
    </row>
    <row r="3110" customFormat="false" ht="15" hidden="false" customHeight="true" outlineLevel="0" collapsed="false">
      <c r="A3110" s="8" t="s">
        <v>1063</v>
      </c>
      <c r="B3110" s="8" t="s">
        <v>717</v>
      </c>
      <c r="C3110" s="19" t="n">
        <v>0</v>
      </c>
      <c r="D3110" s="19" t="n">
        <v>0</v>
      </c>
      <c r="E3110" s="19" t="n">
        <v>0</v>
      </c>
      <c r="F3110" s="19" t="n">
        <v>0.03</v>
      </c>
      <c r="G3110" s="8" t="n">
        <f aca="false">IFERROR(INDEX('TRANS'!$B:$B,MATCH($B3110,'TRANS'!$A:$A,0)),IFERROR(INDEX('TRANS'!$B:$B,MATCH(TRIM(SUBSTITUTE($B3110,CHAR(160)," ")),'TRANS'!$D:$D,0)),IFERROR(INDEX('Catalog'!$A:$A,MATCH($B3110,'Catalog'!$B:$B,0)),IFERROR(INDEX('Catalog'!$A:$A,MATCH(TRIM(SUBSTITUTE($B3110,CHAR(160)," ")),'Catalog'!$C:$C,0)),""))))</f>
        <v>4413500</v>
      </c>
      <c r="H3110" s="8" t="str">
        <f aca="false">IFERROR(INDEX('TRANS'!$C:$C,MATCH($B3110,'TRANS'!$A:$A,0)),IFERROR(INDEX('Catalog'!$B:$B,MATCH($G3110,'Catalog'!$A:$A,0)),$B3110))</f>
        <v>95B L מגן מרפק שחור</v>
      </c>
      <c r="I3110" s="8" t="str">
        <f aca="false">IF($G3110="","Unmatched","Matched")</f>
        <v>Matched</v>
      </c>
      <c r="J3110" s="8" t="n">
        <f aca="false">IF($G3110&lt;&gt;"",$G3110,$B3110)</f>
        <v>4413500</v>
      </c>
      <c r="K3110" s="8" t="str">
        <f aca="false">IF(COUNTIF($M$1:$M$10,$A3110)&gt;0,"Y","N")</f>
        <v>N</v>
      </c>
    </row>
    <row r="3111" customFormat="false" ht="15" hidden="false" customHeight="true" outlineLevel="0" collapsed="false">
      <c r="A3111" s="8" t="s">
        <v>1063</v>
      </c>
      <c r="B3111" s="8" t="s">
        <v>725</v>
      </c>
      <c r="C3111" s="19" t="n">
        <v>0</v>
      </c>
      <c r="D3111" s="19" t="n">
        <v>0</v>
      </c>
      <c r="E3111" s="19" t="n">
        <v>11</v>
      </c>
      <c r="F3111" s="19" t="n">
        <v>161.27</v>
      </c>
      <c r="G3111" s="8" t="n">
        <f aca="false">IFERROR(INDEX('TRANS'!$B:$B,MATCH($B3111,'TRANS'!$A:$A,0)),IFERROR(INDEX('TRANS'!$B:$B,MATCH(TRIM(SUBSTITUTE($B3111,CHAR(160)," ")),'TRANS'!$D:$D,0)),IFERROR(INDEX('Catalog'!$A:$A,MATCH($B3111,'Catalog'!$B:$B,0)),IFERROR(INDEX('Catalog'!$A:$A,MATCH(TRIM(SUBSTITUTE($B3111,CHAR(160)," ")),'Catalog'!$C:$C,0)),""))))</f>
        <v>4408207</v>
      </c>
      <c r="H3111" s="8" t="str">
        <f aca="false">IFERROR(INDEX('TRANS'!$C:$C,MATCH($B3111,'TRANS'!$A:$A,0)),IFERROR(INDEX('Catalog'!$B:$B,MATCH($G3111,'Catalog'!$A:$A,0)),$B3111))</f>
        <v>AC-25 חבק לשורש כף היד</v>
      </c>
      <c r="I3111" s="8" t="str">
        <f aca="false">IF($G3111="","Unmatched","Matched")</f>
        <v>Matched</v>
      </c>
      <c r="J3111" s="8" t="n">
        <f aca="false">IF($G3111&lt;&gt;"",$G3111,$B3111)</f>
        <v>4408207</v>
      </c>
      <c r="K3111" s="8" t="str">
        <f aca="false">IF(COUNTIF($M$1:$M$10,$A3111)&gt;0,"Y","N")</f>
        <v>N</v>
      </c>
    </row>
    <row r="3112" customFormat="false" ht="15" hidden="false" customHeight="true" outlineLevel="0" collapsed="false">
      <c r="A3112" s="8" t="s">
        <v>1063</v>
      </c>
      <c r="B3112" s="8" t="s">
        <v>729</v>
      </c>
      <c r="C3112" s="19" t="n">
        <v>36</v>
      </c>
      <c r="D3112" s="19" t="n">
        <v>739.08</v>
      </c>
      <c r="E3112" s="19" t="n">
        <v>46</v>
      </c>
      <c r="F3112" s="19" t="n">
        <v>885.37</v>
      </c>
      <c r="G3112" s="8" t="n">
        <f aca="false">IFERROR(INDEX('TRANS'!$B:$B,MATCH($B3112,'TRANS'!$A:$A,0)),IFERROR(INDEX('TRANS'!$B:$B,MATCH(TRIM(SUBSTITUTE($B3112,CHAR(160)," ")),'TRANS'!$D:$D,0)),IFERROR(INDEX('Catalog'!$A:$A,MATCH($B3112,'Catalog'!$B:$B,0)),IFERROR(INDEX('Catalog'!$A:$A,MATCH(TRIM(SUBSTITUTE($B3112,CHAR(160)," ")),'Catalog'!$C:$C,0)),""))))</f>
        <v>4413326</v>
      </c>
      <c r="H3112" s="8" t="str">
        <f aca="false">IFERROR(INDEX('TRANS'!$C:$C,MATCH($B3112,'TRANS'!$A:$A,0)),IFERROR(INDEX('Catalog'!$B:$B,MATCH($G3112,'Catalog'!$A:$A,0)),$B3112))</f>
        <v>AC37 מגן קרסול נושם</v>
      </c>
      <c r="I3112" s="8" t="str">
        <f aca="false">IF($G3112="","Unmatched","Matched")</f>
        <v>Matched</v>
      </c>
      <c r="J3112" s="8" t="n">
        <f aca="false">IF($G3112&lt;&gt;"",$G3112,$B3112)</f>
        <v>4413326</v>
      </c>
      <c r="K3112" s="8" t="str">
        <f aca="false">IF(COUNTIF($M$1:$M$10,$A3112)&gt;0,"Y","N")</f>
        <v>N</v>
      </c>
    </row>
    <row r="3113" customFormat="false" ht="15" hidden="false" customHeight="true" outlineLevel="0" collapsed="false">
      <c r="A3113" s="8" t="s">
        <v>1063</v>
      </c>
      <c r="B3113" s="8" t="s">
        <v>560</v>
      </c>
      <c r="C3113" s="19" t="n">
        <v>24</v>
      </c>
      <c r="D3113" s="19" t="n">
        <v>1177.97</v>
      </c>
      <c r="E3113" s="19" t="n">
        <v>117</v>
      </c>
      <c r="F3113" s="19" t="n">
        <v>5965.53</v>
      </c>
      <c r="G3113" s="8" t="n">
        <f aca="false">IFERROR(INDEX('TRANS'!$B:$B,MATCH($B3113,'TRANS'!$A:$A,0)),IFERROR(INDEX('TRANS'!$B:$B,MATCH(TRIM(SUBSTITUTE($B3113,CHAR(160)," ")),'TRANS'!$D:$D,0)),IFERROR(INDEX('Catalog'!$A:$A,MATCH($B3113,'Catalog'!$B:$B,0)),IFERROR(INDEX('Catalog'!$A:$A,MATCH(TRIM(SUBSTITUTE($B3113,CHAR(160)," ")),'Catalog'!$C:$C,0)),""))))</f>
        <v>4413328</v>
      </c>
      <c r="H3113" s="8" t="str">
        <f aca="false">IFERROR(INDEX('TRANS'!$C:$C,MATCH($B3113,'TRANS'!$A:$A,0)),IFERROR(INDEX('Catalog'!$B:$B,MATCH($G3113,'Catalog'!$A:$A,0)),$B3113))</f>
        <v>AC43D מגן ברך + צירים</v>
      </c>
      <c r="I3113" s="8" t="str">
        <f aca="false">IF($G3113="","Unmatched","Matched")</f>
        <v>Matched</v>
      </c>
      <c r="J3113" s="8" t="n">
        <f aca="false">IF($G3113&lt;&gt;"",$G3113,$B3113)</f>
        <v>4413328</v>
      </c>
      <c r="K3113" s="8" t="str">
        <f aca="false">IF(COUNTIF($M$1:$M$10,$A3113)&gt;0,"Y","N")</f>
        <v>N</v>
      </c>
    </row>
    <row r="3114" customFormat="false" ht="15" hidden="false" customHeight="true" outlineLevel="0" collapsed="false">
      <c r="A3114" s="8" t="s">
        <v>1063</v>
      </c>
      <c r="B3114" s="8" t="s">
        <v>759</v>
      </c>
      <c r="C3114" s="19" t="n">
        <v>0</v>
      </c>
      <c r="D3114" s="19" t="n">
        <v>0</v>
      </c>
      <c r="E3114" s="19" t="n">
        <v>1</v>
      </c>
      <c r="F3114" s="19" t="n">
        <v>0.03</v>
      </c>
      <c r="G3114" s="8" t="n">
        <f aca="false">IFERROR(INDEX('TRANS'!$B:$B,MATCH($B3114,'TRANS'!$A:$A,0)),IFERROR(INDEX('TRANS'!$B:$B,MATCH(TRIM(SUBSTITUTE($B3114,CHAR(160)," ")),'TRANS'!$D:$D,0)),IFERROR(INDEX('Catalog'!$A:$A,MATCH($B3114,'Catalog'!$B:$B,0)),IFERROR(INDEX('Catalog'!$A:$A,MATCH(TRIM(SUBSTITUTE($B3114,CHAR(160)," ")),'Catalog'!$C:$C,0)),""))))</f>
        <v>4413407</v>
      </c>
      <c r="H3114" s="8" t="str">
        <f aca="false">IFERROR(INDEX('TRANS'!$C:$C,MATCH($B3114,'TRANS'!$A:$A,0)),IFERROR(INDEX('Catalog'!$B:$B,MATCH($G3114,'Catalog'!$A:$A,0)),$B3114))</f>
        <v>SC95 L מגן מרפק</v>
      </c>
      <c r="I3114" s="8" t="str">
        <f aca="false">IF($G3114="","Unmatched","Matched")</f>
        <v>Matched</v>
      </c>
      <c r="J3114" s="8" t="n">
        <f aca="false">IF($G3114&lt;&gt;"",$G3114,$B3114)</f>
        <v>4413407</v>
      </c>
      <c r="K3114" s="8" t="str">
        <f aca="false">IF(COUNTIF($M$1:$M$10,$A3114)&gt;0,"Y","N")</f>
        <v>N</v>
      </c>
    </row>
    <row r="3115" customFormat="false" ht="15" hidden="false" customHeight="true" outlineLevel="0" collapsed="false">
      <c r="A3115" s="8" t="s">
        <v>1063</v>
      </c>
      <c r="B3115" s="8" t="s">
        <v>762</v>
      </c>
      <c r="C3115" s="19" t="n">
        <v>1</v>
      </c>
      <c r="D3115" s="19" t="n">
        <v>0.03</v>
      </c>
      <c r="E3115" s="19" t="n">
        <v>0</v>
      </c>
      <c r="F3115" s="19" t="n">
        <v>0</v>
      </c>
      <c r="G3115" s="8" t="n">
        <f aca="false">IFERROR(INDEX('TRANS'!$B:$B,MATCH($B3115,'TRANS'!$A:$A,0)),IFERROR(INDEX('TRANS'!$B:$B,MATCH(TRIM(SUBSTITUTE($B3115,CHAR(160)," ")),'TRANS'!$D:$D,0)),IFERROR(INDEX('Catalog'!$A:$A,MATCH($B3115,'Catalog'!$B:$B,0)),IFERROR(INDEX('Catalog'!$A:$A,MATCH(TRIM(SUBSTITUTE($B3115,CHAR(160)," ")),'Catalog'!$C:$C,0)),""))))</f>
        <v>4413534</v>
      </c>
      <c r="H3115" s="8" t="str">
        <f aca="false">IFERROR(INDEX('TRANS'!$C:$C,MATCH($B3115,'TRANS'!$A:$A,0)),IFERROR(INDEX('Catalog'!$B:$B,MATCH($G3115,'Catalog'!$A:$A,0)),$B3115))</f>
        <v>SH333 מקבע קרסול</v>
      </c>
      <c r="I3115" s="8" t="str">
        <f aca="false">IF($G3115="","Unmatched","Matched")</f>
        <v>Matched</v>
      </c>
      <c r="J3115" s="8" t="n">
        <f aca="false">IF($G3115&lt;&gt;"",$G3115,$B3115)</f>
        <v>4413534</v>
      </c>
      <c r="K3115" s="8" t="str">
        <f aca="false">IF(COUNTIF($M$1:$M$10,$A3115)&gt;0,"Y","N")</f>
        <v>N</v>
      </c>
    </row>
    <row r="3116" customFormat="false" ht="15" hidden="false" customHeight="true" outlineLevel="0" collapsed="false">
      <c r="A3116" s="8" t="s">
        <v>1063</v>
      </c>
      <c r="B3116" s="8" t="s">
        <v>890</v>
      </c>
      <c r="C3116" s="19" t="n">
        <v>3</v>
      </c>
      <c r="D3116" s="19" t="n">
        <v>262.35</v>
      </c>
      <c r="E3116" s="19" t="n">
        <v>2</v>
      </c>
      <c r="F3116" s="19" t="n">
        <v>163.86</v>
      </c>
      <c r="G3116" s="8" t="n">
        <f aca="false">IFERROR(INDEX('TRANS'!$B:$B,MATCH($B3116,'TRANS'!$A:$A,0)),IFERROR(INDEX('TRANS'!$B:$B,MATCH(TRIM(SUBSTITUTE($B3116,CHAR(160)," ")),'TRANS'!$D:$D,0)),IFERROR(INDEX('Catalog'!$A:$A,MATCH($B3116,'Catalog'!$B:$B,0)),IFERROR(INDEX('Catalog'!$A:$A,MATCH(TRIM(SUBSTITUTE($B3116,CHAR(160)," ")),'Catalog'!$C:$C,0)),""))))</f>
        <v>4422037</v>
      </c>
      <c r="H3116" s="8" t="str">
        <f aca="false">IFERROR(INDEX('TRANS'!$C:$C,MATCH($B3116,'TRANS'!$A:$A,0)),IFERROR(INDEX('Catalog'!$B:$B,MATCH($G3116,'Catalog'!$A:$A,0)),$B3116))</f>
        <v>SH422 1 תומך ברך גנושילד</v>
      </c>
      <c r="I3116" s="8" t="str">
        <f aca="false">IF($G3116="","Unmatched","Matched")</f>
        <v>Matched</v>
      </c>
      <c r="J3116" s="8" t="n">
        <f aca="false">IF($G3116&lt;&gt;"",$G3116,$B3116)</f>
        <v>4422037</v>
      </c>
      <c r="K3116" s="8" t="str">
        <f aca="false">IF(COUNTIF($M$1:$M$10,$A3116)&gt;0,"Y","N")</f>
        <v>N</v>
      </c>
    </row>
    <row r="3117" customFormat="false" ht="15" hidden="false" customHeight="true" outlineLevel="0" collapsed="false">
      <c r="A3117" s="8" t="s">
        <v>1063</v>
      </c>
      <c r="B3117" s="8" t="s">
        <v>891</v>
      </c>
      <c r="C3117" s="19" t="n">
        <v>5</v>
      </c>
      <c r="D3117" s="19" t="n">
        <v>437.24</v>
      </c>
      <c r="E3117" s="19" t="n">
        <v>15</v>
      </c>
      <c r="F3117" s="19" t="n">
        <v>1234.68</v>
      </c>
      <c r="G3117" s="8" t="n">
        <f aca="false">IFERROR(INDEX('TRANS'!$B:$B,MATCH($B3117,'TRANS'!$A:$A,0)),IFERROR(INDEX('TRANS'!$B:$B,MATCH(TRIM(SUBSTITUTE($B3117,CHAR(160)," ")),'TRANS'!$D:$D,0)),IFERROR(INDEX('Catalog'!$A:$A,MATCH($B3117,'Catalog'!$B:$B,0)),IFERROR(INDEX('Catalog'!$A:$A,MATCH(TRIM(SUBSTITUTE($B3117,CHAR(160)," ")),'Catalog'!$C:$C,0)),""))))</f>
        <v>4422038</v>
      </c>
      <c r="H3117" s="8" t="str">
        <f aca="false">IFERROR(INDEX('TRANS'!$C:$C,MATCH($B3117,'TRANS'!$A:$A,0)),IFERROR(INDEX('Catalog'!$B:$B,MATCH($G3117,'Catalog'!$A:$A,0)),$B3117))</f>
        <v>SH422 2 תומך ברך גנושילד</v>
      </c>
      <c r="I3117" s="8" t="str">
        <f aca="false">IF($G3117="","Unmatched","Matched")</f>
        <v>Matched</v>
      </c>
      <c r="J3117" s="8" t="n">
        <f aca="false">IF($G3117&lt;&gt;"",$G3117,$B3117)</f>
        <v>4422038</v>
      </c>
      <c r="K3117" s="8" t="str">
        <f aca="false">IF(COUNTIF($M$1:$M$10,$A3117)&gt;0,"Y","N")</f>
        <v>N</v>
      </c>
    </row>
    <row r="3118" customFormat="false" ht="15" hidden="false" customHeight="true" outlineLevel="0" collapsed="false">
      <c r="A3118" s="8" t="s">
        <v>1063</v>
      </c>
      <c r="B3118" s="8" t="s">
        <v>892</v>
      </c>
      <c r="C3118" s="19" t="n">
        <v>7</v>
      </c>
      <c r="D3118" s="19" t="n">
        <v>524.72</v>
      </c>
      <c r="E3118" s="19" t="n">
        <v>20</v>
      </c>
      <c r="F3118" s="19" t="n">
        <v>1609.88</v>
      </c>
      <c r="G3118" s="8" t="n">
        <f aca="false">IFERROR(INDEX('TRANS'!$B:$B,MATCH($B3118,'TRANS'!$A:$A,0)),IFERROR(INDEX('TRANS'!$B:$B,MATCH(TRIM(SUBSTITUTE($B3118,CHAR(160)," ")),'TRANS'!$D:$D,0)),IFERROR(INDEX('Catalog'!$A:$A,MATCH($B3118,'Catalog'!$B:$B,0)),IFERROR(INDEX('Catalog'!$A:$A,MATCH(TRIM(SUBSTITUTE($B3118,CHAR(160)," ")),'Catalog'!$C:$C,0)),""))))</f>
        <v>4422039</v>
      </c>
      <c r="H3118" s="8" t="str">
        <f aca="false">IFERROR(INDEX('TRANS'!$C:$C,MATCH($B3118,'TRANS'!$A:$A,0)),IFERROR(INDEX('Catalog'!$B:$B,MATCH($G3118,'Catalog'!$A:$A,0)),$B3118))</f>
        <v>SH422 3 תומך ברך גנושילד</v>
      </c>
      <c r="I3118" s="8" t="str">
        <f aca="false">IF($G3118="","Unmatched","Matched")</f>
        <v>Matched</v>
      </c>
      <c r="J3118" s="8" t="n">
        <f aca="false">IF($G3118&lt;&gt;"",$G3118,$B3118)</f>
        <v>4422039</v>
      </c>
      <c r="K3118" s="8" t="str">
        <f aca="false">IF(COUNTIF($M$1:$M$10,$A3118)&gt;0,"Y","N")</f>
        <v>N</v>
      </c>
    </row>
    <row r="3119" customFormat="false" ht="15" hidden="false" customHeight="true" outlineLevel="0" collapsed="false">
      <c r="A3119" s="8" t="s">
        <v>1063</v>
      </c>
      <c r="B3119" s="8" t="s">
        <v>893</v>
      </c>
      <c r="C3119" s="19" t="n">
        <v>6</v>
      </c>
      <c r="D3119" s="19" t="n">
        <v>524.69</v>
      </c>
      <c r="E3119" s="19" t="n">
        <v>30</v>
      </c>
      <c r="F3119" s="19" t="n">
        <v>2429.16</v>
      </c>
      <c r="G3119" s="8" t="n">
        <f aca="false">IFERROR(INDEX('TRANS'!$B:$B,MATCH($B3119,'TRANS'!$A:$A,0)),IFERROR(INDEX('TRANS'!$B:$B,MATCH(TRIM(SUBSTITUTE($B3119,CHAR(160)," ")),'TRANS'!$D:$D,0)),IFERROR(INDEX('Catalog'!$A:$A,MATCH($B3119,'Catalog'!$B:$B,0)),IFERROR(INDEX('Catalog'!$A:$A,MATCH(TRIM(SUBSTITUTE($B3119,CHAR(160)," ")),'Catalog'!$C:$C,0)),""))))</f>
        <v>4422040</v>
      </c>
      <c r="H3119" s="8" t="str">
        <f aca="false">IFERROR(INDEX('TRANS'!$C:$C,MATCH($B3119,'TRANS'!$A:$A,0)),IFERROR(INDEX('Catalog'!$B:$B,MATCH($G3119,'Catalog'!$A:$A,0)),$B3119))</f>
        <v>SH422 4 תומך ברך גנושילד</v>
      </c>
      <c r="I3119" s="8" t="str">
        <f aca="false">IF($G3119="","Unmatched","Matched")</f>
        <v>Matched</v>
      </c>
      <c r="J3119" s="8" t="n">
        <f aca="false">IF($G3119&lt;&gt;"",$G3119,$B3119)</f>
        <v>4422040</v>
      </c>
      <c r="K3119" s="8" t="str">
        <f aca="false">IF(COUNTIF($M$1:$M$10,$A3119)&gt;0,"Y","N")</f>
        <v>N</v>
      </c>
    </row>
    <row r="3120" customFormat="false" ht="15" hidden="false" customHeight="true" outlineLevel="0" collapsed="false">
      <c r="A3120" s="8" t="s">
        <v>1063</v>
      </c>
      <c r="B3120" s="8" t="s">
        <v>763</v>
      </c>
      <c r="C3120" s="19" t="n">
        <v>5</v>
      </c>
      <c r="D3120" s="19" t="n">
        <v>437.24</v>
      </c>
      <c r="E3120" s="19" t="n">
        <v>25</v>
      </c>
      <c r="F3120" s="19" t="n">
        <v>2059.71</v>
      </c>
      <c r="G3120" s="8" t="n">
        <f aca="false">IFERROR(INDEX('TRANS'!$B:$B,MATCH($B3120,'TRANS'!$A:$A,0)),IFERROR(INDEX('TRANS'!$B:$B,MATCH(TRIM(SUBSTITUTE($B3120,CHAR(160)," ")),'TRANS'!$D:$D,0)),IFERROR(INDEX('Catalog'!$A:$A,MATCH($B3120,'Catalog'!$B:$B,0)),IFERROR(INDEX('Catalog'!$A:$A,MATCH(TRIM(SUBSTITUTE($B3120,CHAR(160)," ")),'Catalog'!$C:$C,0)),""))))</f>
        <v>4422041</v>
      </c>
      <c r="H3120" s="8" t="str">
        <f aca="false">IFERROR(INDEX('TRANS'!$C:$C,MATCH($B3120,'TRANS'!$A:$A,0)),IFERROR(INDEX('Catalog'!$B:$B,MATCH($G3120,'Catalog'!$A:$A,0)),$B3120))</f>
        <v>SH422 5 תומך ברך גנושילד</v>
      </c>
      <c r="I3120" s="8" t="str">
        <f aca="false">IF($G3120="","Unmatched","Matched")</f>
        <v>Matched</v>
      </c>
      <c r="J3120" s="8" t="n">
        <f aca="false">IF($G3120&lt;&gt;"",$G3120,$B3120)</f>
        <v>4422041</v>
      </c>
      <c r="K3120" s="8" t="str">
        <f aca="false">IF(COUNTIF($M$1:$M$10,$A3120)&gt;0,"Y","N")</f>
        <v>N</v>
      </c>
    </row>
    <row r="3121" customFormat="false" ht="15" hidden="false" customHeight="true" outlineLevel="0" collapsed="false">
      <c r="A3121" s="8" t="s">
        <v>1063</v>
      </c>
      <c r="B3121" s="8" t="s">
        <v>894</v>
      </c>
      <c r="C3121" s="19" t="n">
        <v>5</v>
      </c>
      <c r="D3121" s="19" t="n">
        <v>437.24</v>
      </c>
      <c r="E3121" s="19" t="n">
        <v>30</v>
      </c>
      <c r="F3121" s="19" t="n">
        <v>2335.09</v>
      </c>
      <c r="G3121" s="8" t="n">
        <f aca="false">IFERROR(INDEX('TRANS'!$B:$B,MATCH($B3121,'TRANS'!$A:$A,0)),IFERROR(INDEX('TRANS'!$B:$B,MATCH(TRIM(SUBSTITUTE($B3121,CHAR(160)," ")),'TRANS'!$D:$D,0)),IFERROR(INDEX('Catalog'!$A:$A,MATCH($B3121,'Catalog'!$B:$B,0)),IFERROR(INDEX('Catalog'!$A:$A,MATCH(TRIM(SUBSTITUTE($B3121,CHAR(160)," ")),'Catalog'!$C:$C,0)),""))))</f>
        <v>4422042</v>
      </c>
      <c r="H3121" s="8" t="str">
        <f aca="false">IFERROR(INDEX('TRANS'!$C:$C,MATCH($B3121,'TRANS'!$A:$A,0)),IFERROR(INDEX('Catalog'!$B:$B,MATCH($G3121,'Catalog'!$A:$A,0)),$B3121))</f>
        <v>SH422 6 תומך ברך גנושילד</v>
      </c>
      <c r="I3121" s="8" t="str">
        <f aca="false">IF($G3121="","Unmatched","Matched")</f>
        <v>Matched</v>
      </c>
      <c r="J3121" s="8" t="n">
        <f aca="false">IF($G3121&lt;&gt;"",$G3121,$B3121)</f>
        <v>4422042</v>
      </c>
      <c r="K3121" s="8" t="str">
        <f aca="false">IF(COUNTIF($M$1:$M$10,$A3121)&gt;0,"Y","N")</f>
        <v>N</v>
      </c>
    </row>
    <row r="3122" customFormat="false" ht="15" hidden="false" customHeight="true" outlineLevel="0" collapsed="false">
      <c r="A3122" s="8" t="s">
        <v>1063</v>
      </c>
      <c r="B3122" s="8" t="s">
        <v>896</v>
      </c>
      <c r="C3122" s="19" t="n">
        <v>96</v>
      </c>
      <c r="D3122" s="19" t="n">
        <v>1016.86</v>
      </c>
      <c r="E3122" s="19" t="n">
        <v>171</v>
      </c>
      <c r="F3122" s="19" t="n">
        <v>1727.62</v>
      </c>
      <c r="G3122" s="8" t="n">
        <f aca="false">IFERROR(INDEX('TRANS'!$B:$B,MATCH($B3122,'TRANS'!$A:$A,0)),IFERROR(INDEX('TRANS'!$B:$B,MATCH(TRIM(SUBSTITUTE($B3122,CHAR(160)," ")),'TRANS'!$D:$D,0)),IFERROR(INDEX('Catalog'!$A:$A,MATCH($B3122,'Catalog'!$B:$B,0)),IFERROR(INDEX('Catalog'!$A:$A,MATCH(TRIM(SUBSTITUTE($B3122,CHAR(160)," ")),'Catalog'!$C:$C,0)),""))))</f>
        <v>4408268</v>
      </c>
      <c r="H3122" s="8" t="str">
        <f aca="false">IFERROR(INDEX('TRANS'!$C:$C,MATCH($B3122,'TRANS'!$A:$A,0)),IFERROR(INDEX('Catalog'!$B:$B,MATCH($G3122,'Catalog'!$A:$A,0)),$B3122))</f>
        <v>ST20 חבק יד</v>
      </c>
      <c r="I3122" s="8" t="str">
        <f aca="false">IF($G3122="","Unmatched","Matched")</f>
        <v>Matched</v>
      </c>
      <c r="J3122" s="8" t="n">
        <f aca="false">IF($G3122&lt;&gt;"",$G3122,$B3122)</f>
        <v>4408268</v>
      </c>
      <c r="K3122" s="8" t="str">
        <f aca="false">IF(COUNTIF($M$1:$M$10,$A3122)&gt;0,"Y","N")</f>
        <v>N</v>
      </c>
    </row>
    <row r="3123" customFormat="false" ht="15" hidden="false" customHeight="true" outlineLevel="0" collapsed="false">
      <c r="A3123" s="8" t="s">
        <v>1063</v>
      </c>
      <c r="B3123" s="8" t="s">
        <v>897</v>
      </c>
      <c r="C3123" s="19" t="n">
        <v>216</v>
      </c>
      <c r="D3123" s="19" t="n">
        <v>2892</v>
      </c>
      <c r="E3123" s="19" t="n">
        <v>143</v>
      </c>
      <c r="F3123" s="19" t="n">
        <v>1850.23</v>
      </c>
      <c r="G3123" s="8" t="n">
        <f aca="false">IFERROR(INDEX('TRANS'!$B:$B,MATCH($B3123,'TRANS'!$A:$A,0)),IFERROR(INDEX('TRANS'!$B:$B,MATCH(TRIM(SUBSTITUTE($B3123,CHAR(160)," ")),'TRANS'!$D:$D,0)),IFERROR(INDEX('Catalog'!$A:$A,MATCH($B3123,'Catalog'!$B:$B,0)),IFERROR(INDEX('Catalog'!$A:$A,MATCH(TRIM(SUBSTITUTE($B3123,CHAR(160)," ")),'Catalog'!$C:$C,0)),""))))</f>
        <v>4408267</v>
      </c>
      <c r="H3123" s="8" t="str">
        <f aca="false">IFERROR(INDEX('TRANS'!$C:$C,MATCH($B3123,'TRANS'!$A:$A,0)),IFERROR(INDEX('Catalog'!$B:$B,MATCH($G3123,'Catalog'!$A:$A,0)),$B3123))</f>
        <v>ST25 חבק שורש לכף היד</v>
      </c>
      <c r="I3123" s="8" t="str">
        <f aca="false">IF($G3123="","Unmatched","Matched")</f>
        <v>Matched</v>
      </c>
      <c r="J3123" s="8" t="n">
        <f aca="false">IF($G3123&lt;&gt;"",$G3123,$B3123)</f>
        <v>4408267</v>
      </c>
      <c r="K3123" s="8" t="str">
        <f aca="false">IF(COUNTIF($M$1:$M$10,$A3123)&gt;0,"Y","N")</f>
        <v>N</v>
      </c>
    </row>
    <row r="3124" customFormat="false" ht="15" hidden="false" customHeight="true" outlineLevel="0" collapsed="false">
      <c r="A3124" s="8" t="s">
        <v>1063</v>
      </c>
      <c r="B3124" s="8" t="s">
        <v>74</v>
      </c>
      <c r="C3124" s="19" t="n">
        <v>24</v>
      </c>
      <c r="D3124" s="19" t="n">
        <v>383.88</v>
      </c>
      <c r="E3124" s="19" t="n">
        <v>0</v>
      </c>
      <c r="F3124" s="19" t="n">
        <v>0</v>
      </c>
      <c r="G3124" s="8" t="str">
        <f aca="false">IFERROR(INDEX('TRANS'!$B:$B,MATCH($B3124,'TRANS'!$A:$A,0)),IFERROR(INDEX('TRANS'!$B:$B,MATCH(TRIM(SUBSTITUTE($B3124,CHAR(160)," ")),'TRANS'!$D:$D,0)),IFERROR(INDEX('Catalog'!$A:$A,MATCH($B3124,'Catalog'!$B:$B,0)),IFERROR(INDEX('Catalog'!$A:$A,MATCH(TRIM(SUBSTITUTE($B3124,CHAR(160)," ")),'Catalog'!$C:$C,0)),""))))</f>
        <v/>
      </c>
      <c r="H3124" s="8" t="str">
        <f aca="false">IFERROR(INDEX('TRANS'!$C:$C,MATCH($B3124,'TRANS'!$A:$A,0)),IFERROR(INDEX('Catalog'!$B:$B,MATCH($G3124,'Catalog'!$A:$A,0)),$B3124))</f>
        <v>ST27L 0</v>
      </c>
      <c r="I3124" s="8" t="str">
        <f aca="false">IF($G3124="","Unmatched","Matched")</f>
        <v>Unmatched</v>
      </c>
      <c r="J3124" s="8" t="str">
        <f aca="false">IF($G3124&lt;&gt;"",$G3124,$B3124)</f>
        <v>ST27L 0</v>
      </c>
      <c r="K3124" s="8" t="str">
        <f aca="false">IF(COUNTIF($M$1:$M$10,$A3124)&gt;0,"Y","N")</f>
        <v>N</v>
      </c>
    </row>
    <row r="3125" customFormat="false" ht="15" hidden="false" customHeight="true" outlineLevel="0" collapsed="false">
      <c r="A3125" s="8" t="s">
        <v>1063</v>
      </c>
      <c r="B3125" s="8" t="s">
        <v>70</v>
      </c>
      <c r="C3125" s="19" t="n">
        <v>24</v>
      </c>
      <c r="D3125" s="19" t="n">
        <v>383.88</v>
      </c>
      <c r="E3125" s="19" t="n">
        <v>0</v>
      </c>
      <c r="F3125" s="19" t="n">
        <v>0</v>
      </c>
      <c r="G3125" s="8" t="str">
        <f aca="false">IFERROR(INDEX('TRANS'!$B:$B,MATCH($B3125,'TRANS'!$A:$A,0)),IFERROR(INDEX('TRANS'!$B:$B,MATCH(TRIM(SUBSTITUTE($B3125,CHAR(160)," ")),'TRANS'!$D:$D,0)),IFERROR(INDEX('Catalog'!$A:$A,MATCH($B3125,'Catalog'!$B:$B,0)),IFERROR(INDEX('Catalog'!$A:$A,MATCH(TRIM(SUBSTITUTE($B3125,CHAR(160)," ")),'Catalog'!$C:$C,0)),""))))</f>
        <v/>
      </c>
      <c r="H3125" s="8" t="str">
        <f aca="false">IFERROR(INDEX('TRANS'!$C:$C,MATCH($B3125,'TRANS'!$A:$A,0)),IFERROR(INDEX('Catalog'!$B:$B,MATCH($G3125,'Catalog'!$A:$A,0)),$B3125))</f>
        <v>ST27R 0</v>
      </c>
      <c r="I3125" s="8" t="str">
        <f aca="false">IF($G3125="","Unmatched","Matched")</f>
        <v>Unmatched</v>
      </c>
      <c r="J3125" s="8" t="str">
        <f aca="false">IF($G3125&lt;&gt;"",$G3125,$B3125)</f>
        <v>ST27R 0</v>
      </c>
      <c r="K3125" s="8" t="str">
        <f aca="false">IF(COUNTIF($M$1:$M$10,$A3125)&gt;0,"Y","N")</f>
        <v>N</v>
      </c>
    </row>
    <row r="3126" customFormat="false" ht="15" hidden="false" customHeight="true" outlineLevel="0" collapsed="false">
      <c r="A3126" s="8" t="s">
        <v>1063</v>
      </c>
      <c r="B3126" s="8" t="s">
        <v>898</v>
      </c>
      <c r="C3126" s="19" t="n">
        <v>0</v>
      </c>
      <c r="D3126" s="19" t="n">
        <v>0</v>
      </c>
      <c r="E3126" s="19" t="n">
        <v>11</v>
      </c>
      <c r="F3126" s="19" t="n">
        <v>167.25</v>
      </c>
      <c r="G3126" s="8" t="n">
        <f aca="false">IFERROR(INDEX('TRANS'!$B:$B,MATCH($B3126,'TRANS'!$A:$A,0)),IFERROR(INDEX('TRANS'!$B:$B,MATCH(TRIM(SUBSTITUTE($B3126,CHAR(160)," ")),'TRANS'!$D:$D,0)),IFERROR(INDEX('Catalog'!$A:$A,MATCH($B3126,'Catalog'!$B:$B,0)),IFERROR(INDEX('Catalog'!$A:$A,MATCH(TRIM(SUBSTITUTE($B3126,CHAR(160)," ")),'Catalog'!$C:$C,0)),""))))</f>
        <v>4415177</v>
      </c>
      <c r="H3126" s="8" t="str">
        <f aca="false">IFERROR(INDEX('TRANS'!$C:$C,MATCH($B3126,'TRANS'!$A:$A,0)),IFERROR(INDEX('Catalog'!$B:$B,MATCH($G3126,'Catalog'!$A:$A,0)),$B3126))</f>
        <v>ST28 סד אגודלי עם מוט תמיכה</v>
      </c>
      <c r="I3126" s="8" t="str">
        <f aca="false">IF($G3126="","Unmatched","Matched")</f>
        <v>Matched</v>
      </c>
      <c r="J3126" s="8" t="n">
        <f aca="false">IF($G3126&lt;&gt;"",$G3126,$B3126)</f>
        <v>4415177</v>
      </c>
      <c r="K3126" s="8" t="str">
        <f aca="false">IF(COUNTIF($M$1:$M$10,$A3126)&gt;0,"Y","N")</f>
        <v>N</v>
      </c>
    </row>
    <row r="3127" customFormat="false" ht="15" hidden="false" customHeight="true" outlineLevel="0" collapsed="false">
      <c r="A3127" s="8" t="s">
        <v>1063</v>
      </c>
      <c r="B3127" s="8" t="s">
        <v>770</v>
      </c>
      <c r="C3127" s="19" t="n">
        <v>72</v>
      </c>
      <c r="D3127" s="19" t="n">
        <v>1312.77</v>
      </c>
      <c r="E3127" s="19" t="n">
        <v>139</v>
      </c>
      <c r="F3127" s="19" t="n">
        <v>2400</v>
      </c>
      <c r="G3127" s="8" t="n">
        <f aca="false">IFERROR(INDEX('TRANS'!$B:$B,MATCH($B3127,'TRANS'!$A:$A,0)),IFERROR(INDEX('TRANS'!$B:$B,MATCH(TRIM(SUBSTITUTE($B3127,CHAR(160)," ")),'TRANS'!$D:$D,0)),IFERROR(INDEX('Catalog'!$A:$A,MATCH($B3127,'Catalog'!$B:$B,0)),IFERROR(INDEX('Catalog'!$A:$A,MATCH(TRIM(SUBSTITUTE($B3127,CHAR(160)," ")),'Catalog'!$C:$C,0)),""))))</f>
        <v>4408098</v>
      </c>
      <c r="H3127" s="8" t="str">
        <f aca="false">IFERROR(INDEX('TRANS'!$C:$C,MATCH($B3127,'TRANS'!$A:$A,0)),IFERROR(INDEX('Catalog'!$B:$B,MATCH($G3127,'Catalog'!$A:$A,0)),$B3127))</f>
        <v>T25-חבק יד אגודלי</v>
      </c>
      <c r="I3127" s="8" t="str">
        <f aca="false">IF($G3127="","Unmatched","Matched")</f>
        <v>Matched</v>
      </c>
      <c r="J3127" s="8" t="n">
        <f aca="false">IF($G3127&lt;&gt;"",$G3127,$B3127)</f>
        <v>4408098</v>
      </c>
      <c r="K3127" s="8" t="str">
        <f aca="false">IF(COUNTIF($M$1:$M$10,$A3127)&gt;0,"Y","N")</f>
        <v>N</v>
      </c>
    </row>
    <row r="3128" customFormat="false" ht="15" hidden="false" customHeight="true" outlineLevel="0" collapsed="false">
      <c r="A3128" s="8" t="s">
        <v>1063</v>
      </c>
      <c r="B3128" s="8" t="s">
        <v>247</v>
      </c>
      <c r="C3128" s="19" t="n">
        <v>264</v>
      </c>
      <c r="D3128" s="19" t="n">
        <v>31736.14</v>
      </c>
      <c r="E3128" s="19" t="n">
        <v>115</v>
      </c>
      <c r="F3128" s="19" t="n">
        <v>12910.86</v>
      </c>
      <c r="G3128" s="8" t="str">
        <f aca="false">IFERROR(INDEX('TRANS'!$B:$B,MATCH($B3128,'TRANS'!$A:$A,0)),IFERROR(INDEX('TRANS'!$B:$B,MATCH(TRIM(SUBSTITUTE($B3128,CHAR(160)," ")),'TRANS'!$D:$D,0)),IFERROR(INDEX('Catalog'!$A:$A,MATCH($B3128,'Catalog'!$B:$B,0)),IFERROR(INDEX('Catalog'!$A:$A,MATCH(TRIM(SUBSTITUTE($B3128,CHAR(160)," ")),'Catalog'!$C:$C,0)),""))))</f>
        <v/>
      </c>
      <c r="H3128" s="8" t="str">
        <f aca="false">IFERROR(INDEX('TRANS'!$C:$C,MATCH($B3128,'TRANS'!$A:$A,0)),IFERROR(INDEX('Catalog'!$B:$B,MATCH($G3128,'Catalog'!$A:$A,0)),$B3128))</f>
        <v>T43V L</v>
      </c>
      <c r="I3128" s="8" t="str">
        <f aca="false">IF($G3128="","Unmatched","Matched")</f>
        <v>Unmatched</v>
      </c>
      <c r="J3128" s="8" t="str">
        <f aca="false">IF($G3128&lt;&gt;"",$G3128,$B3128)</f>
        <v>T43V L</v>
      </c>
      <c r="K3128" s="8" t="str">
        <f aca="false">IF(COUNTIF($M$1:$M$10,$A3128)&gt;0,"Y","N")</f>
        <v>N</v>
      </c>
    </row>
    <row r="3129" customFormat="false" ht="15" hidden="false" customHeight="true" outlineLevel="0" collapsed="false">
      <c r="A3129" s="8" t="s">
        <v>1063</v>
      </c>
      <c r="B3129" s="8" t="s">
        <v>392</v>
      </c>
      <c r="C3129" s="19" t="n">
        <v>252</v>
      </c>
      <c r="D3129" s="19" t="n">
        <v>29952.79</v>
      </c>
      <c r="E3129" s="19" t="n">
        <v>55</v>
      </c>
      <c r="F3129" s="19" t="n">
        <v>6419.73</v>
      </c>
      <c r="G3129" s="8" t="str">
        <f aca="false">IFERROR(INDEX('TRANS'!$B:$B,MATCH($B3129,'TRANS'!$A:$A,0)),IFERROR(INDEX('TRANS'!$B:$B,MATCH(TRIM(SUBSTITUTE($B3129,CHAR(160)," ")),'TRANS'!$D:$D,0)),IFERROR(INDEX('Catalog'!$A:$A,MATCH($B3129,'Catalog'!$B:$B,0)),IFERROR(INDEX('Catalog'!$A:$A,MATCH(TRIM(SUBSTITUTE($B3129,CHAR(160)," ")),'Catalog'!$C:$C,0)),""))))</f>
        <v/>
      </c>
      <c r="H3129" s="8" t="str">
        <f aca="false">IFERROR(INDEX('TRANS'!$C:$C,MATCH($B3129,'TRANS'!$A:$A,0)),IFERROR(INDEX('Catalog'!$B:$B,MATCH($G3129,'Catalog'!$A:$A,0)),$B3129))</f>
        <v>T43V M</v>
      </c>
      <c r="I3129" s="8" t="str">
        <f aca="false">IF($G3129="","Unmatched","Matched")</f>
        <v>Unmatched</v>
      </c>
      <c r="J3129" s="8" t="str">
        <f aca="false">IF($G3129&lt;&gt;"",$G3129,$B3129)</f>
        <v>T43V M</v>
      </c>
      <c r="K3129" s="8" t="str">
        <f aca="false">IF(COUNTIF($M$1:$M$10,$A3129)&gt;0,"Y","N")</f>
        <v>N</v>
      </c>
    </row>
    <row r="3130" customFormat="false" ht="15" hidden="false" customHeight="true" outlineLevel="0" collapsed="false">
      <c r="A3130" s="8" t="s">
        <v>1063</v>
      </c>
      <c r="B3130" s="8" t="s">
        <v>1075</v>
      </c>
      <c r="C3130" s="19" t="n">
        <v>96</v>
      </c>
      <c r="D3130" s="19" t="n">
        <v>11266.98</v>
      </c>
      <c r="E3130" s="19" t="n">
        <v>22</v>
      </c>
      <c r="F3130" s="19" t="n">
        <v>2508.3</v>
      </c>
      <c r="G3130" s="8" t="str">
        <f aca="false">IFERROR(INDEX('TRANS'!$B:$B,MATCH($B3130,'TRANS'!$A:$A,0)),IFERROR(INDEX('TRANS'!$B:$B,MATCH(TRIM(SUBSTITUTE($B3130,CHAR(160)," ")),'TRANS'!$D:$D,0)),IFERROR(INDEX('Catalog'!$A:$A,MATCH($B3130,'Catalog'!$B:$B,0)),IFERROR(INDEX('Catalog'!$A:$A,MATCH(TRIM(SUBSTITUTE($B3130,CHAR(160)," ")),'Catalog'!$C:$C,0)),""))))</f>
        <v/>
      </c>
      <c r="H3130" s="8" t="str">
        <f aca="false">IFERROR(INDEX('TRANS'!$C:$C,MATCH($B3130,'TRANS'!$A:$A,0)),IFERROR(INDEX('Catalog'!$B:$B,MATCH($G3130,'Catalog'!$A:$A,0)),$B3130))</f>
        <v>T43V S</v>
      </c>
      <c r="I3130" s="8" t="str">
        <f aca="false">IF($G3130="","Unmatched","Matched")</f>
        <v>Unmatched</v>
      </c>
      <c r="J3130" s="8" t="str">
        <f aca="false">IF($G3130&lt;&gt;"",$G3130,$B3130)</f>
        <v>T43V S</v>
      </c>
      <c r="K3130" s="8" t="str">
        <f aca="false">IF(COUNTIF($M$1:$M$10,$A3130)&gt;0,"Y","N")</f>
        <v>N</v>
      </c>
    </row>
    <row r="3131" customFormat="false" ht="15" hidden="false" customHeight="true" outlineLevel="0" collapsed="false">
      <c r="A3131" s="8" t="s">
        <v>1063</v>
      </c>
      <c r="B3131" s="8" t="s">
        <v>310</v>
      </c>
      <c r="C3131" s="19" t="n">
        <v>156</v>
      </c>
      <c r="D3131" s="19" t="n">
        <v>19580.51</v>
      </c>
      <c r="E3131" s="19" t="n">
        <v>66</v>
      </c>
      <c r="F3131" s="19" t="n">
        <v>7703.67</v>
      </c>
      <c r="G3131" s="8" t="str">
        <f aca="false">IFERROR(INDEX('TRANS'!$B:$B,MATCH($B3131,'TRANS'!$A:$A,0)),IFERROR(INDEX('TRANS'!$B:$B,MATCH(TRIM(SUBSTITUTE($B3131,CHAR(160)," ")),'TRANS'!$D:$D,0)),IFERROR(INDEX('Catalog'!$A:$A,MATCH($B3131,'Catalog'!$B:$B,0)),IFERROR(INDEX('Catalog'!$A:$A,MATCH(TRIM(SUBSTITUTE($B3131,CHAR(160)," ")),'Catalog'!$C:$C,0)),""))))</f>
        <v/>
      </c>
      <c r="H3131" s="8" t="str">
        <f aca="false">IFERROR(INDEX('TRANS'!$C:$C,MATCH($B3131,'TRANS'!$A:$A,0)),IFERROR(INDEX('Catalog'!$B:$B,MATCH($G3131,'Catalog'!$A:$A,0)),$B3131))</f>
        <v>T43V XL</v>
      </c>
      <c r="I3131" s="8" t="str">
        <f aca="false">IF($G3131="","Unmatched","Matched")</f>
        <v>Unmatched</v>
      </c>
      <c r="J3131" s="8" t="str">
        <f aca="false">IF($G3131&lt;&gt;"",$G3131,$B3131)</f>
        <v>T43V XL</v>
      </c>
      <c r="K3131" s="8" t="str">
        <f aca="false">IF(COUNTIF($M$1:$M$10,$A3131)&gt;0,"Y","N")</f>
        <v>N</v>
      </c>
    </row>
    <row r="3132" customFormat="false" ht="15" hidden="false" customHeight="true" outlineLevel="0" collapsed="false">
      <c r="A3132" s="8" t="s">
        <v>1063</v>
      </c>
      <c r="B3132" s="8" t="s">
        <v>1076</v>
      </c>
      <c r="C3132" s="19" t="n">
        <v>12</v>
      </c>
      <c r="D3132" s="19" t="n">
        <v>1547.32</v>
      </c>
      <c r="E3132" s="19" t="n">
        <v>0</v>
      </c>
      <c r="F3132" s="19" t="n">
        <v>0</v>
      </c>
      <c r="G3132" s="8" t="str">
        <f aca="false">IFERROR(INDEX('TRANS'!$B:$B,MATCH($B3132,'TRANS'!$A:$A,0)),IFERROR(INDEX('TRANS'!$B:$B,MATCH(TRIM(SUBSTITUTE($B3132,CHAR(160)," ")),'TRANS'!$D:$D,0)),IFERROR(INDEX('Catalog'!$A:$A,MATCH($B3132,'Catalog'!$B:$B,0)),IFERROR(INDEX('Catalog'!$A:$A,MATCH(TRIM(SUBSTITUTE($B3132,CHAR(160)," ")),'Catalog'!$C:$C,0)),""))))</f>
        <v/>
      </c>
      <c r="H3132" s="8" t="str">
        <f aca="false">IFERROR(INDEX('TRANS'!$C:$C,MATCH($B3132,'TRANS'!$A:$A,0)),IFERROR(INDEX('Catalog'!$B:$B,MATCH($G3132,'Catalog'!$A:$A,0)),$B3132))</f>
        <v>T43V XS</v>
      </c>
      <c r="I3132" s="8" t="str">
        <f aca="false">IF($G3132="","Unmatched","Matched")</f>
        <v>Unmatched</v>
      </c>
      <c r="J3132" s="8" t="str">
        <f aca="false">IF($G3132&lt;&gt;"",$G3132,$B3132)</f>
        <v>T43V XS</v>
      </c>
      <c r="K3132" s="8" t="str">
        <f aca="false">IF(COUNTIF($M$1:$M$10,$A3132)&gt;0,"Y","N")</f>
        <v>N</v>
      </c>
    </row>
    <row r="3133" customFormat="false" ht="15" hidden="false" customHeight="true" outlineLevel="0" collapsed="false">
      <c r="A3133" s="8" t="s">
        <v>1063</v>
      </c>
      <c r="B3133" s="8" t="s">
        <v>340</v>
      </c>
      <c r="C3133" s="19" t="n">
        <v>132</v>
      </c>
      <c r="D3133" s="19" t="n">
        <v>16148.34</v>
      </c>
      <c r="E3133" s="19" t="n">
        <v>66</v>
      </c>
      <c r="F3133" s="19" t="n">
        <v>7673.88</v>
      </c>
      <c r="G3133" s="8" t="str">
        <f aca="false">IFERROR(INDEX('TRANS'!$B:$B,MATCH($B3133,'TRANS'!$A:$A,0)),IFERROR(INDEX('TRANS'!$B:$B,MATCH(TRIM(SUBSTITUTE($B3133,CHAR(160)," ")),'TRANS'!$D:$D,0)),IFERROR(INDEX('Catalog'!$A:$A,MATCH($B3133,'Catalog'!$B:$B,0)),IFERROR(INDEX('Catalog'!$A:$A,MATCH(TRIM(SUBSTITUTE($B3133,CHAR(160)," ")),'Catalog'!$C:$C,0)),""))))</f>
        <v/>
      </c>
      <c r="H3133" s="8" t="str">
        <f aca="false">IFERROR(INDEX('TRANS'!$C:$C,MATCH($B3133,'TRANS'!$A:$A,0)),IFERROR(INDEX('Catalog'!$B:$B,MATCH($G3133,'Catalog'!$A:$A,0)),$B3133))</f>
        <v>T43V XXL</v>
      </c>
      <c r="I3133" s="8" t="str">
        <f aca="false">IF($G3133="","Unmatched","Matched")</f>
        <v>Unmatched</v>
      </c>
      <c r="J3133" s="8" t="str">
        <f aca="false">IF($G3133&lt;&gt;"",$G3133,$B3133)</f>
        <v>T43V XXL</v>
      </c>
      <c r="K3133" s="8" t="str">
        <f aca="false">IF(COUNTIF($M$1:$M$10,$A3133)&gt;0,"Y","N")</f>
        <v>N</v>
      </c>
    </row>
    <row r="3134" customFormat="false" ht="15" hidden="false" customHeight="true" outlineLevel="0" collapsed="false">
      <c r="A3134" s="8" t="s">
        <v>1063</v>
      </c>
      <c r="B3134" s="8" t="s">
        <v>1077</v>
      </c>
      <c r="C3134" s="19" t="n">
        <v>36</v>
      </c>
      <c r="D3134" s="19" t="n">
        <v>4111.41</v>
      </c>
      <c r="E3134" s="19" t="n">
        <v>46</v>
      </c>
      <c r="F3134" s="19" t="n">
        <v>5104.74</v>
      </c>
      <c r="G3134" s="8" t="str">
        <f aca="false">IFERROR(INDEX('TRANS'!$B:$B,MATCH($B3134,'TRANS'!$A:$A,0)),IFERROR(INDEX('TRANS'!$B:$B,MATCH(TRIM(SUBSTITUTE($B3134,CHAR(160)," ")),'TRANS'!$D:$D,0)),IFERROR(INDEX('Catalog'!$A:$A,MATCH($B3134,'Catalog'!$B:$B,0)),IFERROR(INDEX('Catalog'!$A:$A,MATCH(TRIM(SUBSTITUTE($B3134,CHAR(160)," ")),'Catalog'!$C:$C,0)),""))))</f>
        <v/>
      </c>
      <c r="H3134" s="8" t="str">
        <f aca="false">IFERROR(INDEX('TRANS'!$C:$C,MATCH($B3134,'TRANS'!$A:$A,0)),IFERROR(INDEX('Catalog'!$B:$B,MATCH($G3134,'Catalog'!$A:$A,0)),$B3134))</f>
        <v>T43V XXXL</v>
      </c>
      <c r="I3134" s="8" t="str">
        <f aca="false">IF($G3134="","Unmatched","Matched")</f>
        <v>Unmatched</v>
      </c>
      <c r="J3134" s="8" t="str">
        <f aca="false">IF($G3134&lt;&gt;"",$G3134,$B3134)</f>
        <v>T43V XXXL</v>
      </c>
      <c r="K3134" s="8" t="str">
        <f aca="false">IF(COUNTIF($M$1:$M$10,$A3134)&gt;0,"Y","N")</f>
        <v>N</v>
      </c>
    </row>
    <row r="3135" customFormat="false" ht="15" hidden="false" customHeight="true" outlineLevel="0" collapsed="false">
      <c r="A3135" s="8" t="s">
        <v>1063</v>
      </c>
      <c r="B3135" s="8" t="s">
        <v>422</v>
      </c>
      <c r="C3135" s="19" t="n">
        <v>1</v>
      </c>
      <c r="D3135" s="19" t="n">
        <v>0.04</v>
      </c>
      <c r="E3135" s="19" t="n">
        <v>0</v>
      </c>
      <c r="F3135" s="19" t="n">
        <v>0</v>
      </c>
      <c r="G3135" s="8" t="str">
        <f aca="false">IFERROR(INDEX('TRANS'!$B:$B,MATCH($B3135,'TRANS'!$A:$A,0)),IFERROR(INDEX('TRANS'!$B:$B,MATCH(TRIM(SUBSTITUTE($B3135,CHAR(160)," ")),'TRANS'!$D:$D,0)),IFERROR(INDEX('Catalog'!$A:$A,MATCH($B3135,'Catalog'!$B:$B,0)),IFERROR(INDEX('Catalog'!$A:$A,MATCH(TRIM(SUBSTITUTE($B3135,CHAR(160)," ")),'Catalog'!$C:$C,0)),""))))</f>
        <v/>
      </c>
      <c r="H3135" s="8" t="str">
        <f aca="false">IFERROR(INDEX('TRANS'!$C:$C,MATCH($B3135,'TRANS'!$A:$A,0)),IFERROR(INDEX('Catalog'!$B:$B,MATCH($G3135,'Catalog'!$A:$A,0)),$B3135))</f>
        <v>T95 L</v>
      </c>
      <c r="I3135" s="8" t="str">
        <f aca="false">IF($G3135="","Unmatched","Matched")</f>
        <v>Unmatched</v>
      </c>
      <c r="J3135" s="8" t="str">
        <f aca="false">IF($G3135&lt;&gt;"",$G3135,$B3135)</f>
        <v>T95 L</v>
      </c>
      <c r="K3135" s="8" t="str">
        <f aca="false">IF(COUNTIF($M$1:$M$10,$A3135)&gt;0,"Y","N")</f>
        <v>N</v>
      </c>
    </row>
    <row r="3136" customFormat="false" ht="15" hidden="false" customHeight="true" outlineLevel="0" collapsed="false">
      <c r="A3136" s="8" t="s">
        <v>1063</v>
      </c>
      <c r="B3136" s="8" t="s">
        <v>431</v>
      </c>
      <c r="C3136" s="19" t="n">
        <v>6</v>
      </c>
      <c r="D3136" s="19" t="n">
        <v>239.63</v>
      </c>
      <c r="E3136" s="19" t="n">
        <v>0</v>
      </c>
      <c r="F3136" s="19" t="n">
        <v>0</v>
      </c>
      <c r="G3136" s="8" t="str">
        <f aca="false">IFERROR(INDEX('TRANS'!$B:$B,MATCH($B3136,'TRANS'!$A:$A,0)),IFERROR(INDEX('TRANS'!$B:$B,MATCH(TRIM(SUBSTITUTE($B3136,CHAR(160)," ")),'TRANS'!$D:$D,0)),IFERROR(INDEX('Catalog'!$A:$A,MATCH($B3136,'Catalog'!$B:$B,0)),IFERROR(INDEX('Catalog'!$A:$A,MATCH(TRIM(SUBSTITUTE($B3136,CHAR(160)," ")),'Catalog'!$C:$C,0)),""))))</f>
        <v/>
      </c>
      <c r="H3136" s="8" t="str">
        <f aca="false">IFERROR(INDEX('TRANS'!$C:$C,MATCH($B3136,'TRANS'!$A:$A,0)),IFERROR(INDEX('Catalog'!$B:$B,MATCH($G3136,'Catalog'!$A:$A,0)),$B3136))</f>
        <v>T95 M</v>
      </c>
      <c r="I3136" s="8" t="str">
        <f aca="false">IF($G3136="","Unmatched","Matched")</f>
        <v>Unmatched</v>
      </c>
      <c r="J3136" s="8" t="str">
        <f aca="false">IF($G3136&lt;&gt;"",$G3136,$B3136)</f>
        <v>T95 M</v>
      </c>
      <c r="K3136" s="8" t="str">
        <f aca="false">IF(COUNTIF($M$1:$M$10,$A3136)&gt;0,"Y","N")</f>
        <v>N</v>
      </c>
    </row>
    <row r="3137" customFormat="false" ht="15" hidden="false" customHeight="true" outlineLevel="0" collapsed="false">
      <c r="A3137" s="8" t="s">
        <v>1063</v>
      </c>
      <c r="B3137" s="8" t="s">
        <v>905</v>
      </c>
      <c r="C3137" s="19" t="n">
        <v>5</v>
      </c>
      <c r="D3137" s="19" t="n">
        <v>239.59</v>
      </c>
      <c r="E3137" s="19" t="n">
        <v>0</v>
      </c>
      <c r="F3137" s="19" t="n">
        <v>0</v>
      </c>
      <c r="G3137" s="8" t="n">
        <f aca="false">IFERROR(INDEX('TRANS'!$B:$B,MATCH($B3137,'TRANS'!$A:$A,0)),IFERROR(INDEX('TRANS'!$B:$B,MATCH(TRIM(SUBSTITUTE($B3137,CHAR(160)," ")),'TRANS'!$D:$D,0)),IFERROR(INDEX('Catalog'!$A:$A,MATCH($B3137,'Catalog'!$B:$B,0)),IFERROR(INDEX('Catalog'!$A:$A,MATCH(TRIM(SUBSTITUTE($B3137,CHAR(160)," ")),'Catalog'!$C:$C,0)),""))))</f>
        <v>4413210</v>
      </c>
      <c r="H3137" s="8" t="str">
        <f aca="false">IFERROR(INDEX('TRANS'!$C:$C,MATCH($B3137,'TRANS'!$A:$A,0)),IFERROR(INDEX('Catalog'!$B:$B,MATCH($G3137,'Catalog'!$A:$A,0)),$B3137))</f>
        <v>T95 S מגן מרפק רגיל</v>
      </c>
      <c r="I3137" s="8" t="str">
        <f aca="false">IF($G3137="","Unmatched","Matched")</f>
        <v>Matched</v>
      </c>
      <c r="J3137" s="8" t="n">
        <f aca="false">IF($G3137&lt;&gt;"",$G3137,$B3137)</f>
        <v>4413210</v>
      </c>
      <c r="K3137" s="8" t="str">
        <f aca="false">IF(COUNTIF($M$1:$M$10,$A3137)&gt;0,"Y","N")</f>
        <v>N</v>
      </c>
    </row>
    <row r="3138" customFormat="false" ht="15" hidden="false" customHeight="true" outlineLevel="0" collapsed="false">
      <c r="A3138" s="8" t="s">
        <v>1078</v>
      </c>
      <c r="B3138" s="8" t="s">
        <v>561</v>
      </c>
      <c r="C3138" s="19" t="n">
        <v>180</v>
      </c>
      <c r="D3138" s="19" t="n">
        <v>9339.88</v>
      </c>
      <c r="E3138" s="19" t="n">
        <v>116</v>
      </c>
      <c r="F3138" s="19" t="n">
        <v>5474</v>
      </c>
      <c r="G3138" s="8" t="n">
        <f aca="false">IFERROR(INDEX('TRANS'!$B:$B,MATCH($B3138,'TRANS'!$A:$A,0)),IFERROR(INDEX('TRANS'!$B:$B,MATCH(TRIM(SUBSTITUTE($B3138,CHAR(160)," ")),'TRANS'!$D:$D,0)),IFERROR(INDEX('Catalog'!$A:$A,MATCH($B3138,'Catalog'!$B:$B,0)),IFERROR(INDEX('Catalog'!$A:$A,MATCH(TRIM(SUBSTITUTE($B3138,CHAR(160)," ")),'Catalog'!$C:$C,0)),""))))</f>
        <v>4408192</v>
      </c>
      <c r="H3138" s="8" t="str">
        <f aca="false">IFERROR(INDEX('TRANS'!$C:$C,MATCH($B3138,'TRANS'!$A:$A,0)),IFERROR(INDEX('Catalog'!$B:$B,MATCH($G3138,'Catalog'!$A:$A,0)),$B3138))</f>
        <v>078 L חגורת גב +סגירה</v>
      </c>
      <c r="I3138" s="8" t="str">
        <f aca="false">IF($G3138="","Unmatched","Matched")</f>
        <v>Matched</v>
      </c>
      <c r="J3138" s="8" t="n">
        <f aca="false">IF($G3138&lt;&gt;"",$G3138,$B3138)</f>
        <v>4408192</v>
      </c>
      <c r="K3138" s="8" t="str">
        <f aca="false">IF(COUNTIF($M$1:$M$10,$A3138)&gt;0,"Y","N")</f>
        <v>N</v>
      </c>
    </row>
    <row r="3139" customFormat="false" ht="15" hidden="false" customHeight="true" outlineLevel="0" collapsed="false">
      <c r="A3139" s="8" t="s">
        <v>1078</v>
      </c>
      <c r="B3139" s="8" t="s">
        <v>852</v>
      </c>
      <c r="C3139" s="19" t="n">
        <v>76</v>
      </c>
      <c r="D3139" s="19" t="n">
        <v>3931.49</v>
      </c>
      <c r="E3139" s="19" t="n">
        <v>46</v>
      </c>
      <c r="F3139" s="19" t="n">
        <v>2225.87</v>
      </c>
      <c r="G3139" s="8" t="n">
        <f aca="false">IFERROR(INDEX('TRANS'!$B:$B,MATCH($B3139,'TRANS'!$A:$A,0)),IFERROR(INDEX('TRANS'!$B:$B,MATCH(TRIM(SUBSTITUTE($B3139,CHAR(160)," ")),'TRANS'!$D:$D,0)),IFERROR(INDEX('Catalog'!$A:$A,MATCH($B3139,'Catalog'!$B:$B,0)),IFERROR(INDEX('Catalog'!$A:$A,MATCH(TRIM(SUBSTITUTE($B3139,CHAR(160)," ")),'Catalog'!$C:$C,0)),""))))</f>
        <v>4408190</v>
      </c>
      <c r="H3139" s="8" t="str">
        <f aca="false">IFERROR(INDEX('TRANS'!$C:$C,MATCH($B3139,'TRANS'!$A:$A,0)),IFERROR(INDEX('Catalog'!$B:$B,MATCH($G3139,'Catalog'!$A:$A,0)),$B3139))</f>
        <v>M078 חגורת גב +סגירה כפולה</v>
      </c>
      <c r="I3139" s="8" t="str">
        <f aca="false">IF($G3139="","Unmatched","Matched")</f>
        <v>Matched</v>
      </c>
      <c r="J3139" s="8" t="n">
        <f aca="false">IF($G3139&lt;&gt;"",$G3139,$B3139)</f>
        <v>4408190</v>
      </c>
      <c r="K3139" s="8" t="str">
        <f aca="false">IF(COUNTIF($M$1:$M$10,$A3139)&gt;0,"Y","N")</f>
        <v>N</v>
      </c>
    </row>
    <row r="3140" customFormat="false" ht="15" hidden="false" customHeight="true" outlineLevel="0" collapsed="false">
      <c r="A3140" s="8" t="s">
        <v>1078</v>
      </c>
      <c r="B3140" s="8" t="s">
        <v>853</v>
      </c>
      <c r="C3140" s="19" t="n">
        <v>21</v>
      </c>
      <c r="D3140" s="19" t="n">
        <v>1091.73</v>
      </c>
      <c r="E3140" s="19" t="n">
        <v>21</v>
      </c>
      <c r="F3140" s="19" t="n">
        <v>1020.85</v>
      </c>
      <c r="G3140" s="8" t="n">
        <f aca="false">IFERROR(INDEX('TRANS'!$B:$B,MATCH($B3140,'TRANS'!$A:$A,0)),IFERROR(INDEX('TRANS'!$B:$B,MATCH(TRIM(SUBSTITUTE($B3140,CHAR(160)," ")),'TRANS'!$D:$D,0)),IFERROR(INDEX('Catalog'!$A:$A,MATCH($B3140,'Catalog'!$B:$B,0)),IFERROR(INDEX('Catalog'!$A:$A,MATCH(TRIM(SUBSTITUTE($B3140,CHAR(160)," ")),'Catalog'!$C:$C,0)),""))))</f>
        <v>4408217</v>
      </c>
      <c r="H3140" s="8" t="str">
        <f aca="false">IFERROR(INDEX('TRANS'!$C:$C,MATCH($B3140,'TRANS'!$A:$A,0)),IFERROR(INDEX('Catalog'!$B:$B,MATCH($G3140,'Catalog'!$A:$A,0)),$B3140))</f>
        <v>S078 חגורת גב +סגירה כפולה</v>
      </c>
      <c r="I3140" s="8" t="str">
        <f aca="false">IF($G3140="","Unmatched","Matched")</f>
        <v>Matched</v>
      </c>
      <c r="J3140" s="8" t="n">
        <f aca="false">IF($G3140&lt;&gt;"",$G3140,$B3140)</f>
        <v>4408217</v>
      </c>
      <c r="K3140" s="8" t="str">
        <f aca="false">IF(COUNTIF($M$1:$M$10,$A3140)&gt;0,"Y","N")</f>
        <v>N</v>
      </c>
    </row>
    <row r="3141" customFormat="false" ht="15" hidden="false" customHeight="true" outlineLevel="0" collapsed="false">
      <c r="A3141" s="8" t="s">
        <v>1078</v>
      </c>
      <c r="B3141" s="8" t="s">
        <v>562</v>
      </c>
      <c r="C3141" s="19" t="n">
        <v>170</v>
      </c>
      <c r="D3141" s="19" t="n">
        <v>8877.12</v>
      </c>
      <c r="E3141" s="19" t="n">
        <v>95</v>
      </c>
      <c r="F3141" s="19" t="n">
        <v>4491.57</v>
      </c>
      <c r="G3141" s="8" t="n">
        <f aca="false">IFERROR(INDEX('TRANS'!$B:$B,MATCH($B3141,'TRANS'!$A:$A,0)),IFERROR(INDEX('TRANS'!$B:$B,MATCH(TRIM(SUBSTITUTE($B3141,CHAR(160)," ")),'TRANS'!$D:$D,0)),IFERROR(INDEX('Catalog'!$A:$A,MATCH($B3141,'Catalog'!$B:$B,0)),IFERROR(INDEX('Catalog'!$A:$A,MATCH(TRIM(SUBSTITUTE($B3141,CHAR(160)," ")),'Catalog'!$C:$C,0)),""))))</f>
        <v>4408218</v>
      </c>
      <c r="H3141" s="8" t="str">
        <f aca="false">IFERROR(INDEX('TRANS'!$C:$C,MATCH($B3141,'TRANS'!$A:$A,0)),IFERROR(INDEX('Catalog'!$B:$B,MATCH($G3141,'Catalog'!$A:$A,0)),$B3141))</f>
        <v>078XL חגורת גב +סגירה כפולה</v>
      </c>
      <c r="I3141" s="8" t="str">
        <f aca="false">IF($G3141="","Unmatched","Matched")</f>
        <v>Matched</v>
      </c>
      <c r="J3141" s="8" t="n">
        <f aca="false">IF($G3141&lt;&gt;"",$G3141,$B3141)</f>
        <v>4408218</v>
      </c>
      <c r="K3141" s="8" t="str">
        <f aca="false">IF(COUNTIF($M$1:$M$10,$A3141)&gt;0,"Y","N")</f>
        <v>N</v>
      </c>
    </row>
    <row r="3142" customFormat="false" ht="15" hidden="false" customHeight="true" outlineLevel="0" collapsed="false">
      <c r="A3142" s="8" t="s">
        <v>1078</v>
      </c>
      <c r="B3142" s="8" t="s">
        <v>854</v>
      </c>
      <c r="C3142" s="19" t="n">
        <v>135</v>
      </c>
      <c r="D3142" s="19" t="n">
        <v>7059.17</v>
      </c>
      <c r="E3142" s="19" t="n">
        <v>50</v>
      </c>
      <c r="F3142" s="19" t="n">
        <v>2377.24</v>
      </c>
      <c r="G3142" s="8" t="n">
        <f aca="false">IFERROR(INDEX('TRANS'!$B:$B,MATCH($B3142,'TRANS'!$A:$A,0)),IFERROR(INDEX('TRANS'!$B:$B,MATCH(TRIM(SUBSTITUTE($B3142,CHAR(160)," ")),'TRANS'!$D:$D,0)),IFERROR(INDEX('Catalog'!$A:$A,MATCH($B3142,'Catalog'!$B:$B,0)),IFERROR(INDEX('Catalog'!$A:$A,MATCH(TRIM(SUBSTITUTE($B3142,CHAR(160)," ")),'Catalog'!$C:$C,0)),""))))</f>
        <v>4408265</v>
      </c>
      <c r="H3142" s="8" t="str">
        <f aca="false">IFERROR(INDEX('TRANS'!$C:$C,MATCH($B3142,'TRANS'!$A:$A,0)),IFERROR(INDEX('Catalog'!$B:$B,MATCH($G3142,'Catalog'!$A:$A,0)),$B3142))</f>
        <v>078XXL חגורת גב +סגירה כפולה</v>
      </c>
      <c r="I3142" s="8" t="str">
        <f aca="false">IF($G3142="","Unmatched","Matched")</f>
        <v>Matched</v>
      </c>
      <c r="J3142" s="8" t="n">
        <f aca="false">IF($G3142&lt;&gt;"",$G3142,$B3142)</f>
        <v>4408265</v>
      </c>
      <c r="K3142" s="8" t="str">
        <f aca="false">IF(COUNTIF($M$1:$M$10,$A3142)&gt;0,"Y","N")</f>
        <v>N</v>
      </c>
    </row>
    <row r="3143" customFormat="false" ht="15" hidden="false" customHeight="true" outlineLevel="0" collapsed="false">
      <c r="A3143" s="8" t="s">
        <v>1078</v>
      </c>
      <c r="B3143" s="8" t="s">
        <v>723</v>
      </c>
      <c r="C3143" s="19" t="n">
        <v>750</v>
      </c>
      <c r="D3143" s="19" t="n">
        <v>29252.74</v>
      </c>
      <c r="E3143" s="19" t="n">
        <v>640</v>
      </c>
      <c r="F3143" s="19" t="n">
        <v>22807.96</v>
      </c>
      <c r="G3143" s="8" t="n">
        <f aca="false">IFERROR(INDEX('TRANS'!$B:$B,MATCH($B3143,'TRANS'!$A:$A,0)),IFERROR(INDEX('TRANS'!$B:$B,MATCH(TRIM(SUBSTITUTE($B3143,CHAR(160)," ")),'TRANS'!$D:$D,0)),IFERROR(INDEX('Catalog'!$A:$A,MATCH($B3143,'Catalog'!$B:$B,0)),IFERROR(INDEX('Catalog'!$A:$A,MATCH(TRIM(SUBSTITUTE($B3143,CHAR(160)," ")),'Catalog'!$C:$C,0)),""))))</f>
        <v>4408205</v>
      </c>
      <c r="H3143" s="8" t="str">
        <f aca="false">IFERROR(INDEX('TRANS'!$C:$C,MATCH($B3143,'TRANS'!$A:$A,0)),IFERROR(INDEX('Catalog'!$B:$B,MATCH($G3143,'Catalog'!$A:$A,0)),$B3143))</f>
        <v>AC-07 חגורת גב עם תמיכות</v>
      </c>
      <c r="I3143" s="8" t="str">
        <f aca="false">IF($G3143="","Unmatched","Matched")</f>
        <v>Matched</v>
      </c>
      <c r="J3143" s="8" t="n">
        <f aca="false">IF($G3143&lt;&gt;"",$G3143,$B3143)</f>
        <v>4408205</v>
      </c>
      <c r="K3143" s="8" t="str">
        <f aca="false">IF(COUNTIF($M$1:$M$10,$A3143)&gt;0,"Y","N")</f>
        <v>N</v>
      </c>
    </row>
    <row r="3144" customFormat="false" ht="15" hidden="false" customHeight="true" outlineLevel="0" collapsed="false">
      <c r="A3144" s="8" t="s">
        <v>1078</v>
      </c>
      <c r="B3144" s="8" t="s">
        <v>564</v>
      </c>
      <c r="C3144" s="19" t="n">
        <v>5</v>
      </c>
      <c r="D3144" s="19" t="n">
        <v>329.27</v>
      </c>
      <c r="E3144" s="19" t="n">
        <v>0</v>
      </c>
      <c r="F3144" s="19" t="n">
        <v>0</v>
      </c>
      <c r="G3144" s="8" t="n">
        <f aca="false">IFERROR(INDEX('TRANS'!$B:$B,MATCH($B3144,'TRANS'!$A:$A,0)),IFERROR(INDEX('TRANS'!$B:$B,MATCH(TRIM(SUBSTITUTE($B3144,CHAR(160)," ")),'TRANS'!$D:$D,0)),IFERROR(INDEX('Catalog'!$A:$A,MATCH($B3144,'Catalog'!$B:$B,0)),IFERROR(INDEX('Catalog'!$A:$A,MATCH(TRIM(SUBSTITUTE($B3144,CHAR(160)," ")),'Catalog'!$C:$C,0)),""))))</f>
        <v>4408027</v>
      </c>
      <c r="H3144" s="8" t="str">
        <f aca="false">IFERROR(INDEX('TRANS'!$C:$C,MATCH($B3144,'TRANS'!$A:$A,0)),IFERROR(INDEX('Catalog'!$B:$B,MATCH($G3144,'Catalog'!$A:$A,0)),$B3144))</f>
        <v>10 L """"חגורת גב """"לומבו</v>
      </c>
      <c r="I3144" s="8" t="str">
        <f aca="false">IF($G3144="","Unmatched","Matched")</f>
        <v>Matched</v>
      </c>
      <c r="J3144" s="8" t="n">
        <f aca="false">IF($G3144&lt;&gt;"",$G3144,$B3144)</f>
        <v>4408027</v>
      </c>
      <c r="K3144" s="8" t="str">
        <f aca="false">IF(COUNTIF($M$1:$M$10,$A3144)&gt;0,"Y","N")</f>
        <v>N</v>
      </c>
    </row>
    <row r="3145" customFormat="false" ht="15" hidden="false" customHeight="true" outlineLevel="0" collapsed="false">
      <c r="A3145" s="8" t="s">
        <v>1078</v>
      </c>
      <c r="B3145" s="8" t="s">
        <v>497</v>
      </c>
      <c r="C3145" s="19" t="n">
        <v>2</v>
      </c>
      <c r="D3145" s="19" t="n">
        <v>131.71</v>
      </c>
      <c r="E3145" s="19" t="n">
        <v>0</v>
      </c>
      <c r="F3145" s="19" t="n">
        <v>0</v>
      </c>
      <c r="G3145" s="8" t="str">
        <f aca="false">IFERROR(INDEX('TRANS'!$B:$B,MATCH($B3145,'TRANS'!$A:$A,0)),IFERROR(INDEX('TRANS'!$B:$B,MATCH(TRIM(SUBSTITUTE($B3145,CHAR(160)," ")),'TRANS'!$D:$D,0)),IFERROR(INDEX('Catalog'!$A:$A,MATCH($B3145,'Catalog'!$B:$B,0)),IFERROR(INDEX('Catalog'!$A:$A,MATCH(TRIM(SUBSTITUTE($B3145,CHAR(160)," ")),'Catalog'!$C:$C,0)),""))))</f>
        <v/>
      </c>
      <c r="H3145" s="8" t="str">
        <f aca="false">IFERROR(INDEX('TRANS'!$C:$C,MATCH($B3145,'TRANS'!$A:$A,0)),IFERROR(INDEX('Catalog'!$B:$B,MATCH($G3145,'Catalog'!$A:$A,0)),$B3145))</f>
        <v>10 S</v>
      </c>
      <c r="I3145" s="8" t="str">
        <f aca="false">IF($G3145="","Unmatched","Matched")</f>
        <v>Unmatched</v>
      </c>
      <c r="J3145" s="8" t="str">
        <f aca="false">IF($G3145&lt;&gt;"",$G3145,$B3145)</f>
        <v>10 S</v>
      </c>
      <c r="K3145" s="8" t="str">
        <f aca="false">IF(COUNTIF($M$1:$M$10,$A3145)&gt;0,"Y","N")</f>
        <v>N</v>
      </c>
    </row>
    <row r="3146" customFormat="false" ht="15" hidden="false" customHeight="true" outlineLevel="0" collapsed="false">
      <c r="A3146" s="8" t="s">
        <v>1078</v>
      </c>
      <c r="B3146" s="8" t="s">
        <v>423</v>
      </c>
      <c r="C3146" s="19" t="n">
        <v>2</v>
      </c>
      <c r="D3146" s="19" t="n">
        <v>131.71</v>
      </c>
      <c r="E3146" s="19" t="n">
        <v>0</v>
      </c>
      <c r="F3146" s="19" t="n">
        <v>0</v>
      </c>
      <c r="G3146" s="8" t="str">
        <f aca="false">IFERROR(INDEX('TRANS'!$B:$B,MATCH($B3146,'TRANS'!$A:$A,0)),IFERROR(INDEX('TRANS'!$B:$B,MATCH(TRIM(SUBSTITUTE($B3146,CHAR(160)," ")),'TRANS'!$D:$D,0)),IFERROR(INDEX('Catalog'!$A:$A,MATCH($B3146,'Catalog'!$B:$B,0)),IFERROR(INDEX('Catalog'!$A:$A,MATCH(TRIM(SUBSTITUTE($B3146,CHAR(160)," ")),'Catalog'!$C:$C,0)),""))))</f>
        <v/>
      </c>
      <c r="H3146" s="8" t="str">
        <f aca="false">IFERROR(INDEX('TRANS'!$C:$C,MATCH($B3146,'TRANS'!$A:$A,0)),IFERROR(INDEX('Catalog'!$B:$B,MATCH($G3146,'Catalog'!$A:$A,0)),$B3146))</f>
        <v>10 XXL</v>
      </c>
      <c r="I3146" s="8" t="str">
        <f aca="false">IF($G3146="","Unmatched","Matched")</f>
        <v>Unmatched</v>
      </c>
      <c r="J3146" s="8" t="str">
        <f aca="false">IF($G3146&lt;&gt;"",$G3146,$B3146)</f>
        <v>10 XXL</v>
      </c>
      <c r="K3146" s="8" t="str">
        <f aca="false">IF(COUNTIF($M$1:$M$10,$A3146)&gt;0,"Y","N")</f>
        <v>N</v>
      </c>
    </row>
    <row r="3147" customFormat="false" ht="15" hidden="false" customHeight="true" outlineLevel="0" collapsed="false">
      <c r="A3147" s="8" t="s">
        <v>1078</v>
      </c>
      <c r="B3147" s="8" t="s">
        <v>568</v>
      </c>
      <c r="C3147" s="19" t="n">
        <v>40</v>
      </c>
      <c r="D3147" s="19" t="n">
        <v>1764.75</v>
      </c>
      <c r="E3147" s="19" t="n">
        <v>0</v>
      </c>
      <c r="F3147" s="19" t="n">
        <v>0</v>
      </c>
      <c r="G3147" s="8" t="n">
        <f aca="false">IFERROR(INDEX('TRANS'!$B:$B,MATCH($B3147,'TRANS'!$A:$A,0)),IFERROR(INDEX('TRANS'!$B:$B,MATCH(TRIM(SUBSTITUTE($B3147,CHAR(160)," ")),'TRANS'!$D:$D,0)),IFERROR(INDEX('Catalog'!$A:$A,MATCH($B3147,'Catalog'!$B:$B,0)),IFERROR(INDEX('Catalog'!$A:$A,MATCH(TRIM(SUBSTITUTE($B3147,CHAR(160)," ")),'Catalog'!$C:$C,0)),""))))</f>
        <v>4408115</v>
      </c>
      <c r="H3147" s="8" t="str">
        <f aca="false">IFERROR(INDEX('TRANS'!$C:$C,MATCH($B3147,'TRANS'!$A:$A,0)),IFERROR(INDEX('Catalog'!$B:$B,MATCH($G3147,'Catalog'!$A:$A,0)),$B3147))</f>
        <v>11EU L ח.בטן לאחר ניתוח</v>
      </c>
      <c r="I3147" s="8" t="str">
        <f aca="false">IF($G3147="","Unmatched","Matched")</f>
        <v>Matched</v>
      </c>
      <c r="J3147" s="8" t="n">
        <f aca="false">IF($G3147&lt;&gt;"",$G3147,$B3147)</f>
        <v>4408115</v>
      </c>
      <c r="K3147" s="8" t="str">
        <f aca="false">IF(COUNTIF($M$1:$M$10,$A3147)&gt;0,"Y","N")</f>
        <v>N</v>
      </c>
    </row>
    <row r="3148" customFormat="false" ht="15" hidden="false" customHeight="true" outlineLevel="0" collapsed="false">
      <c r="A3148" s="8" t="s">
        <v>1078</v>
      </c>
      <c r="B3148" s="8" t="s">
        <v>569</v>
      </c>
      <c r="C3148" s="19" t="n">
        <v>26</v>
      </c>
      <c r="D3148" s="19" t="n">
        <v>1145.86</v>
      </c>
      <c r="E3148" s="19" t="n">
        <v>18</v>
      </c>
      <c r="F3148" s="19" t="n">
        <v>705.43</v>
      </c>
      <c r="G3148" s="8" t="n">
        <f aca="false">IFERROR(INDEX('TRANS'!$B:$B,MATCH($B3148,'TRANS'!$A:$A,0)),IFERROR(INDEX('TRANS'!$B:$B,MATCH(TRIM(SUBSTITUTE($B3148,CHAR(160)," ")),'TRANS'!$D:$D,0)),IFERROR(INDEX('Catalog'!$A:$A,MATCH($B3148,'Catalog'!$B:$B,0)),IFERROR(INDEX('Catalog'!$A:$A,MATCH(TRIM(SUBSTITUTE($B3148,CHAR(160)," ")),'Catalog'!$C:$C,0)),""))))</f>
        <v>4408114</v>
      </c>
      <c r="H3148" s="8" t="str">
        <f aca="false">IFERROR(INDEX('TRANS'!$C:$C,MATCH($B3148,'TRANS'!$A:$A,0)),IFERROR(INDEX('Catalog'!$B:$B,MATCH($G3148,'Catalog'!$A:$A,0)),$B3148))</f>
        <v>11EU M ח.בטן לאחר ניתוח</v>
      </c>
      <c r="I3148" s="8" t="str">
        <f aca="false">IF($G3148="","Unmatched","Matched")</f>
        <v>Matched</v>
      </c>
      <c r="J3148" s="8" t="n">
        <f aca="false">IF($G3148&lt;&gt;"",$G3148,$B3148)</f>
        <v>4408114</v>
      </c>
      <c r="K3148" s="8" t="str">
        <f aca="false">IF(COUNTIF($M$1:$M$10,$A3148)&gt;0,"Y","N")</f>
        <v>N</v>
      </c>
    </row>
    <row r="3149" customFormat="false" ht="15" hidden="false" customHeight="true" outlineLevel="0" collapsed="false">
      <c r="A3149" s="8" t="s">
        <v>1078</v>
      </c>
      <c r="B3149" s="8" t="s">
        <v>156</v>
      </c>
      <c r="C3149" s="19" t="n">
        <v>12</v>
      </c>
      <c r="D3149" s="19" t="n">
        <v>524.8</v>
      </c>
      <c r="E3149" s="19" t="n">
        <v>6</v>
      </c>
      <c r="F3149" s="19" t="n">
        <v>238.5</v>
      </c>
      <c r="G3149" s="8" t="str">
        <f aca="false">IFERROR(INDEX('TRANS'!$B:$B,MATCH($B3149,'TRANS'!$A:$A,0)),IFERROR(INDEX('TRANS'!$B:$B,MATCH(TRIM(SUBSTITUTE($B3149,CHAR(160)," ")),'TRANS'!$D:$D,0)),IFERROR(INDEX('Catalog'!$A:$A,MATCH($B3149,'Catalog'!$B:$B,0)),IFERROR(INDEX('Catalog'!$A:$A,MATCH(TRIM(SUBSTITUTE($B3149,CHAR(160)," ")),'Catalog'!$C:$C,0)),""))))</f>
        <v/>
      </c>
      <c r="H3149" s="8" t="str">
        <f aca="false">IFERROR(INDEX('TRANS'!$C:$C,MATCH($B3149,'TRANS'!$A:$A,0)),IFERROR(INDEX('Catalog'!$B:$B,MATCH($G3149,'Catalog'!$A:$A,0)),$B3149))</f>
        <v>11EU S</v>
      </c>
      <c r="I3149" s="8" t="str">
        <f aca="false">IF($G3149="","Unmatched","Matched")</f>
        <v>Unmatched</v>
      </c>
      <c r="J3149" s="8" t="str">
        <f aca="false">IF($G3149&lt;&gt;"",$G3149,$B3149)</f>
        <v>11EU S</v>
      </c>
      <c r="K3149" s="8" t="str">
        <f aca="false">IF(COUNTIF($M$1:$M$10,$A3149)&gt;0,"Y","N")</f>
        <v>N</v>
      </c>
    </row>
    <row r="3150" customFormat="false" ht="15" hidden="false" customHeight="true" outlineLevel="0" collapsed="false">
      <c r="A3150" s="8" t="s">
        <v>1078</v>
      </c>
      <c r="B3150" s="8" t="s">
        <v>778</v>
      </c>
      <c r="C3150" s="19" t="n">
        <v>40</v>
      </c>
      <c r="D3150" s="19" t="n">
        <v>1764.75</v>
      </c>
      <c r="E3150" s="19" t="n">
        <v>5</v>
      </c>
      <c r="F3150" s="19" t="n">
        <v>198.75</v>
      </c>
      <c r="G3150" s="8" t="n">
        <f aca="false">IFERROR(INDEX('TRANS'!$B:$B,MATCH($B3150,'TRANS'!$A:$A,0)),IFERROR(INDEX('TRANS'!$B:$B,MATCH(TRIM(SUBSTITUTE($B3150,CHAR(160)," ")),'TRANS'!$D:$D,0)),IFERROR(INDEX('Catalog'!$A:$A,MATCH($B3150,'Catalog'!$B:$B,0)),IFERROR(INDEX('Catalog'!$A:$A,MATCH(TRIM(SUBSTITUTE($B3150,CHAR(160)," ")),'Catalog'!$C:$C,0)),""))))</f>
        <v>4408116</v>
      </c>
      <c r="H3150" s="8" t="str">
        <f aca="false">IFERROR(INDEX('TRANS'!$C:$C,MATCH($B3150,'TRANS'!$A:$A,0)),IFERROR(INDEX('Catalog'!$B:$B,MATCH($G3150,'Catalog'!$A:$A,0)),$B3150))</f>
        <v>11EU XLח.בטן לאחר ניתוח</v>
      </c>
      <c r="I3150" s="8" t="str">
        <f aca="false">IF($G3150="","Unmatched","Matched")</f>
        <v>Matched</v>
      </c>
      <c r="J3150" s="8" t="n">
        <f aca="false">IF($G3150&lt;&gt;"",$G3150,$B3150)</f>
        <v>4408116</v>
      </c>
      <c r="K3150" s="8" t="str">
        <f aca="false">IF(COUNTIF($M$1:$M$10,$A3150)&gt;0,"Y","N")</f>
        <v>N</v>
      </c>
    </row>
    <row r="3151" customFormat="false" ht="15" hidden="false" customHeight="true" outlineLevel="0" collapsed="false">
      <c r="A3151" s="8" t="s">
        <v>1078</v>
      </c>
      <c r="B3151" s="8" t="s">
        <v>856</v>
      </c>
      <c r="C3151" s="19" t="n">
        <v>26</v>
      </c>
      <c r="D3151" s="19" t="n">
        <v>1145.86</v>
      </c>
      <c r="E3151" s="19" t="n">
        <v>5</v>
      </c>
      <c r="F3151" s="19" t="n">
        <v>198.75</v>
      </c>
      <c r="G3151" s="8" t="n">
        <f aca="false">IFERROR(INDEX('TRANS'!$B:$B,MATCH($B3151,'TRANS'!$A:$A,0)),IFERROR(INDEX('TRANS'!$B:$B,MATCH(TRIM(SUBSTITUTE($B3151,CHAR(160)," ")),'TRANS'!$D:$D,0)),IFERROR(INDEX('Catalog'!$A:$A,MATCH($B3151,'Catalog'!$B:$B,0)),IFERROR(INDEX('Catalog'!$A:$A,MATCH(TRIM(SUBSTITUTE($B3151,CHAR(160)," ")),'Catalog'!$C:$C,0)),""))))</f>
        <v>4408132</v>
      </c>
      <c r="H3151" s="8" t="str">
        <f aca="false">IFERROR(INDEX('TRANS'!$C:$C,MATCH($B3151,'TRANS'!$A:$A,0)),IFERROR(INDEX('Catalog'!$B:$B,MATCH($G3151,'Catalog'!$A:$A,0)),$B3151))</f>
        <v>11EU XXL חגורת בטןלאחר ניתוח</v>
      </c>
      <c r="I3151" s="8" t="str">
        <f aca="false">IF($G3151="","Unmatched","Matched")</f>
        <v>Matched</v>
      </c>
      <c r="J3151" s="8" t="n">
        <f aca="false">IF($G3151&lt;&gt;"",$G3151,$B3151)</f>
        <v>4408132</v>
      </c>
      <c r="K3151" s="8" t="str">
        <f aca="false">IF(COUNTIF($M$1:$M$10,$A3151)&gt;0,"Y","N")</f>
        <v>N</v>
      </c>
    </row>
    <row r="3152" customFormat="false" ht="15" hidden="false" customHeight="true" outlineLevel="0" collapsed="false">
      <c r="A3152" s="8" t="s">
        <v>1078</v>
      </c>
      <c r="B3152" s="8" t="s">
        <v>970</v>
      </c>
      <c r="C3152" s="19" t="n">
        <v>60</v>
      </c>
      <c r="D3152" s="19" t="n">
        <v>925.58</v>
      </c>
      <c r="E3152" s="19" t="n">
        <v>80</v>
      </c>
      <c r="F3152" s="19" t="n">
        <v>1088.06</v>
      </c>
      <c r="G3152" s="8" t="n">
        <f aca="false">IFERROR(INDEX('TRANS'!$B:$B,MATCH($B3152,'TRANS'!$A:$A,0)),IFERROR(INDEX('TRANS'!$B:$B,MATCH(TRIM(SUBSTITUTE($B3152,CHAR(160)," ")),'TRANS'!$D:$D,0)),IFERROR(INDEX('Catalog'!$A:$A,MATCH($B3152,'Catalog'!$B:$B,0)),IFERROR(INDEX('Catalog'!$A:$A,MATCH(TRIM(SUBSTITUTE($B3152,CHAR(160)," ")),'Catalog'!$C:$C,0)),""))))</f>
        <v>4408046</v>
      </c>
      <c r="H3152" s="8" t="str">
        <f aca="false">IFERROR(INDEX('TRANS'!$C:$C,MATCH($B3152,'TRANS'!$A:$A,0)),IFERROR(INDEX('Catalog'!$B:$B,MATCH($G3152,'Catalog'!$A:$A,0)),$B3152))</f>
        <v>20 L חבק יד מתכוון עם צמדן</v>
      </c>
      <c r="I3152" s="8" t="str">
        <f aca="false">IF($G3152="","Unmatched","Matched")</f>
        <v>Matched</v>
      </c>
      <c r="J3152" s="8" t="n">
        <f aca="false">IF($G3152&lt;&gt;"",$G3152,$B3152)</f>
        <v>4408046</v>
      </c>
      <c r="K3152" s="8" t="str">
        <f aca="false">IF(COUNTIF($M$1:$M$10,$A3152)&gt;0,"Y","N")</f>
        <v>N</v>
      </c>
    </row>
    <row r="3153" customFormat="false" ht="15" hidden="false" customHeight="true" outlineLevel="0" collapsed="false">
      <c r="A3153" s="8" t="s">
        <v>1078</v>
      </c>
      <c r="B3153" s="8" t="s">
        <v>939</v>
      </c>
      <c r="C3153" s="19" t="n">
        <v>70</v>
      </c>
      <c r="D3153" s="19" t="n">
        <v>1087.06</v>
      </c>
      <c r="E3153" s="19" t="n">
        <v>110</v>
      </c>
      <c r="F3153" s="19" t="n">
        <v>1512.81</v>
      </c>
      <c r="G3153" s="8" t="n">
        <f aca="false">IFERROR(INDEX('TRANS'!$B:$B,MATCH($B3153,'TRANS'!$A:$A,0)),IFERROR(INDEX('TRANS'!$B:$B,MATCH(TRIM(SUBSTITUTE($B3153,CHAR(160)," ")),'TRANS'!$D:$D,0)),IFERROR(INDEX('Catalog'!$A:$A,MATCH($B3153,'Catalog'!$B:$B,0)),IFERROR(INDEX('Catalog'!$A:$A,MATCH(TRIM(SUBSTITUTE($B3153,CHAR(160)," ")),'Catalog'!$C:$C,0)),""))))</f>
        <v>4408047</v>
      </c>
      <c r="H3153" s="8" t="str">
        <f aca="false">IFERROR(INDEX('TRANS'!$C:$C,MATCH($B3153,'TRANS'!$A:$A,0)),IFERROR(INDEX('Catalog'!$B:$B,MATCH($G3153,'Catalog'!$A:$A,0)),$B3153))</f>
        <v>20 M חבק יד מתכוון עם צמדן</v>
      </c>
      <c r="I3153" s="8" t="str">
        <f aca="false">IF($G3153="","Unmatched","Matched")</f>
        <v>Matched</v>
      </c>
      <c r="J3153" s="8" t="n">
        <f aca="false">IF($G3153&lt;&gt;"",$G3153,$B3153)</f>
        <v>4408047</v>
      </c>
      <c r="K3153" s="8" t="str">
        <f aca="false">IF(COUNTIF($M$1:$M$10,$A3153)&gt;0,"Y","N")</f>
        <v>N</v>
      </c>
    </row>
    <row r="3154" customFormat="false" ht="15" hidden="false" customHeight="true" outlineLevel="0" collapsed="false">
      <c r="A3154" s="8" t="s">
        <v>1078</v>
      </c>
      <c r="B3154" s="8" t="s">
        <v>940</v>
      </c>
      <c r="C3154" s="19" t="n">
        <v>36</v>
      </c>
      <c r="D3154" s="19" t="n">
        <v>569.47</v>
      </c>
      <c r="E3154" s="19" t="n">
        <v>72</v>
      </c>
      <c r="F3154" s="19" t="n">
        <v>987.74</v>
      </c>
      <c r="G3154" s="8" t="n">
        <f aca="false">IFERROR(INDEX('TRANS'!$B:$B,MATCH($B3154,'TRANS'!$A:$A,0)),IFERROR(INDEX('TRANS'!$B:$B,MATCH(TRIM(SUBSTITUTE($B3154,CHAR(160)," ")),'TRANS'!$D:$D,0)),IFERROR(INDEX('Catalog'!$A:$A,MATCH($B3154,'Catalog'!$B:$B,0)),IFERROR(INDEX('Catalog'!$A:$A,MATCH(TRIM(SUBSTITUTE($B3154,CHAR(160)," ")),'Catalog'!$C:$C,0)),""))))</f>
        <v>4408048</v>
      </c>
      <c r="H3154" s="8" t="str">
        <f aca="false">IFERROR(INDEX('TRANS'!$C:$C,MATCH($B3154,'TRANS'!$A:$A,0)),IFERROR(INDEX('Catalog'!$B:$B,MATCH($G3154,'Catalog'!$A:$A,0)),$B3154))</f>
        <v>20 S חבק יד מתכוון עם צמדן</v>
      </c>
      <c r="I3154" s="8" t="str">
        <f aca="false">IF($G3154="","Unmatched","Matched")</f>
        <v>Matched</v>
      </c>
      <c r="J3154" s="8" t="n">
        <f aca="false">IF($G3154&lt;&gt;"",$G3154,$B3154)</f>
        <v>4408048</v>
      </c>
      <c r="K3154" s="8" t="str">
        <f aca="false">IF(COUNTIF($M$1:$M$10,$A3154)&gt;0,"Y","N")</f>
        <v>N</v>
      </c>
    </row>
    <row r="3155" customFormat="false" ht="15" hidden="false" customHeight="true" outlineLevel="0" collapsed="false">
      <c r="A3155" s="8" t="s">
        <v>1078</v>
      </c>
      <c r="B3155" s="8" t="s">
        <v>908</v>
      </c>
      <c r="C3155" s="19" t="n">
        <v>20</v>
      </c>
      <c r="D3155" s="19" t="n">
        <v>302.18</v>
      </c>
      <c r="E3155" s="19" t="n">
        <v>6</v>
      </c>
      <c r="F3155" s="19" t="n">
        <v>86.56</v>
      </c>
      <c r="G3155" s="8" t="n">
        <f aca="false">IFERROR(INDEX('TRANS'!$B:$B,MATCH($B3155,'TRANS'!$A:$A,0)),IFERROR(INDEX('TRANS'!$B:$B,MATCH(TRIM(SUBSTITUTE($B3155,CHAR(160)," ")),'TRANS'!$D:$D,0)),IFERROR(INDEX('Catalog'!$A:$A,MATCH($B3155,'Catalog'!$B:$B,0)),IFERROR(INDEX('Catalog'!$A:$A,MATCH(TRIM(SUBSTITUTE($B3155,CHAR(160)," ")),'Catalog'!$C:$C,0)),""))))</f>
        <v>4408049</v>
      </c>
      <c r="H3155" s="8" t="str">
        <f aca="false">IFERROR(INDEX('TRANS'!$C:$C,MATCH($B3155,'TRANS'!$A:$A,0)),IFERROR(INDEX('Catalog'!$B:$B,MATCH($G3155,'Catalog'!$A:$A,0)),$B3155))</f>
        <v>20 XL חבק יד מתכוון עם צמדן</v>
      </c>
      <c r="I3155" s="8" t="str">
        <f aca="false">IF($G3155="","Unmatched","Matched")</f>
        <v>Matched</v>
      </c>
      <c r="J3155" s="8" t="n">
        <f aca="false">IF($G3155&lt;&gt;"",$G3155,$B3155)</f>
        <v>4408049</v>
      </c>
      <c r="K3155" s="8" t="str">
        <f aca="false">IF(COUNTIF($M$1:$M$10,$A3155)&gt;0,"Y","N")</f>
        <v>N</v>
      </c>
    </row>
    <row r="3156" customFormat="false" ht="15" hidden="false" customHeight="true" outlineLevel="0" collapsed="false">
      <c r="A3156" s="8" t="s">
        <v>1078</v>
      </c>
      <c r="B3156" s="8" t="s">
        <v>859</v>
      </c>
      <c r="C3156" s="19" t="n">
        <v>0</v>
      </c>
      <c r="D3156" s="19" t="n">
        <v>0</v>
      </c>
      <c r="E3156" s="19" t="n">
        <v>1</v>
      </c>
      <c r="F3156" s="19" t="n">
        <v>0.03</v>
      </c>
      <c r="G3156" s="8" t="n">
        <f aca="false">IFERROR(INDEX('TRANS'!$B:$B,MATCH($B3156,'TRANS'!$A:$A,0)),IFERROR(INDEX('TRANS'!$B:$B,MATCH(TRIM(SUBSTITUTE($B3156,CHAR(160)," ")),'TRANS'!$D:$D,0)),IFERROR(INDEX('Catalog'!$A:$A,MATCH($B3156,'Catalog'!$B:$B,0)),IFERROR(INDEX('Catalog'!$A:$A,MATCH(TRIM(SUBSTITUTE($B3156,CHAR(160)," ")),'Catalog'!$C:$C,0)),""))))</f>
        <v>4408275</v>
      </c>
      <c r="H3156" s="8" t="str">
        <f aca="false">IFERROR(INDEX('TRANS'!$C:$C,MATCH($B3156,'TRANS'!$A:$A,0)),IFERROR(INDEX('Catalog'!$B:$B,MATCH($G3156,'Catalog'!$A:$A,0)),$B3156))</f>
        <v>202  ONE SIZE חבק יד</v>
      </c>
      <c r="I3156" s="8" t="str">
        <f aca="false">IF($G3156="","Unmatched","Matched")</f>
        <v>Matched</v>
      </c>
      <c r="J3156" s="8" t="n">
        <f aca="false">IF($G3156&lt;&gt;"",$G3156,$B3156)</f>
        <v>4408275</v>
      </c>
      <c r="K3156" s="8" t="str">
        <f aca="false">IF(COUNTIF($M$1:$M$10,$A3156)&gt;0,"Y","N")</f>
        <v>N</v>
      </c>
    </row>
    <row r="3157" customFormat="false" ht="15" hidden="false" customHeight="true" outlineLevel="0" collapsed="false">
      <c r="A3157" s="8" t="s">
        <v>1078</v>
      </c>
      <c r="B3157" s="8" t="s">
        <v>783</v>
      </c>
      <c r="C3157" s="19" t="n">
        <v>160</v>
      </c>
      <c r="D3157" s="19" t="n">
        <v>2583.89</v>
      </c>
      <c r="E3157" s="19" t="n">
        <v>150</v>
      </c>
      <c r="F3157" s="19" t="n">
        <v>2150.27</v>
      </c>
      <c r="G3157" s="8" t="n">
        <f aca="false">IFERROR(INDEX('TRANS'!$B:$B,MATCH($B3157,'TRANS'!$A:$A,0)),IFERROR(INDEX('TRANS'!$B:$B,MATCH(TRIM(SUBSTITUTE($B3157,CHAR(160)," ")),'TRANS'!$D:$D,0)),IFERROR(INDEX('Catalog'!$A:$A,MATCH($B3157,'Catalog'!$B:$B,0)),IFERROR(INDEX('Catalog'!$A:$A,MATCH(TRIM(SUBSTITUTE($B3157,CHAR(160)," ")),'Catalog'!$C:$C,0)),""))))</f>
        <v>4408052</v>
      </c>
      <c r="H3157" s="8" t="str">
        <f aca="false">IFERROR(INDEX('TRANS'!$C:$C,MATCH($B3157,'TRANS'!$A:$A,0)),IFERROR(INDEX('Catalog'!$B:$B,MATCH($G3157,'Catalog'!$A:$A,0)),$B3157))</f>
        <v>21 L  חבק יד ארוך</v>
      </c>
      <c r="I3157" s="8" t="str">
        <f aca="false">IF($G3157="","Unmatched","Matched")</f>
        <v>Matched</v>
      </c>
      <c r="J3157" s="8" t="n">
        <f aca="false">IF($G3157&lt;&gt;"",$G3157,$B3157)</f>
        <v>4408052</v>
      </c>
      <c r="K3157" s="8" t="str">
        <f aca="false">IF(COUNTIF($M$1:$M$10,$A3157)&gt;0,"Y","N")</f>
        <v>N</v>
      </c>
    </row>
    <row r="3158" customFormat="false" ht="15" hidden="false" customHeight="true" outlineLevel="0" collapsed="false">
      <c r="A3158" s="8" t="s">
        <v>1078</v>
      </c>
      <c r="B3158" s="8" t="s">
        <v>576</v>
      </c>
      <c r="C3158" s="19" t="n">
        <v>210</v>
      </c>
      <c r="D3158" s="19" t="n">
        <v>3379.54</v>
      </c>
      <c r="E3158" s="19" t="n">
        <v>240</v>
      </c>
      <c r="F3158" s="19" t="n">
        <v>3470.39</v>
      </c>
      <c r="G3158" s="8" t="n">
        <f aca="false">IFERROR(INDEX('TRANS'!$B:$B,MATCH($B3158,'TRANS'!$A:$A,0)),IFERROR(INDEX('TRANS'!$B:$B,MATCH(TRIM(SUBSTITUTE($B3158,CHAR(160)," ")),'TRANS'!$D:$D,0)),IFERROR(INDEX('Catalog'!$A:$A,MATCH($B3158,'Catalog'!$B:$B,0)),IFERROR(INDEX('Catalog'!$A:$A,MATCH(TRIM(SUBSTITUTE($B3158,CHAR(160)," ")),'Catalog'!$C:$C,0)),""))))</f>
        <v>4408053</v>
      </c>
      <c r="H3158" s="8" t="str">
        <f aca="false">IFERROR(INDEX('TRANS'!$C:$C,MATCH($B3158,'TRANS'!$A:$A,0)),IFERROR(INDEX('Catalog'!$B:$B,MATCH($G3158,'Catalog'!$A:$A,0)),$B3158))</f>
        <v>21 M  חבק יד ארוך</v>
      </c>
      <c r="I3158" s="8" t="str">
        <f aca="false">IF($G3158="","Unmatched","Matched")</f>
        <v>Matched</v>
      </c>
      <c r="J3158" s="8" t="n">
        <f aca="false">IF($G3158&lt;&gt;"",$G3158,$B3158)</f>
        <v>4408053</v>
      </c>
      <c r="K3158" s="8" t="str">
        <f aca="false">IF(COUNTIF($M$1:$M$10,$A3158)&gt;0,"Y","N")</f>
        <v>N</v>
      </c>
    </row>
    <row r="3159" customFormat="false" ht="15" hidden="false" customHeight="true" outlineLevel="0" collapsed="false">
      <c r="A3159" s="8" t="s">
        <v>1078</v>
      </c>
      <c r="B3159" s="8" t="s">
        <v>784</v>
      </c>
      <c r="C3159" s="19" t="n">
        <v>95</v>
      </c>
      <c r="D3159" s="19" t="n">
        <v>1530.75</v>
      </c>
      <c r="E3159" s="19" t="n">
        <v>100</v>
      </c>
      <c r="F3159" s="19" t="n">
        <v>1428.92</v>
      </c>
      <c r="G3159" s="8" t="n">
        <f aca="false">IFERROR(INDEX('TRANS'!$B:$B,MATCH($B3159,'TRANS'!$A:$A,0)),IFERROR(INDEX('TRANS'!$B:$B,MATCH(TRIM(SUBSTITUTE($B3159,CHAR(160)," ")),'TRANS'!$D:$D,0)),IFERROR(INDEX('Catalog'!$A:$A,MATCH($B3159,'Catalog'!$B:$B,0)),IFERROR(INDEX('Catalog'!$A:$A,MATCH(TRIM(SUBSTITUTE($B3159,CHAR(160)," ")),'Catalog'!$C:$C,0)),""))))</f>
        <v>4408051</v>
      </c>
      <c r="H3159" s="8" t="str">
        <f aca="false">IFERROR(INDEX('TRANS'!$C:$C,MATCH($B3159,'TRANS'!$A:$A,0)),IFERROR(INDEX('Catalog'!$B:$B,MATCH($G3159,'Catalog'!$A:$A,0)),$B3159))</f>
        <v>21 S  חבק יד ארוך</v>
      </c>
      <c r="I3159" s="8" t="str">
        <f aca="false">IF($G3159="","Unmatched","Matched")</f>
        <v>Matched</v>
      </c>
      <c r="J3159" s="8" t="n">
        <f aca="false">IF($G3159&lt;&gt;"",$G3159,$B3159)</f>
        <v>4408051</v>
      </c>
      <c r="K3159" s="8" t="str">
        <f aca="false">IF(COUNTIF($M$1:$M$10,$A3159)&gt;0,"Y","N")</f>
        <v>N</v>
      </c>
    </row>
    <row r="3160" customFormat="false" ht="15" hidden="false" customHeight="true" outlineLevel="0" collapsed="false">
      <c r="A3160" s="8" t="s">
        <v>1078</v>
      </c>
      <c r="B3160" s="8" t="s">
        <v>785</v>
      </c>
      <c r="C3160" s="19" t="n">
        <v>30</v>
      </c>
      <c r="D3160" s="19" t="n">
        <v>478.33</v>
      </c>
      <c r="E3160" s="19" t="n">
        <v>16</v>
      </c>
      <c r="F3160" s="19" t="n">
        <v>239.31</v>
      </c>
      <c r="G3160" s="8" t="n">
        <f aca="false">IFERROR(INDEX('TRANS'!$B:$B,MATCH($B3160,'TRANS'!$A:$A,0)),IFERROR(INDEX('TRANS'!$B:$B,MATCH(TRIM(SUBSTITUTE($B3160,CHAR(160)," ")),'TRANS'!$D:$D,0)),IFERROR(INDEX('Catalog'!$A:$A,MATCH($B3160,'Catalog'!$B:$B,0)),IFERROR(INDEX('Catalog'!$A:$A,MATCH(TRIM(SUBSTITUTE($B3160,CHAR(160)," ")),'Catalog'!$C:$C,0)),""))))</f>
        <v>4408054</v>
      </c>
      <c r="H3160" s="8" t="str">
        <f aca="false">IFERROR(INDEX('TRANS'!$C:$C,MATCH($B3160,'TRANS'!$A:$A,0)),IFERROR(INDEX('Catalog'!$B:$B,MATCH($G3160,'Catalog'!$A:$A,0)),$B3160))</f>
        <v>21 XL חבק יד ארוך</v>
      </c>
      <c r="I3160" s="8" t="str">
        <f aca="false">IF($G3160="","Unmatched","Matched")</f>
        <v>Matched</v>
      </c>
      <c r="J3160" s="8" t="n">
        <f aca="false">IF($G3160&lt;&gt;"",$G3160,$B3160)</f>
        <v>4408054</v>
      </c>
      <c r="K3160" s="8" t="str">
        <f aca="false">IF(COUNTIF($M$1:$M$10,$A3160)&gt;0,"Y","N")</f>
        <v>N</v>
      </c>
    </row>
    <row r="3161" customFormat="false" ht="15" hidden="false" customHeight="true" outlineLevel="0" collapsed="false">
      <c r="A3161" s="8" t="s">
        <v>1078</v>
      </c>
      <c r="B3161" s="8" t="s">
        <v>861</v>
      </c>
      <c r="C3161" s="19" t="n">
        <v>0</v>
      </c>
      <c r="D3161" s="19" t="n">
        <v>0</v>
      </c>
      <c r="E3161" s="19" t="n">
        <v>1</v>
      </c>
      <c r="F3161" s="19" t="n">
        <v>0.03</v>
      </c>
      <c r="G3161" s="8" t="n">
        <f aca="false">IFERROR(INDEX('TRANS'!$B:$B,MATCH($B3161,'TRANS'!$A:$A,0)),IFERROR(INDEX('TRANS'!$B:$B,MATCH(TRIM(SUBSTITUTE($B3161,CHAR(160)," ")),'TRANS'!$D:$D,0)),IFERROR(INDEX('Catalog'!$A:$A,MATCH($B3161,'Catalog'!$B:$B,0)),IFERROR(INDEX('Catalog'!$A:$A,MATCH(TRIM(SUBSTITUTE($B3161,CHAR(160)," ")),'Catalog'!$C:$C,0)),""))))</f>
        <v>4411027</v>
      </c>
      <c r="H3161" s="8" t="str">
        <f aca="false">IFERROR(INDEX('TRANS'!$C:$C,MATCH($B3161,'TRANS'!$A:$A,0)),IFERROR(INDEX('Catalog'!$B:$B,MATCH($G3161,'Catalog'!$A:$A,0)),$B3161))</f>
        <v>213CTSL M שמאל CTS כפפות</v>
      </c>
      <c r="I3161" s="8" t="str">
        <f aca="false">IF($G3161="","Unmatched","Matched")</f>
        <v>Matched</v>
      </c>
      <c r="J3161" s="8" t="n">
        <f aca="false">IF($G3161&lt;&gt;"",$G3161,$B3161)</f>
        <v>4411027</v>
      </c>
      <c r="K3161" s="8" t="str">
        <f aca="false">IF(COUNTIF($M$1:$M$10,$A3161)&gt;0,"Y","N")</f>
        <v>N</v>
      </c>
    </row>
    <row r="3162" customFormat="false" ht="15" hidden="false" customHeight="true" outlineLevel="0" collapsed="false">
      <c r="A3162" s="8" t="s">
        <v>1078</v>
      </c>
      <c r="B3162" s="8" t="s">
        <v>864</v>
      </c>
      <c r="C3162" s="19" t="n">
        <v>0</v>
      </c>
      <c r="D3162" s="19" t="n">
        <v>0</v>
      </c>
      <c r="E3162" s="19" t="n">
        <v>1</v>
      </c>
      <c r="F3162" s="19" t="n">
        <v>0.03</v>
      </c>
      <c r="G3162" s="8" t="n">
        <f aca="false">IFERROR(INDEX('TRANS'!$B:$B,MATCH($B3162,'TRANS'!$A:$A,0)),IFERROR(INDEX('TRANS'!$B:$B,MATCH(TRIM(SUBSTITUTE($B3162,CHAR(160)," ")),'TRANS'!$D:$D,0)),IFERROR(INDEX('Catalog'!$A:$A,MATCH($B3162,'Catalog'!$B:$B,0)),IFERROR(INDEX('Catalog'!$A:$A,MATCH(TRIM(SUBSTITUTE($B3162,CHAR(160)," ")),'Catalog'!$C:$C,0)),""))))</f>
        <v>4411030</v>
      </c>
      <c r="H3162" s="8" t="str">
        <f aca="false">IFERROR(INDEX('TRANS'!$C:$C,MATCH($B3162,'TRANS'!$A:$A,0)),IFERROR(INDEX('Catalog'!$B:$B,MATCH($G3162,'Catalog'!$A:$A,0)),$B3162))</f>
        <v>213CTSR M ימין CTS כפפות</v>
      </c>
      <c r="I3162" s="8" t="str">
        <f aca="false">IF($G3162="","Unmatched","Matched")</f>
        <v>Matched</v>
      </c>
      <c r="J3162" s="8" t="n">
        <f aca="false">IF($G3162&lt;&gt;"",$G3162,$B3162)</f>
        <v>4411030</v>
      </c>
      <c r="K3162" s="8" t="str">
        <f aca="false">IF(COUNTIF($M$1:$M$10,$A3162)&gt;0,"Y","N")</f>
        <v>N</v>
      </c>
    </row>
    <row r="3163" customFormat="false" ht="15" hidden="false" customHeight="true" outlineLevel="0" collapsed="false">
      <c r="A3163" s="8" t="s">
        <v>1078</v>
      </c>
      <c r="B3163" s="8" t="s">
        <v>583</v>
      </c>
      <c r="C3163" s="19" t="n">
        <v>150</v>
      </c>
      <c r="D3163" s="19" t="n">
        <v>2045.29</v>
      </c>
      <c r="E3163" s="19" t="n">
        <v>75</v>
      </c>
      <c r="F3163" s="19" t="n">
        <v>923.02</v>
      </c>
      <c r="G3163" s="8" t="n">
        <f aca="false">IFERROR(INDEX('TRANS'!$B:$B,MATCH($B3163,'TRANS'!$A:$A,0)),IFERROR(INDEX('TRANS'!$B:$B,MATCH(TRIM(SUBSTITUTE($B3163,CHAR(160)," ")),'TRANS'!$D:$D,0)),IFERROR(INDEX('Catalog'!$A:$A,MATCH($B3163,'Catalog'!$B:$B,0)),IFERROR(INDEX('Catalog'!$A:$A,MATCH(TRIM(SUBSTITUTE($B3163,CHAR(160)," ")),'Catalog'!$C:$C,0)),""))))</f>
        <v>4415029</v>
      </c>
      <c r="H3163" s="8" t="str">
        <f aca="false">IFERROR(INDEX('TRANS'!$C:$C,MATCH($B3163,'TRANS'!$A:$A,0)),IFERROR(INDEX('Catalog'!$B:$B,MATCH($G3163,'Catalog'!$A:$A,0)),$B3163))</f>
        <v>סד קיבוע לאצבע הדק</v>
      </c>
      <c r="I3163" s="8" t="str">
        <f aca="false">IF($G3163="","Unmatched","Matched")</f>
        <v>Matched</v>
      </c>
      <c r="J3163" s="8" t="n">
        <f aca="false">IF($G3163&lt;&gt;"",$G3163,$B3163)</f>
        <v>4415029</v>
      </c>
      <c r="K3163" s="8" t="str">
        <f aca="false">IF(COUNTIF($M$1:$M$10,$A3163)&gt;0,"Y","N")</f>
        <v>N</v>
      </c>
    </row>
    <row r="3164" customFormat="false" ht="15" hidden="false" customHeight="true" outlineLevel="0" collapsed="false">
      <c r="A3164" s="8" t="s">
        <v>1078</v>
      </c>
      <c r="B3164" s="8" t="s">
        <v>584</v>
      </c>
      <c r="C3164" s="19" t="n">
        <v>440</v>
      </c>
      <c r="D3164" s="19" t="n">
        <v>3720.57</v>
      </c>
      <c r="E3164" s="19" t="n">
        <v>400</v>
      </c>
      <c r="F3164" s="19" t="n">
        <v>3036.38</v>
      </c>
      <c r="G3164" s="8" t="n">
        <f aca="false">IFERROR(INDEX('TRANS'!$B:$B,MATCH($B3164,'TRANS'!$A:$A,0)),IFERROR(INDEX('TRANS'!$B:$B,MATCH(TRIM(SUBSTITUTE($B3164,CHAR(160)," ")),'TRANS'!$D:$D,0)),IFERROR(INDEX('Catalog'!$A:$A,MATCH($B3164,'Catalog'!$B:$B,0)),IFERROR(INDEX('Catalog'!$A:$A,MATCH(TRIM(SUBSTITUTE($B3164,CHAR(160)," ")),'Catalog'!$C:$C,0)),""))))</f>
        <v>4415162</v>
      </c>
      <c r="H3164" s="8" t="str">
        <f aca="false">IFERROR(INDEX('TRANS'!$C:$C,MATCH($B3164,'TRANS'!$A:$A,0)),IFERROR(INDEX('Catalog'!$B:$B,MATCH($G3164,'Catalog'!$A:$A,0)),$B3164))</f>
        <v>238L סד ליישור אצבע</v>
      </c>
      <c r="I3164" s="8" t="str">
        <f aca="false">IF($G3164="","Unmatched","Matched")</f>
        <v>Matched</v>
      </c>
      <c r="J3164" s="8" t="n">
        <f aca="false">IF($G3164&lt;&gt;"",$G3164,$B3164)</f>
        <v>4415162</v>
      </c>
      <c r="K3164" s="8" t="str">
        <f aca="false">IF(COUNTIF($M$1:$M$10,$A3164)&gt;0,"Y","N")</f>
        <v>N</v>
      </c>
    </row>
    <row r="3165" customFormat="false" ht="15" hidden="false" customHeight="true" outlineLevel="0" collapsed="false">
      <c r="A3165" s="8" t="s">
        <v>1078</v>
      </c>
      <c r="B3165" s="8" t="s">
        <v>926</v>
      </c>
      <c r="C3165" s="19" t="n">
        <v>550</v>
      </c>
      <c r="D3165" s="19" t="n">
        <v>4642.59</v>
      </c>
      <c r="E3165" s="19" t="n">
        <v>430</v>
      </c>
      <c r="F3165" s="19" t="n">
        <v>3256.42</v>
      </c>
      <c r="G3165" s="8" t="n">
        <f aca="false">IFERROR(INDEX('TRANS'!$B:$B,MATCH($B3165,'TRANS'!$A:$A,0)),IFERROR(INDEX('TRANS'!$B:$B,MATCH(TRIM(SUBSTITUTE($B3165,CHAR(160)," ")),'TRANS'!$D:$D,0)),IFERROR(INDEX('Catalog'!$A:$A,MATCH($B3165,'Catalog'!$B:$B,0)),IFERROR(INDEX('Catalog'!$A:$A,MATCH(TRIM(SUBSTITUTE($B3165,CHAR(160)," ")),'Catalog'!$C:$C,0)),""))))</f>
        <v>4415161</v>
      </c>
      <c r="H3165" s="8" t="str">
        <f aca="false">IFERROR(INDEX('TRANS'!$C:$C,MATCH($B3165,'TRANS'!$A:$A,0)),IFERROR(INDEX('Catalog'!$B:$B,MATCH($G3165,'Catalog'!$A:$A,0)),$B3165))</f>
        <v>238M סד ליישור אצבע</v>
      </c>
      <c r="I3165" s="8" t="str">
        <f aca="false">IF($G3165="","Unmatched","Matched")</f>
        <v>Matched</v>
      </c>
      <c r="J3165" s="8" t="n">
        <f aca="false">IF($G3165&lt;&gt;"",$G3165,$B3165)</f>
        <v>4415161</v>
      </c>
      <c r="K3165" s="8" t="str">
        <f aca="false">IF(COUNTIF($M$1:$M$10,$A3165)&gt;0,"Y","N")</f>
        <v>N</v>
      </c>
    </row>
    <row r="3166" customFormat="false" ht="15" hidden="false" customHeight="true" outlineLevel="0" collapsed="false">
      <c r="A3166" s="8" t="s">
        <v>1078</v>
      </c>
      <c r="B3166" s="8" t="s">
        <v>585</v>
      </c>
      <c r="C3166" s="19" t="n">
        <v>380</v>
      </c>
      <c r="D3166" s="19" t="n">
        <v>3214.37</v>
      </c>
      <c r="E3166" s="19" t="n">
        <v>260</v>
      </c>
      <c r="F3166" s="19" t="n">
        <v>1967.67</v>
      </c>
      <c r="G3166" s="8" t="n">
        <f aca="false">IFERROR(INDEX('TRANS'!$B:$B,MATCH($B3166,'TRANS'!$A:$A,0)),IFERROR(INDEX('TRANS'!$B:$B,MATCH(TRIM(SUBSTITUTE($B3166,CHAR(160)," ")),'TRANS'!$D:$D,0)),IFERROR(INDEX('Catalog'!$A:$A,MATCH($B3166,'Catalog'!$B:$B,0)),IFERROR(INDEX('Catalog'!$A:$A,MATCH(TRIM(SUBSTITUTE($B3166,CHAR(160)," ")),'Catalog'!$C:$C,0)),""))))</f>
        <v>4415160</v>
      </c>
      <c r="H3166" s="8" t="str">
        <f aca="false">IFERROR(INDEX('TRANS'!$C:$C,MATCH($B3166,'TRANS'!$A:$A,0)),IFERROR(INDEX('Catalog'!$B:$B,MATCH($G3166,'Catalog'!$A:$A,0)),$B3166))</f>
        <v>238S סד ליישור אצבע</v>
      </c>
      <c r="I3166" s="8" t="str">
        <f aca="false">IF($G3166="","Unmatched","Matched")</f>
        <v>Matched</v>
      </c>
      <c r="J3166" s="8" t="n">
        <f aca="false">IF($G3166&lt;&gt;"",$G3166,$B3166)</f>
        <v>4415160</v>
      </c>
      <c r="K3166" s="8" t="str">
        <f aca="false">IF(COUNTIF($M$1:$M$10,$A3166)&gt;0,"Y","N")</f>
        <v>N</v>
      </c>
    </row>
    <row r="3167" customFormat="false" ht="15" hidden="false" customHeight="true" outlineLevel="0" collapsed="false">
      <c r="A3167" s="8" t="s">
        <v>1078</v>
      </c>
      <c r="B3167" s="8" t="s">
        <v>927</v>
      </c>
      <c r="C3167" s="19" t="n">
        <v>135</v>
      </c>
      <c r="D3167" s="19" t="n">
        <v>1140.49</v>
      </c>
      <c r="E3167" s="19" t="n">
        <v>100</v>
      </c>
      <c r="F3167" s="19" t="n">
        <v>757.71</v>
      </c>
      <c r="G3167" s="8" t="n">
        <f aca="false">IFERROR(INDEX('TRANS'!$B:$B,MATCH($B3167,'TRANS'!$A:$A,0)),IFERROR(INDEX('TRANS'!$B:$B,MATCH(TRIM(SUBSTITUTE($B3167,CHAR(160)," ")),'TRANS'!$D:$D,0)),IFERROR(INDEX('Catalog'!$A:$A,MATCH($B3167,'Catalog'!$B:$B,0)),IFERROR(INDEX('Catalog'!$A:$A,MATCH(TRIM(SUBSTITUTE($B3167,CHAR(160)," ")),'Catalog'!$C:$C,0)),""))))</f>
        <v>4415163</v>
      </c>
      <c r="H3167" s="8" t="str">
        <f aca="false">IFERROR(INDEX('TRANS'!$C:$C,MATCH($B3167,'TRANS'!$A:$A,0)),IFERROR(INDEX('Catalog'!$B:$B,MATCH($G3167,'Catalog'!$A:$A,0)),$B3167))</f>
        <v>238XL סד ליישור אצבע</v>
      </c>
      <c r="I3167" s="8" t="str">
        <f aca="false">IF($G3167="","Unmatched","Matched")</f>
        <v>Matched</v>
      </c>
      <c r="J3167" s="8" t="n">
        <f aca="false">IF($G3167&lt;&gt;"",$G3167,$B3167)</f>
        <v>4415163</v>
      </c>
      <c r="K3167" s="8" t="str">
        <f aca="false">IF(COUNTIF($M$1:$M$10,$A3167)&gt;0,"Y","N")</f>
        <v>N</v>
      </c>
    </row>
    <row r="3168" customFormat="false" ht="15" hidden="false" customHeight="true" outlineLevel="0" collapsed="false">
      <c r="A3168" s="8" t="s">
        <v>1078</v>
      </c>
      <c r="B3168" s="8" t="s">
        <v>538</v>
      </c>
      <c r="C3168" s="19" t="n">
        <v>1</v>
      </c>
      <c r="D3168" s="19" t="n">
        <v>0.04</v>
      </c>
      <c r="E3168" s="19" t="n">
        <v>0</v>
      </c>
      <c r="F3168" s="19" t="n">
        <v>0</v>
      </c>
      <c r="G3168" s="8" t="str">
        <f aca="false">IFERROR(INDEX('TRANS'!$B:$B,MATCH($B3168,'TRANS'!$A:$A,0)),IFERROR(INDEX('TRANS'!$B:$B,MATCH(TRIM(SUBSTITUTE($B3168,CHAR(160)," ")),'TRANS'!$D:$D,0)),IFERROR(INDEX('Catalog'!$A:$A,MATCH($B3168,'Catalog'!$B:$B,0)),IFERROR(INDEX('Catalog'!$A:$A,MATCH(TRIM(SUBSTITUTE($B3168,CHAR(160)," ")),'Catalog'!$C:$C,0)),""))))</f>
        <v/>
      </c>
      <c r="H3168" s="8" t="str">
        <f aca="false">IFERROR(INDEX('TRANS'!$C:$C,MATCH($B3168,'TRANS'!$A:$A,0)),IFERROR(INDEX('Catalog'!$B:$B,MATCH($G3168,'Catalog'!$A:$A,0)),$B3168))</f>
        <v>239P-S-M</v>
      </c>
      <c r="I3168" s="8" t="str">
        <f aca="false">IF($G3168="","Unmatched","Matched")</f>
        <v>Unmatched</v>
      </c>
      <c r="J3168" s="8" t="str">
        <f aca="false">IF($G3168&lt;&gt;"",$G3168,$B3168)</f>
        <v>239P-S-M</v>
      </c>
      <c r="K3168" s="8" t="str">
        <f aca="false">IF(COUNTIF($M$1:$M$10,$A3168)&gt;0,"Y","N")</f>
        <v>N</v>
      </c>
    </row>
    <row r="3169" customFormat="false" ht="15" hidden="false" customHeight="true" outlineLevel="0" collapsed="false">
      <c r="A3169" s="8" t="s">
        <v>1078</v>
      </c>
      <c r="B3169" s="8" t="s">
        <v>588</v>
      </c>
      <c r="C3169" s="19" t="n">
        <v>1</v>
      </c>
      <c r="D3169" s="19" t="n">
        <v>0.04</v>
      </c>
      <c r="E3169" s="19" t="n">
        <v>0</v>
      </c>
      <c r="F3169" s="19" t="n">
        <v>0</v>
      </c>
      <c r="G3169" s="8" t="n">
        <f aca="false">IFERROR(INDEX('TRANS'!$B:$B,MATCH($B3169,'TRANS'!$A:$A,0)),IFERROR(INDEX('TRANS'!$B:$B,MATCH(TRIM(SUBSTITUTE($B3169,CHAR(160)," ")),'TRANS'!$D:$D,0)),IFERROR(INDEX('Catalog'!$A:$A,MATCH($B3169,'Catalog'!$B:$B,0)),IFERROR(INDEX('Catalog'!$A:$A,MATCH(TRIM(SUBSTITUTE($B3169,CHAR(160)," ")),'Catalog'!$C:$C,0)),""))))</f>
        <v>4419014</v>
      </c>
      <c r="H3169" s="8" t="str">
        <f aca="false">IFERROR(INDEX('TRANS'!$C:$C,MATCH($B3169,'TRANS'!$A:$A,0)),IFERROR(INDEX('Catalog'!$B:$B,MATCH($G3169,'Catalog'!$A:$A,0)),$B3169))</f>
        <v>239TR L-XL STRAP4U</v>
      </c>
      <c r="I3169" s="8" t="str">
        <f aca="false">IF($G3169="","Unmatched","Matched")</f>
        <v>Matched</v>
      </c>
      <c r="J3169" s="8" t="n">
        <f aca="false">IF($G3169&lt;&gt;"",$G3169,$B3169)</f>
        <v>4419014</v>
      </c>
      <c r="K3169" s="8" t="str">
        <f aca="false">IF(COUNTIF($M$1:$M$10,$A3169)&gt;0,"Y","N")</f>
        <v>N</v>
      </c>
    </row>
    <row r="3170" customFormat="false" ht="15" hidden="false" customHeight="true" outlineLevel="0" collapsed="false">
      <c r="A3170" s="8" t="s">
        <v>1078</v>
      </c>
      <c r="B3170" s="8" t="s">
        <v>589</v>
      </c>
      <c r="C3170" s="19" t="n">
        <v>176</v>
      </c>
      <c r="D3170" s="19" t="n">
        <v>3255.37</v>
      </c>
      <c r="E3170" s="19" t="n">
        <v>145</v>
      </c>
      <c r="F3170" s="19" t="n">
        <v>2420.38</v>
      </c>
      <c r="G3170" s="8" t="n">
        <f aca="false">IFERROR(INDEX('TRANS'!$B:$B,MATCH($B3170,'TRANS'!$A:$A,0)),IFERROR(INDEX('TRANS'!$B:$B,MATCH(TRIM(SUBSTITUTE($B3170,CHAR(160)," ")),'TRANS'!$D:$D,0)),IFERROR(INDEX('Catalog'!$A:$A,MATCH($B3170,'Catalog'!$B:$B,0)),IFERROR(INDEX('Catalog'!$A:$A,MATCH(TRIM(SUBSTITUTE($B3170,CHAR(160)," ")),'Catalog'!$C:$C,0)),""))))</f>
        <v>4421005</v>
      </c>
      <c r="H3170" s="8" t="str">
        <f aca="false">IFERROR(INDEX('TRANS'!$C:$C,MATCH($B3170,'TRANS'!$A:$A,0)),IFERROR(INDEX('Catalog'!$B:$B,MATCH($G3170,'Catalog'!$A:$A,0)),$B3170))</f>
        <v>שרוול לגבס קצר יד</v>
      </c>
      <c r="I3170" s="8" t="str">
        <f aca="false">IF($G3170="","Unmatched","Matched")</f>
        <v>Matched</v>
      </c>
      <c r="J3170" s="8" t="n">
        <f aca="false">IF($G3170&lt;&gt;"",$G3170,$B3170)</f>
        <v>4421005</v>
      </c>
      <c r="K3170" s="8" t="str">
        <f aca="false">IF(COUNTIF($M$1:$M$10,$A3170)&gt;0,"Y","N")</f>
        <v>N</v>
      </c>
    </row>
    <row r="3171" customFormat="false" ht="15" hidden="false" customHeight="true" outlineLevel="0" collapsed="false">
      <c r="A3171" s="8" t="s">
        <v>1078</v>
      </c>
      <c r="B3171" s="8" t="s">
        <v>590</v>
      </c>
      <c r="C3171" s="19" t="n">
        <v>325</v>
      </c>
      <c r="D3171" s="19" t="n">
        <v>6622.52</v>
      </c>
      <c r="E3171" s="19" t="n">
        <v>220</v>
      </c>
      <c r="F3171" s="19" t="n">
        <v>4021.87</v>
      </c>
      <c r="G3171" s="8" t="n">
        <f aca="false">IFERROR(INDEX('TRANS'!$B:$B,MATCH($B3171,'TRANS'!$A:$A,0)),IFERROR(INDEX('TRANS'!$B:$B,MATCH(TRIM(SUBSTITUTE($B3171,CHAR(160)," ")),'TRANS'!$D:$D,0)),IFERROR(INDEX('Catalog'!$A:$A,MATCH($B3171,'Catalog'!$B:$B,0)),IFERROR(INDEX('Catalog'!$A:$A,MATCH(TRIM(SUBSTITUTE($B3171,CHAR(160)," ")),'Catalog'!$C:$C,0)),""))))</f>
        <v>4421006</v>
      </c>
      <c r="H3171" s="8" t="str">
        <f aca="false">IFERROR(INDEX('TRANS'!$C:$C,MATCH($B3171,'TRANS'!$A:$A,0)),IFERROR(INDEX('Catalog'!$B:$B,MATCH($G3171,'Catalog'!$A:$A,0)),$B3171))</f>
        <v>שרוול לגבס ארוך יד</v>
      </c>
      <c r="I3171" s="8" t="str">
        <f aca="false">IF($G3171="","Unmatched","Matched")</f>
        <v>Matched</v>
      </c>
      <c r="J3171" s="8" t="n">
        <f aca="false">IF($G3171&lt;&gt;"",$G3171,$B3171)</f>
        <v>4421006</v>
      </c>
      <c r="K3171" s="8" t="str">
        <f aca="false">IF(COUNTIF($M$1:$M$10,$A3171)&gt;0,"Y","N")</f>
        <v>N</v>
      </c>
    </row>
    <row r="3172" customFormat="false" ht="15" hidden="false" customHeight="true" outlineLevel="0" collapsed="false">
      <c r="A3172" s="8" t="s">
        <v>1078</v>
      </c>
      <c r="B3172" s="8" t="s">
        <v>948</v>
      </c>
      <c r="C3172" s="19" t="n">
        <v>78</v>
      </c>
      <c r="D3172" s="19" t="n">
        <v>3401.19</v>
      </c>
      <c r="E3172" s="19" t="n">
        <v>20</v>
      </c>
      <c r="F3172" s="19" t="n">
        <v>780.96</v>
      </c>
      <c r="G3172" s="8" t="n">
        <f aca="false">IFERROR(INDEX('TRANS'!$B:$B,MATCH($B3172,'TRANS'!$A:$A,0)),IFERROR(INDEX('TRANS'!$B:$B,MATCH(TRIM(SUBSTITUTE($B3172,CHAR(160)," ")),'TRANS'!$D:$D,0)),IFERROR(INDEX('Catalog'!$A:$A,MATCH($B3172,'Catalog'!$B:$B,0)),IFERROR(INDEX('Catalog'!$A:$A,MATCH(TRIM(SUBSTITUTE($B3172,CHAR(160)," ")),'Catalog'!$C:$C,0)),""))))</f>
        <v>4415000</v>
      </c>
      <c r="H3172" s="8" t="str">
        <f aca="false">IFERROR(INDEX('TRANS'!$C:$C,MATCH($B3172,'TRANS'!$A:$A,0)),IFERROR(INDEX('Catalog'!$B:$B,MATCH($G3172,'Catalog'!$A:$A,0)),$B3172))</f>
        <v>26 L סד ליד דו צדדי לאחר שבר</v>
      </c>
      <c r="I3172" s="8" t="str">
        <f aca="false">IF($G3172="","Unmatched","Matched")</f>
        <v>Matched</v>
      </c>
      <c r="J3172" s="8" t="n">
        <f aca="false">IF($G3172&lt;&gt;"",$G3172,$B3172)</f>
        <v>4415000</v>
      </c>
      <c r="K3172" s="8" t="str">
        <f aca="false">IF(COUNTIF($M$1:$M$10,$A3172)&gt;0,"Y","N")</f>
        <v>N</v>
      </c>
    </row>
    <row r="3173" customFormat="false" ht="15" hidden="false" customHeight="true" outlineLevel="0" collapsed="false">
      <c r="A3173" s="8" t="s">
        <v>1078</v>
      </c>
      <c r="B3173" s="8" t="s">
        <v>956</v>
      </c>
      <c r="C3173" s="19" t="n">
        <v>73</v>
      </c>
      <c r="D3173" s="19" t="n">
        <v>3190.5</v>
      </c>
      <c r="E3173" s="19" t="n">
        <v>35</v>
      </c>
      <c r="F3173" s="19" t="n">
        <v>1372.39</v>
      </c>
      <c r="G3173" s="8" t="n">
        <f aca="false">IFERROR(INDEX('TRANS'!$B:$B,MATCH($B3173,'TRANS'!$A:$A,0)),IFERROR(INDEX('TRANS'!$B:$B,MATCH(TRIM(SUBSTITUTE($B3173,CHAR(160)," ")),'TRANS'!$D:$D,0)),IFERROR(INDEX('Catalog'!$A:$A,MATCH($B3173,'Catalog'!$B:$B,0)),IFERROR(INDEX('Catalog'!$A:$A,MATCH(TRIM(SUBSTITUTE($B3173,CHAR(160)," ")),'Catalog'!$C:$C,0)),""))))</f>
        <v>4415001</v>
      </c>
      <c r="H3173" s="8" t="str">
        <f aca="false">IFERROR(INDEX('TRANS'!$C:$C,MATCH($B3173,'TRANS'!$A:$A,0)),IFERROR(INDEX('Catalog'!$B:$B,MATCH($G3173,'Catalog'!$A:$A,0)),$B3173))</f>
        <v>26 M סד ליד דו צדדי לאחר שבר</v>
      </c>
      <c r="I3173" s="8" t="str">
        <f aca="false">IF($G3173="","Unmatched","Matched")</f>
        <v>Matched</v>
      </c>
      <c r="J3173" s="8" t="n">
        <f aca="false">IF($G3173&lt;&gt;"",$G3173,$B3173)</f>
        <v>4415001</v>
      </c>
      <c r="K3173" s="8" t="str">
        <f aca="false">IF(COUNTIF($M$1:$M$10,$A3173)&gt;0,"Y","N")</f>
        <v>N</v>
      </c>
    </row>
    <row r="3174" customFormat="false" ht="15" hidden="false" customHeight="true" outlineLevel="0" collapsed="false">
      <c r="A3174" s="8" t="s">
        <v>1078</v>
      </c>
      <c r="B3174" s="8" t="s">
        <v>787</v>
      </c>
      <c r="C3174" s="19" t="n">
        <v>34</v>
      </c>
      <c r="D3174" s="19" t="n">
        <v>1463.36</v>
      </c>
      <c r="E3174" s="19" t="n">
        <v>16</v>
      </c>
      <c r="F3174" s="19" t="n">
        <v>636.28</v>
      </c>
      <c r="G3174" s="8" t="n">
        <f aca="false">IFERROR(INDEX('TRANS'!$B:$B,MATCH($B3174,'TRANS'!$A:$A,0)),IFERROR(INDEX('TRANS'!$B:$B,MATCH(TRIM(SUBSTITUTE($B3174,CHAR(160)," ")),'TRANS'!$D:$D,0)),IFERROR(INDEX('Catalog'!$A:$A,MATCH($B3174,'Catalog'!$B:$B,0)),IFERROR(INDEX('Catalog'!$A:$A,MATCH(TRIM(SUBSTITUTE($B3174,CHAR(160)," ")),'Catalog'!$C:$C,0)),""))))</f>
        <v>4415002</v>
      </c>
      <c r="H3174" s="8" t="str">
        <f aca="false">IFERROR(INDEX('TRANS'!$C:$C,MATCH($B3174,'TRANS'!$A:$A,0)),IFERROR(INDEX('Catalog'!$B:$B,MATCH($G3174,'Catalog'!$A:$A,0)),$B3174))</f>
        <v>26 S סד ליד דו צדדי לאחר שבר</v>
      </c>
      <c r="I3174" s="8" t="str">
        <f aca="false">IF($G3174="","Unmatched","Matched")</f>
        <v>Matched</v>
      </c>
      <c r="J3174" s="8" t="n">
        <f aca="false">IF($G3174&lt;&gt;"",$G3174,$B3174)</f>
        <v>4415002</v>
      </c>
      <c r="K3174" s="8" t="str">
        <f aca="false">IF(COUNTIF($M$1:$M$10,$A3174)&gt;0,"Y","N")</f>
        <v>N</v>
      </c>
    </row>
    <row r="3175" customFormat="false" ht="15" hidden="false" customHeight="true" outlineLevel="0" collapsed="false">
      <c r="A3175" s="8" t="s">
        <v>1078</v>
      </c>
      <c r="B3175" s="8" t="s">
        <v>949</v>
      </c>
      <c r="C3175" s="19" t="n">
        <v>21</v>
      </c>
      <c r="D3175" s="19" t="n">
        <v>932.1</v>
      </c>
      <c r="E3175" s="19" t="n">
        <v>6</v>
      </c>
      <c r="F3175" s="19" t="n">
        <v>236.57</v>
      </c>
      <c r="G3175" s="8" t="n">
        <f aca="false">IFERROR(INDEX('TRANS'!$B:$B,MATCH($B3175,'TRANS'!$A:$A,0)),IFERROR(INDEX('TRANS'!$B:$B,MATCH(TRIM(SUBSTITUTE($B3175,CHAR(160)," ")),'TRANS'!$D:$D,0)),IFERROR(INDEX('Catalog'!$A:$A,MATCH($B3175,'Catalog'!$B:$B,0)),IFERROR(INDEX('Catalog'!$A:$A,MATCH(TRIM(SUBSTITUTE($B3175,CHAR(160)," ")),'Catalog'!$C:$C,0)),""))))</f>
        <v>4415003</v>
      </c>
      <c r="H3175" s="8" t="str">
        <f aca="false">IFERROR(INDEX('TRANS'!$C:$C,MATCH($B3175,'TRANS'!$A:$A,0)),IFERROR(INDEX('Catalog'!$B:$B,MATCH($G3175,'Catalog'!$A:$A,0)),$B3175))</f>
        <v>26 XL סד ליד דו צדדי לאחר שבר</v>
      </c>
      <c r="I3175" s="8" t="str">
        <f aca="false">IF($G3175="","Unmatched","Matched")</f>
        <v>Matched</v>
      </c>
      <c r="J3175" s="8" t="n">
        <f aca="false">IF($G3175&lt;&gt;"",$G3175,$B3175)</f>
        <v>4415003</v>
      </c>
      <c r="K3175" s="8" t="str">
        <f aca="false">IF(COUNTIF($M$1:$M$10,$A3175)&gt;0,"Y","N")</f>
        <v>N</v>
      </c>
    </row>
    <row r="3176" customFormat="false" ht="15" hidden="false" customHeight="true" outlineLevel="0" collapsed="false">
      <c r="A3176" s="8" t="s">
        <v>1078</v>
      </c>
      <c r="B3176" s="8" t="s">
        <v>592</v>
      </c>
      <c r="C3176" s="19" t="n">
        <v>630</v>
      </c>
      <c r="D3176" s="19" t="n">
        <v>13891.34</v>
      </c>
      <c r="E3176" s="19" t="n">
        <v>540</v>
      </c>
      <c r="F3176" s="19" t="n">
        <v>10651.8</v>
      </c>
      <c r="G3176" s="8" t="n">
        <f aca="false">IFERROR(INDEX('TRANS'!$B:$B,MATCH($B3176,'TRANS'!$A:$A,0)),IFERROR(INDEX('TRANS'!$B:$B,MATCH(TRIM(SUBSTITUTE($B3176,CHAR(160)," ")),'TRANS'!$D:$D,0)),IFERROR(INDEX('Catalog'!$A:$A,MATCH($B3176,'Catalog'!$B:$B,0)),IFERROR(INDEX('Catalog'!$A:$A,MATCH(TRIM(SUBSTITUTE($B3176,CHAR(160)," ")),'Catalog'!$C:$C,0)),""))))</f>
        <v>4415158</v>
      </c>
      <c r="H3176" s="8" t="str">
        <f aca="false">IFERROR(INDEX('TRANS'!$C:$C,MATCH($B3176,'TRANS'!$A:$A,0)),IFERROR(INDEX('Catalog'!$B:$B,MATCH($G3176,'Catalog'!$A:$A,0)),$B3176))</f>
        <v>266 סד ליד דו צדדי</v>
      </c>
      <c r="I3176" s="8" t="str">
        <f aca="false">IF($G3176="","Unmatched","Matched")</f>
        <v>Matched</v>
      </c>
      <c r="J3176" s="8" t="n">
        <f aca="false">IF($G3176&lt;&gt;"",$G3176,$B3176)</f>
        <v>4415158</v>
      </c>
      <c r="K3176" s="8" t="str">
        <f aca="false">IF(COUNTIF($M$1:$M$10,$A3176)&gt;0,"Y","N")</f>
        <v>N</v>
      </c>
    </row>
    <row r="3177" customFormat="false" ht="15" hidden="false" customHeight="true" outlineLevel="0" collapsed="false">
      <c r="A3177" s="8" t="s">
        <v>1078</v>
      </c>
      <c r="B3177" s="8" t="s">
        <v>593</v>
      </c>
      <c r="C3177" s="19" t="n">
        <v>400</v>
      </c>
      <c r="D3177" s="19" t="n">
        <v>13613.37</v>
      </c>
      <c r="E3177" s="19" t="n">
        <v>280</v>
      </c>
      <c r="F3177" s="19" t="n">
        <v>8584.17</v>
      </c>
      <c r="G3177" s="8" t="n">
        <f aca="false">IFERROR(INDEX('TRANS'!$B:$B,MATCH($B3177,'TRANS'!$A:$A,0)),IFERROR(INDEX('TRANS'!$B:$B,MATCH(TRIM(SUBSTITUTE($B3177,CHAR(160)," ")),'TRANS'!$D:$D,0)),IFERROR(INDEX('Catalog'!$A:$A,MATCH($B3177,'Catalog'!$B:$B,0)),IFERROR(INDEX('Catalog'!$A:$A,MATCH(TRIM(SUBSTITUTE($B3177,CHAR(160)," ")),'Catalog'!$C:$C,0)),""))))</f>
        <v>4415159</v>
      </c>
      <c r="H3177" s="8" t="str">
        <f aca="false">IFERROR(INDEX('TRANS'!$C:$C,MATCH($B3177,'TRANS'!$A:$A,0)),IFERROR(INDEX('Catalog'!$B:$B,MATCH($G3177,'Catalog'!$A:$A,0)),$B3177))</f>
        <v>268 סד לאגודל</v>
      </c>
      <c r="I3177" s="8" t="str">
        <f aca="false">IF($G3177="","Unmatched","Matched")</f>
        <v>Matched</v>
      </c>
      <c r="J3177" s="8" t="n">
        <f aca="false">IF($G3177&lt;&gt;"",$G3177,$B3177)</f>
        <v>4415159</v>
      </c>
      <c r="K3177" s="8" t="str">
        <f aca="false">IF(COUNTIF($M$1:$M$10,$A3177)&gt;0,"Y","N")</f>
        <v>N</v>
      </c>
    </row>
    <row r="3178" customFormat="false" ht="15" hidden="false" customHeight="true" outlineLevel="0" collapsed="false">
      <c r="A3178" s="8" t="s">
        <v>1078</v>
      </c>
      <c r="B3178" s="8" t="s">
        <v>957</v>
      </c>
      <c r="C3178" s="19" t="n">
        <v>16</v>
      </c>
      <c r="D3178" s="19" t="n">
        <v>555.17</v>
      </c>
      <c r="E3178" s="19" t="n">
        <v>31</v>
      </c>
      <c r="F3178" s="19" t="n">
        <v>1011.7</v>
      </c>
      <c r="G3178" s="8" t="n">
        <f aca="false">IFERROR(INDEX('TRANS'!$B:$B,MATCH($B3178,'TRANS'!$A:$A,0)),IFERROR(INDEX('TRANS'!$B:$B,MATCH(TRIM(SUBSTITUTE($B3178,CHAR(160)," ")),'TRANS'!$D:$D,0)),IFERROR(INDEX('Catalog'!$A:$A,MATCH($B3178,'Catalog'!$B:$B,0)),IFERROR(INDEX('Catalog'!$A:$A,MATCH(TRIM(SUBSTITUTE($B3178,CHAR(160)," ")),'Catalog'!$C:$C,0)),""))))</f>
        <v>4415005</v>
      </c>
      <c r="H3178" s="8" t="str">
        <f aca="false">IFERROR(INDEX('TRANS'!$C:$C,MATCH($B3178,'TRANS'!$A:$A,0)),IFERROR(INDEX('Catalog'!$B:$B,MATCH($G3178,'Catalog'!$A:$A,0)),$B3178))</f>
        <v>28 L סד לאגודל לאחר שבר</v>
      </c>
      <c r="I3178" s="8" t="str">
        <f aca="false">IF($G3178="","Unmatched","Matched")</f>
        <v>Matched</v>
      </c>
      <c r="J3178" s="8" t="n">
        <f aca="false">IF($G3178&lt;&gt;"",$G3178,$B3178)</f>
        <v>4415005</v>
      </c>
      <c r="K3178" s="8" t="str">
        <f aca="false">IF(COUNTIF($M$1:$M$10,$A3178)&gt;0,"Y","N")</f>
        <v>N</v>
      </c>
    </row>
    <row r="3179" customFormat="false" ht="15" hidden="false" customHeight="true" outlineLevel="0" collapsed="false">
      <c r="A3179" s="8" t="s">
        <v>1078</v>
      </c>
      <c r="B3179" s="8" t="s">
        <v>594</v>
      </c>
      <c r="C3179" s="19" t="n">
        <v>61</v>
      </c>
      <c r="D3179" s="19" t="n">
        <v>2217.04</v>
      </c>
      <c r="E3179" s="19" t="n">
        <v>45</v>
      </c>
      <c r="F3179" s="19" t="n">
        <v>1453.13</v>
      </c>
      <c r="G3179" s="8" t="n">
        <f aca="false">IFERROR(INDEX('TRANS'!$B:$B,MATCH($B3179,'TRANS'!$A:$A,0)),IFERROR(INDEX('TRANS'!$B:$B,MATCH(TRIM(SUBSTITUTE($B3179,CHAR(160)," ")),'TRANS'!$D:$D,0)),IFERROR(INDEX('Catalog'!$A:$A,MATCH($B3179,'Catalog'!$B:$B,0)),IFERROR(INDEX('Catalog'!$A:$A,MATCH(TRIM(SUBSTITUTE($B3179,CHAR(160)," ")),'Catalog'!$C:$C,0)),""))))</f>
        <v>4415006</v>
      </c>
      <c r="H3179" s="8" t="str">
        <f aca="false">IFERROR(INDEX('TRANS'!$C:$C,MATCH($B3179,'TRANS'!$A:$A,0)),IFERROR(INDEX('Catalog'!$B:$B,MATCH($G3179,'Catalog'!$A:$A,0)),$B3179))</f>
        <v>28 M סד לאגודל לאחר שבר</v>
      </c>
      <c r="I3179" s="8" t="str">
        <f aca="false">IF($G3179="","Unmatched","Matched")</f>
        <v>Matched</v>
      </c>
      <c r="J3179" s="8" t="n">
        <f aca="false">IF($G3179&lt;&gt;"",$G3179,$B3179)</f>
        <v>4415006</v>
      </c>
      <c r="K3179" s="8" t="str">
        <f aca="false">IF(COUNTIF($M$1:$M$10,$A3179)&gt;0,"Y","N")</f>
        <v>N</v>
      </c>
    </row>
    <row r="3180" customFormat="false" ht="15" hidden="false" customHeight="true" outlineLevel="0" collapsed="false">
      <c r="A3180" s="8" t="s">
        <v>1078</v>
      </c>
      <c r="B3180" s="8" t="s">
        <v>958</v>
      </c>
      <c r="C3180" s="19" t="n">
        <v>27</v>
      </c>
      <c r="D3180" s="19" t="n">
        <v>967.81</v>
      </c>
      <c r="E3180" s="19" t="n">
        <v>60</v>
      </c>
      <c r="F3180" s="19" t="n">
        <v>1951.58</v>
      </c>
      <c r="G3180" s="8" t="n">
        <f aca="false">IFERROR(INDEX('TRANS'!$B:$B,MATCH($B3180,'TRANS'!$A:$A,0)),IFERROR(INDEX('TRANS'!$B:$B,MATCH(TRIM(SUBSTITUTE($B3180,CHAR(160)," ")),'TRANS'!$D:$D,0)),IFERROR(INDEX('Catalog'!$A:$A,MATCH($B3180,'Catalog'!$B:$B,0)),IFERROR(INDEX('Catalog'!$A:$A,MATCH(TRIM(SUBSTITUTE($B3180,CHAR(160)," ")),'Catalog'!$C:$C,0)),""))))</f>
        <v>4415007</v>
      </c>
      <c r="H3180" s="8" t="str">
        <f aca="false">IFERROR(INDEX('TRANS'!$C:$C,MATCH($B3180,'TRANS'!$A:$A,0)),IFERROR(INDEX('Catalog'!$B:$B,MATCH($G3180,'Catalog'!$A:$A,0)),$B3180))</f>
        <v>28 S סד לאגודל לאחר שבר</v>
      </c>
      <c r="I3180" s="8" t="str">
        <f aca="false">IF($G3180="","Unmatched","Matched")</f>
        <v>Matched</v>
      </c>
      <c r="J3180" s="8" t="n">
        <f aca="false">IF($G3180&lt;&gt;"",$G3180,$B3180)</f>
        <v>4415007</v>
      </c>
      <c r="K3180" s="8" t="str">
        <f aca="false">IF(COUNTIF($M$1:$M$10,$A3180)&gt;0,"Y","N")</f>
        <v>N</v>
      </c>
    </row>
    <row r="3181" customFormat="false" ht="15" hidden="false" customHeight="true" outlineLevel="0" collapsed="false">
      <c r="A3181" s="8" t="s">
        <v>1078</v>
      </c>
      <c r="B3181" s="8" t="s">
        <v>959</v>
      </c>
      <c r="C3181" s="19" t="n">
        <v>0</v>
      </c>
      <c r="D3181" s="19" t="n">
        <v>0</v>
      </c>
      <c r="E3181" s="19" t="n">
        <v>12</v>
      </c>
      <c r="F3181" s="19" t="n">
        <v>392.38</v>
      </c>
      <c r="G3181" s="8" t="n">
        <f aca="false">IFERROR(INDEX('TRANS'!$B:$B,MATCH($B3181,'TRANS'!$A:$A,0)),IFERROR(INDEX('TRANS'!$B:$B,MATCH(TRIM(SUBSTITUTE($B3181,CHAR(160)," ")),'TRANS'!$D:$D,0)),IFERROR(INDEX('Catalog'!$A:$A,MATCH($B3181,'Catalog'!$B:$B,0)),IFERROR(INDEX('Catalog'!$A:$A,MATCH(TRIM(SUBSTITUTE($B3181,CHAR(160)," ")),'Catalog'!$C:$C,0)),""))))</f>
        <v>4415008</v>
      </c>
      <c r="H3181" s="8" t="str">
        <f aca="false">IFERROR(INDEX('TRANS'!$C:$C,MATCH($B3181,'TRANS'!$A:$A,0)),IFERROR(INDEX('Catalog'!$B:$B,MATCH($G3181,'Catalog'!$A:$A,0)),$B3181))</f>
        <v>28 XL סד לאגודל לאחר שבר</v>
      </c>
      <c r="I3181" s="8" t="str">
        <f aca="false">IF($G3181="","Unmatched","Matched")</f>
        <v>Matched</v>
      </c>
      <c r="J3181" s="8" t="n">
        <f aca="false">IF($G3181&lt;&gt;"",$G3181,$B3181)</f>
        <v>4415008</v>
      </c>
      <c r="K3181" s="8" t="str">
        <f aca="false">IF(COUNTIF($M$1:$M$10,$A3181)&gt;0,"Y","N")</f>
        <v>N</v>
      </c>
    </row>
    <row r="3182" customFormat="false" ht="15" hidden="false" customHeight="true" outlineLevel="0" collapsed="false">
      <c r="A3182" s="8" t="s">
        <v>1078</v>
      </c>
      <c r="B3182" s="8" t="s">
        <v>283</v>
      </c>
      <c r="C3182" s="19" t="n">
        <v>10</v>
      </c>
      <c r="D3182" s="19" t="n">
        <v>296.42</v>
      </c>
      <c r="E3182" s="19" t="n">
        <v>0</v>
      </c>
      <c r="F3182" s="19" t="n">
        <v>0</v>
      </c>
      <c r="G3182" s="8" t="str">
        <f aca="false">IFERROR(INDEX('TRANS'!$B:$B,MATCH($B3182,'TRANS'!$A:$A,0)),IFERROR(INDEX('TRANS'!$B:$B,MATCH(TRIM(SUBSTITUTE($B3182,CHAR(160)," ")),'TRANS'!$D:$D,0)),IFERROR(INDEX('Catalog'!$A:$A,MATCH($B3182,'Catalog'!$B:$B,0)),IFERROR(INDEX('Catalog'!$A:$A,MATCH(TRIM(SUBSTITUTE($B3182,CHAR(160)," ")),'Catalog'!$C:$C,0)),""))))</f>
        <v/>
      </c>
      <c r="H3182" s="8" t="str">
        <f aca="false">IFERROR(INDEX('TRANS'!$C:$C,MATCH($B3182,'TRANS'!$A:$A,0)),IFERROR(INDEX('Catalog'!$B:$B,MATCH($G3182,'Catalog'!$A:$A,0)),$B3182))</f>
        <v>30 L</v>
      </c>
      <c r="I3182" s="8" t="str">
        <f aca="false">IF($G3182="","Unmatched","Matched")</f>
        <v>Unmatched</v>
      </c>
      <c r="J3182" s="8" t="str">
        <f aca="false">IF($G3182&lt;&gt;"",$G3182,$B3182)</f>
        <v>30 L</v>
      </c>
      <c r="K3182" s="8" t="str">
        <f aca="false">IF(COUNTIF($M$1:$M$10,$A3182)&gt;0,"Y","N")</f>
        <v>N</v>
      </c>
    </row>
    <row r="3183" customFormat="false" ht="15" hidden="false" customHeight="true" outlineLevel="0" collapsed="false">
      <c r="A3183" s="8" t="s">
        <v>1078</v>
      </c>
      <c r="B3183" s="8" t="s">
        <v>173</v>
      </c>
      <c r="C3183" s="19" t="n">
        <v>10</v>
      </c>
      <c r="D3183" s="19" t="n">
        <v>296.42</v>
      </c>
      <c r="E3183" s="19" t="n">
        <v>0</v>
      </c>
      <c r="F3183" s="19" t="n">
        <v>0</v>
      </c>
      <c r="G3183" s="8" t="str">
        <f aca="false">IFERROR(INDEX('TRANS'!$B:$B,MATCH($B3183,'TRANS'!$A:$A,0)),IFERROR(INDEX('TRANS'!$B:$B,MATCH(TRIM(SUBSTITUTE($B3183,CHAR(160)," ")),'TRANS'!$D:$D,0)),IFERROR(INDEX('Catalog'!$A:$A,MATCH($B3183,'Catalog'!$B:$B,0)),IFERROR(INDEX('Catalog'!$A:$A,MATCH(TRIM(SUBSTITUTE($B3183,CHAR(160)," ")),'Catalog'!$C:$C,0)),""))))</f>
        <v/>
      </c>
      <c r="H3183" s="8" t="str">
        <f aca="false">IFERROR(INDEX('TRANS'!$C:$C,MATCH($B3183,'TRANS'!$A:$A,0)),IFERROR(INDEX('Catalog'!$B:$B,MATCH($G3183,'Catalog'!$A:$A,0)),$B3183))</f>
        <v>30 M</v>
      </c>
      <c r="I3183" s="8" t="str">
        <f aca="false">IF($G3183="","Unmatched","Matched")</f>
        <v>Unmatched</v>
      </c>
      <c r="J3183" s="8" t="str">
        <f aca="false">IF($G3183&lt;&gt;"",$G3183,$B3183)</f>
        <v>30 M</v>
      </c>
      <c r="K3183" s="8" t="str">
        <f aca="false">IF(COUNTIF($M$1:$M$10,$A3183)&gt;0,"Y","N")</f>
        <v>N</v>
      </c>
    </row>
    <row r="3184" customFormat="false" ht="15" hidden="false" customHeight="true" outlineLevel="0" collapsed="false">
      <c r="A3184" s="8" t="s">
        <v>1078</v>
      </c>
      <c r="B3184" s="8" t="s">
        <v>521</v>
      </c>
      <c r="C3184" s="19" t="n">
        <v>6</v>
      </c>
      <c r="D3184" s="19" t="n">
        <v>177.85</v>
      </c>
      <c r="E3184" s="19" t="n">
        <v>0</v>
      </c>
      <c r="F3184" s="19" t="n">
        <v>0</v>
      </c>
      <c r="G3184" s="8" t="str">
        <f aca="false">IFERROR(INDEX('TRANS'!$B:$B,MATCH($B3184,'TRANS'!$A:$A,0)),IFERROR(INDEX('TRANS'!$B:$B,MATCH(TRIM(SUBSTITUTE($B3184,CHAR(160)," ")),'TRANS'!$D:$D,0)),IFERROR(INDEX('Catalog'!$A:$A,MATCH($B3184,'Catalog'!$B:$B,0)),IFERROR(INDEX('Catalog'!$A:$A,MATCH(TRIM(SUBSTITUTE($B3184,CHAR(160)," ")),'Catalog'!$C:$C,0)),""))))</f>
        <v/>
      </c>
      <c r="H3184" s="8" t="str">
        <f aca="false">IFERROR(INDEX('TRANS'!$C:$C,MATCH($B3184,'TRANS'!$A:$A,0)),IFERROR(INDEX('Catalog'!$B:$B,MATCH($G3184,'Catalog'!$A:$A,0)),$B3184))</f>
        <v>30 S</v>
      </c>
      <c r="I3184" s="8" t="str">
        <f aca="false">IF($G3184="","Unmatched","Matched")</f>
        <v>Unmatched</v>
      </c>
      <c r="J3184" s="8" t="str">
        <f aca="false">IF($G3184&lt;&gt;"",$G3184,$B3184)</f>
        <v>30 S</v>
      </c>
      <c r="K3184" s="8" t="str">
        <f aca="false">IF(COUNTIF($M$1:$M$10,$A3184)&gt;0,"Y","N")</f>
        <v>N</v>
      </c>
    </row>
    <row r="3185" customFormat="false" ht="15" hidden="false" customHeight="true" outlineLevel="0" collapsed="false">
      <c r="A3185" s="8" t="s">
        <v>1078</v>
      </c>
      <c r="B3185" s="8" t="s">
        <v>595</v>
      </c>
      <c r="C3185" s="19" t="n">
        <v>120</v>
      </c>
      <c r="D3185" s="19" t="n">
        <v>3276.11</v>
      </c>
      <c r="E3185" s="19" t="n">
        <v>170</v>
      </c>
      <c r="F3185" s="19" t="n">
        <v>4142.63</v>
      </c>
      <c r="G3185" s="8" t="n">
        <f aca="false">IFERROR(INDEX('TRANS'!$B:$B,MATCH($B3185,'TRANS'!$A:$A,0)),IFERROR(INDEX('TRANS'!$B:$B,MATCH(TRIM(SUBSTITUTE($B3185,CHAR(160)," ")),'TRANS'!$D:$D,0)),IFERROR(INDEX('Catalog'!$A:$A,MATCH($B3185,'Catalog'!$B:$B,0)),IFERROR(INDEX('Catalog'!$A:$A,MATCH(TRIM(SUBSTITUTE($B3185,CHAR(160)," ")),'Catalog'!$C:$C,0)),""))))</f>
        <v>4413348</v>
      </c>
      <c r="H3185" s="8" t="str">
        <f aca="false">IFERROR(INDEX('TRANS'!$C:$C,MATCH($B3185,'TRANS'!$A:$A,0)),IFERROR(INDEX('Catalog'!$B:$B,MATCH($G3185,'Catalog'!$A:$A,0)),$B3185))</f>
        <v>302 מדרס ג'ל לגבר</v>
      </c>
      <c r="I3185" s="8" t="str">
        <f aca="false">IF($G3185="","Unmatched","Matched")</f>
        <v>Matched</v>
      </c>
      <c r="J3185" s="8" t="n">
        <f aca="false">IF($G3185&lt;&gt;"",$G3185,$B3185)</f>
        <v>4413348</v>
      </c>
      <c r="K3185" s="8" t="str">
        <f aca="false">IF(COUNTIF($M$1:$M$10,$A3185)&gt;0,"Y","N")</f>
        <v>N</v>
      </c>
    </row>
    <row r="3186" customFormat="false" ht="15" hidden="false" customHeight="true" outlineLevel="0" collapsed="false">
      <c r="A3186" s="8" t="s">
        <v>1078</v>
      </c>
      <c r="B3186" s="8" t="s">
        <v>596</v>
      </c>
      <c r="C3186" s="19" t="n">
        <v>90</v>
      </c>
      <c r="D3186" s="19" t="n">
        <v>2320.98</v>
      </c>
      <c r="E3186" s="19" t="n">
        <v>100</v>
      </c>
      <c r="F3186" s="19" t="n">
        <v>2361.52</v>
      </c>
      <c r="G3186" s="8" t="n">
        <f aca="false">IFERROR(INDEX('TRANS'!$B:$B,MATCH($B3186,'TRANS'!$A:$A,0)),IFERROR(INDEX('TRANS'!$B:$B,MATCH(TRIM(SUBSTITUTE($B3186,CHAR(160)," ")),'TRANS'!$D:$D,0)),IFERROR(INDEX('Catalog'!$A:$A,MATCH($B3186,'Catalog'!$B:$B,0)),IFERROR(INDEX('Catalog'!$A:$A,MATCH(TRIM(SUBSTITUTE($B3186,CHAR(160)," ")),'Catalog'!$C:$C,0)),""))))</f>
        <v>4413372</v>
      </c>
      <c r="H3186" s="8" t="str">
        <f aca="false">IFERROR(INDEX('TRANS'!$C:$C,MATCH($B3186,'TRANS'!$A:$A,0)),IFERROR(INDEX('Catalog'!$B:$B,MATCH($G3186,'Catalog'!$A:$A,0)),$B3186))</f>
        <v>302 W מדרס לאישה</v>
      </c>
      <c r="I3186" s="8" t="str">
        <f aca="false">IF($G3186="","Unmatched","Matched")</f>
        <v>Matched</v>
      </c>
      <c r="J3186" s="8" t="n">
        <f aca="false">IF($G3186&lt;&gt;"",$G3186,$B3186)</f>
        <v>4413372</v>
      </c>
      <c r="K3186" s="8" t="str">
        <f aca="false">IF(COUNTIF($M$1:$M$10,$A3186)&gt;0,"Y","N")</f>
        <v>N</v>
      </c>
    </row>
    <row r="3187" customFormat="false" ht="15" hidden="false" customHeight="true" outlineLevel="0" collapsed="false">
      <c r="A3187" s="8" t="s">
        <v>1078</v>
      </c>
      <c r="B3187" s="8" t="s">
        <v>235</v>
      </c>
      <c r="C3187" s="19" t="n">
        <v>6</v>
      </c>
      <c r="D3187" s="19" t="n">
        <v>200.98</v>
      </c>
      <c r="E3187" s="19" t="n">
        <v>27</v>
      </c>
      <c r="F3187" s="19" t="n">
        <v>841.11</v>
      </c>
      <c r="G3187" s="8" t="str">
        <f aca="false">IFERROR(INDEX('TRANS'!$B:$B,MATCH($B3187,'TRANS'!$A:$A,0)),IFERROR(INDEX('TRANS'!$B:$B,MATCH(TRIM(SUBSTITUTE($B3187,CHAR(160)," ")),'TRANS'!$D:$D,0)),IFERROR(INDEX('Catalog'!$A:$A,MATCH($B3187,'Catalog'!$B:$B,0)),IFERROR(INDEX('Catalog'!$A:$A,MATCH(TRIM(SUBSTITUTE($B3187,CHAR(160)," ")),'Catalog'!$C:$C,0)),""))))</f>
        <v/>
      </c>
      <c r="H3187" s="8" t="str">
        <f aca="false">IFERROR(INDEX('TRANS'!$C:$C,MATCH($B3187,'TRANS'!$A:$A,0)),IFERROR(INDEX('Catalog'!$B:$B,MATCH($G3187,'Catalog'!$A:$A,0)),$B3187))</f>
        <v>305-35-36</v>
      </c>
      <c r="I3187" s="8" t="str">
        <f aca="false">IF($G3187="","Unmatched","Matched")</f>
        <v>Unmatched</v>
      </c>
      <c r="J3187" s="8" t="str">
        <f aca="false">IF($G3187&lt;&gt;"",$G3187,$B3187)</f>
        <v>305-35-36</v>
      </c>
      <c r="K3187" s="8" t="str">
        <f aca="false">IF(COUNTIF($M$1:$M$10,$A3187)&gt;0,"Y","N")</f>
        <v>N</v>
      </c>
    </row>
    <row r="3188" customFormat="false" ht="15" hidden="false" customHeight="true" outlineLevel="0" collapsed="false">
      <c r="A3188" s="8" t="s">
        <v>1078</v>
      </c>
      <c r="B3188" s="8" t="s">
        <v>200</v>
      </c>
      <c r="C3188" s="19" t="n">
        <v>75</v>
      </c>
      <c r="D3188" s="19" t="n">
        <v>2630.01</v>
      </c>
      <c r="E3188" s="19" t="n">
        <v>95</v>
      </c>
      <c r="F3188" s="19" t="n">
        <v>2994.23</v>
      </c>
      <c r="G3188" s="8" t="str">
        <f aca="false">IFERROR(INDEX('TRANS'!$B:$B,MATCH($B3188,'TRANS'!$A:$A,0)),IFERROR(INDEX('TRANS'!$B:$B,MATCH(TRIM(SUBSTITUTE($B3188,CHAR(160)," ")),'TRANS'!$D:$D,0)),IFERROR(INDEX('Catalog'!$A:$A,MATCH($B3188,'Catalog'!$B:$B,0)),IFERROR(INDEX('Catalog'!$A:$A,MATCH(TRIM(SUBSTITUTE($B3188,CHAR(160)," ")),'Catalog'!$C:$C,0)),""))))</f>
        <v/>
      </c>
      <c r="H3188" s="8" t="str">
        <f aca="false">IFERROR(INDEX('TRANS'!$C:$C,MATCH($B3188,'TRANS'!$A:$A,0)),IFERROR(INDEX('Catalog'!$B:$B,MATCH($G3188,'Catalog'!$A:$A,0)),$B3188))</f>
        <v>305-37-38</v>
      </c>
      <c r="I3188" s="8" t="str">
        <f aca="false">IF($G3188="","Unmatched","Matched")</f>
        <v>Unmatched</v>
      </c>
      <c r="J3188" s="8" t="str">
        <f aca="false">IF($G3188&lt;&gt;"",$G3188,$B3188)</f>
        <v>305-37-38</v>
      </c>
      <c r="K3188" s="8" t="str">
        <f aca="false">IF(COUNTIF($M$1:$M$10,$A3188)&gt;0,"Y","N")</f>
        <v>N</v>
      </c>
    </row>
    <row r="3189" customFormat="false" ht="15" hidden="false" customHeight="true" outlineLevel="0" collapsed="false">
      <c r="A3189" s="8" t="s">
        <v>1078</v>
      </c>
      <c r="B3189" s="8" t="s">
        <v>140</v>
      </c>
      <c r="C3189" s="19" t="n">
        <v>140</v>
      </c>
      <c r="D3189" s="19" t="n">
        <v>4983.37</v>
      </c>
      <c r="E3189" s="19" t="n">
        <v>180</v>
      </c>
      <c r="F3189" s="19" t="n">
        <v>5639.97</v>
      </c>
      <c r="G3189" s="8" t="str">
        <f aca="false">IFERROR(INDEX('TRANS'!$B:$B,MATCH($B3189,'TRANS'!$A:$A,0)),IFERROR(INDEX('TRANS'!$B:$B,MATCH(TRIM(SUBSTITUTE($B3189,CHAR(160)," ")),'TRANS'!$D:$D,0)),IFERROR(INDEX('Catalog'!$A:$A,MATCH($B3189,'Catalog'!$B:$B,0)),IFERROR(INDEX('Catalog'!$A:$A,MATCH(TRIM(SUBSTITUTE($B3189,CHAR(160)," ")),'Catalog'!$C:$C,0)),""))))</f>
        <v/>
      </c>
      <c r="H3189" s="8" t="str">
        <f aca="false">IFERROR(INDEX('TRANS'!$C:$C,MATCH($B3189,'TRANS'!$A:$A,0)),IFERROR(INDEX('Catalog'!$B:$B,MATCH($G3189,'Catalog'!$A:$A,0)),$B3189))</f>
        <v>305-39-40</v>
      </c>
      <c r="I3189" s="8" t="str">
        <f aca="false">IF($G3189="","Unmatched","Matched")</f>
        <v>Unmatched</v>
      </c>
      <c r="J3189" s="8" t="str">
        <f aca="false">IF($G3189&lt;&gt;"",$G3189,$B3189)</f>
        <v>305-39-40</v>
      </c>
      <c r="K3189" s="8" t="str">
        <f aca="false">IF(COUNTIF($M$1:$M$10,$A3189)&gt;0,"Y","N")</f>
        <v>N</v>
      </c>
    </row>
    <row r="3190" customFormat="false" ht="15" hidden="false" customHeight="true" outlineLevel="0" collapsed="false">
      <c r="A3190" s="8" t="s">
        <v>1078</v>
      </c>
      <c r="B3190" s="8" t="s">
        <v>102</v>
      </c>
      <c r="C3190" s="19" t="n">
        <v>145</v>
      </c>
      <c r="D3190" s="19" t="n">
        <v>5142.41</v>
      </c>
      <c r="E3190" s="19" t="n">
        <v>135</v>
      </c>
      <c r="F3190" s="19" t="n">
        <v>4215.49</v>
      </c>
      <c r="G3190" s="8" t="str">
        <f aca="false">IFERROR(INDEX('TRANS'!$B:$B,MATCH($B3190,'TRANS'!$A:$A,0)),IFERROR(INDEX('TRANS'!$B:$B,MATCH(TRIM(SUBSTITUTE($B3190,CHAR(160)," ")),'TRANS'!$D:$D,0)),IFERROR(INDEX('Catalog'!$A:$A,MATCH($B3190,'Catalog'!$B:$B,0)),IFERROR(INDEX('Catalog'!$A:$A,MATCH(TRIM(SUBSTITUTE($B3190,CHAR(160)," ")),'Catalog'!$C:$C,0)),""))))</f>
        <v/>
      </c>
      <c r="H3190" s="8" t="str">
        <f aca="false">IFERROR(INDEX('TRANS'!$C:$C,MATCH($B3190,'TRANS'!$A:$A,0)),IFERROR(INDEX('Catalog'!$B:$B,MATCH($G3190,'Catalog'!$A:$A,0)),$B3190))</f>
        <v>305-41-42</v>
      </c>
      <c r="I3190" s="8" t="str">
        <f aca="false">IF($G3190="","Unmatched","Matched")</f>
        <v>Unmatched</v>
      </c>
      <c r="J3190" s="8" t="str">
        <f aca="false">IF($G3190&lt;&gt;"",$G3190,$B3190)</f>
        <v>305-41-42</v>
      </c>
      <c r="K3190" s="8" t="str">
        <f aca="false">IF(COUNTIF($M$1:$M$10,$A3190)&gt;0,"Y","N")</f>
        <v>N</v>
      </c>
    </row>
    <row r="3191" customFormat="false" ht="15" hidden="false" customHeight="true" outlineLevel="0" collapsed="false">
      <c r="A3191" s="8" t="s">
        <v>1078</v>
      </c>
      <c r="B3191" s="8" t="s">
        <v>108</v>
      </c>
      <c r="C3191" s="19" t="n">
        <v>165</v>
      </c>
      <c r="D3191" s="19" t="n">
        <v>5798.64</v>
      </c>
      <c r="E3191" s="19" t="n">
        <v>180</v>
      </c>
      <c r="F3191" s="19" t="n">
        <v>5658.26</v>
      </c>
      <c r="G3191" s="8" t="str">
        <f aca="false">IFERROR(INDEX('TRANS'!$B:$B,MATCH($B3191,'TRANS'!$A:$A,0)),IFERROR(INDEX('TRANS'!$B:$B,MATCH(TRIM(SUBSTITUTE($B3191,CHAR(160)," ")),'TRANS'!$D:$D,0)),IFERROR(INDEX('Catalog'!$A:$A,MATCH($B3191,'Catalog'!$B:$B,0)),IFERROR(INDEX('Catalog'!$A:$A,MATCH(TRIM(SUBSTITUTE($B3191,CHAR(160)," ")),'Catalog'!$C:$C,0)),""))))</f>
        <v/>
      </c>
      <c r="H3191" s="8" t="str">
        <f aca="false">IFERROR(INDEX('TRANS'!$C:$C,MATCH($B3191,'TRANS'!$A:$A,0)),IFERROR(INDEX('Catalog'!$B:$B,MATCH($G3191,'Catalog'!$A:$A,0)),$B3191))</f>
        <v>305-43-44</v>
      </c>
      <c r="I3191" s="8" t="str">
        <f aca="false">IF($G3191="","Unmatched","Matched")</f>
        <v>Unmatched</v>
      </c>
      <c r="J3191" s="8" t="str">
        <f aca="false">IF($G3191&lt;&gt;"",$G3191,$B3191)</f>
        <v>305-43-44</v>
      </c>
      <c r="K3191" s="8" t="str">
        <f aca="false">IF(COUNTIF($M$1:$M$10,$A3191)&gt;0,"Y","N")</f>
        <v>N</v>
      </c>
    </row>
    <row r="3192" customFormat="false" ht="15" hidden="false" customHeight="true" outlineLevel="0" collapsed="false">
      <c r="A3192" s="8" t="s">
        <v>1078</v>
      </c>
      <c r="B3192" s="8" t="s">
        <v>201</v>
      </c>
      <c r="C3192" s="19" t="n">
        <v>140</v>
      </c>
      <c r="D3192" s="19" t="n">
        <v>4903.29</v>
      </c>
      <c r="E3192" s="19" t="n">
        <v>145</v>
      </c>
      <c r="F3192" s="19" t="n">
        <v>4520.43</v>
      </c>
      <c r="G3192" s="8" t="str">
        <f aca="false">IFERROR(INDEX('TRANS'!$B:$B,MATCH($B3192,'TRANS'!$A:$A,0)),IFERROR(INDEX('TRANS'!$B:$B,MATCH(TRIM(SUBSTITUTE($B3192,CHAR(160)," ")),'TRANS'!$D:$D,0)),IFERROR(INDEX('Catalog'!$A:$A,MATCH($B3192,'Catalog'!$B:$B,0)),IFERROR(INDEX('Catalog'!$A:$A,MATCH(TRIM(SUBSTITUTE($B3192,CHAR(160)," ")),'Catalog'!$C:$C,0)),""))))</f>
        <v/>
      </c>
      <c r="H3192" s="8" t="str">
        <f aca="false">IFERROR(INDEX('TRANS'!$C:$C,MATCH($B3192,'TRANS'!$A:$A,0)),IFERROR(INDEX('Catalog'!$B:$B,MATCH($G3192,'Catalog'!$A:$A,0)),$B3192))</f>
        <v>305-45-46</v>
      </c>
      <c r="I3192" s="8" t="str">
        <f aca="false">IF($G3192="","Unmatched","Matched")</f>
        <v>Unmatched</v>
      </c>
      <c r="J3192" s="8" t="str">
        <f aca="false">IF($G3192&lt;&gt;"",$G3192,$B3192)</f>
        <v>305-45-46</v>
      </c>
      <c r="K3192" s="8" t="str">
        <f aca="false">IF(COUNTIF($M$1:$M$10,$A3192)&gt;0,"Y","N")</f>
        <v>N</v>
      </c>
    </row>
    <row r="3193" customFormat="false" ht="15" hidden="false" customHeight="true" outlineLevel="0" collapsed="false">
      <c r="A3193" s="8" t="s">
        <v>1078</v>
      </c>
      <c r="B3193" s="8" t="s">
        <v>607</v>
      </c>
      <c r="C3193" s="19" t="n">
        <v>35</v>
      </c>
      <c r="D3193" s="19" t="n">
        <v>424.79</v>
      </c>
      <c r="E3193" s="19" t="n">
        <v>0</v>
      </c>
      <c r="F3193" s="19" t="n">
        <v>0</v>
      </c>
      <c r="G3193" s="8" t="n">
        <f aca="false">IFERROR(INDEX('TRANS'!$B:$B,MATCH($B3193,'TRANS'!$A:$A,0)),IFERROR(INDEX('TRANS'!$B:$B,MATCH(TRIM(SUBSTITUTE($B3193,CHAR(160)," ")),'TRANS'!$D:$D,0)),IFERROR(INDEX('Catalog'!$A:$A,MATCH($B3193,'Catalog'!$B:$B,0)),IFERROR(INDEX('Catalog'!$A:$A,MATCH(TRIM(SUBSTITUTE($B3193,CHAR(160)," ")),'Catalog'!$C:$C,0)),""))))</f>
        <v>4415297</v>
      </c>
      <c r="H3193" s="8" t="str">
        <f aca="false">IFERROR(INDEX('TRANS'!$C:$C,MATCH($B3193,'TRANS'!$A:$A,0)),IFERROR(INDEX('Catalog'!$B:$B,MATCH($G3193,'Catalog'!$A:$A,0)),$B3193))</f>
        <v>313 סט פלסטרים נגד שפשופים</v>
      </c>
      <c r="I3193" s="8" t="str">
        <f aca="false">IF($G3193="","Unmatched","Matched")</f>
        <v>Matched</v>
      </c>
      <c r="J3193" s="8" t="n">
        <f aca="false">IF($G3193&lt;&gt;"",$G3193,$B3193)</f>
        <v>4415297</v>
      </c>
      <c r="K3193" s="8" t="str">
        <f aca="false">IF(COUNTIF($M$1:$M$10,$A3193)&gt;0,"Y","N")</f>
        <v>N</v>
      </c>
    </row>
    <row r="3194" customFormat="false" ht="15" hidden="false" customHeight="true" outlineLevel="0" collapsed="false">
      <c r="A3194" s="8" t="s">
        <v>1078</v>
      </c>
      <c r="B3194" s="8" t="s">
        <v>609</v>
      </c>
      <c r="C3194" s="19" t="n">
        <v>30</v>
      </c>
      <c r="D3194" s="19" t="n">
        <v>181.54</v>
      </c>
      <c r="E3194" s="19" t="n">
        <v>10</v>
      </c>
      <c r="F3194" s="19" t="n">
        <v>57.38</v>
      </c>
      <c r="G3194" s="8" t="n">
        <f aca="false">IFERROR(INDEX('TRANS'!$B:$B,MATCH($B3194,'TRANS'!$A:$A,0)),IFERROR(INDEX('TRANS'!$B:$B,MATCH(TRIM(SUBSTITUTE($B3194,CHAR(160)," ")),'TRANS'!$D:$D,0)),IFERROR(INDEX('Catalog'!$A:$A,MATCH($B3194,'Catalog'!$B:$B,0)),IFERROR(INDEX('Catalog'!$A:$A,MATCH(TRIM(SUBSTITUTE($B3194,CHAR(160)," ")),'Catalog'!$C:$C,0)),""))))</f>
        <v>4402007</v>
      </c>
      <c r="H3194" s="8" t="str">
        <f aca="false">IFERROR(INDEX('TRANS'!$C:$C,MATCH($B3194,'TRANS'!$A:$A,0)),IFERROR(INDEX('Catalog'!$B:$B,MATCH($G3194,'Catalog'!$A:$A,0)),$B3194))</f>
        <v>320 בליסטר פלסטר</v>
      </c>
      <c r="I3194" s="8" t="str">
        <f aca="false">IF($G3194="","Unmatched","Matched")</f>
        <v>Matched</v>
      </c>
      <c r="J3194" s="8" t="n">
        <f aca="false">IF($G3194&lt;&gt;"",$G3194,$B3194)</f>
        <v>4402007</v>
      </c>
      <c r="K3194" s="8" t="str">
        <f aca="false">IF(COUNTIF($M$1:$M$10,$A3194)&gt;0,"Y","N")</f>
        <v>N</v>
      </c>
    </row>
    <row r="3195" customFormat="false" ht="15" hidden="false" customHeight="true" outlineLevel="0" collapsed="false">
      <c r="A3195" s="8" t="s">
        <v>1078</v>
      </c>
      <c r="B3195" s="8" t="s">
        <v>207</v>
      </c>
      <c r="C3195" s="19" t="n">
        <v>13</v>
      </c>
      <c r="D3195" s="19" t="n">
        <v>811.55</v>
      </c>
      <c r="E3195" s="19" t="n">
        <v>0</v>
      </c>
      <c r="F3195" s="19" t="n">
        <v>0</v>
      </c>
      <c r="G3195" s="8" t="str">
        <f aca="false">IFERROR(INDEX('TRANS'!$B:$B,MATCH($B3195,'TRANS'!$A:$A,0)),IFERROR(INDEX('TRANS'!$B:$B,MATCH(TRIM(SUBSTITUTE($B3195,CHAR(160)," ")),'TRANS'!$D:$D,0)),IFERROR(INDEX('Catalog'!$A:$A,MATCH($B3195,'Catalog'!$B:$B,0)),IFERROR(INDEX('Catalog'!$A:$A,MATCH(TRIM(SUBSTITUTE($B3195,CHAR(160)," ")),'Catalog'!$C:$C,0)),""))))</f>
        <v/>
      </c>
      <c r="H3195" s="8" t="str">
        <f aca="false">IFERROR(INDEX('TRANS'!$C:$C,MATCH($B3195,'TRANS'!$A:$A,0)),IFERROR(INDEX('Catalog'!$B:$B,MATCH($G3195,'Catalog'!$A:$A,0)),$B3195))</f>
        <v>332B L</v>
      </c>
      <c r="I3195" s="8" t="str">
        <f aca="false">IF($G3195="","Unmatched","Matched")</f>
        <v>Unmatched</v>
      </c>
      <c r="J3195" s="8" t="str">
        <f aca="false">IF($G3195&lt;&gt;"",$G3195,$B3195)</f>
        <v>332B L</v>
      </c>
      <c r="K3195" s="8" t="str">
        <f aca="false">IF(COUNTIF($M$1:$M$10,$A3195)&gt;0,"Y","N")</f>
        <v>N</v>
      </c>
    </row>
    <row r="3196" customFormat="false" ht="15" hidden="false" customHeight="true" outlineLevel="0" collapsed="false">
      <c r="A3196" s="8" t="s">
        <v>1078</v>
      </c>
      <c r="B3196" s="8" t="s">
        <v>277</v>
      </c>
      <c r="C3196" s="19" t="n">
        <v>10</v>
      </c>
      <c r="D3196" s="19" t="n">
        <v>623.26</v>
      </c>
      <c r="E3196" s="19" t="n">
        <v>0</v>
      </c>
      <c r="F3196" s="19" t="n">
        <v>0</v>
      </c>
      <c r="G3196" s="8" t="str">
        <f aca="false">IFERROR(INDEX('TRANS'!$B:$B,MATCH($B3196,'TRANS'!$A:$A,0)),IFERROR(INDEX('TRANS'!$B:$B,MATCH(TRIM(SUBSTITUTE($B3196,CHAR(160)," ")),'TRANS'!$D:$D,0)),IFERROR(INDEX('Catalog'!$A:$A,MATCH($B3196,'Catalog'!$B:$B,0)),IFERROR(INDEX('Catalog'!$A:$A,MATCH(TRIM(SUBSTITUTE($B3196,CHAR(160)," ")),'Catalog'!$C:$C,0)),""))))</f>
        <v/>
      </c>
      <c r="H3196" s="8" t="str">
        <f aca="false">IFERROR(INDEX('TRANS'!$C:$C,MATCH($B3196,'TRANS'!$A:$A,0)),IFERROR(INDEX('Catalog'!$B:$B,MATCH($G3196,'Catalog'!$A:$A,0)),$B3196))</f>
        <v>332B M</v>
      </c>
      <c r="I3196" s="8" t="str">
        <f aca="false">IF($G3196="","Unmatched","Matched")</f>
        <v>Unmatched</v>
      </c>
      <c r="J3196" s="8" t="str">
        <f aca="false">IF($G3196&lt;&gt;"",$G3196,$B3196)</f>
        <v>332B M</v>
      </c>
      <c r="K3196" s="8" t="str">
        <f aca="false">IF(COUNTIF($M$1:$M$10,$A3196)&gt;0,"Y","N")</f>
        <v>N</v>
      </c>
    </row>
    <row r="3197" customFormat="false" ht="15" hidden="false" customHeight="true" outlineLevel="0" collapsed="false">
      <c r="A3197" s="8" t="s">
        <v>1078</v>
      </c>
      <c r="B3197" s="8" t="s">
        <v>192</v>
      </c>
      <c r="C3197" s="19" t="n">
        <v>0</v>
      </c>
      <c r="D3197" s="19" t="n">
        <v>0</v>
      </c>
      <c r="E3197" s="19" t="n">
        <v>3</v>
      </c>
      <c r="F3197" s="19" t="n">
        <v>178.39</v>
      </c>
      <c r="G3197" s="8" t="str">
        <f aca="false">IFERROR(INDEX('TRANS'!$B:$B,MATCH($B3197,'TRANS'!$A:$A,0)),IFERROR(INDEX('TRANS'!$B:$B,MATCH(TRIM(SUBSTITUTE($B3197,CHAR(160)," ")),'TRANS'!$D:$D,0)),IFERROR(INDEX('Catalog'!$A:$A,MATCH($B3197,'Catalog'!$B:$B,0)),IFERROR(INDEX('Catalog'!$A:$A,MATCH(TRIM(SUBSTITUTE($B3197,CHAR(160)," ")),'Catalog'!$C:$C,0)),""))))</f>
        <v/>
      </c>
      <c r="H3197" s="8" t="str">
        <f aca="false">IFERROR(INDEX('TRANS'!$C:$C,MATCH($B3197,'TRANS'!$A:$A,0)),IFERROR(INDEX('Catalog'!$B:$B,MATCH($G3197,'Catalog'!$A:$A,0)),$B3197))</f>
        <v>332B XL</v>
      </c>
      <c r="I3197" s="8" t="str">
        <f aca="false">IF($G3197="","Unmatched","Matched")</f>
        <v>Unmatched</v>
      </c>
      <c r="J3197" s="8" t="str">
        <f aca="false">IF($G3197&lt;&gt;"",$G3197,$B3197)</f>
        <v>332B XL</v>
      </c>
      <c r="K3197" s="8" t="str">
        <f aca="false">IF(COUNTIF($M$1:$M$10,$A3197)&gt;0,"Y","N")</f>
        <v>N</v>
      </c>
    </row>
    <row r="3198" customFormat="false" ht="15" hidden="false" customHeight="true" outlineLevel="0" collapsed="false">
      <c r="A3198" s="8" t="s">
        <v>1078</v>
      </c>
      <c r="B3198" s="8" t="s">
        <v>910</v>
      </c>
      <c r="C3198" s="19" t="n">
        <v>45</v>
      </c>
      <c r="D3198" s="19" t="n">
        <v>928.42</v>
      </c>
      <c r="E3198" s="19" t="n">
        <v>90</v>
      </c>
      <c r="F3198" s="19" t="n">
        <v>1692.29</v>
      </c>
      <c r="G3198" s="8" t="n">
        <f aca="false">IFERROR(INDEX('TRANS'!$B:$B,MATCH($B3198,'TRANS'!$A:$A,0)),IFERROR(INDEX('TRANS'!$B:$B,MATCH(TRIM(SUBSTITUTE($B3198,CHAR(160)," ")),'TRANS'!$D:$D,0)),IFERROR(INDEX('Catalog'!$A:$A,MATCH($B3198,'Catalog'!$B:$B,0)),IFERROR(INDEX('Catalog'!$A:$A,MATCH(TRIM(SUBSTITUTE($B3198,CHAR(160)," ")),'Catalog'!$C:$C,0)),""))))</f>
        <v>4413043</v>
      </c>
      <c r="H3198" s="8" t="str">
        <f aca="false">IFERROR(INDEX('TRANS'!$C:$C,MATCH($B3198,'TRANS'!$A:$A,0)),IFERROR(INDEX('Catalog'!$B:$B,MATCH($G3198,'Catalog'!$A:$A,0)),$B3198))</f>
        <v>34  L מגן קרסול עקב סגור</v>
      </c>
      <c r="I3198" s="8" t="str">
        <f aca="false">IF($G3198="","Unmatched","Matched")</f>
        <v>Matched</v>
      </c>
      <c r="J3198" s="8" t="n">
        <f aca="false">IF($G3198&lt;&gt;"",$G3198,$B3198)</f>
        <v>4413043</v>
      </c>
      <c r="K3198" s="8" t="str">
        <f aca="false">IF(COUNTIF($M$1:$M$10,$A3198)&gt;0,"Y","N")</f>
        <v>N</v>
      </c>
    </row>
    <row r="3199" customFormat="false" ht="15" hidden="false" customHeight="true" outlineLevel="0" collapsed="false">
      <c r="A3199" s="8" t="s">
        <v>1078</v>
      </c>
      <c r="B3199" s="8" t="s">
        <v>915</v>
      </c>
      <c r="C3199" s="19" t="n">
        <v>65</v>
      </c>
      <c r="D3199" s="19" t="n">
        <v>1357.65</v>
      </c>
      <c r="E3199" s="19" t="n">
        <v>76</v>
      </c>
      <c r="F3199" s="19" t="n">
        <v>1434.7</v>
      </c>
      <c r="G3199" s="8" t="n">
        <f aca="false">IFERROR(INDEX('TRANS'!$B:$B,MATCH($B3199,'TRANS'!$A:$A,0)),IFERROR(INDEX('TRANS'!$B:$B,MATCH(TRIM(SUBSTITUTE($B3199,CHAR(160)," ")),'TRANS'!$D:$D,0)),IFERROR(INDEX('Catalog'!$A:$A,MATCH($B3199,'Catalog'!$B:$B,0)),IFERROR(INDEX('Catalog'!$A:$A,MATCH(TRIM(SUBSTITUTE($B3199,CHAR(160)," ")),'Catalog'!$C:$C,0)),""))))</f>
        <v>4413041</v>
      </c>
      <c r="H3199" s="8" t="str">
        <f aca="false">IFERROR(INDEX('TRANS'!$C:$C,MATCH($B3199,'TRANS'!$A:$A,0)),IFERROR(INDEX('Catalog'!$B:$B,MATCH($G3199,'Catalog'!$A:$A,0)),$B3199))</f>
        <v>34  M מגן קרסול עקב סגור</v>
      </c>
      <c r="I3199" s="8" t="str">
        <f aca="false">IF($G3199="","Unmatched","Matched")</f>
        <v>Matched</v>
      </c>
      <c r="J3199" s="8" t="n">
        <f aca="false">IF($G3199&lt;&gt;"",$G3199,$B3199)</f>
        <v>4413041</v>
      </c>
      <c r="K3199" s="8" t="str">
        <f aca="false">IF(COUNTIF($M$1:$M$10,$A3199)&gt;0,"Y","N")</f>
        <v>N</v>
      </c>
    </row>
    <row r="3200" customFormat="false" ht="15" hidden="false" customHeight="true" outlineLevel="0" collapsed="false">
      <c r="A3200" s="8" t="s">
        <v>1078</v>
      </c>
      <c r="B3200" s="8" t="s">
        <v>984</v>
      </c>
      <c r="C3200" s="19" t="n">
        <v>16</v>
      </c>
      <c r="D3200" s="19" t="n">
        <v>323.96</v>
      </c>
      <c r="E3200" s="19" t="n">
        <v>53</v>
      </c>
      <c r="F3200" s="19" t="n">
        <v>992.32</v>
      </c>
      <c r="G3200" s="8" t="n">
        <f aca="false">IFERROR(INDEX('TRANS'!$B:$B,MATCH($B3200,'TRANS'!$A:$A,0)),IFERROR(INDEX('TRANS'!$B:$B,MATCH(TRIM(SUBSTITUTE($B3200,CHAR(160)," ")),'TRANS'!$D:$D,0)),IFERROR(INDEX('Catalog'!$A:$A,MATCH($B3200,'Catalog'!$B:$B,0)),IFERROR(INDEX('Catalog'!$A:$A,MATCH(TRIM(SUBSTITUTE($B3200,CHAR(160)," ")),'Catalog'!$C:$C,0)),""))))</f>
        <v>4413042</v>
      </c>
      <c r="H3200" s="8" t="str">
        <f aca="false">IFERROR(INDEX('TRANS'!$C:$C,MATCH($B3200,'TRANS'!$A:$A,0)),IFERROR(INDEX('Catalog'!$B:$B,MATCH($G3200,'Catalog'!$A:$A,0)),$B3200))</f>
        <v>34  S מגן קרסול עקב סגור</v>
      </c>
      <c r="I3200" s="8" t="str">
        <f aca="false">IF($G3200="","Unmatched","Matched")</f>
        <v>Matched</v>
      </c>
      <c r="J3200" s="8" t="n">
        <f aca="false">IF($G3200&lt;&gt;"",$G3200,$B3200)</f>
        <v>4413042</v>
      </c>
      <c r="K3200" s="8" t="str">
        <f aca="false">IF(COUNTIF($M$1:$M$10,$A3200)&gt;0,"Y","N")</f>
        <v>N</v>
      </c>
    </row>
    <row r="3201" customFormat="false" ht="15" hidden="false" customHeight="true" outlineLevel="0" collapsed="false">
      <c r="A3201" s="8" t="s">
        <v>1078</v>
      </c>
      <c r="B3201" s="8" t="s">
        <v>916</v>
      </c>
      <c r="C3201" s="19" t="n">
        <v>16</v>
      </c>
      <c r="D3201" s="19" t="n">
        <v>330.11</v>
      </c>
      <c r="E3201" s="19" t="n">
        <v>22</v>
      </c>
      <c r="F3201" s="19" t="n">
        <v>412.9</v>
      </c>
      <c r="G3201" s="8" t="n">
        <f aca="false">IFERROR(INDEX('TRANS'!$B:$B,MATCH($B3201,'TRANS'!$A:$A,0)),IFERROR(INDEX('TRANS'!$B:$B,MATCH(TRIM(SUBSTITUTE($B3201,CHAR(160)," ")),'TRANS'!$D:$D,0)),IFERROR(INDEX('Catalog'!$A:$A,MATCH($B3201,'Catalog'!$B:$B,0)),IFERROR(INDEX('Catalog'!$A:$A,MATCH(TRIM(SUBSTITUTE($B3201,CHAR(160)," ")),'Catalog'!$C:$C,0)),""))))</f>
        <v>4413044</v>
      </c>
      <c r="H3201" s="8" t="str">
        <f aca="false">IFERROR(INDEX('TRANS'!$C:$C,MATCH($B3201,'TRANS'!$A:$A,0)),IFERROR(INDEX('Catalog'!$B:$B,MATCH($G3201,'Catalog'!$A:$A,0)),$B3201))</f>
        <v>34 XL מגן קרסול עקב סגור</v>
      </c>
      <c r="I3201" s="8" t="str">
        <f aca="false">IF($G3201="","Unmatched","Matched")</f>
        <v>Matched</v>
      </c>
      <c r="J3201" s="8" t="n">
        <f aca="false">IF($G3201&lt;&gt;"",$G3201,$B3201)</f>
        <v>4413044</v>
      </c>
      <c r="K3201" s="8" t="str">
        <f aca="false">IF(COUNTIF($M$1:$M$10,$A3201)&gt;0,"Y","N")</f>
        <v>N</v>
      </c>
    </row>
    <row r="3202" customFormat="false" ht="15" hidden="false" customHeight="true" outlineLevel="0" collapsed="false">
      <c r="A3202" s="8" t="s">
        <v>1078</v>
      </c>
      <c r="B3202" s="8" t="s">
        <v>985</v>
      </c>
      <c r="C3202" s="19" t="n">
        <v>6</v>
      </c>
      <c r="D3202" s="19" t="n">
        <v>133.49</v>
      </c>
      <c r="E3202" s="19" t="n">
        <v>6</v>
      </c>
      <c r="F3202" s="19" t="n">
        <v>115.4</v>
      </c>
      <c r="G3202" s="8" t="n">
        <f aca="false">IFERROR(INDEX('TRANS'!$B:$B,MATCH($B3202,'TRANS'!$A:$A,0)),IFERROR(INDEX('TRANS'!$B:$B,MATCH(TRIM(SUBSTITUTE($B3202,CHAR(160)," ")),'TRANS'!$D:$D,0)),IFERROR(INDEX('Catalog'!$A:$A,MATCH($B3202,'Catalog'!$B:$B,0)),IFERROR(INDEX('Catalog'!$A:$A,MATCH(TRIM(SUBSTITUTE($B3202,CHAR(160)," ")),'Catalog'!$C:$C,0)),""))))</f>
        <v>4413046</v>
      </c>
      <c r="H3202" s="8" t="str">
        <f aca="false">IFERROR(INDEX('TRANS'!$C:$C,MATCH($B3202,'TRANS'!$A:$A,0)),IFERROR(INDEX('Catalog'!$B:$B,MATCH($G3202,'Catalog'!$A:$A,0)),$B3202))</f>
        <v>34 XXL מגן קרסול עקב סגור</v>
      </c>
      <c r="I3202" s="8" t="str">
        <f aca="false">IF($G3202="","Unmatched","Matched")</f>
        <v>Matched</v>
      </c>
      <c r="J3202" s="8" t="n">
        <f aca="false">IF($G3202&lt;&gt;"",$G3202,$B3202)</f>
        <v>4413046</v>
      </c>
      <c r="K3202" s="8" t="str">
        <f aca="false">IF(COUNTIF($M$1:$M$10,$A3202)&gt;0,"Y","N")</f>
        <v>N</v>
      </c>
    </row>
    <row r="3203" customFormat="false" ht="15" hidden="false" customHeight="true" outlineLevel="0" collapsed="false">
      <c r="A3203" s="8" t="s">
        <v>1078</v>
      </c>
      <c r="B3203" s="8" t="s">
        <v>791</v>
      </c>
      <c r="C3203" s="19" t="n">
        <v>1</v>
      </c>
      <c r="D3203" s="19" t="n">
        <v>0.04</v>
      </c>
      <c r="E3203" s="19" t="n">
        <v>26</v>
      </c>
      <c r="F3203" s="19" t="n">
        <v>448.72</v>
      </c>
      <c r="G3203" s="8" t="n">
        <f aca="false">IFERROR(INDEX('TRANS'!$B:$B,MATCH($B3203,'TRANS'!$A:$A,0)),IFERROR(INDEX('TRANS'!$B:$B,MATCH(TRIM(SUBSTITUTE($B3203,CHAR(160)," ")),'TRANS'!$D:$D,0)),IFERROR(INDEX('Catalog'!$A:$A,MATCH($B3203,'Catalog'!$B:$B,0)),IFERROR(INDEX('Catalog'!$A:$A,MATCH(TRIM(SUBSTITUTE($B3203,CHAR(160)," ")),'Catalog'!$C:$C,0)),""))))</f>
        <v>4403040</v>
      </c>
      <c r="H3203" s="8" t="str">
        <f aca="false">IFERROR(INDEX('TRANS'!$C:$C,MATCH($B3203,'TRANS'!$A:$A,0)),IFERROR(INDEX('Catalog'!$B:$B,MATCH($G3203,'Catalog'!$A:$A,0)),$B3203))</f>
        <v>3444B גרבי ג'ל לריכוך עור העקב</v>
      </c>
      <c r="I3203" s="8" t="str">
        <f aca="false">IF($G3203="","Unmatched","Matched")</f>
        <v>Matched</v>
      </c>
      <c r="J3203" s="8" t="n">
        <f aca="false">IF($G3203&lt;&gt;"",$G3203,$B3203)</f>
        <v>4403040</v>
      </c>
      <c r="K3203" s="8" t="str">
        <f aca="false">IF(COUNTIF($M$1:$M$10,$A3203)&gt;0,"Y","N")</f>
        <v>N</v>
      </c>
    </row>
    <row r="3204" customFormat="false" ht="15" hidden="false" customHeight="true" outlineLevel="0" collapsed="false">
      <c r="A3204" s="8" t="s">
        <v>1078</v>
      </c>
      <c r="B3204" s="8" t="s">
        <v>613</v>
      </c>
      <c r="C3204" s="19" t="n">
        <v>20</v>
      </c>
      <c r="D3204" s="19" t="n">
        <v>199.82</v>
      </c>
      <c r="E3204" s="19" t="n">
        <v>0</v>
      </c>
      <c r="F3204" s="19" t="n">
        <v>0</v>
      </c>
      <c r="G3204" s="8" t="n">
        <f aca="false">IFERROR(INDEX('TRANS'!$B:$B,MATCH($B3204,'TRANS'!$A:$A,0)),IFERROR(INDEX('TRANS'!$B:$B,MATCH(TRIM(SUBSTITUTE($B3204,CHAR(160)," ")),'TRANS'!$D:$D,0)),IFERROR(INDEX('Catalog'!$A:$A,MATCH($B3204,'Catalog'!$B:$B,0)),IFERROR(INDEX('Catalog'!$A:$A,MATCH(TRIM(SUBSTITUTE($B3204,CHAR(160)," ")),'Catalog'!$C:$C,0)),""))))</f>
        <v>4413048</v>
      </c>
      <c r="H3204" s="8" t="str">
        <f aca="false">IFERROR(INDEX('TRANS'!$C:$C,MATCH($B3204,'TRANS'!$A:$A,0)),IFERROR(INDEX('Catalog'!$B:$B,MATCH($G3204,'Catalog'!$A:$A,0)),$B3204))</f>
        <v>35 L מגן קרסול לבן</v>
      </c>
      <c r="I3204" s="8" t="str">
        <f aca="false">IF($G3204="","Unmatched","Matched")</f>
        <v>Matched</v>
      </c>
      <c r="J3204" s="8" t="n">
        <f aca="false">IF($G3204&lt;&gt;"",$G3204,$B3204)</f>
        <v>4413048</v>
      </c>
      <c r="K3204" s="8" t="str">
        <f aca="false">IF(COUNTIF($M$1:$M$10,$A3204)&gt;0,"Y","N")</f>
        <v>N</v>
      </c>
    </row>
    <row r="3205" customFormat="false" ht="15" hidden="false" customHeight="true" outlineLevel="0" collapsed="false">
      <c r="A3205" s="8" t="s">
        <v>1078</v>
      </c>
      <c r="B3205" s="8" t="s">
        <v>614</v>
      </c>
      <c r="C3205" s="19" t="n">
        <v>20</v>
      </c>
      <c r="D3205" s="19" t="n">
        <v>199.82</v>
      </c>
      <c r="E3205" s="19" t="n">
        <v>6</v>
      </c>
      <c r="F3205" s="19" t="n">
        <v>53.18</v>
      </c>
      <c r="G3205" s="8" t="n">
        <f aca="false">IFERROR(INDEX('TRANS'!$B:$B,MATCH($B3205,'TRANS'!$A:$A,0)),IFERROR(INDEX('TRANS'!$B:$B,MATCH(TRIM(SUBSTITUTE($B3205,CHAR(160)," ")),'TRANS'!$D:$D,0)),IFERROR(INDEX('Catalog'!$A:$A,MATCH($B3205,'Catalog'!$B:$B,0)),IFERROR(INDEX('Catalog'!$A:$A,MATCH(TRIM(SUBSTITUTE($B3205,CHAR(160)," ")),'Catalog'!$C:$C,0)),""))))</f>
        <v>4413049</v>
      </c>
      <c r="H3205" s="8" t="str">
        <f aca="false">IFERROR(INDEX('TRANS'!$C:$C,MATCH($B3205,'TRANS'!$A:$A,0)),IFERROR(INDEX('Catalog'!$B:$B,MATCH($G3205,'Catalog'!$A:$A,0)),$B3205))</f>
        <v>35 M מגן קרסול לבן</v>
      </c>
      <c r="I3205" s="8" t="str">
        <f aca="false">IF($G3205="","Unmatched","Matched")</f>
        <v>Matched</v>
      </c>
      <c r="J3205" s="8" t="n">
        <f aca="false">IF($G3205&lt;&gt;"",$G3205,$B3205)</f>
        <v>4413049</v>
      </c>
      <c r="K3205" s="8" t="str">
        <f aca="false">IF(COUNTIF($M$1:$M$10,$A3205)&gt;0,"Y","N")</f>
        <v>N</v>
      </c>
    </row>
    <row r="3206" customFormat="false" ht="15" hidden="false" customHeight="true" outlineLevel="0" collapsed="false">
      <c r="A3206" s="8" t="s">
        <v>1078</v>
      </c>
      <c r="B3206" s="8" t="s">
        <v>793</v>
      </c>
      <c r="C3206" s="19" t="n">
        <v>10</v>
      </c>
      <c r="D3206" s="19" t="n">
        <v>97.43</v>
      </c>
      <c r="E3206" s="19" t="n">
        <v>0</v>
      </c>
      <c r="F3206" s="19" t="n">
        <v>0</v>
      </c>
      <c r="G3206" s="8" t="n">
        <f aca="false">IFERROR(INDEX('TRANS'!$B:$B,MATCH($B3206,'TRANS'!$A:$A,0)),IFERROR(INDEX('TRANS'!$B:$B,MATCH(TRIM(SUBSTITUTE($B3206,CHAR(160)," ")),'TRANS'!$D:$D,0)),IFERROR(INDEX('Catalog'!$A:$A,MATCH($B3206,'Catalog'!$B:$B,0)),IFERROR(INDEX('Catalog'!$A:$A,MATCH(TRIM(SUBSTITUTE($B3206,CHAR(160)," ")),'Catalog'!$C:$C,0)),""))))</f>
        <v>4413050</v>
      </c>
      <c r="H3206" s="8" t="str">
        <f aca="false">IFERROR(INDEX('TRANS'!$C:$C,MATCH($B3206,'TRANS'!$A:$A,0)),IFERROR(INDEX('Catalog'!$B:$B,MATCH($G3206,'Catalog'!$A:$A,0)),$B3206))</f>
        <v>35 XL מגן קרסול לבן</v>
      </c>
      <c r="I3206" s="8" t="str">
        <f aca="false">IF($G3206="","Unmatched","Matched")</f>
        <v>Matched</v>
      </c>
      <c r="J3206" s="8" t="n">
        <f aca="false">IF($G3206&lt;&gt;"",$G3206,$B3206)</f>
        <v>4413050</v>
      </c>
      <c r="K3206" s="8" t="str">
        <f aca="false">IF(COUNTIF($M$1:$M$10,$A3206)&gt;0,"Y","N")</f>
        <v>N</v>
      </c>
    </row>
    <row r="3207" customFormat="false" ht="15" hidden="false" customHeight="true" outlineLevel="0" collapsed="false">
      <c r="A3207" s="8" t="s">
        <v>1078</v>
      </c>
      <c r="B3207" s="8" t="s">
        <v>615</v>
      </c>
      <c r="C3207" s="19" t="n">
        <v>230</v>
      </c>
      <c r="D3207" s="19" t="n">
        <v>2506.49</v>
      </c>
      <c r="E3207" s="19" t="n">
        <v>180</v>
      </c>
      <c r="F3207" s="19" t="n">
        <v>1755.51</v>
      </c>
      <c r="G3207" s="8" t="n">
        <f aca="false">IFERROR(INDEX('TRANS'!$B:$B,MATCH($B3207,'TRANS'!$A:$A,0)),IFERROR(INDEX('TRANS'!$B:$B,MATCH(TRIM(SUBSTITUTE($B3207,CHAR(160)," ")),'TRANS'!$D:$D,0)),IFERROR(INDEX('Catalog'!$A:$A,MATCH($B3207,'Catalog'!$B:$B,0)),IFERROR(INDEX('Catalog'!$A:$A,MATCH(TRIM(SUBSTITUTE($B3207,CHAR(160)," ")),'Catalog'!$C:$C,0)),""))))</f>
        <v>4413490</v>
      </c>
      <c r="H3207" s="8" t="str">
        <f aca="false">IFERROR(INDEX('TRANS'!$C:$C,MATCH($B3207,'TRANS'!$A:$A,0)),IFERROR(INDEX('Catalog'!$B:$B,MATCH($G3207,'Catalog'!$A:$A,0)),$B3207))</f>
        <v>35B L מגן קרסול שחור</v>
      </c>
      <c r="I3207" s="8" t="str">
        <f aca="false">IF($G3207="","Unmatched","Matched")</f>
        <v>Matched</v>
      </c>
      <c r="J3207" s="8" t="n">
        <f aca="false">IF($G3207&lt;&gt;"",$G3207,$B3207)</f>
        <v>4413490</v>
      </c>
      <c r="K3207" s="8" t="str">
        <f aca="false">IF(COUNTIF($M$1:$M$10,$A3207)&gt;0,"Y","N")</f>
        <v>N</v>
      </c>
    </row>
    <row r="3208" customFormat="false" ht="15" hidden="false" customHeight="true" outlineLevel="0" collapsed="false">
      <c r="A3208" s="8" t="s">
        <v>1078</v>
      </c>
      <c r="B3208" s="8" t="s">
        <v>616</v>
      </c>
      <c r="C3208" s="19" t="n">
        <v>200</v>
      </c>
      <c r="D3208" s="19" t="n">
        <v>2169.33</v>
      </c>
      <c r="E3208" s="19" t="n">
        <v>180</v>
      </c>
      <c r="F3208" s="19" t="n">
        <v>1767.66</v>
      </c>
      <c r="G3208" s="8" t="n">
        <f aca="false">IFERROR(INDEX('TRANS'!$B:$B,MATCH($B3208,'TRANS'!$A:$A,0)),IFERROR(INDEX('TRANS'!$B:$B,MATCH(TRIM(SUBSTITUTE($B3208,CHAR(160)," ")),'TRANS'!$D:$D,0)),IFERROR(INDEX('Catalog'!$A:$A,MATCH($B3208,'Catalog'!$B:$B,0)),IFERROR(INDEX('Catalog'!$A:$A,MATCH(TRIM(SUBSTITUTE($B3208,CHAR(160)," ")),'Catalog'!$C:$C,0)),""))))</f>
        <v>4413492</v>
      </c>
      <c r="H3208" s="8" t="str">
        <f aca="false">IFERROR(INDEX('TRANS'!$C:$C,MATCH($B3208,'TRANS'!$A:$A,0)),IFERROR(INDEX('Catalog'!$B:$B,MATCH($G3208,'Catalog'!$A:$A,0)),$B3208))</f>
        <v>35B M מגן קרסול שחור</v>
      </c>
      <c r="I3208" s="8" t="str">
        <f aca="false">IF($G3208="","Unmatched","Matched")</f>
        <v>Matched</v>
      </c>
      <c r="J3208" s="8" t="n">
        <f aca="false">IF($G3208&lt;&gt;"",$G3208,$B3208)</f>
        <v>4413492</v>
      </c>
      <c r="K3208" s="8" t="str">
        <f aca="false">IF(COUNTIF($M$1:$M$10,$A3208)&gt;0,"Y","N")</f>
        <v>N</v>
      </c>
    </row>
    <row r="3209" customFormat="false" ht="15" hidden="false" customHeight="true" outlineLevel="0" collapsed="false">
      <c r="A3209" s="8" t="s">
        <v>1078</v>
      </c>
      <c r="B3209" s="8" t="s">
        <v>617</v>
      </c>
      <c r="C3209" s="19" t="n">
        <v>70</v>
      </c>
      <c r="D3209" s="19" t="n">
        <v>760.4</v>
      </c>
      <c r="E3209" s="19" t="n">
        <v>120</v>
      </c>
      <c r="F3209" s="19" t="n">
        <v>1161.27</v>
      </c>
      <c r="G3209" s="8" t="n">
        <f aca="false">IFERROR(INDEX('TRANS'!$B:$B,MATCH($B3209,'TRANS'!$A:$A,0)),IFERROR(INDEX('TRANS'!$B:$B,MATCH(TRIM(SUBSTITUTE($B3209,CHAR(160)," ")),'TRANS'!$D:$D,0)),IFERROR(INDEX('Catalog'!$A:$A,MATCH($B3209,'Catalog'!$B:$B,0)),IFERROR(INDEX('Catalog'!$A:$A,MATCH(TRIM(SUBSTITUTE($B3209,CHAR(160)," ")),'Catalog'!$C:$C,0)),""))))</f>
        <v>4413493</v>
      </c>
      <c r="H3209" s="8" t="str">
        <f aca="false">IFERROR(INDEX('TRANS'!$C:$C,MATCH($B3209,'TRANS'!$A:$A,0)),IFERROR(INDEX('Catalog'!$B:$B,MATCH($G3209,'Catalog'!$A:$A,0)),$B3209))</f>
        <v>35B S מגן קרסול שחור</v>
      </c>
      <c r="I3209" s="8" t="str">
        <f aca="false">IF($G3209="","Unmatched","Matched")</f>
        <v>Matched</v>
      </c>
      <c r="J3209" s="8" t="n">
        <f aca="false">IF($G3209&lt;&gt;"",$G3209,$B3209)</f>
        <v>4413493</v>
      </c>
      <c r="K3209" s="8" t="str">
        <f aca="false">IF(COUNTIF($M$1:$M$10,$A3209)&gt;0,"Y","N")</f>
        <v>N</v>
      </c>
    </row>
    <row r="3210" customFormat="false" ht="15" hidden="false" customHeight="true" outlineLevel="0" collapsed="false">
      <c r="A3210" s="8" t="s">
        <v>1078</v>
      </c>
      <c r="B3210" s="8" t="s">
        <v>618</v>
      </c>
      <c r="C3210" s="19" t="n">
        <v>155</v>
      </c>
      <c r="D3210" s="19" t="n">
        <v>1691.59</v>
      </c>
      <c r="E3210" s="19" t="n">
        <v>95</v>
      </c>
      <c r="F3210" s="19" t="n">
        <v>922.1</v>
      </c>
      <c r="G3210" s="8" t="n">
        <f aca="false">IFERROR(INDEX('TRANS'!$B:$B,MATCH($B3210,'TRANS'!$A:$A,0)),IFERROR(INDEX('TRANS'!$B:$B,MATCH(TRIM(SUBSTITUTE($B3210,CHAR(160)," ")),'TRANS'!$D:$D,0)),IFERROR(INDEX('Catalog'!$A:$A,MATCH($B3210,'Catalog'!$B:$B,0)),IFERROR(INDEX('Catalog'!$A:$A,MATCH(TRIM(SUBSTITUTE($B3210,CHAR(160)," ")),'Catalog'!$C:$C,0)),""))))</f>
        <v>4413491</v>
      </c>
      <c r="H3210" s="8" t="str">
        <f aca="false">IFERROR(INDEX('TRANS'!$C:$C,MATCH($B3210,'TRANS'!$A:$A,0)),IFERROR(INDEX('Catalog'!$B:$B,MATCH($G3210,'Catalog'!$A:$A,0)),$B3210))</f>
        <v>35B XL מגן קרסול שחור</v>
      </c>
      <c r="I3210" s="8" t="str">
        <f aca="false">IF($G3210="","Unmatched","Matched")</f>
        <v>Matched</v>
      </c>
      <c r="J3210" s="8" t="n">
        <f aca="false">IF($G3210&lt;&gt;"",$G3210,$B3210)</f>
        <v>4413491</v>
      </c>
      <c r="K3210" s="8" t="str">
        <f aca="false">IF(COUNTIF($M$1:$M$10,$A3210)&gt;0,"Y","N")</f>
        <v>N</v>
      </c>
    </row>
    <row r="3211" customFormat="false" ht="15" hidden="false" customHeight="true" outlineLevel="0" collapsed="false">
      <c r="A3211" s="8" t="s">
        <v>1078</v>
      </c>
      <c r="B3211" s="8" t="s">
        <v>619</v>
      </c>
      <c r="C3211" s="19" t="n">
        <v>35</v>
      </c>
      <c r="D3211" s="19" t="n">
        <v>385.93</v>
      </c>
      <c r="E3211" s="19" t="n">
        <v>31</v>
      </c>
      <c r="F3211" s="19" t="n">
        <v>308.96</v>
      </c>
      <c r="G3211" s="8" t="n">
        <f aca="false">IFERROR(INDEX('TRANS'!$B:$B,MATCH($B3211,'TRANS'!$A:$A,0)),IFERROR(INDEX('TRANS'!$B:$B,MATCH(TRIM(SUBSTITUTE($B3211,CHAR(160)," ")),'TRANS'!$D:$D,0)),IFERROR(INDEX('Catalog'!$A:$A,MATCH($B3211,'Catalog'!$B:$B,0)),IFERROR(INDEX('Catalog'!$A:$A,MATCH(TRIM(SUBSTITUTE($B3211,CHAR(160)," ")),'Catalog'!$C:$C,0)),""))))</f>
        <v>4413494</v>
      </c>
      <c r="H3211" s="8" t="str">
        <f aca="false">IFERROR(INDEX('TRANS'!$C:$C,MATCH($B3211,'TRANS'!$A:$A,0)),IFERROR(INDEX('Catalog'!$B:$B,MATCH($G3211,'Catalog'!$A:$A,0)),$B3211))</f>
        <v>35B XXL מגן קרסול שחור</v>
      </c>
      <c r="I3211" s="8" t="str">
        <f aca="false">IF($G3211="","Unmatched","Matched")</f>
        <v>Matched</v>
      </c>
      <c r="J3211" s="8" t="n">
        <f aca="false">IF($G3211&lt;&gt;"",$G3211,$B3211)</f>
        <v>4413494</v>
      </c>
      <c r="K3211" s="8" t="str">
        <f aca="false">IF(COUNTIF($M$1:$M$10,$A3211)&gt;0,"Y","N")</f>
        <v>N</v>
      </c>
    </row>
    <row r="3212" customFormat="false" ht="15" hidden="false" customHeight="true" outlineLevel="0" collapsed="false">
      <c r="A3212" s="8" t="s">
        <v>1078</v>
      </c>
      <c r="B3212" s="8" t="s">
        <v>620</v>
      </c>
      <c r="C3212" s="19" t="n">
        <v>100</v>
      </c>
      <c r="D3212" s="19" t="n">
        <v>1024.84</v>
      </c>
      <c r="E3212" s="19" t="n">
        <v>120</v>
      </c>
      <c r="F3212" s="19" t="n">
        <v>1120.49</v>
      </c>
      <c r="G3212" s="8" t="n">
        <f aca="false">IFERROR(INDEX('TRANS'!$B:$B,MATCH($B3212,'TRANS'!$A:$A,0)),IFERROR(INDEX('TRANS'!$B:$B,MATCH(TRIM(SUBSTITUTE($B3212,CHAR(160)," ")),'TRANS'!$D:$D,0)),IFERROR(INDEX('Catalog'!$A:$A,MATCH($B3212,'Catalog'!$B:$B,0)),IFERROR(INDEX('Catalog'!$A:$A,MATCH(TRIM(SUBSTITUTE($B3212,CHAR(160)," ")),'Catalog'!$C:$C,0)),""))))</f>
        <v>4413053</v>
      </c>
      <c r="H3212" s="8" t="str">
        <f aca="false">IFERROR(INDEX('TRANS'!$C:$C,MATCH($B3212,'TRANS'!$A:$A,0)),IFERROR(INDEX('Catalog'!$B:$B,MATCH($G3212,'Catalog'!$A:$A,0)),$B3212))</f>
        <v>35C L מגן קרסול חום</v>
      </c>
      <c r="I3212" s="8" t="str">
        <f aca="false">IF($G3212="","Unmatched","Matched")</f>
        <v>Matched</v>
      </c>
      <c r="J3212" s="8" t="n">
        <f aca="false">IF($G3212&lt;&gt;"",$G3212,$B3212)</f>
        <v>4413053</v>
      </c>
      <c r="K3212" s="8" t="str">
        <f aca="false">IF(COUNTIF($M$1:$M$10,$A3212)&gt;0,"Y","N")</f>
        <v>N</v>
      </c>
    </row>
    <row r="3213" customFormat="false" ht="15" hidden="false" customHeight="true" outlineLevel="0" collapsed="false">
      <c r="A3213" s="8" t="s">
        <v>1078</v>
      </c>
      <c r="B3213" s="8" t="s">
        <v>621</v>
      </c>
      <c r="C3213" s="19" t="n">
        <v>135</v>
      </c>
      <c r="D3213" s="19" t="n">
        <v>1378.31</v>
      </c>
      <c r="E3213" s="19" t="n">
        <v>150</v>
      </c>
      <c r="F3213" s="19" t="n">
        <v>1404.19</v>
      </c>
      <c r="G3213" s="8" t="n">
        <f aca="false">IFERROR(INDEX('TRANS'!$B:$B,MATCH($B3213,'TRANS'!$A:$A,0)),IFERROR(INDEX('TRANS'!$B:$B,MATCH(TRIM(SUBSTITUTE($B3213,CHAR(160)," ")),'TRANS'!$D:$D,0)),IFERROR(INDEX('Catalog'!$A:$A,MATCH($B3213,'Catalog'!$B:$B,0)),IFERROR(INDEX('Catalog'!$A:$A,MATCH(TRIM(SUBSTITUTE($B3213,CHAR(160)," ")),'Catalog'!$C:$C,0)),""))))</f>
        <v>4413054</v>
      </c>
      <c r="H3213" s="8" t="str">
        <f aca="false">IFERROR(INDEX('TRANS'!$C:$C,MATCH($B3213,'TRANS'!$A:$A,0)),IFERROR(INDEX('Catalog'!$B:$B,MATCH($G3213,'Catalog'!$A:$A,0)),$B3213))</f>
        <v>35C M מגן קרסול חום</v>
      </c>
      <c r="I3213" s="8" t="str">
        <f aca="false">IF($G3213="","Unmatched","Matched")</f>
        <v>Matched</v>
      </c>
      <c r="J3213" s="8" t="n">
        <f aca="false">IF($G3213&lt;&gt;"",$G3213,$B3213)</f>
        <v>4413054</v>
      </c>
      <c r="K3213" s="8" t="str">
        <f aca="false">IF(COUNTIF($M$1:$M$10,$A3213)&gt;0,"Y","N")</f>
        <v>N</v>
      </c>
    </row>
    <row r="3214" customFormat="false" ht="15" hidden="false" customHeight="true" outlineLevel="0" collapsed="false">
      <c r="A3214" s="8" t="s">
        <v>1078</v>
      </c>
      <c r="B3214" s="8" t="s">
        <v>622</v>
      </c>
      <c r="C3214" s="19" t="n">
        <v>35</v>
      </c>
      <c r="D3214" s="19" t="n">
        <v>352.64</v>
      </c>
      <c r="E3214" s="19" t="n">
        <v>60</v>
      </c>
      <c r="F3214" s="19" t="n">
        <v>557.42</v>
      </c>
      <c r="G3214" s="8" t="n">
        <f aca="false">IFERROR(INDEX('TRANS'!$B:$B,MATCH($B3214,'TRANS'!$A:$A,0)),IFERROR(INDEX('TRANS'!$B:$B,MATCH(TRIM(SUBSTITUTE($B3214,CHAR(160)," ")),'TRANS'!$D:$D,0)),IFERROR(INDEX('Catalog'!$A:$A,MATCH($B3214,'Catalog'!$B:$B,0)),IFERROR(INDEX('Catalog'!$A:$A,MATCH(TRIM(SUBSTITUTE($B3214,CHAR(160)," ")),'Catalog'!$C:$C,0)),""))))</f>
        <v>4413052</v>
      </c>
      <c r="H3214" s="8" t="str">
        <f aca="false">IFERROR(INDEX('TRANS'!$C:$C,MATCH($B3214,'TRANS'!$A:$A,0)),IFERROR(INDEX('Catalog'!$B:$B,MATCH($G3214,'Catalog'!$A:$A,0)),$B3214))</f>
        <v>35C S מגן קרסול חום</v>
      </c>
      <c r="I3214" s="8" t="str">
        <f aca="false">IF($G3214="","Unmatched","Matched")</f>
        <v>Matched</v>
      </c>
      <c r="J3214" s="8" t="n">
        <f aca="false">IF($G3214&lt;&gt;"",$G3214,$B3214)</f>
        <v>4413052</v>
      </c>
      <c r="K3214" s="8" t="str">
        <f aca="false">IF(COUNTIF($M$1:$M$10,$A3214)&gt;0,"Y","N")</f>
        <v>N</v>
      </c>
    </row>
    <row r="3215" customFormat="false" ht="15" hidden="false" customHeight="true" outlineLevel="0" collapsed="false">
      <c r="A3215" s="8" t="s">
        <v>1078</v>
      </c>
      <c r="B3215" s="8" t="s">
        <v>795</v>
      </c>
      <c r="C3215" s="19" t="n">
        <v>60</v>
      </c>
      <c r="D3215" s="19" t="n">
        <v>616.44</v>
      </c>
      <c r="E3215" s="19" t="n">
        <v>51</v>
      </c>
      <c r="F3215" s="19" t="n">
        <v>469.84</v>
      </c>
      <c r="G3215" s="8" t="n">
        <f aca="false">IFERROR(INDEX('TRANS'!$B:$B,MATCH($B3215,'TRANS'!$A:$A,0)),IFERROR(INDEX('TRANS'!$B:$B,MATCH(TRIM(SUBSTITUTE($B3215,CHAR(160)," ")),'TRANS'!$D:$D,0)),IFERROR(INDEX('Catalog'!$A:$A,MATCH($B3215,'Catalog'!$B:$B,0)),IFERROR(INDEX('Catalog'!$A:$A,MATCH(TRIM(SUBSTITUTE($B3215,CHAR(160)," ")),'Catalog'!$C:$C,0)),""))))</f>
        <v>4413055</v>
      </c>
      <c r="H3215" s="8" t="str">
        <f aca="false">IFERROR(INDEX('TRANS'!$C:$C,MATCH($B3215,'TRANS'!$A:$A,0)),IFERROR(INDEX('Catalog'!$B:$B,MATCH($G3215,'Catalog'!$A:$A,0)),$B3215))</f>
        <v>35C XL מגן קרסול חום</v>
      </c>
      <c r="I3215" s="8" t="str">
        <f aca="false">IF($G3215="","Unmatched","Matched")</f>
        <v>Matched</v>
      </c>
      <c r="J3215" s="8" t="n">
        <f aca="false">IF($G3215&lt;&gt;"",$G3215,$B3215)</f>
        <v>4413055</v>
      </c>
      <c r="K3215" s="8" t="str">
        <f aca="false">IF(COUNTIF($M$1:$M$10,$A3215)&gt;0,"Y","N")</f>
        <v>N</v>
      </c>
    </row>
    <row r="3216" customFormat="false" ht="15" hidden="false" customHeight="true" outlineLevel="0" collapsed="false">
      <c r="A3216" s="8" t="s">
        <v>1078</v>
      </c>
      <c r="B3216" s="8" t="s">
        <v>189</v>
      </c>
      <c r="C3216" s="19" t="n">
        <v>6</v>
      </c>
      <c r="D3216" s="19" t="n">
        <v>59.89</v>
      </c>
      <c r="E3216" s="19" t="n">
        <v>24</v>
      </c>
      <c r="F3216" s="19" t="n">
        <v>223.21</v>
      </c>
      <c r="G3216" s="8" t="str">
        <f aca="false">IFERROR(INDEX('TRANS'!$B:$B,MATCH($B3216,'TRANS'!$A:$A,0)),IFERROR(INDEX('TRANS'!$B:$B,MATCH(TRIM(SUBSTITUTE($B3216,CHAR(160)," ")),'TRANS'!$D:$D,0)),IFERROR(INDEX('Catalog'!$A:$A,MATCH($B3216,'Catalog'!$B:$B,0)),IFERROR(INDEX('Catalog'!$A:$A,MATCH(TRIM(SUBSTITUTE($B3216,CHAR(160)," ")),'Catalog'!$C:$C,0)),""))))</f>
        <v/>
      </c>
      <c r="H3216" s="8" t="str">
        <f aca="false">IFERROR(INDEX('TRANS'!$C:$C,MATCH($B3216,'TRANS'!$A:$A,0)),IFERROR(INDEX('Catalog'!$B:$B,MATCH($G3216,'Catalog'!$A:$A,0)),$B3216))</f>
        <v>35C XXL</v>
      </c>
      <c r="I3216" s="8" t="str">
        <f aca="false">IF($G3216="","Unmatched","Matched")</f>
        <v>Unmatched</v>
      </c>
      <c r="J3216" s="8" t="str">
        <f aca="false">IF($G3216&lt;&gt;"",$G3216,$B3216)</f>
        <v>35C XXL</v>
      </c>
      <c r="K3216" s="8" t="str">
        <f aca="false">IF(COUNTIF($M$1:$M$10,$A3216)&gt;0,"Y","N")</f>
        <v>N</v>
      </c>
    </row>
    <row r="3217" customFormat="false" ht="15" hidden="false" customHeight="true" outlineLevel="0" collapsed="false">
      <c r="A3217" s="8" t="s">
        <v>1078</v>
      </c>
      <c r="B3217" s="8" t="s">
        <v>623</v>
      </c>
      <c r="C3217" s="19" t="n">
        <v>220</v>
      </c>
      <c r="D3217" s="19" t="n">
        <v>5456.05</v>
      </c>
      <c r="E3217" s="19" t="n">
        <v>160</v>
      </c>
      <c r="F3217" s="19" t="n">
        <v>3525.24</v>
      </c>
      <c r="G3217" s="8" t="n">
        <f aca="false">IFERROR(INDEX('TRANS'!$B:$B,MATCH($B3217,'TRANS'!$A:$A,0)),IFERROR(INDEX('TRANS'!$B:$B,MATCH(TRIM(SUBSTITUTE($B3217,CHAR(160)," ")),'TRANS'!$D:$D,0)),IFERROR(INDEX('Catalog'!$A:$A,MATCH($B3217,'Catalog'!$B:$B,0)),IFERROR(INDEX('Catalog'!$A:$A,MATCH(TRIM(SUBSTITUTE($B3217,CHAR(160)," ")),'Catalog'!$C:$C,0)),""))))</f>
        <v>4421007</v>
      </c>
      <c r="H3217" s="8" t="str">
        <f aca="false">IFERROR(INDEX('TRANS'!$C:$C,MATCH($B3217,'TRANS'!$A:$A,0)),IFERROR(INDEX('Catalog'!$B:$B,MATCH($G3217,'Catalog'!$A:$A,0)),$B3217))</f>
        <v>שרוול לגבס קצר רגל</v>
      </c>
      <c r="I3217" s="8" t="str">
        <f aca="false">IF($G3217="","Unmatched","Matched")</f>
        <v>Matched</v>
      </c>
      <c r="J3217" s="8" t="n">
        <f aca="false">IF($G3217&lt;&gt;"",$G3217,$B3217)</f>
        <v>4421007</v>
      </c>
      <c r="K3217" s="8" t="str">
        <f aca="false">IF(COUNTIF($M$1:$M$10,$A3217)&gt;0,"Y","N")</f>
        <v>N</v>
      </c>
    </row>
    <row r="3218" customFormat="false" ht="15" hidden="false" customHeight="true" outlineLevel="0" collapsed="false">
      <c r="A3218" s="8" t="s">
        <v>1078</v>
      </c>
      <c r="B3218" s="8" t="s">
        <v>624</v>
      </c>
      <c r="C3218" s="19" t="n">
        <v>240</v>
      </c>
      <c r="D3218" s="19" t="n">
        <v>6330.7</v>
      </c>
      <c r="E3218" s="19" t="n">
        <v>170</v>
      </c>
      <c r="F3218" s="19" t="n">
        <v>4025.84</v>
      </c>
      <c r="G3218" s="8" t="n">
        <f aca="false">IFERROR(INDEX('TRANS'!$B:$B,MATCH($B3218,'TRANS'!$A:$A,0)),IFERROR(INDEX('TRANS'!$B:$B,MATCH(TRIM(SUBSTITUTE($B3218,CHAR(160)," ")),'TRANS'!$D:$D,0)),IFERROR(INDEX('Catalog'!$A:$A,MATCH($B3218,'Catalog'!$B:$B,0)),IFERROR(INDEX('Catalog'!$A:$A,MATCH(TRIM(SUBSTITUTE($B3218,CHAR(160)," ")),'Catalog'!$C:$C,0)),""))))</f>
        <v>4421008</v>
      </c>
      <c r="H3218" s="8" t="str">
        <f aca="false">IFERROR(INDEX('TRANS'!$C:$C,MATCH($B3218,'TRANS'!$A:$A,0)),IFERROR(INDEX('Catalog'!$B:$B,MATCH($G3218,'Catalog'!$A:$A,0)),$B3218))</f>
        <v>שרוול לגבס ארוך רגל</v>
      </c>
      <c r="I3218" s="8" t="str">
        <f aca="false">IF($G3218="","Unmatched","Matched")</f>
        <v>Matched</v>
      </c>
      <c r="J3218" s="8" t="n">
        <f aca="false">IF($G3218&lt;&gt;"",$G3218,$B3218)</f>
        <v>4421008</v>
      </c>
      <c r="K3218" s="8" t="str">
        <f aca="false">IF(COUNTIF($M$1:$M$10,$A3218)&gt;0,"Y","N")</f>
        <v>N</v>
      </c>
    </row>
    <row r="3219" customFormat="false" ht="15" hidden="false" customHeight="true" outlineLevel="0" collapsed="false">
      <c r="A3219" s="8" t="s">
        <v>1078</v>
      </c>
      <c r="B3219" s="8" t="s">
        <v>625</v>
      </c>
      <c r="C3219" s="19" t="n">
        <v>0</v>
      </c>
      <c r="D3219" s="19" t="n">
        <v>0</v>
      </c>
      <c r="E3219" s="19" t="n">
        <v>21</v>
      </c>
      <c r="F3219" s="19" t="n">
        <v>587.6</v>
      </c>
      <c r="G3219" s="8" t="n">
        <f aca="false">IFERROR(INDEX('TRANS'!$B:$B,MATCH($B3219,'TRANS'!$A:$A,0)),IFERROR(INDEX('TRANS'!$B:$B,MATCH(TRIM(SUBSTITUTE($B3219,CHAR(160)," ")),'TRANS'!$D:$D,0)),IFERROR(INDEX('Catalog'!$A:$A,MATCH($B3219,'Catalog'!$B:$B,0)),IFERROR(INDEX('Catalog'!$A:$A,MATCH(TRIM(SUBSTITUTE($B3219,CHAR(160)," ")),'Catalog'!$C:$C,0)),""))))</f>
        <v>4421001</v>
      </c>
      <c r="H3219" s="8" t="str">
        <f aca="false">IFERROR(INDEX('TRANS'!$C:$C,MATCH($B3219,'TRANS'!$A:$A,0)),IFERROR(INDEX('Catalog'!$B:$B,MATCH($G3219,'Catalog'!$A:$A,0)),$B3219))</f>
        <v>3611 שרוול מטטרזלי מסיליקון</v>
      </c>
      <c r="I3219" s="8" t="str">
        <f aca="false">IF($G3219="","Unmatched","Matched")</f>
        <v>Matched</v>
      </c>
      <c r="J3219" s="8" t="n">
        <f aca="false">IF($G3219&lt;&gt;"",$G3219,$B3219)</f>
        <v>4421001</v>
      </c>
      <c r="K3219" s="8" t="str">
        <f aca="false">IF(COUNTIF($M$1:$M$10,$A3219)&gt;0,"Y","N")</f>
        <v>N</v>
      </c>
    </row>
    <row r="3220" customFormat="false" ht="15" hidden="false" customHeight="true" outlineLevel="0" collapsed="false">
      <c r="A3220" s="8" t="s">
        <v>1078</v>
      </c>
      <c r="B3220" s="8" t="s">
        <v>626</v>
      </c>
      <c r="C3220" s="19" t="n">
        <v>6</v>
      </c>
      <c r="D3220" s="19" t="n">
        <v>84.19</v>
      </c>
      <c r="E3220" s="19" t="n">
        <v>18</v>
      </c>
      <c r="F3220" s="19" t="n">
        <v>225.73</v>
      </c>
      <c r="G3220" s="8" t="n">
        <f aca="false">IFERROR(INDEX('TRANS'!$B:$B,MATCH($B3220,'TRANS'!$A:$A,0)),IFERROR(INDEX('TRANS'!$B:$B,MATCH(TRIM(SUBSTITUTE($B3220,CHAR(160)," ")),'TRANS'!$D:$D,0)),IFERROR(INDEX('Catalog'!$A:$A,MATCH($B3220,'Catalog'!$B:$B,0)),IFERROR(INDEX('Catalog'!$A:$A,MATCH(TRIM(SUBSTITUTE($B3220,CHAR(160)," ")),'Catalog'!$C:$C,0)),""))))</f>
        <v>4411000</v>
      </c>
      <c r="H3220" s="8" t="str">
        <f aca="false">IFERROR(INDEX('TRANS'!$C:$C,MATCH($B3220,'TRANS'!$A:$A,0)),IFERROR(INDEX('Catalog'!$B:$B,MATCH($G3220,'Catalog'!$A:$A,0)),$B3220))</f>
        <v>כרית מטטרזלי סיליקון362</v>
      </c>
      <c r="I3220" s="8" t="str">
        <f aca="false">IF($G3220="","Unmatched","Matched")</f>
        <v>Matched</v>
      </c>
      <c r="J3220" s="8" t="n">
        <f aca="false">IF($G3220&lt;&gt;"",$G3220,$B3220)</f>
        <v>4411000</v>
      </c>
      <c r="K3220" s="8" t="str">
        <f aca="false">IF(COUNTIF($M$1:$M$10,$A3220)&gt;0,"Y","N")</f>
        <v>N</v>
      </c>
    </row>
    <row r="3221" customFormat="false" ht="15" hidden="false" customHeight="true" outlineLevel="0" collapsed="false">
      <c r="A3221" s="8" t="s">
        <v>1078</v>
      </c>
      <c r="B3221" s="8" t="s">
        <v>628</v>
      </c>
      <c r="C3221" s="19" t="n">
        <v>136</v>
      </c>
      <c r="D3221" s="19" t="n">
        <v>2135.79</v>
      </c>
      <c r="E3221" s="19" t="n">
        <v>170</v>
      </c>
      <c r="F3221" s="19" t="n">
        <v>2362.38</v>
      </c>
      <c r="G3221" s="8" t="n">
        <f aca="false">IFERROR(INDEX('TRANS'!$B:$B,MATCH($B3221,'TRANS'!$A:$A,0)),IFERROR(INDEX('TRANS'!$B:$B,MATCH(TRIM(SUBSTITUTE($B3221,CHAR(160)," ")),'TRANS'!$D:$D,0)),IFERROR(INDEX('Catalog'!$A:$A,MATCH($B3221,'Catalog'!$B:$B,0)),IFERROR(INDEX('Catalog'!$A:$A,MATCH(TRIM(SUBSTITUTE($B3221,CHAR(160)," ")),'Catalog'!$C:$C,0)),""))))</f>
        <v>4411001</v>
      </c>
      <c r="H3221" s="8" t="str">
        <f aca="false">IFERROR(INDEX('TRANS'!$C:$C,MATCH($B3221,'TRANS'!$A:$A,0)),IFERROR(INDEX('Catalog'!$B:$B,MATCH($G3221,'Catalog'!$A:$A,0)),$B3221))</f>
        <v>3623 כרית ליישור אצבע פטיש</v>
      </c>
      <c r="I3221" s="8" t="str">
        <f aca="false">IF($G3221="","Unmatched","Matched")</f>
        <v>Matched</v>
      </c>
      <c r="J3221" s="8" t="n">
        <f aca="false">IF($G3221&lt;&gt;"",$G3221,$B3221)</f>
        <v>4411001</v>
      </c>
      <c r="K3221" s="8" t="str">
        <f aca="false">IF(COUNTIF($M$1:$M$10,$A3221)&gt;0,"Y","N")</f>
        <v>N</v>
      </c>
    </row>
    <row r="3222" customFormat="false" ht="15" hidden="false" customHeight="true" outlineLevel="0" collapsed="false">
      <c r="A3222" s="8" t="s">
        <v>1078</v>
      </c>
      <c r="B3222" s="8" t="s">
        <v>190</v>
      </c>
      <c r="C3222" s="19" t="n">
        <v>0</v>
      </c>
      <c r="D3222" s="19" t="n">
        <v>0</v>
      </c>
      <c r="E3222" s="19" t="n">
        <v>1</v>
      </c>
      <c r="F3222" s="19" t="n">
        <v>0.03</v>
      </c>
      <c r="G3222" s="8" t="str">
        <f aca="false">IFERROR(INDEX('TRANS'!$B:$B,MATCH($B3222,'TRANS'!$A:$A,0)),IFERROR(INDEX('TRANS'!$B:$B,MATCH(TRIM(SUBSTITUTE($B3222,CHAR(160)," ")),'TRANS'!$D:$D,0)),IFERROR(INDEX('Catalog'!$A:$A,MATCH($B3222,'Catalog'!$B:$B,0)),IFERROR(INDEX('Catalog'!$A:$A,MATCH(TRIM(SUBSTITUTE($B3222,CHAR(160)," ")),'Catalog'!$C:$C,0)),""))))</f>
        <v/>
      </c>
      <c r="H3222" s="8" t="str">
        <f aca="false">IFERROR(INDEX('TRANS'!$C:$C,MATCH($B3222,'TRANS'!$A:$A,0)),IFERROR(INDEX('Catalog'!$B:$B,MATCH($G3222,'Catalog'!$A:$A,0)),$B3222))</f>
        <v>364XL+ 0</v>
      </c>
      <c r="I3222" s="8" t="str">
        <f aca="false">IF($G3222="","Unmatched","Matched")</f>
        <v>Unmatched</v>
      </c>
      <c r="J3222" s="8" t="str">
        <f aca="false">IF($G3222&lt;&gt;"",$G3222,$B3222)</f>
        <v>364XL+ 0</v>
      </c>
      <c r="K3222" s="8" t="str">
        <f aca="false">IF(COUNTIF($M$1:$M$10,$A3222)&gt;0,"Y","N")</f>
        <v>N</v>
      </c>
    </row>
    <row r="3223" customFormat="false" ht="15" hidden="false" customHeight="true" outlineLevel="0" collapsed="false">
      <c r="A3223" s="8" t="s">
        <v>1078</v>
      </c>
      <c r="B3223" s="8" t="s">
        <v>631</v>
      </c>
      <c r="C3223" s="19" t="n">
        <v>300</v>
      </c>
      <c r="D3223" s="19" t="n">
        <v>1576.45</v>
      </c>
      <c r="E3223" s="19" t="n">
        <v>40</v>
      </c>
      <c r="F3223" s="19" t="n">
        <v>196.74</v>
      </c>
      <c r="G3223" s="8" t="n">
        <f aca="false">IFERROR(INDEX('TRANS'!$B:$B,MATCH($B3223,'TRANS'!$A:$A,0)),IFERROR(INDEX('TRANS'!$B:$B,MATCH(TRIM(SUBSTITUTE($B3223,CHAR(160)," ")),'TRANS'!$D:$D,0)),IFERROR(INDEX('Catalog'!$A:$A,MATCH($B3223,'Catalog'!$B:$B,0)),IFERROR(INDEX('Catalog'!$A:$A,MATCH(TRIM(SUBSTITUTE($B3223,CHAR(160)," ")),'Catalog'!$C:$C,0)),""))))</f>
        <v>4413061</v>
      </c>
      <c r="H3223" s="8" t="str">
        <f aca="false">IFERROR(INDEX('TRANS'!$C:$C,MATCH($B3223,'TRANS'!$A:$A,0)),IFERROR(INDEX('Catalog'!$B:$B,MATCH($G3223,'Catalog'!$A:$A,0)),$B3223))</f>
        <v>3641-מיישר בוהן סיליקון קשיח</v>
      </c>
      <c r="I3223" s="8" t="str">
        <f aca="false">IF($G3223="","Unmatched","Matched")</f>
        <v>Matched</v>
      </c>
      <c r="J3223" s="8" t="n">
        <f aca="false">IF($G3223&lt;&gt;"",$G3223,$B3223)</f>
        <v>4413061</v>
      </c>
      <c r="K3223" s="8" t="str">
        <f aca="false">IF(COUNTIF($M$1:$M$10,$A3223)&gt;0,"Y","N")</f>
        <v>N</v>
      </c>
    </row>
    <row r="3224" customFormat="false" ht="15" hidden="false" customHeight="true" outlineLevel="0" collapsed="false">
      <c r="A3224" s="8" t="s">
        <v>1078</v>
      </c>
      <c r="B3224" s="8" t="s">
        <v>633</v>
      </c>
      <c r="C3224" s="19" t="n">
        <v>290</v>
      </c>
      <c r="D3224" s="19" t="n">
        <v>2483.87</v>
      </c>
      <c r="E3224" s="19" t="n">
        <v>370</v>
      </c>
      <c r="F3224" s="19" t="n">
        <v>2824.71</v>
      </c>
      <c r="G3224" s="8" t="n">
        <f aca="false">IFERROR(INDEX('TRANS'!$B:$B,MATCH($B3224,'TRANS'!$A:$A,0)),IFERROR(INDEX('TRANS'!$B:$B,MATCH(TRIM(SUBSTITUTE($B3224,CHAR(160)," ")),'TRANS'!$D:$D,0)),IFERROR(INDEX('Catalog'!$A:$A,MATCH($B3224,'Catalog'!$B:$B,0)),IFERROR(INDEX('Catalog'!$A:$A,MATCH(TRIM(SUBSTITUTE($B3224,CHAR(160)," ")),'Catalog'!$C:$C,0)),""))))</f>
        <v>4421000</v>
      </c>
      <c r="H3224" s="8" t="str">
        <f aca="false">IFERROR(INDEX('TRANS'!$C:$C,MATCH($B3224,'TRANS'!$A:$A,0)),IFERROR(INDEX('Catalog'!$B:$B,MATCH($G3224,'Catalog'!$A:$A,0)),$B3224))</f>
        <v>3655 שרוול מסיליקון לאצבע</v>
      </c>
      <c r="I3224" s="8" t="str">
        <f aca="false">IF($G3224="","Unmatched","Matched")</f>
        <v>Matched</v>
      </c>
      <c r="J3224" s="8" t="n">
        <f aca="false">IF($G3224&lt;&gt;"",$G3224,$B3224)</f>
        <v>4421000</v>
      </c>
      <c r="K3224" s="8" t="str">
        <f aca="false">IF(COUNTIF($M$1:$M$10,$A3224)&gt;0,"Y","N")</f>
        <v>N</v>
      </c>
    </row>
    <row r="3225" customFormat="false" ht="15" hidden="false" customHeight="true" outlineLevel="0" collapsed="false">
      <c r="A3225" s="8" t="s">
        <v>1078</v>
      </c>
      <c r="B3225" s="8" t="s">
        <v>635</v>
      </c>
      <c r="C3225" s="19" t="n">
        <v>16</v>
      </c>
      <c r="D3225" s="19" t="n">
        <v>245.68</v>
      </c>
      <c r="E3225" s="19" t="n">
        <v>38</v>
      </c>
      <c r="F3225" s="19" t="n">
        <v>547.34</v>
      </c>
      <c r="G3225" s="8" t="n">
        <f aca="false">IFERROR(INDEX('TRANS'!$B:$B,MATCH($B3225,'TRANS'!$A:$A,0)),IFERROR(INDEX('TRANS'!$B:$B,MATCH(TRIM(SUBSTITUTE($B3225,CHAR(160)," ")),'TRANS'!$D:$D,0)),IFERROR(INDEX('Catalog'!$A:$A,MATCH($B3225,'Catalog'!$B:$B,0)),IFERROR(INDEX('Catalog'!$A:$A,MATCH(TRIM(SUBSTITUTE($B3225,CHAR(160)," ")),'Catalog'!$C:$C,0)),""))))</f>
        <v>4413307</v>
      </c>
      <c r="H3225" s="8" t="str">
        <f aca="false">IFERROR(INDEX('TRANS'!$C:$C,MATCH($B3225,'TRANS'!$A:$A,0)),IFERROR(INDEX('Catalog'!$B:$B,MATCH($G3225,'Catalog'!$A:$A,0)),$B3225))</f>
        <v>URI 3667 מגן בוניון</v>
      </c>
      <c r="I3225" s="8" t="str">
        <f aca="false">IF($G3225="","Unmatched","Matched")</f>
        <v>Matched</v>
      </c>
      <c r="J3225" s="8" t="n">
        <f aca="false">IF($G3225&lt;&gt;"",$G3225,$B3225)</f>
        <v>4413307</v>
      </c>
      <c r="K3225" s="8" t="str">
        <f aca="false">IF(COUNTIF($M$1:$M$10,$A3225)&gt;0,"Y","N")</f>
        <v>N</v>
      </c>
    </row>
    <row r="3226" customFormat="false" ht="15" hidden="false" customHeight="true" outlineLevel="0" collapsed="false">
      <c r="A3226" s="8" t="s">
        <v>1078</v>
      </c>
      <c r="B3226" s="8" t="s">
        <v>637</v>
      </c>
      <c r="C3226" s="19" t="n">
        <v>16</v>
      </c>
      <c r="D3226" s="19" t="n">
        <v>277.58</v>
      </c>
      <c r="E3226" s="19" t="n">
        <v>46</v>
      </c>
      <c r="F3226" s="19" t="n">
        <v>762.78</v>
      </c>
      <c r="G3226" s="8" t="n">
        <f aca="false">IFERROR(INDEX('TRANS'!$B:$B,MATCH($B3226,'TRANS'!$A:$A,0)),IFERROR(INDEX('TRANS'!$B:$B,MATCH(TRIM(SUBSTITUTE($B3226,CHAR(160)," ")),'TRANS'!$D:$D,0)),IFERROR(INDEX('Catalog'!$A:$A,MATCH($B3226,'Catalog'!$B:$B,0)),IFERROR(INDEX('Catalog'!$A:$A,MATCH(TRIM(SUBSTITUTE($B3226,CHAR(160)," ")),'Catalog'!$C:$C,0)),""))))</f>
        <v>4421003</v>
      </c>
      <c r="H3226" s="8" t="str">
        <f aca="false">IFERROR(INDEX('TRANS'!$C:$C,MATCH($B3226,'TRANS'!$A:$A,0)),IFERROR(INDEX('Catalog'!$B:$B,MATCH($G3226,'Catalog'!$A:$A,0)),$B3226))</f>
        <v>3672 שרוול מגן לבוניון</v>
      </c>
      <c r="I3226" s="8" t="str">
        <f aca="false">IF($G3226="","Unmatched","Matched")</f>
        <v>Matched</v>
      </c>
      <c r="J3226" s="8" t="n">
        <f aca="false">IF($G3226&lt;&gt;"",$G3226,$B3226)</f>
        <v>4421003</v>
      </c>
      <c r="K3226" s="8" t="str">
        <f aca="false">IF(COUNTIF($M$1:$M$10,$A3226)&gt;0,"Y","N")</f>
        <v>N</v>
      </c>
    </row>
    <row r="3227" customFormat="false" ht="15" hidden="false" customHeight="true" outlineLevel="0" collapsed="false">
      <c r="A3227" s="8" t="s">
        <v>1078</v>
      </c>
      <c r="B3227" s="8" t="s">
        <v>638</v>
      </c>
      <c r="C3227" s="19" t="n">
        <v>38</v>
      </c>
      <c r="D3227" s="19" t="n">
        <v>608.77</v>
      </c>
      <c r="E3227" s="19" t="n">
        <v>56</v>
      </c>
      <c r="F3227" s="19" t="n">
        <v>820.4</v>
      </c>
      <c r="G3227" s="8" t="n">
        <f aca="false">IFERROR(INDEX('TRANS'!$B:$B,MATCH($B3227,'TRANS'!$A:$A,0)),IFERROR(INDEX('TRANS'!$B:$B,MATCH(TRIM(SUBSTITUTE($B3227,CHAR(160)," ")),'TRANS'!$D:$D,0)),IFERROR(INDEX('Catalog'!$A:$A,MATCH($B3227,'Catalog'!$B:$B,0)),IFERROR(INDEX('Catalog'!$A:$A,MATCH(TRIM(SUBSTITUTE($B3227,CHAR(160)," ")),'Catalog'!$C:$C,0)),""))))</f>
        <v>4413370</v>
      </c>
      <c r="H3227" s="8" t="str">
        <f aca="false">IFERROR(INDEX('TRANS'!$C:$C,MATCH($B3227,'TRANS'!$A:$A,0)),IFERROR(INDEX('Catalog'!$B:$B,MATCH($G3227,'Catalog'!$A:$A,0)),$B3227))</f>
        <v>3674 0 מ.בוניון+מפריד אצבע</v>
      </c>
      <c r="I3227" s="8" t="str">
        <f aca="false">IF($G3227="","Unmatched","Matched")</f>
        <v>Matched</v>
      </c>
      <c r="J3227" s="8" t="n">
        <f aca="false">IF($G3227&lt;&gt;"",$G3227,$B3227)</f>
        <v>4413370</v>
      </c>
      <c r="K3227" s="8" t="str">
        <f aca="false">IF(COUNTIF($M$1:$M$10,$A3227)&gt;0,"Y","N")</f>
        <v>N</v>
      </c>
    </row>
    <row r="3228" customFormat="false" ht="15" hidden="false" customHeight="true" outlineLevel="0" collapsed="false">
      <c r="A3228" s="8" t="s">
        <v>1078</v>
      </c>
      <c r="B3228" s="8" t="s">
        <v>639</v>
      </c>
      <c r="C3228" s="19" t="n">
        <v>0</v>
      </c>
      <c r="D3228" s="19" t="n">
        <v>0</v>
      </c>
      <c r="E3228" s="19" t="n">
        <v>38</v>
      </c>
      <c r="F3228" s="19" t="n">
        <v>462.83</v>
      </c>
      <c r="G3228" s="8" t="n">
        <f aca="false">IFERROR(INDEX('TRANS'!$B:$B,MATCH($B3228,'TRANS'!$A:$A,0)),IFERROR(INDEX('TRANS'!$B:$B,MATCH(TRIM(SUBSTITUTE($B3228,CHAR(160)," ")),'TRANS'!$D:$D,0)),IFERROR(INDEX('Catalog'!$A:$A,MATCH($B3228,'Catalog'!$B:$B,0)),IFERROR(INDEX('Catalog'!$A:$A,MATCH(TRIM(SUBSTITUTE($B3228,CHAR(160)," ")),'Catalog'!$C:$C,0)),""))))</f>
        <v>4413371</v>
      </c>
      <c r="H3228" s="8" t="str">
        <f aca="false">IFERROR(INDEX('TRANS'!$C:$C,MATCH($B3228,'TRANS'!$A:$A,0)),IFERROR(INDEX('Catalog'!$B:$B,MATCH($G3228,'Catalog'!$A:$A,0)),$B3228))</f>
        <v>3675    מגן זרת מסיליקון</v>
      </c>
      <c r="I3228" s="8" t="str">
        <f aca="false">IF($G3228="","Unmatched","Matched")</f>
        <v>Matched</v>
      </c>
      <c r="J3228" s="8" t="n">
        <f aca="false">IF($G3228&lt;&gt;"",$G3228,$B3228)</f>
        <v>4413371</v>
      </c>
      <c r="K3228" s="8" t="str">
        <f aca="false">IF(COUNTIF($M$1:$M$10,$A3228)&gt;0,"Y","N")</f>
        <v>N</v>
      </c>
    </row>
    <row r="3229" customFormat="false" ht="15" hidden="false" customHeight="true" outlineLevel="0" collapsed="false">
      <c r="A3229" s="8" t="s">
        <v>1078</v>
      </c>
      <c r="B3229" s="8" t="s">
        <v>642</v>
      </c>
      <c r="C3229" s="19" t="n">
        <v>110</v>
      </c>
      <c r="D3229" s="19" t="n">
        <v>682.52</v>
      </c>
      <c r="E3229" s="19" t="n">
        <v>120</v>
      </c>
      <c r="F3229" s="19" t="n">
        <v>675.87</v>
      </c>
      <c r="G3229" s="8" t="n">
        <f aca="false">IFERROR(INDEX('TRANS'!$B:$B,MATCH($B3229,'TRANS'!$A:$A,0)),IFERROR(INDEX('TRANS'!$B:$B,MATCH(TRIM(SUBSTITUTE($B3229,CHAR(160)," ")),'TRANS'!$D:$D,0)),IFERROR(INDEX('Catalog'!$A:$A,MATCH($B3229,'Catalog'!$B:$B,0)),IFERROR(INDEX('Catalog'!$A:$A,MATCH(TRIM(SUBSTITUTE($B3229,CHAR(160)," ")),'Catalog'!$C:$C,0)),""))))</f>
        <v>4420000</v>
      </c>
      <c r="H3229" s="8" t="str">
        <f aca="false">IFERROR(INDEX('TRANS'!$C:$C,MATCH($B3229,'TRANS'!$A:$A,0)),IFERROR(INDEX('Catalog'!$B:$B,MATCH($G3229,'Catalog'!$A:$A,0)),$B3229))</f>
        <v>370  רפידת נוחות-זוג</v>
      </c>
      <c r="I3229" s="8" t="str">
        <f aca="false">IF($G3229="","Unmatched","Matched")</f>
        <v>Matched</v>
      </c>
      <c r="J3229" s="8" t="n">
        <f aca="false">IF($G3229&lt;&gt;"",$G3229,$B3229)</f>
        <v>4420000</v>
      </c>
      <c r="K3229" s="8" t="str">
        <f aca="false">IF(COUNTIF($M$1:$M$10,$A3229)&gt;0,"Y","N")</f>
        <v>N</v>
      </c>
    </row>
    <row r="3230" customFormat="false" ht="15" hidden="false" customHeight="true" outlineLevel="0" collapsed="false">
      <c r="A3230" s="8" t="s">
        <v>1078</v>
      </c>
      <c r="B3230" s="8" t="s">
        <v>643</v>
      </c>
      <c r="C3230" s="19" t="n">
        <v>45</v>
      </c>
      <c r="D3230" s="19" t="n">
        <v>291.19</v>
      </c>
      <c r="E3230" s="19" t="n">
        <v>80</v>
      </c>
      <c r="F3230" s="19" t="n">
        <v>475.96</v>
      </c>
      <c r="G3230" s="8" t="n">
        <f aca="false">IFERROR(INDEX('TRANS'!$B:$B,MATCH($B3230,'TRANS'!$A:$A,0)),IFERROR(INDEX('TRANS'!$B:$B,MATCH(TRIM(SUBSTITUTE($B3230,CHAR(160)," ")),'TRANS'!$D:$D,0)),IFERROR(INDEX('Catalog'!$A:$A,MATCH($B3230,'Catalog'!$B:$B,0)),IFERROR(INDEX('Catalog'!$A:$A,MATCH(TRIM(SUBSTITUTE($B3230,CHAR(160)," ")),'Catalog'!$C:$C,0)),""))))</f>
        <v>4420027</v>
      </c>
      <c r="H3230" s="8" t="str">
        <f aca="false">IFERROR(INDEX('TRANS'!$C:$C,MATCH($B3230,'TRANS'!$A:$A,0)),IFERROR(INDEX('Catalog'!$B:$B,MATCH($G3230,'Catalog'!$A:$A,0)),$B3230))</f>
        <v>370K 0 רפידת לילדים אנטי ריח</v>
      </c>
      <c r="I3230" s="8" t="str">
        <f aca="false">IF($G3230="","Unmatched","Matched")</f>
        <v>Matched</v>
      </c>
      <c r="J3230" s="8" t="n">
        <f aca="false">IF($G3230&lt;&gt;"",$G3230,$B3230)</f>
        <v>4420027</v>
      </c>
      <c r="K3230" s="8" t="str">
        <f aca="false">IF(COUNTIF($M$1:$M$10,$A3230)&gt;0,"Y","N")</f>
        <v>N</v>
      </c>
    </row>
    <row r="3231" customFormat="false" ht="15" hidden="false" customHeight="true" outlineLevel="0" collapsed="false">
      <c r="A3231" s="8" t="s">
        <v>1078</v>
      </c>
      <c r="B3231" s="8" t="s">
        <v>644</v>
      </c>
      <c r="C3231" s="19" t="n">
        <v>100</v>
      </c>
      <c r="D3231" s="19" t="n">
        <v>613.89</v>
      </c>
      <c r="E3231" s="19" t="n">
        <v>110</v>
      </c>
      <c r="F3231" s="19" t="n">
        <v>588.8</v>
      </c>
      <c r="G3231" s="8" t="n">
        <f aca="false">IFERROR(INDEX('TRANS'!$B:$B,MATCH($B3231,'TRANS'!$A:$A,0)),IFERROR(INDEX('TRANS'!$B:$B,MATCH(TRIM(SUBSTITUTE($B3231,CHAR(160)," ")),'TRANS'!$D:$D,0)),IFERROR(INDEX('Catalog'!$A:$A,MATCH($B3231,'Catalog'!$B:$B,0)),IFERROR(INDEX('Catalog'!$A:$A,MATCH(TRIM(SUBSTITUTE($B3231,CHAR(160)," ")),'Catalog'!$C:$C,0)),""))))</f>
        <v>4420001</v>
      </c>
      <c r="H3231" s="8" t="str">
        <f aca="false">IFERROR(INDEX('TRANS'!$C:$C,MATCH($B3231,'TRANS'!$A:$A,0)),IFERROR(INDEX('Catalog'!$B:$B,MATCH($G3231,'Catalog'!$A:$A,0)),$B3231))</f>
        <v>371 רפידת מגבת כותנה-זוג</v>
      </c>
      <c r="I3231" s="8" t="str">
        <f aca="false">IF($G3231="","Unmatched","Matched")</f>
        <v>Matched</v>
      </c>
      <c r="J3231" s="8" t="n">
        <f aca="false">IF($G3231&lt;&gt;"",$G3231,$B3231)</f>
        <v>4420001</v>
      </c>
      <c r="K3231" s="8" t="str">
        <f aca="false">IF(COUNTIF($M$1:$M$10,$A3231)&gt;0,"Y","N")</f>
        <v>N</v>
      </c>
    </row>
    <row r="3232" customFormat="false" ht="15" hidden="false" customHeight="true" outlineLevel="0" collapsed="false">
      <c r="A3232" s="8" t="s">
        <v>1078</v>
      </c>
      <c r="B3232" s="8" t="s">
        <v>645</v>
      </c>
      <c r="C3232" s="19" t="n">
        <v>155</v>
      </c>
      <c r="D3232" s="19" t="n">
        <v>1090.36</v>
      </c>
      <c r="E3232" s="19" t="n">
        <v>185</v>
      </c>
      <c r="F3232" s="19" t="n">
        <v>1182.72</v>
      </c>
      <c r="G3232" s="8" t="n">
        <f aca="false">IFERROR(INDEX('TRANS'!$B:$B,MATCH($B3232,'TRANS'!$A:$A,0)),IFERROR(INDEX('TRANS'!$B:$B,MATCH(TRIM(SUBSTITUTE($B3232,CHAR(160)," ")),'TRANS'!$D:$D,0)),IFERROR(INDEX('Catalog'!$A:$A,MATCH($B3232,'Catalog'!$B:$B,0)),IFERROR(INDEX('Catalog'!$A:$A,MATCH(TRIM(SUBSTITUTE($B3232,CHAR(160)," ")),'Catalog'!$C:$C,0)),""))))</f>
        <v>4420002</v>
      </c>
      <c r="H3232" s="8" t="str">
        <f aca="false">IFERROR(INDEX('TRANS'!$C:$C,MATCH($B3232,'TRANS'!$A:$A,0)),IFERROR(INDEX('Catalog'!$B:$B,MATCH($G3232,'Catalog'!$A:$A,0)),$B3232))</f>
        <v>372 רפידת אנטי ריח -זוג</v>
      </c>
      <c r="I3232" s="8" t="str">
        <f aca="false">IF($G3232="","Unmatched","Matched")</f>
        <v>Matched</v>
      </c>
      <c r="J3232" s="8" t="n">
        <f aca="false">IF($G3232&lt;&gt;"",$G3232,$B3232)</f>
        <v>4420002</v>
      </c>
      <c r="K3232" s="8" t="str">
        <f aca="false">IF(COUNTIF($M$1:$M$10,$A3232)&gt;0,"Y","N")</f>
        <v>N</v>
      </c>
    </row>
    <row r="3233" customFormat="false" ht="15" hidden="false" customHeight="true" outlineLevel="0" collapsed="false">
      <c r="A3233" s="8" t="s">
        <v>1078</v>
      </c>
      <c r="B3233" s="8" t="s">
        <v>646</v>
      </c>
      <c r="C3233" s="19" t="n">
        <v>65</v>
      </c>
      <c r="D3233" s="19" t="n">
        <v>552.9</v>
      </c>
      <c r="E3233" s="19" t="n">
        <v>70</v>
      </c>
      <c r="F3233" s="19" t="n">
        <v>539.09</v>
      </c>
      <c r="G3233" s="8" t="n">
        <f aca="false">IFERROR(INDEX('TRANS'!$B:$B,MATCH($B3233,'TRANS'!$A:$A,0)),IFERROR(INDEX('TRANS'!$B:$B,MATCH(TRIM(SUBSTITUTE($B3233,CHAR(160)," ")),'TRANS'!$D:$D,0)),IFERROR(INDEX('Catalog'!$A:$A,MATCH($B3233,'Catalog'!$B:$B,0)),IFERROR(INDEX('Catalog'!$A:$A,MATCH(TRIM(SUBSTITUTE($B3233,CHAR(160)," ")),'Catalog'!$C:$C,0)),""))))</f>
        <v>4420003</v>
      </c>
      <c r="H3233" s="8" t="str">
        <f aca="false">IFERROR(INDEX('TRANS'!$C:$C,MATCH($B3233,'TRANS'!$A:$A,0)),IFERROR(INDEX('Catalog'!$B:$B,MATCH($G3233,'Catalog'!$A:$A,0)),$B3233))</f>
        <v>374 רפידת בולמת זעזועים -זוג</v>
      </c>
      <c r="I3233" s="8" t="str">
        <f aca="false">IF($G3233="","Unmatched","Matched")</f>
        <v>Matched</v>
      </c>
      <c r="J3233" s="8" t="n">
        <f aca="false">IF($G3233&lt;&gt;"",$G3233,$B3233)</f>
        <v>4420003</v>
      </c>
      <c r="K3233" s="8" t="str">
        <f aca="false">IF(COUNTIF($M$1:$M$10,$A3233)&gt;0,"Y","N")</f>
        <v>N</v>
      </c>
    </row>
    <row r="3234" customFormat="false" ht="15" hidden="false" customHeight="true" outlineLevel="0" collapsed="false">
      <c r="A3234" s="8" t="s">
        <v>1078</v>
      </c>
      <c r="B3234" s="8" t="s">
        <v>264</v>
      </c>
      <c r="C3234" s="19" t="n">
        <v>72</v>
      </c>
      <c r="D3234" s="19" t="n">
        <v>1049.25</v>
      </c>
      <c r="E3234" s="19" t="n">
        <v>60</v>
      </c>
      <c r="F3234" s="19" t="n">
        <v>795.85</v>
      </c>
      <c r="G3234" s="8" t="str">
        <f aca="false">IFERROR(INDEX('TRANS'!$B:$B,MATCH($B3234,'TRANS'!$A:$A,0)),IFERROR(INDEX('TRANS'!$B:$B,MATCH(TRIM(SUBSTITUTE($B3234,CHAR(160)," ")),'TRANS'!$D:$D,0)),IFERROR(INDEX('Catalog'!$A:$A,MATCH($B3234,'Catalog'!$B:$B,0)),IFERROR(INDEX('Catalog'!$A:$A,MATCH(TRIM(SUBSTITUTE($B3234,CHAR(160)," ")),'Catalog'!$C:$C,0)),""))))</f>
        <v/>
      </c>
      <c r="H3234" s="8" t="str">
        <f aca="false">IFERROR(INDEX('TRANS'!$C:$C,MATCH($B3234,'TRANS'!$A:$A,0)),IFERROR(INDEX('Catalog'!$B:$B,MATCH($G3234,'Catalog'!$A:$A,0)),$B3234))</f>
        <v>376-35-37</v>
      </c>
      <c r="I3234" s="8" t="str">
        <f aca="false">IF($G3234="","Unmatched","Matched")</f>
        <v>Unmatched</v>
      </c>
      <c r="J3234" s="8" t="str">
        <f aca="false">IF($G3234&lt;&gt;"",$G3234,$B3234)</f>
        <v>376-35-37</v>
      </c>
      <c r="K3234" s="8" t="str">
        <f aca="false">IF(COUNTIF($M$1:$M$10,$A3234)&gt;0,"Y","N")</f>
        <v>N</v>
      </c>
    </row>
    <row r="3235" customFormat="false" ht="15" hidden="false" customHeight="true" outlineLevel="0" collapsed="false">
      <c r="A3235" s="8" t="s">
        <v>1078</v>
      </c>
      <c r="B3235" s="8" t="s">
        <v>121</v>
      </c>
      <c r="C3235" s="19" t="n">
        <v>170</v>
      </c>
      <c r="D3235" s="19" t="n">
        <v>2479.51</v>
      </c>
      <c r="E3235" s="19" t="n">
        <v>80</v>
      </c>
      <c r="F3235" s="19" t="n">
        <v>1092.49</v>
      </c>
      <c r="G3235" s="8" t="str">
        <f aca="false">IFERROR(INDEX('TRANS'!$B:$B,MATCH($B3235,'TRANS'!$A:$A,0)),IFERROR(INDEX('TRANS'!$B:$B,MATCH(TRIM(SUBSTITUTE($B3235,CHAR(160)," ")),'TRANS'!$D:$D,0)),IFERROR(INDEX('Catalog'!$A:$A,MATCH($B3235,'Catalog'!$B:$B,0)),IFERROR(INDEX('Catalog'!$A:$A,MATCH(TRIM(SUBSTITUTE($B3235,CHAR(160)," ")),'Catalog'!$C:$C,0)),""))))</f>
        <v/>
      </c>
      <c r="H3235" s="8" t="str">
        <f aca="false">IFERROR(INDEX('TRANS'!$C:$C,MATCH($B3235,'TRANS'!$A:$A,0)),IFERROR(INDEX('Catalog'!$B:$B,MATCH($G3235,'Catalog'!$A:$A,0)),$B3235))</f>
        <v>376-38-40</v>
      </c>
      <c r="I3235" s="8" t="str">
        <f aca="false">IF($G3235="","Unmatched","Matched")</f>
        <v>Unmatched</v>
      </c>
      <c r="J3235" s="8" t="str">
        <f aca="false">IF($G3235&lt;&gt;"",$G3235,$B3235)</f>
        <v>376-38-40</v>
      </c>
      <c r="K3235" s="8" t="str">
        <f aca="false">IF(COUNTIF($M$1:$M$10,$A3235)&gt;0,"Y","N")</f>
        <v>N</v>
      </c>
    </row>
    <row r="3236" customFormat="false" ht="15" hidden="false" customHeight="true" outlineLevel="0" collapsed="false">
      <c r="A3236" s="8" t="s">
        <v>1078</v>
      </c>
      <c r="B3236" s="8" t="s">
        <v>78</v>
      </c>
      <c r="C3236" s="19" t="n">
        <v>410</v>
      </c>
      <c r="D3236" s="19" t="n">
        <v>5992.02</v>
      </c>
      <c r="E3236" s="19" t="n">
        <v>190</v>
      </c>
      <c r="F3236" s="19" t="n">
        <v>2504.54</v>
      </c>
      <c r="G3236" s="8" t="str">
        <f aca="false">IFERROR(INDEX('TRANS'!$B:$B,MATCH($B3236,'TRANS'!$A:$A,0)),IFERROR(INDEX('TRANS'!$B:$B,MATCH(TRIM(SUBSTITUTE($B3236,CHAR(160)," ")),'TRANS'!$D:$D,0)),IFERROR(INDEX('Catalog'!$A:$A,MATCH($B3236,'Catalog'!$B:$B,0)),IFERROR(INDEX('Catalog'!$A:$A,MATCH(TRIM(SUBSTITUTE($B3236,CHAR(160)," ")),'Catalog'!$C:$C,0)),""))))</f>
        <v/>
      </c>
      <c r="H3236" s="8" t="str">
        <f aca="false">IFERROR(INDEX('TRANS'!$C:$C,MATCH($B3236,'TRANS'!$A:$A,0)),IFERROR(INDEX('Catalog'!$B:$B,MATCH($G3236,'Catalog'!$A:$A,0)),$B3236))</f>
        <v>376-41-43</v>
      </c>
      <c r="I3236" s="8" t="str">
        <f aca="false">IF($G3236="","Unmatched","Matched")</f>
        <v>Unmatched</v>
      </c>
      <c r="J3236" s="8" t="str">
        <f aca="false">IF($G3236&lt;&gt;"",$G3236,$B3236)</f>
        <v>376-41-43</v>
      </c>
      <c r="K3236" s="8" t="str">
        <f aca="false">IF(COUNTIF($M$1:$M$10,$A3236)&gt;0,"Y","N")</f>
        <v>N</v>
      </c>
    </row>
    <row r="3237" customFormat="false" ht="15" hidden="false" customHeight="true" outlineLevel="0" collapsed="false">
      <c r="A3237" s="8" t="s">
        <v>1078</v>
      </c>
      <c r="B3237" s="8" t="s">
        <v>81</v>
      </c>
      <c r="C3237" s="19" t="n">
        <v>180</v>
      </c>
      <c r="D3237" s="19" t="n">
        <v>2649.87</v>
      </c>
      <c r="E3237" s="19" t="n">
        <v>170</v>
      </c>
      <c r="F3237" s="19" t="n">
        <v>2259.45</v>
      </c>
      <c r="G3237" s="8" t="str">
        <f aca="false">IFERROR(INDEX('TRANS'!$B:$B,MATCH($B3237,'TRANS'!$A:$A,0)),IFERROR(INDEX('TRANS'!$B:$B,MATCH(TRIM(SUBSTITUTE($B3237,CHAR(160)," ")),'TRANS'!$D:$D,0)),IFERROR(INDEX('Catalog'!$A:$A,MATCH($B3237,'Catalog'!$B:$B,0)),IFERROR(INDEX('Catalog'!$A:$A,MATCH(TRIM(SUBSTITUTE($B3237,CHAR(160)," ")),'Catalog'!$C:$C,0)),""))))</f>
        <v/>
      </c>
      <c r="H3237" s="8" t="str">
        <f aca="false">IFERROR(INDEX('TRANS'!$C:$C,MATCH($B3237,'TRANS'!$A:$A,0)),IFERROR(INDEX('Catalog'!$B:$B,MATCH($G3237,'Catalog'!$A:$A,0)),$B3237))</f>
        <v>376-44-45</v>
      </c>
      <c r="I3237" s="8" t="str">
        <f aca="false">IF($G3237="","Unmatched","Matched")</f>
        <v>Unmatched</v>
      </c>
      <c r="J3237" s="8" t="str">
        <f aca="false">IF($G3237&lt;&gt;"",$G3237,$B3237)</f>
        <v>376-44-45</v>
      </c>
      <c r="K3237" s="8" t="str">
        <f aca="false">IF(COUNTIF($M$1:$M$10,$A3237)&gt;0,"Y","N")</f>
        <v>N</v>
      </c>
    </row>
    <row r="3238" customFormat="false" ht="15" hidden="false" customHeight="true" outlineLevel="0" collapsed="false">
      <c r="A3238" s="8" t="s">
        <v>1078</v>
      </c>
      <c r="B3238" s="8" t="s">
        <v>647</v>
      </c>
      <c r="C3238" s="19" t="n">
        <v>80</v>
      </c>
      <c r="D3238" s="19" t="n">
        <v>1160.89</v>
      </c>
      <c r="E3238" s="19" t="n">
        <v>30</v>
      </c>
      <c r="F3238" s="19" t="n">
        <v>385.97</v>
      </c>
      <c r="G3238" s="8" t="n">
        <f aca="false">IFERROR(INDEX('TRANS'!$B:$B,MATCH($B3238,'TRANS'!$A:$A,0)),IFERROR(INDEX('TRANS'!$B:$B,MATCH(TRIM(SUBSTITUTE($B3238,CHAR(160)," ")),'TRANS'!$D:$D,0)),IFERROR(INDEX('Catalog'!$A:$A,MATCH($B3238,'Catalog'!$B:$B,0)),IFERROR(INDEX('Catalog'!$A:$A,MATCH(TRIM(SUBSTITUTE($B3238,CHAR(160)," ")),'Catalog'!$C:$C,0)),""))))</f>
        <v>4420032</v>
      </c>
      <c r="H3238" s="8" t="str">
        <f aca="false">IFERROR(INDEX('TRANS'!$C:$C,MATCH($B3238,'TRANS'!$A:$A,0)),IFERROR(INDEX('Catalog'!$B:$B,MATCH($G3238,'Catalog'!$A:$A,0)),$B3238))</f>
        <v>46-47 רפידת ספורט 376 מידה</v>
      </c>
      <c r="I3238" s="8" t="str">
        <f aca="false">IF($G3238="","Unmatched","Matched")</f>
        <v>Matched</v>
      </c>
      <c r="J3238" s="8" t="n">
        <f aca="false">IF($G3238&lt;&gt;"",$G3238,$B3238)</f>
        <v>4420032</v>
      </c>
      <c r="K3238" s="8" t="str">
        <f aca="false">IF(COUNTIF($M$1:$M$10,$A3238)&gt;0,"Y","N")</f>
        <v>N</v>
      </c>
    </row>
    <row r="3239" customFormat="false" ht="15" hidden="false" customHeight="true" outlineLevel="0" collapsed="false">
      <c r="A3239" s="8" t="s">
        <v>1078</v>
      </c>
      <c r="B3239" s="8" t="s">
        <v>648</v>
      </c>
      <c r="C3239" s="19" t="n">
        <v>0</v>
      </c>
      <c r="D3239" s="19" t="n">
        <v>0</v>
      </c>
      <c r="E3239" s="19" t="n">
        <v>15</v>
      </c>
      <c r="F3239" s="19" t="n">
        <v>442.38</v>
      </c>
      <c r="G3239" s="8" t="n">
        <f aca="false">IFERROR(INDEX('TRANS'!$B:$B,MATCH($B3239,'TRANS'!$A:$A,0)),IFERROR(INDEX('TRANS'!$B:$B,MATCH(TRIM(SUBSTITUTE($B3239,CHAR(160)," ")),'TRANS'!$D:$D,0)),IFERROR(INDEX('Catalog'!$A:$A,MATCH($B3239,'Catalog'!$B:$B,0)),IFERROR(INDEX('Catalog'!$A:$A,MATCH(TRIM(SUBSTITUTE($B3239,CHAR(160)," ")),'Catalog'!$C:$C,0)),""))))</f>
        <v>4408069</v>
      </c>
      <c r="H3239" s="8" t="str">
        <f aca="false">IFERROR(INDEX('TRANS'!$C:$C,MATCH($B3239,'TRANS'!$A:$A,0)),IFERROR(INDEX('Catalog'!$B:$B,MATCH($G3239,'Catalog'!$A:$A,0)),$B3239))</f>
        <v>38 .חבישת""""הלוקס ולגוס""""לאחר נית</v>
      </c>
      <c r="I3239" s="8" t="str">
        <f aca="false">IF($G3239="","Unmatched","Matched")</f>
        <v>Matched</v>
      </c>
      <c r="J3239" s="8" t="n">
        <f aca="false">IF($G3239&lt;&gt;"",$G3239,$B3239)</f>
        <v>4408069</v>
      </c>
      <c r="K3239" s="8" t="str">
        <f aca="false">IF(COUNTIF($M$1:$M$10,$A3239)&gt;0,"Y","N")</f>
        <v>N</v>
      </c>
    </row>
    <row r="3240" customFormat="false" ht="15" hidden="false" customHeight="true" outlineLevel="0" collapsed="false">
      <c r="A3240" s="8" t="s">
        <v>1078</v>
      </c>
      <c r="B3240" s="8" t="s">
        <v>649</v>
      </c>
      <c r="C3240" s="19" t="n">
        <v>230</v>
      </c>
      <c r="D3240" s="19" t="n">
        <v>3782.49</v>
      </c>
      <c r="E3240" s="19" t="n">
        <v>140</v>
      </c>
      <c r="F3240" s="19" t="n">
        <v>2106.92</v>
      </c>
      <c r="G3240" s="8" t="n">
        <f aca="false">IFERROR(INDEX('TRANS'!$B:$B,MATCH($B3240,'TRANS'!$A:$A,0)),IFERROR(INDEX('TRANS'!$B:$B,MATCH(TRIM(SUBSTITUTE($B3240,CHAR(160)," ")),'TRANS'!$D:$D,0)),IFERROR(INDEX('Catalog'!$A:$A,MATCH($B3240,'Catalog'!$B:$B,0)),IFERROR(INDEX('Catalog'!$A:$A,MATCH(TRIM(SUBSTITUTE($B3240,CHAR(160)," ")),'Catalog'!$C:$C,0)),""))))</f>
        <v>4413452</v>
      </c>
      <c r="H3240" s="8" t="str">
        <f aca="false">IFERROR(INDEX('TRANS'!$C:$C,MATCH($B3240,'TRANS'!$A:$A,0)),IFERROR(INDEX('Catalog'!$B:$B,MATCH($G3240,'Catalog'!$A:$A,0)),$B3240))</f>
        <v>386  מיישר בוניון-האלוקס ולגוס</v>
      </c>
      <c r="I3240" s="8" t="str">
        <f aca="false">IF($G3240="","Unmatched","Matched")</f>
        <v>Matched</v>
      </c>
      <c r="J3240" s="8" t="n">
        <f aca="false">IF($G3240&lt;&gt;"",$G3240,$B3240)</f>
        <v>4413452</v>
      </c>
      <c r="K3240" s="8" t="str">
        <f aca="false">IF(COUNTIF($M$1:$M$10,$A3240)&gt;0,"Y","N")</f>
        <v>N</v>
      </c>
    </row>
    <row r="3241" customFormat="false" ht="15" hidden="false" customHeight="true" outlineLevel="0" collapsed="false">
      <c r="A3241" s="8" t="s">
        <v>1078</v>
      </c>
      <c r="B3241" s="8" t="s">
        <v>650</v>
      </c>
      <c r="C3241" s="19" t="n">
        <v>50</v>
      </c>
      <c r="D3241" s="19" t="n">
        <v>1735.54</v>
      </c>
      <c r="E3241" s="19" t="n">
        <v>42</v>
      </c>
      <c r="F3241" s="19" t="n">
        <v>1329.32</v>
      </c>
      <c r="G3241" s="8" t="n">
        <f aca="false">IFERROR(INDEX('TRANS'!$B:$B,MATCH($B3241,'TRANS'!$A:$A,0)),IFERROR(INDEX('TRANS'!$B:$B,MATCH(TRIM(SUBSTITUTE($B3241,CHAR(160)," ")),'TRANS'!$D:$D,0)),IFERROR(INDEX('Catalog'!$A:$A,MATCH($B3241,'Catalog'!$B:$B,0)),IFERROR(INDEX('Catalog'!$A:$A,MATCH(TRIM(SUBSTITUTE($B3241,CHAR(160)," ")),'Catalog'!$C:$C,0)),""))))</f>
        <v>4415298</v>
      </c>
      <c r="H3241" s="8" t="str">
        <f aca="false">IFERROR(INDEX('TRANS'!$C:$C,MATCH($B3241,'TRANS'!$A:$A,0)),IFERROR(INDEX('Catalog'!$B:$B,MATCH($G3241,'Catalog'!$A:$A,0)),$B3241))</f>
        <v>388B L סד לילה שחור לבוהן שמאל</v>
      </c>
      <c r="I3241" s="8" t="str">
        <f aca="false">IF($G3241="","Unmatched","Matched")</f>
        <v>Matched</v>
      </c>
      <c r="J3241" s="8" t="n">
        <f aca="false">IF($G3241&lt;&gt;"",$G3241,$B3241)</f>
        <v>4415298</v>
      </c>
      <c r="K3241" s="8" t="str">
        <f aca="false">IF(COUNTIF($M$1:$M$10,$A3241)&gt;0,"Y","N")</f>
        <v>N</v>
      </c>
    </row>
    <row r="3242" customFormat="false" ht="15" hidden="false" customHeight="true" outlineLevel="0" collapsed="false">
      <c r="A3242" s="8" t="s">
        <v>1078</v>
      </c>
      <c r="B3242" s="8" t="s">
        <v>651</v>
      </c>
      <c r="C3242" s="19" t="n">
        <v>60</v>
      </c>
      <c r="D3242" s="19" t="n">
        <v>2060.36</v>
      </c>
      <c r="E3242" s="19" t="n">
        <v>56</v>
      </c>
      <c r="F3242" s="19" t="n">
        <v>1777.05</v>
      </c>
      <c r="G3242" s="8" t="n">
        <f aca="false">IFERROR(INDEX('TRANS'!$B:$B,MATCH($B3242,'TRANS'!$A:$A,0)),IFERROR(INDEX('TRANS'!$B:$B,MATCH(TRIM(SUBSTITUTE($B3242,CHAR(160)," ")),'TRANS'!$D:$D,0)),IFERROR(INDEX('Catalog'!$A:$A,MATCH($B3242,'Catalog'!$B:$B,0)),IFERROR(INDEX('Catalog'!$A:$A,MATCH(TRIM(SUBSTITUTE($B3242,CHAR(160)," ")),'Catalog'!$C:$C,0)),""))))</f>
        <v>4415299</v>
      </c>
      <c r="H3242" s="8" t="str">
        <f aca="false">IFERROR(INDEX('TRANS'!$C:$C,MATCH($B3242,'TRANS'!$A:$A,0)),IFERROR(INDEX('Catalog'!$B:$B,MATCH($G3242,'Catalog'!$A:$A,0)),$B3242))</f>
        <v>388B L סד לילה שחור לבוהן ימין</v>
      </c>
      <c r="I3242" s="8" t="str">
        <f aca="false">IF($G3242="","Unmatched","Matched")</f>
        <v>Matched</v>
      </c>
      <c r="J3242" s="8" t="n">
        <f aca="false">IF($G3242&lt;&gt;"",$G3242,$B3242)</f>
        <v>4415299</v>
      </c>
      <c r="K3242" s="8" t="str">
        <f aca="false">IF(COUNTIF($M$1:$M$10,$A3242)&gt;0,"Y","N")</f>
        <v>N</v>
      </c>
    </row>
    <row r="3243" customFormat="false" ht="15" hidden="false" customHeight="true" outlineLevel="0" collapsed="false">
      <c r="A3243" s="8" t="s">
        <v>1078</v>
      </c>
      <c r="B3243" s="8" t="s">
        <v>653</v>
      </c>
      <c r="C3243" s="19" t="n">
        <v>10</v>
      </c>
      <c r="D3243" s="19" t="n">
        <v>213.16</v>
      </c>
      <c r="E3243" s="19" t="n">
        <v>16</v>
      </c>
      <c r="F3243" s="19" t="n">
        <v>314.61</v>
      </c>
      <c r="G3243" s="8" t="n">
        <f aca="false">IFERROR(INDEX('TRANS'!$B:$B,MATCH($B3243,'TRANS'!$A:$A,0)),IFERROR(INDEX('TRANS'!$B:$B,MATCH(TRIM(SUBSTITUTE($B3243,CHAR(160)," ")),'TRANS'!$D:$D,0)),IFERROR(INDEX('Catalog'!$A:$A,MATCH($B3243,'Catalog'!$B:$B,0)),IFERROR(INDEX('Catalog'!$A:$A,MATCH(TRIM(SUBSTITUTE($B3243,CHAR(160)," ")),'Catalog'!$C:$C,0)),""))))</f>
        <v>4403001</v>
      </c>
      <c r="H3243" s="8" t="str">
        <f aca="false">IFERROR(INDEX('TRANS'!$C:$C,MATCH($B3243,'TRANS'!$A:$A,0)),IFERROR(INDEX('Catalog'!$B:$B,MATCH($G3243,'Catalog'!$A:$A,0)),$B3243))</f>
        <v>390B 39-42.גרב.כסף לסכרתיים שח</v>
      </c>
      <c r="I3243" s="8" t="str">
        <f aca="false">IF($G3243="","Unmatched","Matched")</f>
        <v>Matched</v>
      </c>
      <c r="J3243" s="8" t="n">
        <f aca="false">IF($G3243&lt;&gt;"",$G3243,$B3243)</f>
        <v>4403001</v>
      </c>
      <c r="K3243" s="8" t="str">
        <f aca="false">IF(COUNTIF($M$1:$M$10,$A3243)&gt;0,"Y","N")</f>
        <v>N</v>
      </c>
    </row>
    <row r="3244" customFormat="false" ht="15" hidden="false" customHeight="true" outlineLevel="0" collapsed="false">
      <c r="A3244" s="8" t="s">
        <v>1078</v>
      </c>
      <c r="B3244" s="8" t="s">
        <v>654</v>
      </c>
      <c r="C3244" s="19" t="n">
        <v>45</v>
      </c>
      <c r="D3244" s="19" t="n">
        <v>982.73</v>
      </c>
      <c r="E3244" s="19" t="n">
        <v>16</v>
      </c>
      <c r="F3244" s="19" t="n">
        <v>327.76</v>
      </c>
      <c r="G3244" s="8" t="n">
        <f aca="false">IFERROR(INDEX('TRANS'!$B:$B,MATCH($B3244,'TRANS'!$A:$A,0)),IFERROR(INDEX('TRANS'!$B:$B,MATCH(TRIM(SUBSTITUTE($B3244,CHAR(160)," ")),'TRANS'!$D:$D,0)),IFERROR(INDEX('Catalog'!$A:$A,MATCH($B3244,'Catalog'!$B:$B,0)),IFERROR(INDEX('Catalog'!$A:$A,MATCH(TRIM(SUBSTITUTE($B3244,CHAR(160)," ")),'Catalog'!$C:$C,0)),""))))</f>
        <v>4403002</v>
      </c>
      <c r="H3244" s="8" t="str">
        <f aca="false">IFERROR(INDEX('TRANS'!$C:$C,MATCH($B3244,'TRANS'!$A:$A,0)),IFERROR(INDEX('Catalog'!$B:$B,MATCH($G3244,'Catalog'!$A:$A,0)),$B3244))</f>
        <v>390B 43-46.גרב.כסף לסכרתיים שח</v>
      </c>
      <c r="I3244" s="8" t="str">
        <f aca="false">IF($G3244="","Unmatched","Matched")</f>
        <v>Matched</v>
      </c>
      <c r="J3244" s="8" t="n">
        <f aca="false">IF($G3244&lt;&gt;"",$G3244,$B3244)</f>
        <v>4403002</v>
      </c>
      <c r="K3244" s="8" t="str">
        <f aca="false">IF(COUNTIF($M$1:$M$10,$A3244)&gt;0,"Y","N")</f>
        <v>N</v>
      </c>
    </row>
    <row r="3245" customFormat="false" ht="15" hidden="false" customHeight="true" outlineLevel="0" collapsed="false">
      <c r="A3245" s="8" t="s">
        <v>1078</v>
      </c>
      <c r="B3245" s="8" t="s">
        <v>107</v>
      </c>
      <c r="C3245" s="19" t="n">
        <v>12</v>
      </c>
      <c r="D3245" s="19" t="n">
        <v>251.12</v>
      </c>
      <c r="E3245" s="19" t="n">
        <v>10</v>
      </c>
      <c r="F3245" s="19" t="n">
        <v>178.07</v>
      </c>
      <c r="G3245" s="8" t="str">
        <f aca="false">IFERROR(INDEX('TRANS'!$B:$B,MATCH($B3245,'TRANS'!$A:$A,0)),IFERROR(INDEX('TRANS'!$B:$B,MATCH(TRIM(SUBSTITUTE($B3245,CHAR(160)," ")),'TRANS'!$D:$D,0)),IFERROR(INDEX('Catalog'!$A:$A,MATCH($B3245,'Catalog'!$B:$B,0)),IFERROR(INDEX('Catalog'!$A:$A,MATCH(TRIM(SUBSTITUTE($B3245,CHAR(160)," ")),'Catalog'!$C:$C,0)),""))))</f>
        <v/>
      </c>
      <c r="H3245" s="8" t="str">
        <f aca="false">IFERROR(INDEX('TRANS'!$C:$C,MATCH($B3245,'TRANS'!$A:$A,0)),IFERROR(INDEX('Catalog'!$B:$B,MATCH($G3245,'Catalog'!$A:$A,0)),$B3245))</f>
        <v>390G-39-42</v>
      </c>
      <c r="I3245" s="8" t="str">
        <f aca="false">IF($G3245="","Unmatched","Matched")</f>
        <v>Unmatched</v>
      </c>
      <c r="J3245" s="8" t="str">
        <f aca="false">IF($G3245&lt;&gt;"",$G3245,$B3245)</f>
        <v>390G-39-42</v>
      </c>
      <c r="K3245" s="8" t="str">
        <f aca="false">IF(COUNTIF($M$1:$M$10,$A3245)&gt;0,"Y","N")</f>
        <v>N</v>
      </c>
    </row>
    <row r="3246" customFormat="false" ht="15" hidden="false" customHeight="true" outlineLevel="0" collapsed="false">
      <c r="A3246" s="8" t="s">
        <v>1078</v>
      </c>
      <c r="B3246" s="8" t="s">
        <v>656</v>
      </c>
      <c r="C3246" s="19" t="n">
        <v>0</v>
      </c>
      <c r="D3246" s="19" t="n">
        <v>0</v>
      </c>
      <c r="E3246" s="19" t="n">
        <v>6</v>
      </c>
      <c r="F3246" s="19" t="n">
        <v>111.55</v>
      </c>
      <c r="G3246" s="8" t="n">
        <f aca="false">IFERROR(INDEX('TRANS'!$B:$B,MATCH($B3246,'TRANS'!$A:$A,0)),IFERROR(INDEX('TRANS'!$B:$B,MATCH(TRIM(SUBSTITUTE($B3246,CHAR(160)," ")),'TRANS'!$D:$D,0)),IFERROR(INDEX('Catalog'!$A:$A,MATCH($B3246,'Catalog'!$B:$B,0)),IFERROR(INDEX('Catalog'!$A:$A,MATCH(TRIM(SUBSTITUTE($B3246,CHAR(160)," ")),'Catalog'!$C:$C,0)),""))))</f>
        <v>4403005</v>
      </c>
      <c r="H3246" s="8" t="str">
        <f aca="false">IFERROR(INDEX('TRANS'!$C:$C,MATCH($B3246,'TRANS'!$A:$A,0)),IFERROR(INDEX('Catalog'!$B:$B,MATCH($G3246,'Catalog'!$A:$A,0)),$B3246))</f>
        <v>G390.43-46 גרבי כסף לסכרת מידה</v>
      </c>
      <c r="I3246" s="8" t="str">
        <f aca="false">IF($G3246="","Unmatched","Matched")</f>
        <v>Matched</v>
      </c>
      <c r="J3246" s="8" t="n">
        <f aca="false">IF($G3246&lt;&gt;"",$G3246,$B3246)</f>
        <v>4403005</v>
      </c>
      <c r="K3246" s="8" t="str">
        <f aca="false">IF(COUNTIF($M$1:$M$10,$A3246)&gt;0,"Y","N")</f>
        <v>N</v>
      </c>
    </row>
    <row r="3247" customFormat="false" ht="15" hidden="false" customHeight="true" outlineLevel="0" collapsed="false">
      <c r="A3247" s="8" t="s">
        <v>1078</v>
      </c>
      <c r="B3247" s="8" t="s">
        <v>191</v>
      </c>
      <c r="C3247" s="19" t="n">
        <v>1</v>
      </c>
      <c r="D3247" s="19" t="n">
        <v>0.04</v>
      </c>
      <c r="E3247" s="19" t="n">
        <v>0</v>
      </c>
      <c r="F3247" s="19" t="n">
        <v>0</v>
      </c>
      <c r="G3247" s="8" t="str">
        <f aca="false">IFERROR(INDEX('TRANS'!$B:$B,MATCH($B3247,'TRANS'!$A:$A,0)),IFERROR(INDEX('TRANS'!$B:$B,MATCH(TRIM(SUBSTITUTE($B3247,CHAR(160)," ")),'TRANS'!$D:$D,0)),IFERROR(INDEX('Catalog'!$A:$A,MATCH($B3247,'Catalog'!$B:$B,0)),IFERROR(INDEX('Catalog'!$A:$A,MATCH(TRIM(SUBSTITUTE($B3247,CHAR(160)," ")),'Catalog'!$C:$C,0)),""))))</f>
        <v/>
      </c>
      <c r="H3247" s="8" t="str">
        <f aca="false">IFERROR(INDEX('TRANS'!$C:$C,MATCH($B3247,'TRANS'!$A:$A,0)),IFERROR(INDEX('Catalog'!$B:$B,MATCH($G3247,'Catalog'!$A:$A,0)),$B3247))</f>
        <v>391W-35-38</v>
      </c>
      <c r="I3247" s="8" t="str">
        <f aca="false">IF($G3247="","Unmatched","Matched")</f>
        <v>Unmatched</v>
      </c>
      <c r="J3247" s="8" t="str">
        <f aca="false">IF($G3247&lt;&gt;"",$G3247,$B3247)</f>
        <v>391W-35-38</v>
      </c>
      <c r="K3247" s="8" t="str">
        <f aca="false">IF(COUNTIF($M$1:$M$10,$A3247)&gt;0,"Y","N")</f>
        <v>N</v>
      </c>
    </row>
    <row r="3248" customFormat="false" ht="15" hidden="false" customHeight="true" outlineLevel="0" collapsed="false">
      <c r="A3248" s="8" t="s">
        <v>1078</v>
      </c>
      <c r="B3248" s="8" t="s">
        <v>450</v>
      </c>
      <c r="C3248" s="19" t="n">
        <v>10</v>
      </c>
      <c r="D3248" s="19" t="n">
        <v>194.88</v>
      </c>
      <c r="E3248" s="19" t="n">
        <v>0</v>
      </c>
      <c r="F3248" s="19" t="n">
        <v>0</v>
      </c>
      <c r="G3248" s="8" t="str">
        <f aca="false">IFERROR(INDEX('TRANS'!$B:$B,MATCH($B3248,'TRANS'!$A:$A,0)),IFERROR(INDEX('TRANS'!$B:$B,MATCH(TRIM(SUBSTITUTE($B3248,CHAR(160)," ")),'TRANS'!$D:$D,0)),IFERROR(INDEX('Catalog'!$A:$A,MATCH($B3248,'Catalog'!$B:$B,0)),IFERROR(INDEX('Catalog'!$A:$A,MATCH(TRIM(SUBSTITUTE($B3248,CHAR(160)," ")),'Catalog'!$C:$C,0)),""))))</f>
        <v/>
      </c>
      <c r="H3248" s="8" t="str">
        <f aca="false">IFERROR(INDEX('TRANS'!$C:$C,MATCH($B3248,'TRANS'!$A:$A,0)),IFERROR(INDEX('Catalog'!$B:$B,MATCH($G3248,'Catalog'!$A:$A,0)),$B3248))</f>
        <v>392B-39-42</v>
      </c>
      <c r="I3248" s="8" t="str">
        <f aca="false">IF($G3248="","Unmatched","Matched")</f>
        <v>Unmatched</v>
      </c>
      <c r="J3248" s="8" t="str">
        <f aca="false">IF($G3248&lt;&gt;"",$G3248,$B3248)</f>
        <v>392B-39-42</v>
      </c>
      <c r="K3248" s="8" t="str">
        <f aca="false">IF(COUNTIF($M$1:$M$10,$A3248)&gt;0,"Y","N")</f>
        <v>N</v>
      </c>
    </row>
    <row r="3249" customFormat="false" ht="15" hidden="false" customHeight="true" outlineLevel="0" collapsed="false">
      <c r="A3249" s="8" t="s">
        <v>1078</v>
      </c>
      <c r="B3249" s="8" t="s">
        <v>490</v>
      </c>
      <c r="C3249" s="19" t="n">
        <v>20</v>
      </c>
      <c r="D3249" s="19" t="n">
        <v>389.75</v>
      </c>
      <c r="E3249" s="19" t="n">
        <v>0</v>
      </c>
      <c r="F3249" s="19" t="n">
        <v>0</v>
      </c>
      <c r="G3249" s="8" t="str">
        <f aca="false">IFERROR(INDEX('TRANS'!$B:$B,MATCH($B3249,'TRANS'!$A:$A,0)),IFERROR(INDEX('TRANS'!$B:$B,MATCH(TRIM(SUBSTITUTE($B3249,CHAR(160)," ")),'TRANS'!$D:$D,0)),IFERROR(INDEX('Catalog'!$A:$A,MATCH($B3249,'Catalog'!$B:$B,0)),IFERROR(INDEX('Catalog'!$A:$A,MATCH(TRIM(SUBSTITUTE($B3249,CHAR(160)," ")),'Catalog'!$C:$C,0)),""))))</f>
        <v/>
      </c>
      <c r="H3249" s="8" t="str">
        <f aca="false">IFERROR(INDEX('TRANS'!$C:$C,MATCH($B3249,'TRANS'!$A:$A,0)),IFERROR(INDEX('Catalog'!$B:$B,MATCH($G3249,'Catalog'!$A:$A,0)),$B3249))</f>
        <v>392B-43-46</v>
      </c>
      <c r="I3249" s="8" t="str">
        <f aca="false">IF($G3249="","Unmatched","Matched")</f>
        <v>Unmatched</v>
      </c>
      <c r="J3249" s="8" t="str">
        <f aca="false">IF($G3249&lt;&gt;"",$G3249,$B3249)</f>
        <v>392B-43-46</v>
      </c>
      <c r="K3249" s="8" t="str">
        <f aca="false">IF(COUNTIF($M$1:$M$10,$A3249)&gt;0,"Y","N")</f>
        <v>N</v>
      </c>
    </row>
    <row r="3250" customFormat="false" ht="15" hidden="false" customHeight="true" outlineLevel="0" collapsed="false">
      <c r="A3250" s="8" t="s">
        <v>1078</v>
      </c>
      <c r="B3250" s="8" t="s">
        <v>82</v>
      </c>
      <c r="C3250" s="19" t="n">
        <v>0</v>
      </c>
      <c r="D3250" s="19" t="n">
        <v>0</v>
      </c>
      <c r="E3250" s="19" t="n">
        <v>6</v>
      </c>
      <c r="F3250" s="19" t="n">
        <v>123.95</v>
      </c>
      <c r="G3250" s="8" t="str">
        <f aca="false">IFERROR(INDEX('TRANS'!$B:$B,MATCH($B3250,'TRANS'!$A:$A,0)),IFERROR(INDEX('TRANS'!$B:$B,MATCH(TRIM(SUBSTITUTE($B3250,CHAR(160)," ")),'TRANS'!$D:$D,0)),IFERROR(INDEX('Catalog'!$A:$A,MATCH($B3250,'Catalog'!$B:$B,0)),IFERROR(INDEX('Catalog'!$A:$A,MATCH(TRIM(SUBSTITUTE($B3250,CHAR(160)," ")),'Catalog'!$C:$C,0)),""))))</f>
        <v/>
      </c>
      <c r="H3250" s="8" t="str">
        <f aca="false">IFERROR(INDEX('TRANS'!$C:$C,MATCH($B3250,'TRANS'!$A:$A,0)),IFERROR(INDEX('Catalog'!$B:$B,MATCH($G3250,'Catalog'!$A:$A,0)),$B3250))</f>
        <v>395B-35-38</v>
      </c>
      <c r="I3250" s="8" t="str">
        <f aca="false">IF($G3250="","Unmatched","Matched")</f>
        <v>Unmatched</v>
      </c>
      <c r="J3250" s="8" t="str">
        <f aca="false">IF($G3250&lt;&gt;"",$G3250,$B3250)</f>
        <v>395B-35-38</v>
      </c>
      <c r="K3250" s="8" t="str">
        <f aca="false">IF(COUNTIF($M$1:$M$10,$A3250)&gt;0,"Y","N")</f>
        <v>N</v>
      </c>
    </row>
    <row r="3251" customFormat="false" ht="15" hidden="false" customHeight="true" outlineLevel="0" collapsed="false">
      <c r="A3251" s="8" t="s">
        <v>1078</v>
      </c>
      <c r="B3251" s="8" t="s">
        <v>664</v>
      </c>
      <c r="C3251" s="19" t="n">
        <v>0</v>
      </c>
      <c r="D3251" s="19" t="n">
        <v>0</v>
      </c>
      <c r="E3251" s="19" t="n">
        <v>30</v>
      </c>
      <c r="F3251" s="19" t="n">
        <v>600.48</v>
      </c>
      <c r="G3251" s="8" t="n">
        <f aca="false">IFERROR(INDEX('TRANS'!$B:$B,MATCH($B3251,'TRANS'!$A:$A,0)),IFERROR(INDEX('TRANS'!$B:$B,MATCH(TRIM(SUBSTITUTE($B3251,CHAR(160)," ")),'TRANS'!$D:$D,0)),IFERROR(INDEX('Catalog'!$A:$A,MATCH($B3251,'Catalog'!$B:$B,0)),IFERROR(INDEX('Catalog'!$A:$A,MATCH(TRIM(SUBSTITUTE($B3251,CHAR(160)," ")),'Catalog'!$C:$C,0)),""))))</f>
        <v>4403044</v>
      </c>
      <c r="H3251" s="8" t="str">
        <f aca="false">IFERROR(INDEX('TRANS'!$C:$C,MATCH($B3251,'TRANS'!$A:$A,0)),IFERROR(INDEX('Catalog'!$B:$B,MATCH($G3251,'Catalog'!$A:$A,0)),$B3251))</f>
        <v>395B גרבי קיץ אנטי בקטריא39-42</v>
      </c>
      <c r="I3251" s="8" t="str">
        <f aca="false">IF($G3251="","Unmatched","Matched")</f>
        <v>Matched</v>
      </c>
      <c r="J3251" s="8" t="n">
        <f aca="false">IF($G3251&lt;&gt;"",$G3251,$B3251)</f>
        <v>4403044</v>
      </c>
      <c r="K3251" s="8" t="str">
        <f aca="false">IF(COUNTIF($M$1:$M$10,$A3251)&gt;0,"Y","N")</f>
        <v>N</v>
      </c>
    </row>
    <row r="3252" customFormat="false" ht="15" hidden="false" customHeight="true" outlineLevel="0" collapsed="false">
      <c r="A3252" s="8" t="s">
        <v>1078</v>
      </c>
      <c r="B3252" s="8" t="s">
        <v>665</v>
      </c>
      <c r="C3252" s="19" t="n">
        <v>1</v>
      </c>
      <c r="D3252" s="19" t="n">
        <v>0.04</v>
      </c>
      <c r="E3252" s="19" t="n">
        <v>60</v>
      </c>
      <c r="F3252" s="19" t="n">
        <v>1191.33</v>
      </c>
      <c r="G3252" s="8" t="n">
        <f aca="false">IFERROR(INDEX('TRANS'!$B:$B,MATCH($B3252,'TRANS'!$A:$A,0)),IFERROR(INDEX('TRANS'!$B:$B,MATCH(TRIM(SUBSTITUTE($B3252,CHAR(160)," ")),'TRANS'!$D:$D,0)),IFERROR(INDEX('Catalog'!$A:$A,MATCH($B3252,'Catalog'!$B:$B,0)),IFERROR(INDEX('Catalog'!$A:$A,MATCH(TRIM(SUBSTITUTE($B3252,CHAR(160)," ")),'Catalog'!$C:$C,0)),""))))</f>
        <v>4403045</v>
      </c>
      <c r="H3252" s="8" t="str">
        <f aca="false">IFERROR(INDEX('TRANS'!$C:$C,MATCH($B3252,'TRANS'!$A:$A,0)),IFERROR(INDEX('Catalog'!$B:$B,MATCH($G3252,'Catalog'!$A:$A,0)),$B3252))</f>
        <v>395B גרבי קיץ אנטי בקטריא43-46</v>
      </c>
      <c r="I3252" s="8" t="str">
        <f aca="false">IF($G3252="","Unmatched","Matched")</f>
        <v>Matched</v>
      </c>
      <c r="J3252" s="8" t="n">
        <f aca="false">IF($G3252&lt;&gt;"",$G3252,$B3252)</f>
        <v>4403045</v>
      </c>
      <c r="K3252" s="8" t="str">
        <f aca="false">IF(COUNTIF($M$1:$M$10,$A3252)&gt;0,"Y","N")</f>
        <v>N</v>
      </c>
    </row>
    <row r="3253" customFormat="false" ht="15" hidden="false" customHeight="true" outlineLevel="0" collapsed="false">
      <c r="A3253" s="8" t="s">
        <v>1078</v>
      </c>
      <c r="B3253" s="8" t="s">
        <v>669</v>
      </c>
      <c r="C3253" s="19" t="n">
        <v>1</v>
      </c>
      <c r="D3253" s="19" t="n">
        <v>0.04</v>
      </c>
      <c r="E3253" s="19" t="n">
        <v>0</v>
      </c>
      <c r="F3253" s="19" t="n">
        <v>0</v>
      </c>
      <c r="G3253" s="8" t="n">
        <f aca="false">IFERROR(INDEX('TRANS'!$B:$B,MATCH($B3253,'TRANS'!$A:$A,0)),IFERROR(INDEX('TRANS'!$B:$B,MATCH(TRIM(SUBSTITUTE($B3253,CHAR(160)," ")),'TRANS'!$D:$D,0)),IFERROR(INDEX('Catalog'!$A:$A,MATCH($B3253,'Catalog'!$B:$B,0)),IFERROR(INDEX('Catalog'!$A:$A,MATCH(TRIM(SUBSTITUTE($B3253,CHAR(160)," ")),'Catalog'!$C:$C,0)),""))))</f>
        <v>4403043</v>
      </c>
      <c r="H3253" s="8" t="str">
        <f aca="false">IFERROR(INDEX('TRANS'!$C:$C,MATCH($B3253,'TRANS'!$A:$A,0)),IFERROR(INDEX('Catalog'!$B:$B,MATCH($G3253,'Catalog'!$A:$A,0)),$B3253))</f>
        <v>397A-גרבי טיסה אנטי בקטרי43-46</v>
      </c>
      <c r="I3253" s="8" t="str">
        <f aca="false">IF($G3253="","Unmatched","Matched")</f>
        <v>Matched</v>
      </c>
      <c r="J3253" s="8" t="n">
        <f aca="false">IF($G3253&lt;&gt;"",$G3253,$B3253)</f>
        <v>4403043</v>
      </c>
      <c r="K3253" s="8" t="str">
        <f aca="false">IF(COUNTIF($M$1:$M$10,$A3253)&gt;0,"Y","N")</f>
        <v>N</v>
      </c>
    </row>
    <row r="3254" customFormat="false" ht="15" hidden="false" customHeight="true" outlineLevel="0" collapsed="false">
      <c r="A3254" s="8" t="s">
        <v>1078</v>
      </c>
      <c r="B3254" s="8" t="s">
        <v>798</v>
      </c>
      <c r="C3254" s="19" t="n">
        <v>26</v>
      </c>
      <c r="D3254" s="19" t="n">
        <v>268.92</v>
      </c>
      <c r="E3254" s="19" t="n">
        <v>16</v>
      </c>
      <c r="F3254" s="19" t="n">
        <v>151.3</v>
      </c>
      <c r="G3254" s="8" t="n">
        <f aca="false">IFERROR(INDEX('TRANS'!$B:$B,MATCH($B3254,'TRANS'!$A:$A,0)),IFERROR(INDEX('TRANS'!$B:$B,MATCH(TRIM(SUBSTITUTE($B3254,CHAR(160)," ")),'TRANS'!$D:$D,0)),IFERROR(INDEX('Catalog'!$A:$A,MATCH($B3254,'Catalog'!$B:$B,0)),IFERROR(INDEX('Catalog'!$A:$A,MATCH(TRIM(SUBSTITUTE($B3254,CHAR(160)," ")),'Catalog'!$C:$C,0)),""))))</f>
        <v>4413092</v>
      </c>
      <c r="H3254" s="8" t="str">
        <f aca="false">IFERROR(INDEX('TRANS'!$C:$C,MATCH($B3254,'TRANS'!$A:$A,0)),IFERROR(INDEX('Catalog'!$B:$B,MATCH($G3254,'Catalog'!$A:$A,0)),$B3254))</f>
        <v>45 L מגן ברך לבן</v>
      </c>
      <c r="I3254" s="8" t="str">
        <f aca="false">IF($G3254="","Unmatched","Matched")</f>
        <v>Matched</v>
      </c>
      <c r="J3254" s="8" t="n">
        <f aca="false">IF($G3254&lt;&gt;"",$G3254,$B3254)</f>
        <v>4413092</v>
      </c>
      <c r="K3254" s="8" t="str">
        <f aca="false">IF(COUNTIF($M$1:$M$10,$A3254)&gt;0,"Y","N")</f>
        <v>N</v>
      </c>
    </row>
    <row r="3255" customFormat="false" ht="15" hidden="false" customHeight="true" outlineLevel="0" collapsed="false">
      <c r="A3255" s="8" t="s">
        <v>1078</v>
      </c>
      <c r="B3255" s="8" t="s">
        <v>799</v>
      </c>
      <c r="C3255" s="19" t="n">
        <v>22</v>
      </c>
      <c r="D3255" s="19" t="n">
        <v>221.1</v>
      </c>
      <c r="E3255" s="19" t="n">
        <v>50</v>
      </c>
      <c r="F3255" s="19" t="n">
        <v>472.83</v>
      </c>
      <c r="G3255" s="8" t="n">
        <f aca="false">IFERROR(INDEX('TRANS'!$B:$B,MATCH($B3255,'TRANS'!$A:$A,0)),IFERROR(INDEX('TRANS'!$B:$B,MATCH(TRIM(SUBSTITUTE($B3255,CHAR(160)," ")),'TRANS'!$D:$D,0)),IFERROR(INDEX('Catalog'!$A:$A,MATCH($B3255,'Catalog'!$B:$B,0)),IFERROR(INDEX('Catalog'!$A:$A,MATCH(TRIM(SUBSTITUTE($B3255,CHAR(160)," ")),'Catalog'!$C:$C,0)),""))))</f>
        <v>4413093</v>
      </c>
      <c r="H3255" s="8" t="str">
        <f aca="false">IFERROR(INDEX('TRANS'!$C:$C,MATCH($B3255,'TRANS'!$A:$A,0)),IFERROR(INDEX('Catalog'!$B:$B,MATCH($G3255,'Catalog'!$A:$A,0)),$B3255))</f>
        <v>45 M מגן ברך לבן</v>
      </c>
      <c r="I3255" s="8" t="str">
        <f aca="false">IF($G3255="","Unmatched","Matched")</f>
        <v>Matched</v>
      </c>
      <c r="J3255" s="8" t="n">
        <f aca="false">IF($G3255&lt;&gt;"",$G3255,$B3255)</f>
        <v>4413093</v>
      </c>
      <c r="K3255" s="8" t="str">
        <f aca="false">IF(COUNTIF($M$1:$M$10,$A3255)&gt;0,"Y","N")</f>
        <v>N</v>
      </c>
    </row>
    <row r="3256" customFormat="false" ht="15" hidden="false" customHeight="true" outlineLevel="0" collapsed="false">
      <c r="A3256" s="8" t="s">
        <v>1078</v>
      </c>
      <c r="B3256" s="8" t="s">
        <v>673</v>
      </c>
      <c r="C3256" s="19" t="n">
        <v>6</v>
      </c>
      <c r="D3256" s="19" t="n">
        <v>59.89</v>
      </c>
      <c r="E3256" s="19" t="n">
        <v>20</v>
      </c>
      <c r="F3256" s="19" t="n">
        <v>189.13</v>
      </c>
      <c r="G3256" s="8" t="n">
        <f aca="false">IFERROR(INDEX('TRANS'!$B:$B,MATCH($B3256,'TRANS'!$A:$A,0)),IFERROR(INDEX('TRANS'!$B:$B,MATCH(TRIM(SUBSTITUTE($B3256,CHAR(160)," ")),'TRANS'!$D:$D,0)),IFERROR(INDEX('Catalog'!$A:$A,MATCH($B3256,'Catalog'!$B:$B,0)),IFERROR(INDEX('Catalog'!$A:$A,MATCH(TRIM(SUBSTITUTE($B3256,CHAR(160)," ")),'Catalog'!$C:$C,0)),""))))</f>
        <v>4413094</v>
      </c>
      <c r="H3256" s="8" t="str">
        <f aca="false">IFERROR(INDEX('TRANS'!$C:$C,MATCH($B3256,'TRANS'!$A:$A,0)),IFERROR(INDEX('Catalog'!$B:$B,MATCH($G3256,'Catalog'!$A:$A,0)),$B3256))</f>
        <v>45 S מגן ברך לבן</v>
      </c>
      <c r="I3256" s="8" t="str">
        <f aca="false">IF($G3256="","Unmatched","Matched")</f>
        <v>Matched</v>
      </c>
      <c r="J3256" s="8" t="n">
        <f aca="false">IF($G3256&lt;&gt;"",$G3256,$B3256)</f>
        <v>4413094</v>
      </c>
      <c r="K3256" s="8" t="str">
        <f aca="false">IF(COUNTIF($M$1:$M$10,$A3256)&gt;0,"Y","N")</f>
        <v>N</v>
      </c>
    </row>
    <row r="3257" customFormat="false" ht="15" hidden="false" customHeight="true" outlineLevel="0" collapsed="false">
      <c r="A3257" s="8" t="s">
        <v>1078</v>
      </c>
      <c r="B3257" s="8" t="s">
        <v>674</v>
      </c>
      <c r="C3257" s="19" t="n">
        <v>22</v>
      </c>
      <c r="D3257" s="19" t="n">
        <v>226.85</v>
      </c>
      <c r="E3257" s="19" t="n">
        <v>0</v>
      </c>
      <c r="F3257" s="19" t="n">
        <v>0</v>
      </c>
      <c r="G3257" s="8" t="n">
        <f aca="false">IFERROR(INDEX('TRANS'!$B:$B,MATCH($B3257,'TRANS'!$A:$A,0)),IFERROR(INDEX('TRANS'!$B:$B,MATCH(TRIM(SUBSTITUTE($B3257,CHAR(160)," ")),'TRANS'!$D:$D,0)),IFERROR(INDEX('Catalog'!$A:$A,MATCH($B3257,'Catalog'!$B:$B,0)),IFERROR(INDEX('Catalog'!$A:$A,MATCH(TRIM(SUBSTITUTE($B3257,CHAR(160)," ")),'Catalog'!$C:$C,0)),""))))</f>
        <v>4413095</v>
      </c>
      <c r="H3257" s="8" t="str">
        <f aca="false">IFERROR(INDEX('TRANS'!$C:$C,MATCH($B3257,'TRANS'!$A:$A,0)),IFERROR(INDEX('Catalog'!$B:$B,MATCH($G3257,'Catalog'!$A:$A,0)),$B3257))</f>
        <v>45 XL מגן ברך לבן</v>
      </c>
      <c r="I3257" s="8" t="str">
        <f aca="false">IF($G3257="","Unmatched","Matched")</f>
        <v>Matched</v>
      </c>
      <c r="J3257" s="8" t="n">
        <f aca="false">IF($G3257&lt;&gt;"",$G3257,$B3257)</f>
        <v>4413095</v>
      </c>
      <c r="K3257" s="8" t="str">
        <f aca="false">IF(COUNTIF($M$1:$M$10,$A3257)&gt;0,"Y","N")</f>
        <v>N</v>
      </c>
    </row>
    <row r="3258" customFormat="false" ht="15" hidden="false" customHeight="true" outlineLevel="0" collapsed="false">
      <c r="A3258" s="8" t="s">
        <v>1078</v>
      </c>
      <c r="B3258" s="8" t="s">
        <v>675</v>
      </c>
      <c r="C3258" s="19" t="n">
        <v>270</v>
      </c>
      <c r="D3258" s="19" t="n">
        <v>2944.57</v>
      </c>
      <c r="E3258" s="19" t="n">
        <v>140</v>
      </c>
      <c r="F3258" s="19" t="n">
        <v>1425.23</v>
      </c>
      <c r="G3258" s="8" t="n">
        <f aca="false">IFERROR(INDEX('TRANS'!$B:$B,MATCH($B3258,'TRANS'!$A:$A,0)),IFERROR(INDEX('TRANS'!$B:$B,MATCH(TRIM(SUBSTITUTE($B3258,CHAR(160)," ")),'TRANS'!$D:$D,0)),IFERROR(INDEX('Catalog'!$A:$A,MATCH($B3258,'Catalog'!$B:$B,0)),IFERROR(INDEX('Catalog'!$A:$A,MATCH(TRIM(SUBSTITUTE($B3258,CHAR(160)," ")),'Catalog'!$C:$C,0)),""))))</f>
        <v>4413495</v>
      </c>
      <c r="H3258" s="8" t="str">
        <f aca="false">IFERROR(INDEX('TRANS'!$C:$C,MATCH($B3258,'TRANS'!$A:$A,0)),IFERROR(INDEX('Catalog'!$B:$B,MATCH($G3258,'Catalog'!$A:$A,0)),$B3258))</f>
        <v>45B L מגן ברך שחור</v>
      </c>
      <c r="I3258" s="8" t="str">
        <f aca="false">IF($G3258="","Unmatched","Matched")</f>
        <v>Matched</v>
      </c>
      <c r="J3258" s="8" t="n">
        <f aca="false">IF($G3258&lt;&gt;"",$G3258,$B3258)</f>
        <v>4413495</v>
      </c>
      <c r="K3258" s="8" t="str">
        <f aca="false">IF(COUNTIF($M$1:$M$10,$A3258)&gt;0,"Y","N")</f>
        <v>N</v>
      </c>
    </row>
    <row r="3259" customFormat="false" ht="15" hidden="false" customHeight="true" outlineLevel="0" collapsed="false">
      <c r="A3259" s="8" t="s">
        <v>1078</v>
      </c>
      <c r="B3259" s="8" t="s">
        <v>676</v>
      </c>
      <c r="C3259" s="19" t="n">
        <v>290</v>
      </c>
      <c r="D3259" s="19" t="n">
        <v>3236.39</v>
      </c>
      <c r="E3259" s="19" t="n">
        <v>200</v>
      </c>
      <c r="F3259" s="19" t="n">
        <v>1988.63</v>
      </c>
      <c r="G3259" s="8" t="n">
        <f aca="false">IFERROR(INDEX('TRANS'!$B:$B,MATCH($B3259,'TRANS'!$A:$A,0)),IFERROR(INDEX('TRANS'!$B:$B,MATCH(TRIM(SUBSTITUTE($B3259,CHAR(160)," ")),'TRANS'!$D:$D,0)),IFERROR(INDEX('Catalog'!$A:$A,MATCH($B3259,'Catalog'!$B:$B,0)),IFERROR(INDEX('Catalog'!$A:$A,MATCH(TRIM(SUBSTITUTE($B3259,CHAR(160)," ")),'Catalog'!$C:$C,0)),""))))</f>
        <v>4413497</v>
      </c>
      <c r="H3259" s="8" t="str">
        <f aca="false">IFERROR(INDEX('TRANS'!$C:$C,MATCH($B3259,'TRANS'!$A:$A,0)),IFERROR(INDEX('Catalog'!$B:$B,MATCH($G3259,'Catalog'!$A:$A,0)),$B3259))</f>
        <v>45B M מגן ברך שחור</v>
      </c>
      <c r="I3259" s="8" t="str">
        <f aca="false">IF($G3259="","Unmatched","Matched")</f>
        <v>Matched</v>
      </c>
      <c r="J3259" s="8" t="n">
        <f aca="false">IF($G3259&lt;&gt;"",$G3259,$B3259)</f>
        <v>4413497</v>
      </c>
      <c r="K3259" s="8" t="str">
        <f aca="false">IF(COUNTIF($M$1:$M$10,$A3259)&gt;0,"Y","N")</f>
        <v>N</v>
      </c>
    </row>
    <row r="3260" customFormat="false" ht="15" hidden="false" customHeight="true" outlineLevel="0" collapsed="false">
      <c r="A3260" s="8" t="s">
        <v>1078</v>
      </c>
      <c r="B3260" s="8" t="s">
        <v>801</v>
      </c>
      <c r="C3260" s="19" t="n">
        <v>90</v>
      </c>
      <c r="D3260" s="19" t="n">
        <v>992.83</v>
      </c>
      <c r="E3260" s="19" t="n">
        <v>90</v>
      </c>
      <c r="F3260" s="19" t="n">
        <v>879.47</v>
      </c>
      <c r="G3260" s="8" t="n">
        <f aca="false">IFERROR(INDEX('TRANS'!$B:$B,MATCH($B3260,'TRANS'!$A:$A,0)),IFERROR(INDEX('TRANS'!$B:$B,MATCH(TRIM(SUBSTITUTE($B3260,CHAR(160)," ")),'TRANS'!$D:$D,0)),IFERROR(INDEX('Catalog'!$A:$A,MATCH($B3260,'Catalog'!$B:$B,0)),IFERROR(INDEX('Catalog'!$A:$A,MATCH(TRIM(SUBSTITUTE($B3260,CHAR(160)," ")),'Catalog'!$C:$C,0)),""))))</f>
        <v>4413498</v>
      </c>
      <c r="H3260" s="8" t="str">
        <f aca="false">IFERROR(INDEX('TRANS'!$C:$C,MATCH($B3260,'TRANS'!$A:$A,0)),IFERROR(INDEX('Catalog'!$B:$B,MATCH($G3260,'Catalog'!$A:$A,0)),$B3260))</f>
        <v>45B S מגן ברך שחור</v>
      </c>
      <c r="I3260" s="8" t="str">
        <f aca="false">IF($G3260="","Unmatched","Matched")</f>
        <v>Matched</v>
      </c>
      <c r="J3260" s="8" t="n">
        <f aca="false">IF($G3260&lt;&gt;"",$G3260,$B3260)</f>
        <v>4413498</v>
      </c>
      <c r="K3260" s="8" t="str">
        <f aca="false">IF(COUNTIF($M$1:$M$10,$A3260)&gt;0,"Y","N")</f>
        <v>N</v>
      </c>
    </row>
    <row r="3261" customFormat="false" ht="15" hidden="false" customHeight="true" outlineLevel="0" collapsed="false">
      <c r="A3261" s="8" t="s">
        <v>1078</v>
      </c>
      <c r="B3261" s="8" t="s">
        <v>802</v>
      </c>
      <c r="C3261" s="19" t="n">
        <v>200</v>
      </c>
      <c r="D3261" s="19" t="n">
        <v>2210.76</v>
      </c>
      <c r="E3261" s="19" t="n">
        <v>105</v>
      </c>
      <c r="F3261" s="19" t="n">
        <v>1041.07</v>
      </c>
      <c r="G3261" s="8" t="n">
        <f aca="false">IFERROR(INDEX('TRANS'!$B:$B,MATCH($B3261,'TRANS'!$A:$A,0)),IFERROR(INDEX('TRANS'!$B:$B,MATCH(TRIM(SUBSTITUTE($B3261,CHAR(160)," ")),'TRANS'!$D:$D,0)),IFERROR(INDEX('Catalog'!$A:$A,MATCH($B3261,'Catalog'!$B:$B,0)),IFERROR(INDEX('Catalog'!$A:$A,MATCH(TRIM(SUBSTITUTE($B3261,CHAR(160)," ")),'Catalog'!$C:$C,0)),""))))</f>
        <v>4413496</v>
      </c>
      <c r="H3261" s="8" t="str">
        <f aca="false">IFERROR(INDEX('TRANS'!$C:$C,MATCH($B3261,'TRANS'!$A:$A,0)),IFERROR(INDEX('Catalog'!$B:$B,MATCH($G3261,'Catalog'!$A:$A,0)),$B3261))</f>
        <v>45B XL מגן ברך שחור</v>
      </c>
      <c r="I3261" s="8" t="str">
        <f aca="false">IF($G3261="","Unmatched","Matched")</f>
        <v>Matched</v>
      </c>
      <c r="J3261" s="8" t="n">
        <f aca="false">IF($G3261&lt;&gt;"",$G3261,$B3261)</f>
        <v>4413496</v>
      </c>
      <c r="K3261" s="8" t="str">
        <f aca="false">IF(COUNTIF($M$1:$M$10,$A3261)&gt;0,"Y","N")</f>
        <v>N</v>
      </c>
    </row>
    <row r="3262" customFormat="false" ht="15" hidden="false" customHeight="true" outlineLevel="0" collapsed="false">
      <c r="A3262" s="8" t="s">
        <v>1078</v>
      </c>
      <c r="B3262" s="8" t="s">
        <v>803</v>
      </c>
      <c r="C3262" s="19" t="n">
        <v>80</v>
      </c>
      <c r="D3262" s="19" t="n">
        <v>907.45</v>
      </c>
      <c r="E3262" s="19" t="n">
        <v>73</v>
      </c>
      <c r="F3262" s="19" t="n">
        <v>722.65</v>
      </c>
      <c r="G3262" s="8" t="n">
        <f aca="false">IFERROR(INDEX('TRANS'!$B:$B,MATCH($B3262,'TRANS'!$A:$A,0)),IFERROR(INDEX('TRANS'!$B:$B,MATCH(TRIM(SUBSTITUTE($B3262,CHAR(160)," ")),'TRANS'!$D:$D,0)),IFERROR(INDEX('Catalog'!$A:$A,MATCH($B3262,'Catalog'!$B:$B,0)),IFERROR(INDEX('Catalog'!$A:$A,MATCH(TRIM(SUBSTITUTE($B3262,CHAR(160)," ")),'Catalog'!$C:$C,0)),""))))</f>
        <v>4413499</v>
      </c>
      <c r="H3262" s="8" t="str">
        <f aca="false">IFERROR(INDEX('TRANS'!$C:$C,MATCH($B3262,'TRANS'!$A:$A,0)),IFERROR(INDEX('Catalog'!$B:$B,MATCH($G3262,'Catalog'!$A:$A,0)),$B3262))</f>
        <v>45B XXLמגן ברך שחור</v>
      </c>
      <c r="I3262" s="8" t="str">
        <f aca="false">IF($G3262="","Unmatched","Matched")</f>
        <v>Matched</v>
      </c>
      <c r="J3262" s="8" t="n">
        <f aca="false">IF($G3262&lt;&gt;"",$G3262,$B3262)</f>
        <v>4413499</v>
      </c>
      <c r="K3262" s="8" t="str">
        <f aca="false">IF(COUNTIF($M$1:$M$10,$A3262)&gt;0,"Y","N")</f>
        <v>N</v>
      </c>
    </row>
    <row r="3263" customFormat="false" ht="15" hidden="false" customHeight="true" outlineLevel="0" collapsed="false">
      <c r="A3263" s="8" t="s">
        <v>1078</v>
      </c>
      <c r="B3263" s="8" t="s">
        <v>677</v>
      </c>
      <c r="C3263" s="19" t="n">
        <v>220</v>
      </c>
      <c r="D3263" s="19" t="n">
        <v>2259.62</v>
      </c>
      <c r="E3263" s="19" t="n">
        <v>116</v>
      </c>
      <c r="F3263" s="19" t="n">
        <v>1063.27</v>
      </c>
      <c r="G3263" s="8" t="n">
        <f aca="false">IFERROR(INDEX('TRANS'!$B:$B,MATCH($B3263,'TRANS'!$A:$A,0)),IFERROR(INDEX('TRANS'!$B:$B,MATCH(TRIM(SUBSTITUTE($B3263,CHAR(160)," ")),'TRANS'!$D:$D,0)),IFERROR(INDEX('Catalog'!$A:$A,MATCH($B3263,'Catalog'!$B:$B,0)),IFERROR(INDEX('Catalog'!$A:$A,MATCH(TRIM(SUBSTITUTE($B3263,CHAR(160)," ")),'Catalog'!$C:$C,0)),""))))</f>
        <v>4413098</v>
      </c>
      <c r="H3263" s="8" t="str">
        <f aca="false">IFERROR(INDEX('TRANS'!$C:$C,MATCH($B3263,'TRANS'!$A:$A,0)),IFERROR(INDEX('Catalog'!$B:$B,MATCH($G3263,'Catalog'!$A:$A,0)),$B3263))</f>
        <v>45C L מגן ברך חום</v>
      </c>
      <c r="I3263" s="8" t="str">
        <f aca="false">IF($G3263="","Unmatched","Matched")</f>
        <v>Matched</v>
      </c>
      <c r="J3263" s="8" t="n">
        <f aca="false">IF($G3263&lt;&gt;"",$G3263,$B3263)</f>
        <v>4413098</v>
      </c>
      <c r="K3263" s="8" t="str">
        <f aca="false">IF(COUNTIF($M$1:$M$10,$A3263)&gt;0,"Y","N")</f>
        <v>N</v>
      </c>
    </row>
    <row r="3264" customFormat="false" ht="15" hidden="false" customHeight="true" outlineLevel="0" collapsed="false">
      <c r="A3264" s="8" t="s">
        <v>1078</v>
      </c>
      <c r="B3264" s="8" t="s">
        <v>678</v>
      </c>
      <c r="C3264" s="19" t="n">
        <v>150</v>
      </c>
      <c r="D3264" s="19" t="n">
        <v>1555.13</v>
      </c>
      <c r="E3264" s="19" t="n">
        <v>136</v>
      </c>
      <c r="F3264" s="19" t="n">
        <v>1237.42</v>
      </c>
      <c r="G3264" s="8" t="n">
        <f aca="false">IFERROR(INDEX('TRANS'!$B:$B,MATCH($B3264,'TRANS'!$A:$A,0)),IFERROR(INDEX('TRANS'!$B:$B,MATCH(TRIM(SUBSTITUTE($B3264,CHAR(160)," ")),'TRANS'!$D:$D,0)),IFERROR(INDEX('Catalog'!$A:$A,MATCH($B3264,'Catalog'!$B:$B,0)),IFERROR(INDEX('Catalog'!$A:$A,MATCH(TRIM(SUBSTITUTE($B3264,CHAR(160)," ")),'Catalog'!$C:$C,0)),""))))</f>
        <v>4413099</v>
      </c>
      <c r="H3264" s="8" t="str">
        <f aca="false">IFERROR(INDEX('TRANS'!$C:$C,MATCH($B3264,'TRANS'!$A:$A,0)),IFERROR(INDEX('Catalog'!$B:$B,MATCH($G3264,'Catalog'!$A:$A,0)),$B3264))</f>
        <v>45C M מגן ברך חום</v>
      </c>
      <c r="I3264" s="8" t="str">
        <f aca="false">IF($G3264="","Unmatched","Matched")</f>
        <v>Matched</v>
      </c>
      <c r="J3264" s="8" t="n">
        <f aca="false">IF($G3264&lt;&gt;"",$G3264,$B3264)</f>
        <v>4413099</v>
      </c>
      <c r="K3264" s="8" t="str">
        <f aca="false">IF(COUNTIF($M$1:$M$10,$A3264)&gt;0,"Y","N")</f>
        <v>N</v>
      </c>
    </row>
    <row r="3265" customFormat="false" ht="15" hidden="false" customHeight="true" outlineLevel="0" collapsed="false">
      <c r="A3265" s="8" t="s">
        <v>1078</v>
      </c>
      <c r="B3265" s="8" t="s">
        <v>679</v>
      </c>
      <c r="C3265" s="19" t="n">
        <v>42</v>
      </c>
      <c r="D3265" s="19" t="n">
        <v>431.24</v>
      </c>
      <c r="E3265" s="19" t="n">
        <v>33</v>
      </c>
      <c r="F3265" s="19" t="n">
        <v>305.83</v>
      </c>
      <c r="G3265" s="8" t="n">
        <f aca="false">IFERROR(INDEX('TRANS'!$B:$B,MATCH($B3265,'TRANS'!$A:$A,0)),IFERROR(INDEX('TRANS'!$B:$B,MATCH(TRIM(SUBSTITUTE($B3265,CHAR(160)," ")),'TRANS'!$D:$D,0)),IFERROR(INDEX('Catalog'!$A:$A,MATCH($B3265,'Catalog'!$B:$B,0)),IFERROR(INDEX('Catalog'!$A:$A,MATCH(TRIM(SUBSTITUTE($B3265,CHAR(160)," ")),'Catalog'!$C:$C,0)),""))))</f>
        <v>4413097</v>
      </c>
      <c r="H3265" s="8" t="str">
        <f aca="false">IFERROR(INDEX('TRANS'!$C:$C,MATCH($B3265,'TRANS'!$A:$A,0)),IFERROR(INDEX('Catalog'!$B:$B,MATCH($G3265,'Catalog'!$A:$A,0)),$B3265))</f>
        <v>45C S מגן ברך חום</v>
      </c>
      <c r="I3265" s="8" t="str">
        <f aca="false">IF($G3265="","Unmatched","Matched")</f>
        <v>Matched</v>
      </c>
      <c r="J3265" s="8" t="n">
        <f aca="false">IF($G3265&lt;&gt;"",$G3265,$B3265)</f>
        <v>4413097</v>
      </c>
      <c r="K3265" s="8" t="str">
        <f aca="false">IF(COUNTIF($M$1:$M$10,$A3265)&gt;0,"Y","N")</f>
        <v>N</v>
      </c>
    </row>
    <row r="3266" customFormat="false" ht="15" hidden="false" customHeight="true" outlineLevel="0" collapsed="false">
      <c r="A3266" s="8" t="s">
        <v>1078</v>
      </c>
      <c r="B3266" s="8" t="s">
        <v>680</v>
      </c>
      <c r="C3266" s="19" t="n">
        <v>150</v>
      </c>
      <c r="D3266" s="19" t="n">
        <v>1559.48</v>
      </c>
      <c r="E3266" s="19" t="n">
        <v>81</v>
      </c>
      <c r="F3266" s="19" t="n">
        <v>744.03</v>
      </c>
      <c r="G3266" s="8" t="n">
        <f aca="false">IFERROR(INDEX('TRANS'!$B:$B,MATCH($B3266,'TRANS'!$A:$A,0)),IFERROR(INDEX('TRANS'!$B:$B,MATCH(TRIM(SUBSTITUTE($B3266,CHAR(160)," ")),'TRANS'!$D:$D,0)),IFERROR(INDEX('Catalog'!$A:$A,MATCH($B3266,'Catalog'!$B:$B,0)),IFERROR(INDEX('Catalog'!$A:$A,MATCH(TRIM(SUBSTITUTE($B3266,CHAR(160)," ")),'Catalog'!$C:$C,0)),""))))</f>
        <v>4413100</v>
      </c>
      <c r="H3266" s="8" t="str">
        <f aca="false">IFERROR(INDEX('TRANS'!$C:$C,MATCH($B3266,'TRANS'!$A:$A,0)),IFERROR(INDEX('Catalog'!$B:$B,MATCH($G3266,'Catalog'!$A:$A,0)),$B3266))</f>
        <v>45C XL מגן ברך חום</v>
      </c>
      <c r="I3266" s="8" t="str">
        <f aca="false">IF($G3266="","Unmatched","Matched")</f>
        <v>Matched</v>
      </c>
      <c r="J3266" s="8" t="n">
        <f aca="false">IF($G3266&lt;&gt;"",$G3266,$B3266)</f>
        <v>4413100</v>
      </c>
      <c r="K3266" s="8" t="str">
        <f aca="false">IF(COUNTIF($M$1:$M$10,$A3266)&gt;0,"Y","N")</f>
        <v>N</v>
      </c>
    </row>
    <row r="3267" customFormat="false" ht="15" hidden="false" customHeight="true" outlineLevel="0" collapsed="false">
      <c r="A3267" s="8" t="s">
        <v>1078</v>
      </c>
      <c r="B3267" s="8" t="s">
        <v>84</v>
      </c>
      <c r="C3267" s="19" t="n">
        <v>65</v>
      </c>
      <c r="D3267" s="19" t="n">
        <v>681.17</v>
      </c>
      <c r="E3267" s="19" t="n">
        <v>21</v>
      </c>
      <c r="F3267" s="19" t="n">
        <v>199.44</v>
      </c>
      <c r="G3267" s="8" t="str">
        <f aca="false">IFERROR(INDEX('TRANS'!$B:$B,MATCH($B3267,'TRANS'!$A:$A,0)),IFERROR(INDEX('TRANS'!$B:$B,MATCH(TRIM(SUBSTITUTE($B3267,CHAR(160)," ")),'TRANS'!$D:$D,0)),IFERROR(INDEX('Catalog'!$A:$A,MATCH($B3267,'Catalog'!$B:$B,0)),IFERROR(INDEX('Catalog'!$A:$A,MATCH(TRIM(SUBSTITUTE($B3267,CHAR(160)," ")),'Catalog'!$C:$C,0)),""))))</f>
        <v/>
      </c>
      <c r="H3267" s="8" t="str">
        <f aca="false">IFERROR(INDEX('TRANS'!$C:$C,MATCH($B3267,'TRANS'!$A:$A,0)),IFERROR(INDEX('Catalog'!$B:$B,MATCH($G3267,'Catalog'!$A:$A,0)),$B3267))</f>
        <v>45C XXL</v>
      </c>
      <c r="I3267" s="8" t="str">
        <f aca="false">IF($G3267="","Unmatched","Matched")</f>
        <v>Unmatched</v>
      </c>
      <c r="J3267" s="8" t="str">
        <f aca="false">IF($G3267&lt;&gt;"",$G3267,$B3267)</f>
        <v>45C XXL</v>
      </c>
      <c r="K3267" s="8" t="str">
        <f aca="false">IF(COUNTIF($M$1:$M$10,$A3267)&gt;0,"Y","N")</f>
        <v>N</v>
      </c>
    </row>
    <row r="3268" customFormat="false" ht="15" hidden="false" customHeight="true" outlineLevel="0" collapsed="false">
      <c r="A3268" s="8" t="s">
        <v>1078</v>
      </c>
      <c r="B3268" s="8" t="s">
        <v>804</v>
      </c>
      <c r="C3268" s="19" t="n">
        <v>6</v>
      </c>
      <c r="D3268" s="19" t="n">
        <v>69.91</v>
      </c>
      <c r="E3268" s="19" t="n">
        <v>0</v>
      </c>
      <c r="F3268" s="19" t="n">
        <v>0</v>
      </c>
      <c r="G3268" s="8" t="n">
        <f aca="false">IFERROR(INDEX('TRANS'!$B:$B,MATCH($B3268,'TRANS'!$A:$A,0)),IFERROR(INDEX('TRANS'!$B:$B,MATCH(TRIM(SUBSTITUTE($B3268,CHAR(160)," ")),'TRANS'!$D:$D,0)),IFERROR(INDEX('Catalog'!$A:$A,MATCH($B3268,'Catalog'!$B:$B,0)),IFERROR(INDEX('Catalog'!$A:$A,MATCH(TRIM(SUBSTITUTE($B3268,CHAR(160)," ")),'Catalog'!$C:$C,0)),""))))</f>
        <v>4413102</v>
      </c>
      <c r="H3268" s="8" t="str">
        <f aca="false">IFERROR(INDEX('TRANS'!$C:$C,MATCH($B3268,'TRANS'!$A:$A,0)),IFERROR(INDEX('Catalog'!$B:$B,MATCH($G3268,'Catalog'!$A:$A,0)),$B3268))</f>
        <v>45E  L        מגן ברך ארוך לבן</v>
      </c>
      <c r="I3268" s="8" t="str">
        <f aca="false">IF($G3268="","Unmatched","Matched")</f>
        <v>Matched</v>
      </c>
      <c r="J3268" s="8" t="n">
        <f aca="false">IF($G3268&lt;&gt;"",$G3268,$B3268)</f>
        <v>4413102</v>
      </c>
      <c r="K3268" s="8" t="str">
        <f aca="false">IF(COUNTIF($M$1:$M$10,$A3268)&gt;0,"Y","N")</f>
        <v>N</v>
      </c>
    </row>
    <row r="3269" customFormat="false" ht="15" hidden="false" customHeight="true" outlineLevel="0" collapsed="false">
      <c r="A3269" s="8" t="s">
        <v>1078</v>
      </c>
      <c r="B3269" s="8" t="s">
        <v>805</v>
      </c>
      <c r="C3269" s="19" t="n">
        <v>6</v>
      </c>
      <c r="D3269" s="19" t="n">
        <v>69.91</v>
      </c>
      <c r="E3269" s="19" t="n">
        <v>0</v>
      </c>
      <c r="F3269" s="19" t="n">
        <v>0</v>
      </c>
      <c r="G3269" s="8" t="n">
        <f aca="false">IFERROR(INDEX('TRANS'!$B:$B,MATCH($B3269,'TRANS'!$A:$A,0)),IFERROR(INDEX('TRANS'!$B:$B,MATCH(TRIM(SUBSTITUTE($B3269,CHAR(160)," ")),'TRANS'!$D:$D,0)),IFERROR(INDEX('Catalog'!$A:$A,MATCH($B3269,'Catalog'!$B:$B,0)),IFERROR(INDEX('Catalog'!$A:$A,MATCH(TRIM(SUBSTITUTE($B3269,CHAR(160)," ")),'Catalog'!$C:$C,0)),""))))</f>
        <v>4413103</v>
      </c>
      <c r="H3269" s="8" t="str">
        <f aca="false">IFERROR(INDEX('TRANS'!$C:$C,MATCH($B3269,'TRANS'!$A:$A,0)),IFERROR(INDEX('Catalog'!$B:$B,MATCH($G3269,'Catalog'!$A:$A,0)),$B3269))</f>
        <v>45E Mמגן ברך ארוך לבן</v>
      </c>
      <c r="I3269" s="8" t="str">
        <f aca="false">IF($G3269="","Unmatched","Matched")</f>
        <v>Matched</v>
      </c>
      <c r="J3269" s="8" t="n">
        <f aca="false">IF($G3269&lt;&gt;"",$G3269,$B3269)</f>
        <v>4413103</v>
      </c>
      <c r="K3269" s="8" t="str">
        <f aca="false">IF(COUNTIF($M$1:$M$10,$A3269)&gt;0,"Y","N")</f>
        <v>N</v>
      </c>
    </row>
    <row r="3270" customFormat="false" ht="15" hidden="false" customHeight="true" outlineLevel="0" collapsed="false">
      <c r="A3270" s="8" t="s">
        <v>1078</v>
      </c>
      <c r="B3270" s="8" t="s">
        <v>681</v>
      </c>
      <c r="C3270" s="19" t="n">
        <v>10</v>
      </c>
      <c r="D3270" s="19" t="n">
        <v>116.51</v>
      </c>
      <c r="E3270" s="19" t="n">
        <v>0</v>
      </c>
      <c r="F3270" s="19" t="n">
        <v>0</v>
      </c>
      <c r="G3270" s="8" t="n">
        <f aca="false">IFERROR(INDEX('TRANS'!$B:$B,MATCH($B3270,'TRANS'!$A:$A,0)),IFERROR(INDEX('TRANS'!$B:$B,MATCH(TRIM(SUBSTITUTE($B3270,CHAR(160)," ")),'TRANS'!$D:$D,0)),IFERROR(INDEX('Catalog'!$A:$A,MATCH($B3270,'Catalog'!$B:$B,0)),IFERROR(INDEX('Catalog'!$A:$A,MATCH(TRIM(SUBSTITUTE($B3270,CHAR(160)," ")),'Catalog'!$C:$C,0)),""))))</f>
        <v>4413104</v>
      </c>
      <c r="H3270" s="8" t="str">
        <f aca="false">IFERROR(INDEX('TRANS'!$C:$C,MATCH($B3270,'TRANS'!$A:$A,0)),IFERROR(INDEX('Catalog'!$B:$B,MATCH($G3270,'Catalog'!$A:$A,0)),$B3270))</f>
        <v>45E XLמגן ברך ארוך לבן</v>
      </c>
      <c r="I3270" s="8" t="str">
        <f aca="false">IF($G3270="","Unmatched","Matched")</f>
        <v>Matched</v>
      </c>
      <c r="J3270" s="8" t="n">
        <f aca="false">IF($G3270&lt;&gt;"",$G3270,$B3270)</f>
        <v>4413104</v>
      </c>
      <c r="K3270" s="8" t="str">
        <f aca="false">IF(COUNTIF($M$1:$M$10,$A3270)&gt;0,"Y","N")</f>
        <v>N</v>
      </c>
    </row>
    <row r="3271" customFormat="false" ht="15" hidden="false" customHeight="true" outlineLevel="0" collapsed="false">
      <c r="A3271" s="8" t="s">
        <v>1078</v>
      </c>
      <c r="B3271" s="8" t="s">
        <v>929</v>
      </c>
      <c r="C3271" s="19" t="n">
        <v>100</v>
      </c>
      <c r="D3271" s="19" t="n">
        <v>3135.24</v>
      </c>
      <c r="E3271" s="19" t="n">
        <v>18</v>
      </c>
      <c r="F3271" s="19" t="n">
        <v>522.81</v>
      </c>
      <c r="G3271" s="8" t="n">
        <f aca="false">IFERROR(INDEX('TRANS'!$B:$B,MATCH($B3271,'TRANS'!$A:$A,0)),IFERROR(INDEX('TRANS'!$B:$B,MATCH(TRIM(SUBSTITUTE($B3271,CHAR(160)," ")),'TRANS'!$D:$D,0)),IFERROR(INDEX('Catalog'!$A:$A,MATCH($B3271,'Catalog'!$B:$B,0)),IFERROR(INDEX('Catalog'!$A:$A,MATCH(TRIM(SUBSTITUTE($B3271,CHAR(160)," ")),'Catalog'!$C:$C,0)),""))))</f>
        <v>4413122</v>
      </c>
      <c r="H3271" s="8" t="str">
        <f aca="false">IFERROR(INDEX('TRANS'!$C:$C,MATCH($B3271,'TRANS'!$A:$A,0)),IFERROR(INDEX('Catalog'!$B:$B,MATCH($G3271,'Catalog'!$A:$A,0)),$B3271))</f>
        <v>55 L מתלה אשכים לספורטאים</v>
      </c>
      <c r="I3271" s="8" t="str">
        <f aca="false">IF($G3271="","Unmatched","Matched")</f>
        <v>Matched</v>
      </c>
      <c r="J3271" s="8" t="n">
        <f aca="false">IF($G3271&lt;&gt;"",$G3271,$B3271)</f>
        <v>4413122</v>
      </c>
      <c r="K3271" s="8" t="str">
        <f aca="false">IF(COUNTIF($M$1:$M$10,$A3271)&gt;0,"Y","N")</f>
        <v>N</v>
      </c>
    </row>
    <row r="3272" customFormat="false" ht="15" hidden="false" customHeight="true" outlineLevel="0" collapsed="false">
      <c r="A3272" s="8" t="s">
        <v>1078</v>
      </c>
      <c r="B3272" s="8" t="s">
        <v>210</v>
      </c>
      <c r="C3272" s="19" t="n">
        <v>50</v>
      </c>
      <c r="D3272" s="19" t="n">
        <v>1584.91</v>
      </c>
      <c r="E3272" s="19" t="n">
        <v>26</v>
      </c>
      <c r="F3272" s="19" t="n">
        <v>738.56</v>
      </c>
      <c r="G3272" s="8" t="str">
        <f aca="false">IFERROR(INDEX('TRANS'!$B:$B,MATCH($B3272,'TRANS'!$A:$A,0)),IFERROR(INDEX('TRANS'!$B:$B,MATCH(TRIM(SUBSTITUTE($B3272,CHAR(160)," ")),'TRANS'!$D:$D,0)),IFERROR(INDEX('Catalog'!$A:$A,MATCH($B3272,'Catalog'!$B:$B,0)),IFERROR(INDEX('Catalog'!$A:$A,MATCH(TRIM(SUBSTITUTE($B3272,CHAR(160)," ")),'Catalog'!$C:$C,0)),""))))</f>
        <v/>
      </c>
      <c r="H3272" s="8" t="str">
        <f aca="false">IFERROR(INDEX('TRANS'!$C:$C,MATCH($B3272,'TRANS'!$A:$A,0)),IFERROR(INDEX('Catalog'!$B:$B,MATCH($G3272,'Catalog'!$A:$A,0)),$B3272))</f>
        <v>55 M</v>
      </c>
      <c r="I3272" s="8" t="str">
        <f aca="false">IF($G3272="","Unmatched","Matched")</f>
        <v>Unmatched</v>
      </c>
      <c r="J3272" s="8" t="str">
        <f aca="false">IF($G3272&lt;&gt;"",$G3272,$B3272)</f>
        <v>55 M</v>
      </c>
      <c r="K3272" s="8" t="str">
        <f aca="false">IF(COUNTIF($M$1:$M$10,$A3272)&gt;0,"Y","N")</f>
        <v>N</v>
      </c>
    </row>
    <row r="3273" customFormat="false" ht="15" hidden="false" customHeight="true" outlineLevel="0" collapsed="false">
      <c r="A3273" s="8" t="s">
        <v>1078</v>
      </c>
      <c r="B3273" s="8" t="s">
        <v>464</v>
      </c>
      <c r="C3273" s="19" t="n">
        <v>6</v>
      </c>
      <c r="D3273" s="19" t="n">
        <v>183.73</v>
      </c>
      <c r="E3273" s="19" t="n">
        <v>0</v>
      </c>
      <c r="F3273" s="19" t="n">
        <v>0</v>
      </c>
      <c r="G3273" s="8" t="str">
        <f aca="false">IFERROR(INDEX('TRANS'!$B:$B,MATCH($B3273,'TRANS'!$A:$A,0)),IFERROR(INDEX('TRANS'!$B:$B,MATCH(TRIM(SUBSTITUTE($B3273,CHAR(160)," ")),'TRANS'!$D:$D,0)),IFERROR(INDEX('Catalog'!$A:$A,MATCH($B3273,'Catalog'!$B:$B,0)),IFERROR(INDEX('Catalog'!$A:$A,MATCH(TRIM(SUBSTITUTE($B3273,CHAR(160)," ")),'Catalog'!$C:$C,0)),""))))</f>
        <v/>
      </c>
      <c r="H3273" s="8" t="str">
        <f aca="false">IFERROR(INDEX('TRANS'!$C:$C,MATCH($B3273,'TRANS'!$A:$A,0)),IFERROR(INDEX('Catalog'!$B:$B,MATCH($G3273,'Catalog'!$A:$A,0)),$B3273))</f>
        <v>55 S</v>
      </c>
      <c r="I3273" s="8" t="str">
        <f aca="false">IF($G3273="","Unmatched","Matched")</f>
        <v>Unmatched</v>
      </c>
      <c r="J3273" s="8" t="str">
        <f aca="false">IF($G3273&lt;&gt;"",$G3273,$B3273)</f>
        <v>55 S</v>
      </c>
      <c r="K3273" s="8" t="str">
        <f aca="false">IF(COUNTIF($M$1:$M$10,$A3273)&gt;0,"Y","N")</f>
        <v>N</v>
      </c>
    </row>
    <row r="3274" customFormat="false" ht="15" hidden="false" customHeight="true" outlineLevel="0" collapsed="false">
      <c r="A3274" s="8" t="s">
        <v>1078</v>
      </c>
      <c r="B3274" s="8" t="s">
        <v>687</v>
      </c>
      <c r="C3274" s="19" t="n">
        <v>31</v>
      </c>
      <c r="D3274" s="19" t="n">
        <v>991.17</v>
      </c>
      <c r="E3274" s="19" t="n">
        <v>22</v>
      </c>
      <c r="F3274" s="19" t="n">
        <v>637.54</v>
      </c>
      <c r="G3274" s="8" t="n">
        <f aca="false">IFERROR(INDEX('TRANS'!$B:$B,MATCH($B3274,'TRANS'!$A:$A,0)),IFERROR(INDEX('TRANS'!$B:$B,MATCH(TRIM(SUBSTITUTE($B3274,CHAR(160)," ")),'TRANS'!$D:$D,0)),IFERROR(INDEX('Catalog'!$A:$A,MATCH($B3274,'Catalog'!$B:$B,0)),IFERROR(INDEX('Catalog'!$A:$A,MATCH(TRIM(SUBSTITUTE($B3274,CHAR(160)," ")),'Catalog'!$C:$C,0)),""))))</f>
        <v>4413124</v>
      </c>
      <c r="H3274" s="8" t="str">
        <f aca="false">IFERROR(INDEX('TRANS'!$C:$C,MATCH($B3274,'TRANS'!$A:$A,0)),IFERROR(INDEX('Catalog'!$B:$B,MATCH($G3274,'Catalog'!$A:$A,0)),$B3274))</f>
        <v>55 XL מתלה אשכים לספורטאים</v>
      </c>
      <c r="I3274" s="8" t="str">
        <f aca="false">IF($G3274="","Unmatched","Matched")</f>
        <v>Matched</v>
      </c>
      <c r="J3274" s="8" t="n">
        <f aca="false">IF($G3274&lt;&gt;"",$G3274,$B3274)</f>
        <v>4413124</v>
      </c>
      <c r="K3274" s="8" t="str">
        <f aca="false">IF(COUNTIF($M$1:$M$10,$A3274)&gt;0,"Y","N")</f>
        <v>N</v>
      </c>
    </row>
    <row r="3275" customFormat="false" ht="15" hidden="false" customHeight="true" outlineLevel="0" collapsed="false">
      <c r="A3275" s="8" t="s">
        <v>1078</v>
      </c>
      <c r="B3275" s="8" t="s">
        <v>230</v>
      </c>
      <c r="C3275" s="19" t="n">
        <v>26</v>
      </c>
      <c r="D3275" s="19" t="n">
        <v>823.38</v>
      </c>
      <c r="E3275" s="19" t="n">
        <v>6</v>
      </c>
      <c r="F3275" s="19" t="n">
        <v>178.05</v>
      </c>
      <c r="G3275" s="8" t="str">
        <f aca="false">IFERROR(INDEX('TRANS'!$B:$B,MATCH($B3275,'TRANS'!$A:$A,0)),IFERROR(INDEX('TRANS'!$B:$B,MATCH(TRIM(SUBSTITUTE($B3275,CHAR(160)," ")),'TRANS'!$D:$D,0)),IFERROR(INDEX('Catalog'!$A:$A,MATCH($B3275,'Catalog'!$B:$B,0)),IFERROR(INDEX('Catalog'!$A:$A,MATCH(TRIM(SUBSTITUTE($B3275,CHAR(160)," ")),'Catalog'!$C:$C,0)),""))))</f>
        <v/>
      </c>
      <c r="H3275" s="8" t="str">
        <f aca="false">IFERROR(INDEX('TRANS'!$C:$C,MATCH($B3275,'TRANS'!$A:$A,0)),IFERROR(INDEX('Catalog'!$B:$B,MATCH($G3275,'Catalog'!$A:$A,0)),$B3275))</f>
        <v>55 XXL</v>
      </c>
      <c r="I3275" s="8" t="str">
        <f aca="false">IF($G3275="","Unmatched","Matched")</f>
        <v>Unmatched</v>
      </c>
      <c r="J3275" s="8" t="str">
        <f aca="false">IF($G3275&lt;&gt;"",$G3275,$B3275)</f>
        <v>55 XXL</v>
      </c>
      <c r="K3275" s="8" t="str">
        <f aca="false">IF(COUNTIF($M$1:$M$10,$A3275)&gt;0,"Y","N")</f>
        <v>N</v>
      </c>
    </row>
    <row r="3276" customFormat="false" ht="15" hidden="false" customHeight="true" outlineLevel="0" collapsed="false">
      <c r="A3276" s="8" t="s">
        <v>1078</v>
      </c>
      <c r="B3276" s="8" t="s">
        <v>917</v>
      </c>
      <c r="C3276" s="19" t="n">
        <v>37</v>
      </c>
      <c r="D3276" s="19" t="n">
        <v>844.36</v>
      </c>
      <c r="E3276" s="19" t="n">
        <v>16</v>
      </c>
      <c r="F3276" s="19" t="n">
        <v>321.22</v>
      </c>
      <c r="G3276" s="8" t="n">
        <f aca="false">IFERROR(INDEX('TRANS'!$B:$B,MATCH($B3276,'TRANS'!$A:$A,0)),IFERROR(INDEX('TRANS'!$B:$B,MATCH(TRIM(SUBSTITUTE($B3276,CHAR(160)," ")),'TRANS'!$D:$D,0)),IFERROR(INDEX('Catalog'!$A:$A,MATCH($B3276,'Catalog'!$B:$B,0)),IFERROR(INDEX('Catalog'!$A:$A,MATCH(TRIM(SUBSTITUTE($B3276,CHAR(160)," ")),'Catalog'!$C:$C,0)),""))))</f>
        <v>4418000</v>
      </c>
      <c r="H3276" s="8" t="str">
        <f aca="false">IFERROR(INDEX('TRANS'!$C:$C,MATCH($B3276,'TRANS'!$A:$A,0)),IFERROR(INDEX('Catalog'!$B:$B,MATCH($G3276,'Catalog'!$A:$A,0)),$B3276))</f>
        <v>60 L צוארון ספוגי</v>
      </c>
      <c r="I3276" s="8" t="str">
        <f aca="false">IF($G3276="","Unmatched","Matched")</f>
        <v>Matched</v>
      </c>
      <c r="J3276" s="8" t="n">
        <f aca="false">IF($G3276&lt;&gt;"",$G3276,$B3276)</f>
        <v>4418000</v>
      </c>
      <c r="K3276" s="8" t="str">
        <f aca="false">IF(COUNTIF($M$1:$M$10,$A3276)&gt;0,"Y","N")</f>
        <v>N</v>
      </c>
    </row>
    <row r="3277" customFormat="false" ht="15" hidden="false" customHeight="true" outlineLevel="0" collapsed="false">
      <c r="A3277" s="8" t="s">
        <v>1078</v>
      </c>
      <c r="B3277" s="8" t="s">
        <v>691</v>
      </c>
      <c r="C3277" s="19" t="n">
        <v>50</v>
      </c>
      <c r="D3277" s="19" t="n">
        <v>1127.64</v>
      </c>
      <c r="E3277" s="19" t="n">
        <v>28</v>
      </c>
      <c r="F3277" s="19" t="n">
        <v>576.06</v>
      </c>
      <c r="G3277" s="8" t="n">
        <f aca="false">IFERROR(INDEX('TRANS'!$B:$B,MATCH($B3277,'TRANS'!$A:$A,0)),IFERROR(INDEX('TRANS'!$B:$B,MATCH(TRIM(SUBSTITUTE($B3277,CHAR(160)," ")),'TRANS'!$D:$D,0)),IFERROR(INDEX('Catalog'!$A:$A,MATCH($B3277,'Catalog'!$B:$B,0)),IFERROR(INDEX('Catalog'!$A:$A,MATCH(TRIM(SUBSTITUTE($B3277,CHAR(160)," ")),'Catalog'!$C:$C,0)),""))))</f>
        <v>4418001</v>
      </c>
      <c r="H3277" s="8" t="str">
        <f aca="false">IFERROR(INDEX('TRANS'!$C:$C,MATCH($B3277,'TRANS'!$A:$A,0)),IFERROR(INDEX('Catalog'!$B:$B,MATCH($G3277,'Catalog'!$A:$A,0)),$B3277))</f>
        <v>60 M צוארון ספוגי</v>
      </c>
      <c r="I3277" s="8" t="str">
        <f aca="false">IF($G3277="","Unmatched","Matched")</f>
        <v>Matched</v>
      </c>
      <c r="J3277" s="8" t="n">
        <f aca="false">IF($G3277&lt;&gt;"",$G3277,$B3277)</f>
        <v>4418001</v>
      </c>
      <c r="K3277" s="8" t="str">
        <f aca="false">IF(COUNTIF($M$1:$M$10,$A3277)&gt;0,"Y","N")</f>
        <v>N</v>
      </c>
    </row>
    <row r="3278" customFormat="false" ht="15" hidden="false" customHeight="true" outlineLevel="0" collapsed="false">
      <c r="A3278" s="8" t="s">
        <v>1078</v>
      </c>
      <c r="B3278" s="8" t="s">
        <v>692</v>
      </c>
      <c r="C3278" s="19" t="n">
        <v>26</v>
      </c>
      <c r="D3278" s="19" t="n">
        <v>595.57</v>
      </c>
      <c r="E3278" s="19" t="n">
        <v>12</v>
      </c>
      <c r="F3278" s="19" t="n">
        <v>246.64</v>
      </c>
      <c r="G3278" s="8" t="n">
        <f aca="false">IFERROR(INDEX('TRANS'!$B:$B,MATCH($B3278,'TRANS'!$A:$A,0)),IFERROR(INDEX('TRANS'!$B:$B,MATCH(TRIM(SUBSTITUTE($B3278,CHAR(160)," ")),'TRANS'!$D:$D,0)),IFERROR(INDEX('Catalog'!$A:$A,MATCH($B3278,'Catalog'!$B:$B,0)),IFERROR(INDEX('Catalog'!$A:$A,MATCH(TRIM(SUBSTITUTE($B3278,CHAR(160)," ")),'Catalog'!$C:$C,0)),""))))</f>
        <v>4418002</v>
      </c>
      <c r="H3278" s="8" t="str">
        <f aca="false">IFERROR(INDEX('TRANS'!$C:$C,MATCH($B3278,'TRANS'!$A:$A,0)),IFERROR(INDEX('Catalog'!$B:$B,MATCH($G3278,'Catalog'!$A:$A,0)),$B3278))</f>
        <v>60 S צוארון ספוגי</v>
      </c>
      <c r="I3278" s="8" t="str">
        <f aca="false">IF($G3278="","Unmatched","Matched")</f>
        <v>Matched</v>
      </c>
      <c r="J3278" s="8" t="n">
        <f aca="false">IF($G3278&lt;&gt;"",$G3278,$B3278)</f>
        <v>4418002</v>
      </c>
      <c r="K3278" s="8" t="str">
        <f aca="false">IF(COUNTIF($M$1:$M$10,$A3278)&gt;0,"Y","N")</f>
        <v>N</v>
      </c>
    </row>
    <row r="3279" customFormat="false" ht="15" hidden="false" customHeight="true" outlineLevel="0" collapsed="false">
      <c r="A3279" s="8" t="s">
        <v>1078</v>
      </c>
      <c r="B3279" s="8" t="s">
        <v>222</v>
      </c>
      <c r="C3279" s="19" t="n">
        <v>160</v>
      </c>
      <c r="D3279" s="19" t="n">
        <v>2814.71</v>
      </c>
      <c r="E3279" s="19" t="n">
        <v>20</v>
      </c>
      <c r="F3279" s="19" t="n">
        <v>316.93</v>
      </c>
      <c r="G3279" s="8" t="str">
        <f aca="false">IFERROR(INDEX('TRANS'!$B:$B,MATCH($B3279,'TRANS'!$A:$A,0)),IFERROR(INDEX('TRANS'!$B:$B,MATCH(TRIM(SUBSTITUTE($B3279,CHAR(160)," ")),'TRANS'!$D:$D,0)),IFERROR(INDEX('Catalog'!$A:$A,MATCH($B3279,'Catalog'!$B:$B,0)),IFERROR(INDEX('Catalog'!$A:$A,MATCH(TRIM(SUBSTITUTE($B3279,CHAR(160)," ")),'Catalog'!$C:$C,0)),""))))</f>
        <v/>
      </c>
      <c r="H3279" s="8" t="str">
        <f aca="false">IFERROR(INDEX('TRANS'!$C:$C,MATCH($B3279,'TRANS'!$A:$A,0)),IFERROR(INDEX('Catalog'!$B:$B,MATCH($G3279,'Catalog'!$A:$A,0)),$B3279))</f>
        <v>61 L</v>
      </c>
      <c r="I3279" s="8" t="str">
        <f aca="false">IF($G3279="","Unmatched","Matched")</f>
        <v>Unmatched</v>
      </c>
      <c r="J3279" s="8" t="str">
        <f aca="false">IF($G3279&lt;&gt;"",$G3279,$B3279)</f>
        <v>61 L</v>
      </c>
      <c r="K3279" s="8" t="str">
        <f aca="false">IF(COUNTIF($M$1:$M$10,$A3279)&gt;0,"Y","N")</f>
        <v>N</v>
      </c>
    </row>
    <row r="3280" customFormat="false" ht="15" hidden="false" customHeight="true" outlineLevel="0" collapsed="false">
      <c r="A3280" s="8" t="s">
        <v>1078</v>
      </c>
      <c r="B3280" s="8" t="s">
        <v>165</v>
      </c>
      <c r="C3280" s="19" t="n">
        <v>216</v>
      </c>
      <c r="D3280" s="19" t="n">
        <v>3814.23</v>
      </c>
      <c r="E3280" s="19" t="n">
        <v>150</v>
      </c>
      <c r="F3280" s="19" t="n">
        <v>2377.4</v>
      </c>
      <c r="G3280" s="8" t="str">
        <f aca="false">IFERROR(INDEX('TRANS'!$B:$B,MATCH($B3280,'TRANS'!$A:$A,0)),IFERROR(INDEX('TRANS'!$B:$B,MATCH(TRIM(SUBSTITUTE($B3280,CHAR(160)," ")),'TRANS'!$D:$D,0)),IFERROR(INDEX('Catalog'!$A:$A,MATCH($B3280,'Catalog'!$B:$B,0)),IFERROR(INDEX('Catalog'!$A:$A,MATCH(TRIM(SUBSTITUTE($B3280,CHAR(160)," ")),'Catalog'!$C:$C,0)),""))))</f>
        <v/>
      </c>
      <c r="H3280" s="8" t="str">
        <f aca="false">IFERROR(INDEX('TRANS'!$C:$C,MATCH($B3280,'TRANS'!$A:$A,0)),IFERROR(INDEX('Catalog'!$B:$B,MATCH($G3280,'Catalog'!$A:$A,0)),$B3280))</f>
        <v>61 M</v>
      </c>
      <c r="I3280" s="8" t="str">
        <f aca="false">IF($G3280="","Unmatched","Matched")</f>
        <v>Unmatched</v>
      </c>
      <c r="J3280" s="8" t="str">
        <f aca="false">IF($G3280&lt;&gt;"",$G3280,$B3280)</f>
        <v>61 M</v>
      </c>
      <c r="K3280" s="8" t="str">
        <f aca="false">IF(COUNTIF($M$1:$M$10,$A3280)&gt;0,"Y","N")</f>
        <v>N</v>
      </c>
    </row>
    <row r="3281" customFormat="false" ht="15" hidden="false" customHeight="true" outlineLevel="0" collapsed="false">
      <c r="A3281" s="8" t="s">
        <v>1078</v>
      </c>
      <c r="B3281" s="8" t="s">
        <v>218</v>
      </c>
      <c r="C3281" s="19" t="n">
        <v>95</v>
      </c>
      <c r="D3281" s="19" t="n">
        <v>1682.44</v>
      </c>
      <c r="E3281" s="19" t="n">
        <v>85</v>
      </c>
      <c r="F3281" s="19" t="n">
        <v>1348.67</v>
      </c>
      <c r="G3281" s="8" t="str">
        <f aca="false">IFERROR(INDEX('TRANS'!$B:$B,MATCH($B3281,'TRANS'!$A:$A,0)),IFERROR(INDEX('TRANS'!$B:$B,MATCH(TRIM(SUBSTITUTE($B3281,CHAR(160)," ")),'TRANS'!$D:$D,0)),IFERROR(INDEX('Catalog'!$A:$A,MATCH($B3281,'Catalog'!$B:$B,0)),IFERROR(INDEX('Catalog'!$A:$A,MATCH(TRIM(SUBSTITUTE($B3281,CHAR(160)," ")),'Catalog'!$C:$C,0)),""))))</f>
        <v/>
      </c>
      <c r="H3281" s="8" t="str">
        <f aca="false">IFERROR(INDEX('TRANS'!$C:$C,MATCH($B3281,'TRANS'!$A:$A,0)),IFERROR(INDEX('Catalog'!$B:$B,MATCH($G3281,'Catalog'!$A:$A,0)),$B3281))</f>
        <v>61 S</v>
      </c>
      <c r="I3281" s="8" t="str">
        <f aca="false">IF($G3281="","Unmatched","Matched")</f>
        <v>Unmatched</v>
      </c>
      <c r="J3281" s="8" t="str">
        <f aca="false">IF($G3281&lt;&gt;"",$G3281,$B3281)</f>
        <v>61 S</v>
      </c>
      <c r="K3281" s="8" t="str">
        <f aca="false">IF(COUNTIF($M$1:$M$10,$A3281)&gt;0,"Y","N")</f>
        <v>N</v>
      </c>
    </row>
    <row r="3282" customFormat="false" ht="15" hidden="false" customHeight="true" outlineLevel="0" collapsed="false">
      <c r="A3282" s="8" t="s">
        <v>1078</v>
      </c>
      <c r="B3282" s="8" t="s">
        <v>460</v>
      </c>
      <c r="C3282" s="19" t="n">
        <v>20</v>
      </c>
      <c r="D3282" s="19" t="n">
        <v>346.83</v>
      </c>
      <c r="E3282" s="19" t="n">
        <v>0</v>
      </c>
      <c r="F3282" s="19" t="n">
        <v>0</v>
      </c>
      <c r="G3282" s="8" t="str">
        <f aca="false">IFERROR(INDEX('TRANS'!$B:$B,MATCH($B3282,'TRANS'!$A:$A,0)),IFERROR(INDEX('TRANS'!$B:$B,MATCH(TRIM(SUBSTITUTE($B3282,CHAR(160)," ")),'TRANS'!$D:$D,0)),IFERROR(INDEX('Catalog'!$A:$A,MATCH($B3282,'Catalog'!$B:$B,0)),IFERROR(INDEX('Catalog'!$A:$A,MATCH(TRIM(SUBSTITUTE($B3282,CHAR(160)," ")),'Catalog'!$C:$C,0)),""))))</f>
        <v/>
      </c>
      <c r="H3282" s="8" t="str">
        <f aca="false">IFERROR(INDEX('TRANS'!$C:$C,MATCH($B3282,'TRANS'!$A:$A,0)),IFERROR(INDEX('Catalog'!$B:$B,MATCH($G3282,'Catalog'!$A:$A,0)),$B3282))</f>
        <v>61 XL</v>
      </c>
      <c r="I3282" s="8" t="str">
        <f aca="false">IF($G3282="","Unmatched","Matched")</f>
        <v>Unmatched</v>
      </c>
      <c r="J3282" s="8" t="str">
        <f aca="false">IF($G3282&lt;&gt;"",$G3282,$B3282)</f>
        <v>61 XL</v>
      </c>
      <c r="K3282" s="8" t="str">
        <f aca="false">IF(COUNTIF($M$1:$M$10,$A3282)&gt;0,"Y","N")</f>
        <v>N</v>
      </c>
    </row>
    <row r="3283" customFormat="false" ht="15" hidden="false" customHeight="true" outlineLevel="0" collapsed="false">
      <c r="A3283" s="8" t="s">
        <v>1078</v>
      </c>
      <c r="B3283" s="8" t="s">
        <v>45</v>
      </c>
      <c r="C3283" s="19" t="n">
        <v>31</v>
      </c>
      <c r="D3283" s="19" t="n">
        <v>3006.36</v>
      </c>
      <c r="E3283" s="19" t="n">
        <v>0</v>
      </c>
      <c r="F3283" s="19" t="n">
        <v>0</v>
      </c>
      <c r="G3283" s="8" t="str">
        <f aca="false">IFERROR(INDEX('TRANS'!$B:$B,MATCH($B3283,'TRANS'!$A:$A,0)),IFERROR(INDEX('TRANS'!$B:$B,MATCH(TRIM(SUBSTITUTE($B3283,CHAR(160)," ")),'TRANS'!$D:$D,0)),IFERROR(INDEX('Catalog'!$A:$A,MATCH($B3283,'Catalog'!$B:$B,0)),IFERROR(INDEX('Catalog'!$A:$A,MATCH(TRIM(SUBSTITUTE($B3283,CHAR(160)," ")),'Catalog'!$C:$C,0)),""))))</f>
        <v/>
      </c>
      <c r="H3283" s="8" t="str">
        <f aca="false">IFERROR(INDEX('TRANS'!$C:$C,MATCH($B3283,'TRANS'!$A:$A,0)),IFERROR(INDEX('Catalog'!$B:$B,MATCH($G3283,'Catalog'!$A:$A,0)),$B3283))</f>
        <v>67 0</v>
      </c>
      <c r="I3283" s="8" t="str">
        <f aca="false">IF($G3283="","Unmatched","Matched")</f>
        <v>Unmatched</v>
      </c>
      <c r="J3283" s="8" t="str">
        <f aca="false">IF($G3283&lt;&gt;"",$G3283,$B3283)</f>
        <v>67 0</v>
      </c>
      <c r="K3283" s="8" t="str">
        <f aca="false">IF(COUNTIF($M$1:$M$10,$A3283)&gt;0,"Y","N")</f>
        <v>N</v>
      </c>
    </row>
    <row r="3284" customFormat="false" ht="15" hidden="false" customHeight="true" outlineLevel="0" collapsed="false">
      <c r="A3284" s="8" t="s">
        <v>1078</v>
      </c>
      <c r="B3284" s="8" t="s">
        <v>104</v>
      </c>
      <c r="C3284" s="19" t="n">
        <v>16</v>
      </c>
      <c r="D3284" s="19" t="n">
        <v>0.57</v>
      </c>
      <c r="E3284" s="19" t="n">
        <v>0</v>
      </c>
      <c r="F3284" s="19" t="n">
        <v>0</v>
      </c>
      <c r="G3284" s="8" t="str">
        <f aca="false">IFERROR(INDEX('TRANS'!$B:$B,MATCH($B3284,'TRANS'!$A:$A,0)),IFERROR(INDEX('TRANS'!$B:$B,MATCH(TRIM(SUBSTITUTE($B3284,CHAR(160)," ")),'TRANS'!$D:$D,0)),IFERROR(INDEX('Catalog'!$A:$A,MATCH($B3284,'Catalog'!$B:$B,0)),IFERROR(INDEX('Catalog'!$A:$A,MATCH(TRIM(SUBSTITUTE($B3284,CHAR(160)," ")),'Catalog'!$C:$C,0)),""))))</f>
        <v/>
      </c>
      <c r="H3284" s="8" t="str">
        <f aca="false">IFERROR(INDEX('TRANS'!$C:$C,MATCH($B3284,'TRANS'!$A:$A,0)),IFERROR(INDEX('Catalog'!$B:$B,MATCH($G3284,'Catalog'!$A:$A,0)),$B3284))</f>
        <v>67800020</v>
      </c>
      <c r="I3284" s="8" t="str">
        <f aca="false">IF($G3284="","Unmatched","Matched")</f>
        <v>Unmatched</v>
      </c>
      <c r="J3284" s="8" t="str">
        <f aca="false">IF($G3284&lt;&gt;"",$G3284,$B3284)</f>
        <v>67800020</v>
      </c>
      <c r="K3284" s="8" t="str">
        <f aca="false">IF(COUNTIF($M$1:$M$10,$A3284)&gt;0,"Y","N")</f>
        <v>N</v>
      </c>
    </row>
    <row r="3285" customFormat="false" ht="15" hidden="false" customHeight="true" outlineLevel="0" collapsed="false">
      <c r="A3285" s="8" t="s">
        <v>1078</v>
      </c>
      <c r="B3285" s="8" t="s">
        <v>556</v>
      </c>
      <c r="C3285" s="19" t="n">
        <v>3</v>
      </c>
      <c r="D3285" s="19" t="n">
        <v>189.5</v>
      </c>
      <c r="E3285" s="19" t="n">
        <v>0</v>
      </c>
      <c r="F3285" s="19" t="n">
        <v>0</v>
      </c>
      <c r="G3285" s="8" t="n">
        <f aca="false">IFERROR(INDEX('TRANS'!$B:$B,MATCH($B3285,'TRANS'!$A:$A,0)),IFERROR(INDEX('TRANS'!$B:$B,MATCH(TRIM(SUBSTITUTE($B3285,CHAR(160)," ")),'TRANS'!$D:$D,0)),IFERROR(INDEX('Catalog'!$A:$A,MATCH($B3285,'Catalog'!$B:$B,0)),IFERROR(INDEX('Catalog'!$A:$A,MATCH(TRIM(SUBSTITUTE($B3285,CHAR(160)," ")),'Catalog'!$C:$C,0)),""))))</f>
        <v>4413127</v>
      </c>
      <c r="H3285" s="8" t="str">
        <f aca="false">IFERROR(INDEX('TRANS'!$C:$C,MATCH($B3285,'TRANS'!$A:$A,0)),IFERROR(INDEX('Catalog'!$B:$B,MATCH($G3285,'Catalog'!$A:$A,0)),$B3285))</f>
        <v>75 Lמיישר כתף יציב יישור גב צר</v>
      </c>
      <c r="I3285" s="8" t="str">
        <f aca="false">IF($G3285="","Unmatched","Matched")</f>
        <v>Matched</v>
      </c>
      <c r="J3285" s="8" t="n">
        <f aca="false">IF($G3285&lt;&gt;"",$G3285,$B3285)</f>
        <v>4413127</v>
      </c>
      <c r="K3285" s="8" t="str">
        <f aca="false">IF(COUNTIF($M$1:$M$10,$A3285)&gt;0,"Y","N")</f>
        <v>N</v>
      </c>
    </row>
    <row r="3286" customFormat="false" ht="15" hidden="false" customHeight="true" outlineLevel="0" collapsed="false">
      <c r="A3286" s="8" t="s">
        <v>1078</v>
      </c>
      <c r="B3286" s="8" t="s">
        <v>696</v>
      </c>
      <c r="C3286" s="19" t="n">
        <v>50</v>
      </c>
      <c r="D3286" s="19" t="n">
        <v>498.16</v>
      </c>
      <c r="E3286" s="19" t="n">
        <v>25</v>
      </c>
      <c r="F3286" s="19" t="n">
        <v>220.61</v>
      </c>
      <c r="G3286" s="8" t="n">
        <f aca="false">IFERROR(INDEX('TRANS'!$B:$B,MATCH($B3286,'TRANS'!$A:$A,0)),IFERROR(INDEX('TRANS'!$B:$B,MATCH(TRIM(SUBSTITUTE($B3286,CHAR(160)," ")),'TRANS'!$D:$D,0)),IFERROR(INDEX('Catalog'!$A:$A,MATCH($B3286,'Catalog'!$B:$B,0)),IFERROR(INDEX('Catalog'!$A:$A,MATCH(TRIM(SUBSTITUTE($B3286,CHAR(160)," ")),'Catalog'!$C:$C,0)),""))))</f>
        <v>4422000</v>
      </c>
      <c r="H3286" s="8" t="str">
        <f aca="false">IFERROR(INDEX('TRANS'!$C:$C,MATCH($B3286,'TRANS'!$A:$A,0)),IFERROR(INDEX('Catalog'!$B:$B,MATCH($G3286,'Catalog'!$A:$A,0)),$B3286))</f>
        <v>801  תחבושת אלסטית מקררת</v>
      </c>
      <c r="I3286" s="8" t="str">
        <f aca="false">IF($G3286="","Unmatched","Matched")</f>
        <v>Matched</v>
      </c>
      <c r="J3286" s="8" t="n">
        <f aca="false">IF($G3286&lt;&gt;"",$G3286,$B3286)</f>
        <v>4422000</v>
      </c>
      <c r="K3286" s="8" t="str">
        <f aca="false">IF(COUNTIF($M$1:$M$10,$A3286)&gt;0,"Y","N")</f>
        <v>N</v>
      </c>
    </row>
    <row r="3287" customFormat="false" ht="15" hidden="false" customHeight="true" outlineLevel="0" collapsed="false">
      <c r="A3287" s="8" t="s">
        <v>1078</v>
      </c>
      <c r="B3287" s="8" t="s">
        <v>700</v>
      </c>
      <c r="C3287" s="19" t="n">
        <v>56</v>
      </c>
      <c r="D3287" s="19" t="n">
        <v>501.97</v>
      </c>
      <c r="E3287" s="19" t="n">
        <v>70</v>
      </c>
      <c r="F3287" s="19" t="n">
        <v>557.96</v>
      </c>
      <c r="G3287" s="8" t="n">
        <f aca="false">IFERROR(INDEX('TRANS'!$B:$B,MATCH($B3287,'TRANS'!$A:$A,0)),IFERROR(INDEX('TRANS'!$B:$B,MATCH(TRIM(SUBSTITUTE($B3287,CHAR(160)," ")),'TRANS'!$D:$D,0)),IFERROR(INDEX('Catalog'!$A:$A,MATCH($B3287,'Catalog'!$B:$B,0)),IFERROR(INDEX('Catalog'!$A:$A,MATCH(TRIM(SUBSTITUTE($B3287,CHAR(160)," ")),'Catalog'!$C:$C,0)),""))))</f>
        <v>4401012</v>
      </c>
      <c r="H3287" s="8" t="str">
        <f aca="false">IFERROR(INDEX('TRANS'!$C:$C,MATCH($B3287,'TRANS'!$A:$A,0)),IFERROR(INDEX('Catalog'!$B:$B,MATCH($G3287,'Catalog'!$A:$A,0)),$B3287))</f>
        <v>805AT-B אתלטיק טייפ שחור 20מ""""מ</v>
      </c>
      <c r="I3287" s="8" t="str">
        <f aca="false">IF($G3287="","Unmatched","Matched")</f>
        <v>Matched</v>
      </c>
      <c r="J3287" s="8" t="n">
        <f aca="false">IF($G3287&lt;&gt;"",$G3287,$B3287)</f>
        <v>4401012</v>
      </c>
      <c r="K3287" s="8" t="str">
        <f aca="false">IF(COUNTIF($M$1:$M$10,$A3287)&gt;0,"Y","N")</f>
        <v>N</v>
      </c>
    </row>
    <row r="3288" customFormat="false" ht="15" hidden="false" customHeight="true" outlineLevel="0" collapsed="false">
      <c r="A3288" s="8" t="s">
        <v>1078</v>
      </c>
      <c r="B3288" s="8" t="s">
        <v>884</v>
      </c>
      <c r="C3288" s="19" t="n">
        <v>62</v>
      </c>
      <c r="D3288" s="19" t="n">
        <v>537.87</v>
      </c>
      <c r="E3288" s="19" t="n">
        <v>90</v>
      </c>
      <c r="F3288" s="19" t="n">
        <v>717.64</v>
      </c>
      <c r="G3288" s="8" t="n">
        <f aca="false">IFERROR(INDEX('TRANS'!$B:$B,MATCH($B3288,'TRANS'!$A:$A,0)),IFERROR(INDEX('TRANS'!$B:$B,MATCH(TRIM(SUBSTITUTE($B3288,CHAR(160)," ")),'TRANS'!$D:$D,0)),IFERROR(INDEX('Catalog'!$A:$A,MATCH($B3288,'Catalog'!$B:$B,0)),IFERROR(INDEX('Catalog'!$A:$A,MATCH(TRIM(SUBSTITUTE($B3288,CHAR(160)," ")),'Catalog'!$C:$C,0)),""))))</f>
        <v>4401013</v>
      </c>
      <c r="H3288" s="8" t="str">
        <f aca="false">IFERROR(INDEX('TRANS'!$C:$C,MATCH($B3288,'TRANS'!$A:$A,0)),IFERROR(INDEX('Catalog'!$B:$B,MATCH($G3288,'Catalog'!$A:$A,0)),$B3288))</f>
        <v>805AT-BLאתלטיק טייפ כחול 20מ""""מ</v>
      </c>
      <c r="I3288" s="8" t="str">
        <f aca="false">IF($G3288="","Unmatched","Matched")</f>
        <v>Matched</v>
      </c>
      <c r="J3288" s="8" t="n">
        <f aca="false">IF($G3288&lt;&gt;"",$G3288,$B3288)</f>
        <v>4401013</v>
      </c>
      <c r="K3288" s="8" t="str">
        <f aca="false">IF(COUNTIF($M$1:$M$10,$A3288)&gt;0,"Y","N")</f>
        <v>N</v>
      </c>
    </row>
    <row r="3289" customFormat="false" ht="15" hidden="false" customHeight="true" outlineLevel="0" collapsed="false">
      <c r="A3289" s="8" t="s">
        <v>1078</v>
      </c>
      <c r="B3289" s="8" t="s">
        <v>701</v>
      </c>
      <c r="C3289" s="19" t="n">
        <v>95</v>
      </c>
      <c r="D3289" s="19" t="n">
        <v>840.36</v>
      </c>
      <c r="E3289" s="19" t="n">
        <v>130</v>
      </c>
      <c r="F3289" s="19" t="n">
        <v>1036.92</v>
      </c>
      <c r="G3289" s="8" t="n">
        <f aca="false">IFERROR(INDEX('TRANS'!$B:$B,MATCH($B3289,'TRANS'!$A:$A,0)),IFERROR(INDEX('TRANS'!$B:$B,MATCH(TRIM(SUBSTITUTE($B3289,CHAR(160)," ")),'TRANS'!$D:$D,0)),IFERROR(INDEX('Catalog'!$A:$A,MATCH($B3289,'Catalog'!$B:$B,0)),IFERROR(INDEX('Catalog'!$A:$A,MATCH(TRIM(SUBSTITUTE($B3289,CHAR(160)," ")),'Catalog'!$C:$C,0)),""))))</f>
        <v>4401011</v>
      </c>
      <c r="H3289" s="8" t="str">
        <f aca="false">IFERROR(INDEX('TRANS'!$C:$C,MATCH($B3289,'TRANS'!$A:$A,0)),IFERROR(INDEX('Catalog'!$B:$B,MATCH($G3289,'Catalog'!$A:$A,0)),$B3289))</f>
        <v>805AT-Cאתלטיק טייפ בז' 20מ""""מ20</v>
      </c>
      <c r="I3289" s="8" t="str">
        <f aca="false">IF($G3289="","Unmatched","Matched")</f>
        <v>Matched</v>
      </c>
      <c r="J3289" s="8" t="n">
        <f aca="false">IF($G3289&lt;&gt;"",$G3289,$B3289)</f>
        <v>4401011</v>
      </c>
      <c r="K3289" s="8" t="str">
        <f aca="false">IF(COUNTIF($M$1:$M$10,$A3289)&gt;0,"Y","N")</f>
        <v>N</v>
      </c>
    </row>
    <row r="3290" customFormat="false" ht="15" hidden="false" customHeight="true" outlineLevel="0" collapsed="false">
      <c r="A3290" s="8" t="s">
        <v>1078</v>
      </c>
      <c r="B3290" s="8" t="s">
        <v>1000</v>
      </c>
      <c r="C3290" s="19" t="n">
        <v>55</v>
      </c>
      <c r="D3290" s="19" t="n">
        <v>490.11</v>
      </c>
      <c r="E3290" s="19" t="n">
        <v>97</v>
      </c>
      <c r="F3290" s="19" t="n">
        <v>778.63</v>
      </c>
      <c r="G3290" s="8" t="n">
        <f aca="false">IFERROR(INDEX('TRANS'!$B:$B,MATCH($B3290,'TRANS'!$A:$A,0)),IFERROR(INDEX('TRANS'!$B:$B,MATCH(TRIM(SUBSTITUTE($B3290,CHAR(160)," ")),'TRANS'!$D:$D,0)),IFERROR(INDEX('Catalog'!$A:$A,MATCH($B3290,'Catalog'!$B:$B,0)),IFERROR(INDEX('Catalog'!$A:$A,MATCH(TRIM(SUBSTITUTE($B3290,CHAR(160)," ")),'Catalog'!$C:$C,0)),""))))</f>
        <v>4401014</v>
      </c>
      <c r="H3290" s="8" t="str">
        <f aca="false">IFERROR(INDEX('TRANS'!$C:$C,MATCH($B3290,'TRANS'!$A:$A,0)),IFERROR(INDEX('Catalog'!$B:$B,MATCH($G3290,'Catalog'!$A:$A,0)),$B3290))</f>
        <v>805AT-W  אתלטיק טייפ לבן 20מ""""מ</v>
      </c>
      <c r="I3290" s="8" t="str">
        <f aca="false">IF($G3290="","Unmatched","Matched")</f>
        <v>Matched</v>
      </c>
      <c r="J3290" s="8" t="n">
        <f aca="false">IF($G3290&lt;&gt;"",$G3290,$B3290)</f>
        <v>4401014</v>
      </c>
      <c r="K3290" s="8" t="str">
        <f aca="false">IF(COUNTIF($M$1:$M$10,$A3290)&gt;0,"Y","N")</f>
        <v>N</v>
      </c>
    </row>
    <row r="3291" customFormat="false" ht="15" hidden="false" customHeight="true" outlineLevel="0" collapsed="false">
      <c r="A3291" s="8" t="s">
        <v>1078</v>
      </c>
      <c r="B3291" s="8" t="s">
        <v>823</v>
      </c>
      <c r="C3291" s="19" t="n">
        <v>90</v>
      </c>
      <c r="D3291" s="19" t="n">
        <v>561.79</v>
      </c>
      <c r="E3291" s="19" t="n">
        <v>90</v>
      </c>
      <c r="F3291" s="19" t="n">
        <v>506.31</v>
      </c>
      <c r="G3291" s="8" t="n">
        <f aca="false">IFERROR(INDEX('TRANS'!$B:$B,MATCH($B3291,'TRANS'!$A:$A,0)),IFERROR(INDEX('TRANS'!$B:$B,MATCH(TRIM(SUBSTITUTE($B3291,CHAR(160)," ")),'TRANS'!$D:$D,0)),IFERROR(INDEX('Catalog'!$A:$A,MATCH($B3291,'Catalog'!$B:$B,0)),IFERROR(INDEX('Catalog'!$A:$A,MATCH(TRIM(SUBSTITUTE($B3291,CHAR(160)," ")),'Catalog'!$C:$C,0)),""))))</f>
        <v>4422024</v>
      </c>
      <c r="H3291" s="8" t="str">
        <f aca="false">IFERROR(INDEX('TRANS'!$C:$C,MATCH($B3291,'TRANS'!$A:$A,0)),IFERROR(INDEX('Catalog'!$B:$B,MATCH($G3291,'Catalog'!$A:$A,0)),$B3291))</f>
        <v>806CB-BLACK      תחבושת א.נצמ</v>
      </c>
      <c r="I3291" s="8" t="str">
        <f aca="false">IF($G3291="","Unmatched","Matched")</f>
        <v>Matched</v>
      </c>
      <c r="J3291" s="8" t="n">
        <f aca="false">IF($G3291&lt;&gt;"",$G3291,$B3291)</f>
        <v>4422024</v>
      </c>
      <c r="K3291" s="8" t="str">
        <f aca="false">IF(COUNTIF($M$1:$M$10,$A3291)&gt;0,"Y","N")</f>
        <v>N</v>
      </c>
    </row>
    <row r="3292" customFormat="false" ht="15" hidden="false" customHeight="true" outlineLevel="0" collapsed="false">
      <c r="A3292" s="8" t="s">
        <v>1078</v>
      </c>
      <c r="B3292" s="8" t="s">
        <v>824</v>
      </c>
      <c r="C3292" s="19" t="n">
        <v>110</v>
      </c>
      <c r="D3292" s="19" t="n">
        <v>688.33</v>
      </c>
      <c r="E3292" s="19" t="n">
        <v>100</v>
      </c>
      <c r="F3292" s="19" t="n">
        <v>564.01</v>
      </c>
      <c r="G3292" s="8" t="n">
        <f aca="false">IFERROR(INDEX('TRANS'!$B:$B,MATCH($B3292,'TRANS'!$A:$A,0)),IFERROR(INDEX('TRANS'!$B:$B,MATCH(TRIM(SUBSTITUTE($B3292,CHAR(160)," ")),'TRANS'!$D:$D,0)),IFERROR(INDEX('Catalog'!$A:$A,MATCH($B3292,'Catalog'!$B:$B,0)),IFERROR(INDEX('Catalog'!$A:$A,MATCH(TRIM(SUBSTITUTE($B3292,CHAR(160)," ")),'Catalog'!$C:$C,0)),""))))</f>
        <v>4422023</v>
      </c>
      <c r="H3292" s="8" t="str">
        <f aca="false">IFERROR(INDEX('TRANS'!$C:$C,MATCH($B3292,'TRANS'!$A:$A,0)),IFERROR(INDEX('Catalog'!$B:$B,MATCH($G3292,'Catalog'!$A:$A,0)),$B3292))</f>
        <v>806CB-BEIGE      תחבושת א.נצמ</v>
      </c>
      <c r="I3292" s="8" t="str">
        <f aca="false">IF($G3292="","Unmatched","Matched")</f>
        <v>Matched</v>
      </c>
      <c r="J3292" s="8" t="n">
        <f aca="false">IF($G3292&lt;&gt;"",$G3292,$B3292)</f>
        <v>4422023</v>
      </c>
      <c r="K3292" s="8" t="str">
        <f aca="false">IF(COUNTIF($M$1:$M$10,$A3292)&gt;0,"Y","N")</f>
        <v>N</v>
      </c>
    </row>
    <row r="3293" customFormat="false" ht="15" hidden="false" customHeight="true" outlineLevel="0" collapsed="false">
      <c r="A3293" s="8" t="s">
        <v>1078</v>
      </c>
      <c r="B3293" s="8" t="s">
        <v>825</v>
      </c>
      <c r="C3293" s="19" t="n">
        <v>50</v>
      </c>
      <c r="D3293" s="19" t="n">
        <v>318.44</v>
      </c>
      <c r="E3293" s="19" t="n">
        <v>30</v>
      </c>
      <c r="F3293" s="19" t="n">
        <v>169.3</v>
      </c>
      <c r="G3293" s="8" t="n">
        <f aca="false">IFERROR(INDEX('TRANS'!$B:$B,MATCH($B3293,'TRANS'!$A:$A,0)),IFERROR(INDEX('TRANS'!$B:$B,MATCH(TRIM(SUBSTITUTE($B3293,CHAR(160)," ")),'TRANS'!$D:$D,0)),IFERROR(INDEX('Catalog'!$A:$A,MATCH($B3293,'Catalog'!$B:$B,0)),IFERROR(INDEX('Catalog'!$A:$A,MATCH(TRIM(SUBSTITUTE($B3293,CHAR(160)," ")),'Catalog'!$C:$C,0)),""))))</f>
        <v>4422025</v>
      </c>
      <c r="H3293" s="8" t="str">
        <f aca="false">IFERROR(INDEX('TRANS'!$C:$C,MATCH($B3293,'TRANS'!$A:$A,0)),IFERROR(INDEX('Catalog'!$B:$B,MATCH($G3293,'Catalog'!$A:$A,0)),$B3293))</f>
        <v>806CB-GREEN      תחבושת א.נצמ</v>
      </c>
      <c r="I3293" s="8" t="str">
        <f aca="false">IF($G3293="","Unmatched","Matched")</f>
        <v>Matched</v>
      </c>
      <c r="J3293" s="8" t="n">
        <f aca="false">IF($G3293&lt;&gt;"",$G3293,$B3293)</f>
        <v>4422025</v>
      </c>
      <c r="K3293" s="8" t="str">
        <f aca="false">IF(COUNTIF($M$1:$M$10,$A3293)&gt;0,"Y","N")</f>
        <v>N</v>
      </c>
    </row>
    <row r="3294" customFormat="false" ht="15" hidden="false" customHeight="true" outlineLevel="0" collapsed="false">
      <c r="A3294" s="8" t="s">
        <v>1078</v>
      </c>
      <c r="B3294" s="8" t="s">
        <v>826</v>
      </c>
      <c r="C3294" s="19" t="n">
        <v>41</v>
      </c>
      <c r="D3294" s="19" t="n">
        <v>255.66</v>
      </c>
      <c r="E3294" s="19" t="n">
        <v>30</v>
      </c>
      <c r="F3294" s="19" t="n">
        <v>169.3</v>
      </c>
      <c r="G3294" s="8" t="n">
        <f aca="false">IFERROR(INDEX('TRANS'!$B:$B,MATCH($B3294,'TRANS'!$A:$A,0)),IFERROR(INDEX('TRANS'!$B:$B,MATCH(TRIM(SUBSTITUTE($B3294,CHAR(160)," ")),'TRANS'!$D:$D,0)),IFERROR(INDEX('Catalog'!$A:$A,MATCH($B3294,'Catalog'!$B:$B,0)),IFERROR(INDEX('Catalog'!$A:$A,MATCH(TRIM(SUBSTITUTE($B3294,CHAR(160)," ")),'Catalog'!$C:$C,0)),""))))</f>
        <v>4422026</v>
      </c>
      <c r="H3294" s="8" t="str">
        <f aca="false">IFERROR(INDEX('TRANS'!$C:$C,MATCH($B3294,'TRANS'!$A:$A,0)),IFERROR(INDEX('Catalog'!$B:$B,MATCH($G3294,'Catalog'!$A:$A,0)),$B3294))</f>
        <v>806CB-PINK       תחבושת א.נצמ</v>
      </c>
      <c r="I3294" s="8" t="str">
        <f aca="false">IF($G3294="","Unmatched","Matched")</f>
        <v>Matched</v>
      </c>
      <c r="J3294" s="8" t="n">
        <f aca="false">IF($G3294&lt;&gt;"",$G3294,$B3294)</f>
        <v>4422026</v>
      </c>
      <c r="K3294" s="8" t="str">
        <f aca="false">IF(COUNTIF($M$1:$M$10,$A3294)&gt;0,"Y","N")</f>
        <v>N</v>
      </c>
    </row>
    <row r="3295" customFormat="false" ht="15" hidden="false" customHeight="true" outlineLevel="0" collapsed="false">
      <c r="A3295" s="8" t="s">
        <v>1078</v>
      </c>
      <c r="B3295" s="8" t="s">
        <v>705</v>
      </c>
      <c r="C3295" s="19" t="n">
        <v>20</v>
      </c>
      <c r="D3295" s="19" t="n">
        <v>239.39</v>
      </c>
      <c r="E3295" s="19" t="n">
        <v>50</v>
      </c>
      <c r="F3295" s="19" t="n">
        <v>561.5</v>
      </c>
      <c r="G3295" s="8" t="n">
        <f aca="false">IFERROR(INDEX('TRANS'!$B:$B,MATCH($B3295,'TRANS'!$A:$A,0)),IFERROR(INDEX('TRANS'!$B:$B,MATCH(TRIM(SUBSTITUTE($B3295,CHAR(160)," ")),'TRANS'!$D:$D,0)),IFERROR(INDEX('Catalog'!$A:$A,MATCH($B3295,'Catalog'!$B:$B,0)),IFERROR(INDEX('Catalog'!$A:$A,MATCH(TRIM(SUBSTITUTE($B3295,CHAR(160)," ")),'Catalog'!$C:$C,0)),""))))</f>
        <v>4409017</v>
      </c>
      <c r="H3295" s="8" t="str">
        <f aca="false">IFERROR(INDEX('TRANS'!$C:$C,MATCH($B3295,'TRANS'!$A:$A,0)),IFERROR(INDEX('Catalog'!$B:$B,MATCH($G3295,'Catalog'!$A:$A,0)),$B3295))</f>
        <v>808KT-B        טייפ קינזיולוגי</v>
      </c>
      <c r="I3295" s="8" t="str">
        <f aca="false">IF($G3295="","Unmatched","Matched")</f>
        <v>Matched</v>
      </c>
      <c r="J3295" s="8" t="n">
        <f aca="false">IF($G3295&lt;&gt;"",$G3295,$B3295)</f>
        <v>4409017</v>
      </c>
      <c r="K3295" s="8" t="str">
        <f aca="false">IF(COUNTIF($M$1:$M$10,$A3295)&gt;0,"Y","N")</f>
        <v>N</v>
      </c>
    </row>
    <row r="3296" customFormat="false" ht="15" hidden="false" customHeight="true" outlineLevel="0" collapsed="false">
      <c r="A3296" s="8" t="s">
        <v>1078</v>
      </c>
      <c r="B3296" s="8" t="s">
        <v>886</v>
      </c>
      <c r="C3296" s="19" t="n">
        <v>26</v>
      </c>
      <c r="D3296" s="19" t="n">
        <v>322.75</v>
      </c>
      <c r="E3296" s="19" t="n">
        <v>50</v>
      </c>
      <c r="F3296" s="19" t="n">
        <v>564.09</v>
      </c>
      <c r="G3296" s="8" t="n">
        <f aca="false">IFERROR(INDEX('TRANS'!$B:$B,MATCH($B3296,'TRANS'!$A:$A,0)),IFERROR(INDEX('TRANS'!$B:$B,MATCH(TRIM(SUBSTITUTE($B3296,CHAR(160)," ")),'TRANS'!$D:$D,0)),IFERROR(INDEX('Catalog'!$A:$A,MATCH($B3296,'Catalog'!$B:$B,0)),IFERROR(INDEX('Catalog'!$A:$A,MATCH(TRIM(SUBSTITUTE($B3296,CHAR(160)," ")),'Catalog'!$C:$C,0)),""))))</f>
        <v>4409015</v>
      </c>
      <c r="H3296" s="8" t="str">
        <f aca="false">IFERROR(INDEX('TRANS'!$C:$C,MATCH($B3296,'TRANS'!$A:$A,0)),IFERROR(INDEX('Catalog'!$B:$B,MATCH($G3296,'Catalog'!$A:$A,0)),$B3296))</f>
        <v>808KT-BL       טייפ קינזיולוגי</v>
      </c>
      <c r="I3296" s="8" t="str">
        <f aca="false">IF($G3296="","Unmatched","Matched")</f>
        <v>Matched</v>
      </c>
      <c r="J3296" s="8" t="n">
        <f aca="false">IF($G3296&lt;&gt;"",$G3296,$B3296)</f>
        <v>4409015</v>
      </c>
      <c r="K3296" s="8" t="str">
        <f aca="false">IF(COUNTIF($M$1:$M$10,$A3296)&gt;0,"Y","N")</f>
        <v>N</v>
      </c>
    </row>
    <row r="3297" customFormat="false" ht="15" hidden="false" customHeight="true" outlineLevel="0" collapsed="false">
      <c r="A3297" s="8" t="s">
        <v>1078</v>
      </c>
      <c r="B3297" s="8" t="s">
        <v>706</v>
      </c>
      <c r="C3297" s="19" t="n">
        <v>30</v>
      </c>
      <c r="D3297" s="19" t="n">
        <v>359.51</v>
      </c>
      <c r="E3297" s="19" t="n">
        <v>40</v>
      </c>
      <c r="F3297" s="19" t="n">
        <v>445.09</v>
      </c>
      <c r="G3297" s="8" t="n">
        <f aca="false">IFERROR(INDEX('TRANS'!$B:$B,MATCH($B3297,'TRANS'!$A:$A,0)),IFERROR(INDEX('TRANS'!$B:$B,MATCH(TRIM(SUBSTITUTE($B3297,CHAR(160)," ")),'TRANS'!$D:$D,0)),IFERROR(INDEX('Catalog'!$A:$A,MATCH($B3297,'Catalog'!$B:$B,0)),IFERROR(INDEX('Catalog'!$A:$A,MATCH(TRIM(SUBSTITUTE($B3297,CHAR(160)," ")),'Catalog'!$C:$C,0)),""))))</f>
        <v>4409016</v>
      </c>
      <c r="H3297" s="8" t="str">
        <f aca="false">IFERROR(INDEX('TRANS'!$C:$C,MATCH($B3297,'TRANS'!$A:$A,0)),IFERROR(INDEX('Catalog'!$B:$B,MATCH($G3297,'Catalog'!$A:$A,0)),$B3297))</f>
        <v>808KT-C        טייפ קינזיולוגי</v>
      </c>
      <c r="I3297" s="8" t="str">
        <f aca="false">IF($G3297="","Unmatched","Matched")</f>
        <v>Matched</v>
      </c>
      <c r="J3297" s="8" t="n">
        <f aca="false">IF($G3297&lt;&gt;"",$G3297,$B3297)</f>
        <v>4409016</v>
      </c>
      <c r="K3297" s="8" t="str">
        <f aca="false">IF(COUNTIF($M$1:$M$10,$A3297)&gt;0,"Y","N")</f>
        <v>N</v>
      </c>
    </row>
    <row r="3298" customFormat="false" ht="15" hidden="false" customHeight="true" outlineLevel="0" collapsed="false">
      <c r="A3298" s="8" t="s">
        <v>1078</v>
      </c>
      <c r="B3298" s="8" t="s">
        <v>887</v>
      </c>
      <c r="C3298" s="19" t="n">
        <v>20</v>
      </c>
      <c r="D3298" s="19" t="n">
        <v>250.68</v>
      </c>
      <c r="E3298" s="19" t="n">
        <v>30</v>
      </c>
      <c r="F3298" s="19" t="n">
        <v>339.2</v>
      </c>
      <c r="G3298" s="8" t="n">
        <f aca="false">IFERROR(INDEX('TRANS'!$B:$B,MATCH($B3298,'TRANS'!$A:$A,0)),IFERROR(INDEX('TRANS'!$B:$B,MATCH(TRIM(SUBSTITUTE($B3298,CHAR(160)," ")),'TRANS'!$D:$D,0)),IFERROR(INDEX('Catalog'!$A:$A,MATCH($B3298,'Catalog'!$B:$B,0)),IFERROR(INDEX('Catalog'!$A:$A,MATCH(TRIM(SUBSTITUTE($B3298,CHAR(160)," ")),'Catalog'!$C:$C,0)),""))))</f>
        <v>4409014</v>
      </c>
      <c r="H3298" s="8" t="str">
        <f aca="false">IFERROR(INDEX('TRANS'!$C:$C,MATCH($B3298,'TRANS'!$A:$A,0)),IFERROR(INDEX('Catalog'!$B:$B,MATCH($G3298,'Catalog'!$A:$A,0)),$B3298))</f>
        <v>808KT-P        טייפ קינזיולוגי</v>
      </c>
      <c r="I3298" s="8" t="str">
        <f aca="false">IF($G3298="","Unmatched","Matched")</f>
        <v>Matched</v>
      </c>
      <c r="J3298" s="8" t="n">
        <f aca="false">IF($G3298&lt;&gt;"",$G3298,$B3298)</f>
        <v>4409014</v>
      </c>
      <c r="K3298" s="8" t="str">
        <f aca="false">IF(COUNTIF($M$1:$M$10,$A3298)&gt;0,"Y","N")</f>
        <v>N</v>
      </c>
    </row>
    <row r="3299" customFormat="false" ht="15" hidden="false" customHeight="true" outlineLevel="0" collapsed="false">
      <c r="A3299" s="8" t="s">
        <v>1078</v>
      </c>
      <c r="B3299" s="8" t="s">
        <v>116</v>
      </c>
      <c r="C3299" s="19" t="n">
        <v>0</v>
      </c>
      <c r="D3299" s="19" t="n">
        <v>0</v>
      </c>
      <c r="E3299" s="19" t="n">
        <v>1</v>
      </c>
      <c r="F3299" s="19" t="n">
        <v>0.03</v>
      </c>
      <c r="G3299" s="8" t="str">
        <f aca="false">IFERROR(INDEX('TRANS'!$B:$B,MATCH($B3299,'TRANS'!$A:$A,0)),IFERROR(INDEX('TRANS'!$B:$B,MATCH(TRIM(SUBSTITUTE($B3299,CHAR(160)," ")),'TRANS'!$D:$D,0)),IFERROR(INDEX('Catalog'!$A:$A,MATCH($B3299,'Catalog'!$B:$B,0)),IFERROR(INDEX('Catalog'!$A:$A,MATCH(TRIM(SUBSTITUTE($B3299,CHAR(160)," ")),'Catalog'!$C:$C,0)),""))))</f>
        <v/>
      </c>
      <c r="H3299" s="8" t="str">
        <f aca="false">IFERROR(INDEX('TRANS'!$C:$C,MATCH($B3299,'TRANS'!$A:$A,0)),IFERROR(INDEX('Catalog'!$B:$B,MATCH($G3299,'Catalog'!$A:$A,0)),$B3299))</f>
        <v>809PW-C</v>
      </c>
      <c r="I3299" s="8" t="str">
        <f aca="false">IF($G3299="","Unmatched","Matched")</f>
        <v>Unmatched</v>
      </c>
      <c r="J3299" s="8" t="str">
        <f aca="false">IF($G3299&lt;&gt;"",$G3299,$B3299)</f>
        <v>809PW-C</v>
      </c>
      <c r="K3299" s="8" t="str">
        <f aca="false">IF(COUNTIF($M$1:$M$10,$A3299)&gt;0,"Y","N")</f>
        <v>N</v>
      </c>
    </row>
    <row r="3300" customFormat="false" ht="15" hidden="false" customHeight="true" outlineLevel="0" collapsed="false">
      <c r="A3300" s="8" t="s">
        <v>1078</v>
      </c>
      <c r="B3300" s="8" t="s">
        <v>1079</v>
      </c>
      <c r="C3300" s="19" t="n">
        <v>170</v>
      </c>
      <c r="D3300" s="19" t="n">
        <v>4725.51</v>
      </c>
      <c r="E3300" s="19" t="n">
        <v>110</v>
      </c>
      <c r="F3300" s="19" t="n">
        <v>2678.71</v>
      </c>
      <c r="G3300" s="8" t="str">
        <f aca="false">IFERROR(INDEX('TRANS'!$B:$B,MATCH($B3300,'TRANS'!$A:$A,0)),IFERROR(INDEX('TRANS'!$B:$B,MATCH(TRIM(SUBSTITUTE($B3300,CHAR(160)," ")),'TRANS'!$D:$D,0)),IFERROR(INDEX('Catalog'!$A:$A,MATCH($B3300,'Catalog'!$B:$B,0)),IFERROR(INDEX('Catalog'!$A:$A,MATCH(TRIM(SUBSTITUTE($B3300,CHAR(160)," ")),'Catalog'!$C:$C,0)),""))))</f>
        <v/>
      </c>
      <c r="H3300" s="8" t="str">
        <f aca="false">IFERROR(INDEX('TRANS'!$C:$C,MATCH($B3300,'TRANS'!$A:$A,0)),IFERROR(INDEX('Catalog'!$B:$B,MATCH($G3300,'Catalog'!$A:$A,0)),$B3300))</f>
        <v>82 0</v>
      </c>
      <c r="I3300" s="8" t="str">
        <f aca="false">IF($G3300="","Unmatched","Matched")</f>
        <v>Unmatched</v>
      </c>
      <c r="J3300" s="8" t="str">
        <f aca="false">IF($G3300&lt;&gt;"",$G3300,$B3300)</f>
        <v>82 0</v>
      </c>
      <c r="K3300" s="8" t="str">
        <f aca="false">IF(COUNTIF($M$1:$M$10,$A3300)&gt;0,"Y","N")</f>
        <v>N</v>
      </c>
    </row>
    <row r="3301" customFormat="false" ht="15" hidden="false" customHeight="true" outlineLevel="0" collapsed="false">
      <c r="A3301" s="8" t="s">
        <v>1078</v>
      </c>
      <c r="B3301" s="8" t="s">
        <v>707</v>
      </c>
      <c r="C3301" s="19" t="n">
        <v>51</v>
      </c>
      <c r="D3301" s="19" t="n">
        <v>1198.79</v>
      </c>
      <c r="E3301" s="19" t="n">
        <v>31</v>
      </c>
      <c r="F3301" s="19" t="n">
        <v>645</v>
      </c>
      <c r="G3301" s="8" t="n">
        <f aca="false">IFERROR(INDEX('TRANS'!$B:$B,MATCH($B3301,'TRANS'!$A:$A,0)),IFERROR(INDEX('TRANS'!$B:$B,MATCH(TRIM(SUBSTITUTE($B3301,CHAR(160)," ")),'TRANS'!$D:$D,0)),IFERROR(INDEX('Catalog'!$A:$A,MATCH($B3301,'Catalog'!$B:$B,0)),IFERROR(INDEX('Catalog'!$A:$A,MATCH(TRIM(SUBSTITUTE($B3301,CHAR(160)," ")),'Catalog'!$C:$C,0)),""))))</f>
        <v>4411015</v>
      </c>
      <c r="H3301" s="8" t="str">
        <f aca="false">IFERROR(INDEX('TRANS'!$C:$C,MATCH($B3301,'TRANS'!$A:$A,0)),IFERROR(INDEX('Catalog'!$B:$B,MATCH($G3301,'Catalog'!$A:$A,0)),$B3301))</f>
        <v>820 0 כרית חום וקור</v>
      </c>
      <c r="I3301" s="8" t="str">
        <f aca="false">IF($G3301="","Unmatched","Matched")</f>
        <v>Matched</v>
      </c>
      <c r="J3301" s="8" t="n">
        <f aca="false">IF($G3301&lt;&gt;"",$G3301,$B3301)</f>
        <v>4411015</v>
      </c>
      <c r="K3301" s="8" t="str">
        <f aca="false">IF(COUNTIF($M$1:$M$10,$A3301)&gt;0,"Y","N")</f>
        <v>N</v>
      </c>
    </row>
    <row r="3302" customFormat="false" ht="15" hidden="false" customHeight="true" outlineLevel="0" collapsed="false">
      <c r="A3302" s="8" t="s">
        <v>1078</v>
      </c>
      <c r="B3302" s="8" t="s">
        <v>708</v>
      </c>
      <c r="C3302" s="19" t="n">
        <v>280</v>
      </c>
      <c r="D3302" s="19" t="n">
        <v>5355.16</v>
      </c>
      <c r="E3302" s="19" t="n">
        <v>190</v>
      </c>
      <c r="F3302" s="19" t="n">
        <v>3223.61</v>
      </c>
      <c r="G3302" s="8" t="n">
        <f aca="false">IFERROR(INDEX('TRANS'!$B:$B,MATCH($B3302,'TRANS'!$A:$A,0)),IFERROR(INDEX('TRANS'!$B:$B,MATCH(TRIM(SUBSTITUTE($B3302,CHAR(160)," ")),'TRANS'!$D:$D,0)),IFERROR(INDEX('Catalog'!$A:$A,MATCH($B3302,'Catalog'!$B:$B,0)),IFERROR(INDEX('Catalog'!$A:$A,MATCH(TRIM(SUBSTITUTE($B3302,CHAR(160)," ")),'Catalog'!$C:$C,0)),""))))</f>
        <v>4413135</v>
      </c>
      <c r="H3302" s="8" t="str">
        <f aca="false">IFERROR(INDEX('TRANS'!$C:$C,MATCH($B3302,'TRANS'!$A:$A,0)),IFERROR(INDEX('Catalog'!$B:$B,MATCH($G3302,'Catalog'!$A:$A,0)),$B3302))</f>
        <v>85 L (מתלה ליד )כיס</v>
      </c>
      <c r="I3302" s="8" t="str">
        <f aca="false">IF($G3302="","Unmatched","Matched")</f>
        <v>Matched</v>
      </c>
      <c r="J3302" s="8" t="n">
        <f aca="false">IF($G3302&lt;&gt;"",$G3302,$B3302)</f>
        <v>4413135</v>
      </c>
      <c r="K3302" s="8" t="str">
        <f aca="false">IF(COUNTIF($M$1:$M$10,$A3302)&gt;0,"Y","N")</f>
        <v>N</v>
      </c>
    </row>
    <row r="3303" customFormat="false" ht="15" hidden="false" customHeight="true" outlineLevel="0" collapsed="false">
      <c r="A3303" s="8" t="s">
        <v>1078</v>
      </c>
      <c r="B3303" s="8" t="s">
        <v>709</v>
      </c>
      <c r="C3303" s="19" t="n">
        <v>220</v>
      </c>
      <c r="D3303" s="19" t="n">
        <v>4207.96</v>
      </c>
      <c r="E3303" s="19" t="n">
        <v>210</v>
      </c>
      <c r="F3303" s="19" t="n">
        <v>3580.27</v>
      </c>
      <c r="G3303" s="8" t="n">
        <f aca="false">IFERROR(INDEX('TRANS'!$B:$B,MATCH($B3303,'TRANS'!$A:$A,0)),IFERROR(INDEX('TRANS'!$B:$B,MATCH(TRIM(SUBSTITUTE($B3303,CHAR(160)," ")),'TRANS'!$D:$D,0)),IFERROR(INDEX('Catalog'!$A:$A,MATCH($B3303,'Catalog'!$B:$B,0)),IFERROR(INDEX('Catalog'!$A:$A,MATCH(TRIM(SUBSTITUTE($B3303,CHAR(160)," ")),'Catalog'!$C:$C,0)),""))))</f>
        <v>4413136</v>
      </c>
      <c r="H3303" s="8" t="str">
        <f aca="false">IFERROR(INDEX('TRANS'!$C:$C,MATCH($B3303,'TRANS'!$A:$A,0)),IFERROR(INDEX('Catalog'!$B:$B,MATCH($G3303,'Catalog'!$A:$A,0)),$B3303))</f>
        <v>85 M (מתלה ליד )כיס</v>
      </c>
      <c r="I3303" s="8" t="str">
        <f aca="false">IF($G3303="","Unmatched","Matched")</f>
        <v>Matched</v>
      </c>
      <c r="J3303" s="8" t="n">
        <f aca="false">IF($G3303&lt;&gt;"",$G3303,$B3303)</f>
        <v>4413136</v>
      </c>
      <c r="K3303" s="8" t="str">
        <f aca="false">IF(COUNTIF($M$1:$M$10,$A3303)&gt;0,"Y","N")</f>
        <v>N</v>
      </c>
    </row>
    <row r="3304" customFormat="false" ht="15" hidden="false" customHeight="true" outlineLevel="0" collapsed="false">
      <c r="A3304" s="8" t="s">
        <v>1078</v>
      </c>
      <c r="B3304" s="8" t="s">
        <v>963</v>
      </c>
      <c r="C3304" s="19" t="n">
        <v>56</v>
      </c>
      <c r="D3304" s="19" t="n">
        <v>1065.21</v>
      </c>
      <c r="E3304" s="19" t="n">
        <v>40</v>
      </c>
      <c r="F3304" s="19" t="n">
        <v>686.15</v>
      </c>
      <c r="G3304" s="8" t="n">
        <f aca="false">IFERROR(INDEX('TRANS'!$B:$B,MATCH($B3304,'TRANS'!$A:$A,0)),IFERROR(INDEX('TRANS'!$B:$B,MATCH(TRIM(SUBSTITUTE($B3304,CHAR(160)," ")),'TRANS'!$D:$D,0)),IFERROR(INDEX('Catalog'!$A:$A,MATCH($B3304,'Catalog'!$B:$B,0)),IFERROR(INDEX('Catalog'!$A:$A,MATCH(TRIM(SUBSTITUTE($B3304,CHAR(160)," ")),'Catalog'!$C:$C,0)),""))))</f>
        <v>4413137</v>
      </c>
      <c r="H3304" s="8" t="str">
        <f aca="false">IFERROR(INDEX('TRANS'!$C:$C,MATCH($B3304,'TRANS'!$A:$A,0)),IFERROR(INDEX('Catalog'!$B:$B,MATCH($G3304,'Catalog'!$A:$A,0)),$B3304))</f>
        <v>85 S (מתלה ליד )כיס</v>
      </c>
      <c r="I3304" s="8" t="str">
        <f aca="false">IF($G3304="","Unmatched","Matched")</f>
        <v>Matched</v>
      </c>
      <c r="J3304" s="8" t="n">
        <f aca="false">IF($G3304&lt;&gt;"",$G3304,$B3304)</f>
        <v>4413137</v>
      </c>
      <c r="K3304" s="8" t="str">
        <f aca="false">IF(COUNTIF($M$1:$M$10,$A3304)&gt;0,"Y","N")</f>
        <v>N</v>
      </c>
    </row>
    <row r="3305" customFormat="false" ht="15" hidden="false" customHeight="true" outlineLevel="0" collapsed="false">
      <c r="A3305" s="8" t="s">
        <v>1078</v>
      </c>
      <c r="B3305" s="8" t="s">
        <v>710</v>
      </c>
      <c r="C3305" s="19" t="n">
        <v>50</v>
      </c>
      <c r="D3305" s="19" t="n">
        <v>949.7</v>
      </c>
      <c r="E3305" s="19" t="n">
        <v>32</v>
      </c>
      <c r="F3305" s="19" t="n">
        <v>554.24</v>
      </c>
      <c r="G3305" s="8" t="n">
        <f aca="false">IFERROR(INDEX('TRANS'!$B:$B,MATCH($B3305,'TRANS'!$A:$A,0)),IFERROR(INDEX('TRANS'!$B:$B,MATCH(TRIM(SUBSTITUTE($B3305,CHAR(160)," ")),'TRANS'!$D:$D,0)),IFERROR(INDEX('Catalog'!$A:$A,MATCH($B3305,'Catalog'!$B:$B,0)),IFERROR(INDEX('Catalog'!$A:$A,MATCH(TRIM(SUBSTITUTE($B3305,CHAR(160)," ")),'Catalog'!$C:$C,0)),""))))</f>
        <v>4413138</v>
      </c>
      <c r="H3305" s="8" t="str">
        <f aca="false">IFERROR(INDEX('TRANS'!$C:$C,MATCH($B3305,'TRANS'!$A:$A,0)),IFERROR(INDEX('Catalog'!$B:$B,MATCH($G3305,'Catalog'!$A:$A,0)),$B3305))</f>
        <v>85 XL (מתלה ליד )כיס</v>
      </c>
      <c r="I3305" s="8" t="str">
        <f aca="false">IF($G3305="","Unmatched","Matched")</f>
        <v>Matched</v>
      </c>
      <c r="J3305" s="8" t="n">
        <f aca="false">IF($G3305&lt;&gt;"",$G3305,$B3305)</f>
        <v>4413138</v>
      </c>
      <c r="K3305" s="8" t="str">
        <f aca="false">IF(COUNTIF($M$1:$M$10,$A3305)&gt;0,"Y","N")</f>
        <v>N</v>
      </c>
    </row>
    <row r="3306" customFormat="false" ht="15" hidden="false" customHeight="true" outlineLevel="0" collapsed="false">
      <c r="A3306" s="8" t="s">
        <v>1078</v>
      </c>
      <c r="B3306" s="8" t="s">
        <v>428</v>
      </c>
      <c r="C3306" s="19" t="n">
        <v>0</v>
      </c>
      <c r="D3306" s="19" t="n">
        <v>0</v>
      </c>
      <c r="E3306" s="19" t="n">
        <v>8</v>
      </c>
      <c r="F3306" s="19" t="n">
        <v>247.59</v>
      </c>
      <c r="G3306" s="8" t="str">
        <f aca="false">IFERROR(INDEX('TRANS'!$B:$B,MATCH($B3306,'TRANS'!$A:$A,0)),IFERROR(INDEX('TRANS'!$B:$B,MATCH(TRIM(SUBSTITUTE($B3306,CHAR(160)," ")),'TRANS'!$D:$D,0)),IFERROR(INDEX('Catalog'!$A:$A,MATCH($B3306,'Catalog'!$B:$B,0)),IFERROR(INDEX('Catalog'!$A:$A,MATCH(TRIM(SUBSTITUTE($B3306,CHAR(160)," ")),'Catalog'!$C:$C,0)),""))))</f>
        <v/>
      </c>
      <c r="H3306" s="8" t="str">
        <f aca="false">IFERROR(INDEX('TRANS'!$C:$C,MATCH($B3306,'TRANS'!$A:$A,0)),IFERROR(INDEX('Catalog'!$B:$B,MATCH($G3306,'Catalog'!$A:$A,0)),$B3306))</f>
        <v>91 0</v>
      </c>
      <c r="I3306" s="8" t="str">
        <f aca="false">IF($G3306="","Unmatched","Matched")</f>
        <v>Unmatched</v>
      </c>
      <c r="J3306" s="8" t="str">
        <f aca="false">IF($G3306&lt;&gt;"",$G3306,$B3306)</f>
        <v>91 0</v>
      </c>
      <c r="K3306" s="8" t="str">
        <f aca="false">IF(COUNTIF($M$1:$M$10,$A3306)&gt;0,"Y","N")</f>
        <v>N</v>
      </c>
    </row>
    <row r="3307" customFormat="false" ht="15" hidden="false" customHeight="true" outlineLevel="0" collapsed="false">
      <c r="A3307" s="8" t="s">
        <v>1078</v>
      </c>
      <c r="B3307" s="8" t="s">
        <v>833</v>
      </c>
      <c r="C3307" s="19" t="n">
        <v>0</v>
      </c>
      <c r="D3307" s="19" t="n">
        <v>0</v>
      </c>
      <c r="E3307" s="19" t="n">
        <v>1</v>
      </c>
      <c r="F3307" s="19" t="n">
        <v>0.03</v>
      </c>
      <c r="G3307" s="8" t="n">
        <f aca="false">IFERROR(INDEX('TRANS'!$B:$B,MATCH($B3307,'TRANS'!$A:$A,0)),IFERROR(INDEX('TRANS'!$B:$B,MATCH(TRIM(SUBSTITUTE($B3307,CHAR(160)," ")),'TRANS'!$D:$D,0)),IFERROR(INDEX('Catalog'!$A:$A,MATCH($B3307,'Catalog'!$B:$B,0)),IFERROR(INDEX('Catalog'!$A:$A,MATCH(TRIM(SUBSTITUTE($B3307,CHAR(160)," ")),'Catalog'!$C:$C,0)),""))))</f>
        <v>4408266</v>
      </c>
      <c r="H3307" s="8" t="str">
        <f aca="false">IFERROR(INDEX('TRANS'!$C:$C,MATCH($B3307,'TRANS'!$A:$A,0)),IFERROR(INDEX('Catalog'!$B:$B,MATCH($G3307,'Catalog'!$A:$A,0)),$B3307))</f>
        <v>91B חבק טניס אלבו</v>
      </c>
      <c r="I3307" s="8" t="str">
        <f aca="false">IF($G3307="","Unmatched","Matched")</f>
        <v>Matched</v>
      </c>
      <c r="J3307" s="8" t="n">
        <f aca="false">IF($G3307&lt;&gt;"",$G3307,$B3307)</f>
        <v>4408266</v>
      </c>
      <c r="K3307" s="8" t="str">
        <f aca="false">IF(COUNTIF($M$1:$M$10,$A3307)&gt;0,"Y","N")</f>
        <v>N</v>
      </c>
    </row>
    <row r="3308" customFormat="false" ht="15" hidden="false" customHeight="true" outlineLevel="0" collapsed="false">
      <c r="A3308" s="8" t="s">
        <v>1078</v>
      </c>
      <c r="B3308" s="8" t="s">
        <v>717</v>
      </c>
      <c r="C3308" s="19" t="n">
        <v>90</v>
      </c>
      <c r="D3308" s="19" t="n">
        <v>967.11</v>
      </c>
      <c r="E3308" s="19" t="n">
        <v>75</v>
      </c>
      <c r="F3308" s="19" t="n">
        <v>726.86</v>
      </c>
      <c r="G3308" s="8" t="n">
        <f aca="false">IFERROR(INDEX('TRANS'!$B:$B,MATCH($B3308,'TRANS'!$A:$A,0)),IFERROR(INDEX('TRANS'!$B:$B,MATCH(TRIM(SUBSTITUTE($B3308,CHAR(160)," ")),'TRANS'!$D:$D,0)),IFERROR(INDEX('Catalog'!$A:$A,MATCH($B3308,'Catalog'!$B:$B,0)),IFERROR(INDEX('Catalog'!$A:$A,MATCH(TRIM(SUBSTITUTE($B3308,CHAR(160)," ")),'Catalog'!$C:$C,0)),""))))</f>
        <v>4413500</v>
      </c>
      <c r="H3308" s="8" t="str">
        <f aca="false">IFERROR(INDEX('TRANS'!$C:$C,MATCH($B3308,'TRANS'!$A:$A,0)),IFERROR(INDEX('Catalog'!$B:$B,MATCH($G3308,'Catalog'!$A:$A,0)),$B3308))</f>
        <v>95B L מגן מרפק שחור</v>
      </c>
      <c r="I3308" s="8" t="str">
        <f aca="false">IF($G3308="","Unmatched","Matched")</f>
        <v>Matched</v>
      </c>
      <c r="J3308" s="8" t="n">
        <f aca="false">IF($G3308&lt;&gt;"",$G3308,$B3308)</f>
        <v>4413500</v>
      </c>
      <c r="K3308" s="8" t="str">
        <f aca="false">IF(COUNTIF($M$1:$M$10,$A3308)&gt;0,"Y","N")</f>
        <v>N</v>
      </c>
    </row>
    <row r="3309" customFormat="false" ht="15" hidden="false" customHeight="true" outlineLevel="0" collapsed="false">
      <c r="A3309" s="8" t="s">
        <v>1078</v>
      </c>
      <c r="B3309" s="8" t="s">
        <v>718</v>
      </c>
      <c r="C3309" s="19" t="n">
        <v>145</v>
      </c>
      <c r="D3309" s="19" t="n">
        <v>1571.6</v>
      </c>
      <c r="E3309" s="19" t="n">
        <v>85</v>
      </c>
      <c r="F3309" s="19" t="n">
        <v>816.96</v>
      </c>
      <c r="G3309" s="8" t="n">
        <f aca="false">IFERROR(INDEX('TRANS'!$B:$B,MATCH($B3309,'TRANS'!$A:$A,0)),IFERROR(INDEX('TRANS'!$B:$B,MATCH(TRIM(SUBSTITUTE($B3309,CHAR(160)," ")),'TRANS'!$D:$D,0)),IFERROR(INDEX('Catalog'!$A:$A,MATCH($B3309,'Catalog'!$B:$B,0)),IFERROR(INDEX('Catalog'!$A:$A,MATCH(TRIM(SUBSTITUTE($B3309,CHAR(160)," ")),'Catalog'!$C:$C,0)),""))))</f>
        <v>4413501</v>
      </c>
      <c r="H3309" s="8" t="str">
        <f aca="false">IFERROR(INDEX('TRANS'!$C:$C,MATCH($B3309,'TRANS'!$A:$A,0)),IFERROR(INDEX('Catalog'!$B:$B,MATCH($G3309,'Catalog'!$A:$A,0)),$B3309))</f>
        <v>95B M מגן מרפק שחור</v>
      </c>
      <c r="I3309" s="8" t="str">
        <f aca="false">IF($G3309="","Unmatched","Matched")</f>
        <v>Matched</v>
      </c>
      <c r="J3309" s="8" t="n">
        <f aca="false">IF($G3309&lt;&gt;"",$G3309,$B3309)</f>
        <v>4413501</v>
      </c>
      <c r="K3309" s="8" t="str">
        <f aca="false">IF(COUNTIF($M$1:$M$10,$A3309)&gt;0,"Y","N")</f>
        <v>N</v>
      </c>
    </row>
    <row r="3310" customFormat="false" ht="15" hidden="false" customHeight="true" outlineLevel="0" collapsed="false">
      <c r="A3310" s="8" t="s">
        <v>1078</v>
      </c>
      <c r="B3310" s="8" t="s">
        <v>719</v>
      </c>
      <c r="C3310" s="19" t="n">
        <v>35</v>
      </c>
      <c r="D3310" s="19" t="n">
        <v>372.89</v>
      </c>
      <c r="E3310" s="19" t="n">
        <v>60</v>
      </c>
      <c r="F3310" s="19" t="n">
        <v>580.87</v>
      </c>
      <c r="G3310" s="8" t="n">
        <f aca="false">IFERROR(INDEX('TRANS'!$B:$B,MATCH($B3310,'TRANS'!$A:$A,0)),IFERROR(INDEX('TRANS'!$B:$B,MATCH(TRIM(SUBSTITUTE($B3310,CHAR(160)," ")),'TRANS'!$D:$D,0)),IFERROR(INDEX('Catalog'!$A:$A,MATCH($B3310,'Catalog'!$B:$B,0)),IFERROR(INDEX('Catalog'!$A:$A,MATCH(TRIM(SUBSTITUTE($B3310,CHAR(160)," ")),'Catalog'!$C:$C,0)),""))))</f>
        <v>4413502</v>
      </c>
      <c r="H3310" s="8" t="str">
        <f aca="false">IFERROR(INDEX('TRANS'!$C:$C,MATCH($B3310,'TRANS'!$A:$A,0)),IFERROR(INDEX('Catalog'!$B:$B,MATCH($G3310,'Catalog'!$A:$A,0)),$B3310))</f>
        <v>95B S מגן מרפק שחור</v>
      </c>
      <c r="I3310" s="8" t="str">
        <f aca="false">IF($G3310="","Unmatched","Matched")</f>
        <v>Matched</v>
      </c>
      <c r="J3310" s="8" t="n">
        <f aca="false">IF($G3310&lt;&gt;"",$G3310,$B3310)</f>
        <v>4413502</v>
      </c>
      <c r="K3310" s="8" t="str">
        <f aca="false">IF(COUNTIF($M$1:$M$10,$A3310)&gt;0,"Y","N")</f>
        <v>N</v>
      </c>
    </row>
    <row r="3311" customFormat="false" ht="15" hidden="false" customHeight="true" outlineLevel="0" collapsed="false">
      <c r="A3311" s="8" t="s">
        <v>1078</v>
      </c>
      <c r="B3311" s="8" t="s">
        <v>720</v>
      </c>
      <c r="C3311" s="19" t="n">
        <v>56</v>
      </c>
      <c r="D3311" s="19" t="n">
        <v>616.21</v>
      </c>
      <c r="E3311" s="19" t="n">
        <v>16</v>
      </c>
      <c r="F3311" s="19" t="n">
        <v>158.76</v>
      </c>
      <c r="G3311" s="8" t="n">
        <f aca="false">IFERROR(INDEX('TRANS'!$B:$B,MATCH($B3311,'TRANS'!$A:$A,0)),IFERROR(INDEX('TRANS'!$B:$B,MATCH(TRIM(SUBSTITUTE($B3311,CHAR(160)," ")),'TRANS'!$D:$D,0)),IFERROR(INDEX('Catalog'!$A:$A,MATCH($B3311,'Catalog'!$B:$B,0)),IFERROR(INDEX('Catalog'!$A:$A,MATCH(TRIM(SUBSTITUTE($B3311,CHAR(160)," ")),'Catalog'!$C:$C,0)),""))))</f>
        <v>4413503</v>
      </c>
      <c r="H3311" s="8" t="str">
        <f aca="false">IFERROR(INDEX('TRANS'!$C:$C,MATCH($B3311,'TRANS'!$A:$A,0)),IFERROR(INDEX('Catalog'!$B:$B,MATCH($G3311,'Catalog'!$A:$A,0)),$B3311))</f>
        <v>95B XL מגן מרפק שחור</v>
      </c>
      <c r="I3311" s="8" t="str">
        <f aca="false">IF($G3311="","Unmatched","Matched")</f>
        <v>Matched</v>
      </c>
      <c r="J3311" s="8" t="n">
        <f aca="false">IF($G3311&lt;&gt;"",$G3311,$B3311)</f>
        <v>4413503</v>
      </c>
      <c r="K3311" s="8" t="str">
        <f aca="false">IF(COUNTIF($M$1:$M$10,$A3311)&gt;0,"Y","N")</f>
        <v>N</v>
      </c>
    </row>
    <row r="3312" customFormat="false" ht="15" hidden="false" customHeight="true" outlineLevel="0" collapsed="false">
      <c r="A3312" s="8" t="s">
        <v>1078</v>
      </c>
      <c r="B3312" s="8" t="s">
        <v>1002</v>
      </c>
      <c r="C3312" s="19" t="n">
        <v>6</v>
      </c>
      <c r="D3312" s="19" t="n">
        <v>68.97</v>
      </c>
      <c r="E3312" s="19" t="n">
        <v>12</v>
      </c>
      <c r="F3312" s="19" t="n">
        <v>113.95</v>
      </c>
      <c r="G3312" s="8" t="n">
        <f aca="false">IFERROR(INDEX('TRANS'!$B:$B,MATCH($B3312,'TRANS'!$A:$A,0)),IFERROR(INDEX('TRANS'!$B:$B,MATCH(TRIM(SUBSTITUTE($B3312,CHAR(160)," ")),'TRANS'!$D:$D,0)),IFERROR(INDEX('Catalog'!$A:$A,MATCH($B3312,'Catalog'!$B:$B,0)),IFERROR(INDEX('Catalog'!$A:$A,MATCH(TRIM(SUBSTITUTE($B3312,CHAR(160)," ")),'Catalog'!$C:$C,0)),""))))</f>
        <v>4413504</v>
      </c>
      <c r="H3312" s="8" t="str">
        <f aca="false">IFERROR(INDEX('TRANS'!$C:$C,MATCH($B3312,'TRANS'!$A:$A,0)),IFERROR(INDEX('Catalog'!$B:$B,MATCH($G3312,'Catalog'!$A:$A,0)),$B3312))</f>
        <v>95B XXLמגן מרפק שחור</v>
      </c>
      <c r="I3312" s="8" t="str">
        <f aca="false">IF($G3312="","Unmatched","Matched")</f>
        <v>Matched</v>
      </c>
      <c r="J3312" s="8" t="n">
        <f aca="false">IF($G3312&lt;&gt;"",$G3312,$B3312)</f>
        <v>4413504</v>
      </c>
      <c r="K3312" s="8" t="str">
        <f aca="false">IF(COUNTIF($M$1:$M$10,$A3312)&gt;0,"Y","N")</f>
        <v>N</v>
      </c>
    </row>
    <row r="3313" customFormat="false" ht="15" hidden="false" customHeight="true" outlineLevel="0" collapsed="false">
      <c r="A3313" s="8" t="s">
        <v>1078</v>
      </c>
      <c r="B3313" s="8" t="s">
        <v>724</v>
      </c>
      <c r="C3313" s="19" t="n">
        <v>390</v>
      </c>
      <c r="D3313" s="19" t="n">
        <v>13356.8</v>
      </c>
      <c r="E3313" s="19" t="n">
        <v>210</v>
      </c>
      <c r="F3313" s="19" t="n">
        <v>6522.55</v>
      </c>
      <c r="G3313" s="8" t="n">
        <f aca="false">IFERROR(INDEX('TRANS'!$B:$B,MATCH($B3313,'TRANS'!$A:$A,0)),IFERROR(INDEX('TRANS'!$B:$B,MATCH(TRIM(SUBSTITUTE($B3313,CHAR(160)," ")),'TRANS'!$D:$D,0)),IFERROR(INDEX('Catalog'!$A:$A,MATCH($B3313,'Catalog'!$B:$B,0)),IFERROR(INDEX('Catalog'!$A:$A,MATCH(TRIM(SUBSTITUTE($B3313,CHAR(160)," ")),'Catalog'!$C:$C,0)),""))))</f>
        <v>4408206</v>
      </c>
      <c r="H3313" s="8" t="str">
        <f aca="false">IFERROR(INDEX('TRANS'!$C:$C,MATCH($B3313,'TRANS'!$A:$A,0)),IFERROR(INDEX('Catalog'!$B:$B,MATCH($G3313,'Catalog'!$A:$A,0)),$B3313))</f>
        <v>AC-11 חגורת בטן קלה</v>
      </c>
      <c r="I3313" s="8" t="str">
        <f aca="false">IF($G3313="","Unmatched","Matched")</f>
        <v>Matched</v>
      </c>
      <c r="J3313" s="8" t="n">
        <f aca="false">IF($G3313&lt;&gt;"",$G3313,$B3313)</f>
        <v>4408206</v>
      </c>
      <c r="K3313" s="8" t="str">
        <f aca="false">IF(COUNTIF($M$1:$M$10,$A3313)&gt;0,"Y","N")</f>
        <v>N</v>
      </c>
    </row>
    <row r="3314" customFormat="false" ht="15" hidden="false" customHeight="true" outlineLevel="0" collapsed="false">
      <c r="A3314" s="8" t="s">
        <v>1078</v>
      </c>
      <c r="B3314" s="8" t="s">
        <v>725</v>
      </c>
      <c r="C3314" s="19" t="n">
        <v>1080</v>
      </c>
      <c r="D3314" s="19" t="n">
        <v>16006.91</v>
      </c>
      <c r="E3314" s="19" t="n">
        <v>990</v>
      </c>
      <c r="F3314" s="19" t="n">
        <v>13225.04</v>
      </c>
      <c r="G3314" s="8" t="n">
        <f aca="false">IFERROR(INDEX('TRANS'!$B:$B,MATCH($B3314,'TRANS'!$A:$A,0)),IFERROR(INDEX('TRANS'!$B:$B,MATCH(TRIM(SUBSTITUTE($B3314,CHAR(160)," ")),'TRANS'!$D:$D,0)),IFERROR(INDEX('Catalog'!$A:$A,MATCH($B3314,'Catalog'!$B:$B,0)),IFERROR(INDEX('Catalog'!$A:$A,MATCH(TRIM(SUBSTITUTE($B3314,CHAR(160)," ")),'Catalog'!$C:$C,0)),""))))</f>
        <v>4408207</v>
      </c>
      <c r="H3314" s="8" t="str">
        <f aca="false">IFERROR(INDEX('TRANS'!$C:$C,MATCH($B3314,'TRANS'!$A:$A,0)),IFERROR(INDEX('Catalog'!$B:$B,MATCH($G3314,'Catalog'!$A:$A,0)),$B3314))</f>
        <v>AC-25 חבק לשורש כף היד</v>
      </c>
      <c r="I3314" s="8" t="str">
        <f aca="false">IF($G3314="","Unmatched","Matched")</f>
        <v>Matched</v>
      </c>
      <c r="J3314" s="8" t="n">
        <f aca="false">IF($G3314&lt;&gt;"",$G3314,$B3314)</f>
        <v>4408207</v>
      </c>
      <c r="K3314" s="8" t="str">
        <f aca="false">IF(COUNTIF($M$1:$M$10,$A3314)&gt;0,"Y","N")</f>
        <v>N</v>
      </c>
    </row>
    <row r="3315" customFormat="false" ht="15" hidden="false" customHeight="true" outlineLevel="0" collapsed="false">
      <c r="A3315" s="8" t="s">
        <v>1078</v>
      </c>
      <c r="B3315" s="8" t="s">
        <v>726</v>
      </c>
      <c r="C3315" s="19" t="n">
        <v>370</v>
      </c>
      <c r="D3315" s="19" t="n">
        <v>6604.34</v>
      </c>
      <c r="E3315" s="19" t="n">
        <v>270</v>
      </c>
      <c r="F3315" s="19" t="n">
        <v>4382.22</v>
      </c>
      <c r="G3315" s="8" t="n">
        <f aca="false">IFERROR(INDEX('TRANS'!$B:$B,MATCH($B3315,'TRANS'!$A:$A,0)),IFERROR(INDEX('TRANS'!$B:$B,MATCH(TRIM(SUBSTITUTE($B3315,CHAR(160)," ")),'TRANS'!$D:$D,0)),IFERROR(INDEX('Catalog'!$A:$A,MATCH($B3315,'Catalog'!$B:$B,0)),IFERROR(INDEX('Catalog'!$A:$A,MATCH(TRIM(SUBSTITUTE($B3315,CHAR(160)," ")),'Catalog'!$C:$C,0)),""))))</f>
        <v>4415026</v>
      </c>
      <c r="H3315" s="8" t="str">
        <f aca="false">IFERROR(INDEX('TRANS'!$C:$C,MATCH($B3315,'TRANS'!$A:$A,0)),IFERROR(INDEX('Catalog'!$B:$B,MATCH($G3315,'Catalog'!$A:$A,0)),$B3315))</f>
        <v>AC-27L סד לש.כף יד שמאל</v>
      </c>
      <c r="I3315" s="8" t="str">
        <f aca="false">IF($G3315="","Unmatched","Matched")</f>
        <v>Matched</v>
      </c>
      <c r="J3315" s="8" t="n">
        <f aca="false">IF($G3315&lt;&gt;"",$G3315,$B3315)</f>
        <v>4415026</v>
      </c>
      <c r="K3315" s="8" t="str">
        <f aca="false">IF(COUNTIF($M$1:$M$10,$A3315)&gt;0,"Y","N")</f>
        <v>N</v>
      </c>
    </row>
    <row r="3316" customFormat="false" ht="15" hidden="false" customHeight="true" outlineLevel="0" collapsed="false">
      <c r="A3316" s="8" t="s">
        <v>1078</v>
      </c>
      <c r="B3316" s="8" t="s">
        <v>727</v>
      </c>
      <c r="C3316" s="19" t="n">
        <v>400</v>
      </c>
      <c r="D3316" s="19" t="n">
        <v>7141.27</v>
      </c>
      <c r="E3316" s="19" t="n">
        <v>350</v>
      </c>
      <c r="F3316" s="19" t="n">
        <v>5680.04</v>
      </c>
      <c r="G3316" s="8" t="n">
        <f aca="false">IFERROR(INDEX('TRANS'!$B:$B,MATCH($B3316,'TRANS'!$A:$A,0)),IFERROR(INDEX('TRANS'!$B:$B,MATCH(TRIM(SUBSTITUTE($B3316,CHAR(160)," ")),'TRANS'!$D:$D,0)),IFERROR(INDEX('Catalog'!$A:$A,MATCH($B3316,'Catalog'!$B:$B,0)),IFERROR(INDEX('Catalog'!$A:$A,MATCH(TRIM(SUBSTITUTE($B3316,CHAR(160)," ")),'Catalog'!$C:$C,0)),""))))</f>
        <v>4415027</v>
      </c>
      <c r="H3316" s="8" t="str">
        <f aca="false">IFERROR(INDEX('TRANS'!$C:$C,MATCH($B3316,'TRANS'!$A:$A,0)),IFERROR(INDEX('Catalog'!$B:$B,MATCH($G3316,'Catalog'!$A:$A,0)),$B3316))</f>
        <v>AC-27R סד לש.כף יד ימין</v>
      </c>
      <c r="I3316" s="8" t="str">
        <f aca="false">IF($G3316="","Unmatched","Matched")</f>
        <v>Matched</v>
      </c>
      <c r="J3316" s="8" t="n">
        <f aca="false">IF($G3316&lt;&gt;"",$G3316,$B3316)</f>
        <v>4415027</v>
      </c>
      <c r="K3316" s="8" t="str">
        <f aca="false">IF(COUNTIF($M$1:$M$10,$A3316)&gt;0,"Y","N")</f>
        <v>N</v>
      </c>
    </row>
    <row r="3317" customFormat="false" ht="15" hidden="false" customHeight="true" outlineLevel="0" collapsed="false">
      <c r="A3317" s="8" t="s">
        <v>1078</v>
      </c>
      <c r="B3317" s="8" t="s">
        <v>728</v>
      </c>
      <c r="C3317" s="19" t="n">
        <v>700</v>
      </c>
      <c r="D3317" s="19" t="n">
        <v>10389.8</v>
      </c>
      <c r="E3317" s="19" t="n">
        <v>870</v>
      </c>
      <c r="F3317" s="19" t="n">
        <v>11685.59</v>
      </c>
      <c r="G3317" s="8" t="n">
        <f aca="false">IFERROR(INDEX('TRANS'!$B:$B,MATCH($B3317,'TRANS'!$A:$A,0)),IFERROR(INDEX('TRANS'!$B:$B,MATCH(TRIM(SUBSTITUTE($B3317,CHAR(160)," ")),'TRANS'!$D:$D,0)),IFERROR(INDEX('Catalog'!$A:$A,MATCH($B3317,'Catalog'!$B:$B,0)),IFERROR(INDEX('Catalog'!$A:$A,MATCH(TRIM(SUBSTITUTE($B3317,CHAR(160)," ")),'Catalog'!$C:$C,0)),""))))</f>
        <v>4415028</v>
      </c>
      <c r="H3317" s="8" t="str">
        <f aca="false">IFERROR(INDEX('TRANS'!$C:$C,MATCH($B3317,'TRANS'!$A:$A,0)),IFERROR(INDEX('Catalog'!$B:$B,MATCH($G3317,'Catalog'!$A:$A,0)),$B3317))</f>
        <v>AC-28 סד לאגודל</v>
      </c>
      <c r="I3317" s="8" t="str">
        <f aca="false">IF($G3317="","Unmatched","Matched")</f>
        <v>Matched</v>
      </c>
      <c r="J3317" s="8" t="n">
        <f aca="false">IF($G3317&lt;&gt;"",$G3317,$B3317)</f>
        <v>4415028</v>
      </c>
      <c r="K3317" s="8" t="str">
        <f aca="false">IF(COUNTIF($M$1:$M$10,$A3317)&gt;0,"Y","N")</f>
        <v>N</v>
      </c>
    </row>
    <row r="3318" customFormat="false" ht="15" hidden="false" customHeight="true" outlineLevel="0" collapsed="false">
      <c r="A3318" s="8" t="s">
        <v>1078</v>
      </c>
      <c r="B3318" s="8" t="s">
        <v>729</v>
      </c>
      <c r="C3318" s="19" t="n">
        <v>380</v>
      </c>
      <c r="D3318" s="19" t="n">
        <v>7011.67</v>
      </c>
      <c r="E3318" s="19" t="n">
        <v>530</v>
      </c>
      <c r="F3318" s="19" t="n">
        <v>8633.34</v>
      </c>
      <c r="G3318" s="8" t="n">
        <f aca="false">IFERROR(INDEX('TRANS'!$B:$B,MATCH($B3318,'TRANS'!$A:$A,0)),IFERROR(INDEX('TRANS'!$B:$B,MATCH(TRIM(SUBSTITUTE($B3318,CHAR(160)," ")),'TRANS'!$D:$D,0)),IFERROR(INDEX('Catalog'!$A:$A,MATCH($B3318,'Catalog'!$B:$B,0)),IFERROR(INDEX('Catalog'!$A:$A,MATCH(TRIM(SUBSTITUTE($B3318,CHAR(160)," ")),'Catalog'!$C:$C,0)),""))))</f>
        <v>4413326</v>
      </c>
      <c r="H3318" s="8" t="str">
        <f aca="false">IFERROR(INDEX('TRANS'!$C:$C,MATCH($B3318,'TRANS'!$A:$A,0)),IFERROR(INDEX('Catalog'!$B:$B,MATCH($G3318,'Catalog'!$A:$A,0)),$B3318))</f>
        <v>AC37 מגן קרסול נושם</v>
      </c>
      <c r="I3318" s="8" t="str">
        <f aca="false">IF($G3318="","Unmatched","Matched")</f>
        <v>Matched</v>
      </c>
      <c r="J3318" s="8" t="n">
        <f aca="false">IF($G3318&lt;&gt;"",$G3318,$B3318)</f>
        <v>4413326</v>
      </c>
      <c r="K3318" s="8" t="str">
        <f aca="false">IF(COUNTIF($M$1:$M$10,$A3318)&gt;0,"Y","N")</f>
        <v>N</v>
      </c>
    </row>
    <row r="3319" customFormat="false" ht="15" hidden="false" customHeight="true" outlineLevel="0" collapsed="false">
      <c r="A3319" s="8" t="s">
        <v>1078</v>
      </c>
      <c r="B3319" s="8" t="s">
        <v>560</v>
      </c>
      <c r="C3319" s="19" t="n">
        <v>310</v>
      </c>
      <c r="D3319" s="19" t="n">
        <v>13299.71</v>
      </c>
      <c r="E3319" s="19" t="n">
        <v>250</v>
      </c>
      <c r="F3319" s="19" t="n">
        <v>9809.78</v>
      </c>
      <c r="G3319" s="8" t="n">
        <f aca="false">IFERROR(INDEX('TRANS'!$B:$B,MATCH($B3319,'TRANS'!$A:$A,0)),IFERROR(INDEX('TRANS'!$B:$B,MATCH(TRIM(SUBSTITUTE($B3319,CHAR(160)," ")),'TRANS'!$D:$D,0)),IFERROR(INDEX('Catalog'!$A:$A,MATCH($B3319,'Catalog'!$B:$B,0)),IFERROR(INDEX('Catalog'!$A:$A,MATCH(TRIM(SUBSTITUTE($B3319,CHAR(160)," ")),'Catalog'!$C:$C,0)),""))))</f>
        <v>4413328</v>
      </c>
      <c r="H3319" s="8" t="str">
        <f aca="false">IFERROR(INDEX('TRANS'!$C:$C,MATCH($B3319,'TRANS'!$A:$A,0)),IFERROR(INDEX('Catalog'!$B:$B,MATCH($G3319,'Catalog'!$A:$A,0)),$B3319))</f>
        <v>AC43D מגן ברך + צירים</v>
      </c>
      <c r="I3319" s="8" t="str">
        <f aca="false">IF($G3319="","Unmatched","Matched")</f>
        <v>Matched</v>
      </c>
      <c r="J3319" s="8" t="n">
        <f aca="false">IF($G3319&lt;&gt;"",$G3319,$B3319)</f>
        <v>4413328</v>
      </c>
      <c r="K3319" s="8" t="str">
        <f aca="false">IF(COUNTIF($M$1:$M$10,$A3319)&gt;0,"Y","N")</f>
        <v>N</v>
      </c>
    </row>
    <row r="3320" customFormat="false" ht="15" hidden="false" customHeight="true" outlineLevel="0" collapsed="false">
      <c r="A3320" s="8" t="s">
        <v>1078</v>
      </c>
      <c r="B3320" s="8" t="s">
        <v>731</v>
      </c>
      <c r="C3320" s="19" t="n">
        <v>480</v>
      </c>
      <c r="D3320" s="19" t="n">
        <v>16012.02</v>
      </c>
      <c r="E3320" s="19" t="n">
        <v>480</v>
      </c>
      <c r="F3320" s="19" t="n">
        <v>14459.98</v>
      </c>
      <c r="G3320" s="8" t="n">
        <f aca="false">IFERROR(INDEX('TRANS'!$B:$B,MATCH($B3320,'TRANS'!$A:$A,0)),IFERROR(INDEX('TRANS'!$B:$B,MATCH(TRIM(SUBSTITUTE($B3320,CHAR(160)," ")),'TRANS'!$D:$D,0)),IFERROR(INDEX('Catalog'!$A:$A,MATCH($B3320,'Catalog'!$B:$B,0)),IFERROR(INDEX('Catalog'!$A:$A,MATCH(TRIM(SUBSTITUTE($B3320,CHAR(160)," ")),'Catalog'!$C:$C,0)),""))))</f>
        <v>4413329</v>
      </c>
      <c r="H3320" s="8" t="str">
        <f aca="false">IFERROR(INDEX('TRANS'!$C:$C,MATCH($B3320,'TRANS'!$A:$A,0)),IFERROR(INDEX('Catalog'!$B:$B,MATCH($G3320,'Catalog'!$A:$A,0)),$B3320))</f>
        <v>AC45X מגן ברך עם תמיכות</v>
      </c>
      <c r="I3320" s="8" t="str">
        <f aca="false">IF($G3320="","Unmatched","Matched")</f>
        <v>Matched</v>
      </c>
      <c r="J3320" s="8" t="n">
        <f aca="false">IF($G3320&lt;&gt;"",$G3320,$B3320)</f>
        <v>4413329</v>
      </c>
      <c r="K3320" s="8" t="str">
        <f aca="false">IF(COUNTIF($M$1:$M$10,$A3320)&gt;0,"Y","N")</f>
        <v>N</v>
      </c>
    </row>
    <row r="3321" customFormat="false" ht="15" hidden="false" customHeight="true" outlineLevel="0" collapsed="false">
      <c r="A3321" s="8" t="s">
        <v>1078</v>
      </c>
      <c r="B3321" s="8" t="s">
        <v>558</v>
      </c>
      <c r="C3321" s="19" t="n">
        <v>115</v>
      </c>
      <c r="D3321" s="19" t="n">
        <v>3675.09</v>
      </c>
      <c r="E3321" s="19" t="n">
        <v>75</v>
      </c>
      <c r="F3321" s="19" t="n">
        <v>2150.11</v>
      </c>
      <c r="G3321" s="8" t="n">
        <f aca="false">IFERROR(INDEX('TRANS'!$B:$B,MATCH($B3321,'TRANS'!$A:$A,0)),IFERROR(INDEX('TRANS'!$B:$B,MATCH(TRIM(SUBSTITUTE($B3321,CHAR(160)," ")),'TRANS'!$D:$D,0)),IFERROR(INDEX('Catalog'!$A:$A,MATCH($B3321,'Catalog'!$B:$B,0)),IFERROR(INDEX('Catalog'!$A:$A,MATCH(TRIM(SUBSTITUTE($B3321,CHAR(160)," ")),'Catalog'!$C:$C,0)),""))))</f>
        <v>4413453</v>
      </c>
      <c r="H3321" s="8" t="str">
        <f aca="false">IFERROR(INDEX('TRANS'!$C:$C,MATCH($B3321,'TRANS'!$A:$A,0)),IFERROR(INDEX('Catalog'!$B:$B,MATCH($G3321,'Catalog'!$A:$A,0)),$B3321))</f>
        <v>AC75 מישר כתפיים אקטיב</v>
      </c>
      <c r="I3321" s="8" t="str">
        <f aca="false">IF($G3321="","Unmatched","Matched")</f>
        <v>Matched</v>
      </c>
      <c r="J3321" s="8" t="n">
        <f aca="false">IF($G3321&lt;&gt;"",$G3321,$B3321)</f>
        <v>4413453</v>
      </c>
      <c r="K3321" s="8" t="str">
        <f aca="false">IF(COUNTIF($M$1:$M$10,$A3321)&gt;0,"Y","N")</f>
        <v>N</v>
      </c>
    </row>
    <row r="3322" customFormat="false" ht="15" hidden="false" customHeight="true" outlineLevel="0" collapsed="false">
      <c r="A3322" s="8" t="s">
        <v>1078</v>
      </c>
      <c r="B3322" s="8" t="s">
        <v>733</v>
      </c>
      <c r="C3322" s="19" t="n">
        <v>430</v>
      </c>
      <c r="D3322" s="19" t="n">
        <v>6711.58</v>
      </c>
      <c r="E3322" s="19" t="n">
        <v>380</v>
      </c>
      <c r="F3322" s="19" t="n">
        <v>5341.4</v>
      </c>
      <c r="G3322" s="8" t="n">
        <f aca="false">IFERROR(INDEX('TRANS'!$B:$B,MATCH($B3322,'TRANS'!$A:$A,0)),IFERROR(INDEX('TRANS'!$B:$B,MATCH(TRIM(SUBSTITUTE($B3322,CHAR(160)," ")),'TRANS'!$D:$D,0)),IFERROR(INDEX('Catalog'!$A:$A,MATCH($B3322,'Catalog'!$B:$B,0)),IFERROR(INDEX('Catalog'!$A:$A,MATCH(TRIM(SUBSTITUTE($B3322,CHAR(160)," ")),'Catalog'!$C:$C,0)),""))))</f>
        <v>4408208</v>
      </c>
      <c r="H3322" s="8" t="str">
        <f aca="false">IFERROR(INDEX('TRANS'!$C:$C,MATCH($B3322,'TRANS'!$A:$A,0)),IFERROR(INDEX('Catalog'!$B:$B,MATCH($G3322,'Catalog'!$A:$A,0)),$B3322))</f>
        <v>AC91 חבק טניס</v>
      </c>
      <c r="I3322" s="8" t="str">
        <f aca="false">IF($G3322="","Unmatched","Matched")</f>
        <v>Matched</v>
      </c>
      <c r="J3322" s="8" t="n">
        <f aca="false">IF($G3322&lt;&gt;"",$G3322,$B3322)</f>
        <v>4408208</v>
      </c>
      <c r="K3322" s="8" t="str">
        <f aca="false">IF(COUNTIF($M$1:$M$10,$A3322)&gt;0,"Y","N")</f>
        <v>N</v>
      </c>
    </row>
    <row r="3323" customFormat="false" ht="15" hidden="false" customHeight="true" outlineLevel="0" collapsed="false">
      <c r="A3323" s="8" t="s">
        <v>1078</v>
      </c>
      <c r="B3323" s="8" t="s">
        <v>734</v>
      </c>
      <c r="C3323" s="19" t="n">
        <v>185</v>
      </c>
      <c r="D3323" s="19" t="n">
        <v>2958.23</v>
      </c>
      <c r="E3323" s="19" t="n">
        <v>130</v>
      </c>
      <c r="F3323" s="19" t="n">
        <v>1884.69</v>
      </c>
      <c r="G3323" s="8" t="n">
        <f aca="false">IFERROR(INDEX('TRANS'!$B:$B,MATCH($B3323,'TRANS'!$A:$A,0)),IFERROR(INDEX('TRANS'!$B:$B,MATCH(TRIM(SUBSTITUTE($B3323,CHAR(160)," ")),'TRANS'!$D:$D,0)),IFERROR(INDEX('Catalog'!$A:$A,MATCH($B3323,'Catalog'!$B:$B,0)),IFERROR(INDEX('Catalog'!$A:$A,MATCH(TRIM(SUBSTITUTE($B3323,CHAR(160)," ")),'Catalog'!$C:$C,0)),""))))</f>
        <v>4413331</v>
      </c>
      <c r="H3323" s="8" t="str">
        <f aca="false">IFERROR(INDEX('TRANS'!$C:$C,MATCH($B3323,'TRANS'!$A:$A,0)),IFERROR(INDEX('Catalog'!$B:$B,MATCH($G3323,'Catalog'!$A:$A,0)),$B3323))</f>
        <v>AC95 מגן מרפק</v>
      </c>
      <c r="I3323" s="8" t="str">
        <f aca="false">IF($G3323="","Unmatched","Matched")</f>
        <v>Matched</v>
      </c>
      <c r="J3323" s="8" t="n">
        <f aca="false">IF($G3323&lt;&gt;"",$G3323,$B3323)</f>
        <v>4413331</v>
      </c>
      <c r="K3323" s="8" t="str">
        <f aca="false">IF(COUNTIF($M$1:$M$10,$A3323)&gt;0,"Y","N")</f>
        <v>N</v>
      </c>
    </row>
    <row r="3324" customFormat="false" ht="15" hidden="false" customHeight="true" outlineLevel="0" collapsed="false">
      <c r="A3324" s="8" t="s">
        <v>1078</v>
      </c>
      <c r="B3324" s="8" t="s">
        <v>739</v>
      </c>
      <c r="C3324" s="19" t="n">
        <v>190</v>
      </c>
      <c r="D3324" s="19" t="n">
        <v>2052.19</v>
      </c>
      <c r="E3324" s="19" t="n">
        <v>180</v>
      </c>
      <c r="F3324" s="19" t="n">
        <v>1767.58</v>
      </c>
      <c r="G3324" s="8" t="n">
        <f aca="false">IFERROR(INDEX('TRANS'!$B:$B,MATCH($B3324,'TRANS'!$A:$A,0)),IFERROR(INDEX('TRANS'!$B:$B,MATCH(TRIM(SUBSTITUTE($B3324,CHAR(160)," ")),'TRANS'!$D:$D,0)),IFERROR(INDEX('Catalog'!$A:$A,MATCH($B3324,'Catalog'!$B:$B,0)),IFERROR(INDEX('Catalog'!$A:$A,MATCH(TRIM(SUBSTITUTE($B3324,CHAR(160)," ")),'Catalog'!$C:$C,0)),""))))</f>
        <v>4413056</v>
      </c>
      <c r="H3324" s="8" t="str">
        <f aca="false">IFERROR(INDEX('TRANS'!$C:$C,MATCH($B3324,'TRANS'!$A:$A,0)),IFERROR(INDEX('Catalog'!$B:$B,MATCH($G3324,'Catalog'!$A:$A,0)),$B3324))</f>
        <v>LF360 מדרס מטטרזלי לנעלי עקב</v>
      </c>
      <c r="I3324" s="8" t="str">
        <f aca="false">IF($G3324="","Unmatched","Matched")</f>
        <v>Matched</v>
      </c>
      <c r="J3324" s="8" t="n">
        <f aca="false">IF($G3324&lt;&gt;"",$G3324,$B3324)</f>
        <v>4413056</v>
      </c>
      <c r="K3324" s="8" t="str">
        <f aca="false">IF(COUNTIF($M$1:$M$10,$A3324)&gt;0,"Y","N")</f>
        <v>N</v>
      </c>
    </row>
    <row r="3325" customFormat="false" ht="15" hidden="false" customHeight="true" outlineLevel="0" collapsed="false">
      <c r="A3325" s="8" t="s">
        <v>1078</v>
      </c>
      <c r="B3325" s="8" t="s">
        <v>889</v>
      </c>
      <c r="C3325" s="19" t="n">
        <v>40</v>
      </c>
      <c r="D3325" s="19" t="n">
        <v>245.41</v>
      </c>
      <c r="E3325" s="19" t="n">
        <v>90</v>
      </c>
      <c r="F3325" s="19" t="n">
        <v>519.51</v>
      </c>
      <c r="G3325" s="8" t="n">
        <f aca="false">IFERROR(INDEX('TRANS'!$B:$B,MATCH($B3325,'TRANS'!$A:$A,0)),IFERROR(INDEX('TRANS'!$B:$B,MATCH(TRIM(SUBSTITUTE($B3325,CHAR(160)," ")),'TRANS'!$D:$D,0)),IFERROR(INDEX('Catalog'!$A:$A,MATCH($B3325,'Catalog'!$B:$B,0)),IFERROR(INDEX('Catalog'!$A:$A,MATCH(TRIM(SUBSTITUTE($B3325,CHAR(160)," ")),'Catalog'!$C:$C,0)),""))))</f>
        <v>4420022</v>
      </c>
      <c r="H3325" s="8" t="str">
        <f aca="false">IFERROR(INDEX('TRANS'!$C:$C,MATCH($B3325,'TRANS'!$A:$A,0)),IFERROR(INDEX('Catalog'!$B:$B,MATCH($G3325,'Catalog'!$A:$A,0)),$B3325))</f>
        <v>LF370 ריפוד סיליקון לעקב אחורי</v>
      </c>
      <c r="I3325" s="8" t="str">
        <f aca="false">IF($G3325="","Unmatched","Matched")</f>
        <v>Matched</v>
      </c>
      <c r="J3325" s="8" t="n">
        <f aca="false">IF($G3325&lt;&gt;"",$G3325,$B3325)</f>
        <v>4420022</v>
      </c>
      <c r="K3325" s="8" t="str">
        <f aca="false">IF(COUNTIF($M$1:$M$10,$A3325)&gt;0,"Y","N")</f>
        <v>N</v>
      </c>
    </row>
    <row r="3326" customFormat="false" ht="15" hidden="false" customHeight="true" outlineLevel="0" collapsed="false">
      <c r="A3326" s="8" t="s">
        <v>1078</v>
      </c>
      <c r="B3326" s="8" t="s">
        <v>1005</v>
      </c>
      <c r="C3326" s="19" t="n">
        <v>6</v>
      </c>
      <c r="D3326" s="19" t="n">
        <v>74.14</v>
      </c>
      <c r="E3326" s="19" t="n">
        <v>10</v>
      </c>
      <c r="F3326" s="19" t="n">
        <v>107.46</v>
      </c>
      <c r="G3326" s="8" t="n">
        <f aca="false">IFERROR(INDEX('TRANS'!$B:$B,MATCH($B3326,'TRANS'!$A:$A,0)),IFERROR(INDEX('TRANS'!$B:$B,MATCH(TRIM(SUBSTITUTE($B3326,CHAR(160)," ")),'TRANS'!$D:$D,0)),IFERROR(INDEX('Catalog'!$A:$A,MATCH($B3326,'Catalog'!$B:$B,0)),IFERROR(INDEX('Catalog'!$A:$A,MATCH(TRIM(SUBSTITUTE($B3326,CHAR(160)," ")),'Catalog'!$C:$C,0)),""))))</f>
        <v>4420023</v>
      </c>
      <c r="H3326" s="8" t="str">
        <f aca="false">IFERROR(INDEX('TRANS'!$C:$C,MATCH($B3326,'TRANS'!$A:$A,0)),IFERROR(INDEX('Catalog'!$B:$B,MATCH($G3326,'Catalog'!$A:$A,0)),$B3326))</f>
        <v>LF371 ריפוד סיליקון לנעלי אצבע</v>
      </c>
      <c r="I3326" s="8" t="str">
        <f aca="false">IF($G3326="","Unmatched","Matched")</f>
        <v>Matched</v>
      </c>
      <c r="J3326" s="8" t="n">
        <f aca="false">IF($G3326&lt;&gt;"",$G3326,$B3326)</f>
        <v>4420023</v>
      </c>
      <c r="K3326" s="8" t="str">
        <f aca="false">IF(COUNTIF($M$1:$M$10,$A3326)&gt;0,"Y","N")</f>
        <v>N</v>
      </c>
    </row>
    <row r="3327" customFormat="false" ht="15" hidden="false" customHeight="true" outlineLevel="0" collapsed="false">
      <c r="A3327" s="8" t="s">
        <v>1078</v>
      </c>
      <c r="B3327" s="8" t="s">
        <v>740</v>
      </c>
      <c r="C3327" s="19" t="n">
        <v>180</v>
      </c>
      <c r="D3327" s="19" t="n">
        <v>1646.79</v>
      </c>
      <c r="E3327" s="19" t="n">
        <v>145</v>
      </c>
      <c r="F3327" s="19" t="n">
        <v>1213.98</v>
      </c>
      <c r="G3327" s="8" t="n">
        <f aca="false">IFERROR(INDEX('TRANS'!$B:$B,MATCH($B3327,'TRANS'!$A:$A,0)),IFERROR(INDEX('TRANS'!$B:$B,MATCH(TRIM(SUBSTITUTE($B3327,CHAR(160)," ")),'TRANS'!$D:$D,0)),IFERROR(INDEX('Catalog'!$A:$A,MATCH($B3327,'Catalog'!$B:$B,0)),IFERROR(INDEX('Catalog'!$A:$A,MATCH(TRIM(SUBSTITUTE($B3327,CHAR(160)," ")),'Catalog'!$C:$C,0)),""))))</f>
        <v>4420024</v>
      </c>
      <c r="H3327" s="8" t="str">
        <f aca="false">IFERROR(INDEX('TRANS'!$C:$C,MATCH($B3327,'TRANS'!$A:$A,0)),IFERROR(INDEX('Catalog'!$B:$B,MATCH($G3327,'Catalog'!$A:$A,0)),$B3327))</f>
        <v>LFריפוד סיליק.לכרית כף הרגל373</v>
      </c>
      <c r="I3327" s="8" t="str">
        <f aca="false">IF($G3327="","Unmatched","Matched")</f>
        <v>Matched</v>
      </c>
      <c r="J3327" s="8" t="n">
        <f aca="false">IF($G3327&lt;&gt;"",$G3327,$B3327)</f>
        <v>4420024</v>
      </c>
      <c r="K3327" s="8" t="str">
        <f aca="false">IF(COUNTIF($M$1:$M$10,$A3327)&gt;0,"Y","N")</f>
        <v>N</v>
      </c>
    </row>
    <row r="3328" customFormat="false" ht="15" hidden="false" customHeight="true" outlineLevel="0" collapsed="false">
      <c r="A3328" s="8" t="s">
        <v>1078</v>
      </c>
      <c r="B3328" s="8" t="s">
        <v>741</v>
      </c>
      <c r="C3328" s="19" t="n">
        <v>41</v>
      </c>
      <c r="D3328" s="19" t="n">
        <v>430.3</v>
      </c>
      <c r="E3328" s="19" t="n">
        <v>30</v>
      </c>
      <c r="F3328" s="19" t="n">
        <v>289.19</v>
      </c>
      <c r="G3328" s="8" t="n">
        <f aca="false">IFERROR(INDEX('TRANS'!$B:$B,MATCH($B3328,'TRANS'!$A:$A,0)),IFERROR(INDEX('TRANS'!$B:$B,MATCH(TRIM(SUBSTITUTE($B3328,CHAR(160)," ")),'TRANS'!$D:$D,0)),IFERROR(INDEX('Catalog'!$A:$A,MATCH($B3328,'Catalog'!$B:$B,0)),IFERROR(INDEX('Catalog'!$A:$A,MATCH(TRIM(SUBSTITUTE($B3328,CHAR(160)," ")),'Catalog'!$C:$C,0)),""))))</f>
        <v>4420025</v>
      </c>
      <c r="H3328" s="8" t="str">
        <f aca="false">IFERROR(INDEX('TRANS'!$C:$C,MATCH($B3328,'TRANS'!$A:$A,0)),IFERROR(INDEX('Catalog'!$B:$B,MATCH($G3328,'Catalog'!$A:$A,0)),$B3328))</f>
        <v>LF374 ריפוד סיליק.לעקב תחתון</v>
      </c>
      <c r="I3328" s="8" t="str">
        <f aca="false">IF($G3328="","Unmatched","Matched")</f>
        <v>Matched</v>
      </c>
      <c r="J3328" s="8" t="n">
        <f aca="false">IF($G3328&lt;&gt;"",$G3328,$B3328)</f>
        <v>4420025</v>
      </c>
      <c r="K3328" s="8" t="str">
        <f aca="false">IF(COUNTIF($M$1:$M$10,$A3328)&gt;0,"Y","N")</f>
        <v>N</v>
      </c>
    </row>
    <row r="3329" customFormat="false" ht="15" hidden="false" customHeight="true" outlineLevel="0" collapsed="false">
      <c r="A3329" s="8" t="s">
        <v>1078</v>
      </c>
      <c r="B3329" s="8" t="s">
        <v>1060</v>
      </c>
      <c r="C3329" s="19" t="n">
        <v>12</v>
      </c>
      <c r="D3329" s="19" t="n">
        <v>233.8</v>
      </c>
      <c r="E3329" s="19" t="n">
        <v>0</v>
      </c>
      <c r="F3329" s="19" t="n">
        <v>0</v>
      </c>
      <c r="G3329" s="8" t="n">
        <f aca="false">IFERROR(INDEX('TRANS'!$B:$B,MATCH($B3329,'TRANS'!$A:$A,0)),IFERROR(INDEX('TRANS'!$B:$B,MATCH(TRIM(SUBSTITUTE($B3329,CHAR(160)," ")),'TRANS'!$D:$D,0)),IFERROR(INDEX('Catalog'!$A:$A,MATCH($B3329,'Catalog'!$B:$B,0)),IFERROR(INDEX('Catalog'!$A:$A,MATCH(TRIM(SUBSTITUTE($B3329,CHAR(160)," ")),'Catalog'!$C:$C,0)),""))))</f>
        <v>4413276</v>
      </c>
      <c r="H3329" s="8" t="str">
        <f aca="false">IFERROR(INDEX('TRANS'!$C:$C,MATCH($B3329,'TRANS'!$A:$A,0)),IFERROR(INDEX('Catalog'!$B:$B,MATCH($G3329,'Catalog'!$A:$A,0)),$B3329))</f>
        <v>LF377 L-מדרס סיליקון לנעלי עקב</v>
      </c>
      <c r="I3329" s="8" t="str">
        <f aca="false">IF($G3329="","Unmatched","Matched")</f>
        <v>Matched</v>
      </c>
      <c r="J3329" s="8" t="n">
        <f aca="false">IF($G3329&lt;&gt;"",$G3329,$B3329)</f>
        <v>4413276</v>
      </c>
      <c r="K3329" s="8" t="str">
        <f aca="false">IF(COUNTIF($M$1:$M$10,$A3329)&gt;0,"Y","N")</f>
        <v>N</v>
      </c>
    </row>
    <row r="3330" customFormat="false" ht="15" hidden="false" customHeight="true" outlineLevel="0" collapsed="false">
      <c r="A3330" s="8" t="s">
        <v>1078</v>
      </c>
      <c r="B3330" s="8" t="s">
        <v>1061</v>
      </c>
      <c r="C3330" s="19" t="n">
        <v>6</v>
      </c>
      <c r="D3330" s="19" t="n">
        <v>108.86</v>
      </c>
      <c r="E3330" s="19" t="n">
        <v>26</v>
      </c>
      <c r="F3330" s="19" t="n">
        <v>437.93</v>
      </c>
      <c r="G3330" s="8" t="n">
        <f aca="false">IFERROR(INDEX('TRANS'!$B:$B,MATCH($B3330,'TRANS'!$A:$A,0)),IFERROR(INDEX('TRANS'!$B:$B,MATCH(TRIM(SUBSTITUTE($B3330,CHAR(160)," ")),'TRANS'!$D:$D,0)),IFERROR(INDEX('Catalog'!$A:$A,MATCH($B3330,'Catalog'!$B:$B,0)),IFERROR(INDEX('Catalog'!$A:$A,MATCH(TRIM(SUBSTITUTE($B3330,CHAR(160)," ")),'Catalog'!$C:$C,0)),""))))</f>
        <v>4413277</v>
      </c>
      <c r="H3330" s="8" t="str">
        <f aca="false">IFERROR(INDEX('TRANS'!$C:$C,MATCH($B3330,'TRANS'!$A:$A,0)),IFERROR(INDEX('Catalog'!$B:$B,MATCH($G3330,'Catalog'!$A:$A,0)),$B3330))</f>
        <v>LF377 M-מדרס סיליקון לנעלי עקב</v>
      </c>
      <c r="I3330" s="8" t="str">
        <f aca="false">IF($G3330="","Unmatched","Matched")</f>
        <v>Matched</v>
      </c>
      <c r="J3330" s="8" t="n">
        <f aca="false">IF($G3330&lt;&gt;"",$G3330,$B3330)</f>
        <v>4413277</v>
      </c>
      <c r="K3330" s="8" t="str">
        <f aca="false">IF(COUNTIF($M$1:$M$10,$A3330)&gt;0,"Y","N")</f>
        <v>N</v>
      </c>
    </row>
    <row r="3331" customFormat="false" ht="15" hidden="false" customHeight="true" outlineLevel="0" collapsed="false">
      <c r="A3331" s="8" t="s">
        <v>1078</v>
      </c>
      <c r="B3331" s="8" t="s">
        <v>1062</v>
      </c>
      <c r="C3331" s="19" t="n">
        <v>0</v>
      </c>
      <c r="D3331" s="19" t="n">
        <v>0</v>
      </c>
      <c r="E3331" s="19" t="n">
        <v>6</v>
      </c>
      <c r="F3331" s="19" t="n">
        <v>99.48</v>
      </c>
      <c r="G3331" s="8" t="n">
        <f aca="false">IFERROR(INDEX('TRANS'!$B:$B,MATCH($B3331,'TRANS'!$A:$A,0)),IFERROR(INDEX('TRANS'!$B:$B,MATCH(TRIM(SUBSTITUTE($B3331,CHAR(160)," ")),'TRANS'!$D:$D,0)),IFERROR(INDEX('Catalog'!$A:$A,MATCH($B3331,'Catalog'!$B:$B,0)),IFERROR(INDEX('Catalog'!$A:$A,MATCH(TRIM(SUBSTITUTE($B3331,CHAR(160)," ")),'Catalog'!$C:$C,0)),""))))</f>
        <v>4413278</v>
      </c>
      <c r="H3331" s="8" t="str">
        <f aca="false">IFERROR(INDEX('TRANS'!$C:$C,MATCH($B3331,'TRANS'!$A:$A,0)),IFERROR(INDEX('Catalog'!$B:$B,MATCH($G3331,'Catalog'!$A:$A,0)),$B3331))</f>
        <v>LF377 S-מדרס סיליקון לנעלי עקב</v>
      </c>
      <c r="I3331" s="8" t="str">
        <f aca="false">IF($G3331="","Unmatched","Matched")</f>
        <v>Matched</v>
      </c>
      <c r="J3331" s="8" t="n">
        <f aca="false">IF($G3331&lt;&gt;"",$G3331,$B3331)</f>
        <v>4413278</v>
      </c>
      <c r="K3331" s="8" t="str">
        <f aca="false">IF(COUNTIF($M$1:$M$10,$A3331)&gt;0,"Y","N")</f>
        <v>N</v>
      </c>
    </row>
    <row r="3332" customFormat="false" ht="15" hidden="false" customHeight="true" outlineLevel="0" collapsed="false">
      <c r="A3332" s="8" t="s">
        <v>1078</v>
      </c>
      <c r="B3332" s="8" t="s">
        <v>762</v>
      </c>
      <c r="C3332" s="19" t="n">
        <v>0</v>
      </c>
      <c r="D3332" s="19" t="n">
        <v>0</v>
      </c>
      <c r="E3332" s="19" t="n">
        <v>1</v>
      </c>
      <c r="F3332" s="19" t="n">
        <v>0.03</v>
      </c>
      <c r="G3332" s="8" t="n">
        <f aca="false">IFERROR(INDEX('TRANS'!$B:$B,MATCH($B3332,'TRANS'!$A:$A,0)),IFERROR(INDEX('TRANS'!$B:$B,MATCH(TRIM(SUBSTITUTE($B3332,CHAR(160)," ")),'TRANS'!$D:$D,0)),IFERROR(INDEX('Catalog'!$A:$A,MATCH($B3332,'Catalog'!$B:$B,0)),IFERROR(INDEX('Catalog'!$A:$A,MATCH(TRIM(SUBSTITUTE($B3332,CHAR(160)," ")),'Catalog'!$C:$C,0)),""))))</f>
        <v>4413534</v>
      </c>
      <c r="H3332" s="8" t="str">
        <f aca="false">IFERROR(INDEX('TRANS'!$C:$C,MATCH($B3332,'TRANS'!$A:$A,0)),IFERROR(INDEX('Catalog'!$B:$B,MATCH($G3332,'Catalog'!$A:$A,0)),$B3332))</f>
        <v>SH333 מקבע קרסול</v>
      </c>
      <c r="I3332" s="8" t="str">
        <f aca="false">IF($G3332="","Unmatched","Matched")</f>
        <v>Matched</v>
      </c>
      <c r="J3332" s="8" t="n">
        <f aca="false">IF($G3332&lt;&gt;"",$G3332,$B3332)</f>
        <v>4413534</v>
      </c>
      <c r="K3332" s="8" t="str">
        <f aca="false">IF(COUNTIF($M$1:$M$10,$A3332)&gt;0,"Y","N")</f>
        <v>N</v>
      </c>
    </row>
    <row r="3333" customFormat="false" ht="15" hidden="false" customHeight="true" outlineLevel="0" collapsed="false">
      <c r="A3333" s="8" t="s">
        <v>1078</v>
      </c>
      <c r="B3333" s="8" t="s">
        <v>892</v>
      </c>
      <c r="C3333" s="19" t="n">
        <v>0</v>
      </c>
      <c r="D3333" s="19" t="n">
        <v>0</v>
      </c>
      <c r="E3333" s="19" t="n">
        <v>1</v>
      </c>
      <c r="F3333" s="19" t="n">
        <v>0.03</v>
      </c>
      <c r="G3333" s="8" t="n">
        <f aca="false">IFERROR(INDEX('TRANS'!$B:$B,MATCH($B3333,'TRANS'!$A:$A,0)),IFERROR(INDEX('TRANS'!$B:$B,MATCH(TRIM(SUBSTITUTE($B3333,CHAR(160)," ")),'TRANS'!$D:$D,0)),IFERROR(INDEX('Catalog'!$A:$A,MATCH($B3333,'Catalog'!$B:$B,0)),IFERROR(INDEX('Catalog'!$A:$A,MATCH(TRIM(SUBSTITUTE($B3333,CHAR(160)," ")),'Catalog'!$C:$C,0)),""))))</f>
        <v>4422039</v>
      </c>
      <c r="H3333" s="8" t="str">
        <f aca="false">IFERROR(INDEX('TRANS'!$C:$C,MATCH($B3333,'TRANS'!$A:$A,0)),IFERROR(INDEX('Catalog'!$B:$B,MATCH($G3333,'Catalog'!$A:$A,0)),$B3333))</f>
        <v>SH422 3 תומך ברך גנושילד</v>
      </c>
      <c r="I3333" s="8" t="str">
        <f aca="false">IF($G3333="","Unmatched","Matched")</f>
        <v>Matched</v>
      </c>
      <c r="J3333" s="8" t="n">
        <f aca="false">IF($G3333&lt;&gt;"",$G3333,$B3333)</f>
        <v>4422039</v>
      </c>
      <c r="K3333" s="8" t="str">
        <f aca="false">IF(COUNTIF($M$1:$M$10,$A3333)&gt;0,"Y","N")</f>
        <v>N</v>
      </c>
    </row>
    <row r="3334" customFormat="false" ht="15" hidden="false" customHeight="true" outlineLevel="0" collapsed="false">
      <c r="A3334" s="8" t="s">
        <v>1078</v>
      </c>
      <c r="B3334" s="8" t="s">
        <v>895</v>
      </c>
      <c r="C3334" s="19" t="n">
        <v>13</v>
      </c>
      <c r="D3334" s="19" t="n">
        <v>335.39</v>
      </c>
      <c r="E3334" s="19" t="n">
        <v>0</v>
      </c>
      <c r="F3334" s="19" t="n">
        <v>0</v>
      </c>
      <c r="G3334" s="8" t="n">
        <f aca="false">IFERROR(INDEX('TRANS'!$B:$B,MATCH($B3334,'TRANS'!$A:$A,0)),IFERROR(INDEX('TRANS'!$B:$B,MATCH(TRIM(SUBSTITUTE($B3334,CHAR(160)," ")),'TRANS'!$D:$D,0)),IFERROR(INDEX('Catalog'!$A:$A,MATCH($B3334,'Catalog'!$B:$B,0)),IFERROR(INDEX('Catalog'!$A:$A,MATCH(TRIM(SUBSTITUTE($B3334,CHAR(160)," ")),'Catalog'!$C:$C,0)),""))))</f>
        <v>4408270</v>
      </c>
      <c r="H3334" s="8" t="str">
        <f aca="false">IFERROR(INDEX('TRANS'!$C:$C,MATCH($B3334,'TRANS'!$A:$A,0)),IFERROR(INDEX('Catalog'!$B:$B,MATCH($G3334,'Catalog'!$A:$A,0)),$B3334))</f>
        <v>ST11  חגורת בטן</v>
      </c>
      <c r="I3334" s="8" t="str">
        <f aca="false">IF($G3334="","Unmatched","Matched")</f>
        <v>Matched</v>
      </c>
      <c r="J3334" s="8" t="n">
        <f aca="false">IF($G3334&lt;&gt;"",$G3334,$B3334)</f>
        <v>4408270</v>
      </c>
      <c r="K3334" s="8" t="str">
        <f aca="false">IF(COUNTIF($M$1:$M$10,$A3334)&gt;0,"Y","N")</f>
        <v>N</v>
      </c>
    </row>
    <row r="3335" customFormat="false" ht="15" hidden="false" customHeight="true" outlineLevel="0" collapsed="false">
      <c r="A3335" s="8" t="s">
        <v>1078</v>
      </c>
      <c r="B3335" s="8" t="s">
        <v>896</v>
      </c>
      <c r="C3335" s="19" t="n">
        <v>390</v>
      </c>
      <c r="D3335" s="19" t="n">
        <v>4106.96</v>
      </c>
      <c r="E3335" s="19" t="n">
        <v>410</v>
      </c>
      <c r="F3335" s="19" t="n">
        <v>3846.71</v>
      </c>
      <c r="G3335" s="8" t="n">
        <f aca="false">IFERROR(INDEX('TRANS'!$B:$B,MATCH($B3335,'TRANS'!$A:$A,0)),IFERROR(INDEX('TRANS'!$B:$B,MATCH(TRIM(SUBSTITUTE($B3335,CHAR(160)," ")),'TRANS'!$D:$D,0)),IFERROR(INDEX('Catalog'!$A:$A,MATCH($B3335,'Catalog'!$B:$B,0)),IFERROR(INDEX('Catalog'!$A:$A,MATCH(TRIM(SUBSTITUTE($B3335,CHAR(160)," ")),'Catalog'!$C:$C,0)),""))))</f>
        <v>4408268</v>
      </c>
      <c r="H3335" s="8" t="str">
        <f aca="false">IFERROR(INDEX('TRANS'!$C:$C,MATCH($B3335,'TRANS'!$A:$A,0)),IFERROR(INDEX('Catalog'!$B:$B,MATCH($G3335,'Catalog'!$A:$A,0)),$B3335))</f>
        <v>ST20 חבק יד</v>
      </c>
      <c r="I3335" s="8" t="str">
        <f aca="false">IF($G3335="","Unmatched","Matched")</f>
        <v>Matched</v>
      </c>
      <c r="J3335" s="8" t="n">
        <f aca="false">IF($G3335&lt;&gt;"",$G3335,$B3335)</f>
        <v>4408268</v>
      </c>
      <c r="K3335" s="8" t="str">
        <f aca="false">IF(COUNTIF($M$1:$M$10,$A3335)&gt;0,"Y","N")</f>
        <v>N</v>
      </c>
    </row>
    <row r="3336" customFormat="false" ht="15" hidden="false" customHeight="true" outlineLevel="0" collapsed="false">
      <c r="A3336" s="8" t="s">
        <v>1078</v>
      </c>
      <c r="B3336" s="8" t="s">
        <v>897</v>
      </c>
      <c r="C3336" s="19" t="n">
        <v>27</v>
      </c>
      <c r="D3336" s="19" t="n">
        <v>359.77</v>
      </c>
      <c r="E3336" s="19" t="n">
        <v>15</v>
      </c>
      <c r="F3336" s="19" t="n">
        <v>180.31</v>
      </c>
      <c r="G3336" s="8" t="n">
        <f aca="false">IFERROR(INDEX('TRANS'!$B:$B,MATCH($B3336,'TRANS'!$A:$A,0)),IFERROR(INDEX('TRANS'!$B:$B,MATCH(TRIM(SUBSTITUTE($B3336,CHAR(160)," ")),'TRANS'!$D:$D,0)),IFERROR(INDEX('Catalog'!$A:$A,MATCH($B3336,'Catalog'!$B:$B,0)),IFERROR(INDEX('Catalog'!$A:$A,MATCH(TRIM(SUBSTITUTE($B3336,CHAR(160)," ")),'Catalog'!$C:$C,0)),""))))</f>
        <v>4408267</v>
      </c>
      <c r="H3336" s="8" t="str">
        <f aca="false">IFERROR(INDEX('TRANS'!$C:$C,MATCH($B3336,'TRANS'!$A:$A,0)),IFERROR(INDEX('Catalog'!$B:$B,MATCH($G3336,'Catalog'!$A:$A,0)),$B3336))</f>
        <v>ST25 חבק שורש לכף היד</v>
      </c>
      <c r="I3336" s="8" t="str">
        <f aca="false">IF($G3336="","Unmatched","Matched")</f>
        <v>Matched</v>
      </c>
      <c r="J3336" s="8" t="n">
        <f aca="false">IF($G3336&lt;&gt;"",$G3336,$B3336)</f>
        <v>4408267</v>
      </c>
      <c r="K3336" s="8" t="str">
        <f aca="false">IF(COUNTIF($M$1:$M$10,$A3336)&gt;0,"Y","N")</f>
        <v>N</v>
      </c>
    </row>
    <row r="3337" customFormat="false" ht="15" hidden="false" customHeight="true" outlineLevel="0" collapsed="false">
      <c r="A3337" s="8" t="s">
        <v>1078</v>
      </c>
      <c r="B3337" s="8" t="s">
        <v>80</v>
      </c>
      <c r="C3337" s="19" t="n">
        <v>3</v>
      </c>
      <c r="D3337" s="19" t="n">
        <v>51.57</v>
      </c>
      <c r="E3337" s="19" t="n">
        <v>0</v>
      </c>
      <c r="F3337" s="19" t="n">
        <v>0</v>
      </c>
      <c r="G3337" s="8" t="str">
        <f aca="false">IFERROR(INDEX('TRANS'!$B:$B,MATCH($B3337,'TRANS'!$A:$A,0)),IFERROR(INDEX('TRANS'!$B:$B,MATCH(TRIM(SUBSTITUTE($B3337,CHAR(160)," ")),'TRANS'!$D:$D,0)),IFERROR(INDEX('Catalog'!$A:$A,MATCH($B3337,'Catalog'!$B:$B,0)),IFERROR(INDEX('Catalog'!$A:$A,MATCH(TRIM(SUBSTITUTE($B3337,CHAR(160)," ")),'Catalog'!$C:$C,0)),""))))</f>
        <v/>
      </c>
      <c r="H3337" s="8" t="str">
        <f aca="false">IFERROR(INDEX('TRANS'!$C:$C,MATCH($B3337,'TRANS'!$A:$A,0)),IFERROR(INDEX('Catalog'!$B:$B,MATCH($G3337,'Catalog'!$A:$A,0)),$B3337))</f>
        <v>ST45X 0</v>
      </c>
      <c r="I3337" s="8" t="str">
        <f aca="false">IF($G3337="","Unmatched","Matched")</f>
        <v>Unmatched</v>
      </c>
      <c r="J3337" s="8" t="str">
        <f aca="false">IF($G3337&lt;&gt;"",$G3337,$B3337)</f>
        <v>ST45X 0</v>
      </c>
      <c r="K3337" s="8" t="str">
        <f aca="false">IF(COUNTIF($M$1:$M$10,$A3337)&gt;0,"Y","N")</f>
        <v>N</v>
      </c>
    </row>
    <row r="3338" customFormat="false" ht="15" hidden="false" customHeight="true" outlineLevel="0" collapsed="false">
      <c r="A3338" s="8" t="s">
        <v>1078</v>
      </c>
      <c r="B3338" s="8" t="s">
        <v>902</v>
      </c>
      <c r="C3338" s="19" t="n">
        <v>28</v>
      </c>
      <c r="D3338" s="19" t="n">
        <v>454.61</v>
      </c>
      <c r="E3338" s="19" t="n">
        <v>22</v>
      </c>
      <c r="F3338" s="19" t="n">
        <v>322.96</v>
      </c>
      <c r="G3338" s="8" t="n">
        <f aca="false">IFERROR(INDEX('TRANS'!$B:$B,MATCH($B3338,'TRANS'!$A:$A,0)),IFERROR(INDEX('TRANS'!$B:$B,MATCH(TRIM(SUBSTITUTE($B3338,CHAR(160)," ")),'TRANS'!$D:$D,0)),IFERROR(INDEX('Catalog'!$A:$A,MATCH($B3338,'Catalog'!$B:$B,0)),IFERROR(INDEX('Catalog'!$A:$A,MATCH(TRIM(SUBSTITUTE($B3338,CHAR(160)," ")),'Catalog'!$C:$C,0)),""))))</f>
        <v>4413533</v>
      </c>
      <c r="H3338" s="8" t="str">
        <f aca="false">IFERROR(INDEX('TRANS'!$C:$C,MATCH($B3338,'TRANS'!$A:$A,0)),IFERROR(INDEX('Catalog'!$B:$B,MATCH($G3338,'Catalog'!$A:$A,0)),$B3338))</f>
        <v>ST49 מגן ירך</v>
      </c>
      <c r="I3338" s="8" t="str">
        <f aca="false">IF($G3338="","Unmatched","Matched")</f>
        <v>Matched</v>
      </c>
      <c r="J3338" s="8" t="n">
        <f aca="false">IF($G3338&lt;&gt;"",$G3338,$B3338)</f>
        <v>4413533</v>
      </c>
      <c r="K3338" s="8" t="str">
        <f aca="false">IF(COUNTIF($M$1:$M$10,$A3338)&gt;0,"Y","N")</f>
        <v>N</v>
      </c>
    </row>
    <row r="3339" customFormat="false" ht="15" hidden="false" customHeight="true" outlineLevel="0" collapsed="false">
      <c r="A3339" s="8" t="s">
        <v>1078</v>
      </c>
      <c r="B3339" s="8" t="s">
        <v>1080</v>
      </c>
      <c r="C3339" s="19" t="n">
        <v>2</v>
      </c>
      <c r="D3339" s="19" t="n">
        <v>35.61</v>
      </c>
      <c r="E3339" s="19" t="n">
        <v>0</v>
      </c>
      <c r="F3339" s="19" t="n">
        <v>0</v>
      </c>
      <c r="G3339" s="8" t="str">
        <f aca="false">IFERROR(INDEX('TRANS'!$B:$B,MATCH($B3339,'TRANS'!$A:$A,0)),IFERROR(INDEX('TRANS'!$B:$B,MATCH(TRIM(SUBSTITUTE($B3339,CHAR(160)," ")),'TRANS'!$D:$D,0)),IFERROR(INDEX('Catalog'!$A:$A,MATCH($B3339,'Catalog'!$B:$B,0)),IFERROR(INDEX('Catalog'!$A:$A,MATCH(TRIM(SUBSTITUTE($B3339,CHAR(160)," ")),'Catalog'!$C:$C,0)),""))))</f>
        <v/>
      </c>
      <c r="H3339" s="8" t="str">
        <f aca="false">IFERROR(INDEX('TRANS'!$C:$C,MATCH($B3339,'TRANS'!$A:$A,0)),IFERROR(INDEX('Catalog'!$B:$B,MATCH($G3339,'Catalog'!$A:$A,0)),$B3339))</f>
        <v>ST95 0</v>
      </c>
      <c r="I3339" s="8" t="str">
        <f aca="false">IF($G3339="","Unmatched","Matched")</f>
        <v>Unmatched</v>
      </c>
      <c r="J3339" s="8" t="str">
        <f aca="false">IF($G3339&lt;&gt;"",$G3339,$B3339)</f>
        <v>ST95 0</v>
      </c>
      <c r="K3339" s="8" t="str">
        <f aca="false">IF(COUNTIF($M$1:$M$10,$A3339)&gt;0,"Y","N")</f>
        <v>N</v>
      </c>
    </row>
    <row r="3340" customFormat="false" ht="15" hidden="false" customHeight="true" outlineLevel="0" collapsed="false">
      <c r="A3340" s="8" t="s">
        <v>1078</v>
      </c>
      <c r="B3340" s="8" t="s">
        <v>770</v>
      </c>
      <c r="C3340" s="19" t="n">
        <v>40</v>
      </c>
      <c r="D3340" s="19" t="n">
        <v>676.67</v>
      </c>
      <c r="E3340" s="19" t="n">
        <v>80</v>
      </c>
      <c r="F3340" s="19" t="n">
        <v>1214.63</v>
      </c>
      <c r="G3340" s="8" t="n">
        <f aca="false">IFERROR(INDEX('TRANS'!$B:$B,MATCH($B3340,'TRANS'!$A:$A,0)),IFERROR(INDEX('TRANS'!$B:$B,MATCH(TRIM(SUBSTITUTE($B3340,CHAR(160)," ")),'TRANS'!$D:$D,0)),IFERROR(INDEX('Catalog'!$A:$A,MATCH($B3340,'Catalog'!$B:$B,0)),IFERROR(INDEX('Catalog'!$A:$A,MATCH(TRIM(SUBSTITUTE($B3340,CHAR(160)," ")),'Catalog'!$C:$C,0)),""))))</f>
        <v>4408098</v>
      </c>
      <c r="H3340" s="8" t="str">
        <f aca="false">IFERROR(INDEX('TRANS'!$C:$C,MATCH($B3340,'TRANS'!$A:$A,0)),IFERROR(INDEX('Catalog'!$B:$B,MATCH($G3340,'Catalog'!$A:$A,0)),$B3340))</f>
        <v>T25-חבק יד אגודלי</v>
      </c>
      <c r="I3340" s="8" t="str">
        <f aca="false">IF($G3340="","Unmatched","Matched")</f>
        <v>Matched</v>
      </c>
      <c r="J3340" s="8" t="n">
        <f aca="false">IF($G3340&lt;&gt;"",$G3340,$B3340)</f>
        <v>4408098</v>
      </c>
      <c r="K3340" s="8" t="str">
        <f aca="false">IF(COUNTIF($M$1:$M$10,$A3340)&gt;0,"Y","N")</f>
        <v>N</v>
      </c>
    </row>
    <row r="3341" customFormat="false" ht="15" hidden="false" customHeight="true" outlineLevel="0" collapsed="false">
      <c r="A3341" s="8" t="s">
        <v>1078</v>
      </c>
      <c r="B3341" s="8" t="s">
        <v>88</v>
      </c>
      <c r="C3341" s="19" t="n">
        <v>0</v>
      </c>
      <c r="D3341" s="19" t="n">
        <v>0</v>
      </c>
      <c r="E3341" s="19" t="n">
        <v>1</v>
      </c>
      <c r="F3341" s="19" t="n">
        <v>0.03</v>
      </c>
      <c r="G3341" s="8" t="str">
        <f aca="false">IFERROR(INDEX('TRANS'!$B:$B,MATCH($B3341,'TRANS'!$A:$A,0)),IFERROR(INDEX('TRANS'!$B:$B,MATCH(TRIM(SUBSTITUTE($B3341,CHAR(160)," ")),'TRANS'!$D:$D,0)),IFERROR(INDEX('Catalog'!$A:$A,MATCH($B3341,'Catalog'!$B:$B,0)),IFERROR(INDEX('Catalog'!$A:$A,MATCH(TRIM(SUBSTITUTE($B3341,CHAR(160)," ")),'Catalog'!$C:$C,0)),""))))</f>
        <v/>
      </c>
      <c r="H3341" s="8" t="str">
        <f aca="false">IFERROR(INDEX('TRANS'!$C:$C,MATCH($B3341,'TRANS'!$A:$A,0)),IFERROR(INDEX('Catalog'!$B:$B,MATCH($G3341,'Catalog'!$A:$A,0)),$B3341))</f>
        <v>T40B 0</v>
      </c>
      <c r="I3341" s="8" t="str">
        <f aca="false">IF($G3341="","Unmatched","Matched")</f>
        <v>Unmatched</v>
      </c>
      <c r="J3341" s="8" t="str">
        <f aca="false">IF($G3341&lt;&gt;"",$G3341,$B3341)</f>
        <v>T40B 0</v>
      </c>
      <c r="K3341" s="8" t="str">
        <f aca="false">IF(COUNTIF($M$1:$M$10,$A3341)&gt;0,"Y","N")</f>
        <v>N</v>
      </c>
    </row>
    <row r="3342" customFormat="false" ht="15" hidden="false" customHeight="true" outlineLevel="0" collapsed="false">
      <c r="A3342" s="8" t="s">
        <v>1081</v>
      </c>
      <c r="B3342" s="8" t="s">
        <v>909</v>
      </c>
      <c r="C3342" s="19" t="n">
        <v>70</v>
      </c>
      <c r="D3342" s="19" t="n">
        <v>1792.62</v>
      </c>
      <c r="E3342" s="19" t="n">
        <v>30</v>
      </c>
      <c r="F3342" s="19" t="n">
        <v>738.93</v>
      </c>
      <c r="G3342" s="8" t="n">
        <f aca="false">IFERROR(INDEX('TRANS'!$B:$B,MATCH($B3342,'TRANS'!$A:$A,0)),IFERROR(INDEX('TRANS'!$B:$B,MATCH(TRIM(SUBSTITUTE($B3342,CHAR(160)," ")),'TRANS'!$D:$D,0)),IFERROR(INDEX('Catalog'!$A:$A,MATCH($B3342,'Catalog'!$B:$B,0)),IFERROR(INDEX('Catalog'!$A:$A,MATCH(TRIM(SUBSTITUTE($B3342,CHAR(160)," ")),'Catalog'!$C:$C,0)),""))))</f>
        <v>4416003</v>
      </c>
      <c r="H3342" s="8" t="str">
        <f aca="false">IFERROR(INDEX('TRANS'!$C:$C,MATCH($B3342,'TRANS'!$A:$A,0)),IFERROR(INDEX('Catalog'!$B:$B,MATCH($G3342,'Catalog'!$A:$A,0)),$B3342))</f>
        <v>308 Lעקבים סיליקון כחול לדורבן</v>
      </c>
      <c r="I3342" s="8" t="str">
        <f aca="false">IF($G3342="","Unmatched","Matched")</f>
        <v>Matched</v>
      </c>
      <c r="J3342" s="8" t="n">
        <f aca="false">IF($G3342&lt;&gt;"",$G3342,$B3342)</f>
        <v>4416003</v>
      </c>
      <c r="K3342" s="8" t="str">
        <f aca="false">IF(COUNTIF($M$1:$M$10,$A3342)&gt;0,"Y","N")</f>
        <v>N</v>
      </c>
    </row>
    <row r="3343" customFormat="false" ht="15" hidden="false" customHeight="true" outlineLevel="0" collapsed="false">
      <c r="A3343" s="8" t="s">
        <v>1081</v>
      </c>
      <c r="B3343" s="8" t="s">
        <v>604</v>
      </c>
      <c r="C3343" s="19" t="n">
        <v>100</v>
      </c>
      <c r="D3343" s="19" t="n">
        <v>2618.74</v>
      </c>
      <c r="E3343" s="19" t="n">
        <v>80</v>
      </c>
      <c r="F3343" s="19" t="n">
        <v>1899.5</v>
      </c>
      <c r="G3343" s="8" t="n">
        <f aca="false">IFERROR(INDEX('TRANS'!$B:$B,MATCH($B3343,'TRANS'!$A:$A,0)),IFERROR(INDEX('TRANS'!$B:$B,MATCH(TRIM(SUBSTITUTE($B3343,CHAR(160)," ")),'TRANS'!$D:$D,0)),IFERROR(INDEX('Catalog'!$A:$A,MATCH($B3343,'Catalog'!$B:$B,0)),IFERROR(INDEX('Catalog'!$A:$A,MATCH(TRIM(SUBSTITUTE($B3343,CHAR(160)," ")),'Catalog'!$C:$C,0)),""))))</f>
        <v>4416005</v>
      </c>
      <c r="H3343" s="8" t="str">
        <f aca="false">IFERROR(INDEX('TRANS'!$C:$C,MATCH($B3343,'TRANS'!$A:$A,0)),IFERROR(INDEX('Catalog'!$B:$B,MATCH($G3343,'Catalog'!$A:$A,0)),$B3343))</f>
        <v>308 Mעקבים סיליק.כחול לדורבן</v>
      </c>
      <c r="I3343" s="8" t="str">
        <f aca="false">IF($G3343="","Unmatched","Matched")</f>
        <v>Matched</v>
      </c>
      <c r="J3343" s="8" t="n">
        <f aca="false">IF($G3343&lt;&gt;"",$G3343,$B3343)</f>
        <v>4416005</v>
      </c>
      <c r="K3343" s="8" t="str">
        <f aca="false">IF(COUNTIF($M$1:$M$10,$A3343)&gt;0,"Y","N")</f>
        <v>N</v>
      </c>
    </row>
    <row r="3344" customFormat="false" ht="15" hidden="false" customHeight="true" outlineLevel="0" collapsed="false">
      <c r="A3344" s="8" t="s">
        <v>1081</v>
      </c>
      <c r="B3344" s="8" t="s">
        <v>606</v>
      </c>
      <c r="C3344" s="19" t="n">
        <v>196</v>
      </c>
      <c r="D3344" s="19" t="n">
        <v>1570.61</v>
      </c>
      <c r="E3344" s="19" t="n">
        <v>28</v>
      </c>
      <c r="F3344" s="19" t="n">
        <v>217.79</v>
      </c>
      <c r="G3344" s="8" t="n">
        <f aca="false">IFERROR(INDEX('TRANS'!$B:$B,MATCH($B3344,'TRANS'!$A:$A,0)),IFERROR(INDEX('TRANS'!$B:$B,MATCH(TRIM(SUBSTITUTE($B3344,CHAR(160)," ")),'TRANS'!$D:$D,0)),IFERROR(INDEX('Catalog'!$A:$A,MATCH($B3344,'Catalog'!$B:$B,0)),IFERROR(INDEX('Catalog'!$A:$A,MATCH(TRIM(SUBSTITUTE($B3344,CHAR(160)," ")),'Catalog'!$C:$C,0)),""))))</f>
        <v>4413034</v>
      </c>
      <c r="H3344" s="8" t="str">
        <f aca="false">IFERROR(INDEX('TRANS'!$C:$C,MATCH($B3344,'TRANS'!$A:$A,0)),IFERROR(INDEX('Catalog'!$B:$B,MATCH($G3344,'Catalog'!$A:$A,0)),$B3344))</f>
        <v>312 9 מ""""ס להתאמהX5 מדבקה גדולה</v>
      </c>
      <c r="I3344" s="8" t="str">
        <f aca="false">IF($G3344="","Unmatched","Matched")</f>
        <v>Matched</v>
      </c>
      <c r="J3344" s="8" t="n">
        <f aca="false">IF($G3344&lt;&gt;"",$G3344,$B3344)</f>
        <v>4413034</v>
      </c>
      <c r="K3344" s="8" t="str">
        <f aca="false">IF(COUNTIF($M$1:$M$10,$A3344)&gt;0,"Y","N")</f>
        <v>N</v>
      </c>
    </row>
    <row r="3345" customFormat="false" ht="15" hidden="false" customHeight="true" outlineLevel="0" collapsed="false">
      <c r="A3345" s="8" t="s">
        <v>1081</v>
      </c>
      <c r="B3345" s="8" t="s">
        <v>791</v>
      </c>
      <c r="C3345" s="19" t="n">
        <v>20</v>
      </c>
      <c r="D3345" s="19" t="n">
        <v>381.46</v>
      </c>
      <c r="E3345" s="19" t="n">
        <v>0</v>
      </c>
      <c r="F3345" s="19" t="n">
        <v>0</v>
      </c>
      <c r="G3345" s="8" t="n">
        <f aca="false">IFERROR(INDEX('TRANS'!$B:$B,MATCH($B3345,'TRANS'!$A:$A,0)),IFERROR(INDEX('TRANS'!$B:$B,MATCH(TRIM(SUBSTITUTE($B3345,CHAR(160)," ")),'TRANS'!$D:$D,0)),IFERROR(INDEX('Catalog'!$A:$A,MATCH($B3345,'Catalog'!$B:$B,0)),IFERROR(INDEX('Catalog'!$A:$A,MATCH(TRIM(SUBSTITUTE($B3345,CHAR(160)," ")),'Catalog'!$C:$C,0)),""))))</f>
        <v>4403040</v>
      </c>
      <c r="H3345" s="8" t="str">
        <f aca="false">IFERROR(INDEX('TRANS'!$C:$C,MATCH($B3345,'TRANS'!$A:$A,0)),IFERROR(INDEX('Catalog'!$B:$B,MATCH($G3345,'Catalog'!$A:$A,0)),$B3345))</f>
        <v>3444B גרבי ג'ל לריכוך עור העקב</v>
      </c>
      <c r="I3345" s="8" t="str">
        <f aca="false">IF($G3345="","Unmatched","Matched")</f>
        <v>Matched</v>
      </c>
      <c r="J3345" s="8" t="n">
        <f aca="false">IF($G3345&lt;&gt;"",$G3345,$B3345)</f>
        <v>4403040</v>
      </c>
      <c r="K3345" s="8" t="str">
        <f aca="false">IF(COUNTIF($M$1:$M$10,$A3345)&gt;0,"Y","N")</f>
        <v>N</v>
      </c>
    </row>
    <row r="3346" customFormat="false" ht="15" hidden="false" customHeight="true" outlineLevel="0" collapsed="false">
      <c r="A3346" s="8" t="s">
        <v>1081</v>
      </c>
      <c r="B3346" s="8" t="s">
        <v>626</v>
      </c>
      <c r="C3346" s="19" t="n">
        <v>90</v>
      </c>
      <c r="D3346" s="19" t="n">
        <v>1435.63</v>
      </c>
      <c r="E3346" s="19" t="n">
        <v>100</v>
      </c>
      <c r="F3346" s="19" t="n">
        <v>1365.6</v>
      </c>
      <c r="G3346" s="8" t="n">
        <f aca="false">IFERROR(INDEX('TRANS'!$B:$B,MATCH($B3346,'TRANS'!$A:$A,0)),IFERROR(INDEX('TRANS'!$B:$B,MATCH(TRIM(SUBSTITUTE($B3346,CHAR(160)," ")),'TRANS'!$D:$D,0)),IFERROR(INDEX('Catalog'!$A:$A,MATCH($B3346,'Catalog'!$B:$B,0)),IFERROR(INDEX('Catalog'!$A:$A,MATCH(TRIM(SUBSTITUTE($B3346,CHAR(160)," ")),'Catalog'!$C:$C,0)),""))))</f>
        <v>4411000</v>
      </c>
      <c r="H3346" s="8" t="str">
        <f aca="false">IFERROR(INDEX('TRANS'!$C:$C,MATCH($B3346,'TRANS'!$A:$A,0)),IFERROR(INDEX('Catalog'!$B:$B,MATCH($G3346,'Catalog'!$A:$A,0)),$B3346))</f>
        <v>כרית מטטרזלי סיליקון362</v>
      </c>
      <c r="I3346" s="8" t="str">
        <f aca="false">IF($G3346="","Unmatched","Matched")</f>
        <v>Matched</v>
      </c>
      <c r="J3346" s="8" t="n">
        <f aca="false">IF($G3346&lt;&gt;"",$G3346,$B3346)</f>
        <v>4411000</v>
      </c>
      <c r="K3346" s="8" t="str">
        <f aca="false">IF(COUNTIF($M$1:$M$10,$A3346)&gt;0,"Y","N")</f>
        <v>N</v>
      </c>
    </row>
    <row r="3347" customFormat="false" ht="15" hidden="false" customHeight="true" outlineLevel="0" collapsed="false">
      <c r="A3347" s="8" t="s">
        <v>1081</v>
      </c>
      <c r="B3347" s="8" t="s">
        <v>627</v>
      </c>
      <c r="C3347" s="19" t="n">
        <v>30</v>
      </c>
      <c r="D3347" s="19" t="n">
        <v>583.99</v>
      </c>
      <c r="E3347" s="19" t="n">
        <v>0</v>
      </c>
      <c r="F3347" s="19" t="n">
        <v>0</v>
      </c>
      <c r="G3347" s="8" t="n">
        <f aca="false">IFERROR(INDEX('TRANS'!$B:$B,MATCH($B3347,'TRANS'!$A:$A,0)),IFERROR(INDEX('TRANS'!$B:$B,MATCH(TRIM(SUBSTITUTE($B3347,CHAR(160)," ")),'TRANS'!$D:$D,0)),IFERROR(INDEX('Catalog'!$A:$A,MATCH($B3347,'Catalog'!$B:$B,0)),IFERROR(INDEX('Catalog'!$A:$A,MATCH(TRIM(SUBSTITUTE($B3347,CHAR(160)," ")),'Catalog'!$C:$C,0)),""))))</f>
        <v>4413058</v>
      </c>
      <c r="H3347" s="8" t="str">
        <f aca="false">IFERROR(INDEX('TRANS'!$C:$C,MATCH($B3347,'TRANS'!$A:$A,0)),IFERROR(INDEX('Catalog'!$B:$B,MATCH($G3347,'Catalog'!$A:$A,0)),$B3347))</f>
        <v>3622S מדבקה לשחרור לחץ 2 יח</v>
      </c>
      <c r="I3347" s="8" t="str">
        <f aca="false">IF($G3347="","Unmatched","Matched")</f>
        <v>Matched</v>
      </c>
      <c r="J3347" s="8" t="n">
        <f aca="false">IF($G3347&lt;&gt;"",$G3347,$B3347)</f>
        <v>4413058</v>
      </c>
      <c r="K3347" s="8" t="str">
        <f aca="false">IF(COUNTIF($M$1:$M$10,$A3347)&gt;0,"Y","N")</f>
        <v>N</v>
      </c>
    </row>
    <row r="3348" customFormat="false" ht="15" hidden="false" customHeight="true" outlineLevel="0" collapsed="false">
      <c r="A3348" s="8" t="s">
        <v>1081</v>
      </c>
      <c r="B3348" s="8" t="s">
        <v>59</v>
      </c>
      <c r="C3348" s="19" t="n">
        <v>80</v>
      </c>
      <c r="D3348" s="19" t="n">
        <v>1038.21</v>
      </c>
      <c r="E3348" s="19" t="n">
        <v>0</v>
      </c>
      <c r="F3348" s="19" t="n">
        <v>0</v>
      </c>
      <c r="G3348" s="8" t="str">
        <f aca="false">IFERROR(INDEX('TRANS'!$B:$B,MATCH($B3348,'TRANS'!$A:$A,0)),IFERROR(INDEX('TRANS'!$B:$B,MATCH(TRIM(SUBSTITUTE($B3348,CHAR(160)," ")),'TRANS'!$D:$D,0)),IFERROR(INDEX('Catalog'!$A:$A,MATCH($B3348,'Catalog'!$B:$B,0)),IFERROR(INDEX('Catalog'!$A:$A,MATCH(TRIM(SUBSTITUTE($B3348,CHAR(160)," ")),'Catalog'!$C:$C,0)),""))))</f>
        <v/>
      </c>
      <c r="H3348" s="8" t="str">
        <f aca="false">IFERROR(INDEX('TRANS'!$C:$C,MATCH($B3348,'TRANS'!$A:$A,0)),IFERROR(INDEX('Catalog'!$B:$B,MATCH($G3348,'Catalog'!$A:$A,0)),$B3348))</f>
        <v>363 L/R</v>
      </c>
      <c r="I3348" s="8" t="str">
        <f aca="false">IF($G3348="","Unmatched","Matched")</f>
        <v>Unmatched</v>
      </c>
      <c r="J3348" s="8" t="str">
        <f aca="false">IF($G3348&lt;&gt;"",$G3348,$B3348)</f>
        <v>363 L/R</v>
      </c>
      <c r="K3348" s="8" t="str">
        <f aca="false">IF(COUNTIF($M$1:$M$10,$A3348)&gt;0,"Y","N")</f>
        <v>N</v>
      </c>
    </row>
    <row r="3349" customFormat="false" ht="15" hidden="false" customHeight="true" outlineLevel="0" collapsed="false">
      <c r="A3349" s="8" t="s">
        <v>1081</v>
      </c>
      <c r="B3349" s="8" t="s">
        <v>629</v>
      </c>
      <c r="C3349" s="19" t="n">
        <v>240</v>
      </c>
      <c r="D3349" s="19" t="n">
        <v>1556.89</v>
      </c>
      <c r="E3349" s="19" t="n">
        <v>316</v>
      </c>
      <c r="F3349" s="19" t="n">
        <v>1907.3</v>
      </c>
      <c r="G3349" s="8" t="n">
        <f aca="false">IFERROR(INDEX('TRANS'!$B:$B,MATCH($B3349,'TRANS'!$A:$A,0)),IFERROR(INDEX('TRANS'!$B:$B,MATCH(TRIM(SUBSTITUTE($B3349,CHAR(160)," ")),'TRANS'!$D:$D,0)),IFERROR(INDEX('Catalog'!$A:$A,MATCH($B3349,'Catalog'!$B:$B,0)),IFERROR(INDEX('Catalog'!$A:$A,MATCH(TRIM(SUBSTITUTE($B3349,CHAR(160)," ")),'Catalog'!$C:$C,0)),""))))</f>
        <v>4413059</v>
      </c>
      <c r="H3349" s="8" t="str">
        <f aca="false">IFERROR(INDEX('TRANS'!$C:$C,MATCH($B3349,'TRANS'!$A:$A,0)),IFERROR(INDEX('Catalog'!$B:$B,MATCH($G3349,'Catalog'!$A:$A,0)),$B3349))</f>
        <v>364S Lמפר.אצבע סיליק. ליבל.זוג</v>
      </c>
      <c r="I3349" s="8" t="str">
        <f aca="false">IF($G3349="","Unmatched","Matched")</f>
        <v>Matched</v>
      </c>
      <c r="J3349" s="8" t="n">
        <f aca="false">IF($G3349&lt;&gt;"",$G3349,$B3349)</f>
        <v>4413059</v>
      </c>
      <c r="K3349" s="8" t="str">
        <f aca="false">IF(COUNTIF($M$1:$M$10,$A3349)&gt;0,"Y","N")</f>
        <v>N</v>
      </c>
    </row>
    <row r="3350" customFormat="false" ht="15" hidden="false" customHeight="true" outlineLevel="0" collapsed="false">
      <c r="A3350" s="8" t="s">
        <v>1081</v>
      </c>
      <c r="B3350" s="8" t="s">
        <v>632</v>
      </c>
      <c r="C3350" s="19" t="n">
        <v>240</v>
      </c>
      <c r="D3350" s="19" t="n">
        <v>1721.44</v>
      </c>
      <c r="E3350" s="19" t="n">
        <v>230</v>
      </c>
      <c r="F3350" s="19" t="n">
        <v>1474.91</v>
      </c>
      <c r="G3350" s="8" t="n">
        <f aca="false">IFERROR(INDEX('TRANS'!$B:$B,MATCH($B3350,'TRANS'!$A:$A,0)),IFERROR(INDEX('TRANS'!$B:$B,MATCH(TRIM(SUBSTITUTE($B3350,CHAR(160)," ")),'TRANS'!$D:$D,0)),IFERROR(INDEX('Catalog'!$A:$A,MATCH($B3350,'Catalog'!$B:$B,0)),IFERROR(INDEX('Catalog'!$A:$A,MATCH(TRIM(SUBSTITUTE($B3350,CHAR(160)," ")),'Catalog'!$C:$C,0)),""))))</f>
        <v>4409000</v>
      </c>
      <c r="H3350" s="8" t="str">
        <f aca="false">IFERROR(INDEX('TRANS'!$C:$C,MATCH($B3350,'TRANS'!$A:$A,0)),IFERROR(INDEX('Catalog'!$B:$B,MATCH($G3350,'Catalog'!$A:$A,0)),$B3350))</f>
        <v>365 S-Lטבעת אלסטית מסיליקון</v>
      </c>
      <c r="I3350" s="8" t="str">
        <f aca="false">IF($G3350="","Unmatched","Matched")</f>
        <v>Matched</v>
      </c>
      <c r="J3350" s="8" t="n">
        <f aca="false">IF($G3350&lt;&gt;"",$G3350,$B3350)</f>
        <v>4409000</v>
      </c>
      <c r="K3350" s="8" t="str">
        <f aca="false">IF(COUNTIF($M$1:$M$10,$A3350)&gt;0,"Y","N")</f>
        <v>N</v>
      </c>
    </row>
    <row r="3351" customFormat="false" ht="15" hidden="false" customHeight="true" outlineLevel="0" collapsed="false">
      <c r="A3351" s="8" t="s">
        <v>1081</v>
      </c>
      <c r="B3351" s="8" t="s">
        <v>868</v>
      </c>
      <c r="C3351" s="19" t="n">
        <v>40</v>
      </c>
      <c r="D3351" s="19" t="n">
        <v>321.82</v>
      </c>
      <c r="E3351" s="19" t="n">
        <v>0</v>
      </c>
      <c r="F3351" s="19" t="n">
        <v>0</v>
      </c>
      <c r="G3351" s="8" t="n">
        <f aca="false">IFERROR(INDEX('TRANS'!$B:$B,MATCH($B3351,'TRANS'!$A:$A,0)),IFERROR(INDEX('TRANS'!$B:$B,MATCH(TRIM(SUBSTITUTE($B3351,CHAR(160)," ")),'TRANS'!$D:$D,0)),IFERROR(INDEX('Catalog'!$A:$A,MATCH($B3351,'Catalog'!$B:$B,0)),IFERROR(INDEX('Catalog'!$A:$A,MATCH(TRIM(SUBSTITUTE($B3351,CHAR(160)," ")),'Catalog'!$C:$C,0)),""))))</f>
        <v>4409001</v>
      </c>
      <c r="H3351" s="8" t="str">
        <f aca="false">IFERROR(INDEX('TRANS'!$C:$C,MATCH($B3351,'TRANS'!$A:$A,0)),IFERROR(INDEX('Catalog'!$B:$B,MATCH($G3351,'Catalog'!$A:$A,0)),$B3351))</f>
        <v>365  X-Lטבעת אלסטית מסיליקון</v>
      </c>
      <c r="I3351" s="8" t="str">
        <f aca="false">IF($G3351="","Unmatched","Matched")</f>
        <v>Matched</v>
      </c>
      <c r="J3351" s="8" t="n">
        <f aca="false">IF($G3351&lt;&gt;"",$G3351,$B3351)</f>
        <v>4409001</v>
      </c>
      <c r="K3351" s="8" t="str">
        <f aca="false">IF(COUNTIF($M$1:$M$10,$A3351)&gt;0,"Y","N")</f>
        <v>N</v>
      </c>
    </row>
    <row r="3352" customFormat="false" ht="15" hidden="false" customHeight="true" outlineLevel="0" collapsed="false">
      <c r="A3352" s="8" t="s">
        <v>1081</v>
      </c>
      <c r="B3352" s="8" t="s">
        <v>633</v>
      </c>
      <c r="C3352" s="19" t="n">
        <v>1800</v>
      </c>
      <c r="D3352" s="19" t="n">
        <v>16729.1</v>
      </c>
      <c r="E3352" s="19" t="n">
        <v>1700</v>
      </c>
      <c r="F3352" s="19" t="n">
        <v>14391.49</v>
      </c>
      <c r="G3352" s="8" t="n">
        <f aca="false">IFERROR(INDEX('TRANS'!$B:$B,MATCH($B3352,'TRANS'!$A:$A,0)),IFERROR(INDEX('TRANS'!$B:$B,MATCH(TRIM(SUBSTITUTE($B3352,CHAR(160)," ")),'TRANS'!$D:$D,0)),IFERROR(INDEX('Catalog'!$A:$A,MATCH($B3352,'Catalog'!$B:$B,0)),IFERROR(INDEX('Catalog'!$A:$A,MATCH(TRIM(SUBSTITUTE($B3352,CHAR(160)," ")),'Catalog'!$C:$C,0)),""))))</f>
        <v>4421000</v>
      </c>
      <c r="H3352" s="8" t="str">
        <f aca="false">IFERROR(INDEX('TRANS'!$C:$C,MATCH($B3352,'TRANS'!$A:$A,0)),IFERROR(INDEX('Catalog'!$B:$B,MATCH($G3352,'Catalog'!$A:$A,0)),$B3352))</f>
        <v>3655 שרוול מסיליקון לאצבע</v>
      </c>
      <c r="I3352" s="8" t="str">
        <f aca="false">IF($G3352="","Unmatched","Matched")</f>
        <v>Matched</v>
      </c>
      <c r="J3352" s="8" t="n">
        <f aca="false">IF($G3352&lt;&gt;"",$G3352,$B3352)</f>
        <v>4421000</v>
      </c>
      <c r="K3352" s="8" t="str">
        <f aca="false">IF(COUNTIF($M$1:$M$10,$A3352)&gt;0,"Y","N")</f>
        <v>N</v>
      </c>
    </row>
    <row r="3353" customFormat="false" ht="15" hidden="false" customHeight="true" outlineLevel="0" collapsed="false">
      <c r="A3353" s="8" t="s">
        <v>1081</v>
      </c>
      <c r="B3353" s="8" t="s">
        <v>636</v>
      </c>
      <c r="C3353" s="19" t="n">
        <v>250</v>
      </c>
      <c r="D3353" s="19" t="n">
        <v>1998.81</v>
      </c>
      <c r="E3353" s="19" t="n">
        <v>130</v>
      </c>
      <c r="F3353" s="19" t="n">
        <v>992.9</v>
      </c>
      <c r="G3353" s="8" t="n">
        <f aca="false">IFERROR(INDEX('TRANS'!$B:$B,MATCH($B3353,'TRANS'!$A:$A,0)),IFERROR(INDEX('TRANS'!$B:$B,MATCH(TRIM(SUBSTITUTE($B3353,CHAR(160)," ")),'TRANS'!$D:$D,0)),IFERROR(INDEX('Catalog'!$A:$A,MATCH($B3353,'Catalog'!$B:$B,0)),IFERROR(INDEX('Catalog'!$A:$A,MATCH(TRIM(SUBSTITUTE($B3353,CHAR(160)," ")),'Catalog'!$C:$C,0)),""))))</f>
        <v>4413063</v>
      </c>
      <c r="H3353" s="8" t="str">
        <f aca="false">IFERROR(INDEX('TRANS'!$C:$C,MATCH($B3353,'TRANS'!$A:$A,0)),IFERROR(INDEX('Catalog'!$B:$B,MATCH($G3353,'Catalog'!$A:$A,0)),$B3353))</f>
        <v>366S-'מדבק.לשחרור לחץ מיבלת2יח</v>
      </c>
      <c r="I3353" s="8" t="str">
        <f aca="false">IF($G3353="","Unmatched","Matched")</f>
        <v>Matched</v>
      </c>
      <c r="J3353" s="8" t="n">
        <f aca="false">IF($G3353&lt;&gt;"",$G3353,$B3353)</f>
        <v>4413063</v>
      </c>
      <c r="K3353" s="8" t="str">
        <f aca="false">IF(COUNTIF($M$1:$M$10,$A3353)&gt;0,"Y","N")</f>
        <v>N</v>
      </c>
    </row>
    <row r="3354" customFormat="false" ht="15" hidden="false" customHeight="true" outlineLevel="0" collapsed="false">
      <c r="A3354" s="8" t="s">
        <v>1081</v>
      </c>
      <c r="B3354" s="8" t="s">
        <v>640</v>
      </c>
      <c r="C3354" s="19" t="n">
        <v>980</v>
      </c>
      <c r="D3354" s="19" t="n">
        <v>10238.3</v>
      </c>
      <c r="E3354" s="19" t="n">
        <v>576</v>
      </c>
      <c r="F3354" s="19" t="n">
        <v>5431.17</v>
      </c>
      <c r="G3354" s="8" t="n">
        <f aca="false">IFERROR(INDEX('TRANS'!$B:$B,MATCH($B3354,'TRANS'!$A:$A,0)),IFERROR(INDEX('TRANS'!$B:$B,MATCH(TRIM(SUBSTITUTE($B3354,CHAR(160)," ")),'TRANS'!$D:$D,0)),IFERROR(INDEX('Catalog'!$A:$A,MATCH($B3354,'Catalog'!$B:$B,0)),IFERROR(INDEX('Catalog'!$A:$A,MATCH(TRIM(SUBSTITUTE($B3354,CHAR(160)," ")),'Catalog'!$C:$C,0)),""))))</f>
        <v>4401000</v>
      </c>
      <c r="H3354" s="8" t="str">
        <f aca="false">IFERROR(INDEX('TRANS'!$C:$C,MATCH($B3354,'TRANS'!$A:$A,0)),IFERROR(INDEX('Catalog'!$B:$B,MATCH($G3354,'Catalog'!$A:$A,0)),$B3354))</f>
        <v>369  S-L אצבעון מסיליקון יחידה</v>
      </c>
      <c r="I3354" s="8" t="str">
        <f aca="false">IF($G3354="","Unmatched","Matched")</f>
        <v>Matched</v>
      </c>
      <c r="J3354" s="8" t="n">
        <f aca="false">IF($G3354&lt;&gt;"",$G3354,$B3354)</f>
        <v>4401000</v>
      </c>
      <c r="K3354" s="8" t="str">
        <f aca="false">IF(COUNTIF($M$1:$M$10,$A3354)&gt;0,"Y","N")</f>
        <v>N</v>
      </c>
    </row>
    <row r="3355" customFormat="false" ht="15" hidden="false" customHeight="true" outlineLevel="0" collapsed="false">
      <c r="A3355" s="8" t="s">
        <v>1081</v>
      </c>
      <c r="B3355" s="8" t="s">
        <v>641</v>
      </c>
      <c r="C3355" s="19" t="n">
        <v>850</v>
      </c>
      <c r="D3355" s="19" t="n">
        <v>9860.71</v>
      </c>
      <c r="E3355" s="19" t="n">
        <v>770</v>
      </c>
      <c r="F3355" s="19" t="n">
        <v>8160.66</v>
      </c>
      <c r="G3355" s="8" t="n">
        <f aca="false">IFERROR(INDEX('TRANS'!$B:$B,MATCH($B3355,'TRANS'!$A:$A,0)),IFERROR(INDEX('TRANS'!$B:$B,MATCH(TRIM(SUBSTITUTE($B3355,CHAR(160)," ")),'TRANS'!$D:$D,0)),IFERROR(INDEX('Catalog'!$A:$A,MATCH($B3355,'Catalog'!$B:$B,0)),IFERROR(INDEX('Catalog'!$A:$A,MATCH(TRIM(SUBSTITUTE($B3355,CHAR(160)," ")),'Catalog'!$C:$C,0)),""))))</f>
        <v>4401001</v>
      </c>
      <c r="H3355" s="8" t="str">
        <f aca="false">IFERROR(INDEX('TRANS'!$C:$C,MATCH($B3355,'TRANS'!$A:$A,0)),IFERROR(INDEX('Catalog'!$B:$B,MATCH($G3355,'Catalog'!$A:$A,0)),$B3355))</f>
        <v>369   XL אצבעון מסיליקון יחידה</v>
      </c>
      <c r="I3355" s="8" t="str">
        <f aca="false">IF($G3355="","Unmatched","Matched")</f>
        <v>Matched</v>
      </c>
      <c r="J3355" s="8" t="n">
        <f aca="false">IF($G3355&lt;&gt;"",$G3355,$B3355)</f>
        <v>4401001</v>
      </c>
      <c r="K3355" s="8" t="str">
        <f aca="false">IF(COUNTIF($M$1:$M$10,$A3355)&gt;0,"Y","N")</f>
        <v>N</v>
      </c>
    </row>
    <row r="3356" customFormat="false" ht="15" hidden="false" customHeight="true" outlineLevel="0" collapsed="false">
      <c r="A3356" s="8" t="s">
        <v>1081</v>
      </c>
      <c r="B3356" s="8" t="s">
        <v>646</v>
      </c>
      <c r="C3356" s="19" t="n">
        <v>100</v>
      </c>
      <c r="D3356" s="19" t="n">
        <v>947.31</v>
      </c>
      <c r="E3356" s="19" t="n">
        <v>50</v>
      </c>
      <c r="F3356" s="19" t="n">
        <v>409.87</v>
      </c>
      <c r="G3356" s="8" t="n">
        <f aca="false">IFERROR(INDEX('TRANS'!$B:$B,MATCH($B3356,'TRANS'!$A:$A,0)),IFERROR(INDEX('TRANS'!$B:$B,MATCH(TRIM(SUBSTITUTE($B3356,CHAR(160)," ")),'TRANS'!$D:$D,0)),IFERROR(INDEX('Catalog'!$A:$A,MATCH($B3356,'Catalog'!$B:$B,0)),IFERROR(INDEX('Catalog'!$A:$A,MATCH(TRIM(SUBSTITUTE($B3356,CHAR(160)," ")),'Catalog'!$C:$C,0)),""))))</f>
        <v>4420003</v>
      </c>
      <c r="H3356" s="8" t="str">
        <f aca="false">IFERROR(INDEX('TRANS'!$C:$C,MATCH($B3356,'TRANS'!$A:$A,0)),IFERROR(INDEX('Catalog'!$B:$B,MATCH($G3356,'Catalog'!$A:$A,0)),$B3356))</f>
        <v>374 רפידת בולמת זעזועים -זוג</v>
      </c>
      <c r="I3356" s="8" t="str">
        <f aca="false">IF($G3356="","Unmatched","Matched")</f>
        <v>Matched</v>
      </c>
      <c r="J3356" s="8" t="n">
        <f aca="false">IF($G3356&lt;&gt;"",$G3356,$B3356)</f>
        <v>4420003</v>
      </c>
      <c r="K3356" s="8" t="str">
        <f aca="false">IF(COUNTIF($M$1:$M$10,$A3356)&gt;0,"Y","N")</f>
        <v>N</v>
      </c>
    </row>
    <row r="3357" customFormat="false" ht="15" hidden="false" customHeight="true" outlineLevel="0" collapsed="false">
      <c r="A3357" s="8" t="s">
        <v>1081</v>
      </c>
      <c r="B3357" s="8" t="s">
        <v>648</v>
      </c>
      <c r="C3357" s="19" t="n">
        <v>30</v>
      </c>
      <c r="D3357" s="19" t="n">
        <v>1057.05</v>
      </c>
      <c r="E3357" s="19" t="n">
        <v>0</v>
      </c>
      <c r="F3357" s="19" t="n">
        <v>0</v>
      </c>
      <c r="G3357" s="8" t="n">
        <f aca="false">IFERROR(INDEX('TRANS'!$B:$B,MATCH($B3357,'TRANS'!$A:$A,0)),IFERROR(INDEX('TRANS'!$B:$B,MATCH(TRIM(SUBSTITUTE($B3357,CHAR(160)," ")),'TRANS'!$D:$D,0)),IFERROR(INDEX('Catalog'!$A:$A,MATCH($B3357,'Catalog'!$B:$B,0)),IFERROR(INDEX('Catalog'!$A:$A,MATCH(TRIM(SUBSTITUTE($B3357,CHAR(160)," ")),'Catalog'!$C:$C,0)),""))))</f>
        <v>4408069</v>
      </c>
      <c r="H3357" s="8" t="str">
        <f aca="false">IFERROR(INDEX('TRANS'!$C:$C,MATCH($B3357,'TRANS'!$A:$A,0)),IFERROR(INDEX('Catalog'!$B:$B,MATCH($G3357,'Catalog'!$A:$A,0)),$B3357))</f>
        <v>38 .חבישת""""הלוקס ולגוס""""לאחר נית</v>
      </c>
      <c r="I3357" s="8" t="str">
        <f aca="false">IF($G3357="","Unmatched","Matched")</f>
        <v>Matched</v>
      </c>
      <c r="J3357" s="8" t="n">
        <f aca="false">IF($G3357&lt;&gt;"",$G3357,$B3357)</f>
        <v>4408069</v>
      </c>
      <c r="K3357" s="8" t="str">
        <f aca="false">IF(COUNTIF($M$1:$M$10,$A3357)&gt;0,"Y","N")</f>
        <v>N</v>
      </c>
    </row>
    <row r="3358" customFormat="false" ht="15" hidden="false" customHeight="true" outlineLevel="0" collapsed="false">
      <c r="A3358" s="8" t="s">
        <v>1081</v>
      </c>
      <c r="B3358" s="8" t="s">
        <v>650</v>
      </c>
      <c r="C3358" s="19" t="n">
        <v>30</v>
      </c>
      <c r="D3358" s="19" t="n">
        <v>1059.18</v>
      </c>
      <c r="E3358" s="19" t="n">
        <v>30</v>
      </c>
      <c r="F3358" s="19" t="n">
        <v>1002.17</v>
      </c>
      <c r="G3358" s="8" t="n">
        <f aca="false">IFERROR(INDEX('TRANS'!$B:$B,MATCH($B3358,'TRANS'!$A:$A,0)),IFERROR(INDEX('TRANS'!$B:$B,MATCH(TRIM(SUBSTITUTE($B3358,CHAR(160)," ")),'TRANS'!$D:$D,0)),IFERROR(INDEX('Catalog'!$A:$A,MATCH($B3358,'Catalog'!$B:$B,0)),IFERROR(INDEX('Catalog'!$A:$A,MATCH(TRIM(SUBSTITUTE($B3358,CHAR(160)," ")),'Catalog'!$C:$C,0)),""))))</f>
        <v>4415298</v>
      </c>
      <c r="H3358" s="8" t="str">
        <f aca="false">IFERROR(INDEX('TRANS'!$C:$C,MATCH($B3358,'TRANS'!$A:$A,0)),IFERROR(INDEX('Catalog'!$B:$B,MATCH($G3358,'Catalog'!$A:$A,0)),$B3358))</f>
        <v>388B L סד לילה שחור לבוהן שמאל</v>
      </c>
      <c r="I3358" s="8" t="str">
        <f aca="false">IF($G3358="","Unmatched","Matched")</f>
        <v>Matched</v>
      </c>
      <c r="J3358" s="8" t="n">
        <f aca="false">IF($G3358&lt;&gt;"",$G3358,$B3358)</f>
        <v>4415298</v>
      </c>
      <c r="K3358" s="8" t="str">
        <f aca="false">IF(COUNTIF($M$1:$M$10,$A3358)&gt;0,"Y","N")</f>
        <v>N</v>
      </c>
    </row>
    <row r="3359" customFormat="false" ht="15" hidden="false" customHeight="true" outlineLevel="0" collapsed="false">
      <c r="A3359" s="8" t="s">
        <v>1081</v>
      </c>
      <c r="B3359" s="8" t="s">
        <v>651</v>
      </c>
      <c r="C3359" s="19" t="n">
        <v>50</v>
      </c>
      <c r="D3359" s="19" t="n">
        <v>1742.86</v>
      </c>
      <c r="E3359" s="19" t="n">
        <v>30</v>
      </c>
      <c r="F3359" s="19" t="n">
        <v>1002.17</v>
      </c>
      <c r="G3359" s="8" t="n">
        <f aca="false">IFERROR(INDEX('TRANS'!$B:$B,MATCH($B3359,'TRANS'!$A:$A,0)),IFERROR(INDEX('TRANS'!$B:$B,MATCH(TRIM(SUBSTITUTE($B3359,CHAR(160)," ")),'TRANS'!$D:$D,0)),IFERROR(INDEX('Catalog'!$A:$A,MATCH($B3359,'Catalog'!$B:$B,0)),IFERROR(INDEX('Catalog'!$A:$A,MATCH(TRIM(SUBSTITUTE($B3359,CHAR(160)," ")),'Catalog'!$C:$C,0)),""))))</f>
        <v>4415299</v>
      </c>
      <c r="H3359" s="8" t="str">
        <f aca="false">IFERROR(INDEX('TRANS'!$C:$C,MATCH($B3359,'TRANS'!$A:$A,0)),IFERROR(INDEX('Catalog'!$B:$B,MATCH($G3359,'Catalog'!$A:$A,0)),$B3359))</f>
        <v>388B L סד לילה שחור לבוהן ימין</v>
      </c>
      <c r="I3359" s="8" t="str">
        <f aca="false">IF($G3359="","Unmatched","Matched")</f>
        <v>Matched</v>
      </c>
      <c r="J3359" s="8" t="n">
        <f aca="false">IF($G3359&lt;&gt;"",$G3359,$B3359)</f>
        <v>4415299</v>
      </c>
      <c r="K3359" s="8" t="str">
        <f aca="false">IF(COUNTIF($M$1:$M$10,$A3359)&gt;0,"Y","N")</f>
        <v>N</v>
      </c>
    </row>
    <row r="3360" customFormat="false" ht="15" hidden="false" customHeight="true" outlineLevel="0" collapsed="false">
      <c r="A3360" s="8" t="s">
        <v>1081</v>
      </c>
      <c r="B3360" s="8" t="s">
        <v>653</v>
      </c>
      <c r="C3360" s="19" t="n">
        <v>150</v>
      </c>
      <c r="D3360" s="19" t="n">
        <v>3564.8</v>
      </c>
      <c r="E3360" s="19" t="n">
        <v>0</v>
      </c>
      <c r="F3360" s="19" t="n">
        <v>0</v>
      </c>
      <c r="G3360" s="8" t="n">
        <f aca="false">IFERROR(INDEX('TRANS'!$B:$B,MATCH($B3360,'TRANS'!$A:$A,0)),IFERROR(INDEX('TRANS'!$B:$B,MATCH(TRIM(SUBSTITUTE($B3360,CHAR(160)," ")),'TRANS'!$D:$D,0)),IFERROR(INDEX('Catalog'!$A:$A,MATCH($B3360,'Catalog'!$B:$B,0)),IFERROR(INDEX('Catalog'!$A:$A,MATCH(TRIM(SUBSTITUTE($B3360,CHAR(160)," ")),'Catalog'!$C:$C,0)),""))))</f>
        <v>4403001</v>
      </c>
      <c r="H3360" s="8" t="str">
        <f aca="false">IFERROR(INDEX('TRANS'!$C:$C,MATCH($B3360,'TRANS'!$A:$A,0)),IFERROR(INDEX('Catalog'!$B:$B,MATCH($G3360,'Catalog'!$A:$A,0)),$B3360))</f>
        <v>390B 39-42.גרב.כסף לסכרתיים שח</v>
      </c>
      <c r="I3360" s="8" t="str">
        <f aca="false">IF($G3360="","Unmatched","Matched")</f>
        <v>Matched</v>
      </c>
      <c r="J3360" s="8" t="n">
        <f aca="false">IF($G3360&lt;&gt;"",$G3360,$B3360)</f>
        <v>4403001</v>
      </c>
      <c r="K3360" s="8" t="str">
        <f aca="false">IF(COUNTIF($M$1:$M$10,$A3360)&gt;0,"Y","N")</f>
        <v>N</v>
      </c>
    </row>
    <row r="3361" customFormat="false" ht="15" hidden="false" customHeight="true" outlineLevel="0" collapsed="false">
      <c r="A3361" s="8" t="s">
        <v>1081</v>
      </c>
      <c r="B3361" s="8" t="s">
        <v>654</v>
      </c>
      <c r="C3361" s="19" t="n">
        <v>150</v>
      </c>
      <c r="D3361" s="19" t="n">
        <v>3539.25</v>
      </c>
      <c r="E3361" s="19" t="n">
        <v>0</v>
      </c>
      <c r="F3361" s="19" t="n">
        <v>0</v>
      </c>
      <c r="G3361" s="8" t="n">
        <f aca="false">IFERROR(INDEX('TRANS'!$B:$B,MATCH($B3361,'TRANS'!$A:$A,0)),IFERROR(INDEX('TRANS'!$B:$B,MATCH(TRIM(SUBSTITUTE($B3361,CHAR(160)," ")),'TRANS'!$D:$D,0)),IFERROR(INDEX('Catalog'!$A:$A,MATCH($B3361,'Catalog'!$B:$B,0)),IFERROR(INDEX('Catalog'!$A:$A,MATCH(TRIM(SUBSTITUTE($B3361,CHAR(160)," ")),'Catalog'!$C:$C,0)),""))))</f>
        <v>4403002</v>
      </c>
      <c r="H3361" s="8" t="str">
        <f aca="false">IFERROR(INDEX('TRANS'!$C:$C,MATCH($B3361,'TRANS'!$A:$A,0)),IFERROR(INDEX('Catalog'!$B:$B,MATCH($G3361,'Catalog'!$A:$A,0)),$B3361))</f>
        <v>390B 43-46.גרב.כסף לסכרתיים שח</v>
      </c>
      <c r="I3361" s="8" t="str">
        <f aca="false">IF($G3361="","Unmatched","Matched")</f>
        <v>Matched</v>
      </c>
      <c r="J3361" s="8" t="n">
        <f aca="false">IF($G3361&lt;&gt;"",$G3361,$B3361)</f>
        <v>4403002</v>
      </c>
      <c r="K3361" s="8" t="str">
        <f aca="false">IF(COUNTIF($M$1:$M$10,$A3361)&gt;0,"Y","N")</f>
        <v>N</v>
      </c>
    </row>
    <row r="3362" customFormat="false" ht="15" hidden="false" customHeight="true" outlineLevel="0" collapsed="false">
      <c r="A3362" s="8" t="s">
        <v>1081</v>
      </c>
      <c r="B3362" s="8" t="s">
        <v>107</v>
      </c>
      <c r="C3362" s="19" t="n">
        <v>50</v>
      </c>
      <c r="D3362" s="19" t="n">
        <v>1317.39</v>
      </c>
      <c r="E3362" s="19" t="n">
        <v>0</v>
      </c>
      <c r="F3362" s="19" t="n">
        <v>0</v>
      </c>
      <c r="G3362" s="8" t="str">
        <f aca="false">IFERROR(INDEX('TRANS'!$B:$B,MATCH($B3362,'TRANS'!$A:$A,0)),IFERROR(INDEX('TRANS'!$B:$B,MATCH(TRIM(SUBSTITUTE($B3362,CHAR(160)," ")),'TRANS'!$D:$D,0)),IFERROR(INDEX('Catalog'!$A:$A,MATCH($B3362,'Catalog'!$B:$B,0)),IFERROR(INDEX('Catalog'!$A:$A,MATCH(TRIM(SUBSTITUTE($B3362,CHAR(160)," ")),'Catalog'!$C:$C,0)),""))))</f>
        <v/>
      </c>
      <c r="H3362" s="8" t="str">
        <f aca="false">IFERROR(INDEX('TRANS'!$C:$C,MATCH($B3362,'TRANS'!$A:$A,0)),IFERROR(INDEX('Catalog'!$B:$B,MATCH($G3362,'Catalog'!$A:$A,0)),$B3362))</f>
        <v>390G-39-42</v>
      </c>
      <c r="I3362" s="8" t="str">
        <f aca="false">IF($G3362="","Unmatched","Matched")</f>
        <v>Unmatched</v>
      </c>
      <c r="J3362" s="8" t="str">
        <f aca="false">IF($G3362&lt;&gt;"",$G3362,$B3362)</f>
        <v>390G-39-42</v>
      </c>
      <c r="K3362" s="8" t="str">
        <f aca="false">IF(COUNTIF($M$1:$M$10,$A3362)&gt;0,"Y","N")</f>
        <v>N</v>
      </c>
    </row>
    <row r="3363" customFormat="false" ht="15" hidden="false" customHeight="true" outlineLevel="0" collapsed="false">
      <c r="A3363" s="8" t="s">
        <v>1081</v>
      </c>
      <c r="B3363" s="8" t="s">
        <v>656</v>
      </c>
      <c r="C3363" s="19" t="n">
        <v>30</v>
      </c>
      <c r="D3363" s="19" t="n">
        <v>1403.58</v>
      </c>
      <c r="E3363" s="19" t="n">
        <v>0</v>
      </c>
      <c r="F3363" s="19" t="n">
        <v>0</v>
      </c>
      <c r="G3363" s="8" t="n">
        <f aca="false">IFERROR(INDEX('TRANS'!$B:$B,MATCH($B3363,'TRANS'!$A:$A,0)),IFERROR(INDEX('TRANS'!$B:$B,MATCH(TRIM(SUBSTITUTE($B3363,CHAR(160)," ")),'TRANS'!$D:$D,0)),IFERROR(INDEX('Catalog'!$A:$A,MATCH($B3363,'Catalog'!$B:$B,0)),IFERROR(INDEX('Catalog'!$A:$A,MATCH(TRIM(SUBSTITUTE($B3363,CHAR(160)," ")),'Catalog'!$C:$C,0)),""))))</f>
        <v>4403005</v>
      </c>
      <c r="H3363" s="8" t="str">
        <f aca="false">IFERROR(INDEX('TRANS'!$C:$C,MATCH($B3363,'TRANS'!$A:$A,0)),IFERROR(INDEX('Catalog'!$B:$B,MATCH($G3363,'Catalog'!$A:$A,0)),$B3363))</f>
        <v>G390.43-46 גרבי כסף לסכרת מידה</v>
      </c>
      <c r="I3363" s="8" t="str">
        <f aca="false">IF($G3363="","Unmatched","Matched")</f>
        <v>Matched</v>
      </c>
      <c r="J3363" s="8" t="n">
        <f aca="false">IF($G3363&lt;&gt;"",$G3363,$B3363)</f>
        <v>4403005</v>
      </c>
      <c r="K3363" s="8" t="str">
        <f aca="false">IF(COUNTIF($M$1:$M$10,$A3363)&gt;0,"Y","N")</f>
        <v>N</v>
      </c>
    </row>
    <row r="3364" customFormat="false" ht="15" hidden="false" customHeight="true" outlineLevel="0" collapsed="false">
      <c r="A3364" s="8" t="s">
        <v>1081</v>
      </c>
      <c r="B3364" s="8" t="s">
        <v>990</v>
      </c>
      <c r="C3364" s="19" t="n">
        <v>10</v>
      </c>
      <c r="D3364" s="19" t="n">
        <v>232.34</v>
      </c>
      <c r="E3364" s="19" t="n">
        <v>0</v>
      </c>
      <c r="F3364" s="19" t="n">
        <v>0</v>
      </c>
      <c r="G3364" s="8" t="n">
        <f aca="false">IFERROR(INDEX('TRANS'!$B:$B,MATCH($B3364,'TRANS'!$A:$A,0)),IFERROR(INDEX('TRANS'!$B:$B,MATCH(TRIM(SUBSTITUTE($B3364,CHAR(160)," ")),'TRANS'!$D:$D,0)),IFERROR(INDEX('Catalog'!$A:$A,MATCH($B3364,'Catalog'!$B:$B,0)),IFERROR(INDEX('Catalog'!$A:$A,MATCH(TRIM(SUBSTITUTE($B3364,CHAR(160)," ")),'Catalog'!$C:$C,0)),""))))</f>
        <v>4403006</v>
      </c>
      <c r="H3364" s="8" t="str">
        <f aca="false">IFERROR(INDEX('TRANS'!$C:$C,MATCH($B3364,'TRANS'!$A:$A,0)),IFERROR(INDEX('Catalog'!$B:$B,MATCH($G3364,'Catalog'!$A:$A,0)),$B3364))</f>
        <v>390W גרב כסף לסכרתיים לבן35-38</v>
      </c>
      <c r="I3364" s="8" t="str">
        <f aca="false">IF($G3364="","Unmatched","Matched")</f>
        <v>Matched</v>
      </c>
      <c r="J3364" s="8" t="n">
        <f aca="false">IF($G3364&lt;&gt;"",$G3364,$B3364)</f>
        <v>4403006</v>
      </c>
      <c r="K3364" s="8" t="str">
        <f aca="false">IF(COUNTIF($M$1:$M$10,$A3364)&gt;0,"Y","N")</f>
        <v>N</v>
      </c>
    </row>
    <row r="3365" customFormat="false" ht="15" hidden="false" customHeight="true" outlineLevel="0" collapsed="false">
      <c r="A3365" s="8" t="s">
        <v>1081</v>
      </c>
      <c r="B3365" s="8" t="s">
        <v>191</v>
      </c>
      <c r="C3365" s="19" t="n">
        <v>1</v>
      </c>
      <c r="D3365" s="19" t="n">
        <v>0.04</v>
      </c>
      <c r="E3365" s="19" t="n">
        <v>0</v>
      </c>
      <c r="F3365" s="19" t="n">
        <v>0</v>
      </c>
      <c r="G3365" s="8" t="str">
        <f aca="false">IFERROR(INDEX('TRANS'!$B:$B,MATCH($B3365,'TRANS'!$A:$A,0)),IFERROR(INDEX('TRANS'!$B:$B,MATCH(TRIM(SUBSTITUTE($B3365,CHAR(160)," ")),'TRANS'!$D:$D,0)),IFERROR(INDEX('Catalog'!$A:$A,MATCH($B3365,'Catalog'!$B:$B,0)),IFERROR(INDEX('Catalog'!$A:$A,MATCH(TRIM(SUBSTITUTE($B3365,CHAR(160)," ")),'Catalog'!$C:$C,0)),""))))</f>
        <v/>
      </c>
      <c r="H3365" s="8" t="str">
        <f aca="false">IFERROR(INDEX('TRANS'!$C:$C,MATCH($B3365,'TRANS'!$A:$A,0)),IFERROR(INDEX('Catalog'!$B:$B,MATCH($G3365,'Catalog'!$A:$A,0)),$B3365))</f>
        <v>391W-35-38</v>
      </c>
      <c r="I3365" s="8" t="str">
        <f aca="false">IF($G3365="","Unmatched","Matched")</f>
        <v>Unmatched</v>
      </c>
      <c r="J3365" s="8" t="str">
        <f aca="false">IF($G3365&lt;&gt;"",$G3365,$B3365)</f>
        <v>391W-35-38</v>
      </c>
      <c r="K3365" s="8" t="str">
        <f aca="false">IF(COUNTIF($M$1:$M$10,$A3365)&gt;0,"Y","N")</f>
        <v>N</v>
      </c>
    </row>
    <row r="3366" customFormat="false" ht="15" hidden="false" customHeight="true" outlineLevel="0" collapsed="false">
      <c r="A3366" s="8" t="s">
        <v>1081</v>
      </c>
      <c r="B3366" s="8" t="s">
        <v>82</v>
      </c>
      <c r="C3366" s="19" t="n">
        <v>1</v>
      </c>
      <c r="D3366" s="19" t="n">
        <v>0.04</v>
      </c>
      <c r="E3366" s="19" t="n">
        <v>0</v>
      </c>
      <c r="F3366" s="19" t="n">
        <v>0</v>
      </c>
      <c r="G3366" s="8" t="str">
        <f aca="false">IFERROR(INDEX('TRANS'!$B:$B,MATCH($B3366,'TRANS'!$A:$A,0)),IFERROR(INDEX('TRANS'!$B:$B,MATCH(TRIM(SUBSTITUTE($B3366,CHAR(160)," ")),'TRANS'!$D:$D,0)),IFERROR(INDEX('Catalog'!$A:$A,MATCH($B3366,'Catalog'!$B:$B,0)),IFERROR(INDEX('Catalog'!$A:$A,MATCH(TRIM(SUBSTITUTE($B3366,CHAR(160)," ")),'Catalog'!$C:$C,0)),""))))</f>
        <v/>
      </c>
      <c r="H3366" s="8" t="str">
        <f aca="false">IFERROR(INDEX('TRANS'!$C:$C,MATCH($B3366,'TRANS'!$A:$A,0)),IFERROR(INDEX('Catalog'!$B:$B,MATCH($G3366,'Catalog'!$A:$A,0)),$B3366))</f>
        <v>395B-35-38</v>
      </c>
      <c r="I3366" s="8" t="str">
        <f aca="false">IF($G3366="","Unmatched","Matched")</f>
        <v>Unmatched</v>
      </c>
      <c r="J3366" s="8" t="str">
        <f aca="false">IF($G3366&lt;&gt;"",$G3366,$B3366)</f>
        <v>395B-35-38</v>
      </c>
      <c r="K3366" s="8" t="str">
        <f aca="false">IF(COUNTIF($M$1:$M$10,$A3366)&gt;0,"Y","N")</f>
        <v>N</v>
      </c>
    </row>
    <row r="3367" customFormat="false" ht="15" hidden="false" customHeight="true" outlineLevel="0" collapsed="false">
      <c r="A3367" s="8" t="s">
        <v>1081</v>
      </c>
      <c r="B3367" s="8" t="s">
        <v>669</v>
      </c>
      <c r="C3367" s="19" t="n">
        <v>1</v>
      </c>
      <c r="D3367" s="19" t="n">
        <v>0.04</v>
      </c>
      <c r="E3367" s="19" t="n">
        <v>0</v>
      </c>
      <c r="F3367" s="19" t="n">
        <v>0</v>
      </c>
      <c r="G3367" s="8" t="n">
        <f aca="false">IFERROR(INDEX('TRANS'!$B:$B,MATCH($B3367,'TRANS'!$A:$A,0)),IFERROR(INDEX('TRANS'!$B:$B,MATCH(TRIM(SUBSTITUTE($B3367,CHAR(160)," ")),'TRANS'!$D:$D,0)),IFERROR(INDEX('Catalog'!$A:$A,MATCH($B3367,'Catalog'!$B:$B,0)),IFERROR(INDEX('Catalog'!$A:$A,MATCH(TRIM(SUBSTITUTE($B3367,CHAR(160)," ")),'Catalog'!$C:$C,0)),""))))</f>
        <v>4403043</v>
      </c>
      <c r="H3367" s="8" t="str">
        <f aca="false">IFERROR(INDEX('TRANS'!$C:$C,MATCH($B3367,'TRANS'!$A:$A,0)),IFERROR(INDEX('Catalog'!$B:$B,MATCH($G3367,'Catalog'!$A:$A,0)),$B3367))</f>
        <v>397A-גרבי טיסה אנטי בקטרי43-46</v>
      </c>
      <c r="I3367" s="8" t="str">
        <f aca="false">IF($G3367="","Unmatched","Matched")</f>
        <v>Matched</v>
      </c>
      <c r="J3367" s="8" t="n">
        <f aca="false">IF($G3367&lt;&gt;"",$G3367,$B3367)</f>
        <v>4403043</v>
      </c>
      <c r="K3367" s="8" t="str">
        <f aca="false">IF(COUNTIF($M$1:$M$10,$A3367)&gt;0,"Y","N")</f>
        <v>N</v>
      </c>
    </row>
    <row r="3368" customFormat="false" ht="15" hidden="false" customHeight="true" outlineLevel="0" collapsed="false">
      <c r="A3368" s="8" t="s">
        <v>1081</v>
      </c>
      <c r="B3368" s="8" t="s">
        <v>696</v>
      </c>
      <c r="C3368" s="19" t="n">
        <v>2200</v>
      </c>
      <c r="D3368" s="19" t="n">
        <v>24114.82</v>
      </c>
      <c r="E3368" s="19" t="n">
        <v>2500</v>
      </c>
      <c r="F3368" s="19" t="n">
        <v>24534.97</v>
      </c>
      <c r="G3368" s="8" t="n">
        <f aca="false">IFERROR(INDEX('TRANS'!$B:$B,MATCH($B3368,'TRANS'!$A:$A,0)),IFERROR(INDEX('TRANS'!$B:$B,MATCH(TRIM(SUBSTITUTE($B3368,CHAR(160)," ")),'TRANS'!$D:$D,0)),IFERROR(INDEX('Catalog'!$A:$A,MATCH($B3368,'Catalog'!$B:$B,0)),IFERROR(INDEX('Catalog'!$A:$A,MATCH(TRIM(SUBSTITUTE($B3368,CHAR(160)," ")),'Catalog'!$C:$C,0)),""))))</f>
        <v>4422000</v>
      </c>
      <c r="H3368" s="8" t="str">
        <f aca="false">IFERROR(INDEX('TRANS'!$C:$C,MATCH($B3368,'TRANS'!$A:$A,0)),IFERROR(INDEX('Catalog'!$B:$B,MATCH($G3368,'Catalog'!$A:$A,0)),$B3368))</f>
        <v>801  תחבושת אלסטית מקררת</v>
      </c>
      <c r="I3368" s="8" t="str">
        <f aca="false">IF($G3368="","Unmatched","Matched")</f>
        <v>Matched</v>
      </c>
      <c r="J3368" s="8" t="n">
        <f aca="false">IF($G3368&lt;&gt;"",$G3368,$B3368)</f>
        <v>4422000</v>
      </c>
      <c r="K3368" s="8" t="str">
        <f aca="false">IF(COUNTIF($M$1:$M$10,$A3368)&gt;0,"Y","N")</f>
        <v>N</v>
      </c>
    </row>
    <row r="3369" customFormat="false" ht="15" hidden="false" customHeight="true" outlineLevel="0" collapsed="false">
      <c r="A3369" s="8" t="s">
        <v>1081</v>
      </c>
      <c r="B3369" s="8" t="s">
        <v>742</v>
      </c>
      <c r="C3369" s="19" t="n">
        <v>300</v>
      </c>
      <c r="D3369" s="19" t="n">
        <v>2677</v>
      </c>
      <c r="E3369" s="19" t="n">
        <v>190</v>
      </c>
      <c r="F3369" s="19" t="n">
        <v>1509.87</v>
      </c>
      <c r="G3369" s="8" t="n">
        <f aca="false">IFERROR(INDEX('TRANS'!$B:$B,MATCH($B3369,'TRANS'!$A:$A,0)),IFERROR(INDEX('TRANS'!$B:$B,MATCH(TRIM(SUBSTITUTE($B3369,CHAR(160)," ")),'TRANS'!$D:$D,0)),IFERROR(INDEX('Catalog'!$A:$A,MATCH($B3369,'Catalog'!$B:$B,0)),IFERROR(INDEX('Catalog'!$A:$A,MATCH(TRIM(SUBSTITUTE($B3369,CHAR(160)," ")),'Catalog'!$C:$C,0)),""))))</f>
        <v>4419006</v>
      </c>
      <c r="H3369" s="8" t="str">
        <f aca="false">IFERROR(INDEX('TRANS'!$C:$C,MATCH($B3369,'TRANS'!$A:$A,0)),IFERROR(INDEX('Catalog'!$B:$B,MATCH($G3369,'Catalog'!$A:$A,0)),$B3369))</f>
        <v>PD340-קוצץ ציפורניים</v>
      </c>
      <c r="I3369" s="8" t="str">
        <f aca="false">IF($G3369="","Unmatched","Matched")</f>
        <v>Matched</v>
      </c>
      <c r="J3369" s="8" t="n">
        <f aca="false">IF($G3369&lt;&gt;"",$G3369,$B3369)</f>
        <v>4419006</v>
      </c>
      <c r="K3369" s="8" t="str">
        <f aca="false">IF(COUNTIF($M$1:$M$10,$A3369)&gt;0,"Y","N")</f>
        <v>N</v>
      </c>
    </row>
    <row r="3370" customFormat="false" ht="15" hidden="false" customHeight="true" outlineLevel="0" collapsed="false">
      <c r="A3370" s="8" t="s">
        <v>1081</v>
      </c>
      <c r="B3370" s="8" t="s">
        <v>744</v>
      </c>
      <c r="C3370" s="19" t="n">
        <v>90</v>
      </c>
      <c r="D3370" s="19" t="n">
        <v>1369.04</v>
      </c>
      <c r="E3370" s="19" t="n">
        <v>120</v>
      </c>
      <c r="F3370" s="19" t="n">
        <v>1612.97</v>
      </c>
      <c r="G3370" s="8" t="n">
        <f aca="false">IFERROR(INDEX('TRANS'!$B:$B,MATCH($B3370,'TRANS'!$A:$A,0)),IFERROR(INDEX('TRANS'!$B:$B,MATCH(TRIM(SUBSTITUTE($B3370,CHAR(160)," ")),'TRANS'!$D:$D,0)),IFERROR(INDEX('Catalog'!$A:$A,MATCH($B3370,'Catalog'!$B:$B,0)),IFERROR(INDEX('Catalog'!$A:$A,MATCH(TRIM(SUBSTITUTE($B3370,CHAR(160)," ")),'Catalog'!$C:$C,0)),""))))</f>
        <v>4417000</v>
      </c>
      <c r="H3370" s="8" t="str">
        <f aca="false">IFERROR(INDEX('TRANS'!$C:$C,MATCH($B3370,'TRANS'!$A:$A,0)),IFERROR(INDEX('Catalog'!$B:$B,MATCH($G3370,'Catalog'!$A:$A,0)),$B3370))</f>
        <v>PD342-פומפיה להסרת עור קשה</v>
      </c>
      <c r="I3370" s="8" t="str">
        <f aca="false">IF($G3370="","Unmatched","Matched")</f>
        <v>Matched</v>
      </c>
      <c r="J3370" s="8" t="n">
        <f aca="false">IF($G3370&lt;&gt;"",$G3370,$B3370)</f>
        <v>4417000</v>
      </c>
      <c r="K3370" s="8" t="str">
        <f aca="false">IF(COUNTIF($M$1:$M$10,$A3370)&gt;0,"Y","N")</f>
        <v>N</v>
      </c>
    </row>
    <row r="3371" customFormat="false" ht="15" hidden="false" customHeight="true" outlineLevel="0" collapsed="false">
      <c r="A3371" s="8" t="s">
        <v>1081</v>
      </c>
      <c r="B3371" s="8" t="s">
        <v>745</v>
      </c>
      <c r="C3371" s="19" t="n">
        <v>4400</v>
      </c>
      <c r="D3371" s="19" t="n">
        <v>20662.34</v>
      </c>
      <c r="E3371" s="19" t="n">
        <v>5700</v>
      </c>
      <c r="F3371" s="19" t="n">
        <v>24290.34</v>
      </c>
      <c r="G3371" s="8" t="n">
        <f aca="false">IFERROR(INDEX('TRANS'!$B:$B,MATCH($B3371,'TRANS'!$A:$A,0)),IFERROR(INDEX('TRANS'!$B:$B,MATCH(TRIM(SUBSTITUTE($B3371,CHAR(160)," ")),'TRANS'!$D:$D,0)),IFERROR(INDEX('Catalog'!$A:$A,MATCH($B3371,'Catalog'!$B:$B,0)),IFERROR(INDEX('Catalog'!$A:$A,MATCH(TRIM(SUBSTITUTE($B3371,CHAR(160)," ")),'Catalog'!$C:$C,0)),""))))</f>
        <v>4401002</v>
      </c>
      <c r="H3371" s="8" t="str">
        <f aca="false">IFERROR(INDEX('TRANS'!$C:$C,MATCH($B3371,'TRANS'!$A:$A,0)),IFERROR(INDEX('Catalog'!$B:$B,MATCH($G3371,'Catalog'!$A:$A,0)),$B3371))</f>
        <v>PD 344-אבן טבעית להסרת עור קשה</v>
      </c>
      <c r="I3371" s="8" t="str">
        <f aca="false">IF($G3371="","Unmatched","Matched")</f>
        <v>Matched</v>
      </c>
      <c r="J3371" s="8" t="n">
        <f aca="false">IF($G3371&lt;&gt;"",$G3371,$B3371)</f>
        <v>4401002</v>
      </c>
      <c r="K3371" s="8" t="str">
        <f aca="false">IF(COUNTIF($M$1:$M$10,$A3371)&gt;0,"Y","N")</f>
        <v>N</v>
      </c>
    </row>
    <row r="3372" customFormat="false" ht="15" hidden="false" customHeight="true" outlineLevel="0" collapsed="false">
      <c r="A3372" s="8" t="s">
        <v>1081</v>
      </c>
      <c r="B3372" s="8" t="s">
        <v>895</v>
      </c>
      <c r="C3372" s="19" t="n">
        <v>7</v>
      </c>
      <c r="D3372" s="19" t="n">
        <v>186.01</v>
      </c>
      <c r="E3372" s="19" t="n">
        <v>6</v>
      </c>
      <c r="F3372" s="19" t="n">
        <v>154.54</v>
      </c>
      <c r="G3372" s="8" t="n">
        <f aca="false">IFERROR(INDEX('TRANS'!$B:$B,MATCH($B3372,'TRANS'!$A:$A,0)),IFERROR(INDEX('TRANS'!$B:$B,MATCH(TRIM(SUBSTITUTE($B3372,CHAR(160)," ")),'TRANS'!$D:$D,0)),IFERROR(INDEX('Catalog'!$A:$A,MATCH($B3372,'Catalog'!$B:$B,0)),IFERROR(INDEX('Catalog'!$A:$A,MATCH(TRIM(SUBSTITUTE($B3372,CHAR(160)," ")),'Catalog'!$C:$C,0)),""))))</f>
        <v>4408270</v>
      </c>
      <c r="H3372" s="8" t="str">
        <f aca="false">IFERROR(INDEX('TRANS'!$C:$C,MATCH($B3372,'TRANS'!$A:$A,0)),IFERROR(INDEX('Catalog'!$B:$B,MATCH($G3372,'Catalog'!$A:$A,0)),$B3372))</f>
        <v>ST11  חגורת בטן</v>
      </c>
      <c r="I3372" s="8" t="str">
        <f aca="false">IF($G3372="","Unmatched","Matched")</f>
        <v>Matched</v>
      </c>
      <c r="J3372" s="8" t="n">
        <f aca="false">IF($G3372&lt;&gt;"",$G3372,$B3372)</f>
        <v>4408270</v>
      </c>
      <c r="K3372" s="8" t="str">
        <f aca="false">IF(COUNTIF($M$1:$M$10,$A3372)&gt;0,"Y","N")</f>
        <v>N</v>
      </c>
    </row>
    <row r="3373" customFormat="false" ht="15" hidden="false" customHeight="true" outlineLevel="0" collapsed="false">
      <c r="A3373" s="8" t="s">
        <v>1081</v>
      </c>
      <c r="B3373" s="8" t="s">
        <v>897</v>
      </c>
      <c r="C3373" s="19" t="n">
        <v>190</v>
      </c>
      <c r="D3373" s="19" t="n">
        <v>2727.88</v>
      </c>
      <c r="E3373" s="19" t="n">
        <v>150</v>
      </c>
      <c r="F3373" s="19" t="n">
        <v>1935.43</v>
      </c>
      <c r="G3373" s="8" t="n">
        <f aca="false">IFERROR(INDEX('TRANS'!$B:$B,MATCH($B3373,'TRANS'!$A:$A,0)),IFERROR(INDEX('TRANS'!$B:$B,MATCH(TRIM(SUBSTITUTE($B3373,CHAR(160)," ")),'TRANS'!$D:$D,0)),IFERROR(INDEX('Catalog'!$A:$A,MATCH($B3373,'Catalog'!$B:$B,0)),IFERROR(INDEX('Catalog'!$A:$A,MATCH(TRIM(SUBSTITUTE($B3373,CHAR(160)," ")),'Catalog'!$C:$C,0)),""))))</f>
        <v>4408267</v>
      </c>
      <c r="H3373" s="8" t="str">
        <f aca="false">IFERROR(INDEX('TRANS'!$C:$C,MATCH($B3373,'TRANS'!$A:$A,0)),IFERROR(INDEX('Catalog'!$B:$B,MATCH($G3373,'Catalog'!$A:$A,0)),$B3373))</f>
        <v>ST25 חבק שורש לכף היד</v>
      </c>
      <c r="I3373" s="8" t="str">
        <f aca="false">IF($G3373="","Unmatched","Matched")</f>
        <v>Matched</v>
      </c>
      <c r="J3373" s="8" t="n">
        <f aca="false">IF($G3373&lt;&gt;"",$G3373,$B3373)</f>
        <v>4408267</v>
      </c>
      <c r="K3373" s="8" t="str">
        <f aca="false">IF(COUNTIF($M$1:$M$10,$A3373)&gt;0,"Y","N")</f>
        <v>N</v>
      </c>
    </row>
    <row r="3374" customFormat="false" ht="15" hidden="false" customHeight="true" outlineLevel="0" collapsed="false">
      <c r="A3374" s="8" t="s">
        <v>1081</v>
      </c>
      <c r="B3374" s="8" t="s">
        <v>74</v>
      </c>
      <c r="C3374" s="19" t="n">
        <v>10</v>
      </c>
      <c r="D3374" s="19" t="n">
        <v>183.25</v>
      </c>
      <c r="E3374" s="19" t="n">
        <v>20</v>
      </c>
      <c r="F3374" s="19" t="n">
        <v>342.22</v>
      </c>
      <c r="G3374" s="8" t="str">
        <f aca="false">IFERROR(INDEX('TRANS'!$B:$B,MATCH($B3374,'TRANS'!$A:$A,0)),IFERROR(INDEX('TRANS'!$B:$B,MATCH(TRIM(SUBSTITUTE($B3374,CHAR(160)," ")),'TRANS'!$D:$D,0)),IFERROR(INDEX('Catalog'!$A:$A,MATCH($B3374,'Catalog'!$B:$B,0)),IFERROR(INDEX('Catalog'!$A:$A,MATCH(TRIM(SUBSTITUTE($B3374,CHAR(160)," ")),'Catalog'!$C:$C,0)),""))))</f>
        <v/>
      </c>
      <c r="H3374" s="8" t="str">
        <f aca="false">IFERROR(INDEX('TRANS'!$C:$C,MATCH($B3374,'TRANS'!$A:$A,0)),IFERROR(INDEX('Catalog'!$B:$B,MATCH($G3374,'Catalog'!$A:$A,0)),$B3374))</f>
        <v>ST27L 0</v>
      </c>
      <c r="I3374" s="8" t="str">
        <f aca="false">IF($G3374="","Unmatched","Matched")</f>
        <v>Unmatched</v>
      </c>
      <c r="J3374" s="8" t="str">
        <f aca="false">IF($G3374&lt;&gt;"",$G3374,$B3374)</f>
        <v>ST27L 0</v>
      </c>
      <c r="K3374" s="8" t="str">
        <f aca="false">IF(COUNTIF($M$1:$M$10,$A3374)&gt;0,"Y","N")</f>
        <v>N</v>
      </c>
    </row>
    <row r="3375" customFormat="false" ht="15" hidden="false" customHeight="true" outlineLevel="0" collapsed="false">
      <c r="A3375" s="8" t="s">
        <v>1081</v>
      </c>
      <c r="B3375" s="8" t="s">
        <v>70</v>
      </c>
      <c r="C3375" s="19" t="n">
        <v>10</v>
      </c>
      <c r="D3375" s="19" t="n">
        <v>183.25</v>
      </c>
      <c r="E3375" s="19" t="n">
        <v>20</v>
      </c>
      <c r="F3375" s="19" t="n">
        <v>342.22</v>
      </c>
      <c r="G3375" s="8" t="str">
        <f aca="false">IFERROR(INDEX('TRANS'!$B:$B,MATCH($B3375,'TRANS'!$A:$A,0)),IFERROR(INDEX('TRANS'!$B:$B,MATCH(TRIM(SUBSTITUTE($B3375,CHAR(160)," ")),'TRANS'!$D:$D,0)),IFERROR(INDEX('Catalog'!$A:$A,MATCH($B3375,'Catalog'!$B:$B,0)),IFERROR(INDEX('Catalog'!$A:$A,MATCH(TRIM(SUBSTITUTE($B3375,CHAR(160)," ")),'Catalog'!$C:$C,0)),""))))</f>
        <v/>
      </c>
      <c r="H3375" s="8" t="str">
        <f aca="false">IFERROR(INDEX('TRANS'!$C:$C,MATCH($B3375,'TRANS'!$A:$A,0)),IFERROR(INDEX('Catalog'!$B:$B,MATCH($G3375,'Catalog'!$A:$A,0)),$B3375))</f>
        <v>ST27R 0</v>
      </c>
      <c r="I3375" s="8" t="str">
        <f aca="false">IF($G3375="","Unmatched","Matched")</f>
        <v>Unmatched</v>
      </c>
      <c r="J3375" s="8" t="str">
        <f aca="false">IF($G3375&lt;&gt;"",$G3375,$B3375)</f>
        <v>ST27R 0</v>
      </c>
      <c r="K3375" s="8" t="str">
        <f aca="false">IF(COUNTIF($M$1:$M$10,$A3375)&gt;0,"Y","N")</f>
        <v>N</v>
      </c>
    </row>
    <row r="3376" customFormat="false" ht="15" hidden="false" customHeight="true" outlineLevel="0" collapsed="false">
      <c r="A3376" s="8" t="s">
        <v>1081</v>
      </c>
      <c r="B3376" s="8" t="s">
        <v>899</v>
      </c>
      <c r="C3376" s="19" t="n">
        <v>60</v>
      </c>
      <c r="D3376" s="19" t="n">
        <v>1061.29</v>
      </c>
      <c r="E3376" s="19" t="n">
        <v>0</v>
      </c>
      <c r="F3376" s="19" t="n">
        <v>0</v>
      </c>
      <c r="G3376" s="8" t="n">
        <f aca="false">IFERROR(INDEX('TRANS'!$B:$B,MATCH($B3376,'TRANS'!$A:$A,0)),IFERROR(INDEX('TRANS'!$B:$B,MATCH(TRIM(SUBSTITUTE($B3376,CHAR(160)," ")),'TRANS'!$D:$D,0)),IFERROR(INDEX('Catalog'!$A:$A,MATCH($B3376,'Catalog'!$B:$B,0)),IFERROR(INDEX('Catalog'!$A:$A,MATCH(TRIM(SUBSTITUTE($B3376,CHAR(160)," ")),'Catalog'!$C:$C,0)),""))))</f>
        <v>4408269</v>
      </c>
      <c r="H3376" s="8" t="str">
        <f aca="false">IFERROR(INDEX('TRANS'!$C:$C,MATCH($B3376,'TRANS'!$A:$A,0)),IFERROR(INDEX('Catalog'!$B:$B,MATCH($G3376,'Catalog'!$A:$A,0)),$B3376))</f>
        <v>ST37 חבק לקרסול</v>
      </c>
      <c r="I3376" s="8" t="str">
        <f aca="false">IF($G3376="","Unmatched","Matched")</f>
        <v>Matched</v>
      </c>
      <c r="J3376" s="8" t="n">
        <f aca="false">IF($G3376&lt;&gt;"",$G3376,$B3376)</f>
        <v>4408269</v>
      </c>
      <c r="K3376" s="8" t="str">
        <f aca="false">IF(COUNTIF($M$1:$M$10,$A3376)&gt;0,"Y","N")</f>
        <v>N</v>
      </c>
    </row>
    <row r="3377" customFormat="false" ht="15" hidden="false" customHeight="true" outlineLevel="0" collapsed="false">
      <c r="A3377" s="8" t="s">
        <v>1081</v>
      </c>
      <c r="B3377" s="8" t="s">
        <v>80</v>
      </c>
      <c r="C3377" s="19" t="n">
        <v>110</v>
      </c>
      <c r="D3377" s="19" t="n">
        <v>2049.75</v>
      </c>
      <c r="E3377" s="19" t="n">
        <v>80</v>
      </c>
      <c r="F3377" s="19" t="n">
        <v>1431.27</v>
      </c>
      <c r="G3377" s="8" t="str">
        <f aca="false">IFERROR(INDEX('TRANS'!$B:$B,MATCH($B3377,'TRANS'!$A:$A,0)),IFERROR(INDEX('TRANS'!$B:$B,MATCH(TRIM(SUBSTITUTE($B3377,CHAR(160)," ")),'TRANS'!$D:$D,0)),IFERROR(INDEX('Catalog'!$A:$A,MATCH($B3377,'Catalog'!$B:$B,0)),IFERROR(INDEX('Catalog'!$A:$A,MATCH(TRIM(SUBSTITUTE($B3377,CHAR(160)," ")),'Catalog'!$C:$C,0)),""))))</f>
        <v/>
      </c>
      <c r="H3377" s="8" t="str">
        <f aca="false">IFERROR(INDEX('TRANS'!$C:$C,MATCH($B3377,'TRANS'!$A:$A,0)),IFERROR(INDEX('Catalog'!$B:$B,MATCH($G3377,'Catalog'!$A:$A,0)),$B3377))</f>
        <v>ST45X 0</v>
      </c>
      <c r="I3377" s="8" t="str">
        <f aca="false">IF($G3377="","Unmatched","Matched")</f>
        <v>Unmatched</v>
      </c>
      <c r="J3377" s="8" t="str">
        <f aca="false">IF($G3377&lt;&gt;"",$G3377,$B3377)</f>
        <v>ST45X 0</v>
      </c>
      <c r="K3377" s="8" t="str">
        <f aca="false">IF(COUNTIF($M$1:$M$10,$A3377)&gt;0,"Y","N")</f>
        <v>N</v>
      </c>
    </row>
    <row r="3378" customFormat="false" ht="15" hidden="false" customHeight="true" outlineLevel="0" collapsed="false">
      <c r="A3378" s="8" t="s">
        <v>1081</v>
      </c>
      <c r="B3378" s="8" t="s">
        <v>1080</v>
      </c>
      <c r="C3378" s="19" t="n">
        <v>20</v>
      </c>
      <c r="D3378" s="19" t="n">
        <v>412.16</v>
      </c>
      <c r="E3378" s="19" t="n">
        <v>50</v>
      </c>
      <c r="F3378" s="19" t="n">
        <v>981.53</v>
      </c>
      <c r="G3378" s="8" t="str">
        <f aca="false">IFERROR(INDEX('TRANS'!$B:$B,MATCH($B3378,'TRANS'!$A:$A,0)),IFERROR(INDEX('TRANS'!$B:$B,MATCH(TRIM(SUBSTITUTE($B3378,CHAR(160)," ")),'TRANS'!$D:$D,0)),IFERROR(INDEX('Catalog'!$A:$A,MATCH($B3378,'Catalog'!$B:$B,0)),IFERROR(INDEX('Catalog'!$A:$A,MATCH(TRIM(SUBSTITUTE($B3378,CHAR(160)," ")),'Catalog'!$C:$C,0)),""))))</f>
        <v/>
      </c>
      <c r="H3378" s="8" t="str">
        <f aca="false">IFERROR(INDEX('TRANS'!$C:$C,MATCH($B3378,'TRANS'!$A:$A,0)),IFERROR(INDEX('Catalog'!$B:$B,MATCH($G3378,'Catalog'!$A:$A,0)),$B3378))</f>
        <v>ST95 0</v>
      </c>
      <c r="I3378" s="8" t="str">
        <f aca="false">IF($G3378="","Unmatched","Matched")</f>
        <v>Unmatched</v>
      </c>
      <c r="J3378" s="8" t="str">
        <f aca="false">IF($G3378&lt;&gt;"",$G3378,$B3378)</f>
        <v>ST95 0</v>
      </c>
      <c r="K3378" s="8" t="str">
        <f aca="false">IF(COUNTIF($M$1:$M$10,$A3378)&gt;0,"Y","N")</f>
        <v>N</v>
      </c>
    </row>
    <row r="3379" customFormat="false" ht="15" hidden="false" customHeight="true" outlineLevel="0" collapsed="false">
      <c r="A3379" s="8" t="s">
        <v>1082</v>
      </c>
      <c r="B3379" s="8" t="s">
        <v>950</v>
      </c>
      <c r="C3379" s="19" t="n">
        <v>10</v>
      </c>
      <c r="D3379" s="19" t="n">
        <v>700.18</v>
      </c>
      <c r="E3379" s="19" t="n">
        <v>0</v>
      </c>
      <c r="F3379" s="19" t="n">
        <v>0</v>
      </c>
      <c r="G3379" s="8" t="n">
        <f aca="false">IFERROR(INDEX('TRANS'!$B:$B,MATCH($B3379,'TRANS'!$A:$A,0)),IFERROR(INDEX('TRANS'!$B:$B,MATCH(TRIM(SUBSTITUTE($B3379,CHAR(160)," ")),'TRANS'!$D:$D,0)),IFERROR(INDEX('Catalog'!$A:$A,MATCH($B3379,'Catalog'!$B:$B,0)),IFERROR(INDEX('Catalog'!$A:$A,MATCH(TRIM(SUBSTITUTE($B3379,CHAR(160)," ")),'Catalog'!$C:$C,0)),""))))</f>
        <v>4408245</v>
      </c>
      <c r="H3379" s="8" t="str">
        <f aca="false">IFERROR(INDEX('TRANS'!$C:$C,MATCH($B3379,'TRANS'!$A:$A,0)),IFERROR(INDEX('Catalog'!$B:$B,MATCH($G3379,'Catalog'!$A:$A,0)),$B3379))</f>
        <v>077A   XXL חגורת גב עם חיזוקים</v>
      </c>
      <c r="I3379" s="8" t="str">
        <f aca="false">IF($G3379="","Unmatched","Matched")</f>
        <v>Matched</v>
      </c>
      <c r="J3379" s="8" t="n">
        <f aca="false">IF($G3379&lt;&gt;"",$G3379,$B3379)</f>
        <v>4408245</v>
      </c>
      <c r="K3379" s="8" t="str">
        <f aca="false">IF(COUNTIF($M$1:$M$10,$A3379)&gt;0,"Y","N")</f>
        <v>N</v>
      </c>
    </row>
    <row r="3380" customFormat="false" ht="15" hidden="false" customHeight="true" outlineLevel="0" collapsed="false">
      <c r="A3380" s="8" t="s">
        <v>1082</v>
      </c>
      <c r="B3380" s="8" t="s">
        <v>913</v>
      </c>
      <c r="C3380" s="19" t="n">
        <v>30</v>
      </c>
      <c r="D3380" s="19" t="n">
        <v>2100.53</v>
      </c>
      <c r="E3380" s="19" t="n">
        <v>0</v>
      </c>
      <c r="F3380" s="19" t="n">
        <v>0</v>
      </c>
      <c r="G3380" s="8" t="n">
        <f aca="false">IFERROR(INDEX('TRANS'!$B:$B,MATCH($B3380,'TRANS'!$A:$A,0)),IFERROR(INDEX('TRANS'!$B:$B,MATCH(TRIM(SUBSTITUTE($B3380,CHAR(160)," ")),'TRANS'!$D:$D,0)),IFERROR(INDEX('Catalog'!$A:$A,MATCH($B3380,'Catalog'!$B:$B,0)),IFERROR(INDEX('Catalog'!$A:$A,MATCH(TRIM(SUBSTITUTE($B3380,CHAR(160)," ")),'Catalog'!$C:$C,0)),""))))</f>
        <v>4408135</v>
      </c>
      <c r="H3380" s="8" t="str">
        <f aca="false">IFERROR(INDEX('TRANS'!$C:$C,MATCH($B3380,'TRANS'!$A:$A,0)),IFERROR(INDEX('Catalog'!$B:$B,MATCH($G3380,'Catalog'!$A:$A,0)),$B3380))</f>
        <v>077A L-XLחגורת גב</v>
      </c>
      <c r="I3380" s="8" t="str">
        <f aca="false">IF($G3380="","Unmatched","Matched")</f>
        <v>Matched</v>
      </c>
      <c r="J3380" s="8" t="n">
        <f aca="false">IF($G3380&lt;&gt;"",$G3380,$B3380)</f>
        <v>4408135</v>
      </c>
      <c r="K3380" s="8" t="str">
        <f aca="false">IF(COUNTIF($M$1:$M$10,$A3380)&gt;0,"Y","N")</f>
        <v>N</v>
      </c>
    </row>
    <row r="3381" customFormat="false" ht="15" hidden="false" customHeight="true" outlineLevel="0" collapsed="false">
      <c r="A3381" s="8" t="s">
        <v>1082</v>
      </c>
      <c r="B3381" s="8" t="s">
        <v>914</v>
      </c>
      <c r="C3381" s="19" t="n">
        <v>20</v>
      </c>
      <c r="D3381" s="19" t="n">
        <v>1400.36</v>
      </c>
      <c r="E3381" s="19" t="n">
        <v>0</v>
      </c>
      <c r="F3381" s="19" t="n">
        <v>0</v>
      </c>
      <c r="G3381" s="8" t="n">
        <f aca="false">IFERROR(INDEX('TRANS'!$B:$B,MATCH($B3381,'TRANS'!$A:$A,0)),IFERROR(INDEX('TRANS'!$B:$B,MATCH(TRIM(SUBSTITUTE($B3381,CHAR(160)," ")),'TRANS'!$D:$D,0)),IFERROR(INDEX('Catalog'!$A:$A,MATCH($B3381,'Catalog'!$B:$B,0)),IFERROR(INDEX('Catalog'!$A:$A,MATCH(TRIM(SUBSTITUTE($B3381,CHAR(160)," ")),'Catalog'!$C:$C,0)),""))))</f>
        <v>4408134</v>
      </c>
      <c r="H3381" s="8" t="str">
        <f aca="false">IFERROR(INDEX('TRANS'!$C:$C,MATCH($B3381,'TRANS'!$A:$A,0)),IFERROR(INDEX('Catalog'!$B:$B,MATCH($G3381,'Catalog'!$A:$A,0)),$B3381))</f>
        <v>077A S-M חגורת גב</v>
      </c>
      <c r="I3381" s="8" t="str">
        <f aca="false">IF($G3381="","Unmatched","Matched")</f>
        <v>Matched</v>
      </c>
      <c r="J3381" s="8" t="n">
        <f aca="false">IF($G3381&lt;&gt;"",$G3381,$B3381)</f>
        <v>4408134</v>
      </c>
      <c r="K3381" s="8" t="str">
        <f aca="false">IF(COUNTIF($M$1:$M$10,$A3381)&gt;0,"Y","N")</f>
        <v>N</v>
      </c>
    </row>
    <row r="3382" customFormat="false" ht="15" hidden="false" customHeight="true" outlineLevel="0" collapsed="false">
      <c r="A3382" s="8" t="s">
        <v>1082</v>
      </c>
      <c r="B3382" s="8" t="s">
        <v>775</v>
      </c>
      <c r="C3382" s="19" t="n">
        <v>20</v>
      </c>
      <c r="D3382" s="19" t="n">
        <v>1149.21</v>
      </c>
      <c r="E3382" s="19" t="n">
        <v>0</v>
      </c>
      <c r="F3382" s="19" t="n">
        <v>0</v>
      </c>
      <c r="G3382" s="8" t="n">
        <f aca="false">IFERROR(INDEX('TRANS'!$B:$B,MATCH($B3382,'TRANS'!$A:$A,0)),IFERROR(INDEX('TRANS'!$B:$B,MATCH(TRIM(SUBSTITUTE($B3382,CHAR(160)," ")),'TRANS'!$D:$D,0)),IFERROR(INDEX('Catalog'!$A:$A,MATCH($B3382,'Catalog'!$B:$B,0)),IFERROR(INDEX('Catalog'!$A:$A,MATCH(TRIM(SUBSTITUTE($B3382,CHAR(160)," ")),'Catalog'!$C:$C,0)),""))))</f>
        <v>4408221</v>
      </c>
      <c r="H3382" s="8" t="str">
        <f aca="false">IFERROR(INDEX('TRANS'!$C:$C,MATCH($B3382,'TRANS'!$A:$A,0)),IFERROR(INDEX('Catalog'!$B:$B,MATCH($G3382,'Catalog'!$A:$A,0)),$B3382))</f>
        <v>078G-L חגורת גב אפורה</v>
      </c>
      <c r="I3382" s="8" t="str">
        <f aca="false">IF($G3382="","Unmatched","Matched")</f>
        <v>Matched</v>
      </c>
      <c r="J3382" s="8" t="n">
        <f aca="false">IF($G3382&lt;&gt;"",$G3382,$B3382)</f>
        <v>4408221</v>
      </c>
      <c r="K3382" s="8" t="str">
        <f aca="false">IF(COUNTIF($M$1:$M$10,$A3382)&gt;0,"Y","N")</f>
        <v>N</v>
      </c>
    </row>
    <row r="3383" customFormat="false" ht="15" hidden="false" customHeight="true" outlineLevel="0" collapsed="false">
      <c r="A3383" s="8" t="s">
        <v>1082</v>
      </c>
      <c r="B3383" s="8" t="s">
        <v>563</v>
      </c>
      <c r="C3383" s="19" t="n">
        <v>15</v>
      </c>
      <c r="D3383" s="19" t="n">
        <v>861.91</v>
      </c>
      <c r="E3383" s="19" t="n">
        <v>0</v>
      </c>
      <c r="F3383" s="19" t="n">
        <v>0</v>
      </c>
      <c r="G3383" s="8" t="n">
        <f aca="false">IFERROR(INDEX('TRANS'!$B:$B,MATCH($B3383,'TRANS'!$A:$A,0)),IFERROR(INDEX('TRANS'!$B:$B,MATCH(TRIM(SUBSTITUTE($B3383,CHAR(160)," ")),'TRANS'!$D:$D,0)),IFERROR(INDEX('Catalog'!$A:$A,MATCH($B3383,'Catalog'!$B:$B,0)),IFERROR(INDEX('Catalog'!$A:$A,MATCH(TRIM(SUBSTITUTE($B3383,CHAR(160)," ")),'Catalog'!$C:$C,0)),""))))</f>
        <v>4408220</v>
      </c>
      <c r="H3383" s="8" t="str">
        <f aca="false">IFERROR(INDEX('TRANS'!$C:$C,MATCH($B3383,'TRANS'!$A:$A,0)),IFERROR(INDEX('Catalog'!$B:$B,MATCH($G3383,'Catalog'!$A:$A,0)),$B3383))</f>
        <v>078G-M חגורת גב אפורה</v>
      </c>
      <c r="I3383" s="8" t="str">
        <f aca="false">IF($G3383="","Unmatched","Matched")</f>
        <v>Matched</v>
      </c>
      <c r="J3383" s="8" t="n">
        <f aca="false">IF($G3383&lt;&gt;"",$G3383,$B3383)</f>
        <v>4408220</v>
      </c>
      <c r="K3383" s="8" t="str">
        <f aca="false">IF(COUNTIF($M$1:$M$10,$A3383)&gt;0,"Y","N")</f>
        <v>N</v>
      </c>
    </row>
    <row r="3384" customFormat="false" ht="15" hidden="false" customHeight="true" outlineLevel="0" collapsed="false">
      <c r="A3384" s="8" t="s">
        <v>1082</v>
      </c>
      <c r="B3384" s="8" t="s">
        <v>969</v>
      </c>
      <c r="C3384" s="19" t="n">
        <v>10</v>
      </c>
      <c r="D3384" s="19" t="n">
        <v>574.61</v>
      </c>
      <c r="E3384" s="19" t="n">
        <v>0</v>
      </c>
      <c r="F3384" s="19" t="n">
        <v>0</v>
      </c>
      <c r="G3384" s="8" t="n">
        <f aca="false">IFERROR(INDEX('TRANS'!$B:$B,MATCH($B3384,'TRANS'!$A:$A,0)),IFERROR(INDEX('TRANS'!$B:$B,MATCH(TRIM(SUBSTITUTE($B3384,CHAR(160)," ")),'TRANS'!$D:$D,0)),IFERROR(INDEX('Catalog'!$A:$A,MATCH($B3384,'Catalog'!$B:$B,0)),IFERROR(INDEX('Catalog'!$A:$A,MATCH(TRIM(SUBSTITUTE($B3384,CHAR(160)," ")),'Catalog'!$C:$C,0)),""))))</f>
        <v>4408219</v>
      </c>
      <c r="H3384" s="8" t="str">
        <f aca="false">IFERROR(INDEX('TRANS'!$C:$C,MATCH($B3384,'TRANS'!$A:$A,0)),IFERROR(INDEX('Catalog'!$B:$B,MATCH($G3384,'Catalog'!$A:$A,0)),$B3384))</f>
        <v>078G-S חגורת גב אפורה</v>
      </c>
      <c r="I3384" s="8" t="str">
        <f aca="false">IF($G3384="","Unmatched","Matched")</f>
        <v>Matched</v>
      </c>
      <c r="J3384" s="8" t="n">
        <f aca="false">IF($G3384&lt;&gt;"",$G3384,$B3384)</f>
        <v>4408219</v>
      </c>
      <c r="K3384" s="8" t="str">
        <f aca="false">IF(COUNTIF($M$1:$M$10,$A3384)&gt;0,"Y","N")</f>
        <v>N</v>
      </c>
    </row>
    <row r="3385" customFormat="false" ht="15" hidden="false" customHeight="true" outlineLevel="0" collapsed="false">
      <c r="A3385" s="8" t="s">
        <v>1082</v>
      </c>
      <c r="B3385" s="8" t="s">
        <v>776</v>
      </c>
      <c r="C3385" s="19" t="n">
        <v>20</v>
      </c>
      <c r="D3385" s="19" t="n">
        <v>1149.21</v>
      </c>
      <c r="E3385" s="19" t="n">
        <v>0</v>
      </c>
      <c r="F3385" s="19" t="n">
        <v>0</v>
      </c>
      <c r="G3385" s="8" t="n">
        <f aca="false">IFERROR(INDEX('TRANS'!$B:$B,MATCH($B3385,'TRANS'!$A:$A,0)),IFERROR(INDEX('TRANS'!$B:$B,MATCH(TRIM(SUBSTITUTE($B3385,CHAR(160)," ")),'TRANS'!$D:$D,0)),IFERROR(INDEX('Catalog'!$A:$A,MATCH($B3385,'Catalog'!$B:$B,0)),IFERROR(INDEX('Catalog'!$A:$A,MATCH(TRIM(SUBSTITUTE($B3385,CHAR(160)," ")),'Catalog'!$C:$C,0)),""))))</f>
        <v>4408222</v>
      </c>
      <c r="H3385" s="8" t="str">
        <f aca="false">IFERROR(INDEX('TRANS'!$C:$C,MATCH($B3385,'TRANS'!$A:$A,0)),IFERROR(INDEX('Catalog'!$B:$B,MATCH($G3385,'Catalog'!$A:$A,0)),$B3385))</f>
        <v>078G-XLחגורת גב אפורה</v>
      </c>
      <c r="I3385" s="8" t="str">
        <f aca="false">IF($G3385="","Unmatched","Matched")</f>
        <v>Matched</v>
      </c>
      <c r="J3385" s="8" t="n">
        <f aca="false">IF($G3385&lt;&gt;"",$G3385,$B3385)</f>
        <v>4408222</v>
      </c>
      <c r="K3385" s="8" t="str">
        <f aca="false">IF(COUNTIF($M$1:$M$10,$A3385)&gt;0,"Y","N")</f>
        <v>N</v>
      </c>
    </row>
    <row r="3386" customFormat="false" ht="15" hidden="false" customHeight="true" outlineLevel="0" collapsed="false">
      <c r="A3386" s="8" t="s">
        <v>1082</v>
      </c>
      <c r="B3386" s="8" t="s">
        <v>777</v>
      </c>
      <c r="C3386" s="19" t="n">
        <v>10</v>
      </c>
      <c r="D3386" s="19" t="n">
        <v>574.61</v>
      </c>
      <c r="E3386" s="19" t="n">
        <v>0</v>
      </c>
      <c r="F3386" s="19" t="n">
        <v>0</v>
      </c>
      <c r="G3386" s="8" t="n">
        <f aca="false">IFERROR(INDEX('TRANS'!$B:$B,MATCH($B3386,'TRANS'!$A:$A,0)),IFERROR(INDEX('TRANS'!$B:$B,MATCH(TRIM(SUBSTITUTE($B3386,CHAR(160)," ")),'TRANS'!$D:$D,0)),IFERROR(INDEX('Catalog'!$A:$A,MATCH($B3386,'Catalog'!$B:$B,0)),IFERROR(INDEX('Catalog'!$A:$A,MATCH(TRIM(SUBSTITUTE($B3386,CHAR(160)," ")),'Catalog'!$C:$C,0)),""))))</f>
        <v>4408223</v>
      </c>
      <c r="H3386" s="8" t="str">
        <f aca="false">IFERROR(INDEX('TRANS'!$C:$C,MATCH($B3386,'TRANS'!$A:$A,0)),IFERROR(INDEX('Catalog'!$B:$B,MATCH($G3386,'Catalog'!$A:$A,0)),$B3386))</f>
        <v>078G-XXLחגורת גב אפורה</v>
      </c>
      <c r="I3386" s="8" t="str">
        <f aca="false">IF($G3386="","Unmatched","Matched")</f>
        <v>Matched</v>
      </c>
      <c r="J3386" s="8" t="n">
        <f aca="false">IF($G3386&lt;&gt;"",$G3386,$B3386)</f>
        <v>4408223</v>
      </c>
      <c r="K3386" s="8" t="str">
        <f aca="false">IF(COUNTIF($M$1:$M$10,$A3386)&gt;0,"Y","N")</f>
        <v>N</v>
      </c>
    </row>
    <row r="3387" customFormat="false" ht="15" hidden="false" customHeight="true" outlineLevel="0" collapsed="false">
      <c r="A3387" s="8" t="s">
        <v>1082</v>
      </c>
      <c r="B3387" s="8" t="s">
        <v>253</v>
      </c>
      <c r="C3387" s="19" t="n">
        <v>10</v>
      </c>
      <c r="D3387" s="19" t="n">
        <v>974.16</v>
      </c>
      <c r="E3387" s="19" t="n">
        <v>0</v>
      </c>
      <c r="F3387" s="19" t="n">
        <v>0</v>
      </c>
      <c r="G3387" s="8" t="str">
        <f aca="false">IFERROR(INDEX('TRANS'!$B:$B,MATCH($B3387,'TRANS'!$A:$A,0)),IFERROR(INDEX('TRANS'!$B:$B,MATCH(TRIM(SUBSTITUTE($B3387,CHAR(160)," ")),'TRANS'!$D:$D,0)),IFERROR(INDEX('Catalog'!$A:$A,MATCH($B3387,'Catalog'!$B:$B,0)),IFERROR(INDEX('Catalog'!$A:$A,MATCH(TRIM(SUBSTITUTE($B3387,CHAR(160)," ")),'Catalog'!$C:$C,0)),""))))</f>
        <v/>
      </c>
      <c r="H3387" s="8" t="str">
        <f aca="false">IFERROR(INDEX('TRANS'!$C:$C,MATCH($B3387,'TRANS'!$A:$A,0)),IFERROR(INDEX('Catalog'!$B:$B,MATCH($G3387,'Catalog'!$A:$A,0)),$B3387))</f>
        <v>07UB XXL</v>
      </c>
      <c r="I3387" s="8" t="str">
        <f aca="false">IF($G3387="","Unmatched","Matched")</f>
        <v>Unmatched</v>
      </c>
      <c r="J3387" s="8" t="str">
        <f aca="false">IF($G3387&lt;&gt;"",$G3387,$B3387)</f>
        <v>07UB XXL</v>
      </c>
      <c r="K3387" s="8" t="str">
        <f aca="false">IF(COUNTIF($M$1:$M$10,$A3387)&gt;0,"Y","N")</f>
        <v>N</v>
      </c>
    </row>
    <row r="3388" customFormat="false" ht="15" hidden="false" customHeight="true" outlineLevel="0" collapsed="false">
      <c r="A3388" s="8" t="s">
        <v>1082</v>
      </c>
      <c r="B3388" s="8" t="s">
        <v>144</v>
      </c>
      <c r="C3388" s="19" t="n">
        <v>20</v>
      </c>
      <c r="D3388" s="19" t="n">
        <v>1948.33</v>
      </c>
      <c r="E3388" s="19" t="n">
        <v>0</v>
      </c>
      <c r="F3388" s="19" t="n">
        <v>0</v>
      </c>
      <c r="G3388" s="8" t="str">
        <f aca="false">IFERROR(INDEX('TRANS'!$B:$B,MATCH($B3388,'TRANS'!$A:$A,0)),IFERROR(INDEX('TRANS'!$B:$B,MATCH(TRIM(SUBSTITUTE($B3388,CHAR(160)," ")),'TRANS'!$D:$D,0)),IFERROR(INDEX('Catalog'!$A:$A,MATCH($B3388,'Catalog'!$B:$B,0)),IFERROR(INDEX('Catalog'!$A:$A,MATCH(TRIM(SUBSTITUTE($B3388,CHAR(160)," ")),'Catalog'!$C:$C,0)),""))))</f>
        <v/>
      </c>
      <c r="H3388" s="8" t="str">
        <f aca="false">IFERROR(INDEX('TRANS'!$C:$C,MATCH($B3388,'TRANS'!$A:$A,0)),IFERROR(INDEX('Catalog'!$B:$B,MATCH($G3388,'Catalog'!$A:$A,0)),$B3388))</f>
        <v>07UB-L-XL</v>
      </c>
      <c r="I3388" s="8" t="str">
        <f aca="false">IF($G3388="","Unmatched","Matched")</f>
        <v>Unmatched</v>
      </c>
      <c r="J3388" s="8" t="str">
        <f aca="false">IF($G3388&lt;&gt;"",$G3388,$B3388)</f>
        <v>07UB-L-XL</v>
      </c>
      <c r="K3388" s="8" t="str">
        <f aca="false">IF(COUNTIF($M$1:$M$10,$A3388)&gt;0,"Y","N")</f>
        <v>N</v>
      </c>
    </row>
    <row r="3389" customFormat="false" ht="15" hidden="false" customHeight="true" outlineLevel="0" collapsed="false">
      <c r="A3389" s="8" t="s">
        <v>1082</v>
      </c>
      <c r="B3389" s="8" t="s">
        <v>328</v>
      </c>
      <c r="C3389" s="19" t="n">
        <v>15</v>
      </c>
      <c r="D3389" s="19" t="n">
        <v>1461.22</v>
      </c>
      <c r="E3389" s="19" t="n">
        <v>0</v>
      </c>
      <c r="F3389" s="19" t="n">
        <v>0</v>
      </c>
      <c r="G3389" s="8" t="str">
        <f aca="false">IFERROR(INDEX('TRANS'!$B:$B,MATCH($B3389,'TRANS'!$A:$A,0)),IFERROR(INDEX('TRANS'!$B:$B,MATCH(TRIM(SUBSTITUTE($B3389,CHAR(160)," ")),'TRANS'!$D:$D,0)),IFERROR(INDEX('Catalog'!$A:$A,MATCH($B3389,'Catalog'!$B:$B,0)),IFERROR(INDEX('Catalog'!$A:$A,MATCH(TRIM(SUBSTITUTE($B3389,CHAR(160)," ")),'Catalog'!$C:$C,0)),""))))</f>
        <v/>
      </c>
      <c r="H3389" s="8" t="str">
        <f aca="false">IFERROR(INDEX('TRANS'!$C:$C,MATCH($B3389,'TRANS'!$A:$A,0)),IFERROR(INDEX('Catalog'!$B:$B,MATCH($G3389,'Catalog'!$A:$A,0)),$B3389))</f>
        <v>07UB-S-M</v>
      </c>
      <c r="I3389" s="8" t="str">
        <f aca="false">IF($G3389="","Unmatched","Matched")</f>
        <v>Unmatched</v>
      </c>
      <c r="J3389" s="8" t="str">
        <f aca="false">IF($G3389&lt;&gt;"",$G3389,$B3389)</f>
        <v>07UB-S-M</v>
      </c>
      <c r="K3389" s="8" t="str">
        <f aca="false">IF(COUNTIF($M$1:$M$10,$A3389)&gt;0,"Y","N")</f>
        <v>N</v>
      </c>
    </row>
    <row r="3390" customFormat="false" ht="15" hidden="false" customHeight="true" outlineLevel="0" collapsed="false">
      <c r="A3390" s="8" t="s">
        <v>1082</v>
      </c>
      <c r="B3390" s="8" t="s">
        <v>568</v>
      </c>
      <c r="C3390" s="19" t="n">
        <v>20</v>
      </c>
      <c r="D3390" s="19" t="n">
        <v>943.72</v>
      </c>
      <c r="E3390" s="19" t="n">
        <v>0</v>
      </c>
      <c r="F3390" s="19" t="n">
        <v>0</v>
      </c>
      <c r="G3390" s="8" t="n">
        <f aca="false">IFERROR(INDEX('TRANS'!$B:$B,MATCH($B3390,'TRANS'!$A:$A,0)),IFERROR(INDEX('TRANS'!$B:$B,MATCH(TRIM(SUBSTITUTE($B3390,CHAR(160)," ")),'TRANS'!$D:$D,0)),IFERROR(INDEX('Catalog'!$A:$A,MATCH($B3390,'Catalog'!$B:$B,0)),IFERROR(INDEX('Catalog'!$A:$A,MATCH(TRIM(SUBSTITUTE($B3390,CHAR(160)," ")),'Catalog'!$C:$C,0)),""))))</f>
        <v>4408115</v>
      </c>
      <c r="H3390" s="8" t="str">
        <f aca="false">IFERROR(INDEX('TRANS'!$C:$C,MATCH($B3390,'TRANS'!$A:$A,0)),IFERROR(INDEX('Catalog'!$B:$B,MATCH($G3390,'Catalog'!$A:$A,0)),$B3390))</f>
        <v>11EU L ח.בטן לאחר ניתוח</v>
      </c>
      <c r="I3390" s="8" t="str">
        <f aca="false">IF($G3390="","Unmatched","Matched")</f>
        <v>Matched</v>
      </c>
      <c r="J3390" s="8" t="n">
        <f aca="false">IF($G3390&lt;&gt;"",$G3390,$B3390)</f>
        <v>4408115</v>
      </c>
      <c r="K3390" s="8" t="str">
        <f aca="false">IF(COUNTIF($M$1:$M$10,$A3390)&gt;0,"Y","N")</f>
        <v>N</v>
      </c>
    </row>
    <row r="3391" customFormat="false" ht="15" hidden="false" customHeight="true" outlineLevel="0" collapsed="false">
      <c r="A3391" s="8" t="s">
        <v>1082</v>
      </c>
      <c r="B3391" s="8" t="s">
        <v>569</v>
      </c>
      <c r="C3391" s="19" t="n">
        <v>10</v>
      </c>
      <c r="D3391" s="19" t="n">
        <v>471.86</v>
      </c>
      <c r="E3391" s="19" t="n">
        <v>0</v>
      </c>
      <c r="F3391" s="19" t="n">
        <v>0</v>
      </c>
      <c r="G3391" s="8" t="n">
        <f aca="false">IFERROR(INDEX('TRANS'!$B:$B,MATCH($B3391,'TRANS'!$A:$A,0)),IFERROR(INDEX('TRANS'!$B:$B,MATCH(TRIM(SUBSTITUTE($B3391,CHAR(160)," ")),'TRANS'!$D:$D,0)),IFERROR(INDEX('Catalog'!$A:$A,MATCH($B3391,'Catalog'!$B:$B,0)),IFERROR(INDEX('Catalog'!$A:$A,MATCH(TRIM(SUBSTITUTE($B3391,CHAR(160)," ")),'Catalog'!$C:$C,0)),""))))</f>
        <v>4408114</v>
      </c>
      <c r="H3391" s="8" t="str">
        <f aca="false">IFERROR(INDEX('TRANS'!$C:$C,MATCH($B3391,'TRANS'!$A:$A,0)),IFERROR(INDEX('Catalog'!$B:$B,MATCH($G3391,'Catalog'!$A:$A,0)),$B3391))</f>
        <v>11EU M ח.בטן לאחר ניתוח</v>
      </c>
      <c r="I3391" s="8" t="str">
        <f aca="false">IF($G3391="","Unmatched","Matched")</f>
        <v>Matched</v>
      </c>
      <c r="J3391" s="8" t="n">
        <f aca="false">IF($G3391&lt;&gt;"",$G3391,$B3391)</f>
        <v>4408114</v>
      </c>
      <c r="K3391" s="8" t="str">
        <f aca="false">IF(COUNTIF($M$1:$M$10,$A3391)&gt;0,"Y","N")</f>
        <v>N</v>
      </c>
    </row>
    <row r="3392" customFormat="false" ht="15" hidden="false" customHeight="true" outlineLevel="0" collapsed="false">
      <c r="A3392" s="8" t="s">
        <v>1082</v>
      </c>
      <c r="B3392" s="8" t="s">
        <v>156</v>
      </c>
      <c r="C3392" s="19" t="n">
        <v>5</v>
      </c>
      <c r="D3392" s="19" t="n">
        <v>235.93</v>
      </c>
      <c r="E3392" s="19" t="n">
        <v>0</v>
      </c>
      <c r="F3392" s="19" t="n">
        <v>0</v>
      </c>
      <c r="G3392" s="8" t="str">
        <f aca="false">IFERROR(INDEX('TRANS'!$B:$B,MATCH($B3392,'TRANS'!$A:$A,0)),IFERROR(INDEX('TRANS'!$B:$B,MATCH(TRIM(SUBSTITUTE($B3392,CHAR(160)," ")),'TRANS'!$D:$D,0)),IFERROR(INDEX('Catalog'!$A:$A,MATCH($B3392,'Catalog'!$B:$B,0)),IFERROR(INDEX('Catalog'!$A:$A,MATCH(TRIM(SUBSTITUTE($B3392,CHAR(160)," ")),'Catalog'!$C:$C,0)),""))))</f>
        <v/>
      </c>
      <c r="H3392" s="8" t="str">
        <f aca="false">IFERROR(INDEX('TRANS'!$C:$C,MATCH($B3392,'TRANS'!$A:$A,0)),IFERROR(INDEX('Catalog'!$B:$B,MATCH($G3392,'Catalog'!$A:$A,0)),$B3392))</f>
        <v>11EU S</v>
      </c>
      <c r="I3392" s="8" t="str">
        <f aca="false">IF($G3392="","Unmatched","Matched")</f>
        <v>Unmatched</v>
      </c>
      <c r="J3392" s="8" t="str">
        <f aca="false">IF($G3392&lt;&gt;"",$G3392,$B3392)</f>
        <v>11EU S</v>
      </c>
      <c r="K3392" s="8" t="str">
        <f aca="false">IF(COUNTIF($M$1:$M$10,$A3392)&gt;0,"Y","N")</f>
        <v>N</v>
      </c>
    </row>
    <row r="3393" customFormat="false" ht="15" hidden="false" customHeight="true" outlineLevel="0" collapsed="false">
      <c r="A3393" s="8" t="s">
        <v>1082</v>
      </c>
      <c r="B3393" s="8" t="s">
        <v>778</v>
      </c>
      <c r="C3393" s="19" t="n">
        <v>20</v>
      </c>
      <c r="D3393" s="19" t="n">
        <v>943.72</v>
      </c>
      <c r="E3393" s="19" t="n">
        <v>0</v>
      </c>
      <c r="F3393" s="19" t="n">
        <v>0</v>
      </c>
      <c r="G3393" s="8" t="n">
        <f aca="false">IFERROR(INDEX('TRANS'!$B:$B,MATCH($B3393,'TRANS'!$A:$A,0)),IFERROR(INDEX('TRANS'!$B:$B,MATCH(TRIM(SUBSTITUTE($B3393,CHAR(160)," ")),'TRANS'!$D:$D,0)),IFERROR(INDEX('Catalog'!$A:$A,MATCH($B3393,'Catalog'!$B:$B,0)),IFERROR(INDEX('Catalog'!$A:$A,MATCH(TRIM(SUBSTITUTE($B3393,CHAR(160)," ")),'Catalog'!$C:$C,0)),""))))</f>
        <v>4408116</v>
      </c>
      <c r="H3393" s="8" t="str">
        <f aca="false">IFERROR(INDEX('TRANS'!$C:$C,MATCH($B3393,'TRANS'!$A:$A,0)),IFERROR(INDEX('Catalog'!$B:$B,MATCH($G3393,'Catalog'!$A:$A,0)),$B3393))</f>
        <v>11EU XLח.בטן לאחר ניתוח</v>
      </c>
      <c r="I3393" s="8" t="str">
        <f aca="false">IF($G3393="","Unmatched","Matched")</f>
        <v>Matched</v>
      </c>
      <c r="J3393" s="8" t="n">
        <f aca="false">IF($G3393&lt;&gt;"",$G3393,$B3393)</f>
        <v>4408116</v>
      </c>
      <c r="K3393" s="8" t="str">
        <f aca="false">IF(COUNTIF($M$1:$M$10,$A3393)&gt;0,"Y","N")</f>
        <v>N</v>
      </c>
    </row>
    <row r="3394" customFormat="false" ht="15" hidden="false" customHeight="true" outlineLevel="0" collapsed="false">
      <c r="A3394" s="8" t="s">
        <v>1082</v>
      </c>
      <c r="B3394" s="8" t="s">
        <v>856</v>
      </c>
      <c r="C3394" s="19" t="n">
        <v>15</v>
      </c>
      <c r="D3394" s="19" t="n">
        <v>707.79</v>
      </c>
      <c r="E3394" s="19" t="n">
        <v>0</v>
      </c>
      <c r="F3394" s="19" t="n">
        <v>0</v>
      </c>
      <c r="G3394" s="8" t="n">
        <f aca="false">IFERROR(INDEX('TRANS'!$B:$B,MATCH($B3394,'TRANS'!$A:$A,0)),IFERROR(INDEX('TRANS'!$B:$B,MATCH(TRIM(SUBSTITUTE($B3394,CHAR(160)," ")),'TRANS'!$D:$D,0)),IFERROR(INDEX('Catalog'!$A:$A,MATCH($B3394,'Catalog'!$B:$B,0)),IFERROR(INDEX('Catalog'!$A:$A,MATCH(TRIM(SUBSTITUTE($B3394,CHAR(160)," ")),'Catalog'!$C:$C,0)),""))))</f>
        <v>4408132</v>
      </c>
      <c r="H3394" s="8" t="str">
        <f aca="false">IFERROR(INDEX('TRANS'!$C:$C,MATCH($B3394,'TRANS'!$A:$A,0)),IFERROR(INDEX('Catalog'!$B:$B,MATCH($G3394,'Catalog'!$A:$A,0)),$B3394))</f>
        <v>11EU XXL חגורת בטןלאחר ניתוח</v>
      </c>
      <c r="I3394" s="8" t="str">
        <f aca="false">IF($G3394="","Unmatched","Matched")</f>
        <v>Matched</v>
      </c>
      <c r="J3394" s="8" t="n">
        <f aca="false">IF($G3394&lt;&gt;"",$G3394,$B3394)</f>
        <v>4408132</v>
      </c>
      <c r="K3394" s="8" t="str">
        <f aca="false">IF(COUNTIF($M$1:$M$10,$A3394)&gt;0,"Y","N")</f>
        <v>N</v>
      </c>
    </row>
    <row r="3395" customFormat="false" ht="15" hidden="false" customHeight="true" outlineLevel="0" collapsed="false">
      <c r="A3395" s="8" t="s">
        <v>1082</v>
      </c>
      <c r="B3395" s="8" t="s">
        <v>857</v>
      </c>
      <c r="C3395" s="19" t="n">
        <v>10</v>
      </c>
      <c r="D3395" s="19" t="n">
        <v>671.64</v>
      </c>
      <c r="E3395" s="19" t="n">
        <v>0</v>
      </c>
      <c r="F3395" s="19" t="n">
        <v>0</v>
      </c>
      <c r="G3395" s="8" t="n">
        <f aca="false">IFERROR(INDEX('TRANS'!$B:$B,MATCH($B3395,'TRANS'!$A:$A,0)),IFERROR(INDEX('TRANS'!$B:$B,MATCH(TRIM(SUBSTITUTE($B3395,CHAR(160)," ")),'TRANS'!$D:$D,0)),IFERROR(INDEX('Catalog'!$A:$A,MATCH($B3395,'Catalog'!$B:$B,0)),IFERROR(INDEX('Catalog'!$A:$A,MATCH(TRIM(SUBSTITUTE($B3395,CHAR(160)," ")),'Catalog'!$C:$C,0)),""))))</f>
        <v>4408261</v>
      </c>
      <c r="H3395" s="8" t="str">
        <f aca="false">IFERROR(INDEX('TRANS'!$C:$C,MATCH($B3395,'TRANS'!$A:$A,0)),IFERROR(INDEX('Catalog'!$B:$B,MATCH($G3395,'Catalog'!$A:$A,0)),$B3395))</f>
        <v>11STO L חגורה אחרי ניתוח</v>
      </c>
      <c r="I3395" s="8" t="str">
        <f aca="false">IF($G3395="","Unmatched","Matched")</f>
        <v>Matched</v>
      </c>
      <c r="J3395" s="8" t="n">
        <f aca="false">IF($G3395&lt;&gt;"",$G3395,$B3395)</f>
        <v>4408261</v>
      </c>
      <c r="K3395" s="8" t="str">
        <f aca="false">IF(COUNTIF($M$1:$M$10,$A3395)&gt;0,"Y","N")</f>
        <v>N</v>
      </c>
    </row>
    <row r="3396" customFormat="false" ht="15" hidden="false" customHeight="true" outlineLevel="0" collapsed="false">
      <c r="A3396" s="8" t="s">
        <v>1082</v>
      </c>
      <c r="B3396" s="8" t="s">
        <v>924</v>
      </c>
      <c r="C3396" s="19" t="n">
        <v>8</v>
      </c>
      <c r="D3396" s="19" t="n">
        <v>537.31</v>
      </c>
      <c r="E3396" s="19" t="n">
        <v>0</v>
      </c>
      <c r="F3396" s="19" t="n">
        <v>0</v>
      </c>
      <c r="G3396" s="8" t="n">
        <f aca="false">IFERROR(INDEX('TRANS'!$B:$B,MATCH($B3396,'TRANS'!$A:$A,0)),IFERROR(INDEX('TRANS'!$B:$B,MATCH(TRIM(SUBSTITUTE($B3396,CHAR(160)," ")),'TRANS'!$D:$D,0)),IFERROR(INDEX('Catalog'!$A:$A,MATCH($B3396,'Catalog'!$B:$B,0)),IFERROR(INDEX('Catalog'!$A:$A,MATCH(TRIM(SUBSTITUTE($B3396,CHAR(160)," ")),'Catalog'!$C:$C,0)),""))))</f>
        <v>4408260</v>
      </c>
      <c r="H3396" s="8" t="str">
        <f aca="false">IFERROR(INDEX('TRANS'!$C:$C,MATCH($B3396,'TRANS'!$A:$A,0)),IFERROR(INDEX('Catalog'!$B:$B,MATCH($G3396,'Catalog'!$A:$A,0)),$B3396))</f>
        <v>11STO M חגורה אחרי ניתוח</v>
      </c>
      <c r="I3396" s="8" t="str">
        <f aca="false">IF($G3396="","Unmatched","Matched")</f>
        <v>Matched</v>
      </c>
      <c r="J3396" s="8" t="n">
        <f aca="false">IF($G3396&lt;&gt;"",$G3396,$B3396)</f>
        <v>4408260</v>
      </c>
      <c r="K3396" s="8" t="str">
        <f aca="false">IF(COUNTIF($M$1:$M$10,$A3396)&gt;0,"Y","N")</f>
        <v>N</v>
      </c>
    </row>
    <row r="3397" customFormat="false" ht="15" hidden="false" customHeight="true" outlineLevel="0" collapsed="false">
      <c r="A3397" s="8" t="s">
        <v>1082</v>
      </c>
      <c r="B3397" s="8" t="s">
        <v>780</v>
      </c>
      <c r="C3397" s="19" t="n">
        <v>7</v>
      </c>
      <c r="D3397" s="19" t="n">
        <v>470.15</v>
      </c>
      <c r="E3397" s="19" t="n">
        <v>0</v>
      </c>
      <c r="F3397" s="19" t="n">
        <v>0</v>
      </c>
      <c r="G3397" s="8" t="n">
        <f aca="false">IFERROR(INDEX('TRANS'!$B:$B,MATCH($B3397,'TRANS'!$A:$A,0)),IFERROR(INDEX('TRANS'!$B:$B,MATCH(TRIM(SUBSTITUTE($B3397,CHAR(160)," ")),'TRANS'!$D:$D,0)),IFERROR(INDEX('Catalog'!$A:$A,MATCH($B3397,'Catalog'!$B:$B,0)),IFERROR(INDEX('Catalog'!$A:$A,MATCH(TRIM(SUBSTITUTE($B3397,CHAR(160)," ")),'Catalog'!$C:$C,0)),""))))</f>
        <v>4408262</v>
      </c>
      <c r="H3397" s="8" t="str">
        <f aca="false">IFERROR(INDEX('TRANS'!$C:$C,MATCH($B3397,'TRANS'!$A:$A,0)),IFERROR(INDEX('Catalog'!$B:$B,MATCH($G3397,'Catalog'!$A:$A,0)),$B3397))</f>
        <v>11STO XL  חגורה אחרי ניתוח</v>
      </c>
      <c r="I3397" s="8" t="str">
        <f aca="false">IF($G3397="","Unmatched","Matched")</f>
        <v>Matched</v>
      </c>
      <c r="J3397" s="8" t="n">
        <f aca="false">IF($G3397&lt;&gt;"",$G3397,$B3397)</f>
        <v>4408262</v>
      </c>
      <c r="K3397" s="8" t="str">
        <f aca="false">IF(COUNTIF($M$1:$M$10,$A3397)&gt;0,"Y","N")</f>
        <v>N</v>
      </c>
    </row>
    <row r="3398" customFormat="false" ht="15" hidden="false" customHeight="true" outlineLevel="0" collapsed="false">
      <c r="A3398" s="8" t="s">
        <v>1082</v>
      </c>
      <c r="B3398" s="8" t="s">
        <v>570</v>
      </c>
      <c r="C3398" s="19" t="n">
        <v>5</v>
      </c>
      <c r="D3398" s="19" t="n">
        <v>335.82</v>
      </c>
      <c r="E3398" s="19" t="n">
        <v>0</v>
      </c>
      <c r="F3398" s="19" t="n">
        <v>0</v>
      </c>
      <c r="G3398" s="8" t="n">
        <f aca="false">IFERROR(INDEX('TRANS'!$B:$B,MATCH($B3398,'TRANS'!$A:$A,0)),IFERROR(INDEX('TRANS'!$B:$B,MATCH(TRIM(SUBSTITUTE($B3398,CHAR(160)," ")),'TRANS'!$D:$D,0)),IFERROR(INDEX('Catalog'!$A:$A,MATCH($B3398,'Catalog'!$B:$B,0)),IFERROR(INDEX('Catalog'!$A:$A,MATCH(TRIM(SUBSTITUTE($B3398,CHAR(160)," ")),'Catalog'!$C:$C,0)),""))))</f>
        <v>4408263</v>
      </c>
      <c r="H3398" s="8" t="str">
        <f aca="false">IFERROR(INDEX('TRANS'!$C:$C,MATCH($B3398,'TRANS'!$A:$A,0)),IFERROR(INDEX('Catalog'!$B:$B,MATCH($G3398,'Catalog'!$A:$A,0)),$B3398))</f>
        <v>11STO XXL חגורה אחרי ניתוח</v>
      </c>
      <c r="I3398" s="8" t="str">
        <f aca="false">IF($G3398="","Unmatched","Matched")</f>
        <v>Matched</v>
      </c>
      <c r="J3398" s="8" t="n">
        <f aca="false">IF($G3398&lt;&gt;"",$G3398,$B3398)</f>
        <v>4408263</v>
      </c>
      <c r="K3398" s="8" t="str">
        <f aca="false">IF(COUNTIF($M$1:$M$10,$A3398)&gt;0,"Y","N")</f>
        <v>N</v>
      </c>
    </row>
    <row r="3399" customFormat="false" ht="15" hidden="false" customHeight="true" outlineLevel="0" collapsed="false">
      <c r="A3399" s="8" t="s">
        <v>1082</v>
      </c>
      <c r="B3399" s="8" t="s">
        <v>947</v>
      </c>
      <c r="C3399" s="19" t="n">
        <v>15</v>
      </c>
      <c r="D3399" s="19" t="n">
        <v>781.09</v>
      </c>
      <c r="E3399" s="19" t="n">
        <v>0</v>
      </c>
      <c r="F3399" s="19" t="n">
        <v>0</v>
      </c>
      <c r="G3399" s="8" t="n">
        <f aca="false">IFERROR(INDEX('TRANS'!$B:$B,MATCH($B3399,'TRANS'!$A:$A,0)),IFERROR(INDEX('TRANS'!$B:$B,MATCH(TRIM(SUBSTITUTE($B3399,CHAR(160)," ")),'TRANS'!$D:$D,0)),IFERROR(INDEX('Catalog'!$A:$A,MATCH($B3399,'Catalog'!$B:$B,0)),IFERROR(INDEX('Catalog'!$A:$A,MATCH(TRIM(SUBSTITUTE($B3399,CHAR(160)," ")),'Catalog'!$C:$C,0)),""))))</f>
        <v>4408226</v>
      </c>
      <c r="H3399" s="8" t="str">
        <f aca="false">IFERROR(INDEX('TRANS'!$C:$C,MATCH($B3399,'TRANS'!$A:$A,0)),IFERROR(INDEX('Catalog'!$B:$B,MATCH($G3399,'Catalog'!$A:$A,0)),$B3399))</f>
        <v>L 11 אפורUG חגורת בטן</v>
      </c>
      <c r="I3399" s="8" t="str">
        <f aca="false">IF($G3399="","Unmatched","Matched")</f>
        <v>Matched</v>
      </c>
      <c r="J3399" s="8" t="n">
        <f aca="false">IF($G3399&lt;&gt;"",$G3399,$B3399)</f>
        <v>4408226</v>
      </c>
      <c r="K3399" s="8" t="str">
        <f aca="false">IF(COUNTIF($M$1:$M$10,$A3399)&gt;0,"Y","N")</f>
        <v>N</v>
      </c>
    </row>
    <row r="3400" customFormat="false" ht="15" hidden="false" customHeight="true" outlineLevel="0" collapsed="false">
      <c r="A3400" s="8" t="s">
        <v>1082</v>
      </c>
      <c r="B3400" s="8" t="s">
        <v>216</v>
      </c>
      <c r="C3400" s="19" t="n">
        <v>15</v>
      </c>
      <c r="D3400" s="19" t="n">
        <v>781.09</v>
      </c>
      <c r="E3400" s="19" t="n">
        <v>0</v>
      </c>
      <c r="F3400" s="19" t="n">
        <v>0</v>
      </c>
      <c r="G3400" s="8" t="str">
        <f aca="false">IFERROR(INDEX('TRANS'!$B:$B,MATCH($B3400,'TRANS'!$A:$A,0)),IFERROR(INDEX('TRANS'!$B:$B,MATCH(TRIM(SUBSTITUTE($B3400,CHAR(160)," ")),'TRANS'!$D:$D,0)),IFERROR(INDEX('Catalog'!$A:$A,MATCH($B3400,'Catalog'!$B:$B,0)),IFERROR(INDEX('Catalog'!$A:$A,MATCH(TRIM(SUBSTITUTE($B3400,CHAR(160)," ")),'Catalog'!$C:$C,0)),""))))</f>
        <v/>
      </c>
      <c r="H3400" s="8" t="str">
        <f aca="false">IFERROR(INDEX('TRANS'!$C:$C,MATCH($B3400,'TRANS'!$A:$A,0)),IFERROR(INDEX('Catalog'!$B:$B,MATCH($G3400,'Catalog'!$A:$A,0)),$B3400))</f>
        <v>11UG XL</v>
      </c>
      <c r="I3400" s="8" t="str">
        <f aca="false">IF($G3400="","Unmatched","Matched")</f>
        <v>Unmatched</v>
      </c>
      <c r="J3400" s="8" t="str">
        <f aca="false">IF($G3400&lt;&gt;"",$G3400,$B3400)</f>
        <v>11UG XL</v>
      </c>
      <c r="K3400" s="8" t="str">
        <f aca="false">IF(COUNTIF($M$1:$M$10,$A3400)&gt;0,"Y","N")</f>
        <v>N</v>
      </c>
    </row>
    <row r="3401" customFormat="false" ht="15" hidden="false" customHeight="true" outlineLevel="0" collapsed="false">
      <c r="A3401" s="8" t="s">
        <v>1082</v>
      </c>
      <c r="B3401" s="8" t="s">
        <v>783</v>
      </c>
      <c r="C3401" s="19" t="n">
        <v>10</v>
      </c>
      <c r="D3401" s="19" t="n">
        <v>175.05</v>
      </c>
      <c r="E3401" s="19" t="n">
        <v>0</v>
      </c>
      <c r="F3401" s="19" t="n">
        <v>0</v>
      </c>
      <c r="G3401" s="8" t="n">
        <f aca="false">IFERROR(INDEX('TRANS'!$B:$B,MATCH($B3401,'TRANS'!$A:$A,0)),IFERROR(INDEX('TRANS'!$B:$B,MATCH(TRIM(SUBSTITUTE($B3401,CHAR(160)," ")),'TRANS'!$D:$D,0)),IFERROR(INDEX('Catalog'!$A:$A,MATCH($B3401,'Catalog'!$B:$B,0)),IFERROR(INDEX('Catalog'!$A:$A,MATCH(TRIM(SUBSTITUTE($B3401,CHAR(160)," ")),'Catalog'!$C:$C,0)),""))))</f>
        <v>4408052</v>
      </c>
      <c r="H3401" s="8" t="str">
        <f aca="false">IFERROR(INDEX('TRANS'!$C:$C,MATCH($B3401,'TRANS'!$A:$A,0)),IFERROR(INDEX('Catalog'!$B:$B,MATCH($G3401,'Catalog'!$A:$A,0)),$B3401))</f>
        <v>21 L  חבק יד ארוך</v>
      </c>
      <c r="I3401" s="8" t="str">
        <f aca="false">IF($G3401="","Unmatched","Matched")</f>
        <v>Matched</v>
      </c>
      <c r="J3401" s="8" t="n">
        <f aca="false">IF($G3401&lt;&gt;"",$G3401,$B3401)</f>
        <v>4408052</v>
      </c>
      <c r="K3401" s="8" t="str">
        <f aca="false">IF(COUNTIF($M$1:$M$10,$A3401)&gt;0,"Y","N")</f>
        <v>N</v>
      </c>
    </row>
    <row r="3402" customFormat="false" ht="15" hidden="false" customHeight="true" outlineLevel="0" collapsed="false">
      <c r="A3402" s="8" t="s">
        <v>1082</v>
      </c>
      <c r="B3402" s="8" t="s">
        <v>576</v>
      </c>
      <c r="C3402" s="19" t="n">
        <v>10</v>
      </c>
      <c r="D3402" s="19" t="n">
        <v>175.05</v>
      </c>
      <c r="E3402" s="19" t="n">
        <v>0</v>
      </c>
      <c r="F3402" s="19" t="n">
        <v>0</v>
      </c>
      <c r="G3402" s="8" t="n">
        <f aca="false">IFERROR(INDEX('TRANS'!$B:$B,MATCH($B3402,'TRANS'!$A:$A,0)),IFERROR(INDEX('TRANS'!$B:$B,MATCH(TRIM(SUBSTITUTE($B3402,CHAR(160)," ")),'TRANS'!$D:$D,0)),IFERROR(INDEX('Catalog'!$A:$A,MATCH($B3402,'Catalog'!$B:$B,0)),IFERROR(INDEX('Catalog'!$A:$A,MATCH(TRIM(SUBSTITUTE($B3402,CHAR(160)," ")),'Catalog'!$C:$C,0)),""))))</f>
        <v>4408053</v>
      </c>
      <c r="H3402" s="8" t="str">
        <f aca="false">IFERROR(INDEX('TRANS'!$C:$C,MATCH($B3402,'TRANS'!$A:$A,0)),IFERROR(INDEX('Catalog'!$B:$B,MATCH($G3402,'Catalog'!$A:$A,0)),$B3402))</f>
        <v>21 M  חבק יד ארוך</v>
      </c>
      <c r="I3402" s="8" t="str">
        <f aca="false">IF($G3402="","Unmatched","Matched")</f>
        <v>Matched</v>
      </c>
      <c r="J3402" s="8" t="n">
        <f aca="false">IF($G3402&lt;&gt;"",$G3402,$B3402)</f>
        <v>4408053</v>
      </c>
      <c r="K3402" s="8" t="str">
        <f aca="false">IF(COUNTIF($M$1:$M$10,$A3402)&gt;0,"Y","N")</f>
        <v>N</v>
      </c>
    </row>
    <row r="3403" customFormat="false" ht="15" hidden="false" customHeight="true" outlineLevel="0" collapsed="false">
      <c r="A3403" s="8" t="s">
        <v>1082</v>
      </c>
      <c r="B3403" s="8" t="s">
        <v>785</v>
      </c>
      <c r="C3403" s="19" t="n">
        <v>10</v>
      </c>
      <c r="D3403" s="19" t="n">
        <v>175.05</v>
      </c>
      <c r="E3403" s="19" t="n">
        <v>0</v>
      </c>
      <c r="F3403" s="19" t="n">
        <v>0</v>
      </c>
      <c r="G3403" s="8" t="n">
        <f aca="false">IFERROR(INDEX('TRANS'!$B:$B,MATCH($B3403,'TRANS'!$A:$A,0)),IFERROR(INDEX('TRANS'!$B:$B,MATCH(TRIM(SUBSTITUTE($B3403,CHAR(160)," ")),'TRANS'!$D:$D,0)),IFERROR(INDEX('Catalog'!$A:$A,MATCH($B3403,'Catalog'!$B:$B,0)),IFERROR(INDEX('Catalog'!$A:$A,MATCH(TRIM(SUBSTITUTE($B3403,CHAR(160)," ")),'Catalog'!$C:$C,0)),""))))</f>
        <v>4408054</v>
      </c>
      <c r="H3403" s="8" t="str">
        <f aca="false">IFERROR(INDEX('TRANS'!$C:$C,MATCH($B3403,'TRANS'!$A:$A,0)),IFERROR(INDEX('Catalog'!$B:$B,MATCH($G3403,'Catalog'!$A:$A,0)),$B3403))</f>
        <v>21 XL חבק יד ארוך</v>
      </c>
      <c r="I3403" s="8" t="str">
        <f aca="false">IF($G3403="","Unmatched","Matched")</f>
        <v>Matched</v>
      </c>
      <c r="J3403" s="8" t="n">
        <f aca="false">IF($G3403&lt;&gt;"",$G3403,$B3403)</f>
        <v>4408054</v>
      </c>
      <c r="K3403" s="8" t="str">
        <f aca="false">IF(COUNTIF($M$1:$M$10,$A3403)&gt;0,"Y","N")</f>
        <v>N</v>
      </c>
    </row>
    <row r="3404" customFormat="false" ht="15" hidden="false" customHeight="true" outlineLevel="0" collapsed="false">
      <c r="A3404" s="8" t="s">
        <v>1082</v>
      </c>
      <c r="B3404" s="8" t="s">
        <v>584</v>
      </c>
      <c r="C3404" s="19" t="n">
        <v>60</v>
      </c>
      <c r="D3404" s="19" t="n">
        <v>548.92</v>
      </c>
      <c r="E3404" s="19" t="n">
        <v>0</v>
      </c>
      <c r="F3404" s="19" t="n">
        <v>0</v>
      </c>
      <c r="G3404" s="8" t="n">
        <f aca="false">IFERROR(INDEX('TRANS'!$B:$B,MATCH($B3404,'TRANS'!$A:$A,0)),IFERROR(INDEX('TRANS'!$B:$B,MATCH(TRIM(SUBSTITUTE($B3404,CHAR(160)," ")),'TRANS'!$D:$D,0)),IFERROR(INDEX('Catalog'!$A:$A,MATCH($B3404,'Catalog'!$B:$B,0)),IFERROR(INDEX('Catalog'!$A:$A,MATCH(TRIM(SUBSTITUTE($B3404,CHAR(160)," ")),'Catalog'!$C:$C,0)),""))))</f>
        <v>4415162</v>
      </c>
      <c r="H3404" s="8" t="str">
        <f aca="false">IFERROR(INDEX('TRANS'!$C:$C,MATCH($B3404,'TRANS'!$A:$A,0)),IFERROR(INDEX('Catalog'!$B:$B,MATCH($G3404,'Catalog'!$A:$A,0)),$B3404))</f>
        <v>238L סד ליישור אצבע</v>
      </c>
      <c r="I3404" s="8" t="str">
        <f aca="false">IF($G3404="","Unmatched","Matched")</f>
        <v>Matched</v>
      </c>
      <c r="J3404" s="8" t="n">
        <f aca="false">IF($G3404&lt;&gt;"",$G3404,$B3404)</f>
        <v>4415162</v>
      </c>
      <c r="K3404" s="8" t="str">
        <f aca="false">IF(COUNTIF($M$1:$M$10,$A3404)&gt;0,"Y","N")</f>
        <v>N</v>
      </c>
    </row>
    <row r="3405" customFormat="false" ht="15" hidden="false" customHeight="true" outlineLevel="0" collapsed="false">
      <c r="A3405" s="8" t="s">
        <v>1082</v>
      </c>
      <c r="B3405" s="8" t="s">
        <v>926</v>
      </c>
      <c r="C3405" s="19" t="n">
        <v>60</v>
      </c>
      <c r="D3405" s="19" t="n">
        <v>548.92</v>
      </c>
      <c r="E3405" s="19" t="n">
        <v>0</v>
      </c>
      <c r="F3405" s="19" t="n">
        <v>0</v>
      </c>
      <c r="G3405" s="8" t="n">
        <f aca="false">IFERROR(INDEX('TRANS'!$B:$B,MATCH($B3405,'TRANS'!$A:$A,0)),IFERROR(INDEX('TRANS'!$B:$B,MATCH(TRIM(SUBSTITUTE($B3405,CHAR(160)," ")),'TRANS'!$D:$D,0)),IFERROR(INDEX('Catalog'!$A:$A,MATCH($B3405,'Catalog'!$B:$B,0)),IFERROR(INDEX('Catalog'!$A:$A,MATCH(TRIM(SUBSTITUTE($B3405,CHAR(160)," ")),'Catalog'!$C:$C,0)),""))))</f>
        <v>4415161</v>
      </c>
      <c r="H3405" s="8" t="str">
        <f aca="false">IFERROR(INDEX('TRANS'!$C:$C,MATCH($B3405,'TRANS'!$A:$A,0)),IFERROR(INDEX('Catalog'!$B:$B,MATCH($G3405,'Catalog'!$A:$A,0)),$B3405))</f>
        <v>238M סד ליישור אצבע</v>
      </c>
      <c r="I3405" s="8" t="str">
        <f aca="false">IF($G3405="","Unmatched","Matched")</f>
        <v>Matched</v>
      </c>
      <c r="J3405" s="8" t="n">
        <f aca="false">IF($G3405&lt;&gt;"",$G3405,$B3405)</f>
        <v>4415161</v>
      </c>
      <c r="K3405" s="8" t="str">
        <f aca="false">IF(COUNTIF($M$1:$M$10,$A3405)&gt;0,"Y","N")</f>
        <v>N</v>
      </c>
    </row>
    <row r="3406" customFormat="false" ht="15" hidden="false" customHeight="true" outlineLevel="0" collapsed="false">
      <c r="A3406" s="8" t="s">
        <v>1082</v>
      </c>
      <c r="B3406" s="8" t="s">
        <v>585</v>
      </c>
      <c r="C3406" s="19" t="n">
        <v>30</v>
      </c>
      <c r="D3406" s="19" t="n">
        <v>274.46</v>
      </c>
      <c r="E3406" s="19" t="n">
        <v>0</v>
      </c>
      <c r="F3406" s="19" t="n">
        <v>0</v>
      </c>
      <c r="G3406" s="8" t="n">
        <f aca="false">IFERROR(INDEX('TRANS'!$B:$B,MATCH($B3406,'TRANS'!$A:$A,0)),IFERROR(INDEX('TRANS'!$B:$B,MATCH(TRIM(SUBSTITUTE($B3406,CHAR(160)," ")),'TRANS'!$D:$D,0)),IFERROR(INDEX('Catalog'!$A:$A,MATCH($B3406,'Catalog'!$B:$B,0)),IFERROR(INDEX('Catalog'!$A:$A,MATCH(TRIM(SUBSTITUTE($B3406,CHAR(160)," ")),'Catalog'!$C:$C,0)),""))))</f>
        <v>4415160</v>
      </c>
      <c r="H3406" s="8" t="str">
        <f aca="false">IFERROR(INDEX('TRANS'!$C:$C,MATCH($B3406,'TRANS'!$A:$A,0)),IFERROR(INDEX('Catalog'!$B:$B,MATCH($G3406,'Catalog'!$A:$A,0)),$B3406))</f>
        <v>238S סד ליישור אצבע</v>
      </c>
      <c r="I3406" s="8" t="str">
        <f aca="false">IF($G3406="","Unmatched","Matched")</f>
        <v>Matched</v>
      </c>
      <c r="J3406" s="8" t="n">
        <f aca="false">IF($G3406&lt;&gt;"",$G3406,$B3406)</f>
        <v>4415160</v>
      </c>
      <c r="K3406" s="8" t="str">
        <f aca="false">IF(COUNTIF($M$1:$M$10,$A3406)&gt;0,"Y","N")</f>
        <v>N</v>
      </c>
    </row>
    <row r="3407" customFormat="false" ht="15" hidden="false" customHeight="true" outlineLevel="0" collapsed="false">
      <c r="A3407" s="8" t="s">
        <v>1082</v>
      </c>
      <c r="B3407" s="8" t="s">
        <v>927</v>
      </c>
      <c r="C3407" s="19" t="n">
        <v>50</v>
      </c>
      <c r="D3407" s="19" t="n">
        <v>457.43</v>
      </c>
      <c r="E3407" s="19" t="n">
        <v>0</v>
      </c>
      <c r="F3407" s="19" t="n">
        <v>0</v>
      </c>
      <c r="G3407" s="8" t="n">
        <f aca="false">IFERROR(INDEX('TRANS'!$B:$B,MATCH($B3407,'TRANS'!$A:$A,0)),IFERROR(INDEX('TRANS'!$B:$B,MATCH(TRIM(SUBSTITUTE($B3407,CHAR(160)," ")),'TRANS'!$D:$D,0)),IFERROR(INDEX('Catalog'!$A:$A,MATCH($B3407,'Catalog'!$B:$B,0)),IFERROR(INDEX('Catalog'!$A:$A,MATCH(TRIM(SUBSTITUTE($B3407,CHAR(160)," ")),'Catalog'!$C:$C,0)),""))))</f>
        <v>4415163</v>
      </c>
      <c r="H3407" s="8" t="str">
        <f aca="false">IFERROR(INDEX('TRANS'!$C:$C,MATCH($B3407,'TRANS'!$A:$A,0)),IFERROR(INDEX('Catalog'!$B:$B,MATCH($G3407,'Catalog'!$A:$A,0)),$B3407))</f>
        <v>238XL סד ליישור אצבע</v>
      </c>
      <c r="I3407" s="8" t="str">
        <f aca="false">IF($G3407="","Unmatched","Matched")</f>
        <v>Matched</v>
      </c>
      <c r="J3407" s="8" t="n">
        <f aca="false">IF($G3407&lt;&gt;"",$G3407,$B3407)</f>
        <v>4415163</v>
      </c>
      <c r="K3407" s="8" t="str">
        <f aca="false">IF(COUNTIF($M$1:$M$10,$A3407)&gt;0,"Y","N")</f>
        <v>N</v>
      </c>
    </row>
    <row r="3408" customFormat="false" ht="15" hidden="false" customHeight="true" outlineLevel="0" collapsed="false">
      <c r="A3408" s="8" t="s">
        <v>1082</v>
      </c>
      <c r="B3408" s="8" t="s">
        <v>586</v>
      </c>
      <c r="C3408" s="19" t="n">
        <v>24</v>
      </c>
      <c r="D3408" s="19" t="n">
        <v>389.34</v>
      </c>
      <c r="E3408" s="19" t="n">
        <v>0</v>
      </c>
      <c r="F3408" s="19" t="n">
        <v>0</v>
      </c>
      <c r="G3408" s="8" t="n">
        <f aca="false">IFERROR(INDEX('TRANS'!$B:$B,MATCH($B3408,'TRANS'!$A:$A,0)),IFERROR(INDEX('TRANS'!$B:$B,MATCH(TRIM(SUBSTITUTE($B3408,CHAR(160)," ")),'TRANS'!$D:$D,0)),IFERROR(INDEX('Catalog'!$A:$A,MATCH($B3408,'Catalog'!$B:$B,0)),IFERROR(INDEX('Catalog'!$A:$A,MATCH(TRIM(SUBSTITUTE($B3408,CHAR(160)," ")),'Catalog'!$C:$C,0)),""))))</f>
        <v>4419013</v>
      </c>
      <c r="H3408" s="8" t="str">
        <f aca="false">IFERROR(INDEX('TRANS'!$C:$C,MATCH($B3408,'TRANS'!$A:$A,0)),IFERROR(INDEX('Catalog'!$B:$B,MATCH($G3408,'Catalog'!$A:$A,0)),$B3408))</f>
        <v>239B L-XL STRAP4U</v>
      </c>
      <c r="I3408" s="8" t="str">
        <f aca="false">IF($G3408="","Unmatched","Matched")</f>
        <v>Matched</v>
      </c>
      <c r="J3408" s="8" t="n">
        <f aca="false">IF($G3408&lt;&gt;"",$G3408,$B3408)</f>
        <v>4419013</v>
      </c>
      <c r="K3408" s="8" t="str">
        <f aca="false">IF(COUNTIF($M$1:$M$10,$A3408)&gt;0,"Y","N")</f>
        <v>N</v>
      </c>
    </row>
    <row r="3409" customFormat="false" ht="15" hidden="false" customHeight="true" outlineLevel="0" collapsed="false">
      <c r="A3409" s="8" t="s">
        <v>1082</v>
      </c>
      <c r="B3409" s="8" t="s">
        <v>587</v>
      </c>
      <c r="C3409" s="19" t="n">
        <v>24</v>
      </c>
      <c r="D3409" s="19" t="n">
        <v>389.34</v>
      </c>
      <c r="E3409" s="19" t="n">
        <v>0</v>
      </c>
      <c r="F3409" s="19" t="n">
        <v>0</v>
      </c>
      <c r="G3409" s="8" t="n">
        <f aca="false">IFERROR(INDEX('TRANS'!$B:$B,MATCH($B3409,'TRANS'!$A:$A,0)),IFERROR(INDEX('TRANS'!$B:$B,MATCH(TRIM(SUBSTITUTE($B3409,CHAR(160)," ")),'TRANS'!$D:$D,0)),IFERROR(INDEX('Catalog'!$A:$A,MATCH($B3409,'Catalog'!$B:$B,0)),IFERROR(INDEX('Catalog'!$A:$A,MATCH(TRIM(SUBSTITUTE($B3409,CHAR(160)," ")),'Catalog'!$C:$C,0)),""))))</f>
        <v>4419011</v>
      </c>
      <c r="H3409" s="8" t="str">
        <f aca="false">IFERROR(INDEX('TRANS'!$C:$C,MATCH($B3409,'TRANS'!$A:$A,0)),IFERROR(INDEX('Catalog'!$B:$B,MATCH($G3409,'Catalog'!$A:$A,0)),$B3409))</f>
        <v>239B S-M STRAP4U</v>
      </c>
      <c r="I3409" s="8" t="str">
        <f aca="false">IF($G3409="","Unmatched","Matched")</f>
        <v>Matched</v>
      </c>
      <c r="J3409" s="8" t="n">
        <f aca="false">IF($G3409&lt;&gt;"",$G3409,$B3409)</f>
        <v>4419011</v>
      </c>
      <c r="K3409" s="8" t="str">
        <f aca="false">IF(COUNTIF($M$1:$M$10,$A3409)&gt;0,"Y","N")</f>
        <v>N</v>
      </c>
    </row>
    <row r="3410" customFormat="false" ht="15" hidden="false" customHeight="true" outlineLevel="0" collapsed="false">
      <c r="A3410" s="8" t="s">
        <v>1082</v>
      </c>
      <c r="B3410" s="8" t="s">
        <v>538</v>
      </c>
      <c r="C3410" s="19" t="n">
        <v>24</v>
      </c>
      <c r="D3410" s="19" t="n">
        <v>389.34</v>
      </c>
      <c r="E3410" s="19" t="n">
        <v>0</v>
      </c>
      <c r="F3410" s="19" t="n">
        <v>0</v>
      </c>
      <c r="G3410" s="8" t="str">
        <f aca="false">IFERROR(INDEX('TRANS'!$B:$B,MATCH($B3410,'TRANS'!$A:$A,0)),IFERROR(INDEX('TRANS'!$B:$B,MATCH(TRIM(SUBSTITUTE($B3410,CHAR(160)," ")),'TRANS'!$D:$D,0)),IFERROR(INDEX('Catalog'!$A:$A,MATCH($B3410,'Catalog'!$B:$B,0)),IFERROR(INDEX('Catalog'!$A:$A,MATCH(TRIM(SUBSTITUTE($B3410,CHAR(160)," ")),'Catalog'!$C:$C,0)),""))))</f>
        <v/>
      </c>
      <c r="H3410" s="8" t="str">
        <f aca="false">IFERROR(INDEX('TRANS'!$C:$C,MATCH($B3410,'TRANS'!$A:$A,0)),IFERROR(INDEX('Catalog'!$B:$B,MATCH($G3410,'Catalog'!$A:$A,0)),$B3410))</f>
        <v>239P-S-M</v>
      </c>
      <c r="I3410" s="8" t="str">
        <f aca="false">IF($G3410="","Unmatched","Matched")</f>
        <v>Unmatched</v>
      </c>
      <c r="J3410" s="8" t="str">
        <f aca="false">IF($G3410&lt;&gt;"",$G3410,$B3410)</f>
        <v>239P-S-M</v>
      </c>
      <c r="K3410" s="8" t="str">
        <f aca="false">IF(COUNTIF($M$1:$M$10,$A3410)&gt;0,"Y","N")</f>
        <v>N</v>
      </c>
    </row>
    <row r="3411" customFormat="false" ht="15" hidden="false" customHeight="true" outlineLevel="0" collapsed="false">
      <c r="A3411" s="8" t="s">
        <v>1082</v>
      </c>
      <c r="B3411" s="8" t="s">
        <v>588</v>
      </c>
      <c r="C3411" s="19" t="n">
        <v>24</v>
      </c>
      <c r="D3411" s="19" t="n">
        <v>389.34</v>
      </c>
      <c r="E3411" s="19" t="n">
        <v>0</v>
      </c>
      <c r="F3411" s="19" t="n">
        <v>0</v>
      </c>
      <c r="G3411" s="8" t="n">
        <f aca="false">IFERROR(INDEX('TRANS'!$B:$B,MATCH($B3411,'TRANS'!$A:$A,0)),IFERROR(INDEX('TRANS'!$B:$B,MATCH(TRIM(SUBSTITUTE($B3411,CHAR(160)," ")),'TRANS'!$D:$D,0)),IFERROR(INDEX('Catalog'!$A:$A,MATCH($B3411,'Catalog'!$B:$B,0)),IFERROR(INDEX('Catalog'!$A:$A,MATCH(TRIM(SUBSTITUTE($B3411,CHAR(160)," ")),'Catalog'!$C:$C,0)),""))))</f>
        <v>4419014</v>
      </c>
      <c r="H3411" s="8" t="str">
        <f aca="false">IFERROR(INDEX('TRANS'!$C:$C,MATCH($B3411,'TRANS'!$A:$A,0)),IFERROR(INDEX('Catalog'!$B:$B,MATCH($G3411,'Catalog'!$A:$A,0)),$B3411))</f>
        <v>239TR L-XL STRAP4U</v>
      </c>
      <c r="I3411" s="8" t="str">
        <f aca="false">IF($G3411="","Unmatched","Matched")</f>
        <v>Matched</v>
      </c>
      <c r="J3411" s="8" t="n">
        <f aca="false">IF($G3411&lt;&gt;"",$G3411,$B3411)</f>
        <v>4419014</v>
      </c>
      <c r="K3411" s="8" t="str">
        <f aca="false">IF(COUNTIF($M$1:$M$10,$A3411)&gt;0,"Y","N")</f>
        <v>N</v>
      </c>
    </row>
    <row r="3412" customFormat="false" ht="15" hidden="false" customHeight="true" outlineLevel="0" collapsed="false">
      <c r="A3412" s="8" t="s">
        <v>1082</v>
      </c>
      <c r="B3412" s="8" t="s">
        <v>589</v>
      </c>
      <c r="C3412" s="19" t="n">
        <v>30</v>
      </c>
      <c r="D3412" s="19" t="n">
        <v>611.46</v>
      </c>
      <c r="E3412" s="19" t="n">
        <v>0</v>
      </c>
      <c r="F3412" s="19" t="n">
        <v>0</v>
      </c>
      <c r="G3412" s="8" t="n">
        <f aca="false">IFERROR(INDEX('TRANS'!$B:$B,MATCH($B3412,'TRANS'!$A:$A,0)),IFERROR(INDEX('TRANS'!$B:$B,MATCH(TRIM(SUBSTITUTE($B3412,CHAR(160)," ")),'TRANS'!$D:$D,0)),IFERROR(INDEX('Catalog'!$A:$A,MATCH($B3412,'Catalog'!$B:$B,0)),IFERROR(INDEX('Catalog'!$A:$A,MATCH(TRIM(SUBSTITUTE($B3412,CHAR(160)," ")),'Catalog'!$C:$C,0)),""))))</f>
        <v>4421005</v>
      </c>
      <c r="H3412" s="8" t="str">
        <f aca="false">IFERROR(INDEX('TRANS'!$C:$C,MATCH($B3412,'TRANS'!$A:$A,0)),IFERROR(INDEX('Catalog'!$B:$B,MATCH($G3412,'Catalog'!$A:$A,0)),$B3412))</f>
        <v>שרוול לגבס קצר יד</v>
      </c>
      <c r="I3412" s="8" t="str">
        <f aca="false">IF($G3412="","Unmatched","Matched")</f>
        <v>Matched</v>
      </c>
      <c r="J3412" s="8" t="n">
        <f aca="false">IF($G3412&lt;&gt;"",$G3412,$B3412)</f>
        <v>4421005</v>
      </c>
      <c r="K3412" s="8" t="str">
        <f aca="false">IF(COUNTIF($M$1:$M$10,$A3412)&gt;0,"Y","N")</f>
        <v>N</v>
      </c>
    </row>
    <row r="3413" customFormat="false" ht="15" hidden="false" customHeight="true" outlineLevel="0" collapsed="false">
      <c r="A3413" s="8" t="s">
        <v>1082</v>
      </c>
      <c r="B3413" s="8" t="s">
        <v>590</v>
      </c>
      <c r="C3413" s="19" t="n">
        <v>60</v>
      </c>
      <c r="D3413" s="19" t="n">
        <v>1336.83</v>
      </c>
      <c r="E3413" s="19" t="n">
        <v>0</v>
      </c>
      <c r="F3413" s="19" t="n">
        <v>0</v>
      </c>
      <c r="G3413" s="8" t="n">
        <f aca="false">IFERROR(INDEX('TRANS'!$B:$B,MATCH($B3413,'TRANS'!$A:$A,0)),IFERROR(INDEX('TRANS'!$B:$B,MATCH(TRIM(SUBSTITUTE($B3413,CHAR(160)," ")),'TRANS'!$D:$D,0)),IFERROR(INDEX('Catalog'!$A:$A,MATCH($B3413,'Catalog'!$B:$B,0)),IFERROR(INDEX('Catalog'!$A:$A,MATCH(TRIM(SUBSTITUTE($B3413,CHAR(160)," ")),'Catalog'!$C:$C,0)),""))))</f>
        <v>4421006</v>
      </c>
      <c r="H3413" s="8" t="str">
        <f aca="false">IFERROR(INDEX('TRANS'!$C:$C,MATCH($B3413,'TRANS'!$A:$A,0)),IFERROR(INDEX('Catalog'!$B:$B,MATCH($G3413,'Catalog'!$A:$A,0)),$B3413))</f>
        <v>שרוול לגבס ארוך יד</v>
      </c>
      <c r="I3413" s="8" t="str">
        <f aca="false">IF($G3413="","Unmatched","Matched")</f>
        <v>Matched</v>
      </c>
      <c r="J3413" s="8" t="n">
        <f aca="false">IF($G3413&lt;&gt;"",$G3413,$B3413)</f>
        <v>4421006</v>
      </c>
      <c r="K3413" s="8" t="str">
        <f aca="false">IF(COUNTIF($M$1:$M$10,$A3413)&gt;0,"Y","N")</f>
        <v>N</v>
      </c>
    </row>
    <row r="3414" customFormat="false" ht="15" hidden="false" customHeight="true" outlineLevel="0" collapsed="false">
      <c r="A3414" s="8" t="s">
        <v>1082</v>
      </c>
      <c r="B3414" s="8" t="s">
        <v>595</v>
      </c>
      <c r="C3414" s="19" t="n">
        <v>10</v>
      </c>
      <c r="D3414" s="19" t="n">
        <v>298.72</v>
      </c>
      <c r="E3414" s="19" t="n">
        <v>0</v>
      </c>
      <c r="F3414" s="19" t="n">
        <v>0</v>
      </c>
      <c r="G3414" s="8" t="n">
        <f aca="false">IFERROR(INDEX('TRANS'!$B:$B,MATCH($B3414,'TRANS'!$A:$A,0)),IFERROR(INDEX('TRANS'!$B:$B,MATCH(TRIM(SUBSTITUTE($B3414,CHAR(160)," ")),'TRANS'!$D:$D,0)),IFERROR(INDEX('Catalog'!$A:$A,MATCH($B3414,'Catalog'!$B:$B,0)),IFERROR(INDEX('Catalog'!$A:$A,MATCH(TRIM(SUBSTITUTE($B3414,CHAR(160)," ")),'Catalog'!$C:$C,0)),""))))</f>
        <v>4413348</v>
      </c>
      <c r="H3414" s="8" t="str">
        <f aca="false">IFERROR(INDEX('TRANS'!$C:$C,MATCH($B3414,'TRANS'!$A:$A,0)),IFERROR(INDEX('Catalog'!$B:$B,MATCH($G3414,'Catalog'!$A:$A,0)),$B3414))</f>
        <v>302 מדרס ג'ל לגבר</v>
      </c>
      <c r="I3414" s="8" t="str">
        <f aca="false">IF($G3414="","Unmatched","Matched")</f>
        <v>Matched</v>
      </c>
      <c r="J3414" s="8" t="n">
        <f aca="false">IF($G3414&lt;&gt;"",$G3414,$B3414)</f>
        <v>4413348</v>
      </c>
      <c r="K3414" s="8" t="str">
        <f aca="false">IF(COUNTIF($M$1:$M$10,$A3414)&gt;0,"Y","N")</f>
        <v>N</v>
      </c>
    </row>
    <row r="3415" customFormat="false" ht="15" hidden="false" customHeight="true" outlineLevel="0" collapsed="false">
      <c r="A3415" s="8" t="s">
        <v>1082</v>
      </c>
      <c r="B3415" s="8" t="s">
        <v>601</v>
      </c>
      <c r="C3415" s="19" t="n">
        <v>20</v>
      </c>
      <c r="D3415" s="19" t="n">
        <v>597.44</v>
      </c>
      <c r="E3415" s="19" t="n">
        <v>0</v>
      </c>
      <c r="F3415" s="19" t="n">
        <v>0</v>
      </c>
      <c r="G3415" s="8" t="n">
        <f aca="false">IFERROR(INDEX('TRANS'!$B:$B,MATCH($B3415,'TRANS'!$A:$A,0)),IFERROR(INDEX('TRANS'!$B:$B,MATCH(TRIM(SUBSTITUTE($B3415,CHAR(160)," ")),'TRANS'!$D:$D,0)),IFERROR(INDEX('Catalog'!$A:$A,MATCH($B3415,'Catalog'!$B:$B,0)),IFERROR(INDEX('Catalog'!$A:$A,MATCH(TRIM(SUBSTITUTE($B3415,CHAR(160)," ")),'Catalog'!$C:$C,0)),""))))</f>
        <v>4416000</v>
      </c>
      <c r="H3415" s="8" t="str">
        <f aca="false">IFERROR(INDEX('TRANS'!$C:$C,MATCH($B3415,'TRANS'!$A:$A,0)),IFERROR(INDEX('Catalog'!$B:$B,MATCH($G3415,'Catalog'!$A:$A,0)),$B3415))</f>
        <v>307 L עקבים לדורבן-זוג כריות</v>
      </c>
      <c r="I3415" s="8" t="str">
        <f aca="false">IF($G3415="","Unmatched","Matched")</f>
        <v>Matched</v>
      </c>
      <c r="J3415" s="8" t="n">
        <f aca="false">IF($G3415&lt;&gt;"",$G3415,$B3415)</f>
        <v>4416000</v>
      </c>
      <c r="K3415" s="8" t="str">
        <f aca="false">IF(COUNTIF($M$1:$M$10,$A3415)&gt;0,"Y","N")</f>
        <v>N</v>
      </c>
    </row>
    <row r="3416" customFormat="false" ht="15" hidden="false" customHeight="true" outlineLevel="0" collapsed="false">
      <c r="A3416" s="8" t="s">
        <v>1082</v>
      </c>
      <c r="B3416" s="8" t="s">
        <v>602</v>
      </c>
      <c r="C3416" s="19" t="n">
        <v>15</v>
      </c>
      <c r="D3416" s="19" t="n">
        <v>448.08</v>
      </c>
      <c r="E3416" s="19" t="n">
        <v>0</v>
      </c>
      <c r="F3416" s="19" t="n">
        <v>0</v>
      </c>
      <c r="G3416" s="8" t="n">
        <f aca="false">IFERROR(INDEX('TRANS'!$B:$B,MATCH($B3416,'TRANS'!$A:$A,0)),IFERROR(INDEX('TRANS'!$B:$B,MATCH(TRIM(SUBSTITUTE($B3416,CHAR(160)," ")),'TRANS'!$D:$D,0)),IFERROR(INDEX('Catalog'!$A:$A,MATCH($B3416,'Catalog'!$B:$B,0)),IFERROR(INDEX('Catalog'!$A:$A,MATCH(TRIM(SUBSTITUTE($B3416,CHAR(160)," ")),'Catalog'!$C:$C,0)),""))))</f>
        <v>4416001</v>
      </c>
      <c r="H3416" s="8" t="str">
        <f aca="false">IFERROR(INDEX('TRANS'!$C:$C,MATCH($B3416,'TRANS'!$A:$A,0)),IFERROR(INDEX('Catalog'!$B:$B,MATCH($G3416,'Catalog'!$A:$A,0)),$B3416))</f>
        <v>307 M עקבים לדורבן-זוג כריות</v>
      </c>
      <c r="I3416" s="8" t="str">
        <f aca="false">IF($G3416="","Unmatched","Matched")</f>
        <v>Matched</v>
      </c>
      <c r="J3416" s="8" t="n">
        <f aca="false">IF($G3416&lt;&gt;"",$G3416,$B3416)</f>
        <v>4416001</v>
      </c>
      <c r="K3416" s="8" t="str">
        <f aca="false">IF(COUNTIF($M$1:$M$10,$A3416)&gt;0,"Y","N")</f>
        <v>N</v>
      </c>
    </row>
    <row r="3417" customFormat="false" ht="15" hidden="false" customHeight="true" outlineLevel="0" collapsed="false">
      <c r="A3417" s="8" t="s">
        <v>1082</v>
      </c>
      <c r="B3417" s="8" t="s">
        <v>960</v>
      </c>
      <c r="C3417" s="19" t="n">
        <v>10</v>
      </c>
      <c r="D3417" s="19" t="n">
        <v>298.72</v>
      </c>
      <c r="E3417" s="19" t="n">
        <v>0</v>
      </c>
      <c r="F3417" s="19" t="n">
        <v>0</v>
      </c>
      <c r="G3417" s="8" t="n">
        <f aca="false">IFERROR(INDEX('TRANS'!$B:$B,MATCH($B3417,'TRANS'!$A:$A,0)),IFERROR(INDEX('TRANS'!$B:$B,MATCH(TRIM(SUBSTITUTE($B3417,CHAR(160)," ")),'TRANS'!$D:$D,0)),IFERROR(INDEX('Catalog'!$A:$A,MATCH($B3417,'Catalog'!$B:$B,0)),IFERROR(INDEX('Catalog'!$A:$A,MATCH(TRIM(SUBSTITUTE($B3417,CHAR(160)," ")),'Catalog'!$C:$C,0)),""))))</f>
        <v>4416002</v>
      </c>
      <c r="H3417" s="8" t="str">
        <f aca="false">IFERROR(INDEX('TRANS'!$C:$C,MATCH($B3417,'TRANS'!$A:$A,0)),IFERROR(INDEX('Catalog'!$B:$B,MATCH($G3417,'Catalog'!$A:$A,0)),$B3417))</f>
        <v>307 S עקבים לדורבן-זוג כריות</v>
      </c>
      <c r="I3417" s="8" t="str">
        <f aca="false">IF($G3417="","Unmatched","Matched")</f>
        <v>Matched</v>
      </c>
      <c r="J3417" s="8" t="n">
        <f aca="false">IF($G3417&lt;&gt;"",$G3417,$B3417)</f>
        <v>4416002</v>
      </c>
      <c r="K3417" s="8" t="str">
        <f aca="false">IF(COUNTIF($M$1:$M$10,$A3417)&gt;0,"Y","N")</f>
        <v>N</v>
      </c>
    </row>
    <row r="3418" customFormat="false" ht="15" hidden="false" customHeight="true" outlineLevel="0" collapsed="false">
      <c r="A3418" s="8" t="s">
        <v>1082</v>
      </c>
      <c r="B3418" s="8" t="s">
        <v>603</v>
      </c>
      <c r="C3418" s="19" t="n">
        <v>15</v>
      </c>
      <c r="D3418" s="19" t="n">
        <v>448.08</v>
      </c>
      <c r="E3418" s="19" t="n">
        <v>0</v>
      </c>
      <c r="F3418" s="19" t="n">
        <v>0</v>
      </c>
      <c r="G3418" s="8" t="n">
        <f aca="false">IFERROR(INDEX('TRANS'!$B:$B,MATCH($B3418,'TRANS'!$A:$A,0)),IFERROR(INDEX('TRANS'!$B:$B,MATCH(TRIM(SUBSTITUTE($B3418,CHAR(160)," ")),'TRANS'!$D:$D,0)),IFERROR(INDEX('Catalog'!$A:$A,MATCH($B3418,'Catalog'!$B:$B,0)),IFERROR(INDEX('Catalog'!$A:$A,MATCH(TRIM(SUBSTITUTE($B3418,CHAR(160)," ")),'Catalog'!$C:$C,0)),""))))</f>
        <v>4411016</v>
      </c>
      <c r="H3418" s="8" t="str">
        <f aca="false">IFERROR(INDEX('TRANS'!$C:$C,MATCH($B3418,'TRANS'!$A:$A,0)),IFERROR(INDEX('Catalog'!$B:$B,MATCH($G3418,'Catalog'!$A:$A,0)),$B3418))</f>
        <v>307 XL כרית סיליקון לעקב</v>
      </c>
      <c r="I3418" s="8" t="str">
        <f aca="false">IF($G3418="","Unmatched","Matched")</f>
        <v>Matched</v>
      </c>
      <c r="J3418" s="8" t="n">
        <f aca="false">IF($G3418&lt;&gt;"",$G3418,$B3418)</f>
        <v>4411016</v>
      </c>
      <c r="K3418" s="8" t="str">
        <f aca="false">IF(COUNTIF($M$1:$M$10,$A3418)&gt;0,"Y","N")</f>
        <v>N</v>
      </c>
    </row>
    <row r="3419" customFormat="false" ht="15" hidden="false" customHeight="true" outlineLevel="0" collapsed="false">
      <c r="A3419" s="8" t="s">
        <v>1082</v>
      </c>
      <c r="B3419" s="8" t="s">
        <v>867</v>
      </c>
      <c r="C3419" s="19" t="n">
        <v>30</v>
      </c>
      <c r="D3419" s="19" t="n">
        <v>1746.64</v>
      </c>
      <c r="E3419" s="19" t="n">
        <v>0</v>
      </c>
      <c r="F3419" s="19" t="n">
        <v>0</v>
      </c>
      <c r="G3419" s="8" t="n">
        <f aca="false">IFERROR(INDEX('TRANS'!$B:$B,MATCH($B3419,'TRANS'!$A:$A,0)),IFERROR(INDEX('TRANS'!$B:$B,MATCH(TRIM(SUBSTITUTE($B3419,CHAR(160)," ")),'TRANS'!$D:$D,0)),IFERROR(INDEX('Catalog'!$A:$A,MATCH($B3419,'Catalog'!$B:$B,0)),IFERROR(INDEX('Catalog'!$A:$A,MATCH(TRIM(SUBSTITUTE($B3419,CHAR(160)," ")),'Catalog'!$C:$C,0)),""))))</f>
        <v>4415019</v>
      </c>
      <c r="H3419" s="8" t="str">
        <f aca="false">IFERROR(INDEX('TRANS'!$C:$C,MATCH($B3419,'TRANS'!$A:$A,0)),IFERROR(INDEX('Catalog'!$B:$B,MATCH($G3419,'Catalog'!$A:$A,0)),$B3419))</f>
        <v>333 סד לקרסול עם כריות אויר</v>
      </c>
      <c r="I3419" s="8" t="str">
        <f aca="false">IF($G3419="","Unmatched","Matched")</f>
        <v>Matched</v>
      </c>
      <c r="J3419" s="8" t="n">
        <f aca="false">IF($G3419&lt;&gt;"",$G3419,$B3419)</f>
        <v>4415019</v>
      </c>
      <c r="K3419" s="8" t="str">
        <f aca="false">IF(COUNTIF($M$1:$M$10,$A3419)&gt;0,"Y","N")</f>
        <v>N</v>
      </c>
    </row>
    <row r="3420" customFormat="false" ht="15" hidden="false" customHeight="true" outlineLevel="0" collapsed="false">
      <c r="A3420" s="8" t="s">
        <v>1082</v>
      </c>
      <c r="B3420" s="8" t="s">
        <v>623</v>
      </c>
      <c r="C3420" s="19" t="n">
        <v>40</v>
      </c>
      <c r="D3420" s="19" t="n">
        <v>1081.66</v>
      </c>
      <c r="E3420" s="19" t="n">
        <v>0</v>
      </c>
      <c r="F3420" s="19" t="n">
        <v>0</v>
      </c>
      <c r="G3420" s="8" t="n">
        <f aca="false">IFERROR(INDEX('TRANS'!$B:$B,MATCH($B3420,'TRANS'!$A:$A,0)),IFERROR(INDEX('TRANS'!$B:$B,MATCH(TRIM(SUBSTITUTE($B3420,CHAR(160)," ")),'TRANS'!$D:$D,0)),IFERROR(INDEX('Catalog'!$A:$A,MATCH($B3420,'Catalog'!$B:$B,0)),IFERROR(INDEX('Catalog'!$A:$A,MATCH(TRIM(SUBSTITUTE($B3420,CHAR(160)," ")),'Catalog'!$C:$C,0)),""))))</f>
        <v>4421007</v>
      </c>
      <c r="H3420" s="8" t="str">
        <f aca="false">IFERROR(INDEX('TRANS'!$C:$C,MATCH($B3420,'TRANS'!$A:$A,0)),IFERROR(INDEX('Catalog'!$B:$B,MATCH($G3420,'Catalog'!$A:$A,0)),$B3420))</f>
        <v>שרוול לגבס קצר רגל</v>
      </c>
      <c r="I3420" s="8" t="str">
        <f aca="false">IF($G3420="","Unmatched","Matched")</f>
        <v>Matched</v>
      </c>
      <c r="J3420" s="8" t="n">
        <f aca="false">IF($G3420&lt;&gt;"",$G3420,$B3420)</f>
        <v>4421007</v>
      </c>
      <c r="K3420" s="8" t="str">
        <f aca="false">IF(COUNTIF($M$1:$M$10,$A3420)&gt;0,"Y","N")</f>
        <v>N</v>
      </c>
    </row>
    <row r="3421" customFormat="false" ht="15" hidden="false" customHeight="true" outlineLevel="0" collapsed="false">
      <c r="A3421" s="8" t="s">
        <v>1082</v>
      </c>
      <c r="B3421" s="8" t="s">
        <v>624</v>
      </c>
      <c r="C3421" s="19" t="n">
        <v>50</v>
      </c>
      <c r="D3421" s="19" t="n">
        <v>1428.5</v>
      </c>
      <c r="E3421" s="19" t="n">
        <v>0</v>
      </c>
      <c r="F3421" s="19" t="n">
        <v>0</v>
      </c>
      <c r="G3421" s="8" t="n">
        <f aca="false">IFERROR(INDEX('TRANS'!$B:$B,MATCH($B3421,'TRANS'!$A:$A,0)),IFERROR(INDEX('TRANS'!$B:$B,MATCH(TRIM(SUBSTITUTE($B3421,CHAR(160)," ")),'TRANS'!$D:$D,0)),IFERROR(INDEX('Catalog'!$A:$A,MATCH($B3421,'Catalog'!$B:$B,0)),IFERROR(INDEX('Catalog'!$A:$A,MATCH(TRIM(SUBSTITUTE($B3421,CHAR(160)," ")),'Catalog'!$C:$C,0)),""))))</f>
        <v>4421008</v>
      </c>
      <c r="H3421" s="8" t="str">
        <f aca="false">IFERROR(INDEX('TRANS'!$C:$C,MATCH($B3421,'TRANS'!$A:$A,0)),IFERROR(INDEX('Catalog'!$B:$B,MATCH($G3421,'Catalog'!$A:$A,0)),$B3421))</f>
        <v>שרוול לגבס ארוך רגל</v>
      </c>
      <c r="I3421" s="8" t="str">
        <f aca="false">IF($G3421="","Unmatched","Matched")</f>
        <v>Matched</v>
      </c>
      <c r="J3421" s="8" t="n">
        <f aca="false">IF($G3421&lt;&gt;"",$G3421,$B3421)</f>
        <v>4421008</v>
      </c>
      <c r="K3421" s="8" t="str">
        <f aca="false">IF(COUNTIF($M$1:$M$10,$A3421)&gt;0,"Y","N")</f>
        <v>N</v>
      </c>
    </row>
    <row r="3422" customFormat="false" ht="15" hidden="false" customHeight="true" outlineLevel="0" collapsed="false">
      <c r="A3422" s="8" t="s">
        <v>1082</v>
      </c>
      <c r="B3422" s="8" t="s">
        <v>625</v>
      </c>
      <c r="C3422" s="19" t="n">
        <v>10</v>
      </c>
      <c r="D3422" s="19" t="n">
        <v>342.47</v>
      </c>
      <c r="E3422" s="19" t="n">
        <v>0</v>
      </c>
      <c r="F3422" s="19" t="n">
        <v>0</v>
      </c>
      <c r="G3422" s="8" t="n">
        <f aca="false">IFERROR(INDEX('TRANS'!$B:$B,MATCH($B3422,'TRANS'!$A:$A,0)),IFERROR(INDEX('TRANS'!$B:$B,MATCH(TRIM(SUBSTITUTE($B3422,CHAR(160)," ")),'TRANS'!$D:$D,0)),IFERROR(INDEX('Catalog'!$A:$A,MATCH($B3422,'Catalog'!$B:$B,0)),IFERROR(INDEX('Catalog'!$A:$A,MATCH(TRIM(SUBSTITUTE($B3422,CHAR(160)," ")),'Catalog'!$C:$C,0)),""))))</f>
        <v>4421001</v>
      </c>
      <c r="H3422" s="8" t="str">
        <f aca="false">IFERROR(INDEX('TRANS'!$C:$C,MATCH($B3422,'TRANS'!$A:$A,0)),IFERROR(INDEX('Catalog'!$B:$B,MATCH($G3422,'Catalog'!$A:$A,0)),$B3422))</f>
        <v>3611 שרוול מטטרזלי מסיליקון</v>
      </c>
      <c r="I3422" s="8" t="str">
        <f aca="false">IF($G3422="","Unmatched","Matched")</f>
        <v>Matched</v>
      </c>
      <c r="J3422" s="8" t="n">
        <f aca="false">IF($G3422&lt;&gt;"",$G3422,$B3422)</f>
        <v>4421001</v>
      </c>
      <c r="K3422" s="8" t="str">
        <f aca="false">IF(COUNTIF($M$1:$M$10,$A3422)&gt;0,"Y","N")</f>
        <v>N</v>
      </c>
    </row>
    <row r="3423" customFormat="false" ht="15" hidden="false" customHeight="true" outlineLevel="0" collapsed="false">
      <c r="A3423" s="8" t="s">
        <v>1082</v>
      </c>
      <c r="B3423" s="8" t="s">
        <v>628</v>
      </c>
      <c r="C3423" s="19" t="n">
        <v>20</v>
      </c>
      <c r="D3423" s="19" t="n">
        <v>334.87</v>
      </c>
      <c r="E3423" s="19" t="n">
        <v>0</v>
      </c>
      <c r="F3423" s="19" t="n">
        <v>0</v>
      </c>
      <c r="G3423" s="8" t="n">
        <f aca="false">IFERROR(INDEX('TRANS'!$B:$B,MATCH($B3423,'TRANS'!$A:$A,0)),IFERROR(INDEX('TRANS'!$B:$B,MATCH(TRIM(SUBSTITUTE($B3423,CHAR(160)," ")),'TRANS'!$D:$D,0)),IFERROR(INDEX('Catalog'!$A:$A,MATCH($B3423,'Catalog'!$B:$B,0)),IFERROR(INDEX('Catalog'!$A:$A,MATCH(TRIM(SUBSTITUTE($B3423,CHAR(160)," ")),'Catalog'!$C:$C,0)),""))))</f>
        <v>4411001</v>
      </c>
      <c r="H3423" s="8" t="str">
        <f aca="false">IFERROR(INDEX('TRANS'!$C:$C,MATCH($B3423,'TRANS'!$A:$A,0)),IFERROR(INDEX('Catalog'!$B:$B,MATCH($G3423,'Catalog'!$A:$A,0)),$B3423))</f>
        <v>3623 כרית ליישור אצבע פטיש</v>
      </c>
      <c r="I3423" s="8" t="str">
        <f aca="false">IF($G3423="","Unmatched","Matched")</f>
        <v>Matched</v>
      </c>
      <c r="J3423" s="8" t="n">
        <f aca="false">IF($G3423&lt;&gt;"",$G3423,$B3423)</f>
        <v>4411001</v>
      </c>
      <c r="K3423" s="8" t="str">
        <f aca="false">IF(COUNTIF($M$1:$M$10,$A3423)&gt;0,"Y","N")</f>
        <v>N</v>
      </c>
    </row>
    <row r="3424" customFormat="false" ht="15" hidden="false" customHeight="true" outlineLevel="0" collapsed="false">
      <c r="A3424" s="8" t="s">
        <v>1082</v>
      </c>
      <c r="B3424" s="8" t="s">
        <v>59</v>
      </c>
      <c r="C3424" s="19" t="n">
        <v>10</v>
      </c>
      <c r="D3424" s="19" t="n">
        <v>97.41</v>
      </c>
      <c r="E3424" s="19" t="n">
        <v>0</v>
      </c>
      <c r="F3424" s="19" t="n">
        <v>0</v>
      </c>
      <c r="G3424" s="8" t="str">
        <f aca="false">IFERROR(INDEX('TRANS'!$B:$B,MATCH($B3424,'TRANS'!$A:$A,0)),IFERROR(INDEX('TRANS'!$B:$B,MATCH(TRIM(SUBSTITUTE($B3424,CHAR(160)," ")),'TRANS'!$D:$D,0)),IFERROR(INDEX('Catalog'!$A:$A,MATCH($B3424,'Catalog'!$B:$B,0)),IFERROR(INDEX('Catalog'!$A:$A,MATCH(TRIM(SUBSTITUTE($B3424,CHAR(160)," ")),'Catalog'!$C:$C,0)),""))))</f>
        <v/>
      </c>
      <c r="H3424" s="8" t="str">
        <f aca="false">IFERROR(INDEX('TRANS'!$C:$C,MATCH($B3424,'TRANS'!$A:$A,0)),IFERROR(INDEX('Catalog'!$B:$B,MATCH($G3424,'Catalog'!$A:$A,0)),$B3424))</f>
        <v>363 L/R</v>
      </c>
      <c r="I3424" s="8" t="str">
        <f aca="false">IF($G3424="","Unmatched","Matched")</f>
        <v>Unmatched</v>
      </c>
      <c r="J3424" s="8" t="str">
        <f aca="false">IF($G3424&lt;&gt;"",$G3424,$B3424)</f>
        <v>363 L/R</v>
      </c>
      <c r="K3424" s="8" t="str">
        <f aca="false">IF(COUNTIF($M$1:$M$10,$A3424)&gt;0,"Y","N")</f>
        <v>N</v>
      </c>
    </row>
    <row r="3425" customFormat="false" ht="15" hidden="false" customHeight="true" outlineLevel="0" collapsed="false">
      <c r="A3425" s="8" t="s">
        <v>1082</v>
      </c>
      <c r="B3425" s="8" t="s">
        <v>631</v>
      </c>
      <c r="C3425" s="19" t="n">
        <v>40</v>
      </c>
      <c r="D3425" s="19" t="n">
        <v>228.32</v>
      </c>
      <c r="E3425" s="19" t="n">
        <v>0</v>
      </c>
      <c r="F3425" s="19" t="n">
        <v>0</v>
      </c>
      <c r="G3425" s="8" t="n">
        <f aca="false">IFERROR(INDEX('TRANS'!$B:$B,MATCH($B3425,'TRANS'!$A:$A,0)),IFERROR(INDEX('TRANS'!$B:$B,MATCH(TRIM(SUBSTITUTE($B3425,CHAR(160)," ")),'TRANS'!$D:$D,0)),IFERROR(INDEX('Catalog'!$A:$A,MATCH($B3425,'Catalog'!$B:$B,0)),IFERROR(INDEX('Catalog'!$A:$A,MATCH(TRIM(SUBSTITUTE($B3425,CHAR(160)," ")),'Catalog'!$C:$C,0)),""))))</f>
        <v>4413061</v>
      </c>
      <c r="H3425" s="8" t="str">
        <f aca="false">IFERROR(INDEX('TRANS'!$C:$C,MATCH($B3425,'TRANS'!$A:$A,0)),IFERROR(INDEX('Catalog'!$B:$B,MATCH($G3425,'Catalog'!$A:$A,0)),$B3425))</f>
        <v>3641-מיישר בוהן סיליקון קשיח</v>
      </c>
      <c r="I3425" s="8" t="str">
        <f aca="false">IF($G3425="","Unmatched","Matched")</f>
        <v>Matched</v>
      </c>
      <c r="J3425" s="8" t="n">
        <f aca="false">IF($G3425&lt;&gt;"",$G3425,$B3425)</f>
        <v>4413061</v>
      </c>
      <c r="K3425" s="8" t="str">
        <f aca="false">IF(COUNTIF($M$1:$M$10,$A3425)&gt;0,"Y","N")</f>
        <v>N</v>
      </c>
    </row>
    <row r="3426" customFormat="false" ht="15" hidden="false" customHeight="true" outlineLevel="0" collapsed="false">
      <c r="A3426" s="8" t="s">
        <v>1082</v>
      </c>
      <c r="B3426" s="8" t="s">
        <v>632</v>
      </c>
      <c r="C3426" s="19" t="n">
        <v>15</v>
      </c>
      <c r="D3426" s="19" t="n">
        <v>102.74</v>
      </c>
      <c r="E3426" s="19" t="n">
        <v>0</v>
      </c>
      <c r="F3426" s="19" t="n">
        <v>0</v>
      </c>
      <c r="G3426" s="8" t="n">
        <f aca="false">IFERROR(INDEX('TRANS'!$B:$B,MATCH($B3426,'TRANS'!$A:$A,0)),IFERROR(INDEX('TRANS'!$B:$B,MATCH(TRIM(SUBSTITUTE($B3426,CHAR(160)," ")),'TRANS'!$D:$D,0)),IFERROR(INDEX('Catalog'!$A:$A,MATCH($B3426,'Catalog'!$B:$B,0)),IFERROR(INDEX('Catalog'!$A:$A,MATCH(TRIM(SUBSTITUTE($B3426,CHAR(160)," ")),'Catalog'!$C:$C,0)),""))))</f>
        <v>4409000</v>
      </c>
      <c r="H3426" s="8" t="str">
        <f aca="false">IFERROR(INDEX('TRANS'!$C:$C,MATCH($B3426,'TRANS'!$A:$A,0)),IFERROR(INDEX('Catalog'!$B:$B,MATCH($G3426,'Catalog'!$A:$A,0)),$B3426))</f>
        <v>365 S-Lטבעת אלסטית מסיליקון</v>
      </c>
      <c r="I3426" s="8" t="str">
        <f aca="false">IF($G3426="","Unmatched","Matched")</f>
        <v>Matched</v>
      </c>
      <c r="J3426" s="8" t="n">
        <f aca="false">IF($G3426&lt;&gt;"",$G3426,$B3426)</f>
        <v>4409000</v>
      </c>
      <c r="K3426" s="8" t="str">
        <f aca="false">IF(COUNTIF($M$1:$M$10,$A3426)&gt;0,"Y","N")</f>
        <v>N</v>
      </c>
    </row>
    <row r="3427" customFormat="false" ht="15" hidden="false" customHeight="true" outlineLevel="0" collapsed="false">
      <c r="A3427" s="8" t="s">
        <v>1082</v>
      </c>
      <c r="B3427" s="8" t="s">
        <v>633</v>
      </c>
      <c r="C3427" s="19" t="n">
        <v>20</v>
      </c>
      <c r="D3427" s="19" t="n">
        <v>182.66</v>
      </c>
      <c r="E3427" s="19" t="n">
        <v>0</v>
      </c>
      <c r="F3427" s="19" t="n">
        <v>0</v>
      </c>
      <c r="G3427" s="8" t="n">
        <f aca="false">IFERROR(INDEX('TRANS'!$B:$B,MATCH($B3427,'TRANS'!$A:$A,0)),IFERROR(INDEX('TRANS'!$B:$B,MATCH(TRIM(SUBSTITUTE($B3427,CHAR(160)," ")),'TRANS'!$D:$D,0)),IFERROR(INDEX('Catalog'!$A:$A,MATCH($B3427,'Catalog'!$B:$B,0)),IFERROR(INDEX('Catalog'!$A:$A,MATCH(TRIM(SUBSTITUTE($B3427,CHAR(160)," ")),'Catalog'!$C:$C,0)),""))))</f>
        <v>4421000</v>
      </c>
      <c r="H3427" s="8" t="str">
        <f aca="false">IFERROR(INDEX('TRANS'!$C:$C,MATCH($B3427,'TRANS'!$A:$A,0)),IFERROR(INDEX('Catalog'!$B:$B,MATCH($G3427,'Catalog'!$A:$A,0)),$B3427))</f>
        <v>3655 שרוול מסיליקון לאצבע</v>
      </c>
      <c r="I3427" s="8" t="str">
        <f aca="false">IF($G3427="","Unmatched","Matched")</f>
        <v>Matched</v>
      </c>
      <c r="J3427" s="8" t="n">
        <f aca="false">IF($G3427&lt;&gt;"",$G3427,$B3427)</f>
        <v>4421000</v>
      </c>
      <c r="K3427" s="8" t="str">
        <f aca="false">IF(COUNTIF($M$1:$M$10,$A3427)&gt;0,"Y","N")</f>
        <v>N</v>
      </c>
    </row>
    <row r="3428" customFormat="false" ht="15" hidden="false" customHeight="true" outlineLevel="0" collapsed="false">
      <c r="A3428" s="8" t="s">
        <v>1082</v>
      </c>
      <c r="B3428" s="8" t="s">
        <v>638</v>
      </c>
      <c r="C3428" s="19" t="n">
        <v>40</v>
      </c>
      <c r="D3428" s="19" t="n">
        <v>707.79</v>
      </c>
      <c r="E3428" s="19" t="n">
        <v>0</v>
      </c>
      <c r="F3428" s="19" t="n">
        <v>0</v>
      </c>
      <c r="G3428" s="8" t="n">
        <f aca="false">IFERROR(INDEX('TRANS'!$B:$B,MATCH($B3428,'TRANS'!$A:$A,0)),IFERROR(INDEX('TRANS'!$B:$B,MATCH(TRIM(SUBSTITUTE($B3428,CHAR(160)," ")),'TRANS'!$D:$D,0)),IFERROR(INDEX('Catalog'!$A:$A,MATCH($B3428,'Catalog'!$B:$B,0)),IFERROR(INDEX('Catalog'!$A:$A,MATCH(TRIM(SUBSTITUTE($B3428,CHAR(160)," ")),'Catalog'!$C:$C,0)),""))))</f>
        <v>4413370</v>
      </c>
      <c r="H3428" s="8" t="str">
        <f aca="false">IFERROR(INDEX('TRANS'!$C:$C,MATCH($B3428,'TRANS'!$A:$A,0)),IFERROR(INDEX('Catalog'!$B:$B,MATCH($G3428,'Catalog'!$A:$A,0)),$B3428))</f>
        <v>3674 0 מ.בוניון+מפריד אצבע</v>
      </c>
      <c r="I3428" s="8" t="str">
        <f aca="false">IF($G3428="","Unmatched","Matched")</f>
        <v>Matched</v>
      </c>
      <c r="J3428" s="8" t="n">
        <f aca="false">IF($G3428&lt;&gt;"",$G3428,$B3428)</f>
        <v>4413370</v>
      </c>
      <c r="K3428" s="8" t="str">
        <f aca="false">IF(COUNTIF($M$1:$M$10,$A3428)&gt;0,"Y","N")</f>
        <v>N</v>
      </c>
    </row>
    <row r="3429" customFormat="false" ht="15" hidden="false" customHeight="true" outlineLevel="0" collapsed="false">
      <c r="A3429" s="8" t="s">
        <v>1082</v>
      </c>
      <c r="B3429" s="8" t="s">
        <v>639</v>
      </c>
      <c r="C3429" s="19" t="n">
        <v>15</v>
      </c>
      <c r="D3429" s="19" t="n">
        <v>216.9</v>
      </c>
      <c r="E3429" s="19" t="n">
        <v>0</v>
      </c>
      <c r="F3429" s="19" t="n">
        <v>0</v>
      </c>
      <c r="G3429" s="8" t="n">
        <f aca="false">IFERROR(INDEX('TRANS'!$B:$B,MATCH($B3429,'TRANS'!$A:$A,0)),IFERROR(INDEX('TRANS'!$B:$B,MATCH(TRIM(SUBSTITUTE($B3429,CHAR(160)," ")),'TRANS'!$D:$D,0)),IFERROR(INDEX('Catalog'!$A:$A,MATCH($B3429,'Catalog'!$B:$B,0)),IFERROR(INDEX('Catalog'!$A:$A,MATCH(TRIM(SUBSTITUTE($B3429,CHAR(160)," ")),'Catalog'!$C:$C,0)),""))))</f>
        <v>4413371</v>
      </c>
      <c r="H3429" s="8" t="str">
        <f aca="false">IFERROR(INDEX('TRANS'!$C:$C,MATCH($B3429,'TRANS'!$A:$A,0)),IFERROR(INDEX('Catalog'!$B:$B,MATCH($G3429,'Catalog'!$A:$A,0)),$B3429))</f>
        <v>3675    מגן זרת מסיליקון</v>
      </c>
      <c r="I3429" s="8" t="str">
        <f aca="false">IF($G3429="","Unmatched","Matched")</f>
        <v>Matched</v>
      </c>
      <c r="J3429" s="8" t="n">
        <f aca="false">IF($G3429&lt;&gt;"",$G3429,$B3429)</f>
        <v>4413371</v>
      </c>
      <c r="K3429" s="8" t="str">
        <f aca="false">IF(COUNTIF($M$1:$M$10,$A3429)&gt;0,"Y","N")</f>
        <v>N</v>
      </c>
    </row>
    <row r="3430" customFormat="false" ht="15" hidden="false" customHeight="true" outlineLevel="0" collapsed="false">
      <c r="A3430" s="8" t="s">
        <v>1082</v>
      </c>
      <c r="B3430" s="8" t="s">
        <v>648</v>
      </c>
      <c r="C3430" s="19" t="n">
        <v>10</v>
      </c>
      <c r="D3430" s="19" t="n">
        <v>350.09</v>
      </c>
      <c r="E3430" s="19" t="n">
        <v>0</v>
      </c>
      <c r="F3430" s="19" t="n">
        <v>0</v>
      </c>
      <c r="G3430" s="8" t="n">
        <f aca="false">IFERROR(INDEX('TRANS'!$B:$B,MATCH($B3430,'TRANS'!$A:$A,0)),IFERROR(INDEX('TRANS'!$B:$B,MATCH(TRIM(SUBSTITUTE($B3430,CHAR(160)," ")),'TRANS'!$D:$D,0)),IFERROR(INDEX('Catalog'!$A:$A,MATCH($B3430,'Catalog'!$B:$B,0)),IFERROR(INDEX('Catalog'!$A:$A,MATCH(TRIM(SUBSTITUTE($B3430,CHAR(160)," ")),'Catalog'!$C:$C,0)),""))))</f>
        <v>4408069</v>
      </c>
      <c r="H3430" s="8" t="str">
        <f aca="false">IFERROR(INDEX('TRANS'!$C:$C,MATCH($B3430,'TRANS'!$A:$A,0)),IFERROR(INDEX('Catalog'!$B:$B,MATCH($G3430,'Catalog'!$A:$A,0)),$B3430))</f>
        <v>38 .חבישת""""הלוקס ולגוס""""לאחר נית</v>
      </c>
      <c r="I3430" s="8" t="str">
        <f aca="false">IF($G3430="","Unmatched","Matched")</f>
        <v>Matched</v>
      </c>
      <c r="J3430" s="8" t="n">
        <f aca="false">IF($G3430&lt;&gt;"",$G3430,$B3430)</f>
        <v>4408069</v>
      </c>
      <c r="K3430" s="8" t="str">
        <f aca="false">IF(COUNTIF($M$1:$M$10,$A3430)&gt;0,"Y","N")</f>
        <v>N</v>
      </c>
    </row>
    <row r="3431" customFormat="false" ht="15" hidden="false" customHeight="true" outlineLevel="0" collapsed="false">
      <c r="A3431" s="8" t="s">
        <v>1082</v>
      </c>
      <c r="B3431" s="8" t="s">
        <v>649</v>
      </c>
      <c r="C3431" s="19" t="n">
        <v>40</v>
      </c>
      <c r="D3431" s="19" t="n">
        <v>715.4</v>
      </c>
      <c r="E3431" s="19" t="n">
        <v>0</v>
      </c>
      <c r="F3431" s="19" t="n">
        <v>0</v>
      </c>
      <c r="G3431" s="8" t="n">
        <f aca="false">IFERROR(INDEX('TRANS'!$B:$B,MATCH($B3431,'TRANS'!$A:$A,0)),IFERROR(INDEX('TRANS'!$B:$B,MATCH(TRIM(SUBSTITUTE($B3431,CHAR(160)," ")),'TRANS'!$D:$D,0)),IFERROR(INDEX('Catalog'!$A:$A,MATCH($B3431,'Catalog'!$B:$B,0)),IFERROR(INDEX('Catalog'!$A:$A,MATCH(TRIM(SUBSTITUTE($B3431,CHAR(160)," ")),'Catalog'!$C:$C,0)),""))))</f>
        <v>4413452</v>
      </c>
      <c r="H3431" s="8" t="str">
        <f aca="false">IFERROR(INDEX('TRANS'!$C:$C,MATCH($B3431,'TRANS'!$A:$A,0)),IFERROR(INDEX('Catalog'!$B:$B,MATCH($G3431,'Catalog'!$A:$A,0)),$B3431))</f>
        <v>386  מיישר בוניון-האלוקס ולגוס</v>
      </c>
      <c r="I3431" s="8" t="str">
        <f aca="false">IF($G3431="","Unmatched","Matched")</f>
        <v>Matched</v>
      </c>
      <c r="J3431" s="8" t="n">
        <f aca="false">IF($G3431&lt;&gt;"",$G3431,$B3431)</f>
        <v>4413452</v>
      </c>
      <c r="K3431" s="8" t="str">
        <f aca="false">IF(COUNTIF($M$1:$M$10,$A3431)&gt;0,"Y","N")</f>
        <v>N</v>
      </c>
    </row>
    <row r="3432" customFormat="false" ht="15" hidden="false" customHeight="true" outlineLevel="0" collapsed="false">
      <c r="A3432" s="8" t="s">
        <v>1082</v>
      </c>
      <c r="B3432" s="8" t="s">
        <v>650</v>
      </c>
      <c r="C3432" s="19" t="n">
        <v>10</v>
      </c>
      <c r="D3432" s="19" t="n">
        <v>364.51</v>
      </c>
      <c r="E3432" s="19" t="n">
        <v>0</v>
      </c>
      <c r="F3432" s="19" t="n">
        <v>0</v>
      </c>
      <c r="G3432" s="8" t="n">
        <f aca="false">IFERROR(INDEX('TRANS'!$B:$B,MATCH($B3432,'TRANS'!$A:$A,0)),IFERROR(INDEX('TRANS'!$B:$B,MATCH(TRIM(SUBSTITUTE($B3432,CHAR(160)," ")),'TRANS'!$D:$D,0)),IFERROR(INDEX('Catalog'!$A:$A,MATCH($B3432,'Catalog'!$B:$B,0)),IFERROR(INDEX('Catalog'!$A:$A,MATCH(TRIM(SUBSTITUTE($B3432,CHAR(160)," ")),'Catalog'!$C:$C,0)),""))))</f>
        <v>4415298</v>
      </c>
      <c r="H3432" s="8" t="str">
        <f aca="false">IFERROR(INDEX('TRANS'!$C:$C,MATCH($B3432,'TRANS'!$A:$A,0)),IFERROR(INDEX('Catalog'!$B:$B,MATCH($G3432,'Catalog'!$A:$A,0)),$B3432))</f>
        <v>388B L סד לילה שחור לבוהן שמאל</v>
      </c>
      <c r="I3432" s="8" t="str">
        <f aca="false">IF($G3432="","Unmatched","Matched")</f>
        <v>Matched</v>
      </c>
      <c r="J3432" s="8" t="n">
        <f aca="false">IF($G3432&lt;&gt;"",$G3432,$B3432)</f>
        <v>4415298</v>
      </c>
      <c r="K3432" s="8" t="str">
        <f aca="false">IF(COUNTIF($M$1:$M$10,$A3432)&gt;0,"Y","N")</f>
        <v>N</v>
      </c>
    </row>
    <row r="3433" customFormat="false" ht="15" hidden="false" customHeight="true" outlineLevel="0" collapsed="false">
      <c r="A3433" s="8" t="s">
        <v>1082</v>
      </c>
      <c r="B3433" s="8" t="s">
        <v>651</v>
      </c>
      <c r="C3433" s="19" t="n">
        <v>10</v>
      </c>
      <c r="D3433" s="19" t="n">
        <v>364.51</v>
      </c>
      <c r="E3433" s="19" t="n">
        <v>0</v>
      </c>
      <c r="F3433" s="19" t="n">
        <v>0</v>
      </c>
      <c r="G3433" s="8" t="n">
        <f aca="false">IFERROR(INDEX('TRANS'!$B:$B,MATCH($B3433,'TRANS'!$A:$A,0)),IFERROR(INDEX('TRANS'!$B:$B,MATCH(TRIM(SUBSTITUTE($B3433,CHAR(160)," ")),'TRANS'!$D:$D,0)),IFERROR(INDEX('Catalog'!$A:$A,MATCH($B3433,'Catalog'!$B:$B,0)),IFERROR(INDEX('Catalog'!$A:$A,MATCH(TRIM(SUBSTITUTE($B3433,CHAR(160)," ")),'Catalog'!$C:$C,0)),""))))</f>
        <v>4415299</v>
      </c>
      <c r="H3433" s="8" t="str">
        <f aca="false">IFERROR(INDEX('TRANS'!$C:$C,MATCH($B3433,'TRANS'!$A:$A,0)),IFERROR(INDEX('Catalog'!$B:$B,MATCH($G3433,'Catalog'!$A:$A,0)),$B3433))</f>
        <v>388B L סד לילה שחור לבוהן ימין</v>
      </c>
      <c r="I3433" s="8" t="str">
        <f aca="false">IF($G3433="","Unmatched","Matched")</f>
        <v>Matched</v>
      </c>
      <c r="J3433" s="8" t="n">
        <f aca="false">IF($G3433&lt;&gt;"",$G3433,$B3433)</f>
        <v>4415299</v>
      </c>
      <c r="K3433" s="8" t="str">
        <f aca="false">IF(COUNTIF($M$1:$M$10,$A3433)&gt;0,"Y","N")</f>
        <v>N</v>
      </c>
    </row>
    <row r="3434" customFormat="false" ht="15" hidden="false" customHeight="true" outlineLevel="0" collapsed="false">
      <c r="A3434" s="8" t="s">
        <v>1082</v>
      </c>
      <c r="B3434" s="8" t="s">
        <v>677</v>
      </c>
      <c r="C3434" s="19" t="n">
        <v>25</v>
      </c>
      <c r="D3434" s="19" t="n">
        <v>280.64</v>
      </c>
      <c r="E3434" s="19" t="n">
        <v>0</v>
      </c>
      <c r="F3434" s="19" t="n">
        <v>0</v>
      </c>
      <c r="G3434" s="8" t="n">
        <f aca="false">IFERROR(INDEX('TRANS'!$B:$B,MATCH($B3434,'TRANS'!$A:$A,0)),IFERROR(INDEX('TRANS'!$B:$B,MATCH(TRIM(SUBSTITUTE($B3434,CHAR(160)," ")),'TRANS'!$D:$D,0)),IFERROR(INDEX('Catalog'!$A:$A,MATCH($B3434,'Catalog'!$B:$B,0)),IFERROR(INDEX('Catalog'!$A:$A,MATCH(TRIM(SUBSTITUTE($B3434,CHAR(160)," ")),'Catalog'!$C:$C,0)),""))))</f>
        <v>4413098</v>
      </c>
      <c r="H3434" s="8" t="str">
        <f aca="false">IFERROR(INDEX('TRANS'!$C:$C,MATCH($B3434,'TRANS'!$A:$A,0)),IFERROR(INDEX('Catalog'!$B:$B,MATCH($G3434,'Catalog'!$A:$A,0)),$B3434))</f>
        <v>45C L מגן ברך חום</v>
      </c>
      <c r="I3434" s="8" t="str">
        <f aca="false">IF($G3434="","Unmatched","Matched")</f>
        <v>Matched</v>
      </c>
      <c r="J3434" s="8" t="n">
        <f aca="false">IF($G3434&lt;&gt;"",$G3434,$B3434)</f>
        <v>4413098</v>
      </c>
      <c r="K3434" s="8" t="str">
        <f aca="false">IF(COUNTIF($M$1:$M$10,$A3434)&gt;0,"Y","N")</f>
        <v>N</v>
      </c>
    </row>
    <row r="3435" customFormat="false" ht="15" hidden="false" customHeight="true" outlineLevel="0" collapsed="false">
      <c r="A3435" s="8" t="s">
        <v>1082</v>
      </c>
      <c r="B3435" s="8" t="s">
        <v>678</v>
      </c>
      <c r="C3435" s="19" t="n">
        <v>20</v>
      </c>
      <c r="D3435" s="19" t="n">
        <v>224.51</v>
      </c>
      <c r="E3435" s="19" t="n">
        <v>0</v>
      </c>
      <c r="F3435" s="19" t="n">
        <v>0</v>
      </c>
      <c r="G3435" s="8" t="n">
        <f aca="false">IFERROR(INDEX('TRANS'!$B:$B,MATCH($B3435,'TRANS'!$A:$A,0)),IFERROR(INDEX('TRANS'!$B:$B,MATCH(TRIM(SUBSTITUTE($B3435,CHAR(160)," ")),'TRANS'!$D:$D,0)),IFERROR(INDEX('Catalog'!$A:$A,MATCH($B3435,'Catalog'!$B:$B,0)),IFERROR(INDEX('Catalog'!$A:$A,MATCH(TRIM(SUBSTITUTE($B3435,CHAR(160)," ")),'Catalog'!$C:$C,0)),""))))</f>
        <v>4413099</v>
      </c>
      <c r="H3435" s="8" t="str">
        <f aca="false">IFERROR(INDEX('TRANS'!$C:$C,MATCH($B3435,'TRANS'!$A:$A,0)),IFERROR(INDEX('Catalog'!$B:$B,MATCH($G3435,'Catalog'!$A:$A,0)),$B3435))</f>
        <v>45C M מגן ברך חום</v>
      </c>
      <c r="I3435" s="8" t="str">
        <f aca="false">IF($G3435="","Unmatched","Matched")</f>
        <v>Matched</v>
      </c>
      <c r="J3435" s="8" t="n">
        <f aca="false">IF($G3435&lt;&gt;"",$G3435,$B3435)</f>
        <v>4413099</v>
      </c>
      <c r="K3435" s="8" t="str">
        <f aca="false">IF(COUNTIF($M$1:$M$10,$A3435)&gt;0,"Y","N")</f>
        <v>N</v>
      </c>
    </row>
    <row r="3436" customFormat="false" ht="15" hidden="false" customHeight="true" outlineLevel="0" collapsed="false">
      <c r="A3436" s="8" t="s">
        <v>1082</v>
      </c>
      <c r="B3436" s="8" t="s">
        <v>680</v>
      </c>
      <c r="C3436" s="19" t="n">
        <v>25</v>
      </c>
      <c r="D3436" s="19" t="n">
        <v>280.64</v>
      </c>
      <c r="E3436" s="19" t="n">
        <v>0</v>
      </c>
      <c r="F3436" s="19" t="n">
        <v>0</v>
      </c>
      <c r="G3436" s="8" t="n">
        <f aca="false">IFERROR(INDEX('TRANS'!$B:$B,MATCH($B3436,'TRANS'!$A:$A,0)),IFERROR(INDEX('TRANS'!$B:$B,MATCH(TRIM(SUBSTITUTE($B3436,CHAR(160)," ")),'TRANS'!$D:$D,0)),IFERROR(INDEX('Catalog'!$A:$A,MATCH($B3436,'Catalog'!$B:$B,0)),IFERROR(INDEX('Catalog'!$A:$A,MATCH(TRIM(SUBSTITUTE($B3436,CHAR(160)," ")),'Catalog'!$C:$C,0)),""))))</f>
        <v>4413100</v>
      </c>
      <c r="H3436" s="8" t="str">
        <f aca="false">IFERROR(INDEX('TRANS'!$C:$C,MATCH($B3436,'TRANS'!$A:$A,0)),IFERROR(INDEX('Catalog'!$B:$B,MATCH($G3436,'Catalog'!$A:$A,0)),$B3436))</f>
        <v>45C XL מגן ברך חום</v>
      </c>
      <c r="I3436" s="8" t="str">
        <f aca="false">IF($G3436="","Unmatched","Matched")</f>
        <v>Matched</v>
      </c>
      <c r="J3436" s="8" t="n">
        <f aca="false">IF($G3436&lt;&gt;"",$G3436,$B3436)</f>
        <v>4413100</v>
      </c>
      <c r="K3436" s="8" t="str">
        <f aca="false">IF(COUNTIF($M$1:$M$10,$A3436)&gt;0,"Y","N")</f>
        <v>N</v>
      </c>
    </row>
    <row r="3437" customFormat="false" ht="15" hidden="false" customHeight="true" outlineLevel="0" collapsed="false">
      <c r="A3437" s="8" t="s">
        <v>1082</v>
      </c>
      <c r="B3437" s="8" t="s">
        <v>84</v>
      </c>
      <c r="C3437" s="19" t="n">
        <v>20</v>
      </c>
      <c r="D3437" s="19" t="n">
        <v>224.51</v>
      </c>
      <c r="E3437" s="19" t="n">
        <v>0</v>
      </c>
      <c r="F3437" s="19" t="n">
        <v>0</v>
      </c>
      <c r="G3437" s="8" t="str">
        <f aca="false">IFERROR(INDEX('TRANS'!$B:$B,MATCH($B3437,'TRANS'!$A:$A,0)),IFERROR(INDEX('TRANS'!$B:$B,MATCH(TRIM(SUBSTITUTE($B3437,CHAR(160)," ")),'TRANS'!$D:$D,0)),IFERROR(INDEX('Catalog'!$A:$A,MATCH($B3437,'Catalog'!$B:$B,0)),IFERROR(INDEX('Catalog'!$A:$A,MATCH(TRIM(SUBSTITUTE($B3437,CHAR(160)," ")),'Catalog'!$C:$C,0)),""))))</f>
        <v/>
      </c>
      <c r="H3437" s="8" t="str">
        <f aca="false">IFERROR(INDEX('TRANS'!$C:$C,MATCH($B3437,'TRANS'!$A:$A,0)),IFERROR(INDEX('Catalog'!$B:$B,MATCH($G3437,'Catalog'!$A:$A,0)),$B3437))</f>
        <v>45C XXL</v>
      </c>
      <c r="I3437" s="8" t="str">
        <f aca="false">IF($G3437="","Unmatched","Matched")</f>
        <v>Unmatched</v>
      </c>
      <c r="J3437" s="8" t="str">
        <f aca="false">IF($G3437&lt;&gt;"",$G3437,$B3437)</f>
        <v>45C XXL</v>
      </c>
      <c r="K3437" s="8" t="str">
        <f aca="false">IF(COUNTIF($M$1:$M$10,$A3437)&gt;0,"Y","N")</f>
        <v>N</v>
      </c>
    </row>
    <row r="3438" customFormat="false" ht="15" hidden="false" customHeight="true" outlineLevel="0" collapsed="false">
      <c r="A3438" s="8" t="s">
        <v>1082</v>
      </c>
      <c r="B3438" s="8" t="s">
        <v>804</v>
      </c>
      <c r="C3438" s="19" t="n">
        <v>20</v>
      </c>
      <c r="D3438" s="19" t="n">
        <v>251.15</v>
      </c>
      <c r="E3438" s="19" t="n">
        <v>0</v>
      </c>
      <c r="F3438" s="19" t="n">
        <v>0</v>
      </c>
      <c r="G3438" s="8" t="n">
        <f aca="false">IFERROR(INDEX('TRANS'!$B:$B,MATCH($B3438,'TRANS'!$A:$A,0)),IFERROR(INDEX('TRANS'!$B:$B,MATCH(TRIM(SUBSTITUTE($B3438,CHAR(160)," ")),'TRANS'!$D:$D,0)),IFERROR(INDEX('Catalog'!$A:$A,MATCH($B3438,'Catalog'!$B:$B,0)),IFERROR(INDEX('Catalog'!$A:$A,MATCH(TRIM(SUBSTITUTE($B3438,CHAR(160)," ")),'Catalog'!$C:$C,0)),""))))</f>
        <v>4413102</v>
      </c>
      <c r="H3438" s="8" t="str">
        <f aca="false">IFERROR(INDEX('TRANS'!$C:$C,MATCH($B3438,'TRANS'!$A:$A,0)),IFERROR(INDEX('Catalog'!$B:$B,MATCH($G3438,'Catalog'!$A:$A,0)),$B3438))</f>
        <v>45E  L        מגן ברך ארוך לבן</v>
      </c>
      <c r="I3438" s="8" t="str">
        <f aca="false">IF($G3438="","Unmatched","Matched")</f>
        <v>Matched</v>
      </c>
      <c r="J3438" s="8" t="n">
        <f aca="false">IF($G3438&lt;&gt;"",$G3438,$B3438)</f>
        <v>4413102</v>
      </c>
      <c r="K3438" s="8" t="str">
        <f aca="false">IF(COUNTIF($M$1:$M$10,$A3438)&gt;0,"Y","N")</f>
        <v>N</v>
      </c>
    </row>
    <row r="3439" customFormat="false" ht="15" hidden="false" customHeight="true" outlineLevel="0" collapsed="false">
      <c r="A3439" s="8" t="s">
        <v>1082</v>
      </c>
      <c r="B3439" s="8" t="s">
        <v>805</v>
      </c>
      <c r="C3439" s="19" t="n">
        <v>20</v>
      </c>
      <c r="D3439" s="19" t="n">
        <v>251.15</v>
      </c>
      <c r="E3439" s="19" t="n">
        <v>0</v>
      </c>
      <c r="F3439" s="19" t="n">
        <v>0</v>
      </c>
      <c r="G3439" s="8" t="n">
        <f aca="false">IFERROR(INDEX('TRANS'!$B:$B,MATCH($B3439,'TRANS'!$A:$A,0)),IFERROR(INDEX('TRANS'!$B:$B,MATCH(TRIM(SUBSTITUTE($B3439,CHAR(160)," ")),'TRANS'!$D:$D,0)),IFERROR(INDEX('Catalog'!$A:$A,MATCH($B3439,'Catalog'!$B:$B,0)),IFERROR(INDEX('Catalog'!$A:$A,MATCH(TRIM(SUBSTITUTE($B3439,CHAR(160)," ")),'Catalog'!$C:$C,0)),""))))</f>
        <v>4413103</v>
      </c>
      <c r="H3439" s="8" t="str">
        <f aca="false">IFERROR(INDEX('TRANS'!$C:$C,MATCH($B3439,'TRANS'!$A:$A,0)),IFERROR(INDEX('Catalog'!$B:$B,MATCH($G3439,'Catalog'!$A:$A,0)),$B3439))</f>
        <v>45E Mמגן ברך ארוך לבן</v>
      </c>
      <c r="I3439" s="8" t="str">
        <f aca="false">IF($G3439="","Unmatched","Matched")</f>
        <v>Matched</v>
      </c>
      <c r="J3439" s="8" t="n">
        <f aca="false">IF($G3439&lt;&gt;"",$G3439,$B3439)</f>
        <v>4413103</v>
      </c>
      <c r="K3439" s="8" t="str">
        <f aca="false">IF(COUNTIF($M$1:$M$10,$A3439)&gt;0,"Y","N")</f>
        <v>N</v>
      </c>
    </row>
    <row r="3440" customFormat="false" ht="15" hidden="false" customHeight="true" outlineLevel="0" collapsed="false">
      <c r="A3440" s="8" t="s">
        <v>1082</v>
      </c>
      <c r="B3440" s="8" t="s">
        <v>806</v>
      </c>
      <c r="C3440" s="19" t="n">
        <v>5</v>
      </c>
      <c r="D3440" s="19" t="n">
        <v>62.79</v>
      </c>
      <c r="E3440" s="19" t="n">
        <v>0</v>
      </c>
      <c r="F3440" s="19" t="n">
        <v>0</v>
      </c>
      <c r="G3440" s="8" t="n">
        <f aca="false">IFERROR(INDEX('TRANS'!$B:$B,MATCH($B3440,'TRANS'!$A:$A,0)),IFERROR(INDEX('TRANS'!$B:$B,MATCH(TRIM(SUBSTITUTE($B3440,CHAR(160)," ")),'TRANS'!$D:$D,0)),IFERROR(INDEX('Catalog'!$A:$A,MATCH($B3440,'Catalog'!$B:$B,0)),IFERROR(INDEX('Catalog'!$A:$A,MATCH(TRIM(SUBSTITUTE($B3440,CHAR(160)," ")),'Catalog'!$C:$C,0)),""))))</f>
        <v>4413101</v>
      </c>
      <c r="H3440" s="8" t="str">
        <f aca="false">IFERROR(INDEX('TRANS'!$C:$C,MATCH($B3440,'TRANS'!$A:$A,0)),IFERROR(INDEX('Catalog'!$B:$B,MATCH($G3440,'Catalog'!$A:$A,0)),$B3440))</f>
        <v>45E Sמגן ברך ארוך לבן</v>
      </c>
      <c r="I3440" s="8" t="str">
        <f aca="false">IF($G3440="","Unmatched","Matched")</f>
        <v>Matched</v>
      </c>
      <c r="J3440" s="8" t="n">
        <f aca="false">IF($G3440&lt;&gt;"",$G3440,$B3440)</f>
        <v>4413101</v>
      </c>
      <c r="K3440" s="8" t="str">
        <f aca="false">IF(COUNTIF($M$1:$M$10,$A3440)&gt;0,"Y","N")</f>
        <v>N</v>
      </c>
    </row>
    <row r="3441" customFormat="false" ht="15" hidden="false" customHeight="true" outlineLevel="0" collapsed="false">
      <c r="A3441" s="8" t="s">
        <v>1082</v>
      </c>
      <c r="B3441" s="8" t="s">
        <v>681</v>
      </c>
      <c r="C3441" s="19" t="n">
        <v>20</v>
      </c>
      <c r="D3441" s="19" t="n">
        <v>251.15</v>
      </c>
      <c r="E3441" s="19" t="n">
        <v>0</v>
      </c>
      <c r="F3441" s="19" t="n">
        <v>0</v>
      </c>
      <c r="G3441" s="8" t="n">
        <f aca="false">IFERROR(INDEX('TRANS'!$B:$B,MATCH($B3441,'TRANS'!$A:$A,0)),IFERROR(INDEX('TRANS'!$B:$B,MATCH(TRIM(SUBSTITUTE($B3441,CHAR(160)," ")),'TRANS'!$D:$D,0)),IFERROR(INDEX('Catalog'!$A:$A,MATCH($B3441,'Catalog'!$B:$B,0)),IFERROR(INDEX('Catalog'!$A:$A,MATCH(TRIM(SUBSTITUTE($B3441,CHAR(160)," ")),'Catalog'!$C:$C,0)),""))))</f>
        <v>4413104</v>
      </c>
      <c r="H3441" s="8" t="str">
        <f aca="false">IFERROR(INDEX('TRANS'!$C:$C,MATCH($B3441,'TRANS'!$A:$A,0)),IFERROR(INDEX('Catalog'!$B:$B,MATCH($G3441,'Catalog'!$A:$A,0)),$B3441))</f>
        <v>45E XLמגן ברך ארוך לבן</v>
      </c>
      <c r="I3441" s="8" t="str">
        <f aca="false">IF($G3441="","Unmatched","Matched")</f>
        <v>Matched</v>
      </c>
      <c r="J3441" s="8" t="n">
        <f aca="false">IF($G3441&lt;&gt;"",$G3441,$B3441)</f>
        <v>4413104</v>
      </c>
      <c r="K3441" s="8" t="str">
        <f aca="false">IF(COUNTIF($M$1:$M$10,$A3441)&gt;0,"Y","N")</f>
        <v>N</v>
      </c>
    </row>
    <row r="3442" customFormat="false" ht="15" hidden="false" customHeight="true" outlineLevel="0" collapsed="false">
      <c r="A3442" s="8" t="s">
        <v>1082</v>
      </c>
      <c r="B3442" s="8" t="s">
        <v>682</v>
      </c>
      <c r="C3442" s="19" t="n">
        <v>20</v>
      </c>
      <c r="D3442" s="19" t="n">
        <v>251.15</v>
      </c>
      <c r="E3442" s="19" t="n">
        <v>0</v>
      </c>
      <c r="F3442" s="19" t="n">
        <v>0</v>
      </c>
      <c r="G3442" s="8" t="n">
        <f aca="false">IFERROR(INDEX('TRANS'!$B:$B,MATCH($B3442,'TRANS'!$A:$A,0)),IFERROR(INDEX('TRANS'!$B:$B,MATCH(TRIM(SUBSTITUTE($B3442,CHAR(160)," ")),'TRANS'!$D:$D,0)),IFERROR(INDEX('Catalog'!$A:$A,MATCH($B3442,'Catalog'!$B:$B,0)),IFERROR(INDEX('Catalog'!$A:$A,MATCH(TRIM(SUBSTITUTE($B3442,CHAR(160)," ")),'Catalog'!$C:$C,0)),""))))</f>
        <v>4413105</v>
      </c>
      <c r="H3442" s="8" t="str">
        <f aca="false">IFERROR(INDEX('TRANS'!$C:$C,MATCH($B3442,'TRANS'!$A:$A,0)),IFERROR(INDEX('Catalog'!$B:$B,MATCH($G3442,'Catalog'!$A:$A,0)),$B3442))</f>
        <v>45E XXLמגן ברך ארוך לבן</v>
      </c>
      <c r="I3442" s="8" t="str">
        <f aca="false">IF($G3442="","Unmatched","Matched")</f>
        <v>Matched</v>
      </c>
      <c r="J3442" s="8" t="n">
        <f aca="false">IF($G3442&lt;&gt;"",$G3442,$B3442)</f>
        <v>4413105</v>
      </c>
      <c r="K3442" s="8" t="str">
        <f aca="false">IF(COUNTIF($M$1:$M$10,$A3442)&gt;0,"Y","N")</f>
        <v>N</v>
      </c>
    </row>
    <row r="3443" customFormat="false" ht="15" hidden="false" customHeight="true" outlineLevel="0" collapsed="false">
      <c r="A3443" s="8" t="s">
        <v>1082</v>
      </c>
      <c r="B3443" s="8" t="s">
        <v>917</v>
      </c>
      <c r="C3443" s="19" t="n">
        <v>20</v>
      </c>
      <c r="D3443" s="19" t="n">
        <v>498.49</v>
      </c>
      <c r="E3443" s="19" t="n">
        <v>0</v>
      </c>
      <c r="F3443" s="19" t="n">
        <v>0</v>
      </c>
      <c r="G3443" s="8" t="n">
        <f aca="false">IFERROR(INDEX('TRANS'!$B:$B,MATCH($B3443,'TRANS'!$A:$A,0)),IFERROR(INDEX('TRANS'!$B:$B,MATCH(TRIM(SUBSTITUTE($B3443,CHAR(160)," ")),'TRANS'!$D:$D,0)),IFERROR(INDEX('Catalog'!$A:$A,MATCH($B3443,'Catalog'!$B:$B,0)),IFERROR(INDEX('Catalog'!$A:$A,MATCH(TRIM(SUBSTITUTE($B3443,CHAR(160)," ")),'Catalog'!$C:$C,0)),""))))</f>
        <v>4418000</v>
      </c>
      <c r="H3443" s="8" t="str">
        <f aca="false">IFERROR(INDEX('TRANS'!$C:$C,MATCH($B3443,'TRANS'!$A:$A,0)),IFERROR(INDEX('Catalog'!$B:$B,MATCH($G3443,'Catalog'!$A:$A,0)),$B3443))</f>
        <v>60 L צוארון ספוגי</v>
      </c>
      <c r="I3443" s="8" t="str">
        <f aca="false">IF($G3443="","Unmatched","Matched")</f>
        <v>Matched</v>
      </c>
      <c r="J3443" s="8" t="n">
        <f aca="false">IF($G3443&lt;&gt;"",$G3443,$B3443)</f>
        <v>4418000</v>
      </c>
      <c r="K3443" s="8" t="str">
        <f aca="false">IF(COUNTIF($M$1:$M$10,$A3443)&gt;0,"Y","N")</f>
        <v>N</v>
      </c>
    </row>
    <row r="3444" customFormat="false" ht="15" hidden="false" customHeight="true" outlineLevel="0" collapsed="false">
      <c r="A3444" s="8" t="s">
        <v>1082</v>
      </c>
      <c r="B3444" s="8" t="s">
        <v>691</v>
      </c>
      <c r="C3444" s="19" t="n">
        <v>20</v>
      </c>
      <c r="D3444" s="19" t="n">
        <v>498.49</v>
      </c>
      <c r="E3444" s="19" t="n">
        <v>0</v>
      </c>
      <c r="F3444" s="19" t="n">
        <v>0</v>
      </c>
      <c r="G3444" s="8" t="n">
        <f aca="false">IFERROR(INDEX('TRANS'!$B:$B,MATCH($B3444,'TRANS'!$A:$A,0)),IFERROR(INDEX('TRANS'!$B:$B,MATCH(TRIM(SUBSTITUTE($B3444,CHAR(160)," ")),'TRANS'!$D:$D,0)),IFERROR(INDEX('Catalog'!$A:$A,MATCH($B3444,'Catalog'!$B:$B,0)),IFERROR(INDEX('Catalog'!$A:$A,MATCH(TRIM(SUBSTITUTE($B3444,CHAR(160)," ")),'Catalog'!$C:$C,0)),""))))</f>
        <v>4418001</v>
      </c>
      <c r="H3444" s="8" t="str">
        <f aca="false">IFERROR(INDEX('TRANS'!$C:$C,MATCH($B3444,'TRANS'!$A:$A,0)),IFERROR(INDEX('Catalog'!$B:$B,MATCH($G3444,'Catalog'!$A:$A,0)),$B3444))</f>
        <v>60 M צוארון ספוגי</v>
      </c>
      <c r="I3444" s="8" t="str">
        <f aca="false">IF($G3444="","Unmatched","Matched")</f>
        <v>Matched</v>
      </c>
      <c r="J3444" s="8" t="n">
        <f aca="false">IF($G3444&lt;&gt;"",$G3444,$B3444)</f>
        <v>4418001</v>
      </c>
      <c r="K3444" s="8" t="str">
        <f aca="false">IF(COUNTIF($M$1:$M$10,$A3444)&gt;0,"Y","N")</f>
        <v>N</v>
      </c>
    </row>
    <row r="3445" customFormat="false" ht="15" hidden="false" customHeight="true" outlineLevel="0" collapsed="false">
      <c r="A3445" s="8" t="s">
        <v>1082</v>
      </c>
      <c r="B3445" s="8" t="s">
        <v>1083</v>
      </c>
      <c r="C3445" s="19" t="n">
        <v>7</v>
      </c>
      <c r="D3445" s="19" t="n">
        <v>175.81</v>
      </c>
      <c r="E3445" s="19" t="n">
        <v>0</v>
      </c>
      <c r="F3445" s="19" t="n">
        <v>0</v>
      </c>
      <c r="G3445" s="8" t="str">
        <f aca="false">IFERROR(INDEX('TRANS'!$B:$B,MATCH($B3445,'TRANS'!$A:$A,0)),IFERROR(INDEX('TRANS'!$B:$B,MATCH(TRIM(SUBSTITUTE($B3445,CHAR(160)," ")),'TRANS'!$D:$D,0)),IFERROR(INDEX('Catalog'!$A:$A,MATCH($B3445,'Catalog'!$B:$B,0)),IFERROR(INDEX('Catalog'!$A:$A,MATCH(TRIM(SUBSTITUTE($B3445,CHAR(160)," ")),'Catalog'!$C:$C,0)),""))))</f>
        <v/>
      </c>
      <c r="H3445" s="8" t="str">
        <f aca="false">IFERROR(INDEX('TRANS'!$C:$C,MATCH($B3445,'TRANS'!$A:$A,0)),IFERROR(INDEX('Catalog'!$B:$B,MATCH($G3445,'Catalog'!$A:$A,0)),$B3445))</f>
        <v>62 L</v>
      </c>
      <c r="I3445" s="8" t="str">
        <f aca="false">IF($G3445="","Unmatched","Matched")</f>
        <v>Unmatched</v>
      </c>
      <c r="J3445" s="8" t="str">
        <f aca="false">IF($G3445&lt;&gt;"",$G3445,$B3445)</f>
        <v>62 L</v>
      </c>
      <c r="K3445" s="8" t="str">
        <f aca="false">IF(COUNTIF($M$1:$M$10,$A3445)&gt;0,"Y","N")</f>
        <v>N</v>
      </c>
    </row>
    <row r="3446" customFormat="false" ht="15" hidden="false" customHeight="true" outlineLevel="0" collapsed="false">
      <c r="A3446" s="8" t="s">
        <v>1082</v>
      </c>
      <c r="B3446" s="8" t="s">
        <v>705</v>
      </c>
      <c r="C3446" s="19" t="n">
        <v>36</v>
      </c>
      <c r="D3446" s="19" t="n">
        <v>486.32</v>
      </c>
      <c r="E3446" s="19" t="n">
        <v>0</v>
      </c>
      <c r="F3446" s="19" t="n">
        <v>0</v>
      </c>
      <c r="G3446" s="8" t="n">
        <f aca="false">IFERROR(INDEX('TRANS'!$B:$B,MATCH($B3446,'TRANS'!$A:$A,0)),IFERROR(INDEX('TRANS'!$B:$B,MATCH(TRIM(SUBSTITUTE($B3446,CHAR(160)," ")),'TRANS'!$D:$D,0)),IFERROR(INDEX('Catalog'!$A:$A,MATCH($B3446,'Catalog'!$B:$B,0)),IFERROR(INDEX('Catalog'!$A:$A,MATCH(TRIM(SUBSTITUTE($B3446,CHAR(160)," ")),'Catalog'!$C:$C,0)),""))))</f>
        <v>4409017</v>
      </c>
      <c r="H3446" s="8" t="str">
        <f aca="false">IFERROR(INDEX('TRANS'!$C:$C,MATCH($B3446,'TRANS'!$A:$A,0)),IFERROR(INDEX('Catalog'!$B:$B,MATCH($G3446,'Catalog'!$A:$A,0)),$B3446))</f>
        <v>808KT-B        טייפ קינזיולוגי</v>
      </c>
      <c r="I3446" s="8" t="str">
        <f aca="false">IF($G3446="","Unmatched","Matched")</f>
        <v>Matched</v>
      </c>
      <c r="J3446" s="8" t="n">
        <f aca="false">IF($G3446&lt;&gt;"",$G3446,$B3446)</f>
        <v>4409017</v>
      </c>
      <c r="K3446" s="8" t="str">
        <f aca="false">IF(COUNTIF($M$1:$M$10,$A3446)&gt;0,"Y","N")</f>
        <v>N</v>
      </c>
    </row>
    <row r="3447" customFormat="false" ht="15" hidden="false" customHeight="true" outlineLevel="0" collapsed="false">
      <c r="A3447" s="8" t="s">
        <v>1082</v>
      </c>
      <c r="B3447" s="8" t="s">
        <v>886</v>
      </c>
      <c r="C3447" s="19" t="n">
        <v>36</v>
      </c>
      <c r="D3447" s="19" t="n">
        <v>486.32</v>
      </c>
      <c r="E3447" s="19" t="n">
        <v>0</v>
      </c>
      <c r="F3447" s="19" t="n">
        <v>0</v>
      </c>
      <c r="G3447" s="8" t="n">
        <f aca="false">IFERROR(INDEX('TRANS'!$B:$B,MATCH($B3447,'TRANS'!$A:$A,0)),IFERROR(INDEX('TRANS'!$B:$B,MATCH(TRIM(SUBSTITUTE($B3447,CHAR(160)," ")),'TRANS'!$D:$D,0)),IFERROR(INDEX('Catalog'!$A:$A,MATCH($B3447,'Catalog'!$B:$B,0)),IFERROR(INDEX('Catalog'!$A:$A,MATCH(TRIM(SUBSTITUTE($B3447,CHAR(160)," ")),'Catalog'!$C:$C,0)),""))))</f>
        <v>4409015</v>
      </c>
      <c r="H3447" s="8" t="str">
        <f aca="false">IFERROR(INDEX('TRANS'!$C:$C,MATCH($B3447,'TRANS'!$A:$A,0)),IFERROR(INDEX('Catalog'!$B:$B,MATCH($G3447,'Catalog'!$A:$A,0)),$B3447))</f>
        <v>808KT-BL       טייפ קינזיולוגי</v>
      </c>
      <c r="I3447" s="8" t="str">
        <f aca="false">IF($G3447="","Unmatched","Matched")</f>
        <v>Matched</v>
      </c>
      <c r="J3447" s="8" t="n">
        <f aca="false">IF($G3447&lt;&gt;"",$G3447,$B3447)</f>
        <v>4409015</v>
      </c>
      <c r="K3447" s="8" t="str">
        <f aca="false">IF(COUNTIF($M$1:$M$10,$A3447)&gt;0,"Y","N")</f>
        <v>N</v>
      </c>
    </row>
    <row r="3448" customFormat="false" ht="15" hidden="false" customHeight="true" outlineLevel="0" collapsed="false">
      <c r="A3448" s="8" t="s">
        <v>1082</v>
      </c>
      <c r="B3448" s="8" t="s">
        <v>706</v>
      </c>
      <c r="C3448" s="19" t="n">
        <v>36</v>
      </c>
      <c r="D3448" s="19" t="n">
        <v>486.32</v>
      </c>
      <c r="E3448" s="19" t="n">
        <v>0</v>
      </c>
      <c r="F3448" s="19" t="n">
        <v>0</v>
      </c>
      <c r="G3448" s="8" t="n">
        <f aca="false">IFERROR(INDEX('TRANS'!$B:$B,MATCH($B3448,'TRANS'!$A:$A,0)),IFERROR(INDEX('TRANS'!$B:$B,MATCH(TRIM(SUBSTITUTE($B3448,CHAR(160)," ")),'TRANS'!$D:$D,0)),IFERROR(INDEX('Catalog'!$A:$A,MATCH($B3448,'Catalog'!$B:$B,0)),IFERROR(INDEX('Catalog'!$A:$A,MATCH(TRIM(SUBSTITUTE($B3448,CHAR(160)," ")),'Catalog'!$C:$C,0)),""))))</f>
        <v>4409016</v>
      </c>
      <c r="H3448" s="8" t="str">
        <f aca="false">IFERROR(INDEX('TRANS'!$C:$C,MATCH($B3448,'TRANS'!$A:$A,0)),IFERROR(INDEX('Catalog'!$B:$B,MATCH($G3448,'Catalog'!$A:$A,0)),$B3448))</f>
        <v>808KT-C        טייפ קינזיולוגי</v>
      </c>
      <c r="I3448" s="8" t="str">
        <f aca="false">IF($G3448="","Unmatched","Matched")</f>
        <v>Matched</v>
      </c>
      <c r="J3448" s="8" t="n">
        <f aca="false">IF($G3448&lt;&gt;"",$G3448,$B3448)</f>
        <v>4409016</v>
      </c>
      <c r="K3448" s="8" t="str">
        <f aca="false">IF(COUNTIF($M$1:$M$10,$A3448)&gt;0,"Y","N")</f>
        <v>N</v>
      </c>
    </row>
    <row r="3449" customFormat="false" ht="15" hidden="false" customHeight="true" outlineLevel="0" collapsed="false">
      <c r="A3449" s="8" t="s">
        <v>1082</v>
      </c>
      <c r="B3449" s="8" t="s">
        <v>887</v>
      </c>
      <c r="C3449" s="19" t="n">
        <v>36</v>
      </c>
      <c r="D3449" s="19" t="n">
        <v>486.32</v>
      </c>
      <c r="E3449" s="19" t="n">
        <v>0</v>
      </c>
      <c r="F3449" s="19" t="n">
        <v>0</v>
      </c>
      <c r="G3449" s="8" t="n">
        <f aca="false">IFERROR(INDEX('TRANS'!$B:$B,MATCH($B3449,'TRANS'!$A:$A,0)),IFERROR(INDEX('TRANS'!$B:$B,MATCH(TRIM(SUBSTITUTE($B3449,CHAR(160)," ")),'TRANS'!$D:$D,0)),IFERROR(INDEX('Catalog'!$A:$A,MATCH($B3449,'Catalog'!$B:$B,0)),IFERROR(INDEX('Catalog'!$A:$A,MATCH(TRIM(SUBSTITUTE($B3449,CHAR(160)," ")),'Catalog'!$C:$C,0)),""))))</f>
        <v>4409014</v>
      </c>
      <c r="H3449" s="8" t="str">
        <f aca="false">IFERROR(INDEX('TRANS'!$C:$C,MATCH($B3449,'TRANS'!$A:$A,0)),IFERROR(INDEX('Catalog'!$B:$B,MATCH($G3449,'Catalog'!$A:$A,0)),$B3449))</f>
        <v>808KT-P        טייפ קינזיולוגי</v>
      </c>
      <c r="I3449" s="8" t="str">
        <f aca="false">IF($G3449="","Unmatched","Matched")</f>
        <v>Matched</v>
      </c>
      <c r="J3449" s="8" t="n">
        <f aca="false">IF($G3449&lt;&gt;"",$G3449,$B3449)</f>
        <v>4409014</v>
      </c>
      <c r="K3449" s="8" t="str">
        <f aca="false">IF(COUNTIF($M$1:$M$10,$A3449)&gt;0,"Y","N")</f>
        <v>N</v>
      </c>
    </row>
    <row r="3450" customFormat="false" ht="15" hidden="false" customHeight="true" outlineLevel="0" collapsed="false">
      <c r="A3450" s="8" t="s">
        <v>1082</v>
      </c>
      <c r="B3450" s="8" t="s">
        <v>707</v>
      </c>
      <c r="C3450" s="19" t="n">
        <v>10</v>
      </c>
      <c r="D3450" s="19" t="n">
        <v>249.25</v>
      </c>
      <c r="E3450" s="19" t="n">
        <v>0</v>
      </c>
      <c r="F3450" s="19" t="n">
        <v>0</v>
      </c>
      <c r="G3450" s="8" t="n">
        <f aca="false">IFERROR(INDEX('TRANS'!$B:$B,MATCH($B3450,'TRANS'!$A:$A,0)),IFERROR(INDEX('TRANS'!$B:$B,MATCH(TRIM(SUBSTITUTE($B3450,CHAR(160)," ")),'TRANS'!$D:$D,0)),IFERROR(INDEX('Catalog'!$A:$A,MATCH($B3450,'Catalog'!$B:$B,0)),IFERROR(INDEX('Catalog'!$A:$A,MATCH(TRIM(SUBSTITUTE($B3450,CHAR(160)," ")),'Catalog'!$C:$C,0)),""))))</f>
        <v>4411015</v>
      </c>
      <c r="H3450" s="8" t="str">
        <f aca="false">IFERROR(INDEX('TRANS'!$C:$C,MATCH($B3450,'TRANS'!$A:$A,0)),IFERROR(INDEX('Catalog'!$B:$B,MATCH($G3450,'Catalog'!$A:$A,0)),$B3450))</f>
        <v>820 0 כרית חום וקור</v>
      </c>
      <c r="I3450" s="8" t="str">
        <f aca="false">IF($G3450="","Unmatched","Matched")</f>
        <v>Matched</v>
      </c>
      <c r="J3450" s="8" t="n">
        <f aca="false">IF($G3450&lt;&gt;"",$G3450,$B3450)</f>
        <v>4411015</v>
      </c>
      <c r="K3450" s="8" t="str">
        <f aca="false">IF(COUNTIF($M$1:$M$10,$A3450)&gt;0,"Y","N")</f>
        <v>N</v>
      </c>
    </row>
    <row r="3451" customFormat="false" ht="15" hidden="false" customHeight="true" outlineLevel="0" collapsed="false">
      <c r="A3451" s="8" t="s">
        <v>1082</v>
      </c>
      <c r="B3451" s="8" t="s">
        <v>827</v>
      </c>
      <c r="C3451" s="19" t="n">
        <v>15</v>
      </c>
      <c r="D3451" s="19" t="n">
        <v>647.85</v>
      </c>
      <c r="E3451" s="19" t="n">
        <v>0</v>
      </c>
      <c r="F3451" s="19" t="n">
        <v>0</v>
      </c>
      <c r="G3451" s="8" t="n">
        <f aca="false">IFERROR(INDEX('TRANS'!$B:$B,MATCH($B3451,'TRANS'!$A:$A,0)),IFERROR(INDEX('TRANS'!$B:$B,MATCH(TRIM(SUBSTITUTE($B3451,CHAR(160)," ")),'TRANS'!$D:$D,0)),IFERROR(INDEX('Catalog'!$A:$A,MATCH($B3451,'Catalog'!$B:$B,0)),IFERROR(INDEX('Catalog'!$A:$A,MATCH(TRIM(SUBSTITUTE($B3451,CHAR(160)," ")),'Catalog'!$C:$C,0)),""))))</f>
        <v>4413176</v>
      </c>
      <c r="H3451" s="8" t="str">
        <f aca="false">IFERROR(INDEX('TRANS'!$C:$C,MATCH($B3451,'TRANS'!$A:$A,0)),IFERROR(INDEX('Catalog'!$B:$B,MATCH($G3451,'Catalog'!$A:$A,0)),$B3451))</f>
        <v>85+ Lמתלה ליד)כיס(+רצועת חיזוק</v>
      </c>
      <c r="I3451" s="8" t="str">
        <f aca="false">IF($G3451="","Unmatched","Matched")</f>
        <v>Matched</v>
      </c>
      <c r="J3451" s="8" t="n">
        <f aca="false">IF($G3451&lt;&gt;"",$G3451,$B3451)</f>
        <v>4413176</v>
      </c>
      <c r="K3451" s="8" t="str">
        <f aca="false">IF(COUNTIF($M$1:$M$10,$A3451)&gt;0,"Y","N")</f>
        <v>N</v>
      </c>
    </row>
    <row r="3452" customFormat="false" ht="15" hidden="false" customHeight="true" outlineLevel="0" collapsed="false">
      <c r="A3452" s="8" t="s">
        <v>1082</v>
      </c>
      <c r="B3452" s="8" t="s">
        <v>828</v>
      </c>
      <c r="C3452" s="19" t="n">
        <v>15</v>
      </c>
      <c r="D3452" s="19" t="n">
        <v>647.85</v>
      </c>
      <c r="E3452" s="19" t="n">
        <v>0</v>
      </c>
      <c r="F3452" s="19" t="n">
        <v>0</v>
      </c>
      <c r="G3452" s="8" t="n">
        <f aca="false">IFERROR(INDEX('TRANS'!$B:$B,MATCH($B3452,'TRANS'!$A:$A,0)),IFERROR(INDEX('TRANS'!$B:$B,MATCH(TRIM(SUBSTITUTE($B3452,CHAR(160)," ")),'TRANS'!$D:$D,0)),IFERROR(INDEX('Catalog'!$A:$A,MATCH($B3452,'Catalog'!$B:$B,0)),IFERROR(INDEX('Catalog'!$A:$A,MATCH(TRIM(SUBSTITUTE($B3452,CHAR(160)," ")),'Catalog'!$C:$C,0)),""))))</f>
        <v>4413175</v>
      </c>
      <c r="H3452" s="8" t="str">
        <f aca="false">IFERROR(INDEX('TRANS'!$C:$C,MATCH($B3452,'TRANS'!$A:$A,0)),IFERROR(INDEX('Catalog'!$B:$B,MATCH($G3452,'Catalog'!$A:$A,0)),$B3452))</f>
        <v>85+ Mמתלה ליד)כיס(+רצועת חיזוק</v>
      </c>
      <c r="I3452" s="8" t="str">
        <f aca="false">IF($G3452="","Unmatched","Matched")</f>
        <v>Matched</v>
      </c>
      <c r="J3452" s="8" t="n">
        <f aca="false">IF($G3452&lt;&gt;"",$G3452,$B3452)</f>
        <v>4413175</v>
      </c>
      <c r="K3452" s="8" t="str">
        <f aca="false">IF(COUNTIF($M$1:$M$10,$A3452)&gt;0,"Y","N")</f>
        <v>N</v>
      </c>
    </row>
    <row r="3453" customFormat="false" ht="15" hidden="false" customHeight="true" outlineLevel="0" collapsed="false">
      <c r="A3453" s="8" t="s">
        <v>1082</v>
      </c>
      <c r="B3453" s="8" t="s">
        <v>829</v>
      </c>
      <c r="C3453" s="19" t="n">
        <v>10</v>
      </c>
      <c r="D3453" s="19" t="n">
        <v>431.91</v>
      </c>
      <c r="E3453" s="19" t="n">
        <v>0</v>
      </c>
      <c r="F3453" s="19" t="n">
        <v>0</v>
      </c>
      <c r="G3453" s="8" t="n">
        <f aca="false">IFERROR(INDEX('TRANS'!$B:$B,MATCH($B3453,'TRANS'!$A:$A,0)),IFERROR(INDEX('TRANS'!$B:$B,MATCH(TRIM(SUBSTITUTE($B3453,CHAR(160)," ")),'TRANS'!$D:$D,0)),IFERROR(INDEX('Catalog'!$A:$A,MATCH($B3453,'Catalog'!$B:$B,0)),IFERROR(INDEX('Catalog'!$A:$A,MATCH(TRIM(SUBSTITUTE($B3453,CHAR(160)," ")),'Catalog'!$C:$C,0)),""))))</f>
        <v>4413177</v>
      </c>
      <c r="H3453" s="8" t="str">
        <f aca="false">IFERROR(INDEX('TRANS'!$C:$C,MATCH($B3453,'TRANS'!$A:$A,0)),IFERROR(INDEX('Catalog'!$B:$B,MATCH($G3453,'Catalog'!$A:$A,0)),$B3453))</f>
        <v>85+ XLמתלה ליד)כיס(רצועת חיזוק</v>
      </c>
      <c r="I3453" s="8" t="str">
        <f aca="false">IF($G3453="","Unmatched","Matched")</f>
        <v>Matched</v>
      </c>
      <c r="J3453" s="8" t="n">
        <f aca="false">IF($G3453&lt;&gt;"",$G3453,$B3453)</f>
        <v>4413177</v>
      </c>
      <c r="K3453" s="8" t="str">
        <f aca="false">IF(COUNTIF($M$1:$M$10,$A3453)&gt;0,"Y","N")</f>
        <v>N</v>
      </c>
    </row>
    <row r="3454" customFormat="false" ht="15" hidden="false" customHeight="true" outlineLevel="0" collapsed="false">
      <c r="A3454" s="8" t="s">
        <v>1082</v>
      </c>
      <c r="B3454" s="8" t="s">
        <v>836</v>
      </c>
      <c r="C3454" s="19" t="n">
        <v>20</v>
      </c>
      <c r="D3454" s="19" t="n">
        <v>224.51</v>
      </c>
      <c r="E3454" s="19" t="n">
        <v>0</v>
      </c>
      <c r="F3454" s="19" t="n">
        <v>0</v>
      </c>
      <c r="G3454" s="8" t="n">
        <f aca="false">IFERROR(INDEX('TRANS'!$B:$B,MATCH($B3454,'TRANS'!$A:$A,0)),IFERROR(INDEX('TRANS'!$B:$B,MATCH(TRIM(SUBSTITUTE($B3454,CHAR(160)," ")),'TRANS'!$D:$D,0)),IFERROR(INDEX('Catalog'!$A:$A,MATCH($B3454,'Catalog'!$B:$B,0)),IFERROR(INDEX('Catalog'!$A:$A,MATCH(TRIM(SUBSTITUTE($B3454,CHAR(160)," ")),'Catalog'!$C:$C,0)),""))))</f>
        <v>4413139</v>
      </c>
      <c r="H3454" s="8" t="str">
        <f aca="false">IFERROR(INDEX('TRANS'!$C:$C,MATCH($B3454,'TRANS'!$A:$A,0)),IFERROR(INDEX('Catalog'!$B:$B,MATCH($G3454,'Catalog'!$A:$A,0)),$B3454))</f>
        <v>95 L מגן מרפק רגיל לבן</v>
      </c>
      <c r="I3454" s="8" t="str">
        <f aca="false">IF($G3454="","Unmatched","Matched")</f>
        <v>Matched</v>
      </c>
      <c r="J3454" s="8" t="n">
        <f aca="false">IF($G3454&lt;&gt;"",$G3454,$B3454)</f>
        <v>4413139</v>
      </c>
      <c r="K3454" s="8" t="str">
        <f aca="false">IF(COUNTIF($M$1:$M$10,$A3454)&gt;0,"Y","N")</f>
        <v>N</v>
      </c>
    </row>
    <row r="3455" customFormat="false" ht="15" hidden="false" customHeight="true" outlineLevel="0" collapsed="false">
      <c r="A3455" s="8" t="s">
        <v>1082</v>
      </c>
      <c r="B3455" s="8" t="s">
        <v>716</v>
      </c>
      <c r="C3455" s="19" t="n">
        <v>20</v>
      </c>
      <c r="D3455" s="19" t="n">
        <v>224.51</v>
      </c>
      <c r="E3455" s="19" t="n">
        <v>0</v>
      </c>
      <c r="F3455" s="19" t="n">
        <v>0</v>
      </c>
      <c r="G3455" s="8" t="n">
        <f aca="false">IFERROR(INDEX('TRANS'!$B:$B,MATCH($B3455,'TRANS'!$A:$A,0)),IFERROR(INDEX('TRANS'!$B:$B,MATCH(TRIM(SUBSTITUTE($B3455,CHAR(160)," ")),'TRANS'!$D:$D,0)),IFERROR(INDEX('Catalog'!$A:$A,MATCH($B3455,'Catalog'!$B:$B,0)),IFERROR(INDEX('Catalog'!$A:$A,MATCH(TRIM(SUBSTITUTE($B3455,CHAR(160)," ")),'Catalog'!$C:$C,0)),""))))</f>
        <v>4413140</v>
      </c>
      <c r="H3455" s="8" t="str">
        <f aca="false">IFERROR(INDEX('TRANS'!$C:$C,MATCH($B3455,'TRANS'!$A:$A,0)),IFERROR(INDEX('Catalog'!$B:$B,MATCH($G3455,'Catalog'!$A:$A,0)),$B3455))</f>
        <v>95 M מגן מרפק רגיל לבן</v>
      </c>
      <c r="I3455" s="8" t="str">
        <f aca="false">IF($G3455="","Unmatched","Matched")</f>
        <v>Matched</v>
      </c>
      <c r="J3455" s="8" t="n">
        <f aca="false">IF($G3455&lt;&gt;"",$G3455,$B3455)</f>
        <v>4413140</v>
      </c>
      <c r="K3455" s="8" t="str">
        <f aca="false">IF(COUNTIF($M$1:$M$10,$A3455)&gt;0,"Y","N")</f>
        <v>N</v>
      </c>
    </row>
    <row r="3456" customFormat="false" ht="15" hidden="false" customHeight="true" outlineLevel="0" collapsed="false">
      <c r="A3456" s="8" t="s">
        <v>1082</v>
      </c>
      <c r="B3456" s="8" t="s">
        <v>837</v>
      </c>
      <c r="C3456" s="19" t="n">
        <v>10</v>
      </c>
      <c r="D3456" s="19" t="n">
        <v>112.26</v>
      </c>
      <c r="E3456" s="19" t="n">
        <v>0</v>
      </c>
      <c r="F3456" s="19" t="n">
        <v>0</v>
      </c>
      <c r="G3456" s="8" t="n">
        <f aca="false">IFERROR(INDEX('TRANS'!$B:$B,MATCH($B3456,'TRANS'!$A:$A,0)),IFERROR(INDEX('TRANS'!$B:$B,MATCH(TRIM(SUBSTITUTE($B3456,CHAR(160)," ")),'TRANS'!$D:$D,0)),IFERROR(INDEX('Catalog'!$A:$A,MATCH($B3456,'Catalog'!$B:$B,0)),IFERROR(INDEX('Catalog'!$A:$A,MATCH(TRIM(SUBSTITUTE($B3456,CHAR(160)," ")),'Catalog'!$C:$C,0)),""))))</f>
        <v>4413141</v>
      </c>
      <c r="H3456" s="8" t="str">
        <f aca="false">IFERROR(INDEX('TRANS'!$C:$C,MATCH($B3456,'TRANS'!$A:$A,0)),IFERROR(INDEX('Catalog'!$B:$B,MATCH($G3456,'Catalog'!$A:$A,0)),$B3456))</f>
        <v>95 S מגן מרפק רגיל לבן</v>
      </c>
      <c r="I3456" s="8" t="str">
        <f aca="false">IF($G3456="","Unmatched","Matched")</f>
        <v>Matched</v>
      </c>
      <c r="J3456" s="8" t="n">
        <f aca="false">IF($G3456&lt;&gt;"",$G3456,$B3456)</f>
        <v>4413141</v>
      </c>
      <c r="K3456" s="8" t="str">
        <f aca="false">IF(COUNTIF($M$1:$M$10,$A3456)&gt;0,"Y","N")</f>
        <v>N</v>
      </c>
    </row>
    <row r="3457" customFormat="false" ht="15" hidden="false" customHeight="true" outlineLevel="0" collapsed="false">
      <c r="A3457" s="8" t="s">
        <v>1082</v>
      </c>
      <c r="B3457" s="8" t="s">
        <v>838</v>
      </c>
      <c r="C3457" s="19" t="n">
        <v>15</v>
      </c>
      <c r="D3457" s="19" t="n">
        <v>168.39</v>
      </c>
      <c r="E3457" s="19" t="n">
        <v>0</v>
      </c>
      <c r="F3457" s="19" t="n">
        <v>0</v>
      </c>
      <c r="G3457" s="8" t="n">
        <f aca="false">IFERROR(INDEX('TRANS'!$B:$B,MATCH($B3457,'TRANS'!$A:$A,0)),IFERROR(INDEX('TRANS'!$B:$B,MATCH(TRIM(SUBSTITUTE($B3457,CHAR(160)," ")),'TRANS'!$D:$D,0)),IFERROR(INDEX('Catalog'!$A:$A,MATCH($B3457,'Catalog'!$B:$B,0)),IFERROR(INDEX('Catalog'!$A:$A,MATCH(TRIM(SUBSTITUTE($B3457,CHAR(160)," ")),'Catalog'!$C:$C,0)),""))))</f>
        <v>4413142</v>
      </c>
      <c r="H3457" s="8" t="str">
        <f aca="false">IFERROR(INDEX('TRANS'!$C:$C,MATCH($B3457,'TRANS'!$A:$A,0)),IFERROR(INDEX('Catalog'!$B:$B,MATCH($G3457,'Catalog'!$A:$A,0)),$B3457))</f>
        <v>95 XL מגן מרפק רגיל לבן</v>
      </c>
      <c r="I3457" s="8" t="str">
        <f aca="false">IF($G3457="","Unmatched","Matched")</f>
        <v>Matched</v>
      </c>
      <c r="J3457" s="8" t="n">
        <f aca="false">IF($G3457&lt;&gt;"",$G3457,$B3457)</f>
        <v>4413142</v>
      </c>
      <c r="K3457" s="8" t="str">
        <f aca="false">IF(COUNTIF($M$1:$M$10,$A3457)&gt;0,"Y","N")</f>
        <v>N</v>
      </c>
    </row>
    <row r="3458" customFormat="false" ht="15" hidden="false" customHeight="true" outlineLevel="0" collapsed="false">
      <c r="A3458" s="8" t="s">
        <v>1082</v>
      </c>
      <c r="B3458" s="8" t="s">
        <v>558</v>
      </c>
      <c r="C3458" s="19" t="n">
        <v>50</v>
      </c>
      <c r="D3458" s="19" t="n">
        <v>1734.44</v>
      </c>
      <c r="E3458" s="19" t="n">
        <v>0</v>
      </c>
      <c r="F3458" s="19" t="n">
        <v>0</v>
      </c>
      <c r="G3458" s="8" t="n">
        <f aca="false">IFERROR(INDEX('TRANS'!$B:$B,MATCH($B3458,'TRANS'!$A:$A,0)),IFERROR(INDEX('TRANS'!$B:$B,MATCH(TRIM(SUBSTITUTE($B3458,CHAR(160)," ")),'TRANS'!$D:$D,0)),IFERROR(INDEX('Catalog'!$A:$A,MATCH($B3458,'Catalog'!$B:$B,0)),IFERROR(INDEX('Catalog'!$A:$A,MATCH(TRIM(SUBSTITUTE($B3458,CHAR(160)," ")),'Catalog'!$C:$C,0)),""))))</f>
        <v>4413453</v>
      </c>
      <c r="H3458" s="8" t="str">
        <f aca="false">IFERROR(INDEX('TRANS'!$C:$C,MATCH($B3458,'TRANS'!$A:$A,0)),IFERROR(INDEX('Catalog'!$B:$B,MATCH($G3458,'Catalog'!$A:$A,0)),$B3458))</f>
        <v>AC75 מישר כתפיים אקטיב</v>
      </c>
      <c r="I3458" s="8" t="str">
        <f aca="false">IF($G3458="","Unmatched","Matched")</f>
        <v>Matched</v>
      </c>
      <c r="J3458" s="8" t="n">
        <f aca="false">IF($G3458&lt;&gt;"",$G3458,$B3458)</f>
        <v>4413453</v>
      </c>
      <c r="K3458" s="8" t="str">
        <f aca="false">IF(COUNTIF($M$1:$M$10,$A3458)&gt;0,"Y","N")</f>
        <v>N</v>
      </c>
    </row>
    <row r="3459" customFormat="false" ht="15" hidden="false" customHeight="true" outlineLevel="0" collapsed="false">
      <c r="A3459" s="8" t="s">
        <v>1082</v>
      </c>
      <c r="B3459" s="8" t="s">
        <v>770</v>
      </c>
      <c r="C3459" s="19" t="n">
        <v>10</v>
      </c>
      <c r="D3459" s="19" t="n">
        <v>186.46</v>
      </c>
      <c r="E3459" s="19" t="n">
        <v>0</v>
      </c>
      <c r="F3459" s="19" t="n">
        <v>0</v>
      </c>
      <c r="G3459" s="8" t="n">
        <f aca="false">IFERROR(INDEX('TRANS'!$B:$B,MATCH($B3459,'TRANS'!$A:$A,0)),IFERROR(INDEX('TRANS'!$B:$B,MATCH(TRIM(SUBSTITUTE($B3459,CHAR(160)," ")),'TRANS'!$D:$D,0)),IFERROR(INDEX('Catalog'!$A:$A,MATCH($B3459,'Catalog'!$B:$B,0)),IFERROR(INDEX('Catalog'!$A:$A,MATCH(TRIM(SUBSTITUTE($B3459,CHAR(160)," ")),'Catalog'!$C:$C,0)),""))))</f>
        <v>4408098</v>
      </c>
      <c r="H3459" s="8" t="str">
        <f aca="false">IFERROR(INDEX('TRANS'!$C:$C,MATCH($B3459,'TRANS'!$A:$A,0)),IFERROR(INDEX('Catalog'!$B:$B,MATCH($G3459,'Catalog'!$A:$A,0)),$B3459))</f>
        <v>T25-חבק יד אגודלי</v>
      </c>
      <c r="I3459" s="8" t="str">
        <f aca="false">IF($G3459="","Unmatched","Matched")</f>
        <v>Matched</v>
      </c>
      <c r="J3459" s="8" t="n">
        <f aca="false">IF($G3459&lt;&gt;"",$G3459,$B3459)</f>
        <v>4408098</v>
      </c>
      <c r="K3459" s="8" t="str">
        <f aca="false">IF(COUNTIF($M$1:$M$10,$A3459)&gt;0,"Y","N")</f>
        <v>N</v>
      </c>
    </row>
    <row r="3460" customFormat="false" ht="15" hidden="false" customHeight="true" outlineLevel="0" collapsed="false">
      <c r="A3460" s="8" t="s">
        <v>1082</v>
      </c>
      <c r="B3460" s="8" t="s">
        <v>90</v>
      </c>
      <c r="C3460" s="19" t="n">
        <v>30</v>
      </c>
      <c r="D3460" s="19" t="n">
        <v>1771.01</v>
      </c>
      <c r="E3460" s="19" t="n">
        <v>0</v>
      </c>
      <c r="F3460" s="19" t="n">
        <v>0</v>
      </c>
      <c r="G3460" s="8" t="str">
        <f aca="false">IFERROR(INDEX('TRANS'!$B:$B,MATCH($B3460,'TRANS'!$A:$A,0)),IFERROR(INDEX('TRANS'!$B:$B,MATCH(TRIM(SUBSTITUTE($B3460,CHAR(160)," ")),'TRANS'!$D:$D,0)),IFERROR(INDEX('Catalog'!$A:$A,MATCH($B3460,'Catalog'!$B:$B,0)),IFERROR(INDEX('Catalog'!$A:$A,MATCH(TRIM(SUBSTITUTE($B3460,CHAR(160)," ")),'Catalog'!$C:$C,0)),""))))</f>
        <v/>
      </c>
      <c r="H3460" s="8" t="str">
        <f aca="false">IFERROR(INDEX('TRANS'!$C:$C,MATCH($B3460,'TRANS'!$A:$A,0)),IFERROR(INDEX('Catalog'!$B:$B,MATCH($G3460,'Catalog'!$A:$A,0)),$B3460))</f>
        <v>T33 L</v>
      </c>
      <c r="I3460" s="8" t="str">
        <f aca="false">IF($G3460="","Unmatched","Matched")</f>
        <v>Unmatched</v>
      </c>
      <c r="J3460" s="8" t="str">
        <f aca="false">IF($G3460&lt;&gt;"",$G3460,$B3460)</f>
        <v>T33 L</v>
      </c>
      <c r="K3460" s="8" t="str">
        <f aca="false">IF(COUNTIF($M$1:$M$10,$A3460)&gt;0,"Y","N")</f>
        <v>N</v>
      </c>
    </row>
    <row r="3461" customFormat="false" ht="15" hidden="false" customHeight="true" outlineLevel="0" collapsed="false">
      <c r="A3461" s="8" t="s">
        <v>1082</v>
      </c>
      <c r="B3461" s="8" t="s">
        <v>133</v>
      </c>
      <c r="C3461" s="19" t="n">
        <v>20</v>
      </c>
      <c r="D3461" s="19" t="n">
        <v>1180.68</v>
      </c>
      <c r="E3461" s="19" t="n">
        <v>0</v>
      </c>
      <c r="F3461" s="19" t="n">
        <v>0</v>
      </c>
      <c r="G3461" s="8" t="str">
        <f aca="false">IFERROR(INDEX('TRANS'!$B:$B,MATCH($B3461,'TRANS'!$A:$A,0)),IFERROR(INDEX('TRANS'!$B:$B,MATCH(TRIM(SUBSTITUTE($B3461,CHAR(160)," ")),'TRANS'!$D:$D,0)),IFERROR(INDEX('Catalog'!$A:$A,MATCH($B3461,'Catalog'!$B:$B,0)),IFERROR(INDEX('Catalog'!$A:$A,MATCH(TRIM(SUBSTITUTE($B3461,CHAR(160)," ")),'Catalog'!$C:$C,0)),""))))</f>
        <v/>
      </c>
      <c r="H3461" s="8" t="str">
        <f aca="false">IFERROR(INDEX('TRANS'!$C:$C,MATCH($B3461,'TRANS'!$A:$A,0)),IFERROR(INDEX('Catalog'!$B:$B,MATCH($G3461,'Catalog'!$A:$A,0)),$B3461))</f>
        <v>T33 M</v>
      </c>
      <c r="I3461" s="8" t="str">
        <f aca="false">IF($G3461="","Unmatched","Matched")</f>
        <v>Unmatched</v>
      </c>
      <c r="J3461" s="8" t="str">
        <f aca="false">IF($G3461&lt;&gt;"",$G3461,$B3461)</f>
        <v>T33 M</v>
      </c>
      <c r="K3461" s="8" t="str">
        <f aca="false">IF(COUNTIF($M$1:$M$10,$A3461)&gt;0,"Y","N")</f>
        <v>N</v>
      </c>
    </row>
    <row r="3462" customFormat="false" ht="15" hidden="false" customHeight="true" outlineLevel="0" collapsed="false">
      <c r="A3462" s="8" t="s">
        <v>1082</v>
      </c>
      <c r="B3462" s="8" t="s">
        <v>166</v>
      </c>
      <c r="C3462" s="19" t="n">
        <v>10</v>
      </c>
      <c r="D3462" s="19" t="n">
        <v>590.35</v>
      </c>
      <c r="E3462" s="19" t="n">
        <v>0</v>
      </c>
      <c r="F3462" s="19" t="n">
        <v>0</v>
      </c>
      <c r="G3462" s="8" t="str">
        <f aca="false">IFERROR(INDEX('TRANS'!$B:$B,MATCH($B3462,'TRANS'!$A:$A,0)),IFERROR(INDEX('TRANS'!$B:$B,MATCH(TRIM(SUBSTITUTE($B3462,CHAR(160)," ")),'TRANS'!$D:$D,0)),IFERROR(INDEX('Catalog'!$A:$A,MATCH($B3462,'Catalog'!$B:$B,0)),IFERROR(INDEX('Catalog'!$A:$A,MATCH(TRIM(SUBSTITUTE($B3462,CHAR(160)," ")),'Catalog'!$C:$C,0)),""))))</f>
        <v/>
      </c>
      <c r="H3462" s="8" t="str">
        <f aca="false">IFERROR(INDEX('TRANS'!$C:$C,MATCH($B3462,'TRANS'!$A:$A,0)),IFERROR(INDEX('Catalog'!$B:$B,MATCH($G3462,'Catalog'!$A:$A,0)),$B3462))</f>
        <v>T33 S</v>
      </c>
      <c r="I3462" s="8" t="str">
        <f aca="false">IF($G3462="","Unmatched","Matched")</f>
        <v>Unmatched</v>
      </c>
      <c r="J3462" s="8" t="str">
        <f aca="false">IF($G3462&lt;&gt;"",$G3462,$B3462)</f>
        <v>T33 S</v>
      </c>
      <c r="K3462" s="8" t="str">
        <f aca="false">IF(COUNTIF($M$1:$M$10,$A3462)&gt;0,"Y","N")</f>
        <v>N</v>
      </c>
    </row>
    <row r="3463" customFormat="false" ht="15" hidden="false" customHeight="true" outlineLevel="0" collapsed="false">
      <c r="A3463" s="8" t="s">
        <v>1082</v>
      </c>
      <c r="B3463" s="8" t="s">
        <v>118</v>
      </c>
      <c r="C3463" s="19" t="n">
        <v>30</v>
      </c>
      <c r="D3463" s="19" t="n">
        <v>1771.54</v>
      </c>
      <c r="E3463" s="19" t="n">
        <v>0</v>
      </c>
      <c r="F3463" s="19" t="n">
        <v>0</v>
      </c>
      <c r="G3463" s="8" t="str">
        <f aca="false">IFERROR(INDEX('TRANS'!$B:$B,MATCH($B3463,'TRANS'!$A:$A,0)),IFERROR(INDEX('TRANS'!$B:$B,MATCH(TRIM(SUBSTITUTE($B3463,CHAR(160)," ")),'TRANS'!$D:$D,0)),IFERROR(INDEX('Catalog'!$A:$A,MATCH($B3463,'Catalog'!$B:$B,0)),IFERROR(INDEX('Catalog'!$A:$A,MATCH(TRIM(SUBSTITUTE($B3463,CHAR(160)," ")),'Catalog'!$C:$C,0)),""))))</f>
        <v/>
      </c>
      <c r="H3463" s="8" t="str">
        <f aca="false">IFERROR(INDEX('TRANS'!$C:$C,MATCH($B3463,'TRANS'!$A:$A,0)),IFERROR(INDEX('Catalog'!$B:$B,MATCH($G3463,'Catalog'!$A:$A,0)),$B3463))</f>
        <v>T33 XL</v>
      </c>
      <c r="I3463" s="8" t="str">
        <f aca="false">IF($G3463="","Unmatched","Matched")</f>
        <v>Unmatched</v>
      </c>
      <c r="J3463" s="8" t="str">
        <f aca="false">IF($G3463&lt;&gt;"",$G3463,$B3463)</f>
        <v>T33 XL</v>
      </c>
      <c r="K3463" s="8" t="str">
        <f aca="false">IF(COUNTIF($M$1:$M$10,$A3463)&gt;0,"Y","N")</f>
        <v>N</v>
      </c>
    </row>
    <row r="3464" customFormat="false" ht="15" hidden="false" customHeight="true" outlineLevel="0" collapsed="false">
      <c r="A3464" s="8" t="s">
        <v>1082</v>
      </c>
      <c r="B3464" s="8" t="s">
        <v>159</v>
      </c>
      <c r="C3464" s="19" t="n">
        <v>30</v>
      </c>
      <c r="D3464" s="19" t="n">
        <v>1772.56</v>
      </c>
      <c r="E3464" s="19" t="n">
        <v>0</v>
      </c>
      <c r="F3464" s="19" t="n">
        <v>0</v>
      </c>
      <c r="G3464" s="8" t="str">
        <f aca="false">IFERROR(INDEX('TRANS'!$B:$B,MATCH($B3464,'TRANS'!$A:$A,0)),IFERROR(INDEX('TRANS'!$B:$B,MATCH(TRIM(SUBSTITUTE($B3464,CHAR(160)," ")),'TRANS'!$D:$D,0)),IFERROR(INDEX('Catalog'!$A:$A,MATCH($B3464,'Catalog'!$B:$B,0)),IFERROR(INDEX('Catalog'!$A:$A,MATCH(TRIM(SUBSTITUTE($B3464,CHAR(160)," ")),'Catalog'!$C:$C,0)),""))))</f>
        <v/>
      </c>
      <c r="H3464" s="8" t="str">
        <f aca="false">IFERROR(INDEX('TRANS'!$C:$C,MATCH($B3464,'TRANS'!$A:$A,0)),IFERROR(INDEX('Catalog'!$B:$B,MATCH($G3464,'Catalog'!$A:$A,0)),$B3464))</f>
        <v>T33 XXL</v>
      </c>
      <c r="I3464" s="8" t="str">
        <f aca="false">IF($G3464="","Unmatched","Matched")</f>
        <v>Unmatched</v>
      </c>
      <c r="J3464" s="8" t="str">
        <f aca="false">IF($G3464&lt;&gt;"",$G3464,$B3464)</f>
        <v>T33 XXL</v>
      </c>
      <c r="K3464" s="8" t="str">
        <f aca="false">IF(COUNTIF($M$1:$M$10,$A3464)&gt;0,"Y","N")</f>
        <v>N</v>
      </c>
    </row>
    <row r="3465" customFormat="false" ht="15" hidden="false" customHeight="true" outlineLevel="0" collapsed="false">
      <c r="A3465" s="8" t="s">
        <v>1084</v>
      </c>
      <c r="B3465" s="8" t="s">
        <v>561</v>
      </c>
      <c r="C3465" s="19" t="n">
        <v>5</v>
      </c>
      <c r="D3465" s="19" t="n">
        <v>262.52</v>
      </c>
      <c r="E3465" s="19" t="n">
        <v>5</v>
      </c>
      <c r="F3465" s="19" t="n">
        <v>251.63</v>
      </c>
      <c r="G3465" s="8" t="n">
        <f aca="false">IFERROR(INDEX('TRANS'!$B:$B,MATCH($B3465,'TRANS'!$A:$A,0)),IFERROR(INDEX('TRANS'!$B:$B,MATCH(TRIM(SUBSTITUTE($B3465,CHAR(160)," ")),'TRANS'!$D:$D,0)),IFERROR(INDEX('Catalog'!$A:$A,MATCH($B3465,'Catalog'!$B:$B,0)),IFERROR(INDEX('Catalog'!$A:$A,MATCH(TRIM(SUBSTITUTE($B3465,CHAR(160)," ")),'Catalog'!$C:$C,0)),""))))</f>
        <v>4408192</v>
      </c>
      <c r="H3465" s="8" t="str">
        <f aca="false">IFERROR(INDEX('TRANS'!$C:$C,MATCH($B3465,'TRANS'!$A:$A,0)),IFERROR(INDEX('Catalog'!$B:$B,MATCH($G3465,'Catalog'!$A:$A,0)),$B3465))</f>
        <v>078 L חגורת גב +סגירה</v>
      </c>
      <c r="I3465" s="8" t="str">
        <f aca="false">IF($G3465="","Unmatched","Matched")</f>
        <v>Matched</v>
      </c>
      <c r="J3465" s="8" t="n">
        <f aca="false">IF($G3465&lt;&gt;"",$G3465,$B3465)</f>
        <v>4408192</v>
      </c>
      <c r="K3465" s="8" t="str">
        <f aca="false">IF(COUNTIF($M$1:$M$10,$A3465)&gt;0,"Y","N")</f>
        <v>N</v>
      </c>
    </row>
    <row r="3466" customFormat="false" ht="15" hidden="false" customHeight="true" outlineLevel="0" collapsed="false">
      <c r="A3466" s="8" t="s">
        <v>1084</v>
      </c>
      <c r="B3466" s="8" t="s">
        <v>852</v>
      </c>
      <c r="C3466" s="19" t="n">
        <v>5</v>
      </c>
      <c r="D3466" s="19" t="n">
        <v>262.52</v>
      </c>
      <c r="E3466" s="19" t="n">
        <v>0</v>
      </c>
      <c r="F3466" s="19" t="n">
        <v>0</v>
      </c>
      <c r="G3466" s="8" t="n">
        <f aca="false">IFERROR(INDEX('TRANS'!$B:$B,MATCH($B3466,'TRANS'!$A:$A,0)),IFERROR(INDEX('TRANS'!$B:$B,MATCH(TRIM(SUBSTITUTE($B3466,CHAR(160)," ")),'TRANS'!$D:$D,0)),IFERROR(INDEX('Catalog'!$A:$A,MATCH($B3466,'Catalog'!$B:$B,0)),IFERROR(INDEX('Catalog'!$A:$A,MATCH(TRIM(SUBSTITUTE($B3466,CHAR(160)," ")),'Catalog'!$C:$C,0)),""))))</f>
        <v>4408190</v>
      </c>
      <c r="H3466" s="8" t="str">
        <f aca="false">IFERROR(INDEX('TRANS'!$C:$C,MATCH($B3466,'TRANS'!$A:$A,0)),IFERROR(INDEX('Catalog'!$B:$B,MATCH($G3466,'Catalog'!$A:$A,0)),$B3466))</f>
        <v>M078 חגורת גב +סגירה כפולה</v>
      </c>
      <c r="I3466" s="8" t="str">
        <f aca="false">IF($G3466="","Unmatched","Matched")</f>
        <v>Matched</v>
      </c>
      <c r="J3466" s="8" t="n">
        <f aca="false">IF($G3466&lt;&gt;"",$G3466,$B3466)</f>
        <v>4408190</v>
      </c>
      <c r="K3466" s="8" t="str">
        <f aca="false">IF(COUNTIF($M$1:$M$10,$A3466)&gt;0,"Y","N")</f>
        <v>N</v>
      </c>
    </row>
    <row r="3467" customFormat="false" ht="15" hidden="false" customHeight="true" outlineLevel="0" collapsed="false">
      <c r="A3467" s="8" t="s">
        <v>1084</v>
      </c>
      <c r="B3467" s="8" t="s">
        <v>562</v>
      </c>
      <c r="C3467" s="19" t="n">
        <v>5</v>
      </c>
      <c r="D3467" s="19" t="n">
        <v>262.52</v>
      </c>
      <c r="E3467" s="19" t="n">
        <v>0</v>
      </c>
      <c r="F3467" s="19" t="n">
        <v>0</v>
      </c>
      <c r="G3467" s="8" t="n">
        <f aca="false">IFERROR(INDEX('TRANS'!$B:$B,MATCH($B3467,'TRANS'!$A:$A,0)),IFERROR(INDEX('TRANS'!$B:$B,MATCH(TRIM(SUBSTITUTE($B3467,CHAR(160)," ")),'TRANS'!$D:$D,0)),IFERROR(INDEX('Catalog'!$A:$A,MATCH($B3467,'Catalog'!$B:$B,0)),IFERROR(INDEX('Catalog'!$A:$A,MATCH(TRIM(SUBSTITUTE($B3467,CHAR(160)," ")),'Catalog'!$C:$C,0)),""))))</f>
        <v>4408218</v>
      </c>
      <c r="H3467" s="8" t="str">
        <f aca="false">IFERROR(INDEX('TRANS'!$C:$C,MATCH($B3467,'TRANS'!$A:$A,0)),IFERROR(INDEX('Catalog'!$B:$B,MATCH($G3467,'Catalog'!$A:$A,0)),$B3467))</f>
        <v>078XL חגורת גב +סגירה כפולה</v>
      </c>
      <c r="I3467" s="8" t="str">
        <f aca="false">IF($G3467="","Unmatched","Matched")</f>
        <v>Matched</v>
      </c>
      <c r="J3467" s="8" t="n">
        <f aca="false">IF($G3467&lt;&gt;"",$G3467,$B3467)</f>
        <v>4408218</v>
      </c>
      <c r="K3467" s="8" t="str">
        <f aca="false">IF(COUNTIF($M$1:$M$10,$A3467)&gt;0,"Y","N")</f>
        <v>N</v>
      </c>
    </row>
    <row r="3468" customFormat="false" ht="15" hidden="false" customHeight="true" outlineLevel="0" collapsed="false">
      <c r="A3468" s="8" t="s">
        <v>1084</v>
      </c>
      <c r="B3468" s="8" t="s">
        <v>854</v>
      </c>
      <c r="C3468" s="19" t="n">
        <v>5</v>
      </c>
      <c r="D3468" s="19" t="n">
        <v>262.52</v>
      </c>
      <c r="E3468" s="19" t="n">
        <v>0</v>
      </c>
      <c r="F3468" s="19" t="n">
        <v>0</v>
      </c>
      <c r="G3468" s="8" t="n">
        <f aca="false">IFERROR(INDEX('TRANS'!$B:$B,MATCH($B3468,'TRANS'!$A:$A,0)),IFERROR(INDEX('TRANS'!$B:$B,MATCH(TRIM(SUBSTITUTE($B3468,CHAR(160)," ")),'TRANS'!$D:$D,0)),IFERROR(INDEX('Catalog'!$A:$A,MATCH($B3468,'Catalog'!$B:$B,0)),IFERROR(INDEX('Catalog'!$A:$A,MATCH(TRIM(SUBSTITUTE($B3468,CHAR(160)," ")),'Catalog'!$C:$C,0)),""))))</f>
        <v>4408265</v>
      </c>
      <c r="H3468" s="8" t="str">
        <f aca="false">IFERROR(INDEX('TRANS'!$C:$C,MATCH($B3468,'TRANS'!$A:$A,0)),IFERROR(INDEX('Catalog'!$B:$B,MATCH($G3468,'Catalog'!$A:$A,0)),$B3468))</f>
        <v>078XXL חגורת גב +סגירה כפולה</v>
      </c>
      <c r="I3468" s="8" t="str">
        <f aca="false">IF($G3468="","Unmatched","Matched")</f>
        <v>Matched</v>
      </c>
      <c r="J3468" s="8" t="n">
        <f aca="false">IF($G3468&lt;&gt;"",$G3468,$B3468)</f>
        <v>4408265</v>
      </c>
      <c r="K3468" s="8" t="str">
        <f aca="false">IF(COUNTIF($M$1:$M$10,$A3468)&gt;0,"Y","N")</f>
        <v>N</v>
      </c>
    </row>
    <row r="3469" customFormat="false" ht="15" hidden="false" customHeight="true" outlineLevel="0" collapsed="false">
      <c r="A3469" s="8" t="s">
        <v>1084</v>
      </c>
      <c r="B3469" s="8" t="s">
        <v>568</v>
      </c>
      <c r="C3469" s="19" t="n">
        <v>10</v>
      </c>
      <c r="D3469" s="19" t="n">
        <v>494.8</v>
      </c>
      <c r="E3469" s="19" t="n">
        <v>0</v>
      </c>
      <c r="F3469" s="19" t="n">
        <v>0</v>
      </c>
      <c r="G3469" s="8" t="n">
        <f aca="false">IFERROR(INDEX('TRANS'!$B:$B,MATCH($B3469,'TRANS'!$A:$A,0)),IFERROR(INDEX('TRANS'!$B:$B,MATCH(TRIM(SUBSTITUTE($B3469,CHAR(160)," ")),'TRANS'!$D:$D,0)),IFERROR(INDEX('Catalog'!$A:$A,MATCH($B3469,'Catalog'!$B:$B,0)),IFERROR(INDEX('Catalog'!$A:$A,MATCH(TRIM(SUBSTITUTE($B3469,CHAR(160)," ")),'Catalog'!$C:$C,0)),""))))</f>
        <v>4408115</v>
      </c>
      <c r="H3469" s="8" t="str">
        <f aca="false">IFERROR(INDEX('TRANS'!$C:$C,MATCH($B3469,'TRANS'!$A:$A,0)),IFERROR(INDEX('Catalog'!$B:$B,MATCH($G3469,'Catalog'!$A:$A,0)),$B3469))</f>
        <v>11EU L ח.בטן לאחר ניתוח</v>
      </c>
      <c r="I3469" s="8" t="str">
        <f aca="false">IF($G3469="","Unmatched","Matched")</f>
        <v>Matched</v>
      </c>
      <c r="J3469" s="8" t="n">
        <f aca="false">IF($G3469&lt;&gt;"",$G3469,$B3469)</f>
        <v>4408115</v>
      </c>
      <c r="K3469" s="8" t="str">
        <f aca="false">IF(COUNTIF($M$1:$M$10,$A3469)&gt;0,"Y","N")</f>
        <v>N</v>
      </c>
    </row>
    <row r="3470" customFormat="false" ht="15" hidden="false" customHeight="true" outlineLevel="0" collapsed="false">
      <c r="A3470" s="8" t="s">
        <v>1084</v>
      </c>
      <c r="B3470" s="8" t="s">
        <v>569</v>
      </c>
      <c r="C3470" s="19" t="n">
        <v>10</v>
      </c>
      <c r="D3470" s="19" t="n">
        <v>494.8</v>
      </c>
      <c r="E3470" s="19" t="n">
        <v>0</v>
      </c>
      <c r="F3470" s="19" t="n">
        <v>0</v>
      </c>
      <c r="G3470" s="8" t="n">
        <f aca="false">IFERROR(INDEX('TRANS'!$B:$B,MATCH($B3470,'TRANS'!$A:$A,0)),IFERROR(INDEX('TRANS'!$B:$B,MATCH(TRIM(SUBSTITUTE($B3470,CHAR(160)," ")),'TRANS'!$D:$D,0)),IFERROR(INDEX('Catalog'!$A:$A,MATCH($B3470,'Catalog'!$B:$B,0)),IFERROR(INDEX('Catalog'!$A:$A,MATCH(TRIM(SUBSTITUTE($B3470,CHAR(160)," ")),'Catalog'!$C:$C,0)),""))))</f>
        <v>4408114</v>
      </c>
      <c r="H3470" s="8" t="str">
        <f aca="false">IFERROR(INDEX('TRANS'!$C:$C,MATCH($B3470,'TRANS'!$A:$A,0)),IFERROR(INDEX('Catalog'!$B:$B,MATCH($G3470,'Catalog'!$A:$A,0)),$B3470))</f>
        <v>11EU M ח.בטן לאחר ניתוח</v>
      </c>
      <c r="I3470" s="8" t="str">
        <f aca="false">IF($G3470="","Unmatched","Matched")</f>
        <v>Matched</v>
      </c>
      <c r="J3470" s="8" t="n">
        <f aca="false">IF($G3470&lt;&gt;"",$G3470,$B3470)</f>
        <v>4408114</v>
      </c>
      <c r="K3470" s="8" t="str">
        <f aca="false">IF(COUNTIF($M$1:$M$10,$A3470)&gt;0,"Y","N")</f>
        <v>N</v>
      </c>
    </row>
    <row r="3471" customFormat="false" ht="15" hidden="false" customHeight="true" outlineLevel="0" collapsed="false">
      <c r="A3471" s="8" t="s">
        <v>1084</v>
      </c>
      <c r="B3471" s="8" t="s">
        <v>156</v>
      </c>
      <c r="C3471" s="19" t="n">
        <v>5</v>
      </c>
      <c r="D3471" s="19" t="n">
        <v>247.4</v>
      </c>
      <c r="E3471" s="19" t="n">
        <v>0</v>
      </c>
      <c r="F3471" s="19" t="n">
        <v>0</v>
      </c>
      <c r="G3471" s="8" t="str">
        <f aca="false">IFERROR(INDEX('TRANS'!$B:$B,MATCH($B3471,'TRANS'!$A:$A,0)),IFERROR(INDEX('TRANS'!$B:$B,MATCH(TRIM(SUBSTITUTE($B3471,CHAR(160)," ")),'TRANS'!$D:$D,0)),IFERROR(INDEX('Catalog'!$A:$A,MATCH($B3471,'Catalog'!$B:$B,0)),IFERROR(INDEX('Catalog'!$A:$A,MATCH(TRIM(SUBSTITUTE($B3471,CHAR(160)," ")),'Catalog'!$C:$C,0)),""))))</f>
        <v/>
      </c>
      <c r="H3471" s="8" t="str">
        <f aca="false">IFERROR(INDEX('TRANS'!$C:$C,MATCH($B3471,'TRANS'!$A:$A,0)),IFERROR(INDEX('Catalog'!$B:$B,MATCH($G3471,'Catalog'!$A:$A,0)),$B3471))</f>
        <v>11EU S</v>
      </c>
      <c r="I3471" s="8" t="str">
        <f aca="false">IF($G3471="","Unmatched","Matched")</f>
        <v>Unmatched</v>
      </c>
      <c r="J3471" s="8" t="str">
        <f aca="false">IF($G3471&lt;&gt;"",$G3471,$B3471)</f>
        <v>11EU S</v>
      </c>
      <c r="K3471" s="8" t="str">
        <f aca="false">IF(COUNTIF($M$1:$M$10,$A3471)&gt;0,"Y","N")</f>
        <v>N</v>
      </c>
    </row>
    <row r="3472" customFormat="false" ht="15" hidden="false" customHeight="true" outlineLevel="0" collapsed="false">
      <c r="A3472" s="8" t="s">
        <v>1084</v>
      </c>
      <c r="B3472" s="8" t="s">
        <v>778</v>
      </c>
      <c r="C3472" s="19" t="n">
        <v>10</v>
      </c>
      <c r="D3472" s="19" t="n">
        <v>494.8</v>
      </c>
      <c r="E3472" s="19" t="n">
        <v>0</v>
      </c>
      <c r="F3472" s="19" t="n">
        <v>0</v>
      </c>
      <c r="G3472" s="8" t="n">
        <f aca="false">IFERROR(INDEX('TRANS'!$B:$B,MATCH($B3472,'TRANS'!$A:$A,0)),IFERROR(INDEX('TRANS'!$B:$B,MATCH(TRIM(SUBSTITUTE($B3472,CHAR(160)," ")),'TRANS'!$D:$D,0)),IFERROR(INDEX('Catalog'!$A:$A,MATCH($B3472,'Catalog'!$B:$B,0)),IFERROR(INDEX('Catalog'!$A:$A,MATCH(TRIM(SUBSTITUTE($B3472,CHAR(160)," ")),'Catalog'!$C:$C,0)),""))))</f>
        <v>4408116</v>
      </c>
      <c r="H3472" s="8" t="str">
        <f aca="false">IFERROR(INDEX('TRANS'!$C:$C,MATCH($B3472,'TRANS'!$A:$A,0)),IFERROR(INDEX('Catalog'!$B:$B,MATCH($G3472,'Catalog'!$A:$A,0)),$B3472))</f>
        <v>11EU XLח.בטן לאחר ניתוח</v>
      </c>
      <c r="I3472" s="8" t="str">
        <f aca="false">IF($G3472="","Unmatched","Matched")</f>
        <v>Matched</v>
      </c>
      <c r="J3472" s="8" t="n">
        <f aca="false">IF($G3472&lt;&gt;"",$G3472,$B3472)</f>
        <v>4408116</v>
      </c>
      <c r="K3472" s="8" t="str">
        <f aca="false">IF(COUNTIF($M$1:$M$10,$A3472)&gt;0,"Y","N")</f>
        <v>N</v>
      </c>
    </row>
    <row r="3473" customFormat="false" ht="15" hidden="false" customHeight="true" outlineLevel="0" collapsed="false">
      <c r="A3473" s="8" t="s">
        <v>1084</v>
      </c>
      <c r="B3473" s="8" t="s">
        <v>856</v>
      </c>
      <c r="C3473" s="19" t="n">
        <v>10</v>
      </c>
      <c r="D3473" s="19" t="n">
        <v>494.8</v>
      </c>
      <c r="E3473" s="19" t="n">
        <v>0</v>
      </c>
      <c r="F3473" s="19" t="n">
        <v>0</v>
      </c>
      <c r="G3473" s="8" t="n">
        <f aca="false">IFERROR(INDEX('TRANS'!$B:$B,MATCH($B3473,'TRANS'!$A:$A,0)),IFERROR(INDEX('TRANS'!$B:$B,MATCH(TRIM(SUBSTITUTE($B3473,CHAR(160)," ")),'TRANS'!$D:$D,0)),IFERROR(INDEX('Catalog'!$A:$A,MATCH($B3473,'Catalog'!$B:$B,0)),IFERROR(INDEX('Catalog'!$A:$A,MATCH(TRIM(SUBSTITUTE($B3473,CHAR(160)," ")),'Catalog'!$C:$C,0)),""))))</f>
        <v>4408132</v>
      </c>
      <c r="H3473" s="8" t="str">
        <f aca="false">IFERROR(INDEX('TRANS'!$C:$C,MATCH($B3473,'TRANS'!$A:$A,0)),IFERROR(INDEX('Catalog'!$B:$B,MATCH($G3473,'Catalog'!$A:$A,0)),$B3473))</f>
        <v>11EU XXL חגורת בטןלאחר ניתוח</v>
      </c>
      <c r="I3473" s="8" t="str">
        <f aca="false">IF($G3473="","Unmatched","Matched")</f>
        <v>Matched</v>
      </c>
      <c r="J3473" s="8" t="n">
        <f aca="false">IF($G3473&lt;&gt;"",$G3473,$B3473)</f>
        <v>4408132</v>
      </c>
      <c r="K3473" s="8" t="str">
        <f aca="false">IF(COUNTIF($M$1:$M$10,$A3473)&gt;0,"Y","N")</f>
        <v>N</v>
      </c>
    </row>
    <row r="3474" customFormat="false" ht="15" hidden="false" customHeight="true" outlineLevel="0" collapsed="false">
      <c r="A3474" s="8" t="s">
        <v>1084</v>
      </c>
      <c r="B3474" s="8" t="s">
        <v>572</v>
      </c>
      <c r="C3474" s="19" t="n">
        <v>185</v>
      </c>
      <c r="D3474" s="19" t="n">
        <v>14791.19</v>
      </c>
      <c r="E3474" s="19" t="n">
        <v>280</v>
      </c>
      <c r="F3474" s="19" t="n">
        <v>21022.31</v>
      </c>
      <c r="G3474" s="8" t="n">
        <f aca="false">IFERROR(INDEX('TRANS'!$B:$B,MATCH($B3474,'TRANS'!$A:$A,0)),IFERROR(INDEX('TRANS'!$B:$B,MATCH(TRIM(SUBSTITUTE($B3474,CHAR(160)," ")),'TRANS'!$D:$D,0)),IFERROR(INDEX('Catalog'!$A:$A,MATCH($B3474,'Catalog'!$B:$B,0)),IFERROR(INDEX('Catalog'!$A:$A,MATCH(TRIM(SUBSTITUTE($B3474,CHAR(160)," ")),'Catalog'!$C:$C,0)),""))))</f>
        <v>4408203</v>
      </c>
      <c r="H3474" s="8" t="str">
        <f aca="false">IFERROR(INDEX('TRANS'!$C:$C,MATCH($B3474,'TRANS'!$A:$A,0)),IFERROR(INDEX('Catalog'!$B:$B,MATCH($G3474,'Catalog'!$A:$A,0)),$B3474))</f>
        <v>14 0 חגורה למנותחי בית חזה</v>
      </c>
      <c r="I3474" s="8" t="str">
        <f aca="false">IF($G3474="","Unmatched","Matched")</f>
        <v>Matched</v>
      </c>
      <c r="J3474" s="8" t="n">
        <f aca="false">IF($G3474&lt;&gt;"",$G3474,$B3474)</f>
        <v>4408203</v>
      </c>
      <c r="K3474" s="8" t="str">
        <f aca="false">IF(COUNTIF($M$1:$M$10,$A3474)&gt;0,"Y","N")</f>
        <v>N</v>
      </c>
    </row>
    <row r="3475" customFormat="false" ht="15" hidden="false" customHeight="true" outlineLevel="0" collapsed="false">
      <c r="A3475" s="8" t="s">
        <v>1084</v>
      </c>
      <c r="B3475" s="8" t="s">
        <v>970</v>
      </c>
      <c r="C3475" s="19" t="n">
        <v>5</v>
      </c>
      <c r="D3475" s="19" t="n">
        <v>71.67</v>
      </c>
      <c r="E3475" s="19" t="n">
        <v>25</v>
      </c>
      <c r="F3475" s="19" t="n">
        <v>368.13</v>
      </c>
      <c r="G3475" s="8" t="n">
        <f aca="false">IFERROR(INDEX('TRANS'!$B:$B,MATCH($B3475,'TRANS'!$A:$A,0)),IFERROR(INDEX('TRANS'!$B:$B,MATCH(TRIM(SUBSTITUTE($B3475,CHAR(160)," ")),'TRANS'!$D:$D,0)),IFERROR(INDEX('Catalog'!$A:$A,MATCH($B3475,'Catalog'!$B:$B,0)),IFERROR(INDEX('Catalog'!$A:$A,MATCH(TRIM(SUBSTITUTE($B3475,CHAR(160)," ")),'Catalog'!$C:$C,0)),""))))</f>
        <v>4408046</v>
      </c>
      <c r="H3475" s="8" t="str">
        <f aca="false">IFERROR(INDEX('TRANS'!$C:$C,MATCH($B3475,'TRANS'!$A:$A,0)),IFERROR(INDEX('Catalog'!$B:$B,MATCH($G3475,'Catalog'!$A:$A,0)),$B3475))</f>
        <v>20 L חבק יד מתכוון עם צמדן</v>
      </c>
      <c r="I3475" s="8" t="str">
        <f aca="false">IF($G3475="","Unmatched","Matched")</f>
        <v>Matched</v>
      </c>
      <c r="J3475" s="8" t="n">
        <f aca="false">IF($G3475&lt;&gt;"",$G3475,$B3475)</f>
        <v>4408046</v>
      </c>
      <c r="K3475" s="8" t="str">
        <f aca="false">IF(COUNTIF($M$1:$M$10,$A3475)&gt;0,"Y","N")</f>
        <v>N</v>
      </c>
    </row>
    <row r="3476" customFormat="false" ht="15" hidden="false" customHeight="true" outlineLevel="0" collapsed="false">
      <c r="A3476" s="8" t="s">
        <v>1084</v>
      </c>
      <c r="B3476" s="8" t="s">
        <v>939</v>
      </c>
      <c r="C3476" s="19" t="n">
        <v>15</v>
      </c>
      <c r="D3476" s="19" t="n">
        <v>215.02</v>
      </c>
      <c r="E3476" s="19" t="n">
        <v>35</v>
      </c>
      <c r="F3476" s="19" t="n">
        <v>493.22</v>
      </c>
      <c r="G3476" s="8" t="n">
        <f aca="false">IFERROR(INDEX('TRANS'!$B:$B,MATCH($B3476,'TRANS'!$A:$A,0)),IFERROR(INDEX('TRANS'!$B:$B,MATCH(TRIM(SUBSTITUTE($B3476,CHAR(160)," ")),'TRANS'!$D:$D,0)),IFERROR(INDEX('Catalog'!$A:$A,MATCH($B3476,'Catalog'!$B:$B,0)),IFERROR(INDEX('Catalog'!$A:$A,MATCH(TRIM(SUBSTITUTE($B3476,CHAR(160)," ")),'Catalog'!$C:$C,0)),""))))</f>
        <v>4408047</v>
      </c>
      <c r="H3476" s="8" t="str">
        <f aca="false">IFERROR(INDEX('TRANS'!$C:$C,MATCH($B3476,'TRANS'!$A:$A,0)),IFERROR(INDEX('Catalog'!$B:$B,MATCH($G3476,'Catalog'!$A:$A,0)),$B3476))</f>
        <v>20 M חבק יד מתכוון עם צמדן</v>
      </c>
      <c r="I3476" s="8" t="str">
        <f aca="false">IF($G3476="","Unmatched","Matched")</f>
        <v>Matched</v>
      </c>
      <c r="J3476" s="8" t="n">
        <f aca="false">IF($G3476&lt;&gt;"",$G3476,$B3476)</f>
        <v>4408047</v>
      </c>
      <c r="K3476" s="8" t="str">
        <f aca="false">IF(COUNTIF($M$1:$M$10,$A3476)&gt;0,"Y","N")</f>
        <v>N</v>
      </c>
    </row>
    <row r="3477" customFormat="false" ht="15" hidden="false" customHeight="true" outlineLevel="0" collapsed="false">
      <c r="A3477" s="8" t="s">
        <v>1084</v>
      </c>
      <c r="B3477" s="8" t="s">
        <v>940</v>
      </c>
      <c r="C3477" s="19" t="n">
        <v>12</v>
      </c>
      <c r="D3477" s="19" t="n">
        <v>191.37</v>
      </c>
      <c r="E3477" s="19" t="n">
        <v>15</v>
      </c>
      <c r="F3477" s="19" t="n">
        <v>206.11</v>
      </c>
      <c r="G3477" s="8" t="n">
        <f aca="false">IFERROR(INDEX('TRANS'!$B:$B,MATCH($B3477,'TRANS'!$A:$A,0)),IFERROR(INDEX('TRANS'!$B:$B,MATCH(TRIM(SUBSTITUTE($B3477,CHAR(160)," ")),'TRANS'!$D:$D,0)),IFERROR(INDEX('Catalog'!$A:$A,MATCH($B3477,'Catalog'!$B:$B,0)),IFERROR(INDEX('Catalog'!$A:$A,MATCH(TRIM(SUBSTITUTE($B3477,CHAR(160)," ")),'Catalog'!$C:$C,0)),""))))</f>
        <v>4408048</v>
      </c>
      <c r="H3477" s="8" t="str">
        <f aca="false">IFERROR(INDEX('TRANS'!$C:$C,MATCH($B3477,'TRANS'!$A:$A,0)),IFERROR(INDEX('Catalog'!$B:$B,MATCH($G3477,'Catalog'!$A:$A,0)),$B3477))</f>
        <v>20 S חבק יד מתכוון עם צמדן</v>
      </c>
      <c r="I3477" s="8" t="str">
        <f aca="false">IF($G3477="","Unmatched","Matched")</f>
        <v>Matched</v>
      </c>
      <c r="J3477" s="8" t="n">
        <f aca="false">IF($G3477&lt;&gt;"",$G3477,$B3477)</f>
        <v>4408048</v>
      </c>
      <c r="K3477" s="8" t="str">
        <f aca="false">IF(COUNTIF($M$1:$M$10,$A3477)&gt;0,"Y","N")</f>
        <v>N</v>
      </c>
    </row>
    <row r="3478" customFormat="false" ht="15" hidden="false" customHeight="true" outlineLevel="0" collapsed="false">
      <c r="A3478" s="8" t="s">
        <v>1084</v>
      </c>
      <c r="B3478" s="8" t="s">
        <v>908</v>
      </c>
      <c r="C3478" s="19" t="n">
        <v>5</v>
      </c>
      <c r="D3478" s="19" t="n">
        <v>71.67</v>
      </c>
      <c r="E3478" s="19" t="n">
        <v>5</v>
      </c>
      <c r="F3478" s="19" t="n">
        <v>81.01</v>
      </c>
      <c r="G3478" s="8" t="n">
        <f aca="false">IFERROR(INDEX('TRANS'!$B:$B,MATCH($B3478,'TRANS'!$A:$A,0)),IFERROR(INDEX('TRANS'!$B:$B,MATCH(TRIM(SUBSTITUTE($B3478,CHAR(160)," ")),'TRANS'!$D:$D,0)),IFERROR(INDEX('Catalog'!$A:$A,MATCH($B3478,'Catalog'!$B:$B,0)),IFERROR(INDEX('Catalog'!$A:$A,MATCH(TRIM(SUBSTITUTE($B3478,CHAR(160)," ")),'Catalog'!$C:$C,0)),""))))</f>
        <v>4408049</v>
      </c>
      <c r="H3478" s="8" t="str">
        <f aca="false">IFERROR(INDEX('TRANS'!$C:$C,MATCH($B3478,'TRANS'!$A:$A,0)),IFERROR(INDEX('Catalog'!$B:$B,MATCH($G3478,'Catalog'!$A:$A,0)),$B3478))</f>
        <v>20 XL חבק יד מתכוון עם צמדן</v>
      </c>
      <c r="I3478" s="8" t="str">
        <f aca="false">IF($G3478="","Unmatched","Matched")</f>
        <v>Matched</v>
      </c>
      <c r="J3478" s="8" t="n">
        <f aca="false">IF($G3478&lt;&gt;"",$G3478,$B3478)</f>
        <v>4408049</v>
      </c>
      <c r="K3478" s="8" t="str">
        <f aca="false">IF(COUNTIF($M$1:$M$10,$A3478)&gt;0,"Y","N")</f>
        <v>N</v>
      </c>
    </row>
    <row r="3479" customFormat="false" ht="15" hidden="false" customHeight="true" outlineLevel="0" collapsed="false">
      <c r="A3479" s="8" t="s">
        <v>1084</v>
      </c>
      <c r="B3479" s="8" t="s">
        <v>859</v>
      </c>
      <c r="C3479" s="19" t="n">
        <v>0</v>
      </c>
      <c r="D3479" s="19" t="n">
        <v>0</v>
      </c>
      <c r="E3479" s="19" t="n">
        <v>1</v>
      </c>
      <c r="F3479" s="19" t="n">
        <v>0.03</v>
      </c>
      <c r="G3479" s="8" t="n">
        <f aca="false">IFERROR(INDEX('TRANS'!$B:$B,MATCH($B3479,'TRANS'!$A:$A,0)),IFERROR(INDEX('TRANS'!$B:$B,MATCH(TRIM(SUBSTITUTE($B3479,CHAR(160)," ")),'TRANS'!$D:$D,0)),IFERROR(INDEX('Catalog'!$A:$A,MATCH($B3479,'Catalog'!$B:$B,0)),IFERROR(INDEX('Catalog'!$A:$A,MATCH(TRIM(SUBSTITUTE($B3479,CHAR(160)," ")),'Catalog'!$C:$C,0)),""))))</f>
        <v>4408275</v>
      </c>
      <c r="H3479" s="8" t="str">
        <f aca="false">IFERROR(INDEX('TRANS'!$C:$C,MATCH($B3479,'TRANS'!$A:$A,0)),IFERROR(INDEX('Catalog'!$B:$B,MATCH($G3479,'Catalog'!$A:$A,0)),$B3479))</f>
        <v>202  ONE SIZE חבק יד</v>
      </c>
      <c r="I3479" s="8" t="str">
        <f aca="false">IF($G3479="","Unmatched","Matched")</f>
        <v>Matched</v>
      </c>
      <c r="J3479" s="8" t="n">
        <f aca="false">IF($G3479&lt;&gt;"",$G3479,$B3479)</f>
        <v>4408275</v>
      </c>
      <c r="K3479" s="8" t="str">
        <f aca="false">IF(COUNTIF($M$1:$M$10,$A3479)&gt;0,"Y","N")</f>
        <v>N</v>
      </c>
    </row>
    <row r="3480" customFormat="false" ht="15" hidden="false" customHeight="true" outlineLevel="0" collapsed="false">
      <c r="A3480" s="8" t="s">
        <v>1084</v>
      </c>
      <c r="B3480" s="8" t="s">
        <v>860</v>
      </c>
      <c r="C3480" s="19" t="n">
        <v>5</v>
      </c>
      <c r="D3480" s="19" t="n">
        <v>186.94</v>
      </c>
      <c r="E3480" s="19" t="n">
        <v>0</v>
      </c>
      <c r="F3480" s="19" t="n">
        <v>0</v>
      </c>
      <c r="G3480" s="8" t="n">
        <f aca="false">IFERROR(INDEX('TRANS'!$B:$B,MATCH($B3480,'TRANS'!$A:$A,0)),IFERROR(INDEX('TRANS'!$B:$B,MATCH(TRIM(SUBSTITUTE($B3480,CHAR(160)," ")),'TRANS'!$D:$D,0)),IFERROR(INDEX('Catalog'!$A:$A,MATCH($B3480,'Catalog'!$B:$B,0)),IFERROR(INDEX('Catalog'!$A:$A,MATCH(TRIM(SUBSTITUTE($B3480,CHAR(160)," ")),'Catalog'!$C:$C,0)),""))))</f>
        <v>4411026</v>
      </c>
      <c r="H3480" s="8" t="str">
        <f aca="false">IFERROR(INDEX('TRANS'!$C:$C,MATCH($B3480,'TRANS'!$A:$A,0)),IFERROR(INDEX('Catalog'!$B:$B,MATCH($G3480,'Catalog'!$A:$A,0)),$B3480))</f>
        <v>213CTSL L שמאל CTS כפפות</v>
      </c>
      <c r="I3480" s="8" t="str">
        <f aca="false">IF($G3480="","Unmatched","Matched")</f>
        <v>Matched</v>
      </c>
      <c r="J3480" s="8" t="n">
        <f aca="false">IF($G3480&lt;&gt;"",$G3480,$B3480)</f>
        <v>4411026</v>
      </c>
      <c r="K3480" s="8" t="str">
        <f aca="false">IF(COUNTIF($M$1:$M$10,$A3480)&gt;0,"Y","N")</f>
        <v>N</v>
      </c>
    </row>
    <row r="3481" customFormat="false" ht="15" hidden="false" customHeight="true" outlineLevel="0" collapsed="false">
      <c r="A3481" s="8" t="s">
        <v>1084</v>
      </c>
      <c r="B3481" s="8" t="s">
        <v>861</v>
      </c>
      <c r="C3481" s="19" t="n">
        <v>10</v>
      </c>
      <c r="D3481" s="19" t="n">
        <v>373.89</v>
      </c>
      <c r="E3481" s="19" t="n">
        <v>0</v>
      </c>
      <c r="F3481" s="19" t="n">
        <v>0</v>
      </c>
      <c r="G3481" s="8" t="n">
        <f aca="false">IFERROR(INDEX('TRANS'!$B:$B,MATCH($B3481,'TRANS'!$A:$A,0)),IFERROR(INDEX('TRANS'!$B:$B,MATCH(TRIM(SUBSTITUTE($B3481,CHAR(160)," ")),'TRANS'!$D:$D,0)),IFERROR(INDEX('Catalog'!$A:$A,MATCH($B3481,'Catalog'!$B:$B,0)),IFERROR(INDEX('Catalog'!$A:$A,MATCH(TRIM(SUBSTITUTE($B3481,CHAR(160)," ")),'Catalog'!$C:$C,0)),""))))</f>
        <v>4411027</v>
      </c>
      <c r="H3481" s="8" t="str">
        <f aca="false">IFERROR(INDEX('TRANS'!$C:$C,MATCH($B3481,'TRANS'!$A:$A,0)),IFERROR(INDEX('Catalog'!$B:$B,MATCH($G3481,'Catalog'!$A:$A,0)),$B3481))</f>
        <v>213CTSL M שמאל CTS כפפות</v>
      </c>
      <c r="I3481" s="8" t="str">
        <f aca="false">IF($G3481="","Unmatched","Matched")</f>
        <v>Matched</v>
      </c>
      <c r="J3481" s="8" t="n">
        <f aca="false">IF($G3481&lt;&gt;"",$G3481,$B3481)</f>
        <v>4411027</v>
      </c>
      <c r="K3481" s="8" t="str">
        <f aca="false">IF(COUNTIF($M$1:$M$10,$A3481)&gt;0,"Y","N")</f>
        <v>N</v>
      </c>
    </row>
    <row r="3482" customFormat="false" ht="15" hidden="false" customHeight="true" outlineLevel="0" collapsed="false">
      <c r="A3482" s="8" t="s">
        <v>1084</v>
      </c>
      <c r="B3482" s="8" t="s">
        <v>862</v>
      </c>
      <c r="C3482" s="19" t="n">
        <v>10</v>
      </c>
      <c r="D3482" s="19" t="n">
        <v>373.89</v>
      </c>
      <c r="E3482" s="19" t="n">
        <v>0</v>
      </c>
      <c r="F3482" s="19" t="n">
        <v>0</v>
      </c>
      <c r="G3482" s="8" t="n">
        <f aca="false">IFERROR(INDEX('TRANS'!$B:$B,MATCH($B3482,'TRANS'!$A:$A,0)),IFERROR(INDEX('TRANS'!$B:$B,MATCH(TRIM(SUBSTITUTE($B3482,CHAR(160)," ")),'TRANS'!$D:$D,0)),IFERROR(INDEX('Catalog'!$A:$A,MATCH($B3482,'Catalog'!$B:$B,0)),IFERROR(INDEX('Catalog'!$A:$A,MATCH(TRIM(SUBSTITUTE($B3482,CHAR(160)," ")),'Catalog'!$C:$C,0)),""))))</f>
        <v>4411028</v>
      </c>
      <c r="H3482" s="8" t="str">
        <f aca="false">IFERROR(INDEX('TRANS'!$C:$C,MATCH($B3482,'TRANS'!$A:$A,0)),IFERROR(INDEX('Catalog'!$B:$B,MATCH($G3482,'Catalog'!$A:$A,0)),$B3482))</f>
        <v>213CTSL S שמאל CTS כפפות</v>
      </c>
      <c r="I3482" s="8" t="str">
        <f aca="false">IF($G3482="","Unmatched","Matched")</f>
        <v>Matched</v>
      </c>
      <c r="J3482" s="8" t="n">
        <f aca="false">IF($G3482&lt;&gt;"",$G3482,$B3482)</f>
        <v>4411028</v>
      </c>
      <c r="K3482" s="8" t="str">
        <f aca="false">IF(COUNTIF($M$1:$M$10,$A3482)&gt;0,"Y","N")</f>
        <v>N</v>
      </c>
    </row>
    <row r="3483" customFormat="false" ht="15" hidden="false" customHeight="true" outlineLevel="0" collapsed="false">
      <c r="A3483" s="8" t="s">
        <v>1084</v>
      </c>
      <c r="B3483" s="8" t="s">
        <v>863</v>
      </c>
      <c r="C3483" s="19" t="n">
        <v>5</v>
      </c>
      <c r="D3483" s="19" t="n">
        <v>186.94</v>
      </c>
      <c r="E3483" s="19" t="n">
        <v>0</v>
      </c>
      <c r="F3483" s="19" t="n">
        <v>0</v>
      </c>
      <c r="G3483" s="8" t="n">
        <f aca="false">IFERROR(INDEX('TRANS'!$B:$B,MATCH($B3483,'TRANS'!$A:$A,0)),IFERROR(INDEX('TRANS'!$B:$B,MATCH(TRIM(SUBSTITUTE($B3483,CHAR(160)," ")),'TRANS'!$D:$D,0)),IFERROR(INDEX('Catalog'!$A:$A,MATCH($B3483,'Catalog'!$B:$B,0)),IFERROR(INDEX('Catalog'!$A:$A,MATCH(TRIM(SUBSTITUTE($B3483,CHAR(160)," ")),'Catalog'!$C:$C,0)),""))))</f>
        <v>4411029</v>
      </c>
      <c r="H3483" s="8" t="str">
        <f aca="false">IFERROR(INDEX('TRANS'!$C:$C,MATCH($B3483,'TRANS'!$A:$A,0)),IFERROR(INDEX('Catalog'!$B:$B,MATCH($G3483,'Catalog'!$A:$A,0)),$B3483))</f>
        <v>213CTSR L ימין CTS כפפות</v>
      </c>
      <c r="I3483" s="8" t="str">
        <f aca="false">IF($G3483="","Unmatched","Matched")</f>
        <v>Matched</v>
      </c>
      <c r="J3483" s="8" t="n">
        <f aca="false">IF($G3483&lt;&gt;"",$G3483,$B3483)</f>
        <v>4411029</v>
      </c>
      <c r="K3483" s="8" t="str">
        <f aca="false">IF(COUNTIF($M$1:$M$10,$A3483)&gt;0,"Y","N")</f>
        <v>N</v>
      </c>
    </row>
    <row r="3484" customFormat="false" ht="15" hidden="false" customHeight="true" outlineLevel="0" collapsed="false">
      <c r="A3484" s="8" t="s">
        <v>1084</v>
      </c>
      <c r="B3484" s="8" t="s">
        <v>864</v>
      </c>
      <c r="C3484" s="19" t="n">
        <v>10</v>
      </c>
      <c r="D3484" s="19" t="n">
        <v>373.89</v>
      </c>
      <c r="E3484" s="19" t="n">
        <v>0</v>
      </c>
      <c r="F3484" s="19" t="n">
        <v>0</v>
      </c>
      <c r="G3484" s="8" t="n">
        <f aca="false">IFERROR(INDEX('TRANS'!$B:$B,MATCH($B3484,'TRANS'!$A:$A,0)),IFERROR(INDEX('TRANS'!$B:$B,MATCH(TRIM(SUBSTITUTE($B3484,CHAR(160)," ")),'TRANS'!$D:$D,0)),IFERROR(INDEX('Catalog'!$A:$A,MATCH($B3484,'Catalog'!$B:$B,0)),IFERROR(INDEX('Catalog'!$A:$A,MATCH(TRIM(SUBSTITUTE($B3484,CHAR(160)," ")),'Catalog'!$C:$C,0)),""))))</f>
        <v>4411030</v>
      </c>
      <c r="H3484" s="8" t="str">
        <f aca="false">IFERROR(INDEX('TRANS'!$C:$C,MATCH($B3484,'TRANS'!$A:$A,0)),IFERROR(INDEX('Catalog'!$B:$B,MATCH($G3484,'Catalog'!$A:$A,0)),$B3484))</f>
        <v>213CTSR M ימין CTS כפפות</v>
      </c>
      <c r="I3484" s="8" t="str">
        <f aca="false">IF($G3484="","Unmatched","Matched")</f>
        <v>Matched</v>
      </c>
      <c r="J3484" s="8" t="n">
        <f aca="false">IF($G3484&lt;&gt;"",$G3484,$B3484)</f>
        <v>4411030</v>
      </c>
      <c r="K3484" s="8" t="str">
        <f aca="false">IF(COUNTIF($M$1:$M$10,$A3484)&gt;0,"Y","N")</f>
        <v>N</v>
      </c>
    </row>
    <row r="3485" customFormat="false" ht="15" hidden="false" customHeight="true" outlineLevel="0" collapsed="false">
      <c r="A3485" s="8" t="s">
        <v>1084</v>
      </c>
      <c r="B3485" s="8" t="s">
        <v>865</v>
      </c>
      <c r="C3485" s="19" t="n">
        <v>10</v>
      </c>
      <c r="D3485" s="19" t="n">
        <v>373.89</v>
      </c>
      <c r="E3485" s="19" t="n">
        <v>0</v>
      </c>
      <c r="F3485" s="19" t="n">
        <v>0</v>
      </c>
      <c r="G3485" s="8" t="n">
        <f aca="false">IFERROR(INDEX('TRANS'!$B:$B,MATCH($B3485,'TRANS'!$A:$A,0)),IFERROR(INDEX('TRANS'!$B:$B,MATCH(TRIM(SUBSTITUTE($B3485,CHAR(160)," ")),'TRANS'!$D:$D,0)),IFERROR(INDEX('Catalog'!$A:$A,MATCH($B3485,'Catalog'!$B:$B,0)),IFERROR(INDEX('Catalog'!$A:$A,MATCH(TRIM(SUBSTITUTE($B3485,CHAR(160)," ")),'Catalog'!$C:$C,0)),""))))</f>
        <v>4411031</v>
      </c>
      <c r="H3485" s="8" t="str">
        <f aca="false">IFERROR(INDEX('TRANS'!$C:$C,MATCH($B3485,'TRANS'!$A:$A,0)),IFERROR(INDEX('Catalog'!$B:$B,MATCH($G3485,'Catalog'!$A:$A,0)),$B3485))</f>
        <v>213CTS  S ימין CTS כפפות</v>
      </c>
      <c r="I3485" s="8" t="str">
        <f aca="false">IF($G3485="","Unmatched","Matched")</f>
        <v>Matched</v>
      </c>
      <c r="J3485" s="8" t="n">
        <f aca="false">IF($G3485&lt;&gt;"",$G3485,$B3485)</f>
        <v>4411031</v>
      </c>
      <c r="K3485" s="8" t="str">
        <f aca="false">IF(COUNTIF($M$1:$M$10,$A3485)&gt;0,"Y","N")</f>
        <v>N</v>
      </c>
    </row>
    <row r="3486" customFormat="false" ht="15" hidden="false" customHeight="true" outlineLevel="0" collapsed="false">
      <c r="A3486" s="8" t="s">
        <v>1084</v>
      </c>
      <c r="B3486" s="8" t="s">
        <v>583</v>
      </c>
      <c r="C3486" s="19" t="n">
        <v>10</v>
      </c>
      <c r="D3486" s="19" t="n">
        <v>147.96</v>
      </c>
      <c r="E3486" s="19" t="n">
        <v>50</v>
      </c>
      <c r="F3486" s="19" t="n">
        <v>709.13</v>
      </c>
      <c r="G3486" s="8" t="n">
        <f aca="false">IFERROR(INDEX('TRANS'!$B:$B,MATCH($B3486,'TRANS'!$A:$A,0)),IFERROR(INDEX('TRANS'!$B:$B,MATCH(TRIM(SUBSTITUTE($B3486,CHAR(160)," ")),'TRANS'!$D:$D,0)),IFERROR(INDEX('Catalog'!$A:$A,MATCH($B3486,'Catalog'!$B:$B,0)),IFERROR(INDEX('Catalog'!$A:$A,MATCH(TRIM(SUBSTITUTE($B3486,CHAR(160)," ")),'Catalog'!$C:$C,0)),""))))</f>
        <v>4415029</v>
      </c>
      <c r="H3486" s="8" t="str">
        <f aca="false">IFERROR(INDEX('TRANS'!$C:$C,MATCH($B3486,'TRANS'!$A:$A,0)),IFERROR(INDEX('Catalog'!$B:$B,MATCH($G3486,'Catalog'!$A:$A,0)),$B3486))</f>
        <v>סד קיבוע לאצבע הדק</v>
      </c>
      <c r="I3486" s="8" t="str">
        <f aca="false">IF($G3486="","Unmatched","Matched")</f>
        <v>Matched</v>
      </c>
      <c r="J3486" s="8" t="n">
        <f aca="false">IF($G3486&lt;&gt;"",$G3486,$B3486)</f>
        <v>4415029</v>
      </c>
      <c r="K3486" s="8" t="str">
        <f aca="false">IF(COUNTIF($M$1:$M$10,$A3486)&gt;0,"Y","N")</f>
        <v>N</v>
      </c>
    </row>
    <row r="3487" customFormat="false" ht="15" hidden="false" customHeight="true" outlineLevel="0" collapsed="false">
      <c r="A3487" s="8" t="s">
        <v>1084</v>
      </c>
      <c r="B3487" s="8" t="s">
        <v>584</v>
      </c>
      <c r="C3487" s="19" t="n">
        <v>320</v>
      </c>
      <c r="D3487" s="19" t="n">
        <v>2768.68</v>
      </c>
      <c r="E3487" s="19" t="n">
        <v>320</v>
      </c>
      <c r="F3487" s="19" t="n">
        <v>2652.86</v>
      </c>
      <c r="G3487" s="8" t="n">
        <f aca="false">IFERROR(INDEX('TRANS'!$B:$B,MATCH($B3487,'TRANS'!$A:$A,0)),IFERROR(INDEX('TRANS'!$B:$B,MATCH(TRIM(SUBSTITUTE($B3487,CHAR(160)," ")),'TRANS'!$D:$D,0)),IFERROR(INDEX('Catalog'!$A:$A,MATCH($B3487,'Catalog'!$B:$B,0)),IFERROR(INDEX('Catalog'!$A:$A,MATCH(TRIM(SUBSTITUTE($B3487,CHAR(160)," ")),'Catalog'!$C:$C,0)),""))))</f>
        <v>4415162</v>
      </c>
      <c r="H3487" s="8" t="str">
        <f aca="false">IFERROR(INDEX('TRANS'!$C:$C,MATCH($B3487,'TRANS'!$A:$A,0)),IFERROR(INDEX('Catalog'!$B:$B,MATCH($G3487,'Catalog'!$A:$A,0)),$B3487))</f>
        <v>238L סד ליישור אצבע</v>
      </c>
      <c r="I3487" s="8" t="str">
        <f aca="false">IF($G3487="","Unmatched","Matched")</f>
        <v>Matched</v>
      </c>
      <c r="J3487" s="8" t="n">
        <f aca="false">IF($G3487&lt;&gt;"",$G3487,$B3487)</f>
        <v>4415162</v>
      </c>
      <c r="K3487" s="8" t="str">
        <f aca="false">IF(COUNTIF($M$1:$M$10,$A3487)&gt;0,"Y","N")</f>
        <v>N</v>
      </c>
    </row>
    <row r="3488" customFormat="false" ht="15" hidden="false" customHeight="true" outlineLevel="0" collapsed="false">
      <c r="A3488" s="8" t="s">
        <v>1084</v>
      </c>
      <c r="B3488" s="8" t="s">
        <v>926</v>
      </c>
      <c r="C3488" s="19" t="n">
        <v>390</v>
      </c>
      <c r="D3488" s="19" t="n">
        <v>3327.2</v>
      </c>
      <c r="E3488" s="19" t="n">
        <v>400</v>
      </c>
      <c r="F3488" s="19" t="n">
        <v>3305.8</v>
      </c>
      <c r="G3488" s="8" t="n">
        <f aca="false">IFERROR(INDEX('TRANS'!$B:$B,MATCH($B3488,'TRANS'!$A:$A,0)),IFERROR(INDEX('TRANS'!$B:$B,MATCH(TRIM(SUBSTITUTE($B3488,CHAR(160)," ")),'TRANS'!$D:$D,0)),IFERROR(INDEX('Catalog'!$A:$A,MATCH($B3488,'Catalog'!$B:$B,0)),IFERROR(INDEX('Catalog'!$A:$A,MATCH(TRIM(SUBSTITUTE($B3488,CHAR(160)," ")),'Catalog'!$C:$C,0)),""))))</f>
        <v>4415161</v>
      </c>
      <c r="H3488" s="8" t="str">
        <f aca="false">IFERROR(INDEX('TRANS'!$C:$C,MATCH($B3488,'TRANS'!$A:$A,0)),IFERROR(INDEX('Catalog'!$B:$B,MATCH($G3488,'Catalog'!$A:$A,0)),$B3488))</f>
        <v>238M סד ליישור אצבע</v>
      </c>
      <c r="I3488" s="8" t="str">
        <f aca="false">IF($G3488="","Unmatched","Matched")</f>
        <v>Matched</v>
      </c>
      <c r="J3488" s="8" t="n">
        <f aca="false">IF($G3488&lt;&gt;"",$G3488,$B3488)</f>
        <v>4415161</v>
      </c>
      <c r="K3488" s="8" t="str">
        <f aca="false">IF(COUNTIF($M$1:$M$10,$A3488)&gt;0,"Y","N")</f>
        <v>N</v>
      </c>
    </row>
    <row r="3489" customFormat="false" ht="15" hidden="false" customHeight="true" outlineLevel="0" collapsed="false">
      <c r="A3489" s="8" t="s">
        <v>1084</v>
      </c>
      <c r="B3489" s="8" t="s">
        <v>585</v>
      </c>
      <c r="C3489" s="19" t="n">
        <v>220</v>
      </c>
      <c r="D3489" s="19" t="n">
        <v>1863.08</v>
      </c>
      <c r="E3489" s="19" t="n">
        <v>280</v>
      </c>
      <c r="F3489" s="19" t="n">
        <v>2305.84</v>
      </c>
      <c r="G3489" s="8" t="n">
        <f aca="false">IFERROR(INDEX('TRANS'!$B:$B,MATCH($B3489,'TRANS'!$A:$A,0)),IFERROR(INDEX('TRANS'!$B:$B,MATCH(TRIM(SUBSTITUTE($B3489,CHAR(160)," ")),'TRANS'!$D:$D,0)),IFERROR(INDEX('Catalog'!$A:$A,MATCH($B3489,'Catalog'!$B:$B,0)),IFERROR(INDEX('Catalog'!$A:$A,MATCH(TRIM(SUBSTITUTE($B3489,CHAR(160)," ")),'Catalog'!$C:$C,0)),""))))</f>
        <v>4415160</v>
      </c>
      <c r="H3489" s="8" t="str">
        <f aca="false">IFERROR(INDEX('TRANS'!$C:$C,MATCH($B3489,'TRANS'!$A:$A,0)),IFERROR(INDEX('Catalog'!$B:$B,MATCH($G3489,'Catalog'!$A:$A,0)),$B3489))</f>
        <v>238S סד ליישור אצבע</v>
      </c>
      <c r="I3489" s="8" t="str">
        <f aca="false">IF($G3489="","Unmatched","Matched")</f>
        <v>Matched</v>
      </c>
      <c r="J3489" s="8" t="n">
        <f aca="false">IF($G3489&lt;&gt;"",$G3489,$B3489)</f>
        <v>4415160</v>
      </c>
      <c r="K3489" s="8" t="str">
        <f aca="false">IF(COUNTIF($M$1:$M$10,$A3489)&gt;0,"Y","N")</f>
        <v>N</v>
      </c>
    </row>
    <row r="3490" customFormat="false" ht="15" hidden="false" customHeight="true" outlineLevel="0" collapsed="false">
      <c r="A3490" s="8" t="s">
        <v>1084</v>
      </c>
      <c r="B3490" s="8" t="s">
        <v>927</v>
      </c>
      <c r="C3490" s="19" t="n">
        <v>200</v>
      </c>
      <c r="D3490" s="19" t="n">
        <v>1703.5</v>
      </c>
      <c r="E3490" s="19" t="n">
        <v>210</v>
      </c>
      <c r="F3490" s="19" t="n">
        <v>1729.38</v>
      </c>
      <c r="G3490" s="8" t="n">
        <f aca="false">IFERROR(INDEX('TRANS'!$B:$B,MATCH($B3490,'TRANS'!$A:$A,0)),IFERROR(INDEX('TRANS'!$B:$B,MATCH(TRIM(SUBSTITUTE($B3490,CHAR(160)," ")),'TRANS'!$D:$D,0)),IFERROR(INDEX('Catalog'!$A:$A,MATCH($B3490,'Catalog'!$B:$B,0)),IFERROR(INDEX('Catalog'!$A:$A,MATCH(TRIM(SUBSTITUTE($B3490,CHAR(160)," ")),'Catalog'!$C:$C,0)),""))))</f>
        <v>4415163</v>
      </c>
      <c r="H3490" s="8" t="str">
        <f aca="false">IFERROR(INDEX('TRANS'!$C:$C,MATCH($B3490,'TRANS'!$A:$A,0)),IFERROR(INDEX('Catalog'!$B:$B,MATCH($G3490,'Catalog'!$A:$A,0)),$B3490))</f>
        <v>238XL סד ליישור אצבע</v>
      </c>
      <c r="I3490" s="8" t="str">
        <f aca="false">IF($G3490="","Unmatched","Matched")</f>
        <v>Matched</v>
      </c>
      <c r="J3490" s="8" t="n">
        <f aca="false">IF($G3490&lt;&gt;"",$G3490,$B3490)</f>
        <v>4415163</v>
      </c>
      <c r="K3490" s="8" t="str">
        <f aca="false">IF(COUNTIF($M$1:$M$10,$A3490)&gt;0,"Y","N")</f>
        <v>N</v>
      </c>
    </row>
    <row r="3491" customFormat="false" ht="15" hidden="false" customHeight="true" outlineLevel="0" collapsed="false">
      <c r="A3491" s="8" t="s">
        <v>1084</v>
      </c>
      <c r="B3491" s="8" t="s">
        <v>538</v>
      </c>
      <c r="C3491" s="19" t="n">
        <v>0</v>
      </c>
      <c r="D3491" s="19" t="n">
        <v>0</v>
      </c>
      <c r="E3491" s="19" t="n">
        <v>70</v>
      </c>
      <c r="F3491" s="19" t="n">
        <v>734.98</v>
      </c>
      <c r="G3491" s="8" t="str">
        <f aca="false">IFERROR(INDEX('TRANS'!$B:$B,MATCH($B3491,'TRANS'!$A:$A,0)),IFERROR(INDEX('TRANS'!$B:$B,MATCH(TRIM(SUBSTITUTE($B3491,CHAR(160)," ")),'TRANS'!$D:$D,0)),IFERROR(INDEX('Catalog'!$A:$A,MATCH($B3491,'Catalog'!$B:$B,0)),IFERROR(INDEX('Catalog'!$A:$A,MATCH(TRIM(SUBSTITUTE($B3491,CHAR(160)," ")),'Catalog'!$C:$C,0)),""))))</f>
        <v/>
      </c>
      <c r="H3491" s="8" t="str">
        <f aca="false">IFERROR(INDEX('TRANS'!$C:$C,MATCH($B3491,'TRANS'!$A:$A,0)),IFERROR(INDEX('Catalog'!$B:$B,MATCH($G3491,'Catalog'!$A:$A,0)),$B3491))</f>
        <v>239P-S-M</v>
      </c>
      <c r="I3491" s="8" t="str">
        <f aca="false">IF($G3491="","Unmatched","Matched")</f>
        <v>Unmatched</v>
      </c>
      <c r="J3491" s="8" t="str">
        <f aca="false">IF($G3491&lt;&gt;"",$G3491,$B3491)</f>
        <v>239P-S-M</v>
      </c>
      <c r="K3491" s="8" t="str">
        <f aca="false">IF(COUNTIF($M$1:$M$10,$A3491)&gt;0,"Y","N")</f>
        <v>N</v>
      </c>
    </row>
    <row r="3492" customFormat="false" ht="15" hidden="false" customHeight="true" outlineLevel="0" collapsed="false">
      <c r="A3492" s="8" t="s">
        <v>1084</v>
      </c>
      <c r="B3492" s="8" t="s">
        <v>589</v>
      </c>
      <c r="C3492" s="19" t="n">
        <v>10</v>
      </c>
      <c r="D3492" s="19" t="n">
        <v>210.01</v>
      </c>
      <c r="E3492" s="19" t="n">
        <v>10</v>
      </c>
      <c r="F3492" s="19" t="n">
        <v>201.3</v>
      </c>
      <c r="G3492" s="8" t="n">
        <f aca="false">IFERROR(INDEX('TRANS'!$B:$B,MATCH($B3492,'TRANS'!$A:$A,0)),IFERROR(INDEX('TRANS'!$B:$B,MATCH(TRIM(SUBSTITUTE($B3492,CHAR(160)," ")),'TRANS'!$D:$D,0)),IFERROR(INDEX('Catalog'!$A:$A,MATCH($B3492,'Catalog'!$B:$B,0)),IFERROR(INDEX('Catalog'!$A:$A,MATCH(TRIM(SUBSTITUTE($B3492,CHAR(160)," ")),'Catalog'!$C:$C,0)),""))))</f>
        <v>4421005</v>
      </c>
      <c r="H3492" s="8" t="str">
        <f aca="false">IFERROR(INDEX('TRANS'!$C:$C,MATCH($B3492,'TRANS'!$A:$A,0)),IFERROR(INDEX('Catalog'!$B:$B,MATCH($G3492,'Catalog'!$A:$A,0)),$B3492))</f>
        <v>שרוול לגבס קצר יד</v>
      </c>
      <c r="I3492" s="8" t="str">
        <f aca="false">IF($G3492="","Unmatched","Matched")</f>
        <v>Matched</v>
      </c>
      <c r="J3492" s="8" t="n">
        <f aca="false">IF($G3492&lt;&gt;"",$G3492,$B3492)</f>
        <v>4421005</v>
      </c>
      <c r="K3492" s="8" t="str">
        <f aca="false">IF(COUNTIF($M$1:$M$10,$A3492)&gt;0,"Y","N")</f>
        <v>N</v>
      </c>
    </row>
    <row r="3493" customFormat="false" ht="15" hidden="false" customHeight="true" outlineLevel="0" collapsed="false">
      <c r="A3493" s="8" t="s">
        <v>1084</v>
      </c>
      <c r="B3493" s="8" t="s">
        <v>590</v>
      </c>
      <c r="C3493" s="19" t="n">
        <v>10</v>
      </c>
      <c r="D3493" s="19" t="n">
        <v>238.65</v>
      </c>
      <c r="E3493" s="19" t="n">
        <v>10</v>
      </c>
      <c r="F3493" s="19" t="n">
        <v>228.75</v>
      </c>
      <c r="G3493" s="8" t="n">
        <f aca="false">IFERROR(INDEX('TRANS'!$B:$B,MATCH($B3493,'TRANS'!$A:$A,0)),IFERROR(INDEX('TRANS'!$B:$B,MATCH(TRIM(SUBSTITUTE($B3493,CHAR(160)," ")),'TRANS'!$D:$D,0)),IFERROR(INDEX('Catalog'!$A:$A,MATCH($B3493,'Catalog'!$B:$B,0)),IFERROR(INDEX('Catalog'!$A:$A,MATCH(TRIM(SUBSTITUTE($B3493,CHAR(160)," ")),'Catalog'!$C:$C,0)),""))))</f>
        <v>4421006</v>
      </c>
      <c r="H3493" s="8" t="str">
        <f aca="false">IFERROR(INDEX('TRANS'!$C:$C,MATCH($B3493,'TRANS'!$A:$A,0)),IFERROR(INDEX('Catalog'!$B:$B,MATCH($G3493,'Catalog'!$A:$A,0)),$B3493))</f>
        <v>שרוול לגבס ארוך יד</v>
      </c>
      <c r="I3493" s="8" t="str">
        <f aca="false">IF($G3493="","Unmatched","Matched")</f>
        <v>Matched</v>
      </c>
      <c r="J3493" s="8" t="n">
        <f aca="false">IF($G3493&lt;&gt;"",$G3493,$B3493)</f>
        <v>4421006</v>
      </c>
      <c r="K3493" s="8" t="str">
        <f aca="false">IF(COUNTIF($M$1:$M$10,$A3493)&gt;0,"Y","N")</f>
        <v>N</v>
      </c>
    </row>
    <row r="3494" customFormat="false" ht="15" hidden="false" customHeight="true" outlineLevel="0" collapsed="false">
      <c r="A3494" s="8" t="s">
        <v>1084</v>
      </c>
      <c r="B3494" s="8" t="s">
        <v>592</v>
      </c>
      <c r="C3494" s="19" t="n">
        <v>310</v>
      </c>
      <c r="D3494" s="19" t="n">
        <v>6833.21</v>
      </c>
      <c r="E3494" s="19" t="n">
        <v>250</v>
      </c>
      <c r="F3494" s="19" t="n">
        <v>5491.17</v>
      </c>
      <c r="G3494" s="8" t="n">
        <f aca="false">IFERROR(INDEX('TRANS'!$B:$B,MATCH($B3494,'TRANS'!$A:$A,0)),IFERROR(INDEX('TRANS'!$B:$B,MATCH(TRIM(SUBSTITUTE($B3494,CHAR(160)," ")),'TRANS'!$D:$D,0)),IFERROR(INDEX('Catalog'!$A:$A,MATCH($B3494,'Catalog'!$B:$B,0)),IFERROR(INDEX('Catalog'!$A:$A,MATCH(TRIM(SUBSTITUTE($B3494,CHAR(160)," ")),'Catalog'!$C:$C,0)),""))))</f>
        <v>4415158</v>
      </c>
      <c r="H3494" s="8" t="str">
        <f aca="false">IFERROR(INDEX('TRANS'!$C:$C,MATCH($B3494,'TRANS'!$A:$A,0)),IFERROR(INDEX('Catalog'!$B:$B,MATCH($G3494,'Catalog'!$A:$A,0)),$B3494))</f>
        <v>266 סד ליד דו צדדי</v>
      </c>
      <c r="I3494" s="8" t="str">
        <f aca="false">IF($G3494="","Unmatched","Matched")</f>
        <v>Matched</v>
      </c>
      <c r="J3494" s="8" t="n">
        <f aca="false">IF($G3494&lt;&gt;"",$G3494,$B3494)</f>
        <v>4415158</v>
      </c>
      <c r="K3494" s="8" t="str">
        <f aca="false">IF(COUNTIF($M$1:$M$10,$A3494)&gt;0,"Y","N")</f>
        <v>N</v>
      </c>
    </row>
    <row r="3495" customFormat="false" ht="15" hidden="false" customHeight="true" outlineLevel="0" collapsed="false">
      <c r="A3495" s="8" t="s">
        <v>1084</v>
      </c>
      <c r="B3495" s="8" t="s">
        <v>957</v>
      </c>
      <c r="C3495" s="19" t="n">
        <v>6</v>
      </c>
      <c r="D3495" s="19" t="n">
        <v>225.67</v>
      </c>
      <c r="E3495" s="19" t="n">
        <v>0</v>
      </c>
      <c r="F3495" s="19" t="n">
        <v>0</v>
      </c>
      <c r="G3495" s="8" t="n">
        <f aca="false">IFERROR(INDEX('TRANS'!$B:$B,MATCH($B3495,'TRANS'!$A:$A,0)),IFERROR(INDEX('TRANS'!$B:$B,MATCH(TRIM(SUBSTITUTE($B3495,CHAR(160)," ")),'TRANS'!$D:$D,0)),IFERROR(INDEX('Catalog'!$A:$A,MATCH($B3495,'Catalog'!$B:$B,0)),IFERROR(INDEX('Catalog'!$A:$A,MATCH(TRIM(SUBSTITUTE($B3495,CHAR(160)," ")),'Catalog'!$C:$C,0)),""))))</f>
        <v>4415005</v>
      </c>
      <c r="H3495" s="8" t="str">
        <f aca="false">IFERROR(INDEX('TRANS'!$C:$C,MATCH($B3495,'TRANS'!$A:$A,0)),IFERROR(INDEX('Catalog'!$B:$B,MATCH($G3495,'Catalog'!$A:$A,0)),$B3495))</f>
        <v>28 L סד לאגודל לאחר שבר</v>
      </c>
      <c r="I3495" s="8" t="str">
        <f aca="false">IF($G3495="","Unmatched","Matched")</f>
        <v>Matched</v>
      </c>
      <c r="J3495" s="8" t="n">
        <f aca="false">IF($G3495&lt;&gt;"",$G3495,$B3495)</f>
        <v>4415005</v>
      </c>
      <c r="K3495" s="8" t="str">
        <f aca="false">IF(COUNTIF($M$1:$M$10,$A3495)&gt;0,"Y","N")</f>
        <v>N</v>
      </c>
    </row>
    <row r="3496" customFormat="false" ht="15" hidden="false" customHeight="true" outlineLevel="0" collapsed="false">
      <c r="A3496" s="8" t="s">
        <v>1084</v>
      </c>
      <c r="B3496" s="8" t="s">
        <v>594</v>
      </c>
      <c r="C3496" s="19" t="n">
        <v>11</v>
      </c>
      <c r="D3496" s="19" t="n">
        <v>394.72</v>
      </c>
      <c r="E3496" s="19" t="n">
        <v>5</v>
      </c>
      <c r="F3496" s="19" t="n">
        <v>191.06</v>
      </c>
      <c r="G3496" s="8" t="n">
        <f aca="false">IFERROR(INDEX('TRANS'!$B:$B,MATCH($B3496,'TRANS'!$A:$A,0)),IFERROR(INDEX('TRANS'!$B:$B,MATCH(TRIM(SUBSTITUTE($B3496,CHAR(160)," ")),'TRANS'!$D:$D,0)),IFERROR(INDEX('Catalog'!$A:$A,MATCH($B3496,'Catalog'!$B:$B,0)),IFERROR(INDEX('Catalog'!$A:$A,MATCH(TRIM(SUBSTITUTE($B3496,CHAR(160)," ")),'Catalog'!$C:$C,0)),""))))</f>
        <v>4415006</v>
      </c>
      <c r="H3496" s="8" t="str">
        <f aca="false">IFERROR(INDEX('TRANS'!$C:$C,MATCH($B3496,'TRANS'!$A:$A,0)),IFERROR(INDEX('Catalog'!$B:$B,MATCH($G3496,'Catalog'!$A:$A,0)),$B3496))</f>
        <v>28 M סד לאגודל לאחר שבר</v>
      </c>
      <c r="I3496" s="8" t="str">
        <f aca="false">IF($G3496="","Unmatched","Matched")</f>
        <v>Matched</v>
      </c>
      <c r="J3496" s="8" t="n">
        <f aca="false">IF($G3496&lt;&gt;"",$G3496,$B3496)</f>
        <v>4415006</v>
      </c>
      <c r="K3496" s="8" t="str">
        <f aca="false">IF(COUNTIF($M$1:$M$10,$A3496)&gt;0,"Y","N")</f>
        <v>N</v>
      </c>
    </row>
    <row r="3497" customFormat="false" ht="15" hidden="false" customHeight="true" outlineLevel="0" collapsed="false">
      <c r="A3497" s="8" t="s">
        <v>1084</v>
      </c>
      <c r="B3497" s="8" t="s">
        <v>958</v>
      </c>
      <c r="C3497" s="19" t="n">
        <v>10</v>
      </c>
      <c r="D3497" s="19" t="n">
        <v>357.11</v>
      </c>
      <c r="E3497" s="19" t="n">
        <v>0</v>
      </c>
      <c r="F3497" s="19" t="n">
        <v>0</v>
      </c>
      <c r="G3497" s="8" t="n">
        <f aca="false">IFERROR(INDEX('TRANS'!$B:$B,MATCH($B3497,'TRANS'!$A:$A,0)),IFERROR(INDEX('TRANS'!$B:$B,MATCH(TRIM(SUBSTITUTE($B3497,CHAR(160)," ")),'TRANS'!$D:$D,0)),IFERROR(INDEX('Catalog'!$A:$A,MATCH($B3497,'Catalog'!$B:$B,0)),IFERROR(INDEX('Catalog'!$A:$A,MATCH(TRIM(SUBSTITUTE($B3497,CHAR(160)," ")),'Catalog'!$C:$C,0)),""))))</f>
        <v>4415007</v>
      </c>
      <c r="H3497" s="8" t="str">
        <f aca="false">IFERROR(INDEX('TRANS'!$C:$C,MATCH($B3497,'TRANS'!$A:$A,0)),IFERROR(INDEX('Catalog'!$B:$B,MATCH($G3497,'Catalog'!$A:$A,0)),$B3497))</f>
        <v>28 S סד לאגודל לאחר שבר</v>
      </c>
      <c r="I3497" s="8" t="str">
        <f aca="false">IF($G3497="","Unmatched","Matched")</f>
        <v>Matched</v>
      </c>
      <c r="J3497" s="8" t="n">
        <f aca="false">IF($G3497&lt;&gt;"",$G3497,$B3497)</f>
        <v>4415007</v>
      </c>
      <c r="K3497" s="8" t="str">
        <f aca="false">IF(COUNTIF($M$1:$M$10,$A3497)&gt;0,"Y","N")</f>
        <v>N</v>
      </c>
    </row>
    <row r="3498" customFormat="false" ht="15" hidden="false" customHeight="true" outlineLevel="0" collapsed="false">
      <c r="A3498" s="8" t="s">
        <v>1084</v>
      </c>
      <c r="B3498" s="8" t="s">
        <v>788</v>
      </c>
      <c r="C3498" s="19" t="n">
        <v>36</v>
      </c>
      <c r="D3498" s="19" t="n">
        <v>1061.57</v>
      </c>
      <c r="E3498" s="19" t="n">
        <v>0</v>
      </c>
      <c r="F3498" s="19" t="n">
        <v>0</v>
      </c>
      <c r="G3498" s="8" t="n">
        <f aca="false">IFERROR(INDEX('TRANS'!$B:$B,MATCH($B3498,'TRANS'!$A:$A,0)),IFERROR(INDEX('TRANS'!$B:$B,MATCH(TRIM(SUBSTITUTE($B3498,CHAR(160)," ")),'TRANS'!$D:$D,0)),IFERROR(INDEX('Catalog'!$A:$A,MATCH($B3498,'Catalog'!$B:$B,0)),IFERROR(INDEX('Catalog'!$A:$A,MATCH(TRIM(SUBSTITUTE($B3498,CHAR(160)," ")),'Catalog'!$C:$C,0)),""))))</f>
        <v>4420036</v>
      </c>
      <c r="H3498" s="8" t="str">
        <f aca="false">IFERROR(INDEX('TRANS'!$C:$C,MATCH($B3498,'TRANS'!$A:$A,0)),IFERROR(INDEX('Catalog'!$B:$B,MATCH($G3498,'Catalog'!$A:$A,0)),$B3498))</f>
        <v>301CM 41-45 'רפידת ג'ל בז</v>
      </c>
      <c r="I3498" s="8" t="str">
        <f aca="false">IF($G3498="","Unmatched","Matched")</f>
        <v>Matched</v>
      </c>
      <c r="J3498" s="8" t="n">
        <f aca="false">IF($G3498&lt;&gt;"",$G3498,$B3498)</f>
        <v>4420036</v>
      </c>
      <c r="K3498" s="8" t="str">
        <f aca="false">IF(COUNTIF($M$1:$M$10,$A3498)&gt;0,"Y","N")</f>
        <v>N</v>
      </c>
    </row>
    <row r="3499" customFormat="false" ht="15" hidden="false" customHeight="true" outlineLevel="0" collapsed="false">
      <c r="A3499" s="8" t="s">
        <v>1084</v>
      </c>
      <c r="B3499" s="8" t="s">
        <v>595</v>
      </c>
      <c r="C3499" s="19" t="n">
        <v>24</v>
      </c>
      <c r="D3499" s="19" t="n">
        <v>689.66</v>
      </c>
      <c r="E3499" s="19" t="n">
        <v>73</v>
      </c>
      <c r="F3499" s="19" t="n">
        <v>1953.75</v>
      </c>
      <c r="G3499" s="8" t="n">
        <f aca="false">IFERROR(INDEX('TRANS'!$B:$B,MATCH($B3499,'TRANS'!$A:$A,0)),IFERROR(INDEX('TRANS'!$B:$B,MATCH(TRIM(SUBSTITUTE($B3499,CHAR(160)," ")),'TRANS'!$D:$D,0)),IFERROR(INDEX('Catalog'!$A:$A,MATCH($B3499,'Catalog'!$B:$B,0)),IFERROR(INDEX('Catalog'!$A:$A,MATCH(TRIM(SUBSTITUTE($B3499,CHAR(160)," ")),'Catalog'!$C:$C,0)),""))))</f>
        <v>4413348</v>
      </c>
      <c r="H3499" s="8" t="str">
        <f aca="false">IFERROR(INDEX('TRANS'!$C:$C,MATCH($B3499,'TRANS'!$A:$A,0)),IFERROR(INDEX('Catalog'!$B:$B,MATCH($G3499,'Catalog'!$A:$A,0)),$B3499))</f>
        <v>302 מדרס ג'ל לגבר</v>
      </c>
      <c r="I3499" s="8" t="str">
        <f aca="false">IF($G3499="","Unmatched","Matched")</f>
        <v>Matched</v>
      </c>
      <c r="J3499" s="8" t="n">
        <f aca="false">IF($G3499&lt;&gt;"",$G3499,$B3499)</f>
        <v>4413348</v>
      </c>
      <c r="K3499" s="8" t="str">
        <f aca="false">IF(COUNTIF($M$1:$M$10,$A3499)&gt;0,"Y","N")</f>
        <v>N</v>
      </c>
    </row>
    <row r="3500" customFormat="false" ht="15" hidden="false" customHeight="true" outlineLevel="0" collapsed="false">
      <c r="A3500" s="8" t="s">
        <v>1084</v>
      </c>
      <c r="B3500" s="8" t="s">
        <v>596</v>
      </c>
      <c r="C3500" s="19" t="n">
        <v>10</v>
      </c>
      <c r="D3500" s="19" t="n">
        <v>242.07</v>
      </c>
      <c r="E3500" s="19" t="n">
        <v>29</v>
      </c>
      <c r="F3500" s="19" t="n">
        <v>710.3</v>
      </c>
      <c r="G3500" s="8" t="n">
        <f aca="false">IFERROR(INDEX('TRANS'!$B:$B,MATCH($B3500,'TRANS'!$A:$A,0)),IFERROR(INDEX('TRANS'!$B:$B,MATCH(TRIM(SUBSTITUTE($B3500,CHAR(160)," ")),'TRANS'!$D:$D,0)),IFERROR(INDEX('Catalog'!$A:$A,MATCH($B3500,'Catalog'!$B:$B,0)),IFERROR(INDEX('Catalog'!$A:$A,MATCH(TRIM(SUBSTITUTE($B3500,CHAR(160)," ")),'Catalog'!$C:$C,0)),""))))</f>
        <v>4413372</v>
      </c>
      <c r="H3500" s="8" t="str">
        <f aca="false">IFERROR(INDEX('TRANS'!$C:$C,MATCH($B3500,'TRANS'!$A:$A,0)),IFERROR(INDEX('Catalog'!$B:$B,MATCH($G3500,'Catalog'!$A:$A,0)),$B3500))</f>
        <v>302 W מדרס לאישה</v>
      </c>
      <c r="I3500" s="8" t="str">
        <f aca="false">IF($G3500="","Unmatched","Matched")</f>
        <v>Matched</v>
      </c>
      <c r="J3500" s="8" t="n">
        <f aca="false">IF($G3500&lt;&gt;"",$G3500,$B3500)</f>
        <v>4413372</v>
      </c>
      <c r="K3500" s="8" t="str">
        <f aca="false">IF(COUNTIF($M$1:$M$10,$A3500)&gt;0,"Y","N")</f>
        <v>N</v>
      </c>
    </row>
    <row r="3501" customFormat="false" ht="15" hidden="false" customHeight="true" outlineLevel="0" collapsed="false">
      <c r="A3501" s="8" t="s">
        <v>1084</v>
      </c>
      <c r="B3501" s="8" t="s">
        <v>102</v>
      </c>
      <c r="C3501" s="19" t="n">
        <v>10</v>
      </c>
      <c r="D3501" s="19" t="n">
        <v>325.92</v>
      </c>
      <c r="E3501" s="19" t="n">
        <v>15</v>
      </c>
      <c r="F3501" s="19" t="n">
        <v>496.58</v>
      </c>
      <c r="G3501" s="8" t="str">
        <f aca="false">IFERROR(INDEX('TRANS'!$B:$B,MATCH($B3501,'TRANS'!$A:$A,0)),IFERROR(INDEX('TRANS'!$B:$B,MATCH(TRIM(SUBSTITUTE($B3501,CHAR(160)," ")),'TRANS'!$D:$D,0)),IFERROR(INDEX('Catalog'!$A:$A,MATCH($B3501,'Catalog'!$B:$B,0)),IFERROR(INDEX('Catalog'!$A:$A,MATCH(TRIM(SUBSTITUTE($B3501,CHAR(160)," ")),'Catalog'!$C:$C,0)),""))))</f>
        <v/>
      </c>
      <c r="H3501" s="8" t="str">
        <f aca="false">IFERROR(INDEX('TRANS'!$C:$C,MATCH($B3501,'TRANS'!$A:$A,0)),IFERROR(INDEX('Catalog'!$B:$B,MATCH($G3501,'Catalog'!$A:$A,0)),$B3501))</f>
        <v>305-41-42</v>
      </c>
      <c r="I3501" s="8" t="str">
        <f aca="false">IF($G3501="","Unmatched","Matched")</f>
        <v>Unmatched</v>
      </c>
      <c r="J3501" s="8" t="str">
        <f aca="false">IF($G3501&lt;&gt;"",$G3501,$B3501)</f>
        <v>305-41-42</v>
      </c>
      <c r="K3501" s="8" t="str">
        <f aca="false">IF(COUNTIF($M$1:$M$10,$A3501)&gt;0,"Y","N")</f>
        <v>N</v>
      </c>
    </row>
    <row r="3502" customFormat="false" ht="15" hidden="false" customHeight="true" outlineLevel="0" collapsed="false">
      <c r="A3502" s="8" t="s">
        <v>1084</v>
      </c>
      <c r="B3502" s="8" t="s">
        <v>108</v>
      </c>
      <c r="C3502" s="19" t="n">
        <v>0</v>
      </c>
      <c r="D3502" s="19" t="n">
        <v>0</v>
      </c>
      <c r="E3502" s="19" t="n">
        <v>24</v>
      </c>
      <c r="F3502" s="19" t="n">
        <v>828.12</v>
      </c>
      <c r="G3502" s="8" t="str">
        <f aca="false">IFERROR(INDEX('TRANS'!$B:$B,MATCH($B3502,'TRANS'!$A:$A,0)),IFERROR(INDEX('TRANS'!$B:$B,MATCH(TRIM(SUBSTITUTE($B3502,CHAR(160)," ")),'TRANS'!$D:$D,0)),IFERROR(INDEX('Catalog'!$A:$A,MATCH($B3502,'Catalog'!$B:$B,0)),IFERROR(INDEX('Catalog'!$A:$A,MATCH(TRIM(SUBSTITUTE($B3502,CHAR(160)," ")),'Catalog'!$C:$C,0)),""))))</f>
        <v/>
      </c>
      <c r="H3502" s="8" t="str">
        <f aca="false">IFERROR(INDEX('TRANS'!$C:$C,MATCH($B3502,'TRANS'!$A:$A,0)),IFERROR(INDEX('Catalog'!$B:$B,MATCH($G3502,'Catalog'!$A:$A,0)),$B3502))</f>
        <v>305-43-44</v>
      </c>
      <c r="I3502" s="8" t="str">
        <f aca="false">IF($G3502="","Unmatched","Matched")</f>
        <v>Unmatched</v>
      </c>
      <c r="J3502" s="8" t="str">
        <f aca="false">IF($G3502&lt;&gt;"",$G3502,$B3502)</f>
        <v>305-43-44</v>
      </c>
      <c r="K3502" s="8" t="str">
        <f aca="false">IF(COUNTIF($M$1:$M$10,$A3502)&gt;0,"Y","N")</f>
        <v>N</v>
      </c>
    </row>
    <row r="3503" customFormat="false" ht="15" hidden="false" customHeight="true" outlineLevel="0" collapsed="false">
      <c r="A3503" s="8" t="s">
        <v>1084</v>
      </c>
      <c r="B3503" s="8" t="s">
        <v>201</v>
      </c>
      <c r="C3503" s="19" t="n">
        <v>5</v>
      </c>
      <c r="D3503" s="19" t="n">
        <v>162.96</v>
      </c>
      <c r="E3503" s="19" t="n">
        <v>9</v>
      </c>
      <c r="F3503" s="19" t="n">
        <v>303.55</v>
      </c>
      <c r="G3503" s="8" t="str">
        <f aca="false">IFERROR(INDEX('TRANS'!$B:$B,MATCH($B3503,'TRANS'!$A:$A,0)),IFERROR(INDEX('TRANS'!$B:$B,MATCH(TRIM(SUBSTITUTE($B3503,CHAR(160)," ")),'TRANS'!$D:$D,0)),IFERROR(INDEX('Catalog'!$A:$A,MATCH($B3503,'Catalog'!$B:$B,0)),IFERROR(INDEX('Catalog'!$A:$A,MATCH(TRIM(SUBSTITUTE($B3503,CHAR(160)," ")),'Catalog'!$C:$C,0)),""))))</f>
        <v/>
      </c>
      <c r="H3503" s="8" t="str">
        <f aca="false">IFERROR(INDEX('TRANS'!$C:$C,MATCH($B3503,'TRANS'!$A:$A,0)),IFERROR(INDEX('Catalog'!$B:$B,MATCH($G3503,'Catalog'!$A:$A,0)),$B3503))</f>
        <v>305-45-46</v>
      </c>
      <c r="I3503" s="8" t="str">
        <f aca="false">IF($G3503="","Unmatched","Matched")</f>
        <v>Unmatched</v>
      </c>
      <c r="J3503" s="8" t="str">
        <f aca="false">IF($G3503&lt;&gt;"",$G3503,$B3503)</f>
        <v>305-45-46</v>
      </c>
      <c r="K3503" s="8" t="str">
        <f aca="false">IF(COUNTIF($M$1:$M$10,$A3503)&gt;0,"Y","N")</f>
        <v>N</v>
      </c>
    </row>
    <row r="3504" customFormat="false" ht="15" hidden="false" customHeight="true" outlineLevel="0" collapsed="false">
      <c r="A3504" s="8" t="s">
        <v>1084</v>
      </c>
      <c r="B3504" s="8" t="s">
        <v>601</v>
      </c>
      <c r="C3504" s="19" t="n">
        <v>55</v>
      </c>
      <c r="D3504" s="19" t="n">
        <v>1420.65</v>
      </c>
      <c r="E3504" s="19" t="n">
        <v>138</v>
      </c>
      <c r="F3504" s="19" t="n">
        <v>3807.02</v>
      </c>
      <c r="G3504" s="8" t="n">
        <f aca="false">IFERROR(INDEX('TRANS'!$B:$B,MATCH($B3504,'TRANS'!$A:$A,0)),IFERROR(INDEX('TRANS'!$B:$B,MATCH(TRIM(SUBSTITUTE($B3504,CHAR(160)," ")),'TRANS'!$D:$D,0)),IFERROR(INDEX('Catalog'!$A:$A,MATCH($B3504,'Catalog'!$B:$B,0)),IFERROR(INDEX('Catalog'!$A:$A,MATCH(TRIM(SUBSTITUTE($B3504,CHAR(160)," ")),'Catalog'!$C:$C,0)),""))))</f>
        <v>4416000</v>
      </c>
      <c r="H3504" s="8" t="str">
        <f aca="false">IFERROR(INDEX('TRANS'!$C:$C,MATCH($B3504,'TRANS'!$A:$A,0)),IFERROR(INDEX('Catalog'!$B:$B,MATCH($G3504,'Catalog'!$A:$A,0)),$B3504))</f>
        <v>307 L עקבים לדורבן-זוג כריות</v>
      </c>
      <c r="I3504" s="8" t="str">
        <f aca="false">IF($G3504="","Unmatched","Matched")</f>
        <v>Matched</v>
      </c>
      <c r="J3504" s="8" t="n">
        <f aca="false">IF($G3504&lt;&gt;"",$G3504,$B3504)</f>
        <v>4416000</v>
      </c>
      <c r="K3504" s="8" t="str">
        <f aca="false">IF(COUNTIF($M$1:$M$10,$A3504)&gt;0,"Y","N")</f>
        <v>N</v>
      </c>
    </row>
    <row r="3505" customFormat="false" ht="15" hidden="false" customHeight="true" outlineLevel="0" collapsed="false">
      <c r="A3505" s="8" t="s">
        <v>1084</v>
      </c>
      <c r="B3505" s="8" t="s">
        <v>602</v>
      </c>
      <c r="C3505" s="19" t="n">
        <v>105</v>
      </c>
      <c r="D3505" s="19" t="n">
        <v>2712.14</v>
      </c>
      <c r="E3505" s="19" t="n">
        <v>100</v>
      </c>
      <c r="F3505" s="19" t="n">
        <v>2830.72</v>
      </c>
      <c r="G3505" s="8" t="n">
        <f aca="false">IFERROR(INDEX('TRANS'!$B:$B,MATCH($B3505,'TRANS'!$A:$A,0)),IFERROR(INDEX('TRANS'!$B:$B,MATCH(TRIM(SUBSTITUTE($B3505,CHAR(160)," ")),'TRANS'!$D:$D,0)),IFERROR(INDEX('Catalog'!$A:$A,MATCH($B3505,'Catalog'!$B:$B,0)),IFERROR(INDEX('Catalog'!$A:$A,MATCH(TRIM(SUBSTITUTE($B3505,CHAR(160)," ")),'Catalog'!$C:$C,0)),""))))</f>
        <v>4416001</v>
      </c>
      <c r="H3505" s="8" t="str">
        <f aca="false">IFERROR(INDEX('TRANS'!$C:$C,MATCH($B3505,'TRANS'!$A:$A,0)),IFERROR(INDEX('Catalog'!$B:$B,MATCH($G3505,'Catalog'!$A:$A,0)),$B3505))</f>
        <v>307 M עקבים לדורבן-זוג כריות</v>
      </c>
      <c r="I3505" s="8" t="str">
        <f aca="false">IF($G3505="","Unmatched","Matched")</f>
        <v>Matched</v>
      </c>
      <c r="J3505" s="8" t="n">
        <f aca="false">IF($G3505&lt;&gt;"",$G3505,$B3505)</f>
        <v>4416001</v>
      </c>
      <c r="K3505" s="8" t="str">
        <f aca="false">IF(COUNTIF($M$1:$M$10,$A3505)&gt;0,"Y","N")</f>
        <v>N</v>
      </c>
    </row>
    <row r="3506" customFormat="false" ht="15" hidden="false" customHeight="true" outlineLevel="0" collapsed="false">
      <c r="A3506" s="8" t="s">
        <v>1084</v>
      </c>
      <c r="B3506" s="8" t="s">
        <v>960</v>
      </c>
      <c r="C3506" s="19" t="n">
        <v>25</v>
      </c>
      <c r="D3506" s="19" t="n">
        <v>645.74</v>
      </c>
      <c r="E3506" s="19" t="n">
        <v>20</v>
      </c>
      <c r="F3506" s="19" t="n">
        <v>583.89</v>
      </c>
      <c r="G3506" s="8" t="n">
        <f aca="false">IFERROR(INDEX('TRANS'!$B:$B,MATCH($B3506,'TRANS'!$A:$A,0)),IFERROR(INDEX('TRANS'!$B:$B,MATCH(TRIM(SUBSTITUTE($B3506,CHAR(160)," ")),'TRANS'!$D:$D,0)),IFERROR(INDEX('Catalog'!$A:$A,MATCH($B3506,'Catalog'!$B:$B,0)),IFERROR(INDEX('Catalog'!$A:$A,MATCH(TRIM(SUBSTITUTE($B3506,CHAR(160)," ")),'Catalog'!$C:$C,0)),""))))</f>
        <v>4416002</v>
      </c>
      <c r="H3506" s="8" t="str">
        <f aca="false">IFERROR(INDEX('TRANS'!$C:$C,MATCH($B3506,'TRANS'!$A:$A,0)),IFERROR(INDEX('Catalog'!$B:$B,MATCH($G3506,'Catalog'!$A:$A,0)),$B3506))</f>
        <v>307 S עקבים לדורבן-זוג כריות</v>
      </c>
      <c r="I3506" s="8" t="str">
        <f aca="false">IF($G3506="","Unmatched","Matched")</f>
        <v>Matched</v>
      </c>
      <c r="J3506" s="8" t="n">
        <f aca="false">IF($G3506&lt;&gt;"",$G3506,$B3506)</f>
        <v>4416002</v>
      </c>
      <c r="K3506" s="8" t="str">
        <f aca="false">IF(COUNTIF($M$1:$M$10,$A3506)&gt;0,"Y","N")</f>
        <v>N</v>
      </c>
    </row>
    <row r="3507" customFormat="false" ht="15" hidden="false" customHeight="true" outlineLevel="0" collapsed="false">
      <c r="A3507" s="8" t="s">
        <v>1084</v>
      </c>
      <c r="B3507" s="8" t="s">
        <v>603</v>
      </c>
      <c r="C3507" s="19" t="n">
        <v>25</v>
      </c>
      <c r="D3507" s="19" t="n">
        <v>645.74</v>
      </c>
      <c r="E3507" s="19" t="n">
        <v>59</v>
      </c>
      <c r="F3507" s="19" t="n">
        <v>1611.57</v>
      </c>
      <c r="G3507" s="8" t="n">
        <f aca="false">IFERROR(INDEX('TRANS'!$B:$B,MATCH($B3507,'TRANS'!$A:$A,0)),IFERROR(INDEX('TRANS'!$B:$B,MATCH(TRIM(SUBSTITUTE($B3507,CHAR(160)," ")),'TRANS'!$D:$D,0)),IFERROR(INDEX('Catalog'!$A:$A,MATCH($B3507,'Catalog'!$B:$B,0)),IFERROR(INDEX('Catalog'!$A:$A,MATCH(TRIM(SUBSTITUTE($B3507,CHAR(160)," ")),'Catalog'!$C:$C,0)),""))))</f>
        <v>4411016</v>
      </c>
      <c r="H3507" s="8" t="str">
        <f aca="false">IFERROR(INDEX('TRANS'!$C:$C,MATCH($B3507,'TRANS'!$A:$A,0)),IFERROR(INDEX('Catalog'!$B:$B,MATCH($G3507,'Catalog'!$A:$A,0)),$B3507))</f>
        <v>307 XL כרית סיליקון לעקב</v>
      </c>
      <c r="I3507" s="8" t="str">
        <f aca="false">IF($G3507="","Unmatched","Matched")</f>
        <v>Matched</v>
      </c>
      <c r="J3507" s="8" t="n">
        <f aca="false">IF($G3507&lt;&gt;"",$G3507,$B3507)</f>
        <v>4411016</v>
      </c>
      <c r="K3507" s="8" t="str">
        <f aca="false">IF(COUNTIF($M$1:$M$10,$A3507)&gt;0,"Y","N")</f>
        <v>N</v>
      </c>
    </row>
    <row r="3508" customFormat="false" ht="15" hidden="false" customHeight="true" outlineLevel="0" collapsed="false">
      <c r="A3508" s="8" t="s">
        <v>1084</v>
      </c>
      <c r="B3508" s="8" t="s">
        <v>909</v>
      </c>
      <c r="C3508" s="19" t="n">
        <v>12</v>
      </c>
      <c r="D3508" s="19" t="n">
        <v>288.86</v>
      </c>
      <c r="E3508" s="19" t="n">
        <v>20</v>
      </c>
      <c r="F3508" s="19" t="n">
        <v>414.8</v>
      </c>
      <c r="G3508" s="8" t="n">
        <f aca="false">IFERROR(INDEX('TRANS'!$B:$B,MATCH($B3508,'TRANS'!$A:$A,0)),IFERROR(INDEX('TRANS'!$B:$B,MATCH(TRIM(SUBSTITUTE($B3508,CHAR(160)," ")),'TRANS'!$D:$D,0)),IFERROR(INDEX('Catalog'!$A:$A,MATCH($B3508,'Catalog'!$B:$B,0)),IFERROR(INDEX('Catalog'!$A:$A,MATCH(TRIM(SUBSTITUTE($B3508,CHAR(160)," ")),'Catalog'!$C:$C,0)),""))))</f>
        <v>4416003</v>
      </c>
      <c r="H3508" s="8" t="str">
        <f aca="false">IFERROR(INDEX('TRANS'!$C:$C,MATCH($B3508,'TRANS'!$A:$A,0)),IFERROR(INDEX('Catalog'!$B:$B,MATCH($G3508,'Catalog'!$A:$A,0)),$B3508))</f>
        <v>308 Lעקבים סיליקון כחול לדורבן</v>
      </c>
      <c r="I3508" s="8" t="str">
        <f aca="false">IF($G3508="","Unmatched","Matched")</f>
        <v>Matched</v>
      </c>
      <c r="J3508" s="8" t="n">
        <f aca="false">IF($G3508&lt;&gt;"",$G3508,$B3508)</f>
        <v>4416003</v>
      </c>
      <c r="K3508" s="8" t="str">
        <f aca="false">IF(COUNTIF($M$1:$M$10,$A3508)&gt;0,"Y","N")</f>
        <v>N</v>
      </c>
    </row>
    <row r="3509" customFormat="false" ht="15" hidden="false" customHeight="true" outlineLevel="0" collapsed="false">
      <c r="A3509" s="8" t="s">
        <v>1084</v>
      </c>
      <c r="B3509" s="8" t="s">
        <v>604</v>
      </c>
      <c r="C3509" s="19" t="n">
        <v>39</v>
      </c>
      <c r="D3509" s="19" t="n">
        <v>902.29</v>
      </c>
      <c r="E3509" s="19" t="n">
        <v>20</v>
      </c>
      <c r="F3509" s="19" t="n">
        <v>414.8</v>
      </c>
      <c r="G3509" s="8" t="n">
        <f aca="false">IFERROR(INDEX('TRANS'!$B:$B,MATCH($B3509,'TRANS'!$A:$A,0)),IFERROR(INDEX('TRANS'!$B:$B,MATCH(TRIM(SUBSTITUTE($B3509,CHAR(160)," ")),'TRANS'!$D:$D,0)),IFERROR(INDEX('Catalog'!$A:$A,MATCH($B3509,'Catalog'!$B:$B,0)),IFERROR(INDEX('Catalog'!$A:$A,MATCH(TRIM(SUBSTITUTE($B3509,CHAR(160)," ")),'Catalog'!$C:$C,0)),""))))</f>
        <v>4416005</v>
      </c>
      <c r="H3509" s="8" t="str">
        <f aca="false">IFERROR(INDEX('TRANS'!$C:$C,MATCH($B3509,'TRANS'!$A:$A,0)),IFERROR(INDEX('Catalog'!$B:$B,MATCH($G3509,'Catalog'!$A:$A,0)),$B3509))</f>
        <v>308 Mעקבים סיליק.כחול לדורבן</v>
      </c>
      <c r="I3509" s="8" t="str">
        <f aca="false">IF($G3509="","Unmatched","Matched")</f>
        <v>Matched</v>
      </c>
      <c r="J3509" s="8" t="n">
        <f aca="false">IF($G3509&lt;&gt;"",$G3509,$B3509)</f>
        <v>4416005</v>
      </c>
      <c r="K3509" s="8" t="str">
        <f aca="false">IF(COUNTIF($M$1:$M$10,$A3509)&gt;0,"Y","N")</f>
        <v>N</v>
      </c>
    </row>
    <row r="3510" customFormat="false" ht="15" hidden="false" customHeight="true" outlineLevel="0" collapsed="false">
      <c r="A3510" s="8" t="s">
        <v>1084</v>
      </c>
      <c r="B3510" s="8" t="s">
        <v>607</v>
      </c>
      <c r="C3510" s="19" t="n">
        <v>10</v>
      </c>
      <c r="D3510" s="19" t="n">
        <v>135.24</v>
      </c>
      <c r="E3510" s="19" t="n">
        <v>0</v>
      </c>
      <c r="F3510" s="19" t="n">
        <v>0</v>
      </c>
      <c r="G3510" s="8" t="n">
        <f aca="false">IFERROR(INDEX('TRANS'!$B:$B,MATCH($B3510,'TRANS'!$A:$A,0)),IFERROR(INDEX('TRANS'!$B:$B,MATCH(TRIM(SUBSTITUTE($B3510,CHAR(160)," ")),'TRANS'!$D:$D,0)),IFERROR(INDEX('Catalog'!$A:$A,MATCH($B3510,'Catalog'!$B:$B,0)),IFERROR(INDEX('Catalog'!$A:$A,MATCH(TRIM(SUBSTITUTE($B3510,CHAR(160)," ")),'Catalog'!$C:$C,0)),""))))</f>
        <v>4415297</v>
      </c>
      <c r="H3510" s="8" t="str">
        <f aca="false">IFERROR(INDEX('TRANS'!$C:$C,MATCH($B3510,'TRANS'!$A:$A,0)),IFERROR(INDEX('Catalog'!$B:$B,MATCH($G3510,'Catalog'!$A:$A,0)),$B3510))</f>
        <v>313 סט פלסטרים נגד שפשופים</v>
      </c>
      <c r="I3510" s="8" t="str">
        <f aca="false">IF($G3510="","Unmatched","Matched")</f>
        <v>Matched</v>
      </c>
      <c r="J3510" s="8" t="n">
        <f aca="false">IF($G3510&lt;&gt;"",$G3510,$B3510)</f>
        <v>4415297</v>
      </c>
      <c r="K3510" s="8" t="str">
        <f aca="false">IF(COUNTIF($M$1:$M$10,$A3510)&gt;0,"Y","N")</f>
        <v>N</v>
      </c>
    </row>
    <row r="3511" customFormat="false" ht="15" hidden="false" customHeight="true" outlineLevel="0" collapsed="false">
      <c r="A3511" s="8" t="s">
        <v>1084</v>
      </c>
      <c r="B3511" s="8" t="s">
        <v>199</v>
      </c>
      <c r="C3511" s="19" t="n">
        <v>10</v>
      </c>
      <c r="D3511" s="19" t="n">
        <v>720.8</v>
      </c>
      <c r="E3511" s="19" t="n">
        <v>5</v>
      </c>
      <c r="F3511" s="19" t="n">
        <v>345.45</v>
      </c>
      <c r="G3511" s="8" t="str">
        <f aca="false">IFERROR(INDEX('TRANS'!$B:$B,MATCH($B3511,'TRANS'!$A:$A,0)),IFERROR(INDEX('TRANS'!$B:$B,MATCH(TRIM(SUBSTITUTE($B3511,CHAR(160)," ")),'TRANS'!$D:$D,0)),IFERROR(INDEX('Catalog'!$A:$A,MATCH($B3511,'Catalog'!$B:$B,0)),IFERROR(INDEX('Catalog'!$A:$A,MATCH(TRIM(SUBSTITUTE($B3511,CHAR(160)," ")),'Catalog'!$C:$C,0)),""))))</f>
        <v/>
      </c>
      <c r="H3511" s="8" t="str">
        <f aca="false">IFERROR(INDEX('TRANS'!$C:$C,MATCH($B3511,'TRANS'!$A:$A,0)),IFERROR(INDEX('Catalog'!$B:$B,MATCH($G3511,'Catalog'!$A:$A,0)),$B3511))</f>
        <v>32 L</v>
      </c>
      <c r="I3511" s="8" t="str">
        <f aca="false">IF($G3511="","Unmatched","Matched")</f>
        <v>Unmatched</v>
      </c>
      <c r="J3511" s="8" t="str">
        <f aca="false">IF($G3511&lt;&gt;"",$G3511,$B3511)</f>
        <v>32 L</v>
      </c>
      <c r="K3511" s="8" t="str">
        <f aca="false">IF(COUNTIF($M$1:$M$10,$A3511)&gt;0,"Y","N")</f>
        <v>N</v>
      </c>
    </row>
    <row r="3512" customFormat="false" ht="15" hidden="false" customHeight="true" outlineLevel="0" collapsed="false">
      <c r="A3512" s="8" t="s">
        <v>1084</v>
      </c>
      <c r="B3512" s="8" t="s">
        <v>261</v>
      </c>
      <c r="C3512" s="19" t="n">
        <v>20</v>
      </c>
      <c r="D3512" s="19" t="n">
        <v>1441.61</v>
      </c>
      <c r="E3512" s="19" t="n">
        <v>15</v>
      </c>
      <c r="F3512" s="19" t="n">
        <v>1160.14</v>
      </c>
      <c r="G3512" s="8" t="str">
        <f aca="false">IFERROR(INDEX('TRANS'!$B:$B,MATCH($B3512,'TRANS'!$A:$A,0)),IFERROR(INDEX('TRANS'!$B:$B,MATCH(TRIM(SUBSTITUTE($B3512,CHAR(160)," ")),'TRANS'!$D:$D,0)),IFERROR(INDEX('Catalog'!$A:$A,MATCH($B3512,'Catalog'!$B:$B,0)),IFERROR(INDEX('Catalog'!$A:$A,MATCH(TRIM(SUBSTITUTE($B3512,CHAR(160)," ")),'Catalog'!$C:$C,0)),""))))</f>
        <v/>
      </c>
      <c r="H3512" s="8" t="str">
        <f aca="false">IFERROR(INDEX('TRANS'!$C:$C,MATCH($B3512,'TRANS'!$A:$A,0)),IFERROR(INDEX('Catalog'!$B:$B,MATCH($G3512,'Catalog'!$A:$A,0)),$B3512))</f>
        <v>32 M</v>
      </c>
      <c r="I3512" s="8" t="str">
        <f aca="false">IF($G3512="","Unmatched","Matched")</f>
        <v>Unmatched</v>
      </c>
      <c r="J3512" s="8" t="str">
        <f aca="false">IF($G3512&lt;&gt;"",$G3512,$B3512)</f>
        <v>32 M</v>
      </c>
      <c r="K3512" s="8" t="str">
        <f aca="false">IF(COUNTIF($M$1:$M$10,$A3512)&gt;0,"Y","N")</f>
        <v>N</v>
      </c>
    </row>
    <row r="3513" customFormat="false" ht="15" hidden="false" customHeight="true" outlineLevel="0" collapsed="false">
      <c r="A3513" s="8" t="s">
        <v>1084</v>
      </c>
      <c r="B3513" s="8" t="s">
        <v>608</v>
      </c>
      <c r="C3513" s="19" t="n">
        <v>25</v>
      </c>
      <c r="D3513" s="19" t="n">
        <v>1802.01</v>
      </c>
      <c r="E3513" s="19" t="n">
        <v>0</v>
      </c>
      <c r="F3513" s="19" t="n">
        <v>0</v>
      </c>
      <c r="G3513" s="8" t="n">
        <f aca="false">IFERROR(INDEX('TRANS'!$B:$B,MATCH($B3513,'TRANS'!$A:$A,0)),IFERROR(INDEX('TRANS'!$B:$B,MATCH(TRIM(SUBSTITUTE($B3513,CHAR(160)," ")),'TRANS'!$D:$D,0)),IFERROR(INDEX('Catalog'!$A:$A,MATCH($B3513,'Catalog'!$B:$B,0)),IFERROR(INDEX('Catalog'!$A:$A,MATCH(TRIM(SUBSTITUTE($B3513,CHAR(160)," ")),'Catalog'!$C:$C,0)),""))))</f>
        <v>4415013</v>
      </c>
      <c r="H3513" s="8" t="str">
        <f aca="false">IFERROR(INDEX('TRANS'!$C:$C,MATCH($B3513,'TRANS'!$A:$A,0)),IFERROR(INDEX('Catalog'!$B:$B,MATCH($G3513,'Catalog'!$A:$A,0)),$B3513))</f>
        <v>32 XL סד קרסול+מוטות אלומיניום</v>
      </c>
      <c r="I3513" s="8" t="str">
        <f aca="false">IF($G3513="","Unmatched","Matched")</f>
        <v>Matched</v>
      </c>
      <c r="J3513" s="8" t="n">
        <f aca="false">IF($G3513&lt;&gt;"",$G3513,$B3513)</f>
        <v>4415013</v>
      </c>
      <c r="K3513" s="8" t="str">
        <f aca="false">IF(COUNTIF($M$1:$M$10,$A3513)&gt;0,"Y","N")</f>
        <v>N</v>
      </c>
    </row>
    <row r="3514" customFormat="false" ht="15" hidden="false" customHeight="true" outlineLevel="0" collapsed="false">
      <c r="A3514" s="8" t="s">
        <v>1084</v>
      </c>
      <c r="B3514" s="8" t="s">
        <v>289</v>
      </c>
      <c r="C3514" s="19" t="n">
        <v>22</v>
      </c>
      <c r="D3514" s="19" t="n">
        <v>1683.08</v>
      </c>
      <c r="E3514" s="19" t="n">
        <v>0</v>
      </c>
      <c r="F3514" s="19" t="n">
        <v>0</v>
      </c>
      <c r="G3514" s="8" t="str">
        <f aca="false">IFERROR(INDEX('TRANS'!$B:$B,MATCH($B3514,'TRANS'!$A:$A,0)),IFERROR(INDEX('TRANS'!$B:$B,MATCH(TRIM(SUBSTITUTE($B3514,CHAR(160)," ")),'TRANS'!$D:$D,0)),IFERROR(INDEX('Catalog'!$A:$A,MATCH($B3514,'Catalog'!$B:$B,0)),IFERROR(INDEX('Catalog'!$A:$A,MATCH(TRIM(SUBSTITUTE($B3514,CHAR(160)," ")),'Catalog'!$C:$C,0)),""))))</f>
        <v/>
      </c>
      <c r="H3514" s="8" t="str">
        <f aca="false">IFERROR(INDEX('TRANS'!$C:$C,MATCH($B3514,'TRANS'!$A:$A,0)),IFERROR(INDEX('Catalog'!$B:$B,MATCH($G3514,'Catalog'!$A:$A,0)),$B3514))</f>
        <v>32 XXL</v>
      </c>
      <c r="I3514" s="8" t="str">
        <f aca="false">IF($G3514="","Unmatched","Matched")</f>
        <v>Unmatched</v>
      </c>
      <c r="J3514" s="8" t="str">
        <f aca="false">IF($G3514&lt;&gt;"",$G3514,$B3514)</f>
        <v>32 XXL</v>
      </c>
      <c r="K3514" s="8" t="str">
        <f aca="false">IF(COUNTIF($M$1:$M$10,$A3514)&gt;0,"Y","N")</f>
        <v>N</v>
      </c>
    </row>
    <row r="3515" customFormat="false" ht="15" hidden="false" customHeight="true" outlineLevel="0" collapsed="false">
      <c r="A3515" s="8" t="s">
        <v>1084</v>
      </c>
      <c r="B3515" s="8" t="s">
        <v>609</v>
      </c>
      <c r="C3515" s="19" t="n">
        <v>24</v>
      </c>
      <c r="D3515" s="19" t="n">
        <v>155.32</v>
      </c>
      <c r="E3515" s="19" t="n">
        <v>0</v>
      </c>
      <c r="F3515" s="19" t="n">
        <v>0</v>
      </c>
      <c r="G3515" s="8" t="n">
        <f aca="false">IFERROR(INDEX('TRANS'!$B:$B,MATCH($B3515,'TRANS'!$A:$A,0)),IFERROR(INDEX('TRANS'!$B:$B,MATCH(TRIM(SUBSTITUTE($B3515,CHAR(160)," ")),'TRANS'!$D:$D,0)),IFERROR(INDEX('Catalog'!$A:$A,MATCH($B3515,'Catalog'!$B:$B,0)),IFERROR(INDEX('Catalog'!$A:$A,MATCH(TRIM(SUBSTITUTE($B3515,CHAR(160)," ")),'Catalog'!$C:$C,0)),""))))</f>
        <v>4402007</v>
      </c>
      <c r="H3515" s="8" t="str">
        <f aca="false">IFERROR(INDEX('TRANS'!$C:$C,MATCH($B3515,'TRANS'!$A:$A,0)),IFERROR(INDEX('Catalog'!$B:$B,MATCH($G3515,'Catalog'!$A:$A,0)),$B3515))</f>
        <v>320 בליסטר פלסטר</v>
      </c>
      <c r="I3515" s="8" t="str">
        <f aca="false">IF($G3515="","Unmatched","Matched")</f>
        <v>Matched</v>
      </c>
      <c r="J3515" s="8" t="n">
        <f aca="false">IF($G3515&lt;&gt;"",$G3515,$B3515)</f>
        <v>4402007</v>
      </c>
      <c r="K3515" s="8" t="str">
        <f aca="false">IF(COUNTIF($M$1:$M$10,$A3515)&gt;0,"Y","N")</f>
        <v>N</v>
      </c>
    </row>
    <row r="3516" customFormat="false" ht="15" hidden="false" customHeight="true" outlineLevel="0" collapsed="false">
      <c r="A3516" s="8" t="s">
        <v>1084</v>
      </c>
      <c r="B3516" s="8" t="s">
        <v>192</v>
      </c>
      <c r="C3516" s="19" t="n">
        <v>1</v>
      </c>
      <c r="D3516" s="19" t="n">
        <v>60.86</v>
      </c>
      <c r="E3516" s="19" t="n">
        <v>0</v>
      </c>
      <c r="F3516" s="19" t="n">
        <v>0</v>
      </c>
      <c r="G3516" s="8" t="str">
        <f aca="false">IFERROR(INDEX('TRANS'!$B:$B,MATCH($B3516,'TRANS'!$A:$A,0)),IFERROR(INDEX('TRANS'!$B:$B,MATCH(TRIM(SUBSTITUTE($B3516,CHAR(160)," ")),'TRANS'!$D:$D,0)),IFERROR(INDEX('Catalog'!$A:$A,MATCH($B3516,'Catalog'!$B:$B,0)),IFERROR(INDEX('Catalog'!$A:$A,MATCH(TRIM(SUBSTITUTE($B3516,CHAR(160)," ")),'Catalog'!$C:$C,0)),""))))</f>
        <v/>
      </c>
      <c r="H3516" s="8" t="str">
        <f aca="false">IFERROR(INDEX('TRANS'!$C:$C,MATCH($B3516,'TRANS'!$A:$A,0)),IFERROR(INDEX('Catalog'!$B:$B,MATCH($G3516,'Catalog'!$A:$A,0)),$B3516))</f>
        <v>332B XL</v>
      </c>
      <c r="I3516" s="8" t="str">
        <f aca="false">IF($G3516="","Unmatched","Matched")</f>
        <v>Unmatched</v>
      </c>
      <c r="J3516" s="8" t="str">
        <f aca="false">IF($G3516&lt;&gt;"",$G3516,$B3516)</f>
        <v>332B XL</v>
      </c>
      <c r="K3516" s="8" t="str">
        <f aca="false">IF(COUNTIF($M$1:$M$10,$A3516)&gt;0,"Y","N")</f>
        <v>N</v>
      </c>
    </row>
    <row r="3517" customFormat="false" ht="15" hidden="false" customHeight="true" outlineLevel="0" collapsed="false">
      <c r="A3517" s="8" t="s">
        <v>1084</v>
      </c>
      <c r="B3517" s="8" t="s">
        <v>910</v>
      </c>
      <c r="C3517" s="19" t="n">
        <v>34</v>
      </c>
      <c r="D3517" s="19" t="n">
        <v>719.66</v>
      </c>
      <c r="E3517" s="19" t="n">
        <v>26</v>
      </c>
      <c r="F3517" s="19" t="n">
        <v>542.57</v>
      </c>
      <c r="G3517" s="8" t="n">
        <f aca="false">IFERROR(INDEX('TRANS'!$B:$B,MATCH($B3517,'TRANS'!$A:$A,0)),IFERROR(INDEX('TRANS'!$B:$B,MATCH(TRIM(SUBSTITUTE($B3517,CHAR(160)," ")),'TRANS'!$D:$D,0)),IFERROR(INDEX('Catalog'!$A:$A,MATCH($B3517,'Catalog'!$B:$B,0)),IFERROR(INDEX('Catalog'!$A:$A,MATCH(TRIM(SUBSTITUTE($B3517,CHAR(160)," ")),'Catalog'!$C:$C,0)),""))))</f>
        <v>4413043</v>
      </c>
      <c r="H3517" s="8" t="str">
        <f aca="false">IFERROR(INDEX('TRANS'!$C:$C,MATCH($B3517,'TRANS'!$A:$A,0)),IFERROR(INDEX('Catalog'!$B:$B,MATCH($G3517,'Catalog'!$A:$A,0)),$B3517))</f>
        <v>34  L מגן קרסול עקב סגור</v>
      </c>
      <c r="I3517" s="8" t="str">
        <f aca="false">IF($G3517="","Unmatched","Matched")</f>
        <v>Matched</v>
      </c>
      <c r="J3517" s="8" t="n">
        <f aca="false">IF($G3517&lt;&gt;"",$G3517,$B3517)</f>
        <v>4413043</v>
      </c>
      <c r="K3517" s="8" t="str">
        <f aca="false">IF(COUNTIF($M$1:$M$10,$A3517)&gt;0,"Y","N")</f>
        <v>N</v>
      </c>
    </row>
    <row r="3518" customFormat="false" ht="15" hidden="false" customHeight="true" outlineLevel="0" collapsed="false">
      <c r="A3518" s="8" t="s">
        <v>1084</v>
      </c>
      <c r="B3518" s="8" t="s">
        <v>915</v>
      </c>
      <c r="C3518" s="19" t="n">
        <v>44</v>
      </c>
      <c r="D3518" s="19" t="n">
        <v>915.75</v>
      </c>
      <c r="E3518" s="19" t="n">
        <v>25</v>
      </c>
      <c r="F3518" s="19" t="n">
        <v>503.57</v>
      </c>
      <c r="G3518" s="8" t="n">
        <f aca="false">IFERROR(INDEX('TRANS'!$B:$B,MATCH($B3518,'TRANS'!$A:$A,0)),IFERROR(INDEX('TRANS'!$B:$B,MATCH(TRIM(SUBSTITUTE($B3518,CHAR(160)," ")),'TRANS'!$D:$D,0)),IFERROR(INDEX('Catalog'!$A:$A,MATCH($B3518,'Catalog'!$B:$B,0)),IFERROR(INDEX('Catalog'!$A:$A,MATCH(TRIM(SUBSTITUTE($B3518,CHAR(160)," ")),'Catalog'!$C:$C,0)),""))))</f>
        <v>4413041</v>
      </c>
      <c r="H3518" s="8" t="str">
        <f aca="false">IFERROR(INDEX('TRANS'!$C:$C,MATCH($B3518,'TRANS'!$A:$A,0)),IFERROR(INDEX('Catalog'!$B:$B,MATCH($G3518,'Catalog'!$A:$A,0)),$B3518))</f>
        <v>34  M מגן קרסול עקב סגור</v>
      </c>
      <c r="I3518" s="8" t="str">
        <f aca="false">IF($G3518="","Unmatched","Matched")</f>
        <v>Matched</v>
      </c>
      <c r="J3518" s="8" t="n">
        <f aca="false">IF($G3518&lt;&gt;"",$G3518,$B3518)</f>
        <v>4413041</v>
      </c>
      <c r="K3518" s="8" t="str">
        <f aca="false">IF(COUNTIF($M$1:$M$10,$A3518)&gt;0,"Y","N")</f>
        <v>N</v>
      </c>
    </row>
    <row r="3519" customFormat="false" ht="15" hidden="false" customHeight="true" outlineLevel="0" collapsed="false">
      <c r="A3519" s="8" t="s">
        <v>1084</v>
      </c>
      <c r="B3519" s="8" t="s">
        <v>984</v>
      </c>
      <c r="C3519" s="19" t="n">
        <v>15</v>
      </c>
      <c r="D3519" s="19" t="n">
        <v>294.13</v>
      </c>
      <c r="E3519" s="19" t="n">
        <v>5</v>
      </c>
      <c r="F3519" s="19" t="n">
        <v>93.98</v>
      </c>
      <c r="G3519" s="8" t="n">
        <f aca="false">IFERROR(INDEX('TRANS'!$B:$B,MATCH($B3519,'TRANS'!$A:$A,0)),IFERROR(INDEX('TRANS'!$B:$B,MATCH(TRIM(SUBSTITUTE($B3519,CHAR(160)," ")),'TRANS'!$D:$D,0)),IFERROR(INDEX('Catalog'!$A:$A,MATCH($B3519,'Catalog'!$B:$B,0)),IFERROR(INDEX('Catalog'!$A:$A,MATCH(TRIM(SUBSTITUTE($B3519,CHAR(160)," ")),'Catalog'!$C:$C,0)),""))))</f>
        <v>4413042</v>
      </c>
      <c r="H3519" s="8" t="str">
        <f aca="false">IFERROR(INDEX('TRANS'!$C:$C,MATCH($B3519,'TRANS'!$A:$A,0)),IFERROR(INDEX('Catalog'!$B:$B,MATCH($G3519,'Catalog'!$A:$A,0)),$B3519))</f>
        <v>34  S מגן קרסול עקב סגור</v>
      </c>
      <c r="I3519" s="8" t="str">
        <f aca="false">IF($G3519="","Unmatched","Matched")</f>
        <v>Matched</v>
      </c>
      <c r="J3519" s="8" t="n">
        <f aca="false">IF($G3519&lt;&gt;"",$G3519,$B3519)</f>
        <v>4413042</v>
      </c>
      <c r="K3519" s="8" t="str">
        <f aca="false">IF(COUNTIF($M$1:$M$10,$A3519)&gt;0,"Y","N")</f>
        <v>N</v>
      </c>
    </row>
    <row r="3520" customFormat="false" ht="15" hidden="false" customHeight="true" outlineLevel="0" collapsed="false">
      <c r="A3520" s="8" t="s">
        <v>1084</v>
      </c>
      <c r="B3520" s="8" t="s">
        <v>916</v>
      </c>
      <c r="C3520" s="19" t="n">
        <v>60</v>
      </c>
      <c r="D3520" s="19" t="n">
        <v>1308.91</v>
      </c>
      <c r="E3520" s="19" t="n">
        <v>0</v>
      </c>
      <c r="F3520" s="19" t="n">
        <v>0</v>
      </c>
      <c r="G3520" s="8" t="n">
        <f aca="false">IFERROR(INDEX('TRANS'!$B:$B,MATCH($B3520,'TRANS'!$A:$A,0)),IFERROR(INDEX('TRANS'!$B:$B,MATCH(TRIM(SUBSTITUTE($B3520,CHAR(160)," ")),'TRANS'!$D:$D,0)),IFERROR(INDEX('Catalog'!$A:$A,MATCH($B3520,'Catalog'!$B:$B,0)),IFERROR(INDEX('Catalog'!$A:$A,MATCH(TRIM(SUBSTITUTE($B3520,CHAR(160)," ")),'Catalog'!$C:$C,0)),""))))</f>
        <v>4413044</v>
      </c>
      <c r="H3520" s="8" t="str">
        <f aca="false">IFERROR(INDEX('TRANS'!$C:$C,MATCH($B3520,'TRANS'!$A:$A,0)),IFERROR(INDEX('Catalog'!$B:$B,MATCH($G3520,'Catalog'!$A:$A,0)),$B3520))</f>
        <v>34 XL מגן קרסול עקב סגור</v>
      </c>
      <c r="I3520" s="8" t="str">
        <f aca="false">IF($G3520="","Unmatched","Matched")</f>
        <v>Matched</v>
      </c>
      <c r="J3520" s="8" t="n">
        <f aca="false">IF($G3520&lt;&gt;"",$G3520,$B3520)</f>
        <v>4413044</v>
      </c>
      <c r="K3520" s="8" t="str">
        <f aca="false">IF(COUNTIF($M$1:$M$10,$A3520)&gt;0,"Y","N")</f>
        <v>N</v>
      </c>
    </row>
    <row r="3521" customFormat="false" ht="15" hidden="false" customHeight="true" outlineLevel="0" collapsed="false">
      <c r="A3521" s="8" t="s">
        <v>1084</v>
      </c>
      <c r="B3521" s="8" t="s">
        <v>212</v>
      </c>
      <c r="C3521" s="19" t="n">
        <v>6</v>
      </c>
      <c r="D3521" s="19" t="n">
        <v>117.66</v>
      </c>
      <c r="E3521" s="19" t="n">
        <v>5</v>
      </c>
      <c r="F3521" s="19" t="n">
        <v>110.82</v>
      </c>
      <c r="G3521" s="8" t="str">
        <f aca="false">IFERROR(INDEX('TRANS'!$B:$B,MATCH($B3521,'TRANS'!$A:$A,0)),IFERROR(INDEX('TRANS'!$B:$B,MATCH(TRIM(SUBSTITUTE($B3521,CHAR(160)," ")),'TRANS'!$D:$D,0)),IFERROR(INDEX('Catalog'!$A:$A,MATCH($B3521,'Catalog'!$B:$B,0)),IFERROR(INDEX('Catalog'!$A:$A,MATCH(TRIM(SUBSTITUTE($B3521,CHAR(160)," ")),'Catalog'!$C:$C,0)),""))))</f>
        <v/>
      </c>
      <c r="H3521" s="8" t="str">
        <f aca="false">IFERROR(INDEX('TRANS'!$C:$C,MATCH($B3521,'TRANS'!$A:$A,0)),IFERROR(INDEX('Catalog'!$B:$B,MATCH($G3521,'Catalog'!$A:$A,0)),$B3521))</f>
        <v>34 XS</v>
      </c>
      <c r="I3521" s="8" t="str">
        <f aca="false">IF($G3521="","Unmatched","Matched")</f>
        <v>Unmatched</v>
      </c>
      <c r="J3521" s="8" t="str">
        <f aca="false">IF($G3521&lt;&gt;"",$G3521,$B3521)</f>
        <v>34 XS</v>
      </c>
      <c r="K3521" s="8" t="str">
        <f aca="false">IF(COUNTIF($M$1:$M$10,$A3521)&gt;0,"Y","N")</f>
        <v>N</v>
      </c>
    </row>
    <row r="3522" customFormat="false" ht="15" hidden="false" customHeight="true" outlineLevel="0" collapsed="false">
      <c r="A3522" s="8" t="s">
        <v>1084</v>
      </c>
      <c r="B3522" s="8" t="s">
        <v>611</v>
      </c>
      <c r="C3522" s="19" t="n">
        <v>25</v>
      </c>
      <c r="D3522" s="19" t="n">
        <v>709.99</v>
      </c>
      <c r="E3522" s="19" t="n">
        <v>20</v>
      </c>
      <c r="F3522" s="19" t="n">
        <v>544.43</v>
      </c>
      <c r="G3522" s="8" t="n">
        <f aca="false">IFERROR(INDEX('TRANS'!$B:$B,MATCH($B3522,'TRANS'!$A:$A,0)),IFERROR(INDEX('TRANS'!$B:$B,MATCH(TRIM(SUBSTITUTE($B3522,CHAR(160)," ")),'TRANS'!$D:$D,0)),IFERROR(INDEX('Catalog'!$A:$A,MATCH($B3522,'Catalog'!$B:$B,0)),IFERROR(INDEX('Catalog'!$A:$A,MATCH(TRIM(SUBSTITUTE($B3522,CHAR(160)," ")),'Catalog'!$C:$C,0)),""))))</f>
        <v>4413161</v>
      </c>
      <c r="H3522" s="8" t="str">
        <f aca="false">IFERROR(INDEX('TRANS'!$C:$C,MATCH($B3522,'TRANS'!$A:$A,0)),IFERROR(INDEX('Catalog'!$B:$B,MATCH($G3522,'Catalog'!$A:$A,0)),$B3522))</f>
        <v>34+ L מגן קרסול עקב סגור+רצוע</v>
      </c>
      <c r="I3522" s="8" t="str">
        <f aca="false">IF($G3522="","Unmatched","Matched")</f>
        <v>Matched</v>
      </c>
      <c r="J3522" s="8" t="n">
        <f aca="false">IF($G3522&lt;&gt;"",$G3522,$B3522)</f>
        <v>4413161</v>
      </c>
      <c r="K3522" s="8" t="str">
        <f aca="false">IF(COUNTIF($M$1:$M$10,$A3522)&gt;0,"Y","N")</f>
        <v>N</v>
      </c>
    </row>
    <row r="3523" customFormat="false" ht="15" hidden="false" customHeight="true" outlineLevel="0" collapsed="false">
      <c r="A3523" s="8" t="s">
        <v>1084</v>
      </c>
      <c r="B3523" s="8" t="s">
        <v>790</v>
      </c>
      <c r="C3523" s="19" t="n">
        <v>39</v>
      </c>
      <c r="D3523" s="19" t="n">
        <v>1184.26</v>
      </c>
      <c r="E3523" s="19" t="n">
        <v>40</v>
      </c>
      <c r="F3523" s="19" t="n">
        <v>1088.85</v>
      </c>
      <c r="G3523" s="8" t="n">
        <f aca="false">IFERROR(INDEX('TRANS'!$B:$B,MATCH($B3523,'TRANS'!$A:$A,0)),IFERROR(INDEX('TRANS'!$B:$B,MATCH(TRIM(SUBSTITUTE($B3523,CHAR(160)," ")),'TRANS'!$D:$D,0)),IFERROR(INDEX('Catalog'!$A:$A,MATCH($B3523,'Catalog'!$B:$B,0)),IFERROR(INDEX('Catalog'!$A:$A,MATCH(TRIM(SUBSTITUTE($B3523,CHAR(160)," ")),'Catalog'!$C:$C,0)),""))))</f>
        <v>4413160</v>
      </c>
      <c r="H3523" s="8" t="str">
        <f aca="false">IFERROR(INDEX('TRANS'!$C:$C,MATCH($B3523,'TRANS'!$A:$A,0)),IFERROR(INDEX('Catalog'!$B:$B,MATCH($G3523,'Catalog'!$A:$A,0)),$B3523))</f>
        <v>34+ M מגן קרסול עקב סגור+רצוע</v>
      </c>
      <c r="I3523" s="8" t="str">
        <f aca="false">IF($G3523="","Unmatched","Matched")</f>
        <v>Matched</v>
      </c>
      <c r="J3523" s="8" t="n">
        <f aca="false">IF($G3523&lt;&gt;"",$G3523,$B3523)</f>
        <v>4413160</v>
      </c>
      <c r="K3523" s="8" t="str">
        <f aca="false">IF(COUNTIF($M$1:$M$10,$A3523)&gt;0,"Y","N")</f>
        <v>N</v>
      </c>
    </row>
    <row r="3524" customFormat="false" ht="15" hidden="false" customHeight="true" outlineLevel="0" collapsed="false">
      <c r="A3524" s="8" t="s">
        <v>1084</v>
      </c>
      <c r="B3524" s="8" t="s">
        <v>942</v>
      </c>
      <c r="C3524" s="19" t="n">
        <v>8</v>
      </c>
      <c r="D3524" s="19" t="n">
        <v>227.2</v>
      </c>
      <c r="E3524" s="19" t="n">
        <v>20</v>
      </c>
      <c r="F3524" s="19" t="n">
        <v>593.2</v>
      </c>
      <c r="G3524" s="8" t="n">
        <f aca="false">IFERROR(INDEX('TRANS'!$B:$B,MATCH($B3524,'TRANS'!$A:$A,0)),IFERROR(INDEX('TRANS'!$B:$B,MATCH(TRIM(SUBSTITUTE($B3524,CHAR(160)," ")),'TRANS'!$D:$D,0)),IFERROR(INDEX('Catalog'!$A:$A,MATCH($B3524,'Catalog'!$B:$B,0)),IFERROR(INDEX('Catalog'!$A:$A,MATCH(TRIM(SUBSTITUTE($B3524,CHAR(160)," ")),'Catalog'!$C:$C,0)),""))))</f>
        <v>4413159</v>
      </c>
      <c r="H3524" s="8" t="str">
        <f aca="false">IFERROR(INDEX('TRANS'!$C:$C,MATCH($B3524,'TRANS'!$A:$A,0)),IFERROR(INDEX('Catalog'!$B:$B,MATCH($G3524,'Catalog'!$A:$A,0)),$B3524))</f>
        <v>34+ S מגן קרסול עקב סגור+רצוע</v>
      </c>
      <c r="I3524" s="8" t="str">
        <f aca="false">IF($G3524="","Unmatched","Matched")</f>
        <v>Matched</v>
      </c>
      <c r="J3524" s="8" t="n">
        <f aca="false">IF($G3524&lt;&gt;"",$G3524,$B3524)</f>
        <v>4413159</v>
      </c>
      <c r="K3524" s="8" t="str">
        <f aca="false">IF(COUNTIF($M$1:$M$10,$A3524)&gt;0,"Y","N")</f>
        <v>N</v>
      </c>
    </row>
    <row r="3525" customFormat="false" ht="15" hidden="false" customHeight="true" outlineLevel="0" collapsed="false">
      <c r="A3525" s="8" t="s">
        <v>1084</v>
      </c>
      <c r="B3525" s="8" t="s">
        <v>612</v>
      </c>
      <c r="C3525" s="19" t="n">
        <v>5</v>
      </c>
      <c r="D3525" s="19" t="n">
        <v>142</v>
      </c>
      <c r="E3525" s="19" t="n">
        <v>10</v>
      </c>
      <c r="F3525" s="19" t="n">
        <v>272.21</v>
      </c>
      <c r="G3525" s="8" t="n">
        <f aca="false">IFERROR(INDEX('TRANS'!$B:$B,MATCH($B3525,'TRANS'!$A:$A,0)),IFERROR(INDEX('TRANS'!$B:$B,MATCH(TRIM(SUBSTITUTE($B3525,CHAR(160)," ")),'TRANS'!$D:$D,0)),IFERROR(INDEX('Catalog'!$A:$A,MATCH($B3525,'Catalog'!$B:$B,0)),IFERROR(INDEX('Catalog'!$A:$A,MATCH(TRIM(SUBSTITUTE($B3525,CHAR(160)," ")),'Catalog'!$C:$C,0)),""))))</f>
        <v>4413162</v>
      </c>
      <c r="H3525" s="8" t="str">
        <f aca="false">IFERROR(INDEX('TRANS'!$C:$C,MATCH($B3525,'TRANS'!$A:$A,0)),IFERROR(INDEX('Catalog'!$B:$B,MATCH($G3525,'Catalog'!$A:$A,0)),$B3525))</f>
        <v>34+XL מגן קרסול עקב סגור+רצוע</v>
      </c>
      <c r="I3525" s="8" t="str">
        <f aca="false">IF($G3525="","Unmatched","Matched")</f>
        <v>Matched</v>
      </c>
      <c r="J3525" s="8" t="n">
        <f aca="false">IF($G3525&lt;&gt;"",$G3525,$B3525)</f>
        <v>4413162</v>
      </c>
      <c r="K3525" s="8" t="str">
        <f aca="false">IF(COUNTIF($M$1:$M$10,$A3525)&gt;0,"Y","N")</f>
        <v>N</v>
      </c>
    </row>
    <row r="3526" customFormat="false" ht="15" hidden="false" customHeight="true" outlineLevel="0" collapsed="false">
      <c r="A3526" s="8" t="s">
        <v>1084</v>
      </c>
      <c r="B3526" s="8" t="s">
        <v>197</v>
      </c>
      <c r="C3526" s="19" t="n">
        <v>5</v>
      </c>
      <c r="D3526" s="19" t="n">
        <v>142</v>
      </c>
      <c r="E3526" s="19" t="n">
        <v>10</v>
      </c>
      <c r="F3526" s="19" t="n">
        <v>272.21</v>
      </c>
      <c r="G3526" s="8" t="str">
        <f aca="false">IFERROR(INDEX('TRANS'!$B:$B,MATCH($B3526,'TRANS'!$A:$A,0)),IFERROR(INDEX('TRANS'!$B:$B,MATCH(TRIM(SUBSTITUTE($B3526,CHAR(160)," ")),'TRANS'!$D:$D,0)),IFERROR(INDEX('Catalog'!$A:$A,MATCH($B3526,'Catalog'!$B:$B,0)),IFERROR(INDEX('Catalog'!$A:$A,MATCH(TRIM(SUBSTITUTE($B3526,CHAR(160)," ")),'Catalog'!$C:$C,0)),""))))</f>
        <v/>
      </c>
      <c r="H3526" s="8" t="str">
        <f aca="false">IFERROR(INDEX('TRANS'!$C:$C,MATCH($B3526,'TRANS'!$A:$A,0)),IFERROR(INDEX('Catalog'!$B:$B,MATCH($G3526,'Catalog'!$A:$A,0)),$B3526))</f>
        <v>34+ XS</v>
      </c>
      <c r="I3526" s="8" t="str">
        <f aca="false">IF($G3526="","Unmatched","Matched")</f>
        <v>Unmatched</v>
      </c>
      <c r="J3526" s="8" t="str">
        <f aca="false">IF($G3526&lt;&gt;"",$G3526,$B3526)</f>
        <v>34+ XS</v>
      </c>
      <c r="K3526" s="8" t="str">
        <f aca="false">IF(COUNTIF($M$1:$M$10,$A3526)&gt;0,"Y","N")</f>
        <v>N</v>
      </c>
    </row>
    <row r="3527" customFormat="false" ht="15" hidden="false" customHeight="true" outlineLevel="0" collapsed="false">
      <c r="A3527" s="8" t="s">
        <v>1084</v>
      </c>
      <c r="B3527" s="8" t="s">
        <v>791</v>
      </c>
      <c r="C3527" s="19" t="n">
        <v>11</v>
      </c>
      <c r="D3527" s="19" t="n">
        <v>171.72</v>
      </c>
      <c r="E3527" s="19" t="n">
        <v>10</v>
      </c>
      <c r="F3527" s="19" t="n">
        <v>148.26</v>
      </c>
      <c r="G3527" s="8" t="n">
        <f aca="false">IFERROR(INDEX('TRANS'!$B:$B,MATCH($B3527,'TRANS'!$A:$A,0)),IFERROR(INDEX('TRANS'!$B:$B,MATCH(TRIM(SUBSTITUTE($B3527,CHAR(160)," ")),'TRANS'!$D:$D,0)),IFERROR(INDEX('Catalog'!$A:$A,MATCH($B3527,'Catalog'!$B:$B,0)),IFERROR(INDEX('Catalog'!$A:$A,MATCH(TRIM(SUBSTITUTE($B3527,CHAR(160)," ")),'Catalog'!$C:$C,0)),""))))</f>
        <v>4403040</v>
      </c>
      <c r="H3527" s="8" t="str">
        <f aca="false">IFERROR(INDEX('TRANS'!$C:$C,MATCH($B3527,'TRANS'!$A:$A,0)),IFERROR(INDEX('Catalog'!$B:$B,MATCH($G3527,'Catalog'!$A:$A,0)),$B3527))</f>
        <v>3444B גרבי ג'ל לריכוך עור העקב</v>
      </c>
      <c r="I3527" s="8" t="str">
        <f aca="false">IF($G3527="","Unmatched","Matched")</f>
        <v>Matched</v>
      </c>
      <c r="J3527" s="8" t="n">
        <f aca="false">IF($G3527&lt;&gt;"",$G3527,$B3527)</f>
        <v>4403040</v>
      </c>
      <c r="K3527" s="8" t="str">
        <f aca="false">IF(COUNTIF($M$1:$M$10,$A3527)&gt;0,"Y","N")</f>
        <v>N</v>
      </c>
    </row>
    <row r="3528" customFormat="false" ht="15" hidden="false" customHeight="true" outlineLevel="0" collapsed="false">
      <c r="A3528" s="8" t="s">
        <v>1084</v>
      </c>
      <c r="B3528" s="8" t="s">
        <v>613</v>
      </c>
      <c r="C3528" s="19" t="n">
        <v>180</v>
      </c>
      <c r="D3528" s="19" t="n">
        <v>1962.61</v>
      </c>
      <c r="E3528" s="19" t="n">
        <v>79</v>
      </c>
      <c r="F3528" s="19" t="n">
        <v>870.8</v>
      </c>
      <c r="G3528" s="8" t="n">
        <f aca="false">IFERROR(INDEX('TRANS'!$B:$B,MATCH($B3528,'TRANS'!$A:$A,0)),IFERROR(INDEX('TRANS'!$B:$B,MATCH(TRIM(SUBSTITUTE($B3528,CHAR(160)," ")),'TRANS'!$D:$D,0)),IFERROR(INDEX('Catalog'!$A:$A,MATCH($B3528,'Catalog'!$B:$B,0)),IFERROR(INDEX('Catalog'!$A:$A,MATCH(TRIM(SUBSTITUTE($B3528,CHAR(160)," ")),'Catalog'!$C:$C,0)),""))))</f>
        <v>4413048</v>
      </c>
      <c r="H3528" s="8" t="str">
        <f aca="false">IFERROR(INDEX('TRANS'!$C:$C,MATCH($B3528,'TRANS'!$A:$A,0)),IFERROR(INDEX('Catalog'!$B:$B,MATCH($G3528,'Catalog'!$A:$A,0)),$B3528))</f>
        <v>35 L מגן קרסול לבן</v>
      </c>
      <c r="I3528" s="8" t="str">
        <f aca="false">IF($G3528="","Unmatched","Matched")</f>
        <v>Matched</v>
      </c>
      <c r="J3528" s="8" t="n">
        <f aca="false">IF($G3528&lt;&gt;"",$G3528,$B3528)</f>
        <v>4413048</v>
      </c>
      <c r="K3528" s="8" t="str">
        <f aca="false">IF(COUNTIF($M$1:$M$10,$A3528)&gt;0,"Y","N")</f>
        <v>N</v>
      </c>
    </row>
    <row r="3529" customFormat="false" ht="15" hidden="false" customHeight="true" outlineLevel="0" collapsed="false">
      <c r="A3529" s="8" t="s">
        <v>1084</v>
      </c>
      <c r="B3529" s="8" t="s">
        <v>614</v>
      </c>
      <c r="C3529" s="19" t="n">
        <v>150</v>
      </c>
      <c r="D3529" s="19" t="n">
        <v>1589.86</v>
      </c>
      <c r="E3529" s="19" t="n">
        <v>107</v>
      </c>
      <c r="F3529" s="19" t="n">
        <v>1087.27</v>
      </c>
      <c r="G3529" s="8" t="n">
        <f aca="false">IFERROR(INDEX('TRANS'!$B:$B,MATCH($B3529,'TRANS'!$A:$A,0)),IFERROR(INDEX('TRANS'!$B:$B,MATCH(TRIM(SUBSTITUTE($B3529,CHAR(160)," ")),'TRANS'!$D:$D,0)),IFERROR(INDEX('Catalog'!$A:$A,MATCH($B3529,'Catalog'!$B:$B,0)),IFERROR(INDEX('Catalog'!$A:$A,MATCH(TRIM(SUBSTITUTE($B3529,CHAR(160)," ")),'Catalog'!$C:$C,0)),""))))</f>
        <v>4413049</v>
      </c>
      <c r="H3529" s="8" t="str">
        <f aca="false">IFERROR(INDEX('TRANS'!$C:$C,MATCH($B3529,'TRANS'!$A:$A,0)),IFERROR(INDEX('Catalog'!$B:$B,MATCH($G3529,'Catalog'!$A:$A,0)),$B3529))</f>
        <v>35 M מגן קרסול לבן</v>
      </c>
      <c r="I3529" s="8" t="str">
        <f aca="false">IF($G3529="","Unmatched","Matched")</f>
        <v>Matched</v>
      </c>
      <c r="J3529" s="8" t="n">
        <f aca="false">IF($G3529&lt;&gt;"",$G3529,$B3529)</f>
        <v>4413049</v>
      </c>
      <c r="K3529" s="8" t="str">
        <f aca="false">IF(COUNTIF($M$1:$M$10,$A3529)&gt;0,"Y","N")</f>
        <v>N</v>
      </c>
    </row>
    <row r="3530" customFormat="false" ht="15" hidden="false" customHeight="true" outlineLevel="0" collapsed="false">
      <c r="A3530" s="8" t="s">
        <v>1084</v>
      </c>
      <c r="B3530" s="8" t="s">
        <v>792</v>
      </c>
      <c r="C3530" s="19" t="n">
        <v>79</v>
      </c>
      <c r="D3530" s="19" t="n">
        <v>828.66</v>
      </c>
      <c r="E3530" s="19" t="n">
        <v>50</v>
      </c>
      <c r="F3530" s="19" t="n">
        <v>503.52</v>
      </c>
      <c r="G3530" s="8" t="n">
        <f aca="false">IFERROR(INDEX('TRANS'!$B:$B,MATCH($B3530,'TRANS'!$A:$A,0)),IFERROR(INDEX('TRANS'!$B:$B,MATCH(TRIM(SUBSTITUTE($B3530,CHAR(160)," ")),'TRANS'!$D:$D,0)),IFERROR(INDEX('Catalog'!$A:$A,MATCH($B3530,'Catalog'!$B:$B,0)),IFERROR(INDEX('Catalog'!$A:$A,MATCH(TRIM(SUBSTITUTE($B3530,CHAR(160)," ")),'Catalog'!$C:$C,0)),""))))</f>
        <v>4413047</v>
      </c>
      <c r="H3530" s="8" t="str">
        <f aca="false">IFERROR(INDEX('TRANS'!$C:$C,MATCH($B3530,'TRANS'!$A:$A,0)),IFERROR(INDEX('Catalog'!$B:$B,MATCH($G3530,'Catalog'!$A:$A,0)),$B3530))</f>
        <v>35 S מגן קרסול לבן</v>
      </c>
      <c r="I3530" s="8" t="str">
        <f aca="false">IF($G3530="","Unmatched","Matched")</f>
        <v>Matched</v>
      </c>
      <c r="J3530" s="8" t="n">
        <f aca="false">IF($G3530&lt;&gt;"",$G3530,$B3530)</f>
        <v>4413047</v>
      </c>
      <c r="K3530" s="8" t="str">
        <f aca="false">IF(COUNTIF($M$1:$M$10,$A3530)&gt;0,"Y","N")</f>
        <v>N</v>
      </c>
    </row>
    <row r="3531" customFormat="false" ht="15" hidden="false" customHeight="true" outlineLevel="0" collapsed="false">
      <c r="A3531" s="8" t="s">
        <v>1084</v>
      </c>
      <c r="B3531" s="8" t="s">
        <v>793</v>
      </c>
      <c r="C3531" s="19" t="n">
        <v>105</v>
      </c>
      <c r="D3531" s="19" t="n">
        <v>1133.44</v>
      </c>
      <c r="E3531" s="19" t="n">
        <v>85</v>
      </c>
      <c r="F3531" s="19" t="n">
        <v>869.9</v>
      </c>
      <c r="G3531" s="8" t="n">
        <f aca="false">IFERROR(INDEX('TRANS'!$B:$B,MATCH($B3531,'TRANS'!$A:$A,0)),IFERROR(INDEX('TRANS'!$B:$B,MATCH(TRIM(SUBSTITUTE($B3531,CHAR(160)," ")),'TRANS'!$D:$D,0)),IFERROR(INDEX('Catalog'!$A:$A,MATCH($B3531,'Catalog'!$B:$B,0)),IFERROR(INDEX('Catalog'!$A:$A,MATCH(TRIM(SUBSTITUTE($B3531,CHAR(160)," ")),'Catalog'!$C:$C,0)),""))))</f>
        <v>4413050</v>
      </c>
      <c r="H3531" s="8" t="str">
        <f aca="false">IFERROR(INDEX('TRANS'!$C:$C,MATCH($B3531,'TRANS'!$A:$A,0)),IFERROR(INDEX('Catalog'!$B:$B,MATCH($G3531,'Catalog'!$A:$A,0)),$B3531))</f>
        <v>35 XL מגן קרסול לבן</v>
      </c>
      <c r="I3531" s="8" t="str">
        <f aca="false">IF($G3531="","Unmatched","Matched")</f>
        <v>Matched</v>
      </c>
      <c r="J3531" s="8" t="n">
        <f aca="false">IF($G3531&lt;&gt;"",$G3531,$B3531)</f>
        <v>4413050</v>
      </c>
      <c r="K3531" s="8" t="str">
        <f aca="false">IF(COUNTIF($M$1:$M$10,$A3531)&gt;0,"Y","N")</f>
        <v>N</v>
      </c>
    </row>
    <row r="3532" customFormat="false" ht="15" hidden="false" customHeight="true" outlineLevel="0" collapsed="false">
      <c r="A3532" s="8" t="s">
        <v>1084</v>
      </c>
      <c r="B3532" s="8" t="s">
        <v>794</v>
      </c>
      <c r="C3532" s="19" t="n">
        <v>54</v>
      </c>
      <c r="D3532" s="19" t="n">
        <v>575.09</v>
      </c>
      <c r="E3532" s="19" t="n">
        <v>50</v>
      </c>
      <c r="F3532" s="19" t="n">
        <v>503.52</v>
      </c>
      <c r="G3532" s="8" t="n">
        <f aca="false">IFERROR(INDEX('TRANS'!$B:$B,MATCH($B3532,'TRANS'!$A:$A,0)),IFERROR(INDEX('TRANS'!$B:$B,MATCH(TRIM(SUBSTITUTE($B3532,CHAR(160)," ")),'TRANS'!$D:$D,0)),IFERROR(INDEX('Catalog'!$A:$A,MATCH($B3532,'Catalog'!$B:$B,0)),IFERROR(INDEX('Catalog'!$A:$A,MATCH(TRIM(SUBSTITUTE($B3532,CHAR(160)," ")),'Catalog'!$C:$C,0)),""))))</f>
        <v>4413051</v>
      </c>
      <c r="H3532" s="8" t="str">
        <f aca="false">IFERROR(INDEX('TRANS'!$C:$C,MATCH($B3532,'TRANS'!$A:$A,0)),IFERROR(INDEX('Catalog'!$B:$B,MATCH($G3532,'Catalog'!$A:$A,0)),$B3532))</f>
        <v>35 XXL מגן קרסול לבן</v>
      </c>
      <c r="I3532" s="8" t="str">
        <f aca="false">IF($G3532="","Unmatched","Matched")</f>
        <v>Matched</v>
      </c>
      <c r="J3532" s="8" t="n">
        <f aca="false">IF($G3532&lt;&gt;"",$G3532,$B3532)</f>
        <v>4413051</v>
      </c>
      <c r="K3532" s="8" t="str">
        <f aca="false">IF(COUNTIF($M$1:$M$10,$A3532)&gt;0,"Y","N")</f>
        <v>N</v>
      </c>
    </row>
    <row r="3533" customFormat="false" ht="15" hidden="false" customHeight="true" outlineLevel="0" collapsed="false">
      <c r="A3533" s="8" t="s">
        <v>1084</v>
      </c>
      <c r="B3533" s="8" t="s">
        <v>623</v>
      </c>
      <c r="C3533" s="19" t="n">
        <v>10</v>
      </c>
      <c r="D3533" s="19" t="n">
        <v>275.24</v>
      </c>
      <c r="E3533" s="19" t="n">
        <v>10</v>
      </c>
      <c r="F3533" s="19" t="n">
        <v>263.83</v>
      </c>
      <c r="G3533" s="8" t="n">
        <f aca="false">IFERROR(INDEX('TRANS'!$B:$B,MATCH($B3533,'TRANS'!$A:$A,0)),IFERROR(INDEX('TRANS'!$B:$B,MATCH(TRIM(SUBSTITUTE($B3533,CHAR(160)," ")),'TRANS'!$D:$D,0)),IFERROR(INDEX('Catalog'!$A:$A,MATCH($B3533,'Catalog'!$B:$B,0)),IFERROR(INDEX('Catalog'!$A:$A,MATCH(TRIM(SUBSTITUTE($B3533,CHAR(160)," ")),'Catalog'!$C:$C,0)),""))))</f>
        <v>4421007</v>
      </c>
      <c r="H3533" s="8" t="str">
        <f aca="false">IFERROR(INDEX('TRANS'!$C:$C,MATCH($B3533,'TRANS'!$A:$A,0)),IFERROR(INDEX('Catalog'!$B:$B,MATCH($G3533,'Catalog'!$A:$A,0)),$B3533))</f>
        <v>שרוול לגבס קצר רגל</v>
      </c>
      <c r="I3533" s="8" t="str">
        <f aca="false">IF($G3533="","Unmatched","Matched")</f>
        <v>Matched</v>
      </c>
      <c r="J3533" s="8" t="n">
        <f aca="false">IF($G3533&lt;&gt;"",$G3533,$B3533)</f>
        <v>4421007</v>
      </c>
      <c r="K3533" s="8" t="str">
        <f aca="false">IF(COUNTIF($M$1:$M$10,$A3533)&gt;0,"Y","N")</f>
        <v>N</v>
      </c>
    </row>
    <row r="3534" customFormat="false" ht="15" hidden="false" customHeight="true" outlineLevel="0" collapsed="false">
      <c r="A3534" s="8" t="s">
        <v>1084</v>
      </c>
      <c r="B3534" s="8" t="s">
        <v>624</v>
      </c>
      <c r="C3534" s="19" t="n">
        <v>10</v>
      </c>
      <c r="D3534" s="19" t="n">
        <v>291.15</v>
      </c>
      <c r="E3534" s="19" t="n">
        <v>10</v>
      </c>
      <c r="F3534" s="19" t="n">
        <v>279.08</v>
      </c>
      <c r="G3534" s="8" t="n">
        <f aca="false">IFERROR(INDEX('TRANS'!$B:$B,MATCH($B3534,'TRANS'!$A:$A,0)),IFERROR(INDEX('TRANS'!$B:$B,MATCH(TRIM(SUBSTITUTE($B3534,CHAR(160)," ")),'TRANS'!$D:$D,0)),IFERROR(INDEX('Catalog'!$A:$A,MATCH($B3534,'Catalog'!$B:$B,0)),IFERROR(INDEX('Catalog'!$A:$A,MATCH(TRIM(SUBSTITUTE($B3534,CHAR(160)," ")),'Catalog'!$C:$C,0)),""))))</f>
        <v>4421008</v>
      </c>
      <c r="H3534" s="8" t="str">
        <f aca="false">IFERROR(INDEX('TRANS'!$C:$C,MATCH($B3534,'TRANS'!$A:$A,0)),IFERROR(INDEX('Catalog'!$B:$B,MATCH($G3534,'Catalog'!$A:$A,0)),$B3534))</f>
        <v>שרוול לגבס ארוך רגל</v>
      </c>
      <c r="I3534" s="8" t="str">
        <f aca="false">IF($G3534="","Unmatched","Matched")</f>
        <v>Matched</v>
      </c>
      <c r="J3534" s="8" t="n">
        <f aca="false">IF($G3534&lt;&gt;"",$G3534,$B3534)</f>
        <v>4421008</v>
      </c>
      <c r="K3534" s="8" t="str">
        <f aca="false">IF(COUNTIF($M$1:$M$10,$A3534)&gt;0,"Y","N")</f>
        <v>N</v>
      </c>
    </row>
    <row r="3535" customFormat="false" ht="15" hidden="false" customHeight="true" outlineLevel="0" collapsed="false">
      <c r="A3535" s="8" t="s">
        <v>1084</v>
      </c>
      <c r="B3535" s="8" t="s">
        <v>625</v>
      </c>
      <c r="C3535" s="19" t="n">
        <v>10</v>
      </c>
      <c r="D3535" s="19" t="n">
        <v>297.52</v>
      </c>
      <c r="E3535" s="19" t="n">
        <v>0</v>
      </c>
      <c r="F3535" s="19" t="n">
        <v>0</v>
      </c>
      <c r="G3535" s="8" t="n">
        <f aca="false">IFERROR(INDEX('TRANS'!$B:$B,MATCH($B3535,'TRANS'!$A:$A,0)),IFERROR(INDEX('TRANS'!$B:$B,MATCH(TRIM(SUBSTITUTE($B3535,CHAR(160)," ")),'TRANS'!$D:$D,0)),IFERROR(INDEX('Catalog'!$A:$A,MATCH($B3535,'Catalog'!$B:$B,0)),IFERROR(INDEX('Catalog'!$A:$A,MATCH(TRIM(SUBSTITUTE($B3535,CHAR(160)," ")),'Catalog'!$C:$C,0)),""))))</f>
        <v>4421001</v>
      </c>
      <c r="H3535" s="8" t="str">
        <f aca="false">IFERROR(INDEX('TRANS'!$C:$C,MATCH($B3535,'TRANS'!$A:$A,0)),IFERROR(INDEX('Catalog'!$B:$B,MATCH($G3535,'Catalog'!$A:$A,0)),$B3535))</f>
        <v>3611 שרוול מטטרזלי מסיליקון</v>
      </c>
      <c r="I3535" s="8" t="str">
        <f aca="false">IF($G3535="","Unmatched","Matched")</f>
        <v>Matched</v>
      </c>
      <c r="J3535" s="8" t="n">
        <f aca="false">IF($G3535&lt;&gt;"",$G3535,$B3535)</f>
        <v>4421001</v>
      </c>
      <c r="K3535" s="8" t="str">
        <f aca="false">IF(COUNTIF($M$1:$M$10,$A3535)&gt;0,"Y","N")</f>
        <v>N</v>
      </c>
    </row>
    <row r="3536" customFormat="false" ht="15" hidden="false" customHeight="true" outlineLevel="0" collapsed="false">
      <c r="A3536" s="8" t="s">
        <v>1084</v>
      </c>
      <c r="B3536" s="8" t="s">
        <v>628</v>
      </c>
      <c r="C3536" s="19" t="n">
        <v>245</v>
      </c>
      <c r="D3536" s="19" t="n">
        <v>3935.91</v>
      </c>
      <c r="E3536" s="19" t="n">
        <v>120</v>
      </c>
      <c r="F3536" s="19" t="n">
        <v>1863.2</v>
      </c>
      <c r="G3536" s="8" t="n">
        <f aca="false">IFERROR(INDEX('TRANS'!$B:$B,MATCH($B3536,'TRANS'!$A:$A,0)),IFERROR(INDEX('TRANS'!$B:$B,MATCH(TRIM(SUBSTITUTE($B3536,CHAR(160)," ")),'TRANS'!$D:$D,0)),IFERROR(INDEX('Catalog'!$A:$A,MATCH($B3536,'Catalog'!$B:$B,0)),IFERROR(INDEX('Catalog'!$A:$A,MATCH(TRIM(SUBSTITUTE($B3536,CHAR(160)," ")),'Catalog'!$C:$C,0)),""))))</f>
        <v>4411001</v>
      </c>
      <c r="H3536" s="8" t="str">
        <f aca="false">IFERROR(INDEX('TRANS'!$C:$C,MATCH($B3536,'TRANS'!$A:$A,0)),IFERROR(INDEX('Catalog'!$B:$B,MATCH($G3536,'Catalog'!$A:$A,0)),$B3536))</f>
        <v>3623 כרית ליישור אצבע פטיש</v>
      </c>
      <c r="I3536" s="8" t="str">
        <f aca="false">IF($G3536="","Unmatched","Matched")</f>
        <v>Matched</v>
      </c>
      <c r="J3536" s="8" t="n">
        <f aca="false">IF($G3536&lt;&gt;"",$G3536,$B3536)</f>
        <v>4411001</v>
      </c>
      <c r="K3536" s="8" t="str">
        <f aca="false">IF(COUNTIF($M$1:$M$10,$A3536)&gt;0,"Y","N")</f>
        <v>N</v>
      </c>
    </row>
    <row r="3537" customFormat="false" ht="15" hidden="false" customHeight="true" outlineLevel="0" collapsed="false">
      <c r="A3537" s="8" t="s">
        <v>1084</v>
      </c>
      <c r="B3537" s="8" t="s">
        <v>59</v>
      </c>
      <c r="C3537" s="19" t="n">
        <v>70</v>
      </c>
      <c r="D3537" s="19" t="n">
        <v>830.35</v>
      </c>
      <c r="E3537" s="19" t="n">
        <v>70</v>
      </c>
      <c r="F3537" s="19" t="n">
        <v>763.06</v>
      </c>
      <c r="G3537" s="8" t="str">
        <f aca="false">IFERROR(INDEX('TRANS'!$B:$B,MATCH($B3537,'TRANS'!$A:$A,0)),IFERROR(INDEX('TRANS'!$B:$B,MATCH(TRIM(SUBSTITUTE($B3537,CHAR(160)," ")),'TRANS'!$D:$D,0)),IFERROR(INDEX('Catalog'!$A:$A,MATCH($B3537,'Catalog'!$B:$B,0)),IFERROR(INDEX('Catalog'!$A:$A,MATCH(TRIM(SUBSTITUTE($B3537,CHAR(160)," ")),'Catalog'!$C:$C,0)),""))))</f>
        <v/>
      </c>
      <c r="H3537" s="8" t="str">
        <f aca="false">IFERROR(INDEX('TRANS'!$C:$C,MATCH($B3537,'TRANS'!$A:$A,0)),IFERROR(INDEX('Catalog'!$B:$B,MATCH($G3537,'Catalog'!$A:$A,0)),$B3537))</f>
        <v>363 L/R</v>
      </c>
      <c r="I3537" s="8" t="str">
        <f aca="false">IF($G3537="","Unmatched","Matched")</f>
        <v>Unmatched</v>
      </c>
      <c r="J3537" s="8" t="str">
        <f aca="false">IF($G3537&lt;&gt;"",$G3537,$B3537)</f>
        <v>363 L/R</v>
      </c>
      <c r="K3537" s="8" t="str">
        <f aca="false">IF(COUNTIF($M$1:$M$10,$A3537)&gt;0,"Y","N")</f>
        <v>N</v>
      </c>
    </row>
    <row r="3538" customFormat="false" ht="15" hidden="false" customHeight="true" outlineLevel="0" collapsed="false">
      <c r="A3538" s="8" t="s">
        <v>1084</v>
      </c>
      <c r="B3538" s="8" t="s">
        <v>629</v>
      </c>
      <c r="C3538" s="19" t="n">
        <v>48</v>
      </c>
      <c r="D3538" s="19" t="n">
        <v>296.09</v>
      </c>
      <c r="E3538" s="19" t="n">
        <v>0</v>
      </c>
      <c r="F3538" s="19" t="n">
        <v>0</v>
      </c>
      <c r="G3538" s="8" t="n">
        <f aca="false">IFERROR(INDEX('TRANS'!$B:$B,MATCH($B3538,'TRANS'!$A:$A,0)),IFERROR(INDEX('TRANS'!$B:$B,MATCH(TRIM(SUBSTITUTE($B3538,CHAR(160)," ")),'TRANS'!$D:$D,0)),IFERROR(INDEX('Catalog'!$A:$A,MATCH($B3538,'Catalog'!$B:$B,0)),IFERROR(INDEX('Catalog'!$A:$A,MATCH(TRIM(SUBSTITUTE($B3538,CHAR(160)," ")),'Catalog'!$C:$C,0)),""))))</f>
        <v>4413059</v>
      </c>
      <c r="H3538" s="8" t="str">
        <f aca="false">IFERROR(INDEX('TRANS'!$C:$C,MATCH($B3538,'TRANS'!$A:$A,0)),IFERROR(INDEX('Catalog'!$B:$B,MATCH($G3538,'Catalog'!$A:$A,0)),$B3538))</f>
        <v>364S Lמפר.אצבע סיליק. ליבל.זוג</v>
      </c>
      <c r="I3538" s="8" t="str">
        <f aca="false">IF($G3538="","Unmatched","Matched")</f>
        <v>Matched</v>
      </c>
      <c r="J3538" s="8" t="n">
        <f aca="false">IF($G3538&lt;&gt;"",$G3538,$B3538)</f>
        <v>4413059</v>
      </c>
      <c r="K3538" s="8" t="str">
        <f aca="false">IF(COUNTIF($M$1:$M$10,$A3538)&gt;0,"Y","N")</f>
        <v>N</v>
      </c>
    </row>
    <row r="3539" customFormat="false" ht="15" hidden="false" customHeight="true" outlineLevel="0" collapsed="false">
      <c r="A3539" s="8" t="s">
        <v>1084</v>
      </c>
      <c r="B3539" s="8" t="s">
        <v>630</v>
      </c>
      <c r="C3539" s="19" t="n">
        <v>12</v>
      </c>
      <c r="D3539" s="19" t="n">
        <v>57.77</v>
      </c>
      <c r="E3539" s="19" t="n">
        <v>6</v>
      </c>
      <c r="F3539" s="19" t="n">
        <v>24.49</v>
      </c>
      <c r="G3539" s="8" t="n">
        <f aca="false">IFERROR(INDEX('TRANS'!$B:$B,MATCH($B3539,'TRANS'!$A:$A,0)),IFERROR(INDEX('TRANS'!$B:$B,MATCH(TRIM(SUBSTITUTE($B3539,CHAR(160)," ")),'TRANS'!$D:$D,0)),IFERROR(INDEX('Catalog'!$A:$A,MATCH($B3539,'Catalog'!$B:$B,0)),IFERROR(INDEX('Catalog'!$A:$A,MATCH(TRIM(SUBSTITUTE($B3539,CHAR(160)," ")),'Catalog'!$C:$C,0)),""))))</f>
        <v>4413060</v>
      </c>
      <c r="H3539" s="8" t="str">
        <f aca="false">IFERROR(INDEX('TRANS'!$C:$C,MATCH($B3539,'TRANS'!$A:$A,0)),IFERROR(INDEX('Catalog'!$B:$B,MATCH($G3539,'Catalog'!$A:$A,0)),$B3539))</f>
        <v>364 XLמפריד אצבע סיליקון ליבלת</v>
      </c>
      <c r="I3539" s="8" t="str">
        <f aca="false">IF($G3539="","Unmatched","Matched")</f>
        <v>Matched</v>
      </c>
      <c r="J3539" s="8" t="n">
        <f aca="false">IF($G3539&lt;&gt;"",$G3539,$B3539)</f>
        <v>4413060</v>
      </c>
      <c r="K3539" s="8" t="str">
        <f aca="false">IF(COUNTIF($M$1:$M$10,$A3539)&gt;0,"Y","N")</f>
        <v>N</v>
      </c>
    </row>
    <row r="3540" customFormat="false" ht="15" hidden="false" customHeight="true" outlineLevel="0" collapsed="false">
      <c r="A3540" s="8" t="s">
        <v>1084</v>
      </c>
      <c r="B3540" s="8" t="s">
        <v>631</v>
      </c>
      <c r="C3540" s="19" t="n">
        <v>15</v>
      </c>
      <c r="D3540" s="19" t="n">
        <v>119.33</v>
      </c>
      <c r="E3540" s="19" t="n">
        <v>0</v>
      </c>
      <c r="F3540" s="19" t="n">
        <v>0</v>
      </c>
      <c r="G3540" s="8" t="n">
        <f aca="false">IFERROR(INDEX('TRANS'!$B:$B,MATCH($B3540,'TRANS'!$A:$A,0)),IFERROR(INDEX('TRANS'!$B:$B,MATCH(TRIM(SUBSTITUTE($B3540,CHAR(160)," ")),'TRANS'!$D:$D,0)),IFERROR(INDEX('Catalog'!$A:$A,MATCH($B3540,'Catalog'!$B:$B,0)),IFERROR(INDEX('Catalog'!$A:$A,MATCH(TRIM(SUBSTITUTE($B3540,CHAR(160)," ")),'Catalog'!$C:$C,0)),""))))</f>
        <v>4413061</v>
      </c>
      <c r="H3540" s="8" t="str">
        <f aca="false">IFERROR(INDEX('TRANS'!$C:$C,MATCH($B3540,'TRANS'!$A:$A,0)),IFERROR(INDEX('Catalog'!$B:$B,MATCH($G3540,'Catalog'!$A:$A,0)),$B3540))</f>
        <v>3641-מיישר בוהן סיליקון קשיח</v>
      </c>
      <c r="I3540" s="8" t="str">
        <f aca="false">IF($G3540="","Unmatched","Matched")</f>
        <v>Matched</v>
      </c>
      <c r="J3540" s="8" t="n">
        <f aca="false">IF($G3540&lt;&gt;"",$G3540,$B3540)</f>
        <v>4413061</v>
      </c>
      <c r="K3540" s="8" t="str">
        <f aca="false">IF(COUNTIF($M$1:$M$10,$A3540)&gt;0,"Y","N")</f>
        <v>N</v>
      </c>
    </row>
    <row r="3541" customFormat="false" ht="15" hidden="false" customHeight="true" outlineLevel="0" collapsed="false">
      <c r="A3541" s="8" t="s">
        <v>1084</v>
      </c>
      <c r="B3541" s="8" t="s">
        <v>632</v>
      </c>
      <c r="C3541" s="19" t="n">
        <v>60</v>
      </c>
      <c r="D3541" s="19" t="n">
        <v>388.16</v>
      </c>
      <c r="E3541" s="19" t="n">
        <v>75</v>
      </c>
      <c r="F3541" s="19" t="n">
        <v>417.96</v>
      </c>
      <c r="G3541" s="8" t="n">
        <f aca="false">IFERROR(INDEX('TRANS'!$B:$B,MATCH($B3541,'TRANS'!$A:$A,0)),IFERROR(INDEX('TRANS'!$B:$B,MATCH(TRIM(SUBSTITUTE($B3541,CHAR(160)," ")),'TRANS'!$D:$D,0)),IFERROR(INDEX('Catalog'!$A:$A,MATCH($B3541,'Catalog'!$B:$B,0)),IFERROR(INDEX('Catalog'!$A:$A,MATCH(TRIM(SUBSTITUTE($B3541,CHAR(160)," ")),'Catalog'!$C:$C,0)),""))))</f>
        <v>4409000</v>
      </c>
      <c r="H3541" s="8" t="str">
        <f aca="false">IFERROR(INDEX('TRANS'!$C:$C,MATCH($B3541,'TRANS'!$A:$A,0)),IFERROR(INDEX('Catalog'!$B:$B,MATCH($G3541,'Catalog'!$A:$A,0)),$B3541))</f>
        <v>365 S-Lטבעת אלסטית מסיליקון</v>
      </c>
      <c r="I3541" s="8" t="str">
        <f aca="false">IF($G3541="","Unmatched","Matched")</f>
        <v>Matched</v>
      </c>
      <c r="J3541" s="8" t="n">
        <f aca="false">IF($G3541&lt;&gt;"",$G3541,$B3541)</f>
        <v>4409000</v>
      </c>
      <c r="K3541" s="8" t="str">
        <f aca="false">IF(COUNTIF($M$1:$M$10,$A3541)&gt;0,"Y","N")</f>
        <v>N</v>
      </c>
    </row>
    <row r="3542" customFormat="false" ht="15" hidden="false" customHeight="true" outlineLevel="0" collapsed="false">
      <c r="A3542" s="8" t="s">
        <v>1084</v>
      </c>
      <c r="B3542" s="8" t="s">
        <v>868</v>
      </c>
      <c r="C3542" s="19" t="n">
        <v>0</v>
      </c>
      <c r="D3542" s="19" t="n">
        <v>0</v>
      </c>
      <c r="E3542" s="19" t="n">
        <v>15</v>
      </c>
      <c r="F3542" s="19" t="n">
        <v>96.3</v>
      </c>
      <c r="G3542" s="8" t="n">
        <f aca="false">IFERROR(INDEX('TRANS'!$B:$B,MATCH($B3542,'TRANS'!$A:$A,0)),IFERROR(INDEX('TRANS'!$B:$B,MATCH(TRIM(SUBSTITUTE($B3542,CHAR(160)," ")),'TRANS'!$D:$D,0)),IFERROR(INDEX('Catalog'!$A:$A,MATCH($B3542,'Catalog'!$B:$B,0)),IFERROR(INDEX('Catalog'!$A:$A,MATCH(TRIM(SUBSTITUTE($B3542,CHAR(160)," ")),'Catalog'!$C:$C,0)),""))))</f>
        <v>4409001</v>
      </c>
      <c r="H3542" s="8" t="str">
        <f aca="false">IFERROR(INDEX('TRANS'!$C:$C,MATCH($B3542,'TRANS'!$A:$A,0)),IFERROR(INDEX('Catalog'!$B:$B,MATCH($G3542,'Catalog'!$A:$A,0)),$B3542))</f>
        <v>365  X-Lטבעת אלסטית מסיליקון</v>
      </c>
      <c r="I3542" s="8" t="str">
        <f aca="false">IF($G3542="","Unmatched","Matched")</f>
        <v>Matched</v>
      </c>
      <c r="J3542" s="8" t="n">
        <f aca="false">IF($G3542&lt;&gt;"",$G3542,$B3542)</f>
        <v>4409001</v>
      </c>
      <c r="K3542" s="8" t="str">
        <f aca="false">IF(COUNTIF($M$1:$M$10,$A3542)&gt;0,"Y","N")</f>
        <v>N</v>
      </c>
    </row>
    <row r="3543" customFormat="false" ht="15" hidden="false" customHeight="true" outlineLevel="0" collapsed="false">
      <c r="A3543" s="8" t="s">
        <v>1084</v>
      </c>
      <c r="B3543" s="8" t="s">
        <v>633</v>
      </c>
      <c r="C3543" s="19" t="n">
        <v>420</v>
      </c>
      <c r="D3543" s="19" t="n">
        <v>3674.31</v>
      </c>
      <c r="E3543" s="19" t="n">
        <v>410</v>
      </c>
      <c r="F3543" s="19" t="n">
        <v>3258.95</v>
      </c>
      <c r="G3543" s="8" t="n">
        <f aca="false">IFERROR(INDEX('TRANS'!$B:$B,MATCH($B3543,'TRANS'!$A:$A,0)),IFERROR(INDEX('TRANS'!$B:$B,MATCH(TRIM(SUBSTITUTE($B3543,CHAR(160)," ")),'TRANS'!$D:$D,0)),IFERROR(INDEX('Catalog'!$A:$A,MATCH($B3543,'Catalog'!$B:$B,0)),IFERROR(INDEX('Catalog'!$A:$A,MATCH(TRIM(SUBSTITUTE($B3543,CHAR(160)," ")),'Catalog'!$C:$C,0)),""))))</f>
        <v>4421000</v>
      </c>
      <c r="H3543" s="8" t="str">
        <f aca="false">IFERROR(INDEX('TRANS'!$C:$C,MATCH($B3543,'TRANS'!$A:$A,0)),IFERROR(INDEX('Catalog'!$B:$B,MATCH($G3543,'Catalog'!$A:$A,0)),$B3543))</f>
        <v>3655 שרוול מסיליקון לאצבע</v>
      </c>
      <c r="I3543" s="8" t="str">
        <f aca="false">IF($G3543="","Unmatched","Matched")</f>
        <v>Matched</v>
      </c>
      <c r="J3543" s="8" t="n">
        <f aca="false">IF($G3543&lt;&gt;"",$G3543,$B3543)</f>
        <v>4421000</v>
      </c>
      <c r="K3543" s="8" t="str">
        <f aca="false">IF(COUNTIF($M$1:$M$10,$A3543)&gt;0,"Y","N")</f>
        <v>N</v>
      </c>
    </row>
    <row r="3544" customFormat="false" ht="15" hidden="false" customHeight="true" outlineLevel="0" collapsed="false">
      <c r="A3544" s="8" t="s">
        <v>1084</v>
      </c>
      <c r="B3544" s="8" t="s">
        <v>636</v>
      </c>
      <c r="C3544" s="19" t="n">
        <v>10</v>
      </c>
      <c r="D3544" s="19" t="n">
        <v>68.97</v>
      </c>
      <c r="E3544" s="19" t="n">
        <v>15</v>
      </c>
      <c r="F3544" s="19" t="n">
        <v>99.16</v>
      </c>
      <c r="G3544" s="8" t="n">
        <f aca="false">IFERROR(INDEX('TRANS'!$B:$B,MATCH($B3544,'TRANS'!$A:$A,0)),IFERROR(INDEX('TRANS'!$B:$B,MATCH(TRIM(SUBSTITUTE($B3544,CHAR(160)," ")),'TRANS'!$D:$D,0)),IFERROR(INDEX('Catalog'!$A:$A,MATCH($B3544,'Catalog'!$B:$B,0)),IFERROR(INDEX('Catalog'!$A:$A,MATCH(TRIM(SUBSTITUTE($B3544,CHAR(160)," ")),'Catalog'!$C:$C,0)),""))))</f>
        <v>4413063</v>
      </c>
      <c r="H3544" s="8" t="str">
        <f aca="false">IFERROR(INDEX('TRANS'!$C:$C,MATCH($B3544,'TRANS'!$A:$A,0)),IFERROR(INDEX('Catalog'!$B:$B,MATCH($G3544,'Catalog'!$A:$A,0)),$B3544))</f>
        <v>366S-'מדבק.לשחרור לחץ מיבלת2יח</v>
      </c>
      <c r="I3544" s="8" t="str">
        <f aca="false">IF($G3544="","Unmatched","Matched")</f>
        <v>Matched</v>
      </c>
      <c r="J3544" s="8" t="n">
        <f aca="false">IF($G3544&lt;&gt;"",$G3544,$B3544)</f>
        <v>4413063</v>
      </c>
      <c r="K3544" s="8" t="str">
        <f aca="false">IF(COUNTIF($M$1:$M$10,$A3544)&gt;0,"Y","N")</f>
        <v>N</v>
      </c>
    </row>
    <row r="3545" customFormat="false" ht="15" hidden="false" customHeight="true" outlineLevel="0" collapsed="false">
      <c r="A3545" s="8" t="s">
        <v>1084</v>
      </c>
      <c r="B3545" s="8" t="s">
        <v>638</v>
      </c>
      <c r="C3545" s="19" t="n">
        <v>40</v>
      </c>
      <c r="D3545" s="19" t="n">
        <v>611.26</v>
      </c>
      <c r="E3545" s="19" t="n">
        <v>35</v>
      </c>
      <c r="F3545" s="19" t="n">
        <v>538.91</v>
      </c>
      <c r="G3545" s="8" t="n">
        <f aca="false">IFERROR(INDEX('TRANS'!$B:$B,MATCH($B3545,'TRANS'!$A:$A,0)),IFERROR(INDEX('TRANS'!$B:$B,MATCH(TRIM(SUBSTITUTE($B3545,CHAR(160)," ")),'TRANS'!$D:$D,0)),IFERROR(INDEX('Catalog'!$A:$A,MATCH($B3545,'Catalog'!$B:$B,0)),IFERROR(INDEX('Catalog'!$A:$A,MATCH(TRIM(SUBSTITUTE($B3545,CHAR(160)," ")),'Catalog'!$C:$C,0)),""))))</f>
        <v>4413370</v>
      </c>
      <c r="H3545" s="8" t="str">
        <f aca="false">IFERROR(INDEX('TRANS'!$C:$C,MATCH($B3545,'TRANS'!$A:$A,0)),IFERROR(INDEX('Catalog'!$B:$B,MATCH($G3545,'Catalog'!$A:$A,0)),$B3545))</f>
        <v>3674 0 מ.בוניון+מפריד אצבע</v>
      </c>
      <c r="I3545" s="8" t="str">
        <f aca="false">IF($G3545="","Unmatched","Matched")</f>
        <v>Matched</v>
      </c>
      <c r="J3545" s="8" t="n">
        <f aca="false">IF($G3545&lt;&gt;"",$G3545,$B3545)</f>
        <v>4413370</v>
      </c>
      <c r="K3545" s="8" t="str">
        <f aca="false">IF(COUNTIF($M$1:$M$10,$A3545)&gt;0,"Y","N")</f>
        <v>N</v>
      </c>
    </row>
    <row r="3546" customFormat="false" ht="15" hidden="false" customHeight="true" outlineLevel="0" collapsed="false">
      <c r="A3546" s="8" t="s">
        <v>1084</v>
      </c>
      <c r="B3546" s="8" t="s">
        <v>639</v>
      </c>
      <c r="C3546" s="19" t="n">
        <v>25</v>
      </c>
      <c r="D3546" s="19" t="n">
        <v>314.42</v>
      </c>
      <c r="E3546" s="19" t="n">
        <v>20</v>
      </c>
      <c r="F3546" s="19" t="n">
        <v>251.91</v>
      </c>
      <c r="G3546" s="8" t="n">
        <f aca="false">IFERROR(INDEX('TRANS'!$B:$B,MATCH($B3546,'TRANS'!$A:$A,0)),IFERROR(INDEX('TRANS'!$B:$B,MATCH(TRIM(SUBSTITUTE($B3546,CHAR(160)," ")),'TRANS'!$D:$D,0)),IFERROR(INDEX('Catalog'!$A:$A,MATCH($B3546,'Catalog'!$B:$B,0)),IFERROR(INDEX('Catalog'!$A:$A,MATCH(TRIM(SUBSTITUTE($B3546,CHAR(160)," ")),'Catalog'!$C:$C,0)),""))))</f>
        <v>4413371</v>
      </c>
      <c r="H3546" s="8" t="str">
        <f aca="false">IFERROR(INDEX('TRANS'!$C:$C,MATCH($B3546,'TRANS'!$A:$A,0)),IFERROR(INDEX('Catalog'!$B:$B,MATCH($G3546,'Catalog'!$A:$A,0)),$B3546))</f>
        <v>3675    מגן זרת מסיליקון</v>
      </c>
      <c r="I3546" s="8" t="str">
        <f aca="false">IF($G3546="","Unmatched","Matched")</f>
        <v>Matched</v>
      </c>
      <c r="J3546" s="8" t="n">
        <f aca="false">IF($G3546&lt;&gt;"",$G3546,$B3546)</f>
        <v>4413371</v>
      </c>
      <c r="K3546" s="8" t="str">
        <f aca="false">IF(COUNTIF($M$1:$M$10,$A3546)&gt;0,"Y","N")</f>
        <v>N</v>
      </c>
    </row>
    <row r="3547" customFormat="false" ht="15" hidden="false" customHeight="true" outlineLevel="0" collapsed="false">
      <c r="A3547" s="8" t="s">
        <v>1084</v>
      </c>
      <c r="B3547" s="8" t="s">
        <v>986</v>
      </c>
      <c r="C3547" s="19" t="n">
        <v>17</v>
      </c>
      <c r="D3547" s="19" t="n">
        <v>168.8</v>
      </c>
      <c r="E3547" s="19" t="n">
        <v>20</v>
      </c>
      <c r="F3547" s="19" t="n">
        <v>178.77</v>
      </c>
      <c r="G3547" s="8" t="n">
        <f aca="false">IFERROR(INDEX('TRANS'!$B:$B,MATCH($B3547,'TRANS'!$A:$A,0)),IFERROR(INDEX('TRANS'!$B:$B,MATCH(TRIM(SUBSTITUTE($B3547,CHAR(160)," ")),'TRANS'!$D:$D,0)),IFERROR(INDEX('Catalog'!$A:$A,MATCH($B3547,'Catalog'!$B:$B,0)),IFERROR(INDEX('Catalog'!$A:$A,MATCH(TRIM(SUBSTITUTE($B3547,CHAR(160)," ")),'Catalog'!$C:$C,0)),""))))</f>
        <v>4413066</v>
      </c>
      <c r="H3547" s="8" t="str">
        <f aca="false">IFERROR(INDEX('TRANS'!$C:$C,MATCH($B3547,'TRANS'!$A:$A,0)),IFERROR(INDEX('Catalog'!$B:$B,MATCH($G3547,'Catalog'!$A:$A,0)),$B3547))</f>
        <v>3677S-מד.לשחרור לחץ א.הבוניון</v>
      </c>
      <c r="I3547" s="8" t="str">
        <f aca="false">IF($G3547="","Unmatched","Matched")</f>
        <v>Matched</v>
      </c>
      <c r="J3547" s="8" t="n">
        <f aca="false">IF($G3547&lt;&gt;"",$G3547,$B3547)</f>
        <v>4413066</v>
      </c>
      <c r="K3547" s="8" t="str">
        <f aca="false">IF(COUNTIF($M$1:$M$10,$A3547)&gt;0,"Y","N")</f>
        <v>N</v>
      </c>
    </row>
    <row r="3548" customFormat="false" ht="15" hidden="false" customHeight="true" outlineLevel="0" collapsed="false">
      <c r="A3548" s="8" t="s">
        <v>1084</v>
      </c>
      <c r="B3548" s="8" t="s">
        <v>640</v>
      </c>
      <c r="C3548" s="19" t="n">
        <v>54</v>
      </c>
      <c r="D3548" s="19" t="n">
        <v>498.41</v>
      </c>
      <c r="E3548" s="19" t="n">
        <v>30</v>
      </c>
      <c r="F3548" s="19" t="n">
        <v>267.86</v>
      </c>
      <c r="G3548" s="8" t="n">
        <f aca="false">IFERROR(INDEX('TRANS'!$B:$B,MATCH($B3548,'TRANS'!$A:$A,0)),IFERROR(INDEX('TRANS'!$B:$B,MATCH(TRIM(SUBSTITUTE($B3548,CHAR(160)," ")),'TRANS'!$D:$D,0)),IFERROR(INDEX('Catalog'!$A:$A,MATCH($B3548,'Catalog'!$B:$B,0)),IFERROR(INDEX('Catalog'!$A:$A,MATCH(TRIM(SUBSTITUTE($B3548,CHAR(160)," ")),'Catalog'!$C:$C,0)),""))))</f>
        <v>4401000</v>
      </c>
      <c r="H3548" s="8" t="str">
        <f aca="false">IFERROR(INDEX('TRANS'!$C:$C,MATCH($B3548,'TRANS'!$A:$A,0)),IFERROR(INDEX('Catalog'!$B:$B,MATCH($G3548,'Catalog'!$A:$A,0)),$B3548))</f>
        <v>369  S-L אצבעון מסיליקון יחידה</v>
      </c>
      <c r="I3548" s="8" t="str">
        <f aca="false">IF($G3548="","Unmatched","Matched")</f>
        <v>Matched</v>
      </c>
      <c r="J3548" s="8" t="n">
        <f aca="false">IF($G3548&lt;&gt;"",$G3548,$B3548)</f>
        <v>4401000</v>
      </c>
      <c r="K3548" s="8" t="str">
        <f aca="false">IF(COUNTIF($M$1:$M$10,$A3548)&gt;0,"Y","N")</f>
        <v>N</v>
      </c>
    </row>
    <row r="3549" customFormat="false" ht="15" hidden="false" customHeight="true" outlineLevel="0" collapsed="false">
      <c r="A3549" s="8" t="s">
        <v>1084</v>
      </c>
      <c r="B3549" s="8" t="s">
        <v>641</v>
      </c>
      <c r="C3549" s="19" t="n">
        <v>36</v>
      </c>
      <c r="D3549" s="19" t="n">
        <v>395.39</v>
      </c>
      <c r="E3549" s="19" t="n">
        <v>35</v>
      </c>
      <c r="F3549" s="19" t="n">
        <v>373.58</v>
      </c>
      <c r="G3549" s="8" t="n">
        <f aca="false">IFERROR(INDEX('TRANS'!$B:$B,MATCH($B3549,'TRANS'!$A:$A,0)),IFERROR(INDEX('TRANS'!$B:$B,MATCH(TRIM(SUBSTITUTE($B3549,CHAR(160)," ")),'TRANS'!$D:$D,0)),IFERROR(INDEX('Catalog'!$A:$A,MATCH($B3549,'Catalog'!$B:$B,0)),IFERROR(INDEX('Catalog'!$A:$A,MATCH(TRIM(SUBSTITUTE($B3549,CHAR(160)," ")),'Catalog'!$C:$C,0)),""))))</f>
        <v>4401001</v>
      </c>
      <c r="H3549" s="8" t="str">
        <f aca="false">IFERROR(INDEX('TRANS'!$C:$C,MATCH($B3549,'TRANS'!$A:$A,0)),IFERROR(INDEX('Catalog'!$B:$B,MATCH($G3549,'Catalog'!$A:$A,0)),$B3549))</f>
        <v>369   XL אצבעון מסיליקון יחידה</v>
      </c>
      <c r="I3549" s="8" t="str">
        <f aca="false">IF($G3549="","Unmatched","Matched")</f>
        <v>Matched</v>
      </c>
      <c r="J3549" s="8" t="n">
        <f aca="false">IF($G3549&lt;&gt;"",$G3549,$B3549)</f>
        <v>4401001</v>
      </c>
      <c r="K3549" s="8" t="str">
        <f aca="false">IF(COUNTIF($M$1:$M$10,$A3549)&gt;0,"Y","N")</f>
        <v>N</v>
      </c>
    </row>
    <row r="3550" customFormat="false" ht="15" hidden="false" customHeight="true" outlineLevel="0" collapsed="false">
      <c r="A3550" s="8" t="s">
        <v>1084</v>
      </c>
      <c r="B3550" s="8" t="s">
        <v>642</v>
      </c>
      <c r="C3550" s="19" t="n">
        <v>10</v>
      </c>
      <c r="D3550" s="19" t="n">
        <v>82.73</v>
      </c>
      <c r="E3550" s="19" t="n">
        <v>0</v>
      </c>
      <c r="F3550" s="19" t="n">
        <v>0</v>
      </c>
      <c r="G3550" s="8" t="n">
        <f aca="false">IFERROR(INDEX('TRANS'!$B:$B,MATCH($B3550,'TRANS'!$A:$A,0)),IFERROR(INDEX('TRANS'!$B:$B,MATCH(TRIM(SUBSTITUTE($B3550,CHAR(160)," ")),'TRANS'!$D:$D,0)),IFERROR(INDEX('Catalog'!$A:$A,MATCH($B3550,'Catalog'!$B:$B,0)),IFERROR(INDEX('Catalog'!$A:$A,MATCH(TRIM(SUBSTITUTE($B3550,CHAR(160)," ")),'Catalog'!$C:$C,0)),""))))</f>
        <v>4420000</v>
      </c>
      <c r="H3550" s="8" t="str">
        <f aca="false">IFERROR(INDEX('TRANS'!$C:$C,MATCH($B3550,'TRANS'!$A:$A,0)),IFERROR(INDEX('Catalog'!$B:$B,MATCH($G3550,'Catalog'!$A:$A,0)),$B3550))</f>
        <v>370  רפידת נוחות-זוג</v>
      </c>
      <c r="I3550" s="8" t="str">
        <f aca="false">IF($G3550="","Unmatched","Matched")</f>
        <v>Matched</v>
      </c>
      <c r="J3550" s="8" t="n">
        <f aca="false">IF($G3550&lt;&gt;"",$G3550,$B3550)</f>
        <v>4420000</v>
      </c>
      <c r="K3550" s="8" t="str">
        <f aca="false">IF(COUNTIF($M$1:$M$10,$A3550)&gt;0,"Y","N")</f>
        <v>N</v>
      </c>
    </row>
    <row r="3551" customFormat="false" ht="15" hidden="false" customHeight="true" outlineLevel="0" collapsed="false">
      <c r="A3551" s="8" t="s">
        <v>1084</v>
      </c>
      <c r="B3551" s="8" t="s">
        <v>644</v>
      </c>
      <c r="C3551" s="19" t="n">
        <v>10</v>
      </c>
      <c r="D3551" s="19" t="n">
        <v>82.73</v>
      </c>
      <c r="E3551" s="19" t="n">
        <v>0</v>
      </c>
      <c r="F3551" s="19" t="n">
        <v>0</v>
      </c>
      <c r="G3551" s="8" t="n">
        <f aca="false">IFERROR(INDEX('TRANS'!$B:$B,MATCH($B3551,'TRANS'!$A:$A,0)),IFERROR(INDEX('TRANS'!$B:$B,MATCH(TRIM(SUBSTITUTE($B3551,CHAR(160)," ")),'TRANS'!$D:$D,0)),IFERROR(INDEX('Catalog'!$A:$A,MATCH($B3551,'Catalog'!$B:$B,0)),IFERROR(INDEX('Catalog'!$A:$A,MATCH(TRIM(SUBSTITUTE($B3551,CHAR(160)," ")),'Catalog'!$C:$C,0)),""))))</f>
        <v>4420001</v>
      </c>
      <c r="H3551" s="8" t="str">
        <f aca="false">IFERROR(INDEX('TRANS'!$C:$C,MATCH($B3551,'TRANS'!$A:$A,0)),IFERROR(INDEX('Catalog'!$B:$B,MATCH($G3551,'Catalog'!$A:$A,0)),$B3551))</f>
        <v>371 רפידת מגבת כותנה-זוג</v>
      </c>
      <c r="I3551" s="8" t="str">
        <f aca="false">IF($G3551="","Unmatched","Matched")</f>
        <v>Matched</v>
      </c>
      <c r="J3551" s="8" t="n">
        <f aca="false">IF($G3551&lt;&gt;"",$G3551,$B3551)</f>
        <v>4420001</v>
      </c>
      <c r="K3551" s="8" t="str">
        <f aca="false">IF(COUNTIF($M$1:$M$10,$A3551)&gt;0,"Y","N")</f>
        <v>N</v>
      </c>
    </row>
    <row r="3552" customFormat="false" ht="15" hidden="false" customHeight="true" outlineLevel="0" collapsed="false">
      <c r="A3552" s="8" t="s">
        <v>1084</v>
      </c>
      <c r="B3552" s="8" t="s">
        <v>645</v>
      </c>
      <c r="C3552" s="19" t="n">
        <v>10</v>
      </c>
      <c r="D3552" s="19" t="n">
        <v>98.64</v>
      </c>
      <c r="E3552" s="19" t="n">
        <v>0</v>
      </c>
      <c r="F3552" s="19" t="n">
        <v>0</v>
      </c>
      <c r="G3552" s="8" t="n">
        <f aca="false">IFERROR(INDEX('TRANS'!$B:$B,MATCH($B3552,'TRANS'!$A:$A,0)),IFERROR(INDEX('TRANS'!$B:$B,MATCH(TRIM(SUBSTITUTE($B3552,CHAR(160)," ")),'TRANS'!$D:$D,0)),IFERROR(INDEX('Catalog'!$A:$A,MATCH($B3552,'Catalog'!$B:$B,0)),IFERROR(INDEX('Catalog'!$A:$A,MATCH(TRIM(SUBSTITUTE($B3552,CHAR(160)," ")),'Catalog'!$C:$C,0)),""))))</f>
        <v>4420002</v>
      </c>
      <c r="H3552" s="8" t="str">
        <f aca="false">IFERROR(INDEX('TRANS'!$C:$C,MATCH($B3552,'TRANS'!$A:$A,0)),IFERROR(INDEX('Catalog'!$B:$B,MATCH($G3552,'Catalog'!$A:$A,0)),$B3552))</f>
        <v>372 רפידת אנטי ריח -זוג</v>
      </c>
      <c r="I3552" s="8" t="str">
        <f aca="false">IF($G3552="","Unmatched","Matched")</f>
        <v>Matched</v>
      </c>
      <c r="J3552" s="8" t="n">
        <f aca="false">IF($G3552&lt;&gt;"",$G3552,$B3552)</f>
        <v>4420002</v>
      </c>
      <c r="K3552" s="8" t="str">
        <f aca="false">IF(COUNTIF($M$1:$M$10,$A3552)&gt;0,"Y","N")</f>
        <v>N</v>
      </c>
    </row>
    <row r="3553" customFormat="false" ht="15" hidden="false" customHeight="true" outlineLevel="0" collapsed="false">
      <c r="A3553" s="8" t="s">
        <v>1084</v>
      </c>
      <c r="B3553" s="8" t="s">
        <v>646</v>
      </c>
      <c r="C3553" s="19" t="n">
        <v>10</v>
      </c>
      <c r="D3553" s="19" t="n">
        <v>98.64</v>
      </c>
      <c r="E3553" s="19" t="n">
        <v>0</v>
      </c>
      <c r="F3553" s="19" t="n">
        <v>0</v>
      </c>
      <c r="G3553" s="8" t="n">
        <f aca="false">IFERROR(INDEX('TRANS'!$B:$B,MATCH($B3553,'TRANS'!$A:$A,0)),IFERROR(INDEX('TRANS'!$B:$B,MATCH(TRIM(SUBSTITUTE($B3553,CHAR(160)," ")),'TRANS'!$D:$D,0)),IFERROR(INDEX('Catalog'!$A:$A,MATCH($B3553,'Catalog'!$B:$B,0)),IFERROR(INDEX('Catalog'!$A:$A,MATCH(TRIM(SUBSTITUTE($B3553,CHAR(160)," ")),'Catalog'!$C:$C,0)),""))))</f>
        <v>4420003</v>
      </c>
      <c r="H3553" s="8" t="str">
        <f aca="false">IFERROR(INDEX('TRANS'!$C:$C,MATCH($B3553,'TRANS'!$A:$A,0)),IFERROR(INDEX('Catalog'!$B:$B,MATCH($G3553,'Catalog'!$A:$A,0)),$B3553))</f>
        <v>374 רפידת בולמת זעזועים -זוג</v>
      </c>
      <c r="I3553" s="8" t="str">
        <f aca="false">IF($G3553="","Unmatched","Matched")</f>
        <v>Matched</v>
      </c>
      <c r="J3553" s="8" t="n">
        <f aca="false">IF($G3553&lt;&gt;"",$G3553,$B3553)</f>
        <v>4420003</v>
      </c>
      <c r="K3553" s="8" t="str">
        <f aca="false">IF(COUNTIF($M$1:$M$10,$A3553)&gt;0,"Y","N")</f>
        <v>N</v>
      </c>
    </row>
    <row r="3554" customFormat="false" ht="15" hidden="false" customHeight="true" outlineLevel="0" collapsed="false">
      <c r="A3554" s="8" t="s">
        <v>1084</v>
      </c>
      <c r="B3554" s="8" t="s">
        <v>264</v>
      </c>
      <c r="C3554" s="19" t="n">
        <v>0</v>
      </c>
      <c r="D3554" s="19" t="n">
        <v>0</v>
      </c>
      <c r="E3554" s="19" t="n">
        <v>20</v>
      </c>
      <c r="F3554" s="19" t="n">
        <v>264.44</v>
      </c>
      <c r="G3554" s="8" t="str">
        <f aca="false">IFERROR(INDEX('TRANS'!$B:$B,MATCH($B3554,'TRANS'!$A:$A,0)),IFERROR(INDEX('TRANS'!$B:$B,MATCH(TRIM(SUBSTITUTE($B3554,CHAR(160)," ")),'TRANS'!$D:$D,0)),IFERROR(INDEX('Catalog'!$A:$A,MATCH($B3554,'Catalog'!$B:$B,0)),IFERROR(INDEX('Catalog'!$A:$A,MATCH(TRIM(SUBSTITUTE($B3554,CHAR(160)," ")),'Catalog'!$C:$C,0)),""))))</f>
        <v/>
      </c>
      <c r="H3554" s="8" t="str">
        <f aca="false">IFERROR(INDEX('TRANS'!$C:$C,MATCH($B3554,'TRANS'!$A:$A,0)),IFERROR(INDEX('Catalog'!$B:$B,MATCH($G3554,'Catalog'!$A:$A,0)),$B3554))</f>
        <v>376-35-37</v>
      </c>
      <c r="I3554" s="8" t="str">
        <f aca="false">IF($G3554="","Unmatched","Matched")</f>
        <v>Unmatched</v>
      </c>
      <c r="J3554" s="8" t="str">
        <f aca="false">IF($G3554&lt;&gt;"",$G3554,$B3554)</f>
        <v>376-35-37</v>
      </c>
      <c r="K3554" s="8" t="str">
        <f aca="false">IF(COUNTIF($M$1:$M$10,$A3554)&gt;0,"Y","N")</f>
        <v>N</v>
      </c>
    </row>
    <row r="3555" customFormat="false" ht="15" hidden="false" customHeight="true" outlineLevel="0" collapsed="false">
      <c r="A3555" s="8" t="s">
        <v>1084</v>
      </c>
      <c r="B3555" s="8" t="s">
        <v>121</v>
      </c>
      <c r="C3555" s="19" t="n">
        <v>40</v>
      </c>
      <c r="D3555" s="19" t="n">
        <v>551.76</v>
      </c>
      <c r="E3555" s="19" t="n">
        <v>0</v>
      </c>
      <c r="F3555" s="19" t="n">
        <v>0</v>
      </c>
      <c r="G3555" s="8" t="str">
        <f aca="false">IFERROR(INDEX('TRANS'!$B:$B,MATCH($B3555,'TRANS'!$A:$A,0)),IFERROR(INDEX('TRANS'!$B:$B,MATCH(TRIM(SUBSTITUTE($B3555,CHAR(160)," ")),'TRANS'!$D:$D,0)),IFERROR(INDEX('Catalog'!$A:$A,MATCH($B3555,'Catalog'!$B:$B,0)),IFERROR(INDEX('Catalog'!$A:$A,MATCH(TRIM(SUBSTITUTE($B3555,CHAR(160)," ")),'Catalog'!$C:$C,0)),""))))</f>
        <v/>
      </c>
      <c r="H3555" s="8" t="str">
        <f aca="false">IFERROR(INDEX('TRANS'!$C:$C,MATCH($B3555,'TRANS'!$A:$A,0)),IFERROR(INDEX('Catalog'!$B:$B,MATCH($G3555,'Catalog'!$A:$A,0)),$B3555))</f>
        <v>376-38-40</v>
      </c>
      <c r="I3555" s="8" t="str">
        <f aca="false">IF($G3555="","Unmatched","Matched")</f>
        <v>Unmatched</v>
      </c>
      <c r="J3555" s="8" t="str">
        <f aca="false">IF($G3555&lt;&gt;"",$G3555,$B3555)</f>
        <v>376-38-40</v>
      </c>
      <c r="K3555" s="8" t="str">
        <f aca="false">IF(COUNTIF($M$1:$M$10,$A3555)&gt;0,"Y","N")</f>
        <v>N</v>
      </c>
    </row>
    <row r="3556" customFormat="false" ht="15" hidden="false" customHeight="true" outlineLevel="0" collapsed="false">
      <c r="A3556" s="8" t="s">
        <v>1084</v>
      </c>
      <c r="B3556" s="8" t="s">
        <v>78</v>
      </c>
      <c r="C3556" s="19" t="n">
        <v>50</v>
      </c>
      <c r="D3556" s="19" t="n">
        <v>689.7</v>
      </c>
      <c r="E3556" s="19" t="n">
        <v>30</v>
      </c>
      <c r="F3556" s="19" t="n">
        <v>398.45</v>
      </c>
      <c r="G3556" s="8" t="str">
        <f aca="false">IFERROR(INDEX('TRANS'!$B:$B,MATCH($B3556,'TRANS'!$A:$A,0)),IFERROR(INDEX('TRANS'!$B:$B,MATCH(TRIM(SUBSTITUTE($B3556,CHAR(160)," ")),'TRANS'!$D:$D,0)),IFERROR(INDEX('Catalog'!$A:$A,MATCH($B3556,'Catalog'!$B:$B,0)),IFERROR(INDEX('Catalog'!$A:$A,MATCH(TRIM(SUBSTITUTE($B3556,CHAR(160)," ")),'Catalog'!$C:$C,0)),""))))</f>
        <v/>
      </c>
      <c r="H3556" s="8" t="str">
        <f aca="false">IFERROR(INDEX('TRANS'!$C:$C,MATCH($B3556,'TRANS'!$A:$A,0)),IFERROR(INDEX('Catalog'!$B:$B,MATCH($G3556,'Catalog'!$A:$A,0)),$B3556))</f>
        <v>376-41-43</v>
      </c>
      <c r="I3556" s="8" t="str">
        <f aca="false">IF($G3556="","Unmatched","Matched")</f>
        <v>Unmatched</v>
      </c>
      <c r="J3556" s="8" t="str">
        <f aca="false">IF($G3556&lt;&gt;"",$G3556,$B3556)</f>
        <v>376-41-43</v>
      </c>
      <c r="K3556" s="8" t="str">
        <f aca="false">IF(COUNTIF($M$1:$M$10,$A3556)&gt;0,"Y","N")</f>
        <v>N</v>
      </c>
    </row>
    <row r="3557" customFormat="false" ht="15" hidden="false" customHeight="true" outlineLevel="0" collapsed="false">
      <c r="A3557" s="8" t="s">
        <v>1084</v>
      </c>
      <c r="B3557" s="8" t="s">
        <v>81</v>
      </c>
      <c r="C3557" s="19" t="n">
        <v>5</v>
      </c>
      <c r="D3557" s="19" t="n">
        <v>68.97</v>
      </c>
      <c r="E3557" s="19" t="n">
        <v>35</v>
      </c>
      <c r="F3557" s="19" t="n">
        <v>486.46</v>
      </c>
      <c r="G3557" s="8" t="str">
        <f aca="false">IFERROR(INDEX('TRANS'!$B:$B,MATCH($B3557,'TRANS'!$A:$A,0)),IFERROR(INDEX('TRANS'!$B:$B,MATCH(TRIM(SUBSTITUTE($B3557,CHAR(160)," ")),'TRANS'!$D:$D,0)),IFERROR(INDEX('Catalog'!$A:$A,MATCH($B3557,'Catalog'!$B:$B,0)),IFERROR(INDEX('Catalog'!$A:$A,MATCH(TRIM(SUBSTITUTE($B3557,CHAR(160)," ")),'Catalog'!$C:$C,0)),""))))</f>
        <v/>
      </c>
      <c r="H3557" s="8" t="str">
        <f aca="false">IFERROR(INDEX('TRANS'!$C:$C,MATCH($B3557,'TRANS'!$A:$A,0)),IFERROR(INDEX('Catalog'!$B:$B,MATCH($G3557,'Catalog'!$A:$A,0)),$B3557))</f>
        <v>376-44-45</v>
      </c>
      <c r="I3557" s="8" t="str">
        <f aca="false">IF($G3557="","Unmatched","Matched")</f>
        <v>Unmatched</v>
      </c>
      <c r="J3557" s="8" t="str">
        <f aca="false">IF($G3557&lt;&gt;"",$G3557,$B3557)</f>
        <v>376-44-45</v>
      </c>
      <c r="K3557" s="8" t="str">
        <f aca="false">IF(COUNTIF($M$1:$M$10,$A3557)&gt;0,"Y","N")</f>
        <v>N</v>
      </c>
    </row>
    <row r="3558" customFormat="false" ht="15" hidden="false" customHeight="true" outlineLevel="0" collapsed="false">
      <c r="A3558" s="8" t="s">
        <v>1084</v>
      </c>
      <c r="B3558" s="8" t="s">
        <v>869</v>
      </c>
      <c r="C3558" s="19" t="n">
        <v>6</v>
      </c>
      <c r="D3558" s="19" t="n">
        <v>249.57</v>
      </c>
      <c r="E3558" s="19" t="n">
        <v>0</v>
      </c>
      <c r="F3558" s="19" t="n">
        <v>0</v>
      </c>
      <c r="G3558" s="8" t="n">
        <f aca="false">IFERROR(INDEX('TRANS'!$B:$B,MATCH($B3558,'TRANS'!$A:$A,0)),IFERROR(INDEX('TRANS'!$B:$B,MATCH(TRIM(SUBSTITUTE($B3558,CHAR(160)," ")),'TRANS'!$D:$D,0)),IFERROR(INDEX('Catalog'!$A:$A,MATCH($B3558,'Catalog'!$B:$B,0)),IFERROR(INDEX('Catalog'!$A:$A,MATCH(TRIM(SUBSTITUTE($B3558,CHAR(160)," ")),'Catalog'!$C:$C,0)),""))))</f>
        <v>4413523</v>
      </c>
      <c r="H3558" s="8" t="str">
        <f aca="false">IFERROR(INDEX('TRANS'!$C:$C,MATCH($B3558,'TRANS'!$A:$A,0)),IFERROR(INDEX('Catalog'!$B:$B,MATCH($G3558,'Catalog'!$A:$A,0)),$B3558))</f>
        <v>35-38 מדרסי אפיק ג'ל נוחות</v>
      </c>
      <c r="I3558" s="8" t="str">
        <f aca="false">IF($G3558="","Unmatched","Matched")</f>
        <v>Matched</v>
      </c>
      <c r="J3558" s="8" t="n">
        <f aca="false">IF($G3558&lt;&gt;"",$G3558,$B3558)</f>
        <v>4413523</v>
      </c>
      <c r="K3558" s="8" t="str">
        <f aca="false">IF(COUNTIF($M$1:$M$10,$A3558)&gt;0,"Y","N")</f>
        <v>N</v>
      </c>
    </row>
    <row r="3559" customFormat="false" ht="15" hidden="false" customHeight="true" outlineLevel="0" collapsed="false">
      <c r="A3559" s="8" t="s">
        <v>1084</v>
      </c>
      <c r="B3559" s="8" t="s">
        <v>870</v>
      </c>
      <c r="C3559" s="19" t="n">
        <v>7</v>
      </c>
      <c r="D3559" s="19" t="n">
        <v>249.6</v>
      </c>
      <c r="E3559" s="19" t="n">
        <v>5</v>
      </c>
      <c r="F3559" s="19" t="n">
        <v>179.19</v>
      </c>
      <c r="G3559" s="8" t="n">
        <f aca="false">IFERROR(INDEX('TRANS'!$B:$B,MATCH($B3559,'TRANS'!$A:$A,0)),IFERROR(INDEX('TRANS'!$B:$B,MATCH(TRIM(SUBSTITUTE($B3559,CHAR(160)," ")),'TRANS'!$D:$D,0)),IFERROR(INDEX('Catalog'!$A:$A,MATCH($B3559,'Catalog'!$B:$B,0)),IFERROR(INDEX('Catalog'!$A:$A,MATCH(TRIM(SUBSTITUTE($B3559,CHAR(160)," ")),'Catalog'!$C:$C,0)),""))))</f>
        <v>4413524</v>
      </c>
      <c r="H3559" s="8" t="str">
        <f aca="false">IFERROR(INDEX('TRANS'!$C:$C,MATCH($B3559,'TRANS'!$A:$A,0)),IFERROR(INDEX('Catalog'!$B:$B,MATCH($G3559,'Catalog'!$A:$A,0)),$B3559))</f>
        <v>39-42 מדרסי אפיק ג'ל נוחות</v>
      </c>
      <c r="I3559" s="8" t="str">
        <f aca="false">IF($G3559="","Unmatched","Matched")</f>
        <v>Matched</v>
      </c>
      <c r="J3559" s="8" t="n">
        <f aca="false">IF($G3559&lt;&gt;"",$G3559,$B3559)</f>
        <v>4413524</v>
      </c>
      <c r="K3559" s="8" t="str">
        <f aca="false">IF(COUNTIF($M$1:$M$10,$A3559)&gt;0,"Y","N")</f>
        <v>N</v>
      </c>
    </row>
    <row r="3560" customFormat="false" ht="15" hidden="false" customHeight="true" outlineLevel="0" collapsed="false">
      <c r="A3560" s="8" t="s">
        <v>1084</v>
      </c>
      <c r="B3560" s="8" t="s">
        <v>871</v>
      </c>
      <c r="C3560" s="19" t="n">
        <v>3</v>
      </c>
      <c r="D3560" s="19" t="n">
        <v>124.79</v>
      </c>
      <c r="E3560" s="19" t="n">
        <v>10</v>
      </c>
      <c r="F3560" s="19" t="n">
        <v>358.38</v>
      </c>
      <c r="G3560" s="8" t="n">
        <f aca="false">IFERROR(INDEX('TRANS'!$B:$B,MATCH($B3560,'TRANS'!$A:$A,0)),IFERROR(INDEX('TRANS'!$B:$B,MATCH(TRIM(SUBSTITUTE($B3560,CHAR(160)," ")),'TRANS'!$D:$D,0)),IFERROR(INDEX('Catalog'!$A:$A,MATCH($B3560,'Catalog'!$B:$B,0)),IFERROR(INDEX('Catalog'!$A:$A,MATCH(TRIM(SUBSTITUTE($B3560,CHAR(160)," ")),'Catalog'!$C:$C,0)),""))))</f>
        <v>4413525</v>
      </c>
      <c r="H3560" s="8" t="str">
        <f aca="false">IFERROR(INDEX('TRANS'!$C:$C,MATCH($B3560,'TRANS'!$A:$A,0)),IFERROR(INDEX('Catalog'!$B:$B,MATCH($G3560,'Catalog'!$A:$A,0)),$B3560))</f>
        <v>43-47 מדרסי אפיק ג'ל נוחות</v>
      </c>
      <c r="I3560" s="8" t="str">
        <f aca="false">IF($G3560="","Unmatched","Matched")</f>
        <v>Matched</v>
      </c>
      <c r="J3560" s="8" t="n">
        <f aca="false">IF($G3560&lt;&gt;"",$G3560,$B3560)</f>
        <v>4413525</v>
      </c>
      <c r="K3560" s="8" t="str">
        <f aca="false">IF(COUNTIF($M$1:$M$10,$A3560)&gt;0,"Y","N")</f>
        <v>N</v>
      </c>
    </row>
    <row r="3561" customFormat="false" ht="15" hidden="false" customHeight="true" outlineLevel="0" collapsed="false">
      <c r="A3561" s="8" t="s">
        <v>1084</v>
      </c>
      <c r="B3561" s="8" t="s">
        <v>872</v>
      </c>
      <c r="C3561" s="19" t="n">
        <v>6</v>
      </c>
      <c r="D3561" s="19" t="n">
        <v>249.57</v>
      </c>
      <c r="E3561" s="19" t="n">
        <v>0</v>
      </c>
      <c r="F3561" s="19" t="n">
        <v>0</v>
      </c>
      <c r="G3561" s="8" t="n">
        <f aca="false">IFERROR(INDEX('TRANS'!$B:$B,MATCH($B3561,'TRANS'!$A:$A,0)),IFERROR(INDEX('TRANS'!$B:$B,MATCH(TRIM(SUBSTITUTE($B3561,CHAR(160)," ")),'TRANS'!$D:$D,0)),IFERROR(INDEX('Catalog'!$A:$A,MATCH($B3561,'Catalog'!$B:$B,0)),IFERROR(INDEX('Catalog'!$A:$A,MATCH(TRIM(SUBSTITUTE($B3561,CHAR(160)," ")),'Catalog'!$C:$C,0)),""))))</f>
        <v>4413520</v>
      </c>
      <c r="H3561" s="8" t="str">
        <f aca="false">IFERROR(INDEX('TRANS'!$C:$C,MATCH($B3561,'TRANS'!$A:$A,0)),IFERROR(INDEX('Catalog'!$B:$B,MATCH($G3561,'Catalog'!$A:$A,0)),$B3561))</f>
        <v>מדרסי אפיק ג'ל מולט.ספורט35-38</v>
      </c>
      <c r="I3561" s="8" t="str">
        <f aca="false">IF($G3561="","Unmatched","Matched")</f>
        <v>Matched</v>
      </c>
      <c r="J3561" s="8" t="n">
        <f aca="false">IF($G3561&lt;&gt;"",$G3561,$B3561)</f>
        <v>4413520</v>
      </c>
      <c r="K3561" s="8" t="str">
        <f aca="false">IF(COUNTIF($M$1:$M$10,$A3561)&gt;0,"Y","N")</f>
        <v>N</v>
      </c>
    </row>
    <row r="3562" customFormat="false" ht="15" hidden="false" customHeight="true" outlineLevel="0" collapsed="false">
      <c r="A3562" s="8" t="s">
        <v>1084</v>
      </c>
      <c r="B3562" s="8" t="s">
        <v>873</v>
      </c>
      <c r="C3562" s="19" t="n">
        <v>6</v>
      </c>
      <c r="D3562" s="19" t="n">
        <v>249.57</v>
      </c>
      <c r="E3562" s="19" t="n">
        <v>3</v>
      </c>
      <c r="F3562" s="19" t="n">
        <v>107.51</v>
      </c>
      <c r="G3562" s="8" t="n">
        <f aca="false">IFERROR(INDEX('TRANS'!$B:$B,MATCH($B3562,'TRANS'!$A:$A,0)),IFERROR(INDEX('TRANS'!$B:$B,MATCH(TRIM(SUBSTITUTE($B3562,CHAR(160)," ")),'TRANS'!$D:$D,0)),IFERROR(INDEX('Catalog'!$A:$A,MATCH($B3562,'Catalog'!$B:$B,0)),IFERROR(INDEX('Catalog'!$A:$A,MATCH(TRIM(SUBSTITUTE($B3562,CHAR(160)," ")),'Catalog'!$C:$C,0)),""))))</f>
        <v>4413521</v>
      </c>
      <c r="H3562" s="8" t="str">
        <f aca="false">IFERROR(INDEX('TRANS'!$C:$C,MATCH($B3562,'TRANS'!$A:$A,0)),IFERROR(INDEX('Catalog'!$B:$B,MATCH($G3562,'Catalog'!$A:$A,0)),$B3562))</f>
        <v>מדרסי אפיק ג'ל מולטי ספור39-42</v>
      </c>
      <c r="I3562" s="8" t="str">
        <f aca="false">IF($G3562="","Unmatched","Matched")</f>
        <v>Matched</v>
      </c>
      <c r="J3562" s="8" t="n">
        <f aca="false">IF($G3562&lt;&gt;"",$G3562,$B3562)</f>
        <v>4413521</v>
      </c>
      <c r="K3562" s="8" t="str">
        <f aca="false">IF(COUNTIF($M$1:$M$10,$A3562)&gt;0,"Y","N")</f>
        <v>N</v>
      </c>
    </row>
    <row r="3563" customFormat="false" ht="15" hidden="false" customHeight="true" outlineLevel="0" collapsed="false">
      <c r="A3563" s="8" t="s">
        <v>1084</v>
      </c>
      <c r="B3563" s="8" t="s">
        <v>874</v>
      </c>
      <c r="C3563" s="19" t="n">
        <v>4</v>
      </c>
      <c r="D3563" s="19" t="n">
        <v>124.82</v>
      </c>
      <c r="E3563" s="19" t="n">
        <v>3</v>
      </c>
      <c r="F3563" s="19" t="n">
        <v>107.51</v>
      </c>
      <c r="G3563" s="8" t="n">
        <f aca="false">IFERROR(INDEX('TRANS'!$B:$B,MATCH($B3563,'TRANS'!$A:$A,0)),IFERROR(INDEX('TRANS'!$B:$B,MATCH(TRIM(SUBSTITUTE($B3563,CHAR(160)," ")),'TRANS'!$D:$D,0)),IFERROR(INDEX('Catalog'!$A:$A,MATCH($B3563,'Catalog'!$B:$B,0)),IFERROR(INDEX('Catalog'!$A:$A,MATCH(TRIM(SUBSTITUTE($B3563,CHAR(160)," ")),'Catalog'!$C:$C,0)),""))))</f>
        <v>4413522</v>
      </c>
      <c r="H3563" s="8" t="str">
        <f aca="false">IFERROR(INDEX('TRANS'!$C:$C,MATCH($B3563,'TRANS'!$A:$A,0)),IFERROR(INDEX('Catalog'!$B:$B,MATCH($G3563,'Catalog'!$A:$A,0)),$B3563))</f>
        <v>מדרסי אפיק ג'ל מולט.ספורט43-47</v>
      </c>
      <c r="I3563" s="8" t="str">
        <f aca="false">IF($G3563="","Unmatched","Matched")</f>
        <v>Matched</v>
      </c>
      <c r="J3563" s="8" t="n">
        <f aca="false">IF($G3563&lt;&gt;"",$G3563,$B3563)</f>
        <v>4413522</v>
      </c>
      <c r="K3563" s="8" t="str">
        <f aca="false">IF(COUNTIF($M$1:$M$10,$A3563)&gt;0,"Y","N")</f>
        <v>N</v>
      </c>
    </row>
    <row r="3564" customFormat="false" ht="15" hidden="false" customHeight="true" outlineLevel="0" collapsed="false">
      <c r="A3564" s="8" t="s">
        <v>1084</v>
      </c>
      <c r="B3564" s="8" t="s">
        <v>875</v>
      </c>
      <c r="C3564" s="19" t="n">
        <v>6</v>
      </c>
      <c r="D3564" s="19" t="n">
        <v>249.57</v>
      </c>
      <c r="E3564" s="19" t="n">
        <v>5</v>
      </c>
      <c r="F3564" s="19" t="n">
        <v>179.19</v>
      </c>
      <c r="G3564" s="8" t="n">
        <f aca="false">IFERROR(INDEX('TRANS'!$B:$B,MATCH($B3564,'TRANS'!$A:$A,0)),IFERROR(INDEX('TRANS'!$B:$B,MATCH(TRIM(SUBSTITUTE($B3564,CHAR(160)," ")),'TRANS'!$D:$D,0)),IFERROR(INDEX('Catalog'!$A:$A,MATCH($B3564,'Catalog'!$B:$B,0)),IFERROR(INDEX('Catalog'!$A:$A,MATCH(TRIM(SUBSTITUTE($B3564,CHAR(160)," ")),'Catalog'!$C:$C,0)),""))))</f>
        <v>4413527</v>
      </c>
      <c r="H3564" s="8" t="str">
        <f aca="false">IFERROR(INDEX('TRANS'!$C:$C,MATCH($B3564,'TRANS'!$A:$A,0)),IFERROR(INDEX('Catalog'!$B:$B,MATCH($G3564,'Catalog'!$A:$A,0)),$B3564))</f>
        <v>35-38 מדרסי אפיק ג'ל עבודה</v>
      </c>
      <c r="I3564" s="8" t="str">
        <f aca="false">IF($G3564="","Unmatched","Matched")</f>
        <v>Matched</v>
      </c>
      <c r="J3564" s="8" t="n">
        <f aca="false">IF($G3564&lt;&gt;"",$G3564,$B3564)</f>
        <v>4413527</v>
      </c>
      <c r="K3564" s="8" t="str">
        <f aca="false">IF(COUNTIF($M$1:$M$10,$A3564)&gt;0,"Y","N")</f>
        <v>N</v>
      </c>
    </row>
    <row r="3565" customFormat="false" ht="15" hidden="false" customHeight="true" outlineLevel="0" collapsed="false">
      <c r="A3565" s="8" t="s">
        <v>1084</v>
      </c>
      <c r="B3565" s="8" t="s">
        <v>876</v>
      </c>
      <c r="C3565" s="19" t="n">
        <v>7</v>
      </c>
      <c r="D3565" s="19" t="n">
        <v>249.6</v>
      </c>
      <c r="E3565" s="19" t="n">
        <v>10</v>
      </c>
      <c r="F3565" s="19" t="n">
        <v>358.38</v>
      </c>
      <c r="G3565" s="8" t="n">
        <f aca="false">IFERROR(INDEX('TRANS'!$B:$B,MATCH($B3565,'TRANS'!$A:$A,0)),IFERROR(INDEX('TRANS'!$B:$B,MATCH(TRIM(SUBSTITUTE($B3565,CHAR(160)," ")),'TRANS'!$D:$D,0)),IFERROR(INDEX('Catalog'!$A:$A,MATCH($B3565,'Catalog'!$B:$B,0)),IFERROR(INDEX('Catalog'!$A:$A,MATCH(TRIM(SUBSTITUTE($B3565,CHAR(160)," ")),'Catalog'!$C:$C,0)),""))))</f>
        <v>4413528</v>
      </c>
      <c r="H3565" s="8" t="str">
        <f aca="false">IFERROR(INDEX('TRANS'!$C:$C,MATCH($B3565,'TRANS'!$A:$A,0)),IFERROR(INDEX('Catalog'!$B:$B,MATCH($G3565,'Catalog'!$A:$A,0)),$B3565))</f>
        <v>39-42 מדרסי אפיק ג'ל עבודה</v>
      </c>
      <c r="I3565" s="8" t="str">
        <f aca="false">IF($G3565="","Unmatched","Matched")</f>
        <v>Matched</v>
      </c>
      <c r="J3565" s="8" t="n">
        <f aca="false">IF($G3565&lt;&gt;"",$G3565,$B3565)</f>
        <v>4413528</v>
      </c>
      <c r="K3565" s="8" t="str">
        <f aca="false">IF(COUNTIF($M$1:$M$10,$A3565)&gt;0,"Y","N")</f>
        <v>N</v>
      </c>
    </row>
    <row r="3566" customFormat="false" ht="15" hidden="false" customHeight="true" outlineLevel="0" collapsed="false">
      <c r="A3566" s="8" t="s">
        <v>1084</v>
      </c>
      <c r="B3566" s="8" t="s">
        <v>877</v>
      </c>
      <c r="C3566" s="19" t="n">
        <v>3</v>
      </c>
      <c r="D3566" s="19" t="n">
        <v>124.79</v>
      </c>
      <c r="E3566" s="19" t="n">
        <v>10</v>
      </c>
      <c r="F3566" s="19" t="n">
        <v>358.38</v>
      </c>
      <c r="G3566" s="8" t="n">
        <f aca="false">IFERROR(INDEX('TRANS'!$B:$B,MATCH($B3566,'TRANS'!$A:$A,0)),IFERROR(INDEX('TRANS'!$B:$B,MATCH(TRIM(SUBSTITUTE($B3566,CHAR(160)," ")),'TRANS'!$D:$D,0)),IFERROR(INDEX('Catalog'!$A:$A,MATCH($B3566,'Catalog'!$B:$B,0)),IFERROR(INDEX('Catalog'!$A:$A,MATCH(TRIM(SUBSTITUTE($B3566,CHAR(160)," ")),'Catalog'!$C:$C,0)),""))))</f>
        <v>4413529</v>
      </c>
      <c r="H3566" s="8" t="str">
        <f aca="false">IFERROR(INDEX('TRANS'!$C:$C,MATCH($B3566,'TRANS'!$A:$A,0)),IFERROR(INDEX('Catalog'!$B:$B,MATCH($G3566,'Catalog'!$A:$A,0)),$B3566))</f>
        <v>43-47 מדרסי אפיק ג'ל עבודה</v>
      </c>
      <c r="I3566" s="8" t="str">
        <f aca="false">IF($G3566="","Unmatched","Matched")</f>
        <v>Matched</v>
      </c>
      <c r="J3566" s="8" t="n">
        <f aca="false">IF($G3566&lt;&gt;"",$G3566,$B3566)</f>
        <v>4413529</v>
      </c>
      <c r="K3566" s="8" t="str">
        <f aca="false">IF(COUNTIF($M$1:$M$10,$A3566)&gt;0,"Y","N")</f>
        <v>N</v>
      </c>
    </row>
    <row r="3567" customFormat="false" ht="15" hidden="false" customHeight="true" outlineLevel="0" collapsed="false">
      <c r="A3567" s="8" t="s">
        <v>1084</v>
      </c>
      <c r="B3567" s="8" t="s">
        <v>648</v>
      </c>
      <c r="C3567" s="19" t="n">
        <v>20</v>
      </c>
      <c r="D3567" s="19" t="n">
        <v>605.85</v>
      </c>
      <c r="E3567" s="19" t="n">
        <v>75</v>
      </c>
      <c r="F3567" s="19" t="n">
        <v>2281.75</v>
      </c>
      <c r="G3567" s="8" t="n">
        <f aca="false">IFERROR(INDEX('TRANS'!$B:$B,MATCH($B3567,'TRANS'!$A:$A,0)),IFERROR(INDEX('TRANS'!$B:$B,MATCH(TRIM(SUBSTITUTE($B3567,CHAR(160)," ")),'TRANS'!$D:$D,0)),IFERROR(INDEX('Catalog'!$A:$A,MATCH($B3567,'Catalog'!$B:$B,0)),IFERROR(INDEX('Catalog'!$A:$A,MATCH(TRIM(SUBSTITUTE($B3567,CHAR(160)," ")),'Catalog'!$C:$C,0)),""))))</f>
        <v>4408069</v>
      </c>
      <c r="H3567" s="8" t="str">
        <f aca="false">IFERROR(INDEX('TRANS'!$C:$C,MATCH($B3567,'TRANS'!$A:$A,0)),IFERROR(INDEX('Catalog'!$B:$B,MATCH($G3567,'Catalog'!$A:$A,0)),$B3567))</f>
        <v>38 .חבישת""""הלוקס ולגוס""""לאחר נית</v>
      </c>
      <c r="I3567" s="8" t="str">
        <f aca="false">IF($G3567="","Unmatched","Matched")</f>
        <v>Matched</v>
      </c>
      <c r="J3567" s="8" t="n">
        <f aca="false">IF($G3567&lt;&gt;"",$G3567,$B3567)</f>
        <v>4408069</v>
      </c>
      <c r="K3567" s="8" t="str">
        <f aca="false">IF(COUNTIF($M$1:$M$10,$A3567)&gt;0,"Y","N")</f>
        <v>N</v>
      </c>
    </row>
    <row r="3568" customFormat="false" ht="15" hidden="false" customHeight="true" outlineLevel="0" collapsed="false">
      <c r="A3568" s="8" t="s">
        <v>1084</v>
      </c>
      <c r="B3568" s="8" t="s">
        <v>649</v>
      </c>
      <c r="C3568" s="19" t="n">
        <v>54</v>
      </c>
      <c r="D3568" s="19" t="n">
        <v>874.13</v>
      </c>
      <c r="E3568" s="19" t="n">
        <v>46</v>
      </c>
      <c r="F3568" s="19" t="n">
        <v>722.12</v>
      </c>
      <c r="G3568" s="8" t="n">
        <f aca="false">IFERROR(INDEX('TRANS'!$B:$B,MATCH($B3568,'TRANS'!$A:$A,0)),IFERROR(INDEX('TRANS'!$B:$B,MATCH(TRIM(SUBSTITUTE($B3568,CHAR(160)," ")),'TRANS'!$D:$D,0)),IFERROR(INDEX('Catalog'!$A:$A,MATCH($B3568,'Catalog'!$B:$B,0)),IFERROR(INDEX('Catalog'!$A:$A,MATCH(TRIM(SUBSTITUTE($B3568,CHAR(160)," ")),'Catalog'!$C:$C,0)),""))))</f>
        <v>4413452</v>
      </c>
      <c r="H3568" s="8" t="str">
        <f aca="false">IFERROR(INDEX('TRANS'!$C:$C,MATCH($B3568,'TRANS'!$A:$A,0)),IFERROR(INDEX('Catalog'!$B:$B,MATCH($G3568,'Catalog'!$A:$A,0)),$B3568))</f>
        <v>386  מיישר בוניון-האלוקס ולגוס</v>
      </c>
      <c r="I3568" s="8" t="str">
        <f aca="false">IF($G3568="","Unmatched","Matched")</f>
        <v>Matched</v>
      </c>
      <c r="J3568" s="8" t="n">
        <f aca="false">IF($G3568&lt;&gt;"",$G3568,$B3568)</f>
        <v>4413452</v>
      </c>
      <c r="K3568" s="8" t="str">
        <f aca="false">IF(COUNTIF($M$1:$M$10,$A3568)&gt;0,"Y","N")</f>
        <v>N</v>
      </c>
    </row>
    <row r="3569" customFormat="false" ht="15" hidden="false" customHeight="true" outlineLevel="0" collapsed="false">
      <c r="A3569" s="8" t="s">
        <v>1084</v>
      </c>
      <c r="B3569" s="8" t="s">
        <v>650</v>
      </c>
      <c r="C3569" s="19" t="n">
        <v>1</v>
      </c>
      <c r="D3569" s="19" t="n">
        <v>0.03</v>
      </c>
      <c r="E3569" s="19" t="n">
        <v>0</v>
      </c>
      <c r="F3569" s="19" t="n">
        <v>0</v>
      </c>
      <c r="G3569" s="8" t="n">
        <f aca="false">IFERROR(INDEX('TRANS'!$B:$B,MATCH($B3569,'TRANS'!$A:$A,0)),IFERROR(INDEX('TRANS'!$B:$B,MATCH(TRIM(SUBSTITUTE($B3569,CHAR(160)," ")),'TRANS'!$D:$D,0)),IFERROR(INDEX('Catalog'!$A:$A,MATCH($B3569,'Catalog'!$B:$B,0)),IFERROR(INDEX('Catalog'!$A:$A,MATCH(TRIM(SUBSTITUTE($B3569,CHAR(160)," ")),'Catalog'!$C:$C,0)),""))))</f>
        <v>4415298</v>
      </c>
      <c r="H3569" s="8" t="str">
        <f aca="false">IFERROR(INDEX('TRANS'!$C:$C,MATCH($B3569,'TRANS'!$A:$A,0)),IFERROR(INDEX('Catalog'!$B:$B,MATCH($G3569,'Catalog'!$A:$A,0)),$B3569))</f>
        <v>388B L סד לילה שחור לבוהן שמאל</v>
      </c>
      <c r="I3569" s="8" t="str">
        <f aca="false">IF($G3569="","Unmatched","Matched")</f>
        <v>Matched</v>
      </c>
      <c r="J3569" s="8" t="n">
        <f aca="false">IF($G3569&lt;&gt;"",$G3569,$B3569)</f>
        <v>4415298</v>
      </c>
      <c r="K3569" s="8" t="str">
        <f aca="false">IF(COUNTIF($M$1:$M$10,$A3569)&gt;0,"Y","N")</f>
        <v>N</v>
      </c>
    </row>
    <row r="3570" customFormat="false" ht="15" hidden="false" customHeight="true" outlineLevel="0" collapsed="false">
      <c r="A3570" s="8" t="s">
        <v>1084</v>
      </c>
      <c r="B3570" s="8" t="s">
        <v>651</v>
      </c>
      <c r="C3570" s="19" t="n">
        <v>1</v>
      </c>
      <c r="D3570" s="19" t="n">
        <v>0.03</v>
      </c>
      <c r="E3570" s="19" t="n">
        <v>0</v>
      </c>
      <c r="F3570" s="19" t="n">
        <v>0</v>
      </c>
      <c r="G3570" s="8" t="n">
        <f aca="false">IFERROR(INDEX('TRANS'!$B:$B,MATCH($B3570,'TRANS'!$A:$A,0)),IFERROR(INDEX('TRANS'!$B:$B,MATCH(TRIM(SUBSTITUTE($B3570,CHAR(160)," ")),'TRANS'!$D:$D,0)),IFERROR(INDEX('Catalog'!$A:$A,MATCH($B3570,'Catalog'!$B:$B,0)),IFERROR(INDEX('Catalog'!$A:$A,MATCH(TRIM(SUBSTITUTE($B3570,CHAR(160)," ")),'Catalog'!$C:$C,0)),""))))</f>
        <v>4415299</v>
      </c>
      <c r="H3570" s="8" t="str">
        <f aca="false">IFERROR(INDEX('TRANS'!$C:$C,MATCH($B3570,'TRANS'!$A:$A,0)),IFERROR(INDEX('Catalog'!$B:$B,MATCH($G3570,'Catalog'!$A:$A,0)),$B3570))</f>
        <v>388B L סד לילה שחור לבוהן ימין</v>
      </c>
      <c r="I3570" s="8" t="str">
        <f aca="false">IF($G3570="","Unmatched","Matched")</f>
        <v>Matched</v>
      </c>
      <c r="J3570" s="8" t="n">
        <f aca="false">IF($G3570&lt;&gt;"",$G3570,$B3570)</f>
        <v>4415299</v>
      </c>
      <c r="K3570" s="8" t="str">
        <f aca="false">IF(COUNTIF($M$1:$M$10,$A3570)&gt;0,"Y","N")</f>
        <v>N</v>
      </c>
    </row>
    <row r="3571" customFormat="false" ht="15" hidden="false" customHeight="true" outlineLevel="0" collapsed="false">
      <c r="A3571" s="8" t="s">
        <v>1084</v>
      </c>
      <c r="B3571" s="8" t="s">
        <v>372</v>
      </c>
      <c r="C3571" s="19" t="n">
        <v>1</v>
      </c>
      <c r="D3571" s="19" t="n">
        <v>0.03</v>
      </c>
      <c r="E3571" s="19" t="n">
        <v>0</v>
      </c>
      <c r="F3571" s="19" t="n">
        <v>0</v>
      </c>
      <c r="G3571" s="8" t="str">
        <f aca="false">IFERROR(INDEX('TRANS'!$B:$B,MATCH($B3571,'TRANS'!$A:$A,0)),IFERROR(INDEX('TRANS'!$B:$B,MATCH(TRIM(SUBSTITUTE($B3571,CHAR(160)," ")),'TRANS'!$D:$D,0)),IFERROR(INDEX('Catalog'!$A:$A,MATCH($B3571,'Catalog'!$B:$B,0)),IFERROR(INDEX('Catalog'!$A:$A,MATCH(TRIM(SUBSTITUTE($B3571,CHAR(160)," ")),'Catalog'!$C:$C,0)),""))))</f>
        <v/>
      </c>
      <c r="H3571" s="8" t="str">
        <f aca="false">IFERROR(INDEX('TRANS'!$C:$C,MATCH($B3571,'TRANS'!$A:$A,0)),IFERROR(INDEX('Catalog'!$B:$B,MATCH($G3571,'Catalog'!$A:$A,0)),$B3571))</f>
        <v>391W-39-42</v>
      </c>
      <c r="I3571" s="8" t="str">
        <f aca="false">IF($G3571="","Unmatched","Matched")</f>
        <v>Unmatched</v>
      </c>
      <c r="J3571" s="8" t="str">
        <f aca="false">IF($G3571&lt;&gt;"",$G3571,$B3571)</f>
        <v>391W-39-42</v>
      </c>
      <c r="K3571" s="8" t="str">
        <f aca="false">IF(COUNTIF($M$1:$M$10,$A3571)&gt;0,"Y","N")</f>
        <v>N</v>
      </c>
    </row>
    <row r="3572" customFormat="false" ht="15" hidden="false" customHeight="true" outlineLevel="0" collapsed="false">
      <c r="A3572" s="8" t="s">
        <v>1084</v>
      </c>
      <c r="B3572" s="8" t="s">
        <v>665</v>
      </c>
      <c r="C3572" s="19" t="n">
        <v>1</v>
      </c>
      <c r="D3572" s="19" t="n">
        <v>0.03</v>
      </c>
      <c r="E3572" s="19" t="n">
        <v>0</v>
      </c>
      <c r="F3572" s="19" t="n">
        <v>0</v>
      </c>
      <c r="G3572" s="8" t="n">
        <f aca="false">IFERROR(INDEX('TRANS'!$B:$B,MATCH($B3572,'TRANS'!$A:$A,0)),IFERROR(INDEX('TRANS'!$B:$B,MATCH(TRIM(SUBSTITUTE($B3572,CHAR(160)," ")),'TRANS'!$D:$D,0)),IFERROR(INDEX('Catalog'!$A:$A,MATCH($B3572,'Catalog'!$B:$B,0)),IFERROR(INDEX('Catalog'!$A:$A,MATCH(TRIM(SUBSTITUTE($B3572,CHAR(160)," ")),'Catalog'!$C:$C,0)),""))))</f>
        <v>4403045</v>
      </c>
      <c r="H3572" s="8" t="str">
        <f aca="false">IFERROR(INDEX('TRANS'!$C:$C,MATCH($B3572,'TRANS'!$A:$A,0)),IFERROR(INDEX('Catalog'!$B:$B,MATCH($G3572,'Catalog'!$A:$A,0)),$B3572))</f>
        <v>395B גרבי קיץ אנטי בקטריא43-46</v>
      </c>
      <c r="I3572" s="8" t="str">
        <f aca="false">IF($G3572="","Unmatched","Matched")</f>
        <v>Matched</v>
      </c>
      <c r="J3572" s="8" t="n">
        <f aca="false">IF($G3572&lt;&gt;"",$G3572,$B3572)</f>
        <v>4403045</v>
      </c>
      <c r="K3572" s="8" t="str">
        <f aca="false">IF(COUNTIF($M$1:$M$10,$A3572)&gt;0,"Y","N")</f>
        <v>N</v>
      </c>
    </row>
    <row r="3573" customFormat="false" ht="15" hidden="false" customHeight="true" outlineLevel="0" collapsed="false">
      <c r="A3573" s="8" t="s">
        <v>1084</v>
      </c>
      <c r="B3573" s="8" t="s">
        <v>667</v>
      </c>
      <c r="C3573" s="19" t="n">
        <v>1</v>
      </c>
      <c r="D3573" s="19" t="n">
        <v>0.03</v>
      </c>
      <c r="E3573" s="19" t="n">
        <v>0</v>
      </c>
      <c r="F3573" s="19" t="n">
        <v>0</v>
      </c>
      <c r="G3573" s="8" t="n">
        <f aca="false">IFERROR(INDEX('TRANS'!$B:$B,MATCH($B3573,'TRANS'!$A:$A,0)),IFERROR(INDEX('TRANS'!$B:$B,MATCH(TRIM(SUBSTITUTE($B3573,CHAR(160)," ")),'TRANS'!$D:$D,0)),IFERROR(INDEX('Catalog'!$A:$A,MATCH($B3573,'Catalog'!$B:$B,0)),IFERROR(INDEX('Catalog'!$A:$A,MATCH(TRIM(SUBSTITUTE($B3573,CHAR(160)," ")),'Catalog'!$C:$C,0)),""))))</f>
        <v>4403041</v>
      </c>
      <c r="H3573" s="8" t="str">
        <f aca="false">IFERROR(INDEX('TRANS'!$C:$C,MATCH($B3573,'TRANS'!$A:$A,0)),IFERROR(INDEX('Catalog'!$B:$B,MATCH($G3573,'Catalog'!$A:$A,0)),$B3573))</f>
        <v>397A-גרבי טיסה אנטי בקטרי35-38</v>
      </c>
      <c r="I3573" s="8" t="str">
        <f aca="false">IF($G3573="","Unmatched","Matched")</f>
        <v>Matched</v>
      </c>
      <c r="J3573" s="8" t="n">
        <f aca="false">IF($G3573&lt;&gt;"",$G3573,$B3573)</f>
        <v>4403041</v>
      </c>
      <c r="K3573" s="8" t="str">
        <f aca="false">IF(COUNTIF($M$1:$M$10,$A3573)&gt;0,"Y","N")</f>
        <v>N</v>
      </c>
    </row>
    <row r="3574" customFormat="false" ht="15" hidden="false" customHeight="true" outlineLevel="0" collapsed="false">
      <c r="A3574" s="8" t="s">
        <v>1084</v>
      </c>
      <c r="B3574" s="8" t="s">
        <v>670</v>
      </c>
      <c r="C3574" s="19" t="n">
        <v>60</v>
      </c>
      <c r="D3574" s="19" t="n">
        <v>1363.08</v>
      </c>
      <c r="E3574" s="19" t="n">
        <v>40</v>
      </c>
      <c r="F3574" s="19" t="n">
        <v>818.01</v>
      </c>
      <c r="G3574" s="8" t="n">
        <f aca="false">IFERROR(INDEX('TRANS'!$B:$B,MATCH($B3574,'TRANS'!$A:$A,0)),IFERROR(INDEX('TRANS'!$B:$B,MATCH(TRIM(SUBSTITUTE($B3574,CHAR(160)," ")),'TRANS'!$D:$D,0)),IFERROR(INDEX('Catalog'!$A:$A,MATCH($B3574,'Catalog'!$B:$B,0)),IFERROR(INDEX('Catalog'!$A:$A,MATCH(TRIM(SUBSTITUTE($B3574,CHAR(160)," ")),'Catalog'!$C:$C,0)),""))))</f>
        <v>4420016</v>
      </c>
      <c r="H3574" s="8" t="str">
        <f aca="false">IFERROR(INDEX('TRANS'!$C:$C,MATCH($B3574,'TRANS'!$A:$A,0)),IFERROR(INDEX('Catalog'!$B:$B,MATCH($G3574,'Catalog'!$A:$A,0)),$B3574))</f>
        <v>40-רצועת פיקה לברך</v>
      </c>
      <c r="I3574" s="8" t="str">
        <f aca="false">IF($G3574="","Unmatched","Matched")</f>
        <v>Matched</v>
      </c>
      <c r="J3574" s="8" t="n">
        <f aca="false">IF($G3574&lt;&gt;"",$G3574,$B3574)</f>
        <v>4420016</v>
      </c>
      <c r="K3574" s="8" t="str">
        <f aca="false">IF(COUNTIF($M$1:$M$10,$A3574)&gt;0,"Y","N")</f>
        <v>N</v>
      </c>
    </row>
    <row r="3575" customFormat="false" ht="15" hidden="false" customHeight="true" outlineLevel="0" collapsed="false">
      <c r="A3575" s="8" t="s">
        <v>1084</v>
      </c>
      <c r="B3575" s="8" t="s">
        <v>797</v>
      </c>
      <c r="C3575" s="19" t="n">
        <v>6</v>
      </c>
      <c r="D3575" s="19" t="n">
        <v>305.12</v>
      </c>
      <c r="E3575" s="19" t="n">
        <v>0</v>
      </c>
      <c r="F3575" s="19" t="n">
        <v>0</v>
      </c>
      <c r="G3575" s="8" t="n">
        <f aca="false">IFERROR(INDEX('TRANS'!$B:$B,MATCH($B3575,'TRANS'!$A:$A,0)),IFERROR(INDEX('TRANS'!$B:$B,MATCH(TRIM(SUBSTITUTE($B3575,CHAR(160)," ")),'TRANS'!$D:$D,0)),IFERROR(INDEX('Catalog'!$A:$A,MATCH($B3575,'Catalog'!$B:$B,0)),IFERROR(INDEX('Catalog'!$A:$A,MATCH(TRIM(SUBSTITUTE($B3575,CHAR(160)," ")),'Catalog'!$C:$C,0)),""))))</f>
        <v>4413072</v>
      </c>
      <c r="H3575" s="8" t="str">
        <f aca="false">IFERROR(INDEX('TRANS'!$C:$C,MATCH($B3575,'TRANS'!$A:$A,0)),IFERROR(INDEX('Catalog'!$B:$B,MATCH($G3575,'Catalog'!$A:$A,0)),$B3575))</f>
        <v>41 Lמ.ברך מוצלב+ספירלות בצדדים</v>
      </c>
      <c r="I3575" s="8" t="str">
        <f aca="false">IF($G3575="","Unmatched","Matched")</f>
        <v>Matched</v>
      </c>
      <c r="J3575" s="8" t="n">
        <f aca="false">IF($G3575&lt;&gt;"",$G3575,$B3575)</f>
        <v>4413072</v>
      </c>
      <c r="K3575" s="8" t="str">
        <f aca="false">IF(COUNTIF($M$1:$M$10,$A3575)&gt;0,"Y","N")</f>
        <v>N</v>
      </c>
    </row>
    <row r="3576" customFormat="false" ht="15" hidden="false" customHeight="true" outlineLevel="0" collapsed="false">
      <c r="A3576" s="8" t="s">
        <v>1084</v>
      </c>
      <c r="B3576" s="8" t="s">
        <v>996</v>
      </c>
      <c r="C3576" s="19" t="n">
        <v>6</v>
      </c>
      <c r="D3576" s="19" t="n">
        <v>305.12</v>
      </c>
      <c r="E3576" s="19" t="n">
        <v>0</v>
      </c>
      <c r="F3576" s="19" t="n">
        <v>0</v>
      </c>
      <c r="G3576" s="8" t="n">
        <f aca="false">IFERROR(INDEX('TRANS'!$B:$B,MATCH($B3576,'TRANS'!$A:$A,0)),IFERROR(INDEX('TRANS'!$B:$B,MATCH(TRIM(SUBSTITUTE($B3576,CHAR(160)," ")),'TRANS'!$D:$D,0)),IFERROR(INDEX('Catalog'!$A:$A,MATCH($B3576,'Catalog'!$B:$B,0)),IFERROR(INDEX('Catalog'!$A:$A,MATCH(TRIM(SUBSTITUTE($B3576,CHAR(160)," ")),'Catalog'!$C:$C,0)),""))))</f>
        <v>4413074</v>
      </c>
      <c r="H3576" s="8" t="str">
        <f aca="false">IFERROR(INDEX('TRANS'!$C:$C,MATCH($B3576,'TRANS'!$A:$A,0)),IFERROR(INDEX('Catalog'!$B:$B,MATCH($G3576,'Catalog'!$A:$A,0)),$B3576))</f>
        <v>41  XL.מ.ברך מוצלב+ספירלות בצד</v>
      </c>
      <c r="I3576" s="8" t="str">
        <f aca="false">IF($G3576="","Unmatched","Matched")</f>
        <v>Matched</v>
      </c>
      <c r="J3576" s="8" t="n">
        <f aca="false">IF($G3576&lt;&gt;"",$G3576,$B3576)</f>
        <v>4413074</v>
      </c>
      <c r="K3576" s="8" t="str">
        <f aca="false">IF(COUNTIF($M$1:$M$10,$A3576)&gt;0,"Y","N")</f>
        <v>N</v>
      </c>
    </row>
    <row r="3577" customFormat="false" ht="15" hidden="false" customHeight="true" outlineLevel="0" collapsed="false">
      <c r="A3577" s="8" t="s">
        <v>1084</v>
      </c>
      <c r="B3577" s="8" t="s">
        <v>1085</v>
      </c>
      <c r="C3577" s="19" t="n">
        <v>15</v>
      </c>
      <c r="D3577" s="19" t="n">
        <v>1269.86</v>
      </c>
      <c r="E3577" s="19" t="n">
        <v>90</v>
      </c>
      <c r="F3577" s="19" t="n">
        <v>8030.02</v>
      </c>
      <c r="G3577" s="8" t="str">
        <f aca="false">IFERROR(INDEX('TRANS'!$B:$B,MATCH($B3577,'TRANS'!$A:$A,0)),IFERROR(INDEX('TRANS'!$B:$B,MATCH(TRIM(SUBSTITUTE($B3577,CHAR(160)," ")),'TRANS'!$D:$D,0)),IFERROR(INDEX('Catalog'!$A:$A,MATCH($B3577,'Catalog'!$B:$B,0)),IFERROR(INDEX('Catalog'!$A:$A,MATCH(TRIM(SUBSTITUTE($B3577,CHAR(160)," ")),'Catalog'!$C:$C,0)),""))))</f>
        <v/>
      </c>
      <c r="H3577" s="8" t="str">
        <f aca="false">IFERROR(INDEX('TRANS'!$C:$C,MATCH($B3577,'TRANS'!$A:$A,0)),IFERROR(INDEX('Catalog'!$B:$B,MATCH($G3577,'Catalog'!$A:$A,0)),$B3577))</f>
        <v>43BD L</v>
      </c>
      <c r="I3577" s="8" t="str">
        <f aca="false">IF($G3577="","Unmatched","Matched")</f>
        <v>Unmatched</v>
      </c>
      <c r="J3577" s="8" t="str">
        <f aca="false">IF($G3577&lt;&gt;"",$G3577,$B3577)</f>
        <v>43BD L</v>
      </c>
      <c r="K3577" s="8" t="str">
        <f aca="false">IF(COUNTIF($M$1:$M$10,$A3577)&gt;0,"Y","N")</f>
        <v>N</v>
      </c>
    </row>
    <row r="3578" customFormat="false" ht="15" hidden="false" customHeight="true" outlineLevel="0" collapsed="false">
      <c r="A3578" s="8" t="s">
        <v>1084</v>
      </c>
      <c r="B3578" s="8" t="s">
        <v>1086</v>
      </c>
      <c r="C3578" s="19" t="n">
        <v>20</v>
      </c>
      <c r="D3578" s="19" t="n">
        <v>1693.14</v>
      </c>
      <c r="E3578" s="19" t="n">
        <v>75</v>
      </c>
      <c r="F3578" s="19" t="n">
        <v>6740.14</v>
      </c>
      <c r="G3578" s="8" t="str">
        <f aca="false">IFERROR(INDEX('TRANS'!$B:$B,MATCH($B3578,'TRANS'!$A:$A,0)),IFERROR(INDEX('TRANS'!$B:$B,MATCH(TRIM(SUBSTITUTE($B3578,CHAR(160)," ")),'TRANS'!$D:$D,0)),IFERROR(INDEX('Catalog'!$A:$A,MATCH($B3578,'Catalog'!$B:$B,0)),IFERROR(INDEX('Catalog'!$A:$A,MATCH(TRIM(SUBSTITUTE($B3578,CHAR(160)," ")),'Catalog'!$C:$C,0)),""))))</f>
        <v/>
      </c>
      <c r="H3578" s="8" t="str">
        <f aca="false">IFERROR(INDEX('TRANS'!$C:$C,MATCH($B3578,'TRANS'!$A:$A,0)),IFERROR(INDEX('Catalog'!$B:$B,MATCH($G3578,'Catalog'!$A:$A,0)),$B3578))</f>
        <v>43BD M</v>
      </c>
      <c r="I3578" s="8" t="str">
        <f aca="false">IF($G3578="","Unmatched","Matched")</f>
        <v>Unmatched</v>
      </c>
      <c r="J3578" s="8" t="str">
        <f aca="false">IF($G3578&lt;&gt;"",$G3578,$B3578)</f>
        <v>43BD M</v>
      </c>
      <c r="K3578" s="8" t="str">
        <f aca="false">IF(COUNTIF($M$1:$M$10,$A3578)&gt;0,"Y","N")</f>
        <v>N</v>
      </c>
    </row>
    <row r="3579" customFormat="false" ht="15" hidden="false" customHeight="true" outlineLevel="0" collapsed="false">
      <c r="A3579" s="8" t="s">
        <v>1084</v>
      </c>
      <c r="B3579" s="8" t="s">
        <v>1087</v>
      </c>
      <c r="C3579" s="19" t="n">
        <v>0</v>
      </c>
      <c r="D3579" s="19" t="n">
        <v>0</v>
      </c>
      <c r="E3579" s="19" t="n">
        <v>15</v>
      </c>
      <c r="F3579" s="19" t="n">
        <v>1289.87</v>
      </c>
      <c r="G3579" s="8" t="str">
        <f aca="false">IFERROR(INDEX('TRANS'!$B:$B,MATCH($B3579,'TRANS'!$A:$A,0)),IFERROR(INDEX('TRANS'!$B:$B,MATCH(TRIM(SUBSTITUTE($B3579,CHAR(160)," ")),'TRANS'!$D:$D,0)),IFERROR(INDEX('Catalog'!$A:$A,MATCH($B3579,'Catalog'!$B:$B,0)),IFERROR(INDEX('Catalog'!$A:$A,MATCH(TRIM(SUBSTITUTE($B3579,CHAR(160)," ")),'Catalog'!$C:$C,0)),""))))</f>
        <v/>
      </c>
      <c r="H3579" s="8" t="str">
        <f aca="false">IFERROR(INDEX('TRANS'!$C:$C,MATCH($B3579,'TRANS'!$A:$A,0)),IFERROR(INDEX('Catalog'!$B:$B,MATCH($G3579,'Catalog'!$A:$A,0)),$B3579))</f>
        <v>43BD S</v>
      </c>
      <c r="I3579" s="8" t="str">
        <f aca="false">IF($G3579="","Unmatched","Matched")</f>
        <v>Unmatched</v>
      </c>
      <c r="J3579" s="8" t="str">
        <f aca="false">IF($G3579&lt;&gt;"",$G3579,$B3579)</f>
        <v>43BD S</v>
      </c>
      <c r="K3579" s="8" t="str">
        <f aca="false">IF(COUNTIF($M$1:$M$10,$A3579)&gt;0,"Y","N")</f>
        <v>N</v>
      </c>
    </row>
    <row r="3580" customFormat="false" ht="15" hidden="false" customHeight="true" outlineLevel="0" collapsed="false">
      <c r="A3580" s="8" t="s">
        <v>1084</v>
      </c>
      <c r="B3580" s="8" t="s">
        <v>1088</v>
      </c>
      <c r="C3580" s="19" t="n">
        <v>35</v>
      </c>
      <c r="D3580" s="19" t="n">
        <v>2963</v>
      </c>
      <c r="E3580" s="19" t="n">
        <v>100</v>
      </c>
      <c r="F3580" s="19" t="n">
        <v>8841.47</v>
      </c>
      <c r="G3580" s="8" t="str">
        <f aca="false">IFERROR(INDEX('TRANS'!$B:$B,MATCH($B3580,'TRANS'!$A:$A,0)),IFERROR(INDEX('TRANS'!$B:$B,MATCH(TRIM(SUBSTITUTE($B3580,CHAR(160)," ")),'TRANS'!$D:$D,0)),IFERROR(INDEX('Catalog'!$A:$A,MATCH($B3580,'Catalog'!$B:$B,0)),IFERROR(INDEX('Catalog'!$A:$A,MATCH(TRIM(SUBSTITUTE($B3580,CHAR(160)," ")),'Catalog'!$C:$C,0)),""))))</f>
        <v/>
      </c>
      <c r="H3580" s="8" t="str">
        <f aca="false">IFERROR(INDEX('TRANS'!$C:$C,MATCH($B3580,'TRANS'!$A:$A,0)),IFERROR(INDEX('Catalog'!$B:$B,MATCH($G3580,'Catalog'!$A:$A,0)),$B3580))</f>
        <v>43BD XL</v>
      </c>
      <c r="I3580" s="8" t="str">
        <f aca="false">IF($G3580="","Unmatched","Matched")</f>
        <v>Unmatched</v>
      </c>
      <c r="J3580" s="8" t="str">
        <f aca="false">IF($G3580&lt;&gt;"",$G3580,$B3580)</f>
        <v>43BD XL</v>
      </c>
      <c r="K3580" s="8" t="str">
        <f aca="false">IF(COUNTIF($M$1:$M$10,$A3580)&gt;0,"Y","N")</f>
        <v>N</v>
      </c>
    </row>
    <row r="3581" customFormat="false" ht="15" hidden="false" customHeight="true" outlineLevel="0" collapsed="false">
      <c r="A3581" s="8" t="s">
        <v>1084</v>
      </c>
      <c r="B3581" s="8" t="s">
        <v>1089</v>
      </c>
      <c r="C3581" s="19" t="n">
        <v>25</v>
      </c>
      <c r="D3581" s="19" t="n">
        <v>2116.43</v>
      </c>
      <c r="E3581" s="19" t="n">
        <v>30</v>
      </c>
      <c r="F3581" s="19" t="n">
        <v>2725.13</v>
      </c>
      <c r="G3581" s="8" t="str">
        <f aca="false">IFERROR(INDEX('TRANS'!$B:$B,MATCH($B3581,'TRANS'!$A:$A,0)),IFERROR(INDEX('TRANS'!$B:$B,MATCH(TRIM(SUBSTITUTE($B3581,CHAR(160)," ")),'TRANS'!$D:$D,0)),IFERROR(INDEX('Catalog'!$A:$A,MATCH($B3581,'Catalog'!$B:$B,0)),IFERROR(INDEX('Catalog'!$A:$A,MATCH(TRIM(SUBSTITUTE($B3581,CHAR(160)," ")),'Catalog'!$C:$C,0)),""))))</f>
        <v/>
      </c>
      <c r="H3581" s="8" t="str">
        <f aca="false">IFERROR(INDEX('TRANS'!$C:$C,MATCH($B3581,'TRANS'!$A:$A,0)),IFERROR(INDEX('Catalog'!$B:$B,MATCH($G3581,'Catalog'!$A:$A,0)),$B3581))</f>
        <v>43BD XXL</v>
      </c>
      <c r="I3581" s="8" t="str">
        <f aca="false">IF($G3581="","Unmatched","Matched")</f>
        <v>Unmatched</v>
      </c>
      <c r="J3581" s="8" t="str">
        <f aca="false">IF($G3581&lt;&gt;"",$G3581,$B3581)</f>
        <v>43BD XXL</v>
      </c>
      <c r="K3581" s="8" t="str">
        <f aca="false">IF(COUNTIF($M$1:$M$10,$A3581)&gt;0,"Y","N")</f>
        <v>N</v>
      </c>
    </row>
    <row r="3582" customFormat="false" ht="15" hidden="false" customHeight="true" outlineLevel="0" collapsed="false">
      <c r="A3582" s="8" t="s">
        <v>1084</v>
      </c>
      <c r="B3582" s="8" t="s">
        <v>798</v>
      </c>
      <c r="C3582" s="19" t="n">
        <v>200</v>
      </c>
      <c r="D3582" s="19" t="n">
        <v>2096.99</v>
      </c>
      <c r="E3582" s="19" t="n">
        <v>160</v>
      </c>
      <c r="F3582" s="19" t="n">
        <v>1625.18</v>
      </c>
      <c r="G3582" s="8" t="n">
        <f aca="false">IFERROR(INDEX('TRANS'!$B:$B,MATCH($B3582,'TRANS'!$A:$A,0)),IFERROR(INDEX('TRANS'!$B:$B,MATCH(TRIM(SUBSTITUTE($B3582,CHAR(160)," ")),'TRANS'!$D:$D,0)),IFERROR(INDEX('Catalog'!$A:$A,MATCH($B3582,'Catalog'!$B:$B,0)),IFERROR(INDEX('Catalog'!$A:$A,MATCH(TRIM(SUBSTITUTE($B3582,CHAR(160)," ")),'Catalog'!$C:$C,0)),""))))</f>
        <v>4413092</v>
      </c>
      <c r="H3582" s="8" t="str">
        <f aca="false">IFERROR(INDEX('TRANS'!$C:$C,MATCH($B3582,'TRANS'!$A:$A,0)),IFERROR(INDEX('Catalog'!$B:$B,MATCH($G3582,'Catalog'!$A:$A,0)),$B3582))</f>
        <v>45 L מגן ברך לבן</v>
      </c>
      <c r="I3582" s="8" t="str">
        <f aca="false">IF($G3582="","Unmatched","Matched")</f>
        <v>Matched</v>
      </c>
      <c r="J3582" s="8" t="n">
        <f aca="false">IF($G3582&lt;&gt;"",$G3582,$B3582)</f>
        <v>4413092</v>
      </c>
      <c r="K3582" s="8" t="str">
        <f aca="false">IF(COUNTIF($M$1:$M$10,$A3582)&gt;0,"Y","N")</f>
        <v>N</v>
      </c>
    </row>
    <row r="3583" customFormat="false" ht="15" hidden="false" customHeight="true" outlineLevel="0" collapsed="false">
      <c r="A3583" s="8" t="s">
        <v>1084</v>
      </c>
      <c r="B3583" s="8" t="s">
        <v>799</v>
      </c>
      <c r="C3583" s="19" t="n">
        <v>126</v>
      </c>
      <c r="D3583" s="19" t="n">
        <v>1319.05</v>
      </c>
      <c r="E3583" s="19" t="n">
        <v>137</v>
      </c>
      <c r="F3583" s="19" t="n">
        <v>1413.77</v>
      </c>
      <c r="G3583" s="8" t="n">
        <f aca="false">IFERROR(INDEX('TRANS'!$B:$B,MATCH($B3583,'TRANS'!$A:$A,0)),IFERROR(INDEX('TRANS'!$B:$B,MATCH(TRIM(SUBSTITUTE($B3583,CHAR(160)," ")),'TRANS'!$D:$D,0)),IFERROR(INDEX('Catalog'!$A:$A,MATCH($B3583,'Catalog'!$B:$B,0)),IFERROR(INDEX('Catalog'!$A:$A,MATCH(TRIM(SUBSTITUTE($B3583,CHAR(160)," ")),'Catalog'!$C:$C,0)),""))))</f>
        <v>4413093</v>
      </c>
      <c r="H3583" s="8" t="str">
        <f aca="false">IFERROR(INDEX('TRANS'!$C:$C,MATCH($B3583,'TRANS'!$A:$A,0)),IFERROR(INDEX('Catalog'!$B:$B,MATCH($G3583,'Catalog'!$A:$A,0)),$B3583))</f>
        <v>45 M מגן ברך לבן</v>
      </c>
      <c r="I3583" s="8" t="str">
        <f aca="false">IF($G3583="","Unmatched","Matched")</f>
        <v>Matched</v>
      </c>
      <c r="J3583" s="8" t="n">
        <f aca="false">IF($G3583&lt;&gt;"",$G3583,$B3583)</f>
        <v>4413093</v>
      </c>
      <c r="K3583" s="8" t="str">
        <f aca="false">IF(COUNTIF($M$1:$M$10,$A3583)&gt;0,"Y","N")</f>
        <v>N</v>
      </c>
    </row>
    <row r="3584" customFormat="false" ht="15" hidden="false" customHeight="true" outlineLevel="0" collapsed="false">
      <c r="A3584" s="8" t="s">
        <v>1084</v>
      </c>
      <c r="B3584" s="8" t="s">
        <v>673</v>
      </c>
      <c r="C3584" s="19" t="n">
        <v>60</v>
      </c>
      <c r="D3584" s="19" t="n">
        <v>677.02</v>
      </c>
      <c r="E3584" s="19" t="n">
        <v>30</v>
      </c>
      <c r="F3584" s="19" t="n">
        <v>326.5</v>
      </c>
      <c r="G3584" s="8" t="n">
        <f aca="false">IFERROR(INDEX('TRANS'!$B:$B,MATCH($B3584,'TRANS'!$A:$A,0)),IFERROR(INDEX('TRANS'!$B:$B,MATCH(TRIM(SUBSTITUTE($B3584,CHAR(160)," ")),'TRANS'!$D:$D,0)),IFERROR(INDEX('Catalog'!$A:$A,MATCH($B3584,'Catalog'!$B:$B,0)),IFERROR(INDEX('Catalog'!$A:$A,MATCH(TRIM(SUBSTITUTE($B3584,CHAR(160)," ")),'Catalog'!$C:$C,0)),""))))</f>
        <v>4413094</v>
      </c>
      <c r="H3584" s="8" t="str">
        <f aca="false">IFERROR(INDEX('TRANS'!$C:$C,MATCH($B3584,'TRANS'!$A:$A,0)),IFERROR(INDEX('Catalog'!$B:$B,MATCH($G3584,'Catalog'!$A:$A,0)),$B3584))</f>
        <v>45 S מגן ברך לבן</v>
      </c>
      <c r="I3584" s="8" t="str">
        <f aca="false">IF($G3584="","Unmatched","Matched")</f>
        <v>Matched</v>
      </c>
      <c r="J3584" s="8" t="n">
        <f aca="false">IF($G3584&lt;&gt;"",$G3584,$B3584)</f>
        <v>4413094</v>
      </c>
      <c r="K3584" s="8" t="str">
        <f aca="false">IF(COUNTIF($M$1:$M$10,$A3584)&gt;0,"Y","N")</f>
        <v>N</v>
      </c>
    </row>
    <row r="3585" customFormat="false" ht="15" hidden="false" customHeight="true" outlineLevel="0" collapsed="false">
      <c r="A3585" s="8" t="s">
        <v>1084</v>
      </c>
      <c r="B3585" s="8" t="s">
        <v>674</v>
      </c>
      <c r="C3585" s="19" t="n">
        <v>110</v>
      </c>
      <c r="D3585" s="19" t="n">
        <v>1115.69</v>
      </c>
      <c r="E3585" s="19" t="n">
        <v>80</v>
      </c>
      <c r="F3585" s="19" t="n">
        <v>812.59</v>
      </c>
      <c r="G3585" s="8" t="n">
        <f aca="false">IFERROR(INDEX('TRANS'!$B:$B,MATCH($B3585,'TRANS'!$A:$A,0)),IFERROR(INDEX('TRANS'!$B:$B,MATCH(TRIM(SUBSTITUTE($B3585,CHAR(160)," ")),'TRANS'!$D:$D,0)),IFERROR(INDEX('Catalog'!$A:$A,MATCH($B3585,'Catalog'!$B:$B,0)),IFERROR(INDEX('Catalog'!$A:$A,MATCH(TRIM(SUBSTITUTE($B3585,CHAR(160)," ")),'Catalog'!$C:$C,0)),""))))</f>
        <v>4413095</v>
      </c>
      <c r="H3585" s="8" t="str">
        <f aca="false">IFERROR(INDEX('TRANS'!$C:$C,MATCH($B3585,'TRANS'!$A:$A,0)),IFERROR(INDEX('Catalog'!$B:$B,MATCH($G3585,'Catalog'!$A:$A,0)),$B3585))</f>
        <v>45 XL מגן ברך לבן</v>
      </c>
      <c r="I3585" s="8" t="str">
        <f aca="false">IF($G3585="","Unmatched","Matched")</f>
        <v>Matched</v>
      </c>
      <c r="J3585" s="8" t="n">
        <f aca="false">IF($G3585&lt;&gt;"",$G3585,$B3585)</f>
        <v>4413095</v>
      </c>
      <c r="K3585" s="8" t="str">
        <f aca="false">IF(COUNTIF($M$1:$M$10,$A3585)&gt;0,"Y","N")</f>
        <v>N</v>
      </c>
    </row>
    <row r="3586" customFormat="false" ht="15" hidden="false" customHeight="true" outlineLevel="0" collapsed="false">
      <c r="A3586" s="8" t="s">
        <v>1084</v>
      </c>
      <c r="B3586" s="8" t="s">
        <v>994</v>
      </c>
      <c r="C3586" s="19" t="n">
        <v>10</v>
      </c>
      <c r="D3586" s="19" t="n">
        <v>101.43</v>
      </c>
      <c r="E3586" s="19" t="n">
        <v>5</v>
      </c>
      <c r="F3586" s="19" t="n">
        <v>48.61</v>
      </c>
      <c r="G3586" s="8" t="n">
        <f aca="false">IFERROR(INDEX('TRANS'!$B:$B,MATCH($B3586,'TRANS'!$A:$A,0)),IFERROR(INDEX('TRANS'!$B:$B,MATCH(TRIM(SUBSTITUTE($B3586,CHAR(160)," ")),'TRANS'!$D:$D,0)),IFERROR(INDEX('Catalog'!$A:$A,MATCH($B3586,'Catalog'!$B:$B,0)),IFERROR(INDEX('Catalog'!$A:$A,MATCH(TRIM(SUBSTITUTE($B3586,CHAR(160)," ")),'Catalog'!$C:$C,0)),""))))</f>
        <v>4413332</v>
      </c>
      <c r="H3586" s="8" t="str">
        <f aca="false">IFERROR(INDEX('TRANS'!$C:$C,MATCH($B3586,'TRANS'!$A:$A,0)),IFERROR(INDEX('Catalog'!$B:$B,MATCH($G3586,'Catalog'!$A:$A,0)),$B3586))</f>
        <v>45  XS מגן ברך רגיל לבן</v>
      </c>
      <c r="I3586" s="8" t="str">
        <f aca="false">IF($G3586="","Unmatched","Matched")</f>
        <v>Matched</v>
      </c>
      <c r="J3586" s="8" t="n">
        <f aca="false">IF($G3586&lt;&gt;"",$G3586,$B3586)</f>
        <v>4413332</v>
      </c>
      <c r="K3586" s="8" t="str">
        <f aca="false">IF(COUNTIF($M$1:$M$10,$A3586)&gt;0,"Y","N")</f>
        <v>N</v>
      </c>
    </row>
    <row r="3587" customFormat="false" ht="15" hidden="false" customHeight="true" outlineLevel="0" collapsed="false">
      <c r="A3587" s="8" t="s">
        <v>1084</v>
      </c>
      <c r="B3587" s="8" t="s">
        <v>804</v>
      </c>
      <c r="C3587" s="19" t="n">
        <v>75</v>
      </c>
      <c r="D3587" s="19" t="n">
        <v>821.55</v>
      </c>
      <c r="E3587" s="19" t="n">
        <v>100</v>
      </c>
      <c r="F3587" s="19" t="n">
        <v>1106.41</v>
      </c>
      <c r="G3587" s="8" t="n">
        <f aca="false">IFERROR(INDEX('TRANS'!$B:$B,MATCH($B3587,'TRANS'!$A:$A,0)),IFERROR(INDEX('TRANS'!$B:$B,MATCH(TRIM(SUBSTITUTE($B3587,CHAR(160)," ")),'TRANS'!$D:$D,0)),IFERROR(INDEX('Catalog'!$A:$A,MATCH($B3587,'Catalog'!$B:$B,0)),IFERROR(INDEX('Catalog'!$A:$A,MATCH(TRIM(SUBSTITUTE($B3587,CHAR(160)," ")),'Catalog'!$C:$C,0)),""))))</f>
        <v>4413102</v>
      </c>
      <c r="H3587" s="8" t="str">
        <f aca="false">IFERROR(INDEX('TRANS'!$C:$C,MATCH($B3587,'TRANS'!$A:$A,0)),IFERROR(INDEX('Catalog'!$B:$B,MATCH($G3587,'Catalog'!$A:$A,0)),$B3587))</f>
        <v>45E  L        מגן ברך ארוך לבן</v>
      </c>
      <c r="I3587" s="8" t="str">
        <f aca="false">IF($G3587="","Unmatched","Matched")</f>
        <v>Matched</v>
      </c>
      <c r="J3587" s="8" t="n">
        <f aca="false">IF($G3587&lt;&gt;"",$G3587,$B3587)</f>
        <v>4413102</v>
      </c>
      <c r="K3587" s="8" t="str">
        <f aca="false">IF(COUNTIF($M$1:$M$10,$A3587)&gt;0,"Y","N")</f>
        <v>N</v>
      </c>
    </row>
    <row r="3588" customFormat="false" ht="15" hidden="false" customHeight="true" outlineLevel="0" collapsed="false">
      <c r="A3588" s="8" t="s">
        <v>1084</v>
      </c>
      <c r="B3588" s="8" t="s">
        <v>805</v>
      </c>
      <c r="C3588" s="19" t="n">
        <v>50</v>
      </c>
      <c r="D3588" s="19" t="n">
        <v>547.71</v>
      </c>
      <c r="E3588" s="19" t="n">
        <v>65</v>
      </c>
      <c r="F3588" s="19" t="n">
        <v>729.51</v>
      </c>
      <c r="G3588" s="8" t="n">
        <f aca="false">IFERROR(INDEX('TRANS'!$B:$B,MATCH($B3588,'TRANS'!$A:$A,0)),IFERROR(INDEX('TRANS'!$B:$B,MATCH(TRIM(SUBSTITUTE($B3588,CHAR(160)," ")),'TRANS'!$D:$D,0)),IFERROR(INDEX('Catalog'!$A:$A,MATCH($B3588,'Catalog'!$B:$B,0)),IFERROR(INDEX('Catalog'!$A:$A,MATCH(TRIM(SUBSTITUTE($B3588,CHAR(160)," ")),'Catalog'!$C:$C,0)),""))))</f>
        <v>4413103</v>
      </c>
      <c r="H3588" s="8" t="str">
        <f aca="false">IFERROR(INDEX('TRANS'!$C:$C,MATCH($B3588,'TRANS'!$A:$A,0)),IFERROR(INDEX('Catalog'!$B:$B,MATCH($G3588,'Catalog'!$A:$A,0)),$B3588))</f>
        <v>45E Mמגן ברך ארוך לבן</v>
      </c>
      <c r="I3588" s="8" t="str">
        <f aca="false">IF($G3588="","Unmatched","Matched")</f>
        <v>Matched</v>
      </c>
      <c r="J3588" s="8" t="n">
        <f aca="false">IF($G3588&lt;&gt;"",$G3588,$B3588)</f>
        <v>4413103</v>
      </c>
      <c r="K3588" s="8" t="str">
        <f aca="false">IF(COUNTIF($M$1:$M$10,$A3588)&gt;0,"Y","N")</f>
        <v>N</v>
      </c>
    </row>
    <row r="3589" customFormat="false" ht="15" hidden="false" customHeight="true" outlineLevel="0" collapsed="false">
      <c r="A3589" s="8" t="s">
        <v>1084</v>
      </c>
      <c r="B3589" s="8" t="s">
        <v>806</v>
      </c>
      <c r="C3589" s="19" t="n">
        <v>20</v>
      </c>
      <c r="D3589" s="19" t="n">
        <v>219.08</v>
      </c>
      <c r="E3589" s="19" t="n">
        <v>25</v>
      </c>
      <c r="F3589" s="19" t="n">
        <v>281.31</v>
      </c>
      <c r="G3589" s="8" t="n">
        <f aca="false">IFERROR(INDEX('TRANS'!$B:$B,MATCH($B3589,'TRANS'!$A:$A,0)),IFERROR(INDEX('TRANS'!$B:$B,MATCH(TRIM(SUBSTITUTE($B3589,CHAR(160)," ")),'TRANS'!$D:$D,0)),IFERROR(INDEX('Catalog'!$A:$A,MATCH($B3589,'Catalog'!$B:$B,0)),IFERROR(INDEX('Catalog'!$A:$A,MATCH(TRIM(SUBSTITUTE($B3589,CHAR(160)," ")),'Catalog'!$C:$C,0)),""))))</f>
        <v>4413101</v>
      </c>
      <c r="H3589" s="8" t="str">
        <f aca="false">IFERROR(INDEX('TRANS'!$C:$C,MATCH($B3589,'TRANS'!$A:$A,0)),IFERROR(INDEX('Catalog'!$B:$B,MATCH($G3589,'Catalog'!$A:$A,0)),$B3589))</f>
        <v>45E Sמגן ברך ארוך לבן</v>
      </c>
      <c r="I3589" s="8" t="str">
        <f aca="false">IF($G3589="","Unmatched","Matched")</f>
        <v>Matched</v>
      </c>
      <c r="J3589" s="8" t="n">
        <f aca="false">IF($G3589&lt;&gt;"",$G3589,$B3589)</f>
        <v>4413101</v>
      </c>
      <c r="K3589" s="8" t="str">
        <f aca="false">IF(COUNTIF($M$1:$M$10,$A3589)&gt;0,"Y","N")</f>
        <v>N</v>
      </c>
    </row>
    <row r="3590" customFormat="false" ht="15" hidden="false" customHeight="true" outlineLevel="0" collapsed="false">
      <c r="A3590" s="8" t="s">
        <v>1084</v>
      </c>
      <c r="B3590" s="8" t="s">
        <v>681</v>
      </c>
      <c r="C3590" s="19" t="n">
        <v>0</v>
      </c>
      <c r="D3590" s="19" t="n">
        <v>0</v>
      </c>
      <c r="E3590" s="19" t="n">
        <v>130</v>
      </c>
      <c r="F3590" s="19" t="n">
        <v>1364.96</v>
      </c>
      <c r="G3590" s="8" t="n">
        <f aca="false">IFERROR(INDEX('TRANS'!$B:$B,MATCH($B3590,'TRANS'!$A:$A,0)),IFERROR(INDEX('TRANS'!$B:$B,MATCH(TRIM(SUBSTITUTE($B3590,CHAR(160)," ")),'TRANS'!$D:$D,0)),IFERROR(INDEX('Catalog'!$A:$A,MATCH($B3590,'Catalog'!$B:$B,0)),IFERROR(INDEX('Catalog'!$A:$A,MATCH(TRIM(SUBSTITUTE($B3590,CHAR(160)," ")),'Catalog'!$C:$C,0)),""))))</f>
        <v>4413104</v>
      </c>
      <c r="H3590" s="8" t="str">
        <f aca="false">IFERROR(INDEX('TRANS'!$C:$C,MATCH($B3590,'TRANS'!$A:$A,0)),IFERROR(INDEX('Catalog'!$B:$B,MATCH($G3590,'Catalog'!$A:$A,0)),$B3590))</f>
        <v>45E XLמגן ברך ארוך לבן</v>
      </c>
      <c r="I3590" s="8" t="str">
        <f aca="false">IF($G3590="","Unmatched","Matched")</f>
        <v>Matched</v>
      </c>
      <c r="J3590" s="8" t="n">
        <f aca="false">IF($G3590&lt;&gt;"",$G3590,$B3590)</f>
        <v>4413104</v>
      </c>
      <c r="K3590" s="8" t="str">
        <f aca="false">IF(COUNTIF($M$1:$M$10,$A3590)&gt;0,"Y","N")</f>
        <v>N</v>
      </c>
    </row>
    <row r="3591" customFormat="false" ht="15" hidden="false" customHeight="true" outlineLevel="0" collapsed="false">
      <c r="A3591" s="8" t="s">
        <v>1084</v>
      </c>
      <c r="B3591" s="8" t="s">
        <v>682</v>
      </c>
      <c r="C3591" s="19" t="n">
        <v>140</v>
      </c>
      <c r="D3591" s="19" t="n">
        <v>1681.45</v>
      </c>
      <c r="E3591" s="19" t="n">
        <v>100</v>
      </c>
      <c r="F3591" s="19" t="n">
        <v>1106.41</v>
      </c>
      <c r="G3591" s="8" t="n">
        <f aca="false">IFERROR(INDEX('TRANS'!$B:$B,MATCH($B3591,'TRANS'!$A:$A,0)),IFERROR(INDEX('TRANS'!$B:$B,MATCH(TRIM(SUBSTITUTE($B3591,CHAR(160)," ")),'TRANS'!$D:$D,0)),IFERROR(INDEX('Catalog'!$A:$A,MATCH($B3591,'Catalog'!$B:$B,0)),IFERROR(INDEX('Catalog'!$A:$A,MATCH(TRIM(SUBSTITUTE($B3591,CHAR(160)," ")),'Catalog'!$C:$C,0)),""))))</f>
        <v>4413105</v>
      </c>
      <c r="H3591" s="8" t="str">
        <f aca="false">IFERROR(INDEX('TRANS'!$C:$C,MATCH($B3591,'TRANS'!$A:$A,0)),IFERROR(INDEX('Catalog'!$B:$B,MATCH($G3591,'Catalog'!$A:$A,0)),$B3591))</f>
        <v>45E XXLמגן ברך ארוך לבן</v>
      </c>
      <c r="I3591" s="8" t="str">
        <f aca="false">IF($G3591="","Unmatched","Matched")</f>
        <v>Matched</v>
      </c>
      <c r="J3591" s="8" t="n">
        <f aca="false">IF($G3591&lt;&gt;"",$G3591,$B3591)</f>
        <v>4413105</v>
      </c>
      <c r="K3591" s="8" t="str">
        <f aca="false">IF(COUNTIF($M$1:$M$10,$A3591)&gt;0,"Y","N")</f>
        <v>N</v>
      </c>
    </row>
    <row r="3592" customFormat="false" ht="15" hidden="false" customHeight="true" outlineLevel="0" collapsed="false">
      <c r="A3592" s="8" t="s">
        <v>1084</v>
      </c>
      <c r="B3592" s="8" t="s">
        <v>809</v>
      </c>
      <c r="C3592" s="19" t="n">
        <v>44</v>
      </c>
      <c r="D3592" s="19" t="n">
        <v>486.29</v>
      </c>
      <c r="E3592" s="19" t="n">
        <v>30</v>
      </c>
      <c r="F3592" s="19" t="n">
        <v>317.31</v>
      </c>
      <c r="G3592" s="8" t="n">
        <f aca="false">IFERROR(INDEX('TRANS'!$B:$B,MATCH($B3592,'TRANS'!$A:$A,0)),IFERROR(INDEX('TRANS'!$B:$B,MATCH(TRIM(SUBSTITUTE($B3592,CHAR(160)," ")),'TRANS'!$D:$D,0)),IFERROR(INDEX('Catalog'!$A:$A,MATCH($B3592,'Catalog'!$B:$B,0)),IFERROR(INDEX('Catalog'!$A:$A,MATCH(TRIM(SUBSTITUTE($B3592,CHAR(160)," ")),'Catalog'!$C:$C,0)),""))))</f>
        <v>4413112</v>
      </c>
      <c r="H3592" s="8" t="str">
        <f aca="false">IFERROR(INDEX('TRANS'!$C:$C,MATCH($B3592,'TRANS'!$A:$A,0)),IFERROR(INDEX('Catalog'!$B:$B,MATCH($G3592,'Catalog'!$A:$A,0)),$B3592))</f>
        <v>49  L מגן ירך</v>
      </c>
      <c r="I3592" s="8" t="str">
        <f aca="false">IF($G3592="","Unmatched","Matched")</f>
        <v>Matched</v>
      </c>
      <c r="J3592" s="8" t="n">
        <f aca="false">IF($G3592&lt;&gt;"",$G3592,$B3592)</f>
        <v>4413112</v>
      </c>
      <c r="K3592" s="8" t="str">
        <f aca="false">IF(COUNTIF($M$1:$M$10,$A3592)&gt;0,"Y","N")</f>
        <v>N</v>
      </c>
    </row>
    <row r="3593" customFormat="false" ht="15" hidden="false" customHeight="true" outlineLevel="0" collapsed="false">
      <c r="A3593" s="8" t="s">
        <v>1084</v>
      </c>
      <c r="B3593" s="8" t="s">
        <v>810</v>
      </c>
      <c r="C3593" s="19" t="n">
        <v>24</v>
      </c>
      <c r="D3593" s="19" t="n">
        <v>278.03</v>
      </c>
      <c r="E3593" s="19" t="n">
        <v>10</v>
      </c>
      <c r="F3593" s="19" t="n">
        <v>99.82</v>
      </c>
      <c r="G3593" s="8" t="n">
        <f aca="false">IFERROR(INDEX('TRANS'!$B:$B,MATCH($B3593,'TRANS'!$A:$A,0)),IFERROR(INDEX('TRANS'!$B:$B,MATCH(TRIM(SUBSTITUTE($B3593,CHAR(160)," ")),'TRANS'!$D:$D,0)),IFERROR(INDEX('Catalog'!$A:$A,MATCH($B3593,'Catalog'!$B:$B,0)),IFERROR(INDEX('Catalog'!$A:$A,MATCH(TRIM(SUBSTITUTE($B3593,CHAR(160)," ")),'Catalog'!$C:$C,0)),""))))</f>
        <v>4413113</v>
      </c>
      <c r="H3593" s="8" t="str">
        <f aca="false">IFERROR(INDEX('TRANS'!$C:$C,MATCH($B3593,'TRANS'!$A:$A,0)),IFERROR(INDEX('Catalog'!$B:$B,MATCH($G3593,'Catalog'!$A:$A,0)),$B3593))</f>
        <v>49  M מגן ירך</v>
      </c>
      <c r="I3593" s="8" t="str">
        <f aca="false">IF($G3593="","Unmatched","Matched")</f>
        <v>Matched</v>
      </c>
      <c r="J3593" s="8" t="n">
        <f aca="false">IF($G3593&lt;&gt;"",$G3593,$B3593)</f>
        <v>4413113</v>
      </c>
      <c r="K3593" s="8" t="str">
        <f aca="false">IF(COUNTIF($M$1:$M$10,$A3593)&gt;0,"Y","N")</f>
        <v>N</v>
      </c>
    </row>
    <row r="3594" customFormat="false" ht="15" hidden="false" customHeight="true" outlineLevel="0" collapsed="false">
      <c r="A3594" s="8" t="s">
        <v>1084</v>
      </c>
      <c r="B3594" s="8" t="s">
        <v>811</v>
      </c>
      <c r="C3594" s="19" t="n">
        <v>5</v>
      </c>
      <c r="D3594" s="19" t="n">
        <v>52.06</v>
      </c>
      <c r="E3594" s="19" t="n">
        <v>5</v>
      </c>
      <c r="F3594" s="19" t="n">
        <v>49.9</v>
      </c>
      <c r="G3594" s="8" t="n">
        <f aca="false">IFERROR(INDEX('TRANS'!$B:$B,MATCH($B3594,'TRANS'!$A:$A,0)),IFERROR(INDEX('TRANS'!$B:$B,MATCH(TRIM(SUBSTITUTE($B3594,CHAR(160)," ")),'TRANS'!$D:$D,0)),IFERROR(INDEX('Catalog'!$A:$A,MATCH($B3594,'Catalog'!$B:$B,0)),IFERROR(INDEX('Catalog'!$A:$A,MATCH(TRIM(SUBSTITUTE($B3594,CHAR(160)," ")),'Catalog'!$C:$C,0)),""))))</f>
        <v>4413111</v>
      </c>
      <c r="H3594" s="8" t="str">
        <f aca="false">IFERROR(INDEX('TRANS'!$C:$C,MATCH($B3594,'TRANS'!$A:$A,0)),IFERROR(INDEX('Catalog'!$B:$B,MATCH($G3594,'Catalog'!$A:$A,0)),$B3594))</f>
        <v>49  S מגן ירך</v>
      </c>
      <c r="I3594" s="8" t="str">
        <f aca="false">IF($G3594="","Unmatched","Matched")</f>
        <v>Matched</v>
      </c>
      <c r="J3594" s="8" t="n">
        <f aca="false">IF($G3594&lt;&gt;"",$G3594,$B3594)</f>
        <v>4413111</v>
      </c>
      <c r="K3594" s="8" t="str">
        <f aca="false">IF(COUNTIF($M$1:$M$10,$A3594)&gt;0,"Y","N")</f>
        <v>N</v>
      </c>
    </row>
    <row r="3595" customFormat="false" ht="15" hidden="false" customHeight="true" outlineLevel="0" collapsed="false">
      <c r="A3595" s="8" t="s">
        <v>1084</v>
      </c>
      <c r="B3595" s="8" t="s">
        <v>812</v>
      </c>
      <c r="C3595" s="19" t="n">
        <v>34</v>
      </c>
      <c r="D3595" s="19" t="n">
        <v>382.16</v>
      </c>
      <c r="E3595" s="19" t="n">
        <v>25</v>
      </c>
      <c r="F3595" s="19" t="n">
        <v>285.29</v>
      </c>
      <c r="G3595" s="8" t="n">
        <f aca="false">IFERROR(INDEX('TRANS'!$B:$B,MATCH($B3595,'TRANS'!$A:$A,0)),IFERROR(INDEX('TRANS'!$B:$B,MATCH(TRIM(SUBSTITUTE($B3595,CHAR(160)," ")),'TRANS'!$D:$D,0)),IFERROR(INDEX('Catalog'!$A:$A,MATCH($B3595,'Catalog'!$B:$B,0)),IFERROR(INDEX('Catalog'!$A:$A,MATCH(TRIM(SUBSTITUTE($B3595,CHAR(160)," ")),'Catalog'!$C:$C,0)),""))))</f>
        <v>4413114</v>
      </c>
      <c r="H3595" s="8" t="str">
        <f aca="false">IFERROR(INDEX('TRANS'!$C:$C,MATCH($B3595,'TRANS'!$A:$A,0)),IFERROR(INDEX('Catalog'!$B:$B,MATCH($G3595,'Catalog'!$A:$A,0)),$B3595))</f>
        <v>49 XL מגן ירך</v>
      </c>
      <c r="I3595" s="8" t="str">
        <f aca="false">IF($G3595="","Unmatched","Matched")</f>
        <v>Matched</v>
      </c>
      <c r="J3595" s="8" t="n">
        <f aca="false">IF($G3595&lt;&gt;"",$G3595,$B3595)</f>
        <v>4413114</v>
      </c>
      <c r="K3595" s="8" t="str">
        <f aca="false">IF(COUNTIF($M$1:$M$10,$A3595)&gt;0,"Y","N")</f>
        <v>N</v>
      </c>
    </row>
    <row r="3596" customFormat="false" ht="15" hidden="false" customHeight="true" outlineLevel="0" collapsed="false">
      <c r="A3596" s="8" t="s">
        <v>1084</v>
      </c>
      <c r="B3596" s="8" t="s">
        <v>928</v>
      </c>
      <c r="C3596" s="19" t="n">
        <v>27</v>
      </c>
      <c r="D3596" s="19" t="n">
        <v>295.22</v>
      </c>
      <c r="E3596" s="19" t="n">
        <v>20</v>
      </c>
      <c r="F3596" s="19" t="n">
        <v>235.39</v>
      </c>
      <c r="G3596" s="8" t="n">
        <f aca="false">IFERROR(INDEX('TRANS'!$B:$B,MATCH($B3596,'TRANS'!$A:$A,0)),IFERROR(INDEX('TRANS'!$B:$B,MATCH(TRIM(SUBSTITUTE($B3596,CHAR(160)," ")),'TRANS'!$D:$D,0)),IFERROR(INDEX('Catalog'!$A:$A,MATCH($B3596,'Catalog'!$B:$B,0)),IFERROR(INDEX('Catalog'!$A:$A,MATCH(TRIM(SUBSTITUTE($B3596,CHAR(160)," ")),'Catalog'!$C:$C,0)),""))))</f>
        <v>4413115</v>
      </c>
      <c r="H3596" s="8" t="str">
        <f aca="false">IFERROR(INDEX('TRANS'!$C:$C,MATCH($B3596,'TRANS'!$A:$A,0)),IFERROR(INDEX('Catalog'!$B:$B,MATCH($G3596,'Catalog'!$A:$A,0)),$B3596))</f>
        <v>49 XXL מגן ירך</v>
      </c>
      <c r="I3596" s="8" t="str">
        <f aca="false">IF($G3596="","Unmatched","Matched")</f>
        <v>Matched</v>
      </c>
      <c r="J3596" s="8" t="n">
        <f aca="false">IF($G3596&lt;&gt;"",$G3596,$B3596)</f>
        <v>4413115</v>
      </c>
      <c r="K3596" s="8" t="str">
        <f aca="false">IF(COUNTIF($M$1:$M$10,$A3596)&gt;0,"Y","N")</f>
        <v>N</v>
      </c>
    </row>
    <row r="3597" customFormat="false" ht="15" hidden="false" customHeight="true" outlineLevel="0" collapsed="false">
      <c r="A3597" s="8" t="s">
        <v>1084</v>
      </c>
      <c r="B3597" s="8" t="s">
        <v>285</v>
      </c>
      <c r="C3597" s="19" t="n">
        <v>5</v>
      </c>
      <c r="D3597" s="19" t="n">
        <v>445.48</v>
      </c>
      <c r="E3597" s="19" t="n">
        <v>0</v>
      </c>
      <c r="F3597" s="19" t="n">
        <v>0</v>
      </c>
      <c r="G3597" s="8" t="str">
        <f aca="false">IFERROR(INDEX('TRANS'!$B:$B,MATCH($B3597,'TRANS'!$A:$A,0)),IFERROR(INDEX('TRANS'!$B:$B,MATCH(TRIM(SUBSTITUTE($B3597,CHAR(160)," ")),'TRANS'!$D:$D,0)),IFERROR(INDEX('Catalog'!$A:$A,MATCH($B3597,'Catalog'!$B:$B,0)),IFERROR(INDEX('Catalog'!$A:$A,MATCH(TRIM(SUBSTITUTE($B3597,CHAR(160)," ")),'Catalog'!$C:$C,0)),""))))</f>
        <v/>
      </c>
      <c r="H3597" s="8" t="str">
        <f aca="false">IFERROR(INDEX('TRANS'!$C:$C,MATCH($B3597,'TRANS'!$A:$A,0)),IFERROR(INDEX('Catalog'!$B:$B,MATCH($G3597,'Catalog'!$A:$A,0)),$B3597))</f>
        <v>59DB L</v>
      </c>
      <c r="I3597" s="8" t="str">
        <f aca="false">IF($G3597="","Unmatched","Matched")</f>
        <v>Unmatched</v>
      </c>
      <c r="J3597" s="8" t="str">
        <f aca="false">IF($G3597&lt;&gt;"",$G3597,$B3597)</f>
        <v>59DB L</v>
      </c>
      <c r="K3597" s="8" t="str">
        <f aca="false">IF(COUNTIF($M$1:$M$10,$A3597)&gt;0,"Y","N")</f>
        <v>N</v>
      </c>
    </row>
    <row r="3598" customFormat="false" ht="15" hidden="false" customHeight="true" outlineLevel="0" collapsed="false">
      <c r="A3598" s="8" t="s">
        <v>1084</v>
      </c>
      <c r="B3598" s="8" t="s">
        <v>286</v>
      </c>
      <c r="C3598" s="19" t="n">
        <v>5</v>
      </c>
      <c r="D3598" s="19" t="n">
        <v>445.48</v>
      </c>
      <c r="E3598" s="19" t="n">
        <v>0</v>
      </c>
      <c r="F3598" s="19" t="n">
        <v>0</v>
      </c>
      <c r="G3598" s="8" t="str">
        <f aca="false">IFERROR(INDEX('TRANS'!$B:$B,MATCH($B3598,'TRANS'!$A:$A,0)),IFERROR(INDEX('TRANS'!$B:$B,MATCH(TRIM(SUBSTITUTE($B3598,CHAR(160)," ")),'TRANS'!$D:$D,0)),IFERROR(INDEX('Catalog'!$A:$A,MATCH($B3598,'Catalog'!$B:$B,0)),IFERROR(INDEX('Catalog'!$A:$A,MATCH(TRIM(SUBSTITUTE($B3598,CHAR(160)," ")),'Catalog'!$C:$C,0)),""))))</f>
        <v/>
      </c>
      <c r="H3598" s="8" t="str">
        <f aca="false">IFERROR(INDEX('TRANS'!$C:$C,MATCH($B3598,'TRANS'!$A:$A,0)),IFERROR(INDEX('Catalog'!$B:$B,MATCH($G3598,'Catalog'!$A:$A,0)),$B3598))</f>
        <v>59DB M</v>
      </c>
      <c r="I3598" s="8" t="str">
        <f aca="false">IF($G3598="","Unmatched","Matched")</f>
        <v>Unmatched</v>
      </c>
      <c r="J3598" s="8" t="str">
        <f aca="false">IF($G3598&lt;&gt;"",$G3598,$B3598)</f>
        <v>59DB M</v>
      </c>
      <c r="K3598" s="8" t="str">
        <f aca="false">IF(COUNTIF($M$1:$M$10,$A3598)&gt;0,"Y","N")</f>
        <v>N</v>
      </c>
    </row>
    <row r="3599" customFormat="false" ht="15" hidden="false" customHeight="true" outlineLevel="0" collapsed="false">
      <c r="A3599" s="8" t="s">
        <v>1084</v>
      </c>
      <c r="B3599" s="8" t="s">
        <v>376</v>
      </c>
      <c r="C3599" s="19" t="n">
        <v>5</v>
      </c>
      <c r="D3599" s="19" t="n">
        <v>445.48</v>
      </c>
      <c r="E3599" s="19" t="n">
        <v>0</v>
      </c>
      <c r="F3599" s="19" t="n">
        <v>0</v>
      </c>
      <c r="G3599" s="8" t="str">
        <f aca="false">IFERROR(INDEX('TRANS'!$B:$B,MATCH($B3599,'TRANS'!$A:$A,0)),IFERROR(INDEX('TRANS'!$B:$B,MATCH(TRIM(SUBSTITUTE($B3599,CHAR(160)," ")),'TRANS'!$D:$D,0)),IFERROR(INDEX('Catalog'!$A:$A,MATCH($B3599,'Catalog'!$B:$B,0)),IFERROR(INDEX('Catalog'!$A:$A,MATCH(TRIM(SUBSTITUTE($B3599,CHAR(160)," ")),'Catalog'!$C:$C,0)),""))))</f>
        <v/>
      </c>
      <c r="H3599" s="8" t="str">
        <f aca="false">IFERROR(INDEX('TRANS'!$C:$C,MATCH($B3599,'TRANS'!$A:$A,0)),IFERROR(INDEX('Catalog'!$B:$B,MATCH($G3599,'Catalog'!$A:$A,0)),$B3599))</f>
        <v>59DB S</v>
      </c>
      <c r="I3599" s="8" t="str">
        <f aca="false">IF($G3599="","Unmatched","Matched")</f>
        <v>Unmatched</v>
      </c>
      <c r="J3599" s="8" t="str">
        <f aca="false">IF($G3599&lt;&gt;"",$G3599,$B3599)</f>
        <v>59DB S</v>
      </c>
      <c r="K3599" s="8" t="str">
        <f aca="false">IF(COUNTIF($M$1:$M$10,$A3599)&gt;0,"Y","N")</f>
        <v>N</v>
      </c>
    </row>
    <row r="3600" customFormat="false" ht="15" hidden="false" customHeight="true" outlineLevel="0" collapsed="false">
      <c r="A3600" s="8" t="s">
        <v>1084</v>
      </c>
      <c r="B3600" s="8" t="s">
        <v>506</v>
      </c>
      <c r="C3600" s="19" t="n">
        <v>5</v>
      </c>
      <c r="D3600" s="19" t="n">
        <v>445.48</v>
      </c>
      <c r="E3600" s="19" t="n">
        <v>0</v>
      </c>
      <c r="F3600" s="19" t="n">
        <v>0</v>
      </c>
      <c r="G3600" s="8" t="str">
        <f aca="false">IFERROR(INDEX('TRANS'!$B:$B,MATCH($B3600,'TRANS'!$A:$A,0)),IFERROR(INDEX('TRANS'!$B:$B,MATCH(TRIM(SUBSTITUTE($B3600,CHAR(160)," ")),'TRANS'!$D:$D,0)),IFERROR(INDEX('Catalog'!$A:$A,MATCH($B3600,'Catalog'!$B:$B,0)),IFERROR(INDEX('Catalog'!$A:$A,MATCH(TRIM(SUBSTITUTE($B3600,CHAR(160)," ")),'Catalog'!$C:$C,0)),""))))</f>
        <v/>
      </c>
      <c r="H3600" s="8" t="str">
        <f aca="false">IFERROR(INDEX('TRANS'!$C:$C,MATCH($B3600,'TRANS'!$A:$A,0)),IFERROR(INDEX('Catalog'!$B:$B,MATCH($G3600,'Catalog'!$A:$A,0)),$B3600))</f>
        <v>59DB XL</v>
      </c>
      <c r="I3600" s="8" t="str">
        <f aca="false">IF($G3600="","Unmatched","Matched")</f>
        <v>Unmatched</v>
      </c>
      <c r="J3600" s="8" t="str">
        <f aca="false">IF($G3600&lt;&gt;"",$G3600,$B3600)</f>
        <v>59DB XL</v>
      </c>
      <c r="K3600" s="8" t="str">
        <f aca="false">IF(COUNTIF($M$1:$M$10,$A3600)&gt;0,"Y","N")</f>
        <v>N</v>
      </c>
    </row>
    <row r="3601" customFormat="false" ht="15" hidden="false" customHeight="true" outlineLevel="0" collapsed="false">
      <c r="A3601" s="8" t="s">
        <v>1084</v>
      </c>
      <c r="B3601" s="8" t="s">
        <v>1090</v>
      </c>
      <c r="C3601" s="19" t="n">
        <v>5</v>
      </c>
      <c r="D3601" s="19" t="n">
        <v>445.48</v>
      </c>
      <c r="E3601" s="19" t="n">
        <v>0</v>
      </c>
      <c r="F3601" s="19" t="n">
        <v>0</v>
      </c>
      <c r="G3601" s="8" t="str">
        <f aca="false">IFERROR(INDEX('TRANS'!$B:$B,MATCH($B3601,'TRANS'!$A:$A,0)),IFERROR(INDEX('TRANS'!$B:$B,MATCH(TRIM(SUBSTITUTE($B3601,CHAR(160)," ")),'TRANS'!$D:$D,0)),IFERROR(INDEX('Catalog'!$A:$A,MATCH($B3601,'Catalog'!$B:$B,0)),IFERROR(INDEX('Catalog'!$A:$A,MATCH(TRIM(SUBSTITUTE($B3601,CHAR(160)," ")),'Catalog'!$C:$C,0)),""))))</f>
        <v/>
      </c>
      <c r="H3601" s="8" t="str">
        <f aca="false">IFERROR(INDEX('TRANS'!$C:$C,MATCH($B3601,'TRANS'!$A:$A,0)),IFERROR(INDEX('Catalog'!$B:$B,MATCH($G3601,'Catalog'!$A:$A,0)),$B3601))</f>
        <v>59DB XXL</v>
      </c>
      <c r="I3601" s="8" t="str">
        <f aca="false">IF($G3601="","Unmatched","Matched")</f>
        <v>Unmatched</v>
      </c>
      <c r="J3601" s="8" t="str">
        <f aca="false">IF($G3601&lt;&gt;"",$G3601,$B3601)</f>
        <v>59DB XXL</v>
      </c>
      <c r="K3601" s="8" t="str">
        <f aca="false">IF(COUNTIF($M$1:$M$10,$A3601)&gt;0,"Y","N")</f>
        <v>N</v>
      </c>
    </row>
    <row r="3602" customFormat="false" ht="15" hidden="false" customHeight="true" outlineLevel="0" collapsed="false">
      <c r="A3602" s="8" t="s">
        <v>1084</v>
      </c>
      <c r="B3602" s="8" t="s">
        <v>237</v>
      </c>
      <c r="C3602" s="19" t="n">
        <v>5</v>
      </c>
      <c r="D3602" s="19" t="n">
        <v>405.71</v>
      </c>
      <c r="E3602" s="19" t="n">
        <v>3</v>
      </c>
      <c r="F3602" s="19" t="n">
        <v>233.33</v>
      </c>
      <c r="G3602" s="8" t="str">
        <f aca="false">IFERROR(INDEX('TRANS'!$B:$B,MATCH($B3602,'TRANS'!$A:$A,0)),IFERROR(INDEX('TRANS'!$B:$B,MATCH(TRIM(SUBSTITUTE($B3602,CHAR(160)," ")),'TRANS'!$D:$D,0)),IFERROR(INDEX('Catalog'!$A:$A,MATCH($B3602,'Catalog'!$B:$B,0)),IFERROR(INDEX('Catalog'!$A:$A,MATCH(TRIM(SUBSTITUTE($B3602,CHAR(160)," ")),'Catalog'!$C:$C,0)),""))))</f>
        <v/>
      </c>
      <c r="H3602" s="8" t="str">
        <f aca="false">IFERROR(INDEX('TRANS'!$C:$C,MATCH($B3602,'TRANS'!$A:$A,0)),IFERROR(INDEX('Catalog'!$B:$B,MATCH($G3602,'Catalog'!$A:$A,0)),$B3602))</f>
        <v>59LB L</v>
      </c>
      <c r="I3602" s="8" t="str">
        <f aca="false">IF($G3602="","Unmatched","Matched")</f>
        <v>Unmatched</v>
      </c>
      <c r="J3602" s="8" t="str">
        <f aca="false">IF($G3602&lt;&gt;"",$G3602,$B3602)</f>
        <v>59LB L</v>
      </c>
      <c r="K3602" s="8" t="str">
        <f aca="false">IF(COUNTIF($M$1:$M$10,$A3602)&gt;0,"Y","N")</f>
        <v>N</v>
      </c>
    </row>
    <row r="3603" customFormat="false" ht="15" hidden="false" customHeight="true" outlineLevel="0" collapsed="false">
      <c r="A3603" s="8" t="s">
        <v>1084</v>
      </c>
      <c r="B3603" s="8" t="s">
        <v>202</v>
      </c>
      <c r="C3603" s="19" t="n">
        <v>5</v>
      </c>
      <c r="D3603" s="19" t="n">
        <v>405.71</v>
      </c>
      <c r="E3603" s="19" t="n">
        <v>3</v>
      </c>
      <c r="F3603" s="19" t="n">
        <v>233.33</v>
      </c>
      <c r="G3603" s="8" t="str">
        <f aca="false">IFERROR(INDEX('TRANS'!$B:$B,MATCH($B3603,'TRANS'!$A:$A,0)),IFERROR(INDEX('TRANS'!$B:$B,MATCH(TRIM(SUBSTITUTE($B3603,CHAR(160)," ")),'TRANS'!$D:$D,0)),IFERROR(INDEX('Catalog'!$A:$A,MATCH($B3603,'Catalog'!$B:$B,0)),IFERROR(INDEX('Catalog'!$A:$A,MATCH(TRIM(SUBSTITUTE($B3603,CHAR(160)," ")),'Catalog'!$C:$C,0)),""))))</f>
        <v/>
      </c>
      <c r="H3603" s="8" t="str">
        <f aca="false">IFERROR(INDEX('TRANS'!$C:$C,MATCH($B3603,'TRANS'!$A:$A,0)),IFERROR(INDEX('Catalog'!$B:$B,MATCH($G3603,'Catalog'!$A:$A,0)),$B3603))</f>
        <v>59LB M</v>
      </c>
      <c r="I3603" s="8" t="str">
        <f aca="false">IF($G3603="","Unmatched","Matched")</f>
        <v>Unmatched</v>
      </c>
      <c r="J3603" s="8" t="str">
        <f aca="false">IF($G3603&lt;&gt;"",$G3603,$B3603)</f>
        <v>59LB M</v>
      </c>
      <c r="K3603" s="8" t="str">
        <f aca="false">IF(COUNTIF($M$1:$M$10,$A3603)&gt;0,"Y","N")</f>
        <v>N</v>
      </c>
    </row>
    <row r="3604" customFormat="false" ht="15" hidden="false" customHeight="true" outlineLevel="0" collapsed="false">
      <c r="A3604" s="8" t="s">
        <v>1084</v>
      </c>
      <c r="B3604" s="8" t="s">
        <v>1091</v>
      </c>
      <c r="C3604" s="19" t="n">
        <v>5</v>
      </c>
      <c r="D3604" s="19" t="n">
        <v>405.71</v>
      </c>
      <c r="E3604" s="19" t="n">
        <v>0</v>
      </c>
      <c r="F3604" s="19" t="n">
        <v>0</v>
      </c>
      <c r="G3604" s="8" t="str">
        <f aca="false">IFERROR(INDEX('TRANS'!$B:$B,MATCH($B3604,'TRANS'!$A:$A,0)),IFERROR(INDEX('TRANS'!$B:$B,MATCH(TRIM(SUBSTITUTE($B3604,CHAR(160)," ")),'TRANS'!$D:$D,0)),IFERROR(INDEX('Catalog'!$A:$A,MATCH($B3604,'Catalog'!$B:$B,0)),IFERROR(INDEX('Catalog'!$A:$A,MATCH(TRIM(SUBSTITUTE($B3604,CHAR(160)," ")),'Catalog'!$C:$C,0)),""))))</f>
        <v/>
      </c>
      <c r="H3604" s="8" t="str">
        <f aca="false">IFERROR(INDEX('TRANS'!$C:$C,MATCH($B3604,'TRANS'!$A:$A,0)),IFERROR(INDEX('Catalog'!$B:$B,MATCH($G3604,'Catalog'!$A:$A,0)),$B3604))</f>
        <v>59LB S</v>
      </c>
      <c r="I3604" s="8" t="str">
        <f aca="false">IF($G3604="","Unmatched","Matched")</f>
        <v>Unmatched</v>
      </c>
      <c r="J3604" s="8" t="str">
        <f aca="false">IF($G3604&lt;&gt;"",$G3604,$B3604)</f>
        <v>59LB S</v>
      </c>
      <c r="K3604" s="8" t="str">
        <f aca="false">IF(COUNTIF($M$1:$M$10,$A3604)&gt;0,"Y","N")</f>
        <v>N</v>
      </c>
    </row>
    <row r="3605" customFormat="false" ht="15" hidden="false" customHeight="true" outlineLevel="0" collapsed="false">
      <c r="A3605" s="8" t="s">
        <v>1084</v>
      </c>
      <c r="B3605" s="8" t="s">
        <v>1092</v>
      </c>
      <c r="C3605" s="19" t="n">
        <v>5</v>
      </c>
      <c r="D3605" s="19" t="n">
        <v>405.71</v>
      </c>
      <c r="E3605" s="19" t="n">
        <v>0</v>
      </c>
      <c r="F3605" s="19" t="n">
        <v>0</v>
      </c>
      <c r="G3605" s="8" t="str">
        <f aca="false">IFERROR(INDEX('TRANS'!$B:$B,MATCH($B3605,'TRANS'!$A:$A,0)),IFERROR(INDEX('TRANS'!$B:$B,MATCH(TRIM(SUBSTITUTE($B3605,CHAR(160)," ")),'TRANS'!$D:$D,0)),IFERROR(INDEX('Catalog'!$A:$A,MATCH($B3605,'Catalog'!$B:$B,0)),IFERROR(INDEX('Catalog'!$A:$A,MATCH(TRIM(SUBSTITUTE($B3605,CHAR(160)," ")),'Catalog'!$C:$C,0)),""))))</f>
        <v/>
      </c>
      <c r="H3605" s="8" t="str">
        <f aca="false">IFERROR(INDEX('TRANS'!$C:$C,MATCH($B3605,'TRANS'!$A:$A,0)),IFERROR(INDEX('Catalog'!$B:$B,MATCH($G3605,'Catalog'!$A:$A,0)),$B3605))</f>
        <v>59LB XL</v>
      </c>
      <c r="I3605" s="8" t="str">
        <f aca="false">IF($G3605="","Unmatched","Matched")</f>
        <v>Unmatched</v>
      </c>
      <c r="J3605" s="8" t="str">
        <f aca="false">IF($G3605&lt;&gt;"",$G3605,$B3605)</f>
        <v>59LB XL</v>
      </c>
      <c r="K3605" s="8" t="str">
        <f aca="false">IF(COUNTIF($M$1:$M$10,$A3605)&gt;0,"Y","N")</f>
        <v>N</v>
      </c>
    </row>
    <row r="3606" customFormat="false" ht="15" hidden="false" customHeight="true" outlineLevel="0" collapsed="false">
      <c r="A3606" s="8" t="s">
        <v>1084</v>
      </c>
      <c r="B3606" s="8" t="s">
        <v>1093</v>
      </c>
      <c r="C3606" s="19" t="n">
        <v>5</v>
      </c>
      <c r="D3606" s="19" t="n">
        <v>405.71</v>
      </c>
      <c r="E3606" s="19" t="n">
        <v>0</v>
      </c>
      <c r="F3606" s="19" t="n">
        <v>0</v>
      </c>
      <c r="G3606" s="8" t="str">
        <f aca="false">IFERROR(INDEX('TRANS'!$B:$B,MATCH($B3606,'TRANS'!$A:$A,0)),IFERROR(INDEX('TRANS'!$B:$B,MATCH(TRIM(SUBSTITUTE($B3606,CHAR(160)," ")),'TRANS'!$D:$D,0)),IFERROR(INDEX('Catalog'!$A:$A,MATCH($B3606,'Catalog'!$B:$B,0)),IFERROR(INDEX('Catalog'!$A:$A,MATCH(TRIM(SUBSTITUTE($B3606,CHAR(160)," ")),'Catalog'!$C:$C,0)),""))))</f>
        <v/>
      </c>
      <c r="H3606" s="8" t="str">
        <f aca="false">IFERROR(INDEX('TRANS'!$C:$C,MATCH($B3606,'TRANS'!$A:$A,0)),IFERROR(INDEX('Catalog'!$B:$B,MATCH($G3606,'Catalog'!$A:$A,0)),$B3606))</f>
        <v>59LB XXL</v>
      </c>
      <c r="I3606" s="8" t="str">
        <f aca="false">IF($G3606="","Unmatched","Matched")</f>
        <v>Unmatched</v>
      </c>
      <c r="J3606" s="8" t="str">
        <f aca="false">IF($G3606&lt;&gt;"",$G3606,$B3606)</f>
        <v>59LB XXL</v>
      </c>
      <c r="K3606" s="8" t="str">
        <f aca="false">IF(COUNTIF($M$1:$M$10,$A3606)&gt;0,"Y","N")</f>
        <v>N</v>
      </c>
    </row>
    <row r="3607" customFormat="false" ht="15" hidden="false" customHeight="true" outlineLevel="0" collapsed="false">
      <c r="A3607" s="8" t="s">
        <v>1084</v>
      </c>
      <c r="B3607" s="8" t="s">
        <v>203</v>
      </c>
      <c r="C3607" s="19" t="n">
        <v>5</v>
      </c>
      <c r="D3607" s="19" t="n">
        <v>405.71</v>
      </c>
      <c r="E3607" s="19" t="n">
        <v>3</v>
      </c>
      <c r="F3607" s="19" t="n">
        <v>233.33</v>
      </c>
      <c r="G3607" s="8" t="str">
        <f aca="false">IFERROR(INDEX('TRANS'!$B:$B,MATCH($B3607,'TRANS'!$A:$A,0)),IFERROR(INDEX('TRANS'!$B:$B,MATCH(TRIM(SUBSTITUTE($B3607,CHAR(160)," ")),'TRANS'!$D:$D,0)),IFERROR(INDEX('Catalog'!$A:$A,MATCH($B3607,'Catalog'!$B:$B,0)),IFERROR(INDEX('Catalog'!$A:$A,MATCH(TRIM(SUBSTITUTE($B3607,CHAR(160)," ")),'Catalog'!$C:$C,0)),""))))</f>
        <v/>
      </c>
      <c r="H3607" s="8" t="str">
        <f aca="false">IFERROR(INDEX('TRANS'!$C:$C,MATCH($B3607,'TRANS'!$A:$A,0)),IFERROR(INDEX('Catalog'!$B:$B,MATCH($G3607,'Catalog'!$A:$A,0)),$B3607))</f>
        <v>59RB L</v>
      </c>
      <c r="I3607" s="8" t="str">
        <f aca="false">IF($G3607="","Unmatched","Matched")</f>
        <v>Unmatched</v>
      </c>
      <c r="J3607" s="8" t="str">
        <f aca="false">IF($G3607&lt;&gt;"",$G3607,$B3607)</f>
        <v>59RB L</v>
      </c>
      <c r="K3607" s="8" t="str">
        <f aca="false">IF(COUNTIF($M$1:$M$10,$A3607)&gt;0,"Y","N")</f>
        <v>N</v>
      </c>
    </row>
    <row r="3608" customFormat="false" ht="15" hidden="false" customHeight="true" outlineLevel="0" collapsed="false">
      <c r="A3608" s="8" t="s">
        <v>1084</v>
      </c>
      <c r="B3608" s="8" t="s">
        <v>204</v>
      </c>
      <c r="C3608" s="19" t="n">
        <v>5</v>
      </c>
      <c r="D3608" s="19" t="n">
        <v>405.71</v>
      </c>
      <c r="E3608" s="19" t="n">
        <v>3</v>
      </c>
      <c r="F3608" s="19" t="n">
        <v>233.33</v>
      </c>
      <c r="G3608" s="8" t="str">
        <f aca="false">IFERROR(INDEX('TRANS'!$B:$B,MATCH($B3608,'TRANS'!$A:$A,0)),IFERROR(INDEX('TRANS'!$B:$B,MATCH(TRIM(SUBSTITUTE($B3608,CHAR(160)," ")),'TRANS'!$D:$D,0)),IFERROR(INDEX('Catalog'!$A:$A,MATCH($B3608,'Catalog'!$B:$B,0)),IFERROR(INDEX('Catalog'!$A:$A,MATCH(TRIM(SUBSTITUTE($B3608,CHAR(160)," ")),'Catalog'!$C:$C,0)),""))))</f>
        <v/>
      </c>
      <c r="H3608" s="8" t="str">
        <f aca="false">IFERROR(INDEX('TRANS'!$C:$C,MATCH($B3608,'TRANS'!$A:$A,0)),IFERROR(INDEX('Catalog'!$B:$B,MATCH($G3608,'Catalog'!$A:$A,0)),$B3608))</f>
        <v>59RB M</v>
      </c>
      <c r="I3608" s="8" t="str">
        <f aca="false">IF($G3608="","Unmatched","Matched")</f>
        <v>Unmatched</v>
      </c>
      <c r="J3608" s="8" t="str">
        <f aca="false">IF($G3608&lt;&gt;"",$G3608,$B3608)</f>
        <v>59RB M</v>
      </c>
      <c r="K3608" s="8" t="str">
        <f aca="false">IF(COUNTIF($M$1:$M$10,$A3608)&gt;0,"Y","N")</f>
        <v>N</v>
      </c>
    </row>
    <row r="3609" customFormat="false" ht="15" hidden="false" customHeight="true" outlineLevel="0" collapsed="false">
      <c r="A3609" s="8" t="s">
        <v>1084</v>
      </c>
      <c r="B3609" s="8" t="s">
        <v>1094</v>
      </c>
      <c r="C3609" s="19" t="n">
        <v>5</v>
      </c>
      <c r="D3609" s="19" t="n">
        <v>405.71</v>
      </c>
      <c r="E3609" s="19" t="n">
        <v>0</v>
      </c>
      <c r="F3609" s="19" t="n">
        <v>0</v>
      </c>
      <c r="G3609" s="8" t="str">
        <f aca="false">IFERROR(INDEX('TRANS'!$B:$B,MATCH($B3609,'TRANS'!$A:$A,0)),IFERROR(INDEX('TRANS'!$B:$B,MATCH(TRIM(SUBSTITUTE($B3609,CHAR(160)," ")),'TRANS'!$D:$D,0)),IFERROR(INDEX('Catalog'!$A:$A,MATCH($B3609,'Catalog'!$B:$B,0)),IFERROR(INDEX('Catalog'!$A:$A,MATCH(TRIM(SUBSTITUTE($B3609,CHAR(160)," ")),'Catalog'!$C:$C,0)),""))))</f>
        <v/>
      </c>
      <c r="H3609" s="8" t="str">
        <f aca="false">IFERROR(INDEX('TRANS'!$C:$C,MATCH($B3609,'TRANS'!$A:$A,0)),IFERROR(INDEX('Catalog'!$B:$B,MATCH($G3609,'Catalog'!$A:$A,0)),$B3609))</f>
        <v>59RB S</v>
      </c>
      <c r="I3609" s="8" t="str">
        <f aca="false">IF($G3609="","Unmatched","Matched")</f>
        <v>Unmatched</v>
      </c>
      <c r="J3609" s="8" t="str">
        <f aca="false">IF($G3609&lt;&gt;"",$G3609,$B3609)</f>
        <v>59RB S</v>
      </c>
      <c r="K3609" s="8" t="str">
        <f aca="false">IF(COUNTIF($M$1:$M$10,$A3609)&gt;0,"Y","N")</f>
        <v>N</v>
      </c>
    </row>
    <row r="3610" customFormat="false" ht="15" hidden="false" customHeight="true" outlineLevel="0" collapsed="false">
      <c r="A3610" s="8" t="s">
        <v>1084</v>
      </c>
      <c r="B3610" s="8" t="s">
        <v>377</v>
      </c>
      <c r="C3610" s="19" t="n">
        <v>5</v>
      </c>
      <c r="D3610" s="19" t="n">
        <v>405.71</v>
      </c>
      <c r="E3610" s="19" t="n">
        <v>0</v>
      </c>
      <c r="F3610" s="19" t="n">
        <v>0</v>
      </c>
      <c r="G3610" s="8" t="str">
        <f aca="false">IFERROR(INDEX('TRANS'!$B:$B,MATCH($B3610,'TRANS'!$A:$A,0)),IFERROR(INDEX('TRANS'!$B:$B,MATCH(TRIM(SUBSTITUTE($B3610,CHAR(160)," ")),'TRANS'!$D:$D,0)),IFERROR(INDEX('Catalog'!$A:$A,MATCH($B3610,'Catalog'!$B:$B,0)),IFERROR(INDEX('Catalog'!$A:$A,MATCH(TRIM(SUBSTITUTE($B3610,CHAR(160)," ")),'Catalog'!$C:$C,0)),""))))</f>
        <v/>
      </c>
      <c r="H3610" s="8" t="str">
        <f aca="false">IFERROR(INDEX('TRANS'!$C:$C,MATCH($B3610,'TRANS'!$A:$A,0)),IFERROR(INDEX('Catalog'!$B:$B,MATCH($G3610,'Catalog'!$A:$A,0)),$B3610))</f>
        <v>59RB XL</v>
      </c>
      <c r="I3610" s="8" t="str">
        <f aca="false">IF($G3610="","Unmatched","Matched")</f>
        <v>Unmatched</v>
      </c>
      <c r="J3610" s="8" t="str">
        <f aca="false">IF($G3610&lt;&gt;"",$G3610,$B3610)</f>
        <v>59RB XL</v>
      </c>
      <c r="K3610" s="8" t="str">
        <f aca="false">IF(COUNTIF($M$1:$M$10,$A3610)&gt;0,"Y","N")</f>
        <v>N</v>
      </c>
    </row>
    <row r="3611" customFormat="false" ht="15" hidden="false" customHeight="true" outlineLevel="0" collapsed="false">
      <c r="A3611" s="8" t="s">
        <v>1084</v>
      </c>
      <c r="B3611" s="8" t="s">
        <v>378</v>
      </c>
      <c r="C3611" s="19" t="n">
        <v>5</v>
      </c>
      <c r="D3611" s="19" t="n">
        <v>405.71</v>
      </c>
      <c r="E3611" s="19" t="n">
        <v>0</v>
      </c>
      <c r="F3611" s="19" t="n">
        <v>0</v>
      </c>
      <c r="G3611" s="8" t="str">
        <f aca="false">IFERROR(INDEX('TRANS'!$B:$B,MATCH($B3611,'TRANS'!$A:$A,0)),IFERROR(INDEX('TRANS'!$B:$B,MATCH(TRIM(SUBSTITUTE($B3611,CHAR(160)," ")),'TRANS'!$D:$D,0)),IFERROR(INDEX('Catalog'!$A:$A,MATCH($B3611,'Catalog'!$B:$B,0)),IFERROR(INDEX('Catalog'!$A:$A,MATCH(TRIM(SUBSTITUTE($B3611,CHAR(160)," ")),'Catalog'!$C:$C,0)),""))))</f>
        <v/>
      </c>
      <c r="H3611" s="8" t="str">
        <f aca="false">IFERROR(INDEX('TRANS'!$C:$C,MATCH($B3611,'TRANS'!$A:$A,0)),IFERROR(INDEX('Catalog'!$B:$B,MATCH($G3611,'Catalog'!$A:$A,0)),$B3611))</f>
        <v>59RB XXL</v>
      </c>
      <c r="I3611" s="8" t="str">
        <f aca="false">IF($G3611="","Unmatched","Matched")</f>
        <v>Unmatched</v>
      </c>
      <c r="J3611" s="8" t="str">
        <f aca="false">IF($G3611&lt;&gt;"",$G3611,$B3611)</f>
        <v>59RB XXL</v>
      </c>
      <c r="K3611" s="8" t="str">
        <f aca="false">IF(COUNTIF($M$1:$M$10,$A3611)&gt;0,"Y","N")</f>
        <v>N</v>
      </c>
    </row>
    <row r="3612" customFormat="false" ht="15" hidden="false" customHeight="true" outlineLevel="0" collapsed="false">
      <c r="A3612" s="8" t="s">
        <v>1084</v>
      </c>
      <c r="B3612" s="8" t="s">
        <v>165</v>
      </c>
      <c r="C3612" s="19" t="n">
        <v>0</v>
      </c>
      <c r="D3612" s="19" t="n">
        <v>0</v>
      </c>
      <c r="E3612" s="19" t="n">
        <v>1</v>
      </c>
      <c r="F3612" s="19" t="n">
        <v>0.03</v>
      </c>
      <c r="G3612" s="8" t="str">
        <f aca="false">IFERROR(INDEX('TRANS'!$B:$B,MATCH($B3612,'TRANS'!$A:$A,0)),IFERROR(INDEX('TRANS'!$B:$B,MATCH(TRIM(SUBSTITUTE($B3612,CHAR(160)," ")),'TRANS'!$D:$D,0)),IFERROR(INDEX('Catalog'!$A:$A,MATCH($B3612,'Catalog'!$B:$B,0)),IFERROR(INDEX('Catalog'!$A:$A,MATCH(TRIM(SUBSTITUTE($B3612,CHAR(160)," ")),'Catalog'!$C:$C,0)),""))))</f>
        <v/>
      </c>
      <c r="H3612" s="8" t="str">
        <f aca="false">IFERROR(INDEX('TRANS'!$C:$C,MATCH($B3612,'TRANS'!$A:$A,0)),IFERROR(INDEX('Catalog'!$B:$B,MATCH($G3612,'Catalog'!$A:$A,0)),$B3612))</f>
        <v>61 M</v>
      </c>
      <c r="I3612" s="8" t="str">
        <f aca="false">IF($G3612="","Unmatched","Matched")</f>
        <v>Unmatched</v>
      </c>
      <c r="J3612" s="8" t="str">
        <f aca="false">IF($G3612&lt;&gt;"",$G3612,$B3612)</f>
        <v>61 M</v>
      </c>
      <c r="K3612" s="8" t="str">
        <f aca="false">IF(COUNTIF($M$1:$M$10,$A3612)&gt;0,"Y","N")</f>
        <v>N</v>
      </c>
    </row>
    <row r="3613" customFormat="false" ht="15" hidden="false" customHeight="true" outlineLevel="0" collapsed="false">
      <c r="A3613" s="8" t="s">
        <v>1084</v>
      </c>
      <c r="B3613" s="8" t="s">
        <v>556</v>
      </c>
      <c r="C3613" s="19" t="n">
        <v>6</v>
      </c>
      <c r="D3613" s="19" t="n">
        <v>412.53</v>
      </c>
      <c r="E3613" s="19" t="n">
        <v>7</v>
      </c>
      <c r="F3613" s="19" t="n">
        <v>488.97</v>
      </c>
      <c r="G3613" s="8" t="n">
        <f aca="false">IFERROR(INDEX('TRANS'!$B:$B,MATCH($B3613,'TRANS'!$A:$A,0)),IFERROR(INDEX('TRANS'!$B:$B,MATCH(TRIM(SUBSTITUTE($B3613,CHAR(160)," ")),'TRANS'!$D:$D,0)),IFERROR(INDEX('Catalog'!$A:$A,MATCH($B3613,'Catalog'!$B:$B,0)),IFERROR(INDEX('Catalog'!$A:$A,MATCH(TRIM(SUBSTITUTE($B3613,CHAR(160)," ")),'Catalog'!$C:$C,0)),""))))</f>
        <v>4413127</v>
      </c>
      <c r="H3613" s="8" t="str">
        <f aca="false">IFERROR(INDEX('TRANS'!$C:$C,MATCH($B3613,'TRANS'!$A:$A,0)),IFERROR(INDEX('Catalog'!$B:$B,MATCH($G3613,'Catalog'!$A:$A,0)),$B3613))</f>
        <v>75 Lמיישר כתף יציב יישור גב צר</v>
      </c>
      <c r="I3613" s="8" t="str">
        <f aca="false">IF($G3613="","Unmatched","Matched")</f>
        <v>Matched</v>
      </c>
      <c r="J3613" s="8" t="n">
        <f aca="false">IF($G3613&lt;&gt;"",$G3613,$B3613)</f>
        <v>4413127</v>
      </c>
      <c r="K3613" s="8" t="str">
        <f aca="false">IF(COUNTIF($M$1:$M$10,$A3613)&gt;0,"Y","N")</f>
        <v>N</v>
      </c>
    </row>
    <row r="3614" customFormat="false" ht="15" hidden="false" customHeight="true" outlineLevel="0" collapsed="false">
      <c r="A3614" s="8" t="s">
        <v>1084</v>
      </c>
      <c r="B3614" s="8" t="s">
        <v>930</v>
      </c>
      <c r="C3614" s="19" t="n">
        <v>5</v>
      </c>
      <c r="D3614" s="19" t="n">
        <v>343.78</v>
      </c>
      <c r="E3614" s="19" t="n">
        <v>5</v>
      </c>
      <c r="F3614" s="19" t="n">
        <v>349.26</v>
      </c>
      <c r="G3614" s="8" t="n">
        <f aca="false">IFERROR(INDEX('TRANS'!$B:$B,MATCH($B3614,'TRANS'!$A:$A,0)),IFERROR(INDEX('TRANS'!$B:$B,MATCH(TRIM(SUBSTITUTE($B3614,CHAR(160)," ")),'TRANS'!$D:$D,0)),IFERROR(INDEX('Catalog'!$A:$A,MATCH($B3614,'Catalog'!$B:$B,0)),IFERROR(INDEX('Catalog'!$A:$A,MATCH(TRIM(SUBSTITUTE($B3614,CHAR(160)," ")),'Catalog'!$C:$C,0)),""))))</f>
        <v>4413128</v>
      </c>
      <c r="H3614" s="8" t="str">
        <f aca="false">IFERROR(INDEX('TRANS'!$C:$C,MATCH($B3614,'TRANS'!$A:$A,0)),IFERROR(INDEX('Catalog'!$B:$B,MATCH($G3614,'Catalog'!$A:$A,0)),$B3614))</f>
        <v>75 Mמיישר כתף יציב יישור גב צר</v>
      </c>
      <c r="I3614" s="8" t="str">
        <f aca="false">IF($G3614="","Unmatched","Matched")</f>
        <v>Matched</v>
      </c>
      <c r="J3614" s="8" t="n">
        <f aca="false">IF($G3614&lt;&gt;"",$G3614,$B3614)</f>
        <v>4413128</v>
      </c>
      <c r="K3614" s="8" t="str">
        <f aca="false">IF(COUNTIF($M$1:$M$10,$A3614)&gt;0,"Y","N")</f>
        <v>N</v>
      </c>
    </row>
    <row r="3615" customFormat="false" ht="15" hidden="false" customHeight="true" outlineLevel="0" collapsed="false">
      <c r="A3615" s="8" t="s">
        <v>1084</v>
      </c>
      <c r="B3615" s="8" t="s">
        <v>987</v>
      </c>
      <c r="C3615" s="19" t="n">
        <v>2</v>
      </c>
      <c r="D3615" s="19" t="n">
        <v>123.61</v>
      </c>
      <c r="E3615" s="19" t="n">
        <v>3</v>
      </c>
      <c r="F3615" s="19" t="n">
        <v>209.56</v>
      </c>
      <c r="G3615" s="8" t="n">
        <f aca="false">IFERROR(INDEX('TRANS'!$B:$B,MATCH($B3615,'TRANS'!$A:$A,0)),IFERROR(INDEX('TRANS'!$B:$B,MATCH(TRIM(SUBSTITUTE($B3615,CHAR(160)," ")),'TRANS'!$D:$D,0)),IFERROR(INDEX('Catalog'!$A:$A,MATCH($B3615,'Catalog'!$B:$B,0)),IFERROR(INDEX('Catalog'!$A:$A,MATCH(TRIM(SUBSTITUTE($B3615,CHAR(160)," ")),'Catalog'!$C:$C,0)),""))))</f>
        <v>4413126</v>
      </c>
      <c r="H3615" s="8" t="str">
        <f aca="false">IFERROR(INDEX('TRANS'!$C:$C,MATCH($B3615,'TRANS'!$A:$A,0)),IFERROR(INDEX('Catalog'!$B:$B,MATCH($G3615,'Catalog'!$A:$A,0)),$B3615))</f>
        <v>75 Sמיישר כתף יציב יישור גב צר</v>
      </c>
      <c r="I3615" s="8" t="str">
        <f aca="false">IF($G3615="","Unmatched","Matched")</f>
        <v>Matched</v>
      </c>
      <c r="J3615" s="8" t="n">
        <f aca="false">IF($G3615&lt;&gt;"",$G3615,$B3615)</f>
        <v>4413126</v>
      </c>
      <c r="K3615" s="8" t="str">
        <f aca="false">IF(COUNTIF($M$1:$M$10,$A3615)&gt;0,"Y","N")</f>
        <v>N</v>
      </c>
    </row>
    <row r="3616" customFormat="false" ht="15" hidden="false" customHeight="true" outlineLevel="0" collapsed="false">
      <c r="A3616" s="8" t="s">
        <v>1084</v>
      </c>
      <c r="B3616" s="8" t="s">
        <v>557</v>
      </c>
      <c r="C3616" s="19" t="n">
        <v>6</v>
      </c>
      <c r="D3616" s="19" t="n">
        <v>412.53</v>
      </c>
      <c r="E3616" s="19" t="n">
        <v>0</v>
      </c>
      <c r="F3616" s="19" t="n">
        <v>0</v>
      </c>
      <c r="G3616" s="8" t="n">
        <f aca="false">IFERROR(INDEX('TRANS'!$B:$B,MATCH($B3616,'TRANS'!$A:$A,0)),IFERROR(INDEX('TRANS'!$B:$B,MATCH(TRIM(SUBSTITUTE($B3616,CHAR(160)," ")),'TRANS'!$D:$D,0)),IFERROR(INDEX('Catalog'!$A:$A,MATCH($B3616,'Catalog'!$B:$B,0)),IFERROR(INDEX('Catalog'!$A:$A,MATCH(TRIM(SUBSTITUTE($B3616,CHAR(160)," ")),'Catalog'!$C:$C,0)),""))))</f>
        <v>4413129</v>
      </c>
      <c r="H3616" s="8" t="str">
        <f aca="false">IFERROR(INDEX('TRANS'!$C:$C,MATCH($B3616,'TRANS'!$A:$A,0)),IFERROR(INDEX('Catalog'!$B:$B,MATCH($G3616,'Catalog'!$A:$A,0)),$B3616))</f>
        <v>75 XLמיישר כתף יציב יישור ג.צר</v>
      </c>
      <c r="I3616" s="8" t="str">
        <f aca="false">IF($G3616="","Unmatched","Matched")</f>
        <v>Matched</v>
      </c>
      <c r="J3616" s="8" t="n">
        <f aca="false">IF($G3616&lt;&gt;"",$G3616,$B3616)</f>
        <v>4413129</v>
      </c>
      <c r="K3616" s="8" t="str">
        <f aca="false">IF(COUNTIF($M$1:$M$10,$A3616)&gt;0,"Y","N")</f>
        <v>N</v>
      </c>
    </row>
    <row r="3617" customFormat="false" ht="15" hidden="false" customHeight="true" outlineLevel="0" collapsed="false">
      <c r="A3617" s="8" t="s">
        <v>1084</v>
      </c>
      <c r="B3617" s="8" t="s">
        <v>696</v>
      </c>
      <c r="C3617" s="19" t="n">
        <v>230</v>
      </c>
      <c r="D3617" s="19" t="n">
        <v>2114.55</v>
      </c>
      <c r="E3617" s="19" t="n">
        <v>130</v>
      </c>
      <c r="F3617" s="19" t="n">
        <v>1206.84</v>
      </c>
      <c r="G3617" s="8" t="n">
        <f aca="false">IFERROR(INDEX('TRANS'!$B:$B,MATCH($B3617,'TRANS'!$A:$A,0)),IFERROR(INDEX('TRANS'!$B:$B,MATCH(TRIM(SUBSTITUTE($B3617,CHAR(160)," ")),'TRANS'!$D:$D,0)),IFERROR(INDEX('Catalog'!$A:$A,MATCH($B3617,'Catalog'!$B:$B,0)),IFERROR(INDEX('Catalog'!$A:$A,MATCH(TRIM(SUBSTITUTE($B3617,CHAR(160)," ")),'Catalog'!$C:$C,0)),""))))</f>
        <v>4422000</v>
      </c>
      <c r="H3617" s="8" t="str">
        <f aca="false">IFERROR(INDEX('TRANS'!$C:$C,MATCH($B3617,'TRANS'!$A:$A,0)),IFERROR(INDEX('Catalog'!$B:$B,MATCH($G3617,'Catalog'!$A:$A,0)),$B3617))</f>
        <v>801  תחבושת אלסטית מקררת</v>
      </c>
      <c r="I3617" s="8" t="str">
        <f aca="false">IF($G3617="","Unmatched","Matched")</f>
        <v>Matched</v>
      </c>
      <c r="J3617" s="8" t="n">
        <f aca="false">IF($G3617&lt;&gt;"",$G3617,$B3617)</f>
        <v>4422000</v>
      </c>
      <c r="K3617" s="8" t="str">
        <f aca="false">IF(COUNTIF($M$1:$M$10,$A3617)&gt;0,"Y","N")</f>
        <v>N</v>
      </c>
    </row>
    <row r="3618" customFormat="false" ht="15" hidden="false" customHeight="true" outlineLevel="0" collapsed="false">
      <c r="A3618" s="8" t="s">
        <v>1084</v>
      </c>
      <c r="B3618" s="8" t="s">
        <v>823</v>
      </c>
      <c r="C3618" s="19" t="n">
        <v>250</v>
      </c>
      <c r="D3618" s="19" t="n">
        <v>1487.58</v>
      </c>
      <c r="E3618" s="19" t="n">
        <v>100</v>
      </c>
      <c r="F3618" s="19" t="n">
        <v>570.35</v>
      </c>
      <c r="G3618" s="8" t="n">
        <f aca="false">IFERROR(INDEX('TRANS'!$B:$B,MATCH($B3618,'TRANS'!$A:$A,0)),IFERROR(INDEX('TRANS'!$B:$B,MATCH(TRIM(SUBSTITUTE($B3618,CHAR(160)," ")),'TRANS'!$D:$D,0)),IFERROR(INDEX('Catalog'!$A:$A,MATCH($B3618,'Catalog'!$B:$B,0)),IFERROR(INDEX('Catalog'!$A:$A,MATCH(TRIM(SUBSTITUTE($B3618,CHAR(160)," ")),'Catalog'!$C:$C,0)),""))))</f>
        <v>4422024</v>
      </c>
      <c r="H3618" s="8" t="str">
        <f aca="false">IFERROR(INDEX('TRANS'!$C:$C,MATCH($B3618,'TRANS'!$A:$A,0)),IFERROR(INDEX('Catalog'!$B:$B,MATCH($G3618,'Catalog'!$A:$A,0)),$B3618))</f>
        <v>806CB-BLACK      תחבושת א.נצמ</v>
      </c>
      <c r="I3618" s="8" t="str">
        <f aca="false">IF($G3618="","Unmatched","Matched")</f>
        <v>Matched</v>
      </c>
      <c r="J3618" s="8" t="n">
        <f aca="false">IF($G3618&lt;&gt;"",$G3618,$B3618)</f>
        <v>4422024</v>
      </c>
      <c r="K3618" s="8" t="str">
        <f aca="false">IF(COUNTIF($M$1:$M$10,$A3618)&gt;0,"Y","N")</f>
        <v>N</v>
      </c>
    </row>
    <row r="3619" customFormat="false" ht="15" hidden="false" customHeight="true" outlineLevel="0" collapsed="false">
      <c r="A3619" s="8" t="s">
        <v>1084</v>
      </c>
      <c r="B3619" s="8" t="s">
        <v>824</v>
      </c>
      <c r="C3619" s="19" t="n">
        <v>240</v>
      </c>
      <c r="D3619" s="19" t="n">
        <v>1588.75</v>
      </c>
      <c r="E3619" s="19" t="n">
        <v>220</v>
      </c>
      <c r="F3619" s="19" t="n">
        <v>1377.4</v>
      </c>
      <c r="G3619" s="8" t="n">
        <f aca="false">IFERROR(INDEX('TRANS'!$B:$B,MATCH($B3619,'TRANS'!$A:$A,0)),IFERROR(INDEX('TRANS'!$B:$B,MATCH(TRIM(SUBSTITUTE($B3619,CHAR(160)," ")),'TRANS'!$D:$D,0)),IFERROR(INDEX('Catalog'!$A:$A,MATCH($B3619,'Catalog'!$B:$B,0)),IFERROR(INDEX('Catalog'!$A:$A,MATCH(TRIM(SUBSTITUTE($B3619,CHAR(160)," ")),'Catalog'!$C:$C,0)),""))))</f>
        <v>4422023</v>
      </c>
      <c r="H3619" s="8" t="str">
        <f aca="false">IFERROR(INDEX('TRANS'!$C:$C,MATCH($B3619,'TRANS'!$A:$A,0)),IFERROR(INDEX('Catalog'!$B:$B,MATCH($G3619,'Catalog'!$A:$A,0)),$B3619))</f>
        <v>806CB-BEIGE      תחבושת א.נצמ</v>
      </c>
      <c r="I3619" s="8" t="str">
        <f aca="false">IF($G3619="","Unmatched","Matched")</f>
        <v>Matched</v>
      </c>
      <c r="J3619" s="8" t="n">
        <f aca="false">IF($G3619&lt;&gt;"",$G3619,$B3619)</f>
        <v>4422023</v>
      </c>
      <c r="K3619" s="8" t="str">
        <f aca="false">IF(COUNTIF($M$1:$M$10,$A3619)&gt;0,"Y","N")</f>
        <v>N</v>
      </c>
    </row>
    <row r="3620" customFormat="false" ht="15" hidden="false" customHeight="true" outlineLevel="0" collapsed="false">
      <c r="A3620" s="8" t="s">
        <v>1084</v>
      </c>
      <c r="B3620" s="8" t="s">
        <v>825</v>
      </c>
      <c r="C3620" s="19" t="n">
        <v>220</v>
      </c>
      <c r="D3620" s="19" t="n">
        <v>1389.41</v>
      </c>
      <c r="E3620" s="19" t="n">
        <v>150</v>
      </c>
      <c r="F3620" s="19" t="n">
        <v>906.62</v>
      </c>
      <c r="G3620" s="8" t="n">
        <f aca="false">IFERROR(INDEX('TRANS'!$B:$B,MATCH($B3620,'TRANS'!$A:$A,0)),IFERROR(INDEX('TRANS'!$B:$B,MATCH(TRIM(SUBSTITUTE($B3620,CHAR(160)," ")),'TRANS'!$D:$D,0)),IFERROR(INDEX('Catalog'!$A:$A,MATCH($B3620,'Catalog'!$B:$B,0)),IFERROR(INDEX('Catalog'!$A:$A,MATCH(TRIM(SUBSTITUTE($B3620,CHAR(160)," ")),'Catalog'!$C:$C,0)),""))))</f>
        <v>4422025</v>
      </c>
      <c r="H3620" s="8" t="str">
        <f aca="false">IFERROR(INDEX('TRANS'!$C:$C,MATCH($B3620,'TRANS'!$A:$A,0)),IFERROR(INDEX('Catalog'!$B:$B,MATCH($G3620,'Catalog'!$A:$A,0)),$B3620))</f>
        <v>806CB-GREEN      תחבושת א.נצמ</v>
      </c>
      <c r="I3620" s="8" t="str">
        <f aca="false">IF($G3620="","Unmatched","Matched")</f>
        <v>Matched</v>
      </c>
      <c r="J3620" s="8" t="n">
        <f aca="false">IF($G3620&lt;&gt;"",$G3620,$B3620)</f>
        <v>4422025</v>
      </c>
      <c r="K3620" s="8" t="str">
        <f aca="false">IF(COUNTIF($M$1:$M$10,$A3620)&gt;0,"Y","N")</f>
        <v>N</v>
      </c>
    </row>
    <row r="3621" customFormat="false" ht="15" hidden="false" customHeight="true" outlineLevel="0" collapsed="false">
      <c r="A3621" s="8" t="s">
        <v>1084</v>
      </c>
      <c r="B3621" s="8" t="s">
        <v>826</v>
      </c>
      <c r="C3621" s="19" t="n">
        <v>150</v>
      </c>
      <c r="D3621" s="19" t="n">
        <v>892.55</v>
      </c>
      <c r="E3621" s="19" t="n">
        <v>100</v>
      </c>
      <c r="F3621" s="19" t="n">
        <v>570.35</v>
      </c>
      <c r="G3621" s="8" t="n">
        <f aca="false">IFERROR(INDEX('TRANS'!$B:$B,MATCH($B3621,'TRANS'!$A:$A,0)),IFERROR(INDEX('TRANS'!$B:$B,MATCH(TRIM(SUBSTITUTE($B3621,CHAR(160)," ")),'TRANS'!$D:$D,0)),IFERROR(INDEX('Catalog'!$A:$A,MATCH($B3621,'Catalog'!$B:$B,0)),IFERROR(INDEX('Catalog'!$A:$A,MATCH(TRIM(SUBSTITUTE($B3621,CHAR(160)," ")),'Catalog'!$C:$C,0)),""))))</f>
        <v>4422026</v>
      </c>
      <c r="H3621" s="8" t="str">
        <f aca="false">IFERROR(INDEX('TRANS'!$C:$C,MATCH($B3621,'TRANS'!$A:$A,0)),IFERROR(INDEX('Catalog'!$B:$B,MATCH($G3621,'Catalog'!$A:$A,0)),$B3621))</f>
        <v>806CB-PINK       תחבושת א.נצמ</v>
      </c>
      <c r="I3621" s="8" t="str">
        <f aca="false">IF($G3621="","Unmatched","Matched")</f>
        <v>Matched</v>
      </c>
      <c r="J3621" s="8" t="n">
        <f aca="false">IF($G3621&lt;&gt;"",$G3621,$B3621)</f>
        <v>4422026</v>
      </c>
      <c r="K3621" s="8" t="str">
        <f aca="false">IF(COUNTIF($M$1:$M$10,$A3621)&gt;0,"Y","N")</f>
        <v>N</v>
      </c>
    </row>
    <row r="3622" customFormat="false" ht="15" hidden="false" customHeight="true" outlineLevel="0" collapsed="false">
      <c r="A3622" s="8" t="s">
        <v>1084</v>
      </c>
      <c r="B3622" s="8" t="s">
        <v>116</v>
      </c>
      <c r="C3622" s="19" t="n">
        <v>0</v>
      </c>
      <c r="D3622" s="19" t="n">
        <v>0</v>
      </c>
      <c r="E3622" s="19" t="n">
        <v>1</v>
      </c>
      <c r="F3622" s="19" t="n">
        <v>0.03</v>
      </c>
      <c r="G3622" s="8" t="str">
        <f aca="false">IFERROR(INDEX('TRANS'!$B:$B,MATCH($B3622,'TRANS'!$A:$A,0)),IFERROR(INDEX('TRANS'!$B:$B,MATCH(TRIM(SUBSTITUTE($B3622,CHAR(160)," ")),'TRANS'!$D:$D,0)),IFERROR(INDEX('Catalog'!$A:$A,MATCH($B3622,'Catalog'!$B:$B,0)),IFERROR(INDEX('Catalog'!$A:$A,MATCH(TRIM(SUBSTITUTE($B3622,CHAR(160)," ")),'Catalog'!$C:$C,0)),""))))</f>
        <v/>
      </c>
      <c r="H3622" s="8" t="str">
        <f aca="false">IFERROR(INDEX('TRANS'!$C:$C,MATCH($B3622,'TRANS'!$A:$A,0)),IFERROR(INDEX('Catalog'!$B:$B,MATCH($G3622,'Catalog'!$A:$A,0)),$B3622))</f>
        <v>809PW-C</v>
      </c>
      <c r="I3622" s="8" t="str">
        <f aca="false">IF($G3622="","Unmatched","Matched")</f>
        <v>Unmatched</v>
      </c>
      <c r="J3622" s="8" t="str">
        <f aca="false">IF($G3622&lt;&gt;"",$G3622,$B3622)</f>
        <v>809PW-C</v>
      </c>
      <c r="K3622" s="8" t="str">
        <f aca="false">IF(COUNTIF($M$1:$M$10,$A3622)&gt;0,"Y","N")</f>
        <v>N</v>
      </c>
    </row>
    <row r="3623" customFormat="false" ht="15" hidden="false" customHeight="true" outlineLevel="0" collapsed="false">
      <c r="A3623" s="8" t="s">
        <v>1084</v>
      </c>
      <c r="B3623" s="8" t="s">
        <v>708</v>
      </c>
      <c r="C3623" s="19" t="n">
        <v>240</v>
      </c>
      <c r="D3623" s="19" t="n">
        <v>4471.49</v>
      </c>
      <c r="E3623" s="19" t="n">
        <v>300</v>
      </c>
      <c r="F3623" s="19" t="n">
        <v>5428.77</v>
      </c>
      <c r="G3623" s="8" t="n">
        <f aca="false">IFERROR(INDEX('TRANS'!$B:$B,MATCH($B3623,'TRANS'!$A:$A,0)),IFERROR(INDEX('TRANS'!$B:$B,MATCH(TRIM(SUBSTITUTE($B3623,CHAR(160)," ")),'TRANS'!$D:$D,0)),IFERROR(INDEX('Catalog'!$A:$A,MATCH($B3623,'Catalog'!$B:$B,0)),IFERROR(INDEX('Catalog'!$A:$A,MATCH(TRIM(SUBSTITUTE($B3623,CHAR(160)," ")),'Catalog'!$C:$C,0)),""))))</f>
        <v>4413135</v>
      </c>
      <c r="H3623" s="8" t="str">
        <f aca="false">IFERROR(INDEX('TRANS'!$C:$C,MATCH($B3623,'TRANS'!$A:$A,0)),IFERROR(INDEX('Catalog'!$B:$B,MATCH($G3623,'Catalog'!$A:$A,0)),$B3623))</f>
        <v>85 L (מתלה ליד )כיס</v>
      </c>
      <c r="I3623" s="8" t="str">
        <f aca="false">IF($G3623="","Unmatched","Matched")</f>
        <v>Matched</v>
      </c>
      <c r="J3623" s="8" t="n">
        <f aca="false">IF($G3623&lt;&gt;"",$G3623,$B3623)</f>
        <v>4413135</v>
      </c>
      <c r="K3623" s="8" t="str">
        <f aca="false">IF(COUNTIF($M$1:$M$10,$A3623)&gt;0,"Y","N")</f>
        <v>N</v>
      </c>
    </row>
    <row r="3624" customFormat="false" ht="15" hidden="false" customHeight="true" outlineLevel="0" collapsed="false">
      <c r="A3624" s="8" t="s">
        <v>1084</v>
      </c>
      <c r="B3624" s="8" t="s">
        <v>709</v>
      </c>
      <c r="C3624" s="19" t="n">
        <v>240</v>
      </c>
      <c r="D3624" s="19" t="n">
        <v>4471.49</v>
      </c>
      <c r="E3624" s="19" t="n">
        <v>210</v>
      </c>
      <c r="F3624" s="19" t="n">
        <v>3741.02</v>
      </c>
      <c r="G3624" s="8" t="n">
        <f aca="false">IFERROR(INDEX('TRANS'!$B:$B,MATCH($B3624,'TRANS'!$A:$A,0)),IFERROR(INDEX('TRANS'!$B:$B,MATCH(TRIM(SUBSTITUTE($B3624,CHAR(160)," ")),'TRANS'!$D:$D,0)),IFERROR(INDEX('Catalog'!$A:$A,MATCH($B3624,'Catalog'!$B:$B,0)),IFERROR(INDEX('Catalog'!$A:$A,MATCH(TRIM(SUBSTITUTE($B3624,CHAR(160)," ")),'Catalog'!$C:$C,0)),""))))</f>
        <v>4413136</v>
      </c>
      <c r="H3624" s="8" t="str">
        <f aca="false">IFERROR(INDEX('TRANS'!$C:$C,MATCH($B3624,'TRANS'!$A:$A,0)),IFERROR(INDEX('Catalog'!$B:$B,MATCH($G3624,'Catalog'!$A:$A,0)),$B3624))</f>
        <v>85 M (מתלה ליד )כיס</v>
      </c>
      <c r="I3624" s="8" t="str">
        <f aca="false">IF($G3624="","Unmatched","Matched")</f>
        <v>Matched</v>
      </c>
      <c r="J3624" s="8" t="n">
        <f aca="false">IF($G3624&lt;&gt;"",$G3624,$B3624)</f>
        <v>4413136</v>
      </c>
      <c r="K3624" s="8" t="str">
        <f aca="false">IF(COUNTIF($M$1:$M$10,$A3624)&gt;0,"Y","N")</f>
        <v>N</v>
      </c>
    </row>
    <row r="3625" customFormat="false" ht="15" hidden="false" customHeight="true" outlineLevel="0" collapsed="false">
      <c r="A3625" s="8" t="s">
        <v>1084</v>
      </c>
      <c r="B3625" s="8" t="s">
        <v>963</v>
      </c>
      <c r="C3625" s="19" t="n">
        <v>116</v>
      </c>
      <c r="D3625" s="19" t="n">
        <v>2175.49</v>
      </c>
      <c r="E3625" s="19" t="n">
        <v>90</v>
      </c>
      <c r="F3625" s="19" t="n">
        <v>1656.65</v>
      </c>
      <c r="G3625" s="8" t="n">
        <f aca="false">IFERROR(INDEX('TRANS'!$B:$B,MATCH($B3625,'TRANS'!$A:$A,0)),IFERROR(INDEX('TRANS'!$B:$B,MATCH(TRIM(SUBSTITUTE($B3625,CHAR(160)," ")),'TRANS'!$D:$D,0)),IFERROR(INDEX('Catalog'!$A:$A,MATCH($B3625,'Catalog'!$B:$B,0)),IFERROR(INDEX('Catalog'!$A:$A,MATCH(TRIM(SUBSTITUTE($B3625,CHAR(160)," ")),'Catalog'!$C:$C,0)),""))))</f>
        <v>4413137</v>
      </c>
      <c r="H3625" s="8" t="str">
        <f aca="false">IFERROR(INDEX('TRANS'!$C:$C,MATCH($B3625,'TRANS'!$A:$A,0)),IFERROR(INDEX('Catalog'!$B:$B,MATCH($G3625,'Catalog'!$A:$A,0)),$B3625))</f>
        <v>85 S (מתלה ליד )כיס</v>
      </c>
      <c r="I3625" s="8" t="str">
        <f aca="false">IF($G3625="","Unmatched","Matched")</f>
        <v>Matched</v>
      </c>
      <c r="J3625" s="8" t="n">
        <f aca="false">IF($G3625&lt;&gt;"",$G3625,$B3625)</f>
        <v>4413137</v>
      </c>
      <c r="K3625" s="8" t="str">
        <f aca="false">IF(COUNTIF($M$1:$M$10,$A3625)&gt;0,"Y","N")</f>
        <v>N</v>
      </c>
    </row>
    <row r="3626" customFormat="false" ht="15" hidden="false" customHeight="true" outlineLevel="0" collapsed="false">
      <c r="A3626" s="8" t="s">
        <v>1084</v>
      </c>
      <c r="B3626" s="8" t="s">
        <v>710</v>
      </c>
      <c r="C3626" s="19" t="n">
        <v>136</v>
      </c>
      <c r="D3626" s="19" t="n">
        <v>2537.92</v>
      </c>
      <c r="E3626" s="19" t="n">
        <v>130</v>
      </c>
      <c r="F3626" s="19" t="n">
        <v>2351.44</v>
      </c>
      <c r="G3626" s="8" t="n">
        <f aca="false">IFERROR(INDEX('TRANS'!$B:$B,MATCH($B3626,'TRANS'!$A:$A,0)),IFERROR(INDEX('TRANS'!$B:$B,MATCH(TRIM(SUBSTITUTE($B3626,CHAR(160)," ")),'TRANS'!$D:$D,0)),IFERROR(INDEX('Catalog'!$A:$A,MATCH($B3626,'Catalog'!$B:$B,0)),IFERROR(INDEX('Catalog'!$A:$A,MATCH(TRIM(SUBSTITUTE($B3626,CHAR(160)," ")),'Catalog'!$C:$C,0)),""))))</f>
        <v>4413138</v>
      </c>
      <c r="H3626" s="8" t="str">
        <f aca="false">IFERROR(INDEX('TRANS'!$C:$C,MATCH($B3626,'TRANS'!$A:$A,0)),IFERROR(INDEX('Catalog'!$B:$B,MATCH($G3626,'Catalog'!$A:$A,0)),$B3626))</f>
        <v>85 XL (מתלה ליד )כיס</v>
      </c>
      <c r="I3626" s="8" t="str">
        <f aca="false">IF($G3626="","Unmatched","Matched")</f>
        <v>Matched</v>
      </c>
      <c r="J3626" s="8" t="n">
        <f aca="false">IF($G3626&lt;&gt;"",$G3626,$B3626)</f>
        <v>4413138</v>
      </c>
      <c r="K3626" s="8" t="str">
        <f aca="false">IF(COUNTIF($M$1:$M$10,$A3626)&gt;0,"Y","N")</f>
        <v>N</v>
      </c>
    </row>
    <row r="3627" customFormat="false" ht="15" hidden="false" customHeight="true" outlineLevel="0" collapsed="false">
      <c r="A3627" s="8" t="s">
        <v>1084</v>
      </c>
      <c r="B3627" s="8" t="s">
        <v>715</v>
      </c>
      <c r="C3627" s="19" t="n">
        <v>150</v>
      </c>
      <c r="D3627" s="19" t="n">
        <v>3994.45</v>
      </c>
      <c r="E3627" s="19" t="n">
        <v>0</v>
      </c>
      <c r="F3627" s="19" t="n">
        <v>0</v>
      </c>
      <c r="G3627" s="8" t="n">
        <f aca="false">IFERROR(INDEX('TRANS'!$B:$B,MATCH($B3627,'TRANS'!$A:$A,0)),IFERROR(INDEX('TRANS'!$B:$B,MATCH(TRIM(SUBSTITUTE($B3627,CHAR(160)," ")),'TRANS'!$D:$D,0)),IFERROR(INDEX('Catalog'!$A:$A,MATCH($B3627,'Catalog'!$B:$B,0)),IFERROR(INDEX('Catalog'!$A:$A,MATCH(TRIM(SUBSTITUTE($B3627,CHAR(160)," ")),'Catalog'!$C:$C,0)),""))))</f>
        <v>4413455</v>
      </c>
      <c r="H3627" s="8" t="str">
        <f aca="false">IFERROR(INDEX('TRANS'!$C:$C,MATCH($B3627,'TRANS'!$A:$A,0)),IFERROR(INDEX('Catalog'!$B:$B,MATCH($G3627,'Catalog'!$A:$A,0)),$B3627))</f>
        <v>85K מתלה ליד לילדים</v>
      </c>
      <c r="I3627" s="8" t="str">
        <f aca="false">IF($G3627="","Unmatched","Matched")</f>
        <v>Matched</v>
      </c>
      <c r="J3627" s="8" t="n">
        <f aca="false">IF($G3627&lt;&gt;"",$G3627,$B3627)</f>
        <v>4413455</v>
      </c>
      <c r="K3627" s="8" t="str">
        <f aca="false">IF(COUNTIF($M$1:$M$10,$A3627)&gt;0,"Y","N")</f>
        <v>N</v>
      </c>
    </row>
    <row r="3628" customFormat="false" ht="15" hidden="false" customHeight="true" outlineLevel="0" collapsed="false">
      <c r="A3628" s="8" t="s">
        <v>1084</v>
      </c>
      <c r="B3628" s="8" t="s">
        <v>833</v>
      </c>
      <c r="C3628" s="19" t="n">
        <v>1</v>
      </c>
      <c r="D3628" s="19" t="n">
        <v>0.03</v>
      </c>
      <c r="E3628" s="19" t="n">
        <v>20</v>
      </c>
      <c r="F3628" s="19" t="n">
        <v>732</v>
      </c>
      <c r="G3628" s="8" t="n">
        <f aca="false">IFERROR(INDEX('TRANS'!$B:$B,MATCH($B3628,'TRANS'!$A:$A,0)),IFERROR(INDEX('TRANS'!$B:$B,MATCH(TRIM(SUBSTITUTE($B3628,CHAR(160)," ")),'TRANS'!$D:$D,0)),IFERROR(INDEX('Catalog'!$A:$A,MATCH($B3628,'Catalog'!$B:$B,0)),IFERROR(INDEX('Catalog'!$A:$A,MATCH(TRIM(SUBSTITUTE($B3628,CHAR(160)," ")),'Catalog'!$C:$C,0)),""))))</f>
        <v>4408266</v>
      </c>
      <c r="H3628" s="8" t="str">
        <f aca="false">IFERROR(INDEX('TRANS'!$C:$C,MATCH($B3628,'TRANS'!$A:$A,0)),IFERROR(INDEX('Catalog'!$B:$B,MATCH($G3628,'Catalog'!$A:$A,0)),$B3628))</f>
        <v>91B חבק טניס אלבו</v>
      </c>
      <c r="I3628" s="8" t="str">
        <f aca="false">IF($G3628="","Unmatched","Matched")</f>
        <v>Matched</v>
      </c>
      <c r="J3628" s="8" t="n">
        <f aca="false">IF($G3628&lt;&gt;"",$G3628,$B3628)</f>
        <v>4408266</v>
      </c>
      <c r="K3628" s="8" t="str">
        <f aca="false">IF(COUNTIF($M$1:$M$10,$A3628)&gt;0,"Y","N")</f>
        <v>N</v>
      </c>
    </row>
    <row r="3629" customFormat="false" ht="15" hidden="false" customHeight="true" outlineLevel="0" collapsed="false">
      <c r="A3629" s="8" t="s">
        <v>1084</v>
      </c>
      <c r="B3629" s="8" t="s">
        <v>836</v>
      </c>
      <c r="C3629" s="19" t="n">
        <v>5</v>
      </c>
      <c r="D3629" s="19" t="n">
        <v>50.71</v>
      </c>
      <c r="E3629" s="19" t="n">
        <v>15</v>
      </c>
      <c r="F3629" s="19" t="n">
        <v>145.83</v>
      </c>
      <c r="G3629" s="8" t="n">
        <f aca="false">IFERROR(INDEX('TRANS'!$B:$B,MATCH($B3629,'TRANS'!$A:$A,0)),IFERROR(INDEX('TRANS'!$B:$B,MATCH(TRIM(SUBSTITUTE($B3629,CHAR(160)," ")),'TRANS'!$D:$D,0)),IFERROR(INDEX('Catalog'!$A:$A,MATCH($B3629,'Catalog'!$B:$B,0)),IFERROR(INDEX('Catalog'!$A:$A,MATCH(TRIM(SUBSTITUTE($B3629,CHAR(160)," ")),'Catalog'!$C:$C,0)),""))))</f>
        <v>4413139</v>
      </c>
      <c r="H3629" s="8" t="str">
        <f aca="false">IFERROR(INDEX('TRANS'!$C:$C,MATCH($B3629,'TRANS'!$A:$A,0)),IFERROR(INDEX('Catalog'!$B:$B,MATCH($G3629,'Catalog'!$A:$A,0)),$B3629))</f>
        <v>95 L מגן מרפק רגיל לבן</v>
      </c>
      <c r="I3629" s="8" t="str">
        <f aca="false">IF($G3629="","Unmatched","Matched")</f>
        <v>Matched</v>
      </c>
      <c r="J3629" s="8" t="n">
        <f aca="false">IF($G3629&lt;&gt;"",$G3629,$B3629)</f>
        <v>4413139</v>
      </c>
      <c r="K3629" s="8" t="str">
        <f aca="false">IF(COUNTIF($M$1:$M$10,$A3629)&gt;0,"Y","N")</f>
        <v>N</v>
      </c>
    </row>
    <row r="3630" customFormat="false" ht="15" hidden="false" customHeight="true" outlineLevel="0" collapsed="false">
      <c r="A3630" s="8" t="s">
        <v>1084</v>
      </c>
      <c r="B3630" s="8" t="s">
        <v>716</v>
      </c>
      <c r="C3630" s="19" t="n">
        <v>36</v>
      </c>
      <c r="D3630" s="19" t="n">
        <v>406.21</v>
      </c>
      <c r="E3630" s="19" t="n">
        <v>40</v>
      </c>
      <c r="F3630" s="19" t="n">
        <v>406.3</v>
      </c>
      <c r="G3630" s="8" t="n">
        <f aca="false">IFERROR(INDEX('TRANS'!$B:$B,MATCH($B3630,'TRANS'!$A:$A,0)),IFERROR(INDEX('TRANS'!$B:$B,MATCH(TRIM(SUBSTITUTE($B3630,CHAR(160)," ")),'TRANS'!$D:$D,0)),IFERROR(INDEX('Catalog'!$A:$A,MATCH($B3630,'Catalog'!$B:$B,0)),IFERROR(INDEX('Catalog'!$A:$A,MATCH(TRIM(SUBSTITUTE($B3630,CHAR(160)," ")),'Catalog'!$C:$C,0)),""))))</f>
        <v>4413140</v>
      </c>
      <c r="H3630" s="8" t="str">
        <f aca="false">IFERROR(INDEX('TRANS'!$C:$C,MATCH($B3630,'TRANS'!$A:$A,0)),IFERROR(INDEX('Catalog'!$B:$B,MATCH($G3630,'Catalog'!$A:$A,0)),$B3630))</f>
        <v>95 M מגן מרפק רגיל לבן</v>
      </c>
      <c r="I3630" s="8" t="str">
        <f aca="false">IF($G3630="","Unmatched","Matched")</f>
        <v>Matched</v>
      </c>
      <c r="J3630" s="8" t="n">
        <f aca="false">IF($G3630&lt;&gt;"",$G3630,$B3630)</f>
        <v>4413140</v>
      </c>
      <c r="K3630" s="8" t="str">
        <f aca="false">IF(COUNTIF($M$1:$M$10,$A3630)&gt;0,"Y","N")</f>
        <v>N</v>
      </c>
    </row>
    <row r="3631" customFormat="false" ht="15" hidden="false" customHeight="true" outlineLevel="0" collapsed="false">
      <c r="A3631" s="8" t="s">
        <v>1084</v>
      </c>
      <c r="B3631" s="8" t="s">
        <v>837</v>
      </c>
      <c r="C3631" s="19" t="n">
        <v>34</v>
      </c>
      <c r="D3631" s="19" t="n">
        <v>372.24</v>
      </c>
      <c r="E3631" s="19" t="n">
        <v>10</v>
      </c>
      <c r="F3631" s="19" t="n">
        <v>97.22</v>
      </c>
      <c r="G3631" s="8" t="n">
        <f aca="false">IFERROR(INDEX('TRANS'!$B:$B,MATCH($B3631,'TRANS'!$A:$A,0)),IFERROR(INDEX('TRANS'!$B:$B,MATCH(TRIM(SUBSTITUTE($B3631,CHAR(160)," ")),'TRANS'!$D:$D,0)),IFERROR(INDEX('Catalog'!$A:$A,MATCH($B3631,'Catalog'!$B:$B,0)),IFERROR(INDEX('Catalog'!$A:$A,MATCH(TRIM(SUBSTITUTE($B3631,CHAR(160)," ")),'Catalog'!$C:$C,0)),""))))</f>
        <v>4413141</v>
      </c>
      <c r="H3631" s="8" t="str">
        <f aca="false">IFERROR(INDEX('TRANS'!$C:$C,MATCH($B3631,'TRANS'!$A:$A,0)),IFERROR(INDEX('Catalog'!$B:$B,MATCH($G3631,'Catalog'!$A:$A,0)),$B3631))</f>
        <v>95 S מגן מרפק רגיל לבן</v>
      </c>
      <c r="I3631" s="8" t="str">
        <f aca="false">IF($G3631="","Unmatched","Matched")</f>
        <v>Matched</v>
      </c>
      <c r="J3631" s="8" t="n">
        <f aca="false">IF($G3631&lt;&gt;"",$G3631,$B3631)</f>
        <v>4413141</v>
      </c>
      <c r="K3631" s="8" t="str">
        <f aca="false">IF(COUNTIF($M$1:$M$10,$A3631)&gt;0,"Y","N")</f>
        <v>N</v>
      </c>
    </row>
    <row r="3632" customFormat="false" ht="15" hidden="false" customHeight="true" outlineLevel="0" collapsed="false">
      <c r="A3632" s="8" t="s">
        <v>1084</v>
      </c>
      <c r="B3632" s="8" t="s">
        <v>838</v>
      </c>
      <c r="C3632" s="19" t="n">
        <v>24</v>
      </c>
      <c r="D3632" s="19" t="n">
        <v>270.81</v>
      </c>
      <c r="E3632" s="19" t="n">
        <v>5</v>
      </c>
      <c r="F3632" s="19" t="n">
        <v>48.61</v>
      </c>
      <c r="G3632" s="8" t="n">
        <f aca="false">IFERROR(INDEX('TRANS'!$B:$B,MATCH($B3632,'TRANS'!$A:$A,0)),IFERROR(INDEX('TRANS'!$B:$B,MATCH(TRIM(SUBSTITUTE($B3632,CHAR(160)," ")),'TRANS'!$D:$D,0)),IFERROR(INDEX('Catalog'!$A:$A,MATCH($B3632,'Catalog'!$B:$B,0)),IFERROR(INDEX('Catalog'!$A:$A,MATCH(TRIM(SUBSTITUTE($B3632,CHAR(160)," ")),'Catalog'!$C:$C,0)),""))))</f>
        <v>4413142</v>
      </c>
      <c r="H3632" s="8" t="str">
        <f aca="false">IFERROR(INDEX('TRANS'!$C:$C,MATCH($B3632,'TRANS'!$A:$A,0)),IFERROR(INDEX('Catalog'!$B:$B,MATCH($G3632,'Catalog'!$A:$A,0)),$B3632))</f>
        <v>95 XL מגן מרפק רגיל לבן</v>
      </c>
      <c r="I3632" s="8" t="str">
        <f aca="false">IF($G3632="","Unmatched","Matched")</f>
        <v>Matched</v>
      </c>
      <c r="J3632" s="8" t="n">
        <f aca="false">IF($G3632&lt;&gt;"",$G3632,$B3632)</f>
        <v>4413142</v>
      </c>
      <c r="K3632" s="8" t="str">
        <f aca="false">IF(COUNTIF($M$1:$M$10,$A3632)&gt;0,"Y","N")</f>
        <v>N</v>
      </c>
    </row>
    <row r="3633" customFormat="false" ht="15" hidden="false" customHeight="true" outlineLevel="0" collapsed="false">
      <c r="A3633" s="8" t="s">
        <v>1084</v>
      </c>
      <c r="B3633" s="8" t="s">
        <v>723</v>
      </c>
      <c r="C3633" s="19" t="n">
        <v>63</v>
      </c>
      <c r="D3633" s="19" t="n">
        <v>2525.28</v>
      </c>
      <c r="E3633" s="19" t="n">
        <v>130</v>
      </c>
      <c r="F3633" s="19" t="n">
        <v>4854.01</v>
      </c>
      <c r="G3633" s="8" t="n">
        <f aca="false">IFERROR(INDEX('TRANS'!$B:$B,MATCH($B3633,'TRANS'!$A:$A,0)),IFERROR(INDEX('TRANS'!$B:$B,MATCH(TRIM(SUBSTITUTE($B3633,CHAR(160)," ")),'TRANS'!$D:$D,0)),IFERROR(INDEX('Catalog'!$A:$A,MATCH($B3633,'Catalog'!$B:$B,0)),IFERROR(INDEX('Catalog'!$A:$A,MATCH(TRIM(SUBSTITUTE($B3633,CHAR(160)," ")),'Catalog'!$C:$C,0)),""))))</f>
        <v>4408205</v>
      </c>
      <c r="H3633" s="8" t="str">
        <f aca="false">IFERROR(INDEX('TRANS'!$C:$C,MATCH($B3633,'TRANS'!$A:$A,0)),IFERROR(INDEX('Catalog'!$B:$B,MATCH($G3633,'Catalog'!$A:$A,0)),$B3633))</f>
        <v>AC-07 חגורת גב עם תמיכות</v>
      </c>
      <c r="I3633" s="8" t="str">
        <f aca="false">IF($G3633="","Unmatched","Matched")</f>
        <v>Matched</v>
      </c>
      <c r="J3633" s="8" t="n">
        <f aca="false">IF($G3633&lt;&gt;"",$G3633,$B3633)</f>
        <v>4408205</v>
      </c>
      <c r="K3633" s="8" t="str">
        <f aca="false">IF(COUNTIF($M$1:$M$10,$A3633)&gt;0,"Y","N")</f>
        <v>N</v>
      </c>
    </row>
    <row r="3634" customFormat="false" ht="15" hidden="false" customHeight="true" outlineLevel="0" collapsed="false">
      <c r="A3634" s="8" t="s">
        <v>1084</v>
      </c>
      <c r="B3634" s="8" t="s">
        <v>724</v>
      </c>
      <c r="C3634" s="19" t="n">
        <v>50</v>
      </c>
      <c r="D3634" s="19" t="n">
        <v>1609.3</v>
      </c>
      <c r="E3634" s="19" t="n">
        <v>35</v>
      </c>
      <c r="F3634" s="19" t="n">
        <v>1107.41</v>
      </c>
      <c r="G3634" s="8" t="n">
        <f aca="false">IFERROR(INDEX('TRANS'!$B:$B,MATCH($B3634,'TRANS'!$A:$A,0)),IFERROR(INDEX('TRANS'!$B:$B,MATCH(TRIM(SUBSTITUTE($B3634,CHAR(160)," ")),'TRANS'!$D:$D,0)),IFERROR(INDEX('Catalog'!$A:$A,MATCH($B3634,'Catalog'!$B:$B,0)),IFERROR(INDEX('Catalog'!$A:$A,MATCH(TRIM(SUBSTITUTE($B3634,CHAR(160)," ")),'Catalog'!$C:$C,0)),""))))</f>
        <v>4408206</v>
      </c>
      <c r="H3634" s="8" t="str">
        <f aca="false">IFERROR(INDEX('TRANS'!$C:$C,MATCH($B3634,'TRANS'!$A:$A,0)),IFERROR(INDEX('Catalog'!$B:$B,MATCH($G3634,'Catalog'!$A:$A,0)),$B3634))</f>
        <v>AC-11 חגורת בטן קלה</v>
      </c>
      <c r="I3634" s="8" t="str">
        <f aca="false">IF($G3634="","Unmatched","Matched")</f>
        <v>Matched</v>
      </c>
      <c r="J3634" s="8" t="n">
        <f aca="false">IF($G3634&lt;&gt;"",$G3634,$B3634)</f>
        <v>4408206</v>
      </c>
      <c r="K3634" s="8" t="str">
        <f aca="false">IF(COUNTIF($M$1:$M$10,$A3634)&gt;0,"Y","N")</f>
        <v>N</v>
      </c>
    </row>
    <row r="3635" customFormat="false" ht="15" hidden="false" customHeight="true" outlineLevel="0" collapsed="false">
      <c r="A3635" s="8" t="s">
        <v>1084</v>
      </c>
      <c r="B3635" s="8" t="s">
        <v>725</v>
      </c>
      <c r="C3635" s="19" t="n">
        <v>1090</v>
      </c>
      <c r="D3635" s="19" t="n">
        <v>16499.24</v>
      </c>
      <c r="E3635" s="19" t="n">
        <v>1000</v>
      </c>
      <c r="F3635" s="19" t="n">
        <v>14547.47</v>
      </c>
      <c r="G3635" s="8" t="n">
        <f aca="false">IFERROR(INDEX('TRANS'!$B:$B,MATCH($B3635,'TRANS'!$A:$A,0)),IFERROR(INDEX('TRANS'!$B:$B,MATCH(TRIM(SUBSTITUTE($B3635,CHAR(160)," ")),'TRANS'!$D:$D,0)),IFERROR(INDEX('Catalog'!$A:$A,MATCH($B3635,'Catalog'!$B:$B,0)),IFERROR(INDEX('Catalog'!$A:$A,MATCH(TRIM(SUBSTITUTE($B3635,CHAR(160)," ")),'Catalog'!$C:$C,0)),""))))</f>
        <v>4408207</v>
      </c>
      <c r="H3635" s="8" t="str">
        <f aca="false">IFERROR(INDEX('TRANS'!$C:$C,MATCH($B3635,'TRANS'!$A:$A,0)),IFERROR(INDEX('Catalog'!$B:$B,MATCH($G3635,'Catalog'!$A:$A,0)),$B3635))</f>
        <v>AC-25 חבק לשורש כף היד</v>
      </c>
      <c r="I3635" s="8" t="str">
        <f aca="false">IF($G3635="","Unmatched","Matched")</f>
        <v>Matched</v>
      </c>
      <c r="J3635" s="8" t="n">
        <f aca="false">IF($G3635&lt;&gt;"",$G3635,$B3635)</f>
        <v>4408207</v>
      </c>
      <c r="K3635" s="8" t="str">
        <f aca="false">IF(COUNTIF($M$1:$M$10,$A3635)&gt;0,"Y","N")</f>
        <v>N</v>
      </c>
    </row>
    <row r="3636" customFormat="false" ht="15" hidden="false" customHeight="true" outlineLevel="0" collapsed="false">
      <c r="A3636" s="8" t="s">
        <v>1084</v>
      </c>
      <c r="B3636" s="8" t="s">
        <v>727</v>
      </c>
      <c r="C3636" s="19" t="n">
        <v>10</v>
      </c>
      <c r="D3636" s="19" t="n">
        <v>167.69</v>
      </c>
      <c r="E3636" s="19" t="n">
        <v>0</v>
      </c>
      <c r="F3636" s="19" t="n">
        <v>0</v>
      </c>
      <c r="G3636" s="8" t="n">
        <f aca="false">IFERROR(INDEX('TRANS'!$B:$B,MATCH($B3636,'TRANS'!$A:$A,0)),IFERROR(INDEX('TRANS'!$B:$B,MATCH(TRIM(SUBSTITUTE($B3636,CHAR(160)," ")),'TRANS'!$D:$D,0)),IFERROR(INDEX('Catalog'!$A:$A,MATCH($B3636,'Catalog'!$B:$B,0)),IFERROR(INDEX('Catalog'!$A:$A,MATCH(TRIM(SUBSTITUTE($B3636,CHAR(160)," ")),'Catalog'!$C:$C,0)),""))))</f>
        <v>4415027</v>
      </c>
      <c r="H3636" s="8" t="str">
        <f aca="false">IFERROR(INDEX('TRANS'!$C:$C,MATCH($B3636,'TRANS'!$A:$A,0)),IFERROR(INDEX('Catalog'!$B:$B,MATCH($G3636,'Catalog'!$A:$A,0)),$B3636))</f>
        <v>AC-27R סד לש.כף יד ימין</v>
      </c>
      <c r="I3636" s="8" t="str">
        <f aca="false">IF($G3636="","Unmatched","Matched")</f>
        <v>Matched</v>
      </c>
      <c r="J3636" s="8" t="n">
        <f aca="false">IF($G3636&lt;&gt;"",$G3636,$B3636)</f>
        <v>4415027</v>
      </c>
      <c r="K3636" s="8" t="str">
        <f aca="false">IF(COUNTIF($M$1:$M$10,$A3636)&gt;0,"Y","N")</f>
        <v>N</v>
      </c>
    </row>
    <row r="3637" customFormat="false" ht="15" hidden="false" customHeight="true" outlineLevel="0" collapsed="false">
      <c r="A3637" s="8" t="s">
        <v>1084</v>
      </c>
      <c r="B3637" s="8" t="s">
        <v>728</v>
      </c>
      <c r="C3637" s="19" t="n">
        <v>180</v>
      </c>
      <c r="D3637" s="19" t="n">
        <v>2502.39</v>
      </c>
      <c r="E3637" s="19" t="n">
        <v>250</v>
      </c>
      <c r="F3637" s="19" t="n">
        <v>3617.87</v>
      </c>
      <c r="G3637" s="8" t="n">
        <f aca="false">IFERROR(INDEX('TRANS'!$B:$B,MATCH($B3637,'TRANS'!$A:$A,0)),IFERROR(INDEX('TRANS'!$B:$B,MATCH(TRIM(SUBSTITUTE($B3637,CHAR(160)," ")),'TRANS'!$D:$D,0)),IFERROR(INDEX('Catalog'!$A:$A,MATCH($B3637,'Catalog'!$B:$B,0)),IFERROR(INDEX('Catalog'!$A:$A,MATCH(TRIM(SUBSTITUTE($B3637,CHAR(160)," ")),'Catalog'!$C:$C,0)),""))))</f>
        <v>4415028</v>
      </c>
      <c r="H3637" s="8" t="str">
        <f aca="false">IFERROR(INDEX('TRANS'!$C:$C,MATCH($B3637,'TRANS'!$A:$A,0)),IFERROR(INDEX('Catalog'!$B:$B,MATCH($G3637,'Catalog'!$A:$A,0)),$B3637))</f>
        <v>AC-28 סד לאגודל</v>
      </c>
      <c r="I3637" s="8" t="str">
        <f aca="false">IF($G3637="","Unmatched","Matched")</f>
        <v>Matched</v>
      </c>
      <c r="J3637" s="8" t="n">
        <f aca="false">IF($G3637&lt;&gt;"",$G3637,$B3637)</f>
        <v>4415028</v>
      </c>
      <c r="K3637" s="8" t="str">
        <f aca="false">IF(COUNTIF($M$1:$M$10,$A3637)&gt;0,"Y","N")</f>
        <v>N</v>
      </c>
    </row>
    <row r="3638" customFormat="false" ht="15" hidden="false" customHeight="true" outlineLevel="0" collapsed="false">
      <c r="A3638" s="8" t="s">
        <v>1084</v>
      </c>
      <c r="B3638" s="8" t="s">
        <v>729</v>
      </c>
      <c r="C3638" s="19" t="n">
        <v>144</v>
      </c>
      <c r="D3638" s="19" t="n">
        <v>2751.43</v>
      </c>
      <c r="E3638" s="19" t="n">
        <v>50</v>
      </c>
      <c r="F3638" s="19" t="n">
        <v>823.12</v>
      </c>
      <c r="G3638" s="8" t="n">
        <f aca="false">IFERROR(INDEX('TRANS'!$B:$B,MATCH($B3638,'TRANS'!$A:$A,0)),IFERROR(INDEX('TRANS'!$B:$B,MATCH(TRIM(SUBSTITUTE($B3638,CHAR(160)," ")),'TRANS'!$D:$D,0)),IFERROR(INDEX('Catalog'!$A:$A,MATCH($B3638,'Catalog'!$B:$B,0)),IFERROR(INDEX('Catalog'!$A:$A,MATCH(TRIM(SUBSTITUTE($B3638,CHAR(160)," ")),'Catalog'!$C:$C,0)),""))))</f>
        <v>4413326</v>
      </c>
      <c r="H3638" s="8" t="str">
        <f aca="false">IFERROR(INDEX('TRANS'!$C:$C,MATCH($B3638,'TRANS'!$A:$A,0)),IFERROR(INDEX('Catalog'!$B:$B,MATCH($G3638,'Catalog'!$A:$A,0)),$B3638))</f>
        <v>AC37 מגן קרסול נושם</v>
      </c>
      <c r="I3638" s="8" t="str">
        <f aca="false">IF($G3638="","Unmatched","Matched")</f>
        <v>Matched</v>
      </c>
      <c r="J3638" s="8" t="n">
        <f aca="false">IF($G3638&lt;&gt;"",$G3638,$B3638)</f>
        <v>4413326</v>
      </c>
      <c r="K3638" s="8" t="str">
        <f aca="false">IF(COUNTIF($M$1:$M$10,$A3638)&gt;0,"Y","N")</f>
        <v>N</v>
      </c>
    </row>
    <row r="3639" customFormat="false" ht="15" hidden="false" customHeight="true" outlineLevel="0" collapsed="false">
      <c r="A3639" s="8" t="s">
        <v>1084</v>
      </c>
      <c r="B3639" s="8" t="s">
        <v>560</v>
      </c>
      <c r="C3639" s="19" t="n">
        <v>480</v>
      </c>
      <c r="D3639" s="19" t="n">
        <v>20704.23</v>
      </c>
      <c r="E3639" s="19" t="n">
        <v>650</v>
      </c>
      <c r="F3639" s="19" t="n">
        <v>26769.41</v>
      </c>
      <c r="G3639" s="8" t="n">
        <f aca="false">IFERROR(INDEX('TRANS'!$B:$B,MATCH($B3639,'TRANS'!$A:$A,0)),IFERROR(INDEX('TRANS'!$B:$B,MATCH(TRIM(SUBSTITUTE($B3639,CHAR(160)," ")),'TRANS'!$D:$D,0)),IFERROR(INDEX('Catalog'!$A:$A,MATCH($B3639,'Catalog'!$B:$B,0)),IFERROR(INDEX('Catalog'!$A:$A,MATCH(TRIM(SUBSTITUTE($B3639,CHAR(160)," ")),'Catalog'!$C:$C,0)),""))))</f>
        <v>4413328</v>
      </c>
      <c r="H3639" s="8" t="str">
        <f aca="false">IFERROR(INDEX('TRANS'!$C:$C,MATCH($B3639,'TRANS'!$A:$A,0)),IFERROR(INDEX('Catalog'!$B:$B,MATCH($G3639,'Catalog'!$A:$A,0)),$B3639))</f>
        <v>AC43D מגן ברך + צירים</v>
      </c>
      <c r="I3639" s="8" t="str">
        <f aca="false">IF($G3639="","Unmatched","Matched")</f>
        <v>Matched</v>
      </c>
      <c r="J3639" s="8" t="n">
        <f aca="false">IF($G3639&lt;&gt;"",$G3639,$B3639)</f>
        <v>4413328</v>
      </c>
      <c r="K3639" s="8" t="str">
        <f aca="false">IF(COUNTIF($M$1:$M$10,$A3639)&gt;0,"Y","N")</f>
        <v>N</v>
      </c>
    </row>
    <row r="3640" customFormat="false" ht="15" hidden="false" customHeight="true" outlineLevel="0" collapsed="false">
      <c r="A3640" s="8" t="s">
        <v>1084</v>
      </c>
      <c r="B3640" s="8" t="s">
        <v>731</v>
      </c>
      <c r="C3640" s="19" t="n">
        <v>55</v>
      </c>
      <c r="D3640" s="19" t="n">
        <v>1725.6</v>
      </c>
      <c r="E3640" s="19" t="n">
        <v>55</v>
      </c>
      <c r="F3640" s="19" t="n">
        <v>1815.67</v>
      </c>
      <c r="G3640" s="8" t="n">
        <f aca="false">IFERROR(INDEX('TRANS'!$B:$B,MATCH($B3640,'TRANS'!$A:$A,0)),IFERROR(INDEX('TRANS'!$B:$B,MATCH(TRIM(SUBSTITUTE($B3640,CHAR(160)," ")),'TRANS'!$D:$D,0)),IFERROR(INDEX('Catalog'!$A:$A,MATCH($B3640,'Catalog'!$B:$B,0)),IFERROR(INDEX('Catalog'!$A:$A,MATCH(TRIM(SUBSTITUTE($B3640,CHAR(160)," ")),'Catalog'!$C:$C,0)),""))))</f>
        <v>4413329</v>
      </c>
      <c r="H3640" s="8" t="str">
        <f aca="false">IFERROR(INDEX('TRANS'!$C:$C,MATCH($B3640,'TRANS'!$A:$A,0)),IFERROR(INDEX('Catalog'!$B:$B,MATCH($G3640,'Catalog'!$A:$A,0)),$B3640))</f>
        <v>AC45X מגן ברך עם תמיכות</v>
      </c>
      <c r="I3640" s="8" t="str">
        <f aca="false">IF($G3640="","Unmatched","Matched")</f>
        <v>Matched</v>
      </c>
      <c r="J3640" s="8" t="n">
        <f aca="false">IF($G3640&lt;&gt;"",$G3640,$B3640)</f>
        <v>4413329</v>
      </c>
      <c r="K3640" s="8" t="str">
        <f aca="false">IF(COUNTIF($M$1:$M$10,$A3640)&gt;0,"Y","N")</f>
        <v>N</v>
      </c>
    </row>
    <row r="3641" customFormat="false" ht="15" hidden="false" customHeight="true" outlineLevel="0" collapsed="false">
      <c r="A3641" s="8" t="s">
        <v>1084</v>
      </c>
      <c r="B3641" s="8" t="s">
        <v>906</v>
      </c>
      <c r="C3641" s="19" t="n">
        <v>12</v>
      </c>
      <c r="D3641" s="19" t="n">
        <v>391.77</v>
      </c>
      <c r="E3641" s="19" t="n">
        <v>0</v>
      </c>
      <c r="F3641" s="19" t="n">
        <v>0</v>
      </c>
      <c r="G3641" s="8" t="n">
        <f aca="false">IFERROR(INDEX('TRANS'!$B:$B,MATCH($B3641,'TRANS'!$A:$A,0)),IFERROR(INDEX('TRANS'!$B:$B,MATCH(TRIM(SUBSTITUTE($B3641,CHAR(160)," ")),'TRANS'!$D:$D,0)),IFERROR(INDEX('Catalog'!$A:$A,MATCH($B3641,'Catalog'!$B:$B,0)),IFERROR(INDEX('Catalog'!$A:$A,MATCH(TRIM(SUBSTITUTE($B3641,CHAR(160)," ")),'Catalog'!$C:$C,0)),""))))</f>
        <v>4413330</v>
      </c>
      <c r="H3641" s="8" t="str">
        <f aca="false">IFERROR(INDEX('TRANS'!$C:$C,MATCH($B3641,'TRANS'!$A:$A,0)),IFERROR(INDEX('Catalog'!$B:$B,MATCH($G3641,'Catalog'!$A:$A,0)),$B3641))</f>
        <v>AC49 מגן ירך</v>
      </c>
      <c r="I3641" s="8" t="str">
        <f aca="false">IF($G3641="","Unmatched","Matched")</f>
        <v>Matched</v>
      </c>
      <c r="J3641" s="8" t="n">
        <f aca="false">IF($G3641&lt;&gt;"",$G3641,$B3641)</f>
        <v>4413330</v>
      </c>
      <c r="K3641" s="8" t="str">
        <f aca="false">IF(COUNTIF($M$1:$M$10,$A3641)&gt;0,"Y","N")</f>
        <v>N</v>
      </c>
    </row>
    <row r="3642" customFormat="false" ht="15" hidden="false" customHeight="true" outlineLevel="0" collapsed="false">
      <c r="A3642" s="8" t="s">
        <v>1084</v>
      </c>
      <c r="B3642" s="8" t="s">
        <v>733</v>
      </c>
      <c r="C3642" s="19" t="n">
        <v>180</v>
      </c>
      <c r="D3642" s="19" t="n">
        <v>2628.96</v>
      </c>
      <c r="E3642" s="19" t="n">
        <v>180</v>
      </c>
      <c r="F3642" s="19" t="n">
        <v>2595.16</v>
      </c>
      <c r="G3642" s="8" t="n">
        <f aca="false">IFERROR(INDEX('TRANS'!$B:$B,MATCH($B3642,'TRANS'!$A:$A,0)),IFERROR(INDEX('TRANS'!$B:$B,MATCH(TRIM(SUBSTITUTE($B3642,CHAR(160)," ")),'TRANS'!$D:$D,0)),IFERROR(INDEX('Catalog'!$A:$A,MATCH($B3642,'Catalog'!$B:$B,0)),IFERROR(INDEX('Catalog'!$A:$A,MATCH(TRIM(SUBSTITUTE($B3642,CHAR(160)," ")),'Catalog'!$C:$C,0)),""))))</f>
        <v>4408208</v>
      </c>
      <c r="H3642" s="8" t="str">
        <f aca="false">IFERROR(INDEX('TRANS'!$C:$C,MATCH($B3642,'TRANS'!$A:$A,0)),IFERROR(INDEX('Catalog'!$B:$B,MATCH($G3642,'Catalog'!$A:$A,0)),$B3642))</f>
        <v>AC91 חבק טניס</v>
      </c>
      <c r="I3642" s="8" t="str">
        <f aca="false">IF($G3642="","Unmatched","Matched")</f>
        <v>Matched</v>
      </c>
      <c r="J3642" s="8" t="n">
        <f aca="false">IF($G3642&lt;&gt;"",$G3642,$B3642)</f>
        <v>4408208</v>
      </c>
      <c r="K3642" s="8" t="str">
        <f aca="false">IF(COUNTIF($M$1:$M$10,$A3642)&gt;0,"Y","N")</f>
        <v>N</v>
      </c>
    </row>
    <row r="3643" customFormat="false" ht="15" hidden="false" customHeight="true" outlineLevel="0" collapsed="false">
      <c r="A3643" s="8" t="s">
        <v>1084</v>
      </c>
      <c r="B3643" s="8" t="s">
        <v>734</v>
      </c>
      <c r="C3643" s="19" t="n">
        <v>160</v>
      </c>
      <c r="D3643" s="19" t="n">
        <v>2674.83</v>
      </c>
      <c r="E3643" s="19" t="n">
        <v>160</v>
      </c>
      <c r="F3643" s="19" t="n">
        <v>2496.75</v>
      </c>
      <c r="G3643" s="8" t="n">
        <f aca="false">IFERROR(INDEX('TRANS'!$B:$B,MATCH($B3643,'TRANS'!$A:$A,0)),IFERROR(INDEX('TRANS'!$B:$B,MATCH(TRIM(SUBSTITUTE($B3643,CHAR(160)," ")),'TRANS'!$D:$D,0)),IFERROR(INDEX('Catalog'!$A:$A,MATCH($B3643,'Catalog'!$B:$B,0)),IFERROR(INDEX('Catalog'!$A:$A,MATCH(TRIM(SUBSTITUTE($B3643,CHAR(160)," ")),'Catalog'!$C:$C,0)),""))))</f>
        <v>4413331</v>
      </c>
      <c r="H3643" s="8" t="str">
        <f aca="false">IFERROR(INDEX('TRANS'!$C:$C,MATCH($B3643,'TRANS'!$A:$A,0)),IFERROR(INDEX('Catalog'!$B:$B,MATCH($G3643,'Catalog'!$A:$A,0)),$B3643))</f>
        <v>AC95 מגן מרפק</v>
      </c>
      <c r="I3643" s="8" t="str">
        <f aca="false">IF($G3643="","Unmatched","Matched")</f>
        <v>Matched</v>
      </c>
      <c r="J3643" s="8" t="n">
        <f aca="false">IF($G3643&lt;&gt;"",$G3643,$B3643)</f>
        <v>4413331</v>
      </c>
      <c r="K3643" s="8" t="str">
        <f aca="false">IF(COUNTIF($M$1:$M$10,$A3643)&gt;0,"Y","N")</f>
        <v>N</v>
      </c>
    </row>
    <row r="3644" customFormat="false" ht="15" hidden="false" customHeight="true" outlineLevel="0" collapsed="false">
      <c r="A3644" s="8" t="s">
        <v>1084</v>
      </c>
      <c r="B3644" s="8" t="s">
        <v>736</v>
      </c>
      <c r="C3644" s="19" t="n">
        <v>31</v>
      </c>
      <c r="D3644" s="19" t="n">
        <v>281.64</v>
      </c>
      <c r="E3644" s="19" t="n">
        <v>-30</v>
      </c>
      <c r="F3644" s="19" t="n">
        <v>-278.86</v>
      </c>
      <c r="G3644" s="8" t="n">
        <f aca="false">IFERROR(INDEX('TRANS'!$B:$B,MATCH($B3644,'TRANS'!$A:$A,0)),IFERROR(INDEX('TRANS'!$B:$B,MATCH(TRIM(SUBSTITUTE($B3644,CHAR(160)," ")),'TRANS'!$D:$D,0)),IFERROR(INDEX('Catalog'!$A:$A,MATCH($B3644,'Catalog'!$B:$B,0)),IFERROR(INDEX('Catalog'!$A:$A,MATCH(TRIM(SUBSTITUTE($B3644,CHAR(160)," ")),'Catalog'!$C:$C,0)),""))))</f>
        <v>4422035</v>
      </c>
      <c r="H3644" s="8" t="str">
        <f aca="false">IFERROR(INDEX('TRANS'!$C:$C,MATCH($B3644,'TRANS'!$A:$A,0)),IFERROR(INDEX('Catalog'!$B:$B,MATCH($G3644,'Catalog'!$A:$A,0)),$B3644))</f>
        <v>FCתרסיס דאודורנט אנטיבק.נעל333</v>
      </c>
      <c r="I3644" s="8" t="str">
        <f aca="false">IF($G3644="","Unmatched","Matched")</f>
        <v>Matched</v>
      </c>
      <c r="J3644" s="8" t="n">
        <f aca="false">IF($G3644&lt;&gt;"",$G3644,$B3644)</f>
        <v>4422035</v>
      </c>
      <c r="K3644" s="8" t="str">
        <f aca="false">IF(COUNTIF($M$1:$M$10,$A3644)&gt;0,"Y","N")</f>
        <v>N</v>
      </c>
    </row>
    <row r="3645" customFormat="false" ht="15" hidden="false" customHeight="true" outlineLevel="0" collapsed="false">
      <c r="A3645" s="8" t="s">
        <v>1084</v>
      </c>
      <c r="B3645" s="8" t="s">
        <v>888</v>
      </c>
      <c r="C3645" s="19" t="n">
        <v>30</v>
      </c>
      <c r="D3645" s="19" t="n">
        <v>310.25</v>
      </c>
      <c r="E3645" s="19" t="n">
        <v>-30</v>
      </c>
      <c r="F3645" s="19" t="n">
        <v>-307.22</v>
      </c>
      <c r="G3645" s="8" t="n">
        <f aca="false">IFERROR(INDEX('TRANS'!$B:$B,MATCH($B3645,'TRANS'!$A:$A,0)),IFERROR(INDEX('TRANS'!$B:$B,MATCH(TRIM(SUBSTITUTE($B3645,CHAR(160)," ")),'TRANS'!$D:$D,0)),IFERROR(INDEX('Catalog'!$A:$A,MATCH($B3645,'Catalog'!$B:$B,0)),IFERROR(INDEX('Catalog'!$A:$A,MATCH(TRIM(SUBSTITUTE($B3645,CHAR(160)," ")),'Catalog'!$C:$C,0)),""))))</f>
        <v>4422036</v>
      </c>
      <c r="H3645" s="8" t="str">
        <f aca="false">IFERROR(INDEX('TRANS'!$C:$C,MATCH($B3645,'TRANS'!$A:$A,0)),IFERROR(INDEX('Catalog'!$B:$B,MATCH($G3645,'Catalog'!$A:$A,0)),$B3645))</f>
        <v>FC334  תרסיס דאודורנט לכף הרגל</v>
      </c>
      <c r="I3645" s="8" t="str">
        <f aca="false">IF($G3645="","Unmatched","Matched")</f>
        <v>Matched</v>
      </c>
      <c r="J3645" s="8" t="n">
        <f aca="false">IF($G3645&lt;&gt;"",$G3645,$B3645)</f>
        <v>4422036</v>
      </c>
      <c r="K3645" s="8" t="str">
        <f aca="false">IF(COUNTIF($M$1:$M$10,$A3645)&gt;0,"Y","N")</f>
        <v>N</v>
      </c>
    </row>
    <row r="3646" customFormat="false" ht="15" hidden="false" customHeight="true" outlineLevel="0" collapsed="false">
      <c r="A3646" s="8" t="s">
        <v>1084</v>
      </c>
      <c r="B3646" s="8" t="s">
        <v>1095</v>
      </c>
      <c r="C3646" s="19" t="n">
        <v>0</v>
      </c>
      <c r="D3646" s="19" t="n">
        <v>0</v>
      </c>
      <c r="E3646" s="19" t="n">
        <v>1</v>
      </c>
      <c r="F3646" s="19" t="n">
        <v>0.03</v>
      </c>
      <c r="G3646" s="8" t="str">
        <f aca="false">IFERROR(INDEX('TRANS'!$B:$B,MATCH($B3646,'TRANS'!$A:$A,0)),IFERROR(INDEX('TRANS'!$B:$B,MATCH(TRIM(SUBSTITUTE($B3646,CHAR(160)," ")),'TRANS'!$D:$D,0)),IFERROR(INDEX('Catalog'!$A:$A,MATCH($B3646,'Catalog'!$B:$B,0)),IFERROR(INDEX('Catalog'!$A:$A,MATCH(TRIM(SUBSTITUTE($B3646,CHAR(160)," ")),'Catalog'!$C:$C,0)),""))))</f>
        <v/>
      </c>
      <c r="H3646" s="8" t="str">
        <f aca="false">IFERROR(INDEX('TRANS'!$C:$C,MATCH($B3646,'TRANS'!$A:$A,0)),IFERROR(INDEX('Catalog'!$B:$B,MATCH($G3646,'Catalog'!$A:$A,0)),$B3646))</f>
        <v>SH322-6</v>
      </c>
      <c r="I3646" s="8" t="str">
        <f aca="false">IF($G3646="","Unmatched","Matched")</f>
        <v>Unmatched</v>
      </c>
      <c r="J3646" s="8" t="str">
        <f aca="false">IF($G3646&lt;&gt;"",$G3646,$B3646)</f>
        <v>SH322-6</v>
      </c>
      <c r="K3646" s="8" t="str">
        <f aca="false">IF(COUNTIF($M$1:$M$10,$A3646)&gt;0,"Y","N")</f>
        <v>N</v>
      </c>
    </row>
    <row r="3647" customFormat="false" ht="15" hidden="false" customHeight="true" outlineLevel="0" collapsed="false">
      <c r="A3647" s="8" t="s">
        <v>1084</v>
      </c>
      <c r="B3647" s="8" t="s">
        <v>891</v>
      </c>
      <c r="C3647" s="19" t="n">
        <v>3</v>
      </c>
      <c r="D3647" s="19" t="n">
        <v>255.83</v>
      </c>
      <c r="E3647" s="19" t="n">
        <v>0</v>
      </c>
      <c r="F3647" s="19" t="n">
        <v>0</v>
      </c>
      <c r="G3647" s="8" t="n">
        <f aca="false">IFERROR(INDEX('TRANS'!$B:$B,MATCH($B3647,'TRANS'!$A:$A,0)),IFERROR(INDEX('TRANS'!$B:$B,MATCH(TRIM(SUBSTITUTE($B3647,CHAR(160)," ")),'TRANS'!$D:$D,0)),IFERROR(INDEX('Catalog'!$A:$A,MATCH($B3647,'Catalog'!$B:$B,0)),IFERROR(INDEX('Catalog'!$A:$A,MATCH(TRIM(SUBSTITUTE($B3647,CHAR(160)," ")),'Catalog'!$C:$C,0)),""))))</f>
        <v>4422038</v>
      </c>
      <c r="H3647" s="8" t="str">
        <f aca="false">IFERROR(INDEX('TRANS'!$C:$C,MATCH($B3647,'TRANS'!$A:$A,0)),IFERROR(INDEX('Catalog'!$B:$B,MATCH($G3647,'Catalog'!$A:$A,0)),$B3647))</f>
        <v>SH422 2 תומך ברך גנושילד</v>
      </c>
      <c r="I3647" s="8" t="str">
        <f aca="false">IF($G3647="","Unmatched","Matched")</f>
        <v>Matched</v>
      </c>
      <c r="J3647" s="8" t="n">
        <f aca="false">IF($G3647&lt;&gt;"",$G3647,$B3647)</f>
        <v>4422038</v>
      </c>
      <c r="K3647" s="8" t="str">
        <f aca="false">IF(COUNTIF($M$1:$M$10,$A3647)&gt;0,"Y","N")</f>
        <v>N</v>
      </c>
    </row>
    <row r="3648" customFormat="false" ht="15" hidden="false" customHeight="true" outlineLevel="0" collapsed="false">
      <c r="A3648" s="8" t="s">
        <v>1084</v>
      </c>
      <c r="B3648" s="8" t="s">
        <v>892</v>
      </c>
      <c r="C3648" s="19" t="n">
        <v>5</v>
      </c>
      <c r="D3648" s="19" t="n">
        <v>426.39</v>
      </c>
      <c r="E3648" s="19" t="n">
        <v>0</v>
      </c>
      <c r="F3648" s="19" t="n">
        <v>0</v>
      </c>
      <c r="G3648" s="8" t="n">
        <f aca="false">IFERROR(INDEX('TRANS'!$B:$B,MATCH($B3648,'TRANS'!$A:$A,0)),IFERROR(INDEX('TRANS'!$B:$B,MATCH(TRIM(SUBSTITUTE($B3648,CHAR(160)," ")),'TRANS'!$D:$D,0)),IFERROR(INDEX('Catalog'!$A:$A,MATCH($B3648,'Catalog'!$B:$B,0)),IFERROR(INDEX('Catalog'!$A:$A,MATCH(TRIM(SUBSTITUTE($B3648,CHAR(160)," ")),'Catalog'!$C:$C,0)),""))))</f>
        <v>4422039</v>
      </c>
      <c r="H3648" s="8" t="str">
        <f aca="false">IFERROR(INDEX('TRANS'!$C:$C,MATCH($B3648,'TRANS'!$A:$A,0)),IFERROR(INDEX('Catalog'!$B:$B,MATCH($G3648,'Catalog'!$A:$A,0)),$B3648))</f>
        <v>SH422 3 תומך ברך גנושילד</v>
      </c>
      <c r="I3648" s="8" t="str">
        <f aca="false">IF($G3648="","Unmatched","Matched")</f>
        <v>Matched</v>
      </c>
      <c r="J3648" s="8" t="n">
        <f aca="false">IF($G3648&lt;&gt;"",$G3648,$B3648)</f>
        <v>4422039</v>
      </c>
      <c r="K3648" s="8" t="str">
        <f aca="false">IF(COUNTIF($M$1:$M$10,$A3648)&gt;0,"Y","N")</f>
        <v>N</v>
      </c>
    </row>
    <row r="3649" customFormat="false" ht="15" hidden="false" customHeight="true" outlineLevel="0" collapsed="false">
      <c r="A3649" s="8" t="s">
        <v>1084</v>
      </c>
      <c r="B3649" s="8" t="s">
        <v>893</v>
      </c>
      <c r="C3649" s="19" t="n">
        <v>5</v>
      </c>
      <c r="D3649" s="19" t="n">
        <v>426.39</v>
      </c>
      <c r="E3649" s="19" t="n">
        <v>0</v>
      </c>
      <c r="F3649" s="19" t="n">
        <v>0</v>
      </c>
      <c r="G3649" s="8" t="n">
        <f aca="false">IFERROR(INDEX('TRANS'!$B:$B,MATCH($B3649,'TRANS'!$A:$A,0)),IFERROR(INDEX('TRANS'!$B:$B,MATCH(TRIM(SUBSTITUTE($B3649,CHAR(160)," ")),'TRANS'!$D:$D,0)),IFERROR(INDEX('Catalog'!$A:$A,MATCH($B3649,'Catalog'!$B:$B,0)),IFERROR(INDEX('Catalog'!$A:$A,MATCH(TRIM(SUBSTITUTE($B3649,CHAR(160)," ")),'Catalog'!$C:$C,0)),""))))</f>
        <v>4422040</v>
      </c>
      <c r="H3649" s="8" t="str">
        <f aca="false">IFERROR(INDEX('TRANS'!$C:$C,MATCH($B3649,'TRANS'!$A:$A,0)),IFERROR(INDEX('Catalog'!$B:$B,MATCH($G3649,'Catalog'!$A:$A,0)),$B3649))</f>
        <v>SH422 4 תומך ברך גנושילד</v>
      </c>
      <c r="I3649" s="8" t="str">
        <f aca="false">IF($G3649="","Unmatched","Matched")</f>
        <v>Matched</v>
      </c>
      <c r="J3649" s="8" t="n">
        <f aca="false">IF($G3649&lt;&gt;"",$G3649,$B3649)</f>
        <v>4422040</v>
      </c>
      <c r="K3649" s="8" t="str">
        <f aca="false">IF(COUNTIF($M$1:$M$10,$A3649)&gt;0,"Y","N")</f>
        <v>N</v>
      </c>
    </row>
    <row r="3650" customFormat="false" ht="15" hidden="false" customHeight="true" outlineLevel="0" collapsed="false">
      <c r="A3650" s="8" t="s">
        <v>1084</v>
      </c>
      <c r="B3650" s="8" t="s">
        <v>763</v>
      </c>
      <c r="C3650" s="19" t="n">
        <v>5</v>
      </c>
      <c r="D3650" s="19" t="n">
        <v>426.39</v>
      </c>
      <c r="E3650" s="19" t="n">
        <v>0</v>
      </c>
      <c r="F3650" s="19" t="n">
        <v>0</v>
      </c>
      <c r="G3650" s="8" t="n">
        <f aca="false">IFERROR(INDEX('TRANS'!$B:$B,MATCH($B3650,'TRANS'!$A:$A,0)),IFERROR(INDEX('TRANS'!$B:$B,MATCH(TRIM(SUBSTITUTE($B3650,CHAR(160)," ")),'TRANS'!$D:$D,0)),IFERROR(INDEX('Catalog'!$A:$A,MATCH($B3650,'Catalog'!$B:$B,0)),IFERROR(INDEX('Catalog'!$A:$A,MATCH(TRIM(SUBSTITUTE($B3650,CHAR(160)," ")),'Catalog'!$C:$C,0)),""))))</f>
        <v>4422041</v>
      </c>
      <c r="H3650" s="8" t="str">
        <f aca="false">IFERROR(INDEX('TRANS'!$C:$C,MATCH($B3650,'TRANS'!$A:$A,0)),IFERROR(INDEX('Catalog'!$B:$B,MATCH($G3650,'Catalog'!$A:$A,0)),$B3650))</f>
        <v>SH422 5 תומך ברך גנושילד</v>
      </c>
      <c r="I3650" s="8" t="str">
        <f aca="false">IF($G3650="","Unmatched","Matched")</f>
        <v>Matched</v>
      </c>
      <c r="J3650" s="8" t="n">
        <f aca="false">IF($G3650&lt;&gt;"",$G3650,$B3650)</f>
        <v>4422041</v>
      </c>
      <c r="K3650" s="8" t="str">
        <f aca="false">IF(COUNTIF($M$1:$M$10,$A3650)&gt;0,"Y","N")</f>
        <v>N</v>
      </c>
    </row>
    <row r="3651" customFormat="false" ht="15" hidden="false" customHeight="true" outlineLevel="0" collapsed="false">
      <c r="A3651" s="8" t="s">
        <v>1084</v>
      </c>
      <c r="B3651" s="8" t="s">
        <v>894</v>
      </c>
      <c r="C3651" s="19" t="n">
        <v>5</v>
      </c>
      <c r="D3651" s="19" t="n">
        <v>426.39</v>
      </c>
      <c r="E3651" s="19" t="n">
        <v>0</v>
      </c>
      <c r="F3651" s="19" t="n">
        <v>0</v>
      </c>
      <c r="G3651" s="8" t="n">
        <f aca="false">IFERROR(INDEX('TRANS'!$B:$B,MATCH($B3651,'TRANS'!$A:$A,0)),IFERROR(INDEX('TRANS'!$B:$B,MATCH(TRIM(SUBSTITUTE($B3651,CHAR(160)," ")),'TRANS'!$D:$D,0)),IFERROR(INDEX('Catalog'!$A:$A,MATCH($B3651,'Catalog'!$B:$B,0)),IFERROR(INDEX('Catalog'!$A:$A,MATCH(TRIM(SUBSTITUTE($B3651,CHAR(160)," ")),'Catalog'!$C:$C,0)),""))))</f>
        <v>4422042</v>
      </c>
      <c r="H3651" s="8" t="str">
        <f aca="false">IFERROR(INDEX('TRANS'!$C:$C,MATCH($B3651,'TRANS'!$A:$A,0)),IFERROR(INDEX('Catalog'!$B:$B,MATCH($G3651,'Catalog'!$A:$A,0)),$B3651))</f>
        <v>SH422 6 תומך ברך גנושילד</v>
      </c>
      <c r="I3651" s="8" t="str">
        <f aca="false">IF($G3651="","Unmatched","Matched")</f>
        <v>Matched</v>
      </c>
      <c r="J3651" s="8" t="n">
        <f aca="false">IF($G3651&lt;&gt;"",$G3651,$B3651)</f>
        <v>4422042</v>
      </c>
      <c r="K3651" s="8" t="str">
        <f aca="false">IF(COUNTIF($M$1:$M$10,$A3651)&gt;0,"Y","N")</f>
        <v>N</v>
      </c>
    </row>
    <row r="3652" customFormat="false" ht="15" hidden="false" customHeight="true" outlineLevel="0" collapsed="false">
      <c r="A3652" s="8" t="s">
        <v>1084</v>
      </c>
      <c r="B3652" s="8" t="s">
        <v>1096</v>
      </c>
      <c r="C3652" s="19" t="n">
        <v>0</v>
      </c>
      <c r="D3652" s="19" t="n">
        <v>0</v>
      </c>
      <c r="E3652" s="19" t="n">
        <v>1</v>
      </c>
      <c r="F3652" s="19" t="n">
        <v>0.03</v>
      </c>
      <c r="G3652" s="8" t="str">
        <f aca="false">IFERROR(INDEX('TRANS'!$B:$B,MATCH($B3652,'TRANS'!$A:$A,0)),IFERROR(INDEX('TRANS'!$B:$B,MATCH(TRIM(SUBSTITUTE($B3652,CHAR(160)," ")),'TRANS'!$D:$D,0)),IFERROR(INDEX('Catalog'!$A:$A,MATCH($B3652,'Catalog'!$B:$B,0)),IFERROR(INDEX('Catalog'!$A:$A,MATCH(TRIM(SUBSTITUTE($B3652,CHAR(160)," ")),'Catalog'!$C:$C,0)),""))))</f>
        <v/>
      </c>
      <c r="H3652" s="8" t="str">
        <f aca="false">IFERROR(INDEX('TRANS'!$C:$C,MATCH($B3652,'TRANS'!$A:$A,0)),IFERROR(INDEX('Catalog'!$B:$B,MATCH($G3652,'Catalog'!$A:$A,0)),$B3652))</f>
        <v>SH423L 6</v>
      </c>
      <c r="I3652" s="8" t="str">
        <f aca="false">IF($G3652="","Unmatched","Matched")</f>
        <v>Unmatched</v>
      </c>
      <c r="J3652" s="8" t="str">
        <f aca="false">IF($G3652&lt;&gt;"",$G3652,$B3652)</f>
        <v>SH423L 6</v>
      </c>
      <c r="K3652" s="8" t="str">
        <f aca="false">IF(COUNTIF($M$1:$M$10,$A3652)&gt;0,"Y","N")</f>
        <v>N</v>
      </c>
    </row>
    <row r="3653" customFormat="false" ht="15" hidden="false" customHeight="true" outlineLevel="0" collapsed="false">
      <c r="A3653" s="8" t="s">
        <v>1084</v>
      </c>
      <c r="B3653" s="8" t="s">
        <v>1097</v>
      </c>
      <c r="C3653" s="19" t="n">
        <v>30</v>
      </c>
      <c r="D3653" s="19" t="n">
        <v>1557.91</v>
      </c>
      <c r="E3653" s="19" t="n">
        <v>0</v>
      </c>
      <c r="F3653" s="19" t="n">
        <v>0</v>
      </c>
      <c r="G3653" s="8" t="str">
        <f aca="false">IFERROR(INDEX('TRANS'!$B:$B,MATCH($B3653,'TRANS'!$A:$A,0)),IFERROR(INDEX('TRANS'!$B:$B,MATCH(TRIM(SUBSTITUTE($B3653,CHAR(160)," ")),'TRANS'!$D:$D,0)),IFERROR(INDEX('Catalog'!$A:$A,MATCH($B3653,'Catalog'!$B:$B,0)),IFERROR(INDEX('Catalog'!$A:$A,MATCH(TRIM(SUBSTITUTE($B3653,CHAR(160)," ")),'Catalog'!$C:$C,0)),""))))</f>
        <v/>
      </c>
      <c r="H3653" s="8" t="str">
        <f aca="false">IFERROR(INDEX('TRANS'!$C:$C,MATCH($B3653,'TRANS'!$A:$A,0)),IFERROR(INDEX('Catalog'!$B:$B,MATCH($G3653,'Catalog'!$A:$A,0)),$B3653))</f>
        <v>ST10 0</v>
      </c>
      <c r="I3653" s="8" t="str">
        <f aca="false">IF($G3653="","Unmatched","Matched")</f>
        <v>Unmatched</v>
      </c>
      <c r="J3653" s="8" t="str">
        <f aca="false">IF($G3653&lt;&gt;"",$G3653,$B3653)</f>
        <v>ST10 0</v>
      </c>
      <c r="K3653" s="8" t="str">
        <f aca="false">IF(COUNTIF($M$1:$M$10,$A3653)&gt;0,"Y","N")</f>
        <v>N</v>
      </c>
    </row>
    <row r="3654" customFormat="false" ht="15" hidden="false" customHeight="true" outlineLevel="0" collapsed="false">
      <c r="A3654" s="8" t="s">
        <v>1084</v>
      </c>
      <c r="B3654" s="8" t="s">
        <v>895</v>
      </c>
      <c r="C3654" s="19" t="n">
        <v>0</v>
      </c>
      <c r="D3654" s="19" t="n">
        <v>0</v>
      </c>
      <c r="E3654" s="19" t="n">
        <v>630</v>
      </c>
      <c r="F3654" s="19" t="n">
        <v>28285.4</v>
      </c>
      <c r="G3654" s="8" t="n">
        <f aca="false">IFERROR(INDEX('TRANS'!$B:$B,MATCH($B3654,'TRANS'!$A:$A,0)),IFERROR(INDEX('TRANS'!$B:$B,MATCH(TRIM(SUBSTITUTE($B3654,CHAR(160)," ")),'TRANS'!$D:$D,0)),IFERROR(INDEX('Catalog'!$A:$A,MATCH($B3654,'Catalog'!$B:$B,0)),IFERROR(INDEX('Catalog'!$A:$A,MATCH(TRIM(SUBSTITUTE($B3654,CHAR(160)," ")),'Catalog'!$C:$C,0)),""))))</f>
        <v>4408270</v>
      </c>
      <c r="H3654" s="8" t="str">
        <f aca="false">IFERROR(INDEX('TRANS'!$C:$C,MATCH($B3654,'TRANS'!$A:$A,0)),IFERROR(INDEX('Catalog'!$B:$B,MATCH($G3654,'Catalog'!$A:$A,0)),$B3654))</f>
        <v>ST11  חגורת בטן</v>
      </c>
      <c r="I3654" s="8" t="str">
        <f aca="false">IF($G3654="","Unmatched","Matched")</f>
        <v>Matched</v>
      </c>
      <c r="J3654" s="8" t="n">
        <f aca="false">IF($G3654&lt;&gt;"",$G3654,$B3654)</f>
        <v>4408270</v>
      </c>
      <c r="K3654" s="8" t="str">
        <f aca="false">IF(COUNTIF($M$1:$M$10,$A3654)&gt;0,"Y","N")</f>
        <v>N</v>
      </c>
    </row>
    <row r="3655" customFormat="false" ht="15" hidden="false" customHeight="true" outlineLevel="0" collapsed="false">
      <c r="A3655" s="8" t="s">
        <v>1084</v>
      </c>
      <c r="B3655" s="8" t="s">
        <v>897</v>
      </c>
      <c r="C3655" s="19" t="n">
        <v>4800</v>
      </c>
      <c r="D3655" s="19" t="n">
        <v>66726.56</v>
      </c>
      <c r="E3655" s="19" t="n">
        <v>5500</v>
      </c>
      <c r="F3655" s="19" t="n">
        <v>77415.73</v>
      </c>
      <c r="G3655" s="8" t="n">
        <f aca="false">IFERROR(INDEX('TRANS'!$B:$B,MATCH($B3655,'TRANS'!$A:$A,0)),IFERROR(INDEX('TRANS'!$B:$B,MATCH(TRIM(SUBSTITUTE($B3655,CHAR(160)," ")),'TRANS'!$D:$D,0)),IFERROR(INDEX('Catalog'!$A:$A,MATCH($B3655,'Catalog'!$B:$B,0)),IFERROR(INDEX('Catalog'!$A:$A,MATCH(TRIM(SUBSTITUTE($B3655,CHAR(160)," ")),'Catalog'!$C:$C,0)),""))))</f>
        <v>4408267</v>
      </c>
      <c r="H3655" s="8" t="str">
        <f aca="false">IFERROR(INDEX('TRANS'!$C:$C,MATCH($B3655,'TRANS'!$A:$A,0)),IFERROR(INDEX('Catalog'!$B:$B,MATCH($G3655,'Catalog'!$A:$A,0)),$B3655))</f>
        <v>ST25 חבק שורש לכף היד</v>
      </c>
      <c r="I3655" s="8" t="str">
        <f aca="false">IF($G3655="","Unmatched","Matched")</f>
        <v>Matched</v>
      </c>
      <c r="J3655" s="8" t="n">
        <f aca="false">IF($G3655&lt;&gt;"",$G3655,$B3655)</f>
        <v>4408267</v>
      </c>
      <c r="K3655" s="8" t="str">
        <f aca="false">IF(COUNTIF($M$1:$M$10,$A3655)&gt;0,"Y","N")</f>
        <v>N</v>
      </c>
    </row>
    <row r="3656" customFormat="false" ht="15" hidden="false" customHeight="true" outlineLevel="0" collapsed="false">
      <c r="A3656" s="8" t="s">
        <v>1084</v>
      </c>
      <c r="B3656" s="8" t="s">
        <v>74</v>
      </c>
      <c r="C3656" s="19" t="n">
        <v>5</v>
      </c>
      <c r="D3656" s="19" t="n">
        <v>78.44</v>
      </c>
      <c r="E3656" s="19" t="n">
        <v>135</v>
      </c>
      <c r="F3656" s="19" t="n">
        <v>2205.05</v>
      </c>
      <c r="G3656" s="8" t="str">
        <f aca="false">IFERROR(INDEX('TRANS'!$B:$B,MATCH($B3656,'TRANS'!$A:$A,0)),IFERROR(INDEX('TRANS'!$B:$B,MATCH(TRIM(SUBSTITUTE($B3656,CHAR(160)," ")),'TRANS'!$D:$D,0)),IFERROR(INDEX('Catalog'!$A:$A,MATCH($B3656,'Catalog'!$B:$B,0)),IFERROR(INDEX('Catalog'!$A:$A,MATCH(TRIM(SUBSTITUTE($B3656,CHAR(160)," ")),'Catalog'!$C:$C,0)),""))))</f>
        <v/>
      </c>
      <c r="H3656" s="8" t="str">
        <f aca="false">IFERROR(INDEX('TRANS'!$C:$C,MATCH($B3656,'TRANS'!$A:$A,0)),IFERROR(INDEX('Catalog'!$B:$B,MATCH($G3656,'Catalog'!$A:$A,0)),$B3656))</f>
        <v>ST27L 0</v>
      </c>
      <c r="I3656" s="8" t="str">
        <f aca="false">IF($G3656="","Unmatched","Matched")</f>
        <v>Unmatched</v>
      </c>
      <c r="J3656" s="8" t="str">
        <f aca="false">IF($G3656&lt;&gt;"",$G3656,$B3656)</f>
        <v>ST27L 0</v>
      </c>
      <c r="K3656" s="8" t="str">
        <f aca="false">IF(COUNTIF($M$1:$M$10,$A3656)&gt;0,"Y","N")</f>
        <v>N</v>
      </c>
    </row>
    <row r="3657" customFormat="false" ht="15" hidden="false" customHeight="true" outlineLevel="0" collapsed="false">
      <c r="A3657" s="8" t="s">
        <v>1084</v>
      </c>
      <c r="B3657" s="8" t="s">
        <v>70</v>
      </c>
      <c r="C3657" s="19" t="n">
        <v>159</v>
      </c>
      <c r="D3657" s="19" t="n">
        <v>2642.53</v>
      </c>
      <c r="E3657" s="19" t="n">
        <v>155</v>
      </c>
      <c r="F3657" s="19" t="n">
        <v>2532.72</v>
      </c>
      <c r="G3657" s="8" t="str">
        <f aca="false">IFERROR(INDEX('TRANS'!$B:$B,MATCH($B3657,'TRANS'!$A:$A,0)),IFERROR(INDEX('TRANS'!$B:$B,MATCH(TRIM(SUBSTITUTE($B3657,CHAR(160)," ")),'TRANS'!$D:$D,0)),IFERROR(INDEX('Catalog'!$A:$A,MATCH($B3657,'Catalog'!$B:$B,0)),IFERROR(INDEX('Catalog'!$A:$A,MATCH(TRIM(SUBSTITUTE($B3657,CHAR(160)," ")),'Catalog'!$C:$C,0)),""))))</f>
        <v/>
      </c>
      <c r="H3657" s="8" t="str">
        <f aca="false">IFERROR(INDEX('TRANS'!$C:$C,MATCH($B3657,'TRANS'!$A:$A,0)),IFERROR(INDEX('Catalog'!$B:$B,MATCH($G3657,'Catalog'!$A:$A,0)),$B3657))</f>
        <v>ST27R 0</v>
      </c>
      <c r="I3657" s="8" t="str">
        <f aca="false">IF($G3657="","Unmatched","Matched")</f>
        <v>Unmatched</v>
      </c>
      <c r="J3657" s="8" t="str">
        <f aca="false">IF($G3657&lt;&gt;"",$G3657,$B3657)</f>
        <v>ST27R 0</v>
      </c>
      <c r="K3657" s="8" t="str">
        <f aca="false">IF(COUNTIF($M$1:$M$10,$A3657)&gt;0,"Y","N")</f>
        <v>N</v>
      </c>
    </row>
    <row r="3658" customFormat="false" ht="15" hidden="false" customHeight="true" outlineLevel="0" collapsed="false">
      <c r="A3658" s="8" t="s">
        <v>1084</v>
      </c>
      <c r="B3658" s="8" t="s">
        <v>898</v>
      </c>
      <c r="C3658" s="19" t="n">
        <v>250</v>
      </c>
      <c r="D3658" s="19" t="n">
        <v>3848.53</v>
      </c>
      <c r="E3658" s="19" t="n">
        <v>300</v>
      </c>
      <c r="F3658" s="19" t="n">
        <v>4576.1</v>
      </c>
      <c r="G3658" s="8" t="n">
        <f aca="false">IFERROR(INDEX('TRANS'!$B:$B,MATCH($B3658,'TRANS'!$A:$A,0)),IFERROR(INDEX('TRANS'!$B:$B,MATCH(TRIM(SUBSTITUTE($B3658,CHAR(160)," ")),'TRANS'!$D:$D,0)),IFERROR(INDEX('Catalog'!$A:$A,MATCH($B3658,'Catalog'!$B:$B,0)),IFERROR(INDEX('Catalog'!$A:$A,MATCH(TRIM(SUBSTITUTE($B3658,CHAR(160)," ")),'Catalog'!$C:$C,0)),""))))</f>
        <v>4415177</v>
      </c>
      <c r="H3658" s="8" t="str">
        <f aca="false">IFERROR(INDEX('TRANS'!$C:$C,MATCH($B3658,'TRANS'!$A:$A,0)),IFERROR(INDEX('Catalog'!$B:$B,MATCH($G3658,'Catalog'!$A:$A,0)),$B3658))</f>
        <v>ST28 סד אגודלי עם מוט תמיכה</v>
      </c>
      <c r="I3658" s="8" t="str">
        <f aca="false">IF($G3658="","Unmatched","Matched")</f>
        <v>Matched</v>
      </c>
      <c r="J3658" s="8" t="n">
        <f aca="false">IF($G3658&lt;&gt;"",$G3658,$B3658)</f>
        <v>4415177</v>
      </c>
      <c r="K3658" s="8" t="str">
        <f aca="false">IF(COUNTIF($M$1:$M$10,$A3658)&gt;0,"Y","N")</f>
        <v>N</v>
      </c>
    </row>
    <row r="3659" customFormat="false" ht="15" hidden="false" customHeight="true" outlineLevel="0" collapsed="false">
      <c r="A3659" s="8" t="s">
        <v>1084</v>
      </c>
      <c r="B3659" s="8" t="s">
        <v>899</v>
      </c>
      <c r="C3659" s="19" t="n">
        <v>550</v>
      </c>
      <c r="D3659" s="19" t="n">
        <v>8740.02</v>
      </c>
      <c r="E3659" s="19" t="n">
        <v>490</v>
      </c>
      <c r="F3659" s="19" t="n">
        <v>6920.5</v>
      </c>
      <c r="G3659" s="8" t="n">
        <f aca="false">IFERROR(INDEX('TRANS'!$B:$B,MATCH($B3659,'TRANS'!$A:$A,0)),IFERROR(INDEX('TRANS'!$B:$B,MATCH(TRIM(SUBSTITUTE($B3659,CHAR(160)," ")),'TRANS'!$D:$D,0)),IFERROR(INDEX('Catalog'!$A:$A,MATCH($B3659,'Catalog'!$B:$B,0)),IFERROR(INDEX('Catalog'!$A:$A,MATCH(TRIM(SUBSTITUTE($B3659,CHAR(160)," ")),'Catalog'!$C:$C,0)),""))))</f>
        <v>4408269</v>
      </c>
      <c r="H3659" s="8" t="str">
        <f aca="false">IFERROR(INDEX('TRANS'!$C:$C,MATCH($B3659,'TRANS'!$A:$A,0)),IFERROR(INDEX('Catalog'!$B:$B,MATCH($G3659,'Catalog'!$A:$A,0)),$B3659))</f>
        <v>ST37 חבק לקרסול</v>
      </c>
      <c r="I3659" s="8" t="str">
        <f aca="false">IF($G3659="","Unmatched","Matched")</f>
        <v>Matched</v>
      </c>
      <c r="J3659" s="8" t="n">
        <f aca="false">IF($G3659&lt;&gt;"",$G3659,$B3659)</f>
        <v>4408269</v>
      </c>
      <c r="K3659" s="8" t="str">
        <f aca="false">IF(COUNTIF($M$1:$M$10,$A3659)&gt;0,"Y","N")</f>
        <v>N</v>
      </c>
    </row>
    <row r="3660" customFormat="false" ht="15" hidden="false" customHeight="true" outlineLevel="0" collapsed="false">
      <c r="A3660" s="8" t="s">
        <v>1084</v>
      </c>
      <c r="B3660" s="8" t="s">
        <v>900</v>
      </c>
      <c r="C3660" s="19" t="n">
        <v>20</v>
      </c>
      <c r="D3660" s="19" t="n">
        <v>586.92</v>
      </c>
      <c r="E3660" s="19" t="n">
        <v>25</v>
      </c>
      <c r="F3660" s="19" t="n">
        <v>778.82</v>
      </c>
      <c r="G3660" s="8" t="n">
        <f aca="false">IFERROR(INDEX('TRANS'!$B:$B,MATCH($B3660,'TRANS'!$A:$A,0)),IFERROR(INDEX('TRANS'!$B:$B,MATCH(TRIM(SUBSTITUTE($B3660,CHAR(160)," ")),'TRANS'!$D:$D,0)),IFERROR(INDEX('Catalog'!$A:$A,MATCH($B3660,'Catalog'!$B:$B,0)),IFERROR(INDEX('Catalog'!$A:$A,MATCH(TRIM(SUBSTITUTE($B3660,CHAR(160)," ")),'Catalog'!$C:$C,0)),""))))</f>
        <v>4402011</v>
      </c>
      <c r="H3660" s="8" t="str">
        <f aca="false">IFERROR(INDEX('TRANS'!$C:$C,MATCH($B3660,'TRANS'!$A:$A,0)),IFERROR(INDEX('Catalog'!$B:$B,MATCH($G3660,'Catalog'!$A:$A,0)),$B3660))</f>
        <v>S-XLST422 מגן ברך+כרית ג'ל</v>
      </c>
      <c r="I3660" s="8" t="str">
        <f aca="false">IF($G3660="","Unmatched","Matched")</f>
        <v>Matched</v>
      </c>
      <c r="J3660" s="8" t="n">
        <f aca="false">IF($G3660&lt;&gt;"",$G3660,$B3660)</f>
        <v>4402011</v>
      </c>
      <c r="K3660" s="8" t="str">
        <f aca="false">IF(COUNTIF($M$1:$M$10,$A3660)&gt;0,"Y","N")</f>
        <v>N</v>
      </c>
    </row>
    <row r="3661" customFormat="false" ht="15" hidden="false" customHeight="true" outlineLevel="0" collapsed="false">
      <c r="A3661" s="8" t="s">
        <v>1084</v>
      </c>
      <c r="B3661" s="8" t="s">
        <v>901</v>
      </c>
      <c r="C3661" s="19" t="n">
        <v>60</v>
      </c>
      <c r="D3661" s="19" t="n">
        <v>4107.28</v>
      </c>
      <c r="E3661" s="19" t="n">
        <v>50</v>
      </c>
      <c r="F3661" s="19" t="n">
        <v>3265.99</v>
      </c>
      <c r="G3661" s="8" t="n">
        <f aca="false">IFERROR(INDEX('TRANS'!$B:$B,MATCH($B3661,'TRANS'!$A:$A,0)),IFERROR(INDEX('TRANS'!$B:$B,MATCH(TRIM(SUBSTITUTE($B3661,CHAR(160)," ")),'TRANS'!$D:$D,0)),IFERROR(INDEX('Catalog'!$A:$A,MATCH($B3661,'Catalog'!$B:$B,0)),IFERROR(INDEX('Catalog'!$A:$A,MATCH(TRIM(SUBSTITUTE($B3661,CHAR(160)," ")),'Catalog'!$C:$C,0)),""))))</f>
        <v>4413532</v>
      </c>
      <c r="H3661" s="8" t="str">
        <f aca="false">IFERROR(INDEX('TRANS'!$C:$C,MATCH($B3661,'TRANS'!$A:$A,0)),IFERROR(INDEX('Catalog'!$B:$B,MATCH($G3661,'Catalog'!$A:$A,0)),$B3661))</f>
        <v>ST433 H מגן ברך עם ציר</v>
      </c>
      <c r="I3661" s="8" t="str">
        <f aca="false">IF($G3661="","Unmatched","Matched")</f>
        <v>Matched</v>
      </c>
      <c r="J3661" s="8" t="n">
        <f aca="false">IF($G3661&lt;&gt;"",$G3661,$B3661)</f>
        <v>4413532</v>
      </c>
      <c r="K3661" s="8" t="str">
        <f aca="false">IF(COUNTIF($M$1:$M$10,$A3661)&gt;0,"Y","N")</f>
        <v>N</v>
      </c>
    </row>
    <row r="3662" customFormat="false" ht="15" hidden="false" customHeight="true" outlineLevel="0" collapsed="false">
      <c r="A3662" s="8" t="s">
        <v>1084</v>
      </c>
      <c r="B3662" s="8" t="s">
        <v>80</v>
      </c>
      <c r="C3662" s="19" t="n">
        <v>1550</v>
      </c>
      <c r="D3662" s="19" t="n">
        <v>27116.8</v>
      </c>
      <c r="E3662" s="19" t="n">
        <v>2928</v>
      </c>
      <c r="F3662" s="19" t="n">
        <v>48283.04</v>
      </c>
      <c r="G3662" s="8" t="str">
        <f aca="false">IFERROR(INDEX('TRANS'!$B:$B,MATCH($B3662,'TRANS'!$A:$A,0)),IFERROR(INDEX('TRANS'!$B:$B,MATCH(TRIM(SUBSTITUTE($B3662,CHAR(160)," ")),'TRANS'!$D:$D,0)),IFERROR(INDEX('Catalog'!$A:$A,MATCH($B3662,'Catalog'!$B:$B,0)),IFERROR(INDEX('Catalog'!$A:$A,MATCH(TRIM(SUBSTITUTE($B3662,CHAR(160)," ")),'Catalog'!$C:$C,0)),""))))</f>
        <v/>
      </c>
      <c r="H3662" s="8" t="str">
        <f aca="false">IFERROR(INDEX('TRANS'!$C:$C,MATCH($B3662,'TRANS'!$A:$A,0)),IFERROR(INDEX('Catalog'!$B:$B,MATCH($G3662,'Catalog'!$A:$A,0)),$B3662))</f>
        <v>ST45X 0</v>
      </c>
      <c r="I3662" s="8" t="str">
        <f aca="false">IF($G3662="","Unmatched","Matched")</f>
        <v>Unmatched</v>
      </c>
      <c r="J3662" s="8" t="str">
        <f aca="false">IF($G3662&lt;&gt;"",$G3662,$B3662)</f>
        <v>ST45X 0</v>
      </c>
      <c r="K3662" s="8" t="str">
        <f aca="false">IF(COUNTIF($M$1:$M$10,$A3662)&gt;0,"Y","N")</f>
        <v>N</v>
      </c>
    </row>
    <row r="3663" customFormat="false" ht="15" hidden="false" customHeight="true" outlineLevel="0" collapsed="false">
      <c r="A3663" s="8" t="s">
        <v>1084</v>
      </c>
      <c r="B3663" s="8" t="s">
        <v>902</v>
      </c>
      <c r="C3663" s="19" t="n">
        <v>75</v>
      </c>
      <c r="D3663" s="19" t="n">
        <v>1271.38</v>
      </c>
      <c r="E3663" s="19" t="n">
        <v>115</v>
      </c>
      <c r="F3663" s="19" t="n">
        <v>1821.12</v>
      </c>
      <c r="G3663" s="8" t="n">
        <f aca="false">IFERROR(INDEX('TRANS'!$B:$B,MATCH($B3663,'TRANS'!$A:$A,0)),IFERROR(INDEX('TRANS'!$B:$B,MATCH(TRIM(SUBSTITUTE($B3663,CHAR(160)," ")),'TRANS'!$D:$D,0)),IFERROR(INDEX('Catalog'!$A:$A,MATCH($B3663,'Catalog'!$B:$B,0)),IFERROR(INDEX('Catalog'!$A:$A,MATCH(TRIM(SUBSTITUTE($B3663,CHAR(160)," ")),'Catalog'!$C:$C,0)),""))))</f>
        <v>4413533</v>
      </c>
      <c r="H3663" s="8" t="str">
        <f aca="false">IFERROR(INDEX('TRANS'!$C:$C,MATCH($B3663,'TRANS'!$A:$A,0)),IFERROR(INDEX('Catalog'!$B:$B,MATCH($G3663,'Catalog'!$A:$A,0)),$B3663))</f>
        <v>ST49 מגן ירך</v>
      </c>
      <c r="I3663" s="8" t="str">
        <f aca="false">IF($G3663="","Unmatched","Matched")</f>
        <v>Matched</v>
      </c>
      <c r="J3663" s="8" t="n">
        <f aca="false">IF($G3663&lt;&gt;"",$G3663,$B3663)</f>
        <v>4413533</v>
      </c>
      <c r="K3663" s="8" t="str">
        <f aca="false">IF(COUNTIF($M$1:$M$10,$A3663)&gt;0,"Y","N")</f>
        <v>N</v>
      </c>
    </row>
    <row r="3664" customFormat="false" ht="15" hidden="false" customHeight="true" outlineLevel="0" collapsed="false">
      <c r="A3664" s="8" t="s">
        <v>1084</v>
      </c>
      <c r="B3664" s="8" t="s">
        <v>903</v>
      </c>
      <c r="C3664" s="19" t="n">
        <v>340</v>
      </c>
      <c r="D3664" s="19" t="n">
        <v>4904.87</v>
      </c>
      <c r="E3664" s="19" t="n">
        <v>360</v>
      </c>
      <c r="F3664" s="19" t="n">
        <v>5216.74</v>
      </c>
      <c r="G3664" s="8" t="n">
        <f aca="false">IFERROR(INDEX('TRANS'!$B:$B,MATCH($B3664,'TRANS'!$A:$A,0)),IFERROR(INDEX('TRANS'!$B:$B,MATCH(TRIM(SUBSTITUTE($B3664,CHAR(160)," ")),'TRANS'!$D:$D,0)),IFERROR(INDEX('Catalog'!$A:$A,MATCH($B3664,'Catalog'!$B:$B,0)),IFERROR(INDEX('Catalog'!$A:$A,MATCH(TRIM(SUBSTITUTE($B3664,CHAR(160)," ")),'Catalog'!$C:$C,0)),""))))</f>
        <v>4413531</v>
      </c>
      <c r="H3664" s="8" t="str">
        <f aca="false">IFERROR(INDEX('TRANS'!$C:$C,MATCH($B3664,'TRANS'!$A:$A,0)),IFERROR(INDEX('Catalog'!$B:$B,MATCH($G3664,'Catalog'!$A:$A,0)),$B3664))</f>
        <v>ST91 מגן מרפק לטניס</v>
      </c>
      <c r="I3664" s="8" t="str">
        <f aca="false">IF($G3664="","Unmatched","Matched")</f>
        <v>Matched</v>
      </c>
      <c r="J3664" s="8" t="n">
        <f aca="false">IF($G3664&lt;&gt;"",$G3664,$B3664)</f>
        <v>4413531</v>
      </c>
      <c r="K3664" s="8" t="str">
        <f aca="false">IF(COUNTIF($M$1:$M$10,$A3664)&gt;0,"Y","N")</f>
        <v>N</v>
      </c>
    </row>
    <row r="3665" customFormat="false" ht="15" hidden="false" customHeight="true" outlineLevel="0" collapsed="false">
      <c r="A3665" s="8" t="s">
        <v>1084</v>
      </c>
      <c r="B3665" s="8" t="s">
        <v>1080</v>
      </c>
      <c r="C3665" s="19" t="n">
        <v>160</v>
      </c>
      <c r="D3665" s="19" t="n">
        <v>2769.61</v>
      </c>
      <c r="E3665" s="19" t="n">
        <v>370</v>
      </c>
      <c r="F3665" s="19" t="n">
        <v>6466.05</v>
      </c>
      <c r="G3665" s="8" t="str">
        <f aca="false">IFERROR(INDEX('TRANS'!$B:$B,MATCH($B3665,'TRANS'!$A:$A,0)),IFERROR(INDEX('TRANS'!$B:$B,MATCH(TRIM(SUBSTITUTE($B3665,CHAR(160)," ")),'TRANS'!$D:$D,0)),IFERROR(INDEX('Catalog'!$A:$A,MATCH($B3665,'Catalog'!$B:$B,0)),IFERROR(INDEX('Catalog'!$A:$A,MATCH(TRIM(SUBSTITUTE($B3665,CHAR(160)," ")),'Catalog'!$C:$C,0)),""))))</f>
        <v/>
      </c>
      <c r="H3665" s="8" t="str">
        <f aca="false">IFERROR(INDEX('TRANS'!$C:$C,MATCH($B3665,'TRANS'!$A:$A,0)),IFERROR(INDEX('Catalog'!$B:$B,MATCH($G3665,'Catalog'!$A:$A,0)),$B3665))</f>
        <v>ST95 0</v>
      </c>
      <c r="I3665" s="8" t="str">
        <f aca="false">IF($G3665="","Unmatched","Matched")</f>
        <v>Unmatched</v>
      </c>
      <c r="J3665" s="8" t="str">
        <f aca="false">IF($G3665&lt;&gt;"",$G3665,$B3665)</f>
        <v>ST95 0</v>
      </c>
      <c r="K3665" s="8" t="str">
        <f aca="false">IF(COUNTIF($M$1:$M$10,$A3665)&gt;0,"Y","N")</f>
        <v>N</v>
      </c>
    </row>
    <row r="3666" customFormat="false" ht="15" hidden="false" customHeight="true" outlineLevel="0" collapsed="false">
      <c r="A3666" s="8" t="s">
        <v>1084</v>
      </c>
      <c r="B3666" s="8" t="s">
        <v>296</v>
      </c>
      <c r="C3666" s="19" t="n">
        <v>0</v>
      </c>
      <c r="D3666" s="19" t="n">
        <v>0</v>
      </c>
      <c r="E3666" s="19" t="n">
        <v>1</v>
      </c>
      <c r="F3666" s="19" t="n">
        <v>0.03</v>
      </c>
      <c r="G3666" s="8" t="str">
        <f aca="false">IFERROR(INDEX('TRANS'!$B:$B,MATCH($B3666,'TRANS'!$A:$A,0)),IFERROR(INDEX('TRANS'!$B:$B,MATCH(TRIM(SUBSTITUTE($B3666,CHAR(160)," ")),'TRANS'!$D:$D,0)),IFERROR(INDEX('Catalog'!$A:$A,MATCH($B3666,'Catalog'!$B:$B,0)),IFERROR(INDEX('Catalog'!$A:$A,MATCH(TRIM(SUBSTITUTE($B3666,CHAR(160)," ")),'Catalog'!$C:$C,0)),""))))</f>
        <v/>
      </c>
      <c r="H3666" s="8" t="str">
        <f aca="false">IFERROR(INDEX('TRANS'!$C:$C,MATCH($B3666,'TRANS'!$A:$A,0)),IFERROR(INDEX('Catalog'!$B:$B,MATCH($G3666,'Catalog'!$A:$A,0)),$B3666))</f>
        <v>T066B-L-XL</v>
      </c>
      <c r="I3666" s="8" t="str">
        <f aca="false">IF($G3666="","Unmatched","Matched")</f>
        <v>Unmatched</v>
      </c>
      <c r="J3666" s="8" t="str">
        <f aca="false">IF($G3666&lt;&gt;"",$G3666,$B3666)</f>
        <v>T066B-L-XL</v>
      </c>
      <c r="K3666" s="8" t="str">
        <f aca="false">IF(COUNTIF($M$1:$M$10,$A3666)&gt;0,"Y","N")</f>
        <v>N</v>
      </c>
    </row>
    <row r="3667" customFormat="false" ht="15" hidden="false" customHeight="true" outlineLevel="0" collapsed="false">
      <c r="A3667" s="8" t="s">
        <v>1084</v>
      </c>
      <c r="B3667" s="8" t="s">
        <v>964</v>
      </c>
      <c r="C3667" s="19" t="n">
        <v>0</v>
      </c>
      <c r="D3667" s="19" t="n">
        <v>0</v>
      </c>
      <c r="E3667" s="19" t="n">
        <v>20</v>
      </c>
      <c r="F3667" s="19" t="n">
        <v>505.63</v>
      </c>
      <c r="G3667" s="8" t="n">
        <f aca="false">IFERROR(INDEX('TRANS'!$B:$B,MATCH($B3667,'TRANS'!$A:$A,0)),IFERROR(INDEX('TRANS'!$B:$B,MATCH(TRIM(SUBSTITUTE($B3667,CHAR(160)," ")),'TRANS'!$D:$D,0)),IFERROR(INDEX('Catalog'!$A:$A,MATCH($B3667,'Catalog'!$B:$B,0)),IFERROR(INDEX('Catalog'!$A:$A,MATCH(TRIM(SUBSTITUTE($B3667,CHAR(160)," ")),'Catalog'!$C:$C,0)),""))))</f>
        <v>4415073</v>
      </c>
      <c r="H3667" s="8" t="str">
        <f aca="false">IFERROR(INDEX('TRANS'!$C:$C,MATCH($B3667,'TRANS'!$A:$A,0)),IFERROR(INDEX('Catalog'!$B:$B,MATCH($G3667,'Catalog'!$A:$A,0)),$B3667))</f>
        <v>T28A L-XL סד לאגודל</v>
      </c>
      <c r="I3667" s="8" t="str">
        <f aca="false">IF($G3667="","Unmatched","Matched")</f>
        <v>Matched</v>
      </c>
      <c r="J3667" s="8" t="n">
        <f aca="false">IF($G3667&lt;&gt;"",$G3667,$B3667)</f>
        <v>4415073</v>
      </c>
      <c r="K3667" s="8" t="str">
        <f aca="false">IF(COUNTIF($M$1:$M$10,$A3667)&gt;0,"Y","N")</f>
        <v>N</v>
      </c>
    </row>
    <row r="3668" customFormat="false" ht="15" hidden="false" customHeight="true" outlineLevel="0" collapsed="false">
      <c r="A3668" s="8" t="s">
        <v>1084</v>
      </c>
      <c r="B3668" s="8" t="s">
        <v>912</v>
      </c>
      <c r="C3668" s="19" t="n">
        <v>22</v>
      </c>
      <c r="D3668" s="19" t="n">
        <v>565.24</v>
      </c>
      <c r="E3668" s="19" t="n">
        <v>25</v>
      </c>
      <c r="F3668" s="19" t="n">
        <v>600.86</v>
      </c>
      <c r="G3668" s="8" t="n">
        <f aca="false">IFERROR(INDEX('TRANS'!$B:$B,MATCH($B3668,'TRANS'!$A:$A,0)),IFERROR(INDEX('TRANS'!$B:$B,MATCH(TRIM(SUBSTITUTE($B3668,CHAR(160)," ")),'TRANS'!$D:$D,0)),IFERROR(INDEX('Catalog'!$A:$A,MATCH($B3668,'Catalog'!$B:$B,0)),IFERROR(INDEX('Catalog'!$A:$A,MATCH(TRIM(SUBSTITUTE($B3668,CHAR(160)," ")),'Catalog'!$C:$C,0)),""))))</f>
        <v>4415072</v>
      </c>
      <c r="H3668" s="8" t="str">
        <f aca="false">IFERROR(INDEX('TRANS'!$C:$C,MATCH($B3668,'TRANS'!$A:$A,0)),IFERROR(INDEX('Catalog'!$B:$B,MATCH($G3668,'Catalog'!$A:$A,0)),$B3668))</f>
        <v>T28A S-M סד לאגודל</v>
      </c>
      <c r="I3668" s="8" t="str">
        <f aca="false">IF($G3668="","Unmatched","Matched")</f>
        <v>Matched</v>
      </c>
      <c r="J3668" s="8" t="n">
        <f aca="false">IF($G3668&lt;&gt;"",$G3668,$B3668)</f>
        <v>4415072</v>
      </c>
      <c r="K3668" s="8" t="str">
        <f aca="false">IF(COUNTIF($M$1:$M$10,$A3668)&gt;0,"Y","N")</f>
        <v>N</v>
      </c>
    </row>
    <row r="3669" customFormat="false" ht="15" hidden="false" customHeight="true" outlineLevel="0" collapsed="false">
      <c r="A3669" s="8" t="s">
        <v>1084</v>
      </c>
      <c r="B3669" s="8" t="s">
        <v>327</v>
      </c>
      <c r="C3669" s="19" t="n">
        <v>0</v>
      </c>
      <c r="D3669" s="19" t="n">
        <v>0</v>
      </c>
      <c r="E3669" s="19" t="n">
        <v>1</v>
      </c>
      <c r="F3669" s="19" t="n">
        <v>0.03</v>
      </c>
      <c r="G3669" s="8" t="str">
        <f aca="false">IFERROR(INDEX('TRANS'!$B:$B,MATCH($B3669,'TRANS'!$A:$A,0)),IFERROR(INDEX('TRANS'!$B:$B,MATCH(TRIM(SUBSTITUTE($B3669,CHAR(160)," ")),'TRANS'!$D:$D,0)),IFERROR(INDEX('Catalog'!$A:$A,MATCH($B3669,'Catalog'!$B:$B,0)),IFERROR(INDEX('Catalog'!$A:$A,MATCH(TRIM(SUBSTITUTE($B3669,CHAR(160)," ")),'Catalog'!$C:$C,0)),""))))</f>
        <v/>
      </c>
      <c r="H3669" s="8" t="str">
        <f aca="false">IFERROR(INDEX('TRANS'!$C:$C,MATCH($B3669,'TRANS'!$A:$A,0)),IFERROR(INDEX('Catalog'!$B:$B,MATCH($G3669,'Catalog'!$A:$A,0)),$B3669))</f>
        <v>T36B L</v>
      </c>
      <c r="I3669" s="8" t="str">
        <f aca="false">IF($G3669="","Unmatched","Matched")</f>
        <v>Unmatched</v>
      </c>
      <c r="J3669" s="8" t="str">
        <f aca="false">IF($G3669&lt;&gt;"",$G3669,$B3669)</f>
        <v>T36B L</v>
      </c>
      <c r="K3669" s="8" t="str">
        <f aca="false">IF(COUNTIF($M$1:$M$10,$A3669)&gt;0,"Y","N")</f>
        <v>N</v>
      </c>
    </row>
    <row r="3670" customFormat="false" ht="15" hidden="false" customHeight="true" outlineLevel="0" collapsed="false">
      <c r="A3670" s="8" t="s">
        <v>1084</v>
      </c>
      <c r="B3670" s="8" t="s">
        <v>124</v>
      </c>
      <c r="C3670" s="19" t="n">
        <v>5</v>
      </c>
      <c r="D3670" s="19" t="n">
        <v>218.76</v>
      </c>
      <c r="E3670" s="19" t="n">
        <v>0</v>
      </c>
      <c r="F3670" s="19" t="n">
        <v>0</v>
      </c>
      <c r="G3670" s="8" t="str">
        <f aca="false">IFERROR(INDEX('TRANS'!$B:$B,MATCH($B3670,'TRANS'!$A:$A,0)),IFERROR(INDEX('TRANS'!$B:$B,MATCH(TRIM(SUBSTITUTE($B3670,CHAR(160)," ")),'TRANS'!$D:$D,0)),IFERROR(INDEX('Catalog'!$A:$A,MATCH($B3670,'Catalog'!$B:$B,0)),IFERROR(INDEX('Catalog'!$A:$A,MATCH(TRIM(SUBSTITUTE($B3670,CHAR(160)," ")),'Catalog'!$C:$C,0)),""))))</f>
        <v/>
      </c>
      <c r="H3670" s="8" t="str">
        <f aca="false">IFERROR(INDEX('TRANS'!$C:$C,MATCH($B3670,'TRANS'!$A:$A,0)),IFERROR(INDEX('Catalog'!$B:$B,MATCH($G3670,'Catalog'!$A:$A,0)),$B3670))</f>
        <v>T402 L</v>
      </c>
      <c r="I3670" s="8" t="str">
        <f aca="false">IF($G3670="","Unmatched","Matched")</f>
        <v>Unmatched</v>
      </c>
      <c r="J3670" s="8" t="str">
        <f aca="false">IF($G3670&lt;&gt;"",$G3670,$B3670)</f>
        <v>T402 L</v>
      </c>
      <c r="K3670" s="8" t="str">
        <f aca="false">IF(COUNTIF($M$1:$M$10,$A3670)&gt;0,"Y","N")</f>
        <v>N</v>
      </c>
    </row>
    <row r="3671" customFormat="false" ht="15" hidden="false" customHeight="true" outlineLevel="0" collapsed="false">
      <c r="A3671" s="8" t="s">
        <v>1084</v>
      </c>
      <c r="B3671" s="8" t="s">
        <v>262</v>
      </c>
      <c r="C3671" s="19" t="n">
        <v>5</v>
      </c>
      <c r="D3671" s="19" t="n">
        <v>218.76</v>
      </c>
      <c r="E3671" s="19" t="n">
        <v>0</v>
      </c>
      <c r="F3671" s="19" t="n">
        <v>0</v>
      </c>
      <c r="G3671" s="8" t="str">
        <f aca="false">IFERROR(INDEX('TRANS'!$B:$B,MATCH($B3671,'TRANS'!$A:$A,0)),IFERROR(INDEX('TRANS'!$B:$B,MATCH(TRIM(SUBSTITUTE($B3671,CHAR(160)," ")),'TRANS'!$D:$D,0)),IFERROR(INDEX('Catalog'!$A:$A,MATCH($B3671,'Catalog'!$B:$B,0)),IFERROR(INDEX('Catalog'!$A:$A,MATCH(TRIM(SUBSTITUTE($B3671,CHAR(160)," ")),'Catalog'!$C:$C,0)),""))))</f>
        <v/>
      </c>
      <c r="H3671" s="8" t="str">
        <f aca="false">IFERROR(INDEX('TRANS'!$C:$C,MATCH($B3671,'TRANS'!$A:$A,0)),IFERROR(INDEX('Catalog'!$B:$B,MATCH($G3671,'Catalog'!$A:$A,0)),$B3671))</f>
        <v>T402 M</v>
      </c>
      <c r="I3671" s="8" t="str">
        <f aca="false">IF($G3671="","Unmatched","Matched")</f>
        <v>Unmatched</v>
      </c>
      <c r="J3671" s="8" t="str">
        <f aca="false">IF($G3671&lt;&gt;"",$G3671,$B3671)</f>
        <v>T402 M</v>
      </c>
      <c r="K3671" s="8" t="str">
        <f aca="false">IF(COUNTIF($M$1:$M$10,$A3671)&gt;0,"Y","N")</f>
        <v>N</v>
      </c>
    </row>
    <row r="3672" customFormat="false" ht="15" hidden="false" customHeight="true" outlineLevel="0" collapsed="false">
      <c r="A3672" s="8" t="s">
        <v>1084</v>
      </c>
      <c r="B3672" s="8" t="s">
        <v>533</v>
      </c>
      <c r="C3672" s="19" t="n">
        <v>5</v>
      </c>
      <c r="D3672" s="19" t="n">
        <v>218.76</v>
      </c>
      <c r="E3672" s="19" t="n">
        <v>0</v>
      </c>
      <c r="F3672" s="19" t="n">
        <v>0</v>
      </c>
      <c r="G3672" s="8" t="str">
        <f aca="false">IFERROR(INDEX('TRANS'!$B:$B,MATCH($B3672,'TRANS'!$A:$A,0)),IFERROR(INDEX('TRANS'!$B:$B,MATCH(TRIM(SUBSTITUTE($B3672,CHAR(160)," ")),'TRANS'!$D:$D,0)),IFERROR(INDEX('Catalog'!$A:$A,MATCH($B3672,'Catalog'!$B:$B,0)),IFERROR(INDEX('Catalog'!$A:$A,MATCH(TRIM(SUBSTITUTE($B3672,CHAR(160)," ")),'Catalog'!$C:$C,0)),""))))</f>
        <v/>
      </c>
      <c r="H3672" s="8" t="str">
        <f aca="false">IFERROR(INDEX('TRANS'!$C:$C,MATCH($B3672,'TRANS'!$A:$A,0)),IFERROR(INDEX('Catalog'!$B:$B,MATCH($G3672,'Catalog'!$A:$A,0)),$B3672))</f>
        <v>T402 S</v>
      </c>
      <c r="I3672" s="8" t="str">
        <f aca="false">IF($G3672="","Unmatched","Matched")</f>
        <v>Unmatched</v>
      </c>
      <c r="J3672" s="8" t="str">
        <f aca="false">IF($G3672&lt;&gt;"",$G3672,$B3672)</f>
        <v>T402 S</v>
      </c>
      <c r="K3672" s="8" t="str">
        <f aca="false">IF(COUNTIF($M$1:$M$10,$A3672)&gt;0,"Y","N")</f>
        <v>N</v>
      </c>
    </row>
    <row r="3673" customFormat="false" ht="15" hidden="false" customHeight="true" outlineLevel="0" collapsed="false">
      <c r="A3673" s="8" t="s">
        <v>1084</v>
      </c>
      <c r="B3673" s="8" t="s">
        <v>142</v>
      </c>
      <c r="C3673" s="19" t="n">
        <v>5</v>
      </c>
      <c r="D3673" s="19" t="n">
        <v>218.76</v>
      </c>
      <c r="E3673" s="19" t="n">
        <v>0</v>
      </c>
      <c r="F3673" s="19" t="n">
        <v>0</v>
      </c>
      <c r="G3673" s="8" t="str">
        <f aca="false">IFERROR(INDEX('TRANS'!$B:$B,MATCH($B3673,'TRANS'!$A:$A,0)),IFERROR(INDEX('TRANS'!$B:$B,MATCH(TRIM(SUBSTITUTE($B3673,CHAR(160)," ")),'TRANS'!$D:$D,0)),IFERROR(INDEX('Catalog'!$A:$A,MATCH($B3673,'Catalog'!$B:$B,0)),IFERROR(INDEX('Catalog'!$A:$A,MATCH(TRIM(SUBSTITUTE($B3673,CHAR(160)," ")),'Catalog'!$C:$C,0)),""))))</f>
        <v/>
      </c>
      <c r="H3673" s="8" t="str">
        <f aca="false">IFERROR(INDEX('TRANS'!$C:$C,MATCH($B3673,'TRANS'!$A:$A,0)),IFERROR(INDEX('Catalog'!$B:$B,MATCH($G3673,'Catalog'!$A:$A,0)),$B3673))</f>
        <v>T402 XL</v>
      </c>
      <c r="I3673" s="8" t="str">
        <f aca="false">IF($G3673="","Unmatched","Matched")</f>
        <v>Unmatched</v>
      </c>
      <c r="J3673" s="8" t="str">
        <f aca="false">IF($G3673&lt;&gt;"",$G3673,$B3673)</f>
        <v>T402 XL</v>
      </c>
      <c r="K3673" s="8" t="str">
        <f aca="false">IF(COUNTIF($M$1:$M$10,$A3673)&gt;0,"Y","N")</f>
        <v>N</v>
      </c>
    </row>
    <row r="3674" customFormat="false" ht="15" hidden="false" customHeight="true" outlineLevel="0" collapsed="false">
      <c r="A3674" s="8" t="s">
        <v>1084</v>
      </c>
      <c r="B3674" s="8" t="s">
        <v>158</v>
      </c>
      <c r="C3674" s="19" t="n">
        <v>5</v>
      </c>
      <c r="D3674" s="19" t="n">
        <v>218.76</v>
      </c>
      <c r="E3674" s="19" t="n">
        <v>0</v>
      </c>
      <c r="F3674" s="19" t="n">
        <v>0</v>
      </c>
      <c r="G3674" s="8" t="str">
        <f aca="false">IFERROR(INDEX('TRANS'!$B:$B,MATCH($B3674,'TRANS'!$A:$A,0)),IFERROR(INDEX('TRANS'!$B:$B,MATCH(TRIM(SUBSTITUTE($B3674,CHAR(160)," ")),'TRANS'!$D:$D,0)),IFERROR(INDEX('Catalog'!$A:$A,MATCH($B3674,'Catalog'!$B:$B,0)),IFERROR(INDEX('Catalog'!$A:$A,MATCH(TRIM(SUBSTITUTE($B3674,CHAR(160)," ")),'Catalog'!$C:$C,0)),""))))</f>
        <v/>
      </c>
      <c r="H3674" s="8" t="str">
        <f aca="false">IFERROR(INDEX('TRANS'!$C:$C,MATCH($B3674,'TRANS'!$A:$A,0)),IFERROR(INDEX('Catalog'!$B:$B,MATCH($G3674,'Catalog'!$A:$A,0)),$B3674))</f>
        <v>T402 XXL</v>
      </c>
      <c r="I3674" s="8" t="str">
        <f aca="false">IF($G3674="","Unmatched","Matched")</f>
        <v>Unmatched</v>
      </c>
      <c r="J3674" s="8" t="str">
        <f aca="false">IF($G3674&lt;&gt;"",$G3674,$B3674)</f>
        <v>T402 XXL</v>
      </c>
      <c r="K3674" s="8" t="str">
        <f aca="false">IF(COUNTIF($M$1:$M$10,$A3674)&gt;0,"Y","N")</f>
        <v>N</v>
      </c>
    </row>
    <row r="3675" customFormat="false" ht="15" hidden="false" customHeight="true" outlineLevel="0" collapsed="false">
      <c r="A3675" s="8" t="s">
        <v>1084</v>
      </c>
      <c r="B3675" s="8" t="s">
        <v>88</v>
      </c>
      <c r="C3675" s="19" t="n">
        <v>0</v>
      </c>
      <c r="D3675" s="19" t="n">
        <v>0</v>
      </c>
      <c r="E3675" s="19" t="n">
        <v>10</v>
      </c>
      <c r="F3675" s="19" t="n">
        <v>333.98</v>
      </c>
      <c r="G3675" s="8" t="str">
        <f aca="false">IFERROR(INDEX('TRANS'!$B:$B,MATCH($B3675,'TRANS'!$A:$A,0)),IFERROR(INDEX('TRANS'!$B:$B,MATCH(TRIM(SUBSTITUTE($B3675,CHAR(160)," ")),'TRANS'!$D:$D,0)),IFERROR(INDEX('Catalog'!$A:$A,MATCH($B3675,'Catalog'!$B:$B,0)),IFERROR(INDEX('Catalog'!$A:$A,MATCH(TRIM(SUBSTITUTE($B3675,CHAR(160)," ")),'Catalog'!$C:$C,0)),""))))</f>
        <v/>
      </c>
      <c r="H3675" s="8" t="str">
        <f aca="false">IFERROR(INDEX('TRANS'!$C:$C,MATCH($B3675,'TRANS'!$A:$A,0)),IFERROR(INDEX('Catalog'!$B:$B,MATCH($G3675,'Catalog'!$A:$A,0)),$B3675))</f>
        <v>T40B 0</v>
      </c>
      <c r="I3675" s="8" t="str">
        <f aca="false">IF($G3675="","Unmatched","Matched")</f>
        <v>Unmatched</v>
      </c>
      <c r="J3675" s="8" t="str">
        <f aca="false">IF($G3675&lt;&gt;"",$G3675,$B3675)</f>
        <v>T40B 0</v>
      </c>
      <c r="K3675" s="8" t="str">
        <f aca="false">IF(COUNTIF($M$1:$M$10,$A3675)&gt;0,"Y","N")</f>
        <v>N</v>
      </c>
    </row>
    <row r="3676" customFormat="false" ht="15" hidden="false" customHeight="true" outlineLevel="0" collapsed="false">
      <c r="A3676" s="8" t="s">
        <v>1084</v>
      </c>
      <c r="B3676" s="8" t="s">
        <v>358</v>
      </c>
      <c r="C3676" s="19" t="n">
        <v>0</v>
      </c>
      <c r="D3676" s="19" t="n">
        <v>0</v>
      </c>
      <c r="E3676" s="19" t="n">
        <v>1</v>
      </c>
      <c r="F3676" s="19" t="n">
        <v>0.03</v>
      </c>
      <c r="G3676" s="8" t="str">
        <f aca="false">IFERROR(INDEX('TRANS'!$B:$B,MATCH($B3676,'TRANS'!$A:$A,0)),IFERROR(INDEX('TRANS'!$B:$B,MATCH(TRIM(SUBSTITUTE($B3676,CHAR(160)," ")),'TRANS'!$D:$D,0)),IFERROR(INDEX('Catalog'!$A:$A,MATCH($B3676,'Catalog'!$B:$B,0)),IFERROR(INDEX('Catalog'!$A:$A,MATCH(TRIM(SUBSTITUTE($B3676,CHAR(160)," ")),'Catalog'!$C:$C,0)),""))))</f>
        <v/>
      </c>
      <c r="H3676" s="8" t="str">
        <f aca="false">IFERROR(INDEX('TRANS'!$C:$C,MATCH($B3676,'TRANS'!$A:$A,0)),IFERROR(INDEX('Catalog'!$B:$B,MATCH($G3676,'Catalog'!$A:$A,0)),$B3676))</f>
        <v>T46B L</v>
      </c>
      <c r="I3676" s="8" t="str">
        <f aca="false">IF($G3676="","Unmatched","Matched")</f>
        <v>Unmatched</v>
      </c>
      <c r="J3676" s="8" t="str">
        <f aca="false">IF($G3676&lt;&gt;"",$G3676,$B3676)</f>
        <v>T46B L</v>
      </c>
      <c r="K3676" s="8" t="str">
        <f aca="false">IF(COUNTIF($M$1:$M$10,$A3676)&gt;0,"Y","N")</f>
        <v>N</v>
      </c>
    </row>
    <row r="3677" customFormat="false" ht="15" hidden="false" customHeight="true" outlineLevel="0" collapsed="false">
      <c r="A3677" s="8" t="s">
        <v>1084</v>
      </c>
      <c r="B3677" s="8" t="s">
        <v>774</v>
      </c>
      <c r="C3677" s="19" t="n">
        <v>0</v>
      </c>
      <c r="D3677" s="19" t="n">
        <v>0</v>
      </c>
      <c r="E3677" s="19" t="n">
        <v>20</v>
      </c>
      <c r="F3677" s="19" t="n">
        <v>1491.45</v>
      </c>
      <c r="G3677" s="8" t="n">
        <f aca="false">IFERROR(INDEX('TRANS'!$B:$B,MATCH($B3677,'TRANS'!$A:$A,0)),IFERROR(INDEX('TRANS'!$B:$B,MATCH(TRIM(SUBSTITUTE($B3677,CHAR(160)," ")),'TRANS'!$D:$D,0)),IFERROR(INDEX('Catalog'!$A:$A,MATCH($B3677,'Catalog'!$B:$B,0)),IFERROR(INDEX('Catalog'!$A:$A,MATCH(TRIM(SUBSTITUTE($B3677,CHAR(160)," ")),'Catalog'!$C:$C,0)),""))))</f>
        <v>4422006</v>
      </c>
      <c r="H3677" s="8" t="str">
        <f aca="false">IFERROR(INDEX('TRANS'!$C:$C,MATCH($B3677,'TRANS'!$A:$A,0)),IFERROR(INDEX('Catalog'!$B:$B,MATCH($G3677,'Catalog'!$A:$A,0)),$B3677))</f>
        <v>T78 L תומך זרוע וכתף</v>
      </c>
      <c r="I3677" s="8" t="str">
        <f aca="false">IF($G3677="","Unmatched","Matched")</f>
        <v>Matched</v>
      </c>
      <c r="J3677" s="8" t="n">
        <f aca="false">IF($G3677&lt;&gt;"",$G3677,$B3677)</f>
        <v>4422006</v>
      </c>
      <c r="K3677" s="8" t="str">
        <f aca="false">IF(COUNTIF($M$1:$M$10,$A3677)&gt;0,"Y","N")</f>
        <v>N</v>
      </c>
    </row>
    <row r="3678" customFormat="false" ht="15" hidden="false" customHeight="true" outlineLevel="0" collapsed="false">
      <c r="A3678" s="8" t="s">
        <v>1084</v>
      </c>
      <c r="B3678" s="8" t="s">
        <v>851</v>
      </c>
      <c r="C3678" s="19" t="n">
        <v>0</v>
      </c>
      <c r="D3678" s="19" t="n">
        <v>0</v>
      </c>
      <c r="E3678" s="19" t="n">
        <v>15</v>
      </c>
      <c r="F3678" s="19" t="n">
        <v>1118.59</v>
      </c>
      <c r="G3678" s="8" t="n">
        <f aca="false">IFERROR(INDEX('TRANS'!$B:$B,MATCH($B3678,'TRANS'!$A:$A,0)),IFERROR(INDEX('TRANS'!$B:$B,MATCH(TRIM(SUBSTITUTE($B3678,CHAR(160)," ")),'TRANS'!$D:$D,0)),IFERROR(INDEX('Catalog'!$A:$A,MATCH($B3678,'Catalog'!$B:$B,0)),IFERROR(INDEX('Catalog'!$A:$A,MATCH(TRIM(SUBSTITUTE($B3678,CHAR(160)," ")),'Catalog'!$C:$C,0)),""))))</f>
        <v>4422005</v>
      </c>
      <c r="H3678" s="8" t="str">
        <f aca="false">IFERROR(INDEX('TRANS'!$C:$C,MATCH($B3678,'TRANS'!$A:$A,0)),IFERROR(INDEX('Catalog'!$B:$B,MATCH($G3678,'Catalog'!$A:$A,0)),$B3678))</f>
        <v>T78 M תומך זרוע וכתף</v>
      </c>
      <c r="I3678" s="8" t="str">
        <f aca="false">IF($G3678="","Unmatched","Matched")</f>
        <v>Matched</v>
      </c>
      <c r="J3678" s="8" t="n">
        <f aca="false">IF($G3678&lt;&gt;"",$G3678,$B3678)</f>
        <v>4422005</v>
      </c>
      <c r="K3678" s="8" t="str">
        <f aca="false">IF(COUNTIF($M$1:$M$10,$A3678)&gt;0,"Y","N")</f>
        <v>N</v>
      </c>
    </row>
    <row r="3679" customFormat="false" ht="15" hidden="false" customHeight="true" outlineLevel="0" collapsed="false">
      <c r="A3679" s="8" t="s">
        <v>1084</v>
      </c>
      <c r="B3679" s="8" t="s">
        <v>946</v>
      </c>
      <c r="C3679" s="19" t="n">
        <v>0</v>
      </c>
      <c r="D3679" s="19" t="n">
        <v>0</v>
      </c>
      <c r="E3679" s="19" t="n">
        <v>10</v>
      </c>
      <c r="F3679" s="19" t="n">
        <v>745.73</v>
      </c>
      <c r="G3679" s="8" t="n">
        <f aca="false">IFERROR(INDEX('TRANS'!$B:$B,MATCH($B3679,'TRANS'!$A:$A,0)),IFERROR(INDEX('TRANS'!$B:$B,MATCH(TRIM(SUBSTITUTE($B3679,CHAR(160)," ")),'TRANS'!$D:$D,0)),IFERROR(INDEX('Catalog'!$A:$A,MATCH($B3679,'Catalog'!$B:$B,0)),IFERROR(INDEX('Catalog'!$A:$A,MATCH(TRIM(SUBSTITUTE($B3679,CHAR(160)," ")),'Catalog'!$C:$C,0)),""))))</f>
        <v>4422007</v>
      </c>
      <c r="H3679" s="8" t="str">
        <f aca="false">IFERROR(INDEX('TRANS'!$C:$C,MATCH($B3679,'TRANS'!$A:$A,0)),IFERROR(INDEX('Catalog'!$B:$B,MATCH($G3679,'Catalog'!$A:$A,0)),$B3679))</f>
        <v>T78 XLתומך זרוע וכתף</v>
      </c>
      <c r="I3679" s="8" t="str">
        <f aca="false">IF($G3679="","Unmatched","Matched")</f>
        <v>Matched</v>
      </c>
      <c r="J3679" s="8" t="n">
        <f aca="false">IF($G3679&lt;&gt;"",$G3679,$B3679)</f>
        <v>4422007</v>
      </c>
      <c r="K3679" s="8" t="str">
        <f aca="false">IF(COUNTIF($M$1:$M$10,$A3679)&gt;0,"Y","N")</f>
        <v>N</v>
      </c>
    </row>
    <row r="3680" customFormat="false" ht="15" hidden="false" customHeight="true" outlineLevel="0" collapsed="false">
      <c r="A3680" s="8" t="s">
        <v>1084</v>
      </c>
      <c r="B3680" s="8" t="s">
        <v>933</v>
      </c>
      <c r="C3680" s="19" t="n">
        <v>0</v>
      </c>
      <c r="D3680" s="19" t="n">
        <v>0</v>
      </c>
      <c r="E3680" s="19" t="n">
        <v>5</v>
      </c>
      <c r="F3680" s="19" t="n">
        <v>372.86</v>
      </c>
      <c r="G3680" s="8" t="n">
        <f aca="false">IFERROR(INDEX('TRANS'!$B:$B,MATCH($B3680,'TRANS'!$A:$A,0)),IFERROR(INDEX('TRANS'!$B:$B,MATCH(TRIM(SUBSTITUTE($B3680,CHAR(160)," ")),'TRANS'!$D:$D,0)),IFERROR(INDEX('Catalog'!$A:$A,MATCH($B3680,'Catalog'!$B:$B,0)),IFERROR(INDEX('Catalog'!$A:$A,MATCH(TRIM(SUBSTITUTE($B3680,CHAR(160)," ")),'Catalog'!$C:$C,0)),""))))</f>
        <v>4422009</v>
      </c>
      <c r="H3680" s="8" t="str">
        <f aca="false">IFERROR(INDEX('TRANS'!$C:$C,MATCH($B3680,'TRANS'!$A:$A,0)),IFERROR(INDEX('Catalog'!$B:$B,MATCH($G3680,'Catalog'!$A:$A,0)),$B3680))</f>
        <v>T78 XXL תומך זרוע וכתף</v>
      </c>
      <c r="I3680" s="8" t="str">
        <f aca="false">IF($G3680="","Unmatched","Matched")</f>
        <v>Matched</v>
      </c>
      <c r="J3680" s="8" t="n">
        <f aca="false">IF($G3680&lt;&gt;"",$G3680,$B3680)</f>
        <v>4422009</v>
      </c>
      <c r="K3680" s="8" t="str">
        <f aca="false">IF(COUNTIF($M$1:$M$10,$A3680)&gt;0,"Y","N")</f>
        <v>N</v>
      </c>
    </row>
    <row r="3681" customFormat="false" ht="15" hidden="false" customHeight="true" outlineLevel="0" collapsed="false">
      <c r="A3681" s="8" t="s">
        <v>1084</v>
      </c>
      <c r="B3681" s="8" t="s">
        <v>518</v>
      </c>
      <c r="C3681" s="19" t="n">
        <v>0</v>
      </c>
      <c r="D3681" s="19" t="n">
        <v>0</v>
      </c>
      <c r="E3681" s="19" t="n">
        <v>-1</v>
      </c>
      <c r="F3681" s="19" t="n">
        <v>-22807.55</v>
      </c>
      <c r="G3681" s="8" t="str">
        <f aca="false">IFERROR(INDEX('TRANS'!$B:$B,MATCH($B3681,'TRANS'!$A:$A,0)),IFERROR(INDEX('TRANS'!$B:$B,MATCH(TRIM(SUBSTITUTE($B3681,CHAR(160)," ")),'TRANS'!$D:$D,0)),IFERROR(INDEX('Catalog'!$A:$A,MATCH($B3681,'Catalog'!$B:$B,0)),IFERROR(INDEX('Catalog'!$A:$A,MATCH(TRIM(SUBSTITUTE($B3681,CHAR(160)," ")),'Catalog'!$C:$C,0)),""))))</f>
        <v/>
      </c>
      <c r="H3681" s="8" t="str">
        <f aca="false">IFERROR(INDEX('TRANS'!$C:$C,MATCH($B3681,'TRANS'!$A:$A,0)),IFERROR(INDEX('Catalog'!$B:$B,MATCH($G3681,'Catalog'!$A:$A,0)),$B3681))</f>
        <v>הנחות לקוחות</v>
      </c>
      <c r="I3681" s="8" t="str">
        <f aca="false">IF($G3681="","Unmatched","Matched")</f>
        <v>Unmatched</v>
      </c>
      <c r="J3681" s="8" t="str">
        <f aca="false">IF($G3681&lt;&gt;"",$G3681,$B3681)</f>
        <v>הנחות לקוחות</v>
      </c>
      <c r="K3681" s="8" t="str">
        <f aca="false">IF(COUNTIF($M$1:$M$10,$A3681)&gt;0,"Y","N")</f>
        <v>N</v>
      </c>
    </row>
    <row r="3682" customFormat="false" ht="15" hidden="false" customHeight="true" outlineLevel="0" collapsed="false">
      <c r="A3682" s="8" t="s">
        <v>1098</v>
      </c>
      <c r="B3682" s="8" t="s">
        <v>1099</v>
      </c>
      <c r="C3682" s="19" t="n">
        <v>10</v>
      </c>
      <c r="D3682" s="19" t="n">
        <v>1756.68</v>
      </c>
      <c r="E3682" s="19" t="n">
        <v>0</v>
      </c>
      <c r="F3682" s="19" t="n">
        <v>0</v>
      </c>
      <c r="G3682" s="8" t="str">
        <f aca="false">IFERROR(INDEX('TRANS'!$B:$B,MATCH($B3682,'TRANS'!$A:$A,0)),IFERROR(INDEX('TRANS'!$B:$B,MATCH(TRIM(SUBSTITUTE($B3682,CHAR(160)," ")),'TRANS'!$D:$D,0)),IFERROR(INDEX('Catalog'!$A:$A,MATCH($B3682,'Catalog'!$B:$B,0)),IFERROR(INDEX('Catalog'!$A:$A,MATCH(TRIM(SUBSTITUTE($B3682,CHAR(160)," ")),'Catalog'!$C:$C,0)),""))))</f>
        <v/>
      </c>
      <c r="H3682" s="8" t="str">
        <f aca="false">IFERROR(INDEX('TRANS'!$C:$C,MATCH($B3682,'TRANS'!$A:$A,0)),IFERROR(INDEX('Catalog'!$B:$B,MATCH($G3682,'Catalog'!$A:$A,0)),$B3682))</f>
        <v>07AE L</v>
      </c>
      <c r="I3682" s="8" t="str">
        <f aca="false">IF($G3682="","Unmatched","Matched")</f>
        <v>Unmatched</v>
      </c>
      <c r="J3682" s="8" t="str">
        <f aca="false">IF($G3682&lt;&gt;"",$G3682,$B3682)</f>
        <v>07AE L</v>
      </c>
      <c r="K3682" s="8" t="str">
        <f aca="false">IF(COUNTIF($M$1:$M$10,$A3682)&gt;0,"Y","N")</f>
        <v>N</v>
      </c>
    </row>
    <row r="3683" customFormat="false" ht="15" hidden="false" customHeight="true" outlineLevel="0" collapsed="false">
      <c r="A3683" s="8" t="s">
        <v>1098</v>
      </c>
      <c r="B3683" s="8" t="s">
        <v>1100</v>
      </c>
      <c r="C3683" s="19" t="n">
        <v>20</v>
      </c>
      <c r="D3683" s="19" t="n">
        <v>3513.36</v>
      </c>
      <c r="E3683" s="19" t="n">
        <v>0</v>
      </c>
      <c r="F3683" s="19" t="n">
        <v>0</v>
      </c>
      <c r="G3683" s="8" t="str">
        <f aca="false">IFERROR(INDEX('TRANS'!$B:$B,MATCH($B3683,'TRANS'!$A:$A,0)),IFERROR(INDEX('TRANS'!$B:$B,MATCH(TRIM(SUBSTITUTE($B3683,CHAR(160)," ")),'TRANS'!$D:$D,0)),IFERROR(INDEX('Catalog'!$A:$A,MATCH($B3683,'Catalog'!$B:$B,0)),IFERROR(INDEX('Catalog'!$A:$A,MATCH(TRIM(SUBSTITUTE($B3683,CHAR(160)," ")),'Catalog'!$C:$C,0)),""))))</f>
        <v/>
      </c>
      <c r="H3683" s="8" t="str">
        <f aca="false">IFERROR(INDEX('TRANS'!$C:$C,MATCH($B3683,'TRANS'!$A:$A,0)),IFERROR(INDEX('Catalog'!$B:$B,MATCH($G3683,'Catalog'!$A:$A,0)),$B3683))</f>
        <v>07AE M</v>
      </c>
      <c r="I3683" s="8" t="str">
        <f aca="false">IF($G3683="","Unmatched","Matched")</f>
        <v>Unmatched</v>
      </c>
      <c r="J3683" s="8" t="str">
        <f aca="false">IF($G3683&lt;&gt;"",$G3683,$B3683)</f>
        <v>07AE M</v>
      </c>
      <c r="K3683" s="8" t="str">
        <f aca="false">IF(COUNTIF($M$1:$M$10,$A3683)&gt;0,"Y","N")</f>
        <v>N</v>
      </c>
    </row>
    <row r="3684" customFormat="false" ht="15" hidden="false" customHeight="true" outlineLevel="0" collapsed="false">
      <c r="A3684" s="8" t="s">
        <v>1098</v>
      </c>
      <c r="B3684" s="8" t="s">
        <v>1101</v>
      </c>
      <c r="C3684" s="19" t="n">
        <v>5</v>
      </c>
      <c r="D3684" s="19" t="n">
        <v>878.34</v>
      </c>
      <c r="E3684" s="19" t="n">
        <v>0</v>
      </c>
      <c r="F3684" s="19" t="n">
        <v>0</v>
      </c>
      <c r="G3684" s="8" t="str">
        <f aca="false">IFERROR(INDEX('TRANS'!$B:$B,MATCH($B3684,'TRANS'!$A:$A,0)),IFERROR(INDEX('TRANS'!$B:$B,MATCH(TRIM(SUBSTITUTE($B3684,CHAR(160)," ")),'TRANS'!$D:$D,0)),IFERROR(INDEX('Catalog'!$A:$A,MATCH($B3684,'Catalog'!$B:$B,0)),IFERROR(INDEX('Catalog'!$A:$A,MATCH(TRIM(SUBSTITUTE($B3684,CHAR(160)," ")),'Catalog'!$C:$C,0)),""))))</f>
        <v/>
      </c>
      <c r="H3684" s="8" t="str">
        <f aca="false">IFERROR(INDEX('TRANS'!$C:$C,MATCH($B3684,'TRANS'!$A:$A,0)),IFERROR(INDEX('Catalog'!$B:$B,MATCH($G3684,'Catalog'!$A:$A,0)),$B3684))</f>
        <v>07AE S</v>
      </c>
      <c r="I3684" s="8" t="str">
        <f aca="false">IF($G3684="","Unmatched","Matched")</f>
        <v>Unmatched</v>
      </c>
      <c r="J3684" s="8" t="str">
        <f aca="false">IF($G3684&lt;&gt;"",$G3684,$B3684)</f>
        <v>07AE S</v>
      </c>
      <c r="K3684" s="8" t="str">
        <f aca="false">IF(COUNTIF($M$1:$M$10,$A3684)&gt;0,"Y","N")</f>
        <v>N</v>
      </c>
    </row>
    <row r="3685" customFormat="false" ht="15" hidden="false" customHeight="true" outlineLevel="0" collapsed="false">
      <c r="A3685" s="8" t="s">
        <v>1098</v>
      </c>
      <c r="B3685" s="8" t="s">
        <v>233</v>
      </c>
      <c r="C3685" s="19" t="n">
        <v>5</v>
      </c>
      <c r="D3685" s="19" t="n">
        <v>0.03</v>
      </c>
      <c r="E3685" s="19" t="n">
        <v>0</v>
      </c>
      <c r="F3685" s="19" t="n">
        <v>0</v>
      </c>
      <c r="G3685" s="8" t="str">
        <f aca="false">IFERROR(INDEX('TRANS'!$B:$B,MATCH($B3685,'TRANS'!$A:$A,0)),IFERROR(INDEX('TRANS'!$B:$B,MATCH(TRIM(SUBSTITUTE($B3685,CHAR(160)," ")),'TRANS'!$D:$D,0)),IFERROR(INDEX('Catalog'!$A:$A,MATCH($B3685,'Catalog'!$B:$B,0)),IFERROR(INDEX('Catalog'!$A:$A,MATCH(TRIM(SUBSTITUTE($B3685,CHAR(160)," ")),'Catalog'!$C:$C,0)),""))))</f>
        <v/>
      </c>
      <c r="H3685" s="8" t="str">
        <f aca="false">IFERROR(INDEX('TRANS'!$C:$C,MATCH($B3685,'TRANS'!$A:$A,0)),IFERROR(INDEX('Catalog'!$B:$B,MATCH($G3685,'Catalog'!$A:$A,0)),$B3685))</f>
        <v>07AE XL</v>
      </c>
      <c r="I3685" s="8" t="str">
        <f aca="false">IF($G3685="","Unmatched","Matched")</f>
        <v>Unmatched</v>
      </c>
      <c r="J3685" s="8" t="str">
        <f aca="false">IF($G3685&lt;&gt;"",$G3685,$B3685)</f>
        <v>07AE XL</v>
      </c>
      <c r="K3685" s="8" t="str">
        <f aca="false">IF(COUNTIF($M$1:$M$10,$A3685)&gt;0,"Y","N")</f>
        <v>N</v>
      </c>
    </row>
    <row r="3686" customFormat="false" ht="15" hidden="false" customHeight="true" outlineLevel="0" collapsed="false">
      <c r="A3686" s="8" t="s">
        <v>1098</v>
      </c>
      <c r="B3686" s="8" t="s">
        <v>1102</v>
      </c>
      <c r="C3686" s="19" t="n">
        <v>10</v>
      </c>
      <c r="D3686" s="19" t="n">
        <v>1756.68</v>
      </c>
      <c r="E3686" s="19" t="n">
        <v>0</v>
      </c>
      <c r="F3686" s="19" t="n">
        <v>0</v>
      </c>
      <c r="G3686" s="8" t="str">
        <f aca="false">IFERROR(INDEX('TRANS'!$B:$B,MATCH($B3686,'TRANS'!$A:$A,0)),IFERROR(INDEX('TRANS'!$B:$B,MATCH(TRIM(SUBSTITUTE($B3686,CHAR(160)," ")),'TRANS'!$D:$D,0)),IFERROR(INDEX('Catalog'!$A:$A,MATCH($B3686,'Catalog'!$B:$B,0)),IFERROR(INDEX('Catalog'!$A:$A,MATCH(TRIM(SUBSTITUTE($B3686,CHAR(160)," ")),'Catalog'!$C:$C,0)),""))))</f>
        <v/>
      </c>
      <c r="H3686" s="8" t="str">
        <f aca="false">IFERROR(INDEX('TRANS'!$C:$C,MATCH($B3686,'TRANS'!$A:$A,0)),IFERROR(INDEX('Catalog'!$B:$B,MATCH($G3686,'Catalog'!$A:$A,0)),$B3686))</f>
        <v>07AE XXL</v>
      </c>
      <c r="I3686" s="8" t="str">
        <f aca="false">IF($G3686="","Unmatched","Matched")</f>
        <v>Unmatched</v>
      </c>
      <c r="J3686" s="8" t="str">
        <f aca="false">IF($G3686&lt;&gt;"",$G3686,$B3686)</f>
        <v>07AE XXL</v>
      </c>
      <c r="K3686" s="8" t="str">
        <f aca="false">IF(COUNTIF($M$1:$M$10,$A3686)&gt;0,"Y","N")</f>
        <v>N</v>
      </c>
    </row>
    <row r="3687" customFormat="false" ht="15" hidden="false" customHeight="true" outlineLevel="0" collapsed="false">
      <c r="A3687" s="8" t="s">
        <v>1098</v>
      </c>
      <c r="B3687" s="8" t="s">
        <v>564</v>
      </c>
      <c r="C3687" s="19" t="n">
        <v>5</v>
      </c>
      <c r="D3687" s="19" t="n">
        <v>399.72</v>
      </c>
      <c r="E3687" s="19" t="n">
        <v>0</v>
      </c>
      <c r="F3687" s="19" t="n">
        <v>0</v>
      </c>
      <c r="G3687" s="8" t="n">
        <f aca="false">IFERROR(INDEX('TRANS'!$B:$B,MATCH($B3687,'TRANS'!$A:$A,0)),IFERROR(INDEX('TRANS'!$B:$B,MATCH(TRIM(SUBSTITUTE($B3687,CHAR(160)," ")),'TRANS'!$D:$D,0)),IFERROR(INDEX('Catalog'!$A:$A,MATCH($B3687,'Catalog'!$B:$B,0)),IFERROR(INDEX('Catalog'!$A:$A,MATCH(TRIM(SUBSTITUTE($B3687,CHAR(160)," ")),'Catalog'!$C:$C,0)),""))))</f>
        <v>4408027</v>
      </c>
      <c r="H3687" s="8" t="str">
        <f aca="false">IFERROR(INDEX('TRANS'!$C:$C,MATCH($B3687,'TRANS'!$A:$A,0)),IFERROR(INDEX('Catalog'!$B:$B,MATCH($G3687,'Catalog'!$A:$A,0)),$B3687))</f>
        <v>10 L """"חגורת גב """"לומבו</v>
      </c>
      <c r="I3687" s="8" t="str">
        <f aca="false">IF($G3687="","Unmatched","Matched")</f>
        <v>Matched</v>
      </c>
      <c r="J3687" s="8" t="n">
        <f aca="false">IF($G3687&lt;&gt;"",$G3687,$B3687)</f>
        <v>4408027</v>
      </c>
      <c r="K3687" s="8" t="str">
        <f aca="false">IF(COUNTIF($M$1:$M$10,$A3687)&gt;0,"Y","N")</f>
        <v>N</v>
      </c>
    </row>
    <row r="3688" customFormat="false" ht="15" hidden="false" customHeight="true" outlineLevel="0" collapsed="false">
      <c r="A3688" s="8" t="s">
        <v>1098</v>
      </c>
      <c r="B3688" s="8" t="s">
        <v>565</v>
      </c>
      <c r="C3688" s="19" t="n">
        <v>10</v>
      </c>
      <c r="D3688" s="19" t="n">
        <v>799.45</v>
      </c>
      <c r="E3688" s="19" t="n">
        <v>0</v>
      </c>
      <c r="F3688" s="19" t="n">
        <v>0</v>
      </c>
      <c r="G3688" s="8" t="n">
        <f aca="false">IFERROR(INDEX('TRANS'!$B:$B,MATCH($B3688,'TRANS'!$A:$A,0)),IFERROR(INDEX('TRANS'!$B:$B,MATCH(TRIM(SUBSTITUTE($B3688,CHAR(160)," ")),'TRANS'!$D:$D,0)),IFERROR(INDEX('Catalog'!$A:$A,MATCH($B3688,'Catalog'!$B:$B,0)),IFERROR(INDEX('Catalog'!$A:$A,MATCH(TRIM(SUBSTITUTE($B3688,CHAR(160)," ")),'Catalog'!$C:$C,0)),""))))</f>
        <v>4408028</v>
      </c>
      <c r="H3688" s="8" t="str">
        <f aca="false">IFERROR(INDEX('TRANS'!$C:$C,MATCH($B3688,'TRANS'!$A:$A,0)),IFERROR(INDEX('Catalog'!$B:$B,MATCH($G3688,'Catalog'!$A:$A,0)),$B3688))</f>
        <v>10 M """"חגורת גב """"לומבו</v>
      </c>
      <c r="I3688" s="8" t="str">
        <f aca="false">IF($G3688="","Unmatched","Matched")</f>
        <v>Matched</v>
      </c>
      <c r="J3688" s="8" t="n">
        <f aca="false">IF($G3688&lt;&gt;"",$G3688,$B3688)</f>
        <v>4408028</v>
      </c>
      <c r="K3688" s="8" t="str">
        <f aca="false">IF(COUNTIF($M$1:$M$10,$A3688)&gt;0,"Y","N")</f>
        <v>N</v>
      </c>
    </row>
    <row r="3689" customFormat="false" ht="15" hidden="false" customHeight="true" outlineLevel="0" collapsed="false">
      <c r="A3689" s="8" t="s">
        <v>1098</v>
      </c>
      <c r="B3689" s="8" t="s">
        <v>497</v>
      </c>
      <c r="C3689" s="19" t="n">
        <v>5</v>
      </c>
      <c r="D3689" s="19" t="n">
        <v>399.72</v>
      </c>
      <c r="E3689" s="19" t="n">
        <v>0</v>
      </c>
      <c r="F3689" s="19" t="n">
        <v>0</v>
      </c>
      <c r="G3689" s="8" t="str">
        <f aca="false">IFERROR(INDEX('TRANS'!$B:$B,MATCH($B3689,'TRANS'!$A:$A,0)),IFERROR(INDEX('TRANS'!$B:$B,MATCH(TRIM(SUBSTITUTE($B3689,CHAR(160)," ")),'TRANS'!$D:$D,0)),IFERROR(INDEX('Catalog'!$A:$A,MATCH($B3689,'Catalog'!$B:$B,0)),IFERROR(INDEX('Catalog'!$A:$A,MATCH(TRIM(SUBSTITUTE($B3689,CHAR(160)," ")),'Catalog'!$C:$C,0)),""))))</f>
        <v/>
      </c>
      <c r="H3689" s="8" t="str">
        <f aca="false">IFERROR(INDEX('TRANS'!$C:$C,MATCH($B3689,'TRANS'!$A:$A,0)),IFERROR(INDEX('Catalog'!$B:$B,MATCH($G3689,'Catalog'!$A:$A,0)),$B3689))</f>
        <v>10 S</v>
      </c>
      <c r="I3689" s="8" t="str">
        <f aca="false">IF($G3689="","Unmatched","Matched")</f>
        <v>Unmatched</v>
      </c>
      <c r="J3689" s="8" t="str">
        <f aca="false">IF($G3689&lt;&gt;"",$G3689,$B3689)</f>
        <v>10 S</v>
      </c>
      <c r="K3689" s="8" t="str">
        <f aca="false">IF(COUNTIF($M$1:$M$10,$A3689)&gt;0,"Y","N")</f>
        <v>N</v>
      </c>
    </row>
    <row r="3690" customFormat="false" ht="15" hidden="false" customHeight="true" outlineLevel="0" collapsed="false">
      <c r="A3690" s="8" t="s">
        <v>1098</v>
      </c>
      <c r="B3690" s="8" t="s">
        <v>566</v>
      </c>
      <c r="C3690" s="19" t="n">
        <v>5</v>
      </c>
      <c r="D3690" s="19" t="n">
        <v>0.03</v>
      </c>
      <c r="E3690" s="19" t="n">
        <v>0</v>
      </c>
      <c r="F3690" s="19" t="n">
        <v>0</v>
      </c>
      <c r="G3690" s="8" t="n">
        <f aca="false">IFERROR(INDEX('TRANS'!$B:$B,MATCH($B3690,'TRANS'!$A:$A,0)),IFERROR(INDEX('TRANS'!$B:$B,MATCH(TRIM(SUBSTITUTE($B3690,CHAR(160)," ")),'TRANS'!$D:$D,0)),IFERROR(INDEX('Catalog'!$A:$A,MATCH($B3690,'Catalog'!$B:$B,0)),IFERROR(INDEX('Catalog'!$A:$A,MATCH(TRIM(SUBSTITUTE($B3690,CHAR(160)," ")),'Catalog'!$C:$C,0)),""))))</f>
        <v>4408029</v>
      </c>
      <c r="H3690" s="8" t="str">
        <f aca="false">IFERROR(INDEX('TRANS'!$C:$C,MATCH($B3690,'TRANS'!$A:$A,0)),IFERROR(INDEX('Catalog'!$B:$B,MATCH($G3690,'Catalog'!$A:$A,0)),$B3690))</f>
        <v>10 XL """"חגורת גב """"לומבו</v>
      </c>
      <c r="I3690" s="8" t="str">
        <f aca="false">IF($G3690="","Unmatched","Matched")</f>
        <v>Matched</v>
      </c>
      <c r="J3690" s="8" t="n">
        <f aca="false">IF($G3690&lt;&gt;"",$G3690,$B3690)</f>
        <v>4408029</v>
      </c>
      <c r="K3690" s="8" t="str">
        <f aca="false">IF(COUNTIF($M$1:$M$10,$A3690)&gt;0,"Y","N")</f>
        <v>N</v>
      </c>
    </row>
    <row r="3691" customFormat="false" ht="15" hidden="false" customHeight="true" outlineLevel="0" collapsed="false">
      <c r="A3691" s="8" t="s">
        <v>1098</v>
      </c>
      <c r="B3691" s="8" t="s">
        <v>1103</v>
      </c>
      <c r="C3691" s="19" t="n">
        <v>5</v>
      </c>
      <c r="D3691" s="19" t="n">
        <v>399.72</v>
      </c>
      <c r="E3691" s="19" t="n">
        <v>0</v>
      </c>
      <c r="F3691" s="19" t="n">
        <v>0</v>
      </c>
      <c r="G3691" s="8" t="str">
        <f aca="false">IFERROR(INDEX('TRANS'!$B:$B,MATCH($B3691,'TRANS'!$A:$A,0)),IFERROR(INDEX('TRANS'!$B:$B,MATCH(TRIM(SUBSTITUTE($B3691,CHAR(160)," ")),'TRANS'!$D:$D,0)),IFERROR(INDEX('Catalog'!$A:$A,MATCH($B3691,'Catalog'!$B:$B,0)),IFERROR(INDEX('Catalog'!$A:$A,MATCH(TRIM(SUBSTITUTE($B3691,CHAR(160)," ")),'Catalog'!$C:$C,0)),""))))</f>
        <v/>
      </c>
      <c r="H3691" s="8" t="str">
        <f aca="false">IFERROR(INDEX('TRANS'!$C:$C,MATCH($B3691,'TRANS'!$A:$A,0)),IFERROR(INDEX('Catalog'!$B:$B,MATCH($G3691,'Catalog'!$A:$A,0)),$B3691))</f>
        <v>10 XS</v>
      </c>
      <c r="I3691" s="8" t="str">
        <f aca="false">IF($G3691="","Unmatched","Matched")</f>
        <v>Unmatched</v>
      </c>
      <c r="J3691" s="8" t="str">
        <f aca="false">IF($G3691&lt;&gt;"",$G3691,$B3691)</f>
        <v>10 XS</v>
      </c>
      <c r="K3691" s="8" t="str">
        <f aca="false">IF(COUNTIF($M$1:$M$10,$A3691)&gt;0,"Y","N")</f>
        <v>N</v>
      </c>
    </row>
    <row r="3692" customFormat="false" ht="15" hidden="false" customHeight="true" outlineLevel="0" collapsed="false">
      <c r="A3692" s="8" t="s">
        <v>1098</v>
      </c>
      <c r="B3692" s="8" t="s">
        <v>423</v>
      </c>
      <c r="C3692" s="19" t="n">
        <v>20</v>
      </c>
      <c r="D3692" s="19" t="n">
        <v>1598.91</v>
      </c>
      <c r="E3692" s="19" t="n">
        <v>0</v>
      </c>
      <c r="F3692" s="19" t="n">
        <v>0</v>
      </c>
      <c r="G3692" s="8" t="str">
        <f aca="false">IFERROR(INDEX('TRANS'!$B:$B,MATCH($B3692,'TRANS'!$A:$A,0)),IFERROR(INDEX('TRANS'!$B:$B,MATCH(TRIM(SUBSTITUTE($B3692,CHAR(160)," ")),'TRANS'!$D:$D,0)),IFERROR(INDEX('Catalog'!$A:$A,MATCH($B3692,'Catalog'!$B:$B,0)),IFERROR(INDEX('Catalog'!$A:$A,MATCH(TRIM(SUBSTITUTE($B3692,CHAR(160)," ")),'Catalog'!$C:$C,0)),""))))</f>
        <v/>
      </c>
      <c r="H3692" s="8" t="str">
        <f aca="false">IFERROR(INDEX('TRANS'!$C:$C,MATCH($B3692,'TRANS'!$A:$A,0)),IFERROR(INDEX('Catalog'!$B:$B,MATCH($G3692,'Catalog'!$A:$A,0)),$B3692))</f>
        <v>10 XXL</v>
      </c>
      <c r="I3692" s="8" t="str">
        <f aca="false">IF($G3692="","Unmatched","Matched")</f>
        <v>Unmatched</v>
      </c>
      <c r="J3692" s="8" t="str">
        <f aca="false">IF($G3692&lt;&gt;"",$G3692,$B3692)</f>
        <v>10 XXL</v>
      </c>
      <c r="K3692" s="8" t="str">
        <f aca="false">IF(COUNTIF($M$1:$M$10,$A3692)&gt;0,"Y","N")</f>
        <v>N</v>
      </c>
    </row>
    <row r="3693" customFormat="false" ht="15" hidden="false" customHeight="true" outlineLevel="0" collapsed="false">
      <c r="A3693" s="8" t="s">
        <v>1098</v>
      </c>
      <c r="B3693" s="8" t="s">
        <v>1104</v>
      </c>
      <c r="C3693" s="19" t="n">
        <v>5</v>
      </c>
      <c r="D3693" s="19" t="n">
        <v>0.18</v>
      </c>
      <c r="E3693" s="19" t="n">
        <v>0</v>
      </c>
      <c r="F3693" s="19" t="n">
        <v>0</v>
      </c>
      <c r="G3693" s="8" t="str">
        <f aca="false">IFERROR(INDEX('TRANS'!$B:$B,MATCH($B3693,'TRANS'!$A:$A,0)),IFERROR(INDEX('TRANS'!$B:$B,MATCH(TRIM(SUBSTITUTE($B3693,CHAR(160)," ")),'TRANS'!$D:$D,0)),IFERROR(INDEX('Catalog'!$A:$A,MATCH($B3693,'Catalog'!$B:$B,0)),IFERROR(INDEX('Catalog'!$A:$A,MATCH(TRIM(SUBSTITUTE($B3693,CHAR(160)," ")),'Catalog'!$C:$C,0)),""))))</f>
        <v/>
      </c>
      <c r="H3693" s="8" t="str">
        <f aca="false">IFERROR(INDEX('TRANS'!$C:$C,MATCH($B3693,'TRANS'!$A:$A,0)),IFERROR(INDEX('Catalog'!$B:$B,MATCH($G3693,'Catalog'!$A:$A,0)),$B3693))</f>
        <v>1000FC</v>
      </c>
      <c r="I3693" s="8" t="str">
        <f aca="false">IF($G3693="","Unmatched","Matched")</f>
        <v>Unmatched</v>
      </c>
      <c r="J3693" s="8" t="str">
        <f aca="false">IF($G3693&lt;&gt;"",$G3693,$B3693)</f>
        <v>1000FC</v>
      </c>
      <c r="K3693" s="8" t="str">
        <f aca="false">IF(COUNTIF($M$1:$M$10,$A3693)&gt;0,"Y","N")</f>
        <v>N</v>
      </c>
    </row>
    <row r="3694" customFormat="false" ht="15" hidden="false" customHeight="true" outlineLevel="0" collapsed="false">
      <c r="A3694" s="8" t="s">
        <v>1098</v>
      </c>
      <c r="B3694" s="8" t="s">
        <v>572</v>
      </c>
      <c r="C3694" s="19" t="n">
        <v>55</v>
      </c>
      <c r="D3694" s="19" t="n">
        <v>3595.85</v>
      </c>
      <c r="E3694" s="19" t="n">
        <v>0</v>
      </c>
      <c r="F3694" s="19" t="n">
        <v>0</v>
      </c>
      <c r="G3694" s="8" t="n">
        <f aca="false">IFERROR(INDEX('TRANS'!$B:$B,MATCH($B3694,'TRANS'!$A:$A,0)),IFERROR(INDEX('TRANS'!$B:$B,MATCH(TRIM(SUBSTITUTE($B3694,CHAR(160)," ")),'TRANS'!$D:$D,0)),IFERROR(INDEX('Catalog'!$A:$A,MATCH($B3694,'Catalog'!$B:$B,0)),IFERROR(INDEX('Catalog'!$A:$A,MATCH(TRIM(SUBSTITUTE($B3694,CHAR(160)," ")),'Catalog'!$C:$C,0)),""))))</f>
        <v>4408203</v>
      </c>
      <c r="H3694" s="8" t="str">
        <f aca="false">IFERROR(INDEX('TRANS'!$C:$C,MATCH($B3694,'TRANS'!$A:$A,0)),IFERROR(INDEX('Catalog'!$B:$B,MATCH($G3694,'Catalog'!$A:$A,0)),$B3694))</f>
        <v>14 0 חגורה למנותחי בית חזה</v>
      </c>
      <c r="I3694" s="8" t="str">
        <f aca="false">IF($G3694="","Unmatched","Matched")</f>
        <v>Matched</v>
      </c>
      <c r="J3694" s="8" t="n">
        <f aca="false">IF($G3694&lt;&gt;"",$G3694,$B3694)</f>
        <v>4408203</v>
      </c>
      <c r="K3694" s="8" t="str">
        <f aca="false">IF(COUNTIF($M$1:$M$10,$A3694)&gt;0,"Y","N")</f>
        <v>N</v>
      </c>
    </row>
    <row r="3695" customFormat="false" ht="15" hidden="false" customHeight="true" outlineLevel="0" collapsed="false">
      <c r="A3695" s="8" t="s">
        <v>1098</v>
      </c>
      <c r="B3695" s="8" t="s">
        <v>229</v>
      </c>
      <c r="C3695" s="19" t="n">
        <v>22</v>
      </c>
      <c r="D3695" s="19" t="n">
        <v>1060.18</v>
      </c>
      <c r="E3695" s="19" t="n">
        <v>0</v>
      </c>
      <c r="F3695" s="19" t="n">
        <v>0</v>
      </c>
      <c r="G3695" s="8" t="str">
        <f aca="false">IFERROR(INDEX('TRANS'!$B:$B,MATCH($B3695,'TRANS'!$A:$A,0)),IFERROR(INDEX('TRANS'!$B:$B,MATCH(TRIM(SUBSTITUTE($B3695,CHAR(160)," ")),'TRANS'!$D:$D,0)),IFERROR(INDEX('Catalog'!$A:$A,MATCH($B3695,'Catalog'!$B:$B,0)),IFERROR(INDEX('Catalog'!$A:$A,MATCH(TRIM(SUBSTITUTE($B3695,CHAR(160)," ")),'Catalog'!$C:$C,0)),""))))</f>
        <v/>
      </c>
      <c r="H3695" s="8" t="str">
        <f aca="false">IFERROR(INDEX('TRANS'!$C:$C,MATCH($B3695,'TRANS'!$A:$A,0)),IFERROR(INDEX('Catalog'!$B:$B,MATCH($G3695,'Catalog'!$A:$A,0)),$B3695))</f>
        <v>15M L</v>
      </c>
      <c r="I3695" s="8" t="str">
        <f aca="false">IF($G3695="","Unmatched","Matched")</f>
        <v>Unmatched</v>
      </c>
      <c r="J3695" s="8" t="str">
        <f aca="false">IF($G3695&lt;&gt;"",$G3695,$B3695)</f>
        <v>15M L</v>
      </c>
      <c r="K3695" s="8" t="str">
        <f aca="false">IF(COUNTIF($M$1:$M$10,$A3695)&gt;0,"Y","N")</f>
        <v>N</v>
      </c>
    </row>
    <row r="3696" customFormat="false" ht="15" hidden="false" customHeight="true" outlineLevel="0" collapsed="false">
      <c r="A3696" s="8" t="s">
        <v>1098</v>
      </c>
      <c r="B3696" s="8" t="s">
        <v>404</v>
      </c>
      <c r="C3696" s="19" t="n">
        <v>6</v>
      </c>
      <c r="D3696" s="19" t="n">
        <v>318.04</v>
      </c>
      <c r="E3696" s="19" t="n">
        <v>0</v>
      </c>
      <c r="F3696" s="19" t="n">
        <v>0</v>
      </c>
      <c r="G3696" s="8" t="str">
        <f aca="false">IFERROR(INDEX('TRANS'!$B:$B,MATCH($B3696,'TRANS'!$A:$A,0)),IFERROR(INDEX('TRANS'!$B:$B,MATCH(TRIM(SUBSTITUTE($B3696,CHAR(160)," ")),'TRANS'!$D:$D,0)),IFERROR(INDEX('Catalog'!$A:$A,MATCH($B3696,'Catalog'!$B:$B,0)),IFERROR(INDEX('Catalog'!$A:$A,MATCH(TRIM(SUBSTITUTE($B3696,CHAR(160)," ")),'Catalog'!$C:$C,0)),""))))</f>
        <v/>
      </c>
      <c r="H3696" s="8" t="str">
        <f aca="false">IFERROR(INDEX('TRANS'!$C:$C,MATCH($B3696,'TRANS'!$A:$A,0)),IFERROR(INDEX('Catalog'!$B:$B,MATCH($G3696,'Catalog'!$A:$A,0)),$B3696))</f>
        <v>15M M</v>
      </c>
      <c r="I3696" s="8" t="str">
        <f aca="false">IF($G3696="","Unmatched","Matched")</f>
        <v>Unmatched</v>
      </c>
      <c r="J3696" s="8" t="str">
        <f aca="false">IF($G3696&lt;&gt;"",$G3696,$B3696)</f>
        <v>15M M</v>
      </c>
      <c r="K3696" s="8" t="str">
        <f aca="false">IF(COUNTIF($M$1:$M$10,$A3696)&gt;0,"Y","N")</f>
        <v>N</v>
      </c>
    </row>
    <row r="3697" customFormat="false" ht="15" hidden="false" customHeight="true" outlineLevel="0" collapsed="false">
      <c r="A3697" s="8" t="s">
        <v>1098</v>
      </c>
      <c r="B3697" s="8" t="s">
        <v>467</v>
      </c>
      <c r="C3697" s="19" t="n">
        <v>5</v>
      </c>
      <c r="D3697" s="19" t="n">
        <v>212.06</v>
      </c>
      <c r="E3697" s="19" t="n">
        <v>0</v>
      </c>
      <c r="F3697" s="19" t="n">
        <v>0</v>
      </c>
      <c r="G3697" s="8" t="str">
        <f aca="false">IFERROR(INDEX('TRANS'!$B:$B,MATCH($B3697,'TRANS'!$A:$A,0)),IFERROR(INDEX('TRANS'!$B:$B,MATCH(TRIM(SUBSTITUTE($B3697,CHAR(160)," ")),'TRANS'!$D:$D,0)),IFERROR(INDEX('Catalog'!$A:$A,MATCH($B3697,'Catalog'!$B:$B,0)),IFERROR(INDEX('Catalog'!$A:$A,MATCH(TRIM(SUBSTITUTE($B3697,CHAR(160)," ")),'Catalog'!$C:$C,0)),""))))</f>
        <v/>
      </c>
      <c r="H3697" s="8" t="str">
        <f aca="false">IFERROR(INDEX('TRANS'!$C:$C,MATCH($B3697,'TRANS'!$A:$A,0)),IFERROR(INDEX('Catalog'!$B:$B,MATCH($G3697,'Catalog'!$A:$A,0)),$B3697))</f>
        <v>15M S</v>
      </c>
      <c r="I3697" s="8" t="str">
        <f aca="false">IF($G3697="","Unmatched","Matched")</f>
        <v>Unmatched</v>
      </c>
      <c r="J3697" s="8" t="str">
        <f aca="false">IF($G3697&lt;&gt;"",$G3697,$B3697)</f>
        <v>15M S</v>
      </c>
      <c r="K3697" s="8" t="str">
        <f aca="false">IF(COUNTIF($M$1:$M$10,$A3697)&gt;0,"Y","N")</f>
        <v>N</v>
      </c>
    </row>
    <row r="3698" customFormat="false" ht="15" hidden="false" customHeight="true" outlineLevel="0" collapsed="false">
      <c r="A3698" s="8" t="s">
        <v>1098</v>
      </c>
      <c r="B3698" s="8" t="s">
        <v>211</v>
      </c>
      <c r="C3698" s="19" t="n">
        <v>12</v>
      </c>
      <c r="D3698" s="19" t="n">
        <v>530.1</v>
      </c>
      <c r="E3698" s="19" t="n">
        <v>0</v>
      </c>
      <c r="F3698" s="19" t="n">
        <v>0</v>
      </c>
      <c r="G3698" s="8" t="str">
        <f aca="false">IFERROR(INDEX('TRANS'!$B:$B,MATCH($B3698,'TRANS'!$A:$A,0)),IFERROR(INDEX('TRANS'!$B:$B,MATCH(TRIM(SUBSTITUTE($B3698,CHAR(160)," ")),'TRANS'!$D:$D,0)),IFERROR(INDEX('Catalog'!$A:$A,MATCH($B3698,'Catalog'!$B:$B,0)),IFERROR(INDEX('Catalog'!$A:$A,MATCH(TRIM(SUBSTITUTE($B3698,CHAR(160)," ")),'Catalog'!$C:$C,0)),""))))</f>
        <v/>
      </c>
      <c r="H3698" s="8" t="str">
        <f aca="false">IFERROR(INDEX('TRANS'!$C:$C,MATCH($B3698,'TRANS'!$A:$A,0)),IFERROR(INDEX('Catalog'!$B:$B,MATCH($G3698,'Catalog'!$A:$A,0)),$B3698))</f>
        <v>15M XL</v>
      </c>
      <c r="I3698" s="8" t="str">
        <f aca="false">IF($G3698="","Unmatched","Matched")</f>
        <v>Unmatched</v>
      </c>
      <c r="J3698" s="8" t="str">
        <f aca="false">IF($G3698&lt;&gt;"",$G3698,$B3698)</f>
        <v>15M XL</v>
      </c>
      <c r="K3698" s="8" t="str">
        <f aca="false">IF(COUNTIF($M$1:$M$10,$A3698)&gt;0,"Y","N")</f>
        <v>N</v>
      </c>
    </row>
    <row r="3699" customFormat="false" ht="15" hidden="false" customHeight="true" outlineLevel="0" collapsed="false">
      <c r="A3699" s="8" t="s">
        <v>1098</v>
      </c>
      <c r="B3699" s="8" t="s">
        <v>241</v>
      </c>
      <c r="C3699" s="19" t="n">
        <v>12</v>
      </c>
      <c r="D3699" s="19" t="n">
        <v>530.1</v>
      </c>
      <c r="E3699" s="19" t="n">
        <v>0</v>
      </c>
      <c r="F3699" s="19" t="n">
        <v>0</v>
      </c>
      <c r="G3699" s="8" t="str">
        <f aca="false">IFERROR(INDEX('TRANS'!$B:$B,MATCH($B3699,'TRANS'!$A:$A,0)),IFERROR(INDEX('TRANS'!$B:$B,MATCH(TRIM(SUBSTITUTE($B3699,CHAR(160)," ")),'TRANS'!$D:$D,0)),IFERROR(INDEX('Catalog'!$A:$A,MATCH($B3699,'Catalog'!$B:$B,0)),IFERROR(INDEX('Catalog'!$A:$A,MATCH(TRIM(SUBSTITUTE($B3699,CHAR(160)," ")),'Catalog'!$C:$C,0)),""))))</f>
        <v/>
      </c>
      <c r="H3699" s="8" t="str">
        <f aca="false">IFERROR(INDEX('TRANS'!$C:$C,MATCH($B3699,'TRANS'!$A:$A,0)),IFERROR(INDEX('Catalog'!$B:$B,MATCH($G3699,'Catalog'!$A:$A,0)),$B3699))</f>
        <v>15M XXL</v>
      </c>
      <c r="I3699" s="8" t="str">
        <f aca="false">IF($G3699="","Unmatched","Matched")</f>
        <v>Unmatched</v>
      </c>
      <c r="J3699" s="8" t="str">
        <f aca="false">IF($G3699&lt;&gt;"",$G3699,$B3699)</f>
        <v>15M XXL</v>
      </c>
      <c r="K3699" s="8" t="str">
        <f aca="false">IF(COUNTIF($M$1:$M$10,$A3699)&gt;0,"Y","N")</f>
        <v>N</v>
      </c>
    </row>
    <row r="3700" customFormat="false" ht="15" hidden="false" customHeight="true" outlineLevel="0" collapsed="false">
      <c r="A3700" s="8" t="s">
        <v>1098</v>
      </c>
      <c r="B3700" s="8" t="s">
        <v>573</v>
      </c>
      <c r="C3700" s="19" t="n">
        <v>22</v>
      </c>
      <c r="D3700" s="19" t="n">
        <v>976.49</v>
      </c>
      <c r="E3700" s="19" t="n">
        <v>0</v>
      </c>
      <c r="F3700" s="19" t="n">
        <v>0</v>
      </c>
      <c r="G3700" s="8" t="n">
        <f aca="false">IFERROR(INDEX('TRANS'!$B:$B,MATCH($B3700,'TRANS'!$A:$A,0)),IFERROR(INDEX('TRANS'!$B:$B,MATCH(TRIM(SUBSTITUTE($B3700,CHAR(160)," ")),'TRANS'!$D:$D,0)),IFERROR(INDEX('Catalog'!$A:$A,MATCH($B3700,'Catalog'!$B:$B,0)),IFERROR(INDEX('Catalog'!$A:$A,MATCH(TRIM(SUBSTITUTE($B3700,CHAR(160)," ")),'Catalog'!$C:$C,0)),""))))</f>
        <v>4408131</v>
      </c>
      <c r="H3700" s="8" t="str">
        <f aca="false">IFERROR(INDEX('TRANS'!$C:$C,MATCH($B3700,'TRANS'!$A:$A,0)),IFERROR(INDEX('Catalog'!$B:$B,MATCH($G3700,'Catalog'!$A:$A,0)),$B3700))</f>
        <v>15W L חגורת צלעות לאשה</v>
      </c>
      <c r="I3700" s="8" t="str">
        <f aca="false">IF($G3700="","Unmatched","Matched")</f>
        <v>Matched</v>
      </c>
      <c r="J3700" s="8" t="n">
        <f aca="false">IF($G3700&lt;&gt;"",$G3700,$B3700)</f>
        <v>4408131</v>
      </c>
      <c r="K3700" s="8" t="str">
        <f aca="false">IF(COUNTIF($M$1:$M$10,$A3700)&gt;0,"Y","N")</f>
        <v>N</v>
      </c>
    </row>
    <row r="3701" customFormat="false" ht="15" hidden="false" customHeight="true" outlineLevel="0" collapsed="false">
      <c r="A3701" s="8" t="s">
        <v>1098</v>
      </c>
      <c r="B3701" s="8" t="s">
        <v>263</v>
      </c>
      <c r="C3701" s="19" t="n">
        <v>7</v>
      </c>
      <c r="D3701" s="19" t="n">
        <v>244.14</v>
      </c>
      <c r="E3701" s="19" t="n">
        <v>0</v>
      </c>
      <c r="F3701" s="19" t="n">
        <v>0</v>
      </c>
      <c r="G3701" s="8" t="str">
        <f aca="false">IFERROR(INDEX('TRANS'!$B:$B,MATCH($B3701,'TRANS'!$A:$A,0)),IFERROR(INDEX('TRANS'!$B:$B,MATCH(TRIM(SUBSTITUTE($B3701,CHAR(160)," ")),'TRANS'!$D:$D,0)),IFERROR(INDEX('Catalog'!$A:$A,MATCH($B3701,'Catalog'!$B:$B,0)),IFERROR(INDEX('Catalog'!$A:$A,MATCH(TRIM(SUBSTITUTE($B3701,CHAR(160)," ")),'Catalog'!$C:$C,0)),""))))</f>
        <v/>
      </c>
      <c r="H3701" s="8" t="str">
        <f aca="false">IFERROR(INDEX('TRANS'!$C:$C,MATCH($B3701,'TRANS'!$A:$A,0)),IFERROR(INDEX('Catalog'!$B:$B,MATCH($G3701,'Catalog'!$A:$A,0)),$B3701))</f>
        <v>15W M</v>
      </c>
      <c r="I3701" s="8" t="str">
        <f aca="false">IF($G3701="","Unmatched","Matched")</f>
        <v>Unmatched</v>
      </c>
      <c r="J3701" s="8" t="str">
        <f aca="false">IF($G3701&lt;&gt;"",$G3701,$B3701)</f>
        <v>15W M</v>
      </c>
      <c r="K3701" s="8" t="str">
        <f aca="false">IF(COUNTIF($M$1:$M$10,$A3701)&gt;0,"Y","N")</f>
        <v>N</v>
      </c>
    </row>
    <row r="3702" customFormat="false" ht="15" hidden="false" customHeight="true" outlineLevel="0" collapsed="false">
      <c r="A3702" s="8" t="s">
        <v>1098</v>
      </c>
      <c r="B3702" s="8" t="s">
        <v>405</v>
      </c>
      <c r="C3702" s="19" t="n">
        <v>5</v>
      </c>
      <c r="D3702" s="19" t="n">
        <v>244.11</v>
      </c>
      <c r="E3702" s="19" t="n">
        <v>0</v>
      </c>
      <c r="F3702" s="19" t="n">
        <v>0</v>
      </c>
      <c r="G3702" s="8" t="str">
        <f aca="false">IFERROR(INDEX('TRANS'!$B:$B,MATCH($B3702,'TRANS'!$A:$A,0)),IFERROR(INDEX('TRANS'!$B:$B,MATCH(TRIM(SUBSTITUTE($B3702,CHAR(160)," ")),'TRANS'!$D:$D,0)),IFERROR(INDEX('Catalog'!$A:$A,MATCH($B3702,'Catalog'!$B:$B,0)),IFERROR(INDEX('Catalog'!$A:$A,MATCH(TRIM(SUBSTITUTE($B3702,CHAR(160)," ")),'Catalog'!$C:$C,0)),""))))</f>
        <v/>
      </c>
      <c r="H3702" s="8" t="str">
        <f aca="false">IFERROR(INDEX('TRANS'!$C:$C,MATCH($B3702,'TRANS'!$A:$A,0)),IFERROR(INDEX('Catalog'!$B:$B,MATCH($G3702,'Catalog'!$A:$A,0)),$B3702))</f>
        <v>15W S</v>
      </c>
      <c r="I3702" s="8" t="str">
        <f aca="false">IF($G3702="","Unmatched","Matched")</f>
        <v>Unmatched</v>
      </c>
      <c r="J3702" s="8" t="str">
        <f aca="false">IF($G3702&lt;&gt;"",$G3702,$B3702)</f>
        <v>15W S</v>
      </c>
      <c r="K3702" s="8" t="str">
        <f aca="false">IF(COUNTIF($M$1:$M$10,$A3702)&gt;0,"Y","N")</f>
        <v>N</v>
      </c>
    </row>
    <row r="3703" customFormat="false" ht="15" hidden="false" customHeight="true" outlineLevel="0" collapsed="false">
      <c r="A3703" s="8" t="s">
        <v>1098</v>
      </c>
      <c r="B3703" s="8" t="s">
        <v>317</v>
      </c>
      <c r="C3703" s="19" t="n">
        <v>11</v>
      </c>
      <c r="D3703" s="19" t="n">
        <v>488.22</v>
      </c>
      <c r="E3703" s="19" t="n">
        <v>0</v>
      </c>
      <c r="F3703" s="19" t="n">
        <v>0</v>
      </c>
      <c r="G3703" s="8" t="str">
        <f aca="false">IFERROR(INDEX('TRANS'!$B:$B,MATCH($B3703,'TRANS'!$A:$A,0)),IFERROR(INDEX('TRANS'!$B:$B,MATCH(TRIM(SUBSTITUTE($B3703,CHAR(160)," ")),'TRANS'!$D:$D,0)),IFERROR(INDEX('Catalog'!$A:$A,MATCH($B3703,'Catalog'!$B:$B,0)),IFERROR(INDEX('Catalog'!$A:$A,MATCH(TRIM(SUBSTITUTE($B3703,CHAR(160)," ")),'Catalog'!$C:$C,0)),""))))</f>
        <v/>
      </c>
      <c r="H3703" s="8" t="str">
        <f aca="false">IFERROR(INDEX('TRANS'!$C:$C,MATCH($B3703,'TRANS'!$A:$A,0)),IFERROR(INDEX('Catalog'!$B:$B,MATCH($G3703,'Catalog'!$A:$A,0)),$B3703))</f>
        <v>15W XL</v>
      </c>
      <c r="I3703" s="8" t="str">
        <f aca="false">IF($G3703="","Unmatched","Matched")</f>
        <v>Unmatched</v>
      </c>
      <c r="J3703" s="8" t="str">
        <f aca="false">IF($G3703&lt;&gt;"",$G3703,$B3703)</f>
        <v>15W XL</v>
      </c>
      <c r="K3703" s="8" t="str">
        <f aca="false">IF(COUNTIF($M$1:$M$10,$A3703)&gt;0,"Y","N")</f>
        <v>N</v>
      </c>
    </row>
    <row r="3704" customFormat="false" ht="15" hidden="false" customHeight="true" outlineLevel="0" collapsed="false">
      <c r="A3704" s="8" t="s">
        <v>1098</v>
      </c>
      <c r="B3704" s="8" t="s">
        <v>318</v>
      </c>
      <c r="C3704" s="19" t="n">
        <v>10</v>
      </c>
      <c r="D3704" s="19" t="n">
        <v>488.22</v>
      </c>
      <c r="E3704" s="19" t="n">
        <v>0</v>
      </c>
      <c r="F3704" s="19" t="n">
        <v>0</v>
      </c>
      <c r="G3704" s="8" t="str">
        <f aca="false">IFERROR(INDEX('TRANS'!$B:$B,MATCH($B3704,'TRANS'!$A:$A,0)),IFERROR(INDEX('TRANS'!$B:$B,MATCH(TRIM(SUBSTITUTE($B3704,CHAR(160)," ")),'TRANS'!$D:$D,0)),IFERROR(INDEX('Catalog'!$A:$A,MATCH($B3704,'Catalog'!$B:$B,0)),IFERROR(INDEX('Catalog'!$A:$A,MATCH(TRIM(SUBSTITUTE($B3704,CHAR(160)," ")),'Catalog'!$C:$C,0)),""))))</f>
        <v/>
      </c>
      <c r="H3704" s="8" t="str">
        <f aca="false">IFERROR(INDEX('TRANS'!$C:$C,MATCH($B3704,'TRANS'!$A:$A,0)),IFERROR(INDEX('Catalog'!$B:$B,MATCH($G3704,'Catalog'!$A:$A,0)),$B3704))</f>
        <v>15W XXL</v>
      </c>
      <c r="I3704" s="8" t="str">
        <f aca="false">IF($G3704="","Unmatched","Matched")</f>
        <v>Unmatched</v>
      </c>
      <c r="J3704" s="8" t="str">
        <f aca="false">IF($G3704&lt;&gt;"",$G3704,$B3704)</f>
        <v>15W XXL</v>
      </c>
      <c r="K3704" s="8" t="str">
        <f aca="false">IF(COUNTIF($M$1:$M$10,$A3704)&gt;0,"Y","N")</f>
        <v>N</v>
      </c>
    </row>
    <row r="3705" customFormat="false" ht="15" hidden="false" customHeight="true" outlineLevel="0" collapsed="false">
      <c r="A3705" s="8" t="s">
        <v>1098</v>
      </c>
      <c r="B3705" s="8" t="s">
        <v>970</v>
      </c>
      <c r="C3705" s="19" t="n">
        <v>10</v>
      </c>
      <c r="D3705" s="19" t="n">
        <v>139.5</v>
      </c>
      <c r="E3705" s="19" t="n">
        <v>0</v>
      </c>
      <c r="F3705" s="19" t="n">
        <v>0</v>
      </c>
      <c r="G3705" s="8" t="n">
        <f aca="false">IFERROR(INDEX('TRANS'!$B:$B,MATCH($B3705,'TRANS'!$A:$A,0)),IFERROR(INDEX('TRANS'!$B:$B,MATCH(TRIM(SUBSTITUTE($B3705,CHAR(160)," ")),'TRANS'!$D:$D,0)),IFERROR(INDEX('Catalog'!$A:$A,MATCH($B3705,'Catalog'!$B:$B,0)),IFERROR(INDEX('Catalog'!$A:$A,MATCH(TRIM(SUBSTITUTE($B3705,CHAR(160)," ")),'Catalog'!$C:$C,0)),""))))</f>
        <v>4408046</v>
      </c>
      <c r="H3705" s="8" t="str">
        <f aca="false">IFERROR(INDEX('TRANS'!$C:$C,MATCH($B3705,'TRANS'!$A:$A,0)),IFERROR(INDEX('Catalog'!$B:$B,MATCH($G3705,'Catalog'!$A:$A,0)),$B3705))</f>
        <v>20 L חבק יד מתכוון עם צמדן</v>
      </c>
      <c r="I3705" s="8" t="str">
        <f aca="false">IF($G3705="","Unmatched","Matched")</f>
        <v>Matched</v>
      </c>
      <c r="J3705" s="8" t="n">
        <f aca="false">IF($G3705&lt;&gt;"",$G3705,$B3705)</f>
        <v>4408046</v>
      </c>
      <c r="K3705" s="8" t="str">
        <f aca="false">IF(COUNTIF($M$1:$M$10,$A3705)&gt;0,"Y","N")</f>
        <v>N</v>
      </c>
    </row>
    <row r="3706" customFormat="false" ht="15" hidden="false" customHeight="true" outlineLevel="0" collapsed="false">
      <c r="A3706" s="8" t="s">
        <v>1098</v>
      </c>
      <c r="B3706" s="8" t="s">
        <v>908</v>
      </c>
      <c r="C3706" s="19" t="n">
        <v>10</v>
      </c>
      <c r="D3706" s="19" t="n">
        <v>139.5</v>
      </c>
      <c r="E3706" s="19" t="n">
        <v>0</v>
      </c>
      <c r="F3706" s="19" t="n">
        <v>0</v>
      </c>
      <c r="G3706" s="8" t="n">
        <f aca="false">IFERROR(INDEX('TRANS'!$B:$B,MATCH($B3706,'TRANS'!$A:$A,0)),IFERROR(INDEX('TRANS'!$B:$B,MATCH(TRIM(SUBSTITUTE($B3706,CHAR(160)," ")),'TRANS'!$D:$D,0)),IFERROR(INDEX('Catalog'!$A:$A,MATCH($B3706,'Catalog'!$B:$B,0)),IFERROR(INDEX('Catalog'!$A:$A,MATCH(TRIM(SUBSTITUTE($B3706,CHAR(160)," ")),'Catalog'!$C:$C,0)),""))))</f>
        <v>4408049</v>
      </c>
      <c r="H3706" s="8" t="str">
        <f aca="false">IFERROR(INDEX('TRANS'!$C:$C,MATCH($B3706,'TRANS'!$A:$A,0)),IFERROR(INDEX('Catalog'!$B:$B,MATCH($G3706,'Catalog'!$A:$A,0)),$B3706))</f>
        <v>20 XL חבק יד מתכוון עם צמדן</v>
      </c>
      <c r="I3706" s="8" t="str">
        <f aca="false">IF($G3706="","Unmatched","Matched")</f>
        <v>Matched</v>
      </c>
      <c r="J3706" s="8" t="n">
        <f aca="false">IF($G3706&lt;&gt;"",$G3706,$B3706)</f>
        <v>4408049</v>
      </c>
      <c r="K3706" s="8" t="str">
        <f aca="false">IF(COUNTIF($M$1:$M$10,$A3706)&gt;0,"Y","N")</f>
        <v>N</v>
      </c>
    </row>
    <row r="3707" customFormat="false" ht="15" hidden="false" customHeight="true" outlineLevel="0" collapsed="false">
      <c r="A3707" s="8" t="s">
        <v>1098</v>
      </c>
      <c r="B3707" s="8" t="s">
        <v>978</v>
      </c>
      <c r="C3707" s="19" t="n">
        <v>10</v>
      </c>
      <c r="D3707" s="19" t="n">
        <v>139.5</v>
      </c>
      <c r="E3707" s="19" t="n">
        <v>0</v>
      </c>
      <c r="F3707" s="19" t="n">
        <v>0</v>
      </c>
      <c r="G3707" s="8" t="n">
        <f aca="false">IFERROR(INDEX('TRANS'!$B:$B,MATCH($B3707,'TRANS'!$A:$A,0)),IFERROR(INDEX('TRANS'!$B:$B,MATCH(TRIM(SUBSTITUTE($B3707,CHAR(160)," ")),'TRANS'!$D:$D,0)),IFERROR(INDEX('Catalog'!$A:$A,MATCH($B3707,'Catalog'!$B:$B,0)),IFERROR(INDEX('Catalog'!$A:$A,MATCH(TRIM(SUBSTITUTE($B3707,CHAR(160)," ")),'Catalog'!$C:$C,0)),""))))</f>
        <v>4408050</v>
      </c>
      <c r="H3707" s="8" t="str">
        <f aca="false">IFERROR(INDEX('TRANS'!$C:$C,MATCH($B3707,'TRANS'!$A:$A,0)),IFERROR(INDEX('Catalog'!$B:$B,MATCH($G3707,'Catalog'!$A:$A,0)),$B3707))</f>
        <v>20 XXL חבק יד מתכוון עם צמדן</v>
      </c>
      <c r="I3707" s="8" t="str">
        <f aca="false">IF($G3707="","Unmatched","Matched")</f>
        <v>Matched</v>
      </c>
      <c r="J3707" s="8" t="n">
        <f aca="false">IF($G3707&lt;&gt;"",$G3707,$B3707)</f>
        <v>4408050</v>
      </c>
      <c r="K3707" s="8" t="str">
        <f aca="false">IF(COUNTIF($M$1:$M$10,$A3707)&gt;0,"Y","N")</f>
        <v>N</v>
      </c>
    </row>
    <row r="3708" customFormat="false" ht="15" hidden="false" customHeight="true" outlineLevel="0" collapsed="false">
      <c r="A3708" s="8" t="s">
        <v>1098</v>
      </c>
      <c r="B3708" s="8" t="s">
        <v>783</v>
      </c>
      <c r="C3708" s="19" t="n">
        <v>10</v>
      </c>
      <c r="D3708" s="19" t="n">
        <v>177.62</v>
      </c>
      <c r="E3708" s="19" t="n">
        <v>0</v>
      </c>
      <c r="F3708" s="19" t="n">
        <v>0</v>
      </c>
      <c r="G3708" s="8" t="n">
        <f aca="false">IFERROR(INDEX('TRANS'!$B:$B,MATCH($B3708,'TRANS'!$A:$A,0)),IFERROR(INDEX('TRANS'!$B:$B,MATCH(TRIM(SUBSTITUTE($B3708,CHAR(160)," ")),'TRANS'!$D:$D,0)),IFERROR(INDEX('Catalog'!$A:$A,MATCH($B3708,'Catalog'!$B:$B,0)),IFERROR(INDEX('Catalog'!$A:$A,MATCH(TRIM(SUBSTITUTE($B3708,CHAR(160)," ")),'Catalog'!$C:$C,0)),""))))</f>
        <v>4408052</v>
      </c>
      <c r="H3708" s="8" t="str">
        <f aca="false">IFERROR(INDEX('TRANS'!$C:$C,MATCH($B3708,'TRANS'!$A:$A,0)),IFERROR(INDEX('Catalog'!$B:$B,MATCH($G3708,'Catalog'!$A:$A,0)),$B3708))</f>
        <v>21 L  חבק יד ארוך</v>
      </c>
      <c r="I3708" s="8" t="str">
        <f aca="false">IF($G3708="","Unmatched","Matched")</f>
        <v>Matched</v>
      </c>
      <c r="J3708" s="8" t="n">
        <f aca="false">IF($G3708&lt;&gt;"",$G3708,$B3708)</f>
        <v>4408052</v>
      </c>
      <c r="K3708" s="8" t="str">
        <f aca="false">IF(COUNTIF($M$1:$M$10,$A3708)&gt;0,"Y","N")</f>
        <v>N</v>
      </c>
    </row>
    <row r="3709" customFormat="false" ht="15" hidden="false" customHeight="true" outlineLevel="0" collapsed="false">
      <c r="A3709" s="8" t="s">
        <v>1098</v>
      </c>
      <c r="B3709" s="8" t="s">
        <v>584</v>
      </c>
      <c r="C3709" s="19" t="n">
        <v>33</v>
      </c>
      <c r="D3709" s="19" t="n">
        <v>241.81</v>
      </c>
      <c r="E3709" s="19" t="n">
        <v>0</v>
      </c>
      <c r="F3709" s="19" t="n">
        <v>0</v>
      </c>
      <c r="G3709" s="8" t="n">
        <f aca="false">IFERROR(INDEX('TRANS'!$B:$B,MATCH($B3709,'TRANS'!$A:$A,0)),IFERROR(INDEX('TRANS'!$B:$B,MATCH(TRIM(SUBSTITUTE($B3709,CHAR(160)," ")),'TRANS'!$D:$D,0)),IFERROR(INDEX('Catalog'!$A:$A,MATCH($B3709,'Catalog'!$B:$B,0)),IFERROR(INDEX('Catalog'!$A:$A,MATCH(TRIM(SUBSTITUTE($B3709,CHAR(160)," ")),'Catalog'!$C:$C,0)),""))))</f>
        <v>4415162</v>
      </c>
      <c r="H3709" s="8" t="str">
        <f aca="false">IFERROR(INDEX('TRANS'!$C:$C,MATCH($B3709,'TRANS'!$A:$A,0)),IFERROR(INDEX('Catalog'!$B:$B,MATCH($G3709,'Catalog'!$A:$A,0)),$B3709))</f>
        <v>238L סד ליישור אצבע</v>
      </c>
      <c r="I3709" s="8" t="str">
        <f aca="false">IF($G3709="","Unmatched","Matched")</f>
        <v>Matched</v>
      </c>
      <c r="J3709" s="8" t="n">
        <f aca="false">IF($G3709&lt;&gt;"",$G3709,$B3709)</f>
        <v>4415162</v>
      </c>
      <c r="K3709" s="8" t="str">
        <f aca="false">IF(COUNTIF($M$1:$M$10,$A3709)&gt;0,"Y","N")</f>
        <v>N</v>
      </c>
    </row>
    <row r="3710" customFormat="false" ht="15" hidden="false" customHeight="true" outlineLevel="0" collapsed="false">
      <c r="A3710" s="8" t="s">
        <v>1098</v>
      </c>
      <c r="B3710" s="8" t="s">
        <v>926</v>
      </c>
      <c r="C3710" s="19" t="n">
        <v>22</v>
      </c>
      <c r="D3710" s="19" t="n">
        <v>161.23</v>
      </c>
      <c r="E3710" s="19" t="n">
        <v>0</v>
      </c>
      <c r="F3710" s="19" t="n">
        <v>0</v>
      </c>
      <c r="G3710" s="8" t="n">
        <f aca="false">IFERROR(INDEX('TRANS'!$B:$B,MATCH($B3710,'TRANS'!$A:$A,0)),IFERROR(INDEX('TRANS'!$B:$B,MATCH(TRIM(SUBSTITUTE($B3710,CHAR(160)," ")),'TRANS'!$D:$D,0)),IFERROR(INDEX('Catalog'!$A:$A,MATCH($B3710,'Catalog'!$B:$B,0)),IFERROR(INDEX('Catalog'!$A:$A,MATCH(TRIM(SUBSTITUTE($B3710,CHAR(160)," ")),'Catalog'!$C:$C,0)),""))))</f>
        <v>4415161</v>
      </c>
      <c r="H3710" s="8" t="str">
        <f aca="false">IFERROR(INDEX('TRANS'!$C:$C,MATCH($B3710,'TRANS'!$A:$A,0)),IFERROR(INDEX('Catalog'!$B:$B,MATCH($G3710,'Catalog'!$A:$A,0)),$B3710))</f>
        <v>238M סד ליישור אצבע</v>
      </c>
      <c r="I3710" s="8" t="str">
        <f aca="false">IF($G3710="","Unmatched","Matched")</f>
        <v>Matched</v>
      </c>
      <c r="J3710" s="8" t="n">
        <f aca="false">IF($G3710&lt;&gt;"",$G3710,$B3710)</f>
        <v>4415161</v>
      </c>
      <c r="K3710" s="8" t="str">
        <f aca="false">IF(COUNTIF($M$1:$M$10,$A3710)&gt;0,"Y","N")</f>
        <v>N</v>
      </c>
    </row>
    <row r="3711" customFormat="false" ht="15" hidden="false" customHeight="true" outlineLevel="0" collapsed="false">
      <c r="A3711" s="8" t="s">
        <v>1098</v>
      </c>
      <c r="B3711" s="8" t="s">
        <v>585</v>
      </c>
      <c r="C3711" s="19" t="n">
        <v>33</v>
      </c>
      <c r="D3711" s="19" t="n">
        <v>241.8</v>
      </c>
      <c r="E3711" s="19" t="n">
        <v>0</v>
      </c>
      <c r="F3711" s="19" t="n">
        <v>0</v>
      </c>
      <c r="G3711" s="8" t="n">
        <f aca="false">IFERROR(INDEX('TRANS'!$B:$B,MATCH($B3711,'TRANS'!$A:$A,0)),IFERROR(INDEX('TRANS'!$B:$B,MATCH(TRIM(SUBSTITUTE($B3711,CHAR(160)," ")),'TRANS'!$D:$D,0)),IFERROR(INDEX('Catalog'!$A:$A,MATCH($B3711,'Catalog'!$B:$B,0)),IFERROR(INDEX('Catalog'!$A:$A,MATCH(TRIM(SUBSTITUTE($B3711,CHAR(160)," ")),'Catalog'!$C:$C,0)),""))))</f>
        <v>4415160</v>
      </c>
      <c r="H3711" s="8" t="str">
        <f aca="false">IFERROR(INDEX('TRANS'!$C:$C,MATCH($B3711,'TRANS'!$A:$A,0)),IFERROR(INDEX('Catalog'!$B:$B,MATCH($G3711,'Catalog'!$A:$A,0)),$B3711))</f>
        <v>238S סד ליישור אצבע</v>
      </c>
      <c r="I3711" s="8" t="str">
        <f aca="false">IF($G3711="","Unmatched","Matched")</f>
        <v>Matched</v>
      </c>
      <c r="J3711" s="8" t="n">
        <f aca="false">IF($G3711&lt;&gt;"",$G3711,$B3711)</f>
        <v>4415160</v>
      </c>
      <c r="K3711" s="8" t="str">
        <f aca="false">IF(COUNTIF($M$1:$M$10,$A3711)&gt;0,"Y","N")</f>
        <v>N</v>
      </c>
    </row>
    <row r="3712" customFormat="false" ht="15" hidden="false" customHeight="true" outlineLevel="0" collapsed="false">
      <c r="A3712" s="8" t="s">
        <v>1098</v>
      </c>
      <c r="B3712" s="8" t="s">
        <v>927</v>
      </c>
      <c r="C3712" s="19" t="n">
        <v>22</v>
      </c>
      <c r="D3712" s="19" t="n">
        <v>161.23</v>
      </c>
      <c r="E3712" s="19" t="n">
        <v>0</v>
      </c>
      <c r="F3712" s="19" t="n">
        <v>0</v>
      </c>
      <c r="G3712" s="8" t="n">
        <f aca="false">IFERROR(INDEX('TRANS'!$B:$B,MATCH($B3712,'TRANS'!$A:$A,0)),IFERROR(INDEX('TRANS'!$B:$B,MATCH(TRIM(SUBSTITUTE($B3712,CHAR(160)," ")),'TRANS'!$D:$D,0)),IFERROR(INDEX('Catalog'!$A:$A,MATCH($B3712,'Catalog'!$B:$B,0)),IFERROR(INDEX('Catalog'!$A:$A,MATCH(TRIM(SUBSTITUTE($B3712,CHAR(160)," ")),'Catalog'!$C:$C,0)),""))))</f>
        <v>4415163</v>
      </c>
      <c r="H3712" s="8" t="str">
        <f aca="false">IFERROR(INDEX('TRANS'!$C:$C,MATCH($B3712,'TRANS'!$A:$A,0)),IFERROR(INDEX('Catalog'!$B:$B,MATCH($G3712,'Catalog'!$A:$A,0)),$B3712))</f>
        <v>238XL סד ליישור אצבע</v>
      </c>
      <c r="I3712" s="8" t="str">
        <f aca="false">IF($G3712="","Unmatched","Matched")</f>
        <v>Matched</v>
      </c>
      <c r="J3712" s="8" t="n">
        <f aca="false">IF($G3712&lt;&gt;"",$G3712,$B3712)</f>
        <v>4415163</v>
      </c>
      <c r="K3712" s="8" t="str">
        <f aca="false">IF(COUNTIF($M$1:$M$10,$A3712)&gt;0,"Y","N")</f>
        <v>N</v>
      </c>
    </row>
    <row r="3713" customFormat="false" ht="15" hidden="false" customHeight="true" outlineLevel="0" collapsed="false">
      <c r="A3713" s="8" t="s">
        <v>1098</v>
      </c>
      <c r="B3713" s="8" t="s">
        <v>596</v>
      </c>
      <c r="C3713" s="19" t="n">
        <v>55</v>
      </c>
      <c r="D3713" s="19" t="n">
        <v>1317.47</v>
      </c>
      <c r="E3713" s="19" t="n">
        <v>0</v>
      </c>
      <c r="F3713" s="19" t="n">
        <v>0</v>
      </c>
      <c r="G3713" s="8" t="n">
        <f aca="false">IFERROR(INDEX('TRANS'!$B:$B,MATCH($B3713,'TRANS'!$A:$A,0)),IFERROR(INDEX('TRANS'!$B:$B,MATCH(TRIM(SUBSTITUTE($B3713,CHAR(160)," ")),'TRANS'!$D:$D,0)),IFERROR(INDEX('Catalog'!$A:$A,MATCH($B3713,'Catalog'!$B:$B,0)),IFERROR(INDEX('Catalog'!$A:$A,MATCH(TRIM(SUBSTITUTE($B3713,CHAR(160)," ")),'Catalog'!$C:$C,0)),""))))</f>
        <v>4413372</v>
      </c>
      <c r="H3713" s="8" t="str">
        <f aca="false">IFERROR(INDEX('TRANS'!$C:$C,MATCH($B3713,'TRANS'!$A:$A,0)),IFERROR(INDEX('Catalog'!$B:$B,MATCH($G3713,'Catalog'!$A:$A,0)),$B3713))</f>
        <v>302 W מדרס לאישה</v>
      </c>
      <c r="I3713" s="8" t="str">
        <f aca="false">IF($G3713="","Unmatched","Matched")</f>
        <v>Matched</v>
      </c>
      <c r="J3713" s="8" t="n">
        <f aca="false">IF($G3713&lt;&gt;"",$G3713,$B3713)</f>
        <v>4413372</v>
      </c>
      <c r="K3713" s="8" t="str">
        <f aca="false">IF(COUNTIF($M$1:$M$10,$A3713)&gt;0,"Y","N")</f>
        <v>N</v>
      </c>
    </row>
    <row r="3714" customFormat="false" ht="15" hidden="false" customHeight="true" outlineLevel="0" collapsed="false">
      <c r="A3714" s="8" t="s">
        <v>1098</v>
      </c>
      <c r="B3714" s="8" t="s">
        <v>235</v>
      </c>
      <c r="C3714" s="19" t="n">
        <v>100</v>
      </c>
      <c r="D3714" s="19" t="n">
        <v>3208.35</v>
      </c>
      <c r="E3714" s="19" t="n">
        <v>0</v>
      </c>
      <c r="F3714" s="19" t="n">
        <v>0</v>
      </c>
      <c r="G3714" s="8" t="str">
        <f aca="false">IFERROR(INDEX('TRANS'!$B:$B,MATCH($B3714,'TRANS'!$A:$A,0)),IFERROR(INDEX('TRANS'!$B:$B,MATCH(TRIM(SUBSTITUTE($B3714,CHAR(160)," ")),'TRANS'!$D:$D,0)),IFERROR(INDEX('Catalog'!$A:$A,MATCH($B3714,'Catalog'!$B:$B,0)),IFERROR(INDEX('Catalog'!$A:$A,MATCH(TRIM(SUBSTITUTE($B3714,CHAR(160)," ")),'Catalog'!$C:$C,0)),""))))</f>
        <v/>
      </c>
      <c r="H3714" s="8" t="str">
        <f aca="false">IFERROR(INDEX('TRANS'!$C:$C,MATCH($B3714,'TRANS'!$A:$A,0)),IFERROR(INDEX('Catalog'!$B:$B,MATCH($G3714,'Catalog'!$A:$A,0)),$B3714))</f>
        <v>305-35-36</v>
      </c>
      <c r="I3714" s="8" t="str">
        <f aca="false">IF($G3714="","Unmatched","Matched")</f>
        <v>Unmatched</v>
      </c>
      <c r="J3714" s="8" t="str">
        <f aca="false">IF($G3714&lt;&gt;"",$G3714,$B3714)</f>
        <v>305-35-36</v>
      </c>
      <c r="K3714" s="8" t="str">
        <f aca="false">IF(COUNTIF($M$1:$M$10,$A3714)&gt;0,"Y","N")</f>
        <v>N</v>
      </c>
    </row>
    <row r="3715" customFormat="false" ht="15" hidden="false" customHeight="true" outlineLevel="0" collapsed="false">
      <c r="A3715" s="8" t="s">
        <v>1098</v>
      </c>
      <c r="B3715" s="8" t="s">
        <v>200</v>
      </c>
      <c r="C3715" s="19" t="n">
        <v>100</v>
      </c>
      <c r="D3715" s="19" t="n">
        <v>3208.35</v>
      </c>
      <c r="E3715" s="19" t="n">
        <v>0</v>
      </c>
      <c r="F3715" s="19" t="n">
        <v>0</v>
      </c>
      <c r="G3715" s="8" t="str">
        <f aca="false">IFERROR(INDEX('TRANS'!$B:$B,MATCH($B3715,'TRANS'!$A:$A,0)),IFERROR(INDEX('TRANS'!$B:$B,MATCH(TRIM(SUBSTITUTE($B3715,CHAR(160)," ")),'TRANS'!$D:$D,0)),IFERROR(INDEX('Catalog'!$A:$A,MATCH($B3715,'Catalog'!$B:$B,0)),IFERROR(INDEX('Catalog'!$A:$A,MATCH(TRIM(SUBSTITUTE($B3715,CHAR(160)," ")),'Catalog'!$C:$C,0)),""))))</f>
        <v/>
      </c>
      <c r="H3715" s="8" t="str">
        <f aca="false">IFERROR(INDEX('TRANS'!$C:$C,MATCH($B3715,'TRANS'!$A:$A,0)),IFERROR(INDEX('Catalog'!$B:$B,MATCH($G3715,'Catalog'!$A:$A,0)),$B3715))</f>
        <v>305-37-38</v>
      </c>
      <c r="I3715" s="8" t="str">
        <f aca="false">IF($G3715="","Unmatched","Matched")</f>
        <v>Unmatched</v>
      </c>
      <c r="J3715" s="8" t="str">
        <f aca="false">IF($G3715&lt;&gt;"",$G3715,$B3715)</f>
        <v>305-37-38</v>
      </c>
      <c r="K3715" s="8" t="str">
        <f aca="false">IF(COUNTIF($M$1:$M$10,$A3715)&gt;0,"Y","N")</f>
        <v>N</v>
      </c>
    </row>
    <row r="3716" customFormat="false" ht="15" hidden="false" customHeight="true" outlineLevel="0" collapsed="false">
      <c r="A3716" s="8" t="s">
        <v>1098</v>
      </c>
      <c r="B3716" s="8" t="s">
        <v>140</v>
      </c>
      <c r="C3716" s="19" t="n">
        <v>200</v>
      </c>
      <c r="D3716" s="19" t="n">
        <v>6416.69</v>
      </c>
      <c r="E3716" s="19" t="n">
        <v>0</v>
      </c>
      <c r="F3716" s="19" t="n">
        <v>0</v>
      </c>
      <c r="G3716" s="8" t="str">
        <f aca="false">IFERROR(INDEX('TRANS'!$B:$B,MATCH($B3716,'TRANS'!$A:$A,0)),IFERROR(INDEX('TRANS'!$B:$B,MATCH(TRIM(SUBSTITUTE($B3716,CHAR(160)," ")),'TRANS'!$D:$D,0)),IFERROR(INDEX('Catalog'!$A:$A,MATCH($B3716,'Catalog'!$B:$B,0)),IFERROR(INDEX('Catalog'!$A:$A,MATCH(TRIM(SUBSTITUTE($B3716,CHAR(160)," ")),'Catalog'!$C:$C,0)),""))))</f>
        <v/>
      </c>
      <c r="H3716" s="8" t="str">
        <f aca="false">IFERROR(INDEX('TRANS'!$C:$C,MATCH($B3716,'TRANS'!$A:$A,0)),IFERROR(INDEX('Catalog'!$B:$B,MATCH($G3716,'Catalog'!$A:$A,0)),$B3716))</f>
        <v>305-39-40</v>
      </c>
      <c r="I3716" s="8" t="str">
        <f aca="false">IF($G3716="","Unmatched","Matched")</f>
        <v>Unmatched</v>
      </c>
      <c r="J3716" s="8" t="str">
        <f aca="false">IF($G3716&lt;&gt;"",$G3716,$B3716)</f>
        <v>305-39-40</v>
      </c>
      <c r="K3716" s="8" t="str">
        <f aca="false">IF(COUNTIF($M$1:$M$10,$A3716)&gt;0,"Y","N")</f>
        <v>N</v>
      </c>
    </row>
    <row r="3717" customFormat="false" ht="15" hidden="false" customHeight="true" outlineLevel="0" collapsed="false">
      <c r="A3717" s="8" t="s">
        <v>1098</v>
      </c>
      <c r="B3717" s="8" t="s">
        <v>102</v>
      </c>
      <c r="C3717" s="19" t="n">
        <v>300</v>
      </c>
      <c r="D3717" s="19" t="n">
        <v>9625.04</v>
      </c>
      <c r="E3717" s="19" t="n">
        <v>0</v>
      </c>
      <c r="F3717" s="19" t="n">
        <v>0</v>
      </c>
      <c r="G3717" s="8" t="str">
        <f aca="false">IFERROR(INDEX('TRANS'!$B:$B,MATCH($B3717,'TRANS'!$A:$A,0)),IFERROR(INDEX('TRANS'!$B:$B,MATCH(TRIM(SUBSTITUTE($B3717,CHAR(160)," ")),'TRANS'!$D:$D,0)),IFERROR(INDEX('Catalog'!$A:$A,MATCH($B3717,'Catalog'!$B:$B,0)),IFERROR(INDEX('Catalog'!$A:$A,MATCH(TRIM(SUBSTITUTE($B3717,CHAR(160)," ")),'Catalog'!$C:$C,0)),""))))</f>
        <v/>
      </c>
      <c r="H3717" s="8" t="str">
        <f aca="false">IFERROR(INDEX('TRANS'!$C:$C,MATCH($B3717,'TRANS'!$A:$A,0)),IFERROR(INDEX('Catalog'!$B:$B,MATCH($G3717,'Catalog'!$A:$A,0)),$B3717))</f>
        <v>305-41-42</v>
      </c>
      <c r="I3717" s="8" t="str">
        <f aca="false">IF($G3717="","Unmatched","Matched")</f>
        <v>Unmatched</v>
      </c>
      <c r="J3717" s="8" t="str">
        <f aca="false">IF($G3717&lt;&gt;"",$G3717,$B3717)</f>
        <v>305-41-42</v>
      </c>
      <c r="K3717" s="8" t="str">
        <f aca="false">IF(COUNTIF($M$1:$M$10,$A3717)&gt;0,"Y","N")</f>
        <v>N</v>
      </c>
    </row>
    <row r="3718" customFormat="false" ht="15" hidden="false" customHeight="true" outlineLevel="0" collapsed="false">
      <c r="A3718" s="8" t="s">
        <v>1098</v>
      </c>
      <c r="B3718" s="8" t="s">
        <v>108</v>
      </c>
      <c r="C3718" s="19" t="n">
        <v>300</v>
      </c>
      <c r="D3718" s="19" t="n">
        <v>9625.03</v>
      </c>
      <c r="E3718" s="19" t="n">
        <v>0</v>
      </c>
      <c r="F3718" s="19" t="n">
        <v>0</v>
      </c>
      <c r="G3718" s="8" t="str">
        <f aca="false">IFERROR(INDEX('TRANS'!$B:$B,MATCH($B3718,'TRANS'!$A:$A,0)),IFERROR(INDEX('TRANS'!$B:$B,MATCH(TRIM(SUBSTITUTE($B3718,CHAR(160)," ")),'TRANS'!$D:$D,0)),IFERROR(INDEX('Catalog'!$A:$A,MATCH($B3718,'Catalog'!$B:$B,0)),IFERROR(INDEX('Catalog'!$A:$A,MATCH(TRIM(SUBSTITUTE($B3718,CHAR(160)," ")),'Catalog'!$C:$C,0)),""))))</f>
        <v/>
      </c>
      <c r="H3718" s="8" t="str">
        <f aca="false">IFERROR(INDEX('TRANS'!$C:$C,MATCH($B3718,'TRANS'!$A:$A,0)),IFERROR(INDEX('Catalog'!$B:$B,MATCH($G3718,'Catalog'!$A:$A,0)),$B3718))</f>
        <v>305-43-44</v>
      </c>
      <c r="I3718" s="8" t="str">
        <f aca="false">IF($G3718="","Unmatched","Matched")</f>
        <v>Unmatched</v>
      </c>
      <c r="J3718" s="8" t="str">
        <f aca="false">IF($G3718&lt;&gt;"",$G3718,$B3718)</f>
        <v>305-43-44</v>
      </c>
      <c r="K3718" s="8" t="str">
        <f aca="false">IF(COUNTIF($M$1:$M$10,$A3718)&gt;0,"Y","N")</f>
        <v>N</v>
      </c>
    </row>
    <row r="3719" customFormat="false" ht="15" hidden="false" customHeight="true" outlineLevel="0" collapsed="false">
      <c r="A3719" s="8" t="s">
        <v>1098</v>
      </c>
      <c r="B3719" s="8" t="s">
        <v>201</v>
      </c>
      <c r="C3719" s="19" t="n">
        <v>100</v>
      </c>
      <c r="D3719" s="19" t="n">
        <v>0.03</v>
      </c>
      <c r="E3719" s="19" t="n">
        <v>0</v>
      </c>
      <c r="F3719" s="19" t="n">
        <v>0</v>
      </c>
      <c r="G3719" s="8" t="str">
        <f aca="false">IFERROR(INDEX('TRANS'!$B:$B,MATCH($B3719,'TRANS'!$A:$A,0)),IFERROR(INDEX('TRANS'!$B:$B,MATCH(TRIM(SUBSTITUTE($B3719,CHAR(160)," ")),'TRANS'!$D:$D,0)),IFERROR(INDEX('Catalog'!$A:$A,MATCH($B3719,'Catalog'!$B:$B,0)),IFERROR(INDEX('Catalog'!$A:$A,MATCH(TRIM(SUBSTITUTE($B3719,CHAR(160)," ")),'Catalog'!$C:$C,0)),""))))</f>
        <v/>
      </c>
      <c r="H3719" s="8" t="str">
        <f aca="false">IFERROR(INDEX('TRANS'!$C:$C,MATCH($B3719,'TRANS'!$A:$A,0)),IFERROR(INDEX('Catalog'!$B:$B,MATCH($G3719,'Catalog'!$A:$A,0)),$B3719))</f>
        <v>305-45-46</v>
      </c>
      <c r="I3719" s="8" t="str">
        <f aca="false">IF($G3719="","Unmatched","Matched")</f>
        <v>Unmatched</v>
      </c>
      <c r="J3719" s="8" t="str">
        <f aca="false">IF($G3719&lt;&gt;"",$G3719,$B3719)</f>
        <v>305-45-46</v>
      </c>
      <c r="K3719" s="8" t="str">
        <f aca="false">IF(COUNTIF($M$1:$M$10,$A3719)&gt;0,"Y","N")</f>
        <v>N</v>
      </c>
    </row>
    <row r="3720" customFormat="false" ht="15" hidden="false" customHeight="true" outlineLevel="0" collapsed="false">
      <c r="A3720" s="8" t="s">
        <v>1098</v>
      </c>
      <c r="B3720" s="8" t="s">
        <v>601</v>
      </c>
      <c r="C3720" s="19" t="n">
        <v>10</v>
      </c>
      <c r="D3720" s="19" t="n">
        <v>244.89</v>
      </c>
      <c r="E3720" s="19" t="n">
        <v>0</v>
      </c>
      <c r="F3720" s="19" t="n">
        <v>0</v>
      </c>
      <c r="G3720" s="8" t="n">
        <f aca="false">IFERROR(INDEX('TRANS'!$B:$B,MATCH($B3720,'TRANS'!$A:$A,0)),IFERROR(INDEX('TRANS'!$B:$B,MATCH(TRIM(SUBSTITUTE($B3720,CHAR(160)," ")),'TRANS'!$D:$D,0)),IFERROR(INDEX('Catalog'!$A:$A,MATCH($B3720,'Catalog'!$B:$B,0)),IFERROR(INDEX('Catalog'!$A:$A,MATCH(TRIM(SUBSTITUTE($B3720,CHAR(160)," ")),'Catalog'!$C:$C,0)),""))))</f>
        <v>4416000</v>
      </c>
      <c r="H3720" s="8" t="str">
        <f aca="false">IFERROR(INDEX('TRANS'!$C:$C,MATCH($B3720,'TRANS'!$A:$A,0)),IFERROR(INDEX('Catalog'!$B:$B,MATCH($G3720,'Catalog'!$A:$A,0)),$B3720))</f>
        <v>307 L עקבים לדורבן-זוג כריות</v>
      </c>
      <c r="I3720" s="8" t="str">
        <f aca="false">IF($G3720="","Unmatched","Matched")</f>
        <v>Matched</v>
      </c>
      <c r="J3720" s="8" t="n">
        <f aca="false">IF($G3720&lt;&gt;"",$G3720,$B3720)</f>
        <v>4416000</v>
      </c>
      <c r="K3720" s="8" t="str">
        <f aca="false">IF(COUNTIF($M$1:$M$10,$A3720)&gt;0,"Y","N")</f>
        <v>N</v>
      </c>
    </row>
    <row r="3721" customFormat="false" ht="15" hidden="false" customHeight="true" outlineLevel="0" collapsed="false">
      <c r="A3721" s="8" t="s">
        <v>1098</v>
      </c>
      <c r="B3721" s="8" t="s">
        <v>602</v>
      </c>
      <c r="C3721" s="19" t="n">
        <v>20</v>
      </c>
      <c r="D3721" s="19" t="n">
        <v>489.77</v>
      </c>
      <c r="E3721" s="19" t="n">
        <v>0</v>
      </c>
      <c r="F3721" s="19" t="n">
        <v>0</v>
      </c>
      <c r="G3721" s="8" t="n">
        <f aca="false">IFERROR(INDEX('TRANS'!$B:$B,MATCH($B3721,'TRANS'!$A:$A,0)),IFERROR(INDEX('TRANS'!$B:$B,MATCH(TRIM(SUBSTITUTE($B3721,CHAR(160)," ")),'TRANS'!$D:$D,0)),IFERROR(INDEX('Catalog'!$A:$A,MATCH($B3721,'Catalog'!$B:$B,0)),IFERROR(INDEX('Catalog'!$A:$A,MATCH(TRIM(SUBSTITUTE($B3721,CHAR(160)," ")),'Catalog'!$C:$C,0)),""))))</f>
        <v>4416001</v>
      </c>
      <c r="H3721" s="8" t="str">
        <f aca="false">IFERROR(INDEX('TRANS'!$C:$C,MATCH($B3721,'TRANS'!$A:$A,0)),IFERROR(INDEX('Catalog'!$B:$B,MATCH($G3721,'Catalog'!$A:$A,0)),$B3721))</f>
        <v>307 M עקבים לדורבן-זוג כריות</v>
      </c>
      <c r="I3721" s="8" t="str">
        <f aca="false">IF($G3721="","Unmatched","Matched")</f>
        <v>Matched</v>
      </c>
      <c r="J3721" s="8" t="n">
        <f aca="false">IF($G3721&lt;&gt;"",$G3721,$B3721)</f>
        <v>4416001</v>
      </c>
      <c r="K3721" s="8" t="str">
        <f aca="false">IF(COUNTIF($M$1:$M$10,$A3721)&gt;0,"Y","N")</f>
        <v>N</v>
      </c>
    </row>
    <row r="3722" customFormat="false" ht="15" hidden="false" customHeight="true" outlineLevel="0" collapsed="false">
      <c r="A3722" s="8" t="s">
        <v>1098</v>
      </c>
      <c r="B3722" s="8" t="s">
        <v>960</v>
      </c>
      <c r="C3722" s="19" t="n">
        <v>20</v>
      </c>
      <c r="D3722" s="19" t="n">
        <v>489.77</v>
      </c>
      <c r="E3722" s="19" t="n">
        <v>0</v>
      </c>
      <c r="F3722" s="19" t="n">
        <v>0</v>
      </c>
      <c r="G3722" s="8" t="n">
        <f aca="false">IFERROR(INDEX('TRANS'!$B:$B,MATCH($B3722,'TRANS'!$A:$A,0)),IFERROR(INDEX('TRANS'!$B:$B,MATCH(TRIM(SUBSTITUTE($B3722,CHAR(160)," ")),'TRANS'!$D:$D,0)),IFERROR(INDEX('Catalog'!$A:$A,MATCH($B3722,'Catalog'!$B:$B,0)),IFERROR(INDEX('Catalog'!$A:$A,MATCH(TRIM(SUBSTITUTE($B3722,CHAR(160)," ")),'Catalog'!$C:$C,0)),""))))</f>
        <v>4416002</v>
      </c>
      <c r="H3722" s="8" t="str">
        <f aca="false">IFERROR(INDEX('TRANS'!$C:$C,MATCH($B3722,'TRANS'!$A:$A,0)),IFERROR(INDEX('Catalog'!$B:$B,MATCH($G3722,'Catalog'!$A:$A,0)),$B3722))</f>
        <v>307 S עקבים לדורבן-זוג כריות</v>
      </c>
      <c r="I3722" s="8" t="str">
        <f aca="false">IF($G3722="","Unmatched","Matched")</f>
        <v>Matched</v>
      </c>
      <c r="J3722" s="8" t="n">
        <f aca="false">IF($G3722&lt;&gt;"",$G3722,$B3722)</f>
        <v>4416002</v>
      </c>
      <c r="K3722" s="8" t="str">
        <f aca="false">IF(COUNTIF($M$1:$M$10,$A3722)&gt;0,"Y","N")</f>
        <v>N</v>
      </c>
    </row>
    <row r="3723" customFormat="false" ht="15" hidden="false" customHeight="true" outlineLevel="0" collapsed="false">
      <c r="A3723" s="8" t="s">
        <v>1098</v>
      </c>
      <c r="B3723" s="8" t="s">
        <v>603</v>
      </c>
      <c r="C3723" s="19" t="n">
        <v>5</v>
      </c>
      <c r="D3723" s="19" t="n">
        <v>0.03</v>
      </c>
      <c r="E3723" s="19" t="n">
        <v>0</v>
      </c>
      <c r="F3723" s="19" t="n">
        <v>0</v>
      </c>
      <c r="G3723" s="8" t="n">
        <f aca="false">IFERROR(INDEX('TRANS'!$B:$B,MATCH($B3723,'TRANS'!$A:$A,0)),IFERROR(INDEX('TRANS'!$B:$B,MATCH(TRIM(SUBSTITUTE($B3723,CHAR(160)," ")),'TRANS'!$D:$D,0)),IFERROR(INDEX('Catalog'!$A:$A,MATCH($B3723,'Catalog'!$B:$B,0)),IFERROR(INDEX('Catalog'!$A:$A,MATCH(TRIM(SUBSTITUTE($B3723,CHAR(160)," ")),'Catalog'!$C:$C,0)),""))))</f>
        <v>4411016</v>
      </c>
      <c r="H3723" s="8" t="str">
        <f aca="false">IFERROR(INDEX('TRANS'!$C:$C,MATCH($B3723,'TRANS'!$A:$A,0)),IFERROR(INDEX('Catalog'!$B:$B,MATCH($G3723,'Catalog'!$A:$A,0)),$B3723))</f>
        <v>307 XL כרית סיליקון לעקב</v>
      </c>
      <c r="I3723" s="8" t="str">
        <f aca="false">IF($G3723="","Unmatched","Matched")</f>
        <v>Matched</v>
      </c>
      <c r="J3723" s="8" t="n">
        <f aca="false">IF($G3723&lt;&gt;"",$G3723,$B3723)</f>
        <v>4411016</v>
      </c>
      <c r="K3723" s="8" t="str">
        <f aca="false">IF(COUNTIF($M$1:$M$10,$A3723)&gt;0,"Y","N")</f>
        <v>N</v>
      </c>
    </row>
    <row r="3724" customFormat="false" ht="15" hidden="false" customHeight="true" outlineLevel="0" collapsed="false">
      <c r="A3724" s="8" t="s">
        <v>1098</v>
      </c>
      <c r="B3724" s="8" t="s">
        <v>606</v>
      </c>
      <c r="C3724" s="19" t="n">
        <v>55</v>
      </c>
      <c r="D3724" s="19" t="n">
        <v>387.52</v>
      </c>
      <c r="E3724" s="19" t="n">
        <v>0</v>
      </c>
      <c r="F3724" s="19" t="n">
        <v>0</v>
      </c>
      <c r="G3724" s="8" t="n">
        <f aca="false">IFERROR(INDEX('TRANS'!$B:$B,MATCH($B3724,'TRANS'!$A:$A,0)),IFERROR(INDEX('TRANS'!$B:$B,MATCH(TRIM(SUBSTITUTE($B3724,CHAR(160)," ")),'TRANS'!$D:$D,0)),IFERROR(INDEX('Catalog'!$A:$A,MATCH($B3724,'Catalog'!$B:$B,0)),IFERROR(INDEX('Catalog'!$A:$A,MATCH(TRIM(SUBSTITUTE($B3724,CHAR(160)," ")),'Catalog'!$C:$C,0)),""))))</f>
        <v>4413034</v>
      </c>
      <c r="H3724" s="8" t="str">
        <f aca="false">IFERROR(INDEX('TRANS'!$C:$C,MATCH($B3724,'TRANS'!$A:$A,0)),IFERROR(INDEX('Catalog'!$B:$B,MATCH($G3724,'Catalog'!$A:$A,0)),$B3724))</f>
        <v>312 9 מ""""ס להתאמהX5 מדבקה גדולה</v>
      </c>
      <c r="I3724" s="8" t="str">
        <f aca="false">IF($G3724="","Unmatched","Matched")</f>
        <v>Matched</v>
      </c>
      <c r="J3724" s="8" t="n">
        <f aca="false">IF($G3724&lt;&gt;"",$G3724,$B3724)</f>
        <v>4413034</v>
      </c>
      <c r="K3724" s="8" t="str">
        <f aca="false">IF(COUNTIF($M$1:$M$10,$A3724)&gt;0,"Y","N")</f>
        <v>N</v>
      </c>
    </row>
    <row r="3725" customFormat="false" ht="15" hidden="false" customHeight="true" outlineLevel="0" collapsed="false">
      <c r="A3725" s="8" t="s">
        <v>1098</v>
      </c>
      <c r="B3725" s="8" t="s">
        <v>910</v>
      </c>
      <c r="C3725" s="19" t="n">
        <v>10</v>
      </c>
      <c r="D3725" s="19" t="n">
        <v>241.78</v>
      </c>
      <c r="E3725" s="19" t="n">
        <v>0</v>
      </c>
      <c r="F3725" s="19" t="n">
        <v>0</v>
      </c>
      <c r="G3725" s="8" t="n">
        <f aca="false">IFERROR(INDEX('TRANS'!$B:$B,MATCH($B3725,'TRANS'!$A:$A,0)),IFERROR(INDEX('TRANS'!$B:$B,MATCH(TRIM(SUBSTITUTE($B3725,CHAR(160)," ")),'TRANS'!$D:$D,0)),IFERROR(INDEX('Catalog'!$A:$A,MATCH($B3725,'Catalog'!$B:$B,0)),IFERROR(INDEX('Catalog'!$A:$A,MATCH(TRIM(SUBSTITUTE($B3725,CHAR(160)," ")),'Catalog'!$C:$C,0)),""))))</f>
        <v>4413043</v>
      </c>
      <c r="H3725" s="8" t="str">
        <f aca="false">IFERROR(INDEX('TRANS'!$C:$C,MATCH($B3725,'TRANS'!$A:$A,0)),IFERROR(INDEX('Catalog'!$B:$B,MATCH($G3725,'Catalog'!$A:$A,0)),$B3725))</f>
        <v>34  L מגן קרסול עקב סגור</v>
      </c>
      <c r="I3725" s="8" t="str">
        <f aca="false">IF($G3725="","Unmatched","Matched")</f>
        <v>Matched</v>
      </c>
      <c r="J3725" s="8" t="n">
        <f aca="false">IF($G3725&lt;&gt;"",$G3725,$B3725)</f>
        <v>4413043</v>
      </c>
      <c r="K3725" s="8" t="str">
        <f aca="false">IF(COUNTIF($M$1:$M$10,$A3725)&gt;0,"Y","N")</f>
        <v>N</v>
      </c>
    </row>
    <row r="3726" customFormat="false" ht="15" hidden="false" customHeight="true" outlineLevel="0" collapsed="false">
      <c r="A3726" s="8" t="s">
        <v>1098</v>
      </c>
      <c r="B3726" s="8" t="s">
        <v>915</v>
      </c>
      <c r="C3726" s="19" t="n">
        <v>20</v>
      </c>
      <c r="D3726" s="19" t="n">
        <v>483.58</v>
      </c>
      <c r="E3726" s="19" t="n">
        <v>0</v>
      </c>
      <c r="F3726" s="19" t="n">
        <v>0</v>
      </c>
      <c r="G3726" s="8" t="n">
        <f aca="false">IFERROR(INDEX('TRANS'!$B:$B,MATCH($B3726,'TRANS'!$A:$A,0)),IFERROR(INDEX('TRANS'!$B:$B,MATCH(TRIM(SUBSTITUTE($B3726,CHAR(160)," ")),'TRANS'!$D:$D,0)),IFERROR(INDEX('Catalog'!$A:$A,MATCH($B3726,'Catalog'!$B:$B,0)),IFERROR(INDEX('Catalog'!$A:$A,MATCH(TRIM(SUBSTITUTE($B3726,CHAR(160)," ")),'Catalog'!$C:$C,0)),""))))</f>
        <v>4413041</v>
      </c>
      <c r="H3726" s="8" t="str">
        <f aca="false">IFERROR(INDEX('TRANS'!$C:$C,MATCH($B3726,'TRANS'!$A:$A,0)),IFERROR(INDEX('Catalog'!$B:$B,MATCH($G3726,'Catalog'!$A:$A,0)),$B3726))</f>
        <v>34  M מגן קרסול עקב סגור</v>
      </c>
      <c r="I3726" s="8" t="str">
        <f aca="false">IF($G3726="","Unmatched","Matched")</f>
        <v>Matched</v>
      </c>
      <c r="J3726" s="8" t="n">
        <f aca="false">IF($G3726&lt;&gt;"",$G3726,$B3726)</f>
        <v>4413041</v>
      </c>
      <c r="K3726" s="8" t="str">
        <f aca="false">IF(COUNTIF($M$1:$M$10,$A3726)&gt;0,"Y","N")</f>
        <v>N</v>
      </c>
    </row>
    <row r="3727" customFormat="false" ht="15" hidden="false" customHeight="true" outlineLevel="0" collapsed="false">
      <c r="A3727" s="8" t="s">
        <v>1098</v>
      </c>
      <c r="B3727" s="8" t="s">
        <v>984</v>
      </c>
      <c r="C3727" s="19" t="n">
        <v>10</v>
      </c>
      <c r="D3727" s="19" t="n">
        <v>241.78</v>
      </c>
      <c r="E3727" s="19" t="n">
        <v>0</v>
      </c>
      <c r="F3727" s="19" t="n">
        <v>0</v>
      </c>
      <c r="G3727" s="8" t="n">
        <f aca="false">IFERROR(INDEX('TRANS'!$B:$B,MATCH($B3727,'TRANS'!$A:$A,0)),IFERROR(INDEX('TRANS'!$B:$B,MATCH(TRIM(SUBSTITUTE($B3727,CHAR(160)," ")),'TRANS'!$D:$D,0)),IFERROR(INDEX('Catalog'!$A:$A,MATCH($B3727,'Catalog'!$B:$B,0)),IFERROR(INDEX('Catalog'!$A:$A,MATCH(TRIM(SUBSTITUTE($B3727,CHAR(160)," ")),'Catalog'!$C:$C,0)),""))))</f>
        <v>4413042</v>
      </c>
      <c r="H3727" s="8" t="str">
        <f aca="false">IFERROR(INDEX('TRANS'!$C:$C,MATCH($B3727,'TRANS'!$A:$A,0)),IFERROR(INDEX('Catalog'!$B:$B,MATCH($G3727,'Catalog'!$A:$A,0)),$B3727))</f>
        <v>34  S מגן קרסול עקב סגור</v>
      </c>
      <c r="I3727" s="8" t="str">
        <f aca="false">IF($G3727="","Unmatched","Matched")</f>
        <v>Matched</v>
      </c>
      <c r="J3727" s="8" t="n">
        <f aca="false">IF($G3727&lt;&gt;"",$G3727,$B3727)</f>
        <v>4413042</v>
      </c>
      <c r="K3727" s="8" t="str">
        <f aca="false">IF(COUNTIF($M$1:$M$10,$A3727)&gt;0,"Y","N")</f>
        <v>N</v>
      </c>
    </row>
    <row r="3728" customFormat="false" ht="15" hidden="false" customHeight="true" outlineLevel="0" collapsed="false">
      <c r="A3728" s="8" t="s">
        <v>1098</v>
      </c>
      <c r="B3728" s="8" t="s">
        <v>916</v>
      </c>
      <c r="C3728" s="19" t="n">
        <v>10</v>
      </c>
      <c r="D3728" s="19" t="n">
        <v>241.78</v>
      </c>
      <c r="E3728" s="19" t="n">
        <v>0</v>
      </c>
      <c r="F3728" s="19" t="n">
        <v>0</v>
      </c>
      <c r="G3728" s="8" t="n">
        <f aca="false">IFERROR(INDEX('TRANS'!$B:$B,MATCH($B3728,'TRANS'!$A:$A,0)),IFERROR(INDEX('TRANS'!$B:$B,MATCH(TRIM(SUBSTITUTE($B3728,CHAR(160)," ")),'TRANS'!$D:$D,0)),IFERROR(INDEX('Catalog'!$A:$A,MATCH($B3728,'Catalog'!$B:$B,0)),IFERROR(INDEX('Catalog'!$A:$A,MATCH(TRIM(SUBSTITUTE($B3728,CHAR(160)," ")),'Catalog'!$C:$C,0)),""))))</f>
        <v>4413044</v>
      </c>
      <c r="H3728" s="8" t="str">
        <f aca="false">IFERROR(INDEX('TRANS'!$C:$C,MATCH($B3728,'TRANS'!$A:$A,0)),IFERROR(INDEX('Catalog'!$B:$B,MATCH($G3728,'Catalog'!$A:$A,0)),$B3728))</f>
        <v>34 XL מגן קרסול עקב סגור</v>
      </c>
      <c r="I3728" s="8" t="str">
        <f aca="false">IF($G3728="","Unmatched","Matched")</f>
        <v>Matched</v>
      </c>
      <c r="J3728" s="8" t="n">
        <f aca="false">IF($G3728&lt;&gt;"",$G3728,$B3728)</f>
        <v>4413044</v>
      </c>
      <c r="K3728" s="8" t="str">
        <f aca="false">IF(COUNTIF($M$1:$M$10,$A3728)&gt;0,"Y","N")</f>
        <v>N</v>
      </c>
    </row>
    <row r="3729" customFormat="false" ht="15" hidden="false" customHeight="true" outlineLevel="0" collapsed="false">
      <c r="A3729" s="8" t="s">
        <v>1098</v>
      </c>
      <c r="B3729" s="8" t="s">
        <v>985</v>
      </c>
      <c r="C3729" s="19" t="n">
        <v>5</v>
      </c>
      <c r="D3729" s="19" t="n">
        <v>0.03</v>
      </c>
      <c r="E3729" s="19" t="n">
        <v>0</v>
      </c>
      <c r="F3729" s="19" t="n">
        <v>0</v>
      </c>
      <c r="G3729" s="8" t="n">
        <f aca="false">IFERROR(INDEX('TRANS'!$B:$B,MATCH($B3729,'TRANS'!$A:$A,0)),IFERROR(INDEX('TRANS'!$B:$B,MATCH(TRIM(SUBSTITUTE($B3729,CHAR(160)," ")),'TRANS'!$D:$D,0)),IFERROR(INDEX('Catalog'!$A:$A,MATCH($B3729,'Catalog'!$B:$B,0)),IFERROR(INDEX('Catalog'!$A:$A,MATCH(TRIM(SUBSTITUTE($B3729,CHAR(160)," ")),'Catalog'!$C:$C,0)),""))))</f>
        <v>4413046</v>
      </c>
      <c r="H3729" s="8" t="str">
        <f aca="false">IFERROR(INDEX('TRANS'!$C:$C,MATCH($B3729,'TRANS'!$A:$A,0)),IFERROR(INDEX('Catalog'!$B:$B,MATCH($G3729,'Catalog'!$A:$A,0)),$B3729))</f>
        <v>34 XXL מגן קרסול עקב סגור</v>
      </c>
      <c r="I3729" s="8" t="str">
        <f aca="false">IF($G3729="","Unmatched","Matched")</f>
        <v>Matched</v>
      </c>
      <c r="J3729" s="8" t="n">
        <f aca="false">IF($G3729&lt;&gt;"",$G3729,$B3729)</f>
        <v>4413046</v>
      </c>
      <c r="K3729" s="8" t="str">
        <f aca="false">IF(COUNTIF($M$1:$M$10,$A3729)&gt;0,"Y","N")</f>
        <v>N</v>
      </c>
    </row>
    <row r="3730" customFormat="false" ht="15" hidden="false" customHeight="true" outlineLevel="0" collapsed="false">
      <c r="A3730" s="8" t="s">
        <v>1098</v>
      </c>
      <c r="B3730" s="8" t="s">
        <v>611</v>
      </c>
      <c r="C3730" s="19" t="n">
        <v>20</v>
      </c>
      <c r="D3730" s="19" t="n">
        <v>647.87</v>
      </c>
      <c r="E3730" s="19" t="n">
        <v>0</v>
      </c>
      <c r="F3730" s="19" t="n">
        <v>0</v>
      </c>
      <c r="G3730" s="8" t="n">
        <f aca="false">IFERROR(INDEX('TRANS'!$B:$B,MATCH($B3730,'TRANS'!$A:$A,0)),IFERROR(INDEX('TRANS'!$B:$B,MATCH(TRIM(SUBSTITUTE($B3730,CHAR(160)," ")),'TRANS'!$D:$D,0)),IFERROR(INDEX('Catalog'!$A:$A,MATCH($B3730,'Catalog'!$B:$B,0)),IFERROR(INDEX('Catalog'!$A:$A,MATCH(TRIM(SUBSTITUTE($B3730,CHAR(160)," ")),'Catalog'!$C:$C,0)),""))))</f>
        <v>4413161</v>
      </c>
      <c r="H3730" s="8" t="str">
        <f aca="false">IFERROR(INDEX('TRANS'!$C:$C,MATCH($B3730,'TRANS'!$A:$A,0)),IFERROR(INDEX('Catalog'!$B:$B,MATCH($G3730,'Catalog'!$A:$A,0)),$B3730))</f>
        <v>34+ L מגן קרסול עקב סגור+רצוע</v>
      </c>
      <c r="I3730" s="8" t="str">
        <f aca="false">IF($G3730="","Unmatched","Matched")</f>
        <v>Matched</v>
      </c>
      <c r="J3730" s="8" t="n">
        <f aca="false">IF($G3730&lt;&gt;"",$G3730,$B3730)</f>
        <v>4413161</v>
      </c>
      <c r="K3730" s="8" t="str">
        <f aca="false">IF(COUNTIF($M$1:$M$10,$A3730)&gt;0,"Y","N")</f>
        <v>N</v>
      </c>
    </row>
    <row r="3731" customFormat="false" ht="15" hidden="false" customHeight="true" outlineLevel="0" collapsed="false">
      <c r="A3731" s="8" t="s">
        <v>1098</v>
      </c>
      <c r="B3731" s="8" t="s">
        <v>790</v>
      </c>
      <c r="C3731" s="19" t="n">
        <v>20</v>
      </c>
      <c r="D3731" s="19" t="n">
        <v>647.87</v>
      </c>
      <c r="E3731" s="19" t="n">
        <v>0</v>
      </c>
      <c r="F3731" s="19" t="n">
        <v>0</v>
      </c>
      <c r="G3731" s="8" t="n">
        <f aca="false">IFERROR(INDEX('TRANS'!$B:$B,MATCH($B3731,'TRANS'!$A:$A,0)),IFERROR(INDEX('TRANS'!$B:$B,MATCH(TRIM(SUBSTITUTE($B3731,CHAR(160)," ")),'TRANS'!$D:$D,0)),IFERROR(INDEX('Catalog'!$A:$A,MATCH($B3731,'Catalog'!$B:$B,0)),IFERROR(INDEX('Catalog'!$A:$A,MATCH(TRIM(SUBSTITUTE($B3731,CHAR(160)," ")),'Catalog'!$C:$C,0)),""))))</f>
        <v>4413160</v>
      </c>
      <c r="H3731" s="8" t="str">
        <f aca="false">IFERROR(INDEX('TRANS'!$C:$C,MATCH($B3731,'TRANS'!$A:$A,0)),IFERROR(INDEX('Catalog'!$B:$B,MATCH($G3731,'Catalog'!$A:$A,0)),$B3731))</f>
        <v>34+ M מגן קרסול עקב סגור+רצוע</v>
      </c>
      <c r="I3731" s="8" t="str">
        <f aca="false">IF($G3731="","Unmatched","Matched")</f>
        <v>Matched</v>
      </c>
      <c r="J3731" s="8" t="n">
        <f aca="false">IF($G3731&lt;&gt;"",$G3731,$B3731)</f>
        <v>4413160</v>
      </c>
      <c r="K3731" s="8" t="str">
        <f aca="false">IF(COUNTIF($M$1:$M$10,$A3731)&gt;0,"Y","N")</f>
        <v>N</v>
      </c>
    </row>
    <row r="3732" customFormat="false" ht="15" hidden="false" customHeight="true" outlineLevel="0" collapsed="false">
      <c r="A3732" s="8" t="s">
        <v>1098</v>
      </c>
      <c r="B3732" s="8" t="s">
        <v>942</v>
      </c>
      <c r="C3732" s="19" t="n">
        <v>5</v>
      </c>
      <c r="D3732" s="19" t="n">
        <v>0.03</v>
      </c>
      <c r="E3732" s="19" t="n">
        <v>0</v>
      </c>
      <c r="F3732" s="19" t="n">
        <v>0</v>
      </c>
      <c r="G3732" s="8" t="n">
        <f aca="false">IFERROR(INDEX('TRANS'!$B:$B,MATCH($B3732,'TRANS'!$A:$A,0)),IFERROR(INDEX('TRANS'!$B:$B,MATCH(TRIM(SUBSTITUTE($B3732,CHAR(160)," ")),'TRANS'!$D:$D,0)),IFERROR(INDEX('Catalog'!$A:$A,MATCH($B3732,'Catalog'!$B:$B,0)),IFERROR(INDEX('Catalog'!$A:$A,MATCH(TRIM(SUBSTITUTE($B3732,CHAR(160)," ")),'Catalog'!$C:$C,0)),""))))</f>
        <v>4413159</v>
      </c>
      <c r="H3732" s="8" t="str">
        <f aca="false">IFERROR(INDEX('TRANS'!$C:$C,MATCH($B3732,'TRANS'!$A:$A,0)),IFERROR(INDEX('Catalog'!$B:$B,MATCH($G3732,'Catalog'!$A:$A,0)),$B3732))</f>
        <v>34+ S מגן קרסול עקב סגור+רצוע</v>
      </c>
      <c r="I3732" s="8" t="str">
        <f aca="false">IF($G3732="","Unmatched","Matched")</f>
        <v>Matched</v>
      </c>
      <c r="J3732" s="8" t="n">
        <f aca="false">IF($G3732&lt;&gt;"",$G3732,$B3732)</f>
        <v>4413159</v>
      </c>
      <c r="K3732" s="8" t="str">
        <f aca="false">IF(COUNTIF($M$1:$M$10,$A3732)&gt;0,"Y","N")</f>
        <v>N</v>
      </c>
    </row>
    <row r="3733" customFormat="false" ht="15" hidden="false" customHeight="true" outlineLevel="0" collapsed="false">
      <c r="A3733" s="8" t="s">
        <v>1098</v>
      </c>
      <c r="B3733" s="8" t="s">
        <v>612</v>
      </c>
      <c r="C3733" s="19" t="n">
        <v>5</v>
      </c>
      <c r="D3733" s="19" t="n">
        <v>161.97</v>
      </c>
      <c r="E3733" s="19" t="n">
        <v>0</v>
      </c>
      <c r="F3733" s="19" t="n">
        <v>0</v>
      </c>
      <c r="G3733" s="8" t="n">
        <f aca="false">IFERROR(INDEX('TRANS'!$B:$B,MATCH($B3733,'TRANS'!$A:$A,0)),IFERROR(INDEX('TRANS'!$B:$B,MATCH(TRIM(SUBSTITUTE($B3733,CHAR(160)," ")),'TRANS'!$D:$D,0)),IFERROR(INDEX('Catalog'!$A:$A,MATCH($B3733,'Catalog'!$B:$B,0)),IFERROR(INDEX('Catalog'!$A:$A,MATCH(TRIM(SUBSTITUTE($B3733,CHAR(160)," ")),'Catalog'!$C:$C,0)),""))))</f>
        <v>4413162</v>
      </c>
      <c r="H3733" s="8" t="str">
        <f aca="false">IFERROR(INDEX('TRANS'!$C:$C,MATCH($B3733,'TRANS'!$A:$A,0)),IFERROR(INDEX('Catalog'!$B:$B,MATCH($G3733,'Catalog'!$A:$A,0)),$B3733))</f>
        <v>34+XL מגן קרסול עקב סגור+רצוע</v>
      </c>
      <c r="I3733" s="8" t="str">
        <f aca="false">IF($G3733="","Unmatched","Matched")</f>
        <v>Matched</v>
      </c>
      <c r="J3733" s="8" t="n">
        <f aca="false">IF($G3733&lt;&gt;"",$G3733,$B3733)</f>
        <v>4413162</v>
      </c>
      <c r="K3733" s="8" t="str">
        <f aca="false">IF(COUNTIF($M$1:$M$10,$A3733)&gt;0,"Y","N")</f>
        <v>N</v>
      </c>
    </row>
    <row r="3734" customFormat="false" ht="15" hidden="false" customHeight="true" outlineLevel="0" collapsed="false">
      <c r="A3734" s="8" t="s">
        <v>1098</v>
      </c>
      <c r="B3734" s="8" t="s">
        <v>943</v>
      </c>
      <c r="C3734" s="19" t="n">
        <v>5</v>
      </c>
      <c r="D3734" s="19" t="n">
        <v>161.97</v>
      </c>
      <c r="E3734" s="19" t="n">
        <v>0</v>
      </c>
      <c r="F3734" s="19" t="n">
        <v>0</v>
      </c>
      <c r="G3734" s="8" t="n">
        <f aca="false">IFERROR(INDEX('TRANS'!$B:$B,MATCH($B3734,'TRANS'!$A:$A,0)),IFERROR(INDEX('TRANS'!$B:$B,MATCH(TRIM(SUBSTITUTE($B3734,CHAR(160)," ")),'TRANS'!$D:$D,0)),IFERROR(INDEX('Catalog'!$A:$A,MATCH($B3734,'Catalog'!$B:$B,0)),IFERROR(INDEX('Catalog'!$A:$A,MATCH(TRIM(SUBSTITUTE($B3734,CHAR(160)," ")),'Catalog'!$C:$C,0)),""))))</f>
        <v>4413303</v>
      </c>
      <c r="H3734" s="8" t="str">
        <f aca="false">IFERROR(INDEX('TRANS'!$C:$C,MATCH($B3734,'TRANS'!$A:$A,0)),IFERROR(INDEX('Catalog'!$B:$B,MATCH($G3734,'Catalog'!$A:$A,0)),$B3734))</f>
        <v>34+XXL מ.קרסול+עכב סגור+רצועות</v>
      </c>
      <c r="I3734" s="8" t="str">
        <f aca="false">IF($G3734="","Unmatched","Matched")</f>
        <v>Matched</v>
      </c>
      <c r="J3734" s="8" t="n">
        <f aca="false">IF($G3734&lt;&gt;"",$G3734,$B3734)</f>
        <v>4413303</v>
      </c>
      <c r="K3734" s="8" t="str">
        <f aca="false">IF(COUNTIF($M$1:$M$10,$A3734)&gt;0,"Y","N")</f>
        <v>N</v>
      </c>
    </row>
    <row r="3735" customFormat="false" ht="15" hidden="false" customHeight="true" outlineLevel="0" collapsed="false">
      <c r="A3735" s="8" t="s">
        <v>1098</v>
      </c>
      <c r="B3735" s="8" t="s">
        <v>625</v>
      </c>
      <c r="C3735" s="19" t="n">
        <v>55</v>
      </c>
      <c r="D3735" s="19" t="n">
        <v>1450.76</v>
      </c>
      <c r="E3735" s="19" t="n">
        <v>0</v>
      </c>
      <c r="F3735" s="19" t="n">
        <v>0</v>
      </c>
      <c r="G3735" s="8" t="n">
        <f aca="false">IFERROR(INDEX('TRANS'!$B:$B,MATCH($B3735,'TRANS'!$A:$A,0)),IFERROR(INDEX('TRANS'!$B:$B,MATCH(TRIM(SUBSTITUTE($B3735,CHAR(160)," ")),'TRANS'!$D:$D,0)),IFERROR(INDEX('Catalog'!$A:$A,MATCH($B3735,'Catalog'!$B:$B,0)),IFERROR(INDEX('Catalog'!$A:$A,MATCH(TRIM(SUBSTITUTE($B3735,CHAR(160)," ")),'Catalog'!$C:$C,0)),""))))</f>
        <v>4421001</v>
      </c>
      <c r="H3735" s="8" t="str">
        <f aca="false">IFERROR(INDEX('TRANS'!$C:$C,MATCH($B3735,'TRANS'!$A:$A,0)),IFERROR(INDEX('Catalog'!$B:$B,MATCH($G3735,'Catalog'!$A:$A,0)),$B3735))</f>
        <v>3611 שרוול מטטרזלי מסיליקון</v>
      </c>
      <c r="I3735" s="8" t="str">
        <f aca="false">IF($G3735="","Unmatched","Matched")</f>
        <v>Matched</v>
      </c>
      <c r="J3735" s="8" t="n">
        <f aca="false">IF($G3735&lt;&gt;"",$G3735,$B3735)</f>
        <v>4421001</v>
      </c>
      <c r="K3735" s="8" t="str">
        <f aca="false">IF(COUNTIF($M$1:$M$10,$A3735)&gt;0,"Y","N")</f>
        <v>N</v>
      </c>
    </row>
    <row r="3736" customFormat="false" ht="15" hidden="false" customHeight="true" outlineLevel="0" collapsed="false">
      <c r="A3736" s="8" t="s">
        <v>1098</v>
      </c>
      <c r="B3736" s="8" t="s">
        <v>631</v>
      </c>
      <c r="C3736" s="19" t="n">
        <v>55</v>
      </c>
      <c r="D3736" s="19" t="n">
        <v>248.02</v>
      </c>
      <c r="E3736" s="19" t="n">
        <v>0</v>
      </c>
      <c r="F3736" s="19" t="n">
        <v>0</v>
      </c>
      <c r="G3736" s="8" t="n">
        <f aca="false">IFERROR(INDEX('TRANS'!$B:$B,MATCH($B3736,'TRANS'!$A:$A,0)),IFERROR(INDEX('TRANS'!$B:$B,MATCH(TRIM(SUBSTITUTE($B3736,CHAR(160)," ")),'TRANS'!$D:$D,0)),IFERROR(INDEX('Catalog'!$A:$A,MATCH($B3736,'Catalog'!$B:$B,0)),IFERROR(INDEX('Catalog'!$A:$A,MATCH(TRIM(SUBSTITUTE($B3736,CHAR(160)," ")),'Catalog'!$C:$C,0)),""))))</f>
        <v>4413061</v>
      </c>
      <c r="H3736" s="8" t="str">
        <f aca="false">IFERROR(INDEX('TRANS'!$C:$C,MATCH($B3736,'TRANS'!$A:$A,0)),IFERROR(INDEX('Catalog'!$B:$B,MATCH($G3736,'Catalog'!$A:$A,0)),$B3736))</f>
        <v>3641-מיישר בוהן סיליקון קשיח</v>
      </c>
      <c r="I3736" s="8" t="str">
        <f aca="false">IF($G3736="","Unmatched","Matched")</f>
        <v>Matched</v>
      </c>
      <c r="J3736" s="8" t="n">
        <f aca="false">IF($G3736&lt;&gt;"",$G3736,$B3736)</f>
        <v>4413061</v>
      </c>
      <c r="K3736" s="8" t="str">
        <f aca="false">IF(COUNTIF($M$1:$M$10,$A3736)&gt;0,"Y","N")</f>
        <v>N</v>
      </c>
    </row>
    <row r="3737" customFormat="false" ht="15" hidden="false" customHeight="true" outlineLevel="0" collapsed="false">
      <c r="A3737" s="8" t="s">
        <v>1098</v>
      </c>
      <c r="B3737" s="8" t="s">
        <v>633</v>
      </c>
      <c r="C3737" s="19" t="n">
        <v>55</v>
      </c>
      <c r="D3737" s="19" t="n">
        <v>403.01</v>
      </c>
      <c r="E3737" s="19" t="n">
        <v>0</v>
      </c>
      <c r="F3737" s="19" t="n">
        <v>0</v>
      </c>
      <c r="G3737" s="8" t="n">
        <f aca="false">IFERROR(INDEX('TRANS'!$B:$B,MATCH($B3737,'TRANS'!$A:$A,0)),IFERROR(INDEX('TRANS'!$B:$B,MATCH(TRIM(SUBSTITUTE($B3737,CHAR(160)," ")),'TRANS'!$D:$D,0)),IFERROR(INDEX('Catalog'!$A:$A,MATCH($B3737,'Catalog'!$B:$B,0)),IFERROR(INDEX('Catalog'!$A:$A,MATCH(TRIM(SUBSTITUTE($B3737,CHAR(160)," ")),'Catalog'!$C:$C,0)),""))))</f>
        <v>4421000</v>
      </c>
      <c r="H3737" s="8" t="str">
        <f aca="false">IFERROR(INDEX('TRANS'!$C:$C,MATCH($B3737,'TRANS'!$A:$A,0)),IFERROR(INDEX('Catalog'!$B:$B,MATCH($G3737,'Catalog'!$A:$A,0)),$B3737))</f>
        <v>3655 שרוול מסיליקון לאצבע</v>
      </c>
      <c r="I3737" s="8" t="str">
        <f aca="false">IF($G3737="","Unmatched","Matched")</f>
        <v>Matched</v>
      </c>
      <c r="J3737" s="8" t="n">
        <f aca="false">IF($G3737&lt;&gt;"",$G3737,$B3737)</f>
        <v>4421000</v>
      </c>
      <c r="K3737" s="8" t="str">
        <f aca="false">IF(COUNTIF($M$1:$M$10,$A3737)&gt;0,"Y","N")</f>
        <v>N</v>
      </c>
    </row>
    <row r="3738" customFormat="false" ht="15" hidden="false" customHeight="true" outlineLevel="0" collapsed="false">
      <c r="A3738" s="8" t="s">
        <v>1098</v>
      </c>
      <c r="B3738" s="8" t="s">
        <v>638</v>
      </c>
      <c r="C3738" s="19" t="n">
        <v>55</v>
      </c>
      <c r="D3738" s="19" t="n">
        <v>805.99</v>
      </c>
      <c r="E3738" s="19" t="n">
        <v>0</v>
      </c>
      <c r="F3738" s="19" t="n">
        <v>0</v>
      </c>
      <c r="G3738" s="8" t="n">
        <f aca="false">IFERROR(INDEX('TRANS'!$B:$B,MATCH($B3738,'TRANS'!$A:$A,0)),IFERROR(INDEX('TRANS'!$B:$B,MATCH(TRIM(SUBSTITUTE($B3738,CHAR(160)," ")),'TRANS'!$D:$D,0)),IFERROR(INDEX('Catalog'!$A:$A,MATCH($B3738,'Catalog'!$B:$B,0)),IFERROR(INDEX('Catalog'!$A:$A,MATCH(TRIM(SUBSTITUTE($B3738,CHAR(160)," ")),'Catalog'!$C:$C,0)),""))))</f>
        <v>4413370</v>
      </c>
      <c r="H3738" s="8" t="str">
        <f aca="false">IFERROR(INDEX('TRANS'!$C:$C,MATCH($B3738,'TRANS'!$A:$A,0)),IFERROR(INDEX('Catalog'!$B:$B,MATCH($G3738,'Catalog'!$A:$A,0)),$B3738))</f>
        <v>3674 0 מ.בוניון+מפריד אצבע</v>
      </c>
      <c r="I3738" s="8" t="str">
        <f aca="false">IF($G3738="","Unmatched","Matched")</f>
        <v>Matched</v>
      </c>
      <c r="J3738" s="8" t="n">
        <f aca="false">IF($G3738&lt;&gt;"",$G3738,$B3738)</f>
        <v>4413370</v>
      </c>
      <c r="K3738" s="8" t="str">
        <f aca="false">IF(COUNTIF($M$1:$M$10,$A3738)&gt;0,"Y","N")</f>
        <v>N</v>
      </c>
    </row>
    <row r="3739" customFormat="false" ht="15" hidden="false" customHeight="true" outlineLevel="0" collapsed="false">
      <c r="A3739" s="8" t="s">
        <v>1098</v>
      </c>
      <c r="B3739" s="8" t="s">
        <v>642</v>
      </c>
      <c r="C3739" s="19" t="n">
        <v>55</v>
      </c>
      <c r="D3739" s="19" t="n">
        <v>279.02</v>
      </c>
      <c r="E3739" s="19" t="n">
        <v>0</v>
      </c>
      <c r="F3739" s="19" t="n">
        <v>0</v>
      </c>
      <c r="G3739" s="8" t="n">
        <f aca="false">IFERROR(INDEX('TRANS'!$B:$B,MATCH($B3739,'TRANS'!$A:$A,0)),IFERROR(INDEX('TRANS'!$B:$B,MATCH(TRIM(SUBSTITUTE($B3739,CHAR(160)," ")),'TRANS'!$D:$D,0)),IFERROR(INDEX('Catalog'!$A:$A,MATCH($B3739,'Catalog'!$B:$B,0)),IFERROR(INDEX('Catalog'!$A:$A,MATCH(TRIM(SUBSTITUTE($B3739,CHAR(160)," ")),'Catalog'!$C:$C,0)),""))))</f>
        <v>4420000</v>
      </c>
      <c r="H3739" s="8" t="str">
        <f aca="false">IFERROR(INDEX('TRANS'!$C:$C,MATCH($B3739,'TRANS'!$A:$A,0)),IFERROR(INDEX('Catalog'!$B:$B,MATCH($G3739,'Catalog'!$A:$A,0)),$B3739))</f>
        <v>370  רפידת נוחות-זוג</v>
      </c>
      <c r="I3739" s="8" t="str">
        <f aca="false">IF($G3739="","Unmatched","Matched")</f>
        <v>Matched</v>
      </c>
      <c r="J3739" s="8" t="n">
        <f aca="false">IF($G3739&lt;&gt;"",$G3739,$B3739)</f>
        <v>4420000</v>
      </c>
      <c r="K3739" s="8" t="str">
        <f aca="false">IF(COUNTIF($M$1:$M$10,$A3739)&gt;0,"Y","N")</f>
        <v>N</v>
      </c>
    </row>
    <row r="3740" customFormat="false" ht="15" hidden="false" customHeight="true" outlineLevel="0" collapsed="false">
      <c r="A3740" s="8" t="s">
        <v>1098</v>
      </c>
      <c r="B3740" s="8" t="s">
        <v>646</v>
      </c>
      <c r="C3740" s="19" t="n">
        <v>55</v>
      </c>
      <c r="D3740" s="19" t="n">
        <v>379.76</v>
      </c>
      <c r="E3740" s="19" t="n">
        <v>0</v>
      </c>
      <c r="F3740" s="19" t="n">
        <v>0</v>
      </c>
      <c r="G3740" s="8" t="n">
        <f aca="false">IFERROR(INDEX('TRANS'!$B:$B,MATCH($B3740,'TRANS'!$A:$A,0)),IFERROR(INDEX('TRANS'!$B:$B,MATCH(TRIM(SUBSTITUTE($B3740,CHAR(160)," ")),'TRANS'!$D:$D,0)),IFERROR(INDEX('Catalog'!$A:$A,MATCH($B3740,'Catalog'!$B:$B,0)),IFERROR(INDEX('Catalog'!$A:$A,MATCH(TRIM(SUBSTITUTE($B3740,CHAR(160)," ")),'Catalog'!$C:$C,0)),""))))</f>
        <v>4420003</v>
      </c>
      <c r="H3740" s="8" t="str">
        <f aca="false">IFERROR(INDEX('TRANS'!$C:$C,MATCH($B3740,'TRANS'!$A:$A,0)),IFERROR(INDEX('Catalog'!$B:$B,MATCH($G3740,'Catalog'!$A:$A,0)),$B3740))</f>
        <v>374 רפידת בולמת זעזועים -זוג</v>
      </c>
      <c r="I3740" s="8" t="str">
        <f aca="false">IF($G3740="","Unmatched","Matched")</f>
        <v>Matched</v>
      </c>
      <c r="J3740" s="8" t="n">
        <f aca="false">IF($G3740&lt;&gt;"",$G3740,$B3740)</f>
        <v>4420003</v>
      </c>
      <c r="K3740" s="8" t="str">
        <f aca="false">IF(COUNTIF($M$1:$M$10,$A3740)&gt;0,"Y","N")</f>
        <v>N</v>
      </c>
    </row>
    <row r="3741" customFormat="false" ht="15" hidden="false" customHeight="true" outlineLevel="0" collapsed="false">
      <c r="A3741" s="8" t="s">
        <v>1098</v>
      </c>
      <c r="B3741" s="8" t="s">
        <v>804</v>
      </c>
      <c r="C3741" s="19" t="n">
        <v>20</v>
      </c>
      <c r="D3741" s="19" t="n">
        <v>270.93</v>
      </c>
      <c r="E3741" s="19" t="n">
        <v>0</v>
      </c>
      <c r="F3741" s="19" t="n">
        <v>0</v>
      </c>
      <c r="G3741" s="8" t="n">
        <f aca="false">IFERROR(INDEX('TRANS'!$B:$B,MATCH($B3741,'TRANS'!$A:$A,0)),IFERROR(INDEX('TRANS'!$B:$B,MATCH(TRIM(SUBSTITUTE($B3741,CHAR(160)," ")),'TRANS'!$D:$D,0)),IFERROR(INDEX('Catalog'!$A:$A,MATCH($B3741,'Catalog'!$B:$B,0)),IFERROR(INDEX('Catalog'!$A:$A,MATCH(TRIM(SUBSTITUTE($B3741,CHAR(160)," ")),'Catalog'!$C:$C,0)),""))))</f>
        <v>4413102</v>
      </c>
      <c r="H3741" s="8" t="str">
        <f aca="false">IFERROR(INDEX('TRANS'!$C:$C,MATCH($B3741,'TRANS'!$A:$A,0)),IFERROR(INDEX('Catalog'!$B:$B,MATCH($G3741,'Catalog'!$A:$A,0)),$B3741))</f>
        <v>45E  L        מגן ברך ארוך לבן</v>
      </c>
      <c r="I3741" s="8" t="str">
        <f aca="false">IF($G3741="","Unmatched","Matched")</f>
        <v>Matched</v>
      </c>
      <c r="J3741" s="8" t="n">
        <f aca="false">IF($G3741&lt;&gt;"",$G3741,$B3741)</f>
        <v>4413102</v>
      </c>
      <c r="K3741" s="8" t="str">
        <f aca="false">IF(COUNTIF($M$1:$M$10,$A3741)&gt;0,"Y","N")</f>
        <v>N</v>
      </c>
    </row>
    <row r="3742" customFormat="false" ht="15" hidden="false" customHeight="true" outlineLevel="0" collapsed="false">
      <c r="A3742" s="8" t="s">
        <v>1098</v>
      </c>
      <c r="B3742" s="8" t="s">
        <v>805</v>
      </c>
      <c r="C3742" s="19" t="n">
        <v>20</v>
      </c>
      <c r="D3742" s="19" t="n">
        <v>270.93</v>
      </c>
      <c r="E3742" s="19" t="n">
        <v>0</v>
      </c>
      <c r="F3742" s="19" t="n">
        <v>0</v>
      </c>
      <c r="G3742" s="8" t="n">
        <f aca="false">IFERROR(INDEX('TRANS'!$B:$B,MATCH($B3742,'TRANS'!$A:$A,0)),IFERROR(INDEX('TRANS'!$B:$B,MATCH(TRIM(SUBSTITUTE($B3742,CHAR(160)," ")),'TRANS'!$D:$D,0)),IFERROR(INDEX('Catalog'!$A:$A,MATCH($B3742,'Catalog'!$B:$B,0)),IFERROR(INDEX('Catalog'!$A:$A,MATCH(TRIM(SUBSTITUTE($B3742,CHAR(160)," ")),'Catalog'!$C:$C,0)),""))))</f>
        <v>4413103</v>
      </c>
      <c r="H3742" s="8" t="str">
        <f aca="false">IFERROR(INDEX('TRANS'!$C:$C,MATCH($B3742,'TRANS'!$A:$A,0)),IFERROR(INDEX('Catalog'!$B:$B,MATCH($G3742,'Catalog'!$A:$A,0)),$B3742))</f>
        <v>45E Mמגן ברך ארוך לבן</v>
      </c>
      <c r="I3742" s="8" t="str">
        <f aca="false">IF($G3742="","Unmatched","Matched")</f>
        <v>Matched</v>
      </c>
      <c r="J3742" s="8" t="n">
        <f aca="false">IF($G3742&lt;&gt;"",$G3742,$B3742)</f>
        <v>4413103</v>
      </c>
      <c r="K3742" s="8" t="str">
        <f aca="false">IF(COUNTIF($M$1:$M$10,$A3742)&gt;0,"Y","N")</f>
        <v>N</v>
      </c>
    </row>
    <row r="3743" customFormat="false" ht="15" hidden="false" customHeight="true" outlineLevel="0" collapsed="false">
      <c r="A3743" s="8" t="s">
        <v>1098</v>
      </c>
      <c r="B3743" s="8" t="s">
        <v>681</v>
      </c>
      <c r="C3743" s="19" t="n">
        <v>15</v>
      </c>
      <c r="D3743" s="19" t="n">
        <v>135.49</v>
      </c>
      <c r="E3743" s="19" t="n">
        <v>0</v>
      </c>
      <c r="F3743" s="19" t="n">
        <v>0</v>
      </c>
      <c r="G3743" s="8" t="n">
        <f aca="false">IFERROR(INDEX('TRANS'!$B:$B,MATCH($B3743,'TRANS'!$A:$A,0)),IFERROR(INDEX('TRANS'!$B:$B,MATCH(TRIM(SUBSTITUTE($B3743,CHAR(160)," ")),'TRANS'!$D:$D,0)),IFERROR(INDEX('Catalog'!$A:$A,MATCH($B3743,'Catalog'!$B:$B,0)),IFERROR(INDEX('Catalog'!$A:$A,MATCH(TRIM(SUBSTITUTE($B3743,CHAR(160)," ")),'Catalog'!$C:$C,0)),""))))</f>
        <v>4413104</v>
      </c>
      <c r="H3743" s="8" t="str">
        <f aca="false">IFERROR(INDEX('TRANS'!$C:$C,MATCH($B3743,'TRANS'!$A:$A,0)),IFERROR(INDEX('Catalog'!$B:$B,MATCH($G3743,'Catalog'!$A:$A,0)),$B3743))</f>
        <v>45E XLמגן ברך ארוך לבן</v>
      </c>
      <c r="I3743" s="8" t="str">
        <f aca="false">IF($G3743="","Unmatched","Matched")</f>
        <v>Matched</v>
      </c>
      <c r="J3743" s="8" t="n">
        <f aca="false">IF($G3743&lt;&gt;"",$G3743,$B3743)</f>
        <v>4413104</v>
      </c>
      <c r="K3743" s="8" t="str">
        <f aca="false">IF(COUNTIF($M$1:$M$10,$A3743)&gt;0,"Y","N")</f>
        <v>N</v>
      </c>
    </row>
    <row r="3744" customFormat="false" ht="15" hidden="false" customHeight="true" outlineLevel="0" collapsed="false">
      <c r="A3744" s="8" t="s">
        <v>1098</v>
      </c>
      <c r="B3744" s="8" t="s">
        <v>976</v>
      </c>
      <c r="C3744" s="19" t="n">
        <v>10</v>
      </c>
      <c r="D3744" s="19" t="n">
        <v>452.58</v>
      </c>
      <c r="E3744" s="19" t="n">
        <v>0</v>
      </c>
      <c r="F3744" s="19" t="n">
        <v>0</v>
      </c>
      <c r="G3744" s="8" t="n">
        <f aca="false">IFERROR(INDEX('TRANS'!$B:$B,MATCH($B3744,'TRANS'!$A:$A,0)),IFERROR(INDEX('TRANS'!$B:$B,MATCH(TRIM(SUBSTITUTE($B3744,CHAR(160)," ")),'TRANS'!$D:$D,0)),IFERROR(INDEX('Catalog'!$A:$A,MATCH($B3744,'Catalog'!$B:$B,0)),IFERROR(INDEX('Catalog'!$A:$A,MATCH(TRIM(SUBSTITUTE($B3744,CHAR(160)," ")),'Catalog'!$C:$C,0)),""))))</f>
        <v>4413117</v>
      </c>
      <c r="H3744" s="8" t="str">
        <f aca="false">IFERROR(INDEX('TRANS'!$C:$C,MATCH($B3744,'TRANS'!$A:$A,0)),IFERROR(INDEX('Catalog'!$B:$B,MATCH($G3744,'Catalog'!$A:$A,0)),$B3744))</f>
        <v>50 L מתלה אשכים לאחר ניתוח</v>
      </c>
      <c r="I3744" s="8" t="str">
        <f aca="false">IF($G3744="","Unmatched","Matched")</f>
        <v>Matched</v>
      </c>
      <c r="J3744" s="8" t="n">
        <f aca="false">IF($G3744&lt;&gt;"",$G3744,$B3744)</f>
        <v>4413117</v>
      </c>
      <c r="K3744" s="8" t="str">
        <f aca="false">IF(COUNTIF($M$1:$M$10,$A3744)&gt;0,"Y","N")</f>
        <v>N</v>
      </c>
    </row>
    <row r="3745" customFormat="false" ht="15" hidden="false" customHeight="true" outlineLevel="0" collapsed="false">
      <c r="A3745" s="8" t="s">
        <v>1098</v>
      </c>
      <c r="B3745" s="8" t="s">
        <v>968</v>
      </c>
      <c r="C3745" s="19" t="n">
        <v>20</v>
      </c>
      <c r="D3745" s="19" t="n">
        <v>905.16</v>
      </c>
      <c r="E3745" s="19" t="n">
        <v>0</v>
      </c>
      <c r="F3745" s="19" t="n">
        <v>0</v>
      </c>
      <c r="G3745" s="8" t="n">
        <f aca="false">IFERROR(INDEX('TRANS'!$B:$B,MATCH($B3745,'TRANS'!$A:$A,0)),IFERROR(INDEX('TRANS'!$B:$B,MATCH(TRIM(SUBSTITUTE($B3745,CHAR(160)," ")),'TRANS'!$D:$D,0)),IFERROR(INDEX('Catalog'!$A:$A,MATCH($B3745,'Catalog'!$B:$B,0)),IFERROR(INDEX('Catalog'!$A:$A,MATCH(TRIM(SUBSTITUTE($B3745,CHAR(160)," ")),'Catalog'!$C:$C,0)),""))))</f>
        <v>4413118</v>
      </c>
      <c r="H3745" s="8" t="str">
        <f aca="false">IFERROR(INDEX('TRANS'!$C:$C,MATCH($B3745,'TRANS'!$A:$A,0)),IFERROR(INDEX('Catalog'!$B:$B,MATCH($G3745,'Catalog'!$A:$A,0)),$B3745))</f>
        <v>50 M מתלה אשכים לאחר ניתוח</v>
      </c>
      <c r="I3745" s="8" t="str">
        <f aca="false">IF($G3745="","Unmatched","Matched")</f>
        <v>Matched</v>
      </c>
      <c r="J3745" s="8" t="n">
        <f aca="false">IF($G3745&lt;&gt;"",$G3745,$B3745)</f>
        <v>4413118</v>
      </c>
      <c r="K3745" s="8" t="str">
        <f aca="false">IF(COUNTIF($M$1:$M$10,$A3745)&gt;0,"Y","N")</f>
        <v>N</v>
      </c>
    </row>
    <row r="3746" customFormat="false" ht="15" hidden="false" customHeight="true" outlineLevel="0" collapsed="false">
      <c r="A3746" s="8" t="s">
        <v>1098</v>
      </c>
      <c r="B3746" s="8" t="s">
        <v>209</v>
      </c>
      <c r="C3746" s="19" t="n">
        <v>5</v>
      </c>
      <c r="D3746" s="19" t="n">
        <v>226.29</v>
      </c>
      <c r="E3746" s="19" t="n">
        <v>0</v>
      </c>
      <c r="F3746" s="19" t="n">
        <v>0</v>
      </c>
      <c r="G3746" s="8" t="str">
        <f aca="false">IFERROR(INDEX('TRANS'!$B:$B,MATCH($B3746,'TRANS'!$A:$A,0)),IFERROR(INDEX('TRANS'!$B:$B,MATCH(TRIM(SUBSTITUTE($B3746,CHAR(160)," ")),'TRANS'!$D:$D,0)),IFERROR(INDEX('Catalog'!$A:$A,MATCH($B3746,'Catalog'!$B:$B,0)),IFERROR(INDEX('Catalog'!$A:$A,MATCH(TRIM(SUBSTITUTE($B3746,CHAR(160)," ")),'Catalog'!$C:$C,0)),""))))</f>
        <v/>
      </c>
      <c r="H3746" s="8" t="str">
        <f aca="false">IFERROR(INDEX('TRANS'!$C:$C,MATCH($B3746,'TRANS'!$A:$A,0)),IFERROR(INDEX('Catalog'!$B:$B,MATCH($G3746,'Catalog'!$A:$A,0)),$B3746))</f>
        <v>50 S</v>
      </c>
      <c r="I3746" s="8" t="str">
        <f aca="false">IF($G3746="","Unmatched","Matched")</f>
        <v>Unmatched</v>
      </c>
      <c r="J3746" s="8" t="str">
        <f aca="false">IF($G3746&lt;&gt;"",$G3746,$B3746)</f>
        <v>50 S</v>
      </c>
      <c r="K3746" s="8" t="str">
        <f aca="false">IF(COUNTIF($M$1:$M$10,$A3746)&gt;0,"Y","N")</f>
        <v>N</v>
      </c>
    </row>
    <row r="3747" customFormat="false" ht="15" hidden="false" customHeight="true" outlineLevel="0" collapsed="false">
      <c r="A3747" s="8" t="s">
        <v>1098</v>
      </c>
      <c r="B3747" s="8" t="s">
        <v>944</v>
      </c>
      <c r="C3747" s="19" t="n">
        <v>10</v>
      </c>
      <c r="D3747" s="19" t="n">
        <v>452.58</v>
      </c>
      <c r="E3747" s="19" t="n">
        <v>0</v>
      </c>
      <c r="F3747" s="19" t="n">
        <v>0</v>
      </c>
      <c r="G3747" s="8" t="n">
        <f aca="false">IFERROR(INDEX('TRANS'!$B:$B,MATCH($B3747,'TRANS'!$A:$A,0)),IFERROR(INDEX('TRANS'!$B:$B,MATCH(TRIM(SUBSTITUTE($B3747,CHAR(160)," ")),'TRANS'!$D:$D,0)),IFERROR(INDEX('Catalog'!$A:$A,MATCH($B3747,'Catalog'!$B:$B,0)),IFERROR(INDEX('Catalog'!$A:$A,MATCH(TRIM(SUBSTITUTE($B3747,CHAR(160)," ")),'Catalog'!$C:$C,0)),""))))</f>
        <v>4413119</v>
      </c>
      <c r="H3747" s="8" t="str">
        <f aca="false">IFERROR(INDEX('TRANS'!$C:$C,MATCH($B3747,'TRANS'!$A:$A,0)),IFERROR(INDEX('Catalog'!$B:$B,MATCH($G3747,'Catalog'!$A:$A,0)),$B3747))</f>
        <v>50 XL מתלה אשכים לאחר ניתוח</v>
      </c>
      <c r="I3747" s="8" t="str">
        <f aca="false">IF($G3747="","Unmatched","Matched")</f>
        <v>Matched</v>
      </c>
      <c r="J3747" s="8" t="n">
        <f aca="false">IF($G3747&lt;&gt;"",$G3747,$B3747)</f>
        <v>4413119</v>
      </c>
      <c r="K3747" s="8" t="str">
        <f aca="false">IF(COUNTIF($M$1:$M$10,$A3747)&gt;0,"Y","N")</f>
        <v>N</v>
      </c>
    </row>
    <row r="3748" customFormat="false" ht="15" hidden="false" customHeight="true" outlineLevel="0" collapsed="false">
      <c r="A3748" s="8" t="s">
        <v>1098</v>
      </c>
      <c r="B3748" s="8" t="s">
        <v>160</v>
      </c>
      <c r="C3748" s="19" t="n">
        <v>5</v>
      </c>
      <c r="D3748" s="19" t="n">
        <v>0.03</v>
      </c>
      <c r="E3748" s="19" t="n">
        <v>0</v>
      </c>
      <c r="F3748" s="19" t="n">
        <v>0</v>
      </c>
      <c r="G3748" s="8" t="str">
        <f aca="false">IFERROR(INDEX('TRANS'!$B:$B,MATCH($B3748,'TRANS'!$A:$A,0)),IFERROR(INDEX('TRANS'!$B:$B,MATCH(TRIM(SUBSTITUTE($B3748,CHAR(160)," ")),'TRANS'!$D:$D,0)),IFERROR(INDEX('Catalog'!$A:$A,MATCH($B3748,'Catalog'!$B:$B,0)),IFERROR(INDEX('Catalog'!$A:$A,MATCH(TRIM(SUBSTITUTE($B3748,CHAR(160)," ")),'Catalog'!$C:$C,0)),""))))</f>
        <v/>
      </c>
      <c r="H3748" s="8" t="str">
        <f aca="false">IFERROR(INDEX('TRANS'!$C:$C,MATCH($B3748,'TRANS'!$A:$A,0)),IFERROR(INDEX('Catalog'!$B:$B,MATCH($G3748,'Catalog'!$A:$A,0)),$B3748))</f>
        <v>50 XXL</v>
      </c>
      <c r="I3748" s="8" t="str">
        <f aca="false">IF($G3748="","Unmatched","Matched")</f>
        <v>Unmatched</v>
      </c>
      <c r="J3748" s="8" t="str">
        <f aca="false">IF($G3748&lt;&gt;"",$G3748,$B3748)</f>
        <v>50 XXL</v>
      </c>
      <c r="K3748" s="8" t="str">
        <f aca="false">IF(COUNTIF($M$1:$M$10,$A3748)&gt;0,"Y","N")</f>
        <v>N</v>
      </c>
    </row>
    <row r="3749" customFormat="false" ht="15" hidden="false" customHeight="true" outlineLevel="0" collapsed="false">
      <c r="A3749" s="8" t="s">
        <v>1098</v>
      </c>
      <c r="B3749" s="8" t="s">
        <v>917</v>
      </c>
      <c r="C3749" s="19" t="n">
        <v>20</v>
      </c>
      <c r="D3749" s="19" t="n">
        <v>554.25</v>
      </c>
      <c r="E3749" s="19" t="n">
        <v>0</v>
      </c>
      <c r="F3749" s="19" t="n">
        <v>0</v>
      </c>
      <c r="G3749" s="8" t="n">
        <f aca="false">IFERROR(INDEX('TRANS'!$B:$B,MATCH($B3749,'TRANS'!$A:$A,0)),IFERROR(INDEX('TRANS'!$B:$B,MATCH(TRIM(SUBSTITUTE($B3749,CHAR(160)," ")),'TRANS'!$D:$D,0)),IFERROR(INDEX('Catalog'!$A:$A,MATCH($B3749,'Catalog'!$B:$B,0)),IFERROR(INDEX('Catalog'!$A:$A,MATCH(TRIM(SUBSTITUTE($B3749,CHAR(160)," ")),'Catalog'!$C:$C,0)),""))))</f>
        <v>4418000</v>
      </c>
      <c r="H3749" s="8" t="str">
        <f aca="false">IFERROR(INDEX('TRANS'!$C:$C,MATCH($B3749,'TRANS'!$A:$A,0)),IFERROR(INDEX('Catalog'!$B:$B,MATCH($G3749,'Catalog'!$A:$A,0)),$B3749))</f>
        <v>60 L צוארון ספוגי</v>
      </c>
      <c r="I3749" s="8" t="str">
        <f aca="false">IF($G3749="","Unmatched","Matched")</f>
        <v>Matched</v>
      </c>
      <c r="J3749" s="8" t="n">
        <f aca="false">IF($G3749&lt;&gt;"",$G3749,$B3749)</f>
        <v>4418000</v>
      </c>
      <c r="K3749" s="8" t="str">
        <f aca="false">IF(COUNTIF($M$1:$M$10,$A3749)&gt;0,"Y","N")</f>
        <v>N</v>
      </c>
    </row>
    <row r="3750" customFormat="false" ht="15" hidden="false" customHeight="true" outlineLevel="0" collapsed="false">
      <c r="A3750" s="8" t="s">
        <v>1098</v>
      </c>
      <c r="B3750" s="8" t="s">
        <v>691</v>
      </c>
      <c r="C3750" s="19" t="n">
        <v>10</v>
      </c>
      <c r="D3750" s="19" t="n">
        <v>277.12</v>
      </c>
      <c r="E3750" s="19" t="n">
        <v>0</v>
      </c>
      <c r="F3750" s="19" t="n">
        <v>0</v>
      </c>
      <c r="G3750" s="8" t="n">
        <f aca="false">IFERROR(INDEX('TRANS'!$B:$B,MATCH($B3750,'TRANS'!$A:$A,0)),IFERROR(INDEX('TRANS'!$B:$B,MATCH(TRIM(SUBSTITUTE($B3750,CHAR(160)," ")),'TRANS'!$D:$D,0)),IFERROR(INDEX('Catalog'!$A:$A,MATCH($B3750,'Catalog'!$B:$B,0)),IFERROR(INDEX('Catalog'!$A:$A,MATCH(TRIM(SUBSTITUTE($B3750,CHAR(160)," ")),'Catalog'!$C:$C,0)),""))))</f>
        <v>4418001</v>
      </c>
      <c r="H3750" s="8" t="str">
        <f aca="false">IFERROR(INDEX('TRANS'!$C:$C,MATCH($B3750,'TRANS'!$A:$A,0)),IFERROR(INDEX('Catalog'!$B:$B,MATCH($G3750,'Catalog'!$A:$A,0)),$B3750))</f>
        <v>60 M צוארון ספוגי</v>
      </c>
      <c r="I3750" s="8" t="str">
        <f aca="false">IF($G3750="","Unmatched","Matched")</f>
        <v>Matched</v>
      </c>
      <c r="J3750" s="8" t="n">
        <f aca="false">IF($G3750&lt;&gt;"",$G3750,$B3750)</f>
        <v>4418001</v>
      </c>
      <c r="K3750" s="8" t="str">
        <f aca="false">IF(COUNTIF($M$1:$M$10,$A3750)&gt;0,"Y","N")</f>
        <v>N</v>
      </c>
    </row>
    <row r="3751" customFormat="false" ht="15" hidden="false" customHeight="true" outlineLevel="0" collapsed="false">
      <c r="A3751" s="8" t="s">
        <v>1098</v>
      </c>
      <c r="B3751" s="8" t="s">
        <v>692</v>
      </c>
      <c r="C3751" s="19" t="n">
        <v>5</v>
      </c>
      <c r="D3751" s="19" t="n">
        <v>138.57</v>
      </c>
      <c r="E3751" s="19" t="n">
        <v>0</v>
      </c>
      <c r="F3751" s="19" t="n">
        <v>0</v>
      </c>
      <c r="G3751" s="8" t="n">
        <f aca="false">IFERROR(INDEX('TRANS'!$B:$B,MATCH($B3751,'TRANS'!$A:$A,0)),IFERROR(INDEX('TRANS'!$B:$B,MATCH(TRIM(SUBSTITUTE($B3751,CHAR(160)," ")),'TRANS'!$D:$D,0)),IFERROR(INDEX('Catalog'!$A:$A,MATCH($B3751,'Catalog'!$B:$B,0)),IFERROR(INDEX('Catalog'!$A:$A,MATCH(TRIM(SUBSTITUTE($B3751,CHAR(160)," ")),'Catalog'!$C:$C,0)),""))))</f>
        <v>4418002</v>
      </c>
      <c r="H3751" s="8" t="str">
        <f aca="false">IFERROR(INDEX('TRANS'!$C:$C,MATCH($B3751,'TRANS'!$A:$A,0)),IFERROR(INDEX('Catalog'!$B:$B,MATCH($G3751,'Catalog'!$A:$A,0)),$B3751))</f>
        <v>60 S צוארון ספוגי</v>
      </c>
      <c r="I3751" s="8" t="str">
        <f aca="false">IF($G3751="","Unmatched","Matched")</f>
        <v>Matched</v>
      </c>
      <c r="J3751" s="8" t="n">
        <f aca="false">IF($G3751&lt;&gt;"",$G3751,$B3751)</f>
        <v>4418002</v>
      </c>
      <c r="K3751" s="8" t="str">
        <f aca="false">IF(COUNTIF($M$1:$M$10,$A3751)&gt;0,"Y","N")</f>
        <v>N</v>
      </c>
    </row>
    <row r="3752" customFormat="false" ht="15" hidden="false" customHeight="true" outlineLevel="0" collapsed="false">
      <c r="A3752" s="8" t="s">
        <v>1098</v>
      </c>
      <c r="B3752" s="8" t="s">
        <v>819</v>
      </c>
      <c r="C3752" s="19" t="n">
        <v>10</v>
      </c>
      <c r="D3752" s="19" t="n">
        <v>277.12</v>
      </c>
      <c r="E3752" s="19" t="n">
        <v>0</v>
      </c>
      <c r="F3752" s="19" t="n">
        <v>0</v>
      </c>
      <c r="G3752" s="8" t="n">
        <f aca="false">IFERROR(INDEX('TRANS'!$B:$B,MATCH($B3752,'TRANS'!$A:$A,0)),IFERROR(INDEX('TRANS'!$B:$B,MATCH(TRIM(SUBSTITUTE($B3752,CHAR(160)," ")),'TRANS'!$D:$D,0)),IFERROR(INDEX('Catalog'!$A:$A,MATCH($B3752,'Catalog'!$B:$B,0)),IFERROR(INDEX('Catalog'!$A:$A,MATCH(TRIM(SUBSTITUTE($B3752,CHAR(160)," ")),'Catalog'!$C:$C,0)),""))))</f>
        <v>4418003</v>
      </c>
      <c r="H3752" s="8" t="str">
        <f aca="false">IFERROR(INDEX('TRANS'!$C:$C,MATCH($B3752,'TRANS'!$A:$A,0)),IFERROR(INDEX('Catalog'!$B:$B,MATCH($G3752,'Catalog'!$A:$A,0)),$B3752))</f>
        <v>60 XL צוארון ספוגי</v>
      </c>
      <c r="I3752" s="8" t="str">
        <f aca="false">IF($G3752="","Unmatched","Matched")</f>
        <v>Matched</v>
      </c>
      <c r="J3752" s="8" t="n">
        <f aca="false">IF($G3752&lt;&gt;"",$G3752,$B3752)</f>
        <v>4418003</v>
      </c>
      <c r="K3752" s="8" t="str">
        <f aca="false">IF(COUNTIF($M$1:$M$10,$A3752)&gt;0,"Y","N")</f>
        <v>N</v>
      </c>
    </row>
    <row r="3753" customFormat="false" ht="15" hidden="false" customHeight="true" outlineLevel="0" collapsed="false">
      <c r="A3753" s="8" t="s">
        <v>1098</v>
      </c>
      <c r="B3753" s="8" t="s">
        <v>349</v>
      </c>
      <c r="C3753" s="19" t="n">
        <v>5</v>
      </c>
      <c r="D3753" s="19" t="n">
        <v>0.03</v>
      </c>
      <c r="E3753" s="19" t="n">
        <v>0</v>
      </c>
      <c r="F3753" s="19" t="n">
        <v>0</v>
      </c>
      <c r="G3753" s="8" t="str">
        <f aca="false">IFERROR(INDEX('TRANS'!$B:$B,MATCH($B3753,'TRANS'!$A:$A,0)),IFERROR(INDEX('TRANS'!$B:$B,MATCH(TRIM(SUBSTITUTE($B3753,CHAR(160)," ")),'TRANS'!$D:$D,0)),IFERROR(INDEX('Catalog'!$A:$A,MATCH($B3753,'Catalog'!$B:$B,0)),IFERROR(INDEX('Catalog'!$A:$A,MATCH(TRIM(SUBSTITUTE($B3753,CHAR(160)," ")),'Catalog'!$C:$C,0)),""))))</f>
        <v/>
      </c>
      <c r="H3753" s="8" t="str">
        <f aca="false">IFERROR(INDEX('TRANS'!$C:$C,MATCH($B3753,'TRANS'!$A:$A,0)),IFERROR(INDEX('Catalog'!$B:$B,MATCH($G3753,'Catalog'!$A:$A,0)),$B3753))</f>
        <v>60 XS</v>
      </c>
      <c r="I3753" s="8" t="str">
        <f aca="false">IF($G3753="","Unmatched","Matched")</f>
        <v>Unmatched</v>
      </c>
      <c r="J3753" s="8" t="str">
        <f aca="false">IF($G3753&lt;&gt;"",$G3753,$B3753)</f>
        <v>60 XS</v>
      </c>
      <c r="K3753" s="8" t="str">
        <f aca="false">IF(COUNTIF($M$1:$M$10,$A3753)&gt;0,"Y","N")</f>
        <v>N</v>
      </c>
    </row>
    <row r="3754" customFormat="false" ht="15" hidden="false" customHeight="true" outlineLevel="0" collapsed="false">
      <c r="A3754" s="8" t="s">
        <v>1098</v>
      </c>
      <c r="B3754" s="8" t="s">
        <v>223</v>
      </c>
      <c r="C3754" s="19" t="n">
        <v>5</v>
      </c>
      <c r="D3754" s="19" t="n">
        <v>138.57</v>
      </c>
      <c r="E3754" s="19" t="n">
        <v>0</v>
      </c>
      <c r="F3754" s="19" t="n">
        <v>0</v>
      </c>
      <c r="G3754" s="8" t="str">
        <f aca="false">IFERROR(INDEX('TRANS'!$B:$B,MATCH($B3754,'TRANS'!$A:$A,0)),IFERROR(INDEX('TRANS'!$B:$B,MATCH(TRIM(SUBSTITUTE($B3754,CHAR(160)," ")),'TRANS'!$D:$D,0)),IFERROR(INDEX('Catalog'!$A:$A,MATCH($B3754,'Catalog'!$B:$B,0)),IFERROR(INDEX('Catalog'!$A:$A,MATCH(TRIM(SUBSTITUTE($B3754,CHAR(160)," ")),'Catalog'!$C:$C,0)),""))))</f>
        <v/>
      </c>
      <c r="H3754" s="8" t="str">
        <f aca="false">IFERROR(INDEX('TRANS'!$C:$C,MATCH($B3754,'TRANS'!$A:$A,0)),IFERROR(INDEX('Catalog'!$B:$B,MATCH($G3754,'Catalog'!$A:$A,0)),$B3754))</f>
        <v>60 XXL</v>
      </c>
      <c r="I3754" s="8" t="str">
        <f aca="false">IF($G3754="","Unmatched","Matched")</f>
        <v>Unmatched</v>
      </c>
      <c r="J3754" s="8" t="str">
        <f aca="false">IF($G3754&lt;&gt;"",$G3754,$B3754)</f>
        <v>60 XXL</v>
      </c>
      <c r="K3754" s="8" t="str">
        <f aca="false">IF(COUNTIF($M$1:$M$10,$A3754)&gt;0,"Y","N")</f>
        <v>N</v>
      </c>
    </row>
    <row r="3755" customFormat="false" ht="15" hidden="false" customHeight="true" outlineLevel="0" collapsed="false">
      <c r="A3755" s="8" t="s">
        <v>1098</v>
      </c>
      <c r="B3755" s="8" t="s">
        <v>45</v>
      </c>
      <c r="C3755" s="19" t="n">
        <v>142</v>
      </c>
      <c r="D3755" s="19" t="n">
        <v>14683.56</v>
      </c>
      <c r="E3755" s="19" t="n">
        <v>0</v>
      </c>
      <c r="F3755" s="19" t="n">
        <v>0</v>
      </c>
      <c r="G3755" s="8" t="str">
        <f aca="false">IFERROR(INDEX('TRANS'!$B:$B,MATCH($B3755,'TRANS'!$A:$A,0)),IFERROR(INDEX('TRANS'!$B:$B,MATCH(TRIM(SUBSTITUTE($B3755,CHAR(160)," ")),'TRANS'!$D:$D,0)),IFERROR(INDEX('Catalog'!$A:$A,MATCH($B3755,'Catalog'!$B:$B,0)),IFERROR(INDEX('Catalog'!$A:$A,MATCH(TRIM(SUBSTITUTE($B3755,CHAR(160)," ")),'Catalog'!$C:$C,0)),""))))</f>
        <v/>
      </c>
      <c r="H3755" s="8" t="str">
        <f aca="false">IFERROR(INDEX('TRANS'!$C:$C,MATCH($B3755,'TRANS'!$A:$A,0)),IFERROR(INDEX('Catalog'!$B:$B,MATCH($G3755,'Catalog'!$A:$A,0)),$B3755))</f>
        <v>67 0</v>
      </c>
      <c r="I3755" s="8" t="str">
        <f aca="false">IF($G3755="","Unmatched","Matched")</f>
        <v>Unmatched</v>
      </c>
      <c r="J3755" s="8" t="str">
        <f aca="false">IF($G3755&lt;&gt;"",$G3755,$B3755)</f>
        <v>67 0</v>
      </c>
      <c r="K3755" s="8" t="str">
        <f aca="false">IF(COUNTIF($M$1:$M$10,$A3755)&gt;0,"Y","N")</f>
        <v>N</v>
      </c>
    </row>
    <row r="3756" customFormat="false" ht="15" hidden="false" customHeight="true" outlineLevel="0" collapsed="false">
      <c r="A3756" s="8" t="s">
        <v>1098</v>
      </c>
      <c r="B3756" s="8" t="s">
        <v>474</v>
      </c>
      <c r="C3756" s="19" t="n">
        <v>1</v>
      </c>
      <c r="D3756" s="19" t="n">
        <v>0.04</v>
      </c>
      <c r="E3756" s="19" t="n">
        <v>0</v>
      </c>
      <c r="F3756" s="19" t="n">
        <v>0</v>
      </c>
      <c r="G3756" s="8" t="str">
        <f aca="false">IFERROR(INDEX('TRANS'!$B:$B,MATCH($B3756,'TRANS'!$A:$A,0)),IFERROR(INDEX('TRANS'!$B:$B,MATCH(TRIM(SUBSTITUTE($B3756,CHAR(160)," ")),'TRANS'!$D:$D,0)),IFERROR(INDEX('Catalog'!$A:$A,MATCH($B3756,'Catalog'!$B:$B,0)),IFERROR(INDEX('Catalog'!$A:$A,MATCH(TRIM(SUBSTITUTE($B3756,CHAR(160)," ")),'Catalog'!$C:$C,0)),""))))</f>
        <v/>
      </c>
      <c r="H3756" s="8" t="str">
        <f aca="false">IFERROR(INDEX('TRANS'!$C:$C,MATCH($B3756,'TRANS'!$A:$A,0)),IFERROR(INDEX('Catalog'!$B:$B,MATCH($G3756,'Catalog'!$A:$A,0)),$B3756))</f>
        <v>70 XS</v>
      </c>
      <c r="I3756" s="8" t="str">
        <f aca="false">IF($G3756="","Unmatched","Matched")</f>
        <v>Unmatched</v>
      </c>
      <c r="J3756" s="8" t="str">
        <f aca="false">IF($G3756&lt;&gt;"",$G3756,$B3756)</f>
        <v>70 XS</v>
      </c>
      <c r="K3756" s="8" t="str">
        <f aca="false">IF(COUNTIF($M$1:$M$10,$A3756)&gt;0,"Y","N")</f>
        <v>N</v>
      </c>
    </row>
    <row r="3757" customFormat="false" ht="15" hidden="false" customHeight="true" outlineLevel="0" collapsed="false">
      <c r="A3757" s="8" t="s">
        <v>1098</v>
      </c>
      <c r="B3757" s="8" t="s">
        <v>880</v>
      </c>
      <c r="C3757" s="19" t="n">
        <v>50</v>
      </c>
      <c r="D3757" s="19" t="n">
        <v>0.03</v>
      </c>
      <c r="E3757" s="19" t="n">
        <v>0</v>
      </c>
      <c r="F3757" s="19" t="n">
        <v>0</v>
      </c>
      <c r="G3757" s="8" t="n">
        <f aca="false">IFERROR(INDEX('TRANS'!$B:$B,MATCH($B3757,'TRANS'!$A:$A,0)),IFERROR(INDEX('TRANS'!$B:$B,MATCH(TRIM(SUBSTITUTE($B3757,CHAR(160)," ")),'TRANS'!$D:$D,0)),IFERROR(INDEX('Catalog'!$A:$A,MATCH($B3757,'Catalog'!$B:$B,0)),IFERROR(INDEX('Catalog'!$A:$A,MATCH(TRIM(SUBSTITUTE($B3757,CHAR(160)," ")),'Catalog'!$C:$C,0)),""))))</f>
        <v>4408274</v>
      </c>
      <c r="H3757" s="8" t="str">
        <f aca="false">IFERROR(INDEX('TRANS'!$C:$C,MATCH($B3757,'TRANS'!$A:$A,0)),IFERROR(INDEX('Catalog'!$B:$B,MATCH($G3757,'Catalog'!$A:$A,0)),$B3757))</f>
        <v>70N L חגורת פאבליק</v>
      </c>
      <c r="I3757" s="8" t="str">
        <f aca="false">IF($G3757="","Unmatched","Matched")</f>
        <v>Matched</v>
      </c>
      <c r="J3757" s="8" t="n">
        <f aca="false">IF($G3757&lt;&gt;"",$G3757,$B3757)</f>
        <v>4408274</v>
      </c>
      <c r="K3757" s="8" t="str">
        <f aca="false">IF(COUNTIF($M$1:$M$10,$A3757)&gt;0,"Y","N")</f>
        <v>N</v>
      </c>
    </row>
    <row r="3758" customFormat="false" ht="15" hidden="false" customHeight="true" outlineLevel="0" collapsed="false">
      <c r="A3758" s="8" t="s">
        <v>1098</v>
      </c>
      <c r="B3758" s="8" t="s">
        <v>881</v>
      </c>
      <c r="C3758" s="19" t="n">
        <v>100</v>
      </c>
      <c r="D3758" s="19" t="n">
        <v>16212.21</v>
      </c>
      <c r="E3758" s="19" t="n">
        <v>0</v>
      </c>
      <c r="F3758" s="19" t="n">
        <v>0</v>
      </c>
      <c r="G3758" s="8" t="n">
        <f aca="false">IFERROR(INDEX('TRANS'!$B:$B,MATCH($B3758,'TRANS'!$A:$A,0)),IFERROR(INDEX('TRANS'!$B:$B,MATCH(TRIM(SUBSTITUTE($B3758,CHAR(160)," ")),'TRANS'!$D:$D,0)),IFERROR(INDEX('Catalog'!$A:$A,MATCH($B3758,'Catalog'!$B:$B,0)),IFERROR(INDEX('Catalog'!$A:$A,MATCH(TRIM(SUBSTITUTE($B3758,CHAR(160)," ")),'Catalog'!$C:$C,0)),""))))</f>
        <v>4408273</v>
      </c>
      <c r="H3758" s="8" t="str">
        <f aca="false">IFERROR(INDEX('TRANS'!$C:$C,MATCH($B3758,'TRANS'!$A:$A,0)),IFERROR(INDEX('Catalog'!$B:$B,MATCH($G3758,'Catalog'!$A:$A,0)),$B3758))</f>
        <v>70N M חגורת פאבליק</v>
      </c>
      <c r="I3758" s="8" t="str">
        <f aca="false">IF($G3758="","Unmatched","Matched")</f>
        <v>Matched</v>
      </c>
      <c r="J3758" s="8" t="n">
        <f aca="false">IF($G3758&lt;&gt;"",$G3758,$B3758)</f>
        <v>4408273</v>
      </c>
      <c r="K3758" s="8" t="str">
        <f aca="false">IF(COUNTIF($M$1:$M$10,$A3758)&gt;0,"Y","N")</f>
        <v>N</v>
      </c>
    </row>
    <row r="3759" customFormat="false" ht="15" hidden="false" customHeight="true" outlineLevel="0" collapsed="false">
      <c r="A3759" s="8" t="s">
        <v>1098</v>
      </c>
      <c r="B3759" s="8" t="s">
        <v>882</v>
      </c>
      <c r="C3759" s="19" t="n">
        <v>200</v>
      </c>
      <c r="D3759" s="19" t="n">
        <v>32424.43</v>
      </c>
      <c r="E3759" s="19" t="n">
        <v>0</v>
      </c>
      <c r="F3759" s="19" t="n">
        <v>0</v>
      </c>
      <c r="G3759" s="8" t="n">
        <f aca="false">IFERROR(INDEX('TRANS'!$B:$B,MATCH($B3759,'TRANS'!$A:$A,0)),IFERROR(INDEX('TRANS'!$B:$B,MATCH(TRIM(SUBSTITUTE($B3759,CHAR(160)," ")),'TRANS'!$D:$D,0)),IFERROR(INDEX('Catalog'!$A:$A,MATCH($B3759,'Catalog'!$B:$B,0)),IFERROR(INDEX('Catalog'!$A:$A,MATCH(TRIM(SUBSTITUTE($B3759,CHAR(160)," ")),'Catalog'!$C:$C,0)),""))))</f>
        <v>4408272</v>
      </c>
      <c r="H3759" s="8" t="str">
        <f aca="false">IFERROR(INDEX('TRANS'!$C:$C,MATCH($B3759,'TRANS'!$A:$A,0)),IFERROR(INDEX('Catalog'!$B:$B,MATCH($G3759,'Catalog'!$A:$A,0)),$B3759))</f>
        <v>70N S חגורת פאבליק</v>
      </c>
      <c r="I3759" s="8" t="str">
        <f aca="false">IF($G3759="","Unmatched","Matched")</f>
        <v>Matched</v>
      </c>
      <c r="J3759" s="8" t="n">
        <f aca="false">IF($G3759&lt;&gt;"",$G3759,$B3759)</f>
        <v>4408272</v>
      </c>
      <c r="K3759" s="8" t="str">
        <f aca="false">IF(COUNTIF($M$1:$M$10,$A3759)&gt;0,"Y","N")</f>
        <v>N</v>
      </c>
    </row>
    <row r="3760" customFormat="false" ht="15" hidden="false" customHeight="true" outlineLevel="0" collapsed="false">
      <c r="A3760" s="8" t="s">
        <v>1098</v>
      </c>
      <c r="B3760" s="8" t="s">
        <v>883</v>
      </c>
      <c r="C3760" s="19" t="n">
        <v>200</v>
      </c>
      <c r="D3760" s="19" t="n">
        <v>32424.43</v>
      </c>
      <c r="E3760" s="19" t="n">
        <v>0</v>
      </c>
      <c r="F3760" s="19" t="n">
        <v>0</v>
      </c>
      <c r="G3760" s="8" t="n">
        <f aca="false">IFERROR(INDEX('TRANS'!$B:$B,MATCH($B3760,'TRANS'!$A:$A,0)),IFERROR(INDEX('TRANS'!$B:$B,MATCH(TRIM(SUBSTITUTE($B3760,CHAR(160)," ")),'TRANS'!$D:$D,0)),IFERROR(INDEX('Catalog'!$A:$A,MATCH($B3760,'Catalog'!$B:$B,0)),IFERROR(INDEX('Catalog'!$A:$A,MATCH(TRIM(SUBSTITUTE($B3760,CHAR(160)," ")),'Catalog'!$C:$C,0)),""))))</f>
        <v>4408271</v>
      </c>
      <c r="H3760" s="8" t="str">
        <f aca="false">IFERROR(INDEX('TRANS'!$C:$C,MATCH($B3760,'TRANS'!$A:$A,0)),IFERROR(INDEX('Catalog'!$B:$B,MATCH($G3760,'Catalog'!$A:$A,0)),$B3760))</f>
        <v>70N XS חגורת פאבליק</v>
      </c>
      <c r="I3760" s="8" t="str">
        <f aca="false">IF($G3760="","Unmatched","Matched")</f>
        <v>Matched</v>
      </c>
      <c r="J3760" s="8" t="n">
        <f aca="false">IF($G3760&lt;&gt;"",$G3760,$B3760)</f>
        <v>4408271</v>
      </c>
      <c r="K3760" s="8" t="str">
        <f aca="false">IF(COUNTIF($M$1:$M$10,$A3760)&gt;0,"Y","N")</f>
        <v>N</v>
      </c>
    </row>
    <row r="3761" customFormat="false" ht="15" hidden="false" customHeight="true" outlineLevel="0" collapsed="false">
      <c r="A3761" s="8" t="s">
        <v>1098</v>
      </c>
      <c r="B3761" s="8" t="s">
        <v>723</v>
      </c>
      <c r="C3761" s="19" t="n">
        <v>550</v>
      </c>
      <c r="D3761" s="19" t="n">
        <v>25232.79</v>
      </c>
      <c r="E3761" s="19" t="n">
        <v>0</v>
      </c>
      <c r="F3761" s="19" t="n">
        <v>0</v>
      </c>
      <c r="G3761" s="8" t="n">
        <f aca="false">IFERROR(INDEX('TRANS'!$B:$B,MATCH($B3761,'TRANS'!$A:$A,0)),IFERROR(INDEX('TRANS'!$B:$B,MATCH(TRIM(SUBSTITUTE($B3761,CHAR(160)," ")),'TRANS'!$D:$D,0)),IFERROR(INDEX('Catalog'!$A:$A,MATCH($B3761,'Catalog'!$B:$B,0)),IFERROR(INDEX('Catalog'!$A:$A,MATCH(TRIM(SUBSTITUTE($B3761,CHAR(160)," ")),'Catalog'!$C:$C,0)),""))))</f>
        <v>4408205</v>
      </c>
      <c r="H3761" s="8" t="str">
        <f aca="false">IFERROR(INDEX('TRANS'!$C:$C,MATCH($B3761,'TRANS'!$A:$A,0)),IFERROR(INDEX('Catalog'!$B:$B,MATCH($G3761,'Catalog'!$A:$A,0)),$B3761))</f>
        <v>AC-07 חגורת גב עם תמיכות</v>
      </c>
      <c r="I3761" s="8" t="str">
        <f aca="false">IF($G3761="","Unmatched","Matched")</f>
        <v>Matched</v>
      </c>
      <c r="J3761" s="8" t="n">
        <f aca="false">IF($G3761&lt;&gt;"",$G3761,$B3761)</f>
        <v>4408205</v>
      </c>
      <c r="K3761" s="8" t="str">
        <f aca="false">IF(COUNTIF($M$1:$M$10,$A3761)&gt;0,"Y","N")</f>
        <v>N</v>
      </c>
    </row>
    <row r="3762" customFormat="false" ht="15" hidden="false" customHeight="true" outlineLevel="0" collapsed="false">
      <c r="A3762" s="8" t="s">
        <v>1098</v>
      </c>
      <c r="B3762" s="8" t="s">
        <v>725</v>
      </c>
      <c r="C3762" s="19" t="n">
        <v>220</v>
      </c>
      <c r="D3762" s="19" t="n">
        <v>3254.87</v>
      </c>
      <c r="E3762" s="19" t="n">
        <v>0</v>
      </c>
      <c r="F3762" s="19" t="n">
        <v>0</v>
      </c>
      <c r="G3762" s="8" t="n">
        <f aca="false">IFERROR(INDEX('TRANS'!$B:$B,MATCH($B3762,'TRANS'!$A:$A,0)),IFERROR(INDEX('TRANS'!$B:$B,MATCH(TRIM(SUBSTITUTE($B3762,CHAR(160)," ")),'TRANS'!$D:$D,0)),IFERROR(INDEX('Catalog'!$A:$A,MATCH($B3762,'Catalog'!$B:$B,0)),IFERROR(INDEX('Catalog'!$A:$A,MATCH(TRIM(SUBSTITUTE($B3762,CHAR(160)," ")),'Catalog'!$C:$C,0)),""))))</f>
        <v>4408207</v>
      </c>
      <c r="H3762" s="8" t="str">
        <f aca="false">IFERROR(INDEX('TRANS'!$C:$C,MATCH($B3762,'TRANS'!$A:$A,0)),IFERROR(INDEX('Catalog'!$B:$B,MATCH($G3762,'Catalog'!$A:$A,0)),$B3762))</f>
        <v>AC-25 חבק לשורש כף היד</v>
      </c>
      <c r="I3762" s="8" t="str">
        <f aca="false">IF($G3762="","Unmatched","Matched")</f>
        <v>Matched</v>
      </c>
      <c r="J3762" s="8" t="n">
        <f aca="false">IF($G3762&lt;&gt;"",$G3762,$B3762)</f>
        <v>4408207</v>
      </c>
      <c r="K3762" s="8" t="str">
        <f aca="false">IF(COUNTIF($M$1:$M$10,$A3762)&gt;0,"Y","N")</f>
        <v>N</v>
      </c>
    </row>
    <row r="3763" customFormat="false" ht="15" hidden="false" customHeight="true" outlineLevel="0" collapsed="false">
      <c r="A3763" s="8" t="s">
        <v>1098</v>
      </c>
      <c r="B3763" s="8" t="s">
        <v>726</v>
      </c>
      <c r="C3763" s="19" t="n">
        <v>330</v>
      </c>
      <c r="D3763" s="19" t="n">
        <v>6453.92</v>
      </c>
      <c r="E3763" s="19" t="n">
        <v>0</v>
      </c>
      <c r="F3763" s="19" t="n">
        <v>0</v>
      </c>
      <c r="G3763" s="8" t="n">
        <f aca="false">IFERROR(INDEX('TRANS'!$B:$B,MATCH($B3763,'TRANS'!$A:$A,0)),IFERROR(INDEX('TRANS'!$B:$B,MATCH(TRIM(SUBSTITUTE($B3763,CHAR(160)," ")),'TRANS'!$D:$D,0)),IFERROR(INDEX('Catalog'!$A:$A,MATCH($B3763,'Catalog'!$B:$B,0)),IFERROR(INDEX('Catalog'!$A:$A,MATCH(TRIM(SUBSTITUTE($B3763,CHAR(160)," ")),'Catalog'!$C:$C,0)),""))))</f>
        <v>4415026</v>
      </c>
      <c r="H3763" s="8" t="str">
        <f aca="false">IFERROR(INDEX('TRANS'!$C:$C,MATCH($B3763,'TRANS'!$A:$A,0)),IFERROR(INDEX('Catalog'!$B:$B,MATCH($G3763,'Catalog'!$A:$A,0)),$B3763))</f>
        <v>AC-27L סד לש.כף יד שמאל</v>
      </c>
      <c r="I3763" s="8" t="str">
        <f aca="false">IF($G3763="","Unmatched","Matched")</f>
        <v>Matched</v>
      </c>
      <c r="J3763" s="8" t="n">
        <f aca="false">IF($G3763&lt;&gt;"",$G3763,$B3763)</f>
        <v>4415026</v>
      </c>
      <c r="K3763" s="8" t="str">
        <f aca="false">IF(COUNTIF($M$1:$M$10,$A3763)&gt;0,"Y","N")</f>
        <v>N</v>
      </c>
    </row>
    <row r="3764" customFormat="false" ht="15" hidden="false" customHeight="true" outlineLevel="0" collapsed="false">
      <c r="A3764" s="8" t="s">
        <v>1098</v>
      </c>
      <c r="B3764" s="8" t="s">
        <v>727</v>
      </c>
      <c r="C3764" s="19" t="n">
        <v>330</v>
      </c>
      <c r="D3764" s="19" t="n">
        <v>6453.92</v>
      </c>
      <c r="E3764" s="19" t="n">
        <v>0</v>
      </c>
      <c r="F3764" s="19" t="n">
        <v>0</v>
      </c>
      <c r="G3764" s="8" t="n">
        <f aca="false">IFERROR(INDEX('TRANS'!$B:$B,MATCH($B3764,'TRANS'!$A:$A,0)),IFERROR(INDEX('TRANS'!$B:$B,MATCH(TRIM(SUBSTITUTE($B3764,CHAR(160)," ")),'TRANS'!$D:$D,0)),IFERROR(INDEX('Catalog'!$A:$A,MATCH($B3764,'Catalog'!$B:$B,0)),IFERROR(INDEX('Catalog'!$A:$A,MATCH(TRIM(SUBSTITUTE($B3764,CHAR(160)," ")),'Catalog'!$C:$C,0)),""))))</f>
        <v>4415027</v>
      </c>
      <c r="H3764" s="8" t="str">
        <f aca="false">IFERROR(INDEX('TRANS'!$C:$C,MATCH($B3764,'TRANS'!$A:$A,0)),IFERROR(INDEX('Catalog'!$B:$B,MATCH($G3764,'Catalog'!$A:$A,0)),$B3764))</f>
        <v>AC-27R סד לש.כף יד ימין</v>
      </c>
      <c r="I3764" s="8" t="str">
        <f aca="false">IF($G3764="","Unmatched","Matched")</f>
        <v>Matched</v>
      </c>
      <c r="J3764" s="8" t="n">
        <f aca="false">IF($G3764&lt;&gt;"",$G3764,$B3764)</f>
        <v>4415027</v>
      </c>
      <c r="K3764" s="8" t="str">
        <f aca="false">IF(COUNTIF($M$1:$M$10,$A3764)&gt;0,"Y","N")</f>
        <v>N</v>
      </c>
    </row>
    <row r="3765" customFormat="false" ht="15" hidden="false" customHeight="true" outlineLevel="0" collapsed="false">
      <c r="A3765" s="8" t="s">
        <v>1098</v>
      </c>
      <c r="B3765" s="8" t="s">
        <v>728</v>
      </c>
      <c r="C3765" s="19" t="n">
        <v>550</v>
      </c>
      <c r="D3765" s="19" t="n">
        <v>7501.67</v>
      </c>
      <c r="E3765" s="19" t="n">
        <v>0</v>
      </c>
      <c r="F3765" s="19" t="n">
        <v>0</v>
      </c>
      <c r="G3765" s="8" t="n">
        <f aca="false">IFERROR(INDEX('TRANS'!$B:$B,MATCH($B3765,'TRANS'!$A:$A,0)),IFERROR(INDEX('TRANS'!$B:$B,MATCH(TRIM(SUBSTITUTE($B3765,CHAR(160)," ")),'TRANS'!$D:$D,0)),IFERROR(INDEX('Catalog'!$A:$A,MATCH($B3765,'Catalog'!$B:$B,0)),IFERROR(INDEX('Catalog'!$A:$A,MATCH(TRIM(SUBSTITUTE($B3765,CHAR(160)," ")),'Catalog'!$C:$C,0)),""))))</f>
        <v>4415028</v>
      </c>
      <c r="H3765" s="8" t="str">
        <f aca="false">IFERROR(INDEX('TRANS'!$C:$C,MATCH($B3765,'TRANS'!$A:$A,0)),IFERROR(INDEX('Catalog'!$B:$B,MATCH($G3765,'Catalog'!$A:$A,0)),$B3765))</f>
        <v>AC-28 סד לאגודל</v>
      </c>
      <c r="I3765" s="8" t="str">
        <f aca="false">IF($G3765="","Unmatched","Matched")</f>
        <v>Matched</v>
      </c>
      <c r="J3765" s="8" t="n">
        <f aca="false">IF($G3765&lt;&gt;"",$G3765,$B3765)</f>
        <v>4415028</v>
      </c>
      <c r="K3765" s="8" t="str">
        <f aca="false">IF(COUNTIF($M$1:$M$10,$A3765)&gt;0,"Y","N")</f>
        <v>N</v>
      </c>
    </row>
    <row r="3766" customFormat="false" ht="15" hidden="false" customHeight="true" outlineLevel="0" collapsed="false">
      <c r="A3766" s="8" t="s">
        <v>1098</v>
      </c>
      <c r="B3766" s="8" t="s">
        <v>729</v>
      </c>
      <c r="C3766" s="19" t="n">
        <v>220</v>
      </c>
      <c r="D3766" s="19" t="n">
        <v>3409.86</v>
      </c>
      <c r="E3766" s="19" t="n">
        <v>0</v>
      </c>
      <c r="F3766" s="19" t="n">
        <v>0</v>
      </c>
      <c r="G3766" s="8" t="n">
        <f aca="false">IFERROR(INDEX('TRANS'!$B:$B,MATCH($B3766,'TRANS'!$A:$A,0)),IFERROR(INDEX('TRANS'!$B:$B,MATCH(TRIM(SUBSTITUTE($B3766,CHAR(160)," ")),'TRANS'!$D:$D,0)),IFERROR(INDEX('Catalog'!$A:$A,MATCH($B3766,'Catalog'!$B:$B,0)),IFERROR(INDEX('Catalog'!$A:$A,MATCH(TRIM(SUBSTITUTE($B3766,CHAR(160)," ")),'Catalog'!$C:$C,0)),""))))</f>
        <v>4413326</v>
      </c>
      <c r="H3766" s="8" t="str">
        <f aca="false">IFERROR(INDEX('TRANS'!$C:$C,MATCH($B3766,'TRANS'!$A:$A,0)),IFERROR(INDEX('Catalog'!$B:$B,MATCH($G3766,'Catalog'!$A:$A,0)),$B3766))</f>
        <v>AC37 מגן קרסול נושם</v>
      </c>
      <c r="I3766" s="8" t="str">
        <f aca="false">IF($G3766="","Unmatched","Matched")</f>
        <v>Matched</v>
      </c>
      <c r="J3766" s="8" t="n">
        <f aca="false">IF($G3766&lt;&gt;"",$G3766,$B3766)</f>
        <v>4413326</v>
      </c>
      <c r="K3766" s="8" t="str">
        <f aca="false">IF(COUNTIF($M$1:$M$10,$A3766)&gt;0,"Y","N")</f>
        <v>N</v>
      </c>
    </row>
    <row r="3767" customFormat="false" ht="15" hidden="false" customHeight="true" outlineLevel="0" collapsed="false">
      <c r="A3767" s="8" t="s">
        <v>1098</v>
      </c>
      <c r="B3767" s="8" t="s">
        <v>560</v>
      </c>
      <c r="C3767" s="19" t="n">
        <v>330</v>
      </c>
      <c r="D3767" s="19" t="n">
        <v>15083.9</v>
      </c>
      <c r="E3767" s="19" t="n">
        <v>0</v>
      </c>
      <c r="F3767" s="19" t="n">
        <v>0</v>
      </c>
      <c r="G3767" s="8" t="n">
        <f aca="false">IFERROR(INDEX('TRANS'!$B:$B,MATCH($B3767,'TRANS'!$A:$A,0)),IFERROR(INDEX('TRANS'!$B:$B,MATCH(TRIM(SUBSTITUTE($B3767,CHAR(160)," ")),'TRANS'!$D:$D,0)),IFERROR(INDEX('Catalog'!$A:$A,MATCH($B3767,'Catalog'!$B:$B,0)),IFERROR(INDEX('Catalog'!$A:$A,MATCH(TRIM(SUBSTITUTE($B3767,CHAR(160)," ")),'Catalog'!$C:$C,0)),""))))</f>
        <v>4413328</v>
      </c>
      <c r="H3767" s="8" t="str">
        <f aca="false">IFERROR(INDEX('TRANS'!$C:$C,MATCH($B3767,'TRANS'!$A:$A,0)),IFERROR(INDEX('Catalog'!$B:$B,MATCH($G3767,'Catalog'!$A:$A,0)),$B3767))</f>
        <v>AC43D מגן ברך + צירים</v>
      </c>
      <c r="I3767" s="8" t="str">
        <f aca="false">IF($G3767="","Unmatched","Matched")</f>
        <v>Matched</v>
      </c>
      <c r="J3767" s="8" t="n">
        <f aca="false">IF($G3767&lt;&gt;"",$G3767,$B3767)</f>
        <v>4413328</v>
      </c>
      <c r="K3767" s="8" t="str">
        <f aca="false">IF(COUNTIF($M$1:$M$10,$A3767)&gt;0,"Y","N")</f>
        <v>N</v>
      </c>
    </row>
    <row r="3768" customFormat="false" ht="15" hidden="false" customHeight="true" outlineLevel="0" collapsed="false">
      <c r="A3768" s="8" t="s">
        <v>1098</v>
      </c>
      <c r="B3768" s="8" t="s">
        <v>731</v>
      </c>
      <c r="C3768" s="19" t="n">
        <v>330</v>
      </c>
      <c r="D3768" s="19" t="n">
        <v>10155.14</v>
      </c>
      <c r="E3768" s="19" t="n">
        <v>0</v>
      </c>
      <c r="F3768" s="19" t="n">
        <v>0</v>
      </c>
      <c r="G3768" s="8" t="n">
        <f aca="false">IFERROR(INDEX('TRANS'!$B:$B,MATCH($B3768,'TRANS'!$A:$A,0)),IFERROR(INDEX('TRANS'!$B:$B,MATCH(TRIM(SUBSTITUTE($B3768,CHAR(160)," ")),'TRANS'!$D:$D,0)),IFERROR(INDEX('Catalog'!$A:$A,MATCH($B3768,'Catalog'!$B:$B,0)),IFERROR(INDEX('Catalog'!$A:$A,MATCH(TRIM(SUBSTITUTE($B3768,CHAR(160)," ")),'Catalog'!$C:$C,0)),""))))</f>
        <v>4413329</v>
      </c>
      <c r="H3768" s="8" t="str">
        <f aca="false">IFERROR(INDEX('TRANS'!$C:$C,MATCH($B3768,'TRANS'!$A:$A,0)),IFERROR(INDEX('Catalog'!$B:$B,MATCH($G3768,'Catalog'!$A:$A,0)),$B3768))</f>
        <v>AC45X מגן ברך עם תמיכות</v>
      </c>
      <c r="I3768" s="8" t="str">
        <f aca="false">IF($G3768="","Unmatched","Matched")</f>
        <v>Matched</v>
      </c>
      <c r="J3768" s="8" t="n">
        <f aca="false">IF($G3768&lt;&gt;"",$G3768,$B3768)</f>
        <v>4413329</v>
      </c>
      <c r="K3768" s="8" t="str">
        <f aca="false">IF(COUNTIF($M$1:$M$10,$A3768)&gt;0,"Y","N")</f>
        <v>N</v>
      </c>
    </row>
    <row r="3769" customFormat="false" ht="15" hidden="false" customHeight="true" outlineLevel="0" collapsed="false">
      <c r="A3769" s="8" t="s">
        <v>1098</v>
      </c>
      <c r="B3769" s="8" t="s">
        <v>558</v>
      </c>
      <c r="C3769" s="19" t="n">
        <v>330</v>
      </c>
      <c r="D3769" s="19" t="n">
        <v>8648.61</v>
      </c>
      <c r="E3769" s="19" t="n">
        <v>0</v>
      </c>
      <c r="F3769" s="19" t="n">
        <v>0</v>
      </c>
      <c r="G3769" s="8" t="n">
        <f aca="false">IFERROR(INDEX('TRANS'!$B:$B,MATCH($B3769,'TRANS'!$A:$A,0)),IFERROR(INDEX('TRANS'!$B:$B,MATCH(TRIM(SUBSTITUTE($B3769,CHAR(160)," ")),'TRANS'!$D:$D,0)),IFERROR(INDEX('Catalog'!$A:$A,MATCH($B3769,'Catalog'!$B:$B,0)),IFERROR(INDEX('Catalog'!$A:$A,MATCH(TRIM(SUBSTITUTE($B3769,CHAR(160)," ")),'Catalog'!$C:$C,0)),""))))</f>
        <v>4413453</v>
      </c>
      <c r="H3769" s="8" t="str">
        <f aca="false">IFERROR(INDEX('TRANS'!$C:$C,MATCH($B3769,'TRANS'!$A:$A,0)),IFERROR(INDEX('Catalog'!$B:$B,MATCH($G3769,'Catalog'!$A:$A,0)),$B3769))</f>
        <v>AC75 מישר כתפיים אקטיב</v>
      </c>
      <c r="I3769" s="8" t="str">
        <f aca="false">IF($G3769="","Unmatched","Matched")</f>
        <v>Matched</v>
      </c>
      <c r="J3769" s="8" t="n">
        <f aca="false">IF($G3769&lt;&gt;"",$G3769,$B3769)</f>
        <v>4413453</v>
      </c>
      <c r="K3769" s="8" t="str">
        <f aca="false">IF(COUNTIF($M$1:$M$10,$A3769)&gt;0,"Y","N")</f>
        <v>N</v>
      </c>
    </row>
    <row r="3770" customFormat="false" ht="15" hidden="false" customHeight="true" outlineLevel="0" collapsed="false">
      <c r="A3770" s="8" t="s">
        <v>1098</v>
      </c>
      <c r="B3770" s="8" t="s">
        <v>733</v>
      </c>
      <c r="C3770" s="19" t="n">
        <v>341</v>
      </c>
      <c r="D3770" s="19" t="n">
        <v>4612.63</v>
      </c>
      <c r="E3770" s="19" t="n">
        <v>0</v>
      </c>
      <c r="F3770" s="19" t="n">
        <v>0</v>
      </c>
      <c r="G3770" s="8" t="n">
        <f aca="false">IFERROR(INDEX('TRANS'!$B:$B,MATCH($B3770,'TRANS'!$A:$A,0)),IFERROR(INDEX('TRANS'!$B:$B,MATCH(TRIM(SUBSTITUTE($B3770,CHAR(160)," ")),'TRANS'!$D:$D,0)),IFERROR(INDEX('Catalog'!$A:$A,MATCH($B3770,'Catalog'!$B:$B,0)),IFERROR(INDEX('Catalog'!$A:$A,MATCH(TRIM(SUBSTITUTE($B3770,CHAR(160)," ")),'Catalog'!$C:$C,0)),""))))</f>
        <v>4408208</v>
      </c>
      <c r="H3770" s="8" t="str">
        <f aca="false">IFERROR(INDEX('TRANS'!$C:$C,MATCH($B3770,'TRANS'!$A:$A,0)),IFERROR(INDEX('Catalog'!$B:$B,MATCH($G3770,'Catalog'!$A:$A,0)),$B3770))</f>
        <v>AC91 חבק טניס</v>
      </c>
      <c r="I3770" s="8" t="str">
        <f aca="false">IF($G3770="","Unmatched","Matched")</f>
        <v>Matched</v>
      </c>
      <c r="J3770" s="8" t="n">
        <f aca="false">IF($G3770&lt;&gt;"",$G3770,$B3770)</f>
        <v>4408208</v>
      </c>
      <c r="K3770" s="8" t="str">
        <f aca="false">IF(COUNTIF($M$1:$M$10,$A3770)&gt;0,"Y","N")</f>
        <v>N</v>
      </c>
    </row>
    <row r="3771" customFormat="false" ht="15" hidden="false" customHeight="true" outlineLevel="0" collapsed="false">
      <c r="A3771" s="8" t="s">
        <v>1098</v>
      </c>
      <c r="B3771" s="8" t="s">
        <v>734</v>
      </c>
      <c r="C3771" s="19" t="n">
        <v>176</v>
      </c>
      <c r="D3771" s="19" t="n">
        <v>3119.76</v>
      </c>
      <c r="E3771" s="19" t="n">
        <v>0</v>
      </c>
      <c r="F3771" s="19" t="n">
        <v>0</v>
      </c>
      <c r="G3771" s="8" t="n">
        <f aca="false">IFERROR(INDEX('TRANS'!$B:$B,MATCH($B3771,'TRANS'!$A:$A,0)),IFERROR(INDEX('TRANS'!$B:$B,MATCH(TRIM(SUBSTITUTE($B3771,CHAR(160)," ")),'TRANS'!$D:$D,0)),IFERROR(INDEX('Catalog'!$A:$A,MATCH($B3771,'Catalog'!$B:$B,0)),IFERROR(INDEX('Catalog'!$A:$A,MATCH(TRIM(SUBSTITUTE($B3771,CHAR(160)," ")),'Catalog'!$C:$C,0)),""))))</f>
        <v>4413331</v>
      </c>
      <c r="H3771" s="8" t="str">
        <f aca="false">IFERROR(INDEX('TRANS'!$C:$C,MATCH($B3771,'TRANS'!$A:$A,0)),IFERROR(INDEX('Catalog'!$B:$B,MATCH($G3771,'Catalog'!$A:$A,0)),$B3771))</f>
        <v>AC95 מגן מרפק</v>
      </c>
      <c r="I3771" s="8" t="str">
        <f aca="false">IF($G3771="","Unmatched","Matched")</f>
        <v>Matched</v>
      </c>
      <c r="J3771" s="8" t="n">
        <f aca="false">IF($G3771&lt;&gt;"",$G3771,$B3771)</f>
        <v>4413331</v>
      </c>
      <c r="K3771" s="8" t="str">
        <f aca="false">IF(COUNTIF($M$1:$M$10,$A3771)&gt;0,"Y","N")</f>
        <v>N</v>
      </c>
    </row>
    <row r="3772" customFormat="false" ht="15" hidden="false" customHeight="true" outlineLevel="0" collapsed="false">
      <c r="A3772" s="8" t="s">
        <v>1105</v>
      </c>
      <c r="B3772" s="8" t="s">
        <v>852</v>
      </c>
      <c r="C3772" s="19" t="n">
        <v>1</v>
      </c>
      <c r="D3772" s="19" t="n">
        <v>0.04</v>
      </c>
      <c r="E3772" s="19" t="n">
        <v>0</v>
      </c>
      <c r="F3772" s="19" t="n">
        <v>0</v>
      </c>
      <c r="G3772" s="8" t="n">
        <f aca="false">IFERROR(INDEX('TRANS'!$B:$B,MATCH($B3772,'TRANS'!$A:$A,0)),IFERROR(INDEX('TRANS'!$B:$B,MATCH(TRIM(SUBSTITUTE($B3772,CHAR(160)," ")),'TRANS'!$D:$D,0)),IFERROR(INDEX('Catalog'!$A:$A,MATCH($B3772,'Catalog'!$B:$B,0)),IFERROR(INDEX('Catalog'!$A:$A,MATCH(TRIM(SUBSTITUTE($B3772,CHAR(160)," ")),'Catalog'!$C:$C,0)),""))))</f>
        <v>4408190</v>
      </c>
      <c r="H3772" s="8" t="str">
        <f aca="false">IFERROR(INDEX('TRANS'!$C:$C,MATCH($B3772,'TRANS'!$A:$A,0)),IFERROR(INDEX('Catalog'!$B:$B,MATCH($G3772,'Catalog'!$A:$A,0)),$B3772))</f>
        <v>M078 חגורת גב +סגירה כפולה</v>
      </c>
      <c r="I3772" s="8" t="str">
        <f aca="false">IF($G3772="","Unmatched","Matched")</f>
        <v>Matched</v>
      </c>
      <c r="J3772" s="8" t="n">
        <f aca="false">IF($G3772&lt;&gt;"",$G3772,$B3772)</f>
        <v>4408190</v>
      </c>
      <c r="K3772" s="8" t="str">
        <f aca="false">IF(COUNTIF($M$1:$M$10,$A3772)&gt;0,"Y","N")</f>
        <v>N</v>
      </c>
    </row>
    <row r="3773" customFormat="false" ht="15" hidden="false" customHeight="true" outlineLevel="0" collapsed="false">
      <c r="A3773" s="8" t="s">
        <v>1105</v>
      </c>
      <c r="B3773" s="8" t="s">
        <v>854</v>
      </c>
      <c r="C3773" s="19" t="n">
        <v>1</v>
      </c>
      <c r="D3773" s="19" t="n">
        <v>53.62</v>
      </c>
      <c r="E3773" s="19" t="n">
        <v>0</v>
      </c>
      <c r="F3773" s="19" t="n">
        <v>0</v>
      </c>
      <c r="G3773" s="8" t="n">
        <f aca="false">IFERROR(INDEX('TRANS'!$B:$B,MATCH($B3773,'TRANS'!$A:$A,0)),IFERROR(INDEX('TRANS'!$B:$B,MATCH(TRIM(SUBSTITUTE($B3773,CHAR(160)," ")),'TRANS'!$D:$D,0)),IFERROR(INDEX('Catalog'!$A:$A,MATCH($B3773,'Catalog'!$B:$B,0)),IFERROR(INDEX('Catalog'!$A:$A,MATCH(TRIM(SUBSTITUTE($B3773,CHAR(160)," ")),'Catalog'!$C:$C,0)),""))))</f>
        <v>4408265</v>
      </c>
      <c r="H3773" s="8" t="str">
        <f aca="false">IFERROR(INDEX('TRANS'!$C:$C,MATCH($B3773,'TRANS'!$A:$A,0)),IFERROR(INDEX('Catalog'!$B:$B,MATCH($G3773,'Catalog'!$A:$A,0)),$B3773))</f>
        <v>078XXL חגורת גב +סגירה כפולה</v>
      </c>
      <c r="I3773" s="8" t="str">
        <f aca="false">IF($G3773="","Unmatched","Matched")</f>
        <v>Matched</v>
      </c>
      <c r="J3773" s="8" t="n">
        <f aca="false">IF($G3773&lt;&gt;"",$G3773,$B3773)</f>
        <v>4408265</v>
      </c>
      <c r="K3773" s="8" t="str">
        <f aca="false">IF(COUNTIF($M$1:$M$10,$A3773)&gt;0,"Y","N")</f>
        <v>N</v>
      </c>
    </row>
    <row r="3774" customFormat="false" ht="15" hidden="false" customHeight="true" outlineLevel="0" collapsed="false">
      <c r="A3774" s="8" t="s">
        <v>1105</v>
      </c>
      <c r="B3774" s="8" t="s">
        <v>857</v>
      </c>
      <c r="C3774" s="19" t="n">
        <v>495</v>
      </c>
      <c r="D3774" s="19" t="n">
        <v>30513.16</v>
      </c>
      <c r="E3774" s="19" t="n">
        <v>397</v>
      </c>
      <c r="F3774" s="19" t="n">
        <v>24523.1</v>
      </c>
      <c r="G3774" s="8" t="n">
        <f aca="false">IFERROR(INDEX('TRANS'!$B:$B,MATCH($B3774,'TRANS'!$A:$A,0)),IFERROR(INDEX('TRANS'!$B:$B,MATCH(TRIM(SUBSTITUTE($B3774,CHAR(160)," ")),'TRANS'!$D:$D,0)),IFERROR(INDEX('Catalog'!$A:$A,MATCH($B3774,'Catalog'!$B:$B,0)),IFERROR(INDEX('Catalog'!$A:$A,MATCH(TRIM(SUBSTITUTE($B3774,CHAR(160)," ")),'Catalog'!$C:$C,0)),""))))</f>
        <v>4408261</v>
      </c>
      <c r="H3774" s="8" t="str">
        <f aca="false">IFERROR(INDEX('TRANS'!$C:$C,MATCH($B3774,'TRANS'!$A:$A,0)),IFERROR(INDEX('Catalog'!$B:$B,MATCH($G3774,'Catalog'!$A:$A,0)),$B3774))</f>
        <v>11STO L חגורה אחרי ניתוח</v>
      </c>
      <c r="I3774" s="8" t="str">
        <f aca="false">IF($G3774="","Unmatched","Matched")</f>
        <v>Matched</v>
      </c>
      <c r="J3774" s="8" t="n">
        <f aca="false">IF($G3774&lt;&gt;"",$G3774,$B3774)</f>
        <v>4408261</v>
      </c>
      <c r="K3774" s="8" t="str">
        <f aca="false">IF(COUNTIF($M$1:$M$10,$A3774)&gt;0,"Y","N")</f>
        <v>N</v>
      </c>
    </row>
    <row r="3775" customFormat="false" ht="15" hidden="false" customHeight="true" outlineLevel="0" collapsed="false">
      <c r="A3775" s="8" t="s">
        <v>1105</v>
      </c>
      <c r="B3775" s="8" t="s">
        <v>924</v>
      </c>
      <c r="C3775" s="19" t="n">
        <v>373</v>
      </c>
      <c r="D3775" s="19" t="n">
        <v>22938.97</v>
      </c>
      <c r="E3775" s="19" t="n">
        <v>250</v>
      </c>
      <c r="F3775" s="19" t="n">
        <v>15564.33</v>
      </c>
      <c r="G3775" s="8" t="n">
        <f aca="false">IFERROR(INDEX('TRANS'!$B:$B,MATCH($B3775,'TRANS'!$A:$A,0)),IFERROR(INDEX('TRANS'!$B:$B,MATCH(TRIM(SUBSTITUTE($B3775,CHAR(160)," ")),'TRANS'!$D:$D,0)),IFERROR(INDEX('Catalog'!$A:$A,MATCH($B3775,'Catalog'!$B:$B,0)),IFERROR(INDEX('Catalog'!$A:$A,MATCH(TRIM(SUBSTITUTE($B3775,CHAR(160)," ")),'Catalog'!$C:$C,0)),""))))</f>
        <v>4408260</v>
      </c>
      <c r="H3775" s="8" t="str">
        <f aca="false">IFERROR(INDEX('TRANS'!$C:$C,MATCH($B3775,'TRANS'!$A:$A,0)),IFERROR(INDEX('Catalog'!$B:$B,MATCH($G3775,'Catalog'!$A:$A,0)),$B3775))</f>
        <v>11STO M חגורה אחרי ניתוח</v>
      </c>
      <c r="I3775" s="8" t="str">
        <f aca="false">IF($G3775="","Unmatched","Matched")</f>
        <v>Matched</v>
      </c>
      <c r="J3775" s="8" t="n">
        <f aca="false">IF($G3775&lt;&gt;"",$G3775,$B3775)</f>
        <v>4408260</v>
      </c>
      <c r="K3775" s="8" t="str">
        <f aca="false">IF(COUNTIF($M$1:$M$10,$A3775)&gt;0,"Y","N")</f>
        <v>N</v>
      </c>
    </row>
    <row r="3776" customFormat="false" ht="15" hidden="false" customHeight="true" outlineLevel="0" collapsed="false">
      <c r="A3776" s="8" t="s">
        <v>1105</v>
      </c>
      <c r="B3776" s="8" t="s">
        <v>981</v>
      </c>
      <c r="C3776" s="19" t="n">
        <v>82</v>
      </c>
      <c r="D3776" s="19" t="n">
        <v>5125.13</v>
      </c>
      <c r="E3776" s="19" t="n">
        <v>37</v>
      </c>
      <c r="F3776" s="19" t="n">
        <v>2282.87</v>
      </c>
      <c r="G3776" s="8" t="n">
        <f aca="false">IFERROR(INDEX('TRANS'!$B:$B,MATCH($B3776,'TRANS'!$A:$A,0)),IFERROR(INDEX('TRANS'!$B:$B,MATCH(TRIM(SUBSTITUTE($B3776,CHAR(160)," ")),'TRANS'!$D:$D,0)),IFERROR(INDEX('Catalog'!$A:$A,MATCH($B3776,'Catalog'!$B:$B,0)),IFERROR(INDEX('Catalog'!$A:$A,MATCH(TRIM(SUBSTITUTE($B3776,CHAR(160)," ")),'Catalog'!$C:$C,0)),""))))</f>
        <v>4408259</v>
      </c>
      <c r="H3776" s="8" t="str">
        <f aca="false">IFERROR(INDEX('TRANS'!$C:$C,MATCH($B3776,'TRANS'!$A:$A,0)),IFERROR(INDEX('Catalog'!$B:$B,MATCH($G3776,'Catalog'!$A:$A,0)),$B3776))</f>
        <v>11STO S חגורה אחרי ניתוח</v>
      </c>
      <c r="I3776" s="8" t="str">
        <f aca="false">IF($G3776="","Unmatched","Matched")</f>
        <v>Matched</v>
      </c>
      <c r="J3776" s="8" t="n">
        <f aca="false">IF($G3776&lt;&gt;"",$G3776,$B3776)</f>
        <v>4408259</v>
      </c>
      <c r="K3776" s="8" t="str">
        <f aca="false">IF(COUNTIF($M$1:$M$10,$A3776)&gt;0,"Y","N")</f>
        <v>N</v>
      </c>
    </row>
    <row r="3777" customFormat="false" ht="15" hidden="false" customHeight="true" outlineLevel="0" collapsed="false">
      <c r="A3777" s="8" t="s">
        <v>1105</v>
      </c>
      <c r="B3777" s="8" t="s">
        <v>780</v>
      </c>
      <c r="C3777" s="19" t="n">
        <v>350</v>
      </c>
      <c r="D3777" s="19" t="n">
        <v>21625.17</v>
      </c>
      <c r="E3777" s="19" t="n">
        <v>255</v>
      </c>
      <c r="F3777" s="19" t="n">
        <v>15856.84</v>
      </c>
      <c r="G3777" s="8" t="n">
        <f aca="false">IFERROR(INDEX('TRANS'!$B:$B,MATCH($B3777,'TRANS'!$A:$A,0)),IFERROR(INDEX('TRANS'!$B:$B,MATCH(TRIM(SUBSTITUTE($B3777,CHAR(160)," ")),'TRANS'!$D:$D,0)),IFERROR(INDEX('Catalog'!$A:$A,MATCH($B3777,'Catalog'!$B:$B,0)),IFERROR(INDEX('Catalog'!$A:$A,MATCH(TRIM(SUBSTITUTE($B3777,CHAR(160)," ")),'Catalog'!$C:$C,0)),""))))</f>
        <v>4408262</v>
      </c>
      <c r="H3777" s="8" t="str">
        <f aca="false">IFERROR(INDEX('TRANS'!$C:$C,MATCH($B3777,'TRANS'!$A:$A,0)),IFERROR(INDEX('Catalog'!$B:$B,MATCH($G3777,'Catalog'!$A:$A,0)),$B3777))</f>
        <v>11STO XL  חגורה אחרי ניתוח</v>
      </c>
      <c r="I3777" s="8" t="str">
        <f aca="false">IF($G3777="","Unmatched","Matched")</f>
        <v>Matched</v>
      </c>
      <c r="J3777" s="8" t="n">
        <f aca="false">IF($G3777&lt;&gt;"",$G3777,$B3777)</f>
        <v>4408262</v>
      </c>
      <c r="K3777" s="8" t="str">
        <f aca="false">IF(COUNTIF($M$1:$M$10,$A3777)&gt;0,"Y","N")</f>
        <v>N</v>
      </c>
    </row>
    <row r="3778" customFormat="false" ht="15" hidden="false" customHeight="true" outlineLevel="0" collapsed="false">
      <c r="A3778" s="8" t="s">
        <v>1105</v>
      </c>
      <c r="B3778" s="8" t="s">
        <v>570</v>
      </c>
      <c r="C3778" s="19" t="n">
        <v>227</v>
      </c>
      <c r="D3778" s="19" t="n">
        <v>13992.86</v>
      </c>
      <c r="E3778" s="19" t="n">
        <v>107</v>
      </c>
      <c r="F3778" s="19" t="n">
        <v>6670.85</v>
      </c>
      <c r="G3778" s="8" t="n">
        <f aca="false">IFERROR(INDEX('TRANS'!$B:$B,MATCH($B3778,'TRANS'!$A:$A,0)),IFERROR(INDEX('TRANS'!$B:$B,MATCH(TRIM(SUBSTITUTE($B3778,CHAR(160)," ")),'TRANS'!$D:$D,0)),IFERROR(INDEX('Catalog'!$A:$A,MATCH($B3778,'Catalog'!$B:$B,0)),IFERROR(INDEX('Catalog'!$A:$A,MATCH(TRIM(SUBSTITUTE($B3778,CHAR(160)," ")),'Catalog'!$C:$C,0)),""))))</f>
        <v>4408263</v>
      </c>
      <c r="H3778" s="8" t="str">
        <f aca="false">IFERROR(INDEX('TRANS'!$C:$C,MATCH($B3778,'TRANS'!$A:$A,0)),IFERROR(INDEX('Catalog'!$B:$B,MATCH($G3778,'Catalog'!$A:$A,0)),$B3778))</f>
        <v>11STO XXL חגורה אחרי ניתוח</v>
      </c>
      <c r="I3778" s="8" t="str">
        <f aca="false">IF($G3778="","Unmatched","Matched")</f>
        <v>Matched</v>
      </c>
      <c r="J3778" s="8" t="n">
        <f aca="false">IF($G3778&lt;&gt;"",$G3778,$B3778)</f>
        <v>4408263</v>
      </c>
      <c r="K3778" s="8" t="str">
        <f aca="false">IF(COUNTIF($M$1:$M$10,$A3778)&gt;0,"Y","N")</f>
        <v>N</v>
      </c>
    </row>
    <row r="3779" customFormat="false" ht="15" hidden="false" customHeight="true" outlineLevel="0" collapsed="false">
      <c r="A3779" s="8" t="s">
        <v>1105</v>
      </c>
      <c r="B3779" s="8" t="s">
        <v>572</v>
      </c>
      <c r="C3779" s="19" t="n">
        <v>1215</v>
      </c>
      <c r="D3779" s="19" t="n">
        <v>97417.62</v>
      </c>
      <c r="E3779" s="19" t="n">
        <v>915</v>
      </c>
      <c r="F3779" s="19" t="n">
        <v>73196.96</v>
      </c>
      <c r="G3779" s="8" t="n">
        <f aca="false">IFERROR(INDEX('TRANS'!$B:$B,MATCH($B3779,'TRANS'!$A:$A,0)),IFERROR(INDEX('TRANS'!$B:$B,MATCH(TRIM(SUBSTITUTE($B3779,CHAR(160)," ")),'TRANS'!$D:$D,0)),IFERROR(INDEX('Catalog'!$A:$A,MATCH($B3779,'Catalog'!$B:$B,0)),IFERROR(INDEX('Catalog'!$A:$A,MATCH(TRIM(SUBSTITUTE($B3779,CHAR(160)," ")),'Catalog'!$C:$C,0)),""))))</f>
        <v>4408203</v>
      </c>
      <c r="H3779" s="8" t="str">
        <f aca="false">IFERROR(INDEX('TRANS'!$C:$C,MATCH($B3779,'TRANS'!$A:$A,0)),IFERROR(INDEX('Catalog'!$B:$B,MATCH($G3779,'Catalog'!$A:$A,0)),$B3779))</f>
        <v>14 0 חגורה למנותחי בית חזה</v>
      </c>
      <c r="I3779" s="8" t="str">
        <f aca="false">IF($G3779="","Unmatched","Matched")</f>
        <v>Matched</v>
      </c>
      <c r="J3779" s="8" t="n">
        <f aca="false">IF($G3779&lt;&gt;"",$G3779,$B3779)</f>
        <v>4408203</v>
      </c>
      <c r="K3779" s="8" t="str">
        <f aca="false">IF(COUNTIF($M$1:$M$10,$A3779)&gt;0,"Y","N")</f>
        <v>N</v>
      </c>
    </row>
    <row r="3780" customFormat="false" ht="15" hidden="false" customHeight="true" outlineLevel="0" collapsed="false">
      <c r="A3780" s="8" t="s">
        <v>1105</v>
      </c>
      <c r="B3780" s="8" t="s">
        <v>783</v>
      </c>
      <c r="C3780" s="19" t="n">
        <v>150</v>
      </c>
      <c r="D3780" s="19" t="n">
        <v>2408.67</v>
      </c>
      <c r="E3780" s="19" t="n">
        <v>115</v>
      </c>
      <c r="F3780" s="19" t="n">
        <v>1865.16</v>
      </c>
      <c r="G3780" s="8" t="n">
        <f aca="false">IFERROR(INDEX('TRANS'!$B:$B,MATCH($B3780,'TRANS'!$A:$A,0)),IFERROR(INDEX('TRANS'!$B:$B,MATCH(TRIM(SUBSTITUTE($B3780,CHAR(160)," ")),'TRANS'!$D:$D,0)),IFERROR(INDEX('Catalog'!$A:$A,MATCH($B3780,'Catalog'!$B:$B,0)),IFERROR(INDEX('Catalog'!$A:$A,MATCH(TRIM(SUBSTITUTE($B3780,CHAR(160)," ")),'Catalog'!$C:$C,0)),""))))</f>
        <v>4408052</v>
      </c>
      <c r="H3780" s="8" t="str">
        <f aca="false">IFERROR(INDEX('TRANS'!$C:$C,MATCH($B3780,'TRANS'!$A:$A,0)),IFERROR(INDEX('Catalog'!$B:$B,MATCH($G3780,'Catalog'!$A:$A,0)),$B3780))</f>
        <v>21 L  חבק יד ארוך</v>
      </c>
      <c r="I3780" s="8" t="str">
        <f aca="false">IF($G3780="","Unmatched","Matched")</f>
        <v>Matched</v>
      </c>
      <c r="J3780" s="8" t="n">
        <f aca="false">IF($G3780&lt;&gt;"",$G3780,$B3780)</f>
        <v>4408052</v>
      </c>
      <c r="K3780" s="8" t="str">
        <f aca="false">IF(COUNTIF($M$1:$M$10,$A3780)&gt;0,"Y","N")</f>
        <v>N</v>
      </c>
    </row>
    <row r="3781" customFormat="false" ht="15" hidden="false" customHeight="true" outlineLevel="0" collapsed="false">
      <c r="A3781" s="8" t="s">
        <v>1105</v>
      </c>
      <c r="B3781" s="8" t="s">
        <v>576</v>
      </c>
      <c r="C3781" s="19" t="n">
        <v>150</v>
      </c>
      <c r="D3781" s="19" t="n">
        <v>2420.36</v>
      </c>
      <c r="E3781" s="19" t="n">
        <v>124</v>
      </c>
      <c r="F3781" s="19" t="n">
        <v>2023.08</v>
      </c>
      <c r="G3781" s="8" t="n">
        <f aca="false">IFERROR(INDEX('TRANS'!$B:$B,MATCH($B3781,'TRANS'!$A:$A,0)),IFERROR(INDEX('TRANS'!$B:$B,MATCH(TRIM(SUBSTITUTE($B3781,CHAR(160)," ")),'TRANS'!$D:$D,0)),IFERROR(INDEX('Catalog'!$A:$A,MATCH($B3781,'Catalog'!$B:$B,0)),IFERROR(INDEX('Catalog'!$A:$A,MATCH(TRIM(SUBSTITUTE($B3781,CHAR(160)," ")),'Catalog'!$C:$C,0)),""))))</f>
        <v>4408053</v>
      </c>
      <c r="H3781" s="8" t="str">
        <f aca="false">IFERROR(INDEX('TRANS'!$C:$C,MATCH($B3781,'TRANS'!$A:$A,0)),IFERROR(INDEX('Catalog'!$B:$B,MATCH($G3781,'Catalog'!$A:$A,0)),$B3781))</f>
        <v>21 M  חבק יד ארוך</v>
      </c>
      <c r="I3781" s="8" t="str">
        <f aca="false">IF($G3781="","Unmatched","Matched")</f>
        <v>Matched</v>
      </c>
      <c r="J3781" s="8" t="n">
        <f aca="false">IF($G3781&lt;&gt;"",$G3781,$B3781)</f>
        <v>4408053</v>
      </c>
      <c r="K3781" s="8" t="str">
        <f aca="false">IF(COUNTIF($M$1:$M$10,$A3781)&gt;0,"Y","N")</f>
        <v>N</v>
      </c>
    </row>
    <row r="3782" customFormat="false" ht="15" hidden="false" customHeight="true" outlineLevel="0" collapsed="false">
      <c r="A3782" s="8" t="s">
        <v>1105</v>
      </c>
      <c r="B3782" s="8" t="s">
        <v>784</v>
      </c>
      <c r="C3782" s="19" t="n">
        <v>83</v>
      </c>
      <c r="D3782" s="19" t="n">
        <v>1334.38</v>
      </c>
      <c r="E3782" s="19" t="n">
        <v>34</v>
      </c>
      <c r="F3782" s="19" t="n">
        <v>555.62</v>
      </c>
      <c r="G3782" s="8" t="n">
        <f aca="false">IFERROR(INDEX('TRANS'!$B:$B,MATCH($B3782,'TRANS'!$A:$A,0)),IFERROR(INDEX('TRANS'!$B:$B,MATCH(TRIM(SUBSTITUTE($B3782,CHAR(160)," ")),'TRANS'!$D:$D,0)),IFERROR(INDEX('Catalog'!$A:$A,MATCH($B3782,'Catalog'!$B:$B,0)),IFERROR(INDEX('Catalog'!$A:$A,MATCH(TRIM(SUBSTITUTE($B3782,CHAR(160)," ")),'Catalog'!$C:$C,0)),""))))</f>
        <v>4408051</v>
      </c>
      <c r="H3782" s="8" t="str">
        <f aca="false">IFERROR(INDEX('TRANS'!$C:$C,MATCH($B3782,'TRANS'!$A:$A,0)),IFERROR(INDEX('Catalog'!$B:$B,MATCH($G3782,'Catalog'!$A:$A,0)),$B3782))</f>
        <v>21 S  חבק יד ארוך</v>
      </c>
      <c r="I3782" s="8" t="str">
        <f aca="false">IF($G3782="","Unmatched","Matched")</f>
        <v>Matched</v>
      </c>
      <c r="J3782" s="8" t="n">
        <f aca="false">IF($G3782&lt;&gt;"",$G3782,$B3782)</f>
        <v>4408051</v>
      </c>
      <c r="K3782" s="8" t="str">
        <f aca="false">IF(COUNTIF($M$1:$M$10,$A3782)&gt;0,"Y","N")</f>
        <v>N</v>
      </c>
    </row>
    <row r="3783" customFormat="false" ht="15" hidden="false" customHeight="true" outlineLevel="0" collapsed="false">
      <c r="A3783" s="8" t="s">
        <v>1105</v>
      </c>
      <c r="B3783" s="8" t="s">
        <v>785</v>
      </c>
      <c r="C3783" s="19" t="n">
        <v>95</v>
      </c>
      <c r="D3783" s="19" t="n">
        <v>1530.29</v>
      </c>
      <c r="E3783" s="19" t="n">
        <v>45</v>
      </c>
      <c r="F3783" s="19" t="n">
        <v>730.21</v>
      </c>
      <c r="G3783" s="8" t="n">
        <f aca="false">IFERROR(INDEX('TRANS'!$B:$B,MATCH($B3783,'TRANS'!$A:$A,0)),IFERROR(INDEX('TRANS'!$B:$B,MATCH(TRIM(SUBSTITUTE($B3783,CHAR(160)," ")),'TRANS'!$D:$D,0)),IFERROR(INDEX('Catalog'!$A:$A,MATCH($B3783,'Catalog'!$B:$B,0)),IFERROR(INDEX('Catalog'!$A:$A,MATCH(TRIM(SUBSTITUTE($B3783,CHAR(160)," ")),'Catalog'!$C:$C,0)),""))))</f>
        <v>4408054</v>
      </c>
      <c r="H3783" s="8" t="str">
        <f aca="false">IFERROR(INDEX('TRANS'!$C:$C,MATCH($B3783,'TRANS'!$A:$A,0)),IFERROR(INDEX('Catalog'!$B:$B,MATCH($G3783,'Catalog'!$A:$A,0)),$B3783))</f>
        <v>21 XL חבק יד ארוך</v>
      </c>
      <c r="I3783" s="8" t="str">
        <f aca="false">IF($G3783="","Unmatched","Matched")</f>
        <v>Matched</v>
      </c>
      <c r="J3783" s="8" t="n">
        <f aca="false">IF($G3783&lt;&gt;"",$G3783,$B3783)</f>
        <v>4408054</v>
      </c>
      <c r="K3783" s="8" t="str">
        <f aca="false">IF(COUNTIF($M$1:$M$10,$A3783)&gt;0,"Y","N")</f>
        <v>N</v>
      </c>
    </row>
    <row r="3784" customFormat="false" ht="15" hidden="false" customHeight="true" outlineLevel="0" collapsed="false">
      <c r="A3784" s="8" t="s">
        <v>1105</v>
      </c>
      <c r="B3784" s="8" t="s">
        <v>860</v>
      </c>
      <c r="C3784" s="19" t="n">
        <v>0</v>
      </c>
      <c r="D3784" s="19" t="n">
        <v>0</v>
      </c>
      <c r="E3784" s="19" t="n">
        <v>20</v>
      </c>
      <c r="F3784" s="19" t="n">
        <v>873.03</v>
      </c>
      <c r="G3784" s="8" t="n">
        <f aca="false">IFERROR(INDEX('TRANS'!$B:$B,MATCH($B3784,'TRANS'!$A:$A,0)),IFERROR(INDEX('TRANS'!$B:$B,MATCH(TRIM(SUBSTITUTE($B3784,CHAR(160)," ")),'TRANS'!$D:$D,0)),IFERROR(INDEX('Catalog'!$A:$A,MATCH($B3784,'Catalog'!$B:$B,0)),IFERROR(INDEX('Catalog'!$A:$A,MATCH(TRIM(SUBSTITUTE($B3784,CHAR(160)," ")),'Catalog'!$C:$C,0)),""))))</f>
        <v>4411026</v>
      </c>
      <c r="H3784" s="8" t="str">
        <f aca="false">IFERROR(INDEX('TRANS'!$C:$C,MATCH($B3784,'TRANS'!$A:$A,0)),IFERROR(INDEX('Catalog'!$B:$B,MATCH($G3784,'Catalog'!$A:$A,0)),$B3784))</f>
        <v>213CTSL L שמאל CTS כפפות</v>
      </c>
      <c r="I3784" s="8" t="str">
        <f aca="false">IF($G3784="","Unmatched","Matched")</f>
        <v>Matched</v>
      </c>
      <c r="J3784" s="8" t="n">
        <f aca="false">IF($G3784&lt;&gt;"",$G3784,$B3784)</f>
        <v>4411026</v>
      </c>
      <c r="K3784" s="8" t="str">
        <f aca="false">IF(COUNTIF($M$1:$M$10,$A3784)&gt;0,"Y","N")</f>
        <v>N</v>
      </c>
    </row>
    <row r="3785" customFormat="false" ht="15" hidden="false" customHeight="true" outlineLevel="0" collapsed="false">
      <c r="A3785" s="8" t="s">
        <v>1105</v>
      </c>
      <c r="B3785" s="8" t="s">
        <v>861</v>
      </c>
      <c r="C3785" s="19" t="n">
        <v>0</v>
      </c>
      <c r="D3785" s="19" t="n">
        <v>0</v>
      </c>
      <c r="E3785" s="19" t="n">
        <v>44</v>
      </c>
      <c r="F3785" s="19" t="n">
        <v>1909.32</v>
      </c>
      <c r="G3785" s="8" t="n">
        <f aca="false">IFERROR(INDEX('TRANS'!$B:$B,MATCH($B3785,'TRANS'!$A:$A,0)),IFERROR(INDEX('TRANS'!$B:$B,MATCH(TRIM(SUBSTITUTE($B3785,CHAR(160)," ")),'TRANS'!$D:$D,0)),IFERROR(INDEX('Catalog'!$A:$A,MATCH($B3785,'Catalog'!$B:$B,0)),IFERROR(INDEX('Catalog'!$A:$A,MATCH(TRIM(SUBSTITUTE($B3785,CHAR(160)," ")),'Catalog'!$C:$C,0)),""))))</f>
        <v>4411027</v>
      </c>
      <c r="H3785" s="8" t="str">
        <f aca="false">IFERROR(INDEX('TRANS'!$C:$C,MATCH($B3785,'TRANS'!$A:$A,0)),IFERROR(INDEX('Catalog'!$B:$B,MATCH($G3785,'Catalog'!$A:$A,0)),$B3785))</f>
        <v>213CTSL M שמאל CTS כפפות</v>
      </c>
      <c r="I3785" s="8" t="str">
        <f aca="false">IF($G3785="","Unmatched","Matched")</f>
        <v>Matched</v>
      </c>
      <c r="J3785" s="8" t="n">
        <f aca="false">IF($G3785&lt;&gt;"",$G3785,$B3785)</f>
        <v>4411027</v>
      </c>
      <c r="K3785" s="8" t="str">
        <f aca="false">IF(COUNTIF($M$1:$M$10,$A3785)&gt;0,"Y","N")</f>
        <v>N</v>
      </c>
    </row>
    <row r="3786" customFormat="false" ht="15" hidden="false" customHeight="true" outlineLevel="0" collapsed="false">
      <c r="A3786" s="8" t="s">
        <v>1105</v>
      </c>
      <c r="B3786" s="8" t="s">
        <v>862</v>
      </c>
      <c r="C3786" s="19" t="n">
        <v>0</v>
      </c>
      <c r="D3786" s="19" t="n">
        <v>0</v>
      </c>
      <c r="E3786" s="19" t="n">
        <v>27</v>
      </c>
      <c r="F3786" s="19" t="n">
        <v>1171.62</v>
      </c>
      <c r="G3786" s="8" t="n">
        <f aca="false">IFERROR(INDEX('TRANS'!$B:$B,MATCH($B3786,'TRANS'!$A:$A,0)),IFERROR(INDEX('TRANS'!$B:$B,MATCH(TRIM(SUBSTITUTE($B3786,CHAR(160)," ")),'TRANS'!$D:$D,0)),IFERROR(INDEX('Catalog'!$A:$A,MATCH($B3786,'Catalog'!$B:$B,0)),IFERROR(INDEX('Catalog'!$A:$A,MATCH(TRIM(SUBSTITUTE($B3786,CHAR(160)," ")),'Catalog'!$C:$C,0)),""))))</f>
        <v>4411028</v>
      </c>
      <c r="H3786" s="8" t="str">
        <f aca="false">IFERROR(INDEX('TRANS'!$C:$C,MATCH($B3786,'TRANS'!$A:$A,0)),IFERROR(INDEX('Catalog'!$B:$B,MATCH($G3786,'Catalog'!$A:$A,0)),$B3786))</f>
        <v>213CTSL S שמאל CTS כפפות</v>
      </c>
      <c r="I3786" s="8" t="str">
        <f aca="false">IF($G3786="","Unmatched","Matched")</f>
        <v>Matched</v>
      </c>
      <c r="J3786" s="8" t="n">
        <f aca="false">IF($G3786&lt;&gt;"",$G3786,$B3786)</f>
        <v>4411028</v>
      </c>
      <c r="K3786" s="8" t="str">
        <f aca="false">IF(COUNTIF($M$1:$M$10,$A3786)&gt;0,"Y","N")</f>
        <v>N</v>
      </c>
    </row>
    <row r="3787" customFormat="false" ht="15" hidden="false" customHeight="true" outlineLevel="0" collapsed="false">
      <c r="A3787" s="8" t="s">
        <v>1105</v>
      </c>
      <c r="B3787" s="8" t="s">
        <v>863</v>
      </c>
      <c r="C3787" s="19" t="n">
        <v>0</v>
      </c>
      <c r="D3787" s="19" t="n">
        <v>0</v>
      </c>
      <c r="E3787" s="19" t="n">
        <v>22</v>
      </c>
      <c r="F3787" s="19" t="n">
        <v>954.85</v>
      </c>
      <c r="G3787" s="8" t="n">
        <f aca="false">IFERROR(INDEX('TRANS'!$B:$B,MATCH($B3787,'TRANS'!$A:$A,0)),IFERROR(INDEX('TRANS'!$B:$B,MATCH(TRIM(SUBSTITUTE($B3787,CHAR(160)," ")),'TRANS'!$D:$D,0)),IFERROR(INDEX('Catalog'!$A:$A,MATCH($B3787,'Catalog'!$B:$B,0)),IFERROR(INDEX('Catalog'!$A:$A,MATCH(TRIM(SUBSTITUTE($B3787,CHAR(160)," ")),'Catalog'!$C:$C,0)),""))))</f>
        <v>4411029</v>
      </c>
      <c r="H3787" s="8" t="str">
        <f aca="false">IFERROR(INDEX('TRANS'!$C:$C,MATCH($B3787,'TRANS'!$A:$A,0)),IFERROR(INDEX('Catalog'!$B:$B,MATCH($G3787,'Catalog'!$A:$A,0)),$B3787))</f>
        <v>213CTSR L ימין CTS כפפות</v>
      </c>
      <c r="I3787" s="8" t="str">
        <f aca="false">IF($G3787="","Unmatched","Matched")</f>
        <v>Matched</v>
      </c>
      <c r="J3787" s="8" t="n">
        <f aca="false">IF($G3787&lt;&gt;"",$G3787,$B3787)</f>
        <v>4411029</v>
      </c>
      <c r="K3787" s="8" t="str">
        <f aca="false">IF(COUNTIF($M$1:$M$10,$A3787)&gt;0,"Y","N")</f>
        <v>N</v>
      </c>
    </row>
    <row r="3788" customFormat="false" ht="15" hidden="false" customHeight="true" outlineLevel="0" collapsed="false">
      <c r="A3788" s="8" t="s">
        <v>1105</v>
      </c>
      <c r="B3788" s="8" t="s">
        <v>864</v>
      </c>
      <c r="C3788" s="19" t="n">
        <v>1</v>
      </c>
      <c r="D3788" s="19" t="n">
        <v>0.04</v>
      </c>
      <c r="E3788" s="19" t="n">
        <v>40</v>
      </c>
      <c r="F3788" s="19" t="n">
        <v>1746.05</v>
      </c>
      <c r="G3788" s="8" t="n">
        <f aca="false">IFERROR(INDEX('TRANS'!$B:$B,MATCH($B3788,'TRANS'!$A:$A,0)),IFERROR(INDEX('TRANS'!$B:$B,MATCH(TRIM(SUBSTITUTE($B3788,CHAR(160)," ")),'TRANS'!$D:$D,0)),IFERROR(INDEX('Catalog'!$A:$A,MATCH($B3788,'Catalog'!$B:$B,0)),IFERROR(INDEX('Catalog'!$A:$A,MATCH(TRIM(SUBSTITUTE($B3788,CHAR(160)," ")),'Catalog'!$C:$C,0)),""))))</f>
        <v>4411030</v>
      </c>
      <c r="H3788" s="8" t="str">
        <f aca="false">IFERROR(INDEX('TRANS'!$C:$C,MATCH($B3788,'TRANS'!$A:$A,0)),IFERROR(INDEX('Catalog'!$B:$B,MATCH($G3788,'Catalog'!$A:$A,0)),$B3788))</f>
        <v>213CTSR M ימין CTS כפפות</v>
      </c>
      <c r="I3788" s="8" t="str">
        <f aca="false">IF($G3788="","Unmatched","Matched")</f>
        <v>Matched</v>
      </c>
      <c r="J3788" s="8" t="n">
        <f aca="false">IF($G3788&lt;&gt;"",$G3788,$B3788)</f>
        <v>4411030</v>
      </c>
      <c r="K3788" s="8" t="str">
        <f aca="false">IF(COUNTIF($M$1:$M$10,$A3788)&gt;0,"Y","N")</f>
        <v>N</v>
      </c>
    </row>
    <row r="3789" customFormat="false" ht="15" hidden="false" customHeight="true" outlineLevel="0" collapsed="false">
      <c r="A3789" s="8" t="s">
        <v>1105</v>
      </c>
      <c r="B3789" s="8" t="s">
        <v>865</v>
      </c>
      <c r="C3789" s="19" t="n">
        <v>0</v>
      </c>
      <c r="D3789" s="19" t="n">
        <v>0</v>
      </c>
      <c r="E3789" s="19" t="n">
        <v>25</v>
      </c>
      <c r="F3789" s="19" t="n">
        <v>1091.28</v>
      </c>
      <c r="G3789" s="8" t="n">
        <f aca="false">IFERROR(INDEX('TRANS'!$B:$B,MATCH($B3789,'TRANS'!$A:$A,0)),IFERROR(INDEX('TRANS'!$B:$B,MATCH(TRIM(SUBSTITUTE($B3789,CHAR(160)," ")),'TRANS'!$D:$D,0)),IFERROR(INDEX('Catalog'!$A:$A,MATCH($B3789,'Catalog'!$B:$B,0)),IFERROR(INDEX('Catalog'!$A:$A,MATCH(TRIM(SUBSTITUTE($B3789,CHAR(160)," ")),'Catalog'!$C:$C,0)),""))))</f>
        <v>4411031</v>
      </c>
      <c r="H3789" s="8" t="str">
        <f aca="false">IFERROR(INDEX('TRANS'!$C:$C,MATCH($B3789,'TRANS'!$A:$A,0)),IFERROR(INDEX('Catalog'!$B:$B,MATCH($G3789,'Catalog'!$A:$A,0)),$B3789))</f>
        <v>213CTS  S ימין CTS כפפות</v>
      </c>
      <c r="I3789" s="8" t="str">
        <f aca="false">IF($G3789="","Unmatched","Matched")</f>
        <v>Matched</v>
      </c>
      <c r="J3789" s="8" t="n">
        <f aca="false">IF($G3789&lt;&gt;"",$G3789,$B3789)</f>
        <v>4411031</v>
      </c>
      <c r="K3789" s="8" t="str">
        <f aca="false">IF(COUNTIF($M$1:$M$10,$A3789)&gt;0,"Y","N")</f>
        <v>N</v>
      </c>
    </row>
    <row r="3790" customFormat="false" ht="15" hidden="false" customHeight="true" outlineLevel="0" collapsed="false">
      <c r="A3790" s="8" t="s">
        <v>1105</v>
      </c>
      <c r="B3790" s="8" t="s">
        <v>583</v>
      </c>
      <c r="C3790" s="19" t="n">
        <v>111</v>
      </c>
      <c r="D3790" s="19" t="n">
        <v>1511.29</v>
      </c>
      <c r="E3790" s="19" t="n">
        <v>120</v>
      </c>
      <c r="F3790" s="19" t="n">
        <v>1638.91</v>
      </c>
      <c r="G3790" s="8" t="n">
        <f aca="false">IFERROR(INDEX('TRANS'!$B:$B,MATCH($B3790,'TRANS'!$A:$A,0)),IFERROR(INDEX('TRANS'!$B:$B,MATCH(TRIM(SUBSTITUTE($B3790,CHAR(160)," ")),'TRANS'!$D:$D,0)),IFERROR(INDEX('Catalog'!$A:$A,MATCH($B3790,'Catalog'!$B:$B,0)),IFERROR(INDEX('Catalog'!$A:$A,MATCH(TRIM(SUBSTITUTE($B3790,CHAR(160)," ")),'Catalog'!$C:$C,0)),""))))</f>
        <v>4415029</v>
      </c>
      <c r="H3790" s="8" t="str">
        <f aca="false">IFERROR(INDEX('TRANS'!$C:$C,MATCH($B3790,'TRANS'!$A:$A,0)),IFERROR(INDEX('Catalog'!$B:$B,MATCH($G3790,'Catalog'!$A:$A,0)),$B3790))</f>
        <v>סד קיבוע לאצבע הדק</v>
      </c>
      <c r="I3790" s="8" t="str">
        <f aca="false">IF($G3790="","Unmatched","Matched")</f>
        <v>Matched</v>
      </c>
      <c r="J3790" s="8" t="n">
        <f aca="false">IF($G3790&lt;&gt;"",$G3790,$B3790)</f>
        <v>4415029</v>
      </c>
      <c r="K3790" s="8" t="str">
        <f aca="false">IF(COUNTIF($M$1:$M$10,$A3790)&gt;0,"Y","N")</f>
        <v>N</v>
      </c>
    </row>
    <row r="3791" customFormat="false" ht="15" hidden="false" customHeight="true" outlineLevel="0" collapsed="false">
      <c r="A3791" s="8" t="s">
        <v>1105</v>
      </c>
      <c r="B3791" s="8" t="s">
        <v>584</v>
      </c>
      <c r="C3791" s="19" t="n">
        <v>320</v>
      </c>
      <c r="D3791" s="19" t="n">
        <v>2685.05</v>
      </c>
      <c r="E3791" s="19" t="n">
        <v>285</v>
      </c>
      <c r="F3791" s="19" t="n">
        <v>2402.49</v>
      </c>
      <c r="G3791" s="8" t="n">
        <f aca="false">IFERROR(INDEX('TRANS'!$B:$B,MATCH($B3791,'TRANS'!$A:$A,0)),IFERROR(INDEX('TRANS'!$B:$B,MATCH(TRIM(SUBSTITUTE($B3791,CHAR(160)," ")),'TRANS'!$D:$D,0)),IFERROR(INDEX('Catalog'!$A:$A,MATCH($B3791,'Catalog'!$B:$B,0)),IFERROR(INDEX('Catalog'!$A:$A,MATCH(TRIM(SUBSTITUTE($B3791,CHAR(160)," ")),'Catalog'!$C:$C,0)),""))))</f>
        <v>4415162</v>
      </c>
      <c r="H3791" s="8" t="str">
        <f aca="false">IFERROR(INDEX('TRANS'!$C:$C,MATCH($B3791,'TRANS'!$A:$A,0)),IFERROR(INDEX('Catalog'!$B:$B,MATCH($G3791,'Catalog'!$A:$A,0)),$B3791))</f>
        <v>238L סד ליישור אצבע</v>
      </c>
      <c r="I3791" s="8" t="str">
        <f aca="false">IF($G3791="","Unmatched","Matched")</f>
        <v>Matched</v>
      </c>
      <c r="J3791" s="8" t="n">
        <f aca="false">IF($G3791&lt;&gt;"",$G3791,$B3791)</f>
        <v>4415162</v>
      </c>
      <c r="K3791" s="8" t="str">
        <f aca="false">IF(COUNTIF($M$1:$M$10,$A3791)&gt;0,"Y","N")</f>
        <v>N</v>
      </c>
    </row>
    <row r="3792" customFormat="false" ht="15" hidden="false" customHeight="true" outlineLevel="0" collapsed="false">
      <c r="A3792" s="8" t="s">
        <v>1105</v>
      </c>
      <c r="B3792" s="8" t="s">
        <v>926</v>
      </c>
      <c r="C3792" s="19" t="n">
        <v>277</v>
      </c>
      <c r="D3792" s="19" t="n">
        <v>2322.18</v>
      </c>
      <c r="E3792" s="19" t="n">
        <v>260</v>
      </c>
      <c r="F3792" s="19" t="n">
        <v>2193.63</v>
      </c>
      <c r="G3792" s="8" t="n">
        <f aca="false">IFERROR(INDEX('TRANS'!$B:$B,MATCH($B3792,'TRANS'!$A:$A,0)),IFERROR(INDEX('TRANS'!$B:$B,MATCH(TRIM(SUBSTITUTE($B3792,CHAR(160)," ")),'TRANS'!$D:$D,0)),IFERROR(INDEX('Catalog'!$A:$A,MATCH($B3792,'Catalog'!$B:$B,0)),IFERROR(INDEX('Catalog'!$A:$A,MATCH(TRIM(SUBSTITUTE($B3792,CHAR(160)," ")),'Catalog'!$C:$C,0)),""))))</f>
        <v>4415161</v>
      </c>
      <c r="H3792" s="8" t="str">
        <f aca="false">IFERROR(INDEX('TRANS'!$C:$C,MATCH($B3792,'TRANS'!$A:$A,0)),IFERROR(INDEX('Catalog'!$B:$B,MATCH($G3792,'Catalog'!$A:$A,0)),$B3792))</f>
        <v>238M סד ליישור אצבע</v>
      </c>
      <c r="I3792" s="8" t="str">
        <f aca="false">IF($G3792="","Unmatched","Matched")</f>
        <v>Matched</v>
      </c>
      <c r="J3792" s="8" t="n">
        <f aca="false">IF($G3792&lt;&gt;"",$G3792,$B3792)</f>
        <v>4415161</v>
      </c>
      <c r="K3792" s="8" t="str">
        <f aca="false">IF(COUNTIF($M$1:$M$10,$A3792)&gt;0,"Y","N")</f>
        <v>N</v>
      </c>
    </row>
    <row r="3793" customFormat="false" ht="15" hidden="false" customHeight="true" outlineLevel="0" collapsed="false">
      <c r="A3793" s="8" t="s">
        <v>1105</v>
      </c>
      <c r="B3793" s="8" t="s">
        <v>585</v>
      </c>
      <c r="C3793" s="19" t="n">
        <v>200</v>
      </c>
      <c r="D3793" s="19" t="n">
        <v>1676.51</v>
      </c>
      <c r="E3793" s="19" t="n">
        <v>205</v>
      </c>
      <c r="F3793" s="19" t="n">
        <v>1720.27</v>
      </c>
      <c r="G3793" s="8" t="n">
        <f aca="false">IFERROR(INDEX('TRANS'!$B:$B,MATCH($B3793,'TRANS'!$A:$A,0)),IFERROR(INDEX('TRANS'!$B:$B,MATCH(TRIM(SUBSTITUTE($B3793,CHAR(160)," ")),'TRANS'!$D:$D,0)),IFERROR(INDEX('Catalog'!$A:$A,MATCH($B3793,'Catalog'!$B:$B,0)),IFERROR(INDEX('Catalog'!$A:$A,MATCH(TRIM(SUBSTITUTE($B3793,CHAR(160)," ")),'Catalog'!$C:$C,0)),""))))</f>
        <v>4415160</v>
      </c>
      <c r="H3793" s="8" t="str">
        <f aca="false">IFERROR(INDEX('TRANS'!$C:$C,MATCH($B3793,'TRANS'!$A:$A,0)),IFERROR(INDEX('Catalog'!$B:$B,MATCH($G3793,'Catalog'!$A:$A,0)),$B3793))</f>
        <v>238S סד ליישור אצבע</v>
      </c>
      <c r="I3793" s="8" t="str">
        <f aca="false">IF($G3793="","Unmatched","Matched")</f>
        <v>Matched</v>
      </c>
      <c r="J3793" s="8" t="n">
        <f aca="false">IF($G3793&lt;&gt;"",$G3793,$B3793)</f>
        <v>4415160</v>
      </c>
      <c r="K3793" s="8" t="str">
        <f aca="false">IF(COUNTIF($M$1:$M$10,$A3793)&gt;0,"Y","N")</f>
        <v>N</v>
      </c>
    </row>
    <row r="3794" customFormat="false" ht="15" hidden="false" customHeight="true" outlineLevel="0" collapsed="false">
      <c r="A3794" s="8" t="s">
        <v>1105</v>
      </c>
      <c r="B3794" s="8" t="s">
        <v>927</v>
      </c>
      <c r="C3794" s="19" t="n">
        <v>177</v>
      </c>
      <c r="D3794" s="19" t="n">
        <v>1496.47</v>
      </c>
      <c r="E3794" s="19" t="n">
        <v>180</v>
      </c>
      <c r="F3794" s="19" t="n">
        <v>1520.43</v>
      </c>
      <c r="G3794" s="8" t="n">
        <f aca="false">IFERROR(INDEX('TRANS'!$B:$B,MATCH($B3794,'TRANS'!$A:$A,0)),IFERROR(INDEX('TRANS'!$B:$B,MATCH(TRIM(SUBSTITUTE($B3794,CHAR(160)," ")),'TRANS'!$D:$D,0)),IFERROR(INDEX('Catalog'!$A:$A,MATCH($B3794,'Catalog'!$B:$B,0)),IFERROR(INDEX('Catalog'!$A:$A,MATCH(TRIM(SUBSTITUTE($B3794,CHAR(160)," ")),'Catalog'!$C:$C,0)),""))))</f>
        <v>4415163</v>
      </c>
      <c r="H3794" s="8" t="str">
        <f aca="false">IFERROR(INDEX('TRANS'!$C:$C,MATCH($B3794,'TRANS'!$A:$A,0)),IFERROR(INDEX('Catalog'!$B:$B,MATCH($G3794,'Catalog'!$A:$A,0)),$B3794))</f>
        <v>238XL סד ליישור אצבע</v>
      </c>
      <c r="I3794" s="8" t="str">
        <f aca="false">IF($G3794="","Unmatched","Matched")</f>
        <v>Matched</v>
      </c>
      <c r="J3794" s="8" t="n">
        <f aca="false">IF($G3794&lt;&gt;"",$G3794,$B3794)</f>
        <v>4415163</v>
      </c>
      <c r="K3794" s="8" t="str">
        <f aca="false">IF(COUNTIF($M$1:$M$10,$A3794)&gt;0,"Y","N")</f>
        <v>N</v>
      </c>
    </row>
    <row r="3795" customFormat="false" ht="15" hidden="false" customHeight="true" outlineLevel="0" collapsed="false">
      <c r="A3795" s="8" t="s">
        <v>1105</v>
      </c>
      <c r="B3795" s="8" t="s">
        <v>586</v>
      </c>
      <c r="C3795" s="19" t="n">
        <v>0</v>
      </c>
      <c r="D3795" s="19" t="n">
        <v>0</v>
      </c>
      <c r="E3795" s="19" t="n">
        <v>2</v>
      </c>
      <c r="F3795" s="19" t="n">
        <v>104.57</v>
      </c>
      <c r="G3795" s="8" t="n">
        <f aca="false">IFERROR(INDEX('TRANS'!$B:$B,MATCH($B3795,'TRANS'!$A:$A,0)),IFERROR(INDEX('TRANS'!$B:$B,MATCH(TRIM(SUBSTITUTE($B3795,CHAR(160)," ")),'TRANS'!$D:$D,0)),IFERROR(INDEX('Catalog'!$A:$A,MATCH($B3795,'Catalog'!$B:$B,0)),IFERROR(INDEX('Catalog'!$A:$A,MATCH(TRIM(SUBSTITUTE($B3795,CHAR(160)," ")),'Catalog'!$C:$C,0)),""))))</f>
        <v>4419013</v>
      </c>
      <c r="H3795" s="8" t="str">
        <f aca="false">IFERROR(INDEX('TRANS'!$C:$C,MATCH($B3795,'TRANS'!$A:$A,0)),IFERROR(INDEX('Catalog'!$B:$B,MATCH($G3795,'Catalog'!$A:$A,0)),$B3795))</f>
        <v>239B L-XL STRAP4U</v>
      </c>
      <c r="I3795" s="8" t="str">
        <f aca="false">IF($G3795="","Unmatched","Matched")</f>
        <v>Matched</v>
      </c>
      <c r="J3795" s="8" t="n">
        <f aca="false">IF($G3795&lt;&gt;"",$G3795,$B3795)</f>
        <v>4419013</v>
      </c>
      <c r="K3795" s="8" t="str">
        <f aca="false">IF(COUNTIF($M$1:$M$10,$A3795)&gt;0,"Y","N")</f>
        <v>N</v>
      </c>
    </row>
    <row r="3796" customFormat="false" ht="15" hidden="false" customHeight="true" outlineLevel="0" collapsed="false">
      <c r="A3796" s="8" t="s">
        <v>1105</v>
      </c>
      <c r="B3796" s="8" t="s">
        <v>587</v>
      </c>
      <c r="C3796" s="19" t="n">
        <v>27</v>
      </c>
      <c r="D3796" s="19" t="n">
        <v>413.35</v>
      </c>
      <c r="E3796" s="19" t="n">
        <v>5</v>
      </c>
      <c r="F3796" s="19" t="n">
        <v>70.5</v>
      </c>
      <c r="G3796" s="8" t="n">
        <f aca="false">IFERROR(INDEX('TRANS'!$B:$B,MATCH($B3796,'TRANS'!$A:$A,0)),IFERROR(INDEX('TRANS'!$B:$B,MATCH(TRIM(SUBSTITUTE($B3796,CHAR(160)," ")),'TRANS'!$D:$D,0)),IFERROR(INDEX('Catalog'!$A:$A,MATCH($B3796,'Catalog'!$B:$B,0)),IFERROR(INDEX('Catalog'!$A:$A,MATCH(TRIM(SUBSTITUTE($B3796,CHAR(160)," ")),'Catalog'!$C:$C,0)),""))))</f>
        <v>4419011</v>
      </c>
      <c r="H3796" s="8" t="str">
        <f aca="false">IFERROR(INDEX('TRANS'!$C:$C,MATCH($B3796,'TRANS'!$A:$A,0)),IFERROR(INDEX('Catalog'!$B:$B,MATCH($G3796,'Catalog'!$A:$A,0)),$B3796))</f>
        <v>239B S-M STRAP4U</v>
      </c>
      <c r="I3796" s="8" t="str">
        <f aca="false">IF($G3796="","Unmatched","Matched")</f>
        <v>Matched</v>
      </c>
      <c r="J3796" s="8" t="n">
        <f aca="false">IF($G3796&lt;&gt;"",$G3796,$B3796)</f>
        <v>4419011</v>
      </c>
      <c r="K3796" s="8" t="str">
        <f aca="false">IF(COUNTIF($M$1:$M$10,$A3796)&gt;0,"Y","N")</f>
        <v>N</v>
      </c>
    </row>
    <row r="3797" customFormat="false" ht="15" hidden="false" customHeight="true" outlineLevel="0" collapsed="false">
      <c r="A3797" s="8" t="s">
        <v>1105</v>
      </c>
      <c r="B3797" s="8" t="s">
        <v>538</v>
      </c>
      <c r="C3797" s="19" t="n">
        <v>0</v>
      </c>
      <c r="D3797" s="19" t="n">
        <v>0</v>
      </c>
      <c r="E3797" s="19" t="n">
        <v>1</v>
      </c>
      <c r="F3797" s="19" t="n">
        <v>0.03</v>
      </c>
      <c r="G3797" s="8" t="str">
        <f aca="false">IFERROR(INDEX('TRANS'!$B:$B,MATCH($B3797,'TRANS'!$A:$A,0)),IFERROR(INDEX('TRANS'!$B:$B,MATCH(TRIM(SUBSTITUTE($B3797,CHAR(160)," ")),'TRANS'!$D:$D,0)),IFERROR(INDEX('Catalog'!$A:$A,MATCH($B3797,'Catalog'!$B:$B,0)),IFERROR(INDEX('Catalog'!$A:$A,MATCH(TRIM(SUBSTITUTE($B3797,CHAR(160)," ")),'Catalog'!$C:$C,0)),""))))</f>
        <v/>
      </c>
      <c r="H3797" s="8" t="str">
        <f aca="false">IFERROR(INDEX('TRANS'!$C:$C,MATCH($B3797,'TRANS'!$A:$A,0)),IFERROR(INDEX('Catalog'!$B:$B,MATCH($G3797,'Catalog'!$A:$A,0)),$B3797))</f>
        <v>239P-S-M</v>
      </c>
      <c r="I3797" s="8" t="str">
        <f aca="false">IF($G3797="","Unmatched","Matched")</f>
        <v>Unmatched</v>
      </c>
      <c r="J3797" s="8" t="str">
        <f aca="false">IF($G3797&lt;&gt;"",$G3797,$B3797)</f>
        <v>239P-S-M</v>
      </c>
      <c r="K3797" s="8" t="str">
        <f aca="false">IF(COUNTIF($M$1:$M$10,$A3797)&gt;0,"Y","N")</f>
        <v>N</v>
      </c>
    </row>
    <row r="3798" customFormat="false" ht="15" hidden="false" customHeight="true" outlineLevel="0" collapsed="false">
      <c r="A3798" s="8" t="s">
        <v>1105</v>
      </c>
      <c r="B3798" s="8" t="s">
        <v>235</v>
      </c>
      <c r="C3798" s="19" t="n">
        <v>86</v>
      </c>
      <c r="D3798" s="19" t="n">
        <v>3010.82</v>
      </c>
      <c r="E3798" s="19" t="n">
        <v>54</v>
      </c>
      <c r="F3798" s="19" t="n">
        <v>1881.45</v>
      </c>
      <c r="G3798" s="8" t="str">
        <f aca="false">IFERROR(INDEX('TRANS'!$B:$B,MATCH($B3798,'TRANS'!$A:$A,0)),IFERROR(INDEX('TRANS'!$B:$B,MATCH(TRIM(SUBSTITUTE($B3798,CHAR(160)," ")),'TRANS'!$D:$D,0)),IFERROR(INDEX('Catalog'!$A:$A,MATCH($B3798,'Catalog'!$B:$B,0)),IFERROR(INDEX('Catalog'!$A:$A,MATCH(TRIM(SUBSTITUTE($B3798,CHAR(160)," ")),'Catalog'!$C:$C,0)),""))))</f>
        <v/>
      </c>
      <c r="H3798" s="8" t="str">
        <f aca="false">IFERROR(INDEX('TRANS'!$C:$C,MATCH($B3798,'TRANS'!$A:$A,0)),IFERROR(INDEX('Catalog'!$B:$B,MATCH($G3798,'Catalog'!$A:$A,0)),$B3798))</f>
        <v>305-35-36</v>
      </c>
      <c r="I3798" s="8" t="str">
        <f aca="false">IF($G3798="","Unmatched","Matched")</f>
        <v>Unmatched</v>
      </c>
      <c r="J3798" s="8" t="str">
        <f aca="false">IF($G3798&lt;&gt;"",$G3798,$B3798)</f>
        <v>305-35-36</v>
      </c>
      <c r="K3798" s="8" t="str">
        <f aca="false">IF(COUNTIF($M$1:$M$10,$A3798)&gt;0,"Y","N")</f>
        <v>N</v>
      </c>
    </row>
    <row r="3799" customFormat="false" ht="15" hidden="false" customHeight="true" outlineLevel="0" collapsed="false">
      <c r="A3799" s="8" t="s">
        <v>1105</v>
      </c>
      <c r="B3799" s="8" t="s">
        <v>200</v>
      </c>
      <c r="C3799" s="19" t="n">
        <v>382</v>
      </c>
      <c r="D3799" s="19" t="n">
        <v>13310.26</v>
      </c>
      <c r="E3799" s="19" t="n">
        <v>238</v>
      </c>
      <c r="F3799" s="19" t="n">
        <v>8295.91</v>
      </c>
      <c r="G3799" s="8" t="str">
        <f aca="false">IFERROR(INDEX('TRANS'!$B:$B,MATCH($B3799,'TRANS'!$A:$A,0)),IFERROR(INDEX('TRANS'!$B:$B,MATCH(TRIM(SUBSTITUTE($B3799,CHAR(160)," ")),'TRANS'!$D:$D,0)),IFERROR(INDEX('Catalog'!$A:$A,MATCH($B3799,'Catalog'!$B:$B,0)),IFERROR(INDEX('Catalog'!$A:$A,MATCH(TRIM(SUBSTITUTE($B3799,CHAR(160)," ")),'Catalog'!$C:$C,0)),""))))</f>
        <v/>
      </c>
      <c r="H3799" s="8" t="str">
        <f aca="false">IFERROR(INDEX('TRANS'!$C:$C,MATCH($B3799,'TRANS'!$A:$A,0)),IFERROR(INDEX('Catalog'!$B:$B,MATCH($G3799,'Catalog'!$A:$A,0)),$B3799))</f>
        <v>305-37-38</v>
      </c>
      <c r="I3799" s="8" t="str">
        <f aca="false">IF($G3799="","Unmatched","Matched")</f>
        <v>Unmatched</v>
      </c>
      <c r="J3799" s="8" t="str">
        <f aca="false">IF($G3799&lt;&gt;"",$G3799,$B3799)</f>
        <v>305-37-38</v>
      </c>
      <c r="K3799" s="8" t="str">
        <f aca="false">IF(COUNTIF($M$1:$M$10,$A3799)&gt;0,"Y","N")</f>
        <v>N</v>
      </c>
    </row>
    <row r="3800" customFormat="false" ht="15" hidden="false" customHeight="true" outlineLevel="0" collapsed="false">
      <c r="A3800" s="8" t="s">
        <v>1105</v>
      </c>
      <c r="B3800" s="8" t="s">
        <v>140</v>
      </c>
      <c r="C3800" s="19" t="n">
        <v>455</v>
      </c>
      <c r="D3800" s="19" t="n">
        <v>15741.91</v>
      </c>
      <c r="E3800" s="19" t="n">
        <v>422</v>
      </c>
      <c r="F3800" s="19" t="n">
        <v>14665.96</v>
      </c>
      <c r="G3800" s="8" t="str">
        <f aca="false">IFERROR(INDEX('TRANS'!$B:$B,MATCH($B3800,'TRANS'!$A:$A,0)),IFERROR(INDEX('TRANS'!$B:$B,MATCH(TRIM(SUBSTITUTE($B3800,CHAR(160)," ")),'TRANS'!$D:$D,0)),IFERROR(INDEX('Catalog'!$A:$A,MATCH($B3800,'Catalog'!$B:$B,0)),IFERROR(INDEX('Catalog'!$A:$A,MATCH(TRIM(SUBSTITUTE($B3800,CHAR(160)," ")),'Catalog'!$C:$C,0)),""))))</f>
        <v/>
      </c>
      <c r="H3800" s="8" t="str">
        <f aca="false">IFERROR(INDEX('TRANS'!$C:$C,MATCH($B3800,'TRANS'!$A:$A,0)),IFERROR(INDEX('Catalog'!$B:$B,MATCH($G3800,'Catalog'!$A:$A,0)),$B3800))</f>
        <v>305-39-40</v>
      </c>
      <c r="I3800" s="8" t="str">
        <f aca="false">IF($G3800="","Unmatched","Matched")</f>
        <v>Unmatched</v>
      </c>
      <c r="J3800" s="8" t="str">
        <f aca="false">IF($G3800&lt;&gt;"",$G3800,$B3800)</f>
        <v>305-39-40</v>
      </c>
      <c r="K3800" s="8" t="str">
        <f aca="false">IF(COUNTIF($M$1:$M$10,$A3800)&gt;0,"Y","N")</f>
        <v>N</v>
      </c>
    </row>
    <row r="3801" customFormat="false" ht="15" hidden="false" customHeight="true" outlineLevel="0" collapsed="false">
      <c r="A3801" s="8" t="s">
        <v>1105</v>
      </c>
      <c r="B3801" s="8" t="s">
        <v>102</v>
      </c>
      <c r="C3801" s="19" t="n">
        <v>415</v>
      </c>
      <c r="D3801" s="19" t="n">
        <v>14378.42</v>
      </c>
      <c r="E3801" s="19" t="n">
        <v>403</v>
      </c>
      <c r="F3801" s="19" t="n">
        <v>14031.05</v>
      </c>
      <c r="G3801" s="8" t="str">
        <f aca="false">IFERROR(INDEX('TRANS'!$B:$B,MATCH($B3801,'TRANS'!$A:$A,0)),IFERROR(INDEX('TRANS'!$B:$B,MATCH(TRIM(SUBSTITUTE($B3801,CHAR(160)," ")),'TRANS'!$D:$D,0)),IFERROR(INDEX('Catalog'!$A:$A,MATCH($B3801,'Catalog'!$B:$B,0)),IFERROR(INDEX('Catalog'!$A:$A,MATCH(TRIM(SUBSTITUTE($B3801,CHAR(160)," ")),'Catalog'!$C:$C,0)),""))))</f>
        <v/>
      </c>
      <c r="H3801" s="8" t="str">
        <f aca="false">IFERROR(INDEX('TRANS'!$C:$C,MATCH($B3801,'TRANS'!$A:$A,0)),IFERROR(INDEX('Catalog'!$B:$B,MATCH($G3801,'Catalog'!$A:$A,0)),$B3801))</f>
        <v>305-41-42</v>
      </c>
      <c r="I3801" s="8" t="str">
        <f aca="false">IF($G3801="","Unmatched","Matched")</f>
        <v>Unmatched</v>
      </c>
      <c r="J3801" s="8" t="str">
        <f aca="false">IF($G3801&lt;&gt;"",$G3801,$B3801)</f>
        <v>305-41-42</v>
      </c>
      <c r="K3801" s="8" t="str">
        <f aca="false">IF(COUNTIF($M$1:$M$10,$A3801)&gt;0,"Y","N")</f>
        <v>N</v>
      </c>
    </row>
    <row r="3802" customFormat="false" ht="15" hidden="false" customHeight="true" outlineLevel="0" collapsed="false">
      <c r="A3802" s="8" t="s">
        <v>1105</v>
      </c>
      <c r="B3802" s="8" t="s">
        <v>108</v>
      </c>
      <c r="C3802" s="19" t="n">
        <v>429</v>
      </c>
      <c r="D3802" s="19" t="n">
        <v>14899.33</v>
      </c>
      <c r="E3802" s="19" t="n">
        <v>400</v>
      </c>
      <c r="F3802" s="19" t="n">
        <v>13866.48</v>
      </c>
      <c r="G3802" s="8" t="str">
        <f aca="false">IFERROR(INDEX('TRANS'!$B:$B,MATCH($B3802,'TRANS'!$A:$A,0)),IFERROR(INDEX('TRANS'!$B:$B,MATCH(TRIM(SUBSTITUTE($B3802,CHAR(160)," ")),'TRANS'!$D:$D,0)),IFERROR(INDEX('Catalog'!$A:$A,MATCH($B3802,'Catalog'!$B:$B,0)),IFERROR(INDEX('Catalog'!$A:$A,MATCH(TRIM(SUBSTITUTE($B3802,CHAR(160)," ")),'Catalog'!$C:$C,0)),""))))</f>
        <v/>
      </c>
      <c r="H3802" s="8" t="str">
        <f aca="false">IFERROR(INDEX('TRANS'!$C:$C,MATCH($B3802,'TRANS'!$A:$A,0)),IFERROR(INDEX('Catalog'!$B:$B,MATCH($G3802,'Catalog'!$A:$A,0)),$B3802))</f>
        <v>305-43-44</v>
      </c>
      <c r="I3802" s="8" t="str">
        <f aca="false">IF($G3802="","Unmatched","Matched")</f>
        <v>Unmatched</v>
      </c>
      <c r="J3802" s="8" t="str">
        <f aca="false">IF($G3802&lt;&gt;"",$G3802,$B3802)</f>
        <v>305-43-44</v>
      </c>
      <c r="K3802" s="8" t="str">
        <f aca="false">IF(COUNTIF($M$1:$M$10,$A3802)&gt;0,"Y","N")</f>
        <v>N</v>
      </c>
    </row>
    <row r="3803" customFormat="false" ht="15" hidden="false" customHeight="true" outlineLevel="0" collapsed="false">
      <c r="A3803" s="8" t="s">
        <v>1105</v>
      </c>
      <c r="B3803" s="8" t="s">
        <v>201</v>
      </c>
      <c r="C3803" s="19" t="n">
        <v>259</v>
      </c>
      <c r="D3803" s="19" t="n">
        <v>9007.37</v>
      </c>
      <c r="E3803" s="19" t="n">
        <v>178</v>
      </c>
      <c r="F3803" s="19" t="n">
        <v>6187.91</v>
      </c>
      <c r="G3803" s="8" t="str">
        <f aca="false">IFERROR(INDEX('TRANS'!$B:$B,MATCH($B3803,'TRANS'!$A:$A,0)),IFERROR(INDEX('TRANS'!$B:$B,MATCH(TRIM(SUBSTITUTE($B3803,CHAR(160)," ")),'TRANS'!$D:$D,0)),IFERROR(INDEX('Catalog'!$A:$A,MATCH($B3803,'Catalog'!$B:$B,0)),IFERROR(INDEX('Catalog'!$A:$A,MATCH(TRIM(SUBSTITUTE($B3803,CHAR(160)," ")),'Catalog'!$C:$C,0)),""))))</f>
        <v/>
      </c>
      <c r="H3803" s="8" t="str">
        <f aca="false">IFERROR(INDEX('TRANS'!$C:$C,MATCH($B3803,'TRANS'!$A:$A,0)),IFERROR(INDEX('Catalog'!$B:$B,MATCH($G3803,'Catalog'!$A:$A,0)),$B3803))</f>
        <v>305-45-46</v>
      </c>
      <c r="I3803" s="8" t="str">
        <f aca="false">IF($G3803="","Unmatched","Matched")</f>
        <v>Unmatched</v>
      </c>
      <c r="J3803" s="8" t="str">
        <f aca="false">IF($G3803&lt;&gt;"",$G3803,$B3803)</f>
        <v>305-45-46</v>
      </c>
      <c r="K3803" s="8" t="str">
        <f aca="false">IF(COUNTIF($M$1:$M$10,$A3803)&gt;0,"Y","N")</f>
        <v>N</v>
      </c>
    </row>
    <row r="3804" customFormat="false" ht="15" hidden="false" customHeight="true" outlineLevel="0" collapsed="false">
      <c r="A3804" s="8" t="s">
        <v>1105</v>
      </c>
      <c r="B3804" s="8" t="s">
        <v>601</v>
      </c>
      <c r="C3804" s="19" t="n">
        <v>496</v>
      </c>
      <c r="D3804" s="19" t="n">
        <v>13689.07</v>
      </c>
      <c r="E3804" s="19" t="n">
        <v>465</v>
      </c>
      <c r="F3804" s="19" t="n">
        <v>12809.29</v>
      </c>
      <c r="G3804" s="8" t="n">
        <f aca="false">IFERROR(INDEX('TRANS'!$B:$B,MATCH($B3804,'TRANS'!$A:$A,0)),IFERROR(INDEX('TRANS'!$B:$B,MATCH(TRIM(SUBSTITUTE($B3804,CHAR(160)," ")),'TRANS'!$D:$D,0)),IFERROR(INDEX('Catalog'!$A:$A,MATCH($B3804,'Catalog'!$B:$B,0)),IFERROR(INDEX('Catalog'!$A:$A,MATCH(TRIM(SUBSTITUTE($B3804,CHAR(160)," ")),'Catalog'!$C:$C,0)),""))))</f>
        <v>4416000</v>
      </c>
      <c r="H3804" s="8" t="str">
        <f aca="false">IFERROR(INDEX('TRANS'!$C:$C,MATCH($B3804,'TRANS'!$A:$A,0)),IFERROR(INDEX('Catalog'!$B:$B,MATCH($G3804,'Catalog'!$A:$A,0)),$B3804))</f>
        <v>307 L עקבים לדורבן-זוג כריות</v>
      </c>
      <c r="I3804" s="8" t="str">
        <f aca="false">IF($G3804="","Unmatched","Matched")</f>
        <v>Matched</v>
      </c>
      <c r="J3804" s="8" t="n">
        <f aca="false">IF($G3804&lt;&gt;"",$G3804,$B3804)</f>
        <v>4416000</v>
      </c>
      <c r="K3804" s="8" t="str">
        <f aca="false">IF(COUNTIF($M$1:$M$10,$A3804)&gt;0,"Y","N")</f>
        <v>N</v>
      </c>
    </row>
    <row r="3805" customFormat="false" ht="15" hidden="false" customHeight="true" outlineLevel="0" collapsed="false">
      <c r="A3805" s="8" t="s">
        <v>1105</v>
      </c>
      <c r="B3805" s="8" t="s">
        <v>602</v>
      </c>
      <c r="C3805" s="19" t="n">
        <v>530</v>
      </c>
      <c r="D3805" s="19" t="n">
        <v>14586.27</v>
      </c>
      <c r="E3805" s="19" t="n">
        <v>440</v>
      </c>
      <c r="F3805" s="19" t="n">
        <v>12128.46</v>
      </c>
      <c r="G3805" s="8" t="n">
        <f aca="false">IFERROR(INDEX('TRANS'!$B:$B,MATCH($B3805,'TRANS'!$A:$A,0)),IFERROR(INDEX('TRANS'!$B:$B,MATCH(TRIM(SUBSTITUTE($B3805,CHAR(160)," ")),'TRANS'!$D:$D,0)),IFERROR(INDEX('Catalog'!$A:$A,MATCH($B3805,'Catalog'!$B:$B,0)),IFERROR(INDEX('Catalog'!$A:$A,MATCH(TRIM(SUBSTITUTE($B3805,CHAR(160)," ")),'Catalog'!$C:$C,0)),""))))</f>
        <v>4416001</v>
      </c>
      <c r="H3805" s="8" t="str">
        <f aca="false">IFERROR(INDEX('TRANS'!$C:$C,MATCH($B3805,'TRANS'!$A:$A,0)),IFERROR(INDEX('Catalog'!$B:$B,MATCH($G3805,'Catalog'!$A:$A,0)),$B3805))</f>
        <v>307 M עקבים לדורבן-זוג כריות</v>
      </c>
      <c r="I3805" s="8" t="str">
        <f aca="false">IF($G3805="","Unmatched","Matched")</f>
        <v>Matched</v>
      </c>
      <c r="J3805" s="8" t="n">
        <f aca="false">IF($G3805&lt;&gt;"",$G3805,$B3805)</f>
        <v>4416001</v>
      </c>
      <c r="K3805" s="8" t="str">
        <f aca="false">IF(COUNTIF($M$1:$M$10,$A3805)&gt;0,"Y","N")</f>
        <v>N</v>
      </c>
    </row>
    <row r="3806" customFormat="false" ht="15" hidden="false" customHeight="true" outlineLevel="0" collapsed="false">
      <c r="A3806" s="8" t="s">
        <v>1105</v>
      </c>
      <c r="B3806" s="8" t="s">
        <v>960</v>
      </c>
      <c r="C3806" s="19" t="n">
        <v>146</v>
      </c>
      <c r="D3806" s="19" t="n">
        <v>4033.74</v>
      </c>
      <c r="E3806" s="19" t="n">
        <v>116</v>
      </c>
      <c r="F3806" s="19" t="n">
        <v>3193.09</v>
      </c>
      <c r="G3806" s="8" t="n">
        <f aca="false">IFERROR(INDEX('TRANS'!$B:$B,MATCH($B3806,'TRANS'!$A:$A,0)),IFERROR(INDEX('TRANS'!$B:$B,MATCH(TRIM(SUBSTITUTE($B3806,CHAR(160)," ")),'TRANS'!$D:$D,0)),IFERROR(INDEX('Catalog'!$A:$A,MATCH($B3806,'Catalog'!$B:$B,0)),IFERROR(INDEX('Catalog'!$A:$A,MATCH(TRIM(SUBSTITUTE($B3806,CHAR(160)," ")),'Catalog'!$C:$C,0)),""))))</f>
        <v>4416002</v>
      </c>
      <c r="H3806" s="8" t="str">
        <f aca="false">IFERROR(INDEX('TRANS'!$C:$C,MATCH($B3806,'TRANS'!$A:$A,0)),IFERROR(INDEX('Catalog'!$B:$B,MATCH($G3806,'Catalog'!$A:$A,0)),$B3806))</f>
        <v>307 S עקבים לדורבן-זוג כריות</v>
      </c>
      <c r="I3806" s="8" t="str">
        <f aca="false">IF($G3806="","Unmatched","Matched")</f>
        <v>Matched</v>
      </c>
      <c r="J3806" s="8" t="n">
        <f aca="false">IF($G3806&lt;&gt;"",$G3806,$B3806)</f>
        <v>4416002</v>
      </c>
      <c r="K3806" s="8" t="str">
        <f aca="false">IF(COUNTIF($M$1:$M$10,$A3806)&gt;0,"Y","N")</f>
        <v>N</v>
      </c>
    </row>
    <row r="3807" customFormat="false" ht="15" hidden="false" customHeight="true" outlineLevel="0" collapsed="false">
      <c r="A3807" s="8" t="s">
        <v>1105</v>
      </c>
      <c r="B3807" s="8" t="s">
        <v>603</v>
      </c>
      <c r="C3807" s="19" t="n">
        <v>187</v>
      </c>
      <c r="D3807" s="19" t="n">
        <v>5139.16</v>
      </c>
      <c r="E3807" s="19" t="n">
        <v>136</v>
      </c>
      <c r="F3807" s="19" t="n">
        <v>3715.9</v>
      </c>
      <c r="G3807" s="8" t="n">
        <f aca="false">IFERROR(INDEX('TRANS'!$B:$B,MATCH($B3807,'TRANS'!$A:$A,0)),IFERROR(INDEX('TRANS'!$B:$B,MATCH(TRIM(SUBSTITUTE($B3807,CHAR(160)," ")),'TRANS'!$D:$D,0)),IFERROR(INDEX('Catalog'!$A:$A,MATCH($B3807,'Catalog'!$B:$B,0)),IFERROR(INDEX('Catalog'!$A:$A,MATCH(TRIM(SUBSTITUTE($B3807,CHAR(160)," ")),'Catalog'!$C:$C,0)),""))))</f>
        <v>4411016</v>
      </c>
      <c r="H3807" s="8" t="str">
        <f aca="false">IFERROR(INDEX('TRANS'!$C:$C,MATCH($B3807,'TRANS'!$A:$A,0)),IFERROR(INDEX('Catalog'!$B:$B,MATCH($G3807,'Catalog'!$A:$A,0)),$B3807))</f>
        <v>307 XL כרית סיליקון לעקב</v>
      </c>
      <c r="I3807" s="8" t="str">
        <f aca="false">IF($G3807="","Unmatched","Matched")</f>
        <v>Matched</v>
      </c>
      <c r="J3807" s="8" t="n">
        <f aca="false">IF($G3807&lt;&gt;"",$G3807,$B3807)</f>
        <v>4411016</v>
      </c>
      <c r="K3807" s="8" t="str">
        <f aca="false">IF(COUNTIF($M$1:$M$10,$A3807)&gt;0,"Y","N")</f>
        <v>N</v>
      </c>
    </row>
    <row r="3808" customFormat="false" ht="15" hidden="false" customHeight="true" outlineLevel="0" collapsed="false">
      <c r="A3808" s="8" t="s">
        <v>1105</v>
      </c>
      <c r="B3808" s="8" t="s">
        <v>605</v>
      </c>
      <c r="C3808" s="19" t="n">
        <v>2</v>
      </c>
      <c r="D3808" s="19" t="n">
        <v>20.05</v>
      </c>
      <c r="E3808" s="19" t="n">
        <v>3</v>
      </c>
      <c r="F3808" s="19" t="n">
        <v>29.23</v>
      </c>
      <c r="G3808" s="8" t="n">
        <f aca="false">IFERROR(INDEX('TRANS'!$B:$B,MATCH($B3808,'TRANS'!$A:$A,0)),IFERROR(INDEX('TRANS'!$B:$B,MATCH(TRIM(SUBSTITUTE($B3808,CHAR(160)," ")),'TRANS'!$D:$D,0)),IFERROR(INDEX('Catalog'!$A:$A,MATCH($B3808,'Catalog'!$B:$B,0)),IFERROR(INDEX('Catalog'!$A:$A,MATCH(TRIM(SUBSTITUTE($B3808,CHAR(160)," ")),'Catalog'!$C:$C,0)),""))))</f>
        <v>4413033</v>
      </c>
      <c r="H3808" s="8" t="str">
        <f aca="false">IFERROR(INDEX('TRANS'!$C:$C,MATCH($B3808,'TRANS'!$A:$A,0)),IFERROR(INDEX('Catalog'!$B:$B,MATCH($G3808,'Catalog'!$A:$A,0)),$B3808))</f>
        <v>311'מדב.ג'ל למניעת שפשוף 5 יח</v>
      </c>
      <c r="I3808" s="8" t="str">
        <f aca="false">IF($G3808="","Unmatched","Matched")</f>
        <v>Matched</v>
      </c>
      <c r="J3808" s="8" t="n">
        <f aca="false">IF($G3808&lt;&gt;"",$G3808,$B3808)</f>
        <v>4413033</v>
      </c>
      <c r="K3808" s="8" t="str">
        <f aca="false">IF(COUNTIF($M$1:$M$10,$A3808)&gt;0,"Y","N")</f>
        <v>N</v>
      </c>
    </row>
    <row r="3809" customFormat="false" ht="15" hidden="false" customHeight="true" outlineLevel="0" collapsed="false">
      <c r="A3809" s="8" t="s">
        <v>1105</v>
      </c>
      <c r="B3809" s="8" t="s">
        <v>613</v>
      </c>
      <c r="C3809" s="19" t="n">
        <v>93</v>
      </c>
      <c r="D3809" s="19" t="n">
        <v>948.26</v>
      </c>
      <c r="E3809" s="19" t="n">
        <v>34</v>
      </c>
      <c r="F3809" s="19" t="n">
        <v>337.87</v>
      </c>
      <c r="G3809" s="8" t="n">
        <f aca="false">IFERROR(INDEX('TRANS'!$B:$B,MATCH($B3809,'TRANS'!$A:$A,0)),IFERROR(INDEX('TRANS'!$B:$B,MATCH(TRIM(SUBSTITUTE($B3809,CHAR(160)," ")),'TRANS'!$D:$D,0)),IFERROR(INDEX('Catalog'!$A:$A,MATCH($B3809,'Catalog'!$B:$B,0)),IFERROR(INDEX('Catalog'!$A:$A,MATCH(TRIM(SUBSTITUTE($B3809,CHAR(160)," ")),'Catalog'!$C:$C,0)),""))))</f>
        <v>4413048</v>
      </c>
      <c r="H3809" s="8" t="str">
        <f aca="false">IFERROR(INDEX('TRANS'!$C:$C,MATCH($B3809,'TRANS'!$A:$A,0)),IFERROR(INDEX('Catalog'!$B:$B,MATCH($G3809,'Catalog'!$A:$A,0)),$B3809))</f>
        <v>35 L מגן קרסול לבן</v>
      </c>
      <c r="I3809" s="8" t="str">
        <f aca="false">IF($G3809="","Unmatched","Matched")</f>
        <v>Matched</v>
      </c>
      <c r="J3809" s="8" t="n">
        <f aca="false">IF($G3809&lt;&gt;"",$G3809,$B3809)</f>
        <v>4413048</v>
      </c>
      <c r="K3809" s="8" t="str">
        <f aca="false">IF(COUNTIF($M$1:$M$10,$A3809)&gt;0,"Y","N")</f>
        <v>N</v>
      </c>
    </row>
    <row r="3810" customFormat="false" ht="15" hidden="false" customHeight="true" outlineLevel="0" collapsed="false">
      <c r="A3810" s="8" t="s">
        <v>1105</v>
      </c>
      <c r="B3810" s="8" t="s">
        <v>614</v>
      </c>
      <c r="C3810" s="19" t="n">
        <v>96</v>
      </c>
      <c r="D3810" s="19" t="n">
        <v>960.18</v>
      </c>
      <c r="E3810" s="19" t="n">
        <v>0</v>
      </c>
      <c r="F3810" s="19" t="n">
        <v>0</v>
      </c>
      <c r="G3810" s="8" t="n">
        <f aca="false">IFERROR(INDEX('TRANS'!$B:$B,MATCH($B3810,'TRANS'!$A:$A,0)),IFERROR(INDEX('TRANS'!$B:$B,MATCH(TRIM(SUBSTITUTE($B3810,CHAR(160)," ")),'TRANS'!$D:$D,0)),IFERROR(INDEX('Catalog'!$A:$A,MATCH($B3810,'Catalog'!$B:$B,0)),IFERROR(INDEX('Catalog'!$A:$A,MATCH(TRIM(SUBSTITUTE($B3810,CHAR(160)," ")),'Catalog'!$C:$C,0)),""))))</f>
        <v>4413049</v>
      </c>
      <c r="H3810" s="8" t="str">
        <f aca="false">IFERROR(INDEX('TRANS'!$C:$C,MATCH($B3810,'TRANS'!$A:$A,0)),IFERROR(INDEX('Catalog'!$B:$B,MATCH($G3810,'Catalog'!$A:$A,0)),$B3810))</f>
        <v>35 M מגן קרסול לבן</v>
      </c>
      <c r="I3810" s="8" t="str">
        <f aca="false">IF($G3810="","Unmatched","Matched")</f>
        <v>Matched</v>
      </c>
      <c r="J3810" s="8" t="n">
        <f aca="false">IF($G3810&lt;&gt;"",$G3810,$B3810)</f>
        <v>4413049</v>
      </c>
      <c r="K3810" s="8" t="str">
        <f aca="false">IF(COUNTIF($M$1:$M$10,$A3810)&gt;0,"Y","N")</f>
        <v>N</v>
      </c>
    </row>
    <row r="3811" customFormat="false" ht="15" hidden="false" customHeight="true" outlineLevel="0" collapsed="false">
      <c r="A3811" s="8" t="s">
        <v>1105</v>
      </c>
      <c r="B3811" s="8" t="s">
        <v>792</v>
      </c>
      <c r="C3811" s="19" t="n">
        <v>31</v>
      </c>
      <c r="D3811" s="19" t="n">
        <v>318.6</v>
      </c>
      <c r="E3811" s="19" t="n">
        <v>6</v>
      </c>
      <c r="F3811" s="19" t="n">
        <v>59.09</v>
      </c>
      <c r="G3811" s="8" t="n">
        <f aca="false">IFERROR(INDEX('TRANS'!$B:$B,MATCH($B3811,'TRANS'!$A:$A,0)),IFERROR(INDEX('TRANS'!$B:$B,MATCH(TRIM(SUBSTITUTE($B3811,CHAR(160)," ")),'TRANS'!$D:$D,0)),IFERROR(INDEX('Catalog'!$A:$A,MATCH($B3811,'Catalog'!$B:$B,0)),IFERROR(INDEX('Catalog'!$A:$A,MATCH(TRIM(SUBSTITUTE($B3811,CHAR(160)," ")),'Catalog'!$C:$C,0)),""))))</f>
        <v>4413047</v>
      </c>
      <c r="H3811" s="8" t="str">
        <f aca="false">IFERROR(INDEX('TRANS'!$C:$C,MATCH($B3811,'TRANS'!$A:$A,0)),IFERROR(INDEX('Catalog'!$B:$B,MATCH($G3811,'Catalog'!$A:$A,0)),$B3811))</f>
        <v>35 S מגן קרסול לבן</v>
      </c>
      <c r="I3811" s="8" t="str">
        <f aca="false">IF($G3811="","Unmatched","Matched")</f>
        <v>Matched</v>
      </c>
      <c r="J3811" s="8" t="n">
        <f aca="false">IF($G3811&lt;&gt;"",$G3811,$B3811)</f>
        <v>4413047</v>
      </c>
      <c r="K3811" s="8" t="str">
        <f aca="false">IF(COUNTIF($M$1:$M$10,$A3811)&gt;0,"Y","N")</f>
        <v>N</v>
      </c>
    </row>
    <row r="3812" customFormat="false" ht="15" hidden="false" customHeight="true" outlineLevel="0" collapsed="false">
      <c r="A3812" s="8" t="s">
        <v>1105</v>
      </c>
      <c r="B3812" s="8" t="s">
        <v>793</v>
      </c>
      <c r="C3812" s="19" t="n">
        <v>91</v>
      </c>
      <c r="D3812" s="19" t="n">
        <v>929.22</v>
      </c>
      <c r="E3812" s="19" t="n">
        <v>20</v>
      </c>
      <c r="F3812" s="19" t="n">
        <v>200.33</v>
      </c>
      <c r="G3812" s="8" t="n">
        <f aca="false">IFERROR(INDEX('TRANS'!$B:$B,MATCH($B3812,'TRANS'!$A:$A,0)),IFERROR(INDEX('TRANS'!$B:$B,MATCH(TRIM(SUBSTITUTE($B3812,CHAR(160)," ")),'TRANS'!$D:$D,0)),IFERROR(INDEX('Catalog'!$A:$A,MATCH($B3812,'Catalog'!$B:$B,0)),IFERROR(INDEX('Catalog'!$A:$A,MATCH(TRIM(SUBSTITUTE($B3812,CHAR(160)," ")),'Catalog'!$C:$C,0)),""))))</f>
        <v>4413050</v>
      </c>
      <c r="H3812" s="8" t="str">
        <f aca="false">IFERROR(INDEX('TRANS'!$C:$C,MATCH($B3812,'TRANS'!$A:$A,0)),IFERROR(INDEX('Catalog'!$B:$B,MATCH($G3812,'Catalog'!$A:$A,0)),$B3812))</f>
        <v>35 XL מגן קרסול לבן</v>
      </c>
      <c r="I3812" s="8" t="str">
        <f aca="false">IF($G3812="","Unmatched","Matched")</f>
        <v>Matched</v>
      </c>
      <c r="J3812" s="8" t="n">
        <f aca="false">IF($G3812&lt;&gt;"",$G3812,$B3812)</f>
        <v>4413050</v>
      </c>
      <c r="K3812" s="8" t="str">
        <f aca="false">IF(COUNTIF($M$1:$M$10,$A3812)&gt;0,"Y","N")</f>
        <v>N</v>
      </c>
    </row>
    <row r="3813" customFormat="false" ht="15" hidden="false" customHeight="true" outlineLevel="0" collapsed="false">
      <c r="A3813" s="8" t="s">
        <v>1105</v>
      </c>
      <c r="B3813" s="8" t="s">
        <v>625</v>
      </c>
      <c r="C3813" s="19" t="n">
        <v>11</v>
      </c>
      <c r="D3813" s="19" t="n">
        <v>357.72</v>
      </c>
      <c r="E3813" s="19" t="n">
        <v>0</v>
      </c>
      <c r="F3813" s="19" t="n">
        <v>0</v>
      </c>
      <c r="G3813" s="8" t="n">
        <f aca="false">IFERROR(INDEX('TRANS'!$B:$B,MATCH($B3813,'TRANS'!$A:$A,0)),IFERROR(INDEX('TRANS'!$B:$B,MATCH(TRIM(SUBSTITUTE($B3813,CHAR(160)," ")),'TRANS'!$D:$D,0)),IFERROR(INDEX('Catalog'!$A:$A,MATCH($B3813,'Catalog'!$B:$B,0)),IFERROR(INDEX('Catalog'!$A:$A,MATCH(TRIM(SUBSTITUTE($B3813,CHAR(160)," ")),'Catalog'!$C:$C,0)),""))))</f>
        <v>4421001</v>
      </c>
      <c r="H3813" s="8" t="str">
        <f aca="false">IFERROR(INDEX('TRANS'!$C:$C,MATCH($B3813,'TRANS'!$A:$A,0)),IFERROR(INDEX('Catalog'!$B:$B,MATCH($G3813,'Catalog'!$A:$A,0)),$B3813))</f>
        <v>3611 שרוול מטטרזלי מסיליקון</v>
      </c>
      <c r="I3813" s="8" t="str">
        <f aca="false">IF($G3813="","Unmatched","Matched")</f>
        <v>Matched</v>
      </c>
      <c r="J3813" s="8" t="n">
        <f aca="false">IF($G3813&lt;&gt;"",$G3813,$B3813)</f>
        <v>4421001</v>
      </c>
      <c r="K3813" s="8" t="str">
        <f aca="false">IF(COUNTIF($M$1:$M$10,$A3813)&gt;0,"Y","N")</f>
        <v>N</v>
      </c>
    </row>
    <row r="3814" customFormat="false" ht="15" hidden="false" customHeight="true" outlineLevel="0" collapsed="false">
      <c r="A3814" s="8" t="s">
        <v>1105</v>
      </c>
      <c r="B3814" s="8" t="s">
        <v>626</v>
      </c>
      <c r="C3814" s="19" t="n">
        <v>137</v>
      </c>
      <c r="D3814" s="19" t="n">
        <v>1950.54</v>
      </c>
      <c r="E3814" s="19" t="n">
        <v>85</v>
      </c>
      <c r="F3814" s="19" t="n">
        <v>1188.7</v>
      </c>
      <c r="G3814" s="8" t="n">
        <f aca="false">IFERROR(INDEX('TRANS'!$B:$B,MATCH($B3814,'TRANS'!$A:$A,0)),IFERROR(INDEX('TRANS'!$B:$B,MATCH(TRIM(SUBSTITUTE($B3814,CHAR(160)," ")),'TRANS'!$D:$D,0)),IFERROR(INDEX('Catalog'!$A:$A,MATCH($B3814,'Catalog'!$B:$B,0)),IFERROR(INDEX('Catalog'!$A:$A,MATCH(TRIM(SUBSTITUTE($B3814,CHAR(160)," ")),'Catalog'!$C:$C,0)),""))))</f>
        <v>4411000</v>
      </c>
      <c r="H3814" s="8" t="str">
        <f aca="false">IFERROR(INDEX('TRANS'!$C:$C,MATCH($B3814,'TRANS'!$A:$A,0)),IFERROR(INDEX('Catalog'!$B:$B,MATCH($G3814,'Catalog'!$A:$A,0)),$B3814))</f>
        <v>כרית מטטרזלי סיליקון362</v>
      </c>
      <c r="I3814" s="8" t="str">
        <f aca="false">IF($G3814="","Unmatched","Matched")</f>
        <v>Matched</v>
      </c>
      <c r="J3814" s="8" t="n">
        <f aca="false">IF($G3814&lt;&gt;"",$G3814,$B3814)</f>
        <v>4411000</v>
      </c>
      <c r="K3814" s="8" t="str">
        <f aca="false">IF(COUNTIF($M$1:$M$10,$A3814)&gt;0,"Y","N")</f>
        <v>N</v>
      </c>
    </row>
    <row r="3815" customFormat="false" ht="15" hidden="false" customHeight="true" outlineLevel="0" collapsed="false">
      <c r="A3815" s="8" t="s">
        <v>1105</v>
      </c>
      <c r="B3815" s="8" t="s">
        <v>628</v>
      </c>
      <c r="C3815" s="19" t="n">
        <v>49</v>
      </c>
      <c r="D3815" s="19" t="n">
        <v>775.84</v>
      </c>
      <c r="E3815" s="19" t="n">
        <v>50</v>
      </c>
      <c r="F3815" s="19" t="n">
        <v>768.58</v>
      </c>
      <c r="G3815" s="8" t="n">
        <f aca="false">IFERROR(INDEX('TRANS'!$B:$B,MATCH($B3815,'TRANS'!$A:$A,0)),IFERROR(INDEX('TRANS'!$B:$B,MATCH(TRIM(SUBSTITUTE($B3815,CHAR(160)," ")),'TRANS'!$D:$D,0)),IFERROR(INDEX('Catalog'!$A:$A,MATCH($B3815,'Catalog'!$B:$B,0)),IFERROR(INDEX('Catalog'!$A:$A,MATCH(TRIM(SUBSTITUTE($B3815,CHAR(160)," ")),'Catalog'!$C:$C,0)),""))))</f>
        <v>4411001</v>
      </c>
      <c r="H3815" s="8" t="str">
        <f aca="false">IFERROR(INDEX('TRANS'!$C:$C,MATCH($B3815,'TRANS'!$A:$A,0)),IFERROR(INDEX('Catalog'!$B:$B,MATCH($G3815,'Catalog'!$A:$A,0)),$B3815))</f>
        <v>3623 כרית ליישור אצבע פטיש</v>
      </c>
      <c r="I3815" s="8" t="str">
        <f aca="false">IF($G3815="","Unmatched","Matched")</f>
        <v>Matched</v>
      </c>
      <c r="J3815" s="8" t="n">
        <f aca="false">IF($G3815&lt;&gt;"",$G3815,$B3815)</f>
        <v>4411001</v>
      </c>
      <c r="K3815" s="8" t="str">
        <f aca="false">IF(COUNTIF($M$1:$M$10,$A3815)&gt;0,"Y","N")</f>
        <v>N</v>
      </c>
    </row>
    <row r="3816" customFormat="false" ht="15" hidden="false" customHeight="true" outlineLevel="0" collapsed="false">
      <c r="A3816" s="8" t="s">
        <v>1105</v>
      </c>
      <c r="B3816" s="8" t="s">
        <v>59</v>
      </c>
      <c r="C3816" s="19" t="n">
        <v>73</v>
      </c>
      <c r="D3816" s="19" t="n">
        <v>851.85</v>
      </c>
      <c r="E3816" s="19" t="n">
        <v>50</v>
      </c>
      <c r="F3816" s="19" t="n">
        <v>584.03</v>
      </c>
      <c r="G3816" s="8" t="str">
        <f aca="false">IFERROR(INDEX('TRANS'!$B:$B,MATCH($B3816,'TRANS'!$A:$A,0)),IFERROR(INDEX('TRANS'!$B:$B,MATCH(TRIM(SUBSTITUTE($B3816,CHAR(160)," ")),'TRANS'!$D:$D,0)),IFERROR(INDEX('Catalog'!$A:$A,MATCH($B3816,'Catalog'!$B:$B,0)),IFERROR(INDEX('Catalog'!$A:$A,MATCH(TRIM(SUBSTITUTE($B3816,CHAR(160)," ")),'Catalog'!$C:$C,0)),""))))</f>
        <v/>
      </c>
      <c r="H3816" s="8" t="str">
        <f aca="false">IFERROR(INDEX('TRANS'!$C:$C,MATCH($B3816,'TRANS'!$A:$A,0)),IFERROR(INDEX('Catalog'!$B:$B,MATCH($G3816,'Catalog'!$A:$A,0)),$B3816))</f>
        <v>363 L/R</v>
      </c>
      <c r="I3816" s="8" t="str">
        <f aca="false">IF($G3816="","Unmatched","Matched")</f>
        <v>Unmatched</v>
      </c>
      <c r="J3816" s="8" t="str">
        <f aca="false">IF($G3816&lt;&gt;"",$G3816,$B3816)</f>
        <v>363 L/R</v>
      </c>
      <c r="K3816" s="8" t="str">
        <f aca="false">IF(COUNTIF($M$1:$M$10,$A3816)&gt;0,"Y","N")</f>
        <v>N</v>
      </c>
    </row>
    <row r="3817" customFormat="false" ht="15" hidden="false" customHeight="true" outlineLevel="0" collapsed="false">
      <c r="A3817" s="8" t="s">
        <v>1105</v>
      </c>
      <c r="B3817" s="8" t="s">
        <v>629</v>
      </c>
      <c r="C3817" s="19" t="n">
        <v>335</v>
      </c>
      <c r="D3817" s="19" t="n">
        <v>2009.52</v>
      </c>
      <c r="E3817" s="19" t="n">
        <v>95</v>
      </c>
      <c r="F3817" s="19" t="n">
        <v>577.79</v>
      </c>
      <c r="G3817" s="8" t="n">
        <f aca="false">IFERROR(INDEX('TRANS'!$B:$B,MATCH($B3817,'TRANS'!$A:$A,0)),IFERROR(INDEX('TRANS'!$B:$B,MATCH(TRIM(SUBSTITUTE($B3817,CHAR(160)," ")),'TRANS'!$D:$D,0)),IFERROR(INDEX('Catalog'!$A:$A,MATCH($B3817,'Catalog'!$B:$B,0)),IFERROR(INDEX('Catalog'!$A:$A,MATCH(TRIM(SUBSTITUTE($B3817,CHAR(160)," ")),'Catalog'!$C:$C,0)),""))))</f>
        <v>4413059</v>
      </c>
      <c r="H3817" s="8" t="str">
        <f aca="false">IFERROR(INDEX('TRANS'!$C:$C,MATCH($B3817,'TRANS'!$A:$A,0)),IFERROR(INDEX('Catalog'!$B:$B,MATCH($G3817,'Catalog'!$A:$A,0)),$B3817))</f>
        <v>364S Lמפר.אצבע סיליק. ליבל.זוג</v>
      </c>
      <c r="I3817" s="8" t="str">
        <f aca="false">IF($G3817="","Unmatched","Matched")</f>
        <v>Matched</v>
      </c>
      <c r="J3817" s="8" t="n">
        <f aca="false">IF($G3817&lt;&gt;"",$G3817,$B3817)</f>
        <v>4413059</v>
      </c>
      <c r="K3817" s="8" t="str">
        <f aca="false">IF(COUNTIF($M$1:$M$10,$A3817)&gt;0,"Y","N")</f>
        <v>N</v>
      </c>
    </row>
    <row r="3818" customFormat="false" ht="15" hidden="false" customHeight="true" outlineLevel="0" collapsed="false">
      <c r="A3818" s="8" t="s">
        <v>1105</v>
      </c>
      <c r="B3818" s="8" t="s">
        <v>630</v>
      </c>
      <c r="C3818" s="19" t="n">
        <v>970</v>
      </c>
      <c r="D3818" s="19" t="n">
        <v>4429.69</v>
      </c>
      <c r="E3818" s="19" t="n">
        <v>620</v>
      </c>
      <c r="F3818" s="19" t="n">
        <v>2815.93</v>
      </c>
      <c r="G3818" s="8" t="n">
        <f aca="false">IFERROR(INDEX('TRANS'!$B:$B,MATCH($B3818,'TRANS'!$A:$A,0)),IFERROR(INDEX('TRANS'!$B:$B,MATCH(TRIM(SUBSTITUTE($B3818,CHAR(160)," ")),'TRANS'!$D:$D,0)),IFERROR(INDEX('Catalog'!$A:$A,MATCH($B3818,'Catalog'!$B:$B,0)),IFERROR(INDEX('Catalog'!$A:$A,MATCH(TRIM(SUBSTITUTE($B3818,CHAR(160)," ")),'Catalog'!$C:$C,0)),""))))</f>
        <v>4413060</v>
      </c>
      <c r="H3818" s="8" t="str">
        <f aca="false">IFERROR(INDEX('TRANS'!$C:$C,MATCH($B3818,'TRANS'!$A:$A,0)),IFERROR(INDEX('Catalog'!$B:$B,MATCH($G3818,'Catalog'!$A:$A,0)),$B3818))</f>
        <v>364 XLמפריד אצבע סיליקון ליבלת</v>
      </c>
      <c r="I3818" s="8" t="str">
        <f aca="false">IF($G3818="","Unmatched","Matched")</f>
        <v>Matched</v>
      </c>
      <c r="J3818" s="8" t="n">
        <f aca="false">IF($G3818&lt;&gt;"",$G3818,$B3818)</f>
        <v>4413060</v>
      </c>
      <c r="K3818" s="8" t="str">
        <f aca="false">IF(COUNTIF($M$1:$M$10,$A3818)&gt;0,"Y","N")</f>
        <v>N</v>
      </c>
    </row>
    <row r="3819" customFormat="false" ht="15" hidden="false" customHeight="true" outlineLevel="0" collapsed="false">
      <c r="A3819" s="8" t="s">
        <v>1105</v>
      </c>
      <c r="B3819" s="8" t="s">
        <v>631</v>
      </c>
      <c r="C3819" s="19" t="n">
        <v>4</v>
      </c>
      <c r="D3819" s="19" t="n">
        <v>26.48</v>
      </c>
      <c r="E3819" s="19" t="n">
        <v>0</v>
      </c>
      <c r="F3819" s="19" t="n">
        <v>0</v>
      </c>
      <c r="G3819" s="8" t="n">
        <f aca="false">IFERROR(INDEX('TRANS'!$B:$B,MATCH($B3819,'TRANS'!$A:$A,0)),IFERROR(INDEX('TRANS'!$B:$B,MATCH(TRIM(SUBSTITUTE($B3819,CHAR(160)," ")),'TRANS'!$D:$D,0)),IFERROR(INDEX('Catalog'!$A:$A,MATCH($B3819,'Catalog'!$B:$B,0)),IFERROR(INDEX('Catalog'!$A:$A,MATCH(TRIM(SUBSTITUTE($B3819,CHAR(160)," ")),'Catalog'!$C:$C,0)),""))))</f>
        <v>4413061</v>
      </c>
      <c r="H3819" s="8" t="str">
        <f aca="false">IFERROR(INDEX('TRANS'!$C:$C,MATCH($B3819,'TRANS'!$A:$A,0)),IFERROR(INDEX('Catalog'!$B:$B,MATCH($G3819,'Catalog'!$A:$A,0)),$B3819))</f>
        <v>3641-מיישר בוהן סיליקון קשיח</v>
      </c>
      <c r="I3819" s="8" t="str">
        <f aca="false">IF($G3819="","Unmatched","Matched")</f>
        <v>Matched</v>
      </c>
      <c r="J3819" s="8" t="n">
        <f aca="false">IF($G3819&lt;&gt;"",$G3819,$B3819)</f>
        <v>4413061</v>
      </c>
      <c r="K3819" s="8" t="str">
        <f aca="false">IF(COUNTIF($M$1:$M$10,$A3819)&gt;0,"Y","N")</f>
        <v>N</v>
      </c>
    </row>
    <row r="3820" customFormat="false" ht="15" hidden="false" customHeight="true" outlineLevel="0" collapsed="false">
      <c r="A3820" s="8" t="s">
        <v>1105</v>
      </c>
      <c r="B3820" s="8" t="s">
        <v>632</v>
      </c>
      <c r="C3820" s="19" t="n">
        <v>4</v>
      </c>
      <c r="D3820" s="19" t="n">
        <v>26.48</v>
      </c>
      <c r="E3820" s="19" t="n">
        <v>0</v>
      </c>
      <c r="F3820" s="19" t="n">
        <v>0</v>
      </c>
      <c r="G3820" s="8" t="n">
        <f aca="false">IFERROR(INDEX('TRANS'!$B:$B,MATCH($B3820,'TRANS'!$A:$A,0)),IFERROR(INDEX('TRANS'!$B:$B,MATCH(TRIM(SUBSTITUTE($B3820,CHAR(160)," ")),'TRANS'!$D:$D,0)),IFERROR(INDEX('Catalog'!$A:$A,MATCH($B3820,'Catalog'!$B:$B,0)),IFERROR(INDEX('Catalog'!$A:$A,MATCH(TRIM(SUBSTITUTE($B3820,CHAR(160)," ")),'Catalog'!$C:$C,0)),""))))</f>
        <v>4409000</v>
      </c>
      <c r="H3820" s="8" t="str">
        <f aca="false">IFERROR(INDEX('TRANS'!$C:$C,MATCH($B3820,'TRANS'!$A:$A,0)),IFERROR(INDEX('Catalog'!$B:$B,MATCH($G3820,'Catalog'!$A:$A,0)),$B3820))</f>
        <v>365 S-Lטבעת אלסטית מסיליקון</v>
      </c>
      <c r="I3820" s="8" t="str">
        <f aca="false">IF($G3820="","Unmatched","Matched")</f>
        <v>Matched</v>
      </c>
      <c r="J3820" s="8" t="n">
        <f aca="false">IF($G3820&lt;&gt;"",$G3820,$B3820)</f>
        <v>4409000</v>
      </c>
      <c r="K3820" s="8" t="str">
        <f aca="false">IF(COUNTIF($M$1:$M$10,$A3820)&gt;0,"Y","N")</f>
        <v>N</v>
      </c>
    </row>
    <row r="3821" customFormat="false" ht="15" hidden="false" customHeight="true" outlineLevel="0" collapsed="false">
      <c r="A3821" s="8" t="s">
        <v>1105</v>
      </c>
      <c r="B3821" s="8" t="s">
        <v>868</v>
      </c>
      <c r="C3821" s="19" t="n">
        <v>19</v>
      </c>
      <c r="D3821" s="19" t="n">
        <v>99.8</v>
      </c>
      <c r="E3821" s="19" t="n">
        <v>0</v>
      </c>
      <c r="F3821" s="19" t="n">
        <v>0</v>
      </c>
      <c r="G3821" s="8" t="n">
        <f aca="false">IFERROR(INDEX('TRANS'!$B:$B,MATCH($B3821,'TRANS'!$A:$A,0)),IFERROR(INDEX('TRANS'!$B:$B,MATCH(TRIM(SUBSTITUTE($B3821,CHAR(160)," ")),'TRANS'!$D:$D,0)),IFERROR(INDEX('Catalog'!$A:$A,MATCH($B3821,'Catalog'!$B:$B,0)),IFERROR(INDEX('Catalog'!$A:$A,MATCH(TRIM(SUBSTITUTE($B3821,CHAR(160)," ")),'Catalog'!$C:$C,0)),""))))</f>
        <v>4409001</v>
      </c>
      <c r="H3821" s="8" t="str">
        <f aca="false">IFERROR(INDEX('TRANS'!$C:$C,MATCH($B3821,'TRANS'!$A:$A,0)),IFERROR(INDEX('Catalog'!$B:$B,MATCH($G3821,'Catalog'!$A:$A,0)),$B3821))</f>
        <v>365  X-Lטבעת אלסטית מסיליקון</v>
      </c>
      <c r="I3821" s="8" t="str">
        <f aca="false">IF($G3821="","Unmatched","Matched")</f>
        <v>Matched</v>
      </c>
      <c r="J3821" s="8" t="n">
        <f aca="false">IF($G3821&lt;&gt;"",$G3821,$B3821)</f>
        <v>4409001</v>
      </c>
      <c r="K3821" s="8" t="str">
        <f aca="false">IF(COUNTIF($M$1:$M$10,$A3821)&gt;0,"Y","N")</f>
        <v>N</v>
      </c>
    </row>
    <row r="3822" customFormat="false" ht="15" hidden="false" customHeight="true" outlineLevel="0" collapsed="false">
      <c r="A3822" s="8" t="s">
        <v>1105</v>
      </c>
      <c r="B3822" s="8" t="s">
        <v>633</v>
      </c>
      <c r="C3822" s="19" t="n">
        <v>180</v>
      </c>
      <c r="D3822" s="19" t="n">
        <v>1530.52</v>
      </c>
      <c r="E3822" s="19" t="n">
        <v>168</v>
      </c>
      <c r="F3822" s="19" t="n">
        <v>1416.58</v>
      </c>
      <c r="G3822" s="8" t="n">
        <f aca="false">IFERROR(INDEX('TRANS'!$B:$B,MATCH($B3822,'TRANS'!$A:$A,0)),IFERROR(INDEX('TRANS'!$B:$B,MATCH(TRIM(SUBSTITUTE($B3822,CHAR(160)," ")),'TRANS'!$D:$D,0)),IFERROR(INDEX('Catalog'!$A:$A,MATCH($B3822,'Catalog'!$B:$B,0)),IFERROR(INDEX('Catalog'!$A:$A,MATCH(TRIM(SUBSTITUTE($B3822,CHAR(160)," ")),'Catalog'!$C:$C,0)),""))))</f>
        <v>4421000</v>
      </c>
      <c r="H3822" s="8" t="str">
        <f aca="false">IFERROR(INDEX('TRANS'!$C:$C,MATCH($B3822,'TRANS'!$A:$A,0)),IFERROR(INDEX('Catalog'!$B:$B,MATCH($G3822,'Catalog'!$A:$A,0)),$B3822))</f>
        <v>3655 שרוול מסיליקון לאצבע</v>
      </c>
      <c r="I3822" s="8" t="str">
        <f aca="false">IF($G3822="","Unmatched","Matched")</f>
        <v>Matched</v>
      </c>
      <c r="J3822" s="8" t="n">
        <f aca="false">IF($G3822&lt;&gt;"",$G3822,$B3822)</f>
        <v>4421000</v>
      </c>
      <c r="K3822" s="8" t="str">
        <f aca="false">IF(COUNTIF($M$1:$M$10,$A3822)&gt;0,"Y","N")</f>
        <v>N</v>
      </c>
    </row>
    <row r="3823" customFormat="false" ht="15" hidden="false" customHeight="true" outlineLevel="0" collapsed="false">
      <c r="A3823" s="8" t="s">
        <v>1105</v>
      </c>
      <c r="B3823" s="8" t="s">
        <v>634</v>
      </c>
      <c r="C3823" s="19" t="n">
        <v>111</v>
      </c>
      <c r="D3823" s="19" t="n">
        <v>2082.05</v>
      </c>
      <c r="E3823" s="19" t="n">
        <v>58</v>
      </c>
      <c r="F3823" s="19" t="n">
        <v>1083.2</v>
      </c>
      <c r="G3823" s="8" t="n">
        <f aca="false">IFERROR(INDEX('TRANS'!$B:$B,MATCH($B3823,'TRANS'!$A:$A,0)),IFERROR(INDEX('TRANS'!$B:$B,MATCH(TRIM(SUBSTITUTE($B3823,CHAR(160)," ")),'TRANS'!$D:$D,0)),IFERROR(INDEX('Catalog'!$A:$A,MATCH($B3823,'Catalog'!$B:$B,0)),IFERROR(INDEX('Catalog'!$A:$A,MATCH(TRIM(SUBSTITUTE($B3823,CHAR(160)," ")),'Catalog'!$C:$C,0)),""))))</f>
        <v>4413340</v>
      </c>
      <c r="H3823" s="8" t="str">
        <f aca="false">IFERROR(INDEX('TRANS'!$C:$C,MATCH($B3823,'TRANS'!$A:$A,0)),IFERROR(INDEX('Catalog'!$B:$B,MATCH($G3823,'Catalog'!$A:$A,0)),$B3823))</f>
        <v>3666 מפריד הלוקס</v>
      </c>
      <c r="I3823" s="8" t="str">
        <f aca="false">IF($G3823="","Unmatched","Matched")</f>
        <v>Matched</v>
      </c>
      <c r="J3823" s="8" t="n">
        <f aca="false">IF($G3823&lt;&gt;"",$G3823,$B3823)</f>
        <v>4413340</v>
      </c>
      <c r="K3823" s="8" t="str">
        <f aca="false">IF(COUNTIF($M$1:$M$10,$A3823)&gt;0,"Y","N")</f>
        <v>N</v>
      </c>
    </row>
    <row r="3824" customFormat="false" ht="15" hidden="false" customHeight="true" outlineLevel="0" collapsed="false">
      <c r="A3824" s="8" t="s">
        <v>1105</v>
      </c>
      <c r="B3824" s="8" t="s">
        <v>635</v>
      </c>
      <c r="C3824" s="19" t="n">
        <v>64</v>
      </c>
      <c r="D3824" s="19" t="n">
        <v>991.77</v>
      </c>
      <c r="E3824" s="19" t="n">
        <v>47</v>
      </c>
      <c r="F3824" s="19" t="n">
        <v>736.27</v>
      </c>
      <c r="G3824" s="8" t="n">
        <f aca="false">IFERROR(INDEX('TRANS'!$B:$B,MATCH($B3824,'TRANS'!$A:$A,0)),IFERROR(INDEX('TRANS'!$B:$B,MATCH(TRIM(SUBSTITUTE($B3824,CHAR(160)," ")),'TRANS'!$D:$D,0)),IFERROR(INDEX('Catalog'!$A:$A,MATCH($B3824,'Catalog'!$B:$B,0)),IFERROR(INDEX('Catalog'!$A:$A,MATCH(TRIM(SUBSTITUTE($B3824,CHAR(160)," ")),'Catalog'!$C:$C,0)),""))))</f>
        <v>4413307</v>
      </c>
      <c r="H3824" s="8" t="str">
        <f aca="false">IFERROR(INDEX('TRANS'!$C:$C,MATCH($B3824,'TRANS'!$A:$A,0)),IFERROR(INDEX('Catalog'!$B:$B,MATCH($G3824,'Catalog'!$A:$A,0)),$B3824))</f>
        <v>URI 3667 מגן בוניון</v>
      </c>
      <c r="I3824" s="8" t="str">
        <f aca="false">IF($G3824="","Unmatched","Matched")</f>
        <v>Matched</v>
      </c>
      <c r="J3824" s="8" t="n">
        <f aca="false">IF($G3824&lt;&gt;"",$G3824,$B3824)</f>
        <v>4413307</v>
      </c>
      <c r="K3824" s="8" t="str">
        <f aca="false">IF(COUNTIF($M$1:$M$10,$A3824)&gt;0,"Y","N")</f>
        <v>N</v>
      </c>
    </row>
    <row r="3825" customFormat="false" ht="15" hidden="false" customHeight="true" outlineLevel="0" collapsed="false">
      <c r="A3825" s="8" t="s">
        <v>1105</v>
      </c>
      <c r="B3825" s="8" t="s">
        <v>636</v>
      </c>
      <c r="C3825" s="19" t="n">
        <v>9</v>
      </c>
      <c r="D3825" s="19" t="n">
        <v>65.79</v>
      </c>
      <c r="E3825" s="19" t="n">
        <v>12</v>
      </c>
      <c r="F3825" s="19" t="n">
        <v>90.98</v>
      </c>
      <c r="G3825" s="8" t="n">
        <f aca="false">IFERROR(INDEX('TRANS'!$B:$B,MATCH($B3825,'TRANS'!$A:$A,0)),IFERROR(INDEX('TRANS'!$B:$B,MATCH(TRIM(SUBSTITUTE($B3825,CHAR(160)," ")),'TRANS'!$D:$D,0)),IFERROR(INDEX('Catalog'!$A:$A,MATCH($B3825,'Catalog'!$B:$B,0)),IFERROR(INDEX('Catalog'!$A:$A,MATCH(TRIM(SUBSTITUTE($B3825,CHAR(160)," ")),'Catalog'!$C:$C,0)),""))))</f>
        <v>4413063</v>
      </c>
      <c r="H3825" s="8" t="str">
        <f aca="false">IFERROR(INDEX('TRANS'!$C:$C,MATCH($B3825,'TRANS'!$A:$A,0)),IFERROR(INDEX('Catalog'!$B:$B,MATCH($G3825,'Catalog'!$A:$A,0)),$B3825))</f>
        <v>366S-'מדבק.לשחרור לחץ מיבלת2יח</v>
      </c>
      <c r="I3825" s="8" t="str">
        <f aca="false">IF($G3825="","Unmatched","Matched")</f>
        <v>Matched</v>
      </c>
      <c r="J3825" s="8" t="n">
        <f aca="false">IF($G3825&lt;&gt;"",$G3825,$B3825)</f>
        <v>4413063</v>
      </c>
      <c r="K3825" s="8" t="str">
        <f aca="false">IF(COUNTIF($M$1:$M$10,$A3825)&gt;0,"Y","N")</f>
        <v>N</v>
      </c>
    </row>
    <row r="3826" customFormat="false" ht="15" hidden="false" customHeight="true" outlineLevel="0" collapsed="false">
      <c r="A3826" s="8" t="s">
        <v>1105</v>
      </c>
      <c r="B3826" s="8" t="s">
        <v>637</v>
      </c>
      <c r="C3826" s="19" t="n">
        <v>8</v>
      </c>
      <c r="D3826" s="19" t="n">
        <v>149.96</v>
      </c>
      <c r="E3826" s="19" t="n">
        <v>0</v>
      </c>
      <c r="F3826" s="19" t="n">
        <v>0</v>
      </c>
      <c r="G3826" s="8" t="n">
        <f aca="false">IFERROR(INDEX('TRANS'!$B:$B,MATCH($B3826,'TRANS'!$A:$A,0)),IFERROR(INDEX('TRANS'!$B:$B,MATCH(TRIM(SUBSTITUTE($B3826,CHAR(160)," ")),'TRANS'!$D:$D,0)),IFERROR(INDEX('Catalog'!$A:$A,MATCH($B3826,'Catalog'!$B:$B,0)),IFERROR(INDEX('Catalog'!$A:$A,MATCH(TRIM(SUBSTITUTE($B3826,CHAR(160)," ")),'Catalog'!$C:$C,0)),""))))</f>
        <v>4421003</v>
      </c>
      <c r="H3826" s="8" t="str">
        <f aca="false">IFERROR(INDEX('TRANS'!$C:$C,MATCH($B3826,'TRANS'!$A:$A,0)),IFERROR(INDEX('Catalog'!$B:$B,MATCH($G3826,'Catalog'!$A:$A,0)),$B3826))</f>
        <v>3672 שרוול מגן לבוניון</v>
      </c>
      <c r="I3826" s="8" t="str">
        <f aca="false">IF($G3826="","Unmatched","Matched")</f>
        <v>Matched</v>
      </c>
      <c r="J3826" s="8" t="n">
        <f aca="false">IF($G3826&lt;&gt;"",$G3826,$B3826)</f>
        <v>4421003</v>
      </c>
      <c r="K3826" s="8" t="str">
        <f aca="false">IF(COUNTIF($M$1:$M$10,$A3826)&gt;0,"Y","N")</f>
        <v>N</v>
      </c>
    </row>
    <row r="3827" customFormat="false" ht="15" hidden="false" customHeight="true" outlineLevel="0" collapsed="false">
      <c r="A3827" s="8" t="s">
        <v>1105</v>
      </c>
      <c r="B3827" s="8" t="s">
        <v>638</v>
      </c>
      <c r="C3827" s="19" t="n">
        <v>490</v>
      </c>
      <c r="D3827" s="19" t="n">
        <v>8035.34</v>
      </c>
      <c r="E3827" s="19" t="n">
        <v>397</v>
      </c>
      <c r="F3827" s="19" t="n">
        <v>6398.51</v>
      </c>
      <c r="G3827" s="8" t="n">
        <f aca="false">IFERROR(INDEX('TRANS'!$B:$B,MATCH($B3827,'TRANS'!$A:$A,0)),IFERROR(INDEX('TRANS'!$B:$B,MATCH(TRIM(SUBSTITUTE($B3827,CHAR(160)," ")),'TRANS'!$D:$D,0)),IFERROR(INDEX('Catalog'!$A:$A,MATCH($B3827,'Catalog'!$B:$B,0)),IFERROR(INDEX('Catalog'!$A:$A,MATCH(TRIM(SUBSTITUTE($B3827,CHAR(160)," ")),'Catalog'!$C:$C,0)),""))))</f>
        <v>4413370</v>
      </c>
      <c r="H3827" s="8" t="str">
        <f aca="false">IFERROR(INDEX('TRANS'!$C:$C,MATCH($B3827,'TRANS'!$A:$A,0)),IFERROR(INDEX('Catalog'!$B:$B,MATCH($G3827,'Catalog'!$A:$A,0)),$B3827))</f>
        <v>3674 0 מ.בוניון+מפריד אצבע</v>
      </c>
      <c r="I3827" s="8" t="str">
        <f aca="false">IF($G3827="","Unmatched","Matched")</f>
        <v>Matched</v>
      </c>
      <c r="J3827" s="8" t="n">
        <f aca="false">IF($G3827&lt;&gt;"",$G3827,$B3827)</f>
        <v>4413370</v>
      </c>
      <c r="K3827" s="8" t="str">
        <f aca="false">IF(COUNTIF($M$1:$M$10,$A3827)&gt;0,"Y","N")</f>
        <v>N</v>
      </c>
    </row>
    <row r="3828" customFormat="false" ht="15" hidden="false" customHeight="true" outlineLevel="0" collapsed="false">
      <c r="A3828" s="8" t="s">
        <v>1105</v>
      </c>
      <c r="B3828" s="8" t="s">
        <v>639</v>
      </c>
      <c r="C3828" s="19" t="n">
        <v>4</v>
      </c>
      <c r="D3828" s="19" t="n">
        <v>55.9</v>
      </c>
      <c r="E3828" s="19" t="n">
        <v>0</v>
      </c>
      <c r="F3828" s="19" t="n">
        <v>0</v>
      </c>
      <c r="G3828" s="8" t="n">
        <f aca="false">IFERROR(INDEX('TRANS'!$B:$B,MATCH($B3828,'TRANS'!$A:$A,0)),IFERROR(INDEX('TRANS'!$B:$B,MATCH(TRIM(SUBSTITUTE($B3828,CHAR(160)," ")),'TRANS'!$D:$D,0)),IFERROR(INDEX('Catalog'!$A:$A,MATCH($B3828,'Catalog'!$B:$B,0)),IFERROR(INDEX('Catalog'!$A:$A,MATCH(TRIM(SUBSTITUTE($B3828,CHAR(160)," ")),'Catalog'!$C:$C,0)),""))))</f>
        <v>4413371</v>
      </c>
      <c r="H3828" s="8" t="str">
        <f aca="false">IFERROR(INDEX('TRANS'!$C:$C,MATCH($B3828,'TRANS'!$A:$A,0)),IFERROR(INDEX('Catalog'!$B:$B,MATCH($G3828,'Catalog'!$A:$A,0)),$B3828))</f>
        <v>3675    מגן זרת מסיליקון</v>
      </c>
      <c r="I3828" s="8" t="str">
        <f aca="false">IF($G3828="","Unmatched","Matched")</f>
        <v>Matched</v>
      </c>
      <c r="J3828" s="8" t="n">
        <f aca="false">IF($G3828&lt;&gt;"",$G3828,$B3828)</f>
        <v>4413371</v>
      </c>
      <c r="K3828" s="8" t="str">
        <f aca="false">IF(COUNTIF($M$1:$M$10,$A3828)&gt;0,"Y","N")</f>
        <v>N</v>
      </c>
    </row>
    <row r="3829" customFormat="false" ht="15" hidden="false" customHeight="true" outlineLevel="0" collapsed="false">
      <c r="A3829" s="8" t="s">
        <v>1105</v>
      </c>
      <c r="B3829" s="8" t="s">
        <v>986</v>
      </c>
      <c r="C3829" s="19" t="n">
        <v>11</v>
      </c>
      <c r="D3829" s="19" t="n">
        <v>107.18</v>
      </c>
      <c r="E3829" s="19" t="n">
        <v>17</v>
      </c>
      <c r="F3829" s="19" t="n">
        <v>160.42</v>
      </c>
      <c r="G3829" s="8" t="n">
        <f aca="false">IFERROR(INDEX('TRANS'!$B:$B,MATCH($B3829,'TRANS'!$A:$A,0)),IFERROR(INDEX('TRANS'!$B:$B,MATCH(TRIM(SUBSTITUTE($B3829,CHAR(160)," ")),'TRANS'!$D:$D,0)),IFERROR(INDEX('Catalog'!$A:$A,MATCH($B3829,'Catalog'!$B:$B,0)),IFERROR(INDEX('Catalog'!$A:$A,MATCH(TRIM(SUBSTITUTE($B3829,CHAR(160)," ")),'Catalog'!$C:$C,0)),""))))</f>
        <v>4413066</v>
      </c>
      <c r="H3829" s="8" t="str">
        <f aca="false">IFERROR(INDEX('TRANS'!$C:$C,MATCH($B3829,'TRANS'!$A:$A,0)),IFERROR(INDEX('Catalog'!$B:$B,MATCH($G3829,'Catalog'!$A:$A,0)),$B3829))</f>
        <v>3677S-מד.לשחרור לחץ א.הבוניון</v>
      </c>
      <c r="I3829" s="8" t="str">
        <f aca="false">IF($G3829="","Unmatched","Matched")</f>
        <v>Matched</v>
      </c>
      <c r="J3829" s="8" t="n">
        <f aca="false">IF($G3829&lt;&gt;"",$G3829,$B3829)</f>
        <v>4413066</v>
      </c>
      <c r="K3829" s="8" t="str">
        <f aca="false">IF(COUNTIF($M$1:$M$10,$A3829)&gt;0,"Y","N")</f>
        <v>N</v>
      </c>
    </row>
    <row r="3830" customFormat="false" ht="15" hidden="false" customHeight="true" outlineLevel="0" collapsed="false">
      <c r="A3830" s="8" t="s">
        <v>1105</v>
      </c>
      <c r="B3830" s="8" t="s">
        <v>640</v>
      </c>
      <c r="C3830" s="19" t="n">
        <v>255</v>
      </c>
      <c r="D3830" s="19" t="n">
        <v>2425.57</v>
      </c>
      <c r="E3830" s="19" t="n">
        <v>147</v>
      </c>
      <c r="F3830" s="19" t="n">
        <v>1384.07</v>
      </c>
      <c r="G3830" s="8" t="n">
        <f aca="false">IFERROR(INDEX('TRANS'!$B:$B,MATCH($B3830,'TRANS'!$A:$A,0)),IFERROR(INDEX('TRANS'!$B:$B,MATCH(TRIM(SUBSTITUTE($B3830,CHAR(160)," ")),'TRANS'!$D:$D,0)),IFERROR(INDEX('Catalog'!$A:$A,MATCH($B3830,'Catalog'!$B:$B,0)),IFERROR(INDEX('Catalog'!$A:$A,MATCH(TRIM(SUBSTITUTE($B3830,CHAR(160)," ")),'Catalog'!$C:$C,0)),""))))</f>
        <v>4401000</v>
      </c>
      <c r="H3830" s="8" t="str">
        <f aca="false">IFERROR(INDEX('TRANS'!$C:$C,MATCH($B3830,'TRANS'!$A:$A,0)),IFERROR(INDEX('Catalog'!$B:$B,MATCH($G3830,'Catalog'!$A:$A,0)),$B3830))</f>
        <v>369  S-L אצבעון מסיליקון יחידה</v>
      </c>
      <c r="I3830" s="8" t="str">
        <f aca="false">IF($G3830="","Unmatched","Matched")</f>
        <v>Matched</v>
      </c>
      <c r="J3830" s="8" t="n">
        <f aca="false">IF($G3830&lt;&gt;"",$G3830,$B3830)</f>
        <v>4401000</v>
      </c>
      <c r="K3830" s="8" t="str">
        <f aca="false">IF(COUNTIF($M$1:$M$10,$A3830)&gt;0,"Y","N")</f>
        <v>N</v>
      </c>
    </row>
    <row r="3831" customFormat="false" ht="15" hidden="false" customHeight="true" outlineLevel="0" collapsed="false">
      <c r="A3831" s="8" t="s">
        <v>1105</v>
      </c>
      <c r="B3831" s="8" t="s">
        <v>641</v>
      </c>
      <c r="C3831" s="19" t="n">
        <v>225</v>
      </c>
      <c r="D3831" s="19" t="n">
        <v>2338.67</v>
      </c>
      <c r="E3831" s="19" t="n">
        <v>121</v>
      </c>
      <c r="F3831" s="19" t="n">
        <v>1257.76</v>
      </c>
      <c r="G3831" s="8" t="n">
        <f aca="false">IFERROR(INDEX('TRANS'!$B:$B,MATCH($B3831,'TRANS'!$A:$A,0)),IFERROR(INDEX('TRANS'!$B:$B,MATCH(TRIM(SUBSTITUTE($B3831,CHAR(160)," ")),'TRANS'!$D:$D,0)),IFERROR(INDEX('Catalog'!$A:$A,MATCH($B3831,'Catalog'!$B:$B,0)),IFERROR(INDEX('Catalog'!$A:$A,MATCH(TRIM(SUBSTITUTE($B3831,CHAR(160)," ")),'Catalog'!$C:$C,0)),""))))</f>
        <v>4401001</v>
      </c>
      <c r="H3831" s="8" t="str">
        <f aca="false">IFERROR(INDEX('TRANS'!$C:$C,MATCH($B3831,'TRANS'!$A:$A,0)),IFERROR(INDEX('Catalog'!$B:$B,MATCH($G3831,'Catalog'!$A:$A,0)),$B3831))</f>
        <v>369   XL אצבעון מסיליקון יחידה</v>
      </c>
      <c r="I3831" s="8" t="str">
        <f aca="false">IF($G3831="","Unmatched","Matched")</f>
        <v>Matched</v>
      </c>
      <c r="J3831" s="8" t="n">
        <f aca="false">IF($G3831&lt;&gt;"",$G3831,$B3831)</f>
        <v>4401001</v>
      </c>
      <c r="K3831" s="8" t="str">
        <f aca="false">IF(COUNTIF($M$1:$M$10,$A3831)&gt;0,"Y","N")</f>
        <v>N</v>
      </c>
    </row>
    <row r="3832" customFormat="false" ht="15" hidden="false" customHeight="true" outlineLevel="0" collapsed="false">
      <c r="A3832" s="8" t="s">
        <v>1105</v>
      </c>
      <c r="B3832" s="8" t="s">
        <v>869</v>
      </c>
      <c r="C3832" s="19" t="n">
        <v>105</v>
      </c>
      <c r="D3832" s="19" t="n">
        <v>4839.78</v>
      </c>
      <c r="E3832" s="19" t="n">
        <v>46</v>
      </c>
      <c r="F3832" s="19" t="n">
        <v>1854.41</v>
      </c>
      <c r="G3832" s="8" t="n">
        <f aca="false">IFERROR(INDEX('TRANS'!$B:$B,MATCH($B3832,'TRANS'!$A:$A,0)),IFERROR(INDEX('TRANS'!$B:$B,MATCH(TRIM(SUBSTITUTE($B3832,CHAR(160)," ")),'TRANS'!$D:$D,0)),IFERROR(INDEX('Catalog'!$A:$A,MATCH($B3832,'Catalog'!$B:$B,0)),IFERROR(INDEX('Catalog'!$A:$A,MATCH(TRIM(SUBSTITUTE($B3832,CHAR(160)," ")),'Catalog'!$C:$C,0)),""))))</f>
        <v>4413523</v>
      </c>
      <c r="H3832" s="8" t="str">
        <f aca="false">IFERROR(INDEX('TRANS'!$C:$C,MATCH($B3832,'TRANS'!$A:$A,0)),IFERROR(INDEX('Catalog'!$B:$B,MATCH($G3832,'Catalog'!$A:$A,0)),$B3832))</f>
        <v>35-38 מדרסי אפיק ג'ל נוחות</v>
      </c>
      <c r="I3832" s="8" t="str">
        <f aca="false">IF($G3832="","Unmatched","Matched")</f>
        <v>Matched</v>
      </c>
      <c r="J3832" s="8" t="n">
        <f aca="false">IF($G3832&lt;&gt;"",$G3832,$B3832)</f>
        <v>4413523</v>
      </c>
      <c r="K3832" s="8" t="str">
        <f aca="false">IF(COUNTIF($M$1:$M$10,$A3832)&gt;0,"Y","N")</f>
        <v>N</v>
      </c>
    </row>
    <row r="3833" customFormat="false" ht="15" hidden="false" customHeight="true" outlineLevel="0" collapsed="false">
      <c r="A3833" s="8" t="s">
        <v>1105</v>
      </c>
      <c r="B3833" s="8" t="s">
        <v>870</v>
      </c>
      <c r="C3833" s="19" t="n">
        <v>125</v>
      </c>
      <c r="D3833" s="19" t="n">
        <v>5731.88</v>
      </c>
      <c r="E3833" s="19" t="n">
        <v>37</v>
      </c>
      <c r="F3833" s="19" t="n">
        <v>1497.79</v>
      </c>
      <c r="G3833" s="8" t="n">
        <f aca="false">IFERROR(INDEX('TRANS'!$B:$B,MATCH($B3833,'TRANS'!$A:$A,0)),IFERROR(INDEX('TRANS'!$B:$B,MATCH(TRIM(SUBSTITUTE($B3833,CHAR(160)," ")),'TRANS'!$D:$D,0)),IFERROR(INDEX('Catalog'!$A:$A,MATCH($B3833,'Catalog'!$B:$B,0)),IFERROR(INDEX('Catalog'!$A:$A,MATCH(TRIM(SUBSTITUTE($B3833,CHAR(160)," ")),'Catalog'!$C:$C,0)),""))))</f>
        <v>4413524</v>
      </c>
      <c r="H3833" s="8" t="str">
        <f aca="false">IFERROR(INDEX('TRANS'!$C:$C,MATCH($B3833,'TRANS'!$A:$A,0)),IFERROR(INDEX('Catalog'!$B:$B,MATCH($G3833,'Catalog'!$A:$A,0)),$B3833))</f>
        <v>39-42 מדרסי אפיק ג'ל נוחות</v>
      </c>
      <c r="I3833" s="8" t="str">
        <f aca="false">IF($G3833="","Unmatched","Matched")</f>
        <v>Matched</v>
      </c>
      <c r="J3833" s="8" t="n">
        <f aca="false">IF($G3833&lt;&gt;"",$G3833,$B3833)</f>
        <v>4413524</v>
      </c>
      <c r="K3833" s="8" t="str">
        <f aca="false">IF(COUNTIF($M$1:$M$10,$A3833)&gt;0,"Y","N")</f>
        <v>N</v>
      </c>
    </row>
    <row r="3834" customFormat="false" ht="15" hidden="false" customHeight="true" outlineLevel="0" collapsed="false">
      <c r="A3834" s="8" t="s">
        <v>1105</v>
      </c>
      <c r="B3834" s="8" t="s">
        <v>871</v>
      </c>
      <c r="C3834" s="19" t="n">
        <v>101</v>
      </c>
      <c r="D3834" s="19" t="n">
        <v>4660.82</v>
      </c>
      <c r="E3834" s="19" t="n">
        <v>11</v>
      </c>
      <c r="F3834" s="19" t="n">
        <v>445.19</v>
      </c>
      <c r="G3834" s="8" t="n">
        <f aca="false">IFERROR(INDEX('TRANS'!$B:$B,MATCH($B3834,'TRANS'!$A:$A,0)),IFERROR(INDEX('TRANS'!$B:$B,MATCH(TRIM(SUBSTITUTE($B3834,CHAR(160)," ")),'TRANS'!$D:$D,0)),IFERROR(INDEX('Catalog'!$A:$A,MATCH($B3834,'Catalog'!$B:$B,0)),IFERROR(INDEX('Catalog'!$A:$A,MATCH(TRIM(SUBSTITUTE($B3834,CHAR(160)," ")),'Catalog'!$C:$C,0)),""))))</f>
        <v>4413525</v>
      </c>
      <c r="H3834" s="8" t="str">
        <f aca="false">IFERROR(INDEX('TRANS'!$C:$C,MATCH($B3834,'TRANS'!$A:$A,0)),IFERROR(INDEX('Catalog'!$B:$B,MATCH($G3834,'Catalog'!$A:$A,0)),$B3834))</f>
        <v>43-47 מדרסי אפיק ג'ל נוחות</v>
      </c>
      <c r="I3834" s="8" t="str">
        <f aca="false">IF($G3834="","Unmatched","Matched")</f>
        <v>Matched</v>
      </c>
      <c r="J3834" s="8" t="n">
        <f aca="false">IF($G3834&lt;&gt;"",$G3834,$B3834)</f>
        <v>4413525</v>
      </c>
      <c r="K3834" s="8" t="str">
        <f aca="false">IF(COUNTIF($M$1:$M$10,$A3834)&gt;0,"Y","N")</f>
        <v>N</v>
      </c>
    </row>
    <row r="3835" customFormat="false" ht="15" hidden="false" customHeight="true" outlineLevel="0" collapsed="false">
      <c r="A3835" s="8" t="s">
        <v>1105</v>
      </c>
      <c r="B3835" s="8" t="s">
        <v>873</v>
      </c>
      <c r="C3835" s="19" t="n">
        <v>1</v>
      </c>
      <c r="D3835" s="19" t="n">
        <v>0.04</v>
      </c>
      <c r="E3835" s="19" t="n">
        <v>0</v>
      </c>
      <c r="F3835" s="19" t="n">
        <v>0</v>
      </c>
      <c r="G3835" s="8" t="n">
        <f aca="false">IFERROR(INDEX('TRANS'!$B:$B,MATCH($B3835,'TRANS'!$A:$A,0)),IFERROR(INDEX('TRANS'!$B:$B,MATCH(TRIM(SUBSTITUTE($B3835,CHAR(160)," ")),'TRANS'!$D:$D,0)),IFERROR(INDEX('Catalog'!$A:$A,MATCH($B3835,'Catalog'!$B:$B,0)),IFERROR(INDEX('Catalog'!$A:$A,MATCH(TRIM(SUBSTITUTE($B3835,CHAR(160)," ")),'Catalog'!$C:$C,0)),""))))</f>
        <v>4413521</v>
      </c>
      <c r="H3835" s="8" t="str">
        <f aca="false">IFERROR(INDEX('TRANS'!$C:$C,MATCH($B3835,'TRANS'!$A:$A,0)),IFERROR(INDEX('Catalog'!$B:$B,MATCH($G3835,'Catalog'!$A:$A,0)),$B3835))</f>
        <v>מדרסי אפיק ג'ל מולטי ספור39-42</v>
      </c>
      <c r="I3835" s="8" t="str">
        <f aca="false">IF($G3835="","Unmatched","Matched")</f>
        <v>Matched</v>
      </c>
      <c r="J3835" s="8" t="n">
        <f aca="false">IF($G3835&lt;&gt;"",$G3835,$B3835)</f>
        <v>4413521</v>
      </c>
      <c r="K3835" s="8" t="str">
        <f aca="false">IF(COUNTIF($M$1:$M$10,$A3835)&gt;0,"Y","N")</f>
        <v>N</v>
      </c>
    </row>
    <row r="3836" customFormat="false" ht="15" hidden="false" customHeight="true" outlineLevel="0" collapsed="false">
      <c r="A3836" s="8" t="s">
        <v>1105</v>
      </c>
      <c r="B3836" s="8" t="s">
        <v>650</v>
      </c>
      <c r="C3836" s="19" t="n">
        <v>337</v>
      </c>
      <c r="D3836" s="19" t="n">
        <v>11873.87</v>
      </c>
      <c r="E3836" s="19" t="n">
        <v>239</v>
      </c>
      <c r="F3836" s="19" t="n">
        <v>7470.49</v>
      </c>
      <c r="G3836" s="8" t="n">
        <f aca="false">IFERROR(INDEX('TRANS'!$B:$B,MATCH($B3836,'TRANS'!$A:$A,0)),IFERROR(INDEX('TRANS'!$B:$B,MATCH(TRIM(SUBSTITUTE($B3836,CHAR(160)," ")),'TRANS'!$D:$D,0)),IFERROR(INDEX('Catalog'!$A:$A,MATCH($B3836,'Catalog'!$B:$B,0)),IFERROR(INDEX('Catalog'!$A:$A,MATCH(TRIM(SUBSTITUTE($B3836,CHAR(160)," ")),'Catalog'!$C:$C,0)),""))))</f>
        <v>4415298</v>
      </c>
      <c r="H3836" s="8" t="str">
        <f aca="false">IFERROR(INDEX('TRANS'!$C:$C,MATCH($B3836,'TRANS'!$A:$A,0)),IFERROR(INDEX('Catalog'!$B:$B,MATCH($G3836,'Catalog'!$A:$A,0)),$B3836))</f>
        <v>388B L סד לילה שחור לבוהן שמאל</v>
      </c>
      <c r="I3836" s="8" t="str">
        <f aca="false">IF($G3836="","Unmatched","Matched")</f>
        <v>Matched</v>
      </c>
      <c r="J3836" s="8" t="n">
        <f aca="false">IF($G3836&lt;&gt;"",$G3836,$B3836)</f>
        <v>4415298</v>
      </c>
      <c r="K3836" s="8" t="str">
        <f aca="false">IF(COUNTIF($M$1:$M$10,$A3836)&gt;0,"Y","N")</f>
        <v>N</v>
      </c>
    </row>
    <row r="3837" customFormat="false" ht="15" hidden="false" customHeight="true" outlineLevel="0" collapsed="false">
      <c r="A3837" s="8" t="s">
        <v>1105</v>
      </c>
      <c r="B3837" s="8" t="s">
        <v>651</v>
      </c>
      <c r="C3837" s="19" t="n">
        <v>336</v>
      </c>
      <c r="D3837" s="19" t="n">
        <v>11888.73</v>
      </c>
      <c r="E3837" s="19" t="n">
        <v>259</v>
      </c>
      <c r="F3837" s="19" t="n">
        <v>8116.07</v>
      </c>
      <c r="G3837" s="8" t="n">
        <f aca="false">IFERROR(INDEX('TRANS'!$B:$B,MATCH($B3837,'TRANS'!$A:$A,0)),IFERROR(INDEX('TRANS'!$B:$B,MATCH(TRIM(SUBSTITUTE($B3837,CHAR(160)," ")),'TRANS'!$D:$D,0)),IFERROR(INDEX('Catalog'!$A:$A,MATCH($B3837,'Catalog'!$B:$B,0)),IFERROR(INDEX('Catalog'!$A:$A,MATCH(TRIM(SUBSTITUTE($B3837,CHAR(160)," ")),'Catalog'!$C:$C,0)),""))))</f>
        <v>4415299</v>
      </c>
      <c r="H3837" s="8" t="str">
        <f aca="false">IFERROR(INDEX('TRANS'!$C:$C,MATCH($B3837,'TRANS'!$A:$A,0)),IFERROR(INDEX('Catalog'!$B:$B,MATCH($G3837,'Catalog'!$A:$A,0)),$B3837))</f>
        <v>388B L סד לילה שחור לבוהן ימין</v>
      </c>
      <c r="I3837" s="8" t="str">
        <f aca="false">IF($G3837="","Unmatched","Matched")</f>
        <v>Matched</v>
      </c>
      <c r="J3837" s="8" t="n">
        <f aca="false">IF($G3837&lt;&gt;"",$G3837,$B3837)</f>
        <v>4415299</v>
      </c>
      <c r="K3837" s="8" t="str">
        <f aca="false">IF(COUNTIF($M$1:$M$10,$A3837)&gt;0,"Y","N")</f>
        <v>N</v>
      </c>
    </row>
    <row r="3838" customFormat="false" ht="15" hidden="false" customHeight="true" outlineLevel="0" collapsed="false">
      <c r="A3838" s="8" t="s">
        <v>1105</v>
      </c>
      <c r="B3838" s="8" t="s">
        <v>191</v>
      </c>
      <c r="C3838" s="19" t="n">
        <v>1</v>
      </c>
      <c r="D3838" s="19" t="n">
        <v>0.04</v>
      </c>
      <c r="E3838" s="19" t="n">
        <v>0</v>
      </c>
      <c r="F3838" s="19" t="n">
        <v>0</v>
      </c>
      <c r="G3838" s="8" t="str">
        <f aca="false">IFERROR(INDEX('TRANS'!$B:$B,MATCH($B3838,'TRANS'!$A:$A,0)),IFERROR(INDEX('TRANS'!$B:$B,MATCH(TRIM(SUBSTITUTE($B3838,CHAR(160)," ")),'TRANS'!$D:$D,0)),IFERROR(INDEX('Catalog'!$A:$A,MATCH($B3838,'Catalog'!$B:$B,0)),IFERROR(INDEX('Catalog'!$A:$A,MATCH(TRIM(SUBSTITUTE($B3838,CHAR(160)," ")),'Catalog'!$C:$C,0)),""))))</f>
        <v/>
      </c>
      <c r="H3838" s="8" t="str">
        <f aca="false">IFERROR(INDEX('TRANS'!$C:$C,MATCH($B3838,'TRANS'!$A:$A,0)),IFERROR(INDEX('Catalog'!$B:$B,MATCH($G3838,'Catalog'!$A:$A,0)),$B3838))</f>
        <v>391W-35-38</v>
      </c>
      <c r="I3838" s="8" t="str">
        <f aca="false">IF($G3838="","Unmatched","Matched")</f>
        <v>Unmatched</v>
      </c>
      <c r="J3838" s="8" t="str">
        <f aca="false">IF($G3838&lt;&gt;"",$G3838,$B3838)</f>
        <v>391W-35-38</v>
      </c>
      <c r="K3838" s="8" t="str">
        <f aca="false">IF(COUNTIF($M$1:$M$10,$A3838)&gt;0,"Y","N")</f>
        <v>N</v>
      </c>
    </row>
    <row r="3839" customFormat="false" ht="15" hidden="false" customHeight="true" outlineLevel="0" collapsed="false">
      <c r="A3839" s="8" t="s">
        <v>1105</v>
      </c>
      <c r="B3839" s="8" t="s">
        <v>665</v>
      </c>
      <c r="C3839" s="19" t="n">
        <v>1</v>
      </c>
      <c r="D3839" s="19" t="n">
        <v>0.04</v>
      </c>
      <c r="E3839" s="19" t="n">
        <v>0</v>
      </c>
      <c r="F3839" s="19" t="n">
        <v>0</v>
      </c>
      <c r="G3839" s="8" t="n">
        <f aca="false">IFERROR(INDEX('TRANS'!$B:$B,MATCH($B3839,'TRANS'!$A:$A,0)),IFERROR(INDEX('TRANS'!$B:$B,MATCH(TRIM(SUBSTITUTE($B3839,CHAR(160)," ")),'TRANS'!$D:$D,0)),IFERROR(INDEX('Catalog'!$A:$A,MATCH($B3839,'Catalog'!$B:$B,0)),IFERROR(INDEX('Catalog'!$A:$A,MATCH(TRIM(SUBSTITUTE($B3839,CHAR(160)," ")),'Catalog'!$C:$C,0)),""))))</f>
        <v>4403045</v>
      </c>
      <c r="H3839" s="8" t="str">
        <f aca="false">IFERROR(INDEX('TRANS'!$C:$C,MATCH($B3839,'TRANS'!$A:$A,0)),IFERROR(INDEX('Catalog'!$B:$B,MATCH($G3839,'Catalog'!$A:$A,0)),$B3839))</f>
        <v>395B גרבי קיץ אנטי בקטריא43-46</v>
      </c>
      <c r="I3839" s="8" t="str">
        <f aca="false">IF($G3839="","Unmatched","Matched")</f>
        <v>Matched</v>
      </c>
      <c r="J3839" s="8" t="n">
        <f aca="false">IF($G3839&lt;&gt;"",$G3839,$B3839)</f>
        <v>4403045</v>
      </c>
      <c r="K3839" s="8" t="str">
        <f aca="false">IF(COUNTIF($M$1:$M$10,$A3839)&gt;0,"Y","N")</f>
        <v>N</v>
      </c>
    </row>
    <row r="3840" customFormat="false" ht="15" hidden="false" customHeight="true" outlineLevel="0" collapsed="false">
      <c r="A3840" s="8" t="s">
        <v>1105</v>
      </c>
      <c r="B3840" s="8" t="s">
        <v>669</v>
      </c>
      <c r="C3840" s="19" t="n">
        <v>1</v>
      </c>
      <c r="D3840" s="19" t="n">
        <v>0.04</v>
      </c>
      <c r="E3840" s="19" t="n">
        <v>0</v>
      </c>
      <c r="F3840" s="19" t="n">
        <v>0</v>
      </c>
      <c r="G3840" s="8" t="n">
        <f aca="false">IFERROR(INDEX('TRANS'!$B:$B,MATCH($B3840,'TRANS'!$A:$A,0)),IFERROR(INDEX('TRANS'!$B:$B,MATCH(TRIM(SUBSTITUTE($B3840,CHAR(160)," ")),'TRANS'!$D:$D,0)),IFERROR(INDEX('Catalog'!$A:$A,MATCH($B3840,'Catalog'!$B:$B,0)),IFERROR(INDEX('Catalog'!$A:$A,MATCH(TRIM(SUBSTITUTE($B3840,CHAR(160)," ")),'Catalog'!$C:$C,0)),""))))</f>
        <v>4403043</v>
      </c>
      <c r="H3840" s="8" t="str">
        <f aca="false">IFERROR(INDEX('TRANS'!$C:$C,MATCH($B3840,'TRANS'!$A:$A,0)),IFERROR(INDEX('Catalog'!$B:$B,MATCH($G3840,'Catalog'!$A:$A,0)),$B3840))</f>
        <v>397A-גרבי טיסה אנטי בקטרי43-46</v>
      </c>
      <c r="I3840" s="8" t="str">
        <f aca="false">IF($G3840="","Unmatched","Matched")</f>
        <v>Matched</v>
      </c>
      <c r="J3840" s="8" t="n">
        <f aca="false">IF($G3840&lt;&gt;"",$G3840,$B3840)</f>
        <v>4403043</v>
      </c>
      <c r="K3840" s="8" t="str">
        <f aca="false">IF(COUNTIF($M$1:$M$10,$A3840)&gt;0,"Y","N")</f>
        <v>N</v>
      </c>
    </row>
    <row r="3841" customFormat="false" ht="15" hidden="false" customHeight="true" outlineLevel="0" collapsed="false">
      <c r="A3841" s="8" t="s">
        <v>1105</v>
      </c>
      <c r="B3841" s="8" t="s">
        <v>798</v>
      </c>
      <c r="C3841" s="19" t="n">
        <v>130</v>
      </c>
      <c r="D3841" s="19" t="n">
        <v>1341.97</v>
      </c>
      <c r="E3841" s="19" t="n">
        <v>29</v>
      </c>
      <c r="F3841" s="19" t="n">
        <v>294.18</v>
      </c>
      <c r="G3841" s="8" t="n">
        <f aca="false">IFERROR(INDEX('TRANS'!$B:$B,MATCH($B3841,'TRANS'!$A:$A,0)),IFERROR(INDEX('TRANS'!$B:$B,MATCH(TRIM(SUBSTITUTE($B3841,CHAR(160)," ")),'TRANS'!$D:$D,0)),IFERROR(INDEX('Catalog'!$A:$A,MATCH($B3841,'Catalog'!$B:$B,0)),IFERROR(INDEX('Catalog'!$A:$A,MATCH(TRIM(SUBSTITUTE($B3841,CHAR(160)," ")),'Catalog'!$C:$C,0)),""))))</f>
        <v>4413092</v>
      </c>
      <c r="H3841" s="8" t="str">
        <f aca="false">IFERROR(INDEX('TRANS'!$C:$C,MATCH($B3841,'TRANS'!$A:$A,0)),IFERROR(INDEX('Catalog'!$B:$B,MATCH($G3841,'Catalog'!$A:$A,0)),$B3841))</f>
        <v>45 L מגן ברך לבן</v>
      </c>
      <c r="I3841" s="8" t="str">
        <f aca="false">IF($G3841="","Unmatched","Matched")</f>
        <v>Matched</v>
      </c>
      <c r="J3841" s="8" t="n">
        <f aca="false">IF($G3841&lt;&gt;"",$G3841,$B3841)</f>
        <v>4413092</v>
      </c>
      <c r="K3841" s="8" t="str">
        <f aca="false">IF(COUNTIF($M$1:$M$10,$A3841)&gt;0,"Y","N")</f>
        <v>N</v>
      </c>
    </row>
    <row r="3842" customFormat="false" ht="15" hidden="false" customHeight="true" outlineLevel="0" collapsed="false">
      <c r="A3842" s="8" t="s">
        <v>1105</v>
      </c>
      <c r="B3842" s="8" t="s">
        <v>799</v>
      </c>
      <c r="C3842" s="19" t="n">
        <v>82</v>
      </c>
      <c r="D3842" s="19" t="n">
        <v>856.66</v>
      </c>
      <c r="E3842" s="19" t="n">
        <v>33</v>
      </c>
      <c r="F3842" s="19" t="n">
        <v>338.39</v>
      </c>
      <c r="G3842" s="8" t="n">
        <f aca="false">IFERROR(INDEX('TRANS'!$B:$B,MATCH($B3842,'TRANS'!$A:$A,0)),IFERROR(INDEX('TRANS'!$B:$B,MATCH(TRIM(SUBSTITUTE($B3842,CHAR(160)," ")),'TRANS'!$D:$D,0)),IFERROR(INDEX('Catalog'!$A:$A,MATCH($B3842,'Catalog'!$B:$B,0)),IFERROR(INDEX('Catalog'!$A:$A,MATCH(TRIM(SUBSTITUTE($B3842,CHAR(160)," ")),'Catalog'!$C:$C,0)),""))))</f>
        <v>4413093</v>
      </c>
      <c r="H3842" s="8" t="str">
        <f aca="false">IFERROR(INDEX('TRANS'!$C:$C,MATCH($B3842,'TRANS'!$A:$A,0)),IFERROR(INDEX('Catalog'!$B:$B,MATCH($G3842,'Catalog'!$A:$A,0)),$B3842))</f>
        <v>45 M מגן ברך לבן</v>
      </c>
      <c r="I3842" s="8" t="str">
        <f aca="false">IF($G3842="","Unmatched","Matched")</f>
        <v>Matched</v>
      </c>
      <c r="J3842" s="8" t="n">
        <f aca="false">IF($G3842&lt;&gt;"",$G3842,$B3842)</f>
        <v>4413093</v>
      </c>
      <c r="K3842" s="8" t="str">
        <f aca="false">IF(COUNTIF($M$1:$M$10,$A3842)&gt;0,"Y","N")</f>
        <v>N</v>
      </c>
    </row>
    <row r="3843" customFormat="false" ht="15" hidden="false" customHeight="true" outlineLevel="0" collapsed="false">
      <c r="A3843" s="8" t="s">
        <v>1105</v>
      </c>
      <c r="B3843" s="8" t="s">
        <v>673</v>
      </c>
      <c r="C3843" s="19" t="n">
        <v>26</v>
      </c>
      <c r="D3843" s="19" t="n">
        <v>269.78</v>
      </c>
      <c r="E3843" s="19" t="n">
        <v>36</v>
      </c>
      <c r="F3843" s="19" t="n">
        <v>370.51</v>
      </c>
      <c r="G3843" s="8" t="n">
        <f aca="false">IFERROR(INDEX('TRANS'!$B:$B,MATCH($B3843,'TRANS'!$A:$A,0)),IFERROR(INDEX('TRANS'!$B:$B,MATCH(TRIM(SUBSTITUTE($B3843,CHAR(160)," ")),'TRANS'!$D:$D,0)),IFERROR(INDEX('Catalog'!$A:$A,MATCH($B3843,'Catalog'!$B:$B,0)),IFERROR(INDEX('Catalog'!$A:$A,MATCH(TRIM(SUBSTITUTE($B3843,CHAR(160)," ")),'Catalog'!$C:$C,0)),""))))</f>
        <v>4413094</v>
      </c>
      <c r="H3843" s="8" t="str">
        <f aca="false">IFERROR(INDEX('TRANS'!$C:$C,MATCH($B3843,'TRANS'!$A:$A,0)),IFERROR(INDEX('Catalog'!$B:$B,MATCH($G3843,'Catalog'!$A:$A,0)),$B3843))</f>
        <v>45 S מגן ברך לבן</v>
      </c>
      <c r="I3843" s="8" t="str">
        <f aca="false">IF($G3843="","Unmatched","Matched")</f>
        <v>Matched</v>
      </c>
      <c r="J3843" s="8" t="n">
        <f aca="false">IF($G3843&lt;&gt;"",$G3843,$B3843)</f>
        <v>4413094</v>
      </c>
      <c r="K3843" s="8" t="str">
        <f aca="false">IF(COUNTIF($M$1:$M$10,$A3843)&gt;0,"Y","N")</f>
        <v>N</v>
      </c>
    </row>
    <row r="3844" customFormat="false" ht="15" hidden="false" customHeight="true" outlineLevel="0" collapsed="false">
      <c r="A3844" s="8" t="s">
        <v>1105</v>
      </c>
      <c r="B3844" s="8" t="s">
        <v>674</v>
      </c>
      <c r="C3844" s="19" t="n">
        <v>148</v>
      </c>
      <c r="D3844" s="19" t="n">
        <v>1528.86</v>
      </c>
      <c r="E3844" s="19" t="n">
        <v>59</v>
      </c>
      <c r="F3844" s="19" t="n">
        <v>610.1</v>
      </c>
      <c r="G3844" s="8" t="n">
        <f aca="false">IFERROR(INDEX('TRANS'!$B:$B,MATCH($B3844,'TRANS'!$A:$A,0)),IFERROR(INDEX('TRANS'!$B:$B,MATCH(TRIM(SUBSTITUTE($B3844,CHAR(160)," ")),'TRANS'!$D:$D,0)),IFERROR(INDEX('Catalog'!$A:$A,MATCH($B3844,'Catalog'!$B:$B,0)),IFERROR(INDEX('Catalog'!$A:$A,MATCH(TRIM(SUBSTITUTE($B3844,CHAR(160)," ")),'Catalog'!$C:$C,0)),""))))</f>
        <v>4413095</v>
      </c>
      <c r="H3844" s="8" t="str">
        <f aca="false">IFERROR(INDEX('TRANS'!$C:$C,MATCH($B3844,'TRANS'!$A:$A,0)),IFERROR(INDEX('Catalog'!$B:$B,MATCH($G3844,'Catalog'!$A:$A,0)),$B3844))</f>
        <v>45 XL מגן ברך לבן</v>
      </c>
      <c r="I3844" s="8" t="str">
        <f aca="false">IF($G3844="","Unmatched","Matched")</f>
        <v>Matched</v>
      </c>
      <c r="J3844" s="8" t="n">
        <f aca="false">IF($G3844&lt;&gt;"",$G3844,$B3844)</f>
        <v>4413095</v>
      </c>
      <c r="K3844" s="8" t="str">
        <f aca="false">IF(COUNTIF($M$1:$M$10,$A3844)&gt;0,"Y","N")</f>
        <v>N</v>
      </c>
    </row>
    <row r="3845" customFormat="false" ht="15" hidden="false" customHeight="true" outlineLevel="0" collapsed="false">
      <c r="A3845" s="8" t="s">
        <v>1105</v>
      </c>
      <c r="B3845" s="8" t="s">
        <v>994</v>
      </c>
      <c r="C3845" s="19" t="n">
        <v>0</v>
      </c>
      <c r="D3845" s="19" t="n">
        <v>0</v>
      </c>
      <c r="E3845" s="19" t="n">
        <v>6</v>
      </c>
      <c r="F3845" s="19" t="n">
        <v>62.44</v>
      </c>
      <c r="G3845" s="8" t="n">
        <f aca="false">IFERROR(INDEX('TRANS'!$B:$B,MATCH($B3845,'TRANS'!$A:$A,0)),IFERROR(INDEX('TRANS'!$B:$B,MATCH(TRIM(SUBSTITUTE($B3845,CHAR(160)," ")),'TRANS'!$D:$D,0)),IFERROR(INDEX('Catalog'!$A:$A,MATCH($B3845,'Catalog'!$B:$B,0)),IFERROR(INDEX('Catalog'!$A:$A,MATCH(TRIM(SUBSTITUTE($B3845,CHAR(160)," ")),'Catalog'!$C:$C,0)),""))))</f>
        <v>4413332</v>
      </c>
      <c r="H3845" s="8" t="str">
        <f aca="false">IFERROR(INDEX('TRANS'!$C:$C,MATCH($B3845,'TRANS'!$A:$A,0)),IFERROR(INDEX('Catalog'!$B:$B,MATCH($G3845,'Catalog'!$A:$A,0)),$B3845))</f>
        <v>45  XS מגן ברך רגיל לבן</v>
      </c>
      <c r="I3845" s="8" t="str">
        <f aca="false">IF($G3845="","Unmatched","Matched")</f>
        <v>Matched</v>
      </c>
      <c r="J3845" s="8" t="n">
        <f aca="false">IF($G3845&lt;&gt;"",$G3845,$B3845)</f>
        <v>4413332</v>
      </c>
      <c r="K3845" s="8" t="str">
        <f aca="false">IF(COUNTIF($M$1:$M$10,$A3845)&gt;0,"Y","N")</f>
        <v>N</v>
      </c>
    </row>
    <row r="3846" customFormat="false" ht="15" hidden="false" customHeight="true" outlineLevel="0" collapsed="false">
      <c r="A3846" s="8" t="s">
        <v>1105</v>
      </c>
      <c r="B3846" s="8" t="s">
        <v>800</v>
      </c>
      <c r="C3846" s="19" t="n">
        <v>145</v>
      </c>
      <c r="D3846" s="19" t="n">
        <v>1506.46</v>
      </c>
      <c r="E3846" s="19" t="n">
        <v>36</v>
      </c>
      <c r="F3846" s="19" t="n">
        <v>369.87</v>
      </c>
      <c r="G3846" s="8" t="n">
        <f aca="false">IFERROR(INDEX('TRANS'!$B:$B,MATCH($B3846,'TRANS'!$A:$A,0)),IFERROR(INDEX('TRANS'!$B:$B,MATCH(TRIM(SUBSTITUTE($B3846,CHAR(160)," ")),'TRANS'!$D:$D,0)),IFERROR(INDEX('Catalog'!$A:$A,MATCH($B3846,'Catalog'!$B:$B,0)),IFERROR(INDEX('Catalog'!$A:$A,MATCH(TRIM(SUBSTITUTE($B3846,CHAR(160)," ")),'Catalog'!$C:$C,0)),""))))</f>
        <v>4413096</v>
      </c>
      <c r="H3846" s="8" t="str">
        <f aca="false">IFERROR(INDEX('TRANS'!$C:$C,MATCH($B3846,'TRANS'!$A:$A,0)),IFERROR(INDEX('Catalog'!$B:$B,MATCH($G3846,'Catalog'!$A:$A,0)),$B3846))</f>
        <v>45 XXL מגן ברך לבן</v>
      </c>
      <c r="I3846" s="8" t="str">
        <f aca="false">IF($G3846="","Unmatched","Matched")</f>
        <v>Matched</v>
      </c>
      <c r="J3846" s="8" t="n">
        <f aca="false">IF($G3846&lt;&gt;"",$G3846,$B3846)</f>
        <v>4413096</v>
      </c>
      <c r="K3846" s="8" t="str">
        <f aca="false">IF(COUNTIF($M$1:$M$10,$A3846)&gt;0,"Y","N")</f>
        <v>N</v>
      </c>
    </row>
    <row r="3847" customFormat="false" ht="15" hidden="false" customHeight="true" outlineLevel="0" collapsed="false">
      <c r="A3847" s="8" t="s">
        <v>1105</v>
      </c>
      <c r="B3847" s="8" t="s">
        <v>883</v>
      </c>
      <c r="C3847" s="19" t="n">
        <v>1</v>
      </c>
      <c r="D3847" s="19" t="n">
        <v>0.04</v>
      </c>
      <c r="E3847" s="19" t="n">
        <v>0</v>
      </c>
      <c r="F3847" s="19" t="n">
        <v>0</v>
      </c>
      <c r="G3847" s="8" t="n">
        <f aca="false">IFERROR(INDEX('TRANS'!$B:$B,MATCH($B3847,'TRANS'!$A:$A,0)),IFERROR(INDEX('TRANS'!$B:$B,MATCH(TRIM(SUBSTITUTE($B3847,CHAR(160)," ")),'TRANS'!$D:$D,0)),IFERROR(INDEX('Catalog'!$A:$A,MATCH($B3847,'Catalog'!$B:$B,0)),IFERROR(INDEX('Catalog'!$A:$A,MATCH(TRIM(SUBSTITUTE($B3847,CHAR(160)," ")),'Catalog'!$C:$C,0)),""))))</f>
        <v>4408271</v>
      </c>
      <c r="H3847" s="8" t="str">
        <f aca="false">IFERROR(INDEX('TRANS'!$C:$C,MATCH($B3847,'TRANS'!$A:$A,0)),IFERROR(INDEX('Catalog'!$B:$B,MATCH($G3847,'Catalog'!$A:$A,0)),$B3847))</f>
        <v>70N XS חגורת פאבליק</v>
      </c>
      <c r="I3847" s="8" t="str">
        <f aca="false">IF($G3847="","Unmatched","Matched")</f>
        <v>Matched</v>
      </c>
      <c r="J3847" s="8" t="n">
        <f aca="false">IF($G3847&lt;&gt;"",$G3847,$B3847)</f>
        <v>4408271</v>
      </c>
      <c r="K3847" s="8" t="str">
        <f aca="false">IF(COUNTIF($M$1:$M$10,$A3847)&gt;0,"Y","N")</f>
        <v>N</v>
      </c>
    </row>
    <row r="3848" customFormat="false" ht="15" hidden="false" customHeight="true" outlineLevel="0" collapsed="false">
      <c r="A3848" s="8" t="s">
        <v>1105</v>
      </c>
      <c r="B3848" s="8" t="s">
        <v>696</v>
      </c>
      <c r="C3848" s="19" t="n">
        <v>40</v>
      </c>
      <c r="D3848" s="19" t="n">
        <v>389.19</v>
      </c>
      <c r="E3848" s="19" t="n">
        <v>55</v>
      </c>
      <c r="F3848" s="19" t="n">
        <v>532.29</v>
      </c>
      <c r="G3848" s="8" t="n">
        <f aca="false">IFERROR(INDEX('TRANS'!$B:$B,MATCH($B3848,'TRANS'!$A:$A,0)),IFERROR(INDEX('TRANS'!$B:$B,MATCH(TRIM(SUBSTITUTE($B3848,CHAR(160)," ")),'TRANS'!$D:$D,0)),IFERROR(INDEX('Catalog'!$A:$A,MATCH($B3848,'Catalog'!$B:$B,0)),IFERROR(INDEX('Catalog'!$A:$A,MATCH(TRIM(SUBSTITUTE($B3848,CHAR(160)," ")),'Catalog'!$C:$C,0)),""))))</f>
        <v>4422000</v>
      </c>
      <c r="H3848" s="8" t="str">
        <f aca="false">IFERROR(INDEX('TRANS'!$C:$C,MATCH($B3848,'TRANS'!$A:$A,0)),IFERROR(INDEX('Catalog'!$B:$B,MATCH($G3848,'Catalog'!$A:$A,0)),$B3848))</f>
        <v>801  תחבושת אלסטית מקררת</v>
      </c>
      <c r="I3848" s="8" t="str">
        <f aca="false">IF($G3848="","Unmatched","Matched")</f>
        <v>Matched</v>
      </c>
      <c r="J3848" s="8" t="n">
        <f aca="false">IF($G3848&lt;&gt;"",$G3848,$B3848)</f>
        <v>4422000</v>
      </c>
      <c r="K3848" s="8" t="str">
        <f aca="false">IF(COUNTIF($M$1:$M$10,$A3848)&gt;0,"Y","N")</f>
        <v>N</v>
      </c>
    </row>
    <row r="3849" customFormat="false" ht="15" hidden="false" customHeight="true" outlineLevel="0" collapsed="false">
      <c r="A3849" s="8" t="s">
        <v>1105</v>
      </c>
      <c r="B3849" s="8" t="s">
        <v>705</v>
      </c>
      <c r="C3849" s="19" t="n">
        <v>120</v>
      </c>
      <c r="D3849" s="19" t="n">
        <v>1473.88</v>
      </c>
      <c r="E3849" s="19" t="n">
        <v>72</v>
      </c>
      <c r="F3849" s="19" t="n">
        <v>886.11</v>
      </c>
      <c r="G3849" s="8" t="n">
        <f aca="false">IFERROR(INDEX('TRANS'!$B:$B,MATCH($B3849,'TRANS'!$A:$A,0)),IFERROR(INDEX('TRANS'!$B:$B,MATCH(TRIM(SUBSTITUTE($B3849,CHAR(160)," ")),'TRANS'!$D:$D,0)),IFERROR(INDEX('Catalog'!$A:$A,MATCH($B3849,'Catalog'!$B:$B,0)),IFERROR(INDEX('Catalog'!$A:$A,MATCH(TRIM(SUBSTITUTE($B3849,CHAR(160)," ")),'Catalog'!$C:$C,0)),""))))</f>
        <v>4409017</v>
      </c>
      <c r="H3849" s="8" t="str">
        <f aca="false">IFERROR(INDEX('TRANS'!$C:$C,MATCH($B3849,'TRANS'!$A:$A,0)),IFERROR(INDEX('Catalog'!$B:$B,MATCH($G3849,'Catalog'!$A:$A,0)),$B3849))</f>
        <v>808KT-B        טייפ קינזיולוגי</v>
      </c>
      <c r="I3849" s="8" t="str">
        <f aca="false">IF($G3849="","Unmatched","Matched")</f>
        <v>Matched</v>
      </c>
      <c r="J3849" s="8" t="n">
        <f aca="false">IF($G3849&lt;&gt;"",$G3849,$B3849)</f>
        <v>4409017</v>
      </c>
      <c r="K3849" s="8" t="str">
        <f aca="false">IF(COUNTIF($M$1:$M$10,$A3849)&gt;0,"Y","N")</f>
        <v>N</v>
      </c>
    </row>
    <row r="3850" customFormat="false" ht="15" hidden="false" customHeight="true" outlineLevel="0" collapsed="false">
      <c r="A3850" s="8" t="s">
        <v>1105</v>
      </c>
      <c r="B3850" s="8" t="s">
        <v>886</v>
      </c>
      <c r="C3850" s="19" t="n">
        <v>84</v>
      </c>
      <c r="D3850" s="19" t="n">
        <v>1050.43</v>
      </c>
      <c r="E3850" s="19" t="n">
        <v>72</v>
      </c>
      <c r="F3850" s="19" t="n">
        <v>896.35</v>
      </c>
      <c r="G3850" s="8" t="n">
        <f aca="false">IFERROR(INDEX('TRANS'!$B:$B,MATCH($B3850,'TRANS'!$A:$A,0)),IFERROR(INDEX('TRANS'!$B:$B,MATCH(TRIM(SUBSTITUTE($B3850,CHAR(160)," ")),'TRANS'!$D:$D,0)),IFERROR(INDEX('Catalog'!$A:$A,MATCH($B3850,'Catalog'!$B:$B,0)),IFERROR(INDEX('Catalog'!$A:$A,MATCH(TRIM(SUBSTITUTE($B3850,CHAR(160)," ")),'Catalog'!$C:$C,0)),""))))</f>
        <v>4409015</v>
      </c>
      <c r="H3850" s="8" t="str">
        <f aca="false">IFERROR(INDEX('TRANS'!$C:$C,MATCH($B3850,'TRANS'!$A:$A,0)),IFERROR(INDEX('Catalog'!$B:$B,MATCH($G3850,'Catalog'!$A:$A,0)),$B3850))</f>
        <v>808KT-BL       טייפ קינזיולוגי</v>
      </c>
      <c r="I3850" s="8" t="str">
        <f aca="false">IF($G3850="","Unmatched","Matched")</f>
        <v>Matched</v>
      </c>
      <c r="J3850" s="8" t="n">
        <f aca="false">IF($G3850&lt;&gt;"",$G3850,$B3850)</f>
        <v>4409015</v>
      </c>
      <c r="K3850" s="8" t="str">
        <f aca="false">IF(COUNTIF($M$1:$M$10,$A3850)&gt;0,"Y","N")</f>
        <v>N</v>
      </c>
    </row>
    <row r="3851" customFormat="false" ht="15" hidden="false" customHeight="true" outlineLevel="0" collapsed="false">
      <c r="A3851" s="8" t="s">
        <v>1105</v>
      </c>
      <c r="B3851" s="8" t="s">
        <v>706</v>
      </c>
      <c r="C3851" s="19" t="n">
        <v>132</v>
      </c>
      <c r="D3851" s="19" t="n">
        <v>1652.51</v>
      </c>
      <c r="E3851" s="19" t="n">
        <v>111</v>
      </c>
      <c r="F3851" s="19" t="n">
        <v>1379.88</v>
      </c>
      <c r="G3851" s="8" t="n">
        <f aca="false">IFERROR(INDEX('TRANS'!$B:$B,MATCH($B3851,'TRANS'!$A:$A,0)),IFERROR(INDEX('TRANS'!$B:$B,MATCH(TRIM(SUBSTITUTE($B3851,CHAR(160)," ")),'TRANS'!$D:$D,0)),IFERROR(INDEX('Catalog'!$A:$A,MATCH($B3851,'Catalog'!$B:$B,0)),IFERROR(INDEX('Catalog'!$A:$A,MATCH(TRIM(SUBSTITUTE($B3851,CHAR(160)," ")),'Catalog'!$C:$C,0)),""))))</f>
        <v>4409016</v>
      </c>
      <c r="H3851" s="8" t="str">
        <f aca="false">IFERROR(INDEX('TRANS'!$C:$C,MATCH($B3851,'TRANS'!$A:$A,0)),IFERROR(INDEX('Catalog'!$B:$B,MATCH($G3851,'Catalog'!$A:$A,0)),$B3851))</f>
        <v>808KT-C        טייפ קינזיולוגי</v>
      </c>
      <c r="I3851" s="8" t="str">
        <f aca="false">IF($G3851="","Unmatched","Matched")</f>
        <v>Matched</v>
      </c>
      <c r="J3851" s="8" t="n">
        <f aca="false">IF($G3851&lt;&gt;"",$G3851,$B3851)</f>
        <v>4409016</v>
      </c>
      <c r="K3851" s="8" t="str">
        <f aca="false">IF(COUNTIF($M$1:$M$10,$A3851)&gt;0,"Y","N")</f>
        <v>N</v>
      </c>
    </row>
    <row r="3852" customFormat="false" ht="15" hidden="false" customHeight="true" outlineLevel="0" collapsed="false">
      <c r="A3852" s="8" t="s">
        <v>1105</v>
      </c>
      <c r="B3852" s="8" t="s">
        <v>887</v>
      </c>
      <c r="C3852" s="19" t="n">
        <v>96</v>
      </c>
      <c r="D3852" s="19" t="n">
        <v>1190.84</v>
      </c>
      <c r="E3852" s="19" t="n">
        <v>48</v>
      </c>
      <c r="F3852" s="19" t="n">
        <v>588.26</v>
      </c>
      <c r="G3852" s="8" t="n">
        <f aca="false">IFERROR(INDEX('TRANS'!$B:$B,MATCH($B3852,'TRANS'!$A:$A,0)),IFERROR(INDEX('TRANS'!$B:$B,MATCH(TRIM(SUBSTITUTE($B3852,CHAR(160)," ")),'TRANS'!$D:$D,0)),IFERROR(INDEX('Catalog'!$A:$A,MATCH($B3852,'Catalog'!$B:$B,0)),IFERROR(INDEX('Catalog'!$A:$A,MATCH(TRIM(SUBSTITUTE($B3852,CHAR(160)," ")),'Catalog'!$C:$C,0)),""))))</f>
        <v>4409014</v>
      </c>
      <c r="H3852" s="8" t="str">
        <f aca="false">IFERROR(INDEX('TRANS'!$C:$C,MATCH($B3852,'TRANS'!$A:$A,0)),IFERROR(INDEX('Catalog'!$B:$B,MATCH($G3852,'Catalog'!$A:$A,0)),$B3852))</f>
        <v>808KT-P        טייפ קינזיולוגי</v>
      </c>
      <c r="I3852" s="8" t="str">
        <f aca="false">IF($G3852="","Unmatched","Matched")</f>
        <v>Matched</v>
      </c>
      <c r="J3852" s="8" t="n">
        <f aca="false">IF($G3852&lt;&gt;"",$G3852,$B3852)</f>
        <v>4409014</v>
      </c>
      <c r="K3852" s="8" t="str">
        <f aca="false">IF(COUNTIF($M$1:$M$10,$A3852)&gt;0,"Y","N")</f>
        <v>N</v>
      </c>
    </row>
    <row r="3853" customFormat="false" ht="15" hidden="false" customHeight="true" outlineLevel="0" collapsed="false">
      <c r="A3853" s="8" t="s">
        <v>1105</v>
      </c>
      <c r="B3853" s="8" t="s">
        <v>836</v>
      </c>
      <c r="C3853" s="19" t="n">
        <v>40</v>
      </c>
      <c r="D3853" s="19" t="n">
        <v>417.89</v>
      </c>
      <c r="E3853" s="19" t="n">
        <v>27</v>
      </c>
      <c r="F3853" s="19" t="n">
        <v>279.78</v>
      </c>
      <c r="G3853" s="8" t="n">
        <f aca="false">IFERROR(INDEX('TRANS'!$B:$B,MATCH($B3853,'TRANS'!$A:$A,0)),IFERROR(INDEX('TRANS'!$B:$B,MATCH(TRIM(SUBSTITUTE($B3853,CHAR(160)," ")),'TRANS'!$D:$D,0)),IFERROR(INDEX('Catalog'!$A:$A,MATCH($B3853,'Catalog'!$B:$B,0)),IFERROR(INDEX('Catalog'!$A:$A,MATCH(TRIM(SUBSTITUTE($B3853,CHAR(160)," ")),'Catalog'!$C:$C,0)),""))))</f>
        <v>4413139</v>
      </c>
      <c r="H3853" s="8" t="str">
        <f aca="false">IFERROR(INDEX('TRANS'!$C:$C,MATCH($B3853,'TRANS'!$A:$A,0)),IFERROR(INDEX('Catalog'!$B:$B,MATCH($G3853,'Catalog'!$A:$A,0)),$B3853))</f>
        <v>95 L מגן מרפק רגיל לבן</v>
      </c>
      <c r="I3853" s="8" t="str">
        <f aca="false">IF($G3853="","Unmatched","Matched")</f>
        <v>Matched</v>
      </c>
      <c r="J3853" s="8" t="n">
        <f aca="false">IF($G3853&lt;&gt;"",$G3853,$B3853)</f>
        <v>4413139</v>
      </c>
      <c r="K3853" s="8" t="str">
        <f aca="false">IF(COUNTIF($M$1:$M$10,$A3853)&gt;0,"Y","N")</f>
        <v>N</v>
      </c>
    </row>
    <row r="3854" customFormat="false" ht="15" hidden="false" customHeight="true" outlineLevel="0" collapsed="false">
      <c r="A3854" s="8" t="s">
        <v>1105</v>
      </c>
      <c r="B3854" s="8" t="s">
        <v>716</v>
      </c>
      <c r="C3854" s="19" t="n">
        <v>65</v>
      </c>
      <c r="D3854" s="19" t="n">
        <v>667.38</v>
      </c>
      <c r="E3854" s="19" t="n">
        <v>35</v>
      </c>
      <c r="F3854" s="19" t="n">
        <v>354.62</v>
      </c>
      <c r="G3854" s="8" t="n">
        <f aca="false">IFERROR(INDEX('TRANS'!$B:$B,MATCH($B3854,'TRANS'!$A:$A,0)),IFERROR(INDEX('TRANS'!$B:$B,MATCH(TRIM(SUBSTITUTE($B3854,CHAR(160)," ")),'TRANS'!$D:$D,0)),IFERROR(INDEX('Catalog'!$A:$A,MATCH($B3854,'Catalog'!$B:$B,0)),IFERROR(INDEX('Catalog'!$A:$A,MATCH(TRIM(SUBSTITUTE($B3854,CHAR(160)," ")),'Catalog'!$C:$C,0)),""))))</f>
        <v>4413140</v>
      </c>
      <c r="H3854" s="8" t="str">
        <f aca="false">IFERROR(INDEX('TRANS'!$C:$C,MATCH($B3854,'TRANS'!$A:$A,0)),IFERROR(INDEX('Catalog'!$B:$B,MATCH($G3854,'Catalog'!$A:$A,0)),$B3854))</f>
        <v>95 M מגן מרפק רגיל לבן</v>
      </c>
      <c r="I3854" s="8" t="str">
        <f aca="false">IF($G3854="","Unmatched","Matched")</f>
        <v>Matched</v>
      </c>
      <c r="J3854" s="8" t="n">
        <f aca="false">IF($G3854&lt;&gt;"",$G3854,$B3854)</f>
        <v>4413140</v>
      </c>
      <c r="K3854" s="8" t="str">
        <f aca="false">IF(COUNTIF($M$1:$M$10,$A3854)&gt;0,"Y","N")</f>
        <v>N</v>
      </c>
    </row>
    <row r="3855" customFormat="false" ht="15" hidden="false" customHeight="true" outlineLevel="0" collapsed="false">
      <c r="A3855" s="8" t="s">
        <v>1105</v>
      </c>
      <c r="B3855" s="8" t="s">
        <v>837</v>
      </c>
      <c r="C3855" s="19" t="n">
        <v>59</v>
      </c>
      <c r="D3855" s="19" t="n">
        <v>613.19</v>
      </c>
      <c r="E3855" s="19" t="n">
        <v>37</v>
      </c>
      <c r="F3855" s="19" t="n">
        <v>378.12</v>
      </c>
      <c r="G3855" s="8" t="n">
        <f aca="false">IFERROR(INDEX('TRANS'!$B:$B,MATCH($B3855,'TRANS'!$A:$A,0)),IFERROR(INDEX('TRANS'!$B:$B,MATCH(TRIM(SUBSTITUTE($B3855,CHAR(160)," ")),'TRANS'!$D:$D,0)),IFERROR(INDEX('Catalog'!$A:$A,MATCH($B3855,'Catalog'!$B:$B,0)),IFERROR(INDEX('Catalog'!$A:$A,MATCH(TRIM(SUBSTITUTE($B3855,CHAR(160)," ")),'Catalog'!$C:$C,0)),""))))</f>
        <v>4413141</v>
      </c>
      <c r="H3855" s="8" t="str">
        <f aca="false">IFERROR(INDEX('TRANS'!$C:$C,MATCH($B3855,'TRANS'!$A:$A,0)),IFERROR(INDEX('Catalog'!$B:$B,MATCH($G3855,'Catalog'!$A:$A,0)),$B3855))</f>
        <v>95 S מגן מרפק רגיל לבן</v>
      </c>
      <c r="I3855" s="8" t="str">
        <f aca="false">IF($G3855="","Unmatched","Matched")</f>
        <v>Matched</v>
      </c>
      <c r="J3855" s="8" t="n">
        <f aca="false">IF($G3855&lt;&gt;"",$G3855,$B3855)</f>
        <v>4413141</v>
      </c>
      <c r="K3855" s="8" t="str">
        <f aca="false">IF(COUNTIF($M$1:$M$10,$A3855)&gt;0,"Y","N")</f>
        <v>N</v>
      </c>
    </row>
    <row r="3856" customFormat="false" ht="15" hidden="false" customHeight="true" outlineLevel="0" collapsed="false">
      <c r="A3856" s="8" t="s">
        <v>1105</v>
      </c>
      <c r="B3856" s="8" t="s">
        <v>838</v>
      </c>
      <c r="C3856" s="19" t="n">
        <v>22</v>
      </c>
      <c r="D3856" s="19" t="n">
        <v>226.6</v>
      </c>
      <c r="E3856" s="19" t="n">
        <v>17</v>
      </c>
      <c r="F3856" s="19" t="n">
        <v>173.34</v>
      </c>
      <c r="G3856" s="8" t="n">
        <f aca="false">IFERROR(INDEX('TRANS'!$B:$B,MATCH($B3856,'TRANS'!$A:$A,0)),IFERROR(INDEX('TRANS'!$B:$B,MATCH(TRIM(SUBSTITUTE($B3856,CHAR(160)," ")),'TRANS'!$D:$D,0)),IFERROR(INDEX('Catalog'!$A:$A,MATCH($B3856,'Catalog'!$B:$B,0)),IFERROR(INDEX('Catalog'!$A:$A,MATCH(TRIM(SUBSTITUTE($B3856,CHAR(160)," ")),'Catalog'!$C:$C,0)),""))))</f>
        <v>4413142</v>
      </c>
      <c r="H3856" s="8" t="str">
        <f aca="false">IFERROR(INDEX('TRANS'!$C:$C,MATCH($B3856,'TRANS'!$A:$A,0)),IFERROR(INDEX('Catalog'!$B:$B,MATCH($G3856,'Catalog'!$A:$A,0)),$B3856))</f>
        <v>95 XL מגן מרפק רגיל לבן</v>
      </c>
      <c r="I3856" s="8" t="str">
        <f aca="false">IF($G3856="","Unmatched","Matched")</f>
        <v>Matched</v>
      </c>
      <c r="J3856" s="8" t="n">
        <f aca="false">IF($G3856&lt;&gt;"",$G3856,$B3856)</f>
        <v>4413142</v>
      </c>
      <c r="K3856" s="8" t="str">
        <f aca="false">IF(COUNTIF($M$1:$M$10,$A3856)&gt;0,"Y","N")</f>
        <v>N</v>
      </c>
    </row>
    <row r="3857" customFormat="false" ht="15" hidden="false" customHeight="true" outlineLevel="0" collapsed="false">
      <c r="A3857" s="8" t="s">
        <v>1105</v>
      </c>
      <c r="B3857" s="8" t="s">
        <v>945</v>
      </c>
      <c r="C3857" s="19" t="n">
        <v>20</v>
      </c>
      <c r="D3857" s="19" t="n">
        <v>205.48</v>
      </c>
      <c r="E3857" s="19" t="n">
        <v>0</v>
      </c>
      <c r="F3857" s="19" t="n">
        <v>0</v>
      </c>
      <c r="G3857" s="8" t="n">
        <f aca="false">IFERROR(INDEX('TRANS'!$B:$B,MATCH($B3857,'TRANS'!$A:$A,0)),IFERROR(INDEX('TRANS'!$B:$B,MATCH(TRIM(SUBSTITUTE($B3857,CHAR(160)," ")),'TRANS'!$D:$D,0)),IFERROR(INDEX('Catalog'!$A:$A,MATCH($B3857,'Catalog'!$B:$B,0)),IFERROR(INDEX('Catalog'!$A:$A,MATCH(TRIM(SUBSTITUTE($B3857,CHAR(160)," ")),'Catalog'!$C:$C,0)),""))))</f>
        <v>4413143</v>
      </c>
      <c r="H3857" s="8" t="str">
        <f aca="false">IFERROR(INDEX('TRANS'!$C:$C,MATCH($B3857,'TRANS'!$A:$A,0)),IFERROR(INDEX('Catalog'!$B:$B,MATCH($G3857,'Catalog'!$A:$A,0)),$B3857))</f>
        <v>95 XS מגן מרפק רגיל לבן</v>
      </c>
      <c r="I3857" s="8" t="str">
        <f aca="false">IF($G3857="","Unmatched","Matched")</f>
        <v>Matched</v>
      </c>
      <c r="J3857" s="8" t="n">
        <f aca="false">IF($G3857&lt;&gt;"",$G3857,$B3857)</f>
        <v>4413143</v>
      </c>
      <c r="K3857" s="8" t="str">
        <f aca="false">IF(COUNTIF($M$1:$M$10,$A3857)&gt;0,"Y","N")</f>
        <v>N</v>
      </c>
    </row>
    <row r="3858" customFormat="false" ht="15" hidden="false" customHeight="true" outlineLevel="0" collapsed="false">
      <c r="A3858" s="8" t="s">
        <v>1105</v>
      </c>
      <c r="B3858" s="8" t="s">
        <v>997</v>
      </c>
      <c r="C3858" s="19" t="n">
        <v>12</v>
      </c>
      <c r="D3858" s="19" t="n">
        <v>123.47</v>
      </c>
      <c r="E3858" s="19" t="n">
        <v>4</v>
      </c>
      <c r="F3858" s="19" t="n">
        <v>41.9</v>
      </c>
      <c r="G3858" s="8" t="n">
        <f aca="false">IFERROR(INDEX('TRANS'!$B:$B,MATCH($B3858,'TRANS'!$A:$A,0)),IFERROR(INDEX('TRANS'!$B:$B,MATCH(TRIM(SUBSTITUTE($B3858,CHAR(160)," ")),'TRANS'!$D:$D,0)),IFERROR(INDEX('Catalog'!$A:$A,MATCH($B3858,'Catalog'!$B:$B,0)),IFERROR(INDEX('Catalog'!$A:$A,MATCH(TRIM(SUBSTITUTE($B3858,CHAR(160)," ")),'Catalog'!$C:$C,0)),""))))</f>
        <v>4413144</v>
      </c>
      <c r="H3858" s="8" t="str">
        <f aca="false">IFERROR(INDEX('TRANS'!$C:$C,MATCH($B3858,'TRANS'!$A:$A,0)),IFERROR(INDEX('Catalog'!$B:$B,MATCH($G3858,'Catalog'!$A:$A,0)),$B3858))</f>
        <v>95 XXL מגן מרפק רגיל לבן</v>
      </c>
      <c r="I3858" s="8" t="str">
        <f aca="false">IF($G3858="","Unmatched","Matched")</f>
        <v>Matched</v>
      </c>
      <c r="J3858" s="8" t="n">
        <f aca="false">IF($G3858&lt;&gt;"",$G3858,$B3858)</f>
        <v>4413144</v>
      </c>
      <c r="K3858" s="8" t="str">
        <f aca="false">IF(COUNTIF($M$1:$M$10,$A3858)&gt;0,"Y","N")</f>
        <v>N</v>
      </c>
    </row>
    <row r="3859" customFormat="false" ht="15" hidden="false" customHeight="true" outlineLevel="0" collapsed="false">
      <c r="A3859" s="8" t="s">
        <v>1105</v>
      </c>
      <c r="B3859" s="8" t="s">
        <v>558</v>
      </c>
      <c r="C3859" s="19" t="n">
        <v>148</v>
      </c>
      <c r="D3859" s="19" t="n">
        <v>4740.72</v>
      </c>
      <c r="E3859" s="19" t="n">
        <v>89</v>
      </c>
      <c r="F3859" s="19" t="n">
        <v>2850.39</v>
      </c>
      <c r="G3859" s="8" t="n">
        <f aca="false">IFERROR(INDEX('TRANS'!$B:$B,MATCH($B3859,'TRANS'!$A:$A,0)),IFERROR(INDEX('TRANS'!$B:$B,MATCH(TRIM(SUBSTITUTE($B3859,CHAR(160)," ")),'TRANS'!$D:$D,0)),IFERROR(INDEX('Catalog'!$A:$A,MATCH($B3859,'Catalog'!$B:$B,0)),IFERROR(INDEX('Catalog'!$A:$A,MATCH(TRIM(SUBSTITUTE($B3859,CHAR(160)," ")),'Catalog'!$C:$C,0)),""))))</f>
        <v>4413453</v>
      </c>
      <c r="H3859" s="8" t="str">
        <f aca="false">IFERROR(INDEX('TRANS'!$C:$C,MATCH($B3859,'TRANS'!$A:$A,0)),IFERROR(INDEX('Catalog'!$B:$B,MATCH($G3859,'Catalog'!$A:$A,0)),$B3859))</f>
        <v>AC75 מישר כתפיים אקטיב</v>
      </c>
      <c r="I3859" s="8" t="str">
        <f aca="false">IF($G3859="","Unmatched","Matched")</f>
        <v>Matched</v>
      </c>
      <c r="J3859" s="8" t="n">
        <f aca="false">IF($G3859&lt;&gt;"",$G3859,$B3859)</f>
        <v>4413453</v>
      </c>
      <c r="K3859" s="8" t="str">
        <f aca="false">IF(COUNTIF($M$1:$M$10,$A3859)&gt;0,"Y","N")</f>
        <v>N</v>
      </c>
    </row>
    <row r="3860" customFormat="false" ht="15" hidden="false" customHeight="true" outlineLevel="0" collapsed="false">
      <c r="A3860" s="8" t="s">
        <v>1105</v>
      </c>
      <c r="B3860" s="8" t="s">
        <v>739</v>
      </c>
      <c r="C3860" s="19" t="n">
        <v>98</v>
      </c>
      <c r="D3860" s="19" t="n">
        <v>1072.66</v>
      </c>
      <c r="E3860" s="19" t="n">
        <v>48</v>
      </c>
      <c r="F3860" s="19" t="n">
        <v>513.87</v>
      </c>
      <c r="G3860" s="8" t="n">
        <f aca="false">IFERROR(INDEX('TRANS'!$B:$B,MATCH($B3860,'TRANS'!$A:$A,0)),IFERROR(INDEX('TRANS'!$B:$B,MATCH(TRIM(SUBSTITUTE($B3860,CHAR(160)," ")),'TRANS'!$D:$D,0)),IFERROR(INDEX('Catalog'!$A:$A,MATCH($B3860,'Catalog'!$B:$B,0)),IFERROR(INDEX('Catalog'!$A:$A,MATCH(TRIM(SUBSTITUTE($B3860,CHAR(160)," ")),'Catalog'!$C:$C,0)),""))))</f>
        <v>4413056</v>
      </c>
      <c r="H3860" s="8" t="str">
        <f aca="false">IFERROR(INDEX('TRANS'!$C:$C,MATCH($B3860,'TRANS'!$A:$A,0)),IFERROR(INDEX('Catalog'!$B:$B,MATCH($G3860,'Catalog'!$A:$A,0)),$B3860))</f>
        <v>LF360 מדרס מטטרזלי לנעלי עקב</v>
      </c>
      <c r="I3860" s="8" t="str">
        <f aca="false">IF($G3860="","Unmatched","Matched")</f>
        <v>Matched</v>
      </c>
      <c r="J3860" s="8" t="n">
        <f aca="false">IF($G3860&lt;&gt;"",$G3860,$B3860)</f>
        <v>4413056</v>
      </c>
      <c r="K3860" s="8" t="str">
        <f aca="false">IF(COUNTIF($M$1:$M$10,$A3860)&gt;0,"Y","N")</f>
        <v>N</v>
      </c>
    </row>
    <row r="3861" customFormat="false" ht="15" hidden="false" customHeight="true" outlineLevel="0" collapsed="false">
      <c r="A3861" s="8" t="s">
        <v>1105</v>
      </c>
      <c r="B3861" s="8" t="s">
        <v>893</v>
      </c>
      <c r="C3861" s="19" t="n">
        <v>1</v>
      </c>
      <c r="D3861" s="19" t="n">
        <v>0.04</v>
      </c>
      <c r="E3861" s="19" t="n">
        <v>0</v>
      </c>
      <c r="F3861" s="19" t="n">
        <v>0</v>
      </c>
      <c r="G3861" s="8" t="n">
        <f aca="false">IFERROR(INDEX('TRANS'!$B:$B,MATCH($B3861,'TRANS'!$A:$A,0)),IFERROR(INDEX('TRANS'!$B:$B,MATCH(TRIM(SUBSTITUTE($B3861,CHAR(160)," ")),'TRANS'!$D:$D,0)),IFERROR(INDEX('Catalog'!$A:$A,MATCH($B3861,'Catalog'!$B:$B,0)),IFERROR(INDEX('Catalog'!$A:$A,MATCH(TRIM(SUBSTITUTE($B3861,CHAR(160)," ")),'Catalog'!$C:$C,0)),""))))</f>
        <v>4422040</v>
      </c>
      <c r="H3861" s="8" t="str">
        <f aca="false">IFERROR(INDEX('TRANS'!$C:$C,MATCH($B3861,'TRANS'!$A:$A,0)),IFERROR(INDEX('Catalog'!$B:$B,MATCH($G3861,'Catalog'!$A:$A,0)),$B3861))</f>
        <v>SH422 4 תומך ברך גנושילד</v>
      </c>
      <c r="I3861" s="8" t="str">
        <f aca="false">IF($G3861="","Unmatched","Matched")</f>
        <v>Matched</v>
      </c>
      <c r="J3861" s="8" t="n">
        <f aca="false">IF($G3861&lt;&gt;"",$G3861,$B3861)</f>
        <v>4422040</v>
      </c>
      <c r="K3861" s="8" t="str">
        <f aca="false">IF(COUNTIF($M$1:$M$10,$A3861)&gt;0,"Y","N")</f>
        <v>N</v>
      </c>
    </row>
    <row r="3862" customFormat="false" ht="15" hidden="false" customHeight="true" outlineLevel="0" collapsed="false">
      <c r="A3862" s="8" t="s">
        <v>1105</v>
      </c>
      <c r="B3862" s="8" t="s">
        <v>899</v>
      </c>
      <c r="C3862" s="19" t="n">
        <v>10</v>
      </c>
      <c r="D3862" s="19" t="n">
        <v>162.83</v>
      </c>
      <c r="E3862" s="19" t="n">
        <v>0</v>
      </c>
      <c r="F3862" s="19" t="n">
        <v>0</v>
      </c>
      <c r="G3862" s="8" t="n">
        <f aca="false">IFERROR(INDEX('TRANS'!$B:$B,MATCH($B3862,'TRANS'!$A:$A,0)),IFERROR(INDEX('TRANS'!$B:$B,MATCH(TRIM(SUBSTITUTE($B3862,CHAR(160)," ")),'TRANS'!$D:$D,0)),IFERROR(INDEX('Catalog'!$A:$A,MATCH($B3862,'Catalog'!$B:$B,0)),IFERROR(INDEX('Catalog'!$A:$A,MATCH(TRIM(SUBSTITUTE($B3862,CHAR(160)," ")),'Catalog'!$C:$C,0)),""))))</f>
        <v>4408269</v>
      </c>
      <c r="H3862" s="8" t="str">
        <f aca="false">IFERROR(INDEX('TRANS'!$C:$C,MATCH($B3862,'TRANS'!$A:$A,0)),IFERROR(INDEX('Catalog'!$B:$B,MATCH($G3862,'Catalog'!$A:$A,0)),$B3862))</f>
        <v>ST37 חבק לקרסול</v>
      </c>
      <c r="I3862" s="8" t="str">
        <f aca="false">IF($G3862="","Unmatched","Matched")</f>
        <v>Matched</v>
      </c>
      <c r="J3862" s="8" t="n">
        <f aca="false">IF($G3862&lt;&gt;"",$G3862,$B3862)</f>
        <v>4408269</v>
      </c>
      <c r="K3862" s="8" t="str">
        <f aca="false">IF(COUNTIF($M$1:$M$10,$A3862)&gt;0,"Y","N")</f>
        <v>N</v>
      </c>
    </row>
    <row r="3863" customFormat="false" ht="15" hidden="false" customHeight="true" outlineLevel="0" collapsed="false">
      <c r="A3863" s="8" t="s">
        <v>1106</v>
      </c>
      <c r="B3863" s="8" t="s">
        <v>775</v>
      </c>
      <c r="C3863" s="19" t="n">
        <v>0</v>
      </c>
      <c r="D3863" s="19" t="n">
        <v>0</v>
      </c>
      <c r="E3863" s="19" t="n">
        <v>10</v>
      </c>
      <c r="F3863" s="19" t="n">
        <v>439.07</v>
      </c>
      <c r="G3863" s="8" t="n">
        <f aca="false">IFERROR(INDEX('TRANS'!$B:$B,MATCH($B3863,'TRANS'!$A:$A,0)),IFERROR(INDEX('TRANS'!$B:$B,MATCH(TRIM(SUBSTITUTE($B3863,CHAR(160)," ")),'TRANS'!$D:$D,0)),IFERROR(INDEX('Catalog'!$A:$A,MATCH($B3863,'Catalog'!$B:$B,0)),IFERROR(INDEX('Catalog'!$A:$A,MATCH(TRIM(SUBSTITUTE($B3863,CHAR(160)," ")),'Catalog'!$C:$C,0)),""))))</f>
        <v>4408221</v>
      </c>
      <c r="H3863" s="8" t="str">
        <f aca="false">IFERROR(INDEX('TRANS'!$C:$C,MATCH($B3863,'TRANS'!$A:$A,0)),IFERROR(INDEX('Catalog'!$B:$B,MATCH($G3863,'Catalog'!$A:$A,0)),$B3863))</f>
        <v>078G-L חגורת גב אפורה</v>
      </c>
      <c r="I3863" s="8" t="str">
        <f aca="false">IF($G3863="","Unmatched","Matched")</f>
        <v>Matched</v>
      </c>
      <c r="J3863" s="8" t="n">
        <f aca="false">IF($G3863&lt;&gt;"",$G3863,$B3863)</f>
        <v>4408221</v>
      </c>
      <c r="K3863" s="8" t="str">
        <f aca="false">IF(COUNTIF($M$1:$M$10,$A3863)&gt;0,"Y","N")</f>
        <v>N</v>
      </c>
    </row>
    <row r="3864" customFormat="false" ht="15" hidden="false" customHeight="true" outlineLevel="0" collapsed="false">
      <c r="A3864" s="8" t="s">
        <v>1106</v>
      </c>
      <c r="B3864" s="8" t="s">
        <v>563</v>
      </c>
      <c r="C3864" s="19" t="n">
        <v>0</v>
      </c>
      <c r="D3864" s="19" t="n">
        <v>0</v>
      </c>
      <c r="E3864" s="19" t="n">
        <v>3</v>
      </c>
      <c r="F3864" s="19" t="n">
        <v>131.72</v>
      </c>
      <c r="G3864" s="8" t="n">
        <f aca="false">IFERROR(INDEX('TRANS'!$B:$B,MATCH($B3864,'TRANS'!$A:$A,0)),IFERROR(INDEX('TRANS'!$B:$B,MATCH(TRIM(SUBSTITUTE($B3864,CHAR(160)," ")),'TRANS'!$D:$D,0)),IFERROR(INDEX('Catalog'!$A:$A,MATCH($B3864,'Catalog'!$B:$B,0)),IFERROR(INDEX('Catalog'!$A:$A,MATCH(TRIM(SUBSTITUTE($B3864,CHAR(160)," ")),'Catalog'!$C:$C,0)),""))))</f>
        <v>4408220</v>
      </c>
      <c r="H3864" s="8" t="str">
        <f aca="false">IFERROR(INDEX('TRANS'!$C:$C,MATCH($B3864,'TRANS'!$A:$A,0)),IFERROR(INDEX('Catalog'!$B:$B,MATCH($G3864,'Catalog'!$A:$A,0)),$B3864))</f>
        <v>078G-M חגורת גב אפורה</v>
      </c>
      <c r="I3864" s="8" t="str">
        <f aca="false">IF($G3864="","Unmatched","Matched")</f>
        <v>Matched</v>
      </c>
      <c r="J3864" s="8" t="n">
        <f aca="false">IF($G3864&lt;&gt;"",$G3864,$B3864)</f>
        <v>4408220</v>
      </c>
      <c r="K3864" s="8" t="str">
        <f aca="false">IF(COUNTIF($M$1:$M$10,$A3864)&gt;0,"Y","N")</f>
        <v>N</v>
      </c>
    </row>
    <row r="3865" customFormat="false" ht="15" hidden="false" customHeight="true" outlineLevel="0" collapsed="false">
      <c r="A3865" s="8" t="s">
        <v>1106</v>
      </c>
      <c r="B3865" s="8" t="s">
        <v>969</v>
      </c>
      <c r="C3865" s="19" t="n">
        <v>0</v>
      </c>
      <c r="D3865" s="19" t="n">
        <v>0</v>
      </c>
      <c r="E3865" s="19" t="n">
        <v>3</v>
      </c>
      <c r="F3865" s="19" t="n">
        <v>131.72</v>
      </c>
      <c r="G3865" s="8" t="n">
        <f aca="false">IFERROR(INDEX('TRANS'!$B:$B,MATCH($B3865,'TRANS'!$A:$A,0)),IFERROR(INDEX('TRANS'!$B:$B,MATCH(TRIM(SUBSTITUTE($B3865,CHAR(160)," ")),'TRANS'!$D:$D,0)),IFERROR(INDEX('Catalog'!$A:$A,MATCH($B3865,'Catalog'!$B:$B,0)),IFERROR(INDEX('Catalog'!$A:$A,MATCH(TRIM(SUBSTITUTE($B3865,CHAR(160)," ")),'Catalog'!$C:$C,0)),""))))</f>
        <v>4408219</v>
      </c>
      <c r="H3865" s="8" t="str">
        <f aca="false">IFERROR(INDEX('TRANS'!$C:$C,MATCH($B3865,'TRANS'!$A:$A,0)),IFERROR(INDEX('Catalog'!$B:$B,MATCH($G3865,'Catalog'!$A:$A,0)),$B3865))</f>
        <v>078G-S חגורת גב אפורה</v>
      </c>
      <c r="I3865" s="8" t="str">
        <f aca="false">IF($G3865="","Unmatched","Matched")</f>
        <v>Matched</v>
      </c>
      <c r="J3865" s="8" t="n">
        <f aca="false">IF($G3865&lt;&gt;"",$G3865,$B3865)</f>
        <v>4408219</v>
      </c>
      <c r="K3865" s="8" t="str">
        <f aca="false">IF(COUNTIF($M$1:$M$10,$A3865)&gt;0,"Y","N")</f>
        <v>N</v>
      </c>
    </row>
    <row r="3866" customFormat="false" ht="15" hidden="false" customHeight="true" outlineLevel="0" collapsed="false">
      <c r="A3866" s="8" t="s">
        <v>1106</v>
      </c>
      <c r="B3866" s="8" t="s">
        <v>776</v>
      </c>
      <c r="C3866" s="19" t="n">
        <v>0</v>
      </c>
      <c r="D3866" s="19" t="n">
        <v>0</v>
      </c>
      <c r="E3866" s="19" t="n">
        <v>6</v>
      </c>
      <c r="F3866" s="19" t="n">
        <v>263.44</v>
      </c>
      <c r="G3866" s="8" t="n">
        <f aca="false">IFERROR(INDEX('TRANS'!$B:$B,MATCH($B3866,'TRANS'!$A:$A,0)),IFERROR(INDEX('TRANS'!$B:$B,MATCH(TRIM(SUBSTITUTE($B3866,CHAR(160)," ")),'TRANS'!$D:$D,0)),IFERROR(INDEX('Catalog'!$A:$A,MATCH($B3866,'Catalog'!$B:$B,0)),IFERROR(INDEX('Catalog'!$A:$A,MATCH(TRIM(SUBSTITUTE($B3866,CHAR(160)," ")),'Catalog'!$C:$C,0)),""))))</f>
        <v>4408222</v>
      </c>
      <c r="H3866" s="8" t="str">
        <f aca="false">IFERROR(INDEX('TRANS'!$C:$C,MATCH($B3866,'TRANS'!$A:$A,0)),IFERROR(INDEX('Catalog'!$B:$B,MATCH($G3866,'Catalog'!$A:$A,0)),$B3866))</f>
        <v>078G-XLחגורת גב אפורה</v>
      </c>
      <c r="I3866" s="8" t="str">
        <f aca="false">IF($G3866="","Unmatched","Matched")</f>
        <v>Matched</v>
      </c>
      <c r="J3866" s="8" t="n">
        <f aca="false">IF($G3866&lt;&gt;"",$G3866,$B3866)</f>
        <v>4408222</v>
      </c>
      <c r="K3866" s="8" t="str">
        <f aca="false">IF(COUNTIF($M$1:$M$10,$A3866)&gt;0,"Y","N")</f>
        <v>N</v>
      </c>
    </row>
    <row r="3867" customFormat="false" ht="15" hidden="false" customHeight="true" outlineLevel="0" collapsed="false">
      <c r="A3867" s="8" t="s">
        <v>1106</v>
      </c>
      <c r="B3867" s="8" t="s">
        <v>777</v>
      </c>
      <c r="C3867" s="19" t="n">
        <v>0</v>
      </c>
      <c r="D3867" s="19" t="n">
        <v>0</v>
      </c>
      <c r="E3867" s="19" t="n">
        <v>10</v>
      </c>
      <c r="F3867" s="19" t="n">
        <v>439.07</v>
      </c>
      <c r="G3867" s="8" t="n">
        <f aca="false">IFERROR(INDEX('TRANS'!$B:$B,MATCH($B3867,'TRANS'!$A:$A,0)),IFERROR(INDEX('TRANS'!$B:$B,MATCH(TRIM(SUBSTITUTE($B3867,CHAR(160)," ")),'TRANS'!$D:$D,0)),IFERROR(INDEX('Catalog'!$A:$A,MATCH($B3867,'Catalog'!$B:$B,0)),IFERROR(INDEX('Catalog'!$A:$A,MATCH(TRIM(SUBSTITUTE($B3867,CHAR(160)," ")),'Catalog'!$C:$C,0)),""))))</f>
        <v>4408223</v>
      </c>
      <c r="H3867" s="8" t="str">
        <f aca="false">IFERROR(INDEX('TRANS'!$C:$C,MATCH($B3867,'TRANS'!$A:$A,0)),IFERROR(INDEX('Catalog'!$B:$B,MATCH($G3867,'Catalog'!$A:$A,0)),$B3867))</f>
        <v>078G-XXLחגורת גב אפורה</v>
      </c>
      <c r="I3867" s="8" t="str">
        <f aca="false">IF($G3867="","Unmatched","Matched")</f>
        <v>Matched</v>
      </c>
      <c r="J3867" s="8" t="n">
        <f aca="false">IF($G3867&lt;&gt;"",$G3867,$B3867)</f>
        <v>4408223</v>
      </c>
      <c r="K3867" s="8" t="str">
        <f aca="false">IF(COUNTIF($M$1:$M$10,$A3867)&gt;0,"Y","N")</f>
        <v>N</v>
      </c>
    </row>
    <row r="3868" customFormat="false" ht="15" hidden="false" customHeight="true" outlineLevel="0" collapsed="false">
      <c r="A3868" s="8" t="s">
        <v>1106</v>
      </c>
      <c r="B3868" s="8" t="s">
        <v>951</v>
      </c>
      <c r="C3868" s="19" t="n">
        <v>3</v>
      </c>
      <c r="D3868" s="19" t="n">
        <v>395.81</v>
      </c>
      <c r="E3868" s="19" t="n">
        <v>4</v>
      </c>
      <c r="F3868" s="19" t="n">
        <v>441.73</v>
      </c>
      <c r="G3868" s="8" t="n">
        <f aca="false">IFERROR(INDEX('TRANS'!$B:$B,MATCH($B3868,'TRANS'!$A:$A,0)),IFERROR(INDEX('TRANS'!$B:$B,MATCH(TRIM(SUBSTITUTE($B3868,CHAR(160)," ")),'TRANS'!$D:$D,0)),IFERROR(INDEX('Catalog'!$A:$A,MATCH($B3868,'Catalog'!$B:$B,0)),IFERROR(INDEX('Catalog'!$A:$A,MATCH(TRIM(SUBSTITUTE($B3868,CHAR(160)," ")),'Catalog'!$C:$C,0)),""))))</f>
        <v>4408015</v>
      </c>
      <c r="H3868" s="8" t="str">
        <f aca="false">IFERROR(INDEX('TRANS'!$C:$C,MATCH($B3868,'TRANS'!$A:$A,0)),IFERROR(INDEX('Catalog'!$B:$B,MATCH($G3868,'Catalog'!$A:$A,0)),$B3868))</f>
        <v>07AU L ח.גב """"איטלקית"""" אורירית</v>
      </c>
      <c r="I3868" s="8" t="str">
        <f aca="false">IF($G3868="","Unmatched","Matched")</f>
        <v>Matched</v>
      </c>
      <c r="J3868" s="8" t="n">
        <f aca="false">IF($G3868&lt;&gt;"",$G3868,$B3868)</f>
        <v>4408015</v>
      </c>
      <c r="K3868" s="8" t="str">
        <f aca="false">IF(COUNTIF($M$1:$M$10,$A3868)&gt;0,"Y","N")</f>
        <v>N</v>
      </c>
    </row>
    <row r="3869" customFormat="false" ht="15" hidden="false" customHeight="true" outlineLevel="0" collapsed="false">
      <c r="A3869" s="8" t="s">
        <v>1106</v>
      </c>
      <c r="B3869" s="8" t="s">
        <v>952</v>
      </c>
      <c r="C3869" s="19" t="n">
        <v>3</v>
      </c>
      <c r="D3869" s="19" t="n">
        <v>395.81</v>
      </c>
      <c r="E3869" s="19" t="n">
        <v>2</v>
      </c>
      <c r="F3869" s="19" t="n">
        <v>220.87</v>
      </c>
      <c r="G3869" s="8" t="n">
        <f aca="false">IFERROR(INDEX('TRANS'!$B:$B,MATCH($B3869,'TRANS'!$A:$A,0)),IFERROR(INDEX('TRANS'!$B:$B,MATCH(TRIM(SUBSTITUTE($B3869,CHAR(160)," ")),'TRANS'!$D:$D,0)),IFERROR(INDEX('Catalog'!$A:$A,MATCH($B3869,'Catalog'!$B:$B,0)),IFERROR(INDEX('Catalog'!$A:$A,MATCH(TRIM(SUBSTITUTE($B3869,CHAR(160)," ")),'Catalog'!$C:$C,0)),""))))</f>
        <v>4408016</v>
      </c>
      <c r="H3869" s="8" t="str">
        <f aca="false">IFERROR(INDEX('TRANS'!$C:$C,MATCH($B3869,'TRANS'!$A:$A,0)),IFERROR(INDEX('Catalog'!$B:$B,MATCH($G3869,'Catalog'!$A:$A,0)),$B3869))</f>
        <v>07AU M ח.גב """"איטלקית"""" אורירית</v>
      </c>
      <c r="I3869" s="8" t="str">
        <f aca="false">IF($G3869="","Unmatched","Matched")</f>
        <v>Matched</v>
      </c>
      <c r="J3869" s="8" t="n">
        <f aca="false">IF($G3869&lt;&gt;"",$G3869,$B3869)</f>
        <v>4408016</v>
      </c>
      <c r="K3869" s="8" t="str">
        <f aca="false">IF(COUNTIF($M$1:$M$10,$A3869)&gt;0,"Y","N")</f>
        <v>N</v>
      </c>
    </row>
    <row r="3870" customFormat="false" ht="15" hidden="false" customHeight="true" outlineLevel="0" collapsed="false">
      <c r="A3870" s="8" t="s">
        <v>1106</v>
      </c>
      <c r="B3870" s="8" t="s">
        <v>972</v>
      </c>
      <c r="C3870" s="19" t="n">
        <v>2</v>
      </c>
      <c r="D3870" s="19" t="n">
        <v>263.87</v>
      </c>
      <c r="E3870" s="19" t="n">
        <v>0</v>
      </c>
      <c r="F3870" s="19" t="n">
        <v>0</v>
      </c>
      <c r="G3870" s="8" t="n">
        <f aca="false">IFERROR(INDEX('TRANS'!$B:$B,MATCH($B3870,'TRANS'!$A:$A,0)),IFERROR(INDEX('TRANS'!$B:$B,MATCH(TRIM(SUBSTITUTE($B3870,CHAR(160)," ")),'TRANS'!$D:$D,0)),IFERROR(INDEX('Catalog'!$A:$A,MATCH($B3870,'Catalog'!$B:$B,0)),IFERROR(INDEX('Catalog'!$A:$A,MATCH(TRIM(SUBSTITUTE($B3870,CHAR(160)," ")),'Catalog'!$C:$C,0)),""))))</f>
        <v>4408014</v>
      </c>
      <c r="H3870" s="8" t="str">
        <f aca="false">IFERROR(INDEX('TRANS'!$C:$C,MATCH($B3870,'TRANS'!$A:$A,0)),IFERROR(INDEX('Catalog'!$B:$B,MATCH($G3870,'Catalog'!$A:$A,0)),$B3870))</f>
        <v>07AU S ח.גב """"איטלקית"""" אורירית</v>
      </c>
      <c r="I3870" s="8" t="str">
        <f aca="false">IF($G3870="","Unmatched","Matched")</f>
        <v>Matched</v>
      </c>
      <c r="J3870" s="8" t="n">
        <f aca="false">IF($G3870&lt;&gt;"",$G3870,$B3870)</f>
        <v>4408014</v>
      </c>
      <c r="K3870" s="8" t="str">
        <f aca="false">IF(COUNTIF($M$1:$M$10,$A3870)&gt;0,"Y","N")</f>
        <v>N</v>
      </c>
    </row>
    <row r="3871" customFormat="false" ht="15" hidden="false" customHeight="true" outlineLevel="0" collapsed="false">
      <c r="A3871" s="8" t="s">
        <v>1106</v>
      </c>
      <c r="B3871" s="8" t="s">
        <v>953</v>
      </c>
      <c r="C3871" s="19" t="n">
        <v>6</v>
      </c>
      <c r="D3871" s="19" t="n">
        <v>751.76</v>
      </c>
      <c r="E3871" s="19" t="n">
        <v>6</v>
      </c>
      <c r="F3871" s="19" t="n">
        <v>662.6</v>
      </c>
      <c r="G3871" s="8" t="n">
        <f aca="false">IFERROR(INDEX('TRANS'!$B:$B,MATCH($B3871,'TRANS'!$A:$A,0)),IFERROR(INDEX('TRANS'!$B:$B,MATCH(TRIM(SUBSTITUTE($B3871,CHAR(160)," ")),'TRANS'!$D:$D,0)),IFERROR(INDEX('Catalog'!$A:$A,MATCH($B3871,'Catalog'!$B:$B,0)),IFERROR(INDEX('Catalog'!$A:$A,MATCH(TRIM(SUBSTITUTE($B3871,CHAR(160)," ")),'Catalog'!$C:$C,0)),""))))</f>
        <v>4408017</v>
      </c>
      <c r="H3871" s="8" t="str">
        <f aca="false">IFERROR(INDEX('TRANS'!$C:$C,MATCH($B3871,'TRANS'!$A:$A,0)),IFERROR(INDEX('Catalog'!$B:$B,MATCH($G3871,'Catalog'!$A:$A,0)),$B3871))</f>
        <v>07AU XL ח.גב """"איטלקית"""" אורירית</v>
      </c>
      <c r="I3871" s="8" t="str">
        <f aca="false">IF($G3871="","Unmatched","Matched")</f>
        <v>Matched</v>
      </c>
      <c r="J3871" s="8" t="n">
        <f aca="false">IF($G3871&lt;&gt;"",$G3871,$B3871)</f>
        <v>4408017</v>
      </c>
      <c r="K3871" s="8" t="str">
        <f aca="false">IF(COUNTIF($M$1:$M$10,$A3871)&gt;0,"Y","N")</f>
        <v>N</v>
      </c>
    </row>
    <row r="3872" customFormat="false" ht="15" hidden="false" customHeight="true" outlineLevel="0" collapsed="false">
      <c r="A3872" s="8" t="s">
        <v>1106</v>
      </c>
      <c r="B3872" s="8" t="s">
        <v>954</v>
      </c>
      <c r="C3872" s="19" t="n">
        <v>3</v>
      </c>
      <c r="D3872" s="19" t="n">
        <v>375.88</v>
      </c>
      <c r="E3872" s="19" t="n">
        <v>6</v>
      </c>
      <c r="F3872" s="19" t="n">
        <v>662.6</v>
      </c>
      <c r="G3872" s="8" t="n">
        <f aca="false">IFERROR(INDEX('TRANS'!$B:$B,MATCH($B3872,'TRANS'!$A:$A,0)),IFERROR(INDEX('TRANS'!$B:$B,MATCH(TRIM(SUBSTITUTE($B3872,CHAR(160)," ")),'TRANS'!$D:$D,0)),IFERROR(INDEX('Catalog'!$A:$A,MATCH($B3872,'Catalog'!$B:$B,0)),IFERROR(INDEX('Catalog'!$A:$A,MATCH(TRIM(SUBSTITUTE($B3872,CHAR(160)," ")),'Catalog'!$C:$C,0)),""))))</f>
        <v>4408018</v>
      </c>
      <c r="H3872" s="8" t="str">
        <f aca="false">IFERROR(INDEX('TRANS'!$C:$C,MATCH($B3872,'TRANS'!$A:$A,0)),IFERROR(INDEX('Catalog'!$B:$B,MATCH($G3872,'Catalog'!$A:$A,0)),$B3872))</f>
        <v>07AU XXL.ח.גב """"איטלקית"""" אוריר</v>
      </c>
      <c r="I3872" s="8" t="str">
        <f aca="false">IF($G3872="","Unmatched","Matched")</f>
        <v>Matched</v>
      </c>
      <c r="J3872" s="8" t="n">
        <f aca="false">IF($G3872&lt;&gt;"",$G3872,$B3872)</f>
        <v>4408018</v>
      </c>
      <c r="K3872" s="8" t="str">
        <f aca="false">IF(COUNTIF($M$1:$M$10,$A3872)&gt;0,"Y","N")</f>
        <v>N</v>
      </c>
    </row>
    <row r="3873" customFormat="false" ht="15" hidden="false" customHeight="true" outlineLevel="0" collapsed="false">
      <c r="A3873" s="8" t="s">
        <v>1106</v>
      </c>
      <c r="B3873" s="8" t="s">
        <v>564</v>
      </c>
      <c r="C3873" s="19" t="n">
        <v>6</v>
      </c>
      <c r="D3873" s="19" t="n">
        <v>467.34</v>
      </c>
      <c r="E3873" s="19" t="n">
        <v>0</v>
      </c>
      <c r="F3873" s="19" t="n">
        <v>0</v>
      </c>
      <c r="G3873" s="8" t="n">
        <f aca="false">IFERROR(INDEX('TRANS'!$B:$B,MATCH($B3873,'TRANS'!$A:$A,0)),IFERROR(INDEX('TRANS'!$B:$B,MATCH(TRIM(SUBSTITUTE($B3873,CHAR(160)," ")),'TRANS'!$D:$D,0)),IFERROR(INDEX('Catalog'!$A:$A,MATCH($B3873,'Catalog'!$B:$B,0)),IFERROR(INDEX('Catalog'!$A:$A,MATCH(TRIM(SUBSTITUTE($B3873,CHAR(160)," ")),'Catalog'!$C:$C,0)),""))))</f>
        <v>4408027</v>
      </c>
      <c r="H3873" s="8" t="str">
        <f aca="false">IFERROR(INDEX('TRANS'!$C:$C,MATCH($B3873,'TRANS'!$A:$A,0)),IFERROR(INDEX('Catalog'!$B:$B,MATCH($G3873,'Catalog'!$A:$A,0)),$B3873))</f>
        <v>10 L """"חגורת גב """"לומבו</v>
      </c>
      <c r="I3873" s="8" t="str">
        <f aca="false">IF($G3873="","Unmatched","Matched")</f>
        <v>Matched</v>
      </c>
      <c r="J3873" s="8" t="n">
        <f aca="false">IF($G3873&lt;&gt;"",$G3873,$B3873)</f>
        <v>4408027</v>
      </c>
      <c r="K3873" s="8" t="str">
        <f aca="false">IF(COUNTIF($M$1:$M$10,$A3873)&gt;0,"Y","N")</f>
        <v>N</v>
      </c>
    </row>
    <row r="3874" customFormat="false" ht="15" hidden="false" customHeight="true" outlineLevel="0" collapsed="false">
      <c r="A3874" s="8" t="s">
        <v>1106</v>
      </c>
      <c r="B3874" s="8" t="s">
        <v>565</v>
      </c>
      <c r="C3874" s="19" t="n">
        <v>2</v>
      </c>
      <c r="D3874" s="19" t="n">
        <v>155.78</v>
      </c>
      <c r="E3874" s="19" t="n">
        <v>2</v>
      </c>
      <c r="F3874" s="19" t="n">
        <v>130.39</v>
      </c>
      <c r="G3874" s="8" t="n">
        <f aca="false">IFERROR(INDEX('TRANS'!$B:$B,MATCH($B3874,'TRANS'!$A:$A,0)),IFERROR(INDEX('TRANS'!$B:$B,MATCH(TRIM(SUBSTITUTE($B3874,CHAR(160)," ")),'TRANS'!$D:$D,0)),IFERROR(INDEX('Catalog'!$A:$A,MATCH($B3874,'Catalog'!$B:$B,0)),IFERROR(INDEX('Catalog'!$A:$A,MATCH(TRIM(SUBSTITUTE($B3874,CHAR(160)," ")),'Catalog'!$C:$C,0)),""))))</f>
        <v>4408028</v>
      </c>
      <c r="H3874" s="8" t="str">
        <f aca="false">IFERROR(INDEX('TRANS'!$C:$C,MATCH($B3874,'TRANS'!$A:$A,0)),IFERROR(INDEX('Catalog'!$B:$B,MATCH($G3874,'Catalog'!$A:$A,0)),$B3874))</f>
        <v>10 M """"חגורת גב """"לומבו</v>
      </c>
      <c r="I3874" s="8" t="str">
        <f aca="false">IF($G3874="","Unmatched","Matched")</f>
        <v>Matched</v>
      </c>
      <c r="J3874" s="8" t="n">
        <f aca="false">IF($G3874&lt;&gt;"",$G3874,$B3874)</f>
        <v>4408028</v>
      </c>
      <c r="K3874" s="8" t="str">
        <f aca="false">IF(COUNTIF($M$1:$M$10,$A3874)&gt;0,"Y","N")</f>
        <v>N</v>
      </c>
    </row>
    <row r="3875" customFormat="false" ht="15" hidden="false" customHeight="true" outlineLevel="0" collapsed="false">
      <c r="A3875" s="8" t="s">
        <v>1106</v>
      </c>
      <c r="B3875" s="8" t="s">
        <v>566</v>
      </c>
      <c r="C3875" s="19" t="n">
        <v>6</v>
      </c>
      <c r="D3875" s="19" t="n">
        <v>467.34</v>
      </c>
      <c r="E3875" s="19" t="n">
        <v>4</v>
      </c>
      <c r="F3875" s="19" t="n">
        <v>260.78</v>
      </c>
      <c r="G3875" s="8" t="n">
        <f aca="false">IFERROR(INDEX('TRANS'!$B:$B,MATCH($B3875,'TRANS'!$A:$A,0)),IFERROR(INDEX('TRANS'!$B:$B,MATCH(TRIM(SUBSTITUTE($B3875,CHAR(160)," ")),'TRANS'!$D:$D,0)),IFERROR(INDEX('Catalog'!$A:$A,MATCH($B3875,'Catalog'!$B:$B,0)),IFERROR(INDEX('Catalog'!$A:$A,MATCH(TRIM(SUBSTITUTE($B3875,CHAR(160)," ")),'Catalog'!$C:$C,0)),""))))</f>
        <v>4408029</v>
      </c>
      <c r="H3875" s="8" t="str">
        <f aca="false">IFERROR(INDEX('TRANS'!$C:$C,MATCH($B3875,'TRANS'!$A:$A,0)),IFERROR(INDEX('Catalog'!$B:$B,MATCH($G3875,'Catalog'!$A:$A,0)),$B3875))</f>
        <v>10 XL """"חגורת גב """"לומבו</v>
      </c>
      <c r="I3875" s="8" t="str">
        <f aca="false">IF($G3875="","Unmatched","Matched")</f>
        <v>Matched</v>
      </c>
      <c r="J3875" s="8" t="n">
        <f aca="false">IF($G3875&lt;&gt;"",$G3875,$B3875)</f>
        <v>4408029</v>
      </c>
      <c r="K3875" s="8" t="str">
        <f aca="false">IF(COUNTIF($M$1:$M$10,$A3875)&gt;0,"Y","N")</f>
        <v>N</v>
      </c>
    </row>
    <row r="3876" customFormat="false" ht="15" hidden="false" customHeight="true" outlineLevel="0" collapsed="false">
      <c r="A3876" s="8" t="s">
        <v>1106</v>
      </c>
      <c r="B3876" s="8" t="s">
        <v>423</v>
      </c>
      <c r="C3876" s="19" t="n">
        <v>2</v>
      </c>
      <c r="D3876" s="19" t="n">
        <v>155.78</v>
      </c>
      <c r="E3876" s="19" t="n">
        <v>4</v>
      </c>
      <c r="F3876" s="19" t="n">
        <v>260.78</v>
      </c>
      <c r="G3876" s="8" t="str">
        <f aca="false">IFERROR(INDEX('TRANS'!$B:$B,MATCH($B3876,'TRANS'!$A:$A,0)),IFERROR(INDEX('TRANS'!$B:$B,MATCH(TRIM(SUBSTITUTE($B3876,CHAR(160)," ")),'TRANS'!$D:$D,0)),IFERROR(INDEX('Catalog'!$A:$A,MATCH($B3876,'Catalog'!$B:$B,0)),IFERROR(INDEX('Catalog'!$A:$A,MATCH(TRIM(SUBSTITUTE($B3876,CHAR(160)," ")),'Catalog'!$C:$C,0)),""))))</f>
        <v/>
      </c>
      <c r="H3876" s="8" t="str">
        <f aca="false">IFERROR(INDEX('TRANS'!$C:$C,MATCH($B3876,'TRANS'!$A:$A,0)),IFERROR(INDEX('Catalog'!$B:$B,MATCH($G3876,'Catalog'!$A:$A,0)),$B3876))</f>
        <v>10 XXL</v>
      </c>
      <c r="I3876" s="8" t="str">
        <f aca="false">IF($G3876="","Unmatched","Matched")</f>
        <v>Unmatched</v>
      </c>
      <c r="J3876" s="8" t="str">
        <f aca="false">IF($G3876&lt;&gt;"",$G3876,$B3876)</f>
        <v>10 XXL</v>
      </c>
      <c r="K3876" s="8" t="str">
        <f aca="false">IF(COUNTIF($M$1:$M$10,$A3876)&gt;0,"Y","N")</f>
        <v>N</v>
      </c>
    </row>
    <row r="3877" customFormat="false" ht="15" hidden="false" customHeight="true" outlineLevel="0" collapsed="false">
      <c r="A3877" s="8" t="s">
        <v>1106</v>
      </c>
      <c r="B3877" s="8" t="s">
        <v>156</v>
      </c>
      <c r="C3877" s="19" t="n">
        <v>5</v>
      </c>
      <c r="D3877" s="19" t="n">
        <v>238.95</v>
      </c>
      <c r="E3877" s="19" t="n">
        <v>0</v>
      </c>
      <c r="F3877" s="19" t="n">
        <v>0</v>
      </c>
      <c r="G3877" s="8" t="str">
        <f aca="false">IFERROR(INDEX('TRANS'!$B:$B,MATCH($B3877,'TRANS'!$A:$A,0)),IFERROR(INDEX('TRANS'!$B:$B,MATCH(TRIM(SUBSTITUTE($B3877,CHAR(160)," ")),'TRANS'!$D:$D,0)),IFERROR(INDEX('Catalog'!$A:$A,MATCH($B3877,'Catalog'!$B:$B,0)),IFERROR(INDEX('Catalog'!$A:$A,MATCH(TRIM(SUBSTITUTE($B3877,CHAR(160)," ")),'Catalog'!$C:$C,0)),""))))</f>
        <v/>
      </c>
      <c r="H3877" s="8" t="str">
        <f aca="false">IFERROR(INDEX('TRANS'!$C:$C,MATCH($B3877,'TRANS'!$A:$A,0)),IFERROR(INDEX('Catalog'!$B:$B,MATCH($G3877,'Catalog'!$A:$A,0)),$B3877))</f>
        <v>11EU S</v>
      </c>
      <c r="I3877" s="8" t="str">
        <f aca="false">IF($G3877="","Unmatched","Matched")</f>
        <v>Unmatched</v>
      </c>
      <c r="J3877" s="8" t="str">
        <f aca="false">IF($G3877&lt;&gt;"",$G3877,$B3877)</f>
        <v>11EU S</v>
      </c>
      <c r="K3877" s="8" t="str">
        <f aca="false">IF(COUNTIF($M$1:$M$10,$A3877)&gt;0,"Y","N")</f>
        <v>N</v>
      </c>
    </row>
    <row r="3878" customFormat="false" ht="15" hidden="false" customHeight="true" outlineLevel="0" collapsed="false">
      <c r="A3878" s="8" t="s">
        <v>1106</v>
      </c>
      <c r="B3878" s="8" t="s">
        <v>778</v>
      </c>
      <c r="C3878" s="19" t="n">
        <v>0</v>
      </c>
      <c r="D3878" s="19" t="n">
        <v>0</v>
      </c>
      <c r="E3878" s="19" t="n">
        <v>2</v>
      </c>
      <c r="F3878" s="19" t="n">
        <v>82.49</v>
      </c>
      <c r="G3878" s="8" t="n">
        <f aca="false">IFERROR(INDEX('TRANS'!$B:$B,MATCH($B3878,'TRANS'!$A:$A,0)),IFERROR(INDEX('TRANS'!$B:$B,MATCH(TRIM(SUBSTITUTE($B3878,CHAR(160)," ")),'TRANS'!$D:$D,0)),IFERROR(INDEX('Catalog'!$A:$A,MATCH($B3878,'Catalog'!$B:$B,0)),IFERROR(INDEX('Catalog'!$A:$A,MATCH(TRIM(SUBSTITUTE($B3878,CHAR(160)," ")),'Catalog'!$C:$C,0)),""))))</f>
        <v>4408116</v>
      </c>
      <c r="H3878" s="8" t="str">
        <f aca="false">IFERROR(INDEX('TRANS'!$C:$C,MATCH($B3878,'TRANS'!$A:$A,0)),IFERROR(INDEX('Catalog'!$B:$B,MATCH($G3878,'Catalog'!$A:$A,0)),$B3878))</f>
        <v>11EU XLח.בטן לאחר ניתוח</v>
      </c>
      <c r="I3878" s="8" t="str">
        <f aca="false">IF($G3878="","Unmatched","Matched")</f>
        <v>Matched</v>
      </c>
      <c r="J3878" s="8" t="n">
        <f aca="false">IF($G3878&lt;&gt;"",$G3878,$B3878)</f>
        <v>4408116</v>
      </c>
      <c r="K3878" s="8" t="str">
        <f aca="false">IF(COUNTIF($M$1:$M$10,$A3878)&gt;0,"Y","N")</f>
        <v>N</v>
      </c>
    </row>
    <row r="3879" customFormat="false" ht="15" hidden="false" customHeight="true" outlineLevel="0" collapsed="false">
      <c r="A3879" s="8" t="s">
        <v>1106</v>
      </c>
      <c r="B3879" s="8" t="s">
        <v>856</v>
      </c>
      <c r="C3879" s="19" t="n">
        <v>0</v>
      </c>
      <c r="D3879" s="19" t="n">
        <v>0</v>
      </c>
      <c r="E3879" s="19" t="n">
        <v>4</v>
      </c>
      <c r="F3879" s="19" t="n">
        <v>164.98</v>
      </c>
      <c r="G3879" s="8" t="n">
        <f aca="false">IFERROR(INDEX('TRANS'!$B:$B,MATCH($B3879,'TRANS'!$A:$A,0)),IFERROR(INDEX('TRANS'!$B:$B,MATCH(TRIM(SUBSTITUTE($B3879,CHAR(160)," ")),'TRANS'!$D:$D,0)),IFERROR(INDEX('Catalog'!$A:$A,MATCH($B3879,'Catalog'!$B:$B,0)),IFERROR(INDEX('Catalog'!$A:$A,MATCH(TRIM(SUBSTITUTE($B3879,CHAR(160)," ")),'Catalog'!$C:$C,0)),""))))</f>
        <v>4408132</v>
      </c>
      <c r="H3879" s="8" t="str">
        <f aca="false">IFERROR(INDEX('TRANS'!$C:$C,MATCH($B3879,'TRANS'!$A:$A,0)),IFERROR(INDEX('Catalog'!$B:$B,MATCH($G3879,'Catalog'!$A:$A,0)),$B3879))</f>
        <v>11EU XXL חגורת בטןלאחר ניתוח</v>
      </c>
      <c r="I3879" s="8" t="str">
        <f aca="false">IF($G3879="","Unmatched","Matched")</f>
        <v>Matched</v>
      </c>
      <c r="J3879" s="8" t="n">
        <f aca="false">IF($G3879&lt;&gt;"",$G3879,$B3879)</f>
        <v>4408132</v>
      </c>
      <c r="K3879" s="8" t="str">
        <f aca="false">IF(COUNTIF($M$1:$M$10,$A3879)&gt;0,"Y","N")</f>
        <v>N</v>
      </c>
    </row>
    <row r="3880" customFormat="false" ht="15" hidden="false" customHeight="true" outlineLevel="0" collapsed="false">
      <c r="A3880" s="8" t="s">
        <v>1106</v>
      </c>
      <c r="B3880" s="8" t="s">
        <v>185</v>
      </c>
      <c r="C3880" s="19" t="n">
        <v>10</v>
      </c>
      <c r="D3880" s="19" t="n">
        <v>626.27</v>
      </c>
      <c r="E3880" s="19" t="n">
        <v>6</v>
      </c>
      <c r="F3880" s="19" t="n">
        <v>324.31</v>
      </c>
      <c r="G3880" s="8" t="str">
        <f aca="false">IFERROR(INDEX('TRANS'!$B:$B,MATCH($B3880,'TRANS'!$A:$A,0)),IFERROR(INDEX('TRANS'!$B:$B,MATCH(TRIM(SUBSTITUTE($B3880,CHAR(160)," ")),'TRANS'!$D:$D,0)),IFERROR(INDEX('Catalog'!$A:$A,MATCH($B3880,'Catalog'!$B:$B,0)),IFERROR(INDEX('Catalog'!$A:$A,MATCH(TRIM(SUBSTITUTE($B3880,CHAR(160)," ")),'Catalog'!$C:$C,0)),""))))</f>
        <v/>
      </c>
      <c r="H3880" s="8" t="str">
        <f aca="false">IFERROR(INDEX('TRANS'!$C:$C,MATCH($B3880,'TRANS'!$A:$A,0)),IFERROR(INDEX('Catalog'!$B:$B,MATCH($G3880,'Catalog'!$A:$A,0)),$B3880))</f>
        <v>13 L</v>
      </c>
      <c r="I3880" s="8" t="str">
        <f aca="false">IF($G3880="","Unmatched","Matched")</f>
        <v>Unmatched</v>
      </c>
      <c r="J3880" s="8" t="str">
        <f aca="false">IF($G3880&lt;&gt;"",$G3880,$B3880)</f>
        <v>13 L</v>
      </c>
      <c r="K3880" s="8" t="str">
        <f aca="false">IF(COUNTIF($M$1:$M$10,$A3880)&gt;0,"Y","N")</f>
        <v>N</v>
      </c>
    </row>
    <row r="3881" customFormat="false" ht="15" hidden="false" customHeight="true" outlineLevel="0" collapsed="false">
      <c r="A3881" s="8" t="s">
        <v>1106</v>
      </c>
      <c r="B3881" s="8" t="s">
        <v>174</v>
      </c>
      <c r="C3881" s="19" t="n">
        <v>2</v>
      </c>
      <c r="D3881" s="19" t="n">
        <v>122.65</v>
      </c>
      <c r="E3881" s="19" t="n">
        <v>3</v>
      </c>
      <c r="F3881" s="19" t="n">
        <v>162.16</v>
      </c>
      <c r="G3881" s="8" t="str">
        <f aca="false">IFERROR(INDEX('TRANS'!$B:$B,MATCH($B3881,'TRANS'!$A:$A,0)),IFERROR(INDEX('TRANS'!$B:$B,MATCH(TRIM(SUBSTITUTE($B3881,CHAR(160)," ")),'TRANS'!$D:$D,0)),IFERROR(INDEX('Catalog'!$A:$A,MATCH($B3881,'Catalog'!$B:$B,0)),IFERROR(INDEX('Catalog'!$A:$A,MATCH(TRIM(SUBSTITUTE($B3881,CHAR(160)," ")),'Catalog'!$C:$C,0)),""))))</f>
        <v/>
      </c>
      <c r="H3881" s="8" t="str">
        <f aca="false">IFERROR(INDEX('TRANS'!$C:$C,MATCH($B3881,'TRANS'!$A:$A,0)),IFERROR(INDEX('Catalog'!$B:$B,MATCH($G3881,'Catalog'!$A:$A,0)),$B3881))</f>
        <v>13 M</v>
      </c>
      <c r="I3881" s="8" t="str">
        <f aca="false">IF($G3881="","Unmatched","Matched")</f>
        <v>Unmatched</v>
      </c>
      <c r="J3881" s="8" t="str">
        <f aca="false">IF($G3881&lt;&gt;"",$G3881,$B3881)</f>
        <v>13 M</v>
      </c>
      <c r="K3881" s="8" t="str">
        <f aca="false">IF(COUNTIF($M$1:$M$10,$A3881)&gt;0,"Y","N")</f>
        <v>N</v>
      </c>
    </row>
    <row r="3882" customFormat="false" ht="15" hidden="false" customHeight="true" outlineLevel="0" collapsed="false">
      <c r="A3882" s="8" t="s">
        <v>1106</v>
      </c>
      <c r="B3882" s="8" t="s">
        <v>938</v>
      </c>
      <c r="C3882" s="19" t="n">
        <v>10</v>
      </c>
      <c r="D3882" s="19" t="n">
        <v>639.27</v>
      </c>
      <c r="E3882" s="19" t="n">
        <v>6</v>
      </c>
      <c r="F3882" s="19" t="n">
        <v>324.31</v>
      </c>
      <c r="G3882" s="8" t="n">
        <f aca="false">IFERROR(INDEX('TRANS'!$B:$B,MATCH($B3882,'TRANS'!$A:$A,0)),IFERROR(INDEX('TRANS'!$B:$B,MATCH(TRIM(SUBSTITUTE($B3882,CHAR(160)," ")),'TRANS'!$D:$D,0)),IFERROR(INDEX('Catalog'!$A:$A,MATCH($B3882,'Catalog'!$B:$B,0)),IFERROR(INDEX('Catalog'!$A:$A,MATCH(TRIM(SUBSTITUTE($B3882,CHAR(160)," ")),'Catalog'!$C:$C,0)),""))))</f>
        <v>4408179</v>
      </c>
      <c r="H3882" s="8" t="str">
        <f aca="false">IFERROR(INDEX('TRANS'!$C:$C,MATCH($B3882,'TRANS'!$A:$A,0)),IFERROR(INDEX('Catalog'!$B:$B,MATCH($G3882,'Catalog'!$A:$A,0)),$B3882))</f>
        <v>13 XL חגורה לשבר טבור</v>
      </c>
      <c r="I3882" s="8" t="str">
        <f aca="false">IF($G3882="","Unmatched","Matched")</f>
        <v>Matched</v>
      </c>
      <c r="J3882" s="8" t="n">
        <f aca="false">IF($G3882&lt;&gt;"",$G3882,$B3882)</f>
        <v>4408179</v>
      </c>
      <c r="K3882" s="8" t="str">
        <f aca="false">IF(COUNTIF($M$1:$M$10,$A3882)&gt;0,"Y","N")</f>
        <v>N</v>
      </c>
    </row>
    <row r="3883" customFormat="false" ht="15" hidden="false" customHeight="true" outlineLevel="0" collapsed="false">
      <c r="A3883" s="8" t="s">
        <v>1106</v>
      </c>
      <c r="B3883" s="8" t="s">
        <v>782</v>
      </c>
      <c r="C3883" s="19" t="n">
        <v>8</v>
      </c>
      <c r="D3883" s="19" t="n">
        <v>516.62</v>
      </c>
      <c r="E3883" s="19" t="n">
        <v>4</v>
      </c>
      <c r="F3883" s="19" t="n">
        <v>216.21</v>
      </c>
      <c r="G3883" s="8" t="n">
        <f aca="false">IFERROR(INDEX('TRANS'!$B:$B,MATCH($B3883,'TRANS'!$A:$A,0)),IFERROR(INDEX('TRANS'!$B:$B,MATCH(TRIM(SUBSTITUTE($B3883,CHAR(160)," ")),'TRANS'!$D:$D,0)),IFERROR(INDEX('Catalog'!$A:$A,MATCH($B3883,'Catalog'!$B:$B,0)),IFERROR(INDEX('Catalog'!$A:$A,MATCH(TRIM(SUBSTITUTE($B3883,CHAR(160)," ")),'Catalog'!$C:$C,0)),""))))</f>
        <v>4408180</v>
      </c>
      <c r="H3883" s="8" t="str">
        <f aca="false">IFERROR(INDEX('TRANS'!$C:$C,MATCH($B3883,'TRANS'!$A:$A,0)),IFERROR(INDEX('Catalog'!$B:$B,MATCH($G3883,'Catalog'!$A:$A,0)),$B3883))</f>
        <v>13 XXL חגורה לשבר טבור</v>
      </c>
      <c r="I3883" s="8" t="str">
        <f aca="false">IF($G3883="","Unmatched","Matched")</f>
        <v>Matched</v>
      </c>
      <c r="J3883" s="8" t="n">
        <f aca="false">IF($G3883&lt;&gt;"",$G3883,$B3883)</f>
        <v>4408180</v>
      </c>
      <c r="K3883" s="8" t="str">
        <f aca="false">IF(COUNTIF($M$1:$M$10,$A3883)&gt;0,"Y","N")</f>
        <v>N</v>
      </c>
    </row>
    <row r="3884" customFormat="false" ht="15" hidden="false" customHeight="true" outlineLevel="0" collapsed="false">
      <c r="A3884" s="8" t="s">
        <v>1106</v>
      </c>
      <c r="B3884" s="8" t="s">
        <v>573</v>
      </c>
      <c r="C3884" s="19" t="n">
        <v>0</v>
      </c>
      <c r="D3884" s="19" t="n">
        <v>0</v>
      </c>
      <c r="E3884" s="19" t="n">
        <v>3</v>
      </c>
      <c r="F3884" s="19" t="n">
        <v>136.21</v>
      </c>
      <c r="G3884" s="8" t="n">
        <f aca="false">IFERROR(INDEX('TRANS'!$B:$B,MATCH($B3884,'TRANS'!$A:$A,0)),IFERROR(INDEX('TRANS'!$B:$B,MATCH(TRIM(SUBSTITUTE($B3884,CHAR(160)," ")),'TRANS'!$D:$D,0)),IFERROR(INDEX('Catalog'!$A:$A,MATCH($B3884,'Catalog'!$B:$B,0)),IFERROR(INDEX('Catalog'!$A:$A,MATCH(TRIM(SUBSTITUTE($B3884,CHAR(160)," ")),'Catalog'!$C:$C,0)),""))))</f>
        <v>4408131</v>
      </c>
      <c r="H3884" s="8" t="str">
        <f aca="false">IFERROR(INDEX('TRANS'!$C:$C,MATCH($B3884,'TRANS'!$A:$A,0)),IFERROR(INDEX('Catalog'!$B:$B,MATCH($G3884,'Catalog'!$A:$A,0)),$B3884))</f>
        <v>15W L חגורת צלעות לאשה</v>
      </c>
      <c r="I3884" s="8" t="str">
        <f aca="false">IF($G3884="","Unmatched","Matched")</f>
        <v>Matched</v>
      </c>
      <c r="J3884" s="8" t="n">
        <f aca="false">IF($G3884&lt;&gt;"",$G3884,$B3884)</f>
        <v>4408131</v>
      </c>
      <c r="K3884" s="8" t="str">
        <f aca="false">IF(COUNTIF($M$1:$M$10,$A3884)&gt;0,"Y","N")</f>
        <v>N</v>
      </c>
    </row>
    <row r="3885" customFormat="false" ht="15" hidden="false" customHeight="true" outlineLevel="0" collapsed="false">
      <c r="A3885" s="8" t="s">
        <v>1106</v>
      </c>
      <c r="B3885" s="8" t="s">
        <v>405</v>
      </c>
      <c r="C3885" s="19" t="n">
        <v>0</v>
      </c>
      <c r="D3885" s="19" t="n">
        <v>0</v>
      </c>
      <c r="E3885" s="19" t="n">
        <v>2</v>
      </c>
      <c r="F3885" s="19" t="n">
        <v>90.81</v>
      </c>
      <c r="G3885" s="8" t="str">
        <f aca="false">IFERROR(INDEX('TRANS'!$B:$B,MATCH($B3885,'TRANS'!$A:$A,0)),IFERROR(INDEX('TRANS'!$B:$B,MATCH(TRIM(SUBSTITUTE($B3885,CHAR(160)," ")),'TRANS'!$D:$D,0)),IFERROR(INDEX('Catalog'!$A:$A,MATCH($B3885,'Catalog'!$B:$B,0)),IFERROR(INDEX('Catalog'!$A:$A,MATCH(TRIM(SUBSTITUTE($B3885,CHAR(160)," ")),'Catalog'!$C:$C,0)),""))))</f>
        <v/>
      </c>
      <c r="H3885" s="8" t="str">
        <f aca="false">IFERROR(INDEX('TRANS'!$C:$C,MATCH($B3885,'TRANS'!$A:$A,0)),IFERROR(INDEX('Catalog'!$B:$B,MATCH($G3885,'Catalog'!$A:$A,0)),$B3885))</f>
        <v>15W S</v>
      </c>
      <c r="I3885" s="8" t="str">
        <f aca="false">IF($G3885="","Unmatched","Matched")</f>
        <v>Unmatched</v>
      </c>
      <c r="J3885" s="8" t="str">
        <f aca="false">IF($G3885&lt;&gt;"",$G3885,$B3885)</f>
        <v>15W S</v>
      </c>
      <c r="K3885" s="8" t="str">
        <f aca="false">IF(COUNTIF($M$1:$M$10,$A3885)&gt;0,"Y","N")</f>
        <v>N</v>
      </c>
    </row>
    <row r="3886" customFormat="false" ht="15" hidden="false" customHeight="true" outlineLevel="0" collapsed="false">
      <c r="A3886" s="8" t="s">
        <v>1106</v>
      </c>
      <c r="B3886" s="8" t="s">
        <v>977</v>
      </c>
      <c r="C3886" s="19" t="n">
        <v>2</v>
      </c>
      <c r="D3886" s="19" t="n">
        <v>102.13</v>
      </c>
      <c r="E3886" s="19" t="n">
        <v>4</v>
      </c>
      <c r="F3886" s="19" t="n">
        <v>170.97</v>
      </c>
      <c r="G3886" s="8" t="n">
        <f aca="false">IFERROR(INDEX('TRANS'!$B:$B,MATCH($B3886,'TRANS'!$A:$A,0)),IFERROR(INDEX('TRANS'!$B:$B,MATCH(TRIM(SUBSTITUTE($B3886,CHAR(160)," ")),'TRANS'!$D:$D,0)),IFERROR(INDEX('Catalog'!$A:$A,MATCH($B3886,'Catalog'!$B:$B,0)),IFERROR(INDEX('Catalog'!$A:$A,MATCH(TRIM(SUBSTITUTE($B3886,CHAR(160)," ")),'Catalog'!$C:$C,0)),""))))</f>
        <v>4408232</v>
      </c>
      <c r="H3886" s="8" t="str">
        <f aca="false">IFERROR(INDEX('TRANS'!$C:$C,MATCH($B3886,'TRANS'!$A:$A,0)),IFERROR(INDEX('Catalog'!$B:$B,MATCH($G3886,'Catalog'!$A:$A,0)),$B3886))</f>
        <v>16 XXL חגורת הריון</v>
      </c>
      <c r="I3886" s="8" t="str">
        <f aca="false">IF($G3886="","Unmatched","Matched")</f>
        <v>Matched</v>
      </c>
      <c r="J3886" s="8" t="n">
        <f aca="false">IF($G3886&lt;&gt;"",$G3886,$B3886)</f>
        <v>4408232</v>
      </c>
      <c r="K3886" s="8" t="str">
        <f aca="false">IF(COUNTIF($M$1:$M$10,$A3886)&gt;0,"Y","N")</f>
        <v>N</v>
      </c>
    </row>
    <row r="3887" customFormat="false" ht="15" hidden="false" customHeight="true" outlineLevel="0" collapsed="false">
      <c r="A3887" s="8" t="s">
        <v>1106</v>
      </c>
      <c r="B3887" s="8" t="s">
        <v>574</v>
      </c>
      <c r="C3887" s="19" t="n">
        <v>0</v>
      </c>
      <c r="D3887" s="19" t="n">
        <v>0</v>
      </c>
      <c r="E3887" s="19" t="n">
        <v>4</v>
      </c>
      <c r="F3887" s="19" t="n">
        <v>170.97</v>
      </c>
      <c r="G3887" s="8" t="n">
        <f aca="false">IFERROR(INDEX('TRANS'!$B:$B,MATCH($B3887,'TRANS'!$A:$A,0)),IFERROR(INDEX('TRANS'!$B:$B,MATCH(TRIM(SUBSTITUTE($B3887,CHAR(160)," ")),'TRANS'!$D:$D,0)),IFERROR(INDEX('Catalog'!$A:$A,MATCH($B3887,'Catalog'!$B:$B,0)),IFERROR(INDEX('Catalog'!$A:$A,MATCH(TRIM(SUBSTITUTE($B3887,CHAR(160)," ")),'Catalog'!$C:$C,0)),""))))</f>
        <v>4408230</v>
      </c>
      <c r="H3887" s="8" t="str">
        <f aca="false">IFERROR(INDEX('TRANS'!$C:$C,MATCH($B3887,'TRANS'!$A:$A,0)),IFERROR(INDEX('Catalog'!$B:$B,MATCH($G3887,'Catalog'!$A:$A,0)),$B3887))</f>
        <v>16 L-XL חגורת הריון</v>
      </c>
      <c r="I3887" s="8" t="str">
        <f aca="false">IF($G3887="","Unmatched","Matched")</f>
        <v>Matched</v>
      </c>
      <c r="J3887" s="8" t="n">
        <f aca="false">IF($G3887&lt;&gt;"",$G3887,$B3887)</f>
        <v>4408230</v>
      </c>
      <c r="K3887" s="8" t="str">
        <f aca="false">IF(COUNTIF($M$1:$M$10,$A3887)&gt;0,"Y","N")</f>
        <v>N</v>
      </c>
    </row>
    <row r="3888" customFormat="false" ht="15" hidden="false" customHeight="true" outlineLevel="0" collapsed="false">
      <c r="A3888" s="8" t="s">
        <v>1106</v>
      </c>
      <c r="B3888" s="8" t="s">
        <v>575</v>
      </c>
      <c r="C3888" s="19" t="n">
        <v>5</v>
      </c>
      <c r="D3888" s="19" t="n">
        <v>247.61</v>
      </c>
      <c r="E3888" s="19" t="n">
        <v>4</v>
      </c>
      <c r="F3888" s="19" t="n">
        <v>170.97</v>
      </c>
      <c r="G3888" s="8" t="n">
        <f aca="false">IFERROR(INDEX('TRANS'!$B:$B,MATCH($B3888,'TRANS'!$A:$A,0)),IFERROR(INDEX('TRANS'!$B:$B,MATCH(TRIM(SUBSTITUTE($B3888,CHAR(160)," ")),'TRANS'!$D:$D,0)),IFERROR(INDEX('Catalog'!$A:$A,MATCH($B3888,'Catalog'!$B:$B,0)),IFERROR(INDEX('Catalog'!$A:$A,MATCH(TRIM(SUBSTITUTE($B3888,CHAR(160)," ")),'Catalog'!$C:$C,0)),""))))</f>
        <v>4408231</v>
      </c>
      <c r="H3888" s="8" t="str">
        <f aca="false">IFERROR(INDEX('TRANS'!$C:$C,MATCH($B3888,'TRANS'!$A:$A,0)),IFERROR(INDEX('Catalog'!$B:$B,MATCH($G3888,'Catalog'!$A:$A,0)),$B3888))</f>
        <v>16 S-M חגורת הריון</v>
      </c>
      <c r="I3888" s="8" t="str">
        <f aca="false">IF($G3888="","Unmatched","Matched")</f>
        <v>Matched</v>
      </c>
      <c r="J3888" s="8" t="n">
        <f aca="false">IF($G3888&lt;&gt;"",$G3888,$B3888)</f>
        <v>4408231</v>
      </c>
      <c r="K3888" s="8" t="str">
        <f aca="false">IF(COUNTIF($M$1:$M$10,$A3888)&gt;0,"Y","N")</f>
        <v>N</v>
      </c>
    </row>
    <row r="3889" customFormat="false" ht="15" hidden="false" customHeight="true" outlineLevel="0" collapsed="false">
      <c r="A3889" s="8" t="s">
        <v>1106</v>
      </c>
      <c r="B3889" s="8" t="s">
        <v>583</v>
      </c>
      <c r="C3889" s="19" t="n">
        <v>20</v>
      </c>
      <c r="D3889" s="19" t="n">
        <v>302.17</v>
      </c>
      <c r="E3889" s="19" t="n">
        <v>15</v>
      </c>
      <c r="F3889" s="19" t="n">
        <v>194.59</v>
      </c>
      <c r="G3889" s="8" t="n">
        <f aca="false">IFERROR(INDEX('TRANS'!$B:$B,MATCH($B3889,'TRANS'!$A:$A,0)),IFERROR(INDEX('TRANS'!$B:$B,MATCH(TRIM(SUBSTITUTE($B3889,CHAR(160)," ")),'TRANS'!$D:$D,0)),IFERROR(INDEX('Catalog'!$A:$A,MATCH($B3889,'Catalog'!$B:$B,0)),IFERROR(INDEX('Catalog'!$A:$A,MATCH(TRIM(SUBSTITUTE($B3889,CHAR(160)," ")),'Catalog'!$C:$C,0)),""))))</f>
        <v>4415029</v>
      </c>
      <c r="H3889" s="8" t="str">
        <f aca="false">IFERROR(INDEX('TRANS'!$C:$C,MATCH($B3889,'TRANS'!$A:$A,0)),IFERROR(INDEX('Catalog'!$B:$B,MATCH($G3889,'Catalog'!$A:$A,0)),$B3889))</f>
        <v>סד קיבוע לאצבע הדק</v>
      </c>
      <c r="I3889" s="8" t="str">
        <f aca="false">IF($G3889="","Unmatched","Matched")</f>
        <v>Matched</v>
      </c>
      <c r="J3889" s="8" t="n">
        <f aca="false">IF($G3889&lt;&gt;"",$G3889,$B3889)</f>
        <v>4415029</v>
      </c>
      <c r="K3889" s="8" t="str">
        <f aca="false">IF(COUNTIF($M$1:$M$10,$A3889)&gt;0,"Y","N")</f>
        <v>N</v>
      </c>
    </row>
    <row r="3890" customFormat="false" ht="15" hidden="false" customHeight="true" outlineLevel="0" collapsed="false">
      <c r="A3890" s="8" t="s">
        <v>1106</v>
      </c>
      <c r="B3890" s="8" t="s">
        <v>584</v>
      </c>
      <c r="C3890" s="19" t="n">
        <v>8</v>
      </c>
      <c r="D3890" s="19" t="n">
        <v>76.3</v>
      </c>
      <c r="E3890" s="19" t="n">
        <v>5</v>
      </c>
      <c r="F3890" s="19" t="n">
        <v>39.92</v>
      </c>
      <c r="G3890" s="8" t="n">
        <f aca="false">IFERROR(INDEX('TRANS'!$B:$B,MATCH($B3890,'TRANS'!$A:$A,0)),IFERROR(INDEX('TRANS'!$B:$B,MATCH(TRIM(SUBSTITUTE($B3890,CHAR(160)," ")),'TRANS'!$D:$D,0)),IFERROR(INDEX('Catalog'!$A:$A,MATCH($B3890,'Catalog'!$B:$B,0)),IFERROR(INDEX('Catalog'!$A:$A,MATCH(TRIM(SUBSTITUTE($B3890,CHAR(160)," ")),'Catalog'!$C:$C,0)),""))))</f>
        <v>4415162</v>
      </c>
      <c r="H3890" s="8" t="str">
        <f aca="false">IFERROR(INDEX('TRANS'!$C:$C,MATCH($B3890,'TRANS'!$A:$A,0)),IFERROR(INDEX('Catalog'!$B:$B,MATCH($G3890,'Catalog'!$A:$A,0)),$B3890))</f>
        <v>238L סד ליישור אצבע</v>
      </c>
      <c r="I3890" s="8" t="str">
        <f aca="false">IF($G3890="","Unmatched","Matched")</f>
        <v>Matched</v>
      </c>
      <c r="J3890" s="8" t="n">
        <f aca="false">IF($G3890&lt;&gt;"",$G3890,$B3890)</f>
        <v>4415162</v>
      </c>
      <c r="K3890" s="8" t="str">
        <f aca="false">IF(COUNTIF($M$1:$M$10,$A3890)&gt;0,"Y","N")</f>
        <v>N</v>
      </c>
    </row>
    <row r="3891" customFormat="false" ht="15" hidden="false" customHeight="true" outlineLevel="0" collapsed="false">
      <c r="A3891" s="8" t="s">
        <v>1106</v>
      </c>
      <c r="B3891" s="8" t="s">
        <v>926</v>
      </c>
      <c r="C3891" s="19" t="n">
        <v>15</v>
      </c>
      <c r="D3891" s="19" t="n">
        <v>140.67</v>
      </c>
      <c r="E3891" s="19" t="n">
        <v>5</v>
      </c>
      <c r="F3891" s="19" t="n">
        <v>39.92</v>
      </c>
      <c r="G3891" s="8" t="n">
        <f aca="false">IFERROR(INDEX('TRANS'!$B:$B,MATCH($B3891,'TRANS'!$A:$A,0)),IFERROR(INDEX('TRANS'!$B:$B,MATCH(TRIM(SUBSTITUTE($B3891,CHAR(160)," ")),'TRANS'!$D:$D,0)),IFERROR(INDEX('Catalog'!$A:$A,MATCH($B3891,'Catalog'!$B:$B,0)),IFERROR(INDEX('Catalog'!$A:$A,MATCH(TRIM(SUBSTITUTE($B3891,CHAR(160)," ")),'Catalog'!$C:$C,0)),""))))</f>
        <v>4415161</v>
      </c>
      <c r="H3891" s="8" t="str">
        <f aca="false">IFERROR(INDEX('TRANS'!$C:$C,MATCH($B3891,'TRANS'!$A:$A,0)),IFERROR(INDEX('Catalog'!$B:$B,MATCH($G3891,'Catalog'!$A:$A,0)),$B3891))</f>
        <v>238M סד ליישור אצבע</v>
      </c>
      <c r="I3891" s="8" t="str">
        <f aca="false">IF($G3891="","Unmatched","Matched")</f>
        <v>Matched</v>
      </c>
      <c r="J3891" s="8" t="n">
        <f aca="false">IF($G3891&lt;&gt;"",$G3891,$B3891)</f>
        <v>4415161</v>
      </c>
      <c r="K3891" s="8" t="str">
        <f aca="false">IF(COUNTIF($M$1:$M$10,$A3891)&gt;0,"Y","N")</f>
        <v>N</v>
      </c>
    </row>
    <row r="3892" customFormat="false" ht="15" hidden="false" customHeight="true" outlineLevel="0" collapsed="false">
      <c r="A3892" s="8" t="s">
        <v>1106</v>
      </c>
      <c r="B3892" s="8" t="s">
        <v>585</v>
      </c>
      <c r="C3892" s="19" t="n">
        <v>23</v>
      </c>
      <c r="D3892" s="19" t="n">
        <v>212.16</v>
      </c>
      <c r="E3892" s="19" t="n">
        <v>10</v>
      </c>
      <c r="F3892" s="19" t="n">
        <v>79.83</v>
      </c>
      <c r="G3892" s="8" t="n">
        <f aca="false">IFERROR(INDEX('TRANS'!$B:$B,MATCH($B3892,'TRANS'!$A:$A,0)),IFERROR(INDEX('TRANS'!$B:$B,MATCH(TRIM(SUBSTITUTE($B3892,CHAR(160)," ")),'TRANS'!$D:$D,0)),IFERROR(INDEX('Catalog'!$A:$A,MATCH($B3892,'Catalog'!$B:$B,0)),IFERROR(INDEX('Catalog'!$A:$A,MATCH(TRIM(SUBSTITUTE($B3892,CHAR(160)," ")),'Catalog'!$C:$C,0)),""))))</f>
        <v>4415160</v>
      </c>
      <c r="H3892" s="8" t="str">
        <f aca="false">IFERROR(INDEX('TRANS'!$C:$C,MATCH($B3892,'TRANS'!$A:$A,0)),IFERROR(INDEX('Catalog'!$B:$B,MATCH($G3892,'Catalog'!$A:$A,0)),$B3892))</f>
        <v>238S סד ליישור אצבע</v>
      </c>
      <c r="I3892" s="8" t="str">
        <f aca="false">IF($G3892="","Unmatched","Matched")</f>
        <v>Matched</v>
      </c>
      <c r="J3892" s="8" t="n">
        <f aca="false">IF($G3892&lt;&gt;"",$G3892,$B3892)</f>
        <v>4415160</v>
      </c>
      <c r="K3892" s="8" t="str">
        <f aca="false">IF(COUNTIF($M$1:$M$10,$A3892)&gt;0,"Y","N")</f>
        <v>N</v>
      </c>
    </row>
    <row r="3893" customFormat="false" ht="15" hidden="false" customHeight="true" outlineLevel="0" collapsed="false">
      <c r="A3893" s="8" t="s">
        <v>1106</v>
      </c>
      <c r="B3893" s="8" t="s">
        <v>948</v>
      </c>
      <c r="C3893" s="19" t="n">
        <v>0</v>
      </c>
      <c r="D3893" s="19" t="n">
        <v>0</v>
      </c>
      <c r="E3893" s="19" t="n">
        <v>2</v>
      </c>
      <c r="F3893" s="19" t="n">
        <v>81.83</v>
      </c>
      <c r="G3893" s="8" t="n">
        <f aca="false">IFERROR(INDEX('TRANS'!$B:$B,MATCH($B3893,'TRANS'!$A:$A,0)),IFERROR(INDEX('TRANS'!$B:$B,MATCH(TRIM(SUBSTITUTE($B3893,CHAR(160)," ")),'TRANS'!$D:$D,0)),IFERROR(INDEX('Catalog'!$A:$A,MATCH($B3893,'Catalog'!$B:$B,0)),IFERROR(INDEX('Catalog'!$A:$A,MATCH(TRIM(SUBSTITUTE($B3893,CHAR(160)," ")),'Catalog'!$C:$C,0)),""))))</f>
        <v>4415000</v>
      </c>
      <c r="H3893" s="8" t="str">
        <f aca="false">IFERROR(INDEX('TRANS'!$C:$C,MATCH($B3893,'TRANS'!$A:$A,0)),IFERROR(INDEX('Catalog'!$B:$B,MATCH($G3893,'Catalog'!$A:$A,0)),$B3893))</f>
        <v>26 L סד ליד דו צדדי לאחר שבר</v>
      </c>
      <c r="I3893" s="8" t="str">
        <f aca="false">IF($G3893="","Unmatched","Matched")</f>
        <v>Matched</v>
      </c>
      <c r="J3893" s="8" t="n">
        <f aca="false">IF($G3893&lt;&gt;"",$G3893,$B3893)</f>
        <v>4415000</v>
      </c>
      <c r="K3893" s="8" t="str">
        <f aca="false">IF(COUNTIF($M$1:$M$10,$A3893)&gt;0,"Y","N")</f>
        <v>N</v>
      </c>
    </row>
    <row r="3894" customFormat="false" ht="15" hidden="false" customHeight="true" outlineLevel="0" collapsed="false">
      <c r="A3894" s="8" t="s">
        <v>1106</v>
      </c>
      <c r="B3894" s="8" t="s">
        <v>956</v>
      </c>
      <c r="C3894" s="19" t="n">
        <v>4</v>
      </c>
      <c r="D3894" s="19" t="n">
        <v>185.68</v>
      </c>
      <c r="E3894" s="19" t="n">
        <v>4</v>
      </c>
      <c r="F3894" s="19" t="n">
        <v>163.65</v>
      </c>
      <c r="G3894" s="8" t="n">
        <f aca="false">IFERROR(INDEX('TRANS'!$B:$B,MATCH($B3894,'TRANS'!$A:$A,0)),IFERROR(INDEX('TRANS'!$B:$B,MATCH(TRIM(SUBSTITUTE($B3894,CHAR(160)," ")),'TRANS'!$D:$D,0)),IFERROR(INDEX('Catalog'!$A:$A,MATCH($B3894,'Catalog'!$B:$B,0)),IFERROR(INDEX('Catalog'!$A:$A,MATCH(TRIM(SUBSTITUTE($B3894,CHAR(160)," ")),'Catalog'!$C:$C,0)),""))))</f>
        <v>4415001</v>
      </c>
      <c r="H3894" s="8" t="str">
        <f aca="false">IFERROR(INDEX('TRANS'!$C:$C,MATCH($B3894,'TRANS'!$A:$A,0)),IFERROR(INDEX('Catalog'!$B:$B,MATCH($G3894,'Catalog'!$A:$A,0)),$B3894))</f>
        <v>26 M סד ליד דו צדדי לאחר שבר</v>
      </c>
      <c r="I3894" s="8" t="str">
        <f aca="false">IF($G3894="","Unmatched","Matched")</f>
        <v>Matched</v>
      </c>
      <c r="J3894" s="8" t="n">
        <f aca="false">IF($G3894&lt;&gt;"",$G3894,$B3894)</f>
        <v>4415001</v>
      </c>
      <c r="K3894" s="8" t="str">
        <f aca="false">IF(COUNTIF($M$1:$M$10,$A3894)&gt;0,"Y","N")</f>
        <v>N</v>
      </c>
    </row>
    <row r="3895" customFormat="false" ht="15" hidden="false" customHeight="true" outlineLevel="0" collapsed="false">
      <c r="A3895" s="8" t="s">
        <v>1106</v>
      </c>
      <c r="B3895" s="8" t="s">
        <v>787</v>
      </c>
      <c r="C3895" s="19" t="n">
        <v>2</v>
      </c>
      <c r="D3895" s="19" t="n">
        <v>92.84</v>
      </c>
      <c r="E3895" s="19" t="n">
        <v>0</v>
      </c>
      <c r="F3895" s="19" t="n">
        <v>0</v>
      </c>
      <c r="G3895" s="8" t="n">
        <f aca="false">IFERROR(INDEX('TRANS'!$B:$B,MATCH($B3895,'TRANS'!$A:$A,0)),IFERROR(INDEX('TRANS'!$B:$B,MATCH(TRIM(SUBSTITUTE($B3895,CHAR(160)," ")),'TRANS'!$D:$D,0)),IFERROR(INDEX('Catalog'!$A:$A,MATCH($B3895,'Catalog'!$B:$B,0)),IFERROR(INDEX('Catalog'!$A:$A,MATCH(TRIM(SUBSTITUTE($B3895,CHAR(160)," ")),'Catalog'!$C:$C,0)),""))))</f>
        <v>4415002</v>
      </c>
      <c r="H3895" s="8" t="str">
        <f aca="false">IFERROR(INDEX('TRANS'!$C:$C,MATCH($B3895,'TRANS'!$A:$A,0)),IFERROR(INDEX('Catalog'!$B:$B,MATCH($G3895,'Catalog'!$A:$A,0)),$B3895))</f>
        <v>26 S סד ליד דו צדדי לאחר שבר</v>
      </c>
      <c r="I3895" s="8" t="str">
        <f aca="false">IF($G3895="","Unmatched","Matched")</f>
        <v>Matched</v>
      </c>
      <c r="J3895" s="8" t="n">
        <f aca="false">IF($G3895&lt;&gt;"",$G3895,$B3895)</f>
        <v>4415002</v>
      </c>
      <c r="K3895" s="8" t="str">
        <f aca="false">IF(COUNTIF($M$1:$M$10,$A3895)&gt;0,"Y","N")</f>
        <v>N</v>
      </c>
    </row>
    <row r="3896" customFormat="false" ht="15" hidden="false" customHeight="true" outlineLevel="0" collapsed="false">
      <c r="A3896" s="8" t="s">
        <v>1106</v>
      </c>
      <c r="B3896" s="8" t="s">
        <v>592</v>
      </c>
      <c r="C3896" s="19" t="n">
        <v>30</v>
      </c>
      <c r="D3896" s="19" t="n">
        <v>751.09</v>
      </c>
      <c r="E3896" s="19" t="n">
        <v>10</v>
      </c>
      <c r="F3896" s="19" t="n">
        <v>209.56</v>
      </c>
      <c r="G3896" s="8" t="n">
        <f aca="false">IFERROR(INDEX('TRANS'!$B:$B,MATCH($B3896,'TRANS'!$A:$A,0)),IFERROR(INDEX('TRANS'!$B:$B,MATCH(TRIM(SUBSTITUTE($B3896,CHAR(160)," ")),'TRANS'!$D:$D,0)),IFERROR(INDEX('Catalog'!$A:$A,MATCH($B3896,'Catalog'!$B:$B,0)),IFERROR(INDEX('Catalog'!$A:$A,MATCH(TRIM(SUBSTITUTE($B3896,CHAR(160)," ")),'Catalog'!$C:$C,0)),""))))</f>
        <v>4415158</v>
      </c>
      <c r="H3896" s="8" t="str">
        <f aca="false">IFERROR(INDEX('TRANS'!$C:$C,MATCH($B3896,'TRANS'!$A:$A,0)),IFERROR(INDEX('Catalog'!$B:$B,MATCH($G3896,'Catalog'!$A:$A,0)),$B3896))</f>
        <v>266 סד ליד דו צדדי</v>
      </c>
      <c r="I3896" s="8" t="str">
        <f aca="false">IF($G3896="","Unmatched","Matched")</f>
        <v>Matched</v>
      </c>
      <c r="J3896" s="8" t="n">
        <f aca="false">IF($G3896&lt;&gt;"",$G3896,$B3896)</f>
        <v>4415158</v>
      </c>
      <c r="K3896" s="8" t="str">
        <f aca="false">IF(COUNTIF($M$1:$M$10,$A3896)&gt;0,"Y","N")</f>
        <v>N</v>
      </c>
    </row>
    <row r="3897" customFormat="false" ht="15" hidden="false" customHeight="true" outlineLevel="0" collapsed="false">
      <c r="A3897" s="8" t="s">
        <v>1106</v>
      </c>
      <c r="B3897" s="8" t="s">
        <v>593</v>
      </c>
      <c r="C3897" s="19" t="n">
        <v>10</v>
      </c>
      <c r="D3897" s="19" t="n">
        <v>367.96</v>
      </c>
      <c r="E3897" s="19" t="n">
        <v>10</v>
      </c>
      <c r="F3897" s="19" t="n">
        <v>324.31</v>
      </c>
      <c r="G3897" s="8" t="n">
        <f aca="false">IFERROR(INDEX('TRANS'!$B:$B,MATCH($B3897,'TRANS'!$A:$A,0)),IFERROR(INDEX('TRANS'!$B:$B,MATCH(TRIM(SUBSTITUTE($B3897,CHAR(160)," ")),'TRANS'!$D:$D,0)),IFERROR(INDEX('Catalog'!$A:$A,MATCH($B3897,'Catalog'!$B:$B,0)),IFERROR(INDEX('Catalog'!$A:$A,MATCH(TRIM(SUBSTITUTE($B3897,CHAR(160)," ")),'Catalog'!$C:$C,0)),""))))</f>
        <v>4415159</v>
      </c>
      <c r="H3897" s="8" t="str">
        <f aca="false">IFERROR(INDEX('TRANS'!$C:$C,MATCH($B3897,'TRANS'!$A:$A,0)),IFERROR(INDEX('Catalog'!$B:$B,MATCH($G3897,'Catalog'!$A:$A,0)),$B3897))</f>
        <v>268 סד לאגודל</v>
      </c>
      <c r="I3897" s="8" t="str">
        <f aca="false">IF($G3897="","Unmatched","Matched")</f>
        <v>Matched</v>
      </c>
      <c r="J3897" s="8" t="n">
        <f aca="false">IF($G3897&lt;&gt;"",$G3897,$B3897)</f>
        <v>4415159</v>
      </c>
      <c r="K3897" s="8" t="str">
        <f aca="false">IF(COUNTIF($M$1:$M$10,$A3897)&gt;0,"Y","N")</f>
        <v>N</v>
      </c>
    </row>
    <row r="3898" customFormat="false" ht="15" hidden="false" customHeight="true" outlineLevel="0" collapsed="false">
      <c r="A3898" s="8" t="s">
        <v>1106</v>
      </c>
      <c r="B3898" s="8" t="s">
        <v>594</v>
      </c>
      <c r="C3898" s="19" t="n">
        <v>10</v>
      </c>
      <c r="D3898" s="19" t="n">
        <v>396.96</v>
      </c>
      <c r="E3898" s="19" t="n">
        <v>4</v>
      </c>
      <c r="F3898" s="19" t="n">
        <v>137.04</v>
      </c>
      <c r="G3898" s="8" t="n">
        <f aca="false">IFERROR(INDEX('TRANS'!$B:$B,MATCH($B3898,'TRANS'!$A:$A,0)),IFERROR(INDEX('TRANS'!$B:$B,MATCH(TRIM(SUBSTITUTE($B3898,CHAR(160)," ")),'TRANS'!$D:$D,0)),IFERROR(INDEX('Catalog'!$A:$A,MATCH($B3898,'Catalog'!$B:$B,0)),IFERROR(INDEX('Catalog'!$A:$A,MATCH(TRIM(SUBSTITUTE($B3898,CHAR(160)," ")),'Catalog'!$C:$C,0)),""))))</f>
        <v>4415006</v>
      </c>
      <c r="H3898" s="8" t="str">
        <f aca="false">IFERROR(INDEX('TRANS'!$C:$C,MATCH($B3898,'TRANS'!$A:$A,0)),IFERROR(INDEX('Catalog'!$B:$B,MATCH($G3898,'Catalog'!$A:$A,0)),$B3898))</f>
        <v>28 M סד לאגודל לאחר שבר</v>
      </c>
      <c r="I3898" s="8" t="str">
        <f aca="false">IF($G3898="","Unmatched","Matched")</f>
        <v>Matched</v>
      </c>
      <c r="J3898" s="8" t="n">
        <f aca="false">IF($G3898&lt;&gt;"",$G3898,$B3898)</f>
        <v>4415006</v>
      </c>
      <c r="K3898" s="8" t="str">
        <f aca="false">IF(COUNTIF($M$1:$M$10,$A3898)&gt;0,"Y","N")</f>
        <v>N</v>
      </c>
    </row>
    <row r="3899" customFormat="false" ht="15" hidden="false" customHeight="true" outlineLevel="0" collapsed="false">
      <c r="A3899" s="8" t="s">
        <v>1106</v>
      </c>
      <c r="B3899" s="8" t="s">
        <v>958</v>
      </c>
      <c r="C3899" s="19" t="n">
        <v>2</v>
      </c>
      <c r="D3899" s="19" t="n">
        <v>77.74</v>
      </c>
      <c r="E3899" s="19" t="n">
        <v>2</v>
      </c>
      <c r="F3899" s="19" t="n">
        <v>68.52</v>
      </c>
      <c r="G3899" s="8" t="n">
        <f aca="false">IFERROR(INDEX('TRANS'!$B:$B,MATCH($B3899,'TRANS'!$A:$A,0)),IFERROR(INDEX('TRANS'!$B:$B,MATCH(TRIM(SUBSTITUTE($B3899,CHAR(160)," ")),'TRANS'!$D:$D,0)),IFERROR(INDEX('Catalog'!$A:$A,MATCH($B3899,'Catalog'!$B:$B,0)),IFERROR(INDEX('Catalog'!$A:$A,MATCH(TRIM(SUBSTITUTE($B3899,CHAR(160)," ")),'Catalog'!$C:$C,0)),""))))</f>
        <v>4415007</v>
      </c>
      <c r="H3899" s="8" t="str">
        <f aca="false">IFERROR(INDEX('TRANS'!$C:$C,MATCH($B3899,'TRANS'!$A:$A,0)),IFERROR(INDEX('Catalog'!$B:$B,MATCH($G3899,'Catalog'!$A:$A,0)),$B3899))</f>
        <v>28 S סד לאגודל לאחר שבר</v>
      </c>
      <c r="I3899" s="8" t="str">
        <f aca="false">IF($G3899="","Unmatched","Matched")</f>
        <v>Matched</v>
      </c>
      <c r="J3899" s="8" t="n">
        <f aca="false">IF($G3899&lt;&gt;"",$G3899,$B3899)</f>
        <v>4415007</v>
      </c>
      <c r="K3899" s="8" t="str">
        <f aca="false">IF(COUNTIF($M$1:$M$10,$A3899)&gt;0,"Y","N")</f>
        <v>N</v>
      </c>
    </row>
    <row r="3900" customFormat="false" ht="15" hidden="false" customHeight="true" outlineLevel="0" collapsed="false">
      <c r="A3900" s="8" t="s">
        <v>1106</v>
      </c>
      <c r="B3900" s="8" t="s">
        <v>283</v>
      </c>
      <c r="C3900" s="19" t="n">
        <v>15</v>
      </c>
      <c r="D3900" s="19" t="n">
        <v>503.7</v>
      </c>
      <c r="E3900" s="19" t="n">
        <v>0</v>
      </c>
      <c r="F3900" s="19" t="n">
        <v>0</v>
      </c>
      <c r="G3900" s="8" t="str">
        <f aca="false">IFERROR(INDEX('TRANS'!$B:$B,MATCH($B3900,'TRANS'!$A:$A,0)),IFERROR(INDEX('TRANS'!$B:$B,MATCH(TRIM(SUBSTITUTE($B3900,CHAR(160)," ")),'TRANS'!$D:$D,0)),IFERROR(INDEX('Catalog'!$A:$A,MATCH($B3900,'Catalog'!$B:$B,0)),IFERROR(INDEX('Catalog'!$A:$A,MATCH(TRIM(SUBSTITUTE($B3900,CHAR(160)," ")),'Catalog'!$C:$C,0)),""))))</f>
        <v/>
      </c>
      <c r="H3900" s="8" t="str">
        <f aca="false">IFERROR(INDEX('TRANS'!$C:$C,MATCH($B3900,'TRANS'!$A:$A,0)),IFERROR(INDEX('Catalog'!$B:$B,MATCH($G3900,'Catalog'!$A:$A,0)),$B3900))</f>
        <v>30 L</v>
      </c>
      <c r="I3900" s="8" t="str">
        <f aca="false">IF($G3900="","Unmatched","Matched")</f>
        <v>Unmatched</v>
      </c>
      <c r="J3900" s="8" t="str">
        <f aca="false">IF($G3900&lt;&gt;"",$G3900,$B3900)</f>
        <v>30 L</v>
      </c>
      <c r="K3900" s="8" t="str">
        <f aca="false">IF(COUNTIF($M$1:$M$10,$A3900)&gt;0,"Y","N")</f>
        <v>N</v>
      </c>
    </row>
    <row r="3901" customFormat="false" ht="15" hidden="false" customHeight="true" outlineLevel="0" collapsed="false">
      <c r="A3901" s="8" t="s">
        <v>1106</v>
      </c>
      <c r="B3901" s="8" t="s">
        <v>173</v>
      </c>
      <c r="C3901" s="19" t="n">
        <v>15</v>
      </c>
      <c r="D3901" s="19" t="n">
        <v>503.7</v>
      </c>
      <c r="E3901" s="19" t="n">
        <v>0</v>
      </c>
      <c r="F3901" s="19" t="n">
        <v>0</v>
      </c>
      <c r="G3901" s="8" t="str">
        <f aca="false">IFERROR(INDEX('TRANS'!$B:$B,MATCH($B3901,'TRANS'!$A:$A,0)),IFERROR(INDEX('TRANS'!$B:$B,MATCH(TRIM(SUBSTITUTE($B3901,CHAR(160)," ")),'TRANS'!$D:$D,0)),IFERROR(INDEX('Catalog'!$A:$A,MATCH($B3901,'Catalog'!$B:$B,0)),IFERROR(INDEX('Catalog'!$A:$A,MATCH(TRIM(SUBSTITUTE($B3901,CHAR(160)," ")),'Catalog'!$C:$C,0)),""))))</f>
        <v/>
      </c>
      <c r="H3901" s="8" t="str">
        <f aca="false">IFERROR(INDEX('TRANS'!$C:$C,MATCH($B3901,'TRANS'!$A:$A,0)),IFERROR(INDEX('Catalog'!$B:$B,MATCH($G3901,'Catalog'!$A:$A,0)),$B3901))</f>
        <v>30 M</v>
      </c>
      <c r="I3901" s="8" t="str">
        <f aca="false">IF($G3901="","Unmatched","Matched")</f>
        <v>Unmatched</v>
      </c>
      <c r="J3901" s="8" t="str">
        <f aca="false">IF($G3901&lt;&gt;"",$G3901,$B3901)</f>
        <v>30 M</v>
      </c>
      <c r="K3901" s="8" t="str">
        <f aca="false">IF(COUNTIF($M$1:$M$10,$A3901)&gt;0,"Y","N")</f>
        <v>N</v>
      </c>
    </row>
    <row r="3902" customFormat="false" ht="15" hidden="false" customHeight="true" outlineLevel="0" collapsed="false">
      <c r="A3902" s="8" t="s">
        <v>1106</v>
      </c>
      <c r="B3902" s="8" t="s">
        <v>521</v>
      </c>
      <c r="C3902" s="19" t="n">
        <v>0</v>
      </c>
      <c r="D3902" s="19" t="n">
        <v>0</v>
      </c>
      <c r="E3902" s="19" t="n">
        <v>4</v>
      </c>
      <c r="F3902" s="19" t="n">
        <v>112.43</v>
      </c>
      <c r="G3902" s="8" t="str">
        <f aca="false">IFERROR(INDEX('TRANS'!$B:$B,MATCH($B3902,'TRANS'!$A:$A,0)),IFERROR(INDEX('TRANS'!$B:$B,MATCH(TRIM(SUBSTITUTE($B3902,CHAR(160)," ")),'TRANS'!$D:$D,0)),IFERROR(INDEX('Catalog'!$A:$A,MATCH($B3902,'Catalog'!$B:$B,0)),IFERROR(INDEX('Catalog'!$A:$A,MATCH(TRIM(SUBSTITUTE($B3902,CHAR(160)," ")),'Catalog'!$C:$C,0)),""))))</f>
        <v/>
      </c>
      <c r="H3902" s="8" t="str">
        <f aca="false">IFERROR(INDEX('TRANS'!$C:$C,MATCH($B3902,'TRANS'!$A:$A,0)),IFERROR(INDEX('Catalog'!$B:$B,MATCH($G3902,'Catalog'!$A:$A,0)),$B3902))</f>
        <v>30 S</v>
      </c>
      <c r="I3902" s="8" t="str">
        <f aca="false">IF($G3902="","Unmatched","Matched")</f>
        <v>Unmatched</v>
      </c>
      <c r="J3902" s="8" t="str">
        <f aca="false">IF($G3902&lt;&gt;"",$G3902,$B3902)</f>
        <v>30 S</v>
      </c>
      <c r="K3902" s="8" t="str">
        <f aca="false">IF(COUNTIF($M$1:$M$10,$A3902)&gt;0,"Y","N")</f>
        <v>N</v>
      </c>
    </row>
    <row r="3903" customFormat="false" ht="15" hidden="false" customHeight="true" outlineLevel="0" collapsed="false">
      <c r="A3903" s="8" t="s">
        <v>1106</v>
      </c>
      <c r="B3903" s="8" t="s">
        <v>319</v>
      </c>
      <c r="C3903" s="19" t="n">
        <v>6</v>
      </c>
      <c r="D3903" s="19" t="n">
        <v>201.48</v>
      </c>
      <c r="E3903" s="19" t="n">
        <v>6</v>
      </c>
      <c r="F3903" s="19" t="n">
        <v>168.64</v>
      </c>
      <c r="G3903" s="8" t="str">
        <f aca="false">IFERROR(INDEX('TRANS'!$B:$B,MATCH($B3903,'TRANS'!$A:$A,0)),IFERROR(INDEX('TRANS'!$B:$B,MATCH(TRIM(SUBSTITUTE($B3903,CHAR(160)," ")),'TRANS'!$D:$D,0)),IFERROR(INDEX('Catalog'!$A:$A,MATCH($B3903,'Catalog'!$B:$B,0)),IFERROR(INDEX('Catalog'!$A:$A,MATCH(TRIM(SUBSTITUTE($B3903,CHAR(160)," ")),'Catalog'!$C:$C,0)),""))))</f>
        <v/>
      </c>
      <c r="H3903" s="8" t="str">
        <f aca="false">IFERROR(INDEX('TRANS'!$C:$C,MATCH($B3903,'TRANS'!$A:$A,0)),IFERROR(INDEX('Catalog'!$B:$B,MATCH($G3903,'Catalog'!$A:$A,0)),$B3903))</f>
        <v>30 XL</v>
      </c>
      <c r="I3903" s="8" t="str">
        <f aca="false">IF($G3903="","Unmatched","Matched")</f>
        <v>Unmatched</v>
      </c>
      <c r="J3903" s="8" t="str">
        <f aca="false">IF($G3903&lt;&gt;"",$G3903,$B3903)</f>
        <v>30 XL</v>
      </c>
      <c r="K3903" s="8" t="str">
        <f aca="false">IF(COUNTIF($M$1:$M$10,$A3903)&gt;0,"Y","N")</f>
        <v>N</v>
      </c>
    </row>
    <row r="3904" customFormat="false" ht="15" hidden="false" customHeight="true" outlineLevel="0" collapsed="false">
      <c r="A3904" s="8" t="s">
        <v>1106</v>
      </c>
      <c r="B3904" s="8" t="s">
        <v>788</v>
      </c>
      <c r="C3904" s="19" t="n">
        <v>10</v>
      </c>
      <c r="D3904" s="19" t="n">
        <v>320.78</v>
      </c>
      <c r="E3904" s="19" t="n">
        <v>0</v>
      </c>
      <c r="F3904" s="19" t="n">
        <v>0</v>
      </c>
      <c r="G3904" s="8" t="n">
        <f aca="false">IFERROR(INDEX('TRANS'!$B:$B,MATCH($B3904,'TRANS'!$A:$A,0)),IFERROR(INDEX('TRANS'!$B:$B,MATCH(TRIM(SUBSTITUTE($B3904,CHAR(160)," ")),'TRANS'!$D:$D,0)),IFERROR(INDEX('Catalog'!$A:$A,MATCH($B3904,'Catalog'!$B:$B,0)),IFERROR(INDEX('Catalog'!$A:$A,MATCH(TRIM(SUBSTITUTE($B3904,CHAR(160)," ")),'Catalog'!$C:$C,0)),""))))</f>
        <v>4420036</v>
      </c>
      <c r="H3904" s="8" t="str">
        <f aca="false">IFERROR(INDEX('TRANS'!$C:$C,MATCH($B3904,'TRANS'!$A:$A,0)),IFERROR(INDEX('Catalog'!$B:$B,MATCH($G3904,'Catalog'!$A:$A,0)),$B3904))</f>
        <v>301CM 41-45 'רפידת ג'ל בז</v>
      </c>
      <c r="I3904" s="8" t="str">
        <f aca="false">IF($G3904="","Unmatched","Matched")</f>
        <v>Matched</v>
      </c>
      <c r="J3904" s="8" t="n">
        <f aca="false">IF($G3904&lt;&gt;"",$G3904,$B3904)</f>
        <v>4420036</v>
      </c>
      <c r="K3904" s="8" t="str">
        <f aca="false">IF(COUNTIF($M$1:$M$10,$A3904)&gt;0,"Y","N")</f>
        <v>N</v>
      </c>
    </row>
    <row r="3905" customFormat="false" ht="15" hidden="false" customHeight="true" outlineLevel="0" collapsed="false">
      <c r="A3905" s="8" t="s">
        <v>1106</v>
      </c>
      <c r="B3905" s="8" t="s">
        <v>789</v>
      </c>
      <c r="C3905" s="19" t="n">
        <v>0</v>
      </c>
      <c r="D3905" s="19" t="n">
        <v>0</v>
      </c>
      <c r="E3905" s="19" t="n">
        <v>30</v>
      </c>
      <c r="F3905" s="19" t="n">
        <v>808.29</v>
      </c>
      <c r="G3905" s="8" t="n">
        <f aca="false">IFERROR(INDEX('TRANS'!$B:$B,MATCH($B3905,'TRANS'!$A:$A,0)),IFERROR(INDEX('TRANS'!$B:$B,MATCH(TRIM(SUBSTITUTE($B3905,CHAR(160)," ")),'TRANS'!$D:$D,0)),IFERROR(INDEX('Catalog'!$A:$A,MATCH($B3905,'Catalog'!$B:$B,0)),IFERROR(INDEX('Catalog'!$A:$A,MATCH(TRIM(SUBSTITUTE($B3905,CHAR(160)," ")),'Catalog'!$C:$C,0)),""))))</f>
        <v>4420035</v>
      </c>
      <c r="H3905" s="8" t="str">
        <f aca="false">IFERROR(INDEX('TRANS'!$C:$C,MATCH($B3905,'TRANS'!$A:$A,0)),IFERROR(INDEX('Catalog'!$B:$B,MATCH($G3905,'Catalog'!$A:$A,0)),$B3905))</f>
        <v>301CW 36-40 'רפידת ג'ל בז</v>
      </c>
      <c r="I3905" s="8" t="str">
        <f aca="false">IF($G3905="","Unmatched","Matched")</f>
        <v>Matched</v>
      </c>
      <c r="J3905" s="8" t="n">
        <f aca="false">IF($G3905&lt;&gt;"",$G3905,$B3905)</f>
        <v>4420035</v>
      </c>
      <c r="K3905" s="8" t="str">
        <f aca="false">IF(COUNTIF($M$1:$M$10,$A3905)&gt;0,"Y","N")</f>
        <v>N</v>
      </c>
    </row>
    <row r="3906" customFormat="false" ht="15" hidden="false" customHeight="true" outlineLevel="0" collapsed="false">
      <c r="A3906" s="8" t="s">
        <v>1106</v>
      </c>
      <c r="B3906" s="8" t="s">
        <v>1054</v>
      </c>
      <c r="C3906" s="19" t="n">
        <v>30</v>
      </c>
      <c r="D3906" s="19" t="n">
        <v>917.06</v>
      </c>
      <c r="E3906" s="19" t="n">
        <v>0</v>
      </c>
      <c r="F3906" s="19" t="n">
        <v>0</v>
      </c>
      <c r="G3906" s="8" t="n">
        <f aca="false">IFERROR(INDEX('TRANS'!$B:$B,MATCH($B3906,'TRANS'!$A:$A,0)),IFERROR(INDEX('TRANS'!$B:$B,MATCH(TRIM(SUBSTITUTE($B3906,CHAR(160)," ")),'TRANS'!$D:$D,0)),IFERROR(INDEX('Catalog'!$A:$A,MATCH($B3906,'Catalog'!$B:$B,0)),IFERROR(INDEX('Catalog'!$A:$A,MATCH(TRIM(SUBSTITUTE($B3906,CHAR(160)," ")),'Catalog'!$C:$C,0)),""))))</f>
        <v>4420037</v>
      </c>
      <c r="H3906" s="8" t="str">
        <f aca="false">IFERROR(INDEX('TRANS'!$C:$C,MATCH($B3906,'TRANS'!$A:$A,0)),IFERROR(INDEX('Catalog'!$B:$B,MATCH($G3906,'Catalog'!$A:$A,0)),$B3906))</f>
        <v>301JW רפידת ג'ל כחול36-40</v>
      </c>
      <c r="I3906" s="8" t="str">
        <f aca="false">IF($G3906="","Unmatched","Matched")</f>
        <v>Matched</v>
      </c>
      <c r="J3906" s="8" t="n">
        <f aca="false">IF($G3906&lt;&gt;"",$G3906,$B3906)</f>
        <v>4420037</v>
      </c>
      <c r="K3906" s="8" t="str">
        <f aca="false">IF(COUNTIF($M$1:$M$10,$A3906)&gt;0,"Y","N")</f>
        <v>N</v>
      </c>
    </row>
    <row r="3907" customFormat="false" ht="15" hidden="false" customHeight="true" outlineLevel="0" collapsed="false">
      <c r="A3907" s="8" t="s">
        <v>1106</v>
      </c>
      <c r="B3907" s="8" t="s">
        <v>595</v>
      </c>
      <c r="C3907" s="19" t="n">
        <v>0</v>
      </c>
      <c r="D3907" s="19" t="n">
        <v>0</v>
      </c>
      <c r="E3907" s="19" t="n">
        <v>10</v>
      </c>
      <c r="F3907" s="19" t="n">
        <v>261.11</v>
      </c>
      <c r="G3907" s="8" t="n">
        <f aca="false">IFERROR(INDEX('TRANS'!$B:$B,MATCH($B3907,'TRANS'!$A:$A,0)),IFERROR(INDEX('TRANS'!$B:$B,MATCH(TRIM(SUBSTITUTE($B3907,CHAR(160)," ")),'TRANS'!$D:$D,0)),IFERROR(INDEX('Catalog'!$A:$A,MATCH($B3907,'Catalog'!$B:$B,0)),IFERROR(INDEX('Catalog'!$A:$A,MATCH(TRIM(SUBSTITUTE($B3907,CHAR(160)," ")),'Catalog'!$C:$C,0)),""))))</f>
        <v>4413348</v>
      </c>
      <c r="H3907" s="8" t="str">
        <f aca="false">IFERROR(INDEX('TRANS'!$C:$C,MATCH($B3907,'TRANS'!$A:$A,0)),IFERROR(INDEX('Catalog'!$B:$B,MATCH($G3907,'Catalog'!$A:$A,0)),$B3907))</f>
        <v>302 מדרס ג'ל לגבר</v>
      </c>
      <c r="I3907" s="8" t="str">
        <f aca="false">IF($G3907="","Unmatched","Matched")</f>
        <v>Matched</v>
      </c>
      <c r="J3907" s="8" t="n">
        <f aca="false">IF($G3907&lt;&gt;"",$G3907,$B3907)</f>
        <v>4413348</v>
      </c>
      <c r="K3907" s="8" t="str">
        <f aca="false">IF(COUNTIF($M$1:$M$10,$A3907)&gt;0,"Y","N")</f>
        <v>N</v>
      </c>
    </row>
    <row r="3908" customFormat="false" ht="15" hidden="false" customHeight="true" outlineLevel="0" collapsed="false">
      <c r="A3908" s="8" t="s">
        <v>1106</v>
      </c>
      <c r="B3908" s="8" t="s">
        <v>596</v>
      </c>
      <c r="C3908" s="19" t="n">
        <v>10</v>
      </c>
      <c r="D3908" s="19" t="n">
        <v>277.38</v>
      </c>
      <c r="E3908" s="19" t="n">
        <v>10</v>
      </c>
      <c r="F3908" s="19" t="n">
        <v>244.48</v>
      </c>
      <c r="G3908" s="8" t="n">
        <f aca="false">IFERROR(INDEX('TRANS'!$B:$B,MATCH($B3908,'TRANS'!$A:$A,0)),IFERROR(INDEX('TRANS'!$B:$B,MATCH(TRIM(SUBSTITUTE($B3908,CHAR(160)," ")),'TRANS'!$D:$D,0)),IFERROR(INDEX('Catalog'!$A:$A,MATCH($B3908,'Catalog'!$B:$B,0)),IFERROR(INDEX('Catalog'!$A:$A,MATCH(TRIM(SUBSTITUTE($B3908,CHAR(160)," ")),'Catalog'!$C:$C,0)),""))))</f>
        <v>4413372</v>
      </c>
      <c r="H3908" s="8" t="str">
        <f aca="false">IFERROR(INDEX('TRANS'!$C:$C,MATCH($B3908,'TRANS'!$A:$A,0)),IFERROR(INDEX('Catalog'!$B:$B,MATCH($G3908,'Catalog'!$A:$A,0)),$B3908))</f>
        <v>302 W מדרס לאישה</v>
      </c>
      <c r="I3908" s="8" t="str">
        <f aca="false">IF($G3908="","Unmatched","Matched")</f>
        <v>Matched</v>
      </c>
      <c r="J3908" s="8" t="n">
        <f aca="false">IF($G3908&lt;&gt;"",$G3908,$B3908)</f>
        <v>4413372</v>
      </c>
      <c r="K3908" s="8" t="str">
        <f aca="false">IF(COUNTIF($M$1:$M$10,$A3908)&gt;0,"Y","N")</f>
        <v>N</v>
      </c>
    </row>
    <row r="3909" customFormat="false" ht="15" hidden="false" customHeight="true" outlineLevel="0" collapsed="false">
      <c r="A3909" s="8" t="s">
        <v>1106</v>
      </c>
      <c r="B3909" s="8" t="s">
        <v>601</v>
      </c>
      <c r="C3909" s="19" t="n">
        <v>25</v>
      </c>
      <c r="D3909" s="19" t="n">
        <v>764.19</v>
      </c>
      <c r="E3909" s="19" t="n">
        <v>25</v>
      </c>
      <c r="F3909" s="19" t="n">
        <v>652.79</v>
      </c>
      <c r="G3909" s="8" t="n">
        <f aca="false">IFERROR(INDEX('TRANS'!$B:$B,MATCH($B3909,'TRANS'!$A:$A,0)),IFERROR(INDEX('TRANS'!$B:$B,MATCH(TRIM(SUBSTITUTE($B3909,CHAR(160)," ")),'TRANS'!$D:$D,0)),IFERROR(INDEX('Catalog'!$A:$A,MATCH($B3909,'Catalog'!$B:$B,0)),IFERROR(INDEX('Catalog'!$A:$A,MATCH(TRIM(SUBSTITUTE($B3909,CHAR(160)," ")),'Catalog'!$C:$C,0)),""))))</f>
        <v>4416000</v>
      </c>
      <c r="H3909" s="8" t="str">
        <f aca="false">IFERROR(INDEX('TRANS'!$C:$C,MATCH($B3909,'TRANS'!$A:$A,0)),IFERROR(INDEX('Catalog'!$B:$B,MATCH($G3909,'Catalog'!$A:$A,0)),$B3909))</f>
        <v>307 L עקבים לדורבן-זוג כריות</v>
      </c>
      <c r="I3909" s="8" t="str">
        <f aca="false">IF($G3909="","Unmatched","Matched")</f>
        <v>Matched</v>
      </c>
      <c r="J3909" s="8" t="n">
        <f aca="false">IF($G3909&lt;&gt;"",$G3909,$B3909)</f>
        <v>4416000</v>
      </c>
      <c r="K3909" s="8" t="str">
        <f aca="false">IF(COUNTIF($M$1:$M$10,$A3909)&gt;0,"Y","N")</f>
        <v>N</v>
      </c>
    </row>
    <row r="3910" customFormat="false" ht="15" hidden="false" customHeight="true" outlineLevel="0" collapsed="false">
      <c r="A3910" s="8" t="s">
        <v>1106</v>
      </c>
      <c r="B3910" s="8" t="s">
        <v>602</v>
      </c>
      <c r="C3910" s="19" t="n">
        <v>45</v>
      </c>
      <c r="D3910" s="19" t="n">
        <v>1380.26</v>
      </c>
      <c r="E3910" s="19" t="n">
        <v>40</v>
      </c>
      <c r="F3910" s="19" t="n">
        <v>1044.46</v>
      </c>
      <c r="G3910" s="8" t="n">
        <f aca="false">IFERROR(INDEX('TRANS'!$B:$B,MATCH($B3910,'TRANS'!$A:$A,0)),IFERROR(INDEX('TRANS'!$B:$B,MATCH(TRIM(SUBSTITUTE($B3910,CHAR(160)," ")),'TRANS'!$D:$D,0)),IFERROR(INDEX('Catalog'!$A:$A,MATCH($B3910,'Catalog'!$B:$B,0)),IFERROR(INDEX('Catalog'!$A:$A,MATCH(TRIM(SUBSTITUTE($B3910,CHAR(160)," ")),'Catalog'!$C:$C,0)),""))))</f>
        <v>4416001</v>
      </c>
      <c r="H3910" s="8" t="str">
        <f aca="false">IFERROR(INDEX('TRANS'!$C:$C,MATCH($B3910,'TRANS'!$A:$A,0)),IFERROR(INDEX('Catalog'!$B:$B,MATCH($G3910,'Catalog'!$A:$A,0)),$B3910))</f>
        <v>307 M עקבים לדורבן-זוג כריות</v>
      </c>
      <c r="I3910" s="8" t="str">
        <f aca="false">IF($G3910="","Unmatched","Matched")</f>
        <v>Matched</v>
      </c>
      <c r="J3910" s="8" t="n">
        <f aca="false">IF($G3910&lt;&gt;"",$G3910,$B3910)</f>
        <v>4416001</v>
      </c>
      <c r="K3910" s="8" t="str">
        <f aca="false">IF(COUNTIF($M$1:$M$10,$A3910)&gt;0,"Y","N")</f>
        <v>N</v>
      </c>
    </row>
    <row r="3911" customFormat="false" ht="15" hidden="false" customHeight="true" outlineLevel="0" collapsed="false">
      <c r="A3911" s="8" t="s">
        <v>1106</v>
      </c>
      <c r="B3911" s="8" t="s">
        <v>960</v>
      </c>
      <c r="C3911" s="19" t="n">
        <v>20</v>
      </c>
      <c r="D3911" s="19" t="n">
        <v>592.5</v>
      </c>
      <c r="E3911" s="19" t="n">
        <v>10</v>
      </c>
      <c r="F3911" s="19" t="n">
        <v>261.11</v>
      </c>
      <c r="G3911" s="8" t="n">
        <f aca="false">IFERROR(INDEX('TRANS'!$B:$B,MATCH($B3911,'TRANS'!$A:$A,0)),IFERROR(INDEX('TRANS'!$B:$B,MATCH(TRIM(SUBSTITUTE($B3911,CHAR(160)," ")),'TRANS'!$D:$D,0)),IFERROR(INDEX('Catalog'!$A:$A,MATCH($B3911,'Catalog'!$B:$B,0)),IFERROR(INDEX('Catalog'!$A:$A,MATCH(TRIM(SUBSTITUTE($B3911,CHAR(160)," ")),'Catalog'!$C:$C,0)),""))))</f>
        <v>4416002</v>
      </c>
      <c r="H3911" s="8" t="str">
        <f aca="false">IFERROR(INDEX('TRANS'!$C:$C,MATCH($B3911,'TRANS'!$A:$A,0)),IFERROR(INDEX('Catalog'!$B:$B,MATCH($G3911,'Catalog'!$A:$A,0)),$B3911))</f>
        <v>307 S עקבים לדורבן-זוג כריות</v>
      </c>
      <c r="I3911" s="8" t="str">
        <f aca="false">IF($G3911="","Unmatched","Matched")</f>
        <v>Matched</v>
      </c>
      <c r="J3911" s="8" t="n">
        <f aca="false">IF($G3911&lt;&gt;"",$G3911,$B3911)</f>
        <v>4416002</v>
      </c>
      <c r="K3911" s="8" t="str">
        <f aca="false">IF(COUNTIF($M$1:$M$10,$A3911)&gt;0,"Y","N")</f>
        <v>N</v>
      </c>
    </row>
    <row r="3912" customFormat="false" ht="15" hidden="false" customHeight="true" outlineLevel="0" collapsed="false">
      <c r="A3912" s="8" t="s">
        <v>1106</v>
      </c>
      <c r="B3912" s="8" t="s">
        <v>909</v>
      </c>
      <c r="C3912" s="19" t="n">
        <v>20</v>
      </c>
      <c r="D3912" s="19" t="n">
        <v>515.23</v>
      </c>
      <c r="E3912" s="19" t="n">
        <v>0</v>
      </c>
      <c r="F3912" s="19" t="n">
        <v>0</v>
      </c>
      <c r="G3912" s="8" t="n">
        <f aca="false">IFERROR(INDEX('TRANS'!$B:$B,MATCH($B3912,'TRANS'!$A:$A,0)),IFERROR(INDEX('TRANS'!$B:$B,MATCH(TRIM(SUBSTITUTE($B3912,CHAR(160)," ")),'TRANS'!$D:$D,0)),IFERROR(INDEX('Catalog'!$A:$A,MATCH($B3912,'Catalog'!$B:$B,0)),IFERROR(INDEX('Catalog'!$A:$A,MATCH(TRIM(SUBSTITUTE($B3912,CHAR(160)," ")),'Catalog'!$C:$C,0)),""))))</f>
        <v>4416003</v>
      </c>
      <c r="H3912" s="8" t="str">
        <f aca="false">IFERROR(INDEX('TRANS'!$C:$C,MATCH($B3912,'TRANS'!$A:$A,0)),IFERROR(INDEX('Catalog'!$B:$B,MATCH($G3912,'Catalog'!$A:$A,0)),$B3912))</f>
        <v>308 Lעקבים סיליקון כחול לדורבן</v>
      </c>
      <c r="I3912" s="8" t="str">
        <f aca="false">IF($G3912="","Unmatched","Matched")</f>
        <v>Matched</v>
      </c>
      <c r="J3912" s="8" t="n">
        <f aca="false">IF($G3912&lt;&gt;"",$G3912,$B3912)</f>
        <v>4416003</v>
      </c>
      <c r="K3912" s="8" t="str">
        <f aca="false">IF(COUNTIF($M$1:$M$10,$A3912)&gt;0,"Y","N")</f>
        <v>N</v>
      </c>
    </row>
    <row r="3913" customFormat="false" ht="15" hidden="false" customHeight="true" outlineLevel="0" collapsed="false">
      <c r="A3913" s="8" t="s">
        <v>1106</v>
      </c>
      <c r="B3913" s="8" t="s">
        <v>604</v>
      </c>
      <c r="C3913" s="19" t="n">
        <v>25</v>
      </c>
      <c r="D3913" s="19" t="n">
        <v>647.37</v>
      </c>
      <c r="E3913" s="19" t="n">
        <v>15</v>
      </c>
      <c r="F3913" s="19" t="n">
        <v>331.8</v>
      </c>
      <c r="G3913" s="8" t="n">
        <f aca="false">IFERROR(INDEX('TRANS'!$B:$B,MATCH($B3913,'TRANS'!$A:$A,0)),IFERROR(INDEX('TRANS'!$B:$B,MATCH(TRIM(SUBSTITUTE($B3913,CHAR(160)," ")),'TRANS'!$D:$D,0)),IFERROR(INDEX('Catalog'!$A:$A,MATCH($B3913,'Catalog'!$B:$B,0)),IFERROR(INDEX('Catalog'!$A:$A,MATCH(TRIM(SUBSTITUTE($B3913,CHAR(160)," ")),'Catalog'!$C:$C,0)),""))))</f>
        <v>4416005</v>
      </c>
      <c r="H3913" s="8" t="str">
        <f aca="false">IFERROR(INDEX('TRANS'!$C:$C,MATCH($B3913,'TRANS'!$A:$A,0)),IFERROR(INDEX('Catalog'!$B:$B,MATCH($G3913,'Catalog'!$A:$A,0)),$B3913))</f>
        <v>308 Mעקבים סיליק.כחול לדורבן</v>
      </c>
      <c r="I3913" s="8" t="str">
        <f aca="false">IF($G3913="","Unmatched","Matched")</f>
        <v>Matched</v>
      </c>
      <c r="J3913" s="8" t="n">
        <f aca="false">IF($G3913&lt;&gt;"",$G3913,$B3913)</f>
        <v>4416005</v>
      </c>
      <c r="K3913" s="8" t="str">
        <f aca="false">IF(COUNTIF($M$1:$M$10,$A3913)&gt;0,"Y","N")</f>
        <v>N</v>
      </c>
    </row>
    <row r="3914" customFormat="false" ht="15" hidden="false" customHeight="true" outlineLevel="0" collapsed="false">
      <c r="A3914" s="8" t="s">
        <v>1106</v>
      </c>
      <c r="B3914" s="8" t="s">
        <v>606</v>
      </c>
      <c r="C3914" s="19" t="n">
        <v>10</v>
      </c>
      <c r="D3914" s="19" t="n">
        <v>79.25</v>
      </c>
      <c r="E3914" s="19" t="n">
        <v>10</v>
      </c>
      <c r="F3914" s="19" t="n">
        <v>69.85</v>
      </c>
      <c r="G3914" s="8" t="n">
        <f aca="false">IFERROR(INDEX('TRANS'!$B:$B,MATCH($B3914,'TRANS'!$A:$A,0)),IFERROR(INDEX('TRANS'!$B:$B,MATCH(TRIM(SUBSTITUTE($B3914,CHAR(160)," ")),'TRANS'!$D:$D,0)),IFERROR(INDEX('Catalog'!$A:$A,MATCH($B3914,'Catalog'!$B:$B,0)),IFERROR(INDEX('Catalog'!$A:$A,MATCH(TRIM(SUBSTITUTE($B3914,CHAR(160)," ")),'Catalog'!$C:$C,0)),""))))</f>
        <v>4413034</v>
      </c>
      <c r="H3914" s="8" t="str">
        <f aca="false">IFERROR(INDEX('TRANS'!$C:$C,MATCH($B3914,'TRANS'!$A:$A,0)),IFERROR(INDEX('Catalog'!$B:$B,MATCH($G3914,'Catalog'!$A:$A,0)),$B3914))</f>
        <v>312 9 מ""""ס להתאמהX5 מדבקה גדולה</v>
      </c>
      <c r="I3914" s="8" t="str">
        <f aca="false">IF($G3914="","Unmatched","Matched")</f>
        <v>Matched</v>
      </c>
      <c r="J3914" s="8" t="n">
        <f aca="false">IF($G3914&lt;&gt;"",$G3914,$B3914)</f>
        <v>4413034</v>
      </c>
      <c r="K3914" s="8" t="str">
        <f aca="false">IF(COUNTIF($M$1:$M$10,$A3914)&gt;0,"Y","N")</f>
        <v>N</v>
      </c>
    </row>
    <row r="3915" customFormat="false" ht="15" hidden="false" customHeight="true" outlineLevel="0" collapsed="false">
      <c r="A3915" s="8" t="s">
        <v>1106</v>
      </c>
      <c r="B3915" s="8" t="s">
        <v>207</v>
      </c>
      <c r="C3915" s="19" t="n">
        <v>0</v>
      </c>
      <c r="D3915" s="19" t="n">
        <v>0</v>
      </c>
      <c r="E3915" s="19" t="n">
        <v>8</v>
      </c>
      <c r="F3915" s="19" t="n">
        <v>493.62</v>
      </c>
      <c r="G3915" s="8" t="str">
        <f aca="false">IFERROR(INDEX('TRANS'!$B:$B,MATCH($B3915,'TRANS'!$A:$A,0)),IFERROR(INDEX('TRANS'!$B:$B,MATCH(TRIM(SUBSTITUTE($B3915,CHAR(160)," ")),'TRANS'!$D:$D,0)),IFERROR(INDEX('Catalog'!$A:$A,MATCH($B3915,'Catalog'!$B:$B,0)),IFERROR(INDEX('Catalog'!$A:$A,MATCH(TRIM(SUBSTITUTE($B3915,CHAR(160)," ")),'Catalog'!$C:$C,0)),""))))</f>
        <v/>
      </c>
      <c r="H3915" s="8" t="str">
        <f aca="false">IFERROR(INDEX('TRANS'!$C:$C,MATCH($B3915,'TRANS'!$A:$A,0)),IFERROR(INDEX('Catalog'!$B:$B,MATCH($G3915,'Catalog'!$A:$A,0)),$B3915))</f>
        <v>332B L</v>
      </c>
      <c r="I3915" s="8" t="str">
        <f aca="false">IF($G3915="","Unmatched","Matched")</f>
        <v>Unmatched</v>
      </c>
      <c r="J3915" s="8" t="str">
        <f aca="false">IF($G3915&lt;&gt;"",$G3915,$B3915)</f>
        <v>332B L</v>
      </c>
      <c r="K3915" s="8" t="str">
        <f aca="false">IF(COUNTIF($M$1:$M$10,$A3915)&gt;0,"Y","N")</f>
        <v>N</v>
      </c>
    </row>
    <row r="3916" customFormat="false" ht="15" hidden="false" customHeight="true" outlineLevel="0" collapsed="false">
      <c r="A3916" s="8" t="s">
        <v>1106</v>
      </c>
      <c r="B3916" s="8" t="s">
        <v>277</v>
      </c>
      <c r="C3916" s="19" t="n">
        <v>0</v>
      </c>
      <c r="D3916" s="19" t="n">
        <v>0</v>
      </c>
      <c r="E3916" s="19" t="n">
        <v>8</v>
      </c>
      <c r="F3916" s="19" t="n">
        <v>493.62</v>
      </c>
      <c r="G3916" s="8" t="str">
        <f aca="false">IFERROR(INDEX('TRANS'!$B:$B,MATCH($B3916,'TRANS'!$A:$A,0)),IFERROR(INDEX('TRANS'!$B:$B,MATCH(TRIM(SUBSTITUTE($B3916,CHAR(160)," ")),'TRANS'!$D:$D,0)),IFERROR(INDEX('Catalog'!$A:$A,MATCH($B3916,'Catalog'!$B:$B,0)),IFERROR(INDEX('Catalog'!$A:$A,MATCH(TRIM(SUBSTITUTE($B3916,CHAR(160)," ")),'Catalog'!$C:$C,0)),""))))</f>
        <v/>
      </c>
      <c r="H3916" s="8" t="str">
        <f aca="false">IFERROR(INDEX('TRANS'!$C:$C,MATCH($B3916,'TRANS'!$A:$A,0)),IFERROR(INDEX('Catalog'!$B:$B,MATCH($G3916,'Catalog'!$A:$A,0)),$B3916))</f>
        <v>332B M</v>
      </c>
      <c r="I3916" s="8" t="str">
        <f aca="false">IF($G3916="","Unmatched","Matched")</f>
        <v>Unmatched</v>
      </c>
      <c r="J3916" s="8" t="str">
        <f aca="false">IF($G3916&lt;&gt;"",$G3916,$B3916)</f>
        <v>332B M</v>
      </c>
      <c r="K3916" s="8" t="str">
        <f aca="false">IF(COUNTIF($M$1:$M$10,$A3916)&gt;0,"Y","N")</f>
        <v>N</v>
      </c>
    </row>
    <row r="3917" customFormat="false" ht="15" hidden="false" customHeight="true" outlineLevel="0" collapsed="false">
      <c r="A3917" s="8" t="s">
        <v>1106</v>
      </c>
      <c r="B3917" s="8" t="s">
        <v>251</v>
      </c>
      <c r="C3917" s="19" t="n">
        <v>0</v>
      </c>
      <c r="D3917" s="19" t="n">
        <v>0</v>
      </c>
      <c r="E3917" s="19" t="n">
        <v>4</v>
      </c>
      <c r="F3917" s="19" t="n">
        <v>246.81</v>
      </c>
      <c r="G3917" s="8" t="str">
        <f aca="false">IFERROR(INDEX('TRANS'!$B:$B,MATCH($B3917,'TRANS'!$A:$A,0)),IFERROR(INDEX('TRANS'!$B:$B,MATCH(TRIM(SUBSTITUTE($B3917,CHAR(160)," ")),'TRANS'!$D:$D,0)),IFERROR(INDEX('Catalog'!$A:$A,MATCH($B3917,'Catalog'!$B:$B,0)),IFERROR(INDEX('Catalog'!$A:$A,MATCH(TRIM(SUBSTITUTE($B3917,CHAR(160)," ")),'Catalog'!$C:$C,0)),""))))</f>
        <v/>
      </c>
      <c r="H3917" s="8" t="str">
        <f aca="false">IFERROR(INDEX('TRANS'!$C:$C,MATCH($B3917,'TRANS'!$A:$A,0)),IFERROR(INDEX('Catalog'!$B:$B,MATCH($G3917,'Catalog'!$A:$A,0)),$B3917))</f>
        <v>332B S</v>
      </c>
      <c r="I3917" s="8" t="str">
        <f aca="false">IF($G3917="","Unmatched","Matched")</f>
        <v>Unmatched</v>
      </c>
      <c r="J3917" s="8" t="str">
        <f aca="false">IF($G3917&lt;&gt;"",$G3917,$B3917)</f>
        <v>332B S</v>
      </c>
      <c r="K3917" s="8" t="str">
        <f aca="false">IF(COUNTIF($M$1:$M$10,$A3917)&gt;0,"Y","N")</f>
        <v>N</v>
      </c>
    </row>
    <row r="3918" customFormat="false" ht="15" hidden="false" customHeight="true" outlineLevel="0" collapsed="false">
      <c r="A3918" s="8" t="s">
        <v>1106</v>
      </c>
      <c r="B3918" s="8" t="s">
        <v>192</v>
      </c>
      <c r="C3918" s="19" t="n">
        <v>0</v>
      </c>
      <c r="D3918" s="19" t="n">
        <v>0</v>
      </c>
      <c r="E3918" s="19" t="n">
        <v>2</v>
      </c>
      <c r="F3918" s="19" t="n">
        <v>123.41</v>
      </c>
      <c r="G3918" s="8" t="str">
        <f aca="false">IFERROR(INDEX('TRANS'!$B:$B,MATCH($B3918,'TRANS'!$A:$A,0)),IFERROR(INDEX('TRANS'!$B:$B,MATCH(TRIM(SUBSTITUTE($B3918,CHAR(160)," ")),'TRANS'!$D:$D,0)),IFERROR(INDEX('Catalog'!$A:$A,MATCH($B3918,'Catalog'!$B:$B,0)),IFERROR(INDEX('Catalog'!$A:$A,MATCH(TRIM(SUBSTITUTE($B3918,CHAR(160)," ")),'Catalog'!$C:$C,0)),""))))</f>
        <v/>
      </c>
      <c r="H3918" s="8" t="str">
        <f aca="false">IFERROR(INDEX('TRANS'!$C:$C,MATCH($B3918,'TRANS'!$A:$A,0)),IFERROR(INDEX('Catalog'!$B:$B,MATCH($G3918,'Catalog'!$A:$A,0)),$B3918))</f>
        <v>332B XL</v>
      </c>
      <c r="I3918" s="8" t="str">
        <f aca="false">IF($G3918="","Unmatched","Matched")</f>
        <v>Unmatched</v>
      </c>
      <c r="J3918" s="8" t="str">
        <f aca="false">IF($G3918&lt;&gt;"",$G3918,$B3918)</f>
        <v>332B XL</v>
      </c>
      <c r="K3918" s="8" t="str">
        <f aca="false">IF(COUNTIF($M$1:$M$10,$A3918)&gt;0,"Y","N")</f>
        <v>N</v>
      </c>
    </row>
    <row r="3919" customFormat="false" ht="15" hidden="false" customHeight="true" outlineLevel="0" collapsed="false">
      <c r="A3919" s="8" t="s">
        <v>1106</v>
      </c>
      <c r="B3919" s="8" t="s">
        <v>278</v>
      </c>
      <c r="C3919" s="19" t="n">
        <v>0</v>
      </c>
      <c r="D3919" s="19" t="n">
        <v>0</v>
      </c>
      <c r="E3919" s="19" t="n">
        <v>4</v>
      </c>
      <c r="F3919" s="19" t="n">
        <v>246.81</v>
      </c>
      <c r="G3919" s="8" t="str">
        <f aca="false">IFERROR(INDEX('TRANS'!$B:$B,MATCH($B3919,'TRANS'!$A:$A,0)),IFERROR(INDEX('TRANS'!$B:$B,MATCH(TRIM(SUBSTITUTE($B3919,CHAR(160)," ")),'TRANS'!$D:$D,0)),IFERROR(INDEX('Catalog'!$A:$A,MATCH($B3919,'Catalog'!$B:$B,0)),IFERROR(INDEX('Catalog'!$A:$A,MATCH(TRIM(SUBSTITUTE($B3919,CHAR(160)," ")),'Catalog'!$C:$C,0)),""))))</f>
        <v/>
      </c>
      <c r="H3919" s="8" t="str">
        <f aca="false">IFERROR(INDEX('TRANS'!$C:$C,MATCH($B3919,'TRANS'!$A:$A,0)),IFERROR(INDEX('Catalog'!$B:$B,MATCH($G3919,'Catalog'!$A:$A,0)),$B3919))</f>
        <v>332B XXL</v>
      </c>
      <c r="I3919" s="8" t="str">
        <f aca="false">IF($G3919="","Unmatched","Matched")</f>
        <v>Unmatched</v>
      </c>
      <c r="J3919" s="8" t="str">
        <f aca="false">IF($G3919&lt;&gt;"",$G3919,$B3919)</f>
        <v>332B XXL</v>
      </c>
      <c r="K3919" s="8" t="str">
        <f aca="false">IF(COUNTIF($M$1:$M$10,$A3919)&gt;0,"Y","N")</f>
        <v>N</v>
      </c>
    </row>
    <row r="3920" customFormat="false" ht="15" hidden="false" customHeight="true" outlineLevel="0" collapsed="false">
      <c r="A3920" s="8" t="s">
        <v>1106</v>
      </c>
      <c r="B3920" s="8" t="s">
        <v>615</v>
      </c>
      <c r="C3920" s="19" t="n">
        <v>25</v>
      </c>
      <c r="D3920" s="19" t="n">
        <v>298.68</v>
      </c>
      <c r="E3920" s="19" t="n">
        <v>0</v>
      </c>
      <c r="F3920" s="19" t="n">
        <v>0</v>
      </c>
      <c r="G3920" s="8" t="n">
        <f aca="false">IFERROR(INDEX('TRANS'!$B:$B,MATCH($B3920,'TRANS'!$A:$A,0)),IFERROR(INDEX('TRANS'!$B:$B,MATCH(TRIM(SUBSTITUTE($B3920,CHAR(160)," ")),'TRANS'!$D:$D,0)),IFERROR(INDEX('Catalog'!$A:$A,MATCH($B3920,'Catalog'!$B:$B,0)),IFERROR(INDEX('Catalog'!$A:$A,MATCH(TRIM(SUBSTITUTE($B3920,CHAR(160)," ")),'Catalog'!$C:$C,0)),""))))</f>
        <v>4413490</v>
      </c>
      <c r="H3920" s="8" t="str">
        <f aca="false">IFERROR(INDEX('TRANS'!$C:$C,MATCH($B3920,'TRANS'!$A:$A,0)),IFERROR(INDEX('Catalog'!$B:$B,MATCH($G3920,'Catalog'!$A:$A,0)),$B3920))</f>
        <v>35B L מגן קרסול שחור</v>
      </c>
      <c r="I3920" s="8" t="str">
        <f aca="false">IF($G3920="","Unmatched","Matched")</f>
        <v>Matched</v>
      </c>
      <c r="J3920" s="8" t="n">
        <f aca="false">IF($G3920&lt;&gt;"",$G3920,$B3920)</f>
        <v>4413490</v>
      </c>
      <c r="K3920" s="8" t="str">
        <f aca="false">IF(COUNTIF($M$1:$M$10,$A3920)&gt;0,"Y","N")</f>
        <v>N</v>
      </c>
    </row>
    <row r="3921" customFormat="false" ht="15" hidden="false" customHeight="true" outlineLevel="0" collapsed="false">
      <c r="A3921" s="8" t="s">
        <v>1106</v>
      </c>
      <c r="B3921" s="8" t="s">
        <v>616</v>
      </c>
      <c r="C3921" s="19" t="n">
        <v>20</v>
      </c>
      <c r="D3921" s="19" t="n">
        <v>240.18</v>
      </c>
      <c r="E3921" s="19" t="n">
        <v>10</v>
      </c>
      <c r="F3921" s="19" t="n">
        <v>103.12</v>
      </c>
      <c r="G3921" s="8" t="n">
        <f aca="false">IFERROR(INDEX('TRANS'!$B:$B,MATCH($B3921,'TRANS'!$A:$A,0)),IFERROR(INDEX('TRANS'!$B:$B,MATCH(TRIM(SUBSTITUTE($B3921,CHAR(160)," ")),'TRANS'!$D:$D,0)),IFERROR(INDEX('Catalog'!$A:$A,MATCH($B3921,'Catalog'!$B:$B,0)),IFERROR(INDEX('Catalog'!$A:$A,MATCH(TRIM(SUBSTITUTE($B3921,CHAR(160)," ")),'Catalog'!$C:$C,0)),""))))</f>
        <v>4413492</v>
      </c>
      <c r="H3921" s="8" t="str">
        <f aca="false">IFERROR(INDEX('TRANS'!$C:$C,MATCH($B3921,'TRANS'!$A:$A,0)),IFERROR(INDEX('Catalog'!$B:$B,MATCH($G3921,'Catalog'!$A:$A,0)),$B3921))</f>
        <v>35B M מגן קרסול שחור</v>
      </c>
      <c r="I3921" s="8" t="str">
        <f aca="false">IF($G3921="","Unmatched","Matched")</f>
        <v>Matched</v>
      </c>
      <c r="J3921" s="8" t="n">
        <f aca="false">IF($G3921&lt;&gt;"",$G3921,$B3921)</f>
        <v>4413492</v>
      </c>
      <c r="K3921" s="8" t="str">
        <f aca="false">IF(COUNTIF($M$1:$M$10,$A3921)&gt;0,"Y","N")</f>
        <v>N</v>
      </c>
    </row>
    <row r="3922" customFormat="false" ht="15" hidden="false" customHeight="true" outlineLevel="0" collapsed="false">
      <c r="A3922" s="8" t="s">
        <v>1106</v>
      </c>
      <c r="B3922" s="8" t="s">
        <v>617</v>
      </c>
      <c r="C3922" s="19" t="n">
        <v>17</v>
      </c>
      <c r="D3922" s="19" t="n">
        <v>205.08</v>
      </c>
      <c r="E3922" s="19" t="n">
        <v>4</v>
      </c>
      <c r="F3922" s="19" t="n">
        <v>41.25</v>
      </c>
      <c r="G3922" s="8" t="n">
        <f aca="false">IFERROR(INDEX('TRANS'!$B:$B,MATCH($B3922,'TRANS'!$A:$A,0)),IFERROR(INDEX('TRANS'!$B:$B,MATCH(TRIM(SUBSTITUTE($B3922,CHAR(160)," ")),'TRANS'!$D:$D,0)),IFERROR(INDEX('Catalog'!$A:$A,MATCH($B3922,'Catalog'!$B:$B,0)),IFERROR(INDEX('Catalog'!$A:$A,MATCH(TRIM(SUBSTITUTE($B3922,CHAR(160)," ")),'Catalog'!$C:$C,0)),""))))</f>
        <v>4413493</v>
      </c>
      <c r="H3922" s="8" t="str">
        <f aca="false">IFERROR(INDEX('TRANS'!$C:$C,MATCH($B3922,'TRANS'!$A:$A,0)),IFERROR(INDEX('Catalog'!$B:$B,MATCH($G3922,'Catalog'!$A:$A,0)),$B3922))</f>
        <v>35B S מגן קרסול שחור</v>
      </c>
      <c r="I3922" s="8" t="str">
        <f aca="false">IF($G3922="","Unmatched","Matched")</f>
        <v>Matched</v>
      </c>
      <c r="J3922" s="8" t="n">
        <f aca="false">IF($G3922&lt;&gt;"",$G3922,$B3922)</f>
        <v>4413493</v>
      </c>
      <c r="K3922" s="8" t="str">
        <f aca="false">IF(COUNTIF($M$1:$M$10,$A3922)&gt;0,"Y","N")</f>
        <v>N</v>
      </c>
    </row>
    <row r="3923" customFormat="false" ht="15" hidden="false" customHeight="true" outlineLevel="0" collapsed="false">
      <c r="A3923" s="8" t="s">
        <v>1106</v>
      </c>
      <c r="B3923" s="8" t="s">
        <v>618</v>
      </c>
      <c r="C3923" s="19" t="n">
        <v>20</v>
      </c>
      <c r="D3923" s="19" t="n">
        <v>240.18</v>
      </c>
      <c r="E3923" s="19" t="n">
        <v>0</v>
      </c>
      <c r="F3923" s="19" t="n">
        <v>0</v>
      </c>
      <c r="G3923" s="8" t="n">
        <f aca="false">IFERROR(INDEX('TRANS'!$B:$B,MATCH($B3923,'TRANS'!$A:$A,0)),IFERROR(INDEX('TRANS'!$B:$B,MATCH(TRIM(SUBSTITUTE($B3923,CHAR(160)," ")),'TRANS'!$D:$D,0)),IFERROR(INDEX('Catalog'!$A:$A,MATCH($B3923,'Catalog'!$B:$B,0)),IFERROR(INDEX('Catalog'!$A:$A,MATCH(TRIM(SUBSTITUTE($B3923,CHAR(160)," ")),'Catalog'!$C:$C,0)),""))))</f>
        <v>4413491</v>
      </c>
      <c r="H3923" s="8" t="str">
        <f aca="false">IFERROR(INDEX('TRANS'!$C:$C,MATCH($B3923,'TRANS'!$A:$A,0)),IFERROR(INDEX('Catalog'!$B:$B,MATCH($G3923,'Catalog'!$A:$A,0)),$B3923))</f>
        <v>35B XL מגן קרסול שחור</v>
      </c>
      <c r="I3923" s="8" t="str">
        <f aca="false">IF($G3923="","Unmatched","Matched")</f>
        <v>Matched</v>
      </c>
      <c r="J3923" s="8" t="n">
        <f aca="false">IF($G3923&lt;&gt;"",$G3923,$B3923)</f>
        <v>4413491</v>
      </c>
      <c r="K3923" s="8" t="str">
        <f aca="false">IF(COUNTIF($M$1:$M$10,$A3923)&gt;0,"Y","N")</f>
        <v>N</v>
      </c>
    </row>
    <row r="3924" customFormat="false" ht="15" hidden="false" customHeight="true" outlineLevel="0" collapsed="false">
      <c r="A3924" s="8" t="s">
        <v>1106</v>
      </c>
      <c r="B3924" s="8" t="s">
        <v>619</v>
      </c>
      <c r="C3924" s="19" t="n">
        <v>0</v>
      </c>
      <c r="D3924" s="19" t="n">
        <v>0</v>
      </c>
      <c r="E3924" s="19" t="n">
        <v>9</v>
      </c>
      <c r="F3924" s="19" t="n">
        <v>92.8</v>
      </c>
      <c r="G3924" s="8" t="n">
        <f aca="false">IFERROR(INDEX('TRANS'!$B:$B,MATCH($B3924,'TRANS'!$A:$A,0)),IFERROR(INDEX('TRANS'!$B:$B,MATCH(TRIM(SUBSTITUTE($B3924,CHAR(160)," ")),'TRANS'!$D:$D,0)),IFERROR(INDEX('Catalog'!$A:$A,MATCH($B3924,'Catalog'!$B:$B,0)),IFERROR(INDEX('Catalog'!$A:$A,MATCH(TRIM(SUBSTITUTE($B3924,CHAR(160)," ")),'Catalog'!$C:$C,0)),""))))</f>
        <v>4413494</v>
      </c>
      <c r="H3924" s="8" t="str">
        <f aca="false">IFERROR(INDEX('TRANS'!$C:$C,MATCH($B3924,'TRANS'!$A:$A,0)),IFERROR(INDEX('Catalog'!$B:$B,MATCH($G3924,'Catalog'!$A:$A,0)),$B3924))</f>
        <v>35B XXL מגן קרסול שחור</v>
      </c>
      <c r="I3924" s="8" t="str">
        <f aca="false">IF($G3924="","Unmatched","Matched")</f>
        <v>Matched</v>
      </c>
      <c r="J3924" s="8" t="n">
        <f aca="false">IF($G3924&lt;&gt;"",$G3924,$B3924)</f>
        <v>4413494</v>
      </c>
      <c r="K3924" s="8" t="str">
        <f aca="false">IF(COUNTIF($M$1:$M$10,$A3924)&gt;0,"Y","N")</f>
        <v>N</v>
      </c>
    </row>
    <row r="3925" customFormat="false" ht="15" hidden="false" customHeight="true" outlineLevel="0" collapsed="false">
      <c r="A3925" s="8" t="s">
        <v>1106</v>
      </c>
      <c r="B3925" s="8" t="s">
        <v>620</v>
      </c>
      <c r="C3925" s="19" t="n">
        <v>10</v>
      </c>
      <c r="D3925" s="19" t="n">
        <v>117.23</v>
      </c>
      <c r="E3925" s="19" t="n">
        <v>0</v>
      </c>
      <c r="F3925" s="19" t="n">
        <v>0</v>
      </c>
      <c r="G3925" s="8" t="n">
        <f aca="false">IFERROR(INDEX('TRANS'!$B:$B,MATCH($B3925,'TRANS'!$A:$A,0)),IFERROR(INDEX('TRANS'!$B:$B,MATCH(TRIM(SUBSTITUTE($B3925,CHAR(160)," ")),'TRANS'!$D:$D,0)),IFERROR(INDEX('Catalog'!$A:$A,MATCH($B3925,'Catalog'!$B:$B,0)),IFERROR(INDEX('Catalog'!$A:$A,MATCH(TRIM(SUBSTITUTE($B3925,CHAR(160)," ")),'Catalog'!$C:$C,0)),""))))</f>
        <v>4413053</v>
      </c>
      <c r="H3925" s="8" t="str">
        <f aca="false">IFERROR(INDEX('TRANS'!$C:$C,MATCH($B3925,'TRANS'!$A:$A,0)),IFERROR(INDEX('Catalog'!$B:$B,MATCH($G3925,'Catalog'!$A:$A,0)),$B3925))</f>
        <v>35C L מגן קרסול חום</v>
      </c>
      <c r="I3925" s="8" t="str">
        <f aca="false">IF($G3925="","Unmatched","Matched")</f>
        <v>Matched</v>
      </c>
      <c r="J3925" s="8" t="n">
        <f aca="false">IF($G3925&lt;&gt;"",$G3925,$B3925)</f>
        <v>4413053</v>
      </c>
      <c r="K3925" s="8" t="str">
        <f aca="false">IF(COUNTIF($M$1:$M$10,$A3925)&gt;0,"Y","N")</f>
        <v>N</v>
      </c>
    </row>
    <row r="3926" customFormat="false" ht="15" hidden="false" customHeight="true" outlineLevel="0" collapsed="false">
      <c r="A3926" s="8" t="s">
        <v>1106</v>
      </c>
      <c r="B3926" s="8" t="s">
        <v>621</v>
      </c>
      <c r="C3926" s="19" t="n">
        <v>19</v>
      </c>
      <c r="D3926" s="19" t="n">
        <v>220.38</v>
      </c>
      <c r="E3926" s="19" t="n">
        <v>0</v>
      </c>
      <c r="F3926" s="19" t="n">
        <v>0</v>
      </c>
      <c r="G3926" s="8" t="n">
        <f aca="false">IFERROR(INDEX('TRANS'!$B:$B,MATCH($B3926,'TRANS'!$A:$A,0)),IFERROR(INDEX('TRANS'!$B:$B,MATCH(TRIM(SUBSTITUTE($B3926,CHAR(160)," ")),'TRANS'!$D:$D,0)),IFERROR(INDEX('Catalog'!$A:$A,MATCH($B3926,'Catalog'!$B:$B,0)),IFERROR(INDEX('Catalog'!$A:$A,MATCH(TRIM(SUBSTITUTE($B3926,CHAR(160)," ")),'Catalog'!$C:$C,0)),""))))</f>
        <v>4413054</v>
      </c>
      <c r="H3926" s="8" t="str">
        <f aca="false">IFERROR(INDEX('TRANS'!$C:$C,MATCH($B3926,'TRANS'!$A:$A,0)),IFERROR(INDEX('Catalog'!$B:$B,MATCH($G3926,'Catalog'!$A:$A,0)),$B3926))</f>
        <v>35C M מגן קרסול חום</v>
      </c>
      <c r="I3926" s="8" t="str">
        <f aca="false">IF($G3926="","Unmatched","Matched")</f>
        <v>Matched</v>
      </c>
      <c r="J3926" s="8" t="n">
        <f aca="false">IF($G3926&lt;&gt;"",$G3926,$B3926)</f>
        <v>4413054</v>
      </c>
      <c r="K3926" s="8" t="str">
        <f aca="false">IF(COUNTIF($M$1:$M$10,$A3926)&gt;0,"Y","N")</f>
        <v>N</v>
      </c>
    </row>
    <row r="3927" customFormat="false" ht="15" hidden="false" customHeight="true" outlineLevel="0" collapsed="false">
      <c r="A3927" s="8" t="s">
        <v>1106</v>
      </c>
      <c r="B3927" s="8" t="s">
        <v>622</v>
      </c>
      <c r="C3927" s="19" t="n">
        <v>8</v>
      </c>
      <c r="D3927" s="19" t="n">
        <v>92.61</v>
      </c>
      <c r="E3927" s="19" t="n">
        <v>6</v>
      </c>
      <c r="F3927" s="19" t="n">
        <v>58.88</v>
      </c>
      <c r="G3927" s="8" t="n">
        <f aca="false">IFERROR(INDEX('TRANS'!$B:$B,MATCH($B3927,'TRANS'!$A:$A,0)),IFERROR(INDEX('TRANS'!$B:$B,MATCH(TRIM(SUBSTITUTE($B3927,CHAR(160)," ")),'TRANS'!$D:$D,0)),IFERROR(INDEX('Catalog'!$A:$A,MATCH($B3927,'Catalog'!$B:$B,0)),IFERROR(INDEX('Catalog'!$A:$A,MATCH(TRIM(SUBSTITUTE($B3927,CHAR(160)," ")),'Catalog'!$C:$C,0)),""))))</f>
        <v>4413052</v>
      </c>
      <c r="H3927" s="8" t="str">
        <f aca="false">IFERROR(INDEX('TRANS'!$C:$C,MATCH($B3927,'TRANS'!$A:$A,0)),IFERROR(INDEX('Catalog'!$B:$B,MATCH($G3927,'Catalog'!$A:$A,0)),$B3927))</f>
        <v>35C S מגן קרסול חום</v>
      </c>
      <c r="I3927" s="8" t="str">
        <f aca="false">IF($G3927="","Unmatched","Matched")</f>
        <v>Matched</v>
      </c>
      <c r="J3927" s="8" t="n">
        <f aca="false">IF($G3927&lt;&gt;"",$G3927,$B3927)</f>
        <v>4413052</v>
      </c>
      <c r="K3927" s="8" t="str">
        <f aca="false">IF(COUNTIF($M$1:$M$10,$A3927)&gt;0,"Y","N")</f>
        <v>N</v>
      </c>
    </row>
    <row r="3928" customFormat="false" ht="15" hidden="false" customHeight="true" outlineLevel="0" collapsed="false">
      <c r="A3928" s="8" t="s">
        <v>1106</v>
      </c>
      <c r="B3928" s="8" t="s">
        <v>795</v>
      </c>
      <c r="C3928" s="19" t="n">
        <v>10</v>
      </c>
      <c r="D3928" s="19" t="n">
        <v>117.23</v>
      </c>
      <c r="E3928" s="19" t="n">
        <v>0</v>
      </c>
      <c r="F3928" s="19" t="n">
        <v>0</v>
      </c>
      <c r="G3928" s="8" t="n">
        <f aca="false">IFERROR(INDEX('TRANS'!$B:$B,MATCH($B3928,'TRANS'!$A:$A,0)),IFERROR(INDEX('TRANS'!$B:$B,MATCH(TRIM(SUBSTITUTE($B3928,CHAR(160)," ")),'TRANS'!$D:$D,0)),IFERROR(INDEX('Catalog'!$A:$A,MATCH($B3928,'Catalog'!$B:$B,0)),IFERROR(INDEX('Catalog'!$A:$A,MATCH(TRIM(SUBSTITUTE($B3928,CHAR(160)," ")),'Catalog'!$C:$C,0)),""))))</f>
        <v>4413055</v>
      </c>
      <c r="H3928" s="8" t="str">
        <f aca="false">IFERROR(INDEX('TRANS'!$C:$C,MATCH($B3928,'TRANS'!$A:$A,0)),IFERROR(INDEX('Catalog'!$B:$B,MATCH($G3928,'Catalog'!$A:$A,0)),$B3928))</f>
        <v>35C XL מגן קרסול חום</v>
      </c>
      <c r="I3928" s="8" t="str">
        <f aca="false">IF($G3928="","Unmatched","Matched")</f>
        <v>Matched</v>
      </c>
      <c r="J3928" s="8" t="n">
        <f aca="false">IF($G3928&lt;&gt;"",$G3928,$B3928)</f>
        <v>4413055</v>
      </c>
      <c r="K3928" s="8" t="str">
        <f aca="false">IF(COUNTIF($M$1:$M$10,$A3928)&gt;0,"Y","N")</f>
        <v>N</v>
      </c>
    </row>
    <row r="3929" customFormat="false" ht="15" hidden="false" customHeight="true" outlineLevel="0" collapsed="false">
      <c r="A3929" s="8" t="s">
        <v>1106</v>
      </c>
      <c r="B3929" s="8" t="s">
        <v>189</v>
      </c>
      <c r="C3929" s="19" t="n">
        <v>4</v>
      </c>
      <c r="D3929" s="19" t="n">
        <v>46.89</v>
      </c>
      <c r="E3929" s="19" t="n">
        <v>0</v>
      </c>
      <c r="F3929" s="19" t="n">
        <v>0</v>
      </c>
      <c r="G3929" s="8" t="str">
        <f aca="false">IFERROR(INDEX('TRANS'!$B:$B,MATCH($B3929,'TRANS'!$A:$A,0)),IFERROR(INDEX('TRANS'!$B:$B,MATCH(TRIM(SUBSTITUTE($B3929,CHAR(160)," ")),'TRANS'!$D:$D,0)),IFERROR(INDEX('Catalog'!$A:$A,MATCH($B3929,'Catalog'!$B:$B,0)),IFERROR(INDEX('Catalog'!$A:$A,MATCH(TRIM(SUBSTITUTE($B3929,CHAR(160)," ")),'Catalog'!$C:$C,0)),""))))</f>
        <v/>
      </c>
      <c r="H3929" s="8" t="str">
        <f aca="false">IFERROR(INDEX('TRANS'!$C:$C,MATCH($B3929,'TRANS'!$A:$A,0)),IFERROR(INDEX('Catalog'!$B:$B,MATCH($G3929,'Catalog'!$A:$A,0)),$B3929))</f>
        <v>35C XXL</v>
      </c>
      <c r="I3929" s="8" t="str">
        <f aca="false">IF($G3929="","Unmatched","Matched")</f>
        <v>Unmatched</v>
      </c>
      <c r="J3929" s="8" t="str">
        <f aca="false">IF($G3929&lt;&gt;"",$G3929,$B3929)</f>
        <v>35C XXL</v>
      </c>
      <c r="K3929" s="8" t="str">
        <f aca="false">IF(COUNTIF($M$1:$M$10,$A3929)&gt;0,"Y","N")</f>
        <v>N</v>
      </c>
    </row>
    <row r="3930" customFormat="false" ht="15" hidden="false" customHeight="true" outlineLevel="0" collapsed="false">
      <c r="A3930" s="8" t="s">
        <v>1106</v>
      </c>
      <c r="B3930" s="8" t="s">
        <v>623</v>
      </c>
      <c r="C3930" s="19" t="n">
        <v>10</v>
      </c>
      <c r="D3930" s="19" t="n">
        <v>282.15</v>
      </c>
      <c r="E3930" s="19" t="n">
        <v>5</v>
      </c>
      <c r="F3930" s="19" t="n">
        <v>118.08</v>
      </c>
      <c r="G3930" s="8" t="n">
        <f aca="false">IFERROR(INDEX('TRANS'!$B:$B,MATCH($B3930,'TRANS'!$A:$A,0)),IFERROR(INDEX('TRANS'!$B:$B,MATCH(TRIM(SUBSTITUTE($B3930,CHAR(160)," ")),'TRANS'!$D:$D,0)),IFERROR(INDEX('Catalog'!$A:$A,MATCH($B3930,'Catalog'!$B:$B,0)),IFERROR(INDEX('Catalog'!$A:$A,MATCH(TRIM(SUBSTITUTE($B3930,CHAR(160)," ")),'Catalog'!$C:$C,0)),""))))</f>
        <v>4421007</v>
      </c>
      <c r="H3930" s="8" t="str">
        <f aca="false">IFERROR(INDEX('TRANS'!$C:$C,MATCH($B3930,'TRANS'!$A:$A,0)),IFERROR(INDEX('Catalog'!$B:$B,MATCH($G3930,'Catalog'!$A:$A,0)),$B3930))</f>
        <v>שרוול לגבס קצר רגל</v>
      </c>
      <c r="I3930" s="8" t="str">
        <f aca="false">IF($G3930="","Unmatched","Matched")</f>
        <v>Matched</v>
      </c>
      <c r="J3930" s="8" t="n">
        <f aca="false">IF($G3930&lt;&gt;"",$G3930,$B3930)</f>
        <v>4421007</v>
      </c>
      <c r="K3930" s="8" t="str">
        <f aca="false">IF(COUNTIF($M$1:$M$10,$A3930)&gt;0,"Y","N")</f>
        <v>N</v>
      </c>
    </row>
    <row r="3931" customFormat="false" ht="15" hidden="false" customHeight="true" outlineLevel="0" collapsed="false">
      <c r="A3931" s="8" t="s">
        <v>1106</v>
      </c>
      <c r="B3931" s="8" t="s">
        <v>624</v>
      </c>
      <c r="C3931" s="19" t="n">
        <v>10</v>
      </c>
      <c r="D3931" s="19" t="n">
        <v>290.55</v>
      </c>
      <c r="E3931" s="19" t="n">
        <v>0</v>
      </c>
      <c r="F3931" s="19" t="n">
        <v>0</v>
      </c>
      <c r="G3931" s="8" t="n">
        <f aca="false">IFERROR(INDEX('TRANS'!$B:$B,MATCH($B3931,'TRANS'!$A:$A,0)),IFERROR(INDEX('TRANS'!$B:$B,MATCH(TRIM(SUBSTITUTE($B3931,CHAR(160)," ")),'TRANS'!$D:$D,0)),IFERROR(INDEX('Catalog'!$A:$A,MATCH($B3931,'Catalog'!$B:$B,0)),IFERROR(INDEX('Catalog'!$A:$A,MATCH(TRIM(SUBSTITUTE($B3931,CHAR(160)," ")),'Catalog'!$C:$C,0)),""))))</f>
        <v>4421008</v>
      </c>
      <c r="H3931" s="8" t="str">
        <f aca="false">IFERROR(INDEX('TRANS'!$C:$C,MATCH($B3931,'TRANS'!$A:$A,0)),IFERROR(INDEX('Catalog'!$B:$B,MATCH($G3931,'Catalog'!$A:$A,0)),$B3931))</f>
        <v>שרוול לגבס ארוך רגל</v>
      </c>
      <c r="I3931" s="8" t="str">
        <f aca="false">IF($G3931="","Unmatched","Matched")</f>
        <v>Matched</v>
      </c>
      <c r="J3931" s="8" t="n">
        <f aca="false">IF($G3931&lt;&gt;"",$G3931,$B3931)</f>
        <v>4421008</v>
      </c>
      <c r="K3931" s="8" t="str">
        <f aca="false">IF(COUNTIF($M$1:$M$10,$A3931)&gt;0,"Y","N")</f>
        <v>N</v>
      </c>
    </row>
    <row r="3932" customFormat="false" ht="15" hidden="false" customHeight="true" outlineLevel="0" collapsed="false">
      <c r="A3932" s="8" t="s">
        <v>1106</v>
      </c>
      <c r="B3932" s="8" t="s">
        <v>626</v>
      </c>
      <c r="C3932" s="19" t="n">
        <v>60</v>
      </c>
      <c r="D3932" s="19" t="n">
        <v>921.74</v>
      </c>
      <c r="E3932" s="19" t="n">
        <v>40</v>
      </c>
      <c r="F3932" s="19" t="n">
        <v>532.21</v>
      </c>
      <c r="G3932" s="8" t="n">
        <f aca="false">IFERROR(INDEX('TRANS'!$B:$B,MATCH($B3932,'TRANS'!$A:$A,0)),IFERROR(INDEX('TRANS'!$B:$B,MATCH(TRIM(SUBSTITUTE($B3932,CHAR(160)," ")),'TRANS'!$D:$D,0)),IFERROR(INDEX('Catalog'!$A:$A,MATCH($B3932,'Catalog'!$B:$B,0)),IFERROR(INDEX('Catalog'!$A:$A,MATCH(TRIM(SUBSTITUTE($B3932,CHAR(160)," ")),'Catalog'!$C:$C,0)),""))))</f>
        <v>4411000</v>
      </c>
      <c r="H3932" s="8" t="str">
        <f aca="false">IFERROR(INDEX('TRANS'!$C:$C,MATCH($B3932,'TRANS'!$A:$A,0)),IFERROR(INDEX('Catalog'!$B:$B,MATCH($G3932,'Catalog'!$A:$A,0)),$B3932))</f>
        <v>כרית מטטרזלי סיליקון362</v>
      </c>
      <c r="I3932" s="8" t="str">
        <f aca="false">IF($G3932="","Unmatched","Matched")</f>
        <v>Matched</v>
      </c>
      <c r="J3932" s="8" t="n">
        <f aca="false">IF($G3932&lt;&gt;"",$G3932,$B3932)</f>
        <v>4411000</v>
      </c>
      <c r="K3932" s="8" t="str">
        <f aca="false">IF(COUNTIF($M$1:$M$10,$A3932)&gt;0,"Y","N")</f>
        <v>N</v>
      </c>
    </row>
    <row r="3933" customFormat="false" ht="15" hidden="false" customHeight="true" outlineLevel="0" collapsed="false">
      <c r="A3933" s="8" t="s">
        <v>1106</v>
      </c>
      <c r="B3933" s="8" t="s">
        <v>628</v>
      </c>
      <c r="C3933" s="19" t="n">
        <v>140</v>
      </c>
      <c r="D3933" s="19" t="n">
        <v>2377.55</v>
      </c>
      <c r="E3933" s="19" t="n">
        <v>30</v>
      </c>
      <c r="F3933" s="19" t="n">
        <v>439.07</v>
      </c>
      <c r="G3933" s="8" t="n">
        <f aca="false">IFERROR(INDEX('TRANS'!$B:$B,MATCH($B3933,'TRANS'!$A:$A,0)),IFERROR(INDEX('TRANS'!$B:$B,MATCH(TRIM(SUBSTITUTE($B3933,CHAR(160)," ")),'TRANS'!$D:$D,0)),IFERROR(INDEX('Catalog'!$A:$A,MATCH($B3933,'Catalog'!$B:$B,0)),IFERROR(INDEX('Catalog'!$A:$A,MATCH(TRIM(SUBSTITUTE($B3933,CHAR(160)," ")),'Catalog'!$C:$C,0)),""))))</f>
        <v>4411001</v>
      </c>
      <c r="H3933" s="8" t="str">
        <f aca="false">IFERROR(INDEX('TRANS'!$C:$C,MATCH($B3933,'TRANS'!$A:$A,0)),IFERROR(INDEX('Catalog'!$B:$B,MATCH($G3933,'Catalog'!$A:$A,0)),$B3933))</f>
        <v>3623 כרית ליישור אצבע פטיש</v>
      </c>
      <c r="I3933" s="8" t="str">
        <f aca="false">IF($G3933="","Unmatched","Matched")</f>
        <v>Matched</v>
      </c>
      <c r="J3933" s="8" t="n">
        <f aca="false">IF($G3933&lt;&gt;"",$G3933,$B3933)</f>
        <v>4411001</v>
      </c>
      <c r="K3933" s="8" t="str">
        <f aca="false">IF(COUNTIF($M$1:$M$10,$A3933)&gt;0,"Y","N")</f>
        <v>N</v>
      </c>
    </row>
    <row r="3934" customFormat="false" ht="15" hidden="false" customHeight="true" outlineLevel="0" collapsed="false">
      <c r="A3934" s="8" t="s">
        <v>1106</v>
      </c>
      <c r="B3934" s="8" t="s">
        <v>59</v>
      </c>
      <c r="C3934" s="19" t="n">
        <v>75</v>
      </c>
      <c r="D3934" s="19" t="n">
        <v>960.46</v>
      </c>
      <c r="E3934" s="19" t="n">
        <v>35</v>
      </c>
      <c r="F3934" s="19" t="n">
        <v>384.19</v>
      </c>
      <c r="G3934" s="8" t="str">
        <f aca="false">IFERROR(INDEX('TRANS'!$B:$B,MATCH($B3934,'TRANS'!$A:$A,0)),IFERROR(INDEX('TRANS'!$B:$B,MATCH(TRIM(SUBSTITUTE($B3934,CHAR(160)," ")),'TRANS'!$D:$D,0)),IFERROR(INDEX('Catalog'!$A:$A,MATCH($B3934,'Catalog'!$B:$B,0)),IFERROR(INDEX('Catalog'!$A:$A,MATCH(TRIM(SUBSTITUTE($B3934,CHAR(160)," ")),'Catalog'!$C:$C,0)),""))))</f>
        <v/>
      </c>
      <c r="H3934" s="8" t="str">
        <f aca="false">IFERROR(INDEX('TRANS'!$C:$C,MATCH($B3934,'TRANS'!$A:$A,0)),IFERROR(INDEX('Catalog'!$B:$B,MATCH($G3934,'Catalog'!$A:$A,0)),$B3934))</f>
        <v>363 L/R</v>
      </c>
      <c r="I3934" s="8" t="str">
        <f aca="false">IF($G3934="","Unmatched","Matched")</f>
        <v>Unmatched</v>
      </c>
      <c r="J3934" s="8" t="str">
        <f aca="false">IF($G3934&lt;&gt;"",$G3934,$B3934)</f>
        <v>363 L/R</v>
      </c>
      <c r="K3934" s="8" t="str">
        <f aca="false">IF(COUNTIF($M$1:$M$10,$A3934)&gt;0,"Y","N")</f>
        <v>N</v>
      </c>
    </row>
    <row r="3935" customFormat="false" ht="15" hidden="false" customHeight="true" outlineLevel="0" collapsed="false">
      <c r="A3935" s="8" t="s">
        <v>1106</v>
      </c>
      <c r="B3935" s="8" t="s">
        <v>629</v>
      </c>
      <c r="C3935" s="19" t="n">
        <v>10</v>
      </c>
      <c r="D3935" s="19" t="n">
        <v>64.16</v>
      </c>
      <c r="E3935" s="19" t="n">
        <v>10</v>
      </c>
      <c r="F3935" s="19" t="n">
        <v>56.55</v>
      </c>
      <c r="G3935" s="8" t="n">
        <f aca="false">IFERROR(INDEX('TRANS'!$B:$B,MATCH($B3935,'TRANS'!$A:$A,0)),IFERROR(INDEX('TRANS'!$B:$B,MATCH(TRIM(SUBSTITUTE($B3935,CHAR(160)," ")),'TRANS'!$D:$D,0)),IFERROR(INDEX('Catalog'!$A:$A,MATCH($B3935,'Catalog'!$B:$B,0)),IFERROR(INDEX('Catalog'!$A:$A,MATCH(TRIM(SUBSTITUTE($B3935,CHAR(160)," ")),'Catalog'!$C:$C,0)),""))))</f>
        <v>4413059</v>
      </c>
      <c r="H3935" s="8" t="str">
        <f aca="false">IFERROR(INDEX('TRANS'!$C:$C,MATCH($B3935,'TRANS'!$A:$A,0)),IFERROR(INDEX('Catalog'!$B:$B,MATCH($G3935,'Catalog'!$A:$A,0)),$B3935))</f>
        <v>364S Lמפר.אצבע סיליק. ליבל.זוג</v>
      </c>
      <c r="I3935" s="8" t="str">
        <f aca="false">IF($G3935="","Unmatched","Matched")</f>
        <v>Matched</v>
      </c>
      <c r="J3935" s="8" t="n">
        <f aca="false">IF($G3935&lt;&gt;"",$G3935,$B3935)</f>
        <v>4413059</v>
      </c>
      <c r="K3935" s="8" t="str">
        <f aca="false">IF(COUNTIF($M$1:$M$10,$A3935)&gt;0,"Y","N")</f>
        <v>N</v>
      </c>
    </row>
    <row r="3936" customFormat="false" ht="15" hidden="false" customHeight="true" outlineLevel="0" collapsed="false">
      <c r="A3936" s="8" t="s">
        <v>1106</v>
      </c>
      <c r="B3936" s="8" t="s">
        <v>631</v>
      </c>
      <c r="C3936" s="19" t="n">
        <v>20</v>
      </c>
      <c r="D3936" s="19" t="n">
        <v>131.72</v>
      </c>
      <c r="E3936" s="19" t="n">
        <v>0</v>
      </c>
      <c r="F3936" s="19" t="n">
        <v>0</v>
      </c>
      <c r="G3936" s="8" t="n">
        <f aca="false">IFERROR(INDEX('TRANS'!$B:$B,MATCH($B3936,'TRANS'!$A:$A,0)),IFERROR(INDEX('TRANS'!$B:$B,MATCH(TRIM(SUBSTITUTE($B3936,CHAR(160)," ")),'TRANS'!$D:$D,0)),IFERROR(INDEX('Catalog'!$A:$A,MATCH($B3936,'Catalog'!$B:$B,0)),IFERROR(INDEX('Catalog'!$A:$A,MATCH(TRIM(SUBSTITUTE($B3936,CHAR(160)," ")),'Catalog'!$C:$C,0)),""))))</f>
        <v>4413061</v>
      </c>
      <c r="H3936" s="8" t="str">
        <f aca="false">IFERROR(INDEX('TRANS'!$C:$C,MATCH($B3936,'TRANS'!$A:$A,0)),IFERROR(INDEX('Catalog'!$B:$B,MATCH($G3936,'Catalog'!$A:$A,0)),$B3936))</f>
        <v>3641-מיישר בוהן סיליקון קשיח</v>
      </c>
      <c r="I3936" s="8" t="str">
        <f aca="false">IF($G3936="","Unmatched","Matched")</f>
        <v>Matched</v>
      </c>
      <c r="J3936" s="8" t="n">
        <f aca="false">IF($G3936&lt;&gt;"",$G3936,$B3936)</f>
        <v>4413061</v>
      </c>
      <c r="K3936" s="8" t="str">
        <f aca="false">IF(COUNTIF($M$1:$M$10,$A3936)&gt;0,"Y","N")</f>
        <v>N</v>
      </c>
    </row>
    <row r="3937" customFormat="false" ht="15" hidden="false" customHeight="true" outlineLevel="0" collapsed="false">
      <c r="A3937" s="8" t="s">
        <v>1106</v>
      </c>
      <c r="B3937" s="8" t="s">
        <v>632</v>
      </c>
      <c r="C3937" s="19" t="n">
        <v>25</v>
      </c>
      <c r="D3937" s="19" t="n">
        <v>175.23</v>
      </c>
      <c r="E3937" s="19" t="n">
        <v>0</v>
      </c>
      <c r="F3937" s="19" t="n">
        <v>0</v>
      </c>
      <c r="G3937" s="8" t="n">
        <f aca="false">IFERROR(INDEX('TRANS'!$B:$B,MATCH($B3937,'TRANS'!$A:$A,0)),IFERROR(INDEX('TRANS'!$B:$B,MATCH(TRIM(SUBSTITUTE($B3937,CHAR(160)," ")),'TRANS'!$D:$D,0)),IFERROR(INDEX('Catalog'!$A:$A,MATCH($B3937,'Catalog'!$B:$B,0)),IFERROR(INDEX('Catalog'!$A:$A,MATCH(TRIM(SUBSTITUTE($B3937,CHAR(160)," ")),'Catalog'!$C:$C,0)),""))))</f>
        <v>4409000</v>
      </c>
      <c r="H3937" s="8" t="str">
        <f aca="false">IFERROR(INDEX('TRANS'!$C:$C,MATCH($B3937,'TRANS'!$A:$A,0)),IFERROR(INDEX('Catalog'!$B:$B,MATCH($G3937,'Catalog'!$A:$A,0)),$B3937))</f>
        <v>365 S-Lטבעת אלסטית מסיליקון</v>
      </c>
      <c r="I3937" s="8" t="str">
        <f aca="false">IF($G3937="","Unmatched","Matched")</f>
        <v>Matched</v>
      </c>
      <c r="J3937" s="8" t="n">
        <f aca="false">IF($G3937&lt;&gt;"",$G3937,$B3937)</f>
        <v>4409000</v>
      </c>
      <c r="K3937" s="8" t="str">
        <f aca="false">IF(COUNTIF($M$1:$M$10,$A3937)&gt;0,"Y","N")</f>
        <v>N</v>
      </c>
    </row>
    <row r="3938" customFormat="false" ht="15" hidden="false" customHeight="true" outlineLevel="0" collapsed="false">
      <c r="A3938" s="8" t="s">
        <v>1106</v>
      </c>
      <c r="B3938" s="8" t="s">
        <v>633</v>
      </c>
      <c r="C3938" s="19" t="n">
        <v>65</v>
      </c>
      <c r="D3938" s="19" t="n">
        <v>607.93</v>
      </c>
      <c r="E3938" s="19" t="n">
        <v>30</v>
      </c>
      <c r="F3938" s="19" t="n">
        <v>239.49</v>
      </c>
      <c r="G3938" s="8" t="n">
        <f aca="false">IFERROR(INDEX('TRANS'!$B:$B,MATCH($B3938,'TRANS'!$A:$A,0)),IFERROR(INDEX('TRANS'!$B:$B,MATCH(TRIM(SUBSTITUTE($B3938,CHAR(160)," ")),'TRANS'!$D:$D,0)),IFERROR(INDEX('Catalog'!$A:$A,MATCH($B3938,'Catalog'!$B:$B,0)),IFERROR(INDEX('Catalog'!$A:$A,MATCH(TRIM(SUBSTITUTE($B3938,CHAR(160)," ")),'Catalog'!$C:$C,0)),""))))</f>
        <v>4421000</v>
      </c>
      <c r="H3938" s="8" t="str">
        <f aca="false">IFERROR(INDEX('TRANS'!$C:$C,MATCH($B3938,'TRANS'!$A:$A,0)),IFERROR(INDEX('Catalog'!$B:$B,MATCH($G3938,'Catalog'!$A:$A,0)),$B3938))</f>
        <v>3655 שרוול מסיליקון לאצבע</v>
      </c>
      <c r="I3938" s="8" t="str">
        <f aca="false">IF($G3938="","Unmatched","Matched")</f>
        <v>Matched</v>
      </c>
      <c r="J3938" s="8" t="n">
        <f aca="false">IF($G3938&lt;&gt;"",$G3938,$B3938)</f>
        <v>4421000</v>
      </c>
      <c r="K3938" s="8" t="str">
        <f aca="false">IF(COUNTIF($M$1:$M$10,$A3938)&gt;0,"Y","N")</f>
        <v>N</v>
      </c>
    </row>
    <row r="3939" customFormat="false" ht="15" hidden="false" customHeight="true" outlineLevel="0" collapsed="false">
      <c r="A3939" s="8" t="s">
        <v>1106</v>
      </c>
      <c r="B3939" s="8" t="s">
        <v>636</v>
      </c>
      <c r="C3939" s="19" t="n">
        <v>10</v>
      </c>
      <c r="D3939" s="19" t="n">
        <v>79.25</v>
      </c>
      <c r="E3939" s="19" t="n">
        <v>0</v>
      </c>
      <c r="F3939" s="19" t="n">
        <v>0</v>
      </c>
      <c r="G3939" s="8" t="n">
        <f aca="false">IFERROR(INDEX('TRANS'!$B:$B,MATCH($B3939,'TRANS'!$A:$A,0)),IFERROR(INDEX('TRANS'!$B:$B,MATCH(TRIM(SUBSTITUTE($B3939,CHAR(160)," ")),'TRANS'!$D:$D,0)),IFERROR(INDEX('Catalog'!$A:$A,MATCH($B3939,'Catalog'!$B:$B,0)),IFERROR(INDEX('Catalog'!$A:$A,MATCH(TRIM(SUBSTITUTE($B3939,CHAR(160)," ")),'Catalog'!$C:$C,0)),""))))</f>
        <v>4413063</v>
      </c>
      <c r="H3939" s="8" t="str">
        <f aca="false">IFERROR(INDEX('TRANS'!$C:$C,MATCH($B3939,'TRANS'!$A:$A,0)),IFERROR(INDEX('Catalog'!$B:$B,MATCH($G3939,'Catalog'!$A:$A,0)),$B3939))</f>
        <v>366S-'מדבק.לשחרור לחץ מיבלת2יח</v>
      </c>
      <c r="I3939" s="8" t="str">
        <f aca="false">IF($G3939="","Unmatched","Matched")</f>
        <v>Matched</v>
      </c>
      <c r="J3939" s="8" t="n">
        <f aca="false">IF($G3939&lt;&gt;"",$G3939,$B3939)</f>
        <v>4413063</v>
      </c>
      <c r="K3939" s="8" t="str">
        <f aca="false">IF(COUNTIF($M$1:$M$10,$A3939)&gt;0,"Y","N")</f>
        <v>N</v>
      </c>
    </row>
    <row r="3940" customFormat="false" ht="15" hidden="false" customHeight="true" outlineLevel="0" collapsed="false">
      <c r="A3940" s="8" t="s">
        <v>1106</v>
      </c>
      <c r="B3940" s="8" t="s">
        <v>637</v>
      </c>
      <c r="C3940" s="19" t="n">
        <v>10</v>
      </c>
      <c r="D3940" s="19" t="n">
        <v>194.36</v>
      </c>
      <c r="E3940" s="19" t="n">
        <v>10</v>
      </c>
      <c r="F3940" s="19" t="n">
        <v>171.3</v>
      </c>
      <c r="G3940" s="8" t="n">
        <f aca="false">IFERROR(INDEX('TRANS'!$B:$B,MATCH($B3940,'TRANS'!$A:$A,0)),IFERROR(INDEX('TRANS'!$B:$B,MATCH(TRIM(SUBSTITUTE($B3940,CHAR(160)," ")),'TRANS'!$D:$D,0)),IFERROR(INDEX('Catalog'!$A:$A,MATCH($B3940,'Catalog'!$B:$B,0)),IFERROR(INDEX('Catalog'!$A:$A,MATCH(TRIM(SUBSTITUTE($B3940,CHAR(160)," ")),'Catalog'!$C:$C,0)),""))))</f>
        <v>4421003</v>
      </c>
      <c r="H3940" s="8" t="str">
        <f aca="false">IFERROR(INDEX('TRANS'!$C:$C,MATCH($B3940,'TRANS'!$A:$A,0)),IFERROR(INDEX('Catalog'!$B:$B,MATCH($G3940,'Catalog'!$A:$A,0)),$B3940))</f>
        <v>3672 שרוול מגן לבוניון</v>
      </c>
      <c r="I3940" s="8" t="str">
        <f aca="false">IF($G3940="","Unmatched","Matched")</f>
        <v>Matched</v>
      </c>
      <c r="J3940" s="8" t="n">
        <f aca="false">IF($G3940&lt;&gt;"",$G3940,$B3940)</f>
        <v>4421003</v>
      </c>
      <c r="K3940" s="8" t="str">
        <f aca="false">IF(COUNTIF($M$1:$M$10,$A3940)&gt;0,"Y","N")</f>
        <v>N</v>
      </c>
    </row>
    <row r="3941" customFormat="false" ht="15" hidden="false" customHeight="true" outlineLevel="0" collapsed="false">
      <c r="A3941" s="8" t="s">
        <v>1106</v>
      </c>
      <c r="B3941" s="8" t="s">
        <v>638</v>
      </c>
      <c r="C3941" s="19" t="n">
        <v>200</v>
      </c>
      <c r="D3941" s="19" t="n">
        <v>3602.77</v>
      </c>
      <c r="E3941" s="19" t="n">
        <v>40</v>
      </c>
      <c r="F3941" s="19" t="n">
        <v>618.69</v>
      </c>
      <c r="G3941" s="8" t="n">
        <f aca="false">IFERROR(INDEX('TRANS'!$B:$B,MATCH($B3941,'TRANS'!$A:$A,0)),IFERROR(INDEX('TRANS'!$B:$B,MATCH(TRIM(SUBSTITUTE($B3941,CHAR(160)," ")),'TRANS'!$D:$D,0)),IFERROR(INDEX('Catalog'!$A:$A,MATCH($B3941,'Catalog'!$B:$B,0)),IFERROR(INDEX('Catalog'!$A:$A,MATCH(TRIM(SUBSTITUTE($B3941,CHAR(160)," ")),'Catalog'!$C:$C,0)),""))))</f>
        <v>4413370</v>
      </c>
      <c r="H3941" s="8" t="str">
        <f aca="false">IFERROR(INDEX('TRANS'!$C:$C,MATCH($B3941,'TRANS'!$A:$A,0)),IFERROR(INDEX('Catalog'!$B:$B,MATCH($G3941,'Catalog'!$A:$A,0)),$B3941))</f>
        <v>3674 0 מ.בוניון+מפריד אצבע</v>
      </c>
      <c r="I3941" s="8" t="str">
        <f aca="false">IF($G3941="","Unmatched","Matched")</f>
        <v>Matched</v>
      </c>
      <c r="J3941" s="8" t="n">
        <f aca="false">IF($G3941&lt;&gt;"",$G3941,$B3941)</f>
        <v>4413370</v>
      </c>
      <c r="K3941" s="8" t="str">
        <f aca="false">IF(COUNTIF($M$1:$M$10,$A3941)&gt;0,"Y","N")</f>
        <v>N</v>
      </c>
    </row>
    <row r="3942" customFormat="false" ht="15" hidden="false" customHeight="true" outlineLevel="0" collapsed="false">
      <c r="A3942" s="8" t="s">
        <v>1106</v>
      </c>
      <c r="B3942" s="8" t="s">
        <v>639</v>
      </c>
      <c r="C3942" s="19" t="n">
        <v>10</v>
      </c>
      <c r="D3942" s="19" t="n">
        <v>143.41</v>
      </c>
      <c r="E3942" s="19" t="n">
        <v>25</v>
      </c>
      <c r="F3942" s="19" t="n">
        <v>316</v>
      </c>
      <c r="G3942" s="8" t="n">
        <f aca="false">IFERROR(INDEX('TRANS'!$B:$B,MATCH($B3942,'TRANS'!$A:$A,0)),IFERROR(INDEX('TRANS'!$B:$B,MATCH(TRIM(SUBSTITUTE($B3942,CHAR(160)," ")),'TRANS'!$D:$D,0)),IFERROR(INDEX('Catalog'!$A:$A,MATCH($B3942,'Catalog'!$B:$B,0)),IFERROR(INDEX('Catalog'!$A:$A,MATCH(TRIM(SUBSTITUTE($B3942,CHAR(160)," ")),'Catalog'!$C:$C,0)),""))))</f>
        <v>4413371</v>
      </c>
      <c r="H3942" s="8" t="str">
        <f aca="false">IFERROR(INDEX('TRANS'!$C:$C,MATCH($B3942,'TRANS'!$A:$A,0)),IFERROR(INDEX('Catalog'!$B:$B,MATCH($G3942,'Catalog'!$A:$A,0)),$B3942))</f>
        <v>3675    מגן זרת מסיליקון</v>
      </c>
      <c r="I3942" s="8" t="str">
        <f aca="false">IF($G3942="","Unmatched","Matched")</f>
        <v>Matched</v>
      </c>
      <c r="J3942" s="8" t="n">
        <f aca="false">IF($G3942&lt;&gt;"",$G3942,$B3942)</f>
        <v>4413371</v>
      </c>
      <c r="K3942" s="8" t="str">
        <f aca="false">IF(COUNTIF($M$1:$M$10,$A3942)&gt;0,"Y","N")</f>
        <v>N</v>
      </c>
    </row>
    <row r="3943" customFormat="false" ht="15" hidden="false" customHeight="true" outlineLevel="0" collapsed="false">
      <c r="A3943" s="8" t="s">
        <v>1106</v>
      </c>
      <c r="B3943" s="8" t="s">
        <v>640</v>
      </c>
      <c r="C3943" s="19" t="n">
        <v>10</v>
      </c>
      <c r="D3943" s="19" t="n">
        <v>107.3</v>
      </c>
      <c r="E3943" s="19" t="n">
        <v>10</v>
      </c>
      <c r="F3943" s="19" t="n">
        <v>89.81</v>
      </c>
      <c r="G3943" s="8" t="n">
        <f aca="false">IFERROR(INDEX('TRANS'!$B:$B,MATCH($B3943,'TRANS'!$A:$A,0)),IFERROR(INDEX('TRANS'!$B:$B,MATCH(TRIM(SUBSTITUTE($B3943,CHAR(160)," ")),'TRANS'!$D:$D,0)),IFERROR(INDEX('Catalog'!$A:$A,MATCH($B3943,'Catalog'!$B:$B,0)),IFERROR(INDEX('Catalog'!$A:$A,MATCH(TRIM(SUBSTITUTE($B3943,CHAR(160)," ")),'Catalog'!$C:$C,0)),""))))</f>
        <v>4401000</v>
      </c>
      <c r="H3943" s="8" t="str">
        <f aca="false">IFERROR(INDEX('TRANS'!$C:$C,MATCH($B3943,'TRANS'!$A:$A,0)),IFERROR(INDEX('Catalog'!$B:$B,MATCH($G3943,'Catalog'!$A:$A,0)),$B3943))</f>
        <v>369  S-L אצבעון מסיליקון יחידה</v>
      </c>
      <c r="I3943" s="8" t="str">
        <f aca="false">IF($G3943="","Unmatched","Matched")</f>
        <v>Matched</v>
      </c>
      <c r="J3943" s="8" t="n">
        <f aca="false">IF($G3943&lt;&gt;"",$G3943,$B3943)</f>
        <v>4401000</v>
      </c>
      <c r="K3943" s="8" t="str">
        <f aca="false">IF(COUNTIF($M$1:$M$10,$A3943)&gt;0,"Y","N")</f>
        <v>N</v>
      </c>
    </row>
    <row r="3944" customFormat="false" ht="15" hidden="false" customHeight="true" outlineLevel="0" collapsed="false">
      <c r="A3944" s="8" t="s">
        <v>1106</v>
      </c>
      <c r="B3944" s="8" t="s">
        <v>641</v>
      </c>
      <c r="C3944" s="19" t="n">
        <v>10</v>
      </c>
      <c r="D3944" s="19" t="n">
        <v>119.22</v>
      </c>
      <c r="E3944" s="19" t="n">
        <v>20</v>
      </c>
      <c r="F3944" s="19" t="n">
        <v>199.58</v>
      </c>
      <c r="G3944" s="8" t="n">
        <f aca="false">IFERROR(INDEX('TRANS'!$B:$B,MATCH($B3944,'TRANS'!$A:$A,0)),IFERROR(INDEX('TRANS'!$B:$B,MATCH(TRIM(SUBSTITUTE($B3944,CHAR(160)," ")),'TRANS'!$D:$D,0)),IFERROR(INDEX('Catalog'!$A:$A,MATCH($B3944,'Catalog'!$B:$B,0)),IFERROR(INDEX('Catalog'!$A:$A,MATCH(TRIM(SUBSTITUTE($B3944,CHAR(160)," ")),'Catalog'!$C:$C,0)),""))))</f>
        <v>4401001</v>
      </c>
      <c r="H3944" s="8" t="str">
        <f aca="false">IFERROR(INDEX('TRANS'!$C:$C,MATCH($B3944,'TRANS'!$A:$A,0)),IFERROR(INDEX('Catalog'!$B:$B,MATCH($G3944,'Catalog'!$A:$A,0)),$B3944))</f>
        <v>369   XL אצבעון מסיליקון יחידה</v>
      </c>
      <c r="I3944" s="8" t="str">
        <f aca="false">IF($G3944="","Unmatched","Matched")</f>
        <v>Matched</v>
      </c>
      <c r="J3944" s="8" t="n">
        <f aca="false">IF($G3944&lt;&gt;"",$G3944,$B3944)</f>
        <v>4401001</v>
      </c>
      <c r="K3944" s="8" t="str">
        <f aca="false">IF(COUNTIF($M$1:$M$10,$A3944)&gt;0,"Y","N")</f>
        <v>N</v>
      </c>
    </row>
    <row r="3945" customFormat="false" ht="15" hidden="false" customHeight="true" outlineLevel="0" collapsed="false">
      <c r="A3945" s="8" t="s">
        <v>1106</v>
      </c>
      <c r="B3945" s="8" t="s">
        <v>642</v>
      </c>
      <c r="C3945" s="19" t="n">
        <v>15</v>
      </c>
      <c r="D3945" s="19" t="n">
        <v>107.3</v>
      </c>
      <c r="E3945" s="19" t="n">
        <v>12</v>
      </c>
      <c r="F3945" s="19" t="n">
        <v>71.85</v>
      </c>
      <c r="G3945" s="8" t="n">
        <f aca="false">IFERROR(INDEX('TRANS'!$B:$B,MATCH($B3945,'TRANS'!$A:$A,0)),IFERROR(INDEX('TRANS'!$B:$B,MATCH(TRIM(SUBSTITUTE($B3945,CHAR(160)," ")),'TRANS'!$D:$D,0)),IFERROR(INDEX('Catalog'!$A:$A,MATCH($B3945,'Catalog'!$B:$B,0)),IFERROR(INDEX('Catalog'!$A:$A,MATCH(TRIM(SUBSTITUTE($B3945,CHAR(160)," ")),'Catalog'!$C:$C,0)),""))))</f>
        <v>4420000</v>
      </c>
      <c r="H3945" s="8" t="str">
        <f aca="false">IFERROR(INDEX('TRANS'!$C:$C,MATCH($B3945,'TRANS'!$A:$A,0)),IFERROR(INDEX('Catalog'!$B:$B,MATCH($G3945,'Catalog'!$A:$A,0)),$B3945))</f>
        <v>370  רפידת נוחות-זוג</v>
      </c>
      <c r="I3945" s="8" t="str">
        <f aca="false">IF($G3945="","Unmatched","Matched")</f>
        <v>Matched</v>
      </c>
      <c r="J3945" s="8" t="n">
        <f aca="false">IF($G3945&lt;&gt;"",$G3945,$B3945)</f>
        <v>4420000</v>
      </c>
      <c r="K3945" s="8" t="str">
        <f aca="false">IF(COUNTIF($M$1:$M$10,$A3945)&gt;0,"Y","N")</f>
        <v>N</v>
      </c>
    </row>
    <row r="3946" customFormat="false" ht="15" hidden="false" customHeight="true" outlineLevel="0" collapsed="false">
      <c r="A3946" s="8" t="s">
        <v>1106</v>
      </c>
      <c r="B3946" s="8" t="s">
        <v>645</v>
      </c>
      <c r="C3946" s="19" t="n">
        <v>50</v>
      </c>
      <c r="D3946" s="19" t="n">
        <v>389.4</v>
      </c>
      <c r="E3946" s="19" t="n">
        <v>20</v>
      </c>
      <c r="F3946" s="19" t="n">
        <v>133.05</v>
      </c>
      <c r="G3946" s="8" t="n">
        <f aca="false">IFERROR(INDEX('TRANS'!$B:$B,MATCH($B3946,'TRANS'!$A:$A,0)),IFERROR(INDEX('TRANS'!$B:$B,MATCH(TRIM(SUBSTITUTE($B3946,CHAR(160)," ")),'TRANS'!$D:$D,0)),IFERROR(INDEX('Catalog'!$A:$A,MATCH($B3946,'Catalog'!$B:$B,0)),IFERROR(INDEX('Catalog'!$A:$A,MATCH(TRIM(SUBSTITUTE($B3946,CHAR(160)," ")),'Catalog'!$C:$C,0)),""))))</f>
        <v>4420002</v>
      </c>
      <c r="H3946" s="8" t="str">
        <f aca="false">IFERROR(INDEX('TRANS'!$C:$C,MATCH($B3946,'TRANS'!$A:$A,0)),IFERROR(INDEX('Catalog'!$B:$B,MATCH($G3946,'Catalog'!$A:$A,0)),$B3946))</f>
        <v>372 רפידת אנטי ריח -זוג</v>
      </c>
      <c r="I3946" s="8" t="str">
        <f aca="false">IF($G3946="","Unmatched","Matched")</f>
        <v>Matched</v>
      </c>
      <c r="J3946" s="8" t="n">
        <f aca="false">IF($G3946&lt;&gt;"",$G3946,$B3946)</f>
        <v>4420002</v>
      </c>
      <c r="K3946" s="8" t="str">
        <f aca="false">IF(COUNTIF($M$1:$M$10,$A3946)&gt;0,"Y","N")</f>
        <v>N</v>
      </c>
    </row>
    <row r="3947" customFormat="false" ht="15" hidden="false" customHeight="true" outlineLevel="0" collapsed="false">
      <c r="A3947" s="8" t="s">
        <v>1106</v>
      </c>
      <c r="B3947" s="8" t="s">
        <v>264</v>
      </c>
      <c r="C3947" s="19" t="n">
        <v>12</v>
      </c>
      <c r="D3947" s="19" t="n">
        <v>200.29</v>
      </c>
      <c r="E3947" s="19" t="n">
        <v>0</v>
      </c>
      <c r="F3947" s="19" t="n">
        <v>0</v>
      </c>
      <c r="G3947" s="8" t="str">
        <f aca="false">IFERROR(INDEX('TRANS'!$B:$B,MATCH($B3947,'TRANS'!$A:$A,0)),IFERROR(INDEX('TRANS'!$B:$B,MATCH(TRIM(SUBSTITUTE($B3947,CHAR(160)," ")),'TRANS'!$D:$D,0)),IFERROR(INDEX('Catalog'!$A:$A,MATCH($B3947,'Catalog'!$B:$B,0)),IFERROR(INDEX('Catalog'!$A:$A,MATCH(TRIM(SUBSTITUTE($B3947,CHAR(160)," ")),'Catalog'!$C:$C,0)),""))))</f>
        <v/>
      </c>
      <c r="H3947" s="8" t="str">
        <f aca="false">IFERROR(INDEX('TRANS'!$C:$C,MATCH($B3947,'TRANS'!$A:$A,0)),IFERROR(INDEX('Catalog'!$B:$B,MATCH($G3947,'Catalog'!$A:$A,0)),$B3947))</f>
        <v>376-35-37</v>
      </c>
      <c r="I3947" s="8" t="str">
        <f aca="false">IF($G3947="","Unmatched","Matched")</f>
        <v>Unmatched</v>
      </c>
      <c r="J3947" s="8" t="str">
        <f aca="false">IF($G3947&lt;&gt;"",$G3947,$B3947)</f>
        <v>376-35-37</v>
      </c>
      <c r="K3947" s="8" t="str">
        <f aca="false">IF(COUNTIF($M$1:$M$10,$A3947)&gt;0,"Y","N")</f>
        <v>N</v>
      </c>
    </row>
    <row r="3948" customFormat="false" ht="15" hidden="false" customHeight="true" outlineLevel="0" collapsed="false">
      <c r="A3948" s="8" t="s">
        <v>1106</v>
      </c>
      <c r="B3948" s="8" t="s">
        <v>121</v>
      </c>
      <c r="C3948" s="19" t="n">
        <v>0</v>
      </c>
      <c r="D3948" s="19" t="n">
        <v>0</v>
      </c>
      <c r="E3948" s="19" t="n">
        <v>10</v>
      </c>
      <c r="F3948" s="19" t="n">
        <v>139.7</v>
      </c>
      <c r="G3948" s="8" t="str">
        <f aca="false">IFERROR(INDEX('TRANS'!$B:$B,MATCH($B3948,'TRANS'!$A:$A,0)),IFERROR(INDEX('TRANS'!$B:$B,MATCH(TRIM(SUBSTITUTE($B3948,CHAR(160)," ")),'TRANS'!$D:$D,0)),IFERROR(INDEX('Catalog'!$A:$A,MATCH($B3948,'Catalog'!$B:$B,0)),IFERROR(INDEX('Catalog'!$A:$A,MATCH(TRIM(SUBSTITUTE($B3948,CHAR(160)," ")),'Catalog'!$C:$C,0)),""))))</f>
        <v/>
      </c>
      <c r="H3948" s="8" t="str">
        <f aca="false">IFERROR(INDEX('TRANS'!$C:$C,MATCH($B3948,'TRANS'!$A:$A,0)),IFERROR(INDEX('Catalog'!$B:$B,MATCH($G3948,'Catalog'!$A:$A,0)),$B3948))</f>
        <v>376-38-40</v>
      </c>
      <c r="I3948" s="8" t="str">
        <f aca="false">IF($G3948="","Unmatched","Matched")</f>
        <v>Unmatched</v>
      </c>
      <c r="J3948" s="8" t="str">
        <f aca="false">IF($G3948&lt;&gt;"",$G3948,$B3948)</f>
        <v>376-38-40</v>
      </c>
      <c r="K3948" s="8" t="str">
        <f aca="false">IF(COUNTIF($M$1:$M$10,$A3948)&gt;0,"Y","N")</f>
        <v>N</v>
      </c>
    </row>
    <row r="3949" customFormat="false" ht="15" hidden="false" customHeight="true" outlineLevel="0" collapsed="false">
      <c r="A3949" s="8" t="s">
        <v>1106</v>
      </c>
      <c r="B3949" s="8" t="s">
        <v>78</v>
      </c>
      <c r="C3949" s="19" t="n">
        <v>10</v>
      </c>
      <c r="D3949" s="19" t="n">
        <v>158.5</v>
      </c>
      <c r="E3949" s="19" t="n">
        <v>8</v>
      </c>
      <c r="F3949" s="19" t="n">
        <v>111.76</v>
      </c>
      <c r="G3949" s="8" t="str">
        <f aca="false">IFERROR(INDEX('TRANS'!$B:$B,MATCH($B3949,'TRANS'!$A:$A,0)),IFERROR(INDEX('TRANS'!$B:$B,MATCH(TRIM(SUBSTITUTE($B3949,CHAR(160)," ")),'TRANS'!$D:$D,0)),IFERROR(INDEX('Catalog'!$A:$A,MATCH($B3949,'Catalog'!$B:$B,0)),IFERROR(INDEX('Catalog'!$A:$A,MATCH(TRIM(SUBSTITUTE($B3949,CHAR(160)," ")),'Catalog'!$C:$C,0)),""))))</f>
        <v/>
      </c>
      <c r="H3949" s="8" t="str">
        <f aca="false">IFERROR(INDEX('TRANS'!$C:$C,MATCH($B3949,'TRANS'!$A:$A,0)),IFERROR(INDEX('Catalog'!$B:$B,MATCH($G3949,'Catalog'!$A:$A,0)),$B3949))</f>
        <v>376-41-43</v>
      </c>
      <c r="I3949" s="8" t="str">
        <f aca="false">IF($G3949="","Unmatched","Matched")</f>
        <v>Unmatched</v>
      </c>
      <c r="J3949" s="8" t="str">
        <f aca="false">IF($G3949&lt;&gt;"",$G3949,$B3949)</f>
        <v>376-41-43</v>
      </c>
      <c r="K3949" s="8" t="str">
        <f aca="false">IF(COUNTIF($M$1:$M$10,$A3949)&gt;0,"Y","N")</f>
        <v>N</v>
      </c>
    </row>
    <row r="3950" customFormat="false" ht="15" hidden="false" customHeight="true" outlineLevel="0" collapsed="false">
      <c r="A3950" s="8" t="s">
        <v>1106</v>
      </c>
      <c r="B3950" s="8" t="s">
        <v>81</v>
      </c>
      <c r="C3950" s="19" t="n">
        <v>8</v>
      </c>
      <c r="D3950" s="19" t="n">
        <v>126.8</v>
      </c>
      <c r="E3950" s="19" t="n">
        <v>4</v>
      </c>
      <c r="F3950" s="19" t="n">
        <v>55.88</v>
      </c>
      <c r="G3950" s="8" t="str">
        <f aca="false">IFERROR(INDEX('TRANS'!$B:$B,MATCH($B3950,'TRANS'!$A:$A,0)),IFERROR(INDEX('TRANS'!$B:$B,MATCH(TRIM(SUBSTITUTE($B3950,CHAR(160)," ")),'TRANS'!$D:$D,0)),IFERROR(INDEX('Catalog'!$A:$A,MATCH($B3950,'Catalog'!$B:$B,0)),IFERROR(INDEX('Catalog'!$A:$A,MATCH(TRIM(SUBSTITUTE($B3950,CHAR(160)," ")),'Catalog'!$C:$C,0)),""))))</f>
        <v/>
      </c>
      <c r="H3950" s="8" t="str">
        <f aca="false">IFERROR(INDEX('TRANS'!$C:$C,MATCH($B3950,'TRANS'!$A:$A,0)),IFERROR(INDEX('Catalog'!$B:$B,MATCH($G3950,'Catalog'!$A:$A,0)),$B3950))</f>
        <v>376-44-45</v>
      </c>
      <c r="I3950" s="8" t="str">
        <f aca="false">IF($G3950="","Unmatched","Matched")</f>
        <v>Unmatched</v>
      </c>
      <c r="J3950" s="8" t="str">
        <f aca="false">IF($G3950&lt;&gt;"",$G3950,$B3950)</f>
        <v>376-44-45</v>
      </c>
      <c r="K3950" s="8" t="str">
        <f aca="false">IF(COUNTIF($M$1:$M$10,$A3950)&gt;0,"Y","N")</f>
        <v>N</v>
      </c>
    </row>
    <row r="3951" customFormat="false" ht="15" hidden="false" customHeight="true" outlineLevel="0" collapsed="false">
      <c r="A3951" s="8" t="s">
        <v>1106</v>
      </c>
      <c r="B3951" s="8" t="s">
        <v>649</v>
      </c>
      <c r="C3951" s="19" t="n">
        <v>70</v>
      </c>
      <c r="D3951" s="19" t="n">
        <v>1279.23</v>
      </c>
      <c r="E3951" s="19" t="n">
        <v>30</v>
      </c>
      <c r="F3951" s="19" t="n">
        <v>469.01</v>
      </c>
      <c r="G3951" s="8" t="n">
        <f aca="false">IFERROR(INDEX('TRANS'!$B:$B,MATCH($B3951,'TRANS'!$A:$A,0)),IFERROR(INDEX('TRANS'!$B:$B,MATCH(TRIM(SUBSTITUTE($B3951,CHAR(160)," ")),'TRANS'!$D:$D,0)),IFERROR(INDEX('Catalog'!$A:$A,MATCH($B3951,'Catalog'!$B:$B,0)),IFERROR(INDEX('Catalog'!$A:$A,MATCH(TRIM(SUBSTITUTE($B3951,CHAR(160)," ")),'Catalog'!$C:$C,0)),""))))</f>
        <v>4413452</v>
      </c>
      <c r="H3951" s="8" t="str">
        <f aca="false">IFERROR(INDEX('TRANS'!$C:$C,MATCH($B3951,'TRANS'!$A:$A,0)),IFERROR(INDEX('Catalog'!$B:$B,MATCH($G3951,'Catalog'!$A:$A,0)),$B3951))</f>
        <v>386  מיישר בוניון-האלוקס ולגוס</v>
      </c>
      <c r="I3951" s="8" t="str">
        <f aca="false">IF($G3951="","Unmatched","Matched")</f>
        <v>Matched</v>
      </c>
      <c r="J3951" s="8" t="n">
        <f aca="false">IF($G3951&lt;&gt;"",$G3951,$B3951)</f>
        <v>4413452</v>
      </c>
      <c r="K3951" s="8" t="str">
        <f aca="false">IF(COUNTIF($M$1:$M$10,$A3951)&gt;0,"Y","N")</f>
        <v>N</v>
      </c>
    </row>
    <row r="3952" customFormat="false" ht="15" hidden="false" customHeight="true" outlineLevel="0" collapsed="false">
      <c r="A3952" s="8" t="s">
        <v>1106</v>
      </c>
      <c r="B3952" s="8" t="s">
        <v>797</v>
      </c>
      <c r="C3952" s="19" t="n">
        <v>30</v>
      </c>
      <c r="D3952" s="19" t="n">
        <v>1573.72</v>
      </c>
      <c r="E3952" s="19" t="n">
        <v>0</v>
      </c>
      <c r="F3952" s="19" t="n">
        <v>0</v>
      </c>
      <c r="G3952" s="8" t="n">
        <f aca="false">IFERROR(INDEX('TRANS'!$B:$B,MATCH($B3952,'TRANS'!$A:$A,0)),IFERROR(INDEX('TRANS'!$B:$B,MATCH(TRIM(SUBSTITUTE($B3952,CHAR(160)," ")),'TRANS'!$D:$D,0)),IFERROR(INDEX('Catalog'!$A:$A,MATCH($B3952,'Catalog'!$B:$B,0)),IFERROR(INDEX('Catalog'!$A:$A,MATCH(TRIM(SUBSTITUTE($B3952,CHAR(160)," ")),'Catalog'!$C:$C,0)),""))))</f>
        <v>4413072</v>
      </c>
      <c r="H3952" s="8" t="str">
        <f aca="false">IFERROR(INDEX('TRANS'!$C:$C,MATCH($B3952,'TRANS'!$A:$A,0)),IFERROR(INDEX('Catalog'!$B:$B,MATCH($G3952,'Catalog'!$A:$A,0)),$B3952))</f>
        <v>41 Lמ.ברך מוצלב+ספירלות בצדדים</v>
      </c>
      <c r="I3952" s="8" t="str">
        <f aca="false">IF($G3952="","Unmatched","Matched")</f>
        <v>Matched</v>
      </c>
      <c r="J3952" s="8" t="n">
        <f aca="false">IF($G3952&lt;&gt;"",$G3952,$B3952)</f>
        <v>4413072</v>
      </c>
      <c r="K3952" s="8" t="str">
        <f aca="false">IF(COUNTIF($M$1:$M$10,$A3952)&gt;0,"Y","N")</f>
        <v>N</v>
      </c>
    </row>
    <row r="3953" customFormat="false" ht="15" hidden="false" customHeight="true" outlineLevel="0" collapsed="false">
      <c r="A3953" s="8" t="s">
        <v>1106</v>
      </c>
      <c r="B3953" s="8" t="s">
        <v>983</v>
      </c>
      <c r="C3953" s="19" t="n">
        <v>30</v>
      </c>
      <c r="D3953" s="19" t="n">
        <v>1573.72</v>
      </c>
      <c r="E3953" s="19" t="n">
        <v>0</v>
      </c>
      <c r="F3953" s="19" t="n">
        <v>0</v>
      </c>
      <c r="G3953" s="8" t="n">
        <f aca="false">IFERROR(INDEX('TRANS'!$B:$B,MATCH($B3953,'TRANS'!$A:$A,0)),IFERROR(INDEX('TRANS'!$B:$B,MATCH(TRIM(SUBSTITUTE($B3953,CHAR(160)," ")),'TRANS'!$D:$D,0)),IFERROR(INDEX('Catalog'!$A:$A,MATCH($B3953,'Catalog'!$B:$B,0)),IFERROR(INDEX('Catalog'!$A:$A,MATCH(TRIM(SUBSTITUTE($B3953,CHAR(160)," ")),'Catalog'!$C:$C,0)),""))))</f>
        <v>4413073</v>
      </c>
      <c r="H3953" s="8" t="str">
        <f aca="false">IFERROR(INDEX('TRANS'!$C:$C,MATCH($B3953,'TRANS'!$A:$A,0)),IFERROR(INDEX('Catalog'!$B:$B,MATCH($G3953,'Catalog'!$A:$A,0)),$B3953))</f>
        <v>41 Mמ.ברך מוצלב+ספירלות בצדדים</v>
      </c>
      <c r="I3953" s="8" t="str">
        <f aca="false">IF($G3953="","Unmatched","Matched")</f>
        <v>Matched</v>
      </c>
      <c r="J3953" s="8" t="n">
        <f aca="false">IF($G3953&lt;&gt;"",$G3953,$B3953)</f>
        <v>4413073</v>
      </c>
      <c r="K3953" s="8" t="str">
        <f aca="false">IF(COUNTIF($M$1:$M$10,$A3953)&gt;0,"Y","N")</f>
        <v>N</v>
      </c>
    </row>
    <row r="3954" customFormat="false" ht="15" hidden="false" customHeight="true" outlineLevel="0" collapsed="false">
      <c r="A3954" s="8" t="s">
        <v>1106</v>
      </c>
      <c r="B3954" s="8" t="s">
        <v>995</v>
      </c>
      <c r="C3954" s="19" t="n">
        <v>10</v>
      </c>
      <c r="D3954" s="19" t="n">
        <v>524.57</v>
      </c>
      <c r="E3954" s="19" t="n">
        <v>0</v>
      </c>
      <c r="F3954" s="19" t="n">
        <v>0</v>
      </c>
      <c r="G3954" s="8" t="n">
        <f aca="false">IFERROR(INDEX('TRANS'!$B:$B,MATCH($B3954,'TRANS'!$A:$A,0)),IFERROR(INDEX('TRANS'!$B:$B,MATCH(TRIM(SUBSTITUTE($B3954,CHAR(160)," ")),'TRANS'!$D:$D,0)),IFERROR(INDEX('Catalog'!$A:$A,MATCH($B3954,'Catalog'!$B:$B,0)),IFERROR(INDEX('Catalog'!$A:$A,MATCH(TRIM(SUBSTITUTE($B3954,CHAR(160)," ")),'Catalog'!$C:$C,0)),""))))</f>
        <v>4413071</v>
      </c>
      <c r="H3954" s="8" t="str">
        <f aca="false">IFERROR(INDEX('TRANS'!$C:$C,MATCH($B3954,'TRANS'!$A:$A,0)),IFERROR(INDEX('Catalog'!$B:$B,MATCH($G3954,'Catalog'!$A:$A,0)),$B3954))</f>
        <v>41 Sמ.ברך מוצלב+ספירלות בצדדים</v>
      </c>
      <c r="I3954" s="8" t="str">
        <f aca="false">IF($G3954="","Unmatched","Matched")</f>
        <v>Matched</v>
      </c>
      <c r="J3954" s="8" t="n">
        <f aca="false">IF($G3954&lt;&gt;"",$G3954,$B3954)</f>
        <v>4413071</v>
      </c>
      <c r="K3954" s="8" t="str">
        <f aca="false">IF(COUNTIF($M$1:$M$10,$A3954)&gt;0,"Y","N")</f>
        <v>N</v>
      </c>
    </row>
    <row r="3955" customFormat="false" ht="15" hidden="false" customHeight="true" outlineLevel="0" collapsed="false">
      <c r="A3955" s="8" t="s">
        <v>1106</v>
      </c>
      <c r="B3955" s="8" t="s">
        <v>996</v>
      </c>
      <c r="C3955" s="19" t="n">
        <v>25</v>
      </c>
      <c r="D3955" s="19" t="n">
        <v>1311.43</v>
      </c>
      <c r="E3955" s="19" t="n">
        <v>0</v>
      </c>
      <c r="F3955" s="19" t="n">
        <v>0</v>
      </c>
      <c r="G3955" s="8" t="n">
        <f aca="false">IFERROR(INDEX('TRANS'!$B:$B,MATCH($B3955,'TRANS'!$A:$A,0)),IFERROR(INDEX('TRANS'!$B:$B,MATCH(TRIM(SUBSTITUTE($B3955,CHAR(160)," ")),'TRANS'!$D:$D,0)),IFERROR(INDEX('Catalog'!$A:$A,MATCH($B3955,'Catalog'!$B:$B,0)),IFERROR(INDEX('Catalog'!$A:$A,MATCH(TRIM(SUBSTITUTE($B3955,CHAR(160)," ")),'Catalog'!$C:$C,0)),""))))</f>
        <v>4413074</v>
      </c>
      <c r="H3955" s="8" t="str">
        <f aca="false">IFERROR(INDEX('TRANS'!$C:$C,MATCH($B3955,'TRANS'!$A:$A,0)),IFERROR(INDEX('Catalog'!$B:$B,MATCH($G3955,'Catalog'!$A:$A,0)),$B3955))</f>
        <v>41  XL.מ.ברך מוצלב+ספירלות בצד</v>
      </c>
      <c r="I3955" s="8" t="str">
        <f aca="false">IF($G3955="","Unmatched","Matched")</f>
        <v>Matched</v>
      </c>
      <c r="J3955" s="8" t="n">
        <f aca="false">IF($G3955&lt;&gt;"",$G3955,$B3955)</f>
        <v>4413074</v>
      </c>
      <c r="K3955" s="8" t="str">
        <f aca="false">IF(COUNTIF($M$1:$M$10,$A3955)&gt;0,"Y","N")</f>
        <v>N</v>
      </c>
    </row>
    <row r="3956" customFormat="false" ht="15" hidden="false" customHeight="true" outlineLevel="0" collapsed="false">
      <c r="A3956" s="8" t="s">
        <v>1106</v>
      </c>
      <c r="B3956" s="8" t="s">
        <v>502</v>
      </c>
      <c r="C3956" s="19" t="n">
        <v>15</v>
      </c>
      <c r="D3956" s="19" t="n">
        <v>786.86</v>
      </c>
      <c r="E3956" s="19" t="n">
        <v>0</v>
      </c>
      <c r="F3956" s="19" t="n">
        <v>0</v>
      </c>
      <c r="G3956" s="8" t="str">
        <f aca="false">IFERROR(INDEX('TRANS'!$B:$B,MATCH($B3956,'TRANS'!$A:$A,0)),IFERROR(INDEX('TRANS'!$B:$B,MATCH(TRIM(SUBSTITUTE($B3956,CHAR(160)," ")),'TRANS'!$D:$D,0)),IFERROR(INDEX('Catalog'!$A:$A,MATCH($B3956,'Catalog'!$B:$B,0)),IFERROR(INDEX('Catalog'!$A:$A,MATCH(TRIM(SUBSTITUTE($B3956,CHAR(160)," ")),'Catalog'!$C:$C,0)),""))))</f>
        <v/>
      </c>
      <c r="H3956" s="8" t="str">
        <f aca="false">IFERROR(INDEX('TRANS'!$C:$C,MATCH($B3956,'TRANS'!$A:$A,0)),IFERROR(INDEX('Catalog'!$B:$B,MATCH($G3956,'Catalog'!$A:$A,0)),$B3956))</f>
        <v>41 XXL</v>
      </c>
      <c r="I3956" s="8" t="str">
        <f aca="false">IF($G3956="","Unmatched","Matched")</f>
        <v>Unmatched</v>
      </c>
      <c r="J3956" s="8" t="str">
        <f aca="false">IF($G3956&lt;&gt;"",$G3956,$B3956)</f>
        <v>41 XXL</v>
      </c>
      <c r="K3956" s="8" t="str">
        <f aca="false">IF(COUNTIF($M$1:$M$10,$A3956)&gt;0,"Y","N")</f>
        <v>N</v>
      </c>
    </row>
    <row r="3957" customFormat="false" ht="15" hidden="false" customHeight="true" outlineLevel="0" collapsed="false">
      <c r="A3957" s="8" t="s">
        <v>1106</v>
      </c>
      <c r="B3957" s="8" t="s">
        <v>675</v>
      </c>
      <c r="C3957" s="19" t="n">
        <v>20</v>
      </c>
      <c r="D3957" s="19" t="n">
        <v>250.36</v>
      </c>
      <c r="E3957" s="19" t="n">
        <v>10</v>
      </c>
      <c r="F3957" s="19" t="n">
        <v>104.78</v>
      </c>
      <c r="G3957" s="8" t="n">
        <f aca="false">IFERROR(INDEX('TRANS'!$B:$B,MATCH($B3957,'TRANS'!$A:$A,0)),IFERROR(INDEX('TRANS'!$B:$B,MATCH(TRIM(SUBSTITUTE($B3957,CHAR(160)," ")),'TRANS'!$D:$D,0)),IFERROR(INDEX('Catalog'!$A:$A,MATCH($B3957,'Catalog'!$B:$B,0)),IFERROR(INDEX('Catalog'!$A:$A,MATCH(TRIM(SUBSTITUTE($B3957,CHAR(160)," ")),'Catalog'!$C:$C,0)),""))))</f>
        <v>4413495</v>
      </c>
      <c r="H3957" s="8" t="str">
        <f aca="false">IFERROR(INDEX('TRANS'!$C:$C,MATCH($B3957,'TRANS'!$A:$A,0)),IFERROR(INDEX('Catalog'!$B:$B,MATCH($G3957,'Catalog'!$A:$A,0)),$B3957))</f>
        <v>45B L מגן ברך שחור</v>
      </c>
      <c r="I3957" s="8" t="str">
        <f aca="false">IF($G3957="","Unmatched","Matched")</f>
        <v>Matched</v>
      </c>
      <c r="J3957" s="8" t="n">
        <f aca="false">IF($G3957&lt;&gt;"",$G3957,$B3957)</f>
        <v>4413495</v>
      </c>
      <c r="K3957" s="8" t="str">
        <f aca="false">IF(COUNTIF($M$1:$M$10,$A3957)&gt;0,"Y","N")</f>
        <v>N</v>
      </c>
    </row>
    <row r="3958" customFormat="false" ht="15" hidden="false" customHeight="true" outlineLevel="0" collapsed="false">
      <c r="A3958" s="8" t="s">
        <v>1106</v>
      </c>
      <c r="B3958" s="8" t="s">
        <v>676</v>
      </c>
      <c r="C3958" s="19" t="n">
        <v>30</v>
      </c>
      <c r="D3958" s="19" t="n">
        <v>369.24</v>
      </c>
      <c r="E3958" s="19" t="n">
        <v>8</v>
      </c>
      <c r="F3958" s="19" t="n">
        <v>83.82</v>
      </c>
      <c r="G3958" s="8" t="n">
        <f aca="false">IFERROR(INDEX('TRANS'!$B:$B,MATCH($B3958,'TRANS'!$A:$A,0)),IFERROR(INDEX('TRANS'!$B:$B,MATCH(TRIM(SUBSTITUTE($B3958,CHAR(160)," ")),'TRANS'!$D:$D,0)),IFERROR(INDEX('Catalog'!$A:$A,MATCH($B3958,'Catalog'!$B:$B,0)),IFERROR(INDEX('Catalog'!$A:$A,MATCH(TRIM(SUBSTITUTE($B3958,CHAR(160)," ")),'Catalog'!$C:$C,0)),""))))</f>
        <v>4413497</v>
      </c>
      <c r="H3958" s="8" t="str">
        <f aca="false">IFERROR(INDEX('TRANS'!$C:$C,MATCH($B3958,'TRANS'!$A:$A,0)),IFERROR(INDEX('Catalog'!$B:$B,MATCH($G3958,'Catalog'!$A:$A,0)),$B3958))</f>
        <v>45B M מגן ברך שחור</v>
      </c>
      <c r="I3958" s="8" t="str">
        <f aca="false">IF($G3958="","Unmatched","Matched")</f>
        <v>Matched</v>
      </c>
      <c r="J3958" s="8" t="n">
        <f aca="false">IF($G3958&lt;&gt;"",$G3958,$B3958)</f>
        <v>4413497</v>
      </c>
      <c r="K3958" s="8" t="str">
        <f aca="false">IF(COUNTIF($M$1:$M$10,$A3958)&gt;0,"Y","N")</f>
        <v>N</v>
      </c>
    </row>
    <row r="3959" customFormat="false" ht="15" hidden="false" customHeight="true" outlineLevel="0" collapsed="false">
      <c r="A3959" s="8" t="s">
        <v>1106</v>
      </c>
      <c r="B3959" s="8" t="s">
        <v>801</v>
      </c>
      <c r="C3959" s="19" t="n">
        <v>10</v>
      </c>
      <c r="D3959" s="19" t="n">
        <v>125.18</v>
      </c>
      <c r="E3959" s="19" t="n">
        <v>0</v>
      </c>
      <c r="F3959" s="19" t="n">
        <v>0</v>
      </c>
      <c r="G3959" s="8" t="n">
        <f aca="false">IFERROR(INDEX('TRANS'!$B:$B,MATCH($B3959,'TRANS'!$A:$A,0)),IFERROR(INDEX('TRANS'!$B:$B,MATCH(TRIM(SUBSTITUTE($B3959,CHAR(160)," ")),'TRANS'!$D:$D,0)),IFERROR(INDEX('Catalog'!$A:$A,MATCH($B3959,'Catalog'!$B:$B,0)),IFERROR(INDEX('Catalog'!$A:$A,MATCH(TRIM(SUBSTITUTE($B3959,CHAR(160)," ")),'Catalog'!$C:$C,0)),""))))</f>
        <v>4413498</v>
      </c>
      <c r="H3959" s="8" t="str">
        <f aca="false">IFERROR(INDEX('TRANS'!$C:$C,MATCH($B3959,'TRANS'!$A:$A,0)),IFERROR(INDEX('Catalog'!$B:$B,MATCH($G3959,'Catalog'!$A:$A,0)),$B3959))</f>
        <v>45B S מגן ברך שחור</v>
      </c>
      <c r="I3959" s="8" t="str">
        <f aca="false">IF($G3959="","Unmatched","Matched")</f>
        <v>Matched</v>
      </c>
      <c r="J3959" s="8" t="n">
        <f aca="false">IF($G3959&lt;&gt;"",$G3959,$B3959)</f>
        <v>4413498</v>
      </c>
      <c r="K3959" s="8" t="str">
        <f aca="false">IF(COUNTIF($M$1:$M$10,$A3959)&gt;0,"Y","N")</f>
        <v>N</v>
      </c>
    </row>
    <row r="3960" customFormat="false" ht="15" hidden="false" customHeight="true" outlineLevel="0" collapsed="false">
      <c r="A3960" s="8" t="s">
        <v>1106</v>
      </c>
      <c r="B3960" s="8" t="s">
        <v>802</v>
      </c>
      <c r="C3960" s="19" t="n">
        <v>15</v>
      </c>
      <c r="D3960" s="19" t="n">
        <v>187.77</v>
      </c>
      <c r="E3960" s="19" t="n">
        <v>10</v>
      </c>
      <c r="F3960" s="19" t="n">
        <v>104.78</v>
      </c>
      <c r="G3960" s="8" t="n">
        <f aca="false">IFERROR(INDEX('TRANS'!$B:$B,MATCH($B3960,'TRANS'!$A:$A,0)),IFERROR(INDEX('TRANS'!$B:$B,MATCH(TRIM(SUBSTITUTE($B3960,CHAR(160)," ")),'TRANS'!$D:$D,0)),IFERROR(INDEX('Catalog'!$A:$A,MATCH($B3960,'Catalog'!$B:$B,0)),IFERROR(INDEX('Catalog'!$A:$A,MATCH(TRIM(SUBSTITUTE($B3960,CHAR(160)," ")),'Catalog'!$C:$C,0)),""))))</f>
        <v>4413496</v>
      </c>
      <c r="H3960" s="8" t="str">
        <f aca="false">IFERROR(INDEX('TRANS'!$C:$C,MATCH($B3960,'TRANS'!$A:$A,0)),IFERROR(INDEX('Catalog'!$B:$B,MATCH($G3960,'Catalog'!$A:$A,0)),$B3960))</f>
        <v>45B XL מגן ברך שחור</v>
      </c>
      <c r="I3960" s="8" t="str">
        <f aca="false">IF($G3960="","Unmatched","Matched")</f>
        <v>Matched</v>
      </c>
      <c r="J3960" s="8" t="n">
        <f aca="false">IF($G3960&lt;&gt;"",$G3960,$B3960)</f>
        <v>4413496</v>
      </c>
      <c r="K3960" s="8" t="str">
        <f aca="false">IF(COUNTIF($M$1:$M$10,$A3960)&gt;0,"Y","N")</f>
        <v>N</v>
      </c>
    </row>
    <row r="3961" customFormat="false" ht="15" hidden="false" customHeight="true" outlineLevel="0" collapsed="false">
      <c r="A3961" s="8" t="s">
        <v>1106</v>
      </c>
      <c r="B3961" s="8" t="s">
        <v>803</v>
      </c>
      <c r="C3961" s="19" t="n">
        <v>4</v>
      </c>
      <c r="D3961" s="19" t="n">
        <v>50.07</v>
      </c>
      <c r="E3961" s="19" t="n">
        <v>8</v>
      </c>
      <c r="F3961" s="19" t="n">
        <v>83.82</v>
      </c>
      <c r="G3961" s="8" t="n">
        <f aca="false">IFERROR(INDEX('TRANS'!$B:$B,MATCH($B3961,'TRANS'!$A:$A,0)),IFERROR(INDEX('TRANS'!$B:$B,MATCH(TRIM(SUBSTITUTE($B3961,CHAR(160)," ")),'TRANS'!$D:$D,0)),IFERROR(INDEX('Catalog'!$A:$A,MATCH($B3961,'Catalog'!$B:$B,0)),IFERROR(INDEX('Catalog'!$A:$A,MATCH(TRIM(SUBSTITUTE($B3961,CHAR(160)," ")),'Catalog'!$C:$C,0)),""))))</f>
        <v>4413499</v>
      </c>
      <c r="H3961" s="8" t="str">
        <f aca="false">IFERROR(INDEX('TRANS'!$C:$C,MATCH($B3961,'TRANS'!$A:$A,0)),IFERROR(INDEX('Catalog'!$B:$B,MATCH($G3961,'Catalog'!$A:$A,0)),$B3961))</f>
        <v>45B XXLמגן ברך שחור</v>
      </c>
      <c r="I3961" s="8" t="str">
        <f aca="false">IF($G3961="","Unmatched","Matched")</f>
        <v>Matched</v>
      </c>
      <c r="J3961" s="8" t="n">
        <f aca="false">IF($G3961&lt;&gt;"",$G3961,$B3961)</f>
        <v>4413499</v>
      </c>
      <c r="K3961" s="8" t="str">
        <f aca="false">IF(COUNTIF($M$1:$M$10,$A3961)&gt;0,"Y","N")</f>
        <v>N</v>
      </c>
    </row>
    <row r="3962" customFormat="false" ht="15" hidden="false" customHeight="true" outlineLevel="0" collapsed="false">
      <c r="A3962" s="8" t="s">
        <v>1106</v>
      </c>
      <c r="B3962" s="8" t="s">
        <v>677</v>
      </c>
      <c r="C3962" s="19" t="n">
        <v>30</v>
      </c>
      <c r="D3962" s="19" t="n">
        <v>345.8</v>
      </c>
      <c r="E3962" s="19" t="n">
        <v>10</v>
      </c>
      <c r="F3962" s="19" t="n">
        <v>98.13</v>
      </c>
      <c r="G3962" s="8" t="n">
        <f aca="false">IFERROR(INDEX('TRANS'!$B:$B,MATCH($B3962,'TRANS'!$A:$A,0)),IFERROR(INDEX('TRANS'!$B:$B,MATCH(TRIM(SUBSTITUTE($B3962,CHAR(160)," ")),'TRANS'!$D:$D,0)),IFERROR(INDEX('Catalog'!$A:$A,MATCH($B3962,'Catalog'!$B:$B,0)),IFERROR(INDEX('Catalog'!$A:$A,MATCH(TRIM(SUBSTITUTE($B3962,CHAR(160)," ")),'Catalog'!$C:$C,0)),""))))</f>
        <v>4413098</v>
      </c>
      <c r="H3962" s="8" t="str">
        <f aca="false">IFERROR(INDEX('TRANS'!$C:$C,MATCH($B3962,'TRANS'!$A:$A,0)),IFERROR(INDEX('Catalog'!$B:$B,MATCH($G3962,'Catalog'!$A:$A,0)),$B3962))</f>
        <v>45C L מגן ברך חום</v>
      </c>
      <c r="I3962" s="8" t="str">
        <f aca="false">IF($G3962="","Unmatched","Matched")</f>
        <v>Matched</v>
      </c>
      <c r="J3962" s="8" t="n">
        <f aca="false">IF($G3962&lt;&gt;"",$G3962,$B3962)</f>
        <v>4413098</v>
      </c>
      <c r="K3962" s="8" t="str">
        <f aca="false">IF(COUNTIF($M$1:$M$10,$A3962)&gt;0,"Y","N")</f>
        <v>N</v>
      </c>
    </row>
    <row r="3963" customFormat="false" ht="15" hidden="false" customHeight="true" outlineLevel="0" collapsed="false">
      <c r="A3963" s="8" t="s">
        <v>1106</v>
      </c>
      <c r="B3963" s="8" t="s">
        <v>678</v>
      </c>
      <c r="C3963" s="19" t="n">
        <v>20</v>
      </c>
      <c r="D3963" s="19" t="n">
        <v>228.56</v>
      </c>
      <c r="E3963" s="19" t="n">
        <v>4</v>
      </c>
      <c r="F3963" s="19" t="n">
        <v>39.25</v>
      </c>
      <c r="G3963" s="8" t="n">
        <f aca="false">IFERROR(INDEX('TRANS'!$B:$B,MATCH($B3963,'TRANS'!$A:$A,0)),IFERROR(INDEX('TRANS'!$B:$B,MATCH(TRIM(SUBSTITUTE($B3963,CHAR(160)," ")),'TRANS'!$D:$D,0)),IFERROR(INDEX('Catalog'!$A:$A,MATCH($B3963,'Catalog'!$B:$B,0)),IFERROR(INDEX('Catalog'!$A:$A,MATCH(TRIM(SUBSTITUTE($B3963,CHAR(160)," ")),'Catalog'!$C:$C,0)),""))))</f>
        <v>4413099</v>
      </c>
      <c r="H3963" s="8" t="str">
        <f aca="false">IFERROR(INDEX('TRANS'!$C:$C,MATCH($B3963,'TRANS'!$A:$A,0)),IFERROR(INDEX('Catalog'!$B:$B,MATCH($G3963,'Catalog'!$A:$A,0)),$B3963))</f>
        <v>45C M מגן ברך חום</v>
      </c>
      <c r="I3963" s="8" t="str">
        <f aca="false">IF($G3963="","Unmatched","Matched")</f>
        <v>Matched</v>
      </c>
      <c r="J3963" s="8" t="n">
        <f aca="false">IF($G3963&lt;&gt;"",$G3963,$B3963)</f>
        <v>4413099</v>
      </c>
      <c r="K3963" s="8" t="str">
        <f aca="false">IF(COUNTIF($M$1:$M$10,$A3963)&gt;0,"Y","N")</f>
        <v>N</v>
      </c>
    </row>
    <row r="3964" customFormat="false" ht="15" hidden="false" customHeight="true" outlineLevel="0" collapsed="false">
      <c r="A3964" s="8" t="s">
        <v>1106</v>
      </c>
      <c r="B3964" s="8" t="s">
        <v>680</v>
      </c>
      <c r="C3964" s="19" t="n">
        <v>20</v>
      </c>
      <c r="D3964" s="19" t="n">
        <v>234.47</v>
      </c>
      <c r="E3964" s="19" t="n">
        <v>10</v>
      </c>
      <c r="F3964" s="19" t="n">
        <v>98.13</v>
      </c>
      <c r="G3964" s="8" t="n">
        <f aca="false">IFERROR(INDEX('TRANS'!$B:$B,MATCH($B3964,'TRANS'!$A:$A,0)),IFERROR(INDEX('TRANS'!$B:$B,MATCH(TRIM(SUBSTITUTE($B3964,CHAR(160)," ")),'TRANS'!$D:$D,0)),IFERROR(INDEX('Catalog'!$A:$A,MATCH($B3964,'Catalog'!$B:$B,0)),IFERROR(INDEX('Catalog'!$A:$A,MATCH(TRIM(SUBSTITUTE($B3964,CHAR(160)," ")),'Catalog'!$C:$C,0)),""))))</f>
        <v>4413100</v>
      </c>
      <c r="H3964" s="8" t="str">
        <f aca="false">IFERROR(INDEX('TRANS'!$C:$C,MATCH($B3964,'TRANS'!$A:$A,0)),IFERROR(INDEX('Catalog'!$B:$B,MATCH($G3964,'Catalog'!$A:$A,0)),$B3964))</f>
        <v>45C XL מגן ברך חום</v>
      </c>
      <c r="I3964" s="8" t="str">
        <f aca="false">IF($G3964="","Unmatched","Matched")</f>
        <v>Matched</v>
      </c>
      <c r="J3964" s="8" t="n">
        <f aca="false">IF($G3964&lt;&gt;"",$G3964,$B3964)</f>
        <v>4413100</v>
      </c>
      <c r="K3964" s="8" t="str">
        <f aca="false">IF(COUNTIF($M$1:$M$10,$A3964)&gt;0,"Y","N")</f>
        <v>N</v>
      </c>
    </row>
    <row r="3965" customFormat="false" ht="15" hidden="false" customHeight="true" outlineLevel="0" collapsed="false">
      <c r="A3965" s="8" t="s">
        <v>1106</v>
      </c>
      <c r="B3965" s="8" t="s">
        <v>84</v>
      </c>
      <c r="C3965" s="19" t="n">
        <v>9</v>
      </c>
      <c r="D3965" s="19" t="n">
        <v>102.56</v>
      </c>
      <c r="E3965" s="19" t="n">
        <v>10</v>
      </c>
      <c r="F3965" s="19" t="n">
        <v>98.13</v>
      </c>
      <c r="G3965" s="8" t="str">
        <f aca="false">IFERROR(INDEX('TRANS'!$B:$B,MATCH($B3965,'TRANS'!$A:$A,0)),IFERROR(INDEX('TRANS'!$B:$B,MATCH(TRIM(SUBSTITUTE($B3965,CHAR(160)," ")),'TRANS'!$D:$D,0)),IFERROR(INDEX('Catalog'!$A:$A,MATCH($B3965,'Catalog'!$B:$B,0)),IFERROR(INDEX('Catalog'!$A:$A,MATCH(TRIM(SUBSTITUTE($B3965,CHAR(160)," ")),'Catalog'!$C:$C,0)),""))))</f>
        <v/>
      </c>
      <c r="H3965" s="8" t="str">
        <f aca="false">IFERROR(INDEX('TRANS'!$C:$C,MATCH($B3965,'TRANS'!$A:$A,0)),IFERROR(INDEX('Catalog'!$B:$B,MATCH($G3965,'Catalog'!$A:$A,0)),$B3965))</f>
        <v>45C XXL</v>
      </c>
      <c r="I3965" s="8" t="str">
        <f aca="false">IF($G3965="","Unmatched","Matched")</f>
        <v>Unmatched</v>
      </c>
      <c r="J3965" s="8" t="str">
        <f aca="false">IF($G3965&lt;&gt;"",$G3965,$B3965)</f>
        <v>45C XXL</v>
      </c>
      <c r="K3965" s="8" t="str">
        <f aca="false">IF(COUNTIF($M$1:$M$10,$A3965)&gt;0,"Y","N")</f>
        <v>N</v>
      </c>
    </row>
    <row r="3966" customFormat="false" ht="15" hidden="false" customHeight="true" outlineLevel="0" collapsed="false">
      <c r="A3966" s="8" t="s">
        <v>1106</v>
      </c>
      <c r="B3966" s="8" t="s">
        <v>976</v>
      </c>
      <c r="C3966" s="19" t="n">
        <v>10</v>
      </c>
      <c r="D3966" s="19" t="n">
        <v>476.88</v>
      </c>
      <c r="E3966" s="19" t="n">
        <v>8</v>
      </c>
      <c r="F3966" s="19" t="n">
        <v>319.32</v>
      </c>
      <c r="G3966" s="8" t="n">
        <f aca="false">IFERROR(INDEX('TRANS'!$B:$B,MATCH($B3966,'TRANS'!$A:$A,0)),IFERROR(INDEX('TRANS'!$B:$B,MATCH(TRIM(SUBSTITUTE($B3966,CHAR(160)," ")),'TRANS'!$D:$D,0)),IFERROR(INDEX('Catalog'!$A:$A,MATCH($B3966,'Catalog'!$B:$B,0)),IFERROR(INDEX('Catalog'!$A:$A,MATCH(TRIM(SUBSTITUTE($B3966,CHAR(160)," ")),'Catalog'!$C:$C,0)),""))))</f>
        <v>4413117</v>
      </c>
      <c r="H3966" s="8" t="str">
        <f aca="false">IFERROR(INDEX('TRANS'!$C:$C,MATCH($B3966,'TRANS'!$A:$A,0)),IFERROR(INDEX('Catalog'!$B:$B,MATCH($G3966,'Catalog'!$A:$A,0)),$B3966))</f>
        <v>50 L מתלה אשכים לאחר ניתוח</v>
      </c>
      <c r="I3966" s="8" t="str">
        <f aca="false">IF($G3966="","Unmatched","Matched")</f>
        <v>Matched</v>
      </c>
      <c r="J3966" s="8" t="n">
        <f aca="false">IF($G3966&lt;&gt;"",$G3966,$B3966)</f>
        <v>4413117</v>
      </c>
      <c r="K3966" s="8" t="str">
        <f aca="false">IF(COUNTIF($M$1:$M$10,$A3966)&gt;0,"Y","N")</f>
        <v>N</v>
      </c>
    </row>
    <row r="3967" customFormat="false" ht="15" hidden="false" customHeight="true" outlineLevel="0" collapsed="false">
      <c r="A3967" s="8" t="s">
        <v>1106</v>
      </c>
      <c r="B3967" s="8" t="s">
        <v>968</v>
      </c>
      <c r="C3967" s="19" t="n">
        <v>10</v>
      </c>
      <c r="D3967" s="19" t="n">
        <v>476.88</v>
      </c>
      <c r="E3967" s="19" t="n">
        <v>2</v>
      </c>
      <c r="F3967" s="19" t="n">
        <v>79.83</v>
      </c>
      <c r="G3967" s="8" t="n">
        <f aca="false">IFERROR(INDEX('TRANS'!$B:$B,MATCH($B3967,'TRANS'!$A:$A,0)),IFERROR(INDEX('TRANS'!$B:$B,MATCH(TRIM(SUBSTITUTE($B3967,CHAR(160)," ")),'TRANS'!$D:$D,0)),IFERROR(INDEX('Catalog'!$A:$A,MATCH($B3967,'Catalog'!$B:$B,0)),IFERROR(INDEX('Catalog'!$A:$A,MATCH(TRIM(SUBSTITUTE($B3967,CHAR(160)," ")),'Catalog'!$C:$C,0)),""))))</f>
        <v>4413118</v>
      </c>
      <c r="H3967" s="8" t="str">
        <f aca="false">IFERROR(INDEX('TRANS'!$C:$C,MATCH($B3967,'TRANS'!$A:$A,0)),IFERROR(INDEX('Catalog'!$B:$B,MATCH($G3967,'Catalog'!$A:$A,0)),$B3967))</f>
        <v>50 M מתלה אשכים לאחר ניתוח</v>
      </c>
      <c r="I3967" s="8" t="str">
        <f aca="false">IF($G3967="","Unmatched","Matched")</f>
        <v>Matched</v>
      </c>
      <c r="J3967" s="8" t="n">
        <f aca="false">IF($G3967&lt;&gt;"",$G3967,$B3967)</f>
        <v>4413118</v>
      </c>
      <c r="K3967" s="8" t="str">
        <f aca="false">IF(COUNTIF($M$1:$M$10,$A3967)&gt;0,"Y","N")</f>
        <v>N</v>
      </c>
    </row>
    <row r="3968" customFormat="false" ht="15" hidden="false" customHeight="true" outlineLevel="0" collapsed="false">
      <c r="A3968" s="8" t="s">
        <v>1106</v>
      </c>
      <c r="B3968" s="8" t="s">
        <v>209</v>
      </c>
      <c r="C3968" s="19" t="n">
        <v>0</v>
      </c>
      <c r="D3968" s="19" t="n">
        <v>0</v>
      </c>
      <c r="E3968" s="19" t="n">
        <v>2</v>
      </c>
      <c r="F3968" s="19" t="n">
        <v>79.83</v>
      </c>
      <c r="G3968" s="8" t="str">
        <f aca="false">IFERROR(INDEX('TRANS'!$B:$B,MATCH($B3968,'TRANS'!$A:$A,0)),IFERROR(INDEX('TRANS'!$B:$B,MATCH(TRIM(SUBSTITUTE($B3968,CHAR(160)," ")),'TRANS'!$D:$D,0)),IFERROR(INDEX('Catalog'!$A:$A,MATCH($B3968,'Catalog'!$B:$B,0)),IFERROR(INDEX('Catalog'!$A:$A,MATCH(TRIM(SUBSTITUTE($B3968,CHAR(160)," ")),'Catalog'!$C:$C,0)),""))))</f>
        <v/>
      </c>
      <c r="H3968" s="8" t="str">
        <f aca="false">IFERROR(INDEX('TRANS'!$C:$C,MATCH($B3968,'TRANS'!$A:$A,0)),IFERROR(INDEX('Catalog'!$B:$B,MATCH($G3968,'Catalog'!$A:$A,0)),$B3968))</f>
        <v>50 S</v>
      </c>
      <c r="I3968" s="8" t="str">
        <f aca="false">IF($G3968="","Unmatched","Matched")</f>
        <v>Unmatched</v>
      </c>
      <c r="J3968" s="8" t="str">
        <f aca="false">IF($G3968&lt;&gt;"",$G3968,$B3968)</f>
        <v>50 S</v>
      </c>
      <c r="K3968" s="8" t="str">
        <f aca="false">IF(COUNTIF($M$1:$M$10,$A3968)&gt;0,"Y","N")</f>
        <v>N</v>
      </c>
    </row>
    <row r="3969" customFormat="false" ht="15" hidden="false" customHeight="true" outlineLevel="0" collapsed="false">
      <c r="A3969" s="8" t="s">
        <v>1106</v>
      </c>
      <c r="B3969" s="8" t="s">
        <v>944</v>
      </c>
      <c r="C3969" s="19" t="n">
        <v>4</v>
      </c>
      <c r="D3969" s="19" t="n">
        <v>190.75</v>
      </c>
      <c r="E3969" s="19" t="n">
        <v>3</v>
      </c>
      <c r="F3969" s="19" t="n">
        <v>119.75</v>
      </c>
      <c r="G3969" s="8" t="n">
        <f aca="false">IFERROR(INDEX('TRANS'!$B:$B,MATCH($B3969,'TRANS'!$A:$A,0)),IFERROR(INDEX('TRANS'!$B:$B,MATCH(TRIM(SUBSTITUTE($B3969,CHAR(160)," ")),'TRANS'!$D:$D,0)),IFERROR(INDEX('Catalog'!$A:$A,MATCH($B3969,'Catalog'!$B:$B,0)),IFERROR(INDEX('Catalog'!$A:$A,MATCH(TRIM(SUBSTITUTE($B3969,CHAR(160)," ")),'Catalog'!$C:$C,0)),""))))</f>
        <v>4413119</v>
      </c>
      <c r="H3969" s="8" t="str">
        <f aca="false">IFERROR(INDEX('TRANS'!$C:$C,MATCH($B3969,'TRANS'!$A:$A,0)),IFERROR(INDEX('Catalog'!$B:$B,MATCH($G3969,'Catalog'!$A:$A,0)),$B3969))</f>
        <v>50 XL מתלה אשכים לאחר ניתוח</v>
      </c>
      <c r="I3969" s="8" t="str">
        <f aca="false">IF($G3969="","Unmatched","Matched")</f>
        <v>Matched</v>
      </c>
      <c r="J3969" s="8" t="n">
        <f aca="false">IF($G3969&lt;&gt;"",$G3969,$B3969)</f>
        <v>4413119</v>
      </c>
      <c r="K3969" s="8" t="str">
        <f aca="false">IF(COUNTIF($M$1:$M$10,$A3969)&gt;0,"Y","N")</f>
        <v>N</v>
      </c>
    </row>
    <row r="3970" customFormat="false" ht="15" hidden="false" customHeight="true" outlineLevel="0" collapsed="false">
      <c r="A3970" s="8" t="s">
        <v>1106</v>
      </c>
      <c r="B3970" s="8" t="s">
        <v>160</v>
      </c>
      <c r="C3970" s="19" t="n">
        <v>0</v>
      </c>
      <c r="D3970" s="19" t="n">
        <v>0</v>
      </c>
      <c r="E3970" s="19" t="n">
        <v>2</v>
      </c>
      <c r="F3970" s="19" t="n">
        <v>79.83</v>
      </c>
      <c r="G3970" s="8" t="str">
        <f aca="false">IFERROR(INDEX('TRANS'!$B:$B,MATCH($B3970,'TRANS'!$A:$A,0)),IFERROR(INDEX('TRANS'!$B:$B,MATCH(TRIM(SUBSTITUTE($B3970,CHAR(160)," ")),'TRANS'!$D:$D,0)),IFERROR(INDEX('Catalog'!$A:$A,MATCH($B3970,'Catalog'!$B:$B,0)),IFERROR(INDEX('Catalog'!$A:$A,MATCH(TRIM(SUBSTITUTE($B3970,CHAR(160)," ")),'Catalog'!$C:$C,0)),""))))</f>
        <v/>
      </c>
      <c r="H3970" s="8" t="str">
        <f aca="false">IFERROR(INDEX('TRANS'!$C:$C,MATCH($B3970,'TRANS'!$A:$A,0)),IFERROR(INDEX('Catalog'!$B:$B,MATCH($G3970,'Catalog'!$A:$A,0)),$B3970))</f>
        <v>50 XXL</v>
      </c>
      <c r="I3970" s="8" t="str">
        <f aca="false">IF($G3970="","Unmatched","Matched")</f>
        <v>Unmatched</v>
      </c>
      <c r="J3970" s="8" t="str">
        <f aca="false">IF($G3970&lt;&gt;"",$G3970,$B3970)</f>
        <v>50 XXL</v>
      </c>
      <c r="K3970" s="8" t="str">
        <f aca="false">IF(COUNTIF($M$1:$M$10,$A3970)&gt;0,"Y","N")</f>
        <v>N</v>
      </c>
    </row>
    <row r="3971" customFormat="false" ht="15" hidden="false" customHeight="true" outlineLevel="0" collapsed="false">
      <c r="A3971" s="8" t="s">
        <v>1106</v>
      </c>
      <c r="B3971" s="8" t="s">
        <v>813</v>
      </c>
      <c r="C3971" s="19" t="n">
        <v>6</v>
      </c>
      <c r="D3971" s="19" t="n">
        <v>604.45</v>
      </c>
      <c r="E3971" s="19" t="n">
        <v>2</v>
      </c>
      <c r="F3971" s="19" t="n">
        <v>168.64</v>
      </c>
      <c r="G3971" s="8" t="n">
        <f aca="false">IFERROR(INDEX('TRANS'!$B:$B,MATCH($B3971,'TRANS'!$A:$A,0)),IFERROR(INDEX('TRANS'!$B:$B,MATCH(TRIM(SUBSTITUTE($B3971,CHAR(160)," ")),'TRANS'!$D:$D,0)),IFERROR(INDEX('Catalog'!$A:$A,MATCH($B3971,'Catalog'!$B:$B,0)),IFERROR(INDEX('Catalog'!$A:$A,MATCH(TRIM(SUBSTITUTE($B3971,CHAR(160)," ")),'Catalog'!$C:$C,0)),""))))</f>
        <v>4408071</v>
      </c>
      <c r="H3971" s="8" t="str">
        <f aca="false">IFERROR(INDEX('TRANS'!$C:$C,MATCH($B3971,'TRANS'!$A:$A,0)),IFERROR(INDEX('Catalog'!$B:$B,MATCH($G3971,'Catalog'!$A:$A,0)),$B3971))</f>
        <v>59D L חגורת שבר דו צדדי</v>
      </c>
      <c r="I3971" s="8" t="str">
        <f aca="false">IF($G3971="","Unmatched","Matched")</f>
        <v>Matched</v>
      </c>
      <c r="J3971" s="8" t="n">
        <f aca="false">IF($G3971&lt;&gt;"",$G3971,$B3971)</f>
        <v>4408071</v>
      </c>
      <c r="K3971" s="8" t="str">
        <f aca="false">IF(COUNTIF($M$1:$M$10,$A3971)&gt;0,"Y","N")</f>
        <v>N</v>
      </c>
    </row>
    <row r="3972" customFormat="false" ht="15" hidden="false" customHeight="true" outlineLevel="0" collapsed="false">
      <c r="A3972" s="8" t="s">
        <v>1106</v>
      </c>
      <c r="B3972" s="8" t="s">
        <v>878</v>
      </c>
      <c r="C3972" s="19" t="n">
        <v>6</v>
      </c>
      <c r="D3972" s="19" t="n">
        <v>604.45</v>
      </c>
      <c r="E3972" s="19" t="n">
        <v>6</v>
      </c>
      <c r="F3972" s="19" t="n">
        <v>505.93</v>
      </c>
      <c r="G3972" s="8" t="n">
        <f aca="false">IFERROR(INDEX('TRANS'!$B:$B,MATCH($B3972,'TRANS'!$A:$A,0)),IFERROR(INDEX('TRANS'!$B:$B,MATCH(TRIM(SUBSTITUTE($B3972,CHAR(160)," ")),'TRANS'!$D:$D,0)),IFERROR(INDEX('Catalog'!$A:$A,MATCH($B3972,'Catalog'!$B:$B,0)),IFERROR(INDEX('Catalog'!$A:$A,MATCH(TRIM(SUBSTITUTE($B3972,CHAR(160)," ")),'Catalog'!$C:$C,0)),""))))</f>
        <v>4408072</v>
      </c>
      <c r="H3972" s="8" t="str">
        <f aca="false">IFERROR(INDEX('TRANS'!$C:$C,MATCH($B3972,'TRANS'!$A:$A,0)),IFERROR(INDEX('Catalog'!$B:$B,MATCH($G3972,'Catalog'!$A:$A,0)),$B3972))</f>
        <v>59D M חגורת שבר דו צדדי</v>
      </c>
      <c r="I3972" s="8" t="str">
        <f aca="false">IF($G3972="","Unmatched","Matched")</f>
        <v>Matched</v>
      </c>
      <c r="J3972" s="8" t="n">
        <f aca="false">IF($G3972&lt;&gt;"",$G3972,$B3972)</f>
        <v>4408072</v>
      </c>
      <c r="K3972" s="8" t="str">
        <f aca="false">IF(COUNTIF($M$1:$M$10,$A3972)&gt;0,"Y","N")</f>
        <v>N</v>
      </c>
    </row>
    <row r="3973" customFormat="false" ht="15" hidden="false" customHeight="true" outlineLevel="0" collapsed="false">
      <c r="A3973" s="8" t="s">
        <v>1106</v>
      </c>
      <c r="B3973" s="8" t="s">
        <v>879</v>
      </c>
      <c r="C3973" s="19" t="n">
        <v>0</v>
      </c>
      <c r="D3973" s="19" t="n">
        <v>0</v>
      </c>
      <c r="E3973" s="19" t="n">
        <v>2</v>
      </c>
      <c r="F3973" s="19" t="n">
        <v>168.64</v>
      </c>
      <c r="G3973" s="8" t="n">
        <f aca="false">IFERROR(INDEX('TRANS'!$B:$B,MATCH($B3973,'TRANS'!$A:$A,0)),IFERROR(INDEX('TRANS'!$B:$B,MATCH(TRIM(SUBSTITUTE($B3973,CHAR(160)," ")),'TRANS'!$D:$D,0)),IFERROR(INDEX('Catalog'!$A:$A,MATCH($B3973,'Catalog'!$B:$B,0)),IFERROR(INDEX('Catalog'!$A:$A,MATCH(TRIM(SUBSTITUTE($B3973,CHAR(160)," ")),'Catalog'!$C:$C,0)),""))))</f>
        <v>4408070</v>
      </c>
      <c r="H3973" s="8" t="str">
        <f aca="false">IFERROR(INDEX('TRANS'!$C:$C,MATCH($B3973,'TRANS'!$A:$A,0)),IFERROR(INDEX('Catalog'!$B:$B,MATCH($G3973,'Catalog'!$A:$A,0)),$B3973))</f>
        <v>59D S חגורת שבר דו צדדי</v>
      </c>
      <c r="I3973" s="8" t="str">
        <f aca="false">IF($G3973="","Unmatched","Matched")</f>
        <v>Matched</v>
      </c>
      <c r="J3973" s="8" t="n">
        <f aca="false">IF($G3973&lt;&gt;"",$G3973,$B3973)</f>
        <v>4408070</v>
      </c>
      <c r="K3973" s="8" t="str">
        <f aca="false">IF(COUNTIF($M$1:$M$10,$A3973)&gt;0,"Y","N")</f>
        <v>N</v>
      </c>
    </row>
    <row r="3974" customFormat="false" ht="15" hidden="false" customHeight="true" outlineLevel="0" collapsed="false">
      <c r="A3974" s="8" t="s">
        <v>1106</v>
      </c>
      <c r="B3974" s="8" t="s">
        <v>979</v>
      </c>
      <c r="C3974" s="19" t="n">
        <v>3</v>
      </c>
      <c r="D3974" s="19" t="n">
        <v>302.22</v>
      </c>
      <c r="E3974" s="19" t="n">
        <v>0</v>
      </c>
      <c r="F3974" s="19" t="n">
        <v>0</v>
      </c>
      <c r="G3974" s="8" t="n">
        <f aca="false">IFERROR(INDEX('TRANS'!$B:$B,MATCH($B3974,'TRANS'!$A:$A,0)),IFERROR(INDEX('TRANS'!$B:$B,MATCH(TRIM(SUBSTITUTE($B3974,CHAR(160)," ")),'TRANS'!$D:$D,0)),IFERROR(INDEX('Catalog'!$A:$A,MATCH($B3974,'Catalog'!$B:$B,0)),IFERROR(INDEX('Catalog'!$A:$A,MATCH(TRIM(SUBSTITUTE($B3974,CHAR(160)," ")),'Catalog'!$C:$C,0)),""))))</f>
        <v>4408073</v>
      </c>
      <c r="H3974" s="8" t="str">
        <f aca="false">IFERROR(INDEX('TRANS'!$C:$C,MATCH($B3974,'TRANS'!$A:$A,0)),IFERROR(INDEX('Catalog'!$B:$B,MATCH($G3974,'Catalog'!$A:$A,0)),$B3974))</f>
        <v>59D XL חגורת שבר דו צדדי</v>
      </c>
      <c r="I3974" s="8" t="str">
        <f aca="false">IF($G3974="","Unmatched","Matched")</f>
        <v>Matched</v>
      </c>
      <c r="J3974" s="8" t="n">
        <f aca="false">IF($G3974&lt;&gt;"",$G3974,$B3974)</f>
        <v>4408073</v>
      </c>
      <c r="K3974" s="8" t="str">
        <f aca="false">IF(COUNTIF($M$1:$M$10,$A3974)&gt;0,"Y","N")</f>
        <v>N</v>
      </c>
    </row>
    <row r="3975" customFormat="false" ht="15" hidden="false" customHeight="true" outlineLevel="0" collapsed="false">
      <c r="A3975" s="8" t="s">
        <v>1106</v>
      </c>
      <c r="B3975" s="8" t="s">
        <v>691</v>
      </c>
      <c r="C3975" s="19" t="n">
        <v>9</v>
      </c>
      <c r="D3975" s="19" t="n">
        <v>226.4</v>
      </c>
      <c r="E3975" s="19" t="n">
        <v>6</v>
      </c>
      <c r="F3975" s="19" t="n">
        <v>130.72</v>
      </c>
      <c r="G3975" s="8" t="n">
        <f aca="false">IFERROR(INDEX('TRANS'!$B:$B,MATCH($B3975,'TRANS'!$A:$A,0)),IFERROR(INDEX('TRANS'!$B:$B,MATCH(TRIM(SUBSTITUTE($B3975,CHAR(160)," ")),'TRANS'!$D:$D,0)),IFERROR(INDEX('Catalog'!$A:$A,MATCH($B3975,'Catalog'!$B:$B,0)),IFERROR(INDEX('Catalog'!$A:$A,MATCH(TRIM(SUBSTITUTE($B3975,CHAR(160)," ")),'Catalog'!$C:$C,0)),""))))</f>
        <v>4418001</v>
      </c>
      <c r="H3975" s="8" t="str">
        <f aca="false">IFERROR(INDEX('TRANS'!$C:$C,MATCH($B3975,'TRANS'!$A:$A,0)),IFERROR(INDEX('Catalog'!$B:$B,MATCH($G3975,'Catalog'!$A:$A,0)),$B3975))</f>
        <v>60 M צוארון ספוגי</v>
      </c>
      <c r="I3975" s="8" t="str">
        <f aca="false">IF($G3975="","Unmatched","Matched")</f>
        <v>Matched</v>
      </c>
      <c r="J3975" s="8" t="n">
        <f aca="false">IF($G3975&lt;&gt;"",$G3975,$B3975)</f>
        <v>4418001</v>
      </c>
      <c r="K3975" s="8" t="str">
        <f aca="false">IF(COUNTIF($M$1:$M$10,$A3975)&gt;0,"Y","N")</f>
        <v>N</v>
      </c>
    </row>
    <row r="3976" customFormat="false" ht="15" hidden="false" customHeight="true" outlineLevel="0" collapsed="false">
      <c r="A3976" s="8" t="s">
        <v>1106</v>
      </c>
      <c r="B3976" s="8" t="s">
        <v>692</v>
      </c>
      <c r="C3976" s="19" t="n">
        <v>8</v>
      </c>
      <c r="D3976" s="19" t="n">
        <v>200.37</v>
      </c>
      <c r="E3976" s="19" t="n">
        <v>3</v>
      </c>
      <c r="F3976" s="19" t="n">
        <v>65.36</v>
      </c>
      <c r="G3976" s="8" t="n">
        <f aca="false">IFERROR(INDEX('TRANS'!$B:$B,MATCH($B3976,'TRANS'!$A:$A,0)),IFERROR(INDEX('TRANS'!$B:$B,MATCH(TRIM(SUBSTITUTE($B3976,CHAR(160)," ")),'TRANS'!$D:$D,0)),IFERROR(INDEX('Catalog'!$A:$A,MATCH($B3976,'Catalog'!$B:$B,0)),IFERROR(INDEX('Catalog'!$A:$A,MATCH(TRIM(SUBSTITUTE($B3976,CHAR(160)," ")),'Catalog'!$C:$C,0)),""))))</f>
        <v>4418002</v>
      </c>
      <c r="H3976" s="8" t="str">
        <f aca="false">IFERROR(INDEX('TRANS'!$C:$C,MATCH($B3976,'TRANS'!$A:$A,0)),IFERROR(INDEX('Catalog'!$B:$B,MATCH($G3976,'Catalog'!$A:$A,0)),$B3976))</f>
        <v>60 S צוארון ספוגי</v>
      </c>
      <c r="I3976" s="8" t="str">
        <f aca="false">IF($G3976="","Unmatched","Matched")</f>
        <v>Matched</v>
      </c>
      <c r="J3976" s="8" t="n">
        <f aca="false">IF($G3976&lt;&gt;"",$G3976,$B3976)</f>
        <v>4418002</v>
      </c>
      <c r="K3976" s="8" t="str">
        <f aca="false">IF(COUNTIF($M$1:$M$10,$A3976)&gt;0,"Y","N")</f>
        <v>N</v>
      </c>
    </row>
    <row r="3977" customFormat="false" ht="15" hidden="false" customHeight="true" outlineLevel="0" collapsed="false">
      <c r="A3977" s="8" t="s">
        <v>1106</v>
      </c>
      <c r="B3977" s="8" t="s">
        <v>93</v>
      </c>
      <c r="C3977" s="19" t="n">
        <v>0</v>
      </c>
      <c r="D3977" s="19" t="n">
        <v>0</v>
      </c>
      <c r="E3977" s="19" t="n">
        <v>10</v>
      </c>
      <c r="F3977" s="19" t="n">
        <v>249.47</v>
      </c>
      <c r="G3977" s="8" t="str">
        <f aca="false">IFERROR(INDEX('TRANS'!$B:$B,MATCH($B3977,'TRANS'!$A:$A,0)),IFERROR(INDEX('TRANS'!$B:$B,MATCH(TRIM(SUBSTITUTE($B3977,CHAR(160)," ")),'TRANS'!$D:$D,0)),IFERROR(INDEX('Catalog'!$A:$A,MATCH($B3977,'Catalog'!$B:$B,0)),IFERROR(INDEX('Catalog'!$A:$A,MATCH(TRIM(SUBSTITUTE($B3977,CHAR(160)," ")),'Catalog'!$C:$C,0)),""))))</f>
        <v/>
      </c>
      <c r="H3977" s="8" t="str">
        <f aca="false">IFERROR(INDEX('TRANS'!$C:$C,MATCH($B3977,'TRANS'!$A:$A,0)),IFERROR(INDEX('Catalog'!$B:$B,MATCH($G3977,'Catalog'!$A:$A,0)),$B3977))</f>
        <v>60B L</v>
      </c>
      <c r="I3977" s="8" t="str">
        <f aca="false">IF($G3977="","Unmatched","Matched")</f>
        <v>Unmatched</v>
      </c>
      <c r="J3977" s="8" t="str">
        <f aca="false">IF($G3977&lt;&gt;"",$G3977,$B3977)</f>
        <v>60B L</v>
      </c>
      <c r="K3977" s="8" t="str">
        <f aca="false">IF(COUNTIF($M$1:$M$10,$A3977)&gt;0,"Y","N")</f>
        <v>N</v>
      </c>
    </row>
    <row r="3978" customFormat="false" ht="15" hidden="false" customHeight="true" outlineLevel="0" collapsed="false">
      <c r="A3978" s="8" t="s">
        <v>1106</v>
      </c>
      <c r="B3978" s="8" t="s">
        <v>75</v>
      </c>
      <c r="C3978" s="19" t="n">
        <v>23</v>
      </c>
      <c r="D3978" s="19" t="n">
        <v>663</v>
      </c>
      <c r="E3978" s="19" t="n">
        <v>15</v>
      </c>
      <c r="F3978" s="19" t="n">
        <v>374.21</v>
      </c>
      <c r="G3978" s="8" t="str">
        <f aca="false">IFERROR(INDEX('TRANS'!$B:$B,MATCH($B3978,'TRANS'!$A:$A,0)),IFERROR(INDEX('TRANS'!$B:$B,MATCH(TRIM(SUBSTITUTE($B3978,CHAR(160)," ")),'TRANS'!$D:$D,0)),IFERROR(INDEX('Catalog'!$A:$A,MATCH($B3978,'Catalog'!$B:$B,0)),IFERROR(INDEX('Catalog'!$A:$A,MATCH(TRIM(SUBSTITUTE($B3978,CHAR(160)," ")),'Catalog'!$C:$C,0)),""))))</f>
        <v/>
      </c>
      <c r="H3978" s="8" t="str">
        <f aca="false">IFERROR(INDEX('TRANS'!$C:$C,MATCH($B3978,'TRANS'!$A:$A,0)),IFERROR(INDEX('Catalog'!$B:$B,MATCH($G3978,'Catalog'!$A:$A,0)),$B3978))</f>
        <v>60B M</v>
      </c>
      <c r="I3978" s="8" t="str">
        <f aca="false">IF($G3978="","Unmatched","Matched")</f>
        <v>Unmatched</v>
      </c>
      <c r="J3978" s="8" t="str">
        <f aca="false">IF($G3978&lt;&gt;"",$G3978,$B3978)</f>
        <v>60B M</v>
      </c>
      <c r="K3978" s="8" t="str">
        <f aca="false">IF(COUNTIF($M$1:$M$10,$A3978)&gt;0,"Y","N")</f>
        <v>N</v>
      </c>
    </row>
    <row r="3979" customFormat="false" ht="15" hidden="false" customHeight="true" outlineLevel="0" collapsed="false">
      <c r="A3979" s="8" t="s">
        <v>1106</v>
      </c>
      <c r="B3979" s="8" t="s">
        <v>85</v>
      </c>
      <c r="C3979" s="19" t="n">
        <v>18</v>
      </c>
      <c r="D3979" s="19" t="n">
        <v>521.48</v>
      </c>
      <c r="E3979" s="19" t="n">
        <v>10</v>
      </c>
      <c r="F3979" s="19" t="n">
        <v>249.47</v>
      </c>
      <c r="G3979" s="8" t="str">
        <f aca="false">IFERROR(INDEX('TRANS'!$B:$B,MATCH($B3979,'TRANS'!$A:$A,0)),IFERROR(INDEX('TRANS'!$B:$B,MATCH(TRIM(SUBSTITUTE($B3979,CHAR(160)," ")),'TRANS'!$D:$D,0)),IFERROR(INDEX('Catalog'!$A:$A,MATCH($B3979,'Catalog'!$B:$B,0)),IFERROR(INDEX('Catalog'!$A:$A,MATCH(TRIM(SUBSTITUTE($B3979,CHAR(160)," ")),'Catalog'!$C:$C,0)),""))))</f>
        <v/>
      </c>
      <c r="H3979" s="8" t="str">
        <f aca="false">IFERROR(INDEX('TRANS'!$C:$C,MATCH($B3979,'TRANS'!$A:$A,0)),IFERROR(INDEX('Catalog'!$B:$B,MATCH($G3979,'Catalog'!$A:$A,0)),$B3979))</f>
        <v>60B S</v>
      </c>
      <c r="I3979" s="8" t="str">
        <f aca="false">IF($G3979="","Unmatched","Matched")</f>
        <v>Unmatched</v>
      </c>
      <c r="J3979" s="8" t="str">
        <f aca="false">IF($G3979&lt;&gt;"",$G3979,$B3979)</f>
        <v>60B S</v>
      </c>
      <c r="K3979" s="8" t="str">
        <f aca="false">IF(COUNTIF($M$1:$M$10,$A3979)&gt;0,"Y","N")</f>
        <v>N</v>
      </c>
    </row>
    <row r="3980" customFormat="false" ht="15" hidden="false" customHeight="true" outlineLevel="0" collapsed="false">
      <c r="A3980" s="8" t="s">
        <v>1106</v>
      </c>
      <c r="B3980" s="8" t="s">
        <v>257</v>
      </c>
      <c r="C3980" s="19" t="n">
        <v>0</v>
      </c>
      <c r="D3980" s="19" t="n">
        <v>0</v>
      </c>
      <c r="E3980" s="19" t="n">
        <v>5</v>
      </c>
      <c r="F3980" s="19" t="n">
        <v>124.74</v>
      </c>
      <c r="G3980" s="8" t="str">
        <f aca="false">IFERROR(INDEX('TRANS'!$B:$B,MATCH($B3980,'TRANS'!$A:$A,0)),IFERROR(INDEX('TRANS'!$B:$B,MATCH(TRIM(SUBSTITUTE($B3980,CHAR(160)," ")),'TRANS'!$D:$D,0)),IFERROR(INDEX('Catalog'!$A:$A,MATCH($B3980,'Catalog'!$B:$B,0)),IFERROR(INDEX('Catalog'!$A:$A,MATCH(TRIM(SUBSTITUTE($B3980,CHAR(160)," ")),'Catalog'!$C:$C,0)),""))))</f>
        <v/>
      </c>
      <c r="H3980" s="8" t="str">
        <f aca="false">IFERROR(INDEX('TRANS'!$C:$C,MATCH($B3980,'TRANS'!$A:$A,0)),IFERROR(INDEX('Catalog'!$B:$B,MATCH($G3980,'Catalog'!$A:$A,0)),$B3980))</f>
        <v>60B XL</v>
      </c>
      <c r="I3980" s="8" t="str">
        <f aca="false">IF($G3980="","Unmatched","Matched")</f>
        <v>Unmatched</v>
      </c>
      <c r="J3980" s="8" t="str">
        <f aca="false">IF($G3980&lt;&gt;"",$G3980,$B3980)</f>
        <v>60B XL</v>
      </c>
      <c r="K3980" s="8" t="str">
        <f aca="false">IF(COUNTIF($M$1:$M$10,$A3980)&gt;0,"Y","N")</f>
        <v>N</v>
      </c>
    </row>
    <row r="3981" customFormat="false" ht="15" hidden="false" customHeight="true" outlineLevel="0" collapsed="false">
      <c r="A3981" s="8" t="s">
        <v>1106</v>
      </c>
      <c r="B3981" s="8" t="s">
        <v>537</v>
      </c>
      <c r="C3981" s="19" t="n">
        <v>10</v>
      </c>
      <c r="D3981" s="19" t="n">
        <v>283.04</v>
      </c>
      <c r="E3981" s="19" t="n">
        <v>0</v>
      </c>
      <c r="F3981" s="19" t="n">
        <v>0</v>
      </c>
      <c r="G3981" s="8" t="str">
        <f aca="false">IFERROR(INDEX('TRANS'!$B:$B,MATCH($B3981,'TRANS'!$A:$A,0)),IFERROR(INDEX('TRANS'!$B:$B,MATCH(TRIM(SUBSTITUTE($B3981,CHAR(160)," ")),'TRANS'!$D:$D,0)),IFERROR(INDEX('Catalog'!$A:$A,MATCH($B3981,'Catalog'!$B:$B,0)),IFERROR(INDEX('Catalog'!$A:$A,MATCH(TRIM(SUBSTITUTE($B3981,CHAR(160)," ")),'Catalog'!$C:$C,0)),""))))</f>
        <v/>
      </c>
      <c r="H3981" s="8" t="str">
        <f aca="false">IFERROR(INDEX('TRANS'!$C:$C,MATCH($B3981,'TRANS'!$A:$A,0)),IFERROR(INDEX('Catalog'!$B:$B,MATCH($G3981,'Catalog'!$A:$A,0)),$B3981))</f>
        <v>60B XS</v>
      </c>
      <c r="I3981" s="8" t="str">
        <f aca="false">IF($G3981="","Unmatched","Matched")</f>
        <v>Unmatched</v>
      </c>
      <c r="J3981" s="8" t="str">
        <f aca="false">IF($G3981&lt;&gt;"",$G3981,$B3981)</f>
        <v>60B XS</v>
      </c>
      <c r="K3981" s="8" t="str">
        <f aca="false">IF(COUNTIF($M$1:$M$10,$A3981)&gt;0,"Y","N")</f>
        <v>N</v>
      </c>
    </row>
    <row r="3982" customFormat="false" ht="15" hidden="false" customHeight="true" outlineLevel="0" collapsed="false">
      <c r="A3982" s="8" t="s">
        <v>1106</v>
      </c>
      <c r="B3982" s="8" t="s">
        <v>96</v>
      </c>
      <c r="C3982" s="19" t="n">
        <v>0</v>
      </c>
      <c r="D3982" s="19" t="n">
        <v>0</v>
      </c>
      <c r="E3982" s="19" t="n">
        <v>3</v>
      </c>
      <c r="F3982" s="19" t="n">
        <v>74.84</v>
      </c>
      <c r="G3982" s="8" t="str">
        <f aca="false">IFERROR(INDEX('TRANS'!$B:$B,MATCH($B3982,'TRANS'!$A:$A,0)),IFERROR(INDEX('TRANS'!$B:$B,MATCH(TRIM(SUBSTITUTE($B3982,CHAR(160)," ")),'TRANS'!$D:$D,0)),IFERROR(INDEX('Catalog'!$A:$A,MATCH($B3982,'Catalog'!$B:$B,0)),IFERROR(INDEX('Catalog'!$A:$A,MATCH(TRIM(SUBSTITUTE($B3982,CHAR(160)," ")),'Catalog'!$C:$C,0)),""))))</f>
        <v/>
      </c>
      <c r="H3982" s="8" t="str">
        <f aca="false">IFERROR(INDEX('TRANS'!$C:$C,MATCH($B3982,'TRANS'!$A:$A,0)),IFERROR(INDEX('Catalog'!$B:$B,MATCH($G3982,'Catalog'!$A:$A,0)),$B3982))</f>
        <v>63 L</v>
      </c>
      <c r="I3982" s="8" t="str">
        <f aca="false">IF($G3982="","Unmatched","Matched")</f>
        <v>Unmatched</v>
      </c>
      <c r="J3982" s="8" t="str">
        <f aca="false">IF($G3982&lt;&gt;"",$G3982,$B3982)</f>
        <v>63 L</v>
      </c>
      <c r="K3982" s="8" t="str">
        <f aca="false">IF(COUNTIF($M$1:$M$10,$A3982)&gt;0,"Y","N")</f>
        <v>N</v>
      </c>
    </row>
    <row r="3983" customFormat="false" ht="15" hidden="false" customHeight="true" outlineLevel="0" collapsed="false">
      <c r="A3983" s="8" t="s">
        <v>1106</v>
      </c>
      <c r="B3983" s="8" t="s">
        <v>109</v>
      </c>
      <c r="C3983" s="19" t="n">
        <v>2</v>
      </c>
      <c r="D3983" s="19" t="n">
        <v>56.61</v>
      </c>
      <c r="E3983" s="19" t="n">
        <v>3</v>
      </c>
      <c r="F3983" s="19" t="n">
        <v>74.84</v>
      </c>
      <c r="G3983" s="8" t="str">
        <f aca="false">IFERROR(INDEX('TRANS'!$B:$B,MATCH($B3983,'TRANS'!$A:$A,0)),IFERROR(INDEX('TRANS'!$B:$B,MATCH(TRIM(SUBSTITUTE($B3983,CHAR(160)," ")),'TRANS'!$D:$D,0)),IFERROR(INDEX('Catalog'!$A:$A,MATCH($B3983,'Catalog'!$B:$B,0)),IFERROR(INDEX('Catalog'!$A:$A,MATCH(TRIM(SUBSTITUTE($B3983,CHAR(160)," ")),'Catalog'!$C:$C,0)),""))))</f>
        <v/>
      </c>
      <c r="H3983" s="8" t="str">
        <f aca="false">IFERROR(INDEX('TRANS'!$C:$C,MATCH($B3983,'TRANS'!$A:$A,0)),IFERROR(INDEX('Catalog'!$B:$B,MATCH($G3983,'Catalog'!$A:$A,0)),$B3983))</f>
        <v>63 M</v>
      </c>
      <c r="I3983" s="8" t="str">
        <f aca="false">IF($G3983="","Unmatched","Matched")</f>
        <v>Unmatched</v>
      </c>
      <c r="J3983" s="8" t="str">
        <f aca="false">IF($G3983&lt;&gt;"",$G3983,$B3983)</f>
        <v>63 M</v>
      </c>
      <c r="K3983" s="8" t="str">
        <f aca="false">IF(COUNTIF($M$1:$M$10,$A3983)&gt;0,"Y","N")</f>
        <v>N</v>
      </c>
    </row>
    <row r="3984" customFormat="false" ht="15" hidden="false" customHeight="true" outlineLevel="0" collapsed="false">
      <c r="A3984" s="8" t="s">
        <v>1106</v>
      </c>
      <c r="B3984" s="8" t="s">
        <v>157</v>
      </c>
      <c r="C3984" s="19" t="n">
        <v>2</v>
      </c>
      <c r="D3984" s="19" t="n">
        <v>56.61</v>
      </c>
      <c r="E3984" s="19" t="n">
        <v>2</v>
      </c>
      <c r="F3984" s="19" t="n">
        <v>49.89</v>
      </c>
      <c r="G3984" s="8" t="str">
        <f aca="false">IFERROR(INDEX('TRANS'!$B:$B,MATCH($B3984,'TRANS'!$A:$A,0)),IFERROR(INDEX('TRANS'!$B:$B,MATCH(TRIM(SUBSTITUTE($B3984,CHAR(160)," ")),'TRANS'!$D:$D,0)),IFERROR(INDEX('Catalog'!$A:$A,MATCH($B3984,'Catalog'!$B:$B,0)),IFERROR(INDEX('Catalog'!$A:$A,MATCH(TRIM(SUBSTITUTE($B3984,CHAR(160)," ")),'Catalog'!$C:$C,0)),""))))</f>
        <v/>
      </c>
      <c r="H3984" s="8" t="str">
        <f aca="false">IFERROR(INDEX('TRANS'!$C:$C,MATCH($B3984,'TRANS'!$A:$A,0)),IFERROR(INDEX('Catalog'!$B:$B,MATCH($G3984,'Catalog'!$A:$A,0)),$B3984))</f>
        <v>63 S</v>
      </c>
      <c r="I3984" s="8" t="str">
        <f aca="false">IF($G3984="","Unmatched","Matched")</f>
        <v>Unmatched</v>
      </c>
      <c r="J3984" s="8" t="str">
        <f aca="false">IF($G3984&lt;&gt;"",$G3984,$B3984)</f>
        <v>63 S</v>
      </c>
      <c r="K3984" s="8" t="str">
        <f aca="false">IF(COUNTIF($M$1:$M$10,$A3984)&gt;0,"Y","N")</f>
        <v>N</v>
      </c>
    </row>
    <row r="3985" customFormat="false" ht="15" hidden="false" customHeight="true" outlineLevel="0" collapsed="false">
      <c r="A3985" s="8" t="s">
        <v>1106</v>
      </c>
      <c r="B3985" s="8" t="s">
        <v>694</v>
      </c>
      <c r="C3985" s="19" t="n">
        <v>0</v>
      </c>
      <c r="D3985" s="19" t="n">
        <v>0</v>
      </c>
      <c r="E3985" s="19" t="n">
        <v>4</v>
      </c>
      <c r="F3985" s="19" t="n">
        <v>345.94</v>
      </c>
      <c r="G3985" s="8" t="n">
        <f aca="false">IFERROR(INDEX('TRANS'!$B:$B,MATCH($B3985,'TRANS'!$A:$A,0)),IFERROR(INDEX('TRANS'!$B:$B,MATCH(TRIM(SUBSTITUTE($B3985,CHAR(160)," ")),'TRANS'!$D:$D,0)),IFERROR(INDEX('Catalog'!$A:$A,MATCH($B3985,'Catalog'!$B:$B,0)),IFERROR(INDEX('Catalog'!$A:$A,MATCH(TRIM(SUBSTITUTE($B3985,CHAR(160)," ")),'Catalog'!$C:$C,0)),""))))</f>
        <v>4413132</v>
      </c>
      <c r="H3985" s="8" t="str">
        <f aca="false">IFERROR(INDEX('TRANS'!$C:$C,MATCH($B3985,'TRANS'!$A:$A,0)),IFERROR(INDEX('Catalog'!$B:$B,MATCH($G3985,'Catalog'!$A:$A,0)),$B3985))</f>
        <v>76 Lמיישר כתף יציב יישור רחב</v>
      </c>
      <c r="I3985" s="8" t="str">
        <f aca="false">IF($G3985="","Unmatched","Matched")</f>
        <v>Matched</v>
      </c>
      <c r="J3985" s="8" t="n">
        <f aca="false">IF($G3985&lt;&gt;"",$G3985,$B3985)</f>
        <v>4413132</v>
      </c>
      <c r="K3985" s="8" t="str">
        <f aca="false">IF(COUNTIF($M$1:$M$10,$A3985)&gt;0,"Y","N")</f>
        <v>N</v>
      </c>
    </row>
    <row r="3986" customFormat="false" ht="15" hidden="false" customHeight="true" outlineLevel="0" collapsed="false">
      <c r="A3986" s="8" t="s">
        <v>1106</v>
      </c>
      <c r="B3986" s="8" t="s">
        <v>962</v>
      </c>
      <c r="C3986" s="19" t="n">
        <v>3</v>
      </c>
      <c r="D3986" s="19" t="n">
        <v>309.97</v>
      </c>
      <c r="E3986" s="19" t="n">
        <v>2</v>
      </c>
      <c r="F3986" s="19" t="n">
        <v>172.97</v>
      </c>
      <c r="G3986" s="8" t="n">
        <f aca="false">IFERROR(INDEX('TRANS'!$B:$B,MATCH($B3986,'TRANS'!$A:$A,0)),IFERROR(INDEX('TRANS'!$B:$B,MATCH(TRIM(SUBSTITUTE($B3986,CHAR(160)," ")),'TRANS'!$D:$D,0)),IFERROR(INDEX('Catalog'!$A:$A,MATCH($B3986,'Catalog'!$B:$B,0)),IFERROR(INDEX('Catalog'!$A:$A,MATCH(TRIM(SUBSTITUTE($B3986,CHAR(160)," ")),'Catalog'!$C:$C,0)),""))))</f>
        <v>4413133</v>
      </c>
      <c r="H3986" s="8" t="str">
        <f aca="false">IFERROR(INDEX('TRANS'!$C:$C,MATCH($B3986,'TRANS'!$A:$A,0)),IFERROR(INDEX('Catalog'!$B:$B,MATCH($G3986,'Catalog'!$A:$A,0)),$B3986))</f>
        <v>76 Mמיישר כתף יציב,יישור רחב</v>
      </c>
      <c r="I3986" s="8" t="str">
        <f aca="false">IF($G3986="","Unmatched","Matched")</f>
        <v>Matched</v>
      </c>
      <c r="J3986" s="8" t="n">
        <f aca="false">IF($G3986&lt;&gt;"",$G3986,$B3986)</f>
        <v>4413133</v>
      </c>
      <c r="K3986" s="8" t="str">
        <f aca="false">IF(COUNTIF($M$1:$M$10,$A3986)&gt;0,"Y","N")</f>
        <v>N</v>
      </c>
    </row>
    <row r="3987" customFormat="false" ht="15" hidden="false" customHeight="true" outlineLevel="0" collapsed="false">
      <c r="A3987" s="8" t="s">
        <v>1106</v>
      </c>
      <c r="B3987" s="8" t="s">
        <v>821</v>
      </c>
      <c r="C3987" s="19" t="n">
        <v>0</v>
      </c>
      <c r="D3987" s="19" t="n">
        <v>0</v>
      </c>
      <c r="E3987" s="19" t="n">
        <v>2</v>
      </c>
      <c r="F3987" s="19" t="n">
        <v>172.97</v>
      </c>
      <c r="G3987" s="8" t="n">
        <f aca="false">IFERROR(INDEX('TRANS'!$B:$B,MATCH($B3987,'TRANS'!$A:$A,0)),IFERROR(INDEX('TRANS'!$B:$B,MATCH(TRIM(SUBSTITUTE($B3987,CHAR(160)," ")),'TRANS'!$D:$D,0)),IFERROR(INDEX('Catalog'!$A:$A,MATCH($B3987,'Catalog'!$B:$B,0)),IFERROR(INDEX('Catalog'!$A:$A,MATCH(TRIM(SUBSTITUTE($B3987,CHAR(160)," ")),'Catalog'!$C:$C,0)),""))))</f>
        <v>4413131</v>
      </c>
      <c r="H3987" s="8" t="str">
        <f aca="false">IFERROR(INDEX('TRANS'!$C:$C,MATCH($B3987,'TRANS'!$A:$A,0)),IFERROR(INDEX('Catalog'!$B:$B,MATCH($G3987,'Catalog'!$A:$A,0)),$B3987))</f>
        <v>76 Sמיישר כתף יציב יישור ג.רחב</v>
      </c>
      <c r="I3987" s="8" t="str">
        <f aca="false">IF($G3987="","Unmatched","Matched")</f>
        <v>Matched</v>
      </c>
      <c r="J3987" s="8" t="n">
        <f aca="false">IF($G3987&lt;&gt;"",$G3987,$B3987)</f>
        <v>4413131</v>
      </c>
      <c r="K3987" s="8" t="str">
        <f aca="false">IF(COUNTIF($M$1:$M$10,$A3987)&gt;0,"Y","N")</f>
        <v>N</v>
      </c>
    </row>
    <row r="3988" customFormat="false" ht="15" hidden="false" customHeight="true" outlineLevel="0" collapsed="false">
      <c r="A3988" s="8" t="s">
        <v>1106</v>
      </c>
      <c r="B3988" s="8" t="s">
        <v>695</v>
      </c>
      <c r="C3988" s="19" t="n">
        <v>0</v>
      </c>
      <c r="D3988" s="19" t="n">
        <v>0</v>
      </c>
      <c r="E3988" s="19" t="n">
        <v>2</v>
      </c>
      <c r="F3988" s="19" t="n">
        <v>172.97</v>
      </c>
      <c r="G3988" s="8" t="n">
        <f aca="false">IFERROR(INDEX('TRANS'!$B:$B,MATCH($B3988,'TRANS'!$A:$A,0)),IFERROR(INDEX('TRANS'!$B:$B,MATCH(TRIM(SUBSTITUTE($B3988,CHAR(160)," ")),'TRANS'!$D:$D,0)),IFERROR(INDEX('Catalog'!$A:$A,MATCH($B3988,'Catalog'!$B:$B,0)),IFERROR(INDEX('Catalog'!$A:$A,MATCH(TRIM(SUBSTITUTE($B3988,CHAR(160)," ")),'Catalog'!$C:$C,0)),""))))</f>
        <v>4413134</v>
      </c>
      <c r="H3988" s="8" t="str">
        <f aca="false">IFERROR(INDEX('TRANS'!$C:$C,MATCH($B3988,'TRANS'!$A:$A,0)),IFERROR(INDEX('Catalog'!$B:$B,MATCH($G3988,'Catalog'!$A:$A,0)),$B3988))</f>
        <v>76 XLמיישר כתף יציב יישור רחב</v>
      </c>
      <c r="I3988" s="8" t="str">
        <f aca="false">IF($G3988="","Unmatched","Matched")</f>
        <v>Matched</v>
      </c>
      <c r="J3988" s="8" t="n">
        <f aca="false">IF($G3988&lt;&gt;"",$G3988,$B3988)</f>
        <v>4413134</v>
      </c>
      <c r="K3988" s="8" t="str">
        <f aca="false">IF(COUNTIF($M$1:$M$10,$A3988)&gt;0,"Y","N")</f>
        <v>N</v>
      </c>
    </row>
    <row r="3989" customFormat="false" ht="15" hidden="false" customHeight="true" outlineLevel="0" collapsed="false">
      <c r="A3989" s="8" t="s">
        <v>1106</v>
      </c>
      <c r="B3989" s="8" t="s">
        <v>321</v>
      </c>
      <c r="C3989" s="19" t="n">
        <v>4</v>
      </c>
      <c r="D3989" s="19" t="n">
        <v>273.41</v>
      </c>
      <c r="E3989" s="19" t="n">
        <v>0</v>
      </c>
      <c r="F3989" s="19" t="n">
        <v>0</v>
      </c>
      <c r="G3989" s="8" t="str">
        <f aca="false">IFERROR(INDEX('TRANS'!$B:$B,MATCH($B3989,'TRANS'!$A:$A,0)),IFERROR(INDEX('TRANS'!$B:$B,MATCH(TRIM(SUBSTITUTE($B3989,CHAR(160)," ")),'TRANS'!$D:$D,0)),IFERROR(INDEX('Catalog'!$A:$A,MATCH($B3989,'Catalog'!$B:$B,0)),IFERROR(INDEX('Catalog'!$A:$A,MATCH(TRIM(SUBSTITUTE($B3989,CHAR(160)," ")),'Catalog'!$C:$C,0)),""))))</f>
        <v/>
      </c>
      <c r="H3989" s="8" t="str">
        <f aca="false">IFERROR(INDEX('TRANS'!$C:$C,MATCH($B3989,'TRANS'!$A:$A,0)),IFERROR(INDEX('Catalog'!$B:$B,MATCH($G3989,'Catalog'!$A:$A,0)),$B3989))</f>
        <v>78A L</v>
      </c>
      <c r="I3989" s="8" t="str">
        <f aca="false">IF($G3989="","Unmatched","Matched")</f>
        <v>Unmatched</v>
      </c>
      <c r="J3989" s="8" t="str">
        <f aca="false">IF($G3989&lt;&gt;"",$G3989,$B3989)</f>
        <v>78A L</v>
      </c>
      <c r="K3989" s="8" t="str">
        <f aca="false">IF(COUNTIF($M$1:$M$10,$A3989)&gt;0,"Y","N")</f>
        <v>N</v>
      </c>
    </row>
    <row r="3990" customFormat="false" ht="15" hidden="false" customHeight="true" outlineLevel="0" collapsed="false">
      <c r="A3990" s="8" t="s">
        <v>1106</v>
      </c>
      <c r="B3990" s="8" t="s">
        <v>322</v>
      </c>
      <c r="C3990" s="19" t="n">
        <v>6</v>
      </c>
      <c r="D3990" s="19" t="n">
        <v>410.12</v>
      </c>
      <c r="E3990" s="19" t="n">
        <v>0</v>
      </c>
      <c r="F3990" s="19" t="n">
        <v>0</v>
      </c>
      <c r="G3990" s="8" t="str">
        <f aca="false">IFERROR(INDEX('TRANS'!$B:$B,MATCH($B3990,'TRANS'!$A:$A,0)),IFERROR(INDEX('TRANS'!$B:$B,MATCH(TRIM(SUBSTITUTE($B3990,CHAR(160)," ")),'TRANS'!$D:$D,0)),IFERROR(INDEX('Catalog'!$A:$A,MATCH($B3990,'Catalog'!$B:$B,0)),IFERROR(INDEX('Catalog'!$A:$A,MATCH(TRIM(SUBSTITUTE($B3990,CHAR(160)," ")),'Catalog'!$C:$C,0)),""))))</f>
        <v/>
      </c>
      <c r="H3990" s="8" t="str">
        <f aca="false">IFERROR(INDEX('TRANS'!$C:$C,MATCH($B3990,'TRANS'!$A:$A,0)),IFERROR(INDEX('Catalog'!$B:$B,MATCH($G3990,'Catalog'!$A:$A,0)),$B3990))</f>
        <v>78A M</v>
      </c>
      <c r="I3990" s="8" t="str">
        <f aca="false">IF($G3990="","Unmatched","Matched")</f>
        <v>Unmatched</v>
      </c>
      <c r="J3990" s="8" t="str">
        <f aca="false">IF($G3990&lt;&gt;"",$G3990,$B3990)</f>
        <v>78A M</v>
      </c>
      <c r="K3990" s="8" t="str">
        <f aca="false">IF(COUNTIF($M$1:$M$10,$A3990)&gt;0,"Y","N")</f>
        <v>N</v>
      </c>
    </row>
    <row r="3991" customFormat="false" ht="15" hidden="false" customHeight="true" outlineLevel="0" collapsed="false">
      <c r="A3991" s="8" t="s">
        <v>1106</v>
      </c>
      <c r="B3991" s="8" t="s">
        <v>699</v>
      </c>
      <c r="C3991" s="19" t="n">
        <v>0</v>
      </c>
      <c r="D3991" s="19" t="n">
        <v>0</v>
      </c>
      <c r="E3991" s="19" t="n">
        <v>12</v>
      </c>
      <c r="F3991" s="19" t="n">
        <v>99.79</v>
      </c>
      <c r="G3991" s="8" t="n">
        <f aca="false">IFERROR(INDEX('TRANS'!$B:$B,MATCH($B3991,'TRANS'!$A:$A,0)),IFERROR(INDEX('TRANS'!$B:$B,MATCH(TRIM(SUBSTITUTE($B3991,CHAR(160)," ")),'TRANS'!$D:$D,0)),IFERROR(INDEX('Catalog'!$A:$A,MATCH($B3991,'Catalog'!$B:$B,0)),IFERROR(INDEX('Catalog'!$A:$A,MATCH(TRIM(SUBSTITUTE($B3991,CHAR(160)," ")),'Catalog'!$C:$C,0)),""))))</f>
        <v>4409012</v>
      </c>
      <c r="H3991" s="8" t="str">
        <f aca="false">IFERROR(INDEX('TRANS'!$C:$C,MATCH($B3991,'TRANS'!$A:$A,0)),IFERROR(INDEX('Catalog'!$B:$B,MATCH($G3991,'Catalog'!$A:$A,0)),$B3991))</f>
        <v>804AT-C      טייפ חבישה לספורט</v>
      </c>
      <c r="I3991" s="8" t="str">
        <f aca="false">IF($G3991="","Unmatched","Matched")</f>
        <v>Matched</v>
      </c>
      <c r="J3991" s="8" t="n">
        <f aca="false">IF($G3991&lt;&gt;"",$G3991,$B3991)</f>
        <v>4409012</v>
      </c>
      <c r="K3991" s="8" t="str">
        <f aca="false">IF(COUNTIF($M$1:$M$10,$A3991)&gt;0,"Y","N")</f>
        <v>N</v>
      </c>
    </row>
    <row r="3992" customFormat="false" ht="15" hidden="false" customHeight="true" outlineLevel="0" collapsed="false">
      <c r="A3992" s="8" t="s">
        <v>1106</v>
      </c>
      <c r="B3992" s="8" t="s">
        <v>824</v>
      </c>
      <c r="C3992" s="19" t="n">
        <v>12</v>
      </c>
      <c r="D3992" s="19" t="n">
        <v>85.84</v>
      </c>
      <c r="E3992" s="19" t="n">
        <v>0</v>
      </c>
      <c r="F3992" s="19" t="n">
        <v>0</v>
      </c>
      <c r="G3992" s="8" t="n">
        <f aca="false">IFERROR(INDEX('TRANS'!$B:$B,MATCH($B3992,'TRANS'!$A:$A,0)),IFERROR(INDEX('TRANS'!$B:$B,MATCH(TRIM(SUBSTITUTE($B3992,CHAR(160)," ")),'TRANS'!$D:$D,0)),IFERROR(INDEX('Catalog'!$A:$A,MATCH($B3992,'Catalog'!$B:$B,0)),IFERROR(INDEX('Catalog'!$A:$A,MATCH(TRIM(SUBSTITUTE($B3992,CHAR(160)," ")),'Catalog'!$C:$C,0)),""))))</f>
        <v>4422023</v>
      </c>
      <c r="H3992" s="8" t="str">
        <f aca="false">IFERROR(INDEX('TRANS'!$C:$C,MATCH($B3992,'TRANS'!$A:$A,0)),IFERROR(INDEX('Catalog'!$B:$B,MATCH($G3992,'Catalog'!$A:$A,0)),$B3992))</f>
        <v>806CB-BEIGE      תחבושת א.נצמ</v>
      </c>
      <c r="I3992" s="8" t="str">
        <f aca="false">IF($G3992="","Unmatched","Matched")</f>
        <v>Matched</v>
      </c>
      <c r="J3992" s="8" t="n">
        <f aca="false">IF($G3992&lt;&gt;"",$G3992,$B3992)</f>
        <v>4422023</v>
      </c>
      <c r="K3992" s="8" t="str">
        <f aca="false">IF(COUNTIF($M$1:$M$10,$A3992)&gt;0,"Y","N")</f>
        <v>N</v>
      </c>
    </row>
    <row r="3993" customFormat="false" ht="15" hidden="false" customHeight="true" outlineLevel="0" collapsed="false">
      <c r="A3993" s="8" t="s">
        <v>1106</v>
      </c>
      <c r="B3993" s="8" t="s">
        <v>826</v>
      </c>
      <c r="C3993" s="19" t="n">
        <v>12</v>
      </c>
      <c r="D3993" s="19" t="n">
        <v>85.84</v>
      </c>
      <c r="E3993" s="19" t="n">
        <v>0</v>
      </c>
      <c r="F3993" s="19" t="n">
        <v>0</v>
      </c>
      <c r="G3993" s="8" t="n">
        <f aca="false">IFERROR(INDEX('TRANS'!$B:$B,MATCH($B3993,'TRANS'!$A:$A,0)),IFERROR(INDEX('TRANS'!$B:$B,MATCH(TRIM(SUBSTITUTE($B3993,CHAR(160)," ")),'TRANS'!$D:$D,0)),IFERROR(INDEX('Catalog'!$A:$A,MATCH($B3993,'Catalog'!$B:$B,0)),IFERROR(INDEX('Catalog'!$A:$A,MATCH(TRIM(SUBSTITUTE($B3993,CHAR(160)," ")),'Catalog'!$C:$C,0)),""))))</f>
        <v>4422026</v>
      </c>
      <c r="H3993" s="8" t="str">
        <f aca="false">IFERROR(INDEX('TRANS'!$C:$C,MATCH($B3993,'TRANS'!$A:$A,0)),IFERROR(INDEX('Catalog'!$B:$B,MATCH($G3993,'Catalog'!$A:$A,0)),$B3993))</f>
        <v>806CB-PINK       תחבושת א.נצמ</v>
      </c>
      <c r="I3993" s="8" t="str">
        <f aca="false">IF($G3993="","Unmatched","Matched")</f>
        <v>Matched</v>
      </c>
      <c r="J3993" s="8" t="n">
        <f aca="false">IF($G3993&lt;&gt;"",$G3993,$B3993)</f>
        <v>4422026</v>
      </c>
      <c r="K3993" s="8" t="str">
        <f aca="false">IF(COUNTIF($M$1:$M$10,$A3993)&gt;0,"Y","N")</f>
        <v>N</v>
      </c>
    </row>
    <row r="3994" customFormat="false" ht="15" hidden="false" customHeight="true" outlineLevel="0" collapsed="false">
      <c r="A3994" s="8" t="s">
        <v>1106</v>
      </c>
      <c r="B3994" s="8" t="s">
        <v>705</v>
      </c>
      <c r="C3994" s="19" t="n">
        <v>12</v>
      </c>
      <c r="D3994" s="19" t="n">
        <v>169.29</v>
      </c>
      <c r="E3994" s="19" t="n">
        <v>0</v>
      </c>
      <c r="F3994" s="19" t="n">
        <v>0</v>
      </c>
      <c r="G3994" s="8" t="n">
        <f aca="false">IFERROR(INDEX('TRANS'!$B:$B,MATCH($B3994,'TRANS'!$A:$A,0)),IFERROR(INDEX('TRANS'!$B:$B,MATCH(TRIM(SUBSTITUTE($B3994,CHAR(160)," ")),'TRANS'!$D:$D,0)),IFERROR(INDEX('Catalog'!$A:$A,MATCH($B3994,'Catalog'!$B:$B,0)),IFERROR(INDEX('Catalog'!$A:$A,MATCH(TRIM(SUBSTITUTE($B3994,CHAR(160)," ")),'Catalog'!$C:$C,0)),""))))</f>
        <v>4409017</v>
      </c>
      <c r="H3994" s="8" t="str">
        <f aca="false">IFERROR(INDEX('TRANS'!$C:$C,MATCH($B3994,'TRANS'!$A:$A,0)),IFERROR(INDEX('Catalog'!$B:$B,MATCH($G3994,'Catalog'!$A:$A,0)),$B3994))</f>
        <v>808KT-B        טייפ קינזיולוגי</v>
      </c>
      <c r="I3994" s="8" t="str">
        <f aca="false">IF($G3994="","Unmatched","Matched")</f>
        <v>Matched</v>
      </c>
      <c r="J3994" s="8" t="n">
        <f aca="false">IF($G3994&lt;&gt;"",$G3994,$B3994)</f>
        <v>4409017</v>
      </c>
      <c r="K3994" s="8" t="str">
        <f aca="false">IF(COUNTIF($M$1:$M$10,$A3994)&gt;0,"Y","N")</f>
        <v>N</v>
      </c>
    </row>
    <row r="3995" customFormat="false" ht="15" hidden="false" customHeight="true" outlineLevel="0" collapsed="false">
      <c r="A3995" s="8" t="s">
        <v>1106</v>
      </c>
      <c r="B3995" s="8" t="s">
        <v>887</v>
      </c>
      <c r="C3995" s="19" t="n">
        <v>12</v>
      </c>
      <c r="D3995" s="19" t="n">
        <v>169.29</v>
      </c>
      <c r="E3995" s="19" t="n">
        <v>0</v>
      </c>
      <c r="F3995" s="19" t="n">
        <v>0</v>
      </c>
      <c r="G3995" s="8" t="n">
        <f aca="false">IFERROR(INDEX('TRANS'!$B:$B,MATCH($B3995,'TRANS'!$A:$A,0)),IFERROR(INDEX('TRANS'!$B:$B,MATCH(TRIM(SUBSTITUTE($B3995,CHAR(160)," ")),'TRANS'!$D:$D,0)),IFERROR(INDEX('Catalog'!$A:$A,MATCH($B3995,'Catalog'!$B:$B,0)),IFERROR(INDEX('Catalog'!$A:$A,MATCH(TRIM(SUBSTITUTE($B3995,CHAR(160)," ")),'Catalog'!$C:$C,0)),""))))</f>
        <v>4409014</v>
      </c>
      <c r="H3995" s="8" t="str">
        <f aca="false">IFERROR(INDEX('TRANS'!$C:$C,MATCH($B3995,'TRANS'!$A:$A,0)),IFERROR(INDEX('Catalog'!$B:$B,MATCH($G3995,'Catalog'!$A:$A,0)),$B3995))</f>
        <v>808KT-P        טייפ קינזיולוגי</v>
      </c>
      <c r="I3995" s="8" t="str">
        <f aca="false">IF($G3995="","Unmatched","Matched")</f>
        <v>Matched</v>
      </c>
      <c r="J3995" s="8" t="n">
        <f aca="false">IF($G3995&lt;&gt;"",$G3995,$B3995)</f>
        <v>4409014</v>
      </c>
      <c r="K3995" s="8" t="str">
        <f aca="false">IF(COUNTIF($M$1:$M$10,$A3995)&gt;0,"Y","N")</f>
        <v>N</v>
      </c>
    </row>
    <row r="3996" customFormat="false" ht="15" hidden="false" customHeight="true" outlineLevel="0" collapsed="false">
      <c r="A3996" s="8" t="s">
        <v>1106</v>
      </c>
      <c r="B3996" s="8" t="s">
        <v>708</v>
      </c>
      <c r="C3996" s="19" t="n">
        <v>0</v>
      </c>
      <c r="D3996" s="19" t="n">
        <v>0</v>
      </c>
      <c r="E3996" s="19" t="n">
        <v>3</v>
      </c>
      <c r="F3996" s="19" t="n">
        <v>54.88</v>
      </c>
      <c r="G3996" s="8" t="n">
        <f aca="false">IFERROR(INDEX('TRANS'!$B:$B,MATCH($B3996,'TRANS'!$A:$A,0)),IFERROR(INDEX('TRANS'!$B:$B,MATCH(TRIM(SUBSTITUTE($B3996,CHAR(160)," ")),'TRANS'!$D:$D,0)),IFERROR(INDEX('Catalog'!$A:$A,MATCH($B3996,'Catalog'!$B:$B,0)),IFERROR(INDEX('Catalog'!$A:$A,MATCH(TRIM(SUBSTITUTE($B3996,CHAR(160)," ")),'Catalog'!$C:$C,0)),""))))</f>
        <v>4413135</v>
      </c>
      <c r="H3996" s="8" t="str">
        <f aca="false">IFERROR(INDEX('TRANS'!$C:$C,MATCH($B3996,'TRANS'!$A:$A,0)),IFERROR(INDEX('Catalog'!$B:$B,MATCH($G3996,'Catalog'!$A:$A,0)),$B3996))</f>
        <v>85 L (מתלה ליד )כיס</v>
      </c>
      <c r="I3996" s="8" t="str">
        <f aca="false">IF($G3996="","Unmatched","Matched")</f>
        <v>Matched</v>
      </c>
      <c r="J3996" s="8" t="n">
        <f aca="false">IF($G3996&lt;&gt;"",$G3996,$B3996)</f>
        <v>4413135</v>
      </c>
      <c r="K3996" s="8" t="str">
        <f aca="false">IF(COUNTIF($M$1:$M$10,$A3996)&gt;0,"Y","N")</f>
        <v>N</v>
      </c>
    </row>
    <row r="3997" customFormat="false" ht="15" hidden="false" customHeight="true" outlineLevel="0" collapsed="false">
      <c r="A3997" s="8" t="s">
        <v>1106</v>
      </c>
      <c r="B3997" s="8" t="s">
        <v>709</v>
      </c>
      <c r="C3997" s="19" t="n">
        <v>0</v>
      </c>
      <c r="D3997" s="19" t="n">
        <v>0</v>
      </c>
      <c r="E3997" s="19" t="n">
        <v>4</v>
      </c>
      <c r="F3997" s="19" t="n">
        <v>73.18</v>
      </c>
      <c r="G3997" s="8" t="n">
        <f aca="false">IFERROR(INDEX('TRANS'!$B:$B,MATCH($B3997,'TRANS'!$A:$A,0)),IFERROR(INDEX('TRANS'!$B:$B,MATCH(TRIM(SUBSTITUTE($B3997,CHAR(160)," ")),'TRANS'!$D:$D,0)),IFERROR(INDEX('Catalog'!$A:$A,MATCH($B3997,'Catalog'!$B:$B,0)),IFERROR(INDEX('Catalog'!$A:$A,MATCH(TRIM(SUBSTITUTE($B3997,CHAR(160)," ")),'Catalog'!$C:$C,0)),""))))</f>
        <v>4413136</v>
      </c>
      <c r="H3997" s="8" t="str">
        <f aca="false">IFERROR(INDEX('TRANS'!$C:$C,MATCH($B3997,'TRANS'!$A:$A,0)),IFERROR(INDEX('Catalog'!$B:$B,MATCH($G3997,'Catalog'!$A:$A,0)),$B3997))</f>
        <v>85 M (מתלה ליד )כיס</v>
      </c>
      <c r="I3997" s="8" t="str">
        <f aca="false">IF($G3997="","Unmatched","Matched")</f>
        <v>Matched</v>
      </c>
      <c r="J3997" s="8" t="n">
        <f aca="false">IF($G3997&lt;&gt;"",$G3997,$B3997)</f>
        <v>4413136</v>
      </c>
      <c r="K3997" s="8" t="str">
        <f aca="false">IF(COUNTIF($M$1:$M$10,$A3997)&gt;0,"Y","N")</f>
        <v>N</v>
      </c>
    </row>
    <row r="3998" customFormat="false" ht="15" hidden="false" customHeight="true" outlineLevel="0" collapsed="false">
      <c r="A3998" s="8" t="s">
        <v>1106</v>
      </c>
      <c r="B3998" s="8" t="s">
        <v>963</v>
      </c>
      <c r="C3998" s="19" t="n">
        <v>2</v>
      </c>
      <c r="D3998" s="19" t="n">
        <v>41.51</v>
      </c>
      <c r="E3998" s="19" t="n">
        <v>0</v>
      </c>
      <c r="F3998" s="19" t="n">
        <v>0</v>
      </c>
      <c r="G3998" s="8" t="n">
        <f aca="false">IFERROR(INDEX('TRANS'!$B:$B,MATCH($B3998,'TRANS'!$A:$A,0)),IFERROR(INDEX('TRANS'!$B:$B,MATCH(TRIM(SUBSTITUTE($B3998,CHAR(160)," ")),'TRANS'!$D:$D,0)),IFERROR(INDEX('Catalog'!$A:$A,MATCH($B3998,'Catalog'!$B:$B,0)),IFERROR(INDEX('Catalog'!$A:$A,MATCH(TRIM(SUBSTITUTE($B3998,CHAR(160)," ")),'Catalog'!$C:$C,0)),""))))</f>
        <v>4413137</v>
      </c>
      <c r="H3998" s="8" t="str">
        <f aca="false">IFERROR(INDEX('TRANS'!$C:$C,MATCH($B3998,'TRANS'!$A:$A,0)),IFERROR(INDEX('Catalog'!$B:$B,MATCH($G3998,'Catalog'!$A:$A,0)),$B3998))</f>
        <v>85 S (מתלה ליד )כיס</v>
      </c>
      <c r="I3998" s="8" t="str">
        <f aca="false">IF($G3998="","Unmatched","Matched")</f>
        <v>Matched</v>
      </c>
      <c r="J3998" s="8" t="n">
        <f aca="false">IF($G3998&lt;&gt;"",$G3998,$B3998)</f>
        <v>4413137</v>
      </c>
      <c r="K3998" s="8" t="str">
        <f aca="false">IF(COUNTIF($M$1:$M$10,$A3998)&gt;0,"Y","N")</f>
        <v>N</v>
      </c>
    </row>
    <row r="3999" customFormat="false" ht="15" hidden="false" customHeight="true" outlineLevel="0" collapsed="false">
      <c r="A3999" s="8" t="s">
        <v>1106</v>
      </c>
      <c r="B3999" s="8" t="s">
        <v>710</v>
      </c>
      <c r="C3999" s="19" t="n">
        <v>0</v>
      </c>
      <c r="D3999" s="19" t="n">
        <v>0</v>
      </c>
      <c r="E3999" s="19" t="n">
        <v>2</v>
      </c>
      <c r="F3999" s="19" t="n">
        <v>36.59</v>
      </c>
      <c r="G3999" s="8" t="n">
        <f aca="false">IFERROR(INDEX('TRANS'!$B:$B,MATCH($B3999,'TRANS'!$A:$A,0)),IFERROR(INDEX('TRANS'!$B:$B,MATCH(TRIM(SUBSTITUTE($B3999,CHAR(160)," ")),'TRANS'!$D:$D,0)),IFERROR(INDEX('Catalog'!$A:$A,MATCH($B3999,'Catalog'!$B:$B,0)),IFERROR(INDEX('Catalog'!$A:$A,MATCH(TRIM(SUBSTITUTE($B3999,CHAR(160)," ")),'Catalog'!$C:$C,0)),""))))</f>
        <v>4413138</v>
      </c>
      <c r="H3999" s="8" t="str">
        <f aca="false">IFERROR(INDEX('TRANS'!$C:$C,MATCH($B3999,'TRANS'!$A:$A,0)),IFERROR(INDEX('Catalog'!$B:$B,MATCH($G3999,'Catalog'!$A:$A,0)),$B3999))</f>
        <v>85 XL (מתלה ליד )כיס</v>
      </c>
      <c r="I3999" s="8" t="str">
        <f aca="false">IF($G3999="","Unmatched","Matched")</f>
        <v>Matched</v>
      </c>
      <c r="J3999" s="8" t="n">
        <f aca="false">IF($G3999&lt;&gt;"",$G3999,$B3999)</f>
        <v>4413138</v>
      </c>
      <c r="K3999" s="8" t="str">
        <f aca="false">IF(COUNTIF($M$1:$M$10,$A3999)&gt;0,"Y","N")</f>
        <v>N</v>
      </c>
    </row>
    <row r="4000" customFormat="false" ht="15" hidden="false" customHeight="true" outlineLevel="0" collapsed="false">
      <c r="A4000" s="8" t="s">
        <v>1106</v>
      </c>
      <c r="B4000" s="8" t="s">
        <v>833</v>
      </c>
      <c r="C4000" s="19" t="n">
        <v>0</v>
      </c>
      <c r="D4000" s="19" t="n">
        <v>0</v>
      </c>
      <c r="E4000" s="19" t="n">
        <v>15</v>
      </c>
      <c r="F4000" s="19" t="n">
        <v>598.73</v>
      </c>
      <c r="G4000" s="8" t="n">
        <f aca="false">IFERROR(INDEX('TRANS'!$B:$B,MATCH($B4000,'TRANS'!$A:$A,0)),IFERROR(INDEX('TRANS'!$B:$B,MATCH(TRIM(SUBSTITUTE($B4000,CHAR(160)," ")),'TRANS'!$D:$D,0)),IFERROR(INDEX('Catalog'!$A:$A,MATCH($B4000,'Catalog'!$B:$B,0)),IFERROR(INDEX('Catalog'!$A:$A,MATCH(TRIM(SUBSTITUTE($B4000,CHAR(160)," ")),'Catalog'!$C:$C,0)),""))))</f>
        <v>4408266</v>
      </c>
      <c r="H4000" s="8" t="str">
        <f aca="false">IFERROR(INDEX('TRANS'!$C:$C,MATCH($B4000,'TRANS'!$A:$A,0)),IFERROR(INDEX('Catalog'!$B:$B,MATCH($G4000,'Catalog'!$A:$A,0)),$B4000))</f>
        <v>91B חבק טניס אלבו</v>
      </c>
      <c r="I4000" s="8" t="str">
        <f aca="false">IF($G4000="","Unmatched","Matched")</f>
        <v>Matched</v>
      </c>
      <c r="J4000" s="8" t="n">
        <f aca="false">IF($G4000&lt;&gt;"",$G4000,$B4000)</f>
        <v>4408266</v>
      </c>
      <c r="K4000" s="8" t="str">
        <f aca="false">IF(COUNTIF($M$1:$M$10,$A4000)&gt;0,"Y","N")</f>
        <v>N</v>
      </c>
    </row>
    <row r="4001" customFormat="false" ht="15" hidden="false" customHeight="true" outlineLevel="0" collapsed="false">
      <c r="A4001" s="8" t="s">
        <v>1106</v>
      </c>
      <c r="B4001" s="8" t="s">
        <v>716</v>
      </c>
      <c r="C4001" s="19" t="n">
        <v>0</v>
      </c>
      <c r="D4001" s="19" t="n">
        <v>0</v>
      </c>
      <c r="E4001" s="19" t="n">
        <v>5</v>
      </c>
      <c r="F4001" s="19" t="n">
        <v>51.56</v>
      </c>
      <c r="G4001" s="8" t="n">
        <f aca="false">IFERROR(INDEX('TRANS'!$B:$B,MATCH($B4001,'TRANS'!$A:$A,0)),IFERROR(INDEX('TRANS'!$B:$B,MATCH(TRIM(SUBSTITUTE($B4001,CHAR(160)," ")),'TRANS'!$D:$D,0)),IFERROR(INDEX('Catalog'!$A:$A,MATCH($B4001,'Catalog'!$B:$B,0)),IFERROR(INDEX('Catalog'!$A:$A,MATCH(TRIM(SUBSTITUTE($B4001,CHAR(160)," ")),'Catalog'!$C:$C,0)),""))))</f>
        <v>4413140</v>
      </c>
      <c r="H4001" s="8" t="str">
        <f aca="false">IFERROR(INDEX('TRANS'!$C:$C,MATCH($B4001,'TRANS'!$A:$A,0)),IFERROR(INDEX('Catalog'!$B:$B,MATCH($G4001,'Catalog'!$A:$A,0)),$B4001))</f>
        <v>95 M מגן מרפק רגיל לבן</v>
      </c>
      <c r="I4001" s="8" t="str">
        <f aca="false">IF($G4001="","Unmatched","Matched")</f>
        <v>Matched</v>
      </c>
      <c r="J4001" s="8" t="n">
        <f aca="false">IF($G4001&lt;&gt;"",$G4001,$B4001)</f>
        <v>4413140</v>
      </c>
      <c r="K4001" s="8" t="str">
        <f aca="false">IF(COUNTIF($M$1:$M$10,$A4001)&gt;0,"Y","N")</f>
        <v>N</v>
      </c>
    </row>
    <row r="4002" customFormat="false" ht="15" hidden="false" customHeight="true" outlineLevel="0" collapsed="false">
      <c r="A4002" s="8" t="s">
        <v>1106</v>
      </c>
      <c r="B4002" s="8" t="s">
        <v>837</v>
      </c>
      <c r="C4002" s="19" t="n">
        <v>0</v>
      </c>
      <c r="D4002" s="19" t="n">
        <v>0</v>
      </c>
      <c r="E4002" s="19" t="n">
        <v>3</v>
      </c>
      <c r="F4002" s="19" t="n">
        <v>30.93</v>
      </c>
      <c r="G4002" s="8" t="n">
        <f aca="false">IFERROR(INDEX('TRANS'!$B:$B,MATCH($B4002,'TRANS'!$A:$A,0)),IFERROR(INDEX('TRANS'!$B:$B,MATCH(TRIM(SUBSTITUTE($B4002,CHAR(160)," ")),'TRANS'!$D:$D,0)),IFERROR(INDEX('Catalog'!$A:$A,MATCH($B4002,'Catalog'!$B:$B,0)),IFERROR(INDEX('Catalog'!$A:$A,MATCH(TRIM(SUBSTITUTE($B4002,CHAR(160)," ")),'Catalog'!$C:$C,0)),""))))</f>
        <v>4413141</v>
      </c>
      <c r="H4002" s="8" t="str">
        <f aca="false">IFERROR(INDEX('TRANS'!$C:$C,MATCH($B4002,'TRANS'!$A:$A,0)),IFERROR(INDEX('Catalog'!$B:$B,MATCH($G4002,'Catalog'!$A:$A,0)),$B4002))</f>
        <v>95 S מגן מרפק רגיל לבן</v>
      </c>
      <c r="I4002" s="8" t="str">
        <f aca="false">IF($G4002="","Unmatched","Matched")</f>
        <v>Matched</v>
      </c>
      <c r="J4002" s="8" t="n">
        <f aca="false">IF($G4002&lt;&gt;"",$G4002,$B4002)</f>
        <v>4413141</v>
      </c>
      <c r="K4002" s="8" t="str">
        <f aca="false">IF(COUNTIF($M$1:$M$10,$A4002)&gt;0,"Y","N")</f>
        <v>N</v>
      </c>
    </row>
    <row r="4003" customFormat="false" ht="15" hidden="false" customHeight="true" outlineLevel="0" collapsed="false">
      <c r="A4003" s="8" t="s">
        <v>1106</v>
      </c>
      <c r="B4003" s="8" t="s">
        <v>719</v>
      </c>
      <c r="C4003" s="19" t="n">
        <v>0</v>
      </c>
      <c r="D4003" s="19" t="n">
        <v>0</v>
      </c>
      <c r="E4003" s="19" t="n">
        <v>4</v>
      </c>
      <c r="F4003" s="19" t="n">
        <v>41.25</v>
      </c>
      <c r="G4003" s="8" t="n">
        <f aca="false">IFERROR(INDEX('TRANS'!$B:$B,MATCH($B4003,'TRANS'!$A:$A,0)),IFERROR(INDEX('TRANS'!$B:$B,MATCH(TRIM(SUBSTITUTE($B4003,CHAR(160)," ")),'TRANS'!$D:$D,0)),IFERROR(INDEX('Catalog'!$A:$A,MATCH($B4003,'Catalog'!$B:$B,0)),IFERROR(INDEX('Catalog'!$A:$A,MATCH(TRIM(SUBSTITUTE($B4003,CHAR(160)," ")),'Catalog'!$C:$C,0)),""))))</f>
        <v>4413502</v>
      </c>
      <c r="H4003" s="8" t="str">
        <f aca="false">IFERROR(INDEX('TRANS'!$C:$C,MATCH($B4003,'TRANS'!$A:$A,0)),IFERROR(INDEX('Catalog'!$B:$B,MATCH($G4003,'Catalog'!$A:$A,0)),$B4003))</f>
        <v>95B S מגן מרפק שחור</v>
      </c>
      <c r="I4003" s="8" t="str">
        <f aca="false">IF($G4003="","Unmatched","Matched")</f>
        <v>Matched</v>
      </c>
      <c r="J4003" s="8" t="n">
        <f aca="false">IF($G4003&lt;&gt;"",$G4003,$B4003)</f>
        <v>4413502</v>
      </c>
      <c r="K4003" s="8" t="str">
        <f aca="false">IF(COUNTIF($M$1:$M$10,$A4003)&gt;0,"Y","N")</f>
        <v>N</v>
      </c>
    </row>
    <row r="4004" customFormat="false" ht="15" hidden="false" customHeight="true" outlineLevel="0" collapsed="false">
      <c r="A4004" s="8" t="s">
        <v>1106</v>
      </c>
      <c r="B4004" s="8" t="s">
        <v>723</v>
      </c>
      <c r="C4004" s="19" t="n">
        <v>35</v>
      </c>
      <c r="D4004" s="19" t="n">
        <v>1954.88</v>
      </c>
      <c r="E4004" s="19" t="n">
        <v>40</v>
      </c>
      <c r="F4004" s="19" t="n">
        <v>1969.17</v>
      </c>
      <c r="G4004" s="8" t="n">
        <f aca="false">IFERROR(INDEX('TRANS'!$B:$B,MATCH($B4004,'TRANS'!$A:$A,0)),IFERROR(INDEX('TRANS'!$B:$B,MATCH(TRIM(SUBSTITUTE($B4004,CHAR(160)," ")),'TRANS'!$D:$D,0)),IFERROR(INDEX('Catalog'!$A:$A,MATCH($B4004,'Catalog'!$B:$B,0)),IFERROR(INDEX('Catalog'!$A:$A,MATCH(TRIM(SUBSTITUTE($B4004,CHAR(160)," ")),'Catalog'!$C:$C,0)),""))))</f>
        <v>4408205</v>
      </c>
      <c r="H4004" s="8" t="str">
        <f aca="false">IFERROR(INDEX('TRANS'!$C:$C,MATCH($B4004,'TRANS'!$A:$A,0)),IFERROR(INDEX('Catalog'!$B:$B,MATCH($G4004,'Catalog'!$A:$A,0)),$B4004))</f>
        <v>AC-07 חגורת גב עם תמיכות</v>
      </c>
      <c r="I4004" s="8" t="str">
        <f aca="false">IF($G4004="","Unmatched","Matched")</f>
        <v>Matched</v>
      </c>
      <c r="J4004" s="8" t="n">
        <f aca="false">IF($G4004&lt;&gt;"",$G4004,$B4004)</f>
        <v>4408205</v>
      </c>
      <c r="K4004" s="8" t="str">
        <f aca="false">IF(COUNTIF($M$1:$M$10,$A4004)&gt;0,"Y","N")</f>
        <v>N</v>
      </c>
    </row>
    <row r="4005" customFormat="false" ht="15" hidden="false" customHeight="true" outlineLevel="0" collapsed="false">
      <c r="A4005" s="8" t="s">
        <v>1106</v>
      </c>
      <c r="B4005" s="8" t="s">
        <v>725</v>
      </c>
      <c r="C4005" s="19" t="n">
        <v>70</v>
      </c>
      <c r="D4005" s="19" t="n">
        <v>1148.25</v>
      </c>
      <c r="E4005" s="19" t="n">
        <v>40</v>
      </c>
      <c r="F4005" s="19" t="n">
        <v>565.47</v>
      </c>
      <c r="G4005" s="8" t="n">
        <f aca="false">IFERROR(INDEX('TRANS'!$B:$B,MATCH($B4005,'TRANS'!$A:$A,0)),IFERROR(INDEX('TRANS'!$B:$B,MATCH(TRIM(SUBSTITUTE($B4005,CHAR(160)," ")),'TRANS'!$D:$D,0)),IFERROR(INDEX('Catalog'!$A:$A,MATCH($B4005,'Catalog'!$B:$B,0)),IFERROR(INDEX('Catalog'!$A:$A,MATCH(TRIM(SUBSTITUTE($B4005,CHAR(160)," ")),'Catalog'!$C:$C,0)),""))))</f>
        <v>4408207</v>
      </c>
      <c r="H4005" s="8" t="str">
        <f aca="false">IFERROR(INDEX('TRANS'!$C:$C,MATCH($B4005,'TRANS'!$A:$A,0)),IFERROR(INDEX('Catalog'!$B:$B,MATCH($G4005,'Catalog'!$A:$A,0)),$B4005))</f>
        <v>AC-25 חבק לשורש כף היד</v>
      </c>
      <c r="I4005" s="8" t="str">
        <f aca="false">IF($G4005="","Unmatched","Matched")</f>
        <v>Matched</v>
      </c>
      <c r="J4005" s="8" t="n">
        <f aca="false">IF($G4005&lt;&gt;"",$G4005,$B4005)</f>
        <v>4408207</v>
      </c>
      <c r="K4005" s="8" t="str">
        <f aca="false">IF(COUNTIF($M$1:$M$10,$A4005)&gt;0,"Y","N")</f>
        <v>N</v>
      </c>
    </row>
    <row r="4006" customFormat="false" ht="15" hidden="false" customHeight="true" outlineLevel="0" collapsed="false">
      <c r="A4006" s="8" t="s">
        <v>1106</v>
      </c>
      <c r="B4006" s="8" t="s">
        <v>728</v>
      </c>
      <c r="C4006" s="19" t="n">
        <v>50</v>
      </c>
      <c r="D4006" s="19" t="n">
        <v>819.34</v>
      </c>
      <c r="E4006" s="19" t="n">
        <v>25</v>
      </c>
      <c r="F4006" s="19" t="n">
        <v>351.76</v>
      </c>
      <c r="G4006" s="8" t="n">
        <f aca="false">IFERROR(INDEX('TRANS'!$B:$B,MATCH($B4006,'TRANS'!$A:$A,0)),IFERROR(INDEX('TRANS'!$B:$B,MATCH(TRIM(SUBSTITUTE($B4006,CHAR(160)," ")),'TRANS'!$D:$D,0)),IFERROR(INDEX('Catalog'!$A:$A,MATCH($B4006,'Catalog'!$B:$B,0)),IFERROR(INDEX('Catalog'!$A:$A,MATCH(TRIM(SUBSTITUTE($B4006,CHAR(160)," ")),'Catalog'!$C:$C,0)),""))))</f>
        <v>4415028</v>
      </c>
      <c r="H4006" s="8" t="str">
        <f aca="false">IFERROR(INDEX('TRANS'!$C:$C,MATCH($B4006,'TRANS'!$A:$A,0)),IFERROR(INDEX('Catalog'!$B:$B,MATCH($G4006,'Catalog'!$A:$A,0)),$B4006))</f>
        <v>AC-28 סד לאגודל</v>
      </c>
      <c r="I4006" s="8" t="str">
        <f aca="false">IF($G4006="","Unmatched","Matched")</f>
        <v>Matched</v>
      </c>
      <c r="J4006" s="8" t="n">
        <f aca="false">IF($G4006&lt;&gt;"",$G4006,$B4006)</f>
        <v>4415028</v>
      </c>
      <c r="K4006" s="8" t="str">
        <f aca="false">IF(COUNTIF($M$1:$M$10,$A4006)&gt;0,"Y","N")</f>
        <v>N</v>
      </c>
    </row>
    <row r="4007" customFormat="false" ht="15" hidden="false" customHeight="true" outlineLevel="0" collapsed="false">
      <c r="A4007" s="8" t="s">
        <v>1106</v>
      </c>
      <c r="B4007" s="8" t="s">
        <v>729</v>
      </c>
      <c r="C4007" s="19" t="n">
        <v>20</v>
      </c>
      <c r="D4007" s="19" t="n">
        <v>406.77</v>
      </c>
      <c r="E4007" s="19" t="n">
        <v>15</v>
      </c>
      <c r="F4007" s="19" t="n">
        <v>261.95</v>
      </c>
      <c r="G4007" s="8" t="n">
        <f aca="false">IFERROR(INDEX('TRANS'!$B:$B,MATCH($B4007,'TRANS'!$A:$A,0)),IFERROR(INDEX('TRANS'!$B:$B,MATCH(TRIM(SUBSTITUTE($B4007,CHAR(160)," ")),'TRANS'!$D:$D,0)),IFERROR(INDEX('Catalog'!$A:$A,MATCH($B4007,'Catalog'!$B:$B,0)),IFERROR(INDEX('Catalog'!$A:$A,MATCH(TRIM(SUBSTITUTE($B4007,CHAR(160)," ")),'Catalog'!$C:$C,0)),""))))</f>
        <v>4413326</v>
      </c>
      <c r="H4007" s="8" t="str">
        <f aca="false">IFERROR(INDEX('TRANS'!$C:$C,MATCH($B4007,'TRANS'!$A:$A,0)),IFERROR(INDEX('Catalog'!$B:$B,MATCH($G4007,'Catalog'!$A:$A,0)),$B4007))</f>
        <v>AC37 מגן קרסול נושם</v>
      </c>
      <c r="I4007" s="8" t="str">
        <f aca="false">IF($G4007="","Unmatched","Matched")</f>
        <v>Matched</v>
      </c>
      <c r="J4007" s="8" t="n">
        <f aca="false">IF($G4007&lt;&gt;"",$G4007,$B4007)</f>
        <v>4413326</v>
      </c>
      <c r="K4007" s="8" t="str">
        <f aca="false">IF(COUNTIF($M$1:$M$10,$A4007)&gt;0,"Y","N")</f>
        <v>N</v>
      </c>
    </row>
    <row r="4008" customFormat="false" ht="15" hidden="false" customHeight="true" outlineLevel="0" collapsed="false">
      <c r="A4008" s="8" t="s">
        <v>1106</v>
      </c>
      <c r="B4008" s="8" t="s">
        <v>730</v>
      </c>
      <c r="C4008" s="19" t="n">
        <v>15</v>
      </c>
      <c r="D4008" s="19" t="n">
        <v>503.7</v>
      </c>
      <c r="E4008" s="19" t="n">
        <v>0</v>
      </c>
      <c r="F4008" s="19" t="n">
        <v>0</v>
      </c>
      <c r="G4008" s="8" t="n">
        <f aca="false">IFERROR(INDEX('TRANS'!$B:$B,MATCH($B4008,'TRANS'!$A:$A,0)),IFERROR(INDEX('TRANS'!$B:$B,MATCH(TRIM(SUBSTITUTE($B4008,CHAR(160)," ")),'TRANS'!$D:$D,0)),IFERROR(INDEX('Catalog'!$A:$A,MATCH($B4008,'Catalog'!$B:$B,0)),IFERROR(INDEX('Catalog'!$A:$A,MATCH(TRIM(SUBSTITUTE($B4008,CHAR(160)," ")),'Catalog'!$C:$C,0)),""))))</f>
        <v>4420026</v>
      </c>
      <c r="H4008" s="8" t="str">
        <f aca="false">IFERROR(INDEX('TRANS'!$C:$C,MATCH($B4008,'TRANS'!$A:$A,0)),IFERROR(INDEX('Catalog'!$B:$B,MATCH($G4008,'Catalog'!$A:$A,0)),$B4008))</f>
        <v>AC40 רצועה לפיקת הברך</v>
      </c>
      <c r="I4008" s="8" t="str">
        <f aca="false">IF($G4008="","Unmatched","Matched")</f>
        <v>Matched</v>
      </c>
      <c r="J4008" s="8" t="n">
        <f aca="false">IF($G4008&lt;&gt;"",$G4008,$B4008)</f>
        <v>4420026</v>
      </c>
      <c r="K4008" s="8" t="str">
        <f aca="false">IF(COUNTIF($M$1:$M$10,$A4008)&gt;0,"Y","N")</f>
        <v>N</v>
      </c>
    </row>
    <row r="4009" customFormat="false" ht="15" hidden="false" customHeight="true" outlineLevel="0" collapsed="false">
      <c r="A4009" s="8" t="s">
        <v>1106</v>
      </c>
      <c r="B4009" s="8" t="s">
        <v>558</v>
      </c>
      <c r="C4009" s="19" t="n">
        <v>35</v>
      </c>
      <c r="D4009" s="19" t="n">
        <v>1265.72</v>
      </c>
      <c r="E4009" s="19" t="n">
        <v>0</v>
      </c>
      <c r="F4009" s="19" t="n">
        <v>0</v>
      </c>
      <c r="G4009" s="8" t="n">
        <f aca="false">IFERROR(INDEX('TRANS'!$B:$B,MATCH($B4009,'TRANS'!$A:$A,0)),IFERROR(INDEX('TRANS'!$B:$B,MATCH(TRIM(SUBSTITUTE($B4009,CHAR(160)," ")),'TRANS'!$D:$D,0)),IFERROR(INDEX('Catalog'!$A:$A,MATCH($B4009,'Catalog'!$B:$B,0)),IFERROR(INDEX('Catalog'!$A:$A,MATCH(TRIM(SUBSTITUTE($B4009,CHAR(160)," ")),'Catalog'!$C:$C,0)),""))))</f>
        <v>4413453</v>
      </c>
      <c r="H4009" s="8" t="str">
        <f aca="false">IFERROR(INDEX('TRANS'!$C:$C,MATCH($B4009,'TRANS'!$A:$A,0)),IFERROR(INDEX('Catalog'!$B:$B,MATCH($G4009,'Catalog'!$A:$A,0)),$B4009))</f>
        <v>AC75 מישר כתפיים אקטיב</v>
      </c>
      <c r="I4009" s="8" t="str">
        <f aca="false">IF($G4009="","Unmatched","Matched")</f>
        <v>Matched</v>
      </c>
      <c r="J4009" s="8" t="n">
        <f aca="false">IF($G4009&lt;&gt;"",$G4009,$B4009)</f>
        <v>4413453</v>
      </c>
      <c r="K4009" s="8" t="str">
        <f aca="false">IF(COUNTIF($M$1:$M$10,$A4009)&gt;0,"Y","N")</f>
        <v>N</v>
      </c>
    </row>
    <row r="4010" customFormat="false" ht="15" hidden="false" customHeight="true" outlineLevel="0" collapsed="false">
      <c r="A4010" s="8" t="s">
        <v>1106</v>
      </c>
      <c r="B4010" s="8" t="s">
        <v>733</v>
      </c>
      <c r="C4010" s="19" t="n">
        <v>0</v>
      </c>
      <c r="D4010" s="19" t="n">
        <v>0</v>
      </c>
      <c r="E4010" s="19" t="n">
        <v>30</v>
      </c>
      <c r="F4010" s="19" t="n">
        <v>444.06</v>
      </c>
      <c r="G4010" s="8" t="n">
        <f aca="false">IFERROR(INDEX('TRANS'!$B:$B,MATCH($B4010,'TRANS'!$A:$A,0)),IFERROR(INDEX('TRANS'!$B:$B,MATCH(TRIM(SUBSTITUTE($B4010,CHAR(160)," ")),'TRANS'!$D:$D,0)),IFERROR(INDEX('Catalog'!$A:$A,MATCH($B4010,'Catalog'!$B:$B,0)),IFERROR(INDEX('Catalog'!$A:$A,MATCH(TRIM(SUBSTITUTE($B4010,CHAR(160)," ")),'Catalog'!$C:$C,0)),""))))</f>
        <v>4408208</v>
      </c>
      <c r="H4010" s="8" t="str">
        <f aca="false">IFERROR(INDEX('TRANS'!$C:$C,MATCH($B4010,'TRANS'!$A:$A,0)),IFERROR(INDEX('Catalog'!$B:$B,MATCH($G4010,'Catalog'!$A:$A,0)),$B4010))</f>
        <v>AC91 חבק טניס</v>
      </c>
      <c r="I4010" s="8" t="str">
        <f aca="false">IF($G4010="","Unmatched","Matched")</f>
        <v>Matched</v>
      </c>
      <c r="J4010" s="8" t="n">
        <f aca="false">IF($G4010&lt;&gt;"",$G4010,$B4010)</f>
        <v>4408208</v>
      </c>
      <c r="K4010" s="8" t="str">
        <f aca="false">IF(COUNTIF($M$1:$M$10,$A4010)&gt;0,"Y","N")</f>
        <v>N</v>
      </c>
    </row>
    <row r="4011" customFormat="false" ht="15" hidden="false" customHeight="true" outlineLevel="0" collapsed="false">
      <c r="A4011" s="8" t="s">
        <v>1106</v>
      </c>
      <c r="B4011" s="8" t="s">
        <v>739</v>
      </c>
      <c r="C4011" s="19" t="n">
        <v>20</v>
      </c>
      <c r="D4011" s="19" t="n">
        <v>246.39</v>
      </c>
      <c r="E4011" s="19" t="n">
        <v>20</v>
      </c>
      <c r="F4011" s="19" t="n">
        <v>206.23</v>
      </c>
      <c r="G4011" s="8" t="n">
        <f aca="false">IFERROR(INDEX('TRANS'!$B:$B,MATCH($B4011,'TRANS'!$A:$A,0)),IFERROR(INDEX('TRANS'!$B:$B,MATCH(TRIM(SUBSTITUTE($B4011,CHAR(160)," ")),'TRANS'!$D:$D,0)),IFERROR(INDEX('Catalog'!$A:$A,MATCH($B4011,'Catalog'!$B:$B,0)),IFERROR(INDEX('Catalog'!$A:$A,MATCH(TRIM(SUBSTITUTE($B4011,CHAR(160)," ")),'Catalog'!$C:$C,0)),""))))</f>
        <v>4413056</v>
      </c>
      <c r="H4011" s="8" t="str">
        <f aca="false">IFERROR(INDEX('TRANS'!$C:$C,MATCH($B4011,'TRANS'!$A:$A,0)),IFERROR(INDEX('Catalog'!$B:$B,MATCH($G4011,'Catalog'!$A:$A,0)),$B4011))</f>
        <v>LF360 מדרס מטטרזלי לנעלי עקב</v>
      </c>
      <c r="I4011" s="8" t="str">
        <f aca="false">IF($G4011="","Unmatched","Matched")</f>
        <v>Matched</v>
      </c>
      <c r="J4011" s="8" t="n">
        <f aca="false">IF($G4011&lt;&gt;"",$G4011,$B4011)</f>
        <v>4413056</v>
      </c>
      <c r="K4011" s="8" t="str">
        <f aca="false">IF(COUNTIF($M$1:$M$10,$A4011)&gt;0,"Y","N")</f>
        <v>N</v>
      </c>
    </row>
    <row r="4012" customFormat="false" ht="15" hidden="false" customHeight="true" outlineLevel="0" collapsed="false">
      <c r="A4012" s="8" t="s">
        <v>1106</v>
      </c>
      <c r="B4012" s="8" t="s">
        <v>1005</v>
      </c>
      <c r="C4012" s="19" t="n">
        <v>20</v>
      </c>
      <c r="D4012" s="19" t="n">
        <v>278.18</v>
      </c>
      <c r="E4012" s="19" t="n">
        <v>0</v>
      </c>
      <c r="F4012" s="19" t="n">
        <v>0</v>
      </c>
      <c r="G4012" s="8" t="n">
        <f aca="false">IFERROR(INDEX('TRANS'!$B:$B,MATCH($B4012,'TRANS'!$A:$A,0)),IFERROR(INDEX('TRANS'!$B:$B,MATCH(TRIM(SUBSTITUTE($B4012,CHAR(160)," ")),'TRANS'!$D:$D,0)),IFERROR(INDEX('Catalog'!$A:$A,MATCH($B4012,'Catalog'!$B:$B,0)),IFERROR(INDEX('Catalog'!$A:$A,MATCH(TRIM(SUBSTITUTE($B4012,CHAR(160)," ")),'Catalog'!$C:$C,0)),""))))</f>
        <v>4420023</v>
      </c>
      <c r="H4012" s="8" t="str">
        <f aca="false">IFERROR(INDEX('TRANS'!$C:$C,MATCH($B4012,'TRANS'!$A:$A,0)),IFERROR(INDEX('Catalog'!$B:$B,MATCH($G4012,'Catalog'!$A:$A,0)),$B4012))</f>
        <v>LF371 ריפוד סיליקון לנעלי אצבע</v>
      </c>
      <c r="I4012" s="8" t="str">
        <f aca="false">IF($G4012="","Unmatched","Matched")</f>
        <v>Matched</v>
      </c>
      <c r="J4012" s="8" t="n">
        <f aca="false">IF($G4012&lt;&gt;"",$G4012,$B4012)</f>
        <v>4420023</v>
      </c>
      <c r="K4012" s="8" t="str">
        <f aca="false">IF(COUNTIF($M$1:$M$10,$A4012)&gt;0,"Y","N")</f>
        <v>N</v>
      </c>
    </row>
    <row r="4013" customFormat="false" ht="15" hidden="false" customHeight="true" outlineLevel="0" collapsed="false">
      <c r="A4013" s="8" t="s">
        <v>1106</v>
      </c>
      <c r="B4013" s="8" t="s">
        <v>129</v>
      </c>
      <c r="C4013" s="19" t="n">
        <v>0</v>
      </c>
      <c r="D4013" s="19" t="n">
        <v>0</v>
      </c>
      <c r="E4013" s="19" t="n">
        <v>12</v>
      </c>
      <c r="F4013" s="19" t="n">
        <v>1436.96</v>
      </c>
      <c r="G4013" s="8" t="str">
        <f aca="false">IFERROR(INDEX('TRANS'!$B:$B,MATCH($B4013,'TRANS'!$A:$A,0)),IFERROR(INDEX('TRANS'!$B:$B,MATCH(TRIM(SUBSTITUTE($B4013,CHAR(160)," ")),'TRANS'!$D:$D,0)),IFERROR(INDEX('Catalog'!$A:$A,MATCH($B4013,'Catalog'!$B:$B,0)),IFERROR(INDEX('Catalog'!$A:$A,MATCH(TRIM(SUBSTITUTE($B4013,CHAR(160)," ")),'Catalog'!$C:$C,0)),""))))</f>
        <v/>
      </c>
      <c r="H4013" s="8" t="str">
        <f aca="false">IFERROR(INDEX('TRANS'!$C:$C,MATCH($B4013,'TRANS'!$A:$A,0)),IFERROR(INDEX('Catalog'!$B:$B,MATCH($G4013,'Catalog'!$A:$A,0)),$B4013))</f>
        <v>N433D L</v>
      </c>
      <c r="I4013" s="8" t="str">
        <f aca="false">IF($G4013="","Unmatched","Matched")</f>
        <v>Unmatched</v>
      </c>
      <c r="J4013" s="8" t="str">
        <f aca="false">IF($G4013&lt;&gt;"",$G4013,$B4013)</f>
        <v>N433D L</v>
      </c>
      <c r="K4013" s="8" t="str">
        <f aca="false">IF(COUNTIF($M$1:$M$10,$A4013)&gt;0,"Y","N")</f>
        <v>N</v>
      </c>
    </row>
    <row r="4014" customFormat="false" ht="15" hidden="false" customHeight="true" outlineLevel="0" collapsed="false">
      <c r="A4014" s="8" t="s">
        <v>1106</v>
      </c>
      <c r="B4014" s="8" t="s">
        <v>122</v>
      </c>
      <c r="C4014" s="19" t="n">
        <v>0</v>
      </c>
      <c r="D4014" s="19" t="n">
        <v>0</v>
      </c>
      <c r="E4014" s="19" t="n">
        <v>10</v>
      </c>
      <c r="F4014" s="19" t="n">
        <v>1197.47</v>
      </c>
      <c r="G4014" s="8" t="str">
        <f aca="false">IFERROR(INDEX('TRANS'!$B:$B,MATCH($B4014,'TRANS'!$A:$A,0)),IFERROR(INDEX('TRANS'!$B:$B,MATCH(TRIM(SUBSTITUTE($B4014,CHAR(160)," ")),'TRANS'!$D:$D,0)),IFERROR(INDEX('Catalog'!$A:$A,MATCH($B4014,'Catalog'!$B:$B,0)),IFERROR(INDEX('Catalog'!$A:$A,MATCH(TRIM(SUBSTITUTE($B4014,CHAR(160)," ")),'Catalog'!$C:$C,0)),""))))</f>
        <v/>
      </c>
      <c r="H4014" s="8" t="str">
        <f aca="false">IFERROR(INDEX('TRANS'!$C:$C,MATCH($B4014,'TRANS'!$A:$A,0)),IFERROR(INDEX('Catalog'!$B:$B,MATCH($G4014,'Catalog'!$A:$A,0)),$B4014))</f>
        <v>N433D XL</v>
      </c>
      <c r="I4014" s="8" t="str">
        <f aca="false">IF($G4014="","Unmatched","Matched")</f>
        <v>Unmatched</v>
      </c>
      <c r="J4014" s="8" t="str">
        <f aca="false">IF($G4014&lt;&gt;"",$G4014,$B4014)</f>
        <v>N433D XL</v>
      </c>
      <c r="K4014" s="8" t="str">
        <f aca="false">IF(COUNTIF($M$1:$M$10,$A4014)&gt;0,"Y","N")</f>
        <v>N</v>
      </c>
    </row>
    <row r="4015" customFormat="false" ht="15" hidden="false" customHeight="true" outlineLevel="0" collapsed="false">
      <c r="A4015" s="8" t="s">
        <v>1106</v>
      </c>
      <c r="B4015" s="8" t="s">
        <v>279</v>
      </c>
      <c r="C4015" s="19" t="n">
        <v>0</v>
      </c>
      <c r="D4015" s="19" t="n">
        <v>0</v>
      </c>
      <c r="E4015" s="19" t="n">
        <v>8</v>
      </c>
      <c r="F4015" s="19" t="n">
        <v>957.97</v>
      </c>
      <c r="G4015" s="8" t="str">
        <f aca="false">IFERROR(INDEX('TRANS'!$B:$B,MATCH($B4015,'TRANS'!$A:$A,0)),IFERROR(INDEX('TRANS'!$B:$B,MATCH(TRIM(SUBSTITUTE($B4015,CHAR(160)," ")),'TRANS'!$D:$D,0)),IFERROR(INDEX('Catalog'!$A:$A,MATCH($B4015,'Catalog'!$B:$B,0)),IFERROR(INDEX('Catalog'!$A:$A,MATCH(TRIM(SUBSTITUTE($B4015,CHAR(160)," ")),'Catalog'!$C:$C,0)),""))))</f>
        <v/>
      </c>
      <c r="H4015" s="8" t="str">
        <f aca="false">IFERROR(INDEX('TRANS'!$C:$C,MATCH($B4015,'TRANS'!$A:$A,0)),IFERROR(INDEX('Catalog'!$B:$B,MATCH($G4015,'Catalog'!$A:$A,0)),$B4015))</f>
        <v>N433D XXL</v>
      </c>
      <c r="I4015" s="8" t="str">
        <f aca="false">IF($G4015="","Unmatched","Matched")</f>
        <v>Unmatched</v>
      </c>
      <c r="J4015" s="8" t="str">
        <f aca="false">IF($G4015&lt;&gt;"",$G4015,$B4015)</f>
        <v>N433D XXL</v>
      </c>
      <c r="K4015" s="8" t="str">
        <f aca="false">IF(COUNTIF($M$1:$M$10,$A4015)&gt;0,"Y","N")</f>
        <v>N</v>
      </c>
    </row>
    <row r="4016" customFormat="false" ht="15" hidden="false" customHeight="true" outlineLevel="0" collapsed="false">
      <c r="A4016" s="8" t="s">
        <v>1106</v>
      </c>
      <c r="B4016" s="8" t="s">
        <v>891</v>
      </c>
      <c r="C4016" s="19" t="n">
        <v>0</v>
      </c>
      <c r="D4016" s="19" t="n">
        <v>0</v>
      </c>
      <c r="E4016" s="19" t="n">
        <v>2</v>
      </c>
      <c r="F4016" s="19" t="n">
        <v>178.29</v>
      </c>
      <c r="G4016" s="8" t="n">
        <f aca="false">IFERROR(INDEX('TRANS'!$B:$B,MATCH($B4016,'TRANS'!$A:$A,0)),IFERROR(INDEX('TRANS'!$B:$B,MATCH(TRIM(SUBSTITUTE($B4016,CHAR(160)," ")),'TRANS'!$D:$D,0)),IFERROR(INDEX('Catalog'!$A:$A,MATCH($B4016,'Catalog'!$B:$B,0)),IFERROR(INDEX('Catalog'!$A:$A,MATCH(TRIM(SUBSTITUTE($B4016,CHAR(160)," ")),'Catalog'!$C:$C,0)),""))))</f>
        <v>4422038</v>
      </c>
      <c r="H4016" s="8" t="str">
        <f aca="false">IFERROR(INDEX('TRANS'!$C:$C,MATCH($B4016,'TRANS'!$A:$A,0)),IFERROR(INDEX('Catalog'!$B:$B,MATCH($G4016,'Catalog'!$A:$A,0)),$B4016))</f>
        <v>SH422 2 תומך ברך גנושילד</v>
      </c>
      <c r="I4016" s="8" t="str">
        <f aca="false">IF($G4016="","Unmatched","Matched")</f>
        <v>Matched</v>
      </c>
      <c r="J4016" s="8" t="n">
        <f aca="false">IF($G4016&lt;&gt;"",$G4016,$B4016)</f>
        <v>4422038</v>
      </c>
      <c r="K4016" s="8" t="str">
        <f aca="false">IF(COUNTIF($M$1:$M$10,$A4016)&gt;0,"Y","N")</f>
        <v>N</v>
      </c>
    </row>
    <row r="4017" customFormat="false" ht="15" hidden="false" customHeight="true" outlineLevel="0" collapsed="false">
      <c r="A4017" s="8" t="s">
        <v>1106</v>
      </c>
      <c r="B4017" s="8" t="s">
        <v>892</v>
      </c>
      <c r="C4017" s="19" t="n">
        <v>0</v>
      </c>
      <c r="D4017" s="19" t="n">
        <v>0</v>
      </c>
      <c r="E4017" s="19" t="n">
        <v>6</v>
      </c>
      <c r="F4017" s="19" t="n">
        <v>534.87</v>
      </c>
      <c r="G4017" s="8" t="n">
        <f aca="false">IFERROR(INDEX('TRANS'!$B:$B,MATCH($B4017,'TRANS'!$A:$A,0)),IFERROR(INDEX('TRANS'!$B:$B,MATCH(TRIM(SUBSTITUTE($B4017,CHAR(160)," ")),'TRANS'!$D:$D,0)),IFERROR(INDEX('Catalog'!$A:$A,MATCH($B4017,'Catalog'!$B:$B,0)),IFERROR(INDEX('Catalog'!$A:$A,MATCH(TRIM(SUBSTITUTE($B4017,CHAR(160)," ")),'Catalog'!$C:$C,0)),""))))</f>
        <v>4422039</v>
      </c>
      <c r="H4017" s="8" t="str">
        <f aca="false">IFERROR(INDEX('TRANS'!$C:$C,MATCH($B4017,'TRANS'!$A:$A,0)),IFERROR(INDEX('Catalog'!$B:$B,MATCH($G4017,'Catalog'!$A:$A,0)),$B4017))</f>
        <v>SH422 3 תומך ברך גנושילד</v>
      </c>
      <c r="I4017" s="8" t="str">
        <f aca="false">IF($G4017="","Unmatched","Matched")</f>
        <v>Matched</v>
      </c>
      <c r="J4017" s="8" t="n">
        <f aca="false">IF($G4017&lt;&gt;"",$G4017,$B4017)</f>
        <v>4422039</v>
      </c>
      <c r="K4017" s="8" t="str">
        <f aca="false">IF(COUNTIF($M$1:$M$10,$A4017)&gt;0,"Y","N")</f>
        <v>N</v>
      </c>
    </row>
    <row r="4018" customFormat="false" ht="15" hidden="false" customHeight="true" outlineLevel="0" collapsed="false">
      <c r="A4018" s="8" t="s">
        <v>1106</v>
      </c>
      <c r="B4018" s="8" t="s">
        <v>893</v>
      </c>
      <c r="C4018" s="19" t="n">
        <v>0</v>
      </c>
      <c r="D4018" s="19" t="n">
        <v>0</v>
      </c>
      <c r="E4018" s="19" t="n">
        <v>10</v>
      </c>
      <c r="F4018" s="19" t="n">
        <v>891.45</v>
      </c>
      <c r="G4018" s="8" t="n">
        <f aca="false">IFERROR(INDEX('TRANS'!$B:$B,MATCH($B4018,'TRANS'!$A:$A,0)),IFERROR(INDEX('TRANS'!$B:$B,MATCH(TRIM(SUBSTITUTE($B4018,CHAR(160)," ")),'TRANS'!$D:$D,0)),IFERROR(INDEX('Catalog'!$A:$A,MATCH($B4018,'Catalog'!$B:$B,0)),IFERROR(INDEX('Catalog'!$A:$A,MATCH(TRIM(SUBSTITUTE($B4018,CHAR(160)," ")),'Catalog'!$C:$C,0)),""))))</f>
        <v>4422040</v>
      </c>
      <c r="H4018" s="8" t="str">
        <f aca="false">IFERROR(INDEX('TRANS'!$C:$C,MATCH($B4018,'TRANS'!$A:$A,0)),IFERROR(INDEX('Catalog'!$B:$B,MATCH($G4018,'Catalog'!$A:$A,0)),$B4018))</f>
        <v>SH422 4 תומך ברך גנושילד</v>
      </c>
      <c r="I4018" s="8" t="str">
        <f aca="false">IF($G4018="","Unmatched","Matched")</f>
        <v>Matched</v>
      </c>
      <c r="J4018" s="8" t="n">
        <f aca="false">IF($G4018&lt;&gt;"",$G4018,$B4018)</f>
        <v>4422040</v>
      </c>
      <c r="K4018" s="8" t="str">
        <f aca="false">IF(COUNTIF($M$1:$M$10,$A4018)&gt;0,"Y","N")</f>
        <v>N</v>
      </c>
    </row>
    <row r="4019" customFormat="false" ht="15" hidden="false" customHeight="true" outlineLevel="0" collapsed="false">
      <c r="A4019" s="8" t="s">
        <v>1106</v>
      </c>
      <c r="B4019" s="8" t="s">
        <v>763</v>
      </c>
      <c r="C4019" s="19" t="n">
        <v>0</v>
      </c>
      <c r="D4019" s="19" t="n">
        <v>0</v>
      </c>
      <c r="E4019" s="19" t="n">
        <v>8</v>
      </c>
      <c r="F4019" s="19" t="n">
        <v>713.16</v>
      </c>
      <c r="G4019" s="8" t="n">
        <f aca="false">IFERROR(INDEX('TRANS'!$B:$B,MATCH($B4019,'TRANS'!$A:$A,0)),IFERROR(INDEX('TRANS'!$B:$B,MATCH(TRIM(SUBSTITUTE($B4019,CHAR(160)," ")),'TRANS'!$D:$D,0)),IFERROR(INDEX('Catalog'!$A:$A,MATCH($B4019,'Catalog'!$B:$B,0)),IFERROR(INDEX('Catalog'!$A:$A,MATCH(TRIM(SUBSTITUTE($B4019,CHAR(160)," ")),'Catalog'!$C:$C,0)),""))))</f>
        <v>4422041</v>
      </c>
      <c r="H4019" s="8" t="str">
        <f aca="false">IFERROR(INDEX('TRANS'!$C:$C,MATCH($B4019,'TRANS'!$A:$A,0)),IFERROR(INDEX('Catalog'!$B:$B,MATCH($G4019,'Catalog'!$A:$A,0)),$B4019))</f>
        <v>SH422 5 תומך ברך גנושילד</v>
      </c>
      <c r="I4019" s="8" t="str">
        <f aca="false">IF($G4019="","Unmatched","Matched")</f>
        <v>Matched</v>
      </c>
      <c r="J4019" s="8" t="n">
        <f aca="false">IF($G4019&lt;&gt;"",$G4019,$B4019)</f>
        <v>4422041</v>
      </c>
      <c r="K4019" s="8" t="str">
        <f aca="false">IF(COUNTIF($M$1:$M$10,$A4019)&gt;0,"Y","N")</f>
        <v>N</v>
      </c>
    </row>
    <row r="4020" customFormat="false" ht="15" hidden="false" customHeight="true" outlineLevel="0" collapsed="false">
      <c r="A4020" s="8" t="s">
        <v>1106</v>
      </c>
      <c r="B4020" s="8" t="s">
        <v>894</v>
      </c>
      <c r="C4020" s="19" t="n">
        <v>0</v>
      </c>
      <c r="D4020" s="19" t="n">
        <v>0</v>
      </c>
      <c r="E4020" s="19" t="n">
        <v>4</v>
      </c>
      <c r="F4020" s="19" t="n">
        <v>356.58</v>
      </c>
      <c r="G4020" s="8" t="n">
        <f aca="false">IFERROR(INDEX('TRANS'!$B:$B,MATCH($B4020,'TRANS'!$A:$A,0)),IFERROR(INDEX('TRANS'!$B:$B,MATCH(TRIM(SUBSTITUTE($B4020,CHAR(160)," ")),'TRANS'!$D:$D,0)),IFERROR(INDEX('Catalog'!$A:$A,MATCH($B4020,'Catalog'!$B:$B,0)),IFERROR(INDEX('Catalog'!$A:$A,MATCH(TRIM(SUBSTITUTE($B4020,CHAR(160)," ")),'Catalog'!$C:$C,0)),""))))</f>
        <v>4422042</v>
      </c>
      <c r="H4020" s="8" t="str">
        <f aca="false">IFERROR(INDEX('TRANS'!$C:$C,MATCH($B4020,'TRANS'!$A:$A,0)),IFERROR(INDEX('Catalog'!$B:$B,MATCH($G4020,'Catalog'!$A:$A,0)),$B4020))</f>
        <v>SH422 6 תומך ברך גנושילד</v>
      </c>
      <c r="I4020" s="8" t="str">
        <f aca="false">IF($G4020="","Unmatched","Matched")</f>
        <v>Matched</v>
      </c>
      <c r="J4020" s="8" t="n">
        <f aca="false">IF($G4020&lt;&gt;"",$G4020,$B4020)</f>
        <v>4422042</v>
      </c>
      <c r="K4020" s="8" t="str">
        <f aca="false">IF(COUNTIF($M$1:$M$10,$A4020)&gt;0,"Y","N")</f>
        <v>N</v>
      </c>
    </row>
    <row r="4021" customFormat="false" ht="15" hidden="false" customHeight="true" outlineLevel="0" collapsed="false">
      <c r="A4021" s="8" t="s">
        <v>1106</v>
      </c>
      <c r="B4021" s="8" t="s">
        <v>895</v>
      </c>
      <c r="C4021" s="19" t="n">
        <v>0</v>
      </c>
      <c r="D4021" s="19" t="n">
        <v>0</v>
      </c>
      <c r="E4021" s="19" t="n">
        <v>25</v>
      </c>
      <c r="F4021" s="19" t="n">
        <v>594.58</v>
      </c>
      <c r="G4021" s="8" t="n">
        <f aca="false">IFERROR(INDEX('TRANS'!$B:$B,MATCH($B4021,'TRANS'!$A:$A,0)),IFERROR(INDEX('TRANS'!$B:$B,MATCH(TRIM(SUBSTITUTE($B4021,CHAR(160)," ")),'TRANS'!$D:$D,0)),IFERROR(INDEX('Catalog'!$A:$A,MATCH($B4021,'Catalog'!$B:$B,0)),IFERROR(INDEX('Catalog'!$A:$A,MATCH(TRIM(SUBSTITUTE($B4021,CHAR(160)," ")),'Catalog'!$C:$C,0)),""))))</f>
        <v>4408270</v>
      </c>
      <c r="H4021" s="8" t="str">
        <f aca="false">IFERROR(INDEX('TRANS'!$C:$C,MATCH($B4021,'TRANS'!$A:$A,0)),IFERROR(INDEX('Catalog'!$B:$B,MATCH($G4021,'Catalog'!$A:$A,0)),$B4021))</f>
        <v>ST11  חגורת בטן</v>
      </c>
      <c r="I4021" s="8" t="str">
        <f aca="false">IF($G4021="","Unmatched","Matched")</f>
        <v>Matched</v>
      </c>
      <c r="J4021" s="8" t="n">
        <f aca="false">IF($G4021&lt;&gt;"",$G4021,$B4021)</f>
        <v>4408270</v>
      </c>
      <c r="K4021" s="8" t="str">
        <f aca="false">IF(COUNTIF($M$1:$M$10,$A4021)&gt;0,"Y","N")</f>
        <v>N</v>
      </c>
    </row>
    <row r="4022" customFormat="false" ht="15" hidden="false" customHeight="true" outlineLevel="0" collapsed="false">
      <c r="A4022" s="8" t="s">
        <v>1106</v>
      </c>
      <c r="B4022" s="8" t="s">
        <v>897</v>
      </c>
      <c r="C4022" s="19" t="n">
        <v>80</v>
      </c>
      <c r="D4022" s="19" t="n">
        <v>1162.19</v>
      </c>
      <c r="E4022" s="19" t="n">
        <v>30</v>
      </c>
      <c r="F4022" s="19" t="n">
        <v>374.21</v>
      </c>
      <c r="G4022" s="8" t="n">
        <f aca="false">IFERROR(INDEX('TRANS'!$B:$B,MATCH($B4022,'TRANS'!$A:$A,0)),IFERROR(INDEX('TRANS'!$B:$B,MATCH(TRIM(SUBSTITUTE($B4022,CHAR(160)," ")),'TRANS'!$D:$D,0)),IFERROR(INDEX('Catalog'!$A:$A,MATCH($B4022,'Catalog'!$B:$B,0)),IFERROR(INDEX('Catalog'!$A:$A,MATCH(TRIM(SUBSTITUTE($B4022,CHAR(160)," ")),'Catalog'!$C:$C,0)),""))))</f>
        <v>4408267</v>
      </c>
      <c r="H4022" s="8" t="str">
        <f aca="false">IFERROR(INDEX('TRANS'!$C:$C,MATCH($B4022,'TRANS'!$A:$A,0)),IFERROR(INDEX('Catalog'!$B:$B,MATCH($G4022,'Catalog'!$A:$A,0)),$B4022))</f>
        <v>ST25 חבק שורש לכף היד</v>
      </c>
      <c r="I4022" s="8" t="str">
        <f aca="false">IF($G4022="","Unmatched","Matched")</f>
        <v>Matched</v>
      </c>
      <c r="J4022" s="8" t="n">
        <f aca="false">IF($G4022&lt;&gt;"",$G4022,$B4022)</f>
        <v>4408267</v>
      </c>
      <c r="K4022" s="8" t="str">
        <f aca="false">IF(COUNTIF($M$1:$M$10,$A4022)&gt;0,"Y","N")</f>
        <v>N</v>
      </c>
    </row>
    <row r="4023" customFormat="false" ht="15" hidden="false" customHeight="true" outlineLevel="0" collapsed="false">
      <c r="A4023" s="8" t="s">
        <v>1106</v>
      </c>
      <c r="B4023" s="8" t="s">
        <v>74</v>
      </c>
      <c r="C4023" s="19" t="n">
        <v>50</v>
      </c>
      <c r="D4023" s="19" t="n">
        <v>924.82</v>
      </c>
      <c r="E4023" s="19" t="n">
        <v>15</v>
      </c>
      <c r="F4023" s="19" t="n">
        <v>237</v>
      </c>
      <c r="G4023" s="8" t="str">
        <f aca="false">IFERROR(INDEX('TRANS'!$B:$B,MATCH($B4023,'TRANS'!$A:$A,0)),IFERROR(INDEX('TRANS'!$B:$B,MATCH(TRIM(SUBSTITUTE($B4023,CHAR(160)," ")),'TRANS'!$D:$D,0)),IFERROR(INDEX('Catalog'!$A:$A,MATCH($B4023,'Catalog'!$B:$B,0)),IFERROR(INDEX('Catalog'!$A:$A,MATCH(TRIM(SUBSTITUTE($B4023,CHAR(160)," ")),'Catalog'!$C:$C,0)),""))))</f>
        <v/>
      </c>
      <c r="H4023" s="8" t="str">
        <f aca="false">IFERROR(INDEX('TRANS'!$C:$C,MATCH($B4023,'TRANS'!$A:$A,0)),IFERROR(INDEX('Catalog'!$B:$B,MATCH($G4023,'Catalog'!$A:$A,0)),$B4023))</f>
        <v>ST27L 0</v>
      </c>
      <c r="I4023" s="8" t="str">
        <f aca="false">IF($G4023="","Unmatched","Matched")</f>
        <v>Unmatched</v>
      </c>
      <c r="J4023" s="8" t="str">
        <f aca="false">IF($G4023&lt;&gt;"",$G4023,$B4023)</f>
        <v>ST27L 0</v>
      </c>
      <c r="K4023" s="8" t="str">
        <f aca="false">IF(COUNTIF($M$1:$M$10,$A4023)&gt;0,"Y","N")</f>
        <v>N</v>
      </c>
    </row>
    <row r="4024" customFormat="false" ht="15" hidden="false" customHeight="true" outlineLevel="0" collapsed="false">
      <c r="A4024" s="8" t="s">
        <v>1106</v>
      </c>
      <c r="B4024" s="8" t="s">
        <v>70</v>
      </c>
      <c r="C4024" s="19" t="n">
        <v>60</v>
      </c>
      <c r="D4024" s="19" t="n">
        <v>1104.08</v>
      </c>
      <c r="E4024" s="19" t="n">
        <v>20</v>
      </c>
      <c r="F4024" s="19" t="n">
        <v>316</v>
      </c>
      <c r="G4024" s="8" t="str">
        <f aca="false">IFERROR(INDEX('TRANS'!$B:$B,MATCH($B4024,'TRANS'!$A:$A,0)),IFERROR(INDEX('TRANS'!$B:$B,MATCH(TRIM(SUBSTITUTE($B4024,CHAR(160)," ")),'TRANS'!$D:$D,0)),IFERROR(INDEX('Catalog'!$A:$A,MATCH($B4024,'Catalog'!$B:$B,0)),IFERROR(INDEX('Catalog'!$A:$A,MATCH(TRIM(SUBSTITUTE($B4024,CHAR(160)," ")),'Catalog'!$C:$C,0)),""))))</f>
        <v/>
      </c>
      <c r="H4024" s="8" t="str">
        <f aca="false">IFERROR(INDEX('TRANS'!$C:$C,MATCH($B4024,'TRANS'!$A:$A,0)),IFERROR(INDEX('Catalog'!$B:$B,MATCH($G4024,'Catalog'!$A:$A,0)),$B4024))</f>
        <v>ST27R 0</v>
      </c>
      <c r="I4024" s="8" t="str">
        <f aca="false">IF($G4024="","Unmatched","Matched")</f>
        <v>Unmatched</v>
      </c>
      <c r="J4024" s="8" t="str">
        <f aca="false">IF($G4024&lt;&gt;"",$G4024,$B4024)</f>
        <v>ST27R 0</v>
      </c>
      <c r="K4024" s="8" t="str">
        <f aca="false">IF(COUNTIF($M$1:$M$10,$A4024)&gt;0,"Y","N")</f>
        <v>N</v>
      </c>
    </row>
    <row r="4025" customFormat="false" ht="15" hidden="false" customHeight="true" outlineLevel="0" collapsed="false">
      <c r="A4025" s="8" t="s">
        <v>1106</v>
      </c>
      <c r="B4025" s="8" t="s">
        <v>898</v>
      </c>
      <c r="C4025" s="19" t="n">
        <v>50</v>
      </c>
      <c r="D4025" s="19" t="n">
        <v>861.96</v>
      </c>
      <c r="E4025" s="19" t="n">
        <v>25</v>
      </c>
      <c r="F4025" s="19" t="n">
        <v>370.05</v>
      </c>
      <c r="G4025" s="8" t="n">
        <f aca="false">IFERROR(INDEX('TRANS'!$B:$B,MATCH($B4025,'TRANS'!$A:$A,0)),IFERROR(INDEX('TRANS'!$B:$B,MATCH(TRIM(SUBSTITUTE($B4025,CHAR(160)," ")),'TRANS'!$D:$D,0)),IFERROR(INDEX('Catalog'!$A:$A,MATCH($B4025,'Catalog'!$B:$B,0)),IFERROR(INDEX('Catalog'!$A:$A,MATCH(TRIM(SUBSTITUTE($B4025,CHAR(160)," ")),'Catalog'!$C:$C,0)),""))))</f>
        <v>4415177</v>
      </c>
      <c r="H4025" s="8" t="str">
        <f aca="false">IFERROR(INDEX('TRANS'!$C:$C,MATCH($B4025,'TRANS'!$A:$A,0)),IFERROR(INDEX('Catalog'!$B:$B,MATCH($G4025,'Catalog'!$A:$A,0)),$B4025))</f>
        <v>ST28 סד אגודלי עם מוט תמיכה</v>
      </c>
      <c r="I4025" s="8" t="str">
        <f aca="false">IF($G4025="","Unmatched","Matched")</f>
        <v>Matched</v>
      </c>
      <c r="J4025" s="8" t="n">
        <f aca="false">IF($G4025&lt;&gt;"",$G4025,$B4025)</f>
        <v>4415177</v>
      </c>
      <c r="K4025" s="8" t="str">
        <f aca="false">IF(COUNTIF($M$1:$M$10,$A4025)&gt;0,"Y","N")</f>
        <v>N</v>
      </c>
    </row>
    <row r="4026" customFormat="false" ht="15" hidden="false" customHeight="true" outlineLevel="0" collapsed="false">
      <c r="A4026" s="8" t="s">
        <v>1106</v>
      </c>
      <c r="B4026" s="8" t="s">
        <v>764</v>
      </c>
      <c r="C4026" s="19" t="n">
        <v>60</v>
      </c>
      <c r="D4026" s="19" t="n">
        <v>2271.41</v>
      </c>
      <c r="E4026" s="19" t="n">
        <v>15</v>
      </c>
      <c r="F4026" s="19" t="n">
        <v>493.96</v>
      </c>
      <c r="G4026" s="8" t="n">
        <f aca="false">IFERROR(INDEX('TRANS'!$B:$B,MATCH($B4026,'TRANS'!$A:$A,0)),IFERROR(INDEX('TRANS'!$B:$B,MATCH(TRIM(SUBSTITUTE($B4026,CHAR(160)," ")),'TRANS'!$D:$D,0)),IFERROR(INDEX('Catalog'!$A:$A,MATCH($B4026,'Catalog'!$B:$B,0)),IFERROR(INDEX('Catalog'!$A:$A,MATCH(TRIM(SUBSTITUTE($B4026,CHAR(160)," ")),'Catalog'!$C:$C,0)),""))))</f>
        <v>4403035</v>
      </c>
      <c r="H4026" s="8" t="str">
        <f aca="false">IFERROR(INDEX('TRANS'!$C:$C,MATCH($B4026,'TRANS'!$A:$A,0)),IFERROR(INDEX('Catalog'!$B:$B,MATCH($G4026,'Catalog'!$A:$A,0)),$B4026))</f>
        <v>ST3555L-XLגרב לילה לטיפ.בדורבן</v>
      </c>
      <c r="I4026" s="8" t="str">
        <f aca="false">IF($G4026="","Unmatched","Matched")</f>
        <v>Matched</v>
      </c>
      <c r="J4026" s="8" t="n">
        <f aca="false">IF($G4026&lt;&gt;"",$G4026,$B4026)</f>
        <v>4403035</v>
      </c>
      <c r="K4026" s="8" t="str">
        <f aca="false">IF(COUNTIF($M$1:$M$10,$A4026)&gt;0,"Y","N")</f>
        <v>N</v>
      </c>
    </row>
    <row r="4027" customFormat="false" ht="15" hidden="false" customHeight="true" outlineLevel="0" collapsed="false">
      <c r="A4027" s="8" t="s">
        <v>1106</v>
      </c>
      <c r="B4027" s="8" t="s">
        <v>765</v>
      </c>
      <c r="C4027" s="19" t="n">
        <v>70</v>
      </c>
      <c r="D4027" s="19" t="n">
        <v>2654.93</v>
      </c>
      <c r="E4027" s="19" t="n">
        <v>40</v>
      </c>
      <c r="F4027" s="19" t="n">
        <v>1317.21</v>
      </c>
      <c r="G4027" s="8" t="n">
        <f aca="false">IFERROR(INDEX('TRANS'!$B:$B,MATCH($B4027,'TRANS'!$A:$A,0)),IFERROR(INDEX('TRANS'!$B:$B,MATCH(TRIM(SUBSTITUTE($B4027,CHAR(160)," ")),'TRANS'!$D:$D,0)),IFERROR(INDEX('Catalog'!$A:$A,MATCH($B4027,'Catalog'!$B:$B,0)),IFERROR(INDEX('Catalog'!$A:$A,MATCH(TRIM(SUBSTITUTE($B4027,CHAR(160)," ")),'Catalog'!$C:$C,0)),""))))</f>
        <v>4403034</v>
      </c>
      <c r="H4027" s="8" t="str">
        <f aca="false">IFERROR(INDEX('TRANS'!$C:$C,MATCH($B4027,'TRANS'!$A:$A,0)),IFERROR(INDEX('Catalog'!$B:$B,MATCH($G4027,'Catalog'!$A:$A,0)),$B4027))</f>
        <v>ST3555 S-Mגרב לילה לטיפ.בדורבן</v>
      </c>
      <c r="I4027" s="8" t="str">
        <f aca="false">IF($G4027="","Unmatched","Matched")</f>
        <v>Matched</v>
      </c>
      <c r="J4027" s="8" t="n">
        <f aca="false">IF($G4027&lt;&gt;"",$G4027,$B4027)</f>
        <v>4403034</v>
      </c>
      <c r="K4027" s="8" t="str">
        <f aca="false">IF(COUNTIF($M$1:$M$10,$A4027)&gt;0,"Y","N")</f>
        <v>N</v>
      </c>
    </row>
    <row r="4028" customFormat="false" ht="15" hidden="false" customHeight="true" outlineLevel="0" collapsed="false">
      <c r="A4028" s="8" t="s">
        <v>1106</v>
      </c>
      <c r="B4028" s="8" t="s">
        <v>899</v>
      </c>
      <c r="C4028" s="19" t="n">
        <v>20</v>
      </c>
      <c r="D4028" s="19" t="n">
        <v>340.91</v>
      </c>
      <c r="E4028" s="19" t="n">
        <v>20</v>
      </c>
      <c r="F4028" s="19" t="n">
        <v>292.71</v>
      </c>
      <c r="G4028" s="8" t="n">
        <f aca="false">IFERROR(INDEX('TRANS'!$B:$B,MATCH($B4028,'TRANS'!$A:$A,0)),IFERROR(INDEX('TRANS'!$B:$B,MATCH(TRIM(SUBSTITUTE($B4028,CHAR(160)," ")),'TRANS'!$D:$D,0)),IFERROR(INDEX('Catalog'!$A:$A,MATCH($B4028,'Catalog'!$B:$B,0)),IFERROR(INDEX('Catalog'!$A:$A,MATCH(TRIM(SUBSTITUTE($B4028,CHAR(160)," ")),'Catalog'!$C:$C,0)),""))))</f>
        <v>4408269</v>
      </c>
      <c r="H4028" s="8" t="str">
        <f aca="false">IFERROR(INDEX('TRANS'!$C:$C,MATCH($B4028,'TRANS'!$A:$A,0)),IFERROR(INDEX('Catalog'!$B:$B,MATCH($G4028,'Catalog'!$A:$A,0)),$B4028))</f>
        <v>ST37 חבק לקרסול</v>
      </c>
      <c r="I4028" s="8" t="str">
        <f aca="false">IF($G4028="","Unmatched","Matched")</f>
        <v>Matched</v>
      </c>
      <c r="J4028" s="8" t="n">
        <f aca="false">IF($G4028&lt;&gt;"",$G4028,$B4028)</f>
        <v>4408269</v>
      </c>
      <c r="K4028" s="8" t="str">
        <f aca="false">IF(COUNTIF($M$1:$M$10,$A4028)&gt;0,"Y","N")</f>
        <v>N</v>
      </c>
    </row>
    <row r="4029" customFormat="false" ht="15" hidden="false" customHeight="true" outlineLevel="0" collapsed="false">
      <c r="A4029" s="8" t="s">
        <v>1106</v>
      </c>
      <c r="B4029" s="8" t="s">
        <v>901</v>
      </c>
      <c r="C4029" s="19" t="n">
        <v>20</v>
      </c>
      <c r="D4029" s="19" t="n">
        <v>1411.44</v>
      </c>
      <c r="E4029" s="19" t="n">
        <v>30</v>
      </c>
      <c r="F4029" s="19" t="n">
        <v>1866.05</v>
      </c>
      <c r="G4029" s="8" t="n">
        <f aca="false">IFERROR(INDEX('TRANS'!$B:$B,MATCH($B4029,'TRANS'!$A:$A,0)),IFERROR(INDEX('TRANS'!$B:$B,MATCH(TRIM(SUBSTITUTE($B4029,CHAR(160)," ")),'TRANS'!$D:$D,0)),IFERROR(INDEX('Catalog'!$A:$A,MATCH($B4029,'Catalog'!$B:$B,0)),IFERROR(INDEX('Catalog'!$A:$A,MATCH(TRIM(SUBSTITUTE($B4029,CHAR(160)," ")),'Catalog'!$C:$C,0)),""))))</f>
        <v>4413532</v>
      </c>
      <c r="H4029" s="8" t="str">
        <f aca="false">IFERROR(INDEX('TRANS'!$C:$C,MATCH($B4029,'TRANS'!$A:$A,0)),IFERROR(INDEX('Catalog'!$B:$B,MATCH($G4029,'Catalog'!$A:$A,0)),$B4029))</f>
        <v>ST433 H מגן ברך עם ציר</v>
      </c>
      <c r="I4029" s="8" t="str">
        <f aca="false">IF($G4029="","Unmatched","Matched")</f>
        <v>Matched</v>
      </c>
      <c r="J4029" s="8" t="n">
        <f aca="false">IF($G4029&lt;&gt;"",$G4029,$B4029)</f>
        <v>4413532</v>
      </c>
      <c r="K4029" s="8" t="str">
        <f aca="false">IF(COUNTIF($M$1:$M$10,$A4029)&gt;0,"Y","N")</f>
        <v>N</v>
      </c>
    </row>
    <row r="4030" customFormat="false" ht="15" hidden="false" customHeight="true" outlineLevel="0" collapsed="false">
      <c r="A4030" s="8" t="s">
        <v>1106</v>
      </c>
      <c r="B4030" s="8" t="s">
        <v>80</v>
      </c>
      <c r="C4030" s="19" t="n">
        <v>105</v>
      </c>
      <c r="D4030" s="19" t="n">
        <v>2010.3</v>
      </c>
      <c r="E4030" s="19" t="n">
        <v>60</v>
      </c>
      <c r="F4030" s="19" t="n">
        <v>977.93</v>
      </c>
      <c r="G4030" s="8" t="str">
        <f aca="false">IFERROR(INDEX('TRANS'!$B:$B,MATCH($B4030,'TRANS'!$A:$A,0)),IFERROR(INDEX('TRANS'!$B:$B,MATCH(TRIM(SUBSTITUTE($B4030,CHAR(160)," ")),'TRANS'!$D:$D,0)),IFERROR(INDEX('Catalog'!$A:$A,MATCH($B4030,'Catalog'!$B:$B,0)),IFERROR(INDEX('Catalog'!$A:$A,MATCH(TRIM(SUBSTITUTE($B4030,CHAR(160)," ")),'Catalog'!$C:$C,0)),""))))</f>
        <v/>
      </c>
      <c r="H4030" s="8" t="str">
        <f aca="false">IFERROR(INDEX('TRANS'!$C:$C,MATCH($B4030,'TRANS'!$A:$A,0)),IFERROR(INDEX('Catalog'!$B:$B,MATCH($G4030,'Catalog'!$A:$A,0)),$B4030))</f>
        <v>ST45X 0</v>
      </c>
      <c r="I4030" s="8" t="str">
        <f aca="false">IF($G4030="","Unmatched","Matched")</f>
        <v>Unmatched</v>
      </c>
      <c r="J4030" s="8" t="str">
        <f aca="false">IF($G4030&lt;&gt;"",$G4030,$B4030)</f>
        <v>ST45X 0</v>
      </c>
      <c r="K4030" s="8" t="str">
        <f aca="false">IF(COUNTIF($M$1:$M$10,$A4030)&gt;0,"Y","N")</f>
        <v>N</v>
      </c>
    </row>
    <row r="4031" customFormat="false" ht="15" hidden="false" customHeight="true" outlineLevel="0" collapsed="false">
      <c r="A4031" s="8" t="s">
        <v>1106</v>
      </c>
      <c r="B4031" s="8" t="s">
        <v>902</v>
      </c>
      <c r="C4031" s="19" t="n">
        <v>4</v>
      </c>
      <c r="D4031" s="19" t="n">
        <v>70.95</v>
      </c>
      <c r="E4031" s="19" t="n">
        <v>6</v>
      </c>
      <c r="F4031" s="19" t="n">
        <v>93.8</v>
      </c>
      <c r="G4031" s="8" t="n">
        <f aca="false">IFERROR(INDEX('TRANS'!$B:$B,MATCH($B4031,'TRANS'!$A:$A,0)),IFERROR(INDEX('TRANS'!$B:$B,MATCH(TRIM(SUBSTITUTE($B4031,CHAR(160)," ")),'TRANS'!$D:$D,0)),IFERROR(INDEX('Catalog'!$A:$A,MATCH($B4031,'Catalog'!$B:$B,0)),IFERROR(INDEX('Catalog'!$A:$A,MATCH(TRIM(SUBSTITUTE($B4031,CHAR(160)," ")),'Catalog'!$C:$C,0)),""))))</f>
        <v>4413533</v>
      </c>
      <c r="H4031" s="8" t="str">
        <f aca="false">IFERROR(INDEX('TRANS'!$C:$C,MATCH($B4031,'TRANS'!$A:$A,0)),IFERROR(INDEX('Catalog'!$B:$B,MATCH($G4031,'Catalog'!$A:$A,0)),$B4031))</f>
        <v>ST49 מגן ירך</v>
      </c>
      <c r="I4031" s="8" t="str">
        <f aca="false">IF($G4031="","Unmatched","Matched")</f>
        <v>Matched</v>
      </c>
      <c r="J4031" s="8" t="n">
        <f aca="false">IF($G4031&lt;&gt;"",$G4031,$B4031)</f>
        <v>4413533</v>
      </c>
      <c r="K4031" s="8" t="str">
        <f aca="false">IF(COUNTIF($M$1:$M$10,$A4031)&gt;0,"Y","N")</f>
        <v>N</v>
      </c>
    </row>
    <row r="4032" customFormat="false" ht="15" hidden="false" customHeight="true" outlineLevel="0" collapsed="false">
      <c r="A4032" s="8" t="s">
        <v>1106</v>
      </c>
      <c r="B4032" s="8" t="s">
        <v>1080</v>
      </c>
      <c r="C4032" s="19" t="n">
        <v>30</v>
      </c>
      <c r="D4032" s="19" t="n">
        <v>621.26</v>
      </c>
      <c r="E4032" s="19" t="n">
        <v>10</v>
      </c>
      <c r="F4032" s="19" t="n">
        <v>176.29</v>
      </c>
      <c r="G4032" s="8" t="str">
        <f aca="false">IFERROR(INDEX('TRANS'!$B:$B,MATCH($B4032,'TRANS'!$A:$A,0)),IFERROR(INDEX('TRANS'!$B:$B,MATCH(TRIM(SUBSTITUTE($B4032,CHAR(160)," ")),'TRANS'!$D:$D,0)),IFERROR(INDEX('Catalog'!$A:$A,MATCH($B4032,'Catalog'!$B:$B,0)),IFERROR(INDEX('Catalog'!$A:$A,MATCH(TRIM(SUBSTITUTE($B4032,CHAR(160)," ")),'Catalog'!$C:$C,0)),""))))</f>
        <v/>
      </c>
      <c r="H4032" s="8" t="str">
        <f aca="false">IFERROR(INDEX('TRANS'!$C:$C,MATCH($B4032,'TRANS'!$A:$A,0)),IFERROR(INDEX('Catalog'!$B:$B,MATCH($G4032,'Catalog'!$A:$A,0)),$B4032))</f>
        <v>ST95 0</v>
      </c>
      <c r="I4032" s="8" t="str">
        <f aca="false">IF($G4032="","Unmatched","Matched")</f>
        <v>Unmatched</v>
      </c>
      <c r="J4032" s="8" t="str">
        <f aca="false">IF($G4032&lt;&gt;"",$G4032,$B4032)</f>
        <v>ST95 0</v>
      </c>
      <c r="K4032" s="8" t="str">
        <f aca="false">IF(COUNTIF($M$1:$M$10,$A4032)&gt;0,"Y","N")</f>
        <v>N</v>
      </c>
    </row>
    <row r="4033" customFormat="false" ht="15" hidden="false" customHeight="true" outlineLevel="0" collapsed="false">
      <c r="A4033" s="8" t="s">
        <v>1106</v>
      </c>
      <c r="B4033" s="8" t="s">
        <v>105</v>
      </c>
      <c r="C4033" s="19" t="n">
        <v>6</v>
      </c>
      <c r="D4033" s="19" t="n">
        <v>296.36</v>
      </c>
      <c r="E4033" s="19" t="n">
        <v>5</v>
      </c>
      <c r="F4033" s="19" t="n">
        <v>212.05</v>
      </c>
      <c r="G4033" s="8" t="str">
        <f aca="false">IFERROR(INDEX('TRANS'!$B:$B,MATCH($B4033,'TRANS'!$A:$A,0)),IFERROR(INDEX('TRANS'!$B:$B,MATCH(TRIM(SUBSTITUTE($B4033,CHAR(160)," ")),'TRANS'!$D:$D,0)),IFERROR(INDEX('Catalog'!$A:$A,MATCH($B4033,'Catalog'!$B:$B,0)),IFERROR(INDEX('Catalog'!$A:$A,MATCH(TRIM(SUBSTITUTE($B4033,CHAR(160)," ")),'Catalog'!$C:$C,0)),""))))</f>
        <v/>
      </c>
      <c r="H4033" s="8" t="str">
        <f aca="false">IFERROR(INDEX('TRANS'!$C:$C,MATCH($B4033,'TRANS'!$A:$A,0)),IFERROR(INDEX('Catalog'!$B:$B,MATCH($G4033,'Catalog'!$A:$A,0)),$B4033))</f>
        <v>T03 L</v>
      </c>
      <c r="I4033" s="8" t="str">
        <f aca="false">IF($G4033="","Unmatched","Matched")</f>
        <v>Unmatched</v>
      </c>
      <c r="J4033" s="8" t="str">
        <f aca="false">IF($G4033&lt;&gt;"",$G4033,$B4033)</f>
        <v>T03 L</v>
      </c>
      <c r="K4033" s="8" t="str">
        <f aca="false">IF(COUNTIF($M$1:$M$10,$A4033)&gt;0,"Y","N")</f>
        <v>N</v>
      </c>
    </row>
    <row r="4034" customFormat="false" ht="15" hidden="false" customHeight="true" outlineLevel="0" collapsed="false">
      <c r="A4034" s="8" t="s">
        <v>1106</v>
      </c>
      <c r="B4034" s="8" t="s">
        <v>141</v>
      </c>
      <c r="C4034" s="19" t="n">
        <v>5</v>
      </c>
      <c r="D4034" s="19" t="n">
        <v>245.69</v>
      </c>
      <c r="E4034" s="19" t="n">
        <v>5</v>
      </c>
      <c r="F4034" s="19" t="n">
        <v>212.05</v>
      </c>
      <c r="G4034" s="8" t="str">
        <f aca="false">IFERROR(INDEX('TRANS'!$B:$B,MATCH($B4034,'TRANS'!$A:$A,0)),IFERROR(INDEX('TRANS'!$B:$B,MATCH(TRIM(SUBSTITUTE($B4034,CHAR(160)," ")),'TRANS'!$D:$D,0)),IFERROR(INDEX('Catalog'!$A:$A,MATCH($B4034,'Catalog'!$B:$B,0)),IFERROR(INDEX('Catalog'!$A:$A,MATCH(TRIM(SUBSTITUTE($B4034,CHAR(160)," ")),'Catalog'!$C:$C,0)),""))))</f>
        <v/>
      </c>
      <c r="H4034" s="8" t="str">
        <f aca="false">IFERROR(INDEX('TRANS'!$C:$C,MATCH($B4034,'TRANS'!$A:$A,0)),IFERROR(INDEX('Catalog'!$B:$B,MATCH($G4034,'Catalog'!$A:$A,0)),$B4034))</f>
        <v>T03 M</v>
      </c>
      <c r="I4034" s="8" t="str">
        <f aca="false">IF($G4034="","Unmatched","Matched")</f>
        <v>Unmatched</v>
      </c>
      <c r="J4034" s="8" t="str">
        <f aca="false">IF($G4034&lt;&gt;"",$G4034,$B4034)</f>
        <v>T03 M</v>
      </c>
      <c r="K4034" s="8" t="str">
        <f aca="false">IF(COUNTIF($M$1:$M$10,$A4034)&gt;0,"Y","N")</f>
        <v>N</v>
      </c>
    </row>
    <row r="4035" customFormat="false" ht="15" hidden="false" customHeight="true" outlineLevel="0" collapsed="false">
      <c r="A4035" s="8" t="s">
        <v>1106</v>
      </c>
      <c r="B4035" s="8" t="s">
        <v>228</v>
      </c>
      <c r="C4035" s="19" t="n">
        <v>0</v>
      </c>
      <c r="D4035" s="19" t="n">
        <v>0</v>
      </c>
      <c r="E4035" s="19" t="n">
        <v>2</v>
      </c>
      <c r="F4035" s="19" t="n">
        <v>84.82</v>
      </c>
      <c r="G4035" s="8" t="str">
        <f aca="false">IFERROR(INDEX('TRANS'!$B:$B,MATCH($B4035,'TRANS'!$A:$A,0)),IFERROR(INDEX('TRANS'!$B:$B,MATCH(TRIM(SUBSTITUTE($B4035,CHAR(160)," ")),'TRANS'!$D:$D,0)),IFERROR(INDEX('Catalog'!$A:$A,MATCH($B4035,'Catalog'!$B:$B,0)),IFERROR(INDEX('Catalog'!$A:$A,MATCH(TRIM(SUBSTITUTE($B4035,CHAR(160)," ")),'Catalog'!$C:$C,0)),""))))</f>
        <v/>
      </c>
      <c r="H4035" s="8" t="str">
        <f aca="false">IFERROR(INDEX('TRANS'!$C:$C,MATCH($B4035,'TRANS'!$A:$A,0)),IFERROR(INDEX('Catalog'!$B:$B,MATCH($G4035,'Catalog'!$A:$A,0)),$B4035))</f>
        <v>T03 S</v>
      </c>
      <c r="I4035" s="8" t="str">
        <f aca="false">IF($G4035="","Unmatched","Matched")</f>
        <v>Unmatched</v>
      </c>
      <c r="J4035" s="8" t="str">
        <f aca="false">IF($G4035&lt;&gt;"",$G4035,$B4035)</f>
        <v>T03 S</v>
      </c>
      <c r="K4035" s="8" t="str">
        <f aca="false">IF(COUNTIF($M$1:$M$10,$A4035)&gt;0,"Y","N")</f>
        <v>N</v>
      </c>
    </row>
    <row r="4036" customFormat="false" ht="15" hidden="false" customHeight="true" outlineLevel="0" collapsed="false">
      <c r="A4036" s="8" t="s">
        <v>1106</v>
      </c>
      <c r="B4036" s="8" t="s">
        <v>147</v>
      </c>
      <c r="C4036" s="19" t="n">
        <v>0</v>
      </c>
      <c r="D4036" s="19" t="n">
        <v>0</v>
      </c>
      <c r="E4036" s="19" t="n">
        <v>5</v>
      </c>
      <c r="F4036" s="19" t="n">
        <v>212.05</v>
      </c>
      <c r="G4036" s="8" t="str">
        <f aca="false">IFERROR(INDEX('TRANS'!$B:$B,MATCH($B4036,'TRANS'!$A:$A,0)),IFERROR(INDEX('TRANS'!$B:$B,MATCH(TRIM(SUBSTITUTE($B4036,CHAR(160)," ")),'TRANS'!$D:$D,0)),IFERROR(INDEX('Catalog'!$A:$A,MATCH($B4036,'Catalog'!$B:$B,0)),IFERROR(INDEX('Catalog'!$A:$A,MATCH(TRIM(SUBSTITUTE($B4036,CHAR(160)," ")),'Catalog'!$C:$C,0)),""))))</f>
        <v/>
      </c>
      <c r="H4036" s="8" t="str">
        <f aca="false">IFERROR(INDEX('TRANS'!$C:$C,MATCH($B4036,'TRANS'!$A:$A,0)),IFERROR(INDEX('Catalog'!$B:$B,MATCH($G4036,'Catalog'!$A:$A,0)),$B4036))</f>
        <v>T03 XL</v>
      </c>
      <c r="I4036" s="8" t="str">
        <f aca="false">IF($G4036="","Unmatched","Matched")</f>
        <v>Unmatched</v>
      </c>
      <c r="J4036" s="8" t="str">
        <f aca="false">IF($G4036&lt;&gt;"",$G4036,$B4036)</f>
        <v>T03 XL</v>
      </c>
      <c r="K4036" s="8" t="str">
        <f aca="false">IF(COUNTIF($M$1:$M$10,$A4036)&gt;0,"Y","N")</f>
        <v>N</v>
      </c>
    </row>
    <row r="4037" customFormat="false" ht="15" hidden="false" customHeight="true" outlineLevel="0" collapsed="false">
      <c r="A4037" s="8" t="s">
        <v>1106</v>
      </c>
      <c r="B4037" s="8" t="s">
        <v>162</v>
      </c>
      <c r="C4037" s="19" t="n">
        <v>0</v>
      </c>
      <c r="D4037" s="19" t="n">
        <v>0</v>
      </c>
      <c r="E4037" s="19" t="n">
        <v>5</v>
      </c>
      <c r="F4037" s="19" t="n">
        <v>212.05</v>
      </c>
      <c r="G4037" s="8" t="str">
        <f aca="false">IFERROR(INDEX('TRANS'!$B:$B,MATCH($B4037,'TRANS'!$A:$A,0)),IFERROR(INDEX('TRANS'!$B:$B,MATCH(TRIM(SUBSTITUTE($B4037,CHAR(160)," ")),'TRANS'!$D:$D,0)),IFERROR(INDEX('Catalog'!$A:$A,MATCH($B4037,'Catalog'!$B:$B,0)),IFERROR(INDEX('Catalog'!$A:$A,MATCH(TRIM(SUBSTITUTE($B4037,CHAR(160)," ")),'Catalog'!$C:$C,0)),""))))</f>
        <v/>
      </c>
      <c r="H4037" s="8" t="str">
        <f aca="false">IFERROR(INDEX('TRANS'!$C:$C,MATCH($B4037,'TRANS'!$A:$A,0)),IFERROR(INDEX('Catalog'!$B:$B,MATCH($G4037,'Catalog'!$A:$A,0)),$B4037))</f>
        <v>T03 XXL</v>
      </c>
      <c r="I4037" s="8" t="str">
        <f aca="false">IF($G4037="","Unmatched","Matched")</f>
        <v>Unmatched</v>
      </c>
      <c r="J4037" s="8" t="str">
        <f aca="false">IF($G4037&lt;&gt;"",$G4037,$B4037)</f>
        <v>T03 XXL</v>
      </c>
      <c r="K4037" s="8" t="str">
        <f aca="false">IF(COUNTIF($M$1:$M$10,$A4037)&gt;0,"Y","N")</f>
        <v>N</v>
      </c>
    </row>
    <row r="4038" customFormat="false" ht="15" hidden="false" customHeight="true" outlineLevel="0" collapsed="false">
      <c r="A4038" s="8" t="s">
        <v>1106</v>
      </c>
      <c r="B4038" s="8" t="s">
        <v>142</v>
      </c>
      <c r="C4038" s="19" t="n">
        <v>0</v>
      </c>
      <c r="D4038" s="19" t="n">
        <v>0</v>
      </c>
      <c r="E4038" s="19" t="n">
        <v>3</v>
      </c>
      <c r="F4038" s="19" t="n">
        <v>109.27</v>
      </c>
      <c r="G4038" s="8" t="str">
        <f aca="false">IFERROR(INDEX('TRANS'!$B:$B,MATCH($B4038,'TRANS'!$A:$A,0)),IFERROR(INDEX('TRANS'!$B:$B,MATCH(TRIM(SUBSTITUTE($B4038,CHAR(160)," ")),'TRANS'!$D:$D,0)),IFERROR(INDEX('Catalog'!$A:$A,MATCH($B4038,'Catalog'!$B:$B,0)),IFERROR(INDEX('Catalog'!$A:$A,MATCH(TRIM(SUBSTITUTE($B4038,CHAR(160)," ")),'Catalog'!$C:$C,0)),""))))</f>
        <v/>
      </c>
      <c r="H4038" s="8" t="str">
        <f aca="false">IFERROR(INDEX('TRANS'!$C:$C,MATCH($B4038,'TRANS'!$A:$A,0)),IFERROR(INDEX('Catalog'!$B:$B,MATCH($G4038,'Catalog'!$A:$A,0)),$B4038))</f>
        <v>T402 XL</v>
      </c>
      <c r="I4038" s="8" t="str">
        <f aca="false">IF($G4038="","Unmatched","Matched")</f>
        <v>Unmatched</v>
      </c>
      <c r="J4038" s="8" t="str">
        <f aca="false">IF($G4038&lt;&gt;"",$G4038,$B4038)</f>
        <v>T402 XL</v>
      </c>
      <c r="K4038" s="8" t="str">
        <f aca="false">IF(COUNTIF($M$1:$M$10,$A4038)&gt;0,"Y","N")</f>
        <v>N</v>
      </c>
    </row>
    <row r="4039" customFormat="false" ht="15" hidden="false" customHeight="true" outlineLevel="0" collapsed="false">
      <c r="A4039" s="8" t="s">
        <v>1106</v>
      </c>
      <c r="B4039" s="8" t="s">
        <v>158</v>
      </c>
      <c r="C4039" s="19" t="n">
        <v>0</v>
      </c>
      <c r="D4039" s="19" t="n">
        <v>0</v>
      </c>
      <c r="E4039" s="19" t="n">
        <v>3</v>
      </c>
      <c r="F4039" s="19" t="n">
        <v>109.27</v>
      </c>
      <c r="G4039" s="8" t="str">
        <f aca="false">IFERROR(INDEX('TRANS'!$B:$B,MATCH($B4039,'TRANS'!$A:$A,0)),IFERROR(INDEX('TRANS'!$B:$B,MATCH(TRIM(SUBSTITUTE($B4039,CHAR(160)," ")),'TRANS'!$D:$D,0)),IFERROR(INDEX('Catalog'!$A:$A,MATCH($B4039,'Catalog'!$B:$B,0)),IFERROR(INDEX('Catalog'!$A:$A,MATCH(TRIM(SUBSTITUTE($B4039,CHAR(160)," ")),'Catalog'!$C:$C,0)),""))))</f>
        <v/>
      </c>
      <c r="H4039" s="8" t="str">
        <f aca="false">IFERROR(INDEX('TRANS'!$C:$C,MATCH($B4039,'TRANS'!$A:$A,0)),IFERROR(INDEX('Catalog'!$B:$B,MATCH($G4039,'Catalog'!$A:$A,0)),$B4039))</f>
        <v>T402 XXL</v>
      </c>
      <c r="I4039" s="8" t="str">
        <f aca="false">IF($G4039="","Unmatched","Matched")</f>
        <v>Unmatched</v>
      </c>
      <c r="J4039" s="8" t="str">
        <f aca="false">IF($G4039&lt;&gt;"",$G4039,$B4039)</f>
        <v>T402 XXL</v>
      </c>
      <c r="K4039" s="8" t="str">
        <f aca="false">IF(COUNTIF($M$1:$M$10,$A4039)&gt;0,"Y","N")</f>
        <v>N</v>
      </c>
    </row>
    <row r="4040" customFormat="false" ht="15" hidden="false" customHeight="true" outlineLevel="0" collapsed="false">
      <c r="A4040" s="8" t="s">
        <v>1106</v>
      </c>
      <c r="B4040" s="8" t="s">
        <v>1107</v>
      </c>
      <c r="C4040" s="19" t="n">
        <v>0</v>
      </c>
      <c r="D4040" s="19" t="n">
        <v>0</v>
      </c>
      <c r="E4040" s="19" t="n">
        <v>3</v>
      </c>
      <c r="F4040" s="19" t="n">
        <v>299.37</v>
      </c>
      <c r="G4040" s="8" t="str">
        <f aca="false">IFERROR(INDEX('TRANS'!$B:$B,MATCH($B4040,'TRANS'!$A:$A,0)),IFERROR(INDEX('TRANS'!$B:$B,MATCH(TRIM(SUBSTITUTE($B4040,CHAR(160)," ")),'TRANS'!$D:$D,0)),IFERROR(INDEX('Catalog'!$A:$A,MATCH($B4040,'Catalog'!$B:$B,0)),IFERROR(INDEX('Catalog'!$A:$A,MATCH(TRIM(SUBSTITUTE($B4040,CHAR(160)," ")),'Catalog'!$C:$C,0)),""))))</f>
        <v/>
      </c>
      <c r="H4040" s="8" t="str">
        <f aca="false">IFERROR(INDEX('TRANS'!$C:$C,MATCH($B4040,'TRANS'!$A:$A,0)),IFERROR(INDEX('Catalog'!$B:$B,MATCH($G4040,'Catalog'!$A:$A,0)),$B4040))</f>
        <v>T43F XXL</v>
      </c>
      <c r="I4040" s="8" t="str">
        <f aca="false">IF($G4040="","Unmatched","Matched")</f>
        <v>Unmatched</v>
      </c>
      <c r="J4040" s="8" t="str">
        <f aca="false">IF($G4040&lt;&gt;"",$G4040,$B4040)</f>
        <v>T43F XXL</v>
      </c>
      <c r="K4040" s="8" t="str">
        <f aca="false">IF(COUNTIF($M$1:$M$10,$A4040)&gt;0,"Y","N")</f>
        <v>N</v>
      </c>
    </row>
    <row r="4041" customFormat="false" ht="15" hidden="false" customHeight="true" outlineLevel="0" collapsed="false">
      <c r="A4041" s="8" t="s">
        <v>1106</v>
      </c>
      <c r="B4041" s="8" t="s">
        <v>774</v>
      </c>
      <c r="C4041" s="19" t="n">
        <v>4</v>
      </c>
      <c r="D4041" s="19" t="n">
        <v>321.1</v>
      </c>
      <c r="E4041" s="19" t="n">
        <v>6</v>
      </c>
      <c r="F4041" s="19" t="n">
        <v>403.15</v>
      </c>
      <c r="G4041" s="8" t="n">
        <f aca="false">IFERROR(INDEX('TRANS'!$B:$B,MATCH($B4041,'TRANS'!$A:$A,0)),IFERROR(INDEX('TRANS'!$B:$B,MATCH(TRIM(SUBSTITUTE($B4041,CHAR(160)," ")),'TRANS'!$D:$D,0)),IFERROR(INDEX('Catalog'!$A:$A,MATCH($B4041,'Catalog'!$B:$B,0)),IFERROR(INDEX('Catalog'!$A:$A,MATCH(TRIM(SUBSTITUTE($B4041,CHAR(160)," ")),'Catalog'!$C:$C,0)),""))))</f>
        <v>4422006</v>
      </c>
      <c r="H4041" s="8" t="str">
        <f aca="false">IFERROR(INDEX('TRANS'!$C:$C,MATCH($B4041,'TRANS'!$A:$A,0)),IFERROR(INDEX('Catalog'!$B:$B,MATCH($G4041,'Catalog'!$A:$A,0)),$B4041))</f>
        <v>T78 L תומך זרוע וכתף</v>
      </c>
      <c r="I4041" s="8" t="str">
        <f aca="false">IF($G4041="","Unmatched","Matched")</f>
        <v>Matched</v>
      </c>
      <c r="J4041" s="8" t="n">
        <f aca="false">IF($G4041&lt;&gt;"",$G4041,$B4041)</f>
        <v>4422006</v>
      </c>
      <c r="K4041" s="8" t="str">
        <f aca="false">IF(COUNTIF($M$1:$M$10,$A4041)&gt;0,"Y","N")</f>
        <v>N</v>
      </c>
    </row>
    <row r="4042" customFormat="false" ht="15" hidden="false" customHeight="true" outlineLevel="0" collapsed="false">
      <c r="A4042" s="8" t="s">
        <v>1106</v>
      </c>
      <c r="B4042" s="8" t="s">
        <v>851</v>
      </c>
      <c r="C4042" s="19" t="n">
        <v>2</v>
      </c>
      <c r="D4042" s="19" t="n">
        <v>152.47</v>
      </c>
      <c r="E4042" s="19" t="n">
        <v>3</v>
      </c>
      <c r="F4042" s="19" t="n">
        <v>201.57</v>
      </c>
      <c r="G4042" s="8" t="n">
        <f aca="false">IFERROR(INDEX('TRANS'!$B:$B,MATCH($B4042,'TRANS'!$A:$A,0)),IFERROR(INDEX('TRANS'!$B:$B,MATCH(TRIM(SUBSTITUTE($B4042,CHAR(160)," ")),'TRANS'!$D:$D,0)),IFERROR(INDEX('Catalog'!$A:$A,MATCH($B4042,'Catalog'!$B:$B,0)),IFERROR(INDEX('Catalog'!$A:$A,MATCH(TRIM(SUBSTITUTE($B4042,CHAR(160)," ")),'Catalog'!$C:$C,0)),""))))</f>
        <v>4422005</v>
      </c>
      <c r="H4042" s="8" t="str">
        <f aca="false">IFERROR(INDEX('TRANS'!$C:$C,MATCH($B4042,'TRANS'!$A:$A,0)),IFERROR(INDEX('Catalog'!$B:$B,MATCH($G4042,'Catalog'!$A:$A,0)),$B4042))</f>
        <v>T78 M תומך זרוע וכתף</v>
      </c>
      <c r="I4042" s="8" t="str">
        <f aca="false">IF($G4042="","Unmatched","Matched")</f>
        <v>Matched</v>
      </c>
      <c r="J4042" s="8" t="n">
        <f aca="false">IF($G4042&lt;&gt;"",$G4042,$B4042)</f>
        <v>4422005</v>
      </c>
      <c r="K4042" s="8" t="str">
        <f aca="false">IF(COUNTIF($M$1:$M$10,$A4042)&gt;0,"Y","N")</f>
        <v>N</v>
      </c>
    </row>
    <row r="4043" customFormat="false" ht="15" hidden="false" customHeight="true" outlineLevel="0" collapsed="false">
      <c r="A4043" s="8" t="s">
        <v>1106</v>
      </c>
      <c r="B4043" s="8" t="s">
        <v>919</v>
      </c>
      <c r="C4043" s="19" t="n">
        <v>2</v>
      </c>
      <c r="D4043" s="19" t="n">
        <v>160.55</v>
      </c>
      <c r="E4043" s="19" t="n">
        <v>3</v>
      </c>
      <c r="F4043" s="19" t="n">
        <v>201.57</v>
      </c>
      <c r="G4043" s="8" t="n">
        <f aca="false">IFERROR(INDEX('TRANS'!$B:$B,MATCH($B4043,'TRANS'!$A:$A,0)),IFERROR(INDEX('TRANS'!$B:$B,MATCH(TRIM(SUBSTITUTE($B4043,CHAR(160)," ")),'TRANS'!$D:$D,0)),IFERROR(INDEX('Catalog'!$A:$A,MATCH($B4043,'Catalog'!$B:$B,0)),IFERROR(INDEX('Catalog'!$A:$A,MATCH(TRIM(SUBSTITUTE($B4043,CHAR(160)," ")),'Catalog'!$C:$C,0)),""))))</f>
        <v>4422004</v>
      </c>
      <c r="H4043" s="8" t="str">
        <f aca="false">IFERROR(INDEX('TRANS'!$C:$C,MATCH($B4043,'TRANS'!$A:$A,0)),IFERROR(INDEX('Catalog'!$B:$B,MATCH($G4043,'Catalog'!$A:$A,0)),$B4043))</f>
        <v>T78 S תומך זרוע וכתף</v>
      </c>
      <c r="I4043" s="8" t="str">
        <f aca="false">IF($G4043="","Unmatched","Matched")</f>
        <v>Matched</v>
      </c>
      <c r="J4043" s="8" t="n">
        <f aca="false">IF($G4043&lt;&gt;"",$G4043,$B4043)</f>
        <v>4422004</v>
      </c>
      <c r="K4043" s="8" t="str">
        <f aca="false">IF(COUNTIF($M$1:$M$10,$A4043)&gt;0,"Y","N")</f>
        <v>N</v>
      </c>
    </row>
    <row r="4044" customFormat="false" ht="15" hidden="false" customHeight="true" outlineLevel="0" collapsed="false">
      <c r="A4044" s="8" t="s">
        <v>1106</v>
      </c>
      <c r="B4044" s="8" t="s">
        <v>946</v>
      </c>
      <c r="C4044" s="19" t="n">
        <v>4</v>
      </c>
      <c r="D4044" s="19" t="n">
        <v>321.1</v>
      </c>
      <c r="E4044" s="19" t="n">
        <v>6</v>
      </c>
      <c r="F4044" s="19" t="n">
        <v>403.15</v>
      </c>
      <c r="G4044" s="8" t="n">
        <f aca="false">IFERROR(INDEX('TRANS'!$B:$B,MATCH($B4044,'TRANS'!$A:$A,0)),IFERROR(INDEX('TRANS'!$B:$B,MATCH(TRIM(SUBSTITUTE($B4044,CHAR(160)," ")),'TRANS'!$D:$D,0)),IFERROR(INDEX('Catalog'!$A:$A,MATCH($B4044,'Catalog'!$B:$B,0)),IFERROR(INDEX('Catalog'!$A:$A,MATCH(TRIM(SUBSTITUTE($B4044,CHAR(160)," ")),'Catalog'!$C:$C,0)),""))))</f>
        <v>4422007</v>
      </c>
      <c r="H4044" s="8" t="str">
        <f aca="false">IFERROR(INDEX('TRANS'!$C:$C,MATCH($B4044,'TRANS'!$A:$A,0)),IFERROR(INDEX('Catalog'!$B:$B,MATCH($G4044,'Catalog'!$A:$A,0)),$B4044))</f>
        <v>T78 XLתומך זרוע וכתף</v>
      </c>
      <c r="I4044" s="8" t="str">
        <f aca="false">IF($G4044="","Unmatched","Matched")</f>
        <v>Matched</v>
      </c>
      <c r="J4044" s="8" t="n">
        <f aca="false">IF($G4044&lt;&gt;"",$G4044,$B4044)</f>
        <v>4422007</v>
      </c>
      <c r="K4044" s="8" t="str">
        <f aca="false">IF(COUNTIF($M$1:$M$10,$A4044)&gt;0,"Y","N")</f>
        <v>N</v>
      </c>
    </row>
    <row r="4045" customFormat="false" ht="15" hidden="false" customHeight="true" outlineLevel="0" collapsed="false">
      <c r="A4045" s="8" t="s">
        <v>1106</v>
      </c>
      <c r="B4045" s="8" t="s">
        <v>933</v>
      </c>
      <c r="C4045" s="19" t="n">
        <v>0</v>
      </c>
      <c r="D4045" s="19" t="n">
        <v>0</v>
      </c>
      <c r="E4045" s="19" t="n">
        <v>6</v>
      </c>
      <c r="F4045" s="19" t="n">
        <v>403.15</v>
      </c>
      <c r="G4045" s="8" t="n">
        <f aca="false">IFERROR(INDEX('TRANS'!$B:$B,MATCH($B4045,'TRANS'!$A:$A,0)),IFERROR(INDEX('TRANS'!$B:$B,MATCH(TRIM(SUBSTITUTE($B4045,CHAR(160)," ")),'TRANS'!$D:$D,0)),IFERROR(INDEX('Catalog'!$A:$A,MATCH($B4045,'Catalog'!$B:$B,0)),IFERROR(INDEX('Catalog'!$A:$A,MATCH(TRIM(SUBSTITUTE($B4045,CHAR(160)," ")),'Catalog'!$C:$C,0)),""))))</f>
        <v>4422009</v>
      </c>
      <c r="H4045" s="8" t="str">
        <f aca="false">IFERROR(INDEX('TRANS'!$C:$C,MATCH($B4045,'TRANS'!$A:$A,0)),IFERROR(INDEX('Catalog'!$B:$B,MATCH($G4045,'Catalog'!$A:$A,0)),$B4045))</f>
        <v>T78 XXL תומך זרוע וכתף</v>
      </c>
      <c r="I4045" s="8" t="str">
        <f aca="false">IF($G4045="","Unmatched","Matched")</f>
        <v>Matched</v>
      </c>
      <c r="J4045" s="8" t="n">
        <f aca="false">IF($G4045&lt;&gt;"",$G4045,$B4045)</f>
        <v>4422009</v>
      </c>
      <c r="K4045" s="8" t="str">
        <f aca="false">IF(COUNTIF($M$1:$M$10,$A4045)&gt;0,"Y","N")</f>
        <v>N</v>
      </c>
    </row>
    <row r="4046" customFormat="false" ht="15" hidden="false" customHeight="true" outlineLevel="0" collapsed="false">
      <c r="A4046" s="8" t="s">
        <v>1108</v>
      </c>
      <c r="B4046" s="8" t="s">
        <v>1109</v>
      </c>
      <c r="C4046" s="19" t="n">
        <v>15</v>
      </c>
      <c r="D4046" s="19" t="n">
        <v>496.51</v>
      </c>
      <c r="E4046" s="19" t="n">
        <v>9</v>
      </c>
      <c r="F4046" s="19" t="n">
        <v>262.22</v>
      </c>
      <c r="G4046" s="8" t="str">
        <f aca="false">IFERROR(INDEX('TRANS'!$B:$B,MATCH($B4046,'TRANS'!$A:$A,0)),IFERROR(INDEX('TRANS'!$B:$B,MATCH(TRIM(SUBSTITUTE($B4046,CHAR(160)," ")),'TRANS'!$D:$D,0)),IFERROR(INDEX('Catalog'!$A:$A,MATCH($B4046,'Catalog'!$B:$B,0)),IFERROR(INDEX('Catalog'!$A:$A,MATCH(TRIM(SUBSTITUTE($B4046,CHAR(160)," ")),'Catalog'!$C:$C,0)),""))))</f>
        <v/>
      </c>
      <c r="H4046" s="8" t="str">
        <f aca="false">IFERROR(INDEX('TRANS'!$C:$C,MATCH($B4046,'TRANS'!$A:$A,0)),IFERROR(INDEX('Catalog'!$B:$B,MATCH($G4046,'Catalog'!$A:$A,0)),$B4046))</f>
        <v>25 M</v>
      </c>
      <c r="I4046" s="8" t="str">
        <f aca="false">IF($G4046="","Unmatched","Matched")</f>
        <v>Unmatched</v>
      </c>
      <c r="J4046" s="8" t="str">
        <f aca="false">IF($G4046&lt;&gt;"",$G4046,$B4046)</f>
        <v>25 M</v>
      </c>
      <c r="K4046" s="8" t="str">
        <f aca="false">IF(COUNTIF($M$1:$M$10,$A4046)&gt;0,"Y","N")</f>
        <v>N</v>
      </c>
    </row>
    <row r="4047" customFormat="false" ht="15" hidden="false" customHeight="true" outlineLevel="0" collapsed="false">
      <c r="A4047" s="8" t="s">
        <v>1108</v>
      </c>
      <c r="B4047" s="8" t="s">
        <v>155</v>
      </c>
      <c r="C4047" s="19" t="n">
        <v>1</v>
      </c>
      <c r="D4047" s="19" t="n">
        <v>0.04</v>
      </c>
      <c r="E4047" s="19" t="n">
        <v>0</v>
      </c>
      <c r="F4047" s="19" t="n">
        <v>0</v>
      </c>
      <c r="G4047" s="8" t="str">
        <f aca="false">IFERROR(INDEX('TRANS'!$B:$B,MATCH($B4047,'TRANS'!$A:$A,0)),IFERROR(INDEX('TRANS'!$B:$B,MATCH(TRIM(SUBSTITUTE($B4047,CHAR(160)," ")),'TRANS'!$D:$D,0)),IFERROR(INDEX('Catalog'!$A:$A,MATCH($B4047,'Catalog'!$B:$B,0)),IFERROR(INDEX('Catalog'!$A:$A,MATCH(TRIM(SUBSTITUTE($B4047,CHAR(160)," ")),'Catalog'!$C:$C,0)),""))))</f>
        <v/>
      </c>
      <c r="H4047" s="8" t="str">
        <f aca="false">IFERROR(INDEX('TRANS'!$C:$C,MATCH($B4047,'TRANS'!$A:$A,0)),IFERROR(INDEX('Catalog'!$B:$B,MATCH($G4047,'Catalog'!$A:$A,0)),$B4047))</f>
        <v>391B-35-38</v>
      </c>
      <c r="I4047" s="8" t="str">
        <f aca="false">IF($G4047="","Unmatched","Matched")</f>
        <v>Unmatched</v>
      </c>
      <c r="J4047" s="8" t="str">
        <f aca="false">IF($G4047&lt;&gt;"",$G4047,$B4047)</f>
        <v>391B-35-38</v>
      </c>
      <c r="K4047" s="8" t="str">
        <f aca="false">IF(COUNTIF($M$1:$M$10,$A4047)&gt;0,"Y","N")</f>
        <v>N</v>
      </c>
    </row>
    <row r="4048" customFormat="false" ht="15" hidden="false" customHeight="true" outlineLevel="0" collapsed="false">
      <c r="A4048" s="8" t="s">
        <v>1108</v>
      </c>
      <c r="B4048" s="8" t="s">
        <v>65</v>
      </c>
      <c r="C4048" s="19" t="n">
        <v>1</v>
      </c>
      <c r="D4048" s="19" t="n">
        <v>0.04</v>
      </c>
      <c r="E4048" s="19" t="n">
        <v>0</v>
      </c>
      <c r="F4048" s="19" t="n">
        <v>0</v>
      </c>
      <c r="G4048" s="8" t="str">
        <f aca="false">IFERROR(INDEX('TRANS'!$B:$B,MATCH($B4048,'TRANS'!$A:$A,0)),IFERROR(INDEX('TRANS'!$B:$B,MATCH(TRIM(SUBSTITUTE($B4048,CHAR(160)," ")),'TRANS'!$D:$D,0)),IFERROR(INDEX('Catalog'!$A:$A,MATCH($B4048,'Catalog'!$B:$B,0)),IFERROR(INDEX('Catalog'!$A:$A,MATCH(TRIM(SUBSTITUTE($B4048,CHAR(160)," ")),'Catalog'!$C:$C,0)),""))))</f>
        <v/>
      </c>
      <c r="H4048" s="8" t="str">
        <f aca="false">IFERROR(INDEX('TRANS'!$C:$C,MATCH($B4048,'TRANS'!$A:$A,0)),IFERROR(INDEX('Catalog'!$B:$B,MATCH($G4048,'Catalog'!$A:$A,0)),$B4048))</f>
        <v>395W-35-38</v>
      </c>
      <c r="I4048" s="8" t="str">
        <f aca="false">IF($G4048="","Unmatched","Matched")</f>
        <v>Unmatched</v>
      </c>
      <c r="J4048" s="8" t="str">
        <f aca="false">IF($G4048&lt;&gt;"",$G4048,$B4048)</f>
        <v>395W-35-38</v>
      </c>
      <c r="K4048" s="8" t="str">
        <f aca="false">IF(COUNTIF($M$1:$M$10,$A4048)&gt;0,"Y","N")</f>
        <v>N</v>
      </c>
    </row>
    <row r="4049" customFormat="false" ht="15" hidden="false" customHeight="true" outlineLevel="0" collapsed="false">
      <c r="A4049" s="8" t="s">
        <v>1108</v>
      </c>
      <c r="B4049" s="8" t="s">
        <v>668</v>
      </c>
      <c r="C4049" s="19" t="n">
        <v>1</v>
      </c>
      <c r="D4049" s="19" t="n">
        <v>0.04</v>
      </c>
      <c r="E4049" s="19" t="n">
        <v>0</v>
      </c>
      <c r="F4049" s="19" t="n">
        <v>0</v>
      </c>
      <c r="G4049" s="8" t="n">
        <f aca="false">IFERROR(INDEX('TRANS'!$B:$B,MATCH($B4049,'TRANS'!$A:$A,0)),IFERROR(INDEX('TRANS'!$B:$B,MATCH(TRIM(SUBSTITUTE($B4049,CHAR(160)," ")),'TRANS'!$D:$D,0)),IFERROR(INDEX('Catalog'!$A:$A,MATCH($B4049,'Catalog'!$B:$B,0)),IFERROR(INDEX('Catalog'!$A:$A,MATCH(TRIM(SUBSTITUTE($B4049,CHAR(160)," ")),'Catalog'!$C:$C,0)),""))))</f>
        <v>4403042</v>
      </c>
      <c r="H4049" s="8" t="str">
        <f aca="false">IFERROR(INDEX('TRANS'!$C:$C,MATCH($B4049,'TRANS'!$A:$A,0)),IFERROR(INDEX('Catalog'!$B:$B,MATCH($G4049,'Catalog'!$A:$A,0)),$B4049))</f>
        <v>397A-גרבי טיסה אנטי בקטרי39-42</v>
      </c>
      <c r="I4049" s="8" t="str">
        <f aca="false">IF($G4049="","Unmatched","Matched")</f>
        <v>Matched</v>
      </c>
      <c r="J4049" s="8" t="n">
        <f aca="false">IF($G4049&lt;&gt;"",$G4049,$B4049)</f>
        <v>4403042</v>
      </c>
      <c r="K4049" s="8" t="str">
        <f aca="false">IF(COUNTIF($M$1:$M$10,$A4049)&gt;0,"Y","N")</f>
        <v>N</v>
      </c>
    </row>
    <row r="4050" customFormat="false" ht="15" hidden="false" customHeight="true" outlineLevel="0" collapsed="false">
      <c r="A4050" s="8" t="s">
        <v>1108</v>
      </c>
      <c r="B4050" s="8" t="s">
        <v>798</v>
      </c>
      <c r="C4050" s="19" t="n">
        <v>130</v>
      </c>
      <c r="D4050" s="19" t="n">
        <v>1507.92</v>
      </c>
      <c r="E4050" s="19" t="n">
        <v>0</v>
      </c>
      <c r="F4050" s="19" t="n">
        <v>0</v>
      </c>
      <c r="G4050" s="8" t="n">
        <f aca="false">IFERROR(INDEX('TRANS'!$B:$B,MATCH($B4050,'TRANS'!$A:$A,0)),IFERROR(INDEX('TRANS'!$B:$B,MATCH(TRIM(SUBSTITUTE($B4050,CHAR(160)," ")),'TRANS'!$D:$D,0)),IFERROR(INDEX('Catalog'!$A:$A,MATCH($B4050,'Catalog'!$B:$B,0)),IFERROR(INDEX('Catalog'!$A:$A,MATCH(TRIM(SUBSTITUTE($B4050,CHAR(160)," ")),'Catalog'!$C:$C,0)),""))))</f>
        <v>4413092</v>
      </c>
      <c r="H4050" s="8" t="str">
        <f aca="false">IFERROR(INDEX('TRANS'!$C:$C,MATCH($B4050,'TRANS'!$A:$A,0)),IFERROR(INDEX('Catalog'!$B:$B,MATCH($G4050,'Catalog'!$A:$A,0)),$B4050))</f>
        <v>45 L מגן ברך לבן</v>
      </c>
      <c r="I4050" s="8" t="str">
        <f aca="false">IF($G4050="","Unmatched","Matched")</f>
        <v>Matched</v>
      </c>
      <c r="J4050" s="8" t="n">
        <f aca="false">IF($G4050&lt;&gt;"",$G4050,$B4050)</f>
        <v>4413092</v>
      </c>
      <c r="K4050" s="8" t="str">
        <f aca="false">IF(COUNTIF($M$1:$M$10,$A4050)&gt;0,"Y","N")</f>
        <v>N</v>
      </c>
    </row>
    <row r="4051" customFormat="false" ht="15" hidden="false" customHeight="true" outlineLevel="0" collapsed="false">
      <c r="A4051" s="8" t="s">
        <v>1108</v>
      </c>
      <c r="B4051" s="8" t="s">
        <v>799</v>
      </c>
      <c r="C4051" s="19" t="n">
        <v>140</v>
      </c>
      <c r="D4051" s="19" t="n">
        <v>1623.82</v>
      </c>
      <c r="E4051" s="19" t="n">
        <v>0</v>
      </c>
      <c r="F4051" s="19" t="n">
        <v>0</v>
      </c>
      <c r="G4051" s="8" t="n">
        <f aca="false">IFERROR(INDEX('TRANS'!$B:$B,MATCH($B4051,'TRANS'!$A:$A,0)),IFERROR(INDEX('TRANS'!$B:$B,MATCH(TRIM(SUBSTITUTE($B4051,CHAR(160)," ")),'TRANS'!$D:$D,0)),IFERROR(INDEX('Catalog'!$A:$A,MATCH($B4051,'Catalog'!$B:$B,0)),IFERROR(INDEX('Catalog'!$A:$A,MATCH(TRIM(SUBSTITUTE($B4051,CHAR(160)," ")),'Catalog'!$C:$C,0)),""))))</f>
        <v>4413093</v>
      </c>
      <c r="H4051" s="8" t="str">
        <f aca="false">IFERROR(INDEX('TRANS'!$C:$C,MATCH($B4051,'TRANS'!$A:$A,0)),IFERROR(INDEX('Catalog'!$B:$B,MATCH($G4051,'Catalog'!$A:$A,0)),$B4051))</f>
        <v>45 M מגן ברך לבן</v>
      </c>
      <c r="I4051" s="8" t="str">
        <f aca="false">IF($G4051="","Unmatched","Matched")</f>
        <v>Matched</v>
      </c>
      <c r="J4051" s="8" t="n">
        <f aca="false">IF($G4051&lt;&gt;"",$G4051,$B4051)</f>
        <v>4413093</v>
      </c>
      <c r="K4051" s="8" t="str">
        <f aca="false">IF(COUNTIF($M$1:$M$10,$A4051)&gt;0,"Y","N")</f>
        <v>N</v>
      </c>
    </row>
    <row r="4052" customFormat="false" ht="15" hidden="false" customHeight="true" outlineLevel="0" collapsed="false">
      <c r="A4052" s="8" t="s">
        <v>1108</v>
      </c>
      <c r="B4052" s="8" t="s">
        <v>673</v>
      </c>
      <c r="C4052" s="19" t="n">
        <v>90</v>
      </c>
      <c r="D4052" s="19" t="n">
        <v>1043.9</v>
      </c>
      <c r="E4052" s="19" t="n">
        <v>0</v>
      </c>
      <c r="F4052" s="19" t="n">
        <v>0</v>
      </c>
      <c r="G4052" s="8" t="n">
        <f aca="false">IFERROR(INDEX('TRANS'!$B:$B,MATCH($B4052,'TRANS'!$A:$A,0)),IFERROR(INDEX('TRANS'!$B:$B,MATCH(TRIM(SUBSTITUTE($B4052,CHAR(160)," ")),'TRANS'!$D:$D,0)),IFERROR(INDEX('Catalog'!$A:$A,MATCH($B4052,'Catalog'!$B:$B,0)),IFERROR(INDEX('Catalog'!$A:$A,MATCH(TRIM(SUBSTITUTE($B4052,CHAR(160)," ")),'Catalog'!$C:$C,0)),""))))</f>
        <v>4413094</v>
      </c>
      <c r="H4052" s="8" t="str">
        <f aca="false">IFERROR(INDEX('TRANS'!$C:$C,MATCH($B4052,'TRANS'!$A:$A,0)),IFERROR(INDEX('Catalog'!$B:$B,MATCH($G4052,'Catalog'!$A:$A,0)),$B4052))</f>
        <v>45 S מגן ברך לבן</v>
      </c>
      <c r="I4052" s="8" t="str">
        <f aca="false">IF($G4052="","Unmatched","Matched")</f>
        <v>Matched</v>
      </c>
      <c r="J4052" s="8" t="n">
        <f aca="false">IF($G4052&lt;&gt;"",$G4052,$B4052)</f>
        <v>4413094</v>
      </c>
      <c r="K4052" s="8" t="str">
        <f aca="false">IF(COUNTIF($M$1:$M$10,$A4052)&gt;0,"Y","N")</f>
        <v>N</v>
      </c>
    </row>
    <row r="4053" customFormat="false" ht="15" hidden="false" customHeight="true" outlineLevel="0" collapsed="false">
      <c r="A4053" s="8" t="s">
        <v>1108</v>
      </c>
      <c r="B4053" s="8" t="s">
        <v>674</v>
      </c>
      <c r="C4053" s="19" t="n">
        <v>70</v>
      </c>
      <c r="D4053" s="19" t="n">
        <v>811.07</v>
      </c>
      <c r="E4053" s="19" t="n">
        <v>0</v>
      </c>
      <c r="F4053" s="19" t="n">
        <v>0</v>
      </c>
      <c r="G4053" s="8" t="n">
        <f aca="false">IFERROR(INDEX('TRANS'!$B:$B,MATCH($B4053,'TRANS'!$A:$A,0)),IFERROR(INDEX('TRANS'!$B:$B,MATCH(TRIM(SUBSTITUTE($B4053,CHAR(160)," ")),'TRANS'!$D:$D,0)),IFERROR(INDEX('Catalog'!$A:$A,MATCH($B4053,'Catalog'!$B:$B,0)),IFERROR(INDEX('Catalog'!$A:$A,MATCH(TRIM(SUBSTITUTE($B4053,CHAR(160)," ")),'Catalog'!$C:$C,0)),""))))</f>
        <v>4413095</v>
      </c>
      <c r="H4053" s="8" t="str">
        <f aca="false">IFERROR(INDEX('TRANS'!$C:$C,MATCH($B4053,'TRANS'!$A:$A,0)),IFERROR(INDEX('Catalog'!$B:$B,MATCH($G4053,'Catalog'!$A:$A,0)),$B4053))</f>
        <v>45 XL מגן ברך לבן</v>
      </c>
      <c r="I4053" s="8" t="str">
        <f aca="false">IF($G4053="","Unmatched","Matched")</f>
        <v>Matched</v>
      </c>
      <c r="J4053" s="8" t="n">
        <f aca="false">IF($G4053&lt;&gt;"",$G4053,$B4053)</f>
        <v>4413095</v>
      </c>
      <c r="K4053" s="8" t="str">
        <f aca="false">IF(COUNTIF($M$1:$M$10,$A4053)&gt;0,"Y","N")</f>
        <v>N</v>
      </c>
    </row>
    <row r="4054" customFormat="false" ht="15" hidden="false" customHeight="true" outlineLevel="0" collapsed="false">
      <c r="A4054" s="8" t="s">
        <v>1108</v>
      </c>
      <c r="B4054" s="8" t="s">
        <v>968</v>
      </c>
      <c r="C4054" s="19" t="n">
        <v>1</v>
      </c>
      <c r="D4054" s="19" t="n">
        <v>46.89</v>
      </c>
      <c r="E4054" s="19" t="n">
        <v>0</v>
      </c>
      <c r="F4054" s="19" t="n">
        <v>0</v>
      </c>
      <c r="G4054" s="8" t="n">
        <f aca="false">IFERROR(INDEX('TRANS'!$B:$B,MATCH($B4054,'TRANS'!$A:$A,0)),IFERROR(INDEX('TRANS'!$B:$B,MATCH(TRIM(SUBSTITUTE($B4054,CHAR(160)," ")),'TRANS'!$D:$D,0)),IFERROR(INDEX('Catalog'!$A:$A,MATCH($B4054,'Catalog'!$B:$B,0)),IFERROR(INDEX('Catalog'!$A:$A,MATCH(TRIM(SUBSTITUTE($B4054,CHAR(160)," ")),'Catalog'!$C:$C,0)),""))))</f>
        <v>4413118</v>
      </c>
      <c r="H4054" s="8" t="str">
        <f aca="false">IFERROR(INDEX('TRANS'!$C:$C,MATCH($B4054,'TRANS'!$A:$A,0)),IFERROR(INDEX('Catalog'!$B:$B,MATCH($G4054,'Catalog'!$A:$A,0)),$B4054))</f>
        <v>50 M מתלה אשכים לאחר ניתוח</v>
      </c>
      <c r="I4054" s="8" t="str">
        <f aca="false">IF($G4054="","Unmatched","Matched")</f>
        <v>Matched</v>
      </c>
      <c r="J4054" s="8" t="n">
        <f aca="false">IF($G4054&lt;&gt;"",$G4054,$B4054)</f>
        <v>4413118</v>
      </c>
      <c r="K4054" s="8" t="str">
        <f aca="false">IF(COUNTIF($M$1:$M$10,$A4054)&gt;0,"Y","N")</f>
        <v>N</v>
      </c>
    </row>
    <row r="4055" customFormat="false" ht="15" hidden="false" customHeight="true" outlineLevel="0" collapsed="false">
      <c r="A4055" s="8" t="s">
        <v>1108</v>
      </c>
      <c r="B4055" s="8" t="s">
        <v>879</v>
      </c>
      <c r="C4055" s="19" t="n">
        <v>1</v>
      </c>
      <c r="D4055" s="19" t="n">
        <v>103.15</v>
      </c>
      <c r="E4055" s="19" t="n">
        <v>0</v>
      </c>
      <c r="F4055" s="19" t="n">
        <v>0</v>
      </c>
      <c r="G4055" s="8" t="n">
        <f aca="false">IFERROR(INDEX('TRANS'!$B:$B,MATCH($B4055,'TRANS'!$A:$A,0)),IFERROR(INDEX('TRANS'!$B:$B,MATCH(TRIM(SUBSTITUTE($B4055,CHAR(160)," ")),'TRANS'!$D:$D,0)),IFERROR(INDEX('Catalog'!$A:$A,MATCH($B4055,'Catalog'!$B:$B,0)),IFERROR(INDEX('Catalog'!$A:$A,MATCH(TRIM(SUBSTITUTE($B4055,CHAR(160)," ")),'Catalog'!$C:$C,0)),""))))</f>
        <v>4408070</v>
      </c>
      <c r="H4055" s="8" t="str">
        <f aca="false">IFERROR(INDEX('TRANS'!$C:$C,MATCH($B4055,'TRANS'!$A:$A,0)),IFERROR(INDEX('Catalog'!$B:$B,MATCH($G4055,'Catalog'!$A:$A,0)),$B4055))</f>
        <v>59D S חגורת שבר דו צדדי</v>
      </c>
      <c r="I4055" s="8" t="str">
        <f aca="false">IF($G4055="","Unmatched","Matched")</f>
        <v>Matched</v>
      </c>
      <c r="J4055" s="8" t="n">
        <f aca="false">IF($G4055&lt;&gt;"",$G4055,$B4055)</f>
        <v>4408070</v>
      </c>
      <c r="K4055" s="8" t="str">
        <f aca="false">IF(COUNTIF($M$1:$M$10,$A4055)&gt;0,"Y","N")</f>
        <v>N</v>
      </c>
    </row>
    <row r="4056" customFormat="false" ht="15" hidden="false" customHeight="true" outlineLevel="0" collapsed="false">
      <c r="A4056" s="8" t="s">
        <v>1108</v>
      </c>
      <c r="B4056" s="8" t="s">
        <v>696</v>
      </c>
      <c r="C4056" s="19" t="n">
        <v>75</v>
      </c>
      <c r="D4056" s="19" t="n">
        <v>827.52</v>
      </c>
      <c r="E4056" s="19" t="n">
        <v>0</v>
      </c>
      <c r="F4056" s="19" t="n">
        <v>0</v>
      </c>
      <c r="G4056" s="8" t="n">
        <f aca="false">IFERROR(INDEX('TRANS'!$B:$B,MATCH($B4056,'TRANS'!$A:$A,0)),IFERROR(INDEX('TRANS'!$B:$B,MATCH(TRIM(SUBSTITUTE($B4056,CHAR(160)," ")),'TRANS'!$D:$D,0)),IFERROR(INDEX('Catalog'!$A:$A,MATCH($B4056,'Catalog'!$B:$B,0)),IFERROR(INDEX('Catalog'!$A:$A,MATCH(TRIM(SUBSTITUTE($B4056,CHAR(160)," ")),'Catalog'!$C:$C,0)),""))))</f>
        <v>4422000</v>
      </c>
      <c r="H4056" s="8" t="str">
        <f aca="false">IFERROR(INDEX('TRANS'!$C:$C,MATCH($B4056,'TRANS'!$A:$A,0)),IFERROR(INDEX('Catalog'!$B:$B,MATCH($G4056,'Catalog'!$A:$A,0)),$B4056))</f>
        <v>801  תחבושת אלסטית מקררת</v>
      </c>
      <c r="I4056" s="8" t="str">
        <f aca="false">IF($G4056="","Unmatched","Matched")</f>
        <v>Matched</v>
      </c>
      <c r="J4056" s="8" t="n">
        <f aca="false">IF($G4056&lt;&gt;"",$G4056,$B4056)</f>
        <v>4422000</v>
      </c>
      <c r="K4056" s="8" t="str">
        <f aca="false">IF(COUNTIF($M$1:$M$10,$A4056)&gt;0,"Y","N")</f>
        <v>N</v>
      </c>
    </row>
    <row r="4057" customFormat="false" ht="15" hidden="false" customHeight="true" outlineLevel="0" collapsed="false">
      <c r="A4057" s="8" t="s">
        <v>1108</v>
      </c>
      <c r="B4057" s="8" t="s">
        <v>716</v>
      </c>
      <c r="C4057" s="19" t="n">
        <v>5</v>
      </c>
      <c r="D4057" s="19" t="n">
        <v>57.95</v>
      </c>
      <c r="E4057" s="19" t="n">
        <v>0</v>
      </c>
      <c r="F4057" s="19" t="n">
        <v>0</v>
      </c>
      <c r="G4057" s="8" t="n">
        <f aca="false">IFERROR(INDEX('TRANS'!$B:$B,MATCH($B4057,'TRANS'!$A:$A,0)),IFERROR(INDEX('TRANS'!$B:$B,MATCH(TRIM(SUBSTITUTE($B4057,CHAR(160)," ")),'TRANS'!$D:$D,0)),IFERROR(INDEX('Catalog'!$A:$A,MATCH($B4057,'Catalog'!$B:$B,0)),IFERROR(INDEX('Catalog'!$A:$A,MATCH(TRIM(SUBSTITUTE($B4057,CHAR(160)," ")),'Catalog'!$C:$C,0)),""))))</f>
        <v>4413140</v>
      </c>
      <c r="H4057" s="8" t="str">
        <f aca="false">IFERROR(INDEX('TRANS'!$C:$C,MATCH($B4057,'TRANS'!$A:$A,0)),IFERROR(INDEX('Catalog'!$B:$B,MATCH($G4057,'Catalog'!$A:$A,0)),$B4057))</f>
        <v>95 M מגן מרפק רגיל לבן</v>
      </c>
      <c r="I4057" s="8" t="str">
        <f aca="false">IF($G4057="","Unmatched","Matched")</f>
        <v>Matched</v>
      </c>
      <c r="J4057" s="8" t="n">
        <f aca="false">IF($G4057&lt;&gt;"",$G4057,$B4057)</f>
        <v>4413140</v>
      </c>
      <c r="K4057" s="8" t="str">
        <f aca="false">IF(COUNTIF($M$1:$M$10,$A4057)&gt;0,"Y","N")</f>
        <v>N</v>
      </c>
    </row>
    <row r="4058" customFormat="false" ht="15" hidden="false" customHeight="true" outlineLevel="0" collapsed="false">
      <c r="A4058" s="8" t="s">
        <v>1108</v>
      </c>
      <c r="B4058" s="8" t="s">
        <v>838</v>
      </c>
      <c r="C4058" s="19" t="n">
        <v>9</v>
      </c>
      <c r="D4058" s="19" t="n">
        <v>104.56</v>
      </c>
      <c r="E4058" s="19" t="n">
        <v>0</v>
      </c>
      <c r="F4058" s="19" t="n">
        <v>0</v>
      </c>
      <c r="G4058" s="8" t="n">
        <f aca="false">IFERROR(INDEX('TRANS'!$B:$B,MATCH($B4058,'TRANS'!$A:$A,0)),IFERROR(INDEX('TRANS'!$B:$B,MATCH(TRIM(SUBSTITUTE($B4058,CHAR(160)," ")),'TRANS'!$D:$D,0)),IFERROR(INDEX('Catalog'!$A:$A,MATCH($B4058,'Catalog'!$B:$B,0)),IFERROR(INDEX('Catalog'!$A:$A,MATCH(TRIM(SUBSTITUTE($B4058,CHAR(160)," ")),'Catalog'!$C:$C,0)),""))))</f>
        <v>4413142</v>
      </c>
      <c r="H4058" s="8" t="str">
        <f aca="false">IFERROR(INDEX('TRANS'!$C:$C,MATCH($B4058,'TRANS'!$A:$A,0)),IFERROR(INDEX('Catalog'!$B:$B,MATCH($G4058,'Catalog'!$A:$A,0)),$B4058))</f>
        <v>95 XL מגן מרפק רגיל לבן</v>
      </c>
      <c r="I4058" s="8" t="str">
        <f aca="false">IF($G4058="","Unmatched","Matched")</f>
        <v>Matched</v>
      </c>
      <c r="J4058" s="8" t="n">
        <f aca="false">IF($G4058&lt;&gt;"",$G4058,$B4058)</f>
        <v>4413142</v>
      </c>
      <c r="K4058" s="8" t="str">
        <f aca="false">IF(COUNTIF($M$1:$M$10,$A4058)&gt;0,"Y","N")</f>
        <v>N</v>
      </c>
    </row>
    <row r="4059" customFormat="false" ht="15" hidden="false" customHeight="true" outlineLevel="0" collapsed="false">
      <c r="A4059" s="8" t="s">
        <v>1108</v>
      </c>
      <c r="B4059" s="8" t="s">
        <v>560</v>
      </c>
      <c r="C4059" s="19" t="n">
        <v>420</v>
      </c>
      <c r="D4059" s="19" t="n">
        <v>20287.23</v>
      </c>
      <c r="E4059" s="19" t="n">
        <v>0</v>
      </c>
      <c r="F4059" s="19" t="n">
        <v>0</v>
      </c>
      <c r="G4059" s="8" t="n">
        <f aca="false">IFERROR(INDEX('TRANS'!$B:$B,MATCH($B4059,'TRANS'!$A:$A,0)),IFERROR(INDEX('TRANS'!$B:$B,MATCH(TRIM(SUBSTITUTE($B4059,CHAR(160)," ")),'TRANS'!$D:$D,0)),IFERROR(INDEX('Catalog'!$A:$A,MATCH($B4059,'Catalog'!$B:$B,0)),IFERROR(INDEX('Catalog'!$A:$A,MATCH(TRIM(SUBSTITUTE($B4059,CHAR(160)," ")),'Catalog'!$C:$C,0)),""))))</f>
        <v>4413328</v>
      </c>
      <c r="H4059" s="8" t="str">
        <f aca="false">IFERROR(INDEX('TRANS'!$C:$C,MATCH($B4059,'TRANS'!$A:$A,0)),IFERROR(INDEX('Catalog'!$B:$B,MATCH($G4059,'Catalog'!$A:$A,0)),$B4059))</f>
        <v>AC43D מגן ברך + צירים</v>
      </c>
      <c r="I4059" s="8" t="str">
        <f aca="false">IF($G4059="","Unmatched","Matched")</f>
        <v>Matched</v>
      </c>
      <c r="J4059" s="8" t="n">
        <f aca="false">IF($G4059&lt;&gt;"",$G4059,$B4059)</f>
        <v>4413328</v>
      </c>
      <c r="K4059" s="8" t="str">
        <f aca="false">IF(COUNTIF($M$1:$M$10,$A4059)&gt;0,"Y","N")</f>
        <v>N</v>
      </c>
    </row>
    <row r="4060" customFormat="false" ht="15" hidden="false" customHeight="true" outlineLevel="0" collapsed="false">
      <c r="A4060" s="8" t="s">
        <v>1108</v>
      </c>
      <c r="B4060" s="8" t="s">
        <v>731</v>
      </c>
      <c r="C4060" s="19" t="n">
        <v>340</v>
      </c>
      <c r="D4060" s="19" t="n">
        <v>12753.93</v>
      </c>
      <c r="E4060" s="19" t="n">
        <v>0</v>
      </c>
      <c r="F4060" s="19" t="n">
        <v>0</v>
      </c>
      <c r="G4060" s="8" t="n">
        <f aca="false">IFERROR(INDEX('TRANS'!$B:$B,MATCH($B4060,'TRANS'!$A:$A,0)),IFERROR(INDEX('TRANS'!$B:$B,MATCH(TRIM(SUBSTITUTE($B4060,CHAR(160)," ")),'TRANS'!$D:$D,0)),IFERROR(INDEX('Catalog'!$A:$A,MATCH($B4060,'Catalog'!$B:$B,0)),IFERROR(INDEX('Catalog'!$A:$A,MATCH(TRIM(SUBSTITUTE($B4060,CHAR(160)," ")),'Catalog'!$C:$C,0)),""))))</f>
        <v>4413329</v>
      </c>
      <c r="H4060" s="8" t="str">
        <f aca="false">IFERROR(INDEX('TRANS'!$C:$C,MATCH($B4060,'TRANS'!$A:$A,0)),IFERROR(INDEX('Catalog'!$B:$B,MATCH($G4060,'Catalog'!$A:$A,0)),$B4060))</f>
        <v>AC45X מגן ברך עם תמיכות</v>
      </c>
      <c r="I4060" s="8" t="str">
        <f aca="false">IF($G4060="","Unmatched","Matched")</f>
        <v>Matched</v>
      </c>
      <c r="J4060" s="8" t="n">
        <f aca="false">IF($G4060&lt;&gt;"",$G4060,$B4060)</f>
        <v>4413329</v>
      </c>
      <c r="K4060" s="8" t="str">
        <f aca="false">IF(COUNTIF($M$1:$M$10,$A4060)&gt;0,"Y","N")</f>
        <v>N</v>
      </c>
    </row>
    <row r="4061" customFormat="false" ht="15" hidden="false" customHeight="true" outlineLevel="0" collapsed="false">
      <c r="A4061" s="8" t="s">
        <v>1108</v>
      </c>
      <c r="B4061" s="8" t="s">
        <v>895</v>
      </c>
      <c r="C4061" s="19" t="n">
        <v>11</v>
      </c>
      <c r="D4061" s="19" t="n">
        <v>308.86</v>
      </c>
      <c r="E4061" s="19" t="n">
        <v>0</v>
      </c>
      <c r="F4061" s="19" t="n">
        <v>0</v>
      </c>
      <c r="G4061" s="8" t="n">
        <f aca="false">IFERROR(INDEX('TRANS'!$B:$B,MATCH($B4061,'TRANS'!$A:$A,0)),IFERROR(INDEX('TRANS'!$B:$B,MATCH(TRIM(SUBSTITUTE($B4061,CHAR(160)," ")),'TRANS'!$D:$D,0)),IFERROR(INDEX('Catalog'!$A:$A,MATCH($B4061,'Catalog'!$B:$B,0)),IFERROR(INDEX('Catalog'!$A:$A,MATCH(TRIM(SUBSTITUTE($B4061,CHAR(160)," ")),'Catalog'!$C:$C,0)),""))))</f>
        <v>4408270</v>
      </c>
      <c r="H4061" s="8" t="str">
        <f aca="false">IFERROR(INDEX('TRANS'!$C:$C,MATCH($B4061,'TRANS'!$A:$A,0)),IFERROR(INDEX('Catalog'!$B:$B,MATCH($G4061,'Catalog'!$A:$A,0)),$B4061))</f>
        <v>ST11  חגורת בטן</v>
      </c>
      <c r="I4061" s="8" t="str">
        <f aca="false">IF($G4061="","Unmatched","Matched")</f>
        <v>Matched</v>
      </c>
      <c r="J4061" s="8" t="n">
        <f aca="false">IF($G4061&lt;&gt;"",$G4061,$B4061)</f>
        <v>4408270</v>
      </c>
      <c r="K4061" s="8" t="str">
        <f aca="false">IF(COUNTIF($M$1:$M$10,$A4061)&gt;0,"Y","N")</f>
        <v>N</v>
      </c>
    </row>
    <row r="4062" customFormat="false" ht="15" hidden="false" customHeight="true" outlineLevel="0" collapsed="false">
      <c r="A4062" s="8" t="s">
        <v>1108</v>
      </c>
      <c r="B4062" s="8" t="s">
        <v>897</v>
      </c>
      <c r="C4062" s="19" t="n">
        <v>315</v>
      </c>
      <c r="D4062" s="19" t="n">
        <v>4650.86</v>
      </c>
      <c r="E4062" s="19" t="n">
        <v>300</v>
      </c>
      <c r="F4062" s="19" t="n">
        <v>3902.06</v>
      </c>
      <c r="G4062" s="8" t="n">
        <f aca="false">IFERROR(INDEX('TRANS'!$B:$B,MATCH($B4062,'TRANS'!$A:$A,0)),IFERROR(INDEX('TRANS'!$B:$B,MATCH(TRIM(SUBSTITUTE($B4062,CHAR(160)," ")),'TRANS'!$D:$D,0)),IFERROR(INDEX('Catalog'!$A:$A,MATCH($B4062,'Catalog'!$B:$B,0)),IFERROR(INDEX('Catalog'!$A:$A,MATCH(TRIM(SUBSTITUTE($B4062,CHAR(160)," ")),'Catalog'!$C:$C,0)),""))))</f>
        <v>4408267</v>
      </c>
      <c r="H4062" s="8" t="str">
        <f aca="false">IFERROR(INDEX('TRANS'!$C:$C,MATCH($B4062,'TRANS'!$A:$A,0)),IFERROR(INDEX('Catalog'!$B:$B,MATCH($G4062,'Catalog'!$A:$A,0)),$B4062))</f>
        <v>ST25 חבק שורש לכף היד</v>
      </c>
      <c r="I4062" s="8" t="str">
        <f aca="false">IF($G4062="","Unmatched","Matched")</f>
        <v>Matched</v>
      </c>
      <c r="J4062" s="8" t="n">
        <f aca="false">IF($G4062&lt;&gt;"",$G4062,$B4062)</f>
        <v>4408267</v>
      </c>
      <c r="K4062" s="8" t="str">
        <f aca="false">IF(COUNTIF($M$1:$M$10,$A4062)&gt;0,"Y","N")</f>
        <v>N</v>
      </c>
    </row>
    <row r="4063" customFormat="false" ht="15" hidden="false" customHeight="true" outlineLevel="0" collapsed="false">
      <c r="A4063" s="8" t="s">
        <v>1108</v>
      </c>
      <c r="B4063" s="8" t="s">
        <v>74</v>
      </c>
      <c r="C4063" s="19" t="n">
        <v>120</v>
      </c>
      <c r="D4063" s="19" t="n">
        <v>2242.4</v>
      </c>
      <c r="E4063" s="19" t="n">
        <v>60</v>
      </c>
      <c r="F4063" s="19" t="n">
        <v>988.52</v>
      </c>
      <c r="G4063" s="8" t="str">
        <f aca="false">IFERROR(INDEX('TRANS'!$B:$B,MATCH($B4063,'TRANS'!$A:$A,0)),IFERROR(INDEX('TRANS'!$B:$B,MATCH(TRIM(SUBSTITUTE($B4063,CHAR(160)," ")),'TRANS'!$D:$D,0)),IFERROR(INDEX('Catalog'!$A:$A,MATCH($B4063,'Catalog'!$B:$B,0)),IFERROR(INDEX('Catalog'!$A:$A,MATCH(TRIM(SUBSTITUTE($B4063,CHAR(160)," ")),'Catalog'!$C:$C,0)),""))))</f>
        <v/>
      </c>
      <c r="H4063" s="8" t="str">
        <f aca="false">IFERROR(INDEX('TRANS'!$C:$C,MATCH($B4063,'TRANS'!$A:$A,0)),IFERROR(INDEX('Catalog'!$B:$B,MATCH($G4063,'Catalog'!$A:$A,0)),$B4063))</f>
        <v>ST27L 0</v>
      </c>
      <c r="I4063" s="8" t="str">
        <f aca="false">IF($G4063="","Unmatched","Matched")</f>
        <v>Unmatched</v>
      </c>
      <c r="J4063" s="8" t="str">
        <f aca="false">IF($G4063&lt;&gt;"",$G4063,$B4063)</f>
        <v>ST27L 0</v>
      </c>
      <c r="K4063" s="8" t="str">
        <f aca="false">IF(COUNTIF($M$1:$M$10,$A4063)&gt;0,"Y","N")</f>
        <v>N</v>
      </c>
    </row>
    <row r="4064" customFormat="false" ht="15" hidden="false" customHeight="true" outlineLevel="0" collapsed="false">
      <c r="A4064" s="8" t="s">
        <v>1108</v>
      </c>
      <c r="B4064" s="8" t="s">
        <v>70</v>
      </c>
      <c r="C4064" s="19" t="n">
        <v>155</v>
      </c>
      <c r="D4064" s="19" t="n">
        <v>2893</v>
      </c>
      <c r="E4064" s="19" t="n">
        <v>55</v>
      </c>
      <c r="F4064" s="19" t="n">
        <v>906.15</v>
      </c>
      <c r="G4064" s="8" t="str">
        <f aca="false">IFERROR(INDEX('TRANS'!$B:$B,MATCH($B4064,'TRANS'!$A:$A,0)),IFERROR(INDEX('TRANS'!$B:$B,MATCH(TRIM(SUBSTITUTE($B4064,CHAR(160)," ")),'TRANS'!$D:$D,0)),IFERROR(INDEX('Catalog'!$A:$A,MATCH($B4064,'Catalog'!$B:$B,0)),IFERROR(INDEX('Catalog'!$A:$A,MATCH(TRIM(SUBSTITUTE($B4064,CHAR(160)," ")),'Catalog'!$C:$C,0)),""))))</f>
        <v/>
      </c>
      <c r="H4064" s="8" t="str">
        <f aca="false">IFERROR(INDEX('TRANS'!$C:$C,MATCH($B4064,'TRANS'!$A:$A,0)),IFERROR(INDEX('Catalog'!$B:$B,MATCH($G4064,'Catalog'!$A:$A,0)),$B4064))</f>
        <v>ST27R 0</v>
      </c>
      <c r="I4064" s="8" t="str">
        <f aca="false">IF($G4064="","Unmatched","Matched")</f>
        <v>Unmatched</v>
      </c>
      <c r="J4064" s="8" t="str">
        <f aca="false">IF($G4064&lt;&gt;"",$G4064,$B4064)</f>
        <v>ST27R 0</v>
      </c>
      <c r="K4064" s="8" t="str">
        <f aca="false">IF(COUNTIF($M$1:$M$10,$A4064)&gt;0,"Y","N")</f>
        <v>N</v>
      </c>
    </row>
    <row r="4065" customFormat="false" ht="15" hidden="false" customHeight="true" outlineLevel="0" collapsed="false">
      <c r="A4065" s="8" t="s">
        <v>1108</v>
      </c>
      <c r="B4065" s="8" t="s">
        <v>898</v>
      </c>
      <c r="C4065" s="19" t="n">
        <v>85</v>
      </c>
      <c r="D4065" s="19" t="n">
        <v>1492.33</v>
      </c>
      <c r="E4065" s="19" t="n">
        <v>110</v>
      </c>
      <c r="F4065" s="19" t="n">
        <v>1697.83</v>
      </c>
      <c r="G4065" s="8" t="n">
        <f aca="false">IFERROR(INDEX('TRANS'!$B:$B,MATCH($B4065,'TRANS'!$A:$A,0)),IFERROR(INDEX('TRANS'!$B:$B,MATCH(TRIM(SUBSTITUTE($B4065,CHAR(160)," ")),'TRANS'!$D:$D,0)),IFERROR(INDEX('Catalog'!$A:$A,MATCH($B4065,'Catalog'!$B:$B,0)),IFERROR(INDEX('Catalog'!$A:$A,MATCH(TRIM(SUBSTITUTE($B4065,CHAR(160)," ")),'Catalog'!$C:$C,0)),""))))</f>
        <v>4415177</v>
      </c>
      <c r="H4065" s="8" t="str">
        <f aca="false">IFERROR(INDEX('TRANS'!$C:$C,MATCH($B4065,'TRANS'!$A:$A,0)),IFERROR(INDEX('Catalog'!$B:$B,MATCH($G4065,'Catalog'!$A:$A,0)),$B4065))</f>
        <v>ST28 סד אגודלי עם מוט תמיכה</v>
      </c>
      <c r="I4065" s="8" t="str">
        <f aca="false">IF($G4065="","Unmatched","Matched")</f>
        <v>Matched</v>
      </c>
      <c r="J4065" s="8" t="n">
        <f aca="false">IF($G4065&lt;&gt;"",$G4065,$B4065)</f>
        <v>4415177</v>
      </c>
      <c r="K4065" s="8" t="str">
        <f aca="false">IF(COUNTIF($M$1:$M$10,$A4065)&gt;0,"Y","N")</f>
        <v>N</v>
      </c>
    </row>
    <row r="4066" customFormat="false" ht="15" hidden="false" customHeight="true" outlineLevel="0" collapsed="false">
      <c r="A4066" s="8" t="s">
        <v>1108</v>
      </c>
      <c r="B4066" s="8" t="s">
        <v>899</v>
      </c>
      <c r="C4066" s="19" t="n">
        <v>220</v>
      </c>
      <c r="D4066" s="19" t="n">
        <v>3805.52</v>
      </c>
      <c r="E4066" s="19" t="n">
        <v>70</v>
      </c>
      <c r="F4066" s="19" t="n">
        <v>1068.3</v>
      </c>
      <c r="G4066" s="8" t="n">
        <f aca="false">IFERROR(INDEX('TRANS'!$B:$B,MATCH($B4066,'TRANS'!$A:$A,0)),IFERROR(INDEX('TRANS'!$B:$B,MATCH(TRIM(SUBSTITUTE($B4066,CHAR(160)," ")),'TRANS'!$D:$D,0)),IFERROR(INDEX('Catalog'!$A:$A,MATCH($B4066,'Catalog'!$B:$B,0)),IFERROR(INDEX('Catalog'!$A:$A,MATCH(TRIM(SUBSTITUTE($B4066,CHAR(160)," ")),'Catalog'!$C:$C,0)),""))))</f>
        <v>4408269</v>
      </c>
      <c r="H4066" s="8" t="str">
        <f aca="false">IFERROR(INDEX('TRANS'!$C:$C,MATCH($B4066,'TRANS'!$A:$A,0)),IFERROR(INDEX('Catalog'!$B:$B,MATCH($G4066,'Catalog'!$A:$A,0)),$B4066))</f>
        <v>ST37 חבק לקרסול</v>
      </c>
      <c r="I4066" s="8" t="str">
        <f aca="false">IF($G4066="","Unmatched","Matched")</f>
        <v>Matched</v>
      </c>
      <c r="J4066" s="8" t="n">
        <f aca="false">IF($G4066&lt;&gt;"",$G4066,$B4066)</f>
        <v>4408269</v>
      </c>
      <c r="K4066" s="8" t="str">
        <f aca="false">IF(COUNTIF($M$1:$M$10,$A4066)&gt;0,"Y","N")</f>
        <v>N</v>
      </c>
    </row>
    <row r="4067" customFormat="false" ht="15" hidden="false" customHeight="true" outlineLevel="0" collapsed="false">
      <c r="A4067" s="8" t="s">
        <v>1108</v>
      </c>
      <c r="B4067" s="8" t="s">
        <v>80</v>
      </c>
      <c r="C4067" s="19" t="n">
        <v>470</v>
      </c>
      <c r="D4067" s="19" t="n">
        <v>9072.09</v>
      </c>
      <c r="E4067" s="19" t="n">
        <v>50</v>
      </c>
      <c r="F4067" s="19" t="n">
        <v>849.78</v>
      </c>
      <c r="G4067" s="8" t="str">
        <f aca="false">IFERROR(INDEX('TRANS'!$B:$B,MATCH($B4067,'TRANS'!$A:$A,0)),IFERROR(INDEX('TRANS'!$B:$B,MATCH(TRIM(SUBSTITUTE($B4067,CHAR(160)," ")),'TRANS'!$D:$D,0)),IFERROR(INDEX('Catalog'!$A:$A,MATCH($B4067,'Catalog'!$B:$B,0)),IFERROR(INDEX('Catalog'!$A:$A,MATCH(TRIM(SUBSTITUTE($B4067,CHAR(160)," ")),'Catalog'!$C:$C,0)),""))))</f>
        <v/>
      </c>
      <c r="H4067" s="8" t="str">
        <f aca="false">IFERROR(INDEX('TRANS'!$C:$C,MATCH($B4067,'TRANS'!$A:$A,0)),IFERROR(INDEX('Catalog'!$B:$B,MATCH($G4067,'Catalog'!$A:$A,0)),$B4067))</f>
        <v>ST45X 0</v>
      </c>
      <c r="I4067" s="8" t="str">
        <f aca="false">IF($G4067="","Unmatched","Matched")</f>
        <v>Unmatched</v>
      </c>
      <c r="J4067" s="8" t="str">
        <f aca="false">IF($G4067&lt;&gt;"",$G4067,$B4067)</f>
        <v>ST45X 0</v>
      </c>
      <c r="K4067" s="8" t="str">
        <f aca="false">IF(COUNTIF($M$1:$M$10,$A4067)&gt;0,"Y","N")</f>
        <v>N</v>
      </c>
    </row>
    <row r="4068" customFormat="false" ht="15" hidden="false" customHeight="true" outlineLevel="0" collapsed="false">
      <c r="A4068" s="8" t="s">
        <v>1108</v>
      </c>
      <c r="B4068" s="8" t="s">
        <v>902</v>
      </c>
      <c r="C4068" s="19" t="n">
        <v>0</v>
      </c>
      <c r="D4068" s="19" t="n">
        <v>0</v>
      </c>
      <c r="E4068" s="19" t="n">
        <v>5</v>
      </c>
      <c r="F4068" s="19" t="n">
        <v>86.54</v>
      </c>
      <c r="G4068" s="8" t="n">
        <f aca="false">IFERROR(INDEX('TRANS'!$B:$B,MATCH($B4068,'TRANS'!$A:$A,0)),IFERROR(INDEX('TRANS'!$B:$B,MATCH(TRIM(SUBSTITUTE($B4068,CHAR(160)," ")),'TRANS'!$D:$D,0)),IFERROR(INDEX('Catalog'!$A:$A,MATCH($B4068,'Catalog'!$B:$B,0)),IFERROR(INDEX('Catalog'!$A:$A,MATCH(TRIM(SUBSTITUTE($B4068,CHAR(160)," ")),'Catalog'!$C:$C,0)),""))))</f>
        <v>4413533</v>
      </c>
      <c r="H4068" s="8" t="str">
        <f aca="false">IFERROR(INDEX('TRANS'!$C:$C,MATCH($B4068,'TRANS'!$A:$A,0)),IFERROR(INDEX('Catalog'!$B:$B,MATCH($G4068,'Catalog'!$A:$A,0)),$B4068))</f>
        <v>ST49 מגן ירך</v>
      </c>
      <c r="I4068" s="8" t="str">
        <f aca="false">IF($G4068="","Unmatched","Matched")</f>
        <v>Matched</v>
      </c>
      <c r="J4068" s="8" t="n">
        <f aca="false">IF($G4068&lt;&gt;"",$G4068,$B4068)</f>
        <v>4413533</v>
      </c>
      <c r="K4068" s="8" t="str">
        <f aca="false">IF(COUNTIF($M$1:$M$10,$A4068)&gt;0,"Y","N")</f>
        <v>N</v>
      </c>
    </row>
    <row r="4069" customFormat="false" ht="15" hidden="false" customHeight="true" outlineLevel="0" collapsed="false">
      <c r="A4069" s="8" t="s">
        <v>1108</v>
      </c>
      <c r="B4069" s="8" t="s">
        <v>1080</v>
      </c>
      <c r="C4069" s="19" t="n">
        <v>30</v>
      </c>
      <c r="D4069" s="19" t="n">
        <v>626.55</v>
      </c>
      <c r="E4069" s="19" t="n">
        <v>15</v>
      </c>
      <c r="F4069" s="19" t="n">
        <v>275.75</v>
      </c>
      <c r="G4069" s="8" t="str">
        <f aca="false">IFERROR(INDEX('TRANS'!$B:$B,MATCH($B4069,'TRANS'!$A:$A,0)),IFERROR(INDEX('TRANS'!$B:$B,MATCH(TRIM(SUBSTITUTE($B4069,CHAR(160)," ")),'TRANS'!$D:$D,0)),IFERROR(INDEX('Catalog'!$A:$A,MATCH($B4069,'Catalog'!$B:$B,0)),IFERROR(INDEX('Catalog'!$A:$A,MATCH(TRIM(SUBSTITUTE($B4069,CHAR(160)," ")),'Catalog'!$C:$C,0)),""))))</f>
        <v/>
      </c>
      <c r="H4069" s="8" t="str">
        <f aca="false">IFERROR(INDEX('TRANS'!$C:$C,MATCH($B4069,'TRANS'!$A:$A,0)),IFERROR(INDEX('Catalog'!$B:$B,MATCH($G4069,'Catalog'!$A:$A,0)),$B4069))</f>
        <v>ST95 0</v>
      </c>
      <c r="I4069" s="8" t="str">
        <f aca="false">IF($G4069="","Unmatched","Matched")</f>
        <v>Unmatched</v>
      </c>
      <c r="J4069" s="8" t="str">
        <f aca="false">IF($G4069&lt;&gt;"",$G4069,$B4069)</f>
        <v>ST95 0</v>
      </c>
      <c r="K4069" s="8" t="str">
        <f aca="false">IF(COUNTIF($M$1:$M$10,$A4069)&gt;0,"Y","N")</f>
        <v>N</v>
      </c>
    </row>
    <row r="4070" customFormat="false" ht="15" hidden="false" customHeight="true" outlineLevel="0" collapsed="false">
      <c r="A4070" s="8" t="s">
        <v>1108</v>
      </c>
      <c r="B4070" s="8" t="s">
        <v>965</v>
      </c>
      <c r="C4070" s="19" t="n">
        <v>55</v>
      </c>
      <c r="D4070" s="19" t="n">
        <v>2642.49</v>
      </c>
      <c r="E4070" s="19" t="n">
        <v>0</v>
      </c>
      <c r="F4070" s="19" t="n">
        <v>0</v>
      </c>
      <c r="G4070" s="8" t="n">
        <f aca="false">IFERROR(INDEX('TRANS'!$B:$B,MATCH($B4070,'TRANS'!$A:$A,0)),IFERROR(INDEX('TRANS'!$B:$B,MATCH(TRIM(SUBSTITUTE($B4070,CHAR(160)," ")),'TRANS'!$D:$D,0)),IFERROR(INDEX('Catalog'!$A:$A,MATCH($B4070,'Catalog'!$B:$B,0)),IFERROR(INDEX('Catalog'!$A:$A,MATCH(TRIM(SUBSTITUTE($B4070,CHAR(160)," ")),'Catalog'!$C:$C,0)),""))))</f>
        <v>4413184</v>
      </c>
      <c r="H4070" s="8" t="str">
        <f aca="false">IFERROR(INDEX('TRANS'!$C:$C,MATCH($B4070,'TRANS'!$A:$A,0)),IFERROR(INDEX('Catalog'!$B:$B,MATCH($G4070,'Catalog'!$A:$A,0)),$B4070))</f>
        <v>T 45 L מגן ברך רגיל</v>
      </c>
      <c r="I4070" s="8" t="str">
        <f aca="false">IF($G4070="","Unmatched","Matched")</f>
        <v>Matched</v>
      </c>
      <c r="J4070" s="8" t="n">
        <f aca="false">IF($G4070&lt;&gt;"",$G4070,$B4070)</f>
        <v>4413184</v>
      </c>
      <c r="K4070" s="8" t="str">
        <f aca="false">IF(COUNTIF($M$1:$M$10,$A4070)&gt;0,"Y","N")</f>
        <v>N</v>
      </c>
    </row>
    <row r="4071" customFormat="false" ht="15" hidden="false" customHeight="true" outlineLevel="0" collapsed="false">
      <c r="A4071" s="8" t="s">
        <v>1108</v>
      </c>
      <c r="B4071" s="8" t="s">
        <v>773</v>
      </c>
      <c r="C4071" s="19" t="n">
        <v>50</v>
      </c>
      <c r="D4071" s="19" t="n">
        <v>2404.15</v>
      </c>
      <c r="E4071" s="19" t="n">
        <v>0</v>
      </c>
      <c r="F4071" s="19" t="n">
        <v>0</v>
      </c>
      <c r="G4071" s="8" t="n">
        <f aca="false">IFERROR(INDEX('TRANS'!$B:$B,MATCH($B4071,'TRANS'!$A:$A,0)),IFERROR(INDEX('TRANS'!$B:$B,MATCH(TRIM(SUBSTITUTE($B4071,CHAR(160)," ")),'TRANS'!$D:$D,0)),IFERROR(INDEX('Catalog'!$A:$A,MATCH($B4071,'Catalog'!$B:$B,0)),IFERROR(INDEX('Catalog'!$A:$A,MATCH(TRIM(SUBSTITUTE($B4071,CHAR(160)," ")),'Catalog'!$C:$C,0)),""))))</f>
        <v>4413183</v>
      </c>
      <c r="H4071" s="8" t="str">
        <f aca="false">IFERROR(INDEX('TRANS'!$C:$C,MATCH($B4071,'TRANS'!$A:$A,0)),IFERROR(INDEX('Catalog'!$B:$B,MATCH($G4071,'Catalog'!$A:$A,0)),$B4071))</f>
        <v>T 45 M מגן ברך רגיל</v>
      </c>
      <c r="I4071" s="8" t="str">
        <f aca="false">IF($G4071="","Unmatched","Matched")</f>
        <v>Matched</v>
      </c>
      <c r="J4071" s="8" t="n">
        <f aca="false">IF($G4071&lt;&gt;"",$G4071,$B4071)</f>
        <v>4413183</v>
      </c>
      <c r="K4071" s="8" t="str">
        <f aca="false">IF(COUNTIF($M$1:$M$10,$A4071)&gt;0,"Y","N")</f>
        <v>N</v>
      </c>
    </row>
    <row r="4072" customFormat="false" ht="15" hidden="false" customHeight="true" outlineLevel="0" collapsed="false">
      <c r="A4072" s="8" t="s">
        <v>1108</v>
      </c>
      <c r="B4072" s="8" t="s">
        <v>1110</v>
      </c>
      <c r="C4072" s="19" t="n">
        <v>20</v>
      </c>
      <c r="D4072" s="19" t="n">
        <v>960.28</v>
      </c>
      <c r="E4072" s="19" t="n">
        <v>0</v>
      </c>
      <c r="F4072" s="19" t="n">
        <v>0</v>
      </c>
      <c r="G4072" s="8" t="n">
        <f aca="false">IFERROR(INDEX('TRANS'!$B:$B,MATCH($B4072,'TRANS'!$A:$A,0)),IFERROR(INDEX('TRANS'!$B:$B,MATCH(TRIM(SUBSTITUTE($B4072,CHAR(160)," ")),'TRANS'!$D:$D,0)),IFERROR(INDEX('Catalog'!$A:$A,MATCH($B4072,'Catalog'!$B:$B,0)),IFERROR(INDEX('Catalog'!$A:$A,MATCH(TRIM(SUBSTITUTE($B4072,CHAR(160)," ")),'Catalog'!$C:$C,0)),""))))</f>
        <v>4413182</v>
      </c>
      <c r="H4072" s="8" t="str">
        <f aca="false">IFERROR(INDEX('TRANS'!$C:$C,MATCH($B4072,'TRANS'!$A:$A,0)),IFERROR(INDEX('Catalog'!$B:$B,MATCH($G4072,'Catalog'!$A:$A,0)),$B4072))</f>
        <v>T45 S מגן ברך רגיל</v>
      </c>
      <c r="I4072" s="8" t="str">
        <f aca="false">IF($G4072="","Unmatched","Matched")</f>
        <v>Matched</v>
      </c>
      <c r="J4072" s="8" t="n">
        <f aca="false">IF($G4072&lt;&gt;"",$G4072,$B4072)</f>
        <v>4413182</v>
      </c>
      <c r="K4072" s="8" t="str">
        <f aca="false">IF(COUNTIF($M$1:$M$10,$A4072)&gt;0,"Y","N")</f>
        <v>N</v>
      </c>
    </row>
    <row r="4073" customFormat="false" ht="15" hidden="false" customHeight="true" outlineLevel="0" collapsed="false">
      <c r="A4073" s="8" t="s">
        <v>1108</v>
      </c>
      <c r="B4073" s="8" t="s">
        <v>966</v>
      </c>
      <c r="C4073" s="19" t="n">
        <v>30</v>
      </c>
      <c r="D4073" s="19" t="n">
        <v>1436.96</v>
      </c>
      <c r="E4073" s="19" t="n">
        <v>0</v>
      </c>
      <c r="F4073" s="19" t="n">
        <v>0</v>
      </c>
      <c r="G4073" s="8" t="n">
        <f aca="false">IFERROR(INDEX('TRANS'!$B:$B,MATCH($B4073,'TRANS'!$A:$A,0)),IFERROR(INDEX('TRANS'!$B:$B,MATCH(TRIM(SUBSTITUTE($B4073,CHAR(160)," ")),'TRANS'!$D:$D,0)),IFERROR(INDEX('Catalog'!$A:$A,MATCH($B4073,'Catalog'!$B:$B,0)),IFERROR(INDEX('Catalog'!$A:$A,MATCH(TRIM(SUBSTITUTE($B4073,CHAR(160)," ")),'Catalog'!$C:$C,0)),""))))</f>
        <v>4413185</v>
      </c>
      <c r="H4073" s="8" t="str">
        <f aca="false">IFERROR(INDEX('TRANS'!$C:$C,MATCH($B4073,'TRANS'!$A:$A,0)),IFERROR(INDEX('Catalog'!$B:$B,MATCH($G4073,'Catalog'!$A:$A,0)),$B4073))</f>
        <v>T 45XL מגן ברך רגיל</v>
      </c>
      <c r="I4073" s="8" t="str">
        <f aca="false">IF($G4073="","Unmatched","Matched")</f>
        <v>Matched</v>
      </c>
      <c r="J4073" s="8" t="n">
        <f aca="false">IF($G4073&lt;&gt;"",$G4073,$B4073)</f>
        <v>4413185</v>
      </c>
      <c r="K4073" s="8" t="str">
        <f aca="false">IF(COUNTIF($M$1:$M$10,$A4073)&gt;0,"Y","N")</f>
        <v>N</v>
      </c>
    </row>
    <row r="4074" customFormat="false" ht="15" hidden="false" customHeight="true" outlineLevel="0" collapsed="false">
      <c r="A4074" s="8" t="s">
        <v>1108</v>
      </c>
      <c r="B4074" s="8" t="s">
        <v>1111</v>
      </c>
      <c r="C4074" s="19" t="n">
        <v>60</v>
      </c>
      <c r="D4074" s="19" t="n">
        <v>2875.95</v>
      </c>
      <c r="E4074" s="19" t="n">
        <v>0</v>
      </c>
      <c r="F4074" s="19" t="n">
        <v>0</v>
      </c>
      <c r="G4074" s="8" t="str">
        <f aca="false">IFERROR(INDEX('TRANS'!$B:$B,MATCH($B4074,'TRANS'!$A:$A,0)),IFERROR(INDEX('TRANS'!$B:$B,MATCH(TRIM(SUBSTITUTE($B4074,CHAR(160)," ")),'TRANS'!$D:$D,0)),IFERROR(INDEX('Catalog'!$A:$A,MATCH($B4074,'Catalog'!$B:$B,0)),IFERROR(INDEX('Catalog'!$A:$A,MATCH(TRIM(SUBSTITUTE($B4074,CHAR(160)," ")),'Catalog'!$C:$C,0)),""))))</f>
        <v/>
      </c>
      <c r="H4074" s="8" t="str">
        <f aca="false">IFERROR(INDEX('TRANS'!$C:$C,MATCH($B4074,'TRANS'!$A:$A,0)),IFERROR(INDEX('Catalog'!$B:$B,MATCH($G4074,'Catalog'!$A:$A,0)),$B4074))</f>
        <v>T45C L</v>
      </c>
      <c r="I4074" s="8" t="str">
        <f aca="false">IF($G4074="","Unmatched","Matched")</f>
        <v>Unmatched</v>
      </c>
      <c r="J4074" s="8" t="str">
        <f aca="false">IF($G4074&lt;&gt;"",$G4074,$B4074)</f>
        <v>T45C L</v>
      </c>
      <c r="K4074" s="8" t="str">
        <f aca="false">IF(COUNTIF($M$1:$M$10,$A4074)&gt;0,"Y","N")</f>
        <v>N</v>
      </c>
    </row>
    <row r="4075" customFormat="false" ht="15" hidden="false" customHeight="true" outlineLevel="0" collapsed="false">
      <c r="A4075" s="8" t="s">
        <v>1108</v>
      </c>
      <c r="B4075" s="8" t="s">
        <v>1112</v>
      </c>
      <c r="C4075" s="19" t="n">
        <v>60</v>
      </c>
      <c r="D4075" s="19" t="n">
        <v>2875.95</v>
      </c>
      <c r="E4075" s="19" t="n">
        <v>0</v>
      </c>
      <c r="F4075" s="19" t="n">
        <v>0</v>
      </c>
      <c r="G4075" s="8" t="str">
        <f aca="false">IFERROR(INDEX('TRANS'!$B:$B,MATCH($B4075,'TRANS'!$A:$A,0)),IFERROR(INDEX('TRANS'!$B:$B,MATCH(TRIM(SUBSTITUTE($B4075,CHAR(160)," ")),'TRANS'!$D:$D,0)),IFERROR(INDEX('Catalog'!$A:$A,MATCH($B4075,'Catalog'!$B:$B,0)),IFERROR(INDEX('Catalog'!$A:$A,MATCH(TRIM(SUBSTITUTE($B4075,CHAR(160)," ")),'Catalog'!$C:$C,0)),""))))</f>
        <v/>
      </c>
      <c r="H4075" s="8" t="str">
        <f aca="false">IFERROR(INDEX('TRANS'!$C:$C,MATCH($B4075,'TRANS'!$A:$A,0)),IFERROR(INDEX('Catalog'!$B:$B,MATCH($G4075,'Catalog'!$A:$A,0)),$B4075))</f>
        <v>T45C M</v>
      </c>
      <c r="I4075" s="8" t="str">
        <f aca="false">IF($G4075="","Unmatched","Matched")</f>
        <v>Unmatched</v>
      </c>
      <c r="J4075" s="8" t="str">
        <f aca="false">IF($G4075&lt;&gt;"",$G4075,$B4075)</f>
        <v>T45C M</v>
      </c>
      <c r="K4075" s="8" t="str">
        <f aca="false">IF(COUNTIF($M$1:$M$10,$A4075)&gt;0,"Y","N")</f>
        <v>N</v>
      </c>
    </row>
    <row r="4076" customFormat="false" ht="15" hidden="false" customHeight="true" outlineLevel="0" collapsed="false">
      <c r="A4076" s="8" t="s">
        <v>1108</v>
      </c>
      <c r="B4076" s="8" t="s">
        <v>1113</v>
      </c>
      <c r="C4076" s="19" t="n">
        <v>35</v>
      </c>
      <c r="D4076" s="19" t="n">
        <v>1677.64</v>
      </c>
      <c r="E4076" s="19" t="n">
        <v>0</v>
      </c>
      <c r="F4076" s="19" t="n">
        <v>0</v>
      </c>
      <c r="G4076" s="8" t="str">
        <f aca="false">IFERROR(INDEX('TRANS'!$B:$B,MATCH($B4076,'TRANS'!$A:$A,0)),IFERROR(INDEX('TRANS'!$B:$B,MATCH(TRIM(SUBSTITUTE($B4076,CHAR(160)," ")),'TRANS'!$D:$D,0)),IFERROR(INDEX('Catalog'!$A:$A,MATCH($B4076,'Catalog'!$B:$B,0)),IFERROR(INDEX('Catalog'!$A:$A,MATCH(TRIM(SUBSTITUTE($B4076,CHAR(160)," ")),'Catalog'!$C:$C,0)),""))))</f>
        <v/>
      </c>
      <c r="H4076" s="8" t="str">
        <f aca="false">IFERROR(INDEX('TRANS'!$C:$C,MATCH($B4076,'TRANS'!$A:$A,0)),IFERROR(INDEX('Catalog'!$B:$B,MATCH($G4076,'Catalog'!$A:$A,0)),$B4076))</f>
        <v>T45C S</v>
      </c>
      <c r="I4076" s="8" t="str">
        <f aca="false">IF($G4076="","Unmatched","Matched")</f>
        <v>Unmatched</v>
      </c>
      <c r="J4076" s="8" t="str">
        <f aca="false">IF($G4076&lt;&gt;"",$G4076,$B4076)</f>
        <v>T45C S</v>
      </c>
      <c r="K4076" s="8" t="str">
        <f aca="false">IF(COUNTIF($M$1:$M$10,$A4076)&gt;0,"Y","N")</f>
        <v>N</v>
      </c>
    </row>
    <row r="4077" customFormat="false" ht="15" hidden="false" customHeight="true" outlineLevel="0" collapsed="false">
      <c r="A4077" s="8" t="s">
        <v>1108</v>
      </c>
      <c r="B4077" s="8" t="s">
        <v>1114</v>
      </c>
      <c r="C4077" s="19" t="n">
        <v>45</v>
      </c>
      <c r="D4077" s="19" t="n">
        <v>2156.97</v>
      </c>
      <c r="E4077" s="19" t="n">
        <v>0</v>
      </c>
      <c r="F4077" s="19" t="n">
        <v>0</v>
      </c>
      <c r="G4077" s="8" t="str">
        <f aca="false">IFERROR(INDEX('TRANS'!$B:$B,MATCH($B4077,'TRANS'!$A:$A,0)),IFERROR(INDEX('TRANS'!$B:$B,MATCH(TRIM(SUBSTITUTE($B4077,CHAR(160)," ")),'TRANS'!$D:$D,0)),IFERROR(INDEX('Catalog'!$A:$A,MATCH($B4077,'Catalog'!$B:$B,0)),IFERROR(INDEX('Catalog'!$A:$A,MATCH(TRIM(SUBSTITUTE($B4077,CHAR(160)," ")),'Catalog'!$C:$C,0)),""))))</f>
        <v/>
      </c>
      <c r="H4077" s="8" t="str">
        <f aca="false">IFERROR(INDEX('TRANS'!$C:$C,MATCH($B4077,'TRANS'!$A:$A,0)),IFERROR(INDEX('Catalog'!$B:$B,MATCH($G4077,'Catalog'!$A:$A,0)),$B4077))</f>
        <v>T45C XL</v>
      </c>
      <c r="I4077" s="8" t="str">
        <f aca="false">IF($G4077="","Unmatched","Matched")</f>
        <v>Unmatched</v>
      </c>
      <c r="J4077" s="8" t="str">
        <f aca="false">IF($G4077&lt;&gt;"",$G4077,$B4077)</f>
        <v>T45C XL</v>
      </c>
      <c r="K4077" s="8" t="str">
        <f aca="false">IF(COUNTIF($M$1:$M$10,$A4077)&gt;0,"Y","N")</f>
        <v>N</v>
      </c>
    </row>
    <row r="4078" customFormat="false" ht="15" hidden="false" customHeight="true" outlineLevel="0" collapsed="false">
      <c r="A4078" s="8" t="s">
        <v>1115</v>
      </c>
      <c r="B4078" s="8" t="s">
        <v>350</v>
      </c>
      <c r="C4078" s="19" t="n">
        <v>0</v>
      </c>
      <c r="D4078" s="19" t="n">
        <v>0</v>
      </c>
      <c r="E4078" s="19" t="n">
        <v>1</v>
      </c>
      <c r="F4078" s="19" t="n">
        <v>53.33</v>
      </c>
      <c r="G4078" s="8" t="str">
        <f aca="false">IFERROR(INDEX('TRANS'!$B:$B,MATCH($B4078,'TRANS'!$A:$A,0)),IFERROR(INDEX('TRANS'!$B:$B,MATCH(TRIM(SUBSTITUTE($B4078,CHAR(160)," ")),'TRANS'!$D:$D,0)),IFERROR(INDEX('Catalog'!$A:$A,MATCH($B4078,'Catalog'!$B:$B,0)),IFERROR(INDEX('Catalog'!$A:$A,MATCH(TRIM(SUBSTITUTE($B4078,CHAR(160)," ")),'Catalog'!$C:$C,0)),""))))</f>
        <v/>
      </c>
      <c r="H4078" s="8" t="str">
        <f aca="false">IFERROR(INDEX('TRANS'!$C:$C,MATCH($B4078,'TRANS'!$A:$A,0)),IFERROR(INDEX('Catalog'!$B:$B,MATCH($G4078,'Catalog'!$A:$A,0)),$B4078))</f>
        <v>11PS M</v>
      </c>
      <c r="I4078" s="8" t="str">
        <f aca="false">IF($G4078="","Unmatched","Matched")</f>
        <v>Unmatched</v>
      </c>
      <c r="J4078" s="8" t="str">
        <f aca="false">IF($G4078&lt;&gt;"",$G4078,$B4078)</f>
        <v>11PS M</v>
      </c>
      <c r="K4078" s="8" t="str">
        <f aca="false">IF(COUNTIF($M$1:$M$10,$A4078)&gt;0,"Y","N")</f>
        <v>N</v>
      </c>
    </row>
    <row r="4079" customFormat="false" ht="15" hidden="false" customHeight="true" outlineLevel="0" collapsed="false">
      <c r="A4079" s="8" t="s">
        <v>1115</v>
      </c>
      <c r="B4079" s="8" t="s">
        <v>991</v>
      </c>
      <c r="C4079" s="19" t="n">
        <v>0</v>
      </c>
      <c r="D4079" s="19" t="n">
        <v>0</v>
      </c>
      <c r="E4079" s="19" t="n">
        <v>1</v>
      </c>
      <c r="F4079" s="19" t="n">
        <v>53.33</v>
      </c>
      <c r="G4079" s="8" t="n">
        <f aca="false">IFERROR(INDEX('TRANS'!$B:$B,MATCH($B4079,'TRANS'!$A:$A,0)),IFERROR(INDEX('TRANS'!$B:$B,MATCH(TRIM(SUBSTITUTE($B4079,CHAR(160)," ")),'TRANS'!$D:$D,0)),IFERROR(INDEX('Catalog'!$A:$A,MATCH($B4079,'Catalog'!$B:$B,0)),IFERROR(INDEX('Catalog'!$A:$A,MATCH(TRIM(SUBSTITUTE($B4079,CHAR(160)," ")),'Catalog'!$C:$C,0)),""))))</f>
        <v>4408148</v>
      </c>
      <c r="H4079" s="8" t="str">
        <f aca="false">IFERROR(INDEX('TRANS'!$C:$C,MATCH($B4079,'TRANS'!$A:$A,0)),IFERROR(INDEX('Catalog'!$B:$B,MATCH($G4079,'Catalog'!$A:$A,0)),$B4079))</f>
        <v>11PS XLחגורה למנותחי בטן</v>
      </c>
      <c r="I4079" s="8" t="str">
        <f aca="false">IF($G4079="","Unmatched","Matched")</f>
        <v>Matched</v>
      </c>
      <c r="J4079" s="8" t="n">
        <f aca="false">IF($G4079&lt;&gt;"",$G4079,$B4079)</f>
        <v>4408148</v>
      </c>
      <c r="K4079" s="8" t="str">
        <f aca="false">IF(COUNTIF($M$1:$M$10,$A4079)&gt;0,"Y","N")</f>
        <v>N</v>
      </c>
    </row>
    <row r="4080" customFormat="false" ht="15" hidden="false" customHeight="true" outlineLevel="0" collapsed="false">
      <c r="A4080" s="8" t="s">
        <v>1115</v>
      </c>
      <c r="B4080" s="8" t="s">
        <v>235</v>
      </c>
      <c r="C4080" s="19" t="n">
        <v>0</v>
      </c>
      <c r="D4080" s="19" t="n">
        <v>0</v>
      </c>
      <c r="E4080" s="19" t="n">
        <v>3</v>
      </c>
      <c r="F4080" s="19" t="n">
        <v>101.54</v>
      </c>
      <c r="G4080" s="8" t="str">
        <f aca="false">IFERROR(INDEX('TRANS'!$B:$B,MATCH($B4080,'TRANS'!$A:$A,0)),IFERROR(INDEX('TRANS'!$B:$B,MATCH(TRIM(SUBSTITUTE($B4080,CHAR(160)," ")),'TRANS'!$D:$D,0)),IFERROR(INDEX('Catalog'!$A:$A,MATCH($B4080,'Catalog'!$B:$B,0)),IFERROR(INDEX('Catalog'!$A:$A,MATCH(TRIM(SUBSTITUTE($B4080,CHAR(160)," ")),'Catalog'!$C:$C,0)),""))))</f>
        <v/>
      </c>
      <c r="H4080" s="8" t="str">
        <f aca="false">IFERROR(INDEX('TRANS'!$C:$C,MATCH($B4080,'TRANS'!$A:$A,0)),IFERROR(INDEX('Catalog'!$B:$B,MATCH($G4080,'Catalog'!$A:$A,0)),$B4080))</f>
        <v>305-35-36</v>
      </c>
      <c r="I4080" s="8" t="str">
        <f aca="false">IF($G4080="","Unmatched","Matched")</f>
        <v>Unmatched</v>
      </c>
      <c r="J4080" s="8" t="str">
        <f aca="false">IF($G4080&lt;&gt;"",$G4080,$B4080)</f>
        <v>305-35-36</v>
      </c>
      <c r="K4080" s="8" t="str">
        <f aca="false">IF(COUNTIF($M$1:$M$10,$A4080)&gt;0,"Y","N")</f>
        <v>N</v>
      </c>
    </row>
    <row r="4081" customFormat="false" ht="15" hidden="false" customHeight="true" outlineLevel="0" collapsed="false">
      <c r="A4081" s="8" t="s">
        <v>1115</v>
      </c>
      <c r="B4081" s="8" t="s">
        <v>200</v>
      </c>
      <c r="C4081" s="19" t="n">
        <v>55</v>
      </c>
      <c r="D4081" s="19" t="n">
        <v>2056.22</v>
      </c>
      <c r="E4081" s="19" t="n">
        <v>35</v>
      </c>
      <c r="F4081" s="19" t="n">
        <v>1158.52</v>
      </c>
      <c r="G4081" s="8" t="str">
        <f aca="false">IFERROR(INDEX('TRANS'!$B:$B,MATCH($B4081,'TRANS'!$A:$A,0)),IFERROR(INDEX('TRANS'!$B:$B,MATCH(TRIM(SUBSTITUTE($B4081,CHAR(160)," ")),'TRANS'!$D:$D,0)),IFERROR(INDEX('Catalog'!$A:$A,MATCH($B4081,'Catalog'!$B:$B,0)),IFERROR(INDEX('Catalog'!$A:$A,MATCH(TRIM(SUBSTITUTE($B4081,CHAR(160)," ")),'Catalog'!$C:$C,0)),""))))</f>
        <v/>
      </c>
      <c r="H4081" s="8" t="str">
        <f aca="false">IFERROR(INDEX('TRANS'!$C:$C,MATCH($B4081,'TRANS'!$A:$A,0)),IFERROR(INDEX('Catalog'!$B:$B,MATCH($G4081,'Catalog'!$A:$A,0)),$B4081))</f>
        <v>305-37-38</v>
      </c>
      <c r="I4081" s="8" t="str">
        <f aca="false">IF($G4081="","Unmatched","Matched")</f>
        <v>Unmatched</v>
      </c>
      <c r="J4081" s="8" t="str">
        <f aca="false">IF($G4081&lt;&gt;"",$G4081,$B4081)</f>
        <v>305-37-38</v>
      </c>
      <c r="K4081" s="8" t="str">
        <f aca="false">IF(COUNTIF($M$1:$M$10,$A4081)&gt;0,"Y","N")</f>
        <v>N</v>
      </c>
    </row>
    <row r="4082" customFormat="false" ht="15" hidden="false" customHeight="true" outlineLevel="0" collapsed="false">
      <c r="A4082" s="8" t="s">
        <v>1115</v>
      </c>
      <c r="B4082" s="8" t="s">
        <v>140</v>
      </c>
      <c r="C4082" s="19" t="n">
        <v>85</v>
      </c>
      <c r="D4082" s="19" t="n">
        <v>3115.64</v>
      </c>
      <c r="E4082" s="19" t="n">
        <v>80</v>
      </c>
      <c r="F4082" s="19" t="n">
        <v>2681.55</v>
      </c>
      <c r="G4082" s="8" t="str">
        <f aca="false">IFERROR(INDEX('TRANS'!$B:$B,MATCH($B4082,'TRANS'!$A:$A,0)),IFERROR(INDEX('TRANS'!$B:$B,MATCH(TRIM(SUBSTITUTE($B4082,CHAR(160)," ")),'TRANS'!$D:$D,0)),IFERROR(INDEX('Catalog'!$A:$A,MATCH($B4082,'Catalog'!$B:$B,0)),IFERROR(INDEX('Catalog'!$A:$A,MATCH(TRIM(SUBSTITUTE($B4082,CHAR(160)," ")),'Catalog'!$C:$C,0)),""))))</f>
        <v/>
      </c>
      <c r="H4082" s="8" t="str">
        <f aca="false">IFERROR(INDEX('TRANS'!$C:$C,MATCH($B4082,'TRANS'!$A:$A,0)),IFERROR(INDEX('Catalog'!$B:$B,MATCH($G4082,'Catalog'!$A:$A,0)),$B4082))</f>
        <v>305-39-40</v>
      </c>
      <c r="I4082" s="8" t="str">
        <f aca="false">IF($G4082="","Unmatched","Matched")</f>
        <v>Unmatched</v>
      </c>
      <c r="J4082" s="8" t="str">
        <f aca="false">IF($G4082&lt;&gt;"",$G4082,$B4082)</f>
        <v>305-39-40</v>
      </c>
      <c r="K4082" s="8" t="str">
        <f aca="false">IF(COUNTIF($M$1:$M$10,$A4082)&gt;0,"Y","N")</f>
        <v>N</v>
      </c>
    </row>
    <row r="4083" customFormat="false" ht="15" hidden="false" customHeight="true" outlineLevel="0" collapsed="false">
      <c r="A4083" s="8" t="s">
        <v>1115</v>
      </c>
      <c r="B4083" s="8" t="s">
        <v>102</v>
      </c>
      <c r="C4083" s="19" t="n">
        <v>85</v>
      </c>
      <c r="D4083" s="19" t="n">
        <v>3113.49</v>
      </c>
      <c r="E4083" s="19" t="n">
        <v>115</v>
      </c>
      <c r="F4083" s="19" t="n">
        <v>3862.4</v>
      </c>
      <c r="G4083" s="8" t="str">
        <f aca="false">IFERROR(INDEX('TRANS'!$B:$B,MATCH($B4083,'TRANS'!$A:$A,0)),IFERROR(INDEX('TRANS'!$B:$B,MATCH(TRIM(SUBSTITUTE($B4083,CHAR(160)," ")),'TRANS'!$D:$D,0)),IFERROR(INDEX('Catalog'!$A:$A,MATCH($B4083,'Catalog'!$B:$B,0)),IFERROR(INDEX('Catalog'!$A:$A,MATCH(TRIM(SUBSTITUTE($B4083,CHAR(160)," ")),'Catalog'!$C:$C,0)),""))))</f>
        <v/>
      </c>
      <c r="H4083" s="8" t="str">
        <f aca="false">IFERROR(INDEX('TRANS'!$C:$C,MATCH($B4083,'TRANS'!$A:$A,0)),IFERROR(INDEX('Catalog'!$B:$B,MATCH($G4083,'Catalog'!$A:$A,0)),$B4083))</f>
        <v>305-41-42</v>
      </c>
      <c r="I4083" s="8" t="str">
        <f aca="false">IF($G4083="","Unmatched","Matched")</f>
        <v>Unmatched</v>
      </c>
      <c r="J4083" s="8" t="str">
        <f aca="false">IF($G4083&lt;&gt;"",$G4083,$B4083)</f>
        <v>305-41-42</v>
      </c>
      <c r="K4083" s="8" t="str">
        <f aca="false">IF(COUNTIF($M$1:$M$10,$A4083)&gt;0,"Y","N")</f>
        <v>N</v>
      </c>
    </row>
    <row r="4084" customFormat="false" ht="15" hidden="false" customHeight="true" outlineLevel="0" collapsed="false">
      <c r="A4084" s="8" t="s">
        <v>1115</v>
      </c>
      <c r="B4084" s="8" t="s">
        <v>108</v>
      </c>
      <c r="C4084" s="19" t="n">
        <v>140</v>
      </c>
      <c r="D4084" s="19" t="n">
        <v>5108.21</v>
      </c>
      <c r="E4084" s="19" t="n">
        <v>180</v>
      </c>
      <c r="F4084" s="19" t="n">
        <v>6040.01</v>
      </c>
      <c r="G4084" s="8" t="str">
        <f aca="false">IFERROR(INDEX('TRANS'!$B:$B,MATCH($B4084,'TRANS'!$A:$A,0)),IFERROR(INDEX('TRANS'!$B:$B,MATCH(TRIM(SUBSTITUTE($B4084,CHAR(160)," ")),'TRANS'!$D:$D,0)),IFERROR(INDEX('Catalog'!$A:$A,MATCH($B4084,'Catalog'!$B:$B,0)),IFERROR(INDEX('Catalog'!$A:$A,MATCH(TRIM(SUBSTITUTE($B4084,CHAR(160)," ")),'Catalog'!$C:$C,0)),""))))</f>
        <v/>
      </c>
      <c r="H4084" s="8" t="str">
        <f aca="false">IFERROR(INDEX('TRANS'!$C:$C,MATCH($B4084,'TRANS'!$A:$A,0)),IFERROR(INDEX('Catalog'!$B:$B,MATCH($G4084,'Catalog'!$A:$A,0)),$B4084))</f>
        <v>305-43-44</v>
      </c>
      <c r="I4084" s="8" t="str">
        <f aca="false">IF($G4084="","Unmatched","Matched")</f>
        <v>Unmatched</v>
      </c>
      <c r="J4084" s="8" t="str">
        <f aca="false">IF($G4084&lt;&gt;"",$G4084,$B4084)</f>
        <v>305-43-44</v>
      </c>
      <c r="K4084" s="8" t="str">
        <f aca="false">IF(COUNTIF($M$1:$M$10,$A4084)&gt;0,"Y","N")</f>
        <v>N</v>
      </c>
    </row>
    <row r="4085" customFormat="false" ht="15" hidden="false" customHeight="true" outlineLevel="0" collapsed="false">
      <c r="A4085" s="8" t="s">
        <v>1115</v>
      </c>
      <c r="B4085" s="8" t="s">
        <v>201</v>
      </c>
      <c r="C4085" s="19" t="n">
        <v>4</v>
      </c>
      <c r="D4085" s="19" t="n">
        <v>146.07</v>
      </c>
      <c r="E4085" s="19" t="n">
        <v>3</v>
      </c>
      <c r="F4085" s="19" t="n">
        <v>99.31</v>
      </c>
      <c r="G4085" s="8" t="str">
        <f aca="false">IFERROR(INDEX('TRANS'!$B:$B,MATCH($B4085,'TRANS'!$A:$A,0)),IFERROR(INDEX('TRANS'!$B:$B,MATCH(TRIM(SUBSTITUTE($B4085,CHAR(160)," ")),'TRANS'!$D:$D,0)),IFERROR(INDEX('Catalog'!$A:$A,MATCH($B4085,'Catalog'!$B:$B,0)),IFERROR(INDEX('Catalog'!$A:$A,MATCH(TRIM(SUBSTITUTE($B4085,CHAR(160)," ")),'Catalog'!$C:$C,0)),""))))</f>
        <v/>
      </c>
      <c r="H4085" s="8" t="str">
        <f aca="false">IFERROR(INDEX('TRANS'!$C:$C,MATCH($B4085,'TRANS'!$A:$A,0)),IFERROR(INDEX('Catalog'!$B:$B,MATCH($G4085,'Catalog'!$A:$A,0)),$B4085))</f>
        <v>305-45-46</v>
      </c>
      <c r="I4085" s="8" t="str">
        <f aca="false">IF($G4085="","Unmatched","Matched")</f>
        <v>Unmatched</v>
      </c>
      <c r="J4085" s="8" t="str">
        <f aca="false">IF($G4085&lt;&gt;"",$G4085,$B4085)</f>
        <v>305-45-46</v>
      </c>
      <c r="K4085" s="8" t="str">
        <f aca="false">IF(COUNTIF($M$1:$M$10,$A4085)&gt;0,"Y","N")</f>
        <v>N</v>
      </c>
    </row>
    <row r="4086" customFormat="false" ht="15" hidden="false" customHeight="true" outlineLevel="0" collapsed="false">
      <c r="A4086" s="8" t="s">
        <v>1115</v>
      </c>
      <c r="B4086" s="8" t="s">
        <v>611</v>
      </c>
      <c r="C4086" s="19" t="n">
        <v>27</v>
      </c>
      <c r="D4086" s="19" t="n">
        <v>858.7</v>
      </c>
      <c r="E4086" s="19" t="n">
        <v>22</v>
      </c>
      <c r="F4086" s="19" t="n">
        <v>645.37</v>
      </c>
      <c r="G4086" s="8" t="n">
        <f aca="false">IFERROR(INDEX('TRANS'!$B:$B,MATCH($B4086,'TRANS'!$A:$A,0)),IFERROR(INDEX('TRANS'!$B:$B,MATCH(TRIM(SUBSTITUTE($B4086,CHAR(160)," ")),'TRANS'!$D:$D,0)),IFERROR(INDEX('Catalog'!$A:$A,MATCH($B4086,'Catalog'!$B:$B,0)),IFERROR(INDEX('Catalog'!$A:$A,MATCH(TRIM(SUBSTITUTE($B4086,CHAR(160)," ")),'Catalog'!$C:$C,0)),""))))</f>
        <v>4413161</v>
      </c>
      <c r="H4086" s="8" t="str">
        <f aca="false">IFERROR(INDEX('TRANS'!$C:$C,MATCH($B4086,'TRANS'!$A:$A,0)),IFERROR(INDEX('Catalog'!$B:$B,MATCH($G4086,'Catalog'!$A:$A,0)),$B4086))</f>
        <v>34+ L מגן קרסול עקב סגור+רצוע</v>
      </c>
      <c r="I4086" s="8" t="str">
        <f aca="false">IF($G4086="","Unmatched","Matched")</f>
        <v>Matched</v>
      </c>
      <c r="J4086" s="8" t="n">
        <f aca="false">IF($G4086&lt;&gt;"",$G4086,$B4086)</f>
        <v>4413161</v>
      </c>
      <c r="K4086" s="8" t="str">
        <f aca="false">IF(COUNTIF($M$1:$M$10,$A4086)&gt;0,"Y","N")</f>
        <v>N</v>
      </c>
    </row>
    <row r="4087" customFormat="false" ht="15" hidden="false" customHeight="true" outlineLevel="0" collapsed="false">
      <c r="A4087" s="8" t="s">
        <v>1115</v>
      </c>
      <c r="B4087" s="8" t="s">
        <v>790</v>
      </c>
      <c r="C4087" s="19" t="n">
        <v>29</v>
      </c>
      <c r="D4087" s="19" t="n">
        <v>928.08</v>
      </c>
      <c r="E4087" s="19" t="n">
        <v>20</v>
      </c>
      <c r="F4087" s="19" t="n">
        <v>586.23</v>
      </c>
      <c r="G4087" s="8" t="n">
        <f aca="false">IFERROR(INDEX('TRANS'!$B:$B,MATCH($B4087,'TRANS'!$A:$A,0)),IFERROR(INDEX('TRANS'!$B:$B,MATCH(TRIM(SUBSTITUTE($B4087,CHAR(160)," ")),'TRANS'!$D:$D,0)),IFERROR(INDEX('Catalog'!$A:$A,MATCH($B4087,'Catalog'!$B:$B,0)),IFERROR(INDEX('Catalog'!$A:$A,MATCH(TRIM(SUBSTITUTE($B4087,CHAR(160)," ")),'Catalog'!$C:$C,0)),""))))</f>
        <v>4413160</v>
      </c>
      <c r="H4087" s="8" t="str">
        <f aca="false">IFERROR(INDEX('TRANS'!$C:$C,MATCH($B4087,'TRANS'!$A:$A,0)),IFERROR(INDEX('Catalog'!$B:$B,MATCH($G4087,'Catalog'!$A:$A,0)),$B4087))</f>
        <v>34+ M מגן קרסול עקב סגור+רצוע</v>
      </c>
      <c r="I4087" s="8" t="str">
        <f aca="false">IF($G4087="","Unmatched","Matched")</f>
        <v>Matched</v>
      </c>
      <c r="J4087" s="8" t="n">
        <f aca="false">IF($G4087&lt;&gt;"",$G4087,$B4087)</f>
        <v>4413160</v>
      </c>
      <c r="K4087" s="8" t="str">
        <f aca="false">IF(COUNTIF($M$1:$M$10,$A4087)&gt;0,"Y","N")</f>
        <v>N</v>
      </c>
    </row>
    <row r="4088" customFormat="false" ht="15" hidden="false" customHeight="true" outlineLevel="0" collapsed="false">
      <c r="A4088" s="8" t="s">
        <v>1115</v>
      </c>
      <c r="B4088" s="8" t="s">
        <v>942</v>
      </c>
      <c r="C4088" s="19" t="n">
        <v>10</v>
      </c>
      <c r="D4088" s="19" t="n">
        <v>324.64</v>
      </c>
      <c r="E4088" s="19" t="n">
        <v>14</v>
      </c>
      <c r="F4088" s="19" t="n">
        <v>408.82</v>
      </c>
      <c r="G4088" s="8" t="n">
        <f aca="false">IFERROR(INDEX('TRANS'!$B:$B,MATCH($B4088,'TRANS'!$A:$A,0)),IFERROR(INDEX('TRANS'!$B:$B,MATCH(TRIM(SUBSTITUTE($B4088,CHAR(160)," ")),'TRANS'!$D:$D,0)),IFERROR(INDEX('Catalog'!$A:$A,MATCH($B4088,'Catalog'!$B:$B,0)),IFERROR(INDEX('Catalog'!$A:$A,MATCH(TRIM(SUBSTITUTE($B4088,CHAR(160)," ")),'Catalog'!$C:$C,0)),""))))</f>
        <v>4413159</v>
      </c>
      <c r="H4088" s="8" t="str">
        <f aca="false">IFERROR(INDEX('TRANS'!$C:$C,MATCH($B4088,'TRANS'!$A:$A,0)),IFERROR(INDEX('Catalog'!$B:$B,MATCH($G4088,'Catalog'!$A:$A,0)),$B4088))</f>
        <v>34+ S מגן קרסול עקב סגור+רצוע</v>
      </c>
      <c r="I4088" s="8" t="str">
        <f aca="false">IF($G4088="","Unmatched","Matched")</f>
        <v>Matched</v>
      </c>
      <c r="J4088" s="8" t="n">
        <f aca="false">IF($G4088&lt;&gt;"",$G4088,$B4088)</f>
        <v>4413159</v>
      </c>
      <c r="K4088" s="8" t="str">
        <f aca="false">IF(COUNTIF($M$1:$M$10,$A4088)&gt;0,"Y","N")</f>
        <v>N</v>
      </c>
    </row>
    <row r="4089" customFormat="false" ht="15" hidden="false" customHeight="true" outlineLevel="0" collapsed="false">
      <c r="A4089" s="8" t="s">
        <v>1115</v>
      </c>
      <c r="B4089" s="8" t="s">
        <v>612</v>
      </c>
      <c r="C4089" s="19" t="n">
        <v>14</v>
      </c>
      <c r="D4089" s="19" t="n">
        <v>428.16</v>
      </c>
      <c r="E4089" s="19" t="n">
        <v>17</v>
      </c>
      <c r="F4089" s="19" t="n">
        <v>499.46</v>
      </c>
      <c r="G4089" s="8" t="n">
        <f aca="false">IFERROR(INDEX('TRANS'!$B:$B,MATCH($B4089,'TRANS'!$A:$A,0)),IFERROR(INDEX('TRANS'!$B:$B,MATCH(TRIM(SUBSTITUTE($B4089,CHAR(160)," ")),'TRANS'!$D:$D,0)),IFERROR(INDEX('Catalog'!$A:$A,MATCH($B4089,'Catalog'!$B:$B,0)),IFERROR(INDEX('Catalog'!$A:$A,MATCH(TRIM(SUBSTITUTE($B4089,CHAR(160)," ")),'Catalog'!$C:$C,0)),""))))</f>
        <v>4413162</v>
      </c>
      <c r="H4089" s="8" t="str">
        <f aca="false">IFERROR(INDEX('TRANS'!$C:$C,MATCH($B4089,'TRANS'!$A:$A,0)),IFERROR(INDEX('Catalog'!$B:$B,MATCH($G4089,'Catalog'!$A:$A,0)),$B4089))</f>
        <v>34+XL מגן קרסול עקב סגור+רצוע</v>
      </c>
      <c r="I4089" s="8" t="str">
        <f aca="false">IF($G4089="","Unmatched","Matched")</f>
        <v>Matched</v>
      </c>
      <c r="J4089" s="8" t="n">
        <f aca="false">IF($G4089&lt;&gt;"",$G4089,$B4089)</f>
        <v>4413162</v>
      </c>
      <c r="K4089" s="8" t="str">
        <f aca="false">IF(COUNTIF($M$1:$M$10,$A4089)&gt;0,"Y","N")</f>
        <v>N</v>
      </c>
    </row>
    <row r="4090" customFormat="false" ht="15" hidden="false" customHeight="true" outlineLevel="0" collapsed="false">
      <c r="A4090" s="8" t="s">
        <v>1115</v>
      </c>
      <c r="B4090" s="8" t="s">
        <v>648</v>
      </c>
      <c r="C4090" s="19" t="n">
        <v>0</v>
      </c>
      <c r="D4090" s="19" t="n">
        <v>0</v>
      </c>
      <c r="E4090" s="19" t="n">
        <v>15</v>
      </c>
      <c r="F4090" s="19" t="n">
        <v>461.4</v>
      </c>
      <c r="G4090" s="8" t="n">
        <f aca="false">IFERROR(INDEX('TRANS'!$B:$B,MATCH($B4090,'TRANS'!$A:$A,0)),IFERROR(INDEX('TRANS'!$B:$B,MATCH(TRIM(SUBSTITUTE($B4090,CHAR(160)," ")),'TRANS'!$D:$D,0)),IFERROR(INDEX('Catalog'!$A:$A,MATCH($B4090,'Catalog'!$B:$B,0)),IFERROR(INDEX('Catalog'!$A:$A,MATCH(TRIM(SUBSTITUTE($B4090,CHAR(160)," ")),'Catalog'!$C:$C,0)),""))))</f>
        <v>4408069</v>
      </c>
      <c r="H4090" s="8" t="str">
        <f aca="false">IFERROR(INDEX('TRANS'!$C:$C,MATCH($B4090,'TRANS'!$A:$A,0)),IFERROR(INDEX('Catalog'!$B:$B,MATCH($G4090,'Catalog'!$A:$A,0)),$B4090))</f>
        <v>38 .חבישת""""הלוקס ולגוס""""לאחר נית</v>
      </c>
      <c r="I4090" s="8" t="str">
        <f aca="false">IF($G4090="","Unmatched","Matched")</f>
        <v>Matched</v>
      </c>
      <c r="J4090" s="8" t="n">
        <f aca="false">IF($G4090&lt;&gt;"",$G4090,$B4090)</f>
        <v>4408069</v>
      </c>
      <c r="K4090" s="8" t="str">
        <f aca="false">IF(COUNTIF($M$1:$M$10,$A4090)&gt;0,"Y","N")</f>
        <v>N</v>
      </c>
    </row>
    <row r="4091" customFormat="false" ht="15" hidden="false" customHeight="true" outlineLevel="0" collapsed="false">
      <c r="A4091" s="8" t="s">
        <v>1115</v>
      </c>
      <c r="B4091" s="8" t="s">
        <v>222</v>
      </c>
      <c r="C4091" s="19" t="n">
        <v>12</v>
      </c>
      <c r="D4091" s="19" t="n">
        <v>243.01</v>
      </c>
      <c r="E4091" s="19" t="n">
        <v>12</v>
      </c>
      <c r="F4091" s="19" t="n">
        <v>202.62</v>
      </c>
      <c r="G4091" s="8" t="str">
        <f aca="false">IFERROR(INDEX('TRANS'!$B:$B,MATCH($B4091,'TRANS'!$A:$A,0)),IFERROR(INDEX('TRANS'!$B:$B,MATCH(TRIM(SUBSTITUTE($B4091,CHAR(160)," ")),'TRANS'!$D:$D,0)),IFERROR(INDEX('Catalog'!$A:$A,MATCH($B4091,'Catalog'!$B:$B,0)),IFERROR(INDEX('Catalog'!$A:$A,MATCH(TRIM(SUBSTITUTE($B4091,CHAR(160)," ")),'Catalog'!$C:$C,0)),""))))</f>
        <v/>
      </c>
      <c r="H4091" s="8" t="str">
        <f aca="false">IFERROR(INDEX('TRANS'!$C:$C,MATCH($B4091,'TRANS'!$A:$A,0)),IFERROR(INDEX('Catalog'!$B:$B,MATCH($G4091,'Catalog'!$A:$A,0)),$B4091))</f>
        <v>61 L</v>
      </c>
      <c r="I4091" s="8" t="str">
        <f aca="false">IF($G4091="","Unmatched","Matched")</f>
        <v>Unmatched</v>
      </c>
      <c r="J4091" s="8" t="str">
        <f aca="false">IF($G4091&lt;&gt;"",$G4091,$B4091)</f>
        <v>61 L</v>
      </c>
      <c r="K4091" s="8" t="str">
        <f aca="false">IF(COUNTIF($M$1:$M$10,$A4091)&gt;0,"Y","N")</f>
        <v>N</v>
      </c>
    </row>
    <row r="4092" customFormat="false" ht="15" hidden="false" customHeight="true" outlineLevel="0" collapsed="false">
      <c r="A4092" s="8" t="s">
        <v>1115</v>
      </c>
      <c r="B4092" s="8" t="s">
        <v>165</v>
      </c>
      <c r="C4092" s="19" t="n">
        <v>35</v>
      </c>
      <c r="D4092" s="19" t="n">
        <v>675.22</v>
      </c>
      <c r="E4092" s="19" t="n">
        <v>51</v>
      </c>
      <c r="F4092" s="19" t="n">
        <v>851.86</v>
      </c>
      <c r="G4092" s="8" t="str">
        <f aca="false">IFERROR(INDEX('TRANS'!$B:$B,MATCH($B4092,'TRANS'!$A:$A,0)),IFERROR(INDEX('TRANS'!$B:$B,MATCH(TRIM(SUBSTITUTE($B4092,CHAR(160)," ")),'TRANS'!$D:$D,0)),IFERROR(INDEX('Catalog'!$A:$A,MATCH($B4092,'Catalog'!$B:$B,0)),IFERROR(INDEX('Catalog'!$A:$A,MATCH(TRIM(SUBSTITUTE($B4092,CHAR(160)," ")),'Catalog'!$C:$C,0)),""))))</f>
        <v/>
      </c>
      <c r="H4092" s="8" t="str">
        <f aca="false">IFERROR(INDEX('TRANS'!$C:$C,MATCH($B4092,'TRANS'!$A:$A,0)),IFERROR(INDEX('Catalog'!$B:$B,MATCH($G4092,'Catalog'!$A:$A,0)),$B4092))</f>
        <v>61 M</v>
      </c>
      <c r="I4092" s="8" t="str">
        <f aca="false">IF($G4092="","Unmatched","Matched")</f>
        <v>Unmatched</v>
      </c>
      <c r="J4092" s="8" t="str">
        <f aca="false">IF($G4092&lt;&gt;"",$G4092,$B4092)</f>
        <v>61 M</v>
      </c>
      <c r="K4092" s="8" t="str">
        <f aca="false">IF(COUNTIF($M$1:$M$10,$A4092)&gt;0,"Y","N")</f>
        <v>N</v>
      </c>
    </row>
    <row r="4093" customFormat="false" ht="15" hidden="false" customHeight="true" outlineLevel="0" collapsed="false">
      <c r="A4093" s="8" t="s">
        <v>1115</v>
      </c>
      <c r="B4093" s="8" t="s">
        <v>218</v>
      </c>
      <c r="C4093" s="19" t="n">
        <v>5</v>
      </c>
      <c r="D4093" s="19" t="n">
        <v>101.26</v>
      </c>
      <c r="E4093" s="19" t="n">
        <v>15</v>
      </c>
      <c r="F4093" s="19" t="n">
        <v>253.27</v>
      </c>
      <c r="G4093" s="8" t="str">
        <f aca="false">IFERROR(INDEX('TRANS'!$B:$B,MATCH($B4093,'TRANS'!$A:$A,0)),IFERROR(INDEX('TRANS'!$B:$B,MATCH(TRIM(SUBSTITUTE($B4093,CHAR(160)," ")),'TRANS'!$D:$D,0)),IFERROR(INDEX('Catalog'!$A:$A,MATCH($B4093,'Catalog'!$B:$B,0)),IFERROR(INDEX('Catalog'!$A:$A,MATCH(TRIM(SUBSTITUTE($B4093,CHAR(160)," ")),'Catalog'!$C:$C,0)),""))))</f>
        <v/>
      </c>
      <c r="H4093" s="8" t="str">
        <f aca="false">IFERROR(INDEX('TRANS'!$C:$C,MATCH($B4093,'TRANS'!$A:$A,0)),IFERROR(INDEX('Catalog'!$B:$B,MATCH($G4093,'Catalog'!$A:$A,0)),$B4093))</f>
        <v>61 S</v>
      </c>
      <c r="I4093" s="8" t="str">
        <f aca="false">IF($G4093="","Unmatched","Matched")</f>
        <v>Unmatched</v>
      </c>
      <c r="J4093" s="8" t="str">
        <f aca="false">IF($G4093&lt;&gt;"",$G4093,$B4093)</f>
        <v>61 S</v>
      </c>
      <c r="K4093" s="8" t="str">
        <f aca="false">IF(COUNTIF($M$1:$M$10,$A4093)&gt;0,"Y","N")</f>
        <v>N</v>
      </c>
    </row>
    <row r="4094" customFormat="false" ht="15" hidden="false" customHeight="true" outlineLevel="0" collapsed="false">
      <c r="A4094" s="8" t="s">
        <v>1115</v>
      </c>
      <c r="B4094" s="8" t="s">
        <v>460</v>
      </c>
      <c r="C4094" s="19" t="n">
        <v>6</v>
      </c>
      <c r="D4094" s="19" t="n">
        <v>102.02</v>
      </c>
      <c r="E4094" s="19" t="n">
        <v>0</v>
      </c>
      <c r="F4094" s="19" t="n">
        <v>0</v>
      </c>
      <c r="G4094" s="8" t="str">
        <f aca="false">IFERROR(INDEX('TRANS'!$B:$B,MATCH($B4094,'TRANS'!$A:$A,0)),IFERROR(INDEX('TRANS'!$B:$B,MATCH(TRIM(SUBSTITUTE($B4094,CHAR(160)," ")),'TRANS'!$D:$D,0)),IFERROR(INDEX('Catalog'!$A:$A,MATCH($B4094,'Catalog'!$B:$B,0)),IFERROR(INDEX('Catalog'!$A:$A,MATCH(TRIM(SUBSTITUTE($B4094,CHAR(160)," ")),'Catalog'!$C:$C,0)),""))))</f>
        <v/>
      </c>
      <c r="H4094" s="8" t="str">
        <f aca="false">IFERROR(INDEX('TRANS'!$C:$C,MATCH($B4094,'TRANS'!$A:$A,0)),IFERROR(INDEX('Catalog'!$B:$B,MATCH($G4094,'Catalog'!$A:$A,0)),$B4094))</f>
        <v>61 XL</v>
      </c>
      <c r="I4094" s="8" t="str">
        <f aca="false">IF($G4094="","Unmatched","Matched")</f>
        <v>Unmatched</v>
      </c>
      <c r="J4094" s="8" t="str">
        <f aca="false">IF($G4094&lt;&gt;"",$G4094,$B4094)</f>
        <v>61 XL</v>
      </c>
      <c r="K4094" s="8" t="str">
        <f aca="false">IF(COUNTIF($M$1:$M$10,$A4094)&gt;0,"Y","N")</f>
        <v>N</v>
      </c>
    </row>
    <row r="4095" customFormat="false" ht="15" hidden="false" customHeight="true" outlineLevel="0" collapsed="false">
      <c r="A4095" s="8" t="s">
        <v>1115</v>
      </c>
      <c r="B4095" s="8" t="s">
        <v>238</v>
      </c>
      <c r="C4095" s="19" t="n">
        <v>0</v>
      </c>
      <c r="D4095" s="19" t="n">
        <v>0</v>
      </c>
      <c r="E4095" s="19" t="n">
        <v>1</v>
      </c>
      <c r="F4095" s="19" t="n">
        <v>0.03</v>
      </c>
      <c r="G4095" s="8" t="str">
        <f aca="false">IFERROR(INDEX('TRANS'!$B:$B,MATCH($B4095,'TRANS'!$A:$A,0)),IFERROR(INDEX('TRANS'!$B:$B,MATCH(TRIM(SUBSTITUTE($B4095,CHAR(160)," ")),'TRANS'!$D:$D,0)),IFERROR(INDEX('Catalog'!$A:$A,MATCH($B4095,'Catalog'!$B:$B,0)),IFERROR(INDEX('Catalog'!$A:$A,MATCH(TRIM(SUBSTITUTE($B4095,CHAR(160)," ")),'Catalog'!$C:$C,0)),""))))</f>
        <v/>
      </c>
      <c r="H4095" s="8" t="str">
        <f aca="false">IFERROR(INDEX('TRANS'!$C:$C,MATCH($B4095,'TRANS'!$A:$A,0)),IFERROR(INDEX('Catalog'!$B:$B,MATCH($G4095,'Catalog'!$A:$A,0)),$B4095))</f>
        <v>61BL-M</v>
      </c>
      <c r="I4095" s="8" t="str">
        <f aca="false">IF($G4095="","Unmatched","Matched")</f>
        <v>Unmatched</v>
      </c>
      <c r="J4095" s="8" t="str">
        <f aca="false">IF($G4095&lt;&gt;"",$G4095,$B4095)</f>
        <v>61BL-M</v>
      </c>
      <c r="K4095" s="8" t="str">
        <f aca="false">IF(COUNTIF($M$1:$M$10,$A4095)&gt;0,"Y","N")</f>
        <v>N</v>
      </c>
    </row>
    <row r="4096" customFormat="false" ht="15" hidden="false" customHeight="true" outlineLevel="0" collapsed="false">
      <c r="A4096" s="8" t="s">
        <v>1115</v>
      </c>
      <c r="B4096" s="8" t="s">
        <v>882</v>
      </c>
      <c r="C4096" s="19" t="n">
        <v>2</v>
      </c>
      <c r="D4096" s="19" t="n">
        <v>296.32</v>
      </c>
      <c r="E4096" s="19" t="n">
        <v>0</v>
      </c>
      <c r="F4096" s="19" t="n">
        <v>0</v>
      </c>
      <c r="G4096" s="8" t="n">
        <f aca="false">IFERROR(INDEX('TRANS'!$B:$B,MATCH($B4096,'TRANS'!$A:$A,0)),IFERROR(INDEX('TRANS'!$B:$B,MATCH(TRIM(SUBSTITUTE($B4096,CHAR(160)," ")),'TRANS'!$D:$D,0)),IFERROR(INDEX('Catalog'!$A:$A,MATCH($B4096,'Catalog'!$B:$B,0)),IFERROR(INDEX('Catalog'!$A:$A,MATCH(TRIM(SUBSTITUTE($B4096,CHAR(160)," ")),'Catalog'!$C:$C,0)),""))))</f>
        <v>4408272</v>
      </c>
      <c r="H4096" s="8" t="str">
        <f aca="false">IFERROR(INDEX('TRANS'!$C:$C,MATCH($B4096,'TRANS'!$A:$A,0)),IFERROR(INDEX('Catalog'!$B:$B,MATCH($G4096,'Catalog'!$A:$A,0)),$B4096))</f>
        <v>70N S חגורת פאבליק</v>
      </c>
      <c r="I4096" s="8" t="str">
        <f aca="false">IF($G4096="","Unmatched","Matched")</f>
        <v>Matched</v>
      </c>
      <c r="J4096" s="8" t="n">
        <f aca="false">IF($G4096&lt;&gt;"",$G4096,$B4096)</f>
        <v>4408272</v>
      </c>
      <c r="K4096" s="8" t="str">
        <f aca="false">IF(COUNTIF($M$1:$M$10,$A4096)&gt;0,"Y","N")</f>
        <v>N</v>
      </c>
    </row>
    <row r="4097" customFormat="false" ht="15" hidden="false" customHeight="true" outlineLevel="0" collapsed="false">
      <c r="A4097" s="8" t="s">
        <v>1115</v>
      </c>
      <c r="B4097" s="8" t="s">
        <v>883</v>
      </c>
      <c r="C4097" s="19" t="n">
        <v>22</v>
      </c>
      <c r="D4097" s="19" t="n">
        <v>3429.22</v>
      </c>
      <c r="E4097" s="19" t="n">
        <v>0</v>
      </c>
      <c r="F4097" s="19" t="n">
        <v>0</v>
      </c>
      <c r="G4097" s="8" t="n">
        <f aca="false">IFERROR(INDEX('TRANS'!$B:$B,MATCH($B4097,'TRANS'!$A:$A,0)),IFERROR(INDEX('TRANS'!$B:$B,MATCH(TRIM(SUBSTITUTE($B4097,CHAR(160)," ")),'TRANS'!$D:$D,0)),IFERROR(INDEX('Catalog'!$A:$A,MATCH($B4097,'Catalog'!$B:$B,0)),IFERROR(INDEX('Catalog'!$A:$A,MATCH(TRIM(SUBSTITUTE($B4097,CHAR(160)," ")),'Catalog'!$C:$C,0)),""))))</f>
        <v>4408271</v>
      </c>
      <c r="H4097" s="8" t="str">
        <f aca="false">IFERROR(INDEX('TRANS'!$C:$C,MATCH($B4097,'TRANS'!$A:$A,0)),IFERROR(INDEX('Catalog'!$B:$B,MATCH($G4097,'Catalog'!$A:$A,0)),$B4097))</f>
        <v>70N XS חגורת פאבליק</v>
      </c>
      <c r="I4097" s="8" t="str">
        <f aca="false">IF($G4097="","Unmatched","Matched")</f>
        <v>Matched</v>
      </c>
      <c r="J4097" s="8" t="n">
        <f aca="false">IF($G4097&lt;&gt;"",$G4097,$B4097)</f>
        <v>4408271</v>
      </c>
      <c r="K4097" s="8" t="str">
        <f aca="false">IF(COUNTIF($M$1:$M$10,$A4097)&gt;0,"Y","N")</f>
        <v>N</v>
      </c>
    </row>
    <row r="4098" customFormat="false" ht="15" hidden="false" customHeight="true" outlineLevel="0" collapsed="false">
      <c r="A4098" s="8" t="s">
        <v>1115</v>
      </c>
      <c r="B4098" s="8" t="s">
        <v>723</v>
      </c>
      <c r="C4098" s="19" t="n">
        <v>0</v>
      </c>
      <c r="D4098" s="19" t="n">
        <v>0</v>
      </c>
      <c r="E4098" s="19" t="n">
        <v>10</v>
      </c>
      <c r="F4098" s="19" t="n">
        <v>384.6</v>
      </c>
      <c r="G4098" s="8" t="n">
        <f aca="false">IFERROR(INDEX('TRANS'!$B:$B,MATCH($B4098,'TRANS'!$A:$A,0)),IFERROR(INDEX('TRANS'!$B:$B,MATCH(TRIM(SUBSTITUTE($B4098,CHAR(160)," ")),'TRANS'!$D:$D,0)),IFERROR(INDEX('Catalog'!$A:$A,MATCH($B4098,'Catalog'!$B:$B,0)),IFERROR(INDEX('Catalog'!$A:$A,MATCH(TRIM(SUBSTITUTE($B4098,CHAR(160)," ")),'Catalog'!$C:$C,0)),""))))</f>
        <v>4408205</v>
      </c>
      <c r="H4098" s="8" t="str">
        <f aca="false">IFERROR(INDEX('TRANS'!$C:$C,MATCH($B4098,'TRANS'!$A:$A,0)),IFERROR(INDEX('Catalog'!$B:$B,MATCH($G4098,'Catalog'!$A:$A,0)),$B4098))</f>
        <v>AC-07 חגורת גב עם תמיכות</v>
      </c>
      <c r="I4098" s="8" t="str">
        <f aca="false">IF($G4098="","Unmatched","Matched")</f>
        <v>Matched</v>
      </c>
      <c r="J4098" s="8" t="n">
        <f aca="false">IF($G4098&lt;&gt;"",$G4098,$B4098)</f>
        <v>4408205</v>
      </c>
      <c r="K4098" s="8" t="str">
        <f aca="false">IF(COUNTIF($M$1:$M$10,$A4098)&gt;0,"Y","N")</f>
        <v>N</v>
      </c>
    </row>
    <row r="4099" customFormat="false" ht="15" hidden="false" customHeight="true" outlineLevel="0" collapsed="false">
      <c r="A4099" s="8" t="s">
        <v>1115</v>
      </c>
      <c r="B4099" s="8" t="s">
        <v>725</v>
      </c>
      <c r="C4099" s="19" t="n">
        <v>45</v>
      </c>
      <c r="D4099" s="19" t="n">
        <v>725.03</v>
      </c>
      <c r="E4099" s="19" t="n">
        <v>35</v>
      </c>
      <c r="F4099" s="19" t="n">
        <v>505.34</v>
      </c>
      <c r="G4099" s="8" t="n">
        <f aca="false">IFERROR(INDEX('TRANS'!$B:$B,MATCH($B4099,'TRANS'!$A:$A,0)),IFERROR(INDEX('TRANS'!$B:$B,MATCH(TRIM(SUBSTITUTE($B4099,CHAR(160)," ")),'TRANS'!$D:$D,0)),IFERROR(INDEX('Catalog'!$A:$A,MATCH($B4099,'Catalog'!$B:$B,0)),IFERROR(INDEX('Catalog'!$A:$A,MATCH(TRIM(SUBSTITUTE($B4099,CHAR(160)," ")),'Catalog'!$C:$C,0)),""))))</f>
        <v>4408207</v>
      </c>
      <c r="H4099" s="8" t="str">
        <f aca="false">IFERROR(INDEX('TRANS'!$C:$C,MATCH($B4099,'TRANS'!$A:$A,0)),IFERROR(INDEX('Catalog'!$B:$B,MATCH($G4099,'Catalog'!$A:$A,0)),$B4099))</f>
        <v>AC-25 חבק לשורש כף היד</v>
      </c>
      <c r="I4099" s="8" t="str">
        <f aca="false">IF($G4099="","Unmatched","Matched")</f>
        <v>Matched</v>
      </c>
      <c r="J4099" s="8" t="n">
        <f aca="false">IF($G4099&lt;&gt;"",$G4099,$B4099)</f>
        <v>4408207</v>
      </c>
      <c r="K4099" s="8" t="str">
        <f aca="false">IF(COUNTIF($M$1:$M$10,$A4099)&gt;0,"Y","N")</f>
        <v>N</v>
      </c>
    </row>
    <row r="4100" customFormat="false" ht="15" hidden="false" customHeight="true" outlineLevel="0" collapsed="false">
      <c r="A4100" s="8" t="s">
        <v>1115</v>
      </c>
      <c r="B4100" s="8" t="s">
        <v>728</v>
      </c>
      <c r="C4100" s="19" t="n">
        <v>35</v>
      </c>
      <c r="D4100" s="19" t="n">
        <v>525.71</v>
      </c>
      <c r="E4100" s="19" t="n">
        <v>60</v>
      </c>
      <c r="F4100" s="19" t="n">
        <v>854.94</v>
      </c>
      <c r="G4100" s="8" t="n">
        <f aca="false">IFERROR(INDEX('TRANS'!$B:$B,MATCH($B4100,'TRANS'!$A:$A,0)),IFERROR(INDEX('TRANS'!$B:$B,MATCH(TRIM(SUBSTITUTE($B4100,CHAR(160)," ")),'TRANS'!$D:$D,0)),IFERROR(INDEX('Catalog'!$A:$A,MATCH($B4100,'Catalog'!$B:$B,0)),IFERROR(INDEX('Catalog'!$A:$A,MATCH(TRIM(SUBSTITUTE($B4100,CHAR(160)," ")),'Catalog'!$C:$C,0)),""))))</f>
        <v>4415028</v>
      </c>
      <c r="H4100" s="8" t="str">
        <f aca="false">IFERROR(INDEX('TRANS'!$C:$C,MATCH($B4100,'TRANS'!$A:$A,0)),IFERROR(INDEX('Catalog'!$B:$B,MATCH($G4100,'Catalog'!$A:$A,0)),$B4100))</f>
        <v>AC-28 סד לאגודל</v>
      </c>
      <c r="I4100" s="8" t="str">
        <f aca="false">IF($G4100="","Unmatched","Matched")</f>
        <v>Matched</v>
      </c>
      <c r="J4100" s="8" t="n">
        <f aca="false">IF($G4100&lt;&gt;"",$G4100,$B4100)</f>
        <v>4415028</v>
      </c>
      <c r="K4100" s="8" t="str">
        <f aca="false">IF(COUNTIF($M$1:$M$10,$A4100)&gt;0,"Y","N")</f>
        <v>N</v>
      </c>
    </row>
    <row r="4101" customFormat="false" ht="15" hidden="false" customHeight="true" outlineLevel="0" collapsed="false">
      <c r="A4101" s="8" t="s">
        <v>1115</v>
      </c>
      <c r="B4101" s="8" t="s">
        <v>560</v>
      </c>
      <c r="C4101" s="19" t="n">
        <v>80</v>
      </c>
      <c r="D4101" s="19" t="n">
        <v>3629.66</v>
      </c>
      <c r="E4101" s="19" t="n">
        <v>90</v>
      </c>
      <c r="F4101" s="19" t="n">
        <v>3724.37</v>
      </c>
      <c r="G4101" s="8" t="n">
        <f aca="false">IFERROR(INDEX('TRANS'!$B:$B,MATCH($B4101,'TRANS'!$A:$A,0)),IFERROR(INDEX('TRANS'!$B:$B,MATCH(TRIM(SUBSTITUTE($B4101,CHAR(160)," ")),'TRANS'!$D:$D,0)),IFERROR(INDEX('Catalog'!$A:$A,MATCH($B4101,'Catalog'!$B:$B,0)),IFERROR(INDEX('Catalog'!$A:$A,MATCH(TRIM(SUBSTITUTE($B4101,CHAR(160)," ")),'Catalog'!$C:$C,0)),""))))</f>
        <v>4413328</v>
      </c>
      <c r="H4101" s="8" t="str">
        <f aca="false">IFERROR(INDEX('TRANS'!$C:$C,MATCH($B4101,'TRANS'!$A:$A,0)),IFERROR(INDEX('Catalog'!$B:$B,MATCH($G4101,'Catalog'!$A:$A,0)),$B4101))</f>
        <v>AC43D מגן ברך + צירים</v>
      </c>
      <c r="I4101" s="8" t="str">
        <f aca="false">IF($G4101="","Unmatched","Matched")</f>
        <v>Matched</v>
      </c>
      <c r="J4101" s="8" t="n">
        <f aca="false">IF($G4101&lt;&gt;"",$G4101,$B4101)</f>
        <v>4413328</v>
      </c>
      <c r="K4101" s="8" t="str">
        <f aca="false">IF(COUNTIF($M$1:$M$10,$A4101)&gt;0,"Y","N")</f>
        <v>N</v>
      </c>
    </row>
    <row r="4102" customFormat="false" ht="15" hidden="false" customHeight="true" outlineLevel="0" collapsed="false">
      <c r="A4102" s="8" t="s">
        <v>1115</v>
      </c>
      <c r="B4102" s="8" t="s">
        <v>731</v>
      </c>
      <c r="C4102" s="19" t="n">
        <v>60</v>
      </c>
      <c r="D4102" s="19" t="n">
        <v>2052.22</v>
      </c>
      <c r="E4102" s="19" t="n">
        <v>75</v>
      </c>
      <c r="F4102" s="19" t="n">
        <v>2416.33</v>
      </c>
      <c r="G4102" s="8" t="n">
        <f aca="false">IFERROR(INDEX('TRANS'!$B:$B,MATCH($B4102,'TRANS'!$A:$A,0)),IFERROR(INDEX('TRANS'!$B:$B,MATCH(TRIM(SUBSTITUTE($B4102,CHAR(160)," ")),'TRANS'!$D:$D,0)),IFERROR(INDEX('Catalog'!$A:$A,MATCH($B4102,'Catalog'!$B:$B,0)),IFERROR(INDEX('Catalog'!$A:$A,MATCH(TRIM(SUBSTITUTE($B4102,CHAR(160)," ")),'Catalog'!$C:$C,0)),""))))</f>
        <v>4413329</v>
      </c>
      <c r="H4102" s="8" t="str">
        <f aca="false">IFERROR(INDEX('TRANS'!$C:$C,MATCH($B4102,'TRANS'!$A:$A,0)),IFERROR(INDEX('Catalog'!$B:$B,MATCH($G4102,'Catalog'!$A:$A,0)),$B4102))</f>
        <v>AC45X מגן ברך עם תמיכות</v>
      </c>
      <c r="I4102" s="8" t="str">
        <f aca="false">IF($G4102="","Unmatched","Matched")</f>
        <v>Matched</v>
      </c>
      <c r="J4102" s="8" t="n">
        <f aca="false">IF($G4102&lt;&gt;"",$G4102,$B4102)</f>
        <v>4413329</v>
      </c>
      <c r="K4102" s="8" t="str">
        <f aca="false">IF(COUNTIF($M$1:$M$10,$A4102)&gt;0,"Y","N")</f>
        <v>N</v>
      </c>
    </row>
    <row r="4103" customFormat="false" ht="15" hidden="false" customHeight="true" outlineLevel="0" collapsed="false">
      <c r="A4103" s="8" t="s">
        <v>1115</v>
      </c>
      <c r="B4103" s="8" t="s">
        <v>733</v>
      </c>
      <c r="C4103" s="19" t="n">
        <v>45</v>
      </c>
      <c r="D4103" s="19" t="n">
        <v>745.8</v>
      </c>
      <c r="E4103" s="19" t="n">
        <v>15</v>
      </c>
      <c r="F4103" s="19" t="n">
        <v>223.18</v>
      </c>
      <c r="G4103" s="8" t="n">
        <f aca="false">IFERROR(INDEX('TRANS'!$B:$B,MATCH($B4103,'TRANS'!$A:$A,0)),IFERROR(INDEX('TRANS'!$B:$B,MATCH(TRIM(SUBSTITUTE($B4103,CHAR(160)," ")),'TRANS'!$D:$D,0)),IFERROR(INDEX('Catalog'!$A:$A,MATCH($B4103,'Catalog'!$B:$B,0)),IFERROR(INDEX('Catalog'!$A:$A,MATCH(TRIM(SUBSTITUTE($B4103,CHAR(160)," ")),'Catalog'!$C:$C,0)),""))))</f>
        <v>4408208</v>
      </c>
      <c r="H4103" s="8" t="str">
        <f aca="false">IFERROR(INDEX('TRANS'!$C:$C,MATCH($B4103,'TRANS'!$A:$A,0)),IFERROR(INDEX('Catalog'!$B:$B,MATCH($G4103,'Catalog'!$A:$A,0)),$B4103))</f>
        <v>AC91 חבק טניס</v>
      </c>
      <c r="I4103" s="8" t="str">
        <f aca="false">IF($G4103="","Unmatched","Matched")</f>
        <v>Matched</v>
      </c>
      <c r="J4103" s="8" t="n">
        <f aca="false">IF($G4103&lt;&gt;"",$G4103,$B4103)</f>
        <v>4408208</v>
      </c>
      <c r="K4103" s="8" t="str">
        <f aca="false">IF(COUNTIF($M$1:$M$10,$A4103)&gt;0,"Y","N")</f>
        <v>N</v>
      </c>
    </row>
    <row r="4104" customFormat="false" ht="15" hidden="false" customHeight="true" outlineLevel="0" collapsed="false">
      <c r="A4104" s="8" t="s">
        <v>1115</v>
      </c>
      <c r="B4104" s="8" t="s">
        <v>734</v>
      </c>
      <c r="C4104" s="19" t="n">
        <v>12</v>
      </c>
      <c r="D4104" s="19" t="n">
        <v>223.76</v>
      </c>
      <c r="E4104" s="19" t="n">
        <v>5</v>
      </c>
      <c r="F4104" s="19" t="n">
        <v>79.48</v>
      </c>
      <c r="G4104" s="8" t="n">
        <f aca="false">IFERROR(INDEX('TRANS'!$B:$B,MATCH($B4104,'TRANS'!$A:$A,0)),IFERROR(INDEX('TRANS'!$B:$B,MATCH(TRIM(SUBSTITUTE($B4104,CHAR(160)," ")),'TRANS'!$D:$D,0)),IFERROR(INDEX('Catalog'!$A:$A,MATCH($B4104,'Catalog'!$B:$B,0)),IFERROR(INDEX('Catalog'!$A:$A,MATCH(TRIM(SUBSTITUTE($B4104,CHAR(160)," ")),'Catalog'!$C:$C,0)),""))))</f>
        <v>4413331</v>
      </c>
      <c r="H4104" s="8" t="str">
        <f aca="false">IFERROR(INDEX('TRANS'!$C:$C,MATCH($B4104,'TRANS'!$A:$A,0)),IFERROR(INDEX('Catalog'!$B:$B,MATCH($G4104,'Catalog'!$A:$A,0)),$B4104))</f>
        <v>AC95 מגן מרפק</v>
      </c>
      <c r="I4104" s="8" t="str">
        <f aca="false">IF($G4104="","Unmatched","Matched")</f>
        <v>Matched</v>
      </c>
      <c r="J4104" s="8" t="n">
        <f aca="false">IF($G4104&lt;&gt;"",$G4104,$B4104)</f>
        <v>4413331</v>
      </c>
      <c r="K4104" s="8" t="str">
        <f aca="false">IF(COUNTIF($M$1:$M$10,$A4104)&gt;0,"Y","N")</f>
        <v>N</v>
      </c>
    </row>
    <row r="4105" customFormat="false" ht="15" hidden="false" customHeight="true" outlineLevel="0" collapsed="false">
      <c r="A4105" s="8" t="s">
        <v>1115</v>
      </c>
      <c r="B4105" s="8" t="s">
        <v>895</v>
      </c>
      <c r="C4105" s="19" t="n">
        <v>100</v>
      </c>
      <c r="D4105" s="19" t="n">
        <v>2591.44</v>
      </c>
      <c r="E4105" s="19" t="n">
        <v>105</v>
      </c>
      <c r="F4105" s="19" t="n">
        <v>2526.26</v>
      </c>
      <c r="G4105" s="8" t="n">
        <f aca="false">IFERROR(INDEX('TRANS'!$B:$B,MATCH($B4105,'TRANS'!$A:$A,0)),IFERROR(INDEX('TRANS'!$B:$B,MATCH(TRIM(SUBSTITUTE($B4105,CHAR(160)," ")),'TRANS'!$D:$D,0)),IFERROR(INDEX('Catalog'!$A:$A,MATCH($B4105,'Catalog'!$B:$B,0)),IFERROR(INDEX('Catalog'!$A:$A,MATCH(TRIM(SUBSTITUTE($B4105,CHAR(160)," ")),'Catalog'!$C:$C,0)),""))))</f>
        <v>4408270</v>
      </c>
      <c r="H4105" s="8" t="str">
        <f aca="false">IFERROR(INDEX('TRANS'!$C:$C,MATCH($B4105,'TRANS'!$A:$A,0)),IFERROR(INDEX('Catalog'!$B:$B,MATCH($G4105,'Catalog'!$A:$A,0)),$B4105))</f>
        <v>ST11  חגורת בטן</v>
      </c>
      <c r="I4105" s="8" t="str">
        <f aca="false">IF($G4105="","Unmatched","Matched")</f>
        <v>Matched</v>
      </c>
      <c r="J4105" s="8" t="n">
        <f aca="false">IF($G4105&lt;&gt;"",$G4105,$B4105)</f>
        <v>4408270</v>
      </c>
      <c r="K4105" s="8" t="str">
        <f aca="false">IF(COUNTIF($M$1:$M$10,$A4105)&gt;0,"Y","N")</f>
        <v>N</v>
      </c>
    </row>
    <row r="4106" customFormat="false" ht="15" hidden="false" customHeight="true" outlineLevel="0" collapsed="false">
      <c r="A4106" s="8" t="s">
        <v>1115</v>
      </c>
      <c r="B4106" s="8" t="s">
        <v>897</v>
      </c>
      <c r="C4106" s="19" t="n">
        <v>170</v>
      </c>
      <c r="D4106" s="19" t="n">
        <v>2243.06</v>
      </c>
      <c r="E4106" s="19" t="n">
        <v>240</v>
      </c>
      <c r="F4106" s="19" t="n">
        <v>3037.35</v>
      </c>
      <c r="G4106" s="8" t="n">
        <f aca="false">IFERROR(INDEX('TRANS'!$B:$B,MATCH($B4106,'TRANS'!$A:$A,0)),IFERROR(INDEX('TRANS'!$B:$B,MATCH(TRIM(SUBSTITUTE($B4106,CHAR(160)," ")),'TRANS'!$D:$D,0)),IFERROR(INDEX('Catalog'!$A:$A,MATCH($B4106,'Catalog'!$B:$B,0)),IFERROR(INDEX('Catalog'!$A:$A,MATCH(TRIM(SUBSTITUTE($B4106,CHAR(160)," ")),'Catalog'!$C:$C,0)),""))))</f>
        <v>4408267</v>
      </c>
      <c r="H4106" s="8" t="str">
        <f aca="false">IFERROR(INDEX('TRANS'!$C:$C,MATCH($B4106,'TRANS'!$A:$A,0)),IFERROR(INDEX('Catalog'!$B:$B,MATCH($G4106,'Catalog'!$A:$A,0)),$B4106))</f>
        <v>ST25 חבק שורש לכף היד</v>
      </c>
      <c r="I4106" s="8" t="str">
        <f aca="false">IF($G4106="","Unmatched","Matched")</f>
        <v>Matched</v>
      </c>
      <c r="J4106" s="8" t="n">
        <f aca="false">IF($G4106&lt;&gt;"",$G4106,$B4106)</f>
        <v>4408267</v>
      </c>
      <c r="K4106" s="8" t="str">
        <f aca="false">IF(COUNTIF($M$1:$M$10,$A4106)&gt;0,"Y","N")</f>
        <v>N</v>
      </c>
    </row>
    <row r="4107" customFormat="false" ht="15" hidden="false" customHeight="true" outlineLevel="0" collapsed="false">
      <c r="A4107" s="8" t="s">
        <v>1115</v>
      </c>
      <c r="B4107" s="8" t="s">
        <v>899</v>
      </c>
      <c r="C4107" s="19" t="n">
        <v>0</v>
      </c>
      <c r="D4107" s="19" t="n">
        <v>0</v>
      </c>
      <c r="E4107" s="19" t="n">
        <v>25</v>
      </c>
      <c r="F4107" s="19" t="n">
        <v>376.06</v>
      </c>
      <c r="G4107" s="8" t="n">
        <f aca="false">IFERROR(INDEX('TRANS'!$B:$B,MATCH($B4107,'TRANS'!$A:$A,0)),IFERROR(INDEX('TRANS'!$B:$B,MATCH(TRIM(SUBSTITUTE($B4107,CHAR(160)," ")),'TRANS'!$D:$D,0)),IFERROR(INDEX('Catalog'!$A:$A,MATCH($B4107,'Catalog'!$B:$B,0)),IFERROR(INDEX('Catalog'!$A:$A,MATCH(TRIM(SUBSTITUTE($B4107,CHAR(160)," ")),'Catalog'!$C:$C,0)),""))))</f>
        <v>4408269</v>
      </c>
      <c r="H4107" s="8" t="str">
        <f aca="false">IFERROR(INDEX('TRANS'!$C:$C,MATCH($B4107,'TRANS'!$A:$A,0)),IFERROR(INDEX('Catalog'!$B:$B,MATCH($G4107,'Catalog'!$A:$A,0)),$B4107))</f>
        <v>ST37 חבק לקרסול</v>
      </c>
      <c r="I4107" s="8" t="str">
        <f aca="false">IF($G4107="","Unmatched","Matched")</f>
        <v>Matched</v>
      </c>
      <c r="J4107" s="8" t="n">
        <f aca="false">IF($G4107&lt;&gt;"",$G4107,$B4107)</f>
        <v>4408269</v>
      </c>
      <c r="K4107" s="8" t="str">
        <f aca="false">IF(COUNTIF($M$1:$M$10,$A4107)&gt;0,"Y","N")</f>
        <v>N</v>
      </c>
    </row>
    <row r="4108" customFormat="false" ht="15" hidden="false" customHeight="true" outlineLevel="0" collapsed="false">
      <c r="A4108" s="8" t="s">
        <v>1115</v>
      </c>
      <c r="B4108" s="8" t="s">
        <v>80</v>
      </c>
      <c r="C4108" s="19" t="n">
        <v>135</v>
      </c>
      <c r="D4108" s="19" t="n">
        <v>2227.44</v>
      </c>
      <c r="E4108" s="19" t="n">
        <v>155</v>
      </c>
      <c r="F4108" s="19" t="n">
        <v>2579.92</v>
      </c>
      <c r="G4108" s="8" t="str">
        <f aca="false">IFERROR(INDEX('TRANS'!$B:$B,MATCH($B4108,'TRANS'!$A:$A,0)),IFERROR(INDEX('TRANS'!$B:$B,MATCH(TRIM(SUBSTITUTE($B4108,CHAR(160)," ")),'TRANS'!$D:$D,0)),IFERROR(INDEX('Catalog'!$A:$A,MATCH($B4108,'Catalog'!$B:$B,0)),IFERROR(INDEX('Catalog'!$A:$A,MATCH(TRIM(SUBSTITUTE($B4108,CHAR(160)," ")),'Catalog'!$C:$C,0)),""))))</f>
        <v/>
      </c>
      <c r="H4108" s="8" t="str">
        <f aca="false">IFERROR(INDEX('TRANS'!$C:$C,MATCH($B4108,'TRANS'!$A:$A,0)),IFERROR(INDEX('Catalog'!$B:$B,MATCH($G4108,'Catalog'!$A:$A,0)),$B4108))</f>
        <v>ST45X 0</v>
      </c>
      <c r="I4108" s="8" t="str">
        <f aca="false">IF($G4108="","Unmatched","Matched")</f>
        <v>Unmatched</v>
      </c>
      <c r="J4108" s="8" t="str">
        <f aca="false">IF($G4108&lt;&gt;"",$G4108,$B4108)</f>
        <v>ST45X 0</v>
      </c>
      <c r="K4108" s="8" t="str">
        <f aca="false">IF(COUNTIF($M$1:$M$10,$A4108)&gt;0,"Y","N")</f>
        <v>N</v>
      </c>
    </row>
    <row r="4109" customFormat="false" ht="15" hidden="false" customHeight="true" outlineLevel="0" collapsed="false">
      <c r="A4109" s="8" t="s">
        <v>1115</v>
      </c>
      <c r="B4109" s="8" t="s">
        <v>902</v>
      </c>
      <c r="C4109" s="19" t="n">
        <v>30</v>
      </c>
      <c r="D4109" s="19" t="n">
        <v>520.1</v>
      </c>
      <c r="E4109" s="19" t="n">
        <v>30</v>
      </c>
      <c r="F4109" s="19" t="n">
        <v>476.74</v>
      </c>
      <c r="G4109" s="8" t="n">
        <f aca="false">IFERROR(INDEX('TRANS'!$B:$B,MATCH($B4109,'TRANS'!$A:$A,0)),IFERROR(INDEX('TRANS'!$B:$B,MATCH(TRIM(SUBSTITUTE($B4109,CHAR(160)," ")),'TRANS'!$D:$D,0)),IFERROR(INDEX('Catalog'!$A:$A,MATCH($B4109,'Catalog'!$B:$B,0)),IFERROR(INDEX('Catalog'!$A:$A,MATCH(TRIM(SUBSTITUTE($B4109,CHAR(160)," ")),'Catalog'!$C:$C,0)),""))))</f>
        <v>4413533</v>
      </c>
      <c r="H4109" s="8" t="str">
        <f aca="false">IFERROR(INDEX('TRANS'!$C:$C,MATCH($B4109,'TRANS'!$A:$A,0)),IFERROR(INDEX('Catalog'!$B:$B,MATCH($G4109,'Catalog'!$A:$A,0)),$B4109))</f>
        <v>ST49 מגן ירך</v>
      </c>
      <c r="I4109" s="8" t="str">
        <f aca="false">IF($G4109="","Unmatched","Matched")</f>
        <v>Matched</v>
      </c>
      <c r="J4109" s="8" t="n">
        <f aca="false">IF($G4109&lt;&gt;"",$G4109,$B4109)</f>
        <v>4413533</v>
      </c>
      <c r="K4109" s="8" t="str">
        <f aca="false">IF(COUNTIF($M$1:$M$10,$A4109)&gt;0,"Y","N")</f>
        <v>N</v>
      </c>
    </row>
    <row r="4110" customFormat="false" ht="15" hidden="false" customHeight="true" outlineLevel="0" collapsed="false">
      <c r="A4110" s="8" t="s">
        <v>1115</v>
      </c>
      <c r="B4110" s="8" t="s">
        <v>903</v>
      </c>
      <c r="C4110" s="19" t="n">
        <v>25</v>
      </c>
      <c r="D4110" s="19" t="n">
        <v>426.07</v>
      </c>
      <c r="E4110" s="19" t="n">
        <v>45</v>
      </c>
      <c r="F4110" s="19" t="n">
        <v>650.63</v>
      </c>
      <c r="G4110" s="8" t="n">
        <f aca="false">IFERROR(INDEX('TRANS'!$B:$B,MATCH($B4110,'TRANS'!$A:$A,0)),IFERROR(INDEX('TRANS'!$B:$B,MATCH(TRIM(SUBSTITUTE($B4110,CHAR(160)," ")),'TRANS'!$D:$D,0)),IFERROR(INDEX('Catalog'!$A:$A,MATCH($B4110,'Catalog'!$B:$B,0)),IFERROR(INDEX('Catalog'!$A:$A,MATCH(TRIM(SUBSTITUTE($B4110,CHAR(160)," ")),'Catalog'!$C:$C,0)),""))))</f>
        <v>4413531</v>
      </c>
      <c r="H4110" s="8" t="str">
        <f aca="false">IFERROR(INDEX('TRANS'!$C:$C,MATCH($B4110,'TRANS'!$A:$A,0)),IFERROR(INDEX('Catalog'!$B:$B,MATCH($G4110,'Catalog'!$A:$A,0)),$B4110))</f>
        <v>ST91 מגן מרפק לטניס</v>
      </c>
      <c r="I4110" s="8" t="str">
        <f aca="false">IF($G4110="","Unmatched","Matched")</f>
        <v>Matched</v>
      </c>
      <c r="J4110" s="8" t="n">
        <f aca="false">IF($G4110&lt;&gt;"",$G4110,$B4110)</f>
        <v>4413531</v>
      </c>
      <c r="K4110" s="8" t="str">
        <f aca="false">IF(COUNTIF($M$1:$M$10,$A4110)&gt;0,"Y","N")</f>
        <v>N</v>
      </c>
    </row>
    <row r="4111" customFormat="false" ht="15" hidden="false" customHeight="true" outlineLevel="0" collapsed="false">
      <c r="A4111" s="8" t="s">
        <v>1115</v>
      </c>
      <c r="B4111" s="8" t="s">
        <v>1080</v>
      </c>
      <c r="C4111" s="19" t="n">
        <v>25</v>
      </c>
      <c r="D4111" s="19" t="n">
        <v>446.17</v>
      </c>
      <c r="E4111" s="19" t="n">
        <v>15</v>
      </c>
      <c r="F4111" s="19" t="n">
        <v>269.79</v>
      </c>
      <c r="G4111" s="8" t="str">
        <f aca="false">IFERROR(INDEX('TRANS'!$B:$B,MATCH($B4111,'TRANS'!$A:$A,0)),IFERROR(INDEX('TRANS'!$B:$B,MATCH(TRIM(SUBSTITUTE($B4111,CHAR(160)," ")),'TRANS'!$D:$D,0)),IFERROR(INDEX('Catalog'!$A:$A,MATCH($B4111,'Catalog'!$B:$B,0)),IFERROR(INDEX('Catalog'!$A:$A,MATCH(TRIM(SUBSTITUTE($B4111,CHAR(160)," ")),'Catalog'!$C:$C,0)),""))))</f>
        <v/>
      </c>
      <c r="H4111" s="8" t="str">
        <f aca="false">IFERROR(INDEX('TRANS'!$C:$C,MATCH($B4111,'TRANS'!$A:$A,0)),IFERROR(INDEX('Catalog'!$B:$B,MATCH($G4111,'Catalog'!$A:$A,0)),$B4111))</f>
        <v>ST95 0</v>
      </c>
      <c r="I4111" s="8" t="str">
        <f aca="false">IF($G4111="","Unmatched","Matched")</f>
        <v>Unmatched</v>
      </c>
      <c r="J4111" s="8" t="str">
        <f aca="false">IF($G4111&lt;&gt;"",$G4111,$B4111)</f>
        <v>ST95 0</v>
      </c>
      <c r="K4111" s="8" t="str">
        <f aca="false">IF(COUNTIF($M$1:$M$10,$A4111)&gt;0,"Y","N")</f>
        <v>N</v>
      </c>
    </row>
    <row r="4112" customFormat="false" ht="15" hidden="false" customHeight="true" outlineLevel="0" collapsed="false">
      <c r="A4112" s="8" t="s">
        <v>1115</v>
      </c>
      <c r="B4112" s="8" t="s">
        <v>770</v>
      </c>
      <c r="C4112" s="19" t="n">
        <v>40</v>
      </c>
      <c r="D4112" s="19" t="n">
        <v>691.48</v>
      </c>
      <c r="E4112" s="19" t="n">
        <v>33</v>
      </c>
      <c r="F4112" s="19" t="n">
        <v>543.59</v>
      </c>
      <c r="G4112" s="8" t="n">
        <f aca="false">IFERROR(INDEX('TRANS'!$B:$B,MATCH($B4112,'TRANS'!$A:$A,0)),IFERROR(INDEX('TRANS'!$B:$B,MATCH(TRIM(SUBSTITUTE($B4112,CHAR(160)," ")),'TRANS'!$D:$D,0)),IFERROR(INDEX('Catalog'!$A:$A,MATCH($B4112,'Catalog'!$B:$B,0)),IFERROR(INDEX('Catalog'!$A:$A,MATCH(TRIM(SUBSTITUTE($B4112,CHAR(160)," ")),'Catalog'!$C:$C,0)),""))))</f>
        <v>4408098</v>
      </c>
      <c r="H4112" s="8" t="str">
        <f aca="false">IFERROR(INDEX('TRANS'!$C:$C,MATCH($B4112,'TRANS'!$A:$A,0)),IFERROR(INDEX('Catalog'!$B:$B,MATCH($G4112,'Catalog'!$A:$A,0)),$B4112))</f>
        <v>T25-חבק יד אגודלי</v>
      </c>
      <c r="I4112" s="8" t="str">
        <f aca="false">IF($G4112="","Unmatched","Matched")</f>
        <v>Matched</v>
      </c>
      <c r="J4112" s="8" t="n">
        <f aca="false">IF($G4112&lt;&gt;"",$G4112,$B4112)</f>
        <v>4408098</v>
      </c>
      <c r="K4112" s="8" t="str">
        <f aca="false">IF(COUNTIF($M$1:$M$10,$A4112)&gt;0,"Y","N")</f>
        <v>N</v>
      </c>
    </row>
    <row r="4113" customFormat="false" ht="15" hidden="false" customHeight="true" outlineLevel="0" collapsed="false">
      <c r="A4113" s="8" t="s">
        <v>1115</v>
      </c>
      <c r="B4113" s="8" t="s">
        <v>90</v>
      </c>
      <c r="C4113" s="19" t="n">
        <v>2</v>
      </c>
      <c r="D4113" s="19" t="n">
        <v>124.31</v>
      </c>
      <c r="E4113" s="19" t="n">
        <v>2</v>
      </c>
      <c r="F4113" s="19" t="n">
        <v>105.98</v>
      </c>
      <c r="G4113" s="8" t="str">
        <f aca="false">IFERROR(INDEX('TRANS'!$B:$B,MATCH($B4113,'TRANS'!$A:$A,0)),IFERROR(INDEX('TRANS'!$B:$B,MATCH(TRIM(SUBSTITUTE($B4113,CHAR(160)," ")),'TRANS'!$D:$D,0)),IFERROR(INDEX('Catalog'!$A:$A,MATCH($B4113,'Catalog'!$B:$B,0)),IFERROR(INDEX('Catalog'!$A:$A,MATCH(TRIM(SUBSTITUTE($B4113,CHAR(160)," ")),'Catalog'!$C:$C,0)),""))))</f>
        <v/>
      </c>
      <c r="H4113" s="8" t="str">
        <f aca="false">IFERROR(INDEX('TRANS'!$C:$C,MATCH($B4113,'TRANS'!$A:$A,0)),IFERROR(INDEX('Catalog'!$B:$B,MATCH($G4113,'Catalog'!$A:$A,0)),$B4113))</f>
        <v>T33 L</v>
      </c>
      <c r="I4113" s="8" t="str">
        <f aca="false">IF($G4113="","Unmatched","Matched")</f>
        <v>Unmatched</v>
      </c>
      <c r="J4113" s="8" t="str">
        <f aca="false">IF($G4113&lt;&gt;"",$G4113,$B4113)</f>
        <v>T33 L</v>
      </c>
      <c r="K4113" s="8" t="str">
        <f aca="false">IF(COUNTIF($M$1:$M$10,$A4113)&gt;0,"Y","N")</f>
        <v>N</v>
      </c>
    </row>
    <row r="4114" customFormat="false" ht="15" hidden="false" customHeight="true" outlineLevel="0" collapsed="false">
      <c r="A4114" s="8" t="s">
        <v>1115</v>
      </c>
      <c r="B4114" s="8" t="s">
        <v>133</v>
      </c>
      <c r="C4114" s="19" t="n">
        <v>2</v>
      </c>
      <c r="D4114" s="19" t="n">
        <v>124.31</v>
      </c>
      <c r="E4114" s="19" t="n">
        <v>0</v>
      </c>
      <c r="F4114" s="19" t="n">
        <v>0</v>
      </c>
      <c r="G4114" s="8" t="str">
        <f aca="false">IFERROR(INDEX('TRANS'!$B:$B,MATCH($B4114,'TRANS'!$A:$A,0)),IFERROR(INDEX('TRANS'!$B:$B,MATCH(TRIM(SUBSTITUTE($B4114,CHAR(160)," ")),'TRANS'!$D:$D,0)),IFERROR(INDEX('Catalog'!$A:$A,MATCH($B4114,'Catalog'!$B:$B,0)),IFERROR(INDEX('Catalog'!$A:$A,MATCH(TRIM(SUBSTITUTE($B4114,CHAR(160)," ")),'Catalog'!$C:$C,0)),""))))</f>
        <v/>
      </c>
      <c r="H4114" s="8" t="str">
        <f aca="false">IFERROR(INDEX('TRANS'!$C:$C,MATCH($B4114,'TRANS'!$A:$A,0)),IFERROR(INDEX('Catalog'!$B:$B,MATCH($G4114,'Catalog'!$A:$A,0)),$B4114))</f>
        <v>T33 M</v>
      </c>
      <c r="I4114" s="8" t="str">
        <f aca="false">IF($G4114="","Unmatched","Matched")</f>
        <v>Unmatched</v>
      </c>
      <c r="J4114" s="8" t="str">
        <f aca="false">IF($G4114&lt;&gt;"",$G4114,$B4114)</f>
        <v>T33 M</v>
      </c>
      <c r="K4114" s="8" t="str">
        <f aca="false">IF(COUNTIF($M$1:$M$10,$A4114)&gt;0,"Y","N")</f>
        <v>N</v>
      </c>
    </row>
    <row r="4115" customFormat="false" ht="15" hidden="false" customHeight="true" outlineLevel="0" collapsed="false">
      <c r="A4115" s="8" t="s">
        <v>1115</v>
      </c>
      <c r="B4115" s="8" t="s">
        <v>118</v>
      </c>
      <c r="C4115" s="19" t="n">
        <v>2</v>
      </c>
      <c r="D4115" s="19" t="n">
        <v>124.31</v>
      </c>
      <c r="E4115" s="19" t="n">
        <v>3</v>
      </c>
      <c r="F4115" s="19" t="n">
        <v>158.97</v>
      </c>
      <c r="G4115" s="8" t="str">
        <f aca="false">IFERROR(INDEX('TRANS'!$B:$B,MATCH($B4115,'TRANS'!$A:$A,0)),IFERROR(INDEX('TRANS'!$B:$B,MATCH(TRIM(SUBSTITUTE($B4115,CHAR(160)," ")),'TRANS'!$D:$D,0)),IFERROR(INDEX('Catalog'!$A:$A,MATCH($B4115,'Catalog'!$B:$B,0)),IFERROR(INDEX('Catalog'!$A:$A,MATCH(TRIM(SUBSTITUTE($B4115,CHAR(160)," ")),'Catalog'!$C:$C,0)),""))))</f>
        <v/>
      </c>
      <c r="H4115" s="8" t="str">
        <f aca="false">IFERROR(INDEX('TRANS'!$C:$C,MATCH($B4115,'TRANS'!$A:$A,0)),IFERROR(INDEX('Catalog'!$B:$B,MATCH($G4115,'Catalog'!$A:$A,0)),$B4115))</f>
        <v>T33 XL</v>
      </c>
      <c r="I4115" s="8" t="str">
        <f aca="false">IF($G4115="","Unmatched","Matched")</f>
        <v>Unmatched</v>
      </c>
      <c r="J4115" s="8" t="str">
        <f aca="false">IF($G4115&lt;&gt;"",$G4115,$B4115)</f>
        <v>T33 XL</v>
      </c>
      <c r="K4115" s="8" t="str">
        <f aca="false">IF(COUNTIF($M$1:$M$10,$A4115)&gt;0,"Y","N")</f>
        <v>N</v>
      </c>
    </row>
    <row r="4116" customFormat="false" ht="15" hidden="false" customHeight="true" outlineLevel="0" collapsed="false">
      <c r="A4116" s="8" t="s">
        <v>1115</v>
      </c>
      <c r="B4116" s="8" t="s">
        <v>159</v>
      </c>
      <c r="C4116" s="19" t="n">
        <v>4</v>
      </c>
      <c r="D4116" s="19" t="n">
        <v>228.69</v>
      </c>
      <c r="E4116" s="19" t="n">
        <v>0</v>
      </c>
      <c r="F4116" s="19" t="n">
        <v>0</v>
      </c>
      <c r="G4116" s="8" t="str">
        <f aca="false">IFERROR(INDEX('TRANS'!$B:$B,MATCH($B4116,'TRANS'!$A:$A,0)),IFERROR(INDEX('TRANS'!$B:$B,MATCH(TRIM(SUBSTITUTE($B4116,CHAR(160)," ")),'TRANS'!$D:$D,0)),IFERROR(INDEX('Catalog'!$A:$A,MATCH($B4116,'Catalog'!$B:$B,0)),IFERROR(INDEX('Catalog'!$A:$A,MATCH(TRIM(SUBSTITUTE($B4116,CHAR(160)," ")),'Catalog'!$C:$C,0)),""))))</f>
        <v/>
      </c>
      <c r="H4116" s="8" t="str">
        <f aca="false">IFERROR(INDEX('TRANS'!$C:$C,MATCH($B4116,'TRANS'!$A:$A,0)),IFERROR(INDEX('Catalog'!$B:$B,MATCH($G4116,'Catalog'!$A:$A,0)),$B4116))</f>
        <v>T33 XXL</v>
      </c>
      <c r="I4116" s="8" t="str">
        <f aca="false">IF($G4116="","Unmatched","Matched")</f>
        <v>Unmatched</v>
      </c>
      <c r="J4116" s="8" t="str">
        <f aca="false">IF($G4116&lt;&gt;"",$G4116,$B4116)</f>
        <v>T33 XXL</v>
      </c>
      <c r="K4116" s="8" t="str">
        <f aca="false">IF(COUNTIF($M$1:$M$10,$A4116)&gt;0,"Y","N")</f>
        <v>N</v>
      </c>
    </row>
    <row r="4117" customFormat="false" ht="15" hidden="false" customHeight="true" outlineLevel="0" collapsed="false">
      <c r="A4117" s="8" t="s">
        <v>1115</v>
      </c>
      <c r="B4117" s="8" t="s">
        <v>168</v>
      </c>
      <c r="C4117" s="19" t="n">
        <v>2</v>
      </c>
      <c r="D4117" s="19" t="n">
        <v>92.26</v>
      </c>
      <c r="E4117" s="19" t="n">
        <v>0</v>
      </c>
      <c r="F4117" s="19" t="n">
        <v>0</v>
      </c>
      <c r="G4117" s="8" t="str">
        <f aca="false">IFERROR(INDEX('TRANS'!$B:$B,MATCH($B4117,'TRANS'!$A:$A,0)),IFERROR(INDEX('TRANS'!$B:$B,MATCH(TRIM(SUBSTITUTE($B4117,CHAR(160)," ")),'TRANS'!$D:$D,0)),IFERROR(INDEX('Catalog'!$A:$A,MATCH($B4117,'Catalog'!$B:$B,0)),IFERROR(INDEX('Catalog'!$A:$A,MATCH(TRIM(SUBSTITUTE($B4117,CHAR(160)," ")),'Catalog'!$C:$C,0)),""))))</f>
        <v/>
      </c>
      <c r="H4117" s="8" t="str">
        <f aca="false">IFERROR(INDEX('TRANS'!$C:$C,MATCH($B4117,'TRANS'!$A:$A,0)),IFERROR(INDEX('Catalog'!$B:$B,MATCH($G4117,'Catalog'!$A:$A,0)),$B4117))</f>
        <v>T45X L</v>
      </c>
      <c r="I4117" s="8" t="str">
        <f aca="false">IF($G4117="","Unmatched","Matched")</f>
        <v>Unmatched</v>
      </c>
      <c r="J4117" s="8" t="str">
        <f aca="false">IF($G4117&lt;&gt;"",$G4117,$B4117)</f>
        <v>T45X L</v>
      </c>
      <c r="K4117" s="8" t="str">
        <f aca="false">IF(COUNTIF($M$1:$M$10,$A4117)&gt;0,"Y","N")</f>
        <v>N</v>
      </c>
    </row>
    <row r="4118" customFormat="false" ht="15" hidden="false" customHeight="true" outlineLevel="0" collapsed="false">
      <c r="A4118" s="8" t="s">
        <v>1115</v>
      </c>
      <c r="B4118" s="8" t="s">
        <v>907</v>
      </c>
      <c r="C4118" s="19" t="n">
        <v>1</v>
      </c>
      <c r="D4118" s="19" t="n">
        <v>46.13</v>
      </c>
      <c r="E4118" s="19" t="n">
        <v>0</v>
      </c>
      <c r="F4118" s="19" t="n">
        <v>0</v>
      </c>
      <c r="G4118" s="8" t="n">
        <f aca="false">IFERROR(INDEX('TRANS'!$B:$B,MATCH($B4118,'TRANS'!$A:$A,0)),IFERROR(INDEX('TRANS'!$B:$B,MATCH(TRIM(SUBSTITUTE($B4118,CHAR(160)," ")),'TRANS'!$D:$D,0)),IFERROR(INDEX('Catalog'!$A:$A,MATCH($B4118,'Catalog'!$B:$B,0)),IFERROR(INDEX('Catalog'!$A:$A,MATCH(TRIM(SUBSTITUTE($B4118,CHAR(160)," ")),'Catalog'!$C:$C,0)),""))))</f>
        <v>4413224</v>
      </c>
      <c r="H4118" s="8" t="str">
        <f aca="false">IFERROR(INDEX('TRANS'!$C:$C,MATCH($B4118,'TRANS'!$A:$A,0)),IFERROR(INDEX('Catalog'!$B:$B,MATCH($G4118,'Catalog'!$A:$A,0)),$B4118))</f>
        <v>T45X XL מגן ברך רגיל</v>
      </c>
      <c r="I4118" s="8" t="str">
        <f aca="false">IF($G4118="","Unmatched","Matched")</f>
        <v>Matched</v>
      </c>
      <c r="J4118" s="8" t="n">
        <f aca="false">IF($G4118&lt;&gt;"",$G4118,$B4118)</f>
        <v>4413224</v>
      </c>
      <c r="K4118" s="8" t="str">
        <f aca="false">IF(COUNTIF($M$1:$M$10,$A4118)&gt;0,"Y","N")</f>
        <v>N</v>
      </c>
    </row>
    <row r="4119" customFormat="false" ht="15" hidden="false" customHeight="true" outlineLevel="0" collapsed="false">
      <c r="A4119" s="8" t="s">
        <v>1115</v>
      </c>
      <c r="B4119" s="8" t="s">
        <v>774</v>
      </c>
      <c r="C4119" s="19" t="n">
        <v>3</v>
      </c>
      <c r="D4119" s="19" t="n">
        <v>230.03</v>
      </c>
      <c r="E4119" s="19" t="n">
        <v>1</v>
      </c>
      <c r="F4119" s="19" t="n">
        <v>67.54</v>
      </c>
      <c r="G4119" s="8" t="n">
        <f aca="false">IFERROR(INDEX('TRANS'!$B:$B,MATCH($B4119,'TRANS'!$A:$A,0)),IFERROR(INDEX('TRANS'!$B:$B,MATCH(TRIM(SUBSTITUTE($B4119,CHAR(160)," ")),'TRANS'!$D:$D,0)),IFERROR(INDEX('Catalog'!$A:$A,MATCH($B4119,'Catalog'!$B:$B,0)),IFERROR(INDEX('Catalog'!$A:$A,MATCH(TRIM(SUBSTITUTE($B4119,CHAR(160)," ")),'Catalog'!$C:$C,0)),""))))</f>
        <v>4422006</v>
      </c>
      <c r="H4119" s="8" t="str">
        <f aca="false">IFERROR(INDEX('TRANS'!$C:$C,MATCH($B4119,'TRANS'!$A:$A,0)),IFERROR(INDEX('Catalog'!$B:$B,MATCH($G4119,'Catalog'!$A:$A,0)),$B4119))</f>
        <v>T78 L תומך זרוע וכתף</v>
      </c>
      <c r="I4119" s="8" t="str">
        <f aca="false">IF($G4119="","Unmatched","Matched")</f>
        <v>Matched</v>
      </c>
      <c r="J4119" s="8" t="n">
        <f aca="false">IF($G4119&lt;&gt;"",$G4119,$B4119)</f>
        <v>4422006</v>
      </c>
      <c r="K4119" s="8" t="str">
        <f aca="false">IF(COUNTIF($M$1:$M$10,$A4119)&gt;0,"Y","N")</f>
        <v>N</v>
      </c>
    </row>
    <row r="4120" customFormat="false" ht="15" hidden="false" customHeight="true" outlineLevel="0" collapsed="false">
      <c r="A4120" s="8" t="s">
        <v>1115</v>
      </c>
      <c r="B4120" s="8" t="s">
        <v>851</v>
      </c>
      <c r="C4120" s="19" t="n">
        <v>4</v>
      </c>
      <c r="D4120" s="19" t="n">
        <v>311.03</v>
      </c>
      <c r="E4120" s="19" t="n">
        <v>3</v>
      </c>
      <c r="F4120" s="19" t="n">
        <v>202.62</v>
      </c>
      <c r="G4120" s="8" t="n">
        <f aca="false">IFERROR(INDEX('TRANS'!$B:$B,MATCH($B4120,'TRANS'!$A:$A,0)),IFERROR(INDEX('TRANS'!$B:$B,MATCH(TRIM(SUBSTITUTE($B4120,CHAR(160)," ")),'TRANS'!$D:$D,0)),IFERROR(INDEX('Catalog'!$A:$A,MATCH($B4120,'Catalog'!$B:$B,0)),IFERROR(INDEX('Catalog'!$A:$A,MATCH(TRIM(SUBSTITUTE($B4120,CHAR(160)," ")),'Catalog'!$C:$C,0)),""))))</f>
        <v>4422005</v>
      </c>
      <c r="H4120" s="8" t="str">
        <f aca="false">IFERROR(INDEX('TRANS'!$C:$C,MATCH($B4120,'TRANS'!$A:$A,0)),IFERROR(INDEX('Catalog'!$B:$B,MATCH($G4120,'Catalog'!$A:$A,0)),$B4120))</f>
        <v>T78 M תומך זרוע וכתף</v>
      </c>
      <c r="I4120" s="8" t="str">
        <f aca="false">IF($G4120="","Unmatched","Matched")</f>
        <v>Matched</v>
      </c>
      <c r="J4120" s="8" t="n">
        <f aca="false">IF($G4120&lt;&gt;"",$G4120,$B4120)</f>
        <v>4422005</v>
      </c>
      <c r="K4120" s="8" t="str">
        <f aca="false">IF(COUNTIF($M$1:$M$10,$A4120)&gt;0,"Y","N")</f>
        <v>N</v>
      </c>
    </row>
    <row r="4121" customFormat="false" ht="15" hidden="false" customHeight="true" outlineLevel="0" collapsed="false">
      <c r="A4121" s="8" t="s">
        <v>1115</v>
      </c>
      <c r="B4121" s="8" t="s">
        <v>919</v>
      </c>
      <c r="C4121" s="19" t="n">
        <v>5</v>
      </c>
      <c r="D4121" s="19" t="n">
        <v>377.3</v>
      </c>
      <c r="E4121" s="19" t="n">
        <v>0</v>
      </c>
      <c r="F4121" s="19" t="n">
        <v>0</v>
      </c>
      <c r="G4121" s="8" t="n">
        <f aca="false">IFERROR(INDEX('TRANS'!$B:$B,MATCH($B4121,'TRANS'!$A:$A,0)),IFERROR(INDEX('TRANS'!$B:$B,MATCH(TRIM(SUBSTITUTE($B4121,CHAR(160)," ")),'TRANS'!$D:$D,0)),IFERROR(INDEX('Catalog'!$A:$A,MATCH($B4121,'Catalog'!$B:$B,0)),IFERROR(INDEX('Catalog'!$A:$A,MATCH(TRIM(SUBSTITUTE($B4121,CHAR(160)," ")),'Catalog'!$C:$C,0)),""))))</f>
        <v>4422004</v>
      </c>
      <c r="H4121" s="8" t="str">
        <f aca="false">IFERROR(INDEX('TRANS'!$C:$C,MATCH($B4121,'TRANS'!$A:$A,0)),IFERROR(INDEX('Catalog'!$B:$B,MATCH($G4121,'Catalog'!$A:$A,0)),$B4121))</f>
        <v>T78 S תומך זרוע וכתף</v>
      </c>
      <c r="I4121" s="8" t="str">
        <f aca="false">IF($G4121="","Unmatched","Matched")</f>
        <v>Matched</v>
      </c>
      <c r="J4121" s="8" t="n">
        <f aca="false">IF($G4121&lt;&gt;"",$G4121,$B4121)</f>
        <v>4422004</v>
      </c>
      <c r="K4121" s="8" t="str">
        <f aca="false">IF(COUNTIF($M$1:$M$10,$A4121)&gt;0,"Y","N")</f>
        <v>N</v>
      </c>
    </row>
    <row r="4122" customFormat="false" ht="15" hidden="false" customHeight="true" outlineLevel="0" collapsed="false">
      <c r="A4122" s="8" t="s">
        <v>1115</v>
      </c>
      <c r="B4122" s="8" t="s">
        <v>946</v>
      </c>
      <c r="C4122" s="19" t="n">
        <v>1</v>
      </c>
      <c r="D4122" s="19" t="n">
        <v>81</v>
      </c>
      <c r="E4122" s="19" t="n">
        <v>0</v>
      </c>
      <c r="F4122" s="19" t="n">
        <v>0</v>
      </c>
      <c r="G4122" s="8" t="n">
        <f aca="false">IFERROR(INDEX('TRANS'!$B:$B,MATCH($B4122,'TRANS'!$A:$A,0)),IFERROR(INDEX('TRANS'!$B:$B,MATCH(TRIM(SUBSTITUTE($B4122,CHAR(160)," ")),'TRANS'!$D:$D,0)),IFERROR(INDEX('Catalog'!$A:$A,MATCH($B4122,'Catalog'!$B:$B,0)),IFERROR(INDEX('Catalog'!$A:$A,MATCH(TRIM(SUBSTITUTE($B4122,CHAR(160)," ")),'Catalog'!$C:$C,0)),""))))</f>
        <v>4422007</v>
      </c>
      <c r="H4122" s="8" t="str">
        <f aca="false">IFERROR(INDEX('TRANS'!$C:$C,MATCH($B4122,'TRANS'!$A:$A,0)),IFERROR(INDEX('Catalog'!$B:$B,MATCH($G4122,'Catalog'!$A:$A,0)),$B4122))</f>
        <v>T78 XLתומך זרוע וכתף</v>
      </c>
      <c r="I4122" s="8" t="str">
        <f aca="false">IF($G4122="","Unmatched","Matched")</f>
        <v>Matched</v>
      </c>
      <c r="J4122" s="8" t="n">
        <f aca="false">IF($G4122&lt;&gt;"",$G4122,$B4122)</f>
        <v>4422007</v>
      </c>
      <c r="K4122" s="8" t="str">
        <f aca="false">IF(COUNTIF($M$1:$M$10,$A4122)&gt;0,"Y","N")</f>
        <v>N</v>
      </c>
    </row>
    <row r="4123" customFormat="false" ht="15" hidden="false" customHeight="true" outlineLevel="0" collapsed="false">
      <c r="A4123" s="8" t="s">
        <v>1116</v>
      </c>
      <c r="B4123" s="8" t="s">
        <v>860</v>
      </c>
      <c r="C4123" s="19" t="n">
        <v>5</v>
      </c>
      <c r="D4123" s="19" t="n">
        <v>222.25</v>
      </c>
      <c r="E4123" s="19" t="n">
        <v>5</v>
      </c>
      <c r="F4123" s="19" t="n">
        <v>206.74</v>
      </c>
      <c r="G4123" s="8" t="n">
        <f aca="false">IFERROR(INDEX('TRANS'!$B:$B,MATCH($B4123,'TRANS'!$A:$A,0)),IFERROR(INDEX('TRANS'!$B:$B,MATCH(TRIM(SUBSTITUTE($B4123,CHAR(160)," ")),'TRANS'!$D:$D,0)),IFERROR(INDEX('Catalog'!$A:$A,MATCH($B4123,'Catalog'!$B:$B,0)),IFERROR(INDEX('Catalog'!$A:$A,MATCH(TRIM(SUBSTITUTE($B4123,CHAR(160)," ")),'Catalog'!$C:$C,0)),""))))</f>
        <v>4411026</v>
      </c>
      <c r="H4123" s="8" t="str">
        <f aca="false">IFERROR(INDEX('TRANS'!$C:$C,MATCH($B4123,'TRANS'!$A:$A,0)),IFERROR(INDEX('Catalog'!$B:$B,MATCH($G4123,'Catalog'!$A:$A,0)),$B4123))</f>
        <v>213CTSL L שמאל CTS כפפות</v>
      </c>
      <c r="I4123" s="8" t="str">
        <f aca="false">IF($G4123="","Unmatched","Matched")</f>
        <v>Matched</v>
      </c>
      <c r="J4123" s="8" t="n">
        <f aca="false">IF($G4123&lt;&gt;"",$G4123,$B4123)</f>
        <v>4411026</v>
      </c>
      <c r="K4123" s="8" t="str">
        <f aca="false">IF(COUNTIF($M$1:$M$10,$A4123)&gt;0,"Y","N")</f>
        <v>N</v>
      </c>
    </row>
    <row r="4124" customFormat="false" ht="15" hidden="false" customHeight="true" outlineLevel="0" collapsed="false">
      <c r="A4124" s="8" t="s">
        <v>1116</v>
      </c>
      <c r="B4124" s="8" t="s">
        <v>861</v>
      </c>
      <c r="C4124" s="19" t="n">
        <v>10</v>
      </c>
      <c r="D4124" s="19" t="n">
        <v>444.5</v>
      </c>
      <c r="E4124" s="19" t="n">
        <v>2</v>
      </c>
      <c r="F4124" s="19" t="n">
        <v>82.7</v>
      </c>
      <c r="G4124" s="8" t="n">
        <f aca="false">IFERROR(INDEX('TRANS'!$B:$B,MATCH($B4124,'TRANS'!$A:$A,0)),IFERROR(INDEX('TRANS'!$B:$B,MATCH(TRIM(SUBSTITUTE($B4124,CHAR(160)," ")),'TRANS'!$D:$D,0)),IFERROR(INDEX('Catalog'!$A:$A,MATCH($B4124,'Catalog'!$B:$B,0)),IFERROR(INDEX('Catalog'!$A:$A,MATCH(TRIM(SUBSTITUTE($B4124,CHAR(160)," ")),'Catalog'!$C:$C,0)),""))))</f>
        <v>4411027</v>
      </c>
      <c r="H4124" s="8" t="str">
        <f aca="false">IFERROR(INDEX('TRANS'!$C:$C,MATCH($B4124,'TRANS'!$A:$A,0)),IFERROR(INDEX('Catalog'!$B:$B,MATCH($G4124,'Catalog'!$A:$A,0)),$B4124))</f>
        <v>213CTSL M שמאל CTS כפפות</v>
      </c>
      <c r="I4124" s="8" t="str">
        <f aca="false">IF($G4124="","Unmatched","Matched")</f>
        <v>Matched</v>
      </c>
      <c r="J4124" s="8" t="n">
        <f aca="false">IF($G4124&lt;&gt;"",$G4124,$B4124)</f>
        <v>4411027</v>
      </c>
      <c r="K4124" s="8" t="str">
        <f aca="false">IF(COUNTIF($M$1:$M$10,$A4124)&gt;0,"Y","N")</f>
        <v>N</v>
      </c>
    </row>
    <row r="4125" customFormat="false" ht="15" hidden="false" customHeight="true" outlineLevel="0" collapsed="false">
      <c r="A4125" s="8" t="s">
        <v>1116</v>
      </c>
      <c r="B4125" s="8" t="s">
        <v>862</v>
      </c>
      <c r="C4125" s="19" t="n">
        <v>10</v>
      </c>
      <c r="D4125" s="19" t="n">
        <v>444.5</v>
      </c>
      <c r="E4125" s="19" t="n">
        <v>0</v>
      </c>
      <c r="F4125" s="19" t="n">
        <v>0</v>
      </c>
      <c r="G4125" s="8" t="n">
        <f aca="false">IFERROR(INDEX('TRANS'!$B:$B,MATCH($B4125,'TRANS'!$A:$A,0)),IFERROR(INDEX('TRANS'!$B:$B,MATCH(TRIM(SUBSTITUTE($B4125,CHAR(160)," ")),'TRANS'!$D:$D,0)),IFERROR(INDEX('Catalog'!$A:$A,MATCH($B4125,'Catalog'!$B:$B,0)),IFERROR(INDEX('Catalog'!$A:$A,MATCH(TRIM(SUBSTITUTE($B4125,CHAR(160)," ")),'Catalog'!$C:$C,0)),""))))</f>
        <v>4411028</v>
      </c>
      <c r="H4125" s="8" t="str">
        <f aca="false">IFERROR(INDEX('TRANS'!$C:$C,MATCH($B4125,'TRANS'!$A:$A,0)),IFERROR(INDEX('Catalog'!$B:$B,MATCH($G4125,'Catalog'!$A:$A,0)),$B4125))</f>
        <v>213CTSL S שמאל CTS כפפות</v>
      </c>
      <c r="I4125" s="8" t="str">
        <f aca="false">IF($G4125="","Unmatched","Matched")</f>
        <v>Matched</v>
      </c>
      <c r="J4125" s="8" t="n">
        <f aca="false">IF($G4125&lt;&gt;"",$G4125,$B4125)</f>
        <v>4411028</v>
      </c>
      <c r="K4125" s="8" t="str">
        <f aca="false">IF(COUNTIF($M$1:$M$10,$A4125)&gt;0,"Y","N")</f>
        <v>N</v>
      </c>
    </row>
    <row r="4126" customFormat="false" ht="15" hidden="false" customHeight="true" outlineLevel="0" collapsed="false">
      <c r="A4126" s="8" t="s">
        <v>1116</v>
      </c>
      <c r="B4126" s="8" t="s">
        <v>863</v>
      </c>
      <c r="C4126" s="19" t="n">
        <v>5</v>
      </c>
      <c r="D4126" s="19" t="n">
        <v>222.25</v>
      </c>
      <c r="E4126" s="19" t="n">
        <v>5</v>
      </c>
      <c r="F4126" s="19" t="n">
        <v>206.74</v>
      </c>
      <c r="G4126" s="8" t="n">
        <f aca="false">IFERROR(INDEX('TRANS'!$B:$B,MATCH($B4126,'TRANS'!$A:$A,0)),IFERROR(INDEX('TRANS'!$B:$B,MATCH(TRIM(SUBSTITUTE($B4126,CHAR(160)," ")),'TRANS'!$D:$D,0)),IFERROR(INDEX('Catalog'!$A:$A,MATCH($B4126,'Catalog'!$B:$B,0)),IFERROR(INDEX('Catalog'!$A:$A,MATCH(TRIM(SUBSTITUTE($B4126,CHAR(160)," ")),'Catalog'!$C:$C,0)),""))))</f>
        <v>4411029</v>
      </c>
      <c r="H4126" s="8" t="str">
        <f aca="false">IFERROR(INDEX('TRANS'!$C:$C,MATCH($B4126,'TRANS'!$A:$A,0)),IFERROR(INDEX('Catalog'!$B:$B,MATCH($G4126,'Catalog'!$A:$A,0)),$B4126))</f>
        <v>213CTSR L ימין CTS כפפות</v>
      </c>
      <c r="I4126" s="8" t="str">
        <f aca="false">IF($G4126="","Unmatched","Matched")</f>
        <v>Matched</v>
      </c>
      <c r="J4126" s="8" t="n">
        <f aca="false">IF($G4126&lt;&gt;"",$G4126,$B4126)</f>
        <v>4411029</v>
      </c>
      <c r="K4126" s="8" t="str">
        <f aca="false">IF(COUNTIF($M$1:$M$10,$A4126)&gt;0,"Y","N")</f>
        <v>N</v>
      </c>
    </row>
    <row r="4127" customFormat="false" ht="15" hidden="false" customHeight="true" outlineLevel="0" collapsed="false">
      <c r="A4127" s="8" t="s">
        <v>1116</v>
      </c>
      <c r="B4127" s="8" t="s">
        <v>864</v>
      </c>
      <c r="C4127" s="19" t="n">
        <v>10</v>
      </c>
      <c r="D4127" s="19" t="n">
        <v>444.5</v>
      </c>
      <c r="E4127" s="19" t="n">
        <v>2</v>
      </c>
      <c r="F4127" s="19" t="n">
        <v>82.7</v>
      </c>
      <c r="G4127" s="8" t="n">
        <f aca="false">IFERROR(INDEX('TRANS'!$B:$B,MATCH($B4127,'TRANS'!$A:$A,0)),IFERROR(INDEX('TRANS'!$B:$B,MATCH(TRIM(SUBSTITUTE($B4127,CHAR(160)," ")),'TRANS'!$D:$D,0)),IFERROR(INDEX('Catalog'!$A:$A,MATCH($B4127,'Catalog'!$B:$B,0)),IFERROR(INDEX('Catalog'!$A:$A,MATCH(TRIM(SUBSTITUTE($B4127,CHAR(160)," ")),'Catalog'!$C:$C,0)),""))))</f>
        <v>4411030</v>
      </c>
      <c r="H4127" s="8" t="str">
        <f aca="false">IFERROR(INDEX('TRANS'!$C:$C,MATCH($B4127,'TRANS'!$A:$A,0)),IFERROR(INDEX('Catalog'!$B:$B,MATCH($G4127,'Catalog'!$A:$A,0)),$B4127))</f>
        <v>213CTSR M ימין CTS כפפות</v>
      </c>
      <c r="I4127" s="8" t="str">
        <f aca="false">IF($G4127="","Unmatched","Matched")</f>
        <v>Matched</v>
      </c>
      <c r="J4127" s="8" t="n">
        <f aca="false">IF($G4127&lt;&gt;"",$G4127,$B4127)</f>
        <v>4411030</v>
      </c>
      <c r="K4127" s="8" t="str">
        <f aca="false">IF(COUNTIF($M$1:$M$10,$A4127)&gt;0,"Y","N")</f>
        <v>N</v>
      </c>
    </row>
    <row r="4128" customFormat="false" ht="15" hidden="false" customHeight="true" outlineLevel="0" collapsed="false">
      <c r="A4128" s="8" t="s">
        <v>1116</v>
      </c>
      <c r="B4128" s="8" t="s">
        <v>865</v>
      </c>
      <c r="C4128" s="19" t="n">
        <v>10</v>
      </c>
      <c r="D4128" s="19" t="n">
        <v>444.5</v>
      </c>
      <c r="E4128" s="19" t="n">
        <v>0</v>
      </c>
      <c r="F4128" s="19" t="n">
        <v>0</v>
      </c>
      <c r="G4128" s="8" t="n">
        <f aca="false">IFERROR(INDEX('TRANS'!$B:$B,MATCH($B4128,'TRANS'!$A:$A,0)),IFERROR(INDEX('TRANS'!$B:$B,MATCH(TRIM(SUBSTITUTE($B4128,CHAR(160)," ")),'TRANS'!$D:$D,0)),IFERROR(INDEX('Catalog'!$A:$A,MATCH($B4128,'Catalog'!$B:$B,0)),IFERROR(INDEX('Catalog'!$A:$A,MATCH(TRIM(SUBSTITUTE($B4128,CHAR(160)," ")),'Catalog'!$C:$C,0)),""))))</f>
        <v>4411031</v>
      </c>
      <c r="H4128" s="8" t="str">
        <f aca="false">IFERROR(INDEX('TRANS'!$C:$C,MATCH($B4128,'TRANS'!$A:$A,0)),IFERROR(INDEX('Catalog'!$B:$B,MATCH($G4128,'Catalog'!$A:$A,0)),$B4128))</f>
        <v>213CTS  S ימין CTS כפפות</v>
      </c>
      <c r="I4128" s="8" t="str">
        <f aca="false">IF($G4128="","Unmatched","Matched")</f>
        <v>Matched</v>
      </c>
      <c r="J4128" s="8" t="n">
        <f aca="false">IF($G4128&lt;&gt;"",$G4128,$B4128)</f>
        <v>4411031</v>
      </c>
      <c r="K4128" s="8" t="str">
        <f aca="false">IF(COUNTIF($M$1:$M$10,$A4128)&gt;0,"Y","N")</f>
        <v>N</v>
      </c>
    </row>
    <row r="4129" customFormat="false" ht="15" hidden="false" customHeight="true" outlineLevel="0" collapsed="false">
      <c r="A4129" s="8" t="s">
        <v>1116</v>
      </c>
      <c r="B4129" s="8" t="s">
        <v>869</v>
      </c>
      <c r="C4129" s="19" t="n">
        <v>1</v>
      </c>
      <c r="D4129" s="19" t="n">
        <v>0.04</v>
      </c>
      <c r="E4129" s="19" t="n">
        <v>0</v>
      </c>
      <c r="F4129" s="19" t="n">
        <v>0</v>
      </c>
      <c r="G4129" s="8" t="n">
        <f aca="false">IFERROR(INDEX('TRANS'!$B:$B,MATCH($B4129,'TRANS'!$A:$A,0)),IFERROR(INDEX('TRANS'!$B:$B,MATCH(TRIM(SUBSTITUTE($B4129,CHAR(160)," ")),'TRANS'!$D:$D,0)),IFERROR(INDEX('Catalog'!$A:$A,MATCH($B4129,'Catalog'!$B:$B,0)),IFERROR(INDEX('Catalog'!$A:$A,MATCH(TRIM(SUBSTITUTE($B4129,CHAR(160)," ")),'Catalog'!$C:$C,0)),""))))</f>
        <v>4413523</v>
      </c>
      <c r="H4129" s="8" t="str">
        <f aca="false">IFERROR(INDEX('TRANS'!$C:$C,MATCH($B4129,'TRANS'!$A:$A,0)),IFERROR(INDEX('Catalog'!$B:$B,MATCH($G4129,'Catalog'!$A:$A,0)),$B4129))</f>
        <v>35-38 מדרסי אפיק ג'ל נוחות</v>
      </c>
      <c r="I4129" s="8" t="str">
        <f aca="false">IF($G4129="","Unmatched","Matched")</f>
        <v>Matched</v>
      </c>
      <c r="J4129" s="8" t="n">
        <f aca="false">IF($G4129&lt;&gt;"",$G4129,$B4129)</f>
        <v>4413523</v>
      </c>
      <c r="K4129" s="8" t="str">
        <f aca="false">IF(COUNTIF($M$1:$M$10,$A4129)&gt;0,"Y","N")</f>
        <v>N</v>
      </c>
    </row>
    <row r="4130" customFormat="false" ht="15" hidden="false" customHeight="true" outlineLevel="0" collapsed="false">
      <c r="A4130" s="8" t="s">
        <v>1116</v>
      </c>
      <c r="B4130" s="8" t="s">
        <v>872</v>
      </c>
      <c r="C4130" s="19" t="n">
        <v>1</v>
      </c>
      <c r="D4130" s="19" t="n">
        <v>0.04</v>
      </c>
      <c r="E4130" s="19" t="n">
        <v>0</v>
      </c>
      <c r="F4130" s="19" t="n">
        <v>0</v>
      </c>
      <c r="G4130" s="8" t="n">
        <f aca="false">IFERROR(INDEX('TRANS'!$B:$B,MATCH($B4130,'TRANS'!$A:$A,0)),IFERROR(INDEX('TRANS'!$B:$B,MATCH(TRIM(SUBSTITUTE($B4130,CHAR(160)," ")),'TRANS'!$D:$D,0)),IFERROR(INDEX('Catalog'!$A:$A,MATCH($B4130,'Catalog'!$B:$B,0)),IFERROR(INDEX('Catalog'!$A:$A,MATCH(TRIM(SUBSTITUTE($B4130,CHAR(160)," ")),'Catalog'!$C:$C,0)),""))))</f>
        <v>4413520</v>
      </c>
      <c r="H4130" s="8" t="str">
        <f aca="false">IFERROR(INDEX('TRANS'!$C:$C,MATCH($B4130,'TRANS'!$A:$A,0)),IFERROR(INDEX('Catalog'!$B:$B,MATCH($G4130,'Catalog'!$A:$A,0)),$B4130))</f>
        <v>מדרסי אפיק ג'ל מולט.ספורט35-38</v>
      </c>
      <c r="I4130" s="8" t="str">
        <f aca="false">IF($G4130="","Unmatched","Matched")</f>
        <v>Matched</v>
      </c>
      <c r="J4130" s="8" t="n">
        <f aca="false">IF($G4130&lt;&gt;"",$G4130,$B4130)</f>
        <v>4413520</v>
      </c>
      <c r="K4130" s="8" t="str">
        <f aca="false">IF(COUNTIF($M$1:$M$10,$A4130)&gt;0,"Y","N")</f>
        <v>N</v>
      </c>
    </row>
    <row r="4131" customFormat="false" ht="15" hidden="false" customHeight="true" outlineLevel="0" collapsed="false">
      <c r="A4131" s="8" t="s">
        <v>1116</v>
      </c>
      <c r="B4131" s="8" t="s">
        <v>874</v>
      </c>
      <c r="C4131" s="19" t="n">
        <v>1</v>
      </c>
      <c r="D4131" s="19" t="n">
        <v>0.04</v>
      </c>
      <c r="E4131" s="19" t="n">
        <v>0</v>
      </c>
      <c r="F4131" s="19" t="n">
        <v>0</v>
      </c>
      <c r="G4131" s="8" t="n">
        <f aca="false">IFERROR(INDEX('TRANS'!$B:$B,MATCH($B4131,'TRANS'!$A:$A,0)),IFERROR(INDEX('TRANS'!$B:$B,MATCH(TRIM(SUBSTITUTE($B4131,CHAR(160)," ")),'TRANS'!$D:$D,0)),IFERROR(INDEX('Catalog'!$A:$A,MATCH($B4131,'Catalog'!$B:$B,0)),IFERROR(INDEX('Catalog'!$A:$A,MATCH(TRIM(SUBSTITUTE($B4131,CHAR(160)," ")),'Catalog'!$C:$C,0)),""))))</f>
        <v>4413522</v>
      </c>
      <c r="H4131" s="8" t="str">
        <f aca="false">IFERROR(INDEX('TRANS'!$C:$C,MATCH($B4131,'TRANS'!$A:$A,0)),IFERROR(INDEX('Catalog'!$B:$B,MATCH($G4131,'Catalog'!$A:$A,0)),$B4131))</f>
        <v>מדרסי אפיק ג'ל מולט.ספורט43-47</v>
      </c>
      <c r="I4131" s="8" t="str">
        <f aca="false">IF($G4131="","Unmatched","Matched")</f>
        <v>Matched</v>
      </c>
      <c r="J4131" s="8" t="n">
        <f aca="false">IF($G4131&lt;&gt;"",$G4131,$B4131)</f>
        <v>4413522</v>
      </c>
      <c r="K4131" s="8" t="str">
        <f aca="false">IF(COUNTIF($M$1:$M$10,$A4131)&gt;0,"Y","N")</f>
        <v>N</v>
      </c>
    </row>
    <row r="4132" customFormat="false" ht="15" hidden="false" customHeight="true" outlineLevel="0" collapsed="false">
      <c r="A4132" s="8" t="s">
        <v>1116</v>
      </c>
      <c r="B4132" s="8" t="s">
        <v>723</v>
      </c>
      <c r="C4132" s="19" t="n">
        <v>80</v>
      </c>
      <c r="D4132" s="19" t="n">
        <v>4565.43</v>
      </c>
      <c r="E4132" s="19" t="n">
        <v>60</v>
      </c>
      <c r="F4132" s="19" t="n">
        <v>3124.87</v>
      </c>
      <c r="G4132" s="8" t="n">
        <f aca="false">IFERROR(INDEX('TRANS'!$B:$B,MATCH($B4132,'TRANS'!$A:$A,0)),IFERROR(INDEX('TRANS'!$B:$B,MATCH(TRIM(SUBSTITUTE($B4132,CHAR(160)," ")),'TRANS'!$D:$D,0)),IFERROR(INDEX('Catalog'!$A:$A,MATCH($B4132,'Catalog'!$B:$B,0)),IFERROR(INDEX('Catalog'!$A:$A,MATCH(TRIM(SUBSTITUTE($B4132,CHAR(160)," ")),'Catalog'!$C:$C,0)),""))))</f>
        <v>4408205</v>
      </c>
      <c r="H4132" s="8" t="str">
        <f aca="false">IFERROR(INDEX('TRANS'!$C:$C,MATCH($B4132,'TRANS'!$A:$A,0)),IFERROR(INDEX('Catalog'!$B:$B,MATCH($G4132,'Catalog'!$A:$A,0)),$B4132))</f>
        <v>AC-07 חגורת גב עם תמיכות</v>
      </c>
      <c r="I4132" s="8" t="str">
        <f aca="false">IF($G4132="","Unmatched","Matched")</f>
        <v>Matched</v>
      </c>
      <c r="J4132" s="8" t="n">
        <f aca="false">IF($G4132&lt;&gt;"",$G4132,$B4132)</f>
        <v>4408205</v>
      </c>
      <c r="K4132" s="8" t="str">
        <f aca="false">IF(COUNTIF($M$1:$M$10,$A4132)&gt;0,"Y","N")</f>
        <v>N</v>
      </c>
    </row>
    <row r="4133" customFormat="false" ht="15" hidden="false" customHeight="true" outlineLevel="0" collapsed="false">
      <c r="A4133" s="8" t="s">
        <v>1116</v>
      </c>
      <c r="B4133" s="8" t="s">
        <v>725</v>
      </c>
      <c r="C4133" s="19" t="n">
        <v>274</v>
      </c>
      <c r="D4133" s="19" t="n">
        <v>4506.09</v>
      </c>
      <c r="E4133" s="19" t="n">
        <v>120</v>
      </c>
      <c r="F4133" s="19" t="n">
        <v>1829.88</v>
      </c>
      <c r="G4133" s="8" t="n">
        <f aca="false">IFERROR(INDEX('TRANS'!$B:$B,MATCH($B4133,'TRANS'!$A:$A,0)),IFERROR(INDEX('TRANS'!$B:$B,MATCH(TRIM(SUBSTITUTE($B4133,CHAR(160)," ")),'TRANS'!$D:$D,0)),IFERROR(INDEX('Catalog'!$A:$A,MATCH($B4133,'Catalog'!$B:$B,0)),IFERROR(INDEX('Catalog'!$A:$A,MATCH(TRIM(SUBSTITUTE($B4133,CHAR(160)," ")),'Catalog'!$C:$C,0)),""))))</f>
        <v>4408207</v>
      </c>
      <c r="H4133" s="8" t="str">
        <f aca="false">IFERROR(INDEX('TRANS'!$C:$C,MATCH($B4133,'TRANS'!$A:$A,0)),IFERROR(INDEX('Catalog'!$B:$B,MATCH($G4133,'Catalog'!$A:$A,0)),$B4133))</f>
        <v>AC-25 חבק לשורש כף היד</v>
      </c>
      <c r="I4133" s="8" t="str">
        <f aca="false">IF($G4133="","Unmatched","Matched")</f>
        <v>Matched</v>
      </c>
      <c r="J4133" s="8" t="n">
        <f aca="false">IF($G4133&lt;&gt;"",$G4133,$B4133)</f>
        <v>4408207</v>
      </c>
      <c r="K4133" s="8" t="str">
        <f aca="false">IF(COUNTIF($M$1:$M$10,$A4133)&gt;0,"Y","N")</f>
        <v>N</v>
      </c>
    </row>
    <row r="4134" customFormat="false" ht="15" hidden="false" customHeight="true" outlineLevel="0" collapsed="false">
      <c r="A4134" s="8" t="s">
        <v>1116</v>
      </c>
      <c r="B4134" s="8" t="s">
        <v>726</v>
      </c>
      <c r="C4134" s="19" t="n">
        <v>70</v>
      </c>
      <c r="D4134" s="19" t="n">
        <v>2118.48</v>
      </c>
      <c r="E4134" s="19" t="n">
        <v>80</v>
      </c>
      <c r="F4134" s="19" t="n">
        <v>2252.16</v>
      </c>
      <c r="G4134" s="8" t="n">
        <f aca="false">IFERROR(INDEX('TRANS'!$B:$B,MATCH($B4134,'TRANS'!$A:$A,0)),IFERROR(INDEX('TRANS'!$B:$B,MATCH(TRIM(SUBSTITUTE($B4134,CHAR(160)," ")),'TRANS'!$D:$D,0)),IFERROR(INDEX('Catalog'!$A:$A,MATCH($B4134,'Catalog'!$B:$B,0)),IFERROR(INDEX('Catalog'!$A:$A,MATCH(TRIM(SUBSTITUTE($B4134,CHAR(160)," ")),'Catalog'!$C:$C,0)),""))))</f>
        <v>4415026</v>
      </c>
      <c r="H4134" s="8" t="str">
        <f aca="false">IFERROR(INDEX('TRANS'!$C:$C,MATCH($B4134,'TRANS'!$A:$A,0)),IFERROR(INDEX('Catalog'!$B:$B,MATCH($G4134,'Catalog'!$A:$A,0)),$B4134))</f>
        <v>AC-27L סד לש.כף יד שמאל</v>
      </c>
      <c r="I4134" s="8" t="str">
        <f aca="false">IF($G4134="","Unmatched","Matched")</f>
        <v>Matched</v>
      </c>
      <c r="J4134" s="8" t="n">
        <f aca="false">IF($G4134&lt;&gt;"",$G4134,$B4134)</f>
        <v>4415026</v>
      </c>
      <c r="K4134" s="8" t="str">
        <f aca="false">IF(COUNTIF($M$1:$M$10,$A4134)&gt;0,"Y","N")</f>
        <v>N</v>
      </c>
    </row>
    <row r="4135" customFormat="false" ht="15" hidden="false" customHeight="true" outlineLevel="0" collapsed="false">
      <c r="A4135" s="8" t="s">
        <v>1116</v>
      </c>
      <c r="B4135" s="8" t="s">
        <v>727</v>
      </c>
      <c r="C4135" s="19" t="n">
        <v>100</v>
      </c>
      <c r="D4135" s="19" t="n">
        <v>3073.08</v>
      </c>
      <c r="E4135" s="19" t="n">
        <v>80</v>
      </c>
      <c r="F4135" s="19" t="n">
        <v>2252.16</v>
      </c>
      <c r="G4135" s="8" t="n">
        <f aca="false">IFERROR(INDEX('TRANS'!$B:$B,MATCH($B4135,'TRANS'!$A:$A,0)),IFERROR(INDEX('TRANS'!$B:$B,MATCH(TRIM(SUBSTITUTE($B4135,CHAR(160)," ")),'TRANS'!$D:$D,0)),IFERROR(INDEX('Catalog'!$A:$A,MATCH($B4135,'Catalog'!$B:$B,0)),IFERROR(INDEX('Catalog'!$A:$A,MATCH(TRIM(SUBSTITUTE($B4135,CHAR(160)," ")),'Catalog'!$C:$C,0)),""))))</f>
        <v>4415027</v>
      </c>
      <c r="H4135" s="8" t="str">
        <f aca="false">IFERROR(INDEX('TRANS'!$C:$C,MATCH($B4135,'TRANS'!$A:$A,0)),IFERROR(INDEX('Catalog'!$B:$B,MATCH($G4135,'Catalog'!$A:$A,0)),$B4135))</f>
        <v>AC-27R סד לש.כף יד ימין</v>
      </c>
      <c r="I4135" s="8" t="str">
        <f aca="false">IF($G4135="","Unmatched","Matched")</f>
        <v>Matched</v>
      </c>
      <c r="J4135" s="8" t="n">
        <f aca="false">IF($G4135&lt;&gt;"",$G4135,$B4135)</f>
        <v>4415027</v>
      </c>
      <c r="K4135" s="8" t="str">
        <f aca="false">IF(COUNTIF($M$1:$M$10,$A4135)&gt;0,"Y","N")</f>
        <v>N</v>
      </c>
    </row>
    <row r="4136" customFormat="false" ht="15" hidden="false" customHeight="true" outlineLevel="0" collapsed="false">
      <c r="A4136" s="8" t="s">
        <v>1116</v>
      </c>
      <c r="B4136" s="8" t="s">
        <v>728</v>
      </c>
      <c r="C4136" s="19" t="n">
        <v>160</v>
      </c>
      <c r="D4136" s="19" t="n">
        <v>3760.05</v>
      </c>
      <c r="E4136" s="19" t="n">
        <v>100</v>
      </c>
      <c r="F4136" s="19" t="n">
        <v>2111.4</v>
      </c>
      <c r="G4136" s="8" t="n">
        <f aca="false">IFERROR(INDEX('TRANS'!$B:$B,MATCH($B4136,'TRANS'!$A:$A,0)),IFERROR(INDEX('TRANS'!$B:$B,MATCH(TRIM(SUBSTITUTE($B4136,CHAR(160)," ")),'TRANS'!$D:$D,0)),IFERROR(INDEX('Catalog'!$A:$A,MATCH($B4136,'Catalog'!$B:$B,0)),IFERROR(INDEX('Catalog'!$A:$A,MATCH(TRIM(SUBSTITUTE($B4136,CHAR(160)," ")),'Catalog'!$C:$C,0)),""))))</f>
        <v>4415028</v>
      </c>
      <c r="H4136" s="8" t="str">
        <f aca="false">IFERROR(INDEX('TRANS'!$C:$C,MATCH($B4136,'TRANS'!$A:$A,0)),IFERROR(INDEX('Catalog'!$B:$B,MATCH($G4136,'Catalog'!$A:$A,0)),$B4136))</f>
        <v>AC-28 סד לאגודל</v>
      </c>
      <c r="I4136" s="8" t="str">
        <f aca="false">IF($G4136="","Unmatched","Matched")</f>
        <v>Matched</v>
      </c>
      <c r="J4136" s="8" t="n">
        <f aca="false">IF($G4136&lt;&gt;"",$G4136,$B4136)</f>
        <v>4415028</v>
      </c>
      <c r="K4136" s="8" t="str">
        <f aca="false">IF(COUNTIF($M$1:$M$10,$A4136)&gt;0,"Y","N")</f>
        <v>N</v>
      </c>
    </row>
    <row r="4137" customFormat="false" ht="15" hidden="false" customHeight="true" outlineLevel="0" collapsed="false">
      <c r="A4137" s="8" t="s">
        <v>1116</v>
      </c>
      <c r="B4137" s="8" t="s">
        <v>729</v>
      </c>
      <c r="C4137" s="19" t="n">
        <v>255</v>
      </c>
      <c r="D4137" s="19" t="n">
        <v>5430.64</v>
      </c>
      <c r="E4137" s="19" t="n">
        <v>172</v>
      </c>
      <c r="F4137" s="19" t="n">
        <v>3244.52</v>
      </c>
      <c r="G4137" s="8" t="n">
        <f aca="false">IFERROR(INDEX('TRANS'!$B:$B,MATCH($B4137,'TRANS'!$A:$A,0)),IFERROR(INDEX('TRANS'!$B:$B,MATCH(TRIM(SUBSTITUTE($B4137,CHAR(160)," ")),'TRANS'!$D:$D,0)),IFERROR(INDEX('Catalog'!$A:$A,MATCH($B4137,'Catalog'!$B:$B,0)),IFERROR(INDEX('Catalog'!$A:$A,MATCH(TRIM(SUBSTITUTE($B4137,CHAR(160)," ")),'Catalog'!$C:$C,0)),""))))</f>
        <v>4413326</v>
      </c>
      <c r="H4137" s="8" t="str">
        <f aca="false">IFERROR(INDEX('TRANS'!$C:$C,MATCH($B4137,'TRANS'!$A:$A,0)),IFERROR(INDEX('Catalog'!$B:$B,MATCH($G4137,'Catalog'!$A:$A,0)),$B4137))</f>
        <v>AC37 מגן קרסול נושם</v>
      </c>
      <c r="I4137" s="8" t="str">
        <f aca="false">IF($G4137="","Unmatched","Matched")</f>
        <v>Matched</v>
      </c>
      <c r="J4137" s="8" t="n">
        <f aca="false">IF($G4137&lt;&gt;"",$G4137,$B4137)</f>
        <v>4413326</v>
      </c>
      <c r="K4137" s="8" t="str">
        <f aca="false">IF(COUNTIF($M$1:$M$10,$A4137)&gt;0,"Y","N")</f>
        <v>N</v>
      </c>
    </row>
    <row r="4138" customFormat="false" ht="15" hidden="false" customHeight="true" outlineLevel="0" collapsed="false">
      <c r="A4138" s="8" t="s">
        <v>1116</v>
      </c>
      <c r="B4138" s="8" t="s">
        <v>730</v>
      </c>
      <c r="C4138" s="19" t="n">
        <v>30</v>
      </c>
      <c r="D4138" s="19" t="n">
        <v>964.67</v>
      </c>
      <c r="E4138" s="19" t="n">
        <v>50</v>
      </c>
      <c r="F4138" s="19" t="n">
        <v>1495.58</v>
      </c>
      <c r="G4138" s="8" t="n">
        <f aca="false">IFERROR(INDEX('TRANS'!$B:$B,MATCH($B4138,'TRANS'!$A:$A,0)),IFERROR(INDEX('TRANS'!$B:$B,MATCH(TRIM(SUBSTITUTE($B4138,CHAR(160)," ")),'TRANS'!$D:$D,0)),IFERROR(INDEX('Catalog'!$A:$A,MATCH($B4138,'Catalog'!$B:$B,0)),IFERROR(INDEX('Catalog'!$A:$A,MATCH(TRIM(SUBSTITUTE($B4138,CHAR(160)," ")),'Catalog'!$C:$C,0)),""))))</f>
        <v>4420026</v>
      </c>
      <c r="H4138" s="8" t="str">
        <f aca="false">IFERROR(INDEX('TRANS'!$C:$C,MATCH($B4138,'TRANS'!$A:$A,0)),IFERROR(INDEX('Catalog'!$B:$B,MATCH($G4138,'Catalog'!$A:$A,0)),$B4138))</f>
        <v>AC40 רצועה לפיקת הברך</v>
      </c>
      <c r="I4138" s="8" t="str">
        <f aca="false">IF($G4138="","Unmatched","Matched")</f>
        <v>Matched</v>
      </c>
      <c r="J4138" s="8" t="n">
        <f aca="false">IF($G4138&lt;&gt;"",$G4138,$B4138)</f>
        <v>4420026</v>
      </c>
      <c r="K4138" s="8" t="str">
        <f aca="false">IF(COUNTIF($M$1:$M$10,$A4138)&gt;0,"Y","N")</f>
        <v>N</v>
      </c>
    </row>
    <row r="4139" customFormat="false" ht="15" hidden="false" customHeight="true" outlineLevel="0" collapsed="false">
      <c r="A4139" s="8" t="s">
        <v>1116</v>
      </c>
      <c r="B4139" s="8" t="s">
        <v>560</v>
      </c>
      <c r="C4139" s="19" t="n">
        <v>70</v>
      </c>
      <c r="D4139" s="19" t="n">
        <v>4236.96</v>
      </c>
      <c r="E4139" s="19" t="n">
        <v>60</v>
      </c>
      <c r="F4139" s="19" t="n">
        <v>3378.24</v>
      </c>
      <c r="G4139" s="8" t="n">
        <f aca="false">IFERROR(INDEX('TRANS'!$B:$B,MATCH($B4139,'TRANS'!$A:$A,0)),IFERROR(INDEX('TRANS'!$B:$B,MATCH(TRIM(SUBSTITUTE($B4139,CHAR(160)," ")),'TRANS'!$D:$D,0)),IFERROR(INDEX('Catalog'!$A:$A,MATCH($B4139,'Catalog'!$B:$B,0)),IFERROR(INDEX('Catalog'!$A:$A,MATCH(TRIM(SUBSTITUTE($B4139,CHAR(160)," ")),'Catalog'!$C:$C,0)),""))))</f>
        <v>4413328</v>
      </c>
      <c r="H4139" s="8" t="str">
        <f aca="false">IFERROR(INDEX('TRANS'!$C:$C,MATCH($B4139,'TRANS'!$A:$A,0)),IFERROR(INDEX('Catalog'!$B:$B,MATCH($G4139,'Catalog'!$A:$A,0)),$B4139))</f>
        <v>AC43D מגן ברך + צירים</v>
      </c>
      <c r="I4139" s="8" t="str">
        <f aca="false">IF($G4139="","Unmatched","Matched")</f>
        <v>Matched</v>
      </c>
      <c r="J4139" s="8" t="n">
        <f aca="false">IF($G4139&lt;&gt;"",$G4139,$B4139)</f>
        <v>4413328</v>
      </c>
      <c r="K4139" s="8" t="str">
        <f aca="false">IF(COUNTIF($M$1:$M$10,$A4139)&gt;0,"Y","N")</f>
        <v>N</v>
      </c>
    </row>
    <row r="4140" customFormat="false" ht="15" hidden="false" customHeight="true" outlineLevel="0" collapsed="false">
      <c r="A4140" s="8" t="s">
        <v>1116</v>
      </c>
      <c r="B4140" s="8" t="s">
        <v>731</v>
      </c>
      <c r="C4140" s="19" t="n">
        <v>515</v>
      </c>
      <c r="D4140" s="19" t="n">
        <v>19712.86</v>
      </c>
      <c r="E4140" s="19" t="n">
        <v>22</v>
      </c>
      <c r="F4140" s="19" t="n">
        <v>753.07</v>
      </c>
      <c r="G4140" s="8" t="n">
        <f aca="false">IFERROR(INDEX('TRANS'!$B:$B,MATCH($B4140,'TRANS'!$A:$A,0)),IFERROR(INDEX('TRANS'!$B:$B,MATCH(TRIM(SUBSTITUTE($B4140,CHAR(160)," ")),'TRANS'!$D:$D,0)),IFERROR(INDEX('Catalog'!$A:$A,MATCH($B4140,'Catalog'!$B:$B,0)),IFERROR(INDEX('Catalog'!$A:$A,MATCH(TRIM(SUBSTITUTE($B4140,CHAR(160)," ")),'Catalog'!$C:$C,0)),""))))</f>
        <v>4413329</v>
      </c>
      <c r="H4140" s="8" t="str">
        <f aca="false">IFERROR(INDEX('TRANS'!$C:$C,MATCH($B4140,'TRANS'!$A:$A,0)),IFERROR(INDEX('Catalog'!$B:$B,MATCH($G4140,'Catalog'!$A:$A,0)),$B4140))</f>
        <v>AC45X מגן ברך עם תמיכות</v>
      </c>
      <c r="I4140" s="8" t="str">
        <f aca="false">IF($G4140="","Unmatched","Matched")</f>
        <v>Matched</v>
      </c>
      <c r="J4140" s="8" t="n">
        <f aca="false">IF($G4140&lt;&gt;"",$G4140,$B4140)</f>
        <v>4413329</v>
      </c>
      <c r="K4140" s="8" t="str">
        <f aca="false">IF(COUNTIF($M$1:$M$10,$A4140)&gt;0,"Y","N")</f>
        <v>N</v>
      </c>
    </row>
    <row r="4141" customFormat="false" ht="15" hidden="false" customHeight="true" outlineLevel="0" collapsed="false">
      <c r="A4141" s="8" t="s">
        <v>1116</v>
      </c>
      <c r="B4141" s="8" t="s">
        <v>558</v>
      </c>
      <c r="C4141" s="19" t="n">
        <v>30</v>
      </c>
      <c r="D4141" s="19" t="n">
        <v>1191.65</v>
      </c>
      <c r="E4141" s="19" t="n">
        <v>50</v>
      </c>
      <c r="F4141" s="19" t="n">
        <v>1847.48</v>
      </c>
      <c r="G4141" s="8" t="n">
        <f aca="false">IFERROR(INDEX('TRANS'!$B:$B,MATCH($B4141,'TRANS'!$A:$A,0)),IFERROR(INDEX('TRANS'!$B:$B,MATCH(TRIM(SUBSTITUTE($B4141,CHAR(160)," ")),'TRANS'!$D:$D,0)),IFERROR(INDEX('Catalog'!$A:$A,MATCH($B4141,'Catalog'!$B:$B,0)),IFERROR(INDEX('Catalog'!$A:$A,MATCH(TRIM(SUBSTITUTE($B4141,CHAR(160)," ")),'Catalog'!$C:$C,0)),""))))</f>
        <v>4413453</v>
      </c>
      <c r="H4141" s="8" t="str">
        <f aca="false">IFERROR(INDEX('TRANS'!$C:$C,MATCH($B4141,'TRANS'!$A:$A,0)),IFERROR(INDEX('Catalog'!$B:$B,MATCH($G4141,'Catalog'!$A:$A,0)),$B4141))</f>
        <v>AC75 מישר כתפיים אקטיב</v>
      </c>
      <c r="I4141" s="8" t="str">
        <f aca="false">IF($G4141="","Unmatched","Matched")</f>
        <v>Matched</v>
      </c>
      <c r="J4141" s="8" t="n">
        <f aca="false">IF($G4141&lt;&gt;"",$G4141,$B4141)</f>
        <v>4413453</v>
      </c>
      <c r="K4141" s="8" t="str">
        <f aca="false">IF(COUNTIF($M$1:$M$10,$A4141)&gt;0,"Y","N")</f>
        <v>N</v>
      </c>
    </row>
    <row r="4142" customFormat="false" ht="15" hidden="false" customHeight="true" outlineLevel="0" collapsed="false">
      <c r="A4142" s="8" t="s">
        <v>1116</v>
      </c>
      <c r="B4142" s="8" t="s">
        <v>733</v>
      </c>
      <c r="C4142" s="19" t="n">
        <v>50</v>
      </c>
      <c r="D4142" s="19" t="n">
        <v>945.75</v>
      </c>
      <c r="E4142" s="19" t="n">
        <v>100</v>
      </c>
      <c r="F4142" s="19" t="n">
        <v>1759.5</v>
      </c>
      <c r="G4142" s="8" t="n">
        <f aca="false">IFERROR(INDEX('TRANS'!$B:$B,MATCH($B4142,'TRANS'!$A:$A,0)),IFERROR(INDEX('TRANS'!$B:$B,MATCH(TRIM(SUBSTITUTE($B4142,CHAR(160)," ")),'TRANS'!$D:$D,0)),IFERROR(INDEX('Catalog'!$A:$A,MATCH($B4142,'Catalog'!$B:$B,0)),IFERROR(INDEX('Catalog'!$A:$A,MATCH(TRIM(SUBSTITUTE($B4142,CHAR(160)," ")),'Catalog'!$C:$C,0)),""))))</f>
        <v>4408208</v>
      </c>
      <c r="H4142" s="8" t="str">
        <f aca="false">IFERROR(INDEX('TRANS'!$C:$C,MATCH($B4142,'TRANS'!$A:$A,0)),IFERROR(INDEX('Catalog'!$B:$B,MATCH($G4142,'Catalog'!$A:$A,0)),$B4142))</f>
        <v>AC91 חבק טניס</v>
      </c>
      <c r="I4142" s="8" t="str">
        <f aca="false">IF($G4142="","Unmatched","Matched")</f>
        <v>Matched</v>
      </c>
      <c r="J4142" s="8" t="n">
        <f aca="false">IF($G4142&lt;&gt;"",$G4142,$B4142)</f>
        <v>4408208</v>
      </c>
      <c r="K4142" s="8" t="str">
        <f aca="false">IF(COUNTIF($M$1:$M$10,$A4142)&gt;0,"Y","N")</f>
        <v>N</v>
      </c>
    </row>
    <row r="4143" customFormat="false" ht="15" hidden="false" customHeight="true" outlineLevel="0" collapsed="false">
      <c r="A4143" s="8" t="s">
        <v>1116</v>
      </c>
      <c r="B4143" s="8" t="s">
        <v>734</v>
      </c>
      <c r="C4143" s="19" t="n">
        <v>50</v>
      </c>
      <c r="D4143" s="19" t="n">
        <v>1134.9</v>
      </c>
      <c r="E4143" s="19" t="n">
        <v>70</v>
      </c>
      <c r="F4143" s="19" t="n">
        <v>1477.98</v>
      </c>
      <c r="G4143" s="8" t="n">
        <f aca="false">IFERROR(INDEX('TRANS'!$B:$B,MATCH($B4143,'TRANS'!$A:$A,0)),IFERROR(INDEX('TRANS'!$B:$B,MATCH(TRIM(SUBSTITUTE($B4143,CHAR(160)," ")),'TRANS'!$D:$D,0)),IFERROR(INDEX('Catalog'!$A:$A,MATCH($B4143,'Catalog'!$B:$B,0)),IFERROR(INDEX('Catalog'!$A:$A,MATCH(TRIM(SUBSTITUTE($B4143,CHAR(160)," ")),'Catalog'!$C:$C,0)),""))))</f>
        <v>4413331</v>
      </c>
      <c r="H4143" s="8" t="str">
        <f aca="false">IFERROR(INDEX('TRANS'!$C:$C,MATCH($B4143,'TRANS'!$A:$A,0)),IFERROR(INDEX('Catalog'!$B:$B,MATCH($G4143,'Catalog'!$A:$A,0)),$B4143))</f>
        <v>AC95 מגן מרפק</v>
      </c>
      <c r="I4143" s="8" t="str">
        <f aca="false">IF($G4143="","Unmatched","Matched")</f>
        <v>Matched</v>
      </c>
      <c r="J4143" s="8" t="n">
        <f aca="false">IF($G4143&lt;&gt;"",$G4143,$B4143)</f>
        <v>4413331</v>
      </c>
      <c r="K4143" s="8" t="str">
        <f aca="false">IF(COUNTIF($M$1:$M$10,$A4143)&gt;0,"Y","N")</f>
        <v>N</v>
      </c>
    </row>
    <row r="4144" customFormat="false" ht="15" hidden="false" customHeight="true" outlineLevel="0" collapsed="false">
      <c r="A4144" s="8" t="s">
        <v>1117</v>
      </c>
      <c r="B4144" s="8" t="s">
        <v>852</v>
      </c>
      <c r="C4144" s="19" t="n">
        <v>12</v>
      </c>
      <c r="D4144" s="19" t="n">
        <v>549.38</v>
      </c>
      <c r="E4144" s="19" t="n">
        <v>0</v>
      </c>
      <c r="F4144" s="19" t="n">
        <v>0</v>
      </c>
      <c r="G4144" s="8" t="n">
        <f aca="false">IFERROR(INDEX('TRANS'!$B:$B,MATCH($B4144,'TRANS'!$A:$A,0)),IFERROR(INDEX('TRANS'!$B:$B,MATCH(TRIM(SUBSTITUTE($B4144,CHAR(160)," ")),'TRANS'!$D:$D,0)),IFERROR(INDEX('Catalog'!$A:$A,MATCH($B4144,'Catalog'!$B:$B,0)),IFERROR(INDEX('Catalog'!$A:$A,MATCH(TRIM(SUBSTITUTE($B4144,CHAR(160)," ")),'Catalog'!$C:$C,0)),""))))</f>
        <v>4408190</v>
      </c>
      <c r="H4144" s="8" t="str">
        <f aca="false">IFERROR(INDEX('TRANS'!$C:$C,MATCH($B4144,'TRANS'!$A:$A,0)),IFERROR(INDEX('Catalog'!$B:$B,MATCH($G4144,'Catalog'!$A:$A,0)),$B4144))</f>
        <v>M078 חגורת גב +סגירה כפולה</v>
      </c>
      <c r="I4144" s="8" t="str">
        <f aca="false">IF($G4144="","Unmatched","Matched")</f>
        <v>Matched</v>
      </c>
      <c r="J4144" s="8" t="n">
        <f aca="false">IF($G4144&lt;&gt;"",$G4144,$B4144)</f>
        <v>4408190</v>
      </c>
      <c r="K4144" s="8" t="str">
        <f aca="false">IF(COUNTIF($M$1:$M$10,$A4144)&gt;0,"Y","N")</f>
        <v>N</v>
      </c>
    </row>
    <row r="4145" customFormat="false" ht="15" hidden="false" customHeight="true" outlineLevel="0" collapsed="false">
      <c r="A4145" s="8" t="s">
        <v>1117</v>
      </c>
      <c r="B4145" s="8" t="s">
        <v>853</v>
      </c>
      <c r="C4145" s="19" t="n">
        <v>6</v>
      </c>
      <c r="D4145" s="19" t="n">
        <v>274.69</v>
      </c>
      <c r="E4145" s="19" t="n">
        <v>0</v>
      </c>
      <c r="F4145" s="19" t="n">
        <v>0</v>
      </c>
      <c r="G4145" s="8" t="n">
        <f aca="false">IFERROR(INDEX('TRANS'!$B:$B,MATCH($B4145,'TRANS'!$A:$A,0)),IFERROR(INDEX('TRANS'!$B:$B,MATCH(TRIM(SUBSTITUTE($B4145,CHAR(160)," ")),'TRANS'!$D:$D,0)),IFERROR(INDEX('Catalog'!$A:$A,MATCH($B4145,'Catalog'!$B:$B,0)),IFERROR(INDEX('Catalog'!$A:$A,MATCH(TRIM(SUBSTITUTE($B4145,CHAR(160)," ")),'Catalog'!$C:$C,0)),""))))</f>
        <v>4408217</v>
      </c>
      <c r="H4145" s="8" t="str">
        <f aca="false">IFERROR(INDEX('TRANS'!$C:$C,MATCH($B4145,'TRANS'!$A:$A,0)),IFERROR(INDEX('Catalog'!$B:$B,MATCH($G4145,'Catalog'!$A:$A,0)),$B4145))</f>
        <v>S078 חגורת גב +סגירה כפולה</v>
      </c>
      <c r="I4145" s="8" t="str">
        <f aca="false">IF($G4145="","Unmatched","Matched")</f>
        <v>Matched</v>
      </c>
      <c r="J4145" s="8" t="n">
        <f aca="false">IF($G4145&lt;&gt;"",$G4145,$B4145)</f>
        <v>4408217</v>
      </c>
      <c r="K4145" s="8" t="str">
        <f aca="false">IF(COUNTIF($M$1:$M$10,$A4145)&gt;0,"Y","N")</f>
        <v>N</v>
      </c>
    </row>
    <row r="4146" customFormat="false" ht="15" hidden="false" customHeight="true" outlineLevel="0" collapsed="false">
      <c r="A4146" s="8" t="s">
        <v>1117</v>
      </c>
      <c r="B4146" s="8" t="s">
        <v>562</v>
      </c>
      <c r="C4146" s="19" t="n">
        <v>10</v>
      </c>
      <c r="D4146" s="19" t="n">
        <v>463.53</v>
      </c>
      <c r="E4146" s="19" t="n">
        <v>0</v>
      </c>
      <c r="F4146" s="19" t="n">
        <v>0</v>
      </c>
      <c r="G4146" s="8" t="n">
        <f aca="false">IFERROR(INDEX('TRANS'!$B:$B,MATCH($B4146,'TRANS'!$A:$A,0)),IFERROR(INDEX('TRANS'!$B:$B,MATCH(TRIM(SUBSTITUTE($B4146,CHAR(160)," ")),'TRANS'!$D:$D,0)),IFERROR(INDEX('Catalog'!$A:$A,MATCH($B4146,'Catalog'!$B:$B,0)),IFERROR(INDEX('Catalog'!$A:$A,MATCH(TRIM(SUBSTITUTE($B4146,CHAR(160)," ")),'Catalog'!$C:$C,0)),""))))</f>
        <v>4408218</v>
      </c>
      <c r="H4146" s="8" t="str">
        <f aca="false">IFERROR(INDEX('TRANS'!$C:$C,MATCH($B4146,'TRANS'!$A:$A,0)),IFERROR(INDEX('Catalog'!$B:$B,MATCH($G4146,'Catalog'!$A:$A,0)),$B4146))</f>
        <v>078XL חגורת גב +סגירה כפולה</v>
      </c>
      <c r="I4146" s="8" t="str">
        <f aca="false">IF($G4146="","Unmatched","Matched")</f>
        <v>Matched</v>
      </c>
      <c r="J4146" s="8" t="n">
        <f aca="false">IF($G4146&lt;&gt;"",$G4146,$B4146)</f>
        <v>4408218</v>
      </c>
      <c r="K4146" s="8" t="str">
        <f aca="false">IF(COUNTIF($M$1:$M$10,$A4146)&gt;0,"Y","N")</f>
        <v>N</v>
      </c>
    </row>
    <row r="4147" customFormat="false" ht="15" hidden="false" customHeight="true" outlineLevel="0" collapsed="false">
      <c r="A4147" s="8" t="s">
        <v>1117</v>
      </c>
      <c r="B4147" s="8" t="s">
        <v>854</v>
      </c>
      <c r="C4147" s="19" t="n">
        <v>6</v>
      </c>
      <c r="D4147" s="19" t="n">
        <v>278.12</v>
      </c>
      <c r="E4147" s="19" t="n">
        <v>0</v>
      </c>
      <c r="F4147" s="19" t="n">
        <v>0</v>
      </c>
      <c r="G4147" s="8" t="n">
        <f aca="false">IFERROR(INDEX('TRANS'!$B:$B,MATCH($B4147,'TRANS'!$A:$A,0)),IFERROR(INDEX('TRANS'!$B:$B,MATCH(TRIM(SUBSTITUTE($B4147,CHAR(160)," ")),'TRANS'!$D:$D,0)),IFERROR(INDEX('Catalog'!$A:$A,MATCH($B4147,'Catalog'!$B:$B,0)),IFERROR(INDEX('Catalog'!$A:$A,MATCH(TRIM(SUBSTITUTE($B4147,CHAR(160)," ")),'Catalog'!$C:$C,0)),""))))</f>
        <v>4408265</v>
      </c>
      <c r="H4147" s="8" t="str">
        <f aca="false">IFERROR(INDEX('TRANS'!$C:$C,MATCH($B4147,'TRANS'!$A:$A,0)),IFERROR(INDEX('Catalog'!$B:$B,MATCH($G4147,'Catalog'!$A:$A,0)),$B4147))</f>
        <v>078XXL חגורת גב +סגירה כפולה</v>
      </c>
      <c r="I4147" s="8" t="str">
        <f aca="false">IF($G4147="","Unmatched","Matched")</f>
        <v>Matched</v>
      </c>
      <c r="J4147" s="8" t="n">
        <f aca="false">IF($G4147&lt;&gt;"",$G4147,$B4147)</f>
        <v>4408265</v>
      </c>
      <c r="K4147" s="8" t="str">
        <f aca="false">IF(COUNTIF($M$1:$M$10,$A4147)&gt;0,"Y","N")</f>
        <v>N</v>
      </c>
    </row>
    <row r="4148" customFormat="false" ht="15" hidden="false" customHeight="true" outlineLevel="0" collapsed="false">
      <c r="A4148" s="8" t="s">
        <v>1117</v>
      </c>
      <c r="B4148" s="8" t="s">
        <v>775</v>
      </c>
      <c r="C4148" s="19" t="n">
        <v>0</v>
      </c>
      <c r="D4148" s="19" t="n">
        <v>0</v>
      </c>
      <c r="E4148" s="19" t="n">
        <v>3</v>
      </c>
      <c r="F4148" s="19" t="n">
        <v>155.04</v>
      </c>
      <c r="G4148" s="8" t="n">
        <f aca="false">IFERROR(INDEX('TRANS'!$B:$B,MATCH($B4148,'TRANS'!$A:$A,0)),IFERROR(INDEX('TRANS'!$B:$B,MATCH(TRIM(SUBSTITUTE($B4148,CHAR(160)," ")),'TRANS'!$D:$D,0)),IFERROR(INDEX('Catalog'!$A:$A,MATCH($B4148,'Catalog'!$B:$B,0)),IFERROR(INDEX('Catalog'!$A:$A,MATCH(TRIM(SUBSTITUTE($B4148,CHAR(160)," ")),'Catalog'!$C:$C,0)),""))))</f>
        <v>4408221</v>
      </c>
      <c r="H4148" s="8" t="str">
        <f aca="false">IFERROR(INDEX('TRANS'!$C:$C,MATCH($B4148,'TRANS'!$A:$A,0)),IFERROR(INDEX('Catalog'!$B:$B,MATCH($G4148,'Catalog'!$A:$A,0)),$B4148))</f>
        <v>078G-L חגורת גב אפורה</v>
      </c>
      <c r="I4148" s="8" t="str">
        <f aca="false">IF($G4148="","Unmatched","Matched")</f>
        <v>Matched</v>
      </c>
      <c r="J4148" s="8" t="n">
        <f aca="false">IF($G4148&lt;&gt;"",$G4148,$B4148)</f>
        <v>4408221</v>
      </c>
      <c r="K4148" s="8" t="str">
        <f aca="false">IF(COUNTIF($M$1:$M$10,$A4148)&gt;0,"Y","N")</f>
        <v>N</v>
      </c>
    </row>
    <row r="4149" customFormat="false" ht="15" hidden="false" customHeight="true" outlineLevel="0" collapsed="false">
      <c r="A4149" s="8" t="s">
        <v>1117</v>
      </c>
      <c r="B4149" s="8" t="s">
        <v>563</v>
      </c>
      <c r="C4149" s="19" t="n">
        <v>6</v>
      </c>
      <c r="D4149" s="19" t="n">
        <v>352.91</v>
      </c>
      <c r="E4149" s="19" t="n">
        <v>0</v>
      </c>
      <c r="F4149" s="19" t="n">
        <v>0</v>
      </c>
      <c r="G4149" s="8" t="n">
        <f aca="false">IFERROR(INDEX('TRANS'!$B:$B,MATCH($B4149,'TRANS'!$A:$A,0)),IFERROR(INDEX('TRANS'!$B:$B,MATCH(TRIM(SUBSTITUTE($B4149,CHAR(160)," ")),'TRANS'!$D:$D,0)),IFERROR(INDEX('Catalog'!$A:$A,MATCH($B4149,'Catalog'!$B:$B,0)),IFERROR(INDEX('Catalog'!$A:$A,MATCH(TRIM(SUBSTITUTE($B4149,CHAR(160)," ")),'Catalog'!$C:$C,0)),""))))</f>
        <v>4408220</v>
      </c>
      <c r="H4149" s="8" t="str">
        <f aca="false">IFERROR(INDEX('TRANS'!$C:$C,MATCH($B4149,'TRANS'!$A:$A,0)),IFERROR(INDEX('Catalog'!$B:$B,MATCH($G4149,'Catalog'!$A:$A,0)),$B4149))</f>
        <v>078G-M חגורת גב אפורה</v>
      </c>
      <c r="I4149" s="8" t="str">
        <f aca="false">IF($G4149="","Unmatched","Matched")</f>
        <v>Matched</v>
      </c>
      <c r="J4149" s="8" t="n">
        <f aca="false">IF($G4149&lt;&gt;"",$G4149,$B4149)</f>
        <v>4408220</v>
      </c>
      <c r="K4149" s="8" t="str">
        <f aca="false">IF(COUNTIF($M$1:$M$10,$A4149)&gt;0,"Y","N")</f>
        <v>N</v>
      </c>
    </row>
    <row r="4150" customFormat="false" ht="15" hidden="false" customHeight="true" outlineLevel="0" collapsed="false">
      <c r="A4150" s="8" t="s">
        <v>1117</v>
      </c>
      <c r="B4150" s="8" t="s">
        <v>777</v>
      </c>
      <c r="C4150" s="19" t="n">
        <v>3</v>
      </c>
      <c r="D4150" s="19" t="n">
        <v>172.1</v>
      </c>
      <c r="E4150" s="19" t="n">
        <v>0</v>
      </c>
      <c r="F4150" s="19" t="n">
        <v>0</v>
      </c>
      <c r="G4150" s="8" t="n">
        <f aca="false">IFERROR(INDEX('TRANS'!$B:$B,MATCH($B4150,'TRANS'!$A:$A,0)),IFERROR(INDEX('TRANS'!$B:$B,MATCH(TRIM(SUBSTITUTE($B4150,CHAR(160)," ")),'TRANS'!$D:$D,0)),IFERROR(INDEX('Catalog'!$A:$A,MATCH($B4150,'Catalog'!$B:$B,0)),IFERROR(INDEX('Catalog'!$A:$A,MATCH(TRIM(SUBSTITUTE($B4150,CHAR(160)," ")),'Catalog'!$C:$C,0)),""))))</f>
        <v>4408223</v>
      </c>
      <c r="H4150" s="8" t="str">
        <f aca="false">IFERROR(INDEX('TRANS'!$C:$C,MATCH($B4150,'TRANS'!$A:$A,0)),IFERROR(INDEX('Catalog'!$B:$B,MATCH($G4150,'Catalog'!$A:$A,0)),$B4150))</f>
        <v>078G-XXLחגורת גב אפורה</v>
      </c>
      <c r="I4150" s="8" t="str">
        <f aca="false">IF($G4150="","Unmatched","Matched")</f>
        <v>Matched</v>
      </c>
      <c r="J4150" s="8" t="n">
        <f aca="false">IF($G4150&lt;&gt;"",$G4150,$B4150)</f>
        <v>4408223</v>
      </c>
      <c r="K4150" s="8" t="str">
        <f aca="false">IF(COUNTIF($M$1:$M$10,$A4150)&gt;0,"Y","N")</f>
        <v>N</v>
      </c>
    </row>
    <row r="4151" customFormat="false" ht="15" hidden="false" customHeight="true" outlineLevel="0" collapsed="false">
      <c r="A4151" s="8" t="s">
        <v>1117</v>
      </c>
      <c r="B4151" s="8" t="s">
        <v>951</v>
      </c>
      <c r="C4151" s="19" t="n">
        <v>10</v>
      </c>
      <c r="D4151" s="19" t="n">
        <v>1293.21</v>
      </c>
      <c r="E4151" s="19" t="n">
        <v>6</v>
      </c>
      <c r="F4151" s="19" t="n">
        <v>731.9</v>
      </c>
      <c r="G4151" s="8" t="n">
        <f aca="false">IFERROR(INDEX('TRANS'!$B:$B,MATCH($B4151,'TRANS'!$A:$A,0)),IFERROR(INDEX('TRANS'!$B:$B,MATCH(TRIM(SUBSTITUTE($B4151,CHAR(160)," ")),'TRANS'!$D:$D,0)),IFERROR(INDEX('Catalog'!$A:$A,MATCH($B4151,'Catalog'!$B:$B,0)),IFERROR(INDEX('Catalog'!$A:$A,MATCH(TRIM(SUBSTITUTE($B4151,CHAR(160)," ")),'Catalog'!$C:$C,0)),""))))</f>
        <v>4408015</v>
      </c>
      <c r="H4151" s="8" t="str">
        <f aca="false">IFERROR(INDEX('TRANS'!$C:$C,MATCH($B4151,'TRANS'!$A:$A,0)),IFERROR(INDEX('Catalog'!$B:$B,MATCH($G4151,'Catalog'!$A:$A,0)),$B4151))</f>
        <v>07AU L ח.גב """"איטלקית"""" אורירית</v>
      </c>
      <c r="I4151" s="8" t="str">
        <f aca="false">IF($G4151="","Unmatched","Matched")</f>
        <v>Matched</v>
      </c>
      <c r="J4151" s="8" t="n">
        <f aca="false">IF($G4151&lt;&gt;"",$G4151,$B4151)</f>
        <v>4408015</v>
      </c>
      <c r="K4151" s="8" t="str">
        <f aca="false">IF(COUNTIF($M$1:$M$10,$A4151)&gt;0,"Y","N")</f>
        <v>N</v>
      </c>
    </row>
    <row r="4152" customFormat="false" ht="15" hidden="false" customHeight="true" outlineLevel="0" collapsed="false">
      <c r="A4152" s="8" t="s">
        <v>1117</v>
      </c>
      <c r="B4152" s="8" t="s">
        <v>952</v>
      </c>
      <c r="C4152" s="19" t="n">
        <v>3</v>
      </c>
      <c r="D4152" s="19" t="n">
        <v>387.96</v>
      </c>
      <c r="E4152" s="19" t="n">
        <v>3</v>
      </c>
      <c r="F4152" s="19" t="n">
        <v>365.95</v>
      </c>
      <c r="G4152" s="8" t="n">
        <f aca="false">IFERROR(INDEX('TRANS'!$B:$B,MATCH($B4152,'TRANS'!$A:$A,0)),IFERROR(INDEX('TRANS'!$B:$B,MATCH(TRIM(SUBSTITUTE($B4152,CHAR(160)," ")),'TRANS'!$D:$D,0)),IFERROR(INDEX('Catalog'!$A:$A,MATCH($B4152,'Catalog'!$B:$B,0)),IFERROR(INDEX('Catalog'!$A:$A,MATCH(TRIM(SUBSTITUTE($B4152,CHAR(160)," ")),'Catalog'!$C:$C,0)),""))))</f>
        <v>4408016</v>
      </c>
      <c r="H4152" s="8" t="str">
        <f aca="false">IFERROR(INDEX('TRANS'!$C:$C,MATCH($B4152,'TRANS'!$A:$A,0)),IFERROR(INDEX('Catalog'!$B:$B,MATCH($G4152,'Catalog'!$A:$A,0)),$B4152))</f>
        <v>07AU M ח.גב """"איטלקית"""" אורירית</v>
      </c>
      <c r="I4152" s="8" t="str">
        <f aca="false">IF($G4152="","Unmatched","Matched")</f>
        <v>Matched</v>
      </c>
      <c r="J4152" s="8" t="n">
        <f aca="false">IF($G4152&lt;&gt;"",$G4152,$B4152)</f>
        <v>4408016</v>
      </c>
      <c r="K4152" s="8" t="str">
        <f aca="false">IF(COUNTIF($M$1:$M$10,$A4152)&gt;0,"Y","N")</f>
        <v>N</v>
      </c>
    </row>
    <row r="4153" customFormat="false" ht="15" hidden="false" customHeight="true" outlineLevel="0" collapsed="false">
      <c r="A4153" s="8" t="s">
        <v>1117</v>
      </c>
      <c r="B4153" s="8" t="s">
        <v>972</v>
      </c>
      <c r="C4153" s="19" t="n">
        <v>2</v>
      </c>
      <c r="D4153" s="19" t="n">
        <v>258.64</v>
      </c>
      <c r="E4153" s="19" t="n">
        <v>3</v>
      </c>
      <c r="F4153" s="19" t="n">
        <v>365.95</v>
      </c>
      <c r="G4153" s="8" t="n">
        <f aca="false">IFERROR(INDEX('TRANS'!$B:$B,MATCH($B4153,'TRANS'!$A:$A,0)),IFERROR(INDEX('TRANS'!$B:$B,MATCH(TRIM(SUBSTITUTE($B4153,CHAR(160)," ")),'TRANS'!$D:$D,0)),IFERROR(INDEX('Catalog'!$A:$A,MATCH($B4153,'Catalog'!$B:$B,0)),IFERROR(INDEX('Catalog'!$A:$A,MATCH(TRIM(SUBSTITUTE($B4153,CHAR(160)," ")),'Catalog'!$C:$C,0)),""))))</f>
        <v>4408014</v>
      </c>
      <c r="H4153" s="8" t="str">
        <f aca="false">IFERROR(INDEX('TRANS'!$C:$C,MATCH($B4153,'TRANS'!$A:$A,0)),IFERROR(INDEX('Catalog'!$B:$B,MATCH($G4153,'Catalog'!$A:$A,0)),$B4153))</f>
        <v>07AU S ח.גב """"איטלקית"""" אורירית</v>
      </c>
      <c r="I4153" s="8" t="str">
        <f aca="false">IF($G4153="","Unmatched","Matched")</f>
        <v>Matched</v>
      </c>
      <c r="J4153" s="8" t="n">
        <f aca="false">IF($G4153&lt;&gt;"",$G4153,$B4153)</f>
        <v>4408014</v>
      </c>
      <c r="K4153" s="8" t="str">
        <f aca="false">IF(COUNTIF($M$1:$M$10,$A4153)&gt;0,"Y","N")</f>
        <v>N</v>
      </c>
    </row>
    <row r="4154" customFormat="false" ht="15" hidden="false" customHeight="true" outlineLevel="0" collapsed="false">
      <c r="A4154" s="8" t="s">
        <v>1117</v>
      </c>
      <c r="B4154" s="8" t="s">
        <v>953</v>
      </c>
      <c r="C4154" s="19" t="n">
        <v>12</v>
      </c>
      <c r="D4154" s="19" t="n">
        <v>1570.91</v>
      </c>
      <c r="E4154" s="19" t="n">
        <v>6</v>
      </c>
      <c r="F4154" s="19" t="n">
        <v>731.9</v>
      </c>
      <c r="G4154" s="8" t="n">
        <f aca="false">IFERROR(INDEX('TRANS'!$B:$B,MATCH($B4154,'TRANS'!$A:$A,0)),IFERROR(INDEX('TRANS'!$B:$B,MATCH(TRIM(SUBSTITUTE($B4154,CHAR(160)," ")),'TRANS'!$D:$D,0)),IFERROR(INDEX('Catalog'!$A:$A,MATCH($B4154,'Catalog'!$B:$B,0)),IFERROR(INDEX('Catalog'!$A:$A,MATCH(TRIM(SUBSTITUTE($B4154,CHAR(160)," ")),'Catalog'!$C:$C,0)),""))))</f>
        <v>4408017</v>
      </c>
      <c r="H4154" s="8" t="str">
        <f aca="false">IFERROR(INDEX('TRANS'!$C:$C,MATCH($B4154,'TRANS'!$A:$A,0)),IFERROR(INDEX('Catalog'!$B:$B,MATCH($G4154,'Catalog'!$A:$A,0)),$B4154))</f>
        <v>07AU XL ח.גב """"איטלקית"""" אורירית</v>
      </c>
      <c r="I4154" s="8" t="str">
        <f aca="false">IF($G4154="","Unmatched","Matched")</f>
        <v>Matched</v>
      </c>
      <c r="J4154" s="8" t="n">
        <f aca="false">IF($G4154&lt;&gt;"",$G4154,$B4154)</f>
        <v>4408017</v>
      </c>
      <c r="K4154" s="8" t="str">
        <f aca="false">IF(COUNTIF($M$1:$M$10,$A4154)&gt;0,"Y","N")</f>
        <v>N</v>
      </c>
    </row>
    <row r="4155" customFormat="false" ht="15" hidden="false" customHeight="true" outlineLevel="0" collapsed="false">
      <c r="A4155" s="8" t="s">
        <v>1117</v>
      </c>
      <c r="B4155" s="8" t="s">
        <v>954</v>
      </c>
      <c r="C4155" s="19" t="n">
        <v>3</v>
      </c>
      <c r="D4155" s="19" t="n">
        <v>387.96</v>
      </c>
      <c r="E4155" s="19" t="n">
        <v>0</v>
      </c>
      <c r="F4155" s="19" t="n">
        <v>0</v>
      </c>
      <c r="G4155" s="8" t="n">
        <f aca="false">IFERROR(INDEX('TRANS'!$B:$B,MATCH($B4155,'TRANS'!$A:$A,0)),IFERROR(INDEX('TRANS'!$B:$B,MATCH(TRIM(SUBSTITUTE($B4155,CHAR(160)," ")),'TRANS'!$D:$D,0)),IFERROR(INDEX('Catalog'!$A:$A,MATCH($B4155,'Catalog'!$B:$B,0)),IFERROR(INDEX('Catalog'!$A:$A,MATCH(TRIM(SUBSTITUTE($B4155,CHAR(160)," ")),'Catalog'!$C:$C,0)),""))))</f>
        <v>4408018</v>
      </c>
      <c r="H4155" s="8" t="str">
        <f aca="false">IFERROR(INDEX('TRANS'!$C:$C,MATCH($B4155,'TRANS'!$A:$A,0)),IFERROR(INDEX('Catalog'!$B:$B,MATCH($G4155,'Catalog'!$A:$A,0)),$B4155))</f>
        <v>07AU XXL.ח.גב """"איטלקית"""" אוריר</v>
      </c>
      <c r="I4155" s="8" t="str">
        <f aca="false">IF($G4155="","Unmatched","Matched")</f>
        <v>Matched</v>
      </c>
      <c r="J4155" s="8" t="n">
        <f aca="false">IF($G4155&lt;&gt;"",$G4155,$B4155)</f>
        <v>4408018</v>
      </c>
      <c r="K4155" s="8" t="str">
        <f aca="false">IF(COUNTIF($M$1:$M$10,$A4155)&gt;0,"Y","N")</f>
        <v>N</v>
      </c>
    </row>
    <row r="4156" customFormat="false" ht="15" hidden="false" customHeight="true" outlineLevel="0" collapsed="false">
      <c r="A4156" s="8" t="s">
        <v>1117</v>
      </c>
      <c r="B4156" s="8" t="s">
        <v>565</v>
      </c>
      <c r="C4156" s="19" t="n">
        <v>12</v>
      </c>
      <c r="D4156" s="19" t="n">
        <v>949.91</v>
      </c>
      <c r="E4156" s="19" t="n">
        <v>0</v>
      </c>
      <c r="F4156" s="19" t="n">
        <v>0</v>
      </c>
      <c r="G4156" s="8" t="n">
        <f aca="false">IFERROR(INDEX('TRANS'!$B:$B,MATCH($B4156,'TRANS'!$A:$A,0)),IFERROR(INDEX('TRANS'!$B:$B,MATCH(TRIM(SUBSTITUTE($B4156,CHAR(160)," ")),'TRANS'!$D:$D,0)),IFERROR(INDEX('Catalog'!$A:$A,MATCH($B4156,'Catalog'!$B:$B,0)),IFERROR(INDEX('Catalog'!$A:$A,MATCH(TRIM(SUBSTITUTE($B4156,CHAR(160)," ")),'Catalog'!$C:$C,0)),""))))</f>
        <v>4408028</v>
      </c>
      <c r="H4156" s="8" t="str">
        <f aca="false">IFERROR(INDEX('TRANS'!$C:$C,MATCH($B4156,'TRANS'!$A:$A,0)),IFERROR(INDEX('Catalog'!$B:$B,MATCH($G4156,'Catalog'!$A:$A,0)),$B4156))</f>
        <v>10 M """"חגורת גב """"לומבו</v>
      </c>
      <c r="I4156" s="8" t="str">
        <f aca="false">IF($G4156="","Unmatched","Matched")</f>
        <v>Matched</v>
      </c>
      <c r="J4156" s="8" t="n">
        <f aca="false">IF($G4156&lt;&gt;"",$G4156,$B4156)</f>
        <v>4408028</v>
      </c>
      <c r="K4156" s="8" t="str">
        <f aca="false">IF(COUNTIF($M$1:$M$10,$A4156)&gt;0,"Y","N")</f>
        <v>N</v>
      </c>
    </row>
    <row r="4157" customFormat="false" ht="15" hidden="false" customHeight="true" outlineLevel="0" collapsed="false">
      <c r="A4157" s="8" t="s">
        <v>1117</v>
      </c>
      <c r="B4157" s="8" t="s">
        <v>855</v>
      </c>
      <c r="C4157" s="19" t="n">
        <v>6</v>
      </c>
      <c r="D4157" s="19" t="n">
        <v>299.15</v>
      </c>
      <c r="E4157" s="19" t="n">
        <v>12</v>
      </c>
      <c r="F4157" s="19" t="n">
        <v>545.03</v>
      </c>
      <c r="G4157" s="8" t="n">
        <f aca="false">IFERROR(INDEX('TRANS'!$B:$B,MATCH($B4157,'TRANS'!$A:$A,0)),IFERROR(INDEX('TRANS'!$B:$B,MATCH(TRIM(SUBSTITUTE($B4157,CHAR(160)," ")),'TRANS'!$D:$D,0)),IFERROR(INDEX('Catalog'!$A:$A,MATCH($B4157,'Catalog'!$B:$B,0)),IFERROR(INDEX('Catalog'!$A:$A,MATCH(TRIM(SUBSTITUTE($B4157,CHAR(160)," ")),'Catalog'!$C:$C,0)),""))))</f>
        <v>4408032</v>
      </c>
      <c r="H4157" s="8" t="str">
        <f aca="false">IFERROR(INDEX('TRANS'!$C:$C,MATCH($B4157,'TRANS'!$A:$A,0)),IFERROR(INDEX('Catalog'!$B:$B,MATCH($G4157,'Catalog'!$A:$A,0)),$B4157))</f>
        <v>11 L""""חגורת בטן""""אורירית</v>
      </c>
      <c r="I4157" s="8" t="str">
        <f aca="false">IF($G4157="","Unmatched","Matched")</f>
        <v>Matched</v>
      </c>
      <c r="J4157" s="8" t="n">
        <f aca="false">IF($G4157&lt;&gt;"",$G4157,$B4157)</f>
        <v>4408032</v>
      </c>
      <c r="K4157" s="8" t="str">
        <f aca="false">IF(COUNTIF($M$1:$M$10,$A4157)&gt;0,"Y","N")</f>
        <v>N</v>
      </c>
    </row>
    <row r="4158" customFormat="false" ht="15" hidden="false" customHeight="true" outlineLevel="0" collapsed="false">
      <c r="A4158" s="8" t="s">
        <v>1117</v>
      </c>
      <c r="B4158" s="8" t="s">
        <v>567</v>
      </c>
      <c r="C4158" s="19" t="n">
        <v>0</v>
      </c>
      <c r="D4158" s="19" t="n">
        <v>0</v>
      </c>
      <c r="E4158" s="19" t="n">
        <v>6</v>
      </c>
      <c r="F4158" s="19" t="n">
        <v>282.18</v>
      </c>
      <c r="G4158" s="8" t="n">
        <f aca="false">IFERROR(INDEX('TRANS'!$B:$B,MATCH($B4158,'TRANS'!$A:$A,0)),IFERROR(INDEX('TRANS'!$B:$B,MATCH(TRIM(SUBSTITUTE($B4158,CHAR(160)," ")),'TRANS'!$D:$D,0)),IFERROR(INDEX('Catalog'!$A:$A,MATCH($B4158,'Catalog'!$B:$B,0)),IFERROR(INDEX('Catalog'!$A:$A,MATCH(TRIM(SUBSTITUTE($B4158,CHAR(160)," ")),'Catalog'!$C:$C,0)),""))))</f>
        <v>4408033</v>
      </c>
      <c r="H4158" s="8" t="str">
        <f aca="false">IFERROR(INDEX('TRANS'!$C:$C,MATCH($B4158,'TRANS'!$A:$A,0)),IFERROR(INDEX('Catalog'!$B:$B,MATCH($G4158,'Catalog'!$A:$A,0)),$B4158))</f>
        <v>11 M""""חגורת בטן""""אורירית</v>
      </c>
      <c r="I4158" s="8" t="str">
        <f aca="false">IF($G4158="","Unmatched","Matched")</f>
        <v>Matched</v>
      </c>
      <c r="J4158" s="8" t="n">
        <f aca="false">IF($G4158&lt;&gt;"",$G4158,$B4158)</f>
        <v>4408033</v>
      </c>
      <c r="K4158" s="8" t="str">
        <f aca="false">IF(COUNTIF($M$1:$M$10,$A4158)&gt;0,"Y","N")</f>
        <v>N</v>
      </c>
    </row>
    <row r="4159" customFormat="false" ht="15" hidden="false" customHeight="true" outlineLevel="0" collapsed="false">
      <c r="A4159" s="8" t="s">
        <v>1117</v>
      </c>
      <c r="B4159" s="8" t="s">
        <v>973</v>
      </c>
      <c r="C4159" s="19" t="n">
        <v>0</v>
      </c>
      <c r="D4159" s="19" t="n">
        <v>0</v>
      </c>
      <c r="E4159" s="19" t="n">
        <v>6</v>
      </c>
      <c r="F4159" s="19" t="n">
        <v>282.18</v>
      </c>
      <c r="G4159" s="8" t="n">
        <f aca="false">IFERROR(INDEX('TRANS'!$B:$B,MATCH($B4159,'TRANS'!$A:$A,0)),IFERROR(INDEX('TRANS'!$B:$B,MATCH(TRIM(SUBSTITUTE($B4159,CHAR(160)," ")),'TRANS'!$D:$D,0)),IFERROR(INDEX('Catalog'!$A:$A,MATCH($B4159,'Catalog'!$B:$B,0)),IFERROR(INDEX('Catalog'!$A:$A,MATCH(TRIM(SUBSTITUTE($B4159,CHAR(160)," ")),'Catalog'!$C:$C,0)),""))))</f>
        <v>4408031</v>
      </c>
      <c r="H4159" s="8" t="str">
        <f aca="false">IFERROR(INDEX('TRANS'!$C:$C,MATCH($B4159,'TRANS'!$A:$A,0)),IFERROR(INDEX('Catalog'!$B:$B,MATCH($G4159,'Catalog'!$A:$A,0)),$B4159))</f>
        <v>11 S""""חגורת בטן""""אורירית</v>
      </c>
      <c r="I4159" s="8" t="str">
        <f aca="false">IF($G4159="","Unmatched","Matched")</f>
        <v>Matched</v>
      </c>
      <c r="J4159" s="8" t="n">
        <f aca="false">IF($G4159&lt;&gt;"",$G4159,$B4159)</f>
        <v>4408031</v>
      </c>
      <c r="K4159" s="8" t="str">
        <f aca="false">IF(COUNTIF($M$1:$M$10,$A4159)&gt;0,"Y","N")</f>
        <v>N</v>
      </c>
    </row>
    <row r="4160" customFormat="false" ht="15" hidden="false" customHeight="true" outlineLevel="0" collapsed="false">
      <c r="A4160" s="8" t="s">
        <v>1117</v>
      </c>
      <c r="B4160" s="8" t="s">
        <v>936</v>
      </c>
      <c r="C4160" s="19" t="n">
        <v>0</v>
      </c>
      <c r="D4160" s="19" t="n">
        <v>0</v>
      </c>
      <c r="E4160" s="19" t="n">
        <v>6</v>
      </c>
      <c r="F4160" s="19" t="n">
        <v>282.18</v>
      </c>
      <c r="G4160" s="8" t="n">
        <f aca="false">IFERROR(INDEX('TRANS'!$B:$B,MATCH($B4160,'TRANS'!$A:$A,0)),IFERROR(INDEX('TRANS'!$B:$B,MATCH(TRIM(SUBSTITUTE($B4160,CHAR(160)," ")),'TRANS'!$D:$D,0)),IFERROR(INDEX('Catalog'!$A:$A,MATCH($B4160,'Catalog'!$B:$B,0)),IFERROR(INDEX('Catalog'!$A:$A,MATCH(TRIM(SUBSTITUTE($B4160,CHAR(160)," ")),'Catalog'!$C:$C,0)),""))))</f>
        <v>4408034</v>
      </c>
      <c r="H4160" s="8" t="str">
        <f aca="false">IFERROR(INDEX('TRANS'!$C:$C,MATCH($B4160,'TRANS'!$A:$A,0)),IFERROR(INDEX('Catalog'!$B:$B,MATCH($G4160,'Catalog'!$A:$A,0)),$B4160))</f>
        <v>11 XL""""חגורת בטן""""אורירית</v>
      </c>
      <c r="I4160" s="8" t="str">
        <f aca="false">IF($G4160="","Unmatched","Matched")</f>
        <v>Matched</v>
      </c>
      <c r="J4160" s="8" t="n">
        <f aca="false">IF($G4160&lt;&gt;"",$G4160,$B4160)</f>
        <v>4408034</v>
      </c>
      <c r="K4160" s="8" t="str">
        <f aca="false">IF(COUNTIF($M$1:$M$10,$A4160)&gt;0,"Y","N")</f>
        <v>N</v>
      </c>
    </row>
    <row r="4161" customFormat="false" ht="15" hidden="false" customHeight="true" outlineLevel="0" collapsed="false">
      <c r="A4161" s="8" t="s">
        <v>1117</v>
      </c>
      <c r="B4161" s="8" t="s">
        <v>937</v>
      </c>
      <c r="C4161" s="19" t="n">
        <v>6</v>
      </c>
      <c r="D4161" s="19" t="n">
        <v>299.15</v>
      </c>
      <c r="E4161" s="19" t="n">
        <v>3</v>
      </c>
      <c r="F4161" s="19" t="n">
        <v>131.42</v>
      </c>
      <c r="G4161" s="8" t="n">
        <f aca="false">IFERROR(INDEX('TRANS'!$B:$B,MATCH($B4161,'TRANS'!$A:$A,0)),IFERROR(INDEX('TRANS'!$B:$B,MATCH(TRIM(SUBSTITUTE($B4161,CHAR(160)," ")),'TRANS'!$D:$D,0)),IFERROR(INDEX('Catalog'!$A:$A,MATCH($B4161,'Catalog'!$B:$B,0)),IFERROR(INDEX('Catalog'!$A:$A,MATCH(TRIM(SUBSTITUTE($B4161,CHAR(160)," ")),'Catalog'!$C:$C,0)),""))))</f>
        <v>4408035</v>
      </c>
      <c r="H4161" s="8" t="str">
        <f aca="false">IFERROR(INDEX('TRANS'!$C:$C,MATCH($B4161,'TRANS'!$A:$A,0)),IFERROR(INDEX('Catalog'!$B:$B,MATCH($G4161,'Catalog'!$A:$A,0)),$B4161))</f>
        <v>11 XXL""""חגורת בטן""""אורירית</v>
      </c>
      <c r="I4161" s="8" t="str">
        <f aca="false">IF($G4161="","Unmatched","Matched")</f>
        <v>Matched</v>
      </c>
      <c r="J4161" s="8" t="n">
        <f aca="false">IF($G4161&lt;&gt;"",$G4161,$B4161)</f>
        <v>4408035</v>
      </c>
      <c r="K4161" s="8" t="str">
        <f aca="false">IF(COUNTIF($M$1:$M$10,$A4161)&gt;0,"Y","N")</f>
        <v>N</v>
      </c>
    </row>
    <row r="4162" customFormat="false" ht="15" hidden="false" customHeight="true" outlineLevel="0" collapsed="false">
      <c r="A4162" s="8" t="s">
        <v>1117</v>
      </c>
      <c r="B4162" s="8" t="s">
        <v>568</v>
      </c>
      <c r="C4162" s="19" t="n">
        <v>0</v>
      </c>
      <c r="D4162" s="19" t="n">
        <v>0</v>
      </c>
      <c r="E4162" s="19" t="n">
        <v>6</v>
      </c>
      <c r="F4162" s="19" t="n">
        <v>273.36</v>
      </c>
      <c r="G4162" s="8" t="n">
        <f aca="false">IFERROR(INDEX('TRANS'!$B:$B,MATCH($B4162,'TRANS'!$A:$A,0)),IFERROR(INDEX('TRANS'!$B:$B,MATCH(TRIM(SUBSTITUTE($B4162,CHAR(160)," ")),'TRANS'!$D:$D,0)),IFERROR(INDEX('Catalog'!$A:$A,MATCH($B4162,'Catalog'!$B:$B,0)),IFERROR(INDEX('Catalog'!$A:$A,MATCH(TRIM(SUBSTITUTE($B4162,CHAR(160)," ")),'Catalog'!$C:$C,0)),""))))</f>
        <v>4408115</v>
      </c>
      <c r="H4162" s="8" t="str">
        <f aca="false">IFERROR(INDEX('TRANS'!$C:$C,MATCH($B4162,'TRANS'!$A:$A,0)),IFERROR(INDEX('Catalog'!$B:$B,MATCH($G4162,'Catalog'!$A:$A,0)),$B4162))</f>
        <v>11EU L ח.בטן לאחר ניתוח</v>
      </c>
      <c r="I4162" s="8" t="str">
        <f aca="false">IF($G4162="","Unmatched","Matched")</f>
        <v>Matched</v>
      </c>
      <c r="J4162" s="8" t="n">
        <f aca="false">IF($G4162&lt;&gt;"",$G4162,$B4162)</f>
        <v>4408115</v>
      </c>
      <c r="K4162" s="8" t="str">
        <f aca="false">IF(COUNTIF($M$1:$M$10,$A4162)&gt;0,"Y","N")</f>
        <v>N</v>
      </c>
    </row>
    <row r="4163" customFormat="false" ht="15" hidden="false" customHeight="true" outlineLevel="0" collapsed="false">
      <c r="A4163" s="8" t="s">
        <v>1117</v>
      </c>
      <c r="B4163" s="8" t="s">
        <v>569</v>
      </c>
      <c r="C4163" s="19" t="n">
        <v>3</v>
      </c>
      <c r="D4163" s="19" t="n">
        <v>141.33</v>
      </c>
      <c r="E4163" s="19" t="n">
        <v>0</v>
      </c>
      <c r="F4163" s="19" t="n">
        <v>0</v>
      </c>
      <c r="G4163" s="8" t="n">
        <f aca="false">IFERROR(INDEX('TRANS'!$B:$B,MATCH($B4163,'TRANS'!$A:$A,0)),IFERROR(INDEX('TRANS'!$B:$B,MATCH(TRIM(SUBSTITUTE($B4163,CHAR(160)," ")),'TRANS'!$D:$D,0)),IFERROR(INDEX('Catalog'!$A:$A,MATCH($B4163,'Catalog'!$B:$B,0)),IFERROR(INDEX('Catalog'!$A:$A,MATCH(TRIM(SUBSTITUTE($B4163,CHAR(160)," ")),'Catalog'!$C:$C,0)),""))))</f>
        <v>4408114</v>
      </c>
      <c r="H4163" s="8" t="str">
        <f aca="false">IFERROR(INDEX('TRANS'!$C:$C,MATCH($B4163,'TRANS'!$A:$A,0)),IFERROR(INDEX('Catalog'!$B:$B,MATCH($G4163,'Catalog'!$A:$A,0)),$B4163))</f>
        <v>11EU M ח.בטן לאחר ניתוח</v>
      </c>
      <c r="I4163" s="8" t="str">
        <f aca="false">IF($G4163="","Unmatched","Matched")</f>
        <v>Matched</v>
      </c>
      <c r="J4163" s="8" t="n">
        <f aca="false">IF($G4163&lt;&gt;"",$G4163,$B4163)</f>
        <v>4408114</v>
      </c>
      <c r="K4163" s="8" t="str">
        <f aca="false">IF(COUNTIF($M$1:$M$10,$A4163)&gt;0,"Y","N")</f>
        <v>N</v>
      </c>
    </row>
    <row r="4164" customFormat="false" ht="15" hidden="false" customHeight="true" outlineLevel="0" collapsed="false">
      <c r="A4164" s="8" t="s">
        <v>1117</v>
      </c>
      <c r="B4164" s="8" t="s">
        <v>778</v>
      </c>
      <c r="C4164" s="19" t="n">
        <v>6</v>
      </c>
      <c r="D4164" s="19" t="n">
        <v>282.66</v>
      </c>
      <c r="E4164" s="19" t="n">
        <v>6</v>
      </c>
      <c r="F4164" s="19" t="n">
        <v>273.36</v>
      </c>
      <c r="G4164" s="8" t="n">
        <f aca="false">IFERROR(INDEX('TRANS'!$B:$B,MATCH($B4164,'TRANS'!$A:$A,0)),IFERROR(INDEX('TRANS'!$B:$B,MATCH(TRIM(SUBSTITUTE($B4164,CHAR(160)," ")),'TRANS'!$D:$D,0)),IFERROR(INDEX('Catalog'!$A:$A,MATCH($B4164,'Catalog'!$B:$B,0)),IFERROR(INDEX('Catalog'!$A:$A,MATCH(TRIM(SUBSTITUTE($B4164,CHAR(160)," ")),'Catalog'!$C:$C,0)),""))))</f>
        <v>4408116</v>
      </c>
      <c r="H4164" s="8" t="str">
        <f aca="false">IFERROR(INDEX('TRANS'!$C:$C,MATCH($B4164,'TRANS'!$A:$A,0)),IFERROR(INDEX('Catalog'!$B:$B,MATCH($G4164,'Catalog'!$A:$A,0)),$B4164))</f>
        <v>11EU XLח.בטן לאחר ניתוח</v>
      </c>
      <c r="I4164" s="8" t="str">
        <f aca="false">IF($G4164="","Unmatched","Matched")</f>
        <v>Matched</v>
      </c>
      <c r="J4164" s="8" t="n">
        <f aca="false">IF($G4164&lt;&gt;"",$G4164,$B4164)</f>
        <v>4408116</v>
      </c>
      <c r="K4164" s="8" t="str">
        <f aca="false">IF(COUNTIF($M$1:$M$10,$A4164)&gt;0,"Y","N")</f>
        <v>N</v>
      </c>
    </row>
    <row r="4165" customFormat="false" ht="15" hidden="false" customHeight="true" outlineLevel="0" collapsed="false">
      <c r="A4165" s="8" t="s">
        <v>1117</v>
      </c>
      <c r="B4165" s="8" t="s">
        <v>856</v>
      </c>
      <c r="C4165" s="19" t="n">
        <v>0</v>
      </c>
      <c r="D4165" s="19" t="n">
        <v>0</v>
      </c>
      <c r="E4165" s="19" t="n">
        <v>6</v>
      </c>
      <c r="F4165" s="19" t="n">
        <v>273.36</v>
      </c>
      <c r="G4165" s="8" t="n">
        <f aca="false">IFERROR(INDEX('TRANS'!$B:$B,MATCH($B4165,'TRANS'!$A:$A,0)),IFERROR(INDEX('TRANS'!$B:$B,MATCH(TRIM(SUBSTITUTE($B4165,CHAR(160)," ")),'TRANS'!$D:$D,0)),IFERROR(INDEX('Catalog'!$A:$A,MATCH($B4165,'Catalog'!$B:$B,0)),IFERROR(INDEX('Catalog'!$A:$A,MATCH(TRIM(SUBSTITUTE($B4165,CHAR(160)," ")),'Catalog'!$C:$C,0)),""))))</f>
        <v>4408132</v>
      </c>
      <c r="H4165" s="8" t="str">
        <f aca="false">IFERROR(INDEX('TRANS'!$C:$C,MATCH($B4165,'TRANS'!$A:$A,0)),IFERROR(INDEX('Catalog'!$B:$B,MATCH($G4165,'Catalog'!$A:$A,0)),$B4165))</f>
        <v>11EU XXL חגורת בטןלאחר ניתוח</v>
      </c>
      <c r="I4165" s="8" t="str">
        <f aca="false">IF($G4165="","Unmatched","Matched")</f>
        <v>Matched</v>
      </c>
      <c r="J4165" s="8" t="n">
        <f aca="false">IF($G4165&lt;&gt;"",$G4165,$B4165)</f>
        <v>4408132</v>
      </c>
      <c r="K4165" s="8" t="str">
        <f aca="false">IF(COUNTIF($M$1:$M$10,$A4165)&gt;0,"Y","N")</f>
        <v>N</v>
      </c>
    </row>
    <row r="4166" customFormat="false" ht="15" hidden="false" customHeight="true" outlineLevel="0" collapsed="false">
      <c r="A4166" s="8" t="s">
        <v>1117</v>
      </c>
      <c r="B4166" s="8" t="s">
        <v>977</v>
      </c>
      <c r="C4166" s="19" t="n">
        <v>3</v>
      </c>
      <c r="D4166" s="19" t="n">
        <v>150.16</v>
      </c>
      <c r="E4166" s="19" t="n">
        <v>3</v>
      </c>
      <c r="F4166" s="19" t="n">
        <v>131.94</v>
      </c>
      <c r="G4166" s="8" t="n">
        <f aca="false">IFERROR(INDEX('TRANS'!$B:$B,MATCH($B4166,'TRANS'!$A:$A,0)),IFERROR(INDEX('TRANS'!$B:$B,MATCH(TRIM(SUBSTITUTE($B4166,CHAR(160)," ")),'TRANS'!$D:$D,0)),IFERROR(INDEX('Catalog'!$A:$A,MATCH($B4166,'Catalog'!$B:$B,0)),IFERROR(INDEX('Catalog'!$A:$A,MATCH(TRIM(SUBSTITUTE($B4166,CHAR(160)," ")),'Catalog'!$C:$C,0)),""))))</f>
        <v>4408232</v>
      </c>
      <c r="H4166" s="8" t="str">
        <f aca="false">IFERROR(INDEX('TRANS'!$C:$C,MATCH($B4166,'TRANS'!$A:$A,0)),IFERROR(INDEX('Catalog'!$B:$B,MATCH($G4166,'Catalog'!$A:$A,0)),$B4166))</f>
        <v>16 XXL חגורת הריון</v>
      </c>
      <c r="I4166" s="8" t="str">
        <f aca="false">IF($G4166="","Unmatched","Matched")</f>
        <v>Matched</v>
      </c>
      <c r="J4166" s="8" t="n">
        <f aca="false">IF($G4166&lt;&gt;"",$G4166,$B4166)</f>
        <v>4408232</v>
      </c>
      <c r="K4166" s="8" t="str">
        <f aca="false">IF(COUNTIF($M$1:$M$10,$A4166)&gt;0,"Y","N")</f>
        <v>N</v>
      </c>
    </row>
    <row r="4167" customFormat="false" ht="15" hidden="false" customHeight="true" outlineLevel="0" collapsed="false">
      <c r="A4167" s="8" t="s">
        <v>1117</v>
      </c>
      <c r="B4167" s="8" t="s">
        <v>574</v>
      </c>
      <c r="C4167" s="19" t="n">
        <v>3</v>
      </c>
      <c r="D4167" s="19" t="n">
        <v>150.16</v>
      </c>
      <c r="E4167" s="19" t="n">
        <v>7</v>
      </c>
      <c r="F4167" s="19" t="n">
        <v>307.86</v>
      </c>
      <c r="G4167" s="8" t="n">
        <f aca="false">IFERROR(INDEX('TRANS'!$B:$B,MATCH($B4167,'TRANS'!$A:$A,0)),IFERROR(INDEX('TRANS'!$B:$B,MATCH(TRIM(SUBSTITUTE($B4167,CHAR(160)," ")),'TRANS'!$D:$D,0)),IFERROR(INDEX('Catalog'!$A:$A,MATCH($B4167,'Catalog'!$B:$B,0)),IFERROR(INDEX('Catalog'!$A:$A,MATCH(TRIM(SUBSTITUTE($B4167,CHAR(160)," ")),'Catalog'!$C:$C,0)),""))))</f>
        <v>4408230</v>
      </c>
      <c r="H4167" s="8" t="str">
        <f aca="false">IFERROR(INDEX('TRANS'!$C:$C,MATCH($B4167,'TRANS'!$A:$A,0)),IFERROR(INDEX('Catalog'!$B:$B,MATCH($G4167,'Catalog'!$A:$A,0)),$B4167))</f>
        <v>16 L-XL חגורת הריון</v>
      </c>
      <c r="I4167" s="8" t="str">
        <f aca="false">IF($G4167="","Unmatched","Matched")</f>
        <v>Matched</v>
      </c>
      <c r="J4167" s="8" t="n">
        <f aca="false">IF($G4167&lt;&gt;"",$G4167,$B4167)</f>
        <v>4408230</v>
      </c>
      <c r="K4167" s="8" t="str">
        <f aca="false">IF(COUNTIF($M$1:$M$10,$A4167)&gt;0,"Y","N")</f>
        <v>N</v>
      </c>
    </row>
    <row r="4168" customFormat="false" ht="15" hidden="false" customHeight="true" outlineLevel="0" collapsed="false">
      <c r="A4168" s="8" t="s">
        <v>1117</v>
      </c>
      <c r="B4168" s="8" t="s">
        <v>575</v>
      </c>
      <c r="C4168" s="19" t="n">
        <v>5</v>
      </c>
      <c r="D4168" s="19" t="n">
        <v>257.64</v>
      </c>
      <c r="E4168" s="19" t="n">
        <v>3</v>
      </c>
      <c r="F4168" s="19" t="n">
        <v>131.94</v>
      </c>
      <c r="G4168" s="8" t="n">
        <f aca="false">IFERROR(INDEX('TRANS'!$B:$B,MATCH($B4168,'TRANS'!$A:$A,0)),IFERROR(INDEX('TRANS'!$B:$B,MATCH(TRIM(SUBSTITUTE($B4168,CHAR(160)," ")),'TRANS'!$D:$D,0)),IFERROR(INDEX('Catalog'!$A:$A,MATCH($B4168,'Catalog'!$B:$B,0)),IFERROR(INDEX('Catalog'!$A:$A,MATCH(TRIM(SUBSTITUTE($B4168,CHAR(160)," ")),'Catalog'!$C:$C,0)),""))))</f>
        <v>4408231</v>
      </c>
      <c r="H4168" s="8" t="str">
        <f aca="false">IFERROR(INDEX('TRANS'!$C:$C,MATCH($B4168,'TRANS'!$A:$A,0)),IFERROR(INDEX('Catalog'!$B:$B,MATCH($G4168,'Catalog'!$A:$A,0)),$B4168))</f>
        <v>16 S-M חגורת הריון</v>
      </c>
      <c r="I4168" s="8" t="str">
        <f aca="false">IF($G4168="","Unmatched","Matched")</f>
        <v>Matched</v>
      </c>
      <c r="J4168" s="8" t="n">
        <f aca="false">IF($G4168&lt;&gt;"",$G4168,$B4168)</f>
        <v>4408231</v>
      </c>
      <c r="K4168" s="8" t="str">
        <f aca="false">IF(COUNTIF($M$1:$M$10,$A4168)&gt;0,"Y","N")</f>
        <v>N</v>
      </c>
    </row>
    <row r="4169" customFormat="false" ht="15" hidden="false" customHeight="true" outlineLevel="0" collapsed="false">
      <c r="A4169" s="8" t="s">
        <v>1117</v>
      </c>
      <c r="B4169" s="8" t="s">
        <v>970</v>
      </c>
      <c r="C4169" s="19" t="n">
        <v>0</v>
      </c>
      <c r="D4169" s="19" t="n">
        <v>0</v>
      </c>
      <c r="E4169" s="19" t="n">
        <v>6</v>
      </c>
      <c r="F4169" s="19" t="n">
        <v>97</v>
      </c>
      <c r="G4169" s="8" t="n">
        <f aca="false">IFERROR(INDEX('TRANS'!$B:$B,MATCH($B4169,'TRANS'!$A:$A,0)),IFERROR(INDEX('TRANS'!$B:$B,MATCH(TRIM(SUBSTITUTE($B4169,CHAR(160)," ")),'TRANS'!$D:$D,0)),IFERROR(INDEX('Catalog'!$A:$A,MATCH($B4169,'Catalog'!$B:$B,0)),IFERROR(INDEX('Catalog'!$A:$A,MATCH(TRIM(SUBSTITUTE($B4169,CHAR(160)," ")),'Catalog'!$C:$C,0)),""))))</f>
        <v>4408046</v>
      </c>
      <c r="H4169" s="8" t="str">
        <f aca="false">IFERROR(INDEX('TRANS'!$C:$C,MATCH($B4169,'TRANS'!$A:$A,0)),IFERROR(INDEX('Catalog'!$B:$B,MATCH($G4169,'Catalog'!$A:$A,0)),$B4169))</f>
        <v>20 L חבק יד מתכוון עם צמדן</v>
      </c>
      <c r="I4169" s="8" t="str">
        <f aca="false">IF($G4169="","Unmatched","Matched")</f>
        <v>Matched</v>
      </c>
      <c r="J4169" s="8" t="n">
        <f aca="false">IF($G4169&lt;&gt;"",$G4169,$B4169)</f>
        <v>4408046</v>
      </c>
      <c r="K4169" s="8" t="str">
        <f aca="false">IF(COUNTIF($M$1:$M$10,$A4169)&gt;0,"Y","N")</f>
        <v>N</v>
      </c>
    </row>
    <row r="4170" customFormat="false" ht="15" hidden="false" customHeight="true" outlineLevel="0" collapsed="false">
      <c r="A4170" s="8" t="s">
        <v>1117</v>
      </c>
      <c r="B4170" s="8" t="s">
        <v>939</v>
      </c>
      <c r="C4170" s="19" t="n">
        <v>10</v>
      </c>
      <c r="D4170" s="19" t="n">
        <v>171.39</v>
      </c>
      <c r="E4170" s="19" t="n">
        <v>6</v>
      </c>
      <c r="F4170" s="19" t="n">
        <v>97</v>
      </c>
      <c r="G4170" s="8" t="n">
        <f aca="false">IFERROR(INDEX('TRANS'!$B:$B,MATCH($B4170,'TRANS'!$A:$A,0)),IFERROR(INDEX('TRANS'!$B:$B,MATCH(TRIM(SUBSTITUTE($B4170,CHAR(160)," ")),'TRANS'!$D:$D,0)),IFERROR(INDEX('Catalog'!$A:$A,MATCH($B4170,'Catalog'!$B:$B,0)),IFERROR(INDEX('Catalog'!$A:$A,MATCH(TRIM(SUBSTITUTE($B4170,CHAR(160)," ")),'Catalog'!$C:$C,0)),""))))</f>
        <v>4408047</v>
      </c>
      <c r="H4170" s="8" t="str">
        <f aca="false">IFERROR(INDEX('TRANS'!$C:$C,MATCH($B4170,'TRANS'!$A:$A,0)),IFERROR(INDEX('Catalog'!$B:$B,MATCH($G4170,'Catalog'!$A:$A,0)),$B4170))</f>
        <v>20 M חבק יד מתכוון עם צמדן</v>
      </c>
      <c r="I4170" s="8" t="str">
        <f aca="false">IF($G4170="","Unmatched","Matched")</f>
        <v>Matched</v>
      </c>
      <c r="J4170" s="8" t="n">
        <f aca="false">IF($G4170&lt;&gt;"",$G4170,$B4170)</f>
        <v>4408047</v>
      </c>
      <c r="K4170" s="8" t="str">
        <f aca="false">IF(COUNTIF($M$1:$M$10,$A4170)&gt;0,"Y","N")</f>
        <v>N</v>
      </c>
    </row>
    <row r="4171" customFormat="false" ht="15" hidden="false" customHeight="true" outlineLevel="0" collapsed="false">
      <c r="A4171" s="8" t="s">
        <v>1117</v>
      </c>
      <c r="B4171" s="8" t="s">
        <v>978</v>
      </c>
      <c r="C4171" s="19" t="n">
        <v>6</v>
      </c>
      <c r="D4171" s="19" t="n">
        <v>102.83</v>
      </c>
      <c r="E4171" s="19" t="n">
        <v>0</v>
      </c>
      <c r="F4171" s="19" t="n">
        <v>0</v>
      </c>
      <c r="G4171" s="8" t="n">
        <f aca="false">IFERROR(INDEX('TRANS'!$B:$B,MATCH($B4171,'TRANS'!$A:$A,0)),IFERROR(INDEX('TRANS'!$B:$B,MATCH(TRIM(SUBSTITUTE($B4171,CHAR(160)," ")),'TRANS'!$D:$D,0)),IFERROR(INDEX('Catalog'!$A:$A,MATCH($B4171,'Catalog'!$B:$B,0)),IFERROR(INDEX('Catalog'!$A:$A,MATCH(TRIM(SUBSTITUTE($B4171,CHAR(160)," ")),'Catalog'!$C:$C,0)),""))))</f>
        <v>4408050</v>
      </c>
      <c r="H4171" s="8" t="str">
        <f aca="false">IFERROR(INDEX('TRANS'!$C:$C,MATCH($B4171,'TRANS'!$A:$A,0)),IFERROR(INDEX('Catalog'!$B:$B,MATCH($G4171,'Catalog'!$A:$A,0)),$B4171))</f>
        <v>20 XXL חבק יד מתכוון עם צמדן</v>
      </c>
      <c r="I4171" s="8" t="str">
        <f aca="false">IF($G4171="","Unmatched","Matched")</f>
        <v>Matched</v>
      </c>
      <c r="J4171" s="8" t="n">
        <f aca="false">IF($G4171&lt;&gt;"",$G4171,$B4171)</f>
        <v>4408050</v>
      </c>
      <c r="K4171" s="8" t="str">
        <f aca="false">IF(COUNTIF($M$1:$M$10,$A4171)&gt;0,"Y","N")</f>
        <v>N</v>
      </c>
    </row>
    <row r="4172" customFormat="false" ht="15" hidden="false" customHeight="true" outlineLevel="0" collapsed="false">
      <c r="A4172" s="8" t="s">
        <v>1117</v>
      </c>
      <c r="B4172" s="8" t="s">
        <v>783</v>
      </c>
      <c r="C4172" s="19" t="n">
        <v>10</v>
      </c>
      <c r="D4172" s="19" t="n">
        <v>179.18</v>
      </c>
      <c r="E4172" s="19" t="n">
        <v>9</v>
      </c>
      <c r="F4172" s="19" t="n">
        <v>148.64</v>
      </c>
      <c r="G4172" s="8" t="n">
        <f aca="false">IFERROR(INDEX('TRANS'!$B:$B,MATCH($B4172,'TRANS'!$A:$A,0)),IFERROR(INDEX('TRANS'!$B:$B,MATCH(TRIM(SUBSTITUTE($B4172,CHAR(160)," ")),'TRANS'!$D:$D,0)),IFERROR(INDEX('Catalog'!$A:$A,MATCH($B4172,'Catalog'!$B:$B,0)),IFERROR(INDEX('Catalog'!$A:$A,MATCH(TRIM(SUBSTITUTE($B4172,CHAR(160)," ")),'Catalog'!$C:$C,0)),""))))</f>
        <v>4408052</v>
      </c>
      <c r="H4172" s="8" t="str">
        <f aca="false">IFERROR(INDEX('TRANS'!$C:$C,MATCH($B4172,'TRANS'!$A:$A,0)),IFERROR(INDEX('Catalog'!$B:$B,MATCH($G4172,'Catalog'!$A:$A,0)),$B4172))</f>
        <v>21 L  חבק יד ארוך</v>
      </c>
      <c r="I4172" s="8" t="str">
        <f aca="false">IF($G4172="","Unmatched","Matched")</f>
        <v>Matched</v>
      </c>
      <c r="J4172" s="8" t="n">
        <f aca="false">IF($G4172&lt;&gt;"",$G4172,$B4172)</f>
        <v>4408052</v>
      </c>
      <c r="K4172" s="8" t="str">
        <f aca="false">IF(COUNTIF($M$1:$M$10,$A4172)&gt;0,"Y","N")</f>
        <v>N</v>
      </c>
    </row>
    <row r="4173" customFormat="false" ht="15" hidden="false" customHeight="true" outlineLevel="0" collapsed="false">
      <c r="A4173" s="8" t="s">
        <v>1117</v>
      </c>
      <c r="B4173" s="8" t="s">
        <v>576</v>
      </c>
      <c r="C4173" s="19" t="n">
        <v>12</v>
      </c>
      <c r="D4173" s="19" t="n">
        <v>222.94</v>
      </c>
      <c r="E4173" s="19" t="n">
        <v>20</v>
      </c>
      <c r="F4173" s="19" t="n">
        <v>321.82</v>
      </c>
      <c r="G4173" s="8" t="n">
        <f aca="false">IFERROR(INDEX('TRANS'!$B:$B,MATCH($B4173,'TRANS'!$A:$A,0)),IFERROR(INDEX('TRANS'!$B:$B,MATCH(TRIM(SUBSTITUTE($B4173,CHAR(160)," ")),'TRANS'!$D:$D,0)),IFERROR(INDEX('Catalog'!$A:$A,MATCH($B4173,'Catalog'!$B:$B,0)),IFERROR(INDEX('Catalog'!$A:$A,MATCH(TRIM(SUBSTITUTE($B4173,CHAR(160)," ")),'Catalog'!$C:$C,0)),""))))</f>
        <v>4408053</v>
      </c>
      <c r="H4173" s="8" t="str">
        <f aca="false">IFERROR(INDEX('TRANS'!$C:$C,MATCH($B4173,'TRANS'!$A:$A,0)),IFERROR(INDEX('Catalog'!$B:$B,MATCH($G4173,'Catalog'!$A:$A,0)),$B4173))</f>
        <v>21 M  חבק יד ארוך</v>
      </c>
      <c r="I4173" s="8" t="str">
        <f aca="false">IF($G4173="","Unmatched","Matched")</f>
        <v>Matched</v>
      </c>
      <c r="J4173" s="8" t="n">
        <f aca="false">IF($G4173&lt;&gt;"",$G4173,$B4173)</f>
        <v>4408053</v>
      </c>
      <c r="K4173" s="8" t="str">
        <f aca="false">IF(COUNTIF($M$1:$M$10,$A4173)&gt;0,"Y","N")</f>
        <v>N</v>
      </c>
    </row>
    <row r="4174" customFormat="false" ht="15" hidden="false" customHeight="true" outlineLevel="0" collapsed="false">
      <c r="A4174" s="8" t="s">
        <v>1117</v>
      </c>
      <c r="B4174" s="8" t="s">
        <v>784</v>
      </c>
      <c r="C4174" s="19" t="n">
        <v>6</v>
      </c>
      <c r="D4174" s="19" t="n">
        <v>107.51</v>
      </c>
      <c r="E4174" s="19" t="n">
        <v>0</v>
      </c>
      <c r="F4174" s="19" t="n">
        <v>0</v>
      </c>
      <c r="G4174" s="8" t="n">
        <f aca="false">IFERROR(INDEX('TRANS'!$B:$B,MATCH($B4174,'TRANS'!$A:$A,0)),IFERROR(INDEX('TRANS'!$B:$B,MATCH(TRIM(SUBSTITUTE($B4174,CHAR(160)," ")),'TRANS'!$D:$D,0)),IFERROR(INDEX('Catalog'!$A:$A,MATCH($B4174,'Catalog'!$B:$B,0)),IFERROR(INDEX('Catalog'!$A:$A,MATCH(TRIM(SUBSTITUTE($B4174,CHAR(160)," ")),'Catalog'!$C:$C,0)),""))))</f>
        <v>4408051</v>
      </c>
      <c r="H4174" s="8" t="str">
        <f aca="false">IFERROR(INDEX('TRANS'!$C:$C,MATCH($B4174,'TRANS'!$A:$A,0)),IFERROR(INDEX('Catalog'!$B:$B,MATCH($G4174,'Catalog'!$A:$A,0)),$B4174))</f>
        <v>21 S  חבק יד ארוך</v>
      </c>
      <c r="I4174" s="8" t="str">
        <f aca="false">IF($G4174="","Unmatched","Matched")</f>
        <v>Matched</v>
      </c>
      <c r="J4174" s="8" t="n">
        <f aca="false">IF($G4174&lt;&gt;"",$G4174,$B4174)</f>
        <v>4408051</v>
      </c>
      <c r="K4174" s="8" t="str">
        <f aca="false">IF(COUNTIF($M$1:$M$10,$A4174)&gt;0,"Y","N")</f>
        <v>N</v>
      </c>
    </row>
    <row r="4175" customFormat="false" ht="15" hidden="false" customHeight="true" outlineLevel="0" collapsed="false">
      <c r="A4175" s="8" t="s">
        <v>1117</v>
      </c>
      <c r="B4175" s="8" t="s">
        <v>785</v>
      </c>
      <c r="C4175" s="19" t="n">
        <v>3</v>
      </c>
      <c r="D4175" s="19" t="n">
        <v>53.75</v>
      </c>
      <c r="E4175" s="19" t="n">
        <v>0</v>
      </c>
      <c r="F4175" s="19" t="n">
        <v>0</v>
      </c>
      <c r="G4175" s="8" t="n">
        <f aca="false">IFERROR(INDEX('TRANS'!$B:$B,MATCH($B4175,'TRANS'!$A:$A,0)),IFERROR(INDEX('TRANS'!$B:$B,MATCH(TRIM(SUBSTITUTE($B4175,CHAR(160)," ")),'TRANS'!$D:$D,0)),IFERROR(INDEX('Catalog'!$A:$A,MATCH($B4175,'Catalog'!$B:$B,0)),IFERROR(INDEX('Catalog'!$A:$A,MATCH(TRIM(SUBSTITUTE($B4175,CHAR(160)," ")),'Catalog'!$C:$C,0)),""))))</f>
        <v>4408054</v>
      </c>
      <c r="H4175" s="8" t="str">
        <f aca="false">IFERROR(INDEX('TRANS'!$C:$C,MATCH($B4175,'TRANS'!$A:$A,0)),IFERROR(INDEX('Catalog'!$B:$B,MATCH($G4175,'Catalog'!$A:$A,0)),$B4175))</f>
        <v>21 XL חבק יד ארוך</v>
      </c>
      <c r="I4175" s="8" t="str">
        <f aca="false">IF($G4175="","Unmatched","Matched")</f>
        <v>Matched</v>
      </c>
      <c r="J4175" s="8" t="n">
        <f aca="false">IF($G4175&lt;&gt;"",$G4175,$B4175)</f>
        <v>4408054</v>
      </c>
      <c r="K4175" s="8" t="str">
        <f aca="false">IF(COUNTIF($M$1:$M$10,$A4175)&gt;0,"Y","N")</f>
        <v>N</v>
      </c>
    </row>
    <row r="4176" customFormat="false" ht="15" hidden="false" customHeight="true" outlineLevel="0" collapsed="false">
      <c r="A4176" s="8" t="s">
        <v>1117</v>
      </c>
      <c r="B4176" s="8" t="s">
        <v>860</v>
      </c>
      <c r="C4176" s="19" t="n">
        <v>0</v>
      </c>
      <c r="D4176" s="19" t="n">
        <v>0</v>
      </c>
      <c r="E4176" s="19" t="n">
        <v>10</v>
      </c>
      <c r="F4176" s="19" t="n">
        <v>431.72</v>
      </c>
      <c r="G4176" s="8" t="n">
        <f aca="false">IFERROR(INDEX('TRANS'!$B:$B,MATCH($B4176,'TRANS'!$A:$A,0)),IFERROR(INDEX('TRANS'!$B:$B,MATCH(TRIM(SUBSTITUTE($B4176,CHAR(160)," ")),'TRANS'!$D:$D,0)),IFERROR(INDEX('Catalog'!$A:$A,MATCH($B4176,'Catalog'!$B:$B,0)),IFERROR(INDEX('Catalog'!$A:$A,MATCH(TRIM(SUBSTITUTE($B4176,CHAR(160)," ")),'Catalog'!$C:$C,0)),""))))</f>
        <v>4411026</v>
      </c>
      <c r="H4176" s="8" t="str">
        <f aca="false">IFERROR(INDEX('TRANS'!$C:$C,MATCH($B4176,'TRANS'!$A:$A,0)),IFERROR(INDEX('Catalog'!$B:$B,MATCH($G4176,'Catalog'!$A:$A,0)),$B4176))</f>
        <v>213CTSL L שמאל CTS כפפות</v>
      </c>
      <c r="I4176" s="8" t="str">
        <f aca="false">IF($G4176="","Unmatched","Matched")</f>
        <v>Matched</v>
      </c>
      <c r="J4176" s="8" t="n">
        <f aca="false">IF($G4176&lt;&gt;"",$G4176,$B4176)</f>
        <v>4411026</v>
      </c>
      <c r="K4176" s="8" t="str">
        <f aca="false">IF(COUNTIF($M$1:$M$10,$A4176)&gt;0,"Y","N")</f>
        <v>N</v>
      </c>
    </row>
    <row r="4177" customFormat="false" ht="15" hidden="false" customHeight="true" outlineLevel="0" collapsed="false">
      <c r="A4177" s="8" t="s">
        <v>1117</v>
      </c>
      <c r="B4177" s="8" t="s">
        <v>861</v>
      </c>
      <c r="C4177" s="19" t="n">
        <v>0</v>
      </c>
      <c r="D4177" s="19" t="n">
        <v>0</v>
      </c>
      <c r="E4177" s="19" t="n">
        <v>20</v>
      </c>
      <c r="F4177" s="19" t="n">
        <v>863.44</v>
      </c>
      <c r="G4177" s="8" t="n">
        <f aca="false">IFERROR(INDEX('TRANS'!$B:$B,MATCH($B4177,'TRANS'!$A:$A,0)),IFERROR(INDEX('TRANS'!$B:$B,MATCH(TRIM(SUBSTITUTE($B4177,CHAR(160)," ")),'TRANS'!$D:$D,0)),IFERROR(INDEX('Catalog'!$A:$A,MATCH($B4177,'Catalog'!$B:$B,0)),IFERROR(INDEX('Catalog'!$A:$A,MATCH(TRIM(SUBSTITUTE($B4177,CHAR(160)," ")),'Catalog'!$C:$C,0)),""))))</f>
        <v>4411027</v>
      </c>
      <c r="H4177" s="8" t="str">
        <f aca="false">IFERROR(INDEX('TRANS'!$C:$C,MATCH($B4177,'TRANS'!$A:$A,0)),IFERROR(INDEX('Catalog'!$B:$B,MATCH($G4177,'Catalog'!$A:$A,0)),$B4177))</f>
        <v>213CTSL M שמאל CTS כפפות</v>
      </c>
      <c r="I4177" s="8" t="str">
        <f aca="false">IF($G4177="","Unmatched","Matched")</f>
        <v>Matched</v>
      </c>
      <c r="J4177" s="8" t="n">
        <f aca="false">IF($G4177&lt;&gt;"",$G4177,$B4177)</f>
        <v>4411027</v>
      </c>
      <c r="K4177" s="8" t="str">
        <f aca="false">IF(COUNTIF($M$1:$M$10,$A4177)&gt;0,"Y","N")</f>
        <v>N</v>
      </c>
    </row>
    <row r="4178" customFormat="false" ht="15" hidden="false" customHeight="true" outlineLevel="0" collapsed="false">
      <c r="A4178" s="8" t="s">
        <v>1117</v>
      </c>
      <c r="B4178" s="8" t="s">
        <v>862</v>
      </c>
      <c r="C4178" s="19" t="n">
        <v>0</v>
      </c>
      <c r="D4178" s="19" t="n">
        <v>0</v>
      </c>
      <c r="E4178" s="19" t="n">
        <v>20</v>
      </c>
      <c r="F4178" s="19" t="n">
        <v>863.44</v>
      </c>
      <c r="G4178" s="8" t="n">
        <f aca="false">IFERROR(INDEX('TRANS'!$B:$B,MATCH($B4178,'TRANS'!$A:$A,0)),IFERROR(INDEX('TRANS'!$B:$B,MATCH(TRIM(SUBSTITUTE($B4178,CHAR(160)," ")),'TRANS'!$D:$D,0)),IFERROR(INDEX('Catalog'!$A:$A,MATCH($B4178,'Catalog'!$B:$B,0)),IFERROR(INDEX('Catalog'!$A:$A,MATCH(TRIM(SUBSTITUTE($B4178,CHAR(160)," ")),'Catalog'!$C:$C,0)),""))))</f>
        <v>4411028</v>
      </c>
      <c r="H4178" s="8" t="str">
        <f aca="false">IFERROR(INDEX('TRANS'!$C:$C,MATCH($B4178,'TRANS'!$A:$A,0)),IFERROR(INDEX('Catalog'!$B:$B,MATCH($G4178,'Catalog'!$A:$A,0)),$B4178))</f>
        <v>213CTSL S שמאל CTS כפפות</v>
      </c>
      <c r="I4178" s="8" t="str">
        <f aca="false">IF($G4178="","Unmatched","Matched")</f>
        <v>Matched</v>
      </c>
      <c r="J4178" s="8" t="n">
        <f aca="false">IF($G4178&lt;&gt;"",$G4178,$B4178)</f>
        <v>4411028</v>
      </c>
      <c r="K4178" s="8" t="str">
        <f aca="false">IF(COUNTIF($M$1:$M$10,$A4178)&gt;0,"Y","N")</f>
        <v>N</v>
      </c>
    </row>
    <row r="4179" customFormat="false" ht="15" hidden="false" customHeight="true" outlineLevel="0" collapsed="false">
      <c r="A4179" s="8" t="s">
        <v>1117</v>
      </c>
      <c r="B4179" s="8" t="s">
        <v>863</v>
      </c>
      <c r="C4179" s="19" t="n">
        <v>0</v>
      </c>
      <c r="D4179" s="19" t="n">
        <v>0</v>
      </c>
      <c r="E4179" s="19" t="n">
        <v>10</v>
      </c>
      <c r="F4179" s="19" t="n">
        <v>431.72</v>
      </c>
      <c r="G4179" s="8" t="n">
        <f aca="false">IFERROR(INDEX('TRANS'!$B:$B,MATCH($B4179,'TRANS'!$A:$A,0)),IFERROR(INDEX('TRANS'!$B:$B,MATCH(TRIM(SUBSTITUTE($B4179,CHAR(160)," ")),'TRANS'!$D:$D,0)),IFERROR(INDEX('Catalog'!$A:$A,MATCH($B4179,'Catalog'!$B:$B,0)),IFERROR(INDEX('Catalog'!$A:$A,MATCH(TRIM(SUBSTITUTE($B4179,CHAR(160)," ")),'Catalog'!$C:$C,0)),""))))</f>
        <v>4411029</v>
      </c>
      <c r="H4179" s="8" t="str">
        <f aca="false">IFERROR(INDEX('TRANS'!$C:$C,MATCH($B4179,'TRANS'!$A:$A,0)),IFERROR(INDEX('Catalog'!$B:$B,MATCH($G4179,'Catalog'!$A:$A,0)),$B4179))</f>
        <v>213CTSR L ימין CTS כפפות</v>
      </c>
      <c r="I4179" s="8" t="str">
        <f aca="false">IF($G4179="","Unmatched","Matched")</f>
        <v>Matched</v>
      </c>
      <c r="J4179" s="8" t="n">
        <f aca="false">IF($G4179&lt;&gt;"",$G4179,$B4179)</f>
        <v>4411029</v>
      </c>
      <c r="K4179" s="8" t="str">
        <f aca="false">IF(COUNTIF($M$1:$M$10,$A4179)&gt;0,"Y","N")</f>
        <v>N</v>
      </c>
    </row>
    <row r="4180" customFormat="false" ht="15" hidden="false" customHeight="true" outlineLevel="0" collapsed="false">
      <c r="A4180" s="8" t="s">
        <v>1117</v>
      </c>
      <c r="B4180" s="8" t="s">
        <v>864</v>
      </c>
      <c r="C4180" s="19" t="n">
        <v>0</v>
      </c>
      <c r="D4180" s="19" t="n">
        <v>0</v>
      </c>
      <c r="E4180" s="19" t="n">
        <v>20</v>
      </c>
      <c r="F4180" s="19" t="n">
        <v>863.44</v>
      </c>
      <c r="G4180" s="8" t="n">
        <f aca="false">IFERROR(INDEX('TRANS'!$B:$B,MATCH($B4180,'TRANS'!$A:$A,0)),IFERROR(INDEX('TRANS'!$B:$B,MATCH(TRIM(SUBSTITUTE($B4180,CHAR(160)," ")),'TRANS'!$D:$D,0)),IFERROR(INDEX('Catalog'!$A:$A,MATCH($B4180,'Catalog'!$B:$B,0)),IFERROR(INDEX('Catalog'!$A:$A,MATCH(TRIM(SUBSTITUTE($B4180,CHAR(160)," ")),'Catalog'!$C:$C,0)),""))))</f>
        <v>4411030</v>
      </c>
      <c r="H4180" s="8" t="str">
        <f aca="false">IFERROR(INDEX('TRANS'!$C:$C,MATCH($B4180,'TRANS'!$A:$A,0)),IFERROR(INDEX('Catalog'!$B:$B,MATCH($G4180,'Catalog'!$A:$A,0)),$B4180))</f>
        <v>213CTSR M ימין CTS כפפות</v>
      </c>
      <c r="I4180" s="8" t="str">
        <f aca="false">IF($G4180="","Unmatched","Matched")</f>
        <v>Matched</v>
      </c>
      <c r="J4180" s="8" t="n">
        <f aca="false">IF($G4180&lt;&gt;"",$G4180,$B4180)</f>
        <v>4411030</v>
      </c>
      <c r="K4180" s="8" t="str">
        <f aca="false">IF(COUNTIF($M$1:$M$10,$A4180)&gt;0,"Y","N")</f>
        <v>N</v>
      </c>
    </row>
    <row r="4181" customFormat="false" ht="15" hidden="false" customHeight="true" outlineLevel="0" collapsed="false">
      <c r="A4181" s="8" t="s">
        <v>1117</v>
      </c>
      <c r="B4181" s="8" t="s">
        <v>865</v>
      </c>
      <c r="C4181" s="19" t="n">
        <v>0</v>
      </c>
      <c r="D4181" s="19" t="n">
        <v>0</v>
      </c>
      <c r="E4181" s="19" t="n">
        <v>20</v>
      </c>
      <c r="F4181" s="19" t="n">
        <v>863.44</v>
      </c>
      <c r="G4181" s="8" t="n">
        <f aca="false">IFERROR(INDEX('TRANS'!$B:$B,MATCH($B4181,'TRANS'!$A:$A,0)),IFERROR(INDEX('TRANS'!$B:$B,MATCH(TRIM(SUBSTITUTE($B4181,CHAR(160)," ")),'TRANS'!$D:$D,0)),IFERROR(INDEX('Catalog'!$A:$A,MATCH($B4181,'Catalog'!$B:$B,0)),IFERROR(INDEX('Catalog'!$A:$A,MATCH(TRIM(SUBSTITUTE($B4181,CHAR(160)," ")),'Catalog'!$C:$C,0)),""))))</f>
        <v>4411031</v>
      </c>
      <c r="H4181" s="8" t="str">
        <f aca="false">IFERROR(INDEX('TRANS'!$C:$C,MATCH($B4181,'TRANS'!$A:$A,0)),IFERROR(INDEX('Catalog'!$B:$B,MATCH($G4181,'Catalog'!$A:$A,0)),$B4181))</f>
        <v>213CTS  S ימין CTS כפפות</v>
      </c>
      <c r="I4181" s="8" t="str">
        <f aca="false">IF($G4181="","Unmatched","Matched")</f>
        <v>Matched</v>
      </c>
      <c r="J4181" s="8" t="n">
        <f aca="false">IF($G4181&lt;&gt;"",$G4181,$B4181)</f>
        <v>4411031</v>
      </c>
      <c r="K4181" s="8" t="str">
        <f aca="false">IF(COUNTIF($M$1:$M$10,$A4181)&gt;0,"Y","N")</f>
        <v>N</v>
      </c>
    </row>
    <row r="4182" customFormat="false" ht="15" hidden="false" customHeight="true" outlineLevel="0" collapsed="false">
      <c r="A4182" s="8" t="s">
        <v>1117</v>
      </c>
      <c r="B4182" s="8" t="s">
        <v>583</v>
      </c>
      <c r="C4182" s="19" t="n">
        <v>0</v>
      </c>
      <c r="D4182" s="19" t="n">
        <v>0</v>
      </c>
      <c r="E4182" s="19" t="n">
        <v>10</v>
      </c>
      <c r="F4182" s="19" t="n">
        <v>133.48</v>
      </c>
      <c r="G4182" s="8" t="n">
        <f aca="false">IFERROR(INDEX('TRANS'!$B:$B,MATCH($B4182,'TRANS'!$A:$A,0)),IFERROR(INDEX('TRANS'!$B:$B,MATCH(TRIM(SUBSTITUTE($B4182,CHAR(160)," ")),'TRANS'!$D:$D,0)),IFERROR(INDEX('Catalog'!$A:$A,MATCH($B4182,'Catalog'!$B:$B,0)),IFERROR(INDEX('Catalog'!$A:$A,MATCH(TRIM(SUBSTITUTE($B4182,CHAR(160)," ")),'Catalog'!$C:$C,0)),""))))</f>
        <v>4415029</v>
      </c>
      <c r="H4182" s="8" t="str">
        <f aca="false">IFERROR(INDEX('TRANS'!$C:$C,MATCH($B4182,'TRANS'!$A:$A,0)),IFERROR(INDEX('Catalog'!$B:$B,MATCH($G4182,'Catalog'!$A:$A,0)),$B4182))</f>
        <v>סד קיבוע לאצבע הדק</v>
      </c>
      <c r="I4182" s="8" t="str">
        <f aca="false">IF($G4182="","Unmatched","Matched")</f>
        <v>Matched</v>
      </c>
      <c r="J4182" s="8" t="n">
        <f aca="false">IF($G4182&lt;&gt;"",$G4182,$B4182)</f>
        <v>4415029</v>
      </c>
      <c r="K4182" s="8" t="str">
        <f aca="false">IF(COUNTIF($M$1:$M$10,$A4182)&gt;0,"Y","N")</f>
        <v>N</v>
      </c>
    </row>
    <row r="4183" customFormat="false" ht="15" hidden="false" customHeight="true" outlineLevel="0" collapsed="false">
      <c r="A4183" s="8" t="s">
        <v>1117</v>
      </c>
      <c r="B4183" s="8" t="s">
        <v>584</v>
      </c>
      <c r="C4183" s="19" t="n">
        <v>0</v>
      </c>
      <c r="D4183" s="19" t="n">
        <v>0</v>
      </c>
      <c r="E4183" s="19" t="n">
        <v>10</v>
      </c>
      <c r="F4183" s="19" t="n">
        <v>82.14</v>
      </c>
      <c r="G4183" s="8" t="n">
        <f aca="false">IFERROR(INDEX('TRANS'!$B:$B,MATCH($B4183,'TRANS'!$A:$A,0)),IFERROR(INDEX('TRANS'!$B:$B,MATCH(TRIM(SUBSTITUTE($B4183,CHAR(160)," ")),'TRANS'!$D:$D,0)),IFERROR(INDEX('Catalog'!$A:$A,MATCH($B4183,'Catalog'!$B:$B,0)),IFERROR(INDEX('Catalog'!$A:$A,MATCH(TRIM(SUBSTITUTE($B4183,CHAR(160)," ")),'Catalog'!$C:$C,0)),""))))</f>
        <v>4415162</v>
      </c>
      <c r="H4183" s="8" t="str">
        <f aca="false">IFERROR(INDEX('TRANS'!$C:$C,MATCH($B4183,'TRANS'!$A:$A,0)),IFERROR(INDEX('Catalog'!$B:$B,MATCH($G4183,'Catalog'!$A:$A,0)),$B4183))</f>
        <v>238L סד ליישור אצבע</v>
      </c>
      <c r="I4183" s="8" t="str">
        <f aca="false">IF($G4183="","Unmatched","Matched")</f>
        <v>Matched</v>
      </c>
      <c r="J4183" s="8" t="n">
        <f aca="false">IF($G4183&lt;&gt;"",$G4183,$B4183)</f>
        <v>4415162</v>
      </c>
      <c r="K4183" s="8" t="str">
        <f aca="false">IF(COUNTIF($M$1:$M$10,$A4183)&gt;0,"Y","N")</f>
        <v>N</v>
      </c>
    </row>
    <row r="4184" customFormat="false" ht="15" hidden="false" customHeight="true" outlineLevel="0" collapsed="false">
      <c r="A4184" s="8" t="s">
        <v>1117</v>
      </c>
      <c r="B4184" s="8" t="s">
        <v>926</v>
      </c>
      <c r="C4184" s="19" t="n">
        <v>12</v>
      </c>
      <c r="D4184" s="19" t="n">
        <v>120.45</v>
      </c>
      <c r="E4184" s="19" t="n">
        <v>0</v>
      </c>
      <c r="F4184" s="19" t="n">
        <v>0</v>
      </c>
      <c r="G4184" s="8" t="n">
        <f aca="false">IFERROR(INDEX('TRANS'!$B:$B,MATCH($B4184,'TRANS'!$A:$A,0)),IFERROR(INDEX('TRANS'!$B:$B,MATCH(TRIM(SUBSTITUTE($B4184,CHAR(160)," ")),'TRANS'!$D:$D,0)),IFERROR(INDEX('Catalog'!$A:$A,MATCH($B4184,'Catalog'!$B:$B,0)),IFERROR(INDEX('Catalog'!$A:$A,MATCH(TRIM(SUBSTITUTE($B4184,CHAR(160)," ")),'Catalog'!$C:$C,0)),""))))</f>
        <v>4415161</v>
      </c>
      <c r="H4184" s="8" t="str">
        <f aca="false">IFERROR(INDEX('TRANS'!$C:$C,MATCH($B4184,'TRANS'!$A:$A,0)),IFERROR(INDEX('Catalog'!$B:$B,MATCH($G4184,'Catalog'!$A:$A,0)),$B4184))</f>
        <v>238M סד ליישור אצבע</v>
      </c>
      <c r="I4184" s="8" t="str">
        <f aca="false">IF($G4184="","Unmatched","Matched")</f>
        <v>Matched</v>
      </c>
      <c r="J4184" s="8" t="n">
        <f aca="false">IF($G4184&lt;&gt;"",$G4184,$B4184)</f>
        <v>4415161</v>
      </c>
      <c r="K4184" s="8" t="str">
        <f aca="false">IF(COUNTIF($M$1:$M$10,$A4184)&gt;0,"Y","N")</f>
        <v>N</v>
      </c>
    </row>
    <row r="4185" customFormat="false" ht="15" hidden="false" customHeight="true" outlineLevel="0" collapsed="false">
      <c r="A4185" s="8" t="s">
        <v>1117</v>
      </c>
      <c r="B4185" s="8" t="s">
        <v>585</v>
      </c>
      <c r="C4185" s="19" t="n">
        <v>6</v>
      </c>
      <c r="D4185" s="19" t="n">
        <v>54.71</v>
      </c>
      <c r="E4185" s="19" t="n">
        <v>27</v>
      </c>
      <c r="F4185" s="19" t="n">
        <v>229.03</v>
      </c>
      <c r="G4185" s="8" t="n">
        <f aca="false">IFERROR(INDEX('TRANS'!$B:$B,MATCH($B4185,'TRANS'!$A:$A,0)),IFERROR(INDEX('TRANS'!$B:$B,MATCH(TRIM(SUBSTITUTE($B4185,CHAR(160)," ")),'TRANS'!$D:$D,0)),IFERROR(INDEX('Catalog'!$A:$A,MATCH($B4185,'Catalog'!$B:$B,0)),IFERROR(INDEX('Catalog'!$A:$A,MATCH(TRIM(SUBSTITUTE($B4185,CHAR(160)," ")),'Catalog'!$C:$C,0)),""))))</f>
        <v>4415160</v>
      </c>
      <c r="H4185" s="8" t="str">
        <f aca="false">IFERROR(INDEX('TRANS'!$C:$C,MATCH($B4185,'TRANS'!$A:$A,0)),IFERROR(INDEX('Catalog'!$B:$B,MATCH($G4185,'Catalog'!$A:$A,0)),$B4185))</f>
        <v>238S סד ליישור אצבע</v>
      </c>
      <c r="I4185" s="8" t="str">
        <f aca="false">IF($G4185="","Unmatched","Matched")</f>
        <v>Matched</v>
      </c>
      <c r="J4185" s="8" t="n">
        <f aca="false">IF($G4185&lt;&gt;"",$G4185,$B4185)</f>
        <v>4415160</v>
      </c>
      <c r="K4185" s="8" t="str">
        <f aca="false">IF(COUNTIF($M$1:$M$10,$A4185)&gt;0,"Y","N")</f>
        <v>N</v>
      </c>
    </row>
    <row r="4186" customFormat="false" ht="15" hidden="false" customHeight="true" outlineLevel="0" collapsed="false">
      <c r="A4186" s="8" t="s">
        <v>1117</v>
      </c>
      <c r="B4186" s="8" t="s">
        <v>927</v>
      </c>
      <c r="C4186" s="19" t="n">
        <v>30</v>
      </c>
      <c r="D4186" s="19" t="n">
        <v>301.12</v>
      </c>
      <c r="E4186" s="19" t="n">
        <v>0</v>
      </c>
      <c r="F4186" s="19" t="n">
        <v>0</v>
      </c>
      <c r="G4186" s="8" t="n">
        <f aca="false">IFERROR(INDEX('TRANS'!$B:$B,MATCH($B4186,'TRANS'!$A:$A,0)),IFERROR(INDEX('TRANS'!$B:$B,MATCH(TRIM(SUBSTITUTE($B4186,CHAR(160)," ")),'TRANS'!$D:$D,0)),IFERROR(INDEX('Catalog'!$A:$A,MATCH($B4186,'Catalog'!$B:$B,0)),IFERROR(INDEX('Catalog'!$A:$A,MATCH(TRIM(SUBSTITUTE($B4186,CHAR(160)," ")),'Catalog'!$C:$C,0)),""))))</f>
        <v>4415163</v>
      </c>
      <c r="H4186" s="8" t="str">
        <f aca="false">IFERROR(INDEX('TRANS'!$C:$C,MATCH($B4186,'TRANS'!$A:$A,0)),IFERROR(INDEX('Catalog'!$B:$B,MATCH($G4186,'Catalog'!$A:$A,0)),$B4186))</f>
        <v>238XL סד ליישור אצבע</v>
      </c>
      <c r="I4186" s="8" t="str">
        <f aca="false">IF($G4186="","Unmatched","Matched")</f>
        <v>Matched</v>
      </c>
      <c r="J4186" s="8" t="n">
        <f aca="false">IF($G4186&lt;&gt;"",$G4186,$B4186)</f>
        <v>4415163</v>
      </c>
      <c r="K4186" s="8" t="str">
        <f aca="false">IF(COUNTIF($M$1:$M$10,$A4186)&gt;0,"Y","N")</f>
        <v>N</v>
      </c>
    </row>
    <row r="4187" customFormat="false" ht="15" hidden="false" customHeight="true" outlineLevel="0" collapsed="false">
      <c r="A4187" s="8" t="s">
        <v>1117</v>
      </c>
      <c r="B4187" s="8" t="s">
        <v>589</v>
      </c>
      <c r="C4187" s="19" t="n">
        <v>20</v>
      </c>
      <c r="D4187" s="19" t="n">
        <v>411.65</v>
      </c>
      <c r="E4187" s="19" t="n">
        <v>12</v>
      </c>
      <c r="F4187" s="19" t="n">
        <v>219.72</v>
      </c>
      <c r="G4187" s="8" t="n">
        <f aca="false">IFERROR(INDEX('TRANS'!$B:$B,MATCH($B4187,'TRANS'!$A:$A,0)),IFERROR(INDEX('TRANS'!$B:$B,MATCH(TRIM(SUBSTITUTE($B4187,CHAR(160)," ")),'TRANS'!$D:$D,0)),IFERROR(INDEX('Catalog'!$A:$A,MATCH($B4187,'Catalog'!$B:$B,0)),IFERROR(INDEX('Catalog'!$A:$A,MATCH(TRIM(SUBSTITUTE($B4187,CHAR(160)," ")),'Catalog'!$C:$C,0)),""))))</f>
        <v>4421005</v>
      </c>
      <c r="H4187" s="8" t="str">
        <f aca="false">IFERROR(INDEX('TRANS'!$C:$C,MATCH($B4187,'TRANS'!$A:$A,0)),IFERROR(INDEX('Catalog'!$B:$B,MATCH($G4187,'Catalog'!$A:$A,0)),$B4187))</f>
        <v>שרוול לגבס קצר יד</v>
      </c>
      <c r="I4187" s="8" t="str">
        <f aca="false">IF($G4187="","Unmatched","Matched")</f>
        <v>Matched</v>
      </c>
      <c r="J4187" s="8" t="n">
        <f aca="false">IF($G4187&lt;&gt;"",$G4187,$B4187)</f>
        <v>4421005</v>
      </c>
      <c r="K4187" s="8" t="str">
        <f aca="false">IF(COUNTIF($M$1:$M$10,$A4187)&gt;0,"Y","N")</f>
        <v>N</v>
      </c>
    </row>
    <row r="4188" customFormat="false" ht="15" hidden="false" customHeight="true" outlineLevel="0" collapsed="false">
      <c r="A4188" s="8" t="s">
        <v>1117</v>
      </c>
      <c r="B4188" s="8" t="s">
        <v>590</v>
      </c>
      <c r="C4188" s="19" t="n">
        <v>30</v>
      </c>
      <c r="D4188" s="19" t="n">
        <v>689.16</v>
      </c>
      <c r="E4188" s="19" t="n">
        <v>20</v>
      </c>
      <c r="F4188" s="19" t="n">
        <v>415.16</v>
      </c>
      <c r="G4188" s="8" t="n">
        <f aca="false">IFERROR(INDEX('TRANS'!$B:$B,MATCH($B4188,'TRANS'!$A:$A,0)),IFERROR(INDEX('TRANS'!$B:$B,MATCH(TRIM(SUBSTITUTE($B4188,CHAR(160)," ")),'TRANS'!$D:$D,0)),IFERROR(INDEX('Catalog'!$A:$A,MATCH($B4188,'Catalog'!$B:$B,0)),IFERROR(INDEX('Catalog'!$A:$A,MATCH(TRIM(SUBSTITUTE($B4188,CHAR(160)," ")),'Catalog'!$C:$C,0)),""))))</f>
        <v>4421006</v>
      </c>
      <c r="H4188" s="8" t="str">
        <f aca="false">IFERROR(INDEX('TRANS'!$C:$C,MATCH($B4188,'TRANS'!$A:$A,0)),IFERROR(INDEX('Catalog'!$B:$B,MATCH($G4188,'Catalog'!$A:$A,0)),$B4188))</f>
        <v>שרוול לגבס ארוך יד</v>
      </c>
      <c r="I4188" s="8" t="str">
        <f aca="false">IF($G4188="","Unmatched","Matched")</f>
        <v>Matched</v>
      </c>
      <c r="J4188" s="8" t="n">
        <f aca="false">IF($G4188&lt;&gt;"",$G4188,$B4188)</f>
        <v>4421006</v>
      </c>
      <c r="K4188" s="8" t="str">
        <f aca="false">IF(COUNTIF($M$1:$M$10,$A4188)&gt;0,"Y","N")</f>
        <v>N</v>
      </c>
    </row>
    <row r="4189" customFormat="false" ht="15" hidden="false" customHeight="true" outlineLevel="0" collapsed="false">
      <c r="A4189" s="8" t="s">
        <v>1117</v>
      </c>
      <c r="B4189" s="8" t="s">
        <v>592</v>
      </c>
      <c r="C4189" s="19" t="n">
        <v>20</v>
      </c>
      <c r="D4189" s="19" t="n">
        <v>484.75</v>
      </c>
      <c r="E4189" s="19" t="n">
        <v>30</v>
      </c>
      <c r="F4189" s="19" t="n">
        <v>662.71</v>
      </c>
      <c r="G4189" s="8" t="n">
        <f aca="false">IFERROR(INDEX('TRANS'!$B:$B,MATCH($B4189,'TRANS'!$A:$A,0)),IFERROR(INDEX('TRANS'!$B:$B,MATCH(TRIM(SUBSTITUTE($B4189,CHAR(160)," ")),'TRANS'!$D:$D,0)),IFERROR(INDEX('Catalog'!$A:$A,MATCH($B4189,'Catalog'!$B:$B,0)),IFERROR(INDEX('Catalog'!$A:$A,MATCH(TRIM(SUBSTITUTE($B4189,CHAR(160)," ")),'Catalog'!$C:$C,0)),""))))</f>
        <v>4415158</v>
      </c>
      <c r="H4189" s="8" t="str">
        <f aca="false">IFERROR(INDEX('TRANS'!$C:$C,MATCH($B4189,'TRANS'!$A:$A,0)),IFERROR(INDEX('Catalog'!$B:$B,MATCH($G4189,'Catalog'!$A:$A,0)),$B4189))</f>
        <v>266 סד ליד דו צדדי</v>
      </c>
      <c r="I4189" s="8" t="str">
        <f aca="false">IF($G4189="","Unmatched","Matched")</f>
        <v>Matched</v>
      </c>
      <c r="J4189" s="8" t="n">
        <f aca="false">IF($G4189&lt;&gt;"",$G4189,$B4189)</f>
        <v>4415158</v>
      </c>
      <c r="K4189" s="8" t="str">
        <f aca="false">IF(COUNTIF($M$1:$M$10,$A4189)&gt;0,"Y","N")</f>
        <v>N</v>
      </c>
    </row>
    <row r="4190" customFormat="false" ht="15" hidden="false" customHeight="true" outlineLevel="0" collapsed="false">
      <c r="A4190" s="8" t="s">
        <v>1117</v>
      </c>
      <c r="B4190" s="8" t="s">
        <v>593</v>
      </c>
      <c r="C4190" s="19" t="n">
        <v>10</v>
      </c>
      <c r="D4190" s="19" t="n">
        <v>379.78</v>
      </c>
      <c r="E4190" s="19" t="n">
        <v>10</v>
      </c>
      <c r="F4190" s="19" t="n">
        <v>358.23</v>
      </c>
      <c r="G4190" s="8" t="n">
        <f aca="false">IFERROR(INDEX('TRANS'!$B:$B,MATCH($B4190,'TRANS'!$A:$A,0)),IFERROR(INDEX('TRANS'!$B:$B,MATCH(TRIM(SUBSTITUTE($B4190,CHAR(160)," ")),'TRANS'!$D:$D,0)),IFERROR(INDEX('Catalog'!$A:$A,MATCH($B4190,'Catalog'!$B:$B,0)),IFERROR(INDEX('Catalog'!$A:$A,MATCH(TRIM(SUBSTITUTE($B4190,CHAR(160)," ")),'Catalog'!$C:$C,0)),""))))</f>
        <v>4415159</v>
      </c>
      <c r="H4190" s="8" t="str">
        <f aca="false">IFERROR(INDEX('TRANS'!$C:$C,MATCH($B4190,'TRANS'!$A:$A,0)),IFERROR(INDEX('Catalog'!$B:$B,MATCH($G4190,'Catalog'!$A:$A,0)),$B4190))</f>
        <v>268 סד לאגודל</v>
      </c>
      <c r="I4190" s="8" t="str">
        <f aca="false">IF($G4190="","Unmatched","Matched")</f>
        <v>Matched</v>
      </c>
      <c r="J4190" s="8" t="n">
        <f aca="false">IF($G4190&lt;&gt;"",$G4190,$B4190)</f>
        <v>4415159</v>
      </c>
      <c r="K4190" s="8" t="str">
        <f aca="false">IF(COUNTIF($M$1:$M$10,$A4190)&gt;0,"Y","N")</f>
        <v>N</v>
      </c>
    </row>
    <row r="4191" customFormat="false" ht="15" hidden="false" customHeight="true" outlineLevel="0" collapsed="false">
      <c r="A4191" s="8" t="s">
        <v>1117</v>
      </c>
      <c r="B4191" s="8" t="s">
        <v>957</v>
      </c>
      <c r="C4191" s="19" t="n">
        <v>3</v>
      </c>
      <c r="D4191" s="19" t="n">
        <v>120.36</v>
      </c>
      <c r="E4191" s="19" t="n">
        <v>3</v>
      </c>
      <c r="F4191" s="19" t="n">
        <v>105.76</v>
      </c>
      <c r="G4191" s="8" t="n">
        <f aca="false">IFERROR(INDEX('TRANS'!$B:$B,MATCH($B4191,'TRANS'!$A:$A,0)),IFERROR(INDEX('TRANS'!$B:$B,MATCH(TRIM(SUBSTITUTE($B4191,CHAR(160)," ")),'TRANS'!$D:$D,0)),IFERROR(INDEX('Catalog'!$A:$A,MATCH($B4191,'Catalog'!$B:$B,0)),IFERROR(INDEX('Catalog'!$A:$A,MATCH(TRIM(SUBSTITUTE($B4191,CHAR(160)," ")),'Catalog'!$C:$C,0)),""))))</f>
        <v>4415005</v>
      </c>
      <c r="H4191" s="8" t="str">
        <f aca="false">IFERROR(INDEX('TRANS'!$C:$C,MATCH($B4191,'TRANS'!$A:$A,0)),IFERROR(INDEX('Catalog'!$B:$B,MATCH($G4191,'Catalog'!$A:$A,0)),$B4191))</f>
        <v>28 L סד לאגודל לאחר שבר</v>
      </c>
      <c r="I4191" s="8" t="str">
        <f aca="false">IF($G4191="","Unmatched","Matched")</f>
        <v>Matched</v>
      </c>
      <c r="J4191" s="8" t="n">
        <f aca="false">IF($G4191&lt;&gt;"",$G4191,$B4191)</f>
        <v>4415005</v>
      </c>
      <c r="K4191" s="8" t="str">
        <f aca="false">IF(COUNTIF($M$1:$M$10,$A4191)&gt;0,"Y","N")</f>
        <v>N</v>
      </c>
    </row>
    <row r="4192" customFormat="false" ht="15" hidden="false" customHeight="true" outlineLevel="0" collapsed="false">
      <c r="A4192" s="8" t="s">
        <v>1117</v>
      </c>
      <c r="B4192" s="8" t="s">
        <v>594</v>
      </c>
      <c r="C4192" s="19" t="n">
        <v>9</v>
      </c>
      <c r="D4192" s="19" t="n">
        <v>375.86</v>
      </c>
      <c r="E4192" s="19" t="n">
        <v>0</v>
      </c>
      <c r="F4192" s="19" t="n">
        <v>0</v>
      </c>
      <c r="G4192" s="8" t="n">
        <f aca="false">IFERROR(INDEX('TRANS'!$B:$B,MATCH($B4192,'TRANS'!$A:$A,0)),IFERROR(INDEX('TRANS'!$B:$B,MATCH(TRIM(SUBSTITUTE($B4192,CHAR(160)," ")),'TRANS'!$D:$D,0)),IFERROR(INDEX('Catalog'!$A:$A,MATCH($B4192,'Catalog'!$B:$B,0)),IFERROR(INDEX('Catalog'!$A:$A,MATCH(TRIM(SUBSTITUTE($B4192,CHAR(160)," ")),'Catalog'!$C:$C,0)),""))))</f>
        <v>4415006</v>
      </c>
      <c r="H4192" s="8" t="str">
        <f aca="false">IFERROR(INDEX('TRANS'!$C:$C,MATCH($B4192,'TRANS'!$A:$A,0)),IFERROR(INDEX('Catalog'!$B:$B,MATCH($G4192,'Catalog'!$A:$A,0)),$B4192))</f>
        <v>28 M סד לאגודל לאחר שבר</v>
      </c>
      <c r="I4192" s="8" t="str">
        <f aca="false">IF($G4192="","Unmatched","Matched")</f>
        <v>Matched</v>
      </c>
      <c r="J4192" s="8" t="n">
        <f aca="false">IF($G4192&lt;&gt;"",$G4192,$B4192)</f>
        <v>4415006</v>
      </c>
      <c r="K4192" s="8" t="str">
        <f aca="false">IF(COUNTIF($M$1:$M$10,$A4192)&gt;0,"Y","N")</f>
        <v>N</v>
      </c>
    </row>
    <row r="4193" customFormat="false" ht="15" hidden="false" customHeight="true" outlineLevel="0" collapsed="false">
      <c r="A4193" s="8" t="s">
        <v>1117</v>
      </c>
      <c r="B4193" s="8" t="s">
        <v>958</v>
      </c>
      <c r="C4193" s="19" t="n">
        <v>10</v>
      </c>
      <c r="D4193" s="19" t="n">
        <v>401.21</v>
      </c>
      <c r="E4193" s="19" t="n">
        <v>6</v>
      </c>
      <c r="F4193" s="19" t="n">
        <v>227.07</v>
      </c>
      <c r="G4193" s="8" t="n">
        <f aca="false">IFERROR(INDEX('TRANS'!$B:$B,MATCH($B4193,'TRANS'!$A:$A,0)),IFERROR(INDEX('TRANS'!$B:$B,MATCH(TRIM(SUBSTITUTE($B4193,CHAR(160)," ")),'TRANS'!$D:$D,0)),IFERROR(INDEX('Catalog'!$A:$A,MATCH($B4193,'Catalog'!$B:$B,0)),IFERROR(INDEX('Catalog'!$A:$A,MATCH(TRIM(SUBSTITUTE($B4193,CHAR(160)," ")),'Catalog'!$C:$C,0)),""))))</f>
        <v>4415007</v>
      </c>
      <c r="H4193" s="8" t="str">
        <f aca="false">IFERROR(INDEX('TRANS'!$C:$C,MATCH($B4193,'TRANS'!$A:$A,0)),IFERROR(INDEX('Catalog'!$B:$B,MATCH($G4193,'Catalog'!$A:$A,0)),$B4193))</f>
        <v>28 S סד לאגודל לאחר שבר</v>
      </c>
      <c r="I4193" s="8" t="str">
        <f aca="false">IF($G4193="","Unmatched","Matched")</f>
        <v>Matched</v>
      </c>
      <c r="J4193" s="8" t="n">
        <f aca="false">IF($G4193&lt;&gt;"",$G4193,$B4193)</f>
        <v>4415007</v>
      </c>
      <c r="K4193" s="8" t="str">
        <f aca="false">IF(COUNTIF($M$1:$M$10,$A4193)&gt;0,"Y","N")</f>
        <v>N</v>
      </c>
    </row>
    <row r="4194" customFormat="false" ht="15" hidden="false" customHeight="true" outlineLevel="0" collapsed="false">
      <c r="A4194" s="8" t="s">
        <v>1117</v>
      </c>
      <c r="B4194" s="8" t="s">
        <v>959</v>
      </c>
      <c r="C4194" s="19" t="n">
        <v>3</v>
      </c>
      <c r="D4194" s="19" t="n">
        <v>117.4</v>
      </c>
      <c r="E4194" s="19" t="n">
        <v>0</v>
      </c>
      <c r="F4194" s="19" t="n">
        <v>0</v>
      </c>
      <c r="G4194" s="8" t="n">
        <f aca="false">IFERROR(INDEX('TRANS'!$B:$B,MATCH($B4194,'TRANS'!$A:$A,0)),IFERROR(INDEX('TRANS'!$B:$B,MATCH(TRIM(SUBSTITUTE($B4194,CHAR(160)," ")),'TRANS'!$D:$D,0)),IFERROR(INDEX('Catalog'!$A:$A,MATCH($B4194,'Catalog'!$B:$B,0)),IFERROR(INDEX('Catalog'!$A:$A,MATCH(TRIM(SUBSTITUTE($B4194,CHAR(160)," ")),'Catalog'!$C:$C,0)),""))))</f>
        <v>4415008</v>
      </c>
      <c r="H4194" s="8" t="str">
        <f aca="false">IFERROR(INDEX('TRANS'!$C:$C,MATCH($B4194,'TRANS'!$A:$A,0)),IFERROR(INDEX('Catalog'!$B:$B,MATCH($G4194,'Catalog'!$A:$A,0)),$B4194))</f>
        <v>28 XL סד לאגודל לאחר שבר</v>
      </c>
      <c r="I4194" s="8" t="str">
        <f aca="false">IF($G4194="","Unmatched","Matched")</f>
        <v>Matched</v>
      </c>
      <c r="J4194" s="8" t="n">
        <f aca="false">IF($G4194&lt;&gt;"",$G4194,$B4194)</f>
        <v>4415008</v>
      </c>
      <c r="K4194" s="8" t="str">
        <f aca="false">IF(COUNTIF($M$1:$M$10,$A4194)&gt;0,"Y","N")</f>
        <v>N</v>
      </c>
    </row>
    <row r="4195" customFormat="false" ht="15" hidden="false" customHeight="true" outlineLevel="0" collapsed="false">
      <c r="A4195" s="8" t="s">
        <v>1117</v>
      </c>
      <c r="B4195" s="8" t="s">
        <v>1053</v>
      </c>
      <c r="C4195" s="19" t="n">
        <v>0</v>
      </c>
      <c r="D4195" s="19" t="n">
        <v>0</v>
      </c>
      <c r="E4195" s="19" t="n">
        <v>3</v>
      </c>
      <c r="F4195" s="19" t="n">
        <v>113.53</v>
      </c>
      <c r="G4195" s="8" t="n">
        <f aca="false">IFERROR(INDEX('TRANS'!$B:$B,MATCH($B4195,'TRANS'!$A:$A,0)),IFERROR(INDEX('TRANS'!$B:$B,MATCH(TRIM(SUBSTITUTE($B4195,CHAR(160)," ")),'TRANS'!$D:$D,0)),IFERROR(INDEX('Catalog'!$A:$A,MATCH($B4195,'Catalog'!$B:$B,0)),IFERROR(INDEX('Catalog'!$A:$A,MATCH(TRIM(SUBSTITUTE($B4195,CHAR(160)," ")),'Catalog'!$C:$C,0)),""))))</f>
        <v>4415025</v>
      </c>
      <c r="H4195" s="8" t="str">
        <f aca="false">IFERROR(INDEX('TRANS'!$C:$C,MATCH($B4195,'TRANS'!$A:$A,0)),IFERROR(INDEX('Catalog'!$B:$B,MATCH($G4195,'Catalog'!$A:$A,0)),$B4195))</f>
        <v>28-XS סד לאגודל לאחר שבר</v>
      </c>
      <c r="I4195" s="8" t="str">
        <f aca="false">IF($G4195="","Unmatched","Matched")</f>
        <v>Matched</v>
      </c>
      <c r="J4195" s="8" t="n">
        <f aca="false">IF($G4195&lt;&gt;"",$G4195,$B4195)</f>
        <v>4415025</v>
      </c>
      <c r="K4195" s="8" t="str">
        <f aca="false">IF(COUNTIF($M$1:$M$10,$A4195)&gt;0,"Y","N")</f>
        <v>N</v>
      </c>
    </row>
    <row r="4196" customFormat="false" ht="15" hidden="false" customHeight="true" outlineLevel="0" collapsed="false">
      <c r="A4196" s="8" t="s">
        <v>1117</v>
      </c>
      <c r="B4196" s="8" t="s">
        <v>789</v>
      </c>
      <c r="C4196" s="19" t="n">
        <v>10</v>
      </c>
      <c r="D4196" s="19" t="n">
        <v>338.76</v>
      </c>
      <c r="E4196" s="19" t="n">
        <v>0</v>
      </c>
      <c r="F4196" s="19" t="n">
        <v>0</v>
      </c>
      <c r="G4196" s="8" t="n">
        <f aca="false">IFERROR(INDEX('TRANS'!$B:$B,MATCH($B4196,'TRANS'!$A:$A,0)),IFERROR(INDEX('TRANS'!$B:$B,MATCH(TRIM(SUBSTITUTE($B4196,CHAR(160)," ")),'TRANS'!$D:$D,0)),IFERROR(INDEX('Catalog'!$A:$A,MATCH($B4196,'Catalog'!$B:$B,0)),IFERROR(INDEX('Catalog'!$A:$A,MATCH(TRIM(SUBSTITUTE($B4196,CHAR(160)," ")),'Catalog'!$C:$C,0)),""))))</f>
        <v>4420035</v>
      </c>
      <c r="H4196" s="8" t="str">
        <f aca="false">IFERROR(INDEX('TRANS'!$C:$C,MATCH($B4196,'TRANS'!$A:$A,0)),IFERROR(INDEX('Catalog'!$B:$B,MATCH($G4196,'Catalog'!$A:$A,0)),$B4196))</f>
        <v>301CW 36-40 'רפידת ג'ל בז</v>
      </c>
      <c r="I4196" s="8" t="str">
        <f aca="false">IF($G4196="","Unmatched","Matched")</f>
        <v>Matched</v>
      </c>
      <c r="J4196" s="8" t="n">
        <f aca="false">IF($G4196&lt;&gt;"",$G4196,$B4196)</f>
        <v>4420035</v>
      </c>
      <c r="K4196" s="8" t="str">
        <f aca="false">IF(COUNTIF($M$1:$M$10,$A4196)&gt;0,"Y","N")</f>
        <v>N</v>
      </c>
    </row>
    <row r="4197" customFormat="false" ht="15" hidden="false" customHeight="true" outlineLevel="0" collapsed="false">
      <c r="A4197" s="8" t="s">
        <v>1117</v>
      </c>
      <c r="B4197" s="8" t="s">
        <v>595</v>
      </c>
      <c r="C4197" s="19" t="n">
        <v>32</v>
      </c>
      <c r="D4197" s="19" t="n">
        <v>1005.51</v>
      </c>
      <c r="E4197" s="19" t="n">
        <v>30</v>
      </c>
      <c r="F4197" s="19" t="n">
        <v>806</v>
      </c>
      <c r="G4197" s="8" t="n">
        <f aca="false">IFERROR(INDEX('TRANS'!$B:$B,MATCH($B4197,'TRANS'!$A:$A,0)),IFERROR(INDEX('TRANS'!$B:$B,MATCH(TRIM(SUBSTITUTE($B4197,CHAR(160)," ")),'TRANS'!$D:$D,0)),IFERROR(INDEX('Catalog'!$A:$A,MATCH($B4197,'Catalog'!$B:$B,0)),IFERROR(INDEX('Catalog'!$A:$A,MATCH(TRIM(SUBSTITUTE($B4197,CHAR(160)," ")),'Catalog'!$C:$C,0)),""))))</f>
        <v>4413348</v>
      </c>
      <c r="H4197" s="8" t="str">
        <f aca="false">IFERROR(INDEX('TRANS'!$C:$C,MATCH($B4197,'TRANS'!$A:$A,0)),IFERROR(INDEX('Catalog'!$B:$B,MATCH($G4197,'Catalog'!$A:$A,0)),$B4197))</f>
        <v>302 מדרס ג'ל לגבר</v>
      </c>
      <c r="I4197" s="8" t="str">
        <f aca="false">IF($G4197="","Unmatched","Matched")</f>
        <v>Matched</v>
      </c>
      <c r="J4197" s="8" t="n">
        <f aca="false">IF($G4197&lt;&gt;"",$G4197,$B4197)</f>
        <v>4413348</v>
      </c>
      <c r="K4197" s="8" t="str">
        <f aca="false">IF(COUNTIF($M$1:$M$10,$A4197)&gt;0,"Y","N")</f>
        <v>N</v>
      </c>
    </row>
    <row r="4198" customFormat="false" ht="15" hidden="false" customHeight="true" outlineLevel="0" collapsed="false">
      <c r="A4198" s="8" t="s">
        <v>1117</v>
      </c>
      <c r="B4198" s="8" t="s">
        <v>596</v>
      </c>
      <c r="C4198" s="19" t="n">
        <v>20</v>
      </c>
      <c r="D4198" s="19" t="n">
        <v>572.59</v>
      </c>
      <c r="E4198" s="19" t="n">
        <v>0</v>
      </c>
      <c r="F4198" s="19" t="n">
        <v>0</v>
      </c>
      <c r="G4198" s="8" t="n">
        <f aca="false">IFERROR(INDEX('TRANS'!$B:$B,MATCH($B4198,'TRANS'!$A:$A,0)),IFERROR(INDEX('TRANS'!$B:$B,MATCH(TRIM(SUBSTITUTE($B4198,CHAR(160)," ")),'TRANS'!$D:$D,0)),IFERROR(INDEX('Catalog'!$A:$A,MATCH($B4198,'Catalog'!$B:$B,0)),IFERROR(INDEX('Catalog'!$A:$A,MATCH(TRIM(SUBSTITUTE($B4198,CHAR(160)," ")),'Catalog'!$C:$C,0)),""))))</f>
        <v>4413372</v>
      </c>
      <c r="H4198" s="8" t="str">
        <f aca="false">IFERROR(INDEX('TRANS'!$C:$C,MATCH($B4198,'TRANS'!$A:$A,0)),IFERROR(INDEX('Catalog'!$B:$B,MATCH($G4198,'Catalog'!$A:$A,0)),$B4198))</f>
        <v>302 W מדרס לאישה</v>
      </c>
      <c r="I4198" s="8" t="str">
        <f aca="false">IF($G4198="","Unmatched","Matched")</f>
        <v>Matched</v>
      </c>
      <c r="J4198" s="8" t="n">
        <f aca="false">IF($G4198&lt;&gt;"",$G4198,$B4198)</f>
        <v>4413372</v>
      </c>
      <c r="K4198" s="8" t="str">
        <f aca="false">IF(COUNTIF($M$1:$M$10,$A4198)&gt;0,"Y","N")</f>
        <v>N</v>
      </c>
    </row>
    <row r="4199" customFormat="false" ht="15" hidden="false" customHeight="true" outlineLevel="0" collapsed="false">
      <c r="A4199" s="8" t="s">
        <v>1117</v>
      </c>
      <c r="B4199" s="8" t="s">
        <v>235</v>
      </c>
      <c r="C4199" s="19" t="n">
        <v>0</v>
      </c>
      <c r="D4199" s="19" t="n">
        <v>0</v>
      </c>
      <c r="E4199" s="19" t="n">
        <v>2</v>
      </c>
      <c r="F4199" s="19" t="n">
        <v>67.77</v>
      </c>
      <c r="G4199" s="8" t="str">
        <f aca="false">IFERROR(INDEX('TRANS'!$B:$B,MATCH($B4199,'TRANS'!$A:$A,0)),IFERROR(INDEX('TRANS'!$B:$B,MATCH(TRIM(SUBSTITUTE($B4199,CHAR(160)," ")),'TRANS'!$D:$D,0)),IFERROR(INDEX('Catalog'!$A:$A,MATCH($B4199,'Catalog'!$B:$B,0)),IFERROR(INDEX('Catalog'!$A:$A,MATCH(TRIM(SUBSTITUTE($B4199,CHAR(160)," ")),'Catalog'!$C:$C,0)),""))))</f>
        <v/>
      </c>
      <c r="H4199" s="8" t="str">
        <f aca="false">IFERROR(INDEX('TRANS'!$C:$C,MATCH($B4199,'TRANS'!$A:$A,0)),IFERROR(INDEX('Catalog'!$B:$B,MATCH($G4199,'Catalog'!$A:$A,0)),$B4199))</f>
        <v>305-35-36</v>
      </c>
      <c r="I4199" s="8" t="str">
        <f aca="false">IF($G4199="","Unmatched","Matched")</f>
        <v>Unmatched</v>
      </c>
      <c r="J4199" s="8" t="str">
        <f aca="false">IF($G4199&lt;&gt;"",$G4199,$B4199)</f>
        <v>305-35-36</v>
      </c>
      <c r="K4199" s="8" t="str">
        <f aca="false">IF(COUNTIF($M$1:$M$10,$A4199)&gt;0,"Y","N")</f>
        <v>N</v>
      </c>
    </row>
    <row r="4200" customFormat="false" ht="15" hidden="false" customHeight="true" outlineLevel="0" collapsed="false">
      <c r="A4200" s="8" t="s">
        <v>1117</v>
      </c>
      <c r="B4200" s="8" t="s">
        <v>200</v>
      </c>
      <c r="C4200" s="19" t="n">
        <v>12</v>
      </c>
      <c r="D4200" s="19" t="n">
        <v>474.09</v>
      </c>
      <c r="E4200" s="19" t="n">
        <v>22</v>
      </c>
      <c r="F4200" s="19" t="n">
        <v>760.37</v>
      </c>
      <c r="G4200" s="8" t="str">
        <f aca="false">IFERROR(INDEX('TRANS'!$B:$B,MATCH($B4200,'TRANS'!$A:$A,0)),IFERROR(INDEX('TRANS'!$B:$B,MATCH(TRIM(SUBSTITUTE($B4200,CHAR(160)," ")),'TRANS'!$D:$D,0)),IFERROR(INDEX('Catalog'!$A:$A,MATCH($B4200,'Catalog'!$B:$B,0)),IFERROR(INDEX('Catalog'!$A:$A,MATCH(TRIM(SUBSTITUTE($B4200,CHAR(160)," ")),'Catalog'!$C:$C,0)),""))))</f>
        <v/>
      </c>
      <c r="H4200" s="8" t="str">
        <f aca="false">IFERROR(INDEX('TRANS'!$C:$C,MATCH($B4200,'TRANS'!$A:$A,0)),IFERROR(INDEX('Catalog'!$B:$B,MATCH($G4200,'Catalog'!$A:$A,0)),$B4200))</f>
        <v>305-37-38</v>
      </c>
      <c r="I4200" s="8" t="str">
        <f aca="false">IF($G4200="","Unmatched","Matched")</f>
        <v>Unmatched</v>
      </c>
      <c r="J4200" s="8" t="str">
        <f aca="false">IF($G4200&lt;&gt;"",$G4200,$B4200)</f>
        <v>305-37-38</v>
      </c>
      <c r="K4200" s="8" t="str">
        <f aca="false">IF(COUNTIF($M$1:$M$10,$A4200)&gt;0,"Y","N")</f>
        <v>N</v>
      </c>
    </row>
    <row r="4201" customFormat="false" ht="15" hidden="false" customHeight="true" outlineLevel="0" collapsed="false">
      <c r="A4201" s="8" t="s">
        <v>1117</v>
      </c>
      <c r="B4201" s="8" t="s">
        <v>140</v>
      </c>
      <c r="C4201" s="19" t="n">
        <v>25</v>
      </c>
      <c r="D4201" s="19" t="n">
        <v>961.17</v>
      </c>
      <c r="E4201" s="19" t="n">
        <v>10</v>
      </c>
      <c r="F4201" s="19" t="n">
        <v>363.75</v>
      </c>
      <c r="G4201" s="8" t="str">
        <f aca="false">IFERROR(INDEX('TRANS'!$B:$B,MATCH($B4201,'TRANS'!$A:$A,0)),IFERROR(INDEX('TRANS'!$B:$B,MATCH(TRIM(SUBSTITUTE($B4201,CHAR(160)," ")),'TRANS'!$D:$D,0)),IFERROR(INDEX('Catalog'!$A:$A,MATCH($B4201,'Catalog'!$B:$B,0)),IFERROR(INDEX('Catalog'!$A:$A,MATCH(TRIM(SUBSTITUTE($B4201,CHAR(160)," ")),'Catalog'!$C:$C,0)),""))))</f>
        <v/>
      </c>
      <c r="H4201" s="8" t="str">
        <f aca="false">IFERROR(INDEX('TRANS'!$C:$C,MATCH($B4201,'TRANS'!$A:$A,0)),IFERROR(INDEX('Catalog'!$B:$B,MATCH($G4201,'Catalog'!$A:$A,0)),$B4201))</f>
        <v>305-39-40</v>
      </c>
      <c r="I4201" s="8" t="str">
        <f aca="false">IF($G4201="","Unmatched","Matched")</f>
        <v>Unmatched</v>
      </c>
      <c r="J4201" s="8" t="str">
        <f aca="false">IF($G4201&lt;&gt;"",$G4201,$B4201)</f>
        <v>305-39-40</v>
      </c>
      <c r="K4201" s="8" t="str">
        <f aca="false">IF(COUNTIF($M$1:$M$10,$A4201)&gt;0,"Y","N")</f>
        <v>N</v>
      </c>
    </row>
    <row r="4202" customFormat="false" ht="15" hidden="false" customHeight="true" outlineLevel="0" collapsed="false">
      <c r="A4202" s="8" t="s">
        <v>1117</v>
      </c>
      <c r="B4202" s="8" t="s">
        <v>102</v>
      </c>
      <c r="C4202" s="19" t="n">
        <v>22</v>
      </c>
      <c r="D4202" s="19" t="n">
        <v>836.96</v>
      </c>
      <c r="E4202" s="19" t="n">
        <v>20</v>
      </c>
      <c r="F4202" s="19" t="n">
        <v>727.49</v>
      </c>
      <c r="G4202" s="8" t="str">
        <f aca="false">IFERROR(INDEX('TRANS'!$B:$B,MATCH($B4202,'TRANS'!$A:$A,0)),IFERROR(INDEX('TRANS'!$B:$B,MATCH(TRIM(SUBSTITUTE($B4202,CHAR(160)," ")),'TRANS'!$D:$D,0)),IFERROR(INDEX('Catalog'!$A:$A,MATCH($B4202,'Catalog'!$B:$B,0)),IFERROR(INDEX('Catalog'!$A:$A,MATCH(TRIM(SUBSTITUTE($B4202,CHAR(160)," ")),'Catalog'!$C:$C,0)),""))))</f>
        <v/>
      </c>
      <c r="H4202" s="8" t="str">
        <f aca="false">IFERROR(INDEX('TRANS'!$C:$C,MATCH($B4202,'TRANS'!$A:$A,0)),IFERROR(INDEX('Catalog'!$B:$B,MATCH($G4202,'Catalog'!$A:$A,0)),$B4202))</f>
        <v>305-41-42</v>
      </c>
      <c r="I4202" s="8" t="str">
        <f aca="false">IF($G4202="","Unmatched","Matched")</f>
        <v>Unmatched</v>
      </c>
      <c r="J4202" s="8" t="str">
        <f aca="false">IF($G4202&lt;&gt;"",$G4202,$B4202)</f>
        <v>305-41-42</v>
      </c>
      <c r="K4202" s="8" t="str">
        <f aca="false">IF(COUNTIF($M$1:$M$10,$A4202)&gt;0,"Y","N")</f>
        <v>N</v>
      </c>
    </row>
    <row r="4203" customFormat="false" ht="15" hidden="false" customHeight="true" outlineLevel="0" collapsed="false">
      <c r="A4203" s="8" t="s">
        <v>1117</v>
      </c>
      <c r="B4203" s="8" t="s">
        <v>108</v>
      </c>
      <c r="C4203" s="19" t="n">
        <v>26</v>
      </c>
      <c r="D4203" s="19" t="n">
        <v>1010.16</v>
      </c>
      <c r="E4203" s="19" t="n">
        <v>36</v>
      </c>
      <c r="F4203" s="19" t="n">
        <v>1234.73</v>
      </c>
      <c r="G4203" s="8" t="str">
        <f aca="false">IFERROR(INDEX('TRANS'!$B:$B,MATCH($B4203,'TRANS'!$A:$A,0)),IFERROR(INDEX('TRANS'!$B:$B,MATCH(TRIM(SUBSTITUTE($B4203,CHAR(160)," ")),'TRANS'!$D:$D,0)),IFERROR(INDEX('Catalog'!$A:$A,MATCH($B4203,'Catalog'!$B:$B,0)),IFERROR(INDEX('Catalog'!$A:$A,MATCH(TRIM(SUBSTITUTE($B4203,CHAR(160)," ")),'Catalog'!$C:$C,0)),""))))</f>
        <v/>
      </c>
      <c r="H4203" s="8" t="str">
        <f aca="false">IFERROR(INDEX('TRANS'!$C:$C,MATCH($B4203,'TRANS'!$A:$A,0)),IFERROR(INDEX('Catalog'!$B:$B,MATCH($G4203,'Catalog'!$A:$A,0)),$B4203))</f>
        <v>305-43-44</v>
      </c>
      <c r="I4203" s="8" t="str">
        <f aca="false">IF($G4203="","Unmatched","Matched")</f>
        <v>Unmatched</v>
      </c>
      <c r="J4203" s="8" t="str">
        <f aca="false">IF($G4203&lt;&gt;"",$G4203,$B4203)</f>
        <v>305-43-44</v>
      </c>
      <c r="K4203" s="8" t="str">
        <f aca="false">IF(COUNTIF($M$1:$M$10,$A4203)&gt;0,"Y","N")</f>
        <v>N</v>
      </c>
    </row>
    <row r="4204" customFormat="false" ht="15" hidden="false" customHeight="true" outlineLevel="0" collapsed="false">
      <c r="A4204" s="8" t="s">
        <v>1117</v>
      </c>
      <c r="B4204" s="8" t="s">
        <v>201</v>
      </c>
      <c r="C4204" s="19" t="n">
        <v>13</v>
      </c>
      <c r="D4204" s="19" t="n">
        <v>500.33</v>
      </c>
      <c r="E4204" s="19" t="n">
        <v>10</v>
      </c>
      <c r="F4204" s="19" t="n">
        <v>363.75</v>
      </c>
      <c r="G4204" s="8" t="str">
        <f aca="false">IFERROR(INDEX('TRANS'!$B:$B,MATCH($B4204,'TRANS'!$A:$A,0)),IFERROR(INDEX('TRANS'!$B:$B,MATCH(TRIM(SUBSTITUTE($B4204,CHAR(160)," ")),'TRANS'!$D:$D,0)),IFERROR(INDEX('Catalog'!$A:$A,MATCH($B4204,'Catalog'!$B:$B,0)),IFERROR(INDEX('Catalog'!$A:$A,MATCH(TRIM(SUBSTITUTE($B4204,CHAR(160)," ")),'Catalog'!$C:$C,0)),""))))</f>
        <v/>
      </c>
      <c r="H4204" s="8" t="str">
        <f aca="false">IFERROR(INDEX('TRANS'!$C:$C,MATCH($B4204,'TRANS'!$A:$A,0)),IFERROR(INDEX('Catalog'!$B:$B,MATCH($G4204,'Catalog'!$A:$A,0)),$B4204))</f>
        <v>305-45-46</v>
      </c>
      <c r="I4204" s="8" t="str">
        <f aca="false">IF($G4204="","Unmatched","Matched")</f>
        <v>Unmatched</v>
      </c>
      <c r="J4204" s="8" t="str">
        <f aca="false">IF($G4204&lt;&gt;"",$G4204,$B4204)</f>
        <v>305-45-46</v>
      </c>
      <c r="K4204" s="8" t="str">
        <f aca="false">IF(COUNTIF($M$1:$M$10,$A4204)&gt;0,"Y","N")</f>
        <v>N</v>
      </c>
    </row>
    <row r="4205" customFormat="false" ht="15" hidden="false" customHeight="true" outlineLevel="0" collapsed="false">
      <c r="A4205" s="8" t="s">
        <v>1117</v>
      </c>
      <c r="B4205" s="8" t="s">
        <v>602</v>
      </c>
      <c r="C4205" s="19" t="n">
        <v>12</v>
      </c>
      <c r="D4205" s="19" t="n">
        <v>393.96</v>
      </c>
      <c r="E4205" s="19" t="n">
        <v>0</v>
      </c>
      <c r="F4205" s="19" t="n">
        <v>0</v>
      </c>
      <c r="G4205" s="8" t="n">
        <f aca="false">IFERROR(INDEX('TRANS'!$B:$B,MATCH($B4205,'TRANS'!$A:$A,0)),IFERROR(INDEX('TRANS'!$B:$B,MATCH(TRIM(SUBSTITUTE($B4205,CHAR(160)," ")),'TRANS'!$D:$D,0)),IFERROR(INDEX('Catalog'!$A:$A,MATCH($B4205,'Catalog'!$B:$B,0)),IFERROR(INDEX('Catalog'!$A:$A,MATCH(TRIM(SUBSTITUTE($B4205,CHAR(160)," ")),'Catalog'!$C:$C,0)),""))))</f>
        <v>4416001</v>
      </c>
      <c r="H4205" s="8" t="str">
        <f aca="false">IFERROR(INDEX('TRANS'!$C:$C,MATCH($B4205,'TRANS'!$A:$A,0)),IFERROR(INDEX('Catalog'!$B:$B,MATCH($G4205,'Catalog'!$A:$A,0)),$B4205))</f>
        <v>307 M עקבים לדורבן-זוג כריות</v>
      </c>
      <c r="I4205" s="8" t="str">
        <f aca="false">IF($G4205="","Unmatched","Matched")</f>
        <v>Matched</v>
      </c>
      <c r="J4205" s="8" t="n">
        <f aca="false">IF($G4205&lt;&gt;"",$G4205,$B4205)</f>
        <v>4416001</v>
      </c>
      <c r="K4205" s="8" t="str">
        <f aca="false">IF(COUNTIF($M$1:$M$10,$A4205)&gt;0,"Y","N")</f>
        <v>N</v>
      </c>
    </row>
    <row r="4206" customFormat="false" ht="15" hidden="false" customHeight="true" outlineLevel="0" collapsed="false">
      <c r="A4206" s="8" t="s">
        <v>1117</v>
      </c>
      <c r="B4206" s="8" t="s">
        <v>960</v>
      </c>
      <c r="C4206" s="19" t="n">
        <v>3</v>
      </c>
      <c r="D4206" s="19" t="n">
        <v>98.49</v>
      </c>
      <c r="E4206" s="19" t="n">
        <v>0</v>
      </c>
      <c r="F4206" s="19" t="n">
        <v>0</v>
      </c>
      <c r="G4206" s="8" t="n">
        <f aca="false">IFERROR(INDEX('TRANS'!$B:$B,MATCH($B4206,'TRANS'!$A:$A,0)),IFERROR(INDEX('TRANS'!$B:$B,MATCH(TRIM(SUBSTITUTE($B4206,CHAR(160)," ")),'TRANS'!$D:$D,0)),IFERROR(INDEX('Catalog'!$A:$A,MATCH($B4206,'Catalog'!$B:$B,0)),IFERROR(INDEX('Catalog'!$A:$A,MATCH(TRIM(SUBSTITUTE($B4206,CHAR(160)," ")),'Catalog'!$C:$C,0)),""))))</f>
        <v>4416002</v>
      </c>
      <c r="H4206" s="8" t="str">
        <f aca="false">IFERROR(INDEX('TRANS'!$C:$C,MATCH($B4206,'TRANS'!$A:$A,0)),IFERROR(INDEX('Catalog'!$B:$B,MATCH($G4206,'Catalog'!$A:$A,0)),$B4206))</f>
        <v>307 S עקבים לדורבן-זוג כריות</v>
      </c>
      <c r="I4206" s="8" t="str">
        <f aca="false">IF($G4206="","Unmatched","Matched")</f>
        <v>Matched</v>
      </c>
      <c r="J4206" s="8" t="n">
        <f aca="false">IF($G4206&lt;&gt;"",$G4206,$B4206)</f>
        <v>4416002</v>
      </c>
      <c r="K4206" s="8" t="str">
        <f aca="false">IF(COUNTIF($M$1:$M$10,$A4206)&gt;0,"Y","N")</f>
        <v>N</v>
      </c>
    </row>
    <row r="4207" customFormat="false" ht="15" hidden="false" customHeight="true" outlineLevel="0" collapsed="false">
      <c r="A4207" s="8" t="s">
        <v>1117</v>
      </c>
      <c r="B4207" s="8" t="s">
        <v>605</v>
      </c>
      <c r="C4207" s="19" t="n">
        <v>10</v>
      </c>
      <c r="D4207" s="19" t="n">
        <v>108.28</v>
      </c>
      <c r="E4207" s="19" t="n">
        <v>10</v>
      </c>
      <c r="F4207" s="19" t="n">
        <v>104.71</v>
      </c>
      <c r="G4207" s="8" t="n">
        <f aca="false">IFERROR(INDEX('TRANS'!$B:$B,MATCH($B4207,'TRANS'!$A:$A,0)),IFERROR(INDEX('TRANS'!$B:$B,MATCH(TRIM(SUBSTITUTE($B4207,CHAR(160)," ")),'TRANS'!$D:$D,0)),IFERROR(INDEX('Catalog'!$A:$A,MATCH($B4207,'Catalog'!$B:$B,0)),IFERROR(INDEX('Catalog'!$A:$A,MATCH(TRIM(SUBSTITUTE($B4207,CHAR(160)," ")),'Catalog'!$C:$C,0)),""))))</f>
        <v>4413033</v>
      </c>
      <c r="H4207" s="8" t="str">
        <f aca="false">IFERROR(INDEX('TRANS'!$C:$C,MATCH($B4207,'TRANS'!$A:$A,0)),IFERROR(INDEX('Catalog'!$B:$B,MATCH($G4207,'Catalog'!$A:$A,0)),$B4207))</f>
        <v>311'מדב.ג'ל למניעת שפשוף 5 יח</v>
      </c>
      <c r="I4207" s="8" t="str">
        <f aca="false">IF($G4207="","Unmatched","Matched")</f>
        <v>Matched</v>
      </c>
      <c r="J4207" s="8" t="n">
        <f aca="false">IF($G4207&lt;&gt;"",$G4207,$B4207)</f>
        <v>4413033</v>
      </c>
      <c r="K4207" s="8" t="str">
        <f aca="false">IF(COUNTIF($M$1:$M$10,$A4207)&gt;0,"Y","N")</f>
        <v>N</v>
      </c>
    </row>
    <row r="4208" customFormat="false" ht="15" hidden="false" customHeight="true" outlineLevel="0" collapsed="false">
      <c r="A4208" s="8" t="s">
        <v>1117</v>
      </c>
      <c r="B4208" s="8" t="s">
        <v>607</v>
      </c>
      <c r="C4208" s="19" t="n">
        <v>10</v>
      </c>
      <c r="D4208" s="19" t="n">
        <v>138.28</v>
      </c>
      <c r="E4208" s="19" t="n">
        <v>10</v>
      </c>
      <c r="F4208" s="19" t="n">
        <v>130.43</v>
      </c>
      <c r="G4208" s="8" t="n">
        <f aca="false">IFERROR(INDEX('TRANS'!$B:$B,MATCH($B4208,'TRANS'!$A:$A,0)),IFERROR(INDEX('TRANS'!$B:$B,MATCH(TRIM(SUBSTITUTE($B4208,CHAR(160)," ")),'TRANS'!$D:$D,0)),IFERROR(INDEX('Catalog'!$A:$A,MATCH($B4208,'Catalog'!$B:$B,0)),IFERROR(INDEX('Catalog'!$A:$A,MATCH(TRIM(SUBSTITUTE($B4208,CHAR(160)," ")),'Catalog'!$C:$C,0)),""))))</f>
        <v>4415297</v>
      </c>
      <c r="H4208" s="8" t="str">
        <f aca="false">IFERROR(INDEX('TRANS'!$C:$C,MATCH($B4208,'TRANS'!$A:$A,0)),IFERROR(INDEX('Catalog'!$B:$B,MATCH($G4208,'Catalog'!$A:$A,0)),$B4208))</f>
        <v>313 סט פלסטרים נגד שפשופים</v>
      </c>
      <c r="I4208" s="8" t="str">
        <f aca="false">IF($G4208="","Unmatched","Matched")</f>
        <v>Matched</v>
      </c>
      <c r="J4208" s="8" t="n">
        <f aca="false">IF($G4208&lt;&gt;"",$G4208,$B4208)</f>
        <v>4415297</v>
      </c>
      <c r="K4208" s="8" t="str">
        <f aca="false">IF(COUNTIF($M$1:$M$10,$A4208)&gt;0,"Y","N")</f>
        <v>N</v>
      </c>
    </row>
    <row r="4209" customFormat="false" ht="15" hidden="false" customHeight="true" outlineLevel="0" collapsed="false">
      <c r="A4209" s="8" t="s">
        <v>1117</v>
      </c>
      <c r="B4209" s="8" t="s">
        <v>609</v>
      </c>
      <c r="C4209" s="19" t="n">
        <v>0</v>
      </c>
      <c r="D4209" s="19" t="n">
        <v>0</v>
      </c>
      <c r="E4209" s="19" t="n">
        <v>10</v>
      </c>
      <c r="F4209" s="19" t="n">
        <v>69.81</v>
      </c>
      <c r="G4209" s="8" t="n">
        <f aca="false">IFERROR(INDEX('TRANS'!$B:$B,MATCH($B4209,'TRANS'!$A:$A,0)),IFERROR(INDEX('TRANS'!$B:$B,MATCH(TRIM(SUBSTITUTE($B4209,CHAR(160)," ")),'TRANS'!$D:$D,0)),IFERROR(INDEX('Catalog'!$A:$A,MATCH($B4209,'Catalog'!$B:$B,0)),IFERROR(INDEX('Catalog'!$A:$A,MATCH(TRIM(SUBSTITUTE($B4209,CHAR(160)," ")),'Catalog'!$C:$C,0)),""))))</f>
        <v>4402007</v>
      </c>
      <c r="H4209" s="8" t="str">
        <f aca="false">IFERROR(INDEX('TRANS'!$C:$C,MATCH($B4209,'TRANS'!$A:$A,0)),IFERROR(INDEX('Catalog'!$B:$B,MATCH($G4209,'Catalog'!$A:$A,0)),$B4209))</f>
        <v>320 בליסטר פלסטר</v>
      </c>
      <c r="I4209" s="8" t="str">
        <f aca="false">IF($G4209="","Unmatched","Matched")</f>
        <v>Matched</v>
      </c>
      <c r="J4209" s="8" t="n">
        <f aca="false">IF($G4209&lt;&gt;"",$G4209,$B4209)</f>
        <v>4402007</v>
      </c>
      <c r="K4209" s="8" t="str">
        <f aca="false">IF(COUNTIF($M$1:$M$10,$A4209)&gt;0,"Y","N")</f>
        <v>N</v>
      </c>
    </row>
    <row r="4210" customFormat="false" ht="15" hidden="false" customHeight="true" outlineLevel="0" collapsed="false">
      <c r="A4210" s="8" t="s">
        <v>1117</v>
      </c>
      <c r="B4210" s="8" t="s">
        <v>910</v>
      </c>
      <c r="C4210" s="19" t="n">
        <v>13</v>
      </c>
      <c r="D4210" s="19" t="n">
        <v>308.99</v>
      </c>
      <c r="E4210" s="19" t="n">
        <v>10</v>
      </c>
      <c r="F4210" s="19" t="n">
        <v>220.45</v>
      </c>
      <c r="G4210" s="8" t="n">
        <f aca="false">IFERROR(INDEX('TRANS'!$B:$B,MATCH($B4210,'TRANS'!$A:$A,0)),IFERROR(INDEX('TRANS'!$B:$B,MATCH(TRIM(SUBSTITUTE($B4210,CHAR(160)," ")),'TRANS'!$D:$D,0)),IFERROR(INDEX('Catalog'!$A:$A,MATCH($B4210,'Catalog'!$B:$B,0)),IFERROR(INDEX('Catalog'!$A:$A,MATCH(TRIM(SUBSTITUTE($B4210,CHAR(160)," ")),'Catalog'!$C:$C,0)),""))))</f>
        <v>4413043</v>
      </c>
      <c r="H4210" s="8" t="str">
        <f aca="false">IFERROR(INDEX('TRANS'!$C:$C,MATCH($B4210,'TRANS'!$A:$A,0)),IFERROR(INDEX('Catalog'!$B:$B,MATCH($G4210,'Catalog'!$A:$A,0)),$B4210))</f>
        <v>34  L מגן קרסול עקב סגור</v>
      </c>
      <c r="I4210" s="8" t="str">
        <f aca="false">IF($G4210="","Unmatched","Matched")</f>
        <v>Matched</v>
      </c>
      <c r="J4210" s="8" t="n">
        <f aca="false">IF($G4210&lt;&gt;"",$G4210,$B4210)</f>
        <v>4413043</v>
      </c>
      <c r="K4210" s="8" t="str">
        <f aca="false">IF(COUNTIF($M$1:$M$10,$A4210)&gt;0,"Y","N")</f>
        <v>N</v>
      </c>
    </row>
    <row r="4211" customFormat="false" ht="15" hidden="false" customHeight="true" outlineLevel="0" collapsed="false">
      <c r="A4211" s="8" t="s">
        <v>1117</v>
      </c>
      <c r="B4211" s="8" t="s">
        <v>915</v>
      </c>
      <c r="C4211" s="19" t="n">
        <v>3</v>
      </c>
      <c r="D4211" s="19" t="n">
        <v>75.28</v>
      </c>
      <c r="E4211" s="19" t="n">
        <v>6</v>
      </c>
      <c r="F4211" s="19" t="n">
        <v>123.21</v>
      </c>
      <c r="G4211" s="8" t="n">
        <f aca="false">IFERROR(INDEX('TRANS'!$B:$B,MATCH($B4211,'TRANS'!$A:$A,0)),IFERROR(INDEX('TRANS'!$B:$B,MATCH(TRIM(SUBSTITUTE($B4211,CHAR(160)," ")),'TRANS'!$D:$D,0)),IFERROR(INDEX('Catalog'!$A:$A,MATCH($B4211,'Catalog'!$B:$B,0)),IFERROR(INDEX('Catalog'!$A:$A,MATCH(TRIM(SUBSTITUTE($B4211,CHAR(160)," ")),'Catalog'!$C:$C,0)),""))))</f>
        <v>4413041</v>
      </c>
      <c r="H4211" s="8" t="str">
        <f aca="false">IFERROR(INDEX('TRANS'!$C:$C,MATCH($B4211,'TRANS'!$A:$A,0)),IFERROR(INDEX('Catalog'!$B:$B,MATCH($G4211,'Catalog'!$A:$A,0)),$B4211))</f>
        <v>34  M מגן קרסול עקב סגור</v>
      </c>
      <c r="I4211" s="8" t="str">
        <f aca="false">IF($G4211="","Unmatched","Matched")</f>
        <v>Matched</v>
      </c>
      <c r="J4211" s="8" t="n">
        <f aca="false">IF($G4211&lt;&gt;"",$G4211,$B4211)</f>
        <v>4413041</v>
      </c>
      <c r="K4211" s="8" t="str">
        <f aca="false">IF(COUNTIF($M$1:$M$10,$A4211)&gt;0,"Y","N")</f>
        <v>N</v>
      </c>
    </row>
    <row r="4212" customFormat="false" ht="15" hidden="false" customHeight="true" outlineLevel="0" collapsed="false">
      <c r="A4212" s="8" t="s">
        <v>1117</v>
      </c>
      <c r="B4212" s="8" t="s">
        <v>984</v>
      </c>
      <c r="C4212" s="19" t="n">
        <v>13</v>
      </c>
      <c r="D4212" s="19" t="n">
        <v>303.23</v>
      </c>
      <c r="E4212" s="19" t="n">
        <v>0</v>
      </c>
      <c r="F4212" s="19" t="n">
        <v>0</v>
      </c>
      <c r="G4212" s="8" t="n">
        <f aca="false">IFERROR(INDEX('TRANS'!$B:$B,MATCH($B4212,'TRANS'!$A:$A,0)),IFERROR(INDEX('TRANS'!$B:$B,MATCH(TRIM(SUBSTITUTE($B4212,CHAR(160)," ")),'TRANS'!$D:$D,0)),IFERROR(INDEX('Catalog'!$A:$A,MATCH($B4212,'Catalog'!$B:$B,0)),IFERROR(INDEX('Catalog'!$A:$A,MATCH(TRIM(SUBSTITUTE($B4212,CHAR(160)," ")),'Catalog'!$C:$C,0)),""))))</f>
        <v>4413042</v>
      </c>
      <c r="H4212" s="8" t="str">
        <f aca="false">IFERROR(INDEX('TRANS'!$C:$C,MATCH($B4212,'TRANS'!$A:$A,0)),IFERROR(INDEX('Catalog'!$B:$B,MATCH($G4212,'Catalog'!$A:$A,0)),$B4212))</f>
        <v>34  S מגן קרסול עקב סגור</v>
      </c>
      <c r="I4212" s="8" t="str">
        <f aca="false">IF($G4212="","Unmatched","Matched")</f>
        <v>Matched</v>
      </c>
      <c r="J4212" s="8" t="n">
        <f aca="false">IF($G4212&lt;&gt;"",$G4212,$B4212)</f>
        <v>4413042</v>
      </c>
      <c r="K4212" s="8" t="str">
        <f aca="false">IF(COUNTIF($M$1:$M$10,$A4212)&gt;0,"Y","N")</f>
        <v>N</v>
      </c>
    </row>
    <row r="4213" customFormat="false" ht="15" hidden="false" customHeight="true" outlineLevel="0" collapsed="false">
      <c r="A4213" s="8" t="s">
        <v>1117</v>
      </c>
      <c r="B4213" s="8" t="s">
        <v>916</v>
      </c>
      <c r="C4213" s="19" t="n">
        <v>10</v>
      </c>
      <c r="D4213" s="19" t="n">
        <v>233.71</v>
      </c>
      <c r="E4213" s="19" t="n">
        <v>0</v>
      </c>
      <c r="F4213" s="19" t="n">
        <v>0</v>
      </c>
      <c r="G4213" s="8" t="n">
        <f aca="false">IFERROR(INDEX('TRANS'!$B:$B,MATCH($B4213,'TRANS'!$A:$A,0)),IFERROR(INDEX('TRANS'!$B:$B,MATCH(TRIM(SUBSTITUTE($B4213,CHAR(160)," ")),'TRANS'!$D:$D,0)),IFERROR(INDEX('Catalog'!$A:$A,MATCH($B4213,'Catalog'!$B:$B,0)),IFERROR(INDEX('Catalog'!$A:$A,MATCH(TRIM(SUBSTITUTE($B4213,CHAR(160)," ")),'Catalog'!$C:$C,0)),""))))</f>
        <v>4413044</v>
      </c>
      <c r="H4213" s="8" t="str">
        <f aca="false">IFERROR(INDEX('TRANS'!$C:$C,MATCH($B4213,'TRANS'!$A:$A,0)),IFERROR(INDEX('Catalog'!$B:$B,MATCH($G4213,'Catalog'!$A:$A,0)),$B4213))</f>
        <v>34 XL מגן קרסול עקב סגור</v>
      </c>
      <c r="I4213" s="8" t="str">
        <f aca="false">IF($G4213="","Unmatched","Matched")</f>
        <v>Matched</v>
      </c>
      <c r="J4213" s="8" t="n">
        <f aca="false">IF($G4213&lt;&gt;"",$G4213,$B4213)</f>
        <v>4413044</v>
      </c>
      <c r="K4213" s="8" t="str">
        <f aca="false">IF(COUNTIF($M$1:$M$10,$A4213)&gt;0,"Y","N")</f>
        <v>N</v>
      </c>
    </row>
    <row r="4214" customFormat="false" ht="15" hidden="false" customHeight="true" outlineLevel="0" collapsed="false">
      <c r="A4214" s="8" t="s">
        <v>1117</v>
      </c>
      <c r="B4214" s="8" t="s">
        <v>212</v>
      </c>
      <c r="C4214" s="19" t="n">
        <v>6</v>
      </c>
      <c r="D4214" s="19" t="n">
        <v>140.23</v>
      </c>
      <c r="E4214" s="19" t="n">
        <v>0</v>
      </c>
      <c r="F4214" s="19" t="n">
        <v>0</v>
      </c>
      <c r="G4214" s="8" t="str">
        <f aca="false">IFERROR(INDEX('TRANS'!$B:$B,MATCH($B4214,'TRANS'!$A:$A,0)),IFERROR(INDEX('TRANS'!$B:$B,MATCH(TRIM(SUBSTITUTE($B4214,CHAR(160)," ")),'TRANS'!$D:$D,0)),IFERROR(INDEX('Catalog'!$A:$A,MATCH($B4214,'Catalog'!$B:$B,0)),IFERROR(INDEX('Catalog'!$A:$A,MATCH(TRIM(SUBSTITUTE($B4214,CHAR(160)," ")),'Catalog'!$C:$C,0)),""))))</f>
        <v/>
      </c>
      <c r="H4214" s="8" t="str">
        <f aca="false">IFERROR(INDEX('TRANS'!$C:$C,MATCH($B4214,'TRANS'!$A:$A,0)),IFERROR(INDEX('Catalog'!$B:$B,MATCH($G4214,'Catalog'!$A:$A,0)),$B4214))</f>
        <v>34 XS</v>
      </c>
      <c r="I4214" s="8" t="str">
        <f aca="false">IF($G4214="","Unmatched","Matched")</f>
        <v>Unmatched</v>
      </c>
      <c r="J4214" s="8" t="str">
        <f aca="false">IF($G4214&lt;&gt;"",$G4214,$B4214)</f>
        <v>34 XS</v>
      </c>
      <c r="K4214" s="8" t="str">
        <f aca="false">IF(COUNTIF($M$1:$M$10,$A4214)&gt;0,"Y","N")</f>
        <v>N</v>
      </c>
    </row>
    <row r="4215" customFormat="false" ht="15" hidden="false" customHeight="true" outlineLevel="0" collapsed="false">
      <c r="A4215" s="8" t="s">
        <v>1117</v>
      </c>
      <c r="B4215" s="8" t="s">
        <v>985</v>
      </c>
      <c r="C4215" s="19" t="n">
        <v>6</v>
      </c>
      <c r="D4215" s="19" t="n">
        <v>140.23</v>
      </c>
      <c r="E4215" s="19" t="n">
        <v>0</v>
      </c>
      <c r="F4215" s="19" t="n">
        <v>0</v>
      </c>
      <c r="G4215" s="8" t="n">
        <f aca="false">IFERROR(INDEX('TRANS'!$B:$B,MATCH($B4215,'TRANS'!$A:$A,0)),IFERROR(INDEX('TRANS'!$B:$B,MATCH(TRIM(SUBSTITUTE($B4215,CHAR(160)," ")),'TRANS'!$D:$D,0)),IFERROR(INDEX('Catalog'!$A:$A,MATCH($B4215,'Catalog'!$B:$B,0)),IFERROR(INDEX('Catalog'!$A:$A,MATCH(TRIM(SUBSTITUTE($B4215,CHAR(160)," ")),'Catalog'!$C:$C,0)),""))))</f>
        <v>4413046</v>
      </c>
      <c r="H4215" s="8" t="str">
        <f aca="false">IFERROR(INDEX('TRANS'!$C:$C,MATCH($B4215,'TRANS'!$A:$A,0)),IFERROR(INDEX('Catalog'!$B:$B,MATCH($G4215,'Catalog'!$A:$A,0)),$B4215))</f>
        <v>34 XXL מגן קרסול עקב סגור</v>
      </c>
      <c r="I4215" s="8" t="str">
        <f aca="false">IF($G4215="","Unmatched","Matched")</f>
        <v>Matched</v>
      </c>
      <c r="J4215" s="8" t="n">
        <f aca="false">IF($G4215&lt;&gt;"",$G4215,$B4215)</f>
        <v>4413046</v>
      </c>
      <c r="K4215" s="8" t="str">
        <f aca="false">IF(COUNTIF($M$1:$M$10,$A4215)&gt;0,"Y","N")</f>
        <v>N</v>
      </c>
    </row>
    <row r="4216" customFormat="false" ht="15" hidden="false" customHeight="true" outlineLevel="0" collapsed="false">
      <c r="A4216" s="8" t="s">
        <v>1117</v>
      </c>
      <c r="B4216" s="8" t="s">
        <v>611</v>
      </c>
      <c r="C4216" s="19" t="n">
        <v>0</v>
      </c>
      <c r="D4216" s="19" t="n">
        <v>0</v>
      </c>
      <c r="E4216" s="19" t="n">
        <v>20</v>
      </c>
      <c r="F4216" s="19" t="n">
        <v>635.64</v>
      </c>
      <c r="G4216" s="8" t="n">
        <f aca="false">IFERROR(INDEX('TRANS'!$B:$B,MATCH($B4216,'TRANS'!$A:$A,0)),IFERROR(INDEX('TRANS'!$B:$B,MATCH(TRIM(SUBSTITUTE($B4216,CHAR(160)," ")),'TRANS'!$D:$D,0)),IFERROR(INDEX('Catalog'!$A:$A,MATCH($B4216,'Catalog'!$B:$B,0)),IFERROR(INDEX('Catalog'!$A:$A,MATCH(TRIM(SUBSTITUTE($B4216,CHAR(160)," ")),'Catalog'!$C:$C,0)),""))))</f>
        <v>4413161</v>
      </c>
      <c r="H4216" s="8" t="str">
        <f aca="false">IFERROR(INDEX('TRANS'!$C:$C,MATCH($B4216,'TRANS'!$A:$A,0)),IFERROR(INDEX('Catalog'!$B:$B,MATCH($G4216,'Catalog'!$A:$A,0)),$B4216))</f>
        <v>34+ L מגן קרסול עקב סגור+רצוע</v>
      </c>
      <c r="I4216" s="8" t="str">
        <f aca="false">IF($G4216="","Unmatched","Matched")</f>
        <v>Matched</v>
      </c>
      <c r="J4216" s="8" t="n">
        <f aca="false">IF($G4216&lt;&gt;"",$G4216,$B4216)</f>
        <v>4413161</v>
      </c>
      <c r="K4216" s="8" t="str">
        <f aca="false">IF(COUNTIF($M$1:$M$10,$A4216)&gt;0,"Y","N")</f>
        <v>N</v>
      </c>
    </row>
    <row r="4217" customFormat="false" ht="15" hidden="false" customHeight="true" outlineLevel="0" collapsed="false">
      <c r="A4217" s="8" t="s">
        <v>1117</v>
      </c>
      <c r="B4217" s="8" t="s">
        <v>790</v>
      </c>
      <c r="C4217" s="19" t="n">
        <v>10</v>
      </c>
      <c r="D4217" s="19" t="n">
        <v>328.63</v>
      </c>
      <c r="E4217" s="19" t="n">
        <v>20</v>
      </c>
      <c r="F4217" s="19" t="n">
        <v>592.1</v>
      </c>
      <c r="G4217" s="8" t="n">
        <f aca="false">IFERROR(INDEX('TRANS'!$B:$B,MATCH($B4217,'TRANS'!$A:$A,0)),IFERROR(INDEX('TRANS'!$B:$B,MATCH(TRIM(SUBSTITUTE($B4217,CHAR(160)," ")),'TRANS'!$D:$D,0)),IFERROR(INDEX('Catalog'!$A:$A,MATCH($B4217,'Catalog'!$B:$B,0)),IFERROR(INDEX('Catalog'!$A:$A,MATCH(TRIM(SUBSTITUTE($B4217,CHAR(160)," ")),'Catalog'!$C:$C,0)),""))))</f>
        <v>4413160</v>
      </c>
      <c r="H4217" s="8" t="str">
        <f aca="false">IFERROR(INDEX('TRANS'!$C:$C,MATCH($B4217,'TRANS'!$A:$A,0)),IFERROR(INDEX('Catalog'!$B:$B,MATCH($G4217,'Catalog'!$A:$A,0)),$B4217))</f>
        <v>34+ M מגן קרסול עקב סגור+רצוע</v>
      </c>
      <c r="I4217" s="8" t="str">
        <f aca="false">IF($G4217="","Unmatched","Matched")</f>
        <v>Matched</v>
      </c>
      <c r="J4217" s="8" t="n">
        <f aca="false">IF($G4217&lt;&gt;"",$G4217,$B4217)</f>
        <v>4413160</v>
      </c>
      <c r="K4217" s="8" t="str">
        <f aca="false">IF(COUNTIF($M$1:$M$10,$A4217)&gt;0,"Y","N")</f>
        <v>N</v>
      </c>
    </row>
    <row r="4218" customFormat="false" ht="15" hidden="false" customHeight="true" outlineLevel="0" collapsed="false">
      <c r="A4218" s="8" t="s">
        <v>1117</v>
      </c>
      <c r="B4218" s="8" t="s">
        <v>942</v>
      </c>
      <c r="C4218" s="19" t="n">
        <v>0</v>
      </c>
      <c r="D4218" s="19" t="n">
        <v>0</v>
      </c>
      <c r="E4218" s="19" t="n">
        <v>12</v>
      </c>
      <c r="F4218" s="19" t="n">
        <v>368.32</v>
      </c>
      <c r="G4218" s="8" t="n">
        <f aca="false">IFERROR(INDEX('TRANS'!$B:$B,MATCH($B4218,'TRANS'!$A:$A,0)),IFERROR(INDEX('TRANS'!$B:$B,MATCH(TRIM(SUBSTITUTE($B4218,CHAR(160)," ")),'TRANS'!$D:$D,0)),IFERROR(INDEX('Catalog'!$A:$A,MATCH($B4218,'Catalog'!$B:$B,0)),IFERROR(INDEX('Catalog'!$A:$A,MATCH(TRIM(SUBSTITUTE($B4218,CHAR(160)," ")),'Catalog'!$C:$C,0)),""))))</f>
        <v>4413159</v>
      </c>
      <c r="H4218" s="8" t="str">
        <f aca="false">IFERROR(INDEX('TRANS'!$C:$C,MATCH($B4218,'TRANS'!$A:$A,0)),IFERROR(INDEX('Catalog'!$B:$B,MATCH($G4218,'Catalog'!$A:$A,0)),$B4218))</f>
        <v>34+ S מגן קרסול עקב סגור+רצוע</v>
      </c>
      <c r="I4218" s="8" t="str">
        <f aca="false">IF($G4218="","Unmatched","Matched")</f>
        <v>Matched</v>
      </c>
      <c r="J4218" s="8" t="n">
        <f aca="false">IF($G4218&lt;&gt;"",$G4218,$B4218)</f>
        <v>4413159</v>
      </c>
      <c r="K4218" s="8" t="str">
        <f aca="false">IF(COUNTIF($M$1:$M$10,$A4218)&gt;0,"Y","N")</f>
        <v>N</v>
      </c>
    </row>
    <row r="4219" customFormat="false" ht="15" hidden="false" customHeight="true" outlineLevel="0" collapsed="false">
      <c r="A4219" s="8" t="s">
        <v>1117</v>
      </c>
      <c r="B4219" s="8" t="s">
        <v>612</v>
      </c>
      <c r="C4219" s="19" t="n">
        <v>10</v>
      </c>
      <c r="D4219" s="19" t="n">
        <v>336.93</v>
      </c>
      <c r="E4219" s="19" t="n">
        <v>6</v>
      </c>
      <c r="F4219" s="19" t="n">
        <v>190.69</v>
      </c>
      <c r="G4219" s="8" t="n">
        <f aca="false">IFERROR(INDEX('TRANS'!$B:$B,MATCH($B4219,'TRANS'!$A:$A,0)),IFERROR(INDEX('TRANS'!$B:$B,MATCH(TRIM(SUBSTITUTE($B4219,CHAR(160)," ")),'TRANS'!$D:$D,0)),IFERROR(INDEX('Catalog'!$A:$A,MATCH($B4219,'Catalog'!$B:$B,0)),IFERROR(INDEX('Catalog'!$A:$A,MATCH(TRIM(SUBSTITUTE($B4219,CHAR(160)," ")),'Catalog'!$C:$C,0)),""))))</f>
        <v>4413162</v>
      </c>
      <c r="H4219" s="8" t="str">
        <f aca="false">IFERROR(INDEX('TRANS'!$C:$C,MATCH($B4219,'TRANS'!$A:$A,0)),IFERROR(INDEX('Catalog'!$B:$B,MATCH($G4219,'Catalog'!$A:$A,0)),$B4219))</f>
        <v>34+XL מגן קרסול עקב סגור+רצוע</v>
      </c>
      <c r="I4219" s="8" t="str">
        <f aca="false">IF($G4219="","Unmatched","Matched")</f>
        <v>Matched</v>
      </c>
      <c r="J4219" s="8" t="n">
        <f aca="false">IF($G4219&lt;&gt;"",$G4219,$B4219)</f>
        <v>4413162</v>
      </c>
      <c r="K4219" s="8" t="str">
        <f aca="false">IF(COUNTIF($M$1:$M$10,$A4219)&gt;0,"Y","N")</f>
        <v>N</v>
      </c>
    </row>
    <row r="4220" customFormat="false" ht="15" hidden="false" customHeight="true" outlineLevel="0" collapsed="false">
      <c r="A4220" s="8" t="s">
        <v>1117</v>
      </c>
      <c r="B4220" s="8" t="s">
        <v>613</v>
      </c>
      <c r="C4220" s="19" t="n">
        <v>10</v>
      </c>
      <c r="D4220" s="19" t="n">
        <v>112.96</v>
      </c>
      <c r="E4220" s="19" t="n">
        <v>0</v>
      </c>
      <c r="F4220" s="19" t="n">
        <v>0</v>
      </c>
      <c r="G4220" s="8" t="n">
        <f aca="false">IFERROR(INDEX('TRANS'!$B:$B,MATCH($B4220,'TRANS'!$A:$A,0)),IFERROR(INDEX('TRANS'!$B:$B,MATCH(TRIM(SUBSTITUTE($B4220,CHAR(160)," ")),'TRANS'!$D:$D,0)),IFERROR(INDEX('Catalog'!$A:$A,MATCH($B4220,'Catalog'!$B:$B,0)),IFERROR(INDEX('Catalog'!$A:$A,MATCH(TRIM(SUBSTITUTE($B4220,CHAR(160)," ")),'Catalog'!$C:$C,0)),""))))</f>
        <v>4413048</v>
      </c>
      <c r="H4220" s="8" t="str">
        <f aca="false">IFERROR(INDEX('TRANS'!$C:$C,MATCH($B4220,'TRANS'!$A:$A,0)),IFERROR(INDEX('Catalog'!$B:$B,MATCH($G4220,'Catalog'!$A:$A,0)),$B4220))</f>
        <v>35 L מגן קרסול לבן</v>
      </c>
      <c r="I4220" s="8" t="str">
        <f aca="false">IF($G4220="","Unmatched","Matched")</f>
        <v>Matched</v>
      </c>
      <c r="J4220" s="8" t="n">
        <f aca="false">IF($G4220&lt;&gt;"",$G4220,$B4220)</f>
        <v>4413048</v>
      </c>
      <c r="K4220" s="8" t="str">
        <f aca="false">IF(COUNTIF($M$1:$M$10,$A4220)&gt;0,"Y","N")</f>
        <v>N</v>
      </c>
    </row>
    <row r="4221" customFormat="false" ht="15" hidden="false" customHeight="true" outlineLevel="0" collapsed="false">
      <c r="A4221" s="8" t="s">
        <v>1117</v>
      </c>
      <c r="B4221" s="8" t="s">
        <v>614</v>
      </c>
      <c r="C4221" s="19" t="n">
        <v>10</v>
      </c>
      <c r="D4221" s="19" t="n">
        <v>112.96</v>
      </c>
      <c r="E4221" s="19" t="n">
        <v>0</v>
      </c>
      <c r="F4221" s="19" t="n">
        <v>0</v>
      </c>
      <c r="G4221" s="8" t="n">
        <f aca="false">IFERROR(INDEX('TRANS'!$B:$B,MATCH($B4221,'TRANS'!$A:$A,0)),IFERROR(INDEX('TRANS'!$B:$B,MATCH(TRIM(SUBSTITUTE($B4221,CHAR(160)," ")),'TRANS'!$D:$D,0)),IFERROR(INDEX('Catalog'!$A:$A,MATCH($B4221,'Catalog'!$B:$B,0)),IFERROR(INDEX('Catalog'!$A:$A,MATCH(TRIM(SUBSTITUTE($B4221,CHAR(160)," ")),'Catalog'!$C:$C,0)),""))))</f>
        <v>4413049</v>
      </c>
      <c r="H4221" s="8" t="str">
        <f aca="false">IFERROR(INDEX('TRANS'!$C:$C,MATCH($B4221,'TRANS'!$A:$A,0)),IFERROR(INDEX('Catalog'!$B:$B,MATCH($G4221,'Catalog'!$A:$A,0)),$B4221))</f>
        <v>35 M מגן קרסול לבן</v>
      </c>
      <c r="I4221" s="8" t="str">
        <f aca="false">IF($G4221="","Unmatched","Matched")</f>
        <v>Matched</v>
      </c>
      <c r="J4221" s="8" t="n">
        <f aca="false">IF($G4221&lt;&gt;"",$G4221,$B4221)</f>
        <v>4413049</v>
      </c>
      <c r="K4221" s="8" t="str">
        <f aca="false">IF(COUNTIF($M$1:$M$10,$A4221)&gt;0,"Y","N")</f>
        <v>N</v>
      </c>
    </row>
    <row r="4222" customFormat="false" ht="15" hidden="false" customHeight="true" outlineLevel="0" collapsed="false">
      <c r="A4222" s="8" t="s">
        <v>1117</v>
      </c>
      <c r="B4222" s="8" t="s">
        <v>794</v>
      </c>
      <c r="C4222" s="19" t="n">
        <v>6</v>
      </c>
      <c r="D4222" s="19" t="n">
        <v>67.78</v>
      </c>
      <c r="E4222" s="19" t="n">
        <v>0</v>
      </c>
      <c r="F4222" s="19" t="n">
        <v>0</v>
      </c>
      <c r="G4222" s="8" t="n">
        <f aca="false">IFERROR(INDEX('TRANS'!$B:$B,MATCH($B4222,'TRANS'!$A:$A,0)),IFERROR(INDEX('TRANS'!$B:$B,MATCH(TRIM(SUBSTITUTE($B4222,CHAR(160)," ")),'TRANS'!$D:$D,0)),IFERROR(INDEX('Catalog'!$A:$A,MATCH($B4222,'Catalog'!$B:$B,0)),IFERROR(INDEX('Catalog'!$A:$A,MATCH(TRIM(SUBSTITUTE($B4222,CHAR(160)," ")),'Catalog'!$C:$C,0)),""))))</f>
        <v>4413051</v>
      </c>
      <c r="H4222" s="8" t="str">
        <f aca="false">IFERROR(INDEX('TRANS'!$C:$C,MATCH($B4222,'TRANS'!$A:$A,0)),IFERROR(INDEX('Catalog'!$B:$B,MATCH($G4222,'Catalog'!$A:$A,0)),$B4222))</f>
        <v>35 XXL מגן קרסול לבן</v>
      </c>
      <c r="I4222" s="8" t="str">
        <f aca="false">IF($G4222="","Unmatched","Matched")</f>
        <v>Matched</v>
      </c>
      <c r="J4222" s="8" t="n">
        <f aca="false">IF($G4222&lt;&gt;"",$G4222,$B4222)</f>
        <v>4413051</v>
      </c>
      <c r="K4222" s="8" t="str">
        <f aca="false">IF(COUNTIF($M$1:$M$10,$A4222)&gt;0,"Y","N")</f>
        <v>N</v>
      </c>
    </row>
    <row r="4223" customFormat="false" ht="15" hidden="false" customHeight="true" outlineLevel="0" collapsed="false">
      <c r="A4223" s="8" t="s">
        <v>1117</v>
      </c>
      <c r="B4223" s="8" t="s">
        <v>615</v>
      </c>
      <c r="C4223" s="19" t="n">
        <v>0</v>
      </c>
      <c r="D4223" s="19" t="n">
        <v>0</v>
      </c>
      <c r="E4223" s="19" t="n">
        <v>10</v>
      </c>
      <c r="F4223" s="19" t="n">
        <v>113.9</v>
      </c>
      <c r="G4223" s="8" t="n">
        <f aca="false">IFERROR(INDEX('TRANS'!$B:$B,MATCH($B4223,'TRANS'!$A:$A,0)),IFERROR(INDEX('TRANS'!$B:$B,MATCH(TRIM(SUBSTITUTE($B4223,CHAR(160)," ")),'TRANS'!$D:$D,0)),IFERROR(INDEX('Catalog'!$A:$A,MATCH($B4223,'Catalog'!$B:$B,0)),IFERROR(INDEX('Catalog'!$A:$A,MATCH(TRIM(SUBSTITUTE($B4223,CHAR(160)," ")),'Catalog'!$C:$C,0)),""))))</f>
        <v>4413490</v>
      </c>
      <c r="H4223" s="8" t="str">
        <f aca="false">IFERROR(INDEX('TRANS'!$C:$C,MATCH($B4223,'TRANS'!$A:$A,0)),IFERROR(INDEX('Catalog'!$B:$B,MATCH($G4223,'Catalog'!$A:$A,0)),$B4223))</f>
        <v>35B L מגן קרסול שחור</v>
      </c>
      <c r="I4223" s="8" t="str">
        <f aca="false">IF($G4223="","Unmatched","Matched")</f>
        <v>Matched</v>
      </c>
      <c r="J4223" s="8" t="n">
        <f aca="false">IF($G4223&lt;&gt;"",$G4223,$B4223)</f>
        <v>4413490</v>
      </c>
      <c r="K4223" s="8" t="str">
        <f aca="false">IF(COUNTIF($M$1:$M$10,$A4223)&gt;0,"Y","N")</f>
        <v>N</v>
      </c>
    </row>
    <row r="4224" customFormat="false" ht="15" hidden="false" customHeight="true" outlineLevel="0" collapsed="false">
      <c r="A4224" s="8" t="s">
        <v>1117</v>
      </c>
      <c r="B4224" s="8" t="s">
        <v>616</v>
      </c>
      <c r="C4224" s="19" t="n">
        <v>15</v>
      </c>
      <c r="D4224" s="19" t="n">
        <v>194.47</v>
      </c>
      <c r="E4224" s="19" t="n">
        <v>20</v>
      </c>
      <c r="F4224" s="19" t="n">
        <v>220</v>
      </c>
      <c r="G4224" s="8" t="n">
        <f aca="false">IFERROR(INDEX('TRANS'!$B:$B,MATCH($B4224,'TRANS'!$A:$A,0)),IFERROR(INDEX('TRANS'!$B:$B,MATCH(TRIM(SUBSTITUTE($B4224,CHAR(160)," ")),'TRANS'!$D:$D,0)),IFERROR(INDEX('Catalog'!$A:$A,MATCH($B4224,'Catalog'!$B:$B,0)),IFERROR(INDEX('Catalog'!$A:$A,MATCH(TRIM(SUBSTITUTE($B4224,CHAR(160)," ")),'Catalog'!$C:$C,0)),""))))</f>
        <v>4413492</v>
      </c>
      <c r="H4224" s="8" t="str">
        <f aca="false">IFERROR(INDEX('TRANS'!$C:$C,MATCH($B4224,'TRANS'!$A:$A,0)),IFERROR(INDEX('Catalog'!$B:$B,MATCH($G4224,'Catalog'!$A:$A,0)),$B4224))</f>
        <v>35B M מגן קרסול שחור</v>
      </c>
      <c r="I4224" s="8" t="str">
        <f aca="false">IF($G4224="","Unmatched","Matched")</f>
        <v>Matched</v>
      </c>
      <c r="J4224" s="8" t="n">
        <f aca="false">IF($G4224&lt;&gt;"",$G4224,$B4224)</f>
        <v>4413492</v>
      </c>
      <c r="K4224" s="8" t="str">
        <f aca="false">IF(COUNTIF($M$1:$M$10,$A4224)&gt;0,"Y","N")</f>
        <v>N</v>
      </c>
    </row>
    <row r="4225" customFormat="false" ht="15" hidden="false" customHeight="true" outlineLevel="0" collapsed="false">
      <c r="A4225" s="8" t="s">
        <v>1117</v>
      </c>
      <c r="B4225" s="8" t="s">
        <v>617</v>
      </c>
      <c r="C4225" s="19" t="n">
        <v>10</v>
      </c>
      <c r="D4225" s="19" t="n">
        <v>117.78</v>
      </c>
      <c r="E4225" s="19" t="n">
        <v>0</v>
      </c>
      <c r="F4225" s="19" t="n">
        <v>0</v>
      </c>
      <c r="G4225" s="8" t="n">
        <f aca="false">IFERROR(INDEX('TRANS'!$B:$B,MATCH($B4225,'TRANS'!$A:$A,0)),IFERROR(INDEX('TRANS'!$B:$B,MATCH(TRIM(SUBSTITUTE($B4225,CHAR(160)," ")),'TRANS'!$D:$D,0)),IFERROR(INDEX('Catalog'!$A:$A,MATCH($B4225,'Catalog'!$B:$B,0)),IFERROR(INDEX('Catalog'!$A:$A,MATCH(TRIM(SUBSTITUTE($B4225,CHAR(160)," ")),'Catalog'!$C:$C,0)),""))))</f>
        <v>4413493</v>
      </c>
      <c r="H4225" s="8" t="str">
        <f aca="false">IFERROR(INDEX('TRANS'!$C:$C,MATCH($B4225,'TRANS'!$A:$A,0)),IFERROR(INDEX('Catalog'!$B:$B,MATCH($G4225,'Catalog'!$A:$A,0)),$B4225))</f>
        <v>35B S מגן קרסול שחור</v>
      </c>
      <c r="I4225" s="8" t="str">
        <f aca="false">IF($G4225="","Unmatched","Matched")</f>
        <v>Matched</v>
      </c>
      <c r="J4225" s="8" t="n">
        <f aca="false">IF($G4225&lt;&gt;"",$G4225,$B4225)</f>
        <v>4413493</v>
      </c>
      <c r="K4225" s="8" t="str">
        <f aca="false">IF(COUNTIF($M$1:$M$10,$A4225)&gt;0,"Y","N")</f>
        <v>N</v>
      </c>
    </row>
    <row r="4226" customFormat="false" ht="15" hidden="false" customHeight="true" outlineLevel="0" collapsed="false">
      <c r="A4226" s="8" t="s">
        <v>1117</v>
      </c>
      <c r="B4226" s="8" t="s">
        <v>618</v>
      </c>
      <c r="C4226" s="19" t="n">
        <v>6</v>
      </c>
      <c r="D4226" s="19" t="n">
        <v>77.79</v>
      </c>
      <c r="E4226" s="19" t="n">
        <v>3</v>
      </c>
      <c r="F4226" s="19" t="n">
        <v>31.83</v>
      </c>
      <c r="G4226" s="8" t="n">
        <f aca="false">IFERROR(INDEX('TRANS'!$B:$B,MATCH($B4226,'TRANS'!$A:$A,0)),IFERROR(INDEX('TRANS'!$B:$B,MATCH(TRIM(SUBSTITUTE($B4226,CHAR(160)," ")),'TRANS'!$D:$D,0)),IFERROR(INDEX('Catalog'!$A:$A,MATCH($B4226,'Catalog'!$B:$B,0)),IFERROR(INDEX('Catalog'!$A:$A,MATCH(TRIM(SUBSTITUTE($B4226,CHAR(160)," ")),'Catalog'!$C:$C,0)),""))))</f>
        <v>4413491</v>
      </c>
      <c r="H4226" s="8" t="str">
        <f aca="false">IFERROR(INDEX('TRANS'!$C:$C,MATCH($B4226,'TRANS'!$A:$A,0)),IFERROR(INDEX('Catalog'!$B:$B,MATCH($G4226,'Catalog'!$A:$A,0)),$B4226))</f>
        <v>35B XL מגן קרסול שחור</v>
      </c>
      <c r="I4226" s="8" t="str">
        <f aca="false">IF($G4226="","Unmatched","Matched")</f>
        <v>Matched</v>
      </c>
      <c r="J4226" s="8" t="n">
        <f aca="false">IF($G4226&lt;&gt;"",$G4226,$B4226)</f>
        <v>4413491</v>
      </c>
      <c r="K4226" s="8" t="str">
        <f aca="false">IF(COUNTIF($M$1:$M$10,$A4226)&gt;0,"Y","N")</f>
        <v>N</v>
      </c>
    </row>
    <row r="4227" customFormat="false" ht="15" hidden="false" customHeight="true" outlineLevel="0" collapsed="false">
      <c r="A4227" s="8" t="s">
        <v>1117</v>
      </c>
      <c r="B4227" s="8" t="s">
        <v>619</v>
      </c>
      <c r="C4227" s="19" t="n">
        <v>10</v>
      </c>
      <c r="D4227" s="19" t="n">
        <v>120.75</v>
      </c>
      <c r="E4227" s="19" t="n">
        <v>0</v>
      </c>
      <c r="F4227" s="19" t="n">
        <v>0</v>
      </c>
      <c r="G4227" s="8" t="n">
        <f aca="false">IFERROR(INDEX('TRANS'!$B:$B,MATCH($B4227,'TRANS'!$A:$A,0)),IFERROR(INDEX('TRANS'!$B:$B,MATCH(TRIM(SUBSTITUTE($B4227,CHAR(160)," ")),'TRANS'!$D:$D,0)),IFERROR(INDEX('Catalog'!$A:$A,MATCH($B4227,'Catalog'!$B:$B,0)),IFERROR(INDEX('Catalog'!$A:$A,MATCH(TRIM(SUBSTITUTE($B4227,CHAR(160)," ")),'Catalog'!$C:$C,0)),""))))</f>
        <v>4413494</v>
      </c>
      <c r="H4227" s="8" t="str">
        <f aca="false">IFERROR(INDEX('TRANS'!$C:$C,MATCH($B4227,'TRANS'!$A:$A,0)),IFERROR(INDEX('Catalog'!$B:$B,MATCH($G4227,'Catalog'!$A:$A,0)),$B4227))</f>
        <v>35B XXL מגן קרסול שחור</v>
      </c>
      <c r="I4227" s="8" t="str">
        <f aca="false">IF($G4227="","Unmatched","Matched")</f>
        <v>Matched</v>
      </c>
      <c r="J4227" s="8" t="n">
        <f aca="false">IF($G4227&lt;&gt;"",$G4227,$B4227)</f>
        <v>4413494</v>
      </c>
      <c r="K4227" s="8" t="str">
        <f aca="false">IF(COUNTIF($M$1:$M$10,$A4227)&gt;0,"Y","N")</f>
        <v>N</v>
      </c>
    </row>
    <row r="4228" customFormat="false" ht="15" hidden="false" customHeight="true" outlineLevel="0" collapsed="false">
      <c r="A4228" s="8" t="s">
        <v>1117</v>
      </c>
      <c r="B4228" s="8" t="s">
        <v>620</v>
      </c>
      <c r="C4228" s="19" t="n">
        <v>0</v>
      </c>
      <c r="D4228" s="19" t="n">
        <v>0</v>
      </c>
      <c r="E4228" s="19" t="n">
        <v>10</v>
      </c>
      <c r="F4228" s="19" t="n">
        <v>108.39</v>
      </c>
      <c r="G4228" s="8" t="n">
        <f aca="false">IFERROR(INDEX('TRANS'!$B:$B,MATCH($B4228,'TRANS'!$A:$A,0)),IFERROR(INDEX('TRANS'!$B:$B,MATCH(TRIM(SUBSTITUTE($B4228,CHAR(160)," ")),'TRANS'!$D:$D,0)),IFERROR(INDEX('Catalog'!$A:$A,MATCH($B4228,'Catalog'!$B:$B,0)),IFERROR(INDEX('Catalog'!$A:$A,MATCH(TRIM(SUBSTITUTE($B4228,CHAR(160)," ")),'Catalog'!$C:$C,0)),""))))</f>
        <v>4413053</v>
      </c>
      <c r="H4228" s="8" t="str">
        <f aca="false">IFERROR(INDEX('TRANS'!$C:$C,MATCH($B4228,'TRANS'!$A:$A,0)),IFERROR(INDEX('Catalog'!$B:$B,MATCH($G4228,'Catalog'!$A:$A,0)),$B4228))</f>
        <v>35C L מגן קרסול חום</v>
      </c>
      <c r="I4228" s="8" t="str">
        <f aca="false">IF($G4228="","Unmatched","Matched")</f>
        <v>Matched</v>
      </c>
      <c r="J4228" s="8" t="n">
        <f aca="false">IF($G4228&lt;&gt;"",$G4228,$B4228)</f>
        <v>4413053</v>
      </c>
      <c r="K4228" s="8" t="str">
        <f aca="false">IF(COUNTIF($M$1:$M$10,$A4228)&gt;0,"Y","N")</f>
        <v>N</v>
      </c>
    </row>
    <row r="4229" customFormat="false" ht="15" hidden="false" customHeight="true" outlineLevel="0" collapsed="false">
      <c r="A4229" s="8" t="s">
        <v>1117</v>
      </c>
      <c r="B4229" s="8" t="s">
        <v>795</v>
      </c>
      <c r="C4229" s="19" t="n">
        <v>6</v>
      </c>
      <c r="D4229" s="19" t="n">
        <v>67.25</v>
      </c>
      <c r="E4229" s="19" t="n">
        <v>0</v>
      </c>
      <c r="F4229" s="19" t="n">
        <v>0</v>
      </c>
      <c r="G4229" s="8" t="n">
        <f aca="false">IFERROR(INDEX('TRANS'!$B:$B,MATCH($B4229,'TRANS'!$A:$A,0)),IFERROR(INDEX('TRANS'!$B:$B,MATCH(TRIM(SUBSTITUTE($B4229,CHAR(160)," ")),'TRANS'!$D:$D,0)),IFERROR(INDEX('Catalog'!$A:$A,MATCH($B4229,'Catalog'!$B:$B,0)),IFERROR(INDEX('Catalog'!$A:$A,MATCH(TRIM(SUBSTITUTE($B4229,CHAR(160)," ")),'Catalog'!$C:$C,0)),""))))</f>
        <v>4413055</v>
      </c>
      <c r="H4229" s="8" t="str">
        <f aca="false">IFERROR(INDEX('TRANS'!$C:$C,MATCH($B4229,'TRANS'!$A:$A,0)),IFERROR(INDEX('Catalog'!$B:$B,MATCH($G4229,'Catalog'!$A:$A,0)),$B4229))</f>
        <v>35C XL מגן קרסול חום</v>
      </c>
      <c r="I4229" s="8" t="str">
        <f aca="false">IF($G4229="","Unmatched","Matched")</f>
        <v>Matched</v>
      </c>
      <c r="J4229" s="8" t="n">
        <f aca="false">IF($G4229&lt;&gt;"",$G4229,$B4229)</f>
        <v>4413055</v>
      </c>
      <c r="K4229" s="8" t="str">
        <f aca="false">IF(COUNTIF($M$1:$M$10,$A4229)&gt;0,"Y","N")</f>
        <v>N</v>
      </c>
    </row>
    <row r="4230" customFormat="false" ht="15" hidden="false" customHeight="true" outlineLevel="0" collapsed="false">
      <c r="A4230" s="8" t="s">
        <v>1117</v>
      </c>
      <c r="B4230" s="8" t="s">
        <v>623</v>
      </c>
      <c r="C4230" s="19" t="n">
        <v>10</v>
      </c>
      <c r="D4230" s="19" t="n">
        <v>269.74</v>
      </c>
      <c r="E4230" s="19" t="n">
        <v>16</v>
      </c>
      <c r="F4230" s="19" t="n">
        <v>388.8</v>
      </c>
      <c r="G4230" s="8" t="n">
        <f aca="false">IFERROR(INDEX('TRANS'!$B:$B,MATCH($B4230,'TRANS'!$A:$A,0)),IFERROR(INDEX('TRANS'!$B:$B,MATCH(TRIM(SUBSTITUTE($B4230,CHAR(160)," ")),'TRANS'!$D:$D,0)),IFERROR(INDEX('Catalog'!$A:$A,MATCH($B4230,'Catalog'!$B:$B,0)),IFERROR(INDEX('Catalog'!$A:$A,MATCH(TRIM(SUBSTITUTE($B4230,CHAR(160)," ")),'Catalog'!$C:$C,0)),""))))</f>
        <v>4421007</v>
      </c>
      <c r="H4230" s="8" t="str">
        <f aca="false">IFERROR(INDEX('TRANS'!$C:$C,MATCH($B4230,'TRANS'!$A:$A,0)),IFERROR(INDEX('Catalog'!$B:$B,MATCH($G4230,'Catalog'!$A:$A,0)),$B4230))</f>
        <v>שרוול לגבס קצר רגל</v>
      </c>
      <c r="I4230" s="8" t="str">
        <f aca="false">IF($G4230="","Unmatched","Matched")</f>
        <v>Matched</v>
      </c>
      <c r="J4230" s="8" t="n">
        <f aca="false">IF($G4230&lt;&gt;"",$G4230,$B4230)</f>
        <v>4421007</v>
      </c>
      <c r="K4230" s="8" t="str">
        <f aca="false">IF(COUNTIF($M$1:$M$10,$A4230)&gt;0,"Y","N")</f>
        <v>N</v>
      </c>
    </row>
    <row r="4231" customFormat="false" ht="15" hidden="false" customHeight="true" outlineLevel="0" collapsed="false">
      <c r="A4231" s="8" t="s">
        <v>1117</v>
      </c>
      <c r="B4231" s="8" t="s">
        <v>624</v>
      </c>
      <c r="C4231" s="19" t="n">
        <v>30</v>
      </c>
      <c r="D4231" s="19" t="n">
        <v>919.47</v>
      </c>
      <c r="E4231" s="19" t="n">
        <v>50</v>
      </c>
      <c r="F4231" s="19" t="n">
        <v>1340.08</v>
      </c>
      <c r="G4231" s="8" t="n">
        <f aca="false">IFERROR(INDEX('TRANS'!$B:$B,MATCH($B4231,'TRANS'!$A:$A,0)),IFERROR(INDEX('TRANS'!$B:$B,MATCH(TRIM(SUBSTITUTE($B4231,CHAR(160)," ")),'TRANS'!$D:$D,0)),IFERROR(INDEX('Catalog'!$A:$A,MATCH($B4231,'Catalog'!$B:$B,0)),IFERROR(INDEX('Catalog'!$A:$A,MATCH(TRIM(SUBSTITUTE($B4231,CHAR(160)," ")),'Catalog'!$C:$C,0)),""))))</f>
        <v>4421008</v>
      </c>
      <c r="H4231" s="8" t="str">
        <f aca="false">IFERROR(INDEX('TRANS'!$C:$C,MATCH($B4231,'TRANS'!$A:$A,0)),IFERROR(INDEX('Catalog'!$B:$B,MATCH($G4231,'Catalog'!$A:$A,0)),$B4231))</f>
        <v>שרוול לגבס ארוך רגל</v>
      </c>
      <c r="I4231" s="8" t="str">
        <f aca="false">IF($G4231="","Unmatched","Matched")</f>
        <v>Matched</v>
      </c>
      <c r="J4231" s="8" t="n">
        <f aca="false">IF($G4231&lt;&gt;"",$G4231,$B4231)</f>
        <v>4421008</v>
      </c>
      <c r="K4231" s="8" t="str">
        <f aca="false">IF(COUNTIF($M$1:$M$10,$A4231)&gt;0,"Y","N")</f>
        <v>N</v>
      </c>
    </row>
    <row r="4232" customFormat="false" ht="15" hidden="false" customHeight="true" outlineLevel="0" collapsed="false">
      <c r="A4232" s="8" t="s">
        <v>1117</v>
      </c>
      <c r="B4232" s="8" t="s">
        <v>625</v>
      </c>
      <c r="C4232" s="19" t="n">
        <v>10</v>
      </c>
      <c r="D4232" s="19" t="n">
        <v>341.93</v>
      </c>
      <c r="E4232" s="19" t="n">
        <v>0</v>
      </c>
      <c r="F4232" s="19" t="n">
        <v>0</v>
      </c>
      <c r="G4232" s="8" t="n">
        <f aca="false">IFERROR(INDEX('TRANS'!$B:$B,MATCH($B4232,'TRANS'!$A:$A,0)),IFERROR(INDEX('TRANS'!$B:$B,MATCH(TRIM(SUBSTITUTE($B4232,CHAR(160)," ")),'TRANS'!$D:$D,0)),IFERROR(INDEX('Catalog'!$A:$A,MATCH($B4232,'Catalog'!$B:$B,0)),IFERROR(INDEX('Catalog'!$A:$A,MATCH(TRIM(SUBSTITUTE($B4232,CHAR(160)," ")),'Catalog'!$C:$C,0)),""))))</f>
        <v>4421001</v>
      </c>
      <c r="H4232" s="8" t="str">
        <f aca="false">IFERROR(INDEX('TRANS'!$C:$C,MATCH($B4232,'TRANS'!$A:$A,0)),IFERROR(INDEX('Catalog'!$B:$B,MATCH($G4232,'Catalog'!$A:$A,0)),$B4232))</f>
        <v>3611 שרוול מטטרזלי מסיליקון</v>
      </c>
      <c r="I4232" s="8" t="str">
        <f aca="false">IF($G4232="","Unmatched","Matched")</f>
        <v>Matched</v>
      </c>
      <c r="J4232" s="8" t="n">
        <f aca="false">IF($G4232&lt;&gt;"",$G4232,$B4232)</f>
        <v>4421001</v>
      </c>
      <c r="K4232" s="8" t="str">
        <f aca="false">IF(COUNTIF($M$1:$M$10,$A4232)&gt;0,"Y","N")</f>
        <v>N</v>
      </c>
    </row>
    <row r="4233" customFormat="false" ht="15" hidden="false" customHeight="true" outlineLevel="0" collapsed="false">
      <c r="A4233" s="8" t="s">
        <v>1117</v>
      </c>
      <c r="B4233" s="8" t="s">
        <v>626</v>
      </c>
      <c r="C4233" s="19" t="n">
        <v>21</v>
      </c>
      <c r="D4233" s="19" t="n">
        <v>344.41</v>
      </c>
      <c r="E4233" s="19" t="n">
        <v>10</v>
      </c>
      <c r="F4233" s="19" t="n">
        <v>136.9</v>
      </c>
      <c r="G4233" s="8" t="n">
        <f aca="false">IFERROR(INDEX('TRANS'!$B:$B,MATCH($B4233,'TRANS'!$A:$A,0)),IFERROR(INDEX('TRANS'!$B:$B,MATCH(TRIM(SUBSTITUTE($B4233,CHAR(160)," ")),'TRANS'!$D:$D,0)),IFERROR(INDEX('Catalog'!$A:$A,MATCH($B4233,'Catalog'!$B:$B,0)),IFERROR(INDEX('Catalog'!$A:$A,MATCH(TRIM(SUBSTITUTE($B4233,CHAR(160)," ")),'Catalog'!$C:$C,0)),""))))</f>
        <v>4411000</v>
      </c>
      <c r="H4233" s="8" t="str">
        <f aca="false">IFERROR(INDEX('TRANS'!$C:$C,MATCH($B4233,'TRANS'!$A:$A,0)),IFERROR(INDEX('Catalog'!$B:$B,MATCH($G4233,'Catalog'!$A:$A,0)),$B4233))</f>
        <v>כרית מטטרזלי סיליקון362</v>
      </c>
      <c r="I4233" s="8" t="str">
        <f aca="false">IF($G4233="","Unmatched","Matched")</f>
        <v>Matched</v>
      </c>
      <c r="J4233" s="8" t="n">
        <f aca="false">IF($G4233&lt;&gt;"",$G4233,$B4233)</f>
        <v>4411000</v>
      </c>
      <c r="K4233" s="8" t="str">
        <f aca="false">IF(COUNTIF($M$1:$M$10,$A4233)&gt;0,"Y","N")</f>
        <v>N</v>
      </c>
    </row>
    <row r="4234" customFormat="false" ht="15" hidden="false" customHeight="true" outlineLevel="0" collapsed="false">
      <c r="A4234" s="8" t="s">
        <v>1117</v>
      </c>
      <c r="B4234" s="8" t="s">
        <v>628</v>
      </c>
      <c r="C4234" s="19" t="n">
        <v>10</v>
      </c>
      <c r="D4234" s="19" t="n">
        <v>171.39</v>
      </c>
      <c r="E4234" s="19" t="n">
        <v>0</v>
      </c>
      <c r="F4234" s="19" t="n">
        <v>0</v>
      </c>
      <c r="G4234" s="8" t="n">
        <f aca="false">IFERROR(INDEX('TRANS'!$B:$B,MATCH($B4234,'TRANS'!$A:$A,0)),IFERROR(INDEX('TRANS'!$B:$B,MATCH(TRIM(SUBSTITUTE($B4234,CHAR(160)," ")),'TRANS'!$D:$D,0)),IFERROR(INDEX('Catalog'!$A:$A,MATCH($B4234,'Catalog'!$B:$B,0)),IFERROR(INDEX('Catalog'!$A:$A,MATCH(TRIM(SUBSTITUTE($B4234,CHAR(160)," ")),'Catalog'!$C:$C,0)),""))))</f>
        <v>4411001</v>
      </c>
      <c r="H4234" s="8" t="str">
        <f aca="false">IFERROR(INDEX('TRANS'!$C:$C,MATCH($B4234,'TRANS'!$A:$A,0)),IFERROR(INDEX('Catalog'!$B:$B,MATCH($G4234,'Catalog'!$A:$A,0)),$B4234))</f>
        <v>3623 כרית ליישור אצבע פטיש</v>
      </c>
      <c r="I4234" s="8" t="str">
        <f aca="false">IF($G4234="","Unmatched","Matched")</f>
        <v>Matched</v>
      </c>
      <c r="J4234" s="8" t="n">
        <f aca="false">IF($G4234&lt;&gt;"",$G4234,$B4234)</f>
        <v>4411001</v>
      </c>
      <c r="K4234" s="8" t="str">
        <f aca="false">IF(COUNTIF($M$1:$M$10,$A4234)&gt;0,"Y","N")</f>
        <v>N</v>
      </c>
    </row>
    <row r="4235" customFormat="false" ht="15" hidden="false" customHeight="true" outlineLevel="0" collapsed="false">
      <c r="A4235" s="8" t="s">
        <v>1117</v>
      </c>
      <c r="B4235" s="8" t="s">
        <v>629</v>
      </c>
      <c r="C4235" s="19" t="n">
        <v>10</v>
      </c>
      <c r="D4235" s="19" t="n">
        <v>66.22</v>
      </c>
      <c r="E4235" s="19" t="n">
        <v>6</v>
      </c>
      <c r="F4235" s="19" t="n">
        <v>37.48</v>
      </c>
      <c r="G4235" s="8" t="n">
        <f aca="false">IFERROR(INDEX('TRANS'!$B:$B,MATCH($B4235,'TRANS'!$A:$A,0)),IFERROR(INDEX('TRANS'!$B:$B,MATCH(TRIM(SUBSTITUTE($B4235,CHAR(160)," ")),'TRANS'!$D:$D,0)),IFERROR(INDEX('Catalog'!$A:$A,MATCH($B4235,'Catalog'!$B:$B,0)),IFERROR(INDEX('Catalog'!$A:$A,MATCH(TRIM(SUBSTITUTE($B4235,CHAR(160)," ")),'Catalog'!$C:$C,0)),""))))</f>
        <v>4413059</v>
      </c>
      <c r="H4235" s="8" t="str">
        <f aca="false">IFERROR(INDEX('TRANS'!$C:$C,MATCH($B4235,'TRANS'!$A:$A,0)),IFERROR(INDEX('Catalog'!$B:$B,MATCH($G4235,'Catalog'!$A:$A,0)),$B4235))</f>
        <v>364S Lמפר.אצבע סיליק. ליבל.זוג</v>
      </c>
      <c r="I4235" s="8" t="str">
        <f aca="false">IF($G4235="","Unmatched","Matched")</f>
        <v>Matched</v>
      </c>
      <c r="J4235" s="8" t="n">
        <f aca="false">IF($G4235&lt;&gt;"",$G4235,$B4235)</f>
        <v>4413059</v>
      </c>
      <c r="K4235" s="8" t="str">
        <f aca="false">IF(COUNTIF($M$1:$M$10,$A4235)&gt;0,"Y","N")</f>
        <v>N</v>
      </c>
    </row>
    <row r="4236" customFormat="false" ht="15" hidden="false" customHeight="true" outlineLevel="0" collapsed="false">
      <c r="A4236" s="8" t="s">
        <v>1117</v>
      </c>
      <c r="B4236" s="8" t="s">
        <v>632</v>
      </c>
      <c r="C4236" s="19" t="n">
        <v>10</v>
      </c>
      <c r="D4236" s="19" t="n">
        <v>68.39</v>
      </c>
      <c r="E4236" s="19" t="n">
        <v>10</v>
      </c>
      <c r="F4236" s="19" t="n">
        <v>61.61</v>
      </c>
      <c r="G4236" s="8" t="n">
        <f aca="false">IFERROR(INDEX('TRANS'!$B:$B,MATCH($B4236,'TRANS'!$A:$A,0)),IFERROR(INDEX('TRANS'!$B:$B,MATCH(TRIM(SUBSTITUTE($B4236,CHAR(160)," ")),'TRANS'!$D:$D,0)),IFERROR(INDEX('Catalog'!$A:$A,MATCH($B4236,'Catalog'!$B:$B,0)),IFERROR(INDEX('Catalog'!$A:$A,MATCH(TRIM(SUBSTITUTE($B4236,CHAR(160)," ")),'Catalog'!$C:$C,0)),""))))</f>
        <v>4409000</v>
      </c>
      <c r="H4236" s="8" t="str">
        <f aca="false">IFERROR(INDEX('TRANS'!$C:$C,MATCH($B4236,'TRANS'!$A:$A,0)),IFERROR(INDEX('Catalog'!$B:$B,MATCH($G4236,'Catalog'!$A:$A,0)),$B4236))</f>
        <v>365 S-Lטבעת אלסטית מסיליקון</v>
      </c>
      <c r="I4236" s="8" t="str">
        <f aca="false">IF($G4236="","Unmatched","Matched")</f>
        <v>Matched</v>
      </c>
      <c r="J4236" s="8" t="n">
        <f aca="false">IF($G4236&lt;&gt;"",$G4236,$B4236)</f>
        <v>4409000</v>
      </c>
      <c r="K4236" s="8" t="str">
        <f aca="false">IF(COUNTIF($M$1:$M$10,$A4236)&gt;0,"Y","N")</f>
        <v>N</v>
      </c>
    </row>
    <row r="4237" customFormat="false" ht="15" hidden="false" customHeight="true" outlineLevel="0" collapsed="false">
      <c r="A4237" s="8" t="s">
        <v>1117</v>
      </c>
      <c r="B4237" s="8" t="s">
        <v>868</v>
      </c>
      <c r="C4237" s="19" t="n">
        <v>10</v>
      </c>
      <c r="D4237" s="19" t="n">
        <v>41.41</v>
      </c>
      <c r="E4237" s="19" t="n">
        <v>0</v>
      </c>
      <c r="F4237" s="19" t="n">
        <v>0</v>
      </c>
      <c r="G4237" s="8" t="n">
        <f aca="false">IFERROR(INDEX('TRANS'!$B:$B,MATCH($B4237,'TRANS'!$A:$A,0)),IFERROR(INDEX('TRANS'!$B:$B,MATCH(TRIM(SUBSTITUTE($B4237,CHAR(160)," ")),'TRANS'!$D:$D,0)),IFERROR(INDEX('Catalog'!$A:$A,MATCH($B4237,'Catalog'!$B:$B,0)),IFERROR(INDEX('Catalog'!$A:$A,MATCH(TRIM(SUBSTITUTE($B4237,CHAR(160)," ")),'Catalog'!$C:$C,0)),""))))</f>
        <v>4409001</v>
      </c>
      <c r="H4237" s="8" t="str">
        <f aca="false">IFERROR(INDEX('TRANS'!$C:$C,MATCH($B4237,'TRANS'!$A:$A,0)),IFERROR(INDEX('Catalog'!$B:$B,MATCH($G4237,'Catalog'!$A:$A,0)),$B4237))</f>
        <v>365  X-Lטבעת אלסטית מסיליקון</v>
      </c>
      <c r="I4237" s="8" t="str">
        <f aca="false">IF($G4237="","Unmatched","Matched")</f>
        <v>Matched</v>
      </c>
      <c r="J4237" s="8" t="n">
        <f aca="false">IF($G4237&lt;&gt;"",$G4237,$B4237)</f>
        <v>4409001</v>
      </c>
      <c r="K4237" s="8" t="str">
        <f aca="false">IF(COUNTIF($M$1:$M$10,$A4237)&gt;0,"Y","N")</f>
        <v>N</v>
      </c>
    </row>
    <row r="4238" customFormat="false" ht="15" hidden="false" customHeight="true" outlineLevel="0" collapsed="false">
      <c r="A4238" s="8" t="s">
        <v>1117</v>
      </c>
      <c r="B4238" s="8" t="s">
        <v>638</v>
      </c>
      <c r="C4238" s="19" t="n">
        <v>0</v>
      </c>
      <c r="D4238" s="19" t="n">
        <v>0</v>
      </c>
      <c r="E4238" s="19" t="n">
        <v>10</v>
      </c>
      <c r="F4238" s="19" t="n">
        <v>170.85</v>
      </c>
      <c r="G4238" s="8" t="n">
        <f aca="false">IFERROR(INDEX('TRANS'!$B:$B,MATCH($B4238,'TRANS'!$A:$A,0)),IFERROR(INDEX('TRANS'!$B:$B,MATCH(TRIM(SUBSTITUTE($B4238,CHAR(160)," ")),'TRANS'!$D:$D,0)),IFERROR(INDEX('Catalog'!$A:$A,MATCH($B4238,'Catalog'!$B:$B,0)),IFERROR(INDEX('Catalog'!$A:$A,MATCH(TRIM(SUBSTITUTE($B4238,CHAR(160)," ")),'Catalog'!$C:$C,0)),""))))</f>
        <v>4413370</v>
      </c>
      <c r="H4238" s="8" t="str">
        <f aca="false">IFERROR(INDEX('TRANS'!$C:$C,MATCH($B4238,'TRANS'!$A:$A,0)),IFERROR(INDEX('Catalog'!$B:$B,MATCH($G4238,'Catalog'!$A:$A,0)),$B4238))</f>
        <v>3674 0 מ.בוניון+מפריד אצבע</v>
      </c>
      <c r="I4238" s="8" t="str">
        <f aca="false">IF($G4238="","Unmatched","Matched")</f>
        <v>Matched</v>
      </c>
      <c r="J4238" s="8" t="n">
        <f aca="false">IF($G4238&lt;&gt;"",$G4238,$B4238)</f>
        <v>4413370</v>
      </c>
      <c r="K4238" s="8" t="str">
        <f aca="false">IF(COUNTIF($M$1:$M$10,$A4238)&gt;0,"Y","N")</f>
        <v>N</v>
      </c>
    </row>
    <row r="4239" customFormat="false" ht="15" hidden="false" customHeight="true" outlineLevel="0" collapsed="false">
      <c r="A4239" s="8" t="s">
        <v>1117</v>
      </c>
      <c r="B4239" s="8" t="s">
        <v>639</v>
      </c>
      <c r="C4239" s="19" t="n">
        <v>10</v>
      </c>
      <c r="D4239" s="19" t="n">
        <v>148.02</v>
      </c>
      <c r="E4239" s="19" t="n">
        <v>0</v>
      </c>
      <c r="F4239" s="19" t="n">
        <v>0</v>
      </c>
      <c r="G4239" s="8" t="n">
        <f aca="false">IFERROR(INDEX('TRANS'!$B:$B,MATCH($B4239,'TRANS'!$A:$A,0)),IFERROR(INDEX('TRANS'!$B:$B,MATCH(TRIM(SUBSTITUTE($B4239,CHAR(160)," ")),'TRANS'!$D:$D,0)),IFERROR(INDEX('Catalog'!$A:$A,MATCH($B4239,'Catalog'!$B:$B,0)),IFERROR(INDEX('Catalog'!$A:$A,MATCH(TRIM(SUBSTITUTE($B4239,CHAR(160)," ")),'Catalog'!$C:$C,0)),""))))</f>
        <v>4413371</v>
      </c>
      <c r="H4239" s="8" t="str">
        <f aca="false">IFERROR(INDEX('TRANS'!$C:$C,MATCH($B4239,'TRANS'!$A:$A,0)),IFERROR(INDEX('Catalog'!$B:$B,MATCH($G4239,'Catalog'!$A:$A,0)),$B4239))</f>
        <v>3675    מגן זרת מסיליקון</v>
      </c>
      <c r="I4239" s="8" t="str">
        <f aca="false">IF($G4239="","Unmatched","Matched")</f>
        <v>Matched</v>
      </c>
      <c r="J4239" s="8" t="n">
        <f aca="false">IF($G4239&lt;&gt;"",$G4239,$B4239)</f>
        <v>4413371</v>
      </c>
      <c r="K4239" s="8" t="str">
        <f aca="false">IF(COUNTIF($M$1:$M$10,$A4239)&gt;0,"Y","N")</f>
        <v>N</v>
      </c>
    </row>
    <row r="4240" customFormat="false" ht="15" hidden="false" customHeight="true" outlineLevel="0" collapsed="false">
      <c r="A4240" s="8" t="s">
        <v>1117</v>
      </c>
      <c r="B4240" s="8" t="s">
        <v>641</v>
      </c>
      <c r="C4240" s="19" t="n">
        <v>0</v>
      </c>
      <c r="D4240" s="19" t="n">
        <v>0</v>
      </c>
      <c r="E4240" s="19" t="n">
        <v>6</v>
      </c>
      <c r="F4240" s="19" t="n">
        <v>179.54</v>
      </c>
      <c r="G4240" s="8" t="n">
        <f aca="false">IFERROR(INDEX('TRANS'!$B:$B,MATCH($B4240,'TRANS'!$A:$A,0)),IFERROR(INDEX('TRANS'!$B:$B,MATCH(TRIM(SUBSTITUTE($B4240,CHAR(160)," ")),'TRANS'!$D:$D,0)),IFERROR(INDEX('Catalog'!$A:$A,MATCH($B4240,'Catalog'!$B:$B,0)),IFERROR(INDEX('Catalog'!$A:$A,MATCH(TRIM(SUBSTITUTE($B4240,CHAR(160)," ")),'Catalog'!$C:$C,0)),""))))</f>
        <v>4401001</v>
      </c>
      <c r="H4240" s="8" t="str">
        <f aca="false">IFERROR(INDEX('TRANS'!$C:$C,MATCH($B4240,'TRANS'!$A:$A,0)),IFERROR(INDEX('Catalog'!$B:$B,MATCH($G4240,'Catalog'!$A:$A,0)),$B4240))</f>
        <v>369   XL אצבעון מסיליקון יחידה</v>
      </c>
      <c r="I4240" s="8" t="str">
        <f aca="false">IF($G4240="","Unmatched","Matched")</f>
        <v>Matched</v>
      </c>
      <c r="J4240" s="8" t="n">
        <f aca="false">IF($G4240&lt;&gt;"",$G4240,$B4240)</f>
        <v>4401001</v>
      </c>
      <c r="K4240" s="8" t="str">
        <f aca="false">IF(COUNTIF($M$1:$M$10,$A4240)&gt;0,"Y","N")</f>
        <v>N</v>
      </c>
    </row>
    <row r="4241" customFormat="false" ht="15" hidden="false" customHeight="true" outlineLevel="0" collapsed="false">
      <c r="A4241" s="8" t="s">
        <v>1117</v>
      </c>
      <c r="B4241" s="8" t="s">
        <v>642</v>
      </c>
      <c r="C4241" s="19" t="n">
        <v>50</v>
      </c>
      <c r="D4241" s="19" t="n">
        <v>376.4</v>
      </c>
      <c r="E4241" s="19" t="n">
        <v>100</v>
      </c>
      <c r="F4241" s="19" t="n">
        <v>661.36</v>
      </c>
      <c r="G4241" s="8" t="n">
        <f aca="false">IFERROR(INDEX('TRANS'!$B:$B,MATCH($B4241,'TRANS'!$A:$A,0)),IFERROR(INDEX('TRANS'!$B:$B,MATCH(TRIM(SUBSTITUTE($B4241,CHAR(160)," ")),'TRANS'!$D:$D,0)),IFERROR(INDEX('Catalog'!$A:$A,MATCH($B4241,'Catalog'!$B:$B,0)),IFERROR(INDEX('Catalog'!$A:$A,MATCH(TRIM(SUBSTITUTE($B4241,CHAR(160)," ")),'Catalog'!$C:$C,0)),""))))</f>
        <v>4420000</v>
      </c>
      <c r="H4241" s="8" t="str">
        <f aca="false">IFERROR(INDEX('TRANS'!$C:$C,MATCH($B4241,'TRANS'!$A:$A,0)),IFERROR(INDEX('Catalog'!$B:$B,MATCH($G4241,'Catalog'!$A:$A,0)),$B4241))</f>
        <v>370  רפידת נוחות-זוג</v>
      </c>
      <c r="I4241" s="8" t="str">
        <f aca="false">IF($G4241="","Unmatched","Matched")</f>
        <v>Matched</v>
      </c>
      <c r="J4241" s="8" t="n">
        <f aca="false">IF($G4241&lt;&gt;"",$G4241,$B4241)</f>
        <v>4420000</v>
      </c>
      <c r="K4241" s="8" t="str">
        <f aca="false">IF(COUNTIF($M$1:$M$10,$A4241)&gt;0,"Y","N")</f>
        <v>N</v>
      </c>
    </row>
    <row r="4242" customFormat="false" ht="15" hidden="false" customHeight="true" outlineLevel="0" collapsed="false">
      <c r="A4242" s="8" t="s">
        <v>1117</v>
      </c>
      <c r="B4242" s="8" t="s">
        <v>645</v>
      </c>
      <c r="C4242" s="19" t="n">
        <v>150</v>
      </c>
      <c r="D4242" s="19" t="n">
        <v>1254.66</v>
      </c>
      <c r="E4242" s="19" t="n">
        <v>50</v>
      </c>
      <c r="F4242" s="19" t="n">
        <v>367.42</v>
      </c>
      <c r="G4242" s="8" t="n">
        <f aca="false">IFERROR(INDEX('TRANS'!$B:$B,MATCH($B4242,'TRANS'!$A:$A,0)),IFERROR(INDEX('TRANS'!$B:$B,MATCH(TRIM(SUBSTITUTE($B4242,CHAR(160)," ")),'TRANS'!$D:$D,0)),IFERROR(INDEX('Catalog'!$A:$A,MATCH($B4242,'Catalog'!$B:$B,0)),IFERROR(INDEX('Catalog'!$A:$A,MATCH(TRIM(SUBSTITUTE($B4242,CHAR(160)," ")),'Catalog'!$C:$C,0)),""))))</f>
        <v>4420002</v>
      </c>
      <c r="H4242" s="8" t="str">
        <f aca="false">IFERROR(INDEX('TRANS'!$C:$C,MATCH($B4242,'TRANS'!$A:$A,0)),IFERROR(INDEX('Catalog'!$B:$B,MATCH($G4242,'Catalog'!$A:$A,0)),$B4242))</f>
        <v>372 רפידת אנטי ריח -זוג</v>
      </c>
      <c r="I4242" s="8" t="str">
        <f aca="false">IF($G4242="","Unmatched","Matched")</f>
        <v>Matched</v>
      </c>
      <c r="J4242" s="8" t="n">
        <f aca="false">IF($G4242&lt;&gt;"",$G4242,$B4242)</f>
        <v>4420002</v>
      </c>
      <c r="K4242" s="8" t="str">
        <f aca="false">IF(COUNTIF($M$1:$M$10,$A4242)&gt;0,"Y","N")</f>
        <v>N</v>
      </c>
    </row>
    <row r="4243" customFormat="false" ht="15" hidden="false" customHeight="true" outlineLevel="0" collapsed="false">
      <c r="A4243" s="8" t="s">
        <v>1117</v>
      </c>
      <c r="B4243" s="8" t="s">
        <v>646</v>
      </c>
      <c r="C4243" s="19" t="n">
        <v>50</v>
      </c>
      <c r="D4243" s="19" t="n">
        <v>467.42</v>
      </c>
      <c r="E4243" s="19" t="n">
        <v>0</v>
      </c>
      <c r="F4243" s="19" t="n">
        <v>0</v>
      </c>
      <c r="G4243" s="8" t="n">
        <f aca="false">IFERROR(INDEX('TRANS'!$B:$B,MATCH($B4243,'TRANS'!$A:$A,0)),IFERROR(INDEX('TRANS'!$B:$B,MATCH(TRIM(SUBSTITUTE($B4243,CHAR(160)," ")),'TRANS'!$D:$D,0)),IFERROR(INDEX('Catalog'!$A:$A,MATCH($B4243,'Catalog'!$B:$B,0)),IFERROR(INDEX('Catalog'!$A:$A,MATCH(TRIM(SUBSTITUTE($B4243,CHAR(160)," ")),'Catalog'!$C:$C,0)),""))))</f>
        <v>4420003</v>
      </c>
      <c r="H4243" s="8" t="str">
        <f aca="false">IFERROR(INDEX('TRANS'!$C:$C,MATCH($B4243,'TRANS'!$A:$A,0)),IFERROR(INDEX('Catalog'!$B:$B,MATCH($G4243,'Catalog'!$A:$A,0)),$B4243))</f>
        <v>374 רפידת בולמת זעזועים -זוג</v>
      </c>
      <c r="I4243" s="8" t="str">
        <f aca="false">IF($G4243="","Unmatched","Matched")</f>
        <v>Matched</v>
      </c>
      <c r="J4243" s="8" t="n">
        <f aca="false">IF($G4243&lt;&gt;"",$G4243,$B4243)</f>
        <v>4420003</v>
      </c>
      <c r="K4243" s="8" t="str">
        <f aca="false">IF(COUNTIF($M$1:$M$10,$A4243)&gt;0,"Y","N")</f>
        <v>N</v>
      </c>
    </row>
    <row r="4244" customFormat="false" ht="15" hidden="false" customHeight="true" outlineLevel="0" collapsed="false">
      <c r="A4244" s="8" t="s">
        <v>1117</v>
      </c>
      <c r="B4244" s="8" t="s">
        <v>264</v>
      </c>
      <c r="C4244" s="19" t="n">
        <v>22</v>
      </c>
      <c r="D4244" s="19" t="n">
        <v>370.35</v>
      </c>
      <c r="E4244" s="19" t="n">
        <v>6</v>
      </c>
      <c r="F4244" s="19" t="n">
        <v>86.25</v>
      </c>
      <c r="G4244" s="8" t="str">
        <f aca="false">IFERROR(INDEX('TRANS'!$B:$B,MATCH($B4244,'TRANS'!$A:$A,0)),IFERROR(INDEX('TRANS'!$B:$B,MATCH(TRIM(SUBSTITUTE($B4244,CHAR(160)," ")),'TRANS'!$D:$D,0)),IFERROR(INDEX('Catalog'!$A:$A,MATCH($B4244,'Catalog'!$B:$B,0)),IFERROR(INDEX('Catalog'!$A:$A,MATCH(TRIM(SUBSTITUTE($B4244,CHAR(160)," ")),'Catalog'!$C:$C,0)),""))))</f>
        <v/>
      </c>
      <c r="H4244" s="8" t="str">
        <f aca="false">IFERROR(INDEX('TRANS'!$C:$C,MATCH($B4244,'TRANS'!$A:$A,0)),IFERROR(INDEX('Catalog'!$B:$B,MATCH($G4244,'Catalog'!$A:$A,0)),$B4244))</f>
        <v>376-35-37</v>
      </c>
      <c r="I4244" s="8" t="str">
        <f aca="false">IF($G4244="","Unmatched","Matched")</f>
        <v>Unmatched</v>
      </c>
      <c r="J4244" s="8" t="str">
        <f aca="false">IF($G4244&lt;&gt;"",$G4244,$B4244)</f>
        <v>376-35-37</v>
      </c>
      <c r="K4244" s="8" t="str">
        <f aca="false">IF(COUNTIF($M$1:$M$10,$A4244)&gt;0,"Y","N")</f>
        <v>N</v>
      </c>
    </row>
    <row r="4245" customFormat="false" ht="15" hidden="false" customHeight="true" outlineLevel="0" collapsed="false">
      <c r="A4245" s="8" t="s">
        <v>1117</v>
      </c>
      <c r="B4245" s="8" t="s">
        <v>121</v>
      </c>
      <c r="C4245" s="19" t="n">
        <v>28</v>
      </c>
      <c r="D4245" s="19" t="n">
        <v>475.74</v>
      </c>
      <c r="E4245" s="19" t="n">
        <v>20</v>
      </c>
      <c r="F4245" s="19" t="n">
        <v>308.63</v>
      </c>
      <c r="G4245" s="8" t="str">
        <f aca="false">IFERROR(INDEX('TRANS'!$B:$B,MATCH($B4245,'TRANS'!$A:$A,0)),IFERROR(INDEX('TRANS'!$B:$B,MATCH(TRIM(SUBSTITUTE($B4245,CHAR(160)," ")),'TRANS'!$D:$D,0)),IFERROR(INDEX('Catalog'!$A:$A,MATCH($B4245,'Catalog'!$B:$B,0)),IFERROR(INDEX('Catalog'!$A:$A,MATCH(TRIM(SUBSTITUTE($B4245,CHAR(160)," ")),'Catalog'!$C:$C,0)),""))))</f>
        <v/>
      </c>
      <c r="H4245" s="8" t="str">
        <f aca="false">IFERROR(INDEX('TRANS'!$C:$C,MATCH($B4245,'TRANS'!$A:$A,0)),IFERROR(INDEX('Catalog'!$B:$B,MATCH($G4245,'Catalog'!$A:$A,0)),$B4245))</f>
        <v>376-38-40</v>
      </c>
      <c r="I4245" s="8" t="str">
        <f aca="false">IF($G4245="","Unmatched","Matched")</f>
        <v>Unmatched</v>
      </c>
      <c r="J4245" s="8" t="str">
        <f aca="false">IF($G4245&lt;&gt;"",$G4245,$B4245)</f>
        <v>376-38-40</v>
      </c>
      <c r="K4245" s="8" t="str">
        <f aca="false">IF(COUNTIF($M$1:$M$10,$A4245)&gt;0,"Y","N")</f>
        <v>N</v>
      </c>
    </row>
    <row r="4246" customFormat="false" ht="15" hidden="false" customHeight="true" outlineLevel="0" collapsed="false">
      <c r="A4246" s="8" t="s">
        <v>1117</v>
      </c>
      <c r="B4246" s="8" t="s">
        <v>78</v>
      </c>
      <c r="C4246" s="19" t="n">
        <v>56</v>
      </c>
      <c r="D4246" s="19" t="n">
        <v>951.48</v>
      </c>
      <c r="E4246" s="19" t="n">
        <v>40</v>
      </c>
      <c r="F4246" s="19" t="n">
        <v>606.7</v>
      </c>
      <c r="G4246" s="8" t="str">
        <f aca="false">IFERROR(INDEX('TRANS'!$B:$B,MATCH($B4246,'TRANS'!$A:$A,0)),IFERROR(INDEX('TRANS'!$B:$B,MATCH(TRIM(SUBSTITUTE($B4246,CHAR(160)," ")),'TRANS'!$D:$D,0)),IFERROR(INDEX('Catalog'!$A:$A,MATCH($B4246,'Catalog'!$B:$B,0)),IFERROR(INDEX('Catalog'!$A:$A,MATCH(TRIM(SUBSTITUTE($B4246,CHAR(160)," ")),'Catalog'!$C:$C,0)),""))))</f>
        <v/>
      </c>
      <c r="H4246" s="8" t="str">
        <f aca="false">IFERROR(INDEX('TRANS'!$C:$C,MATCH($B4246,'TRANS'!$A:$A,0)),IFERROR(INDEX('Catalog'!$B:$B,MATCH($G4246,'Catalog'!$A:$A,0)),$B4246))</f>
        <v>376-41-43</v>
      </c>
      <c r="I4246" s="8" t="str">
        <f aca="false">IF($G4246="","Unmatched","Matched")</f>
        <v>Unmatched</v>
      </c>
      <c r="J4246" s="8" t="str">
        <f aca="false">IF($G4246&lt;&gt;"",$G4246,$B4246)</f>
        <v>376-41-43</v>
      </c>
      <c r="K4246" s="8" t="str">
        <f aca="false">IF(COUNTIF($M$1:$M$10,$A4246)&gt;0,"Y","N")</f>
        <v>N</v>
      </c>
    </row>
    <row r="4247" customFormat="false" ht="15" hidden="false" customHeight="true" outlineLevel="0" collapsed="false">
      <c r="A4247" s="8" t="s">
        <v>1117</v>
      </c>
      <c r="B4247" s="8" t="s">
        <v>81</v>
      </c>
      <c r="C4247" s="19" t="n">
        <v>76</v>
      </c>
      <c r="D4247" s="19" t="n">
        <v>1270.62</v>
      </c>
      <c r="E4247" s="19" t="n">
        <v>10</v>
      </c>
      <c r="F4247" s="19" t="n">
        <v>143.75</v>
      </c>
      <c r="G4247" s="8" t="str">
        <f aca="false">IFERROR(INDEX('TRANS'!$B:$B,MATCH($B4247,'TRANS'!$A:$A,0)),IFERROR(INDEX('TRANS'!$B:$B,MATCH(TRIM(SUBSTITUTE($B4247,CHAR(160)," ")),'TRANS'!$D:$D,0)),IFERROR(INDEX('Catalog'!$A:$A,MATCH($B4247,'Catalog'!$B:$B,0)),IFERROR(INDEX('Catalog'!$A:$A,MATCH(TRIM(SUBSTITUTE($B4247,CHAR(160)," ")),'Catalog'!$C:$C,0)),""))))</f>
        <v/>
      </c>
      <c r="H4247" s="8" t="str">
        <f aca="false">IFERROR(INDEX('TRANS'!$C:$C,MATCH($B4247,'TRANS'!$A:$A,0)),IFERROR(INDEX('Catalog'!$B:$B,MATCH($G4247,'Catalog'!$A:$A,0)),$B4247))</f>
        <v>376-44-45</v>
      </c>
      <c r="I4247" s="8" t="str">
        <f aca="false">IF($G4247="","Unmatched","Matched")</f>
        <v>Unmatched</v>
      </c>
      <c r="J4247" s="8" t="str">
        <f aca="false">IF($G4247&lt;&gt;"",$G4247,$B4247)</f>
        <v>376-44-45</v>
      </c>
      <c r="K4247" s="8" t="str">
        <f aca="false">IF(COUNTIF($M$1:$M$10,$A4247)&gt;0,"Y","N")</f>
        <v>N</v>
      </c>
    </row>
    <row r="4248" customFormat="false" ht="15" hidden="false" customHeight="true" outlineLevel="0" collapsed="false">
      <c r="A4248" s="8" t="s">
        <v>1117</v>
      </c>
      <c r="B4248" s="8" t="s">
        <v>647</v>
      </c>
      <c r="C4248" s="19" t="n">
        <v>22</v>
      </c>
      <c r="D4248" s="19" t="n">
        <v>370.35</v>
      </c>
      <c r="E4248" s="19" t="n">
        <v>6</v>
      </c>
      <c r="F4248" s="19" t="n">
        <v>92.59</v>
      </c>
      <c r="G4248" s="8" t="n">
        <f aca="false">IFERROR(INDEX('TRANS'!$B:$B,MATCH($B4248,'TRANS'!$A:$A,0)),IFERROR(INDEX('TRANS'!$B:$B,MATCH(TRIM(SUBSTITUTE($B4248,CHAR(160)," ")),'TRANS'!$D:$D,0)),IFERROR(INDEX('Catalog'!$A:$A,MATCH($B4248,'Catalog'!$B:$B,0)),IFERROR(INDEX('Catalog'!$A:$A,MATCH(TRIM(SUBSTITUTE($B4248,CHAR(160)," ")),'Catalog'!$C:$C,0)),""))))</f>
        <v>4420032</v>
      </c>
      <c r="H4248" s="8" t="str">
        <f aca="false">IFERROR(INDEX('TRANS'!$C:$C,MATCH($B4248,'TRANS'!$A:$A,0)),IFERROR(INDEX('Catalog'!$B:$B,MATCH($G4248,'Catalog'!$A:$A,0)),$B4248))</f>
        <v>46-47 רפידת ספורט 376 מידה</v>
      </c>
      <c r="I4248" s="8" t="str">
        <f aca="false">IF($G4248="","Unmatched","Matched")</f>
        <v>Matched</v>
      </c>
      <c r="J4248" s="8" t="n">
        <f aca="false">IF($G4248&lt;&gt;"",$G4248,$B4248)</f>
        <v>4420032</v>
      </c>
      <c r="K4248" s="8" t="str">
        <f aca="false">IF(COUNTIF($M$1:$M$10,$A4248)&gt;0,"Y","N")</f>
        <v>N</v>
      </c>
    </row>
    <row r="4249" customFormat="false" ht="15" hidden="false" customHeight="true" outlineLevel="0" collapsed="false">
      <c r="A4249" s="8" t="s">
        <v>1117</v>
      </c>
      <c r="B4249" s="8" t="s">
        <v>869</v>
      </c>
      <c r="C4249" s="19" t="n">
        <v>35</v>
      </c>
      <c r="D4249" s="19" t="n">
        <v>1637.11</v>
      </c>
      <c r="E4249" s="19" t="n">
        <v>0</v>
      </c>
      <c r="F4249" s="19" t="n">
        <v>0</v>
      </c>
      <c r="G4249" s="8" t="n">
        <f aca="false">IFERROR(INDEX('TRANS'!$B:$B,MATCH($B4249,'TRANS'!$A:$A,0)),IFERROR(INDEX('TRANS'!$B:$B,MATCH(TRIM(SUBSTITUTE($B4249,CHAR(160)," ")),'TRANS'!$D:$D,0)),IFERROR(INDEX('Catalog'!$A:$A,MATCH($B4249,'Catalog'!$B:$B,0)),IFERROR(INDEX('Catalog'!$A:$A,MATCH(TRIM(SUBSTITUTE($B4249,CHAR(160)," ")),'Catalog'!$C:$C,0)),""))))</f>
        <v>4413523</v>
      </c>
      <c r="H4249" s="8" t="str">
        <f aca="false">IFERROR(INDEX('TRANS'!$C:$C,MATCH($B4249,'TRANS'!$A:$A,0)),IFERROR(INDEX('Catalog'!$B:$B,MATCH($G4249,'Catalog'!$A:$A,0)),$B4249))</f>
        <v>35-38 מדרסי אפיק ג'ל נוחות</v>
      </c>
      <c r="I4249" s="8" t="str">
        <f aca="false">IF($G4249="","Unmatched","Matched")</f>
        <v>Matched</v>
      </c>
      <c r="J4249" s="8" t="n">
        <f aca="false">IF($G4249&lt;&gt;"",$G4249,$B4249)</f>
        <v>4413523</v>
      </c>
      <c r="K4249" s="8" t="str">
        <f aca="false">IF(COUNTIF($M$1:$M$10,$A4249)&gt;0,"Y","N")</f>
        <v>N</v>
      </c>
    </row>
    <row r="4250" customFormat="false" ht="15" hidden="false" customHeight="true" outlineLevel="0" collapsed="false">
      <c r="A4250" s="8" t="s">
        <v>1117</v>
      </c>
      <c r="B4250" s="8" t="s">
        <v>870</v>
      </c>
      <c r="C4250" s="19" t="n">
        <v>44</v>
      </c>
      <c r="D4250" s="19" t="n">
        <v>2094.75</v>
      </c>
      <c r="E4250" s="19" t="n">
        <v>0</v>
      </c>
      <c r="F4250" s="19" t="n">
        <v>0</v>
      </c>
      <c r="G4250" s="8" t="n">
        <f aca="false">IFERROR(INDEX('TRANS'!$B:$B,MATCH($B4250,'TRANS'!$A:$A,0)),IFERROR(INDEX('TRANS'!$B:$B,MATCH(TRIM(SUBSTITUTE($B4250,CHAR(160)," ")),'TRANS'!$D:$D,0)),IFERROR(INDEX('Catalog'!$A:$A,MATCH($B4250,'Catalog'!$B:$B,0)),IFERROR(INDEX('Catalog'!$A:$A,MATCH(TRIM(SUBSTITUTE($B4250,CHAR(160)," ")),'Catalog'!$C:$C,0)),""))))</f>
        <v>4413524</v>
      </c>
      <c r="H4250" s="8" t="str">
        <f aca="false">IFERROR(INDEX('TRANS'!$C:$C,MATCH($B4250,'TRANS'!$A:$A,0)),IFERROR(INDEX('Catalog'!$B:$B,MATCH($G4250,'Catalog'!$A:$A,0)),$B4250))</f>
        <v>39-42 מדרסי אפיק ג'ל נוחות</v>
      </c>
      <c r="I4250" s="8" t="str">
        <f aca="false">IF($G4250="","Unmatched","Matched")</f>
        <v>Matched</v>
      </c>
      <c r="J4250" s="8" t="n">
        <f aca="false">IF($G4250&lt;&gt;"",$G4250,$B4250)</f>
        <v>4413524</v>
      </c>
      <c r="K4250" s="8" t="str">
        <f aca="false">IF(COUNTIF($M$1:$M$10,$A4250)&gt;0,"Y","N")</f>
        <v>N</v>
      </c>
    </row>
    <row r="4251" customFormat="false" ht="15" hidden="false" customHeight="true" outlineLevel="0" collapsed="false">
      <c r="A4251" s="8" t="s">
        <v>1117</v>
      </c>
      <c r="B4251" s="8" t="s">
        <v>871</v>
      </c>
      <c r="C4251" s="19" t="n">
        <v>64</v>
      </c>
      <c r="D4251" s="19" t="n">
        <v>2987.56</v>
      </c>
      <c r="E4251" s="19" t="n">
        <v>0</v>
      </c>
      <c r="F4251" s="19" t="n">
        <v>0</v>
      </c>
      <c r="G4251" s="8" t="n">
        <f aca="false">IFERROR(INDEX('TRANS'!$B:$B,MATCH($B4251,'TRANS'!$A:$A,0)),IFERROR(INDEX('TRANS'!$B:$B,MATCH(TRIM(SUBSTITUTE($B4251,CHAR(160)," ")),'TRANS'!$D:$D,0)),IFERROR(INDEX('Catalog'!$A:$A,MATCH($B4251,'Catalog'!$B:$B,0)),IFERROR(INDEX('Catalog'!$A:$A,MATCH(TRIM(SUBSTITUTE($B4251,CHAR(160)," ")),'Catalog'!$C:$C,0)),""))))</f>
        <v>4413525</v>
      </c>
      <c r="H4251" s="8" t="str">
        <f aca="false">IFERROR(INDEX('TRANS'!$C:$C,MATCH($B4251,'TRANS'!$A:$A,0)),IFERROR(INDEX('Catalog'!$B:$B,MATCH($G4251,'Catalog'!$A:$A,0)),$B4251))</f>
        <v>43-47 מדרסי אפיק ג'ל נוחות</v>
      </c>
      <c r="I4251" s="8" t="str">
        <f aca="false">IF($G4251="","Unmatched","Matched")</f>
        <v>Matched</v>
      </c>
      <c r="J4251" s="8" t="n">
        <f aca="false">IF($G4251&lt;&gt;"",$G4251,$B4251)</f>
        <v>4413525</v>
      </c>
      <c r="K4251" s="8" t="str">
        <f aca="false">IF(COUNTIF($M$1:$M$10,$A4251)&gt;0,"Y","N")</f>
        <v>N</v>
      </c>
    </row>
    <row r="4252" customFormat="false" ht="15" hidden="false" customHeight="true" outlineLevel="0" collapsed="false">
      <c r="A4252" s="8" t="s">
        <v>1117</v>
      </c>
      <c r="B4252" s="8" t="s">
        <v>872</v>
      </c>
      <c r="C4252" s="19" t="n">
        <v>34</v>
      </c>
      <c r="D4252" s="19" t="n">
        <v>1637.07</v>
      </c>
      <c r="E4252" s="19" t="n">
        <v>0</v>
      </c>
      <c r="F4252" s="19" t="n">
        <v>0</v>
      </c>
      <c r="G4252" s="8" t="n">
        <f aca="false">IFERROR(INDEX('TRANS'!$B:$B,MATCH($B4252,'TRANS'!$A:$A,0)),IFERROR(INDEX('TRANS'!$B:$B,MATCH(TRIM(SUBSTITUTE($B4252,CHAR(160)," ")),'TRANS'!$D:$D,0)),IFERROR(INDEX('Catalog'!$A:$A,MATCH($B4252,'Catalog'!$B:$B,0)),IFERROR(INDEX('Catalog'!$A:$A,MATCH(TRIM(SUBSTITUTE($B4252,CHAR(160)," ")),'Catalog'!$C:$C,0)),""))))</f>
        <v>4413520</v>
      </c>
      <c r="H4252" s="8" t="str">
        <f aca="false">IFERROR(INDEX('TRANS'!$C:$C,MATCH($B4252,'TRANS'!$A:$A,0)),IFERROR(INDEX('Catalog'!$B:$B,MATCH($G4252,'Catalog'!$A:$A,0)),$B4252))</f>
        <v>מדרסי אפיק ג'ל מולט.ספורט35-38</v>
      </c>
      <c r="I4252" s="8" t="str">
        <f aca="false">IF($G4252="","Unmatched","Matched")</f>
        <v>Matched</v>
      </c>
      <c r="J4252" s="8" t="n">
        <f aca="false">IF($G4252&lt;&gt;"",$G4252,$B4252)</f>
        <v>4413520</v>
      </c>
      <c r="K4252" s="8" t="str">
        <f aca="false">IF(COUNTIF($M$1:$M$10,$A4252)&gt;0,"Y","N")</f>
        <v>N</v>
      </c>
    </row>
    <row r="4253" customFormat="false" ht="15" hidden="false" customHeight="true" outlineLevel="0" collapsed="false">
      <c r="A4253" s="8" t="s">
        <v>1117</v>
      </c>
      <c r="B4253" s="8" t="s">
        <v>873</v>
      </c>
      <c r="C4253" s="19" t="n">
        <v>54</v>
      </c>
      <c r="D4253" s="19" t="n">
        <v>2541.16</v>
      </c>
      <c r="E4253" s="19" t="n">
        <v>0</v>
      </c>
      <c r="F4253" s="19" t="n">
        <v>0</v>
      </c>
      <c r="G4253" s="8" t="n">
        <f aca="false">IFERROR(INDEX('TRANS'!$B:$B,MATCH($B4253,'TRANS'!$A:$A,0)),IFERROR(INDEX('TRANS'!$B:$B,MATCH(TRIM(SUBSTITUTE($B4253,CHAR(160)," ")),'TRANS'!$D:$D,0)),IFERROR(INDEX('Catalog'!$A:$A,MATCH($B4253,'Catalog'!$B:$B,0)),IFERROR(INDEX('Catalog'!$A:$A,MATCH(TRIM(SUBSTITUTE($B4253,CHAR(160)," ")),'Catalog'!$C:$C,0)),""))))</f>
        <v>4413521</v>
      </c>
      <c r="H4253" s="8" t="str">
        <f aca="false">IFERROR(INDEX('TRANS'!$C:$C,MATCH($B4253,'TRANS'!$A:$A,0)),IFERROR(INDEX('Catalog'!$B:$B,MATCH($G4253,'Catalog'!$A:$A,0)),$B4253))</f>
        <v>מדרסי אפיק ג'ל מולטי ספור39-42</v>
      </c>
      <c r="I4253" s="8" t="str">
        <f aca="false">IF($G4253="","Unmatched","Matched")</f>
        <v>Matched</v>
      </c>
      <c r="J4253" s="8" t="n">
        <f aca="false">IF($G4253&lt;&gt;"",$G4253,$B4253)</f>
        <v>4413521</v>
      </c>
      <c r="K4253" s="8" t="str">
        <f aca="false">IF(COUNTIF($M$1:$M$10,$A4253)&gt;0,"Y","N")</f>
        <v>N</v>
      </c>
    </row>
    <row r="4254" customFormat="false" ht="15" hidden="false" customHeight="true" outlineLevel="0" collapsed="false">
      <c r="A4254" s="8" t="s">
        <v>1117</v>
      </c>
      <c r="B4254" s="8" t="s">
        <v>874</v>
      </c>
      <c r="C4254" s="19" t="n">
        <v>44</v>
      </c>
      <c r="D4254" s="19" t="n">
        <v>2094.75</v>
      </c>
      <c r="E4254" s="19" t="n">
        <v>0</v>
      </c>
      <c r="F4254" s="19" t="n">
        <v>0</v>
      </c>
      <c r="G4254" s="8" t="n">
        <f aca="false">IFERROR(INDEX('TRANS'!$B:$B,MATCH($B4254,'TRANS'!$A:$A,0)),IFERROR(INDEX('TRANS'!$B:$B,MATCH(TRIM(SUBSTITUTE($B4254,CHAR(160)," ")),'TRANS'!$D:$D,0)),IFERROR(INDEX('Catalog'!$A:$A,MATCH($B4254,'Catalog'!$B:$B,0)),IFERROR(INDEX('Catalog'!$A:$A,MATCH(TRIM(SUBSTITUTE($B4254,CHAR(160)," ")),'Catalog'!$C:$C,0)),""))))</f>
        <v>4413522</v>
      </c>
      <c r="H4254" s="8" t="str">
        <f aca="false">IFERROR(INDEX('TRANS'!$C:$C,MATCH($B4254,'TRANS'!$A:$A,0)),IFERROR(INDEX('Catalog'!$B:$B,MATCH($G4254,'Catalog'!$A:$A,0)),$B4254))</f>
        <v>מדרסי אפיק ג'ל מולט.ספורט43-47</v>
      </c>
      <c r="I4254" s="8" t="str">
        <f aca="false">IF($G4254="","Unmatched","Matched")</f>
        <v>Matched</v>
      </c>
      <c r="J4254" s="8" t="n">
        <f aca="false">IF($G4254&lt;&gt;"",$G4254,$B4254)</f>
        <v>4413522</v>
      </c>
      <c r="K4254" s="8" t="str">
        <f aca="false">IF(COUNTIF($M$1:$M$10,$A4254)&gt;0,"Y","N")</f>
        <v>N</v>
      </c>
    </row>
    <row r="4255" customFormat="false" ht="15" hidden="false" customHeight="true" outlineLevel="0" collapsed="false">
      <c r="A4255" s="8" t="s">
        <v>1117</v>
      </c>
      <c r="B4255" s="8" t="s">
        <v>875</v>
      </c>
      <c r="C4255" s="19" t="n">
        <v>44</v>
      </c>
      <c r="D4255" s="19" t="n">
        <v>2083.48</v>
      </c>
      <c r="E4255" s="19" t="n">
        <v>0</v>
      </c>
      <c r="F4255" s="19" t="n">
        <v>0</v>
      </c>
      <c r="G4255" s="8" t="n">
        <f aca="false">IFERROR(INDEX('TRANS'!$B:$B,MATCH($B4255,'TRANS'!$A:$A,0)),IFERROR(INDEX('TRANS'!$B:$B,MATCH(TRIM(SUBSTITUTE($B4255,CHAR(160)," ")),'TRANS'!$D:$D,0)),IFERROR(INDEX('Catalog'!$A:$A,MATCH($B4255,'Catalog'!$B:$B,0)),IFERROR(INDEX('Catalog'!$A:$A,MATCH(TRIM(SUBSTITUTE($B4255,CHAR(160)," ")),'Catalog'!$C:$C,0)),""))))</f>
        <v>4413527</v>
      </c>
      <c r="H4255" s="8" t="str">
        <f aca="false">IFERROR(INDEX('TRANS'!$C:$C,MATCH($B4255,'TRANS'!$A:$A,0)),IFERROR(INDEX('Catalog'!$B:$B,MATCH($G4255,'Catalog'!$A:$A,0)),$B4255))</f>
        <v>35-38 מדרסי אפיק ג'ל עבודה</v>
      </c>
      <c r="I4255" s="8" t="str">
        <f aca="false">IF($G4255="","Unmatched","Matched")</f>
        <v>Matched</v>
      </c>
      <c r="J4255" s="8" t="n">
        <f aca="false">IF($G4255&lt;&gt;"",$G4255,$B4255)</f>
        <v>4413527</v>
      </c>
      <c r="K4255" s="8" t="str">
        <f aca="false">IF(COUNTIF($M$1:$M$10,$A4255)&gt;0,"Y","N")</f>
        <v>N</v>
      </c>
    </row>
    <row r="4256" customFormat="false" ht="15" hidden="false" customHeight="true" outlineLevel="0" collapsed="false">
      <c r="A4256" s="8" t="s">
        <v>1117</v>
      </c>
      <c r="B4256" s="8" t="s">
        <v>876</v>
      </c>
      <c r="C4256" s="19" t="n">
        <v>65</v>
      </c>
      <c r="D4256" s="19" t="n">
        <v>2987.6</v>
      </c>
      <c r="E4256" s="19" t="n">
        <v>0</v>
      </c>
      <c r="F4256" s="19" t="n">
        <v>0</v>
      </c>
      <c r="G4256" s="8" t="n">
        <f aca="false">IFERROR(INDEX('TRANS'!$B:$B,MATCH($B4256,'TRANS'!$A:$A,0)),IFERROR(INDEX('TRANS'!$B:$B,MATCH(TRIM(SUBSTITUTE($B4256,CHAR(160)," ")),'TRANS'!$D:$D,0)),IFERROR(INDEX('Catalog'!$A:$A,MATCH($B4256,'Catalog'!$B:$B,0)),IFERROR(INDEX('Catalog'!$A:$A,MATCH(TRIM(SUBSTITUTE($B4256,CHAR(160)," ")),'Catalog'!$C:$C,0)),""))))</f>
        <v>4413528</v>
      </c>
      <c r="H4256" s="8" t="str">
        <f aca="false">IFERROR(INDEX('TRANS'!$C:$C,MATCH($B4256,'TRANS'!$A:$A,0)),IFERROR(INDEX('Catalog'!$B:$B,MATCH($G4256,'Catalog'!$A:$A,0)),$B4256))</f>
        <v>39-42 מדרסי אפיק ג'ל עבודה</v>
      </c>
      <c r="I4256" s="8" t="str">
        <f aca="false">IF($G4256="","Unmatched","Matched")</f>
        <v>Matched</v>
      </c>
      <c r="J4256" s="8" t="n">
        <f aca="false">IF($G4256&lt;&gt;"",$G4256,$B4256)</f>
        <v>4413528</v>
      </c>
      <c r="K4256" s="8" t="str">
        <f aca="false">IF(COUNTIF($M$1:$M$10,$A4256)&gt;0,"Y","N")</f>
        <v>N</v>
      </c>
    </row>
    <row r="4257" customFormat="false" ht="15" hidden="false" customHeight="true" outlineLevel="0" collapsed="false">
      <c r="A4257" s="8" t="s">
        <v>1117</v>
      </c>
      <c r="B4257" s="8" t="s">
        <v>877</v>
      </c>
      <c r="C4257" s="19" t="n">
        <v>83</v>
      </c>
      <c r="D4257" s="19" t="n">
        <v>3823.33</v>
      </c>
      <c r="E4257" s="19" t="n">
        <v>0</v>
      </c>
      <c r="F4257" s="19" t="n">
        <v>0</v>
      </c>
      <c r="G4257" s="8" t="n">
        <f aca="false">IFERROR(INDEX('TRANS'!$B:$B,MATCH($B4257,'TRANS'!$A:$A,0)),IFERROR(INDEX('TRANS'!$B:$B,MATCH(TRIM(SUBSTITUTE($B4257,CHAR(160)," ")),'TRANS'!$D:$D,0)),IFERROR(INDEX('Catalog'!$A:$A,MATCH($B4257,'Catalog'!$B:$B,0)),IFERROR(INDEX('Catalog'!$A:$A,MATCH(TRIM(SUBSTITUTE($B4257,CHAR(160)," ")),'Catalog'!$C:$C,0)),""))))</f>
        <v>4413529</v>
      </c>
      <c r="H4257" s="8" t="str">
        <f aca="false">IFERROR(INDEX('TRANS'!$C:$C,MATCH($B4257,'TRANS'!$A:$A,0)),IFERROR(INDEX('Catalog'!$B:$B,MATCH($G4257,'Catalog'!$A:$A,0)),$B4257))</f>
        <v>43-47 מדרסי אפיק ג'ל עבודה</v>
      </c>
      <c r="I4257" s="8" t="str">
        <f aca="false">IF($G4257="","Unmatched","Matched")</f>
        <v>Matched</v>
      </c>
      <c r="J4257" s="8" t="n">
        <f aca="false">IF($G4257&lt;&gt;"",$G4257,$B4257)</f>
        <v>4413529</v>
      </c>
      <c r="K4257" s="8" t="str">
        <f aca="false">IF(COUNTIF($M$1:$M$10,$A4257)&gt;0,"Y","N")</f>
        <v>N</v>
      </c>
    </row>
    <row r="4258" customFormat="false" ht="15" hidden="false" customHeight="true" outlineLevel="0" collapsed="false">
      <c r="A4258" s="8" t="s">
        <v>1117</v>
      </c>
      <c r="B4258" s="8" t="s">
        <v>650</v>
      </c>
      <c r="C4258" s="19" t="n">
        <v>25</v>
      </c>
      <c r="D4258" s="19" t="n">
        <v>913.43</v>
      </c>
      <c r="E4258" s="19" t="n">
        <v>10</v>
      </c>
      <c r="F4258" s="19" t="n">
        <v>311.45</v>
      </c>
      <c r="G4258" s="8" t="n">
        <f aca="false">IFERROR(INDEX('TRANS'!$B:$B,MATCH($B4258,'TRANS'!$A:$A,0)),IFERROR(INDEX('TRANS'!$B:$B,MATCH(TRIM(SUBSTITUTE($B4258,CHAR(160)," ")),'TRANS'!$D:$D,0)),IFERROR(INDEX('Catalog'!$A:$A,MATCH($B4258,'Catalog'!$B:$B,0)),IFERROR(INDEX('Catalog'!$A:$A,MATCH(TRIM(SUBSTITUTE($B4258,CHAR(160)," ")),'Catalog'!$C:$C,0)),""))))</f>
        <v>4415298</v>
      </c>
      <c r="H4258" s="8" t="str">
        <f aca="false">IFERROR(INDEX('TRANS'!$C:$C,MATCH($B4258,'TRANS'!$A:$A,0)),IFERROR(INDEX('Catalog'!$B:$B,MATCH($G4258,'Catalog'!$A:$A,0)),$B4258))</f>
        <v>388B L סד לילה שחור לבוהן שמאל</v>
      </c>
      <c r="I4258" s="8" t="str">
        <f aca="false">IF($G4258="","Unmatched","Matched")</f>
        <v>Matched</v>
      </c>
      <c r="J4258" s="8" t="n">
        <f aca="false">IF($G4258&lt;&gt;"",$G4258,$B4258)</f>
        <v>4415298</v>
      </c>
      <c r="K4258" s="8" t="str">
        <f aca="false">IF(COUNTIF($M$1:$M$10,$A4258)&gt;0,"Y","N")</f>
        <v>N</v>
      </c>
    </row>
    <row r="4259" customFormat="false" ht="15" hidden="false" customHeight="true" outlineLevel="0" collapsed="false">
      <c r="A4259" s="8" t="s">
        <v>1117</v>
      </c>
      <c r="B4259" s="8" t="s">
        <v>651</v>
      </c>
      <c r="C4259" s="19" t="n">
        <v>34</v>
      </c>
      <c r="D4259" s="19" t="n">
        <v>1862.47</v>
      </c>
      <c r="E4259" s="19" t="n">
        <v>0</v>
      </c>
      <c r="F4259" s="19" t="n">
        <v>0</v>
      </c>
      <c r="G4259" s="8" t="n">
        <f aca="false">IFERROR(INDEX('TRANS'!$B:$B,MATCH($B4259,'TRANS'!$A:$A,0)),IFERROR(INDEX('TRANS'!$B:$B,MATCH(TRIM(SUBSTITUTE($B4259,CHAR(160)," ")),'TRANS'!$D:$D,0)),IFERROR(INDEX('Catalog'!$A:$A,MATCH($B4259,'Catalog'!$B:$B,0)),IFERROR(INDEX('Catalog'!$A:$A,MATCH(TRIM(SUBSTITUTE($B4259,CHAR(160)," ")),'Catalog'!$C:$C,0)),""))))</f>
        <v>4415299</v>
      </c>
      <c r="H4259" s="8" t="str">
        <f aca="false">IFERROR(INDEX('TRANS'!$C:$C,MATCH($B4259,'TRANS'!$A:$A,0)),IFERROR(INDEX('Catalog'!$B:$B,MATCH($G4259,'Catalog'!$A:$A,0)),$B4259))</f>
        <v>388B L סד לילה שחור לבוהן ימין</v>
      </c>
      <c r="I4259" s="8" t="str">
        <f aca="false">IF($G4259="","Unmatched","Matched")</f>
        <v>Matched</v>
      </c>
      <c r="J4259" s="8" t="n">
        <f aca="false">IF($G4259&lt;&gt;"",$G4259,$B4259)</f>
        <v>4415299</v>
      </c>
      <c r="K4259" s="8" t="str">
        <f aca="false">IF(COUNTIF($M$1:$M$10,$A4259)&gt;0,"Y","N")</f>
        <v>N</v>
      </c>
    </row>
    <row r="4260" customFormat="false" ht="15" hidden="false" customHeight="true" outlineLevel="0" collapsed="false">
      <c r="A4260" s="8" t="s">
        <v>1117</v>
      </c>
      <c r="B4260" s="8" t="s">
        <v>656</v>
      </c>
      <c r="C4260" s="19" t="n">
        <v>10</v>
      </c>
      <c r="D4260" s="19" t="n">
        <v>263.48</v>
      </c>
      <c r="E4260" s="19" t="n">
        <v>0</v>
      </c>
      <c r="F4260" s="19" t="n">
        <v>0</v>
      </c>
      <c r="G4260" s="8" t="n">
        <f aca="false">IFERROR(INDEX('TRANS'!$B:$B,MATCH($B4260,'TRANS'!$A:$A,0)),IFERROR(INDEX('TRANS'!$B:$B,MATCH(TRIM(SUBSTITUTE($B4260,CHAR(160)," ")),'TRANS'!$D:$D,0)),IFERROR(INDEX('Catalog'!$A:$A,MATCH($B4260,'Catalog'!$B:$B,0)),IFERROR(INDEX('Catalog'!$A:$A,MATCH(TRIM(SUBSTITUTE($B4260,CHAR(160)," ")),'Catalog'!$C:$C,0)),""))))</f>
        <v>4403005</v>
      </c>
      <c r="H4260" s="8" t="str">
        <f aca="false">IFERROR(INDEX('TRANS'!$C:$C,MATCH($B4260,'TRANS'!$A:$A,0)),IFERROR(INDEX('Catalog'!$B:$B,MATCH($G4260,'Catalog'!$A:$A,0)),$B4260))</f>
        <v>G390.43-46 גרבי כסף לסכרת מידה</v>
      </c>
      <c r="I4260" s="8" t="str">
        <f aca="false">IF($G4260="","Unmatched","Matched")</f>
        <v>Matched</v>
      </c>
      <c r="J4260" s="8" t="n">
        <f aca="false">IF($G4260&lt;&gt;"",$G4260,$B4260)</f>
        <v>4403005</v>
      </c>
      <c r="K4260" s="8" t="str">
        <f aca="false">IF(COUNTIF($M$1:$M$10,$A4260)&gt;0,"Y","N")</f>
        <v>N</v>
      </c>
    </row>
    <row r="4261" customFormat="false" ht="15" hidden="false" customHeight="true" outlineLevel="0" collapsed="false">
      <c r="A4261" s="8" t="s">
        <v>1117</v>
      </c>
      <c r="B4261" s="8" t="s">
        <v>990</v>
      </c>
      <c r="C4261" s="19" t="n">
        <v>10</v>
      </c>
      <c r="D4261" s="19" t="n">
        <v>263.48</v>
      </c>
      <c r="E4261" s="19" t="n">
        <v>0</v>
      </c>
      <c r="F4261" s="19" t="n">
        <v>0</v>
      </c>
      <c r="G4261" s="8" t="n">
        <f aca="false">IFERROR(INDEX('TRANS'!$B:$B,MATCH($B4261,'TRANS'!$A:$A,0)),IFERROR(INDEX('TRANS'!$B:$B,MATCH(TRIM(SUBSTITUTE($B4261,CHAR(160)," ")),'TRANS'!$D:$D,0)),IFERROR(INDEX('Catalog'!$A:$A,MATCH($B4261,'Catalog'!$B:$B,0)),IFERROR(INDEX('Catalog'!$A:$A,MATCH(TRIM(SUBSTITUTE($B4261,CHAR(160)," ")),'Catalog'!$C:$C,0)),""))))</f>
        <v>4403006</v>
      </c>
      <c r="H4261" s="8" t="str">
        <f aca="false">IFERROR(INDEX('TRANS'!$C:$C,MATCH($B4261,'TRANS'!$A:$A,0)),IFERROR(INDEX('Catalog'!$B:$B,MATCH($G4261,'Catalog'!$A:$A,0)),$B4261))</f>
        <v>390W גרב כסף לסכרתיים לבן35-38</v>
      </c>
      <c r="I4261" s="8" t="str">
        <f aca="false">IF($G4261="","Unmatched","Matched")</f>
        <v>Matched</v>
      </c>
      <c r="J4261" s="8" t="n">
        <f aca="false">IF($G4261&lt;&gt;"",$G4261,$B4261)</f>
        <v>4403006</v>
      </c>
      <c r="K4261" s="8" t="str">
        <f aca="false">IF(COUNTIF($M$1:$M$10,$A4261)&gt;0,"Y","N")</f>
        <v>N</v>
      </c>
    </row>
    <row r="4262" customFormat="false" ht="15" hidden="false" customHeight="true" outlineLevel="0" collapsed="false">
      <c r="A4262" s="8" t="s">
        <v>1117</v>
      </c>
      <c r="B4262" s="8" t="s">
        <v>796</v>
      </c>
      <c r="C4262" s="19" t="n">
        <v>10</v>
      </c>
      <c r="D4262" s="19" t="n">
        <v>263.48</v>
      </c>
      <c r="E4262" s="19" t="n">
        <v>0</v>
      </c>
      <c r="F4262" s="19" t="n">
        <v>0</v>
      </c>
      <c r="G4262" s="8" t="n">
        <f aca="false">IFERROR(INDEX('TRANS'!$B:$B,MATCH($B4262,'TRANS'!$A:$A,0)),IFERROR(INDEX('TRANS'!$B:$B,MATCH(TRIM(SUBSTITUTE($B4262,CHAR(160)," ")),'TRANS'!$D:$D,0)),IFERROR(INDEX('Catalog'!$A:$A,MATCH($B4262,'Catalog'!$B:$B,0)),IFERROR(INDEX('Catalog'!$A:$A,MATCH(TRIM(SUBSTITUTE($B4262,CHAR(160)," ")),'Catalog'!$C:$C,0)),""))))</f>
        <v>4403008</v>
      </c>
      <c r="H4262" s="8" t="str">
        <f aca="false">IFERROR(INDEX('TRANS'!$C:$C,MATCH($B4262,'TRANS'!$A:$A,0)),IFERROR(INDEX('Catalog'!$B:$B,MATCH($G4262,'Catalog'!$A:$A,0)),$B4262))</f>
        <v>390W גרב.כסף לסכרתיים לבן43-46</v>
      </c>
      <c r="I4262" s="8" t="str">
        <f aca="false">IF($G4262="","Unmatched","Matched")</f>
        <v>Matched</v>
      </c>
      <c r="J4262" s="8" t="n">
        <f aca="false">IF($G4262&lt;&gt;"",$G4262,$B4262)</f>
        <v>4403008</v>
      </c>
      <c r="K4262" s="8" t="str">
        <f aca="false">IF(COUNTIF($M$1:$M$10,$A4262)&gt;0,"Y","N")</f>
        <v>N</v>
      </c>
    </row>
    <row r="4263" customFormat="false" ht="15" hidden="false" customHeight="true" outlineLevel="0" collapsed="false">
      <c r="A4263" s="8" t="s">
        <v>1117</v>
      </c>
      <c r="B4263" s="8" t="s">
        <v>191</v>
      </c>
      <c r="C4263" s="19" t="n">
        <v>1</v>
      </c>
      <c r="D4263" s="19" t="n">
        <v>0.04</v>
      </c>
      <c r="E4263" s="19" t="n">
        <v>0</v>
      </c>
      <c r="F4263" s="19" t="n">
        <v>0</v>
      </c>
      <c r="G4263" s="8" t="str">
        <f aca="false">IFERROR(INDEX('TRANS'!$B:$B,MATCH($B4263,'TRANS'!$A:$A,0)),IFERROR(INDEX('TRANS'!$B:$B,MATCH(TRIM(SUBSTITUTE($B4263,CHAR(160)," ")),'TRANS'!$D:$D,0)),IFERROR(INDEX('Catalog'!$A:$A,MATCH($B4263,'Catalog'!$B:$B,0)),IFERROR(INDEX('Catalog'!$A:$A,MATCH(TRIM(SUBSTITUTE($B4263,CHAR(160)," ")),'Catalog'!$C:$C,0)),""))))</f>
        <v/>
      </c>
      <c r="H4263" s="8" t="str">
        <f aca="false">IFERROR(INDEX('TRANS'!$C:$C,MATCH($B4263,'TRANS'!$A:$A,0)),IFERROR(INDEX('Catalog'!$B:$B,MATCH($G4263,'Catalog'!$A:$A,0)),$B4263))</f>
        <v>391W-35-38</v>
      </c>
      <c r="I4263" s="8" t="str">
        <f aca="false">IF($G4263="","Unmatched","Matched")</f>
        <v>Unmatched</v>
      </c>
      <c r="J4263" s="8" t="str">
        <f aca="false">IF($G4263&lt;&gt;"",$G4263,$B4263)</f>
        <v>391W-35-38</v>
      </c>
      <c r="K4263" s="8" t="str">
        <f aca="false">IF(COUNTIF($M$1:$M$10,$A4263)&gt;0,"Y","N")</f>
        <v>N</v>
      </c>
    </row>
    <row r="4264" customFormat="false" ht="15" hidden="false" customHeight="true" outlineLevel="0" collapsed="false">
      <c r="A4264" s="8" t="s">
        <v>1117</v>
      </c>
      <c r="B4264" s="8" t="s">
        <v>658</v>
      </c>
      <c r="C4264" s="19" t="n">
        <v>10</v>
      </c>
      <c r="D4264" s="19" t="n">
        <v>225.92</v>
      </c>
      <c r="E4264" s="19" t="n">
        <v>0</v>
      </c>
      <c r="F4264" s="19" t="n">
        <v>0</v>
      </c>
      <c r="G4264" s="8" t="n">
        <f aca="false">IFERROR(INDEX('TRANS'!$B:$B,MATCH($B4264,'TRANS'!$A:$A,0)),IFERROR(INDEX('TRANS'!$B:$B,MATCH(TRIM(SUBSTITUTE($B4264,CHAR(160)," ")),'TRANS'!$D:$D,0)),IFERROR(INDEX('Catalog'!$A:$A,MATCH($B4264,'Catalog'!$B:$B,0)),IFERROR(INDEX('Catalog'!$A:$A,MATCH(TRIM(SUBSTITUTE($B4264,CHAR(160)," ")),'Catalog'!$C:$C,0)),""))))</f>
        <v>4403017</v>
      </c>
      <c r="H4264" s="8" t="str">
        <f aca="false">IFERROR(INDEX('TRANS'!$C:$C,MATCH($B4264,'TRANS'!$A:$A,0)),IFERROR(INDEX('Catalog'!$B:$B,MATCH($G4264,'Catalog'!$A:$A,0)),$B4264))</f>
        <v>394B גרב.כסף לסכרתים שחור35-38</v>
      </c>
      <c r="I4264" s="8" t="str">
        <f aca="false">IF($G4264="","Unmatched","Matched")</f>
        <v>Matched</v>
      </c>
      <c r="J4264" s="8" t="n">
        <f aca="false">IF($G4264&lt;&gt;"",$G4264,$B4264)</f>
        <v>4403017</v>
      </c>
      <c r="K4264" s="8" t="str">
        <f aca="false">IF(COUNTIF($M$1:$M$10,$A4264)&gt;0,"Y","N")</f>
        <v>N</v>
      </c>
    </row>
    <row r="4265" customFormat="false" ht="15" hidden="false" customHeight="true" outlineLevel="0" collapsed="false">
      <c r="A4265" s="8" t="s">
        <v>1117</v>
      </c>
      <c r="B4265" s="8" t="s">
        <v>659</v>
      </c>
      <c r="C4265" s="19" t="n">
        <v>10</v>
      </c>
      <c r="D4265" s="19" t="n">
        <v>225.92</v>
      </c>
      <c r="E4265" s="19" t="n">
        <v>0</v>
      </c>
      <c r="F4265" s="19" t="n">
        <v>0</v>
      </c>
      <c r="G4265" s="8" t="n">
        <f aca="false">IFERROR(INDEX('TRANS'!$B:$B,MATCH($B4265,'TRANS'!$A:$A,0)),IFERROR(INDEX('TRANS'!$B:$B,MATCH(TRIM(SUBSTITUTE($B4265,CHAR(160)," ")),'TRANS'!$D:$D,0)),IFERROR(INDEX('Catalog'!$A:$A,MATCH($B4265,'Catalog'!$B:$B,0)),IFERROR(INDEX('Catalog'!$A:$A,MATCH(TRIM(SUBSTITUTE($B4265,CHAR(160)," ")),'Catalog'!$C:$C,0)),""))))</f>
        <v>4403018</v>
      </c>
      <c r="H4265" s="8" t="str">
        <f aca="false">IFERROR(INDEX('TRANS'!$C:$C,MATCH($B4265,'TRANS'!$A:$A,0)),IFERROR(INDEX('Catalog'!$B:$B,MATCH($G4265,'Catalog'!$A:$A,0)),$B4265))</f>
        <v>394B גרב.כסף לסכרתים שחור39-42</v>
      </c>
      <c r="I4265" s="8" t="str">
        <f aca="false">IF($G4265="","Unmatched","Matched")</f>
        <v>Matched</v>
      </c>
      <c r="J4265" s="8" t="n">
        <f aca="false">IF($G4265&lt;&gt;"",$G4265,$B4265)</f>
        <v>4403018</v>
      </c>
      <c r="K4265" s="8" t="str">
        <f aca="false">IF(COUNTIF($M$1:$M$10,$A4265)&gt;0,"Y","N")</f>
        <v>N</v>
      </c>
    </row>
    <row r="4266" customFormat="false" ht="15" hidden="false" customHeight="true" outlineLevel="0" collapsed="false">
      <c r="A4266" s="8" t="s">
        <v>1117</v>
      </c>
      <c r="B4266" s="8" t="s">
        <v>660</v>
      </c>
      <c r="C4266" s="19" t="n">
        <v>10</v>
      </c>
      <c r="D4266" s="19" t="n">
        <v>225.92</v>
      </c>
      <c r="E4266" s="19" t="n">
        <v>0</v>
      </c>
      <c r="F4266" s="19" t="n">
        <v>0</v>
      </c>
      <c r="G4266" s="8" t="n">
        <f aca="false">IFERROR(INDEX('TRANS'!$B:$B,MATCH($B4266,'TRANS'!$A:$A,0)),IFERROR(INDEX('TRANS'!$B:$B,MATCH(TRIM(SUBSTITUTE($B4266,CHAR(160)," ")),'TRANS'!$D:$D,0)),IFERROR(INDEX('Catalog'!$A:$A,MATCH($B4266,'Catalog'!$B:$B,0)),IFERROR(INDEX('Catalog'!$A:$A,MATCH(TRIM(SUBSTITUTE($B4266,CHAR(160)," ")),'Catalog'!$C:$C,0)),""))))</f>
        <v>4403019</v>
      </c>
      <c r="H4266" s="8" t="str">
        <f aca="false">IFERROR(INDEX('TRANS'!$C:$C,MATCH($B4266,'TRANS'!$A:$A,0)),IFERROR(INDEX('Catalog'!$B:$B,MATCH($G4266,'Catalog'!$A:$A,0)),$B4266))</f>
        <v>394B גרב.כסף לסכרתים שחור43-46</v>
      </c>
      <c r="I4266" s="8" t="str">
        <f aca="false">IF($G4266="","Unmatched","Matched")</f>
        <v>Matched</v>
      </c>
      <c r="J4266" s="8" t="n">
        <f aca="false">IF($G4266&lt;&gt;"",$G4266,$B4266)</f>
        <v>4403019</v>
      </c>
      <c r="K4266" s="8" t="str">
        <f aca="false">IF(COUNTIF($M$1:$M$10,$A4266)&gt;0,"Y","N")</f>
        <v>N</v>
      </c>
    </row>
    <row r="4267" customFormat="false" ht="15" hidden="false" customHeight="true" outlineLevel="0" collapsed="false">
      <c r="A4267" s="8" t="s">
        <v>1117</v>
      </c>
      <c r="B4267" s="8" t="s">
        <v>665</v>
      </c>
      <c r="C4267" s="19" t="n">
        <v>1</v>
      </c>
      <c r="D4267" s="19" t="n">
        <v>0.04</v>
      </c>
      <c r="E4267" s="19" t="n">
        <v>0</v>
      </c>
      <c r="F4267" s="19" t="n">
        <v>0</v>
      </c>
      <c r="G4267" s="8" t="n">
        <f aca="false">IFERROR(INDEX('TRANS'!$B:$B,MATCH($B4267,'TRANS'!$A:$A,0)),IFERROR(INDEX('TRANS'!$B:$B,MATCH(TRIM(SUBSTITUTE($B4267,CHAR(160)," ")),'TRANS'!$D:$D,0)),IFERROR(INDEX('Catalog'!$A:$A,MATCH($B4267,'Catalog'!$B:$B,0)),IFERROR(INDEX('Catalog'!$A:$A,MATCH(TRIM(SUBSTITUTE($B4267,CHAR(160)," ")),'Catalog'!$C:$C,0)),""))))</f>
        <v>4403045</v>
      </c>
      <c r="H4267" s="8" t="str">
        <f aca="false">IFERROR(INDEX('TRANS'!$C:$C,MATCH($B4267,'TRANS'!$A:$A,0)),IFERROR(INDEX('Catalog'!$B:$B,MATCH($G4267,'Catalog'!$A:$A,0)),$B4267))</f>
        <v>395B גרבי קיץ אנטי בקטריא43-46</v>
      </c>
      <c r="I4267" s="8" t="str">
        <f aca="false">IF($G4267="","Unmatched","Matched")</f>
        <v>Matched</v>
      </c>
      <c r="J4267" s="8" t="n">
        <f aca="false">IF($G4267&lt;&gt;"",$G4267,$B4267)</f>
        <v>4403045</v>
      </c>
      <c r="K4267" s="8" t="str">
        <f aca="false">IF(COUNTIF($M$1:$M$10,$A4267)&gt;0,"Y","N")</f>
        <v>N</v>
      </c>
    </row>
    <row r="4268" customFormat="false" ht="15" hidden="false" customHeight="true" outlineLevel="0" collapsed="false">
      <c r="A4268" s="8" t="s">
        <v>1117</v>
      </c>
      <c r="B4268" s="8" t="s">
        <v>407</v>
      </c>
      <c r="C4268" s="19" t="n">
        <v>20</v>
      </c>
      <c r="D4268" s="19" t="n">
        <v>654.27</v>
      </c>
      <c r="E4268" s="19" t="n">
        <v>0</v>
      </c>
      <c r="F4268" s="19" t="n">
        <v>0</v>
      </c>
      <c r="G4268" s="8" t="str">
        <f aca="false">IFERROR(INDEX('TRANS'!$B:$B,MATCH($B4268,'TRANS'!$A:$A,0)),IFERROR(INDEX('TRANS'!$B:$B,MATCH(TRIM(SUBSTITUTE($B4268,CHAR(160)," ")),'TRANS'!$D:$D,0)),IFERROR(INDEX('Catalog'!$A:$A,MATCH($B4268,'Catalog'!$B:$B,0)),IFERROR(INDEX('Catalog'!$A:$A,MATCH(TRIM(SUBSTITUTE($B4268,CHAR(160)," ")),'Catalog'!$C:$C,0)),""))))</f>
        <v/>
      </c>
      <c r="H4268" s="8" t="str">
        <f aca="false">IFERROR(INDEX('TRANS'!$C:$C,MATCH($B4268,'TRANS'!$A:$A,0)),IFERROR(INDEX('Catalog'!$B:$B,MATCH($G4268,'Catalog'!$A:$A,0)),$B4268))</f>
        <v>397-35-38</v>
      </c>
      <c r="I4268" s="8" t="str">
        <f aca="false">IF($G4268="","Unmatched","Matched")</f>
        <v>Unmatched</v>
      </c>
      <c r="J4268" s="8" t="str">
        <f aca="false">IF($G4268&lt;&gt;"",$G4268,$B4268)</f>
        <v>397-35-38</v>
      </c>
      <c r="K4268" s="8" t="str">
        <f aca="false">IF(COUNTIF($M$1:$M$10,$A4268)&gt;0,"Y","N")</f>
        <v>N</v>
      </c>
    </row>
    <row r="4269" customFormat="false" ht="15" hidden="false" customHeight="true" outlineLevel="0" collapsed="false">
      <c r="A4269" s="8" t="s">
        <v>1117</v>
      </c>
      <c r="B4269" s="8" t="s">
        <v>666</v>
      </c>
      <c r="C4269" s="19" t="n">
        <v>16</v>
      </c>
      <c r="D4269" s="19" t="n">
        <v>528.07</v>
      </c>
      <c r="E4269" s="19" t="n">
        <v>0</v>
      </c>
      <c r="F4269" s="19" t="n">
        <v>0</v>
      </c>
      <c r="G4269" s="8" t="n">
        <f aca="false">IFERROR(INDEX('TRANS'!$B:$B,MATCH($B4269,'TRANS'!$A:$A,0)),IFERROR(INDEX('TRANS'!$B:$B,MATCH(TRIM(SUBSTITUTE($B4269,CHAR(160)," ")),'TRANS'!$D:$D,0)),IFERROR(INDEX('Catalog'!$A:$A,MATCH($B4269,'Catalog'!$B:$B,0)),IFERROR(INDEX('Catalog'!$A:$A,MATCH(TRIM(SUBSTITUTE($B4269,CHAR(160)," ")),'Catalog'!$C:$C,0)),""))))</f>
        <v>4403029</v>
      </c>
      <c r="H4269" s="8" t="str">
        <f aca="false">IFERROR(INDEX('TRANS'!$C:$C,MATCH($B4269,'TRANS'!$A:$A,0)),IFERROR(INDEX('Catalog'!$B:$B,MATCH($G4269,'Catalog'!$A:$A,0)),$B4269))</f>
        <v>397 39-42 גרבי טיסה מידה</v>
      </c>
      <c r="I4269" s="8" t="str">
        <f aca="false">IF($G4269="","Unmatched","Matched")</f>
        <v>Matched</v>
      </c>
      <c r="J4269" s="8" t="n">
        <f aca="false">IF($G4269&lt;&gt;"",$G4269,$B4269)</f>
        <v>4403029</v>
      </c>
      <c r="K4269" s="8" t="str">
        <f aca="false">IF(COUNTIF($M$1:$M$10,$A4269)&gt;0,"Y","N")</f>
        <v>N</v>
      </c>
    </row>
    <row r="4270" customFormat="false" ht="15" hidden="false" customHeight="true" outlineLevel="0" collapsed="false">
      <c r="A4270" s="8" t="s">
        <v>1117</v>
      </c>
      <c r="B4270" s="8" t="s">
        <v>408</v>
      </c>
      <c r="C4270" s="19" t="n">
        <v>10</v>
      </c>
      <c r="D4270" s="19" t="n">
        <v>315.51</v>
      </c>
      <c r="E4270" s="19" t="n">
        <v>0</v>
      </c>
      <c r="F4270" s="19" t="n">
        <v>0</v>
      </c>
      <c r="G4270" s="8" t="str">
        <f aca="false">IFERROR(INDEX('TRANS'!$B:$B,MATCH($B4270,'TRANS'!$A:$A,0)),IFERROR(INDEX('TRANS'!$B:$B,MATCH(TRIM(SUBSTITUTE($B4270,CHAR(160)," ")),'TRANS'!$D:$D,0)),IFERROR(INDEX('Catalog'!$A:$A,MATCH($B4270,'Catalog'!$B:$B,0)),IFERROR(INDEX('Catalog'!$A:$A,MATCH(TRIM(SUBSTITUTE($B4270,CHAR(160)," ")),'Catalog'!$C:$C,0)),""))))</f>
        <v/>
      </c>
      <c r="H4270" s="8" t="str">
        <f aca="false">IFERROR(INDEX('TRANS'!$C:$C,MATCH($B4270,'TRANS'!$A:$A,0)),IFERROR(INDEX('Catalog'!$B:$B,MATCH($G4270,'Catalog'!$A:$A,0)),$B4270))</f>
        <v>397-43-46</v>
      </c>
      <c r="I4270" s="8" t="str">
        <f aca="false">IF($G4270="","Unmatched","Matched")</f>
        <v>Unmatched</v>
      </c>
      <c r="J4270" s="8" t="str">
        <f aca="false">IF($G4270&lt;&gt;"",$G4270,$B4270)</f>
        <v>397-43-46</v>
      </c>
      <c r="K4270" s="8" t="str">
        <f aca="false">IF(COUNTIF($M$1:$M$10,$A4270)&gt;0,"Y","N")</f>
        <v>N</v>
      </c>
    </row>
    <row r="4271" customFormat="false" ht="15" hidden="false" customHeight="true" outlineLevel="0" collapsed="false">
      <c r="A4271" s="8" t="s">
        <v>1117</v>
      </c>
      <c r="B4271" s="8" t="s">
        <v>667</v>
      </c>
      <c r="C4271" s="19" t="n">
        <v>0</v>
      </c>
      <c r="D4271" s="19" t="n">
        <v>0</v>
      </c>
      <c r="E4271" s="19" t="n">
        <v>24</v>
      </c>
      <c r="F4271" s="19" t="n">
        <v>689.8</v>
      </c>
      <c r="G4271" s="8" t="n">
        <f aca="false">IFERROR(INDEX('TRANS'!$B:$B,MATCH($B4271,'TRANS'!$A:$A,0)),IFERROR(INDEX('TRANS'!$B:$B,MATCH(TRIM(SUBSTITUTE($B4271,CHAR(160)," ")),'TRANS'!$D:$D,0)),IFERROR(INDEX('Catalog'!$A:$A,MATCH($B4271,'Catalog'!$B:$B,0)),IFERROR(INDEX('Catalog'!$A:$A,MATCH(TRIM(SUBSTITUTE($B4271,CHAR(160)," ")),'Catalog'!$C:$C,0)),""))))</f>
        <v>4403041</v>
      </c>
      <c r="H4271" s="8" t="str">
        <f aca="false">IFERROR(INDEX('TRANS'!$C:$C,MATCH($B4271,'TRANS'!$A:$A,0)),IFERROR(INDEX('Catalog'!$B:$B,MATCH($G4271,'Catalog'!$A:$A,0)),$B4271))</f>
        <v>397A-גרבי טיסה אנטי בקטרי35-38</v>
      </c>
      <c r="I4271" s="8" t="str">
        <f aca="false">IF($G4271="","Unmatched","Matched")</f>
        <v>Matched</v>
      </c>
      <c r="J4271" s="8" t="n">
        <f aca="false">IF($G4271&lt;&gt;"",$G4271,$B4271)</f>
        <v>4403041</v>
      </c>
      <c r="K4271" s="8" t="str">
        <f aca="false">IF(COUNTIF($M$1:$M$10,$A4271)&gt;0,"Y","N")</f>
        <v>N</v>
      </c>
    </row>
    <row r="4272" customFormat="false" ht="15" hidden="false" customHeight="true" outlineLevel="0" collapsed="false">
      <c r="A4272" s="8" t="s">
        <v>1117</v>
      </c>
      <c r="B4272" s="8" t="s">
        <v>668</v>
      </c>
      <c r="C4272" s="19" t="n">
        <v>0</v>
      </c>
      <c r="D4272" s="19" t="n">
        <v>0</v>
      </c>
      <c r="E4272" s="19" t="n">
        <v>32</v>
      </c>
      <c r="F4272" s="19" t="n">
        <v>911.58</v>
      </c>
      <c r="G4272" s="8" t="n">
        <f aca="false">IFERROR(INDEX('TRANS'!$B:$B,MATCH($B4272,'TRANS'!$A:$A,0)),IFERROR(INDEX('TRANS'!$B:$B,MATCH(TRIM(SUBSTITUTE($B4272,CHAR(160)," ")),'TRANS'!$D:$D,0)),IFERROR(INDEX('Catalog'!$A:$A,MATCH($B4272,'Catalog'!$B:$B,0)),IFERROR(INDEX('Catalog'!$A:$A,MATCH(TRIM(SUBSTITUTE($B4272,CHAR(160)," ")),'Catalog'!$C:$C,0)),""))))</f>
        <v>4403042</v>
      </c>
      <c r="H4272" s="8" t="str">
        <f aca="false">IFERROR(INDEX('TRANS'!$C:$C,MATCH($B4272,'TRANS'!$A:$A,0)),IFERROR(INDEX('Catalog'!$B:$B,MATCH($G4272,'Catalog'!$A:$A,0)),$B4272))</f>
        <v>397A-גרבי טיסה אנטי בקטרי39-42</v>
      </c>
      <c r="I4272" s="8" t="str">
        <f aca="false">IF($G4272="","Unmatched","Matched")</f>
        <v>Matched</v>
      </c>
      <c r="J4272" s="8" t="n">
        <f aca="false">IF($G4272&lt;&gt;"",$G4272,$B4272)</f>
        <v>4403042</v>
      </c>
      <c r="K4272" s="8" t="str">
        <f aca="false">IF(COUNTIF($M$1:$M$10,$A4272)&gt;0,"Y","N")</f>
        <v>N</v>
      </c>
    </row>
    <row r="4273" customFormat="false" ht="15" hidden="false" customHeight="true" outlineLevel="0" collapsed="false">
      <c r="A4273" s="8" t="s">
        <v>1117</v>
      </c>
      <c r="B4273" s="8" t="s">
        <v>669</v>
      </c>
      <c r="C4273" s="19" t="n">
        <v>1</v>
      </c>
      <c r="D4273" s="19" t="n">
        <v>0.04</v>
      </c>
      <c r="E4273" s="19" t="n">
        <v>24</v>
      </c>
      <c r="F4273" s="19" t="n">
        <v>689.8</v>
      </c>
      <c r="G4273" s="8" t="n">
        <f aca="false">IFERROR(INDEX('TRANS'!$B:$B,MATCH($B4273,'TRANS'!$A:$A,0)),IFERROR(INDEX('TRANS'!$B:$B,MATCH(TRIM(SUBSTITUTE($B4273,CHAR(160)," ")),'TRANS'!$D:$D,0)),IFERROR(INDEX('Catalog'!$A:$A,MATCH($B4273,'Catalog'!$B:$B,0)),IFERROR(INDEX('Catalog'!$A:$A,MATCH(TRIM(SUBSTITUTE($B4273,CHAR(160)," ")),'Catalog'!$C:$C,0)),""))))</f>
        <v>4403043</v>
      </c>
      <c r="H4273" s="8" t="str">
        <f aca="false">IFERROR(INDEX('TRANS'!$C:$C,MATCH($B4273,'TRANS'!$A:$A,0)),IFERROR(INDEX('Catalog'!$B:$B,MATCH($G4273,'Catalog'!$A:$A,0)),$B4273))</f>
        <v>397A-גרבי טיסה אנטי בקטרי43-46</v>
      </c>
      <c r="I4273" s="8" t="str">
        <f aca="false">IF($G4273="","Unmatched","Matched")</f>
        <v>Matched</v>
      </c>
      <c r="J4273" s="8" t="n">
        <f aca="false">IF($G4273&lt;&gt;"",$G4273,$B4273)</f>
        <v>4403043</v>
      </c>
      <c r="K4273" s="8" t="str">
        <f aca="false">IF(COUNTIF($M$1:$M$10,$A4273)&gt;0,"Y","N")</f>
        <v>N</v>
      </c>
    </row>
    <row r="4274" customFormat="false" ht="15" hidden="false" customHeight="true" outlineLevel="0" collapsed="false">
      <c r="A4274" s="8" t="s">
        <v>1117</v>
      </c>
      <c r="B4274" s="8" t="s">
        <v>670</v>
      </c>
      <c r="C4274" s="19" t="n">
        <v>6</v>
      </c>
      <c r="D4274" s="19" t="n">
        <v>141.33</v>
      </c>
      <c r="E4274" s="19" t="n">
        <v>9</v>
      </c>
      <c r="F4274" s="19" t="n">
        <v>200.34</v>
      </c>
      <c r="G4274" s="8" t="n">
        <f aca="false">IFERROR(INDEX('TRANS'!$B:$B,MATCH($B4274,'TRANS'!$A:$A,0)),IFERROR(INDEX('TRANS'!$B:$B,MATCH(TRIM(SUBSTITUTE($B4274,CHAR(160)," ")),'TRANS'!$D:$D,0)),IFERROR(INDEX('Catalog'!$A:$A,MATCH($B4274,'Catalog'!$B:$B,0)),IFERROR(INDEX('Catalog'!$A:$A,MATCH(TRIM(SUBSTITUTE($B4274,CHAR(160)," ")),'Catalog'!$C:$C,0)),""))))</f>
        <v>4420016</v>
      </c>
      <c r="H4274" s="8" t="str">
        <f aca="false">IFERROR(INDEX('TRANS'!$C:$C,MATCH($B4274,'TRANS'!$A:$A,0)),IFERROR(INDEX('Catalog'!$B:$B,MATCH($G4274,'Catalog'!$A:$A,0)),$B4274))</f>
        <v>40-רצועת פיקה לברך</v>
      </c>
      <c r="I4274" s="8" t="str">
        <f aca="false">IF($G4274="","Unmatched","Matched")</f>
        <v>Matched</v>
      </c>
      <c r="J4274" s="8" t="n">
        <f aca="false">IF($G4274&lt;&gt;"",$G4274,$B4274)</f>
        <v>4420016</v>
      </c>
      <c r="K4274" s="8" t="str">
        <f aca="false">IF(COUNTIF($M$1:$M$10,$A4274)&gt;0,"Y","N")</f>
        <v>N</v>
      </c>
    </row>
    <row r="4275" customFormat="false" ht="15" hidden="false" customHeight="true" outlineLevel="0" collapsed="false">
      <c r="A4275" s="8" t="s">
        <v>1117</v>
      </c>
      <c r="B4275" s="8" t="s">
        <v>671</v>
      </c>
      <c r="C4275" s="19" t="n">
        <v>6</v>
      </c>
      <c r="D4275" s="19" t="n">
        <v>275.78</v>
      </c>
      <c r="E4275" s="19" t="n">
        <v>3</v>
      </c>
      <c r="F4275" s="19" t="n">
        <v>121.16</v>
      </c>
      <c r="G4275" s="8" t="n">
        <f aca="false">IFERROR(INDEX('TRANS'!$B:$B,MATCH($B4275,'TRANS'!$A:$A,0)),IFERROR(INDEX('TRANS'!$B:$B,MATCH(TRIM(SUBSTITUTE($B4275,CHAR(160)," ")),'TRANS'!$D:$D,0)),IFERROR(INDEX('Catalog'!$A:$A,MATCH($B4275,'Catalog'!$B:$B,0)),IFERROR(INDEX('Catalog'!$A:$A,MATCH(TRIM(SUBSTITUTE($B4275,CHAR(160)," ")),'Catalog'!$C:$C,0)),""))))</f>
        <v>4420017</v>
      </c>
      <c r="H4275" s="8" t="str">
        <f aca="false">IFERROR(INDEX('TRANS'!$C:$C,MATCH($B4275,'TRANS'!$A:$A,0)),IFERROR(INDEX('Catalog'!$B:$B,MATCH($G4275,'Catalog'!$A:$A,0)),$B4275))</f>
        <v>4022 רצועת """"פיקה""""+כרית</v>
      </c>
      <c r="I4275" s="8" t="str">
        <f aca="false">IF($G4275="","Unmatched","Matched")</f>
        <v>Matched</v>
      </c>
      <c r="J4275" s="8" t="n">
        <f aca="false">IF($G4275&lt;&gt;"",$G4275,$B4275)</f>
        <v>4420017</v>
      </c>
      <c r="K4275" s="8" t="str">
        <f aca="false">IF(COUNTIF($M$1:$M$10,$A4275)&gt;0,"Y","N")</f>
        <v>N</v>
      </c>
    </row>
    <row r="4276" customFormat="false" ht="15" hidden="false" customHeight="true" outlineLevel="0" collapsed="false">
      <c r="A4276" s="8" t="s">
        <v>1117</v>
      </c>
      <c r="B4276" s="8" t="s">
        <v>798</v>
      </c>
      <c r="C4276" s="19" t="n">
        <v>9</v>
      </c>
      <c r="D4276" s="19" t="n">
        <v>105.96</v>
      </c>
      <c r="E4276" s="19" t="n">
        <v>0</v>
      </c>
      <c r="F4276" s="19" t="n">
        <v>0</v>
      </c>
      <c r="G4276" s="8" t="n">
        <f aca="false">IFERROR(INDEX('TRANS'!$B:$B,MATCH($B4276,'TRANS'!$A:$A,0)),IFERROR(INDEX('TRANS'!$B:$B,MATCH(TRIM(SUBSTITUTE($B4276,CHAR(160)," ")),'TRANS'!$D:$D,0)),IFERROR(INDEX('Catalog'!$A:$A,MATCH($B4276,'Catalog'!$B:$B,0)),IFERROR(INDEX('Catalog'!$A:$A,MATCH(TRIM(SUBSTITUTE($B4276,CHAR(160)," ")),'Catalog'!$C:$C,0)),""))))</f>
        <v>4413092</v>
      </c>
      <c r="H4276" s="8" t="str">
        <f aca="false">IFERROR(INDEX('TRANS'!$C:$C,MATCH($B4276,'TRANS'!$A:$A,0)),IFERROR(INDEX('Catalog'!$B:$B,MATCH($G4276,'Catalog'!$A:$A,0)),$B4276))</f>
        <v>45 L מגן ברך לבן</v>
      </c>
      <c r="I4276" s="8" t="str">
        <f aca="false">IF($G4276="","Unmatched","Matched")</f>
        <v>Matched</v>
      </c>
      <c r="J4276" s="8" t="n">
        <f aca="false">IF($G4276&lt;&gt;"",$G4276,$B4276)</f>
        <v>4413092</v>
      </c>
      <c r="K4276" s="8" t="str">
        <f aca="false">IF(COUNTIF($M$1:$M$10,$A4276)&gt;0,"Y","N")</f>
        <v>N</v>
      </c>
    </row>
    <row r="4277" customFormat="false" ht="15" hidden="false" customHeight="true" outlineLevel="0" collapsed="false">
      <c r="A4277" s="8" t="s">
        <v>1117</v>
      </c>
      <c r="B4277" s="8" t="s">
        <v>799</v>
      </c>
      <c r="C4277" s="19" t="n">
        <v>0</v>
      </c>
      <c r="D4277" s="19" t="n">
        <v>0</v>
      </c>
      <c r="E4277" s="19" t="n">
        <v>3</v>
      </c>
      <c r="F4277" s="19" t="n">
        <v>30.29</v>
      </c>
      <c r="G4277" s="8" t="n">
        <f aca="false">IFERROR(INDEX('TRANS'!$B:$B,MATCH($B4277,'TRANS'!$A:$A,0)),IFERROR(INDEX('TRANS'!$B:$B,MATCH(TRIM(SUBSTITUTE($B4277,CHAR(160)," ")),'TRANS'!$D:$D,0)),IFERROR(INDEX('Catalog'!$A:$A,MATCH($B4277,'Catalog'!$B:$B,0)),IFERROR(INDEX('Catalog'!$A:$A,MATCH(TRIM(SUBSTITUTE($B4277,CHAR(160)," ")),'Catalog'!$C:$C,0)),""))))</f>
        <v>4413093</v>
      </c>
      <c r="H4277" s="8" t="str">
        <f aca="false">IFERROR(INDEX('TRANS'!$C:$C,MATCH($B4277,'TRANS'!$A:$A,0)),IFERROR(INDEX('Catalog'!$B:$B,MATCH($G4277,'Catalog'!$A:$A,0)),$B4277))</f>
        <v>45 M מגן ברך לבן</v>
      </c>
      <c r="I4277" s="8" t="str">
        <f aca="false">IF($G4277="","Unmatched","Matched")</f>
        <v>Matched</v>
      </c>
      <c r="J4277" s="8" t="n">
        <f aca="false">IF($G4277&lt;&gt;"",$G4277,$B4277)</f>
        <v>4413093</v>
      </c>
      <c r="K4277" s="8" t="str">
        <f aca="false">IF(COUNTIF($M$1:$M$10,$A4277)&gt;0,"Y","N")</f>
        <v>N</v>
      </c>
    </row>
    <row r="4278" customFormat="false" ht="15" hidden="false" customHeight="true" outlineLevel="0" collapsed="false">
      <c r="A4278" s="8" t="s">
        <v>1117</v>
      </c>
      <c r="B4278" s="8" t="s">
        <v>673</v>
      </c>
      <c r="C4278" s="19" t="n">
        <v>0</v>
      </c>
      <c r="D4278" s="19" t="n">
        <v>0</v>
      </c>
      <c r="E4278" s="19" t="n">
        <v>2</v>
      </c>
      <c r="F4278" s="19" t="n">
        <v>20.19</v>
      </c>
      <c r="G4278" s="8" t="n">
        <f aca="false">IFERROR(INDEX('TRANS'!$B:$B,MATCH($B4278,'TRANS'!$A:$A,0)),IFERROR(INDEX('TRANS'!$B:$B,MATCH(TRIM(SUBSTITUTE($B4278,CHAR(160)," ")),'TRANS'!$D:$D,0)),IFERROR(INDEX('Catalog'!$A:$A,MATCH($B4278,'Catalog'!$B:$B,0)),IFERROR(INDEX('Catalog'!$A:$A,MATCH(TRIM(SUBSTITUTE($B4278,CHAR(160)," ")),'Catalog'!$C:$C,0)),""))))</f>
        <v>4413094</v>
      </c>
      <c r="H4278" s="8" t="str">
        <f aca="false">IFERROR(INDEX('TRANS'!$C:$C,MATCH($B4278,'TRANS'!$A:$A,0)),IFERROR(INDEX('Catalog'!$B:$B,MATCH($G4278,'Catalog'!$A:$A,0)),$B4278))</f>
        <v>45 S מגן ברך לבן</v>
      </c>
      <c r="I4278" s="8" t="str">
        <f aca="false">IF($G4278="","Unmatched","Matched")</f>
        <v>Matched</v>
      </c>
      <c r="J4278" s="8" t="n">
        <f aca="false">IF($G4278&lt;&gt;"",$G4278,$B4278)</f>
        <v>4413094</v>
      </c>
      <c r="K4278" s="8" t="str">
        <f aca="false">IF(COUNTIF($M$1:$M$10,$A4278)&gt;0,"Y","N")</f>
        <v>N</v>
      </c>
    </row>
    <row r="4279" customFormat="false" ht="15" hidden="false" customHeight="true" outlineLevel="0" collapsed="false">
      <c r="A4279" s="8" t="s">
        <v>1117</v>
      </c>
      <c r="B4279" s="8" t="s">
        <v>674</v>
      </c>
      <c r="C4279" s="19" t="n">
        <v>3</v>
      </c>
      <c r="D4279" s="19" t="n">
        <v>34.47</v>
      </c>
      <c r="E4279" s="19" t="n">
        <v>0</v>
      </c>
      <c r="F4279" s="19" t="n">
        <v>0</v>
      </c>
      <c r="G4279" s="8" t="n">
        <f aca="false">IFERROR(INDEX('TRANS'!$B:$B,MATCH($B4279,'TRANS'!$A:$A,0)),IFERROR(INDEX('TRANS'!$B:$B,MATCH(TRIM(SUBSTITUTE($B4279,CHAR(160)," ")),'TRANS'!$D:$D,0)),IFERROR(INDEX('Catalog'!$A:$A,MATCH($B4279,'Catalog'!$B:$B,0)),IFERROR(INDEX('Catalog'!$A:$A,MATCH(TRIM(SUBSTITUTE($B4279,CHAR(160)," ")),'Catalog'!$C:$C,0)),""))))</f>
        <v>4413095</v>
      </c>
      <c r="H4279" s="8" t="str">
        <f aca="false">IFERROR(INDEX('TRANS'!$C:$C,MATCH($B4279,'TRANS'!$A:$A,0)),IFERROR(INDEX('Catalog'!$B:$B,MATCH($G4279,'Catalog'!$A:$A,0)),$B4279))</f>
        <v>45 XL מגן ברך לבן</v>
      </c>
      <c r="I4279" s="8" t="str">
        <f aca="false">IF($G4279="","Unmatched","Matched")</f>
        <v>Matched</v>
      </c>
      <c r="J4279" s="8" t="n">
        <f aca="false">IF($G4279&lt;&gt;"",$G4279,$B4279)</f>
        <v>4413095</v>
      </c>
      <c r="K4279" s="8" t="str">
        <f aca="false">IF(COUNTIF($M$1:$M$10,$A4279)&gt;0,"Y","N")</f>
        <v>N</v>
      </c>
    </row>
    <row r="4280" customFormat="false" ht="15" hidden="false" customHeight="true" outlineLevel="0" collapsed="false">
      <c r="A4280" s="8" t="s">
        <v>1117</v>
      </c>
      <c r="B4280" s="8" t="s">
        <v>676</v>
      </c>
      <c r="C4280" s="19" t="n">
        <v>12</v>
      </c>
      <c r="D4280" s="19" t="n">
        <v>152.66</v>
      </c>
      <c r="E4280" s="19" t="n">
        <v>0</v>
      </c>
      <c r="F4280" s="19" t="n">
        <v>0</v>
      </c>
      <c r="G4280" s="8" t="n">
        <f aca="false">IFERROR(INDEX('TRANS'!$B:$B,MATCH($B4280,'TRANS'!$A:$A,0)),IFERROR(INDEX('TRANS'!$B:$B,MATCH(TRIM(SUBSTITUTE($B4280,CHAR(160)," ")),'TRANS'!$D:$D,0)),IFERROR(INDEX('Catalog'!$A:$A,MATCH($B4280,'Catalog'!$B:$B,0)),IFERROR(INDEX('Catalog'!$A:$A,MATCH(TRIM(SUBSTITUTE($B4280,CHAR(160)," ")),'Catalog'!$C:$C,0)),""))))</f>
        <v>4413497</v>
      </c>
      <c r="H4280" s="8" t="str">
        <f aca="false">IFERROR(INDEX('TRANS'!$C:$C,MATCH($B4280,'TRANS'!$A:$A,0)),IFERROR(INDEX('Catalog'!$B:$B,MATCH($G4280,'Catalog'!$A:$A,0)),$B4280))</f>
        <v>45B M מגן ברך שחור</v>
      </c>
      <c r="I4280" s="8" t="str">
        <f aca="false">IF($G4280="","Unmatched","Matched")</f>
        <v>Matched</v>
      </c>
      <c r="J4280" s="8" t="n">
        <f aca="false">IF($G4280&lt;&gt;"",$G4280,$B4280)</f>
        <v>4413497</v>
      </c>
      <c r="K4280" s="8" t="str">
        <f aca="false">IF(COUNTIF($M$1:$M$10,$A4280)&gt;0,"Y","N")</f>
        <v>N</v>
      </c>
    </row>
    <row r="4281" customFormat="false" ht="15" hidden="false" customHeight="true" outlineLevel="0" collapsed="false">
      <c r="A4281" s="8" t="s">
        <v>1117</v>
      </c>
      <c r="B4281" s="8" t="s">
        <v>801</v>
      </c>
      <c r="C4281" s="19" t="n">
        <v>6</v>
      </c>
      <c r="D4281" s="19" t="n">
        <v>71.8</v>
      </c>
      <c r="E4281" s="19" t="n">
        <v>0</v>
      </c>
      <c r="F4281" s="19" t="n">
        <v>0</v>
      </c>
      <c r="G4281" s="8" t="n">
        <f aca="false">IFERROR(INDEX('TRANS'!$B:$B,MATCH($B4281,'TRANS'!$A:$A,0)),IFERROR(INDEX('TRANS'!$B:$B,MATCH(TRIM(SUBSTITUTE($B4281,CHAR(160)," ")),'TRANS'!$D:$D,0)),IFERROR(INDEX('Catalog'!$A:$A,MATCH($B4281,'Catalog'!$B:$B,0)),IFERROR(INDEX('Catalog'!$A:$A,MATCH(TRIM(SUBSTITUTE($B4281,CHAR(160)," ")),'Catalog'!$C:$C,0)),""))))</f>
        <v>4413498</v>
      </c>
      <c r="H4281" s="8" t="str">
        <f aca="false">IFERROR(INDEX('TRANS'!$C:$C,MATCH($B4281,'TRANS'!$A:$A,0)),IFERROR(INDEX('Catalog'!$B:$B,MATCH($G4281,'Catalog'!$A:$A,0)),$B4281))</f>
        <v>45B S מגן ברך שחור</v>
      </c>
      <c r="I4281" s="8" t="str">
        <f aca="false">IF($G4281="","Unmatched","Matched")</f>
        <v>Matched</v>
      </c>
      <c r="J4281" s="8" t="n">
        <f aca="false">IF($G4281&lt;&gt;"",$G4281,$B4281)</f>
        <v>4413498</v>
      </c>
      <c r="K4281" s="8" t="str">
        <f aca="false">IF(COUNTIF($M$1:$M$10,$A4281)&gt;0,"Y","N")</f>
        <v>N</v>
      </c>
    </row>
    <row r="4282" customFormat="false" ht="15" hidden="false" customHeight="true" outlineLevel="0" collapsed="false">
      <c r="A4282" s="8" t="s">
        <v>1117</v>
      </c>
      <c r="B4282" s="8" t="s">
        <v>677</v>
      </c>
      <c r="C4282" s="19" t="n">
        <v>0</v>
      </c>
      <c r="D4282" s="19" t="n">
        <v>0</v>
      </c>
      <c r="E4282" s="19" t="n">
        <v>16</v>
      </c>
      <c r="F4282" s="19" t="n">
        <v>165.99</v>
      </c>
      <c r="G4282" s="8" t="n">
        <f aca="false">IFERROR(INDEX('TRANS'!$B:$B,MATCH($B4282,'TRANS'!$A:$A,0)),IFERROR(INDEX('TRANS'!$B:$B,MATCH(TRIM(SUBSTITUTE($B4282,CHAR(160)," ")),'TRANS'!$D:$D,0)),IFERROR(INDEX('Catalog'!$A:$A,MATCH($B4282,'Catalog'!$B:$B,0)),IFERROR(INDEX('Catalog'!$A:$A,MATCH(TRIM(SUBSTITUTE($B4282,CHAR(160)," ")),'Catalog'!$C:$C,0)),""))))</f>
        <v>4413098</v>
      </c>
      <c r="H4282" s="8" t="str">
        <f aca="false">IFERROR(INDEX('TRANS'!$C:$C,MATCH($B4282,'TRANS'!$A:$A,0)),IFERROR(INDEX('Catalog'!$B:$B,MATCH($G4282,'Catalog'!$A:$A,0)),$B4282))</f>
        <v>45C L מגן ברך חום</v>
      </c>
      <c r="I4282" s="8" t="str">
        <f aca="false">IF($G4282="","Unmatched","Matched")</f>
        <v>Matched</v>
      </c>
      <c r="J4282" s="8" t="n">
        <f aca="false">IF($G4282&lt;&gt;"",$G4282,$B4282)</f>
        <v>4413098</v>
      </c>
      <c r="K4282" s="8" t="str">
        <f aca="false">IF(COUNTIF($M$1:$M$10,$A4282)&gt;0,"Y","N")</f>
        <v>N</v>
      </c>
    </row>
    <row r="4283" customFormat="false" ht="15" hidden="false" customHeight="true" outlineLevel="0" collapsed="false">
      <c r="A4283" s="8" t="s">
        <v>1117</v>
      </c>
      <c r="B4283" s="8" t="s">
        <v>678</v>
      </c>
      <c r="C4283" s="19" t="n">
        <v>10</v>
      </c>
      <c r="D4283" s="19" t="n">
        <v>112.08</v>
      </c>
      <c r="E4283" s="19" t="n">
        <v>3</v>
      </c>
      <c r="F4283" s="19" t="n">
        <v>30.29</v>
      </c>
      <c r="G4283" s="8" t="n">
        <f aca="false">IFERROR(INDEX('TRANS'!$B:$B,MATCH($B4283,'TRANS'!$A:$A,0)),IFERROR(INDEX('TRANS'!$B:$B,MATCH(TRIM(SUBSTITUTE($B4283,CHAR(160)," ")),'TRANS'!$D:$D,0)),IFERROR(INDEX('Catalog'!$A:$A,MATCH($B4283,'Catalog'!$B:$B,0)),IFERROR(INDEX('Catalog'!$A:$A,MATCH(TRIM(SUBSTITUTE($B4283,CHAR(160)," ")),'Catalog'!$C:$C,0)),""))))</f>
        <v>4413099</v>
      </c>
      <c r="H4283" s="8" t="str">
        <f aca="false">IFERROR(INDEX('TRANS'!$C:$C,MATCH($B4283,'TRANS'!$A:$A,0)),IFERROR(INDEX('Catalog'!$B:$B,MATCH($G4283,'Catalog'!$A:$A,0)),$B4283))</f>
        <v>45C M מגן ברך חום</v>
      </c>
      <c r="I4283" s="8" t="str">
        <f aca="false">IF($G4283="","Unmatched","Matched")</f>
        <v>Matched</v>
      </c>
      <c r="J4283" s="8" t="n">
        <f aca="false">IF($G4283&lt;&gt;"",$G4283,$B4283)</f>
        <v>4413099</v>
      </c>
      <c r="K4283" s="8" t="str">
        <f aca="false">IF(COUNTIF($M$1:$M$10,$A4283)&gt;0,"Y","N")</f>
        <v>N</v>
      </c>
    </row>
    <row r="4284" customFormat="false" ht="15" hidden="false" customHeight="true" outlineLevel="0" collapsed="false">
      <c r="A4284" s="8" t="s">
        <v>1117</v>
      </c>
      <c r="B4284" s="8" t="s">
        <v>680</v>
      </c>
      <c r="C4284" s="19" t="n">
        <v>10</v>
      </c>
      <c r="D4284" s="19" t="n">
        <v>114.91</v>
      </c>
      <c r="E4284" s="19" t="n">
        <v>6</v>
      </c>
      <c r="F4284" s="19" t="n">
        <v>65.03</v>
      </c>
      <c r="G4284" s="8" t="n">
        <f aca="false">IFERROR(INDEX('TRANS'!$B:$B,MATCH($B4284,'TRANS'!$A:$A,0)),IFERROR(INDEX('TRANS'!$B:$B,MATCH(TRIM(SUBSTITUTE($B4284,CHAR(160)," ")),'TRANS'!$D:$D,0)),IFERROR(INDEX('Catalog'!$A:$A,MATCH($B4284,'Catalog'!$B:$B,0)),IFERROR(INDEX('Catalog'!$A:$A,MATCH(TRIM(SUBSTITUTE($B4284,CHAR(160)," ")),'Catalog'!$C:$C,0)),""))))</f>
        <v>4413100</v>
      </c>
      <c r="H4284" s="8" t="str">
        <f aca="false">IFERROR(INDEX('TRANS'!$C:$C,MATCH($B4284,'TRANS'!$A:$A,0)),IFERROR(INDEX('Catalog'!$B:$B,MATCH($G4284,'Catalog'!$A:$A,0)),$B4284))</f>
        <v>45C XL מגן ברך חום</v>
      </c>
      <c r="I4284" s="8" t="str">
        <f aca="false">IF($G4284="","Unmatched","Matched")</f>
        <v>Matched</v>
      </c>
      <c r="J4284" s="8" t="n">
        <f aca="false">IF($G4284&lt;&gt;"",$G4284,$B4284)</f>
        <v>4413100</v>
      </c>
      <c r="K4284" s="8" t="str">
        <f aca="false">IF(COUNTIF($M$1:$M$10,$A4284)&gt;0,"Y","N")</f>
        <v>N</v>
      </c>
    </row>
    <row r="4285" customFormat="false" ht="15" hidden="false" customHeight="true" outlineLevel="0" collapsed="false">
      <c r="A4285" s="8" t="s">
        <v>1117</v>
      </c>
      <c r="B4285" s="8" t="s">
        <v>265</v>
      </c>
      <c r="C4285" s="19" t="n">
        <v>0</v>
      </c>
      <c r="D4285" s="19" t="n">
        <v>0</v>
      </c>
      <c r="E4285" s="19" t="n">
        <v>6</v>
      </c>
      <c r="F4285" s="19" t="n">
        <v>60.58</v>
      </c>
      <c r="G4285" s="8" t="str">
        <f aca="false">IFERROR(INDEX('TRANS'!$B:$B,MATCH($B4285,'TRANS'!$A:$A,0)),IFERROR(INDEX('TRANS'!$B:$B,MATCH(TRIM(SUBSTITUTE($B4285,CHAR(160)," ")),'TRANS'!$D:$D,0)),IFERROR(INDEX('Catalog'!$A:$A,MATCH($B4285,'Catalog'!$B:$B,0)),IFERROR(INDEX('Catalog'!$A:$A,MATCH(TRIM(SUBSTITUTE($B4285,CHAR(160)," ")),'Catalog'!$C:$C,0)),""))))</f>
        <v/>
      </c>
      <c r="H4285" s="8" t="str">
        <f aca="false">IFERROR(INDEX('TRANS'!$C:$C,MATCH($B4285,'TRANS'!$A:$A,0)),IFERROR(INDEX('Catalog'!$B:$B,MATCH($G4285,'Catalog'!$A:$A,0)),$B4285))</f>
        <v>45C XS</v>
      </c>
      <c r="I4285" s="8" t="str">
        <f aca="false">IF($G4285="","Unmatched","Matched")</f>
        <v>Unmatched</v>
      </c>
      <c r="J4285" s="8" t="str">
        <f aca="false">IF($G4285&lt;&gt;"",$G4285,$B4285)</f>
        <v>45C XS</v>
      </c>
      <c r="K4285" s="8" t="str">
        <f aca="false">IF(COUNTIF($M$1:$M$10,$A4285)&gt;0,"Y","N")</f>
        <v>N</v>
      </c>
    </row>
    <row r="4286" customFormat="false" ht="15" hidden="false" customHeight="true" outlineLevel="0" collapsed="false">
      <c r="A4286" s="8" t="s">
        <v>1117</v>
      </c>
      <c r="B4286" s="8" t="s">
        <v>805</v>
      </c>
      <c r="C4286" s="19" t="n">
        <v>6</v>
      </c>
      <c r="D4286" s="19" t="n">
        <v>82.81</v>
      </c>
      <c r="E4286" s="19" t="n">
        <v>0</v>
      </c>
      <c r="F4286" s="19" t="n">
        <v>0</v>
      </c>
      <c r="G4286" s="8" t="n">
        <f aca="false">IFERROR(INDEX('TRANS'!$B:$B,MATCH($B4286,'TRANS'!$A:$A,0)),IFERROR(INDEX('TRANS'!$B:$B,MATCH(TRIM(SUBSTITUTE($B4286,CHAR(160)," ")),'TRANS'!$D:$D,0)),IFERROR(INDEX('Catalog'!$A:$A,MATCH($B4286,'Catalog'!$B:$B,0)),IFERROR(INDEX('Catalog'!$A:$A,MATCH(TRIM(SUBSTITUTE($B4286,CHAR(160)," ")),'Catalog'!$C:$C,0)),""))))</f>
        <v>4413103</v>
      </c>
      <c r="H4286" s="8" t="str">
        <f aca="false">IFERROR(INDEX('TRANS'!$C:$C,MATCH($B4286,'TRANS'!$A:$A,0)),IFERROR(INDEX('Catalog'!$B:$B,MATCH($G4286,'Catalog'!$A:$A,0)),$B4286))</f>
        <v>45E Mמגן ברך ארוך לבן</v>
      </c>
      <c r="I4286" s="8" t="str">
        <f aca="false">IF($G4286="","Unmatched","Matched")</f>
        <v>Matched</v>
      </c>
      <c r="J4286" s="8" t="n">
        <f aca="false">IF($G4286&lt;&gt;"",$G4286,$B4286)</f>
        <v>4413103</v>
      </c>
      <c r="K4286" s="8" t="str">
        <f aca="false">IF(COUNTIF($M$1:$M$10,$A4286)&gt;0,"Y","N")</f>
        <v>N</v>
      </c>
    </row>
    <row r="4287" customFormat="false" ht="15" hidden="false" customHeight="true" outlineLevel="0" collapsed="false">
      <c r="A4287" s="8" t="s">
        <v>1117</v>
      </c>
      <c r="B4287" s="8" t="s">
        <v>683</v>
      </c>
      <c r="C4287" s="19" t="n">
        <v>9</v>
      </c>
      <c r="D4287" s="19" t="n">
        <v>114.86</v>
      </c>
      <c r="E4287" s="19" t="n">
        <v>0</v>
      </c>
      <c r="F4287" s="19" t="n">
        <v>0</v>
      </c>
      <c r="G4287" s="8" t="n">
        <f aca="false">IFERROR(INDEX('TRANS'!$B:$B,MATCH($B4287,'TRANS'!$A:$A,0)),IFERROR(INDEX('TRANS'!$B:$B,MATCH(TRIM(SUBSTITUTE($B4287,CHAR(160)," ")),'TRANS'!$D:$D,0)),IFERROR(INDEX('Catalog'!$A:$A,MATCH($B4287,'Catalog'!$B:$B,0)),IFERROR(INDEX('Catalog'!$A:$A,MATCH(TRIM(SUBSTITUTE($B4287,CHAR(160)," ")),'Catalog'!$C:$C,0)),""))))</f>
        <v>4413396</v>
      </c>
      <c r="H4287" s="8" t="str">
        <f aca="false">IFERROR(INDEX('TRANS'!$C:$C,MATCH($B4287,'TRANS'!$A:$A,0)),IFERROR(INDEX('Catalog'!$B:$B,MATCH($G4287,'Catalog'!$A:$A,0)),$B4287))</f>
        <v>45EC L 'מגן ברך ארוך בז</v>
      </c>
      <c r="I4287" s="8" t="str">
        <f aca="false">IF($G4287="","Unmatched","Matched")</f>
        <v>Matched</v>
      </c>
      <c r="J4287" s="8" t="n">
        <f aca="false">IF($G4287&lt;&gt;"",$G4287,$B4287)</f>
        <v>4413396</v>
      </c>
      <c r="K4287" s="8" t="str">
        <f aca="false">IF(COUNTIF($M$1:$M$10,$A4287)&gt;0,"Y","N")</f>
        <v>N</v>
      </c>
    </row>
    <row r="4288" customFormat="false" ht="15" hidden="false" customHeight="true" outlineLevel="0" collapsed="false">
      <c r="A4288" s="8" t="s">
        <v>1117</v>
      </c>
      <c r="B4288" s="8" t="s">
        <v>684</v>
      </c>
      <c r="C4288" s="19" t="n">
        <v>10</v>
      </c>
      <c r="D4288" s="19" t="n">
        <v>126.59</v>
      </c>
      <c r="E4288" s="19" t="n">
        <v>16</v>
      </c>
      <c r="F4288" s="19" t="n">
        <v>186.15</v>
      </c>
      <c r="G4288" s="8" t="n">
        <f aca="false">IFERROR(INDEX('TRANS'!$B:$B,MATCH($B4288,'TRANS'!$A:$A,0)),IFERROR(INDEX('TRANS'!$B:$B,MATCH(TRIM(SUBSTITUTE($B4288,CHAR(160)," ")),'TRANS'!$D:$D,0)),IFERROR(INDEX('Catalog'!$A:$A,MATCH($B4288,'Catalog'!$B:$B,0)),IFERROR(INDEX('Catalog'!$A:$A,MATCH(TRIM(SUBSTITUTE($B4288,CHAR(160)," ")),'Catalog'!$C:$C,0)),""))))</f>
        <v>4413395</v>
      </c>
      <c r="H4288" s="8" t="str">
        <f aca="false">IFERROR(INDEX('TRANS'!$C:$C,MATCH($B4288,'TRANS'!$A:$A,0)),IFERROR(INDEX('Catalog'!$B:$B,MATCH($G4288,'Catalog'!$A:$A,0)),$B4288))</f>
        <v>45EC M 'מגן ברך ארוך בז</v>
      </c>
      <c r="I4288" s="8" t="str">
        <f aca="false">IF($G4288="","Unmatched","Matched")</f>
        <v>Matched</v>
      </c>
      <c r="J4288" s="8" t="n">
        <f aca="false">IF($G4288&lt;&gt;"",$G4288,$B4288)</f>
        <v>4413395</v>
      </c>
      <c r="K4288" s="8" t="str">
        <f aca="false">IF(COUNTIF($M$1:$M$10,$A4288)&gt;0,"Y","N")</f>
        <v>N</v>
      </c>
    </row>
    <row r="4289" customFormat="false" ht="15" hidden="false" customHeight="true" outlineLevel="0" collapsed="false">
      <c r="A4289" s="8" t="s">
        <v>1117</v>
      </c>
      <c r="B4289" s="8" t="s">
        <v>807</v>
      </c>
      <c r="C4289" s="19" t="n">
        <v>0</v>
      </c>
      <c r="D4289" s="19" t="n">
        <v>0</v>
      </c>
      <c r="E4289" s="19" t="n">
        <v>2</v>
      </c>
      <c r="F4289" s="19" t="n">
        <v>22.25</v>
      </c>
      <c r="G4289" s="8" t="n">
        <f aca="false">IFERROR(INDEX('TRANS'!$B:$B,MATCH($B4289,'TRANS'!$A:$A,0)),IFERROR(INDEX('TRANS'!$B:$B,MATCH(TRIM(SUBSTITUTE($B4289,CHAR(160)," ")),'TRANS'!$D:$D,0)),IFERROR(INDEX('Catalog'!$A:$A,MATCH($B4289,'Catalog'!$B:$B,0)),IFERROR(INDEX('Catalog'!$A:$A,MATCH(TRIM(SUBSTITUTE($B4289,CHAR(160)," ")),'Catalog'!$C:$C,0)),""))))</f>
        <v>4413394</v>
      </c>
      <c r="H4289" s="8" t="str">
        <f aca="false">IFERROR(INDEX('TRANS'!$C:$C,MATCH($B4289,'TRANS'!$A:$A,0)),IFERROR(INDEX('Catalog'!$B:$B,MATCH($G4289,'Catalog'!$A:$A,0)),$B4289))</f>
        <v>45EC S 'מגן ברך ארוך בז</v>
      </c>
      <c r="I4289" s="8" t="str">
        <f aca="false">IF($G4289="","Unmatched","Matched")</f>
        <v>Matched</v>
      </c>
      <c r="J4289" s="8" t="n">
        <f aca="false">IF($G4289&lt;&gt;"",$G4289,$B4289)</f>
        <v>4413394</v>
      </c>
      <c r="K4289" s="8" t="str">
        <f aca="false">IF(COUNTIF($M$1:$M$10,$A4289)&gt;0,"Y","N")</f>
        <v>N</v>
      </c>
    </row>
    <row r="4290" customFormat="false" ht="15" hidden="false" customHeight="true" outlineLevel="0" collapsed="false">
      <c r="A4290" s="8" t="s">
        <v>1117</v>
      </c>
      <c r="B4290" s="8" t="s">
        <v>685</v>
      </c>
      <c r="C4290" s="19" t="n">
        <v>6</v>
      </c>
      <c r="D4290" s="19" t="n">
        <v>74.08</v>
      </c>
      <c r="E4290" s="19" t="n">
        <v>6</v>
      </c>
      <c r="F4290" s="19" t="n">
        <v>71.65</v>
      </c>
      <c r="G4290" s="8" t="n">
        <f aca="false">IFERROR(INDEX('TRANS'!$B:$B,MATCH($B4290,'TRANS'!$A:$A,0)),IFERROR(INDEX('TRANS'!$B:$B,MATCH(TRIM(SUBSTITUTE($B4290,CHAR(160)," ")),'TRANS'!$D:$D,0)),IFERROR(INDEX('Catalog'!$A:$A,MATCH($B4290,'Catalog'!$B:$B,0)),IFERROR(INDEX('Catalog'!$A:$A,MATCH(TRIM(SUBSTITUTE($B4290,CHAR(160)," ")),'Catalog'!$C:$C,0)),""))))</f>
        <v>4413397</v>
      </c>
      <c r="H4290" s="8" t="str">
        <f aca="false">IFERROR(INDEX('TRANS'!$C:$C,MATCH($B4290,'TRANS'!$A:$A,0)),IFERROR(INDEX('Catalog'!$B:$B,MATCH($G4290,'Catalog'!$A:$A,0)),$B4290))</f>
        <v>45EC XL'מגן ברך ארוך בז</v>
      </c>
      <c r="I4290" s="8" t="str">
        <f aca="false">IF($G4290="","Unmatched","Matched")</f>
        <v>Matched</v>
      </c>
      <c r="J4290" s="8" t="n">
        <f aca="false">IF($G4290&lt;&gt;"",$G4290,$B4290)</f>
        <v>4413397</v>
      </c>
      <c r="K4290" s="8" t="str">
        <f aca="false">IF(COUNTIF($M$1:$M$10,$A4290)&gt;0,"Y","N")</f>
        <v>N</v>
      </c>
    </row>
    <row r="4291" customFormat="false" ht="15" hidden="false" customHeight="true" outlineLevel="0" collapsed="false">
      <c r="A4291" s="8" t="s">
        <v>1117</v>
      </c>
      <c r="B4291" s="8" t="s">
        <v>813</v>
      </c>
      <c r="C4291" s="19" t="n">
        <v>0</v>
      </c>
      <c r="D4291" s="19" t="n">
        <v>0</v>
      </c>
      <c r="E4291" s="19" t="n">
        <v>2</v>
      </c>
      <c r="F4291" s="19" t="n">
        <v>155.72</v>
      </c>
      <c r="G4291" s="8" t="n">
        <f aca="false">IFERROR(INDEX('TRANS'!$B:$B,MATCH($B4291,'TRANS'!$A:$A,0)),IFERROR(INDEX('TRANS'!$B:$B,MATCH(TRIM(SUBSTITUTE($B4291,CHAR(160)," ")),'TRANS'!$D:$D,0)),IFERROR(INDEX('Catalog'!$A:$A,MATCH($B4291,'Catalog'!$B:$B,0)),IFERROR(INDEX('Catalog'!$A:$A,MATCH(TRIM(SUBSTITUTE($B4291,CHAR(160)," ")),'Catalog'!$C:$C,0)),""))))</f>
        <v>4408071</v>
      </c>
      <c r="H4291" s="8" t="str">
        <f aca="false">IFERROR(INDEX('TRANS'!$C:$C,MATCH($B4291,'TRANS'!$A:$A,0)),IFERROR(INDEX('Catalog'!$B:$B,MATCH($G4291,'Catalog'!$A:$A,0)),$B4291))</f>
        <v>59D L חגורת שבר דו צדדי</v>
      </c>
      <c r="I4291" s="8" t="str">
        <f aca="false">IF($G4291="","Unmatched","Matched")</f>
        <v>Matched</v>
      </c>
      <c r="J4291" s="8" t="n">
        <f aca="false">IF($G4291&lt;&gt;"",$G4291,$B4291)</f>
        <v>4408071</v>
      </c>
      <c r="K4291" s="8" t="str">
        <f aca="false">IF(COUNTIF($M$1:$M$10,$A4291)&gt;0,"Y","N")</f>
        <v>N</v>
      </c>
    </row>
    <row r="4292" customFormat="false" ht="15" hidden="false" customHeight="true" outlineLevel="0" collapsed="false">
      <c r="A4292" s="8" t="s">
        <v>1117</v>
      </c>
      <c r="B4292" s="8" t="s">
        <v>979</v>
      </c>
      <c r="C4292" s="19" t="n">
        <v>0</v>
      </c>
      <c r="D4292" s="19" t="n">
        <v>0</v>
      </c>
      <c r="E4292" s="19" t="n">
        <v>1</v>
      </c>
      <c r="F4292" s="19" t="n">
        <v>77.86</v>
      </c>
      <c r="G4292" s="8" t="n">
        <f aca="false">IFERROR(INDEX('TRANS'!$B:$B,MATCH($B4292,'TRANS'!$A:$A,0)),IFERROR(INDEX('TRANS'!$B:$B,MATCH(TRIM(SUBSTITUTE($B4292,CHAR(160)," ")),'TRANS'!$D:$D,0)),IFERROR(INDEX('Catalog'!$A:$A,MATCH($B4292,'Catalog'!$B:$B,0)),IFERROR(INDEX('Catalog'!$A:$A,MATCH(TRIM(SUBSTITUTE($B4292,CHAR(160)," ")),'Catalog'!$C:$C,0)),""))))</f>
        <v>4408073</v>
      </c>
      <c r="H4292" s="8" t="str">
        <f aca="false">IFERROR(INDEX('TRANS'!$C:$C,MATCH($B4292,'TRANS'!$A:$A,0)),IFERROR(INDEX('Catalog'!$B:$B,MATCH($G4292,'Catalog'!$A:$A,0)),$B4292))</f>
        <v>59D XL חגורת שבר דו צדדי</v>
      </c>
      <c r="I4292" s="8" t="str">
        <f aca="false">IF($G4292="","Unmatched","Matched")</f>
        <v>Matched</v>
      </c>
      <c r="J4292" s="8" t="n">
        <f aca="false">IF($G4292&lt;&gt;"",$G4292,$B4292)</f>
        <v>4408073</v>
      </c>
      <c r="K4292" s="8" t="str">
        <f aca="false">IF(COUNTIF($M$1:$M$10,$A4292)&gt;0,"Y","N")</f>
        <v>N</v>
      </c>
    </row>
    <row r="4293" customFormat="false" ht="15" hidden="false" customHeight="true" outlineLevel="0" collapsed="false">
      <c r="A4293" s="8" t="s">
        <v>1117</v>
      </c>
      <c r="B4293" s="8" t="s">
        <v>814</v>
      </c>
      <c r="C4293" s="19" t="n">
        <v>0</v>
      </c>
      <c r="D4293" s="19" t="n">
        <v>0</v>
      </c>
      <c r="E4293" s="19" t="n">
        <v>2</v>
      </c>
      <c r="F4293" s="19" t="n">
        <v>157.26</v>
      </c>
      <c r="G4293" s="8" t="n">
        <f aca="false">IFERROR(INDEX('TRANS'!$B:$B,MATCH($B4293,'TRANS'!$A:$A,0)),IFERROR(INDEX('TRANS'!$B:$B,MATCH(TRIM(SUBSTITUTE($B4293,CHAR(160)," ")),'TRANS'!$D:$D,0)),IFERROR(INDEX('Catalog'!$A:$A,MATCH($B4293,'Catalog'!$B:$B,0)),IFERROR(INDEX('Catalog'!$A:$A,MATCH(TRIM(SUBSTITUTE($B4293,CHAR(160)," ")),'Catalog'!$C:$C,0)),""))))</f>
        <v>4408077</v>
      </c>
      <c r="H4293" s="8" t="str">
        <f aca="false">IFERROR(INDEX('TRANS'!$C:$C,MATCH($B4293,'TRANS'!$A:$A,0)),IFERROR(INDEX('Catalog'!$B:$B,MATCH($G4293,'Catalog'!$A:$A,0)),$B4293))</f>
        <v>59L M חגורת שבר לצד שמאל</v>
      </c>
      <c r="I4293" s="8" t="str">
        <f aca="false">IF($G4293="","Unmatched","Matched")</f>
        <v>Matched</v>
      </c>
      <c r="J4293" s="8" t="n">
        <f aca="false">IF($G4293&lt;&gt;"",$G4293,$B4293)</f>
        <v>4408077</v>
      </c>
      <c r="K4293" s="8" t="str">
        <f aca="false">IF(COUNTIF($M$1:$M$10,$A4293)&gt;0,"Y","N")</f>
        <v>N</v>
      </c>
    </row>
    <row r="4294" customFormat="false" ht="15" hidden="false" customHeight="true" outlineLevel="0" collapsed="false">
      <c r="A4294" s="8" t="s">
        <v>1117</v>
      </c>
      <c r="B4294" s="8" t="s">
        <v>816</v>
      </c>
      <c r="C4294" s="19" t="n">
        <v>1</v>
      </c>
      <c r="D4294" s="19" t="n">
        <v>81.3</v>
      </c>
      <c r="E4294" s="19" t="n">
        <v>2</v>
      </c>
      <c r="F4294" s="19" t="n">
        <v>157.26</v>
      </c>
      <c r="G4294" s="8" t="n">
        <f aca="false">IFERROR(INDEX('TRANS'!$B:$B,MATCH($B4294,'TRANS'!$A:$A,0)),IFERROR(INDEX('TRANS'!$B:$B,MATCH(TRIM(SUBSTITUTE($B4294,CHAR(160)," ")),'TRANS'!$D:$D,0)),IFERROR(INDEX('Catalog'!$A:$A,MATCH($B4294,'Catalog'!$B:$B,0)),IFERROR(INDEX('Catalog'!$A:$A,MATCH(TRIM(SUBSTITUTE($B4294,CHAR(160)," ")),'Catalog'!$C:$C,0)),""))))</f>
        <v>4408078</v>
      </c>
      <c r="H4294" s="8" t="str">
        <f aca="false">IFERROR(INDEX('TRANS'!$C:$C,MATCH($B4294,'TRANS'!$A:$A,0)),IFERROR(INDEX('Catalog'!$B:$B,MATCH($G4294,'Catalog'!$A:$A,0)),$B4294))</f>
        <v>59L XLחגורת שבר לצד שמאל</v>
      </c>
      <c r="I4294" s="8" t="str">
        <f aca="false">IF($G4294="","Unmatched","Matched")</f>
        <v>Matched</v>
      </c>
      <c r="J4294" s="8" t="n">
        <f aca="false">IF($G4294&lt;&gt;"",$G4294,$B4294)</f>
        <v>4408078</v>
      </c>
      <c r="K4294" s="8" t="str">
        <f aca="false">IF(COUNTIF($M$1:$M$10,$A4294)&gt;0,"Y","N")</f>
        <v>N</v>
      </c>
    </row>
    <row r="4295" customFormat="false" ht="15" hidden="false" customHeight="true" outlineLevel="0" collapsed="false">
      <c r="A4295" s="8" t="s">
        <v>1117</v>
      </c>
      <c r="B4295" s="8" t="s">
        <v>817</v>
      </c>
      <c r="C4295" s="19" t="n">
        <v>1</v>
      </c>
      <c r="D4295" s="19" t="n">
        <v>81.3</v>
      </c>
      <c r="E4295" s="19" t="n">
        <v>3</v>
      </c>
      <c r="F4295" s="19" t="n">
        <v>235.88</v>
      </c>
      <c r="G4295" s="8" t="n">
        <f aca="false">IFERROR(INDEX('TRANS'!$B:$B,MATCH($B4295,'TRANS'!$A:$A,0)),IFERROR(INDEX('TRANS'!$B:$B,MATCH(TRIM(SUBSTITUTE($B4295,CHAR(160)," ")),'TRANS'!$D:$D,0)),IFERROR(INDEX('Catalog'!$A:$A,MATCH($B4295,'Catalog'!$B:$B,0)),IFERROR(INDEX('Catalog'!$A:$A,MATCH(TRIM(SUBSTITUTE($B4295,CHAR(160)," ")),'Catalog'!$C:$C,0)),""))))</f>
        <v>4408080</v>
      </c>
      <c r="H4295" s="8" t="str">
        <f aca="false">IFERROR(INDEX('TRANS'!$C:$C,MATCH($B4295,'TRANS'!$A:$A,0)),IFERROR(INDEX('Catalog'!$B:$B,MATCH($G4295,'Catalog'!$A:$A,0)),$B4295))</f>
        <v>59R L חגורת שבר לצד ימין</v>
      </c>
      <c r="I4295" s="8" t="str">
        <f aca="false">IF($G4295="","Unmatched","Matched")</f>
        <v>Matched</v>
      </c>
      <c r="J4295" s="8" t="n">
        <f aca="false">IF($G4295&lt;&gt;"",$G4295,$B4295)</f>
        <v>4408080</v>
      </c>
      <c r="K4295" s="8" t="str">
        <f aca="false">IF(COUNTIF($M$1:$M$10,$A4295)&gt;0,"Y","N")</f>
        <v>N</v>
      </c>
    </row>
    <row r="4296" customFormat="false" ht="15" hidden="false" customHeight="true" outlineLevel="0" collapsed="false">
      <c r="A4296" s="8" t="s">
        <v>1117</v>
      </c>
      <c r="B4296" s="8" t="s">
        <v>689</v>
      </c>
      <c r="C4296" s="19" t="n">
        <v>1</v>
      </c>
      <c r="D4296" s="19" t="n">
        <v>81.3</v>
      </c>
      <c r="E4296" s="19" t="n">
        <v>2</v>
      </c>
      <c r="F4296" s="19" t="n">
        <v>157.26</v>
      </c>
      <c r="G4296" s="8" t="n">
        <f aca="false">IFERROR(INDEX('TRANS'!$B:$B,MATCH($B4296,'TRANS'!$A:$A,0)),IFERROR(INDEX('TRANS'!$B:$B,MATCH(TRIM(SUBSTITUTE($B4296,CHAR(160)," ")),'TRANS'!$D:$D,0)),IFERROR(INDEX('Catalog'!$A:$A,MATCH($B4296,'Catalog'!$B:$B,0)),IFERROR(INDEX('Catalog'!$A:$A,MATCH(TRIM(SUBSTITUTE($B4296,CHAR(160)," ")),'Catalog'!$C:$C,0)),""))))</f>
        <v>4408081</v>
      </c>
      <c r="H4296" s="8" t="str">
        <f aca="false">IFERROR(INDEX('TRANS'!$C:$C,MATCH($B4296,'TRANS'!$A:$A,0)),IFERROR(INDEX('Catalog'!$B:$B,MATCH($G4296,'Catalog'!$A:$A,0)),$B4296))</f>
        <v>59R M חגורת שבר לצד ימין</v>
      </c>
      <c r="I4296" s="8" t="str">
        <f aca="false">IF($G4296="","Unmatched","Matched")</f>
        <v>Matched</v>
      </c>
      <c r="J4296" s="8" t="n">
        <f aca="false">IF($G4296&lt;&gt;"",$G4296,$B4296)</f>
        <v>4408081</v>
      </c>
      <c r="K4296" s="8" t="str">
        <f aca="false">IF(COUNTIF($M$1:$M$10,$A4296)&gt;0,"Y","N")</f>
        <v>N</v>
      </c>
    </row>
    <row r="4297" customFormat="false" ht="15" hidden="false" customHeight="true" outlineLevel="0" collapsed="false">
      <c r="A4297" s="8" t="s">
        <v>1117</v>
      </c>
      <c r="B4297" s="8" t="s">
        <v>917</v>
      </c>
      <c r="C4297" s="19" t="n">
        <v>0</v>
      </c>
      <c r="D4297" s="19" t="n">
        <v>0</v>
      </c>
      <c r="E4297" s="19" t="n">
        <v>10</v>
      </c>
      <c r="F4297" s="19" t="n">
        <v>240.66</v>
      </c>
      <c r="G4297" s="8" t="n">
        <f aca="false">IFERROR(INDEX('TRANS'!$B:$B,MATCH($B4297,'TRANS'!$A:$A,0)),IFERROR(INDEX('TRANS'!$B:$B,MATCH(TRIM(SUBSTITUTE($B4297,CHAR(160)," ")),'TRANS'!$D:$D,0)),IFERROR(INDEX('Catalog'!$A:$A,MATCH($B4297,'Catalog'!$B:$B,0)),IFERROR(INDEX('Catalog'!$A:$A,MATCH(TRIM(SUBSTITUTE($B4297,CHAR(160)," ")),'Catalog'!$C:$C,0)),""))))</f>
        <v>4418000</v>
      </c>
      <c r="H4297" s="8" t="str">
        <f aca="false">IFERROR(INDEX('TRANS'!$C:$C,MATCH($B4297,'TRANS'!$A:$A,0)),IFERROR(INDEX('Catalog'!$B:$B,MATCH($G4297,'Catalog'!$A:$A,0)),$B4297))</f>
        <v>60 L צוארון ספוגי</v>
      </c>
      <c r="I4297" s="8" t="str">
        <f aca="false">IF($G4297="","Unmatched","Matched")</f>
        <v>Matched</v>
      </c>
      <c r="J4297" s="8" t="n">
        <f aca="false">IF($G4297&lt;&gt;"",$G4297,$B4297)</f>
        <v>4418000</v>
      </c>
      <c r="K4297" s="8" t="str">
        <f aca="false">IF(COUNTIF($M$1:$M$10,$A4297)&gt;0,"Y","N")</f>
        <v>N</v>
      </c>
    </row>
    <row r="4298" customFormat="false" ht="15" hidden="false" customHeight="true" outlineLevel="0" collapsed="false">
      <c r="A4298" s="8" t="s">
        <v>1117</v>
      </c>
      <c r="B4298" s="8" t="s">
        <v>691</v>
      </c>
      <c r="C4298" s="19" t="n">
        <v>0</v>
      </c>
      <c r="D4298" s="19" t="n">
        <v>0</v>
      </c>
      <c r="E4298" s="19" t="n">
        <v>10</v>
      </c>
      <c r="F4298" s="19" t="n">
        <v>224.17</v>
      </c>
      <c r="G4298" s="8" t="n">
        <f aca="false">IFERROR(INDEX('TRANS'!$B:$B,MATCH($B4298,'TRANS'!$A:$A,0)),IFERROR(INDEX('TRANS'!$B:$B,MATCH(TRIM(SUBSTITUTE($B4298,CHAR(160)," ")),'TRANS'!$D:$D,0)),IFERROR(INDEX('Catalog'!$A:$A,MATCH($B4298,'Catalog'!$B:$B,0)),IFERROR(INDEX('Catalog'!$A:$A,MATCH(TRIM(SUBSTITUTE($B4298,CHAR(160)," ")),'Catalog'!$C:$C,0)),""))))</f>
        <v>4418001</v>
      </c>
      <c r="H4298" s="8" t="str">
        <f aca="false">IFERROR(INDEX('TRANS'!$C:$C,MATCH($B4298,'TRANS'!$A:$A,0)),IFERROR(INDEX('Catalog'!$B:$B,MATCH($G4298,'Catalog'!$A:$A,0)),$B4298))</f>
        <v>60 M צוארון ספוגי</v>
      </c>
      <c r="I4298" s="8" t="str">
        <f aca="false">IF($G4298="","Unmatched","Matched")</f>
        <v>Matched</v>
      </c>
      <c r="J4298" s="8" t="n">
        <f aca="false">IF($G4298&lt;&gt;"",$G4298,$B4298)</f>
        <v>4418001</v>
      </c>
      <c r="K4298" s="8" t="str">
        <f aca="false">IF(COUNTIF($M$1:$M$10,$A4298)&gt;0,"Y","N")</f>
        <v>N</v>
      </c>
    </row>
    <row r="4299" customFormat="false" ht="15" hidden="false" customHeight="true" outlineLevel="0" collapsed="false">
      <c r="A4299" s="8" t="s">
        <v>1117</v>
      </c>
      <c r="B4299" s="8" t="s">
        <v>692</v>
      </c>
      <c r="C4299" s="19" t="n">
        <v>20</v>
      </c>
      <c r="D4299" s="19" t="n">
        <v>547.87</v>
      </c>
      <c r="E4299" s="19" t="n">
        <v>6</v>
      </c>
      <c r="F4299" s="19" t="n">
        <v>144.4</v>
      </c>
      <c r="G4299" s="8" t="n">
        <f aca="false">IFERROR(INDEX('TRANS'!$B:$B,MATCH($B4299,'TRANS'!$A:$A,0)),IFERROR(INDEX('TRANS'!$B:$B,MATCH(TRIM(SUBSTITUTE($B4299,CHAR(160)," ")),'TRANS'!$D:$D,0)),IFERROR(INDEX('Catalog'!$A:$A,MATCH($B4299,'Catalog'!$B:$B,0)),IFERROR(INDEX('Catalog'!$A:$A,MATCH(TRIM(SUBSTITUTE($B4299,CHAR(160)," ")),'Catalog'!$C:$C,0)),""))))</f>
        <v>4418002</v>
      </c>
      <c r="H4299" s="8" t="str">
        <f aca="false">IFERROR(INDEX('TRANS'!$C:$C,MATCH($B4299,'TRANS'!$A:$A,0)),IFERROR(INDEX('Catalog'!$B:$B,MATCH($G4299,'Catalog'!$A:$A,0)),$B4299))</f>
        <v>60 S צוארון ספוגי</v>
      </c>
      <c r="I4299" s="8" t="str">
        <f aca="false">IF($G4299="","Unmatched","Matched")</f>
        <v>Matched</v>
      </c>
      <c r="J4299" s="8" t="n">
        <f aca="false">IF($G4299&lt;&gt;"",$G4299,$B4299)</f>
        <v>4418002</v>
      </c>
      <c r="K4299" s="8" t="str">
        <f aca="false">IF(COUNTIF($M$1:$M$10,$A4299)&gt;0,"Y","N")</f>
        <v>N</v>
      </c>
    </row>
    <row r="4300" customFormat="false" ht="15" hidden="false" customHeight="true" outlineLevel="0" collapsed="false">
      <c r="A4300" s="8" t="s">
        <v>1117</v>
      </c>
      <c r="B4300" s="8" t="s">
        <v>93</v>
      </c>
      <c r="C4300" s="19" t="n">
        <v>10</v>
      </c>
      <c r="D4300" s="19" t="n">
        <v>292.14</v>
      </c>
      <c r="E4300" s="19" t="n">
        <v>10</v>
      </c>
      <c r="F4300" s="19" t="n">
        <v>275.57</v>
      </c>
      <c r="G4300" s="8" t="str">
        <f aca="false">IFERROR(INDEX('TRANS'!$B:$B,MATCH($B4300,'TRANS'!$A:$A,0)),IFERROR(INDEX('TRANS'!$B:$B,MATCH(TRIM(SUBSTITUTE($B4300,CHAR(160)," ")),'TRANS'!$D:$D,0)),IFERROR(INDEX('Catalog'!$A:$A,MATCH($B4300,'Catalog'!$B:$B,0)),IFERROR(INDEX('Catalog'!$A:$A,MATCH(TRIM(SUBSTITUTE($B4300,CHAR(160)," ")),'Catalog'!$C:$C,0)),""))))</f>
        <v/>
      </c>
      <c r="H4300" s="8" t="str">
        <f aca="false">IFERROR(INDEX('TRANS'!$C:$C,MATCH($B4300,'TRANS'!$A:$A,0)),IFERROR(INDEX('Catalog'!$B:$B,MATCH($G4300,'Catalog'!$A:$A,0)),$B4300))</f>
        <v>60B L</v>
      </c>
      <c r="I4300" s="8" t="str">
        <f aca="false">IF($G4300="","Unmatched","Matched")</f>
        <v>Unmatched</v>
      </c>
      <c r="J4300" s="8" t="str">
        <f aca="false">IF($G4300&lt;&gt;"",$G4300,$B4300)</f>
        <v>60B L</v>
      </c>
      <c r="K4300" s="8" t="str">
        <f aca="false">IF(COUNTIF($M$1:$M$10,$A4300)&gt;0,"Y","N")</f>
        <v>N</v>
      </c>
    </row>
    <row r="4301" customFormat="false" ht="15" hidden="false" customHeight="true" outlineLevel="0" collapsed="false">
      <c r="A4301" s="8" t="s">
        <v>1117</v>
      </c>
      <c r="B4301" s="8" t="s">
        <v>75</v>
      </c>
      <c r="C4301" s="19" t="n">
        <v>0</v>
      </c>
      <c r="D4301" s="19" t="n">
        <v>0</v>
      </c>
      <c r="E4301" s="19" t="n">
        <v>10</v>
      </c>
      <c r="F4301" s="19" t="n">
        <v>256.69</v>
      </c>
      <c r="G4301" s="8" t="str">
        <f aca="false">IFERROR(INDEX('TRANS'!$B:$B,MATCH($B4301,'TRANS'!$A:$A,0)),IFERROR(INDEX('TRANS'!$B:$B,MATCH(TRIM(SUBSTITUTE($B4301,CHAR(160)," ")),'TRANS'!$D:$D,0)),IFERROR(INDEX('Catalog'!$A:$A,MATCH($B4301,'Catalog'!$B:$B,0)),IFERROR(INDEX('Catalog'!$A:$A,MATCH(TRIM(SUBSTITUTE($B4301,CHAR(160)," ")),'Catalog'!$C:$C,0)),""))))</f>
        <v/>
      </c>
      <c r="H4301" s="8" t="str">
        <f aca="false">IFERROR(INDEX('TRANS'!$C:$C,MATCH($B4301,'TRANS'!$A:$A,0)),IFERROR(INDEX('Catalog'!$B:$B,MATCH($G4301,'Catalog'!$A:$A,0)),$B4301))</f>
        <v>60B M</v>
      </c>
      <c r="I4301" s="8" t="str">
        <f aca="false">IF($G4301="","Unmatched","Matched")</f>
        <v>Unmatched</v>
      </c>
      <c r="J4301" s="8" t="str">
        <f aca="false">IF($G4301&lt;&gt;"",$G4301,$B4301)</f>
        <v>60B M</v>
      </c>
      <c r="K4301" s="8" t="str">
        <f aca="false">IF(COUNTIF($M$1:$M$10,$A4301)&gt;0,"Y","N")</f>
        <v>N</v>
      </c>
    </row>
    <row r="4302" customFormat="false" ht="15" hidden="false" customHeight="true" outlineLevel="0" collapsed="false">
      <c r="A4302" s="8" t="s">
        <v>1117</v>
      </c>
      <c r="B4302" s="8" t="s">
        <v>85</v>
      </c>
      <c r="C4302" s="19" t="n">
        <v>10</v>
      </c>
      <c r="D4302" s="19" t="n">
        <v>292.14</v>
      </c>
      <c r="E4302" s="19" t="n">
        <v>6</v>
      </c>
      <c r="F4302" s="19" t="n">
        <v>165.34</v>
      </c>
      <c r="G4302" s="8" t="str">
        <f aca="false">IFERROR(INDEX('TRANS'!$B:$B,MATCH($B4302,'TRANS'!$A:$A,0)),IFERROR(INDEX('TRANS'!$B:$B,MATCH(TRIM(SUBSTITUTE($B4302,CHAR(160)," ")),'TRANS'!$D:$D,0)),IFERROR(INDEX('Catalog'!$A:$A,MATCH($B4302,'Catalog'!$B:$B,0)),IFERROR(INDEX('Catalog'!$A:$A,MATCH(TRIM(SUBSTITUTE($B4302,CHAR(160)," ")),'Catalog'!$C:$C,0)),""))))</f>
        <v/>
      </c>
      <c r="H4302" s="8" t="str">
        <f aca="false">IFERROR(INDEX('TRANS'!$C:$C,MATCH($B4302,'TRANS'!$A:$A,0)),IFERROR(INDEX('Catalog'!$B:$B,MATCH($G4302,'Catalog'!$A:$A,0)),$B4302))</f>
        <v>60B S</v>
      </c>
      <c r="I4302" s="8" t="str">
        <f aca="false">IF($G4302="","Unmatched","Matched")</f>
        <v>Unmatched</v>
      </c>
      <c r="J4302" s="8" t="str">
        <f aca="false">IF($G4302&lt;&gt;"",$G4302,$B4302)</f>
        <v>60B S</v>
      </c>
      <c r="K4302" s="8" t="str">
        <f aca="false">IF(COUNTIF($M$1:$M$10,$A4302)&gt;0,"Y","N")</f>
        <v>N</v>
      </c>
    </row>
    <row r="4303" customFormat="false" ht="15" hidden="false" customHeight="true" outlineLevel="0" collapsed="false">
      <c r="A4303" s="8" t="s">
        <v>1117</v>
      </c>
      <c r="B4303" s="8" t="s">
        <v>1118</v>
      </c>
      <c r="C4303" s="19" t="n">
        <v>4</v>
      </c>
      <c r="D4303" s="19" t="n">
        <v>0.16</v>
      </c>
      <c r="E4303" s="19" t="n">
        <v>0</v>
      </c>
      <c r="F4303" s="19" t="n">
        <v>0</v>
      </c>
      <c r="G4303" s="8" t="str">
        <f aca="false">IFERROR(INDEX('TRANS'!$B:$B,MATCH($B4303,'TRANS'!$A:$A,0)),IFERROR(INDEX('TRANS'!$B:$B,MATCH(TRIM(SUBSTITUTE($B4303,CHAR(160)," ")),'TRANS'!$D:$D,0)),IFERROR(INDEX('Catalog'!$A:$A,MATCH($B4303,'Catalog'!$B:$B,0)),IFERROR(INDEX('Catalog'!$A:$A,MATCH(TRIM(SUBSTITUTE($B4303,CHAR(160)," ")),'Catalog'!$C:$C,0)),""))))</f>
        <v/>
      </c>
      <c r="H4303" s="8" t="str">
        <f aca="false">IFERROR(INDEX('TRANS'!$C:$C,MATCH($B4303,'TRANS'!$A:$A,0)),IFERROR(INDEX('Catalog'!$B:$B,MATCH($G4303,'Catalog'!$A:$A,0)),$B4303))</f>
        <v>67812000</v>
      </c>
      <c r="I4303" s="8" t="str">
        <f aca="false">IF($G4303="","Unmatched","Matched")</f>
        <v>Unmatched</v>
      </c>
      <c r="J4303" s="8" t="str">
        <f aca="false">IF($G4303&lt;&gt;"",$G4303,$B4303)</f>
        <v>67812000</v>
      </c>
      <c r="K4303" s="8" t="str">
        <f aca="false">IF(COUNTIF($M$1:$M$10,$A4303)&gt;0,"Y","N")</f>
        <v>N</v>
      </c>
    </row>
    <row r="4304" customFormat="false" ht="15" hidden="false" customHeight="true" outlineLevel="0" collapsed="false">
      <c r="A4304" s="8" t="s">
        <v>1117</v>
      </c>
      <c r="B4304" s="8" t="s">
        <v>132</v>
      </c>
      <c r="C4304" s="19" t="n">
        <v>6</v>
      </c>
      <c r="D4304" s="19" t="n">
        <v>0.23</v>
      </c>
      <c r="E4304" s="19" t="n">
        <v>0</v>
      </c>
      <c r="F4304" s="19" t="n">
        <v>0</v>
      </c>
      <c r="G4304" s="8" t="str">
        <f aca="false">IFERROR(INDEX('TRANS'!$B:$B,MATCH($B4304,'TRANS'!$A:$A,0)),IFERROR(INDEX('TRANS'!$B:$B,MATCH(TRIM(SUBSTITUTE($B4304,CHAR(160)," ")),'TRANS'!$D:$D,0)),IFERROR(INDEX('Catalog'!$A:$A,MATCH($B4304,'Catalog'!$B:$B,0)),IFERROR(INDEX('Catalog'!$A:$A,MATCH(TRIM(SUBSTITUTE($B4304,CHAR(160)," ")),'Catalog'!$C:$C,0)),""))))</f>
        <v/>
      </c>
      <c r="H4304" s="8" t="str">
        <f aca="false">IFERROR(INDEX('TRANS'!$C:$C,MATCH($B4304,'TRANS'!$A:$A,0)),IFERROR(INDEX('Catalog'!$B:$B,MATCH($G4304,'Catalog'!$A:$A,0)),$B4304))</f>
        <v>67813000</v>
      </c>
      <c r="I4304" s="8" t="str">
        <f aca="false">IF($G4304="","Unmatched","Matched")</f>
        <v>Unmatched</v>
      </c>
      <c r="J4304" s="8" t="str">
        <f aca="false">IF($G4304&lt;&gt;"",$G4304,$B4304)</f>
        <v>67813000</v>
      </c>
      <c r="K4304" s="8" t="str">
        <f aca="false">IF(COUNTIF($M$1:$M$10,$A4304)&gt;0,"Y","N")</f>
        <v>N</v>
      </c>
    </row>
    <row r="4305" customFormat="false" ht="15" hidden="false" customHeight="true" outlineLevel="0" collapsed="false">
      <c r="A4305" s="8" t="s">
        <v>1117</v>
      </c>
      <c r="B4305" s="8" t="s">
        <v>696</v>
      </c>
      <c r="C4305" s="19" t="n">
        <v>0</v>
      </c>
      <c r="D4305" s="19" t="n">
        <v>0</v>
      </c>
      <c r="E4305" s="19" t="n">
        <v>10</v>
      </c>
      <c r="F4305" s="19" t="n">
        <v>102.88</v>
      </c>
      <c r="G4305" s="8" t="n">
        <f aca="false">IFERROR(INDEX('TRANS'!$B:$B,MATCH($B4305,'TRANS'!$A:$A,0)),IFERROR(INDEX('TRANS'!$B:$B,MATCH(TRIM(SUBSTITUTE($B4305,CHAR(160)," ")),'TRANS'!$D:$D,0)),IFERROR(INDEX('Catalog'!$A:$A,MATCH($B4305,'Catalog'!$B:$B,0)),IFERROR(INDEX('Catalog'!$A:$A,MATCH(TRIM(SUBSTITUTE($B4305,CHAR(160)," ")),'Catalog'!$C:$C,0)),""))))</f>
        <v>4422000</v>
      </c>
      <c r="H4305" s="8" t="str">
        <f aca="false">IFERROR(INDEX('TRANS'!$C:$C,MATCH($B4305,'TRANS'!$A:$A,0)),IFERROR(INDEX('Catalog'!$B:$B,MATCH($G4305,'Catalog'!$A:$A,0)),$B4305))</f>
        <v>801  תחבושת אלסטית מקררת</v>
      </c>
      <c r="I4305" s="8" t="str">
        <f aca="false">IF($G4305="","Unmatched","Matched")</f>
        <v>Matched</v>
      </c>
      <c r="J4305" s="8" t="n">
        <f aca="false">IF($G4305&lt;&gt;"",$G4305,$B4305)</f>
        <v>4422000</v>
      </c>
      <c r="K4305" s="8" t="str">
        <f aca="false">IF(COUNTIF($M$1:$M$10,$A4305)&gt;0,"Y","N")</f>
        <v>N</v>
      </c>
    </row>
    <row r="4306" customFormat="false" ht="15" hidden="false" customHeight="true" outlineLevel="0" collapsed="false">
      <c r="A4306" s="8" t="s">
        <v>1117</v>
      </c>
      <c r="B4306" s="8" t="s">
        <v>697</v>
      </c>
      <c r="C4306" s="19" t="n">
        <v>24</v>
      </c>
      <c r="D4306" s="19" t="n">
        <v>227.95</v>
      </c>
      <c r="E4306" s="19" t="n">
        <v>0</v>
      </c>
      <c r="F4306" s="19" t="n">
        <v>0</v>
      </c>
      <c r="G4306" s="8" t="n">
        <f aca="false">IFERROR(INDEX('TRANS'!$B:$B,MATCH($B4306,'TRANS'!$A:$A,0)),IFERROR(INDEX('TRANS'!$B:$B,MATCH(TRIM(SUBSTITUTE($B4306,CHAR(160)," ")),'TRANS'!$D:$D,0)),IFERROR(INDEX('Catalog'!$A:$A,MATCH($B4306,'Catalog'!$B:$B,0)),IFERROR(INDEX('Catalog'!$A:$A,MATCH(TRIM(SUBSTITUTE($B4306,CHAR(160)," ")),'Catalog'!$C:$C,0)),""))))</f>
        <v>4409011</v>
      </c>
      <c r="H4306" s="8" t="str">
        <f aca="false">IFERROR(INDEX('TRANS'!$C:$C,MATCH($B4306,'TRANS'!$A:$A,0)),IFERROR(INDEX('Catalog'!$B:$B,MATCH($G4306,'Catalog'!$A:$A,0)),$B4306))</f>
        <v>804AT-B      טייפ חבישה לספורט</v>
      </c>
      <c r="I4306" s="8" t="str">
        <f aca="false">IF($G4306="","Unmatched","Matched")</f>
        <v>Matched</v>
      </c>
      <c r="J4306" s="8" t="n">
        <f aca="false">IF($G4306&lt;&gt;"",$G4306,$B4306)</f>
        <v>4409011</v>
      </c>
      <c r="K4306" s="8" t="str">
        <f aca="false">IF(COUNTIF($M$1:$M$10,$A4306)&gt;0,"Y","N")</f>
        <v>N</v>
      </c>
    </row>
    <row r="4307" customFormat="false" ht="15" hidden="false" customHeight="true" outlineLevel="0" collapsed="false">
      <c r="A4307" s="8" t="s">
        <v>1117</v>
      </c>
      <c r="B4307" s="8" t="s">
        <v>698</v>
      </c>
      <c r="C4307" s="19" t="n">
        <v>24</v>
      </c>
      <c r="D4307" s="19" t="n">
        <v>227.95</v>
      </c>
      <c r="E4307" s="19" t="n">
        <v>0</v>
      </c>
      <c r="F4307" s="19" t="n">
        <v>0</v>
      </c>
      <c r="G4307" s="8" t="n">
        <f aca="false">IFERROR(INDEX('TRANS'!$B:$B,MATCH($B4307,'TRANS'!$A:$A,0)),IFERROR(INDEX('TRANS'!$B:$B,MATCH(TRIM(SUBSTITUTE($B4307,CHAR(160)," ")),'TRANS'!$D:$D,0)),IFERROR(INDEX('Catalog'!$A:$A,MATCH($B4307,'Catalog'!$B:$B,0)),IFERROR(INDEX('Catalog'!$A:$A,MATCH(TRIM(SUBSTITUTE($B4307,CHAR(160)," ")),'Catalog'!$C:$C,0)),""))))</f>
        <v>4409013</v>
      </c>
      <c r="H4307" s="8" t="str">
        <f aca="false">IFERROR(INDEX('TRANS'!$C:$C,MATCH($B4307,'TRANS'!$A:$A,0)),IFERROR(INDEX('Catalog'!$B:$B,MATCH($G4307,'Catalog'!$A:$A,0)),$B4307))</f>
        <v>804AT-BL     טייפ חבישה לספורט</v>
      </c>
      <c r="I4307" s="8" t="str">
        <f aca="false">IF($G4307="","Unmatched","Matched")</f>
        <v>Matched</v>
      </c>
      <c r="J4307" s="8" t="n">
        <f aca="false">IF($G4307&lt;&gt;"",$G4307,$B4307)</f>
        <v>4409013</v>
      </c>
      <c r="K4307" s="8" t="str">
        <f aca="false">IF(COUNTIF($M$1:$M$10,$A4307)&gt;0,"Y","N")</f>
        <v>N</v>
      </c>
    </row>
    <row r="4308" customFormat="false" ht="15" hidden="false" customHeight="true" outlineLevel="0" collapsed="false">
      <c r="A4308" s="8" t="s">
        <v>1117</v>
      </c>
      <c r="B4308" s="8" t="s">
        <v>699</v>
      </c>
      <c r="C4308" s="19" t="n">
        <v>44</v>
      </c>
      <c r="D4308" s="19" t="n">
        <v>422.71</v>
      </c>
      <c r="E4308" s="19" t="n">
        <v>0</v>
      </c>
      <c r="F4308" s="19" t="n">
        <v>0</v>
      </c>
      <c r="G4308" s="8" t="n">
        <f aca="false">IFERROR(INDEX('TRANS'!$B:$B,MATCH($B4308,'TRANS'!$A:$A,0)),IFERROR(INDEX('TRANS'!$B:$B,MATCH(TRIM(SUBSTITUTE($B4308,CHAR(160)," ")),'TRANS'!$D:$D,0)),IFERROR(INDEX('Catalog'!$A:$A,MATCH($B4308,'Catalog'!$B:$B,0)),IFERROR(INDEX('Catalog'!$A:$A,MATCH(TRIM(SUBSTITUTE($B4308,CHAR(160)," ")),'Catalog'!$C:$C,0)),""))))</f>
        <v>4409012</v>
      </c>
      <c r="H4308" s="8" t="str">
        <f aca="false">IFERROR(INDEX('TRANS'!$C:$C,MATCH($B4308,'TRANS'!$A:$A,0)),IFERROR(INDEX('Catalog'!$B:$B,MATCH($G4308,'Catalog'!$A:$A,0)),$B4308))</f>
        <v>804AT-C      טייפ חבישה לספורט</v>
      </c>
      <c r="I4308" s="8" t="str">
        <f aca="false">IF($G4308="","Unmatched","Matched")</f>
        <v>Matched</v>
      </c>
      <c r="J4308" s="8" t="n">
        <f aca="false">IF($G4308&lt;&gt;"",$G4308,$B4308)</f>
        <v>4409012</v>
      </c>
      <c r="K4308" s="8" t="str">
        <f aca="false">IF(COUNTIF($M$1:$M$10,$A4308)&gt;0,"Y","N")</f>
        <v>N</v>
      </c>
    </row>
    <row r="4309" customFormat="false" ht="15" hidden="false" customHeight="true" outlineLevel="0" collapsed="false">
      <c r="A4309" s="8" t="s">
        <v>1117</v>
      </c>
      <c r="B4309" s="8" t="s">
        <v>700</v>
      </c>
      <c r="C4309" s="19" t="n">
        <v>32</v>
      </c>
      <c r="D4309" s="19" t="n">
        <v>326.64</v>
      </c>
      <c r="E4309" s="19" t="n">
        <v>0</v>
      </c>
      <c r="F4309" s="19" t="n">
        <v>0</v>
      </c>
      <c r="G4309" s="8" t="n">
        <f aca="false">IFERROR(INDEX('TRANS'!$B:$B,MATCH($B4309,'TRANS'!$A:$A,0)),IFERROR(INDEX('TRANS'!$B:$B,MATCH(TRIM(SUBSTITUTE($B4309,CHAR(160)," ")),'TRANS'!$D:$D,0)),IFERROR(INDEX('Catalog'!$A:$A,MATCH($B4309,'Catalog'!$B:$B,0)),IFERROR(INDEX('Catalog'!$A:$A,MATCH(TRIM(SUBSTITUTE($B4309,CHAR(160)," ")),'Catalog'!$C:$C,0)),""))))</f>
        <v>4401012</v>
      </c>
      <c r="H4309" s="8" t="str">
        <f aca="false">IFERROR(INDEX('TRANS'!$C:$C,MATCH($B4309,'TRANS'!$A:$A,0)),IFERROR(INDEX('Catalog'!$B:$B,MATCH($G4309,'Catalog'!$A:$A,0)),$B4309))</f>
        <v>805AT-B אתלטיק טייפ שחור 20מ""""מ</v>
      </c>
      <c r="I4309" s="8" t="str">
        <f aca="false">IF($G4309="","Unmatched","Matched")</f>
        <v>Matched</v>
      </c>
      <c r="J4309" s="8" t="n">
        <f aca="false">IF($G4309&lt;&gt;"",$G4309,$B4309)</f>
        <v>4401012</v>
      </c>
      <c r="K4309" s="8" t="str">
        <f aca="false">IF(COUNTIF($M$1:$M$10,$A4309)&gt;0,"Y","N")</f>
        <v>N</v>
      </c>
    </row>
    <row r="4310" customFormat="false" ht="15" hidden="false" customHeight="true" outlineLevel="0" collapsed="false">
      <c r="A4310" s="8" t="s">
        <v>1117</v>
      </c>
      <c r="B4310" s="8" t="s">
        <v>884</v>
      </c>
      <c r="C4310" s="19" t="n">
        <v>26</v>
      </c>
      <c r="D4310" s="19" t="n">
        <v>262.65</v>
      </c>
      <c r="E4310" s="19" t="n">
        <v>0</v>
      </c>
      <c r="F4310" s="19" t="n">
        <v>0</v>
      </c>
      <c r="G4310" s="8" t="n">
        <f aca="false">IFERROR(INDEX('TRANS'!$B:$B,MATCH($B4310,'TRANS'!$A:$A,0)),IFERROR(INDEX('TRANS'!$B:$B,MATCH(TRIM(SUBSTITUTE($B4310,CHAR(160)," ")),'TRANS'!$D:$D,0)),IFERROR(INDEX('Catalog'!$A:$A,MATCH($B4310,'Catalog'!$B:$B,0)),IFERROR(INDEX('Catalog'!$A:$A,MATCH(TRIM(SUBSTITUTE($B4310,CHAR(160)," ")),'Catalog'!$C:$C,0)),""))))</f>
        <v>4401013</v>
      </c>
      <c r="H4310" s="8" t="str">
        <f aca="false">IFERROR(INDEX('TRANS'!$C:$C,MATCH($B4310,'TRANS'!$A:$A,0)),IFERROR(INDEX('Catalog'!$B:$B,MATCH($G4310,'Catalog'!$A:$A,0)),$B4310))</f>
        <v>805AT-BLאתלטיק טייפ כחול 20מ""""מ</v>
      </c>
      <c r="I4310" s="8" t="str">
        <f aca="false">IF($G4310="","Unmatched","Matched")</f>
        <v>Matched</v>
      </c>
      <c r="J4310" s="8" t="n">
        <f aca="false">IF($G4310&lt;&gt;"",$G4310,$B4310)</f>
        <v>4401013</v>
      </c>
      <c r="K4310" s="8" t="str">
        <f aca="false">IF(COUNTIF($M$1:$M$10,$A4310)&gt;0,"Y","N")</f>
        <v>N</v>
      </c>
    </row>
    <row r="4311" customFormat="false" ht="15" hidden="false" customHeight="true" outlineLevel="0" collapsed="false">
      <c r="A4311" s="8" t="s">
        <v>1117</v>
      </c>
      <c r="B4311" s="8" t="s">
        <v>701</v>
      </c>
      <c r="C4311" s="19" t="n">
        <v>20</v>
      </c>
      <c r="D4311" s="19" t="n">
        <v>198.66</v>
      </c>
      <c r="E4311" s="19" t="n">
        <v>20</v>
      </c>
      <c r="F4311" s="19" t="n">
        <v>187.38</v>
      </c>
      <c r="G4311" s="8" t="n">
        <f aca="false">IFERROR(INDEX('TRANS'!$B:$B,MATCH($B4311,'TRANS'!$A:$A,0)),IFERROR(INDEX('TRANS'!$B:$B,MATCH(TRIM(SUBSTITUTE($B4311,CHAR(160)," ")),'TRANS'!$D:$D,0)),IFERROR(INDEX('Catalog'!$A:$A,MATCH($B4311,'Catalog'!$B:$B,0)),IFERROR(INDEX('Catalog'!$A:$A,MATCH(TRIM(SUBSTITUTE($B4311,CHAR(160)," ")),'Catalog'!$C:$C,0)),""))))</f>
        <v>4401011</v>
      </c>
      <c r="H4311" s="8" t="str">
        <f aca="false">IFERROR(INDEX('TRANS'!$C:$C,MATCH($B4311,'TRANS'!$A:$A,0)),IFERROR(INDEX('Catalog'!$B:$B,MATCH($G4311,'Catalog'!$A:$A,0)),$B4311))</f>
        <v>805AT-Cאתלטיק טייפ בז' 20מ""""מ20</v>
      </c>
      <c r="I4311" s="8" t="str">
        <f aca="false">IF($G4311="","Unmatched","Matched")</f>
        <v>Matched</v>
      </c>
      <c r="J4311" s="8" t="n">
        <f aca="false">IF($G4311&lt;&gt;"",$G4311,$B4311)</f>
        <v>4401011</v>
      </c>
      <c r="K4311" s="8" t="str">
        <f aca="false">IF(COUNTIF($M$1:$M$10,$A4311)&gt;0,"Y","N")</f>
        <v>N</v>
      </c>
    </row>
    <row r="4312" customFormat="false" ht="15" hidden="false" customHeight="true" outlineLevel="0" collapsed="false">
      <c r="A4312" s="8" t="s">
        <v>1117</v>
      </c>
      <c r="B4312" s="8" t="s">
        <v>1000</v>
      </c>
      <c r="C4312" s="19" t="n">
        <v>6</v>
      </c>
      <c r="D4312" s="19" t="n">
        <v>63.99</v>
      </c>
      <c r="E4312" s="19" t="n">
        <v>0</v>
      </c>
      <c r="F4312" s="19" t="n">
        <v>0</v>
      </c>
      <c r="G4312" s="8" t="n">
        <f aca="false">IFERROR(INDEX('TRANS'!$B:$B,MATCH($B4312,'TRANS'!$A:$A,0)),IFERROR(INDEX('TRANS'!$B:$B,MATCH(TRIM(SUBSTITUTE($B4312,CHAR(160)," ")),'TRANS'!$D:$D,0)),IFERROR(INDEX('Catalog'!$A:$A,MATCH($B4312,'Catalog'!$B:$B,0)),IFERROR(INDEX('Catalog'!$A:$A,MATCH(TRIM(SUBSTITUTE($B4312,CHAR(160)," ")),'Catalog'!$C:$C,0)),""))))</f>
        <v>4401014</v>
      </c>
      <c r="H4312" s="8" t="str">
        <f aca="false">IFERROR(INDEX('TRANS'!$C:$C,MATCH($B4312,'TRANS'!$A:$A,0)),IFERROR(INDEX('Catalog'!$B:$B,MATCH($G4312,'Catalog'!$A:$A,0)),$B4312))</f>
        <v>805AT-W  אתלטיק טייפ לבן 20מ""""מ</v>
      </c>
      <c r="I4312" s="8" t="str">
        <f aca="false">IF($G4312="","Unmatched","Matched")</f>
        <v>Matched</v>
      </c>
      <c r="J4312" s="8" t="n">
        <f aca="false">IF($G4312&lt;&gt;"",$G4312,$B4312)</f>
        <v>4401014</v>
      </c>
      <c r="K4312" s="8" t="str">
        <f aca="false">IF(COUNTIF($M$1:$M$10,$A4312)&gt;0,"Y","N")</f>
        <v>N</v>
      </c>
    </row>
    <row r="4313" customFormat="false" ht="15" hidden="false" customHeight="true" outlineLevel="0" collapsed="false">
      <c r="A4313" s="8" t="s">
        <v>1117</v>
      </c>
      <c r="B4313" s="8" t="s">
        <v>823</v>
      </c>
      <c r="C4313" s="19" t="n">
        <v>84</v>
      </c>
      <c r="D4313" s="19" t="n">
        <v>595.13</v>
      </c>
      <c r="E4313" s="19" t="n">
        <v>86</v>
      </c>
      <c r="F4313" s="19" t="n">
        <v>546.12</v>
      </c>
      <c r="G4313" s="8" t="n">
        <f aca="false">IFERROR(INDEX('TRANS'!$B:$B,MATCH($B4313,'TRANS'!$A:$A,0)),IFERROR(INDEX('TRANS'!$B:$B,MATCH(TRIM(SUBSTITUTE($B4313,CHAR(160)," ")),'TRANS'!$D:$D,0)),IFERROR(INDEX('Catalog'!$A:$A,MATCH($B4313,'Catalog'!$B:$B,0)),IFERROR(INDEX('Catalog'!$A:$A,MATCH(TRIM(SUBSTITUTE($B4313,CHAR(160)," ")),'Catalog'!$C:$C,0)),""))))</f>
        <v>4422024</v>
      </c>
      <c r="H4313" s="8" t="str">
        <f aca="false">IFERROR(INDEX('TRANS'!$C:$C,MATCH($B4313,'TRANS'!$A:$A,0)),IFERROR(INDEX('Catalog'!$B:$B,MATCH($G4313,'Catalog'!$A:$A,0)),$B4313))</f>
        <v>806CB-BLACK      תחבושת א.נצמ</v>
      </c>
      <c r="I4313" s="8" t="str">
        <f aca="false">IF($G4313="","Unmatched","Matched")</f>
        <v>Matched</v>
      </c>
      <c r="J4313" s="8" t="n">
        <f aca="false">IF($G4313&lt;&gt;"",$G4313,$B4313)</f>
        <v>4422024</v>
      </c>
      <c r="K4313" s="8" t="str">
        <f aca="false">IF(COUNTIF($M$1:$M$10,$A4313)&gt;0,"Y","N")</f>
        <v>N</v>
      </c>
    </row>
    <row r="4314" customFormat="false" ht="15" hidden="false" customHeight="true" outlineLevel="0" collapsed="false">
      <c r="A4314" s="8" t="s">
        <v>1117</v>
      </c>
      <c r="B4314" s="8" t="s">
        <v>824</v>
      </c>
      <c r="C4314" s="19" t="n">
        <v>48</v>
      </c>
      <c r="D4314" s="19" t="n">
        <v>336.53</v>
      </c>
      <c r="E4314" s="19" t="n">
        <v>60</v>
      </c>
      <c r="F4314" s="19" t="n">
        <v>396.81</v>
      </c>
      <c r="G4314" s="8" t="n">
        <f aca="false">IFERROR(INDEX('TRANS'!$B:$B,MATCH($B4314,'TRANS'!$A:$A,0)),IFERROR(INDEX('TRANS'!$B:$B,MATCH(TRIM(SUBSTITUTE($B4314,CHAR(160)," ")),'TRANS'!$D:$D,0)),IFERROR(INDEX('Catalog'!$A:$A,MATCH($B4314,'Catalog'!$B:$B,0)),IFERROR(INDEX('Catalog'!$A:$A,MATCH(TRIM(SUBSTITUTE($B4314,CHAR(160)," ")),'Catalog'!$C:$C,0)),""))))</f>
        <v>4422023</v>
      </c>
      <c r="H4314" s="8" t="str">
        <f aca="false">IFERROR(INDEX('TRANS'!$C:$C,MATCH($B4314,'TRANS'!$A:$A,0)),IFERROR(INDEX('Catalog'!$B:$B,MATCH($G4314,'Catalog'!$A:$A,0)),$B4314))</f>
        <v>806CB-BEIGE      תחבושת א.נצמ</v>
      </c>
      <c r="I4314" s="8" t="str">
        <f aca="false">IF($G4314="","Unmatched","Matched")</f>
        <v>Matched</v>
      </c>
      <c r="J4314" s="8" t="n">
        <f aca="false">IF($G4314&lt;&gt;"",$G4314,$B4314)</f>
        <v>4422023</v>
      </c>
      <c r="K4314" s="8" t="str">
        <f aca="false">IF(COUNTIF($M$1:$M$10,$A4314)&gt;0,"Y","N")</f>
        <v>N</v>
      </c>
    </row>
    <row r="4315" customFormat="false" ht="15" hidden="false" customHeight="true" outlineLevel="0" collapsed="false">
      <c r="A4315" s="8" t="s">
        <v>1117</v>
      </c>
      <c r="B4315" s="8" t="s">
        <v>825</v>
      </c>
      <c r="C4315" s="19" t="n">
        <v>24</v>
      </c>
      <c r="D4315" s="19" t="n">
        <v>180.67</v>
      </c>
      <c r="E4315" s="19" t="n">
        <v>24</v>
      </c>
      <c r="F4315" s="19" t="n">
        <v>158.73</v>
      </c>
      <c r="G4315" s="8" t="n">
        <f aca="false">IFERROR(INDEX('TRANS'!$B:$B,MATCH($B4315,'TRANS'!$A:$A,0)),IFERROR(INDEX('TRANS'!$B:$B,MATCH(TRIM(SUBSTITUTE($B4315,CHAR(160)," ")),'TRANS'!$D:$D,0)),IFERROR(INDEX('Catalog'!$A:$A,MATCH($B4315,'Catalog'!$B:$B,0)),IFERROR(INDEX('Catalog'!$A:$A,MATCH(TRIM(SUBSTITUTE($B4315,CHAR(160)," ")),'Catalog'!$C:$C,0)),""))))</f>
        <v>4422025</v>
      </c>
      <c r="H4315" s="8" t="str">
        <f aca="false">IFERROR(INDEX('TRANS'!$C:$C,MATCH($B4315,'TRANS'!$A:$A,0)),IFERROR(INDEX('Catalog'!$B:$B,MATCH($G4315,'Catalog'!$A:$A,0)),$B4315))</f>
        <v>806CB-GREEN      תחבושת א.נצמ</v>
      </c>
      <c r="I4315" s="8" t="str">
        <f aca="false">IF($G4315="","Unmatched","Matched")</f>
        <v>Matched</v>
      </c>
      <c r="J4315" s="8" t="n">
        <f aca="false">IF($G4315&lt;&gt;"",$G4315,$B4315)</f>
        <v>4422025</v>
      </c>
      <c r="K4315" s="8" t="str">
        <f aca="false">IF(COUNTIF($M$1:$M$10,$A4315)&gt;0,"Y","N")</f>
        <v>N</v>
      </c>
    </row>
    <row r="4316" customFormat="false" ht="15" hidden="false" customHeight="true" outlineLevel="0" collapsed="false">
      <c r="A4316" s="8" t="s">
        <v>1117</v>
      </c>
      <c r="B4316" s="8" t="s">
        <v>826</v>
      </c>
      <c r="C4316" s="19" t="n">
        <v>12</v>
      </c>
      <c r="D4316" s="19" t="n">
        <v>82.06</v>
      </c>
      <c r="E4316" s="19" t="n">
        <v>12</v>
      </c>
      <c r="F4316" s="19" t="n">
        <v>79.36</v>
      </c>
      <c r="G4316" s="8" t="n">
        <f aca="false">IFERROR(INDEX('TRANS'!$B:$B,MATCH($B4316,'TRANS'!$A:$A,0)),IFERROR(INDEX('TRANS'!$B:$B,MATCH(TRIM(SUBSTITUTE($B4316,CHAR(160)," ")),'TRANS'!$D:$D,0)),IFERROR(INDEX('Catalog'!$A:$A,MATCH($B4316,'Catalog'!$B:$B,0)),IFERROR(INDEX('Catalog'!$A:$A,MATCH(TRIM(SUBSTITUTE($B4316,CHAR(160)," ")),'Catalog'!$C:$C,0)),""))))</f>
        <v>4422026</v>
      </c>
      <c r="H4316" s="8" t="str">
        <f aca="false">IFERROR(INDEX('TRANS'!$C:$C,MATCH($B4316,'TRANS'!$A:$A,0)),IFERROR(INDEX('Catalog'!$B:$B,MATCH($G4316,'Catalog'!$A:$A,0)),$B4316))</f>
        <v>806CB-PINK       תחבושת א.נצמ</v>
      </c>
      <c r="I4316" s="8" t="str">
        <f aca="false">IF($G4316="","Unmatched","Matched")</f>
        <v>Matched</v>
      </c>
      <c r="J4316" s="8" t="n">
        <f aca="false">IF($G4316&lt;&gt;"",$G4316,$B4316)</f>
        <v>4422026</v>
      </c>
      <c r="K4316" s="8" t="str">
        <f aca="false">IF(COUNTIF($M$1:$M$10,$A4316)&gt;0,"Y","N")</f>
        <v>N</v>
      </c>
    </row>
    <row r="4317" customFormat="false" ht="15" hidden="false" customHeight="true" outlineLevel="0" collapsed="false">
      <c r="A4317" s="8" t="s">
        <v>1117</v>
      </c>
      <c r="B4317" s="8" t="s">
        <v>705</v>
      </c>
      <c r="C4317" s="19" t="n">
        <v>60</v>
      </c>
      <c r="D4317" s="19" t="n">
        <v>829.68</v>
      </c>
      <c r="E4317" s="19" t="n">
        <v>0</v>
      </c>
      <c r="F4317" s="19" t="n">
        <v>0</v>
      </c>
      <c r="G4317" s="8" t="n">
        <f aca="false">IFERROR(INDEX('TRANS'!$B:$B,MATCH($B4317,'TRANS'!$A:$A,0)),IFERROR(INDEX('TRANS'!$B:$B,MATCH(TRIM(SUBSTITUTE($B4317,CHAR(160)," ")),'TRANS'!$D:$D,0)),IFERROR(INDEX('Catalog'!$A:$A,MATCH($B4317,'Catalog'!$B:$B,0)),IFERROR(INDEX('Catalog'!$A:$A,MATCH(TRIM(SUBSTITUTE($B4317,CHAR(160)," ")),'Catalog'!$C:$C,0)),""))))</f>
        <v>4409017</v>
      </c>
      <c r="H4317" s="8" t="str">
        <f aca="false">IFERROR(INDEX('TRANS'!$C:$C,MATCH($B4317,'TRANS'!$A:$A,0)),IFERROR(INDEX('Catalog'!$B:$B,MATCH($G4317,'Catalog'!$A:$A,0)),$B4317))</f>
        <v>808KT-B        טייפ קינזיולוגי</v>
      </c>
      <c r="I4317" s="8" t="str">
        <f aca="false">IF($G4317="","Unmatched","Matched")</f>
        <v>Matched</v>
      </c>
      <c r="J4317" s="8" t="n">
        <f aca="false">IF($G4317&lt;&gt;"",$G4317,$B4317)</f>
        <v>4409017</v>
      </c>
      <c r="K4317" s="8" t="str">
        <f aca="false">IF(COUNTIF($M$1:$M$10,$A4317)&gt;0,"Y","N")</f>
        <v>N</v>
      </c>
    </row>
    <row r="4318" customFormat="false" ht="15" hidden="false" customHeight="true" outlineLevel="0" collapsed="false">
      <c r="A4318" s="8" t="s">
        <v>1117</v>
      </c>
      <c r="B4318" s="8" t="s">
        <v>886</v>
      </c>
      <c r="C4318" s="19" t="n">
        <v>120</v>
      </c>
      <c r="D4318" s="19" t="n">
        <v>1720.49</v>
      </c>
      <c r="E4318" s="19" t="n">
        <v>0</v>
      </c>
      <c r="F4318" s="19" t="n">
        <v>0</v>
      </c>
      <c r="G4318" s="8" t="n">
        <f aca="false">IFERROR(INDEX('TRANS'!$B:$B,MATCH($B4318,'TRANS'!$A:$A,0)),IFERROR(INDEX('TRANS'!$B:$B,MATCH(TRIM(SUBSTITUTE($B4318,CHAR(160)," ")),'TRANS'!$D:$D,0)),IFERROR(INDEX('Catalog'!$A:$A,MATCH($B4318,'Catalog'!$B:$B,0)),IFERROR(INDEX('Catalog'!$A:$A,MATCH(TRIM(SUBSTITUTE($B4318,CHAR(160)," ")),'Catalog'!$C:$C,0)),""))))</f>
        <v>4409015</v>
      </c>
      <c r="H4318" s="8" t="str">
        <f aca="false">IFERROR(INDEX('TRANS'!$C:$C,MATCH($B4318,'TRANS'!$A:$A,0)),IFERROR(INDEX('Catalog'!$B:$B,MATCH($G4318,'Catalog'!$A:$A,0)),$B4318))</f>
        <v>808KT-BL       טייפ קינזיולוגי</v>
      </c>
      <c r="I4318" s="8" t="str">
        <f aca="false">IF($G4318="","Unmatched","Matched")</f>
        <v>Matched</v>
      </c>
      <c r="J4318" s="8" t="n">
        <f aca="false">IF($G4318&lt;&gt;"",$G4318,$B4318)</f>
        <v>4409015</v>
      </c>
      <c r="K4318" s="8" t="str">
        <f aca="false">IF(COUNTIF($M$1:$M$10,$A4318)&gt;0,"Y","N")</f>
        <v>N</v>
      </c>
    </row>
    <row r="4319" customFormat="false" ht="15" hidden="false" customHeight="true" outlineLevel="0" collapsed="false">
      <c r="A4319" s="8" t="s">
        <v>1117</v>
      </c>
      <c r="B4319" s="8" t="s">
        <v>706</v>
      </c>
      <c r="C4319" s="19" t="n">
        <v>120</v>
      </c>
      <c r="D4319" s="19" t="n">
        <v>1720.49</v>
      </c>
      <c r="E4319" s="19" t="n">
        <v>0</v>
      </c>
      <c r="F4319" s="19" t="n">
        <v>0</v>
      </c>
      <c r="G4319" s="8" t="n">
        <f aca="false">IFERROR(INDEX('TRANS'!$B:$B,MATCH($B4319,'TRANS'!$A:$A,0)),IFERROR(INDEX('TRANS'!$B:$B,MATCH(TRIM(SUBSTITUTE($B4319,CHAR(160)," ")),'TRANS'!$D:$D,0)),IFERROR(INDEX('Catalog'!$A:$A,MATCH($B4319,'Catalog'!$B:$B,0)),IFERROR(INDEX('Catalog'!$A:$A,MATCH(TRIM(SUBSTITUTE($B4319,CHAR(160)," ")),'Catalog'!$C:$C,0)),""))))</f>
        <v>4409016</v>
      </c>
      <c r="H4319" s="8" t="str">
        <f aca="false">IFERROR(INDEX('TRANS'!$C:$C,MATCH($B4319,'TRANS'!$A:$A,0)),IFERROR(INDEX('Catalog'!$B:$B,MATCH($G4319,'Catalog'!$A:$A,0)),$B4319))</f>
        <v>808KT-C        טייפ קינזיולוגי</v>
      </c>
      <c r="I4319" s="8" t="str">
        <f aca="false">IF($G4319="","Unmatched","Matched")</f>
        <v>Matched</v>
      </c>
      <c r="J4319" s="8" t="n">
        <f aca="false">IF($G4319&lt;&gt;"",$G4319,$B4319)</f>
        <v>4409016</v>
      </c>
      <c r="K4319" s="8" t="str">
        <f aca="false">IF(COUNTIF($M$1:$M$10,$A4319)&gt;0,"Y","N")</f>
        <v>N</v>
      </c>
    </row>
    <row r="4320" customFormat="false" ht="15" hidden="false" customHeight="true" outlineLevel="0" collapsed="false">
      <c r="A4320" s="8" t="s">
        <v>1117</v>
      </c>
      <c r="B4320" s="8" t="s">
        <v>1079</v>
      </c>
      <c r="C4320" s="19" t="n">
        <v>40</v>
      </c>
      <c r="D4320" s="19" t="n">
        <v>1252.59</v>
      </c>
      <c r="E4320" s="19" t="n">
        <v>30</v>
      </c>
      <c r="F4320" s="19" t="n">
        <v>840.14</v>
      </c>
      <c r="G4320" s="8" t="str">
        <f aca="false">IFERROR(INDEX('TRANS'!$B:$B,MATCH($B4320,'TRANS'!$A:$A,0)),IFERROR(INDEX('TRANS'!$B:$B,MATCH(TRIM(SUBSTITUTE($B4320,CHAR(160)," ")),'TRANS'!$D:$D,0)),IFERROR(INDEX('Catalog'!$A:$A,MATCH($B4320,'Catalog'!$B:$B,0)),IFERROR(INDEX('Catalog'!$A:$A,MATCH(TRIM(SUBSTITUTE($B4320,CHAR(160)," ")),'Catalog'!$C:$C,0)),""))))</f>
        <v/>
      </c>
      <c r="H4320" s="8" t="str">
        <f aca="false">IFERROR(INDEX('TRANS'!$C:$C,MATCH($B4320,'TRANS'!$A:$A,0)),IFERROR(INDEX('Catalog'!$B:$B,MATCH($G4320,'Catalog'!$A:$A,0)),$B4320))</f>
        <v>82 0</v>
      </c>
      <c r="I4320" s="8" t="str">
        <f aca="false">IF($G4320="","Unmatched","Matched")</f>
        <v>Unmatched</v>
      </c>
      <c r="J4320" s="8" t="str">
        <f aca="false">IF($G4320&lt;&gt;"",$G4320,$B4320)</f>
        <v>82 0</v>
      </c>
      <c r="K4320" s="8" t="str">
        <f aca="false">IF(COUNTIF($M$1:$M$10,$A4320)&gt;0,"Y","N")</f>
        <v>N</v>
      </c>
    </row>
    <row r="4321" customFormat="false" ht="15" hidden="false" customHeight="true" outlineLevel="0" collapsed="false">
      <c r="A4321" s="8" t="s">
        <v>1117</v>
      </c>
      <c r="B4321" s="8" t="s">
        <v>708</v>
      </c>
      <c r="C4321" s="19" t="n">
        <v>30</v>
      </c>
      <c r="D4321" s="19" t="n">
        <v>669</v>
      </c>
      <c r="E4321" s="19" t="n">
        <v>6</v>
      </c>
      <c r="F4321" s="19" t="n">
        <v>112.94</v>
      </c>
      <c r="G4321" s="8" t="n">
        <f aca="false">IFERROR(INDEX('TRANS'!$B:$B,MATCH($B4321,'TRANS'!$A:$A,0)),IFERROR(INDEX('TRANS'!$B:$B,MATCH(TRIM(SUBSTITUTE($B4321,CHAR(160)," ")),'TRANS'!$D:$D,0)),IFERROR(INDEX('Catalog'!$A:$A,MATCH($B4321,'Catalog'!$B:$B,0)),IFERROR(INDEX('Catalog'!$A:$A,MATCH(TRIM(SUBSTITUTE($B4321,CHAR(160)," ")),'Catalog'!$C:$C,0)),""))))</f>
        <v>4413135</v>
      </c>
      <c r="H4321" s="8" t="str">
        <f aca="false">IFERROR(INDEX('TRANS'!$C:$C,MATCH($B4321,'TRANS'!$A:$A,0)),IFERROR(INDEX('Catalog'!$B:$B,MATCH($G4321,'Catalog'!$A:$A,0)),$B4321))</f>
        <v>85 L (מתלה ליד )כיס</v>
      </c>
      <c r="I4321" s="8" t="str">
        <f aca="false">IF($G4321="","Unmatched","Matched")</f>
        <v>Matched</v>
      </c>
      <c r="J4321" s="8" t="n">
        <f aca="false">IF($G4321&lt;&gt;"",$G4321,$B4321)</f>
        <v>4413135</v>
      </c>
      <c r="K4321" s="8" t="str">
        <f aca="false">IF(COUNTIF($M$1:$M$10,$A4321)&gt;0,"Y","N")</f>
        <v>N</v>
      </c>
    </row>
    <row r="4322" customFormat="false" ht="15" hidden="false" customHeight="true" outlineLevel="0" collapsed="false">
      <c r="A4322" s="8" t="s">
        <v>1117</v>
      </c>
      <c r="B4322" s="8" t="s">
        <v>709</v>
      </c>
      <c r="C4322" s="19" t="n">
        <v>20</v>
      </c>
      <c r="D4322" s="19" t="n">
        <v>423.2</v>
      </c>
      <c r="E4322" s="19" t="n">
        <v>16</v>
      </c>
      <c r="F4322" s="19" t="n">
        <v>301.18</v>
      </c>
      <c r="G4322" s="8" t="n">
        <f aca="false">IFERROR(INDEX('TRANS'!$B:$B,MATCH($B4322,'TRANS'!$A:$A,0)),IFERROR(INDEX('TRANS'!$B:$B,MATCH(TRIM(SUBSTITUTE($B4322,CHAR(160)," ")),'TRANS'!$D:$D,0)),IFERROR(INDEX('Catalog'!$A:$A,MATCH($B4322,'Catalog'!$B:$B,0)),IFERROR(INDEX('Catalog'!$A:$A,MATCH(TRIM(SUBSTITUTE($B4322,CHAR(160)," ")),'Catalog'!$C:$C,0)),""))))</f>
        <v>4413136</v>
      </c>
      <c r="H4322" s="8" t="str">
        <f aca="false">IFERROR(INDEX('TRANS'!$C:$C,MATCH($B4322,'TRANS'!$A:$A,0)),IFERROR(INDEX('Catalog'!$B:$B,MATCH($G4322,'Catalog'!$A:$A,0)),$B4322))</f>
        <v>85 M (מתלה ליד )כיס</v>
      </c>
      <c r="I4322" s="8" t="str">
        <f aca="false">IF($G4322="","Unmatched","Matched")</f>
        <v>Matched</v>
      </c>
      <c r="J4322" s="8" t="n">
        <f aca="false">IF($G4322&lt;&gt;"",$G4322,$B4322)</f>
        <v>4413136</v>
      </c>
      <c r="K4322" s="8" t="str">
        <f aca="false">IF(COUNTIF($M$1:$M$10,$A4322)&gt;0,"Y","N")</f>
        <v>N</v>
      </c>
    </row>
    <row r="4323" customFormat="false" ht="15" hidden="false" customHeight="true" outlineLevel="0" collapsed="false">
      <c r="A4323" s="8" t="s">
        <v>1117</v>
      </c>
      <c r="B4323" s="8" t="s">
        <v>963</v>
      </c>
      <c r="C4323" s="19" t="n">
        <v>6</v>
      </c>
      <c r="D4323" s="19" t="n">
        <v>128.54</v>
      </c>
      <c r="E4323" s="19" t="n">
        <v>10</v>
      </c>
      <c r="F4323" s="19" t="n">
        <v>202.08</v>
      </c>
      <c r="G4323" s="8" t="n">
        <f aca="false">IFERROR(INDEX('TRANS'!$B:$B,MATCH($B4323,'TRANS'!$A:$A,0)),IFERROR(INDEX('TRANS'!$B:$B,MATCH(TRIM(SUBSTITUTE($B4323,CHAR(160)," ")),'TRANS'!$D:$D,0)),IFERROR(INDEX('Catalog'!$A:$A,MATCH($B4323,'Catalog'!$B:$B,0)),IFERROR(INDEX('Catalog'!$A:$A,MATCH(TRIM(SUBSTITUTE($B4323,CHAR(160)," ")),'Catalog'!$C:$C,0)),""))))</f>
        <v>4413137</v>
      </c>
      <c r="H4323" s="8" t="str">
        <f aca="false">IFERROR(INDEX('TRANS'!$C:$C,MATCH($B4323,'TRANS'!$A:$A,0)),IFERROR(INDEX('Catalog'!$B:$B,MATCH($G4323,'Catalog'!$A:$A,0)),$B4323))</f>
        <v>85 S (מתלה ליד )כיס</v>
      </c>
      <c r="I4323" s="8" t="str">
        <f aca="false">IF($G4323="","Unmatched","Matched")</f>
        <v>Matched</v>
      </c>
      <c r="J4323" s="8" t="n">
        <f aca="false">IF($G4323&lt;&gt;"",$G4323,$B4323)</f>
        <v>4413137</v>
      </c>
      <c r="K4323" s="8" t="str">
        <f aca="false">IF(COUNTIF($M$1:$M$10,$A4323)&gt;0,"Y","N")</f>
        <v>N</v>
      </c>
    </row>
    <row r="4324" customFormat="false" ht="15" hidden="false" customHeight="true" outlineLevel="0" collapsed="false">
      <c r="A4324" s="8" t="s">
        <v>1117</v>
      </c>
      <c r="B4324" s="8" t="s">
        <v>710</v>
      </c>
      <c r="C4324" s="19" t="n">
        <v>0</v>
      </c>
      <c r="D4324" s="19" t="n">
        <v>0</v>
      </c>
      <c r="E4324" s="19" t="n">
        <v>13</v>
      </c>
      <c r="F4324" s="19" t="n">
        <v>258.55</v>
      </c>
      <c r="G4324" s="8" t="n">
        <f aca="false">IFERROR(INDEX('TRANS'!$B:$B,MATCH($B4324,'TRANS'!$A:$A,0)),IFERROR(INDEX('TRANS'!$B:$B,MATCH(TRIM(SUBSTITUTE($B4324,CHAR(160)," ")),'TRANS'!$D:$D,0)),IFERROR(INDEX('Catalog'!$A:$A,MATCH($B4324,'Catalog'!$B:$B,0)),IFERROR(INDEX('Catalog'!$A:$A,MATCH(TRIM(SUBSTITUTE($B4324,CHAR(160)," ")),'Catalog'!$C:$C,0)),""))))</f>
        <v>4413138</v>
      </c>
      <c r="H4324" s="8" t="str">
        <f aca="false">IFERROR(INDEX('TRANS'!$C:$C,MATCH($B4324,'TRANS'!$A:$A,0)),IFERROR(INDEX('Catalog'!$B:$B,MATCH($G4324,'Catalog'!$A:$A,0)),$B4324))</f>
        <v>85 XL (מתלה ליד )כיס</v>
      </c>
      <c r="I4324" s="8" t="str">
        <f aca="false">IF($G4324="","Unmatched","Matched")</f>
        <v>Matched</v>
      </c>
      <c r="J4324" s="8" t="n">
        <f aca="false">IF($G4324&lt;&gt;"",$G4324,$B4324)</f>
        <v>4413138</v>
      </c>
      <c r="K4324" s="8" t="str">
        <f aca="false">IF(COUNTIF($M$1:$M$10,$A4324)&gt;0,"Y","N")</f>
        <v>N</v>
      </c>
    </row>
    <row r="4325" customFormat="false" ht="15" hidden="false" customHeight="true" outlineLevel="0" collapsed="false">
      <c r="A4325" s="8" t="s">
        <v>1117</v>
      </c>
      <c r="B4325" s="8" t="s">
        <v>715</v>
      </c>
      <c r="C4325" s="19" t="n">
        <v>10</v>
      </c>
      <c r="D4325" s="19" t="n">
        <v>277.34</v>
      </c>
      <c r="E4325" s="19" t="n">
        <v>0</v>
      </c>
      <c r="F4325" s="19" t="n">
        <v>0</v>
      </c>
      <c r="G4325" s="8" t="n">
        <f aca="false">IFERROR(INDEX('TRANS'!$B:$B,MATCH($B4325,'TRANS'!$A:$A,0)),IFERROR(INDEX('TRANS'!$B:$B,MATCH(TRIM(SUBSTITUTE($B4325,CHAR(160)," ")),'TRANS'!$D:$D,0)),IFERROR(INDEX('Catalog'!$A:$A,MATCH($B4325,'Catalog'!$B:$B,0)),IFERROR(INDEX('Catalog'!$A:$A,MATCH(TRIM(SUBSTITUTE($B4325,CHAR(160)," ")),'Catalog'!$C:$C,0)),""))))</f>
        <v>4413455</v>
      </c>
      <c r="H4325" s="8" t="str">
        <f aca="false">IFERROR(INDEX('TRANS'!$C:$C,MATCH($B4325,'TRANS'!$A:$A,0)),IFERROR(INDEX('Catalog'!$B:$B,MATCH($G4325,'Catalog'!$A:$A,0)),$B4325))</f>
        <v>85K מתלה ליד לילדים</v>
      </c>
      <c r="I4325" s="8" t="str">
        <f aca="false">IF($G4325="","Unmatched","Matched")</f>
        <v>Matched</v>
      </c>
      <c r="J4325" s="8" t="n">
        <f aca="false">IF($G4325&lt;&gt;"",$G4325,$B4325)</f>
        <v>4413455</v>
      </c>
      <c r="K4325" s="8" t="str">
        <f aca="false">IF(COUNTIF($M$1:$M$10,$A4325)&gt;0,"Y","N")</f>
        <v>N</v>
      </c>
    </row>
    <row r="4326" customFormat="false" ht="15" hidden="false" customHeight="true" outlineLevel="0" collapsed="false">
      <c r="A4326" s="8" t="s">
        <v>1117</v>
      </c>
      <c r="B4326" s="8" t="s">
        <v>833</v>
      </c>
      <c r="C4326" s="19" t="n">
        <v>45</v>
      </c>
      <c r="D4326" s="19" t="n">
        <v>2127.83</v>
      </c>
      <c r="E4326" s="19" t="n">
        <v>0</v>
      </c>
      <c r="F4326" s="19" t="n">
        <v>0</v>
      </c>
      <c r="G4326" s="8" t="n">
        <f aca="false">IFERROR(INDEX('TRANS'!$B:$B,MATCH($B4326,'TRANS'!$A:$A,0)),IFERROR(INDEX('TRANS'!$B:$B,MATCH(TRIM(SUBSTITUTE($B4326,CHAR(160)," ")),'TRANS'!$D:$D,0)),IFERROR(INDEX('Catalog'!$A:$A,MATCH($B4326,'Catalog'!$B:$B,0)),IFERROR(INDEX('Catalog'!$A:$A,MATCH(TRIM(SUBSTITUTE($B4326,CHAR(160)," ")),'Catalog'!$C:$C,0)),""))))</f>
        <v>4408266</v>
      </c>
      <c r="H4326" s="8" t="str">
        <f aca="false">IFERROR(INDEX('TRANS'!$C:$C,MATCH($B4326,'TRANS'!$A:$A,0)),IFERROR(INDEX('Catalog'!$B:$B,MATCH($G4326,'Catalog'!$A:$A,0)),$B4326))</f>
        <v>91B חבק טניס אלבו</v>
      </c>
      <c r="I4326" s="8" t="str">
        <f aca="false">IF($G4326="","Unmatched","Matched")</f>
        <v>Matched</v>
      </c>
      <c r="J4326" s="8" t="n">
        <f aca="false">IF($G4326&lt;&gt;"",$G4326,$B4326)</f>
        <v>4408266</v>
      </c>
      <c r="K4326" s="8" t="str">
        <f aca="false">IF(COUNTIF($M$1:$M$10,$A4326)&gt;0,"Y","N")</f>
        <v>N</v>
      </c>
    </row>
    <row r="4327" customFormat="false" ht="15" hidden="false" customHeight="true" outlineLevel="0" collapsed="false">
      <c r="A4327" s="8" t="s">
        <v>1117</v>
      </c>
      <c r="B4327" s="8" t="s">
        <v>282</v>
      </c>
      <c r="C4327" s="19" t="n">
        <v>3</v>
      </c>
      <c r="D4327" s="19" t="n">
        <v>213.92</v>
      </c>
      <c r="E4327" s="19" t="n">
        <v>0</v>
      </c>
      <c r="F4327" s="19" t="n">
        <v>0</v>
      </c>
      <c r="G4327" s="8" t="str">
        <f aca="false">IFERROR(INDEX('TRANS'!$B:$B,MATCH($B4327,'TRANS'!$A:$A,0)),IFERROR(INDEX('TRANS'!$B:$B,MATCH(TRIM(SUBSTITUTE($B4327,CHAR(160)," ")),'TRANS'!$D:$D,0)),IFERROR(INDEX('Catalog'!$A:$A,MATCH($B4327,'Catalog'!$B:$B,0)),IFERROR(INDEX('Catalog'!$A:$A,MATCH(TRIM(SUBSTITUTE($B4327,CHAR(160)," ")),'Catalog'!$C:$C,0)),""))))</f>
        <v/>
      </c>
      <c r="H4327" s="8" t="str">
        <f aca="false">IFERROR(INDEX('TRANS'!$C:$C,MATCH($B4327,'TRANS'!$A:$A,0)),IFERROR(INDEX('Catalog'!$B:$B,MATCH($G4327,'Catalog'!$A:$A,0)),$B4327))</f>
        <v>922 S</v>
      </c>
      <c r="I4327" s="8" t="str">
        <f aca="false">IF($G4327="","Unmatched","Matched")</f>
        <v>Unmatched</v>
      </c>
      <c r="J4327" s="8" t="str">
        <f aca="false">IF($G4327&lt;&gt;"",$G4327,$B4327)</f>
        <v>922 S</v>
      </c>
      <c r="K4327" s="8" t="str">
        <f aca="false">IF(COUNTIF($M$1:$M$10,$A4327)&gt;0,"Y","N")</f>
        <v>N</v>
      </c>
    </row>
    <row r="4328" customFormat="false" ht="15" hidden="false" customHeight="true" outlineLevel="0" collapsed="false">
      <c r="A4328" s="8" t="s">
        <v>1117</v>
      </c>
      <c r="B4328" s="8" t="s">
        <v>221</v>
      </c>
      <c r="C4328" s="19" t="n">
        <v>1</v>
      </c>
      <c r="D4328" s="19" t="n">
        <v>71.31</v>
      </c>
      <c r="E4328" s="19" t="n">
        <v>0</v>
      </c>
      <c r="F4328" s="19" t="n">
        <v>0</v>
      </c>
      <c r="G4328" s="8" t="str">
        <f aca="false">IFERROR(INDEX('TRANS'!$B:$B,MATCH($B4328,'TRANS'!$A:$A,0)),IFERROR(INDEX('TRANS'!$B:$B,MATCH(TRIM(SUBSTITUTE($B4328,CHAR(160)," ")),'TRANS'!$D:$D,0)),IFERROR(INDEX('Catalog'!$A:$A,MATCH($B4328,'Catalog'!$B:$B,0)),IFERROR(INDEX('Catalog'!$A:$A,MATCH(TRIM(SUBSTITUTE($B4328,CHAR(160)," ")),'Catalog'!$C:$C,0)),""))))</f>
        <v/>
      </c>
      <c r="H4328" s="8" t="str">
        <f aca="false">IFERROR(INDEX('TRANS'!$C:$C,MATCH($B4328,'TRANS'!$A:$A,0)),IFERROR(INDEX('Catalog'!$B:$B,MATCH($G4328,'Catalog'!$A:$A,0)),$B4328))</f>
        <v>922 XXL</v>
      </c>
      <c r="I4328" s="8" t="str">
        <f aca="false">IF($G4328="","Unmatched","Matched")</f>
        <v>Unmatched</v>
      </c>
      <c r="J4328" s="8" t="str">
        <f aca="false">IF($G4328&lt;&gt;"",$G4328,$B4328)</f>
        <v>922 XXL</v>
      </c>
      <c r="K4328" s="8" t="str">
        <f aca="false">IF(COUNTIF($M$1:$M$10,$A4328)&gt;0,"Y","N")</f>
        <v>N</v>
      </c>
    </row>
    <row r="4329" customFormat="false" ht="15" hidden="false" customHeight="true" outlineLevel="0" collapsed="false">
      <c r="A4329" s="8" t="s">
        <v>1117</v>
      </c>
      <c r="B4329" s="8" t="s">
        <v>836</v>
      </c>
      <c r="C4329" s="19" t="n">
        <v>6</v>
      </c>
      <c r="D4329" s="19" t="n">
        <v>67.25</v>
      </c>
      <c r="E4329" s="19" t="n">
        <v>0</v>
      </c>
      <c r="F4329" s="19" t="n">
        <v>0</v>
      </c>
      <c r="G4329" s="8" t="n">
        <f aca="false">IFERROR(INDEX('TRANS'!$B:$B,MATCH($B4329,'TRANS'!$A:$A,0)),IFERROR(INDEX('TRANS'!$B:$B,MATCH(TRIM(SUBSTITUTE($B4329,CHAR(160)," ")),'TRANS'!$D:$D,0)),IFERROR(INDEX('Catalog'!$A:$A,MATCH($B4329,'Catalog'!$B:$B,0)),IFERROR(INDEX('Catalog'!$A:$A,MATCH(TRIM(SUBSTITUTE($B4329,CHAR(160)," ")),'Catalog'!$C:$C,0)),""))))</f>
        <v>4413139</v>
      </c>
      <c r="H4329" s="8" t="str">
        <f aca="false">IFERROR(INDEX('TRANS'!$C:$C,MATCH($B4329,'TRANS'!$A:$A,0)),IFERROR(INDEX('Catalog'!$B:$B,MATCH($G4329,'Catalog'!$A:$A,0)),$B4329))</f>
        <v>95 L מגן מרפק רגיל לבן</v>
      </c>
      <c r="I4329" s="8" t="str">
        <f aca="false">IF($G4329="","Unmatched","Matched")</f>
        <v>Matched</v>
      </c>
      <c r="J4329" s="8" t="n">
        <f aca="false">IF($G4329&lt;&gt;"",$G4329,$B4329)</f>
        <v>4413139</v>
      </c>
      <c r="K4329" s="8" t="str">
        <f aca="false">IF(COUNTIF($M$1:$M$10,$A4329)&gt;0,"Y","N")</f>
        <v>N</v>
      </c>
    </row>
    <row r="4330" customFormat="false" ht="15" hidden="false" customHeight="true" outlineLevel="0" collapsed="false">
      <c r="A4330" s="8" t="s">
        <v>1117</v>
      </c>
      <c r="B4330" s="8" t="s">
        <v>716</v>
      </c>
      <c r="C4330" s="19" t="n">
        <v>13</v>
      </c>
      <c r="D4330" s="19" t="n">
        <v>151.92</v>
      </c>
      <c r="E4330" s="19" t="n">
        <v>0</v>
      </c>
      <c r="F4330" s="19" t="n">
        <v>0</v>
      </c>
      <c r="G4330" s="8" t="n">
        <f aca="false">IFERROR(INDEX('TRANS'!$B:$B,MATCH($B4330,'TRANS'!$A:$A,0)),IFERROR(INDEX('TRANS'!$B:$B,MATCH(TRIM(SUBSTITUTE($B4330,CHAR(160)," ")),'TRANS'!$D:$D,0)),IFERROR(INDEX('Catalog'!$A:$A,MATCH($B4330,'Catalog'!$B:$B,0)),IFERROR(INDEX('Catalog'!$A:$A,MATCH(TRIM(SUBSTITUTE($B4330,CHAR(160)," ")),'Catalog'!$C:$C,0)),""))))</f>
        <v>4413140</v>
      </c>
      <c r="H4330" s="8" t="str">
        <f aca="false">IFERROR(INDEX('TRANS'!$C:$C,MATCH($B4330,'TRANS'!$A:$A,0)),IFERROR(INDEX('Catalog'!$B:$B,MATCH($G4330,'Catalog'!$A:$A,0)),$B4330))</f>
        <v>95 M מגן מרפק רגיל לבן</v>
      </c>
      <c r="I4330" s="8" t="str">
        <f aca="false">IF($G4330="","Unmatched","Matched")</f>
        <v>Matched</v>
      </c>
      <c r="J4330" s="8" t="n">
        <f aca="false">IF($G4330&lt;&gt;"",$G4330,$B4330)</f>
        <v>4413140</v>
      </c>
      <c r="K4330" s="8" t="str">
        <f aca="false">IF(COUNTIF($M$1:$M$10,$A4330)&gt;0,"Y","N")</f>
        <v>N</v>
      </c>
    </row>
    <row r="4331" customFormat="false" ht="15" hidden="false" customHeight="true" outlineLevel="0" collapsed="false">
      <c r="A4331" s="8" t="s">
        <v>1117</v>
      </c>
      <c r="B4331" s="8" t="s">
        <v>837</v>
      </c>
      <c r="C4331" s="19" t="n">
        <v>3</v>
      </c>
      <c r="D4331" s="19" t="n">
        <v>34.47</v>
      </c>
      <c r="E4331" s="19" t="n">
        <v>0</v>
      </c>
      <c r="F4331" s="19" t="n">
        <v>0</v>
      </c>
      <c r="G4331" s="8" t="n">
        <f aca="false">IFERROR(INDEX('TRANS'!$B:$B,MATCH($B4331,'TRANS'!$A:$A,0)),IFERROR(INDEX('TRANS'!$B:$B,MATCH(TRIM(SUBSTITUTE($B4331,CHAR(160)," ")),'TRANS'!$D:$D,0)),IFERROR(INDEX('Catalog'!$A:$A,MATCH($B4331,'Catalog'!$B:$B,0)),IFERROR(INDEX('Catalog'!$A:$A,MATCH(TRIM(SUBSTITUTE($B4331,CHAR(160)," ")),'Catalog'!$C:$C,0)),""))))</f>
        <v>4413141</v>
      </c>
      <c r="H4331" s="8" t="str">
        <f aca="false">IFERROR(INDEX('TRANS'!$C:$C,MATCH($B4331,'TRANS'!$A:$A,0)),IFERROR(INDEX('Catalog'!$B:$B,MATCH($G4331,'Catalog'!$A:$A,0)),$B4331))</f>
        <v>95 S מגן מרפק רגיל לבן</v>
      </c>
      <c r="I4331" s="8" t="str">
        <f aca="false">IF($G4331="","Unmatched","Matched")</f>
        <v>Matched</v>
      </c>
      <c r="J4331" s="8" t="n">
        <f aca="false">IF($G4331&lt;&gt;"",$G4331,$B4331)</f>
        <v>4413141</v>
      </c>
      <c r="K4331" s="8" t="str">
        <f aca="false">IF(COUNTIF($M$1:$M$10,$A4331)&gt;0,"Y","N")</f>
        <v>N</v>
      </c>
    </row>
    <row r="4332" customFormat="false" ht="15" hidden="false" customHeight="true" outlineLevel="0" collapsed="false">
      <c r="A4332" s="8" t="s">
        <v>1117</v>
      </c>
      <c r="B4332" s="8" t="s">
        <v>997</v>
      </c>
      <c r="C4332" s="19" t="n">
        <v>6</v>
      </c>
      <c r="D4332" s="19" t="n">
        <v>67.25</v>
      </c>
      <c r="E4332" s="19" t="n">
        <v>0</v>
      </c>
      <c r="F4332" s="19" t="n">
        <v>0</v>
      </c>
      <c r="G4332" s="8" t="n">
        <f aca="false">IFERROR(INDEX('TRANS'!$B:$B,MATCH($B4332,'TRANS'!$A:$A,0)),IFERROR(INDEX('TRANS'!$B:$B,MATCH(TRIM(SUBSTITUTE($B4332,CHAR(160)," ")),'TRANS'!$D:$D,0)),IFERROR(INDEX('Catalog'!$A:$A,MATCH($B4332,'Catalog'!$B:$B,0)),IFERROR(INDEX('Catalog'!$A:$A,MATCH(TRIM(SUBSTITUTE($B4332,CHAR(160)," ")),'Catalog'!$C:$C,0)),""))))</f>
        <v>4413144</v>
      </c>
      <c r="H4332" s="8" t="str">
        <f aca="false">IFERROR(INDEX('TRANS'!$C:$C,MATCH($B4332,'TRANS'!$A:$A,0)),IFERROR(INDEX('Catalog'!$B:$B,MATCH($G4332,'Catalog'!$A:$A,0)),$B4332))</f>
        <v>95 XXL מגן מרפק רגיל לבן</v>
      </c>
      <c r="I4332" s="8" t="str">
        <f aca="false">IF($G4332="","Unmatched","Matched")</f>
        <v>Matched</v>
      </c>
      <c r="J4332" s="8" t="n">
        <f aca="false">IF($G4332&lt;&gt;"",$G4332,$B4332)</f>
        <v>4413144</v>
      </c>
      <c r="K4332" s="8" t="str">
        <f aca="false">IF(COUNTIF($M$1:$M$10,$A4332)&gt;0,"Y","N")</f>
        <v>N</v>
      </c>
    </row>
    <row r="4333" customFormat="false" ht="15" hidden="false" customHeight="true" outlineLevel="0" collapsed="false">
      <c r="A4333" s="8" t="s">
        <v>1117</v>
      </c>
      <c r="B4333" s="8" t="s">
        <v>717</v>
      </c>
      <c r="C4333" s="19" t="n">
        <v>10</v>
      </c>
      <c r="D4333" s="19" t="n">
        <v>117.78</v>
      </c>
      <c r="E4333" s="19" t="n">
        <v>10</v>
      </c>
      <c r="F4333" s="19" t="n">
        <v>106.1</v>
      </c>
      <c r="G4333" s="8" t="n">
        <f aca="false">IFERROR(INDEX('TRANS'!$B:$B,MATCH($B4333,'TRANS'!$A:$A,0)),IFERROR(INDEX('TRANS'!$B:$B,MATCH(TRIM(SUBSTITUTE($B4333,CHAR(160)," ")),'TRANS'!$D:$D,0)),IFERROR(INDEX('Catalog'!$A:$A,MATCH($B4333,'Catalog'!$B:$B,0)),IFERROR(INDEX('Catalog'!$A:$A,MATCH(TRIM(SUBSTITUTE($B4333,CHAR(160)," ")),'Catalog'!$C:$C,0)),""))))</f>
        <v>4413500</v>
      </c>
      <c r="H4333" s="8" t="str">
        <f aca="false">IFERROR(INDEX('TRANS'!$C:$C,MATCH($B4333,'TRANS'!$A:$A,0)),IFERROR(INDEX('Catalog'!$B:$B,MATCH($G4333,'Catalog'!$A:$A,0)),$B4333))</f>
        <v>95B L מגן מרפק שחור</v>
      </c>
      <c r="I4333" s="8" t="str">
        <f aca="false">IF($G4333="","Unmatched","Matched")</f>
        <v>Matched</v>
      </c>
      <c r="J4333" s="8" t="n">
        <f aca="false">IF($G4333&lt;&gt;"",$G4333,$B4333)</f>
        <v>4413500</v>
      </c>
      <c r="K4333" s="8" t="str">
        <f aca="false">IF(COUNTIF($M$1:$M$10,$A4333)&gt;0,"Y","N")</f>
        <v>N</v>
      </c>
    </row>
    <row r="4334" customFormat="false" ht="15" hidden="false" customHeight="true" outlineLevel="0" collapsed="false">
      <c r="A4334" s="8" t="s">
        <v>1117</v>
      </c>
      <c r="B4334" s="8" t="s">
        <v>718</v>
      </c>
      <c r="C4334" s="19" t="n">
        <v>32</v>
      </c>
      <c r="D4334" s="19" t="n">
        <v>394.11</v>
      </c>
      <c r="E4334" s="19" t="n">
        <v>20</v>
      </c>
      <c r="F4334" s="19" t="n">
        <v>220</v>
      </c>
      <c r="G4334" s="8" t="n">
        <f aca="false">IFERROR(INDEX('TRANS'!$B:$B,MATCH($B4334,'TRANS'!$A:$A,0)),IFERROR(INDEX('TRANS'!$B:$B,MATCH(TRIM(SUBSTITUTE($B4334,CHAR(160)," ")),'TRANS'!$D:$D,0)),IFERROR(INDEX('Catalog'!$A:$A,MATCH($B4334,'Catalog'!$B:$B,0)),IFERROR(INDEX('Catalog'!$A:$A,MATCH(TRIM(SUBSTITUTE($B4334,CHAR(160)," ")),'Catalog'!$C:$C,0)),""))))</f>
        <v>4413501</v>
      </c>
      <c r="H4334" s="8" t="str">
        <f aca="false">IFERROR(INDEX('TRANS'!$C:$C,MATCH($B4334,'TRANS'!$A:$A,0)),IFERROR(INDEX('Catalog'!$B:$B,MATCH($G4334,'Catalog'!$A:$A,0)),$B4334))</f>
        <v>95B M מגן מרפק שחור</v>
      </c>
      <c r="I4334" s="8" t="str">
        <f aca="false">IF($G4334="","Unmatched","Matched")</f>
        <v>Matched</v>
      </c>
      <c r="J4334" s="8" t="n">
        <f aca="false">IF($G4334&lt;&gt;"",$G4334,$B4334)</f>
        <v>4413501</v>
      </c>
      <c r="K4334" s="8" t="str">
        <f aca="false">IF(COUNTIF($M$1:$M$10,$A4334)&gt;0,"Y","N")</f>
        <v>N</v>
      </c>
    </row>
    <row r="4335" customFormat="false" ht="15" hidden="false" customHeight="true" outlineLevel="0" collapsed="false">
      <c r="A4335" s="8" t="s">
        <v>1117</v>
      </c>
      <c r="B4335" s="8" t="s">
        <v>719</v>
      </c>
      <c r="C4335" s="19" t="n">
        <v>10</v>
      </c>
      <c r="D4335" s="19" t="n">
        <v>117.78</v>
      </c>
      <c r="E4335" s="19" t="n">
        <v>0</v>
      </c>
      <c r="F4335" s="19" t="n">
        <v>0</v>
      </c>
      <c r="G4335" s="8" t="n">
        <f aca="false">IFERROR(INDEX('TRANS'!$B:$B,MATCH($B4335,'TRANS'!$A:$A,0)),IFERROR(INDEX('TRANS'!$B:$B,MATCH(TRIM(SUBSTITUTE($B4335,CHAR(160)," ")),'TRANS'!$D:$D,0)),IFERROR(INDEX('Catalog'!$A:$A,MATCH($B4335,'Catalog'!$B:$B,0)),IFERROR(INDEX('Catalog'!$A:$A,MATCH(TRIM(SUBSTITUTE($B4335,CHAR(160)," ")),'Catalog'!$C:$C,0)),""))))</f>
        <v>4413502</v>
      </c>
      <c r="H4335" s="8" t="str">
        <f aca="false">IFERROR(INDEX('TRANS'!$C:$C,MATCH($B4335,'TRANS'!$A:$A,0)),IFERROR(INDEX('Catalog'!$B:$B,MATCH($G4335,'Catalog'!$A:$A,0)),$B4335))</f>
        <v>95B S מגן מרפק שחור</v>
      </c>
      <c r="I4335" s="8" t="str">
        <f aca="false">IF($G4335="","Unmatched","Matched")</f>
        <v>Matched</v>
      </c>
      <c r="J4335" s="8" t="n">
        <f aca="false">IF($G4335&lt;&gt;"",$G4335,$B4335)</f>
        <v>4413502</v>
      </c>
      <c r="K4335" s="8" t="str">
        <f aca="false">IF(COUNTIF($M$1:$M$10,$A4335)&gt;0,"Y","N")</f>
        <v>N</v>
      </c>
    </row>
    <row r="4336" customFormat="false" ht="15" hidden="false" customHeight="true" outlineLevel="0" collapsed="false">
      <c r="A4336" s="8" t="s">
        <v>1117</v>
      </c>
      <c r="B4336" s="8" t="s">
        <v>720</v>
      </c>
      <c r="C4336" s="19" t="n">
        <v>0</v>
      </c>
      <c r="D4336" s="19" t="n">
        <v>0</v>
      </c>
      <c r="E4336" s="19" t="n">
        <v>3</v>
      </c>
      <c r="F4336" s="19" t="n">
        <v>34.17</v>
      </c>
      <c r="G4336" s="8" t="n">
        <f aca="false">IFERROR(INDEX('TRANS'!$B:$B,MATCH($B4336,'TRANS'!$A:$A,0)),IFERROR(INDEX('TRANS'!$B:$B,MATCH(TRIM(SUBSTITUTE($B4336,CHAR(160)," ")),'TRANS'!$D:$D,0)),IFERROR(INDEX('Catalog'!$A:$A,MATCH($B4336,'Catalog'!$B:$B,0)),IFERROR(INDEX('Catalog'!$A:$A,MATCH(TRIM(SUBSTITUTE($B4336,CHAR(160)," ")),'Catalog'!$C:$C,0)),""))))</f>
        <v>4413503</v>
      </c>
      <c r="H4336" s="8" t="str">
        <f aca="false">IFERROR(INDEX('TRANS'!$C:$C,MATCH($B4336,'TRANS'!$A:$A,0)),IFERROR(INDEX('Catalog'!$B:$B,MATCH($G4336,'Catalog'!$A:$A,0)),$B4336))</f>
        <v>95B XL מגן מרפק שחור</v>
      </c>
      <c r="I4336" s="8" t="str">
        <f aca="false">IF($G4336="","Unmatched","Matched")</f>
        <v>Matched</v>
      </c>
      <c r="J4336" s="8" t="n">
        <f aca="false">IF($G4336&lt;&gt;"",$G4336,$B4336)</f>
        <v>4413503</v>
      </c>
      <c r="K4336" s="8" t="str">
        <f aca="false">IF(COUNTIF($M$1:$M$10,$A4336)&gt;0,"Y","N")</f>
        <v>N</v>
      </c>
    </row>
    <row r="4337" customFormat="false" ht="15" hidden="false" customHeight="true" outlineLevel="0" collapsed="false">
      <c r="A4337" s="8" t="s">
        <v>1117</v>
      </c>
      <c r="B4337" s="8" t="s">
        <v>722</v>
      </c>
      <c r="C4337" s="19" t="n">
        <v>6</v>
      </c>
      <c r="D4337" s="19" t="n">
        <v>70.11</v>
      </c>
      <c r="E4337" s="19" t="n">
        <v>0</v>
      </c>
      <c r="F4337" s="19" t="n">
        <v>0</v>
      </c>
      <c r="G4337" s="8" t="n">
        <f aca="false">IFERROR(INDEX('TRANS'!$B:$B,MATCH($B4337,'TRANS'!$A:$A,0)),IFERROR(INDEX('TRANS'!$B:$B,MATCH(TRIM(SUBSTITUTE($B4337,CHAR(160)," ")),'TRANS'!$D:$D,0)),IFERROR(INDEX('Catalog'!$A:$A,MATCH($B4337,'Catalog'!$B:$B,0)),IFERROR(INDEX('Catalog'!$A:$A,MATCH(TRIM(SUBSTITUTE($B4337,CHAR(160)," ")),'Catalog'!$C:$C,0)),""))))</f>
        <v>4413364</v>
      </c>
      <c r="H4337" s="8" t="str">
        <f aca="false">IFERROR(INDEX('TRANS'!$C:$C,MATCH($B4337,'TRANS'!$A:$A,0)),IFERROR(INDEX('Catalog'!$B:$B,MATCH($G4337,'Catalog'!$A:$A,0)),$B4337))</f>
        <v>95C M 'מגן מרפק בז</v>
      </c>
      <c r="I4337" s="8" t="str">
        <f aca="false">IF($G4337="","Unmatched","Matched")</f>
        <v>Matched</v>
      </c>
      <c r="J4337" s="8" t="n">
        <f aca="false">IF($G4337&lt;&gt;"",$G4337,$B4337)</f>
        <v>4413364</v>
      </c>
      <c r="K4337" s="8" t="str">
        <f aca="false">IF(COUNTIF($M$1:$M$10,$A4337)&gt;0,"Y","N")</f>
        <v>N</v>
      </c>
    </row>
    <row r="4338" customFormat="false" ht="15" hidden="false" customHeight="true" outlineLevel="0" collapsed="false">
      <c r="A4338" s="8" t="s">
        <v>1117</v>
      </c>
      <c r="B4338" s="8" t="s">
        <v>839</v>
      </c>
      <c r="C4338" s="19" t="n">
        <v>3</v>
      </c>
      <c r="D4338" s="19" t="n">
        <v>35.06</v>
      </c>
      <c r="E4338" s="19" t="n">
        <v>6</v>
      </c>
      <c r="F4338" s="19" t="n">
        <v>61.61</v>
      </c>
      <c r="G4338" s="8" t="n">
        <f aca="false">IFERROR(INDEX('TRANS'!$B:$B,MATCH($B4338,'TRANS'!$A:$A,0)),IFERROR(INDEX('TRANS'!$B:$B,MATCH(TRIM(SUBSTITUTE($B4338,CHAR(160)," ")),'TRANS'!$D:$D,0)),IFERROR(INDEX('Catalog'!$A:$A,MATCH($B4338,'Catalog'!$B:$B,0)),IFERROR(INDEX('Catalog'!$A:$A,MATCH(TRIM(SUBSTITUTE($B4338,CHAR(160)," ")),'Catalog'!$C:$C,0)),""))))</f>
        <v>4413366</v>
      </c>
      <c r="H4338" s="8" t="str">
        <f aca="false">IFERROR(INDEX('TRANS'!$C:$C,MATCH($B4338,'TRANS'!$A:$A,0)),IFERROR(INDEX('Catalog'!$B:$B,MATCH($G4338,'Catalog'!$A:$A,0)),$B4338))</f>
        <v>95C S 'מגן מרפק בז</v>
      </c>
      <c r="I4338" s="8" t="str">
        <f aca="false">IF($G4338="","Unmatched","Matched")</f>
        <v>Matched</v>
      </c>
      <c r="J4338" s="8" t="n">
        <f aca="false">IF($G4338&lt;&gt;"",$G4338,$B4338)</f>
        <v>4413366</v>
      </c>
      <c r="K4338" s="8" t="str">
        <f aca="false">IF(COUNTIF($M$1:$M$10,$A4338)&gt;0,"Y","N")</f>
        <v>N</v>
      </c>
    </row>
    <row r="4339" customFormat="false" ht="15" hidden="false" customHeight="true" outlineLevel="0" collapsed="false">
      <c r="A4339" s="8" t="s">
        <v>1117</v>
      </c>
      <c r="B4339" s="8" t="s">
        <v>723</v>
      </c>
      <c r="C4339" s="19" t="n">
        <v>10</v>
      </c>
      <c r="D4339" s="19" t="n">
        <v>438.21</v>
      </c>
      <c r="E4339" s="19" t="n">
        <v>22</v>
      </c>
      <c r="F4339" s="19" t="n">
        <v>881.05</v>
      </c>
      <c r="G4339" s="8" t="n">
        <f aca="false">IFERROR(INDEX('TRANS'!$B:$B,MATCH($B4339,'TRANS'!$A:$A,0)),IFERROR(INDEX('TRANS'!$B:$B,MATCH(TRIM(SUBSTITUTE($B4339,CHAR(160)," ")),'TRANS'!$D:$D,0)),IFERROR(INDEX('Catalog'!$A:$A,MATCH($B4339,'Catalog'!$B:$B,0)),IFERROR(INDEX('Catalog'!$A:$A,MATCH(TRIM(SUBSTITUTE($B4339,CHAR(160)," ")),'Catalog'!$C:$C,0)),""))))</f>
        <v>4408205</v>
      </c>
      <c r="H4339" s="8" t="str">
        <f aca="false">IFERROR(INDEX('TRANS'!$C:$C,MATCH($B4339,'TRANS'!$A:$A,0)),IFERROR(INDEX('Catalog'!$B:$B,MATCH($G4339,'Catalog'!$A:$A,0)),$B4339))</f>
        <v>AC-07 חגורת גב עם תמיכות</v>
      </c>
      <c r="I4339" s="8" t="str">
        <f aca="false">IF($G4339="","Unmatched","Matched")</f>
        <v>Matched</v>
      </c>
      <c r="J4339" s="8" t="n">
        <f aca="false">IF($G4339&lt;&gt;"",$G4339,$B4339)</f>
        <v>4408205</v>
      </c>
      <c r="K4339" s="8" t="str">
        <f aca="false">IF(COUNTIF($M$1:$M$10,$A4339)&gt;0,"Y","N")</f>
        <v>N</v>
      </c>
    </row>
    <row r="4340" customFormat="false" ht="15" hidden="false" customHeight="true" outlineLevel="0" collapsed="false">
      <c r="A4340" s="8" t="s">
        <v>1117</v>
      </c>
      <c r="B4340" s="8" t="s">
        <v>724</v>
      </c>
      <c r="C4340" s="19" t="n">
        <v>6</v>
      </c>
      <c r="D4340" s="19" t="n">
        <v>245.91</v>
      </c>
      <c r="E4340" s="19" t="n">
        <v>50</v>
      </c>
      <c r="F4340" s="19" t="n">
        <v>1726.36</v>
      </c>
      <c r="G4340" s="8" t="n">
        <f aca="false">IFERROR(INDEX('TRANS'!$B:$B,MATCH($B4340,'TRANS'!$A:$A,0)),IFERROR(INDEX('TRANS'!$B:$B,MATCH(TRIM(SUBSTITUTE($B4340,CHAR(160)," ")),'TRANS'!$D:$D,0)),IFERROR(INDEX('Catalog'!$A:$A,MATCH($B4340,'Catalog'!$B:$B,0)),IFERROR(INDEX('Catalog'!$A:$A,MATCH(TRIM(SUBSTITUTE($B4340,CHAR(160)," ")),'Catalog'!$C:$C,0)),""))))</f>
        <v>4408206</v>
      </c>
      <c r="H4340" s="8" t="str">
        <f aca="false">IFERROR(INDEX('TRANS'!$C:$C,MATCH($B4340,'TRANS'!$A:$A,0)),IFERROR(INDEX('Catalog'!$B:$B,MATCH($G4340,'Catalog'!$A:$A,0)),$B4340))</f>
        <v>AC-11 חגורת בטן קלה</v>
      </c>
      <c r="I4340" s="8" t="str">
        <f aca="false">IF($G4340="","Unmatched","Matched")</f>
        <v>Matched</v>
      </c>
      <c r="J4340" s="8" t="n">
        <f aca="false">IF($G4340&lt;&gt;"",$G4340,$B4340)</f>
        <v>4408206</v>
      </c>
      <c r="K4340" s="8" t="str">
        <f aca="false">IF(COUNTIF($M$1:$M$10,$A4340)&gt;0,"Y","N")</f>
        <v>N</v>
      </c>
    </row>
    <row r="4341" customFormat="false" ht="15" hidden="false" customHeight="true" outlineLevel="0" collapsed="false">
      <c r="A4341" s="8" t="s">
        <v>1117</v>
      </c>
      <c r="B4341" s="8" t="s">
        <v>725</v>
      </c>
      <c r="C4341" s="19" t="n">
        <v>0</v>
      </c>
      <c r="D4341" s="19" t="n">
        <v>0</v>
      </c>
      <c r="E4341" s="19" t="n">
        <v>30</v>
      </c>
      <c r="F4341" s="19" t="n">
        <v>457.77</v>
      </c>
      <c r="G4341" s="8" t="n">
        <f aca="false">IFERROR(INDEX('TRANS'!$B:$B,MATCH($B4341,'TRANS'!$A:$A,0)),IFERROR(INDEX('TRANS'!$B:$B,MATCH(TRIM(SUBSTITUTE($B4341,CHAR(160)," ")),'TRANS'!$D:$D,0)),IFERROR(INDEX('Catalog'!$A:$A,MATCH($B4341,'Catalog'!$B:$B,0)),IFERROR(INDEX('Catalog'!$A:$A,MATCH(TRIM(SUBSTITUTE($B4341,CHAR(160)," ")),'Catalog'!$C:$C,0)),""))))</f>
        <v>4408207</v>
      </c>
      <c r="H4341" s="8" t="str">
        <f aca="false">IFERROR(INDEX('TRANS'!$C:$C,MATCH($B4341,'TRANS'!$A:$A,0)),IFERROR(INDEX('Catalog'!$B:$B,MATCH($G4341,'Catalog'!$A:$A,0)),$B4341))</f>
        <v>AC-25 חבק לשורש כף היד</v>
      </c>
      <c r="I4341" s="8" t="str">
        <f aca="false">IF($G4341="","Unmatched","Matched")</f>
        <v>Matched</v>
      </c>
      <c r="J4341" s="8" t="n">
        <f aca="false">IF($G4341&lt;&gt;"",$G4341,$B4341)</f>
        <v>4408207</v>
      </c>
      <c r="K4341" s="8" t="str">
        <f aca="false">IF(COUNTIF($M$1:$M$10,$A4341)&gt;0,"Y","N")</f>
        <v>N</v>
      </c>
    </row>
    <row r="4342" customFormat="false" ht="15" hidden="false" customHeight="true" outlineLevel="0" collapsed="false">
      <c r="A4342" s="8" t="s">
        <v>1117</v>
      </c>
      <c r="B4342" s="8" t="s">
        <v>726</v>
      </c>
      <c r="C4342" s="19" t="n">
        <v>0</v>
      </c>
      <c r="D4342" s="19" t="n">
        <v>0</v>
      </c>
      <c r="E4342" s="19" t="n">
        <v>20</v>
      </c>
      <c r="F4342" s="19" t="n">
        <v>349.1</v>
      </c>
      <c r="G4342" s="8" t="n">
        <f aca="false">IFERROR(INDEX('TRANS'!$B:$B,MATCH($B4342,'TRANS'!$A:$A,0)),IFERROR(INDEX('TRANS'!$B:$B,MATCH(TRIM(SUBSTITUTE($B4342,CHAR(160)," ")),'TRANS'!$D:$D,0)),IFERROR(INDEX('Catalog'!$A:$A,MATCH($B4342,'Catalog'!$B:$B,0)),IFERROR(INDEX('Catalog'!$A:$A,MATCH(TRIM(SUBSTITUTE($B4342,CHAR(160)," ")),'Catalog'!$C:$C,0)),""))))</f>
        <v>4415026</v>
      </c>
      <c r="H4342" s="8" t="str">
        <f aca="false">IFERROR(INDEX('TRANS'!$C:$C,MATCH($B4342,'TRANS'!$A:$A,0)),IFERROR(INDEX('Catalog'!$B:$B,MATCH($G4342,'Catalog'!$A:$A,0)),$B4342))</f>
        <v>AC-27L סד לש.כף יד שמאל</v>
      </c>
      <c r="I4342" s="8" t="str">
        <f aca="false">IF($G4342="","Unmatched","Matched")</f>
        <v>Matched</v>
      </c>
      <c r="J4342" s="8" t="n">
        <f aca="false">IF($G4342&lt;&gt;"",$G4342,$B4342)</f>
        <v>4415026</v>
      </c>
      <c r="K4342" s="8" t="str">
        <f aca="false">IF(COUNTIF($M$1:$M$10,$A4342)&gt;0,"Y","N")</f>
        <v>N</v>
      </c>
    </row>
    <row r="4343" customFormat="false" ht="15" hidden="false" customHeight="true" outlineLevel="0" collapsed="false">
      <c r="A4343" s="8" t="s">
        <v>1117</v>
      </c>
      <c r="B4343" s="8" t="s">
        <v>727</v>
      </c>
      <c r="C4343" s="19" t="n">
        <v>0</v>
      </c>
      <c r="D4343" s="19" t="n">
        <v>0</v>
      </c>
      <c r="E4343" s="19" t="n">
        <v>10</v>
      </c>
      <c r="F4343" s="19" t="n">
        <v>174.55</v>
      </c>
      <c r="G4343" s="8" t="n">
        <f aca="false">IFERROR(INDEX('TRANS'!$B:$B,MATCH($B4343,'TRANS'!$A:$A,0)),IFERROR(INDEX('TRANS'!$B:$B,MATCH(TRIM(SUBSTITUTE($B4343,CHAR(160)," ")),'TRANS'!$D:$D,0)),IFERROR(INDEX('Catalog'!$A:$A,MATCH($B4343,'Catalog'!$B:$B,0)),IFERROR(INDEX('Catalog'!$A:$A,MATCH(TRIM(SUBSTITUTE($B4343,CHAR(160)," ")),'Catalog'!$C:$C,0)),""))))</f>
        <v>4415027</v>
      </c>
      <c r="H4343" s="8" t="str">
        <f aca="false">IFERROR(INDEX('TRANS'!$C:$C,MATCH($B4343,'TRANS'!$A:$A,0)),IFERROR(INDEX('Catalog'!$B:$B,MATCH($G4343,'Catalog'!$A:$A,0)),$B4343))</f>
        <v>AC-27R סד לש.כף יד ימין</v>
      </c>
      <c r="I4343" s="8" t="str">
        <f aca="false">IF($G4343="","Unmatched","Matched")</f>
        <v>Matched</v>
      </c>
      <c r="J4343" s="8" t="n">
        <f aca="false">IF($G4343&lt;&gt;"",$G4343,$B4343)</f>
        <v>4415027</v>
      </c>
      <c r="K4343" s="8" t="str">
        <f aca="false">IF(COUNTIF($M$1:$M$10,$A4343)&gt;0,"Y","N")</f>
        <v>N</v>
      </c>
    </row>
    <row r="4344" customFormat="false" ht="15" hidden="false" customHeight="true" outlineLevel="0" collapsed="false">
      <c r="A4344" s="8" t="s">
        <v>1117</v>
      </c>
      <c r="B4344" s="8" t="s">
        <v>728</v>
      </c>
      <c r="C4344" s="19" t="n">
        <v>0</v>
      </c>
      <c r="D4344" s="19" t="n">
        <v>0</v>
      </c>
      <c r="E4344" s="19" t="n">
        <v>40</v>
      </c>
      <c r="F4344" s="19" t="n">
        <v>624.61</v>
      </c>
      <c r="G4344" s="8" t="n">
        <f aca="false">IFERROR(INDEX('TRANS'!$B:$B,MATCH($B4344,'TRANS'!$A:$A,0)),IFERROR(INDEX('TRANS'!$B:$B,MATCH(TRIM(SUBSTITUTE($B4344,CHAR(160)," ")),'TRANS'!$D:$D,0)),IFERROR(INDEX('Catalog'!$A:$A,MATCH($B4344,'Catalog'!$B:$B,0)),IFERROR(INDEX('Catalog'!$A:$A,MATCH(TRIM(SUBSTITUTE($B4344,CHAR(160)," ")),'Catalog'!$C:$C,0)),""))))</f>
        <v>4415028</v>
      </c>
      <c r="H4344" s="8" t="str">
        <f aca="false">IFERROR(INDEX('TRANS'!$C:$C,MATCH($B4344,'TRANS'!$A:$A,0)),IFERROR(INDEX('Catalog'!$B:$B,MATCH($G4344,'Catalog'!$A:$A,0)),$B4344))</f>
        <v>AC-28 סד לאגודל</v>
      </c>
      <c r="I4344" s="8" t="str">
        <f aca="false">IF($G4344="","Unmatched","Matched")</f>
        <v>Matched</v>
      </c>
      <c r="J4344" s="8" t="n">
        <f aca="false">IF($G4344&lt;&gt;"",$G4344,$B4344)</f>
        <v>4415028</v>
      </c>
      <c r="K4344" s="8" t="str">
        <f aca="false">IF(COUNTIF($M$1:$M$10,$A4344)&gt;0,"Y","N")</f>
        <v>N</v>
      </c>
    </row>
    <row r="4345" customFormat="false" ht="15" hidden="false" customHeight="true" outlineLevel="0" collapsed="false">
      <c r="A4345" s="8" t="s">
        <v>1117</v>
      </c>
      <c r="B4345" s="8" t="s">
        <v>560</v>
      </c>
      <c r="C4345" s="19" t="n">
        <v>30</v>
      </c>
      <c r="D4345" s="19" t="n">
        <v>1460.82</v>
      </c>
      <c r="E4345" s="19" t="n">
        <v>20</v>
      </c>
      <c r="F4345" s="19" t="n">
        <v>872.9</v>
      </c>
      <c r="G4345" s="8" t="n">
        <f aca="false">IFERROR(INDEX('TRANS'!$B:$B,MATCH($B4345,'TRANS'!$A:$A,0)),IFERROR(INDEX('TRANS'!$B:$B,MATCH(TRIM(SUBSTITUTE($B4345,CHAR(160)," ")),'TRANS'!$D:$D,0)),IFERROR(INDEX('Catalog'!$A:$A,MATCH($B4345,'Catalog'!$B:$B,0)),IFERROR(INDEX('Catalog'!$A:$A,MATCH(TRIM(SUBSTITUTE($B4345,CHAR(160)," ")),'Catalog'!$C:$C,0)),""))))</f>
        <v>4413328</v>
      </c>
      <c r="H4345" s="8" t="str">
        <f aca="false">IFERROR(INDEX('TRANS'!$C:$C,MATCH($B4345,'TRANS'!$A:$A,0)),IFERROR(INDEX('Catalog'!$B:$B,MATCH($G4345,'Catalog'!$A:$A,0)),$B4345))</f>
        <v>AC43D מגן ברך + צירים</v>
      </c>
      <c r="I4345" s="8" t="str">
        <f aca="false">IF($G4345="","Unmatched","Matched")</f>
        <v>Matched</v>
      </c>
      <c r="J4345" s="8" t="n">
        <f aca="false">IF($G4345&lt;&gt;"",$G4345,$B4345)</f>
        <v>4413328</v>
      </c>
      <c r="K4345" s="8" t="str">
        <f aca="false">IF(COUNTIF($M$1:$M$10,$A4345)&gt;0,"Y","N")</f>
        <v>N</v>
      </c>
    </row>
    <row r="4346" customFormat="false" ht="15" hidden="false" customHeight="true" outlineLevel="0" collapsed="false">
      <c r="A4346" s="8" t="s">
        <v>1117</v>
      </c>
      <c r="B4346" s="8" t="s">
        <v>731</v>
      </c>
      <c r="C4346" s="19" t="n">
        <v>10</v>
      </c>
      <c r="D4346" s="19" t="n">
        <v>362.82</v>
      </c>
      <c r="E4346" s="19" t="n">
        <v>46</v>
      </c>
      <c r="F4346" s="19" t="n">
        <v>1575.62</v>
      </c>
      <c r="G4346" s="8" t="n">
        <f aca="false">IFERROR(INDEX('TRANS'!$B:$B,MATCH($B4346,'TRANS'!$A:$A,0)),IFERROR(INDEX('TRANS'!$B:$B,MATCH(TRIM(SUBSTITUTE($B4346,CHAR(160)," ")),'TRANS'!$D:$D,0)),IFERROR(INDEX('Catalog'!$A:$A,MATCH($B4346,'Catalog'!$B:$B,0)),IFERROR(INDEX('Catalog'!$A:$A,MATCH(TRIM(SUBSTITUTE($B4346,CHAR(160)," ")),'Catalog'!$C:$C,0)),""))))</f>
        <v>4413329</v>
      </c>
      <c r="H4346" s="8" t="str">
        <f aca="false">IFERROR(INDEX('TRANS'!$C:$C,MATCH($B4346,'TRANS'!$A:$A,0)),IFERROR(INDEX('Catalog'!$B:$B,MATCH($G4346,'Catalog'!$A:$A,0)),$B4346))</f>
        <v>AC45X מגן ברך עם תמיכות</v>
      </c>
      <c r="I4346" s="8" t="str">
        <f aca="false">IF($G4346="","Unmatched","Matched")</f>
        <v>Matched</v>
      </c>
      <c r="J4346" s="8" t="n">
        <f aca="false">IF($G4346&lt;&gt;"",$G4346,$B4346)</f>
        <v>4413329</v>
      </c>
      <c r="K4346" s="8" t="str">
        <f aca="false">IF(COUNTIF($M$1:$M$10,$A4346)&gt;0,"Y","N")</f>
        <v>N</v>
      </c>
    </row>
    <row r="4347" customFormat="false" ht="15" hidden="false" customHeight="true" outlineLevel="0" collapsed="false">
      <c r="A4347" s="8" t="s">
        <v>1117</v>
      </c>
      <c r="B4347" s="8" t="s">
        <v>558</v>
      </c>
      <c r="C4347" s="19" t="n">
        <v>0</v>
      </c>
      <c r="D4347" s="19" t="n">
        <v>0</v>
      </c>
      <c r="E4347" s="19" t="n">
        <v>10</v>
      </c>
      <c r="F4347" s="19" t="n">
        <v>334.35</v>
      </c>
      <c r="G4347" s="8" t="n">
        <f aca="false">IFERROR(INDEX('TRANS'!$B:$B,MATCH($B4347,'TRANS'!$A:$A,0)),IFERROR(INDEX('TRANS'!$B:$B,MATCH(TRIM(SUBSTITUTE($B4347,CHAR(160)," ")),'TRANS'!$D:$D,0)),IFERROR(INDEX('Catalog'!$A:$A,MATCH($B4347,'Catalog'!$B:$B,0)),IFERROR(INDEX('Catalog'!$A:$A,MATCH(TRIM(SUBSTITUTE($B4347,CHAR(160)," ")),'Catalog'!$C:$C,0)),""))))</f>
        <v>4413453</v>
      </c>
      <c r="H4347" s="8" t="str">
        <f aca="false">IFERROR(INDEX('TRANS'!$C:$C,MATCH($B4347,'TRANS'!$A:$A,0)),IFERROR(INDEX('Catalog'!$B:$B,MATCH($G4347,'Catalog'!$A:$A,0)),$B4347))</f>
        <v>AC75 מישר כתפיים אקטיב</v>
      </c>
      <c r="I4347" s="8" t="str">
        <f aca="false">IF($G4347="","Unmatched","Matched")</f>
        <v>Matched</v>
      </c>
      <c r="J4347" s="8" t="n">
        <f aca="false">IF($G4347&lt;&gt;"",$G4347,$B4347)</f>
        <v>4413453</v>
      </c>
      <c r="K4347" s="8" t="str">
        <f aca="false">IF(COUNTIF($M$1:$M$10,$A4347)&gt;0,"Y","N")</f>
        <v>N</v>
      </c>
    </row>
    <row r="4348" customFormat="false" ht="15" hidden="false" customHeight="true" outlineLevel="0" collapsed="false">
      <c r="A4348" s="8" t="s">
        <v>1117</v>
      </c>
      <c r="B4348" s="8" t="s">
        <v>738</v>
      </c>
      <c r="C4348" s="19" t="n">
        <v>10</v>
      </c>
      <c r="D4348" s="19" t="n">
        <v>192.81</v>
      </c>
      <c r="E4348" s="19" t="n">
        <v>3</v>
      </c>
      <c r="F4348" s="19" t="n">
        <v>50.82</v>
      </c>
      <c r="G4348" s="8" t="n">
        <f aca="false">IFERROR(INDEX('TRANS'!$B:$B,MATCH($B4348,'TRANS'!$A:$A,0)),IFERROR(INDEX('TRANS'!$B:$B,MATCH(TRIM(SUBSTITUTE($B4348,CHAR(160)," ")),'TRANS'!$D:$D,0)),IFERROR(INDEX('Catalog'!$A:$A,MATCH($B4348,'Catalog'!$B:$B,0)),IFERROR(INDEX('Catalog'!$A:$A,MATCH(TRIM(SUBSTITUTE($B4348,CHAR(160)," ")),'Catalog'!$C:$C,0)),""))))</f>
        <v>4414000</v>
      </c>
      <c r="H4348" s="8" t="str">
        <f aca="false">IFERROR(INDEX('TRANS'!$C:$C,MATCH($B4348,'TRANS'!$A:$A,0)),IFERROR(INDEX('Catalog'!$B:$B,MATCH($G4348,'Catalog'!$A:$A,0)),$B4348))</f>
        <v>FC342-נוזל לציפורן חודרנית</v>
      </c>
      <c r="I4348" s="8" t="str">
        <f aca="false">IF($G4348="","Unmatched","Matched")</f>
        <v>Matched</v>
      </c>
      <c r="J4348" s="8" t="n">
        <f aca="false">IF($G4348&lt;&gt;"",$G4348,$B4348)</f>
        <v>4414000</v>
      </c>
      <c r="K4348" s="8" t="str">
        <f aca="false">IF(COUNTIF($M$1:$M$10,$A4348)&gt;0,"Y","N")</f>
        <v>N</v>
      </c>
    </row>
    <row r="4349" customFormat="false" ht="15" hidden="false" customHeight="true" outlineLevel="0" collapsed="false">
      <c r="A4349" s="8" t="s">
        <v>1117</v>
      </c>
      <c r="B4349" s="8" t="s">
        <v>739</v>
      </c>
      <c r="C4349" s="19" t="n">
        <v>80</v>
      </c>
      <c r="D4349" s="19" t="n">
        <v>1037.19</v>
      </c>
      <c r="E4349" s="19" t="n">
        <v>0</v>
      </c>
      <c r="F4349" s="19" t="n">
        <v>0</v>
      </c>
      <c r="G4349" s="8" t="n">
        <f aca="false">IFERROR(INDEX('TRANS'!$B:$B,MATCH($B4349,'TRANS'!$A:$A,0)),IFERROR(INDEX('TRANS'!$B:$B,MATCH(TRIM(SUBSTITUTE($B4349,CHAR(160)," ")),'TRANS'!$D:$D,0)),IFERROR(INDEX('Catalog'!$A:$A,MATCH($B4349,'Catalog'!$B:$B,0)),IFERROR(INDEX('Catalog'!$A:$A,MATCH(TRIM(SUBSTITUTE($B4349,CHAR(160)," ")),'Catalog'!$C:$C,0)),""))))</f>
        <v>4413056</v>
      </c>
      <c r="H4349" s="8" t="str">
        <f aca="false">IFERROR(INDEX('TRANS'!$C:$C,MATCH($B4349,'TRANS'!$A:$A,0)),IFERROR(INDEX('Catalog'!$B:$B,MATCH($G4349,'Catalog'!$A:$A,0)),$B4349))</f>
        <v>LF360 מדרס מטטרזלי לנעלי עקב</v>
      </c>
      <c r="I4349" s="8" t="str">
        <f aca="false">IF($G4349="","Unmatched","Matched")</f>
        <v>Matched</v>
      </c>
      <c r="J4349" s="8" t="n">
        <f aca="false">IF($G4349&lt;&gt;"",$G4349,$B4349)</f>
        <v>4413056</v>
      </c>
      <c r="K4349" s="8" t="str">
        <f aca="false">IF(COUNTIF($M$1:$M$10,$A4349)&gt;0,"Y","N")</f>
        <v>N</v>
      </c>
    </row>
    <row r="4350" customFormat="false" ht="15" hidden="false" customHeight="true" outlineLevel="0" collapsed="false">
      <c r="A4350" s="8" t="s">
        <v>1117</v>
      </c>
      <c r="B4350" s="8" t="s">
        <v>889</v>
      </c>
      <c r="C4350" s="19" t="n">
        <v>0</v>
      </c>
      <c r="D4350" s="19" t="n">
        <v>0</v>
      </c>
      <c r="E4350" s="19" t="n">
        <v>40</v>
      </c>
      <c r="F4350" s="19" t="n">
        <v>255.48</v>
      </c>
      <c r="G4350" s="8" t="n">
        <f aca="false">IFERROR(INDEX('TRANS'!$B:$B,MATCH($B4350,'TRANS'!$A:$A,0)),IFERROR(INDEX('TRANS'!$B:$B,MATCH(TRIM(SUBSTITUTE($B4350,CHAR(160)," ")),'TRANS'!$D:$D,0)),IFERROR(INDEX('Catalog'!$A:$A,MATCH($B4350,'Catalog'!$B:$B,0)),IFERROR(INDEX('Catalog'!$A:$A,MATCH(TRIM(SUBSTITUTE($B4350,CHAR(160)," ")),'Catalog'!$C:$C,0)),""))))</f>
        <v>4420022</v>
      </c>
      <c r="H4350" s="8" t="str">
        <f aca="false">IFERROR(INDEX('TRANS'!$C:$C,MATCH($B4350,'TRANS'!$A:$A,0)),IFERROR(INDEX('Catalog'!$B:$B,MATCH($G4350,'Catalog'!$A:$A,0)),$B4350))</f>
        <v>LF370 ריפוד סיליקון לעקב אחורי</v>
      </c>
      <c r="I4350" s="8" t="str">
        <f aca="false">IF($G4350="","Unmatched","Matched")</f>
        <v>Matched</v>
      </c>
      <c r="J4350" s="8" t="n">
        <f aca="false">IF($G4350&lt;&gt;"",$G4350,$B4350)</f>
        <v>4420022</v>
      </c>
      <c r="K4350" s="8" t="str">
        <f aca="false">IF(COUNTIF($M$1:$M$10,$A4350)&gt;0,"Y","N")</f>
        <v>N</v>
      </c>
    </row>
    <row r="4351" customFormat="false" ht="15" hidden="false" customHeight="true" outlineLevel="0" collapsed="false">
      <c r="A4351" s="8" t="s">
        <v>1117</v>
      </c>
      <c r="B4351" s="8" t="s">
        <v>740</v>
      </c>
      <c r="C4351" s="19" t="n">
        <v>0</v>
      </c>
      <c r="D4351" s="19" t="n">
        <v>0</v>
      </c>
      <c r="E4351" s="19" t="n">
        <v>30</v>
      </c>
      <c r="F4351" s="19" t="n">
        <v>272.09</v>
      </c>
      <c r="G4351" s="8" t="n">
        <f aca="false">IFERROR(INDEX('TRANS'!$B:$B,MATCH($B4351,'TRANS'!$A:$A,0)),IFERROR(INDEX('TRANS'!$B:$B,MATCH(TRIM(SUBSTITUTE($B4351,CHAR(160)," ")),'TRANS'!$D:$D,0)),IFERROR(INDEX('Catalog'!$A:$A,MATCH($B4351,'Catalog'!$B:$B,0)),IFERROR(INDEX('Catalog'!$A:$A,MATCH(TRIM(SUBSTITUTE($B4351,CHAR(160)," ")),'Catalog'!$C:$C,0)),""))))</f>
        <v>4420024</v>
      </c>
      <c r="H4351" s="8" t="str">
        <f aca="false">IFERROR(INDEX('TRANS'!$C:$C,MATCH($B4351,'TRANS'!$A:$A,0)),IFERROR(INDEX('Catalog'!$B:$B,MATCH($G4351,'Catalog'!$A:$A,0)),$B4351))</f>
        <v>LFריפוד סיליק.לכרית כף הרגל373</v>
      </c>
      <c r="I4351" s="8" t="str">
        <f aca="false">IF($G4351="","Unmatched","Matched")</f>
        <v>Matched</v>
      </c>
      <c r="J4351" s="8" t="n">
        <f aca="false">IF($G4351&lt;&gt;"",$G4351,$B4351)</f>
        <v>4420024</v>
      </c>
      <c r="K4351" s="8" t="str">
        <f aca="false">IF(COUNTIF($M$1:$M$10,$A4351)&gt;0,"Y","N")</f>
        <v>N</v>
      </c>
    </row>
    <row r="4352" customFormat="false" ht="15" hidden="false" customHeight="true" outlineLevel="0" collapsed="false">
      <c r="A4352" s="8" t="s">
        <v>1117</v>
      </c>
      <c r="B4352" s="8" t="s">
        <v>741</v>
      </c>
      <c r="C4352" s="19" t="n">
        <v>10</v>
      </c>
      <c r="D4352" s="19" t="n">
        <v>79.46</v>
      </c>
      <c r="E4352" s="19" t="n">
        <v>0</v>
      </c>
      <c r="F4352" s="19" t="n">
        <v>0</v>
      </c>
      <c r="G4352" s="8" t="n">
        <f aca="false">IFERROR(INDEX('TRANS'!$B:$B,MATCH($B4352,'TRANS'!$A:$A,0)),IFERROR(INDEX('TRANS'!$B:$B,MATCH(TRIM(SUBSTITUTE($B4352,CHAR(160)," ")),'TRANS'!$D:$D,0)),IFERROR(INDEX('Catalog'!$A:$A,MATCH($B4352,'Catalog'!$B:$B,0)),IFERROR(INDEX('Catalog'!$A:$A,MATCH(TRIM(SUBSTITUTE($B4352,CHAR(160)," ")),'Catalog'!$C:$C,0)),""))))</f>
        <v>4420025</v>
      </c>
      <c r="H4352" s="8" t="str">
        <f aca="false">IFERROR(INDEX('TRANS'!$C:$C,MATCH($B4352,'TRANS'!$A:$A,0)),IFERROR(INDEX('Catalog'!$B:$B,MATCH($G4352,'Catalog'!$A:$A,0)),$B4352))</f>
        <v>LF374 ריפוד סיליק.לעקב תחתון</v>
      </c>
      <c r="I4352" s="8" t="str">
        <f aca="false">IF($G4352="","Unmatched","Matched")</f>
        <v>Matched</v>
      </c>
      <c r="J4352" s="8" t="n">
        <f aca="false">IF($G4352&lt;&gt;"",$G4352,$B4352)</f>
        <v>4420025</v>
      </c>
      <c r="K4352" s="8" t="str">
        <f aca="false">IF(COUNTIF($M$1:$M$10,$A4352)&gt;0,"Y","N")</f>
        <v>N</v>
      </c>
    </row>
    <row r="4353" customFormat="false" ht="15" hidden="false" customHeight="true" outlineLevel="0" collapsed="false">
      <c r="A4353" s="8" t="s">
        <v>1117</v>
      </c>
      <c r="B4353" s="8" t="s">
        <v>1060</v>
      </c>
      <c r="C4353" s="19" t="n">
        <v>0</v>
      </c>
      <c r="D4353" s="19" t="n">
        <v>0</v>
      </c>
      <c r="E4353" s="19" t="n">
        <v>20</v>
      </c>
      <c r="F4353" s="19" t="n">
        <v>396.81</v>
      </c>
      <c r="G4353" s="8" t="n">
        <f aca="false">IFERROR(INDEX('TRANS'!$B:$B,MATCH($B4353,'TRANS'!$A:$A,0)),IFERROR(INDEX('TRANS'!$B:$B,MATCH(TRIM(SUBSTITUTE($B4353,CHAR(160)," ")),'TRANS'!$D:$D,0)),IFERROR(INDEX('Catalog'!$A:$A,MATCH($B4353,'Catalog'!$B:$B,0)),IFERROR(INDEX('Catalog'!$A:$A,MATCH(TRIM(SUBSTITUTE($B4353,CHAR(160)," ")),'Catalog'!$C:$C,0)),""))))</f>
        <v>4413276</v>
      </c>
      <c r="H4353" s="8" t="str">
        <f aca="false">IFERROR(INDEX('TRANS'!$C:$C,MATCH($B4353,'TRANS'!$A:$A,0)),IFERROR(INDEX('Catalog'!$B:$B,MATCH($G4353,'Catalog'!$A:$A,0)),$B4353))</f>
        <v>LF377 L-מדרס סיליקון לנעלי עקב</v>
      </c>
      <c r="I4353" s="8" t="str">
        <f aca="false">IF($G4353="","Unmatched","Matched")</f>
        <v>Matched</v>
      </c>
      <c r="J4353" s="8" t="n">
        <f aca="false">IF($G4353&lt;&gt;"",$G4353,$B4353)</f>
        <v>4413276</v>
      </c>
      <c r="K4353" s="8" t="str">
        <f aca="false">IF(COUNTIF($M$1:$M$10,$A4353)&gt;0,"Y","N")</f>
        <v>N</v>
      </c>
    </row>
    <row r="4354" customFormat="false" ht="15" hidden="false" customHeight="true" outlineLevel="0" collapsed="false">
      <c r="A4354" s="8" t="s">
        <v>1117</v>
      </c>
      <c r="B4354" s="8" t="s">
        <v>1062</v>
      </c>
      <c r="C4354" s="19" t="n">
        <v>0</v>
      </c>
      <c r="D4354" s="19" t="n">
        <v>0</v>
      </c>
      <c r="E4354" s="19" t="n">
        <v>20</v>
      </c>
      <c r="F4354" s="19" t="n">
        <v>396.81</v>
      </c>
      <c r="G4354" s="8" t="n">
        <f aca="false">IFERROR(INDEX('TRANS'!$B:$B,MATCH($B4354,'TRANS'!$A:$A,0)),IFERROR(INDEX('TRANS'!$B:$B,MATCH(TRIM(SUBSTITUTE($B4354,CHAR(160)," ")),'TRANS'!$D:$D,0)),IFERROR(INDEX('Catalog'!$A:$A,MATCH($B4354,'Catalog'!$B:$B,0)),IFERROR(INDEX('Catalog'!$A:$A,MATCH(TRIM(SUBSTITUTE($B4354,CHAR(160)," ")),'Catalog'!$C:$C,0)),""))))</f>
        <v>4413278</v>
      </c>
      <c r="H4354" s="8" t="str">
        <f aca="false">IFERROR(INDEX('TRANS'!$C:$C,MATCH($B4354,'TRANS'!$A:$A,0)),IFERROR(INDEX('Catalog'!$B:$B,MATCH($G4354,'Catalog'!$A:$A,0)),$B4354))</f>
        <v>LF377 S-מדרס סיליקון לנעלי עקב</v>
      </c>
      <c r="I4354" s="8" t="str">
        <f aca="false">IF($G4354="","Unmatched","Matched")</f>
        <v>Matched</v>
      </c>
      <c r="J4354" s="8" t="n">
        <f aca="false">IF($G4354&lt;&gt;"",$G4354,$B4354)</f>
        <v>4413278</v>
      </c>
      <c r="K4354" s="8" t="str">
        <f aca="false">IF(COUNTIF($M$1:$M$10,$A4354)&gt;0,"Y","N")</f>
        <v>N</v>
      </c>
    </row>
    <row r="4355" customFormat="false" ht="15" hidden="false" customHeight="true" outlineLevel="0" collapsed="false">
      <c r="A4355" s="8" t="s">
        <v>1117</v>
      </c>
      <c r="B4355" s="8" t="s">
        <v>747</v>
      </c>
      <c r="C4355" s="19" t="n">
        <v>9</v>
      </c>
      <c r="D4355" s="19" t="n">
        <v>369.32</v>
      </c>
      <c r="E4355" s="19" t="n">
        <v>0</v>
      </c>
      <c r="F4355" s="19" t="n">
        <v>0</v>
      </c>
      <c r="G4355" s="8" t="n">
        <f aca="false">IFERROR(INDEX('TRANS'!$B:$B,MATCH($B4355,'TRANS'!$A:$A,0)),IFERROR(INDEX('TRANS'!$B:$B,MATCH(TRIM(SUBSTITUTE($B4355,CHAR(160)," ")),'TRANS'!$D:$D,0)),IFERROR(INDEX('Catalog'!$A:$A,MATCH($B4355,'Catalog'!$B:$B,0)),IFERROR(INDEX('Catalog'!$A:$A,MATCH(TRIM(SUBSTITUTE($B4355,CHAR(160)," ")),'Catalog'!$C:$C,0)),""))))</f>
        <v>4408249</v>
      </c>
      <c r="H4355" s="8" t="str">
        <f aca="false">IFERROR(INDEX('TRANS'!$C:$C,MATCH($B4355,'TRANS'!$A:$A,0)),IFERROR(INDEX('Catalog'!$B:$B,MATCH($G4355,'Catalog'!$A:$A,0)),$B4355))</f>
        <v>SC25  L חבק יד</v>
      </c>
      <c r="I4355" s="8" t="str">
        <f aca="false">IF($G4355="","Unmatched","Matched")</f>
        <v>Matched</v>
      </c>
      <c r="J4355" s="8" t="n">
        <f aca="false">IF($G4355&lt;&gt;"",$G4355,$B4355)</f>
        <v>4408249</v>
      </c>
      <c r="K4355" s="8" t="str">
        <f aca="false">IF(COUNTIF($M$1:$M$10,$A4355)&gt;0,"Y","N")</f>
        <v>N</v>
      </c>
    </row>
    <row r="4356" customFormat="false" ht="15" hidden="false" customHeight="true" outlineLevel="0" collapsed="false">
      <c r="A4356" s="8" t="s">
        <v>1117</v>
      </c>
      <c r="B4356" s="8" t="s">
        <v>748</v>
      </c>
      <c r="C4356" s="19" t="n">
        <v>3</v>
      </c>
      <c r="D4356" s="19" t="n">
        <v>119.1</v>
      </c>
      <c r="E4356" s="19" t="n">
        <v>0</v>
      </c>
      <c r="F4356" s="19" t="n">
        <v>0</v>
      </c>
      <c r="G4356" s="8" t="n">
        <f aca="false">IFERROR(INDEX('TRANS'!$B:$B,MATCH($B4356,'TRANS'!$A:$A,0)),IFERROR(INDEX('TRANS'!$B:$B,MATCH(TRIM(SUBSTITUTE($B4356,CHAR(160)," ")),'TRANS'!$D:$D,0)),IFERROR(INDEX('Catalog'!$A:$A,MATCH($B4356,'Catalog'!$B:$B,0)),IFERROR(INDEX('Catalog'!$A:$A,MATCH(TRIM(SUBSTITUTE($B4356,CHAR(160)," ")),'Catalog'!$C:$C,0)),""))))</f>
        <v>4408248</v>
      </c>
      <c r="H4356" s="8" t="str">
        <f aca="false">IFERROR(INDEX('TRANS'!$C:$C,MATCH($B4356,'TRANS'!$A:$A,0)),IFERROR(INDEX('Catalog'!$B:$B,MATCH($G4356,'Catalog'!$A:$A,0)),$B4356))</f>
        <v>SC25  M חבק יד</v>
      </c>
      <c r="I4356" s="8" t="str">
        <f aca="false">IF($G4356="","Unmatched","Matched")</f>
        <v>Matched</v>
      </c>
      <c r="J4356" s="8" t="n">
        <f aca="false">IF($G4356&lt;&gt;"",$G4356,$B4356)</f>
        <v>4408248</v>
      </c>
      <c r="K4356" s="8" t="str">
        <f aca="false">IF(COUNTIF($M$1:$M$10,$A4356)&gt;0,"Y","N")</f>
        <v>N</v>
      </c>
    </row>
    <row r="4357" customFormat="false" ht="15" hidden="false" customHeight="true" outlineLevel="0" collapsed="false">
      <c r="A4357" s="8" t="s">
        <v>1117</v>
      </c>
      <c r="B4357" s="8" t="s">
        <v>751</v>
      </c>
      <c r="C4357" s="19" t="n">
        <v>3</v>
      </c>
      <c r="D4357" s="19" t="n">
        <v>148.99</v>
      </c>
      <c r="E4357" s="19" t="n">
        <v>0</v>
      </c>
      <c r="F4357" s="19" t="n">
        <v>0</v>
      </c>
      <c r="G4357" s="8" t="n">
        <f aca="false">IFERROR(INDEX('TRANS'!$B:$B,MATCH($B4357,'TRANS'!$A:$A,0)),IFERROR(INDEX('TRANS'!$B:$B,MATCH(TRIM(SUBSTITUTE($B4357,CHAR(160)," ")),'TRANS'!$D:$D,0)),IFERROR(INDEX('Catalog'!$A:$A,MATCH($B4357,'Catalog'!$B:$B,0)),IFERROR(INDEX('Catalog'!$A:$A,MATCH(TRIM(SUBSTITUTE($B4357,CHAR(160)," ")),'Catalog'!$C:$C,0)),""))))</f>
        <v>4413422</v>
      </c>
      <c r="H4357" s="8" t="str">
        <f aca="false">IFERROR(INDEX('TRANS'!$C:$C,MATCH($B4357,'TRANS'!$A:$A,0)),IFERROR(INDEX('Catalog'!$B:$B,MATCH($G4357,'Catalog'!$A:$A,0)),$B4357))</f>
        <v>SC35L  L מגן קרסול שמאל</v>
      </c>
      <c r="I4357" s="8" t="str">
        <f aca="false">IF($G4357="","Unmatched","Matched")</f>
        <v>Matched</v>
      </c>
      <c r="J4357" s="8" t="n">
        <f aca="false">IF($G4357&lt;&gt;"",$G4357,$B4357)</f>
        <v>4413422</v>
      </c>
      <c r="K4357" s="8" t="str">
        <f aca="false">IF(COUNTIF($M$1:$M$10,$A4357)&gt;0,"Y","N")</f>
        <v>N</v>
      </c>
    </row>
    <row r="4358" customFormat="false" ht="15" hidden="false" customHeight="true" outlineLevel="0" collapsed="false">
      <c r="A4358" s="8" t="s">
        <v>1117</v>
      </c>
      <c r="B4358" s="8" t="s">
        <v>753</v>
      </c>
      <c r="C4358" s="19" t="n">
        <v>3</v>
      </c>
      <c r="D4358" s="19" t="n">
        <v>145.32</v>
      </c>
      <c r="E4358" s="19" t="n">
        <v>0</v>
      </c>
      <c r="F4358" s="19" t="n">
        <v>0</v>
      </c>
      <c r="G4358" s="8" t="n">
        <f aca="false">IFERROR(INDEX('TRANS'!$B:$B,MATCH($B4358,'TRANS'!$A:$A,0)),IFERROR(INDEX('TRANS'!$B:$B,MATCH(TRIM(SUBSTITUTE($B4358,CHAR(160)," ")),'TRANS'!$D:$D,0)),IFERROR(INDEX('Catalog'!$A:$A,MATCH($B4358,'Catalog'!$B:$B,0)),IFERROR(INDEX('Catalog'!$A:$A,MATCH(TRIM(SUBSTITUTE($B4358,CHAR(160)," ")),'Catalog'!$C:$C,0)),""))))</f>
        <v>4413426</v>
      </c>
      <c r="H4358" s="8" t="str">
        <f aca="false">IFERROR(INDEX('TRANS'!$C:$C,MATCH($B4358,'TRANS'!$A:$A,0)),IFERROR(INDEX('Catalog'!$B:$B,MATCH($G4358,'Catalog'!$A:$A,0)),$B4358))</f>
        <v>SC35R  L מגן קרסול ימין</v>
      </c>
      <c r="I4358" s="8" t="str">
        <f aca="false">IF($G4358="","Unmatched","Matched")</f>
        <v>Matched</v>
      </c>
      <c r="J4358" s="8" t="n">
        <f aca="false">IF($G4358&lt;&gt;"",$G4358,$B4358)</f>
        <v>4413426</v>
      </c>
      <c r="K4358" s="8" t="str">
        <f aca="false">IF(COUNTIF($M$1:$M$10,$A4358)&gt;0,"Y","N")</f>
        <v>N</v>
      </c>
    </row>
    <row r="4359" customFormat="false" ht="15" hidden="false" customHeight="true" outlineLevel="0" collapsed="false">
      <c r="A4359" s="8" t="s">
        <v>1117</v>
      </c>
      <c r="B4359" s="8" t="s">
        <v>756</v>
      </c>
      <c r="C4359" s="19" t="n">
        <v>0</v>
      </c>
      <c r="D4359" s="19" t="n">
        <v>0</v>
      </c>
      <c r="E4359" s="19" t="n">
        <v>2</v>
      </c>
      <c r="F4359" s="19" t="n">
        <v>164.28</v>
      </c>
      <c r="G4359" s="8" t="n">
        <f aca="false">IFERROR(INDEX('TRANS'!$B:$B,MATCH($B4359,'TRANS'!$A:$A,0)),IFERROR(INDEX('TRANS'!$B:$B,MATCH(TRIM(SUBSTITUTE($B4359,CHAR(160)," ")),'TRANS'!$D:$D,0)),IFERROR(INDEX('Catalog'!$A:$A,MATCH($B4359,'Catalog'!$B:$B,0)),IFERROR(INDEX('Catalog'!$A:$A,MATCH(TRIM(SUBSTITUTE($B4359,CHAR(160)," ")),'Catalog'!$C:$C,0)),""))))</f>
        <v>4413416</v>
      </c>
      <c r="H4359" s="8" t="str">
        <f aca="false">IFERROR(INDEX('TRANS'!$C:$C,MATCH($B4359,'TRANS'!$A:$A,0)),IFERROR(INDEX('Catalog'!$B:$B,MATCH($G4359,'Catalog'!$A:$A,0)),$B4359))</f>
        <v>SC39  M מגן שוק</v>
      </c>
      <c r="I4359" s="8" t="str">
        <f aca="false">IF($G4359="","Unmatched","Matched")</f>
        <v>Matched</v>
      </c>
      <c r="J4359" s="8" t="n">
        <f aca="false">IF($G4359&lt;&gt;"",$G4359,$B4359)</f>
        <v>4413416</v>
      </c>
      <c r="K4359" s="8" t="str">
        <f aca="false">IF(COUNTIF($M$1:$M$10,$A4359)&gt;0,"Y","N")</f>
        <v>N</v>
      </c>
    </row>
    <row r="4360" customFormat="false" ht="15" hidden="false" customHeight="true" outlineLevel="0" collapsed="false">
      <c r="A4360" s="8" t="s">
        <v>1117</v>
      </c>
      <c r="B4360" s="8" t="s">
        <v>843</v>
      </c>
      <c r="C4360" s="19" t="n">
        <v>0</v>
      </c>
      <c r="D4360" s="19" t="n">
        <v>0</v>
      </c>
      <c r="E4360" s="19" t="n">
        <v>2</v>
      </c>
      <c r="F4360" s="19" t="n">
        <v>164.28</v>
      </c>
      <c r="G4360" s="8" t="n">
        <f aca="false">IFERROR(INDEX('TRANS'!$B:$B,MATCH($B4360,'TRANS'!$A:$A,0)),IFERROR(INDEX('TRANS'!$B:$B,MATCH(TRIM(SUBSTITUTE($B4360,CHAR(160)," ")),'TRANS'!$D:$D,0)),IFERROR(INDEX('Catalog'!$A:$A,MATCH($B4360,'Catalog'!$B:$B,0)),IFERROR(INDEX('Catalog'!$A:$A,MATCH(TRIM(SUBSTITUTE($B4360,CHAR(160)," ")),'Catalog'!$C:$C,0)),""))))</f>
        <v>4413415</v>
      </c>
      <c r="H4360" s="8" t="str">
        <f aca="false">IFERROR(INDEX('TRANS'!$C:$C,MATCH($B4360,'TRANS'!$A:$A,0)),IFERROR(INDEX('Catalog'!$B:$B,MATCH($G4360,'Catalog'!$A:$A,0)),$B4360))</f>
        <v>SC39  S מגן שוק</v>
      </c>
      <c r="I4360" s="8" t="str">
        <f aca="false">IF($G4360="","Unmatched","Matched")</f>
        <v>Matched</v>
      </c>
      <c r="J4360" s="8" t="n">
        <f aca="false">IF($G4360&lt;&gt;"",$G4360,$B4360)</f>
        <v>4413415</v>
      </c>
      <c r="K4360" s="8" t="str">
        <f aca="false">IF(COUNTIF($M$1:$M$10,$A4360)&gt;0,"Y","N")</f>
        <v>N</v>
      </c>
    </row>
    <row r="4361" customFormat="false" ht="15" hidden="false" customHeight="true" outlineLevel="0" collapsed="false">
      <c r="A4361" s="8" t="s">
        <v>1117</v>
      </c>
      <c r="B4361" s="8" t="s">
        <v>844</v>
      </c>
      <c r="C4361" s="19" t="n">
        <v>0</v>
      </c>
      <c r="D4361" s="19" t="n">
        <v>0</v>
      </c>
      <c r="E4361" s="19" t="n">
        <v>2</v>
      </c>
      <c r="F4361" s="19" t="n">
        <v>137.24</v>
      </c>
      <c r="G4361" s="8" t="n">
        <f aca="false">IFERROR(INDEX('TRANS'!$B:$B,MATCH($B4361,'TRANS'!$A:$A,0)),IFERROR(INDEX('TRANS'!$B:$B,MATCH(TRIM(SUBSTITUTE($B4361,CHAR(160)," ")),'TRANS'!$D:$D,0)),IFERROR(INDEX('Catalog'!$A:$A,MATCH($B4361,'Catalog'!$B:$B,0)),IFERROR(INDEX('Catalog'!$A:$A,MATCH(TRIM(SUBSTITUTE($B4361,CHAR(160)," ")),'Catalog'!$C:$C,0)),""))))</f>
        <v>4413440</v>
      </c>
      <c r="H4361" s="8" t="str">
        <f aca="false">IFERROR(INDEX('TRANS'!$C:$C,MATCH($B4361,'TRANS'!$A:$A,0)),IFERROR(INDEX('Catalog'!$B:$B,MATCH($G4361,'Catalog'!$A:$A,0)),$B4361))</f>
        <v>SC422  L מגן ברך</v>
      </c>
      <c r="I4361" s="8" t="str">
        <f aca="false">IF($G4361="","Unmatched","Matched")</f>
        <v>Matched</v>
      </c>
      <c r="J4361" s="8" t="n">
        <f aca="false">IF($G4361&lt;&gt;"",$G4361,$B4361)</f>
        <v>4413440</v>
      </c>
      <c r="K4361" s="8" t="str">
        <f aca="false">IF(COUNTIF($M$1:$M$10,$A4361)&gt;0,"Y","N")</f>
        <v>N</v>
      </c>
    </row>
    <row r="4362" customFormat="false" ht="15" hidden="false" customHeight="true" outlineLevel="0" collapsed="false">
      <c r="A4362" s="8" t="s">
        <v>1117</v>
      </c>
      <c r="B4362" s="8" t="s">
        <v>757</v>
      </c>
      <c r="C4362" s="19" t="n">
        <v>3</v>
      </c>
      <c r="D4362" s="19" t="n">
        <v>251.56</v>
      </c>
      <c r="E4362" s="19" t="n">
        <v>0</v>
      </c>
      <c r="F4362" s="19" t="n">
        <v>0</v>
      </c>
      <c r="G4362" s="8" t="n">
        <f aca="false">IFERROR(INDEX('TRANS'!$B:$B,MATCH($B4362,'TRANS'!$A:$A,0)),IFERROR(INDEX('TRANS'!$B:$B,MATCH(TRIM(SUBSTITUTE($B4362,CHAR(160)," ")),'TRANS'!$D:$D,0)),IFERROR(INDEX('Catalog'!$A:$A,MATCH($B4362,'Catalog'!$B:$B,0)),IFERROR(INDEX('Catalog'!$A:$A,MATCH(TRIM(SUBSTITUTE($B4362,CHAR(160)," ")),'Catalog'!$C:$C,0)),""))))</f>
        <v>4413439</v>
      </c>
      <c r="H4362" s="8" t="str">
        <f aca="false">IFERROR(INDEX('TRANS'!$C:$C,MATCH($B4362,'TRANS'!$A:$A,0)),IFERROR(INDEX('Catalog'!$B:$B,MATCH($G4362,'Catalog'!$A:$A,0)),$B4362))</f>
        <v>SC422  M מגן ברך</v>
      </c>
      <c r="I4362" s="8" t="str">
        <f aca="false">IF($G4362="","Unmatched","Matched")</f>
        <v>Matched</v>
      </c>
      <c r="J4362" s="8" t="n">
        <f aca="false">IF($G4362&lt;&gt;"",$G4362,$B4362)</f>
        <v>4413439</v>
      </c>
      <c r="K4362" s="8" t="str">
        <f aca="false">IF(COUNTIF($M$1:$M$10,$A4362)&gt;0,"Y","N")</f>
        <v>N</v>
      </c>
    </row>
    <row r="4363" customFormat="false" ht="15" hidden="false" customHeight="true" outlineLevel="0" collapsed="false">
      <c r="A4363" s="8" t="s">
        <v>1117</v>
      </c>
      <c r="B4363" s="8" t="s">
        <v>762</v>
      </c>
      <c r="C4363" s="19" t="n">
        <v>0</v>
      </c>
      <c r="D4363" s="19" t="n">
        <v>0</v>
      </c>
      <c r="E4363" s="19" t="n">
        <v>20</v>
      </c>
      <c r="F4363" s="19" t="n">
        <v>1124.31</v>
      </c>
      <c r="G4363" s="8" t="n">
        <f aca="false">IFERROR(INDEX('TRANS'!$B:$B,MATCH($B4363,'TRANS'!$A:$A,0)),IFERROR(INDEX('TRANS'!$B:$B,MATCH(TRIM(SUBSTITUTE($B4363,CHAR(160)," ")),'TRANS'!$D:$D,0)),IFERROR(INDEX('Catalog'!$A:$A,MATCH($B4363,'Catalog'!$B:$B,0)),IFERROR(INDEX('Catalog'!$A:$A,MATCH(TRIM(SUBSTITUTE($B4363,CHAR(160)," ")),'Catalog'!$C:$C,0)),""))))</f>
        <v>4413534</v>
      </c>
      <c r="H4363" s="8" t="str">
        <f aca="false">IFERROR(INDEX('TRANS'!$C:$C,MATCH($B4363,'TRANS'!$A:$A,0)),IFERROR(INDEX('Catalog'!$B:$B,MATCH($G4363,'Catalog'!$A:$A,0)),$B4363))</f>
        <v>SH333 מקבע קרסול</v>
      </c>
      <c r="I4363" s="8" t="str">
        <f aca="false">IF($G4363="","Unmatched","Matched")</f>
        <v>Matched</v>
      </c>
      <c r="J4363" s="8" t="n">
        <f aca="false">IF($G4363&lt;&gt;"",$G4363,$B4363)</f>
        <v>4413534</v>
      </c>
      <c r="K4363" s="8" t="str">
        <f aca="false">IF(COUNTIF($M$1:$M$10,$A4363)&gt;0,"Y","N")</f>
        <v>N</v>
      </c>
    </row>
    <row r="4364" customFormat="false" ht="15" hidden="false" customHeight="true" outlineLevel="0" collapsed="false">
      <c r="A4364" s="8" t="s">
        <v>1117</v>
      </c>
      <c r="B4364" s="8" t="s">
        <v>890</v>
      </c>
      <c r="C4364" s="19" t="n">
        <v>0</v>
      </c>
      <c r="D4364" s="19" t="n">
        <v>0</v>
      </c>
      <c r="E4364" s="19" t="n">
        <v>10</v>
      </c>
      <c r="F4364" s="19" t="n">
        <v>984.69</v>
      </c>
      <c r="G4364" s="8" t="n">
        <f aca="false">IFERROR(INDEX('TRANS'!$B:$B,MATCH($B4364,'TRANS'!$A:$A,0)),IFERROR(INDEX('TRANS'!$B:$B,MATCH(TRIM(SUBSTITUTE($B4364,CHAR(160)," ")),'TRANS'!$D:$D,0)),IFERROR(INDEX('Catalog'!$A:$A,MATCH($B4364,'Catalog'!$B:$B,0)),IFERROR(INDEX('Catalog'!$A:$A,MATCH(TRIM(SUBSTITUTE($B4364,CHAR(160)," ")),'Catalog'!$C:$C,0)),""))))</f>
        <v>4422037</v>
      </c>
      <c r="H4364" s="8" t="str">
        <f aca="false">IFERROR(INDEX('TRANS'!$C:$C,MATCH($B4364,'TRANS'!$A:$A,0)),IFERROR(INDEX('Catalog'!$B:$B,MATCH($G4364,'Catalog'!$A:$A,0)),$B4364))</f>
        <v>SH422 1 תומך ברך גנושילד</v>
      </c>
      <c r="I4364" s="8" t="str">
        <f aca="false">IF($G4364="","Unmatched","Matched")</f>
        <v>Matched</v>
      </c>
      <c r="J4364" s="8" t="n">
        <f aca="false">IF($G4364&lt;&gt;"",$G4364,$B4364)</f>
        <v>4422037</v>
      </c>
      <c r="K4364" s="8" t="str">
        <f aca="false">IF(COUNTIF($M$1:$M$10,$A4364)&gt;0,"Y","N")</f>
        <v>N</v>
      </c>
    </row>
    <row r="4365" customFormat="false" ht="15" hidden="false" customHeight="true" outlineLevel="0" collapsed="false">
      <c r="A4365" s="8" t="s">
        <v>1117</v>
      </c>
      <c r="B4365" s="8" t="s">
        <v>891</v>
      </c>
      <c r="C4365" s="19" t="n">
        <v>0</v>
      </c>
      <c r="D4365" s="19" t="n">
        <v>0</v>
      </c>
      <c r="E4365" s="19" t="n">
        <v>10</v>
      </c>
      <c r="F4365" s="19" t="n">
        <v>984.69</v>
      </c>
      <c r="G4365" s="8" t="n">
        <f aca="false">IFERROR(INDEX('TRANS'!$B:$B,MATCH($B4365,'TRANS'!$A:$A,0)),IFERROR(INDEX('TRANS'!$B:$B,MATCH(TRIM(SUBSTITUTE($B4365,CHAR(160)," ")),'TRANS'!$D:$D,0)),IFERROR(INDEX('Catalog'!$A:$A,MATCH($B4365,'Catalog'!$B:$B,0)),IFERROR(INDEX('Catalog'!$A:$A,MATCH(TRIM(SUBSTITUTE($B4365,CHAR(160)," ")),'Catalog'!$C:$C,0)),""))))</f>
        <v>4422038</v>
      </c>
      <c r="H4365" s="8" t="str">
        <f aca="false">IFERROR(INDEX('TRANS'!$C:$C,MATCH($B4365,'TRANS'!$A:$A,0)),IFERROR(INDEX('Catalog'!$B:$B,MATCH($G4365,'Catalog'!$A:$A,0)),$B4365))</f>
        <v>SH422 2 תומך ברך גנושילד</v>
      </c>
      <c r="I4365" s="8" t="str">
        <f aca="false">IF($G4365="","Unmatched","Matched")</f>
        <v>Matched</v>
      </c>
      <c r="J4365" s="8" t="n">
        <f aca="false">IF($G4365&lt;&gt;"",$G4365,$B4365)</f>
        <v>4422038</v>
      </c>
      <c r="K4365" s="8" t="str">
        <f aca="false">IF(COUNTIF($M$1:$M$10,$A4365)&gt;0,"Y","N")</f>
        <v>N</v>
      </c>
    </row>
    <row r="4366" customFormat="false" ht="15" hidden="false" customHeight="true" outlineLevel="0" collapsed="false">
      <c r="A4366" s="8" t="s">
        <v>1117</v>
      </c>
      <c r="B4366" s="8" t="s">
        <v>892</v>
      </c>
      <c r="C4366" s="19" t="n">
        <v>0</v>
      </c>
      <c r="D4366" s="19" t="n">
        <v>0</v>
      </c>
      <c r="E4366" s="19" t="n">
        <v>20</v>
      </c>
      <c r="F4366" s="19" t="n">
        <v>1969.37</v>
      </c>
      <c r="G4366" s="8" t="n">
        <f aca="false">IFERROR(INDEX('TRANS'!$B:$B,MATCH($B4366,'TRANS'!$A:$A,0)),IFERROR(INDEX('TRANS'!$B:$B,MATCH(TRIM(SUBSTITUTE($B4366,CHAR(160)," ")),'TRANS'!$D:$D,0)),IFERROR(INDEX('Catalog'!$A:$A,MATCH($B4366,'Catalog'!$B:$B,0)),IFERROR(INDEX('Catalog'!$A:$A,MATCH(TRIM(SUBSTITUTE($B4366,CHAR(160)," ")),'Catalog'!$C:$C,0)),""))))</f>
        <v>4422039</v>
      </c>
      <c r="H4366" s="8" t="str">
        <f aca="false">IFERROR(INDEX('TRANS'!$C:$C,MATCH($B4366,'TRANS'!$A:$A,0)),IFERROR(INDEX('Catalog'!$B:$B,MATCH($G4366,'Catalog'!$A:$A,0)),$B4366))</f>
        <v>SH422 3 תומך ברך גנושילד</v>
      </c>
      <c r="I4366" s="8" t="str">
        <f aca="false">IF($G4366="","Unmatched","Matched")</f>
        <v>Matched</v>
      </c>
      <c r="J4366" s="8" t="n">
        <f aca="false">IF($G4366&lt;&gt;"",$G4366,$B4366)</f>
        <v>4422039</v>
      </c>
      <c r="K4366" s="8" t="str">
        <f aca="false">IF(COUNTIF($M$1:$M$10,$A4366)&gt;0,"Y","N")</f>
        <v>N</v>
      </c>
    </row>
    <row r="4367" customFormat="false" ht="15" hidden="false" customHeight="true" outlineLevel="0" collapsed="false">
      <c r="A4367" s="8" t="s">
        <v>1117</v>
      </c>
      <c r="B4367" s="8" t="s">
        <v>893</v>
      </c>
      <c r="C4367" s="19" t="n">
        <v>0</v>
      </c>
      <c r="D4367" s="19" t="n">
        <v>0</v>
      </c>
      <c r="E4367" s="19" t="n">
        <v>20</v>
      </c>
      <c r="F4367" s="19" t="n">
        <v>1969.37</v>
      </c>
      <c r="G4367" s="8" t="n">
        <f aca="false">IFERROR(INDEX('TRANS'!$B:$B,MATCH($B4367,'TRANS'!$A:$A,0)),IFERROR(INDEX('TRANS'!$B:$B,MATCH(TRIM(SUBSTITUTE($B4367,CHAR(160)," ")),'TRANS'!$D:$D,0)),IFERROR(INDEX('Catalog'!$A:$A,MATCH($B4367,'Catalog'!$B:$B,0)),IFERROR(INDEX('Catalog'!$A:$A,MATCH(TRIM(SUBSTITUTE($B4367,CHAR(160)," ")),'Catalog'!$C:$C,0)),""))))</f>
        <v>4422040</v>
      </c>
      <c r="H4367" s="8" t="str">
        <f aca="false">IFERROR(INDEX('TRANS'!$C:$C,MATCH($B4367,'TRANS'!$A:$A,0)),IFERROR(INDEX('Catalog'!$B:$B,MATCH($G4367,'Catalog'!$A:$A,0)),$B4367))</f>
        <v>SH422 4 תומך ברך גנושילד</v>
      </c>
      <c r="I4367" s="8" t="str">
        <f aca="false">IF($G4367="","Unmatched","Matched")</f>
        <v>Matched</v>
      </c>
      <c r="J4367" s="8" t="n">
        <f aca="false">IF($G4367&lt;&gt;"",$G4367,$B4367)</f>
        <v>4422040</v>
      </c>
      <c r="K4367" s="8" t="str">
        <f aca="false">IF(COUNTIF($M$1:$M$10,$A4367)&gt;0,"Y","N")</f>
        <v>N</v>
      </c>
    </row>
    <row r="4368" customFormat="false" ht="15" hidden="false" customHeight="true" outlineLevel="0" collapsed="false">
      <c r="A4368" s="8" t="s">
        <v>1117</v>
      </c>
      <c r="B4368" s="8" t="s">
        <v>763</v>
      </c>
      <c r="C4368" s="19" t="n">
        <v>0</v>
      </c>
      <c r="D4368" s="19" t="n">
        <v>0</v>
      </c>
      <c r="E4368" s="19" t="n">
        <v>10</v>
      </c>
      <c r="F4368" s="19" t="n">
        <v>984.69</v>
      </c>
      <c r="G4368" s="8" t="n">
        <f aca="false">IFERROR(INDEX('TRANS'!$B:$B,MATCH($B4368,'TRANS'!$A:$A,0)),IFERROR(INDEX('TRANS'!$B:$B,MATCH(TRIM(SUBSTITUTE($B4368,CHAR(160)," ")),'TRANS'!$D:$D,0)),IFERROR(INDEX('Catalog'!$A:$A,MATCH($B4368,'Catalog'!$B:$B,0)),IFERROR(INDEX('Catalog'!$A:$A,MATCH(TRIM(SUBSTITUTE($B4368,CHAR(160)," ")),'Catalog'!$C:$C,0)),""))))</f>
        <v>4422041</v>
      </c>
      <c r="H4368" s="8" t="str">
        <f aca="false">IFERROR(INDEX('TRANS'!$C:$C,MATCH($B4368,'TRANS'!$A:$A,0)),IFERROR(INDEX('Catalog'!$B:$B,MATCH($G4368,'Catalog'!$A:$A,0)),$B4368))</f>
        <v>SH422 5 תומך ברך גנושילד</v>
      </c>
      <c r="I4368" s="8" t="str">
        <f aca="false">IF($G4368="","Unmatched","Matched")</f>
        <v>Matched</v>
      </c>
      <c r="J4368" s="8" t="n">
        <f aca="false">IF($G4368&lt;&gt;"",$G4368,$B4368)</f>
        <v>4422041</v>
      </c>
      <c r="K4368" s="8" t="str">
        <f aca="false">IF(COUNTIF($M$1:$M$10,$A4368)&gt;0,"Y","N")</f>
        <v>N</v>
      </c>
    </row>
    <row r="4369" customFormat="false" ht="15" hidden="false" customHeight="true" outlineLevel="0" collapsed="false">
      <c r="A4369" s="8" t="s">
        <v>1117</v>
      </c>
      <c r="B4369" s="8" t="s">
        <v>72</v>
      </c>
      <c r="C4369" s="19" t="n">
        <v>0</v>
      </c>
      <c r="D4369" s="19" t="n">
        <v>0</v>
      </c>
      <c r="E4369" s="19" t="n">
        <v>3</v>
      </c>
      <c r="F4369" s="19" t="n">
        <v>462.95</v>
      </c>
      <c r="G4369" s="8" t="str">
        <f aca="false">IFERROR(INDEX('TRANS'!$B:$B,MATCH($B4369,'TRANS'!$A:$A,0)),IFERROR(INDEX('TRANS'!$B:$B,MATCH(TRIM(SUBSTITUTE($B4369,CHAR(160)," ")),'TRANS'!$D:$D,0)),IFERROR(INDEX('Catalog'!$A:$A,MATCH($B4369,'Catalog'!$B:$B,0)),IFERROR(INDEX('Catalog'!$A:$A,MATCH(TRIM(SUBSTITUTE($B4369,CHAR(160)," ")),'Catalog'!$C:$C,0)),""))))</f>
        <v/>
      </c>
      <c r="H4369" s="8" t="str">
        <f aca="false">IFERROR(INDEX('TRANS'!$C:$C,MATCH($B4369,'TRANS'!$A:$A,0)),IFERROR(INDEX('Catalog'!$B:$B,MATCH($G4369,'Catalog'!$A:$A,0)),$B4369))</f>
        <v>SH776 L</v>
      </c>
      <c r="I4369" s="8" t="str">
        <f aca="false">IF($G4369="","Unmatched","Matched")</f>
        <v>Unmatched</v>
      </c>
      <c r="J4369" s="8" t="str">
        <f aca="false">IF($G4369&lt;&gt;"",$G4369,$B4369)</f>
        <v>SH776 L</v>
      </c>
      <c r="K4369" s="8" t="str">
        <f aca="false">IF(COUNTIF($M$1:$M$10,$A4369)&gt;0,"Y","N")</f>
        <v>N</v>
      </c>
    </row>
    <row r="4370" customFormat="false" ht="15" hidden="false" customHeight="true" outlineLevel="0" collapsed="false">
      <c r="A4370" s="8" t="s">
        <v>1117</v>
      </c>
      <c r="B4370" s="8" t="s">
        <v>101</v>
      </c>
      <c r="C4370" s="19" t="n">
        <v>0</v>
      </c>
      <c r="D4370" s="19" t="n">
        <v>0</v>
      </c>
      <c r="E4370" s="19" t="n">
        <v>2</v>
      </c>
      <c r="F4370" s="19" t="n">
        <v>308.63</v>
      </c>
      <c r="G4370" s="8" t="str">
        <f aca="false">IFERROR(INDEX('TRANS'!$B:$B,MATCH($B4370,'TRANS'!$A:$A,0)),IFERROR(INDEX('TRANS'!$B:$B,MATCH(TRIM(SUBSTITUTE($B4370,CHAR(160)," ")),'TRANS'!$D:$D,0)),IFERROR(INDEX('Catalog'!$A:$A,MATCH($B4370,'Catalog'!$B:$B,0)),IFERROR(INDEX('Catalog'!$A:$A,MATCH(TRIM(SUBSTITUTE($B4370,CHAR(160)," ")),'Catalog'!$C:$C,0)),""))))</f>
        <v/>
      </c>
      <c r="H4370" s="8" t="str">
        <f aca="false">IFERROR(INDEX('TRANS'!$C:$C,MATCH($B4370,'TRANS'!$A:$A,0)),IFERROR(INDEX('Catalog'!$B:$B,MATCH($G4370,'Catalog'!$A:$A,0)),$B4370))</f>
        <v>SH776 M</v>
      </c>
      <c r="I4370" s="8" t="str">
        <f aca="false">IF($G4370="","Unmatched","Matched")</f>
        <v>Unmatched</v>
      </c>
      <c r="J4370" s="8" t="str">
        <f aca="false">IF($G4370&lt;&gt;"",$G4370,$B4370)</f>
        <v>SH776 M</v>
      </c>
      <c r="K4370" s="8" t="str">
        <f aca="false">IF(COUNTIF($M$1:$M$10,$A4370)&gt;0,"Y","N")</f>
        <v>N</v>
      </c>
    </row>
    <row r="4371" customFormat="false" ht="15" hidden="false" customHeight="true" outlineLevel="0" collapsed="false">
      <c r="A4371" s="8" t="s">
        <v>1117</v>
      </c>
      <c r="B4371" s="8" t="s">
        <v>149</v>
      </c>
      <c r="C4371" s="19" t="n">
        <v>0</v>
      </c>
      <c r="D4371" s="19" t="n">
        <v>0</v>
      </c>
      <c r="E4371" s="19" t="n">
        <v>2</v>
      </c>
      <c r="F4371" s="19" t="n">
        <v>308.63</v>
      </c>
      <c r="G4371" s="8" t="str">
        <f aca="false">IFERROR(INDEX('TRANS'!$B:$B,MATCH($B4371,'TRANS'!$A:$A,0)),IFERROR(INDEX('TRANS'!$B:$B,MATCH(TRIM(SUBSTITUTE($B4371,CHAR(160)," ")),'TRANS'!$D:$D,0)),IFERROR(INDEX('Catalog'!$A:$A,MATCH($B4371,'Catalog'!$B:$B,0)),IFERROR(INDEX('Catalog'!$A:$A,MATCH(TRIM(SUBSTITUTE($B4371,CHAR(160)," ")),'Catalog'!$C:$C,0)),""))))</f>
        <v/>
      </c>
      <c r="H4371" s="8" t="str">
        <f aca="false">IFERROR(INDEX('TRANS'!$C:$C,MATCH($B4371,'TRANS'!$A:$A,0)),IFERROR(INDEX('Catalog'!$B:$B,MATCH($G4371,'Catalog'!$A:$A,0)),$B4371))</f>
        <v>SH776 S</v>
      </c>
      <c r="I4371" s="8" t="str">
        <f aca="false">IF($G4371="","Unmatched","Matched")</f>
        <v>Unmatched</v>
      </c>
      <c r="J4371" s="8" t="str">
        <f aca="false">IF($G4371&lt;&gt;"",$G4371,$B4371)</f>
        <v>SH776 S</v>
      </c>
      <c r="K4371" s="8" t="str">
        <f aca="false">IF(COUNTIF($M$1:$M$10,$A4371)&gt;0,"Y","N")</f>
        <v>N</v>
      </c>
    </row>
    <row r="4372" customFormat="false" ht="15" hidden="false" customHeight="true" outlineLevel="0" collapsed="false">
      <c r="A4372" s="8" t="s">
        <v>1117</v>
      </c>
      <c r="B4372" s="8" t="s">
        <v>86</v>
      </c>
      <c r="C4372" s="19" t="n">
        <v>0</v>
      </c>
      <c r="D4372" s="19" t="n">
        <v>0</v>
      </c>
      <c r="E4372" s="19" t="n">
        <v>3</v>
      </c>
      <c r="F4372" s="19" t="n">
        <v>462.95</v>
      </c>
      <c r="G4372" s="8" t="str">
        <f aca="false">IFERROR(INDEX('TRANS'!$B:$B,MATCH($B4372,'TRANS'!$A:$A,0)),IFERROR(INDEX('TRANS'!$B:$B,MATCH(TRIM(SUBSTITUTE($B4372,CHAR(160)," ")),'TRANS'!$D:$D,0)),IFERROR(INDEX('Catalog'!$A:$A,MATCH($B4372,'Catalog'!$B:$B,0)),IFERROR(INDEX('Catalog'!$A:$A,MATCH(TRIM(SUBSTITUTE($B4372,CHAR(160)," ")),'Catalog'!$C:$C,0)),""))))</f>
        <v/>
      </c>
      <c r="H4372" s="8" t="str">
        <f aca="false">IFERROR(INDEX('TRANS'!$C:$C,MATCH($B4372,'TRANS'!$A:$A,0)),IFERROR(INDEX('Catalog'!$B:$B,MATCH($G4372,'Catalog'!$A:$A,0)),$B4372))</f>
        <v>SH776 XL</v>
      </c>
      <c r="I4372" s="8" t="str">
        <f aca="false">IF($G4372="","Unmatched","Matched")</f>
        <v>Unmatched</v>
      </c>
      <c r="J4372" s="8" t="str">
        <f aca="false">IF($G4372&lt;&gt;"",$G4372,$B4372)</f>
        <v>SH776 XL</v>
      </c>
      <c r="K4372" s="8" t="str">
        <f aca="false">IF(COUNTIF($M$1:$M$10,$A4372)&gt;0,"Y","N")</f>
        <v>N</v>
      </c>
    </row>
    <row r="4373" customFormat="false" ht="15" hidden="false" customHeight="true" outlineLevel="0" collapsed="false">
      <c r="A4373" s="8" t="s">
        <v>1117</v>
      </c>
      <c r="B4373" s="8" t="s">
        <v>195</v>
      </c>
      <c r="C4373" s="19" t="n">
        <v>0</v>
      </c>
      <c r="D4373" s="19" t="n">
        <v>0</v>
      </c>
      <c r="E4373" s="19" t="n">
        <v>3</v>
      </c>
      <c r="F4373" s="19" t="n">
        <v>462.95</v>
      </c>
      <c r="G4373" s="8" t="str">
        <f aca="false">IFERROR(INDEX('TRANS'!$B:$B,MATCH($B4373,'TRANS'!$A:$A,0)),IFERROR(INDEX('TRANS'!$B:$B,MATCH(TRIM(SUBSTITUTE($B4373,CHAR(160)," ")),'TRANS'!$D:$D,0)),IFERROR(INDEX('Catalog'!$A:$A,MATCH($B4373,'Catalog'!$B:$B,0)),IFERROR(INDEX('Catalog'!$A:$A,MATCH(TRIM(SUBSTITUTE($B4373,CHAR(160)," ")),'Catalog'!$C:$C,0)),""))))</f>
        <v/>
      </c>
      <c r="H4373" s="8" t="str">
        <f aca="false">IFERROR(INDEX('TRANS'!$C:$C,MATCH($B4373,'TRANS'!$A:$A,0)),IFERROR(INDEX('Catalog'!$B:$B,MATCH($G4373,'Catalog'!$A:$A,0)),$B4373))</f>
        <v>SH776 XXL</v>
      </c>
      <c r="I4373" s="8" t="str">
        <f aca="false">IF($G4373="","Unmatched","Matched")</f>
        <v>Unmatched</v>
      </c>
      <c r="J4373" s="8" t="str">
        <f aca="false">IF($G4373&lt;&gt;"",$G4373,$B4373)</f>
        <v>SH776 XXL</v>
      </c>
      <c r="K4373" s="8" t="str">
        <f aca="false">IF(COUNTIF($M$1:$M$10,$A4373)&gt;0,"Y","N")</f>
        <v>N</v>
      </c>
    </row>
    <row r="4374" customFormat="false" ht="15" hidden="false" customHeight="true" outlineLevel="0" collapsed="false">
      <c r="A4374" s="8" t="s">
        <v>1117</v>
      </c>
      <c r="B4374" s="8" t="s">
        <v>895</v>
      </c>
      <c r="C4374" s="19" t="n">
        <v>70</v>
      </c>
      <c r="D4374" s="19" t="n">
        <v>2065.81</v>
      </c>
      <c r="E4374" s="19" t="n">
        <v>32</v>
      </c>
      <c r="F4374" s="19" t="n">
        <v>801.07</v>
      </c>
      <c r="G4374" s="8" t="n">
        <f aca="false">IFERROR(INDEX('TRANS'!$B:$B,MATCH($B4374,'TRANS'!$A:$A,0)),IFERROR(INDEX('TRANS'!$B:$B,MATCH(TRIM(SUBSTITUTE($B4374,CHAR(160)," ")),'TRANS'!$D:$D,0)),IFERROR(INDEX('Catalog'!$A:$A,MATCH($B4374,'Catalog'!$B:$B,0)),IFERROR(INDEX('Catalog'!$A:$A,MATCH(TRIM(SUBSTITUTE($B4374,CHAR(160)," ")),'Catalog'!$C:$C,0)),""))))</f>
        <v>4408270</v>
      </c>
      <c r="H4374" s="8" t="str">
        <f aca="false">IFERROR(INDEX('TRANS'!$C:$C,MATCH($B4374,'TRANS'!$A:$A,0)),IFERROR(INDEX('Catalog'!$B:$B,MATCH($G4374,'Catalog'!$A:$A,0)),$B4374))</f>
        <v>ST11  חגורת בטן</v>
      </c>
      <c r="I4374" s="8" t="str">
        <f aca="false">IF($G4374="","Unmatched","Matched")</f>
        <v>Matched</v>
      </c>
      <c r="J4374" s="8" t="n">
        <f aca="false">IF($G4374&lt;&gt;"",$G4374,$B4374)</f>
        <v>4408270</v>
      </c>
      <c r="K4374" s="8" t="str">
        <f aca="false">IF(COUNTIF($M$1:$M$10,$A4374)&gt;0,"Y","N")</f>
        <v>N</v>
      </c>
    </row>
    <row r="4375" customFormat="false" ht="15" hidden="false" customHeight="true" outlineLevel="0" collapsed="false">
      <c r="A4375" s="8" t="s">
        <v>1117</v>
      </c>
      <c r="B4375" s="8" t="s">
        <v>897</v>
      </c>
      <c r="C4375" s="19" t="n">
        <v>120</v>
      </c>
      <c r="D4375" s="19" t="n">
        <v>1792.25</v>
      </c>
      <c r="E4375" s="19" t="n">
        <v>100</v>
      </c>
      <c r="F4375" s="19" t="n">
        <v>1358.95</v>
      </c>
      <c r="G4375" s="8" t="n">
        <f aca="false">IFERROR(INDEX('TRANS'!$B:$B,MATCH($B4375,'TRANS'!$A:$A,0)),IFERROR(INDEX('TRANS'!$B:$B,MATCH(TRIM(SUBSTITUTE($B4375,CHAR(160)," ")),'TRANS'!$D:$D,0)),IFERROR(INDEX('Catalog'!$A:$A,MATCH($B4375,'Catalog'!$B:$B,0)),IFERROR(INDEX('Catalog'!$A:$A,MATCH(TRIM(SUBSTITUTE($B4375,CHAR(160)," ")),'Catalog'!$C:$C,0)),""))))</f>
        <v>4408267</v>
      </c>
      <c r="H4375" s="8" t="str">
        <f aca="false">IFERROR(INDEX('TRANS'!$C:$C,MATCH($B4375,'TRANS'!$A:$A,0)),IFERROR(INDEX('Catalog'!$B:$B,MATCH($G4375,'Catalog'!$A:$A,0)),$B4375))</f>
        <v>ST25 חבק שורש לכף היד</v>
      </c>
      <c r="I4375" s="8" t="str">
        <f aca="false">IF($G4375="","Unmatched","Matched")</f>
        <v>Matched</v>
      </c>
      <c r="J4375" s="8" t="n">
        <f aca="false">IF($G4375&lt;&gt;"",$G4375,$B4375)</f>
        <v>4408267</v>
      </c>
      <c r="K4375" s="8" t="str">
        <f aca="false">IF(COUNTIF($M$1:$M$10,$A4375)&gt;0,"Y","N")</f>
        <v>N</v>
      </c>
    </row>
    <row r="4376" customFormat="false" ht="15" hidden="false" customHeight="true" outlineLevel="0" collapsed="false">
      <c r="A4376" s="8" t="s">
        <v>1117</v>
      </c>
      <c r="B4376" s="8" t="s">
        <v>74</v>
      </c>
      <c r="C4376" s="19" t="n">
        <v>40</v>
      </c>
      <c r="D4376" s="19" t="n">
        <v>744.59</v>
      </c>
      <c r="E4376" s="19" t="n">
        <v>10</v>
      </c>
      <c r="F4376" s="19" t="n">
        <v>162.57</v>
      </c>
      <c r="G4376" s="8" t="str">
        <f aca="false">IFERROR(INDEX('TRANS'!$B:$B,MATCH($B4376,'TRANS'!$A:$A,0)),IFERROR(INDEX('TRANS'!$B:$B,MATCH(TRIM(SUBSTITUTE($B4376,CHAR(160)," ")),'TRANS'!$D:$D,0)),IFERROR(INDEX('Catalog'!$A:$A,MATCH($B4376,'Catalog'!$B:$B,0)),IFERROR(INDEX('Catalog'!$A:$A,MATCH(TRIM(SUBSTITUTE($B4376,CHAR(160)," ")),'Catalog'!$C:$C,0)),""))))</f>
        <v/>
      </c>
      <c r="H4376" s="8" t="str">
        <f aca="false">IFERROR(INDEX('TRANS'!$C:$C,MATCH($B4376,'TRANS'!$A:$A,0)),IFERROR(INDEX('Catalog'!$B:$B,MATCH($G4376,'Catalog'!$A:$A,0)),$B4376))</f>
        <v>ST27L 0</v>
      </c>
      <c r="I4376" s="8" t="str">
        <f aca="false">IF($G4376="","Unmatched","Matched")</f>
        <v>Unmatched</v>
      </c>
      <c r="J4376" s="8" t="str">
        <f aca="false">IF($G4376&lt;&gt;"",$G4376,$B4376)</f>
        <v>ST27L 0</v>
      </c>
      <c r="K4376" s="8" t="str">
        <f aca="false">IF(COUNTIF($M$1:$M$10,$A4376)&gt;0,"Y","N")</f>
        <v>N</v>
      </c>
    </row>
    <row r="4377" customFormat="false" ht="15" hidden="false" customHeight="true" outlineLevel="0" collapsed="false">
      <c r="A4377" s="8" t="s">
        <v>1117</v>
      </c>
      <c r="B4377" s="8" t="s">
        <v>70</v>
      </c>
      <c r="C4377" s="19" t="n">
        <v>40</v>
      </c>
      <c r="D4377" s="19" t="n">
        <v>780.98</v>
      </c>
      <c r="E4377" s="19" t="n">
        <v>22</v>
      </c>
      <c r="F4377" s="19" t="n">
        <v>357.65</v>
      </c>
      <c r="G4377" s="8" t="str">
        <f aca="false">IFERROR(INDEX('TRANS'!$B:$B,MATCH($B4377,'TRANS'!$A:$A,0)),IFERROR(INDEX('TRANS'!$B:$B,MATCH(TRIM(SUBSTITUTE($B4377,CHAR(160)," ")),'TRANS'!$D:$D,0)),IFERROR(INDEX('Catalog'!$A:$A,MATCH($B4377,'Catalog'!$B:$B,0)),IFERROR(INDEX('Catalog'!$A:$A,MATCH(TRIM(SUBSTITUTE($B4377,CHAR(160)," ")),'Catalog'!$C:$C,0)),""))))</f>
        <v/>
      </c>
      <c r="H4377" s="8" t="str">
        <f aca="false">IFERROR(INDEX('TRANS'!$C:$C,MATCH($B4377,'TRANS'!$A:$A,0)),IFERROR(INDEX('Catalog'!$B:$B,MATCH($G4377,'Catalog'!$A:$A,0)),$B4377))</f>
        <v>ST27R 0</v>
      </c>
      <c r="I4377" s="8" t="str">
        <f aca="false">IF($G4377="","Unmatched","Matched")</f>
        <v>Unmatched</v>
      </c>
      <c r="J4377" s="8" t="str">
        <f aca="false">IF($G4377&lt;&gt;"",$G4377,$B4377)</f>
        <v>ST27R 0</v>
      </c>
      <c r="K4377" s="8" t="str">
        <f aca="false">IF(COUNTIF($M$1:$M$10,$A4377)&gt;0,"Y","N")</f>
        <v>N</v>
      </c>
    </row>
    <row r="4378" customFormat="false" ht="15" hidden="false" customHeight="true" outlineLevel="0" collapsed="false">
      <c r="A4378" s="8" t="s">
        <v>1117</v>
      </c>
      <c r="B4378" s="8" t="s">
        <v>898</v>
      </c>
      <c r="C4378" s="19" t="n">
        <v>30</v>
      </c>
      <c r="D4378" s="19" t="n">
        <v>511.47</v>
      </c>
      <c r="E4378" s="19" t="n">
        <v>50</v>
      </c>
      <c r="F4378" s="19" t="n">
        <v>783.9</v>
      </c>
      <c r="G4378" s="8" t="n">
        <f aca="false">IFERROR(INDEX('TRANS'!$B:$B,MATCH($B4378,'TRANS'!$A:$A,0)),IFERROR(INDEX('TRANS'!$B:$B,MATCH(TRIM(SUBSTITUTE($B4378,CHAR(160)," ")),'TRANS'!$D:$D,0)),IFERROR(INDEX('Catalog'!$A:$A,MATCH($B4378,'Catalog'!$B:$B,0)),IFERROR(INDEX('Catalog'!$A:$A,MATCH(TRIM(SUBSTITUTE($B4378,CHAR(160)," ")),'Catalog'!$C:$C,0)),""))))</f>
        <v>4415177</v>
      </c>
      <c r="H4378" s="8" t="str">
        <f aca="false">IFERROR(INDEX('TRANS'!$C:$C,MATCH($B4378,'TRANS'!$A:$A,0)),IFERROR(INDEX('Catalog'!$B:$B,MATCH($G4378,'Catalog'!$A:$A,0)),$B4378))</f>
        <v>ST28 סד אגודלי עם מוט תמיכה</v>
      </c>
      <c r="I4378" s="8" t="str">
        <f aca="false">IF($G4378="","Unmatched","Matched")</f>
        <v>Matched</v>
      </c>
      <c r="J4378" s="8" t="n">
        <f aca="false">IF($G4378&lt;&gt;"",$G4378,$B4378)</f>
        <v>4415177</v>
      </c>
      <c r="K4378" s="8" t="str">
        <f aca="false">IF(COUNTIF($M$1:$M$10,$A4378)&gt;0,"Y","N")</f>
        <v>N</v>
      </c>
    </row>
    <row r="4379" customFormat="false" ht="15" hidden="false" customHeight="true" outlineLevel="0" collapsed="false">
      <c r="A4379" s="8" t="s">
        <v>1117</v>
      </c>
      <c r="B4379" s="8" t="s">
        <v>899</v>
      </c>
      <c r="C4379" s="19" t="n">
        <v>30</v>
      </c>
      <c r="D4379" s="19" t="n">
        <v>505.71</v>
      </c>
      <c r="E4379" s="19" t="n">
        <v>30</v>
      </c>
      <c r="F4379" s="19" t="n">
        <v>462.84</v>
      </c>
      <c r="G4379" s="8" t="n">
        <f aca="false">IFERROR(INDEX('TRANS'!$B:$B,MATCH($B4379,'TRANS'!$A:$A,0)),IFERROR(INDEX('TRANS'!$B:$B,MATCH(TRIM(SUBSTITUTE($B4379,CHAR(160)," ")),'TRANS'!$D:$D,0)),IFERROR(INDEX('Catalog'!$A:$A,MATCH($B4379,'Catalog'!$B:$B,0)),IFERROR(INDEX('Catalog'!$A:$A,MATCH(TRIM(SUBSTITUTE($B4379,CHAR(160)," ")),'Catalog'!$C:$C,0)),""))))</f>
        <v>4408269</v>
      </c>
      <c r="H4379" s="8" t="str">
        <f aca="false">IFERROR(INDEX('TRANS'!$C:$C,MATCH($B4379,'TRANS'!$A:$A,0)),IFERROR(INDEX('Catalog'!$B:$B,MATCH($G4379,'Catalog'!$A:$A,0)),$B4379))</f>
        <v>ST37 חבק לקרסול</v>
      </c>
      <c r="I4379" s="8" t="str">
        <f aca="false">IF($G4379="","Unmatched","Matched")</f>
        <v>Matched</v>
      </c>
      <c r="J4379" s="8" t="n">
        <f aca="false">IF($G4379&lt;&gt;"",$G4379,$B4379)</f>
        <v>4408269</v>
      </c>
      <c r="K4379" s="8" t="str">
        <f aca="false">IF(COUNTIF($M$1:$M$10,$A4379)&gt;0,"Y","N")</f>
        <v>N</v>
      </c>
    </row>
    <row r="4380" customFormat="false" ht="15" hidden="false" customHeight="true" outlineLevel="0" collapsed="false">
      <c r="A4380" s="8" t="s">
        <v>1117</v>
      </c>
      <c r="B4380" s="8" t="s">
        <v>80</v>
      </c>
      <c r="C4380" s="19" t="n">
        <v>50</v>
      </c>
      <c r="D4380" s="19" t="n">
        <v>940.21</v>
      </c>
      <c r="E4380" s="19" t="n">
        <v>30</v>
      </c>
      <c r="F4380" s="19" t="n">
        <v>527.77</v>
      </c>
      <c r="G4380" s="8" t="str">
        <f aca="false">IFERROR(INDEX('TRANS'!$B:$B,MATCH($B4380,'TRANS'!$A:$A,0)),IFERROR(INDEX('TRANS'!$B:$B,MATCH(TRIM(SUBSTITUTE($B4380,CHAR(160)," ")),'TRANS'!$D:$D,0)),IFERROR(INDEX('Catalog'!$A:$A,MATCH($B4380,'Catalog'!$B:$B,0)),IFERROR(INDEX('Catalog'!$A:$A,MATCH(TRIM(SUBSTITUTE($B4380,CHAR(160)," ")),'Catalog'!$C:$C,0)),""))))</f>
        <v/>
      </c>
      <c r="H4380" s="8" t="str">
        <f aca="false">IFERROR(INDEX('TRANS'!$C:$C,MATCH($B4380,'TRANS'!$A:$A,0)),IFERROR(INDEX('Catalog'!$B:$B,MATCH($G4380,'Catalog'!$A:$A,0)),$B4380))</f>
        <v>ST45X 0</v>
      </c>
      <c r="I4380" s="8" t="str">
        <f aca="false">IF($G4380="","Unmatched","Matched")</f>
        <v>Unmatched</v>
      </c>
      <c r="J4380" s="8" t="str">
        <f aca="false">IF($G4380&lt;&gt;"",$G4380,$B4380)</f>
        <v>ST45X 0</v>
      </c>
      <c r="K4380" s="8" t="str">
        <f aca="false">IF(COUNTIF($M$1:$M$10,$A4380)&gt;0,"Y","N")</f>
        <v>N</v>
      </c>
    </row>
    <row r="4381" customFormat="false" ht="15" hidden="false" customHeight="true" outlineLevel="0" collapsed="false">
      <c r="A4381" s="8" t="s">
        <v>1117</v>
      </c>
      <c r="B4381" s="8" t="s">
        <v>902</v>
      </c>
      <c r="C4381" s="19" t="n">
        <v>10</v>
      </c>
      <c r="D4381" s="19" t="n">
        <v>196.56</v>
      </c>
      <c r="E4381" s="19" t="n">
        <v>0</v>
      </c>
      <c r="F4381" s="19" t="n">
        <v>0</v>
      </c>
      <c r="G4381" s="8" t="n">
        <f aca="false">IFERROR(INDEX('TRANS'!$B:$B,MATCH($B4381,'TRANS'!$A:$A,0)),IFERROR(INDEX('TRANS'!$B:$B,MATCH(TRIM(SUBSTITUTE($B4381,CHAR(160)," ")),'TRANS'!$D:$D,0)),IFERROR(INDEX('Catalog'!$A:$A,MATCH($B4381,'Catalog'!$B:$B,0)),IFERROR(INDEX('Catalog'!$A:$A,MATCH(TRIM(SUBSTITUTE($B4381,CHAR(160)," ")),'Catalog'!$C:$C,0)),""))))</f>
        <v>4413533</v>
      </c>
      <c r="H4381" s="8" t="str">
        <f aca="false">IFERROR(INDEX('TRANS'!$C:$C,MATCH($B4381,'TRANS'!$A:$A,0)),IFERROR(INDEX('Catalog'!$B:$B,MATCH($G4381,'Catalog'!$A:$A,0)),$B4381))</f>
        <v>ST49 מגן ירך</v>
      </c>
      <c r="I4381" s="8" t="str">
        <f aca="false">IF($G4381="","Unmatched","Matched")</f>
        <v>Matched</v>
      </c>
      <c r="J4381" s="8" t="n">
        <f aca="false">IF($G4381&lt;&gt;"",$G4381,$B4381)</f>
        <v>4413533</v>
      </c>
      <c r="K4381" s="8" t="str">
        <f aca="false">IF(COUNTIF($M$1:$M$10,$A4381)&gt;0,"Y","N")</f>
        <v>N</v>
      </c>
    </row>
    <row r="4382" customFormat="false" ht="15" hidden="false" customHeight="true" outlineLevel="0" collapsed="false">
      <c r="A4382" s="8" t="s">
        <v>1117</v>
      </c>
      <c r="B4382" s="8" t="s">
        <v>903</v>
      </c>
      <c r="C4382" s="19" t="n">
        <v>30</v>
      </c>
      <c r="D4382" s="19" t="n">
        <v>533.23</v>
      </c>
      <c r="E4382" s="19" t="n">
        <v>10</v>
      </c>
      <c r="F4382" s="19" t="n">
        <v>156.15</v>
      </c>
      <c r="G4382" s="8" t="n">
        <f aca="false">IFERROR(INDEX('TRANS'!$B:$B,MATCH($B4382,'TRANS'!$A:$A,0)),IFERROR(INDEX('TRANS'!$B:$B,MATCH(TRIM(SUBSTITUTE($B4382,CHAR(160)," ")),'TRANS'!$D:$D,0)),IFERROR(INDEX('Catalog'!$A:$A,MATCH($B4382,'Catalog'!$B:$B,0)),IFERROR(INDEX('Catalog'!$A:$A,MATCH(TRIM(SUBSTITUTE($B4382,CHAR(160)," ")),'Catalog'!$C:$C,0)),""))))</f>
        <v>4413531</v>
      </c>
      <c r="H4382" s="8" t="str">
        <f aca="false">IFERROR(INDEX('TRANS'!$C:$C,MATCH($B4382,'TRANS'!$A:$A,0)),IFERROR(INDEX('Catalog'!$B:$B,MATCH($G4382,'Catalog'!$A:$A,0)),$B4382))</f>
        <v>ST91 מגן מרפק לטניס</v>
      </c>
      <c r="I4382" s="8" t="str">
        <f aca="false">IF($G4382="","Unmatched","Matched")</f>
        <v>Matched</v>
      </c>
      <c r="J4382" s="8" t="n">
        <f aca="false">IF($G4382&lt;&gt;"",$G4382,$B4382)</f>
        <v>4413531</v>
      </c>
      <c r="K4382" s="8" t="str">
        <f aca="false">IF(COUNTIF($M$1:$M$10,$A4382)&gt;0,"Y","N")</f>
        <v>N</v>
      </c>
    </row>
    <row r="4383" customFormat="false" ht="15" hidden="false" customHeight="true" outlineLevel="0" collapsed="false">
      <c r="A4383" s="8" t="s">
        <v>1117</v>
      </c>
      <c r="B4383" s="8" t="s">
        <v>1080</v>
      </c>
      <c r="C4383" s="19" t="n">
        <v>10</v>
      </c>
      <c r="D4383" s="19" t="n">
        <v>206.45</v>
      </c>
      <c r="E4383" s="19" t="n">
        <v>20</v>
      </c>
      <c r="F4383" s="19" t="n">
        <v>389.47</v>
      </c>
      <c r="G4383" s="8" t="str">
        <f aca="false">IFERROR(INDEX('TRANS'!$B:$B,MATCH($B4383,'TRANS'!$A:$A,0)),IFERROR(INDEX('TRANS'!$B:$B,MATCH(TRIM(SUBSTITUTE($B4383,CHAR(160)," ")),'TRANS'!$D:$D,0)),IFERROR(INDEX('Catalog'!$A:$A,MATCH($B4383,'Catalog'!$B:$B,0)),IFERROR(INDEX('Catalog'!$A:$A,MATCH(TRIM(SUBSTITUTE($B4383,CHAR(160)," ")),'Catalog'!$C:$C,0)),""))))</f>
        <v/>
      </c>
      <c r="H4383" s="8" t="str">
        <f aca="false">IFERROR(INDEX('TRANS'!$C:$C,MATCH($B4383,'TRANS'!$A:$A,0)),IFERROR(INDEX('Catalog'!$B:$B,MATCH($G4383,'Catalog'!$A:$A,0)),$B4383))</f>
        <v>ST95 0</v>
      </c>
      <c r="I4383" s="8" t="str">
        <f aca="false">IF($G4383="","Unmatched","Matched")</f>
        <v>Unmatched</v>
      </c>
      <c r="J4383" s="8" t="str">
        <f aca="false">IF($G4383&lt;&gt;"",$G4383,$B4383)</f>
        <v>ST95 0</v>
      </c>
      <c r="K4383" s="8" t="str">
        <f aca="false">IF(COUNTIF($M$1:$M$10,$A4383)&gt;0,"Y","N")</f>
        <v>N</v>
      </c>
    </row>
    <row r="4384" customFormat="false" ht="15" hidden="false" customHeight="true" outlineLevel="0" collapsed="false">
      <c r="A4384" s="8" t="s">
        <v>1117</v>
      </c>
      <c r="B4384" s="8" t="s">
        <v>904</v>
      </c>
      <c r="C4384" s="19" t="n">
        <v>0</v>
      </c>
      <c r="D4384" s="19" t="n">
        <v>0</v>
      </c>
      <c r="E4384" s="19" t="n">
        <v>3</v>
      </c>
      <c r="F4384" s="19" t="n">
        <v>59.55</v>
      </c>
      <c r="G4384" s="8" t="n">
        <f aca="false">IFERROR(INDEX('TRANS'!$B:$B,MATCH($B4384,'TRANS'!$A:$A,0)),IFERROR(INDEX('TRANS'!$B:$B,MATCH(TRIM(SUBSTITUTE($B4384,CHAR(160)," ")),'TRANS'!$D:$D,0)),IFERROR(INDEX('Catalog'!$A:$A,MATCH($B4384,'Catalog'!$B:$B,0)),IFERROR(INDEX('Catalog'!$A:$A,MATCH(TRIM(SUBSTITUTE($B4384,CHAR(160)," ")),'Catalog'!$C:$C,0)),""))))</f>
        <v>4408099</v>
      </c>
      <c r="H4384" s="8" t="str">
        <f aca="false">IFERROR(INDEX('TRANS'!$C:$C,MATCH($B4384,'TRANS'!$A:$A,0)),IFERROR(INDEX('Catalog'!$B:$B,MATCH($G4384,'Catalog'!$A:$A,0)),$B4384))</f>
        <v>T25C-חבק יד אגודלי</v>
      </c>
      <c r="I4384" s="8" t="str">
        <f aca="false">IF($G4384="","Unmatched","Matched")</f>
        <v>Matched</v>
      </c>
      <c r="J4384" s="8" t="n">
        <f aca="false">IF($G4384&lt;&gt;"",$G4384,$B4384)</f>
        <v>4408099</v>
      </c>
      <c r="K4384" s="8" t="str">
        <f aca="false">IF(COUNTIF($M$1:$M$10,$A4384)&gt;0,"Y","N")</f>
        <v>N</v>
      </c>
    </row>
    <row r="4385" customFormat="false" ht="15" hidden="false" customHeight="true" outlineLevel="0" collapsed="false">
      <c r="A4385" s="8" t="s">
        <v>1117</v>
      </c>
      <c r="B4385" s="8" t="s">
        <v>774</v>
      </c>
      <c r="C4385" s="19" t="n">
        <v>0</v>
      </c>
      <c r="D4385" s="19" t="n">
        <v>0</v>
      </c>
      <c r="E4385" s="19" t="n">
        <v>12</v>
      </c>
      <c r="F4385" s="19" t="n">
        <v>890.63</v>
      </c>
      <c r="G4385" s="8" t="n">
        <f aca="false">IFERROR(INDEX('TRANS'!$B:$B,MATCH($B4385,'TRANS'!$A:$A,0)),IFERROR(INDEX('TRANS'!$B:$B,MATCH(TRIM(SUBSTITUTE($B4385,CHAR(160)," ")),'TRANS'!$D:$D,0)),IFERROR(INDEX('Catalog'!$A:$A,MATCH($B4385,'Catalog'!$B:$B,0)),IFERROR(INDEX('Catalog'!$A:$A,MATCH(TRIM(SUBSTITUTE($B4385,CHAR(160)," ")),'Catalog'!$C:$C,0)),""))))</f>
        <v>4422006</v>
      </c>
      <c r="H4385" s="8" t="str">
        <f aca="false">IFERROR(INDEX('TRANS'!$C:$C,MATCH($B4385,'TRANS'!$A:$A,0)),IFERROR(INDEX('Catalog'!$B:$B,MATCH($G4385,'Catalog'!$A:$A,0)),$B4385))</f>
        <v>T78 L תומך זרוע וכתף</v>
      </c>
      <c r="I4385" s="8" t="str">
        <f aca="false">IF($G4385="","Unmatched","Matched")</f>
        <v>Matched</v>
      </c>
      <c r="J4385" s="8" t="n">
        <f aca="false">IF($G4385&lt;&gt;"",$G4385,$B4385)</f>
        <v>4422006</v>
      </c>
      <c r="K4385" s="8" t="str">
        <f aca="false">IF(COUNTIF($M$1:$M$10,$A4385)&gt;0,"Y","N")</f>
        <v>N</v>
      </c>
    </row>
    <row r="4386" customFormat="false" ht="15" hidden="false" customHeight="true" outlineLevel="0" collapsed="false">
      <c r="A4386" s="8" t="s">
        <v>1117</v>
      </c>
      <c r="B4386" s="8" t="s">
        <v>851</v>
      </c>
      <c r="C4386" s="19" t="n">
        <v>0</v>
      </c>
      <c r="D4386" s="19" t="n">
        <v>0</v>
      </c>
      <c r="E4386" s="19" t="n">
        <v>4</v>
      </c>
      <c r="F4386" s="19" t="n">
        <v>276.54</v>
      </c>
      <c r="G4386" s="8" t="n">
        <f aca="false">IFERROR(INDEX('TRANS'!$B:$B,MATCH($B4386,'TRANS'!$A:$A,0)),IFERROR(INDEX('TRANS'!$B:$B,MATCH(TRIM(SUBSTITUTE($B4386,CHAR(160)," ")),'TRANS'!$D:$D,0)),IFERROR(INDEX('Catalog'!$A:$A,MATCH($B4386,'Catalog'!$B:$B,0)),IFERROR(INDEX('Catalog'!$A:$A,MATCH(TRIM(SUBSTITUTE($B4386,CHAR(160)," ")),'Catalog'!$C:$C,0)),""))))</f>
        <v>4422005</v>
      </c>
      <c r="H4386" s="8" t="str">
        <f aca="false">IFERROR(INDEX('TRANS'!$C:$C,MATCH($B4386,'TRANS'!$A:$A,0)),IFERROR(INDEX('Catalog'!$B:$B,MATCH($G4386,'Catalog'!$A:$A,0)),$B4386))</f>
        <v>T78 M תומך זרוע וכתף</v>
      </c>
      <c r="I4386" s="8" t="str">
        <f aca="false">IF($G4386="","Unmatched","Matched")</f>
        <v>Matched</v>
      </c>
      <c r="J4386" s="8" t="n">
        <f aca="false">IF($G4386&lt;&gt;"",$G4386,$B4386)</f>
        <v>4422005</v>
      </c>
      <c r="K4386" s="8" t="str">
        <f aca="false">IF(COUNTIF($M$1:$M$10,$A4386)&gt;0,"Y","N")</f>
        <v>N</v>
      </c>
    </row>
    <row r="4387" customFormat="false" ht="15" hidden="false" customHeight="true" outlineLevel="0" collapsed="false">
      <c r="A4387" s="8" t="s">
        <v>1117</v>
      </c>
      <c r="B4387" s="8" t="s">
        <v>946</v>
      </c>
      <c r="C4387" s="19" t="n">
        <v>0</v>
      </c>
      <c r="D4387" s="19" t="n">
        <v>0</v>
      </c>
      <c r="E4387" s="19" t="n">
        <v>12</v>
      </c>
      <c r="F4387" s="19" t="n">
        <v>890.63</v>
      </c>
      <c r="G4387" s="8" t="n">
        <f aca="false">IFERROR(INDEX('TRANS'!$B:$B,MATCH($B4387,'TRANS'!$A:$A,0)),IFERROR(INDEX('TRANS'!$B:$B,MATCH(TRIM(SUBSTITUTE($B4387,CHAR(160)," ")),'TRANS'!$D:$D,0)),IFERROR(INDEX('Catalog'!$A:$A,MATCH($B4387,'Catalog'!$B:$B,0)),IFERROR(INDEX('Catalog'!$A:$A,MATCH(TRIM(SUBSTITUTE($B4387,CHAR(160)," ")),'Catalog'!$C:$C,0)),""))))</f>
        <v>4422007</v>
      </c>
      <c r="H4387" s="8" t="str">
        <f aca="false">IFERROR(INDEX('TRANS'!$C:$C,MATCH($B4387,'TRANS'!$A:$A,0)),IFERROR(INDEX('Catalog'!$B:$B,MATCH($G4387,'Catalog'!$A:$A,0)),$B4387))</f>
        <v>T78 XLתומך זרוע וכתף</v>
      </c>
      <c r="I4387" s="8" t="str">
        <f aca="false">IF($G4387="","Unmatched","Matched")</f>
        <v>Matched</v>
      </c>
      <c r="J4387" s="8" t="n">
        <f aca="false">IF($G4387&lt;&gt;"",$G4387,$B4387)</f>
        <v>4422007</v>
      </c>
      <c r="K4387" s="8" t="str">
        <f aca="false">IF(COUNTIF($M$1:$M$10,$A4387)&gt;0,"Y","N")</f>
        <v>N</v>
      </c>
    </row>
    <row r="4388" customFormat="false" ht="15" hidden="false" customHeight="true" outlineLevel="0" collapsed="false">
      <c r="A4388" s="8" t="s">
        <v>1117</v>
      </c>
      <c r="B4388" s="8" t="s">
        <v>933</v>
      </c>
      <c r="C4388" s="19" t="n">
        <v>0</v>
      </c>
      <c r="D4388" s="19" t="n">
        <v>0</v>
      </c>
      <c r="E4388" s="19" t="n">
        <v>6</v>
      </c>
      <c r="F4388" s="19" t="n">
        <v>445.31</v>
      </c>
      <c r="G4388" s="8" t="n">
        <f aca="false">IFERROR(INDEX('TRANS'!$B:$B,MATCH($B4388,'TRANS'!$A:$A,0)),IFERROR(INDEX('TRANS'!$B:$B,MATCH(TRIM(SUBSTITUTE($B4388,CHAR(160)," ")),'TRANS'!$D:$D,0)),IFERROR(INDEX('Catalog'!$A:$A,MATCH($B4388,'Catalog'!$B:$B,0)),IFERROR(INDEX('Catalog'!$A:$A,MATCH(TRIM(SUBSTITUTE($B4388,CHAR(160)," ")),'Catalog'!$C:$C,0)),""))))</f>
        <v>4422009</v>
      </c>
      <c r="H4388" s="8" t="str">
        <f aca="false">IFERROR(INDEX('TRANS'!$C:$C,MATCH($B4388,'TRANS'!$A:$A,0)),IFERROR(INDEX('Catalog'!$B:$B,MATCH($G4388,'Catalog'!$A:$A,0)),$B4388))</f>
        <v>T78 XXL תומך זרוע וכתף</v>
      </c>
      <c r="I4388" s="8" t="str">
        <f aca="false">IF($G4388="","Unmatched","Matched")</f>
        <v>Matched</v>
      </c>
      <c r="J4388" s="8" t="n">
        <f aca="false">IF($G4388&lt;&gt;"",$G4388,$B4388)</f>
        <v>4422009</v>
      </c>
      <c r="K4388" s="8" t="str">
        <f aca="false">IF(COUNTIF($M$1:$M$10,$A4388)&gt;0,"Y","N")</f>
        <v>N</v>
      </c>
    </row>
    <row r="4389" customFormat="false" ht="15" hidden="false" customHeight="true" outlineLevel="0" collapsed="false">
      <c r="A4389" s="8" t="s">
        <v>1119</v>
      </c>
      <c r="B4389" s="8" t="s">
        <v>1120</v>
      </c>
      <c r="C4389" s="19" t="n">
        <v>12</v>
      </c>
      <c r="D4389" s="19" t="n">
        <v>1081.78</v>
      </c>
      <c r="E4389" s="19" t="n">
        <v>0</v>
      </c>
      <c r="F4389" s="19" t="n">
        <v>0</v>
      </c>
      <c r="G4389" s="8" t="str">
        <f aca="false">IFERROR(INDEX('TRANS'!$B:$B,MATCH($B4389,'TRANS'!$A:$A,0)),IFERROR(INDEX('TRANS'!$B:$B,MATCH(TRIM(SUBSTITUTE($B4389,CHAR(160)," ")),'TRANS'!$D:$D,0)),IFERROR(INDEX('Catalog'!$A:$A,MATCH($B4389,'Catalog'!$B:$B,0)),IFERROR(INDEX('Catalog'!$A:$A,MATCH(TRIM(SUBSTITUTE($B4389,CHAR(160)," ")),'Catalog'!$C:$C,0)),""))))</f>
        <v/>
      </c>
      <c r="H4389" s="8" t="str">
        <f aca="false">IFERROR(INDEX('TRANS'!$C:$C,MATCH($B4389,'TRANS'!$A:$A,0)),IFERROR(INDEX('Catalog'!$B:$B,MATCH($G4389,'Catalog'!$A:$A,0)),$B4389))</f>
        <v>EC-078 L</v>
      </c>
      <c r="I4389" s="8" t="str">
        <f aca="false">IF($G4389="","Unmatched","Matched")</f>
        <v>Unmatched</v>
      </c>
      <c r="J4389" s="8" t="str">
        <f aca="false">IF($G4389&lt;&gt;"",$G4389,$B4389)</f>
        <v>EC-078 L</v>
      </c>
      <c r="K4389" s="8" t="str">
        <f aca="false">IF(COUNTIF($M$1:$M$10,$A4389)&gt;0,"Y","N")</f>
        <v>N</v>
      </c>
    </row>
    <row r="4390" customFormat="false" ht="15" hidden="false" customHeight="true" outlineLevel="0" collapsed="false">
      <c r="A4390" s="8" t="s">
        <v>1119</v>
      </c>
      <c r="B4390" s="8" t="s">
        <v>1121</v>
      </c>
      <c r="C4390" s="19" t="n">
        <v>15</v>
      </c>
      <c r="D4390" s="19" t="n">
        <v>1249.35</v>
      </c>
      <c r="E4390" s="19" t="n">
        <v>0</v>
      </c>
      <c r="F4390" s="19" t="n">
        <v>0</v>
      </c>
      <c r="G4390" s="8" t="str">
        <f aca="false">IFERROR(INDEX('TRANS'!$B:$B,MATCH($B4390,'TRANS'!$A:$A,0)),IFERROR(INDEX('TRANS'!$B:$B,MATCH(TRIM(SUBSTITUTE($B4390,CHAR(160)," ")),'TRANS'!$D:$D,0)),IFERROR(INDEX('Catalog'!$A:$A,MATCH($B4390,'Catalog'!$B:$B,0)),IFERROR(INDEX('Catalog'!$A:$A,MATCH(TRIM(SUBSTITUTE($B4390,CHAR(160)," ")),'Catalog'!$C:$C,0)),""))))</f>
        <v/>
      </c>
      <c r="H4390" s="8" t="str">
        <f aca="false">IFERROR(INDEX('TRANS'!$C:$C,MATCH($B4390,'TRANS'!$A:$A,0)),IFERROR(INDEX('Catalog'!$B:$B,MATCH($G4390,'Catalog'!$A:$A,0)),$B4390))</f>
        <v>EC-078 M</v>
      </c>
      <c r="I4390" s="8" t="str">
        <f aca="false">IF($G4390="","Unmatched","Matched")</f>
        <v>Unmatched</v>
      </c>
      <c r="J4390" s="8" t="str">
        <f aca="false">IF($G4390&lt;&gt;"",$G4390,$B4390)</f>
        <v>EC-078 M</v>
      </c>
      <c r="K4390" s="8" t="str">
        <f aca="false">IF(COUNTIF($M$1:$M$10,$A4390)&gt;0,"Y","N")</f>
        <v>N</v>
      </c>
    </row>
    <row r="4391" customFormat="false" ht="15" hidden="false" customHeight="true" outlineLevel="0" collapsed="false">
      <c r="A4391" s="8" t="s">
        <v>1119</v>
      </c>
      <c r="B4391" s="8" t="s">
        <v>1122</v>
      </c>
      <c r="C4391" s="19" t="n">
        <v>2</v>
      </c>
      <c r="D4391" s="19" t="n">
        <v>174.75</v>
      </c>
      <c r="E4391" s="19" t="n">
        <v>0</v>
      </c>
      <c r="F4391" s="19" t="n">
        <v>0</v>
      </c>
      <c r="G4391" s="8" t="str">
        <f aca="false">IFERROR(INDEX('TRANS'!$B:$B,MATCH($B4391,'TRANS'!$A:$A,0)),IFERROR(INDEX('TRANS'!$B:$B,MATCH(TRIM(SUBSTITUTE($B4391,CHAR(160)," ")),'TRANS'!$D:$D,0)),IFERROR(INDEX('Catalog'!$A:$A,MATCH($B4391,'Catalog'!$B:$B,0)),IFERROR(INDEX('Catalog'!$A:$A,MATCH(TRIM(SUBSTITUTE($B4391,CHAR(160)," ")),'Catalog'!$C:$C,0)),""))))</f>
        <v/>
      </c>
      <c r="H4391" s="8" t="str">
        <f aca="false">IFERROR(INDEX('TRANS'!$C:$C,MATCH($B4391,'TRANS'!$A:$A,0)),IFERROR(INDEX('Catalog'!$B:$B,MATCH($G4391,'Catalog'!$A:$A,0)),$B4391))</f>
        <v>EC-078 XL</v>
      </c>
      <c r="I4391" s="8" t="str">
        <f aca="false">IF($G4391="","Unmatched","Matched")</f>
        <v>Unmatched</v>
      </c>
      <c r="J4391" s="8" t="str">
        <f aca="false">IF($G4391&lt;&gt;"",$G4391,$B4391)</f>
        <v>EC-078 XL</v>
      </c>
      <c r="K4391" s="8" t="str">
        <f aca="false">IF(COUNTIF($M$1:$M$10,$A4391)&gt;0,"Y","N")</f>
        <v>N</v>
      </c>
    </row>
    <row r="4392" customFormat="false" ht="15" hidden="false" customHeight="true" outlineLevel="0" collapsed="false">
      <c r="A4392" s="8" t="s">
        <v>1119</v>
      </c>
      <c r="B4392" s="8" t="s">
        <v>1123</v>
      </c>
      <c r="C4392" s="19" t="n">
        <v>6</v>
      </c>
      <c r="D4392" s="19" t="n">
        <v>496.79</v>
      </c>
      <c r="E4392" s="19" t="n">
        <v>0</v>
      </c>
      <c r="F4392" s="19" t="n">
        <v>0</v>
      </c>
      <c r="G4392" s="8" t="str">
        <f aca="false">IFERROR(INDEX('TRANS'!$B:$B,MATCH($B4392,'TRANS'!$A:$A,0)),IFERROR(INDEX('TRANS'!$B:$B,MATCH(TRIM(SUBSTITUTE($B4392,CHAR(160)," ")),'TRANS'!$D:$D,0)),IFERROR(INDEX('Catalog'!$A:$A,MATCH($B4392,'Catalog'!$B:$B,0)),IFERROR(INDEX('Catalog'!$A:$A,MATCH(TRIM(SUBSTITUTE($B4392,CHAR(160)," ")),'Catalog'!$C:$C,0)),""))))</f>
        <v/>
      </c>
      <c r="H4392" s="8" t="str">
        <f aca="false">IFERROR(INDEX('TRANS'!$C:$C,MATCH($B4392,'TRANS'!$A:$A,0)),IFERROR(INDEX('Catalog'!$B:$B,MATCH($G4392,'Catalog'!$A:$A,0)),$B4392))</f>
        <v>EC-078 XXL</v>
      </c>
      <c r="I4392" s="8" t="str">
        <f aca="false">IF($G4392="","Unmatched","Matched")</f>
        <v>Unmatched</v>
      </c>
      <c r="J4392" s="8" t="str">
        <f aca="false">IF($G4392&lt;&gt;"",$G4392,$B4392)</f>
        <v>EC-078 XXL</v>
      </c>
      <c r="K4392" s="8" t="str">
        <f aca="false">IF(COUNTIF($M$1:$M$10,$A4392)&gt;0,"Y","N")</f>
        <v>N</v>
      </c>
    </row>
    <row r="4393" customFormat="false" ht="15" hidden="false" customHeight="true" outlineLevel="0" collapsed="false">
      <c r="A4393" s="8" t="s">
        <v>1119</v>
      </c>
      <c r="B4393" s="8" t="s">
        <v>1124</v>
      </c>
      <c r="C4393" s="19" t="n">
        <v>71</v>
      </c>
      <c r="D4393" s="19" t="n">
        <v>9834.5</v>
      </c>
      <c r="E4393" s="19" t="n">
        <v>0</v>
      </c>
      <c r="F4393" s="19" t="n">
        <v>0</v>
      </c>
      <c r="G4393" s="8" t="str">
        <f aca="false">IFERROR(INDEX('TRANS'!$B:$B,MATCH($B4393,'TRANS'!$A:$A,0)),IFERROR(INDEX('TRANS'!$B:$B,MATCH(TRIM(SUBSTITUTE($B4393,CHAR(160)," ")),'TRANS'!$D:$D,0)),IFERROR(INDEX('Catalog'!$A:$A,MATCH($B4393,'Catalog'!$B:$B,0)),IFERROR(INDEX('Catalog'!$A:$A,MATCH(TRIM(SUBSTITUTE($B4393,CHAR(160)," ")),'Catalog'!$C:$C,0)),""))))</f>
        <v/>
      </c>
      <c r="H4393" s="8" t="str">
        <f aca="false">IFERROR(INDEX('TRANS'!$C:$C,MATCH($B4393,'TRANS'!$A:$A,0)),IFERROR(INDEX('Catalog'!$B:$B,MATCH($G4393,'Catalog'!$A:$A,0)),$B4393))</f>
        <v>EC-11NOR L</v>
      </c>
      <c r="I4393" s="8" t="str">
        <f aca="false">IF($G4393="","Unmatched","Matched")</f>
        <v>Unmatched</v>
      </c>
      <c r="J4393" s="8" t="str">
        <f aca="false">IF($G4393&lt;&gt;"",$G4393,$B4393)</f>
        <v>EC-11NOR L</v>
      </c>
      <c r="K4393" s="8" t="str">
        <f aca="false">IF(COUNTIF($M$1:$M$10,$A4393)&gt;0,"Y","N")</f>
        <v>N</v>
      </c>
    </row>
    <row r="4394" customFormat="false" ht="15" hidden="false" customHeight="true" outlineLevel="0" collapsed="false">
      <c r="A4394" s="8" t="s">
        <v>1119</v>
      </c>
      <c r="B4394" s="8" t="s">
        <v>1125</v>
      </c>
      <c r="C4394" s="19" t="n">
        <v>21</v>
      </c>
      <c r="D4394" s="19" t="n">
        <v>2976.17</v>
      </c>
      <c r="E4394" s="19" t="n">
        <v>0</v>
      </c>
      <c r="F4394" s="19" t="n">
        <v>0</v>
      </c>
      <c r="G4394" s="8" t="str">
        <f aca="false">IFERROR(INDEX('TRANS'!$B:$B,MATCH($B4394,'TRANS'!$A:$A,0)),IFERROR(INDEX('TRANS'!$B:$B,MATCH(TRIM(SUBSTITUTE($B4394,CHAR(160)," ")),'TRANS'!$D:$D,0)),IFERROR(INDEX('Catalog'!$A:$A,MATCH($B4394,'Catalog'!$B:$B,0)),IFERROR(INDEX('Catalog'!$A:$A,MATCH(TRIM(SUBSTITUTE($B4394,CHAR(160)," ")),'Catalog'!$C:$C,0)),""))))</f>
        <v/>
      </c>
      <c r="H4394" s="8" t="str">
        <f aca="false">IFERROR(INDEX('TRANS'!$C:$C,MATCH($B4394,'TRANS'!$A:$A,0)),IFERROR(INDEX('Catalog'!$B:$B,MATCH($G4394,'Catalog'!$A:$A,0)),$B4394))</f>
        <v>EC-11NOR M</v>
      </c>
      <c r="I4394" s="8" t="str">
        <f aca="false">IF($G4394="","Unmatched","Matched")</f>
        <v>Unmatched</v>
      </c>
      <c r="J4394" s="8" t="str">
        <f aca="false">IF($G4394&lt;&gt;"",$G4394,$B4394)</f>
        <v>EC-11NOR M</v>
      </c>
      <c r="K4394" s="8" t="str">
        <f aca="false">IF(COUNTIF($M$1:$M$10,$A4394)&gt;0,"Y","N")</f>
        <v>N</v>
      </c>
    </row>
    <row r="4395" customFormat="false" ht="15" hidden="false" customHeight="true" outlineLevel="0" collapsed="false">
      <c r="A4395" s="8" t="s">
        <v>1119</v>
      </c>
      <c r="B4395" s="8" t="s">
        <v>1126</v>
      </c>
      <c r="C4395" s="19" t="n">
        <v>11</v>
      </c>
      <c r="D4395" s="19" t="n">
        <v>1276.45</v>
      </c>
      <c r="E4395" s="19" t="n">
        <v>0</v>
      </c>
      <c r="F4395" s="19" t="n">
        <v>0</v>
      </c>
      <c r="G4395" s="8" t="str">
        <f aca="false">IFERROR(INDEX('TRANS'!$B:$B,MATCH($B4395,'TRANS'!$A:$A,0)),IFERROR(INDEX('TRANS'!$B:$B,MATCH(TRIM(SUBSTITUTE($B4395,CHAR(160)," ")),'TRANS'!$D:$D,0)),IFERROR(INDEX('Catalog'!$A:$A,MATCH($B4395,'Catalog'!$B:$B,0)),IFERROR(INDEX('Catalog'!$A:$A,MATCH(TRIM(SUBSTITUTE($B4395,CHAR(160)," ")),'Catalog'!$C:$C,0)),""))))</f>
        <v/>
      </c>
      <c r="H4395" s="8" t="str">
        <f aca="false">IFERROR(INDEX('TRANS'!$C:$C,MATCH($B4395,'TRANS'!$A:$A,0)),IFERROR(INDEX('Catalog'!$B:$B,MATCH($G4395,'Catalog'!$A:$A,0)),$B4395))</f>
        <v>EC-11NOR S</v>
      </c>
      <c r="I4395" s="8" t="str">
        <f aca="false">IF($G4395="","Unmatched","Matched")</f>
        <v>Unmatched</v>
      </c>
      <c r="J4395" s="8" t="str">
        <f aca="false">IF($G4395&lt;&gt;"",$G4395,$B4395)</f>
        <v>EC-11NOR S</v>
      </c>
      <c r="K4395" s="8" t="str">
        <f aca="false">IF(COUNTIF($M$1:$M$10,$A4395)&gt;0,"Y","N")</f>
        <v>N</v>
      </c>
    </row>
    <row r="4396" customFormat="false" ht="15" hidden="false" customHeight="true" outlineLevel="0" collapsed="false">
      <c r="A4396" s="8" t="s">
        <v>1119</v>
      </c>
      <c r="B4396" s="8" t="s">
        <v>1127</v>
      </c>
      <c r="C4396" s="19" t="n">
        <v>191</v>
      </c>
      <c r="D4396" s="19" t="n">
        <v>26070.58</v>
      </c>
      <c r="E4396" s="19" t="n">
        <v>65</v>
      </c>
      <c r="F4396" s="19" t="n">
        <v>8137.95</v>
      </c>
      <c r="G4396" s="8" t="str">
        <f aca="false">IFERROR(INDEX('TRANS'!$B:$B,MATCH($B4396,'TRANS'!$A:$A,0)),IFERROR(INDEX('TRANS'!$B:$B,MATCH(TRIM(SUBSTITUTE($B4396,CHAR(160)," ")),'TRANS'!$D:$D,0)),IFERROR(INDEX('Catalog'!$A:$A,MATCH($B4396,'Catalog'!$B:$B,0)),IFERROR(INDEX('Catalog'!$A:$A,MATCH(TRIM(SUBSTITUTE($B4396,CHAR(160)," ")),'Catalog'!$C:$C,0)),""))))</f>
        <v/>
      </c>
      <c r="H4396" s="8" t="str">
        <f aca="false">IFERROR(INDEX('TRANS'!$C:$C,MATCH($B4396,'TRANS'!$A:$A,0)),IFERROR(INDEX('Catalog'!$B:$B,MATCH($G4396,'Catalog'!$A:$A,0)),$B4396))</f>
        <v>EC-11NOR XL</v>
      </c>
      <c r="I4396" s="8" t="str">
        <f aca="false">IF($G4396="","Unmatched","Matched")</f>
        <v>Unmatched</v>
      </c>
      <c r="J4396" s="8" t="str">
        <f aca="false">IF($G4396&lt;&gt;"",$G4396,$B4396)</f>
        <v>EC-11NOR XL</v>
      </c>
      <c r="K4396" s="8" t="str">
        <f aca="false">IF(COUNTIF($M$1:$M$10,$A4396)&gt;0,"Y","N")</f>
        <v>N</v>
      </c>
    </row>
    <row r="4397" customFormat="false" ht="15" hidden="false" customHeight="true" outlineLevel="0" collapsed="false">
      <c r="A4397" s="8" t="s">
        <v>1119</v>
      </c>
      <c r="B4397" s="8" t="s">
        <v>1128</v>
      </c>
      <c r="C4397" s="19" t="n">
        <v>133</v>
      </c>
      <c r="D4397" s="19" t="n">
        <v>19212.52</v>
      </c>
      <c r="E4397" s="19" t="n">
        <v>0</v>
      </c>
      <c r="F4397" s="19" t="n">
        <v>0</v>
      </c>
      <c r="G4397" s="8" t="str">
        <f aca="false">IFERROR(INDEX('TRANS'!$B:$B,MATCH($B4397,'TRANS'!$A:$A,0)),IFERROR(INDEX('TRANS'!$B:$B,MATCH(TRIM(SUBSTITUTE($B4397,CHAR(160)," ")),'TRANS'!$D:$D,0)),IFERROR(INDEX('Catalog'!$A:$A,MATCH($B4397,'Catalog'!$B:$B,0)),IFERROR(INDEX('Catalog'!$A:$A,MATCH(TRIM(SUBSTITUTE($B4397,CHAR(160)," ")),'Catalog'!$C:$C,0)),""))))</f>
        <v/>
      </c>
      <c r="H4397" s="8" t="str">
        <f aca="false">IFERROR(INDEX('TRANS'!$C:$C,MATCH($B4397,'TRANS'!$A:$A,0)),IFERROR(INDEX('Catalog'!$B:$B,MATCH($G4397,'Catalog'!$A:$A,0)),$B4397))</f>
        <v>EC-11NOR XXL</v>
      </c>
      <c r="I4397" s="8" t="str">
        <f aca="false">IF($G4397="","Unmatched","Matched")</f>
        <v>Unmatched</v>
      </c>
      <c r="J4397" s="8" t="str">
        <f aca="false">IF($G4397&lt;&gt;"",$G4397,$B4397)</f>
        <v>EC-11NOR XXL</v>
      </c>
      <c r="K4397" s="8" t="str">
        <f aca="false">IF(COUNTIF($M$1:$M$10,$A4397)&gt;0,"Y","N")</f>
        <v>N</v>
      </c>
    </row>
    <row r="4398" customFormat="false" ht="15" hidden="false" customHeight="true" outlineLevel="0" collapsed="false">
      <c r="A4398" s="8" t="s">
        <v>1119</v>
      </c>
      <c r="B4398" s="8" t="s">
        <v>1129</v>
      </c>
      <c r="C4398" s="19" t="n">
        <v>177</v>
      </c>
      <c r="D4398" s="19" t="n">
        <v>24684.59</v>
      </c>
      <c r="E4398" s="19" t="n">
        <v>109</v>
      </c>
      <c r="F4398" s="19" t="n">
        <v>14505.57</v>
      </c>
      <c r="G4398" s="8" t="str">
        <f aca="false">IFERROR(INDEX('TRANS'!$B:$B,MATCH($B4398,'TRANS'!$A:$A,0)),IFERROR(INDEX('TRANS'!$B:$B,MATCH(TRIM(SUBSTITUTE($B4398,CHAR(160)," ")),'TRANS'!$D:$D,0)),IFERROR(INDEX('Catalog'!$A:$A,MATCH($B4398,'Catalog'!$B:$B,0)),IFERROR(INDEX('Catalog'!$A:$A,MATCH(TRIM(SUBSTITUTE($B4398,CHAR(160)," ")),'Catalog'!$C:$C,0)),""))))</f>
        <v/>
      </c>
      <c r="H4398" s="8" t="str">
        <f aca="false">IFERROR(INDEX('TRANS'!$C:$C,MATCH($B4398,'TRANS'!$A:$A,0)),IFERROR(INDEX('Catalog'!$B:$B,MATCH($G4398,'Catalog'!$A:$A,0)),$B4398))</f>
        <v>EC-11STO L</v>
      </c>
      <c r="I4398" s="8" t="str">
        <f aca="false">IF($G4398="","Unmatched","Matched")</f>
        <v>Unmatched</v>
      </c>
      <c r="J4398" s="8" t="str">
        <f aca="false">IF($G4398&lt;&gt;"",$G4398,$B4398)</f>
        <v>EC-11STO L</v>
      </c>
      <c r="K4398" s="8" t="str">
        <f aca="false">IF(COUNTIF($M$1:$M$10,$A4398)&gt;0,"Y","N")</f>
        <v>N</v>
      </c>
    </row>
    <row r="4399" customFormat="false" ht="15" hidden="false" customHeight="true" outlineLevel="0" collapsed="false">
      <c r="A4399" s="8" t="s">
        <v>1119</v>
      </c>
      <c r="B4399" s="8" t="s">
        <v>1130</v>
      </c>
      <c r="C4399" s="19" t="n">
        <v>125</v>
      </c>
      <c r="D4399" s="19" t="n">
        <v>16991.76</v>
      </c>
      <c r="E4399" s="19" t="n">
        <v>77</v>
      </c>
      <c r="F4399" s="19" t="n">
        <v>10282.34</v>
      </c>
      <c r="G4399" s="8" t="str">
        <f aca="false">IFERROR(INDEX('TRANS'!$B:$B,MATCH($B4399,'TRANS'!$A:$A,0)),IFERROR(INDEX('TRANS'!$B:$B,MATCH(TRIM(SUBSTITUTE($B4399,CHAR(160)," ")),'TRANS'!$D:$D,0)),IFERROR(INDEX('Catalog'!$A:$A,MATCH($B4399,'Catalog'!$B:$B,0)),IFERROR(INDEX('Catalog'!$A:$A,MATCH(TRIM(SUBSTITUTE($B4399,CHAR(160)," ")),'Catalog'!$C:$C,0)),""))))</f>
        <v/>
      </c>
      <c r="H4399" s="8" t="str">
        <f aca="false">IFERROR(INDEX('TRANS'!$C:$C,MATCH($B4399,'TRANS'!$A:$A,0)),IFERROR(INDEX('Catalog'!$B:$B,MATCH($G4399,'Catalog'!$A:$A,0)),$B4399))</f>
        <v>EC-11STO M</v>
      </c>
      <c r="I4399" s="8" t="str">
        <f aca="false">IF($G4399="","Unmatched","Matched")</f>
        <v>Unmatched</v>
      </c>
      <c r="J4399" s="8" t="str">
        <f aca="false">IF($G4399&lt;&gt;"",$G4399,$B4399)</f>
        <v>EC-11STO M</v>
      </c>
      <c r="K4399" s="8" t="str">
        <f aca="false">IF(COUNTIF($M$1:$M$10,$A4399)&gt;0,"Y","N")</f>
        <v>N</v>
      </c>
    </row>
    <row r="4400" customFormat="false" ht="15" hidden="false" customHeight="true" outlineLevel="0" collapsed="false">
      <c r="A4400" s="8" t="s">
        <v>1119</v>
      </c>
      <c r="B4400" s="8" t="s">
        <v>1131</v>
      </c>
      <c r="C4400" s="19" t="n">
        <v>27</v>
      </c>
      <c r="D4400" s="19" t="n">
        <v>3576.51</v>
      </c>
      <c r="E4400" s="19" t="n">
        <v>24</v>
      </c>
      <c r="F4400" s="19" t="n">
        <v>3125.27</v>
      </c>
      <c r="G4400" s="8" t="str">
        <f aca="false">IFERROR(INDEX('TRANS'!$B:$B,MATCH($B4400,'TRANS'!$A:$A,0)),IFERROR(INDEX('TRANS'!$B:$B,MATCH(TRIM(SUBSTITUTE($B4400,CHAR(160)," ")),'TRANS'!$D:$D,0)),IFERROR(INDEX('Catalog'!$A:$A,MATCH($B4400,'Catalog'!$B:$B,0)),IFERROR(INDEX('Catalog'!$A:$A,MATCH(TRIM(SUBSTITUTE($B4400,CHAR(160)," ")),'Catalog'!$C:$C,0)),""))))</f>
        <v/>
      </c>
      <c r="H4400" s="8" t="str">
        <f aca="false">IFERROR(INDEX('TRANS'!$C:$C,MATCH($B4400,'TRANS'!$A:$A,0)),IFERROR(INDEX('Catalog'!$B:$B,MATCH($G4400,'Catalog'!$A:$A,0)),$B4400))</f>
        <v>EC-11STO S</v>
      </c>
      <c r="I4400" s="8" t="str">
        <f aca="false">IF($G4400="","Unmatched","Matched")</f>
        <v>Unmatched</v>
      </c>
      <c r="J4400" s="8" t="str">
        <f aca="false">IF($G4400&lt;&gt;"",$G4400,$B4400)</f>
        <v>EC-11STO S</v>
      </c>
      <c r="K4400" s="8" t="str">
        <f aca="false">IF(COUNTIF($M$1:$M$10,$A4400)&gt;0,"Y","N")</f>
        <v>N</v>
      </c>
    </row>
    <row r="4401" customFormat="false" ht="15" hidden="false" customHeight="true" outlineLevel="0" collapsed="false">
      <c r="A4401" s="8" t="s">
        <v>1119</v>
      </c>
      <c r="B4401" s="8" t="s">
        <v>1132</v>
      </c>
      <c r="C4401" s="19" t="n">
        <v>195</v>
      </c>
      <c r="D4401" s="19" t="n">
        <v>27208.51</v>
      </c>
      <c r="E4401" s="19" t="n">
        <v>53</v>
      </c>
      <c r="F4401" s="19" t="n">
        <v>7224.56</v>
      </c>
      <c r="G4401" s="8" t="str">
        <f aca="false">IFERROR(INDEX('TRANS'!$B:$B,MATCH($B4401,'TRANS'!$A:$A,0)),IFERROR(INDEX('TRANS'!$B:$B,MATCH(TRIM(SUBSTITUTE($B4401,CHAR(160)," ")),'TRANS'!$D:$D,0)),IFERROR(INDEX('Catalog'!$A:$A,MATCH($B4401,'Catalog'!$B:$B,0)),IFERROR(INDEX('Catalog'!$A:$A,MATCH(TRIM(SUBSTITUTE($B4401,CHAR(160)," ")),'Catalog'!$C:$C,0)),""))))</f>
        <v/>
      </c>
      <c r="H4401" s="8" t="str">
        <f aca="false">IFERROR(INDEX('TRANS'!$C:$C,MATCH($B4401,'TRANS'!$A:$A,0)),IFERROR(INDEX('Catalog'!$B:$B,MATCH($G4401,'Catalog'!$A:$A,0)),$B4401))</f>
        <v>EC-11STO XL</v>
      </c>
      <c r="I4401" s="8" t="str">
        <f aca="false">IF($G4401="","Unmatched","Matched")</f>
        <v>Unmatched</v>
      </c>
      <c r="J4401" s="8" t="str">
        <f aca="false">IF($G4401&lt;&gt;"",$G4401,$B4401)</f>
        <v>EC-11STO XL</v>
      </c>
      <c r="K4401" s="8" t="str">
        <f aca="false">IF(COUNTIF($M$1:$M$10,$A4401)&gt;0,"Y","N")</f>
        <v>N</v>
      </c>
    </row>
    <row r="4402" customFormat="false" ht="15" hidden="false" customHeight="true" outlineLevel="0" collapsed="false">
      <c r="A4402" s="8" t="s">
        <v>1119</v>
      </c>
      <c r="B4402" s="8" t="s">
        <v>1133</v>
      </c>
      <c r="C4402" s="19" t="n">
        <v>224</v>
      </c>
      <c r="D4402" s="19" t="n">
        <v>30949.19</v>
      </c>
      <c r="E4402" s="19" t="n">
        <v>61</v>
      </c>
      <c r="F4402" s="19" t="n">
        <v>8220.14</v>
      </c>
      <c r="G4402" s="8" t="str">
        <f aca="false">IFERROR(INDEX('TRANS'!$B:$B,MATCH($B4402,'TRANS'!$A:$A,0)),IFERROR(INDEX('TRANS'!$B:$B,MATCH(TRIM(SUBSTITUTE($B4402,CHAR(160)," ")),'TRANS'!$D:$D,0)),IFERROR(INDEX('Catalog'!$A:$A,MATCH($B4402,'Catalog'!$B:$B,0)),IFERROR(INDEX('Catalog'!$A:$A,MATCH(TRIM(SUBSTITUTE($B4402,CHAR(160)," ")),'Catalog'!$C:$C,0)),""))))</f>
        <v/>
      </c>
      <c r="H4402" s="8" t="str">
        <f aca="false">IFERROR(INDEX('TRANS'!$C:$C,MATCH($B4402,'TRANS'!$A:$A,0)),IFERROR(INDEX('Catalog'!$B:$B,MATCH($G4402,'Catalog'!$A:$A,0)),$B4402))</f>
        <v>EC-11STO XXL</v>
      </c>
      <c r="I4402" s="8" t="str">
        <f aca="false">IF($G4402="","Unmatched","Matched")</f>
        <v>Unmatched</v>
      </c>
      <c r="J4402" s="8" t="str">
        <f aca="false">IF($G4402&lt;&gt;"",$G4402,$B4402)</f>
        <v>EC-11STO XXL</v>
      </c>
      <c r="K4402" s="8" t="str">
        <f aca="false">IF(COUNTIF($M$1:$M$10,$A4402)&gt;0,"Y","N")</f>
        <v>N</v>
      </c>
    </row>
    <row r="4403" customFormat="false" ht="15" hidden="false" customHeight="true" outlineLevel="0" collapsed="false">
      <c r="A4403" s="8" t="s">
        <v>1119</v>
      </c>
      <c r="B4403" s="8" t="s">
        <v>1134</v>
      </c>
      <c r="C4403" s="19" t="n">
        <v>91</v>
      </c>
      <c r="D4403" s="19" t="n">
        <v>12484.46</v>
      </c>
      <c r="E4403" s="19" t="n">
        <v>126</v>
      </c>
      <c r="F4403" s="19" t="n">
        <v>16430.98</v>
      </c>
      <c r="G4403" s="8" t="str">
        <f aca="false">IFERROR(INDEX('TRANS'!$B:$B,MATCH($B4403,'TRANS'!$A:$A,0)),IFERROR(INDEX('TRANS'!$B:$B,MATCH(TRIM(SUBSTITUTE($B4403,CHAR(160)," ")),'TRANS'!$D:$D,0)),IFERROR(INDEX('Catalog'!$A:$A,MATCH($B4403,'Catalog'!$B:$B,0)),IFERROR(INDEX('Catalog'!$A:$A,MATCH(TRIM(SUBSTITUTE($B4403,CHAR(160)," ")),'Catalog'!$C:$C,0)),""))))</f>
        <v/>
      </c>
      <c r="H4403" s="8" t="str">
        <f aca="false">IFERROR(INDEX('TRANS'!$C:$C,MATCH($B4403,'TRANS'!$A:$A,0)),IFERROR(INDEX('Catalog'!$B:$B,MATCH($G4403,'Catalog'!$A:$A,0)),$B4403))</f>
        <v>EC-11STOB L</v>
      </c>
      <c r="I4403" s="8" t="str">
        <f aca="false">IF($G4403="","Unmatched","Matched")</f>
        <v>Unmatched</v>
      </c>
      <c r="J4403" s="8" t="str">
        <f aca="false">IF($G4403&lt;&gt;"",$G4403,$B4403)</f>
        <v>EC-11STOB L</v>
      </c>
      <c r="K4403" s="8" t="str">
        <f aca="false">IF(COUNTIF($M$1:$M$10,$A4403)&gt;0,"Y","N")</f>
        <v>N</v>
      </c>
    </row>
    <row r="4404" customFormat="false" ht="15" hidden="false" customHeight="true" outlineLevel="0" collapsed="false">
      <c r="A4404" s="8" t="s">
        <v>1119</v>
      </c>
      <c r="B4404" s="8" t="s">
        <v>1135</v>
      </c>
      <c r="C4404" s="19" t="n">
        <v>16</v>
      </c>
      <c r="D4404" s="19" t="n">
        <v>2183.52</v>
      </c>
      <c r="E4404" s="19" t="n">
        <v>77</v>
      </c>
      <c r="F4404" s="19" t="n">
        <v>9148.8</v>
      </c>
      <c r="G4404" s="8" t="str">
        <f aca="false">IFERROR(INDEX('TRANS'!$B:$B,MATCH($B4404,'TRANS'!$A:$A,0)),IFERROR(INDEX('TRANS'!$B:$B,MATCH(TRIM(SUBSTITUTE($B4404,CHAR(160)," ")),'TRANS'!$D:$D,0)),IFERROR(INDEX('Catalog'!$A:$A,MATCH($B4404,'Catalog'!$B:$B,0)),IFERROR(INDEX('Catalog'!$A:$A,MATCH(TRIM(SUBSTITUTE($B4404,CHAR(160)," ")),'Catalog'!$C:$C,0)),""))))</f>
        <v/>
      </c>
      <c r="H4404" s="8" t="str">
        <f aca="false">IFERROR(INDEX('TRANS'!$C:$C,MATCH($B4404,'TRANS'!$A:$A,0)),IFERROR(INDEX('Catalog'!$B:$B,MATCH($G4404,'Catalog'!$A:$A,0)),$B4404))</f>
        <v>EC-11STOB M</v>
      </c>
      <c r="I4404" s="8" t="str">
        <f aca="false">IF($G4404="","Unmatched","Matched")</f>
        <v>Unmatched</v>
      </c>
      <c r="J4404" s="8" t="str">
        <f aca="false">IF($G4404&lt;&gt;"",$G4404,$B4404)</f>
        <v>EC-11STOB M</v>
      </c>
      <c r="K4404" s="8" t="str">
        <f aca="false">IF(COUNTIF($M$1:$M$10,$A4404)&gt;0,"Y","N")</f>
        <v>N</v>
      </c>
    </row>
    <row r="4405" customFormat="false" ht="15" hidden="false" customHeight="true" outlineLevel="0" collapsed="false">
      <c r="A4405" s="8" t="s">
        <v>1119</v>
      </c>
      <c r="B4405" s="8" t="s">
        <v>1136</v>
      </c>
      <c r="C4405" s="19" t="n">
        <v>1</v>
      </c>
      <c r="D4405" s="19" t="n">
        <v>137.01</v>
      </c>
      <c r="E4405" s="19" t="n">
        <v>20</v>
      </c>
      <c r="F4405" s="19" t="n">
        <v>2555.12</v>
      </c>
      <c r="G4405" s="8" t="str">
        <f aca="false">IFERROR(INDEX('TRANS'!$B:$B,MATCH($B4405,'TRANS'!$A:$A,0)),IFERROR(INDEX('TRANS'!$B:$B,MATCH(TRIM(SUBSTITUTE($B4405,CHAR(160)," ")),'TRANS'!$D:$D,0)),IFERROR(INDEX('Catalog'!$A:$A,MATCH($B4405,'Catalog'!$B:$B,0)),IFERROR(INDEX('Catalog'!$A:$A,MATCH(TRIM(SUBSTITUTE($B4405,CHAR(160)," ")),'Catalog'!$C:$C,0)),""))))</f>
        <v/>
      </c>
      <c r="H4405" s="8" t="str">
        <f aca="false">IFERROR(INDEX('TRANS'!$C:$C,MATCH($B4405,'TRANS'!$A:$A,0)),IFERROR(INDEX('Catalog'!$B:$B,MATCH($G4405,'Catalog'!$A:$A,0)),$B4405))</f>
        <v>EC-11STOB S</v>
      </c>
      <c r="I4405" s="8" t="str">
        <f aca="false">IF($G4405="","Unmatched","Matched")</f>
        <v>Unmatched</v>
      </c>
      <c r="J4405" s="8" t="str">
        <f aca="false">IF($G4405&lt;&gt;"",$G4405,$B4405)</f>
        <v>EC-11STOB S</v>
      </c>
      <c r="K4405" s="8" t="str">
        <f aca="false">IF(COUNTIF($M$1:$M$10,$A4405)&gt;0,"Y","N")</f>
        <v>N</v>
      </c>
    </row>
    <row r="4406" customFormat="false" ht="15" hidden="false" customHeight="true" outlineLevel="0" collapsed="false">
      <c r="A4406" s="8" t="s">
        <v>1119</v>
      </c>
      <c r="B4406" s="8" t="s">
        <v>1137</v>
      </c>
      <c r="C4406" s="19" t="n">
        <v>86</v>
      </c>
      <c r="D4406" s="19" t="n">
        <v>11577.1</v>
      </c>
      <c r="E4406" s="19" t="n">
        <v>141</v>
      </c>
      <c r="F4406" s="19" t="n">
        <v>18557.76</v>
      </c>
      <c r="G4406" s="8" t="str">
        <f aca="false">IFERROR(INDEX('TRANS'!$B:$B,MATCH($B4406,'TRANS'!$A:$A,0)),IFERROR(INDEX('TRANS'!$B:$B,MATCH(TRIM(SUBSTITUTE($B4406,CHAR(160)," ")),'TRANS'!$D:$D,0)),IFERROR(INDEX('Catalog'!$A:$A,MATCH($B4406,'Catalog'!$B:$B,0)),IFERROR(INDEX('Catalog'!$A:$A,MATCH(TRIM(SUBSTITUTE($B4406,CHAR(160)," ")),'Catalog'!$C:$C,0)),""))))</f>
        <v/>
      </c>
      <c r="H4406" s="8" t="str">
        <f aca="false">IFERROR(INDEX('TRANS'!$C:$C,MATCH($B4406,'TRANS'!$A:$A,0)),IFERROR(INDEX('Catalog'!$B:$B,MATCH($G4406,'Catalog'!$A:$A,0)),$B4406))</f>
        <v>EC-11STOB XL</v>
      </c>
      <c r="I4406" s="8" t="str">
        <f aca="false">IF($G4406="","Unmatched","Matched")</f>
        <v>Unmatched</v>
      </c>
      <c r="J4406" s="8" t="str">
        <f aca="false">IF($G4406&lt;&gt;"",$G4406,$B4406)</f>
        <v>EC-11STOB XL</v>
      </c>
      <c r="K4406" s="8" t="str">
        <f aca="false">IF(COUNTIF($M$1:$M$10,$A4406)&gt;0,"Y","N")</f>
        <v>N</v>
      </c>
    </row>
    <row r="4407" customFormat="false" ht="15" hidden="false" customHeight="true" outlineLevel="0" collapsed="false">
      <c r="A4407" s="8" t="s">
        <v>1119</v>
      </c>
      <c r="B4407" s="8" t="s">
        <v>1138</v>
      </c>
      <c r="C4407" s="19" t="n">
        <v>86</v>
      </c>
      <c r="D4407" s="19" t="n">
        <v>10105.03</v>
      </c>
      <c r="E4407" s="19" t="n">
        <v>151</v>
      </c>
      <c r="F4407" s="19" t="n">
        <v>18900.44</v>
      </c>
      <c r="G4407" s="8" t="str">
        <f aca="false">IFERROR(INDEX('TRANS'!$B:$B,MATCH($B4407,'TRANS'!$A:$A,0)),IFERROR(INDEX('TRANS'!$B:$B,MATCH(TRIM(SUBSTITUTE($B4407,CHAR(160)," ")),'TRANS'!$D:$D,0)),IFERROR(INDEX('Catalog'!$A:$A,MATCH($B4407,'Catalog'!$B:$B,0)),IFERROR(INDEX('Catalog'!$A:$A,MATCH(TRIM(SUBSTITUTE($B4407,CHAR(160)," ")),'Catalog'!$C:$C,0)),""))))</f>
        <v/>
      </c>
      <c r="H4407" s="8" t="str">
        <f aca="false">IFERROR(INDEX('TRANS'!$C:$C,MATCH($B4407,'TRANS'!$A:$A,0)),IFERROR(INDEX('Catalog'!$B:$B,MATCH($G4407,'Catalog'!$A:$A,0)),$B4407))</f>
        <v>EC-11STOB XXL</v>
      </c>
      <c r="I4407" s="8" t="str">
        <f aca="false">IF($G4407="","Unmatched","Matched")</f>
        <v>Unmatched</v>
      </c>
      <c r="J4407" s="8" t="str">
        <f aca="false">IF($G4407&lt;&gt;"",$G4407,$B4407)</f>
        <v>EC-11STOB XXL</v>
      </c>
      <c r="K4407" s="8" t="str">
        <f aca="false">IF(COUNTIF($M$1:$M$10,$A4407)&gt;0,"Y","N")</f>
        <v>N</v>
      </c>
    </row>
    <row r="4408" customFormat="false" ht="15" hidden="false" customHeight="true" outlineLevel="0" collapsed="false">
      <c r="A4408" s="8" t="s">
        <v>1119</v>
      </c>
      <c r="B4408" s="8" t="s">
        <v>499</v>
      </c>
      <c r="C4408" s="19" t="n">
        <v>15</v>
      </c>
      <c r="D4408" s="19" t="n">
        <v>636.25</v>
      </c>
      <c r="E4408" s="19" t="n">
        <v>2</v>
      </c>
      <c r="F4408" s="19" t="n">
        <v>81.66</v>
      </c>
      <c r="G4408" s="8" t="str">
        <f aca="false">IFERROR(INDEX('TRANS'!$B:$B,MATCH($B4408,'TRANS'!$A:$A,0)),IFERROR(INDEX('TRANS'!$B:$B,MATCH(TRIM(SUBSTITUTE($B4408,CHAR(160)," ")),'TRANS'!$D:$D,0)),IFERROR(INDEX('Catalog'!$A:$A,MATCH($B4408,'Catalog'!$B:$B,0)),IFERROR(INDEX('Catalog'!$A:$A,MATCH(TRIM(SUBSTITUTE($B4408,CHAR(160)," ")),'Catalog'!$C:$C,0)),""))))</f>
        <v/>
      </c>
      <c r="H4408" s="8" t="str">
        <f aca="false">IFERROR(INDEX('TRANS'!$C:$C,MATCH($B4408,'TRANS'!$A:$A,0)),IFERROR(INDEX('Catalog'!$B:$B,MATCH($G4408,'Catalog'!$A:$A,0)),$B4408))</f>
        <v>13B L</v>
      </c>
      <c r="I4408" s="8" t="str">
        <f aca="false">IF($G4408="","Unmatched","Matched")</f>
        <v>Unmatched</v>
      </c>
      <c r="J4408" s="8" t="str">
        <f aca="false">IF($G4408&lt;&gt;"",$G4408,$B4408)</f>
        <v>13B L</v>
      </c>
      <c r="K4408" s="8" t="str">
        <f aca="false">IF(COUNTIF($M$1:$M$10,$A4408)&gt;0,"Y","N")</f>
        <v>N</v>
      </c>
    </row>
    <row r="4409" customFormat="false" ht="15" hidden="false" customHeight="true" outlineLevel="0" collapsed="false">
      <c r="A4409" s="8" t="s">
        <v>1119</v>
      </c>
      <c r="B4409" s="8" t="s">
        <v>153</v>
      </c>
      <c r="C4409" s="19" t="n">
        <v>28</v>
      </c>
      <c r="D4409" s="19" t="n">
        <v>1139.9</v>
      </c>
      <c r="E4409" s="19" t="n">
        <v>0</v>
      </c>
      <c r="F4409" s="19" t="n">
        <v>0</v>
      </c>
      <c r="G4409" s="8" t="str">
        <f aca="false">IFERROR(INDEX('TRANS'!$B:$B,MATCH($B4409,'TRANS'!$A:$A,0)),IFERROR(INDEX('TRANS'!$B:$B,MATCH(TRIM(SUBSTITUTE($B4409,CHAR(160)," ")),'TRANS'!$D:$D,0)),IFERROR(INDEX('Catalog'!$A:$A,MATCH($B4409,'Catalog'!$B:$B,0)),IFERROR(INDEX('Catalog'!$A:$A,MATCH(TRIM(SUBSTITUTE($B4409,CHAR(160)," ")),'Catalog'!$C:$C,0)),""))))</f>
        <v/>
      </c>
      <c r="H4409" s="8" t="str">
        <f aca="false">IFERROR(INDEX('TRANS'!$C:$C,MATCH($B4409,'TRANS'!$A:$A,0)),IFERROR(INDEX('Catalog'!$B:$B,MATCH($G4409,'Catalog'!$A:$A,0)),$B4409))</f>
        <v>13B S</v>
      </c>
      <c r="I4409" s="8" t="str">
        <f aca="false">IF($G4409="","Unmatched","Matched")</f>
        <v>Unmatched</v>
      </c>
      <c r="J4409" s="8" t="str">
        <f aca="false">IF($G4409&lt;&gt;"",$G4409,$B4409)</f>
        <v>13B S</v>
      </c>
      <c r="K4409" s="8" t="str">
        <f aca="false">IF(COUNTIF($M$1:$M$10,$A4409)&gt;0,"Y","N")</f>
        <v>N</v>
      </c>
    </row>
    <row r="4410" customFormat="false" ht="15" hidden="false" customHeight="true" outlineLevel="0" collapsed="false">
      <c r="A4410" s="8" t="s">
        <v>1119</v>
      </c>
      <c r="B4410" s="8" t="s">
        <v>574</v>
      </c>
      <c r="C4410" s="19" t="n">
        <v>31</v>
      </c>
      <c r="D4410" s="19" t="n">
        <v>1060.47</v>
      </c>
      <c r="E4410" s="19" t="n">
        <v>0</v>
      </c>
      <c r="F4410" s="19" t="n">
        <v>0</v>
      </c>
      <c r="G4410" s="8" t="n">
        <f aca="false">IFERROR(INDEX('TRANS'!$B:$B,MATCH($B4410,'TRANS'!$A:$A,0)),IFERROR(INDEX('TRANS'!$B:$B,MATCH(TRIM(SUBSTITUTE($B4410,CHAR(160)," ")),'TRANS'!$D:$D,0)),IFERROR(INDEX('Catalog'!$A:$A,MATCH($B4410,'Catalog'!$B:$B,0)),IFERROR(INDEX('Catalog'!$A:$A,MATCH(TRIM(SUBSTITUTE($B4410,CHAR(160)," ")),'Catalog'!$C:$C,0)),""))))</f>
        <v>4408230</v>
      </c>
      <c r="H4410" s="8" t="str">
        <f aca="false">IFERROR(INDEX('TRANS'!$C:$C,MATCH($B4410,'TRANS'!$A:$A,0)),IFERROR(INDEX('Catalog'!$B:$B,MATCH($G4410,'Catalog'!$A:$A,0)),$B4410))</f>
        <v>16 L-XL חגורת הריון</v>
      </c>
      <c r="I4410" s="8" t="str">
        <f aca="false">IF($G4410="","Unmatched","Matched")</f>
        <v>Matched</v>
      </c>
      <c r="J4410" s="8" t="n">
        <f aca="false">IF($G4410&lt;&gt;"",$G4410,$B4410)</f>
        <v>4408230</v>
      </c>
      <c r="K4410" s="8" t="str">
        <f aca="false">IF(COUNTIF($M$1:$M$10,$A4410)&gt;0,"Y","N")</f>
        <v>N</v>
      </c>
    </row>
    <row r="4411" customFormat="false" ht="15" hidden="false" customHeight="true" outlineLevel="0" collapsed="false">
      <c r="A4411" s="8" t="s">
        <v>1119</v>
      </c>
      <c r="B4411" s="8" t="s">
        <v>575</v>
      </c>
      <c r="C4411" s="19" t="n">
        <v>45</v>
      </c>
      <c r="D4411" s="19" t="n">
        <v>2109.16</v>
      </c>
      <c r="E4411" s="19" t="n">
        <v>0</v>
      </c>
      <c r="F4411" s="19" t="n">
        <v>0</v>
      </c>
      <c r="G4411" s="8" t="n">
        <f aca="false">IFERROR(INDEX('TRANS'!$B:$B,MATCH($B4411,'TRANS'!$A:$A,0)),IFERROR(INDEX('TRANS'!$B:$B,MATCH(TRIM(SUBSTITUTE($B4411,CHAR(160)," ")),'TRANS'!$D:$D,0)),IFERROR(INDEX('Catalog'!$A:$A,MATCH($B4411,'Catalog'!$B:$B,0)),IFERROR(INDEX('Catalog'!$A:$A,MATCH(TRIM(SUBSTITUTE($B4411,CHAR(160)," ")),'Catalog'!$C:$C,0)),""))))</f>
        <v>4408231</v>
      </c>
      <c r="H4411" s="8" t="str">
        <f aca="false">IFERROR(INDEX('TRANS'!$C:$C,MATCH($B4411,'TRANS'!$A:$A,0)),IFERROR(INDEX('Catalog'!$B:$B,MATCH($G4411,'Catalog'!$A:$A,0)),$B4411))</f>
        <v>16 S-M חגורת הריון</v>
      </c>
      <c r="I4411" s="8" t="str">
        <f aca="false">IF($G4411="","Unmatched","Matched")</f>
        <v>Matched</v>
      </c>
      <c r="J4411" s="8" t="n">
        <f aca="false">IF($G4411&lt;&gt;"",$G4411,$B4411)</f>
        <v>4408231</v>
      </c>
      <c r="K4411" s="8" t="str">
        <f aca="false">IF(COUNTIF($M$1:$M$10,$A4411)&gt;0,"Y","N")</f>
        <v>N</v>
      </c>
    </row>
    <row r="4412" customFormat="false" ht="15" hidden="false" customHeight="true" outlineLevel="0" collapsed="false">
      <c r="A4412" s="8" t="s">
        <v>1119</v>
      </c>
      <c r="B4412" s="8" t="s">
        <v>583</v>
      </c>
      <c r="C4412" s="19" t="n">
        <v>12</v>
      </c>
      <c r="D4412" s="19" t="n">
        <v>705.87</v>
      </c>
      <c r="E4412" s="19" t="n">
        <v>195</v>
      </c>
      <c r="F4412" s="19" t="n">
        <v>9344.25</v>
      </c>
      <c r="G4412" s="8" t="n">
        <f aca="false">IFERROR(INDEX('TRANS'!$B:$B,MATCH($B4412,'TRANS'!$A:$A,0)),IFERROR(INDEX('TRANS'!$B:$B,MATCH(TRIM(SUBSTITUTE($B4412,CHAR(160)," ")),'TRANS'!$D:$D,0)),IFERROR(INDEX('Catalog'!$A:$A,MATCH($B4412,'Catalog'!$B:$B,0)),IFERROR(INDEX('Catalog'!$A:$A,MATCH(TRIM(SUBSTITUTE($B4412,CHAR(160)," ")),'Catalog'!$C:$C,0)),""))))</f>
        <v>4415029</v>
      </c>
      <c r="H4412" s="8" t="str">
        <f aca="false">IFERROR(INDEX('TRANS'!$C:$C,MATCH($B4412,'TRANS'!$A:$A,0)),IFERROR(INDEX('Catalog'!$B:$B,MATCH($G4412,'Catalog'!$A:$A,0)),$B4412))</f>
        <v>סד קיבוע לאצבע הדק</v>
      </c>
      <c r="I4412" s="8" t="str">
        <f aca="false">IF($G4412="","Unmatched","Matched")</f>
        <v>Matched</v>
      </c>
      <c r="J4412" s="8" t="n">
        <f aca="false">IF($G4412&lt;&gt;"",$G4412,$B4412)</f>
        <v>4415029</v>
      </c>
      <c r="K4412" s="8" t="str">
        <f aca="false">IF(COUNTIF($M$1:$M$10,$A4412)&gt;0,"Y","N")</f>
        <v>N</v>
      </c>
    </row>
    <row r="4413" customFormat="false" ht="15" hidden="false" customHeight="true" outlineLevel="0" collapsed="false">
      <c r="A4413" s="8" t="s">
        <v>1119</v>
      </c>
      <c r="B4413" s="8" t="s">
        <v>593</v>
      </c>
      <c r="C4413" s="19" t="n">
        <v>2</v>
      </c>
      <c r="D4413" s="19" t="n">
        <v>218.71</v>
      </c>
      <c r="E4413" s="19" t="n">
        <v>0</v>
      </c>
      <c r="F4413" s="19" t="n">
        <v>0</v>
      </c>
      <c r="G4413" s="8" t="n">
        <f aca="false">IFERROR(INDEX('TRANS'!$B:$B,MATCH($B4413,'TRANS'!$A:$A,0)),IFERROR(INDEX('TRANS'!$B:$B,MATCH(TRIM(SUBSTITUTE($B4413,CHAR(160)," ")),'TRANS'!$D:$D,0)),IFERROR(INDEX('Catalog'!$A:$A,MATCH($B4413,'Catalog'!$B:$B,0)),IFERROR(INDEX('Catalog'!$A:$A,MATCH(TRIM(SUBSTITUTE($B4413,CHAR(160)," ")),'Catalog'!$C:$C,0)),""))))</f>
        <v>4415159</v>
      </c>
      <c r="H4413" s="8" t="str">
        <f aca="false">IFERROR(INDEX('TRANS'!$C:$C,MATCH($B4413,'TRANS'!$A:$A,0)),IFERROR(INDEX('Catalog'!$B:$B,MATCH($G4413,'Catalog'!$A:$A,0)),$B4413))</f>
        <v>268 סד לאגודל</v>
      </c>
      <c r="I4413" s="8" t="str">
        <f aca="false">IF($G4413="","Unmatched","Matched")</f>
        <v>Matched</v>
      </c>
      <c r="J4413" s="8" t="n">
        <f aca="false">IF($G4413&lt;&gt;"",$G4413,$B4413)</f>
        <v>4415159</v>
      </c>
      <c r="K4413" s="8" t="str">
        <f aca="false">IF(COUNTIF($M$1:$M$10,$A4413)&gt;0,"Y","N")</f>
        <v>N</v>
      </c>
    </row>
    <row r="4414" customFormat="false" ht="15" hidden="false" customHeight="true" outlineLevel="0" collapsed="false">
      <c r="A4414" s="8" t="s">
        <v>1119</v>
      </c>
      <c r="B4414" s="8" t="s">
        <v>595</v>
      </c>
      <c r="C4414" s="19" t="n">
        <v>10</v>
      </c>
      <c r="D4414" s="19" t="n">
        <v>969.81</v>
      </c>
      <c r="E4414" s="19" t="n">
        <v>0</v>
      </c>
      <c r="F4414" s="19" t="n">
        <v>0</v>
      </c>
      <c r="G4414" s="8" t="n">
        <f aca="false">IFERROR(INDEX('TRANS'!$B:$B,MATCH($B4414,'TRANS'!$A:$A,0)),IFERROR(INDEX('TRANS'!$B:$B,MATCH(TRIM(SUBSTITUTE($B4414,CHAR(160)," ")),'TRANS'!$D:$D,0)),IFERROR(INDEX('Catalog'!$A:$A,MATCH($B4414,'Catalog'!$B:$B,0)),IFERROR(INDEX('Catalog'!$A:$A,MATCH(TRIM(SUBSTITUTE($B4414,CHAR(160)," ")),'Catalog'!$C:$C,0)),""))))</f>
        <v>4413348</v>
      </c>
      <c r="H4414" s="8" t="str">
        <f aca="false">IFERROR(INDEX('TRANS'!$C:$C,MATCH($B4414,'TRANS'!$A:$A,0)),IFERROR(INDEX('Catalog'!$B:$B,MATCH($G4414,'Catalog'!$A:$A,0)),$B4414))</f>
        <v>302 מדרס ג'ל לגבר</v>
      </c>
      <c r="I4414" s="8" t="str">
        <f aca="false">IF($G4414="","Unmatched","Matched")</f>
        <v>Matched</v>
      </c>
      <c r="J4414" s="8" t="n">
        <f aca="false">IF($G4414&lt;&gt;"",$G4414,$B4414)</f>
        <v>4413348</v>
      </c>
      <c r="K4414" s="8" t="str">
        <f aca="false">IF(COUNTIF($M$1:$M$10,$A4414)&gt;0,"Y","N")</f>
        <v>N</v>
      </c>
    </row>
    <row r="4415" customFormat="false" ht="15" hidden="false" customHeight="true" outlineLevel="0" collapsed="false">
      <c r="A4415" s="8" t="s">
        <v>1119</v>
      </c>
      <c r="B4415" s="8" t="s">
        <v>596</v>
      </c>
      <c r="C4415" s="19" t="n">
        <v>2</v>
      </c>
      <c r="D4415" s="19" t="n">
        <v>191.34</v>
      </c>
      <c r="E4415" s="19" t="n">
        <v>7</v>
      </c>
      <c r="F4415" s="19" t="n">
        <v>646.11</v>
      </c>
      <c r="G4415" s="8" t="n">
        <f aca="false">IFERROR(INDEX('TRANS'!$B:$B,MATCH($B4415,'TRANS'!$A:$A,0)),IFERROR(INDEX('TRANS'!$B:$B,MATCH(TRIM(SUBSTITUTE($B4415,CHAR(160)," ")),'TRANS'!$D:$D,0)),IFERROR(INDEX('Catalog'!$A:$A,MATCH($B4415,'Catalog'!$B:$B,0)),IFERROR(INDEX('Catalog'!$A:$A,MATCH(TRIM(SUBSTITUTE($B4415,CHAR(160)," ")),'Catalog'!$C:$C,0)),""))))</f>
        <v>4413372</v>
      </c>
      <c r="H4415" s="8" t="str">
        <f aca="false">IFERROR(INDEX('TRANS'!$C:$C,MATCH($B4415,'TRANS'!$A:$A,0)),IFERROR(INDEX('Catalog'!$B:$B,MATCH($G4415,'Catalog'!$A:$A,0)),$B4415))</f>
        <v>302 W מדרס לאישה</v>
      </c>
      <c r="I4415" s="8" t="str">
        <f aca="false">IF($G4415="","Unmatched","Matched")</f>
        <v>Matched</v>
      </c>
      <c r="J4415" s="8" t="n">
        <f aca="false">IF($G4415&lt;&gt;"",$G4415,$B4415)</f>
        <v>4413372</v>
      </c>
      <c r="K4415" s="8" t="str">
        <f aca="false">IF(COUNTIF($M$1:$M$10,$A4415)&gt;0,"Y","N")</f>
        <v>N</v>
      </c>
    </row>
    <row r="4416" customFormat="false" ht="15" hidden="false" customHeight="true" outlineLevel="0" collapsed="false">
      <c r="A4416" s="8" t="s">
        <v>1119</v>
      </c>
      <c r="B4416" s="8" t="s">
        <v>909</v>
      </c>
      <c r="C4416" s="19" t="n">
        <v>7</v>
      </c>
      <c r="D4416" s="19" t="n">
        <v>783.88</v>
      </c>
      <c r="E4416" s="19" t="n">
        <v>12</v>
      </c>
      <c r="F4416" s="19" t="n">
        <v>1267.59</v>
      </c>
      <c r="G4416" s="8" t="n">
        <f aca="false">IFERROR(INDEX('TRANS'!$B:$B,MATCH($B4416,'TRANS'!$A:$A,0)),IFERROR(INDEX('TRANS'!$B:$B,MATCH(TRIM(SUBSTITUTE($B4416,CHAR(160)," ")),'TRANS'!$D:$D,0)),IFERROR(INDEX('Catalog'!$A:$A,MATCH($B4416,'Catalog'!$B:$B,0)),IFERROR(INDEX('Catalog'!$A:$A,MATCH(TRIM(SUBSTITUTE($B4416,CHAR(160)," ")),'Catalog'!$C:$C,0)),""))))</f>
        <v>4416003</v>
      </c>
      <c r="H4416" s="8" t="str">
        <f aca="false">IFERROR(INDEX('TRANS'!$C:$C,MATCH($B4416,'TRANS'!$A:$A,0)),IFERROR(INDEX('Catalog'!$B:$B,MATCH($G4416,'Catalog'!$A:$A,0)),$B4416))</f>
        <v>308 Lעקבים סיליקון כחול לדורבן</v>
      </c>
      <c r="I4416" s="8" t="str">
        <f aca="false">IF($G4416="","Unmatched","Matched")</f>
        <v>Matched</v>
      </c>
      <c r="J4416" s="8" t="n">
        <f aca="false">IF($G4416&lt;&gt;"",$G4416,$B4416)</f>
        <v>4416003</v>
      </c>
      <c r="K4416" s="8" t="str">
        <f aca="false">IF(COUNTIF($M$1:$M$10,$A4416)&gt;0,"Y","N")</f>
        <v>N</v>
      </c>
    </row>
    <row r="4417" customFormat="false" ht="15" hidden="false" customHeight="true" outlineLevel="0" collapsed="false">
      <c r="A4417" s="8" t="s">
        <v>1119</v>
      </c>
      <c r="B4417" s="8" t="s">
        <v>604</v>
      </c>
      <c r="C4417" s="19" t="n">
        <v>7</v>
      </c>
      <c r="D4417" s="19" t="n">
        <v>786.43</v>
      </c>
      <c r="E4417" s="19" t="n">
        <v>2</v>
      </c>
      <c r="F4417" s="19" t="n">
        <v>207.81</v>
      </c>
      <c r="G4417" s="8" t="n">
        <f aca="false">IFERROR(INDEX('TRANS'!$B:$B,MATCH($B4417,'TRANS'!$A:$A,0)),IFERROR(INDEX('TRANS'!$B:$B,MATCH(TRIM(SUBSTITUTE($B4417,CHAR(160)," ")),'TRANS'!$D:$D,0)),IFERROR(INDEX('Catalog'!$A:$A,MATCH($B4417,'Catalog'!$B:$B,0)),IFERROR(INDEX('Catalog'!$A:$A,MATCH(TRIM(SUBSTITUTE($B4417,CHAR(160)," ")),'Catalog'!$C:$C,0)),""))))</f>
        <v>4416005</v>
      </c>
      <c r="H4417" s="8" t="str">
        <f aca="false">IFERROR(INDEX('TRANS'!$C:$C,MATCH($B4417,'TRANS'!$A:$A,0)),IFERROR(INDEX('Catalog'!$B:$B,MATCH($G4417,'Catalog'!$A:$A,0)),$B4417))</f>
        <v>308 Mעקבים סיליק.כחול לדורבן</v>
      </c>
      <c r="I4417" s="8" t="str">
        <f aca="false">IF($G4417="","Unmatched","Matched")</f>
        <v>Matched</v>
      </c>
      <c r="J4417" s="8" t="n">
        <f aca="false">IF($G4417&lt;&gt;"",$G4417,$B4417)</f>
        <v>4416005</v>
      </c>
      <c r="K4417" s="8" t="str">
        <f aca="false">IF(COUNTIF($M$1:$M$10,$A4417)&gt;0,"Y","N")</f>
        <v>N</v>
      </c>
    </row>
    <row r="4418" customFormat="false" ht="15" hidden="false" customHeight="true" outlineLevel="0" collapsed="false">
      <c r="A4418" s="8" t="s">
        <v>1119</v>
      </c>
      <c r="B4418" s="8" t="s">
        <v>605</v>
      </c>
      <c r="C4418" s="19" t="n">
        <v>1</v>
      </c>
      <c r="D4418" s="19" t="n">
        <v>32.6</v>
      </c>
      <c r="E4418" s="19" t="n">
        <v>8</v>
      </c>
      <c r="F4418" s="19" t="n">
        <v>190.53</v>
      </c>
      <c r="G4418" s="8" t="n">
        <f aca="false">IFERROR(INDEX('TRANS'!$B:$B,MATCH($B4418,'TRANS'!$A:$A,0)),IFERROR(INDEX('TRANS'!$B:$B,MATCH(TRIM(SUBSTITUTE($B4418,CHAR(160)," ")),'TRANS'!$D:$D,0)),IFERROR(INDEX('Catalog'!$A:$A,MATCH($B4418,'Catalog'!$B:$B,0)),IFERROR(INDEX('Catalog'!$A:$A,MATCH(TRIM(SUBSTITUTE($B4418,CHAR(160)," ")),'Catalog'!$C:$C,0)),""))))</f>
        <v>4413033</v>
      </c>
      <c r="H4418" s="8" t="str">
        <f aca="false">IFERROR(INDEX('TRANS'!$C:$C,MATCH($B4418,'TRANS'!$A:$A,0)),IFERROR(INDEX('Catalog'!$B:$B,MATCH($G4418,'Catalog'!$A:$A,0)),$B4418))</f>
        <v>311'מדב.ג'ל למניעת שפשוף 5 יח</v>
      </c>
      <c r="I4418" s="8" t="str">
        <f aca="false">IF($G4418="","Unmatched","Matched")</f>
        <v>Matched</v>
      </c>
      <c r="J4418" s="8" t="n">
        <f aca="false">IF($G4418&lt;&gt;"",$G4418,$B4418)</f>
        <v>4413033</v>
      </c>
      <c r="K4418" s="8" t="str">
        <f aca="false">IF(COUNTIF($M$1:$M$10,$A4418)&gt;0,"Y","N")</f>
        <v>N</v>
      </c>
    </row>
    <row r="4419" customFormat="false" ht="15" hidden="false" customHeight="true" outlineLevel="0" collapsed="false">
      <c r="A4419" s="8" t="s">
        <v>1119</v>
      </c>
      <c r="B4419" s="8" t="s">
        <v>607</v>
      </c>
      <c r="C4419" s="19" t="n">
        <v>6</v>
      </c>
      <c r="D4419" s="19" t="n">
        <v>339.07</v>
      </c>
      <c r="E4419" s="19" t="n">
        <v>19</v>
      </c>
      <c r="F4419" s="19" t="n">
        <v>573.82</v>
      </c>
      <c r="G4419" s="8" t="n">
        <f aca="false">IFERROR(INDEX('TRANS'!$B:$B,MATCH($B4419,'TRANS'!$A:$A,0)),IFERROR(INDEX('TRANS'!$B:$B,MATCH(TRIM(SUBSTITUTE($B4419,CHAR(160)," ")),'TRANS'!$D:$D,0)),IFERROR(INDEX('Catalog'!$A:$A,MATCH($B4419,'Catalog'!$B:$B,0)),IFERROR(INDEX('Catalog'!$A:$A,MATCH(TRIM(SUBSTITUTE($B4419,CHAR(160)," ")),'Catalog'!$C:$C,0)),""))))</f>
        <v>4415297</v>
      </c>
      <c r="H4419" s="8" t="str">
        <f aca="false">IFERROR(INDEX('TRANS'!$C:$C,MATCH($B4419,'TRANS'!$A:$A,0)),IFERROR(INDEX('Catalog'!$B:$B,MATCH($G4419,'Catalog'!$A:$A,0)),$B4419))</f>
        <v>313 סט פלסטרים נגד שפשופים</v>
      </c>
      <c r="I4419" s="8" t="str">
        <f aca="false">IF($G4419="","Unmatched","Matched")</f>
        <v>Matched</v>
      </c>
      <c r="J4419" s="8" t="n">
        <f aca="false">IF($G4419&lt;&gt;"",$G4419,$B4419)</f>
        <v>4415297</v>
      </c>
      <c r="K4419" s="8" t="str">
        <f aca="false">IF(COUNTIF($M$1:$M$10,$A4419)&gt;0,"Y","N")</f>
        <v>N</v>
      </c>
    </row>
    <row r="4420" customFormat="false" ht="15" hidden="false" customHeight="true" outlineLevel="0" collapsed="false">
      <c r="A4420" s="8" t="s">
        <v>1119</v>
      </c>
      <c r="B4420" s="8" t="s">
        <v>623</v>
      </c>
      <c r="C4420" s="19" t="n">
        <v>12</v>
      </c>
      <c r="D4420" s="19" t="n">
        <v>859.76</v>
      </c>
      <c r="E4420" s="19" t="n">
        <v>29</v>
      </c>
      <c r="F4420" s="19" t="n">
        <v>2238.96</v>
      </c>
      <c r="G4420" s="8" t="n">
        <f aca="false">IFERROR(INDEX('TRANS'!$B:$B,MATCH($B4420,'TRANS'!$A:$A,0)),IFERROR(INDEX('TRANS'!$B:$B,MATCH(TRIM(SUBSTITUTE($B4420,CHAR(160)," ")),'TRANS'!$D:$D,0)),IFERROR(INDEX('Catalog'!$A:$A,MATCH($B4420,'Catalog'!$B:$B,0)),IFERROR(INDEX('Catalog'!$A:$A,MATCH(TRIM(SUBSTITUTE($B4420,CHAR(160)," ")),'Catalog'!$C:$C,0)),""))))</f>
        <v>4421007</v>
      </c>
      <c r="H4420" s="8" t="str">
        <f aca="false">IFERROR(INDEX('TRANS'!$C:$C,MATCH($B4420,'TRANS'!$A:$A,0)),IFERROR(INDEX('Catalog'!$B:$B,MATCH($G4420,'Catalog'!$A:$A,0)),$B4420))</f>
        <v>שרוול לגבס קצר רגל</v>
      </c>
      <c r="I4420" s="8" t="str">
        <f aca="false">IF($G4420="","Unmatched","Matched")</f>
        <v>Matched</v>
      </c>
      <c r="J4420" s="8" t="n">
        <f aca="false">IF($G4420&lt;&gt;"",$G4420,$B4420)</f>
        <v>4421007</v>
      </c>
      <c r="K4420" s="8" t="str">
        <f aca="false">IF(COUNTIF($M$1:$M$10,$A4420)&gt;0,"Y","N")</f>
        <v>N</v>
      </c>
    </row>
    <row r="4421" customFormat="false" ht="15" hidden="false" customHeight="true" outlineLevel="0" collapsed="false">
      <c r="A4421" s="8" t="s">
        <v>1119</v>
      </c>
      <c r="B4421" s="8" t="s">
        <v>629</v>
      </c>
      <c r="C4421" s="19" t="n">
        <v>33</v>
      </c>
      <c r="D4421" s="19" t="n">
        <v>1082.62</v>
      </c>
      <c r="E4421" s="19" t="n">
        <v>73</v>
      </c>
      <c r="F4421" s="19" t="n">
        <v>2208.01</v>
      </c>
      <c r="G4421" s="8" t="n">
        <f aca="false">IFERROR(INDEX('TRANS'!$B:$B,MATCH($B4421,'TRANS'!$A:$A,0)),IFERROR(INDEX('TRANS'!$B:$B,MATCH(TRIM(SUBSTITUTE($B4421,CHAR(160)," ")),'TRANS'!$D:$D,0)),IFERROR(INDEX('Catalog'!$A:$A,MATCH($B4421,'Catalog'!$B:$B,0)),IFERROR(INDEX('Catalog'!$A:$A,MATCH(TRIM(SUBSTITUTE($B4421,CHAR(160)," ")),'Catalog'!$C:$C,0)),""))))</f>
        <v>4413059</v>
      </c>
      <c r="H4421" s="8" t="str">
        <f aca="false">IFERROR(INDEX('TRANS'!$C:$C,MATCH($B4421,'TRANS'!$A:$A,0)),IFERROR(INDEX('Catalog'!$B:$B,MATCH($G4421,'Catalog'!$A:$A,0)),$B4421))</f>
        <v>364S Lמפר.אצבע סיליק. ליבל.זוג</v>
      </c>
      <c r="I4421" s="8" t="str">
        <f aca="false">IF($G4421="","Unmatched","Matched")</f>
        <v>Matched</v>
      </c>
      <c r="J4421" s="8" t="n">
        <f aca="false">IF($G4421&lt;&gt;"",$G4421,$B4421)</f>
        <v>4413059</v>
      </c>
      <c r="K4421" s="8" t="str">
        <f aca="false">IF(COUNTIF($M$1:$M$10,$A4421)&gt;0,"Y","N")</f>
        <v>N</v>
      </c>
    </row>
    <row r="4422" customFormat="false" ht="15" hidden="false" customHeight="true" outlineLevel="0" collapsed="false">
      <c r="A4422" s="8" t="s">
        <v>1119</v>
      </c>
      <c r="B4422" s="8" t="s">
        <v>630</v>
      </c>
      <c r="C4422" s="19" t="n">
        <v>10</v>
      </c>
      <c r="D4422" s="19" t="n">
        <v>447.58</v>
      </c>
      <c r="E4422" s="19" t="n">
        <v>19</v>
      </c>
      <c r="F4422" s="19" t="n">
        <v>838.26</v>
      </c>
      <c r="G4422" s="8" t="n">
        <f aca="false">IFERROR(INDEX('TRANS'!$B:$B,MATCH($B4422,'TRANS'!$A:$A,0)),IFERROR(INDEX('TRANS'!$B:$B,MATCH(TRIM(SUBSTITUTE($B4422,CHAR(160)," ")),'TRANS'!$D:$D,0)),IFERROR(INDEX('Catalog'!$A:$A,MATCH($B4422,'Catalog'!$B:$B,0)),IFERROR(INDEX('Catalog'!$A:$A,MATCH(TRIM(SUBSTITUTE($B4422,CHAR(160)," ")),'Catalog'!$C:$C,0)),""))))</f>
        <v>4413060</v>
      </c>
      <c r="H4422" s="8" t="str">
        <f aca="false">IFERROR(INDEX('TRANS'!$C:$C,MATCH($B4422,'TRANS'!$A:$A,0)),IFERROR(INDEX('Catalog'!$B:$B,MATCH($G4422,'Catalog'!$A:$A,0)),$B4422))</f>
        <v>364 XLמפריד אצבע סיליקון ליבלת</v>
      </c>
      <c r="I4422" s="8" t="str">
        <f aca="false">IF($G4422="","Unmatched","Matched")</f>
        <v>Matched</v>
      </c>
      <c r="J4422" s="8" t="n">
        <f aca="false">IF($G4422&lt;&gt;"",$G4422,$B4422)</f>
        <v>4413060</v>
      </c>
      <c r="K4422" s="8" t="str">
        <f aca="false">IF(COUNTIF($M$1:$M$10,$A4422)&gt;0,"Y","N")</f>
        <v>N</v>
      </c>
    </row>
    <row r="4423" customFormat="false" ht="15" hidden="false" customHeight="true" outlineLevel="0" collapsed="false">
      <c r="A4423" s="8" t="s">
        <v>1119</v>
      </c>
      <c r="B4423" s="8" t="s">
        <v>633</v>
      </c>
      <c r="C4423" s="19" t="n">
        <v>28</v>
      </c>
      <c r="D4423" s="19" t="n">
        <v>1182.08</v>
      </c>
      <c r="E4423" s="19" t="n">
        <v>135</v>
      </c>
      <c r="F4423" s="19" t="n">
        <v>5390.19</v>
      </c>
      <c r="G4423" s="8" t="n">
        <f aca="false">IFERROR(INDEX('TRANS'!$B:$B,MATCH($B4423,'TRANS'!$A:$A,0)),IFERROR(INDEX('TRANS'!$B:$B,MATCH(TRIM(SUBSTITUTE($B4423,CHAR(160)," ")),'TRANS'!$D:$D,0)),IFERROR(INDEX('Catalog'!$A:$A,MATCH($B4423,'Catalog'!$B:$B,0)),IFERROR(INDEX('Catalog'!$A:$A,MATCH(TRIM(SUBSTITUTE($B4423,CHAR(160)," ")),'Catalog'!$C:$C,0)),""))))</f>
        <v>4421000</v>
      </c>
      <c r="H4423" s="8" t="str">
        <f aca="false">IFERROR(INDEX('TRANS'!$C:$C,MATCH($B4423,'TRANS'!$A:$A,0)),IFERROR(INDEX('Catalog'!$B:$B,MATCH($G4423,'Catalog'!$A:$A,0)),$B4423))</f>
        <v>3655 שרוול מסיליקון לאצבע</v>
      </c>
      <c r="I4423" s="8" t="str">
        <f aca="false">IF($G4423="","Unmatched","Matched")</f>
        <v>Matched</v>
      </c>
      <c r="J4423" s="8" t="n">
        <f aca="false">IF($G4423&lt;&gt;"",$G4423,$B4423)</f>
        <v>4421000</v>
      </c>
      <c r="K4423" s="8" t="str">
        <f aca="false">IF(COUNTIF($M$1:$M$10,$A4423)&gt;0,"Y","N")</f>
        <v>N</v>
      </c>
    </row>
    <row r="4424" customFormat="false" ht="15" hidden="false" customHeight="true" outlineLevel="0" collapsed="false">
      <c r="A4424" s="8" t="s">
        <v>1119</v>
      </c>
      <c r="B4424" s="8" t="s">
        <v>638</v>
      </c>
      <c r="C4424" s="19" t="n">
        <v>16</v>
      </c>
      <c r="D4424" s="19" t="n">
        <v>1067.96</v>
      </c>
      <c r="E4424" s="19" t="n">
        <v>10</v>
      </c>
      <c r="F4424" s="19" t="n">
        <v>517.89</v>
      </c>
      <c r="G4424" s="8" t="n">
        <f aca="false">IFERROR(INDEX('TRANS'!$B:$B,MATCH($B4424,'TRANS'!$A:$A,0)),IFERROR(INDEX('TRANS'!$B:$B,MATCH(TRIM(SUBSTITUTE($B4424,CHAR(160)," ")),'TRANS'!$D:$D,0)),IFERROR(INDEX('Catalog'!$A:$A,MATCH($B4424,'Catalog'!$B:$B,0)),IFERROR(INDEX('Catalog'!$A:$A,MATCH(TRIM(SUBSTITUTE($B4424,CHAR(160)," ")),'Catalog'!$C:$C,0)),""))))</f>
        <v>4413370</v>
      </c>
      <c r="H4424" s="8" t="str">
        <f aca="false">IFERROR(INDEX('TRANS'!$C:$C,MATCH($B4424,'TRANS'!$A:$A,0)),IFERROR(INDEX('Catalog'!$B:$B,MATCH($G4424,'Catalog'!$A:$A,0)),$B4424))</f>
        <v>3674 0 מ.בוניון+מפריד אצבע</v>
      </c>
      <c r="I4424" s="8" t="str">
        <f aca="false">IF($G4424="","Unmatched","Matched")</f>
        <v>Matched</v>
      </c>
      <c r="J4424" s="8" t="n">
        <f aca="false">IF($G4424&lt;&gt;"",$G4424,$B4424)</f>
        <v>4413370</v>
      </c>
      <c r="K4424" s="8" t="str">
        <f aca="false">IF(COUNTIF($M$1:$M$10,$A4424)&gt;0,"Y","N")</f>
        <v>N</v>
      </c>
    </row>
    <row r="4425" customFormat="false" ht="15" hidden="false" customHeight="true" outlineLevel="0" collapsed="false">
      <c r="A4425" s="8" t="s">
        <v>1119</v>
      </c>
      <c r="B4425" s="8" t="s">
        <v>639</v>
      </c>
      <c r="C4425" s="19" t="n">
        <v>46</v>
      </c>
      <c r="D4425" s="19" t="n">
        <v>2442.27</v>
      </c>
      <c r="E4425" s="19" t="n">
        <v>8</v>
      </c>
      <c r="F4425" s="19" t="n">
        <v>361.54</v>
      </c>
      <c r="G4425" s="8" t="n">
        <f aca="false">IFERROR(INDEX('TRANS'!$B:$B,MATCH($B4425,'TRANS'!$A:$A,0)),IFERROR(INDEX('TRANS'!$B:$B,MATCH(TRIM(SUBSTITUTE($B4425,CHAR(160)," ")),'TRANS'!$D:$D,0)),IFERROR(INDEX('Catalog'!$A:$A,MATCH($B4425,'Catalog'!$B:$B,0)),IFERROR(INDEX('Catalog'!$A:$A,MATCH(TRIM(SUBSTITUTE($B4425,CHAR(160)," ")),'Catalog'!$C:$C,0)),""))))</f>
        <v>4413371</v>
      </c>
      <c r="H4425" s="8" t="str">
        <f aca="false">IFERROR(INDEX('TRANS'!$C:$C,MATCH($B4425,'TRANS'!$A:$A,0)),IFERROR(INDEX('Catalog'!$B:$B,MATCH($G4425,'Catalog'!$A:$A,0)),$B4425))</f>
        <v>3675    מגן זרת מסיליקון</v>
      </c>
      <c r="I4425" s="8" t="str">
        <f aca="false">IF($G4425="","Unmatched","Matched")</f>
        <v>Matched</v>
      </c>
      <c r="J4425" s="8" t="n">
        <f aca="false">IF($G4425&lt;&gt;"",$G4425,$B4425)</f>
        <v>4413371</v>
      </c>
      <c r="K4425" s="8" t="str">
        <f aca="false">IF(COUNTIF($M$1:$M$10,$A4425)&gt;0,"Y","N")</f>
        <v>N</v>
      </c>
    </row>
    <row r="4426" customFormat="false" ht="15" hidden="false" customHeight="true" outlineLevel="0" collapsed="false">
      <c r="A4426" s="8" t="s">
        <v>1119</v>
      </c>
      <c r="B4426" s="8" t="s">
        <v>1139</v>
      </c>
      <c r="C4426" s="19" t="n">
        <v>0</v>
      </c>
      <c r="D4426" s="19" t="n">
        <v>0</v>
      </c>
      <c r="E4426" s="19" t="n">
        <v>1</v>
      </c>
      <c r="F4426" s="19" t="n">
        <v>59.47</v>
      </c>
      <c r="G4426" s="8" t="str">
        <f aca="false">IFERROR(INDEX('TRANS'!$B:$B,MATCH($B4426,'TRANS'!$A:$A,0)),IFERROR(INDEX('TRANS'!$B:$B,MATCH(TRIM(SUBSTITUTE($B4426,CHAR(160)," ")),'TRANS'!$D:$D,0)),IFERROR(INDEX('Catalog'!$A:$A,MATCH($B4426,'Catalog'!$B:$B,0)),IFERROR(INDEX('Catalog'!$A:$A,MATCH(TRIM(SUBSTITUTE($B4426,CHAR(160)," ")),'Catalog'!$C:$C,0)),""))))</f>
        <v/>
      </c>
      <c r="H4426" s="8" t="str">
        <f aca="false">IFERROR(INDEX('TRANS'!$C:$C,MATCH($B4426,'TRANS'!$A:$A,0)),IFERROR(INDEX('Catalog'!$B:$B,MATCH($G4426,'Catalog'!$A:$A,0)),$B4426))</f>
        <v>386</v>
      </c>
      <c r="I4426" s="8" t="str">
        <f aca="false">IF($G4426="","Unmatched","Matched")</f>
        <v>Unmatched</v>
      </c>
      <c r="J4426" s="8" t="str">
        <f aca="false">IF($G4426&lt;&gt;"",$G4426,$B4426)</f>
        <v>386</v>
      </c>
      <c r="K4426" s="8" t="str">
        <f aca="false">IF(COUNTIF($M$1:$M$10,$A4426)&gt;0,"Y","N")</f>
        <v>N</v>
      </c>
    </row>
    <row r="4427" customFormat="false" ht="15" hidden="false" customHeight="true" outlineLevel="0" collapsed="false">
      <c r="A4427" s="8" t="s">
        <v>1119</v>
      </c>
      <c r="B4427" s="8" t="s">
        <v>649</v>
      </c>
      <c r="C4427" s="19" t="n">
        <v>51</v>
      </c>
      <c r="D4427" s="19" t="n">
        <v>4500.68</v>
      </c>
      <c r="E4427" s="19" t="n">
        <v>49</v>
      </c>
      <c r="F4427" s="19" t="n">
        <v>3191.21</v>
      </c>
      <c r="G4427" s="8" t="n">
        <f aca="false">IFERROR(INDEX('TRANS'!$B:$B,MATCH($B4427,'TRANS'!$A:$A,0)),IFERROR(INDEX('TRANS'!$B:$B,MATCH(TRIM(SUBSTITUTE($B4427,CHAR(160)," ")),'TRANS'!$D:$D,0)),IFERROR(INDEX('Catalog'!$A:$A,MATCH($B4427,'Catalog'!$B:$B,0)),IFERROR(INDEX('Catalog'!$A:$A,MATCH(TRIM(SUBSTITUTE($B4427,CHAR(160)," ")),'Catalog'!$C:$C,0)),""))))</f>
        <v>4413452</v>
      </c>
      <c r="H4427" s="8" t="str">
        <f aca="false">IFERROR(INDEX('TRANS'!$C:$C,MATCH($B4427,'TRANS'!$A:$A,0)),IFERROR(INDEX('Catalog'!$B:$B,MATCH($G4427,'Catalog'!$A:$A,0)),$B4427))</f>
        <v>386  מיישר בוניון-האלוקס ולגוס</v>
      </c>
      <c r="I4427" s="8" t="str">
        <f aca="false">IF($G4427="","Unmatched","Matched")</f>
        <v>Matched</v>
      </c>
      <c r="J4427" s="8" t="n">
        <f aca="false">IF($G4427&lt;&gt;"",$G4427,$B4427)</f>
        <v>4413452</v>
      </c>
      <c r="K4427" s="8" t="str">
        <f aca="false">IF(COUNTIF($M$1:$M$10,$A4427)&gt;0,"Y","N")</f>
        <v>N</v>
      </c>
    </row>
    <row r="4428" customFormat="false" ht="15" hidden="false" customHeight="true" outlineLevel="0" collapsed="false">
      <c r="A4428" s="8" t="s">
        <v>1119</v>
      </c>
      <c r="B4428" s="8" t="s">
        <v>667</v>
      </c>
      <c r="C4428" s="19" t="n">
        <v>0</v>
      </c>
      <c r="D4428" s="19" t="n">
        <v>0</v>
      </c>
      <c r="E4428" s="19" t="n">
        <v>4</v>
      </c>
      <c r="F4428" s="19" t="n">
        <v>235.53</v>
      </c>
      <c r="G4428" s="8" t="n">
        <f aca="false">IFERROR(INDEX('TRANS'!$B:$B,MATCH($B4428,'TRANS'!$A:$A,0)),IFERROR(INDEX('TRANS'!$B:$B,MATCH(TRIM(SUBSTITUTE($B4428,CHAR(160)," ")),'TRANS'!$D:$D,0)),IFERROR(INDEX('Catalog'!$A:$A,MATCH($B4428,'Catalog'!$B:$B,0)),IFERROR(INDEX('Catalog'!$A:$A,MATCH(TRIM(SUBSTITUTE($B4428,CHAR(160)," ")),'Catalog'!$C:$C,0)),""))))</f>
        <v>4403041</v>
      </c>
      <c r="H4428" s="8" t="str">
        <f aca="false">IFERROR(INDEX('TRANS'!$C:$C,MATCH($B4428,'TRANS'!$A:$A,0)),IFERROR(INDEX('Catalog'!$B:$B,MATCH($G4428,'Catalog'!$A:$A,0)),$B4428))</f>
        <v>397A-גרבי טיסה אנטי בקטרי35-38</v>
      </c>
      <c r="I4428" s="8" t="str">
        <f aca="false">IF($G4428="","Unmatched","Matched")</f>
        <v>Matched</v>
      </c>
      <c r="J4428" s="8" t="n">
        <f aca="false">IF($G4428&lt;&gt;"",$G4428,$B4428)</f>
        <v>4403041</v>
      </c>
      <c r="K4428" s="8" t="str">
        <f aca="false">IF(COUNTIF($M$1:$M$10,$A4428)&gt;0,"Y","N")</f>
        <v>N</v>
      </c>
    </row>
    <row r="4429" customFormat="false" ht="15" hidden="false" customHeight="true" outlineLevel="0" collapsed="false">
      <c r="A4429" s="8" t="s">
        <v>1119</v>
      </c>
      <c r="B4429" s="8" t="s">
        <v>668</v>
      </c>
      <c r="C4429" s="19" t="n">
        <v>0</v>
      </c>
      <c r="D4429" s="19" t="n">
        <v>0</v>
      </c>
      <c r="E4429" s="19" t="n">
        <v>4</v>
      </c>
      <c r="F4429" s="19" t="n">
        <v>205.87</v>
      </c>
      <c r="G4429" s="8" t="n">
        <f aca="false">IFERROR(INDEX('TRANS'!$B:$B,MATCH($B4429,'TRANS'!$A:$A,0)),IFERROR(INDEX('TRANS'!$B:$B,MATCH(TRIM(SUBSTITUTE($B4429,CHAR(160)," ")),'TRANS'!$D:$D,0)),IFERROR(INDEX('Catalog'!$A:$A,MATCH($B4429,'Catalog'!$B:$B,0)),IFERROR(INDEX('Catalog'!$A:$A,MATCH(TRIM(SUBSTITUTE($B4429,CHAR(160)," ")),'Catalog'!$C:$C,0)),""))))</f>
        <v>4403042</v>
      </c>
      <c r="H4429" s="8" t="str">
        <f aca="false">IFERROR(INDEX('TRANS'!$C:$C,MATCH($B4429,'TRANS'!$A:$A,0)),IFERROR(INDEX('Catalog'!$B:$B,MATCH($G4429,'Catalog'!$A:$A,0)),$B4429))</f>
        <v>397A-גרבי טיסה אנטי בקטרי39-42</v>
      </c>
      <c r="I4429" s="8" t="str">
        <f aca="false">IF($G4429="","Unmatched","Matched")</f>
        <v>Matched</v>
      </c>
      <c r="J4429" s="8" t="n">
        <f aca="false">IF($G4429&lt;&gt;"",$G4429,$B4429)</f>
        <v>4403042</v>
      </c>
      <c r="K4429" s="8" t="str">
        <f aca="false">IF(COUNTIF($M$1:$M$10,$A4429)&gt;0,"Y","N")</f>
        <v>N</v>
      </c>
    </row>
    <row r="4430" customFormat="false" ht="15" hidden="false" customHeight="true" outlineLevel="0" collapsed="false">
      <c r="A4430" s="8" t="s">
        <v>1119</v>
      </c>
      <c r="B4430" s="8" t="s">
        <v>669</v>
      </c>
      <c r="C4430" s="19" t="n">
        <v>0</v>
      </c>
      <c r="D4430" s="19" t="n">
        <v>0</v>
      </c>
      <c r="E4430" s="19" t="n">
        <v>5</v>
      </c>
      <c r="F4430" s="19" t="n">
        <v>285.67</v>
      </c>
      <c r="G4430" s="8" t="n">
        <f aca="false">IFERROR(INDEX('TRANS'!$B:$B,MATCH($B4430,'TRANS'!$A:$A,0)),IFERROR(INDEX('TRANS'!$B:$B,MATCH(TRIM(SUBSTITUTE($B4430,CHAR(160)," ")),'TRANS'!$D:$D,0)),IFERROR(INDEX('Catalog'!$A:$A,MATCH($B4430,'Catalog'!$B:$B,0)),IFERROR(INDEX('Catalog'!$A:$A,MATCH(TRIM(SUBSTITUTE($B4430,CHAR(160)," ")),'Catalog'!$C:$C,0)),""))))</f>
        <v>4403043</v>
      </c>
      <c r="H4430" s="8" t="str">
        <f aca="false">IFERROR(INDEX('TRANS'!$C:$C,MATCH($B4430,'TRANS'!$A:$A,0)),IFERROR(INDEX('Catalog'!$B:$B,MATCH($G4430,'Catalog'!$A:$A,0)),$B4430))</f>
        <v>397A-גרבי טיסה אנטי בקטרי43-46</v>
      </c>
      <c r="I4430" s="8" t="str">
        <f aca="false">IF($G4430="","Unmatched","Matched")</f>
        <v>Matched</v>
      </c>
      <c r="J4430" s="8" t="n">
        <f aca="false">IF($G4430&lt;&gt;"",$G4430,$B4430)</f>
        <v>4403043</v>
      </c>
      <c r="K4430" s="8" t="str">
        <f aca="false">IF(COUNTIF($M$1:$M$10,$A4430)&gt;0,"Y","N")</f>
        <v>N</v>
      </c>
    </row>
    <row r="4431" customFormat="false" ht="15" hidden="false" customHeight="true" outlineLevel="0" collapsed="false">
      <c r="A4431" s="8" t="s">
        <v>1119</v>
      </c>
      <c r="B4431" s="8" t="s">
        <v>1140</v>
      </c>
      <c r="C4431" s="19" t="n">
        <v>125</v>
      </c>
      <c r="D4431" s="19" t="n">
        <v>23867.72</v>
      </c>
      <c r="E4431" s="19" t="n">
        <v>76</v>
      </c>
      <c r="F4431" s="19" t="n">
        <v>12774.44</v>
      </c>
      <c r="G4431" s="8" t="str">
        <f aca="false">IFERROR(INDEX('TRANS'!$B:$B,MATCH($B4431,'TRANS'!$A:$A,0)),IFERROR(INDEX('TRANS'!$B:$B,MATCH(TRIM(SUBSTITUTE($B4431,CHAR(160)," ")),'TRANS'!$D:$D,0)),IFERROR(INDEX('Catalog'!$A:$A,MATCH($B4431,'Catalog'!$B:$B,0)),IFERROR(INDEX('Catalog'!$A:$A,MATCH(TRIM(SUBSTITUTE($B4431,CHAR(160)," ")),'Catalog'!$C:$C,0)),""))))</f>
        <v/>
      </c>
      <c r="H4431" s="8" t="str">
        <f aca="false">IFERROR(INDEX('TRANS'!$C:$C,MATCH($B4431,'TRANS'!$A:$A,0)),IFERROR(INDEX('Catalog'!$B:$B,MATCH($G4431,'Catalog'!$A:$A,0)),$B4431))</f>
        <v>EC-59D L</v>
      </c>
      <c r="I4431" s="8" t="str">
        <f aca="false">IF($G4431="","Unmatched","Matched")</f>
        <v>Unmatched</v>
      </c>
      <c r="J4431" s="8" t="str">
        <f aca="false">IF($G4431&lt;&gt;"",$G4431,$B4431)</f>
        <v>EC-59D L</v>
      </c>
      <c r="K4431" s="8" t="str">
        <f aca="false">IF(COUNTIF($M$1:$M$10,$A4431)&gt;0,"Y","N")</f>
        <v>N</v>
      </c>
    </row>
    <row r="4432" customFormat="false" ht="15" hidden="false" customHeight="true" outlineLevel="0" collapsed="false">
      <c r="A4432" s="8" t="s">
        <v>1119</v>
      </c>
      <c r="B4432" s="8" t="s">
        <v>1141</v>
      </c>
      <c r="C4432" s="19" t="n">
        <v>346</v>
      </c>
      <c r="D4432" s="19" t="n">
        <v>66008.37</v>
      </c>
      <c r="E4432" s="19" t="n">
        <v>147</v>
      </c>
      <c r="F4432" s="19" t="n">
        <v>24805.76</v>
      </c>
      <c r="G4432" s="8" t="str">
        <f aca="false">IFERROR(INDEX('TRANS'!$B:$B,MATCH($B4432,'TRANS'!$A:$A,0)),IFERROR(INDEX('TRANS'!$B:$B,MATCH(TRIM(SUBSTITUTE($B4432,CHAR(160)," ")),'TRANS'!$D:$D,0)),IFERROR(INDEX('Catalog'!$A:$A,MATCH($B4432,'Catalog'!$B:$B,0)),IFERROR(INDEX('Catalog'!$A:$A,MATCH(TRIM(SUBSTITUTE($B4432,CHAR(160)," ")),'Catalog'!$C:$C,0)),""))))</f>
        <v/>
      </c>
      <c r="H4432" s="8" t="str">
        <f aca="false">IFERROR(INDEX('TRANS'!$C:$C,MATCH($B4432,'TRANS'!$A:$A,0)),IFERROR(INDEX('Catalog'!$B:$B,MATCH($G4432,'Catalog'!$A:$A,0)),$B4432))</f>
        <v>EC-59D M</v>
      </c>
      <c r="I4432" s="8" t="str">
        <f aca="false">IF($G4432="","Unmatched","Matched")</f>
        <v>Unmatched</v>
      </c>
      <c r="J4432" s="8" t="str">
        <f aca="false">IF($G4432&lt;&gt;"",$G4432,$B4432)</f>
        <v>EC-59D M</v>
      </c>
      <c r="K4432" s="8" t="str">
        <f aca="false">IF(COUNTIF($M$1:$M$10,$A4432)&gt;0,"Y","N")</f>
        <v>N</v>
      </c>
    </row>
    <row r="4433" customFormat="false" ht="15" hidden="false" customHeight="true" outlineLevel="0" collapsed="false">
      <c r="A4433" s="8" t="s">
        <v>1119</v>
      </c>
      <c r="B4433" s="8" t="s">
        <v>1142</v>
      </c>
      <c r="C4433" s="19" t="n">
        <v>175</v>
      </c>
      <c r="D4433" s="19" t="n">
        <v>33651.11</v>
      </c>
      <c r="E4433" s="19" t="n">
        <v>90</v>
      </c>
      <c r="F4433" s="19" t="n">
        <v>15976.99</v>
      </c>
      <c r="G4433" s="8" t="str">
        <f aca="false">IFERROR(INDEX('TRANS'!$B:$B,MATCH($B4433,'TRANS'!$A:$A,0)),IFERROR(INDEX('TRANS'!$B:$B,MATCH(TRIM(SUBSTITUTE($B4433,CHAR(160)," ")),'TRANS'!$D:$D,0)),IFERROR(INDEX('Catalog'!$A:$A,MATCH($B4433,'Catalog'!$B:$B,0)),IFERROR(INDEX('Catalog'!$A:$A,MATCH(TRIM(SUBSTITUTE($B4433,CHAR(160)," ")),'Catalog'!$C:$C,0)),""))))</f>
        <v/>
      </c>
      <c r="H4433" s="8" t="str">
        <f aca="false">IFERROR(INDEX('TRANS'!$C:$C,MATCH($B4433,'TRANS'!$A:$A,0)),IFERROR(INDEX('Catalog'!$B:$B,MATCH($G4433,'Catalog'!$A:$A,0)),$B4433))</f>
        <v>EC-59D S</v>
      </c>
      <c r="I4433" s="8" t="str">
        <f aca="false">IF($G4433="","Unmatched","Matched")</f>
        <v>Unmatched</v>
      </c>
      <c r="J4433" s="8" t="str">
        <f aca="false">IF($G4433&lt;&gt;"",$G4433,$B4433)</f>
        <v>EC-59D S</v>
      </c>
      <c r="K4433" s="8" t="str">
        <f aca="false">IF(COUNTIF($M$1:$M$10,$A4433)&gt;0,"Y","N")</f>
        <v>N</v>
      </c>
    </row>
    <row r="4434" customFormat="false" ht="15" hidden="false" customHeight="true" outlineLevel="0" collapsed="false">
      <c r="A4434" s="8" t="s">
        <v>1119</v>
      </c>
      <c r="B4434" s="8" t="s">
        <v>1143</v>
      </c>
      <c r="C4434" s="19" t="n">
        <v>34</v>
      </c>
      <c r="D4434" s="19" t="n">
        <v>6355.2</v>
      </c>
      <c r="E4434" s="19" t="n">
        <v>2</v>
      </c>
      <c r="F4434" s="19" t="n">
        <v>357.48</v>
      </c>
      <c r="G4434" s="8" t="str">
        <f aca="false">IFERROR(INDEX('TRANS'!$B:$B,MATCH($B4434,'TRANS'!$A:$A,0)),IFERROR(INDEX('TRANS'!$B:$B,MATCH(TRIM(SUBSTITUTE($B4434,CHAR(160)," ")),'TRANS'!$D:$D,0)),IFERROR(INDEX('Catalog'!$A:$A,MATCH($B4434,'Catalog'!$B:$B,0)),IFERROR(INDEX('Catalog'!$A:$A,MATCH(TRIM(SUBSTITUTE($B4434,CHAR(160)," ")),'Catalog'!$C:$C,0)),""))))</f>
        <v/>
      </c>
      <c r="H4434" s="8" t="str">
        <f aca="false">IFERROR(INDEX('TRANS'!$C:$C,MATCH($B4434,'TRANS'!$A:$A,0)),IFERROR(INDEX('Catalog'!$B:$B,MATCH($G4434,'Catalog'!$A:$A,0)),$B4434))</f>
        <v>EC-59D XL</v>
      </c>
      <c r="I4434" s="8" t="str">
        <f aca="false">IF($G4434="","Unmatched","Matched")</f>
        <v>Unmatched</v>
      </c>
      <c r="J4434" s="8" t="str">
        <f aca="false">IF($G4434&lt;&gt;"",$G4434,$B4434)</f>
        <v>EC-59D XL</v>
      </c>
      <c r="K4434" s="8" t="str">
        <f aca="false">IF(COUNTIF($M$1:$M$10,$A4434)&gt;0,"Y","N")</f>
        <v>N</v>
      </c>
    </row>
    <row r="4435" customFormat="false" ht="15" hidden="false" customHeight="true" outlineLevel="0" collapsed="false">
      <c r="A4435" s="8" t="s">
        <v>1119</v>
      </c>
      <c r="B4435" s="8" t="s">
        <v>1144</v>
      </c>
      <c r="C4435" s="19" t="n">
        <v>12</v>
      </c>
      <c r="D4435" s="19" t="n">
        <v>2334.78</v>
      </c>
      <c r="E4435" s="19" t="n">
        <v>5</v>
      </c>
      <c r="F4435" s="19" t="n">
        <v>816.68</v>
      </c>
      <c r="G4435" s="8" t="str">
        <f aca="false">IFERROR(INDEX('TRANS'!$B:$B,MATCH($B4435,'TRANS'!$A:$A,0)),IFERROR(INDEX('TRANS'!$B:$B,MATCH(TRIM(SUBSTITUTE($B4435,CHAR(160)," ")),'TRANS'!$D:$D,0)),IFERROR(INDEX('Catalog'!$A:$A,MATCH($B4435,'Catalog'!$B:$B,0)),IFERROR(INDEX('Catalog'!$A:$A,MATCH(TRIM(SUBSTITUTE($B4435,CHAR(160)," ")),'Catalog'!$C:$C,0)),""))))</f>
        <v/>
      </c>
      <c r="H4435" s="8" t="str">
        <f aca="false">IFERROR(INDEX('TRANS'!$C:$C,MATCH($B4435,'TRANS'!$A:$A,0)),IFERROR(INDEX('Catalog'!$B:$B,MATCH($G4435,'Catalog'!$A:$A,0)),$B4435))</f>
        <v>EC-59D XXL</v>
      </c>
      <c r="I4435" s="8" t="str">
        <f aca="false">IF($G4435="","Unmatched","Matched")</f>
        <v>Unmatched</v>
      </c>
      <c r="J4435" s="8" t="str">
        <f aca="false">IF($G4435&lt;&gt;"",$G4435,$B4435)</f>
        <v>EC-59D XXL</v>
      </c>
      <c r="K4435" s="8" t="str">
        <f aca="false">IF(COUNTIF($M$1:$M$10,$A4435)&gt;0,"Y","N")</f>
        <v>N</v>
      </c>
    </row>
    <row r="4436" customFormat="false" ht="15" hidden="false" customHeight="true" outlineLevel="0" collapsed="false">
      <c r="A4436" s="8" t="s">
        <v>1119</v>
      </c>
      <c r="B4436" s="8" t="s">
        <v>1145</v>
      </c>
      <c r="C4436" s="19" t="n">
        <v>225</v>
      </c>
      <c r="D4436" s="19" t="n">
        <v>41045.21</v>
      </c>
      <c r="E4436" s="19" t="n">
        <v>114</v>
      </c>
      <c r="F4436" s="19" t="n">
        <v>18620.98</v>
      </c>
      <c r="G4436" s="8" t="str">
        <f aca="false">IFERROR(INDEX('TRANS'!$B:$B,MATCH($B4436,'TRANS'!$A:$A,0)),IFERROR(INDEX('TRANS'!$B:$B,MATCH(TRIM(SUBSTITUTE($B4436,CHAR(160)," ")),'TRANS'!$D:$D,0)),IFERROR(INDEX('Catalog'!$A:$A,MATCH($B4436,'Catalog'!$B:$B,0)),IFERROR(INDEX('Catalog'!$A:$A,MATCH(TRIM(SUBSTITUTE($B4436,CHAR(160)," ")),'Catalog'!$C:$C,0)),""))))</f>
        <v/>
      </c>
      <c r="H4436" s="8" t="str">
        <f aca="false">IFERROR(INDEX('TRANS'!$C:$C,MATCH($B4436,'TRANS'!$A:$A,0)),IFERROR(INDEX('Catalog'!$B:$B,MATCH($G4436,'Catalog'!$A:$A,0)),$B4436))</f>
        <v>EC-59L L</v>
      </c>
      <c r="I4436" s="8" t="str">
        <f aca="false">IF($G4436="","Unmatched","Matched")</f>
        <v>Unmatched</v>
      </c>
      <c r="J4436" s="8" t="str">
        <f aca="false">IF($G4436&lt;&gt;"",$G4436,$B4436)</f>
        <v>EC-59L L</v>
      </c>
      <c r="K4436" s="8" t="str">
        <f aca="false">IF(COUNTIF($M$1:$M$10,$A4436)&gt;0,"Y","N")</f>
        <v>N</v>
      </c>
    </row>
    <row r="4437" customFormat="false" ht="15" hidden="false" customHeight="true" outlineLevel="0" collapsed="false">
      <c r="A4437" s="8" t="s">
        <v>1119</v>
      </c>
      <c r="B4437" s="8" t="s">
        <v>1146</v>
      </c>
      <c r="C4437" s="19" t="n">
        <v>670</v>
      </c>
      <c r="D4437" s="19" t="n">
        <v>119782.01</v>
      </c>
      <c r="E4437" s="19" t="n">
        <v>313</v>
      </c>
      <c r="F4437" s="19" t="n">
        <v>49927.51</v>
      </c>
      <c r="G4437" s="8" t="str">
        <f aca="false">IFERROR(INDEX('TRANS'!$B:$B,MATCH($B4437,'TRANS'!$A:$A,0)),IFERROR(INDEX('TRANS'!$B:$B,MATCH(TRIM(SUBSTITUTE($B4437,CHAR(160)," ")),'TRANS'!$D:$D,0)),IFERROR(INDEX('Catalog'!$A:$A,MATCH($B4437,'Catalog'!$B:$B,0)),IFERROR(INDEX('Catalog'!$A:$A,MATCH(TRIM(SUBSTITUTE($B4437,CHAR(160)," ")),'Catalog'!$C:$C,0)),""))))</f>
        <v/>
      </c>
      <c r="H4437" s="8" t="str">
        <f aca="false">IFERROR(INDEX('TRANS'!$C:$C,MATCH($B4437,'TRANS'!$A:$A,0)),IFERROR(INDEX('Catalog'!$B:$B,MATCH($G4437,'Catalog'!$A:$A,0)),$B4437))</f>
        <v>EC-59L M</v>
      </c>
      <c r="I4437" s="8" t="str">
        <f aca="false">IF($G4437="","Unmatched","Matched")</f>
        <v>Unmatched</v>
      </c>
      <c r="J4437" s="8" t="str">
        <f aca="false">IF($G4437&lt;&gt;"",$G4437,$B4437)</f>
        <v>EC-59L M</v>
      </c>
      <c r="K4437" s="8" t="str">
        <f aca="false">IF(COUNTIF($M$1:$M$10,$A4437)&gt;0,"Y","N")</f>
        <v>N</v>
      </c>
    </row>
    <row r="4438" customFormat="false" ht="15" hidden="false" customHeight="true" outlineLevel="0" collapsed="false">
      <c r="A4438" s="8" t="s">
        <v>1119</v>
      </c>
      <c r="B4438" s="8" t="s">
        <v>1147</v>
      </c>
      <c r="C4438" s="19" t="n">
        <v>222</v>
      </c>
      <c r="D4438" s="19" t="n">
        <v>40212.55</v>
      </c>
      <c r="E4438" s="19" t="n">
        <v>120</v>
      </c>
      <c r="F4438" s="19" t="n">
        <v>19417.04</v>
      </c>
      <c r="G4438" s="8" t="str">
        <f aca="false">IFERROR(INDEX('TRANS'!$B:$B,MATCH($B4438,'TRANS'!$A:$A,0)),IFERROR(INDEX('TRANS'!$B:$B,MATCH(TRIM(SUBSTITUTE($B4438,CHAR(160)," ")),'TRANS'!$D:$D,0)),IFERROR(INDEX('Catalog'!$A:$A,MATCH($B4438,'Catalog'!$B:$B,0)),IFERROR(INDEX('Catalog'!$A:$A,MATCH(TRIM(SUBSTITUTE($B4438,CHAR(160)," ")),'Catalog'!$C:$C,0)),""))))</f>
        <v/>
      </c>
      <c r="H4438" s="8" t="str">
        <f aca="false">IFERROR(INDEX('TRANS'!$C:$C,MATCH($B4438,'TRANS'!$A:$A,0)),IFERROR(INDEX('Catalog'!$B:$B,MATCH($G4438,'Catalog'!$A:$A,0)),$B4438))</f>
        <v>EC-59L S</v>
      </c>
      <c r="I4438" s="8" t="str">
        <f aca="false">IF($G4438="","Unmatched","Matched")</f>
        <v>Unmatched</v>
      </c>
      <c r="J4438" s="8" t="str">
        <f aca="false">IF($G4438&lt;&gt;"",$G4438,$B4438)</f>
        <v>EC-59L S</v>
      </c>
      <c r="K4438" s="8" t="str">
        <f aca="false">IF(COUNTIF($M$1:$M$10,$A4438)&gt;0,"Y","N")</f>
        <v>N</v>
      </c>
    </row>
    <row r="4439" customFormat="false" ht="15" hidden="false" customHeight="true" outlineLevel="0" collapsed="false">
      <c r="A4439" s="8" t="s">
        <v>1119</v>
      </c>
      <c r="B4439" s="8" t="s">
        <v>1148</v>
      </c>
      <c r="C4439" s="19" t="n">
        <v>37</v>
      </c>
      <c r="D4439" s="19" t="n">
        <v>6684.46</v>
      </c>
      <c r="E4439" s="19" t="n">
        <v>11</v>
      </c>
      <c r="F4439" s="19" t="n">
        <v>1733.93</v>
      </c>
      <c r="G4439" s="8" t="str">
        <f aca="false">IFERROR(INDEX('TRANS'!$B:$B,MATCH($B4439,'TRANS'!$A:$A,0)),IFERROR(INDEX('TRANS'!$B:$B,MATCH(TRIM(SUBSTITUTE($B4439,CHAR(160)," ")),'TRANS'!$D:$D,0)),IFERROR(INDEX('Catalog'!$A:$A,MATCH($B4439,'Catalog'!$B:$B,0)),IFERROR(INDEX('Catalog'!$A:$A,MATCH(TRIM(SUBSTITUTE($B4439,CHAR(160)," ")),'Catalog'!$C:$C,0)),""))))</f>
        <v/>
      </c>
      <c r="H4439" s="8" t="str">
        <f aca="false">IFERROR(INDEX('TRANS'!$C:$C,MATCH($B4439,'TRANS'!$A:$A,0)),IFERROR(INDEX('Catalog'!$B:$B,MATCH($G4439,'Catalog'!$A:$A,0)),$B4439))</f>
        <v>EC-59L XL</v>
      </c>
      <c r="I4439" s="8" t="str">
        <f aca="false">IF($G4439="","Unmatched","Matched")</f>
        <v>Unmatched</v>
      </c>
      <c r="J4439" s="8" t="str">
        <f aca="false">IF($G4439&lt;&gt;"",$G4439,$B4439)</f>
        <v>EC-59L XL</v>
      </c>
      <c r="K4439" s="8" t="str">
        <f aca="false">IF(COUNTIF($M$1:$M$10,$A4439)&gt;0,"Y","N")</f>
        <v>N</v>
      </c>
    </row>
    <row r="4440" customFormat="false" ht="15" hidden="false" customHeight="true" outlineLevel="0" collapsed="false">
      <c r="A4440" s="8" t="s">
        <v>1119</v>
      </c>
      <c r="B4440" s="8" t="s">
        <v>1149</v>
      </c>
      <c r="C4440" s="19" t="n">
        <v>403</v>
      </c>
      <c r="D4440" s="19" t="n">
        <v>73333.84</v>
      </c>
      <c r="E4440" s="19" t="n">
        <v>141</v>
      </c>
      <c r="F4440" s="19" t="n">
        <v>22516.1</v>
      </c>
      <c r="G4440" s="8" t="str">
        <f aca="false">IFERROR(INDEX('TRANS'!$B:$B,MATCH($B4440,'TRANS'!$A:$A,0)),IFERROR(INDEX('TRANS'!$B:$B,MATCH(TRIM(SUBSTITUTE($B4440,CHAR(160)," ")),'TRANS'!$D:$D,0)),IFERROR(INDEX('Catalog'!$A:$A,MATCH($B4440,'Catalog'!$B:$B,0)),IFERROR(INDEX('Catalog'!$A:$A,MATCH(TRIM(SUBSTITUTE($B4440,CHAR(160)," ")),'Catalog'!$C:$C,0)),""))))</f>
        <v/>
      </c>
      <c r="H4440" s="8" t="str">
        <f aca="false">IFERROR(INDEX('TRANS'!$C:$C,MATCH($B4440,'TRANS'!$A:$A,0)),IFERROR(INDEX('Catalog'!$B:$B,MATCH($G4440,'Catalog'!$A:$A,0)),$B4440))</f>
        <v>EC-59R L</v>
      </c>
      <c r="I4440" s="8" t="str">
        <f aca="false">IF($G4440="","Unmatched","Matched")</f>
        <v>Unmatched</v>
      </c>
      <c r="J4440" s="8" t="str">
        <f aca="false">IF($G4440&lt;&gt;"",$G4440,$B4440)</f>
        <v>EC-59R L</v>
      </c>
      <c r="K4440" s="8" t="str">
        <f aca="false">IF(COUNTIF($M$1:$M$10,$A4440)&gt;0,"Y","N")</f>
        <v>N</v>
      </c>
    </row>
    <row r="4441" customFormat="false" ht="15" hidden="false" customHeight="true" outlineLevel="0" collapsed="false">
      <c r="A4441" s="8" t="s">
        <v>1119</v>
      </c>
      <c r="B4441" s="8" t="s">
        <v>1150</v>
      </c>
      <c r="C4441" s="19" t="n">
        <v>1141</v>
      </c>
      <c r="D4441" s="19" t="n">
        <v>191075.16</v>
      </c>
      <c r="E4441" s="19" t="n">
        <v>343</v>
      </c>
      <c r="F4441" s="19" t="n">
        <v>55207.3</v>
      </c>
      <c r="G4441" s="8" t="str">
        <f aca="false">IFERROR(INDEX('TRANS'!$B:$B,MATCH($B4441,'TRANS'!$A:$A,0)),IFERROR(INDEX('TRANS'!$B:$B,MATCH(TRIM(SUBSTITUTE($B4441,CHAR(160)," ")),'TRANS'!$D:$D,0)),IFERROR(INDEX('Catalog'!$A:$A,MATCH($B4441,'Catalog'!$B:$B,0)),IFERROR(INDEX('Catalog'!$A:$A,MATCH(TRIM(SUBSTITUTE($B4441,CHAR(160)," ")),'Catalog'!$C:$C,0)),""))))</f>
        <v/>
      </c>
      <c r="H4441" s="8" t="str">
        <f aca="false">IFERROR(INDEX('TRANS'!$C:$C,MATCH($B4441,'TRANS'!$A:$A,0)),IFERROR(INDEX('Catalog'!$B:$B,MATCH($G4441,'Catalog'!$A:$A,0)),$B4441))</f>
        <v>EC-59R M</v>
      </c>
      <c r="I4441" s="8" t="str">
        <f aca="false">IF($G4441="","Unmatched","Matched")</f>
        <v>Unmatched</v>
      </c>
      <c r="J4441" s="8" t="str">
        <f aca="false">IF($G4441&lt;&gt;"",$G4441,$B4441)</f>
        <v>EC-59R M</v>
      </c>
      <c r="K4441" s="8" t="str">
        <f aca="false">IF(COUNTIF($M$1:$M$10,$A4441)&gt;0,"Y","N")</f>
        <v>N</v>
      </c>
    </row>
    <row r="4442" customFormat="false" ht="15" hidden="false" customHeight="true" outlineLevel="0" collapsed="false">
      <c r="A4442" s="8" t="s">
        <v>1119</v>
      </c>
      <c r="B4442" s="8" t="s">
        <v>1151</v>
      </c>
      <c r="C4442" s="19" t="n">
        <v>502</v>
      </c>
      <c r="D4442" s="19" t="n">
        <v>92438.48</v>
      </c>
      <c r="E4442" s="19" t="n">
        <v>189</v>
      </c>
      <c r="F4442" s="19" t="n">
        <v>30425.69</v>
      </c>
      <c r="G4442" s="8" t="str">
        <f aca="false">IFERROR(INDEX('TRANS'!$B:$B,MATCH($B4442,'TRANS'!$A:$A,0)),IFERROR(INDEX('TRANS'!$B:$B,MATCH(TRIM(SUBSTITUTE($B4442,CHAR(160)," ")),'TRANS'!$D:$D,0)),IFERROR(INDEX('Catalog'!$A:$A,MATCH($B4442,'Catalog'!$B:$B,0)),IFERROR(INDEX('Catalog'!$A:$A,MATCH(TRIM(SUBSTITUTE($B4442,CHAR(160)," ")),'Catalog'!$C:$C,0)),""))))</f>
        <v/>
      </c>
      <c r="H4442" s="8" t="str">
        <f aca="false">IFERROR(INDEX('TRANS'!$C:$C,MATCH($B4442,'TRANS'!$A:$A,0)),IFERROR(INDEX('Catalog'!$B:$B,MATCH($G4442,'Catalog'!$A:$A,0)),$B4442))</f>
        <v>EC-59R S</v>
      </c>
      <c r="I4442" s="8" t="str">
        <f aca="false">IF($G4442="","Unmatched","Matched")</f>
        <v>Unmatched</v>
      </c>
      <c r="J4442" s="8" t="str">
        <f aca="false">IF($G4442&lt;&gt;"",$G4442,$B4442)</f>
        <v>EC-59R S</v>
      </c>
      <c r="K4442" s="8" t="str">
        <f aca="false">IF(COUNTIF($M$1:$M$10,$A4442)&gt;0,"Y","N")</f>
        <v>N</v>
      </c>
    </row>
    <row r="4443" customFormat="false" ht="15" hidden="false" customHeight="true" outlineLevel="0" collapsed="false">
      <c r="A4443" s="8" t="s">
        <v>1119</v>
      </c>
      <c r="B4443" s="8" t="s">
        <v>1152</v>
      </c>
      <c r="C4443" s="19" t="n">
        <v>54</v>
      </c>
      <c r="D4443" s="19" t="n">
        <v>8550.82</v>
      </c>
      <c r="E4443" s="19" t="n">
        <v>7</v>
      </c>
      <c r="F4443" s="19" t="n">
        <v>1105.14</v>
      </c>
      <c r="G4443" s="8" t="str">
        <f aca="false">IFERROR(INDEX('TRANS'!$B:$B,MATCH($B4443,'TRANS'!$A:$A,0)),IFERROR(INDEX('TRANS'!$B:$B,MATCH(TRIM(SUBSTITUTE($B4443,CHAR(160)," ")),'TRANS'!$D:$D,0)),IFERROR(INDEX('Catalog'!$A:$A,MATCH($B4443,'Catalog'!$B:$B,0)),IFERROR(INDEX('Catalog'!$A:$A,MATCH(TRIM(SUBSTITUTE($B4443,CHAR(160)," ")),'Catalog'!$C:$C,0)),""))))</f>
        <v/>
      </c>
      <c r="H4443" s="8" t="str">
        <f aca="false">IFERROR(INDEX('TRANS'!$C:$C,MATCH($B4443,'TRANS'!$A:$A,0)),IFERROR(INDEX('Catalog'!$B:$B,MATCH($G4443,'Catalog'!$A:$A,0)),$B4443))</f>
        <v>EC-59R XL</v>
      </c>
      <c r="I4443" s="8" t="str">
        <f aca="false">IF($G4443="","Unmatched","Matched")</f>
        <v>Unmatched</v>
      </c>
      <c r="J4443" s="8" t="str">
        <f aca="false">IF($G4443&lt;&gt;"",$G4443,$B4443)</f>
        <v>EC-59R XL</v>
      </c>
      <c r="K4443" s="8" t="str">
        <f aca="false">IF(COUNTIF($M$1:$M$10,$A4443)&gt;0,"Y","N")</f>
        <v>N</v>
      </c>
    </row>
    <row r="4444" customFormat="false" ht="15" hidden="false" customHeight="true" outlineLevel="0" collapsed="false">
      <c r="A4444" s="8" t="s">
        <v>1119</v>
      </c>
      <c r="B4444" s="8" t="s">
        <v>1153</v>
      </c>
      <c r="C4444" s="19" t="n">
        <v>23</v>
      </c>
      <c r="D4444" s="19" t="n">
        <v>4233.37</v>
      </c>
      <c r="E4444" s="19" t="n">
        <v>0</v>
      </c>
      <c r="F4444" s="19" t="n">
        <v>0</v>
      </c>
      <c r="G4444" s="8" t="str">
        <f aca="false">IFERROR(INDEX('TRANS'!$B:$B,MATCH($B4444,'TRANS'!$A:$A,0)),IFERROR(INDEX('TRANS'!$B:$B,MATCH(TRIM(SUBSTITUTE($B4444,CHAR(160)," ")),'TRANS'!$D:$D,0)),IFERROR(INDEX('Catalog'!$A:$A,MATCH($B4444,'Catalog'!$B:$B,0)),IFERROR(INDEX('Catalog'!$A:$A,MATCH(TRIM(SUBSTITUTE($B4444,CHAR(160)," ")),'Catalog'!$C:$C,0)),""))))</f>
        <v/>
      </c>
      <c r="H4444" s="8" t="str">
        <f aca="false">IFERROR(INDEX('TRANS'!$C:$C,MATCH($B4444,'TRANS'!$A:$A,0)),IFERROR(INDEX('Catalog'!$B:$B,MATCH($G4444,'Catalog'!$A:$A,0)),$B4444))</f>
        <v>EC-59R XXL</v>
      </c>
      <c r="I4444" s="8" t="str">
        <f aca="false">IF($G4444="","Unmatched","Matched")</f>
        <v>Unmatched</v>
      </c>
      <c r="J4444" s="8" t="str">
        <f aca="false">IF($G4444&lt;&gt;"",$G4444,$B4444)</f>
        <v>EC-59R XXL</v>
      </c>
      <c r="K4444" s="8" t="str">
        <f aca="false">IF(COUNTIF($M$1:$M$10,$A4444)&gt;0,"Y","N")</f>
        <v>N</v>
      </c>
    </row>
    <row r="4445" customFormat="false" ht="15" hidden="false" customHeight="true" outlineLevel="0" collapsed="false">
      <c r="A4445" s="8" t="s">
        <v>1119</v>
      </c>
      <c r="B4445" s="8" t="s">
        <v>1154</v>
      </c>
      <c r="C4445" s="19" t="n">
        <v>60</v>
      </c>
      <c r="D4445" s="19" t="n">
        <v>11413.11</v>
      </c>
      <c r="E4445" s="19" t="n">
        <v>58</v>
      </c>
      <c r="F4445" s="19" t="n">
        <v>9662.31</v>
      </c>
      <c r="G4445" s="8" t="str">
        <f aca="false">IFERROR(INDEX('TRANS'!$B:$B,MATCH($B4445,'TRANS'!$A:$A,0)),IFERROR(INDEX('TRANS'!$B:$B,MATCH(TRIM(SUBSTITUTE($B4445,CHAR(160)," ")),'TRANS'!$D:$D,0)),IFERROR(INDEX('Catalog'!$A:$A,MATCH($B4445,'Catalog'!$B:$B,0)),IFERROR(INDEX('Catalog'!$A:$A,MATCH(TRIM(SUBSTITUTE($B4445,CHAR(160)," ")),'Catalog'!$C:$C,0)),""))))</f>
        <v/>
      </c>
      <c r="H4445" s="8" t="str">
        <f aca="false">IFERROR(INDEX('TRANS'!$C:$C,MATCH($B4445,'TRANS'!$A:$A,0)),IFERROR(INDEX('Catalog'!$B:$B,MATCH($G4445,'Catalog'!$A:$A,0)),$B4445))</f>
        <v>EC-59DB L</v>
      </c>
      <c r="I4445" s="8" t="str">
        <f aca="false">IF($G4445="","Unmatched","Matched")</f>
        <v>Unmatched</v>
      </c>
      <c r="J4445" s="8" t="str">
        <f aca="false">IF($G4445&lt;&gt;"",$G4445,$B4445)</f>
        <v>EC-59DB L</v>
      </c>
      <c r="K4445" s="8" t="str">
        <f aca="false">IF(COUNTIF($M$1:$M$10,$A4445)&gt;0,"Y","N")</f>
        <v>N</v>
      </c>
    </row>
    <row r="4446" customFormat="false" ht="15" hidden="false" customHeight="true" outlineLevel="0" collapsed="false">
      <c r="A4446" s="8" t="s">
        <v>1119</v>
      </c>
      <c r="B4446" s="8" t="s">
        <v>1155</v>
      </c>
      <c r="C4446" s="19" t="n">
        <v>125</v>
      </c>
      <c r="D4446" s="19" t="n">
        <v>23137.22</v>
      </c>
      <c r="E4446" s="19" t="n">
        <v>151</v>
      </c>
      <c r="F4446" s="19" t="n">
        <v>25254.52</v>
      </c>
      <c r="G4446" s="8" t="str">
        <f aca="false">IFERROR(INDEX('TRANS'!$B:$B,MATCH($B4446,'TRANS'!$A:$A,0)),IFERROR(INDEX('TRANS'!$B:$B,MATCH(TRIM(SUBSTITUTE($B4446,CHAR(160)," ")),'TRANS'!$D:$D,0)),IFERROR(INDEX('Catalog'!$A:$A,MATCH($B4446,'Catalog'!$B:$B,0)),IFERROR(INDEX('Catalog'!$A:$A,MATCH(TRIM(SUBSTITUTE($B4446,CHAR(160)," ")),'Catalog'!$C:$C,0)),""))))</f>
        <v/>
      </c>
      <c r="H4446" s="8" t="str">
        <f aca="false">IFERROR(INDEX('TRANS'!$C:$C,MATCH($B4446,'TRANS'!$A:$A,0)),IFERROR(INDEX('Catalog'!$B:$B,MATCH($G4446,'Catalog'!$A:$A,0)),$B4446))</f>
        <v>EC-59DB M</v>
      </c>
      <c r="I4446" s="8" t="str">
        <f aca="false">IF($G4446="","Unmatched","Matched")</f>
        <v>Unmatched</v>
      </c>
      <c r="J4446" s="8" t="str">
        <f aca="false">IF($G4446&lt;&gt;"",$G4446,$B4446)</f>
        <v>EC-59DB M</v>
      </c>
      <c r="K4446" s="8" t="str">
        <f aca="false">IF(COUNTIF($M$1:$M$10,$A4446)&gt;0,"Y","N")</f>
        <v>N</v>
      </c>
    </row>
    <row r="4447" customFormat="false" ht="15" hidden="false" customHeight="true" outlineLevel="0" collapsed="false">
      <c r="A4447" s="8" t="s">
        <v>1119</v>
      </c>
      <c r="B4447" s="8" t="s">
        <v>1156</v>
      </c>
      <c r="C4447" s="19" t="n">
        <v>49</v>
      </c>
      <c r="D4447" s="19" t="n">
        <v>9171.45</v>
      </c>
      <c r="E4447" s="19" t="n">
        <v>84</v>
      </c>
      <c r="F4447" s="19" t="n">
        <v>14233.5</v>
      </c>
      <c r="G4447" s="8" t="str">
        <f aca="false">IFERROR(INDEX('TRANS'!$B:$B,MATCH($B4447,'TRANS'!$A:$A,0)),IFERROR(INDEX('TRANS'!$B:$B,MATCH(TRIM(SUBSTITUTE($B4447,CHAR(160)," ")),'TRANS'!$D:$D,0)),IFERROR(INDEX('Catalog'!$A:$A,MATCH($B4447,'Catalog'!$B:$B,0)),IFERROR(INDEX('Catalog'!$A:$A,MATCH(TRIM(SUBSTITUTE($B4447,CHAR(160)," ")),'Catalog'!$C:$C,0)),""))))</f>
        <v/>
      </c>
      <c r="H4447" s="8" t="str">
        <f aca="false">IFERROR(INDEX('TRANS'!$C:$C,MATCH($B4447,'TRANS'!$A:$A,0)),IFERROR(INDEX('Catalog'!$B:$B,MATCH($G4447,'Catalog'!$A:$A,0)),$B4447))</f>
        <v>EC-59DB S</v>
      </c>
      <c r="I4447" s="8" t="str">
        <f aca="false">IF($G4447="","Unmatched","Matched")</f>
        <v>Unmatched</v>
      </c>
      <c r="J4447" s="8" t="str">
        <f aca="false">IF($G4447&lt;&gt;"",$G4447,$B4447)</f>
        <v>EC-59DB S</v>
      </c>
      <c r="K4447" s="8" t="str">
        <f aca="false">IF(COUNTIF($M$1:$M$10,$A4447)&gt;0,"Y","N")</f>
        <v>N</v>
      </c>
    </row>
    <row r="4448" customFormat="false" ht="15" hidden="false" customHeight="true" outlineLevel="0" collapsed="false">
      <c r="A4448" s="8" t="s">
        <v>1119</v>
      </c>
      <c r="B4448" s="8" t="s">
        <v>1157</v>
      </c>
      <c r="C4448" s="19" t="n">
        <v>7</v>
      </c>
      <c r="D4448" s="19" t="n">
        <v>1289.35</v>
      </c>
      <c r="E4448" s="19" t="n">
        <v>22</v>
      </c>
      <c r="F4448" s="19" t="n">
        <v>3724.24</v>
      </c>
      <c r="G4448" s="8" t="str">
        <f aca="false">IFERROR(INDEX('TRANS'!$B:$B,MATCH($B4448,'TRANS'!$A:$A,0)),IFERROR(INDEX('TRANS'!$B:$B,MATCH(TRIM(SUBSTITUTE($B4448,CHAR(160)," ")),'TRANS'!$D:$D,0)),IFERROR(INDEX('Catalog'!$A:$A,MATCH($B4448,'Catalog'!$B:$B,0)),IFERROR(INDEX('Catalog'!$A:$A,MATCH(TRIM(SUBSTITUTE($B4448,CHAR(160)," ")),'Catalog'!$C:$C,0)),""))))</f>
        <v/>
      </c>
      <c r="H4448" s="8" t="str">
        <f aca="false">IFERROR(INDEX('TRANS'!$C:$C,MATCH($B4448,'TRANS'!$A:$A,0)),IFERROR(INDEX('Catalog'!$B:$B,MATCH($G4448,'Catalog'!$A:$A,0)),$B4448))</f>
        <v>EC-59DB XL</v>
      </c>
      <c r="I4448" s="8" t="str">
        <f aca="false">IF($G4448="","Unmatched","Matched")</f>
        <v>Unmatched</v>
      </c>
      <c r="J4448" s="8" t="str">
        <f aca="false">IF($G4448&lt;&gt;"",$G4448,$B4448)</f>
        <v>EC-59DB XL</v>
      </c>
      <c r="K4448" s="8" t="str">
        <f aca="false">IF(COUNTIF($M$1:$M$10,$A4448)&gt;0,"Y","N")</f>
        <v>N</v>
      </c>
    </row>
    <row r="4449" customFormat="false" ht="15" hidden="false" customHeight="true" outlineLevel="0" collapsed="false">
      <c r="A4449" s="8" t="s">
        <v>1119</v>
      </c>
      <c r="B4449" s="8" t="s">
        <v>1158</v>
      </c>
      <c r="C4449" s="19" t="n">
        <v>11</v>
      </c>
      <c r="D4449" s="19" t="n">
        <v>1984.08</v>
      </c>
      <c r="E4449" s="19" t="n">
        <v>17</v>
      </c>
      <c r="F4449" s="19" t="n">
        <v>2850.77</v>
      </c>
      <c r="G4449" s="8" t="str">
        <f aca="false">IFERROR(INDEX('TRANS'!$B:$B,MATCH($B4449,'TRANS'!$A:$A,0)),IFERROR(INDEX('TRANS'!$B:$B,MATCH(TRIM(SUBSTITUTE($B4449,CHAR(160)," ")),'TRANS'!$D:$D,0)),IFERROR(INDEX('Catalog'!$A:$A,MATCH($B4449,'Catalog'!$B:$B,0)),IFERROR(INDEX('Catalog'!$A:$A,MATCH(TRIM(SUBSTITUTE($B4449,CHAR(160)," ")),'Catalog'!$C:$C,0)),""))))</f>
        <v/>
      </c>
      <c r="H4449" s="8" t="str">
        <f aca="false">IFERROR(INDEX('TRANS'!$C:$C,MATCH($B4449,'TRANS'!$A:$A,0)),IFERROR(INDEX('Catalog'!$B:$B,MATCH($G4449,'Catalog'!$A:$A,0)),$B4449))</f>
        <v>EC-59DB XXL</v>
      </c>
      <c r="I4449" s="8" t="str">
        <f aca="false">IF($G4449="","Unmatched","Matched")</f>
        <v>Unmatched</v>
      </c>
      <c r="J4449" s="8" t="str">
        <f aca="false">IF($G4449&lt;&gt;"",$G4449,$B4449)</f>
        <v>EC-59DB XXL</v>
      </c>
      <c r="K4449" s="8" t="str">
        <f aca="false">IF(COUNTIF($M$1:$M$10,$A4449)&gt;0,"Y","N")</f>
        <v>N</v>
      </c>
    </row>
    <row r="4450" customFormat="false" ht="15" hidden="false" customHeight="true" outlineLevel="0" collapsed="false">
      <c r="A4450" s="8" t="s">
        <v>1119</v>
      </c>
      <c r="B4450" s="8" t="s">
        <v>1159</v>
      </c>
      <c r="C4450" s="19" t="n">
        <v>128</v>
      </c>
      <c r="D4450" s="19" t="n">
        <v>22838.32</v>
      </c>
      <c r="E4450" s="19" t="n">
        <v>115</v>
      </c>
      <c r="F4450" s="19" t="n">
        <v>18446.61</v>
      </c>
      <c r="G4450" s="8" t="str">
        <f aca="false">IFERROR(INDEX('TRANS'!$B:$B,MATCH($B4450,'TRANS'!$A:$A,0)),IFERROR(INDEX('TRANS'!$B:$B,MATCH(TRIM(SUBSTITUTE($B4450,CHAR(160)," ")),'TRANS'!$D:$D,0)),IFERROR(INDEX('Catalog'!$A:$A,MATCH($B4450,'Catalog'!$B:$B,0)),IFERROR(INDEX('Catalog'!$A:$A,MATCH(TRIM(SUBSTITUTE($B4450,CHAR(160)," ")),'Catalog'!$C:$C,0)),""))))</f>
        <v/>
      </c>
      <c r="H4450" s="8" t="str">
        <f aca="false">IFERROR(INDEX('TRANS'!$C:$C,MATCH($B4450,'TRANS'!$A:$A,0)),IFERROR(INDEX('Catalog'!$B:$B,MATCH($G4450,'Catalog'!$A:$A,0)),$B4450))</f>
        <v>EC-59LB L</v>
      </c>
      <c r="I4450" s="8" t="str">
        <f aca="false">IF($G4450="","Unmatched","Matched")</f>
        <v>Unmatched</v>
      </c>
      <c r="J4450" s="8" t="str">
        <f aca="false">IF($G4450&lt;&gt;"",$G4450,$B4450)</f>
        <v>EC-59LB L</v>
      </c>
      <c r="K4450" s="8" t="str">
        <f aca="false">IF(COUNTIF($M$1:$M$10,$A4450)&gt;0,"Y","N")</f>
        <v>N</v>
      </c>
    </row>
    <row r="4451" customFormat="false" ht="15" hidden="false" customHeight="true" outlineLevel="0" collapsed="false">
      <c r="A4451" s="8" t="s">
        <v>1119</v>
      </c>
      <c r="B4451" s="8" t="s">
        <v>1160</v>
      </c>
      <c r="C4451" s="19" t="n">
        <v>324</v>
      </c>
      <c r="D4451" s="19" t="n">
        <v>58442.65</v>
      </c>
      <c r="E4451" s="19" t="n">
        <v>350</v>
      </c>
      <c r="F4451" s="19" t="n">
        <v>56190.69</v>
      </c>
      <c r="G4451" s="8" t="str">
        <f aca="false">IFERROR(INDEX('TRANS'!$B:$B,MATCH($B4451,'TRANS'!$A:$A,0)),IFERROR(INDEX('TRANS'!$B:$B,MATCH(TRIM(SUBSTITUTE($B4451,CHAR(160)," ")),'TRANS'!$D:$D,0)),IFERROR(INDEX('Catalog'!$A:$A,MATCH($B4451,'Catalog'!$B:$B,0)),IFERROR(INDEX('Catalog'!$A:$A,MATCH(TRIM(SUBSTITUTE($B4451,CHAR(160)," ")),'Catalog'!$C:$C,0)),""))))</f>
        <v/>
      </c>
      <c r="H4451" s="8" t="str">
        <f aca="false">IFERROR(INDEX('TRANS'!$C:$C,MATCH($B4451,'TRANS'!$A:$A,0)),IFERROR(INDEX('Catalog'!$B:$B,MATCH($G4451,'Catalog'!$A:$A,0)),$B4451))</f>
        <v>EC-59LB M</v>
      </c>
      <c r="I4451" s="8" t="str">
        <f aca="false">IF($G4451="","Unmatched","Matched")</f>
        <v>Unmatched</v>
      </c>
      <c r="J4451" s="8" t="str">
        <f aca="false">IF($G4451&lt;&gt;"",$G4451,$B4451)</f>
        <v>EC-59LB M</v>
      </c>
      <c r="K4451" s="8" t="str">
        <f aca="false">IF(COUNTIF($M$1:$M$10,$A4451)&gt;0,"Y","N")</f>
        <v>N</v>
      </c>
    </row>
    <row r="4452" customFormat="false" ht="15" hidden="false" customHeight="true" outlineLevel="0" collapsed="false">
      <c r="A4452" s="8" t="s">
        <v>1119</v>
      </c>
      <c r="B4452" s="8" t="s">
        <v>1161</v>
      </c>
      <c r="C4452" s="19" t="n">
        <v>243</v>
      </c>
      <c r="D4452" s="19" t="n">
        <v>43557.14</v>
      </c>
      <c r="E4452" s="19" t="n">
        <v>185</v>
      </c>
      <c r="F4452" s="19" t="n">
        <v>29658.02</v>
      </c>
      <c r="G4452" s="8" t="str">
        <f aca="false">IFERROR(INDEX('TRANS'!$B:$B,MATCH($B4452,'TRANS'!$A:$A,0)),IFERROR(INDEX('TRANS'!$B:$B,MATCH(TRIM(SUBSTITUTE($B4452,CHAR(160)," ")),'TRANS'!$D:$D,0)),IFERROR(INDEX('Catalog'!$A:$A,MATCH($B4452,'Catalog'!$B:$B,0)),IFERROR(INDEX('Catalog'!$A:$A,MATCH(TRIM(SUBSTITUTE($B4452,CHAR(160)," ")),'Catalog'!$C:$C,0)),""))))</f>
        <v/>
      </c>
      <c r="H4452" s="8" t="str">
        <f aca="false">IFERROR(INDEX('TRANS'!$C:$C,MATCH($B4452,'TRANS'!$A:$A,0)),IFERROR(INDEX('Catalog'!$B:$B,MATCH($G4452,'Catalog'!$A:$A,0)),$B4452))</f>
        <v>EC-59LB S</v>
      </c>
      <c r="I4452" s="8" t="str">
        <f aca="false">IF($G4452="","Unmatched","Matched")</f>
        <v>Unmatched</v>
      </c>
      <c r="J4452" s="8" t="str">
        <f aca="false">IF($G4452&lt;&gt;"",$G4452,$B4452)</f>
        <v>EC-59LB S</v>
      </c>
      <c r="K4452" s="8" t="str">
        <f aca="false">IF(COUNTIF($M$1:$M$10,$A4452)&gt;0,"Y","N")</f>
        <v>N</v>
      </c>
    </row>
    <row r="4453" customFormat="false" ht="15" hidden="false" customHeight="true" outlineLevel="0" collapsed="false">
      <c r="A4453" s="8" t="s">
        <v>1119</v>
      </c>
      <c r="B4453" s="8" t="s">
        <v>1162</v>
      </c>
      <c r="C4453" s="19" t="n">
        <v>21</v>
      </c>
      <c r="D4453" s="19" t="n">
        <v>3503.89</v>
      </c>
      <c r="E4453" s="19" t="n">
        <v>14</v>
      </c>
      <c r="F4453" s="19" t="n">
        <v>2355.71</v>
      </c>
      <c r="G4453" s="8" t="str">
        <f aca="false">IFERROR(INDEX('TRANS'!$B:$B,MATCH($B4453,'TRANS'!$A:$A,0)),IFERROR(INDEX('TRANS'!$B:$B,MATCH(TRIM(SUBSTITUTE($B4453,CHAR(160)," ")),'TRANS'!$D:$D,0)),IFERROR(INDEX('Catalog'!$A:$A,MATCH($B4453,'Catalog'!$B:$B,0)),IFERROR(INDEX('Catalog'!$A:$A,MATCH(TRIM(SUBSTITUTE($B4453,CHAR(160)," ")),'Catalog'!$C:$C,0)),""))))</f>
        <v/>
      </c>
      <c r="H4453" s="8" t="str">
        <f aca="false">IFERROR(INDEX('TRANS'!$C:$C,MATCH($B4453,'TRANS'!$A:$A,0)),IFERROR(INDEX('Catalog'!$B:$B,MATCH($G4453,'Catalog'!$A:$A,0)),$B4453))</f>
        <v>EC-59LB XL</v>
      </c>
      <c r="I4453" s="8" t="str">
        <f aca="false">IF($G4453="","Unmatched","Matched")</f>
        <v>Unmatched</v>
      </c>
      <c r="J4453" s="8" t="str">
        <f aca="false">IF($G4453&lt;&gt;"",$G4453,$B4453)</f>
        <v>EC-59LB XL</v>
      </c>
      <c r="K4453" s="8" t="str">
        <f aca="false">IF(COUNTIF($M$1:$M$10,$A4453)&gt;0,"Y","N")</f>
        <v>N</v>
      </c>
    </row>
    <row r="4454" customFormat="false" ht="15" hidden="false" customHeight="true" outlineLevel="0" collapsed="false">
      <c r="A4454" s="8" t="s">
        <v>1119</v>
      </c>
      <c r="B4454" s="8" t="s">
        <v>1163</v>
      </c>
      <c r="C4454" s="19" t="n">
        <v>7</v>
      </c>
      <c r="D4454" s="19" t="n">
        <v>1230.79</v>
      </c>
      <c r="E4454" s="19" t="n">
        <v>13</v>
      </c>
      <c r="F4454" s="19" t="n">
        <v>2132.76</v>
      </c>
      <c r="G4454" s="8" t="str">
        <f aca="false">IFERROR(INDEX('TRANS'!$B:$B,MATCH($B4454,'TRANS'!$A:$A,0)),IFERROR(INDEX('TRANS'!$B:$B,MATCH(TRIM(SUBSTITUTE($B4454,CHAR(160)," ")),'TRANS'!$D:$D,0)),IFERROR(INDEX('Catalog'!$A:$A,MATCH($B4454,'Catalog'!$B:$B,0)),IFERROR(INDEX('Catalog'!$A:$A,MATCH(TRIM(SUBSTITUTE($B4454,CHAR(160)," ")),'Catalog'!$C:$C,0)),""))))</f>
        <v/>
      </c>
      <c r="H4454" s="8" t="str">
        <f aca="false">IFERROR(INDEX('TRANS'!$C:$C,MATCH($B4454,'TRANS'!$A:$A,0)),IFERROR(INDEX('Catalog'!$B:$B,MATCH($G4454,'Catalog'!$A:$A,0)),$B4454))</f>
        <v>EC-59LB XXL</v>
      </c>
      <c r="I4454" s="8" t="str">
        <f aca="false">IF($G4454="","Unmatched","Matched")</f>
        <v>Unmatched</v>
      </c>
      <c r="J4454" s="8" t="str">
        <f aca="false">IF($G4454&lt;&gt;"",$G4454,$B4454)</f>
        <v>EC-59LB XXL</v>
      </c>
      <c r="K4454" s="8" t="str">
        <f aca="false">IF(COUNTIF($M$1:$M$10,$A4454)&gt;0,"Y","N")</f>
        <v>N</v>
      </c>
    </row>
    <row r="4455" customFormat="false" ht="15" hidden="false" customHeight="true" outlineLevel="0" collapsed="false">
      <c r="A4455" s="8" t="s">
        <v>1119</v>
      </c>
      <c r="B4455" s="8" t="s">
        <v>1164</v>
      </c>
      <c r="C4455" s="19" t="n">
        <v>268</v>
      </c>
      <c r="D4455" s="19" t="n">
        <v>47354.81</v>
      </c>
      <c r="E4455" s="19" t="n">
        <v>203</v>
      </c>
      <c r="F4455" s="19" t="n">
        <v>32989.62</v>
      </c>
      <c r="G4455" s="8" t="str">
        <f aca="false">IFERROR(INDEX('TRANS'!$B:$B,MATCH($B4455,'TRANS'!$A:$A,0)),IFERROR(INDEX('TRANS'!$B:$B,MATCH(TRIM(SUBSTITUTE($B4455,CHAR(160)," ")),'TRANS'!$D:$D,0)),IFERROR(INDEX('Catalog'!$A:$A,MATCH($B4455,'Catalog'!$B:$B,0)),IFERROR(INDEX('Catalog'!$A:$A,MATCH(TRIM(SUBSTITUTE($B4455,CHAR(160)," ")),'Catalog'!$C:$C,0)),""))))</f>
        <v/>
      </c>
      <c r="H4455" s="8" t="str">
        <f aca="false">IFERROR(INDEX('TRANS'!$C:$C,MATCH($B4455,'TRANS'!$A:$A,0)),IFERROR(INDEX('Catalog'!$B:$B,MATCH($G4455,'Catalog'!$A:$A,0)),$B4455))</f>
        <v>EC-59RB L</v>
      </c>
      <c r="I4455" s="8" t="str">
        <f aca="false">IF($G4455="","Unmatched","Matched")</f>
        <v>Unmatched</v>
      </c>
      <c r="J4455" s="8" t="str">
        <f aca="false">IF($G4455&lt;&gt;"",$G4455,$B4455)</f>
        <v>EC-59RB L</v>
      </c>
      <c r="K4455" s="8" t="str">
        <f aca="false">IF(COUNTIF($M$1:$M$10,$A4455)&gt;0,"Y","N")</f>
        <v>N</v>
      </c>
    </row>
    <row r="4456" customFormat="false" ht="15" hidden="false" customHeight="true" outlineLevel="0" collapsed="false">
      <c r="A4456" s="8" t="s">
        <v>1119</v>
      </c>
      <c r="B4456" s="8" t="s">
        <v>1165</v>
      </c>
      <c r="C4456" s="19" t="n">
        <v>769</v>
      </c>
      <c r="D4456" s="19" t="n">
        <v>135894.77</v>
      </c>
      <c r="E4456" s="19" t="n">
        <v>1146</v>
      </c>
      <c r="F4456" s="19" t="n">
        <v>183863.79</v>
      </c>
      <c r="G4456" s="8" t="str">
        <f aca="false">IFERROR(INDEX('TRANS'!$B:$B,MATCH($B4456,'TRANS'!$A:$A,0)),IFERROR(INDEX('TRANS'!$B:$B,MATCH(TRIM(SUBSTITUTE($B4456,CHAR(160)," ")),'TRANS'!$D:$D,0)),IFERROR(INDEX('Catalog'!$A:$A,MATCH($B4456,'Catalog'!$B:$B,0)),IFERROR(INDEX('Catalog'!$A:$A,MATCH(TRIM(SUBSTITUTE($B4456,CHAR(160)," ")),'Catalog'!$C:$C,0)),""))))</f>
        <v/>
      </c>
      <c r="H4456" s="8" t="str">
        <f aca="false">IFERROR(INDEX('TRANS'!$C:$C,MATCH($B4456,'TRANS'!$A:$A,0)),IFERROR(INDEX('Catalog'!$B:$B,MATCH($G4456,'Catalog'!$A:$A,0)),$B4456))</f>
        <v>EC-59RB M</v>
      </c>
      <c r="I4456" s="8" t="str">
        <f aca="false">IF($G4456="","Unmatched","Matched")</f>
        <v>Unmatched</v>
      </c>
      <c r="J4456" s="8" t="str">
        <f aca="false">IF($G4456&lt;&gt;"",$G4456,$B4456)</f>
        <v>EC-59RB M</v>
      </c>
      <c r="K4456" s="8" t="str">
        <f aca="false">IF(COUNTIF($M$1:$M$10,$A4456)&gt;0,"Y","N")</f>
        <v>N</v>
      </c>
    </row>
    <row r="4457" customFormat="false" ht="15" hidden="false" customHeight="true" outlineLevel="0" collapsed="false">
      <c r="A4457" s="8" t="s">
        <v>1119</v>
      </c>
      <c r="B4457" s="8" t="s">
        <v>1166</v>
      </c>
      <c r="C4457" s="19" t="n">
        <v>384</v>
      </c>
      <c r="D4457" s="19" t="n">
        <v>68602.16</v>
      </c>
      <c r="E4457" s="19" t="n">
        <v>326</v>
      </c>
      <c r="F4457" s="19" t="n">
        <v>51617.83</v>
      </c>
      <c r="G4457" s="8" t="str">
        <f aca="false">IFERROR(INDEX('TRANS'!$B:$B,MATCH($B4457,'TRANS'!$A:$A,0)),IFERROR(INDEX('TRANS'!$B:$B,MATCH(TRIM(SUBSTITUTE($B4457,CHAR(160)," ")),'TRANS'!$D:$D,0)),IFERROR(INDEX('Catalog'!$A:$A,MATCH($B4457,'Catalog'!$B:$B,0)),IFERROR(INDEX('Catalog'!$A:$A,MATCH(TRIM(SUBSTITUTE($B4457,CHAR(160)," ")),'Catalog'!$C:$C,0)),""))))</f>
        <v/>
      </c>
      <c r="H4457" s="8" t="str">
        <f aca="false">IFERROR(INDEX('TRANS'!$C:$C,MATCH($B4457,'TRANS'!$A:$A,0)),IFERROR(INDEX('Catalog'!$B:$B,MATCH($G4457,'Catalog'!$A:$A,0)),$B4457))</f>
        <v>EC-59RB S</v>
      </c>
      <c r="I4457" s="8" t="str">
        <f aca="false">IF($G4457="","Unmatched","Matched")</f>
        <v>Unmatched</v>
      </c>
      <c r="J4457" s="8" t="str">
        <f aca="false">IF($G4457&lt;&gt;"",$G4457,$B4457)</f>
        <v>EC-59RB S</v>
      </c>
      <c r="K4457" s="8" t="str">
        <f aca="false">IF(COUNTIF($M$1:$M$10,$A4457)&gt;0,"Y","N")</f>
        <v>N</v>
      </c>
    </row>
    <row r="4458" customFormat="false" ht="15" hidden="false" customHeight="true" outlineLevel="0" collapsed="false">
      <c r="A4458" s="8" t="s">
        <v>1119</v>
      </c>
      <c r="B4458" s="8" t="s">
        <v>1167</v>
      </c>
      <c r="C4458" s="19" t="n">
        <v>37</v>
      </c>
      <c r="D4458" s="19" t="n">
        <v>6510.26</v>
      </c>
      <c r="E4458" s="19" t="n">
        <v>0</v>
      </c>
      <c r="F4458" s="19" t="n">
        <v>0</v>
      </c>
      <c r="G4458" s="8" t="str">
        <f aca="false">IFERROR(INDEX('TRANS'!$B:$B,MATCH($B4458,'TRANS'!$A:$A,0)),IFERROR(INDEX('TRANS'!$B:$B,MATCH(TRIM(SUBSTITUTE($B4458,CHAR(160)," ")),'TRANS'!$D:$D,0)),IFERROR(INDEX('Catalog'!$A:$A,MATCH($B4458,'Catalog'!$B:$B,0)),IFERROR(INDEX('Catalog'!$A:$A,MATCH(TRIM(SUBSTITUTE($B4458,CHAR(160)," ")),'Catalog'!$C:$C,0)),""))))</f>
        <v/>
      </c>
      <c r="H4458" s="8" t="str">
        <f aca="false">IFERROR(INDEX('TRANS'!$C:$C,MATCH($B4458,'TRANS'!$A:$A,0)),IFERROR(INDEX('Catalog'!$B:$B,MATCH($G4458,'Catalog'!$A:$A,0)),$B4458))</f>
        <v>EC-59RB XL</v>
      </c>
      <c r="I4458" s="8" t="str">
        <f aca="false">IF($G4458="","Unmatched","Matched")</f>
        <v>Unmatched</v>
      </c>
      <c r="J4458" s="8" t="str">
        <f aca="false">IF($G4458&lt;&gt;"",$G4458,$B4458)</f>
        <v>EC-59RB XL</v>
      </c>
      <c r="K4458" s="8" t="str">
        <f aca="false">IF(COUNTIF($M$1:$M$10,$A4458)&gt;0,"Y","N")</f>
        <v>N</v>
      </c>
    </row>
    <row r="4459" customFormat="false" ht="15" hidden="false" customHeight="true" outlineLevel="0" collapsed="false">
      <c r="A4459" s="8" t="s">
        <v>1119</v>
      </c>
      <c r="B4459" s="8" t="s">
        <v>1168</v>
      </c>
      <c r="C4459" s="19" t="n">
        <v>15</v>
      </c>
      <c r="D4459" s="19" t="n">
        <v>2644.47</v>
      </c>
      <c r="E4459" s="19" t="n">
        <v>15</v>
      </c>
      <c r="F4459" s="19" t="n">
        <v>2265.72</v>
      </c>
      <c r="G4459" s="8" t="str">
        <f aca="false">IFERROR(INDEX('TRANS'!$B:$B,MATCH($B4459,'TRANS'!$A:$A,0)),IFERROR(INDEX('TRANS'!$B:$B,MATCH(TRIM(SUBSTITUTE($B4459,CHAR(160)," ")),'TRANS'!$D:$D,0)),IFERROR(INDEX('Catalog'!$A:$A,MATCH($B4459,'Catalog'!$B:$B,0)),IFERROR(INDEX('Catalog'!$A:$A,MATCH(TRIM(SUBSTITUTE($B4459,CHAR(160)," ")),'Catalog'!$C:$C,0)),""))))</f>
        <v/>
      </c>
      <c r="H4459" s="8" t="str">
        <f aca="false">IFERROR(INDEX('TRANS'!$C:$C,MATCH($B4459,'TRANS'!$A:$A,0)),IFERROR(INDEX('Catalog'!$B:$B,MATCH($G4459,'Catalog'!$A:$A,0)),$B4459))</f>
        <v>EC-59RB XXL</v>
      </c>
      <c r="I4459" s="8" t="str">
        <f aca="false">IF($G4459="","Unmatched","Matched")</f>
        <v>Unmatched</v>
      </c>
      <c r="J4459" s="8" t="str">
        <f aca="false">IF($G4459&lt;&gt;"",$G4459,$B4459)</f>
        <v>EC-59RB XXL</v>
      </c>
      <c r="K4459" s="8" t="str">
        <f aca="false">IF(COUNTIF($M$1:$M$10,$A4459)&gt;0,"Y","N")</f>
        <v>N</v>
      </c>
    </row>
    <row r="4460" customFormat="false" ht="15" hidden="false" customHeight="true" outlineLevel="0" collapsed="false">
      <c r="A4460" s="8" t="s">
        <v>1119</v>
      </c>
      <c r="B4460" s="8" t="s">
        <v>1169</v>
      </c>
      <c r="C4460" s="19" t="n">
        <v>0</v>
      </c>
      <c r="D4460" s="19" t="n">
        <v>42266.02</v>
      </c>
      <c r="E4460" s="19" t="n">
        <v>0</v>
      </c>
      <c r="F4460" s="19" t="n">
        <v>0</v>
      </c>
      <c r="G4460" s="8" t="str">
        <f aca="false">IFERROR(INDEX('TRANS'!$B:$B,MATCH($B4460,'TRANS'!$A:$A,0)),IFERROR(INDEX('TRANS'!$B:$B,MATCH(TRIM(SUBSTITUTE($B4460,CHAR(160)," ")),'TRANS'!$D:$D,0)),IFERROR(INDEX('Catalog'!$A:$A,MATCH($B4460,'Catalog'!$B:$B,0)),IFERROR(INDEX('Catalog'!$A:$A,MATCH(TRIM(SUBSTITUTE($B4460,CHAR(160)," ")),'Catalog'!$C:$C,0)),""))))</f>
        <v/>
      </c>
      <c r="H4460" s="8" t="str">
        <f aca="false">IFERROR(INDEX('TRANS'!$C:$C,MATCH($B4460,'TRANS'!$A:$A,0)),IFERROR(INDEX('Catalog'!$B:$B,MATCH($G4460,'Catalog'!$A:$A,0)),$B4460))</f>
        <v>EC-DIFF</v>
      </c>
      <c r="I4460" s="8" t="str">
        <f aca="false">IF($G4460="","Unmatched","Matched")</f>
        <v>Unmatched</v>
      </c>
      <c r="J4460" s="8" t="str">
        <f aca="false">IF($G4460&lt;&gt;"",$G4460,$B4460)</f>
        <v>EC-DIFF</v>
      </c>
      <c r="K4460" s="8" t="str">
        <f aca="false">IF(COUNTIF($M$1:$M$10,$A4460)&gt;0,"Y","N")</f>
        <v>N</v>
      </c>
    </row>
    <row r="4461" customFormat="false" ht="15" hidden="false" customHeight="true" outlineLevel="0" collapsed="false">
      <c r="A4461" s="8" t="s">
        <v>1119</v>
      </c>
      <c r="B4461" s="8" t="s">
        <v>733</v>
      </c>
      <c r="C4461" s="19" t="n">
        <v>3</v>
      </c>
      <c r="D4461" s="19" t="n">
        <v>219.63</v>
      </c>
      <c r="E4461" s="19" t="n">
        <v>22</v>
      </c>
      <c r="F4461" s="19" t="n">
        <v>1355.94</v>
      </c>
      <c r="G4461" s="8" t="n">
        <f aca="false">IFERROR(INDEX('TRANS'!$B:$B,MATCH($B4461,'TRANS'!$A:$A,0)),IFERROR(INDEX('TRANS'!$B:$B,MATCH(TRIM(SUBSTITUTE($B4461,CHAR(160)," ")),'TRANS'!$D:$D,0)),IFERROR(INDEX('Catalog'!$A:$A,MATCH($B4461,'Catalog'!$B:$B,0)),IFERROR(INDEX('Catalog'!$A:$A,MATCH(TRIM(SUBSTITUTE($B4461,CHAR(160)," ")),'Catalog'!$C:$C,0)),""))))</f>
        <v>4408208</v>
      </c>
      <c r="H4461" s="8" t="str">
        <f aca="false">IFERROR(INDEX('TRANS'!$C:$C,MATCH($B4461,'TRANS'!$A:$A,0)),IFERROR(INDEX('Catalog'!$B:$B,MATCH($G4461,'Catalog'!$A:$A,0)),$B4461))</f>
        <v>AC91 חבק טניס</v>
      </c>
      <c r="I4461" s="8" t="str">
        <f aca="false">IF($G4461="","Unmatched","Matched")</f>
        <v>Matched</v>
      </c>
      <c r="J4461" s="8" t="n">
        <f aca="false">IF($G4461&lt;&gt;"",$G4461,$B4461)</f>
        <v>4408208</v>
      </c>
      <c r="K4461" s="8" t="str">
        <f aca="false">IF(COUNTIF($M$1:$M$10,$A4461)&gt;0,"Y","N")</f>
        <v>N</v>
      </c>
    </row>
    <row r="4462" customFormat="false" ht="15" hidden="false" customHeight="true" outlineLevel="0" collapsed="false">
      <c r="A4462" s="8" t="s">
        <v>1119</v>
      </c>
      <c r="B4462" s="8" t="s">
        <v>1170</v>
      </c>
      <c r="C4462" s="19" t="n">
        <v>0</v>
      </c>
      <c r="D4462" s="19" t="n">
        <v>0</v>
      </c>
      <c r="E4462" s="19" t="n">
        <v>7</v>
      </c>
      <c r="F4462" s="19" t="n">
        <v>314.59</v>
      </c>
      <c r="G4462" s="8" t="str">
        <f aca="false">IFERROR(INDEX('TRANS'!$B:$B,MATCH($B4462,'TRANS'!$A:$A,0)),IFERROR(INDEX('TRANS'!$B:$B,MATCH(TRIM(SUBSTITUTE($B4462,CHAR(160)," ")),'TRANS'!$D:$D,0)),IFERROR(INDEX('Catalog'!$A:$A,MATCH($B4462,'Catalog'!$B:$B,0)),IFERROR(INDEX('Catalog'!$A:$A,MATCH(TRIM(SUBSTITUTE($B4462,CHAR(160)," ")),'Catalog'!$C:$C,0)),""))))</f>
        <v/>
      </c>
      <c r="H4462" s="8" t="str">
        <f aca="false">IFERROR(INDEX('TRANS'!$C:$C,MATCH($B4462,'TRANS'!$A:$A,0)),IFERROR(INDEX('Catalog'!$B:$B,MATCH($G4462,'Catalog'!$A:$A,0)),$B4462))</f>
        <v>AC95</v>
      </c>
      <c r="I4462" s="8" t="str">
        <f aca="false">IF($G4462="","Unmatched","Matched")</f>
        <v>Unmatched</v>
      </c>
      <c r="J4462" s="8" t="str">
        <f aca="false">IF($G4462&lt;&gt;"",$G4462,$B4462)</f>
        <v>AC95</v>
      </c>
      <c r="K4462" s="8" t="str">
        <f aca="false">IF(COUNTIF($M$1:$M$10,$A4462)&gt;0,"Y","N")</f>
        <v>N</v>
      </c>
    </row>
    <row r="4463" customFormat="false" ht="15" hidden="false" customHeight="true" outlineLevel="0" collapsed="false">
      <c r="A4463" s="8" t="s">
        <v>1119</v>
      </c>
      <c r="B4463" s="8" t="s">
        <v>1171</v>
      </c>
      <c r="C4463" s="19" t="n">
        <v>1</v>
      </c>
      <c r="D4463" s="19" t="n">
        <v>46.39</v>
      </c>
      <c r="E4463" s="19" t="n">
        <v>0</v>
      </c>
      <c r="F4463" s="19" t="n">
        <v>0</v>
      </c>
      <c r="G4463" s="8" t="str">
        <f aca="false">IFERROR(INDEX('TRANS'!$B:$B,MATCH($B4463,'TRANS'!$A:$A,0)),IFERROR(INDEX('TRANS'!$B:$B,MATCH(TRIM(SUBSTITUTE($B4463,CHAR(160)," ")),'TRANS'!$D:$D,0)),IFERROR(INDEX('Catalog'!$A:$A,MATCH($B4463,'Catalog'!$B:$B,0)),IFERROR(INDEX('Catalog'!$A:$A,MATCH(TRIM(SUBSTITUTE($B4463,CHAR(160)," ")),'Catalog'!$C:$C,0)),""))))</f>
        <v/>
      </c>
      <c r="H4463" s="8" t="str">
        <f aca="false">IFERROR(INDEX('TRANS'!$C:$C,MATCH($B4463,'TRANS'!$A:$A,0)),IFERROR(INDEX('Catalog'!$B:$B,MATCH($G4463,'Catalog'!$A:$A,0)),$B4463))</f>
        <v>FC3162 0</v>
      </c>
      <c r="I4463" s="8" t="str">
        <f aca="false">IF($G4463="","Unmatched","Matched")</f>
        <v>Unmatched</v>
      </c>
      <c r="J4463" s="8" t="str">
        <f aca="false">IF($G4463&lt;&gt;"",$G4463,$B4463)</f>
        <v>FC3162 0</v>
      </c>
      <c r="K4463" s="8" t="str">
        <f aca="false">IF(COUNTIF($M$1:$M$10,$A4463)&gt;0,"Y","N")</f>
        <v>N</v>
      </c>
    </row>
    <row r="4464" customFormat="false" ht="15" hidden="false" customHeight="true" outlineLevel="0" collapsed="false">
      <c r="A4464" s="8" t="s">
        <v>1119</v>
      </c>
      <c r="B4464" s="8" t="s">
        <v>738</v>
      </c>
      <c r="C4464" s="19" t="n">
        <v>16341</v>
      </c>
      <c r="D4464" s="19" t="n">
        <v>1097384.48</v>
      </c>
      <c r="E4464" s="19" t="n">
        <v>11785</v>
      </c>
      <c r="F4464" s="19" t="n">
        <v>705962.26</v>
      </c>
      <c r="G4464" s="8" t="n">
        <f aca="false">IFERROR(INDEX('TRANS'!$B:$B,MATCH($B4464,'TRANS'!$A:$A,0)),IFERROR(INDEX('TRANS'!$B:$B,MATCH(TRIM(SUBSTITUTE($B4464,CHAR(160)," ")),'TRANS'!$D:$D,0)),IFERROR(INDEX('Catalog'!$A:$A,MATCH($B4464,'Catalog'!$B:$B,0)),IFERROR(INDEX('Catalog'!$A:$A,MATCH(TRIM(SUBSTITUTE($B4464,CHAR(160)," ")),'Catalog'!$C:$C,0)),""))))</f>
        <v>4414000</v>
      </c>
      <c r="H4464" s="8" t="str">
        <f aca="false">IFERROR(INDEX('TRANS'!$C:$C,MATCH($B4464,'TRANS'!$A:$A,0)),IFERROR(INDEX('Catalog'!$B:$B,MATCH($G4464,'Catalog'!$A:$A,0)),$B4464))</f>
        <v>FC342-נוזל לציפורן חודרנית</v>
      </c>
      <c r="I4464" s="8" t="str">
        <f aca="false">IF($G4464="","Unmatched","Matched")</f>
        <v>Matched</v>
      </c>
      <c r="J4464" s="8" t="n">
        <f aca="false">IF($G4464&lt;&gt;"",$G4464,$B4464)</f>
        <v>4414000</v>
      </c>
      <c r="K4464" s="8" t="str">
        <f aca="false">IF(COUNTIF($M$1:$M$10,$A4464)&gt;0,"Y","N")</f>
        <v>N</v>
      </c>
    </row>
    <row r="4465" customFormat="false" ht="15" hidden="false" customHeight="true" outlineLevel="0" collapsed="false">
      <c r="A4465" s="8" t="s">
        <v>1119</v>
      </c>
      <c r="B4465" s="8" t="s">
        <v>66</v>
      </c>
      <c r="C4465" s="19" t="n">
        <v>1355</v>
      </c>
      <c r="D4465" s="19" t="n">
        <v>109768.29</v>
      </c>
      <c r="E4465" s="19" t="n">
        <v>750</v>
      </c>
      <c r="F4465" s="19" t="n">
        <v>56592.53</v>
      </c>
      <c r="G4465" s="8" t="str">
        <f aca="false">IFERROR(INDEX('TRANS'!$B:$B,MATCH($B4465,'TRANS'!$A:$A,0)),IFERROR(INDEX('TRANS'!$B:$B,MATCH(TRIM(SUBSTITUTE($B4465,CHAR(160)," ")),'TRANS'!$D:$D,0)),IFERROR(INDEX('Catalog'!$A:$A,MATCH($B4465,'Catalog'!$B:$B,0)),IFERROR(INDEX('Catalog'!$A:$A,MATCH(TRIM(SUBSTITUTE($B4465,CHAR(160)," ")),'Catalog'!$C:$C,0)),""))))</f>
        <v/>
      </c>
      <c r="H4465" s="8" t="str">
        <f aca="false">IFERROR(INDEX('TRANS'!$C:$C,MATCH($B4465,'TRANS'!$A:$A,0)),IFERROR(INDEX('Catalog'!$B:$B,MATCH($G4465,'Catalog'!$A:$A,0)),$B4465))</f>
        <v>FC3422 0</v>
      </c>
      <c r="I4465" s="8" t="str">
        <f aca="false">IF($G4465="","Unmatched","Matched")</f>
        <v>Unmatched</v>
      </c>
      <c r="J4465" s="8" t="str">
        <f aca="false">IF($G4465&lt;&gt;"",$G4465,$B4465)</f>
        <v>FC3422 0</v>
      </c>
      <c r="K4465" s="8" t="str">
        <f aca="false">IF(COUNTIF($M$1:$M$10,$A4465)&gt;0,"Y","N")</f>
        <v>N</v>
      </c>
    </row>
    <row r="4466" customFormat="false" ht="15" hidden="false" customHeight="true" outlineLevel="0" collapsed="false">
      <c r="A4466" s="8" t="s">
        <v>1119</v>
      </c>
      <c r="B4466" s="8" t="s">
        <v>1172</v>
      </c>
      <c r="C4466" s="19" t="n">
        <v>1189</v>
      </c>
      <c r="D4466" s="19" t="n">
        <v>85731.85</v>
      </c>
      <c r="E4466" s="19" t="n">
        <v>475</v>
      </c>
      <c r="F4466" s="19" t="n">
        <v>32628.14</v>
      </c>
      <c r="G4466" s="8" t="str">
        <f aca="false">IFERROR(INDEX('TRANS'!$B:$B,MATCH($B4466,'TRANS'!$A:$A,0)),IFERROR(INDEX('TRANS'!$B:$B,MATCH(TRIM(SUBSTITUTE($B4466,CHAR(160)," ")),'TRANS'!$D:$D,0)),IFERROR(INDEX('Catalog'!$A:$A,MATCH($B4466,'Catalog'!$B:$B,0)),IFERROR(INDEX('Catalog'!$A:$A,MATCH(TRIM(SUBSTITUTE($B4466,CHAR(160)," ")),'Catalog'!$C:$C,0)),""))))</f>
        <v/>
      </c>
      <c r="H4466" s="8" t="str">
        <f aca="false">IFERROR(INDEX('TRANS'!$C:$C,MATCH($B4466,'TRANS'!$A:$A,0)),IFERROR(INDEX('Catalog'!$B:$B,MATCH($G4466,'Catalog'!$A:$A,0)),$B4466))</f>
        <v>FC342K 0</v>
      </c>
      <c r="I4466" s="8" t="str">
        <f aca="false">IF($G4466="","Unmatched","Matched")</f>
        <v>Unmatched</v>
      </c>
      <c r="J4466" s="8" t="str">
        <f aca="false">IF($G4466&lt;&gt;"",$G4466,$B4466)</f>
        <v>FC342K 0</v>
      </c>
      <c r="K4466" s="8" t="str">
        <f aca="false">IF(COUNTIF($M$1:$M$10,$A4466)&gt;0,"Y","N")</f>
        <v>N</v>
      </c>
    </row>
    <row r="4467" customFormat="false" ht="15" hidden="false" customHeight="true" outlineLevel="0" collapsed="false">
      <c r="A4467" s="8" t="s">
        <v>1119</v>
      </c>
      <c r="B4467" s="8" t="s">
        <v>1173</v>
      </c>
      <c r="C4467" s="19" t="n">
        <v>0</v>
      </c>
      <c r="D4467" s="19" t="n">
        <v>0</v>
      </c>
      <c r="E4467" s="19" t="n">
        <v>26</v>
      </c>
      <c r="F4467" s="19" t="n">
        <v>2172.93</v>
      </c>
      <c r="G4467" s="8" t="str">
        <f aca="false">IFERROR(INDEX('TRANS'!$B:$B,MATCH($B4467,'TRANS'!$A:$A,0)),IFERROR(INDEX('TRANS'!$B:$B,MATCH(TRIM(SUBSTITUTE($B4467,CHAR(160)," ")),'TRANS'!$D:$D,0)),IFERROR(INDEX('Catalog'!$A:$A,MATCH($B4467,'Catalog'!$B:$B,0)),IFERROR(INDEX('Catalog'!$A:$A,MATCH(TRIM(SUBSTITUTE($B4467,CHAR(160)," ")),'Catalog'!$C:$C,0)),""))))</f>
        <v/>
      </c>
      <c r="H4467" s="8" t="str">
        <f aca="false">IFERROR(INDEX('TRANS'!$C:$C,MATCH($B4467,'TRANS'!$A:$A,0)),IFERROR(INDEX('Catalog'!$B:$B,MATCH($G4467,'Catalog'!$A:$A,0)),$B4467))</f>
        <v>TC342 0</v>
      </c>
      <c r="I4467" s="8" t="str">
        <f aca="false">IF($G4467="","Unmatched","Matched")</f>
        <v>Unmatched</v>
      </c>
      <c r="J4467" s="8" t="str">
        <f aca="false">IF($G4467&lt;&gt;"",$G4467,$B4467)</f>
        <v>TC342 0</v>
      </c>
      <c r="K4467" s="8" t="str">
        <f aca="false">IF(COUNTIF($M$1:$M$10,$A4467)&gt;0,"Y","N")</f>
        <v>N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15.75" hidden="false" customHeight="true" outlineLevel="0" collapsed="false">
      <c r="A1" s="13" t="s">
        <v>1174</v>
      </c>
      <c r="J1" s="20" t="s">
        <v>43</v>
      </c>
    </row>
    <row r="2" customFormat="false" ht="15" hidden="false" customHeight="true" outlineLevel="0" collapsed="false">
      <c r="A2" s="3" t="s">
        <v>1</v>
      </c>
      <c r="B2" s="4" t="n">
        <v>46290</v>
      </c>
      <c r="J2" s="20" t="s">
        <v>48</v>
      </c>
    </row>
    <row r="3" customFormat="false" ht="32.25" hidden="false" customHeight="true" outlineLevel="0" collapsed="false">
      <c r="A3" s="21" t="s">
        <v>1175</v>
      </c>
      <c r="B3" s="21"/>
      <c r="C3" s="21"/>
      <c r="D3" s="21"/>
      <c r="E3" s="21"/>
      <c r="F3" s="21"/>
      <c r="G3" s="21"/>
    </row>
    <row r="5" customFormat="false" ht="26.25" hidden="false" customHeight="true" outlineLevel="0" collapsed="false">
      <c r="A5" s="17" t="s">
        <v>546</v>
      </c>
      <c r="B5" s="17" t="s">
        <v>32</v>
      </c>
      <c r="C5" s="17" t="s">
        <v>552</v>
      </c>
      <c r="D5" s="17" t="s">
        <v>548</v>
      </c>
      <c r="E5" s="17" t="s">
        <v>549</v>
      </c>
      <c r="F5" s="17" t="s">
        <v>1176</v>
      </c>
      <c r="G5" s="17" t="s">
        <v>1177</v>
      </c>
      <c r="H5" s="7" t="s">
        <v>555</v>
      </c>
    </row>
    <row r="6" customFormat="false" ht="15" hidden="false" customHeight="true" outlineLevel="0" collapsed="false">
      <c r="A6" s="8" t="s">
        <v>43</v>
      </c>
      <c r="B6" s="8" t="n">
        <v>4401000</v>
      </c>
      <c r="C6" s="8" t="s">
        <v>1178</v>
      </c>
      <c r="D6" s="19" t="n">
        <v>337</v>
      </c>
      <c r="E6" s="19" t="n">
        <v>7001.773</v>
      </c>
      <c r="F6" s="19" t="n">
        <v>324.631578947368</v>
      </c>
      <c r="G6" s="19" t="n">
        <v>6829.59284210526</v>
      </c>
      <c r="H6" s="8" t="str">
        <f aca="false">IF(COUNTIF($J$1:$J$2,$A6)&gt;0,"Y","N")</f>
        <v>Y</v>
      </c>
    </row>
    <row r="7" customFormat="false" ht="15" hidden="false" customHeight="true" outlineLevel="0" collapsed="false">
      <c r="A7" s="8" t="s">
        <v>43</v>
      </c>
      <c r="B7" s="8" t="n">
        <v>4401001</v>
      </c>
      <c r="C7" s="8" t="s">
        <v>1179</v>
      </c>
      <c r="D7" s="19" t="n">
        <v>432</v>
      </c>
      <c r="E7" s="19" t="n">
        <v>9786.318</v>
      </c>
      <c r="F7" s="19" t="n">
        <v>368.842105263158</v>
      </c>
      <c r="G7" s="19" t="n">
        <v>8383.40336842105</v>
      </c>
      <c r="H7" s="8" t="str">
        <f aca="false">IF(COUNTIF($J$1:$J$2,$A7)&gt;0,"Y","N")</f>
        <v>Y</v>
      </c>
    </row>
    <row r="8" customFormat="false" ht="15" hidden="false" customHeight="true" outlineLevel="0" collapsed="false">
      <c r="A8" s="8" t="s">
        <v>43</v>
      </c>
      <c r="B8" s="8" t="n">
        <v>4401002</v>
      </c>
      <c r="C8" s="8" t="s">
        <v>1180</v>
      </c>
      <c r="D8" s="19" t="n">
        <v>266</v>
      </c>
      <c r="E8" s="19" t="n">
        <v>2074.399</v>
      </c>
      <c r="F8" s="19" t="n">
        <v>232.421052631579</v>
      </c>
      <c r="G8" s="19" t="n">
        <v>1814.55915789474</v>
      </c>
      <c r="H8" s="8" t="str">
        <f aca="false">IF(COUNTIF($J$1:$J$2,$A8)&gt;0,"Y","N")</f>
        <v>Y</v>
      </c>
    </row>
    <row r="9" customFormat="false" ht="15" hidden="false" customHeight="true" outlineLevel="0" collapsed="false">
      <c r="A9" s="8" t="s">
        <v>43</v>
      </c>
      <c r="B9" s="8" t="n">
        <v>4401011</v>
      </c>
      <c r="C9" s="8" t="s">
        <v>1181</v>
      </c>
      <c r="D9" s="19" t="n">
        <v>72</v>
      </c>
      <c r="E9" s="19" t="n">
        <v>1026.035</v>
      </c>
      <c r="F9" s="19" t="n">
        <v>61.8947368421053</v>
      </c>
      <c r="G9" s="19" t="n">
        <v>928.314947368421</v>
      </c>
      <c r="H9" s="8" t="str">
        <f aca="false">IF(COUNTIF($J$1:$J$2,$A9)&gt;0,"Y","N")</f>
        <v>Y</v>
      </c>
    </row>
    <row r="10" customFormat="false" ht="15" hidden="false" customHeight="true" outlineLevel="0" collapsed="false">
      <c r="A10" s="8" t="s">
        <v>43</v>
      </c>
      <c r="B10" s="8" t="n">
        <v>4401012</v>
      </c>
      <c r="C10" s="8" t="s">
        <v>1182</v>
      </c>
      <c r="D10" s="19" t="n">
        <v>20</v>
      </c>
      <c r="E10" s="19" t="n">
        <v>290.017</v>
      </c>
      <c r="F10" s="19" t="n">
        <v>26.5263157894737</v>
      </c>
      <c r="G10" s="19" t="n">
        <v>412.201263157895</v>
      </c>
      <c r="H10" s="8" t="str">
        <f aca="false">IF(COUNTIF($J$1:$J$2,$A10)&gt;0,"Y","N")</f>
        <v>Y</v>
      </c>
    </row>
    <row r="11" customFormat="false" ht="15" hidden="false" customHeight="true" outlineLevel="0" collapsed="false">
      <c r="A11" s="8" t="s">
        <v>43</v>
      </c>
      <c r="B11" s="8" t="n">
        <v>4401013</v>
      </c>
      <c r="C11" s="8" t="s">
        <v>1183</v>
      </c>
      <c r="D11" s="19" t="n">
        <v>19</v>
      </c>
      <c r="E11" s="19" t="n">
        <v>274.274</v>
      </c>
      <c r="F11" s="19" t="n">
        <v>24</v>
      </c>
      <c r="G11" s="19" t="n">
        <v>367.141894736842</v>
      </c>
      <c r="H11" s="8" t="str">
        <f aca="false">IF(COUNTIF($J$1:$J$2,$A11)&gt;0,"Y","N")</f>
        <v>Y</v>
      </c>
    </row>
    <row r="12" customFormat="false" ht="15" hidden="false" customHeight="true" outlineLevel="0" collapsed="false">
      <c r="A12" s="8" t="s">
        <v>43</v>
      </c>
      <c r="B12" s="8" t="n">
        <v>4401014</v>
      </c>
      <c r="C12" s="8" t="s">
        <v>1184</v>
      </c>
      <c r="D12" s="19" t="n">
        <v>49</v>
      </c>
      <c r="E12" s="19" t="n">
        <v>688.971</v>
      </c>
      <c r="F12" s="19" t="n">
        <v>51.7894736842105</v>
      </c>
      <c r="G12" s="19" t="n">
        <v>764.629894736842</v>
      </c>
      <c r="H12" s="8" t="str">
        <f aca="false">IF(COUNTIF($J$1:$J$2,$A12)&gt;0,"Y","N")</f>
        <v>Y</v>
      </c>
    </row>
    <row r="13" customFormat="false" ht="15" hidden="false" customHeight="true" outlineLevel="0" collapsed="false">
      <c r="A13" s="8" t="s">
        <v>43</v>
      </c>
      <c r="B13" s="8" t="n">
        <v>4402000</v>
      </c>
      <c r="C13" s="8" t="s">
        <v>1185</v>
      </c>
      <c r="D13" s="19" t="n">
        <v>132</v>
      </c>
      <c r="E13" s="19" t="n">
        <v>3151.399</v>
      </c>
      <c r="F13" s="19" t="n">
        <v>149.052631578947</v>
      </c>
      <c r="G13" s="19" t="n">
        <v>3621.12126315789</v>
      </c>
      <c r="H13" s="8" t="str">
        <f aca="false">IF(COUNTIF($J$1:$J$2,$A13)&gt;0,"Y","N")</f>
        <v>Y</v>
      </c>
    </row>
    <row r="14" customFormat="false" ht="15" hidden="false" customHeight="true" outlineLevel="0" collapsed="false">
      <c r="A14" s="8" t="s">
        <v>43</v>
      </c>
      <c r="B14" s="8" t="n">
        <v>4402007</v>
      </c>
      <c r="C14" s="8" t="s">
        <v>1186</v>
      </c>
      <c r="D14" s="19" t="n">
        <v>356</v>
      </c>
      <c r="E14" s="19" t="n">
        <v>5973.286</v>
      </c>
      <c r="F14" s="19" t="n">
        <v>286.736842105263</v>
      </c>
      <c r="G14" s="19" t="n">
        <v>4807.80252631579</v>
      </c>
      <c r="H14" s="8" t="str">
        <f aca="false">IF(COUNTIF($J$1:$J$2,$A14)&gt;0,"Y","N")</f>
        <v>Y</v>
      </c>
    </row>
    <row r="15" customFormat="false" ht="15" hidden="false" customHeight="true" outlineLevel="0" collapsed="false">
      <c r="A15" s="8" t="s">
        <v>43</v>
      </c>
      <c r="B15" s="8" t="n">
        <v>4403000</v>
      </c>
      <c r="C15" s="8" t="s">
        <v>1187</v>
      </c>
      <c r="D15" s="19" t="n">
        <v>21</v>
      </c>
      <c r="E15" s="19" t="n">
        <v>558.831</v>
      </c>
      <c r="F15" s="19" t="n">
        <v>13.8947368421053</v>
      </c>
      <c r="G15" s="19" t="n">
        <v>414.270315789474</v>
      </c>
      <c r="H15" s="8" t="str">
        <f aca="false">IF(COUNTIF($J$1:$J$2,$A15)&gt;0,"Y","N")</f>
        <v>Y</v>
      </c>
    </row>
    <row r="16" customFormat="false" ht="15" hidden="false" customHeight="true" outlineLevel="0" collapsed="false">
      <c r="A16" s="8" t="s">
        <v>43</v>
      </c>
      <c r="B16" s="8" t="n">
        <v>4403001</v>
      </c>
      <c r="C16" s="8" t="s">
        <v>1188</v>
      </c>
      <c r="D16" s="19" t="n">
        <v>42</v>
      </c>
      <c r="E16" s="19" t="n">
        <v>1162.434</v>
      </c>
      <c r="F16" s="19" t="n">
        <v>18.9473684210526</v>
      </c>
      <c r="G16" s="19" t="n">
        <v>583.817684210526</v>
      </c>
      <c r="H16" s="8" t="str">
        <f aca="false">IF(COUNTIF($J$1:$J$2,$A16)&gt;0,"Y","N")</f>
        <v>Y</v>
      </c>
    </row>
    <row r="17" customFormat="false" ht="15" hidden="false" customHeight="true" outlineLevel="0" collapsed="false">
      <c r="A17" s="8" t="s">
        <v>43</v>
      </c>
      <c r="B17" s="8" t="n">
        <v>4403002</v>
      </c>
      <c r="C17" s="8" t="s">
        <v>1189</v>
      </c>
      <c r="D17" s="19" t="n">
        <v>78</v>
      </c>
      <c r="E17" s="19" t="n">
        <v>2224.36</v>
      </c>
      <c r="F17" s="19" t="n">
        <v>29.0526315789474</v>
      </c>
      <c r="G17" s="19" t="n">
        <v>877.048421052632</v>
      </c>
      <c r="H17" s="8" t="str">
        <f aca="false">IF(COUNTIF($J$1:$J$2,$A17)&gt;0,"Y","N")</f>
        <v>Y</v>
      </c>
    </row>
    <row r="18" customFormat="false" ht="15" hidden="false" customHeight="true" outlineLevel="0" collapsed="false">
      <c r="A18" s="8" t="s">
        <v>43</v>
      </c>
      <c r="B18" s="8" t="n">
        <v>4403003</v>
      </c>
      <c r="C18" s="8" t="s">
        <v>1190</v>
      </c>
      <c r="D18" s="19" t="n">
        <v>2</v>
      </c>
      <c r="E18" s="19" t="n">
        <v>46.41</v>
      </c>
      <c r="F18" s="19" t="n">
        <v>13.8947368421053</v>
      </c>
      <c r="G18" s="19" t="n">
        <v>433.121684210526</v>
      </c>
      <c r="H18" s="8" t="str">
        <f aca="false">IF(COUNTIF($J$1:$J$2,$A18)&gt;0,"Y","N")</f>
        <v>Y</v>
      </c>
    </row>
    <row r="19" customFormat="false" ht="15" hidden="false" customHeight="true" outlineLevel="0" collapsed="false">
      <c r="A19" s="8" t="s">
        <v>43</v>
      </c>
      <c r="B19" s="8" t="n">
        <v>4403004</v>
      </c>
      <c r="C19" s="8" t="s">
        <v>1191</v>
      </c>
      <c r="D19" s="19" t="n">
        <v>16</v>
      </c>
      <c r="E19" s="19" t="n">
        <v>500.045</v>
      </c>
      <c r="F19" s="19" t="n">
        <v>5.05263157894737</v>
      </c>
      <c r="G19" s="19" t="n">
        <v>161.386105263158</v>
      </c>
      <c r="H19" s="8" t="str">
        <f aca="false">IF(COUNTIF($J$1:$J$2,$A19)&gt;0,"Y","N")</f>
        <v>Y</v>
      </c>
    </row>
    <row r="20" customFormat="false" ht="15" hidden="false" customHeight="true" outlineLevel="0" collapsed="false">
      <c r="A20" s="8" t="s">
        <v>43</v>
      </c>
      <c r="B20" s="8" t="n">
        <v>4403005</v>
      </c>
      <c r="C20" s="8" t="s">
        <v>1192</v>
      </c>
      <c r="D20" s="19" t="n">
        <v>50</v>
      </c>
      <c r="E20" s="19" t="n">
        <v>1552.251</v>
      </c>
      <c r="F20" s="19" t="n">
        <v>0</v>
      </c>
      <c r="G20" s="19" t="n">
        <v>0</v>
      </c>
      <c r="H20" s="8" t="str">
        <f aca="false">IF(COUNTIF($J$1:$J$2,$A20)&gt;0,"Y","N")</f>
        <v>Y</v>
      </c>
    </row>
    <row r="21" customFormat="false" ht="15" hidden="false" customHeight="true" outlineLevel="0" collapsed="false">
      <c r="A21" s="8" t="s">
        <v>43</v>
      </c>
      <c r="B21" s="8" t="n">
        <v>4403006</v>
      </c>
      <c r="C21" s="8" t="s">
        <v>1193</v>
      </c>
      <c r="D21" s="19" t="n">
        <v>12</v>
      </c>
      <c r="E21" s="19" t="n">
        <v>313.95</v>
      </c>
      <c r="F21" s="19" t="n">
        <v>15.1578947368421</v>
      </c>
      <c r="G21" s="19" t="n">
        <v>484.273263157895</v>
      </c>
      <c r="H21" s="8" t="str">
        <f aca="false">IF(COUNTIF($J$1:$J$2,$A21)&gt;0,"Y","N")</f>
        <v>Y</v>
      </c>
    </row>
    <row r="22" customFormat="false" ht="15" hidden="false" customHeight="true" outlineLevel="0" collapsed="false">
      <c r="A22" s="8" t="s">
        <v>43</v>
      </c>
      <c r="B22" s="8" t="n">
        <v>4403007</v>
      </c>
      <c r="C22" s="8" t="s">
        <v>1194</v>
      </c>
      <c r="D22" s="19" t="n">
        <v>18</v>
      </c>
      <c r="E22" s="19" t="n">
        <v>509.509</v>
      </c>
      <c r="F22" s="19" t="n">
        <v>16.4210526315789</v>
      </c>
      <c r="G22" s="19" t="n">
        <v>497.722105263158</v>
      </c>
      <c r="H22" s="8" t="str">
        <f aca="false">IF(COUNTIF($J$1:$J$2,$A22)&gt;0,"Y","N")</f>
        <v>Y</v>
      </c>
    </row>
    <row r="23" customFormat="false" ht="15" hidden="false" customHeight="true" outlineLevel="0" collapsed="false">
      <c r="A23" s="8" t="s">
        <v>43</v>
      </c>
      <c r="B23" s="8" t="n">
        <v>4403008</v>
      </c>
      <c r="C23" s="8" t="s">
        <v>1195</v>
      </c>
      <c r="D23" s="19" t="n">
        <v>20</v>
      </c>
      <c r="E23" s="19" t="n">
        <v>547.001</v>
      </c>
      <c r="F23" s="19" t="n">
        <v>16.4210526315789</v>
      </c>
      <c r="G23" s="19" t="n">
        <v>524.619789473684</v>
      </c>
      <c r="H23" s="8" t="str">
        <f aca="false">IF(COUNTIF($J$1:$J$2,$A23)&gt;0,"Y","N")</f>
        <v>Y</v>
      </c>
    </row>
    <row r="24" customFormat="false" ht="15" hidden="false" customHeight="true" outlineLevel="0" collapsed="false">
      <c r="A24" s="8" t="s">
        <v>43</v>
      </c>
      <c r="B24" s="8" t="n">
        <v>4403017</v>
      </c>
      <c r="C24" s="8" t="s">
        <v>1196</v>
      </c>
      <c r="D24" s="19" t="n">
        <v>67</v>
      </c>
      <c r="E24" s="19" t="n">
        <v>1570.525</v>
      </c>
      <c r="F24" s="19" t="n">
        <v>36.6315789473684</v>
      </c>
      <c r="G24" s="19" t="n">
        <v>923.043789473684</v>
      </c>
      <c r="H24" s="8" t="str">
        <f aca="false">IF(COUNTIF($J$1:$J$2,$A24)&gt;0,"Y","N")</f>
        <v>Y</v>
      </c>
    </row>
    <row r="25" customFormat="false" ht="15" hidden="false" customHeight="true" outlineLevel="0" collapsed="false">
      <c r="A25" s="8" t="s">
        <v>43</v>
      </c>
      <c r="B25" s="8" t="n">
        <v>4403018</v>
      </c>
      <c r="C25" s="8" t="s">
        <v>1197</v>
      </c>
      <c r="D25" s="19" t="n">
        <v>142</v>
      </c>
      <c r="E25" s="19" t="n">
        <v>3264.411</v>
      </c>
      <c r="F25" s="19" t="n">
        <v>78.3157894736842</v>
      </c>
      <c r="G25" s="19" t="n">
        <v>1849.45389473684</v>
      </c>
      <c r="H25" s="8" t="str">
        <f aca="false">IF(COUNTIF($J$1:$J$2,$A25)&gt;0,"Y","N")</f>
        <v>Y</v>
      </c>
    </row>
    <row r="26" customFormat="false" ht="15" hidden="false" customHeight="true" outlineLevel="0" collapsed="false">
      <c r="A26" s="8" t="s">
        <v>43</v>
      </c>
      <c r="B26" s="8" t="n">
        <v>4403019</v>
      </c>
      <c r="C26" s="8" t="s">
        <v>1198</v>
      </c>
      <c r="D26" s="19" t="n">
        <v>236</v>
      </c>
      <c r="E26" s="19" t="n">
        <v>5432.02</v>
      </c>
      <c r="F26" s="19" t="n">
        <v>83.3684210526316</v>
      </c>
      <c r="G26" s="19" t="n">
        <v>2025.78315789474</v>
      </c>
      <c r="H26" s="8" t="str">
        <f aca="false">IF(COUNTIF($J$1:$J$2,$A26)&gt;0,"Y","N")</f>
        <v>Y</v>
      </c>
    </row>
    <row r="27" customFormat="false" ht="15" hidden="false" customHeight="true" outlineLevel="0" collapsed="false">
      <c r="A27" s="8" t="s">
        <v>43</v>
      </c>
      <c r="B27" s="8" t="n">
        <v>4403020</v>
      </c>
      <c r="C27" s="8" t="s">
        <v>1199</v>
      </c>
      <c r="D27" s="19" t="n">
        <v>17</v>
      </c>
      <c r="E27" s="19" t="n">
        <v>387.842</v>
      </c>
      <c r="F27" s="19" t="n">
        <v>1.26315789473684</v>
      </c>
      <c r="G27" s="19" t="n">
        <v>35.4694736842105</v>
      </c>
      <c r="H27" s="8" t="str">
        <f aca="false">IF(COUNTIF($J$1:$J$2,$A27)&gt;0,"Y","N")</f>
        <v>Y</v>
      </c>
    </row>
    <row r="28" customFormat="false" ht="15" hidden="false" customHeight="true" outlineLevel="0" collapsed="false">
      <c r="A28" s="8" t="s">
        <v>43</v>
      </c>
      <c r="B28" s="8" t="n">
        <v>4403021</v>
      </c>
      <c r="C28" s="8" t="s">
        <v>1200</v>
      </c>
      <c r="D28" s="19" t="n">
        <v>44</v>
      </c>
      <c r="E28" s="19" t="n">
        <v>1035.525</v>
      </c>
      <c r="F28" s="19" t="n">
        <v>2.52631578947368</v>
      </c>
      <c r="G28" s="19" t="n">
        <v>70.9642105263158</v>
      </c>
      <c r="H28" s="8" t="str">
        <f aca="false">IF(COUNTIF($J$1:$J$2,$A28)&gt;0,"Y","N")</f>
        <v>Y</v>
      </c>
    </row>
    <row r="29" customFormat="false" ht="15" hidden="false" customHeight="true" outlineLevel="0" collapsed="false">
      <c r="A29" s="8" t="s">
        <v>43</v>
      </c>
      <c r="B29" s="8" t="n">
        <v>4403022</v>
      </c>
      <c r="C29" s="8" t="s">
        <v>1201</v>
      </c>
      <c r="D29" s="19" t="n">
        <v>46</v>
      </c>
      <c r="E29" s="19" t="n">
        <v>1088.748</v>
      </c>
      <c r="F29" s="19" t="n">
        <v>1.26315789473684</v>
      </c>
      <c r="G29" s="19" t="n">
        <v>35.4694736842105</v>
      </c>
      <c r="H29" s="8" t="str">
        <f aca="false">IF(COUNTIF($J$1:$J$2,$A29)&gt;0,"Y","N")</f>
        <v>Y</v>
      </c>
    </row>
    <row r="30" customFormat="false" ht="15" hidden="false" customHeight="true" outlineLevel="0" collapsed="false">
      <c r="A30" s="8" t="s">
        <v>43</v>
      </c>
      <c r="B30" s="8" t="n">
        <v>4403023</v>
      </c>
      <c r="C30" s="8" t="s">
        <v>1202</v>
      </c>
      <c r="D30" s="19" t="n">
        <v>34</v>
      </c>
      <c r="E30" s="19" t="n">
        <v>767.312</v>
      </c>
      <c r="F30" s="19" t="n">
        <v>30.3157894736842</v>
      </c>
      <c r="G30" s="19" t="n">
        <v>744.415578947368</v>
      </c>
      <c r="H30" s="8" t="str">
        <f aca="false">IF(COUNTIF($J$1:$J$2,$A30)&gt;0,"Y","N")</f>
        <v>Y</v>
      </c>
    </row>
    <row r="31" customFormat="false" ht="15" hidden="false" customHeight="true" outlineLevel="0" collapsed="false">
      <c r="A31" s="8" t="s">
        <v>43</v>
      </c>
      <c r="B31" s="8" t="n">
        <v>4403024</v>
      </c>
      <c r="C31" s="8" t="s">
        <v>1203</v>
      </c>
      <c r="D31" s="19" t="n">
        <v>77</v>
      </c>
      <c r="E31" s="19" t="n">
        <v>1782.567</v>
      </c>
      <c r="F31" s="19" t="n">
        <v>63.1578947368421</v>
      </c>
      <c r="G31" s="19" t="n">
        <v>1557.816</v>
      </c>
      <c r="H31" s="8" t="str">
        <f aca="false">IF(COUNTIF($J$1:$J$2,$A31)&gt;0,"Y","N")</f>
        <v>Y</v>
      </c>
    </row>
    <row r="32" customFormat="false" ht="15" hidden="false" customHeight="true" outlineLevel="0" collapsed="false">
      <c r="A32" s="8" t="s">
        <v>43</v>
      </c>
      <c r="B32" s="8" t="n">
        <v>4403025</v>
      </c>
      <c r="C32" s="8" t="s">
        <v>1204</v>
      </c>
      <c r="D32" s="19" t="n">
        <v>90</v>
      </c>
      <c r="E32" s="19" t="n">
        <v>2049.914</v>
      </c>
      <c r="F32" s="19" t="n">
        <v>65.6842105263158</v>
      </c>
      <c r="G32" s="19" t="n">
        <v>1634.09178947368</v>
      </c>
      <c r="H32" s="8" t="str">
        <f aca="false">IF(COUNTIF($J$1:$J$2,$A32)&gt;0,"Y","N")</f>
        <v>Y</v>
      </c>
    </row>
    <row r="33" customFormat="false" ht="15" hidden="false" customHeight="true" outlineLevel="0" collapsed="false">
      <c r="A33" s="8" t="s">
        <v>43</v>
      </c>
      <c r="B33" s="8" t="n">
        <v>4403028</v>
      </c>
      <c r="C33" s="8" t="s">
        <v>1205</v>
      </c>
      <c r="D33" s="19" t="n">
        <v>125</v>
      </c>
      <c r="E33" s="19" t="n">
        <v>6693.323</v>
      </c>
      <c r="F33" s="19" t="n">
        <v>-1.26315789473684</v>
      </c>
      <c r="G33" s="19" t="n">
        <v>-60.6922105263158</v>
      </c>
      <c r="H33" s="8" t="str">
        <f aca="false">IF(COUNTIF($J$1:$J$2,$A33)&gt;0,"Y","N")</f>
        <v>Y</v>
      </c>
    </row>
    <row r="34" customFormat="false" ht="15" hidden="false" customHeight="true" outlineLevel="0" collapsed="false">
      <c r="A34" s="8" t="s">
        <v>43</v>
      </c>
      <c r="B34" s="8" t="n">
        <v>4403029</v>
      </c>
      <c r="C34" s="8" t="s">
        <v>1206</v>
      </c>
      <c r="D34" s="19" t="n">
        <v>225</v>
      </c>
      <c r="E34" s="19" t="n">
        <v>12189.982</v>
      </c>
      <c r="F34" s="19" t="n">
        <v>5.05263157894737</v>
      </c>
      <c r="G34" s="19" t="n">
        <v>314.802947368421</v>
      </c>
      <c r="H34" s="8" t="str">
        <f aca="false">IF(COUNTIF($J$1:$J$2,$A34)&gt;0,"Y","N")</f>
        <v>Y</v>
      </c>
    </row>
    <row r="35" customFormat="false" ht="15" hidden="false" customHeight="true" outlineLevel="0" collapsed="false">
      <c r="A35" s="8" t="s">
        <v>43</v>
      </c>
      <c r="B35" s="8" t="n">
        <v>4403030</v>
      </c>
      <c r="C35" s="8" t="s">
        <v>1207</v>
      </c>
      <c r="D35" s="19" t="n">
        <v>211</v>
      </c>
      <c r="E35" s="19" t="n">
        <v>11367.629</v>
      </c>
      <c r="F35" s="19" t="n">
        <v>-3.78947368421053</v>
      </c>
      <c r="G35" s="19" t="n">
        <v>-188.973473684211</v>
      </c>
      <c r="H35" s="8" t="str">
        <f aca="false">IF(COUNTIF($J$1:$J$2,$A35)&gt;0,"Y","N")</f>
        <v>Y</v>
      </c>
    </row>
    <row r="36" customFormat="false" ht="15" hidden="false" customHeight="true" outlineLevel="0" collapsed="false">
      <c r="A36" s="8" t="s">
        <v>43</v>
      </c>
      <c r="B36" s="8" t="n">
        <v>4403034</v>
      </c>
      <c r="C36" s="8" t="s">
        <v>1208</v>
      </c>
      <c r="D36" s="19" t="n">
        <v>6</v>
      </c>
      <c r="E36" s="19" t="n">
        <v>378.811</v>
      </c>
      <c r="F36" s="19" t="n">
        <v>2.52631578947368</v>
      </c>
      <c r="G36" s="19" t="n">
        <v>212.192842105263</v>
      </c>
      <c r="H36" s="8" t="str">
        <f aca="false">IF(COUNTIF($J$1:$J$2,$A36)&gt;0,"Y","N")</f>
        <v>Y</v>
      </c>
    </row>
    <row r="37" customFormat="false" ht="15" hidden="false" customHeight="true" outlineLevel="0" collapsed="false">
      <c r="A37" s="8" t="s">
        <v>43</v>
      </c>
      <c r="B37" s="8" t="n">
        <v>4403035</v>
      </c>
      <c r="C37" s="8" t="s">
        <v>1209</v>
      </c>
      <c r="D37" s="19" t="n">
        <v>11</v>
      </c>
      <c r="E37" s="19" t="n">
        <v>702.32</v>
      </c>
      <c r="F37" s="19" t="n">
        <v>1.26315789473684</v>
      </c>
      <c r="G37" s="19" t="n">
        <v>106.096421052632</v>
      </c>
      <c r="H37" s="8" t="str">
        <f aca="false">IF(COUNTIF($J$1:$J$2,$A37)&gt;0,"Y","N")</f>
        <v>Y</v>
      </c>
    </row>
    <row r="38" customFormat="false" ht="15" hidden="false" customHeight="true" outlineLevel="0" collapsed="false">
      <c r="A38" s="8" t="s">
        <v>43</v>
      </c>
      <c r="B38" s="8" t="n">
        <v>4403040</v>
      </c>
      <c r="C38" s="8" t="s">
        <v>1210</v>
      </c>
      <c r="D38" s="19" t="n">
        <v>110</v>
      </c>
      <c r="E38" s="19" t="n">
        <v>3644.004</v>
      </c>
      <c r="F38" s="19" t="n">
        <v>25.2631578947368</v>
      </c>
      <c r="G38" s="19" t="n">
        <v>797.274947368421</v>
      </c>
      <c r="H38" s="8" t="str">
        <f aca="false">IF(COUNTIF($J$1:$J$2,$A38)&gt;0,"Y","N")</f>
        <v>Y</v>
      </c>
    </row>
    <row r="39" customFormat="false" ht="15" hidden="false" customHeight="true" outlineLevel="0" collapsed="false">
      <c r="A39" s="8" t="s">
        <v>43</v>
      </c>
      <c r="B39" s="8" t="n">
        <v>4403041</v>
      </c>
      <c r="C39" s="8" t="s">
        <v>1211</v>
      </c>
      <c r="D39" s="19" t="n">
        <v>17</v>
      </c>
      <c r="E39" s="19" t="n">
        <v>1040.47</v>
      </c>
      <c r="F39" s="19" t="n">
        <v>170.526315789474</v>
      </c>
      <c r="G39" s="19" t="n">
        <v>9425.4</v>
      </c>
      <c r="H39" s="8" t="str">
        <f aca="false">IF(COUNTIF($J$1:$J$2,$A39)&gt;0,"Y","N")</f>
        <v>Y</v>
      </c>
    </row>
    <row r="40" customFormat="false" ht="15" hidden="false" customHeight="true" outlineLevel="0" collapsed="false">
      <c r="A40" s="8" t="s">
        <v>43</v>
      </c>
      <c r="B40" s="8" t="n">
        <v>4403042</v>
      </c>
      <c r="C40" s="8" t="s">
        <v>1212</v>
      </c>
      <c r="D40" s="19" t="n">
        <v>0</v>
      </c>
      <c r="E40" s="19" t="n">
        <v>0</v>
      </c>
      <c r="F40" s="19" t="n">
        <v>285.473684210526</v>
      </c>
      <c r="G40" s="19" t="n">
        <v>15803.0602105263</v>
      </c>
      <c r="H40" s="8" t="str">
        <f aca="false">IF(COUNTIF($J$1:$J$2,$A40)&gt;0,"Y","N")</f>
        <v>Y</v>
      </c>
    </row>
    <row r="41" customFormat="false" ht="15" hidden="false" customHeight="true" outlineLevel="0" collapsed="false">
      <c r="A41" s="8" t="s">
        <v>43</v>
      </c>
      <c r="B41" s="8" t="n">
        <v>4403043</v>
      </c>
      <c r="C41" s="8" t="s">
        <v>1213</v>
      </c>
      <c r="D41" s="19" t="n">
        <v>16</v>
      </c>
      <c r="E41" s="19" t="n">
        <v>974.95</v>
      </c>
      <c r="F41" s="19" t="n">
        <v>231.157894736842</v>
      </c>
      <c r="G41" s="19" t="n">
        <v>12859.6850526316</v>
      </c>
      <c r="H41" s="8" t="str">
        <f aca="false">IF(COUNTIF($J$1:$J$2,$A41)&gt;0,"Y","N")</f>
        <v>Y</v>
      </c>
    </row>
    <row r="42" customFormat="false" ht="15" hidden="false" customHeight="true" outlineLevel="0" collapsed="false">
      <c r="A42" s="8" t="s">
        <v>43</v>
      </c>
      <c r="B42" s="8" t="n">
        <v>4403044</v>
      </c>
      <c r="C42" s="8" t="s">
        <v>1214</v>
      </c>
      <c r="D42" s="19" t="n">
        <v>0</v>
      </c>
      <c r="E42" s="19" t="n">
        <v>0</v>
      </c>
      <c r="F42" s="19" t="n">
        <v>37.8947368421053</v>
      </c>
      <c r="G42" s="19" t="n">
        <v>1042.86821052632</v>
      </c>
      <c r="H42" s="8" t="str">
        <f aca="false">IF(COUNTIF($J$1:$J$2,$A42)&gt;0,"Y","N")</f>
        <v>Y</v>
      </c>
    </row>
    <row r="43" customFormat="false" ht="15" hidden="false" customHeight="true" outlineLevel="0" collapsed="false">
      <c r="A43" s="8" t="s">
        <v>43</v>
      </c>
      <c r="B43" s="8" t="n">
        <v>4403045</v>
      </c>
      <c r="C43" s="8" t="s">
        <v>1215</v>
      </c>
      <c r="D43" s="19" t="n">
        <v>0</v>
      </c>
      <c r="E43" s="19" t="n">
        <v>0</v>
      </c>
      <c r="F43" s="19" t="n">
        <v>48</v>
      </c>
      <c r="G43" s="19" t="n">
        <v>1367.56168421053</v>
      </c>
      <c r="H43" s="8" t="str">
        <f aca="false">IF(COUNTIF($J$1:$J$2,$A43)&gt;0,"Y","N")</f>
        <v>Y</v>
      </c>
    </row>
    <row r="44" customFormat="false" ht="15" hidden="false" customHeight="true" outlineLevel="0" collapsed="false">
      <c r="A44" s="8" t="s">
        <v>43</v>
      </c>
      <c r="B44" s="8" t="n">
        <v>4404000</v>
      </c>
      <c r="C44" s="8" t="s">
        <v>1216</v>
      </c>
      <c r="D44" s="19" t="n">
        <v>-6</v>
      </c>
      <c r="E44" s="19" t="n">
        <v>-157.703</v>
      </c>
      <c r="F44" s="19" t="n">
        <v>0</v>
      </c>
      <c r="G44" s="19" t="n">
        <v>0</v>
      </c>
      <c r="H44" s="8" t="str">
        <f aca="false">IF(COUNTIF($J$1:$J$2,$A44)&gt;0,"Y","N")</f>
        <v>Y</v>
      </c>
    </row>
    <row r="45" customFormat="false" ht="15" hidden="false" customHeight="true" outlineLevel="0" collapsed="false">
      <c r="A45" s="8" t="s">
        <v>43</v>
      </c>
      <c r="B45" s="8" t="n">
        <v>4408003</v>
      </c>
      <c r="C45" s="8" t="s">
        <v>1217</v>
      </c>
      <c r="D45" s="19" t="n">
        <v>-1</v>
      </c>
      <c r="E45" s="19" t="n">
        <v>-154.791</v>
      </c>
      <c r="F45" s="19" t="n">
        <v>0</v>
      </c>
      <c r="G45" s="19" t="n">
        <v>0</v>
      </c>
      <c r="H45" s="8" t="str">
        <f aca="false">IF(COUNTIF($J$1:$J$2,$A45)&gt;0,"Y","N")</f>
        <v>Y</v>
      </c>
    </row>
    <row r="46" customFormat="false" ht="15" hidden="false" customHeight="true" outlineLevel="0" collapsed="false">
      <c r="A46" s="8" t="s">
        <v>43</v>
      </c>
      <c r="B46" s="8" t="n">
        <v>4408004</v>
      </c>
      <c r="C46" s="8" t="s">
        <v>1218</v>
      </c>
      <c r="D46" s="19" t="n">
        <v>1</v>
      </c>
      <c r="E46" s="19" t="n">
        <v>154.791</v>
      </c>
      <c r="F46" s="19" t="n">
        <v>0</v>
      </c>
      <c r="G46" s="19" t="n">
        <v>0</v>
      </c>
      <c r="H46" s="8" t="str">
        <f aca="false">IF(COUNTIF($J$1:$J$2,$A46)&gt;0,"Y","N")</f>
        <v>Y</v>
      </c>
    </row>
    <row r="47" customFormat="false" ht="15" hidden="false" customHeight="true" outlineLevel="0" collapsed="false">
      <c r="A47" s="8" t="s">
        <v>43</v>
      </c>
      <c r="B47" s="8" t="n">
        <v>4408009</v>
      </c>
      <c r="C47" s="8" t="s">
        <v>1219</v>
      </c>
      <c r="D47" s="19" t="n">
        <v>3</v>
      </c>
      <c r="E47" s="19" t="n">
        <v>237.419</v>
      </c>
      <c r="F47" s="19" t="n">
        <v>0</v>
      </c>
      <c r="G47" s="19" t="n">
        <v>8.27621052631579</v>
      </c>
      <c r="H47" s="8" t="str">
        <f aca="false">IF(COUNTIF($J$1:$J$2,$A47)&gt;0,"Y","N")</f>
        <v>Y</v>
      </c>
    </row>
    <row r="48" customFormat="false" ht="15" hidden="false" customHeight="true" outlineLevel="0" collapsed="false">
      <c r="A48" s="8" t="s">
        <v>43</v>
      </c>
      <c r="B48" s="8" t="n">
        <v>4408010</v>
      </c>
      <c r="C48" s="8" t="s">
        <v>1220</v>
      </c>
      <c r="D48" s="19" t="n">
        <v>2</v>
      </c>
      <c r="E48" s="19" t="n">
        <v>178.087</v>
      </c>
      <c r="F48" s="19" t="n">
        <v>1.26315789473684</v>
      </c>
      <c r="G48" s="19" t="n">
        <v>116.671578947368</v>
      </c>
      <c r="H48" s="8" t="str">
        <f aca="false">IF(COUNTIF($J$1:$J$2,$A48)&gt;0,"Y","N")</f>
        <v>Y</v>
      </c>
    </row>
    <row r="49" customFormat="false" ht="15" hidden="false" customHeight="true" outlineLevel="0" collapsed="false">
      <c r="A49" s="8" t="s">
        <v>43</v>
      </c>
      <c r="B49" s="8" t="n">
        <v>4408011</v>
      </c>
      <c r="C49" s="8" t="s">
        <v>1221</v>
      </c>
      <c r="D49" s="19" t="n">
        <v>3</v>
      </c>
      <c r="E49" s="19" t="n">
        <v>243.971</v>
      </c>
      <c r="F49" s="19" t="n">
        <v>0</v>
      </c>
      <c r="G49" s="19" t="n">
        <v>0</v>
      </c>
      <c r="H49" s="8" t="str">
        <f aca="false">IF(COUNTIF($J$1:$J$2,$A49)&gt;0,"Y","N")</f>
        <v>Y</v>
      </c>
    </row>
    <row r="50" customFormat="false" ht="15" hidden="false" customHeight="true" outlineLevel="0" collapsed="false">
      <c r="A50" s="8" t="s">
        <v>43</v>
      </c>
      <c r="B50" s="8" t="n">
        <v>4408012</v>
      </c>
      <c r="C50" s="8" t="s">
        <v>1222</v>
      </c>
      <c r="D50" s="19" t="n">
        <v>7</v>
      </c>
      <c r="E50" s="19" t="n">
        <v>655.382</v>
      </c>
      <c r="F50" s="19" t="n">
        <v>1.26315789473684</v>
      </c>
      <c r="G50" s="19" t="n">
        <v>124.947789473684</v>
      </c>
      <c r="H50" s="8" t="str">
        <f aca="false">IF(COUNTIF($J$1:$J$2,$A50)&gt;0,"Y","N")</f>
        <v>Y</v>
      </c>
    </row>
    <row r="51" customFormat="false" ht="15" hidden="false" customHeight="true" outlineLevel="0" collapsed="false">
      <c r="A51" s="8" t="s">
        <v>43</v>
      </c>
      <c r="B51" s="8" t="n">
        <v>4408013</v>
      </c>
      <c r="C51" s="8" t="s">
        <v>1223</v>
      </c>
      <c r="D51" s="19" t="n">
        <v>5</v>
      </c>
      <c r="E51" s="19" t="n">
        <v>428.61</v>
      </c>
      <c r="F51" s="19" t="n">
        <v>0</v>
      </c>
      <c r="G51" s="19" t="n">
        <v>0</v>
      </c>
      <c r="H51" s="8" t="str">
        <f aca="false">IF(COUNTIF($J$1:$J$2,$A51)&gt;0,"Y","N")</f>
        <v>Y</v>
      </c>
    </row>
    <row r="52" customFormat="false" ht="15" hidden="false" customHeight="true" outlineLevel="0" collapsed="false">
      <c r="A52" s="8" t="s">
        <v>43</v>
      </c>
      <c r="B52" s="8" t="n">
        <v>4408014</v>
      </c>
      <c r="C52" s="8" t="s">
        <v>1224</v>
      </c>
      <c r="D52" s="19" t="n">
        <v>1</v>
      </c>
      <c r="E52" s="19" t="n">
        <v>238.784</v>
      </c>
      <c r="F52" s="19" t="n">
        <v>1.26315789473684</v>
      </c>
      <c r="G52" s="19" t="n">
        <v>301.621894736842</v>
      </c>
      <c r="H52" s="8" t="str">
        <f aca="false">IF(COUNTIF($J$1:$J$2,$A52)&gt;0,"Y","N")</f>
        <v>Y</v>
      </c>
    </row>
    <row r="53" customFormat="false" ht="15" hidden="false" customHeight="true" outlineLevel="0" collapsed="false">
      <c r="A53" s="8" t="s">
        <v>43</v>
      </c>
      <c r="B53" s="8" t="n">
        <v>4408015</v>
      </c>
      <c r="C53" s="8" t="s">
        <v>170</v>
      </c>
      <c r="D53" s="19" t="n">
        <v>4</v>
      </c>
      <c r="E53" s="19" t="n">
        <v>887.341</v>
      </c>
      <c r="F53" s="19" t="n">
        <v>-3.78947368421053</v>
      </c>
      <c r="G53" s="19" t="n">
        <v>-816.701052631579</v>
      </c>
      <c r="H53" s="8" t="str">
        <f aca="false">IF(COUNTIF($J$1:$J$2,$A53)&gt;0,"Y","N")</f>
        <v>Y</v>
      </c>
    </row>
    <row r="54" customFormat="false" ht="15" hidden="false" customHeight="true" outlineLevel="0" collapsed="false">
      <c r="A54" s="8" t="s">
        <v>43</v>
      </c>
      <c r="B54" s="8" t="n">
        <v>4408016</v>
      </c>
      <c r="C54" s="8" t="s">
        <v>315</v>
      </c>
      <c r="D54" s="19" t="n">
        <v>0</v>
      </c>
      <c r="E54" s="19" t="n">
        <v>2.275</v>
      </c>
      <c r="F54" s="19" t="n">
        <v>-1.26315789473684</v>
      </c>
      <c r="G54" s="19" t="n">
        <v>-226.208842105263</v>
      </c>
      <c r="H54" s="8" t="str">
        <f aca="false">IF(COUNTIF($J$1:$J$2,$A54)&gt;0,"Y","N")</f>
        <v>Y</v>
      </c>
    </row>
    <row r="55" customFormat="false" ht="15" hidden="false" customHeight="true" outlineLevel="0" collapsed="false">
      <c r="A55" s="8" t="s">
        <v>43</v>
      </c>
      <c r="B55" s="8" t="n">
        <v>4408017</v>
      </c>
      <c r="C55" s="8" t="s">
        <v>206</v>
      </c>
      <c r="D55" s="19" t="n">
        <v>4</v>
      </c>
      <c r="E55" s="19" t="n">
        <v>887.341</v>
      </c>
      <c r="F55" s="19" t="n">
        <v>3.78947368421053</v>
      </c>
      <c r="G55" s="19" t="n">
        <v>854.424</v>
      </c>
      <c r="H55" s="8" t="str">
        <f aca="false">IF(COUNTIF($J$1:$J$2,$A55)&gt;0,"Y","N")</f>
        <v>Y</v>
      </c>
    </row>
    <row r="56" customFormat="false" ht="15" hidden="false" customHeight="true" outlineLevel="0" collapsed="false">
      <c r="A56" s="8" t="s">
        <v>43</v>
      </c>
      <c r="B56" s="8" t="n">
        <v>4408018</v>
      </c>
      <c r="C56" s="8" t="s">
        <v>171</v>
      </c>
      <c r="D56" s="19" t="n">
        <v>1</v>
      </c>
      <c r="E56" s="19" t="n">
        <v>280.468</v>
      </c>
      <c r="F56" s="19" t="n">
        <v>0</v>
      </c>
      <c r="G56" s="19" t="n">
        <v>0</v>
      </c>
      <c r="H56" s="8" t="str">
        <f aca="false">IF(COUNTIF($J$1:$J$2,$A56)&gt;0,"Y","N")</f>
        <v>Y</v>
      </c>
    </row>
    <row r="57" customFormat="false" ht="15" hidden="false" customHeight="true" outlineLevel="0" collapsed="false">
      <c r="A57" s="8" t="s">
        <v>43</v>
      </c>
      <c r="B57" s="8" t="n">
        <v>4408024</v>
      </c>
      <c r="C57" s="8" t="s">
        <v>1225</v>
      </c>
      <c r="D57" s="19" t="n">
        <v>1</v>
      </c>
      <c r="E57" s="19" t="n">
        <v>210.756</v>
      </c>
      <c r="F57" s="19" t="n">
        <v>0</v>
      </c>
      <c r="G57" s="19" t="n">
        <v>0</v>
      </c>
      <c r="H57" s="8" t="str">
        <f aca="false">IF(COUNTIF($J$1:$J$2,$A57)&gt;0,"Y","N")</f>
        <v>Y</v>
      </c>
    </row>
    <row r="58" customFormat="false" ht="15" hidden="false" customHeight="true" outlineLevel="0" collapsed="false">
      <c r="A58" s="8" t="s">
        <v>43</v>
      </c>
      <c r="B58" s="8" t="n">
        <v>4408026</v>
      </c>
      <c r="C58" s="8" t="s">
        <v>1226</v>
      </c>
      <c r="D58" s="19" t="n">
        <v>0</v>
      </c>
      <c r="E58" s="19" t="n">
        <v>0</v>
      </c>
      <c r="F58" s="19" t="n">
        <v>0</v>
      </c>
      <c r="G58" s="19" t="n">
        <v>15.7477894736842</v>
      </c>
      <c r="H58" s="8" t="str">
        <f aca="false">IF(COUNTIF($J$1:$J$2,$A58)&gt;0,"Y","N")</f>
        <v>Y</v>
      </c>
    </row>
    <row r="59" customFormat="false" ht="15" hidden="false" customHeight="true" outlineLevel="0" collapsed="false">
      <c r="A59" s="8" t="s">
        <v>43</v>
      </c>
      <c r="B59" s="8" t="n">
        <v>4408027</v>
      </c>
      <c r="C59" s="8" t="s">
        <v>1227</v>
      </c>
      <c r="D59" s="19" t="n">
        <v>22</v>
      </c>
      <c r="E59" s="19" t="n">
        <v>2885.857</v>
      </c>
      <c r="F59" s="19" t="n">
        <v>21.4736842105263</v>
      </c>
      <c r="G59" s="19" t="n">
        <v>2907.82357894737</v>
      </c>
      <c r="H59" s="8" t="str">
        <f aca="false">IF(COUNTIF($J$1:$J$2,$A59)&gt;0,"Y","N")</f>
        <v>Y</v>
      </c>
    </row>
    <row r="60" customFormat="false" ht="15" hidden="false" customHeight="true" outlineLevel="0" collapsed="false">
      <c r="A60" s="8" t="s">
        <v>43</v>
      </c>
      <c r="B60" s="8" t="n">
        <v>4408028</v>
      </c>
      <c r="C60" s="8" t="s">
        <v>1228</v>
      </c>
      <c r="D60" s="19" t="n">
        <v>26</v>
      </c>
      <c r="E60" s="19" t="n">
        <v>3375.152</v>
      </c>
      <c r="F60" s="19" t="n">
        <v>10.1052631578947</v>
      </c>
      <c r="G60" s="19" t="n">
        <v>1331.09052631579</v>
      </c>
      <c r="H60" s="8" t="str">
        <f aca="false">IF(COUNTIF($J$1:$J$2,$A60)&gt;0,"Y","N")</f>
        <v>Y</v>
      </c>
    </row>
    <row r="61" customFormat="false" ht="15" hidden="false" customHeight="true" outlineLevel="0" collapsed="false">
      <c r="A61" s="8" t="s">
        <v>43</v>
      </c>
      <c r="B61" s="8" t="n">
        <v>4408029</v>
      </c>
      <c r="C61" s="8" t="s">
        <v>1229</v>
      </c>
      <c r="D61" s="19" t="n">
        <v>26</v>
      </c>
      <c r="E61" s="19" t="n">
        <v>3464.526</v>
      </c>
      <c r="F61" s="19" t="n">
        <v>16.4210526315789</v>
      </c>
      <c r="G61" s="19" t="n">
        <v>2180.32168421053</v>
      </c>
      <c r="H61" s="8" t="str">
        <f aca="false">IF(COUNTIF($J$1:$J$2,$A61)&gt;0,"Y","N")</f>
        <v>Y</v>
      </c>
    </row>
    <row r="62" customFormat="false" ht="15" hidden="false" customHeight="true" outlineLevel="0" collapsed="false">
      <c r="A62" s="8" t="s">
        <v>43</v>
      </c>
      <c r="B62" s="8" t="n">
        <v>4408030</v>
      </c>
      <c r="C62" s="8" t="s">
        <v>1230</v>
      </c>
      <c r="D62" s="19" t="n">
        <v>1</v>
      </c>
      <c r="E62" s="19" t="n">
        <v>132.132</v>
      </c>
      <c r="F62" s="19" t="n">
        <v>1.26315789473684</v>
      </c>
      <c r="G62" s="19" t="n">
        <v>170.581894736842</v>
      </c>
      <c r="H62" s="8" t="str">
        <f aca="false">IF(COUNTIF($J$1:$J$2,$A62)&gt;0,"Y","N")</f>
        <v>Y</v>
      </c>
    </row>
    <row r="63" customFormat="false" ht="15" hidden="false" customHeight="true" outlineLevel="0" collapsed="false">
      <c r="A63" s="8" t="s">
        <v>43</v>
      </c>
      <c r="B63" s="8" t="n">
        <v>4408031</v>
      </c>
      <c r="C63" s="8" t="s">
        <v>316</v>
      </c>
      <c r="D63" s="19" t="n">
        <v>5</v>
      </c>
      <c r="E63" s="19" t="n">
        <v>451.269</v>
      </c>
      <c r="F63" s="19" t="n">
        <v>7.57894736842105</v>
      </c>
      <c r="G63" s="19" t="n">
        <v>721.762105263158</v>
      </c>
      <c r="H63" s="8" t="str">
        <f aca="false">IF(COUNTIF($J$1:$J$2,$A63)&gt;0,"Y","N")</f>
        <v>Y</v>
      </c>
    </row>
    <row r="64" customFormat="false" ht="15" hidden="false" customHeight="true" outlineLevel="0" collapsed="false">
      <c r="A64" s="8" t="s">
        <v>43</v>
      </c>
      <c r="B64" s="8" t="n">
        <v>4408032</v>
      </c>
      <c r="C64" s="8" t="s">
        <v>77</v>
      </c>
      <c r="D64" s="19" t="n">
        <v>50</v>
      </c>
      <c r="E64" s="19" t="n">
        <v>4648.322</v>
      </c>
      <c r="F64" s="19" t="n">
        <v>34.1052631578947</v>
      </c>
      <c r="G64" s="19" t="n">
        <v>3237.048</v>
      </c>
      <c r="H64" s="8" t="str">
        <f aca="false">IF(COUNTIF($J$1:$J$2,$A64)&gt;0,"Y","N")</f>
        <v>Y</v>
      </c>
    </row>
    <row r="65" customFormat="false" ht="15" hidden="false" customHeight="true" outlineLevel="0" collapsed="false">
      <c r="A65" s="8" t="s">
        <v>43</v>
      </c>
      <c r="B65" s="8" t="n">
        <v>4408033</v>
      </c>
      <c r="C65" s="8" t="s">
        <v>99</v>
      </c>
      <c r="D65" s="19" t="n">
        <v>43</v>
      </c>
      <c r="E65" s="19" t="n">
        <v>4110.925</v>
      </c>
      <c r="F65" s="19" t="n">
        <v>31.5789473684211</v>
      </c>
      <c r="G65" s="19" t="n">
        <v>2943.00505263158</v>
      </c>
      <c r="H65" s="8" t="str">
        <f aca="false">IF(COUNTIF($J$1:$J$2,$A65)&gt;0,"Y","N")</f>
        <v>Y</v>
      </c>
    </row>
    <row r="66" customFormat="false" ht="15" hidden="false" customHeight="true" outlineLevel="0" collapsed="false">
      <c r="A66" s="8" t="s">
        <v>43</v>
      </c>
      <c r="B66" s="8" t="n">
        <v>4408034</v>
      </c>
      <c r="C66" s="8" t="s">
        <v>69</v>
      </c>
      <c r="D66" s="19" t="n">
        <v>49</v>
      </c>
      <c r="E66" s="19" t="n">
        <v>4577.415</v>
      </c>
      <c r="F66" s="19" t="n">
        <v>37.8947368421053</v>
      </c>
      <c r="G66" s="19" t="n">
        <v>3521.24084210526</v>
      </c>
      <c r="H66" s="8" t="str">
        <f aca="false">IF(COUNTIF($J$1:$J$2,$A66)&gt;0,"Y","N")</f>
        <v>Y</v>
      </c>
    </row>
    <row r="67" customFormat="false" ht="15" hidden="false" customHeight="true" outlineLevel="0" collapsed="false">
      <c r="A67" s="8" t="s">
        <v>43</v>
      </c>
      <c r="B67" s="8" t="n">
        <v>4408035</v>
      </c>
      <c r="C67" s="8" t="s">
        <v>100</v>
      </c>
      <c r="D67" s="19" t="n">
        <v>29</v>
      </c>
      <c r="E67" s="19" t="n">
        <v>2742.649</v>
      </c>
      <c r="F67" s="19" t="n">
        <v>15.1578947368421</v>
      </c>
      <c r="G67" s="19" t="n">
        <v>1453.40968421053</v>
      </c>
      <c r="H67" s="8" t="str">
        <f aca="false">IF(COUNTIF($J$1:$J$2,$A67)&gt;0,"Y","N")</f>
        <v>Y</v>
      </c>
    </row>
    <row r="68" customFormat="false" ht="15" hidden="false" customHeight="true" outlineLevel="0" collapsed="false">
      <c r="A68" s="8" t="s">
        <v>43</v>
      </c>
      <c r="B68" s="8" t="n">
        <v>4408041</v>
      </c>
      <c r="C68" s="8" t="s">
        <v>1231</v>
      </c>
      <c r="D68" s="19" t="n">
        <v>0</v>
      </c>
      <c r="E68" s="19" t="n">
        <v>0</v>
      </c>
      <c r="F68" s="19" t="n">
        <v>-1.26315789473684</v>
      </c>
      <c r="G68" s="19" t="n">
        <v>-284.494736842105</v>
      </c>
      <c r="H68" s="8" t="str">
        <f aca="false">IF(COUNTIF($J$1:$J$2,$A68)&gt;0,"Y","N")</f>
        <v>Y</v>
      </c>
    </row>
    <row r="69" customFormat="false" ht="15" hidden="false" customHeight="true" outlineLevel="0" collapsed="false">
      <c r="A69" s="8" t="s">
        <v>43</v>
      </c>
      <c r="B69" s="8" t="n">
        <v>4408042</v>
      </c>
      <c r="C69" s="8" t="s">
        <v>1232</v>
      </c>
      <c r="D69" s="19" t="n">
        <v>-1</v>
      </c>
      <c r="E69" s="19" t="n">
        <v>-279.552</v>
      </c>
      <c r="F69" s="19" t="n">
        <v>-1.26315789473684</v>
      </c>
      <c r="G69" s="19" t="n">
        <v>-284.494736842105</v>
      </c>
      <c r="H69" s="8" t="str">
        <f aca="false">IF(COUNTIF($J$1:$J$2,$A69)&gt;0,"Y","N")</f>
        <v>Y</v>
      </c>
    </row>
    <row r="70" customFormat="false" ht="15" hidden="false" customHeight="true" outlineLevel="0" collapsed="false">
      <c r="A70" s="8" t="s">
        <v>43</v>
      </c>
      <c r="B70" s="8" t="n">
        <v>4408043</v>
      </c>
      <c r="C70" s="8" t="s">
        <v>1233</v>
      </c>
      <c r="D70" s="19" t="n">
        <v>0</v>
      </c>
      <c r="E70" s="19" t="n">
        <v>0</v>
      </c>
      <c r="F70" s="19" t="n">
        <v>-1.26315789473684</v>
      </c>
      <c r="G70" s="19" t="n">
        <v>-284.494736842105</v>
      </c>
      <c r="H70" s="8" t="str">
        <f aca="false">IF(COUNTIF($J$1:$J$2,$A70)&gt;0,"Y","N")</f>
        <v>Y</v>
      </c>
    </row>
    <row r="71" customFormat="false" ht="15" hidden="false" customHeight="true" outlineLevel="0" collapsed="false">
      <c r="A71" s="8" t="s">
        <v>43</v>
      </c>
      <c r="B71" s="8" t="n">
        <v>4408044</v>
      </c>
      <c r="C71" s="8" t="s">
        <v>1234</v>
      </c>
      <c r="D71" s="19" t="n">
        <v>0</v>
      </c>
      <c r="E71" s="19" t="n">
        <v>0</v>
      </c>
      <c r="F71" s="19" t="n">
        <v>-1.26315789473684</v>
      </c>
      <c r="G71" s="19" t="n">
        <v>-284.494736842105</v>
      </c>
      <c r="H71" s="8" t="str">
        <f aca="false">IF(COUNTIF($J$1:$J$2,$A71)&gt;0,"Y","N")</f>
        <v>Y</v>
      </c>
    </row>
    <row r="72" customFormat="false" ht="15" hidden="false" customHeight="true" outlineLevel="0" collapsed="false">
      <c r="A72" s="8" t="s">
        <v>43</v>
      </c>
      <c r="B72" s="8" t="n">
        <v>4408046</v>
      </c>
      <c r="C72" s="8" t="s">
        <v>1235</v>
      </c>
      <c r="D72" s="19" t="n">
        <v>170</v>
      </c>
      <c r="E72" s="19" t="n">
        <v>5070.08</v>
      </c>
      <c r="F72" s="19" t="n">
        <v>120</v>
      </c>
      <c r="G72" s="19" t="n">
        <v>3526.93010526316</v>
      </c>
      <c r="H72" s="8" t="str">
        <f aca="false">IF(COUNTIF($J$1:$J$2,$A72)&gt;0,"Y","N")</f>
        <v>Y</v>
      </c>
    </row>
    <row r="73" customFormat="false" ht="15" hidden="false" customHeight="true" outlineLevel="0" collapsed="false">
      <c r="A73" s="8" t="s">
        <v>43</v>
      </c>
      <c r="B73" s="8" t="n">
        <v>4408047</v>
      </c>
      <c r="C73" s="8" t="s">
        <v>1236</v>
      </c>
      <c r="D73" s="19" t="n">
        <v>198</v>
      </c>
      <c r="E73" s="19" t="n">
        <v>5869.41</v>
      </c>
      <c r="F73" s="19" t="n">
        <v>132.631578947368</v>
      </c>
      <c r="G73" s="19" t="n">
        <v>3937.368</v>
      </c>
      <c r="H73" s="8" t="str">
        <f aca="false">IF(COUNTIF($J$1:$J$2,$A73)&gt;0,"Y","N")</f>
        <v>Y</v>
      </c>
    </row>
    <row r="74" customFormat="false" ht="15" hidden="false" customHeight="true" outlineLevel="0" collapsed="false">
      <c r="A74" s="8" t="s">
        <v>43</v>
      </c>
      <c r="B74" s="8" t="n">
        <v>4408048</v>
      </c>
      <c r="C74" s="8" t="s">
        <v>1237</v>
      </c>
      <c r="D74" s="19" t="n">
        <v>129</v>
      </c>
      <c r="E74" s="19" t="n">
        <v>3836.833</v>
      </c>
      <c r="F74" s="19" t="n">
        <v>73.2631578947368</v>
      </c>
      <c r="G74" s="19" t="n">
        <v>2179.99578947368</v>
      </c>
      <c r="H74" s="8" t="str">
        <f aca="false">IF(COUNTIF($J$1:$J$2,$A74)&gt;0,"Y","N")</f>
        <v>Y</v>
      </c>
    </row>
    <row r="75" customFormat="false" ht="15" hidden="false" customHeight="true" outlineLevel="0" collapsed="false">
      <c r="A75" s="8" t="s">
        <v>43</v>
      </c>
      <c r="B75" s="8" t="n">
        <v>4408049</v>
      </c>
      <c r="C75" s="8" t="s">
        <v>1238</v>
      </c>
      <c r="D75" s="19" t="n">
        <v>80</v>
      </c>
      <c r="E75" s="19" t="n">
        <v>2369.458</v>
      </c>
      <c r="F75" s="19" t="n">
        <v>37.8947368421053</v>
      </c>
      <c r="G75" s="19" t="n">
        <v>1116.48378947368</v>
      </c>
      <c r="H75" s="8" t="str">
        <f aca="false">IF(COUNTIF($J$1:$J$2,$A75)&gt;0,"Y","N")</f>
        <v>Y</v>
      </c>
    </row>
    <row r="76" customFormat="false" ht="15" hidden="false" customHeight="true" outlineLevel="0" collapsed="false">
      <c r="A76" s="8" t="s">
        <v>43</v>
      </c>
      <c r="B76" s="8" t="n">
        <v>4408050</v>
      </c>
      <c r="C76" s="8" t="s">
        <v>1239</v>
      </c>
      <c r="D76" s="19" t="n">
        <v>4</v>
      </c>
      <c r="E76" s="19" t="n">
        <v>118.937</v>
      </c>
      <c r="F76" s="19" t="n">
        <v>2.52631578947368</v>
      </c>
      <c r="G76" s="19" t="n">
        <v>76.44</v>
      </c>
      <c r="H76" s="8" t="str">
        <f aca="false">IF(COUNTIF($J$1:$J$2,$A76)&gt;0,"Y","N")</f>
        <v>Y</v>
      </c>
    </row>
    <row r="77" customFormat="false" ht="15" hidden="false" customHeight="true" outlineLevel="0" collapsed="false">
      <c r="A77" s="8" t="s">
        <v>43</v>
      </c>
      <c r="B77" s="8" t="n">
        <v>4408051</v>
      </c>
      <c r="C77" s="8" t="s">
        <v>1240</v>
      </c>
      <c r="D77" s="19" t="n">
        <v>349</v>
      </c>
      <c r="E77" s="19" t="n">
        <v>12358.731</v>
      </c>
      <c r="F77" s="19" t="n">
        <v>210.947368421053</v>
      </c>
      <c r="G77" s="19" t="n">
        <v>7557.62652631579</v>
      </c>
      <c r="H77" s="8" t="str">
        <f aca="false">IF(COUNTIF($J$1:$J$2,$A77)&gt;0,"Y","N")</f>
        <v>Y</v>
      </c>
    </row>
    <row r="78" customFormat="false" ht="15" hidden="false" customHeight="true" outlineLevel="0" collapsed="false">
      <c r="A78" s="8" t="s">
        <v>43</v>
      </c>
      <c r="B78" s="8" t="n">
        <v>4408052</v>
      </c>
      <c r="C78" s="8" t="s">
        <v>1241</v>
      </c>
      <c r="D78" s="19" t="n">
        <v>617</v>
      </c>
      <c r="E78" s="19" t="n">
        <v>21698.609</v>
      </c>
      <c r="F78" s="19" t="n">
        <v>378.947368421053</v>
      </c>
      <c r="G78" s="19" t="n">
        <v>13505.1877894737</v>
      </c>
      <c r="H78" s="8" t="str">
        <f aca="false">IF(COUNTIF($J$1:$J$2,$A78)&gt;0,"Y","N")</f>
        <v>Y</v>
      </c>
    </row>
    <row r="79" customFormat="false" ht="15" hidden="false" customHeight="true" outlineLevel="0" collapsed="false">
      <c r="A79" s="8" t="s">
        <v>43</v>
      </c>
      <c r="B79" s="8" t="n">
        <v>4408053</v>
      </c>
      <c r="C79" s="8" t="s">
        <v>1242</v>
      </c>
      <c r="D79" s="19" t="n">
        <v>671</v>
      </c>
      <c r="E79" s="19" t="n">
        <v>23761.069</v>
      </c>
      <c r="F79" s="19" t="n">
        <v>485.052631578947</v>
      </c>
      <c r="G79" s="19" t="n">
        <v>17274.5216842105</v>
      </c>
      <c r="H79" s="8" t="str">
        <f aca="false">IF(COUNTIF($J$1:$J$2,$A79)&gt;0,"Y","N")</f>
        <v>Y</v>
      </c>
    </row>
    <row r="80" customFormat="false" ht="15" hidden="false" customHeight="true" outlineLevel="0" collapsed="false">
      <c r="A80" s="8" t="s">
        <v>43</v>
      </c>
      <c r="B80" s="8" t="n">
        <v>4408054</v>
      </c>
      <c r="C80" s="8" t="s">
        <v>1243</v>
      </c>
      <c r="D80" s="19" t="n">
        <v>250</v>
      </c>
      <c r="E80" s="19" t="n">
        <v>8828.631</v>
      </c>
      <c r="F80" s="19" t="n">
        <v>144</v>
      </c>
      <c r="G80" s="19" t="n">
        <v>5017.60926315789</v>
      </c>
      <c r="H80" s="8" t="str">
        <f aca="false">IF(COUNTIF($J$1:$J$2,$A80)&gt;0,"Y","N")</f>
        <v>Y</v>
      </c>
    </row>
    <row r="81" customFormat="false" ht="15" hidden="false" customHeight="true" outlineLevel="0" collapsed="false">
      <c r="A81" s="8" t="s">
        <v>43</v>
      </c>
      <c r="B81" s="8" t="n">
        <v>4408059</v>
      </c>
      <c r="C81" s="8" t="s">
        <v>1244</v>
      </c>
      <c r="D81" s="19" t="n">
        <v>2</v>
      </c>
      <c r="E81" s="19" t="n">
        <v>120.666</v>
      </c>
      <c r="F81" s="19" t="n">
        <v>0</v>
      </c>
      <c r="G81" s="19" t="n">
        <v>0</v>
      </c>
      <c r="H81" s="8" t="str">
        <f aca="false">IF(COUNTIF($J$1:$J$2,$A81)&gt;0,"Y","N")</f>
        <v>Y</v>
      </c>
    </row>
    <row r="82" customFormat="false" ht="15" hidden="false" customHeight="true" outlineLevel="0" collapsed="false">
      <c r="A82" s="8" t="s">
        <v>43</v>
      </c>
      <c r="B82" s="8" t="n">
        <v>4408060</v>
      </c>
      <c r="C82" s="8" t="s">
        <v>1245</v>
      </c>
      <c r="D82" s="19" t="n">
        <v>-1</v>
      </c>
      <c r="E82" s="19" t="n">
        <v>-46.319</v>
      </c>
      <c r="F82" s="19" t="n">
        <v>0</v>
      </c>
      <c r="G82" s="19" t="n">
        <v>0</v>
      </c>
      <c r="H82" s="8" t="str">
        <f aca="false">IF(COUNTIF($J$1:$J$2,$A82)&gt;0,"Y","N")</f>
        <v>Y</v>
      </c>
    </row>
    <row r="83" customFormat="false" ht="15" hidden="false" customHeight="true" outlineLevel="0" collapsed="false">
      <c r="A83" s="8" t="s">
        <v>43</v>
      </c>
      <c r="B83" s="8" t="n">
        <v>4408061</v>
      </c>
      <c r="C83" s="8" t="s">
        <v>1246</v>
      </c>
      <c r="D83" s="19" t="n">
        <v>0</v>
      </c>
      <c r="E83" s="19" t="n">
        <v>7.098</v>
      </c>
      <c r="F83" s="19" t="n">
        <v>0</v>
      </c>
      <c r="G83" s="19" t="n">
        <v>0</v>
      </c>
      <c r="H83" s="8" t="str">
        <f aca="false">IF(COUNTIF($J$1:$J$2,$A83)&gt;0,"Y","N")</f>
        <v>Y</v>
      </c>
    </row>
    <row r="84" customFormat="false" ht="15" hidden="false" customHeight="true" outlineLevel="0" collapsed="false">
      <c r="A84" s="8" t="s">
        <v>43</v>
      </c>
      <c r="B84" s="8" t="n">
        <v>4408062</v>
      </c>
      <c r="C84" s="8" t="s">
        <v>1247</v>
      </c>
      <c r="D84" s="19" t="n">
        <v>2</v>
      </c>
      <c r="E84" s="19" t="n">
        <v>120.393</v>
      </c>
      <c r="F84" s="19" t="n">
        <v>-1.26315789473684</v>
      </c>
      <c r="G84" s="19" t="n">
        <v>-61.152</v>
      </c>
      <c r="H84" s="8" t="str">
        <f aca="false">IF(COUNTIF($J$1:$J$2,$A84)&gt;0,"Y","N")</f>
        <v>Y</v>
      </c>
    </row>
    <row r="85" customFormat="false" ht="15" hidden="false" customHeight="true" outlineLevel="0" collapsed="false">
      <c r="A85" s="8" t="s">
        <v>43</v>
      </c>
      <c r="B85" s="8" t="n">
        <v>4408069</v>
      </c>
      <c r="C85" s="8" t="s">
        <v>1248</v>
      </c>
      <c r="D85" s="19" t="n">
        <v>0</v>
      </c>
      <c r="E85" s="19" t="n">
        <v>0</v>
      </c>
      <c r="F85" s="19" t="n">
        <v>2.52631578947368</v>
      </c>
      <c r="G85" s="19" t="n">
        <v>204.606315789474</v>
      </c>
      <c r="H85" s="8" t="str">
        <f aca="false">IF(COUNTIF($J$1:$J$2,$A85)&gt;0,"Y","N")</f>
        <v>Y</v>
      </c>
    </row>
    <row r="86" customFormat="false" ht="15" hidden="false" customHeight="true" outlineLevel="0" collapsed="false">
      <c r="A86" s="8" t="s">
        <v>43</v>
      </c>
      <c r="B86" s="8" t="n">
        <v>4408070</v>
      </c>
      <c r="C86" s="8" t="s">
        <v>879</v>
      </c>
      <c r="D86" s="19" t="n">
        <v>1</v>
      </c>
      <c r="E86" s="19" t="n">
        <v>180</v>
      </c>
      <c r="F86" s="19" t="n">
        <v>0</v>
      </c>
      <c r="G86" s="19" t="n">
        <v>0</v>
      </c>
      <c r="H86" s="8" t="str">
        <f aca="false">IF(COUNTIF($J$1:$J$2,$A86)&gt;0,"Y","N")</f>
        <v>Y</v>
      </c>
    </row>
    <row r="87" customFormat="false" ht="15" hidden="false" customHeight="true" outlineLevel="0" collapsed="false">
      <c r="A87" s="8" t="s">
        <v>43</v>
      </c>
      <c r="B87" s="8" t="n">
        <v>4408071</v>
      </c>
      <c r="C87" s="8" t="s">
        <v>1249</v>
      </c>
      <c r="D87" s="19" t="n">
        <v>4</v>
      </c>
      <c r="E87" s="19" t="n">
        <v>1065.48</v>
      </c>
      <c r="F87" s="19" t="n">
        <v>6.31578947368421</v>
      </c>
      <c r="G87" s="19" t="n">
        <v>1465.35410526316</v>
      </c>
      <c r="H87" s="8" t="str">
        <f aca="false">IF(COUNTIF($J$1:$J$2,$A87)&gt;0,"Y","N")</f>
        <v>Y</v>
      </c>
    </row>
    <row r="88" customFormat="false" ht="15" hidden="false" customHeight="true" outlineLevel="0" collapsed="false">
      <c r="A88" s="8" t="s">
        <v>43</v>
      </c>
      <c r="B88" s="8" t="n">
        <v>4408072</v>
      </c>
      <c r="C88" s="8" t="s">
        <v>1250</v>
      </c>
      <c r="D88" s="19" t="n">
        <v>5</v>
      </c>
      <c r="E88" s="19" t="n">
        <v>1245.48</v>
      </c>
      <c r="F88" s="19" t="n">
        <v>3.78947368421053</v>
      </c>
      <c r="G88" s="19" t="n">
        <v>815.671578947368</v>
      </c>
      <c r="H88" s="8" t="str">
        <f aca="false">IF(COUNTIF($J$1:$J$2,$A88)&gt;0,"Y","N")</f>
        <v>Y</v>
      </c>
    </row>
    <row r="89" customFormat="false" ht="15" hidden="false" customHeight="true" outlineLevel="0" collapsed="false">
      <c r="A89" s="8" t="s">
        <v>43</v>
      </c>
      <c r="B89" s="8" t="n">
        <v>4408073</v>
      </c>
      <c r="C89" s="8" t="s">
        <v>1251</v>
      </c>
      <c r="D89" s="19" t="n">
        <v>4</v>
      </c>
      <c r="E89" s="19" t="n">
        <v>929.48</v>
      </c>
      <c r="F89" s="19" t="n">
        <v>2.52631578947368</v>
      </c>
      <c r="G89" s="19" t="n">
        <v>590.717052631579</v>
      </c>
      <c r="H89" s="8" t="str">
        <f aca="false">IF(COUNTIF($J$1:$J$2,$A89)&gt;0,"Y","N")</f>
        <v>Y</v>
      </c>
    </row>
    <row r="90" customFormat="false" ht="15" hidden="false" customHeight="true" outlineLevel="0" collapsed="false">
      <c r="A90" s="8" t="s">
        <v>43</v>
      </c>
      <c r="B90" s="8" t="n">
        <v>4408075</v>
      </c>
      <c r="C90" s="8" t="s">
        <v>1252</v>
      </c>
      <c r="D90" s="19" t="n">
        <v>1</v>
      </c>
      <c r="E90" s="19" t="n">
        <v>187.45</v>
      </c>
      <c r="F90" s="19" t="n">
        <v>1.26315789473684</v>
      </c>
      <c r="G90" s="19" t="n">
        <v>215.411368421053</v>
      </c>
      <c r="H90" s="8" t="str">
        <f aca="false">IF(COUNTIF($J$1:$J$2,$A90)&gt;0,"Y","N")</f>
        <v>Y</v>
      </c>
    </row>
    <row r="91" customFormat="false" ht="15" hidden="false" customHeight="true" outlineLevel="0" collapsed="false">
      <c r="A91" s="8" t="s">
        <v>43</v>
      </c>
      <c r="B91" s="8" t="n">
        <v>4408076</v>
      </c>
      <c r="C91" s="8" t="s">
        <v>1253</v>
      </c>
      <c r="D91" s="19" t="n">
        <v>8</v>
      </c>
      <c r="E91" s="19" t="n">
        <v>1423.255</v>
      </c>
      <c r="F91" s="19" t="n">
        <v>11.3684210526316</v>
      </c>
      <c r="G91" s="19" t="n">
        <v>1918.39957894737</v>
      </c>
      <c r="H91" s="8" t="str">
        <f aca="false">IF(COUNTIF($J$1:$J$2,$A91)&gt;0,"Y","N")</f>
        <v>Y</v>
      </c>
    </row>
    <row r="92" customFormat="false" ht="15" hidden="false" customHeight="true" outlineLevel="0" collapsed="false">
      <c r="A92" s="8" t="s">
        <v>43</v>
      </c>
      <c r="B92" s="8" t="n">
        <v>4408077</v>
      </c>
      <c r="C92" s="8" t="s">
        <v>1254</v>
      </c>
      <c r="D92" s="19" t="n">
        <v>5</v>
      </c>
      <c r="E92" s="19" t="n">
        <v>783.038</v>
      </c>
      <c r="F92" s="19" t="n">
        <v>12.6315789473684</v>
      </c>
      <c r="G92" s="19" t="n">
        <v>2085.40926315789</v>
      </c>
      <c r="H92" s="8" t="str">
        <f aca="false">IF(COUNTIF($J$1:$J$2,$A92)&gt;0,"Y","N")</f>
        <v>Y</v>
      </c>
    </row>
    <row r="93" customFormat="false" ht="15" hidden="false" customHeight="true" outlineLevel="0" collapsed="false">
      <c r="A93" s="8" t="s">
        <v>43</v>
      </c>
      <c r="B93" s="8" t="n">
        <v>4408078</v>
      </c>
      <c r="C93" s="8" t="s">
        <v>1255</v>
      </c>
      <c r="D93" s="19" t="n">
        <v>2</v>
      </c>
      <c r="E93" s="19" t="n">
        <v>371.77</v>
      </c>
      <c r="F93" s="19" t="n">
        <v>1.26315789473684</v>
      </c>
      <c r="G93" s="19" t="n">
        <v>215.411368421053</v>
      </c>
      <c r="H93" s="8" t="str">
        <f aca="false">IF(COUNTIF($J$1:$J$2,$A93)&gt;0,"Y","N")</f>
        <v>Y</v>
      </c>
    </row>
    <row r="94" customFormat="false" ht="15" hidden="false" customHeight="true" outlineLevel="0" collapsed="false">
      <c r="A94" s="8" t="s">
        <v>43</v>
      </c>
      <c r="B94" s="8" t="n">
        <v>4408079</v>
      </c>
      <c r="C94" s="8" t="s">
        <v>1256</v>
      </c>
      <c r="D94" s="19" t="n">
        <v>7</v>
      </c>
      <c r="E94" s="19" t="n">
        <v>1202.668</v>
      </c>
      <c r="F94" s="19" t="n">
        <v>0</v>
      </c>
      <c r="G94" s="19" t="n">
        <v>-25.7482105263158</v>
      </c>
      <c r="H94" s="8" t="str">
        <f aca="false">IF(COUNTIF($J$1:$J$2,$A94)&gt;0,"Y","N")</f>
        <v>Y</v>
      </c>
    </row>
    <row r="95" customFormat="false" ht="15" hidden="false" customHeight="true" outlineLevel="0" collapsed="false">
      <c r="A95" s="8" t="s">
        <v>43</v>
      </c>
      <c r="B95" s="8" t="n">
        <v>4408080</v>
      </c>
      <c r="C95" s="8" t="s">
        <v>1257</v>
      </c>
      <c r="D95" s="19" t="n">
        <v>11</v>
      </c>
      <c r="E95" s="19" t="n">
        <v>1831.702</v>
      </c>
      <c r="F95" s="19" t="n">
        <v>17.6842105263158</v>
      </c>
      <c r="G95" s="19" t="n">
        <v>3004.26063157895</v>
      </c>
      <c r="H95" s="8" t="str">
        <f aca="false">IF(COUNTIF($J$1:$J$2,$A95)&gt;0,"Y","N")</f>
        <v>Y</v>
      </c>
    </row>
    <row r="96" customFormat="false" ht="15" hidden="false" customHeight="true" outlineLevel="0" collapsed="false">
      <c r="A96" s="8" t="s">
        <v>43</v>
      </c>
      <c r="B96" s="8" t="n">
        <v>4408081</v>
      </c>
      <c r="C96" s="8" t="s">
        <v>1258</v>
      </c>
      <c r="D96" s="19" t="n">
        <v>14</v>
      </c>
      <c r="E96" s="19" t="n">
        <v>2377.136</v>
      </c>
      <c r="F96" s="19" t="n">
        <v>15.1578947368421</v>
      </c>
      <c r="G96" s="19" t="n">
        <v>2490.57094736842</v>
      </c>
      <c r="H96" s="8" t="str">
        <f aca="false">IF(COUNTIF($J$1:$J$2,$A96)&gt;0,"Y","N")</f>
        <v>Y</v>
      </c>
    </row>
    <row r="97" customFormat="false" ht="15" hidden="false" customHeight="true" outlineLevel="0" collapsed="false">
      <c r="A97" s="8" t="s">
        <v>43</v>
      </c>
      <c r="B97" s="8" t="n">
        <v>4408082</v>
      </c>
      <c r="C97" s="8" t="s">
        <v>1259</v>
      </c>
      <c r="D97" s="19" t="n">
        <v>5</v>
      </c>
      <c r="E97" s="19" t="n">
        <v>841.649</v>
      </c>
      <c r="F97" s="19" t="n">
        <v>7.57894736842105</v>
      </c>
      <c r="G97" s="19" t="n">
        <v>1318.11663157895</v>
      </c>
      <c r="H97" s="8" t="str">
        <f aca="false">IF(COUNTIF($J$1:$J$2,$A97)&gt;0,"Y","N")</f>
        <v>Y</v>
      </c>
    </row>
    <row r="98" customFormat="false" ht="15" hidden="false" customHeight="true" outlineLevel="0" collapsed="false">
      <c r="A98" s="8" t="s">
        <v>43</v>
      </c>
      <c r="B98" s="8" t="n">
        <v>4408084</v>
      </c>
      <c r="C98" s="8" t="s">
        <v>1260</v>
      </c>
      <c r="D98" s="19" t="n">
        <v>1</v>
      </c>
      <c r="E98" s="19" t="n">
        <v>129.038</v>
      </c>
      <c r="F98" s="19" t="n">
        <v>3.78947368421053</v>
      </c>
      <c r="G98" s="19" t="n">
        <v>505.666105263158</v>
      </c>
      <c r="H98" s="8" t="str">
        <f aca="false">IF(COUNTIF($J$1:$J$2,$A98)&gt;0,"Y","N")</f>
        <v>Y</v>
      </c>
    </row>
    <row r="99" customFormat="false" ht="15" hidden="false" customHeight="true" outlineLevel="0" collapsed="false">
      <c r="A99" s="8" t="s">
        <v>43</v>
      </c>
      <c r="B99" s="8" t="n">
        <v>4408085</v>
      </c>
      <c r="C99" s="8" t="s">
        <v>1261</v>
      </c>
      <c r="D99" s="19" t="n">
        <v>1</v>
      </c>
      <c r="E99" s="19" t="n">
        <v>129.22</v>
      </c>
      <c r="F99" s="19" t="n">
        <v>0</v>
      </c>
      <c r="G99" s="19" t="n">
        <v>0</v>
      </c>
      <c r="H99" s="8" t="str">
        <f aca="false">IF(COUNTIF($J$1:$J$2,$A99)&gt;0,"Y","N")</f>
        <v>Y</v>
      </c>
    </row>
    <row r="100" customFormat="false" ht="15" hidden="false" customHeight="true" outlineLevel="0" collapsed="false">
      <c r="A100" s="8" t="s">
        <v>43</v>
      </c>
      <c r="B100" s="8" t="n">
        <v>4408087</v>
      </c>
      <c r="C100" s="8" t="s">
        <v>1262</v>
      </c>
      <c r="D100" s="19" t="n">
        <v>1</v>
      </c>
      <c r="E100" s="19" t="n">
        <v>89</v>
      </c>
      <c r="F100" s="19" t="n">
        <v>1.26315789473684</v>
      </c>
      <c r="G100" s="19" t="n">
        <v>163.225263157895</v>
      </c>
      <c r="H100" s="8" t="str">
        <f aca="false">IF(COUNTIF($J$1:$J$2,$A100)&gt;0,"Y","N")</f>
        <v>Y</v>
      </c>
    </row>
    <row r="101" customFormat="false" ht="15" hidden="false" customHeight="true" outlineLevel="0" collapsed="false">
      <c r="A101" s="8" t="s">
        <v>43</v>
      </c>
      <c r="B101" s="8" t="n">
        <v>4408088</v>
      </c>
      <c r="C101" s="8" t="s">
        <v>1263</v>
      </c>
      <c r="D101" s="19" t="n">
        <v>25</v>
      </c>
      <c r="E101" s="19" t="n">
        <v>1777.048</v>
      </c>
      <c r="F101" s="19" t="n">
        <v>13.8947368421053</v>
      </c>
      <c r="G101" s="19" t="n">
        <v>987.857684210526</v>
      </c>
      <c r="H101" s="8" t="str">
        <f aca="false">IF(COUNTIF($J$1:$J$2,$A101)&gt;0,"Y","N")</f>
        <v>Y</v>
      </c>
    </row>
    <row r="102" customFormat="false" ht="15" hidden="false" customHeight="true" outlineLevel="0" collapsed="false">
      <c r="A102" s="8" t="s">
        <v>43</v>
      </c>
      <c r="B102" s="8" t="n">
        <v>4408089</v>
      </c>
      <c r="C102" s="8" t="s">
        <v>1264</v>
      </c>
      <c r="D102" s="19" t="n">
        <v>0</v>
      </c>
      <c r="E102" s="19" t="n">
        <v>0</v>
      </c>
      <c r="F102" s="19" t="n">
        <v>1.26315789473684</v>
      </c>
      <c r="G102" s="19" t="n">
        <v>123.453473684211</v>
      </c>
      <c r="H102" s="8" t="str">
        <f aca="false">IF(COUNTIF($J$1:$J$2,$A102)&gt;0,"Y","N")</f>
        <v>Y</v>
      </c>
    </row>
    <row r="103" customFormat="false" ht="15" hidden="false" customHeight="true" outlineLevel="0" collapsed="false">
      <c r="A103" s="8" t="s">
        <v>43</v>
      </c>
      <c r="B103" s="8" t="n">
        <v>4408090</v>
      </c>
      <c r="C103" s="8" t="s">
        <v>1265</v>
      </c>
      <c r="D103" s="19" t="n">
        <v>8</v>
      </c>
      <c r="E103" s="19" t="n">
        <v>673.491</v>
      </c>
      <c r="F103" s="19" t="n">
        <v>202.105263157895</v>
      </c>
      <c r="G103" s="19" t="n">
        <v>17477.3924210526</v>
      </c>
      <c r="H103" s="8" t="str">
        <f aca="false">IF(COUNTIF($J$1:$J$2,$A103)&gt;0,"Y","N")</f>
        <v>Y</v>
      </c>
    </row>
    <row r="104" customFormat="false" ht="15" hidden="false" customHeight="true" outlineLevel="0" collapsed="false">
      <c r="A104" s="8" t="s">
        <v>43</v>
      </c>
      <c r="B104" s="8" t="n">
        <v>4408091</v>
      </c>
      <c r="C104" s="8" t="s">
        <v>1266</v>
      </c>
      <c r="D104" s="19" t="n">
        <v>1</v>
      </c>
      <c r="E104" s="19" t="n">
        <v>94.591</v>
      </c>
      <c r="F104" s="19" t="n">
        <v>2.52631578947368</v>
      </c>
      <c r="G104" s="19" t="n">
        <v>217.595368421053</v>
      </c>
      <c r="H104" s="8" t="str">
        <f aca="false">IF(COUNTIF($J$1:$J$2,$A104)&gt;0,"Y","N")</f>
        <v>Y</v>
      </c>
    </row>
    <row r="105" customFormat="false" ht="15" hidden="false" customHeight="true" outlineLevel="0" collapsed="false">
      <c r="A105" s="8" t="s">
        <v>43</v>
      </c>
      <c r="B105" s="8" t="n">
        <v>4408092</v>
      </c>
      <c r="C105" s="8" t="s">
        <v>1267</v>
      </c>
      <c r="D105" s="19" t="n">
        <v>14</v>
      </c>
      <c r="E105" s="19" t="n">
        <v>1220.787</v>
      </c>
      <c r="F105" s="19" t="n">
        <v>12.6315789473684</v>
      </c>
      <c r="G105" s="19" t="n">
        <v>1091.18273684211</v>
      </c>
      <c r="H105" s="8" t="str">
        <f aca="false">IF(COUNTIF($J$1:$J$2,$A105)&gt;0,"Y","N")</f>
        <v>Y</v>
      </c>
    </row>
    <row r="106" customFormat="false" ht="15" hidden="false" customHeight="true" outlineLevel="0" collapsed="false">
      <c r="A106" s="8" t="s">
        <v>43</v>
      </c>
      <c r="B106" s="8" t="n">
        <v>4408093</v>
      </c>
      <c r="C106" s="8" t="s">
        <v>1268</v>
      </c>
      <c r="D106" s="19" t="n">
        <v>8</v>
      </c>
      <c r="E106" s="19" t="n">
        <v>685.139</v>
      </c>
      <c r="F106" s="19" t="n">
        <v>8.84210526315789</v>
      </c>
      <c r="G106" s="19" t="n">
        <v>768.41052631579</v>
      </c>
      <c r="H106" s="8" t="str">
        <f aca="false">IF(COUNTIF($J$1:$J$2,$A106)&gt;0,"Y","N")</f>
        <v>Y</v>
      </c>
    </row>
    <row r="107" customFormat="false" ht="15" hidden="false" customHeight="true" outlineLevel="0" collapsed="false">
      <c r="A107" s="8" t="s">
        <v>43</v>
      </c>
      <c r="B107" s="8" t="n">
        <v>4408094</v>
      </c>
      <c r="C107" s="8" t="s">
        <v>1269</v>
      </c>
      <c r="D107" s="19" t="n">
        <v>106</v>
      </c>
      <c r="E107" s="19" t="n">
        <v>3382.743</v>
      </c>
      <c r="F107" s="19" t="n">
        <v>77.0526315789474</v>
      </c>
      <c r="G107" s="19" t="n">
        <v>2453.43663157895</v>
      </c>
      <c r="H107" s="8" t="str">
        <f aca="false">IF(COUNTIF($J$1:$J$2,$A107)&gt;0,"Y","N")</f>
        <v>Y</v>
      </c>
    </row>
    <row r="108" customFormat="false" ht="15" hidden="false" customHeight="true" outlineLevel="0" collapsed="false">
      <c r="A108" s="8" t="s">
        <v>43</v>
      </c>
      <c r="B108" s="8" t="n">
        <v>4408095</v>
      </c>
      <c r="C108" s="8" t="s">
        <v>1270</v>
      </c>
      <c r="D108" s="19" t="n">
        <v>49</v>
      </c>
      <c r="E108" s="19" t="n">
        <v>1563.016</v>
      </c>
      <c r="F108" s="19" t="n">
        <v>77.0526315789474</v>
      </c>
      <c r="G108" s="19" t="n">
        <v>2455.73557894737</v>
      </c>
      <c r="H108" s="8" t="str">
        <f aca="false">IF(COUNTIF($J$1:$J$2,$A108)&gt;0,"Y","N")</f>
        <v>Y</v>
      </c>
    </row>
    <row r="109" customFormat="false" ht="15" hidden="false" customHeight="true" outlineLevel="0" collapsed="false">
      <c r="A109" s="8" t="s">
        <v>43</v>
      </c>
      <c r="B109" s="8" t="n">
        <v>4408096</v>
      </c>
      <c r="C109" s="8" t="s">
        <v>1271</v>
      </c>
      <c r="D109" s="19" t="n">
        <v>109</v>
      </c>
      <c r="E109" s="19" t="n">
        <v>3469.819</v>
      </c>
      <c r="F109" s="19" t="n">
        <v>40.4210526315789</v>
      </c>
      <c r="G109" s="19" t="n">
        <v>981.765473684211</v>
      </c>
      <c r="H109" s="8" t="str">
        <f aca="false">IF(COUNTIF($J$1:$J$2,$A109)&gt;0,"Y","N")</f>
        <v>Y</v>
      </c>
    </row>
    <row r="110" customFormat="false" ht="15" hidden="false" customHeight="true" outlineLevel="0" collapsed="false">
      <c r="A110" s="8" t="s">
        <v>43</v>
      </c>
      <c r="B110" s="8" t="n">
        <v>4408097</v>
      </c>
      <c r="C110" s="8" t="s">
        <v>1272</v>
      </c>
      <c r="D110" s="19" t="n">
        <v>78</v>
      </c>
      <c r="E110" s="19" t="n">
        <v>2483.197</v>
      </c>
      <c r="F110" s="19" t="n">
        <v>46.7368421052632</v>
      </c>
      <c r="G110" s="19" t="n">
        <v>1483.16589473684</v>
      </c>
      <c r="H110" s="8" t="str">
        <f aca="false">IF(COUNTIF($J$1:$J$2,$A110)&gt;0,"Y","N")</f>
        <v>Y</v>
      </c>
    </row>
    <row r="111" customFormat="false" ht="15" hidden="false" customHeight="true" outlineLevel="0" collapsed="false">
      <c r="A111" s="8" t="s">
        <v>43</v>
      </c>
      <c r="B111" s="8" t="n">
        <v>4408098</v>
      </c>
      <c r="C111" s="8" t="s">
        <v>1273</v>
      </c>
      <c r="D111" s="19" t="n">
        <v>580</v>
      </c>
      <c r="E111" s="19" t="n">
        <v>23675.045</v>
      </c>
      <c r="F111" s="19" t="n">
        <v>386.526315789474</v>
      </c>
      <c r="G111" s="19" t="n">
        <v>16136.2711578947</v>
      </c>
      <c r="H111" s="8" t="str">
        <f aca="false">IF(COUNTIF($J$1:$J$2,$A111)&gt;0,"Y","N")</f>
        <v>Y</v>
      </c>
    </row>
    <row r="112" customFormat="false" ht="15" hidden="false" customHeight="true" outlineLevel="0" collapsed="false">
      <c r="A112" s="8" t="s">
        <v>43</v>
      </c>
      <c r="B112" s="8" t="n">
        <v>4408099</v>
      </c>
      <c r="C112" s="8" t="s">
        <v>1274</v>
      </c>
      <c r="D112" s="19" t="n">
        <v>488</v>
      </c>
      <c r="E112" s="19" t="n">
        <v>19852.671</v>
      </c>
      <c r="F112" s="19" t="n">
        <v>443.368421052632</v>
      </c>
      <c r="G112" s="19" t="n">
        <v>18182.4025263158</v>
      </c>
      <c r="H112" s="8" t="str">
        <f aca="false">IF(COUNTIF($J$1:$J$2,$A112)&gt;0,"Y","N")</f>
        <v>Y</v>
      </c>
    </row>
    <row r="113" customFormat="false" ht="15" hidden="false" customHeight="true" outlineLevel="0" collapsed="false">
      <c r="A113" s="8" t="s">
        <v>43</v>
      </c>
      <c r="B113" s="8" t="n">
        <v>4408100</v>
      </c>
      <c r="C113" s="8" t="s">
        <v>1275</v>
      </c>
      <c r="D113" s="19" t="n">
        <v>1</v>
      </c>
      <c r="E113" s="19" t="n">
        <v>85.995</v>
      </c>
      <c r="F113" s="19" t="n">
        <v>0</v>
      </c>
      <c r="G113" s="19" t="n">
        <v>0</v>
      </c>
      <c r="H113" s="8" t="str">
        <f aca="false">IF(COUNTIF($J$1:$J$2,$A113)&gt;0,"Y","N")</f>
        <v>Y</v>
      </c>
    </row>
    <row r="114" customFormat="false" ht="15" hidden="false" customHeight="true" outlineLevel="0" collapsed="false">
      <c r="A114" s="8" t="s">
        <v>43</v>
      </c>
      <c r="B114" s="8" t="n">
        <v>4408105</v>
      </c>
      <c r="C114" s="8" t="s">
        <v>1276</v>
      </c>
      <c r="D114" s="19" t="n">
        <v>1</v>
      </c>
      <c r="E114" s="19" t="n">
        <v>193.83</v>
      </c>
      <c r="F114" s="19" t="n">
        <v>0</v>
      </c>
      <c r="G114" s="19" t="n">
        <v>0</v>
      </c>
      <c r="H114" s="8" t="str">
        <f aca="false">IF(COUNTIF($J$1:$J$2,$A114)&gt;0,"Y","N")</f>
        <v>Y</v>
      </c>
    </row>
    <row r="115" customFormat="false" ht="15" hidden="false" customHeight="true" outlineLevel="0" collapsed="false">
      <c r="A115" s="8" t="s">
        <v>43</v>
      </c>
      <c r="B115" s="8" t="n">
        <v>4408113</v>
      </c>
      <c r="C115" s="8" t="s">
        <v>1277</v>
      </c>
      <c r="D115" s="19" t="n">
        <v>3</v>
      </c>
      <c r="E115" s="19" t="n">
        <v>295.022</v>
      </c>
      <c r="F115" s="19" t="n">
        <v>1.26315789473684</v>
      </c>
      <c r="G115" s="19" t="n">
        <v>118.165894736842</v>
      </c>
      <c r="H115" s="8" t="str">
        <f aca="false">IF(COUNTIF($J$1:$J$2,$A115)&gt;0,"Y","N")</f>
        <v>Y</v>
      </c>
    </row>
    <row r="116" customFormat="false" ht="15" hidden="false" customHeight="true" outlineLevel="0" collapsed="false">
      <c r="A116" s="8" t="s">
        <v>43</v>
      </c>
      <c r="B116" s="8" t="n">
        <v>4408114</v>
      </c>
      <c r="C116" s="8" t="s">
        <v>1278</v>
      </c>
      <c r="D116" s="19" t="n">
        <v>12</v>
      </c>
      <c r="E116" s="19" t="n">
        <v>1128.048</v>
      </c>
      <c r="F116" s="19" t="n">
        <v>7.57894736842105</v>
      </c>
      <c r="G116" s="19" t="n">
        <v>759.342315789474</v>
      </c>
      <c r="H116" s="8" t="str">
        <f aca="false">IF(COUNTIF($J$1:$J$2,$A116)&gt;0,"Y","N")</f>
        <v>Y</v>
      </c>
    </row>
    <row r="117" customFormat="false" ht="15" hidden="false" customHeight="true" outlineLevel="0" collapsed="false">
      <c r="A117" s="8" t="s">
        <v>43</v>
      </c>
      <c r="B117" s="8" t="n">
        <v>4408115</v>
      </c>
      <c r="C117" s="8" t="s">
        <v>1279</v>
      </c>
      <c r="D117" s="19" t="n">
        <v>22</v>
      </c>
      <c r="E117" s="19" t="n">
        <v>2042.256</v>
      </c>
      <c r="F117" s="19" t="n">
        <v>20.2105263157895</v>
      </c>
      <c r="G117" s="19" t="n">
        <v>1918.24926315789</v>
      </c>
      <c r="H117" s="8" t="str">
        <f aca="false">IF(COUNTIF($J$1:$J$2,$A117)&gt;0,"Y","N")</f>
        <v>Y</v>
      </c>
    </row>
    <row r="118" customFormat="false" ht="15" hidden="false" customHeight="true" outlineLevel="0" collapsed="false">
      <c r="A118" s="8" t="s">
        <v>43</v>
      </c>
      <c r="B118" s="8" t="n">
        <v>4408116</v>
      </c>
      <c r="C118" s="8" t="s">
        <v>1280</v>
      </c>
      <c r="D118" s="19" t="n">
        <v>35</v>
      </c>
      <c r="E118" s="19" t="n">
        <v>3306.4</v>
      </c>
      <c r="F118" s="19" t="n">
        <v>11.3684210526316</v>
      </c>
      <c r="G118" s="19" t="n">
        <v>1139.01347368421</v>
      </c>
      <c r="H118" s="8" t="str">
        <f aca="false">IF(COUNTIF($J$1:$J$2,$A118)&gt;0,"Y","N")</f>
        <v>Y</v>
      </c>
    </row>
    <row r="119" customFormat="false" ht="15" hidden="false" customHeight="true" outlineLevel="0" collapsed="false">
      <c r="A119" s="8" t="s">
        <v>43</v>
      </c>
      <c r="B119" s="8" t="n">
        <v>4408119</v>
      </c>
      <c r="C119" s="8" t="s">
        <v>1281</v>
      </c>
      <c r="D119" s="19" t="n">
        <v>3</v>
      </c>
      <c r="E119" s="19" t="n">
        <v>354.801</v>
      </c>
      <c r="F119" s="19" t="n">
        <v>1.26315789473684</v>
      </c>
      <c r="G119" s="19" t="n">
        <v>161.616</v>
      </c>
      <c r="H119" s="8" t="str">
        <f aca="false">IF(COUNTIF($J$1:$J$2,$A119)&gt;0,"Y","N")</f>
        <v>Y</v>
      </c>
    </row>
    <row r="120" customFormat="false" ht="15" hidden="false" customHeight="true" outlineLevel="0" collapsed="false">
      <c r="A120" s="8" t="s">
        <v>43</v>
      </c>
      <c r="B120" s="8" t="n">
        <v>4408120</v>
      </c>
      <c r="C120" s="8" t="s">
        <v>1282</v>
      </c>
      <c r="D120" s="19" t="n">
        <v>3</v>
      </c>
      <c r="E120" s="19" t="n">
        <v>354.791</v>
      </c>
      <c r="F120" s="19" t="n">
        <v>1.26315789473684</v>
      </c>
      <c r="G120" s="19" t="n">
        <v>129.315789473684</v>
      </c>
      <c r="H120" s="8" t="str">
        <f aca="false">IF(COUNTIF($J$1:$J$2,$A120)&gt;0,"Y","N")</f>
        <v>Y</v>
      </c>
    </row>
    <row r="121" customFormat="false" ht="15" hidden="false" customHeight="true" outlineLevel="0" collapsed="false">
      <c r="A121" s="8" t="s">
        <v>43</v>
      </c>
      <c r="B121" s="8" t="n">
        <v>4408122</v>
      </c>
      <c r="C121" s="8" t="s">
        <v>1283</v>
      </c>
      <c r="D121" s="19" t="n">
        <v>2</v>
      </c>
      <c r="E121" s="19" t="n">
        <v>248.339</v>
      </c>
      <c r="F121" s="19" t="n">
        <v>0</v>
      </c>
      <c r="G121" s="19" t="n">
        <v>0</v>
      </c>
      <c r="H121" s="8" t="str">
        <f aca="false">IF(COUNTIF($J$1:$J$2,$A121)&gt;0,"Y","N")</f>
        <v>Y</v>
      </c>
    </row>
    <row r="122" customFormat="false" ht="15" hidden="false" customHeight="true" outlineLevel="0" collapsed="false">
      <c r="A122" s="8" t="s">
        <v>43</v>
      </c>
      <c r="B122" s="8" t="n">
        <v>4408126</v>
      </c>
      <c r="C122" s="8" t="s">
        <v>1284</v>
      </c>
      <c r="D122" s="19" t="n">
        <v>1</v>
      </c>
      <c r="E122" s="19" t="n">
        <v>127.946</v>
      </c>
      <c r="F122" s="19" t="n">
        <v>0</v>
      </c>
      <c r="G122" s="19" t="n">
        <v>0</v>
      </c>
      <c r="H122" s="8" t="str">
        <f aca="false">IF(COUNTIF($J$1:$J$2,$A122)&gt;0,"Y","N")</f>
        <v>Y</v>
      </c>
    </row>
    <row r="123" customFormat="false" ht="15" hidden="false" customHeight="true" outlineLevel="0" collapsed="false">
      <c r="A123" s="8" t="s">
        <v>43</v>
      </c>
      <c r="B123" s="8" t="n">
        <v>4408129</v>
      </c>
      <c r="C123" s="8" t="s">
        <v>1285</v>
      </c>
      <c r="D123" s="19" t="n">
        <v>1</v>
      </c>
      <c r="E123" s="19" t="n">
        <v>127.946</v>
      </c>
      <c r="F123" s="19" t="n">
        <v>0</v>
      </c>
      <c r="G123" s="19" t="n">
        <v>0</v>
      </c>
      <c r="H123" s="8" t="str">
        <f aca="false">IF(COUNTIF($J$1:$J$2,$A123)&gt;0,"Y","N")</f>
        <v>Y</v>
      </c>
    </row>
    <row r="124" customFormat="false" ht="15" hidden="false" customHeight="true" outlineLevel="0" collapsed="false">
      <c r="A124" s="8" t="s">
        <v>43</v>
      </c>
      <c r="B124" s="8" t="n">
        <v>4408130</v>
      </c>
      <c r="C124" s="8" t="s">
        <v>1286</v>
      </c>
      <c r="D124" s="19" t="n">
        <v>0</v>
      </c>
      <c r="E124" s="19" t="n">
        <v>0</v>
      </c>
      <c r="F124" s="19" t="n">
        <v>-1.26315789473684</v>
      </c>
      <c r="G124" s="19" t="n">
        <v>-161.616</v>
      </c>
      <c r="H124" s="8" t="str">
        <f aca="false">IF(COUNTIF($J$1:$J$2,$A124)&gt;0,"Y","N")</f>
        <v>Y</v>
      </c>
    </row>
    <row r="125" customFormat="false" ht="15" hidden="false" customHeight="true" outlineLevel="0" collapsed="false">
      <c r="A125" s="8" t="s">
        <v>43</v>
      </c>
      <c r="B125" s="8" t="n">
        <v>4408131</v>
      </c>
      <c r="C125" s="8" t="s">
        <v>1287</v>
      </c>
      <c r="D125" s="19" t="n">
        <v>1</v>
      </c>
      <c r="E125" s="19" t="n">
        <v>132.32</v>
      </c>
      <c r="F125" s="19" t="n">
        <v>1.26315789473684</v>
      </c>
      <c r="G125" s="19" t="n">
        <v>161.616</v>
      </c>
      <c r="H125" s="8" t="str">
        <f aca="false">IF(COUNTIF($J$1:$J$2,$A125)&gt;0,"Y","N")</f>
        <v>Y</v>
      </c>
    </row>
    <row r="126" customFormat="false" ht="15" hidden="false" customHeight="true" outlineLevel="0" collapsed="false">
      <c r="A126" s="8" t="s">
        <v>43</v>
      </c>
      <c r="B126" s="8" t="n">
        <v>4408132</v>
      </c>
      <c r="C126" s="8" t="s">
        <v>1288</v>
      </c>
      <c r="D126" s="19" t="n">
        <v>24</v>
      </c>
      <c r="E126" s="19" t="n">
        <v>2299.115</v>
      </c>
      <c r="F126" s="19" t="n">
        <v>26.5263157894737</v>
      </c>
      <c r="G126" s="19" t="n">
        <v>2600.13221052632</v>
      </c>
      <c r="H126" s="8" t="str">
        <f aca="false">IF(COUNTIF($J$1:$J$2,$A126)&gt;0,"Y","N")</f>
        <v>Y</v>
      </c>
    </row>
    <row r="127" customFormat="false" ht="15" hidden="false" customHeight="true" outlineLevel="0" collapsed="false">
      <c r="A127" s="8" t="s">
        <v>43</v>
      </c>
      <c r="B127" s="8" t="n">
        <v>4408134</v>
      </c>
      <c r="C127" s="8" t="s">
        <v>1289</v>
      </c>
      <c r="D127" s="19" t="n">
        <v>60</v>
      </c>
      <c r="E127" s="19" t="n">
        <v>5283.444</v>
      </c>
      <c r="F127" s="19" t="n">
        <v>10.1052631578947</v>
      </c>
      <c r="G127" s="19" t="n">
        <v>1256.37473684211</v>
      </c>
      <c r="H127" s="8" t="str">
        <f aca="false">IF(COUNTIF($J$1:$J$2,$A127)&gt;0,"Y","N")</f>
        <v>Y</v>
      </c>
    </row>
    <row r="128" customFormat="false" ht="15" hidden="false" customHeight="true" outlineLevel="0" collapsed="false">
      <c r="A128" s="8" t="s">
        <v>43</v>
      </c>
      <c r="B128" s="8" t="n">
        <v>4408135</v>
      </c>
      <c r="C128" s="8" t="s">
        <v>1290</v>
      </c>
      <c r="D128" s="19" t="n">
        <v>47</v>
      </c>
      <c r="E128" s="19" t="n">
        <v>5003.458</v>
      </c>
      <c r="F128" s="19" t="n">
        <v>12.6315789473684</v>
      </c>
      <c r="G128" s="19" t="n">
        <v>1494.79073684211</v>
      </c>
      <c r="H128" s="8" t="str">
        <f aca="false">IF(COUNTIF($J$1:$J$2,$A128)&gt;0,"Y","N")</f>
        <v>Y</v>
      </c>
    </row>
    <row r="129" customFormat="false" ht="15" hidden="false" customHeight="true" outlineLevel="0" collapsed="false">
      <c r="A129" s="8" t="s">
        <v>43</v>
      </c>
      <c r="B129" s="8" t="n">
        <v>4408140</v>
      </c>
      <c r="C129" s="8" t="s">
        <v>1291</v>
      </c>
      <c r="D129" s="19" t="n">
        <v>1</v>
      </c>
      <c r="E129" s="19" t="n">
        <v>140.504</v>
      </c>
      <c r="F129" s="19" t="n">
        <v>0</v>
      </c>
      <c r="G129" s="19" t="n">
        <v>0</v>
      </c>
      <c r="H129" s="8" t="str">
        <f aca="false">IF(COUNTIF($J$1:$J$2,$A129)&gt;0,"Y","N")</f>
        <v>Y</v>
      </c>
    </row>
    <row r="130" customFormat="false" ht="15" hidden="false" customHeight="true" outlineLevel="0" collapsed="false">
      <c r="A130" s="8" t="s">
        <v>43</v>
      </c>
      <c r="B130" s="8" t="n">
        <v>4408141</v>
      </c>
      <c r="C130" s="8" t="s">
        <v>1292</v>
      </c>
      <c r="D130" s="19" t="n">
        <v>1</v>
      </c>
      <c r="E130" s="19" t="n">
        <v>430.157</v>
      </c>
      <c r="F130" s="19" t="n">
        <v>0</v>
      </c>
      <c r="G130" s="19" t="n">
        <v>0</v>
      </c>
      <c r="H130" s="8" t="str">
        <f aca="false">IF(COUNTIF($J$1:$J$2,$A130)&gt;0,"Y","N")</f>
        <v>Y</v>
      </c>
    </row>
    <row r="131" customFormat="false" ht="15" hidden="false" customHeight="true" outlineLevel="0" collapsed="false">
      <c r="A131" s="8" t="s">
        <v>43</v>
      </c>
      <c r="B131" s="8" t="n">
        <v>4408142</v>
      </c>
      <c r="C131" s="8" t="s">
        <v>1293</v>
      </c>
      <c r="D131" s="19" t="n">
        <v>1</v>
      </c>
      <c r="E131" s="19" t="n">
        <v>430.157</v>
      </c>
      <c r="F131" s="19" t="n">
        <v>0</v>
      </c>
      <c r="G131" s="19" t="n">
        <v>0</v>
      </c>
      <c r="H131" s="8" t="str">
        <f aca="false">IF(COUNTIF($J$1:$J$2,$A131)&gt;0,"Y","N")</f>
        <v>Y</v>
      </c>
    </row>
    <row r="132" customFormat="false" ht="15" hidden="false" customHeight="true" outlineLevel="0" collapsed="false">
      <c r="A132" s="8" t="s">
        <v>43</v>
      </c>
      <c r="B132" s="8" t="n">
        <v>4408145</v>
      </c>
      <c r="C132" s="8" t="s">
        <v>1052</v>
      </c>
      <c r="D132" s="19" t="n">
        <v>2</v>
      </c>
      <c r="E132" s="19" t="n">
        <v>263.48</v>
      </c>
      <c r="F132" s="19" t="n">
        <v>0</v>
      </c>
      <c r="G132" s="19" t="n">
        <v>0</v>
      </c>
      <c r="H132" s="8" t="str">
        <f aca="false">IF(COUNTIF($J$1:$J$2,$A132)&gt;0,"Y","N")</f>
        <v>Y</v>
      </c>
    </row>
    <row r="133" customFormat="false" ht="15" hidden="false" customHeight="true" outlineLevel="0" collapsed="false">
      <c r="A133" s="8" t="s">
        <v>43</v>
      </c>
      <c r="B133" s="8" t="n">
        <v>4408147</v>
      </c>
      <c r="C133" s="8" t="s">
        <v>1294</v>
      </c>
      <c r="D133" s="19" t="n">
        <v>4</v>
      </c>
      <c r="E133" s="19" t="n">
        <v>491.716</v>
      </c>
      <c r="F133" s="19" t="n">
        <v>2.52631578947368</v>
      </c>
      <c r="G133" s="19" t="n">
        <v>327.851368421053</v>
      </c>
      <c r="H133" s="8" t="str">
        <f aca="false">IF(COUNTIF($J$1:$J$2,$A133)&gt;0,"Y","N")</f>
        <v>Y</v>
      </c>
    </row>
    <row r="134" customFormat="false" ht="15" hidden="false" customHeight="true" outlineLevel="0" collapsed="false">
      <c r="A134" s="8" t="s">
        <v>43</v>
      </c>
      <c r="B134" s="8" t="n">
        <v>4408148</v>
      </c>
      <c r="C134" s="8" t="s">
        <v>1295</v>
      </c>
      <c r="D134" s="19" t="n">
        <v>6</v>
      </c>
      <c r="E134" s="19" t="n">
        <v>758.253</v>
      </c>
      <c r="F134" s="19" t="n">
        <v>0</v>
      </c>
      <c r="G134" s="19" t="n">
        <v>0</v>
      </c>
      <c r="H134" s="8" t="str">
        <f aca="false">IF(COUNTIF($J$1:$J$2,$A134)&gt;0,"Y","N")</f>
        <v>Y</v>
      </c>
    </row>
    <row r="135" customFormat="false" ht="15" hidden="false" customHeight="true" outlineLevel="0" collapsed="false">
      <c r="A135" s="8" t="s">
        <v>43</v>
      </c>
      <c r="B135" s="8" t="n">
        <v>4408149</v>
      </c>
      <c r="C135" s="8" t="s">
        <v>1296</v>
      </c>
      <c r="D135" s="19" t="n">
        <v>3</v>
      </c>
      <c r="E135" s="19" t="n">
        <v>383.218</v>
      </c>
      <c r="F135" s="19" t="n">
        <v>1.26315789473684</v>
      </c>
      <c r="G135" s="19" t="n">
        <v>156.213473684211</v>
      </c>
      <c r="H135" s="8" t="str">
        <f aca="false">IF(COUNTIF($J$1:$J$2,$A135)&gt;0,"Y","N")</f>
        <v>Y</v>
      </c>
    </row>
    <row r="136" customFormat="false" ht="15" hidden="false" customHeight="true" outlineLevel="0" collapsed="false">
      <c r="A136" s="8" t="s">
        <v>43</v>
      </c>
      <c r="B136" s="8" t="n">
        <v>4408150</v>
      </c>
      <c r="C136" s="8" t="s">
        <v>1297</v>
      </c>
      <c r="D136" s="19" t="n">
        <v>-1</v>
      </c>
      <c r="E136" s="19" t="n">
        <v>-190.463</v>
      </c>
      <c r="F136" s="19" t="n">
        <v>0</v>
      </c>
      <c r="G136" s="19" t="n">
        <v>0</v>
      </c>
      <c r="H136" s="8" t="str">
        <f aca="false">IF(COUNTIF($J$1:$J$2,$A136)&gt;0,"Y","N")</f>
        <v>Y</v>
      </c>
    </row>
    <row r="137" customFormat="false" ht="15" hidden="false" customHeight="true" outlineLevel="0" collapsed="false">
      <c r="A137" s="8" t="s">
        <v>43</v>
      </c>
      <c r="B137" s="8" t="n">
        <v>4408151</v>
      </c>
      <c r="C137" s="8" t="s">
        <v>1298</v>
      </c>
      <c r="D137" s="19" t="n">
        <v>2</v>
      </c>
      <c r="E137" s="19" t="n">
        <v>257.166</v>
      </c>
      <c r="F137" s="19" t="n">
        <v>0</v>
      </c>
      <c r="G137" s="19" t="n">
        <v>36.0934736842105</v>
      </c>
      <c r="H137" s="8" t="str">
        <f aca="false">IF(COUNTIF($J$1:$J$2,$A137)&gt;0,"Y","N")</f>
        <v>Y</v>
      </c>
    </row>
    <row r="138" customFormat="false" ht="15" hidden="false" customHeight="true" outlineLevel="0" collapsed="false">
      <c r="A138" s="8" t="s">
        <v>43</v>
      </c>
      <c r="B138" s="8" t="n">
        <v>4408152</v>
      </c>
      <c r="C138" s="8" t="s">
        <v>1299</v>
      </c>
      <c r="D138" s="19" t="n">
        <v>8</v>
      </c>
      <c r="E138" s="19" t="n">
        <v>1018.199</v>
      </c>
      <c r="F138" s="19" t="n">
        <v>7.57894736842105</v>
      </c>
      <c r="G138" s="19" t="n">
        <v>1058.55031578947</v>
      </c>
      <c r="H138" s="8" t="str">
        <f aca="false">IF(COUNTIF($J$1:$J$2,$A138)&gt;0,"Y","N")</f>
        <v>Y</v>
      </c>
    </row>
    <row r="139" customFormat="false" ht="15" hidden="false" customHeight="true" outlineLevel="0" collapsed="false">
      <c r="A139" s="8" t="s">
        <v>43</v>
      </c>
      <c r="B139" s="8" t="n">
        <v>4408153</v>
      </c>
      <c r="C139" s="8" t="s">
        <v>1300</v>
      </c>
      <c r="D139" s="19" t="n">
        <v>14</v>
      </c>
      <c r="E139" s="19" t="n">
        <v>1921.92</v>
      </c>
      <c r="F139" s="19" t="n">
        <v>13.8947368421053</v>
      </c>
      <c r="G139" s="19" t="n">
        <v>1984.79621052632</v>
      </c>
      <c r="H139" s="8" t="str">
        <f aca="false">IF(COUNTIF($J$1:$J$2,$A139)&gt;0,"Y","N")</f>
        <v>Y</v>
      </c>
    </row>
    <row r="140" customFormat="false" ht="15" hidden="false" customHeight="true" outlineLevel="0" collapsed="false">
      <c r="A140" s="8" t="s">
        <v>43</v>
      </c>
      <c r="B140" s="8" t="n">
        <v>4408154</v>
      </c>
      <c r="C140" s="8" t="s">
        <v>1301</v>
      </c>
      <c r="D140" s="19" t="n">
        <v>7</v>
      </c>
      <c r="E140" s="19" t="n">
        <v>946.587</v>
      </c>
      <c r="F140" s="19" t="n">
        <v>6.31578947368421</v>
      </c>
      <c r="G140" s="19" t="n">
        <v>878.082947368421</v>
      </c>
      <c r="H140" s="8" t="str">
        <f aca="false">IF(COUNTIF($J$1:$J$2,$A140)&gt;0,"Y","N")</f>
        <v>Y</v>
      </c>
    </row>
    <row r="141" customFormat="false" ht="15" hidden="false" customHeight="true" outlineLevel="0" collapsed="false">
      <c r="A141" s="8" t="s">
        <v>43</v>
      </c>
      <c r="B141" s="8" t="n">
        <v>4408175</v>
      </c>
      <c r="C141" s="8" t="s">
        <v>1302</v>
      </c>
      <c r="D141" s="19" t="n">
        <v>2</v>
      </c>
      <c r="E141" s="19" t="n">
        <v>192.647</v>
      </c>
      <c r="F141" s="19" t="n">
        <v>0</v>
      </c>
      <c r="G141" s="19" t="n">
        <v>0</v>
      </c>
      <c r="H141" s="8" t="str">
        <f aca="false">IF(COUNTIF($J$1:$J$2,$A141)&gt;0,"Y","N")</f>
        <v>Y</v>
      </c>
    </row>
    <row r="142" customFormat="false" ht="15" hidden="false" customHeight="true" outlineLevel="0" collapsed="false">
      <c r="A142" s="8" t="s">
        <v>43</v>
      </c>
      <c r="B142" s="8" t="n">
        <v>4408177</v>
      </c>
      <c r="C142" s="8" t="s">
        <v>1303</v>
      </c>
      <c r="D142" s="19" t="n">
        <v>1</v>
      </c>
      <c r="E142" s="19" t="n">
        <v>142.87</v>
      </c>
      <c r="F142" s="19" t="n">
        <v>0</v>
      </c>
      <c r="G142" s="19" t="n">
        <v>0</v>
      </c>
      <c r="H142" s="8" t="str">
        <f aca="false">IF(COUNTIF($J$1:$J$2,$A142)&gt;0,"Y","N")</f>
        <v>Y</v>
      </c>
    </row>
    <row r="143" customFormat="false" ht="15" hidden="false" customHeight="true" outlineLevel="0" collapsed="false">
      <c r="A143" s="8" t="s">
        <v>43</v>
      </c>
      <c r="B143" s="8" t="n">
        <v>4408178</v>
      </c>
      <c r="C143" s="8" t="s">
        <v>1304</v>
      </c>
      <c r="D143" s="19" t="n">
        <v>1</v>
      </c>
      <c r="E143" s="19" t="n">
        <v>161.889</v>
      </c>
      <c r="F143" s="19" t="n">
        <v>0</v>
      </c>
      <c r="G143" s="19" t="n">
        <v>0</v>
      </c>
      <c r="H143" s="8" t="str">
        <f aca="false">IF(COUNTIF($J$1:$J$2,$A143)&gt;0,"Y","N")</f>
        <v>Y</v>
      </c>
    </row>
    <row r="144" customFormat="false" ht="15" hidden="false" customHeight="true" outlineLevel="0" collapsed="false">
      <c r="A144" s="8" t="s">
        <v>43</v>
      </c>
      <c r="B144" s="8" t="n">
        <v>4408179</v>
      </c>
      <c r="C144" s="8" t="s">
        <v>1305</v>
      </c>
      <c r="D144" s="19" t="n">
        <v>3</v>
      </c>
      <c r="E144" s="19" t="n">
        <v>426.699</v>
      </c>
      <c r="F144" s="19" t="n">
        <v>5.05263157894737</v>
      </c>
      <c r="G144" s="19" t="n">
        <v>722.273684210526</v>
      </c>
      <c r="H144" s="8" t="str">
        <f aca="false">IF(COUNTIF($J$1:$J$2,$A144)&gt;0,"Y","N")</f>
        <v>Y</v>
      </c>
    </row>
    <row r="145" customFormat="false" ht="15" hidden="false" customHeight="true" outlineLevel="0" collapsed="false">
      <c r="A145" s="8" t="s">
        <v>43</v>
      </c>
      <c r="B145" s="8" t="n">
        <v>4408180</v>
      </c>
      <c r="C145" s="8" t="s">
        <v>1306</v>
      </c>
      <c r="D145" s="19" t="n">
        <v>3</v>
      </c>
      <c r="E145" s="19" t="n">
        <v>390.481</v>
      </c>
      <c r="F145" s="19" t="n">
        <v>1.26315789473684</v>
      </c>
      <c r="G145" s="19" t="n">
        <v>180.467368421053</v>
      </c>
      <c r="H145" s="8" t="str">
        <f aca="false">IF(COUNTIF($J$1:$J$2,$A145)&gt;0,"Y","N")</f>
        <v>Y</v>
      </c>
    </row>
    <row r="146" customFormat="false" ht="15" hidden="false" customHeight="true" outlineLevel="0" collapsed="false">
      <c r="A146" s="8" t="s">
        <v>43</v>
      </c>
      <c r="B146" s="8" t="n">
        <v>4408190</v>
      </c>
      <c r="C146" s="8" t="s">
        <v>1307</v>
      </c>
      <c r="D146" s="19" t="n">
        <v>86</v>
      </c>
      <c r="E146" s="19" t="n">
        <v>8678.397</v>
      </c>
      <c r="F146" s="19" t="n">
        <v>41.6842105263158</v>
      </c>
      <c r="G146" s="19" t="n">
        <v>4294.08884210526</v>
      </c>
      <c r="H146" s="8" t="str">
        <f aca="false">IF(COUNTIF($J$1:$J$2,$A146)&gt;0,"Y","N")</f>
        <v>Y</v>
      </c>
    </row>
    <row r="147" customFormat="false" ht="15" hidden="false" customHeight="true" outlineLevel="0" collapsed="false">
      <c r="A147" s="8" t="s">
        <v>43</v>
      </c>
      <c r="B147" s="8" t="n">
        <v>4408192</v>
      </c>
      <c r="C147" s="8" t="s">
        <v>1308</v>
      </c>
      <c r="D147" s="19" t="n">
        <v>140</v>
      </c>
      <c r="E147" s="19" t="n">
        <v>14166.63</v>
      </c>
      <c r="F147" s="19" t="n">
        <v>70.7368421052632</v>
      </c>
      <c r="G147" s="19" t="n">
        <v>7337.68168421053</v>
      </c>
      <c r="H147" s="8" t="str">
        <f aca="false">IF(COUNTIF($J$1:$J$2,$A147)&gt;0,"Y","N")</f>
        <v>Y</v>
      </c>
    </row>
    <row r="148" customFormat="false" ht="15" hidden="false" customHeight="true" outlineLevel="0" collapsed="false">
      <c r="A148" s="8" t="s">
        <v>43</v>
      </c>
      <c r="B148" s="8" t="n">
        <v>4408203</v>
      </c>
      <c r="C148" s="8" t="s">
        <v>1309</v>
      </c>
      <c r="D148" s="19" t="n">
        <v>9</v>
      </c>
      <c r="E148" s="19" t="n">
        <v>2030.305</v>
      </c>
      <c r="F148" s="19" t="n">
        <v>5.05263157894737</v>
      </c>
      <c r="G148" s="19" t="n">
        <v>1222.128</v>
      </c>
      <c r="H148" s="8" t="str">
        <f aca="false">IF(COUNTIF($J$1:$J$2,$A148)&gt;0,"Y","N")</f>
        <v>Y</v>
      </c>
    </row>
    <row r="149" customFormat="false" ht="15" hidden="false" customHeight="true" outlineLevel="0" collapsed="false">
      <c r="A149" s="8" t="s">
        <v>43</v>
      </c>
      <c r="B149" s="8" t="n">
        <v>4408205</v>
      </c>
      <c r="C149" s="8" t="s">
        <v>1310</v>
      </c>
      <c r="D149" s="19" t="n">
        <v>1141</v>
      </c>
      <c r="E149" s="19" t="n">
        <v>88911.783</v>
      </c>
      <c r="F149" s="19" t="n">
        <v>1037.05263157895</v>
      </c>
      <c r="G149" s="19" t="n">
        <v>81469.944</v>
      </c>
      <c r="H149" s="8" t="str">
        <f aca="false">IF(COUNTIF($J$1:$J$2,$A149)&gt;0,"Y","N")</f>
        <v>Y</v>
      </c>
    </row>
    <row r="150" customFormat="false" ht="15" hidden="false" customHeight="true" outlineLevel="0" collapsed="false">
      <c r="A150" s="8" t="s">
        <v>43</v>
      </c>
      <c r="B150" s="8" t="n">
        <v>4408206</v>
      </c>
      <c r="C150" s="8" t="s">
        <v>1311</v>
      </c>
      <c r="D150" s="19" t="n">
        <v>224</v>
      </c>
      <c r="E150" s="19" t="n">
        <v>13612.872</v>
      </c>
      <c r="F150" s="19" t="n">
        <v>203.368421052632</v>
      </c>
      <c r="G150" s="19" t="n">
        <v>12426.8450526316</v>
      </c>
      <c r="H150" s="8" t="str">
        <f aca="false">IF(COUNTIF($J$1:$J$2,$A150)&gt;0,"Y","N")</f>
        <v>Y</v>
      </c>
    </row>
    <row r="151" customFormat="false" ht="15" hidden="false" customHeight="true" outlineLevel="0" collapsed="false">
      <c r="A151" s="8" t="s">
        <v>43</v>
      </c>
      <c r="B151" s="8" t="n">
        <v>4408207</v>
      </c>
      <c r="C151" s="8" t="s">
        <v>1312</v>
      </c>
      <c r="D151" s="19" t="n">
        <v>1167</v>
      </c>
      <c r="E151" s="19" t="n">
        <v>34094.906</v>
      </c>
      <c r="F151" s="19" t="n">
        <v>1052.21052631579</v>
      </c>
      <c r="G151" s="19" t="n">
        <v>32425.5271578947</v>
      </c>
      <c r="H151" s="8" t="str">
        <f aca="false">IF(COUNTIF($J$1:$J$2,$A151)&gt;0,"Y","N")</f>
        <v>Y</v>
      </c>
    </row>
    <row r="152" customFormat="false" ht="15" hidden="false" customHeight="true" outlineLevel="0" collapsed="false">
      <c r="A152" s="8" t="s">
        <v>43</v>
      </c>
      <c r="B152" s="8" t="n">
        <v>4408208</v>
      </c>
      <c r="C152" s="8" t="s">
        <v>1313</v>
      </c>
      <c r="D152" s="19" t="n">
        <v>467</v>
      </c>
      <c r="E152" s="19" t="n">
        <v>15559.977</v>
      </c>
      <c r="F152" s="19" t="n">
        <v>438.315789473684</v>
      </c>
      <c r="G152" s="19" t="n">
        <v>15222.0189473684</v>
      </c>
      <c r="H152" s="8" t="str">
        <f aca="false">IF(COUNTIF($J$1:$J$2,$A152)&gt;0,"Y","N")</f>
        <v>Y</v>
      </c>
    </row>
    <row r="153" customFormat="false" ht="15" hidden="false" customHeight="true" outlineLevel="0" collapsed="false">
      <c r="A153" s="8" t="s">
        <v>43</v>
      </c>
      <c r="B153" s="8" t="n">
        <v>4408217</v>
      </c>
      <c r="C153" s="8" t="s">
        <v>1314</v>
      </c>
      <c r="D153" s="19" t="n">
        <v>21</v>
      </c>
      <c r="E153" s="19" t="n">
        <v>2115.022</v>
      </c>
      <c r="F153" s="19" t="n">
        <v>10.1052631578947</v>
      </c>
      <c r="G153" s="19" t="n">
        <v>987.282947368421</v>
      </c>
      <c r="H153" s="8" t="str">
        <f aca="false">IF(COUNTIF($J$1:$J$2,$A153)&gt;0,"Y","N")</f>
        <v>Y</v>
      </c>
    </row>
    <row r="154" customFormat="false" ht="15" hidden="false" customHeight="true" outlineLevel="0" collapsed="false">
      <c r="A154" s="8" t="s">
        <v>43</v>
      </c>
      <c r="B154" s="8" t="n">
        <v>4408218</v>
      </c>
      <c r="C154" s="8" t="s">
        <v>1315</v>
      </c>
      <c r="D154" s="19" t="n">
        <v>121</v>
      </c>
      <c r="E154" s="19" t="n">
        <v>12175.982</v>
      </c>
      <c r="F154" s="19" t="n">
        <v>66.9473684210526</v>
      </c>
      <c r="G154" s="19" t="n">
        <v>7005.61136842105</v>
      </c>
      <c r="H154" s="8" t="str">
        <f aca="false">IF(COUNTIF($J$1:$J$2,$A154)&gt;0,"Y","N")</f>
        <v>Y</v>
      </c>
    </row>
    <row r="155" customFormat="false" ht="15" hidden="false" customHeight="true" outlineLevel="0" collapsed="false">
      <c r="A155" s="8" t="s">
        <v>43</v>
      </c>
      <c r="B155" s="8" t="n">
        <v>4408219</v>
      </c>
      <c r="C155" s="8" t="s">
        <v>1316</v>
      </c>
      <c r="D155" s="19" t="n">
        <v>5</v>
      </c>
      <c r="E155" s="19" t="n">
        <v>525.798</v>
      </c>
      <c r="F155" s="19" t="n">
        <v>6.31578947368421</v>
      </c>
      <c r="G155" s="19" t="n">
        <v>637.268210526316</v>
      </c>
      <c r="H155" s="8" t="str">
        <f aca="false">IF(COUNTIF($J$1:$J$2,$A155)&gt;0,"Y","N")</f>
        <v>Y</v>
      </c>
    </row>
    <row r="156" customFormat="false" ht="15" hidden="false" customHeight="true" outlineLevel="0" collapsed="false">
      <c r="A156" s="8" t="s">
        <v>43</v>
      </c>
      <c r="B156" s="8" t="n">
        <v>4408220</v>
      </c>
      <c r="C156" s="8" t="s">
        <v>1317</v>
      </c>
      <c r="D156" s="19" t="n">
        <v>27</v>
      </c>
      <c r="E156" s="19" t="n">
        <v>2709.707</v>
      </c>
      <c r="F156" s="19" t="n">
        <v>34.1052631578947</v>
      </c>
      <c r="G156" s="19" t="n">
        <v>3459.22610526316</v>
      </c>
      <c r="H156" s="8" t="str">
        <f aca="false">IF(COUNTIF($J$1:$J$2,$A156)&gt;0,"Y","N")</f>
        <v>Y</v>
      </c>
    </row>
    <row r="157" customFormat="false" ht="15" hidden="false" customHeight="true" outlineLevel="0" collapsed="false">
      <c r="A157" s="8" t="s">
        <v>43</v>
      </c>
      <c r="B157" s="8" t="n">
        <v>4408221</v>
      </c>
      <c r="C157" s="8" t="s">
        <v>1318</v>
      </c>
      <c r="D157" s="19" t="n">
        <v>50</v>
      </c>
      <c r="E157" s="19" t="n">
        <v>5140.954</v>
      </c>
      <c r="F157" s="19" t="n">
        <v>54.3157894736842</v>
      </c>
      <c r="G157" s="19" t="n">
        <v>5694.26273684211</v>
      </c>
      <c r="H157" s="8" t="str">
        <f aca="false">IF(COUNTIF($J$1:$J$2,$A157)&gt;0,"Y","N")</f>
        <v>Y</v>
      </c>
    </row>
    <row r="158" customFormat="false" ht="15" hidden="false" customHeight="true" outlineLevel="0" collapsed="false">
      <c r="A158" s="8" t="s">
        <v>43</v>
      </c>
      <c r="B158" s="8" t="n">
        <v>4408222</v>
      </c>
      <c r="C158" s="8" t="s">
        <v>1319</v>
      </c>
      <c r="D158" s="19" t="n">
        <v>54</v>
      </c>
      <c r="E158" s="19" t="n">
        <v>5464.809</v>
      </c>
      <c r="F158" s="19" t="n">
        <v>44.2105263157895</v>
      </c>
      <c r="G158" s="19" t="n">
        <v>4383.74778947368</v>
      </c>
      <c r="H158" s="8" t="str">
        <f aca="false">IF(COUNTIF($J$1:$J$2,$A158)&gt;0,"Y","N")</f>
        <v>Y</v>
      </c>
    </row>
    <row r="159" customFormat="false" ht="15" hidden="false" customHeight="true" outlineLevel="0" collapsed="false">
      <c r="A159" s="8" t="s">
        <v>43</v>
      </c>
      <c r="B159" s="8" t="n">
        <v>4408223</v>
      </c>
      <c r="C159" s="8" t="s">
        <v>1320</v>
      </c>
      <c r="D159" s="19" t="n">
        <v>41</v>
      </c>
      <c r="E159" s="19" t="n">
        <v>4051.593</v>
      </c>
      <c r="F159" s="19" t="n">
        <v>27.7894736842105</v>
      </c>
      <c r="G159" s="19" t="n">
        <v>2866.90231578947</v>
      </c>
      <c r="H159" s="8" t="str">
        <f aca="false">IF(COUNTIF($J$1:$J$2,$A159)&gt;0,"Y","N")</f>
        <v>Y</v>
      </c>
    </row>
    <row r="160" customFormat="false" ht="15" hidden="false" customHeight="true" outlineLevel="0" collapsed="false">
      <c r="A160" s="8" t="s">
        <v>43</v>
      </c>
      <c r="B160" s="8" t="n">
        <v>4408225</v>
      </c>
      <c r="C160" s="8" t="s">
        <v>1321</v>
      </c>
      <c r="D160" s="19" t="n">
        <v>3</v>
      </c>
      <c r="E160" s="19" t="n">
        <v>262.717</v>
      </c>
      <c r="F160" s="19" t="n">
        <v>0</v>
      </c>
      <c r="G160" s="19" t="n">
        <v>0</v>
      </c>
      <c r="H160" s="8" t="str">
        <f aca="false">IF(COUNTIF($J$1:$J$2,$A160)&gt;0,"Y","N")</f>
        <v>Y</v>
      </c>
    </row>
    <row r="161" customFormat="false" ht="15" hidden="false" customHeight="true" outlineLevel="0" collapsed="false">
      <c r="A161" s="8" t="s">
        <v>43</v>
      </c>
      <c r="B161" s="8" t="n">
        <v>4408226</v>
      </c>
      <c r="C161" s="8" t="s">
        <v>1322</v>
      </c>
      <c r="D161" s="19" t="n">
        <v>2</v>
      </c>
      <c r="E161" s="19" t="n">
        <v>187.551</v>
      </c>
      <c r="F161" s="19" t="n">
        <v>0</v>
      </c>
      <c r="G161" s="19" t="n">
        <v>0</v>
      </c>
      <c r="H161" s="8" t="str">
        <f aca="false">IF(COUNTIF($J$1:$J$2,$A161)&gt;0,"Y","N")</f>
        <v>Y</v>
      </c>
    </row>
    <row r="162" customFormat="false" ht="15" hidden="false" customHeight="true" outlineLevel="0" collapsed="false">
      <c r="A162" s="8" t="s">
        <v>43</v>
      </c>
      <c r="B162" s="8" t="n">
        <v>4408227</v>
      </c>
      <c r="C162" s="8" t="s">
        <v>1323</v>
      </c>
      <c r="D162" s="19" t="n">
        <v>1</v>
      </c>
      <c r="E162" s="19" t="n">
        <v>93.821</v>
      </c>
      <c r="F162" s="19" t="n">
        <v>0</v>
      </c>
      <c r="G162" s="19" t="n">
        <v>0</v>
      </c>
      <c r="H162" s="8" t="str">
        <f aca="false">IF(COUNTIF($J$1:$J$2,$A162)&gt;0,"Y","N")</f>
        <v>Y</v>
      </c>
    </row>
    <row r="163" customFormat="false" ht="15" hidden="false" customHeight="true" outlineLevel="0" collapsed="false">
      <c r="A163" s="8" t="s">
        <v>43</v>
      </c>
      <c r="B163" s="8" t="n">
        <v>4408229</v>
      </c>
      <c r="C163" s="8" t="s">
        <v>1324</v>
      </c>
      <c r="D163" s="19" t="n">
        <v>1</v>
      </c>
      <c r="E163" s="19" t="n">
        <v>93.821</v>
      </c>
      <c r="F163" s="19" t="n">
        <v>-1.26315789473684</v>
      </c>
      <c r="G163" s="19" t="n">
        <v>-106.671157894737</v>
      </c>
      <c r="H163" s="8" t="str">
        <f aca="false">IF(COUNTIF($J$1:$J$2,$A163)&gt;0,"Y","N")</f>
        <v>Y</v>
      </c>
    </row>
    <row r="164" customFormat="false" ht="15" hidden="false" customHeight="true" outlineLevel="0" collapsed="false">
      <c r="A164" s="8" t="s">
        <v>43</v>
      </c>
      <c r="B164" s="8" t="n">
        <v>4408230</v>
      </c>
      <c r="C164" s="8" t="s">
        <v>1325</v>
      </c>
      <c r="D164" s="19" t="n">
        <v>27</v>
      </c>
      <c r="E164" s="19" t="n">
        <v>2686.151</v>
      </c>
      <c r="F164" s="19" t="n">
        <v>30.3157894736842</v>
      </c>
      <c r="G164" s="19" t="n">
        <v>3226.74568421053</v>
      </c>
      <c r="H164" s="8" t="str">
        <f aca="false">IF(COUNTIF($J$1:$J$2,$A164)&gt;0,"Y","N")</f>
        <v>Y</v>
      </c>
    </row>
    <row r="165" customFormat="false" ht="15" hidden="false" customHeight="true" outlineLevel="0" collapsed="false">
      <c r="A165" s="8" t="s">
        <v>43</v>
      </c>
      <c r="B165" s="8" t="n">
        <v>4408231</v>
      </c>
      <c r="C165" s="8" t="s">
        <v>1326</v>
      </c>
      <c r="D165" s="19" t="n">
        <v>11</v>
      </c>
      <c r="E165" s="19" t="n">
        <v>1089.066</v>
      </c>
      <c r="F165" s="19" t="n">
        <v>24</v>
      </c>
      <c r="G165" s="19" t="n">
        <v>2492.29768421053</v>
      </c>
      <c r="H165" s="8" t="str">
        <f aca="false">IF(COUNTIF($J$1:$J$2,$A165)&gt;0,"Y","N")</f>
        <v>Y</v>
      </c>
    </row>
    <row r="166" customFormat="false" ht="15" hidden="false" customHeight="true" outlineLevel="0" collapsed="false">
      <c r="A166" s="8" t="s">
        <v>43</v>
      </c>
      <c r="B166" s="8" t="n">
        <v>4408232</v>
      </c>
      <c r="C166" s="8" t="s">
        <v>1327</v>
      </c>
      <c r="D166" s="19" t="n">
        <v>2</v>
      </c>
      <c r="E166" s="19" t="n">
        <v>214.942</v>
      </c>
      <c r="F166" s="19" t="n">
        <v>5.05263157894737</v>
      </c>
      <c r="G166" s="19" t="n">
        <v>562.322526315789</v>
      </c>
      <c r="H166" s="8" t="str">
        <f aca="false">IF(COUNTIF($J$1:$J$2,$A166)&gt;0,"Y","N")</f>
        <v>Y</v>
      </c>
    </row>
    <row r="167" customFormat="false" ht="15" hidden="false" customHeight="true" outlineLevel="0" collapsed="false">
      <c r="A167" s="8" t="s">
        <v>43</v>
      </c>
      <c r="B167" s="8" t="n">
        <v>4408234</v>
      </c>
      <c r="C167" s="8" t="s">
        <v>1328</v>
      </c>
      <c r="D167" s="19" t="n">
        <v>-1</v>
      </c>
      <c r="E167" s="19" t="n">
        <v>-121.303</v>
      </c>
      <c r="F167" s="19" t="n">
        <v>0</v>
      </c>
      <c r="G167" s="19" t="n">
        <v>-42.6454736842105</v>
      </c>
      <c r="H167" s="8" t="str">
        <f aca="false">IF(COUNTIF($J$1:$J$2,$A167)&gt;0,"Y","N")</f>
        <v>Y</v>
      </c>
    </row>
    <row r="168" customFormat="false" ht="15" hidden="false" customHeight="true" outlineLevel="0" collapsed="false">
      <c r="A168" s="8" t="s">
        <v>43</v>
      </c>
      <c r="B168" s="8" t="n">
        <v>4408235</v>
      </c>
      <c r="C168" s="8" t="s">
        <v>1329</v>
      </c>
      <c r="D168" s="19" t="n">
        <v>0</v>
      </c>
      <c r="E168" s="19" t="n">
        <v>0</v>
      </c>
      <c r="F168" s="19" t="n">
        <v>1.26315789473684</v>
      </c>
      <c r="G168" s="19" t="n">
        <v>127.591578947368</v>
      </c>
      <c r="H168" s="8" t="str">
        <f aca="false">IF(COUNTIF($J$1:$J$2,$A168)&gt;0,"Y","N")</f>
        <v>Y</v>
      </c>
    </row>
    <row r="169" customFormat="false" ht="15" hidden="false" customHeight="true" outlineLevel="0" collapsed="false">
      <c r="A169" s="8" t="s">
        <v>43</v>
      </c>
      <c r="B169" s="8" t="n">
        <v>4408245</v>
      </c>
      <c r="C169" s="8" t="s">
        <v>1330</v>
      </c>
      <c r="D169" s="19" t="n">
        <v>7</v>
      </c>
      <c r="E169" s="19" t="n">
        <v>909.09</v>
      </c>
      <c r="F169" s="19" t="n">
        <v>3.78947368421053</v>
      </c>
      <c r="G169" s="19" t="n">
        <v>597.841263157895</v>
      </c>
      <c r="H169" s="8" t="str">
        <f aca="false">IF(COUNTIF($J$1:$J$2,$A169)&gt;0,"Y","N")</f>
        <v>Y</v>
      </c>
    </row>
    <row r="170" customFormat="false" ht="15" hidden="false" customHeight="true" outlineLevel="0" collapsed="false">
      <c r="A170" s="8" t="s">
        <v>43</v>
      </c>
      <c r="B170" s="8" t="n">
        <v>4408247</v>
      </c>
      <c r="C170" s="8" t="s">
        <v>1331</v>
      </c>
      <c r="D170" s="19" t="n">
        <v>6</v>
      </c>
      <c r="E170" s="19" t="n">
        <v>474.223</v>
      </c>
      <c r="F170" s="19" t="n">
        <v>18.9473684210526</v>
      </c>
      <c r="G170" s="19" t="n">
        <v>1579.008</v>
      </c>
      <c r="H170" s="8" t="str">
        <f aca="false">IF(COUNTIF($J$1:$J$2,$A170)&gt;0,"Y","N")</f>
        <v>Y</v>
      </c>
    </row>
    <row r="171" customFormat="false" ht="15" hidden="false" customHeight="true" outlineLevel="0" collapsed="false">
      <c r="A171" s="8" t="s">
        <v>43</v>
      </c>
      <c r="B171" s="8" t="n">
        <v>4408248</v>
      </c>
      <c r="C171" s="8" t="s">
        <v>1332</v>
      </c>
      <c r="D171" s="19" t="n">
        <v>19</v>
      </c>
      <c r="E171" s="19" t="n">
        <v>1548.773</v>
      </c>
      <c r="F171" s="19" t="n">
        <v>22.7368421052632</v>
      </c>
      <c r="G171" s="19" t="n">
        <v>1898.256</v>
      </c>
      <c r="H171" s="8" t="str">
        <f aca="false">IF(COUNTIF($J$1:$J$2,$A171)&gt;0,"Y","N")</f>
        <v>Y</v>
      </c>
    </row>
    <row r="172" customFormat="false" ht="15" hidden="false" customHeight="true" outlineLevel="0" collapsed="false">
      <c r="A172" s="8" t="s">
        <v>43</v>
      </c>
      <c r="B172" s="8" t="n">
        <v>4408249</v>
      </c>
      <c r="C172" s="8" t="s">
        <v>1333</v>
      </c>
      <c r="D172" s="19" t="n">
        <v>16</v>
      </c>
      <c r="E172" s="19" t="n">
        <v>1246.37</v>
      </c>
      <c r="F172" s="19" t="n">
        <v>26.5263157894737</v>
      </c>
      <c r="G172" s="19" t="n">
        <v>2236.73684210526</v>
      </c>
      <c r="H172" s="8" t="str">
        <f aca="false">IF(COUNTIF($J$1:$J$2,$A172)&gt;0,"Y","N")</f>
        <v>Y</v>
      </c>
    </row>
    <row r="173" customFormat="false" ht="15" hidden="false" customHeight="true" outlineLevel="0" collapsed="false">
      <c r="A173" s="8" t="s">
        <v>43</v>
      </c>
      <c r="B173" s="8" t="n">
        <v>4408250</v>
      </c>
      <c r="C173" s="8" t="s">
        <v>1334</v>
      </c>
      <c r="D173" s="19" t="n">
        <v>18</v>
      </c>
      <c r="E173" s="19" t="n">
        <v>1393.161</v>
      </c>
      <c r="F173" s="19" t="n">
        <v>16.4210526315789</v>
      </c>
      <c r="G173" s="19" t="n">
        <v>1388.592</v>
      </c>
      <c r="H173" s="8" t="str">
        <f aca="false">IF(COUNTIF($J$1:$J$2,$A173)&gt;0,"Y","N")</f>
        <v>Y</v>
      </c>
    </row>
    <row r="174" customFormat="false" ht="15" hidden="false" customHeight="true" outlineLevel="0" collapsed="false">
      <c r="A174" s="8" t="s">
        <v>43</v>
      </c>
      <c r="B174" s="8" t="n">
        <v>4408259</v>
      </c>
      <c r="C174" s="8" t="s">
        <v>1335</v>
      </c>
      <c r="D174" s="19" t="n">
        <v>1</v>
      </c>
      <c r="E174" s="19" t="n">
        <v>105</v>
      </c>
      <c r="F174" s="19" t="n">
        <v>3.78947368421053</v>
      </c>
      <c r="G174" s="19" t="n">
        <v>456.548210526316</v>
      </c>
      <c r="H174" s="8" t="str">
        <f aca="false">IF(COUNTIF($J$1:$J$2,$A174)&gt;0,"Y","N")</f>
        <v>Y</v>
      </c>
    </row>
    <row r="175" customFormat="false" ht="15" hidden="false" customHeight="true" outlineLevel="0" collapsed="false">
      <c r="A175" s="8" t="s">
        <v>43</v>
      </c>
      <c r="B175" s="8" t="n">
        <v>4408260</v>
      </c>
      <c r="C175" s="8" t="s">
        <v>1336</v>
      </c>
      <c r="D175" s="19" t="n">
        <v>9</v>
      </c>
      <c r="E175" s="19" t="n">
        <v>1017.555</v>
      </c>
      <c r="F175" s="19" t="n">
        <v>7.57894736842105</v>
      </c>
      <c r="G175" s="19" t="n">
        <v>854.442947368421</v>
      </c>
      <c r="H175" s="8" t="str">
        <f aca="false">IF(COUNTIF($J$1:$J$2,$A175)&gt;0,"Y","N")</f>
        <v>Y</v>
      </c>
    </row>
    <row r="176" customFormat="false" ht="15" hidden="false" customHeight="true" outlineLevel="0" collapsed="false">
      <c r="A176" s="8" t="s">
        <v>43</v>
      </c>
      <c r="B176" s="8" t="n">
        <v>4408261</v>
      </c>
      <c r="C176" s="8" t="s">
        <v>857</v>
      </c>
      <c r="D176" s="19" t="n">
        <v>24</v>
      </c>
      <c r="E176" s="19" t="n">
        <v>2704.04</v>
      </c>
      <c r="F176" s="19" t="n">
        <v>17.6842105263158</v>
      </c>
      <c r="G176" s="19" t="n">
        <v>1934.37473684211</v>
      </c>
      <c r="H176" s="8" t="str">
        <f aca="false">IF(COUNTIF($J$1:$J$2,$A176)&gt;0,"Y","N")</f>
        <v>Y</v>
      </c>
    </row>
    <row r="177" customFormat="false" ht="15" hidden="false" customHeight="true" outlineLevel="0" collapsed="false">
      <c r="A177" s="8" t="s">
        <v>43</v>
      </c>
      <c r="B177" s="8" t="n">
        <v>4408262</v>
      </c>
      <c r="C177" s="8" t="s">
        <v>1337</v>
      </c>
      <c r="D177" s="19" t="n">
        <v>11</v>
      </c>
      <c r="E177" s="19" t="n">
        <v>1155</v>
      </c>
      <c r="F177" s="19" t="n">
        <v>12.6315789473684</v>
      </c>
      <c r="G177" s="19" t="n">
        <v>1598.48463157895</v>
      </c>
      <c r="H177" s="8" t="str">
        <f aca="false">IF(COUNTIF($J$1:$J$2,$A177)&gt;0,"Y","N")</f>
        <v>Y</v>
      </c>
    </row>
    <row r="178" customFormat="false" ht="15" hidden="false" customHeight="true" outlineLevel="0" collapsed="false">
      <c r="A178" s="8" t="s">
        <v>43</v>
      </c>
      <c r="B178" s="8" t="n">
        <v>4408263</v>
      </c>
      <c r="C178" s="8" t="s">
        <v>570</v>
      </c>
      <c r="D178" s="19" t="n">
        <v>14</v>
      </c>
      <c r="E178" s="19" t="n">
        <v>1530.41</v>
      </c>
      <c r="F178" s="19" t="n">
        <v>7.57894736842105</v>
      </c>
      <c r="G178" s="19" t="n">
        <v>795.802105263158</v>
      </c>
      <c r="H178" s="8" t="str">
        <f aca="false">IF(COUNTIF($J$1:$J$2,$A178)&gt;0,"Y","N")</f>
        <v>Y</v>
      </c>
    </row>
    <row r="179" customFormat="false" ht="15" hidden="false" customHeight="true" outlineLevel="0" collapsed="false">
      <c r="A179" s="8" t="s">
        <v>43</v>
      </c>
      <c r="B179" s="8" t="n">
        <v>4408264</v>
      </c>
      <c r="C179" s="8" t="s">
        <v>1338</v>
      </c>
      <c r="D179" s="19" t="n">
        <v>383</v>
      </c>
      <c r="E179" s="19" t="n">
        <v>14601.317</v>
      </c>
      <c r="F179" s="19" t="n">
        <v>227.368421052632</v>
      </c>
      <c r="G179" s="19" t="n">
        <v>9430.8</v>
      </c>
      <c r="H179" s="8" t="str">
        <f aca="false">IF(COUNTIF($J$1:$J$2,$A179)&gt;0,"Y","N")</f>
        <v>Y</v>
      </c>
    </row>
    <row r="180" customFormat="false" ht="15" hidden="false" customHeight="true" outlineLevel="0" collapsed="false">
      <c r="A180" s="8" t="s">
        <v>43</v>
      </c>
      <c r="B180" s="8" t="n">
        <v>4408265</v>
      </c>
      <c r="C180" s="8" t="s">
        <v>1339</v>
      </c>
      <c r="D180" s="19" t="n">
        <v>64</v>
      </c>
      <c r="E180" s="19" t="n">
        <v>6144.866</v>
      </c>
      <c r="F180" s="19" t="n">
        <v>40.4210526315789</v>
      </c>
      <c r="G180" s="19" t="n">
        <v>3900.96884210526</v>
      </c>
      <c r="H180" s="8" t="str">
        <f aca="false">IF(COUNTIF($J$1:$J$2,$A180)&gt;0,"Y","N")</f>
        <v>Y</v>
      </c>
    </row>
    <row r="181" customFormat="false" ht="15" hidden="false" customHeight="true" outlineLevel="0" collapsed="false">
      <c r="A181" s="8" t="s">
        <v>43</v>
      </c>
      <c r="B181" s="8" t="n">
        <v>4408266</v>
      </c>
      <c r="C181" s="8" t="s">
        <v>1340</v>
      </c>
      <c r="D181" s="19" t="n">
        <v>83</v>
      </c>
      <c r="E181" s="19" t="n">
        <v>6255.829</v>
      </c>
      <c r="F181" s="19" t="n">
        <v>101.052631578947</v>
      </c>
      <c r="G181" s="19" t="n">
        <v>7749.24631578947</v>
      </c>
      <c r="H181" s="8" t="str">
        <f aca="false">IF(COUNTIF($J$1:$J$2,$A181)&gt;0,"Y","N")</f>
        <v>Y</v>
      </c>
    </row>
    <row r="182" customFormat="false" ht="15" hidden="false" customHeight="true" outlineLevel="0" collapsed="false">
      <c r="A182" s="8" t="s">
        <v>43</v>
      </c>
      <c r="B182" s="8" t="n">
        <v>4408271</v>
      </c>
      <c r="C182" s="8" t="s">
        <v>883</v>
      </c>
      <c r="D182" s="19" t="n">
        <v>1</v>
      </c>
      <c r="E182" s="19" t="n">
        <v>260</v>
      </c>
      <c r="F182" s="19" t="n">
        <v>2.52631578947368</v>
      </c>
      <c r="G182" s="19" t="n">
        <v>736.901052631579</v>
      </c>
      <c r="H182" s="8" t="str">
        <f aca="false">IF(COUNTIF($J$1:$J$2,$A182)&gt;0,"Y","N")</f>
        <v>Y</v>
      </c>
    </row>
    <row r="183" customFormat="false" ht="15" hidden="false" customHeight="true" outlineLevel="0" collapsed="false">
      <c r="A183" s="8" t="s">
        <v>43</v>
      </c>
      <c r="B183" s="8" t="n">
        <v>4408272</v>
      </c>
      <c r="C183" s="8" t="s">
        <v>1341</v>
      </c>
      <c r="D183" s="19" t="n">
        <v>0</v>
      </c>
      <c r="E183" s="19" t="n">
        <v>0</v>
      </c>
      <c r="F183" s="19" t="n">
        <v>1.26315789473684</v>
      </c>
      <c r="G183" s="19" t="n">
        <v>371.739789473684</v>
      </c>
      <c r="H183" s="8" t="str">
        <f aca="false">IF(COUNTIF($J$1:$J$2,$A183)&gt;0,"Y","N")</f>
        <v>Y</v>
      </c>
    </row>
    <row r="184" customFormat="false" ht="15" hidden="false" customHeight="true" outlineLevel="0" collapsed="false">
      <c r="A184" s="8" t="s">
        <v>43</v>
      </c>
      <c r="B184" s="8" t="n">
        <v>4408273</v>
      </c>
      <c r="C184" s="8" t="s">
        <v>1342</v>
      </c>
      <c r="D184" s="19" t="n">
        <v>0</v>
      </c>
      <c r="E184" s="19" t="n">
        <v>0</v>
      </c>
      <c r="F184" s="19" t="n">
        <v>1.26315789473684</v>
      </c>
      <c r="G184" s="19" t="n">
        <v>371.739789473684</v>
      </c>
      <c r="H184" s="8" t="str">
        <f aca="false">IF(COUNTIF($J$1:$J$2,$A184)&gt;0,"Y","N")</f>
        <v>Y</v>
      </c>
    </row>
    <row r="185" customFormat="false" ht="15" hidden="false" customHeight="true" outlineLevel="0" collapsed="false">
      <c r="A185" s="8" t="s">
        <v>43</v>
      </c>
      <c r="B185" s="8" t="n">
        <v>4408274</v>
      </c>
      <c r="C185" s="8" t="s">
        <v>1343</v>
      </c>
      <c r="D185" s="19" t="n">
        <v>0</v>
      </c>
      <c r="E185" s="19" t="n">
        <v>0</v>
      </c>
      <c r="F185" s="19" t="n">
        <v>1.26315789473684</v>
      </c>
      <c r="G185" s="19" t="n">
        <v>371.739789473684</v>
      </c>
      <c r="H185" s="8" t="str">
        <f aca="false">IF(COUNTIF($J$1:$J$2,$A185)&gt;0,"Y","N")</f>
        <v>Y</v>
      </c>
    </row>
    <row r="186" customFormat="false" ht="15" hidden="false" customHeight="true" outlineLevel="0" collapsed="false">
      <c r="A186" s="8" t="s">
        <v>43</v>
      </c>
      <c r="B186" s="8" t="n">
        <v>4408275</v>
      </c>
      <c r="C186" s="8" t="s">
        <v>1344</v>
      </c>
      <c r="D186" s="19" t="n">
        <v>0</v>
      </c>
      <c r="E186" s="19" t="n">
        <v>0</v>
      </c>
      <c r="F186" s="19" t="n">
        <v>27.7894736842105</v>
      </c>
      <c r="G186" s="19" t="n">
        <v>1190.62484210526</v>
      </c>
      <c r="H186" s="8" t="str">
        <f aca="false">IF(COUNTIF($J$1:$J$2,$A186)&gt;0,"Y","N")</f>
        <v>Y</v>
      </c>
    </row>
    <row r="187" customFormat="false" ht="15" hidden="false" customHeight="true" outlineLevel="0" collapsed="false">
      <c r="A187" s="8" t="s">
        <v>43</v>
      </c>
      <c r="B187" s="8" t="n">
        <v>4409000</v>
      </c>
      <c r="C187" s="8" t="s">
        <v>1345</v>
      </c>
      <c r="D187" s="19" t="n">
        <v>414</v>
      </c>
      <c r="E187" s="19" t="n">
        <v>5118.416</v>
      </c>
      <c r="F187" s="19" t="n">
        <v>444.631578947368</v>
      </c>
      <c r="G187" s="19" t="n">
        <v>5530.58147368421</v>
      </c>
      <c r="H187" s="8" t="str">
        <f aca="false">IF(COUNTIF($J$1:$J$2,$A187)&gt;0,"Y","N")</f>
        <v>Y</v>
      </c>
    </row>
    <row r="188" customFormat="false" ht="15" hidden="false" customHeight="true" outlineLevel="0" collapsed="false">
      <c r="A188" s="8" t="s">
        <v>43</v>
      </c>
      <c r="B188" s="8" t="n">
        <v>4409001</v>
      </c>
      <c r="C188" s="8" t="s">
        <v>1346</v>
      </c>
      <c r="D188" s="19" t="n">
        <v>265</v>
      </c>
      <c r="E188" s="19" t="n">
        <v>3143.852</v>
      </c>
      <c r="F188" s="19" t="n">
        <v>183.157894736842</v>
      </c>
      <c r="G188" s="19" t="n">
        <v>2156.09305263158</v>
      </c>
      <c r="H188" s="8" t="str">
        <f aca="false">IF(COUNTIF($J$1:$J$2,$A188)&gt;0,"Y","N")</f>
        <v>Y</v>
      </c>
    </row>
    <row r="189" customFormat="false" ht="15" hidden="false" customHeight="true" outlineLevel="0" collapsed="false">
      <c r="A189" s="8" t="s">
        <v>43</v>
      </c>
      <c r="B189" s="8" t="n">
        <v>4409002</v>
      </c>
      <c r="C189" s="8" t="s">
        <v>1347</v>
      </c>
      <c r="D189" s="19" t="n">
        <v>-21</v>
      </c>
      <c r="E189" s="19" t="n">
        <v>-737.828</v>
      </c>
      <c r="F189" s="19" t="n">
        <v>-5.05263157894737</v>
      </c>
      <c r="G189" s="19" t="n">
        <v>-130.235368421053</v>
      </c>
      <c r="H189" s="8" t="str">
        <f aca="false">IF(COUNTIF($J$1:$J$2,$A189)&gt;0,"Y","N")</f>
        <v>Y</v>
      </c>
    </row>
    <row r="190" customFormat="false" ht="15" hidden="false" customHeight="true" outlineLevel="0" collapsed="false">
      <c r="A190" s="8" t="s">
        <v>43</v>
      </c>
      <c r="B190" s="8" t="n">
        <v>4409004</v>
      </c>
      <c r="C190" s="8" t="s">
        <v>1348</v>
      </c>
      <c r="D190" s="19" t="n">
        <v>689</v>
      </c>
      <c r="E190" s="19" t="n">
        <v>14129.761</v>
      </c>
      <c r="F190" s="19" t="n">
        <v>351.157894736842</v>
      </c>
      <c r="G190" s="19" t="n">
        <v>7320.88294736842</v>
      </c>
      <c r="H190" s="8" t="str">
        <f aca="false">IF(COUNTIF($J$1:$J$2,$A190)&gt;0,"Y","N")</f>
        <v>Y</v>
      </c>
    </row>
    <row r="191" customFormat="false" ht="15" hidden="false" customHeight="true" outlineLevel="0" collapsed="false">
      <c r="A191" s="8" t="s">
        <v>43</v>
      </c>
      <c r="B191" s="8" t="n">
        <v>4409010</v>
      </c>
      <c r="C191" s="8" t="s">
        <v>1349</v>
      </c>
      <c r="D191" s="19" t="n">
        <v>10</v>
      </c>
      <c r="E191" s="19" t="n">
        <v>144.781</v>
      </c>
      <c r="F191" s="19" t="n">
        <v>10.1052631578947</v>
      </c>
      <c r="G191" s="19" t="n">
        <v>156.443368421053</v>
      </c>
      <c r="H191" s="8" t="str">
        <f aca="false">IF(COUNTIF($J$1:$J$2,$A191)&gt;0,"Y","N")</f>
        <v>Y</v>
      </c>
    </row>
    <row r="192" customFormat="false" ht="15" hidden="false" customHeight="true" outlineLevel="0" collapsed="false">
      <c r="A192" s="8" t="s">
        <v>43</v>
      </c>
      <c r="B192" s="8" t="n">
        <v>4409011</v>
      </c>
      <c r="C192" s="8" t="s">
        <v>1350</v>
      </c>
      <c r="D192" s="19" t="n">
        <v>26</v>
      </c>
      <c r="E192" s="19" t="n">
        <v>379.652</v>
      </c>
      <c r="F192" s="19" t="n">
        <v>70.7368421052632</v>
      </c>
      <c r="G192" s="19" t="n">
        <v>1110.62147368421</v>
      </c>
      <c r="H192" s="8" t="str">
        <f aca="false">IF(COUNTIF($J$1:$J$2,$A192)&gt;0,"Y","N")</f>
        <v>Y</v>
      </c>
    </row>
    <row r="193" customFormat="false" ht="15" hidden="false" customHeight="true" outlineLevel="0" collapsed="false">
      <c r="A193" s="8" t="s">
        <v>43</v>
      </c>
      <c r="B193" s="8" t="n">
        <v>4409012</v>
      </c>
      <c r="C193" s="8" t="s">
        <v>1351</v>
      </c>
      <c r="D193" s="19" t="n">
        <v>41</v>
      </c>
      <c r="E193" s="19" t="n">
        <v>558.376</v>
      </c>
      <c r="F193" s="19" t="n">
        <v>44.2105263157895</v>
      </c>
      <c r="G193" s="19" t="n">
        <v>690.488842105263</v>
      </c>
      <c r="H193" s="8" t="str">
        <f aca="false">IF(COUNTIF($J$1:$J$2,$A193)&gt;0,"Y","N")</f>
        <v>Y</v>
      </c>
    </row>
    <row r="194" customFormat="false" ht="15" hidden="false" customHeight="true" outlineLevel="0" collapsed="false">
      <c r="A194" s="8" t="s">
        <v>43</v>
      </c>
      <c r="B194" s="8" t="n">
        <v>4409013</v>
      </c>
      <c r="C194" s="8" t="s">
        <v>1352</v>
      </c>
      <c r="D194" s="19" t="n">
        <v>7</v>
      </c>
      <c r="E194" s="19" t="n">
        <v>108.108</v>
      </c>
      <c r="F194" s="19" t="n">
        <v>32.8421052631579</v>
      </c>
      <c r="G194" s="19" t="n">
        <v>516.918315789474</v>
      </c>
      <c r="H194" s="8" t="str">
        <f aca="false">IF(COUNTIF($J$1:$J$2,$A194)&gt;0,"Y","N")</f>
        <v>Y</v>
      </c>
    </row>
    <row r="195" customFormat="false" ht="15" hidden="false" customHeight="true" outlineLevel="0" collapsed="false">
      <c r="A195" s="8" t="s">
        <v>43</v>
      </c>
      <c r="B195" s="8" t="n">
        <v>4409014</v>
      </c>
      <c r="C195" s="8" t="s">
        <v>1353</v>
      </c>
      <c r="D195" s="19" t="n">
        <v>300</v>
      </c>
      <c r="E195" s="19" t="n">
        <v>8227.03</v>
      </c>
      <c r="F195" s="19" t="n">
        <v>79.5789473684211</v>
      </c>
      <c r="G195" s="19" t="n">
        <v>2759.88631578947</v>
      </c>
      <c r="H195" s="8" t="str">
        <f aca="false">IF(COUNTIF($J$1:$J$2,$A195)&gt;0,"Y","N")</f>
        <v>Y</v>
      </c>
    </row>
    <row r="196" customFormat="false" ht="15" hidden="false" customHeight="true" outlineLevel="0" collapsed="false">
      <c r="A196" s="8" t="s">
        <v>43</v>
      </c>
      <c r="B196" s="8" t="n">
        <v>4409015</v>
      </c>
      <c r="C196" s="8" t="s">
        <v>1354</v>
      </c>
      <c r="D196" s="19" t="n">
        <v>412</v>
      </c>
      <c r="E196" s="19" t="n">
        <v>11911.87</v>
      </c>
      <c r="F196" s="19" t="n">
        <v>151.578947368421</v>
      </c>
      <c r="G196" s="19" t="n">
        <v>4947.22105263158</v>
      </c>
      <c r="H196" s="8" t="str">
        <f aca="false">IF(COUNTIF($J$1:$J$2,$A196)&gt;0,"Y","N")</f>
        <v>Y</v>
      </c>
    </row>
    <row r="197" customFormat="false" ht="15" hidden="false" customHeight="true" outlineLevel="0" collapsed="false">
      <c r="A197" s="8" t="s">
        <v>43</v>
      </c>
      <c r="B197" s="8" t="n">
        <v>4409016</v>
      </c>
      <c r="C197" s="8" t="s">
        <v>1355</v>
      </c>
      <c r="D197" s="19" t="n">
        <v>533</v>
      </c>
      <c r="E197" s="19" t="n">
        <v>14773.896</v>
      </c>
      <c r="F197" s="19" t="n">
        <v>360</v>
      </c>
      <c r="G197" s="19" t="n">
        <v>10952.7246315789</v>
      </c>
      <c r="H197" s="8" t="str">
        <f aca="false">IF(COUNTIF($J$1:$J$2,$A197)&gt;0,"Y","N")</f>
        <v>Y</v>
      </c>
    </row>
    <row r="198" customFormat="false" ht="15" hidden="false" customHeight="true" outlineLevel="0" collapsed="false">
      <c r="A198" s="8" t="s">
        <v>43</v>
      </c>
      <c r="B198" s="8" t="n">
        <v>4409017</v>
      </c>
      <c r="C198" s="8" t="s">
        <v>1356</v>
      </c>
      <c r="D198" s="19" t="n">
        <v>398</v>
      </c>
      <c r="E198" s="19" t="n">
        <v>11233.558</v>
      </c>
      <c r="F198" s="19" t="n">
        <v>231.157894736842</v>
      </c>
      <c r="G198" s="19" t="n">
        <v>7509.97263157895</v>
      </c>
      <c r="H198" s="8" t="str">
        <f aca="false">IF(COUNTIF($J$1:$J$2,$A198)&gt;0,"Y","N")</f>
        <v>Y</v>
      </c>
    </row>
    <row r="199" customFormat="false" ht="15" hidden="false" customHeight="true" outlineLevel="0" collapsed="false">
      <c r="A199" s="8" t="s">
        <v>43</v>
      </c>
      <c r="B199" s="8" t="n">
        <v>4411000</v>
      </c>
      <c r="C199" s="8" t="s">
        <v>1357</v>
      </c>
      <c r="D199" s="19" t="n">
        <v>354</v>
      </c>
      <c r="E199" s="19" t="n">
        <v>9229.596</v>
      </c>
      <c r="F199" s="19" t="n">
        <v>251.368421052632</v>
      </c>
      <c r="G199" s="19" t="n">
        <v>6713.0412631579</v>
      </c>
      <c r="H199" s="8" t="str">
        <f aca="false">IF(COUNTIF($J$1:$J$2,$A199)&gt;0,"Y","N")</f>
        <v>Y</v>
      </c>
    </row>
    <row r="200" customFormat="false" ht="15" hidden="false" customHeight="true" outlineLevel="0" collapsed="false">
      <c r="A200" s="8" t="s">
        <v>43</v>
      </c>
      <c r="B200" s="8" t="n">
        <v>4411001</v>
      </c>
      <c r="C200" s="8" t="s">
        <v>1358</v>
      </c>
      <c r="D200" s="19" t="n">
        <v>282</v>
      </c>
      <c r="E200" s="19" t="n">
        <v>7006.05</v>
      </c>
      <c r="F200" s="19" t="n">
        <v>205.894736842105</v>
      </c>
      <c r="G200" s="19" t="n">
        <v>5156.33557894737</v>
      </c>
      <c r="H200" s="8" t="str">
        <f aca="false">IF(COUNTIF($J$1:$J$2,$A200)&gt;0,"Y","N")</f>
        <v>Y</v>
      </c>
    </row>
    <row r="201" customFormat="false" ht="15" hidden="false" customHeight="true" outlineLevel="0" collapsed="false">
      <c r="A201" s="8" t="s">
        <v>43</v>
      </c>
      <c r="B201" s="8" t="n">
        <v>4411015</v>
      </c>
      <c r="C201" s="8" t="s">
        <v>1359</v>
      </c>
      <c r="D201" s="19" t="n">
        <v>50</v>
      </c>
      <c r="E201" s="19" t="n">
        <v>2118.642</v>
      </c>
      <c r="F201" s="19" t="n">
        <v>45.4736842105263</v>
      </c>
      <c r="G201" s="19" t="n">
        <v>1928.12715789474</v>
      </c>
      <c r="H201" s="8" t="str">
        <f aca="false">IF(COUNTIF($J$1:$J$2,$A201)&gt;0,"Y","N")</f>
        <v>Y</v>
      </c>
    </row>
    <row r="202" customFormat="false" ht="15" hidden="false" customHeight="true" outlineLevel="0" collapsed="false">
      <c r="A202" s="8" t="s">
        <v>43</v>
      </c>
      <c r="B202" s="8" t="n">
        <v>4411016</v>
      </c>
      <c r="C202" s="8" t="s">
        <v>1360</v>
      </c>
      <c r="D202" s="19" t="n">
        <v>107</v>
      </c>
      <c r="E202" s="19" t="n">
        <v>7738.233</v>
      </c>
      <c r="F202" s="19" t="n">
        <v>73.2631578947368</v>
      </c>
      <c r="G202" s="19" t="n">
        <v>5613.84</v>
      </c>
      <c r="H202" s="8" t="str">
        <f aca="false">IF(COUNTIF($J$1:$J$2,$A202)&gt;0,"Y","N")</f>
        <v>Y</v>
      </c>
    </row>
    <row r="203" customFormat="false" ht="15" hidden="false" customHeight="true" outlineLevel="0" collapsed="false">
      <c r="A203" s="8" t="s">
        <v>43</v>
      </c>
      <c r="B203" s="8" t="n">
        <v>4411017</v>
      </c>
      <c r="C203" s="8" t="s">
        <v>1361</v>
      </c>
      <c r="D203" s="19" t="n">
        <v>26</v>
      </c>
      <c r="E203" s="19" t="n">
        <v>839.293</v>
      </c>
      <c r="F203" s="19" t="n">
        <v>13.8947368421053</v>
      </c>
      <c r="G203" s="19" t="n">
        <v>467.835789473684</v>
      </c>
      <c r="H203" s="8" t="str">
        <f aca="false">IF(COUNTIF($J$1:$J$2,$A203)&gt;0,"Y","N")</f>
        <v>Y</v>
      </c>
    </row>
    <row r="204" customFormat="false" ht="15" hidden="false" customHeight="true" outlineLevel="0" collapsed="false">
      <c r="A204" s="8" t="s">
        <v>43</v>
      </c>
      <c r="B204" s="8" t="n">
        <v>4411018</v>
      </c>
      <c r="C204" s="8" t="s">
        <v>1362</v>
      </c>
      <c r="D204" s="19" t="n">
        <v>32</v>
      </c>
      <c r="E204" s="19" t="n">
        <v>1057.602</v>
      </c>
      <c r="F204" s="19" t="n">
        <v>20.2105263157895</v>
      </c>
      <c r="G204" s="19" t="n">
        <v>680.143578947369</v>
      </c>
      <c r="H204" s="8" t="str">
        <f aca="false">IF(COUNTIF($J$1:$J$2,$A204)&gt;0,"Y","N")</f>
        <v>Y</v>
      </c>
    </row>
    <row r="205" customFormat="false" ht="15" hidden="false" customHeight="true" outlineLevel="0" collapsed="false">
      <c r="A205" s="8" t="s">
        <v>43</v>
      </c>
      <c r="B205" s="8" t="n">
        <v>4411019</v>
      </c>
      <c r="C205" s="8" t="s">
        <v>1363</v>
      </c>
      <c r="D205" s="19" t="n">
        <v>24</v>
      </c>
      <c r="E205" s="19" t="n">
        <v>779.961</v>
      </c>
      <c r="F205" s="19" t="n">
        <v>12.6315789473684</v>
      </c>
      <c r="G205" s="19" t="n">
        <v>413.350736842105</v>
      </c>
      <c r="H205" s="8" t="str">
        <f aca="false">IF(COUNTIF($J$1:$J$2,$A205)&gt;0,"Y","N")</f>
        <v>Y</v>
      </c>
    </row>
    <row r="206" customFormat="false" ht="15" hidden="false" customHeight="true" outlineLevel="0" collapsed="false">
      <c r="A206" s="8" t="s">
        <v>43</v>
      </c>
      <c r="B206" s="8" t="n">
        <v>4411020</v>
      </c>
      <c r="C206" s="8" t="s">
        <v>1364</v>
      </c>
      <c r="D206" s="19" t="n">
        <v>13</v>
      </c>
      <c r="E206" s="19" t="n">
        <v>427.154</v>
      </c>
      <c r="F206" s="19" t="n">
        <v>6.31578947368421</v>
      </c>
      <c r="G206" s="19" t="n">
        <v>212.422736842105</v>
      </c>
      <c r="H206" s="8" t="str">
        <f aca="false">IF(COUNTIF($J$1:$J$2,$A206)&gt;0,"Y","N")</f>
        <v>Y</v>
      </c>
    </row>
    <row r="207" customFormat="false" ht="15" hidden="false" customHeight="true" outlineLevel="0" collapsed="false">
      <c r="A207" s="8" t="s">
        <v>43</v>
      </c>
      <c r="B207" s="8" t="n">
        <v>4411021</v>
      </c>
      <c r="C207" s="8" t="s">
        <v>1365</v>
      </c>
      <c r="D207" s="19" t="n">
        <v>28</v>
      </c>
      <c r="E207" s="19" t="n">
        <v>975.429</v>
      </c>
      <c r="F207" s="19" t="n">
        <v>20.2105263157895</v>
      </c>
      <c r="G207" s="19" t="n">
        <v>739.338947368421</v>
      </c>
      <c r="H207" s="8" t="str">
        <f aca="false">IF(COUNTIF($J$1:$J$2,$A207)&gt;0,"Y","N")</f>
        <v>Y</v>
      </c>
    </row>
    <row r="208" customFormat="false" ht="15" hidden="false" customHeight="true" outlineLevel="0" collapsed="false">
      <c r="A208" s="8" t="s">
        <v>43</v>
      </c>
      <c r="B208" s="8" t="n">
        <v>4411022</v>
      </c>
      <c r="C208" s="8" t="s">
        <v>1366</v>
      </c>
      <c r="D208" s="19" t="n">
        <v>49</v>
      </c>
      <c r="E208" s="19" t="n">
        <v>1719.979</v>
      </c>
      <c r="F208" s="19" t="n">
        <v>36.6315789473684</v>
      </c>
      <c r="G208" s="19" t="n">
        <v>1323.35747368421</v>
      </c>
      <c r="H208" s="8" t="str">
        <f aca="false">IF(COUNTIF($J$1:$J$2,$A208)&gt;0,"Y","N")</f>
        <v>Y</v>
      </c>
    </row>
    <row r="209" customFormat="false" ht="15" hidden="false" customHeight="true" outlineLevel="0" collapsed="false">
      <c r="A209" s="8" t="s">
        <v>43</v>
      </c>
      <c r="B209" s="8" t="n">
        <v>4411023</v>
      </c>
      <c r="C209" s="8" t="s">
        <v>1367</v>
      </c>
      <c r="D209" s="19" t="n">
        <v>39</v>
      </c>
      <c r="E209" s="19" t="n">
        <v>1362.156</v>
      </c>
      <c r="F209" s="19" t="n">
        <v>36.6315789473684</v>
      </c>
      <c r="G209" s="19" t="n">
        <v>1318.66105263158</v>
      </c>
      <c r="H209" s="8" t="str">
        <f aca="false">IF(COUNTIF($J$1:$J$2,$A209)&gt;0,"Y","N")</f>
        <v>Y</v>
      </c>
    </row>
    <row r="210" customFormat="false" ht="15" hidden="false" customHeight="true" outlineLevel="0" collapsed="false">
      <c r="A210" s="8" t="s">
        <v>43</v>
      </c>
      <c r="B210" s="8" t="n">
        <v>4411024</v>
      </c>
      <c r="C210" s="8" t="s">
        <v>1368</v>
      </c>
      <c r="D210" s="19" t="n">
        <v>16</v>
      </c>
      <c r="E210" s="19" t="n">
        <v>554.554</v>
      </c>
      <c r="F210" s="19" t="n">
        <v>6.31578947368421</v>
      </c>
      <c r="G210" s="19" t="n">
        <v>228.745263157895</v>
      </c>
      <c r="H210" s="8" t="str">
        <f aca="false">IF(COUNTIF($J$1:$J$2,$A210)&gt;0,"Y","N")</f>
        <v>Y</v>
      </c>
    </row>
    <row r="211" customFormat="false" ht="15" hidden="false" customHeight="true" outlineLevel="0" collapsed="false">
      <c r="A211" s="8" t="s">
        <v>43</v>
      </c>
      <c r="B211" s="8" t="n">
        <v>4411026</v>
      </c>
      <c r="C211" s="8" t="s">
        <v>1369</v>
      </c>
      <c r="D211" s="19" t="n">
        <v>0</v>
      </c>
      <c r="E211" s="19" t="n">
        <v>0</v>
      </c>
      <c r="F211" s="19" t="n">
        <v>2.52631578947368</v>
      </c>
      <c r="G211" s="19" t="n">
        <v>269.321684210526</v>
      </c>
      <c r="H211" s="8" t="str">
        <f aca="false">IF(COUNTIF($J$1:$J$2,$A211)&gt;0,"Y","N")</f>
        <v>Y</v>
      </c>
    </row>
    <row r="212" customFormat="false" ht="15" hidden="false" customHeight="true" outlineLevel="0" collapsed="false">
      <c r="A212" s="8" t="s">
        <v>43</v>
      </c>
      <c r="B212" s="8" t="n">
        <v>4411027</v>
      </c>
      <c r="C212" s="8" t="s">
        <v>1370</v>
      </c>
      <c r="D212" s="19" t="n">
        <v>0</v>
      </c>
      <c r="E212" s="19" t="n">
        <v>0</v>
      </c>
      <c r="F212" s="19" t="n">
        <v>1.26315789473684</v>
      </c>
      <c r="G212" s="19" t="n">
        <v>134.603368421053</v>
      </c>
      <c r="H212" s="8" t="str">
        <f aca="false">IF(COUNTIF($J$1:$J$2,$A212)&gt;0,"Y","N")</f>
        <v>Y</v>
      </c>
    </row>
    <row r="213" customFormat="false" ht="15" hidden="false" customHeight="true" outlineLevel="0" collapsed="false">
      <c r="A213" s="8" t="s">
        <v>43</v>
      </c>
      <c r="B213" s="8" t="n">
        <v>4411028</v>
      </c>
      <c r="C213" s="8" t="s">
        <v>1371</v>
      </c>
      <c r="D213" s="19" t="n">
        <v>0</v>
      </c>
      <c r="E213" s="19" t="n">
        <v>0</v>
      </c>
      <c r="F213" s="19" t="n">
        <v>1.26315789473684</v>
      </c>
      <c r="G213" s="19" t="n">
        <v>134.603368421053</v>
      </c>
      <c r="H213" s="8" t="str">
        <f aca="false">IF(COUNTIF($J$1:$J$2,$A213)&gt;0,"Y","N")</f>
        <v>Y</v>
      </c>
    </row>
    <row r="214" customFormat="false" ht="15" hidden="false" customHeight="true" outlineLevel="0" collapsed="false">
      <c r="A214" s="8" t="s">
        <v>43</v>
      </c>
      <c r="B214" s="8" t="n">
        <v>4411029</v>
      </c>
      <c r="C214" s="8" t="s">
        <v>1372</v>
      </c>
      <c r="D214" s="19" t="n">
        <v>0</v>
      </c>
      <c r="E214" s="19" t="n">
        <v>0</v>
      </c>
      <c r="F214" s="19" t="n">
        <v>1.26315789473684</v>
      </c>
      <c r="G214" s="19" t="n">
        <v>134.603368421053</v>
      </c>
      <c r="H214" s="8" t="str">
        <f aca="false">IF(COUNTIF($J$1:$J$2,$A214)&gt;0,"Y","N")</f>
        <v>Y</v>
      </c>
    </row>
    <row r="215" customFormat="false" ht="15" hidden="false" customHeight="true" outlineLevel="0" collapsed="false">
      <c r="A215" s="8" t="s">
        <v>43</v>
      </c>
      <c r="B215" s="8" t="n">
        <v>4411030</v>
      </c>
      <c r="C215" s="8" t="s">
        <v>1373</v>
      </c>
      <c r="D215" s="19" t="n">
        <v>0</v>
      </c>
      <c r="E215" s="19" t="n">
        <v>0</v>
      </c>
      <c r="F215" s="19" t="n">
        <v>1.26315789473684</v>
      </c>
      <c r="G215" s="19" t="n">
        <v>134.603368421053</v>
      </c>
      <c r="H215" s="8" t="str">
        <f aca="false">IF(COUNTIF($J$1:$J$2,$A215)&gt;0,"Y","N")</f>
        <v>Y</v>
      </c>
    </row>
    <row r="216" customFormat="false" ht="15" hidden="false" customHeight="true" outlineLevel="0" collapsed="false">
      <c r="A216" s="8" t="s">
        <v>43</v>
      </c>
      <c r="B216" s="8" t="n">
        <v>4411031</v>
      </c>
      <c r="C216" s="8" t="s">
        <v>1374</v>
      </c>
      <c r="D216" s="19" t="n">
        <v>0</v>
      </c>
      <c r="E216" s="19" t="n">
        <v>0</v>
      </c>
      <c r="F216" s="19" t="n">
        <v>2.52631578947368</v>
      </c>
      <c r="G216" s="19" t="n">
        <v>269.321684210526</v>
      </c>
      <c r="H216" s="8" t="str">
        <f aca="false">IF(COUNTIF($J$1:$J$2,$A216)&gt;0,"Y","N")</f>
        <v>Y</v>
      </c>
    </row>
    <row r="217" customFormat="false" ht="15" hidden="false" customHeight="true" outlineLevel="0" collapsed="false">
      <c r="A217" s="8" t="s">
        <v>43</v>
      </c>
      <c r="B217" s="8" t="n">
        <v>4413000</v>
      </c>
      <c r="C217" s="8" t="s">
        <v>1375</v>
      </c>
      <c r="D217" s="19" t="n">
        <v>6</v>
      </c>
      <c r="E217" s="19" t="n">
        <v>353.717</v>
      </c>
      <c r="F217" s="19" t="n">
        <v>0</v>
      </c>
      <c r="G217" s="19" t="n">
        <v>0</v>
      </c>
      <c r="H217" s="8" t="str">
        <f aca="false">IF(COUNTIF($J$1:$J$2,$A217)&gt;0,"Y","N")</f>
        <v>Y</v>
      </c>
    </row>
    <row r="218" customFormat="false" ht="15" hidden="false" customHeight="true" outlineLevel="0" collapsed="false">
      <c r="A218" s="8" t="s">
        <v>43</v>
      </c>
      <c r="B218" s="8" t="n">
        <v>4413002</v>
      </c>
      <c r="C218" s="8" t="s">
        <v>1376</v>
      </c>
      <c r="D218" s="19" t="n">
        <v>14</v>
      </c>
      <c r="E218" s="19" t="n">
        <v>834.47</v>
      </c>
      <c r="F218" s="19" t="n">
        <v>0</v>
      </c>
      <c r="G218" s="19" t="n">
        <v>0</v>
      </c>
      <c r="H218" s="8" t="str">
        <f aca="false">IF(COUNTIF($J$1:$J$2,$A218)&gt;0,"Y","N")</f>
        <v>Y</v>
      </c>
    </row>
    <row r="219" customFormat="false" ht="15" hidden="false" customHeight="true" outlineLevel="0" collapsed="false">
      <c r="A219" s="8" t="s">
        <v>43</v>
      </c>
      <c r="B219" s="8" t="n">
        <v>4413003</v>
      </c>
      <c r="C219" s="8" t="s">
        <v>1377</v>
      </c>
      <c r="D219" s="19" t="n">
        <v>6</v>
      </c>
      <c r="E219" s="19" t="n">
        <v>339.521</v>
      </c>
      <c r="F219" s="19" t="n">
        <v>0</v>
      </c>
      <c r="G219" s="19" t="n">
        <v>0</v>
      </c>
      <c r="H219" s="8" t="str">
        <f aca="false">IF(COUNTIF($J$1:$J$2,$A219)&gt;0,"Y","N")</f>
        <v>Y</v>
      </c>
    </row>
    <row r="220" customFormat="false" ht="15" hidden="false" customHeight="true" outlineLevel="0" collapsed="false">
      <c r="A220" s="8" t="s">
        <v>43</v>
      </c>
      <c r="B220" s="8" t="n">
        <v>4413004</v>
      </c>
      <c r="C220" s="8" t="s">
        <v>1378</v>
      </c>
      <c r="D220" s="19" t="n">
        <v>11</v>
      </c>
      <c r="E220" s="19" t="n">
        <v>647.465</v>
      </c>
      <c r="F220" s="19" t="n">
        <v>0</v>
      </c>
      <c r="G220" s="19" t="n">
        <v>0</v>
      </c>
      <c r="H220" s="8" t="str">
        <f aca="false">IF(COUNTIF($J$1:$J$2,$A220)&gt;0,"Y","N")</f>
        <v>Y</v>
      </c>
    </row>
    <row r="221" customFormat="false" ht="15" hidden="false" customHeight="true" outlineLevel="0" collapsed="false">
      <c r="A221" s="8" t="s">
        <v>43</v>
      </c>
      <c r="B221" s="8" t="n">
        <v>4413005</v>
      </c>
      <c r="C221" s="8" t="s">
        <v>1379</v>
      </c>
      <c r="D221" s="19" t="n">
        <v>2</v>
      </c>
      <c r="E221" s="19" t="n">
        <v>118.664</v>
      </c>
      <c r="F221" s="19" t="n">
        <v>0</v>
      </c>
      <c r="G221" s="19" t="n">
        <v>0</v>
      </c>
      <c r="H221" s="8" t="str">
        <f aca="false">IF(COUNTIF($J$1:$J$2,$A221)&gt;0,"Y","N")</f>
        <v>Y</v>
      </c>
    </row>
    <row r="222" customFormat="false" ht="15" hidden="false" customHeight="true" outlineLevel="0" collapsed="false">
      <c r="A222" s="8" t="s">
        <v>43</v>
      </c>
      <c r="B222" s="8" t="n">
        <v>4413018</v>
      </c>
      <c r="C222" s="8" t="s">
        <v>1380</v>
      </c>
      <c r="D222" s="19" t="n">
        <v>1</v>
      </c>
      <c r="E222" s="19" t="n">
        <v>107.835</v>
      </c>
      <c r="F222" s="19" t="n">
        <v>3.78947368421053</v>
      </c>
      <c r="G222" s="19" t="n">
        <v>408.752842105263</v>
      </c>
      <c r="H222" s="8" t="str">
        <f aca="false">IF(COUNTIF($J$1:$J$2,$A222)&gt;0,"Y","N")</f>
        <v>Y</v>
      </c>
    </row>
    <row r="223" customFormat="false" ht="15" hidden="false" customHeight="true" outlineLevel="0" collapsed="false">
      <c r="A223" s="8" t="s">
        <v>43</v>
      </c>
      <c r="B223" s="8" t="n">
        <v>4413019</v>
      </c>
      <c r="C223" s="8" t="s">
        <v>1381</v>
      </c>
      <c r="D223" s="19" t="n">
        <v>0</v>
      </c>
      <c r="E223" s="19" t="n">
        <v>0</v>
      </c>
      <c r="F223" s="19" t="n">
        <v>-1.26315789473684</v>
      </c>
      <c r="G223" s="19" t="n">
        <v>-81.7275789473684</v>
      </c>
      <c r="H223" s="8" t="str">
        <f aca="false">IF(COUNTIF($J$1:$J$2,$A223)&gt;0,"Y","N")</f>
        <v>Y</v>
      </c>
    </row>
    <row r="224" customFormat="false" ht="15" hidden="false" customHeight="true" outlineLevel="0" collapsed="false">
      <c r="A224" s="8" t="s">
        <v>43</v>
      </c>
      <c r="B224" s="8" t="n">
        <v>4413020</v>
      </c>
      <c r="C224" s="8" t="s">
        <v>1382</v>
      </c>
      <c r="D224" s="19" t="n">
        <v>6</v>
      </c>
      <c r="E224" s="19" t="n">
        <v>642.915</v>
      </c>
      <c r="F224" s="19" t="n">
        <v>0</v>
      </c>
      <c r="G224" s="19" t="n">
        <v>27.2425263157895</v>
      </c>
      <c r="H224" s="8" t="str">
        <f aca="false">IF(COUNTIF($J$1:$J$2,$A224)&gt;0,"Y","N")</f>
        <v>Y</v>
      </c>
    </row>
    <row r="225" customFormat="false" ht="15" hidden="false" customHeight="true" outlineLevel="0" collapsed="false">
      <c r="A225" s="8" t="s">
        <v>43</v>
      </c>
      <c r="B225" s="8" t="n">
        <v>4413021</v>
      </c>
      <c r="C225" s="8" t="s">
        <v>1383</v>
      </c>
      <c r="D225" s="19" t="n">
        <v>10</v>
      </c>
      <c r="E225" s="19" t="n">
        <v>1009.19</v>
      </c>
      <c r="F225" s="19" t="n">
        <v>-1.26315789473684</v>
      </c>
      <c r="G225" s="19" t="n">
        <v>-108.970105263158</v>
      </c>
      <c r="H225" s="8" t="str">
        <f aca="false">IF(COUNTIF($J$1:$J$2,$A225)&gt;0,"Y","N")</f>
        <v>Y</v>
      </c>
    </row>
    <row r="226" customFormat="false" ht="15" hidden="false" customHeight="true" outlineLevel="0" collapsed="false">
      <c r="A226" s="8" t="s">
        <v>43</v>
      </c>
      <c r="B226" s="8" t="n">
        <v>4413022</v>
      </c>
      <c r="C226" s="8" t="s">
        <v>1384</v>
      </c>
      <c r="D226" s="19" t="n">
        <v>3</v>
      </c>
      <c r="E226" s="19" t="n">
        <v>297.57</v>
      </c>
      <c r="F226" s="19" t="n">
        <v>2.52631578947368</v>
      </c>
      <c r="G226" s="19" t="n">
        <v>272.540210526316</v>
      </c>
      <c r="H226" s="8" t="str">
        <f aca="false">IF(COUNTIF($J$1:$J$2,$A226)&gt;0,"Y","N")</f>
        <v>Y</v>
      </c>
    </row>
    <row r="227" customFormat="false" ht="15" hidden="false" customHeight="true" outlineLevel="0" collapsed="false">
      <c r="A227" s="8" t="s">
        <v>43</v>
      </c>
      <c r="B227" s="8" t="n">
        <v>4413033</v>
      </c>
      <c r="C227" s="8" t="s">
        <v>1385</v>
      </c>
      <c r="D227" s="19" t="n">
        <v>766</v>
      </c>
      <c r="E227" s="19" t="n">
        <v>11846.422</v>
      </c>
      <c r="F227" s="19" t="n">
        <v>576</v>
      </c>
      <c r="G227" s="19" t="n">
        <v>9251.31915789474</v>
      </c>
      <c r="H227" s="8" t="str">
        <f aca="false">IF(COUNTIF($J$1:$J$2,$A227)&gt;0,"Y","N")</f>
        <v>Y</v>
      </c>
    </row>
    <row r="228" customFormat="false" ht="15" hidden="false" customHeight="true" outlineLevel="0" collapsed="false">
      <c r="A228" s="8" t="s">
        <v>43</v>
      </c>
      <c r="B228" s="8" t="n">
        <v>4413034</v>
      </c>
      <c r="C228" s="8" t="s">
        <v>67</v>
      </c>
      <c r="D228" s="19" t="n">
        <v>122</v>
      </c>
      <c r="E228" s="19" t="n">
        <v>2338.64</v>
      </c>
      <c r="F228" s="19" t="n">
        <v>78.3157894736842</v>
      </c>
      <c r="G228" s="19" t="n">
        <v>1470.49010526316</v>
      </c>
      <c r="H228" s="8" t="str">
        <f aca="false">IF(COUNTIF($J$1:$J$2,$A228)&gt;0,"Y","N")</f>
        <v>Y</v>
      </c>
    </row>
    <row r="229" customFormat="false" ht="15" hidden="false" customHeight="true" outlineLevel="0" collapsed="false">
      <c r="A229" s="8" t="s">
        <v>43</v>
      </c>
      <c r="B229" s="8" t="n">
        <v>4413041</v>
      </c>
      <c r="C229" s="8" t="s">
        <v>1386</v>
      </c>
      <c r="D229" s="19" t="n">
        <v>207</v>
      </c>
      <c r="E229" s="19" t="n">
        <v>8357.579</v>
      </c>
      <c r="F229" s="19" t="n">
        <v>132.631578947368</v>
      </c>
      <c r="G229" s="19" t="n">
        <v>5486.18273684211</v>
      </c>
      <c r="H229" s="8" t="str">
        <f aca="false">IF(COUNTIF($J$1:$J$2,$A229)&gt;0,"Y","N")</f>
        <v>Y</v>
      </c>
    </row>
    <row r="230" customFormat="false" ht="15" hidden="false" customHeight="true" outlineLevel="0" collapsed="false">
      <c r="A230" s="8" t="s">
        <v>43</v>
      </c>
      <c r="B230" s="8" t="n">
        <v>4413042</v>
      </c>
      <c r="C230" s="8" t="s">
        <v>1387</v>
      </c>
      <c r="D230" s="19" t="n">
        <v>79</v>
      </c>
      <c r="E230" s="19" t="n">
        <v>3145.142</v>
      </c>
      <c r="F230" s="19" t="n">
        <v>64.421052631579</v>
      </c>
      <c r="G230" s="19" t="n">
        <v>2708.74863157895</v>
      </c>
      <c r="H230" s="8" t="str">
        <f aca="false">IF(COUNTIF($J$1:$J$2,$A230)&gt;0,"Y","N")</f>
        <v>Y</v>
      </c>
    </row>
    <row r="231" customFormat="false" ht="15" hidden="false" customHeight="true" outlineLevel="0" collapsed="false">
      <c r="A231" s="8" t="s">
        <v>43</v>
      </c>
      <c r="B231" s="8" t="n">
        <v>4413043</v>
      </c>
      <c r="C231" s="8" t="s">
        <v>1388</v>
      </c>
      <c r="D231" s="19" t="n">
        <v>184</v>
      </c>
      <c r="E231" s="19" t="n">
        <v>7545.449</v>
      </c>
      <c r="F231" s="19" t="n">
        <v>150.315789473684</v>
      </c>
      <c r="G231" s="19" t="n">
        <v>6199.39957894737</v>
      </c>
      <c r="H231" s="8" t="str">
        <f aca="false">IF(COUNTIF($J$1:$J$2,$A231)&gt;0,"Y","N")</f>
        <v>Y</v>
      </c>
    </row>
    <row r="232" customFormat="false" ht="15" hidden="false" customHeight="true" outlineLevel="0" collapsed="false">
      <c r="A232" s="8" t="s">
        <v>43</v>
      </c>
      <c r="B232" s="8" t="n">
        <v>4413044</v>
      </c>
      <c r="C232" s="8" t="s">
        <v>1389</v>
      </c>
      <c r="D232" s="19" t="n">
        <v>114</v>
      </c>
      <c r="E232" s="19" t="n">
        <v>4637.77</v>
      </c>
      <c r="F232" s="19" t="n">
        <v>94.7368421052632</v>
      </c>
      <c r="G232" s="19" t="n">
        <v>3954.60757894737</v>
      </c>
      <c r="H232" s="8" t="str">
        <f aca="false">IF(COUNTIF($J$1:$J$2,$A232)&gt;0,"Y","N")</f>
        <v>Y</v>
      </c>
    </row>
    <row r="233" customFormat="false" ht="15" hidden="false" customHeight="true" outlineLevel="0" collapsed="false">
      <c r="A233" s="8" t="s">
        <v>43</v>
      </c>
      <c r="B233" s="8" t="n">
        <v>4413045</v>
      </c>
      <c r="C233" s="8" t="s">
        <v>1390</v>
      </c>
      <c r="D233" s="19" t="n">
        <v>10</v>
      </c>
      <c r="E233" s="19" t="n">
        <v>399.672</v>
      </c>
      <c r="F233" s="19" t="n">
        <v>0</v>
      </c>
      <c r="G233" s="19" t="n">
        <v>0</v>
      </c>
      <c r="H233" s="8" t="str">
        <f aca="false">IF(COUNTIF($J$1:$J$2,$A233)&gt;0,"Y","N")</f>
        <v>Y</v>
      </c>
    </row>
    <row r="234" customFormat="false" ht="15" hidden="false" customHeight="true" outlineLevel="0" collapsed="false">
      <c r="A234" s="8" t="s">
        <v>43</v>
      </c>
      <c r="B234" s="8" t="n">
        <v>4413046</v>
      </c>
      <c r="C234" s="8" t="s">
        <v>1391</v>
      </c>
      <c r="D234" s="19" t="n">
        <v>24</v>
      </c>
      <c r="E234" s="19" t="n">
        <v>993.72</v>
      </c>
      <c r="F234" s="19" t="n">
        <v>21.4736842105263</v>
      </c>
      <c r="G234" s="19" t="n">
        <v>903.371368421053</v>
      </c>
      <c r="H234" s="8" t="str">
        <f aca="false">IF(COUNTIF($J$1:$J$2,$A234)&gt;0,"Y","N")</f>
        <v>Y</v>
      </c>
    </row>
    <row r="235" customFormat="false" ht="15" hidden="false" customHeight="true" outlineLevel="0" collapsed="false">
      <c r="A235" s="8" t="s">
        <v>43</v>
      </c>
      <c r="B235" s="8" t="n">
        <v>4413047</v>
      </c>
      <c r="C235" s="8" t="s">
        <v>1392</v>
      </c>
      <c r="D235" s="19" t="n">
        <v>113</v>
      </c>
      <c r="E235" s="19" t="n">
        <v>3067.957</v>
      </c>
      <c r="F235" s="19" t="n">
        <v>63.1578947368421</v>
      </c>
      <c r="G235" s="19" t="n">
        <v>1741.68252631579</v>
      </c>
      <c r="H235" s="8" t="str">
        <f aca="false">IF(COUNTIF($J$1:$J$2,$A235)&gt;0,"Y","N")</f>
        <v>Y</v>
      </c>
    </row>
    <row r="236" customFormat="false" ht="15" hidden="false" customHeight="true" outlineLevel="0" collapsed="false">
      <c r="A236" s="8" t="s">
        <v>43</v>
      </c>
      <c r="B236" s="8" t="n">
        <v>4413048</v>
      </c>
      <c r="C236" s="8" t="s">
        <v>1393</v>
      </c>
      <c r="D236" s="19" t="n">
        <v>212</v>
      </c>
      <c r="E236" s="19" t="n">
        <v>5703.812</v>
      </c>
      <c r="F236" s="19" t="n">
        <v>169.263157894737</v>
      </c>
      <c r="G236" s="19" t="n">
        <v>4555.824</v>
      </c>
      <c r="H236" s="8" t="str">
        <f aca="false">IF(COUNTIF($J$1:$J$2,$A236)&gt;0,"Y","N")</f>
        <v>Y</v>
      </c>
    </row>
    <row r="237" customFormat="false" ht="15" hidden="false" customHeight="true" outlineLevel="0" collapsed="false">
      <c r="A237" s="8" t="s">
        <v>43</v>
      </c>
      <c r="B237" s="8" t="n">
        <v>4413049</v>
      </c>
      <c r="C237" s="8" t="s">
        <v>1394</v>
      </c>
      <c r="D237" s="19" t="n">
        <v>231</v>
      </c>
      <c r="E237" s="19" t="n">
        <v>6191.008</v>
      </c>
      <c r="F237" s="19" t="n">
        <v>169.263157894737</v>
      </c>
      <c r="G237" s="19" t="n">
        <v>4550.8812631579</v>
      </c>
      <c r="H237" s="8" t="str">
        <f aca="false">IF(COUNTIF($J$1:$J$2,$A237)&gt;0,"Y","N")</f>
        <v>Y</v>
      </c>
    </row>
    <row r="238" customFormat="false" ht="15" hidden="false" customHeight="true" outlineLevel="0" collapsed="false">
      <c r="A238" s="8" t="s">
        <v>43</v>
      </c>
      <c r="B238" s="8" t="n">
        <v>4413050</v>
      </c>
      <c r="C238" s="8" t="s">
        <v>1395</v>
      </c>
      <c r="D238" s="19" t="n">
        <v>165</v>
      </c>
      <c r="E238" s="19" t="n">
        <v>4519.521</v>
      </c>
      <c r="F238" s="19" t="n">
        <v>120</v>
      </c>
      <c r="G238" s="19" t="n">
        <v>3294.78947368421</v>
      </c>
      <c r="H238" s="8" t="str">
        <f aca="false">IF(COUNTIF($J$1:$J$2,$A238)&gt;0,"Y","N")</f>
        <v>Y</v>
      </c>
    </row>
    <row r="239" customFormat="false" ht="15" hidden="false" customHeight="true" outlineLevel="0" collapsed="false">
      <c r="A239" s="8" t="s">
        <v>43</v>
      </c>
      <c r="B239" s="8" t="n">
        <v>4413051</v>
      </c>
      <c r="C239" s="8" t="s">
        <v>1396</v>
      </c>
      <c r="D239" s="19" t="n">
        <v>84</v>
      </c>
      <c r="E239" s="19" t="n">
        <v>2255.691</v>
      </c>
      <c r="F239" s="19" t="n">
        <v>46.7368421052632</v>
      </c>
      <c r="G239" s="19" t="n">
        <v>1250.85726315789</v>
      </c>
      <c r="H239" s="8" t="str">
        <f aca="false">IF(COUNTIF($J$1:$J$2,$A239)&gt;0,"Y","N")</f>
        <v>Y</v>
      </c>
    </row>
    <row r="240" customFormat="false" ht="15" hidden="false" customHeight="true" outlineLevel="0" collapsed="false">
      <c r="A240" s="8" t="s">
        <v>43</v>
      </c>
      <c r="B240" s="8" t="n">
        <v>4413052</v>
      </c>
      <c r="C240" s="8" t="s">
        <v>1397</v>
      </c>
      <c r="D240" s="19" t="n">
        <v>234</v>
      </c>
      <c r="E240" s="19" t="n">
        <v>6347.556</v>
      </c>
      <c r="F240" s="19" t="n">
        <v>168</v>
      </c>
      <c r="G240" s="19" t="n">
        <v>4637.85094736842</v>
      </c>
      <c r="H240" s="8" t="str">
        <f aca="false">IF(COUNTIF($J$1:$J$2,$A240)&gt;0,"Y","N")</f>
        <v>Y</v>
      </c>
    </row>
    <row r="241" customFormat="false" ht="15" hidden="false" customHeight="true" outlineLevel="0" collapsed="false">
      <c r="A241" s="8" t="s">
        <v>43</v>
      </c>
      <c r="B241" s="8" t="n">
        <v>4413053</v>
      </c>
      <c r="C241" s="8" t="s">
        <v>1398</v>
      </c>
      <c r="D241" s="19" t="n">
        <v>414</v>
      </c>
      <c r="E241" s="19" t="n">
        <v>11310.866</v>
      </c>
      <c r="F241" s="19" t="n">
        <v>377.684210526316</v>
      </c>
      <c r="G241" s="19" t="n">
        <v>10324.4867368421</v>
      </c>
      <c r="H241" s="8" t="str">
        <f aca="false">IF(COUNTIF($J$1:$J$2,$A241)&gt;0,"Y","N")</f>
        <v>Y</v>
      </c>
    </row>
    <row r="242" customFormat="false" ht="15" hidden="false" customHeight="true" outlineLevel="0" collapsed="false">
      <c r="A242" s="8" t="s">
        <v>43</v>
      </c>
      <c r="B242" s="8" t="n">
        <v>4413054</v>
      </c>
      <c r="C242" s="8" t="s">
        <v>1399</v>
      </c>
      <c r="D242" s="19" t="n">
        <v>387</v>
      </c>
      <c r="E242" s="19" t="n">
        <v>10542.47</v>
      </c>
      <c r="F242" s="19" t="n">
        <v>376.421052631579</v>
      </c>
      <c r="G242" s="19" t="n">
        <v>10263.2955789474</v>
      </c>
      <c r="H242" s="8" t="str">
        <f aca="false">IF(COUNTIF($J$1:$J$2,$A242)&gt;0,"Y","N")</f>
        <v>Y</v>
      </c>
    </row>
    <row r="243" customFormat="false" ht="15" hidden="false" customHeight="true" outlineLevel="0" collapsed="false">
      <c r="A243" s="8" t="s">
        <v>43</v>
      </c>
      <c r="B243" s="8" t="n">
        <v>4413055</v>
      </c>
      <c r="C243" s="8" t="s">
        <v>1400</v>
      </c>
      <c r="D243" s="19" t="n">
        <v>245</v>
      </c>
      <c r="E243" s="19" t="n">
        <v>6672.526</v>
      </c>
      <c r="F243" s="19" t="n">
        <v>205.894736842105</v>
      </c>
      <c r="G243" s="19" t="n">
        <v>5596.71284210526</v>
      </c>
      <c r="H243" s="8" t="str">
        <f aca="false">IF(COUNTIF($J$1:$J$2,$A243)&gt;0,"Y","N")</f>
        <v>Y</v>
      </c>
    </row>
    <row r="244" customFormat="false" ht="15" hidden="false" customHeight="true" outlineLevel="0" collapsed="false">
      <c r="A244" s="8" t="s">
        <v>43</v>
      </c>
      <c r="B244" s="8" t="n">
        <v>4413056</v>
      </c>
      <c r="C244" s="8" t="s">
        <v>1401</v>
      </c>
      <c r="D244" s="19" t="n">
        <v>82</v>
      </c>
      <c r="E244" s="19" t="n">
        <v>1685.391</v>
      </c>
      <c r="F244" s="19" t="n">
        <v>55.5789473684211</v>
      </c>
      <c r="G244" s="19" t="n">
        <v>1177.94273684211</v>
      </c>
      <c r="H244" s="8" t="str">
        <f aca="false">IF(COUNTIF($J$1:$J$2,$A244)&gt;0,"Y","N")</f>
        <v>Y</v>
      </c>
    </row>
    <row r="245" customFormat="false" ht="15" hidden="false" customHeight="true" outlineLevel="0" collapsed="false">
      <c r="A245" s="8" t="s">
        <v>43</v>
      </c>
      <c r="B245" s="8" t="n">
        <v>4413058</v>
      </c>
      <c r="C245" s="8" t="s">
        <v>1402</v>
      </c>
      <c r="D245" s="19" t="n">
        <v>113</v>
      </c>
      <c r="E245" s="19" t="n">
        <v>3136.497</v>
      </c>
      <c r="F245" s="19" t="n">
        <v>109.894736842105</v>
      </c>
      <c r="G245" s="19" t="n">
        <v>3033.99663157895</v>
      </c>
      <c r="H245" s="8" t="str">
        <f aca="false">IF(COUNTIF($J$1:$J$2,$A245)&gt;0,"Y","N")</f>
        <v>Y</v>
      </c>
    </row>
    <row r="246" customFormat="false" ht="15" hidden="false" customHeight="true" outlineLevel="0" collapsed="false">
      <c r="A246" s="8" t="s">
        <v>43</v>
      </c>
      <c r="B246" s="8" t="n">
        <v>4413059</v>
      </c>
      <c r="C246" s="8" t="s">
        <v>1403</v>
      </c>
      <c r="D246" s="19" t="n">
        <v>1065</v>
      </c>
      <c r="E246" s="19" t="n">
        <v>13276.594</v>
      </c>
      <c r="F246" s="19" t="n">
        <v>852.631578947368</v>
      </c>
      <c r="G246" s="19" t="n">
        <v>10661.5604210526</v>
      </c>
      <c r="H246" s="8" t="str">
        <f aca="false">IF(COUNTIF($J$1:$J$2,$A246)&gt;0,"Y","N")</f>
        <v>Y</v>
      </c>
    </row>
    <row r="247" customFormat="false" ht="15" hidden="false" customHeight="true" outlineLevel="0" collapsed="false">
      <c r="A247" s="8" t="s">
        <v>43</v>
      </c>
      <c r="B247" s="8" t="n">
        <v>4413060</v>
      </c>
      <c r="C247" s="8" t="s">
        <v>1404</v>
      </c>
      <c r="D247" s="19" t="n">
        <v>533</v>
      </c>
      <c r="E247" s="19" t="n">
        <v>6651.524</v>
      </c>
      <c r="F247" s="19" t="n">
        <v>564.631578947368</v>
      </c>
      <c r="G247" s="19" t="n">
        <v>7047.79073684211</v>
      </c>
      <c r="H247" s="8" t="str">
        <f aca="false">IF(COUNTIF($J$1:$J$2,$A247)&gt;0,"Y","N")</f>
        <v>Y</v>
      </c>
    </row>
    <row r="248" customFormat="false" ht="15" hidden="false" customHeight="true" outlineLevel="0" collapsed="false">
      <c r="A248" s="8" t="s">
        <v>43</v>
      </c>
      <c r="B248" s="8" t="n">
        <v>4413061</v>
      </c>
      <c r="C248" s="8" t="s">
        <v>1405</v>
      </c>
      <c r="D248" s="19" t="n">
        <v>181</v>
      </c>
      <c r="E248" s="19" t="n">
        <v>3301.916</v>
      </c>
      <c r="F248" s="19" t="n">
        <v>59.3684210526316</v>
      </c>
      <c r="G248" s="19" t="n">
        <v>1076.39115789474</v>
      </c>
      <c r="H248" s="8" t="str">
        <f aca="false">IF(COUNTIF($J$1:$J$2,$A248)&gt;0,"Y","N")</f>
        <v>Y</v>
      </c>
    </row>
    <row r="249" customFormat="false" ht="15" hidden="false" customHeight="true" outlineLevel="0" collapsed="false">
      <c r="A249" s="8" t="s">
        <v>43</v>
      </c>
      <c r="B249" s="8" t="n">
        <v>4413063</v>
      </c>
      <c r="C249" s="8" t="s">
        <v>1406</v>
      </c>
      <c r="D249" s="19" t="n">
        <v>260</v>
      </c>
      <c r="E249" s="19" t="n">
        <v>3710.889</v>
      </c>
      <c r="F249" s="19" t="n">
        <v>241.263157894737</v>
      </c>
      <c r="G249" s="19" t="n">
        <v>3370.96042105263</v>
      </c>
      <c r="H249" s="8" t="str">
        <f aca="false">IF(COUNTIF($J$1:$J$2,$A249)&gt;0,"Y","N")</f>
        <v>Y</v>
      </c>
    </row>
    <row r="250" customFormat="false" ht="15" hidden="false" customHeight="true" outlineLevel="0" collapsed="false">
      <c r="A250" s="8" t="s">
        <v>43</v>
      </c>
      <c r="B250" s="8" t="n">
        <v>4413066</v>
      </c>
      <c r="C250" s="8" t="s">
        <v>1407</v>
      </c>
      <c r="D250" s="19" t="n">
        <v>156</v>
      </c>
      <c r="E250" s="19" t="n">
        <v>2700.907</v>
      </c>
      <c r="F250" s="19" t="n">
        <v>88.421052631579</v>
      </c>
      <c r="G250" s="19" t="n">
        <v>1603.64084210526</v>
      </c>
      <c r="H250" s="8" t="str">
        <f aca="false">IF(COUNTIF($J$1:$J$2,$A250)&gt;0,"Y","N")</f>
        <v>Y</v>
      </c>
    </row>
    <row r="251" customFormat="false" ht="15" hidden="false" customHeight="true" outlineLevel="0" collapsed="false">
      <c r="A251" s="8" t="s">
        <v>43</v>
      </c>
      <c r="B251" s="8" t="n">
        <v>4413069</v>
      </c>
      <c r="C251" s="8" t="s">
        <v>1408</v>
      </c>
      <c r="D251" s="19" t="n">
        <v>-2</v>
      </c>
      <c r="E251" s="19" t="n">
        <v>-138.411</v>
      </c>
      <c r="F251" s="19" t="n">
        <v>0</v>
      </c>
      <c r="G251" s="19" t="n">
        <v>0</v>
      </c>
      <c r="H251" s="8" t="str">
        <f aca="false">IF(COUNTIF($J$1:$J$2,$A251)&gt;0,"Y","N")</f>
        <v>Y</v>
      </c>
    </row>
    <row r="252" customFormat="false" ht="15" hidden="false" customHeight="true" outlineLevel="0" collapsed="false">
      <c r="A252" s="8" t="s">
        <v>43</v>
      </c>
      <c r="B252" s="8" t="n">
        <v>4413070</v>
      </c>
      <c r="C252" s="8" t="s">
        <v>1409</v>
      </c>
      <c r="D252" s="19" t="n">
        <v>-1</v>
      </c>
      <c r="E252" s="19" t="n">
        <v>-67.34</v>
      </c>
      <c r="F252" s="19" t="n">
        <v>0</v>
      </c>
      <c r="G252" s="19" t="n">
        <v>0</v>
      </c>
      <c r="H252" s="8" t="str">
        <f aca="false">IF(COUNTIF($J$1:$J$2,$A252)&gt;0,"Y","N")</f>
        <v>Y</v>
      </c>
    </row>
    <row r="253" customFormat="false" ht="15" hidden="false" customHeight="true" outlineLevel="0" collapsed="false">
      <c r="A253" s="8" t="s">
        <v>43</v>
      </c>
      <c r="B253" s="8" t="n">
        <v>4413071</v>
      </c>
      <c r="C253" s="8" t="s">
        <v>1410</v>
      </c>
      <c r="D253" s="19" t="n">
        <v>1</v>
      </c>
      <c r="E253" s="19" t="n">
        <v>107.471</v>
      </c>
      <c r="F253" s="19" t="n">
        <v>0</v>
      </c>
      <c r="G253" s="19" t="n">
        <v>0</v>
      </c>
      <c r="H253" s="8" t="str">
        <f aca="false">IF(COUNTIF($J$1:$J$2,$A253)&gt;0,"Y","N")</f>
        <v>Y</v>
      </c>
    </row>
    <row r="254" customFormat="false" ht="15" hidden="false" customHeight="true" outlineLevel="0" collapsed="false">
      <c r="A254" s="8" t="s">
        <v>43</v>
      </c>
      <c r="B254" s="8" t="n">
        <v>4413072</v>
      </c>
      <c r="C254" s="8" t="s">
        <v>1411</v>
      </c>
      <c r="D254" s="19" t="n">
        <v>16</v>
      </c>
      <c r="E254" s="19" t="n">
        <v>1785.571</v>
      </c>
      <c r="F254" s="19" t="n">
        <v>8.84210526315789</v>
      </c>
      <c r="G254" s="19" t="n">
        <v>959.695578947368</v>
      </c>
      <c r="H254" s="8" t="str">
        <f aca="false">IF(COUNTIF($J$1:$J$2,$A254)&gt;0,"Y","N")</f>
        <v>Y</v>
      </c>
    </row>
    <row r="255" customFormat="false" ht="15" hidden="false" customHeight="true" outlineLevel="0" collapsed="false">
      <c r="A255" s="8" t="s">
        <v>43</v>
      </c>
      <c r="B255" s="8" t="n">
        <v>4413073</v>
      </c>
      <c r="C255" s="8" t="s">
        <v>1412</v>
      </c>
      <c r="D255" s="19" t="n">
        <v>4</v>
      </c>
      <c r="E255" s="19" t="n">
        <v>375.011</v>
      </c>
      <c r="F255" s="19" t="n">
        <v>8.84210526315789</v>
      </c>
      <c r="G255" s="19" t="n">
        <v>1012.94147368421</v>
      </c>
      <c r="H255" s="8" t="str">
        <f aca="false">IF(COUNTIF($J$1:$J$2,$A255)&gt;0,"Y","N")</f>
        <v>Y</v>
      </c>
    </row>
    <row r="256" customFormat="false" ht="15" hidden="false" customHeight="true" outlineLevel="0" collapsed="false">
      <c r="A256" s="8" t="s">
        <v>43</v>
      </c>
      <c r="B256" s="8" t="n">
        <v>4413074</v>
      </c>
      <c r="C256" s="8" t="s">
        <v>1413</v>
      </c>
      <c r="D256" s="19" t="n">
        <v>11</v>
      </c>
      <c r="E256" s="19" t="n">
        <v>1184.638</v>
      </c>
      <c r="F256" s="19" t="n">
        <v>8.84210526315789</v>
      </c>
      <c r="G256" s="19" t="n">
        <v>906.270315789474</v>
      </c>
      <c r="H256" s="8" t="str">
        <f aca="false">IF(COUNTIF($J$1:$J$2,$A256)&gt;0,"Y","N")</f>
        <v>Y</v>
      </c>
    </row>
    <row r="257" customFormat="false" ht="15" hidden="false" customHeight="true" outlineLevel="0" collapsed="false">
      <c r="A257" s="8" t="s">
        <v>43</v>
      </c>
      <c r="B257" s="8" t="n">
        <v>4413076</v>
      </c>
      <c r="C257" s="8" t="s">
        <v>1414</v>
      </c>
      <c r="D257" s="19" t="n">
        <v>9</v>
      </c>
      <c r="E257" s="19" t="n">
        <v>1129.081</v>
      </c>
      <c r="F257" s="19" t="n">
        <v>3.78947368421053</v>
      </c>
      <c r="G257" s="19" t="n">
        <v>458.180210526316</v>
      </c>
      <c r="H257" s="8" t="str">
        <f aca="false">IF(COUNTIF($J$1:$J$2,$A257)&gt;0,"Y","N")</f>
        <v>Y</v>
      </c>
    </row>
    <row r="258" customFormat="false" ht="15" hidden="false" customHeight="true" outlineLevel="0" collapsed="false">
      <c r="A258" s="8" t="s">
        <v>43</v>
      </c>
      <c r="B258" s="8" t="n">
        <v>4413077</v>
      </c>
      <c r="C258" s="8" t="s">
        <v>1415</v>
      </c>
      <c r="D258" s="19" t="n">
        <v>0</v>
      </c>
      <c r="E258" s="19" t="n">
        <v>0</v>
      </c>
      <c r="F258" s="19" t="n">
        <v>1.26315789473684</v>
      </c>
      <c r="G258" s="19" t="n">
        <v>156.213473684211</v>
      </c>
      <c r="H258" s="8" t="str">
        <f aca="false">IF(COUNTIF($J$1:$J$2,$A258)&gt;0,"Y","N")</f>
        <v>Y</v>
      </c>
    </row>
    <row r="259" customFormat="false" ht="15" hidden="false" customHeight="true" outlineLevel="0" collapsed="false">
      <c r="A259" s="8" t="s">
        <v>43</v>
      </c>
      <c r="B259" s="8" t="n">
        <v>4413079</v>
      </c>
      <c r="C259" s="8" t="s">
        <v>1416</v>
      </c>
      <c r="D259" s="19" t="n">
        <v>1</v>
      </c>
      <c r="E259" s="19" t="n">
        <v>123.669</v>
      </c>
      <c r="F259" s="19" t="n">
        <v>2.52631578947368</v>
      </c>
      <c r="G259" s="19" t="n">
        <v>301.966736842105</v>
      </c>
      <c r="H259" s="8" t="str">
        <f aca="false">IF(COUNTIF($J$1:$J$2,$A259)&gt;0,"Y","N")</f>
        <v>Y</v>
      </c>
    </row>
    <row r="260" customFormat="false" ht="15" hidden="false" customHeight="true" outlineLevel="0" collapsed="false">
      <c r="A260" s="8" t="s">
        <v>43</v>
      </c>
      <c r="B260" s="8" t="n">
        <v>4413087</v>
      </c>
      <c r="C260" s="8" t="s">
        <v>1417</v>
      </c>
      <c r="D260" s="19" t="n">
        <v>5</v>
      </c>
      <c r="E260" s="19" t="n">
        <v>818.545</v>
      </c>
      <c r="F260" s="19" t="n">
        <v>0</v>
      </c>
      <c r="G260" s="19" t="n">
        <v>0</v>
      </c>
      <c r="H260" s="8" t="str">
        <f aca="false">IF(COUNTIF($J$1:$J$2,$A260)&gt;0,"Y","N")</f>
        <v>Y</v>
      </c>
    </row>
    <row r="261" customFormat="false" ht="15" hidden="false" customHeight="true" outlineLevel="0" collapsed="false">
      <c r="A261" s="8" t="s">
        <v>43</v>
      </c>
      <c r="B261" s="8" t="n">
        <v>4413088</v>
      </c>
      <c r="C261" s="8" t="s">
        <v>1418</v>
      </c>
      <c r="D261" s="19" t="n">
        <v>2</v>
      </c>
      <c r="E261" s="19" t="n">
        <v>318.227</v>
      </c>
      <c r="F261" s="19" t="n">
        <v>0</v>
      </c>
      <c r="G261" s="19" t="n">
        <v>0</v>
      </c>
      <c r="H261" s="8" t="str">
        <f aca="false">IF(COUNTIF($J$1:$J$2,$A261)&gt;0,"Y","N")</f>
        <v>Y</v>
      </c>
    </row>
    <row r="262" customFormat="false" ht="15" hidden="false" customHeight="true" outlineLevel="0" collapsed="false">
      <c r="A262" s="8" t="s">
        <v>43</v>
      </c>
      <c r="B262" s="8" t="n">
        <v>4413089</v>
      </c>
      <c r="C262" s="8" t="s">
        <v>1419</v>
      </c>
      <c r="D262" s="19" t="n">
        <v>0</v>
      </c>
      <c r="E262" s="19" t="n">
        <v>0</v>
      </c>
      <c r="F262" s="19" t="n">
        <v>2.52631578947368</v>
      </c>
      <c r="G262" s="19" t="n">
        <v>402.200842105263</v>
      </c>
      <c r="H262" s="8" t="str">
        <f aca="false">IF(COUNTIF($J$1:$J$2,$A262)&gt;0,"Y","N")</f>
        <v>Y</v>
      </c>
    </row>
    <row r="263" customFormat="false" ht="15" hidden="false" customHeight="true" outlineLevel="0" collapsed="false">
      <c r="A263" s="8" t="s">
        <v>43</v>
      </c>
      <c r="B263" s="8" t="n">
        <v>4413090</v>
      </c>
      <c r="C263" s="8" t="s">
        <v>1420</v>
      </c>
      <c r="D263" s="19" t="n">
        <v>8</v>
      </c>
      <c r="E263" s="19" t="n">
        <v>1318.772</v>
      </c>
      <c r="F263" s="19" t="n">
        <v>0</v>
      </c>
      <c r="G263" s="19" t="n">
        <v>0</v>
      </c>
      <c r="H263" s="8" t="str">
        <f aca="false">IF(COUNTIF($J$1:$J$2,$A263)&gt;0,"Y","N")</f>
        <v>Y</v>
      </c>
    </row>
    <row r="264" customFormat="false" ht="15" hidden="false" customHeight="true" outlineLevel="0" collapsed="false">
      <c r="A264" s="8" t="s">
        <v>43</v>
      </c>
      <c r="B264" s="8" t="n">
        <v>4413091</v>
      </c>
      <c r="C264" s="8" t="s">
        <v>1421</v>
      </c>
      <c r="D264" s="19" t="n">
        <v>2</v>
      </c>
      <c r="E264" s="19" t="n">
        <v>341.159</v>
      </c>
      <c r="F264" s="19" t="n">
        <v>0</v>
      </c>
      <c r="G264" s="19" t="n">
        <v>0</v>
      </c>
      <c r="H264" s="8" t="str">
        <f aca="false">IF(COUNTIF($J$1:$J$2,$A264)&gt;0,"Y","N")</f>
        <v>Y</v>
      </c>
    </row>
    <row r="265" customFormat="false" ht="15" hidden="false" customHeight="true" outlineLevel="0" collapsed="false">
      <c r="A265" s="8" t="s">
        <v>43</v>
      </c>
      <c r="B265" s="8" t="n">
        <v>4413092</v>
      </c>
      <c r="C265" s="8" t="s">
        <v>1422</v>
      </c>
      <c r="D265" s="19" t="n">
        <v>336</v>
      </c>
      <c r="E265" s="19" t="n">
        <v>9169.445</v>
      </c>
      <c r="F265" s="19" t="n">
        <v>313.263157894737</v>
      </c>
      <c r="G265" s="19" t="n">
        <v>8554.12042105263</v>
      </c>
      <c r="H265" s="8" t="str">
        <f aca="false">IF(COUNTIF($J$1:$J$2,$A265)&gt;0,"Y","N")</f>
        <v>Y</v>
      </c>
    </row>
    <row r="266" customFormat="false" ht="15" hidden="false" customHeight="true" outlineLevel="0" collapsed="false">
      <c r="A266" s="8" t="s">
        <v>43</v>
      </c>
      <c r="B266" s="8" t="n">
        <v>4413093</v>
      </c>
      <c r="C266" s="8" t="s">
        <v>1423</v>
      </c>
      <c r="D266" s="19" t="n">
        <v>297</v>
      </c>
      <c r="E266" s="19" t="n">
        <v>8046.74</v>
      </c>
      <c r="F266" s="19" t="n">
        <v>240</v>
      </c>
      <c r="G266" s="19" t="n">
        <v>6532.25810526316</v>
      </c>
      <c r="H266" s="8" t="str">
        <f aca="false">IF(COUNTIF($J$1:$J$2,$A266)&gt;0,"Y","N")</f>
        <v>Y</v>
      </c>
    </row>
    <row r="267" customFormat="false" ht="15" hidden="false" customHeight="true" outlineLevel="0" collapsed="false">
      <c r="A267" s="8" t="s">
        <v>43</v>
      </c>
      <c r="B267" s="8" t="n">
        <v>4413094</v>
      </c>
      <c r="C267" s="8" t="s">
        <v>1424</v>
      </c>
      <c r="D267" s="19" t="n">
        <v>123</v>
      </c>
      <c r="E267" s="19" t="n">
        <v>3306.641</v>
      </c>
      <c r="F267" s="19" t="n">
        <v>92.2105263157895</v>
      </c>
      <c r="G267" s="19" t="n">
        <v>2515.10021052632</v>
      </c>
      <c r="H267" s="8" t="str">
        <f aca="false">IF(COUNTIF($J$1:$J$2,$A267)&gt;0,"Y","N")</f>
        <v>Y</v>
      </c>
    </row>
    <row r="268" customFormat="false" ht="15" hidden="false" customHeight="true" outlineLevel="0" collapsed="false">
      <c r="A268" s="8" t="s">
        <v>43</v>
      </c>
      <c r="B268" s="8" t="n">
        <v>4413095</v>
      </c>
      <c r="C268" s="8" t="s">
        <v>1425</v>
      </c>
      <c r="D268" s="19" t="n">
        <v>246</v>
      </c>
      <c r="E268" s="19" t="n">
        <v>6683.187</v>
      </c>
      <c r="F268" s="19" t="n">
        <v>221.052631578947</v>
      </c>
      <c r="G268" s="19" t="n">
        <v>6014.37978947368</v>
      </c>
      <c r="H268" s="8" t="str">
        <f aca="false">IF(COUNTIF($J$1:$J$2,$A268)&gt;0,"Y","N")</f>
        <v>Y</v>
      </c>
    </row>
    <row r="269" customFormat="false" ht="15" hidden="false" customHeight="true" outlineLevel="0" collapsed="false">
      <c r="A269" s="8" t="s">
        <v>43</v>
      </c>
      <c r="B269" s="8" t="n">
        <v>4413096</v>
      </c>
      <c r="C269" s="8" t="s">
        <v>1426</v>
      </c>
      <c r="D269" s="19" t="n">
        <v>124</v>
      </c>
      <c r="E269" s="19" t="n">
        <v>3398.584</v>
      </c>
      <c r="F269" s="19" t="n">
        <v>104.842105263158</v>
      </c>
      <c r="G269" s="19" t="n">
        <v>2854.71915789474</v>
      </c>
      <c r="H269" s="8" t="str">
        <f aca="false">IF(COUNTIF($J$1:$J$2,$A269)&gt;0,"Y","N")</f>
        <v>Y</v>
      </c>
    </row>
    <row r="270" customFormat="false" ht="15" hidden="false" customHeight="true" outlineLevel="0" collapsed="false">
      <c r="A270" s="8" t="s">
        <v>43</v>
      </c>
      <c r="B270" s="8" t="n">
        <v>4413097</v>
      </c>
      <c r="C270" s="8" t="s">
        <v>1427</v>
      </c>
      <c r="D270" s="19" t="n">
        <v>163</v>
      </c>
      <c r="E270" s="19" t="n">
        <v>4465.302</v>
      </c>
      <c r="F270" s="19" t="n">
        <v>135.157894736842</v>
      </c>
      <c r="G270" s="19" t="n">
        <v>3740.82442105263</v>
      </c>
      <c r="H270" s="8" t="str">
        <f aca="false">IF(COUNTIF($J$1:$J$2,$A270)&gt;0,"Y","N")</f>
        <v>Y</v>
      </c>
    </row>
    <row r="271" customFormat="false" ht="15" hidden="false" customHeight="true" outlineLevel="0" collapsed="false">
      <c r="A271" s="8" t="s">
        <v>43</v>
      </c>
      <c r="B271" s="8" t="n">
        <v>4413098</v>
      </c>
      <c r="C271" s="8" t="s">
        <v>1428</v>
      </c>
      <c r="D271" s="19" t="n">
        <v>480</v>
      </c>
      <c r="E271" s="19" t="n">
        <v>13168.957</v>
      </c>
      <c r="F271" s="19" t="n">
        <v>371.368421052632</v>
      </c>
      <c r="G271" s="19" t="n">
        <v>10227.6277894737</v>
      </c>
      <c r="H271" s="8" t="str">
        <f aca="false">IF(COUNTIF($J$1:$J$2,$A271)&gt;0,"Y","N")</f>
        <v>Y</v>
      </c>
    </row>
    <row r="272" customFormat="false" ht="15" hidden="false" customHeight="true" outlineLevel="0" collapsed="false">
      <c r="A272" s="8" t="s">
        <v>43</v>
      </c>
      <c r="B272" s="8" t="n">
        <v>4413099</v>
      </c>
      <c r="C272" s="8" t="s">
        <v>1429</v>
      </c>
      <c r="D272" s="19" t="n">
        <v>374</v>
      </c>
      <c r="E272" s="19" t="n">
        <v>10235.439</v>
      </c>
      <c r="F272" s="19" t="n">
        <v>314.526315789474</v>
      </c>
      <c r="G272" s="19" t="n">
        <v>8666.30905263158</v>
      </c>
      <c r="H272" s="8" t="str">
        <f aca="false">IF(COUNTIF($J$1:$J$2,$A272)&gt;0,"Y","N")</f>
        <v>Y</v>
      </c>
    </row>
    <row r="273" customFormat="false" ht="15" hidden="false" customHeight="true" outlineLevel="0" collapsed="false">
      <c r="A273" s="8" t="s">
        <v>43</v>
      </c>
      <c r="B273" s="8" t="n">
        <v>4413100</v>
      </c>
      <c r="C273" s="8" t="s">
        <v>1430</v>
      </c>
      <c r="D273" s="19" t="n">
        <v>332</v>
      </c>
      <c r="E273" s="19" t="n">
        <v>9044.258</v>
      </c>
      <c r="F273" s="19" t="n">
        <v>337.263157894737</v>
      </c>
      <c r="G273" s="19" t="n">
        <v>9317.08926315789</v>
      </c>
      <c r="H273" s="8" t="str">
        <f aca="false">IF(COUNTIF($J$1:$J$2,$A273)&gt;0,"Y","N")</f>
        <v>Y</v>
      </c>
    </row>
    <row r="274" customFormat="false" ht="15" hidden="false" customHeight="true" outlineLevel="0" collapsed="false">
      <c r="A274" s="8" t="s">
        <v>43</v>
      </c>
      <c r="B274" s="8" t="n">
        <v>4413101</v>
      </c>
      <c r="C274" s="8" t="s">
        <v>1431</v>
      </c>
      <c r="D274" s="19" t="n">
        <v>36</v>
      </c>
      <c r="E274" s="19" t="n">
        <v>1200.381</v>
      </c>
      <c r="F274" s="19" t="n">
        <v>36.6315789473684</v>
      </c>
      <c r="G274" s="19" t="n">
        <v>1206.77936842105</v>
      </c>
      <c r="H274" s="8" t="str">
        <f aca="false">IF(COUNTIF($J$1:$J$2,$A274)&gt;0,"Y","N")</f>
        <v>Y</v>
      </c>
    </row>
    <row r="275" customFormat="false" ht="15" hidden="false" customHeight="true" outlineLevel="0" collapsed="false">
      <c r="A275" s="8" t="s">
        <v>43</v>
      </c>
      <c r="B275" s="8" t="n">
        <v>4413102</v>
      </c>
      <c r="C275" s="8" t="s">
        <v>1432</v>
      </c>
      <c r="D275" s="19" t="n">
        <v>151</v>
      </c>
      <c r="E275" s="19" t="n">
        <v>4986.189</v>
      </c>
      <c r="F275" s="19" t="n">
        <v>116.210526315789</v>
      </c>
      <c r="G275" s="19" t="n">
        <v>3822.25136842105</v>
      </c>
      <c r="H275" s="8" t="str">
        <f aca="false">IF(COUNTIF($J$1:$J$2,$A275)&gt;0,"Y","N")</f>
        <v>Y</v>
      </c>
    </row>
    <row r="276" customFormat="false" ht="15" hidden="false" customHeight="true" outlineLevel="0" collapsed="false">
      <c r="A276" s="8" t="s">
        <v>43</v>
      </c>
      <c r="B276" s="8" t="n">
        <v>4413103</v>
      </c>
      <c r="C276" s="8" t="s">
        <v>1433</v>
      </c>
      <c r="D276" s="19" t="n">
        <v>143</v>
      </c>
      <c r="E276" s="19" t="n">
        <v>4653.172</v>
      </c>
      <c r="F276" s="19" t="n">
        <v>97.2631578947368</v>
      </c>
      <c r="G276" s="19" t="n">
        <v>3196.79368421053</v>
      </c>
      <c r="H276" s="8" t="str">
        <f aca="false">IF(COUNTIF($J$1:$J$2,$A276)&gt;0,"Y","N")</f>
        <v>Y</v>
      </c>
    </row>
    <row r="277" customFormat="false" ht="15" hidden="false" customHeight="true" outlineLevel="0" collapsed="false">
      <c r="A277" s="8" t="s">
        <v>43</v>
      </c>
      <c r="B277" s="8" t="n">
        <v>4413104</v>
      </c>
      <c r="C277" s="8" t="s">
        <v>1434</v>
      </c>
      <c r="D277" s="19" t="n">
        <v>126</v>
      </c>
      <c r="E277" s="19" t="n">
        <v>4146.422</v>
      </c>
      <c r="F277" s="19" t="n">
        <v>89.6842105263158</v>
      </c>
      <c r="G277" s="19" t="n">
        <v>2992.71031578947</v>
      </c>
      <c r="H277" s="8" t="str">
        <f aca="false">IF(COUNTIF($J$1:$J$2,$A277)&gt;0,"Y","N")</f>
        <v>Y</v>
      </c>
    </row>
    <row r="278" customFormat="false" ht="15" hidden="false" customHeight="true" outlineLevel="0" collapsed="false">
      <c r="A278" s="8" t="s">
        <v>43</v>
      </c>
      <c r="B278" s="8" t="n">
        <v>4413105</v>
      </c>
      <c r="C278" s="8" t="s">
        <v>1435</v>
      </c>
      <c r="D278" s="19" t="n">
        <v>50</v>
      </c>
      <c r="E278" s="19" t="n">
        <v>1669.311</v>
      </c>
      <c r="F278" s="19" t="n">
        <v>39.1578947368421</v>
      </c>
      <c r="G278" s="19" t="n">
        <v>1300.16968421053</v>
      </c>
      <c r="H278" s="8" t="str">
        <f aca="false">IF(COUNTIF($J$1:$J$2,$A278)&gt;0,"Y","N")</f>
        <v>Y</v>
      </c>
    </row>
    <row r="279" customFormat="false" ht="15" hidden="false" customHeight="true" outlineLevel="0" collapsed="false">
      <c r="A279" s="8" t="s">
        <v>43</v>
      </c>
      <c r="B279" s="8" t="n">
        <v>4413106</v>
      </c>
      <c r="C279" s="8" t="s">
        <v>1436</v>
      </c>
      <c r="D279" s="19" t="n">
        <v>3</v>
      </c>
      <c r="E279" s="19" t="n">
        <v>154.7</v>
      </c>
      <c r="F279" s="19" t="n">
        <v>1.26315789473684</v>
      </c>
      <c r="G279" s="19" t="n">
        <v>65.1751578947368</v>
      </c>
      <c r="H279" s="8" t="str">
        <f aca="false">IF(COUNTIF($J$1:$J$2,$A279)&gt;0,"Y","N")</f>
        <v>Y</v>
      </c>
    </row>
    <row r="280" customFormat="false" ht="15" hidden="false" customHeight="true" outlineLevel="0" collapsed="false">
      <c r="A280" s="8" t="s">
        <v>43</v>
      </c>
      <c r="B280" s="8" t="n">
        <v>4413107</v>
      </c>
      <c r="C280" s="8" t="s">
        <v>1437</v>
      </c>
      <c r="D280" s="19" t="n">
        <v>17</v>
      </c>
      <c r="E280" s="19" t="n">
        <v>866.284</v>
      </c>
      <c r="F280" s="19" t="n">
        <v>5.05263157894737</v>
      </c>
      <c r="G280" s="19" t="n">
        <v>266.993684210526</v>
      </c>
      <c r="H280" s="8" t="str">
        <f aca="false">IF(COUNTIF($J$1:$J$2,$A280)&gt;0,"Y","N")</f>
        <v>Y</v>
      </c>
    </row>
    <row r="281" customFormat="false" ht="15" hidden="false" customHeight="true" outlineLevel="0" collapsed="false">
      <c r="A281" s="8" t="s">
        <v>43</v>
      </c>
      <c r="B281" s="8" t="n">
        <v>4413108</v>
      </c>
      <c r="C281" s="8" t="s">
        <v>1438</v>
      </c>
      <c r="D281" s="19" t="n">
        <v>14</v>
      </c>
      <c r="E281" s="19" t="n">
        <v>713.326</v>
      </c>
      <c r="F281" s="19" t="n">
        <v>2.52631578947368</v>
      </c>
      <c r="G281" s="19" t="n">
        <v>130.235368421053</v>
      </c>
      <c r="H281" s="8" t="str">
        <f aca="false">IF(COUNTIF($J$1:$J$2,$A281)&gt;0,"Y","N")</f>
        <v>Y</v>
      </c>
    </row>
    <row r="282" customFormat="false" ht="15" hidden="false" customHeight="true" outlineLevel="0" collapsed="false">
      <c r="A282" s="8" t="s">
        <v>43</v>
      </c>
      <c r="B282" s="8" t="n">
        <v>4413109</v>
      </c>
      <c r="C282" s="8" t="s">
        <v>1439</v>
      </c>
      <c r="D282" s="19" t="n">
        <v>3</v>
      </c>
      <c r="E282" s="19" t="n">
        <v>147.875</v>
      </c>
      <c r="F282" s="19" t="n">
        <v>1.26315789473684</v>
      </c>
      <c r="G282" s="19" t="n">
        <v>65.1751578947368</v>
      </c>
      <c r="H282" s="8" t="str">
        <f aca="false">IF(COUNTIF($J$1:$J$2,$A282)&gt;0,"Y","N")</f>
        <v>Y</v>
      </c>
    </row>
    <row r="283" customFormat="false" ht="15" hidden="false" customHeight="true" outlineLevel="0" collapsed="false">
      <c r="A283" s="8" t="s">
        <v>43</v>
      </c>
      <c r="B283" s="8" t="n">
        <v>4413110</v>
      </c>
      <c r="C283" s="8" t="s">
        <v>1440</v>
      </c>
      <c r="D283" s="19" t="n">
        <v>2</v>
      </c>
      <c r="E283" s="19" t="n">
        <v>96.278</v>
      </c>
      <c r="F283" s="19" t="n">
        <v>0</v>
      </c>
      <c r="G283" s="19" t="n">
        <v>0</v>
      </c>
      <c r="H283" s="8" t="str">
        <f aca="false">IF(COUNTIF($J$1:$J$2,$A283)&gt;0,"Y","N")</f>
        <v>Y</v>
      </c>
    </row>
    <row r="284" customFormat="false" ht="15" hidden="false" customHeight="true" outlineLevel="0" collapsed="false">
      <c r="A284" s="8" t="s">
        <v>43</v>
      </c>
      <c r="B284" s="8" t="n">
        <v>4413111</v>
      </c>
      <c r="C284" s="8" t="s">
        <v>1441</v>
      </c>
      <c r="D284" s="19" t="n">
        <v>22</v>
      </c>
      <c r="E284" s="19" t="n">
        <v>681.954</v>
      </c>
      <c r="F284" s="19" t="n">
        <v>7.57894736842105</v>
      </c>
      <c r="G284" s="19" t="n">
        <v>223.687578947368</v>
      </c>
      <c r="H284" s="8" t="str">
        <f aca="false">IF(COUNTIF($J$1:$J$2,$A284)&gt;0,"Y","N")</f>
        <v>Y</v>
      </c>
    </row>
    <row r="285" customFormat="false" ht="15" hidden="false" customHeight="true" outlineLevel="0" collapsed="false">
      <c r="A285" s="8" t="s">
        <v>43</v>
      </c>
      <c r="B285" s="8" t="n">
        <v>4413112</v>
      </c>
      <c r="C285" s="8" t="s">
        <v>1442</v>
      </c>
      <c r="D285" s="19" t="n">
        <v>35</v>
      </c>
      <c r="E285" s="19" t="n">
        <v>1027.663</v>
      </c>
      <c r="F285" s="19" t="n">
        <v>32.8421052631579</v>
      </c>
      <c r="G285" s="19" t="n">
        <v>1050.31578947368</v>
      </c>
      <c r="H285" s="8" t="str">
        <f aca="false">IF(COUNTIF($J$1:$J$2,$A285)&gt;0,"Y","N")</f>
        <v>Y</v>
      </c>
    </row>
    <row r="286" customFormat="false" ht="15" hidden="false" customHeight="true" outlineLevel="0" collapsed="false">
      <c r="A286" s="8" t="s">
        <v>43</v>
      </c>
      <c r="B286" s="8" t="n">
        <v>4413113</v>
      </c>
      <c r="C286" s="8" t="s">
        <v>1443</v>
      </c>
      <c r="D286" s="19" t="n">
        <v>25</v>
      </c>
      <c r="E286" s="19" t="n">
        <v>751.933</v>
      </c>
      <c r="F286" s="19" t="n">
        <v>8.84210526315789</v>
      </c>
      <c r="G286" s="19" t="n">
        <v>278.862315789474</v>
      </c>
      <c r="H286" s="8" t="str">
        <f aca="false">IF(COUNTIF($J$1:$J$2,$A286)&gt;0,"Y","N")</f>
        <v>Y</v>
      </c>
    </row>
    <row r="287" customFormat="false" ht="15" hidden="false" customHeight="true" outlineLevel="0" collapsed="false">
      <c r="A287" s="8" t="s">
        <v>43</v>
      </c>
      <c r="B287" s="8" t="n">
        <v>4413114</v>
      </c>
      <c r="C287" s="8" t="s">
        <v>1444</v>
      </c>
      <c r="D287" s="19" t="n">
        <v>36</v>
      </c>
      <c r="E287" s="19" t="n">
        <v>1087.723</v>
      </c>
      <c r="F287" s="19" t="n">
        <v>15.1578947368421</v>
      </c>
      <c r="G287" s="19" t="n">
        <v>479.215578947368</v>
      </c>
      <c r="H287" s="8" t="str">
        <f aca="false">IF(COUNTIF($J$1:$J$2,$A287)&gt;0,"Y","N")</f>
        <v>Y</v>
      </c>
    </row>
    <row r="288" customFormat="false" ht="15" hidden="false" customHeight="true" outlineLevel="0" collapsed="false">
      <c r="A288" s="8" t="s">
        <v>43</v>
      </c>
      <c r="B288" s="8" t="n">
        <v>4413115</v>
      </c>
      <c r="C288" s="8" t="s">
        <v>1445</v>
      </c>
      <c r="D288" s="19" t="n">
        <v>4</v>
      </c>
      <c r="E288" s="19" t="n">
        <v>125.853</v>
      </c>
      <c r="F288" s="19" t="n">
        <v>6.31578947368421</v>
      </c>
      <c r="G288" s="19" t="n">
        <v>201.732631578947</v>
      </c>
      <c r="H288" s="8" t="str">
        <f aca="false">IF(COUNTIF($J$1:$J$2,$A288)&gt;0,"Y","N")</f>
        <v>Y</v>
      </c>
    </row>
    <row r="289" customFormat="false" ht="15" hidden="false" customHeight="true" outlineLevel="0" collapsed="false">
      <c r="A289" s="8" t="s">
        <v>43</v>
      </c>
      <c r="B289" s="8" t="n">
        <v>4413116</v>
      </c>
      <c r="C289" s="8" t="s">
        <v>1446</v>
      </c>
      <c r="D289" s="19" t="n">
        <v>0</v>
      </c>
      <c r="E289" s="19" t="n">
        <v>0</v>
      </c>
      <c r="F289" s="19" t="n">
        <v>-1.26315789473684</v>
      </c>
      <c r="G289" s="19" t="n">
        <v>-102.073263157895</v>
      </c>
      <c r="H289" s="8" t="str">
        <f aca="false">IF(COUNTIF($J$1:$J$2,$A289)&gt;0,"Y","N")</f>
        <v>Y</v>
      </c>
    </row>
    <row r="290" customFormat="false" ht="15" hidden="false" customHeight="true" outlineLevel="0" collapsed="false">
      <c r="A290" s="8" t="s">
        <v>43</v>
      </c>
      <c r="B290" s="8" t="n">
        <v>4413117</v>
      </c>
      <c r="C290" s="8" t="s">
        <v>1447</v>
      </c>
      <c r="D290" s="19" t="n">
        <v>16</v>
      </c>
      <c r="E290" s="19" t="n">
        <v>1499.455</v>
      </c>
      <c r="F290" s="19" t="n">
        <v>22.7368421052632</v>
      </c>
      <c r="G290" s="19" t="n">
        <v>2474.08547368421</v>
      </c>
      <c r="H290" s="8" t="str">
        <f aca="false">IF(COUNTIF($J$1:$J$2,$A290)&gt;0,"Y","N")</f>
        <v>Y</v>
      </c>
    </row>
    <row r="291" customFormat="false" ht="15" hidden="false" customHeight="true" outlineLevel="0" collapsed="false">
      <c r="A291" s="8" t="s">
        <v>43</v>
      </c>
      <c r="B291" s="8" t="n">
        <v>4413118</v>
      </c>
      <c r="C291" s="8" t="s">
        <v>1448</v>
      </c>
      <c r="D291" s="19" t="n">
        <v>10</v>
      </c>
      <c r="E291" s="19" t="n">
        <v>950.732</v>
      </c>
      <c r="F291" s="19" t="n">
        <v>8.84210526315789</v>
      </c>
      <c r="G291" s="19" t="n">
        <v>969.145263157895</v>
      </c>
      <c r="H291" s="8" t="str">
        <f aca="false">IF(COUNTIF($J$1:$J$2,$A291)&gt;0,"Y","N")</f>
        <v>Y</v>
      </c>
    </row>
    <row r="292" customFormat="false" ht="15" hidden="false" customHeight="true" outlineLevel="0" collapsed="false">
      <c r="A292" s="8" t="s">
        <v>43</v>
      </c>
      <c r="B292" s="8" t="n">
        <v>4413119</v>
      </c>
      <c r="C292" s="8" t="s">
        <v>1449</v>
      </c>
      <c r="D292" s="19" t="n">
        <v>12</v>
      </c>
      <c r="E292" s="19" t="n">
        <v>1132.894</v>
      </c>
      <c r="F292" s="19" t="n">
        <v>17.6842105263158</v>
      </c>
      <c r="G292" s="19" t="n">
        <v>1950.93473684211</v>
      </c>
      <c r="H292" s="8" t="str">
        <f aca="false">IF(COUNTIF($J$1:$J$2,$A292)&gt;0,"Y","N")</f>
        <v>Y</v>
      </c>
    </row>
    <row r="293" customFormat="false" ht="15" hidden="false" customHeight="true" outlineLevel="0" collapsed="false">
      <c r="A293" s="8" t="s">
        <v>43</v>
      </c>
      <c r="B293" s="8" t="n">
        <v>4413120</v>
      </c>
      <c r="C293" s="8" t="s">
        <v>1450</v>
      </c>
      <c r="D293" s="19" t="n">
        <v>5</v>
      </c>
      <c r="E293" s="19" t="n">
        <v>444.626</v>
      </c>
      <c r="F293" s="19" t="n">
        <v>0</v>
      </c>
      <c r="G293" s="19" t="n">
        <v>0</v>
      </c>
      <c r="H293" s="8" t="str">
        <f aca="false">IF(COUNTIF($J$1:$J$2,$A293)&gt;0,"Y","N")</f>
        <v>Y</v>
      </c>
    </row>
    <row r="294" customFormat="false" ht="15" hidden="false" customHeight="true" outlineLevel="0" collapsed="false">
      <c r="A294" s="8" t="s">
        <v>43</v>
      </c>
      <c r="B294" s="8" t="n">
        <v>4413122</v>
      </c>
      <c r="C294" s="8" t="s">
        <v>1451</v>
      </c>
      <c r="D294" s="19" t="n">
        <v>4</v>
      </c>
      <c r="E294" s="19" t="n">
        <v>304.267</v>
      </c>
      <c r="F294" s="19" t="n">
        <v>8.84210526315789</v>
      </c>
      <c r="G294" s="19" t="n">
        <v>703.878315789474</v>
      </c>
      <c r="H294" s="8" t="str">
        <f aca="false">IF(COUNTIF($J$1:$J$2,$A294)&gt;0,"Y","N")</f>
        <v>Y</v>
      </c>
    </row>
    <row r="295" customFormat="false" ht="15" hidden="false" customHeight="true" outlineLevel="0" collapsed="false">
      <c r="A295" s="8" t="s">
        <v>43</v>
      </c>
      <c r="B295" s="8" t="n">
        <v>4413123</v>
      </c>
      <c r="C295" s="8" t="s">
        <v>1452</v>
      </c>
      <c r="D295" s="19" t="n">
        <v>2</v>
      </c>
      <c r="E295" s="19" t="n">
        <v>146.146</v>
      </c>
      <c r="F295" s="19" t="n">
        <v>-1.26315789473684</v>
      </c>
      <c r="G295" s="19" t="n">
        <v>-92.3027368421053</v>
      </c>
      <c r="H295" s="8" t="str">
        <f aca="false">IF(COUNTIF($J$1:$J$2,$A295)&gt;0,"Y","N")</f>
        <v>Y</v>
      </c>
    </row>
    <row r="296" customFormat="false" ht="15" hidden="false" customHeight="true" outlineLevel="0" collapsed="false">
      <c r="A296" s="8" t="s">
        <v>43</v>
      </c>
      <c r="B296" s="8" t="n">
        <v>4413124</v>
      </c>
      <c r="C296" s="8" t="s">
        <v>1453</v>
      </c>
      <c r="D296" s="19" t="n">
        <v>1</v>
      </c>
      <c r="E296" s="19" t="n">
        <v>84.32</v>
      </c>
      <c r="F296" s="19" t="n">
        <v>2.52631578947368</v>
      </c>
      <c r="G296" s="19" t="n">
        <v>203.410105263158</v>
      </c>
      <c r="H296" s="8" t="str">
        <f aca="false">IF(COUNTIF($J$1:$J$2,$A296)&gt;0,"Y","N")</f>
        <v>Y</v>
      </c>
    </row>
    <row r="297" customFormat="false" ht="15" hidden="false" customHeight="true" outlineLevel="0" collapsed="false">
      <c r="A297" s="8" t="s">
        <v>43</v>
      </c>
      <c r="B297" s="8" t="n">
        <v>4413126</v>
      </c>
      <c r="C297" s="8" t="s">
        <v>1454</v>
      </c>
      <c r="D297" s="19" t="n">
        <v>4</v>
      </c>
      <c r="E297" s="19" t="n">
        <v>638.638</v>
      </c>
      <c r="F297" s="19" t="n">
        <v>6.31578947368421</v>
      </c>
      <c r="G297" s="19" t="n">
        <v>942.683368421053</v>
      </c>
      <c r="H297" s="8" t="str">
        <f aca="false">IF(COUNTIF($J$1:$J$2,$A297)&gt;0,"Y","N")</f>
        <v>Y</v>
      </c>
    </row>
    <row r="298" customFormat="false" ht="15" hidden="false" customHeight="true" outlineLevel="0" collapsed="false">
      <c r="A298" s="8" t="s">
        <v>43</v>
      </c>
      <c r="B298" s="8" t="n">
        <v>4413127</v>
      </c>
      <c r="C298" s="8" t="s">
        <v>1455</v>
      </c>
      <c r="D298" s="19" t="n">
        <v>19</v>
      </c>
      <c r="E298" s="19" t="n">
        <v>2730.455</v>
      </c>
      <c r="F298" s="19" t="n">
        <v>21.4736842105263</v>
      </c>
      <c r="G298" s="19" t="n">
        <v>3135.56968421053</v>
      </c>
      <c r="H298" s="8" t="str">
        <f aca="false">IF(COUNTIF($J$1:$J$2,$A298)&gt;0,"Y","N")</f>
        <v>Y</v>
      </c>
    </row>
    <row r="299" customFormat="false" ht="15" hidden="false" customHeight="true" outlineLevel="0" collapsed="false">
      <c r="A299" s="8" t="s">
        <v>43</v>
      </c>
      <c r="B299" s="8" t="n">
        <v>4413128</v>
      </c>
      <c r="C299" s="8" t="s">
        <v>1456</v>
      </c>
      <c r="D299" s="19" t="n">
        <v>21</v>
      </c>
      <c r="E299" s="19" t="n">
        <v>3043.859</v>
      </c>
      <c r="F299" s="19" t="n">
        <v>8.84210526315789</v>
      </c>
      <c r="G299" s="19" t="n">
        <v>1219.01684210526</v>
      </c>
      <c r="H299" s="8" t="str">
        <f aca="false">IF(COUNTIF($J$1:$J$2,$A299)&gt;0,"Y","N")</f>
        <v>Y</v>
      </c>
    </row>
    <row r="300" customFormat="false" ht="15" hidden="false" customHeight="true" outlineLevel="0" collapsed="false">
      <c r="A300" s="8" t="s">
        <v>43</v>
      </c>
      <c r="B300" s="8" t="n">
        <v>4413129</v>
      </c>
      <c r="C300" s="8" t="s">
        <v>1457</v>
      </c>
      <c r="D300" s="19" t="n">
        <v>15</v>
      </c>
      <c r="E300" s="19" t="n">
        <v>2243.878</v>
      </c>
      <c r="F300" s="19" t="n">
        <v>2.52631578947368</v>
      </c>
      <c r="G300" s="19" t="n">
        <v>368.751157894737</v>
      </c>
      <c r="H300" s="8" t="str">
        <f aca="false">IF(COUNTIF($J$1:$J$2,$A300)&gt;0,"Y","N")</f>
        <v>Y</v>
      </c>
    </row>
    <row r="301" customFormat="false" ht="15" hidden="false" customHeight="true" outlineLevel="0" collapsed="false">
      <c r="A301" s="8" t="s">
        <v>43</v>
      </c>
      <c r="B301" s="8" t="n">
        <v>4413130</v>
      </c>
      <c r="C301" s="8" t="s">
        <v>1458</v>
      </c>
      <c r="D301" s="19" t="n">
        <v>10</v>
      </c>
      <c r="E301" s="19" t="n">
        <v>1407.525</v>
      </c>
      <c r="F301" s="19" t="n">
        <v>2.52631578947368</v>
      </c>
      <c r="G301" s="19" t="n">
        <v>427.374315789474</v>
      </c>
      <c r="H301" s="8" t="str">
        <f aca="false">IF(COUNTIF($J$1:$J$2,$A301)&gt;0,"Y","N")</f>
        <v>Y</v>
      </c>
    </row>
    <row r="302" customFormat="false" ht="15" hidden="false" customHeight="true" outlineLevel="0" collapsed="false">
      <c r="A302" s="8" t="s">
        <v>43</v>
      </c>
      <c r="B302" s="8" t="n">
        <v>4413131</v>
      </c>
      <c r="C302" s="8" t="s">
        <v>1459</v>
      </c>
      <c r="D302" s="19" t="n">
        <v>9</v>
      </c>
      <c r="E302" s="19" t="n">
        <v>1675.856</v>
      </c>
      <c r="F302" s="19" t="n">
        <v>12.6315789473684</v>
      </c>
      <c r="G302" s="19" t="n">
        <v>2415.54568421053</v>
      </c>
      <c r="H302" s="8" t="str">
        <f aca="false">IF(COUNTIF($J$1:$J$2,$A302)&gt;0,"Y","N")</f>
        <v>Y</v>
      </c>
    </row>
    <row r="303" customFormat="false" ht="15" hidden="false" customHeight="true" outlineLevel="0" collapsed="false">
      <c r="A303" s="8" t="s">
        <v>43</v>
      </c>
      <c r="B303" s="8" t="n">
        <v>4413132</v>
      </c>
      <c r="C303" s="8" t="s">
        <v>1460</v>
      </c>
      <c r="D303" s="19" t="n">
        <v>28</v>
      </c>
      <c r="E303" s="19" t="n">
        <v>5097.933</v>
      </c>
      <c r="F303" s="19" t="n">
        <v>27.7894736842105</v>
      </c>
      <c r="G303" s="19" t="n">
        <v>5234.54273684211</v>
      </c>
      <c r="H303" s="8" t="str">
        <f aca="false">IF(COUNTIF($J$1:$J$2,$A303)&gt;0,"Y","N")</f>
        <v>Y</v>
      </c>
    </row>
    <row r="304" customFormat="false" ht="15" hidden="false" customHeight="true" outlineLevel="0" collapsed="false">
      <c r="A304" s="8" t="s">
        <v>43</v>
      </c>
      <c r="B304" s="8" t="n">
        <v>4413133</v>
      </c>
      <c r="C304" s="8" t="s">
        <v>1461</v>
      </c>
      <c r="D304" s="19" t="n">
        <v>31</v>
      </c>
      <c r="E304" s="19" t="n">
        <v>5706.916</v>
      </c>
      <c r="F304" s="19" t="n">
        <v>22.7368421052632</v>
      </c>
      <c r="G304" s="19" t="n">
        <v>4242.04547368421</v>
      </c>
      <c r="H304" s="8" t="str">
        <f aca="false">IF(COUNTIF($J$1:$J$2,$A304)&gt;0,"Y","N")</f>
        <v>Y</v>
      </c>
    </row>
    <row r="305" customFormat="false" ht="15" hidden="false" customHeight="true" outlineLevel="0" collapsed="false">
      <c r="A305" s="8" t="s">
        <v>43</v>
      </c>
      <c r="B305" s="8" t="n">
        <v>4413134</v>
      </c>
      <c r="C305" s="8" t="s">
        <v>1462</v>
      </c>
      <c r="D305" s="19" t="n">
        <v>22</v>
      </c>
      <c r="E305" s="19" t="n">
        <v>4027.66</v>
      </c>
      <c r="F305" s="19" t="n">
        <v>18.9473684210526</v>
      </c>
      <c r="G305" s="19" t="n">
        <v>3547.07368421053</v>
      </c>
      <c r="H305" s="8" t="str">
        <f aca="false">IF(COUNTIF($J$1:$J$2,$A305)&gt;0,"Y","N")</f>
        <v>Y</v>
      </c>
    </row>
    <row r="306" customFormat="false" ht="15" hidden="false" customHeight="true" outlineLevel="0" collapsed="false">
      <c r="A306" s="8" t="s">
        <v>43</v>
      </c>
      <c r="B306" s="8" t="n">
        <v>4413135</v>
      </c>
      <c r="C306" s="8" t="s">
        <v>1463</v>
      </c>
      <c r="D306" s="19" t="n">
        <v>220</v>
      </c>
      <c r="E306" s="19" t="n">
        <v>10981.738</v>
      </c>
      <c r="F306" s="19" t="n">
        <v>189.473684210526</v>
      </c>
      <c r="G306" s="19" t="n">
        <v>9577.76715789474</v>
      </c>
      <c r="H306" s="8" t="str">
        <f aca="false">IF(COUNTIF($J$1:$J$2,$A306)&gt;0,"Y","N")</f>
        <v>Y</v>
      </c>
    </row>
    <row r="307" customFormat="false" ht="15" hidden="false" customHeight="true" outlineLevel="0" collapsed="false">
      <c r="A307" s="8" t="s">
        <v>43</v>
      </c>
      <c r="B307" s="8" t="n">
        <v>4413136</v>
      </c>
      <c r="C307" s="8" t="s">
        <v>1464</v>
      </c>
      <c r="D307" s="19" t="n">
        <v>206</v>
      </c>
      <c r="E307" s="19" t="n">
        <v>10272.005</v>
      </c>
      <c r="F307" s="19" t="n">
        <v>145.263157894737</v>
      </c>
      <c r="G307" s="19" t="n">
        <v>7304.66778947368</v>
      </c>
      <c r="H307" s="8" t="str">
        <f aca="false">IF(COUNTIF($J$1:$J$2,$A307)&gt;0,"Y","N")</f>
        <v>Y</v>
      </c>
    </row>
    <row r="308" customFormat="false" ht="15" hidden="false" customHeight="true" outlineLevel="0" collapsed="false">
      <c r="A308" s="8" t="s">
        <v>43</v>
      </c>
      <c r="B308" s="8" t="n">
        <v>4413137</v>
      </c>
      <c r="C308" s="8" t="s">
        <v>1465</v>
      </c>
      <c r="D308" s="19" t="n">
        <v>79</v>
      </c>
      <c r="E308" s="19" t="n">
        <v>3973.648</v>
      </c>
      <c r="F308" s="19" t="n">
        <v>56.8421052631579</v>
      </c>
      <c r="G308" s="19" t="n">
        <v>2802.06947368421</v>
      </c>
      <c r="H308" s="8" t="str">
        <f aca="false">IF(COUNTIF($J$1:$J$2,$A308)&gt;0,"Y","N")</f>
        <v>Y</v>
      </c>
    </row>
    <row r="309" customFormat="false" ht="15" hidden="false" customHeight="true" outlineLevel="0" collapsed="false">
      <c r="A309" s="8" t="s">
        <v>43</v>
      </c>
      <c r="B309" s="8" t="n">
        <v>4413138</v>
      </c>
      <c r="C309" s="8" t="s">
        <v>1466</v>
      </c>
      <c r="D309" s="19" t="n">
        <v>95</v>
      </c>
      <c r="E309" s="19" t="n">
        <v>4716.822</v>
      </c>
      <c r="F309" s="19" t="n">
        <v>94.7368421052632</v>
      </c>
      <c r="G309" s="19" t="n">
        <v>4790.4947368421</v>
      </c>
      <c r="H309" s="8" t="str">
        <f aca="false">IF(COUNTIF($J$1:$J$2,$A309)&gt;0,"Y","N")</f>
        <v>Y</v>
      </c>
    </row>
    <row r="310" customFormat="false" ht="15" hidden="false" customHeight="true" outlineLevel="0" collapsed="false">
      <c r="A310" s="8" t="s">
        <v>43</v>
      </c>
      <c r="B310" s="8" t="n">
        <v>4413139</v>
      </c>
      <c r="C310" s="8" t="s">
        <v>1467</v>
      </c>
      <c r="D310" s="19" t="n">
        <v>112</v>
      </c>
      <c r="E310" s="19" t="n">
        <v>3065.913</v>
      </c>
      <c r="F310" s="19" t="n">
        <v>125.052631578947</v>
      </c>
      <c r="G310" s="19" t="n">
        <v>3422.89136842105</v>
      </c>
      <c r="H310" s="8" t="str">
        <f aca="false">IF(COUNTIF($J$1:$J$2,$A310)&gt;0,"Y","N")</f>
        <v>Y</v>
      </c>
    </row>
    <row r="311" customFormat="false" ht="15" hidden="false" customHeight="true" outlineLevel="0" collapsed="false">
      <c r="A311" s="8" t="s">
        <v>43</v>
      </c>
      <c r="B311" s="8" t="n">
        <v>4413140</v>
      </c>
      <c r="C311" s="8" t="s">
        <v>1468</v>
      </c>
      <c r="D311" s="19" t="n">
        <v>157</v>
      </c>
      <c r="E311" s="19" t="n">
        <v>4232.683</v>
      </c>
      <c r="F311" s="19" t="n">
        <v>141.473684210526</v>
      </c>
      <c r="G311" s="19" t="n">
        <v>3834.44210526316</v>
      </c>
      <c r="H311" s="8" t="str">
        <f aca="false">IF(COUNTIF($J$1:$J$2,$A311)&gt;0,"Y","N")</f>
        <v>Y</v>
      </c>
    </row>
    <row r="312" customFormat="false" ht="15" hidden="false" customHeight="true" outlineLevel="0" collapsed="false">
      <c r="A312" s="8" t="s">
        <v>43</v>
      </c>
      <c r="B312" s="8" t="n">
        <v>4413141</v>
      </c>
      <c r="C312" s="8" t="s">
        <v>1469</v>
      </c>
      <c r="D312" s="19" t="n">
        <v>134</v>
      </c>
      <c r="E312" s="19" t="n">
        <v>3615.066</v>
      </c>
      <c r="F312" s="19" t="n">
        <v>80.8421052631579</v>
      </c>
      <c r="G312" s="19" t="n">
        <v>1956.17431578947</v>
      </c>
      <c r="H312" s="8" t="str">
        <f aca="false">IF(COUNTIF($J$1:$J$2,$A312)&gt;0,"Y","N")</f>
        <v>Y</v>
      </c>
    </row>
    <row r="313" customFormat="false" ht="15" hidden="false" customHeight="true" outlineLevel="0" collapsed="false">
      <c r="A313" s="8" t="s">
        <v>43</v>
      </c>
      <c r="B313" s="8" t="n">
        <v>4413142</v>
      </c>
      <c r="C313" s="8" t="s">
        <v>1470</v>
      </c>
      <c r="D313" s="19" t="n">
        <v>50</v>
      </c>
      <c r="E313" s="19" t="n">
        <v>1341.381</v>
      </c>
      <c r="F313" s="19" t="n">
        <v>40.4210526315789</v>
      </c>
      <c r="G313" s="19" t="n">
        <v>1096.02315789474</v>
      </c>
      <c r="H313" s="8" t="str">
        <f aca="false">IF(COUNTIF($J$1:$J$2,$A313)&gt;0,"Y","N")</f>
        <v>Y</v>
      </c>
    </row>
    <row r="314" customFormat="false" ht="15" hidden="false" customHeight="true" outlineLevel="0" collapsed="false">
      <c r="A314" s="8" t="s">
        <v>43</v>
      </c>
      <c r="B314" s="8" t="n">
        <v>4413143</v>
      </c>
      <c r="C314" s="8" t="s">
        <v>1471</v>
      </c>
      <c r="D314" s="19" t="n">
        <v>25</v>
      </c>
      <c r="E314" s="19" t="n">
        <v>685.685</v>
      </c>
      <c r="F314" s="19" t="n">
        <v>32.8421052631579</v>
      </c>
      <c r="G314" s="19" t="n">
        <v>912.377684210526</v>
      </c>
      <c r="H314" s="8" t="str">
        <f aca="false">IF(COUNTIF($J$1:$J$2,$A314)&gt;0,"Y","N")</f>
        <v>Y</v>
      </c>
    </row>
    <row r="315" customFormat="false" ht="15" hidden="false" customHeight="true" outlineLevel="0" collapsed="false">
      <c r="A315" s="8" t="s">
        <v>43</v>
      </c>
      <c r="B315" s="8" t="n">
        <v>4413144</v>
      </c>
      <c r="C315" s="8" t="s">
        <v>1472</v>
      </c>
      <c r="D315" s="19" t="n">
        <v>2</v>
      </c>
      <c r="E315" s="19" t="n">
        <v>56.238</v>
      </c>
      <c r="F315" s="19" t="n">
        <v>6.31578947368421</v>
      </c>
      <c r="G315" s="19" t="n">
        <v>168.053052631579</v>
      </c>
      <c r="H315" s="8" t="str">
        <f aca="false">IF(COUNTIF($J$1:$J$2,$A315)&gt;0,"Y","N")</f>
        <v>Y</v>
      </c>
    </row>
    <row r="316" customFormat="false" ht="15" hidden="false" customHeight="true" outlineLevel="0" collapsed="false">
      <c r="A316" s="8" t="s">
        <v>43</v>
      </c>
      <c r="B316" s="8" t="n">
        <v>4413149</v>
      </c>
      <c r="C316" s="8" t="s">
        <v>1473</v>
      </c>
      <c r="D316" s="19" t="n">
        <v>395</v>
      </c>
      <c r="E316" s="19" t="n">
        <v>4742.251</v>
      </c>
      <c r="F316" s="19" t="n">
        <v>125.052631578947</v>
      </c>
      <c r="G316" s="19" t="n">
        <v>1556.30273684211</v>
      </c>
      <c r="H316" s="8" t="str">
        <f aca="false">IF(COUNTIF($J$1:$J$2,$A316)&gt;0,"Y","N")</f>
        <v>Y</v>
      </c>
    </row>
    <row r="317" customFormat="false" ht="15" hidden="false" customHeight="true" outlineLevel="0" collapsed="false">
      <c r="A317" s="8" t="s">
        <v>43</v>
      </c>
      <c r="B317" s="8" t="n">
        <v>4413150</v>
      </c>
      <c r="C317" s="8" t="s">
        <v>1474</v>
      </c>
      <c r="D317" s="19" t="n">
        <v>53</v>
      </c>
      <c r="E317" s="19" t="n">
        <v>1377.178</v>
      </c>
      <c r="F317" s="19" t="n">
        <v>98.5263157894737</v>
      </c>
      <c r="G317" s="19" t="n">
        <v>2596.76336842105</v>
      </c>
      <c r="H317" s="8" t="str">
        <f aca="false">IF(COUNTIF($J$1:$J$2,$A317)&gt;0,"Y","N")</f>
        <v>Y</v>
      </c>
    </row>
    <row r="318" customFormat="false" ht="15" hidden="false" customHeight="true" outlineLevel="0" collapsed="false">
      <c r="A318" s="8" t="s">
        <v>43</v>
      </c>
      <c r="B318" s="8" t="n">
        <v>4413153</v>
      </c>
      <c r="C318" s="8" t="s">
        <v>1475</v>
      </c>
      <c r="D318" s="19" t="n">
        <v>6</v>
      </c>
      <c r="E318" s="19" t="n">
        <v>381.017</v>
      </c>
      <c r="F318" s="19" t="n">
        <v>-2.52631578947368</v>
      </c>
      <c r="G318" s="19" t="n">
        <v>-211.848</v>
      </c>
      <c r="H318" s="8" t="str">
        <f aca="false">IF(COUNTIF($J$1:$J$2,$A318)&gt;0,"Y","N")</f>
        <v>Y</v>
      </c>
    </row>
    <row r="319" customFormat="false" ht="15" hidden="false" customHeight="true" outlineLevel="0" collapsed="false">
      <c r="A319" s="8" t="s">
        <v>43</v>
      </c>
      <c r="B319" s="8" t="n">
        <v>4413154</v>
      </c>
      <c r="C319" s="8" t="s">
        <v>1476</v>
      </c>
      <c r="D319" s="19" t="n">
        <v>6</v>
      </c>
      <c r="E319" s="19" t="n">
        <v>493.766</v>
      </c>
      <c r="F319" s="19" t="n">
        <v>3.78947368421053</v>
      </c>
      <c r="G319" s="19" t="n">
        <v>323.117052631579</v>
      </c>
      <c r="H319" s="8" t="str">
        <f aca="false">IF(COUNTIF($J$1:$J$2,$A319)&gt;0,"Y","N")</f>
        <v>Y</v>
      </c>
    </row>
    <row r="320" customFormat="false" ht="15" hidden="false" customHeight="true" outlineLevel="0" collapsed="false">
      <c r="A320" s="8" t="s">
        <v>43</v>
      </c>
      <c r="B320" s="8" t="n">
        <v>4413155</v>
      </c>
      <c r="C320" s="8" t="s">
        <v>1477</v>
      </c>
      <c r="D320" s="19" t="n">
        <v>19</v>
      </c>
      <c r="E320" s="19" t="n">
        <v>1470.742</v>
      </c>
      <c r="F320" s="19" t="n">
        <v>6.31578947368421</v>
      </c>
      <c r="G320" s="19" t="n">
        <v>570.472421052632</v>
      </c>
      <c r="H320" s="8" t="str">
        <f aca="false">IF(COUNTIF($J$1:$J$2,$A320)&gt;0,"Y","N")</f>
        <v>Y</v>
      </c>
    </row>
    <row r="321" customFormat="false" ht="15" hidden="false" customHeight="true" outlineLevel="0" collapsed="false">
      <c r="A321" s="8" t="s">
        <v>43</v>
      </c>
      <c r="B321" s="8" t="n">
        <v>4413156</v>
      </c>
      <c r="C321" s="8" t="s">
        <v>1478</v>
      </c>
      <c r="D321" s="19" t="n">
        <v>44</v>
      </c>
      <c r="E321" s="19" t="n">
        <v>3544.681</v>
      </c>
      <c r="F321" s="19" t="n">
        <v>20.2105263157895</v>
      </c>
      <c r="G321" s="19" t="n">
        <v>1786.28210526316</v>
      </c>
      <c r="H321" s="8" t="str">
        <f aca="false">IF(COUNTIF($J$1:$J$2,$A321)&gt;0,"Y","N")</f>
        <v>Y</v>
      </c>
    </row>
    <row r="322" customFormat="false" ht="15" hidden="false" customHeight="true" outlineLevel="0" collapsed="false">
      <c r="A322" s="8" t="s">
        <v>43</v>
      </c>
      <c r="B322" s="8" t="n">
        <v>4413157</v>
      </c>
      <c r="C322" s="8" t="s">
        <v>1479</v>
      </c>
      <c r="D322" s="19" t="n">
        <v>60</v>
      </c>
      <c r="E322" s="19" t="n">
        <v>4794.678</v>
      </c>
      <c r="F322" s="19" t="n">
        <v>22.7368421052632</v>
      </c>
      <c r="G322" s="19" t="n">
        <v>2034.56842105263</v>
      </c>
      <c r="H322" s="8" t="str">
        <f aca="false">IF(COUNTIF($J$1:$J$2,$A322)&gt;0,"Y","N")</f>
        <v>Y</v>
      </c>
    </row>
    <row r="323" customFormat="false" ht="15" hidden="false" customHeight="true" outlineLevel="0" collapsed="false">
      <c r="A323" s="8" t="s">
        <v>43</v>
      </c>
      <c r="B323" s="8" t="n">
        <v>4413158</v>
      </c>
      <c r="C323" s="8" t="s">
        <v>1480</v>
      </c>
      <c r="D323" s="19" t="n">
        <v>33</v>
      </c>
      <c r="E323" s="19" t="n">
        <v>2583.399</v>
      </c>
      <c r="F323" s="19" t="n">
        <v>26.5263157894737</v>
      </c>
      <c r="G323" s="19" t="n">
        <v>2261.39873684211</v>
      </c>
      <c r="H323" s="8" t="str">
        <f aca="false">IF(COUNTIF($J$1:$J$2,$A323)&gt;0,"Y","N")</f>
        <v>Y</v>
      </c>
    </row>
    <row r="324" customFormat="false" ht="15" hidden="false" customHeight="true" outlineLevel="0" collapsed="false">
      <c r="A324" s="8" t="s">
        <v>43</v>
      </c>
      <c r="B324" s="8" t="n">
        <v>4413159</v>
      </c>
      <c r="C324" s="8" t="s">
        <v>1481</v>
      </c>
      <c r="D324" s="19" t="n">
        <v>29</v>
      </c>
      <c r="E324" s="19" t="n">
        <v>1808.716</v>
      </c>
      <c r="F324" s="19" t="n">
        <v>15.1578947368421</v>
      </c>
      <c r="G324" s="19" t="n">
        <v>915.210947368421</v>
      </c>
      <c r="H324" s="8" t="str">
        <f aca="false">IF(COUNTIF($J$1:$J$2,$A324)&gt;0,"Y","N")</f>
        <v>Y</v>
      </c>
    </row>
    <row r="325" customFormat="false" ht="15" hidden="false" customHeight="true" outlineLevel="0" collapsed="false">
      <c r="A325" s="8" t="s">
        <v>43</v>
      </c>
      <c r="B325" s="8" t="n">
        <v>4413160</v>
      </c>
      <c r="C325" s="8" t="s">
        <v>1482</v>
      </c>
      <c r="D325" s="19" t="n">
        <v>63</v>
      </c>
      <c r="E325" s="19" t="n">
        <v>3773.323</v>
      </c>
      <c r="F325" s="19" t="n">
        <v>35.3684210526316</v>
      </c>
      <c r="G325" s="19" t="n">
        <v>2180.55157894737</v>
      </c>
      <c r="H325" s="8" t="str">
        <f aca="false">IF(COUNTIF($J$1:$J$2,$A325)&gt;0,"Y","N")</f>
        <v>Y</v>
      </c>
    </row>
    <row r="326" customFormat="false" ht="15" hidden="false" customHeight="true" outlineLevel="0" collapsed="false">
      <c r="A326" s="8" t="s">
        <v>43</v>
      </c>
      <c r="B326" s="8" t="n">
        <v>4413161</v>
      </c>
      <c r="C326" s="8" t="s">
        <v>1483</v>
      </c>
      <c r="D326" s="19" t="n">
        <v>74</v>
      </c>
      <c r="E326" s="19" t="n">
        <v>4411.415</v>
      </c>
      <c r="F326" s="19" t="n">
        <v>75.7894736842105</v>
      </c>
      <c r="G326" s="19" t="n">
        <v>4525.14315789474</v>
      </c>
      <c r="H326" s="8" t="str">
        <f aca="false">IF(COUNTIF($J$1:$J$2,$A326)&gt;0,"Y","N")</f>
        <v>Y</v>
      </c>
    </row>
    <row r="327" customFormat="false" ht="15" hidden="false" customHeight="true" outlineLevel="0" collapsed="false">
      <c r="A327" s="8" t="s">
        <v>43</v>
      </c>
      <c r="B327" s="8" t="n">
        <v>4413162</v>
      </c>
      <c r="C327" s="8" t="s">
        <v>1484</v>
      </c>
      <c r="D327" s="19" t="n">
        <v>47</v>
      </c>
      <c r="E327" s="19" t="n">
        <v>2896.811</v>
      </c>
      <c r="F327" s="19" t="n">
        <v>30.3157894736842</v>
      </c>
      <c r="G327" s="19" t="n">
        <v>1841.34189473684</v>
      </c>
      <c r="H327" s="8" t="str">
        <f aca="false">IF(COUNTIF($J$1:$J$2,$A327)&gt;0,"Y","N")</f>
        <v>Y</v>
      </c>
    </row>
    <row r="328" customFormat="false" ht="15" hidden="false" customHeight="true" outlineLevel="0" collapsed="false">
      <c r="A328" s="8" t="s">
        <v>43</v>
      </c>
      <c r="B328" s="8" t="n">
        <v>4413165</v>
      </c>
      <c r="C328" s="8" t="s">
        <v>1485</v>
      </c>
      <c r="D328" s="19" t="n">
        <v>1</v>
      </c>
      <c r="E328" s="19" t="n">
        <v>130</v>
      </c>
      <c r="F328" s="19" t="n">
        <v>1.26315789473684</v>
      </c>
      <c r="G328" s="19" t="n">
        <v>193.686315789474</v>
      </c>
      <c r="H328" s="8" t="str">
        <f aca="false">IF(COUNTIF($J$1:$J$2,$A328)&gt;0,"Y","N")</f>
        <v>Y</v>
      </c>
    </row>
    <row r="329" customFormat="false" ht="15" hidden="false" customHeight="true" outlineLevel="0" collapsed="false">
      <c r="A329" s="8" t="s">
        <v>43</v>
      </c>
      <c r="B329" s="8" t="n">
        <v>4413166</v>
      </c>
      <c r="C329" s="8" t="s">
        <v>1486</v>
      </c>
      <c r="D329" s="19" t="n">
        <v>-1</v>
      </c>
      <c r="E329" s="19" t="n">
        <v>-34.398</v>
      </c>
      <c r="F329" s="19" t="n">
        <v>0</v>
      </c>
      <c r="G329" s="19" t="n">
        <v>0</v>
      </c>
      <c r="H329" s="8" t="str">
        <f aca="false">IF(COUNTIF($J$1:$J$2,$A329)&gt;0,"Y","N")</f>
        <v>Y</v>
      </c>
    </row>
    <row r="330" customFormat="false" ht="15" hidden="false" customHeight="true" outlineLevel="0" collapsed="false">
      <c r="A330" s="8" t="s">
        <v>43</v>
      </c>
      <c r="B330" s="8" t="n">
        <v>4413169</v>
      </c>
      <c r="C330" s="8" t="s">
        <v>1487</v>
      </c>
      <c r="D330" s="19" t="n">
        <v>1</v>
      </c>
      <c r="E330" s="19" t="n">
        <v>86.086</v>
      </c>
      <c r="F330" s="19" t="n">
        <v>0</v>
      </c>
      <c r="G330" s="19" t="n">
        <v>0</v>
      </c>
      <c r="H330" s="8" t="str">
        <f aca="false">IF(COUNTIF($J$1:$J$2,$A330)&gt;0,"Y","N")</f>
        <v>Y</v>
      </c>
    </row>
    <row r="331" customFormat="false" ht="15" hidden="false" customHeight="true" outlineLevel="0" collapsed="false">
      <c r="A331" s="8" t="s">
        <v>43</v>
      </c>
      <c r="B331" s="8" t="n">
        <v>4413170</v>
      </c>
      <c r="C331" s="8" t="s">
        <v>1488</v>
      </c>
      <c r="D331" s="19" t="n">
        <v>1</v>
      </c>
      <c r="E331" s="19" t="n">
        <v>85.995</v>
      </c>
      <c r="F331" s="19" t="n">
        <v>0</v>
      </c>
      <c r="G331" s="19" t="n">
        <v>0</v>
      </c>
      <c r="H331" s="8" t="str">
        <f aca="false">IF(COUNTIF($J$1:$J$2,$A331)&gt;0,"Y","N")</f>
        <v>Y</v>
      </c>
    </row>
    <row r="332" customFormat="false" ht="15" hidden="false" customHeight="true" outlineLevel="0" collapsed="false">
      <c r="A332" s="8" t="s">
        <v>43</v>
      </c>
      <c r="B332" s="8" t="n">
        <v>4413171</v>
      </c>
      <c r="C332" s="8" t="s">
        <v>1489</v>
      </c>
      <c r="D332" s="19" t="n">
        <v>3</v>
      </c>
      <c r="E332" s="19" t="n">
        <v>246.701</v>
      </c>
      <c r="F332" s="19" t="n">
        <v>0</v>
      </c>
      <c r="G332" s="19" t="n">
        <v>0</v>
      </c>
      <c r="H332" s="8" t="str">
        <f aca="false">IF(COUNTIF($J$1:$J$2,$A332)&gt;0,"Y","N")</f>
        <v>Y</v>
      </c>
    </row>
    <row r="333" customFormat="false" ht="15" hidden="false" customHeight="true" outlineLevel="0" collapsed="false">
      <c r="A333" s="8" t="s">
        <v>43</v>
      </c>
      <c r="B333" s="8" t="n">
        <v>4413172</v>
      </c>
      <c r="C333" s="8" t="s">
        <v>1490</v>
      </c>
      <c r="D333" s="19" t="n">
        <v>4</v>
      </c>
      <c r="E333" s="19" t="n">
        <v>332.696</v>
      </c>
      <c r="F333" s="19" t="n">
        <v>0</v>
      </c>
      <c r="G333" s="19" t="n">
        <v>0</v>
      </c>
      <c r="H333" s="8" t="str">
        <f aca="false">IF(COUNTIF($J$1:$J$2,$A333)&gt;0,"Y","N")</f>
        <v>Y</v>
      </c>
    </row>
    <row r="334" customFormat="false" ht="15" hidden="false" customHeight="true" outlineLevel="0" collapsed="false">
      <c r="A334" s="8" t="s">
        <v>43</v>
      </c>
      <c r="B334" s="8" t="n">
        <v>4413173</v>
      </c>
      <c r="C334" s="8" t="s">
        <v>1491</v>
      </c>
      <c r="D334" s="19" t="n">
        <v>1</v>
      </c>
      <c r="E334" s="19" t="n">
        <v>74.62</v>
      </c>
      <c r="F334" s="19" t="n">
        <v>0</v>
      </c>
      <c r="G334" s="19" t="n">
        <v>0</v>
      </c>
      <c r="H334" s="8" t="str">
        <f aca="false">IF(COUNTIF($J$1:$J$2,$A334)&gt;0,"Y","N")</f>
        <v>Y</v>
      </c>
    </row>
    <row r="335" customFormat="false" ht="15" hidden="false" customHeight="true" outlineLevel="0" collapsed="false">
      <c r="A335" s="8" t="s">
        <v>43</v>
      </c>
      <c r="B335" s="8" t="n">
        <v>4413174</v>
      </c>
      <c r="C335" s="8" t="s">
        <v>1492</v>
      </c>
      <c r="D335" s="19" t="n">
        <v>1</v>
      </c>
      <c r="E335" s="19" t="n">
        <v>85.995</v>
      </c>
      <c r="F335" s="19" t="n">
        <v>0</v>
      </c>
      <c r="G335" s="19" t="n">
        <v>0</v>
      </c>
      <c r="H335" s="8" t="str">
        <f aca="false">IF(COUNTIF($J$1:$J$2,$A335)&gt;0,"Y","N")</f>
        <v>Y</v>
      </c>
    </row>
    <row r="336" customFormat="false" ht="15" hidden="false" customHeight="true" outlineLevel="0" collapsed="false">
      <c r="A336" s="8" t="s">
        <v>43</v>
      </c>
      <c r="B336" s="8" t="n">
        <v>4413175</v>
      </c>
      <c r="C336" s="8" t="s">
        <v>1493</v>
      </c>
      <c r="D336" s="19" t="n">
        <v>2</v>
      </c>
      <c r="E336" s="19" t="n">
        <v>172.081</v>
      </c>
      <c r="F336" s="19" t="n">
        <v>1.26315789473684</v>
      </c>
      <c r="G336" s="19" t="n">
        <v>108.740210526316</v>
      </c>
      <c r="H336" s="8" t="str">
        <f aca="false">IF(COUNTIF($J$1:$J$2,$A336)&gt;0,"Y","N")</f>
        <v>Y</v>
      </c>
    </row>
    <row r="337" customFormat="false" ht="15" hidden="false" customHeight="true" outlineLevel="0" collapsed="false">
      <c r="A337" s="8" t="s">
        <v>43</v>
      </c>
      <c r="B337" s="8" t="n">
        <v>4413176</v>
      </c>
      <c r="C337" s="8" t="s">
        <v>1494</v>
      </c>
      <c r="D337" s="19" t="n">
        <v>5</v>
      </c>
      <c r="E337" s="19" t="n">
        <v>398.268</v>
      </c>
      <c r="F337" s="19" t="n">
        <v>1.26315789473684</v>
      </c>
      <c r="G337" s="19" t="n">
        <v>108.740210526316</v>
      </c>
      <c r="H337" s="8" t="str">
        <f aca="false">IF(COUNTIF($J$1:$J$2,$A337)&gt;0,"Y","N")</f>
        <v>Y</v>
      </c>
    </row>
    <row r="338" customFormat="false" ht="15" hidden="false" customHeight="true" outlineLevel="0" collapsed="false">
      <c r="A338" s="8" t="s">
        <v>43</v>
      </c>
      <c r="B338" s="8" t="n">
        <v>4413177</v>
      </c>
      <c r="C338" s="8" t="s">
        <v>1495</v>
      </c>
      <c r="D338" s="19" t="n">
        <v>4</v>
      </c>
      <c r="E338" s="19" t="n">
        <v>296.076</v>
      </c>
      <c r="F338" s="19" t="n">
        <v>2.52631578947368</v>
      </c>
      <c r="G338" s="19" t="n">
        <v>217.595368421053</v>
      </c>
      <c r="H338" s="8" t="str">
        <f aca="false">IF(COUNTIF($J$1:$J$2,$A338)&gt;0,"Y","N")</f>
        <v>Y</v>
      </c>
    </row>
    <row r="339" customFormat="false" ht="15" hidden="false" customHeight="true" outlineLevel="0" collapsed="false">
      <c r="A339" s="8" t="s">
        <v>43</v>
      </c>
      <c r="B339" s="8" t="n">
        <v>4413178</v>
      </c>
      <c r="C339" s="8" t="s">
        <v>1496</v>
      </c>
      <c r="D339" s="19" t="n">
        <v>1</v>
      </c>
      <c r="E339" s="19" t="n">
        <v>84.994</v>
      </c>
      <c r="F339" s="19" t="n">
        <v>0</v>
      </c>
      <c r="G339" s="19" t="n">
        <v>0</v>
      </c>
      <c r="H339" s="8" t="str">
        <f aca="false">IF(COUNTIF($J$1:$J$2,$A339)&gt;0,"Y","N")</f>
        <v>Y</v>
      </c>
    </row>
    <row r="340" customFormat="false" ht="15" hidden="false" customHeight="true" outlineLevel="0" collapsed="false">
      <c r="A340" s="8" t="s">
        <v>43</v>
      </c>
      <c r="B340" s="8" t="n">
        <v>4413179</v>
      </c>
      <c r="C340" s="8" t="s">
        <v>1497</v>
      </c>
      <c r="D340" s="19" t="n">
        <v>4</v>
      </c>
      <c r="E340" s="19" t="n">
        <v>366.093</v>
      </c>
      <c r="F340" s="19" t="n">
        <v>0</v>
      </c>
      <c r="G340" s="19" t="n">
        <v>0</v>
      </c>
      <c r="H340" s="8" t="str">
        <f aca="false">IF(COUNTIF($J$1:$J$2,$A340)&gt;0,"Y","N")</f>
        <v>Y</v>
      </c>
    </row>
    <row r="341" customFormat="false" ht="15" hidden="false" customHeight="true" outlineLevel="0" collapsed="false">
      <c r="A341" s="8" t="s">
        <v>43</v>
      </c>
      <c r="B341" s="8" t="n">
        <v>4413180</v>
      </c>
      <c r="C341" s="8" t="s">
        <v>849</v>
      </c>
      <c r="D341" s="19" t="n">
        <v>2</v>
      </c>
      <c r="E341" s="19" t="n">
        <v>207.91</v>
      </c>
      <c r="F341" s="19" t="n">
        <v>0</v>
      </c>
      <c r="G341" s="19" t="n">
        <v>0</v>
      </c>
      <c r="H341" s="8" t="str">
        <f aca="false">IF(COUNTIF($J$1:$J$2,$A341)&gt;0,"Y","N")</f>
        <v>Y</v>
      </c>
    </row>
    <row r="342" customFormat="false" ht="15" hidden="false" customHeight="true" outlineLevel="0" collapsed="false">
      <c r="A342" s="8" t="s">
        <v>43</v>
      </c>
      <c r="B342" s="8" t="n">
        <v>4413181</v>
      </c>
      <c r="C342" s="8" t="s">
        <v>1498</v>
      </c>
      <c r="D342" s="19" t="n">
        <v>3</v>
      </c>
      <c r="E342" s="19" t="n">
        <v>281.099</v>
      </c>
      <c r="F342" s="19" t="n">
        <v>0</v>
      </c>
      <c r="G342" s="19" t="n">
        <v>0</v>
      </c>
      <c r="H342" s="8" t="str">
        <f aca="false">IF(COUNTIF($J$1:$J$2,$A342)&gt;0,"Y","N")</f>
        <v>Y</v>
      </c>
    </row>
    <row r="343" customFormat="false" ht="15" hidden="false" customHeight="true" outlineLevel="0" collapsed="false">
      <c r="A343" s="8" t="s">
        <v>43</v>
      </c>
      <c r="B343" s="8" t="n">
        <v>4413183</v>
      </c>
      <c r="C343" s="8" t="s">
        <v>1499</v>
      </c>
      <c r="D343" s="19" t="n">
        <v>1</v>
      </c>
      <c r="E343" s="19" t="n">
        <v>94.64</v>
      </c>
      <c r="F343" s="19" t="n">
        <v>2.52631578947368</v>
      </c>
      <c r="G343" s="19" t="n">
        <v>242.309052631579</v>
      </c>
      <c r="H343" s="8" t="str">
        <f aca="false">IF(COUNTIF($J$1:$J$2,$A343)&gt;0,"Y","N")</f>
        <v>Y</v>
      </c>
    </row>
    <row r="344" customFormat="false" ht="15" hidden="false" customHeight="true" outlineLevel="0" collapsed="false">
      <c r="A344" s="8" t="s">
        <v>43</v>
      </c>
      <c r="B344" s="8" t="n">
        <v>4413184</v>
      </c>
      <c r="C344" s="8" t="s">
        <v>1500</v>
      </c>
      <c r="D344" s="19" t="n">
        <v>5</v>
      </c>
      <c r="E344" s="19" t="n">
        <v>485.345</v>
      </c>
      <c r="F344" s="19" t="n">
        <v>1.26315789473684</v>
      </c>
      <c r="G344" s="19" t="n">
        <v>121.154526315789</v>
      </c>
      <c r="H344" s="8" t="str">
        <f aca="false">IF(COUNTIF($J$1:$J$2,$A344)&gt;0,"Y","N")</f>
        <v>Y</v>
      </c>
    </row>
    <row r="345" customFormat="false" ht="15" hidden="false" customHeight="true" outlineLevel="0" collapsed="false">
      <c r="A345" s="8" t="s">
        <v>43</v>
      </c>
      <c r="B345" s="8" t="n">
        <v>4413185</v>
      </c>
      <c r="C345" s="8" t="s">
        <v>1501</v>
      </c>
      <c r="D345" s="19" t="n">
        <v>5</v>
      </c>
      <c r="E345" s="19" t="n">
        <v>478.296</v>
      </c>
      <c r="F345" s="19" t="n">
        <v>2.52631578947368</v>
      </c>
      <c r="G345" s="19" t="n">
        <v>242.309052631579</v>
      </c>
      <c r="H345" s="8" t="str">
        <f aca="false">IF(COUNTIF($J$1:$J$2,$A345)&gt;0,"Y","N")</f>
        <v>Y</v>
      </c>
    </row>
    <row r="346" customFormat="false" ht="15" hidden="false" customHeight="true" outlineLevel="0" collapsed="false">
      <c r="A346" s="8" t="s">
        <v>43</v>
      </c>
      <c r="B346" s="8" t="n">
        <v>4413195</v>
      </c>
      <c r="C346" s="8" t="s">
        <v>1502</v>
      </c>
      <c r="D346" s="19" t="n">
        <v>6</v>
      </c>
      <c r="E346" s="19" t="n">
        <v>998.234</v>
      </c>
      <c r="F346" s="19" t="n">
        <v>6.31578947368421</v>
      </c>
      <c r="G346" s="19" t="n">
        <v>1103.31789473684</v>
      </c>
      <c r="H346" s="8" t="str">
        <f aca="false">IF(COUNTIF($J$1:$J$2,$A346)&gt;0,"Y","N")</f>
        <v>Y</v>
      </c>
    </row>
    <row r="347" customFormat="false" ht="15" hidden="false" customHeight="true" outlineLevel="0" collapsed="false">
      <c r="A347" s="8" t="s">
        <v>43</v>
      </c>
      <c r="B347" s="8" t="n">
        <v>4413196</v>
      </c>
      <c r="C347" s="8" t="s">
        <v>1503</v>
      </c>
      <c r="D347" s="19" t="n">
        <v>26</v>
      </c>
      <c r="E347" s="19" t="n">
        <v>4371.661</v>
      </c>
      <c r="F347" s="19" t="n">
        <v>16.4210526315789</v>
      </c>
      <c r="G347" s="19" t="n">
        <v>2901.51789473684</v>
      </c>
      <c r="H347" s="8" t="str">
        <f aca="false">IF(COUNTIF($J$1:$J$2,$A347)&gt;0,"Y","N")</f>
        <v>Y</v>
      </c>
    </row>
    <row r="348" customFormat="false" ht="15" hidden="false" customHeight="true" outlineLevel="0" collapsed="false">
      <c r="A348" s="8" t="s">
        <v>43</v>
      </c>
      <c r="B348" s="8" t="n">
        <v>4413197</v>
      </c>
      <c r="C348" s="8" t="s">
        <v>1504</v>
      </c>
      <c r="D348" s="19" t="n">
        <v>44</v>
      </c>
      <c r="E348" s="19" t="n">
        <v>7528.857</v>
      </c>
      <c r="F348" s="19" t="n">
        <v>48</v>
      </c>
      <c r="G348" s="19" t="n">
        <v>8168.51873684211</v>
      </c>
      <c r="H348" s="8" t="str">
        <f aca="false">IF(COUNTIF($J$1:$J$2,$A348)&gt;0,"Y","N")</f>
        <v>Y</v>
      </c>
    </row>
    <row r="349" customFormat="false" ht="15" hidden="false" customHeight="true" outlineLevel="0" collapsed="false">
      <c r="A349" s="8" t="s">
        <v>43</v>
      </c>
      <c r="B349" s="8" t="n">
        <v>4413198</v>
      </c>
      <c r="C349" s="8" t="s">
        <v>1505</v>
      </c>
      <c r="D349" s="19" t="n">
        <v>34</v>
      </c>
      <c r="E349" s="19" t="n">
        <v>5519.571</v>
      </c>
      <c r="F349" s="19" t="n">
        <v>31.5789473684211</v>
      </c>
      <c r="G349" s="19" t="n">
        <v>5389.02568421053</v>
      </c>
      <c r="H349" s="8" t="str">
        <f aca="false">IF(COUNTIF($J$1:$J$2,$A349)&gt;0,"Y","N")</f>
        <v>Y</v>
      </c>
    </row>
    <row r="350" customFormat="false" ht="15" hidden="false" customHeight="true" outlineLevel="0" collapsed="false">
      <c r="A350" s="8" t="s">
        <v>43</v>
      </c>
      <c r="B350" s="8" t="n">
        <v>4413204</v>
      </c>
      <c r="C350" s="8" t="s">
        <v>1506</v>
      </c>
      <c r="D350" s="19" t="n">
        <v>13</v>
      </c>
      <c r="E350" s="19" t="n">
        <v>1965.28</v>
      </c>
      <c r="F350" s="19" t="n">
        <v>18.9473684210526</v>
      </c>
      <c r="G350" s="19" t="n">
        <v>3113.76631578947</v>
      </c>
      <c r="H350" s="8" t="str">
        <f aca="false">IF(COUNTIF($J$1:$J$2,$A350)&gt;0,"Y","N")</f>
        <v>Y</v>
      </c>
    </row>
    <row r="351" customFormat="false" ht="15" hidden="false" customHeight="true" outlineLevel="0" collapsed="false">
      <c r="A351" s="8" t="s">
        <v>43</v>
      </c>
      <c r="B351" s="8" t="n">
        <v>4413210</v>
      </c>
      <c r="C351" s="8" t="s">
        <v>1507</v>
      </c>
      <c r="D351" s="19" t="n">
        <v>0</v>
      </c>
      <c r="E351" s="19" t="n">
        <v>0</v>
      </c>
      <c r="F351" s="19" t="n">
        <v>1.26315789473684</v>
      </c>
      <c r="G351" s="19" t="n">
        <v>108.625263157895</v>
      </c>
      <c r="H351" s="8" t="str">
        <f aca="false">IF(COUNTIF($J$1:$J$2,$A351)&gt;0,"Y","N")</f>
        <v>Y</v>
      </c>
    </row>
    <row r="352" customFormat="false" ht="15" hidden="false" customHeight="true" outlineLevel="0" collapsed="false">
      <c r="A352" s="8" t="s">
        <v>43</v>
      </c>
      <c r="B352" s="8" t="n">
        <v>4413224</v>
      </c>
      <c r="C352" s="8" t="s">
        <v>1508</v>
      </c>
      <c r="D352" s="19" t="n">
        <v>2</v>
      </c>
      <c r="E352" s="19" t="n">
        <v>215.761</v>
      </c>
      <c r="F352" s="19" t="n">
        <v>2.52631578947368</v>
      </c>
      <c r="G352" s="19" t="n">
        <v>285.544421052632</v>
      </c>
      <c r="H352" s="8" t="str">
        <f aca="false">IF(COUNTIF($J$1:$J$2,$A352)&gt;0,"Y","N")</f>
        <v>Y</v>
      </c>
    </row>
    <row r="353" customFormat="false" ht="15" hidden="false" customHeight="true" outlineLevel="0" collapsed="false">
      <c r="A353" s="8" t="s">
        <v>43</v>
      </c>
      <c r="B353" s="8" t="n">
        <v>4413225</v>
      </c>
      <c r="C353" s="8" t="s">
        <v>1509</v>
      </c>
      <c r="D353" s="19" t="n">
        <v>1</v>
      </c>
      <c r="E353" s="19" t="n">
        <v>107.926</v>
      </c>
      <c r="F353" s="19" t="n">
        <v>0</v>
      </c>
      <c r="G353" s="19" t="n">
        <v>0</v>
      </c>
      <c r="H353" s="8" t="str">
        <f aca="false">IF(COUNTIF($J$1:$J$2,$A353)&gt;0,"Y","N")</f>
        <v>Y</v>
      </c>
    </row>
    <row r="354" customFormat="false" ht="15" hidden="false" customHeight="true" outlineLevel="0" collapsed="false">
      <c r="A354" s="8" t="s">
        <v>43</v>
      </c>
      <c r="B354" s="8" t="n">
        <v>4413226</v>
      </c>
      <c r="C354" s="8" t="s">
        <v>1510</v>
      </c>
      <c r="D354" s="19" t="n">
        <v>2</v>
      </c>
      <c r="E354" s="19" t="n">
        <v>215.761</v>
      </c>
      <c r="F354" s="19" t="n">
        <v>0</v>
      </c>
      <c r="G354" s="19" t="n">
        <v>0</v>
      </c>
      <c r="H354" s="8" t="str">
        <f aca="false">IF(COUNTIF($J$1:$J$2,$A354)&gt;0,"Y","N")</f>
        <v>Y</v>
      </c>
    </row>
    <row r="355" customFormat="false" ht="15" hidden="false" customHeight="true" outlineLevel="0" collapsed="false">
      <c r="A355" s="8" t="s">
        <v>43</v>
      </c>
      <c r="B355" s="8" t="n">
        <v>4413260</v>
      </c>
      <c r="C355" s="8" t="s">
        <v>1511</v>
      </c>
      <c r="D355" s="19" t="n">
        <v>0</v>
      </c>
      <c r="E355" s="19" t="n">
        <v>0</v>
      </c>
      <c r="F355" s="19" t="n">
        <v>3.78947368421053</v>
      </c>
      <c r="G355" s="19" t="n">
        <v>434.761263157895</v>
      </c>
      <c r="H355" s="8" t="str">
        <f aca="false">IF(COUNTIF($J$1:$J$2,$A355)&gt;0,"Y","N")</f>
        <v>Y</v>
      </c>
    </row>
    <row r="356" customFormat="false" ht="15" hidden="false" customHeight="true" outlineLevel="0" collapsed="false">
      <c r="A356" s="8" t="s">
        <v>43</v>
      </c>
      <c r="B356" s="8" t="n">
        <v>4413262</v>
      </c>
      <c r="C356" s="8" t="s">
        <v>1512</v>
      </c>
      <c r="D356" s="19" t="n">
        <v>2</v>
      </c>
      <c r="E356" s="19" t="n">
        <v>372.554</v>
      </c>
      <c r="F356" s="19" t="n">
        <v>0</v>
      </c>
      <c r="G356" s="19" t="n">
        <v>0</v>
      </c>
      <c r="H356" s="8" t="str">
        <f aca="false">IF(COUNTIF($J$1:$J$2,$A356)&gt;0,"Y","N")</f>
        <v>Y</v>
      </c>
    </row>
    <row r="357" customFormat="false" ht="15" hidden="false" customHeight="true" outlineLevel="0" collapsed="false">
      <c r="A357" s="8" t="s">
        <v>43</v>
      </c>
      <c r="B357" s="8" t="n">
        <v>4413276</v>
      </c>
      <c r="C357" s="8" t="s">
        <v>1513</v>
      </c>
      <c r="D357" s="19" t="n">
        <v>2</v>
      </c>
      <c r="E357" s="19" t="n">
        <v>43.134</v>
      </c>
      <c r="F357" s="19" t="n">
        <v>5.05263157894737</v>
      </c>
      <c r="G357" s="19" t="n">
        <v>210.238736842105</v>
      </c>
      <c r="H357" s="8" t="str">
        <f aca="false">IF(COUNTIF($J$1:$J$2,$A357)&gt;0,"Y","N")</f>
        <v>Y</v>
      </c>
    </row>
    <row r="358" customFormat="false" ht="15" hidden="false" customHeight="true" outlineLevel="0" collapsed="false">
      <c r="A358" s="8" t="s">
        <v>43</v>
      </c>
      <c r="B358" s="8" t="n">
        <v>4413277</v>
      </c>
      <c r="C358" s="8" t="s">
        <v>1514</v>
      </c>
      <c r="D358" s="19" t="n">
        <v>4</v>
      </c>
      <c r="E358" s="19" t="n">
        <v>169.26</v>
      </c>
      <c r="F358" s="19" t="n">
        <v>2.52631578947368</v>
      </c>
      <c r="G358" s="19" t="n">
        <v>87.0151578947368</v>
      </c>
      <c r="H358" s="8" t="str">
        <f aca="false">IF(COUNTIF($J$1:$J$2,$A358)&gt;0,"Y","N")</f>
        <v>Y</v>
      </c>
    </row>
    <row r="359" customFormat="false" ht="15" hidden="false" customHeight="true" outlineLevel="0" collapsed="false">
      <c r="A359" s="8" t="s">
        <v>43</v>
      </c>
      <c r="B359" s="8" t="n">
        <v>4413278</v>
      </c>
      <c r="C359" s="8" t="s">
        <v>1515</v>
      </c>
      <c r="D359" s="19" t="n">
        <v>5</v>
      </c>
      <c r="E359" s="19" t="n">
        <v>197.925</v>
      </c>
      <c r="F359" s="19" t="n">
        <v>1.26315789473684</v>
      </c>
      <c r="G359" s="19" t="n">
        <v>40.0016842105263</v>
      </c>
      <c r="H359" s="8" t="str">
        <f aca="false">IF(COUNTIF($J$1:$J$2,$A359)&gt;0,"Y","N")</f>
        <v>Y</v>
      </c>
    </row>
    <row r="360" customFormat="false" ht="15" hidden="false" customHeight="true" outlineLevel="0" collapsed="false">
      <c r="A360" s="8" t="s">
        <v>43</v>
      </c>
      <c r="B360" s="8" t="n">
        <v>4413282</v>
      </c>
      <c r="C360" s="8" t="s">
        <v>1516</v>
      </c>
      <c r="D360" s="19" t="n">
        <v>0</v>
      </c>
      <c r="E360" s="19" t="n">
        <v>-12.285</v>
      </c>
      <c r="F360" s="19" t="n">
        <v>0</v>
      </c>
      <c r="G360" s="19" t="n">
        <v>0</v>
      </c>
      <c r="H360" s="8" t="str">
        <f aca="false">IF(COUNTIF($J$1:$J$2,$A360)&gt;0,"Y","N")</f>
        <v>Y</v>
      </c>
    </row>
    <row r="361" customFormat="false" ht="15" hidden="false" customHeight="true" outlineLevel="0" collapsed="false">
      <c r="A361" s="8" t="s">
        <v>43</v>
      </c>
      <c r="B361" s="8" t="n">
        <v>4413283</v>
      </c>
      <c r="C361" s="8" t="s">
        <v>1517</v>
      </c>
      <c r="D361" s="19" t="n">
        <v>1</v>
      </c>
      <c r="E361" s="19" t="n">
        <v>172.718</v>
      </c>
      <c r="F361" s="19" t="n">
        <v>0</v>
      </c>
      <c r="G361" s="19" t="n">
        <v>0</v>
      </c>
      <c r="H361" s="8" t="str">
        <f aca="false">IF(COUNTIF($J$1:$J$2,$A361)&gt;0,"Y","N")</f>
        <v>Y</v>
      </c>
    </row>
    <row r="362" customFormat="false" ht="15" hidden="false" customHeight="true" outlineLevel="0" collapsed="false">
      <c r="A362" s="8" t="s">
        <v>43</v>
      </c>
      <c r="B362" s="8" t="n">
        <v>4413284</v>
      </c>
      <c r="C362" s="8" t="s">
        <v>1518</v>
      </c>
      <c r="D362" s="19" t="n">
        <v>1</v>
      </c>
      <c r="E362" s="19" t="n">
        <v>185.094</v>
      </c>
      <c r="F362" s="19" t="n">
        <v>2.52631578947368</v>
      </c>
      <c r="G362" s="19" t="n">
        <v>467.605894736842</v>
      </c>
      <c r="H362" s="8" t="str">
        <f aca="false">IF(COUNTIF($J$1:$J$2,$A362)&gt;0,"Y","N")</f>
        <v>Y</v>
      </c>
    </row>
    <row r="363" customFormat="false" ht="15" hidden="false" customHeight="true" outlineLevel="0" collapsed="false">
      <c r="A363" s="8" t="s">
        <v>43</v>
      </c>
      <c r="B363" s="8" t="n">
        <v>4413286</v>
      </c>
      <c r="C363" s="8" t="s">
        <v>1519</v>
      </c>
      <c r="D363" s="19" t="n">
        <v>1</v>
      </c>
      <c r="E363" s="19" t="n">
        <v>103.96</v>
      </c>
      <c r="F363" s="19" t="n">
        <v>3.78947368421053</v>
      </c>
      <c r="G363" s="19" t="n">
        <v>358.635789473684</v>
      </c>
      <c r="H363" s="8" t="str">
        <f aca="false">IF(COUNTIF($J$1:$J$2,$A363)&gt;0,"Y","N")</f>
        <v>Y</v>
      </c>
    </row>
    <row r="364" customFormat="false" ht="15" hidden="false" customHeight="true" outlineLevel="0" collapsed="false">
      <c r="A364" s="8" t="s">
        <v>43</v>
      </c>
      <c r="B364" s="8" t="n">
        <v>4413303</v>
      </c>
      <c r="C364" s="8" t="s">
        <v>1520</v>
      </c>
      <c r="D364" s="19" t="n">
        <v>5</v>
      </c>
      <c r="E364" s="19" t="n">
        <v>315.406</v>
      </c>
      <c r="F364" s="19" t="n">
        <v>0</v>
      </c>
      <c r="G364" s="19" t="n">
        <v>0</v>
      </c>
      <c r="H364" s="8" t="str">
        <f aca="false">IF(COUNTIF($J$1:$J$2,$A364)&gt;0,"Y","N")</f>
        <v>Y</v>
      </c>
    </row>
    <row r="365" customFormat="false" ht="15" hidden="false" customHeight="true" outlineLevel="0" collapsed="false">
      <c r="A365" s="8" t="s">
        <v>43</v>
      </c>
      <c r="B365" s="8" t="n">
        <v>4413307</v>
      </c>
      <c r="C365" s="8" t="s">
        <v>1521</v>
      </c>
      <c r="D365" s="19" t="n">
        <v>157</v>
      </c>
      <c r="E365" s="19" t="n">
        <v>4466.764</v>
      </c>
      <c r="F365" s="19" t="n">
        <v>107.368421052632</v>
      </c>
      <c r="G365" s="19" t="n">
        <v>3065.45431578947</v>
      </c>
      <c r="H365" s="8" t="str">
        <f aca="false">IF(COUNTIF($J$1:$J$2,$A365)&gt;0,"Y","N")</f>
        <v>Y</v>
      </c>
    </row>
    <row r="366" customFormat="false" ht="15" hidden="false" customHeight="true" outlineLevel="0" collapsed="false">
      <c r="A366" s="8" t="s">
        <v>43</v>
      </c>
      <c r="B366" s="8" t="n">
        <v>4413324</v>
      </c>
      <c r="C366" s="8" t="s">
        <v>1522</v>
      </c>
      <c r="D366" s="19" t="n">
        <v>8</v>
      </c>
      <c r="E366" s="19" t="n">
        <v>219.219</v>
      </c>
      <c r="F366" s="19" t="n">
        <v>0</v>
      </c>
      <c r="G366" s="19" t="n">
        <v>0</v>
      </c>
      <c r="H366" s="8" t="str">
        <f aca="false">IF(COUNTIF($J$1:$J$2,$A366)&gt;0,"Y","N")</f>
        <v>Y</v>
      </c>
    </row>
    <row r="367" customFormat="false" ht="15" hidden="false" customHeight="true" outlineLevel="0" collapsed="false">
      <c r="A367" s="8" t="s">
        <v>43</v>
      </c>
      <c r="B367" s="8" t="n">
        <v>4413326</v>
      </c>
      <c r="C367" s="8" t="s">
        <v>1523</v>
      </c>
      <c r="D367" s="19" t="n">
        <v>381</v>
      </c>
      <c r="E367" s="19" t="n">
        <v>10985.397</v>
      </c>
      <c r="F367" s="19" t="n">
        <v>433.263157894737</v>
      </c>
      <c r="G367" s="19" t="n">
        <v>13136.4884210526</v>
      </c>
      <c r="H367" s="8" t="str">
        <f aca="false">IF(COUNTIF($J$1:$J$2,$A367)&gt;0,"Y","N")</f>
        <v>Y</v>
      </c>
    </row>
    <row r="368" customFormat="false" ht="15" hidden="false" customHeight="true" outlineLevel="0" collapsed="false">
      <c r="A368" s="8" t="s">
        <v>43</v>
      </c>
      <c r="B368" s="8" t="n">
        <v>4413328</v>
      </c>
      <c r="C368" s="8" t="s">
        <v>1524</v>
      </c>
      <c r="D368" s="19" t="n">
        <v>118</v>
      </c>
      <c r="E368" s="19" t="n">
        <v>10237.871</v>
      </c>
      <c r="F368" s="19" t="n">
        <v>102.315789473684</v>
      </c>
      <c r="G368" s="19" t="n">
        <v>9113.856</v>
      </c>
      <c r="H368" s="8" t="str">
        <f aca="false">IF(COUNTIF($J$1:$J$2,$A368)&gt;0,"Y","N")</f>
        <v>Y</v>
      </c>
    </row>
    <row r="369" customFormat="false" ht="15" hidden="false" customHeight="true" outlineLevel="0" collapsed="false">
      <c r="A369" s="8" t="s">
        <v>43</v>
      </c>
      <c r="B369" s="8" t="n">
        <v>4413329</v>
      </c>
      <c r="C369" s="8" t="s">
        <v>1525</v>
      </c>
      <c r="D369" s="19" t="n">
        <v>560</v>
      </c>
      <c r="E369" s="19" t="n">
        <v>34028.83</v>
      </c>
      <c r="F369" s="19" t="n">
        <v>630.315789473684</v>
      </c>
      <c r="G369" s="19" t="n">
        <v>38814.9536842105</v>
      </c>
      <c r="H369" s="8" t="str">
        <f aca="false">IF(COUNTIF($J$1:$J$2,$A369)&gt;0,"Y","N")</f>
        <v>Y</v>
      </c>
    </row>
    <row r="370" customFormat="false" ht="15" hidden="false" customHeight="true" outlineLevel="0" collapsed="false">
      <c r="A370" s="8" t="s">
        <v>43</v>
      </c>
      <c r="B370" s="8" t="n">
        <v>4413330</v>
      </c>
      <c r="C370" s="8" t="s">
        <v>1526</v>
      </c>
      <c r="D370" s="19" t="n">
        <v>22</v>
      </c>
      <c r="E370" s="19" t="n">
        <v>1155.094</v>
      </c>
      <c r="F370" s="19" t="n">
        <v>32.8421052631579</v>
      </c>
      <c r="G370" s="19" t="n">
        <v>1847.24589473684</v>
      </c>
      <c r="H370" s="8" t="str">
        <f aca="false">IF(COUNTIF($J$1:$J$2,$A370)&gt;0,"Y","N")</f>
        <v>Y</v>
      </c>
    </row>
    <row r="371" customFormat="false" ht="15" hidden="false" customHeight="true" outlineLevel="0" collapsed="false">
      <c r="A371" s="8" t="s">
        <v>43</v>
      </c>
      <c r="B371" s="8" t="n">
        <v>4413331</v>
      </c>
      <c r="C371" s="8" t="s">
        <v>1527</v>
      </c>
      <c r="D371" s="19" t="n">
        <v>246</v>
      </c>
      <c r="E371" s="19" t="n">
        <v>8222.189</v>
      </c>
      <c r="F371" s="19" t="n">
        <v>202.105263157895</v>
      </c>
      <c r="G371" s="19" t="n">
        <v>6970.74568421053</v>
      </c>
      <c r="H371" s="8" t="str">
        <f aca="false">IF(COUNTIF($J$1:$J$2,$A371)&gt;0,"Y","N")</f>
        <v>Y</v>
      </c>
    </row>
    <row r="372" customFormat="false" ht="15" hidden="false" customHeight="true" outlineLevel="0" collapsed="false">
      <c r="A372" s="8" t="s">
        <v>43</v>
      </c>
      <c r="B372" s="8" t="n">
        <v>4413332</v>
      </c>
      <c r="C372" s="8" t="s">
        <v>1528</v>
      </c>
      <c r="D372" s="19" t="n">
        <v>6</v>
      </c>
      <c r="E372" s="19" t="n">
        <v>162.782</v>
      </c>
      <c r="F372" s="19" t="n">
        <v>10.1052631578947</v>
      </c>
      <c r="G372" s="19" t="n">
        <v>263.856</v>
      </c>
      <c r="H372" s="8" t="str">
        <f aca="false">IF(COUNTIF($J$1:$J$2,$A372)&gt;0,"Y","N")</f>
        <v>Y</v>
      </c>
    </row>
    <row r="373" customFormat="false" ht="15" hidden="false" customHeight="true" outlineLevel="0" collapsed="false">
      <c r="A373" s="8" t="s">
        <v>43</v>
      </c>
      <c r="B373" s="8" t="n">
        <v>4413335</v>
      </c>
      <c r="C373" s="8" t="s">
        <v>1529</v>
      </c>
      <c r="D373" s="19" t="n">
        <v>2</v>
      </c>
      <c r="E373" s="19" t="n">
        <v>232.505</v>
      </c>
      <c r="F373" s="19" t="n">
        <v>0</v>
      </c>
      <c r="G373" s="19" t="n">
        <v>0</v>
      </c>
      <c r="H373" s="8" t="str">
        <f aca="false">IF(COUNTIF($J$1:$J$2,$A373)&gt;0,"Y","N")</f>
        <v>Y</v>
      </c>
    </row>
    <row r="374" customFormat="false" ht="15" hidden="false" customHeight="true" outlineLevel="0" collapsed="false">
      <c r="A374" s="8" t="s">
        <v>43</v>
      </c>
      <c r="B374" s="8" t="n">
        <v>4413336</v>
      </c>
      <c r="C374" s="8" t="s">
        <v>1530</v>
      </c>
      <c r="D374" s="19" t="n">
        <v>1</v>
      </c>
      <c r="E374" s="19" t="n">
        <v>116.389</v>
      </c>
      <c r="F374" s="19" t="n">
        <v>0</v>
      </c>
      <c r="G374" s="19" t="n">
        <v>0</v>
      </c>
      <c r="H374" s="8" t="str">
        <f aca="false">IF(COUNTIF($J$1:$J$2,$A374)&gt;0,"Y","N")</f>
        <v>Y</v>
      </c>
    </row>
    <row r="375" customFormat="false" ht="15" hidden="false" customHeight="true" outlineLevel="0" collapsed="false">
      <c r="A375" s="8" t="s">
        <v>43</v>
      </c>
      <c r="B375" s="8" t="n">
        <v>4413337</v>
      </c>
      <c r="C375" s="8" t="s">
        <v>1531</v>
      </c>
      <c r="D375" s="19" t="n">
        <v>0</v>
      </c>
      <c r="E375" s="19" t="n">
        <v>0</v>
      </c>
      <c r="F375" s="19" t="n">
        <v>6.31578947368421</v>
      </c>
      <c r="G375" s="19" t="n">
        <v>735.203368421053</v>
      </c>
      <c r="H375" s="8" t="str">
        <f aca="false">IF(COUNTIF($J$1:$J$2,$A375)&gt;0,"Y","N")</f>
        <v>Y</v>
      </c>
    </row>
    <row r="376" customFormat="false" ht="15" hidden="false" customHeight="true" outlineLevel="0" collapsed="false">
      <c r="A376" s="8" t="s">
        <v>43</v>
      </c>
      <c r="B376" s="8" t="n">
        <v>4413338</v>
      </c>
      <c r="C376" s="8" t="s">
        <v>1532</v>
      </c>
      <c r="D376" s="19" t="n">
        <v>1</v>
      </c>
      <c r="E376" s="19" t="n">
        <v>116.116</v>
      </c>
      <c r="F376" s="19" t="n">
        <v>0</v>
      </c>
      <c r="G376" s="19" t="n">
        <v>0</v>
      </c>
      <c r="H376" s="8" t="str">
        <f aca="false">IF(COUNTIF($J$1:$J$2,$A376)&gt;0,"Y","N")</f>
        <v>Y</v>
      </c>
    </row>
    <row r="377" customFormat="false" ht="15" hidden="false" customHeight="true" outlineLevel="0" collapsed="false">
      <c r="A377" s="8" t="s">
        <v>43</v>
      </c>
      <c r="B377" s="8" t="n">
        <v>4413339</v>
      </c>
      <c r="C377" s="8" t="s">
        <v>1533</v>
      </c>
      <c r="D377" s="19" t="n">
        <v>0</v>
      </c>
      <c r="E377" s="19" t="n">
        <v>0</v>
      </c>
      <c r="F377" s="19" t="n">
        <v>-2.52631578947368</v>
      </c>
      <c r="G377" s="19" t="n">
        <v>-325.875789473684</v>
      </c>
      <c r="H377" s="8" t="str">
        <f aca="false">IF(COUNTIF($J$1:$J$2,$A377)&gt;0,"Y","N")</f>
        <v>Y</v>
      </c>
    </row>
    <row r="378" customFormat="false" ht="15" hidden="false" customHeight="true" outlineLevel="0" collapsed="false">
      <c r="A378" s="8" t="s">
        <v>43</v>
      </c>
      <c r="B378" s="8" t="n">
        <v>4413340</v>
      </c>
      <c r="C378" s="8" t="s">
        <v>1534</v>
      </c>
      <c r="D378" s="19" t="n">
        <v>14</v>
      </c>
      <c r="E378" s="19" t="n">
        <v>649.922</v>
      </c>
      <c r="F378" s="19" t="n">
        <v>25.2631578947368</v>
      </c>
      <c r="G378" s="19" t="n">
        <v>1450.06105263158</v>
      </c>
      <c r="H378" s="8" t="str">
        <f aca="false">IF(COUNTIF($J$1:$J$2,$A378)&gt;0,"Y","N")</f>
        <v>Y</v>
      </c>
    </row>
    <row r="379" customFormat="false" ht="15" hidden="false" customHeight="true" outlineLevel="0" collapsed="false">
      <c r="A379" s="8" t="s">
        <v>43</v>
      </c>
      <c r="B379" s="8" t="n">
        <v>4413341</v>
      </c>
      <c r="C379" s="8" t="s">
        <v>1535</v>
      </c>
      <c r="D379" s="19" t="n">
        <v>3</v>
      </c>
      <c r="E379" s="19" t="n">
        <v>466.284</v>
      </c>
      <c r="F379" s="19" t="n">
        <v>0</v>
      </c>
      <c r="G379" s="19" t="n">
        <v>0</v>
      </c>
      <c r="H379" s="8" t="str">
        <f aca="false">IF(COUNTIF($J$1:$J$2,$A379)&gt;0,"Y","N")</f>
        <v>Y</v>
      </c>
    </row>
    <row r="380" customFormat="false" ht="15" hidden="false" customHeight="true" outlineLevel="0" collapsed="false">
      <c r="A380" s="8" t="s">
        <v>43</v>
      </c>
      <c r="B380" s="8" t="n">
        <v>4413342</v>
      </c>
      <c r="C380" s="8" t="s">
        <v>1536</v>
      </c>
      <c r="D380" s="19" t="n">
        <v>4</v>
      </c>
      <c r="E380" s="19" t="n">
        <v>623.441</v>
      </c>
      <c r="F380" s="19" t="n">
        <v>0</v>
      </c>
      <c r="G380" s="19" t="n">
        <v>0</v>
      </c>
      <c r="H380" s="8" t="str">
        <f aca="false">IF(COUNTIF($J$1:$J$2,$A380)&gt;0,"Y","N")</f>
        <v>Y</v>
      </c>
    </row>
    <row r="381" customFormat="false" ht="15" hidden="false" customHeight="true" outlineLevel="0" collapsed="false">
      <c r="A381" s="8" t="s">
        <v>43</v>
      </c>
      <c r="B381" s="8" t="n">
        <v>4413344</v>
      </c>
      <c r="C381" s="8" t="s">
        <v>1537</v>
      </c>
      <c r="D381" s="19" t="n">
        <v>1</v>
      </c>
      <c r="E381" s="19" t="n">
        <v>159.25</v>
      </c>
      <c r="F381" s="19" t="n">
        <v>0</v>
      </c>
      <c r="G381" s="19" t="n">
        <v>0</v>
      </c>
      <c r="H381" s="8" t="str">
        <f aca="false">IF(COUNTIF($J$1:$J$2,$A381)&gt;0,"Y","N")</f>
        <v>Y</v>
      </c>
    </row>
    <row r="382" customFormat="false" ht="15" hidden="false" customHeight="true" outlineLevel="0" collapsed="false">
      <c r="A382" s="8" t="s">
        <v>43</v>
      </c>
      <c r="B382" s="8" t="n">
        <v>4413345</v>
      </c>
      <c r="C382" s="8" t="s">
        <v>1538</v>
      </c>
      <c r="D382" s="19" t="n">
        <v>3</v>
      </c>
      <c r="E382" s="19" t="n">
        <v>477.568</v>
      </c>
      <c r="F382" s="19" t="n">
        <v>0</v>
      </c>
      <c r="G382" s="19" t="n">
        <v>0</v>
      </c>
      <c r="H382" s="8" t="str">
        <f aca="false">IF(COUNTIF($J$1:$J$2,$A382)&gt;0,"Y","N")</f>
        <v>Y</v>
      </c>
    </row>
    <row r="383" customFormat="false" ht="15" hidden="false" customHeight="true" outlineLevel="0" collapsed="false">
      <c r="A383" s="8" t="s">
        <v>43</v>
      </c>
      <c r="B383" s="8" t="n">
        <v>4413347</v>
      </c>
      <c r="C383" s="8" t="s">
        <v>1539</v>
      </c>
      <c r="D383" s="19" t="n">
        <v>1</v>
      </c>
      <c r="E383" s="19" t="n">
        <v>116.389</v>
      </c>
      <c r="F383" s="19" t="n">
        <v>2.52631578947368</v>
      </c>
      <c r="G383" s="19" t="n">
        <v>294.035368421053</v>
      </c>
      <c r="H383" s="8" t="str">
        <f aca="false">IF(COUNTIF($J$1:$J$2,$A383)&gt;0,"Y","N")</f>
        <v>Y</v>
      </c>
    </row>
    <row r="384" customFormat="false" ht="15" hidden="false" customHeight="true" outlineLevel="0" collapsed="false">
      <c r="A384" s="8" t="s">
        <v>43</v>
      </c>
      <c r="B384" s="8" t="n">
        <v>4413348</v>
      </c>
      <c r="C384" s="8" t="s">
        <v>1540</v>
      </c>
      <c r="D384" s="19" t="n">
        <v>576</v>
      </c>
      <c r="E384" s="19" t="n">
        <v>31252.582</v>
      </c>
      <c r="F384" s="19" t="n">
        <v>329.684210526316</v>
      </c>
      <c r="G384" s="19" t="n">
        <v>19253.0298947368</v>
      </c>
      <c r="H384" s="8" t="str">
        <f aca="false">IF(COUNTIF($J$1:$J$2,$A384)&gt;0,"Y","N")</f>
        <v>Y</v>
      </c>
    </row>
    <row r="385" customFormat="false" ht="15" hidden="false" customHeight="true" outlineLevel="0" collapsed="false">
      <c r="A385" s="8" t="s">
        <v>43</v>
      </c>
      <c r="B385" s="8" t="n">
        <v>4413364</v>
      </c>
      <c r="C385" s="8" t="s">
        <v>1541</v>
      </c>
      <c r="D385" s="19" t="n">
        <v>227</v>
      </c>
      <c r="E385" s="19" t="n">
        <v>6192.976</v>
      </c>
      <c r="F385" s="19" t="n">
        <v>166.736842105263</v>
      </c>
      <c r="G385" s="19" t="n">
        <v>4551.61136842105</v>
      </c>
      <c r="H385" s="8" t="str">
        <f aca="false">IF(COUNTIF($J$1:$J$2,$A385)&gt;0,"Y","N")</f>
        <v>Y</v>
      </c>
    </row>
    <row r="386" customFormat="false" ht="15" hidden="false" customHeight="true" outlineLevel="0" collapsed="false">
      <c r="A386" s="8" t="s">
        <v>43</v>
      </c>
      <c r="B386" s="8" t="n">
        <v>4413365</v>
      </c>
      <c r="C386" s="8" t="s">
        <v>1542</v>
      </c>
      <c r="D386" s="19" t="n">
        <v>148</v>
      </c>
      <c r="E386" s="19" t="n">
        <v>4014.729</v>
      </c>
      <c r="F386" s="19" t="n">
        <v>106.105263157895</v>
      </c>
      <c r="G386" s="19" t="n">
        <v>2776.66863157895</v>
      </c>
      <c r="H386" s="8" t="str">
        <f aca="false">IF(COUNTIF($J$1:$J$2,$A386)&gt;0,"Y","N")</f>
        <v>Y</v>
      </c>
    </row>
    <row r="387" customFormat="false" ht="15" hidden="false" customHeight="true" outlineLevel="0" collapsed="false">
      <c r="A387" s="8" t="s">
        <v>43</v>
      </c>
      <c r="B387" s="8" t="n">
        <v>4413366</v>
      </c>
      <c r="C387" s="8" t="s">
        <v>1543</v>
      </c>
      <c r="D387" s="19" t="n">
        <v>155</v>
      </c>
      <c r="E387" s="19" t="n">
        <v>4216.576</v>
      </c>
      <c r="F387" s="19" t="n">
        <v>102.315789473684</v>
      </c>
      <c r="G387" s="19" t="n">
        <v>2780.00210526316</v>
      </c>
      <c r="H387" s="8" t="str">
        <f aca="false">IF(COUNTIF($J$1:$J$2,$A387)&gt;0,"Y","N")</f>
        <v>Y</v>
      </c>
    </row>
    <row r="388" customFormat="false" ht="15" hidden="false" customHeight="true" outlineLevel="0" collapsed="false">
      <c r="A388" s="8" t="s">
        <v>43</v>
      </c>
      <c r="B388" s="8" t="n">
        <v>4413367</v>
      </c>
      <c r="C388" s="8" t="s">
        <v>1544</v>
      </c>
      <c r="D388" s="19" t="n">
        <v>51</v>
      </c>
      <c r="E388" s="19" t="n">
        <v>1405.122</v>
      </c>
      <c r="F388" s="19" t="n">
        <v>44.2105263157895</v>
      </c>
      <c r="G388" s="19" t="n">
        <v>1209.47621052632</v>
      </c>
      <c r="H388" s="8" t="str">
        <f aca="false">IF(COUNTIF($J$1:$J$2,$A388)&gt;0,"Y","N")</f>
        <v>Y</v>
      </c>
    </row>
    <row r="389" customFormat="false" ht="15" hidden="false" customHeight="true" outlineLevel="0" collapsed="false">
      <c r="A389" s="8" t="s">
        <v>43</v>
      </c>
      <c r="B389" s="8" t="n">
        <v>4413368</v>
      </c>
      <c r="C389" s="8" t="s">
        <v>1545</v>
      </c>
      <c r="D389" s="19" t="n">
        <v>12</v>
      </c>
      <c r="E389" s="19" t="n">
        <v>320.229</v>
      </c>
      <c r="F389" s="19" t="n">
        <v>12.6315789473684</v>
      </c>
      <c r="G389" s="19" t="n">
        <v>349.210105263158</v>
      </c>
      <c r="H389" s="8" t="str">
        <f aca="false">IF(COUNTIF($J$1:$J$2,$A389)&gt;0,"Y","N")</f>
        <v>Y</v>
      </c>
    </row>
    <row r="390" customFormat="false" ht="15" hidden="false" customHeight="true" outlineLevel="0" collapsed="false">
      <c r="A390" s="8" t="s">
        <v>43</v>
      </c>
      <c r="B390" s="8" t="n">
        <v>4413369</v>
      </c>
      <c r="C390" s="8" t="s">
        <v>1546</v>
      </c>
      <c r="D390" s="19" t="n">
        <v>6</v>
      </c>
      <c r="E390" s="19" t="n">
        <v>163.072</v>
      </c>
      <c r="F390" s="19" t="n">
        <v>8.84210526315789</v>
      </c>
      <c r="G390" s="19" t="n">
        <v>234.377684210526</v>
      </c>
      <c r="H390" s="8" t="str">
        <f aca="false">IF(COUNTIF($J$1:$J$2,$A390)&gt;0,"Y","N")</f>
        <v>Y</v>
      </c>
    </row>
    <row r="391" customFormat="false" ht="15" hidden="false" customHeight="true" outlineLevel="0" collapsed="false">
      <c r="A391" s="8" t="s">
        <v>43</v>
      </c>
      <c r="B391" s="8" t="n">
        <v>4413370</v>
      </c>
      <c r="C391" s="8" t="s">
        <v>1547</v>
      </c>
      <c r="D391" s="19" t="n">
        <v>351</v>
      </c>
      <c r="E391" s="19" t="n">
        <v>12202.51</v>
      </c>
      <c r="F391" s="19" t="n">
        <v>241.263157894737</v>
      </c>
      <c r="G391" s="19" t="n">
        <v>8532.35115789474</v>
      </c>
      <c r="H391" s="8" t="str">
        <f aca="false">IF(COUNTIF($J$1:$J$2,$A391)&gt;0,"Y","N")</f>
        <v>Y</v>
      </c>
    </row>
    <row r="392" customFormat="false" ht="15" hidden="false" customHeight="true" outlineLevel="0" collapsed="false">
      <c r="A392" s="8" t="s">
        <v>43</v>
      </c>
      <c r="B392" s="8" t="n">
        <v>4413371</v>
      </c>
      <c r="C392" s="8" t="s">
        <v>1548</v>
      </c>
      <c r="D392" s="19" t="n">
        <v>75</v>
      </c>
      <c r="E392" s="19" t="n">
        <v>2048.736</v>
      </c>
      <c r="F392" s="19" t="n">
        <v>77.0526315789474</v>
      </c>
      <c r="G392" s="19" t="n">
        <v>2043.41936842105</v>
      </c>
      <c r="H392" s="8" t="str">
        <f aca="false">IF(COUNTIF($J$1:$J$2,$A392)&gt;0,"Y","N")</f>
        <v>Y</v>
      </c>
    </row>
    <row r="393" customFormat="false" ht="15" hidden="false" customHeight="true" outlineLevel="0" collapsed="false">
      <c r="A393" s="8" t="s">
        <v>43</v>
      </c>
      <c r="B393" s="8" t="n">
        <v>4413372</v>
      </c>
      <c r="C393" s="8" t="s">
        <v>1549</v>
      </c>
      <c r="D393" s="19" t="n">
        <v>276</v>
      </c>
      <c r="E393" s="19" t="n">
        <v>15082.573</v>
      </c>
      <c r="F393" s="19" t="n">
        <v>161.684210526316</v>
      </c>
      <c r="G393" s="19" t="n">
        <v>9517.73684210526</v>
      </c>
      <c r="H393" s="8" t="str">
        <f aca="false">IF(COUNTIF($J$1:$J$2,$A393)&gt;0,"Y","N")</f>
        <v>Y</v>
      </c>
    </row>
    <row r="394" customFormat="false" ht="15" hidden="false" customHeight="true" outlineLevel="0" collapsed="false">
      <c r="A394" s="8" t="s">
        <v>43</v>
      </c>
      <c r="B394" s="8" t="n">
        <v>4413394</v>
      </c>
      <c r="C394" s="8" t="s">
        <v>1550</v>
      </c>
      <c r="D394" s="19" t="n">
        <v>37</v>
      </c>
      <c r="E394" s="19" t="n">
        <v>1218.679</v>
      </c>
      <c r="F394" s="19" t="n">
        <v>54.3157894736842</v>
      </c>
      <c r="G394" s="19" t="n">
        <v>1809.44842105263</v>
      </c>
      <c r="H394" s="8" t="str">
        <f aca="false">IF(COUNTIF($J$1:$J$2,$A394)&gt;0,"Y","N")</f>
        <v>Y</v>
      </c>
    </row>
    <row r="395" customFormat="false" ht="15" hidden="false" customHeight="true" outlineLevel="0" collapsed="false">
      <c r="A395" s="8" t="s">
        <v>43</v>
      </c>
      <c r="B395" s="8" t="n">
        <v>4413395</v>
      </c>
      <c r="C395" s="8" t="s">
        <v>1551</v>
      </c>
      <c r="D395" s="19" t="n">
        <v>95</v>
      </c>
      <c r="E395" s="19" t="n">
        <v>3099.659</v>
      </c>
      <c r="F395" s="19" t="n">
        <v>126.315789473684</v>
      </c>
      <c r="G395" s="19" t="n">
        <v>4155.59873684211</v>
      </c>
      <c r="H395" s="8" t="str">
        <f aca="false">IF(COUNTIF($J$1:$J$2,$A395)&gt;0,"Y","N")</f>
        <v>Y</v>
      </c>
    </row>
    <row r="396" customFormat="false" ht="15" hidden="false" customHeight="true" outlineLevel="0" collapsed="false">
      <c r="A396" s="8" t="s">
        <v>43</v>
      </c>
      <c r="B396" s="8" t="n">
        <v>4413396</v>
      </c>
      <c r="C396" s="8" t="s">
        <v>1552</v>
      </c>
      <c r="D396" s="19" t="n">
        <v>106</v>
      </c>
      <c r="E396" s="19" t="n">
        <v>3506.362</v>
      </c>
      <c r="F396" s="19" t="n">
        <v>156.631578947368</v>
      </c>
      <c r="G396" s="19" t="n">
        <v>5245.09136842105</v>
      </c>
      <c r="H396" s="8" t="str">
        <f aca="false">IF(COUNTIF($J$1:$J$2,$A396)&gt;0,"Y","N")</f>
        <v>Y</v>
      </c>
    </row>
    <row r="397" customFormat="false" ht="15" hidden="false" customHeight="true" outlineLevel="0" collapsed="false">
      <c r="A397" s="8" t="s">
        <v>43</v>
      </c>
      <c r="B397" s="8" t="n">
        <v>4413397</v>
      </c>
      <c r="C397" s="8" t="s">
        <v>1553</v>
      </c>
      <c r="D397" s="19" t="n">
        <v>103</v>
      </c>
      <c r="E397" s="19" t="n">
        <v>3375.736</v>
      </c>
      <c r="F397" s="19" t="n">
        <v>122.526315789474</v>
      </c>
      <c r="G397" s="19" t="n">
        <v>4064.62231578947</v>
      </c>
      <c r="H397" s="8" t="str">
        <f aca="false">IF(COUNTIF($J$1:$J$2,$A397)&gt;0,"Y","N")</f>
        <v>Y</v>
      </c>
    </row>
    <row r="398" customFormat="false" ht="15" hidden="false" customHeight="true" outlineLevel="0" collapsed="false">
      <c r="A398" s="8" t="s">
        <v>43</v>
      </c>
      <c r="B398" s="8" t="n">
        <v>4413398</v>
      </c>
      <c r="C398" s="8" t="s">
        <v>1554</v>
      </c>
      <c r="D398" s="19" t="n">
        <v>44</v>
      </c>
      <c r="E398" s="19" t="n">
        <v>1468.103</v>
      </c>
      <c r="F398" s="19" t="n">
        <v>73.2631578947368</v>
      </c>
      <c r="G398" s="19" t="n">
        <v>2481.09473684211</v>
      </c>
      <c r="H398" s="8" t="str">
        <f aca="false">IF(COUNTIF($J$1:$J$2,$A398)&gt;0,"Y","N")</f>
        <v>Y</v>
      </c>
    </row>
    <row r="399" customFormat="false" ht="15" hidden="false" customHeight="true" outlineLevel="0" collapsed="false">
      <c r="A399" s="8" t="s">
        <v>43</v>
      </c>
      <c r="B399" s="8" t="n">
        <v>4413399</v>
      </c>
      <c r="C399" s="8" t="s">
        <v>1555</v>
      </c>
      <c r="D399" s="19" t="n">
        <v>-1</v>
      </c>
      <c r="E399" s="19" t="n">
        <v>-34.398</v>
      </c>
      <c r="F399" s="19" t="n">
        <v>1.26315789473684</v>
      </c>
      <c r="G399" s="19" t="n">
        <v>41.9557894736842</v>
      </c>
      <c r="H399" s="8" t="str">
        <f aca="false">IF(COUNTIF($J$1:$J$2,$A399)&gt;0,"Y","N")</f>
        <v>Y</v>
      </c>
    </row>
    <row r="400" customFormat="false" ht="15" hidden="false" customHeight="true" outlineLevel="0" collapsed="false">
      <c r="A400" s="8" t="s">
        <v>43</v>
      </c>
      <c r="B400" s="8" t="n">
        <v>4413403</v>
      </c>
      <c r="C400" s="8" t="s">
        <v>1556</v>
      </c>
      <c r="D400" s="19" t="n">
        <v>-1</v>
      </c>
      <c r="E400" s="19" t="n">
        <v>-150.514</v>
      </c>
      <c r="F400" s="19" t="n">
        <v>0</v>
      </c>
      <c r="G400" s="19" t="n">
        <v>0</v>
      </c>
      <c r="H400" s="8" t="str">
        <f aca="false">IF(COUNTIF($J$1:$J$2,$A400)&gt;0,"Y","N")</f>
        <v>Y</v>
      </c>
    </row>
    <row r="401" customFormat="false" ht="15" hidden="false" customHeight="true" outlineLevel="0" collapsed="false">
      <c r="A401" s="8" t="s">
        <v>43</v>
      </c>
      <c r="B401" s="8" t="n">
        <v>4413405</v>
      </c>
      <c r="C401" s="8" t="s">
        <v>1557</v>
      </c>
      <c r="D401" s="19" t="n">
        <v>0</v>
      </c>
      <c r="E401" s="19" t="n">
        <v>0</v>
      </c>
      <c r="F401" s="19" t="n">
        <v>3.78947368421053</v>
      </c>
      <c r="G401" s="19" t="n">
        <v>323.002105263158</v>
      </c>
      <c r="H401" s="8" t="str">
        <f aca="false">IF(COUNTIF($J$1:$J$2,$A401)&gt;0,"Y","N")</f>
        <v>Y</v>
      </c>
    </row>
    <row r="402" customFormat="false" ht="15" hidden="false" customHeight="true" outlineLevel="0" collapsed="false">
      <c r="A402" s="8" t="s">
        <v>43</v>
      </c>
      <c r="B402" s="8" t="n">
        <v>4413406</v>
      </c>
      <c r="C402" s="8" t="s">
        <v>1558</v>
      </c>
      <c r="D402" s="19" t="n">
        <v>11</v>
      </c>
      <c r="E402" s="19" t="n">
        <v>895.907</v>
      </c>
      <c r="F402" s="19" t="n">
        <v>11.3684210526316</v>
      </c>
      <c r="G402" s="19" t="n">
        <v>990.362526315789</v>
      </c>
      <c r="H402" s="8" t="str">
        <f aca="false">IF(COUNTIF($J$1:$J$2,$A402)&gt;0,"Y","N")</f>
        <v>Y</v>
      </c>
    </row>
    <row r="403" customFormat="false" ht="15" hidden="false" customHeight="true" outlineLevel="0" collapsed="false">
      <c r="A403" s="8" t="s">
        <v>43</v>
      </c>
      <c r="B403" s="8" t="n">
        <v>4413407</v>
      </c>
      <c r="C403" s="8" t="s">
        <v>1559</v>
      </c>
      <c r="D403" s="19" t="n">
        <v>11</v>
      </c>
      <c r="E403" s="19" t="n">
        <v>857.819</v>
      </c>
      <c r="F403" s="19" t="n">
        <v>16.4210526315789</v>
      </c>
      <c r="G403" s="19" t="n">
        <v>1470.78189473684</v>
      </c>
      <c r="H403" s="8" t="str">
        <f aca="false">IF(COUNTIF($J$1:$J$2,$A403)&gt;0,"Y","N")</f>
        <v>Y</v>
      </c>
    </row>
    <row r="404" customFormat="false" ht="15" hidden="false" customHeight="true" outlineLevel="0" collapsed="false">
      <c r="A404" s="8" t="s">
        <v>43</v>
      </c>
      <c r="B404" s="8" t="n">
        <v>4413408</v>
      </c>
      <c r="C404" s="8" t="s">
        <v>1560</v>
      </c>
      <c r="D404" s="19" t="n">
        <v>7</v>
      </c>
      <c r="E404" s="19" t="n">
        <v>497.923</v>
      </c>
      <c r="F404" s="19" t="n">
        <v>8.84210526315789</v>
      </c>
      <c r="G404" s="19" t="n">
        <v>796.294736842105</v>
      </c>
      <c r="H404" s="8" t="str">
        <f aca="false">IF(COUNTIF($J$1:$J$2,$A404)&gt;0,"Y","N")</f>
        <v>Y</v>
      </c>
    </row>
    <row r="405" customFormat="false" ht="15" hidden="false" customHeight="true" outlineLevel="0" collapsed="false">
      <c r="A405" s="8" t="s">
        <v>43</v>
      </c>
      <c r="B405" s="8" t="n">
        <v>4413415</v>
      </c>
      <c r="C405" s="8" t="s">
        <v>1561</v>
      </c>
      <c r="D405" s="19" t="n">
        <v>6</v>
      </c>
      <c r="E405" s="19" t="n">
        <v>823.663</v>
      </c>
      <c r="F405" s="19" t="n">
        <v>6.31578947368421</v>
      </c>
      <c r="G405" s="19" t="n">
        <v>961.365473684211</v>
      </c>
      <c r="H405" s="8" t="str">
        <f aca="false">IF(COUNTIF($J$1:$J$2,$A405)&gt;0,"Y","N")</f>
        <v>Y</v>
      </c>
    </row>
    <row r="406" customFormat="false" ht="15" hidden="false" customHeight="true" outlineLevel="0" collapsed="false">
      <c r="A406" s="8" t="s">
        <v>43</v>
      </c>
      <c r="B406" s="8" t="n">
        <v>4413416</v>
      </c>
      <c r="C406" s="8" t="s">
        <v>1562</v>
      </c>
      <c r="D406" s="19" t="n">
        <v>10</v>
      </c>
      <c r="E406" s="19" t="n">
        <v>1529.893</v>
      </c>
      <c r="F406" s="19" t="n">
        <v>10.1052631578947</v>
      </c>
      <c r="G406" s="19" t="n">
        <v>1564.25810526316</v>
      </c>
      <c r="H406" s="8" t="str">
        <f aca="false">IF(COUNTIF($J$1:$J$2,$A406)&gt;0,"Y","N")</f>
        <v>Y</v>
      </c>
    </row>
    <row r="407" customFormat="false" ht="15" hidden="false" customHeight="true" outlineLevel="0" collapsed="false">
      <c r="A407" s="8" t="s">
        <v>43</v>
      </c>
      <c r="B407" s="8" t="n">
        <v>4413417</v>
      </c>
      <c r="C407" s="8" t="s">
        <v>1563</v>
      </c>
      <c r="D407" s="19" t="n">
        <v>4</v>
      </c>
      <c r="E407" s="19" t="n">
        <v>554.875</v>
      </c>
      <c r="F407" s="19" t="n">
        <v>12.6315789473684</v>
      </c>
      <c r="G407" s="19" t="n">
        <v>2022.81221052632</v>
      </c>
      <c r="H407" s="8" t="str">
        <f aca="false">IF(COUNTIF($J$1:$J$2,$A407)&gt;0,"Y","N")</f>
        <v>Y</v>
      </c>
    </row>
    <row r="408" customFormat="false" ht="15" hidden="false" customHeight="true" outlineLevel="0" collapsed="false">
      <c r="A408" s="8" t="s">
        <v>43</v>
      </c>
      <c r="B408" s="8" t="n">
        <v>4413418</v>
      </c>
      <c r="C408" s="8" t="s">
        <v>1564</v>
      </c>
      <c r="D408" s="19" t="n">
        <v>2</v>
      </c>
      <c r="E408" s="19" t="n">
        <v>284.581</v>
      </c>
      <c r="F408" s="19" t="n">
        <v>5.05263157894737</v>
      </c>
      <c r="G408" s="19" t="n">
        <v>703.937684210526</v>
      </c>
      <c r="H408" s="8" t="str">
        <f aca="false">IF(COUNTIF($J$1:$J$2,$A408)&gt;0,"Y","N")</f>
        <v>Y</v>
      </c>
    </row>
    <row r="409" customFormat="false" ht="15" hidden="false" customHeight="true" outlineLevel="0" collapsed="false">
      <c r="A409" s="8" t="s">
        <v>43</v>
      </c>
      <c r="B409" s="8" t="n">
        <v>4413419</v>
      </c>
      <c r="C409" s="8" t="s">
        <v>1565</v>
      </c>
      <c r="D409" s="19" t="n">
        <v>0</v>
      </c>
      <c r="E409" s="19" t="n">
        <v>20.384</v>
      </c>
      <c r="F409" s="19" t="n">
        <v>0</v>
      </c>
      <c r="G409" s="19" t="n">
        <v>0</v>
      </c>
      <c r="H409" s="8" t="str">
        <f aca="false">IF(COUNTIF($J$1:$J$2,$A409)&gt;0,"Y","N")</f>
        <v>Y</v>
      </c>
    </row>
    <row r="410" customFormat="false" ht="15" hidden="false" customHeight="true" outlineLevel="0" collapsed="false">
      <c r="A410" s="8" t="s">
        <v>43</v>
      </c>
      <c r="B410" s="8" t="n">
        <v>4413420</v>
      </c>
      <c r="C410" s="8" t="s">
        <v>1566</v>
      </c>
      <c r="D410" s="19" t="n">
        <v>3</v>
      </c>
      <c r="E410" s="19" t="n">
        <v>217.986</v>
      </c>
      <c r="F410" s="19" t="n">
        <v>2.52631578947368</v>
      </c>
      <c r="G410" s="19" t="n">
        <v>226.038315789474</v>
      </c>
      <c r="H410" s="8" t="str">
        <f aca="false">IF(COUNTIF($J$1:$J$2,$A410)&gt;0,"Y","N")</f>
        <v>Y</v>
      </c>
    </row>
    <row r="411" customFormat="false" ht="15" hidden="false" customHeight="true" outlineLevel="0" collapsed="false">
      <c r="A411" s="8" t="s">
        <v>43</v>
      </c>
      <c r="B411" s="8" t="n">
        <v>4413421</v>
      </c>
      <c r="C411" s="8" t="s">
        <v>1567</v>
      </c>
      <c r="D411" s="19" t="n">
        <v>8</v>
      </c>
      <c r="E411" s="19" t="n">
        <v>600.763</v>
      </c>
      <c r="F411" s="19" t="n">
        <v>5.05263157894737</v>
      </c>
      <c r="G411" s="19" t="n">
        <v>462.127578947369</v>
      </c>
      <c r="H411" s="8" t="str">
        <f aca="false">IF(COUNTIF($J$1:$J$2,$A411)&gt;0,"Y","N")</f>
        <v>Y</v>
      </c>
    </row>
    <row r="412" customFormat="false" ht="15" hidden="false" customHeight="true" outlineLevel="0" collapsed="false">
      <c r="A412" s="8" t="s">
        <v>43</v>
      </c>
      <c r="B412" s="8" t="n">
        <v>4413422</v>
      </c>
      <c r="C412" s="8" t="s">
        <v>1568</v>
      </c>
      <c r="D412" s="19" t="n">
        <v>4</v>
      </c>
      <c r="E412" s="19" t="n">
        <v>288.319</v>
      </c>
      <c r="F412" s="19" t="n">
        <v>5.05263157894737</v>
      </c>
      <c r="G412" s="19" t="n">
        <v>441.322105263158</v>
      </c>
      <c r="H412" s="8" t="str">
        <f aca="false">IF(COUNTIF($J$1:$J$2,$A412)&gt;0,"Y","N")</f>
        <v>Y</v>
      </c>
    </row>
    <row r="413" customFormat="false" ht="15" hidden="false" customHeight="true" outlineLevel="0" collapsed="false">
      <c r="A413" s="8" t="s">
        <v>43</v>
      </c>
      <c r="B413" s="8" t="n">
        <v>4413423</v>
      </c>
      <c r="C413" s="8" t="s">
        <v>1569</v>
      </c>
      <c r="D413" s="19" t="n">
        <v>2</v>
      </c>
      <c r="E413" s="19" t="n">
        <v>159.291</v>
      </c>
      <c r="F413" s="19" t="n">
        <v>1.26315789473684</v>
      </c>
      <c r="G413" s="19" t="n">
        <v>128.511157894737</v>
      </c>
      <c r="H413" s="8" t="str">
        <f aca="false">IF(COUNTIF($J$1:$J$2,$A413)&gt;0,"Y","N")</f>
        <v>Y</v>
      </c>
    </row>
    <row r="414" customFormat="false" ht="15" hidden="false" customHeight="true" outlineLevel="0" collapsed="false">
      <c r="A414" s="8" t="s">
        <v>43</v>
      </c>
      <c r="B414" s="8" t="n">
        <v>4413424</v>
      </c>
      <c r="C414" s="8" t="s">
        <v>1570</v>
      </c>
      <c r="D414" s="19" t="n">
        <v>3</v>
      </c>
      <c r="E414" s="19" t="n">
        <v>211.029</v>
      </c>
      <c r="F414" s="19" t="n">
        <v>6.31578947368421</v>
      </c>
      <c r="G414" s="19" t="n">
        <v>520.290947368421</v>
      </c>
      <c r="H414" s="8" t="str">
        <f aca="false">IF(COUNTIF($J$1:$J$2,$A414)&gt;0,"Y","N")</f>
        <v>Y</v>
      </c>
    </row>
    <row r="415" customFormat="false" ht="15" hidden="false" customHeight="true" outlineLevel="0" collapsed="false">
      <c r="A415" s="8" t="s">
        <v>43</v>
      </c>
      <c r="B415" s="8" t="n">
        <v>4413425</v>
      </c>
      <c r="C415" s="8" t="s">
        <v>1571</v>
      </c>
      <c r="D415" s="19" t="n">
        <v>9</v>
      </c>
      <c r="E415" s="19" t="n">
        <v>659.568</v>
      </c>
      <c r="F415" s="19" t="n">
        <v>13.8947368421053</v>
      </c>
      <c r="G415" s="19" t="n">
        <v>1166.29515789474</v>
      </c>
      <c r="H415" s="8" t="str">
        <f aca="false">IF(COUNTIF($J$1:$J$2,$A415)&gt;0,"Y","N")</f>
        <v>Y</v>
      </c>
    </row>
    <row r="416" customFormat="false" ht="15" hidden="false" customHeight="true" outlineLevel="0" collapsed="false">
      <c r="A416" s="8" t="s">
        <v>43</v>
      </c>
      <c r="B416" s="8" t="n">
        <v>4413426</v>
      </c>
      <c r="C416" s="8" t="s">
        <v>1572</v>
      </c>
      <c r="D416" s="19" t="n">
        <v>8</v>
      </c>
      <c r="E416" s="19" t="n">
        <v>590.542</v>
      </c>
      <c r="F416" s="19" t="n">
        <v>5.05263157894737</v>
      </c>
      <c r="G416" s="19" t="n">
        <v>416.339368421053</v>
      </c>
      <c r="H416" s="8" t="str">
        <f aca="false">IF(COUNTIF($J$1:$J$2,$A416)&gt;0,"Y","N")</f>
        <v>Y</v>
      </c>
    </row>
    <row r="417" customFormat="false" ht="15" hidden="false" customHeight="true" outlineLevel="0" collapsed="false">
      <c r="A417" s="8" t="s">
        <v>43</v>
      </c>
      <c r="B417" s="8" t="n">
        <v>4413427</v>
      </c>
      <c r="C417" s="8" t="s">
        <v>1573</v>
      </c>
      <c r="D417" s="19" t="n">
        <v>2</v>
      </c>
      <c r="E417" s="19" t="n">
        <v>147.633</v>
      </c>
      <c r="F417" s="19" t="n">
        <v>5.05263157894737</v>
      </c>
      <c r="G417" s="19" t="n">
        <v>416.339368421053</v>
      </c>
      <c r="H417" s="8" t="str">
        <f aca="false">IF(COUNTIF($J$1:$J$2,$A417)&gt;0,"Y","N")</f>
        <v>Y</v>
      </c>
    </row>
    <row r="418" customFormat="false" ht="15" hidden="false" customHeight="true" outlineLevel="0" collapsed="false">
      <c r="A418" s="8" t="s">
        <v>43</v>
      </c>
      <c r="B418" s="8" t="n">
        <v>4413438</v>
      </c>
      <c r="C418" s="8" t="s">
        <v>1574</v>
      </c>
      <c r="D418" s="19" t="n">
        <v>15</v>
      </c>
      <c r="E418" s="19" t="n">
        <v>2003.285</v>
      </c>
      <c r="F418" s="19" t="n">
        <v>12.6315789473684</v>
      </c>
      <c r="G418" s="19" t="n">
        <v>1669.02442105263</v>
      </c>
      <c r="H418" s="8" t="str">
        <f aca="false">IF(COUNTIF($J$1:$J$2,$A418)&gt;0,"Y","N")</f>
        <v>Y</v>
      </c>
    </row>
    <row r="419" customFormat="false" ht="15" hidden="false" customHeight="true" outlineLevel="0" collapsed="false">
      <c r="A419" s="8" t="s">
        <v>43</v>
      </c>
      <c r="B419" s="8" t="n">
        <v>4413439</v>
      </c>
      <c r="C419" s="8" t="s">
        <v>1575</v>
      </c>
      <c r="D419" s="19" t="n">
        <v>17</v>
      </c>
      <c r="E419" s="19" t="n">
        <v>2177.811</v>
      </c>
      <c r="F419" s="19" t="n">
        <v>34.1052631578947</v>
      </c>
      <c r="G419" s="19" t="n">
        <v>4334.57178947368</v>
      </c>
      <c r="H419" s="8" t="str">
        <f aca="false">IF(COUNTIF($J$1:$J$2,$A419)&gt;0,"Y","N")</f>
        <v>Y</v>
      </c>
    </row>
    <row r="420" customFormat="false" ht="15" hidden="false" customHeight="true" outlineLevel="0" collapsed="false">
      <c r="A420" s="8" t="s">
        <v>43</v>
      </c>
      <c r="B420" s="8" t="n">
        <v>4413440</v>
      </c>
      <c r="C420" s="8" t="s">
        <v>1576</v>
      </c>
      <c r="D420" s="19" t="n">
        <v>25</v>
      </c>
      <c r="E420" s="19" t="n">
        <v>3179.055</v>
      </c>
      <c r="F420" s="19" t="n">
        <v>36.6315789473684</v>
      </c>
      <c r="G420" s="19" t="n">
        <v>4674.03031578947</v>
      </c>
      <c r="H420" s="8" t="str">
        <f aca="false">IF(COUNTIF($J$1:$J$2,$A420)&gt;0,"Y","N")</f>
        <v>Y</v>
      </c>
    </row>
    <row r="421" customFormat="false" ht="15" hidden="false" customHeight="true" outlineLevel="0" collapsed="false">
      <c r="A421" s="8" t="s">
        <v>43</v>
      </c>
      <c r="B421" s="8" t="n">
        <v>4413441</v>
      </c>
      <c r="C421" s="8" t="s">
        <v>1577</v>
      </c>
      <c r="D421" s="19" t="n">
        <v>13</v>
      </c>
      <c r="E421" s="19" t="n">
        <v>1605.554</v>
      </c>
      <c r="F421" s="19" t="n">
        <v>21.4736842105263</v>
      </c>
      <c r="G421" s="19" t="n">
        <v>2724.99410526316</v>
      </c>
      <c r="H421" s="8" t="str">
        <f aca="false">IF(COUNTIF($J$1:$J$2,$A421)&gt;0,"Y","N")</f>
        <v>Y</v>
      </c>
    </row>
    <row r="422" customFormat="false" ht="15" hidden="false" customHeight="true" outlineLevel="0" collapsed="false">
      <c r="A422" s="8" t="s">
        <v>43</v>
      </c>
      <c r="B422" s="8" t="n">
        <v>4413442</v>
      </c>
      <c r="C422" s="8" t="s">
        <v>1578</v>
      </c>
      <c r="D422" s="19" t="n">
        <v>2</v>
      </c>
      <c r="E422" s="19" t="n">
        <v>239.607</v>
      </c>
      <c r="F422" s="19" t="n">
        <v>8.84210526315789</v>
      </c>
      <c r="G422" s="19" t="n">
        <v>1163.08926315789</v>
      </c>
      <c r="H422" s="8" t="str">
        <f aca="false">IF(COUNTIF($J$1:$J$2,$A422)&gt;0,"Y","N")</f>
        <v>Y</v>
      </c>
    </row>
    <row r="423" customFormat="false" ht="15" hidden="false" customHeight="true" outlineLevel="0" collapsed="false">
      <c r="A423" s="8" t="s">
        <v>43</v>
      </c>
      <c r="B423" s="8" t="n">
        <v>4413444</v>
      </c>
      <c r="C423" s="8" t="s">
        <v>1579</v>
      </c>
      <c r="D423" s="19" t="n">
        <v>-2</v>
      </c>
      <c r="E423" s="19" t="n">
        <v>-131.495</v>
      </c>
      <c r="F423" s="19" t="n">
        <v>0</v>
      </c>
      <c r="G423" s="19" t="n">
        <v>0</v>
      </c>
      <c r="H423" s="8" t="str">
        <f aca="false">IF(COUNTIF($J$1:$J$2,$A423)&gt;0,"Y","N")</f>
        <v>Y</v>
      </c>
    </row>
    <row r="424" customFormat="false" ht="15" hidden="false" customHeight="true" outlineLevel="0" collapsed="false">
      <c r="A424" s="8" t="s">
        <v>43</v>
      </c>
      <c r="B424" s="8" t="n">
        <v>4413445</v>
      </c>
      <c r="C424" s="8" t="s">
        <v>1580</v>
      </c>
      <c r="D424" s="19" t="n">
        <v>1</v>
      </c>
      <c r="E424" s="19" t="n">
        <v>50.96</v>
      </c>
      <c r="F424" s="19" t="n">
        <v>49.2631578947368</v>
      </c>
      <c r="G424" s="19" t="n">
        <v>2519.53136842105</v>
      </c>
      <c r="H424" s="8" t="str">
        <f aca="false">IF(COUNTIF($J$1:$J$2,$A424)&gt;0,"Y","N")</f>
        <v>Y</v>
      </c>
    </row>
    <row r="425" customFormat="false" ht="15" hidden="false" customHeight="true" outlineLevel="0" collapsed="false">
      <c r="A425" s="8" t="s">
        <v>43</v>
      </c>
      <c r="B425" s="8" t="n">
        <v>4413449</v>
      </c>
      <c r="C425" s="8" t="s">
        <v>1581</v>
      </c>
      <c r="D425" s="19" t="n">
        <v>2</v>
      </c>
      <c r="E425" s="19" t="n">
        <v>147.09</v>
      </c>
      <c r="F425" s="19" t="n">
        <v>5.05263157894737</v>
      </c>
      <c r="G425" s="19" t="n">
        <v>338.175157894737</v>
      </c>
      <c r="H425" s="8" t="str">
        <f aca="false">IF(COUNTIF($J$1:$J$2,$A425)&gt;0,"Y","N")</f>
        <v>Y</v>
      </c>
    </row>
    <row r="426" customFormat="false" ht="15" hidden="false" customHeight="true" outlineLevel="0" collapsed="false">
      <c r="A426" s="8" t="s">
        <v>43</v>
      </c>
      <c r="B426" s="8" t="n">
        <v>4413450</v>
      </c>
      <c r="C426" s="8" t="s">
        <v>1582</v>
      </c>
      <c r="D426" s="19" t="n">
        <v>0</v>
      </c>
      <c r="E426" s="19" t="n">
        <v>0</v>
      </c>
      <c r="F426" s="19" t="n">
        <v>6.31578947368421</v>
      </c>
      <c r="G426" s="19" t="n">
        <v>422.661473684211</v>
      </c>
      <c r="H426" s="8" t="str">
        <f aca="false">IF(COUNTIF($J$1:$J$2,$A426)&gt;0,"Y","N")</f>
        <v>Y</v>
      </c>
    </row>
    <row r="427" customFormat="false" ht="15" hidden="false" customHeight="true" outlineLevel="0" collapsed="false">
      <c r="A427" s="8" t="s">
        <v>43</v>
      </c>
      <c r="B427" s="8" t="n">
        <v>4413451</v>
      </c>
      <c r="C427" s="8" t="s">
        <v>1583</v>
      </c>
      <c r="D427" s="19" t="n">
        <v>0</v>
      </c>
      <c r="E427" s="19" t="n">
        <v>0</v>
      </c>
      <c r="F427" s="19" t="n">
        <v>3.78947368421053</v>
      </c>
      <c r="G427" s="19" t="n">
        <v>247.941473684211</v>
      </c>
      <c r="H427" s="8" t="str">
        <f aca="false">IF(COUNTIF($J$1:$J$2,$A427)&gt;0,"Y","N")</f>
        <v>Y</v>
      </c>
    </row>
    <row r="428" customFormat="false" ht="15" hidden="false" customHeight="true" outlineLevel="0" collapsed="false">
      <c r="A428" s="8" t="s">
        <v>43</v>
      </c>
      <c r="B428" s="8" t="n">
        <v>4413452</v>
      </c>
      <c r="C428" s="8" t="s">
        <v>1584</v>
      </c>
      <c r="D428" s="19" t="n">
        <v>63</v>
      </c>
      <c r="E428" s="19" t="n">
        <v>2652.741</v>
      </c>
      <c r="F428" s="19" t="n">
        <v>74.5263157894737</v>
      </c>
      <c r="G428" s="19" t="n">
        <v>3104.01347368421</v>
      </c>
      <c r="H428" s="8" t="str">
        <f aca="false">IF(COUNTIF($J$1:$J$2,$A428)&gt;0,"Y","N")</f>
        <v>Y</v>
      </c>
    </row>
    <row r="429" customFormat="false" ht="15" hidden="false" customHeight="true" outlineLevel="0" collapsed="false">
      <c r="A429" s="8" t="s">
        <v>43</v>
      </c>
      <c r="B429" s="8" t="n">
        <v>4413453</v>
      </c>
      <c r="C429" s="8" t="s">
        <v>1585</v>
      </c>
      <c r="D429" s="19" t="n">
        <v>965</v>
      </c>
      <c r="E429" s="19" t="n">
        <v>61222.388</v>
      </c>
      <c r="F429" s="19" t="n">
        <v>952.421052631579</v>
      </c>
      <c r="G429" s="19" t="n">
        <v>68051.8850526316</v>
      </c>
      <c r="H429" s="8" t="str">
        <f aca="false">IF(COUNTIF($J$1:$J$2,$A429)&gt;0,"Y","N")</f>
        <v>Y</v>
      </c>
    </row>
    <row r="430" customFormat="false" ht="15" hidden="false" customHeight="true" outlineLevel="0" collapsed="false">
      <c r="A430" s="8" t="s">
        <v>43</v>
      </c>
      <c r="B430" s="8" t="n">
        <v>4413455</v>
      </c>
      <c r="C430" s="8" t="s">
        <v>1586</v>
      </c>
      <c r="D430" s="19" t="n">
        <v>165</v>
      </c>
      <c r="E430" s="19" t="n">
        <v>7648.667</v>
      </c>
      <c r="F430" s="19" t="n">
        <v>156.631578947368</v>
      </c>
      <c r="G430" s="19" t="n">
        <v>7274.22568421053</v>
      </c>
      <c r="H430" s="8" t="str">
        <f aca="false">IF(COUNTIF($J$1:$J$2,$A430)&gt;0,"Y","N")</f>
        <v>Y</v>
      </c>
    </row>
    <row r="431" customFormat="false" ht="15" hidden="false" customHeight="true" outlineLevel="0" collapsed="false">
      <c r="A431" s="8" t="s">
        <v>43</v>
      </c>
      <c r="B431" s="8" t="n">
        <v>4413456</v>
      </c>
      <c r="C431" s="8" t="s">
        <v>1587</v>
      </c>
      <c r="D431" s="19" t="n">
        <v>107</v>
      </c>
      <c r="E431" s="19" t="n">
        <v>6616.875</v>
      </c>
      <c r="F431" s="19" t="n">
        <v>66.9473684210526</v>
      </c>
      <c r="G431" s="19" t="n">
        <v>4839.41052631579</v>
      </c>
      <c r="H431" s="8" t="str">
        <f aca="false">IF(COUNTIF($J$1:$J$2,$A431)&gt;0,"Y","N")</f>
        <v>Y</v>
      </c>
    </row>
    <row r="432" customFormat="false" ht="15" hidden="false" customHeight="true" outlineLevel="0" collapsed="false">
      <c r="A432" s="8" t="s">
        <v>43</v>
      </c>
      <c r="B432" s="8" t="n">
        <v>4413464</v>
      </c>
      <c r="C432" s="8" t="s">
        <v>1588</v>
      </c>
      <c r="D432" s="19" t="n">
        <v>-4</v>
      </c>
      <c r="E432" s="19" t="n">
        <v>-29.575</v>
      </c>
      <c r="F432" s="19" t="n">
        <v>0</v>
      </c>
      <c r="G432" s="19" t="n">
        <v>0</v>
      </c>
      <c r="H432" s="8" t="str">
        <f aca="false">IF(COUNTIF($J$1:$J$2,$A432)&gt;0,"Y","N")</f>
        <v>Y</v>
      </c>
    </row>
    <row r="433" customFormat="false" ht="15" hidden="false" customHeight="true" outlineLevel="0" collapsed="false">
      <c r="A433" s="8" t="s">
        <v>43</v>
      </c>
      <c r="B433" s="8" t="n">
        <v>4413482</v>
      </c>
      <c r="C433" s="8" t="s">
        <v>1589</v>
      </c>
      <c r="D433" s="19" t="n">
        <v>-1</v>
      </c>
      <c r="E433" s="19" t="n">
        <v>-68.796</v>
      </c>
      <c r="F433" s="19" t="n">
        <v>0</v>
      </c>
      <c r="G433" s="19" t="n">
        <v>0</v>
      </c>
      <c r="H433" s="8" t="str">
        <f aca="false">IF(COUNTIF($J$1:$J$2,$A433)&gt;0,"Y","N")</f>
        <v>Y</v>
      </c>
    </row>
    <row r="434" customFormat="false" ht="15" hidden="false" customHeight="true" outlineLevel="0" collapsed="false">
      <c r="A434" s="8" t="s">
        <v>43</v>
      </c>
      <c r="B434" s="8" t="n">
        <v>4413490</v>
      </c>
      <c r="C434" s="8" t="s">
        <v>1590</v>
      </c>
      <c r="D434" s="19" t="n">
        <v>293</v>
      </c>
      <c r="E434" s="19" t="n">
        <v>7643.727</v>
      </c>
      <c r="F434" s="19" t="n">
        <v>231.157894736842</v>
      </c>
      <c r="G434" s="19" t="n">
        <v>6448.20252631579</v>
      </c>
      <c r="H434" s="8" t="str">
        <f aca="false">IF(COUNTIF($J$1:$J$2,$A434)&gt;0,"Y","N")</f>
        <v>Y</v>
      </c>
    </row>
    <row r="435" customFormat="false" ht="15" hidden="false" customHeight="true" outlineLevel="0" collapsed="false">
      <c r="A435" s="8" t="s">
        <v>43</v>
      </c>
      <c r="B435" s="8" t="n">
        <v>4413491</v>
      </c>
      <c r="C435" s="8" t="s">
        <v>1591</v>
      </c>
      <c r="D435" s="19" t="n">
        <v>185</v>
      </c>
      <c r="E435" s="19" t="n">
        <v>5054.231</v>
      </c>
      <c r="F435" s="19" t="n">
        <v>125.052631578947</v>
      </c>
      <c r="G435" s="19" t="n">
        <v>3470.26105263158</v>
      </c>
      <c r="H435" s="8" t="str">
        <f aca="false">IF(COUNTIF($J$1:$J$2,$A435)&gt;0,"Y","N")</f>
        <v>Y</v>
      </c>
    </row>
    <row r="436" customFormat="false" ht="15" hidden="false" customHeight="true" outlineLevel="0" collapsed="false">
      <c r="A436" s="8" t="s">
        <v>43</v>
      </c>
      <c r="B436" s="8" t="n">
        <v>4413492</v>
      </c>
      <c r="C436" s="8" t="s">
        <v>1592</v>
      </c>
      <c r="D436" s="19" t="n">
        <v>265</v>
      </c>
      <c r="E436" s="19" t="n">
        <v>7109.739</v>
      </c>
      <c r="F436" s="19" t="n">
        <v>184.421052631579</v>
      </c>
      <c r="G436" s="19" t="n">
        <v>5155.73431578947</v>
      </c>
      <c r="H436" s="8" t="str">
        <f aca="false">IF(COUNTIF($J$1:$J$2,$A436)&gt;0,"Y","N")</f>
        <v>Y</v>
      </c>
    </row>
    <row r="437" customFormat="false" ht="15" hidden="false" customHeight="true" outlineLevel="0" collapsed="false">
      <c r="A437" s="8" t="s">
        <v>43</v>
      </c>
      <c r="B437" s="8" t="n">
        <v>4413493</v>
      </c>
      <c r="C437" s="8" t="s">
        <v>1593</v>
      </c>
      <c r="D437" s="19" t="n">
        <v>136</v>
      </c>
      <c r="E437" s="19" t="n">
        <v>3765.762</v>
      </c>
      <c r="F437" s="19" t="n">
        <v>97.2631578947368</v>
      </c>
      <c r="G437" s="19" t="n">
        <v>2712.75789473684</v>
      </c>
      <c r="H437" s="8" t="str">
        <f aca="false">IF(COUNTIF($J$1:$J$2,$A437)&gt;0,"Y","N")</f>
        <v>Y</v>
      </c>
    </row>
    <row r="438" customFormat="false" ht="15" hidden="false" customHeight="true" outlineLevel="0" collapsed="false">
      <c r="A438" s="8" t="s">
        <v>43</v>
      </c>
      <c r="B438" s="8" t="n">
        <v>4413494</v>
      </c>
      <c r="C438" s="8" t="s">
        <v>1594</v>
      </c>
      <c r="D438" s="19" t="n">
        <v>47</v>
      </c>
      <c r="E438" s="19" t="n">
        <v>1294.93</v>
      </c>
      <c r="F438" s="19" t="n">
        <v>41.6842105263158</v>
      </c>
      <c r="G438" s="19" t="n">
        <v>1159.93389473684</v>
      </c>
      <c r="H438" s="8" t="str">
        <f aca="false">IF(COUNTIF($J$1:$J$2,$A438)&gt;0,"Y","N")</f>
        <v>Y</v>
      </c>
    </row>
    <row r="439" customFormat="false" ht="15" hidden="false" customHeight="true" outlineLevel="0" collapsed="false">
      <c r="A439" s="8" t="s">
        <v>43</v>
      </c>
      <c r="B439" s="8" t="n">
        <v>4413495</v>
      </c>
      <c r="C439" s="8" t="s">
        <v>1595</v>
      </c>
      <c r="D439" s="19" t="n">
        <v>388</v>
      </c>
      <c r="E439" s="19" t="n">
        <v>10333.141</v>
      </c>
      <c r="F439" s="19" t="n">
        <v>282.947368421053</v>
      </c>
      <c r="G439" s="19" t="n">
        <v>7856.65263157895</v>
      </c>
      <c r="H439" s="8" t="str">
        <f aca="false">IF(COUNTIF($J$1:$J$2,$A439)&gt;0,"Y","N")</f>
        <v>Y</v>
      </c>
    </row>
    <row r="440" customFormat="false" ht="15" hidden="false" customHeight="true" outlineLevel="0" collapsed="false">
      <c r="A440" s="8" t="s">
        <v>43</v>
      </c>
      <c r="B440" s="8" t="n">
        <v>4413496</v>
      </c>
      <c r="C440" s="8" t="s">
        <v>1596</v>
      </c>
      <c r="D440" s="19" t="n">
        <v>281</v>
      </c>
      <c r="E440" s="19" t="n">
        <v>7401.758</v>
      </c>
      <c r="F440" s="19" t="n">
        <v>197.052631578947</v>
      </c>
      <c r="G440" s="19" t="n">
        <v>5387.69810526316</v>
      </c>
      <c r="H440" s="8" t="str">
        <f aca="false">IF(COUNTIF($J$1:$J$2,$A440)&gt;0,"Y","N")</f>
        <v>Y</v>
      </c>
    </row>
    <row r="441" customFormat="false" ht="15" hidden="false" customHeight="true" outlineLevel="0" collapsed="false">
      <c r="A441" s="8" t="s">
        <v>43</v>
      </c>
      <c r="B441" s="8" t="n">
        <v>4413497</v>
      </c>
      <c r="C441" s="8" t="s">
        <v>1597</v>
      </c>
      <c r="D441" s="19" t="n">
        <v>277</v>
      </c>
      <c r="E441" s="19" t="n">
        <v>7428.826</v>
      </c>
      <c r="F441" s="19" t="n">
        <v>217.263157894737</v>
      </c>
      <c r="G441" s="19" t="n">
        <v>6024.50652631579</v>
      </c>
      <c r="H441" s="8" t="str">
        <f aca="false">IF(COUNTIF($J$1:$J$2,$A441)&gt;0,"Y","N")</f>
        <v>Y</v>
      </c>
    </row>
    <row r="442" customFormat="false" ht="15" hidden="false" customHeight="true" outlineLevel="0" collapsed="false">
      <c r="A442" s="8" t="s">
        <v>43</v>
      </c>
      <c r="B442" s="8" t="n">
        <v>4413498</v>
      </c>
      <c r="C442" s="8" t="s">
        <v>1598</v>
      </c>
      <c r="D442" s="19" t="n">
        <v>122</v>
      </c>
      <c r="E442" s="19" t="n">
        <v>3368.365</v>
      </c>
      <c r="F442" s="19" t="n">
        <v>112.421052631579</v>
      </c>
      <c r="G442" s="19" t="n">
        <v>3117.60252631579</v>
      </c>
      <c r="H442" s="8" t="str">
        <f aca="false">IF(COUNTIF($J$1:$J$2,$A442)&gt;0,"Y","N")</f>
        <v>Y</v>
      </c>
    </row>
    <row r="443" customFormat="false" ht="15" hidden="false" customHeight="true" outlineLevel="0" collapsed="false">
      <c r="A443" s="8" t="s">
        <v>43</v>
      </c>
      <c r="B443" s="8" t="n">
        <v>4413499</v>
      </c>
      <c r="C443" s="8" t="s">
        <v>1599</v>
      </c>
      <c r="D443" s="19" t="n">
        <v>83</v>
      </c>
      <c r="E443" s="19" t="n">
        <v>2233.231</v>
      </c>
      <c r="F443" s="19" t="n">
        <v>73.2631578947368</v>
      </c>
      <c r="G443" s="19" t="n">
        <v>2021.57936842105</v>
      </c>
      <c r="H443" s="8" t="str">
        <f aca="false">IF(COUNTIF($J$1:$J$2,$A443)&gt;0,"Y","N")</f>
        <v>Y</v>
      </c>
    </row>
    <row r="444" customFormat="false" ht="15" hidden="false" customHeight="true" outlineLevel="0" collapsed="false">
      <c r="A444" s="8" t="s">
        <v>43</v>
      </c>
      <c r="B444" s="8" t="n">
        <v>4413500</v>
      </c>
      <c r="C444" s="8" t="s">
        <v>1600</v>
      </c>
      <c r="D444" s="19" t="n">
        <v>94</v>
      </c>
      <c r="E444" s="19" t="n">
        <v>2429.336</v>
      </c>
      <c r="F444" s="19" t="n">
        <v>96</v>
      </c>
      <c r="G444" s="19" t="n">
        <v>2670.22736842105</v>
      </c>
      <c r="H444" s="8" t="str">
        <f aca="false">IF(COUNTIF($J$1:$J$2,$A444)&gt;0,"Y","N")</f>
        <v>Y</v>
      </c>
    </row>
    <row r="445" customFormat="false" ht="15" hidden="false" customHeight="true" outlineLevel="0" collapsed="false">
      <c r="A445" s="8" t="s">
        <v>43</v>
      </c>
      <c r="B445" s="8" t="n">
        <v>4413501</v>
      </c>
      <c r="C445" s="8" t="s">
        <v>1601</v>
      </c>
      <c r="D445" s="19" t="n">
        <v>170</v>
      </c>
      <c r="E445" s="19" t="n">
        <v>4584.257</v>
      </c>
      <c r="F445" s="19" t="n">
        <v>141.473684210526</v>
      </c>
      <c r="G445" s="19" t="n">
        <v>3931.88968421053</v>
      </c>
      <c r="H445" s="8" t="str">
        <f aca="false">IF(COUNTIF($J$1:$J$2,$A445)&gt;0,"Y","N")</f>
        <v>Y</v>
      </c>
    </row>
    <row r="446" customFormat="false" ht="15" hidden="false" customHeight="true" outlineLevel="0" collapsed="false">
      <c r="A446" s="8" t="s">
        <v>43</v>
      </c>
      <c r="B446" s="8" t="n">
        <v>4413502</v>
      </c>
      <c r="C446" s="8" t="s">
        <v>1602</v>
      </c>
      <c r="D446" s="19" t="n">
        <v>119</v>
      </c>
      <c r="E446" s="19" t="n">
        <v>3240.692</v>
      </c>
      <c r="F446" s="19" t="n">
        <v>107.368421052632</v>
      </c>
      <c r="G446" s="19" t="n">
        <v>2973.11368421053</v>
      </c>
      <c r="H446" s="8" t="str">
        <f aca="false">IF(COUNTIF($J$1:$J$2,$A446)&gt;0,"Y","N")</f>
        <v>Y</v>
      </c>
    </row>
    <row r="447" customFormat="false" ht="15" hidden="false" customHeight="true" outlineLevel="0" collapsed="false">
      <c r="A447" s="8" t="s">
        <v>43</v>
      </c>
      <c r="B447" s="8" t="n">
        <v>4413503</v>
      </c>
      <c r="C447" s="8" t="s">
        <v>1603</v>
      </c>
      <c r="D447" s="19" t="n">
        <v>93</v>
      </c>
      <c r="E447" s="19" t="n">
        <v>2492.895</v>
      </c>
      <c r="F447" s="19" t="n">
        <v>61.8947368421053</v>
      </c>
      <c r="G447" s="19" t="n">
        <v>1718.57810526316</v>
      </c>
      <c r="H447" s="8" t="str">
        <f aca="false">IF(COUNTIF($J$1:$J$2,$A447)&gt;0,"Y","N")</f>
        <v>Y</v>
      </c>
    </row>
    <row r="448" customFormat="false" ht="15" hidden="false" customHeight="true" outlineLevel="0" collapsed="false">
      <c r="A448" s="8" t="s">
        <v>43</v>
      </c>
      <c r="B448" s="8" t="n">
        <v>4413504</v>
      </c>
      <c r="C448" s="8" t="s">
        <v>1604</v>
      </c>
      <c r="D448" s="19" t="n">
        <v>5</v>
      </c>
      <c r="E448" s="19" t="n">
        <v>133.952</v>
      </c>
      <c r="F448" s="19" t="n">
        <v>10.1052631578947</v>
      </c>
      <c r="G448" s="19" t="n">
        <v>272.195368421053</v>
      </c>
      <c r="H448" s="8" t="str">
        <f aca="false">IF(COUNTIF($J$1:$J$2,$A448)&gt;0,"Y","N")</f>
        <v>Y</v>
      </c>
    </row>
    <row r="449" customFormat="false" ht="15" hidden="false" customHeight="true" outlineLevel="0" collapsed="false">
      <c r="A449" s="8" t="s">
        <v>43</v>
      </c>
      <c r="B449" s="8" t="n">
        <v>4413516</v>
      </c>
      <c r="C449" s="8" t="s">
        <v>1605</v>
      </c>
      <c r="D449" s="19" t="n">
        <v>241</v>
      </c>
      <c r="E449" s="19" t="n">
        <v>11590.124</v>
      </c>
      <c r="F449" s="19" t="n">
        <v>203.368421052632</v>
      </c>
      <c r="G449" s="19" t="n">
        <v>10330.32</v>
      </c>
      <c r="H449" s="8" t="str">
        <f aca="false">IF(COUNTIF($J$1:$J$2,$A449)&gt;0,"Y","N")</f>
        <v>Y</v>
      </c>
    </row>
    <row r="450" customFormat="false" ht="15" hidden="false" customHeight="true" outlineLevel="0" collapsed="false">
      <c r="A450" s="8" t="s">
        <v>43</v>
      </c>
      <c r="B450" s="8" t="n">
        <v>4413517</v>
      </c>
      <c r="C450" s="8" t="s">
        <v>1606</v>
      </c>
      <c r="D450" s="19" t="n">
        <v>161</v>
      </c>
      <c r="E450" s="19" t="n">
        <v>8022.446</v>
      </c>
      <c r="F450" s="19" t="n">
        <v>149.052631578947</v>
      </c>
      <c r="G450" s="19" t="n">
        <v>7605.06063157895</v>
      </c>
      <c r="H450" s="8" t="str">
        <f aca="false">IF(COUNTIF($J$1:$J$2,$A450)&gt;0,"Y","N")</f>
        <v>Y</v>
      </c>
    </row>
    <row r="451" customFormat="false" ht="15" hidden="false" customHeight="true" outlineLevel="0" collapsed="false">
      <c r="A451" s="8" t="s">
        <v>43</v>
      </c>
      <c r="B451" s="8" t="n">
        <v>4413518</v>
      </c>
      <c r="C451" s="8" t="s">
        <v>1607</v>
      </c>
      <c r="D451" s="19" t="n">
        <v>113</v>
      </c>
      <c r="E451" s="19" t="n">
        <v>5608.057</v>
      </c>
      <c r="F451" s="19" t="n">
        <v>112.421052631579</v>
      </c>
      <c r="G451" s="19" t="n">
        <v>5605.40842105263</v>
      </c>
      <c r="H451" s="8" t="str">
        <f aca="false">IF(COUNTIF($J$1:$J$2,$A451)&gt;0,"Y","N")</f>
        <v>Y</v>
      </c>
    </row>
    <row r="452" customFormat="false" ht="15" hidden="false" customHeight="true" outlineLevel="0" collapsed="false">
      <c r="A452" s="8" t="s">
        <v>43</v>
      </c>
      <c r="B452" s="8" t="n">
        <v>4413519</v>
      </c>
      <c r="C452" s="8" t="s">
        <v>1608</v>
      </c>
      <c r="D452" s="19" t="n">
        <v>86</v>
      </c>
      <c r="E452" s="19" t="n">
        <v>4295.382</v>
      </c>
      <c r="F452" s="19" t="n">
        <v>58.1052631578947</v>
      </c>
      <c r="G452" s="19" t="n">
        <v>2948.62989473684</v>
      </c>
      <c r="H452" s="8" t="str">
        <f aca="false">IF(COUNTIF($J$1:$J$2,$A452)&gt;0,"Y","N")</f>
        <v>Y</v>
      </c>
    </row>
    <row r="453" customFormat="false" ht="15" hidden="false" customHeight="true" outlineLevel="0" collapsed="false">
      <c r="A453" s="8" t="s">
        <v>43</v>
      </c>
      <c r="B453" s="8" t="n">
        <v>4413520</v>
      </c>
      <c r="C453" s="8" t="s">
        <v>1609</v>
      </c>
      <c r="D453" s="19" t="n">
        <v>7</v>
      </c>
      <c r="E453" s="19" t="n">
        <v>637.091</v>
      </c>
      <c r="F453" s="19" t="n">
        <v>10.1052631578947</v>
      </c>
      <c r="G453" s="19" t="n">
        <v>919.234105263158</v>
      </c>
      <c r="H453" s="8" t="str">
        <f aca="false">IF(COUNTIF($J$1:$J$2,$A453)&gt;0,"Y","N")</f>
        <v>Y</v>
      </c>
    </row>
    <row r="454" customFormat="false" ht="15" hidden="false" customHeight="true" outlineLevel="0" collapsed="false">
      <c r="A454" s="8" t="s">
        <v>43</v>
      </c>
      <c r="B454" s="8" t="n">
        <v>4413521</v>
      </c>
      <c r="C454" s="8" t="s">
        <v>1610</v>
      </c>
      <c r="D454" s="19" t="n">
        <v>21</v>
      </c>
      <c r="E454" s="19" t="n">
        <v>1944.943</v>
      </c>
      <c r="F454" s="19" t="n">
        <v>8.84210526315789</v>
      </c>
      <c r="G454" s="19" t="n">
        <v>779.802947368421</v>
      </c>
      <c r="H454" s="8" t="str">
        <f aca="false">IF(COUNTIF($J$1:$J$2,$A454)&gt;0,"Y","N")</f>
        <v>Y</v>
      </c>
    </row>
    <row r="455" customFormat="false" ht="15" hidden="false" customHeight="true" outlineLevel="0" collapsed="false">
      <c r="A455" s="8" t="s">
        <v>43</v>
      </c>
      <c r="B455" s="8" t="n">
        <v>4413522</v>
      </c>
      <c r="C455" s="8" t="s">
        <v>1611</v>
      </c>
      <c r="D455" s="19" t="n">
        <v>27</v>
      </c>
      <c r="E455" s="19" t="n">
        <v>2570.477</v>
      </c>
      <c r="F455" s="19" t="n">
        <v>13.8947368421053</v>
      </c>
      <c r="G455" s="19" t="n">
        <v>1441.09515789474</v>
      </c>
      <c r="H455" s="8" t="str">
        <f aca="false">IF(COUNTIF($J$1:$J$2,$A455)&gt;0,"Y","N")</f>
        <v>Y</v>
      </c>
    </row>
    <row r="456" customFormat="false" ht="15" hidden="false" customHeight="true" outlineLevel="0" collapsed="false">
      <c r="A456" s="8" t="s">
        <v>43</v>
      </c>
      <c r="B456" s="8" t="n">
        <v>4413523</v>
      </c>
      <c r="C456" s="8" t="s">
        <v>1612</v>
      </c>
      <c r="D456" s="19" t="n">
        <v>7</v>
      </c>
      <c r="E456" s="19" t="n">
        <v>637.091</v>
      </c>
      <c r="F456" s="19" t="n">
        <v>10.1052631578947</v>
      </c>
      <c r="G456" s="19" t="n">
        <v>888.543157894737</v>
      </c>
      <c r="H456" s="8" t="str">
        <f aca="false">IF(COUNTIF($J$1:$J$2,$A456)&gt;0,"Y","N")</f>
        <v>Y</v>
      </c>
    </row>
    <row r="457" customFormat="false" ht="15" hidden="false" customHeight="true" outlineLevel="0" collapsed="false">
      <c r="A457" s="8" t="s">
        <v>43</v>
      </c>
      <c r="B457" s="8" t="n">
        <v>4413524</v>
      </c>
      <c r="C457" s="8" t="s">
        <v>1613</v>
      </c>
      <c r="D457" s="19" t="n">
        <v>23</v>
      </c>
      <c r="E457" s="19" t="n">
        <v>2170.259</v>
      </c>
      <c r="F457" s="19" t="n">
        <v>12.6315789473684</v>
      </c>
      <c r="G457" s="19" t="n">
        <v>1161.08336842105</v>
      </c>
      <c r="H457" s="8" t="str">
        <f aca="false">IF(COUNTIF($J$1:$J$2,$A457)&gt;0,"Y","N")</f>
        <v>Y</v>
      </c>
    </row>
    <row r="458" customFormat="false" ht="15" hidden="false" customHeight="true" outlineLevel="0" collapsed="false">
      <c r="A458" s="8" t="s">
        <v>43</v>
      </c>
      <c r="B458" s="8" t="n">
        <v>4413525</v>
      </c>
      <c r="C458" s="8" t="s">
        <v>1614</v>
      </c>
      <c r="D458" s="19" t="n">
        <v>20</v>
      </c>
      <c r="E458" s="19" t="n">
        <v>1923.74</v>
      </c>
      <c r="F458" s="19" t="n">
        <v>11.3684210526316</v>
      </c>
      <c r="G458" s="19" t="n">
        <v>1096.48294736842</v>
      </c>
      <c r="H458" s="8" t="str">
        <f aca="false">IF(COUNTIF($J$1:$J$2,$A458)&gt;0,"Y","N")</f>
        <v>Y</v>
      </c>
    </row>
    <row r="459" customFormat="false" ht="15" hidden="false" customHeight="true" outlineLevel="0" collapsed="false">
      <c r="A459" s="8" t="s">
        <v>43</v>
      </c>
      <c r="B459" s="8" t="n">
        <v>4413527</v>
      </c>
      <c r="C459" s="8" t="s">
        <v>1615</v>
      </c>
      <c r="D459" s="19" t="n">
        <v>10</v>
      </c>
      <c r="E459" s="19" t="n">
        <v>821.548</v>
      </c>
      <c r="F459" s="19" t="n">
        <v>7.57894736842105</v>
      </c>
      <c r="G459" s="19" t="n">
        <v>687.730105263158</v>
      </c>
      <c r="H459" s="8" t="str">
        <f aca="false">IF(COUNTIF($J$1:$J$2,$A459)&gt;0,"Y","N")</f>
        <v>Y</v>
      </c>
    </row>
    <row r="460" customFormat="false" ht="15" hidden="false" customHeight="true" outlineLevel="0" collapsed="false">
      <c r="A460" s="8" t="s">
        <v>43</v>
      </c>
      <c r="B460" s="8" t="n">
        <v>4413528</v>
      </c>
      <c r="C460" s="8" t="s">
        <v>1616</v>
      </c>
      <c r="D460" s="19" t="n">
        <v>23</v>
      </c>
      <c r="E460" s="19" t="n">
        <v>2146.235</v>
      </c>
      <c r="F460" s="19" t="n">
        <v>18.9473684210526</v>
      </c>
      <c r="G460" s="19" t="n">
        <v>1850.07789473684</v>
      </c>
      <c r="H460" s="8" t="str">
        <f aca="false">IF(COUNTIF($J$1:$J$2,$A460)&gt;0,"Y","N")</f>
        <v>Y</v>
      </c>
    </row>
    <row r="461" customFormat="false" ht="15" hidden="false" customHeight="true" outlineLevel="0" collapsed="false">
      <c r="A461" s="8" t="s">
        <v>43</v>
      </c>
      <c r="B461" s="8" t="n">
        <v>4413529</v>
      </c>
      <c r="C461" s="8" t="s">
        <v>1617</v>
      </c>
      <c r="D461" s="19" t="n">
        <v>22</v>
      </c>
      <c r="E461" s="19" t="n">
        <v>1964.235</v>
      </c>
      <c r="F461" s="19" t="n">
        <v>17.6842105263158</v>
      </c>
      <c r="G461" s="19" t="n">
        <v>1692.6</v>
      </c>
      <c r="H461" s="8" t="str">
        <f aca="false">IF(COUNTIF($J$1:$J$2,$A461)&gt;0,"Y","N")</f>
        <v>Y</v>
      </c>
    </row>
    <row r="462" customFormat="false" ht="15" hidden="false" customHeight="true" outlineLevel="0" collapsed="false">
      <c r="A462" s="8" t="s">
        <v>43</v>
      </c>
      <c r="B462" s="8" t="n">
        <v>4413530</v>
      </c>
      <c r="C462" s="8" t="s">
        <v>1618</v>
      </c>
      <c r="D462" s="19" t="n">
        <v>1</v>
      </c>
      <c r="E462" s="19" t="n">
        <v>26.208</v>
      </c>
      <c r="F462" s="19" t="n">
        <v>0</v>
      </c>
      <c r="G462" s="19" t="n">
        <v>0</v>
      </c>
      <c r="H462" s="8" t="str">
        <f aca="false">IF(COUNTIF($J$1:$J$2,$A462)&gt;0,"Y","N")</f>
        <v>Y</v>
      </c>
    </row>
    <row r="463" customFormat="false" ht="15" hidden="false" customHeight="true" outlineLevel="0" collapsed="false">
      <c r="A463" s="8" t="s">
        <v>43</v>
      </c>
      <c r="B463" s="8" t="n">
        <v>4413534</v>
      </c>
      <c r="C463" s="8" t="s">
        <v>1619</v>
      </c>
      <c r="D463" s="19" t="n">
        <v>0</v>
      </c>
      <c r="E463" s="19" t="n">
        <v>0</v>
      </c>
      <c r="F463" s="19" t="n">
        <v>10.1052631578947</v>
      </c>
      <c r="G463" s="19" t="n">
        <v>1495.58021052632</v>
      </c>
      <c r="H463" s="8" t="str">
        <f aca="false">IF(COUNTIF($J$1:$J$2,$A463)&gt;0,"Y","N")</f>
        <v>Y</v>
      </c>
    </row>
    <row r="464" customFormat="false" ht="15" hidden="false" customHeight="true" outlineLevel="0" collapsed="false">
      <c r="A464" s="8" t="s">
        <v>43</v>
      </c>
      <c r="B464" s="8" t="n">
        <v>4414000</v>
      </c>
      <c r="C464" s="8" t="s">
        <v>1620</v>
      </c>
      <c r="D464" s="19" t="n">
        <v>730</v>
      </c>
      <c r="E464" s="19" t="n">
        <v>21903.752</v>
      </c>
      <c r="F464" s="19" t="n">
        <v>558.315789473684</v>
      </c>
      <c r="G464" s="19" t="n">
        <v>18163.7381052632</v>
      </c>
      <c r="H464" s="8" t="str">
        <f aca="false">IF(COUNTIF($J$1:$J$2,$A464)&gt;0,"Y","N")</f>
        <v>Y</v>
      </c>
    </row>
    <row r="465" customFormat="false" ht="15" hidden="false" customHeight="true" outlineLevel="0" collapsed="false">
      <c r="A465" s="8" t="s">
        <v>43</v>
      </c>
      <c r="B465" s="8" t="n">
        <v>4415000</v>
      </c>
      <c r="C465" s="8" t="s">
        <v>1621</v>
      </c>
      <c r="D465" s="19" t="n">
        <v>106</v>
      </c>
      <c r="E465" s="19" t="n">
        <v>9478.014</v>
      </c>
      <c r="F465" s="19" t="n">
        <v>78.3157894736842</v>
      </c>
      <c r="G465" s="19" t="n">
        <v>7065.9612631579</v>
      </c>
      <c r="H465" s="8" t="str">
        <f aca="false">IF(COUNTIF($J$1:$J$2,$A465)&gt;0,"Y","N")</f>
        <v>Y</v>
      </c>
    </row>
    <row r="466" customFormat="false" ht="15" hidden="false" customHeight="true" outlineLevel="0" collapsed="false">
      <c r="A466" s="8" t="s">
        <v>43</v>
      </c>
      <c r="B466" s="8" t="n">
        <v>4415001</v>
      </c>
      <c r="C466" s="8" t="s">
        <v>1622</v>
      </c>
      <c r="D466" s="19" t="n">
        <v>91</v>
      </c>
      <c r="E466" s="19" t="n">
        <v>8161.79</v>
      </c>
      <c r="F466" s="19" t="n">
        <v>54.3157894736842</v>
      </c>
      <c r="G466" s="19" t="n">
        <v>4852.91115789474</v>
      </c>
      <c r="H466" s="8" t="str">
        <f aca="false">IF(COUNTIF($J$1:$J$2,$A466)&gt;0,"Y","N")</f>
        <v>Y</v>
      </c>
    </row>
    <row r="467" customFormat="false" ht="15" hidden="false" customHeight="true" outlineLevel="0" collapsed="false">
      <c r="A467" s="8" t="s">
        <v>43</v>
      </c>
      <c r="B467" s="8" t="n">
        <v>4415002</v>
      </c>
      <c r="C467" s="8" t="s">
        <v>1623</v>
      </c>
      <c r="D467" s="19" t="n">
        <v>53</v>
      </c>
      <c r="E467" s="19" t="n">
        <v>4708.067</v>
      </c>
      <c r="F467" s="19" t="n">
        <v>35.3684210526316</v>
      </c>
      <c r="G467" s="19" t="n">
        <v>3230.48084210526</v>
      </c>
      <c r="H467" s="8" t="str">
        <f aca="false">IF(COUNTIF($J$1:$J$2,$A467)&gt;0,"Y","N")</f>
        <v>Y</v>
      </c>
    </row>
    <row r="468" customFormat="false" ht="15" hidden="false" customHeight="true" outlineLevel="0" collapsed="false">
      <c r="A468" s="8" t="s">
        <v>43</v>
      </c>
      <c r="B468" s="8" t="n">
        <v>4415003</v>
      </c>
      <c r="C468" s="8" t="s">
        <v>1624</v>
      </c>
      <c r="D468" s="19" t="n">
        <v>70</v>
      </c>
      <c r="E468" s="19" t="n">
        <v>6205.199</v>
      </c>
      <c r="F468" s="19" t="n">
        <v>35.3684210526316</v>
      </c>
      <c r="G468" s="19" t="n">
        <v>3223.69894736842</v>
      </c>
      <c r="H468" s="8" t="str">
        <f aca="false">IF(COUNTIF($J$1:$J$2,$A468)&gt;0,"Y","N")</f>
        <v>Y</v>
      </c>
    </row>
    <row r="469" customFormat="false" ht="15" hidden="false" customHeight="true" outlineLevel="0" collapsed="false">
      <c r="A469" s="8" t="s">
        <v>43</v>
      </c>
      <c r="B469" s="8" t="n">
        <v>4415004</v>
      </c>
      <c r="C469" s="8" t="s">
        <v>1625</v>
      </c>
      <c r="D469" s="19" t="n">
        <v>3</v>
      </c>
      <c r="E469" s="19" t="n">
        <v>281.372</v>
      </c>
      <c r="F469" s="19" t="n">
        <v>2.52631578947368</v>
      </c>
      <c r="G469" s="19" t="n">
        <v>236.906526315789</v>
      </c>
      <c r="H469" s="8" t="str">
        <f aca="false">IF(COUNTIF($J$1:$J$2,$A469)&gt;0,"Y","N")</f>
        <v>Y</v>
      </c>
    </row>
    <row r="470" customFormat="false" ht="15" hidden="false" customHeight="true" outlineLevel="0" collapsed="false">
      <c r="A470" s="8" t="s">
        <v>43</v>
      </c>
      <c r="B470" s="8" t="n">
        <v>4415005</v>
      </c>
      <c r="C470" s="8" t="s">
        <v>1626</v>
      </c>
      <c r="D470" s="19" t="n">
        <v>65</v>
      </c>
      <c r="E470" s="19" t="n">
        <v>5937.534</v>
      </c>
      <c r="F470" s="19" t="n">
        <v>40.4210526315789</v>
      </c>
      <c r="G470" s="19" t="n">
        <v>3671.87873684211</v>
      </c>
      <c r="H470" s="8" t="str">
        <f aca="false">IF(COUNTIF($J$1:$J$2,$A470)&gt;0,"Y","N")</f>
        <v>Y</v>
      </c>
    </row>
    <row r="471" customFormat="false" ht="15" hidden="false" customHeight="true" outlineLevel="0" collapsed="false">
      <c r="A471" s="8" t="s">
        <v>43</v>
      </c>
      <c r="B471" s="8" t="n">
        <v>4415006</v>
      </c>
      <c r="C471" s="8" t="s">
        <v>1627</v>
      </c>
      <c r="D471" s="19" t="n">
        <v>81</v>
      </c>
      <c r="E471" s="19" t="n">
        <v>7185.145</v>
      </c>
      <c r="F471" s="19" t="n">
        <v>56.8421052631579</v>
      </c>
      <c r="G471" s="19" t="n">
        <v>5001.58989473684</v>
      </c>
      <c r="H471" s="8" t="str">
        <f aca="false">IF(COUNTIF($J$1:$J$2,$A471)&gt;0,"Y","N")</f>
        <v>Y</v>
      </c>
    </row>
    <row r="472" customFormat="false" ht="15" hidden="false" customHeight="true" outlineLevel="0" collapsed="false">
      <c r="A472" s="8" t="s">
        <v>43</v>
      </c>
      <c r="B472" s="8" t="n">
        <v>4415007</v>
      </c>
      <c r="C472" s="8" t="s">
        <v>1628</v>
      </c>
      <c r="D472" s="19" t="n">
        <v>63</v>
      </c>
      <c r="E472" s="19" t="n">
        <v>5615.587</v>
      </c>
      <c r="F472" s="19" t="n">
        <v>17.6842105263158</v>
      </c>
      <c r="G472" s="19" t="n">
        <v>1634.73978947368</v>
      </c>
      <c r="H472" s="8" t="str">
        <f aca="false">IF(COUNTIF($J$1:$J$2,$A472)&gt;0,"Y","N")</f>
        <v>Y</v>
      </c>
    </row>
    <row r="473" customFormat="false" ht="15" hidden="false" customHeight="true" outlineLevel="0" collapsed="false">
      <c r="A473" s="8" t="s">
        <v>43</v>
      </c>
      <c r="B473" s="8" t="n">
        <v>4415008</v>
      </c>
      <c r="C473" s="8" t="s">
        <v>1629</v>
      </c>
      <c r="D473" s="19" t="n">
        <v>35</v>
      </c>
      <c r="E473" s="19" t="n">
        <v>3212.218</v>
      </c>
      <c r="F473" s="19" t="n">
        <v>24</v>
      </c>
      <c r="G473" s="19" t="n">
        <v>2161.35536842105</v>
      </c>
      <c r="H473" s="8" t="str">
        <f aca="false">IF(COUNTIF($J$1:$J$2,$A473)&gt;0,"Y","N")</f>
        <v>Y</v>
      </c>
    </row>
    <row r="474" customFormat="false" ht="15" hidden="false" customHeight="true" outlineLevel="0" collapsed="false">
      <c r="A474" s="8" t="s">
        <v>43</v>
      </c>
      <c r="B474" s="8" t="n">
        <v>4415012</v>
      </c>
      <c r="C474" s="8" t="s">
        <v>1630</v>
      </c>
      <c r="D474" s="19" t="n">
        <v>1</v>
      </c>
      <c r="E474" s="19" t="n">
        <v>180.726</v>
      </c>
      <c r="F474" s="19" t="n">
        <v>0</v>
      </c>
      <c r="G474" s="19" t="n">
        <v>0</v>
      </c>
      <c r="H474" s="8" t="str">
        <f aca="false">IF(COUNTIF($J$1:$J$2,$A474)&gt;0,"Y","N")</f>
        <v>Y</v>
      </c>
    </row>
    <row r="475" customFormat="false" ht="15" hidden="false" customHeight="true" outlineLevel="0" collapsed="false">
      <c r="A475" s="8" t="s">
        <v>43</v>
      </c>
      <c r="B475" s="8" t="n">
        <v>4415013</v>
      </c>
      <c r="C475" s="8" t="s">
        <v>1631</v>
      </c>
      <c r="D475" s="19" t="n">
        <v>0</v>
      </c>
      <c r="E475" s="19" t="n">
        <v>0</v>
      </c>
      <c r="F475" s="19" t="n">
        <v>2.52631578947368</v>
      </c>
      <c r="G475" s="19" t="n">
        <v>489.101052631579</v>
      </c>
      <c r="H475" s="8" t="str">
        <f aca="false">IF(COUNTIF($J$1:$J$2,$A475)&gt;0,"Y","N")</f>
        <v>Y</v>
      </c>
    </row>
    <row r="476" customFormat="false" ht="15" hidden="false" customHeight="true" outlineLevel="0" collapsed="false">
      <c r="A476" s="8" t="s">
        <v>43</v>
      </c>
      <c r="B476" s="8" t="n">
        <v>4415019</v>
      </c>
      <c r="C476" s="8" t="s">
        <v>1632</v>
      </c>
      <c r="D476" s="19" t="n">
        <v>10</v>
      </c>
      <c r="E476" s="19" t="n">
        <v>1240.148</v>
      </c>
      <c r="F476" s="19" t="n">
        <v>11.3684210526316</v>
      </c>
      <c r="G476" s="19" t="n">
        <v>1258.55873684211</v>
      </c>
      <c r="H476" s="8" t="str">
        <f aca="false">IF(COUNTIF($J$1:$J$2,$A476)&gt;0,"Y","N")</f>
        <v>Y</v>
      </c>
    </row>
    <row r="477" customFormat="false" ht="15" hidden="false" customHeight="true" outlineLevel="0" collapsed="false">
      <c r="A477" s="8" t="s">
        <v>43</v>
      </c>
      <c r="B477" s="8" t="n">
        <v>4415025</v>
      </c>
      <c r="C477" s="8" t="s">
        <v>1633</v>
      </c>
      <c r="D477" s="19" t="n">
        <v>2</v>
      </c>
      <c r="E477" s="19" t="n">
        <v>181.363</v>
      </c>
      <c r="F477" s="19" t="n">
        <v>1.26315789473684</v>
      </c>
      <c r="G477" s="19" t="n">
        <v>130.218947368421</v>
      </c>
      <c r="H477" s="8" t="str">
        <f aca="false">IF(COUNTIF($J$1:$J$2,$A477)&gt;0,"Y","N")</f>
        <v>Y</v>
      </c>
    </row>
    <row r="478" customFormat="false" ht="15" hidden="false" customHeight="true" outlineLevel="0" collapsed="false">
      <c r="A478" s="8" t="s">
        <v>43</v>
      </c>
      <c r="B478" s="8" t="n">
        <v>4415026</v>
      </c>
      <c r="C478" s="8" t="s">
        <v>1634</v>
      </c>
      <c r="D478" s="19" t="n">
        <v>371</v>
      </c>
      <c r="E478" s="19" t="n">
        <v>13950.596</v>
      </c>
      <c r="F478" s="19" t="n">
        <v>257.684210526316</v>
      </c>
      <c r="G478" s="19" t="n">
        <v>9566.19789473684</v>
      </c>
      <c r="H478" s="8" t="str">
        <f aca="false">IF(COUNTIF($J$1:$J$2,$A478)&gt;0,"Y","N")</f>
        <v>Y</v>
      </c>
    </row>
    <row r="479" customFormat="false" ht="15" hidden="false" customHeight="true" outlineLevel="0" collapsed="false">
      <c r="A479" s="8" t="s">
        <v>43</v>
      </c>
      <c r="B479" s="8" t="n">
        <v>4415027</v>
      </c>
      <c r="C479" s="8" t="s">
        <v>1635</v>
      </c>
      <c r="D479" s="19" t="n">
        <v>418</v>
      </c>
      <c r="E479" s="19" t="n">
        <v>15228.417</v>
      </c>
      <c r="F479" s="19" t="n">
        <v>354.947368421053</v>
      </c>
      <c r="G479" s="19" t="n">
        <v>13761.5570526316</v>
      </c>
      <c r="H479" s="8" t="str">
        <f aca="false">IF(COUNTIF($J$1:$J$2,$A479)&gt;0,"Y","N")</f>
        <v>Y</v>
      </c>
    </row>
    <row r="480" customFormat="false" ht="15" hidden="false" customHeight="true" outlineLevel="0" collapsed="false">
      <c r="A480" s="8" t="s">
        <v>43</v>
      </c>
      <c r="B480" s="8" t="n">
        <v>4415028</v>
      </c>
      <c r="C480" s="8" t="s">
        <v>1636</v>
      </c>
      <c r="D480" s="19" t="n">
        <v>704</v>
      </c>
      <c r="E480" s="19" t="n">
        <v>23373.574</v>
      </c>
      <c r="F480" s="19" t="n">
        <v>617.684210526316</v>
      </c>
      <c r="G480" s="19" t="n">
        <v>22121.568</v>
      </c>
      <c r="H480" s="8" t="str">
        <f aca="false">IF(COUNTIF($J$1:$J$2,$A480)&gt;0,"Y","N")</f>
        <v>Y</v>
      </c>
    </row>
    <row r="481" customFormat="false" ht="15" hidden="false" customHeight="true" outlineLevel="0" collapsed="false">
      <c r="A481" s="8" t="s">
        <v>43</v>
      </c>
      <c r="B481" s="8" t="n">
        <v>4415029</v>
      </c>
      <c r="C481" s="8" t="s">
        <v>1637</v>
      </c>
      <c r="D481" s="19" t="n">
        <v>54</v>
      </c>
      <c r="E481" s="19" t="n">
        <v>1479.029</v>
      </c>
      <c r="F481" s="19" t="n">
        <v>70.7368421052632</v>
      </c>
      <c r="G481" s="19" t="n">
        <v>2004.12378947368</v>
      </c>
      <c r="H481" s="8" t="str">
        <f aca="false">IF(COUNTIF($J$1:$J$2,$A481)&gt;0,"Y","N")</f>
        <v>Y</v>
      </c>
    </row>
    <row r="482" customFormat="false" ht="15" hidden="false" customHeight="true" outlineLevel="0" collapsed="false">
      <c r="A482" s="8" t="s">
        <v>43</v>
      </c>
      <c r="B482" s="8" t="n">
        <v>4415067</v>
      </c>
      <c r="C482" s="8" t="s">
        <v>1638</v>
      </c>
      <c r="D482" s="19" t="n">
        <v>0</v>
      </c>
      <c r="E482" s="19" t="n">
        <v>-11.83</v>
      </c>
      <c r="F482" s="19" t="n">
        <v>3.78947368421053</v>
      </c>
      <c r="G482" s="19" t="n">
        <v>241.044631578947</v>
      </c>
      <c r="H482" s="8" t="str">
        <f aca="false">IF(COUNTIF($J$1:$J$2,$A482)&gt;0,"Y","N")</f>
        <v>Y</v>
      </c>
    </row>
    <row r="483" customFormat="false" ht="15" hidden="false" customHeight="true" outlineLevel="0" collapsed="false">
      <c r="A483" s="8" t="s">
        <v>43</v>
      </c>
      <c r="B483" s="8" t="n">
        <v>4415069</v>
      </c>
      <c r="C483" s="8" t="s">
        <v>1639</v>
      </c>
      <c r="D483" s="19" t="n">
        <v>7</v>
      </c>
      <c r="E483" s="19" t="n">
        <v>442.806</v>
      </c>
      <c r="F483" s="19" t="n">
        <v>6.31578947368421</v>
      </c>
      <c r="G483" s="19" t="n">
        <v>407.25852631579</v>
      </c>
      <c r="H483" s="8" t="str">
        <f aca="false">IF(COUNTIF($J$1:$J$2,$A483)&gt;0,"Y","N")</f>
        <v>Y</v>
      </c>
    </row>
    <row r="484" customFormat="false" ht="15" hidden="false" customHeight="true" outlineLevel="0" collapsed="false">
      <c r="A484" s="8" t="s">
        <v>43</v>
      </c>
      <c r="B484" s="8" t="n">
        <v>4415070</v>
      </c>
      <c r="C484" s="8" t="s">
        <v>1640</v>
      </c>
      <c r="D484" s="19" t="n">
        <v>1</v>
      </c>
      <c r="E484" s="19" t="n">
        <v>60.151</v>
      </c>
      <c r="F484" s="19" t="n">
        <v>0</v>
      </c>
      <c r="G484" s="19" t="n">
        <v>0</v>
      </c>
      <c r="H484" s="8" t="str">
        <f aca="false">IF(COUNTIF($J$1:$J$2,$A484)&gt;0,"Y","N")</f>
        <v>Y</v>
      </c>
    </row>
    <row r="485" customFormat="false" ht="15" hidden="false" customHeight="true" outlineLevel="0" collapsed="false">
      <c r="A485" s="8" t="s">
        <v>43</v>
      </c>
      <c r="B485" s="8" t="n">
        <v>4415071</v>
      </c>
      <c r="C485" s="8" t="s">
        <v>1641</v>
      </c>
      <c r="D485" s="19" t="n">
        <v>4</v>
      </c>
      <c r="E485" s="19" t="n">
        <v>249.34</v>
      </c>
      <c r="F485" s="19" t="n">
        <v>1.26315789473684</v>
      </c>
      <c r="G485" s="19" t="n">
        <v>81.4976842105263</v>
      </c>
      <c r="H485" s="8" t="str">
        <f aca="false">IF(COUNTIF($J$1:$J$2,$A485)&gt;0,"Y","N")</f>
        <v>Y</v>
      </c>
    </row>
    <row r="486" customFormat="false" ht="15" hidden="false" customHeight="true" outlineLevel="0" collapsed="false">
      <c r="A486" s="8" t="s">
        <v>43</v>
      </c>
      <c r="B486" s="8" t="n">
        <v>4415072</v>
      </c>
      <c r="C486" s="8" t="s">
        <v>1642</v>
      </c>
      <c r="D486" s="19" t="n">
        <v>47</v>
      </c>
      <c r="E486" s="19" t="n">
        <v>2861.313</v>
      </c>
      <c r="F486" s="19" t="n">
        <v>45.4736842105263</v>
      </c>
      <c r="G486" s="19" t="n">
        <v>2787.93347368421</v>
      </c>
      <c r="H486" s="8" t="str">
        <f aca="false">IF(COUNTIF($J$1:$J$2,$A486)&gt;0,"Y","N")</f>
        <v>Y</v>
      </c>
    </row>
    <row r="487" customFormat="false" ht="15" hidden="false" customHeight="true" outlineLevel="0" collapsed="false">
      <c r="A487" s="8" t="s">
        <v>43</v>
      </c>
      <c r="B487" s="8" t="n">
        <v>4415073</v>
      </c>
      <c r="C487" s="8" t="s">
        <v>1643</v>
      </c>
      <c r="D487" s="19" t="n">
        <v>44</v>
      </c>
      <c r="E487" s="19" t="n">
        <v>2654.296</v>
      </c>
      <c r="F487" s="19" t="n">
        <v>41.6842105263158</v>
      </c>
      <c r="G487" s="19" t="n">
        <v>2574.47621052632</v>
      </c>
      <c r="H487" s="8" t="str">
        <f aca="false">IF(COUNTIF($J$1:$J$2,$A487)&gt;0,"Y","N")</f>
        <v>Y</v>
      </c>
    </row>
    <row r="488" customFormat="false" ht="15" hidden="false" customHeight="true" outlineLevel="0" collapsed="false">
      <c r="A488" s="8" t="s">
        <v>43</v>
      </c>
      <c r="B488" s="8" t="n">
        <v>4415074</v>
      </c>
      <c r="C488" s="8" t="s">
        <v>1644</v>
      </c>
      <c r="D488" s="19" t="n">
        <v>88</v>
      </c>
      <c r="E488" s="19" t="n">
        <v>5389.748</v>
      </c>
      <c r="F488" s="19" t="n">
        <v>79.5789473684211</v>
      </c>
      <c r="G488" s="19" t="n">
        <v>4921.01178947368</v>
      </c>
      <c r="H488" s="8" t="str">
        <f aca="false">IF(COUNTIF($J$1:$J$2,$A488)&gt;0,"Y","N")</f>
        <v>Y</v>
      </c>
    </row>
    <row r="489" customFormat="false" ht="15" hidden="false" customHeight="true" outlineLevel="0" collapsed="false">
      <c r="A489" s="8" t="s">
        <v>43</v>
      </c>
      <c r="B489" s="8" t="n">
        <v>4415075</v>
      </c>
      <c r="C489" s="8" t="s">
        <v>1645</v>
      </c>
      <c r="D489" s="19" t="n">
        <v>47</v>
      </c>
      <c r="E489" s="19" t="n">
        <v>2895.438</v>
      </c>
      <c r="F489" s="19" t="n">
        <v>48</v>
      </c>
      <c r="G489" s="19" t="n">
        <v>2964.14778947368</v>
      </c>
      <c r="H489" s="8" t="str">
        <f aca="false">IF(COUNTIF($J$1:$J$2,$A489)&gt;0,"Y","N")</f>
        <v>Y</v>
      </c>
    </row>
    <row r="490" customFormat="false" ht="15" hidden="false" customHeight="true" outlineLevel="0" collapsed="false">
      <c r="A490" s="8" t="s">
        <v>43</v>
      </c>
      <c r="B490" s="8" t="n">
        <v>4415080</v>
      </c>
      <c r="C490" s="8" t="s">
        <v>1646</v>
      </c>
      <c r="D490" s="19" t="n">
        <v>44</v>
      </c>
      <c r="E490" s="19" t="n">
        <v>381.563</v>
      </c>
      <c r="F490" s="19" t="n">
        <v>150.315789473684</v>
      </c>
      <c r="G490" s="19" t="n">
        <v>1297.64084210526</v>
      </c>
      <c r="H490" s="8" t="str">
        <f aca="false">IF(COUNTIF($J$1:$J$2,$A490)&gt;0,"Y","N")</f>
        <v>Y</v>
      </c>
    </row>
    <row r="491" customFormat="false" ht="15" hidden="false" customHeight="true" outlineLevel="0" collapsed="false">
      <c r="A491" s="8" t="s">
        <v>43</v>
      </c>
      <c r="B491" s="8" t="n">
        <v>4415083</v>
      </c>
      <c r="C491" s="8" t="s">
        <v>1647</v>
      </c>
      <c r="D491" s="19" t="n">
        <v>4</v>
      </c>
      <c r="E491" s="19" t="n">
        <v>399.035</v>
      </c>
      <c r="F491" s="19" t="n">
        <v>0</v>
      </c>
      <c r="G491" s="19" t="n">
        <v>0</v>
      </c>
      <c r="H491" s="8" t="str">
        <f aca="false">IF(COUNTIF($J$1:$J$2,$A491)&gt;0,"Y","N")</f>
        <v>Y</v>
      </c>
    </row>
    <row r="492" customFormat="false" ht="15" hidden="false" customHeight="true" outlineLevel="0" collapsed="false">
      <c r="A492" s="8" t="s">
        <v>43</v>
      </c>
      <c r="B492" s="8" t="n">
        <v>4415084</v>
      </c>
      <c r="C492" s="8" t="s">
        <v>1648</v>
      </c>
      <c r="D492" s="19" t="n">
        <v>4</v>
      </c>
      <c r="E492" s="19" t="n">
        <v>409.318</v>
      </c>
      <c r="F492" s="19" t="n">
        <v>0</v>
      </c>
      <c r="G492" s="19" t="n">
        <v>0</v>
      </c>
      <c r="H492" s="8" t="str">
        <f aca="false">IF(COUNTIF($J$1:$J$2,$A492)&gt;0,"Y","N")</f>
        <v>Y</v>
      </c>
    </row>
    <row r="493" customFormat="false" ht="15" hidden="false" customHeight="true" outlineLevel="0" collapsed="false">
      <c r="A493" s="8" t="s">
        <v>43</v>
      </c>
      <c r="B493" s="8" t="n">
        <v>4415089</v>
      </c>
      <c r="C493" s="8" t="s">
        <v>1649</v>
      </c>
      <c r="D493" s="19" t="n">
        <v>1</v>
      </c>
      <c r="E493" s="19" t="n">
        <v>81.991</v>
      </c>
      <c r="F493" s="19" t="n">
        <v>0</v>
      </c>
      <c r="G493" s="19" t="n">
        <v>0</v>
      </c>
      <c r="H493" s="8" t="str">
        <f aca="false">IF(COUNTIF($J$1:$J$2,$A493)&gt;0,"Y","N")</f>
        <v>Y</v>
      </c>
    </row>
    <row r="494" customFormat="false" ht="15" hidden="false" customHeight="true" outlineLevel="0" collapsed="false">
      <c r="A494" s="8" t="s">
        <v>43</v>
      </c>
      <c r="B494" s="8" t="n">
        <v>4415090</v>
      </c>
      <c r="C494" s="8" t="s">
        <v>1650</v>
      </c>
      <c r="D494" s="19" t="n">
        <v>1</v>
      </c>
      <c r="E494" s="19" t="n">
        <v>81.991</v>
      </c>
      <c r="F494" s="19" t="n">
        <v>0</v>
      </c>
      <c r="G494" s="19" t="n">
        <v>0</v>
      </c>
      <c r="H494" s="8" t="str">
        <f aca="false">IF(COUNTIF($J$1:$J$2,$A494)&gt;0,"Y","N")</f>
        <v>Y</v>
      </c>
    </row>
    <row r="495" customFormat="false" ht="15" hidden="false" customHeight="true" outlineLevel="0" collapsed="false">
      <c r="A495" s="8" t="s">
        <v>43</v>
      </c>
      <c r="B495" s="8" t="n">
        <v>4415091</v>
      </c>
      <c r="C495" s="8" t="s">
        <v>1651</v>
      </c>
      <c r="D495" s="19" t="n">
        <v>0</v>
      </c>
      <c r="E495" s="19" t="n">
        <v>0</v>
      </c>
      <c r="F495" s="19" t="n">
        <v>-2.52631578947368</v>
      </c>
      <c r="G495" s="19" t="n">
        <v>-222.997894736842</v>
      </c>
      <c r="H495" s="8" t="str">
        <f aca="false">IF(COUNTIF($J$1:$J$2,$A495)&gt;0,"Y","N")</f>
        <v>Y</v>
      </c>
    </row>
    <row r="496" customFormat="false" ht="15" hidden="false" customHeight="true" outlineLevel="0" collapsed="false">
      <c r="A496" s="8" t="s">
        <v>43</v>
      </c>
      <c r="B496" s="8" t="n">
        <v>4415120</v>
      </c>
      <c r="C496" s="8" t="s">
        <v>1652</v>
      </c>
      <c r="D496" s="19" t="n">
        <v>1</v>
      </c>
      <c r="E496" s="19" t="n">
        <v>124.67</v>
      </c>
      <c r="F496" s="19" t="n">
        <v>0</v>
      </c>
      <c r="G496" s="19" t="n">
        <v>0</v>
      </c>
      <c r="H496" s="8" t="str">
        <f aca="false">IF(COUNTIF($J$1:$J$2,$A496)&gt;0,"Y","N")</f>
        <v>Y</v>
      </c>
    </row>
    <row r="497" customFormat="false" ht="15" hidden="false" customHeight="true" outlineLevel="0" collapsed="false">
      <c r="A497" s="8" t="s">
        <v>43</v>
      </c>
      <c r="B497" s="8" t="n">
        <v>4415131</v>
      </c>
      <c r="C497" s="8" t="s">
        <v>1653</v>
      </c>
      <c r="D497" s="19" t="n">
        <v>1</v>
      </c>
      <c r="E497" s="19" t="n">
        <v>85.995</v>
      </c>
      <c r="F497" s="19" t="n">
        <v>0</v>
      </c>
      <c r="G497" s="19" t="n">
        <v>0</v>
      </c>
      <c r="H497" s="8" t="str">
        <f aca="false">IF(COUNTIF($J$1:$J$2,$A497)&gt;0,"Y","N")</f>
        <v>Y</v>
      </c>
    </row>
    <row r="498" customFormat="false" ht="15" hidden="false" customHeight="true" outlineLevel="0" collapsed="false">
      <c r="A498" s="8" t="s">
        <v>43</v>
      </c>
      <c r="B498" s="8" t="n">
        <v>4415158</v>
      </c>
      <c r="C498" s="8" t="s">
        <v>1654</v>
      </c>
      <c r="D498" s="19" t="n">
        <v>520</v>
      </c>
      <c r="E498" s="19" t="n">
        <v>36753.417</v>
      </c>
      <c r="F498" s="19" t="n">
        <v>439.578947368421</v>
      </c>
      <c r="G498" s="19" t="n">
        <v>31250.544</v>
      </c>
      <c r="H498" s="8" t="str">
        <f aca="false">IF(COUNTIF($J$1:$J$2,$A498)&gt;0,"Y","N")</f>
        <v>Y</v>
      </c>
    </row>
    <row r="499" customFormat="false" ht="15" hidden="false" customHeight="true" outlineLevel="0" collapsed="false">
      <c r="A499" s="8" t="s">
        <v>43</v>
      </c>
      <c r="B499" s="8" t="n">
        <v>4415159</v>
      </c>
      <c r="C499" s="8" t="s">
        <v>1655</v>
      </c>
      <c r="D499" s="19" t="n">
        <v>134</v>
      </c>
      <c r="E499" s="19" t="n">
        <v>14155.721</v>
      </c>
      <c r="F499" s="19" t="n">
        <v>145.263157894737</v>
      </c>
      <c r="G499" s="19" t="n">
        <v>15524.8168421053</v>
      </c>
      <c r="H499" s="8" t="str">
        <f aca="false">IF(COUNTIF($J$1:$J$2,$A499)&gt;0,"Y","N")</f>
        <v>Y</v>
      </c>
    </row>
    <row r="500" customFormat="false" ht="15" hidden="false" customHeight="true" outlineLevel="0" collapsed="false">
      <c r="A500" s="8" t="s">
        <v>43</v>
      </c>
      <c r="B500" s="8" t="n">
        <v>4415160</v>
      </c>
      <c r="C500" s="8" t="s">
        <v>1656</v>
      </c>
      <c r="D500" s="19" t="n">
        <v>288</v>
      </c>
      <c r="E500" s="19" t="n">
        <v>5015.565</v>
      </c>
      <c r="F500" s="19" t="n">
        <v>284.21052631579</v>
      </c>
      <c r="G500" s="19" t="n">
        <v>5097.43831578947</v>
      </c>
      <c r="H500" s="8" t="str">
        <f aca="false">IF(COUNTIF($J$1:$J$2,$A500)&gt;0,"Y","N")</f>
        <v>Y</v>
      </c>
    </row>
    <row r="501" customFormat="false" ht="15" hidden="false" customHeight="true" outlineLevel="0" collapsed="false">
      <c r="A501" s="8" t="s">
        <v>43</v>
      </c>
      <c r="B501" s="8" t="n">
        <v>4415161</v>
      </c>
      <c r="C501" s="8" t="s">
        <v>1657</v>
      </c>
      <c r="D501" s="19" t="n">
        <v>412</v>
      </c>
      <c r="E501" s="19" t="n">
        <v>7194.878</v>
      </c>
      <c r="F501" s="19" t="n">
        <v>457.263157894737</v>
      </c>
      <c r="G501" s="19" t="n">
        <v>8198.80042105263</v>
      </c>
      <c r="H501" s="8" t="str">
        <f aca="false">IF(COUNTIF($J$1:$J$2,$A501)&gt;0,"Y","N")</f>
        <v>Y</v>
      </c>
    </row>
    <row r="502" customFormat="false" ht="15" hidden="false" customHeight="true" outlineLevel="0" collapsed="false">
      <c r="A502" s="8" t="s">
        <v>43</v>
      </c>
      <c r="B502" s="8" t="n">
        <v>4415162</v>
      </c>
      <c r="C502" s="8" t="s">
        <v>1658</v>
      </c>
      <c r="D502" s="19" t="n">
        <v>399</v>
      </c>
      <c r="E502" s="19" t="n">
        <v>6988.248</v>
      </c>
      <c r="F502" s="19" t="n">
        <v>387.789473684211</v>
      </c>
      <c r="G502" s="19" t="n">
        <v>6944.78021052632</v>
      </c>
      <c r="H502" s="8" t="str">
        <f aca="false">IF(COUNTIF($J$1:$J$2,$A502)&gt;0,"Y","N")</f>
        <v>Y</v>
      </c>
    </row>
    <row r="503" customFormat="false" ht="15" hidden="false" customHeight="true" outlineLevel="0" collapsed="false">
      <c r="A503" s="8" t="s">
        <v>43</v>
      </c>
      <c r="B503" s="8" t="n">
        <v>4415163</v>
      </c>
      <c r="C503" s="8" t="s">
        <v>1659</v>
      </c>
      <c r="D503" s="19" t="n">
        <v>231</v>
      </c>
      <c r="E503" s="19" t="n">
        <v>4076.65</v>
      </c>
      <c r="F503" s="19" t="n">
        <v>202.105263157895</v>
      </c>
      <c r="G503" s="19" t="n">
        <v>3653.91410526316</v>
      </c>
      <c r="H503" s="8" t="str">
        <f aca="false">IF(COUNTIF($J$1:$J$2,$A503)&gt;0,"Y","N")</f>
        <v>Y</v>
      </c>
    </row>
    <row r="504" customFormat="false" ht="15" hidden="false" customHeight="true" outlineLevel="0" collapsed="false">
      <c r="A504" s="8" t="s">
        <v>43</v>
      </c>
      <c r="B504" s="8" t="n">
        <v>4415164</v>
      </c>
      <c r="C504" s="8" t="s">
        <v>1660</v>
      </c>
      <c r="D504" s="19" t="n">
        <v>1</v>
      </c>
      <c r="E504" s="19" t="n">
        <v>98.917</v>
      </c>
      <c r="F504" s="19" t="n">
        <v>0</v>
      </c>
      <c r="G504" s="19" t="n">
        <v>0</v>
      </c>
      <c r="H504" s="8" t="str">
        <f aca="false">IF(COUNTIF($J$1:$J$2,$A504)&gt;0,"Y","N")</f>
        <v>Y</v>
      </c>
    </row>
    <row r="505" customFormat="false" ht="15" hidden="false" customHeight="true" outlineLevel="0" collapsed="false">
      <c r="A505" s="8" t="s">
        <v>43</v>
      </c>
      <c r="B505" s="8" t="n">
        <v>4415165</v>
      </c>
      <c r="C505" s="8" t="s">
        <v>1661</v>
      </c>
      <c r="D505" s="19" t="n">
        <v>1</v>
      </c>
      <c r="E505" s="19" t="n">
        <v>98.917</v>
      </c>
      <c r="F505" s="19" t="n">
        <v>0</v>
      </c>
      <c r="G505" s="19" t="n">
        <v>0</v>
      </c>
      <c r="H505" s="8" t="str">
        <f aca="false">IF(COUNTIF($J$1:$J$2,$A505)&gt;0,"Y","N")</f>
        <v>Y</v>
      </c>
    </row>
    <row r="506" customFormat="false" ht="15" hidden="false" customHeight="true" outlineLevel="0" collapsed="false">
      <c r="A506" s="8" t="s">
        <v>43</v>
      </c>
      <c r="B506" s="8" t="n">
        <v>4415167</v>
      </c>
      <c r="C506" s="8" t="s">
        <v>1662</v>
      </c>
      <c r="D506" s="19" t="n">
        <v>1</v>
      </c>
      <c r="E506" s="19" t="n">
        <v>98.917</v>
      </c>
      <c r="F506" s="19" t="n">
        <v>0</v>
      </c>
      <c r="G506" s="19" t="n">
        <v>0</v>
      </c>
      <c r="H506" s="8" t="str">
        <f aca="false">IF(COUNTIF($J$1:$J$2,$A506)&gt;0,"Y","N")</f>
        <v>Y</v>
      </c>
    </row>
    <row r="507" customFormat="false" ht="15" hidden="false" customHeight="true" outlineLevel="0" collapsed="false">
      <c r="A507" s="8" t="s">
        <v>43</v>
      </c>
      <c r="B507" s="8" t="n">
        <v>4415168</v>
      </c>
      <c r="C507" s="8" t="s">
        <v>1663</v>
      </c>
      <c r="D507" s="19" t="n">
        <v>1</v>
      </c>
      <c r="E507" s="19" t="n">
        <v>98.917</v>
      </c>
      <c r="F507" s="19" t="n">
        <v>0</v>
      </c>
      <c r="G507" s="19" t="n">
        <v>0</v>
      </c>
      <c r="H507" s="8" t="str">
        <f aca="false">IF(COUNTIF($J$1:$J$2,$A507)&gt;0,"Y","N")</f>
        <v>Y</v>
      </c>
    </row>
    <row r="508" customFormat="false" ht="15" hidden="false" customHeight="true" outlineLevel="0" collapsed="false">
      <c r="A508" s="8" t="s">
        <v>43</v>
      </c>
      <c r="B508" s="8" t="n">
        <v>4415170</v>
      </c>
      <c r="C508" s="8" t="s">
        <v>1664</v>
      </c>
      <c r="D508" s="19" t="n">
        <v>1</v>
      </c>
      <c r="E508" s="19" t="n">
        <v>98.917</v>
      </c>
      <c r="F508" s="19" t="n">
        <v>0</v>
      </c>
      <c r="G508" s="19" t="n">
        <v>0</v>
      </c>
      <c r="H508" s="8" t="str">
        <f aca="false">IF(COUNTIF($J$1:$J$2,$A508)&gt;0,"Y","N")</f>
        <v>Y</v>
      </c>
    </row>
    <row r="509" customFormat="false" ht="15" hidden="false" customHeight="true" outlineLevel="0" collapsed="false">
      <c r="A509" s="8" t="s">
        <v>43</v>
      </c>
      <c r="B509" s="8" t="n">
        <v>4415171</v>
      </c>
      <c r="C509" s="8" t="s">
        <v>1665</v>
      </c>
      <c r="D509" s="19" t="n">
        <v>1</v>
      </c>
      <c r="E509" s="19" t="n">
        <v>98.917</v>
      </c>
      <c r="F509" s="19" t="n">
        <v>0</v>
      </c>
      <c r="G509" s="19" t="n">
        <v>0</v>
      </c>
      <c r="H509" s="8" t="str">
        <f aca="false">IF(COUNTIF($J$1:$J$2,$A509)&gt;0,"Y","N")</f>
        <v>Y</v>
      </c>
    </row>
    <row r="510" customFormat="false" ht="15" hidden="false" customHeight="true" outlineLevel="0" collapsed="false">
      <c r="A510" s="8" t="s">
        <v>43</v>
      </c>
      <c r="B510" s="8" t="n">
        <v>4415173</v>
      </c>
      <c r="C510" s="8" t="s">
        <v>1666</v>
      </c>
      <c r="D510" s="19" t="n">
        <v>1</v>
      </c>
      <c r="E510" s="19" t="n">
        <v>98.917</v>
      </c>
      <c r="F510" s="19" t="n">
        <v>0</v>
      </c>
      <c r="G510" s="19" t="n">
        <v>0</v>
      </c>
      <c r="H510" s="8" t="str">
        <f aca="false">IF(COUNTIF($J$1:$J$2,$A510)&gt;0,"Y","N")</f>
        <v>Y</v>
      </c>
    </row>
    <row r="511" customFormat="false" ht="15" hidden="false" customHeight="true" outlineLevel="0" collapsed="false">
      <c r="A511" s="8" t="s">
        <v>43</v>
      </c>
      <c r="B511" s="8" t="n">
        <v>4415174</v>
      </c>
      <c r="C511" s="8" t="s">
        <v>1667</v>
      </c>
      <c r="D511" s="19" t="n">
        <v>1</v>
      </c>
      <c r="E511" s="19" t="n">
        <v>98.917</v>
      </c>
      <c r="F511" s="19" t="n">
        <v>0</v>
      </c>
      <c r="G511" s="19" t="n">
        <v>0</v>
      </c>
      <c r="H511" s="8" t="str">
        <f aca="false">IF(COUNTIF($J$1:$J$2,$A511)&gt;0,"Y","N")</f>
        <v>Y</v>
      </c>
    </row>
    <row r="512" customFormat="false" ht="15" hidden="false" customHeight="true" outlineLevel="0" collapsed="false">
      <c r="A512" s="8" t="s">
        <v>43</v>
      </c>
      <c r="B512" s="8" t="n">
        <v>4415297</v>
      </c>
      <c r="C512" s="8" t="s">
        <v>1668</v>
      </c>
      <c r="D512" s="19" t="n">
        <v>320</v>
      </c>
      <c r="E512" s="19" t="n">
        <v>6571.815</v>
      </c>
      <c r="F512" s="19" t="n">
        <v>145.263157894737</v>
      </c>
      <c r="G512" s="19" t="n">
        <v>2954.70821052632</v>
      </c>
      <c r="H512" s="8" t="str">
        <f aca="false">IF(COUNTIF($J$1:$J$2,$A512)&gt;0,"Y","N")</f>
        <v>Y</v>
      </c>
    </row>
    <row r="513" customFormat="false" ht="15" hidden="false" customHeight="true" outlineLevel="0" collapsed="false">
      <c r="A513" s="8" t="s">
        <v>43</v>
      </c>
      <c r="B513" s="8" t="n">
        <v>4415298</v>
      </c>
      <c r="C513" s="8" t="s">
        <v>1669</v>
      </c>
      <c r="D513" s="19" t="n">
        <v>47</v>
      </c>
      <c r="E513" s="19" t="n">
        <v>2959.808</v>
      </c>
      <c r="F513" s="19" t="n">
        <v>26.5263157894737</v>
      </c>
      <c r="G513" s="19" t="n">
        <v>1622.05263157895</v>
      </c>
      <c r="H513" s="8" t="str">
        <f aca="false">IF(COUNTIF($J$1:$J$2,$A513)&gt;0,"Y","N")</f>
        <v>Y</v>
      </c>
    </row>
    <row r="514" customFormat="false" ht="15" hidden="false" customHeight="true" outlineLevel="0" collapsed="false">
      <c r="A514" s="8" t="s">
        <v>43</v>
      </c>
      <c r="B514" s="8" t="n">
        <v>4415299</v>
      </c>
      <c r="C514" s="8" t="s">
        <v>1670</v>
      </c>
      <c r="D514" s="19" t="n">
        <v>61</v>
      </c>
      <c r="E514" s="19" t="n">
        <v>3834.165</v>
      </c>
      <c r="F514" s="19" t="n">
        <v>27.7894736842105</v>
      </c>
      <c r="G514" s="19" t="n">
        <v>1790.52884210526</v>
      </c>
      <c r="H514" s="8" t="str">
        <f aca="false">IF(COUNTIF($J$1:$J$2,$A514)&gt;0,"Y","N")</f>
        <v>Y</v>
      </c>
    </row>
    <row r="515" customFormat="false" ht="15" hidden="false" customHeight="true" outlineLevel="0" collapsed="false">
      <c r="A515" s="8" t="s">
        <v>43</v>
      </c>
      <c r="B515" s="8" t="n">
        <v>4416000</v>
      </c>
      <c r="C515" s="8" t="s">
        <v>1671</v>
      </c>
      <c r="D515" s="19" t="n">
        <v>161</v>
      </c>
      <c r="E515" s="19" t="n">
        <v>12168.064</v>
      </c>
      <c r="F515" s="19" t="n">
        <v>94.7368421052632</v>
      </c>
      <c r="G515" s="19" t="n">
        <v>7227.22105263158</v>
      </c>
      <c r="H515" s="8" t="str">
        <f aca="false">IF(COUNTIF($J$1:$J$2,$A515)&gt;0,"Y","N")</f>
        <v>Y</v>
      </c>
    </row>
    <row r="516" customFormat="false" ht="15" hidden="false" customHeight="true" outlineLevel="0" collapsed="false">
      <c r="A516" s="8" t="s">
        <v>43</v>
      </c>
      <c r="B516" s="8" t="n">
        <v>4416001</v>
      </c>
      <c r="C516" s="8" t="s">
        <v>1672</v>
      </c>
      <c r="D516" s="19" t="n">
        <v>159</v>
      </c>
      <c r="E516" s="19" t="n">
        <v>11901.295</v>
      </c>
      <c r="F516" s="19" t="n">
        <v>113.684210526316</v>
      </c>
      <c r="G516" s="19" t="n">
        <v>9023.13852631579</v>
      </c>
      <c r="H516" s="8" t="str">
        <f aca="false">IF(COUNTIF($J$1:$J$2,$A516)&gt;0,"Y","N")</f>
        <v>Y</v>
      </c>
    </row>
    <row r="517" customFormat="false" ht="15" hidden="false" customHeight="true" outlineLevel="0" collapsed="false">
      <c r="A517" s="8" t="s">
        <v>43</v>
      </c>
      <c r="B517" s="8" t="n">
        <v>4416002</v>
      </c>
      <c r="C517" s="8" t="s">
        <v>1673</v>
      </c>
      <c r="D517" s="19" t="n">
        <v>46</v>
      </c>
      <c r="E517" s="19" t="n">
        <v>3308.305</v>
      </c>
      <c r="F517" s="19" t="n">
        <v>24</v>
      </c>
      <c r="G517" s="19" t="n">
        <v>1856.43284210526</v>
      </c>
      <c r="H517" s="8" t="str">
        <f aca="false">IF(COUNTIF($J$1:$J$2,$A517)&gt;0,"Y","N")</f>
        <v>Y</v>
      </c>
    </row>
    <row r="518" customFormat="false" ht="15" hidden="false" customHeight="true" outlineLevel="0" collapsed="false">
      <c r="A518" s="8" t="s">
        <v>43</v>
      </c>
      <c r="B518" s="8" t="n">
        <v>4416003</v>
      </c>
      <c r="C518" s="8" t="s">
        <v>1674</v>
      </c>
      <c r="D518" s="19" t="n">
        <v>128</v>
      </c>
      <c r="E518" s="19" t="n">
        <v>6427.111</v>
      </c>
      <c r="F518" s="19" t="n">
        <v>96</v>
      </c>
      <c r="G518" s="19" t="n">
        <v>4968.94610526316</v>
      </c>
      <c r="H518" s="8" t="str">
        <f aca="false">IF(COUNTIF($J$1:$J$2,$A518)&gt;0,"Y","N")</f>
        <v>Y</v>
      </c>
    </row>
    <row r="519" customFormat="false" ht="15" hidden="false" customHeight="true" outlineLevel="0" collapsed="false">
      <c r="A519" s="8" t="s">
        <v>43</v>
      </c>
      <c r="B519" s="8" t="n">
        <v>4416005</v>
      </c>
      <c r="C519" s="8" t="s">
        <v>1675</v>
      </c>
      <c r="D519" s="19" t="n">
        <v>129</v>
      </c>
      <c r="E519" s="19" t="n">
        <v>6513.689</v>
      </c>
      <c r="F519" s="19" t="n">
        <v>88.421052631579</v>
      </c>
      <c r="G519" s="19" t="n">
        <v>4596.40042105263</v>
      </c>
      <c r="H519" s="8" t="str">
        <f aca="false">IF(COUNTIF($J$1:$J$2,$A519)&gt;0,"Y","N")</f>
        <v>Y</v>
      </c>
    </row>
    <row r="520" customFormat="false" ht="15" hidden="false" customHeight="true" outlineLevel="0" collapsed="false">
      <c r="A520" s="8" t="s">
        <v>43</v>
      </c>
      <c r="B520" s="8" t="n">
        <v>4416006</v>
      </c>
      <c r="C520" s="8" t="s">
        <v>1676</v>
      </c>
      <c r="D520" s="19" t="n">
        <v>-1</v>
      </c>
      <c r="E520" s="19" t="n">
        <v>-23.023</v>
      </c>
      <c r="F520" s="19" t="n">
        <v>-1.26315789473684</v>
      </c>
      <c r="G520" s="19" t="n">
        <v>-67.1292631578947</v>
      </c>
      <c r="H520" s="8" t="str">
        <f aca="false">IF(COUNTIF($J$1:$J$2,$A520)&gt;0,"Y","N")</f>
        <v>Y</v>
      </c>
    </row>
    <row r="521" customFormat="false" ht="15" hidden="false" customHeight="true" outlineLevel="0" collapsed="false">
      <c r="A521" s="8" t="s">
        <v>43</v>
      </c>
      <c r="B521" s="8" t="n">
        <v>4417000</v>
      </c>
      <c r="C521" s="8" t="s">
        <v>1677</v>
      </c>
      <c r="D521" s="19" t="n">
        <v>225</v>
      </c>
      <c r="E521" s="19" t="n">
        <v>5083.383</v>
      </c>
      <c r="F521" s="19" t="n">
        <v>186.947368421053</v>
      </c>
      <c r="G521" s="19" t="n">
        <v>4209.072</v>
      </c>
      <c r="H521" s="8" t="str">
        <f aca="false">IF(COUNTIF($J$1:$J$2,$A521)&gt;0,"Y","N")</f>
        <v>Y</v>
      </c>
    </row>
    <row r="522" customFormat="false" ht="15" hidden="false" customHeight="true" outlineLevel="0" collapsed="false">
      <c r="A522" s="8" t="s">
        <v>43</v>
      </c>
      <c r="B522" s="8" t="n">
        <v>4417001</v>
      </c>
      <c r="C522" s="8" t="s">
        <v>1678</v>
      </c>
      <c r="D522" s="19" t="n">
        <v>-1</v>
      </c>
      <c r="E522" s="19" t="n">
        <v>-8.19</v>
      </c>
      <c r="F522" s="19" t="n">
        <v>0</v>
      </c>
      <c r="G522" s="19" t="n">
        <v>0</v>
      </c>
      <c r="H522" s="8" t="str">
        <f aca="false">IF(COUNTIF($J$1:$J$2,$A522)&gt;0,"Y","N")</f>
        <v>Y</v>
      </c>
    </row>
    <row r="523" customFormat="false" ht="15" hidden="false" customHeight="true" outlineLevel="0" collapsed="false">
      <c r="A523" s="8" t="s">
        <v>43</v>
      </c>
      <c r="B523" s="8" t="n">
        <v>4418000</v>
      </c>
      <c r="C523" s="8" t="s">
        <v>1679</v>
      </c>
      <c r="D523" s="19" t="n">
        <v>205</v>
      </c>
      <c r="E523" s="19" t="n">
        <v>9092.246</v>
      </c>
      <c r="F523" s="19" t="n">
        <v>113.684210526316</v>
      </c>
      <c r="G523" s="19" t="n">
        <v>5019.78189473684</v>
      </c>
      <c r="H523" s="8" t="str">
        <f aca="false">IF(COUNTIF($J$1:$J$2,$A523)&gt;0,"Y","N")</f>
        <v>Y</v>
      </c>
    </row>
    <row r="524" customFormat="false" ht="15" hidden="false" customHeight="true" outlineLevel="0" collapsed="false">
      <c r="A524" s="8" t="s">
        <v>43</v>
      </c>
      <c r="B524" s="8" t="n">
        <v>4418001</v>
      </c>
      <c r="C524" s="8" t="s">
        <v>1680</v>
      </c>
      <c r="D524" s="19" t="n">
        <v>159</v>
      </c>
      <c r="E524" s="19" t="n">
        <v>7100.598</v>
      </c>
      <c r="F524" s="19" t="n">
        <v>78.3157894736842</v>
      </c>
      <c r="G524" s="19" t="n">
        <v>3492.90821052632</v>
      </c>
      <c r="H524" s="8" t="str">
        <f aca="false">IF(COUNTIF($J$1:$J$2,$A524)&gt;0,"Y","N")</f>
        <v>Y</v>
      </c>
    </row>
    <row r="525" customFormat="false" ht="15" hidden="false" customHeight="true" outlineLevel="0" collapsed="false">
      <c r="A525" s="8" t="s">
        <v>43</v>
      </c>
      <c r="B525" s="8" t="n">
        <v>4418002</v>
      </c>
      <c r="C525" s="8" t="s">
        <v>1681</v>
      </c>
      <c r="D525" s="19" t="n">
        <v>81</v>
      </c>
      <c r="E525" s="19" t="n">
        <v>3596.438</v>
      </c>
      <c r="F525" s="19" t="n">
        <v>48</v>
      </c>
      <c r="G525" s="19" t="n">
        <v>2135.43410526316</v>
      </c>
      <c r="H525" s="8" t="str">
        <f aca="false">IF(COUNTIF($J$1:$J$2,$A525)&gt;0,"Y","N")</f>
        <v>Y</v>
      </c>
    </row>
    <row r="526" customFormat="false" ht="15" hidden="false" customHeight="true" outlineLevel="0" collapsed="false">
      <c r="A526" s="8" t="s">
        <v>43</v>
      </c>
      <c r="B526" s="8" t="n">
        <v>4418003</v>
      </c>
      <c r="C526" s="8" t="s">
        <v>1682</v>
      </c>
      <c r="D526" s="19" t="n">
        <v>132</v>
      </c>
      <c r="E526" s="19" t="n">
        <v>5830.348</v>
      </c>
      <c r="F526" s="19" t="n">
        <v>60.6315789473684</v>
      </c>
      <c r="G526" s="19" t="n">
        <v>2686.66484210526</v>
      </c>
      <c r="H526" s="8" t="str">
        <f aca="false">IF(COUNTIF($J$1:$J$2,$A526)&gt;0,"Y","N")</f>
        <v>Y</v>
      </c>
    </row>
    <row r="527" customFormat="false" ht="15" hidden="false" customHeight="true" outlineLevel="0" collapsed="false">
      <c r="A527" s="8" t="s">
        <v>43</v>
      </c>
      <c r="B527" s="8" t="n">
        <v>4418004</v>
      </c>
      <c r="C527" s="8" t="s">
        <v>1683</v>
      </c>
      <c r="D527" s="19" t="n">
        <v>2</v>
      </c>
      <c r="E527" s="19" t="n">
        <v>90.272</v>
      </c>
      <c r="F527" s="19" t="n">
        <v>0</v>
      </c>
      <c r="G527" s="19" t="n">
        <v>0</v>
      </c>
      <c r="H527" s="8" t="str">
        <f aca="false">IF(COUNTIF($J$1:$J$2,$A527)&gt;0,"Y","N")</f>
        <v>Y</v>
      </c>
    </row>
    <row r="528" customFormat="false" ht="15" hidden="false" customHeight="true" outlineLevel="0" collapsed="false">
      <c r="A528" s="8" t="s">
        <v>43</v>
      </c>
      <c r="B528" s="8" t="n">
        <v>4418006</v>
      </c>
      <c r="C528" s="8" t="s">
        <v>1684</v>
      </c>
      <c r="D528" s="19" t="n">
        <v>1</v>
      </c>
      <c r="E528" s="19" t="n">
        <v>60.515</v>
      </c>
      <c r="F528" s="19" t="n">
        <v>1.26315789473684</v>
      </c>
      <c r="G528" s="19" t="n">
        <v>76.44</v>
      </c>
      <c r="H528" s="8" t="str">
        <f aca="false">IF(COUNTIF($J$1:$J$2,$A528)&gt;0,"Y","N")</f>
        <v>Y</v>
      </c>
    </row>
    <row r="529" customFormat="false" ht="15" hidden="false" customHeight="true" outlineLevel="0" collapsed="false">
      <c r="A529" s="8" t="s">
        <v>43</v>
      </c>
      <c r="B529" s="8" t="n">
        <v>4419002</v>
      </c>
      <c r="C529" s="8" t="s">
        <v>1685</v>
      </c>
      <c r="D529" s="19" t="n">
        <v>-1</v>
      </c>
      <c r="E529" s="19" t="n">
        <v>-27.027</v>
      </c>
      <c r="F529" s="19" t="n">
        <v>0</v>
      </c>
      <c r="G529" s="19" t="n">
        <v>0</v>
      </c>
      <c r="H529" s="8" t="str">
        <f aca="false">IF(COUNTIF($J$1:$J$2,$A529)&gt;0,"Y","N")</f>
        <v>Y</v>
      </c>
    </row>
    <row r="530" customFormat="false" ht="15" hidden="false" customHeight="true" outlineLevel="0" collapsed="false">
      <c r="A530" s="8" t="s">
        <v>43</v>
      </c>
      <c r="B530" s="8" t="n">
        <v>4419003</v>
      </c>
      <c r="C530" s="8" t="s">
        <v>1686</v>
      </c>
      <c r="D530" s="19" t="n">
        <v>-5</v>
      </c>
      <c r="E530" s="19" t="n">
        <v>-150.696</v>
      </c>
      <c r="F530" s="19" t="n">
        <v>0</v>
      </c>
      <c r="G530" s="19" t="n">
        <v>0</v>
      </c>
      <c r="H530" s="8" t="str">
        <f aca="false">IF(COUNTIF($J$1:$J$2,$A530)&gt;0,"Y","N")</f>
        <v>Y</v>
      </c>
    </row>
    <row r="531" customFormat="false" ht="15" hidden="false" customHeight="true" outlineLevel="0" collapsed="false">
      <c r="A531" s="8" t="s">
        <v>43</v>
      </c>
      <c r="B531" s="8" t="n">
        <v>4419004</v>
      </c>
      <c r="C531" s="8" t="s">
        <v>1687</v>
      </c>
      <c r="D531" s="19" t="n">
        <v>-1</v>
      </c>
      <c r="E531" s="19" t="n">
        <v>-27.027</v>
      </c>
      <c r="F531" s="19" t="n">
        <v>0</v>
      </c>
      <c r="G531" s="19" t="n">
        <v>0</v>
      </c>
      <c r="H531" s="8" t="str">
        <f aca="false">IF(COUNTIF($J$1:$J$2,$A531)&gt;0,"Y","N")</f>
        <v>Y</v>
      </c>
    </row>
    <row r="532" customFormat="false" ht="15" hidden="false" customHeight="true" outlineLevel="0" collapsed="false">
      <c r="A532" s="8" t="s">
        <v>43</v>
      </c>
      <c r="B532" s="8" t="n">
        <v>4419006</v>
      </c>
      <c r="C532" s="8" t="s">
        <v>1688</v>
      </c>
      <c r="D532" s="19" t="n">
        <v>1063</v>
      </c>
      <c r="E532" s="19" t="n">
        <v>13242.775</v>
      </c>
      <c r="F532" s="19" t="n">
        <v>674.526315789474</v>
      </c>
      <c r="G532" s="19" t="n">
        <v>8603.81052631579</v>
      </c>
      <c r="H532" s="8" t="str">
        <f aca="false">IF(COUNTIF($J$1:$J$2,$A532)&gt;0,"Y","N")</f>
        <v>Y</v>
      </c>
    </row>
    <row r="533" customFormat="false" ht="15" hidden="false" customHeight="true" outlineLevel="0" collapsed="false">
      <c r="A533" s="8" t="s">
        <v>43</v>
      </c>
      <c r="B533" s="8" t="n">
        <v>4419010</v>
      </c>
      <c r="C533" s="8" t="s">
        <v>1689</v>
      </c>
      <c r="D533" s="19" t="n">
        <v>-17</v>
      </c>
      <c r="E533" s="19" t="n">
        <v>-699.062</v>
      </c>
      <c r="F533" s="19" t="n">
        <v>-5.05263157894737</v>
      </c>
      <c r="G533" s="19" t="n">
        <v>-152.305263157895</v>
      </c>
      <c r="H533" s="8" t="str">
        <f aca="false">IF(COUNTIF($J$1:$J$2,$A533)&gt;0,"Y","N")</f>
        <v>Y</v>
      </c>
    </row>
    <row r="534" customFormat="false" ht="15" hidden="false" customHeight="true" outlineLevel="0" collapsed="false">
      <c r="A534" s="8" t="s">
        <v>43</v>
      </c>
      <c r="B534" s="8" t="n">
        <v>4419011</v>
      </c>
      <c r="C534" s="8" t="s">
        <v>1690</v>
      </c>
      <c r="D534" s="19" t="n">
        <v>-1</v>
      </c>
      <c r="E534" s="19" t="n">
        <v>7.783</v>
      </c>
      <c r="F534" s="19" t="n">
        <v>18.9473684210526</v>
      </c>
      <c r="G534" s="19" t="n">
        <v>337.023157894737</v>
      </c>
      <c r="H534" s="8" t="str">
        <f aca="false">IF(COUNTIF($J$1:$J$2,$A534)&gt;0,"Y","N")</f>
        <v>Y</v>
      </c>
    </row>
    <row r="535" customFormat="false" ht="15" hidden="false" customHeight="true" outlineLevel="0" collapsed="false">
      <c r="A535" s="8" t="s">
        <v>43</v>
      </c>
      <c r="B535" s="8" t="n">
        <v>4419012</v>
      </c>
      <c r="C535" s="8" t="s">
        <v>1691</v>
      </c>
      <c r="D535" s="19" t="n">
        <v>-4</v>
      </c>
      <c r="E535" s="19" t="n">
        <v>-48.685</v>
      </c>
      <c r="F535" s="19" t="n">
        <v>0</v>
      </c>
      <c r="G535" s="19" t="n">
        <v>0</v>
      </c>
      <c r="H535" s="8" t="str">
        <f aca="false">IF(COUNTIF($J$1:$J$2,$A535)&gt;0,"Y","N")</f>
        <v>Y</v>
      </c>
    </row>
    <row r="536" customFormat="false" ht="15" hidden="false" customHeight="true" outlineLevel="0" collapsed="false">
      <c r="A536" s="8" t="s">
        <v>43</v>
      </c>
      <c r="B536" s="8" t="n">
        <v>4419013</v>
      </c>
      <c r="C536" s="8" t="s">
        <v>1692</v>
      </c>
      <c r="D536" s="19" t="n">
        <v>-6</v>
      </c>
      <c r="E536" s="19" t="n">
        <v>-82.355</v>
      </c>
      <c r="F536" s="19" t="n">
        <v>7.57894736842105</v>
      </c>
      <c r="G536" s="19" t="n">
        <v>132.189473684211</v>
      </c>
      <c r="H536" s="8" t="str">
        <f aca="false">IF(COUNTIF($J$1:$J$2,$A536)&gt;0,"Y","N")</f>
        <v>Y</v>
      </c>
    </row>
    <row r="537" customFormat="false" ht="15" hidden="false" customHeight="true" outlineLevel="0" collapsed="false">
      <c r="A537" s="8" t="s">
        <v>43</v>
      </c>
      <c r="B537" s="8" t="n">
        <v>4419014</v>
      </c>
      <c r="C537" s="8" t="s">
        <v>1693</v>
      </c>
      <c r="D537" s="19" t="n">
        <v>-4</v>
      </c>
      <c r="E537" s="19" t="n">
        <v>-50.323</v>
      </c>
      <c r="F537" s="19" t="n">
        <v>0</v>
      </c>
      <c r="G537" s="19" t="n">
        <v>0</v>
      </c>
      <c r="H537" s="8" t="str">
        <f aca="false">IF(COUNTIF($J$1:$J$2,$A537)&gt;0,"Y","N")</f>
        <v>Y</v>
      </c>
    </row>
    <row r="538" customFormat="false" ht="15" hidden="false" customHeight="true" outlineLevel="0" collapsed="false">
      <c r="A538" s="8" t="s">
        <v>43</v>
      </c>
      <c r="B538" s="8" t="n">
        <v>4420000</v>
      </c>
      <c r="C538" s="8" t="s">
        <v>1694</v>
      </c>
      <c r="D538" s="19" t="n">
        <v>430</v>
      </c>
      <c r="E538" s="19" t="n">
        <v>4594.087</v>
      </c>
      <c r="F538" s="19" t="n">
        <v>402.947368421053</v>
      </c>
      <c r="G538" s="19" t="n">
        <v>4507.2012631579</v>
      </c>
      <c r="H538" s="8" t="str">
        <f aca="false">IF(COUNTIF($J$1:$J$2,$A538)&gt;0,"Y","N")</f>
        <v>Y</v>
      </c>
    </row>
    <row r="539" customFormat="false" ht="15" hidden="false" customHeight="true" outlineLevel="0" collapsed="false">
      <c r="A539" s="8" t="s">
        <v>43</v>
      </c>
      <c r="B539" s="8" t="n">
        <v>4420001</v>
      </c>
      <c r="C539" s="8" t="s">
        <v>1695</v>
      </c>
      <c r="D539" s="19" t="n">
        <v>159</v>
      </c>
      <c r="E539" s="19" t="n">
        <v>1605.531</v>
      </c>
      <c r="F539" s="19" t="n">
        <v>114.947368421053</v>
      </c>
      <c r="G539" s="19" t="n">
        <v>1147.15326315789</v>
      </c>
      <c r="H539" s="8" t="str">
        <f aca="false">IF(COUNTIF($J$1:$J$2,$A539)&gt;0,"Y","N")</f>
        <v>Y</v>
      </c>
    </row>
    <row r="540" customFormat="false" ht="15" hidden="false" customHeight="true" outlineLevel="0" collapsed="false">
      <c r="A540" s="8" t="s">
        <v>43</v>
      </c>
      <c r="B540" s="8" t="n">
        <v>4420002</v>
      </c>
      <c r="C540" s="8" t="s">
        <v>1696</v>
      </c>
      <c r="D540" s="19" t="n">
        <v>652</v>
      </c>
      <c r="E540" s="19" t="n">
        <v>8501.287</v>
      </c>
      <c r="F540" s="19" t="n">
        <v>504</v>
      </c>
      <c r="G540" s="19" t="n">
        <v>6731.87621052632</v>
      </c>
      <c r="H540" s="8" t="str">
        <f aca="false">IF(COUNTIF($J$1:$J$2,$A540)&gt;0,"Y","N")</f>
        <v>Y</v>
      </c>
    </row>
    <row r="541" customFormat="false" ht="15" hidden="false" customHeight="true" outlineLevel="0" collapsed="false">
      <c r="A541" s="8" t="s">
        <v>43</v>
      </c>
      <c r="B541" s="8" t="n">
        <v>4420003</v>
      </c>
      <c r="C541" s="8" t="s">
        <v>1697</v>
      </c>
      <c r="D541" s="19" t="n">
        <v>315</v>
      </c>
      <c r="E541" s="19" t="n">
        <v>3946.782</v>
      </c>
      <c r="F541" s="19" t="n">
        <v>264</v>
      </c>
      <c r="G541" s="19" t="n">
        <v>3414.21852631579</v>
      </c>
      <c r="H541" s="8" t="str">
        <f aca="false">IF(COUNTIF($J$1:$J$2,$A541)&gt;0,"Y","N")</f>
        <v>Y</v>
      </c>
    </row>
    <row r="542" customFormat="false" ht="15" hidden="false" customHeight="true" outlineLevel="0" collapsed="false">
      <c r="A542" s="8" t="s">
        <v>43</v>
      </c>
      <c r="B542" s="8" t="n">
        <v>4420004</v>
      </c>
      <c r="C542" s="8" t="s">
        <v>1698</v>
      </c>
      <c r="D542" s="19" t="n">
        <v>3</v>
      </c>
      <c r="E542" s="19" t="n">
        <v>38.857</v>
      </c>
      <c r="F542" s="19" t="n">
        <v>1.26315789473684</v>
      </c>
      <c r="G542" s="19" t="n">
        <v>42.4155789473684</v>
      </c>
      <c r="H542" s="8" t="str">
        <f aca="false">IF(COUNTIF($J$1:$J$2,$A542)&gt;0,"Y","N")</f>
        <v>Y</v>
      </c>
    </row>
    <row r="543" customFormat="false" ht="15" hidden="false" customHeight="true" outlineLevel="0" collapsed="false">
      <c r="A543" s="8" t="s">
        <v>43</v>
      </c>
      <c r="B543" s="8" t="n">
        <v>4420005</v>
      </c>
      <c r="C543" s="8" t="s">
        <v>1699</v>
      </c>
      <c r="D543" s="19" t="n">
        <v>3</v>
      </c>
      <c r="E543" s="19" t="n">
        <v>113.75</v>
      </c>
      <c r="F543" s="19" t="n">
        <v>0</v>
      </c>
      <c r="G543" s="19" t="n">
        <v>3.79326315789474</v>
      </c>
      <c r="H543" s="8" t="str">
        <f aca="false">IF(COUNTIF($J$1:$J$2,$A543)&gt;0,"Y","N")</f>
        <v>Y</v>
      </c>
    </row>
    <row r="544" customFormat="false" ht="15" hidden="false" customHeight="true" outlineLevel="0" collapsed="false">
      <c r="A544" s="8" t="s">
        <v>43</v>
      </c>
      <c r="B544" s="8" t="n">
        <v>4420007</v>
      </c>
      <c r="C544" s="8" t="s">
        <v>1700</v>
      </c>
      <c r="D544" s="19" t="n">
        <v>2</v>
      </c>
      <c r="E544" s="19" t="n">
        <v>74.165</v>
      </c>
      <c r="F544" s="19" t="n">
        <v>0</v>
      </c>
      <c r="G544" s="19" t="n">
        <v>0</v>
      </c>
      <c r="H544" s="8" t="str">
        <f aca="false">IF(COUNTIF($J$1:$J$2,$A544)&gt;0,"Y","N")</f>
        <v>Y</v>
      </c>
    </row>
    <row r="545" customFormat="false" ht="15" hidden="false" customHeight="true" outlineLevel="0" collapsed="false">
      <c r="A545" s="8" t="s">
        <v>43</v>
      </c>
      <c r="B545" s="8" t="n">
        <v>4420008</v>
      </c>
      <c r="C545" s="8" t="s">
        <v>1701</v>
      </c>
      <c r="D545" s="19" t="n">
        <v>2</v>
      </c>
      <c r="E545" s="19" t="n">
        <v>76.713</v>
      </c>
      <c r="F545" s="19" t="n">
        <v>-1.26315789473684</v>
      </c>
      <c r="G545" s="19" t="n">
        <v>-41.9557894736842</v>
      </c>
      <c r="H545" s="8" t="str">
        <f aca="false">IF(COUNTIF($J$1:$J$2,$A545)&gt;0,"Y","N")</f>
        <v>Y</v>
      </c>
    </row>
    <row r="546" customFormat="false" ht="15" hidden="false" customHeight="true" outlineLevel="0" collapsed="false">
      <c r="A546" s="8" t="s">
        <v>43</v>
      </c>
      <c r="B546" s="8" t="n">
        <v>4420009</v>
      </c>
      <c r="C546" s="8" t="s">
        <v>1702</v>
      </c>
      <c r="D546" s="19" t="n">
        <v>0</v>
      </c>
      <c r="E546" s="19" t="n">
        <v>0</v>
      </c>
      <c r="F546" s="19" t="n">
        <v>-1.26315789473684</v>
      </c>
      <c r="G546" s="19" t="n">
        <v>-41.9557894736842</v>
      </c>
      <c r="H546" s="8" t="str">
        <f aca="false">IF(COUNTIF($J$1:$J$2,$A546)&gt;0,"Y","N")</f>
        <v>Y</v>
      </c>
    </row>
    <row r="547" customFormat="false" ht="15" hidden="false" customHeight="true" outlineLevel="0" collapsed="false">
      <c r="A547" s="8" t="s">
        <v>43</v>
      </c>
      <c r="B547" s="8" t="n">
        <v>4420010</v>
      </c>
      <c r="C547" s="8" t="s">
        <v>1703</v>
      </c>
      <c r="D547" s="19" t="n">
        <v>6</v>
      </c>
      <c r="E547" s="19" t="n">
        <v>224.861</v>
      </c>
      <c r="F547" s="19" t="n">
        <v>0</v>
      </c>
      <c r="G547" s="19" t="n">
        <v>0</v>
      </c>
      <c r="H547" s="8" t="str">
        <f aca="false">IF(COUNTIF($J$1:$J$2,$A547)&gt;0,"Y","N")</f>
        <v>Y</v>
      </c>
    </row>
    <row r="548" customFormat="false" ht="15" hidden="false" customHeight="true" outlineLevel="0" collapsed="false">
      <c r="A548" s="8" t="s">
        <v>43</v>
      </c>
      <c r="B548" s="8" t="n">
        <v>4420012</v>
      </c>
      <c r="C548" s="8" t="s">
        <v>1704</v>
      </c>
      <c r="D548" s="19" t="n">
        <v>0</v>
      </c>
      <c r="E548" s="19" t="n">
        <v>0</v>
      </c>
      <c r="F548" s="19" t="n">
        <v>-1.26315789473684</v>
      </c>
      <c r="G548" s="19" t="n">
        <v>-41.9557894736842</v>
      </c>
      <c r="H548" s="8" t="str">
        <f aca="false">IF(COUNTIF($J$1:$J$2,$A548)&gt;0,"Y","N")</f>
        <v>Y</v>
      </c>
    </row>
    <row r="549" customFormat="false" ht="15" hidden="false" customHeight="true" outlineLevel="0" collapsed="false">
      <c r="A549" s="8" t="s">
        <v>43</v>
      </c>
      <c r="B549" s="8" t="n">
        <v>4420016</v>
      </c>
      <c r="C549" s="8" t="s">
        <v>1705</v>
      </c>
      <c r="D549" s="19" t="n">
        <v>46</v>
      </c>
      <c r="E549" s="19" t="n">
        <v>2125.123</v>
      </c>
      <c r="F549" s="19" t="n">
        <v>51.7894736842105</v>
      </c>
      <c r="G549" s="19" t="n">
        <v>2417.91789473684</v>
      </c>
      <c r="H549" s="8" t="str">
        <f aca="false">IF(COUNTIF($J$1:$J$2,$A549)&gt;0,"Y","N")</f>
        <v>Y</v>
      </c>
    </row>
    <row r="550" customFormat="false" ht="15" hidden="false" customHeight="true" outlineLevel="0" collapsed="false">
      <c r="A550" s="8" t="s">
        <v>43</v>
      </c>
      <c r="B550" s="8" t="n">
        <v>4420017</v>
      </c>
      <c r="C550" s="8" t="s">
        <v>106</v>
      </c>
      <c r="D550" s="19" t="n">
        <v>41</v>
      </c>
      <c r="E550" s="19" t="n">
        <v>3471.711</v>
      </c>
      <c r="F550" s="19" t="n">
        <v>34.1052631578947</v>
      </c>
      <c r="G550" s="19" t="n">
        <v>2900.21178947368</v>
      </c>
      <c r="H550" s="8" t="str">
        <f aca="false">IF(COUNTIF($J$1:$J$2,$A550)&gt;0,"Y","N")</f>
        <v>Y</v>
      </c>
    </row>
    <row r="551" customFormat="false" ht="15" hidden="false" customHeight="true" outlineLevel="0" collapsed="false">
      <c r="A551" s="8" t="s">
        <v>43</v>
      </c>
      <c r="B551" s="8" t="n">
        <v>4420018</v>
      </c>
      <c r="C551" s="8" t="s">
        <v>1706</v>
      </c>
      <c r="D551" s="19" t="n">
        <v>-1</v>
      </c>
      <c r="E551" s="19" t="n">
        <v>-89.453</v>
      </c>
      <c r="F551" s="19" t="n">
        <v>0</v>
      </c>
      <c r="G551" s="19" t="n">
        <v>0</v>
      </c>
      <c r="H551" s="8" t="str">
        <f aca="false">IF(COUNTIF($J$1:$J$2,$A551)&gt;0,"Y","N")</f>
        <v>Y</v>
      </c>
    </row>
    <row r="552" customFormat="false" ht="15" hidden="false" customHeight="true" outlineLevel="0" collapsed="false">
      <c r="A552" s="8" t="s">
        <v>43</v>
      </c>
      <c r="B552" s="8" t="n">
        <v>4420022</v>
      </c>
      <c r="C552" s="8" t="s">
        <v>1707</v>
      </c>
      <c r="D552" s="19" t="n">
        <v>81</v>
      </c>
      <c r="E552" s="19" t="n">
        <v>1622.348</v>
      </c>
      <c r="F552" s="19" t="n">
        <v>98.5263157894737</v>
      </c>
      <c r="G552" s="19" t="n">
        <v>2045.94821052632</v>
      </c>
      <c r="H552" s="8" t="str">
        <f aca="false">IF(COUNTIF($J$1:$J$2,$A552)&gt;0,"Y","N")</f>
        <v>Y</v>
      </c>
    </row>
    <row r="553" customFormat="false" ht="15" hidden="false" customHeight="true" outlineLevel="0" collapsed="false">
      <c r="A553" s="8" t="s">
        <v>43</v>
      </c>
      <c r="B553" s="8" t="n">
        <v>4420023</v>
      </c>
      <c r="C553" s="8" t="s">
        <v>1708</v>
      </c>
      <c r="D553" s="19" t="n">
        <v>11</v>
      </c>
      <c r="E553" s="19" t="n">
        <v>278.799</v>
      </c>
      <c r="F553" s="19" t="n">
        <v>8.84210526315789</v>
      </c>
      <c r="G553" s="19" t="n">
        <v>263.268631578947</v>
      </c>
      <c r="H553" s="8" t="str">
        <f aca="false">IF(COUNTIF($J$1:$J$2,$A553)&gt;0,"Y","N")</f>
        <v>Y</v>
      </c>
    </row>
    <row r="554" customFormat="false" ht="15" hidden="false" customHeight="true" outlineLevel="0" collapsed="false">
      <c r="A554" s="8" t="s">
        <v>43</v>
      </c>
      <c r="B554" s="8" t="n">
        <v>4420024</v>
      </c>
      <c r="C554" s="8" t="s">
        <v>1709</v>
      </c>
      <c r="D554" s="19" t="n">
        <v>54</v>
      </c>
      <c r="E554" s="19" t="n">
        <v>976.339</v>
      </c>
      <c r="F554" s="19" t="n">
        <v>45.4736842105263</v>
      </c>
      <c r="G554" s="19" t="n">
        <v>864.511578947368</v>
      </c>
      <c r="H554" s="8" t="str">
        <f aca="false">IF(COUNTIF($J$1:$J$2,$A554)&gt;0,"Y","N")</f>
        <v>Y</v>
      </c>
    </row>
    <row r="555" customFormat="false" ht="15" hidden="false" customHeight="true" outlineLevel="0" collapsed="false">
      <c r="A555" s="8" t="s">
        <v>43</v>
      </c>
      <c r="B555" s="8" t="n">
        <v>4420025</v>
      </c>
      <c r="C555" s="8" t="s">
        <v>1710</v>
      </c>
      <c r="D555" s="19" t="n">
        <v>45</v>
      </c>
      <c r="E555" s="19" t="n">
        <v>917.28</v>
      </c>
      <c r="F555" s="19" t="n">
        <v>13.8947368421053</v>
      </c>
      <c r="G555" s="19" t="n">
        <v>279.666947368421</v>
      </c>
      <c r="H555" s="8" t="str">
        <f aca="false">IF(COUNTIF($J$1:$J$2,$A555)&gt;0,"Y","N")</f>
        <v>Y</v>
      </c>
    </row>
    <row r="556" customFormat="false" ht="15" hidden="false" customHeight="true" outlineLevel="0" collapsed="false">
      <c r="A556" s="8" t="s">
        <v>43</v>
      </c>
      <c r="B556" s="8" t="n">
        <v>4420026</v>
      </c>
      <c r="C556" s="8" t="s">
        <v>1711</v>
      </c>
      <c r="D556" s="19" t="n">
        <v>5</v>
      </c>
      <c r="E556" s="19" t="n">
        <v>367.493</v>
      </c>
      <c r="F556" s="19" t="n">
        <v>7.57894736842105</v>
      </c>
      <c r="G556" s="19" t="n">
        <v>552.481263157895</v>
      </c>
      <c r="H556" s="8" t="str">
        <f aca="false">IF(COUNTIF($J$1:$J$2,$A556)&gt;0,"Y","N")</f>
        <v>Y</v>
      </c>
    </row>
    <row r="557" customFormat="false" ht="15" hidden="false" customHeight="true" outlineLevel="0" collapsed="false">
      <c r="A557" s="8" t="s">
        <v>43</v>
      </c>
      <c r="B557" s="8" t="n">
        <v>4420027</v>
      </c>
      <c r="C557" s="8" t="s">
        <v>1712</v>
      </c>
      <c r="D557" s="19" t="n">
        <v>58</v>
      </c>
      <c r="E557" s="19" t="n">
        <v>617.799</v>
      </c>
      <c r="F557" s="19" t="n">
        <v>11.3684210526316</v>
      </c>
      <c r="G557" s="19" t="n">
        <v>129.315789473684</v>
      </c>
      <c r="H557" s="8" t="str">
        <f aca="false">IF(COUNTIF($J$1:$J$2,$A557)&gt;0,"Y","N")</f>
        <v>Y</v>
      </c>
    </row>
    <row r="558" customFormat="false" ht="15" hidden="false" customHeight="true" outlineLevel="0" collapsed="false">
      <c r="A558" s="8" t="s">
        <v>43</v>
      </c>
      <c r="B558" s="8" t="n">
        <v>4420028</v>
      </c>
      <c r="C558" s="8" t="s">
        <v>1713</v>
      </c>
      <c r="D558" s="19" t="n">
        <v>-1</v>
      </c>
      <c r="E558" s="19" t="n">
        <v>-39.312</v>
      </c>
      <c r="F558" s="19" t="n">
        <v>1.26315789473684</v>
      </c>
      <c r="G558" s="19" t="n">
        <v>40.3465263157895</v>
      </c>
      <c r="H558" s="8" t="str">
        <f aca="false">IF(COUNTIF($J$1:$J$2,$A558)&gt;0,"Y","N")</f>
        <v>Y</v>
      </c>
    </row>
    <row r="559" customFormat="false" ht="15" hidden="false" customHeight="true" outlineLevel="0" collapsed="false">
      <c r="A559" s="8" t="s">
        <v>43</v>
      </c>
      <c r="B559" s="8" t="n">
        <v>4420030</v>
      </c>
      <c r="C559" s="8" t="s">
        <v>1714</v>
      </c>
      <c r="D559" s="19" t="n">
        <v>1</v>
      </c>
      <c r="E559" s="19" t="n">
        <v>30.03</v>
      </c>
      <c r="F559" s="19" t="n">
        <v>1.26315789473684</v>
      </c>
      <c r="G559" s="19" t="n">
        <v>40.3465263157895</v>
      </c>
      <c r="H559" s="8" t="str">
        <f aca="false">IF(COUNTIF($J$1:$J$2,$A559)&gt;0,"Y","N")</f>
        <v>Y</v>
      </c>
    </row>
    <row r="560" customFormat="false" ht="15" hidden="false" customHeight="true" outlineLevel="0" collapsed="false">
      <c r="A560" s="8" t="s">
        <v>43</v>
      </c>
      <c r="B560" s="8" t="n">
        <v>4420031</v>
      </c>
      <c r="C560" s="8" t="s">
        <v>1715</v>
      </c>
      <c r="D560" s="19" t="n">
        <v>0</v>
      </c>
      <c r="E560" s="19" t="n">
        <v>0</v>
      </c>
      <c r="F560" s="19" t="n">
        <v>3.78947368421053</v>
      </c>
      <c r="G560" s="19" t="n">
        <v>121.039578947368</v>
      </c>
      <c r="H560" s="8" t="str">
        <f aca="false">IF(COUNTIF($J$1:$J$2,$A560)&gt;0,"Y","N")</f>
        <v>Y</v>
      </c>
    </row>
    <row r="561" customFormat="false" ht="15" hidden="false" customHeight="true" outlineLevel="0" collapsed="false">
      <c r="A561" s="8" t="s">
        <v>43</v>
      </c>
      <c r="B561" s="8" t="n">
        <v>4420032</v>
      </c>
      <c r="C561" s="8" t="s">
        <v>1716</v>
      </c>
      <c r="D561" s="19" t="n">
        <v>4</v>
      </c>
      <c r="E561" s="19" t="n">
        <v>121.576</v>
      </c>
      <c r="F561" s="19" t="n">
        <v>1.26315789473684</v>
      </c>
      <c r="G561" s="19" t="n">
        <v>40.3465263157895</v>
      </c>
      <c r="H561" s="8" t="str">
        <f aca="false">IF(COUNTIF($J$1:$J$2,$A561)&gt;0,"Y","N")</f>
        <v>Y</v>
      </c>
    </row>
    <row r="562" customFormat="false" ht="15" hidden="false" customHeight="true" outlineLevel="0" collapsed="false">
      <c r="A562" s="8" t="s">
        <v>43</v>
      </c>
      <c r="B562" s="8" t="n">
        <v>4420034</v>
      </c>
      <c r="C562" s="8" t="s">
        <v>1717</v>
      </c>
      <c r="D562" s="19" t="n">
        <v>2</v>
      </c>
      <c r="E562" s="19" t="n">
        <v>68.705</v>
      </c>
      <c r="F562" s="19" t="n">
        <v>3.78947368421053</v>
      </c>
      <c r="G562" s="19" t="n">
        <v>130.235368421053</v>
      </c>
      <c r="H562" s="8" t="str">
        <f aca="false">IF(COUNTIF($J$1:$J$2,$A562)&gt;0,"Y","N")</f>
        <v>Y</v>
      </c>
    </row>
    <row r="563" customFormat="false" ht="15" hidden="false" customHeight="true" outlineLevel="0" collapsed="false">
      <c r="A563" s="8" t="s">
        <v>43</v>
      </c>
      <c r="B563" s="8" t="n">
        <v>4420035</v>
      </c>
      <c r="C563" s="8" t="s">
        <v>1718</v>
      </c>
      <c r="D563" s="19" t="n">
        <v>8</v>
      </c>
      <c r="E563" s="19" t="n">
        <v>364.91</v>
      </c>
      <c r="F563" s="19" t="n">
        <v>3.78947368421053</v>
      </c>
      <c r="G563" s="19" t="n">
        <v>223.687578947368</v>
      </c>
      <c r="H563" s="8" t="str">
        <f aca="false">IF(COUNTIF($J$1:$J$2,$A563)&gt;0,"Y","N")</f>
        <v>Y</v>
      </c>
    </row>
    <row r="564" customFormat="false" ht="15" hidden="false" customHeight="true" outlineLevel="0" collapsed="false">
      <c r="A564" s="8" t="s">
        <v>43</v>
      </c>
      <c r="B564" s="8" t="n">
        <v>4420036</v>
      </c>
      <c r="C564" s="8" t="s">
        <v>1719</v>
      </c>
      <c r="D564" s="19" t="n">
        <v>28</v>
      </c>
      <c r="E564" s="19" t="n">
        <v>1302.301</v>
      </c>
      <c r="F564" s="19" t="n">
        <v>3.78947368421053</v>
      </c>
      <c r="G564" s="19" t="n">
        <v>212.767578947368</v>
      </c>
      <c r="H564" s="8" t="str">
        <f aca="false">IF(COUNTIF($J$1:$J$2,$A564)&gt;0,"Y","N")</f>
        <v>Y</v>
      </c>
    </row>
    <row r="565" customFormat="false" ht="15" hidden="false" customHeight="true" outlineLevel="0" collapsed="false">
      <c r="A565" s="8" t="s">
        <v>43</v>
      </c>
      <c r="B565" s="8" t="n">
        <v>4420037</v>
      </c>
      <c r="C565" s="8" t="s">
        <v>1720</v>
      </c>
      <c r="D565" s="19" t="n">
        <v>-2</v>
      </c>
      <c r="E565" s="19" t="n">
        <v>-97.552</v>
      </c>
      <c r="F565" s="19" t="n">
        <v>2.52631578947368</v>
      </c>
      <c r="G565" s="19" t="n">
        <v>168.397894736842</v>
      </c>
      <c r="H565" s="8" t="str">
        <f aca="false">IF(COUNTIF($J$1:$J$2,$A565)&gt;0,"Y","N")</f>
        <v>Y</v>
      </c>
    </row>
    <row r="566" customFormat="false" ht="15" hidden="false" customHeight="true" outlineLevel="0" collapsed="false">
      <c r="A566" s="8" t="s">
        <v>43</v>
      </c>
      <c r="B566" s="8" t="n">
        <v>4420039</v>
      </c>
      <c r="C566" s="8" t="s">
        <v>1721</v>
      </c>
      <c r="D566" s="19" t="n">
        <v>0</v>
      </c>
      <c r="E566" s="19" t="n">
        <v>0</v>
      </c>
      <c r="F566" s="19" t="n">
        <v>10.1052631578947</v>
      </c>
      <c r="G566" s="19" t="n">
        <v>742.904842105263</v>
      </c>
      <c r="H566" s="8" t="str">
        <f aca="false">IF(COUNTIF($J$1:$J$2,$A566)&gt;0,"Y","N")</f>
        <v>Y</v>
      </c>
    </row>
    <row r="567" customFormat="false" ht="15" hidden="false" customHeight="true" outlineLevel="0" collapsed="false">
      <c r="A567" s="8" t="s">
        <v>43</v>
      </c>
      <c r="B567" s="8" t="n">
        <v>4421000</v>
      </c>
      <c r="C567" s="8" t="s">
        <v>1722</v>
      </c>
      <c r="D567" s="19" t="n">
        <v>1753</v>
      </c>
      <c r="E567" s="19" t="n">
        <v>28400.521</v>
      </c>
      <c r="F567" s="19" t="n">
        <v>1394.52631578947</v>
      </c>
      <c r="G567" s="19" t="n">
        <v>22613.7650526316</v>
      </c>
      <c r="H567" s="8" t="str">
        <f aca="false">IF(COUNTIF($J$1:$J$2,$A567)&gt;0,"Y","N")</f>
        <v>Y</v>
      </c>
    </row>
    <row r="568" customFormat="false" ht="15" hidden="false" customHeight="true" outlineLevel="0" collapsed="false">
      <c r="A568" s="8" t="s">
        <v>43</v>
      </c>
      <c r="B568" s="8" t="n">
        <v>4421001</v>
      </c>
      <c r="C568" s="8" t="s">
        <v>1723</v>
      </c>
      <c r="D568" s="19" t="n">
        <v>169</v>
      </c>
      <c r="E568" s="19" t="n">
        <v>8892.649</v>
      </c>
      <c r="F568" s="19" t="n">
        <v>118.736842105263</v>
      </c>
      <c r="G568" s="19" t="n">
        <v>6368.67410526316</v>
      </c>
      <c r="H568" s="8" t="str">
        <f aca="false">IF(COUNTIF($J$1:$J$2,$A568)&gt;0,"Y","N")</f>
        <v>Y</v>
      </c>
    </row>
    <row r="569" customFormat="false" ht="15" hidden="false" customHeight="true" outlineLevel="0" collapsed="false">
      <c r="A569" s="8" t="s">
        <v>43</v>
      </c>
      <c r="B569" s="8" t="n">
        <v>4421003</v>
      </c>
      <c r="C569" s="8" t="s">
        <v>1724</v>
      </c>
      <c r="D569" s="19" t="n">
        <v>136</v>
      </c>
      <c r="E569" s="19" t="n">
        <v>4349.887</v>
      </c>
      <c r="F569" s="19" t="n">
        <v>101.052631578947</v>
      </c>
      <c r="G569" s="19" t="n">
        <v>3320.22315789474</v>
      </c>
      <c r="H569" s="8" t="str">
        <f aca="false">IF(COUNTIF($J$1:$J$2,$A569)&gt;0,"Y","N")</f>
        <v>Y</v>
      </c>
    </row>
    <row r="570" customFormat="false" ht="15" hidden="false" customHeight="true" outlineLevel="0" collapsed="false">
      <c r="A570" s="8" t="s">
        <v>43</v>
      </c>
      <c r="B570" s="8" t="n">
        <v>4421005</v>
      </c>
      <c r="C570" s="8" t="s">
        <v>1725</v>
      </c>
      <c r="D570" s="19" t="n">
        <v>82</v>
      </c>
      <c r="E570" s="19" t="n">
        <v>2776.61</v>
      </c>
      <c r="F570" s="19" t="n">
        <v>106.105263157895</v>
      </c>
      <c r="G570" s="19" t="n">
        <v>3783.89052631579</v>
      </c>
      <c r="H570" s="8" t="str">
        <f aca="false">IF(COUNTIF($J$1:$J$2,$A570)&gt;0,"Y","N")</f>
        <v>Y</v>
      </c>
    </row>
    <row r="571" customFormat="false" ht="15" hidden="false" customHeight="true" outlineLevel="0" collapsed="false">
      <c r="A571" s="8" t="s">
        <v>43</v>
      </c>
      <c r="B571" s="8" t="n">
        <v>4421006</v>
      </c>
      <c r="C571" s="8" t="s">
        <v>1726</v>
      </c>
      <c r="D571" s="19" t="n">
        <v>136</v>
      </c>
      <c r="E571" s="19" t="n">
        <v>5020.031</v>
      </c>
      <c r="F571" s="19" t="n">
        <v>154.105263157895</v>
      </c>
      <c r="G571" s="19" t="n">
        <v>5772.19705263158</v>
      </c>
      <c r="H571" s="8" t="str">
        <f aca="false">IF(COUNTIF($J$1:$J$2,$A571)&gt;0,"Y","N")</f>
        <v>Y</v>
      </c>
    </row>
    <row r="572" customFormat="false" ht="15" hidden="false" customHeight="true" outlineLevel="0" collapsed="false">
      <c r="A572" s="8" t="s">
        <v>43</v>
      </c>
      <c r="B572" s="8" t="n">
        <v>4421007</v>
      </c>
      <c r="C572" s="8" t="s">
        <v>1727</v>
      </c>
      <c r="D572" s="19" t="n">
        <v>89</v>
      </c>
      <c r="E572" s="19" t="n">
        <v>3548.496</v>
      </c>
      <c r="F572" s="19" t="n">
        <v>82.1052631578947</v>
      </c>
      <c r="G572" s="19" t="n">
        <v>3295.728</v>
      </c>
      <c r="H572" s="8" t="str">
        <f aca="false">IF(COUNTIF($J$1:$J$2,$A572)&gt;0,"Y","N")</f>
        <v>Y</v>
      </c>
    </row>
    <row r="573" customFormat="false" ht="15" hidden="false" customHeight="true" outlineLevel="0" collapsed="false">
      <c r="A573" s="8" t="s">
        <v>43</v>
      </c>
      <c r="B573" s="8" t="n">
        <v>4421008</v>
      </c>
      <c r="C573" s="8" t="s">
        <v>1728</v>
      </c>
      <c r="D573" s="19" t="n">
        <v>104</v>
      </c>
      <c r="E573" s="19" t="n">
        <v>4346.008</v>
      </c>
      <c r="F573" s="19" t="n">
        <v>116.210526315789</v>
      </c>
      <c r="G573" s="19" t="n">
        <v>4801.88715789474</v>
      </c>
      <c r="H573" s="8" t="str">
        <f aca="false">IF(COUNTIF($J$1:$J$2,$A573)&gt;0,"Y","N")</f>
        <v>Y</v>
      </c>
    </row>
    <row r="574" customFormat="false" ht="15" hidden="false" customHeight="true" outlineLevel="0" collapsed="false">
      <c r="A574" s="8" t="s">
        <v>43</v>
      </c>
      <c r="B574" s="8" t="n">
        <v>4422000</v>
      </c>
      <c r="C574" s="8" t="s">
        <v>1729</v>
      </c>
      <c r="D574" s="19" t="n">
        <v>136</v>
      </c>
      <c r="E574" s="19" t="n">
        <v>2583.574</v>
      </c>
      <c r="F574" s="19" t="n">
        <v>168</v>
      </c>
      <c r="G574" s="19" t="n">
        <v>3265.08252631579</v>
      </c>
      <c r="H574" s="8" t="str">
        <f aca="false">IF(COUNTIF($J$1:$J$2,$A574)&gt;0,"Y","N")</f>
        <v>Y</v>
      </c>
    </row>
    <row r="575" customFormat="false" ht="15" hidden="false" customHeight="true" outlineLevel="0" collapsed="false">
      <c r="A575" s="8" t="s">
        <v>43</v>
      </c>
      <c r="B575" s="8" t="n">
        <v>4422003</v>
      </c>
      <c r="C575" s="8" t="s">
        <v>1730</v>
      </c>
      <c r="D575" s="19" t="n">
        <v>-1</v>
      </c>
      <c r="E575" s="19" t="n">
        <v>-33.215</v>
      </c>
      <c r="F575" s="19" t="n">
        <v>0</v>
      </c>
      <c r="G575" s="19" t="n">
        <v>0</v>
      </c>
      <c r="H575" s="8" t="str">
        <f aca="false">IF(COUNTIF($J$1:$J$2,$A575)&gt;0,"Y","N")</f>
        <v>Y</v>
      </c>
    </row>
    <row r="576" customFormat="false" ht="15" hidden="false" customHeight="true" outlineLevel="0" collapsed="false">
      <c r="A576" s="8" t="s">
        <v>43</v>
      </c>
      <c r="B576" s="8" t="n">
        <v>4422004</v>
      </c>
      <c r="C576" s="8" t="s">
        <v>1731</v>
      </c>
      <c r="D576" s="19" t="n">
        <v>13</v>
      </c>
      <c r="E576" s="19" t="n">
        <v>2238.498</v>
      </c>
      <c r="F576" s="19" t="n">
        <v>6.31578947368421</v>
      </c>
      <c r="G576" s="19" t="n">
        <v>1102.57515789474</v>
      </c>
      <c r="H576" s="8" t="str">
        <f aca="false">IF(COUNTIF($J$1:$J$2,$A576)&gt;0,"Y","N")</f>
        <v>Y</v>
      </c>
    </row>
    <row r="577" customFormat="false" ht="15" hidden="false" customHeight="true" outlineLevel="0" collapsed="false">
      <c r="A577" s="8" t="s">
        <v>43</v>
      </c>
      <c r="B577" s="8" t="n">
        <v>4422005</v>
      </c>
      <c r="C577" s="8" t="s">
        <v>1732</v>
      </c>
      <c r="D577" s="19" t="n">
        <v>32</v>
      </c>
      <c r="E577" s="19" t="n">
        <v>5549.33</v>
      </c>
      <c r="F577" s="19" t="n">
        <v>20.2105263157895</v>
      </c>
      <c r="G577" s="19" t="n">
        <v>3442.96926315789</v>
      </c>
      <c r="H577" s="8" t="str">
        <f aca="false">IF(COUNTIF($J$1:$J$2,$A577)&gt;0,"Y","N")</f>
        <v>Y</v>
      </c>
    </row>
    <row r="578" customFormat="false" ht="15" hidden="false" customHeight="true" outlineLevel="0" collapsed="false">
      <c r="A578" s="8" t="s">
        <v>43</v>
      </c>
      <c r="B578" s="8" t="n">
        <v>4422006</v>
      </c>
      <c r="C578" s="8" t="s">
        <v>1733</v>
      </c>
      <c r="D578" s="19" t="n">
        <v>41</v>
      </c>
      <c r="E578" s="19" t="n">
        <v>7031.042</v>
      </c>
      <c r="F578" s="19" t="n">
        <v>34.1052631578947</v>
      </c>
      <c r="G578" s="19" t="n">
        <v>5594.77136842105</v>
      </c>
      <c r="H578" s="8" t="str">
        <f aca="false">IF(COUNTIF($J$1:$J$2,$A578)&gt;0,"Y","N")</f>
        <v>Y</v>
      </c>
    </row>
    <row r="579" customFormat="false" ht="15" hidden="false" customHeight="true" outlineLevel="0" collapsed="false">
      <c r="A579" s="8" t="s">
        <v>43</v>
      </c>
      <c r="B579" s="8" t="n">
        <v>4422007</v>
      </c>
      <c r="C579" s="8" t="s">
        <v>1734</v>
      </c>
      <c r="D579" s="19" t="n">
        <v>20</v>
      </c>
      <c r="E579" s="19" t="n">
        <v>3433.237</v>
      </c>
      <c r="F579" s="19" t="n">
        <v>25.2631578947368</v>
      </c>
      <c r="G579" s="19" t="n">
        <v>4299.24884210526</v>
      </c>
      <c r="H579" s="8" t="str">
        <f aca="false">IF(COUNTIF($J$1:$J$2,$A579)&gt;0,"Y","N")</f>
        <v>Y</v>
      </c>
    </row>
    <row r="580" customFormat="false" ht="15" hidden="false" customHeight="true" outlineLevel="0" collapsed="false">
      <c r="A580" s="8" t="s">
        <v>43</v>
      </c>
      <c r="B580" s="8" t="n">
        <v>4422009</v>
      </c>
      <c r="C580" s="8" t="s">
        <v>1735</v>
      </c>
      <c r="D580" s="19" t="n">
        <v>5</v>
      </c>
      <c r="E580" s="19" t="n">
        <v>843.974</v>
      </c>
      <c r="F580" s="19" t="n">
        <v>3.78947368421053</v>
      </c>
      <c r="G580" s="19" t="n">
        <v>652.901052631579</v>
      </c>
      <c r="H580" s="8" t="str">
        <f aca="false">IF(COUNTIF($J$1:$J$2,$A580)&gt;0,"Y","N")</f>
        <v>Y</v>
      </c>
    </row>
    <row r="581" customFormat="false" ht="15" hidden="false" customHeight="true" outlineLevel="0" collapsed="false">
      <c r="A581" s="8" t="s">
        <v>43</v>
      </c>
      <c r="B581" s="8" t="n">
        <v>4422023</v>
      </c>
      <c r="C581" s="8" t="s">
        <v>1736</v>
      </c>
      <c r="D581" s="19" t="n">
        <v>1518</v>
      </c>
      <c r="E581" s="19" t="n">
        <v>13515.458</v>
      </c>
      <c r="F581" s="19" t="n">
        <v>1074.94736842105</v>
      </c>
      <c r="G581" s="19" t="n">
        <v>10882.1823157895</v>
      </c>
      <c r="H581" s="8" t="str">
        <f aca="false">IF(COUNTIF($J$1:$J$2,$A581)&gt;0,"Y","N")</f>
        <v>Y</v>
      </c>
    </row>
    <row r="582" customFormat="false" ht="15" hidden="false" customHeight="true" outlineLevel="0" collapsed="false">
      <c r="A582" s="8" t="s">
        <v>43</v>
      </c>
      <c r="B582" s="8" t="n">
        <v>4422024</v>
      </c>
      <c r="C582" s="8" t="s">
        <v>1737</v>
      </c>
      <c r="D582" s="19" t="n">
        <v>968</v>
      </c>
      <c r="E582" s="19" t="n">
        <v>8862.001</v>
      </c>
      <c r="F582" s="19" t="n">
        <v>648</v>
      </c>
      <c r="G582" s="19" t="n">
        <v>6520.8492631579</v>
      </c>
      <c r="H582" s="8" t="str">
        <f aca="false">IF(COUNTIF($J$1:$J$2,$A582)&gt;0,"Y","N")</f>
        <v>Y</v>
      </c>
    </row>
    <row r="583" customFormat="false" ht="15" hidden="false" customHeight="true" outlineLevel="0" collapsed="false">
      <c r="A583" s="8" t="s">
        <v>43</v>
      </c>
      <c r="B583" s="8" t="n">
        <v>4422025</v>
      </c>
      <c r="C583" s="8" t="s">
        <v>1738</v>
      </c>
      <c r="D583" s="19" t="n">
        <v>489</v>
      </c>
      <c r="E583" s="19" t="n">
        <v>4252.556</v>
      </c>
      <c r="F583" s="19" t="n">
        <v>233.684210526316</v>
      </c>
      <c r="G583" s="19" t="n">
        <v>2367.10231578947</v>
      </c>
      <c r="H583" s="8" t="str">
        <f aca="false">IF(COUNTIF($J$1:$J$2,$A583)&gt;0,"Y","N")</f>
        <v>Y</v>
      </c>
    </row>
    <row r="584" customFormat="false" ht="15" hidden="false" customHeight="true" outlineLevel="0" collapsed="false">
      <c r="A584" s="8" t="s">
        <v>43</v>
      </c>
      <c r="B584" s="8" t="n">
        <v>4422026</v>
      </c>
      <c r="C584" s="8" t="s">
        <v>1739</v>
      </c>
      <c r="D584" s="19" t="n">
        <v>493</v>
      </c>
      <c r="E584" s="19" t="n">
        <v>4486.104</v>
      </c>
      <c r="F584" s="19" t="n">
        <v>257.684210526316</v>
      </c>
      <c r="G584" s="19" t="n">
        <v>2643.90947368421</v>
      </c>
      <c r="H584" s="8" t="str">
        <f aca="false">IF(COUNTIF($J$1:$J$2,$A584)&gt;0,"Y","N")</f>
        <v>Y</v>
      </c>
    </row>
    <row r="585" customFormat="false" ht="15" hidden="false" customHeight="true" outlineLevel="0" collapsed="false">
      <c r="A585" s="8" t="s">
        <v>43</v>
      </c>
      <c r="B585" s="8" t="n">
        <v>4422031</v>
      </c>
      <c r="C585" s="8" t="s">
        <v>1740</v>
      </c>
      <c r="D585" s="19" t="n">
        <v>705</v>
      </c>
      <c r="E585" s="19" t="n">
        <v>6466.201</v>
      </c>
      <c r="F585" s="19" t="n">
        <v>946.105263157895</v>
      </c>
      <c r="G585" s="19" t="n">
        <v>9646.86315789474</v>
      </c>
      <c r="H585" s="8" t="str">
        <f aca="false">IF(COUNTIF($J$1:$J$2,$A585)&gt;0,"Y","N")</f>
        <v>Y</v>
      </c>
    </row>
    <row r="586" customFormat="false" ht="15" hidden="false" customHeight="true" outlineLevel="0" collapsed="false">
      <c r="A586" s="8" t="s">
        <v>43</v>
      </c>
      <c r="B586" s="8" t="n">
        <v>4422032</v>
      </c>
      <c r="C586" s="8" t="s">
        <v>1741</v>
      </c>
      <c r="D586" s="19" t="n">
        <v>482</v>
      </c>
      <c r="E586" s="19" t="n">
        <v>4061.421</v>
      </c>
      <c r="F586" s="19" t="n">
        <v>267.789473684211</v>
      </c>
      <c r="G586" s="19" t="n">
        <v>2714.94189473684</v>
      </c>
      <c r="H586" s="8" t="str">
        <f aca="false">IF(COUNTIF($J$1:$J$2,$A586)&gt;0,"Y","N")</f>
        <v>Y</v>
      </c>
    </row>
    <row r="587" customFormat="false" ht="15" hidden="false" customHeight="true" outlineLevel="0" collapsed="false">
      <c r="A587" s="8" t="s">
        <v>43</v>
      </c>
      <c r="B587" s="8" t="n">
        <v>4422033</v>
      </c>
      <c r="C587" s="8" t="s">
        <v>1742</v>
      </c>
      <c r="D587" s="19" t="n">
        <v>400</v>
      </c>
      <c r="E587" s="19" t="n">
        <v>3404.401</v>
      </c>
      <c r="F587" s="19" t="n">
        <v>156.631578947368</v>
      </c>
      <c r="G587" s="19" t="n">
        <v>1595.81431578947</v>
      </c>
      <c r="H587" s="8" t="str">
        <f aca="false">IF(COUNTIF($J$1:$J$2,$A587)&gt;0,"Y","N")</f>
        <v>Y</v>
      </c>
    </row>
    <row r="588" customFormat="false" ht="15" hidden="false" customHeight="true" outlineLevel="0" collapsed="false">
      <c r="A588" s="8" t="s">
        <v>43</v>
      </c>
      <c r="B588" s="8" t="n">
        <v>4422034</v>
      </c>
      <c r="C588" s="8" t="s">
        <v>1743</v>
      </c>
      <c r="D588" s="19" t="n">
        <v>201</v>
      </c>
      <c r="E588" s="19" t="n">
        <v>1753.115</v>
      </c>
      <c r="F588" s="19" t="n">
        <v>83.3684210526316</v>
      </c>
      <c r="G588" s="19" t="n">
        <v>892.467789473684</v>
      </c>
      <c r="H588" s="8" t="str">
        <f aca="false">IF(COUNTIF($J$1:$J$2,$A588)&gt;0,"Y","N")</f>
        <v>Y</v>
      </c>
    </row>
    <row r="589" customFormat="false" ht="15" hidden="false" customHeight="true" outlineLevel="0" collapsed="false">
      <c r="A589" s="8" t="s">
        <v>43</v>
      </c>
      <c r="B589" s="8" t="n">
        <v>4422035</v>
      </c>
      <c r="C589" s="8" t="s">
        <v>1744</v>
      </c>
      <c r="D589" s="19" t="n">
        <v>971</v>
      </c>
      <c r="E589" s="19" t="n">
        <v>16498.167</v>
      </c>
      <c r="F589" s="19" t="n">
        <v>430.736842105263</v>
      </c>
      <c r="G589" s="19" t="n">
        <v>7463.87747368421</v>
      </c>
      <c r="H589" s="8" t="str">
        <f aca="false">IF(COUNTIF($J$1:$J$2,$A589)&gt;0,"Y","N")</f>
        <v>Y</v>
      </c>
    </row>
    <row r="590" customFormat="false" ht="15" hidden="false" customHeight="true" outlineLevel="0" collapsed="false">
      <c r="A590" s="8" t="s">
        <v>43</v>
      </c>
      <c r="B590" s="8" t="n">
        <v>4422036</v>
      </c>
      <c r="C590" s="8" t="s">
        <v>1745</v>
      </c>
      <c r="D590" s="19" t="n">
        <v>1018</v>
      </c>
      <c r="E590" s="19" t="n">
        <v>18260.655</v>
      </c>
      <c r="F590" s="19" t="n">
        <v>598.736842105263</v>
      </c>
      <c r="G590" s="19" t="n">
        <v>11468.0450526316</v>
      </c>
      <c r="H590" s="8" t="str">
        <f aca="false">IF(COUNTIF($J$1:$J$2,$A590)&gt;0,"Y","N")</f>
        <v>Y</v>
      </c>
    </row>
    <row r="591" customFormat="false" ht="15" hidden="false" customHeight="true" outlineLevel="0" collapsed="false">
      <c r="A591" s="8" t="s">
        <v>43</v>
      </c>
      <c r="B591" s="8" t="n">
        <v>4422037</v>
      </c>
      <c r="C591" s="8" t="s">
        <v>1746</v>
      </c>
      <c r="D591" s="19" t="n">
        <v>1</v>
      </c>
      <c r="E591" s="19" t="n">
        <v>196.014</v>
      </c>
      <c r="F591" s="19" t="n">
        <v>17.6842105263158</v>
      </c>
      <c r="G591" s="19" t="n">
        <v>3383.36084210526</v>
      </c>
      <c r="H591" s="8" t="str">
        <f aca="false">IF(COUNTIF($J$1:$J$2,$A591)&gt;0,"Y","N")</f>
        <v>Y</v>
      </c>
    </row>
    <row r="592" customFormat="false" ht="15" hidden="false" customHeight="true" outlineLevel="0" collapsed="false">
      <c r="A592" s="8" t="s">
        <v>43</v>
      </c>
      <c r="B592" s="8" t="n">
        <v>4422038</v>
      </c>
      <c r="C592" s="8" t="s">
        <v>1747</v>
      </c>
      <c r="D592" s="19" t="n">
        <v>6</v>
      </c>
      <c r="E592" s="19" t="n">
        <v>947.951</v>
      </c>
      <c r="F592" s="19" t="n">
        <v>27.7894736842105</v>
      </c>
      <c r="G592" s="19" t="n">
        <v>5302.49052631579</v>
      </c>
      <c r="H592" s="8" t="str">
        <f aca="false">IF(COUNTIF($J$1:$J$2,$A592)&gt;0,"Y","N")</f>
        <v>Y</v>
      </c>
    </row>
    <row r="593" customFormat="false" ht="15" hidden="false" customHeight="true" outlineLevel="0" collapsed="false">
      <c r="A593" s="8" t="s">
        <v>43</v>
      </c>
      <c r="B593" s="8" t="n">
        <v>4422039</v>
      </c>
      <c r="C593" s="8" t="s">
        <v>1748</v>
      </c>
      <c r="D593" s="19" t="n">
        <v>5</v>
      </c>
      <c r="E593" s="19" t="n">
        <v>827.951</v>
      </c>
      <c r="F593" s="19" t="n">
        <v>31.5789473684211</v>
      </c>
      <c r="G593" s="19" t="n">
        <v>5619.86021052632</v>
      </c>
      <c r="H593" s="8" t="str">
        <f aca="false">IF(COUNTIF($J$1:$J$2,$A593)&gt;0,"Y","N")</f>
        <v>Y</v>
      </c>
    </row>
    <row r="594" customFormat="false" ht="15" hidden="false" customHeight="true" outlineLevel="0" collapsed="false">
      <c r="A594" s="8" t="s">
        <v>43</v>
      </c>
      <c r="B594" s="8" t="n">
        <v>4422040</v>
      </c>
      <c r="C594" s="8" t="s">
        <v>1749</v>
      </c>
      <c r="D594" s="19" t="n">
        <v>8</v>
      </c>
      <c r="E594" s="19" t="n">
        <v>1389.785</v>
      </c>
      <c r="F594" s="19" t="n">
        <v>39.1578947368421</v>
      </c>
      <c r="G594" s="19" t="n">
        <v>6863.74736842105</v>
      </c>
      <c r="H594" s="8" t="str">
        <f aca="false">IF(COUNTIF($J$1:$J$2,$A594)&gt;0,"Y","N")</f>
        <v>Y</v>
      </c>
    </row>
    <row r="595" customFormat="false" ht="15" hidden="false" customHeight="true" outlineLevel="0" collapsed="false">
      <c r="A595" s="8" t="s">
        <v>43</v>
      </c>
      <c r="B595" s="8" t="n">
        <v>4422041</v>
      </c>
      <c r="C595" s="8" t="s">
        <v>1750</v>
      </c>
      <c r="D595" s="19" t="n">
        <v>8</v>
      </c>
      <c r="E595" s="19" t="n">
        <v>1389.785</v>
      </c>
      <c r="F595" s="19" t="n">
        <v>35.3684210526316</v>
      </c>
      <c r="G595" s="19" t="n">
        <v>6364.88589473684</v>
      </c>
      <c r="H595" s="8" t="str">
        <f aca="false">IF(COUNTIF($J$1:$J$2,$A595)&gt;0,"Y","N")</f>
        <v>Y</v>
      </c>
    </row>
    <row r="596" customFormat="false" ht="15" hidden="false" customHeight="true" outlineLevel="0" collapsed="false">
      <c r="A596" s="8" t="s">
        <v>43</v>
      </c>
      <c r="B596" s="8" t="n">
        <v>4422042</v>
      </c>
      <c r="C596" s="8" t="s">
        <v>1751</v>
      </c>
      <c r="D596" s="19" t="n">
        <v>1</v>
      </c>
      <c r="E596" s="19" t="n">
        <v>120</v>
      </c>
      <c r="F596" s="19" t="n">
        <v>21.4736842105263</v>
      </c>
      <c r="G596" s="19" t="n">
        <v>3859.22905263158</v>
      </c>
      <c r="H596" s="8" t="str">
        <f aca="false">IF(COUNTIF($J$1:$J$2,$A596)&gt;0,"Y","N")</f>
        <v>Y</v>
      </c>
    </row>
    <row r="597" customFormat="false" ht="15" hidden="false" customHeight="true" outlineLevel="0" collapsed="false">
      <c r="A597" s="8" t="s">
        <v>43</v>
      </c>
      <c r="B597" s="8" t="s">
        <v>478</v>
      </c>
      <c r="C597" s="8" t="s">
        <v>478</v>
      </c>
      <c r="D597" s="19" t="n">
        <v>0</v>
      </c>
      <c r="E597" s="19" t="n">
        <v>0.01</v>
      </c>
      <c r="F597" s="19" t="n">
        <v>0</v>
      </c>
      <c r="G597" s="19" t="n">
        <v>0</v>
      </c>
      <c r="H597" s="8" t="str">
        <f aca="false">IF(COUNTIF($J$1:$J$2,$A597)&gt;0,"Y","N")</f>
        <v>Y</v>
      </c>
    </row>
    <row r="598" customFormat="false" ht="15" hidden="false" customHeight="true" outlineLevel="0" collapsed="false">
      <c r="A598" s="8" t="s">
        <v>43</v>
      </c>
      <c r="B598" s="8" t="s">
        <v>120</v>
      </c>
      <c r="C598" s="8" t="s">
        <v>120</v>
      </c>
      <c r="D598" s="19" t="n">
        <v>2</v>
      </c>
      <c r="E598" s="19" t="n">
        <v>281.15</v>
      </c>
      <c r="F598" s="19" t="n">
        <v>0</v>
      </c>
      <c r="G598" s="19" t="n">
        <v>0</v>
      </c>
      <c r="H598" s="8" t="str">
        <f aca="false">IF(COUNTIF($J$1:$J$2,$A598)&gt;0,"Y","N")</f>
        <v>Y</v>
      </c>
    </row>
    <row r="599" customFormat="false" ht="15" hidden="false" customHeight="true" outlineLevel="0" collapsed="false">
      <c r="A599" s="8" t="s">
        <v>43</v>
      </c>
      <c r="B599" s="8" t="s">
        <v>194</v>
      </c>
      <c r="C599" s="8" t="s">
        <v>194</v>
      </c>
      <c r="D599" s="19" t="n">
        <v>1</v>
      </c>
      <c r="E599" s="19" t="n">
        <v>140.57</v>
      </c>
      <c r="F599" s="19" t="n">
        <v>0</v>
      </c>
      <c r="G599" s="19" t="n">
        <v>0</v>
      </c>
      <c r="H599" s="8" t="str">
        <f aca="false">IF(COUNTIF($J$1:$J$2,$A599)&gt;0,"Y","N")</f>
        <v>Y</v>
      </c>
    </row>
    <row r="600" customFormat="false" ht="15" hidden="false" customHeight="true" outlineLevel="0" collapsed="false">
      <c r="A600" s="8" t="s">
        <v>43</v>
      </c>
      <c r="B600" s="8" t="s">
        <v>144</v>
      </c>
      <c r="C600" s="8" t="s">
        <v>144</v>
      </c>
      <c r="D600" s="19" t="n">
        <v>50</v>
      </c>
      <c r="E600" s="19" t="n">
        <v>6250</v>
      </c>
      <c r="F600" s="19" t="n">
        <v>1.26315789473684</v>
      </c>
      <c r="G600" s="19" t="n">
        <v>295.970526315789</v>
      </c>
      <c r="H600" s="8" t="str">
        <f aca="false">IF(COUNTIF($J$1:$J$2,$A600)&gt;0,"Y","N")</f>
        <v>Y</v>
      </c>
    </row>
    <row r="601" customFormat="false" ht="15" hidden="false" customHeight="true" outlineLevel="0" collapsed="false">
      <c r="A601" s="8" t="s">
        <v>43</v>
      </c>
      <c r="B601" s="8" t="s">
        <v>328</v>
      </c>
      <c r="C601" s="8" t="s">
        <v>328</v>
      </c>
      <c r="D601" s="19" t="n">
        <v>10</v>
      </c>
      <c r="E601" s="19" t="n">
        <v>1250</v>
      </c>
      <c r="F601" s="19" t="n">
        <v>0</v>
      </c>
      <c r="G601" s="19" t="n">
        <v>0</v>
      </c>
      <c r="H601" s="8" t="str">
        <f aca="false">IF(COUNTIF($J$1:$J$2,$A601)&gt;0,"Y","N")</f>
        <v>Y</v>
      </c>
    </row>
    <row r="602" customFormat="false" ht="15" hidden="false" customHeight="true" outlineLevel="0" collapsed="false">
      <c r="A602" s="8" t="s">
        <v>43</v>
      </c>
      <c r="B602" s="8" t="s">
        <v>423</v>
      </c>
      <c r="C602" s="8" t="s">
        <v>423</v>
      </c>
      <c r="D602" s="19" t="n">
        <v>10</v>
      </c>
      <c r="E602" s="19" t="n">
        <v>1300</v>
      </c>
      <c r="F602" s="19" t="n">
        <v>0</v>
      </c>
      <c r="G602" s="19" t="n">
        <v>0</v>
      </c>
      <c r="H602" s="8" t="str">
        <f aca="false">IF(COUNTIF($J$1:$J$2,$A602)&gt;0,"Y","N")</f>
        <v>Y</v>
      </c>
    </row>
    <row r="603" customFormat="false" ht="15" hidden="false" customHeight="true" outlineLevel="0" collapsed="false">
      <c r="A603" s="8" t="s">
        <v>43</v>
      </c>
      <c r="B603" s="8" t="s">
        <v>156</v>
      </c>
      <c r="C603" s="8" t="s">
        <v>156</v>
      </c>
      <c r="D603" s="19" t="n">
        <v>1</v>
      </c>
      <c r="E603" s="19" t="n">
        <v>69.01</v>
      </c>
      <c r="F603" s="19" t="n">
        <v>1.26315789473684</v>
      </c>
      <c r="G603" s="19" t="n">
        <v>107.368421052632</v>
      </c>
      <c r="H603" s="8" t="str">
        <f aca="false">IF(COUNTIF($J$1:$J$2,$A603)&gt;0,"Y","N")</f>
        <v>Y</v>
      </c>
    </row>
    <row r="604" customFormat="false" ht="15" hidden="false" customHeight="true" outlineLevel="0" collapsed="false">
      <c r="A604" s="8" t="s">
        <v>43</v>
      </c>
      <c r="B604" s="8" t="s">
        <v>367</v>
      </c>
      <c r="C604" s="8" t="s">
        <v>367</v>
      </c>
      <c r="D604" s="19" t="n">
        <v>1</v>
      </c>
      <c r="E604" s="19" t="n">
        <v>69</v>
      </c>
      <c r="F604" s="19" t="n">
        <v>0</v>
      </c>
      <c r="G604" s="19" t="n">
        <v>0</v>
      </c>
      <c r="H604" s="8" t="str">
        <f aca="false">IF(COUNTIF($J$1:$J$2,$A604)&gt;0,"Y","N")</f>
        <v>Y</v>
      </c>
    </row>
    <row r="605" customFormat="false" ht="15" hidden="false" customHeight="true" outlineLevel="0" collapsed="false">
      <c r="A605" s="8" t="s">
        <v>43</v>
      </c>
      <c r="B605" s="8" t="s">
        <v>350</v>
      </c>
      <c r="C605" s="8" t="s">
        <v>350</v>
      </c>
      <c r="D605" s="19" t="n">
        <v>1</v>
      </c>
      <c r="E605" s="19" t="n">
        <v>135.88</v>
      </c>
      <c r="F605" s="19" t="n">
        <v>0</v>
      </c>
      <c r="G605" s="19" t="n">
        <v>0</v>
      </c>
      <c r="H605" s="8" t="str">
        <f aca="false">IF(COUNTIF($J$1:$J$2,$A605)&gt;0,"Y","N")</f>
        <v>Y</v>
      </c>
    </row>
    <row r="606" customFormat="false" ht="15" hidden="false" customHeight="true" outlineLevel="0" collapsed="false">
      <c r="A606" s="8" t="s">
        <v>43</v>
      </c>
      <c r="B606" s="8" t="s">
        <v>185</v>
      </c>
      <c r="C606" s="8" t="s">
        <v>185</v>
      </c>
      <c r="D606" s="19" t="n">
        <v>0</v>
      </c>
      <c r="E606" s="19" t="n">
        <v>0</v>
      </c>
      <c r="F606" s="19" t="n">
        <v>1.26315789473684</v>
      </c>
      <c r="G606" s="19" t="n">
        <v>198.277894736842</v>
      </c>
      <c r="H606" s="8" t="str">
        <f aca="false">IF(COUNTIF($J$1:$J$2,$A606)&gt;0,"Y","N")</f>
        <v>Y</v>
      </c>
    </row>
    <row r="607" customFormat="false" ht="15" hidden="false" customHeight="true" outlineLevel="0" collapsed="false">
      <c r="A607" s="8" t="s">
        <v>43</v>
      </c>
      <c r="B607" s="8" t="s">
        <v>174</v>
      </c>
      <c r="C607" s="8" t="s">
        <v>174</v>
      </c>
      <c r="D607" s="19" t="n">
        <v>1</v>
      </c>
      <c r="E607" s="19" t="n">
        <v>156.98</v>
      </c>
      <c r="F607" s="19" t="n">
        <v>0</v>
      </c>
      <c r="G607" s="19" t="n">
        <v>0</v>
      </c>
      <c r="H607" s="8" t="str">
        <f aca="false">IF(COUNTIF($J$1:$J$2,$A607)&gt;0,"Y","N")</f>
        <v>Y</v>
      </c>
    </row>
    <row r="608" customFormat="false" ht="15" hidden="false" customHeight="true" outlineLevel="0" collapsed="false">
      <c r="A608" s="8" t="s">
        <v>43</v>
      </c>
      <c r="B608" s="8" t="s">
        <v>229</v>
      </c>
      <c r="C608" s="8" t="s">
        <v>229</v>
      </c>
      <c r="D608" s="19" t="n">
        <v>1</v>
      </c>
      <c r="E608" s="19" t="n">
        <v>140.57</v>
      </c>
      <c r="F608" s="19" t="n">
        <v>1.26315789473684</v>
      </c>
      <c r="G608" s="19" t="n">
        <v>177.574736842105</v>
      </c>
      <c r="H608" s="8" t="str">
        <f aca="false">IF(COUNTIF($J$1:$J$2,$A608)&gt;0,"Y","N")</f>
        <v>Y</v>
      </c>
    </row>
    <row r="609" customFormat="false" ht="15" hidden="false" customHeight="true" outlineLevel="0" collapsed="false">
      <c r="A609" s="8" t="s">
        <v>43</v>
      </c>
      <c r="B609" s="8" t="s">
        <v>211</v>
      </c>
      <c r="C609" s="8" t="s">
        <v>211</v>
      </c>
      <c r="D609" s="19" t="n">
        <v>0</v>
      </c>
      <c r="E609" s="19" t="n">
        <v>0</v>
      </c>
      <c r="F609" s="19" t="n">
        <v>2.52631578947368</v>
      </c>
      <c r="G609" s="19" t="n">
        <v>355.124210526316</v>
      </c>
      <c r="H609" s="8" t="str">
        <f aca="false">IF(COUNTIF($J$1:$J$2,$A609)&gt;0,"Y","N")</f>
        <v>Y</v>
      </c>
    </row>
    <row r="610" customFormat="false" ht="15" hidden="false" customHeight="true" outlineLevel="0" collapsed="false">
      <c r="A610" s="8" t="s">
        <v>43</v>
      </c>
      <c r="B610" s="8" t="s">
        <v>405</v>
      </c>
      <c r="C610" s="8" t="s">
        <v>405</v>
      </c>
      <c r="D610" s="19" t="n">
        <v>1</v>
      </c>
      <c r="E610" s="19" t="n">
        <v>140.58</v>
      </c>
      <c r="F610" s="19" t="n">
        <v>0</v>
      </c>
      <c r="G610" s="19" t="n">
        <v>0</v>
      </c>
      <c r="H610" s="8" t="str">
        <f aca="false">IF(COUNTIF($J$1:$J$2,$A610)&gt;0,"Y","N")</f>
        <v>Y</v>
      </c>
    </row>
    <row r="611" customFormat="false" ht="15" hidden="false" customHeight="true" outlineLevel="0" collapsed="false">
      <c r="A611" s="8" t="s">
        <v>43</v>
      </c>
      <c r="B611" s="8" t="s">
        <v>317</v>
      </c>
      <c r="C611" s="8" t="s">
        <v>317</v>
      </c>
      <c r="D611" s="19" t="n">
        <v>1</v>
      </c>
      <c r="E611" s="19" t="n">
        <v>132.33</v>
      </c>
      <c r="F611" s="19" t="n">
        <v>0</v>
      </c>
      <c r="G611" s="19" t="n">
        <v>0</v>
      </c>
      <c r="H611" s="8" t="str">
        <f aca="false">IF(COUNTIF($J$1:$J$2,$A611)&gt;0,"Y","N")</f>
        <v>Y</v>
      </c>
    </row>
    <row r="612" customFormat="false" ht="15" hidden="false" customHeight="true" outlineLevel="0" collapsed="false">
      <c r="A612" s="8" t="s">
        <v>43</v>
      </c>
      <c r="B612" s="8" t="s">
        <v>143</v>
      </c>
      <c r="C612" s="8" t="s">
        <v>143</v>
      </c>
      <c r="D612" s="19" t="n">
        <v>1</v>
      </c>
      <c r="E612" s="19" t="n">
        <v>268</v>
      </c>
      <c r="F612" s="19" t="n">
        <v>1.26315789473684</v>
      </c>
      <c r="G612" s="19" t="n">
        <v>390.72</v>
      </c>
      <c r="H612" s="8" t="str">
        <f aca="false">IF(COUNTIF($J$1:$J$2,$A612)&gt;0,"Y","N")</f>
        <v>Y</v>
      </c>
    </row>
    <row r="613" customFormat="false" ht="15" hidden="false" customHeight="true" outlineLevel="0" collapsed="false">
      <c r="A613" s="8" t="s">
        <v>43</v>
      </c>
      <c r="B613" s="8" t="s">
        <v>115</v>
      </c>
      <c r="C613" s="8" t="s">
        <v>115</v>
      </c>
      <c r="D613" s="19" t="n">
        <v>1</v>
      </c>
      <c r="E613" s="19" t="n">
        <v>268</v>
      </c>
      <c r="F613" s="19" t="n">
        <v>1.26315789473684</v>
      </c>
      <c r="G613" s="19" t="n">
        <v>338.526315789474</v>
      </c>
      <c r="H613" s="8" t="str">
        <f aca="false">IF(COUNTIF($J$1:$J$2,$A613)&gt;0,"Y","N")</f>
        <v>Y</v>
      </c>
    </row>
    <row r="614" customFormat="false" ht="15" hidden="false" customHeight="true" outlineLevel="0" collapsed="false">
      <c r="A614" s="8" t="s">
        <v>43</v>
      </c>
      <c r="B614" s="8" t="s">
        <v>252</v>
      </c>
      <c r="C614" s="8" t="s">
        <v>252</v>
      </c>
      <c r="D614" s="19" t="n">
        <v>1</v>
      </c>
      <c r="E614" s="19" t="n">
        <v>268</v>
      </c>
      <c r="F614" s="19" t="n">
        <v>0</v>
      </c>
      <c r="G614" s="19" t="n">
        <v>0</v>
      </c>
      <c r="H614" s="8" t="str">
        <f aca="false">IF(COUNTIF($J$1:$J$2,$A614)&gt;0,"Y","N")</f>
        <v>Y</v>
      </c>
    </row>
    <row r="615" customFormat="false" ht="15" hidden="false" customHeight="true" outlineLevel="0" collapsed="false">
      <c r="A615" s="8" t="s">
        <v>43</v>
      </c>
      <c r="B615" s="8" t="s">
        <v>186</v>
      </c>
      <c r="C615" s="8" t="s">
        <v>186</v>
      </c>
      <c r="D615" s="19" t="n">
        <v>1</v>
      </c>
      <c r="E615" s="19" t="n">
        <v>268</v>
      </c>
      <c r="F615" s="19" t="n">
        <v>1.26315789473684</v>
      </c>
      <c r="G615" s="19" t="n">
        <v>390.707368421053</v>
      </c>
      <c r="H615" s="8" t="str">
        <f aca="false">IF(COUNTIF($J$1:$J$2,$A615)&gt;0,"Y","N")</f>
        <v>Y</v>
      </c>
    </row>
    <row r="616" customFormat="false" ht="15" hidden="false" customHeight="true" outlineLevel="0" collapsed="false">
      <c r="A616" s="8" t="s">
        <v>43</v>
      </c>
      <c r="B616" s="8" t="s">
        <v>260</v>
      </c>
      <c r="C616" s="8" t="s">
        <v>260</v>
      </c>
      <c r="D616" s="19" t="n">
        <v>0</v>
      </c>
      <c r="E616" s="19" t="n">
        <v>0</v>
      </c>
      <c r="F616" s="19" t="n">
        <v>1.26315789473684</v>
      </c>
      <c r="G616" s="19" t="n">
        <v>390.72</v>
      </c>
      <c r="H616" s="8" t="str">
        <f aca="false">IF(COUNTIF($J$1:$J$2,$A616)&gt;0,"Y","N")</f>
        <v>Y</v>
      </c>
    </row>
    <row r="617" customFormat="false" ht="15" hidden="false" customHeight="true" outlineLevel="0" collapsed="false">
      <c r="A617" s="8" t="s">
        <v>43</v>
      </c>
      <c r="B617" s="8" t="s">
        <v>538</v>
      </c>
      <c r="C617" s="8" t="s">
        <v>538</v>
      </c>
      <c r="D617" s="19" t="n">
        <v>2</v>
      </c>
      <c r="E617" s="19" t="n">
        <v>38.34</v>
      </c>
      <c r="F617" s="19" t="n">
        <v>0</v>
      </c>
      <c r="G617" s="19" t="n">
        <v>0</v>
      </c>
      <c r="H617" s="8" t="str">
        <f aca="false">IF(COUNTIF($J$1:$J$2,$A617)&gt;0,"Y","N")</f>
        <v>Y</v>
      </c>
    </row>
    <row r="618" customFormat="false" ht="15" hidden="false" customHeight="true" outlineLevel="0" collapsed="false">
      <c r="A618" s="8" t="s">
        <v>43</v>
      </c>
      <c r="B618" s="8" t="s">
        <v>521</v>
      </c>
      <c r="C618" s="8" t="s">
        <v>521</v>
      </c>
      <c r="D618" s="19" t="n">
        <v>3</v>
      </c>
      <c r="E618" s="19" t="n">
        <v>198.4</v>
      </c>
      <c r="F618" s="19" t="n">
        <v>0</v>
      </c>
      <c r="G618" s="19" t="n">
        <v>0</v>
      </c>
      <c r="H618" s="8" t="str">
        <f aca="false">IF(COUNTIF($J$1:$J$2,$A618)&gt;0,"Y","N")</f>
        <v>Y</v>
      </c>
    </row>
    <row r="619" customFormat="false" ht="15" hidden="false" customHeight="true" outlineLevel="0" collapsed="false">
      <c r="A619" s="8" t="s">
        <v>43</v>
      </c>
      <c r="B619" s="8" t="s">
        <v>111</v>
      </c>
      <c r="C619" s="8" t="s">
        <v>111</v>
      </c>
      <c r="D619" s="19" t="n">
        <v>6</v>
      </c>
      <c r="E619" s="19" t="n">
        <v>711.22</v>
      </c>
      <c r="F619" s="19" t="n">
        <v>0</v>
      </c>
      <c r="G619" s="19" t="n">
        <v>0</v>
      </c>
      <c r="H619" s="8" t="str">
        <f aca="false">IF(COUNTIF($J$1:$J$2,$A619)&gt;0,"Y","N")</f>
        <v>Y</v>
      </c>
    </row>
    <row r="620" customFormat="false" ht="15" hidden="false" customHeight="true" outlineLevel="0" collapsed="false">
      <c r="A620" s="8" t="s">
        <v>43</v>
      </c>
      <c r="B620" s="8" t="s">
        <v>193</v>
      </c>
      <c r="C620" s="8" t="s">
        <v>193</v>
      </c>
      <c r="D620" s="19" t="n">
        <v>2</v>
      </c>
      <c r="E620" s="19" t="n">
        <v>187.4</v>
      </c>
      <c r="F620" s="19" t="n">
        <v>0</v>
      </c>
      <c r="G620" s="19" t="n">
        <v>0</v>
      </c>
      <c r="H620" s="8" t="str">
        <f aca="false">IF(COUNTIF($J$1:$J$2,$A620)&gt;0,"Y","N")</f>
        <v>Y</v>
      </c>
    </row>
    <row r="621" customFormat="false" ht="15" hidden="false" customHeight="true" outlineLevel="0" collapsed="false">
      <c r="A621" s="8" t="s">
        <v>43</v>
      </c>
      <c r="B621" s="8" t="s">
        <v>261</v>
      </c>
      <c r="C621" s="8" t="s">
        <v>261</v>
      </c>
      <c r="D621" s="19" t="n">
        <v>0</v>
      </c>
      <c r="E621" s="19" t="n">
        <v>0</v>
      </c>
      <c r="F621" s="19" t="n">
        <v>1.26315789473684</v>
      </c>
      <c r="G621" s="19" t="n">
        <v>268.736842105263</v>
      </c>
      <c r="H621" s="8" t="str">
        <f aca="false">IF(COUNTIF($J$1:$J$2,$A621)&gt;0,"Y","N")</f>
        <v>Y</v>
      </c>
    </row>
    <row r="622" customFormat="false" ht="15" hidden="false" customHeight="true" outlineLevel="0" collapsed="false">
      <c r="A622" s="8" t="s">
        <v>43</v>
      </c>
      <c r="B622" s="8" t="s">
        <v>163</v>
      </c>
      <c r="C622" s="8" t="s">
        <v>163</v>
      </c>
      <c r="D622" s="19" t="n">
        <v>5</v>
      </c>
      <c r="E622" s="19" t="n">
        <v>523.08</v>
      </c>
      <c r="F622" s="19" t="n">
        <v>0</v>
      </c>
      <c r="G622" s="19" t="n">
        <v>0</v>
      </c>
      <c r="H622" s="8" t="str">
        <f aca="false">IF(COUNTIF($J$1:$J$2,$A622)&gt;0,"Y","N")</f>
        <v>Y</v>
      </c>
    </row>
    <row r="623" customFormat="false" ht="15" hidden="false" customHeight="true" outlineLevel="0" collapsed="false">
      <c r="A623" s="8" t="s">
        <v>43</v>
      </c>
      <c r="B623" s="8" t="s">
        <v>207</v>
      </c>
      <c r="C623" s="8" t="s">
        <v>207</v>
      </c>
      <c r="D623" s="19" t="n">
        <v>0</v>
      </c>
      <c r="E623" s="19" t="n">
        <v>0</v>
      </c>
      <c r="F623" s="19" t="n">
        <v>1.26315789473684</v>
      </c>
      <c r="G623" s="19" t="n">
        <v>155.658947368421</v>
      </c>
      <c r="H623" s="8" t="str">
        <f aca="false">IF(COUNTIF($J$1:$J$2,$A623)&gt;0,"Y","N")</f>
        <v>Y</v>
      </c>
    </row>
    <row r="624" customFormat="false" ht="15" hidden="false" customHeight="true" outlineLevel="0" collapsed="false">
      <c r="A624" s="8" t="s">
        <v>43</v>
      </c>
      <c r="B624" s="8" t="s">
        <v>277</v>
      </c>
      <c r="C624" s="8" t="s">
        <v>277</v>
      </c>
      <c r="D624" s="19" t="n">
        <v>1</v>
      </c>
      <c r="E624" s="19" t="n">
        <v>123.23</v>
      </c>
      <c r="F624" s="19" t="n">
        <v>0</v>
      </c>
      <c r="G624" s="19" t="n">
        <v>0</v>
      </c>
      <c r="H624" s="8" t="str">
        <f aca="false">IF(COUNTIF($J$1:$J$2,$A624)&gt;0,"Y","N")</f>
        <v>Y</v>
      </c>
    </row>
    <row r="625" customFormat="false" ht="15" hidden="false" customHeight="true" outlineLevel="0" collapsed="false">
      <c r="A625" s="8" t="s">
        <v>43</v>
      </c>
      <c r="B625" s="8" t="s">
        <v>134</v>
      </c>
      <c r="C625" s="8" t="s">
        <v>134</v>
      </c>
      <c r="D625" s="19" t="n">
        <v>4</v>
      </c>
      <c r="E625" s="19" t="n">
        <v>121.26</v>
      </c>
      <c r="F625" s="19" t="n">
        <v>0</v>
      </c>
      <c r="G625" s="19" t="n">
        <v>0</v>
      </c>
      <c r="H625" s="8" t="str">
        <f aca="false">IF(COUNTIF($J$1:$J$2,$A625)&gt;0,"Y","N")</f>
        <v>Y</v>
      </c>
    </row>
    <row r="626" customFormat="false" ht="15" hidden="false" customHeight="true" outlineLevel="0" collapsed="false">
      <c r="A626" s="8" t="s">
        <v>43</v>
      </c>
      <c r="B626" s="8" t="s">
        <v>121</v>
      </c>
      <c r="C626" s="8" t="s">
        <v>121</v>
      </c>
      <c r="D626" s="19" t="n">
        <v>2</v>
      </c>
      <c r="E626" s="19" t="n">
        <v>66.09</v>
      </c>
      <c r="F626" s="19" t="n">
        <v>0</v>
      </c>
      <c r="G626" s="19" t="n">
        <v>0</v>
      </c>
      <c r="H626" s="8" t="str">
        <f aca="false">IF(COUNTIF($J$1:$J$2,$A626)&gt;0,"Y","N")</f>
        <v>Y</v>
      </c>
    </row>
    <row r="627" customFormat="false" ht="15" hidden="false" customHeight="true" outlineLevel="0" collapsed="false">
      <c r="A627" s="8" t="s">
        <v>43</v>
      </c>
      <c r="B627" s="8" t="s">
        <v>81</v>
      </c>
      <c r="C627" s="8" t="s">
        <v>81</v>
      </c>
      <c r="D627" s="19" t="n">
        <v>0</v>
      </c>
      <c r="E627" s="19" t="n">
        <v>0</v>
      </c>
      <c r="F627" s="19" t="n">
        <v>2.52631578947368</v>
      </c>
      <c r="G627" s="19" t="n">
        <v>88.6863157894737</v>
      </c>
      <c r="H627" s="8" t="str">
        <f aca="false">IF(COUNTIF($J$1:$J$2,$A627)&gt;0,"Y","N")</f>
        <v>Y</v>
      </c>
    </row>
    <row r="628" customFormat="false" ht="15" hidden="false" customHeight="true" outlineLevel="0" collapsed="false">
      <c r="A628" s="8" t="s">
        <v>43</v>
      </c>
      <c r="B628" s="8" t="s">
        <v>107</v>
      </c>
      <c r="C628" s="8" t="s">
        <v>107</v>
      </c>
      <c r="D628" s="19" t="n">
        <v>6</v>
      </c>
      <c r="E628" s="19" t="n">
        <v>188.76</v>
      </c>
      <c r="F628" s="19" t="n">
        <v>0</v>
      </c>
      <c r="G628" s="19" t="n">
        <v>0</v>
      </c>
      <c r="H628" s="8" t="str">
        <f aca="false">IF(COUNTIF($J$1:$J$2,$A628)&gt;0,"Y","N")</f>
        <v>Y</v>
      </c>
    </row>
    <row r="629" customFormat="false" ht="15" hidden="false" customHeight="true" outlineLevel="0" collapsed="false">
      <c r="A629" s="8" t="s">
        <v>43</v>
      </c>
      <c r="B629" s="8" t="s">
        <v>457</v>
      </c>
      <c r="C629" s="8" t="s">
        <v>457</v>
      </c>
      <c r="D629" s="19" t="n">
        <v>1</v>
      </c>
      <c r="E629" s="19" t="n">
        <v>174.86</v>
      </c>
      <c r="F629" s="19" t="n">
        <v>0</v>
      </c>
      <c r="G629" s="19" t="n">
        <v>0</v>
      </c>
      <c r="H629" s="8" t="str">
        <f aca="false">IF(COUNTIF($J$1:$J$2,$A629)&gt;0,"Y","N")</f>
        <v>Y</v>
      </c>
    </row>
    <row r="630" customFormat="false" ht="15" hidden="false" customHeight="true" outlineLevel="0" collapsed="false">
      <c r="A630" s="8" t="s">
        <v>43</v>
      </c>
      <c r="B630" s="8" t="s">
        <v>430</v>
      </c>
      <c r="C630" s="8" t="s">
        <v>430</v>
      </c>
      <c r="D630" s="19" t="n">
        <v>1</v>
      </c>
      <c r="E630" s="19" t="n">
        <v>187.45</v>
      </c>
      <c r="F630" s="19" t="n">
        <v>0</v>
      </c>
      <c r="G630" s="19" t="n">
        <v>0</v>
      </c>
      <c r="H630" s="8" t="str">
        <f aca="false">IF(COUNTIF($J$1:$J$2,$A630)&gt;0,"Y","N")</f>
        <v>Y</v>
      </c>
    </row>
    <row r="631" customFormat="false" ht="15" hidden="false" customHeight="true" outlineLevel="0" collapsed="false">
      <c r="A631" s="8" t="s">
        <v>43</v>
      </c>
      <c r="B631" s="8" t="s">
        <v>236</v>
      </c>
      <c r="C631" s="8" t="s">
        <v>236</v>
      </c>
      <c r="D631" s="19" t="n">
        <v>1</v>
      </c>
      <c r="E631" s="19" t="n">
        <v>203.38</v>
      </c>
      <c r="F631" s="19" t="n">
        <v>0</v>
      </c>
      <c r="G631" s="19" t="n">
        <v>0</v>
      </c>
      <c r="H631" s="8" t="str">
        <f aca="false">IF(COUNTIF($J$1:$J$2,$A631)&gt;0,"Y","N")</f>
        <v>Y</v>
      </c>
    </row>
    <row r="632" customFormat="false" ht="15" hidden="false" customHeight="true" outlineLevel="0" collapsed="false">
      <c r="A632" s="8" t="s">
        <v>43</v>
      </c>
      <c r="B632" s="8" t="s">
        <v>146</v>
      </c>
      <c r="C632" s="8" t="s">
        <v>146</v>
      </c>
      <c r="D632" s="19" t="n">
        <v>1</v>
      </c>
      <c r="E632" s="19" t="n">
        <v>203.38</v>
      </c>
      <c r="F632" s="19" t="n">
        <v>0</v>
      </c>
      <c r="G632" s="19" t="n">
        <v>0</v>
      </c>
      <c r="H632" s="8" t="str">
        <f aca="false">IF(COUNTIF($J$1:$J$2,$A632)&gt;0,"Y","N")</f>
        <v>Y</v>
      </c>
    </row>
    <row r="633" customFormat="false" ht="15" hidden="false" customHeight="true" outlineLevel="0" collapsed="false">
      <c r="A633" s="8" t="s">
        <v>43</v>
      </c>
      <c r="B633" s="8" t="s">
        <v>399</v>
      </c>
      <c r="C633" s="8" t="s">
        <v>399</v>
      </c>
      <c r="D633" s="19" t="n">
        <v>0</v>
      </c>
      <c r="E633" s="19" t="n">
        <v>0</v>
      </c>
      <c r="F633" s="19" t="n">
        <v>1.26315789473684</v>
      </c>
      <c r="G633" s="19" t="n">
        <v>417.953684210526</v>
      </c>
      <c r="H633" s="8" t="str">
        <f aca="false">IF(COUNTIF($J$1:$J$2,$A633)&gt;0,"Y","N")</f>
        <v>Y</v>
      </c>
    </row>
    <row r="634" customFormat="false" ht="15" hidden="false" customHeight="true" outlineLevel="0" collapsed="false">
      <c r="A634" s="8" t="s">
        <v>43</v>
      </c>
      <c r="B634" s="8" t="s">
        <v>84</v>
      </c>
      <c r="C634" s="8" t="s">
        <v>84</v>
      </c>
      <c r="D634" s="19" t="n">
        <v>2</v>
      </c>
      <c r="E634" s="19" t="n">
        <v>61.78</v>
      </c>
      <c r="F634" s="19" t="n">
        <v>1.26315789473684</v>
      </c>
      <c r="G634" s="19" t="n">
        <v>39.0189473684211</v>
      </c>
      <c r="H634" s="8" t="str">
        <f aca="false">IF(COUNTIF($J$1:$J$2,$A634)&gt;0,"Y","N")</f>
        <v>Y</v>
      </c>
    </row>
    <row r="635" customFormat="false" ht="15" hidden="false" customHeight="true" outlineLevel="0" collapsed="false">
      <c r="A635" s="8" t="s">
        <v>43</v>
      </c>
      <c r="B635" s="8" t="s">
        <v>314</v>
      </c>
      <c r="C635" s="8" t="s">
        <v>314</v>
      </c>
      <c r="D635" s="19" t="n">
        <v>0</v>
      </c>
      <c r="E635" s="19" t="n">
        <v>0</v>
      </c>
      <c r="F635" s="19" t="n">
        <v>2.52631578947368</v>
      </c>
      <c r="G635" s="19" t="n">
        <v>143.166315789474</v>
      </c>
      <c r="H635" s="8" t="str">
        <f aca="false">IF(COUNTIF($J$1:$J$2,$A635)&gt;0,"Y","N")</f>
        <v>Y</v>
      </c>
    </row>
    <row r="636" customFormat="false" ht="15" hidden="false" customHeight="true" outlineLevel="0" collapsed="false">
      <c r="A636" s="8" t="s">
        <v>43</v>
      </c>
      <c r="B636" s="8" t="s">
        <v>374</v>
      </c>
      <c r="C636" s="8" t="s">
        <v>374</v>
      </c>
      <c r="D636" s="19" t="n">
        <v>4</v>
      </c>
      <c r="E636" s="19" t="n">
        <v>226.69</v>
      </c>
      <c r="F636" s="19" t="n">
        <v>0</v>
      </c>
      <c r="G636" s="19" t="n">
        <v>0</v>
      </c>
      <c r="H636" s="8" t="str">
        <f aca="false">IF(COUNTIF($J$1:$J$2,$A636)&gt;0,"Y","N")</f>
        <v>Y</v>
      </c>
    </row>
    <row r="637" customFormat="false" ht="15" hidden="false" customHeight="true" outlineLevel="0" collapsed="false">
      <c r="A637" s="8" t="s">
        <v>43</v>
      </c>
      <c r="B637" s="8" t="s">
        <v>208</v>
      </c>
      <c r="C637" s="8" t="s">
        <v>208</v>
      </c>
      <c r="D637" s="19" t="n">
        <v>2</v>
      </c>
      <c r="E637" s="19" t="n">
        <v>228.54</v>
      </c>
      <c r="F637" s="19" t="n">
        <v>1.26315789473684</v>
      </c>
      <c r="G637" s="19" t="n">
        <v>168.682105263158</v>
      </c>
      <c r="H637" s="8" t="str">
        <f aca="false">IF(COUNTIF($J$1:$J$2,$A637)&gt;0,"Y","N")</f>
        <v>Y</v>
      </c>
    </row>
    <row r="638" customFormat="false" ht="15" hidden="false" customHeight="true" outlineLevel="0" collapsed="false">
      <c r="A638" s="8" t="s">
        <v>43</v>
      </c>
      <c r="B638" s="8" t="s">
        <v>242</v>
      </c>
      <c r="C638" s="8" t="s">
        <v>242</v>
      </c>
      <c r="D638" s="19" t="n">
        <v>1</v>
      </c>
      <c r="E638" s="19" t="n">
        <v>133.54</v>
      </c>
      <c r="F638" s="19" t="n">
        <v>0</v>
      </c>
      <c r="G638" s="19" t="n">
        <v>0</v>
      </c>
      <c r="H638" s="8" t="str">
        <f aca="false">IF(COUNTIF($J$1:$J$2,$A638)&gt;0,"Y","N")</f>
        <v>Y</v>
      </c>
    </row>
    <row r="639" customFormat="false" ht="15" hidden="false" customHeight="true" outlineLevel="0" collapsed="false">
      <c r="A639" s="8" t="s">
        <v>43</v>
      </c>
      <c r="B639" s="8" t="s">
        <v>312</v>
      </c>
      <c r="C639" s="8" t="s">
        <v>312</v>
      </c>
      <c r="D639" s="19" t="n">
        <v>0</v>
      </c>
      <c r="E639" s="19" t="n">
        <v>0</v>
      </c>
      <c r="F639" s="19" t="n">
        <v>1.26315789473684</v>
      </c>
      <c r="G639" s="19" t="n">
        <v>168.682105263158</v>
      </c>
      <c r="H639" s="8" t="str">
        <f aca="false">IF(COUNTIF($J$1:$J$2,$A639)&gt;0,"Y","N")</f>
        <v>Y</v>
      </c>
    </row>
    <row r="640" customFormat="false" ht="15" hidden="false" customHeight="true" outlineLevel="0" collapsed="false">
      <c r="A640" s="8" t="s">
        <v>43</v>
      </c>
      <c r="B640" s="8" t="s">
        <v>209</v>
      </c>
      <c r="C640" s="8" t="s">
        <v>209</v>
      </c>
      <c r="D640" s="19" t="n">
        <v>0</v>
      </c>
      <c r="E640" s="19" t="n">
        <v>0</v>
      </c>
      <c r="F640" s="19" t="n">
        <v>2.52631578947368</v>
      </c>
      <c r="G640" s="19" t="n">
        <v>280.522105263158</v>
      </c>
      <c r="H640" s="8" t="str">
        <f aca="false">IF(COUNTIF($J$1:$J$2,$A640)&gt;0,"Y","N")</f>
        <v>Y</v>
      </c>
    </row>
    <row r="641" customFormat="false" ht="15" hidden="false" customHeight="true" outlineLevel="0" collapsed="false">
      <c r="A641" s="8" t="s">
        <v>43</v>
      </c>
      <c r="B641" s="8" t="s">
        <v>160</v>
      </c>
      <c r="C641" s="8" t="s">
        <v>160</v>
      </c>
      <c r="D641" s="19" t="n">
        <v>2</v>
      </c>
      <c r="E641" s="19" t="n">
        <v>180.04</v>
      </c>
      <c r="F641" s="19" t="n">
        <v>3.78947368421053</v>
      </c>
      <c r="G641" s="19" t="n">
        <v>420.77052631579</v>
      </c>
      <c r="H641" s="8" t="str">
        <f aca="false">IF(COUNTIF($J$1:$J$2,$A641)&gt;0,"Y","N")</f>
        <v>Y</v>
      </c>
    </row>
    <row r="642" customFormat="false" ht="15" hidden="false" customHeight="true" outlineLevel="0" collapsed="false">
      <c r="A642" s="8" t="s">
        <v>43</v>
      </c>
      <c r="B642" s="8" t="s">
        <v>210</v>
      </c>
      <c r="C642" s="8" t="s">
        <v>210</v>
      </c>
      <c r="D642" s="19" t="n">
        <v>1</v>
      </c>
      <c r="E642" s="19" t="n">
        <v>80.32</v>
      </c>
      <c r="F642" s="19" t="n">
        <v>2.52631578947368</v>
      </c>
      <c r="G642" s="19" t="n">
        <v>213.018947368421</v>
      </c>
      <c r="H642" s="8" t="str">
        <f aca="false">IF(COUNTIF($J$1:$J$2,$A642)&gt;0,"Y","N")</f>
        <v>Y</v>
      </c>
    </row>
    <row r="643" customFormat="false" ht="15" hidden="false" customHeight="true" outlineLevel="0" collapsed="false">
      <c r="A643" s="8" t="s">
        <v>43</v>
      </c>
      <c r="B643" s="8" t="s">
        <v>230</v>
      </c>
      <c r="C643" s="8" t="s">
        <v>230</v>
      </c>
      <c r="D643" s="19" t="n">
        <v>3</v>
      </c>
      <c r="E643" s="19" t="n">
        <v>252.96</v>
      </c>
      <c r="F643" s="19" t="n">
        <v>1.26315789473684</v>
      </c>
      <c r="G643" s="19" t="n">
        <v>106.509473684211</v>
      </c>
      <c r="H643" s="8" t="str">
        <f aca="false">IF(COUNTIF($J$1:$J$2,$A643)&gt;0,"Y","N")</f>
        <v>Y</v>
      </c>
    </row>
    <row r="644" customFormat="false" ht="15" hidden="false" customHeight="true" outlineLevel="0" collapsed="false">
      <c r="A644" s="8" t="s">
        <v>43</v>
      </c>
      <c r="B644" s="8" t="s">
        <v>172</v>
      </c>
      <c r="C644" s="8" t="s">
        <v>172</v>
      </c>
      <c r="D644" s="19" t="n">
        <v>0</v>
      </c>
      <c r="E644" s="19" t="n">
        <v>0</v>
      </c>
      <c r="F644" s="19" t="n">
        <v>3.78947368421053</v>
      </c>
      <c r="G644" s="19" t="n">
        <v>319.528421052632</v>
      </c>
      <c r="H644" s="8" t="str">
        <f aca="false">IF(COUNTIF($J$1:$J$2,$A644)&gt;0,"Y","N")</f>
        <v>Y</v>
      </c>
    </row>
    <row r="645" customFormat="false" ht="15" hidden="false" customHeight="true" outlineLevel="0" collapsed="false">
      <c r="A645" s="8" t="s">
        <v>43</v>
      </c>
      <c r="B645" s="8" t="s">
        <v>400</v>
      </c>
      <c r="C645" s="8" t="s">
        <v>400</v>
      </c>
      <c r="D645" s="19" t="n">
        <v>0</v>
      </c>
      <c r="E645" s="19" t="n">
        <v>0</v>
      </c>
      <c r="F645" s="19" t="n">
        <v>1.26315789473684</v>
      </c>
      <c r="G645" s="19" t="n">
        <v>236.778947368421</v>
      </c>
      <c r="H645" s="8" t="str">
        <f aca="false">IF(COUNTIF($J$1:$J$2,$A645)&gt;0,"Y","N")</f>
        <v>Y</v>
      </c>
    </row>
    <row r="646" customFormat="false" ht="15" hidden="false" customHeight="true" outlineLevel="0" collapsed="false">
      <c r="A646" s="8" t="s">
        <v>43</v>
      </c>
      <c r="B646" s="8" t="s">
        <v>96</v>
      </c>
      <c r="C646" s="8" t="s">
        <v>96</v>
      </c>
      <c r="D646" s="19" t="n">
        <v>1</v>
      </c>
      <c r="E646" s="19" t="n">
        <v>66.51</v>
      </c>
      <c r="F646" s="19" t="n">
        <v>0</v>
      </c>
      <c r="G646" s="19" t="n">
        <v>0</v>
      </c>
      <c r="H646" s="8" t="str">
        <f aca="false">IF(COUNTIF($J$1:$J$2,$A646)&gt;0,"Y","N")</f>
        <v>Y</v>
      </c>
    </row>
    <row r="647" customFormat="false" ht="15" hidden="false" customHeight="true" outlineLevel="0" collapsed="false">
      <c r="A647" s="8" t="s">
        <v>43</v>
      </c>
      <c r="B647" s="8" t="s">
        <v>157</v>
      </c>
      <c r="C647" s="8" t="s">
        <v>157</v>
      </c>
      <c r="D647" s="19" t="n">
        <v>0</v>
      </c>
      <c r="E647" s="19" t="n">
        <v>0</v>
      </c>
      <c r="F647" s="19" t="n">
        <v>1.26315789473684</v>
      </c>
      <c r="G647" s="19" t="n">
        <v>84.0126315789474</v>
      </c>
      <c r="H647" s="8" t="str">
        <f aca="false">IF(COUNTIF($J$1:$J$2,$A647)&gt;0,"Y","N")</f>
        <v>Y</v>
      </c>
    </row>
    <row r="648" customFormat="false" ht="15" hidden="false" customHeight="true" outlineLevel="0" collapsed="false">
      <c r="A648" s="8" t="s">
        <v>43</v>
      </c>
      <c r="B648" s="8" t="s">
        <v>45</v>
      </c>
      <c r="C648" s="8" t="s">
        <v>45</v>
      </c>
      <c r="D648" s="19" t="n">
        <v>108</v>
      </c>
      <c r="E648" s="19" t="n">
        <v>13580.19</v>
      </c>
      <c r="F648" s="19" t="n">
        <v>64.421052631579</v>
      </c>
      <c r="G648" s="19" t="n">
        <v>10731.1705263158</v>
      </c>
      <c r="H648" s="8" t="str">
        <f aca="false">IF(COUNTIF($J$1:$J$2,$A648)&gt;0,"Y","N")</f>
        <v>Y</v>
      </c>
    </row>
    <row r="649" customFormat="false" ht="15" hidden="false" customHeight="true" outlineLevel="0" collapsed="false">
      <c r="A649" s="8" t="s">
        <v>43</v>
      </c>
      <c r="B649" s="8" t="s">
        <v>119</v>
      </c>
      <c r="C649" s="8" t="s">
        <v>119</v>
      </c>
      <c r="D649" s="19" t="n">
        <v>0</v>
      </c>
      <c r="E649" s="19" t="n">
        <v>0</v>
      </c>
      <c r="F649" s="19" t="n">
        <v>3.78947368421053</v>
      </c>
      <c r="G649" s="19" t="n">
        <v>0</v>
      </c>
      <c r="H649" s="8" t="str">
        <f aca="false">IF(COUNTIF($J$1:$J$2,$A649)&gt;0,"Y","N")</f>
        <v>Y</v>
      </c>
    </row>
    <row r="650" customFormat="false" ht="15" hidden="false" customHeight="true" outlineLevel="0" collapsed="false">
      <c r="A650" s="8" t="s">
        <v>43</v>
      </c>
      <c r="B650" s="8" t="s">
        <v>410</v>
      </c>
      <c r="C650" s="8" t="s">
        <v>410</v>
      </c>
      <c r="D650" s="19" t="n">
        <v>1</v>
      </c>
      <c r="E650" s="19" t="n">
        <v>472.68</v>
      </c>
      <c r="F650" s="19" t="n">
        <v>0</v>
      </c>
      <c r="G650" s="19" t="n">
        <v>0</v>
      </c>
      <c r="H650" s="8" t="str">
        <f aca="false">IF(COUNTIF($J$1:$J$2,$A650)&gt;0,"Y","N")</f>
        <v>Y</v>
      </c>
    </row>
    <row r="651" customFormat="false" ht="15" hidden="false" customHeight="true" outlineLevel="0" collapsed="false">
      <c r="A651" s="8" t="s">
        <v>43</v>
      </c>
      <c r="B651" s="8" t="s">
        <v>434</v>
      </c>
      <c r="C651" s="8" t="s">
        <v>434</v>
      </c>
      <c r="D651" s="19" t="n">
        <v>1</v>
      </c>
      <c r="E651" s="19" t="n">
        <v>472.7</v>
      </c>
      <c r="F651" s="19" t="n">
        <v>0</v>
      </c>
      <c r="G651" s="19" t="n">
        <v>0</v>
      </c>
      <c r="H651" s="8" t="str">
        <f aca="false">IF(COUNTIF($J$1:$J$2,$A651)&gt;0,"Y","N")</f>
        <v>Y</v>
      </c>
    </row>
    <row r="652" customFormat="false" ht="15" hidden="false" customHeight="true" outlineLevel="0" collapsed="false">
      <c r="A652" s="8" t="s">
        <v>43</v>
      </c>
      <c r="B652" s="8" t="s">
        <v>436</v>
      </c>
      <c r="C652" s="8" t="s">
        <v>436</v>
      </c>
      <c r="D652" s="19" t="n">
        <v>1</v>
      </c>
      <c r="E652" s="19" t="n">
        <v>472.9</v>
      </c>
      <c r="F652" s="19" t="n">
        <v>0</v>
      </c>
      <c r="G652" s="19" t="n">
        <v>0</v>
      </c>
      <c r="H652" s="8" t="str">
        <f aca="false">IF(COUNTIF($J$1:$J$2,$A652)&gt;0,"Y","N")</f>
        <v>Y</v>
      </c>
    </row>
    <row r="653" customFormat="false" ht="15" hidden="false" customHeight="true" outlineLevel="0" collapsed="false">
      <c r="A653" s="8" t="s">
        <v>43</v>
      </c>
      <c r="B653" s="8" t="s">
        <v>461</v>
      </c>
      <c r="C653" s="8" t="s">
        <v>461</v>
      </c>
      <c r="D653" s="19" t="n">
        <v>1</v>
      </c>
      <c r="E653" s="19" t="n">
        <v>165.41</v>
      </c>
      <c r="F653" s="19" t="n">
        <v>0</v>
      </c>
      <c r="G653" s="19" t="n">
        <v>0</v>
      </c>
      <c r="H653" s="8" t="str">
        <f aca="false">IF(COUNTIF($J$1:$J$2,$A653)&gt;0,"Y","N")</f>
        <v>Y</v>
      </c>
    </row>
    <row r="654" customFormat="false" ht="15" hidden="false" customHeight="true" outlineLevel="0" collapsed="false">
      <c r="A654" s="8" t="s">
        <v>43</v>
      </c>
      <c r="B654" s="8" t="s">
        <v>62</v>
      </c>
      <c r="C654" s="8" t="s">
        <v>62</v>
      </c>
      <c r="D654" s="19" t="n">
        <v>1</v>
      </c>
      <c r="E654" s="19" t="n">
        <v>140.24</v>
      </c>
      <c r="F654" s="19" t="n">
        <v>0</v>
      </c>
      <c r="G654" s="19" t="n">
        <v>0</v>
      </c>
      <c r="H654" s="8" t="str">
        <f aca="false">IF(COUNTIF($J$1:$J$2,$A654)&gt;0,"Y","N")</f>
        <v>Y</v>
      </c>
    </row>
    <row r="655" customFormat="false" ht="15" hidden="false" customHeight="true" outlineLevel="0" collapsed="false">
      <c r="A655" s="8" t="s">
        <v>43</v>
      </c>
      <c r="B655" s="8" t="s">
        <v>488</v>
      </c>
      <c r="C655" s="8" t="s">
        <v>488</v>
      </c>
      <c r="D655" s="19" t="n">
        <v>-1</v>
      </c>
      <c r="E655" s="19" t="n">
        <v>-37.77</v>
      </c>
      <c r="F655" s="19" t="n">
        <v>0</v>
      </c>
      <c r="G655" s="19" t="n">
        <v>0</v>
      </c>
      <c r="H655" s="8" t="str">
        <f aca="false">IF(COUNTIF($J$1:$J$2,$A655)&gt;0,"Y","N")</f>
        <v>Y</v>
      </c>
    </row>
    <row r="656" customFormat="false" ht="15" hidden="false" customHeight="true" outlineLevel="0" collapsed="false">
      <c r="A656" s="8" t="s">
        <v>43</v>
      </c>
      <c r="B656" s="8" t="s">
        <v>57</v>
      </c>
      <c r="C656" s="8" t="s">
        <v>57</v>
      </c>
      <c r="D656" s="19" t="n">
        <v>17</v>
      </c>
      <c r="E656" s="19" t="n">
        <v>511.6</v>
      </c>
      <c r="F656" s="19" t="n">
        <v>6.31578947368421</v>
      </c>
      <c r="G656" s="19" t="n">
        <v>172.117894736842</v>
      </c>
      <c r="H656" s="8" t="str">
        <f aca="false">IF(COUNTIF($J$1:$J$2,$A656)&gt;0,"Y","N")</f>
        <v>Y</v>
      </c>
    </row>
    <row r="657" customFormat="false" ht="15" hidden="false" customHeight="true" outlineLevel="0" collapsed="false">
      <c r="A657" s="8" t="s">
        <v>43</v>
      </c>
      <c r="B657" s="8" t="s">
        <v>72</v>
      </c>
      <c r="C657" s="8" t="s">
        <v>72</v>
      </c>
      <c r="D657" s="19" t="n">
        <v>0</v>
      </c>
      <c r="E657" s="19" t="n">
        <v>0</v>
      </c>
      <c r="F657" s="19" t="n">
        <v>1.26315789473684</v>
      </c>
      <c r="G657" s="19" t="n">
        <v>442.105263157895</v>
      </c>
      <c r="H657" s="8" t="str">
        <f aca="false">IF(COUNTIF($J$1:$J$2,$A657)&gt;0,"Y","N")</f>
        <v>Y</v>
      </c>
    </row>
    <row r="658" customFormat="false" ht="15" hidden="false" customHeight="true" outlineLevel="0" collapsed="false">
      <c r="A658" s="8" t="s">
        <v>43</v>
      </c>
      <c r="B658" s="8" t="s">
        <v>266</v>
      </c>
      <c r="C658" s="8" t="s">
        <v>266</v>
      </c>
      <c r="D658" s="19" t="n">
        <v>2</v>
      </c>
      <c r="E658" s="19" t="n">
        <v>140.54</v>
      </c>
      <c r="F658" s="19" t="n">
        <v>0</v>
      </c>
      <c r="G658" s="19" t="n">
        <v>0</v>
      </c>
      <c r="H658" s="8" t="str">
        <f aca="false">IF(COUNTIF($J$1:$J$2,$A658)&gt;0,"Y","N")</f>
        <v>Y</v>
      </c>
    </row>
    <row r="659" customFormat="false" ht="15" hidden="false" customHeight="true" outlineLevel="0" collapsed="false">
      <c r="A659" s="8" t="s">
        <v>43</v>
      </c>
      <c r="B659" s="8" t="s">
        <v>512</v>
      </c>
      <c r="C659" s="8" t="s">
        <v>512</v>
      </c>
      <c r="D659" s="19" t="n">
        <v>2</v>
      </c>
      <c r="E659" s="19" t="n">
        <v>140.52</v>
      </c>
      <c r="F659" s="19" t="n">
        <v>0</v>
      </c>
      <c r="G659" s="19" t="n">
        <v>0</v>
      </c>
      <c r="H659" s="8" t="str">
        <f aca="false">IF(COUNTIF($J$1:$J$2,$A659)&gt;0,"Y","N")</f>
        <v>Y</v>
      </c>
    </row>
    <row r="660" customFormat="false" ht="15" hidden="false" customHeight="true" outlineLevel="0" collapsed="false">
      <c r="A660" s="8" t="s">
        <v>43</v>
      </c>
      <c r="B660" s="8" t="s">
        <v>114</v>
      </c>
      <c r="C660" s="8" t="s">
        <v>114</v>
      </c>
      <c r="D660" s="19" t="n">
        <v>2</v>
      </c>
      <c r="E660" s="19" t="n">
        <v>215.52</v>
      </c>
      <c r="F660" s="19" t="n">
        <v>0</v>
      </c>
      <c r="G660" s="19" t="n">
        <v>0</v>
      </c>
      <c r="H660" s="8" t="str">
        <f aca="false">IF(COUNTIF($J$1:$J$2,$A660)&gt;0,"Y","N")</f>
        <v>Y</v>
      </c>
    </row>
    <row r="661" customFormat="false" ht="15" hidden="false" customHeight="true" outlineLevel="0" collapsed="false">
      <c r="A661" s="8" t="s">
        <v>43</v>
      </c>
      <c r="B661" s="8" t="s">
        <v>110</v>
      </c>
      <c r="C661" s="8" t="s">
        <v>110</v>
      </c>
      <c r="D661" s="19" t="n">
        <v>1</v>
      </c>
      <c r="E661" s="19" t="n">
        <v>107.76</v>
      </c>
      <c r="F661" s="19" t="n">
        <v>0</v>
      </c>
      <c r="G661" s="19" t="n">
        <v>0</v>
      </c>
      <c r="H661" s="8" t="str">
        <f aca="false">IF(COUNTIF($J$1:$J$2,$A661)&gt;0,"Y","N")</f>
        <v>Y</v>
      </c>
    </row>
    <row r="662" customFormat="false" ht="15" hidden="false" customHeight="true" outlineLevel="0" collapsed="false">
      <c r="A662" s="8" t="s">
        <v>43</v>
      </c>
      <c r="B662" s="8" t="s">
        <v>124</v>
      </c>
      <c r="C662" s="8" t="s">
        <v>124</v>
      </c>
      <c r="D662" s="19" t="n">
        <v>3</v>
      </c>
      <c r="E662" s="19" t="n">
        <v>283.89</v>
      </c>
      <c r="F662" s="19" t="n">
        <v>3.78947368421053</v>
      </c>
      <c r="G662" s="19" t="n">
        <v>358.610526315789</v>
      </c>
      <c r="H662" s="8" t="str">
        <f aca="false">IF(COUNTIF($J$1:$J$2,$A662)&gt;0,"Y","N")</f>
        <v>Y</v>
      </c>
    </row>
    <row r="663" customFormat="false" ht="15" hidden="false" customHeight="true" outlineLevel="0" collapsed="false">
      <c r="A663" s="8" t="s">
        <v>43</v>
      </c>
      <c r="B663" s="8" t="s">
        <v>262</v>
      </c>
      <c r="C663" s="8" t="s">
        <v>262</v>
      </c>
      <c r="D663" s="19" t="n">
        <v>4</v>
      </c>
      <c r="E663" s="19" t="n">
        <v>378.54</v>
      </c>
      <c r="F663" s="19" t="n">
        <v>2.52631578947368</v>
      </c>
      <c r="G663" s="19" t="n">
        <v>239.065263157895</v>
      </c>
      <c r="H663" s="8" t="str">
        <f aca="false">IF(COUNTIF($J$1:$J$2,$A663)&gt;0,"Y","N")</f>
        <v>Y</v>
      </c>
    </row>
    <row r="664" customFormat="false" ht="15" hidden="false" customHeight="true" outlineLevel="0" collapsed="false">
      <c r="A664" s="8" t="s">
        <v>43</v>
      </c>
      <c r="B664" s="8" t="s">
        <v>142</v>
      </c>
      <c r="C664" s="8" t="s">
        <v>142</v>
      </c>
      <c r="D664" s="19" t="n">
        <v>0</v>
      </c>
      <c r="E664" s="19" t="n">
        <v>0</v>
      </c>
      <c r="F664" s="19" t="n">
        <v>1.26315789473684</v>
      </c>
      <c r="G664" s="19" t="n">
        <v>119.532631578947</v>
      </c>
      <c r="H664" s="8" t="str">
        <f aca="false">IF(COUNTIF($J$1:$J$2,$A664)&gt;0,"Y","N")</f>
        <v>Y</v>
      </c>
    </row>
    <row r="665" customFormat="false" ht="15" hidden="false" customHeight="true" outlineLevel="0" collapsed="false">
      <c r="A665" s="8" t="s">
        <v>43</v>
      </c>
      <c r="B665" s="8" t="s">
        <v>158</v>
      </c>
      <c r="C665" s="8" t="s">
        <v>158</v>
      </c>
      <c r="D665" s="19" t="n">
        <v>0</v>
      </c>
      <c r="E665" s="19" t="n">
        <v>0</v>
      </c>
      <c r="F665" s="19" t="n">
        <v>1.26315789473684</v>
      </c>
      <c r="G665" s="19" t="n">
        <v>119.532631578947</v>
      </c>
      <c r="H665" s="8" t="str">
        <f aca="false">IF(COUNTIF($J$1:$J$2,$A665)&gt;0,"Y","N")</f>
        <v>Y</v>
      </c>
    </row>
    <row r="666" customFormat="false" ht="15" hidden="false" customHeight="true" outlineLevel="0" collapsed="false">
      <c r="A666" s="8" t="s">
        <v>43</v>
      </c>
      <c r="B666" s="8" t="s">
        <v>168</v>
      </c>
      <c r="C666" s="8" t="s">
        <v>168</v>
      </c>
      <c r="D666" s="19" t="n">
        <v>0</v>
      </c>
      <c r="E666" s="19" t="n">
        <v>0</v>
      </c>
      <c r="F666" s="19" t="n">
        <v>1.26315789473684</v>
      </c>
      <c r="G666" s="19" t="n">
        <v>149.216842105263</v>
      </c>
      <c r="H666" s="8" t="str">
        <f aca="false">IF(COUNTIF($J$1:$J$2,$A666)&gt;0,"Y","N")</f>
        <v>Y</v>
      </c>
    </row>
    <row r="667" customFormat="false" ht="15" hidden="false" customHeight="true" outlineLevel="0" collapsed="false">
      <c r="A667" s="8" t="s">
        <v>43</v>
      </c>
      <c r="B667" s="8" t="s">
        <v>188</v>
      </c>
      <c r="C667" s="8" t="s">
        <v>188</v>
      </c>
      <c r="D667" s="19" t="n">
        <v>0</v>
      </c>
      <c r="E667" s="19" t="n">
        <v>0</v>
      </c>
      <c r="F667" s="19" t="n">
        <v>2.52631578947368</v>
      </c>
      <c r="G667" s="19" t="n">
        <v>298.433684210526</v>
      </c>
      <c r="H667" s="8" t="str">
        <f aca="false">IF(COUNTIF($J$1:$J$2,$A667)&gt;0,"Y","N")</f>
        <v>Y</v>
      </c>
    </row>
    <row r="668" customFormat="false" ht="15" hidden="false" customHeight="true" outlineLevel="0" collapsed="false">
      <c r="A668" s="8" t="s">
        <v>48</v>
      </c>
      <c r="B668" s="8" t="n">
        <v>4401000</v>
      </c>
      <c r="C668" s="8" t="s">
        <v>1178</v>
      </c>
      <c r="D668" s="19" t="n">
        <v>234</v>
      </c>
      <c r="E668" s="19" t="n">
        <v>3790.8</v>
      </c>
      <c r="F668" s="19" t="n">
        <v>144</v>
      </c>
      <c r="G668" s="19" t="n">
        <v>2085.50905263158</v>
      </c>
      <c r="H668" s="8" t="str">
        <f aca="false">IF(COUNTIF($J$1:$J$2,$A668)&gt;0,"Y","N")</f>
        <v>Y</v>
      </c>
    </row>
    <row r="669" customFormat="false" ht="15" hidden="false" customHeight="true" outlineLevel="0" collapsed="false">
      <c r="A669" s="8" t="s">
        <v>48</v>
      </c>
      <c r="B669" s="8" t="n">
        <v>4401001</v>
      </c>
      <c r="C669" s="8" t="s">
        <v>1179</v>
      </c>
      <c r="D669" s="19" t="n">
        <v>336</v>
      </c>
      <c r="E669" s="19" t="n">
        <v>5987.52</v>
      </c>
      <c r="F669" s="19" t="n">
        <v>285.473684210526</v>
      </c>
      <c r="G669" s="19" t="n">
        <v>4866.80084210526</v>
      </c>
      <c r="H669" s="8" t="str">
        <f aca="false">IF(COUNTIF($J$1:$J$2,$A669)&gt;0,"Y","N")</f>
        <v>Y</v>
      </c>
    </row>
    <row r="670" customFormat="false" ht="15" hidden="false" customHeight="true" outlineLevel="0" collapsed="false">
      <c r="A670" s="8" t="s">
        <v>48</v>
      </c>
      <c r="B670" s="8" t="n">
        <v>4401002</v>
      </c>
      <c r="C670" s="8" t="s">
        <v>1180</v>
      </c>
      <c r="D670" s="19" t="n">
        <v>335</v>
      </c>
      <c r="E670" s="19" t="n">
        <v>1946.35</v>
      </c>
      <c r="F670" s="19" t="n">
        <v>248.842105263158</v>
      </c>
      <c r="G670" s="19" t="n">
        <v>1319.472</v>
      </c>
      <c r="H670" s="8" t="str">
        <f aca="false">IF(COUNTIF($J$1:$J$2,$A670)&gt;0,"Y","N")</f>
        <v>Y</v>
      </c>
    </row>
    <row r="671" customFormat="false" ht="15" hidden="false" customHeight="true" outlineLevel="0" collapsed="false">
      <c r="A671" s="8" t="s">
        <v>48</v>
      </c>
      <c r="B671" s="8" t="n">
        <v>4402000</v>
      </c>
      <c r="C671" s="8" t="s">
        <v>1185</v>
      </c>
      <c r="D671" s="19" t="n">
        <v>154</v>
      </c>
      <c r="E671" s="19" t="n">
        <v>2671.9</v>
      </c>
      <c r="F671" s="19" t="n">
        <v>84.6315789473684</v>
      </c>
      <c r="G671" s="19" t="n">
        <v>1337.65894736842</v>
      </c>
      <c r="H671" s="8" t="str">
        <f aca="false">IF(COUNTIF($J$1:$J$2,$A671)&gt;0,"Y","N")</f>
        <v>Y</v>
      </c>
    </row>
    <row r="672" customFormat="false" ht="15" hidden="false" customHeight="true" outlineLevel="0" collapsed="false">
      <c r="A672" s="8" t="s">
        <v>48</v>
      </c>
      <c r="B672" s="8" t="n">
        <v>4402007</v>
      </c>
      <c r="C672" s="8" t="s">
        <v>1186</v>
      </c>
      <c r="D672" s="19" t="n">
        <v>163</v>
      </c>
      <c r="E672" s="19" t="n">
        <v>2089.66</v>
      </c>
      <c r="F672" s="19" t="n">
        <v>141.473684210526</v>
      </c>
      <c r="G672" s="19" t="n">
        <v>1630.056</v>
      </c>
      <c r="H672" s="8" t="str">
        <f aca="false">IF(COUNTIF($J$1:$J$2,$A672)&gt;0,"Y","N")</f>
        <v>Y</v>
      </c>
    </row>
    <row r="673" customFormat="false" ht="15" hidden="false" customHeight="true" outlineLevel="0" collapsed="false">
      <c r="A673" s="8" t="s">
        <v>48</v>
      </c>
      <c r="B673" s="8" t="n">
        <v>4402011</v>
      </c>
      <c r="C673" s="8" t="s">
        <v>1752</v>
      </c>
      <c r="D673" s="19" t="n">
        <v>145</v>
      </c>
      <c r="E673" s="19" t="n">
        <v>7757.5</v>
      </c>
      <c r="F673" s="19" t="n">
        <v>132.631578947368</v>
      </c>
      <c r="G673" s="19" t="n">
        <v>6616.79494736842</v>
      </c>
      <c r="H673" s="8" t="str">
        <f aca="false">IF(COUNTIF($J$1:$J$2,$A673)&gt;0,"Y","N")</f>
        <v>Y</v>
      </c>
    </row>
    <row r="674" customFormat="false" ht="15" hidden="false" customHeight="true" outlineLevel="0" collapsed="false">
      <c r="A674" s="8" t="s">
        <v>48</v>
      </c>
      <c r="B674" s="8" t="n">
        <v>4403000</v>
      </c>
      <c r="C674" s="8" t="s">
        <v>1187</v>
      </c>
      <c r="D674" s="19" t="n">
        <v>2</v>
      </c>
      <c r="E674" s="19" t="n">
        <v>47.2</v>
      </c>
      <c r="F674" s="19" t="n">
        <v>16.4210526315789</v>
      </c>
      <c r="G674" s="19" t="n">
        <v>375.389052631579</v>
      </c>
      <c r="H674" s="8" t="str">
        <f aca="false">IF(COUNTIF($J$1:$J$2,$A674)&gt;0,"Y","N")</f>
        <v>Y</v>
      </c>
    </row>
    <row r="675" customFormat="false" ht="15" hidden="false" customHeight="true" outlineLevel="0" collapsed="false">
      <c r="A675" s="8" t="s">
        <v>48</v>
      </c>
      <c r="B675" s="8" t="n">
        <v>4403001</v>
      </c>
      <c r="C675" s="8" t="s">
        <v>1188</v>
      </c>
      <c r="D675" s="19" t="n">
        <v>40</v>
      </c>
      <c r="E675" s="19" t="n">
        <v>944</v>
      </c>
      <c r="F675" s="19" t="n">
        <v>29.0526315789474</v>
      </c>
      <c r="G675" s="19" t="n">
        <v>635.634947368421</v>
      </c>
      <c r="H675" s="8" t="str">
        <f aca="false">IF(COUNTIF($J$1:$J$2,$A675)&gt;0,"Y","N")</f>
        <v>Y</v>
      </c>
    </row>
    <row r="676" customFormat="false" ht="15" hidden="false" customHeight="true" outlineLevel="0" collapsed="false">
      <c r="A676" s="8" t="s">
        <v>48</v>
      </c>
      <c r="B676" s="8" t="n">
        <v>4403002</v>
      </c>
      <c r="C676" s="8" t="s">
        <v>1189</v>
      </c>
      <c r="D676" s="19" t="n">
        <v>43</v>
      </c>
      <c r="E676" s="19" t="n">
        <v>1014.8</v>
      </c>
      <c r="F676" s="19" t="n">
        <v>98.5263157894737</v>
      </c>
      <c r="G676" s="19" t="n">
        <v>2276.928</v>
      </c>
      <c r="H676" s="8" t="str">
        <f aca="false">IF(COUNTIF($J$1:$J$2,$A676)&gt;0,"Y","N")</f>
        <v>Y</v>
      </c>
    </row>
    <row r="677" customFormat="false" ht="15" hidden="false" customHeight="true" outlineLevel="0" collapsed="false">
      <c r="A677" s="8" t="s">
        <v>48</v>
      </c>
      <c r="B677" s="8" t="n">
        <v>4403003</v>
      </c>
      <c r="C677" s="8" t="s">
        <v>1190</v>
      </c>
      <c r="D677" s="19" t="n">
        <v>7</v>
      </c>
      <c r="E677" s="19" t="n">
        <v>165.2</v>
      </c>
      <c r="F677" s="19" t="n">
        <v>21.4736842105263</v>
      </c>
      <c r="G677" s="19" t="n">
        <v>493.364210526316</v>
      </c>
      <c r="H677" s="8" t="str">
        <f aca="false">IF(COUNTIF($J$1:$J$2,$A677)&gt;0,"Y","N")</f>
        <v>Y</v>
      </c>
    </row>
    <row r="678" customFormat="false" ht="15" hidden="false" customHeight="true" outlineLevel="0" collapsed="false">
      <c r="A678" s="8" t="s">
        <v>48</v>
      </c>
      <c r="B678" s="8" t="n">
        <v>4403005</v>
      </c>
      <c r="C678" s="8" t="s">
        <v>1192</v>
      </c>
      <c r="D678" s="19" t="n">
        <v>25</v>
      </c>
      <c r="E678" s="19" t="n">
        <v>590</v>
      </c>
      <c r="F678" s="19" t="n">
        <v>15.1578947368421</v>
      </c>
      <c r="G678" s="19" t="n">
        <v>329.331789473684</v>
      </c>
      <c r="H678" s="8" t="str">
        <f aca="false">IF(COUNTIF($J$1:$J$2,$A678)&gt;0,"Y","N")</f>
        <v>Y</v>
      </c>
    </row>
    <row r="679" customFormat="false" ht="15" hidden="false" customHeight="true" outlineLevel="0" collapsed="false">
      <c r="A679" s="8" t="s">
        <v>48</v>
      </c>
      <c r="B679" s="8" t="n">
        <v>4403006</v>
      </c>
      <c r="C679" s="8" t="s">
        <v>990</v>
      </c>
      <c r="D679" s="19" t="n">
        <v>3</v>
      </c>
      <c r="E679" s="19" t="n">
        <v>70.8</v>
      </c>
      <c r="F679" s="19" t="n">
        <v>5.05263157894737</v>
      </c>
      <c r="G679" s="19" t="n">
        <v>119.242105263158</v>
      </c>
      <c r="H679" s="8" t="str">
        <f aca="false">IF(COUNTIF($J$1:$J$2,$A679)&gt;0,"Y","N")</f>
        <v>Y</v>
      </c>
    </row>
    <row r="680" customFormat="false" ht="15" hidden="false" customHeight="true" outlineLevel="0" collapsed="false">
      <c r="A680" s="8" t="s">
        <v>48</v>
      </c>
      <c r="B680" s="8" t="n">
        <v>4403007</v>
      </c>
      <c r="C680" s="8" t="s">
        <v>657</v>
      </c>
      <c r="D680" s="19" t="n">
        <v>31</v>
      </c>
      <c r="E680" s="19" t="n">
        <v>731.6</v>
      </c>
      <c r="F680" s="19" t="n">
        <v>3.78947368421053</v>
      </c>
      <c r="G680" s="19" t="n">
        <v>89.4315789473684</v>
      </c>
      <c r="H680" s="8" t="str">
        <f aca="false">IF(COUNTIF($J$1:$J$2,$A680)&gt;0,"Y","N")</f>
        <v>Y</v>
      </c>
    </row>
    <row r="681" customFormat="false" ht="15" hidden="false" customHeight="true" outlineLevel="0" collapsed="false">
      <c r="A681" s="8" t="s">
        <v>48</v>
      </c>
      <c r="B681" s="8" t="n">
        <v>4403008</v>
      </c>
      <c r="C681" s="8" t="s">
        <v>796</v>
      </c>
      <c r="D681" s="19" t="n">
        <v>39</v>
      </c>
      <c r="E681" s="19" t="n">
        <v>920.4</v>
      </c>
      <c r="F681" s="19" t="n">
        <v>12.6315789473684</v>
      </c>
      <c r="G681" s="19" t="n">
        <v>298.105263157895</v>
      </c>
      <c r="H681" s="8" t="str">
        <f aca="false">IF(COUNTIF($J$1:$J$2,$A681)&gt;0,"Y","N")</f>
        <v>Y</v>
      </c>
    </row>
    <row r="682" customFormat="false" ht="15" hidden="false" customHeight="true" outlineLevel="0" collapsed="false">
      <c r="A682" s="8" t="s">
        <v>48</v>
      </c>
      <c r="B682" s="8" t="n">
        <v>4403017</v>
      </c>
      <c r="C682" s="8" t="s">
        <v>1196</v>
      </c>
      <c r="D682" s="19" t="n">
        <v>63</v>
      </c>
      <c r="E682" s="19" t="n">
        <v>1159.2</v>
      </c>
      <c r="F682" s="19" t="n">
        <v>12.6315789473684</v>
      </c>
      <c r="G682" s="19" t="n">
        <v>217.77852631579</v>
      </c>
      <c r="H682" s="8" t="str">
        <f aca="false">IF(COUNTIF($J$1:$J$2,$A682)&gt;0,"Y","N")</f>
        <v>Y</v>
      </c>
    </row>
    <row r="683" customFormat="false" ht="15" hidden="false" customHeight="true" outlineLevel="0" collapsed="false">
      <c r="A683" s="8" t="s">
        <v>48</v>
      </c>
      <c r="B683" s="8" t="n">
        <v>4403018</v>
      </c>
      <c r="C683" s="8" t="s">
        <v>659</v>
      </c>
      <c r="D683" s="19" t="n">
        <v>191</v>
      </c>
      <c r="E683" s="19" t="n">
        <v>3514.4</v>
      </c>
      <c r="F683" s="19" t="n">
        <v>25.2631578947368</v>
      </c>
      <c r="G683" s="19" t="n">
        <v>464.842105263158</v>
      </c>
      <c r="H683" s="8" t="str">
        <f aca="false">IF(COUNTIF($J$1:$J$2,$A683)&gt;0,"Y","N")</f>
        <v>Y</v>
      </c>
    </row>
    <row r="684" customFormat="false" ht="15" hidden="false" customHeight="true" outlineLevel="0" collapsed="false">
      <c r="A684" s="8" t="s">
        <v>48</v>
      </c>
      <c r="B684" s="8" t="n">
        <v>4403019</v>
      </c>
      <c r="C684" s="8" t="s">
        <v>1198</v>
      </c>
      <c r="D684" s="19" t="n">
        <v>206</v>
      </c>
      <c r="E684" s="19" t="n">
        <v>3790.4</v>
      </c>
      <c r="F684" s="19" t="n">
        <v>49.2631578947368</v>
      </c>
      <c r="G684" s="19" t="n">
        <v>868.789894736842</v>
      </c>
      <c r="H684" s="8" t="str">
        <f aca="false">IF(COUNTIF($J$1:$J$2,$A684)&gt;0,"Y","N")</f>
        <v>Y</v>
      </c>
    </row>
    <row r="685" customFormat="false" ht="15" hidden="false" customHeight="true" outlineLevel="0" collapsed="false">
      <c r="A685" s="8" t="s">
        <v>48</v>
      </c>
      <c r="B685" s="8" t="n">
        <v>4403023</v>
      </c>
      <c r="C685" s="8" t="s">
        <v>1202</v>
      </c>
      <c r="D685" s="19" t="n">
        <v>49</v>
      </c>
      <c r="E685" s="19" t="n">
        <v>901.6</v>
      </c>
      <c r="F685" s="19" t="n">
        <v>26.5263157894737</v>
      </c>
      <c r="G685" s="19" t="n">
        <v>473.441684210526</v>
      </c>
      <c r="H685" s="8" t="str">
        <f aca="false">IF(COUNTIF($J$1:$J$2,$A685)&gt;0,"Y","N")</f>
        <v>Y</v>
      </c>
    </row>
    <row r="686" customFormat="false" ht="15" hidden="false" customHeight="true" outlineLevel="0" collapsed="false">
      <c r="A686" s="8" t="s">
        <v>48</v>
      </c>
      <c r="B686" s="8" t="n">
        <v>4403024</v>
      </c>
      <c r="C686" s="8" t="s">
        <v>1203</v>
      </c>
      <c r="D686" s="19" t="n">
        <v>37</v>
      </c>
      <c r="E686" s="19" t="n">
        <v>680.8</v>
      </c>
      <c r="F686" s="19" t="n">
        <v>58.1052631578947</v>
      </c>
      <c r="G686" s="19" t="n">
        <v>1037.76</v>
      </c>
      <c r="H686" s="8" t="str">
        <f aca="false">IF(COUNTIF($J$1:$J$2,$A686)&gt;0,"Y","N")</f>
        <v>Y</v>
      </c>
    </row>
    <row r="687" customFormat="false" ht="15" hidden="false" customHeight="true" outlineLevel="0" collapsed="false">
      <c r="A687" s="8" t="s">
        <v>48</v>
      </c>
      <c r="B687" s="8" t="n">
        <v>4403025</v>
      </c>
      <c r="C687" s="8" t="s">
        <v>1204</v>
      </c>
      <c r="D687" s="19" t="n">
        <v>50</v>
      </c>
      <c r="E687" s="19" t="n">
        <v>920</v>
      </c>
      <c r="F687" s="19" t="n">
        <v>49.2631578947368</v>
      </c>
      <c r="G687" s="19" t="n">
        <v>866.698105263158</v>
      </c>
      <c r="H687" s="8" t="str">
        <f aca="false">IF(COUNTIF($J$1:$J$2,$A687)&gt;0,"Y","N")</f>
        <v>Y</v>
      </c>
    </row>
    <row r="688" customFormat="false" ht="15" hidden="false" customHeight="true" outlineLevel="0" collapsed="false">
      <c r="A688" s="8" t="s">
        <v>48</v>
      </c>
      <c r="B688" s="8" t="n">
        <v>4403029</v>
      </c>
      <c r="C688" s="8" t="s">
        <v>666</v>
      </c>
      <c r="D688" s="19" t="n">
        <v>312</v>
      </c>
      <c r="E688" s="19" t="n">
        <v>13044.72</v>
      </c>
      <c r="F688" s="19" t="n">
        <v>-2.52631578947368</v>
      </c>
      <c r="G688" s="19" t="n">
        <v>-105.625263157895</v>
      </c>
      <c r="H688" s="8" t="str">
        <f aca="false">IF(COUNTIF($J$1:$J$2,$A688)&gt;0,"Y","N")</f>
        <v>Y</v>
      </c>
    </row>
    <row r="689" customFormat="false" ht="15" hidden="false" customHeight="true" outlineLevel="0" collapsed="false">
      <c r="A689" s="8" t="s">
        <v>48</v>
      </c>
      <c r="B689" s="8" t="n">
        <v>4403041</v>
      </c>
      <c r="C689" s="8" t="s">
        <v>1211</v>
      </c>
      <c r="D689" s="19" t="n">
        <v>125</v>
      </c>
      <c r="E689" s="19" t="n">
        <v>5226.25</v>
      </c>
      <c r="F689" s="19" t="n">
        <v>125.052631578947</v>
      </c>
      <c r="G689" s="19" t="n">
        <v>4743.60757894737</v>
      </c>
      <c r="H689" s="8" t="str">
        <f aca="false">IF(COUNTIF($J$1:$J$2,$A689)&gt;0,"Y","N")</f>
        <v>Y</v>
      </c>
    </row>
    <row r="690" customFormat="false" ht="15" hidden="false" customHeight="true" outlineLevel="0" collapsed="false">
      <c r="A690" s="8" t="s">
        <v>48</v>
      </c>
      <c r="B690" s="8" t="n">
        <v>4403042</v>
      </c>
      <c r="C690" s="8" t="s">
        <v>1212</v>
      </c>
      <c r="D690" s="19" t="n">
        <v>0</v>
      </c>
      <c r="E690" s="19" t="n">
        <v>0</v>
      </c>
      <c r="F690" s="19" t="n">
        <v>185.684210526316</v>
      </c>
      <c r="G690" s="19" t="n">
        <v>7064.78021052632</v>
      </c>
      <c r="H690" s="8" t="str">
        <f aca="false">IF(COUNTIF($J$1:$J$2,$A690)&gt;0,"Y","N")</f>
        <v>Y</v>
      </c>
    </row>
    <row r="691" customFormat="false" ht="15" hidden="false" customHeight="true" outlineLevel="0" collapsed="false">
      <c r="A691" s="8" t="s">
        <v>48</v>
      </c>
      <c r="B691" s="8" t="n">
        <v>4403043</v>
      </c>
      <c r="C691" s="8" t="s">
        <v>1213</v>
      </c>
      <c r="D691" s="19" t="n">
        <v>284</v>
      </c>
      <c r="E691" s="19" t="n">
        <v>11874.04</v>
      </c>
      <c r="F691" s="19" t="n">
        <v>208.421052631579</v>
      </c>
      <c r="G691" s="19" t="n">
        <v>7487.68294736842</v>
      </c>
      <c r="H691" s="8" t="str">
        <f aca="false">IF(COUNTIF($J$1:$J$2,$A691)&gt;0,"Y","N")</f>
        <v>Y</v>
      </c>
    </row>
    <row r="692" customFormat="false" ht="15" hidden="false" customHeight="true" outlineLevel="0" collapsed="false">
      <c r="A692" s="8" t="s">
        <v>48</v>
      </c>
      <c r="B692" s="8" t="n">
        <v>4408014</v>
      </c>
      <c r="C692" s="8" t="s">
        <v>972</v>
      </c>
      <c r="D692" s="19" t="n">
        <v>6</v>
      </c>
      <c r="E692" s="19" t="n">
        <v>1053</v>
      </c>
      <c r="F692" s="19" t="n">
        <v>3.78947368421053</v>
      </c>
      <c r="G692" s="19" t="n">
        <v>665.052631578947</v>
      </c>
      <c r="H692" s="8" t="str">
        <f aca="false">IF(COUNTIF($J$1:$J$2,$A692)&gt;0,"Y","N")</f>
        <v>Y</v>
      </c>
    </row>
    <row r="693" customFormat="false" ht="15" hidden="false" customHeight="true" outlineLevel="0" collapsed="false">
      <c r="A693" s="8" t="s">
        <v>48</v>
      </c>
      <c r="B693" s="8" t="n">
        <v>4408015</v>
      </c>
      <c r="C693" s="8" t="s">
        <v>951</v>
      </c>
      <c r="D693" s="19" t="n">
        <v>64</v>
      </c>
      <c r="E693" s="19" t="n">
        <v>11232</v>
      </c>
      <c r="F693" s="19" t="n">
        <v>15.1578947368421</v>
      </c>
      <c r="G693" s="19" t="n">
        <v>2660.21052631579</v>
      </c>
      <c r="H693" s="8" t="str">
        <f aca="false">IF(COUNTIF($J$1:$J$2,$A693)&gt;0,"Y","N")</f>
        <v>Y</v>
      </c>
    </row>
    <row r="694" customFormat="false" ht="15" hidden="false" customHeight="true" outlineLevel="0" collapsed="false">
      <c r="A694" s="8" t="s">
        <v>48</v>
      </c>
      <c r="B694" s="8" t="n">
        <v>4408016</v>
      </c>
      <c r="C694" s="8" t="s">
        <v>952</v>
      </c>
      <c r="D694" s="19" t="n">
        <v>21</v>
      </c>
      <c r="E694" s="19" t="n">
        <v>3685.5</v>
      </c>
      <c r="F694" s="19" t="n">
        <v>5.05263157894737</v>
      </c>
      <c r="G694" s="19" t="n">
        <v>886.736842105263</v>
      </c>
      <c r="H694" s="8" t="str">
        <f aca="false">IF(COUNTIF($J$1:$J$2,$A694)&gt;0,"Y","N")</f>
        <v>Y</v>
      </c>
    </row>
    <row r="695" customFormat="false" ht="15" hidden="false" customHeight="true" outlineLevel="0" collapsed="false">
      <c r="A695" s="8" t="s">
        <v>48</v>
      </c>
      <c r="B695" s="8" t="n">
        <v>4408017</v>
      </c>
      <c r="C695" s="8" t="s">
        <v>953</v>
      </c>
      <c r="D695" s="19" t="n">
        <v>67</v>
      </c>
      <c r="E695" s="19" t="n">
        <v>11758.5</v>
      </c>
      <c r="F695" s="19" t="n">
        <v>13.8947368421053</v>
      </c>
      <c r="G695" s="19" t="n">
        <v>2438.52631578947</v>
      </c>
      <c r="H695" s="8" t="str">
        <f aca="false">IF(COUNTIF($J$1:$J$2,$A695)&gt;0,"Y","N")</f>
        <v>Y</v>
      </c>
    </row>
    <row r="696" customFormat="false" ht="15" hidden="false" customHeight="true" outlineLevel="0" collapsed="false">
      <c r="A696" s="8" t="s">
        <v>48</v>
      </c>
      <c r="B696" s="8" t="n">
        <v>4408018</v>
      </c>
      <c r="C696" s="8" t="s">
        <v>954</v>
      </c>
      <c r="D696" s="19" t="n">
        <v>52</v>
      </c>
      <c r="E696" s="19" t="n">
        <v>9126</v>
      </c>
      <c r="F696" s="19" t="n">
        <v>5.05263157894737</v>
      </c>
      <c r="G696" s="19" t="n">
        <v>886.736842105263</v>
      </c>
      <c r="H696" s="8" t="str">
        <f aca="false">IF(COUNTIF($J$1:$J$2,$A696)&gt;0,"Y","N")</f>
        <v>Y</v>
      </c>
    </row>
    <row r="697" customFormat="false" ht="15" hidden="false" customHeight="true" outlineLevel="0" collapsed="false">
      <c r="A697" s="8" t="s">
        <v>48</v>
      </c>
      <c r="B697" s="8" t="n">
        <v>4408031</v>
      </c>
      <c r="C697" s="8" t="s">
        <v>973</v>
      </c>
      <c r="D697" s="19" t="n">
        <v>33</v>
      </c>
      <c r="E697" s="19" t="n">
        <v>2387.22</v>
      </c>
      <c r="F697" s="19" t="n">
        <v>2.52631578947368</v>
      </c>
      <c r="G697" s="19" t="n">
        <v>182.753684210526</v>
      </c>
      <c r="H697" s="8" t="str">
        <f aca="false">IF(COUNTIF($J$1:$J$2,$A697)&gt;0,"Y","N")</f>
        <v>Y</v>
      </c>
    </row>
    <row r="698" customFormat="false" ht="15" hidden="false" customHeight="true" outlineLevel="0" collapsed="false">
      <c r="A698" s="8" t="s">
        <v>48</v>
      </c>
      <c r="B698" s="8" t="n">
        <v>4408032</v>
      </c>
      <c r="C698" s="8" t="s">
        <v>855</v>
      </c>
      <c r="D698" s="19" t="n">
        <v>74</v>
      </c>
      <c r="E698" s="19" t="n">
        <v>5353.16</v>
      </c>
      <c r="F698" s="19" t="n">
        <v>21.4736842105263</v>
      </c>
      <c r="G698" s="19" t="n">
        <v>1553.40631578947</v>
      </c>
      <c r="H698" s="8" t="str">
        <f aca="false">IF(COUNTIF($J$1:$J$2,$A698)&gt;0,"Y","N")</f>
        <v>Y</v>
      </c>
    </row>
    <row r="699" customFormat="false" ht="15" hidden="false" customHeight="true" outlineLevel="0" collapsed="false">
      <c r="A699" s="8" t="s">
        <v>48</v>
      </c>
      <c r="B699" s="8" t="n">
        <v>4408033</v>
      </c>
      <c r="C699" s="8" t="s">
        <v>567</v>
      </c>
      <c r="D699" s="19" t="n">
        <v>57</v>
      </c>
      <c r="E699" s="19" t="n">
        <v>4123.38</v>
      </c>
      <c r="F699" s="19" t="n">
        <v>15.1578947368421</v>
      </c>
      <c r="G699" s="19" t="n">
        <v>1096.52210526316</v>
      </c>
      <c r="H699" s="8" t="str">
        <f aca="false">IF(COUNTIF($J$1:$J$2,$A699)&gt;0,"Y","N")</f>
        <v>Y</v>
      </c>
    </row>
    <row r="700" customFormat="false" ht="15" hidden="false" customHeight="true" outlineLevel="0" collapsed="false">
      <c r="A700" s="8" t="s">
        <v>48</v>
      </c>
      <c r="B700" s="8" t="n">
        <v>4408034</v>
      </c>
      <c r="C700" s="8" t="s">
        <v>936</v>
      </c>
      <c r="D700" s="19" t="n">
        <v>112</v>
      </c>
      <c r="E700" s="19" t="n">
        <v>8102.08000000001</v>
      </c>
      <c r="F700" s="19" t="n">
        <v>48</v>
      </c>
      <c r="G700" s="19" t="n">
        <v>3472.32</v>
      </c>
      <c r="H700" s="8" t="str">
        <f aca="false">IF(COUNTIF($J$1:$J$2,$A700)&gt;0,"Y","N")</f>
        <v>Y</v>
      </c>
    </row>
    <row r="701" customFormat="false" ht="15" hidden="false" customHeight="true" outlineLevel="0" collapsed="false">
      <c r="A701" s="8" t="s">
        <v>48</v>
      </c>
      <c r="B701" s="8" t="n">
        <v>4408035</v>
      </c>
      <c r="C701" s="8" t="s">
        <v>937</v>
      </c>
      <c r="D701" s="19" t="n">
        <v>76</v>
      </c>
      <c r="E701" s="19" t="n">
        <v>5497.84</v>
      </c>
      <c r="F701" s="19" t="n">
        <v>16.4210526315789</v>
      </c>
      <c r="G701" s="19" t="n">
        <v>1187.89894736842</v>
      </c>
      <c r="H701" s="8" t="str">
        <f aca="false">IF(COUNTIF($J$1:$J$2,$A701)&gt;0,"Y","N")</f>
        <v>Y</v>
      </c>
    </row>
    <row r="702" customFormat="false" ht="15" hidden="false" customHeight="true" outlineLevel="0" collapsed="false">
      <c r="A702" s="8" t="s">
        <v>48</v>
      </c>
      <c r="B702" s="8" t="n">
        <v>4408051</v>
      </c>
      <c r="C702" s="8" t="s">
        <v>1240</v>
      </c>
      <c r="D702" s="19" t="n">
        <v>181</v>
      </c>
      <c r="E702" s="19" t="n">
        <v>4421.83</v>
      </c>
      <c r="F702" s="19" t="n">
        <v>133.894736842105</v>
      </c>
      <c r="G702" s="19" t="n">
        <v>3021.65684210526</v>
      </c>
      <c r="H702" s="8" t="str">
        <f aca="false">IF(COUNTIF($J$1:$J$2,$A702)&gt;0,"Y","N")</f>
        <v>Y</v>
      </c>
    </row>
    <row r="703" customFormat="false" ht="15" hidden="false" customHeight="true" outlineLevel="0" collapsed="false">
      <c r="A703" s="8" t="s">
        <v>48</v>
      </c>
      <c r="B703" s="8" t="n">
        <v>4408052</v>
      </c>
      <c r="C703" s="8" t="s">
        <v>1241</v>
      </c>
      <c r="D703" s="19" t="n">
        <v>315</v>
      </c>
      <c r="E703" s="19" t="n">
        <v>7695.45</v>
      </c>
      <c r="F703" s="19" t="n">
        <v>256.421052631579</v>
      </c>
      <c r="G703" s="19" t="n">
        <v>5777.59073684211</v>
      </c>
      <c r="H703" s="8" t="str">
        <f aca="false">IF(COUNTIF($J$1:$J$2,$A703)&gt;0,"Y","N")</f>
        <v>Y</v>
      </c>
    </row>
    <row r="704" customFormat="false" ht="15" hidden="false" customHeight="true" outlineLevel="0" collapsed="false">
      <c r="A704" s="8" t="s">
        <v>48</v>
      </c>
      <c r="B704" s="8" t="n">
        <v>4408053</v>
      </c>
      <c r="C704" s="8" t="s">
        <v>1242</v>
      </c>
      <c r="D704" s="19" t="n">
        <v>434</v>
      </c>
      <c r="E704" s="19" t="n">
        <v>10602.62</v>
      </c>
      <c r="F704" s="19" t="n">
        <v>349.894736842105</v>
      </c>
      <c r="G704" s="19" t="n">
        <v>7825.24547368421</v>
      </c>
      <c r="H704" s="8" t="str">
        <f aca="false">IF(COUNTIF($J$1:$J$2,$A704)&gt;0,"Y","N")</f>
        <v>Y</v>
      </c>
    </row>
    <row r="705" customFormat="false" ht="15" hidden="false" customHeight="true" outlineLevel="0" collapsed="false">
      <c r="A705" s="8" t="s">
        <v>48</v>
      </c>
      <c r="B705" s="8" t="n">
        <v>4408054</v>
      </c>
      <c r="C705" s="8" t="s">
        <v>1243</v>
      </c>
      <c r="D705" s="19" t="n">
        <v>157</v>
      </c>
      <c r="E705" s="19" t="n">
        <v>3835.51</v>
      </c>
      <c r="F705" s="19" t="n">
        <v>102.315789473684</v>
      </c>
      <c r="G705" s="19" t="n">
        <v>2336.66778947368</v>
      </c>
      <c r="H705" s="8" t="str">
        <f aca="false">IF(COUNTIF($J$1:$J$2,$A705)&gt;0,"Y","N")</f>
        <v>Y</v>
      </c>
    </row>
    <row r="706" customFormat="false" ht="15" hidden="false" customHeight="true" outlineLevel="0" collapsed="false">
      <c r="A706" s="8" t="s">
        <v>48</v>
      </c>
      <c r="B706" s="8" t="n">
        <v>4408069</v>
      </c>
      <c r="C706" s="8" t="s">
        <v>648</v>
      </c>
      <c r="D706" s="19" t="n">
        <v>17</v>
      </c>
      <c r="E706" s="19" t="n">
        <v>910.01</v>
      </c>
      <c r="F706" s="19" t="n">
        <v>1.26315789473684</v>
      </c>
      <c r="G706" s="19" t="n">
        <v>67.6168421052632</v>
      </c>
      <c r="H706" s="8" t="str">
        <f aca="false">IF(COUNTIF($J$1:$J$2,$A706)&gt;0,"Y","N")</f>
        <v>Y</v>
      </c>
    </row>
    <row r="707" customFormat="false" ht="15" hidden="false" customHeight="true" outlineLevel="0" collapsed="false">
      <c r="A707" s="8" t="s">
        <v>48</v>
      </c>
      <c r="B707" s="8" t="n">
        <v>4408070</v>
      </c>
      <c r="C707" s="8" t="s">
        <v>879</v>
      </c>
      <c r="D707" s="19" t="n">
        <v>2</v>
      </c>
      <c r="E707" s="19" t="n">
        <v>391.46</v>
      </c>
      <c r="F707" s="19" t="n">
        <v>1.26315789473684</v>
      </c>
      <c r="G707" s="19" t="n">
        <v>247.237894736842</v>
      </c>
      <c r="H707" s="8" t="str">
        <f aca="false">IF(COUNTIF($J$1:$J$2,$A707)&gt;0,"Y","N")</f>
        <v>Y</v>
      </c>
    </row>
    <row r="708" customFormat="false" ht="15" hidden="false" customHeight="true" outlineLevel="0" collapsed="false">
      <c r="A708" s="8" t="s">
        <v>48</v>
      </c>
      <c r="B708" s="8" t="n">
        <v>4408071</v>
      </c>
      <c r="C708" s="8" t="s">
        <v>1249</v>
      </c>
      <c r="D708" s="19" t="n">
        <v>5</v>
      </c>
      <c r="E708" s="19" t="n">
        <v>978.65</v>
      </c>
      <c r="F708" s="19" t="n">
        <v>1.26315789473684</v>
      </c>
      <c r="G708" s="19" t="n">
        <v>146.456842105263</v>
      </c>
      <c r="H708" s="8" t="str">
        <f aca="false">IF(COUNTIF($J$1:$J$2,$A708)&gt;0,"Y","N")</f>
        <v>Y</v>
      </c>
    </row>
    <row r="709" customFormat="false" ht="15" hidden="false" customHeight="true" outlineLevel="0" collapsed="false">
      <c r="A709" s="8" t="s">
        <v>48</v>
      </c>
      <c r="B709" s="8" t="n">
        <v>4408072</v>
      </c>
      <c r="C709" s="8" t="s">
        <v>1250</v>
      </c>
      <c r="D709" s="19" t="n">
        <v>5</v>
      </c>
      <c r="E709" s="19" t="n">
        <v>978.65</v>
      </c>
      <c r="F709" s="19" t="n">
        <v>5.05263157894737</v>
      </c>
      <c r="G709" s="19" t="n">
        <v>922.208842105263</v>
      </c>
      <c r="H709" s="8" t="str">
        <f aca="false">IF(COUNTIF($J$1:$J$2,$A709)&gt;0,"Y","N")</f>
        <v>Y</v>
      </c>
    </row>
    <row r="710" customFormat="false" ht="15" hidden="false" customHeight="true" outlineLevel="0" collapsed="false">
      <c r="A710" s="8" t="s">
        <v>48</v>
      </c>
      <c r="B710" s="8" t="n">
        <v>4408073</v>
      </c>
      <c r="C710" s="8" t="s">
        <v>1251</v>
      </c>
      <c r="D710" s="19" t="n">
        <v>1</v>
      </c>
      <c r="E710" s="19" t="n">
        <v>195.73</v>
      </c>
      <c r="F710" s="19" t="n">
        <v>5.05263157894737</v>
      </c>
      <c r="G710" s="19" t="n">
        <v>888.170526315789</v>
      </c>
      <c r="H710" s="8" t="str">
        <f aca="false">IF(COUNTIF($J$1:$J$2,$A710)&gt;0,"Y","N")</f>
        <v>Y</v>
      </c>
    </row>
    <row r="711" customFormat="false" ht="15" hidden="false" customHeight="true" outlineLevel="0" collapsed="false">
      <c r="A711" s="8" t="s">
        <v>48</v>
      </c>
      <c r="B711" s="8" t="n">
        <v>4408075</v>
      </c>
      <c r="C711" s="8" t="s">
        <v>1252</v>
      </c>
      <c r="D711" s="19" t="n">
        <v>1</v>
      </c>
      <c r="E711" s="19" t="n">
        <v>126.57</v>
      </c>
      <c r="F711" s="19" t="n">
        <v>3.78947368421053</v>
      </c>
      <c r="G711" s="19" t="n">
        <v>450.809684210526</v>
      </c>
      <c r="H711" s="8" t="str">
        <f aca="false">IF(COUNTIF($J$1:$J$2,$A711)&gt;0,"Y","N")</f>
        <v>Y</v>
      </c>
    </row>
    <row r="712" customFormat="false" ht="15" hidden="false" customHeight="true" outlineLevel="0" collapsed="false">
      <c r="A712" s="8" t="s">
        <v>48</v>
      </c>
      <c r="B712" s="8" t="n">
        <v>4408076</v>
      </c>
      <c r="C712" s="8" t="s">
        <v>1253</v>
      </c>
      <c r="D712" s="19" t="n">
        <v>4</v>
      </c>
      <c r="E712" s="19" t="n">
        <v>506.28</v>
      </c>
      <c r="F712" s="19" t="n">
        <v>8.84210526315789</v>
      </c>
      <c r="G712" s="19" t="n">
        <v>945.672</v>
      </c>
      <c r="H712" s="8" t="str">
        <f aca="false">IF(COUNTIF($J$1:$J$2,$A712)&gt;0,"Y","N")</f>
        <v>Y</v>
      </c>
    </row>
    <row r="713" customFormat="false" ht="15" hidden="false" customHeight="true" outlineLevel="0" collapsed="false">
      <c r="A713" s="8" t="s">
        <v>48</v>
      </c>
      <c r="B713" s="8" t="n">
        <v>4408077</v>
      </c>
      <c r="C713" s="8" t="s">
        <v>1254</v>
      </c>
      <c r="D713" s="19" t="n">
        <v>15</v>
      </c>
      <c r="E713" s="19" t="n">
        <v>1898.55</v>
      </c>
      <c r="F713" s="19" t="n">
        <v>6.31578947368421</v>
      </c>
      <c r="G713" s="19" t="n">
        <v>785.034947368421</v>
      </c>
      <c r="H713" s="8" t="str">
        <f aca="false">IF(COUNTIF($J$1:$J$2,$A713)&gt;0,"Y","N")</f>
        <v>Y</v>
      </c>
    </row>
    <row r="714" customFormat="false" ht="15" hidden="false" customHeight="true" outlineLevel="0" collapsed="false">
      <c r="A714" s="8" t="s">
        <v>48</v>
      </c>
      <c r="B714" s="8" t="n">
        <v>4408078</v>
      </c>
      <c r="C714" s="8" t="s">
        <v>816</v>
      </c>
      <c r="D714" s="19" t="n">
        <v>1</v>
      </c>
      <c r="E714" s="19" t="n">
        <v>126.57</v>
      </c>
      <c r="F714" s="19" t="n">
        <v>1.26315789473684</v>
      </c>
      <c r="G714" s="19" t="n">
        <v>159.877894736842</v>
      </c>
      <c r="H714" s="8" t="str">
        <f aca="false">IF(COUNTIF($J$1:$J$2,$A714)&gt;0,"Y","N")</f>
        <v>Y</v>
      </c>
    </row>
    <row r="715" customFormat="false" ht="15" hidden="false" customHeight="true" outlineLevel="0" collapsed="false">
      <c r="A715" s="8" t="s">
        <v>48</v>
      </c>
      <c r="B715" s="8" t="n">
        <v>4408079</v>
      </c>
      <c r="C715" s="8" t="s">
        <v>690</v>
      </c>
      <c r="D715" s="19" t="n">
        <v>2</v>
      </c>
      <c r="E715" s="19" t="n">
        <v>253.14</v>
      </c>
      <c r="F715" s="19" t="n">
        <v>-1.26315789473684</v>
      </c>
      <c r="G715" s="19" t="n">
        <v>-159.877894736842</v>
      </c>
      <c r="H715" s="8" t="str">
        <f aca="false">IF(COUNTIF($J$1:$J$2,$A715)&gt;0,"Y","N")</f>
        <v>Y</v>
      </c>
    </row>
    <row r="716" customFormat="false" ht="15" hidden="false" customHeight="true" outlineLevel="0" collapsed="false">
      <c r="A716" s="8" t="s">
        <v>48</v>
      </c>
      <c r="B716" s="8" t="n">
        <v>4408080</v>
      </c>
      <c r="C716" s="8" t="s">
        <v>1257</v>
      </c>
      <c r="D716" s="19" t="n">
        <v>17</v>
      </c>
      <c r="E716" s="19" t="n">
        <v>2151.69</v>
      </c>
      <c r="F716" s="19" t="n">
        <v>7.57894736842105</v>
      </c>
      <c r="G716" s="19" t="n">
        <v>879.765473684211</v>
      </c>
      <c r="H716" s="8" t="str">
        <f aca="false">IF(COUNTIF($J$1:$J$2,$A716)&gt;0,"Y","N")</f>
        <v>Y</v>
      </c>
    </row>
    <row r="717" customFormat="false" ht="15" hidden="false" customHeight="true" outlineLevel="0" collapsed="false">
      <c r="A717" s="8" t="s">
        <v>48</v>
      </c>
      <c r="B717" s="8" t="n">
        <v>4408081</v>
      </c>
      <c r="C717" s="8" t="s">
        <v>1258</v>
      </c>
      <c r="D717" s="19" t="n">
        <v>18</v>
      </c>
      <c r="E717" s="19" t="n">
        <v>2278.26</v>
      </c>
      <c r="F717" s="19" t="n">
        <v>15.1578947368421</v>
      </c>
      <c r="G717" s="19" t="n">
        <v>1629.12126315789</v>
      </c>
      <c r="H717" s="8" t="str">
        <f aca="false">IF(COUNTIF($J$1:$J$2,$A717)&gt;0,"Y","N")</f>
        <v>Y</v>
      </c>
    </row>
    <row r="718" customFormat="false" ht="15" hidden="false" customHeight="true" outlineLevel="0" collapsed="false">
      <c r="A718" s="8" t="s">
        <v>48</v>
      </c>
      <c r="B718" s="8" t="n">
        <v>4408082</v>
      </c>
      <c r="C718" s="8" t="s">
        <v>818</v>
      </c>
      <c r="D718" s="19" t="n">
        <v>7</v>
      </c>
      <c r="E718" s="19" t="n">
        <v>885.99</v>
      </c>
      <c r="F718" s="19" t="n">
        <v>0</v>
      </c>
      <c r="G718" s="19" t="n">
        <v>0</v>
      </c>
      <c r="H718" s="8" t="str">
        <f aca="false">IF(COUNTIF($J$1:$J$2,$A718)&gt;0,"Y","N")</f>
        <v>Y</v>
      </c>
    </row>
    <row r="719" customFormat="false" ht="15" hidden="false" customHeight="true" outlineLevel="0" collapsed="false">
      <c r="A719" s="8" t="s">
        <v>48</v>
      </c>
      <c r="B719" s="8" t="n">
        <v>4408092</v>
      </c>
      <c r="C719" s="8" t="s">
        <v>766</v>
      </c>
      <c r="D719" s="19" t="n">
        <v>-1</v>
      </c>
      <c r="E719" s="19" t="n">
        <v>-74.63</v>
      </c>
      <c r="F719" s="19" t="n">
        <v>0</v>
      </c>
      <c r="G719" s="19" t="n">
        <v>0</v>
      </c>
      <c r="H719" s="8" t="str">
        <f aca="false">IF(COUNTIF($J$1:$J$2,$A719)&gt;0,"Y","N")</f>
        <v>Y</v>
      </c>
    </row>
    <row r="720" customFormat="false" ht="15" hidden="false" customHeight="true" outlineLevel="0" collapsed="false">
      <c r="A720" s="8" t="s">
        <v>48</v>
      </c>
      <c r="B720" s="8" t="n">
        <v>4408151</v>
      </c>
      <c r="C720" s="8" t="s">
        <v>1298</v>
      </c>
      <c r="D720" s="19" t="n">
        <v>8</v>
      </c>
      <c r="E720" s="19" t="n">
        <v>856.72</v>
      </c>
      <c r="F720" s="19" t="n">
        <v>1.26315789473684</v>
      </c>
      <c r="G720" s="19" t="n">
        <v>123.108631578947</v>
      </c>
      <c r="H720" s="8" t="str">
        <f aca="false">IF(COUNTIF($J$1:$J$2,$A720)&gt;0,"Y","N")</f>
        <v>Y</v>
      </c>
    </row>
    <row r="721" customFormat="false" ht="15" hidden="false" customHeight="true" outlineLevel="0" collapsed="false">
      <c r="A721" s="8" t="s">
        <v>48</v>
      </c>
      <c r="B721" s="8" t="n">
        <v>4408152</v>
      </c>
      <c r="C721" s="8" t="s">
        <v>1299</v>
      </c>
      <c r="D721" s="19" t="n">
        <v>17</v>
      </c>
      <c r="E721" s="19" t="n">
        <v>1820.53</v>
      </c>
      <c r="F721" s="19" t="n">
        <v>20.2105263157895</v>
      </c>
      <c r="G721" s="19" t="n">
        <v>1980.98905263158</v>
      </c>
      <c r="H721" s="8" t="str">
        <f aca="false">IF(COUNTIF($J$1:$J$2,$A721)&gt;0,"Y","N")</f>
        <v>Y</v>
      </c>
    </row>
    <row r="722" customFormat="false" ht="15" hidden="false" customHeight="true" outlineLevel="0" collapsed="false">
      <c r="A722" s="8" t="s">
        <v>48</v>
      </c>
      <c r="B722" s="8" t="n">
        <v>4408153</v>
      </c>
      <c r="C722" s="8" t="s">
        <v>1300</v>
      </c>
      <c r="D722" s="19" t="n">
        <v>9</v>
      </c>
      <c r="E722" s="19" t="n">
        <v>963.81</v>
      </c>
      <c r="F722" s="19" t="n">
        <v>7.57894736842105</v>
      </c>
      <c r="G722" s="19" t="n">
        <v>732.171789473684</v>
      </c>
      <c r="H722" s="8" t="str">
        <f aca="false">IF(COUNTIF($J$1:$J$2,$A722)&gt;0,"Y","N")</f>
        <v>Y</v>
      </c>
    </row>
    <row r="723" customFormat="false" ht="15" hidden="false" customHeight="true" outlineLevel="0" collapsed="false">
      <c r="A723" s="8" t="s">
        <v>48</v>
      </c>
      <c r="B723" s="8" t="n">
        <v>4408154</v>
      </c>
      <c r="C723" s="8" t="s">
        <v>1301</v>
      </c>
      <c r="D723" s="19" t="n">
        <v>0</v>
      </c>
      <c r="E723" s="19" t="n">
        <v>2.8421709430404E-014</v>
      </c>
      <c r="F723" s="19" t="n">
        <v>15.1578947368421</v>
      </c>
      <c r="G723" s="19" t="n">
        <v>1414.89473684211</v>
      </c>
      <c r="H723" s="8" t="str">
        <f aca="false">IF(COUNTIF($J$1:$J$2,$A723)&gt;0,"Y","N")</f>
        <v>Y</v>
      </c>
    </row>
    <row r="724" customFormat="false" ht="15" hidden="false" customHeight="true" outlineLevel="0" collapsed="false">
      <c r="A724" s="8" t="s">
        <v>48</v>
      </c>
      <c r="B724" s="8" t="n">
        <v>4408179</v>
      </c>
      <c r="C724" s="8" t="s">
        <v>938</v>
      </c>
      <c r="D724" s="19" t="n">
        <v>7</v>
      </c>
      <c r="E724" s="19" t="n">
        <v>749.63</v>
      </c>
      <c r="F724" s="19" t="n">
        <v>-2.52631578947368</v>
      </c>
      <c r="G724" s="19" t="n">
        <v>-270.543157894737</v>
      </c>
      <c r="H724" s="8" t="str">
        <f aca="false">IF(COUNTIF($J$1:$J$2,$A724)&gt;0,"Y","N")</f>
        <v>Y</v>
      </c>
    </row>
    <row r="725" customFormat="false" ht="15" hidden="false" customHeight="true" outlineLevel="0" collapsed="false">
      <c r="A725" s="8" t="s">
        <v>48</v>
      </c>
      <c r="B725" s="8" t="n">
        <v>4408190</v>
      </c>
      <c r="C725" s="8" t="s">
        <v>1307</v>
      </c>
      <c r="D725" s="19" t="n">
        <v>59</v>
      </c>
      <c r="E725" s="19" t="n">
        <v>3835</v>
      </c>
      <c r="F725" s="19" t="n">
        <v>78.3157894736842</v>
      </c>
      <c r="G725" s="19" t="n">
        <v>4738.55747368421</v>
      </c>
      <c r="H725" s="8" t="str">
        <f aca="false">IF(COUNTIF($J$1:$J$2,$A725)&gt;0,"Y","N")</f>
        <v>Y</v>
      </c>
    </row>
    <row r="726" customFormat="false" ht="15" hidden="false" customHeight="true" outlineLevel="0" collapsed="false">
      <c r="A726" s="8" t="s">
        <v>48</v>
      </c>
      <c r="B726" s="8" t="n">
        <v>4408192</v>
      </c>
      <c r="C726" s="8" t="s">
        <v>1308</v>
      </c>
      <c r="D726" s="19" t="n">
        <v>139</v>
      </c>
      <c r="E726" s="19" t="n">
        <v>9035</v>
      </c>
      <c r="F726" s="19" t="n">
        <v>162.947368421053</v>
      </c>
      <c r="G726" s="19" t="n">
        <v>9801.57852631579</v>
      </c>
      <c r="H726" s="8" t="str">
        <f aca="false">IF(COUNTIF($J$1:$J$2,$A726)&gt;0,"Y","N")</f>
        <v>Y</v>
      </c>
    </row>
    <row r="727" customFormat="false" ht="15" hidden="false" customHeight="true" outlineLevel="0" collapsed="false">
      <c r="A727" s="8" t="s">
        <v>48</v>
      </c>
      <c r="B727" s="8" t="n">
        <v>4408203</v>
      </c>
      <c r="C727" s="8" t="s">
        <v>1309</v>
      </c>
      <c r="D727" s="19" t="n">
        <v>0</v>
      </c>
      <c r="E727" s="19" t="n">
        <v>0</v>
      </c>
      <c r="F727" s="19" t="n">
        <v>6.31578947368421</v>
      </c>
      <c r="G727" s="19" t="n">
        <v>955.957894736842</v>
      </c>
      <c r="H727" s="8" t="str">
        <f aca="false">IF(COUNTIF($J$1:$J$2,$A727)&gt;0,"Y","N")</f>
        <v>Y</v>
      </c>
    </row>
    <row r="728" customFormat="false" ht="15" hidden="false" customHeight="true" outlineLevel="0" collapsed="false">
      <c r="A728" s="8" t="s">
        <v>48</v>
      </c>
      <c r="B728" s="8" t="n">
        <v>4408217</v>
      </c>
      <c r="C728" s="8" t="s">
        <v>1314</v>
      </c>
      <c r="D728" s="19" t="n">
        <v>3</v>
      </c>
      <c r="E728" s="19" t="n">
        <v>195</v>
      </c>
      <c r="F728" s="19" t="n">
        <v>8.84210526315789</v>
      </c>
      <c r="G728" s="19" t="n">
        <v>545.178947368421</v>
      </c>
      <c r="H728" s="8" t="str">
        <f aca="false">IF(COUNTIF($J$1:$J$2,$A728)&gt;0,"Y","N")</f>
        <v>Y</v>
      </c>
    </row>
    <row r="729" customFormat="false" ht="15" hidden="false" customHeight="true" outlineLevel="0" collapsed="false">
      <c r="A729" s="8" t="s">
        <v>48</v>
      </c>
      <c r="B729" s="8" t="n">
        <v>4408218</v>
      </c>
      <c r="C729" s="8" t="s">
        <v>1315</v>
      </c>
      <c r="D729" s="19" t="n">
        <v>115</v>
      </c>
      <c r="E729" s="19" t="n">
        <v>7475</v>
      </c>
      <c r="F729" s="19" t="n">
        <v>130.105263157895</v>
      </c>
      <c r="G729" s="19" t="n">
        <v>8057.81052631579</v>
      </c>
      <c r="H729" s="8" t="str">
        <f aca="false">IF(COUNTIF($J$1:$J$2,$A729)&gt;0,"Y","N")</f>
        <v>Y</v>
      </c>
    </row>
    <row r="730" customFormat="false" ht="15" hidden="false" customHeight="true" outlineLevel="0" collapsed="false">
      <c r="A730" s="8" t="s">
        <v>48</v>
      </c>
      <c r="B730" s="8" t="n">
        <v>4408219</v>
      </c>
      <c r="C730" s="8" t="s">
        <v>1316</v>
      </c>
      <c r="D730" s="19" t="n">
        <v>26</v>
      </c>
      <c r="E730" s="19" t="n">
        <v>1690</v>
      </c>
      <c r="F730" s="19" t="n">
        <v>16.4210526315789</v>
      </c>
      <c r="G730" s="19" t="n">
        <v>1260.77052631579</v>
      </c>
      <c r="H730" s="8" t="str">
        <f aca="false">IF(COUNTIF($J$1:$J$2,$A730)&gt;0,"Y","N")</f>
        <v>Y</v>
      </c>
    </row>
    <row r="731" customFormat="false" ht="15" hidden="false" customHeight="true" outlineLevel="0" collapsed="false">
      <c r="A731" s="8" t="s">
        <v>48</v>
      </c>
      <c r="B731" s="8" t="n">
        <v>4408220</v>
      </c>
      <c r="C731" s="8" t="s">
        <v>1317</v>
      </c>
      <c r="D731" s="19" t="n">
        <v>150</v>
      </c>
      <c r="E731" s="19" t="n">
        <v>9750</v>
      </c>
      <c r="F731" s="19" t="n">
        <v>69.4736842105263</v>
      </c>
      <c r="G731" s="19" t="n">
        <v>4524.4547368421</v>
      </c>
      <c r="H731" s="8" t="str">
        <f aca="false">IF(COUNTIF($J$1:$J$2,$A731)&gt;0,"Y","N")</f>
        <v>Y</v>
      </c>
    </row>
    <row r="732" customFormat="false" ht="15" hidden="false" customHeight="true" outlineLevel="0" collapsed="false">
      <c r="A732" s="8" t="s">
        <v>48</v>
      </c>
      <c r="B732" s="8" t="n">
        <v>4408221</v>
      </c>
      <c r="C732" s="8" t="s">
        <v>1318</v>
      </c>
      <c r="D732" s="19" t="n">
        <v>392</v>
      </c>
      <c r="E732" s="19" t="n">
        <v>25480</v>
      </c>
      <c r="F732" s="19" t="n">
        <v>208.421052631579</v>
      </c>
      <c r="G732" s="19" t="n">
        <v>13023.9915789474</v>
      </c>
      <c r="H732" s="8" t="str">
        <f aca="false">IF(COUNTIF($J$1:$J$2,$A732)&gt;0,"Y","N")</f>
        <v>Y</v>
      </c>
    </row>
    <row r="733" customFormat="false" ht="15" hidden="false" customHeight="true" outlineLevel="0" collapsed="false">
      <c r="A733" s="8" t="s">
        <v>48</v>
      </c>
      <c r="B733" s="8" t="n">
        <v>4408222</v>
      </c>
      <c r="C733" s="8" t="s">
        <v>1319</v>
      </c>
      <c r="D733" s="19" t="n">
        <v>279</v>
      </c>
      <c r="E733" s="19" t="n">
        <v>18135</v>
      </c>
      <c r="F733" s="19" t="n">
        <v>136.421052631579</v>
      </c>
      <c r="G733" s="19" t="n">
        <v>8698.68631578947</v>
      </c>
      <c r="H733" s="8" t="str">
        <f aca="false">IF(COUNTIF($J$1:$J$2,$A733)&gt;0,"Y","N")</f>
        <v>Y</v>
      </c>
    </row>
    <row r="734" customFormat="false" ht="15" hidden="false" customHeight="true" outlineLevel="0" collapsed="false">
      <c r="A734" s="8" t="s">
        <v>48</v>
      </c>
      <c r="B734" s="8" t="n">
        <v>4408223</v>
      </c>
      <c r="C734" s="8" t="s">
        <v>1320</v>
      </c>
      <c r="D734" s="19" t="n">
        <v>145</v>
      </c>
      <c r="E734" s="19" t="n">
        <v>9425</v>
      </c>
      <c r="F734" s="19" t="n">
        <v>85.8947368421053</v>
      </c>
      <c r="G734" s="19" t="n">
        <v>5525.31789473684</v>
      </c>
      <c r="H734" s="8" t="str">
        <f aca="false">IF(COUNTIF($J$1:$J$2,$A734)&gt;0,"Y","N")</f>
        <v>Y</v>
      </c>
    </row>
    <row r="735" customFormat="false" ht="15" hidden="false" customHeight="true" outlineLevel="0" collapsed="false">
      <c r="A735" s="8" t="s">
        <v>48</v>
      </c>
      <c r="B735" s="8" t="n">
        <v>4408230</v>
      </c>
      <c r="C735" s="8" t="s">
        <v>1325</v>
      </c>
      <c r="D735" s="19" t="n">
        <v>70</v>
      </c>
      <c r="E735" s="19" t="n">
        <v>5446</v>
      </c>
      <c r="F735" s="19" t="n">
        <v>72</v>
      </c>
      <c r="G735" s="19" t="n">
        <v>5327.41642105263</v>
      </c>
      <c r="H735" s="8" t="str">
        <f aca="false">IF(COUNTIF($J$1:$J$2,$A735)&gt;0,"Y","N")</f>
        <v>Y</v>
      </c>
    </row>
    <row r="736" customFormat="false" ht="15" hidden="false" customHeight="true" outlineLevel="0" collapsed="false">
      <c r="A736" s="8" t="s">
        <v>48</v>
      </c>
      <c r="B736" s="8" t="n">
        <v>4408231</v>
      </c>
      <c r="C736" s="8" t="s">
        <v>1326</v>
      </c>
      <c r="D736" s="19" t="n">
        <v>49</v>
      </c>
      <c r="E736" s="19" t="n">
        <v>3812.2</v>
      </c>
      <c r="F736" s="19" t="n">
        <v>39.1578947368421</v>
      </c>
      <c r="G736" s="19" t="n">
        <v>2896.12547368421</v>
      </c>
      <c r="H736" s="8" t="str">
        <f aca="false">IF(COUNTIF($J$1:$J$2,$A736)&gt;0,"Y","N")</f>
        <v>Y</v>
      </c>
    </row>
    <row r="737" customFormat="false" ht="15" hidden="false" customHeight="true" outlineLevel="0" collapsed="false">
      <c r="A737" s="8" t="s">
        <v>48</v>
      </c>
      <c r="B737" s="8" t="n">
        <v>4408232</v>
      </c>
      <c r="C737" s="8" t="s">
        <v>1327</v>
      </c>
      <c r="D737" s="19" t="n">
        <v>24</v>
      </c>
      <c r="E737" s="19" t="n">
        <v>1867.2</v>
      </c>
      <c r="F737" s="19" t="n">
        <v>13.8947368421053</v>
      </c>
      <c r="G737" s="19" t="n">
        <v>1063.32126315789</v>
      </c>
      <c r="H737" s="8" t="str">
        <f aca="false">IF(COUNTIF($J$1:$J$2,$A737)&gt;0,"Y","N")</f>
        <v>Y</v>
      </c>
    </row>
    <row r="738" customFormat="false" ht="15" hidden="false" customHeight="true" outlineLevel="0" collapsed="false">
      <c r="A738" s="8" t="s">
        <v>48</v>
      </c>
      <c r="B738" s="8" t="n">
        <v>4408259</v>
      </c>
      <c r="C738" s="8" t="s">
        <v>1335</v>
      </c>
      <c r="D738" s="19" t="n">
        <v>1</v>
      </c>
      <c r="E738" s="19" t="n">
        <v>113.58</v>
      </c>
      <c r="F738" s="19" t="n">
        <v>2.52631578947368</v>
      </c>
      <c r="G738" s="19" t="n">
        <v>261.160421052632</v>
      </c>
      <c r="H738" s="8" t="str">
        <f aca="false">IF(COUNTIF($J$1:$J$2,$A738)&gt;0,"Y","N")</f>
        <v>Y</v>
      </c>
    </row>
    <row r="739" customFormat="false" ht="15" hidden="false" customHeight="true" outlineLevel="0" collapsed="false">
      <c r="A739" s="8" t="s">
        <v>48</v>
      </c>
      <c r="B739" s="8" t="n">
        <v>4408260</v>
      </c>
      <c r="C739" s="8" t="s">
        <v>1336</v>
      </c>
      <c r="D739" s="19" t="n">
        <v>3</v>
      </c>
      <c r="E739" s="19" t="n">
        <v>340.74</v>
      </c>
      <c r="F739" s="19" t="n">
        <v>0</v>
      </c>
      <c r="G739" s="19" t="n">
        <v>-12.8892631578947</v>
      </c>
      <c r="H739" s="8" t="str">
        <f aca="false">IF(COUNTIF($J$1:$J$2,$A739)&gt;0,"Y","N")</f>
        <v>Y</v>
      </c>
    </row>
    <row r="740" customFormat="false" ht="15" hidden="false" customHeight="true" outlineLevel="0" collapsed="false">
      <c r="A740" s="8" t="s">
        <v>48</v>
      </c>
      <c r="B740" s="8" t="n">
        <v>4408261</v>
      </c>
      <c r="C740" s="8" t="s">
        <v>1753</v>
      </c>
      <c r="D740" s="19" t="n">
        <v>8</v>
      </c>
      <c r="E740" s="19" t="n">
        <v>908.64</v>
      </c>
      <c r="F740" s="19" t="n">
        <v>3.78947368421053</v>
      </c>
      <c r="G740" s="19" t="n">
        <v>417.519157894737</v>
      </c>
      <c r="H740" s="8" t="str">
        <f aca="false">IF(COUNTIF($J$1:$J$2,$A740)&gt;0,"Y","N")</f>
        <v>Y</v>
      </c>
    </row>
    <row r="741" customFormat="false" ht="15" hidden="false" customHeight="true" outlineLevel="0" collapsed="false">
      <c r="A741" s="8" t="s">
        <v>48</v>
      </c>
      <c r="B741" s="8" t="n">
        <v>4408262</v>
      </c>
      <c r="C741" s="8" t="s">
        <v>1337</v>
      </c>
      <c r="D741" s="19" t="n">
        <v>7</v>
      </c>
      <c r="E741" s="19" t="n">
        <v>795.06</v>
      </c>
      <c r="F741" s="19" t="n">
        <v>5.05263157894737</v>
      </c>
      <c r="G741" s="19" t="n">
        <v>522.205894736842</v>
      </c>
      <c r="H741" s="8" t="str">
        <f aca="false">IF(COUNTIF($J$1:$J$2,$A741)&gt;0,"Y","N")</f>
        <v>Y</v>
      </c>
    </row>
    <row r="742" customFormat="false" ht="15" hidden="false" customHeight="true" outlineLevel="0" collapsed="false">
      <c r="A742" s="8" t="s">
        <v>48</v>
      </c>
      <c r="B742" s="8" t="n">
        <v>4408263</v>
      </c>
      <c r="C742" s="8" t="s">
        <v>1754</v>
      </c>
      <c r="D742" s="19" t="n">
        <v>7</v>
      </c>
      <c r="E742" s="19" t="n">
        <v>795.06</v>
      </c>
      <c r="F742" s="19" t="n">
        <v>1.26315789473684</v>
      </c>
      <c r="G742" s="19" t="n">
        <v>130.580210526316</v>
      </c>
      <c r="H742" s="8" t="str">
        <f aca="false">IF(COUNTIF($J$1:$J$2,$A742)&gt;0,"Y","N")</f>
        <v>Y</v>
      </c>
    </row>
    <row r="743" customFormat="false" ht="15" hidden="false" customHeight="true" outlineLevel="0" collapsed="false">
      <c r="A743" s="8" t="s">
        <v>48</v>
      </c>
      <c r="B743" s="8" t="n">
        <v>4408267</v>
      </c>
      <c r="C743" s="8" t="s">
        <v>1755</v>
      </c>
      <c r="D743" s="19" t="n">
        <v>474</v>
      </c>
      <c r="E743" s="19" t="n">
        <v>8769</v>
      </c>
      <c r="F743" s="19" t="n">
        <v>692.21052631579</v>
      </c>
      <c r="G743" s="19" t="n">
        <v>11761.9402105263</v>
      </c>
      <c r="H743" s="8" t="str">
        <f aca="false">IF(COUNTIF($J$1:$J$2,$A743)&gt;0,"Y","N")</f>
        <v>Y</v>
      </c>
    </row>
    <row r="744" customFormat="false" ht="15" hidden="false" customHeight="true" outlineLevel="0" collapsed="false">
      <c r="A744" s="8" t="s">
        <v>48</v>
      </c>
      <c r="B744" s="8" t="n">
        <v>4408268</v>
      </c>
      <c r="C744" s="8" t="s">
        <v>1756</v>
      </c>
      <c r="D744" s="19" t="n">
        <v>172</v>
      </c>
      <c r="E744" s="19" t="n">
        <v>2855.2</v>
      </c>
      <c r="F744" s="19" t="n">
        <v>146.526315789474</v>
      </c>
      <c r="G744" s="19" t="n">
        <v>2224.96421052632</v>
      </c>
      <c r="H744" s="8" t="str">
        <f aca="false">IF(COUNTIF($J$1:$J$2,$A744)&gt;0,"Y","N")</f>
        <v>Y</v>
      </c>
    </row>
    <row r="745" customFormat="false" ht="15" hidden="false" customHeight="true" outlineLevel="0" collapsed="false">
      <c r="A745" s="8" t="s">
        <v>48</v>
      </c>
      <c r="B745" s="8" t="n">
        <v>4408269</v>
      </c>
      <c r="C745" s="8" t="s">
        <v>1757</v>
      </c>
      <c r="D745" s="19" t="n">
        <v>177</v>
      </c>
      <c r="E745" s="19" t="n">
        <v>3717</v>
      </c>
      <c r="F745" s="19" t="n">
        <v>214.736842105263</v>
      </c>
      <c r="G745" s="19" t="n">
        <v>4223.64378947368</v>
      </c>
      <c r="H745" s="8" t="str">
        <f aca="false">IF(COUNTIF($J$1:$J$2,$A745)&gt;0,"Y","N")</f>
        <v>Y</v>
      </c>
    </row>
    <row r="746" customFormat="false" ht="15" hidden="false" customHeight="true" outlineLevel="0" collapsed="false">
      <c r="A746" s="8" t="s">
        <v>48</v>
      </c>
      <c r="B746" s="8" t="n">
        <v>4408270</v>
      </c>
      <c r="C746" s="8" t="s">
        <v>1758</v>
      </c>
      <c r="D746" s="19" t="n">
        <v>58</v>
      </c>
      <c r="E746" s="19" t="n">
        <v>2088</v>
      </c>
      <c r="F746" s="19" t="n">
        <v>13.8947368421053</v>
      </c>
      <c r="G746" s="19" t="n">
        <v>583.541052631579</v>
      </c>
      <c r="H746" s="8" t="str">
        <f aca="false">IF(COUNTIF($J$1:$J$2,$A746)&gt;0,"Y","N")</f>
        <v>Y</v>
      </c>
    </row>
    <row r="747" customFormat="false" ht="15" hidden="false" customHeight="true" outlineLevel="0" collapsed="false">
      <c r="A747" s="8" t="s">
        <v>48</v>
      </c>
      <c r="B747" s="8" t="n">
        <v>4408271</v>
      </c>
      <c r="C747" s="8" t="s">
        <v>1759</v>
      </c>
      <c r="D747" s="19" t="n">
        <v>0</v>
      </c>
      <c r="E747" s="19" t="n">
        <v>0</v>
      </c>
      <c r="F747" s="19" t="n">
        <v>10.1052631578947</v>
      </c>
      <c r="G747" s="19" t="n">
        <v>1921.92</v>
      </c>
      <c r="H747" s="8" t="str">
        <f aca="false">IF(COUNTIF($J$1:$J$2,$A747)&gt;0,"Y","N")</f>
        <v>Y</v>
      </c>
    </row>
    <row r="748" customFormat="false" ht="15" hidden="false" customHeight="true" outlineLevel="0" collapsed="false">
      <c r="A748" s="8" t="s">
        <v>48</v>
      </c>
      <c r="B748" s="8" t="n">
        <v>4408272</v>
      </c>
      <c r="C748" s="8" t="s">
        <v>1341</v>
      </c>
      <c r="D748" s="19" t="n">
        <v>0</v>
      </c>
      <c r="E748" s="19" t="n">
        <v>0</v>
      </c>
      <c r="F748" s="19" t="n">
        <v>2.52631578947368</v>
      </c>
      <c r="G748" s="19" t="n">
        <v>495.423157894737</v>
      </c>
      <c r="H748" s="8" t="str">
        <f aca="false">IF(COUNTIF($J$1:$J$2,$A748)&gt;0,"Y","N")</f>
        <v>Y</v>
      </c>
    </row>
    <row r="749" customFormat="false" ht="15" hidden="false" customHeight="true" outlineLevel="0" collapsed="false">
      <c r="A749" s="8" t="s">
        <v>48</v>
      </c>
      <c r="B749" s="8" t="n">
        <v>4408273</v>
      </c>
      <c r="C749" s="8" t="s">
        <v>1342</v>
      </c>
      <c r="D749" s="19" t="n">
        <v>0</v>
      </c>
      <c r="E749" s="19" t="n">
        <v>0</v>
      </c>
      <c r="F749" s="19" t="n">
        <v>1.26315789473684</v>
      </c>
      <c r="G749" s="19" t="n">
        <v>255.183157894737</v>
      </c>
      <c r="H749" s="8" t="str">
        <f aca="false">IF(COUNTIF($J$1:$J$2,$A749)&gt;0,"Y","N")</f>
        <v>Y</v>
      </c>
    </row>
    <row r="750" customFormat="false" ht="15" hidden="false" customHeight="true" outlineLevel="0" collapsed="false">
      <c r="A750" s="8" t="s">
        <v>48</v>
      </c>
      <c r="B750" s="8" t="n">
        <v>4408274</v>
      </c>
      <c r="C750" s="8" t="s">
        <v>1343</v>
      </c>
      <c r="D750" s="19" t="n">
        <v>0</v>
      </c>
      <c r="E750" s="19" t="n">
        <v>0</v>
      </c>
      <c r="F750" s="19" t="n">
        <v>1.26315789473684</v>
      </c>
      <c r="G750" s="19" t="n">
        <v>255.183157894737</v>
      </c>
      <c r="H750" s="8" t="str">
        <f aca="false">IF(COUNTIF($J$1:$J$2,$A750)&gt;0,"Y","N")</f>
        <v>Y</v>
      </c>
    </row>
    <row r="751" customFormat="false" ht="15" hidden="false" customHeight="true" outlineLevel="0" collapsed="false">
      <c r="A751" s="8" t="s">
        <v>48</v>
      </c>
      <c r="B751" s="8" t="n">
        <v>4409000</v>
      </c>
      <c r="C751" s="8" t="s">
        <v>1345</v>
      </c>
      <c r="D751" s="19" t="n">
        <v>335</v>
      </c>
      <c r="E751" s="19" t="n">
        <v>3252.85</v>
      </c>
      <c r="F751" s="19" t="n">
        <v>320.842105263158</v>
      </c>
      <c r="G751" s="19" t="n">
        <v>2859.72757894737</v>
      </c>
      <c r="H751" s="8" t="str">
        <f aca="false">IF(COUNTIF($J$1:$J$2,$A751)&gt;0,"Y","N")</f>
        <v>Y</v>
      </c>
    </row>
    <row r="752" customFormat="false" ht="15" hidden="false" customHeight="true" outlineLevel="0" collapsed="false">
      <c r="A752" s="8" t="s">
        <v>48</v>
      </c>
      <c r="B752" s="8" t="n">
        <v>4409001</v>
      </c>
      <c r="C752" s="8" t="s">
        <v>1346</v>
      </c>
      <c r="D752" s="19" t="n">
        <v>158</v>
      </c>
      <c r="E752" s="19" t="n">
        <v>1276.64</v>
      </c>
      <c r="F752" s="19" t="n">
        <v>112.421052631579</v>
      </c>
      <c r="G752" s="19" t="n">
        <v>872.892631578947</v>
      </c>
      <c r="H752" s="8" t="str">
        <f aca="false">IF(COUNTIF($J$1:$J$2,$A752)&gt;0,"Y","N")</f>
        <v>Y</v>
      </c>
    </row>
    <row r="753" customFormat="false" ht="15" hidden="false" customHeight="true" outlineLevel="0" collapsed="false">
      <c r="A753" s="8" t="s">
        <v>48</v>
      </c>
      <c r="B753" s="8" t="n">
        <v>4409004</v>
      </c>
      <c r="C753" s="8" t="s">
        <v>1348</v>
      </c>
      <c r="D753" s="19" t="n">
        <v>1180</v>
      </c>
      <c r="E753" s="19" t="n">
        <v>15812</v>
      </c>
      <c r="F753" s="19" t="n">
        <v>591.157894736842</v>
      </c>
      <c r="G753" s="19" t="n">
        <v>7312.43747368421</v>
      </c>
      <c r="H753" s="8" t="str">
        <f aca="false">IF(COUNTIF($J$1:$J$2,$A753)&gt;0,"Y","N")</f>
        <v>Y</v>
      </c>
    </row>
    <row r="754" customFormat="false" ht="15" hidden="false" customHeight="true" outlineLevel="0" collapsed="false">
      <c r="A754" s="8" t="s">
        <v>48</v>
      </c>
      <c r="B754" s="8" t="n">
        <v>4409014</v>
      </c>
      <c r="C754" s="8" t="s">
        <v>1353</v>
      </c>
      <c r="D754" s="19" t="n">
        <v>92</v>
      </c>
      <c r="E754" s="19" t="n">
        <v>2300</v>
      </c>
      <c r="F754" s="19" t="n">
        <v>77.0526315789474</v>
      </c>
      <c r="G754" s="19" t="n">
        <v>1838.21052631579</v>
      </c>
      <c r="H754" s="8" t="str">
        <f aca="false">IF(COUNTIF($J$1:$J$2,$A754)&gt;0,"Y","N")</f>
        <v>Y</v>
      </c>
    </row>
    <row r="755" customFormat="false" ht="15" hidden="false" customHeight="true" outlineLevel="0" collapsed="false">
      <c r="A755" s="8" t="s">
        <v>48</v>
      </c>
      <c r="B755" s="8" t="n">
        <v>4409015</v>
      </c>
      <c r="C755" s="8" t="s">
        <v>1354</v>
      </c>
      <c r="D755" s="19" t="n">
        <v>111</v>
      </c>
      <c r="E755" s="19" t="n">
        <v>2775</v>
      </c>
      <c r="F755" s="19" t="n">
        <v>98.5263157894737</v>
      </c>
      <c r="G755" s="19" t="n">
        <v>2363.68421052632</v>
      </c>
      <c r="H755" s="8" t="str">
        <f aca="false">IF(COUNTIF($J$1:$J$2,$A755)&gt;0,"Y","N")</f>
        <v>Y</v>
      </c>
    </row>
    <row r="756" customFormat="false" ht="15" hidden="false" customHeight="true" outlineLevel="0" collapsed="false">
      <c r="A756" s="8" t="s">
        <v>48</v>
      </c>
      <c r="B756" s="8" t="n">
        <v>4409016</v>
      </c>
      <c r="C756" s="8" t="s">
        <v>1355</v>
      </c>
      <c r="D756" s="19" t="n">
        <v>104</v>
      </c>
      <c r="E756" s="19" t="n">
        <v>2600</v>
      </c>
      <c r="F756" s="19" t="n">
        <v>123.789473684211</v>
      </c>
      <c r="G756" s="19" t="n">
        <v>2932.73684210526</v>
      </c>
      <c r="H756" s="8" t="str">
        <f aca="false">IF(COUNTIF($J$1:$J$2,$A756)&gt;0,"Y","N")</f>
        <v>Y</v>
      </c>
    </row>
    <row r="757" customFormat="false" ht="15" hidden="false" customHeight="true" outlineLevel="0" collapsed="false">
      <c r="A757" s="8" t="s">
        <v>48</v>
      </c>
      <c r="B757" s="8" t="n">
        <v>4409017</v>
      </c>
      <c r="C757" s="8" t="s">
        <v>1356</v>
      </c>
      <c r="D757" s="19" t="n">
        <v>84</v>
      </c>
      <c r="E757" s="19" t="n">
        <v>2100</v>
      </c>
      <c r="F757" s="19" t="n">
        <v>116.210526315789</v>
      </c>
      <c r="G757" s="19" t="n">
        <v>2734.73684210526</v>
      </c>
      <c r="H757" s="8" t="str">
        <f aca="false">IF(COUNTIF($J$1:$J$2,$A757)&gt;0,"Y","N")</f>
        <v>Y</v>
      </c>
    </row>
    <row r="758" customFormat="false" ht="15" hidden="false" customHeight="true" outlineLevel="0" collapsed="false">
      <c r="A758" s="8" t="s">
        <v>48</v>
      </c>
      <c r="B758" s="8" t="n">
        <v>4411000</v>
      </c>
      <c r="C758" s="8" t="s">
        <v>1357</v>
      </c>
      <c r="D758" s="19" t="n">
        <v>188</v>
      </c>
      <c r="E758" s="19" t="n">
        <v>3468.6</v>
      </c>
      <c r="F758" s="19" t="n">
        <v>147.789473684211</v>
      </c>
      <c r="G758" s="19" t="n">
        <v>2450.63621052632</v>
      </c>
      <c r="H758" s="8" t="str">
        <f aca="false">IF(COUNTIF($J$1:$J$2,$A758)&gt;0,"Y","N")</f>
        <v>Y</v>
      </c>
    </row>
    <row r="759" customFormat="false" ht="15" hidden="false" customHeight="true" outlineLevel="0" collapsed="false">
      <c r="A759" s="8" t="s">
        <v>48</v>
      </c>
      <c r="B759" s="8" t="n">
        <v>4411001</v>
      </c>
      <c r="C759" s="8" t="s">
        <v>1358</v>
      </c>
      <c r="D759" s="19" t="n">
        <v>136</v>
      </c>
      <c r="E759" s="19" t="n">
        <v>2709.12</v>
      </c>
      <c r="F759" s="19" t="n">
        <v>149.052631578947</v>
      </c>
      <c r="G759" s="19" t="n">
        <v>2794.25178947368</v>
      </c>
      <c r="H759" s="8" t="str">
        <f aca="false">IF(COUNTIF($J$1:$J$2,$A759)&gt;0,"Y","N")</f>
        <v>Y</v>
      </c>
    </row>
    <row r="760" customFormat="false" ht="15" hidden="false" customHeight="true" outlineLevel="0" collapsed="false">
      <c r="A760" s="8" t="s">
        <v>48</v>
      </c>
      <c r="B760" s="8" t="n">
        <v>4411015</v>
      </c>
      <c r="C760" s="8" t="s">
        <v>1359</v>
      </c>
      <c r="D760" s="19" t="n">
        <v>76</v>
      </c>
      <c r="E760" s="19" t="n">
        <v>2464.68</v>
      </c>
      <c r="F760" s="19" t="n">
        <v>48</v>
      </c>
      <c r="G760" s="19" t="n">
        <v>1490.232</v>
      </c>
      <c r="H760" s="8" t="str">
        <f aca="false">IF(COUNTIF($J$1:$J$2,$A760)&gt;0,"Y","N")</f>
        <v>Y</v>
      </c>
    </row>
    <row r="761" customFormat="false" ht="15" hidden="false" customHeight="true" outlineLevel="0" collapsed="false">
      <c r="A761" s="8" t="s">
        <v>48</v>
      </c>
      <c r="B761" s="8" t="n">
        <v>4411016</v>
      </c>
      <c r="C761" s="8" t="s">
        <v>1360</v>
      </c>
      <c r="D761" s="19" t="n">
        <v>135</v>
      </c>
      <c r="E761" s="19" t="n">
        <v>8541.45</v>
      </c>
      <c r="F761" s="19" t="n">
        <v>88.421052631579</v>
      </c>
      <c r="G761" s="19" t="n">
        <v>5472.168</v>
      </c>
      <c r="H761" s="8" t="str">
        <f aca="false">IF(COUNTIF($J$1:$J$2,$A761)&gt;0,"Y","N")</f>
        <v>Y</v>
      </c>
    </row>
    <row r="762" customFormat="false" ht="15" hidden="false" customHeight="true" outlineLevel="0" collapsed="false">
      <c r="A762" s="8" t="s">
        <v>48</v>
      </c>
      <c r="B762" s="8" t="n">
        <v>4411026</v>
      </c>
      <c r="C762" s="8" t="s">
        <v>1369</v>
      </c>
      <c r="D762" s="19" t="n">
        <v>0</v>
      </c>
      <c r="E762" s="19" t="n">
        <v>0</v>
      </c>
      <c r="F762" s="19" t="n">
        <v>7.57894736842105</v>
      </c>
      <c r="G762" s="19" t="n">
        <v>489.675789473684</v>
      </c>
      <c r="H762" s="8" t="str">
        <f aca="false">IF(COUNTIF($J$1:$J$2,$A762)&gt;0,"Y","N")</f>
        <v>Y</v>
      </c>
    </row>
    <row r="763" customFormat="false" ht="15" hidden="false" customHeight="true" outlineLevel="0" collapsed="false">
      <c r="A763" s="8" t="s">
        <v>48</v>
      </c>
      <c r="B763" s="8" t="n">
        <v>4411027</v>
      </c>
      <c r="C763" s="8" t="s">
        <v>1370</v>
      </c>
      <c r="D763" s="19" t="n">
        <v>0</v>
      </c>
      <c r="E763" s="19" t="n">
        <v>0</v>
      </c>
      <c r="F763" s="19" t="n">
        <v>13.8947368421053</v>
      </c>
      <c r="G763" s="19" t="n">
        <v>897.738947368421</v>
      </c>
      <c r="H763" s="8" t="str">
        <f aca="false">IF(COUNTIF($J$1:$J$2,$A763)&gt;0,"Y","N")</f>
        <v>Y</v>
      </c>
    </row>
    <row r="764" customFormat="false" ht="15" hidden="false" customHeight="true" outlineLevel="0" collapsed="false">
      <c r="A764" s="8" t="s">
        <v>48</v>
      </c>
      <c r="B764" s="8" t="n">
        <v>4411028</v>
      </c>
      <c r="C764" s="8" t="s">
        <v>1371</v>
      </c>
      <c r="D764" s="19" t="n">
        <v>0</v>
      </c>
      <c r="E764" s="19" t="n">
        <v>0</v>
      </c>
      <c r="F764" s="19" t="n">
        <v>6.31578947368421</v>
      </c>
      <c r="G764" s="19" t="n">
        <v>408.063157894737</v>
      </c>
      <c r="H764" s="8" t="str">
        <f aca="false">IF(COUNTIF($J$1:$J$2,$A764)&gt;0,"Y","N")</f>
        <v>Y</v>
      </c>
    </row>
    <row r="765" customFormat="false" ht="15" hidden="false" customHeight="true" outlineLevel="0" collapsed="false">
      <c r="A765" s="8" t="s">
        <v>48</v>
      </c>
      <c r="B765" s="8" t="n">
        <v>4411029</v>
      </c>
      <c r="C765" s="8" t="s">
        <v>1372</v>
      </c>
      <c r="D765" s="19" t="n">
        <v>0</v>
      </c>
      <c r="E765" s="19" t="n">
        <v>0</v>
      </c>
      <c r="F765" s="19" t="n">
        <v>11.3684210526316</v>
      </c>
      <c r="G765" s="19" t="n">
        <v>734.513684210526</v>
      </c>
      <c r="H765" s="8" t="str">
        <f aca="false">IF(COUNTIF($J$1:$J$2,$A765)&gt;0,"Y","N")</f>
        <v>Y</v>
      </c>
    </row>
    <row r="766" customFormat="false" ht="15" hidden="false" customHeight="true" outlineLevel="0" collapsed="false">
      <c r="A766" s="8" t="s">
        <v>48</v>
      </c>
      <c r="B766" s="8" t="n">
        <v>4411030</v>
      </c>
      <c r="C766" s="8" t="s">
        <v>1373</v>
      </c>
      <c r="D766" s="19" t="n">
        <v>0</v>
      </c>
      <c r="E766" s="19" t="n">
        <v>0</v>
      </c>
      <c r="F766" s="19" t="n">
        <v>17.6842105263158</v>
      </c>
      <c r="G766" s="19" t="n">
        <v>1142.57684210526</v>
      </c>
      <c r="H766" s="8" t="str">
        <f aca="false">IF(COUNTIF($J$1:$J$2,$A766)&gt;0,"Y","N")</f>
        <v>Y</v>
      </c>
    </row>
    <row r="767" customFormat="false" ht="15" hidden="false" customHeight="true" outlineLevel="0" collapsed="false">
      <c r="A767" s="8" t="s">
        <v>48</v>
      </c>
      <c r="B767" s="8" t="n">
        <v>4411031</v>
      </c>
      <c r="C767" s="8" t="s">
        <v>1374</v>
      </c>
      <c r="D767" s="19" t="n">
        <v>0</v>
      </c>
      <c r="E767" s="19" t="n">
        <v>0</v>
      </c>
      <c r="F767" s="19" t="n">
        <v>10.1052631578947</v>
      </c>
      <c r="G767" s="19" t="n">
        <v>652.901052631579</v>
      </c>
      <c r="H767" s="8" t="str">
        <f aca="false">IF(COUNTIF($J$1:$J$2,$A767)&gt;0,"Y","N")</f>
        <v>Y</v>
      </c>
    </row>
    <row r="768" customFormat="false" ht="15" hidden="false" customHeight="true" outlineLevel="0" collapsed="false">
      <c r="A768" s="8" t="s">
        <v>48</v>
      </c>
      <c r="B768" s="8" t="n">
        <v>4413033</v>
      </c>
      <c r="C768" s="8" t="s">
        <v>1385</v>
      </c>
      <c r="D768" s="19" t="n">
        <v>207</v>
      </c>
      <c r="E768" s="19" t="n">
        <v>2032.74</v>
      </c>
      <c r="F768" s="19" t="n">
        <v>190.736842105263</v>
      </c>
      <c r="G768" s="19" t="n">
        <v>1718.88126315789</v>
      </c>
      <c r="H768" s="8" t="str">
        <f aca="false">IF(COUNTIF($J$1:$J$2,$A768)&gt;0,"Y","N")</f>
        <v>Y</v>
      </c>
    </row>
    <row r="769" customFormat="false" ht="15" hidden="false" customHeight="true" outlineLevel="0" collapsed="false">
      <c r="A769" s="8" t="s">
        <v>48</v>
      </c>
      <c r="B769" s="8" t="n">
        <v>4413034</v>
      </c>
      <c r="C769" s="8" t="s">
        <v>606</v>
      </c>
      <c r="D769" s="19" t="n">
        <v>69</v>
      </c>
      <c r="E769" s="19" t="n">
        <v>985.32</v>
      </c>
      <c r="F769" s="19" t="n">
        <v>18.9473684210526</v>
      </c>
      <c r="G769" s="19" t="n">
        <v>270.568421052632</v>
      </c>
      <c r="H769" s="8" t="str">
        <f aca="false">IF(COUNTIF($J$1:$J$2,$A769)&gt;0,"Y","N")</f>
        <v>Y</v>
      </c>
    </row>
    <row r="770" customFormat="false" ht="15" hidden="false" customHeight="true" outlineLevel="0" collapsed="false">
      <c r="A770" s="8" t="s">
        <v>48</v>
      </c>
      <c r="B770" s="8" t="n">
        <v>4413041</v>
      </c>
      <c r="C770" s="8" t="s">
        <v>1386</v>
      </c>
      <c r="D770" s="19" t="n">
        <v>289</v>
      </c>
      <c r="E770" s="19" t="n">
        <v>8360.77</v>
      </c>
      <c r="F770" s="19" t="n">
        <v>240</v>
      </c>
      <c r="G770" s="19" t="n">
        <v>6385.69389473684</v>
      </c>
      <c r="H770" s="8" t="str">
        <f aca="false">IF(COUNTIF($J$1:$J$2,$A770)&gt;0,"Y","N")</f>
        <v>Y</v>
      </c>
    </row>
    <row r="771" customFormat="false" ht="15" hidden="false" customHeight="true" outlineLevel="0" collapsed="false">
      <c r="A771" s="8" t="s">
        <v>48</v>
      </c>
      <c r="B771" s="8" t="n">
        <v>4413042</v>
      </c>
      <c r="C771" s="8" t="s">
        <v>1387</v>
      </c>
      <c r="D771" s="19" t="n">
        <v>119</v>
      </c>
      <c r="E771" s="19" t="n">
        <v>3442.67</v>
      </c>
      <c r="F771" s="19" t="n">
        <v>94.7368421052632</v>
      </c>
      <c r="G771" s="19" t="n">
        <v>2527.98442105263</v>
      </c>
      <c r="H771" s="8" t="str">
        <f aca="false">IF(COUNTIF($J$1:$J$2,$A771)&gt;0,"Y","N")</f>
        <v>Y</v>
      </c>
    </row>
    <row r="772" customFormat="false" ht="15" hidden="false" customHeight="true" outlineLevel="0" collapsed="false">
      <c r="A772" s="8" t="s">
        <v>48</v>
      </c>
      <c r="B772" s="8" t="n">
        <v>4413043</v>
      </c>
      <c r="C772" s="8" t="s">
        <v>1388</v>
      </c>
      <c r="D772" s="19" t="n">
        <v>320</v>
      </c>
      <c r="E772" s="19" t="n">
        <v>9257.6</v>
      </c>
      <c r="F772" s="19" t="n">
        <v>262.736842105263</v>
      </c>
      <c r="G772" s="19" t="n">
        <v>7127.66021052632</v>
      </c>
      <c r="H772" s="8" t="str">
        <f aca="false">IF(COUNTIF($J$1:$J$2,$A772)&gt;0,"Y","N")</f>
        <v>Y</v>
      </c>
    </row>
    <row r="773" customFormat="false" ht="15" hidden="false" customHeight="true" outlineLevel="0" collapsed="false">
      <c r="A773" s="8" t="s">
        <v>48</v>
      </c>
      <c r="B773" s="8" t="n">
        <v>4413044</v>
      </c>
      <c r="C773" s="8" t="s">
        <v>1389</v>
      </c>
      <c r="D773" s="19" t="n">
        <v>192</v>
      </c>
      <c r="E773" s="19" t="n">
        <v>5554.56</v>
      </c>
      <c r="F773" s="19" t="n">
        <v>180.631578947368</v>
      </c>
      <c r="G773" s="19" t="n">
        <v>4806.41810526316</v>
      </c>
      <c r="H773" s="8" t="str">
        <f aca="false">IF(COUNTIF($J$1:$J$2,$A773)&gt;0,"Y","N")</f>
        <v>Y</v>
      </c>
    </row>
    <row r="774" customFormat="false" ht="15" hidden="false" customHeight="true" outlineLevel="0" collapsed="false">
      <c r="A774" s="8" t="s">
        <v>48</v>
      </c>
      <c r="B774" s="8" t="n">
        <v>4413046</v>
      </c>
      <c r="C774" s="8" t="s">
        <v>1391</v>
      </c>
      <c r="D774" s="19" t="n">
        <v>64</v>
      </c>
      <c r="E774" s="19" t="n">
        <v>1851.52</v>
      </c>
      <c r="F774" s="19" t="n">
        <v>61.8947368421053</v>
      </c>
      <c r="G774" s="19" t="n">
        <v>1676.85978947368</v>
      </c>
      <c r="H774" s="8" t="str">
        <f aca="false">IF(COUNTIF($J$1:$J$2,$A774)&gt;0,"Y","N")</f>
        <v>Y</v>
      </c>
    </row>
    <row r="775" customFormat="false" ht="15" hidden="false" customHeight="true" outlineLevel="0" collapsed="false">
      <c r="A775" s="8" t="s">
        <v>48</v>
      </c>
      <c r="B775" s="8" t="n">
        <v>4413047</v>
      </c>
      <c r="C775" s="8" t="s">
        <v>1392</v>
      </c>
      <c r="D775" s="19" t="n">
        <v>95</v>
      </c>
      <c r="E775" s="19" t="n">
        <v>1615</v>
      </c>
      <c r="F775" s="19" t="n">
        <v>93.4736842105263</v>
      </c>
      <c r="G775" s="19" t="n">
        <v>1480.39578947368</v>
      </c>
      <c r="H775" s="8" t="str">
        <f aca="false">IF(COUNTIF($J$1:$J$2,$A775)&gt;0,"Y","N")</f>
        <v>Y</v>
      </c>
    </row>
    <row r="776" customFormat="false" ht="15" hidden="false" customHeight="true" outlineLevel="0" collapsed="false">
      <c r="A776" s="8" t="s">
        <v>48</v>
      </c>
      <c r="B776" s="8" t="n">
        <v>4413048</v>
      </c>
      <c r="C776" s="8" t="s">
        <v>1393</v>
      </c>
      <c r="D776" s="19" t="n">
        <v>235</v>
      </c>
      <c r="E776" s="19" t="n">
        <v>3995</v>
      </c>
      <c r="F776" s="19" t="n">
        <v>227.368421052632</v>
      </c>
      <c r="G776" s="19" t="n">
        <v>3615.09473684211</v>
      </c>
      <c r="H776" s="8" t="str">
        <f aca="false">IF(COUNTIF($J$1:$J$2,$A776)&gt;0,"Y","N")</f>
        <v>Y</v>
      </c>
    </row>
    <row r="777" customFormat="false" ht="15" hidden="false" customHeight="true" outlineLevel="0" collapsed="false">
      <c r="A777" s="8" t="s">
        <v>48</v>
      </c>
      <c r="B777" s="8" t="n">
        <v>4413049</v>
      </c>
      <c r="C777" s="8" t="s">
        <v>1394</v>
      </c>
      <c r="D777" s="19" t="n">
        <v>275</v>
      </c>
      <c r="E777" s="19" t="n">
        <v>4675</v>
      </c>
      <c r="F777" s="19" t="n">
        <v>216</v>
      </c>
      <c r="G777" s="19" t="n">
        <v>3420.97642105263</v>
      </c>
      <c r="H777" s="8" t="str">
        <f aca="false">IF(COUNTIF($J$1:$J$2,$A777)&gt;0,"Y","N")</f>
        <v>Y</v>
      </c>
    </row>
    <row r="778" customFormat="false" ht="15" hidden="false" customHeight="true" outlineLevel="0" collapsed="false">
      <c r="A778" s="8" t="s">
        <v>48</v>
      </c>
      <c r="B778" s="8" t="n">
        <v>4413050</v>
      </c>
      <c r="C778" s="8" t="s">
        <v>1395</v>
      </c>
      <c r="D778" s="19" t="n">
        <v>226</v>
      </c>
      <c r="E778" s="19" t="n">
        <v>3842</v>
      </c>
      <c r="F778" s="19" t="n">
        <v>162.947368421053</v>
      </c>
      <c r="G778" s="19" t="n">
        <v>2497.608</v>
      </c>
      <c r="H778" s="8" t="str">
        <f aca="false">IF(COUNTIF($J$1:$J$2,$A778)&gt;0,"Y","N")</f>
        <v>Y</v>
      </c>
    </row>
    <row r="779" customFormat="false" ht="15" hidden="false" customHeight="true" outlineLevel="0" collapsed="false">
      <c r="A779" s="8" t="s">
        <v>48</v>
      </c>
      <c r="B779" s="8" t="n">
        <v>4413051</v>
      </c>
      <c r="C779" s="8" t="s">
        <v>1396</v>
      </c>
      <c r="D779" s="19" t="n">
        <v>77</v>
      </c>
      <c r="E779" s="19" t="n">
        <v>1309</v>
      </c>
      <c r="F779" s="19" t="n">
        <v>30.3157894736842</v>
      </c>
      <c r="G779" s="19" t="n">
        <v>484.338947368421</v>
      </c>
      <c r="H779" s="8" t="str">
        <f aca="false">IF(COUNTIF($J$1:$J$2,$A779)&gt;0,"Y","N")</f>
        <v>Y</v>
      </c>
    </row>
    <row r="780" customFormat="false" ht="15" hidden="false" customHeight="true" outlineLevel="0" collapsed="false">
      <c r="A780" s="8" t="s">
        <v>48</v>
      </c>
      <c r="B780" s="8" t="n">
        <v>4413056</v>
      </c>
      <c r="C780" s="8" t="s">
        <v>1401</v>
      </c>
      <c r="D780" s="19" t="n">
        <v>38</v>
      </c>
      <c r="E780" s="19" t="n">
        <v>615.6</v>
      </c>
      <c r="F780" s="19" t="n">
        <v>34.1052631578947</v>
      </c>
      <c r="G780" s="19" t="n">
        <v>521.196631578947</v>
      </c>
      <c r="H780" s="8" t="str">
        <f aca="false">IF(COUNTIF($J$1:$J$2,$A780)&gt;0,"Y","N")</f>
        <v>Y</v>
      </c>
    </row>
    <row r="781" customFormat="false" ht="15" hidden="false" customHeight="true" outlineLevel="0" collapsed="false">
      <c r="A781" s="8" t="s">
        <v>48</v>
      </c>
      <c r="B781" s="8" t="n">
        <v>4413058</v>
      </c>
      <c r="C781" s="8" t="s">
        <v>1402</v>
      </c>
      <c r="D781" s="19" t="n">
        <v>71</v>
      </c>
      <c r="E781" s="19" t="n">
        <v>1661.4</v>
      </c>
      <c r="F781" s="19" t="n">
        <v>59.3684210526316</v>
      </c>
      <c r="G781" s="19" t="n">
        <v>1239.65810526316</v>
      </c>
      <c r="H781" s="8" t="str">
        <f aca="false">IF(COUNTIF($J$1:$J$2,$A781)&gt;0,"Y","N")</f>
        <v>Y</v>
      </c>
    </row>
    <row r="782" customFormat="false" ht="15" hidden="false" customHeight="true" outlineLevel="0" collapsed="false">
      <c r="A782" s="8" t="s">
        <v>48</v>
      </c>
      <c r="B782" s="8" t="n">
        <v>4413059</v>
      </c>
      <c r="C782" s="8" t="s">
        <v>1403</v>
      </c>
      <c r="D782" s="19" t="n">
        <v>669</v>
      </c>
      <c r="E782" s="19" t="n">
        <v>6355.5</v>
      </c>
      <c r="F782" s="19" t="n">
        <v>437.052631578947</v>
      </c>
      <c r="G782" s="19" t="n">
        <v>3774.58231578947</v>
      </c>
      <c r="H782" s="8" t="str">
        <f aca="false">IF(COUNTIF($J$1:$J$2,$A782)&gt;0,"Y","N")</f>
        <v>Y</v>
      </c>
    </row>
    <row r="783" customFormat="false" ht="15" hidden="false" customHeight="true" outlineLevel="0" collapsed="false">
      <c r="A783" s="8" t="s">
        <v>48</v>
      </c>
      <c r="B783" s="8" t="n">
        <v>4413060</v>
      </c>
      <c r="C783" s="8" t="s">
        <v>1404</v>
      </c>
      <c r="D783" s="19" t="n">
        <v>327</v>
      </c>
      <c r="E783" s="19" t="n">
        <v>3106.5</v>
      </c>
      <c r="F783" s="19" t="n">
        <v>282.947368421053</v>
      </c>
      <c r="G783" s="19" t="n">
        <v>2437.32252631579</v>
      </c>
      <c r="H783" s="8" t="str">
        <f aca="false">IF(COUNTIF($J$1:$J$2,$A783)&gt;0,"Y","N")</f>
        <v>Y</v>
      </c>
    </row>
    <row r="784" customFormat="false" ht="15" hidden="false" customHeight="true" outlineLevel="0" collapsed="false">
      <c r="A784" s="8" t="s">
        <v>48</v>
      </c>
      <c r="B784" s="8" t="n">
        <v>4413061</v>
      </c>
      <c r="C784" s="8" t="s">
        <v>631</v>
      </c>
      <c r="D784" s="19" t="n">
        <v>199</v>
      </c>
      <c r="E784" s="19" t="n">
        <v>2577.05</v>
      </c>
      <c r="F784" s="19" t="n">
        <v>29.0526315789474</v>
      </c>
      <c r="G784" s="19" t="n">
        <v>376.231578947368</v>
      </c>
      <c r="H784" s="8" t="str">
        <f aca="false">IF(COUNTIF($J$1:$J$2,$A784)&gt;0,"Y","N")</f>
        <v>Y</v>
      </c>
    </row>
    <row r="785" customFormat="false" ht="15" hidden="false" customHeight="true" outlineLevel="0" collapsed="false">
      <c r="A785" s="8" t="s">
        <v>48</v>
      </c>
      <c r="B785" s="8" t="n">
        <v>4413063</v>
      </c>
      <c r="C785" s="8" t="s">
        <v>1406</v>
      </c>
      <c r="D785" s="19" t="n">
        <v>151</v>
      </c>
      <c r="E785" s="19" t="n">
        <v>1710.83</v>
      </c>
      <c r="F785" s="19" t="n">
        <v>123.789473684211</v>
      </c>
      <c r="G785" s="19" t="n">
        <v>1250.58442105263</v>
      </c>
      <c r="H785" s="8" t="str">
        <f aca="false">IF(COUNTIF($J$1:$J$2,$A785)&gt;0,"Y","N")</f>
        <v>Y</v>
      </c>
    </row>
    <row r="786" customFormat="false" ht="15" hidden="false" customHeight="true" outlineLevel="0" collapsed="false">
      <c r="A786" s="8" t="s">
        <v>48</v>
      </c>
      <c r="B786" s="8" t="n">
        <v>4413066</v>
      </c>
      <c r="C786" s="8" t="s">
        <v>1407</v>
      </c>
      <c r="D786" s="19" t="n">
        <v>104</v>
      </c>
      <c r="E786" s="19" t="n">
        <v>1439.36</v>
      </c>
      <c r="F786" s="19" t="n">
        <v>63.1578947368421</v>
      </c>
      <c r="G786" s="19" t="n">
        <v>797.466947368421</v>
      </c>
      <c r="H786" s="8" t="str">
        <f aca="false">IF(COUNTIF($J$1:$J$2,$A786)&gt;0,"Y","N")</f>
        <v>Y</v>
      </c>
    </row>
    <row r="787" customFormat="false" ht="15" hidden="false" customHeight="true" outlineLevel="0" collapsed="false">
      <c r="A787" s="8" t="s">
        <v>48</v>
      </c>
      <c r="B787" s="8" t="n">
        <v>4413071</v>
      </c>
      <c r="C787" s="8" t="s">
        <v>1410</v>
      </c>
      <c r="D787" s="19" t="n">
        <v>3</v>
      </c>
      <c r="E787" s="19" t="n">
        <v>231.72</v>
      </c>
      <c r="F787" s="19" t="n">
        <v>6.31578947368421</v>
      </c>
      <c r="G787" s="19" t="n">
        <v>452.753684210526</v>
      </c>
      <c r="H787" s="8" t="str">
        <f aca="false">IF(COUNTIF($J$1:$J$2,$A787)&gt;0,"Y","N")</f>
        <v>Y</v>
      </c>
    </row>
    <row r="788" customFormat="false" ht="15" hidden="false" customHeight="true" outlineLevel="0" collapsed="false">
      <c r="A788" s="8" t="s">
        <v>48</v>
      </c>
      <c r="B788" s="8" t="n">
        <v>4413092</v>
      </c>
      <c r="C788" s="8" t="s">
        <v>1422</v>
      </c>
      <c r="D788" s="19" t="n">
        <v>646</v>
      </c>
      <c r="E788" s="19" t="n">
        <v>10659</v>
      </c>
      <c r="F788" s="19" t="n">
        <v>471.157894736842</v>
      </c>
      <c r="G788" s="19" t="n">
        <v>7376.43789473684</v>
      </c>
      <c r="H788" s="8" t="str">
        <f aca="false">IF(COUNTIF($J$1:$J$2,$A788)&gt;0,"Y","N")</f>
        <v>Y</v>
      </c>
    </row>
    <row r="789" customFormat="false" ht="15" hidden="false" customHeight="true" outlineLevel="0" collapsed="false">
      <c r="A789" s="8" t="s">
        <v>48</v>
      </c>
      <c r="B789" s="8" t="n">
        <v>4413093</v>
      </c>
      <c r="C789" s="8" t="s">
        <v>1423</v>
      </c>
      <c r="D789" s="19" t="n">
        <v>470</v>
      </c>
      <c r="E789" s="19" t="n">
        <v>7755</v>
      </c>
      <c r="F789" s="19" t="n">
        <v>380.21052631579</v>
      </c>
      <c r="G789" s="19" t="n">
        <v>5935.83157894737</v>
      </c>
      <c r="H789" s="8" t="str">
        <f aca="false">IF(COUNTIF($J$1:$J$2,$A789)&gt;0,"Y","N")</f>
        <v>Y</v>
      </c>
    </row>
    <row r="790" customFormat="false" ht="15" hidden="false" customHeight="true" outlineLevel="0" collapsed="false">
      <c r="A790" s="8" t="s">
        <v>48</v>
      </c>
      <c r="B790" s="8" t="n">
        <v>4413094</v>
      </c>
      <c r="C790" s="8" t="s">
        <v>1424</v>
      </c>
      <c r="D790" s="19" t="n">
        <v>142</v>
      </c>
      <c r="E790" s="19" t="n">
        <v>2343</v>
      </c>
      <c r="F790" s="19" t="n">
        <v>125.052631578947</v>
      </c>
      <c r="G790" s="19" t="n">
        <v>1975.20631578947</v>
      </c>
      <c r="H790" s="8" t="str">
        <f aca="false">IF(COUNTIF($J$1:$J$2,$A790)&gt;0,"Y","N")</f>
        <v>Y</v>
      </c>
    </row>
    <row r="791" customFormat="false" ht="15" hidden="false" customHeight="true" outlineLevel="0" collapsed="false">
      <c r="A791" s="8" t="s">
        <v>48</v>
      </c>
      <c r="B791" s="8" t="n">
        <v>4413095</v>
      </c>
      <c r="C791" s="8" t="s">
        <v>1425</v>
      </c>
      <c r="D791" s="19" t="n">
        <v>383</v>
      </c>
      <c r="E791" s="19" t="n">
        <v>6319.5</v>
      </c>
      <c r="F791" s="19" t="n">
        <v>270.315789473684</v>
      </c>
      <c r="G791" s="19" t="n">
        <v>4067.46442105263</v>
      </c>
      <c r="H791" s="8" t="str">
        <f aca="false">IF(COUNTIF($J$1:$J$2,$A791)&gt;0,"Y","N")</f>
        <v>Y</v>
      </c>
    </row>
    <row r="792" customFormat="false" ht="15" hidden="false" customHeight="true" outlineLevel="0" collapsed="false">
      <c r="A792" s="8" t="s">
        <v>48</v>
      </c>
      <c r="B792" s="8" t="n">
        <v>4413096</v>
      </c>
      <c r="C792" s="8" t="s">
        <v>1426</v>
      </c>
      <c r="D792" s="19" t="n">
        <v>178</v>
      </c>
      <c r="E792" s="19" t="n">
        <v>2937</v>
      </c>
      <c r="F792" s="19" t="n">
        <v>117.473684210526</v>
      </c>
      <c r="G792" s="19" t="n">
        <v>1797.96757894737</v>
      </c>
      <c r="H792" s="8" t="str">
        <f aca="false">IF(COUNTIF($J$1:$J$2,$A792)&gt;0,"Y","N")</f>
        <v>Y</v>
      </c>
    </row>
    <row r="793" customFormat="false" ht="15" hidden="false" customHeight="true" outlineLevel="0" collapsed="false">
      <c r="A793" s="8" t="s">
        <v>48</v>
      </c>
      <c r="B793" s="8" t="n">
        <v>4413101</v>
      </c>
      <c r="C793" s="8" t="s">
        <v>1431</v>
      </c>
      <c r="D793" s="19" t="n">
        <v>80</v>
      </c>
      <c r="E793" s="19" t="n">
        <v>1640</v>
      </c>
      <c r="F793" s="19" t="n">
        <v>98.5263157894737</v>
      </c>
      <c r="G793" s="19" t="n">
        <v>1893.61010526316</v>
      </c>
      <c r="H793" s="8" t="str">
        <f aca="false">IF(COUNTIF($J$1:$J$2,$A793)&gt;0,"Y","N")</f>
        <v>Y</v>
      </c>
    </row>
    <row r="794" customFormat="false" ht="15" hidden="false" customHeight="true" outlineLevel="0" collapsed="false">
      <c r="A794" s="8" t="s">
        <v>48</v>
      </c>
      <c r="B794" s="8" t="n">
        <v>4413102</v>
      </c>
      <c r="C794" s="8" t="s">
        <v>1432</v>
      </c>
      <c r="D794" s="19" t="n">
        <v>374</v>
      </c>
      <c r="E794" s="19" t="n">
        <v>7667</v>
      </c>
      <c r="F794" s="19" t="n">
        <v>298.105263157895</v>
      </c>
      <c r="G794" s="19" t="n">
        <v>5750.96210526316</v>
      </c>
      <c r="H794" s="8" t="str">
        <f aca="false">IF(COUNTIF($J$1:$J$2,$A794)&gt;0,"Y","N")</f>
        <v>Y</v>
      </c>
    </row>
    <row r="795" customFormat="false" ht="15" hidden="false" customHeight="true" outlineLevel="0" collapsed="false">
      <c r="A795" s="8" t="s">
        <v>48</v>
      </c>
      <c r="B795" s="8" t="n">
        <v>4413103</v>
      </c>
      <c r="C795" s="8" t="s">
        <v>1433</v>
      </c>
      <c r="D795" s="19" t="n">
        <v>329</v>
      </c>
      <c r="E795" s="19" t="n">
        <v>6744.5</v>
      </c>
      <c r="F795" s="19" t="n">
        <v>265.263157894737</v>
      </c>
      <c r="G795" s="19" t="n">
        <v>5005.52463157895</v>
      </c>
      <c r="H795" s="8" t="str">
        <f aca="false">IF(COUNTIF($J$1:$J$2,$A795)&gt;0,"Y","N")</f>
        <v>Y</v>
      </c>
    </row>
    <row r="796" customFormat="false" ht="15" hidden="false" customHeight="true" outlineLevel="0" collapsed="false">
      <c r="A796" s="8" t="s">
        <v>48</v>
      </c>
      <c r="B796" s="8" t="n">
        <v>4413104</v>
      </c>
      <c r="C796" s="8" t="s">
        <v>1434</v>
      </c>
      <c r="D796" s="19" t="n">
        <v>290</v>
      </c>
      <c r="E796" s="19" t="n">
        <v>5945</v>
      </c>
      <c r="F796" s="19" t="n">
        <v>241.263157894737</v>
      </c>
      <c r="G796" s="19" t="n">
        <v>4564.79621052632</v>
      </c>
      <c r="H796" s="8" t="str">
        <f aca="false">IF(COUNTIF($J$1:$J$2,$A796)&gt;0,"Y","N")</f>
        <v>Y</v>
      </c>
    </row>
    <row r="797" customFormat="false" ht="15" hidden="false" customHeight="true" outlineLevel="0" collapsed="false">
      <c r="A797" s="8" t="s">
        <v>48</v>
      </c>
      <c r="B797" s="8" t="n">
        <v>4413105</v>
      </c>
      <c r="C797" s="8" t="s">
        <v>1435</v>
      </c>
      <c r="D797" s="19" t="n">
        <v>135</v>
      </c>
      <c r="E797" s="19" t="n">
        <v>2767.5</v>
      </c>
      <c r="F797" s="19" t="n">
        <v>103.578947368421</v>
      </c>
      <c r="G797" s="19" t="n">
        <v>2010.11494736842</v>
      </c>
      <c r="H797" s="8" t="str">
        <f aca="false">IF(COUNTIF($J$1:$J$2,$A797)&gt;0,"Y","N")</f>
        <v>Y</v>
      </c>
    </row>
    <row r="798" customFormat="false" ht="15" hidden="false" customHeight="true" outlineLevel="0" collapsed="false">
      <c r="A798" s="8" t="s">
        <v>48</v>
      </c>
      <c r="B798" s="8" t="n">
        <v>4413111</v>
      </c>
      <c r="C798" s="8" t="s">
        <v>1441</v>
      </c>
      <c r="D798" s="19" t="n">
        <v>0</v>
      </c>
      <c r="E798" s="19" t="n">
        <v>0</v>
      </c>
      <c r="F798" s="19" t="n">
        <v>2.52631578947368</v>
      </c>
      <c r="G798" s="19" t="n">
        <v>50.6652631578947</v>
      </c>
      <c r="H798" s="8" t="str">
        <f aca="false">IF(COUNTIF($J$1:$J$2,$A798)&gt;0,"Y","N")</f>
        <v>Y</v>
      </c>
    </row>
    <row r="799" customFormat="false" ht="15" hidden="false" customHeight="true" outlineLevel="0" collapsed="false">
      <c r="A799" s="8" t="s">
        <v>48</v>
      </c>
      <c r="B799" s="8" t="n">
        <v>4413112</v>
      </c>
      <c r="C799" s="8" t="s">
        <v>1442</v>
      </c>
      <c r="D799" s="19" t="n">
        <v>11</v>
      </c>
      <c r="E799" s="19" t="n">
        <v>231</v>
      </c>
      <c r="F799" s="19" t="n">
        <v>15.1578947368421</v>
      </c>
      <c r="G799" s="19" t="n">
        <v>266.713263157895</v>
      </c>
      <c r="H799" s="8" t="str">
        <f aca="false">IF(COUNTIF($J$1:$J$2,$A799)&gt;0,"Y","N")</f>
        <v>Y</v>
      </c>
    </row>
    <row r="800" customFormat="false" ht="15" hidden="false" customHeight="true" outlineLevel="0" collapsed="false">
      <c r="A800" s="8" t="s">
        <v>48</v>
      </c>
      <c r="B800" s="8" t="n">
        <v>4413113</v>
      </c>
      <c r="C800" s="8" t="s">
        <v>810</v>
      </c>
      <c r="D800" s="19" t="n">
        <v>7</v>
      </c>
      <c r="E800" s="19" t="n">
        <v>147</v>
      </c>
      <c r="F800" s="19" t="n">
        <v>8.84210526315789</v>
      </c>
      <c r="G800" s="19" t="n">
        <v>185.684210526316</v>
      </c>
      <c r="H800" s="8" t="str">
        <f aca="false">IF(COUNTIF($J$1:$J$2,$A800)&gt;0,"Y","N")</f>
        <v>Y</v>
      </c>
    </row>
    <row r="801" customFormat="false" ht="15" hidden="false" customHeight="true" outlineLevel="0" collapsed="false">
      <c r="A801" s="8" t="s">
        <v>48</v>
      </c>
      <c r="B801" s="8" t="n">
        <v>4413114</v>
      </c>
      <c r="C801" s="8" t="s">
        <v>1444</v>
      </c>
      <c r="D801" s="19" t="n">
        <v>10</v>
      </c>
      <c r="E801" s="19" t="n">
        <v>210</v>
      </c>
      <c r="F801" s="19" t="n">
        <v>21.4736842105263</v>
      </c>
      <c r="G801" s="19" t="n">
        <v>394.570105263158</v>
      </c>
      <c r="H801" s="8" t="str">
        <f aca="false">IF(COUNTIF($J$1:$J$2,$A801)&gt;0,"Y","N")</f>
        <v>Y</v>
      </c>
    </row>
    <row r="802" customFormat="false" ht="15" hidden="false" customHeight="true" outlineLevel="0" collapsed="false">
      <c r="A802" s="8" t="s">
        <v>48</v>
      </c>
      <c r="B802" s="8" t="n">
        <v>4413115</v>
      </c>
      <c r="C802" s="8" t="s">
        <v>928</v>
      </c>
      <c r="D802" s="19" t="n">
        <v>1</v>
      </c>
      <c r="E802" s="19" t="n">
        <v>21</v>
      </c>
      <c r="F802" s="19" t="n">
        <v>0</v>
      </c>
      <c r="G802" s="19" t="n">
        <v>0</v>
      </c>
      <c r="H802" s="8" t="str">
        <f aca="false">IF(COUNTIF($J$1:$J$2,$A802)&gt;0,"Y","N")</f>
        <v>Y</v>
      </c>
    </row>
    <row r="803" customFormat="false" ht="15" hidden="false" customHeight="true" outlineLevel="0" collapsed="false">
      <c r="A803" s="8" t="s">
        <v>48</v>
      </c>
      <c r="B803" s="8" t="n">
        <v>4413131</v>
      </c>
      <c r="C803" s="8" t="s">
        <v>1459</v>
      </c>
      <c r="D803" s="19" t="n">
        <v>14</v>
      </c>
      <c r="E803" s="19" t="n">
        <v>1908.2</v>
      </c>
      <c r="F803" s="19" t="n">
        <v>6.31578947368421</v>
      </c>
      <c r="G803" s="19" t="n">
        <v>798.861473684211</v>
      </c>
      <c r="H803" s="8" t="str">
        <f aca="false">IF(COUNTIF($J$1:$J$2,$A803)&gt;0,"Y","N")</f>
        <v>Y</v>
      </c>
    </row>
    <row r="804" customFormat="false" ht="15" hidden="false" customHeight="true" outlineLevel="0" collapsed="false">
      <c r="A804" s="8" t="s">
        <v>48</v>
      </c>
      <c r="B804" s="8" t="n">
        <v>4413132</v>
      </c>
      <c r="C804" s="8" t="s">
        <v>1460</v>
      </c>
      <c r="D804" s="19" t="n">
        <v>19</v>
      </c>
      <c r="E804" s="19" t="n">
        <v>2589.7</v>
      </c>
      <c r="F804" s="19" t="n">
        <v>15.1578947368421</v>
      </c>
      <c r="G804" s="19" t="n">
        <v>2035.03073684211</v>
      </c>
      <c r="H804" s="8" t="str">
        <f aca="false">IF(COUNTIF($J$1:$J$2,$A804)&gt;0,"Y","N")</f>
        <v>Y</v>
      </c>
    </row>
    <row r="805" customFormat="false" ht="15" hidden="false" customHeight="true" outlineLevel="0" collapsed="false">
      <c r="A805" s="8" t="s">
        <v>48</v>
      </c>
      <c r="B805" s="8" t="n">
        <v>4413133</v>
      </c>
      <c r="C805" s="8" t="s">
        <v>1461</v>
      </c>
      <c r="D805" s="19" t="n">
        <v>24</v>
      </c>
      <c r="E805" s="19" t="n">
        <v>3271.2</v>
      </c>
      <c r="F805" s="19" t="n">
        <v>17.6842105263158</v>
      </c>
      <c r="G805" s="19" t="n">
        <v>2317.38694736842</v>
      </c>
      <c r="H805" s="8" t="str">
        <f aca="false">IF(COUNTIF($J$1:$J$2,$A805)&gt;0,"Y","N")</f>
        <v>Y</v>
      </c>
    </row>
    <row r="806" customFormat="false" ht="15" hidden="false" customHeight="true" outlineLevel="0" collapsed="false">
      <c r="A806" s="8" t="s">
        <v>48</v>
      </c>
      <c r="B806" s="8" t="n">
        <v>4413134</v>
      </c>
      <c r="C806" s="8" t="s">
        <v>1462</v>
      </c>
      <c r="D806" s="19" t="n">
        <v>7</v>
      </c>
      <c r="E806" s="19" t="n">
        <v>954.1</v>
      </c>
      <c r="F806" s="19" t="n">
        <v>18.9473684210526</v>
      </c>
      <c r="G806" s="19" t="n">
        <v>2474.06021052632</v>
      </c>
      <c r="H806" s="8" t="str">
        <f aca="false">IF(COUNTIF($J$1:$J$2,$A806)&gt;0,"Y","N")</f>
        <v>Y</v>
      </c>
    </row>
    <row r="807" customFormat="false" ht="15" hidden="false" customHeight="true" outlineLevel="0" collapsed="false">
      <c r="A807" s="8" t="s">
        <v>48</v>
      </c>
      <c r="B807" s="8" t="n">
        <v>4413135</v>
      </c>
      <c r="C807" s="8" t="s">
        <v>1463</v>
      </c>
      <c r="D807" s="19" t="n">
        <v>345</v>
      </c>
      <c r="E807" s="19" t="n">
        <v>12075</v>
      </c>
      <c r="F807" s="19" t="n">
        <v>293.052631578947</v>
      </c>
      <c r="G807" s="19" t="n">
        <v>9524.22063157895</v>
      </c>
      <c r="H807" s="8" t="str">
        <f aca="false">IF(COUNTIF($J$1:$J$2,$A807)&gt;0,"Y","N")</f>
        <v>Y</v>
      </c>
    </row>
    <row r="808" customFormat="false" ht="15" hidden="false" customHeight="true" outlineLevel="0" collapsed="false">
      <c r="A808" s="8" t="s">
        <v>48</v>
      </c>
      <c r="B808" s="8" t="n">
        <v>4413136</v>
      </c>
      <c r="C808" s="8" t="s">
        <v>1464</v>
      </c>
      <c r="D808" s="19" t="n">
        <v>309</v>
      </c>
      <c r="E808" s="19" t="n">
        <v>10815</v>
      </c>
      <c r="F808" s="19" t="n">
        <v>193.263157894737</v>
      </c>
      <c r="G808" s="19" t="n">
        <v>6303.48378947368</v>
      </c>
      <c r="H808" s="8" t="str">
        <f aca="false">IF(COUNTIF($J$1:$J$2,$A808)&gt;0,"Y","N")</f>
        <v>Y</v>
      </c>
    </row>
    <row r="809" customFormat="false" ht="15" hidden="false" customHeight="true" outlineLevel="0" collapsed="false">
      <c r="A809" s="8" t="s">
        <v>48</v>
      </c>
      <c r="B809" s="8" t="n">
        <v>4413137</v>
      </c>
      <c r="C809" s="8" t="s">
        <v>1465</v>
      </c>
      <c r="D809" s="19" t="n">
        <v>127</v>
      </c>
      <c r="E809" s="19" t="n">
        <v>4445</v>
      </c>
      <c r="F809" s="19" t="n">
        <v>125.052631578947</v>
      </c>
      <c r="G809" s="19" t="n">
        <v>4097.65263157895</v>
      </c>
      <c r="H809" s="8" t="str">
        <f aca="false">IF(COUNTIF($J$1:$J$2,$A809)&gt;0,"Y","N")</f>
        <v>Y</v>
      </c>
    </row>
    <row r="810" customFormat="false" ht="15" hidden="false" customHeight="true" outlineLevel="0" collapsed="false">
      <c r="A810" s="8" t="s">
        <v>48</v>
      </c>
      <c r="B810" s="8" t="n">
        <v>4413138</v>
      </c>
      <c r="C810" s="8" t="s">
        <v>1466</v>
      </c>
      <c r="D810" s="19" t="n">
        <v>133</v>
      </c>
      <c r="E810" s="19" t="n">
        <v>4655</v>
      </c>
      <c r="F810" s="19" t="n">
        <v>122.526315789474</v>
      </c>
      <c r="G810" s="19" t="n">
        <v>3902.63115789474</v>
      </c>
      <c r="H810" s="8" t="str">
        <f aca="false">IF(COUNTIF($J$1:$J$2,$A810)&gt;0,"Y","N")</f>
        <v>Y</v>
      </c>
    </row>
    <row r="811" customFormat="false" ht="15" hidden="false" customHeight="true" outlineLevel="0" collapsed="false">
      <c r="A811" s="8" t="s">
        <v>48</v>
      </c>
      <c r="B811" s="8" t="n">
        <v>4413139</v>
      </c>
      <c r="C811" s="8" t="s">
        <v>1467</v>
      </c>
      <c r="D811" s="19" t="n">
        <v>217</v>
      </c>
      <c r="E811" s="19" t="n">
        <v>3689</v>
      </c>
      <c r="F811" s="19" t="n">
        <v>159.157894736842</v>
      </c>
      <c r="G811" s="19" t="n">
        <v>2559.45221052632</v>
      </c>
      <c r="H811" s="8" t="str">
        <f aca="false">IF(COUNTIF($J$1:$J$2,$A811)&gt;0,"Y","N")</f>
        <v>Y</v>
      </c>
    </row>
    <row r="812" customFormat="false" ht="15" hidden="false" customHeight="true" outlineLevel="0" collapsed="false">
      <c r="A812" s="8" t="s">
        <v>48</v>
      </c>
      <c r="B812" s="8" t="n">
        <v>4413140</v>
      </c>
      <c r="C812" s="8" t="s">
        <v>1468</v>
      </c>
      <c r="D812" s="19" t="n">
        <v>244</v>
      </c>
      <c r="E812" s="19" t="n">
        <v>4148</v>
      </c>
      <c r="F812" s="19" t="n">
        <v>195.789473684211</v>
      </c>
      <c r="G812" s="19" t="n">
        <v>3096.72378947368</v>
      </c>
      <c r="H812" s="8" t="str">
        <f aca="false">IF(COUNTIF($J$1:$J$2,$A812)&gt;0,"Y","N")</f>
        <v>Y</v>
      </c>
    </row>
    <row r="813" customFormat="false" ht="15" hidden="false" customHeight="true" outlineLevel="0" collapsed="false">
      <c r="A813" s="8" t="s">
        <v>48</v>
      </c>
      <c r="B813" s="8" t="n">
        <v>4413141</v>
      </c>
      <c r="C813" s="8" t="s">
        <v>1469</v>
      </c>
      <c r="D813" s="19" t="n">
        <v>186</v>
      </c>
      <c r="E813" s="19" t="n">
        <v>3162</v>
      </c>
      <c r="F813" s="19" t="n">
        <v>195.789473684211</v>
      </c>
      <c r="G813" s="19" t="n">
        <v>3056.03115789474</v>
      </c>
      <c r="H813" s="8" t="str">
        <f aca="false">IF(COUNTIF($J$1:$J$2,$A813)&gt;0,"Y","N")</f>
        <v>Y</v>
      </c>
    </row>
    <row r="814" customFormat="false" ht="15" hidden="false" customHeight="true" outlineLevel="0" collapsed="false">
      <c r="A814" s="8" t="s">
        <v>48</v>
      </c>
      <c r="B814" s="8" t="n">
        <v>4413142</v>
      </c>
      <c r="C814" s="8" t="s">
        <v>1470</v>
      </c>
      <c r="D814" s="19" t="n">
        <v>85</v>
      </c>
      <c r="E814" s="19" t="n">
        <v>1445</v>
      </c>
      <c r="F814" s="19" t="n">
        <v>82.1052631578947</v>
      </c>
      <c r="G814" s="19" t="n">
        <v>1323.21221052632</v>
      </c>
      <c r="H814" s="8" t="str">
        <f aca="false">IF(COUNTIF($J$1:$J$2,$A814)&gt;0,"Y","N")</f>
        <v>Y</v>
      </c>
    </row>
    <row r="815" customFormat="false" ht="15" hidden="false" customHeight="true" outlineLevel="0" collapsed="false">
      <c r="A815" s="8" t="s">
        <v>48</v>
      </c>
      <c r="B815" s="8" t="n">
        <v>4413143</v>
      </c>
      <c r="C815" s="8" t="s">
        <v>1471</v>
      </c>
      <c r="D815" s="19" t="n">
        <v>40</v>
      </c>
      <c r="E815" s="19" t="n">
        <v>680</v>
      </c>
      <c r="F815" s="19" t="n">
        <v>16.4210526315789</v>
      </c>
      <c r="G815" s="19" t="n">
        <v>271.427368421053</v>
      </c>
      <c r="H815" s="8" t="str">
        <f aca="false">IF(COUNTIF($J$1:$J$2,$A815)&gt;0,"Y","N")</f>
        <v>Y</v>
      </c>
    </row>
    <row r="816" customFormat="false" ht="15" hidden="false" customHeight="true" outlineLevel="0" collapsed="false">
      <c r="A816" s="8" t="s">
        <v>48</v>
      </c>
      <c r="B816" s="8" t="n">
        <v>4413144</v>
      </c>
      <c r="C816" s="8" t="s">
        <v>1472</v>
      </c>
      <c r="D816" s="19" t="n">
        <v>13</v>
      </c>
      <c r="E816" s="19" t="n">
        <v>221</v>
      </c>
      <c r="F816" s="19" t="n">
        <v>11.3684210526316</v>
      </c>
      <c r="G816" s="19" t="n">
        <v>191.330526315789</v>
      </c>
      <c r="H816" s="8" t="str">
        <f aca="false">IF(COUNTIF($J$1:$J$2,$A816)&gt;0,"Y","N")</f>
        <v>Y</v>
      </c>
    </row>
    <row r="817" customFormat="false" ht="15" hidden="false" customHeight="true" outlineLevel="0" collapsed="false">
      <c r="A817" s="8" t="s">
        <v>48</v>
      </c>
      <c r="B817" s="8" t="n">
        <v>4413149</v>
      </c>
      <c r="C817" s="8" t="s">
        <v>1473</v>
      </c>
      <c r="D817" s="19" t="n">
        <v>225</v>
      </c>
      <c r="E817" s="19" t="n">
        <v>1964.25</v>
      </c>
      <c r="F817" s="19" t="n">
        <v>126.315789473684</v>
      </c>
      <c r="G817" s="19" t="n">
        <v>1049.88126315789</v>
      </c>
      <c r="H817" s="8" t="str">
        <f aca="false">IF(COUNTIF($J$1:$J$2,$A817)&gt;0,"Y","N")</f>
        <v>Y</v>
      </c>
    </row>
    <row r="818" customFormat="false" ht="15" hidden="false" customHeight="true" outlineLevel="0" collapsed="false">
      <c r="A818" s="8" t="s">
        <v>48</v>
      </c>
      <c r="B818" s="8" t="n">
        <v>4413150</v>
      </c>
      <c r="C818" s="8" t="s">
        <v>1474</v>
      </c>
      <c r="D818" s="19" t="n">
        <v>101</v>
      </c>
      <c r="E818" s="19" t="n">
        <v>2181.6</v>
      </c>
      <c r="F818" s="19" t="n">
        <v>113.684210526316</v>
      </c>
      <c r="G818" s="19" t="n">
        <v>2300.46821052632</v>
      </c>
      <c r="H818" s="8" t="str">
        <f aca="false">IF(COUNTIF($J$1:$J$2,$A818)&gt;0,"Y","N")</f>
        <v>Y</v>
      </c>
    </row>
    <row r="819" customFormat="false" ht="15" hidden="false" customHeight="true" outlineLevel="0" collapsed="false">
      <c r="A819" s="8" t="s">
        <v>48</v>
      </c>
      <c r="B819" s="8" t="n">
        <v>4413158</v>
      </c>
      <c r="C819" s="8" t="s">
        <v>600</v>
      </c>
      <c r="D819" s="19" t="n">
        <v>-1</v>
      </c>
      <c r="E819" s="19" t="n">
        <v>0</v>
      </c>
      <c r="F819" s="19" t="n">
        <v>0</v>
      </c>
      <c r="G819" s="19" t="n">
        <v>0</v>
      </c>
      <c r="H819" s="8" t="str">
        <f aca="false">IF(COUNTIF($J$1:$J$2,$A819)&gt;0,"Y","N")</f>
        <v>Y</v>
      </c>
    </row>
    <row r="820" customFormat="false" ht="15" hidden="false" customHeight="true" outlineLevel="0" collapsed="false">
      <c r="A820" s="8" t="s">
        <v>48</v>
      </c>
      <c r="B820" s="8" t="n">
        <v>4413159</v>
      </c>
      <c r="C820" s="8" t="s">
        <v>1481</v>
      </c>
      <c r="D820" s="19" t="n">
        <v>31</v>
      </c>
      <c r="E820" s="19" t="n">
        <v>1307.27</v>
      </c>
      <c r="F820" s="19" t="n">
        <v>46.7368421052632</v>
      </c>
      <c r="G820" s="19" t="n">
        <v>1751.53263157895</v>
      </c>
      <c r="H820" s="8" t="str">
        <f aca="false">IF(COUNTIF($J$1:$J$2,$A820)&gt;0,"Y","N")</f>
        <v>Y</v>
      </c>
    </row>
    <row r="821" customFormat="false" ht="15" hidden="false" customHeight="true" outlineLevel="0" collapsed="false">
      <c r="A821" s="8" t="s">
        <v>48</v>
      </c>
      <c r="B821" s="8" t="n">
        <v>4413160</v>
      </c>
      <c r="C821" s="8" t="s">
        <v>1482</v>
      </c>
      <c r="D821" s="19" t="n">
        <v>132</v>
      </c>
      <c r="E821" s="19" t="n">
        <v>5566.44</v>
      </c>
      <c r="F821" s="19" t="n">
        <v>77.0526315789474</v>
      </c>
      <c r="G821" s="19" t="n">
        <v>2897.74484210526</v>
      </c>
      <c r="H821" s="8" t="str">
        <f aca="false">IF(COUNTIF($J$1:$J$2,$A821)&gt;0,"Y","N")</f>
        <v>Y</v>
      </c>
    </row>
    <row r="822" customFormat="false" ht="15" hidden="false" customHeight="true" outlineLevel="0" collapsed="false">
      <c r="A822" s="8" t="s">
        <v>48</v>
      </c>
      <c r="B822" s="8" t="n">
        <v>4413161</v>
      </c>
      <c r="C822" s="8" t="s">
        <v>1483</v>
      </c>
      <c r="D822" s="19" t="n">
        <v>105</v>
      </c>
      <c r="E822" s="19" t="n">
        <v>4427.85</v>
      </c>
      <c r="F822" s="19" t="n">
        <v>120</v>
      </c>
      <c r="G822" s="19" t="n">
        <v>4721.472</v>
      </c>
      <c r="H822" s="8" t="str">
        <f aca="false">IF(COUNTIF($J$1:$J$2,$A822)&gt;0,"Y","N")</f>
        <v>Y</v>
      </c>
    </row>
    <row r="823" customFormat="false" ht="15" hidden="false" customHeight="true" outlineLevel="0" collapsed="false">
      <c r="A823" s="8" t="s">
        <v>48</v>
      </c>
      <c r="B823" s="8" t="n">
        <v>4413162</v>
      </c>
      <c r="C823" s="8" t="s">
        <v>1484</v>
      </c>
      <c r="D823" s="19" t="n">
        <v>100</v>
      </c>
      <c r="E823" s="19" t="n">
        <v>4217</v>
      </c>
      <c r="F823" s="19" t="n">
        <v>50.5263157894737</v>
      </c>
      <c r="G823" s="19" t="n">
        <v>1947.65810526316</v>
      </c>
      <c r="H823" s="8" t="str">
        <f aca="false">IF(COUNTIF($J$1:$J$2,$A823)&gt;0,"Y","N")</f>
        <v>Y</v>
      </c>
    </row>
    <row r="824" customFormat="false" ht="15" hidden="false" customHeight="true" outlineLevel="0" collapsed="false">
      <c r="A824" s="8" t="s">
        <v>48</v>
      </c>
      <c r="B824" s="8" t="n">
        <v>4413165</v>
      </c>
      <c r="C824" s="8" t="s">
        <v>820</v>
      </c>
      <c r="D824" s="19" t="n">
        <v>4</v>
      </c>
      <c r="E824" s="19" t="n">
        <v>519.24</v>
      </c>
      <c r="F824" s="19" t="n">
        <v>0</v>
      </c>
      <c r="G824" s="19" t="n">
        <v>0</v>
      </c>
      <c r="H824" s="8" t="str">
        <f aca="false">IF(COUNTIF($J$1:$J$2,$A824)&gt;0,"Y","N")</f>
        <v>Y</v>
      </c>
    </row>
    <row r="825" customFormat="false" ht="15" hidden="false" customHeight="true" outlineLevel="0" collapsed="false">
      <c r="A825" s="8" t="s">
        <v>48</v>
      </c>
      <c r="B825" s="8" t="n">
        <v>4413195</v>
      </c>
      <c r="C825" s="8" t="s">
        <v>1502</v>
      </c>
      <c r="D825" s="19" t="n">
        <v>2</v>
      </c>
      <c r="E825" s="19" t="n">
        <v>253</v>
      </c>
      <c r="F825" s="19" t="n">
        <v>6.31578947368421</v>
      </c>
      <c r="G825" s="19" t="n">
        <v>741.423157894737</v>
      </c>
      <c r="H825" s="8" t="str">
        <f aca="false">IF(COUNTIF($J$1:$J$2,$A825)&gt;0,"Y","N")</f>
        <v>Y</v>
      </c>
    </row>
    <row r="826" customFormat="false" ht="15" hidden="false" customHeight="true" outlineLevel="0" collapsed="false">
      <c r="A826" s="8" t="s">
        <v>48</v>
      </c>
      <c r="B826" s="8" t="n">
        <v>4413196</v>
      </c>
      <c r="C826" s="8" t="s">
        <v>1503</v>
      </c>
      <c r="D826" s="19" t="n">
        <v>61</v>
      </c>
      <c r="E826" s="19" t="n">
        <v>7716.5</v>
      </c>
      <c r="F826" s="19" t="n">
        <v>37.8947368421053</v>
      </c>
      <c r="G826" s="19" t="n">
        <v>4309.95031578947</v>
      </c>
      <c r="H826" s="8" t="str">
        <f aca="false">IF(COUNTIF($J$1:$J$2,$A826)&gt;0,"Y","N")</f>
        <v>Y</v>
      </c>
    </row>
    <row r="827" customFormat="false" ht="15" hidden="false" customHeight="true" outlineLevel="0" collapsed="false">
      <c r="A827" s="8" t="s">
        <v>48</v>
      </c>
      <c r="B827" s="8" t="n">
        <v>4413197</v>
      </c>
      <c r="C827" s="8" t="s">
        <v>1504</v>
      </c>
      <c r="D827" s="19" t="n">
        <v>83</v>
      </c>
      <c r="E827" s="19" t="n">
        <v>10499.5</v>
      </c>
      <c r="F827" s="19" t="n">
        <v>46.7368421052632</v>
      </c>
      <c r="G827" s="19" t="n">
        <v>5566.32378947369</v>
      </c>
      <c r="H827" s="8" t="str">
        <f aca="false">IF(COUNTIF($J$1:$J$2,$A827)&gt;0,"Y","N")</f>
        <v>Y</v>
      </c>
    </row>
    <row r="828" customFormat="false" ht="15" hidden="false" customHeight="true" outlineLevel="0" collapsed="false">
      <c r="A828" s="8" t="s">
        <v>48</v>
      </c>
      <c r="B828" s="8" t="n">
        <v>4413198</v>
      </c>
      <c r="C828" s="8" t="s">
        <v>1505</v>
      </c>
      <c r="D828" s="19" t="n">
        <v>55</v>
      </c>
      <c r="E828" s="19" t="n">
        <v>6957.5</v>
      </c>
      <c r="F828" s="19" t="n">
        <v>35.3684210526316</v>
      </c>
      <c r="G828" s="19" t="n">
        <v>4272.77052631579</v>
      </c>
      <c r="H828" s="8" t="str">
        <f aca="false">IF(COUNTIF($J$1:$J$2,$A828)&gt;0,"Y","N")</f>
        <v>Y</v>
      </c>
    </row>
    <row r="829" customFormat="false" ht="15" hidden="false" customHeight="true" outlineLevel="0" collapsed="false">
      <c r="A829" s="8" t="s">
        <v>48</v>
      </c>
      <c r="B829" s="8" t="n">
        <v>4413204</v>
      </c>
      <c r="C829" s="8" t="s">
        <v>1506</v>
      </c>
      <c r="D829" s="19" t="n">
        <v>18</v>
      </c>
      <c r="E829" s="19" t="n">
        <v>2277</v>
      </c>
      <c r="F829" s="19" t="n">
        <v>17.6842105263158</v>
      </c>
      <c r="G829" s="19" t="n">
        <v>2136.38526315789</v>
      </c>
      <c r="H829" s="8" t="str">
        <f aca="false">IF(COUNTIF($J$1:$J$2,$A829)&gt;0,"Y","N")</f>
        <v>Y</v>
      </c>
    </row>
    <row r="830" customFormat="false" ht="15" hidden="false" customHeight="true" outlineLevel="0" collapsed="false">
      <c r="A830" s="8" t="s">
        <v>48</v>
      </c>
      <c r="B830" s="8" t="n">
        <v>4413276</v>
      </c>
      <c r="C830" s="8" t="s">
        <v>1060</v>
      </c>
      <c r="D830" s="19" t="n">
        <v>2</v>
      </c>
      <c r="E830" s="19" t="n">
        <v>64.28</v>
      </c>
      <c r="F830" s="19" t="n">
        <v>0</v>
      </c>
      <c r="G830" s="19" t="n">
        <v>0</v>
      </c>
      <c r="H830" s="8" t="str">
        <f aca="false">IF(COUNTIF($J$1:$J$2,$A830)&gt;0,"Y","N")</f>
        <v>Y</v>
      </c>
    </row>
    <row r="831" customFormat="false" ht="15" hidden="false" customHeight="true" outlineLevel="0" collapsed="false">
      <c r="A831" s="8" t="s">
        <v>48</v>
      </c>
      <c r="B831" s="8" t="n">
        <v>4413277</v>
      </c>
      <c r="C831" s="8" t="s">
        <v>1514</v>
      </c>
      <c r="D831" s="19" t="n">
        <v>0</v>
      </c>
      <c r="E831" s="19" t="n">
        <v>0</v>
      </c>
      <c r="F831" s="19" t="n">
        <v>1.26315789473684</v>
      </c>
      <c r="G831" s="19" t="n">
        <v>36.8981052631579</v>
      </c>
      <c r="H831" s="8" t="str">
        <f aca="false">IF(COUNTIF($J$1:$J$2,$A831)&gt;0,"Y","N")</f>
        <v>Y</v>
      </c>
    </row>
    <row r="832" customFormat="false" ht="15" hidden="false" customHeight="true" outlineLevel="0" collapsed="false">
      <c r="A832" s="8" t="s">
        <v>48</v>
      </c>
      <c r="B832" s="8" t="n">
        <v>4413278</v>
      </c>
      <c r="C832" s="8" t="s">
        <v>1062</v>
      </c>
      <c r="D832" s="19" t="n">
        <v>4</v>
      </c>
      <c r="E832" s="19" t="n">
        <v>128.56</v>
      </c>
      <c r="F832" s="19" t="n">
        <v>0</v>
      </c>
      <c r="G832" s="19" t="n">
        <v>0</v>
      </c>
      <c r="H832" s="8" t="str">
        <f aca="false">IF(COUNTIF($J$1:$J$2,$A832)&gt;0,"Y","N")</f>
        <v>Y</v>
      </c>
    </row>
    <row r="833" customFormat="false" ht="15" hidden="false" customHeight="true" outlineLevel="0" collapsed="false">
      <c r="A833" s="8" t="s">
        <v>48</v>
      </c>
      <c r="B833" s="8" t="n">
        <v>4413303</v>
      </c>
      <c r="C833" s="8" t="s">
        <v>1520</v>
      </c>
      <c r="D833" s="19" t="n">
        <v>22</v>
      </c>
      <c r="E833" s="19" t="n">
        <v>927.74</v>
      </c>
      <c r="F833" s="19" t="n">
        <v>10.1052631578947</v>
      </c>
      <c r="G833" s="19" t="n">
        <v>394.801263157895</v>
      </c>
      <c r="H833" s="8" t="str">
        <f aca="false">IF(COUNTIF($J$1:$J$2,$A833)&gt;0,"Y","N")</f>
        <v>Y</v>
      </c>
    </row>
    <row r="834" customFormat="false" ht="15" hidden="false" customHeight="true" outlineLevel="0" collapsed="false">
      <c r="A834" s="8" t="s">
        <v>48</v>
      </c>
      <c r="B834" s="8" t="n">
        <v>4413307</v>
      </c>
      <c r="C834" s="8" t="s">
        <v>1521</v>
      </c>
      <c r="D834" s="19" t="n">
        <v>127</v>
      </c>
      <c r="E834" s="19" t="n">
        <v>2693.67</v>
      </c>
      <c r="F834" s="19" t="n">
        <v>133.894736842105</v>
      </c>
      <c r="G834" s="19" t="n">
        <v>2629.46526315789</v>
      </c>
      <c r="H834" s="8" t="str">
        <f aca="false">IF(COUNTIF($J$1:$J$2,$A834)&gt;0,"Y","N")</f>
        <v>Y</v>
      </c>
    </row>
    <row r="835" customFormat="false" ht="15" hidden="false" customHeight="true" outlineLevel="0" collapsed="false">
      <c r="A835" s="8" t="s">
        <v>48</v>
      </c>
      <c r="B835" s="8" t="n">
        <v>4413340</v>
      </c>
      <c r="C835" s="8" t="s">
        <v>1534</v>
      </c>
      <c r="D835" s="19" t="n">
        <v>76</v>
      </c>
      <c r="E835" s="19" t="n">
        <v>2941.2</v>
      </c>
      <c r="F835" s="19" t="n">
        <v>41.6842105263158</v>
      </c>
      <c r="G835" s="19" t="n">
        <v>1542.78568421053</v>
      </c>
      <c r="H835" s="8" t="str">
        <f aca="false">IF(COUNTIF($J$1:$J$2,$A835)&gt;0,"Y","N")</f>
        <v>Y</v>
      </c>
    </row>
    <row r="836" customFormat="false" ht="15" hidden="false" customHeight="true" outlineLevel="0" collapsed="false">
      <c r="A836" s="8" t="s">
        <v>48</v>
      </c>
      <c r="B836" s="8" t="n">
        <v>4413348</v>
      </c>
      <c r="C836" s="8" t="s">
        <v>1540</v>
      </c>
      <c r="D836" s="19" t="n">
        <v>306</v>
      </c>
      <c r="E836" s="19" t="n">
        <v>14452.38</v>
      </c>
      <c r="F836" s="19" t="n">
        <v>193.263157894737</v>
      </c>
      <c r="G836" s="19" t="n">
        <v>8714.37094736842</v>
      </c>
      <c r="H836" s="8" t="str">
        <f aca="false">IF(COUNTIF($J$1:$J$2,$A836)&gt;0,"Y","N")</f>
        <v>Y</v>
      </c>
    </row>
    <row r="837" customFormat="false" ht="15" hidden="false" customHeight="true" outlineLevel="0" collapsed="false">
      <c r="A837" s="8" t="s">
        <v>48</v>
      </c>
      <c r="B837" s="8" t="n">
        <v>4413370</v>
      </c>
      <c r="C837" s="8" t="s">
        <v>1547</v>
      </c>
      <c r="D837" s="19" t="n">
        <v>168</v>
      </c>
      <c r="E837" s="19" t="n">
        <v>4628.4</v>
      </c>
      <c r="F837" s="19" t="n">
        <v>146.526315789474</v>
      </c>
      <c r="G837" s="19" t="n">
        <v>3783.16547368421</v>
      </c>
      <c r="H837" s="8" t="str">
        <f aca="false">IF(COUNTIF($J$1:$J$2,$A837)&gt;0,"Y","N")</f>
        <v>Y</v>
      </c>
    </row>
    <row r="838" customFormat="false" ht="15" hidden="false" customHeight="true" outlineLevel="0" collapsed="false">
      <c r="A838" s="8" t="s">
        <v>48</v>
      </c>
      <c r="B838" s="8" t="n">
        <v>4413371</v>
      </c>
      <c r="C838" s="8" t="s">
        <v>1548</v>
      </c>
      <c r="D838" s="19" t="n">
        <v>75</v>
      </c>
      <c r="E838" s="19" t="n">
        <v>1518</v>
      </c>
      <c r="F838" s="19" t="n">
        <v>80.8421052631579</v>
      </c>
      <c r="G838" s="19" t="n">
        <v>1541.85852631579</v>
      </c>
      <c r="H838" s="8" t="str">
        <f aca="false">IF(COUNTIF($J$1:$J$2,$A838)&gt;0,"Y","N")</f>
        <v>Y</v>
      </c>
    </row>
    <row r="839" customFormat="false" ht="15" hidden="false" customHeight="true" outlineLevel="0" collapsed="false">
      <c r="A839" s="8" t="s">
        <v>48</v>
      </c>
      <c r="B839" s="8" t="n">
        <v>4413372</v>
      </c>
      <c r="C839" s="8" t="s">
        <v>1549</v>
      </c>
      <c r="D839" s="19" t="n">
        <v>229</v>
      </c>
      <c r="E839" s="19" t="n">
        <v>10815.67</v>
      </c>
      <c r="F839" s="19" t="n">
        <v>123.789473684211</v>
      </c>
      <c r="G839" s="19" t="n">
        <v>5497.62947368421</v>
      </c>
      <c r="H839" s="8" t="str">
        <f aca="false">IF(COUNTIF($J$1:$J$2,$A839)&gt;0,"Y","N")</f>
        <v>Y</v>
      </c>
    </row>
    <row r="840" customFormat="false" ht="15" hidden="false" customHeight="true" outlineLevel="0" collapsed="false">
      <c r="A840" s="8" t="s">
        <v>48</v>
      </c>
      <c r="B840" s="8" t="n">
        <v>4413531</v>
      </c>
      <c r="C840" s="8" t="s">
        <v>1760</v>
      </c>
      <c r="D840" s="19" t="n">
        <v>210</v>
      </c>
      <c r="E840" s="19" t="n">
        <v>4368</v>
      </c>
      <c r="F840" s="19" t="n">
        <v>241.263157894737</v>
      </c>
      <c r="G840" s="19" t="n">
        <v>4523.21178947368</v>
      </c>
      <c r="H840" s="8" t="str">
        <f aca="false">IF(COUNTIF($J$1:$J$2,$A840)&gt;0,"Y","N")</f>
        <v>Y</v>
      </c>
    </row>
    <row r="841" customFormat="false" ht="15" hidden="false" customHeight="true" outlineLevel="0" collapsed="false">
      <c r="A841" s="8" t="s">
        <v>48</v>
      </c>
      <c r="B841" s="8" t="n">
        <v>4413532</v>
      </c>
      <c r="C841" s="8" t="s">
        <v>1761</v>
      </c>
      <c r="D841" s="19" t="n">
        <v>48</v>
      </c>
      <c r="E841" s="19" t="n">
        <v>4488</v>
      </c>
      <c r="F841" s="19" t="n">
        <v>30.3157894736842</v>
      </c>
      <c r="G841" s="19" t="n">
        <v>2664.45473684211</v>
      </c>
      <c r="H841" s="8" t="str">
        <f aca="false">IF(COUNTIF($J$1:$J$2,$A841)&gt;0,"Y","N")</f>
        <v>Y</v>
      </c>
    </row>
    <row r="842" customFormat="false" ht="15" hidden="false" customHeight="true" outlineLevel="0" collapsed="false">
      <c r="A842" s="8" t="s">
        <v>48</v>
      </c>
      <c r="B842" s="8" t="n">
        <v>4413533</v>
      </c>
      <c r="C842" s="8" t="s">
        <v>1762</v>
      </c>
      <c r="D842" s="19" t="n">
        <v>36</v>
      </c>
      <c r="E842" s="19" t="n">
        <v>738</v>
      </c>
      <c r="F842" s="19" t="n">
        <v>3.78947368421053</v>
      </c>
      <c r="G842" s="19" t="n">
        <v>70.6926315789474</v>
      </c>
      <c r="H842" s="8" t="str">
        <f aca="false">IF(COUNTIF($J$1:$J$2,$A842)&gt;0,"Y","N")</f>
        <v>Y</v>
      </c>
    </row>
    <row r="843" customFormat="false" ht="15" hidden="false" customHeight="true" outlineLevel="0" collapsed="false">
      <c r="A843" s="8" t="s">
        <v>48</v>
      </c>
      <c r="B843" s="8" t="n">
        <v>4413534</v>
      </c>
      <c r="C843" s="8" t="s">
        <v>1619</v>
      </c>
      <c r="D843" s="19" t="n">
        <v>0</v>
      </c>
      <c r="E843" s="19" t="n">
        <v>0</v>
      </c>
      <c r="F843" s="19" t="n">
        <v>26.5263157894737</v>
      </c>
      <c r="G843" s="19" t="n">
        <v>2220.78315789474</v>
      </c>
      <c r="H843" s="8" t="str">
        <f aca="false">IF(COUNTIF($J$1:$J$2,$A843)&gt;0,"Y","N")</f>
        <v>Y</v>
      </c>
    </row>
    <row r="844" customFormat="false" ht="15" hidden="false" customHeight="true" outlineLevel="0" collapsed="false">
      <c r="A844" s="8" t="s">
        <v>48</v>
      </c>
      <c r="B844" s="8" t="n">
        <v>4415019</v>
      </c>
      <c r="C844" s="8" t="s">
        <v>1632</v>
      </c>
      <c r="D844" s="19" t="n">
        <v>44</v>
      </c>
      <c r="E844" s="19" t="n">
        <v>4283.4</v>
      </c>
      <c r="F844" s="19" t="n">
        <v>7.57894736842105</v>
      </c>
      <c r="G844" s="19" t="n">
        <v>604.418526315789</v>
      </c>
      <c r="H844" s="8" t="str">
        <f aca="false">IF(COUNTIF($J$1:$J$2,$A844)&gt;0,"Y","N")</f>
        <v>Y</v>
      </c>
    </row>
    <row r="845" customFormat="false" ht="15" hidden="false" customHeight="true" outlineLevel="0" collapsed="false">
      <c r="A845" s="8" t="s">
        <v>48</v>
      </c>
      <c r="B845" s="8" t="n">
        <v>4415028</v>
      </c>
      <c r="C845" s="8" t="s">
        <v>1636</v>
      </c>
      <c r="D845" s="19" t="n">
        <v>527</v>
      </c>
      <c r="E845" s="19" t="n">
        <v>10540</v>
      </c>
      <c r="F845" s="19" t="n">
        <v>372.631578947368</v>
      </c>
      <c r="G845" s="19" t="n">
        <v>7210.02947368421</v>
      </c>
      <c r="H845" s="8" t="str">
        <f aca="false">IF(COUNTIF($J$1:$J$2,$A845)&gt;0,"Y","N")</f>
        <v>Y</v>
      </c>
    </row>
    <row r="846" customFormat="false" ht="15" hidden="false" customHeight="true" outlineLevel="0" collapsed="false">
      <c r="A846" s="8" t="s">
        <v>48</v>
      </c>
      <c r="B846" s="8" t="n">
        <v>4415080</v>
      </c>
      <c r="C846" s="8" t="s">
        <v>1646</v>
      </c>
      <c r="D846" s="19" t="n">
        <v>58</v>
      </c>
      <c r="E846" s="19" t="n">
        <v>394.4</v>
      </c>
      <c r="F846" s="19" t="n">
        <v>45.4736842105263</v>
      </c>
      <c r="G846" s="19" t="n">
        <v>296.079157894737</v>
      </c>
      <c r="H846" s="8" t="str">
        <f aca="false">IF(COUNTIF($J$1:$J$2,$A846)&gt;0,"Y","N")</f>
        <v>Y</v>
      </c>
    </row>
    <row r="847" customFormat="false" ht="15" hidden="false" customHeight="true" outlineLevel="0" collapsed="false">
      <c r="A847" s="8" t="s">
        <v>48</v>
      </c>
      <c r="B847" s="8" t="n">
        <v>4415158</v>
      </c>
      <c r="C847" s="8" t="s">
        <v>1654</v>
      </c>
      <c r="D847" s="19" t="n">
        <v>1741</v>
      </c>
      <c r="E847" s="19" t="n">
        <v>79215.5</v>
      </c>
      <c r="F847" s="19" t="n">
        <v>1413.47368421053</v>
      </c>
      <c r="G847" s="19" t="n">
        <v>60961.1873684211</v>
      </c>
      <c r="H847" s="8" t="str">
        <f aca="false">IF(COUNTIF($J$1:$J$2,$A847)&gt;0,"Y","N")</f>
        <v>Y</v>
      </c>
    </row>
    <row r="848" customFormat="false" ht="15" hidden="false" customHeight="true" outlineLevel="0" collapsed="false">
      <c r="A848" s="8" t="s">
        <v>48</v>
      </c>
      <c r="B848" s="8" t="n">
        <v>4415159</v>
      </c>
      <c r="C848" s="8" t="s">
        <v>1655</v>
      </c>
      <c r="D848" s="19" t="n">
        <v>671</v>
      </c>
      <c r="E848" s="19" t="n">
        <v>52203.8</v>
      </c>
      <c r="F848" s="19" t="n">
        <v>621.473684210526</v>
      </c>
      <c r="G848" s="19" t="n">
        <v>45927.2235789474</v>
      </c>
      <c r="H848" s="8" t="str">
        <f aca="false">IF(COUNTIF($J$1:$J$2,$A848)&gt;0,"Y","N")</f>
        <v>Y</v>
      </c>
    </row>
    <row r="849" customFormat="false" ht="15" hidden="false" customHeight="true" outlineLevel="0" collapsed="false">
      <c r="A849" s="8" t="s">
        <v>48</v>
      </c>
      <c r="B849" s="8" t="n">
        <v>4415177</v>
      </c>
      <c r="C849" s="8" t="s">
        <v>1763</v>
      </c>
      <c r="D849" s="19" t="n">
        <v>223</v>
      </c>
      <c r="E849" s="19" t="n">
        <v>5575</v>
      </c>
      <c r="F849" s="19" t="n">
        <v>128.842105263158</v>
      </c>
      <c r="G849" s="19" t="n">
        <v>3130.10526315789</v>
      </c>
      <c r="H849" s="8" t="str">
        <f aca="false">IF(COUNTIF($J$1:$J$2,$A849)&gt;0,"Y","N")</f>
        <v>Y</v>
      </c>
    </row>
    <row r="850" customFormat="false" ht="15" hidden="false" customHeight="true" outlineLevel="0" collapsed="false">
      <c r="A850" s="8" t="s">
        <v>48</v>
      </c>
      <c r="B850" s="8" t="n">
        <v>4415298</v>
      </c>
      <c r="C850" s="8" t="s">
        <v>1669</v>
      </c>
      <c r="D850" s="19" t="n">
        <v>43</v>
      </c>
      <c r="E850" s="19" t="n">
        <v>1806</v>
      </c>
      <c r="F850" s="19" t="n">
        <v>29.0526315789474</v>
      </c>
      <c r="G850" s="19" t="n">
        <v>1143.81473684211</v>
      </c>
      <c r="H850" s="8" t="str">
        <f aca="false">IF(COUNTIF($J$1:$J$2,$A850)&gt;0,"Y","N")</f>
        <v>Y</v>
      </c>
    </row>
    <row r="851" customFormat="false" ht="15" hidden="false" customHeight="true" outlineLevel="0" collapsed="false">
      <c r="A851" s="8" t="s">
        <v>48</v>
      </c>
      <c r="B851" s="8" t="n">
        <v>4415299</v>
      </c>
      <c r="C851" s="8" t="s">
        <v>1670</v>
      </c>
      <c r="D851" s="19" t="n">
        <v>38</v>
      </c>
      <c r="E851" s="19" t="n">
        <v>1596</v>
      </c>
      <c r="F851" s="19" t="n">
        <v>44.2105263157895</v>
      </c>
      <c r="G851" s="19" t="n">
        <v>1727.92421052632</v>
      </c>
      <c r="H851" s="8" t="str">
        <f aca="false">IF(COUNTIF($J$1:$J$2,$A851)&gt;0,"Y","N")</f>
        <v>Y</v>
      </c>
    </row>
    <row r="852" customFormat="false" ht="15" hidden="false" customHeight="true" outlineLevel="0" collapsed="false">
      <c r="A852" s="8" t="s">
        <v>48</v>
      </c>
      <c r="B852" s="8" t="n">
        <v>4416000</v>
      </c>
      <c r="C852" s="8" t="s">
        <v>1671</v>
      </c>
      <c r="D852" s="19" t="n">
        <v>294</v>
      </c>
      <c r="E852" s="19" t="n">
        <v>18601.38</v>
      </c>
      <c r="F852" s="19" t="n">
        <v>193.263157894737</v>
      </c>
      <c r="G852" s="19" t="n">
        <v>11621.9545263158</v>
      </c>
      <c r="H852" s="8" t="str">
        <f aca="false">IF(COUNTIF($J$1:$J$2,$A852)&gt;0,"Y","N")</f>
        <v>Y</v>
      </c>
    </row>
    <row r="853" customFormat="false" ht="15" hidden="false" customHeight="true" outlineLevel="0" collapsed="false">
      <c r="A853" s="8" t="s">
        <v>48</v>
      </c>
      <c r="B853" s="8" t="n">
        <v>4416001</v>
      </c>
      <c r="C853" s="8" t="s">
        <v>1672</v>
      </c>
      <c r="D853" s="19" t="n">
        <v>293</v>
      </c>
      <c r="E853" s="19" t="n">
        <v>18538.11</v>
      </c>
      <c r="F853" s="19" t="n">
        <v>188.210526315789</v>
      </c>
      <c r="G853" s="19" t="n">
        <v>11306.1195789474</v>
      </c>
      <c r="H853" s="8" t="str">
        <f aca="false">IF(COUNTIF($J$1:$J$2,$A853)&gt;0,"Y","N")</f>
        <v>Y</v>
      </c>
    </row>
    <row r="854" customFormat="false" ht="15" hidden="false" customHeight="true" outlineLevel="0" collapsed="false">
      <c r="A854" s="8" t="s">
        <v>48</v>
      </c>
      <c r="B854" s="8" t="n">
        <v>4416002</v>
      </c>
      <c r="C854" s="8" t="s">
        <v>1673</v>
      </c>
      <c r="D854" s="19" t="n">
        <v>65</v>
      </c>
      <c r="E854" s="19" t="n">
        <v>4112.55</v>
      </c>
      <c r="F854" s="19" t="n">
        <v>44.2105263157895</v>
      </c>
      <c r="G854" s="19" t="n">
        <v>2782.80252631579</v>
      </c>
      <c r="H854" s="8" t="str">
        <f aca="false">IF(COUNTIF($J$1:$J$2,$A854)&gt;0,"Y","N")</f>
        <v>Y</v>
      </c>
    </row>
    <row r="855" customFormat="false" ht="15" hidden="false" customHeight="true" outlineLevel="0" collapsed="false">
      <c r="A855" s="8" t="s">
        <v>48</v>
      </c>
      <c r="B855" s="8" t="n">
        <v>4417000</v>
      </c>
      <c r="C855" s="8" t="s">
        <v>1677</v>
      </c>
      <c r="D855" s="19" t="n">
        <v>205</v>
      </c>
      <c r="E855" s="19" t="n">
        <v>3679.75</v>
      </c>
      <c r="F855" s="19" t="n">
        <v>111.157894736842</v>
      </c>
      <c r="G855" s="19" t="n">
        <v>1896.24252631579</v>
      </c>
      <c r="H855" s="8" t="str">
        <f aca="false">IF(COUNTIF($J$1:$J$2,$A855)&gt;0,"Y","N")</f>
        <v>Y</v>
      </c>
    </row>
    <row r="856" customFormat="false" ht="15" hidden="false" customHeight="true" outlineLevel="0" collapsed="false">
      <c r="A856" s="8" t="s">
        <v>48</v>
      </c>
      <c r="B856" s="8" t="n">
        <v>4419006</v>
      </c>
      <c r="C856" s="8" t="s">
        <v>1688</v>
      </c>
      <c r="D856" s="19" t="n">
        <v>442</v>
      </c>
      <c r="E856" s="19" t="n">
        <v>4596.8</v>
      </c>
      <c r="F856" s="19" t="n">
        <v>521.684210526316</v>
      </c>
      <c r="G856" s="19" t="n">
        <v>4978.04210526316</v>
      </c>
      <c r="H856" s="8" t="str">
        <f aca="false">IF(COUNTIF($J$1:$J$2,$A856)&gt;0,"Y","N")</f>
        <v>Y</v>
      </c>
    </row>
    <row r="857" customFormat="false" ht="15" hidden="false" customHeight="true" outlineLevel="0" collapsed="false">
      <c r="A857" s="8" t="s">
        <v>48</v>
      </c>
      <c r="B857" s="8" t="n">
        <v>4419011</v>
      </c>
      <c r="C857" s="8" t="s">
        <v>587</v>
      </c>
      <c r="D857" s="19" t="n">
        <v>90</v>
      </c>
      <c r="E857" s="19" t="n">
        <v>990</v>
      </c>
      <c r="F857" s="19" t="n">
        <v>0</v>
      </c>
      <c r="G857" s="19" t="n">
        <v>0</v>
      </c>
      <c r="H857" s="8" t="str">
        <f aca="false">IF(COUNTIF($J$1:$J$2,$A857)&gt;0,"Y","N")</f>
        <v>Y</v>
      </c>
    </row>
    <row r="858" customFormat="false" ht="15" hidden="false" customHeight="true" outlineLevel="0" collapsed="false">
      <c r="A858" s="8" t="s">
        <v>48</v>
      </c>
      <c r="B858" s="8" t="n">
        <v>4419013</v>
      </c>
      <c r="C858" s="8" t="s">
        <v>586</v>
      </c>
      <c r="D858" s="19" t="n">
        <v>96</v>
      </c>
      <c r="E858" s="19" t="n">
        <v>1056</v>
      </c>
      <c r="F858" s="19" t="n">
        <v>-3.78947368421053</v>
      </c>
      <c r="G858" s="19" t="n">
        <v>-41.6842105263158</v>
      </c>
      <c r="H858" s="8" t="str">
        <f aca="false">IF(COUNTIF($J$1:$J$2,$A858)&gt;0,"Y","N")</f>
        <v>Y</v>
      </c>
    </row>
    <row r="859" customFormat="false" ht="15" hidden="false" customHeight="true" outlineLevel="0" collapsed="false">
      <c r="A859" s="8" t="s">
        <v>48</v>
      </c>
      <c r="B859" s="8" t="n">
        <v>4419014</v>
      </c>
      <c r="C859" s="8" t="s">
        <v>1693</v>
      </c>
      <c r="D859" s="19" t="n">
        <v>36</v>
      </c>
      <c r="E859" s="19" t="n">
        <v>396</v>
      </c>
      <c r="F859" s="19" t="n">
        <v>3.78947368421053</v>
      </c>
      <c r="G859" s="19" t="n">
        <v>34.181052631579</v>
      </c>
      <c r="H859" s="8" t="str">
        <f aca="false">IF(COUNTIF($J$1:$J$2,$A859)&gt;0,"Y","N")</f>
        <v>Y</v>
      </c>
    </row>
    <row r="860" customFormat="false" ht="15" hidden="false" customHeight="true" outlineLevel="0" collapsed="false">
      <c r="A860" s="8" t="s">
        <v>48</v>
      </c>
      <c r="B860" s="8" t="n">
        <v>4420000</v>
      </c>
      <c r="C860" s="8" t="s">
        <v>1694</v>
      </c>
      <c r="D860" s="19" t="n">
        <v>359</v>
      </c>
      <c r="E860" s="19" t="n">
        <v>2943.8</v>
      </c>
      <c r="F860" s="19" t="n">
        <v>276.631578947368</v>
      </c>
      <c r="G860" s="19" t="n">
        <v>2097.45347368421</v>
      </c>
      <c r="H860" s="8" t="str">
        <f aca="false">IF(COUNTIF($J$1:$J$2,$A860)&gt;0,"Y","N")</f>
        <v>Y</v>
      </c>
    </row>
    <row r="861" customFormat="false" ht="15" hidden="false" customHeight="true" outlineLevel="0" collapsed="false">
      <c r="A861" s="8" t="s">
        <v>48</v>
      </c>
      <c r="B861" s="8" t="n">
        <v>4420002</v>
      </c>
      <c r="C861" s="8" t="s">
        <v>1696</v>
      </c>
      <c r="D861" s="19" t="n">
        <v>646</v>
      </c>
      <c r="E861" s="19" t="n">
        <v>6343.72</v>
      </c>
      <c r="F861" s="19" t="n">
        <v>376.421052631579</v>
      </c>
      <c r="G861" s="19" t="n">
        <v>3382.13431578947</v>
      </c>
      <c r="H861" s="8" t="str">
        <f aca="false">IF(COUNTIF($J$1:$J$2,$A861)&gt;0,"Y","N")</f>
        <v>Y</v>
      </c>
    </row>
    <row r="862" customFormat="false" ht="15" hidden="false" customHeight="true" outlineLevel="0" collapsed="false">
      <c r="A862" s="8" t="s">
        <v>48</v>
      </c>
      <c r="B862" s="8" t="n">
        <v>4420003</v>
      </c>
      <c r="C862" s="8" t="s">
        <v>1697</v>
      </c>
      <c r="D862" s="19" t="n">
        <v>170</v>
      </c>
      <c r="E862" s="19" t="n">
        <v>1669.4</v>
      </c>
      <c r="F862" s="19" t="n">
        <v>116.210526315789</v>
      </c>
      <c r="G862" s="19" t="n">
        <v>1055.42147368421</v>
      </c>
      <c r="H862" s="8" t="str">
        <f aca="false">IF(COUNTIF($J$1:$J$2,$A862)&gt;0,"Y","N")</f>
        <v>Y</v>
      </c>
    </row>
    <row r="863" customFormat="false" ht="15" hidden="false" customHeight="true" outlineLevel="0" collapsed="false">
      <c r="A863" s="8" t="s">
        <v>48</v>
      </c>
      <c r="B863" s="8" t="n">
        <v>4420016</v>
      </c>
      <c r="C863" s="8" t="s">
        <v>1705</v>
      </c>
      <c r="D863" s="19" t="n">
        <v>52</v>
      </c>
      <c r="E863" s="19" t="n">
        <v>1854.84</v>
      </c>
      <c r="F863" s="19" t="n">
        <v>40.4210526315789</v>
      </c>
      <c r="G863" s="19" t="n">
        <v>1356.696</v>
      </c>
      <c r="H863" s="8" t="str">
        <f aca="false">IF(COUNTIF($J$1:$J$2,$A863)&gt;0,"Y","N")</f>
        <v>Y</v>
      </c>
    </row>
    <row r="864" customFormat="false" ht="15" hidden="false" customHeight="true" outlineLevel="0" collapsed="false">
      <c r="A864" s="8" t="s">
        <v>48</v>
      </c>
      <c r="B864" s="8" t="n">
        <v>4420017</v>
      </c>
      <c r="C864" s="8" t="s">
        <v>671</v>
      </c>
      <c r="D864" s="19" t="n">
        <v>76</v>
      </c>
      <c r="E864" s="19" t="n">
        <v>4931.64</v>
      </c>
      <c r="F864" s="19" t="n">
        <v>17.6842105263158</v>
      </c>
      <c r="G864" s="19" t="n">
        <v>1147.52842105263</v>
      </c>
      <c r="H864" s="8" t="str">
        <f aca="false">IF(COUNTIF($J$1:$J$2,$A864)&gt;0,"Y","N")</f>
        <v>Y</v>
      </c>
    </row>
    <row r="865" customFormat="false" ht="15" hidden="false" customHeight="true" outlineLevel="0" collapsed="false">
      <c r="A865" s="8" t="s">
        <v>48</v>
      </c>
      <c r="B865" s="8" t="n">
        <v>4420018</v>
      </c>
      <c r="C865" s="8" t="s">
        <v>1706</v>
      </c>
      <c r="D865" s="19" t="n">
        <v>63</v>
      </c>
      <c r="E865" s="19" t="n">
        <v>4866.12</v>
      </c>
      <c r="F865" s="19" t="n">
        <v>2.52631578947368</v>
      </c>
      <c r="G865" s="19" t="n">
        <v>133.224</v>
      </c>
      <c r="H865" s="8" t="str">
        <f aca="false">IF(COUNTIF($J$1:$J$2,$A865)&gt;0,"Y","N")</f>
        <v>Y</v>
      </c>
    </row>
    <row r="866" customFormat="false" ht="15" hidden="false" customHeight="true" outlineLevel="0" collapsed="false">
      <c r="A866" s="8" t="s">
        <v>48</v>
      </c>
      <c r="B866" s="8" t="n">
        <v>4420022</v>
      </c>
      <c r="C866" s="8" t="s">
        <v>1707</v>
      </c>
      <c r="D866" s="19" t="n">
        <v>59</v>
      </c>
      <c r="E866" s="19" t="n">
        <v>938.69</v>
      </c>
      <c r="F866" s="19" t="n">
        <v>35.3684210526316</v>
      </c>
      <c r="G866" s="19" t="n">
        <v>537.248842105263</v>
      </c>
      <c r="H866" s="8" t="str">
        <f aca="false">IF(COUNTIF($J$1:$J$2,$A866)&gt;0,"Y","N")</f>
        <v>Y</v>
      </c>
    </row>
    <row r="867" customFormat="false" ht="15" hidden="false" customHeight="true" outlineLevel="0" collapsed="false">
      <c r="A867" s="8" t="s">
        <v>48</v>
      </c>
      <c r="B867" s="8" t="n">
        <v>4420023</v>
      </c>
      <c r="C867" s="8" t="s">
        <v>1005</v>
      </c>
      <c r="D867" s="19" t="n">
        <v>2</v>
      </c>
      <c r="E867" s="19" t="n">
        <v>31.82</v>
      </c>
      <c r="F867" s="19" t="n">
        <v>1.26315789473684</v>
      </c>
      <c r="G867" s="19" t="n">
        <v>20.0968421052632</v>
      </c>
      <c r="H867" s="8" t="str">
        <f aca="false">IF(COUNTIF($J$1:$J$2,$A867)&gt;0,"Y","N")</f>
        <v>Y</v>
      </c>
    </row>
    <row r="868" customFormat="false" ht="15" hidden="false" customHeight="true" outlineLevel="0" collapsed="false">
      <c r="A868" s="8" t="s">
        <v>48</v>
      </c>
      <c r="B868" s="8" t="n">
        <v>4420024</v>
      </c>
      <c r="C868" s="8" t="s">
        <v>1709</v>
      </c>
      <c r="D868" s="19" t="n">
        <v>69</v>
      </c>
      <c r="E868" s="19" t="n">
        <v>997.05</v>
      </c>
      <c r="F868" s="19" t="n">
        <v>22.7368421052632</v>
      </c>
      <c r="G868" s="19" t="n">
        <v>291.434526315789</v>
      </c>
      <c r="H868" s="8" t="str">
        <f aca="false">IF(COUNTIF($J$1:$J$2,$A868)&gt;0,"Y","N")</f>
        <v>Y</v>
      </c>
    </row>
    <row r="869" customFormat="false" ht="15" hidden="false" customHeight="true" outlineLevel="0" collapsed="false">
      <c r="A869" s="8" t="s">
        <v>48</v>
      </c>
      <c r="B869" s="8" t="n">
        <v>4420025</v>
      </c>
      <c r="C869" s="8" t="s">
        <v>1710</v>
      </c>
      <c r="D869" s="19" t="n">
        <v>55</v>
      </c>
      <c r="E869" s="19" t="n">
        <v>875.05</v>
      </c>
      <c r="F869" s="19" t="n">
        <v>27.7894736842105</v>
      </c>
      <c r="G869" s="19" t="n">
        <v>417.625263157895</v>
      </c>
      <c r="H869" s="8" t="str">
        <f aca="false">IF(COUNTIF($J$1:$J$2,$A869)&gt;0,"Y","N")</f>
        <v>Y</v>
      </c>
    </row>
    <row r="870" customFormat="false" ht="15" hidden="false" customHeight="true" outlineLevel="0" collapsed="false">
      <c r="A870" s="8" t="s">
        <v>48</v>
      </c>
      <c r="B870" s="8" t="n">
        <v>4421000</v>
      </c>
      <c r="C870" s="8" t="s">
        <v>1722</v>
      </c>
      <c r="D870" s="19" t="n">
        <v>1110</v>
      </c>
      <c r="E870" s="19" t="n">
        <v>13519.8</v>
      </c>
      <c r="F870" s="19" t="n">
        <v>701.052631578947</v>
      </c>
      <c r="G870" s="19" t="n">
        <v>8006.44294736842</v>
      </c>
      <c r="H870" s="8" t="str">
        <f aca="false">IF(COUNTIF($J$1:$J$2,$A870)&gt;0,"Y","N")</f>
        <v>Y</v>
      </c>
    </row>
    <row r="871" customFormat="false" ht="15" hidden="false" customHeight="true" outlineLevel="0" collapsed="false">
      <c r="A871" s="8" t="s">
        <v>48</v>
      </c>
      <c r="B871" s="8" t="n">
        <v>4421001</v>
      </c>
      <c r="C871" s="8" t="s">
        <v>1723</v>
      </c>
      <c r="D871" s="19" t="n">
        <v>109</v>
      </c>
      <c r="E871" s="19" t="n">
        <v>4490.8</v>
      </c>
      <c r="F871" s="19" t="n">
        <v>103.578947368421</v>
      </c>
      <c r="G871" s="19" t="n">
        <v>3917.07915789474</v>
      </c>
      <c r="H871" s="8" t="str">
        <f aca="false">IF(COUNTIF($J$1:$J$2,$A871)&gt;0,"Y","N")</f>
        <v>Y</v>
      </c>
    </row>
    <row r="872" customFormat="false" ht="15" hidden="false" customHeight="true" outlineLevel="0" collapsed="false">
      <c r="A872" s="8" t="s">
        <v>48</v>
      </c>
      <c r="B872" s="8" t="n">
        <v>4422000</v>
      </c>
      <c r="C872" s="8" t="s">
        <v>1729</v>
      </c>
      <c r="D872" s="19" t="n">
        <v>237</v>
      </c>
      <c r="E872" s="19" t="n">
        <v>3377.25</v>
      </c>
      <c r="F872" s="19" t="n">
        <v>111.157894736842</v>
      </c>
      <c r="G872" s="19" t="n">
        <v>1425.42189473684</v>
      </c>
      <c r="H872" s="8" t="str">
        <f aca="false">IF(COUNTIF($J$1:$J$2,$A872)&gt;0,"Y","N")</f>
        <v>Y</v>
      </c>
    </row>
    <row r="873" customFormat="false" ht="15" hidden="false" customHeight="true" outlineLevel="0" collapsed="false">
      <c r="A873" s="8" t="s">
        <v>48</v>
      </c>
      <c r="B873" s="8" t="n">
        <v>4422004</v>
      </c>
      <c r="C873" s="8" t="s">
        <v>919</v>
      </c>
      <c r="D873" s="19" t="n">
        <v>2</v>
      </c>
      <c r="E873" s="19" t="n">
        <v>257.42</v>
      </c>
      <c r="F873" s="19" t="n">
        <v>2.52631578947368</v>
      </c>
      <c r="G873" s="19" t="n">
        <v>325.162105263158</v>
      </c>
      <c r="H873" s="8" t="str">
        <f aca="false">IF(COUNTIF($J$1:$J$2,$A873)&gt;0,"Y","N")</f>
        <v>Y</v>
      </c>
    </row>
    <row r="874" customFormat="false" ht="15" hidden="false" customHeight="true" outlineLevel="0" collapsed="false">
      <c r="A874" s="8" t="s">
        <v>48</v>
      </c>
      <c r="B874" s="8" t="n">
        <v>4422005</v>
      </c>
      <c r="C874" s="8" t="s">
        <v>1732</v>
      </c>
      <c r="D874" s="19" t="n">
        <v>16</v>
      </c>
      <c r="E874" s="19" t="n">
        <v>2059.36</v>
      </c>
      <c r="F874" s="19" t="n">
        <v>11.3684210526316</v>
      </c>
      <c r="G874" s="19" t="n">
        <v>1338.46863157895</v>
      </c>
      <c r="H874" s="8" t="str">
        <f aca="false">IF(COUNTIF($J$1:$J$2,$A874)&gt;0,"Y","N")</f>
        <v>Y</v>
      </c>
    </row>
    <row r="875" customFormat="false" ht="15" hidden="false" customHeight="true" outlineLevel="0" collapsed="false">
      <c r="A875" s="8" t="s">
        <v>48</v>
      </c>
      <c r="B875" s="8" t="n">
        <v>4422006</v>
      </c>
      <c r="C875" s="8" t="s">
        <v>1733</v>
      </c>
      <c r="D875" s="19" t="n">
        <v>9</v>
      </c>
      <c r="E875" s="19" t="n">
        <v>1158.39</v>
      </c>
      <c r="F875" s="19" t="n">
        <v>17.6842105263158</v>
      </c>
      <c r="G875" s="19" t="n">
        <v>2159.09936842105</v>
      </c>
      <c r="H875" s="8" t="str">
        <f aca="false">IF(COUNTIF($J$1:$J$2,$A875)&gt;0,"Y","N")</f>
        <v>Y</v>
      </c>
    </row>
    <row r="876" customFormat="false" ht="15" hidden="false" customHeight="true" outlineLevel="0" collapsed="false">
      <c r="A876" s="8" t="s">
        <v>48</v>
      </c>
      <c r="B876" s="8" t="n">
        <v>4422007</v>
      </c>
      <c r="C876" s="8" t="s">
        <v>1734</v>
      </c>
      <c r="D876" s="19" t="n">
        <v>10</v>
      </c>
      <c r="E876" s="19" t="n">
        <v>1287.1</v>
      </c>
      <c r="F876" s="19" t="n">
        <v>3.78947368421053</v>
      </c>
      <c r="G876" s="19" t="n">
        <v>458.455578947368</v>
      </c>
      <c r="H876" s="8" t="str">
        <f aca="false">IF(COUNTIF($J$1:$J$2,$A876)&gt;0,"Y","N")</f>
        <v>Y</v>
      </c>
    </row>
    <row r="877" customFormat="false" ht="15" hidden="false" customHeight="true" outlineLevel="0" collapsed="false">
      <c r="A877" s="8" t="s">
        <v>48</v>
      </c>
      <c r="B877" s="8" t="n">
        <v>4422009</v>
      </c>
      <c r="C877" s="8" t="s">
        <v>933</v>
      </c>
      <c r="D877" s="19" t="n">
        <v>1</v>
      </c>
      <c r="E877" s="19" t="n">
        <v>128.71</v>
      </c>
      <c r="F877" s="19" t="n">
        <v>3.78947368421053</v>
      </c>
      <c r="G877" s="19" t="n">
        <v>487.743157894737</v>
      </c>
      <c r="H877" s="8" t="str">
        <f aca="false">IF(COUNTIF($J$1:$J$2,$A877)&gt;0,"Y","N")</f>
        <v>Y</v>
      </c>
    </row>
    <row r="878" customFormat="false" ht="15" hidden="false" customHeight="true" outlineLevel="0" collapsed="false">
      <c r="A878" s="8" t="s">
        <v>48</v>
      </c>
      <c r="B878" s="8" t="n">
        <v>4422035</v>
      </c>
      <c r="C878" s="8" t="s">
        <v>1744</v>
      </c>
      <c r="D878" s="19" t="n">
        <v>978</v>
      </c>
      <c r="E878" s="19" t="n">
        <v>14474.4</v>
      </c>
      <c r="F878" s="19" t="n">
        <v>409.263157894737</v>
      </c>
      <c r="G878" s="19" t="n">
        <v>5899.89221052632</v>
      </c>
      <c r="H878" s="8" t="str">
        <f aca="false">IF(COUNTIF($J$1:$J$2,$A878)&gt;0,"Y","N")</f>
        <v>Y</v>
      </c>
    </row>
    <row r="879" customFormat="false" ht="15" hidden="false" customHeight="true" outlineLevel="0" collapsed="false">
      <c r="A879" s="8" t="s">
        <v>48</v>
      </c>
      <c r="B879" s="8" t="n">
        <v>4422036</v>
      </c>
      <c r="C879" s="8" t="s">
        <v>1745</v>
      </c>
      <c r="D879" s="19" t="n">
        <v>0</v>
      </c>
      <c r="E879" s="19" t="n">
        <v>0</v>
      </c>
      <c r="F879" s="19" t="n">
        <v>36.6315789473684</v>
      </c>
      <c r="G879" s="19" t="n">
        <v>493.354105263158</v>
      </c>
      <c r="H879" s="8" t="str">
        <f aca="false">IF(COUNTIF($J$1:$J$2,$A879)&gt;0,"Y","N")</f>
        <v>Y</v>
      </c>
    </row>
    <row r="880" customFormat="false" ht="15" hidden="false" customHeight="true" outlineLevel="0" collapsed="false">
      <c r="A880" s="8" t="s">
        <v>48</v>
      </c>
      <c r="B880" s="8" t="n">
        <v>4422037</v>
      </c>
      <c r="C880" s="8" t="s">
        <v>1746</v>
      </c>
      <c r="D880" s="19" t="n">
        <v>0</v>
      </c>
      <c r="E880" s="19" t="n">
        <v>0</v>
      </c>
      <c r="F880" s="19" t="n">
        <v>15.1578947368421</v>
      </c>
      <c r="G880" s="19" t="n">
        <v>1724.21052631579</v>
      </c>
      <c r="H880" s="8" t="str">
        <f aca="false">IF(COUNTIF($J$1:$J$2,$A880)&gt;0,"Y","N")</f>
        <v>Y</v>
      </c>
    </row>
    <row r="881" customFormat="false" ht="15" hidden="false" customHeight="true" outlineLevel="0" collapsed="false">
      <c r="A881" s="8" t="s">
        <v>48</v>
      </c>
      <c r="B881" s="8" t="n">
        <v>4422039</v>
      </c>
      <c r="C881" s="8" t="s">
        <v>1748</v>
      </c>
      <c r="D881" s="19" t="n">
        <v>0</v>
      </c>
      <c r="E881" s="19" t="n">
        <v>0</v>
      </c>
      <c r="F881" s="19" t="n">
        <v>21.4736842105263</v>
      </c>
      <c r="G881" s="19" t="n">
        <v>2442.63157894737</v>
      </c>
      <c r="H881" s="8" t="str">
        <f aca="false">IF(COUNTIF($J$1:$J$2,$A881)&gt;0,"Y","N")</f>
        <v>Y</v>
      </c>
    </row>
    <row r="882" customFormat="false" ht="15" hidden="false" customHeight="true" outlineLevel="0" collapsed="false">
      <c r="A882" s="8" t="s">
        <v>48</v>
      </c>
      <c r="B882" s="8" t="n">
        <v>4422040</v>
      </c>
      <c r="C882" s="8" t="s">
        <v>1749</v>
      </c>
      <c r="D882" s="19" t="n">
        <v>0</v>
      </c>
      <c r="E882" s="19" t="n">
        <v>0</v>
      </c>
      <c r="F882" s="19" t="n">
        <v>31.5789473684211</v>
      </c>
      <c r="G882" s="19" t="n">
        <v>3592.10526315789</v>
      </c>
      <c r="H882" s="8" t="str">
        <f aca="false">IF(COUNTIF($J$1:$J$2,$A882)&gt;0,"Y","N")</f>
        <v>Y</v>
      </c>
    </row>
    <row r="883" customFormat="false" ht="15" hidden="false" customHeight="true" outlineLevel="0" collapsed="false">
      <c r="A883" s="8" t="s">
        <v>48</v>
      </c>
      <c r="B883" s="8" t="n">
        <v>4422041</v>
      </c>
      <c r="C883" s="8" t="s">
        <v>1750</v>
      </c>
      <c r="D883" s="19" t="n">
        <v>0</v>
      </c>
      <c r="E883" s="19" t="n">
        <v>0</v>
      </c>
      <c r="F883" s="19" t="n">
        <v>32.8421052631579</v>
      </c>
      <c r="G883" s="19" t="n">
        <v>3735.78947368421</v>
      </c>
      <c r="H883" s="8" t="str">
        <f aca="false">IF(COUNTIF($J$1:$J$2,$A883)&gt;0,"Y","N")</f>
        <v>Y</v>
      </c>
    </row>
    <row r="884" customFormat="false" ht="15" hidden="false" customHeight="true" outlineLevel="0" collapsed="false">
      <c r="A884" s="8" t="s">
        <v>48</v>
      </c>
      <c r="B884" s="8" t="n">
        <v>4422042</v>
      </c>
      <c r="C884" s="8" t="s">
        <v>1751</v>
      </c>
      <c r="D884" s="19" t="n">
        <v>0</v>
      </c>
      <c r="E884" s="19" t="n">
        <v>0</v>
      </c>
      <c r="F884" s="19" t="n">
        <v>21.4736842105263</v>
      </c>
      <c r="G884" s="19" t="n">
        <v>2442.63157894737</v>
      </c>
      <c r="H884" s="8" t="str">
        <f aca="false">IF(COUNTIF($J$1:$J$2,$A884)&gt;0,"Y","N")</f>
        <v>Y</v>
      </c>
    </row>
    <row r="885" customFormat="false" ht="15" hidden="false" customHeight="true" outlineLevel="0" collapsed="false">
      <c r="A885" s="8" t="s">
        <v>48</v>
      </c>
      <c r="B885" s="8" t="s">
        <v>522</v>
      </c>
      <c r="C885" s="8" t="s">
        <v>522</v>
      </c>
      <c r="D885" s="19" t="n">
        <v>2</v>
      </c>
      <c r="E885" s="19" t="n">
        <v>130</v>
      </c>
      <c r="F885" s="19" t="n">
        <v>0</v>
      </c>
      <c r="G885" s="19" t="n">
        <v>0</v>
      </c>
      <c r="H885" s="8" t="str">
        <f aca="false">IF(COUNTIF($J$1:$J$2,$A885)&gt;0,"Y","N")</f>
        <v>Y</v>
      </c>
    </row>
    <row r="886" customFormat="false" ht="15" hidden="false" customHeight="true" outlineLevel="0" collapsed="false">
      <c r="A886" s="8" t="s">
        <v>48</v>
      </c>
      <c r="B886" s="8" t="s">
        <v>523</v>
      </c>
      <c r="C886" s="8" t="s">
        <v>523</v>
      </c>
      <c r="D886" s="19" t="n">
        <v>2</v>
      </c>
      <c r="E886" s="19" t="n">
        <v>130</v>
      </c>
      <c r="F886" s="19" t="n">
        <v>0</v>
      </c>
      <c r="G886" s="19" t="n">
        <v>0</v>
      </c>
      <c r="H886" s="8" t="str">
        <f aca="false">IF(COUNTIF($J$1:$J$2,$A886)&gt;0,"Y","N")</f>
        <v>Y</v>
      </c>
    </row>
    <row r="887" customFormat="false" ht="15" hidden="false" customHeight="true" outlineLevel="0" collapsed="false">
      <c r="A887" s="8" t="s">
        <v>48</v>
      </c>
      <c r="B887" s="8" t="s">
        <v>401</v>
      </c>
      <c r="C887" s="8" t="s">
        <v>401</v>
      </c>
      <c r="D887" s="19" t="n">
        <v>0</v>
      </c>
      <c r="E887" s="19" t="n">
        <v>0</v>
      </c>
      <c r="F887" s="19" t="n">
        <v>1.26315789473684</v>
      </c>
      <c r="G887" s="19" t="n">
        <v>82.1052631578947</v>
      </c>
      <c r="H887" s="8" t="str">
        <f aca="false">IF(COUNTIF($J$1:$J$2,$A887)&gt;0,"Y","N")</f>
        <v>Y</v>
      </c>
    </row>
    <row r="888" customFormat="false" ht="15" hidden="false" customHeight="true" outlineLevel="0" collapsed="false">
      <c r="A888" s="8" t="s">
        <v>48</v>
      </c>
      <c r="B888" s="8" t="s">
        <v>170</v>
      </c>
      <c r="C888" s="8" t="s">
        <v>170</v>
      </c>
      <c r="D888" s="19" t="n">
        <v>0</v>
      </c>
      <c r="E888" s="19" t="n">
        <v>0</v>
      </c>
      <c r="F888" s="19" t="n">
        <v>8.84210526315789</v>
      </c>
      <c r="G888" s="19" t="n">
        <v>1260.85768421053</v>
      </c>
      <c r="H888" s="8" t="str">
        <f aca="false">IF(COUNTIF($J$1:$J$2,$A888)&gt;0,"Y","N")</f>
        <v>Y</v>
      </c>
    </row>
    <row r="889" customFormat="false" ht="15" hidden="false" customHeight="true" outlineLevel="0" collapsed="false">
      <c r="A889" s="8" t="s">
        <v>48</v>
      </c>
      <c r="B889" s="8" t="s">
        <v>315</v>
      </c>
      <c r="C889" s="8" t="s">
        <v>315</v>
      </c>
      <c r="D889" s="19" t="n">
        <v>0</v>
      </c>
      <c r="E889" s="19" t="n">
        <v>0</v>
      </c>
      <c r="F889" s="19" t="n">
        <v>2.52631578947368</v>
      </c>
      <c r="G889" s="19" t="n">
        <v>403.465263157895</v>
      </c>
      <c r="H889" s="8" t="str">
        <f aca="false">IF(COUNTIF($J$1:$J$2,$A889)&gt;0,"Y","N")</f>
        <v>Y</v>
      </c>
    </row>
    <row r="890" customFormat="false" ht="15" hidden="false" customHeight="true" outlineLevel="0" collapsed="false">
      <c r="A890" s="8" t="s">
        <v>48</v>
      </c>
      <c r="B890" s="8" t="s">
        <v>206</v>
      </c>
      <c r="C890" s="8" t="s">
        <v>206</v>
      </c>
      <c r="D890" s="19" t="n">
        <v>0</v>
      </c>
      <c r="E890" s="19" t="n">
        <v>0</v>
      </c>
      <c r="F890" s="19" t="n">
        <v>6.31578947368421</v>
      </c>
      <c r="G890" s="19" t="n">
        <v>857.392421052632</v>
      </c>
      <c r="H890" s="8" t="str">
        <f aca="false">IF(COUNTIF($J$1:$J$2,$A890)&gt;0,"Y","N")</f>
        <v>Y</v>
      </c>
    </row>
    <row r="891" customFormat="false" ht="15" hidden="false" customHeight="true" outlineLevel="0" collapsed="false">
      <c r="A891" s="8" t="s">
        <v>48</v>
      </c>
      <c r="B891" s="8" t="s">
        <v>171</v>
      </c>
      <c r="C891" s="8" t="s">
        <v>171</v>
      </c>
      <c r="D891" s="19" t="n">
        <v>0</v>
      </c>
      <c r="E891" s="19" t="n">
        <v>0</v>
      </c>
      <c r="F891" s="19" t="n">
        <v>8.84210526315789</v>
      </c>
      <c r="G891" s="19" t="n">
        <v>1159.93389473684</v>
      </c>
      <c r="H891" s="8" t="str">
        <f aca="false">IF(COUNTIF($J$1:$J$2,$A891)&gt;0,"Y","N")</f>
        <v>Y</v>
      </c>
    </row>
    <row r="892" customFormat="false" ht="15" hidden="false" customHeight="true" outlineLevel="0" collapsed="false">
      <c r="A892" s="8" t="s">
        <v>48</v>
      </c>
      <c r="B892" s="8" t="s">
        <v>77</v>
      </c>
      <c r="C892" s="8" t="s">
        <v>77</v>
      </c>
      <c r="D892" s="19" t="n">
        <v>0</v>
      </c>
      <c r="E892" s="19" t="n">
        <v>0</v>
      </c>
      <c r="F892" s="19" t="n">
        <v>36.6315789473684</v>
      </c>
      <c r="G892" s="19" t="n">
        <v>2349.06442105263</v>
      </c>
      <c r="H892" s="8" t="str">
        <f aca="false">IF(COUNTIF($J$1:$J$2,$A892)&gt;0,"Y","N")</f>
        <v>Y</v>
      </c>
    </row>
    <row r="893" customFormat="false" ht="15" hidden="false" customHeight="true" outlineLevel="0" collapsed="false">
      <c r="A893" s="8" t="s">
        <v>48</v>
      </c>
      <c r="B893" s="8" t="s">
        <v>99</v>
      </c>
      <c r="C893" s="8" t="s">
        <v>99</v>
      </c>
      <c r="D893" s="19" t="n">
        <v>0</v>
      </c>
      <c r="E893" s="19" t="n">
        <v>0</v>
      </c>
      <c r="F893" s="19" t="n">
        <v>25.2631578947368</v>
      </c>
      <c r="G893" s="19" t="n">
        <v>1663.05852631579</v>
      </c>
      <c r="H893" s="8" t="str">
        <f aca="false">IF(COUNTIF($J$1:$J$2,$A893)&gt;0,"Y","N")</f>
        <v>Y</v>
      </c>
    </row>
    <row r="894" customFormat="false" ht="15" hidden="false" customHeight="true" outlineLevel="0" collapsed="false">
      <c r="A894" s="8" t="s">
        <v>48</v>
      </c>
      <c r="B894" s="8" t="s">
        <v>316</v>
      </c>
      <c r="C894" s="8" t="s">
        <v>316</v>
      </c>
      <c r="D894" s="19" t="n">
        <v>0</v>
      </c>
      <c r="E894" s="19" t="n">
        <v>0</v>
      </c>
      <c r="F894" s="19" t="n">
        <v>2.52631578947368</v>
      </c>
      <c r="G894" s="19" t="n">
        <v>166.328842105263</v>
      </c>
      <c r="H894" s="8" t="str">
        <f aca="false">IF(COUNTIF($J$1:$J$2,$A894)&gt;0,"Y","N")</f>
        <v>Y</v>
      </c>
    </row>
    <row r="895" customFormat="false" ht="15" hidden="false" customHeight="true" outlineLevel="0" collapsed="false">
      <c r="A895" s="8" t="s">
        <v>48</v>
      </c>
      <c r="B895" s="8" t="s">
        <v>69</v>
      </c>
      <c r="C895" s="8" t="s">
        <v>69</v>
      </c>
      <c r="D895" s="19" t="n">
        <v>0</v>
      </c>
      <c r="E895" s="19" t="n">
        <v>0</v>
      </c>
      <c r="F895" s="19" t="n">
        <v>45.4736842105263</v>
      </c>
      <c r="G895" s="19" t="n">
        <v>2910.35242105263</v>
      </c>
      <c r="H895" s="8" t="str">
        <f aca="false">IF(COUNTIF($J$1:$J$2,$A895)&gt;0,"Y","N")</f>
        <v>Y</v>
      </c>
    </row>
    <row r="896" customFormat="false" ht="15" hidden="false" customHeight="true" outlineLevel="0" collapsed="false">
      <c r="A896" s="8" t="s">
        <v>48</v>
      </c>
      <c r="B896" s="8" t="s">
        <v>100</v>
      </c>
      <c r="C896" s="8" t="s">
        <v>100</v>
      </c>
      <c r="D896" s="19" t="n">
        <v>0</v>
      </c>
      <c r="E896" s="19" t="n">
        <v>0</v>
      </c>
      <c r="F896" s="19" t="n">
        <v>25.2631578947368</v>
      </c>
      <c r="G896" s="19" t="n">
        <v>1621.44757894737</v>
      </c>
      <c r="H896" s="8" t="str">
        <f aca="false">IF(COUNTIF($J$1:$J$2,$A896)&gt;0,"Y","N")</f>
        <v>Y</v>
      </c>
    </row>
    <row r="897" customFormat="false" ht="15" hidden="false" customHeight="true" outlineLevel="0" collapsed="false">
      <c r="A897" s="8" t="s">
        <v>48</v>
      </c>
      <c r="B897" s="8" t="s">
        <v>398</v>
      </c>
      <c r="C897" s="8" t="s">
        <v>398</v>
      </c>
      <c r="D897" s="19" t="n">
        <v>16</v>
      </c>
      <c r="E897" s="19" t="n">
        <v>1038.24</v>
      </c>
      <c r="F897" s="19" t="n">
        <v>1.26315789473684</v>
      </c>
      <c r="G897" s="19" t="n">
        <v>81.9663157894737</v>
      </c>
      <c r="H897" s="8" t="str">
        <f aca="false">IF(COUNTIF($J$1:$J$2,$A897)&gt;0,"Y","N")</f>
        <v>Y</v>
      </c>
    </row>
    <row r="898" customFormat="false" ht="15" hidden="false" customHeight="true" outlineLevel="0" collapsed="false">
      <c r="A898" s="8" t="s">
        <v>48</v>
      </c>
      <c r="B898" s="8" t="s">
        <v>337</v>
      </c>
      <c r="C898" s="8" t="s">
        <v>337</v>
      </c>
      <c r="D898" s="19" t="n">
        <v>6</v>
      </c>
      <c r="E898" s="19" t="n">
        <v>389.34</v>
      </c>
      <c r="F898" s="19" t="n">
        <v>0</v>
      </c>
      <c r="G898" s="19" t="n">
        <v>0</v>
      </c>
      <c r="H898" s="8" t="str">
        <f aca="false">IF(COUNTIF($J$1:$J$2,$A898)&gt;0,"Y","N")</f>
        <v>Y</v>
      </c>
    </row>
    <row r="899" customFormat="false" ht="15" hidden="false" customHeight="true" outlineLevel="0" collapsed="false">
      <c r="A899" s="8" t="s">
        <v>48</v>
      </c>
      <c r="B899" s="8" t="s">
        <v>213</v>
      </c>
      <c r="C899" s="8" t="s">
        <v>213</v>
      </c>
      <c r="D899" s="19" t="n">
        <v>5</v>
      </c>
      <c r="E899" s="19" t="n">
        <v>324.45</v>
      </c>
      <c r="F899" s="19" t="n">
        <v>5.05263157894737</v>
      </c>
      <c r="G899" s="19" t="n">
        <v>327.865263157895</v>
      </c>
      <c r="H899" s="8" t="str">
        <f aca="false">IF(COUNTIF($J$1:$J$2,$A899)&gt;0,"Y","N")</f>
        <v>Y</v>
      </c>
    </row>
    <row r="900" customFormat="false" ht="15" hidden="false" customHeight="true" outlineLevel="0" collapsed="false">
      <c r="A900" s="8" t="s">
        <v>48</v>
      </c>
      <c r="B900" s="8" t="s">
        <v>185</v>
      </c>
      <c r="C900" s="8" t="s">
        <v>185</v>
      </c>
      <c r="D900" s="19" t="n">
        <v>1</v>
      </c>
      <c r="E900" s="19" t="n">
        <v>107.09</v>
      </c>
      <c r="F900" s="19" t="n">
        <v>0</v>
      </c>
      <c r="G900" s="19" t="n">
        <v>0</v>
      </c>
      <c r="H900" s="8" t="str">
        <f aca="false">IF(COUNTIF($J$1:$J$2,$A900)&gt;0,"Y","N")</f>
        <v>Y</v>
      </c>
    </row>
    <row r="901" customFormat="false" ht="15" hidden="false" customHeight="true" outlineLevel="0" collapsed="false">
      <c r="A901" s="8" t="s">
        <v>48</v>
      </c>
      <c r="B901" s="8" t="s">
        <v>538</v>
      </c>
      <c r="C901" s="8" t="s">
        <v>538</v>
      </c>
      <c r="D901" s="19" t="n">
        <v>54</v>
      </c>
      <c r="E901" s="19" t="n">
        <v>594</v>
      </c>
      <c r="F901" s="19" t="n">
        <v>-3.78947368421053</v>
      </c>
      <c r="G901" s="19" t="n">
        <v>-41.6842105263158</v>
      </c>
      <c r="H901" s="8" t="str">
        <f aca="false">IF(COUNTIF($J$1:$J$2,$A901)&gt;0,"Y","N")</f>
        <v>Y</v>
      </c>
    </row>
    <row r="902" customFormat="false" ht="15" hidden="false" customHeight="true" outlineLevel="0" collapsed="false">
      <c r="A902" s="8" t="s">
        <v>48</v>
      </c>
      <c r="B902" s="8" t="s">
        <v>67</v>
      </c>
      <c r="C902" s="8" t="s">
        <v>67</v>
      </c>
      <c r="D902" s="19" t="n">
        <v>0</v>
      </c>
      <c r="E902" s="19" t="n">
        <v>0</v>
      </c>
      <c r="F902" s="19" t="n">
        <v>54.3157894736842</v>
      </c>
      <c r="G902" s="19" t="n">
        <v>640.141894736842</v>
      </c>
      <c r="H902" s="8" t="str">
        <f aca="false">IF(COUNTIF($J$1:$J$2,$A902)&gt;0,"Y","N")</f>
        <v>Y</v>
      </c>
    </row>
    <row r="903" customFormat="false" ht="15" hidden="false" customHeight="true" outlineLevel="0" collapsed="false">
      <c r="A903" s="8" t="s">
        <v>48</v>
      </c>
      <c r="B903" s="8" t="s">
        <v>212</v>
      </c>
      <c r="C903" s="8" t="s">
        <v>212</v>
      </c>
      <c r="D903" s="19" t="n">
        <v>25</v>
      </c>
      <c r="E903" s="19" t="n">
        <v>723.25</v>
      </c>
      <c r="F903" s="19" t="n">
        <v>2.52631578947368</v>
      </c>
      <c r="G903" s="19" t="n">
        <v>73.0863157894737</v>
      </c>
      <c r="H903" s="8" t="str">
        <f aca="false">IF(COUNTIF($J$1:$J$2,$A903)&gt;0,"Y","N")</f>
        <v>Y</v>
      </c>
    </row>
    <row r="904" customFormat="false" ht="15" hidden="false" customHeight="true" outlineLevel="0" collapsed="false">
      <c r="A904" s="8" t="s">
        <v>48</v>
      </c>
      <c r="B904" s="8" t="s">
        <v>134</v>
      </c>
      <c r="C904" s="8" t="s">
        <v>134</v>
      </c>
      <c r="D904" s="19" t="n">
        <v>8</v>
      </c>
      <c r="E904" s="19" t="n">
        <v>136</v>
      </c>
      <c r="F904" s="19" t="n">
        <v>3.78947368421053</v>
      </c>
      <c r="G904" s="19" t="n">
        <v>64.421052631579</v>
      </c>
      <c r="H904" s="8" t="str">
        <f aca="false">IF(COUNTIF($J$1:$J$2,$A904)&gt;0,"Y","N")</f>
        <v>Y</v>
      </c>
    </row>
    <row r="905" customFormat="false" ht="15" hidden="false" customHeight="true" outlineLevel="0" collapsed="false">
      <c r="A905" s="8" t="s">
        <v>48</v>
      </c>
      <c r="B905" s="8" t="s">
        <v>406</v>
      </c>
      <c r="C905" s="8" t="s">
        <v>406</v>
      </c>
      <c r="D905" s="19" t="n">
        <v>14</v>
      </c>
      <c r="E905" s="19" t="n">
        <v>690.2</v>
      </c>
      <c r="F905" s="19" t="n">
        <v>0</v>
      </c>
      <c r="G905" s="19" t="n">
        <v>0</v>
      </c>
      <c r="H905" s="8" t="str">
        <f aca="false">IF(COUNTIF($J$1:$J$2,$A905)&gt;0,"Y","N")</f>
        <v>Y</v>
      </c>
    </row>
    <row r="906" customFormat="false" ht="15" hidden="false" customHeight="true" outlineLevel="0" collapsed="false">
      <c r="A906" s="8" t="s">
        <v>48</v>
      </c>
      <c r="B906" s="8" t="s">
        <v>107</v>
      </c>
      <c r="C906" s="8" t="s">
        <v>107</v>
      </c>
      <c r="D906" s="19" t="n">
        <v>31</v>
      </c>
      <c r="E906" s="19" t="n">
        <v>731.6</v>
      </c>
      <c r="F906" s="19" t="n">
        <v>11.3684210526316</v>
      </c>
      <c r="G906" s="19" t="n">
        <v>268.294736842105</v>
      </c>
      <c r="H906" s="8" t="str">
        <f aca="false">IF(COUNTIF($J$1:$J$2,$A906)&gt;0,"Y","N")</f>
        <v>Y</v>
      </c>
    </row>
    <row r="907" customFormat="false" ht="15" hidden="false" customHeight="true" outlineLevel="0" collapsed="false">
      <c r="A907" s="8" t="s">
        <v>48</v>
      </c>
      <c r="B907" s="8" t="s">
        <v>232</v>
      </c>
      <c r="C907" s="8" t="s">
        <v>232</v>
      </c>
      <c r="D907" s="19" t="n">
        <v>39</v>
      </c>
      <c r="E907" s="19" t="n">
        <v>717.6</v>
      </c>
      <c r="F907" s="19" t="n">
        <v>0</v>
      </c>
      <c r="G907" s="19" t="n">
        <v>0</v>
      </c>
      <c r="H907" s="8" t="str">
        <f aca="false">IF(COUNTIF($J$1:$J$2,$A907)&gt;0,"Y","N")</f>
        <v>Y</v>
      </c>
    </row>
    <row r="908" customFormat="false" ht="15" hidden="false" customHeight="true" outlineLevel="0" collapsed="false">
      <c r="A908" s="8" t="s">
        <v>48</v>
      </c>
      <c r="B908" s="8" t="s">
        <v>83</v>
      </c>
      <c r="C908" s="8" t="s">
        <v>83</v>
      </c>
      <c r="D908" s="19" t="n">
        <v>45</v>
      </c>
      <c r="E908" s="19" t="n">
        <v>828</v>
      </c>
      <c r="F908" s="19" t="n">
        <v>8.84210526315789</v>
      </c>
      <c r="G908" s="19" t="n">
        <v>162.694736842105</v>
      </c>
      <c r="H908" s="8" t="str">
        <f aca="false">IF(COUNTIF($J$1:$J$2,$A908)&gt;0,"Y","N")</f>
        <v>Y</v>
      </c>
    </row>
    <row r="909" customFormat="false" ht="15" hidden="false" customHeight="true" outlineLevel="0" collapsed="false">
      <c r="A909" s="8" t="s">
        <v>48</v>
      </c>
      <c r="B909" s="8" t="s">
        <v>145</v>
      </c>
      <c r="C909" s="8" t="s">
        <v>145</v>
      </c>
      <c r="D909" s="19" t="n">
        <v>28</v>
      </c>
      <c r="E909" s="19" t="n">
        <v>515.2</v>
      </c>
      <c r="F909" s="19" t="n">
        <v>5.05263157894737</v>
      </c>
      <c r="G909" s="19" t="n">
        <v>92.9684210526316</v>
      </c>
      <c r="H909" s="8" t="str">
        <f aca="false">IF(COUNTIF($J$1:$J$2,$A909)&gt;0,"Y","N")</f>
        <v>Y</v>
      </c>
    </row>
    <row r="910" customFormat="false" ht="15" hidden="false" customHeight="true" outlineLevel="0" collapsed="false">
      <c r="A910" s="8" t="s">
        <v>48</v>
      </c>
      <c r="B910" s="8" t="s">
        <v>106</v>
      </c>
      <c r="C910" s="8" t="s">
        <v>106</v>
      </c>
      <c r="D910" s="19" t="n">
        <v>0</v>
      </c>
      <c r="E910" s="19" t="n">
        <v>0</v>
      </c>
      <c r="F910" s="19" t="n">
        <v>20.2105263157895</v>
      </c>
      <c r="G910" s="19" t="n">
        <v>1100.16126315789</v>
      </c>
      <c r="H910" s="8" t="str">
        <f aca="false">IF(COUNTIF($J$1:$J$2,$A910)&gt;0,"Y","N")</f>
        <v>Y</v>
      </c>
    </row>
    <row r="911" customFormat="false" ht="15" hidden="false" customHeight="true" outlineLevel="0" collapsed="false">
      <c r="A911" s="8" t="s">
        <v>48</v>
      </c>
      <c r="B911" s="8" t="s">
        <v>351</v>
      </c>
      <c r="C911" s="8" t="s">
        <v>351</v>
      </c>
      <c r="D911" s="19" t="n">
        <v>-1</v>
      </c>
      <c r="E911" s="19" t="n">
        <v>-441.17</v>
      </c>
      <c r="F911" s="19" t="n">
        <v>0</v>
      </c>
      <c r="G911" s="19" t="n">
        <v>0</v>
      </c>
      <c r="H911" s="8" t="str">
        <f aca="false">IF(COUNTIF($J$1:$J$2,$A911)&gt;0,"Y","N")</f>
        <v>Y</v>
      </c>
    </row>
    <row r="912" customFormat="false" ht="15" hidden="false" customHeight="true" outlineLevel="0" collapsed="false">
      <c r="A912" s="8" t="s">
        <v>48</v>
      </c>
      <c r="B912" s="8" t="s">
        <v>104</v>
      </c>
      <c r="C912" s="8" t="s">
        <v>104</v>
      </c>
      <c r="D912" s="19" t="n">
        <v>0</v>
      </c>
      <c r="E912" s="19" t="n">
        <v>0</v>
      </c>
      <c r="F912" s="19" t="n">
        <v>1.26315789473684</v>
      </c>
      <c r="G912" s="19" t="n">
        <v>0</v>
      </c>
      <c r="H912" s="8" t="str">
        <f aca="false">IF(COUNTIF($J$1:$J$2,$A912)&gt;0,"Y","N")</f>
        <v>Y</v>
      </c>
    </row>
    <row r="913" customFormat="false" ht="15" hidden="false" customHeight="true" outlineLevel="0" collapsed="false">
      <c r="A913" s="8" t="s">
        <v>48</v>
      </c>
      <c r="B913" s="8" t="s">
        <v>132</v>
      </c>
      <c r="C913" s="8" t="s">
        <v>132</v>
      </c>
      <c r="D913" s="19" t="n">
        <v>0</v>
      </c>
      <c r="E913" s="19" t="n">
        <v>0</v>
      </c>
      <c r="F913" s="19" t="n">
        <v>2.52631578947368</v>
      </c>
      <c r="G913" s="19" t="n">
        <v>0</v>
      </c>
      <c r="H913" s="8" t="str">
        <f aca="false">IF(COUNTIF($J$1:$J$2,$A913)&gt;0,"Y","N")</f>
        <v>Y</v>
      </c>
    </row>
    <row r="914" customFormat="false" ht="15" hidden="false" customHeight="true" outlineLevel="0" collapsed="false">
      <c r="A914" s="8" t="s">
        <v>48</v>
      </c>
      <c r="B914" s="8" t="s">
        <v>169</v>
      </c>
      <c r="C914" s="8" t="s">
        <v>169</v>
      </c>
      <c r="D914" s="19" t="n">
        <v>8</v>
      </c>
      <c r="E914" s="19" t="n">
        <v>1038.48</v>
      </c>
      <c r="F914" s="19" t="n">
        <v>1.26315789473684</v>
      </c>
      <c r="G914" s="19" t="n">
        <v>163.970526315789</v>
      </c>
      <c r="H914" s="8" t="str">
        <f aca="false">IF(COUNTIF($J$1:$J$2,$A914)&gt;0,"Y","N")</f>
        <v>Y</v>
      </c>
    </row>
    <row r="915" customFormat="false" ht="15" hidden="false" customHeight="true" outlineLevel="0" collapsed="false">
      <c r="A915" s="8" t="s">
        <v>48</v>
      </c>
      <c r="B915" s="8" t="s">
        <v>112</v>
      </c>
      <c r="C915" s="8" t="s">
        <v>112</v>
      </c>
      <c r="D915" s="19" t="n">
        <v>13</v>
      </c>
      <c r="E915" s="19" t="n">
        <v>818.61</v>
      </c>
      <c r="F915" s="19" t="n">
        <v>0</v>
      </c>
      <c r="G915" s="19" t="n">
        <v>0</v>
      </c>
      <c r="H915" s="8" t="str">
        <f aca="false">IF(COUNTIF($J$1:$J$2,$A915)&gt;0,"Y","N")</f>
        <v>Y</v>
      </c>
    </row>
    <row r="916" customFormat="false" ht="15" hidden="false" customHeight="true" outlineLevel="0" collapsed="false">
      <c r="A916" s="8" t="s">
        <v>48</v>
      </c>
      <c r="B916" s="8" t="s">
        <v>79</v>
      </c>
      <c r="C916" s="8" t="s">
        <v>79</v>
      </c>
      <c r="D916" s="19" t="n">
        <v>6</v>
      </c>
      <c r="E916" s="19" t="n">
        <v>377.82</v>
      </c>
      <c r="F916" s="19" t="n">
        <v>5.05263157894737</v>
      </c>
      <c r="G916" s="19" t="n">
        <v>318.164210526316</v>
      </c>
      <c r="H916" s="8" t="str">
        <f aca="false">IF(COUNTIF($J$1:$J$2,$A916)&gt;0,"Y","N")</f>
        <v>Y</v>
      </c>
    </row>
    <row r="917" customFormat="false" ht="15" hidden="false" customHeight="true" outlineLevel="0" collapsed="false">
      <c r="A917" s="8" t="s">
        <v>48</v>
      </c>
      <c r="B917" s="8" t="s">
        <v>313</v>
      </c>
      <c r="C917" s="8" t="s">
        <v>313</v>
      </c>
      <c r="D917" s="19" t="n">
        <v>0</v>
      </c>
      <c r="E917" s="19" t="n">
        <v>0</v>
      </c>
      <c r="F917" s="19" t="n">
        <v>1.26315789473684</v>
      </c>
      <c r="G917" s="19" t="n">
        <v>0</v>
      </c>
      <c r="H917" s="8" t="str">
        <f aca="false">IF(COUNTIF($J$1:$J$2,$A917)&gt;0,"Y","N")</f>
        <v>Y</v>
      </c>
    </row>
    <row r="918" customFormat="false" ht="15" hidden="false" customHeight="true" outlineLevel="0" collapsed="false">
      <c r="A918" s="8" t="s">
        <v>48</v>
      </c>
      <c r="B918" s="8" t="s">
        <v>187</v>
      </c>
      <c r="C918" s="8" t="s">
        <v>187</v>
      </c>
      <c r="D918" s="19" t="n">
        <v>0</v>
      </c>
      <c r="E918" s="19" t="n">
        <v>0</v>
      </c>
      <c r="F918" s="19" t="n">
        <v>7.57894736842105</v>
      </c>
      <c r="G918" s="19" t="n">
        <v>0</v>
      </c>
      <c r="H918" s="8" t="str">
        <f aca="false">IF(COUNTIF($J$1:$J$2,$A918)&gt;0,"Y","N")</f>
        <v>Y</v>
      </c>
    </row>
    <row r="919" customFormat="false" ht="15" hidden="false" customHeight="true" outlineLevel="0" collapsed="false">
      <c r="A919" s="8" t="s">
        <v>48</v>
      </c>
      <c r="B919" s="8" t="s">
        <v>90</v>
      </c>
      <c r="C919" s="8" t="s">
        <v>90</v>
      </c>
      <c r="D919" s="19" t="n">
        <v>10</v>
      </c>
      <c r="E919" s="19" t="n">
        <v>941</v>
      </c>
      <c r="F919" s="19" t="n">
        <v>1.26315789473684</v>
      </c>
      <c r="G919" s="19" t="n">
        <v>118.863157894737</v>
      </c>
      <c r="H919" s="8" t="str">
        <f aca="false">IF(COUNTIF($J$1:$J$2,$A919)&gt;0,"Y","N")</f>
        <v>Y</v>
      </c>
    </row>
    <row r="920" customFormat="false" ht="15" hidden="false" customHeight="true" outlineLevel="0" collapsed="false">
      <c r="A920" s="8" t="s">
        <v>48</v>
      </c>
      <c r="B920" s="8" t="s">
        <v>133</v>
      </c>
      <c r="C920" s="8" t="s">
        <v>133</v>
      </c>
      <c r="D920" s="19" t="n">
        <v>10</v>
      </c>
      <c r="E920" s="19" t="n">
        <v>941</v>
      </c>
      <c r="F920" s="19" t="n">
        <v>2.52631578947368</v>
      </c>
      <c r="G920" s="19" t="n">
        <v>237.726315789474</v>
      </c>
      <c r="H920" s="8" t="str">
        <f aca="false">IF(COUNTIF($J$1:$J$2,$A920)&gt;0,"Y","N")</f>
        <v>Y</v>
      </c>
    </row>
    <row r="921" customFormat="false" ht="15" hidden="false" customHeight="true" outlineLevel="0" collapsed="false">
      <c r="A921" s="8" t="s">
        <v>48</v>
      </c>
      <c r="B921" s="8" t="s">
        <v>118</v>
      </c>
      <c r="C921" s="8" t="s">
        <v>118</v>
      </c>
      <c r="D921" s="19" t="n">
        <v>11</v>
      </c>
      <c r="E921" s="19" t="n">
        <v>1035.1</v>
      </c>
      <c r="F921" s="19" t="n">
        <v>8.84210526315789</v>
      </c>
      <c r="G921" s="19" t="n">
        <v>832.042105263158</v>
      </c>
      <c r="H921" s="8" t="str">
        <f aca="false">IF(COUNTIF($J$1:$J$2,$A921)&gt;0,"Y","N")</f>
        <v>Y</v>
      </c>
    </row>
    <row r="922" customFormat="false" ht="15" hidden="false" customHeight="true" outlineLevel="0" collapsed="false">
      <c r="A922" s="8" t="s">
        <v>48</v>
      </c>
      <c r="B922" s="8" t="s">
        <v>159</v>
      </c>
      <c r="C922" s="8" t="s">
        <v>159</v>
      </c>
      <c r="D922" s="19" t="n">
        <v>1</v>
      </c>
      <c r="E922" s="19" t="n">
        <v>94.1</v>
      </c>
      <c r="F922" s="19" t="n">
        <v>2.52631578947368</v>
      </c>
      <c r="G922" s="19" t="n">
        <v>237.726315789474</v>
      </c>
      <c r="H922" s="8" t="str">
        <f aca="false">IF(COUNTIF($J$1:$J$2,$A922)&gt;0,"Y","N")</f>
        <v>Y</v>
      </c>
    </row>
    <row r="923" customFormat="false" ht="15" hidden="false" customHeight="true" outlineLevel="0" collapsed="false">
      <c r="A923" s="8" t="s">
        <v>48</v>
      </c>
      <c r="B923" s="8" t="s">
        <v>114</v>
      </c>
      <c r="C923" s="8" t="s">
        <v>114</v>
      </c>
      <c r="D923" s="19" t="n">
        <v>2</v>
      </c>
      <c r="E923" s="19" t="n">
        <v>147.6</v>
      </c>
      <c r="F923" s="19" t="n">
        <v>2.52631578947368</v>
      </c>
      <c r="G923" s="19" t="n">
        <v>186.442105263158</v>
      </c>
      <c r="H923" s="8" t="str">
        <f aca="false">IF(COUNTIF($J$1:$J$2,$A923)&gt;0,"Y","N")</f>
        <v>Y</v>
      </c>
    </row>
    <row r="924" customFormat="false" ht="15" hidden="false" customHeight="true" outlineLevel="0" collapsed="false">
      <c r="A924" s="8" t="s">
        <v>48</v>
      </c>
      <c r="B924" s="8" t="s">
        <v>110</v>
      </c>
      <c r="C924" s="8" t="s">
        <v>110</v>
      </c>
      <c r="D924" s="19" t="n">
        <v>1</v>
      </c>
      <c r="E924" s="19" t="n">
        <v>73.8</v>
      </c>
      <c r="F924" s="19" t="n">
        <v>7.57894736842105</v>
      </c>
      <c r="G924" s="19" t="n">
        <v>559.326315789474</v>
      </c>
      <c r="H924" s="8" t="str">
        <f aca="false">IF(COUNTIF($J$1:$J$2,$A924)&gt;0,"Y","N")</f>
        <v>Y</v>
      </c>
    </row>
    <row r="925" customFormat="false" ht="15" hidden="false" customHeight="true" outlineLevel="0" collapsed="false">
      <c r="A925" s="8" t="s">
        <v>48</v>
      </c>
      <c r="B925" s="8" t="s">
        <v>135</v>
      </c>
      <c r="C925" s="8" t="s">
        <v>135</v>
      </c>
      <c r="D925" s="19" t="n">
        <v>0</v>
      </c>
      <c r="E925" s="19" t="n">
        <v>0</v>
      </c>
      <c r="F925" s="19" t="n">
        <v>5.05263157894737</v>
      </c>
      <c r="G925" s="19" t="n">
        <v>372.884210526316</v>
      </c>
      <c r="H925" s="8" t="str">
        <f aca="false">IF(COUNTIF($J$1:$J$2,$A925)&gt;0,"Y","N")</f>
        <v>Y</v>
      </c>
    </row>
    <row r="926" customFormat="false" ht="15" hidden="false" customHeight="true" outlineLevel="0" collapsed="false">
      <c r="A926" s="8" t="s">
        <v>48</v>
      </c>
      <c r="B926" s="8" t="s">
        <v>124</v>
      </c>
      <c r="C926" s="8" t="s">
        <v>124</v>
      </c>
      <c r="D926" s="19" t="n">
        <v>-4</v>
      </c>
      <c r="E926" s="19" t="n">
        <v>-329.92</v>
      </c>
      <c r="F926" s="19" t="n">
        <v>0</v>
      </c>
      <c r="G926" s="19" t="n">
        <v>0</v>
      </c>
      <c r="H926" s="8" t="str">
        <f aca="false">IF(COUNTIF($J$1:$J$2,$A926)&gt;0,"Y","N")</f>
        <v>Y</v>
      </c>
    </row>
    <row r="927" customFormat="false" ht="15" hidden="false" customHeight="true" outlineLevel="0" collapsed="false">
      <c r="A927" s="8" t="s">
        <v>48</v>
      </c>
      <c r="B927" s="8" t="s">
        <v>262</v>
      </c>
      <c r="C927" s="8" t="s">
        <v>262</v>
      </c>
      <c r="D927" s="19" t="n">
        <v>-3</v>
      </c>
      <c r="E927" s="19" t="n">
        <v>-247.44</v>
      </c>
      <c r="F927" s="19" t="n">
        <v>0</v>
      </c>
      <c r="G927" s="19" t="n">
        <v>0</v>
      </c>
      <c r="H927" s="8" t="str">
        <f aca="false">IF(COUNTIF($J$1:$J$2,$A927)&gt;0,"Y","N")</f>
        <v>Y</v>
      </c>
    </row>
    <row r="928" customFormat="false" ht="15" hidden="false" customHeight="true" outlineLevel="0" collapsed="false">
      <c r="A928" s="8" t="s">
        <v>1764</v>
      </c>
      <c r="B928" s="8" t="n">
        <v>4401000</v>
      </c>
      <c r="C928" s="8" t="s">
        <v>1178</v>
      </c>
      <c r="D928" s="19" t="n">
        <v>134</v>
      </c>
      <c r="E928" s="19" t="n">
        <v>2469.285</v>
      </c>
      <c r="F928" s="19" t="n">
        <v>114.947368421053</v>
      </c>
      <c r="G928" s="19" t="n">
        <v>2125.60673684211</v>
      </c>
      <c r="H928" s="8" t="str">
        <f aca="false">IF(COUNTIF($J$1:$J$2,$A928)&gt;0,"Y","N")</f>
        <v>N</v>
      </c>
    </row>
    <row r="929" customFormat="false" ht="15" hidden="false" customHeight="true" outlineLevel="0" collapsed="false">
      <c r="A929" s="8" t="s">
        <v>1764</v>
      </c>
      <c r="B929" s="8" t="n">
        <v>4401001</v>
      </c>
      <c r="C929" s="8" t="s">
        <v>1179</v>
      </c>
      <c r="D929" s="19" t="n">
        <v>168</v>
      </c>
      <c r="E929" s="19" t="n">
        <v>3344.887</v>
      </c>
      <c r="F929" s="19" t="n">
        <v>113.684210526316</v>
      </c>
      <c r="G929" s="19" t="n">
        <v>2258.37094736842</v>
      </c>
      <c r="H929" s="8" t="str">
        <f aca="false">IF(COUNTIF($J$1:$J$2,$A929)&gt;0,"Y","N")</f>
        <v>N</v>
      </c>
    </row>
    <row r="930" customFormat="false" ht="15" hidden="false" customHeight="true" outlineLevel="0" collapsed="false">
      <c r="A930" s="8" t="s">
        <v>1764</v>
      </c>
      <c r="B930" s="8" t="n">
        <v>4401002</v>
      </c>
      <c r="C930" s="8" t="s">
        <v>1180</v>
      </c>
      <c r="D930" s="19" t="n">
        <v>118</v>
      </c>
      <c r="E930" s="19" t="n">
        <v>775.32</v>
      </c>
      <c r="F930" s="19" t="n">
        <v>202.105263157895</v>
      </c>
      <c r="G930" s="19" t="n">
        <v>1327.872</v>
      </c>
      <c r="H930" s="8" t="str">
        <f aca="false">IF(COUNTIF($J$1:$J$2,$A930)&gt;0,"Y","N")</f>
        <v>N</v>
      </c>
    </row>
    <row r="931" customFormat="false" ht="15" hidden="false" customHeight="true" outlineLevel="0" collapsed="false">
      <c r="A931" s="8" t="s">
        <v>1764</v>
      </c>
      <c r="B931" s="8" t="n">
        <v>4402000</v>
      </c>
      <c r="C931" s="8" t="s">
        <v>1185</v>
      </c>
      <c r="D931" s="19" t="n">
        <v>53</v>
      </c>
      <c r="E931" s="19" t="n">
        <v>1137.318</v>
      </c>
      <c r="F931" s="19" t="n">
        <v>30.3157894736842</v>
      </c>
      <c r="G931" s="19" t="n">
        <v>650.487157894737</v>
      </c>
      <c r="H931" s="8" t="str">
        <f aca="false">IF(COUNTIF($J$1:$J$2,$A931)&gt;0,"Y","N")</f>
        <v>N</v>
      </c>
    </row>
    <row r="932" customFormat="false" ht="15" hidden="false" customHeight="true" outlineLevel="0" collapsed="false">
      <c r="A932" s="8" t="s">
        <v>1764</v>
      </c>
      <c r="B932" s="8" t="n">
        <v>4402007</v>
      </c>
      <c r="C932" s="8" t="s">
        <v>1186</v>
      </c>
      <c r="D932" s="19" t="n">
        <v>148</v>
      </c>
      <c r="E932" s="19" t="n">
        <v>2581.852</v>
      </c>
      <c r="F932" s="19" t="n">
        <v>50.5263157894737</v>
      </c>
      <c r="G932" s="19" t="n">
        <v>881.416421052632</v>
      </c>
      <c r="H932" s="8" t="str">
        <f aca="false">IF(COUNTIF($J$1:$J$2,$A932)&gt;0,"Y","N")</f>
        <v>N</v>
      </c>
    </row>
    <row r="933" customFormat="false" ht="15" hidden="false" customHeight="true" outlineLevel="0" collapsed="false">
      <c r="A933" s="8" t="s">
        <v>1764</v>
      </c>
      <c r="B933" s="8" t="n">
        <v>4402012</v>
      </c>
      <c r="C933" s="8" t="s">
        <v>1765</v>
      </c>
      <c r="D933" s="19" t="n">
        <v>-8</v>
      </c>
      <c r="E933" s="19" t="n">
        <v>-24.024</v>
      </c>
      <c r="F933" s="19" t="n">
        <v>0</v>
      </c>
      <c r="G933" s="19" t="n">
        <v>0</v>
      </c>
      <c r="H933" s="8" t="str">
        <f aca="false">IF(COUNTIF($J$1:$J$2,$A933)&gt;0,"Y","N")</f>
        <v>N</v>
      </c>
    </row>
    <row r="934" customFormat="false" ht="15" hidden="false" customHeight="true" outlineLevel="0" collapsed="false">
      <c r="A934" s="8" t="s">
        <v>1764</v>
      </c>
      <c r="B934" s="8" t="n">
        <v>4402020</v>
      </c>
      <c r="C934" s="8" t="s">
        <v>1766</v>
      </c>
      <c r="D934" s="19" t="n">
        <v>-2</v>
      </c>
      <c r="E934" s="19" t="n">
        <v>-43.68</v>
      </c>
      <c r="F934" s="19" t="n">
        <v>0</v>
      </c>
      <c r="G934" s="19" t="n">
        <v>0</v>
      </c>
      <c r="H934" s="8" t="str">
        <f aca="false">IF(COUNTIF($J$1:$J$2,$A934)&gt;0,"Y","N")</f>
        <v>N</v>
      </c>
    </row>
    <row r="935" customFormat="false" ht="15" hidden="false" customHeight="true" outlineLevel="0" collapsed="false">
      <c r="A935" s="8" t="s">
        <v>1764</v>
      </c>
      <c r="B935" s="8" t="n">
        <v>4402021</v>
      </c>
      <c r="C935" s="8" t="s">
        <v>1767</v>
      </c>
      <c r="D935" s="19" t="n">
        <v>-1</v>
      </c>
      <c r="E935" s="19" t="n">
        <v>-21.84</v>
      </c>
      <c r="F935" s="19" t="n">
        <v>0</v>
      </c>
      <c r="G935" s="19" t="n">
        <v>0</v>
      </c>
      <c r="H935" s="8" t="str">
        <f aca="false">IF(COUNTIF($J$1:$J$2,$A935)&gt;0,"Y","N")</f>
        <v>N</v>
      </c>
    </row>
    <row r="936" customFormat="false" ht="15" hidden="false" customHeight="true" outlineLevel="0" collapsed="false">
      <c r="A936" s="8" t="s">
        <v>1764</v>
      </c>
      <c r="B936" s="8" t="n">
        <v>4403000</v>
      </c>
      <c r="C936" s="8" t="s">
        <v>1187</v>
      </c>
      <c r="D936" s="19" t="n">
        <v>0</v>
      </c>
      <c r="E936" s="19" t="n">
        <v>0</v>
      </c>
      <c r="F936" s="19" t="n">
        <v>5.05263157894737</v>
      </c>
      <c r="G936" s="19" t="n">
        <v>144.603789473684</v>
      </c>
      <c r="H936" s="8" t="str">
        <f aca="false">IF(COUNTIF($J$1:$J$2,$A936)&gt;0,"Y","N")</f>
        <v>N</v>
      </c>
    </row>
    <row r="937" customFormat="false" ht="15" hidden="false" customHeight="true" outlineLevel="0" collapsed="false">
      <c r="A937" s="8" t="s">
        <v>1764</v>
      </c>
      <c r="B937" s="8" t="n">
        <v>4403001</v>
      </c>
      <c r="C937" s="8" t="s">
        <v>1188</v>
      </c>
      <c r="D937" s="19" t="n">
        <v>14</v>
      </c>
      <c r="E937" s="19" t="n">
        <v>400.764</v>
      </c>
      <c r="F937" s="19" t="n">
        <v>2.52631578947368</v>
      </c>
      <c r="G937" s="19" t="n">
        <v>72.3018947368421</v>
      </c>
      <c r="H937" s="8" t="str">
        <f aca="false">IF(COUNTIF($J$1:$J$2,$A937)&gt;0,"Y","N")</f>
        <v>N</v>
      </c>
    </row>
    <row r="938" customFormat="false" ht="15" hidden="false" customHeight="true" outlineLevel="0" collapsed="false">
      <c r="A938" s="8" t="s">
        <v>1764</v>
      </c>
      <c r="B938" s="8" t="n">
        <v>4403002</v>
      </c>
      <c r="C938" s="8" t="s">
        <v>1189</v>
      </c>
      <c r="D938" s="19" t="n">
        <v>18</v>
      </c>
      <c r="E938" s="19" t="n">
        <v>515.333</v>
      </c>
      <c r="F938" s="19" t="n">
        <v>2.52631578947368</v>
      </c>
      <c r="G938" s="19" t="n">
        <v>72.3018947368421</v>
      </c>
      <c r="H938" s="8" t="str">
        <f aca="false">IF(COUNTIF($J$1:$J$2,$A938)&gt;0,"Y","N")</f>
        <v>N</v>
      </c>
    </row>
    <row r="939" customFormat="false" ht="15" hidden="false" customHeight="true" outlineLevel="0" collapsed="false">
      <c r="A939" s="8" t="s">
        <v>1764</v>
      </c>
      <c r="B939" s="8" t="n">
        <v>4403003</v>
      </c>
      <c r="C939" s="8" t="s">
        <v>1190</v>
      </c>
      <c r="D939" s="19" t="n">
        <v>2</v>
      </c>
      <c r="E939" s="19" t="n">
        <v>57.239</v>
      </c>
      <c r="F939" s="19" t="n">
        <v>0</v>
      </c>
      <c r="G939" s="19" t="n">
        <v>0</v>
      </c>
      <c r="H939" s="8" t="str">
        <f aca="false">IF(COUNTIF($J$1:$J$2,$A939)&gt;0,"Y","N")</f>
        <v>N</v>
      </c>
    </row>
    <row r="940" customFormat="false" ht="15" hidden="false" customHeight="true" outlineLevel="0" collapsed="false">
      <c r="A940" s="8" t="s">
        <v>1764</v>
      </c>
      <c r="B940" s="8" t="n">
        <v>4403004</v>
      </c>
      <c r="C940" s="8" t="s">
        <v>1191</v>
      </c>
      <c r="D940" s="19" t="n">
        <v>2</v>
      </c>
      <c r="E940" s="19" t="n">
        <v>57.239</v>
      </c>
      <c r="F940" s="19" t="n">
        <v>0</v>
      </c>
      <c r="G940" s="19" t="n">
        <v>0</v>
      </c>
      <c r="H940" s="8" t="str">
        <f aca="false">IF(COUNTIF($J$1:$J$2,$A940)&gt;0,"Y","N")</f>
        <v>N</v>
      </c>
    </row>
    <row r="941" customFormat="false" ht="15" hidden="false" customHeight="true" outlineLevel="0" collapsed="false">
      <c r="A941" s="8" t="s">
        <v>1764</v>
      </c>
      <c r="B941" s="8" t="n">
        <v>4403005</v>
      </c>
      <c r="C941" s="8" t="s">
        <v>1192</v>
      </c>
      <c r="D941" s="19" t="n">
        <v>3</v>
      </c>
      <c r="E941" s="19" t="n">
        <v>71.89</v>
      </c>
      <c r="F941" s="19" t="n">
        <v>0</v>
      </c>
      <c r="G941" s="19" t="n">
        <v>0</v>
      </c>
      <c r="H941" s="8" t="str">
        <f aca="false">IF(COUNTIF($J$1:$J$2,$A941)&gt;0,"Y","N")</f>
        <v>N</v>
      </c>
    </row>
    <row r="942" customFormat="false" ht="15" hidden="false" customHeight="true" outlineLevel="0" collapsed="false">
      <c r="A942" s="8" t="s">
        <v>1764</v>
      </c>
      <c r="B942" s="8" t="n">
        <v>4403006</v>
      </c>
      <c r="C942" s="8" t="s">
        <v>1193</v>
      </c>
      <c r="D942" s="19" t="n">
        <v>2</v>
      </c>
      <c r="E942" s="19" t="n">
        <v>57.239</v>
      </c>
      <c r="F942" s="19" t="n">
        <v>8.84210526315789</v>
      </c>
      <c r="G942" s="19" t="n">
        <v>253.114105263158</v>
      </c>
      <c r="H942" s="8" t="str">
        <f aca="false">IF(COUNTIF($J$1:$J$2,$A942)&gt;0,"Y","N")</f>
        <v>N</v>
      </c>
    </row>
    <row r="943" customFormat="false" ht="15" hidden="false" customHeight="true" outlineLevel="0" collapsed="false">
      <c r="A943" s="8" t="s">
        <v>1764</v>
      </c>
      <c r="B943" s="8" t="n">
        <v>4403007</v>
      </c>
      <c r="C943" s="8" t="s">
        <v>1194</v>
      </c>
      <c r="D943" s="19" t="n">
        <v>16</v>
      </c>
      <c r="E943" s="19" t="n">
        <v>454.909</v>
      </c>
      <c r="F943" s="19" t="n">
        <v>7.57894736842105</v>
      </c>
      <c r="G943" s="19" t="n">
        <v>217.020631578947</v>
      </c>
      <c r="H943" s="8" t="str">
        <f aca="false">IF(COUNTIF($J$1:$J$2,$A943)&gt;0,"Y","N")</f>
        <v>N</v>
      </c>
    </row>
    <row r="944" customFormat="false" ht="15" hidden="false" customHeight="true" outlineLevel="0" collapsed="false">
      <c r="A944" s="8" t="s">
        <v>1764</v>
      </c>
      <c r="B944" s="8" t="n">
        <v>4403017</v>
      </c>
      <c r="C944" s="8" t="s">
        <v>1196</v>
      </c>
      <c r="D944" s="19" t="n">
        <v>0</v>
      </c>
      <c r="E944" s="19" t="n">
        <v>0</v>
      </c>
      <c r="F944" s="19" t="n">
        <v>-2.52631578947368</v>
      </c>
      <c r="G944" s="19" t="n">
        <v>-86.0955789473684</v>
      </c>
      <c r="H944" s="8" t="str">
        <f aca="false">IF(COUNTIF($J$1:$J$2,$A944)&gt;0,"Y","N")</f>
        <v>N</v>
      </c>
    </row>
    <row r="945" customFormat="false" ht="15" hidden="false" customHeight="true" outlineLevel="0" collapsed="false">
      <c r="A945" s="8" t="s">
        <v>1764</v>
      </c>
      <c r="B945" s="8" t="n">
        <v>4403018</v>
      </c>
      <c r="C945" s="8" t="s">
        <v>1197</v>
      </c>
      <c r="D945" s="19" t="n">
        <v>25</v>
      </c>
      <c r="E945" s="19" t="n">
        <v>546.455</v>
      </c>
      <c r="F945" s="19" t="n">
        <v>5.05263157894737</v>
      </c>
      <c r="G945" s="19" t="n">
        <v>110.349473684211</v>
      </c>
      <c r="H945" s="8" t="str">
        <f aca="false">IF(COUNTIF($J$1:$J$2,$A945)&gt;0,"Y","N")</f>
        <v>N</v>
      </c>
    </row>
    <row r="946" customFormat="false" ht="15" hidden="false" customHeight="true" outlineLevel="0" collapsed="false">
      <c r="A946" s="8" t="s">
        <v>1764</v>
      </c>
      <c r="B946" s="8" t="n">
        <v>4403021</v>
      </c>
      <c r="C946" s="8" t="s">
        <v>1200</v>
      </c>
      <c r="D946" s="19" t="n">
        <v>0</v>
      </c>
      <c r="E946" s="19" t="n">
        <v>0</v>
      </c>
      <c r="F946" s="19" t="n">
        <v>-3.78947368421053</v>
      </c>
      <c r="G946" s="19" t="n">
        <v>-129.085894736842</v>
      </c>
      <c r="H946" s="8" t="str">
        <f aca="false">IF(COUNTIF($J$1:$J$2,$A946)&gt;0,"Y","N")</f>
        <v>N</v>
      </c>
    </row>
    <row r="947" customFormat="false" ht="15" hidden="false" customHeight="true" outlineLevel="0" collapsed="false">
      <c r="A947" s="8" t="s">
        <v>1764</v>
      </c>
      <c r="B947" s="8" t="n">
        <v>4403022</v>
      </c>
      <c r="C947" s="8" t="s">
        <v>1201</v>
      </c>
      <c r="D947" s="19" t="n">
        <v>4</v>
      </c>
      <c r="E947" s="19" t="n">
        <v>87.451</v>
      </c>
      <c r="F947" s="19" t="n">
        <v>-1.26315789473684</v>
      </c>
      <c r="G947" s="19" t="n">
        <v>-27.5873684210526</v>
      </c>
      <c r="H947" s="8" t="str">
        <f aca="false">IF(COUNTIF($J$1:$J$2,$A947)&gt;0,"Y","N")</f>
        <v>N</v>
      </c>
    </row>
    <row r="948" customFormat="false" ht="15" hidden="false" customHeight="true" outlineLevel="0" collapsed="false">
      <c r="A948" s="8" t="s">
        <v>1764</v>
      </c>
      <c r="B948" s="8" t="n">
        <v>4403023</v>
      </c>
      <c r="C948" s="8" t="s">
        <v>1202</v>
      </c>
      <c r="D948" s="19" t="n">
        <v>4</v>
      </c>
      <c r="E948" s="19" t="n">
        <v>87.36</v>
      </c>
      <c r="F948" s="19" t="n">
        <v>8.84210526315789</v>
      </c>
      <c r="G948" s="19" t="n">
        <v>193.226526315789</v>
      </c>
      <c r="H948" s="8" t="str">
        <f aca="false">IF(COUNTIF($J$1:$J$2,$A948)&gt;0,"Y","N")</f>
        <v>N</v>
      </c>
    </row>
    <row r="949" customFormat="false" ht="15" hidden="false" customHeight="true" outlineLevel="0" collapsed="false">
      <c r="A949" s="8" t="s">
        <v>1764</v>
      </c>
      <c r="B949" s="8" t="n">
        <v>4403024</v>
      </c>
      <c r="C949" s="8" t="s">
        <v>1203</v>
      </c>
      <c r="D949" s="19" t="n">
        <v>10</v>
      </c>
      <c r="E949" s="19" t="n">
        <v>206.388</v>
      </c>
      <c r="F949" s="19" t="n">
        <v>8.84210526315789</v>
      </c>
      <c r="G949" s="19" t="n">
        <v>177.823578947368</v>
      </c>
      <c r="H949" s="8" t="str">
        <f aca="false">IF(COUNTIF($J$1:$J$2,$A949)&gt;0,"Y","N")</f>
        <v>N</v>
      </c>
    </row>
    <row r="950" customFormat="false" ht="15" hidden="false" customHeight="true" outlineLevel="0" collapsed="false">
      <c r="A950" s="8" t="s">
        <v>1764</v>
      </c>
      <c r="B950" s="8" t="n">
        <v>4403025</v>
      </c>
      <c r="C950" s="8" t="s">
        <v>1204</v>
      </c>
      <c r="D950" s="19" t="n">
        <v>7</v>
      </c>
      <c r="E950" s="19" t="n">
        <v>140.777</v>
      </c>
      <c r="F950" s="19" t="n">
        <v>8.84210526315789</v>
      </c>
      <c r="G950" s="19" t="n">
        <v>193.226526315789</v>
      </c>
      <c r="H950" s="8" t="str">
        <f aca="false">IF(COUNTIF($J$1:$J$2,$A950)&gt;0,"Y","N")</f>
        <v>N</v>
      </c>
    </row>
    <row r="951" customFormat="false" ht="15" hidden="false" customHeight="true" outlineLevel="0" collapsed="false">
      <c r="A951" s="8" t="s">
        <v>1764</v>
      </c>
      <c r="B951" s="8" t="n">
        <v>4403028</v>
      </c>
      <c r="C951" s="8" t="s">
        <v>1205</v>
      </c>
      <c r="D951" s="19" t="n">
        <v>141</v>
      </c>
      <c r="E951" s="19" t="n">
        <v>7304.115</v>
      </c>
      <c r="F951" s="19" t="n">
        <v>-2.52631578947368</v>
      </c>
      <c r="G951" s="19" t="n">
        <v>-130.695157894737</v>
      </c>
      <c r="H951" s="8" t="str">
        <f aca="false">IF(COUNTIF($J$1:$J$2,$A951)&gt;0,"Y","N")</f>
        <v>N</v>
      </c>
    </row>
    <row r="952" customFormat="false" ht="15" hidden="false" customHeight="true" outlineLevel="0" collapsed="false">
      <c r="A952" s="8" t="s">
        <v>1764</v>
      </c>
      <c r="B952" s="8" t="n">
        <v>4403029</v>
      </c>
      <c r="C952" s="8" t="s">
        <v>1206</v>
      </c>
      <c r="D952" s="19" t="n">
        <v>247</v>
      </c>
      <c r="E952" s="19" t="n">
        <v>12773.579</v>
      </c>
      <c r="F952" s="19" t="n">
        <v>6.31578947368421</v>
      </c>
      <c r="G952" s="19" t="n">
        <v>326.565473684211</v>
      </c>
      <c r="H952" s="8" t="str">
        <f aca="false">IF(COUNTIF($J$1:$J$2,$A952)&gt;0,"Y","N")</f>
        <v>N</v>
      </c>
    </row>
    <row r="953" customFormat="false" ht="15" hidden="false" customHeight="true" outlineLevel="0" collapsed="false">
      <c r="A953" s="8" t="s">
        <v>1764</v>
      </c>
      <c r="B953" s="8" t="n">
        <v>4403030</v>
      </c>
      <c r="C953" s="8" t="s">
        <v>1207</v>
      </c>
      <c r="D953" s="19" t="n">
        <v>149</v>
      </c>
      <c r="E953" s="19" t="n">
        <v>7705.607</v>
      </c>
      <c r="F953" s="19" t="n">
        <v>-2.52631578947368</v>
      </c>
      <c r="G953" s="19" t="n">
        <v>-130.695157894737</v>
      </c>
      <c r="H953" s="8" t="str">
        <f aca="false">IF(COUNTIF($J$1:$J$2,$A953)&gt;0,"Y","N")</f>
        <v>N</v>
      </c>
    </row>
    <row r="954" customFormat="false" ht="15" hidden="false" customHeight="true" outlineLevel="0" collapsed="false">
      <c r="A954" s="8" t="s">
        <v>1764</v>
      </c>
      <c r="B954" s="8" t="n">
        <v>4404000</v>
      </c>
      <c r="C954" s="8" t="s">
        <v>1216</v>
      </c>
      <c r="D954" s="19" t="n">
        <v>3</v>
      </c>
      <c r="E954" s="19" t="n">
        <v>69.251</v>
      </c>
      <c r="F954" s="19" t="n">
        <v>0</v>
      </c>
      <c r="G954" s="19" t="n">
        <v>0</v>
      </c>
      <c r="H954" s="8" t="str">
        <f aca="false">IF(COUNTIF($J$1:$J$2,$A954)&gt;0,"Y","N")</f>
        <v>N</v>
      </c>
    </row>
    <row r="955" customFormat="false" ht="15" hidden="false" customHeight="true" outlineLevel="0" collapsed="false">
      <c r="A955" s="8" t="s">
        <v>1764</v>
      </c>
      <c r="B955" s="8" t="n">
        <v>4408002</v>
      </c>
      <c r="C955" s="8" t="s">
        <v>1768</v>
      </c>
      <c r="D955" s="19" t="n">
        <v>-1</v>
      </c>
      <c r="E955" s="19" t="n">
        <v>-144.508</v>
      </c>
      <c r="F955" s="19" t="n">
        <v>0</v>
      </c>
      <c r="G955" s="19" t="n">
        <v>0</v>
      </c>
      <c r="H955" s="8" t="str">
        <f aca="false">IF(COUNTIF($J$1:$J$2,$A955)&gt;0,"Y","N")</f>
        <v>N</v>
      </c>
    </row>
    <row r="956" customFormat="false" ht="15" hidden="false" customHeight="true" outlineLevel="0" collapsed="false">
      <c r="A956" s="8" t="s">
        <v>1764</v>
      </c>
      <c r="B956" s="8" t="n">
        <v>4408009</v>
      </c>
      <c r="C956" s="8" t="s">
        <v>1219</v>
      </c>
      <c r="D956" s="19" t="n">
        <v>6</v>
      </c>
      <c r="E956" s="19" t="n">
        <v>541.814</v>
      </c>
      <c r="F956" s="19" t="n">
        <v>-2.52631578947368</v>
      </c>
      <c r="G956" s="19" t="n">
        <v>-228.17052631579</v>
      </c>
      <c r="H956" s="8" t="str">
        <f aca="false">IF(COUNTIF($J$1:$J$2,$A956)&gt;0,"Y","N")</f>
        <v>N</v>
      </c>
    </row>
    <row r="957" customFormat="false" ht="15" hidden="false" customHeight="true" outlineLevel="0" collapsed="false">
      <c r="A957" s="8" t="s">
        <v>1764</v>
      </c>
      <c r="B957" s="8" t="n">
        <v>4408010</v>
      </c>
      <c r="C957" s="8" t="s">
        <v>1220</v>
      </c>
      <c r="D957" s="19" t="n">
        <v>-3</v>
      </c>
      <c r="E957" s="19" t="n">
        <v>-270.907</v>
      </c>
      <c r="F957" s="19" t="n">
        <v>-1.26315789473684</v>
      </c>
      <c r="G957" s="19" t="n">
        <v>-114.027789473684</v>
      </c>
      <c r="H957" s="8" t="str">
        <f aca="false">IF(COUNTIF($J$1:$J$2,$A957)&gt;0,"Y","N")</f>
        <v>N</v>
      </c>
    </row>
    <row r="958" customFormat="false" ht="15" hidden="false" customHeight="true" outlineLevel="0" collapsed="false">
      <c r="A958" s="8" t="s">
        <v>1764</v>
      </c>
      <c r="B958" s="8" t="n">
        <v>4408011</v>
      </c>
      <c r="C958" s="8" t="s">
        <v>1221</v>
      </c>
      <c r="D958" s="19" t="n">
        <v>2</v>
      </c>
      <c r="E958" s="19" t="n">
        <v>180.544</v>
      </c>
      <c r="F958" s="19" t="n">
        <v>-1.26315789473684</v>
      </c>
      <c r="G958" s="19" t="n">
        <v>-114.027789473684</v>
      </c>
      <c r="H958" s="8" t="str">
        <f aca="false">IF(COUNTIF($J$1:$J$2,$A958)&gt;0,"Y","N")</f>
        <v>N</v>
      </c>
    </row>
    <row r="959" customFormat="false" ht="15" hidden="false" customHeight="true" outlineLevel="0" collapsed="false">
      <c r="A959" s="8" t="s">
        <v>1764</v>
      </c>
      <c r="B959" s="8" t="n">
        <v>4408012</v>
      </c>
      <c r="C959" s="8" t="s">
        <v>1222</v>
      </c>
      <c r="D959" s="19" t="n">
        <v>-2</v>
      </c>
      <c r="E959" s="19" t="n">
        <v>-180.544</v>
      </c>
      <c r="F959" s="19" t="n">
        <v>0</v>
      </c>
      <c r="G959" s="19" t="n">
        <v>0</v>
      </c>
      <c r="H959" s="8" t="str">
        <f aca="false">IF(COUNTIF($J$1:$J$2,$A959)&gt;0,"Y","N")</f>
        <v>N</v>
      </c>
    </row>
    <row r="960" customFormat="false" ht="15" hidden="false" customHeight="true" outlineLevel="0" collapsed="false">
      <c r="A960" s="8" t="s">
        <v>1764</v>
      </c>
      <c r="B960" s="8" t="n">
        <v>4408015</v>
      </c>
      <c r="C960" s="8" t="s">
        <v>170</v>
      </c>
      <c r="D960" s="19" t="n">
        <v>1</v>
      </c>
      <c r="E960" s="19" t="n">
        <v>222.222</v>
      </c>
      <c r="F960" s="19" t="n">
        <v>0</v>
      </c>
      <c r="G960" s="19" t="n">
        <v>0</v>
      </c>
      <c r="H960" s="8" t="str">
        <f aca="false">IF(COUNTIF($J$1:$J$2,$A960)&gt;0,"Y","N")</f>
        <v>N</v>
      </c>
    </row>
    <row r="961" customFormat="false" ht="15" hidden="false" customHeight="true" outlineLevel="0" collapsed="false">
      <c r="A961" s="8" t="s">
        <v>1764</v>
      </c>
      <c r="B961" s="8" t="n">
        <v>4408016</v>
      </c>
      <c r="C961" s="8" t="s">
        <v>315</v>
      </c>
      <c r="D961" s="19" t="n">
        <v>2</v>
      </c>
      <c r="E961" s="19" t="n">
        <v>444.444</v>
      </c>
      <c r="F961" s="19" t="n">
        <v>0</v>
      </c>
      <c r="G961" s="19" t="n">
        <v>0</v>
      </c>
      <c r="H961" s="8" t="str">
        <f aca="false">IF(COUNTIF($J$1:$J$2,$A961)&gt;0,"Y","N")</f>
        <v>N</v>
      </c>
    </row>
    <row r="962" customFormat="false" ht="15" hidden="false" customHeight="true" outlineLevel="0" collapsed="false">
      <c r="A962" s="8" t="s">
        <v>1764</v>
      </c>
      <c r="B962" s="8" t="n">
        <v>4408027</v>
      </c>
      <c r="C962" s="8" t="s">
        <v>1227</v>
      </c>
      <c r="D962" s="19" t="n">
        <v>2</v>
      </c>
      <c r="E962" s="19" t="n">
        <v>256.893</v>
      </c>
      <c r="F962" s="19" t="n">
        <v>3.78947368421053</v>
      </c>
      <c r="G962" s="19" t="n">
        <v>486.802105263158</v>
      </c>
      <c r="H962" s="8" t="str">
        <f aca="false">IF(COUNTIF($J$1:$J$2,$A962)&gt;0,"Y","N")</f>
        <v>N</v>
      </c>
    </row>
    <row r="963" customFormat="false" ht="15" hidden="false" customHeight="true" outlineLevel="0" collapsed="false">
      <c r="A963" s="8" t="s">
        <v>1764</v>
      </c>
      <c r="B963" s="8" t="n">
        <v>4408028</v>
      </c>
      <c r="C963" s="8" t="s">
        <v>1228</v>
      </c>
      <c r="D963" s="19" t="n">
        <v>3</v>
      </c>
      <c r="E963" s="19" t="n">
        <v>385.385</v>
      </c>
      <c r="F963" s="19" t="n">
        <v>3.78947368421053</v>
      </c>
      <c r="G963" s="19" t="n">
        <v>486.687157894737</v>
      </c>
      <c r="H963" s="8" t="str">
        <f aca="false">IF(COUNTIF($J$1:$J$2,$A963)&gt;0,"Y","N")</f>
        <v>N</v>
      </c>
    </row>
    <row r="964" customFormat="false" ht="15" hidden="false" customHeight="true" outlineLevel="0" collapsed="false">
      <c r="A964" s="8" t="s">
        <v>1764</v>
      </c>
      <c r="B964" s="8" t="n">
        <v>4408029</v>
      </c>
      <c r="C964" s="8" t="s">
        <v>1229</v>
      </c>
      <c r="D964" s="19" t="n">
        <v>2</v>
      </c>
      <c r="E964" s="19" t="n">
        <v>256.893</v>
      </c>
      <c r="F964" s="19" t="n">
        <v>7.57894736842105</v>
      </c>
      <c r="G964" s="19" t="n">
        <v>973.489263157895</v>
      </c>
      <c r="H964" s="8" t="str">
        <f aca="false">IF(COUNTIF($J$1:$J$2,$A964)&gt;0,"Y","N")</f>
        <v>N</v>
      </c>
    </row>
    <row r="965" customFormat="false" ht="15" hidden="false" customHeight="true" outlineLevel="0" collapsed="false">
      <c r="A965" s="8" t="s">
        <v>1764</v>
      </c>
      <c r="B965" s="8" t="n">
        <v>4408031</v>
      </c>
      <c r="C965" s="8" t="s">
        <v>316</v>
      </c>
      <c r="D965" s="19" t="n">
        <v>19</v>
      </c>
      <c r="E965" s="19" t="n">
        <v>1677.585</v>
      </c>
      <c r="F965" s="19" t="n">
        <v>24</v>
      </c>
      <c r="G965" s="19" t="n">
        <v>2119.16968421053</v>
      </c>
      <c r="H965" s="8" t="str">
        <f aca="false">IF(COUNTIF($J$1:$J$2,$A965)&gt;0,"Y","N")</f>
        <v>N</v>
      </c>
    </row>
    <row r="966" customFormat="false" ht="15" hidden="false" customHeight="true" outlineLevel="0" collapsed="false">
      <c r="A966" s="8" t="s">
        <v>1764</v>
      </c>
      <c r="B966" s="8" t="n">
        <v>4408032</v>
      </c>
      <c r="C966" s="8" t="s">
        <v>77</v>
      </c>
      <c r="D966" s="19" t="n">
        <v>67</v>
      </c>
      <c r="E966" s="19" t="n">
        <v>5915.91</v>
      </c>
      <c r="F966" s="19" t="n">
        <v>61.8947368421053</v>
      </c>
      <c r="G966" s="19" t="n">
        <v>5465.17263157895</v>
      </c>
      <c r="H966" s="8" t="str">
        <f aca="false">IF(COUNTIF($J$1:$J$2,$A966)&gt;0,"Y","N")</f>
        <v>N</v>
      </c>
    </row>
    <row r="967" customFormat="false" ht="15" hidden="false" customHeight="true" outlineLevel="0" collapsed="false">
      <c r="A967" s="8" t="s">
        <v>1764</v>
      </c>
      <c r="B967" s="8" t="n">
        <v>4408033</v>
      </c>
      <c r="C967" s="8" t="s">
        <v>99</v>
      </c>
      <c r="D967" s="19" t="n">
        <v>47</v>
      </c>
      <c r="E967" s="19" t="n">
        <v>3998.631</v>
      </c>
      <c r="F967" s="19" t="n">
        <v>41.6842105263158</v>
      </c>
      <c r="G967" s="19" t="n">
        <v>3680.72968421053</v>
      </c>
      <c r="H967" s="8" t="str">
        <f aca="false">IF(COUNTIF($J$1:$J$2,$A967)&gt;0,"Y","N")</f>
        <v>N</v>
      </c>
    </row>
    <row r="968" customFormat="false" ht="15" hidden="false" customHeight="true" outlineLevel="0" collapsed="false">
      <c r="A968" s="8" t="s">
        <v>1764</v>
      </c>
      <c r="B968" s="8" t="n">
        <v>4408034</v>
      </c>
      <c r="C968" s="8" t="s">
        <v>69</v>
      </c>
      <c r="D968" s="19" t="n">
        <v>66</v>
      </c>
      <c r="E968" s="19" t="n">
        <v>5833.919</v>
      </c>
      <c r="F968" s="19" t="n">
        <v>72</v>
      </c>
      <c r="G968" s="19" t="n">
        <v>6357.27915789474</v>
      </c>
      <c r="H968" s="8" t="str">
        <f aca="false">IF(COUNTIF($J$1:$J$2,$A968)&gt;0,"Y","N")</f>
        <v>N</v>
      </c>
    </row>
    <row r="969" customFormat="false" ht="15" hidden="false" customHeight="true" outlineLevel="0" collapsed="false">
      <c r="A969" s="8" t="s">
        <v>1764</v>
      </c>
      <c r="B969" s="8" t="n">
        <v>4408035</v>
      </c>
      <c r="C969" s="8" t="s">
        <v>100</v>
      </c>
      <c r="D969" s="19" t="n">
        <v>28</v>
      </c>
      <c r="E969" s="19" t="n">
        <v>2327.325</v>
      </c>
      <c r="F969" s="19" t="n">
        <v>46.7368421052632</v>
      </c>
      <c r="G969" s="19" t="n">
        <v>4126.72547368421</v>
      </c>
      <c r="H969" s="8" t="str">
        <f aca="false">IF(COUNTIF($J$1:$J$2,$A969)&gt;0,"Y","N")</f>
        <v>N</v>
      </c>
    </row>
    <row r="970" customFormat="false" ht="15" hidden="false" customHeight="true" outlineLevel="0" collapsed="false">
      <c r="A970" s="8" t="s">
        <v>1764</v>
      </c>
      <c r="B970" s="8" t="n">
        <v>4408044</v>
      </c>
      <c r="C970" s="8" t="s">
        <v>1234</v>
      </c>
      <c r="D970" s="19" t="n">
        <v>2</v>
      </c>
      <c r="E970" s="19" t="n">
        <v>521.976</v>
      </c>
      <c r="F970" s="19" t="n">
        <v>-1.26315789473684</v>
      </c>
      <c r="G970" s="19" t="n">
        <v>-329.669052631579</v>
      </c>
      <c r="H970" s="8" t="str">
        <f aca="false">IF(COUNTIF($J$1:$J$2,$A970)&gt;0,"Y","N")</f>
        <v>N</v>
      </c>
    </row>
    <row r="971" customFormat="false" ht="15" hidden="false" customHeight="true" outlineLevel="0" collapsed="false">
      <c r="A971" s="8" t="s">
        <v>1764</v>
      </c>
      <c r="B971" s="8" t="n">
        <v>4408046</v>
      </c>
      <c r="C971" s="8" t="s">
        <v>1235</v>
      </c>
      <c r="D971" s="19" t="n">
        <v>98</v>
      </c>
      <c r="E971" s="19" t="n">
        <v>2422.966</v>
      </c>
      <c r="F971" s="19" t="n">
        <v>103.578947368421</v>
      </c>
      <c r="G971" s="19" t="n">
        <v>2563.78610526316</v>
      </c>
      <c r="H971" s="8" t="str">
        <f aca="false">IF(COUNTIF($J$1:$J$2,$A971)&gt;0,"Y","N")</f>
        <v>N</v>
      </c>
    </row>
    <row r="972" customFormat="false" ht="15" hidden="false" customHeight="true" outlineLevel="0" collapsed="false">
      <c r="A972" s="8" t="s">
        <v>1764</v>
      </c>
      <c r="B972" s="8" t="n">
        <v>4408047</v>
      </c>
      <c r="C972" s="8" t="s">
        <v>1236</v>
      </c>
      <c r="D972" s="19" t="n">
        <v>107</v>
      </c>
      <c r="E972" s="19" t="n">
        <v>2645.188</v>
      </c>
      <c r="F972" s="19" t="n">
        <v>126.315789473684</v>
      </c>
      <c r="G972" s="19" t="n">
        <v>3123.00505263158</v>
      </c>
      <c r="H972" s="8" t="str">
        <f aca="false">IF(COUNTIF($J$1:$J$2,$A972)&gt;0,"Y","N")</f>
        <v>N</v>
      </c>
    </row>
    <row r="973" customFormat="false" ht="15" hidden="false" customHeight="true" outlineLevel="0" collapsed="false">
      <c r="A973" s="8" t="s">
        <v>1764</v>
      </c>
      <c r="B973" s="8" t="n">
        <v>4408048</v>
      </c>
      <c r="C973" s="8" t="s">
        <v>1237</v>
      </c>
      <c r="D973" s="19" t="n">
        <v>98</v>
      </c>
      <c r="E973" s="19" t="n">
        <v>2420.145</v>
      </c>
      <c r="F973" s="19" t="n">
        <v>78.3157894736842</v>
      </c>
      <c r="G973" s="19" t="n">
        <v>1935.82863157895</v>
      </c>
      <c r="H973" s="8" t="str">
        <f aca="false">IF(COUNTIF($J$1:$J$2,$A973)&gt;0,"Y","N")</f>
        <v>N</v>
      </c>
    </row>
    <row r="974" customFormat="false" ht="15" hidden="false" customHeight="true" outlineLevel="0" collapsed="false">
      <c r="A974" s="8" t="s">
        <v>1764</v>
      </c>
      <c r="B974" s="8" t="n">
        <v>4408049</v>
      </c>
      <c r="C974" s="8" t="s">
        <v>1238</v>
      </c>
      <c r="D974" s="19" t="n">
        <v>41</v>
      </c>
      <c r="E974" s="19" t="n">
        <v>1013.922</v>
      </c>
      <c r="F974" s="19" t="n">
        <v>41.6842105263158</v>
      </c>
      <c r="G974" s="19" t="n">
        <v>1031.42273684211</v>
      </c>
      <c r="H974" s="8" t="str">
        <f aca="false">IF(COUNTIF($J$1:$J$2,$A974)&gt;0,"Y","N")</f>
        <v>N</v>
      </c>
    </row>
    <row r="975" customFormat="false" ht="15" hidden="false" customHeight="true" outlineLevel="0" collapsed="false">
      <c r="A975" s="8" t="s">
        <v>1764</v>
      </c>
      <c r="B975" s="8" t="n">
        <v>4408051</v>
      </c>
      <c r="C975" s="8" t="s">
        <v>1240</v>
      </c>
      <c r="D975" s="19" t="n">
        <v>184</v>
      </c>
      <c r="E975" s="19" t="n">
        <v>5909.176</v>
      </c>
      <c r="F975" s="19" t="n">
        <v>149.052631578947</v>
      </c>
      <c r="G975" s="19" t="n">
        <v>4786.98315789474</v>
      </c>
      <c r="H975" s="8" t="str">
        <f aca="false">IF(COUNTIF($J$1:$J$2,$A975)&gt;0,"Y","N")</f>
        <v>N</v>
      </c>
    </row>
    <row r="976" customFormat="false" ht="15" hidden="false" customHeight="true" outlineLevel="0" collapsed="false">
      <c r="A976" s="8" t="s">
        <v>1764</v>
      </c>
      <c r="B976" s="8" t="n">
        <v>4408052</v>
      </c>
      <c r="C976" s="8" t="s">
        <v>1241</v>
      </c>
      <c r="D976" s="19" t="n">
        <v>211</v>
      </c>
      <c r="E976" s="19" t="n">
        <v>6779.773</v>
      </c>
      <c r="F976" s="19" t="n">
        <v>141.473684210526</v>
      </c>
      <c r="G976" s="19" t="n">
        <v>4541.1107368421</v>
      </c>
      <c r="H976" s="8" t="str">
        <f aca="false">IF(COUNTIF($J$1:$J$2,$A976)&gt;0,"Y","N")</f>
        <v>N</v>
      </c>
    </row>
    <row r="977" customFormat="false" ht="15" hidden="false" customHeight="true" outlineLevel="0" collapsed="false">
      <c r="A977" s="8" t="s">
        <v>1764</v>
      </c>
      <c r="B977" s="8" t="n">
        <v>4408053</v>
      </c>
      <c r="C977" s="8" t="s">
        <v>1242</v>
      </c>
      <c r="D977" s="19" t="n">
        <v>300</v>
      </c>
      <c r="E977" s="19" t="n">
        <v>9632.441</v>
      </c>
      <c r="F977" s="19" t="n">
        <v>279.157894736842</v>
      </c>
      <c r="G977" s="19" t="n">
        <v>8957.73347368421</v>
      </c>
      <c r="H977" s="8" t="str">
        <f aca="false">IF(COUNTIF($J$1:$J$2,$A977)&gt;0,"Y","N")</f>
        <v>N</v>
      </c>
    </row>
    <row r="978" customFormat="false" ht="15" hidden="false" customHeight="true" outlineLevel="0" collapsed="false">
      <c r="A978" s="8" t="s">
        <v>1764</v>
      </c>
      <c r="B978" s="8" t="n">
        <v>4408054</v>
      </c>
      <c r="C978" s="8" t="s">
        <v>1243</v>
      </c>
      <c r="D978" s="19" t="n">
        <v>62</v>
      </c>
      <c r="E978" s="19" t="n">
        <v>1986.621</v>
      </c>
      <c r="F978" s="19" t="n">
        <v>106.105263157895</v>
      </c>
      <c r="G978" s="19" t="n">
        <v>3409.45389473684</v>
      </c>
      <c r="H978" s="8" t="str">
        <f aca="false">IF(COUNTIF($J$1:$J$2,$A978)&gt;0,"Y","N")</f>
        <v>N</v>
      </c>
    </row>
    <row r="979" customFormat="false" ht="15" hidden="false" customHeight="true" outlineLevel="0" collapsed="false">
      <c r="A979" s="8" t="s">
        <v>1764</v>
      </c>
      <c r="B979" s="8" t="n">
        <v>4408059</v>
      </c>
      <c r="C979" s="8" t="s">
        <v>1244</v>
      </c>
      <c r="D979" s="19" t="n">
        <v>-4</v>
      </c>
      <c r="E979" s="19" t="n">
        <v>-286.104</v>
      </c>
      <c r="F979" s="19" t="n">
        <v>0</v>
      </c>
      <c r="G979" s="19" t="n">
        <v>0</v>
      </c>
      <c r="H979" s="8" t="str">
        <f aca="false">IF(COUNTIF($J$1:$J$2,$A979)&gt;0,"Y","N")</f>
        <v>N</v>
      </c>
    </row>
    <row r="980" customFormat="false" ht="15" hidden="false" customHeight="true" outlineLevel="0" collapsed="false">
      <c r="A980" s="8" t="s">
        <v>1764</v>
      </c>
      <c r="B980" s="8" t="n">
        <v>4408060</v>
      </c>
      <c r="C980" s="8" t="s">
        <v>1245</v>
      </c>
      <c r="D980" s="19" t="n">
        <v>2</v>
      </c>
      <c r="E980" s="19" t="n">
        <v>124.67</v>
      </c>
      <c r="F980" s="19" t="n">
        <v>0</v>
      </c>
      <c r="G980" s="19" t="n">
        <v>0</v>
      </c>
      <c r="H980" s="8" t="str">
        <f aca="false">IF(COUNTIF($J$1:$J$2,$A980)&gt;0,"Y","N")</f>
        <v>N</v>
      </c>
    </row>
    <row r="981" customFormat="false" ht="15" hidden="false" customHeight="true" outlineLevel="0" collapsed="false">
      <c r="A981" s="8" t="s">
        <v>1764</v>
      </c>
      <c r="B981" s="8" t="n">
        <v>4408061</v>
      </c>
      <c r="C981" s="8" t="s">
        <v>1246</v>
      </c>
      <c r="D981" s="19" t="n">
        <v>-2</v>
      </c>
      <c r="E981" s="19" t="n">
        <v>-121.576</v>
      </c>
      <c r="F981" s="19" t="n">
        <v>0</v>
      </c>
      <c r="G981" s="19" t="n">
        <v>0</v>
      </c>
      <c r="H981" s="8" t="str">
        <f aca="false">IF(COUNTIF($J$1:$J$2,$A981)&gt;0,"Y","N")</f>
        <v>N</v>
      </c>
    </row>
    <row r="982" customFormat="false" ht="15" hidden="false" customHeight="true" outlineLevel="0" collapsed="false">
      <c r="A982" s="8" t="s">
        <v>1764</v>
      </c>
      <c r="B982" s="8" t="n">
        <v>4408062</v>
      </c>
      <c r="C982" s="8" t="s">
        <v>1247</v>
      </c>
      <c r="D982" s="19" t="n">
        <v>1</v>
      </c>
      <c r="E982" s="19" t="n">
        <v>62.335</v>
      </c>
      <c r="F982" s="19" t="n">
        <v>-1.26315789473684</v>
      </c>
      <c r="G982" s="19" t="n">
        <v>-78.7389473684211</v>
      </c>
      <c r="H982" s="8" t="str">
        <f aca="false">IF(COUNTIF($J$1:$J$2,$A982)&gt;0,"Y","N")</f>
        <v>N</v>
      </c>
    </row>
    <row r="983" customFormat="false" ht="15" hidden="false" customHeight="true" outlineLevel="0" collapsed="false">
      <c r="A983" s="8" t="s">
        <v>1764</v>
      </c>
      <c r="B983" s="8" t="n">
        <v>4408070</v>
      </c>
      <c r="C983" s="8" t="s">
        <v>1769</v>
      </c>
      <c r="D983" s="19" t="n">
        <v>4</v>
      </c>
      <c r="E983" s="19" t="n">
        <v>1098.188</v>
      </c>
      <c r="F983" s="19" t="n">
        <v>7.57894736842105</v>
      </c>
      <c r="G983" s="19" t="n">
        <v>2080.89221052632</v>
      </c>
      <c r="H983" s="8" t="str">
        <f aca="false">IF(COUNTIF($J$1:$J$2,$A983)&gt;0,"Y","N")</f>
        <v>N</v>
      </c>
    </row>
    <row r="984" customFormat="false" ht="15" hidden="false" customHeight="true" outlineLevel="0" collapsed="false">
      <c r="A984" s="8" t="s">
        <v>1764</v>
      </c>
      <c r="B984" s="8" t="n">
        <v>4408072</v>
      </c>
      <c r="C984" s="8" t="s">
        <v>1250</v>
      </c>
      <c r="D984" s="19" t="n">
        <v>0</v>
      </c>
      <c r="E984" s="19" t="n">
        <v>0</v>
      </c>
      <c r="F984" s="19" t="n">
        <v>2.52631578947368</v>
      </c>
      <c r="G984" s="19" t="n">
        <v>693.592421052632</v>
      </c>
      <c r="H984" s="8" t="str">
        <f aca="false">IF(COUNTIF($J$1:$J$2,$A984)&gt;0,"Y","N")</f>
        <v>N</v>
      </c>
    </row>
    <row r="985" customFormat="false" ht="15" hidden="false" customHeight="true" outlineLevel="0" collapsed="false">
      <c r="A985" s="8" t="s">
        <v>1764</v>
      </c>
      <c r="B985" s="8" t="n">
        <v>4408073</v>
      </c>
      <c r="C985" s="8" t="s">
        <v>1251</v>
      </c>
      <c r="D985" s="19" t="n">
        <v>2</v>
      </c>
      <c r="E985" s="19" t="n">
        <v>549.094</v>
      </c>
      <c r="F985" s="19" t="n">
        <v>1.26315789473684</v>
      </c>
      <c r="G985" s="19" t="n">
        <v>346.796210526316</v>
      </c>
      <c r="H985" s="8" t="str">
        <f aca="false">IF(COUNTIF($J$1:$J$2,$A985)&gt;0,"Y","N")</f>
        <v>N</v>
      </c>
    </row>
    <row r="986" customFormat="false" ht="15" hidden="false" customHeight="true" outlineLevel="0" collapsed="false">
      <c r="A986" s="8" t="s">
        <v>1764</v>
      </c>
      <c r="B986" s="8" t="n">
        <v>4408076</v>
      </c>
      <c r="C986" s="8" t="s">
        <v>1253</v>
      </c>
      <c r="D986" s="19" t="n">
        <v>-1</v>
      </c>
      <c r="E986" s="19" t="n">
        <v>-162.799</v>
      </c>
      <c r="F986" s="19" t="n">
        <v>0</v>
      </c>
      <c r="G986" s="19" t="n">
        <v>0</v>
      </c>
      <c r="H986" s="8" t="str">
        <f aca="false">IF(COUNTIF($J$1:$J$2,$A986)&gt;0,"Y","N")</f>
        <v>N</v>
      </c>
    </row>
    <row r="987" customFormat="false" ht="15" hidden="false" customHeight="true" outlineLevel="0" collapsed="false">
      <c r="A987" s="8" t="s">
        <v>1764</v>
      </c>
      <c r="B987" s="8" t="n">
        <v>4408078</v>
      </c>
      <c r="C987" s="8" t="s">
        <v>1255</v>
      </c>
      <c r="D987" s="19" t="n">
        <v>0</v>
      </c>
      <c r="E987" s="19" t="n">
        <v>0</v>
      </c>
      <c r="F987" s="19" t="n">
        <v>1.26315789473684</v>
      </c>
      <c r="G987" s="19" t="n">
        <v>197.709473684211</v>
      </c>
      <c r="H987" s="8" t="str">
        <f aca="false">IF(COUNTIF($J$1:$J$2,$A987)&gt;0,"Y","N")</f>
        <v>N</v>
      </c>
    </row>
    <row r="988" customFormat="false" ht="15" hidden="false" customHeight="true" outlineLevel="0" collapsed="false">
      <c r="A988" s="8" t="s">
        <v>1764</v>
      </c>
      <c r="B988" s="8" t="n">
        <v>4408080</v>
      </c>
      <c r="C988" s="8" t="s">
        <v>1257</v>
      </c>
      <c r="D988" s="19" t="n">
        <v>4</v>
      </c>
      <c r="E988" s="19" t="n">
        <v>651.105</v>
      </c>
      <c r="F988" s="19" t="n">
        <v>0</v>
      </c>
      <c r="G988" s="19" t="n">
        <v>0</v>
      </c>
      <c r="H988" s="8" t="str">
        <f aca="false">IF(COUNTIF($J$1:$J$2,$A988)&gt;0,"Y","N")</f>
        <v>N</v>
      </c>
    </row>
    <row r="989" customFormat="false" ht="15" hidden="false" customHeight="true" outlineLevel="0" collapsed="false">
      <c r="A989" s="8" t="s">
        <v>1764</v>
      </c>
      <c r="B989" s="8" t="n">
        <v>4408081</v>
      </c>
      <c r="C989" s="8" t="s">
        <v>1258</v>
      </c>
      <c r="D989" s="19" t="n">
        <v>1</v>
      </c>
      <c r="E989" s="19" t="n">
        <v>162.799</v>
      </c>
      <c r="F989" s="19" t="n">
        <v>1.26315789473684</v>
      </c>
      <c r="G989" s="19" t="n">
        <v>205.640842105263</v>
      </c>
      <c r="H989" s="8" t="str">
        <f aca="false">IF(COUNTIF($J$1:$J$2,$A989)&gt;0,"Y","N")</f>
        <v>N</v>
      </c>
    </row>
    <row r="990" customFormat="false" ht="15" hidden="false" customHeight="true" outlineLevel="0" collapsed="false">
      <c r="A990" s="8" t="s">
        <v>1764</v>
      </c>
      <c r="B990" s="8" t="n">
        <v>4408088</v>
      </c>
      <c r="C990" s="8" t="s">
        <v>1263</v>
      </c>
      <c r="D990" s="19" t="n">
        <v>31</v>
      </c>
      <c r="E990" s="19" t="n">
        <v>2100.007</v>
      </c>
      <c r="F990" s="19" t="n">
        <v>-7.57894736842105</v>
      </c>
      <c r="G990" s="19" t="n">
        <v>-517.033263157895</v>
      </c>
      <c r="H990" s="8" t="str">
        <f aca="false">IF(COUNTIF($J$1:$J$2,$A990)&gt;0,"Y","N")</f>
        <v>N</v>
      </c>
    </row>
    <row r="991" customFormat="false" ht="15" hidden="false" customHeight="true" outlineLevel="0" collapsed="false">
      <c r="A991" s="8" t="s">
        <v>1764</v>
      </c>
      <c r="B991" s="8" t="n">
        <v>4408089</v>
      </c>
      <c r="C991" s="8" t="s">
        <v>1264</v>
      </c>
      <c r="D991" s="19" t="n">
        <v>-2</v>
      </c>
      <c r="E991" s="19" t="n">
        <v>-160.524</v>
      </c>
      <c r="F991" s="19" t="n">
        <v>1.26315789473684</v>
      </c>
      <c r="G991" s="19" t="n">
        <v>101.383578947368</v>
      </c>
      <c r="H991" s="8" t="str">
        <f aca="false">IF(COUNTIF($J$1:$J$2,$A991)&gt;0,"Y","N")</f>
        <v>N</v>
      </c>
    </row>
    <row r="992" customFormat="false" ht="15" hidden="false" customHeight="true" outlineLevel="0" collapsed="false">
      <c r="A992" s="8" t="s">
        <v>1764</v>
      </c>
      <c r="B992" s="8" t="n">
        <v>4408090</v>
      </c>
      <c r="C992" s="8" t="s">
        <v>1265</v>
      </c>
      <c r="D992" s="19" t="n">
        <v>8</v>
      </c>
      <c r="E992" s="19" t="n">
        <v>642.096</v>
      </c>
      <c r="F992" s="19" t="n">
        <v>2.52631578947368</v>
      </c>
      <c r="G992" s="19" t="n">
        <v>202.767157894737</v>
      </c>
      <c r="H992" s="8" t="str">
        <f aca="false">IF(COUNTIF($J$1:$J$2,$A992)&gt;0,"Y","N")</f>
        <v>N</v>
      </c>
    </row>
    <row r="993" customFormat="false" ht="15" hidden="false" customHeight="true" outlineLevel="0" collapsed="false">
      <c r="A993" s="8" t="s">
        <v>1764</v>
      </c>
      <c r="B993" s="8" t="n">
        <v>4408091</v>
      </c>
      <c r="C993" s="8" t="s">
        <v>1266</v>
      </c>
      <c r="D993" s="19" t="n">
        <v>0</v>
      </c>
      <c r="E993" s="19" t="n">
        <v>0</v>
      </c>
      <c r="F993" s="19" t="n">
        <v>2.52631578947368</v>
      </c>
      <c r="G993" s="19" t="n">
        <v>202.767157894737</v>
      </c>
      <c r="H993" s="8" t="str">
        <f aca="false">IF(COUNTIF($J$1:$J$2,$A993)&gt;0,"Y","N")</f>
        <v>N</v>
      </c>
    </row>
    <row r="994" customFormat="false" ht="15" hidden="false" customHeight="true" outlineLevel="0" collapsed="false">
      <c r="A994" s="8" t="s">
        <v>1764</v>
      </c>
      <c r="B994" s="8" t="n">
        <v>4408092</v>
      </c>
      <c r="C994" s="8" t="s">
        <v>1267</v>
      </c>
      <c r="D994" s="19" t="n">
        <v>6</v>
      </c>
      <c r="E994" s="19" t="n">
        <v>481.572</v>
      </c>
      <c r="F994" s="19" t="n">
        <v>2.52631578947368</v>
      </c>
      <c r="G994" s="19" t="n">
        <v>202.767157894737</v>
      </c>
      <c r="H994" s="8" t="str">
        <f aca="false">IF(COUNTIF($J$1:$J$2,$A994)&gt;0,"Y","N")</f>
        <v>N</v>
      </c>
    </row>
    <row r="995" customFormat="false" ht="15" hidden="false" customHeight="true" outlineLevel="0" collapsed="false">
      <c r="A995" s="8" t="s">
        <v>1764</v>
      </c>
      <c r="B995" s="8" t="n">
        <v>4408093</v>
      </c>
      <c r="C995" s="8" t="s">
        <v>1268</v>
      </c>
      <c r="D995" s="19" t="n">
        <v>0</v>
      </c>
      <c r="E995" s="19" t="n">
        <v>0</v>
      </c>
      <c r="F995" s="19" t="n">
        <v>1.26315789473684</v>
      </c>
      <c r="G995" s="19" t="n">
        <v>101.383578947368</v>
      </c>
      <c r="H995" s="8" t="str">
        <f aca="false">IF(COUNTIF($J$1:$J$2,$A995)&gt;0,"Y","N")</f>
        <v>N</v>
      </c>
    </row>
    <row r="996" customFormat="false" ht="15" hidden="false" customHeight="true" outlineLevel="0" collapsed="false">
      <c r="A996" s="8" t="s">
        <v>1764</v>
      </c>
      <c r="B996" s="8" t="n">
        <v>4408094</v>
      </c>
      <c r="C996" s="8" t="s">
        <v>1269</v>
      </c>
      <c r="D996" s="19" t="n">
        <v>42</v>
      </c>
      <c r="E996" s="19" t="n">
        <v>1313.585</v>
      </c>
      <c r="F996" s="19" t="n">
        <v>34.1052631578947</v>
      </c>
      <c r="G996" s="19" t="n">
        <v>1066.71157894737</v>
      </c>
      <c r="H996" s="8" t="str">
        <f aca="false">IF(COUNTIF($J$1:$J$2,$A996)&gt;0,"Y","N")</f>
        <v>N</v>
      </c>
    </row>
    <row r="997" customFormat="false" ht="15" hidden="false" customHeight="true" outlineLevel="0" collapsed="false">
      <c r="A997" s="8" t="s">
        <v>1764</v>
      </c>
      <c r="B997" s="8" t="n">
        <v>4408095</v>
      </c>
      <c r="C997" s="8" t="s">
        <v>1270</v>
      </c>
      <c r="D997" s="19" t="n">
        <v>31</v>
      </c>
      <c r="E997" s="19" t="n">
        <v>969.605</v>
      </c>
      <c r="F997" s="19" t="n">
        <v>26.5263157894737</v>
      </c>
      <c r="G997" s="19" t="n">
        <v>832.333894736842</v>
      </c>
      <c r="H997" s="8" t="str">
        <f aca="false">IF(COUNTIF($J$1:$J$2,$A997)&gt;0,"Y","N")</f>
        <v>N</v>
      </c>
    </row>
    <row r="998" customFormat="false" ht="15" hidden="false" customHeight="true" outlineLevel="0" collapsed="false">
      <c r="A998" s="8" t="s">
        <v>1764</v>
      </c>
      <c r="B998" s="8" t="n">
        <v>4408098</v>
      </c>
      <c r="C998" s="8" t="s">
        <v>1273</v>
      </c>
      <c r="D998" s="19" t="n">
        <v>386</v>
      </c>
      <c r="E998" s="19" t="n">
        <v>13959.309</v>
      </c>
      <c r="F998" s="19" t="n">
        <v>324.631578947368</v>
      </c>
      <c r="G998" s="19" t="n">
        <v>11742.3334736842</v>
      </c>
      <c r="H998" s="8" t="str">
        <f aca="false">IF(COUNTIF($J$1:$J$2,$A998)&gt;0,"Y","N")</f>
        <v>N</v>
      </c>
    </row>
    <row r="999" customFormat="false" ht="15" hidden="false" customHeight="true" outlineLevel="0" collapsed="false">
      <c r="A999" s="8" t="s">
        <v>1764</v>
      </c>
      <c r="B999" s="8" t="n">
        <v>4408099</v>
      </c>
      <c r="C999" s="8" t="s">
        <v>1274</v>
      </c>
      <c r="D999" s="19" t="n">
        <v>322</v>
      </c>
      <c r="E999" s="19" t="n">
        <v>11628.981</v>
      </c>
      <c r="F999" s="19" t="n">
        <v>357.473684210526</v>
      </c>
      <c r="G999" s="19" t="n">
        <v>12927.5557894737</v>
      </c>
      <c r="H999" s="8" t="str">
        <f aca="false">IF(COUNTIF($J$1:$J$2,$A999)&gt;0,"Y","N")</f>
        <v>N</v>
      </c>
    </row>
    <row r="1000" customFormat="false" ht="15" hidden="false" customHeight="true" outlineLevel="0" collapsed="false">
      <c r="A1000" s="8" t="s">
        <v>1764</v>
      </c>
      <c r="B1000" s="8" t="n">
        <v>4408104</v>
      </c>
      <c r="C1000" s="8" t="s">
        <v>1770</v>
      </c>
      <c r="D1000" s="19" t="n">
        <v>0</v>
      </c>
      <c r="E1000" s="19" t="n">
        <v>0</v>
      </c>
      <c r="F1000" s="19" t="n">
        <v>-1.26315789473684</v>
      </c>
      <c r="G1000" s="19" t="n">
        <v>-256.562526315789</v>
      </c>
      <c r="H1000" s="8" t="str">
        <f aca="false">IF(COUNTIF($J$1:$J$2,$A1000)&gt;0,"Y","N")</f>
        <v>N</v>
      </c>
    </row>
    <row r="1001" customFormat="false" ht="15" hidden="false" customHeight="true" outlineLevel="0" collapsed="false">
      <c r="A1001" s="8" t="s">
        <v>1764</v>
      </c>
      <c r="B1001" s="8" t="n">
        <v>4408115</v>
      </c>
      <c r="C1001" s="8" t="s">
        <v>1279</v>
      </c>
      <c r="D1001" s="19" t="n">
        <v>11</v>
      </c>
      <c r="E1001" s="19" t="n">
        <v>971.243</v>
      </c>
      <c r="F1001" s="19" t="n">
        <v>30.3157894736842</v>
      </c>
      <c r="G1001" s="19" t="n">
        <v>2676.89431578947</v>
      </c>
      <c r="H1001" s="8" t="str">
        <f aca="false">IF(COUNTIF($J$1:$J$2,$A1001)&gt;0,"Y","N")</f>
        <v>N</v>
      </c>
    </row>
    <row r="1002" customFormat="false" ht="15" hidden="false" customHeight="true" outlineLevel="0" collapsed="false">
      <c r="A1002" s="8" t="s">
        <v>1764</v>
      </c>
      <c r="B1002" s="8" t="n">
        <v>4408132</v>
      </c>
      <c r="C1002" s="8" t="s">
        <v>1288</v>
      </c>
      <c r="D1002" s="19" t="n">
        <v>63</v>
      </c>
      <c r="E1002" s="19" t="n">
        <v>5503.68</v>
      </c>
      <c r="F1002" s="19" t="n">
        <v>82.1052631578947</v>
      </c>
      <c r="G1002" s="19" t="n">
        <v>7172.71578947369</v>
      </c>
      <c r="H1002" s="8" t="str">
        <f aca="false">IF(COUNTIF($J$1:$J$2,$A1002)&gt;0,"Y","N")</f>
        <v>N</v>
      </c>
    </row>
    <row r="1003" customFormat="false" ht="15" hidden="false" customHeight="true" outlineLevel="0" collapsed="false">
      <c r="A1003" s="8" t="s">
        <v>1764</v>
      </c>
      <c r="B1003" s="8" t="n">
        <v>4408145</v>
      </c>
      <c r="C1003" s="8" t="s">
        <v>1771</v>
      </c>
      <c r="D1003" s="19" t="n">
        <v>-1</v>
      </c>
      <c r="E1003" s="19" t="n">
        <v>-107.926</v>
      </c>
      <c r="F1003" s="19" t="n">
        <v>0</v>
      </c>
      <c r="G1003" s="19" t="n">
        <v>0</v>
      </c>
      <c r="H1003" s="8" t="str">
        <f aca="false">IF(COUNTIF($J$1:$J$2,$A1003)&gt;0,"Y","N")</f>
        <v>N</v>
      </c>
    </row>
    <row r="1004" customFormat="false" ht="15" hidden="false" customHeight="true" outlineLevel="0" collapsed="false">
      <c r="A1004" s="8" t="s">
        <v>1764</v>
      </c>
      <c r="B1004" s="8" t="n">
        <v>4408146</v>
      </c>
      <c r="C1004" s="8" t="s">
        <v>1772</v>
      </c>
      <c r="D1004" s="19" t="n">
        <v>1</v>
      </c>
      <c r="E1004" s="19" t="n">
        <v>107.926</v>
      </c>
      <c r="F1004" s="19" t="n">
        <v>0</v>
      </c>
      <c r="G1004" s="19" t="n">
        <v>0</v>
      </c>
      <c r="H1004" s="8" t="str">
        <f aca="false">IF(COUNTIF($J$1:$J$2,$A1004)&gt;0,"Y","N")</f>
        <v>N</v>
      </c>
    </row>
    <row r="1005" customFormat="false" ht="15" hidden="false" customHeight="true" outlineLevel="0" collapsed="false">
      <c r="A1005" s="8" t="s">
        <v>1764</v>
      </c>
      <c r="B1005" s="8" t="n">
        <v>4408148</v>
      </c>
      <c r="C1005" s="8" t="s">
        <v>1295</v>
      </c>
      <c r="D1005" s="19" t="n">
        <v>11</v>
      </c>
      <c r="E1005" s="19" t="n">
        <v>1187.55</v>
      </c>
      <c r="F1005" s="19" t="n">
        <v>0</v>
      </c>
      <c r="G1005" s="19" t="n">
        <v>0</v>
      </c>
      <c r="H1005" s="8" t="str">
        <f aca="false">IF(COUNTIF($J$1:$J$2,$A1005)&gt;0,"Y","N")</f>
        <v>N</v>
      </c>
    </row>
    <row r="1006" customFormat="false" ht="15" hidden="false" customHeight="true" outlineLevel="0" collapsed="false">
      <c r="A1006" s="8" t="s">
        <v>1764</v>
      </c>
      <c r="B1006" s="8" t="n">
        <v>4408149</v>
      </c>
      <c r="C1006" s="8" t="s">
        <v>1296</v>
      </c>
      <c r="D1006" s="19" t="n">
        <v>12</v>
      </c>
      <c r="E1006" s="19" t="n">
        <v>1295.567</v>
      </c>
      <c r="F1006" s="19" t="n">
        <v>3.78947368421053</v>
      </c>
      <c r="G1006" s="19" t="n">
        <v>409.097684210526</v>
      </c>
      <c r="H1006" s="8" t="str">
        <f aca="false">IF(COUNTIF($J$1:$J$2,$A1006)&gt;0,"Y","N")</f>
        <v>N</v>
      </c>
    </row>
    <row r="1007" customFormat="false" ht="15" hidden="false" customHeight="true" outlineLevel="0" collapsed="false">
      <c r="A1007" s="8" t="s">
        <v>1764</v>
      </c>
      <c r="B1007" s="8" t="n">
        <v>4408150</v>
      </c>
      <c r="C1007" s="8" t="s">
        <v>1297</v>
      </c>
      <c r="D1007" s="19" t="n">
        <v>8</v>
      </c>
      <c r="E1007" s="19" t="n">
        <v>1059.604</v>
      </c>
      <c r="F1007" s="19" t="n">
        <v>15.1578947368421</v>
      </c>
      <c r="G1007" s="19" t="n">
        <v>2007.90063157895</v>
      </c>
      <c r="H1007" s="8" t="str">
        <f aca="false">IF(COUNTIF($J$1:$J$2,$A1007)&gt;0,"Y","N")</f>
        <v>N</v>
      </c>
    </row>
    <row r="1008" customFormat="false" ht="15" hidden="false" customHeight="true" outlineLevel="0" collapsed="false">
      <c r="A1008" s="8" t="s">
        <v>1764</v>
      </c>
      <c r="B1008" s="8" t="n">
        <v>4408151</v>
      </c>
      <c r="C1008" s="8" t="s">
        <v>1298</v>
      </c>
      <c r="D1008" s="19" t="n">
        <v>17</v>
      </c>
      <c r="E1008" s="19" t="n">
        <v>2024.75</v>
      </c>
      <c r="F1008" s="19" t="n">
        <v>34.1052631578947</v>
      </c>
      <c r="G1008" s="19" t="n">
        <v>4517.66147368421</v>
      </c>
      <c r="H1008" s="8" t="str">
        <f aca="false">IF(COUNTIF($J$1:$J$2,$A1008)&gt;0,"Y","N")</f>
        <v>N</v>
      </c>
    </row>
    <row r="1009" customFormat="false" ht="15" hidden="false" customHeight="true" outlineLevel="0" collapsed="false">
      <c r="A1009" s="8" t="s">
        <v>1764</v>
      </c>
      <c r="B1009" s="8" t="n">
        <v>4408152</v>
      </c>
      <c r="C1009" s="8" t="s">
        <v>1299</v>
      </c>
      <c r="D1009" s="19" t="n">
        <v>41</v>
      </c>
      <c r="E1009" s="19" t="n">
        <v>5203.744</v>
      </c>
      <c r="F1009" s="19" t="n">
        <v>61.8947368421053</v>
      </c>
      <c r="G1009" s="19" t="n">
        <v>8198.62105263158</v>
      </c>
      <c r="H1009" s="8" t="str">
        <f aca="false">IF(COUNTIF($J$1:$J$2,$A1009)&gt;0,"Y","N")</f>
        <v>N</v>
      </c>
    </row>
    <row r="1010" customFormat="false" ht="15" hidden="false" customHeight="true" outlineLevel="0" collapsed="false">
      <c r="A1010" s="8" t="s">
        <v>1764</v>
      </c>
      <c r="B1010" s="8" t="n">
        <v>4408153</v>
      </c>
      <c r="C1010" s="8" t="s">
        <v>1300</v>
      </c>
      <c r="D1010" s="19" t="n">
        <v>57</v>
      </c>
      <c r="E1010" s="19" t="n">
        <v>7550.179</v>
      </c>
      <c r="F1010" s="19" t="n">
        <v>74.5263157894737</v>
      </c>
      <c r="G1010" s="19" t="n">
        <v>9871.68</v>
      </c>
      <c r="H1010" s="8" t="str">
        <f aca="false">IF(COUNTIF($J$1:$J$2,$A1010)&gt;0,"Y","N")</f>
        <v>N</v>
      </c>
    </row>
    <row r="1011" customFormat="false" ht="15" hidden="false" customHeight="true" outlineLevel="0" collapsed="false">
      <c r="A1011" s="8" t="s">
        <v>1764</v>
      </c>
      <c r="B1011" s="8" t="n">
        <v>4408154</v>
      </c>
      <c r="C1011" s="8" t="s">
        <v>1301</v>
      </c>
      <c r="D1011" s="19" t="n">
        <v>61</v>
      </c>
      <c r="E1011" s="19" t="n">
        <v>8080.072</v>
      </c>
      <c r="F1011" s="19" t="n">
        <v>104.842105263158</v>
      </c>
      <c r="G1011" s="19" t="n">
        <v>13887.3663157895</v>
      </c>
      <c r="H1011" s="8" t="str">
        <f aca="false">IF(COUNTIF($J$1:$J$2,$A1011)&gt;0,"Y","N")</f>
        <v>N</v>
      </c>
    </row>
    <row r="1012" customFormat="false" ht="15" hidden="false" customHeight="true" outlineLevel="0" collapsed="false">
      <c r="A1012" s="8" t="s">
        <v>1764</v>
      </c>
      <c r="B1012" s="8" t="n">
        <v>4408203</v>
      </c>
      <c r="C1012" s="8" t="s">
        <v>1309</v>
      </c>
      <c r="D1012" s="19" t="n">
        <v>0</v>
      </c>
      <c r="E1012" s="19" t="n">
        <v>0</v>
      </c>
      <c r="F1012" s="19" t="n">
        <v>2.52631578947368</v>
      </c>
      <c r="G1012" s="19" t="n">
        <v>578.070315789474</v>
      </c>
      <c r="H1012" s="8" t="str">
        <f aca="false">IF(COUNTIF($J$1:$J$2,$A1012)&gt;0,"Y","N")</f>
        <v>N</v>
      </c>
    </row>
    <row r="1013" customFormat="false" ht="15" hidden="false" customHeight="true" outlineLevel="0" collapsed="false">
      <c r="A1013" s="8" t="s">
        <v>1764</v>
      </c>
      <c r="B1013" s="8" t="n">
        <v>4408205</v>
      </c>
      <c r="C1013" s="8" t="s">
        <v>1310</v>
      </c>
      <c r="D1013" s="19" t="n">
        <v>22</v>
      </c>
      <c r="E1013" s="19" t="n">
        <v>1805.167</v>
      </c>
      <c r="F1013" s="19" t="n">
        <v>27.7894736842105</v>
      </c>
      <c r="G1013" s="19" t="n">
        <v>2230.09389473684</v>
      </c>
      <c r="H1013" s="8" t="str">
        <f aca="false">IF(COUNTIF($J$1:$J$2,$A1013)&gt;0,"Y","N")</f>
        <v>N</v>
      </c>
    </row>
    <row r="1014" customFormat="false" ht="15" hidden="false" customHeight="true" outlineLevel="0" collapsed="false">
      <c r="A1014" s="8" t="s">
        <v>1764</v>
      </c>
      <c r="B1014" s="8" t="n">
        <v>4408206</v>
      </c>
      <c r="C1014" s="8" t="s">
        <v>1311</v>
      </c>
      <c r="D1014" s="19" t="n">
        <v>-1</v>
      </c>
      <c r="E1014" s="19" t="n">
        <v>-68.523</v>
      </c>
      <c r="F1014" s="19" t="n">
        <v>2.52631578947368</v>
      </c>
      <c r="G1014" s="19" t="n">
        <v>172.995789473684</v>
      </c>
      <c r="H1014" s="8" t="str">
        <f aca="false">IF(COUNTIF($J$1:$J$2,$A1014)&gt;0,"Y","N")</f>
        <v>N</v>
      </c>
    </row>
    <row r="1015" customFormat="false" ht="15" hidden="false" customHeight="true" outlineLevel="0" collapsed="false">
      <c r="A1015" s="8" t="s">
        <v>1764</v>
      </c>
      <c r="B1015" s="8" t="n">
        <v>4408207</v>
      </c>
      <c r="C1015" s="8" t="s">
        <v>1312</v>
      </c>
      <c r="D1015" s="19" t="n">
        <v>60</v>
      </c>
      <c r="E1015" s="19" t="n">
        <v>1361.178</v>
      </c>
      <c r="F1015" s="19" t="n">
        <v>56.8421052631579</v>
      </c>
      <c r="G1015" s="19" t="n">
        <v>1289.59452631579</v>
      </c>
      <c r="H1015" s="8" t="str">
        <f aca="false">IF(COUNTIF($J$1:$J$2,$A1015)&gt;0,"Y","N")</f>
        <v>N</v>
      </c>
    </row>
    <row r="1016" customFormat="false" ht="15" hidden="false" customHeight="true" outlineLevel="0" collapsed="false">
      <c r="A1016" s="8" t="s">
        <v>1764</v>
      </c>
      <c r="B1016" s="8" t="n">
        <v>4408208</v>
      </c>
      <c r="C1016" s="8" t="s">
        <v>1313</v>
      </c>
      <c r="D1016" s="19" t="n">
        <v>123</v>
      </c>
      <c r="E1016" s="19" t="n">
        <v>3220.49</v>
      </c>
      <c r="F1016" s="19" t="n">
        <v>146.526315789474</v>
      </c>
      <c r="G1016" s="19" t="n">
        <v>3819.70105263158</v>
      </c>
      <c r="H1016" s="8" t="str">
        <f aca="false">IF(COUNTIF($J$1:$J$2,$A1016)&gt;0,"Y","N")</f>
        <v>N</v>
      </c>
    </row>
    <row r="1017" customFormat="false" ht="15" hidden="false" customHeight="true" outlineLevel="0" collapsed="false">
      <c r="A1017" s="8" t="s">
        <v>1764</v>
      </c>
      <c r="B1017" s="8" t="n">
        <v>4408219</v>
      </c>
      <c r="C1017" s="8" t="s">
        <v>1316</v>
      </c>
      <c r="D1017" s="19" t="n">
        <v>18</v>
      </c>
      <c r="E1017" s="19" t="n">
        <v>1459.094</v>
      </c>
      <c r="F1017" s="19" t="n">
        <v>34.1052631578947</v>
      </c>
      <c r="G1017" s="19" t="n">
        <v>3079.66989473684</v>
      </c>
      <c r="H1017" s="8" t="str">
        <f aca="false">IF(COUNTIF($J$1:$J$2,$A1017)&gt;0,"Y","N")</f>
        <v>N</v>
      </c>
    </row>
    <row r="1018" customFormat="false" ht="15" hidden="false" customHeight="true" outlineLevel="0" collapsed="false">
      <c r="A1018" s="8" t="s">
        <v>1764</v>
      </c>
      <c r="B1018" s="8" t="n">
        <v>4408220</v>
      </c>
      <c r="C1018" s="8" t="s">
        <v>1317</v>
      </c>
      <c r="D1018" s="19" t="n">
        <v>78</v>
      </c>
      <c r="E1018" s="19" t="n">
        <v>7043.4</v>
      </c>
      <c r="F1018" s="19" t="n">
        <v>74.5263157894737</v>
      </c>
      <c r="G1018" s="19" t="n">
        <v>6729.70863157895</v>
      </c>
      <c r="H1018" s="8" t="str">
        <f aca="false">IF(COUNTIF($J$1:$J$2,$A1018)&gt;0,"Y","N")</f>
        <v>N</v>
      </c>
    </row>
    <row r="1019" customFormat="false" ht="15" hidden="false" customHeight="true" outlineLevel="0" collapsed="false">
      <c r="A1019" s="8" t="s">
        <v>1764</v>
      </c>
      <c r="B1019" s="8" t="n">
        <v>4408221</v>
      </c>
      <c r="C1019" s="8" t="s">
        <v>1318</v>
      </c>
      <c r="D1019" s="19" t="n">
        <v>146</v>
      </c>
      <c r="E1019" s="19" t="n">
        <v>13183.716</v>
      </c>
      <c r="F1019" s="19" t="n">
        <v>184.421052631579</v>
      </c>
      <c r="G1019" s="19" t="n">
        <v>16653.1149473684</v>
      </c>
      <c r="H1019" s="8" t="str">
        <f aca="false">IF(COUNTIF($J$1:$J$2,$A1019)&gt;0,"Y","N")</f>
        <v>N</v>
      </c>
    </row>
    <row r="1020" customFormat="false" ht="15" hidden="false" customHeight="true" outlineLevel="0" collapsed="false">
      <c r="A1020" s="8" t="s">
        <v>1764</v>
      </c>
      <c r="B1020" s="8" t="n">
        <v>4408222</v>
      </c>
      <c r="C1020" s="8" t="s">
        <v>1319</v>
      </c>
      <c r="D1020" s="19" t="n">
        <v>97</v>
      </c>
      <c r="E1020" s="19" t="n">
        <v>8759.023</v>
      </c>
      <c r="F1020" s="19" t="n">
        <v>138.947368421053</v>
      </c>
      <c r="G1020" s="19" t="n">
        <v>12546.8501052632</v>
      </c>
      <c r="H1020" s="8" t="str">
        <f aca="false">IF(COUNTIF($J$1:$J$2,$A1020)&gt;0,"Y","N")</f>
        <v>N</v>
      </c>
    </row>
    <row r="1021" customFormat="false" ht="15" hidden="false" customHeight="true" outlineLevel="0" collapsed="false">
      <c r="A1021" s="8" t="s">
        <v>1764</v>
      </c>
      <c r="B1021" s="8" t="n">
        <v>4408223</v>
      </c>
      <c r="C1021" s="8" t="s">
        <v>1320</v>
      </c>
      <c r="D1021" s="19" t="n">
        <v>60</v>
      </c>
      <c r="E1021" s="19" t="n">
        <v>5417.958</v>
      </c>
      <c r="F1021" s="19" t="n">
        <v>58.1052631578947</v>
      </c>
      <c r="G1021" s="19" t="n">
        <v>5246.88757894737</v>
      </c>
      <c r="H1021" s="8" t="str">
        <f aca="false">IF(COUNTIF($J$1:$J$2,$A1021)&gt;0,"Y","N")</f>
        <v>N</v>
      </c>
    </row>
    <row r="1022" customFormat="false" ht="15" hidden="false" customHeight="true" outlineLevel="0" collapsed="false">
      <c r="A1022" s="8" t="s">
        <v>1764</v>
      </c>
      <c r="B1022" s="8" t="n">
        <v>4408230</v>
      </c>
      <c r="C1022" s="8" t="s">
        <v>1325</v>
      </c>
      <c r="D1022" s="19" t="n">
        <v>4</v>
      </c>
      <c r="E1022" s="19" t="n">
        <v>396.487</v>
      </c>
      <c r="F1022" s="19" t="n">
        <v>12.6315789473684</v>
      </c>
      <c r="G1022" s="19" t="n">
        <v>1252.12168421053</v>
      </c>
      <c r="H1022" s="8" t="str">
        <f aca="false">IF(COUNTIF($J$1:$J$2,$A1022)&gt;0,"Y","N")</f>
        <v>N</v>
      </c>
    </row>
    <row r="1023" customFormat="false" ht="15" hidden="false" customHeight="true" outlineLevel="0" collapsed="false">
      <c r="A1023" s="8" t="s">
        <v>1764</v>
      </c>
      <c r="B1023" s="8" t="n">
        <v>4408231</v>
      </c>
      <c r="C1023" s="8" t="s">
        <v>1326</v>
      </c>
      <c r="D1023" s="19" t="n">
        <v>3</v>
      </c>
      <c r="E1023" s="19" t="n">
        <v>297.388</v>
      </c>
      <c r="F1023" s="19" t="n">
        <v>12.6315789473684</v>
      </c>
      <c r="G1023" s="19" t="n">
        <v>1252.12168421053</v>
      </c>
      <c r="H1023" s="8" t="str">
        <f aca="false">IF(COUNTIF($J$1:$J$2,$A1023)&gt;0,"Y","N")</f>
        <v>N</v>
      </c>
    </row>
    <row r="1024" customFormat="false" ht="15" hidden="false" customHeight="true" outlineLevel="0" collapsed="false">
      <c r="A1024" s="8" t="s">
        <v>1764</v>
      </c>
      <c r="B1024" s="8" t="n">
        <v>4408234</v>
      </c>
      <c r="C1024" s="8" t="s">
        <v>1328</v>
      </c>
      <c r="D1024" s="19" t="n">
        <v>-3</v>
      </c>
      <c r="E1024" s="19" t="n">
        <v>-270.907</v>
      </c>
      <c r="F1024" s="19" t="n">
        <v>-1.26315789473684</v>
      </c>
      <c r="G1024" s="19" t="n">
        <v>-114.027789473684</v>
      </c>
      <c r="H1024" s="8" t="str">
        <f aca="false">IF(COUNTIF($J$1:$J$2,$A1024)&gt;0,"Y","N")</f>
        <v>N</v>
      </c>
    </row>
    <row r="1025" customFormat="false" ht="15" hidden="false" customHeight="true" outlineLevel="0" collapsed="false">
      <c r="A1025" s="8" t="s">
        <v>1764</v>
      </c>
      <c r="B1025" s="8" t="n">
        <v>4408235</v>
      </c>
      <c r="C1025" s="8" t="s">
        <v>1329</v>
      </c>
      <c r="D1025" s="19" t="n">
        <v>-1</v>
      </c>
      <c r="E1025" s="19" t="n">
        <v>-90.272</v>
      </c>
      <c r="F1025" s="19" t="n">
        <v>-3.78947368421053</v>
      </c>
      <c r="G1025" s="19" t="n">
        <v>-342.198315789474</v>
      </c>
      <c r="H1025" s="8" t="str">
        <f aca="false">IF(COUNTIF($J$1:$J$2,$A1025)&gt;0,"Y","N")</f>
        <v>N</v>
      </c>
    </row>
    <row r="1026" customFormat="false" ht="15" hidden="false" customHeight="true" outlineLevel="0" collapsed="false">
      <c r="A1026" s="8" t="s">
        <v>1764</v>
      </c>
      <c r="B1026" s="8" t="n">
        <v>4408236</v>
      </c>
      <c r="C1026" s="8" t="s">
        <v>1773</v>
      </c>
      <c r="D1026" s="19" t="n">
        <v>-1</v>
      </c>
      <c r="E1026" s="19" t="n">
        <v>-90.272</v>
      </c>
      <c r="F1026" s="19" t="n">
        <v>-1.26315789473684</v>
      </c>
      <c r="G1026" s="19" t="n">
        <v>-114.027789473684</v>
      </c>
      <c r="H1026" s="8" t="str">
        <f aca="false">IF(COUNTIF($J$1:$J$2,$A1026)&gt;0,"Y","N")</f>
        <v>N</v>
      </c>
    </row>
    <row r="1027" customFormat="false" ht="15" hidden="false" customHeight="true" outlineLevel="0" collapsed="false">
      <c r="A1027" s="8" t="s">
        <v>1764</v>
      </c>
      <c r="B1027" s="8" t="n">
        <v>4408247</v>
      </c>
      <c r="C1027" s="8" t="s">
        <v>1331</v>
      </c>
      <c r="D1027" s="19" t="n">
        <v>1</v>
      </c>
      <c r="E1027" s="19" t="n">
        <v>64.155</v>
      </c>
      <c r="F1027" s="19" t="n">
        <v>2.52631578947368</v>
      </c>
      <c r="G1027" s="19" t="n">
        <v>162.190736842105</v>
      </c>
      <c r="H1027" s="8" t="str">
        <f aca="false">IF(COUNTIF($J$1:$J$2,$A1027)&gt;0,"Y","N")</f>
        <v>N</v>
      </c>
    </row>
    <row r="1028" customFormat="false" ht="15" hidden="false" customHeight="true" outlineLevel="0" collapsed="false">
      <c r="A1028" s="8" t="s">
        <v>1764</v>
      </c>
      <c r="B1028" s="8" t="n">
        <v>4408248</v>
      </c>
      <c r="C1028" s="8" t="s">
        <v>1332</v>
      </c>
      <c r="D1028" s="19" t="n">
        <v>3</v>
      </c>
      <c r="E1028" s="19" t="n">
        <v>179.361</v>
      </c>
      <c r="F1028" s="19" t="n">
        <v>12.6315789473684</v>
      </c>
      <c r="G1028" s="19" t="n">
        <v>856.242947368421</v>
      </c>
      <c r="H1028" s="8" t="str">
        <f aca="false">IF(COUNTIF($J$1:$J$2,$A1028)&gt;0,"Y","N")</f>
        <v>N</v>
      </c>
    </row>
    <row r="1029" customFormat="false" ht="15" hidden="false" customHeight="true" outlineLevel="0" collapsed="false">
      <c r="A1029" s="8" t="s">
        <v>1764</v>
      </c>
      <c r="B1029" s="8" t="n">
        <v>4408249</v>
      </c>
      <c r="C1029" s="8" t="s">
        <v>1333</v>
      </c>
      <c r="D1029" s="19" t="n">
        <v>1</v>
      </c>
      <c r="E1029" s="19" t="n">
        <v>-28.028</v>
      </c>
      <c r="F1029" s="19" t="n">
        <v>10.1052631578947</v>
      </c>
      <c r="G1029" s="19" t="n">
        <v>684.971368421053</v>
      </c>
      <c r="H1029" s="8" t="str">
        <f aca="false">IF(COUNTIF($J$1:$J$2,$A1029)&gt;0,"Y","N")</f>
        <v>N</v>
      </c>
    </row>
    <row r="1030" customFormat="false" ht="15" hidden="false" customHeight="true" outlineLevel="0" collapsed="false">
      <c r="A1030" s="8" t="s">
        <v>1764</v>
      </c>
      <c r="B1030" s="8" t="n">
        <v>4408250</v>
      </c>
      <c r="C1030" s="8" t="s">
        <v>1334</v>
      </c>
      <c r="D1030" s="19" t="n">
        <v>0</v>
      </c>
      <c r="E1030" s="19" t="n">
        <v>-47.866</v>
      </c>
      <c r="F1030" s="19" t="n">
        <v>5.05263157894737</v>
      </c>
      <c r="G1030" s="19" t="n">
        <v>342.543157894737</v>
      </c>
      <c r="H1030" s="8" t="str">
        <f aca="false">IF(COUNTIF($J$1:$J$2,$A1030)&gt;0,"Y","N")</f>
        <v>N</v>
      </c>
    </row>
    <row r="1031" customFormat="false" ht="15" hidden="false" customHeight="true" outlineLevel="0" collapsed="false">
      <c r="A1031" s="8" t="s">
        <v>1764</v>
      </c>
      <c r="B1031" s="8" t="n">
        <v>4408252</v>
      </c>
      <c r="C1031" s="8" t="s">
        <v>1774</v>
      </c>
      <c r="D1031" s="19" t="n">
        <v>0</v>
      </c>
      <c r="E1031" s="19" t="n">
        <v>0</v>
      </c>
      <c r="F1031" s="19" t="n">
        <v>-1.26315789473684</v>
      </c>
      <c r="G1031" s="19" t="n">
        <v>-139.661052631579</v>
      </c>
      <c r="H1031" s="8" t="str">
        <f aca="false">IF(COUNTIF($J$1:$J$2,$A1031)&gt;0,"Y","N")</f>
        <v>N</v>
      </c>
    </row>
    <row r="1032" customFormat="false" ht="15" hidden="false" customHeight="true" outlineLevel="0" collapsed="false">
      <c r="A1032" s="8" t="s">
        <v>1764</v>
      </c>
      <c r="B1032" s="8" t="n">
        <v>4409000</v>
      </c>
      <c r="C1032" s="8" t="s">
        <v>1345</v>
      </c>
      <c r="D1032" s="19" t="n">
        <v>247</v>
      </c>
      <c r="E1032" s="19" t="n">
        <v>2957.5</v>
      </c>
      <c r="F1032" s="19" t="n">
        <v>127.578947368421</v>
      </c>
      <c r="G1032" s="19" t="n">
        <v>1526.73094736842</v>
      </c>
      <c r="H1032" s="8" t="str">
        <f aca="false">IF(COUNTIF($J$1:$J$2,$A1032)&gt;0,"Y","N")</f>
        <v>N</v>
      </c>
    </row>
    <row r="1033" customFormat="false" ht="15" hidden="false" customHeight="true" outlineLevel="0" collapsed="false">
      <c r="A1033" s="8" t="s">
        <v>1764</v>
      </c>
      <c r="B1033" s="8" t="n">
        <v>4409001</v>
      </c>
      <c r="C1033" s="8" t="s">
        <v>1346</v>
      </c>
      <c r="D1033" s="19" t="n">
        <v>112</v>
      </c>
      <c r="E1033" s="19" t="n">
        <v>1141.504</v>
      </c>
      <c r="F1033" s="19" t="n">
        <v>94.7368421052632</v>
      </c>
      <c r="G1033" s="19" t="n">
        <v>965.557894736842</v>
      </c>
      <c r="H1033" s="8" t="str">
        <f aca="false">IF(COUNTIF($J$1:$J$2,$A1033)&gt;0,"Y","N")</f>
        <v>N</v>
      </c>
    </row>
    <row r="1034" customFormat="false" ht="15" hidden="false" customHeight="true" outlineLevel="0" collapsed="false">
      <c r="A1034" s="8" t="s">
        <v>1764</v>
      </c>
      <c r="B1034" s="8" t="n">
        <v>4409002</v>
      </c>
      <c r="C1034" s="8" t="s">
        <v>1347</v>
      </c>
      <c r="D1034" s="19" t="n">
        <v>-15</v>
      </c>
      <c r="E1034" s="19" t="n">
        <v>-462.189</v>
      </c>
      <c r="F1034" s="19" t="n">
        <v>-7.57894736842105</v>
      </c>
      <c r="G1034" s="19" t="n">
        <v>-220.239157894737</v>
      </c>
      <c r="H1034" s="8" t="str">
        <f aca="false">IF(COUNTIF($J$1:$J$2,$A1034)&gt;0,"Y","N")</f>
        <v>N</v>
      </c>
    </row>
    <row r="1035" customFormat="false" ht="15" hidden="false" customHeight="true" outlineLevel="0" collapsed="false">
      <c r="A1035" s="8" t="s">
        <v>1764</v>
      </c>
      <c r="B1035" s="8" t="n">
        <v>4409003</v>
      </c>
      <c r="C1035" s="8" t="s">
        <v>1775</v>
      </c>
      <c r="D1035" s="19" t="n">
        <v>-1</v>
      </c>
      <c r="E1035" s="19" t="n">
        <v>-18.928</v>
      </c>
      <c r="F1035" s="19" t="n">
        <v>0</v>
      </c>
      <c r="G1035" s="19" t="n">
        <v>0</v>
      </c>
      <c r="H1035" s="8" t="str">
        <f aca="false">IF(COUNTIF($J$1:$J$2,$A1035)&gt;0,"Y","N")</f>
        <v>N</v>
      </c>
    </row>
    <row r="1036" customFormat="false" ht="15" hidden="false" customHeight="true" outlineLevel="0" collapsed="false">
      <c r="A1036" s="8" t="s">
        <v>1764</v>
      </c>
      <c r="B1036" s="8" t="n">
        <v>4409004</v>
      </c>
      <c r="C1036" s="8" t="s">
        <v>1348</v>
      </c>
      <c r="D1036" s="19" t="n">
        <v>1341</v>
      </c>
      <c r="E1036" s="19" t="n">
        <v>21350.329</v>
      </c>
      <c r="F1036" s="19" t="n">
        <v>928.421052631579</v>
      </c>
      <c r="G1036" s="19" t="n">
        <v>14543.3709473684</v>
      </c>
      <c r="H1036" s="8" t="str">
        <f aca="false">IF(COUNTIF($J$1:$J$2,$A1036)&gt;0,"Y","N")</f>
        <v>N</v>
      </c>
    </row>
    <row r="1037" customFormat="false" ht="15" hidden="false" customHeight="true" outlineLevel="0" collapsed="false">
      <c r="A1037" s="8" t="s">
        <v>1764</v>
      </c>
      <c r="B1037" s="8" t="n">
        <v>4409011</v>
      </c>
      <c r="C1037" s="8" t="s">
        <v>1350</v>
      </c>
      <c r="D1037" s="19" t="n">
        <v>218</v>
      </c>
      <c r="E1037" s="19" t="n">
        <v>3055.052</v>
      </c>
      <c r="F1037" s="19" t="n">
        <v>238.736842105263</v>
      </c>
      <c r="G1037" s="19" t="n">
        <v>3345.65810526316</v>
      </c>
      <c r="H1037" s="8" t="str">
        <f aca="false">IF(COUNTIF($J$1:$J$2,$A1037)&gt;0,"Y","N")</f>
        <v>N</v>
      </c>
    </row>
    <row r="1038" customFormat="false" ht="15" hidden="false" customHeight="true" outlineLevel="0" collapsed="false">
      <c r="A1038" s="8" t="s">
        <v>1764</v>
      </c>
      <c r="B1038" s="8" t="n">
        <v>4409013</v>
      </c>
      <c r="C1038" s="8" t="s">
        <v>1352</v>
      </c>
      <c r="D1038" s="19" t="n">
        <v>282</v>
      </c>
      <c r="E1038" s="19" t="n">
        <v>3951.948</v>
      </c>
      <c r="F1038" s="19" t="n">
        <v>212.210526315789</v>
      </c>
      <c r="G1038" s="19" t="n">
        <v>2973.91831578947</v>
      </c>
      <c r="H1038" s="8" t="str">
        <f aca="false">IF(COUNTIF($J$1:$J$2,$A1038)&gt;0,"Y","N")</f>
        <v>N</v>
      </c>
    </row>
    <row r="1039" customFormat="false" ht="15" hidden="false" customHeight="true" outlineLevel="0" collapsed="false">
      <c r="A1039" s="8" t="s">
        <v>1764</v>
      </c>
      <c r="B1039" s="8" t="n">
        <v>4409014</v>
      </c>
      <c r="C1039" s="8" t="s">
        <v>1353</v>
      </c>
      <c r="D1039" s="19" t="n">
        <v>256</v>
      </c>
      <c r="E1039" s="19" t="n">
        <v>10268.804</v>
      </c>
      <c r="F1039" s="19" t="n">
        <v>218.526315789474</v>
      </c>
      <c r="G1039" s="19" t="n">
        <v>8765.65642105263</v>
      </c>
      <c r="H1039" s="8" t="str">
        <f aca="false">IF(COUNTIF($J$1:$J$2,$A1039)&gt;0,"Y","N")</f>
        <v>N</v>
      </c>
    </row>
    <row r="1040" customFormat="false" ht="15" hidden="false" customHeight="true" outlineLevel="0" collapsed="false">
      <c r="A1040" s="8" t="s">
        <v>1764</v>
      </c>
      <c r="B1040" s="8" t="n">
        <v>4409016</v>
      </c>
      <c r="C1040" s="8" t="s">
        <v>1355</v>
      </c>
      <c r="D1040" s="19" t="n">
        <v>-1</v>
      </c>
      <c r="E1040" s="19" t="n">
        <v>-57.421</v>
      </c>
      <c r="F1040" s="19" t="n">
        <v>0</v>
      </c>
      <c r="G1040" s="19" t="n">
        <v>0</v>
      </c>
      <c r="H1040" s="8" t="str">
        <f aca="false">IF(COUNTIF($J$1:$J$2,$A1040)&gt;0,"Y","N")</f>
        <v>N</v>
      </c>
    </row>
    <row r="1041" customFormat="false" ht="15" hidden="false" customHeight="true" outlineLevel="0" collapsed="false">
      <c r="A1041" s="8" t="s">
        <v>1764</v>
      </c>
      <c r="B1041" s="8" t="n">
        <v>4409017</v>
      </c>
      <c r="C1041" s="8" t="s">
        <v>1356</v>
      </c>
      <c r="D1041" s="19" t="n">
        <v>0</v>
      </c>
      <c r="E1041" s="19" t="n">
        <v>0</v>
      </c>
      <c r="F1041" s="19" t="n">
        <v>-1.26315789473684</v>
      </c>
      <c r="G1041" s="19" t="n">
        <v>-50.6917894736842</v>
      </c>
      <c r="H1041" s="8" t="str">
        <f aca="false">IF(COUNTIF($J$1:$J$2,$A1041)&gt;0,"Y","N")</f>
        <v>N</v>
      </c>
    </row>
    <row r="1042" customFormat="false" ht="15" hidden="false" customHeight="true" outlineLevel="0" collapsed="false">
      <c r="A1042" s="8" t="s">
        <v>1764</v>
      </c>
      <c r="B1042" s="8" t="n">
        <v>4411000</v>
      </c>
      <c r="C1042" s="8" t="s">
        <v>1357</v>
      </c>
      <c r="D1042" s="19" t="n">
        <v>155</v>
      </c>
      <c r="E1042" s="19" t="n">
        <v>3530.527</v>
      </c>
      <c r="F1042" s="19" t="n">
        <v>132.631578947368</v>
      </c>
      <c r="G1042" s="19" t="n">
        <v>3021.16168421053</v>
      </c>
      <c r="H1042" s="8" t="str">
        <f aca="false">IF(COUNTIF($J$1:$J$2,$A1042)&gt;0,"Y","N")</f>
        <v>N</v>
      </c>
    </row>
    <row r="1043" customFormat="false" ht="15" hidden="false" customHeight="true" outlineLevel="0" collapsed="false">
      <c r="A1043" s="8" t="s">
        <v>1764</v>
      </c>
      <c r="B1043" s="8" t="n">
        <v>4411001</v>
      </c>
      <c r="C1043" s="8" t="s">
        <v>1358</v>
      </c>
      <c r="D1043" s="19" t="n">
        <v>66</v>
      </c>
      <c r="E1043" s="19" t="n">
        <v>1571.843</v>
      </c>
      <c r="F1043" s="19" t="n">
        <v>102.315789473684</v>
      </c>
      <c r="G1043" s="19" t="n">
        <v>2446.30989473684</v>
      </c>
      <c r="H1043" s="8" t="str">
        <f aca="false">IF(COUNTIF($J$1:$J$2,$A1043)&gt;0,"Y","N")</f>
        <v>N</v>
      </c>
    </row>
    <row r="1044" customFormat="false" ht="15" hidden="false" customHeight="true" outlineLevel="0" collapsed="false">
      <c r="A1044" s="8" t="s">
        <v>1764</v>
      </c>
      <c r="B1044" s="8" t="n">
        <v>4411016</v>
      </c>
      <c r="C1044" s="8" t="s">
        <v>1360</v>
      </c>
      <c r="D1044" s="19" t="n">
        <v>84</v>
      </c>
      <c r="E1044" s="19" t="n">
        <v>6652.555</v>
      </c>
      <c r="F1044" s="19" t="n">
        <v>77.0526315789474</v>
      </c>
      <c r="G1044" s="19" t="n">
        <v>6131.86736842105</v>
      </c>
      <c r="H1044" s="8" t="str">
        <f aca="false">IF(COUNTIF($J$1:$J$2,$A1044)&gt;0,"Y","N")</f>
        <v>N</v>
      </c>
    </row>
    <row r="1045" customFormat="false" ht="15" hidden="false" customHeight="true" outlineLevel="0" collapsed="false">
      <c r="A1045" s="8" t="s">
        <v>1764</v>
      </c>
      <c r="B1045" s="8" t="n">
        <v>4413000</v>
      </c>
      <c r="C1045" s="8" t="s">
        <v>1375</v>
      </c>
      <c r="D1045" s="19" t="n">
        <v>9</v>
      </c>
      <c r="E1045" s="19" t="n">
        <v>505.596</v>
      </c>
      <c r="F1045" s="19" t="n">
        <v>-3.78947368421053</v>
      </c>
      <c r="G1045" s="19" t="n">
        <v>-212.882526315789</v>
      </c>
      <c r="H1045" s="8" t="str">
        <f aca="false">IF(COUNTIF($J$1:$J$2,$A1045)&gt;0,"Y","N")</f>
        <v>N</v>
      </c>
    </row>
    <row r="1046" customFormat="false" ht="15" hidden="false" customHeight="true" outlineLevel="0" collapsed="false">
      <c r="A1046" s="8" t="s">
        <v>1764</v>
      </c>
      <c r="B1046" s="8" t="n">
        <v>4413002</v>
      </c>
      <c r="C1046" s="8" t="s">
        <v>1376</v>
      </c>
      <c r="D1046" s="19" t="n">
        <v>3</v>
      </c>
      <c r="E1046" s="19" t="n">
        <v>168.441</v>
      </c>
      <c r="F1046" s="19" t="n">
        <v>-2.52631578947368</v>
      </c>
      <c r="G1046" s="19" t="n">
        <v>-141.96</v>
      </c>
      <c r="H1046" s="8" t="str">
        <f aca="false">IF(COUNTIF($J$1:$J$2,$A1046)&gt;0,"Y","N")</f>
        <v>N</v>
      </c>
    </row>
    <row r="1047" customFormat="false" ht="15" hidden="false" customHeight="true" outlineLevel="0" collapsed="false">
      <c r="A1047" s="8" t="s">
        <v>1764</v>
      </c>
      <c r="B1047" s="8" t="n">
        <v>4413003</v>
      </c>
      <c r="C1047" s="8" t="s">
        <v>1377</v>
      </c>
      <c r="D1047" s="19" t="n">
        <v>15</v>
      </c>
      <c r="E1047" s="19" t="n">
        <v>746.382</v>
      </c>
      <c r="F1047" s="19" t="n">
        <v>-2.52631578947368</v>
      </c>
      <c r="G1047" s="19" t="n">
        <v>-141.96</v>
      </c>
      <c r="H1047" s="8" t="str">
        <f aca="false">IF(COUNTIF($J$1:$J$2,$A1047)&gt;0,"Y","N")</f>
        <v>N</v>
      </c>
    </row>
    <row r="1048" customFormat="false" ht="15" hidden="false" customHeight="true" outlineLevel="0" collapsed="false">
      <c r="A1048" s="8" t="s">
        <v>1764</v>
      </c>
      <c r="B1048" s="8" t="n">
        <v>4413004</v>
      </c>
      <c r="C1048" s="8" t="s">
        <v>1378</v>
      </c>
      <c r="D1048" s="19" t="n">
        <v>11</v>
      </c>
      <c r="E1048" s="19" t="n">
        <v>621.894</v>
      </c>
      <c r="F1048" s="19" t="n">
        <v>-1.26315789473684</v>
      </c>
      <c r="G1048" s="19" t="n">
        <v>-70.9225263157895</v>
      </c>
      <c r="H1048" s="8" t="str">
        <f aca="false">IF(COUNTIF($J$1:$J$2,$A1048)&gt;0,"Y","N")</f>
        <v>N</v>
      </c>
    </row>
    <row r="1049" customFormat="false" ht="15" hidden="false" customHeight="true" outlineLevel="0" collapsed="false">
      <c r="A1049" s="8" t="s">
        <v>1764</v>
      </c>
      <c r="B1049" s="8" t="n">
        <v>4413005</v>
      </c>
      <c r="C1049" s="8" t="s">
        <v>1379</v>
      </c>
      <c r="D1049" s="19" t="n">
        <v>1</v>
      </c>
      <c r="E1049" s="19" t="n">
        <v>56.238</v>
      </c>
      <c r="F1049" s="19" t="n">
        <v>-1.26315789473684</v>
      </c>
      <c r="G1049" s="19" t="n">
        <v>-70.9225263157895</v>
      </c>
      <c r="H1049" s="8" t="str">
        <f aca="false">IF(COUNTIF($J$1:$J$2,$A1049)&gt;0,"Y","N")</f>
        <v>N</v>
      </c>
    </row>
    <row r="1050" customFormat="false" ht="15" hidden="false" customHeight="true" outlineLevel="0" collapsed="false">
      <c r="A1050" s="8" t="s">
        <v>1764</v>
      </c>
      <c r="B1050" s="8" t="n">
        <v>4413008</v>
      </c>
      <c r="C1050" s="8" t="s">
        <v>1776</v>
      </c>
      <c r="D1050" s="19" t="n">
        <v>-2</v>
      </c>
      <c r="E1050" s="19" t="n">
        <v>-176.085</v>
      </c>
      <c r="F1050" s="19" t="n">
        <v>-1.26315789473684</v>
      </c>
      <c r="G1050" s="19" t="n">
        <v>-111.154105263158</v>
      </c>
      <c r="H1050" s="8" t="str">
        <f aca="false">IF(COUNTIF($J$1:$J$2,$A1050)&gt;0,"Y","N")</f>
        <v>N</v>
      </c>
    </row>
    <row r="1051" customFormat="false" ht="15" hidden="false" customHeight="true" outlineLevel="0" collapsed="false">
      <c r="A1051" s="8" t="s">
        <v>1764</v>
      </c>
      <c r="B1051" s="8" t="n">
        <v>4413009</v>
      </c>
      <c r="C1051" s="8" t="s">
        <v>1777</v>
      </c>
      <c r="D1051" s="19" t="n">
        <v>-2</v>
      </c>
      <c r="E1051" s="19" t="n">
        <v>-176.085</v>
      </c>
      <c r="F1051" s="19" t="n">
        <v>0</v>
      </c>
      <c r="G1051" s="19" t="n">
        <v>0</v>
      </c>
      <c r="H1051" s="8" t="str">
        <f aca="false">IF(COUNTIF($J$1:$J$2,$A1051)&gt;0,"Y","N")</f>
        <v>N</v>
      </c>
    </row>
    <row r="1052" customFormat="false" ht="15" hidden="false" customHeight="true" outlineLevel="0" collapsed="false">
      <c r="A1052" s="8" t="s">
        <v>1764</v>
      </c>
      <c r="B1052" s="8" t="n">
        <v>4413018</v>
      </c>
      <c r="C1052" s="8" t="s">
        <v>1380</v>
      </c>
      <c r="D1052" s="19" t="n">
        <v>7</v>
      </c>
      <c r="E1052" s="19" t="n">
        <v>703.794</v>
      </c>
      <c r="F1052" s="19" t="n">
        <v>0</v>
      </c>
      <c r="G1052" s="19" t="n">
        <v>0</v>
      </c>
      <c r="H1052" s="8" t="str">
        <f aca="false">IF(COUNTIF($J$1:$J$2,$A1052)&gt;0,"Y","N")</f>
        <v>N</v>
      </c>
    </row>
    <row r="1053" customFormat="false" ht="15" hidden="false" customHeight="true" outlineLevel="0" collapsed="false">
      <c r="A1053" s="8" t="s">
        <v>1764</v>
      </c>
      <c r="B1053" s="8" t="n">
        <v>4413019</v>
      </c>
      <c r="C1053" s="8" t="s">
        <v>1381</v>
      </c>
      <c r="D1053" s="19" t="n">
        <v>6</v>
      </c>
      <c r="E1053" s="19" t="n">
        <v>603.239</v>
      </c>
      <c r="F1053" s="19" t="n">
        <v>0</v>
      </c>
      <c r="G1053" s="19" t="n">
        <v>0</v>
      </c>
      <c r="H1053" s="8" t="str">
        <f aca="false">IF(COUNTIF($J$1:$J$2,$A1053)&gt;0,"Y","N")</f>
        <v>N</v>
      </c>
    </row>
    <row r="1054" customFormat="false" ht="15" hidden="false" customHeight="true" outlineLevel="0" collapsed="false">
      <c r="A1054" s="8" t="s">
        <v>1764</v>
      </c>
      <c r="B1054" s="8" t="n">
        <v>4413020</v>
      </c>
      <c r="C1054" s="8" t="s">
        <v>1382</v>
      </c>
      <c r="D1054" s="19" t="n">
        <v>3</v>
      </c>
      <c r="E1054" s="19" t="n">
        <v>301.665</v>
      </c>
      <c r="F1054" s="19" t="n">
        <v>1.26315789473684</v>
      </c>
      <c r="G1054" s="19" t="n">
        <v>127.016842105263</v>
      </c>
      <c r="H1054" s="8" t="str">
        <f aca="false">IF(COUNTIF($J$1:$J$2,$A1054)&gt;0,"Y","N")</f>
        <v>N</v>
      </c>
    </row>
    <row r="1055" customFormat="false" ht="15" hidden="false" customHeight="true" outlineLevel="0" collapsed="false">
      <c r="A1055" s="8" t="s">
        <v>1764</v>
      </c>
      <c r="B1055" s="8" t="n">
        <v>4413021</v>
      </c>
      <c r="C1055" s="8" t="s">
        <v>1383</v>
      </c>
      <c r="D1055" s="19" t="n">
        <v>1</v>
      </c>
      <c r="E1055" s="19" t="n">
        <v>100.555</v>
      </c>
      <c r="F1055" s="19" t="n">
        <v>0</v>
      </c>
      <c r="G1055" s="19" t="n">
        <v>0</v>
      </c>
      <c r="H1055" s="8" t="str">
        <f aca="false">IF(COUNTIF($J$1:$J$2,$A1055)&gt;0,"Y","N")</f>
        <v>N</v>
      </c>
    </row>
    <row r="1056" customFormat="false" ht="15" hidden="false" customHeight="true" outlineLevel="0" collapsed="false">
      <c r="A1056" s="8" t="s">
        <v>1764</v>
      </c>
      <c r="B1056" s="8" t="n">
        <v>4413033</v>
      </c>
      <c r="C1056" s="8" t="s">
        <v>1385</v>
      </c>
      <c r="D1056" s="19" t="n">
        <v>562</v>
      </c>
      <c r="E1056" s="19" t="n">
        <v>6822.634</v>
      </c>
      <c r="F1056" s="19" t="n">
        <v>464.842105263158</v>
      </c>
      <c r="G1056" s="19" t="n">
        <v>5642.99621052632</v>
      </c>
      <c r="H1056" s="8" t="str">
        <f aca="false">IF(COUNTIF($J$1:$J$2,$A1056)&gt;0,"Y","N")</f>
        <v>N</v>
      </c>
    </row>
    <row r="1057" customFormat="false" ht="15" hidden="false" customHeight="true" outlineLevel="0" collapsed="false">
      <c r="A1057" s="8" t="s">
        <v>1764</v>
      </c>
      <c r="B1057" s="8" t="n">
        <v>4413034</v>
      </c>
      <c r="C1057" s="8" t="s">
        <v>67</v>
      </c>
      <c r="D1057" s="19" t="n">
        <v>45</v>
      </c>
      <c r="E1057" s="19" t="n">
        <v>873.964</v>
      </c>
      <c r="F1057" s="19" t="n">
        <v>48</v>
      </c>
      <c r="G1057" s="19" t="n">
        <v>913.831578947369</v>
      </c>
      <c r="H1057" s="8" t="str">
        <f aca="false">IF(COUNTIF($J$1:$J$2,$A1057)&gt;0,"Y","N")</f>
        <v>N</v>
      </c>
    </row>
    <row r="1058" customFormat="false" ht="15" hidden="false" customHeight="true" outlineLevel="0" collapsed="false">
      <c r="A1058" s="8" t="s">
        <v>1764</v>
      </c>
      <c r="B1058" s="8" t="n">
        <v>4413041</v>
      </c>
      <c r="C1058" s="8" t="s">
        <v>1386</v>
      </c>
      <c r="D1058" s="19" t="n">
        <v>201</v>
      </c>
      <c r="E1058" s="19" t="n">
        <v>7407.855</v>
      </c>
      <c r="F1058" s="19" t="n">
        <v>133.894736842105</v>
      </c>
      <c r="G1058" s="19" t="n">
        <v>4934.69052631579</v>
      </c>
      <c r="H1058" s="8" t="str">
        <f aca="false">IF(COUNTIF($J$1:$J$2,$A1058)&gt;0,"Y","N")</f>
        <v>N</v>
      </c>
    </row>
    <row r="1059" customFormat="false" ht="15" hidden="false" customHeight="true" outlineLevel="0" collapsed="false">
      <c r="A1059" s="8" t="s">
        <v>1764</v>
      </c>
      <c r="B1059" s="8" t="n">
        <v>4413042</v>
      </c>
      <c r="C1059" s="8" t="s">
        <v>1387</v>
      </c>
      <c r="D1059" s="19" t="n">
        <v>119</v>
      </c>
      <c r="E1059" s="19" t="n">
        <v>4385.745</v>
      </c>
      <c r="F1059" s="19" t="n">
        <v>89.6842105263158</v>
      </c>
      <c r="G1059" s="19" t="n">
        <v>3308.64505263158</v>
      </c>
      <c r="H1059" s="8" t="str">
        <f aca="false">IF(COUNTIF($J$1:$J$2,$A1059)&gt;0,"Y","N")</f>
        <v>N</v>
      </c>
    </row>
    <row r="1060" customFormat="false" ht="15" hidden="false" customHeight="true" outlineLevel="0" collapsed="false">
      <c r="A1060" s="8" t="s">
        <v>1764</v>
      </c>
      <c r="B1060" s="8" t="n">
        <v>4413043</v>
      </c>
      <c r="C1060" s="8" t="s">
        <v>1388</v>
      </c>
      <c r="D1060" s="19" t="n">
        <v>188</v>
      </c>
      <c r="E1060" s="19" t="n">
        <v>6936.657</v>
      </c>
      <c r="F1060" s="19" t="n">
        <v>147.789473684211</v>
      </c>
      <c r="G1060" s="19" t="n">
        <v>5466.66694736842</v>
      </c>
      <c r="H1060" s="8" t="str">
        <f aca="false">IF(COUNTIF($J$1:$J$2,$A1060)&gt;0,"Y","N")</f>
        <v>N</v>
      </c>
    </row>
    <row r="1061" customFormat="false" ht="15" hidden="false" customHeight="true" outlineLevel="0" collapsed="false">
      <c r="A1061" s="8" t="s">
        <v>1764</v>
      </c>
      <c r="B1061" s="8" t="n">
        <v>4413044</v>
      </c>
      <c r="C1061" s="8" t="s">
        <v>1389</v>
      </c>
      <c r="D1061" s="19" t="n">
        <v>122</v>
      </c>
      <c r="E1061" s="19" t="n">
        <v>4498.949</v>
      </c>
      <c r="F1061" s="19" t="n">
        <v>79.5789473684211</v>
      </c>
      <c r="G1061" s="19" t="n">
        <v>2946.10105263158</v>
      </c>
      <c r="H1061" s="8" t="str">
        <f aca="false">IF(COUNTIF($J$1:$J$2,$A1061)&gt;0,"Y","N")</f>
        <v>N</v>
      </c>
    </row>
    <row r="1062" customFormat="false" ht="15" hidden="false" customHeight="true" outlineLevel="0" collapsed="false">
      <c r="A1062" s="8" t="s">
        <v>1764</v>
      </c>
      <c r="B1062" s="8" t="n">
        <v>4413046</v>
      </c>
      <c r="C1062" s="8" t="s">
        <v>1391</v>
      </c>
      <c r="D1062" s="19" t="n">
        <v>59</v>
      </c>
      <c r="E1062" s="19" t="n">
        <v>2174.445</v>
      </c>
      <c r="F1062" s="19" t="n">
        <v>58.1052631578947</v>
      </c>
      <c r="G1062" s="19" t="n">
        <v>2141.46947368421</v>
      </c>
      <c r="H1062" s="8" t="str">
        <f aca="false">IF(COUNTIF($J$1:$J$2,$A1062)&gt;0,"Y","N")</f>
        <v>N</v>
      </c>
    </row>
    <row r="1063" customFormat="false" ht="15" hidden="false" customHeight="true" outlineLevel="0" collapsed="false">
      <c r="A1063" s="8" t="s">
        <v>1764</v>
      </c>
      <c r="B1063" s="8" t="n">
        <v>4413047</v>
      </c>
      <c r="C1063" s="8" t="s">
        <v>1392</v>
      </c>
      <c r="D1063" s="19" t="n">
        <v>164</v>
      </c>
      <c r="E1063" s="19" t="n">
        <v>4144.686</v>
      </c>
      <c r="F1063" s="19" t="n">
        <v>114.947368421053</v>
      </c>
      <c r="G1063" s="19" t="n">
        <v>2908.39831578947</v>
      </c>
      <c r="H1063" s="8" t="str">
        <f aca="false">IF(COUNTIF($J$1:$J$2,$A1063)&gt;0,"Y","N")</f>
        <v>N</v>
      </c>
    </row>
    <row r="1064" customFormat="false" ht="15" hidden="false" customHeight="true" outlineLevel="0" collapsed="false">
      <c r="A1064" s="8" t="s">
        <v>1764</v>
      </c>
      <c r="B1064" s="8" t="n">
        <v>4413048</v>
      </c>
      <c r="C1064" s="8" t="s">
        <v>1393</v>
      </c>
      <c r="D1064" s="19" t="n">
        <v>261</v>
      </c>
      <c r="E1064" s="19" t="n">
        <v>6604.052</v>
      </c>
      <c r="F1064" s="19" t="n">
        <v>205.894736842105</v>
      </c>
      <c r="G1064" s="19" t="n">
        <v>5203.32252631579</v>
      </c>
      <c r="H1064" s="8" t="str">
        <f aca="false">IF(COUNTIF($J$1:$J$2,$A1064)&gt;0,"Y","N")</f>
        <v>N</v>
      </c>
    </row>
    <row r="1065" customFormat="false" ht="15" hidden="false" customHeight="true" outlineLevel="0" collapsed="false">
      <c r="A1065" s="8" t="s">
        <v>1764</v>
      </c>
      <c r="B1065" s="8" t="n">
        <v>4413049</v>
      </c>
      <c r="C1065" s="8" t="s">
        <v>1394</v>
      </c>
      <c r="D1065" s="19" t="n">
        <v>251</v>
      </c>
      <c r="E1065" s="19" t="n">
        <v>6342.427</v>
      </c>
      <c r="F1065" s="19" t="n">
        <v>183.157894736842</v>
      </c>
      <c r="G1065" s="19" t="n">
        <v>4633.64336842105</v>
      </c>
      <c r="H1065" s="8" t="str">
        <f aca="false">IF(COUNTIF($J$1:$J$2,$A1065)&gt;0,"Y","N")</f>
        <v>N</v>
      </c>
    </row>
    <row r="1066" customFormat="false" ht="15" hidden="false" customHeight="true" outlineLevel="0" collapsed="false">
      <c r="A1066" s="8" t="s">
        <v>1764</v>
      </c>
      <c r="B1066" s="8" t="n">
        <v>4413050</v>
      </c>
      <c r="C1066" s="8" t="s">
        <v>1395</v>
      </c>
      <c r="D1066" s="19" t="n">
        <v>147</v>
      </c>
      <c r="E1066" s="19" t="n">
        <v>3718.806</v>
      </c>
      <c r="F1066" s="19" t="n">
        <v>149.052631578947</v>
      </c>
      <c r="G1066" s="19" t="n">
        <v>3767.51494736842</v>
      </c>
      <c r="H1066" s="8" t="str">
        <f aca="false">IF(COUNTIF($J$1:$J$2,$A1066)&gt;0,"Y","N")</f>
        <v>N</v>
      </c>
    </row>
    <row r="1067" customFormat="false" ht="15" hidden="false" customHeight="true" outlineLevel="0" collapsed="false">
      <c r="A1067" s="8" t="s">
        <v>1764</v>
      </c>
      <c r="B1067" s="8" t="n">
        <v>4413051</v>
      </c>
      <c r="C1067" s="8" t="s">
        <v>1396</v>
      </c>
      <c r="D1067" s="19" t="n">
        <v>77</v>
      </c>
      <c r="E1067" s="19" t="n">
        <v>1945.125</v>
      </c>
      <c r="F1067" s="19" t="n">
        <v>98.5263157894737</v>
      </c>
      <c r="G1067" s="19" t="n">
        <v>2488.84042105263</v>
      </c>
      <c r="H1067" s="8" t="str">
        <f aca="false">IF(COUNTIF($J$1:$J$2,$A1067)&gt;0,"Y","N")</f>
        <v>N</v>
      </c>
    </row>
    <row r="1068" customFormat="false" ht="15" hidden="false" customHeight="true" outlineLevel="0" collapsed="false">
      <c r="A1068" s="8" t="s">
        <v>1764</v>
      </c>
      <c r="B1068" s="8" t="n">
        <v>4413052</v>
      </c>
      <c r="C1068" s="8" t="s">
        <v>1397</v>
      </c>
      <c r="D1068" s="19" t="n">
        <v>180</v>
      </c>
      <c r="E1068" s="19" t="n">
        <v>4554.277</v>
      </c>
      <c r="F1068" s="19" t="n">
        <v>147.789473684211</v>
      </c>
      <c r="G1068" s="19" t="n">
        <v>3737.97347368421</v>
      </c>
      <c r="H1068" s="8" t="str">
        <f aca="false">IF(COUNTIF($J$1:$J$2,$A1068)&gt;0,"Y","N")</f>
        <v>N</v>
      </c>
    </row>
    <row r="1069" customFormat="false" ht="15" hidden="false" customHeight="true" outlineLevel="0" collapsed="false">
      <c r="A1069" s="8" t="s">
        <v>1764</v>
      </c>
      <c r="B1069" s="8" t="n">
        <v>4413053</v>
      </c>
      <c r="C1069" s="8" t="s">
        <v>1398</v>
      </c>
      <c r="D1069" s="19" t="n">
        <v>260</v>
      </c>
      <c r="E1069" s="19" t="n">
        <v>6573.385</v>
      </c>
      <c r="F1069" s="19" t="n">
        <v>260.21052631579</v>
      </c>
      <c r="G1069" s="19" t="n">
        <v>6589.24294736842</v>
      </c>
      <c r="H1069" s="8" t="str">
        <f aca="false">IF(COUNTIF($J$1:$J$2,$A1069)&gt;0,"Y","N")</f>
        <v>N</v>
      </c>
    </row>
    <row r="1070" customFormat="false" ht="15" hidden="false" customHeight="true" outlineLevel="0" collapsed="false">
      <c r="A1070" s="8" t="s">
        <v>1764</v>
      </c>
      <c r="B1070" s="8" t="n">
        <v>4413054</v>
      </c>
      <c r="C1070" s="8" t="s">
        <v>1399</v>
      </c>
      <c r="D1070" s="19" t="n">
        <v>327</v>
      </c>
      <c r="E1070" s="19" t="n">
        <v>8271.354</v>
      </c>
      <c r="F1070" s="19" t="n">
        <v>317.052631578947</v>
      </c>
      <c r="G1070" s="19" t="n">
        <v>8020.56757894737</v>
      </c>
      <c r="H1070" s="8" t="str">
        <f aca="false">IF(COUNTIF($J$1:$J$2,$A1070)&gt;0,"Y","N")</f>
        <v>N</v>
      </c>
    </row>
    <row r="1071" customFormat="false" ht="15" hidden="false" customHeight="true" outlineLevel="0" collapsed="false">
      <c r="A1071" s="8" t="s">
        <v>1764</v>
      </c>
      <c r="B1071" s="8" t="n">
        <v>4413055</v>
      </c>
      <c r="C1071" s="8" t="s">
        <v>1400</v>
      </c>
      <c r="D1071" s="19" t="n">
        <v>157</v>
      </c>
      <c r="E1071" s="19" t="n">
        <v>3975.153</v>
      </c>
      <c r="F1071" s="19" t="n">
        <v>198.315789473684</v>
      </c>
      <c r="G1071" s="19" t="n">
        <v>5016.648</v>
      </c>
      <c r="H1071" s="8" t="str">
        <f aca="false">IF(COUNTIF($J$1:$J$2,$A1071)&gt;0,"Y","N")</f>
        <v>N</v>
      </c>
    </row>
    <row r="1072" customFormat="false" ht="15" hidden="false" customHeight="true" outlineLevel="0" collapsed="false">
      <c r="A1072" s="8" t="s">
        <v>1764</v>
      </c>
      <c r="B1072" s="8" t="n">
        <v>4413056</v>
      </c>
      <c r="C1072" s="8" t="s">
        <v>1401</v>
      </c>
      <c r="D1072" s="19" t="n">
        <v>22</v>
      </c>
      <c r="E1072" s="19" t="n">
        <v>437.073</v>
      </c>
      <c r="F1072" s="19" t="n">
        <v>30.3157894736842</v>
      </c>
      <c r="G1072" s="19" t="n">
        <v>602.324210526316</v>
      </c>
      <c r="H1072" s="8" t="str">
        <f aca="false">IF(COUNTIF($J$1:$J$2,$A1072)&gt;0,"Y","N")</f>
        <v>N</v>
      </c>
    </row>
    <row r="1073" customFormat="false" ht="15" hidden="false" customHeight="true" outlineLevel="0" collapsed="false">
      <c r="A1073" s="8" t="s">
        <v>1764</v>
      </c>
      <c r="B1073" s="8" t="n">
        <v>4413058</v>
      </c>
      <c r="C1073" s="8" t="s">
        <v>1402</v>
      </c>
      <c r="D1073" s="19" t="n">
        <v>84</v>
      </c>
      <c r="E1073" s="19" t="n">
        <v>2207.023</v>
      </c>
      <c r="F1073" s="19" t="n">
        <v>59.3684210526316</v>
      </c>
      <c r="G1073" s="19" t="n">
        <v>1559.95073684211</v>
      </c>
      <c r="H1073" s="8" t="str">
        <f aca="false">IF(COUNTIF($J$1:$J$2,$A1073)&gt;0,"Y","N")</f>
        <v>N</v>
      </c>
    </row>
    <row r="1074" customFormat="false" ht="15" hidden="false" customHeight="true" outlineLevel="0" collapsed="false">
      <c r="A1074" s="8" t="s">
        <v>1764</v>
      </c>
      <c r="B1074" s="8" t="n">
        <v>4413059</v>
      </c>
      <c r="C1074" s="8" t="s">
        <v>1403</v>
      </c>
      <c r="D1074" s="19" t="n">
        <v>662</v>
      </c>
      <c r="E1074" s="19" t="n">
        <v>8151.143</v>
      </c>
      <c r="F1074" s="19" t="n">
        <v>660.631578947368</v>
      </c>
      <c r="G1074" s="19" t="n">
        <v>8150.57305263158</v>
      </c>
      <c r="H1074" s="8" t="str">
        <f aca="false">IF(COUNTIF($J$1:$J$2,$A1074)&gt;0,"Y","N")</f>
        <v>N</v>
      </c>
    </row>
    <row r="1075" customFormat="false" ht="15" hidden="false" customHeight="true" outlineLevel="0" collapsed="false">
      <c r="A1075" s="8" t="s">
        <v>1764</v>
      </c>
      <c r="B1075" s="8" t="n">
        <v>4413060</v>
      </c>
      <c r="C1075" s="8" t="s">
        <v>1404</v>
      </c>
      <c r="D1075" s="19" t="n">
        <v>336</v>
      </c>
      <c r="E1075" s="19" t="n">
        <v>4139.044</v>
      </c>
      <c r="F1075" s="19" t="n">
        <v>274.105263157895</v>
      </c>
      <c r="G1075" s="19" t="n">
        <v>3383.70568421053</v>
      </c>
      <c r="H1075" s="8" t="str">
        <f aca="false">IF(COUNTIF($J$1:$J$2,$A1075)&gt;0,"Y","N")</f>
        <v>N</v>
      </c>
    </row>
    <row r="1076" customFormat="false" ht="15" hidden="false" customHeight="true" outlineLevel="0" collapsed="false">
      <c r="A1076" s="8" t="s">
        <v>1764</v>
      </c>
      <c r="B1076" s="8" t="n">
        <v>4413061</v>
      </c>
      <c r="C1076" s="8" t="s">
        <v>1405</v>
      </c>
      <c r="D1076" s="19" t="n">
        <v>150</v>
      </c>
      <c r="E1076" s="19" t="n">
        <v>2702.791</v>
      </c>
      <c r="F1076" s="19" t="n">
        <v>31.5789473684211</v>
      </c>
      <c r="G1076" s="19" t="n">
        <v>567.380210526316</v>
      </c>
      <c r="H1076" s="8" t="str">
        <f aca="false">IF(COUNTIF($J$1:$J$2,$A1076)&gt;0,"Y","N")</f>
        <v>N</v>
      </c>
    </row>
    <row r="1077" customFormat="false" ht="15" hidden="false" customHeight="true" outlineLevel="0" collapsed="false">
      <c r="A1077" s="8" t="s">
        <v>1764</v>
      </c>
      <c r="B1077" s="8" t="n">
        <v>4413063</v>
      </c>
      <c r="C1077" s="8" t="s">
        <v>1406</v>
      </c>
      <c r="D1077" s="19" t="n">
        <v>88</v>
      </c>
      <c r="E1077" s="19" t="n">
        <v>1045.681</v>
      </c>
      <c r="F1077" s="19" t="n">
        <v>84.6315789473684</v>
      </c>
      <c r="G1077" s="19" t="n">
        <v>1024.52589473684</v>
      </c>
      <c r="H1077" s="8" t="str">
        <f aca="false">IF(COUNTIF($J$1:$J$2,$A1077)&gt;0,"Y","N")</f>
        <v>N</v>
      </c>
    </row>
    <row r="1078" customFormat="false" ht="15" hidden="false" customHeight="true" outlineLevel="0" collapsed="false">
      <c r="A1078" s="8" t="s">
        <v>1764</v>
      </c>
      <c r="B1078" s="8" t="n">
        <v>4413066</v>
      </c>
      <c r="C1078" s="8" t="s">
        <v>1407</v>
      </c>
      <c r="D1078" s="19" t="n">
        <v>35</v>
      </c>
      <c r="E1078" s="19" t="n">
        <v>598.962</v>
      </c>
      <c r="F1078" s="19" t="n">
        <v>32.8421052631579</v>
      </c>
      <c r="G1078" s="19" t="n">
        <v>532.206315789474</v>
      </c>
      <c r="H1078" s="8" t="str">
        <f aca="false">IF(COUNTIF($J$1:$J$2,$A1078)&gt;0,"Y","N")</f>
        <v>N</v>
      </c>
    </row>
    <row r="1079" customFormat="false" ht="15" hidden="false" customHeight="true" outlineLevel="0" collapsed="false">
      <c r="A1079" s="8" t="s">
        <v>1764</v>
      </c>
      <c r="B1079" s="8" t="n">
        <v>4413071</v>
      </c>
      <c r="C1079" s="8" t="s">
        <v>1410</v>
      </c>
      <c r="D1079" s="19" t="n">
        <v>2</v>
      </c>
      <c r="E1079" s="19" t="n">
        <v>208.663</v>
      </c>
      <c r="F1079" s="19" t="n">
        <v>5.05263157894737</v>
      </c>
      <c r="G1079" s="19" t="n">
        <v>527.263578947368</v>
      </c>
      <c r="H1079" s="8" t="str">
        <f aca="false">IF(COUNTIF($J$1:$J$2,$A1079)&gt;0,"Y","N")</f>
        <v>N</v>
      </c>
    </row>
    <row r="1080" customFormat="false" ht="15" hidden="false" customHeight="true" outlineLevel="0" collapsed="false">
      <c r="A1080" s="8" t="s">
        <v>1764</v>
      </c>
      <c r="B1080" s="8" t="n">
        <v>4413072</v>
      </c>
      <c r="C1080" s="8" t="s">
        <v>1411</v>
      </c>
      <c r="D1080" s="19" t="n">
        <v>4</v>
      </c>
      <c r="E1080" s="19" t="n">
        <v>417.417</v>
      </c>
      <c r="F1080" s="19" t="n">
        <v>1.26315789473684</v>
      </c>
      <c r="G1080" s="19" t="n">
        <v>131.844631578947</v>
      </c>
      <c r="H1080" s="8" t="str">
        <f aca="false">IF(COUNTIF($J$1:$J$2,$A1080)&gt;0,"Y","N")</f>
        <v>N</v>
      </c>
    </row>
    <row r="1081" customFormat="false" ht="15" hidden="false" customHeight="true" outlineLevel="0" collapsed="false">
      <c r="A1081" s="8" t="s">
        <v>1764</v>
      </c>
      <c r="B1081" s="8" t="n">
        <v>4413073</v>
      </c>
      <c r="C1081" s="8" t="s">
        <v>1412</v>
      </c>
      <c r="D1081" s="19" t="n">
        <v>6</v>
      </c>
      <c r="E1081" s="19" t="n">
        <v>626.08</v>
      </c>
      <c r="F1081" s="19" t="n">
        <v>0</v>
      </c>
      <c r="G1081" s="19" t="n">
        <v>-124.258105263158</v>
      </c>
      <c r="H1081" s="8" t="str">
        <f aca="false">IF(COUNTIF($J$1:$J$2,$A1081)&gt;0,"Y","N")</f>
        <v>N</v>
      </c>
    </row>
    <row r="1082" customFormat="false" ht="15" hidden="false" customHeight="true" outlineLevel="0" collapsed="false">
      <c r="A1082" s="8" t="s">
        <v>1764</v>
      </c>
      <c r="B1082" s="8" t="n">
        <v>4413074</v>
      </c>
      <c r="C1082" s="8" t="s">
        <v>1413</v>
      </c>
      <c r="D1082" s="19" t="n">
        <v>6</v>
      </c>
      <c r="E1082" s="19" t="n">
        <v>626.08</v>
      </c>
      <c r="F1082" s="19" t="n">
        <v>2.52631578947368</v>
      </c>
      <c r="G1082" s="19" t="n">
        <v>263.574315789474</v>
      </c>
      <c r="H1082" s="8" t="str">
        <f aca="false">IF(COUNTIF($J$1:$J$2,$A1082)&gt;0,"Y","N")</f>
        <v>N</v>
      </c>
    </row>
    <row r="1083" customFormat="false" ht="15" hidden="false" customHeight="true" outlineLevel="0" collapsed="false">
      <c r="A1083" s="8" t="s">
        <v>1764</v>
      </c>
      <c r="B1083" s="8" t="n">
        <v>4413076</v>
      </c>
      <c r="C1083" s="8" t="s">
        <v>1414</v>
      </c>
      <c r="D1083" s="19" t="n">
        <v>5</v>
      </c>
      <c r="E1083" s="19" t="n">
        <v>571.935</v>
      </c>
      <c r="F1083" s="19" t="n">
        <v>-1.26315789473684</v>
      </c>
      <c r="G1083" s="19" t="n">
        <v>-208.284631578947</v>
      </c>
      <c r="H1083" s="8" t="str">
        <f aca="false">IF(COUNTIF($J$1:$J$2,$A1083)&gt;0,"Y","N")</f>
        <v>N</v>
      </c>
    </row>
    <row r="1084" customFormat="false" ht="15" hidden="false" customHeight="true" outlineLevel="0" collapsed="false">
      <c r="A1084" s="8" t="s">
        <v>1764</v>
      </c>
      <c r="B1084" s="8" t="n">
        <v>4413077</v>
      </c>
      <c r="C1084" s="8" t="s">
        <v>1415</v>
      </c>
      <c r="D1084" s="19" t="n">
        <v>0</v>
      </c>
      <c r="E1084" s="19" t="n">
        <v>0</v>
      </c>
      <c r="F1084" s="19" t="n">
        <v>-2.52631578947368</v>
      </c>
      <c r="G1084" s="19" t="n">
        <v>-294.150315789474</v>
      </c>
      <c r="H1084" s="8" t="str">
        <f aca="false">IF(COUNTIF($J$1:$J$2,$A1084)&gt;0,"Y","N")</f>
        <v>N</v>
      </c>
    </row>
    <row r="1085" customFormat="false" ht="15" hidden="false" customHeight="true" outlineLevel="0" collapsed="false">
      <c r="A1085" s="8" t="s">
        <v>1764</v>
      </c>
      <c r="B1085" s="8" t="n">
        <v>4413078</v>
      </c>
      <c r="C1085" s="8" t="s">
        <v>1778</v>
      </c>
      <c r="D1085" s="19" t="n">
        <v>1</v>
      </c>
      <c r="E1085" s="19" t="n">
        <v>114.387</v>
      </c>
      <c r="F1085" s="19" t="n">
        <v>0</v>
      </c>
      <c r="G1085" s="19" t="n">
        <v>0</v>
      </c>
      <c r="H1085" s="8" t="str">
        <f aca="false">IF(COUNTIF($J$1:$J$2,$A1085)&gt;0,"Y","N")</f>
        <v>N</v>
      </c>
    </row>
    <row r="1086" customFormat="false" ht="15" hidden="false" customHeight="true" outlineLevel="0" collapsed="false">
      <c r="A1086" s="8" t="s">
        <v>1764</v>
      </c>
      <c r="B1086" s="8" t="n">
        <v>4413079</v>
      </c>
      <c r="C1086" s="8" t="s">
        <v>1416</v>
      </c>
      <c r="D1086" s="19" t="n">
        <v>3</v>
      </c>
      <c r="E1086" s="19" t="n">
        <v>343.161</v>
      </c>
      <c r="F1086" s="19" t="n">
        <v>0</v>
      </c>
      <c r="G1086" s="19" t="n">
        <v>0</v>
      </c>
      <c r="H1086" s="8" t="str">
        <f aca="false">IF(COUNTIF($J$1:$J$2,$A1086)&gt;0,"Y","N")</f>
        <v>N</v>
      </c>
    </row>
    <row r="1087" customFormat="false" ht="15" hidden="false" customHeight="true" outlineLevel="0" collapsed="false">
      <c r="A1087" s="8" t="s">
        <v>1764</v>
      </c>
      <c r="B1087" s="8" t="n">
        <v>4413087</v>
      </c>
      <c r="C1087" s="8" t="s">
        <v>1417</v>
      </c>
      <c r="D1087" s="19" t="n">
        <v>1</v>
      </c>
      <c r="E1087" s="19" t="n">
        <v>148.512</v>
      </c>
      <c r="F1087" s="19" t="n">
        <v>0</v>
      </c>
      <c r="G1087" s="19" t="n">
        <v>0</v>
      </c>
      <c r="H1087" s="8" t="str">
        <f aca="false">IF(COUNTIF($J$1:$J$2,$A1087)&gt;0,"Y","N")</f>
        <v>N</v>
      </c>
    </row>
    <row r="1088" customFormat="false" ht="15" hidden="false" customHeight="true" outlineLevel="0" collapsed="false">
      <c r="A1088" s="8" t="s">
        <v>1764</v>
      </c>
      <c r="B1088" s="8" t="n">
        <v>4413088</v>
      </c>
      <c r="C1088" s="8" t="s">
        <v>1418</v>
      </c>
      <c r="D1088" s="19" t="n">
        <v>2</v>
      </c>
      <c r="E1088" s="19" t="n">
        <v>297.024</v>
      </c>
      <c r="F1088" s="19" t="n">
        <v>0</v>
      </c>
      <c r="G1088" s="19" t="n">
        <v>0</v>
      </c>
      <c r="H1088" s="8" t="str">
        <f aca="false">IF(COUNTIF($J$1:$J$2,$A1088)&gt;0,"Y","N")</f>
        <v>N</v>
      </c>
    </row>
    <row r="1089" customFormat="false" ht="15" hidden="false" customHeight="true" outlineLevel="0" collapsed="false">
      <c r="A1089" s="8" t="s">
        <v>1764</v>
      </c>
      <c r="B1089" s="8" t="n">
        <v>4413092</v>
      </c>
      <c r="C1089" s="8" t="s">
        <v>1422</v>
      </c>
      <c r="D1089" s="19" t="n">
        <v>229</v>
      </c>
      <c r="E1089" s="19" t="n">
        <v>5792.059</v>
      </c>
      <c r="F1089" s="19" t="n">
        <v>179.368421052632</v>
      </c>
      <c r="G1089" s="19" t="n">
        <v>4544.67410526316</v>
      </c>
      <c r="H1089" s="8" t="str">
        <f aca="false">IF(COUNTIF($J$1:$J$2,$A1089)&gt;0,"Y","N")</f>
        <v>N</v>
      </c>
    </row>
    <row r="1090" customFormat="false" ht="15" hidden="false" customHeight="true" outlineLevel="0" collapsed="false">
      <c r="A1090" s="8" t="s">
        <v>1764</v>
      </c>
      <c r="B1090" s="8" t="n">
        <v>4413093</v>
      </c>
      <c r="C1090" s="8" t="s">
        <v>1423</v>
      </c>
      <c r="D1090" s="19" t="n">
        <v>223</v>
      </c>
      <c r="E1090" s="19" t="n">
        <v>5642.273</v>
      </c>
      <c r="F1090" s="19" t="n">
        <v>190.736842105263</v>
      </c>
      <c r="G1090" s="19" t="n">
        <v>4820.54778947368</v>
      </c>
      <c r="H1090" s="8" t="str">
        <f aca="false">IF(COUNTIF($J$1:$J$2,$A1090)&gt;0,"Y","N")</f>
        <v>N</v>
      </c>
    </row>
    <row r="1091" customFormat="false" ht="15" hidden="false" customHeight="true" outlineLevel="0" collapsed="false">
      <c r="A1091" s="8" t="s">
        <v>1764</v>
      </c>
      <c r="B1091" s="8" t="n">
        <v>4413094</v>
      </c>
      <c r="C1091" s="8" t="s">
        <v>1424</v>
      </c>
      <c r="D1091" s="19" t="n">
        <v>114</v>
      </c>
      <c r="E1091" s="19" t="n">
        <v>2879.786</v>
      </c>
      <c r="F1091" s="19" t="n">
        <v>75.7894736842105</v>
      </c>
      <c r="G1091" s="19" t="n">
        <v>1921.69010526316</v>
      </c>
      <c r="H1091" s="8" t="str">
        <f aca="false">IF(COUNTIF($J$1:$J$2,$A1091)&gt;0,"Y","N")</f>
        <v>N</v>
      </c>
    </row>
    <row r="1092" customFormat="false" ht="15" hidden="false" customHeight="true" outlineLevel="0" collapsed="false">
      <c r="A1092" s="8" t="s">
        <v>1764</v>
      </c>
      <c r="B1092" s="8" t="n">
        <v>4413095</v>
      </c>
      <c r="C1092" s="8" t="s">
        <v>1425</v>
      </c>
      <c r="D1092" s="19" t="n">
        <v>147</v>
      </c>
      <c r="E1092" s="19" t="n">
        <v>3731.455</v>
      </c>
      <c r="F1092" s="19" t="n">
        <v>108.631578947368</v>
      </c>
      <c r="G1092" s="19" t="n">
        <v>2751.03536842105</v>
      </c>
      <c r="H1092" s="8" t="str">
        <f aca="false">IF(COUNTIF($J$1:$J$2,$A1092)&gt;0,"Y","N")</f>
        <v>N</v>
      </c>
    </row>
    <row r="1093" customFormat="false" ht="15" hidden="false" customHeight="true" outlineLevel="0" collapsed="false">
      <c r="A1093" s="8" t="s">
        <v>1764</v>
      </c>
      <c r="B1093" s="8" t="n">
        <v>4413096</v>
      </c>
      <c r="C1093" s="8" t="s">
        <v>1426</v>
      </c>
      <c r="D1093" s="19" t="n">
        <v>94</v>
      </c>
      <c r="E1093" s="19" t="n">
        <v>2374.645</v>
      </c>
      <c r="F1093" s="19" t="n">
        <v>101.052631578947</v>
      </c>
      <c r="G1093" s="19" t="n">
        <v>2557.23410526316</v>
      </c>
      <c r="H1093" s="8" t="str">
        <f aca="false">IF(COUNTIF($J$1:$J$2,$A1093)&gt;0,"Y","N")</f>
        <v>N</v>
      </c>
    </row>
    <row r="1094" customFormat="false" ht="15" hidden="false" customHeight="true" outlineLevel="0" collapsed="false">
      <c r="A1094" s="8" t="s">
        <v>1764</v>
      </c>
      <c r="B1094" s="8" t="n">
        <v>4413097</v>
      </c>
      <c r="C1094" s="8" t="s">
        <v>1427</v>
      </c>
      <c r="D1094" s="19" t="n">
        <v>154</v>
      </c>
      <c r="E1094" s="19" t="n">
        <v>3893.981</v>
      </c>
      <c r="F1094" s="19" t="n">
        <v>120</v>
      </c>
      <c r="G1094" s="19" t="n">
        <v>3035.98989473684</v>
      </c>
      <c r="H1094" s="8" t="str">
        <f aca="false">IF(COUNTIF($J$1:$J$2,$A1094)&gt;0,"Y","N")</f>
        <v>N</v>
      </c>
    </row>
    <row r="1095" customFormat="false" ht="15" hidden="false" customHeight="true" outlineLevel="0" collapsed="false">
      <c r="A1095" s="8" t="s">
        <v>1764</v>
      </c>
      <c r="B1095" s="8" t="n">
        <v>4413098</v>
      </c>
      <c r="C1095" s="8" t="s">
        <v>1428</v>
      </c>
      <c r="D1095" s="19" t="n">
        <v>320</v>
      </c>
      <c r="E1095" s="19" t="n">
        <v>8107.008</v>
      </c>
      <c r="F1095" s="19" t="n">
        <v>257.684210526316</v>
      </c>
      <c r="G1095" s="19" t="n">
        <v>6518.55031578947</v>
      </c>
      <c r="H1095" s="8" t="str">
        <f aca="false">IF(COUNTIF($J$1:$J$2,$A1095)&gt;0,"Y","N")</f>
        <v>N</v>
      </c>
    </row>
    <row r="1096" customFormat="false" ht="15" hidden="false" customHeight="true" outlineLevel="0" collapsed="false">
      <c r="A1096" s="8" t="s">
        <v>1764</v>
      </c>
      <c r="B1096" s="8" t="n">
        <v>4413099</v>
      </c>
      <c r="C1096" s="8" t="s">
        <v>1429</v>
      </c>
      <c r="D1096" s="19" t="n">
        <v>287</v>
      </c>
      <c r="E1096" s="19" t="n">
        <v>7264.53</v>
      </c>
      <c r="F1096" s="19" t="n">
        <v>272.842105263158</v>
      </c>
      <c r="G1096" s="19" t="n">
        <v>6901.55494736842</v>
      </c>
      <c r="H1096" s="8" t="str">
        <f aca="false">IF(COUNTIF($J$1:$J$2,$A1096)&gt;0,"Y","N")</f>
        <v>N</v>
      </c>
    </row>
    <row r="1097" customFormat="false" ht="15" hidden="false" customHeight="true" outlineLevel="0" collapsed="false">
      <c r="A1097" s="8" t="s">
        <v>1764</v>
      </c>
      <c r="B1097" s="8" t="n">
        <v>4413100</v>
      </c>
      <c r="C1097" s="8" t="s">
        <v>1430</v>
      </c>
      <c r="D1097" s="19" t="n">
        <v>272</v>
      </c>
      <c r="E1097" s="19" t="n">
        <v>6887.335</v>
      </c>
      <c r="F1097" s="19" t="n">
        <v>202.105263157895</v>
      </c>
      <c r="G1097" s="19" t="n">
        <v>5110.10021052632</v>
      </c>
      <c r="H1097" s="8" t="str">
        <f aca="false">IF(COUNTIF($J$1:$J$2,$A1097)&gt;0,"Y","N")</f>
        <v>N</v>
      </c>
    </row>
    <row r="1098" customFormat="false" ht="15" hidden="false" customHeight="true" outlineLevel="0" collapsed="false">
      <c r="A1098" s="8" t="s">
        <v>1764</v>
      </c>
      <c r="B1098" s="8" t="n">
        <v>4413101</v>
      </c>
      <c r="C1098" s="8" t="s">
        <v>1431</v>
      </c>
      <c r="D1098" s="19" t="n">
        <v>86</v>
      </c>
      <c r="E1098" s="19" t="n">
        <v>2623.166</v>
      </c>
      <c r="F1098" s="19" t="n">
        <v>74.5263157894737</v>
      </c>
      <c r="G1098" s="19" t="n">
        <v>2274.00378947368</v>
      </c>
      <c r="H1098" s="8" t="str">
        <f aca="false">IF(COUNTIF($J$1:$J$2,$A1098)&gt;0,"Y","N")</f>
        <v>N</v>
      </c>
    </row>
    <row r="1099" customFormat="false" ht="15" hidden="false" customHeight="true" outlineLevel="0" collapsed="false">
      <c r="A1099" s="8" t="s">
        <v>1764</v>
      </c>
      <c r="B1099" s="8" t="n">
        <v>4413102</v>
      </c>
      <c r="C1099" s="8" t="s">
        <v>1432</v>
      </c>
      <c r="D1099" s="19" t="n">
        <v>243</v>
      </c>
      <c r="E1099" s="19" t="n">
        <v>7418.775</v>
      </c>
      <c r="F1099" s="19" t="n">
        <v>275.368421052632</v>
      </c>
      <c r="G1099" s="19" t="n">
        <v>8400.35368421053</v>
      </c>
      <c r="H1099" s="8" t="str">
        <f aca="false">IF(COUNTIF($J$1:$J$2,$A1099)&gt;0,"Y","N")</f>
        <v>N</v>
      </c>
    </row>
    <row r="1100" customFormat="false" ht="15" hidden="false" customHeight="true" outlineLevel="0" collapsed="false">
      <c r="A1100" s="8" t="s">
        <v>1764</v>
      </c>
      <c r="B1100" s="8" t="n">
        <v>4413103</v>
      </c>
      <c r="C1100" s="8" t="s">
        <v>1433</v>
      </c>
      <c r="D1100" s="19" t="n">
        <v>205</v>
      </c>
      <c r="E1100" s="19" t="n">
        <v>6254.157</v>
      </c>
      <c r="F1100" s="19" t="n">
        <v>195.789473684211</v>
      </c>
      <c r="G1100" s="19" t="n">
        <v>5969.56168421053</v>
      </c>
      <c r="H1100" s="8" t="str">
        <f aca="false">IF(COUNTIF($J$1:$J$2,$A1100)&gt;0,"Y","N")</f>
        <v>N</v>
      </c>
    </row>
    <row r="1101" customFormat="false" ht="15" hidden="false" customHeight="true" outlineLevel="0" collapsed="false">
      <c r="A1101" s="8" t="s">
        <v>1764</v>
      </c>
      <c r="B1101" s="8" t="n">
        <v>4413104</v>
      </c>
      <c r="C1101" s="8" t="s">
        <v>1434</v>
      </c>
      <c r="D1101" s="19" t="n">
        <v>188</v>
      </c>
      <c r="E1101" s="19" t="n">
        <v>5747.014</v>
      </c>
      <c r="F1101" s="19" t="n">
        <v>180.631578947368</v>
      </c>
      <c r="G1101" s="19" t="n">
        <v>5518.50821052631</v>
      </c>
      <c r="H1101" s="8" t="str">
        <f aca="false">IF(COUNTIF($J$1:$J$2,$A1101)&gt;0,"Y","N")</f>
        <v>N</v>
      </c>
    </row>
    <row r="1102" customFormat="false" ht="15" hidden="false" customHeight="true" outlineLevel="0" collapsed="false">
      <c r="A1102" s="8" t="s">
        <v>1764</v>
      </c>
      <c r="B1102" s="8" t="n">
        <v>4413105</v>
      </c>
      <c r="C1102" s="8" t="s">
        <v>1435</v>
      </c>
      <c r="D1102" s="19" t="n">
        <v>131</v>
      </c>
      <c r="E1102" s="19" t="n">
        <v>4015.557</v>
      </c>
      <c r="F1102" s="19" t="n">
        <v>93.4736842105263</v>
      </c>
      <c r="G1102" s="19" t="n">
        <v>2848.74063157895</v>
      </c>
      <c r="H1102" s="8" t="str">
        <f aca="false">IF(COUNTIF($J$1:$J$2,$A1102)&gt;0,"Y","N")</f>
        <v>N</v>
      </c>
    </row>
    <row r="1103" customFormat="false" ht="15" hidden="false" customHeight="true" outlineLevel="0" collapsed="false">
      <c r="A1103" s="8" t="s">
        <v>1764</v>
      </c>
      <c r="B1103" s="8" t="n">
        <v>4413106</v>
      </c>
      <c r="C1103" s="8" t="s">
        <v>1436</v>
      </c>
      <c r="D1103" s="19" t="n">
        <v>3</v>
      </c>
      <c r="E1103" s="19" t="n">
        <v>142.87</v>
      </c>
      <c r="F1103" s="19" t="n">
        <v>0</v>
      </c>
      <c r="G1103" s="19" t="n">
        <v>0</v>
      </c>
      <c r="H1103" s="8" t="str">
        <f aca="false">IF(COUNTIF($J$1:$J$2,$A1103)&gt;0,"Y","N")</f>
        <v>N</v>
      </c>
    </row>
    <row r="1104" customFormat="false" ht="15" hidden="false" customHeight="true" outlineLevel="0" collapsed="false">
      <c r="A1104" s="8" t="s">
        <v>1764</v>
      </c>
      <c r="B1104" s="8" t="n">
        <v>4413107</v>
      </c>
      <c r="C1104" s="8" t="s">
        <v>1437</v>
      </c>
      <c r="D1104" s="19" t="n">
        <v>10</v>
      </c>
      <c r="E1104" s="19" t="n">
        <v>476.476</v>
      </c>
      <c r="F1104" s="19" t="n">
        <v>0</v>
      </c>
      <c r="G1104" s="19" t="n">
        <v>0</v>
      </c>
      <c r="H1104" s="8" t="str">
        <f aca="false">IF(COUNTIF($J$1:$J$2,$A1104)&gt;0,"Y","N")</f>
        <v>N</v>
      </c>
    </row>
    <row r="1105" customFormat="false" ht="15" hidden="false" customHeight="true" outlineLevel="0" collapsed="false">
      <c r="A1105" s="8" t="s">
        <v>1764</v>
      </c>
      <c r="B1105" s="8" t="n">
        <v>4413108</v>
      </c>
      <c r="C1105" s="8" t="s">
        <v>1438</v>
      </c>
      <c r="D1105" s="19" t="n">
        <v>17</v>
      </c>
      <c r="E1105" s="19" t="n">
        <v>809.991</v>
      </c>
      <c r="F1105" s="19" t="n">
        <v>0</v>
      </c>
      <c r="G1105" s="19" t="n">
        <v>0</v>
      </c>
      <c r="H1105" s="8" t="str">
        <f aca="false">IF(COUNTIF($J$1:$J$2,$A1105)&gt;0,"Y","N")</f>
        <v>N</v>
      </c>
    </row>
    <row r="1106" customFormat="false" ht="15" hidden="false" customHeight="true" outlineLevel="0" collapsed="false">
      <c r="A1106" s="8" t="s">
        <v>1764</v>
      </c>
      <c r="B1106" s="8" t="n">
        <v>4413109</v>
      </c>
      <c r="C1106" s="8" t="s">
        <v>1439</v>
      </c>
      <c r="D1106" s="19" t="n">
        <v>4</v>
      </c>
      <c r="E1106" s="19" t="n">
        <v>190.554</v>
      </c>
      <c r="F1106" s="19" t="n">
        <v>0</v>
      </c>
      <c r="G1106" s="19" t="n">
        <v>0</v>
      </c>
      <c r="H1106" s="8" t="str">
        <f aca="false">IF(COUNTIF($J$1:$J$2,$A1106)&gt;0,"Y","N")</f>
        <v>N</v>
      </c>
    </row>
    <row r="1107" customFormat="false" ht="15" hidden="false" customHeight="true" outlineLevel="0" collapsed="false">
      <c r="A1107" s="8" t="s">
        <v>1764</v>
      </c>
      <c r="B1107" s="8" t="n">
        <v>4413110</v>
      </c>
      <c r="C1107" s="8" t="s">
        <v>1440</v>
      </c>
      <c r="D1107" s="19" t="n">
        <v>9</v>
      </c>
      <c r="E1107" s="19" t="n">
        <v>428.792</v>
      </c>
      <c r="F1107" s="19" t="n">
        <v>0</v>
      </c>
      <c r="G1107" s="19" t="n">
        <v>0</v>
      </c>
      <c r="H1107" s="8" t="str">
        <f aca="false">IF(COUNTIF($J$1:$J$2,$A1107)&gt;0,"Y","N")</f>
        <v>N</v>
      </c>
    </row>
    <row r="1108" customFormat="false" ht="15" hidden="false" customHeight="true" outlineLevel="0" collapsed="false">
      <c r="A1108" s="8" t="s">
        <v>1764</v>
      </c>
      <c r="B1108" s="8" t="n">
        <v>4413112</v>
      </c>
      <c r="C1108" s="8" t="s">
        <v>1442</v>
      </c>
      <c r="D1108" s="19" t="n">
        <v>25</v>
      </c>
      <c r="E1108" s="19" t="n">
        <v>691.6</v>
      </c>
      <c r="F1108" s="19" t="n">
        <v>20.2105263157895</v>
      </c>
      <c r="G1108" s="19" t="n">
        <v>504.733894736842</v>
      </c>
      <c r="H1108" s="8" t="str">
        <f aca="false">IF(COUNTIF($J$1:$J$2,$A1108)&gt;0,"Y","N")</f>
        <v>N</v>
      </c>
    </row>
    <row r="1109" customFormat="false" ht="15" hidden="false" customHeight="true" outlineLevel="0" collapsed="false">
      <c r="A1109" s="8" t="s">
        <v>1764</v>
      </c>
      <c r="B1109" s="8" t="n">
        <v>4413113</v>
      </c>
      <c r="C1109" s="8" t="s">
        <v>1443</v>
      </c>
      <c r="D1109" s="19" t="n">
        <v>20</v>
      </c>
      <c r="E1109" s="19" t="n">
        <v>555.1</v>
      </c>
      <c r="F1109" s="19" t="n">
        <v>15.1578947368421</v>
      </c>
      <c r="G1109" s="19" t="n">
        <v>420.707368421053</v>
      </c>
      <c r="H1109" s="8" t="str">
        <f aca="false">IF(COUNTIF($J$1:$J$2,$A1109)&gt;0,"Y","N")</f>
        <v>N</v>
      </c>
    </row>
    <row r="1110" customFormat="false" ht="15" hidden="false" customHeight="true" outlineLevel="0" collapsed="false">
      <c r="A1110" s="8" t="s">
        <v>1764</v>
      </c>
      <c r="B1110" s="8" t="n">
        <v>4413114</v>
      </c>
      <c r="C1110" s="8" t="s">
        <v>1444</v>
      </c>
      <c r="D1110" s="19" t="n">
        <v>17</v>
      </c>
      <c r="E1110" s="19" t="n">
        <v>471.835</v>
      </c>
      <c r="F1110" s="19" t="n">
        <v>15.1578947368421</v>
      </c>
      <c r="G1110" s="19" t="n">
        <v>420.707368421053</v>
      </c>
      <c r="H1110" s="8" t="str">
        <f aca="false">IF(COUNTIF($J$1:$J$2,$A1110)&gt;0,"Y","N")</f>
        <v>N</v>
      </c>
    </row>
    <row r="1111" customFormat="false" ht="15" hidden="false" customHeight="true" outlineLevel="0" collapsed="false">
      <c r="A1111" s="8" t="s">
        <v>1764</v>
      </c>
      <c r="B1111" s="8" t="n">
        <v>4413117</v>
      </c>
      <c r="C1111" s="8" t="s">
        <v>1447</v>
      </c>
      <c r="D1111" s="19" t="n">
        <v>0</v>
      </c>
      <c r="E1111" s="19" t="n">
        <v>0</v>
      </c>
      <c r="F1111" s="19" t="n">
        <v>-1.26315789473684</v>
      </c>
      <c r="G1111" s="19" t="n">
        <v>-119.775157894737</v>
      </c>
      <c r="H1111" s="8" t="str">
        <f aca="false">IF(COUNTIF($J$1:$J$2,$A1111)&gt;0,"Y","N")</f>
        <v>N</v>
      </c>
    </row>
    <row r="1112" customFormat="false" ht="15" hidden="false" customHeight="true" outlineLevel="0" collapsed="false">
      <c r="A1112" s="8" t="s">
        <v>1764</v>
      </c>
      <c r="B1112" s="8" t="n">
        <v>4413126</v>
      </c>
      <c r="C1112" s="8" t="s">
        <v>1454</v>
      </c>
      <c r="D1112" s="19" t="n">
        <v>17</v>
      </c>
      <c r="E1112" s="19" t="n">
        <v>2183.636</v>
      </c>
      <c r="F1112" s="19" t="n">
        <v>10.1052631578947</v>
      </c>
      <c r="G1112" s="19" t="n">
        <v>1208.90147368421</v>
      </c>
      <c r="H1112" s="8" t="str">
        <f aca="false">IF(COUNTIF($J$1:$J$2,$A1112)&gt;0,"Y","N")</f>
        <v>N</v>
      </c>
    </row>
    <row r="1113" customFormat="false" ht="15" hidden="false" customHeight="true" outlineLevel="0" collapsed="false">
      <c r="A1113" s="8" t="s">
        <v>1764</v>
      </c>
      <c r="B1113" s="8" t="n">
        <v>4413127</v>
      </c>
      <c r="C1113" s="8" t="s">
        <v>1455</v>
      </c>
      <c r="D1113" s="19" t="n">
        <v>33</v>
      </c>
      <c r="E1113" s="19" t="n">
        <v>4238.78</v>
      </c>
      <c r="F1113" s="19" t="n">
        <v>53.0526315789474</v>
      </c>
      <c r="G1113" s="19" t="n">
        <v>6814.42484210526</v>
      </c>
      <c r="H1113" s="8" t="str">
        <f aca="false">IF(COUNTIF($J$1:$J$2,$A1113)&gt;0,"Y","N")</f>
        <v>N</v>
      </c>
    </row>
    <row r="1114" customFormat="false" ht="15" hidden="false" customHeight="true" outlineLevel="0" collapsed="false">
      <c r="A1114" s="8" t="s">
        <v>1764</v>
      </c>
      <c r="B1114" s="8" t="n">
        <v>4413128</v>
      </c>
      <c r="C1114" s="8" t="s">
        <v>1456</v>
      </c>
      <c r="D1114" s="19" t="n">
        <v>32</v>
      </c>
      <c r="E1114" s="19" t="n">
        <v>4110.288</v>
      </c>
      <c r="F1114" s="19" t="n">
        <v>46.7368421052632</v>
      </c>
      <c r="G1114" s="19" t="n">
        <v>6003.2412631579</v>
      </c>
      <c r="H1114" s="8" t="str">
        <f aca="false">IF(COUNTIF($J$1:$J$2,$A1114)&gt;0,"Y","N")</f>
        <v>N</v>
      </c>
    </row>
    <row r="1115" customFormat="false" ht="15" hidden="false" customHeight="true" outlineLevel="0" collapsed="false">
      <c r="A1115" s="8" t="s">
        <v>1764</v>
      </c>
      <c r="B1115" s="8" t="n">
        <v>4413129</v>
      </c>
      <c r="C1115" s="8" t="s">
        <v>1457</v>
      </c>
      <c r="D1115" s="19" t="n">
        <v>22</v>
      </c>
      <c r="E1115" s="19" t="n">
        <v>2825.823</v>
      </c>
      <c r="F1115" s="19" t="n">
        <v>18.9473684210526</v>
      </c>
      <c r="G1115" s="19" t="n">
        <v>2433.78063157895</v>
      </c>
      <c r="H1115" s="8" t="str">
        <f aca="false">IF(COUNTIF($J$1:$J$2,$A1115)&gt;0,"Y","N")</f>
        <v>N</v>
      </c>
    </row>
    <row r="1116" customFormat="false" ht="15" hidden="false" customHeight="true" outlineLevel="0" collapsed="false">
      <c r="A1116" s="8" t="s">
        <v>1764</v>
      </c>
      <c r="B1116" s="8" t="n">
        <v>4413130</v>
      </c>
      <c r="C1116" s="8" t="s">
        <v>1458</v>
      </c>
      <c r="D1116" s="19" t="n">
        <v>8</v>
      </c>
      <c r="E1116" s="19" t="n">
        <v>807.443</v>
      </c>
      <c r="F1116" s="19" t="n">
        <v>21.4736842105263</v>
      </c>
      <c r="G1116" s="19" t="n">
        <v>2758.16210526316</v>
      </c>
      <c r="H1116" s="8" t="str">
        <f aca="false">IF(COUNTIF($J$1:$J$2,$A1116)&gt;0,"Y","N")</f>
        <v>N</v>
      </c>
    </row>
    <row r="1117" customFormat="false" ht="15" hidden="false" customHeight="true" outlineLevel="0" collapsed="false">
      <c r="A1117" s="8" t="s">
        <v>1764</v>
      </c>
      <c r="B1117" s="8" t="n">
        <v>4413132</v>
      </c>
      <c r="C1117" s="8" t="s">
        <v>1460</v>
      </c>
      <c r="D1117" s="19" t="n">
        <v>3</v>
      </c>
      <c r="E1117" s="19" t="n">
        <v>420.238</v>
      </c>
      <c r="F1117" s="19" t="n">
        <v>5.05263157894737</v>
      </c>
      <c r="G1117" s="19" t="n">
        <v>707.730947368421</v>
      </c>
      <c r="H1117" s="8" t="str">
        <f aca="false">IF(COUNTIF($J$1:$J$2,$A1117)&gt;0,"Y","N")</f>
        <v>N</v>
      </c>
    </row>
    <row r="1118" customFormat="false" ht="15" hidden="false" customHeight="true" outlineLevel="0" collapsed="false">
      <c r="A1118" s="8" t="s">
        <v>1764</v>
      </c>
      <c r="B1118" s="8" t="n">
        <v>4413133</v>
      </c>
      <c r="C1118" s="8" t="s">
        <v>1461</v>
      </c>
      <c r="D1118" s="19" t="n">
        <v>5</v>
      </c>
      <c r="E1118" s="19" t="n">
        <v>802.802</v>
      </c>
      <c r="F1118" s="19" t="n">
        <v>2.52631578947368</v>
      </c>
      <c r="G1118" s="19" t="n">
        <v>405.649263157895</v>
      </c>
      <c r="H1118" s="8" t="str">
        <f aca="false">IF(COUNTIF($J$1:$J$2,$A1118)&gt;0,"Y","N")</f>
        <v>N</v>
      </c>
    </row>
    <row r="1119" customFormat="false" ht="15" hidden="false" customHeight="true" outlineLevel="0" collapsed="false">
      <c r="A1119" s="8" t="s">
        <v>1764</v>
      </c>
      <c r="B1119" s="8" t="n">
        <v>4413135</v>
      </c>
      <c r="C1119" s="8" t="s">
        <v>1463</v>
      </c>
      <c r="D1119" s="19" t="n">
        <v>319</v>
      </c>
      <c r="E1119" s="19" t="n">
        <v>15273.349</v>
      </c>
      <c r="F1119" s="19" t="n">
        <v>261.473684210526</v>
      </c>
      <c r="G1119" s="19" t="n">
        <v>12495.0088421053</v>
      </c>
      <c r="H1119" s="8" t="str">
        <f aca="false">IF(COUNTIF($J$1:$J$2,$A1119)&gt;0,"Y","N")</f>
        <v>N</v>
      </c>
    </row>
    <row r="1120" customFormat="false" ht="15" hidden="false" customHeight="true" outlineLevel="0" collapsed="false">
      <c r="A1120" s="8" t="s">
        <v>1764</v>
      </c>
      <c r="B1120" s="8" t="n">
        <v>4413136</v>
      </c>
      <c r="C1120" s="8" t="s">
        <v>1464</v>
      </c>
      <c r="D1120" s="19" t="n">
        <v>193</v>
      </c>
      <c r="E1120" s="19" t="n">
        <v>9187.997</v>
      </c>
      <c r="F1120" s="19" t="n">
        <v>156.631578947368</v>
      </c>
      <c r="G1120" s="19" t="n">
        <v>7506.06315789474</v>
      </c>
      <c r="H1120" s="8" t="str">
        <f aca="false">IF(COUNTIF($J$1:$J$2,$A1120)&gt;0,"Y","N")</f>
        <v>N</v>
      </c>
    </row>
    <row r="1121" customFormat="false" ht="15" hidden="false" customHeight="true" outlineLevel="0" collapsed="false">
      <c r="A1121" s="8" t="s">
        <v>1764</v>
      </c>
      <c r="B1121" s="8" t="n">
        <v>4413137</v>
      </c>
      <c r="C1121" s="8" t="s">
        <v>1465</v>
      </c>
      <c r="D1121" s="19" t="n">
        <v>119</v>
      </c>
      <c r="E1121" s="19" t="n">
        <v>5679.765</v>
      </c>
      <c r="F1121" s="19" t="n">
        <v>99.7894736842105</v>
      </c>
      <c r="G1121" s="19" t="n">
        <v>4765.94778947368</v>
      </c>
      <c r="H1121" s="8" t="str">
        <f aca="false">IF(COUNTIF($J$1:$J$2,$A1121)&gt;0,"Y","N")</f>
        <v>N</v>
      </c>
    </row>
    <row r="1122" customFormat="false" ht="15" hidden="false" customHeight="true" outlineLevel="0" collapsed="false">
      <c r="A1122" s="8" t="s">
        <v>1764</v>
      </c>
      <c r="B1122" s="8" t="n">
        <v>4413138</v>
      </c>
      <c r="C1122" s="8" t="s">
        <v>1466</v>
      </c>
      <c r="D1122" s="19" t="n">
        <v>158</v>
      </c>
      <c r="E1122" s="19" t="n">
        <v>7541.261</v>
      </c>
      <c r="F1122" s="19" t="n">
        <v>128.842105263158</v>
      </c>
      <c r="G1122" s="19" t="n">
        <v>6164.62736842105</v>
      </c>
      <c r="H1122" s="8" t="str">
        <f aca="false">IF(COUNTIF($J$1:$J$2,$A1122)&gt;0,"Y","N")</f>
        <v>N</v>
      </c>
    </row>
    <row r="1123" customFormat="false" ht="15" hidden="false" customHeight="true" outlineLevel="0" collapsed="false">
      <c r="A1123" s="8" t="s">
        <v>1764</v>
      </c>
      <c r="B1123" s="8" t="n">
        <v>4413139</v>
      </c>
      <c r="C1123" s="8" t="s">
        <v>1467</v>
      </c>
      <c r="D1123" s="19" t="n">
        <v>83</v>
      </c>
      <c r="E1123" s="19" t="n">
        <v>2107.56</v>
      </c>
      <c r="F1123" s="19" t="n">
        <v>102.315789473684</v>
      </c>
      <c r="G1123" s="19" t="n">
        <v>2587.00547368421</v>
      </c>
      <c r="H1123" s="8" t="str">
        <f aca="false">IF(COUNTIF($J$1:$J$2,$A1123)&gt;0,"Y","N")</f>
        <v>N</v>
      </c>
    </row>
    <row r="1124" customFormat="false" ht="15" hidden="false" customHeight="true" outlineLevel="0" collapsed="false">
      <c r="A1124" s="8" t="s">
        <v>1764</v>
      </c>
      <c r="B1124" s="8" t="n">
        <v>4413140</v>
      </c>
      <c r="C1124" s="8" t="s">
        <v>1468</v>
      </c>
      <c r="D1124" s="19" t="n">
        <v>145</v>
      </c>
      <c r="E1124" s="19" t="n">
        <v>3668.392</v>
      </c>
      <c r="F1124" s="19" t="n">
        <v>93.4736842105263</v>
      </c>
      <c r="G1124" s="19" t="n">
        <v>2361.24884210526</v>
      </c>
      <c r="H1124" s="8" t="str">
        <f aca="false">IF(COUNTIF($J$1:$J$2,$A1124)&gt;0,"Y","N")</f>
        <v>N</v>
      </c>
    </row>
    <row r="1125" customFormat="false" ht="15" hidden="false" customHeight="true" outlineLevel="0" collapsed="false">
      <c r="A1125" s="8" t="s">
        <v>1764</v>
      </c>
      <c r="B1125" s="8" t="n">
        <v>4413141</v>
      </c>
      <c r="C1125" s="8" t="s">
        <v>1469</v>
      </c>
      <c r="D1125" s="19" t="n">
        <v>72</v>
      </c>
      <c r="E1125" s="19" t="n">
        <v>1818.817</v>
      </c>
      <c r="F1125" s="19" t="n">
        <v>80.8421052631579</v>
      </c>
      <c r="G1125" s="19" t="n">
        <v>2044.45389473684</v>
      </c>
      <c r="H1125" s="8" t="str">
        <f aca="false">IF(COUNTIF($J$1:$J$2,$A1125)&gt;0,"Y","N")</f>
        <v>N</v>
      </c>
    </row>
    <row r="1126" customFormat="false" ht="15" hidden="false" customHeight="true" outlineLevel="0" collapsed="false">
      <c r="A1126" s="8" t="s">
        <v>1764</v>
      </c>
      <c r="B1126" s="8" t="n">
        <v>4413142</v>
      </c>
      <c r="C1126" s="8" t="s">
        <v>1470</v>
      </c>
      <c r="D1126" s="19" t="n">
        <v>34</v>
      </c>
      <c r="E1126" s="19" t="n">
        <v>860.678</v>
      </c>
      <c r="F1126" s="19" t="n">
        <v>60.6315789473684</v>
      </c>
      <c r="G1126" s="19" t="n">
        <v>1536.27157894737</v>
      </c>
      <c r="H1126" s="8" t="str">
        <f aca="false">IF(COUNTIF($J$1:$J$2,$A1126)&gt;0,"Y","N")</f>
        <v>N</v>
      </c>
    </row>
    <row r="1127" customFormat="false" ht="15" hidden="false" customHeight="true" outlineLevel="0" collapsed="false">
      <c r="A1127" s="8" t="s">
        <v>1764</v>
      </c>
      <c r="B1127" s="8" t="n">
        <v>4413149</v>
      </c>
      <c r="C1127" s="8" t="s">
        <v>1473</v>
      </c>
      <c r="D1127" s="19" t="n">
        <v>201</v>
      </c>
      <c r="E1127" s="19" t="n">
        <v>1986.894</v>
      </c>
      <c r="F1127" s="19" t="n">
        <v>198.315789473684</v>
      </c>
      <c r="G1127" s="19" t="n">
        <v>1974.336</v>
      </c>
      <c r="H1127" s="8" t="str">
        <f aca="false">IF(COUNTIF($J$1:$J$2,$A1127)&gt;0,"Y","N")</f>
        <v>N</v>
      </c>
    </row>
    <row r="1128" customFormat="false" ht="15" hidden="false" customHeight="true" outlineLevel="0" collapsed="false">
      <c r="A1128" s="8" t="s">
        <v>1764</v>
      </c>
      <c r="B1128" s="8" t="n">
        <v>4413150</v>
      </c>
      <c r="C1128" s="8" t="s">
        <v>1474</v>
      </c>
      <c r="D1128" s="19" t="n">
        <v>111</v>
      </c>
      <c r="E1128" s="19" t="n">
        <v>2695.147</v>
      </c>
      <c r="F1128" s="19" t="n">
        <v>58.1052631578947</v>
      </c>
      <c r="G1128" s="19" t="n">
        <v>1410.864</v>
      </c>
      <c r="H1128" s="8" t="str">
        <f aca="false">IF(COUNTIF($J$1:$J$2,$A1128)&gt;0,"Y","N")</f>
        <v>N</v>
      </c>
    </row>
    <row r="1129" customFormat="false" ht="15" hidden="false" customHeight="true" outlineLevel="0" collapsed="false">
      <c r="A1129" s="8" t="s">
        <v>1764</v>
      </c>
      <c r="B1129" s="8" t="n">
        <v>4413153</v>
      </c>
      <c r="C1129" s="8" t="s">
        <v>1475</v>
      </c>
      <c r="D1129" s="19" t="n">
        <v>3</v>
      </c>
      <c r="E1129" s="19" t="n">
        <v>190.918</v>
      </c>
      <c r="F1129" s="19" t="n">
        <v>2.52631578947368</v>
      </c>
      <c r="G1129" s="19" t="n">
        <v>97.7052631578948</v>
      </c>
      <c r="H1129" s="8" t="str">
        <f aca="false">IF(COUNTIF($J$1:$J$2,$A1129)&gt;0,"Y","N")</f>
        <v>N</v>
      </c>
    </row>
    <row r="1130" customFormat="false" ht="15" hidden="false" customHeight="true" outlineLevel="0" collapsed="false">
      <c r="A1130" s="8" t="s">
        <v>1764</v>
      </c>
      <c r="B1130" s="8" t="n">
        <v>4413154</v>
      </c>
      <c r="C1130" s="8" t="s">
        <v>1476</v>
      </c>
      <c r="D1130" s="19" t="n">
        <v>5</v>
      </c>
      <c r="E1130" s="19" t="n">
        <v>268.177</v>
      </c>
      <c r="F1130" s="19" t="n">
        <v>6.31578947368421</v>
      </c>
      <c r="G1130" s="19" t="n">
        <v>402.085894736842</v>
      </c>
      <c r="H1130" s="8" t="str">
        <f aca="false">IF(COUNTIF($J$1:$J$2,$A1130)&gt;0,"Y","N")</f>
        <v>N</v>
      </c>
    </row>
    <row r="1131" customFormat="false" ht="15" hidden="false" customHeight="true" outlineLevel="0" collapsed="false">
      <c r="A1131" s="8" t="s">
        <v>1764</v>
      </c>
      <c r="B1131" s="8" t="n">
        <v>4413155</v>
      </c>
      <c r="C1131" s="8" t="s">
        <v>1477</v>
      </c>
      <c r="D1131" s="19" t="n">
        <v>13</v>
      </c>
      <c r="E1131" s="19" t="n">
        <v>827.463</v>
      </c>
      <c r="F1131" s="19" t="n">
        <v>8.84210526315789</v>
      </c>
      <c r="G1131" s="19" t="n">
        <v>562.897263157895</v>
      </c>
      <c r="H1131" s="8" t="str">
        <f aca="false">IF(COUNTIF($J$1:$J$2,$A1131)&gt;0,"Y","N")</f>
        <v>N</v>
      </c>
    </row>
    <row r="1132" customFormat="false" ht="15" hidden="false" customHeight="true" outlineLevel="0" collapsed="false">
      <c r="A1132" s="8" t="s">
        <v>1764</v>
      </c>
      <c r="B1132" s="8" t="n">
        <v>4413156</v>
      </c>
      <c r="C1132" s="8" t="s">
        <v>1478</v>
      </c>
      <c r="D1132" s="19" t="n">
        <v>26</v>
      </c>
      <c r="E1132" s="19" t="n">
        <v>1655.017</v>
      </c>
      <c r="F1132" s="19" t="n">
        <v>7.57894736842105</v>
      </c>
      <c r="G1132" s="19" t="n">
        <v>482.434105263158</v>
      </c>
      <c r="H1132" s="8" t="str">
        <f aca="false">IF(COUNTIF($J$1:$J$2,$A1132)&gt;0,"Y","N")</f>
        <v>N</v>
      </c>
    </row>
    <row r="1133" customFormat="false" ht="15" hidden="false" customHeight="true" outlineLevel="0" collapsed="false">
      <c r="A1133" s="8" t="s">
        <v>1764</v>
      </c>
      <c r="B1133" s="8" t="n">
        <v>4413157</v>
      </c>
      <c r="C1133" s="8" t="s">
        <v>1479</v>
      </c>
      <c r="D1133" s="19" t="n">
        <v>21</v>
      </c>
      <c r="E1133" s="19" t="n">
        <v>1336.79</v>
      </c>
      <c r="F1133" s="19" t="n">
        <v>10.1052631578947</v>
      </c>
      <c r="G1133" s="19" t="n">
        <v>643.245473684211</v>
      </c>
      <c r="H1133" s="8" t="str">
        <f aca="false">IF(COUNTIF($J$1:$J$2,$A1133)&gt;0,"Y","N")</f>
        <v>N</v>
      </c>
    </row>
    <row r="1134" customFormat="false" ht="15" hidden="false" customHeight="true" outlineLevel="0" collapsed="false">
      <c r="A1134" s="8" t="s">
        <v>1764</v>
      </c>
      <c r="B1134" s="8" t="n">
        <v>4413158</v>
      </c>
      <c r="C1134" s="8" t="s">
        <v>1480</v>
      </c>
      <c r="D1134" s="19" t="n">
        <v>15</v>
      </c>
      <c r="E1134" s="19" t="n">
        <v>954.772</v>
      </c>
      <c r="F1134" s="19" t="n">
        <v>15.1578947368421</v>
      </c>
      <c r="G1134" s="19" t="n">
        <v>964.868210526316</v>
      </c>
      <c r="H1134" s="8" t="str">
        <f aca="false">IF(COUNTIF($J$1:$J$2,$A1134)&gt;0,"Y","N")</f>
        <v>N</v>
      </c>
    </row>
    <row r="1135" customFormat="false" ht="15" hidden="false" customHeight="true" outlineLevel="0" collapsed="false">
      <c r="A1135" s="8" t="s">
        <v>1764</v>
      </c>
      <c r="B1135" s="8" t="n">
        <v>4413160</v>
      </c>
      <c r="C1135" s="8" t="s">
        <v>1482</v>
      </c>
      <c r="D1135" s="19" t="n">
        <v>151</v>
      </c>
      <c r="E1135" s="19" t="n">
        <v>7874.958</v>
      </c>
      <c r="F1135" s="19" t="n">
        <v>180.631578947368</v>
      </c>
      <c r="G1135" s="19" t="n">
        <v>9420.28168421053</v>
      </c>
      <c r="H1135" s="8" t="str">
        <f aca="false">IF(COUNTIF($J$1:$J$2,$A1135)&gt;0,"Y","N")</f>
        <v>N</v>
      </c>
    </row>
    <row r="1136" customFormat="false" ht="15" hidden="false" customHeight="true" outlineLevel="0" collapsed="false">
      <c r="A1136" s="8" t="s">
        <v>1764</v>
      </c>
      <c r="B1136" s="8" t="n">
        <v>4413161</v>
      </c>
      <c r="C1136" s="8" t="s">
        <v>1483</v>
      </c>
      <c r="D1136" s="19" t="n">
        <v>152</v>
      </c>
      <c r="E1136" s="19" t="n">
        <v>7927.101</v>
      </c>
      <c r="F1136" s="19" t="n">
        <v>166.736842105263</v>
      </c>
      <c r="G1136" s="19" t="n">
        <v>8695.76842105263</v>
      </c>
      <c r="H1136" s="8" t="str">
        <f aca="false">IF(COUNTIF($J$1:$J$2,$A1136)&gt;0,"Y","N")</f>
        <v>N</v>
      </c>
    </row>
    <row r="1137" customFormat="false" ht="15" hidden="false" customHeight="true" outlineLevel="0" collapsed="false">
      <c r="A1137" s="8" t="s">
        <v>1764</v>
      </c>
      <c r="B1137" s="8" t="n">
        <v>4413162</v>
      </c>
      <c r="C1137" s="8" t="s">
        <v>1484</v>
      </c>
      <c r="D1137" s="19" t="n">
        <v>116</v>
      </c>
      <c r="E1137" s="19" t="n">
        <v>6049.589</v>
      </c>
      <c r="F1137" s="19" t="n">
        <v>138.947368421053</v>
      </c>
      <c r="G1137" s="19" t="n">
        <v>7246.39705263158</v>
      </c>
      <c r="H1137" s="8" t="str">
        <f aca="false">IF(COUNTIF($J$1:$J$2,$A1137)&gt;0,"Y","N")</f>
        <v>N</v>
      </c>
    </row>
    <row r="1138" customFormat="false" ht="15" hidden="false" customHeight="true" outlineLevel="0" collapsed="false">
      <c r="A1138" s="8" t="s">
        <v>1764</v>
      </c>
      <c r="B1138" s="8" t="n">
        <v>4413170</v>
      </c>
      <c r="C1138" s="8" t="s">
        <v>1488</v>
      </c>
      <c r="D1138" s="19" t="n">
        <v>3</v>
      </c>
      <c r="E1138" s="19" t="n">
        <v>240.786</v>
      </c>
      <c r="F1138" s="19" t="n">
        <v>0</v>
      </c>
      <c r="G1138" s="19" t="n">
        <v>0</v>
      </c>
      <c r="H1138" s="8" t="str">
        <f aca="false">IF(COUNTIF($J$1:$J$2,$A1138)&gt;0,"Y","N")</f>
        <v>N</v>
      </c>
    </row>
    <row r="1139" customFormat="false" ht="15" hidden="false" customHeight="true" outlineLevel="0" collapsed="false">
      <c r="A1139" s="8" t="s">
        <v>1764</v>
      </c>
      <c r="B1139" s="8" t="n">
        <v>4413171</v>
      </c>
      <c r="C1139" s="8" t="s">
        <v>1489</v>
      </c>
      <c r="D1139" s="19" t="n">
        <v>-1</v>
      </c>
      <c r="E1139" s="19" t="n">
        <v>-80.262</v>
      </c>
      <c r="F1139" s="19" t="n">
        <v>0</v>
      </c>
      <c r="G1139" s="19" t="n">
        <v>0</v>
      </c>
      <c r="H1139" s="8" t="str">
        <f aca="false">IF(COUNTIF($J$1:$J$2,$A1139)&gt;0,"Y","N")</f>
        <v>N</v>
      </c>
    </row>
    <row r="1140" customFormat="false" ht="15" hidden="false" customHeight="true" outlineLevel="0" collapsed="false">
      <c r="A1140" s="8" t="s">
        <v>1764</v>
      </c>
      <c r="B1140" s="8" t="n">
        <v>4413178</v>
      </c>
      <c r="C1140" s="8" t="s">
        <v>1496</v>
      </c>
      <c r="D1140" s="19" t="n">
        <v>-2</v>
      </c>
      <c r="E1140" s="19" t="n">
        <v>-176.631</v>
      </c>
      <c r="F1140" s="19" t="n">
        <v>0</v>
      </c>
      <c r="G1140" s="19" t="n">
        <v>0</v>
      </c>
      <c r="H1140" s="8" t="str">
        <f aca="false">IF(COUNTIF($J$1:$J$2,$A1140)&gt;0,"Y","N")</f>
        <v>N</v>
      </c>
    </row>
    <row r="1141" customFormat="false" ht="15" hidden="false" customHeight="true" outlineLevel="0" collapsed="false">
      <c r="A1141" s="8" t="s">
        <v>1764</v>
      </c>
      <c r="B1141" s="8" t="n">
        <v>4413180</v>
      </c>
      <c r="C1141" s="8" t="s">
        <v>1779</v>
      </c>
      <c r="D1141" s="19" t="n">
        <v>2</v>
      </c>
      <c r="E1141" s="19" t="n">
        <v>176.631</v>
      </c>
      <c r="F1141" s="19" t="n">
        <v>1.26315789473684</v>
      </c>
      <c r="G1141" s="19" t="n">
        <v>111.498947368421</v>
      </c>
      <c r="H1141" s="8" t="str">
        <f aca="false">IF(COUNTIF($J$1:$J$2,$A1141)&gt;0,"Y","N")</f>
        <v>N</v>
      </c>
    </row>
    <row r="1142" customFormat="false" ht="15" hidden="false" customHeight="true" outlineLevel="0" collapsed="false">
      <c r="A1142" s="8" t="s">
        <v>1764</v>
      </c>
      <c r="B1142" s="8" t="n">
        <v>4413182</v>
      </c>
      <c r="C1142" s="8" t="s">
        <v>1780</v>
      </c>
      <c r="D1142" s="19" t="n">
        <v>0</v>
      </c>
      <c r="E1142" s="19" t="n">
        <v>0</v>
      </c>
      <c r="F1142" s="19" t="n">
        <v>2.52631578947368</v>
      </c>
      <c r="G1142" s="19" t="n">
        <v>223.112842105263</v>
      </c>
      <c r="H1142" s="8" t="str">
        <f aca="false">IF(COUNTIF($J$1:$J$2,$A1142)&gt;0,"Y","N")</f>
        <v>N</v>
      </c>
    </row>
    <row r="1143" customFormat="false" ht="15" hidden="false" customHeight="true" outlineLevel="0" collapsed="false">
      <c r="A1143" s="8" t="s">
        <v>1764</v>
      </c>
      <c r="B1143" s="8" t="n">
        <v>4413183</v>
      </c>
      <c r="C1143" s="8" t="s">
        <v>1499</v>
      </c>
      <c r="D1143" s="19" t="n">
        <v>9</v>
      </c>
      <c r="E1143" s="19" t="n">
        <v>794.703</v>
      </c>
      <c r="F1143" s="19" t="n">
        <v>18.9473684210526</v>
      </c>
      <c r="G1143" s="19" t="n">
        <v>1673.05894736842</v>
      </c>
      <c r="H1143" s="8" t="str">
        <f aca="false">IF(COUNTIF($J$1:$J$2,$A1143)&gt;0,"Y","N")</f>
        <v>N</v>
      </c>
    </row>
    <row r="1144" customFormat="false" ht="15" hidden="false" customHeight="true" outlineLevel="0" collapsed="false">
      <c r="A1144" s="8" t="s">
        <v>1764</v>
      </c>
      <c r="B1144" s="8" t="n">
        <v>4413184</v>
      </c>
      <c r="C1144" s="8" t="s">
        <v>1500</v>
      </c>
      <c r="D1144" s="19" t="n">
        <v>14</v>
      </c>
      <c r="E1144" s="19" t="n">
        <v>1236.235</v>
      </c>
      <c r="F1144" s="19" t="n">
        <v>7.57894736842105</v>
      </c>
      <c r="G1144" s="19" t="n">
        <v>669.223578947368</v>
      </c>
      <c r="H1144" s="8" t="str">
        <f aca="false">IF(COUNTIF($J$1:$J$2,$A1144)&gt;0,"Y","N")</f>
        <v>N</v>
      </c>
    </row>
    <row r="1145" customFormat="false" ht="15" hidden="false" customHeight="true" outlineLevel="0" collapsed="false">
      <c r="A1145" s="8" t="s">
        <v>1764</v>
      </c>
      <c r="B1145" s="8" t="n">
        <v>4413185</v>
      </c>
      <c r="C1145" s="8" t="s">
        <v>1501</v>
      </c>
      <c r="D1145" s="19" t="n">
        <v>19</v>
      </c>
      <c r="E1145" s="19" t="n">
        <v>1677.585</v>
      </c>
      <c r="F1145" s="19" t="n">
        <v>11.3684210526316</v>
      </c>
      <c r="G1145" s="19" t="n">
        <v>1003.72042105263</v>
      </c>
      <c r="H1145" s="8" t="str">
        <f aca="false">IF(COUNTIF($J$1:$J$2,$A1145)&gt;0,"Y","N")</f>
        <v>N</v>
      </c>
    </row>
    <row r="1146" customFormat="false" ht="15" hidden="false" customHeight="true" outlineLevel="0" collapsed="false">
      <c r="A1146" s="8" t="s">
        <v>1764</v>
      </c>
      <c r="B1146" s="8" t="n">
        <v>4413195</v>
      </c>
      <c r="C1146" s="8" t="s">
        <v>1502</v>
      </c>
      <c r="D1146" s="19" t="n">
        <v>2</v>
      </c>
      <c r="E1146" s="19" t="n">
        <v>321.139</v>
      </c>
      <c r="F1146" s="19" t="n">
        <v>2.52631578947368</v>
      </c>
      <c r="G1146" s="19" t="n">
        <v>405.649263157895</v>
      </c>
      <c r="H1146" s="8" t="str">
        <f aca="false">IF(COUNTIF($J$1:$J$2,$A1146)&gt;0,"Y","N")</f>
        <v>N</v>
      </c>
    </row>
    <row r="1147" customFormat="false" ht="15" hidden="false" customHeight="true" outlineLevel="0" collapsed="false">
      <c r="A1147" s="8" t="s">
        <v>1764</v>
      </c>
      <c r="B1147" s="8" t="n">
        <v>4413196</v>
      </c>
      <c r="C1147" s="8" t="s">
        <v>1503</v>
      </c>
      <c r="D1147" s="19" t="n">
        <v>6</v>
      </c>
      <c r="E1147" s="19" t="n">
        <v>963.417</v>
      </c>
      <c r="F1147" s="19" t="n">
        <v>6.31578947368421</v>
      </c>
      <c r="G1147" s="19" t="n">
        <v>1014.06568421053</v>
      </c>
      <c r="H1147" s="8" t="str">
        <f aca="false">IF(COUNTIF($J$1:$J$2,$A1147)&gt;0,"Y","N")</f>
        <v>N</v>
      </c>
    </row>
    <row r="1148" customFormat="false" ht="15" hidden="false" customHeight="true" outlineLevel="0" collapsed="false">
      <c r="A1148" s="8" t="s">
        <v>1764</v>
      </c>
      <c r="B1148" s="8" t="n">
        <v>4413197</v>
      </c>
      <c r="C1148" s="8" t="s">
        <v>1504</v>
      </c>
      <c r="D1148" s="19" t="n">
        <v>13</v>
      </c>
      <c r="E1148" s="19" t="n">
        <v>2087.358</v>
      </c>
      <c r="F1148" s="19" t="n">
        <v>12.6315789473684</v>
      </c>
      <c r="G1148" s="19" t="n">
        <v>2028.13136842105</v>
      </c>
      <c r="H1148" s="8" t="str">
        <f aca="false">IF(COUNTIF($J$1:$J$2,$A1148)&gt;0,"Y","N")</f>
        <v>N</v>
      </c>
    </row>
    <row r="1149" customFormat="false" ht="15" hidden="false" customHeight="true" outlineLevel="0" collapsed="false">
      <c r="A1149" s="8" t="s">
        <v>1764</v>
      </c>
      <c r="B1149" s="8" t="n">
        <v>4413198</v>
      </c>
      <c r="C1149" s="8" t="s">
        <v>1505</v>
      </c>
      <c r="D1149" s="19" t="n">
        <v>8</v>
      </c>
      <c r="E1149" s="19" t="n">
        <v>1284.465</v>
      </c>
      <c r="F1149" s="19" t="n">
        <v>11.3684210526316</v>
      </c>
      <c r="G1149" s="19" t="n">
        <v>1825.36421052632</v>
      </c>
      <c r="H1149" s="8" t="str">
        <f aca="false">IF(COUNTIF($J$1:$J$2,$A1149)&gt;0,"Y","N")</f>
        <v>N</v>
      </c>
    </row>
    <row r="1150" customFormat="false" ht="15" hidden="false" customHeight="true" outlineLevel="0" collapsed="false">
      <c r="A1150" s="8" t="s">
        <v>1764</v>
      </c>
      <c r="B1150" s="8" t="n">
        <v>4413204</v>
      </c>
      <c r="C1150" s="8" t="s">
        <v>1506</v>
      </c>
      <c r="D1150" s="19" t="n">
        <v>4</v>
      </c>
      <c r="E1150" s="19" t="n">
        <v>642.278</v>
      </c>
      <c r="F1150" s="19" t="n">
        <v>3.78947368421053</v>
      </c>
      <c r="G1150" s="19" t="n">
        <v>608.416421052631</v>
      </c>
      <c r="H1150" s="8" t="str">
        <f aca="false">IF(COUNTIF($J$1:$J$2,$A1150)&gt;0,"Y","N")</f>
        <v>N</v>
      </c>
    </row>
    <row r="1151" customFormat="false" ht="15" hidden="false" customHeight="true" outlineLevel="0" collapsed="false">
      <c r="A1151" s="8" t="s">
        <v>1764</v>
      </c>
      <c r="B1151" s="8" t="n">
        <v>4413210</v>
      </c>
      <c r="C1151" s="8" t="s">
        <v>1507</v>
      </c>
      <c r="D1151" s="19" t="n">
        <v>-1</v>
      </c>
      <c r="E1151" s="19" t="n">
        <v>-80.262</v>
      </c>
      <c r="F1151" s="19" t="n">
        <v>0</v>
      </c>
      <c r="G1151" s="19" t="n">
        <v>0</v>
      </c>
      <c r="H1151" s="8" t="str">
        <f aca="false">IF(COUNTIF($J$1:$J$2,$A1151)&gt;0,"Y","N")</f>
        <v>N</v>
      </c>
    </row>
    <row r="1152" customFormat="false" ht="15" hidden="false" customHeight="true" outlineLevel="0" collapsed="false">
      <c r="A1152" s="8" t="s">
        <v>1764</v>
      </c>
      <c r="B1152" s="8" t="n">
        <v>4413212</v>
      </c>
      <c r="C1152" s="8" t="s">
        <v>1781</v>
      </c>
      <c r="D1152" s="19" t="n">
        <v>-3</v>
      </c>
      <c r="E1152" s="19" t="n">
        <v>-275.184</v>
      </c>
      <c r="F1152" s="19" t="n">
        <v>0</v>
      </c>
      <c r="G1152" s="19" t="n">
        <v>0</v>
      </c>
      <c r="H1152" s="8" t="str">
        <f aca="false">IF(COUNTIF($J$1:$J$2,$A1152)&gt;0,"Y","N")</f>
        <v>N</v>
      </c>
    </row>
    <row r="1153" customFormat="false" ht="15" hidden="false" customHeight="true" outlineLevel="0" collapsed="false">
      <c r="A1153" s="8" t="s">
        <v>1764</v>
      </c>
      <c r="B1153" s="8" t="n">
        <v>4413216</v>
      </c>
      <c r="C1153" s="8" t="s">
        <v>1782</v>
      </c>
      <c r="D1153" s="19" t="n">
        <v>-1</v>
      </c>
      <c r="E1153" s="19" t="n">
        <v>-63.518</v>
      </c>
      <c r="F1153" s="19" t="n">
        <v>0</v>
      </c>
      <c r="G1153" s="19" t="n">
        <v>0</v>
      </c>
      <c r="H1153" s="8" t="str">
        <f aca="false">IF(COUNTIF($J$1:$J$2,$A1153)&gt;0,"Y","N")</f>
        <v>N</v>
      </c>
    </row>
    <row r="1154" customFormat="false" ht="15" hidden="false" customHeight="true" outlineLevel="0" collapsed="false">
      <c r="A1154" s="8" t="s">
        <v>1764</v>
      </c>
      <c r="B1154" s="8" t="n">
        <v>4413217</v>
      </c>
      <c r="C1154" s="8" t="s">
        <v>1783</v>
      </c>
      <c r="D1154" s="19" t="n">
        <v>-4</v>
      </c>
      <c r="E1154" s="19" t="n">
        <v>-224.679</v>
      </c>
      <c r="F1154" s="19" t="n">
        <v>0</v>
      </c>
      <c r="G1154" s="19" t="n">
        <v>0</v>
      </c>
      <c r="H1154" s="8" t="str">
        <f aca="false">IF(COUNTIF($J$1:$J$2,$A1154)&gt;0,"Y","N")</f>
        <v>N</v>
      </c>
    </row>
    <row r="1155" customFormat="false" ht="15" hidden="false" customHeight="true" outlineLevel="0" collapsed="false">
      <c r="A1155" s="8" t="s">
        <v>1764</v>
      </c>
      <c r="B1155" s="8" t="n">
        <v>4413218</v>
      </c>
      <c r="C1155" s="8" t="s">
        <v>1784</v>
      </c>
      <c r="D1155" s="19" t="n">
        <v>-2</v>
      </c>
      <c r="E1155" s="19" t="n">
        <v>-119.665</v>
      </c>
      <c r="F1155" s="19" t="n">
        <v>0</v>
      </c>
      <c r="G1155" s="19" t="n">
        <v>0</v>
      </c>
      <c r="H1155" s="8" t="str">
        <f aca="false">IF(COUNTIF($J$1:$J$2,$A1155)&gt;0,"Y","N")</f>
        <v>N</v>
      </c>
    </row>
    <row r="1156" customFormat="false" ht="15" hidden="false" customHeight="true" outlineLevel="0" collapsed="false">
      <c r="A1156" s="8" t="s">
        <v>1764</v>
      </c>
      <c r="B1156" s="8" t="n">
        <v>4413276</v>
      </c>
      <c r="C1156" s="8" t="s">
        <v>1513</v>
      </c>
      <c r="D1156" s="19" t="n">
        <v>0</v>
      </c>
      <c r="E1156" s="19" t="n">
        <v>0</v>
      </c>
      <c r="F1156" s="19" t="n">
        <v>5.05263157894737</v>
      </c>
      <c r="G1156" s="19" t="n">
        <v>156.443368421053</v>
      </c>
      <c r="H1156" s="8" t="str">
        <f aca="false">IF(COUNTIF($J$1:$J$2,$A1156)&gt;0,"Y","N")</f>
        <v>N</v>
      </c>
    </row>
    <row r="1157" customFormat="false" ht="15" hidden="false" customHeight="true" outlineLevel="0" collapsed="false">
      <c r="A1157" s="8" t="s">
        <v>1764</v>
      </c>
      <c r="B1157" s="8" t="n">
        <v>4413277</v>
      </c>
      <c r="C1157" s="8" t="s">
        <v>1514</v>
      </c>
      <c r="D1157" s="19" t="n">
        <v>5</v>
      </c>
      <c r="E1157" s="19" t="n">
        <v>198.835</v>
      </c>
      <c r="F1157" s="19" t="n">
        <v>5.05263157894737</v>
      </c>
      <c r="G1157" s="19" t="n">
        <v>200.928</v>
      </c>
      <c r="H1157" s="8" t="str">
        <f aca="false">IF(COUNTIF($J$1:$J$2,$A1157)&gt;0,"Y","N")</f>
        <v>N</v>
      </c>
    </row>
    <row r="1158" customFormat="false" ht="15" hidden="false" customHeight="true" outlineLevel="0" collapsed="false">
      <c r="A1158" s="8" t="s">
        <v>1764</v>
      </c>
      <c r="B1158" s="8" t="n">
        <v>4413278</v>
      </c>
      <c r="C1158" s="8" t="s">
        <v>1515</v>
      </c>
      <c r="D1158" s="19" t="n">
        <v>-4</v>
      </c>
      <c r="E1158" s="19" t="n">
        <v>-229.502</v>
      </c>
      <c r="F1158" s="19" t="n">
        <v>0</v>
      </c>
      <c r="G1158" s="19" t="n">
        <v>0</v>
      </c>
      <c r="H1158" s="8" t="str">
        <f aca="false">IF(COUNTIF($J$1:$J$2,$A1158)&gt;0,"Y","N")</f>
        <v>N</v>
      </c>
    </row>
    <row r="1159" customFormat="false" ht="15" hidden="false" customHeight="true" outlineLevel="0" collapsed="false">
      <c r="A1159" s="8" t="s">
        <v>1764</v>
      </c>
      <c r="B1159" s="8" t="n">
        <v>4413279</v>
      </c>
      <c r="C1159" s="8" t="s">
        <v>1785</v>
      </c>
      <c r="D1159" s="19" t="n">
        <v>-1</v>
      </c>
      <c r="E1159" s="19" t="n">
        <v>-246.61</v>
      </c>
      <c r="F1159" s="19" t="n">
        <v>0</v>
      </c>
      <c r="G1159" s="19" t="n">
        <v>0</v>
      </c>
      <c r="H1159" s="8" t="str">
        <f aca="false">IF(COUNTIF($J$1:$J$2,$A1159)&gt;0,"Y","N")</f>
        <v>N</v>
      </c>
    </row>
    <row r="1160" customFormat="false" ht="15" hidden="false" customHeight="true" outlineLevel="0" collapsed="false">
      <c r="A1160" s="8" t="s">
        <v>1764</v>
      </c>
      <c r="B1160" s="8" t="n">
        <v>4413281</v>
      </c>
      <c r="C1160" s="8" t="s">
        <v>1786</v>
      </c>
      <c r="D1160" s="19" t="n">
        <v>-2</v>
      </c>
      <c r="E1160" s="19" t="n">
        <v>-358.085</v>
      </c>
      <c r="F1160" s="19" t="n">
        <v>0</v>
      </c>
      <c r="G1160" s="19" t="n">
        <v>0</v>
      </c>
      <c r="H1160" s="8" t="str">
        <f aca="false">IF(COUNTIF($J$1:$J$2,$A1160)&gt;0,"Y","N")</f>
        <v>N</v>
      </c>
    </row>
    <row r="1161" customFormat="false" ht="15" hidden="false" customHeight="true" outlineLevel="0" collapsed="false">
      <c r="A1161" s="8" t="s">
        <v>1764</v>
      </c>
      <c r="B1161" s="8" t="n">
        <v>4413283</v>
      </c>
      <c r="C1161" s="8" t="s">
        <v>1517</v>
      </c>
      <c r="D1161" s="19" t="n">
        <v>4</v>
      </c>
      <c r="E1161" s="19" t="n">
        <v>716.17</v>
      </c>
      <c r="F1161" s="19" t="n">
        <v>-3.78947368421053</v>
      </c>
      <c r="G1161" s="19" t="n">
        <v>-678.419368421053</v>
      </c>
      <c r="H1161" s="8" t="str">
        <f aca="false">IF(COUNTIF($J$1:$J$2,$A1161)&gt;0,"Y","N")</f>
        <v>N</v>
      </c>
    </row>
    <row r="1162" customFormat="false" ht="15" hidden="false" customHeight="true" outlineLevel="0" collapsed="false">
      <c r="A1162" s="8" t="s">
        <v>1764</v>
      </c>
      <c r="B1162" s="8" t="n">
        <v>4413285</v>
      </c>
      <c r="C1162" s="8" t="s">
        <v>1787</v>
      </c>
      <c r="D1162" s="19" t="n">
        <v>0</v>
      </c>
      <c r="E1162" s="19" t="n">
        <v>0</v>
      </c>
      <c r="F1162" s="19" t="n">
        <v>-1.26315789473684</v>
      </c>
      <c r="G1162" s="19" t="n">
        <v>-80.4631578947368</v>
      </c>
      <c r="H1162" s="8" t="str">
        <f aca="false">IF(COUNTIF($J$1:$J$2,$A1162)&gt;0,"Y","N")</f>
        <v>N</v>
      </c>
    </row>
    <row r="1163" customFormat="false" ht="15" hidden="false" customHeight="true" outlineLevel="0" collapsed="false">
      <c r="A1163" s="8" t="s">
        <v>1764</v>
      </c>
      <c r="B1163" s="8" t="n">
        <v>4413307</v>
      </c>
      <c r="C1163" s="8" t="s">
        <v>1521</v>
      </c>
      <c r="D1163" s="19" t="n">
        <v>79</v>
      </c>
      <c r="E1163" s="19" t="n">
        <v>2079.805</v>
      </c>
      <c r="F1163" s="19" t="n">
        <v>75.7894736842105</v>
      </c>
      <c r="G1163" s="19" t="n">
        <v>1988.35957894737</v>
      </c>
      <c r="H1163" s="8" t="str">
        <f aca="false">IF(COUNTIF($J$1:$J$2,$A1163)&gt;0,"Y","N")</f>
        <v>N</v>
      </c>
    </row>
    <row r="1164" customFormat="false" ht="15" hidden="false" customHeight="true" outlineLevel="0" collapsed="false">
      <c r="A1164" s="8" t="s">
        <v>1764</v>
      </c>
      <c r="B1164" s="8" t="n">
        <v>4413328</v>
      </c>
      <c r="C1164" s="8" t="s">
        <v>1524</v>
      </c>
      <c r="D1164" s="19" t="n">
        <v>3</v>
      </c>
      <c r="E1164" s="19" t="n">
        <v>245.973</v>
      </c>
      <c r="F1164" s="19" t="n">
        <v>27.7894736842105</v>
      </c>
      <c r="G1164" s="19" t="n">
        <v>2278.94652631579</v>
      </c>
      <c r="H1164" s="8" t="str">
        <f aca="false">IF(COUNTIF($J$1:$J$2,$A1164)&gt;0,"Y","N")</f>
        <v>N</v>
      </c>
    </row>
    <row r="1165" customFormat="false" ht="15" hidden="false" customHeight="true" outlineLevel="0" collapsed="false">
      <c r="A1165" s="8" t="s">
        <v>1764</v>
      </c>
      <c r="B1165" s="8" t="n">
        <v>4413340</v>
      </c>
      <c r="C1165" s="8" t="s">
        <v>1534</v>
      </c>
      <c r="D1165" s="19" t="n">
        <v>28</v>
      </c>
      <c r="E1165" s="19" t="n">
        <v>1113.476</v>
      </c>
      <c r="F1165" s="19" t="n">
        <v>10.1052631578947</v>
      </c>
      <c r="G1165" s="19" t="n">
        <v>401.856</v>
      </c>
      <c r="H1165" s="8" t="str">
        <f aca="false">IF(COUNTIF($J$1:$J$2,$A1165)&gt;0,"Y","N")</f>
        <v>N</v>
      </c>
    </row>
    <row r="1166" customFormat="false" ht="15" hidden="false" customHeight="true" outlineLevel="0" collapsed="false">
      <c r="A1166" s="8" t="s">
        <v>1764</v>
      </c>
      <c r="B1166" s="8" t="n">
        <v>4413348</v>
      </c>
      <c r="C1166" s="8" t="s">
        <v>1540</v>
      </c>
      <c r="D1166" s="19" t="n">
        <v>187</v>
      </c>
      <c r="E1166" s="19" t="n">
        <v>10984.064</v>
      </c>
      <c r="F1166" s="19" t="n">
        <v>179.368421052632</v>
      </c>
      <c r="G1166" s="19" t="n">
        <v>10712.4050526316</v>
      </c>
      <c r="H1166" s="8" t="str">
        <f aca="false">IF(COUNTIF($J$1:$J$2,$A1166)&gt;0,"Y","N")</f>
        <v>N</v>
      </c>
    </row>
    <row r="1167" customFormat="false" ht="15" hidden="false" customHeight="true" outlineLevel="0" collapsed="false">
      <c r="A1167" s="8" t="s">
        <v>1764</v>
      </c>
      <c r="B1167" s="8" t="n">
        <v>4413364</v>
      </c>
      <c r="C1167" s="8" t="s">
        <v>1541</v>
      </c>
      <c r="D1167" s="19" t="n">
        <v>121</v>
      </c>
      <c r="E1167" s="19" t="n">
        <v>3053.05</v>
      </c>
      <c r="F1167" s="19" t="n">
        <v>160.421052631579</v>
      </c>
      <c r="G1167" s="19" t="n">
        <v>4054.88336842105</v>
      </c>
      <c r="H1167" s="8" t="str">
        <f aca="false">IF(COUNTIF($J$1:$J$2,$A1167)&gt;0,"Y","N")</f>
        <v>N</v>
      </c>
    </row>
    <row r="1168" customFormat="false" ht="15" hidden="false" customHeight="true" outlineLevel="0" collapsed="false">
      <c r="A1168" s="8" t="s">
        <v>1764</v>
      </c>
      <c r="B1168" s="8" t="n">
        <v>4413365</v>
      </c>
      <c r="C1168" s="8" t="s">
        <v>1542</v>
      </c>
      <c r="D1168" s="19" t="n">
        <v>107</v>
      </c>
      <c r="E1168" s="19" t="n">
        <v>2703.064</v>
      </c>
      <c r="F1168" s="19" t="n">
        <v>96</v>
      </c>
      <c r="G1168" s="19" t="n">
        <v>2427.34357894737</v>
      </c>
      <c r="H1168" s="8" t="str">
        <f aca="false">IF(COUNTIF($J$1:$J$2,$A1168)&gt;0,"Y","N")</f>
        <v>N</v>
      </c>
    </row>
    <row r="1169" customFormat="false" ht="15" hidden="false" customHeight="true" outlineLevel="0" collapsed="false">
      <c r="A1169" s="8" t="s">
        <v>1764</v>
      </c>
      <c r="B1169" s="8" t="n">
        <v>4413366</v>
      </c>
      <c r="C1169" s="8" t="s">
        <v>1543</v>
      </c>
      <c r="D1169" s="19" t="n">
        <v>109</v>
      </c>
      <c r="E1169" s="19" t="n">
        <v>2751.749</v>
      </c>
      <c r="F1169" s="19" t="n">
        <v>111.157894736842</v>
      </c>
      <c r="G1169" s="19" t="n">
        <v>2810.34821052632</v>
      </c>
      <c r="H1169" s="8" t="str">
        <f aca="false">IF(COUNTIF($J$1:$J$2,$A1169)&gt;0,"Y","N")</f>
        <v>N</v>
      </c>
    </row>
    <row r="1170" customFormat="false" ht="15" hidden="false" customHeight="true" outlineLevel="0" collapsed="false">
      <c r="A1170" s="8" t="s">
        <v>1764</v>
      </c>
      <c r="B1170" s="8" t="n">
        <v>4413367</v>
      </c>
      <c r="C1170" s="8" t="s">
        <v>1544</v>
      </c>
      <c r="D1170" s="19" t="n">
        <v>47</v>
      </c>
      <c r="E1170" s="19" t="n">
        <v>1185.457</v>
      </c>
      <c r="F1170" s="19" t="n">
        <v>54.3157894736842</v>
      </c>
      <c r="G1170" s="19" t="n">
        <v>1372.12673684211</v>
      </c>
      <c r="H1170" s="8" t="str">
        <f aca="false">IF(COUNTIF($J$1:$J$2,$A1170)&gt;0,"Y","N")</f>
        <v>N</v>
      </c>
    </row>
    <row r="1171" customFormat="false" ht="15" hidden="false" customHeight="true" outlineLevel="0" collapsed="false">
      <c r="A1171" s="8" t="s">
        <v>1764</v>
      </c>
      <c r="B1171" s="8" t="n">
        <v>4413368</v>
      </c>
      <c r="C1171" s="8" t="s">
        <v>1545</v>
      </c>
      <c r="D1171" s="19" t="n">
        <v>44</v>
      </c>
      <c r="E1171" s="19" t="n">
        <v>1111.474</v>
      </c>
      <c r="F1171" s="19" t="n">
        <v>55.5789473684211</v>
      </c>
      <c r="G1171" s="19" t="n">
        <v>1404.08210526316</v>
      </c>
      <c r="H1171" s="8" t="str">
        <f aca="false">IF(COUNTIF($J$1:$J$2,$A1171)&gt;0,"Y","N")</f>
        <v>N</v>
      </c>
    </row>
    <row r="1172" customFormat="false" ht="15" hidden="false" customHeight="true" outlineLevel="0" collapsed="false">
      <c r="A1172" s="8" t="s">
        <v>1764</v>
      </c>
      <c r="B1172" s="8" t="n">
        <v>4413370</v>
      </c>
      <c r="C1172" s="8" t="s">
        <v>1547</v>
      </c>
      <c r="D1172" s="19" t="n">
        <v>142</v>
      </c>
      <c r="E1172" s="19" t="n">
        <v>4847.388</v>
      </c>
      <c r="F1172" s="19" t="n">
        <v>88.421052631579</v>
      </c>
      <c r="G1172" s="19" t="n">
        <v>3009.32210526316</v>
      </c>
      <c r="H1172" s="8" t="str">
        <f aca="false">IF(COUNTIF($J$1:$J$2,$A1172)&gt;0,"Y","N")</f>
        <v>N</v>
      </c>
    </row>
    <row r="1173" customFormat="false" ht="15" hidden="false" customHeight="true" outlineLevel="0" collapsed="false">
      <c r="A1173" s="8" t="s">
        <v>1764</v>
      </c>
      <c r="B1173" s="8" t="n">
        <v>4413371</v>
      </c>
      <c r="C1173" s="8" t="s">
        <v>1548</v>
      </c>
      <c r="D1173" s="19" t="n">
        <v>17</v>
      </c>
      <c r="E1173" s="19" t="n">
        <v>425.698</v>
      </c>
      <c r="F1173" s="19" t="n">
        <v>40.4210526315789</v>
      </c>
      <c r="G1173" s="19" t="n">
        <v>1012.34147368421</v>
      </c>
      <c r="H1173" s="8" t="str">
        <f aca="false">IF(COUNTIF($J$1:$J$2,$A1173)&gt;0,"Y","N")</f>
        <v>N</v>
      </c>
    </row>
    <row r="1174" customFormat="false" ht="15" hidden="false" customHeight="true" outlineLevel="0" collapsed="false">
      <c r="A1174" s="8" t="s">
        <v>1764</v>
      </c>
      <c r="B1174" s="8" t="n">
        <v>4413372</v>
      </c>
      <c r="C1174" s="8" t="s">
        <v>1549</v>
      </c>
      <c r="D1174" s="19" t="n">
        <v>99</v>
      </c>
      <c r="E1174" s="19" t="n">
        <v>5807.62</v>
      </c>
      <c r="F1174" s="19" t="n">
        <v>103.578947368421</v>
      </c>
      <c r="G1174" s="19" t="n">
        <v>6118.76336842105</v>
      </c>
      <c r="H1174" s="8" t="str">
        <f aca="false">IF(COUNTIF($J$1:$J$2,$A1174)&gt;0,"Y","N")</f>
        <v>N</v>
      </c>
    </row>
    <row r="1175" customFormat="false" ht="15" hidden="false" customHeight="true" outlineLevel="0" collapsed="false">
      <c r="A1175" s="8" t="s">
        <v>1764</v>
      </c>
      <c r="B1175" s="8" t="n">
        <v>4413405</v>
      </c>
      <c r="C1175" s="8" t="s">
        <v>1557</v>
      </c>
      <c r="D1175" s="19" t="n">
        <v>-2</v>
      </c>
      <c r="E1175" s="19" t="n">
        <v>-128.401</v>
      </c>
      <c r="F1175" s="19" t="n">
        <v>0</v>
      </c>
      <c r="G1175" s="19" t="n">
        <v>0</v>
      </c>
      <c r="H1175" s="8" t="str">
        <f aca="false">IF(COUNTIF($J$1:$J$2,$A1175)&gt;0,"Y","N")</f>
        <v>N</v>
      </c>
    </row>
    <row r="1176" customFormat="false" ht="15" hidden="false" customHeight="true" outlineLevel="0" collapsed="false">
      <c r="A1176" s="8" t="s">
        <v>1764</v>
      </c>
      <c r="B1176" s="8" t="n">
        <v>4413406</v>
      </c>
      <c r="C1176" s="8" t="s">
        <v>1558</v>
      </c>
      <c r="D1176" s="19" t="n">
        <v>2</v>
      </c>
      <c r="E1176" s="19" t="n">
        <v>111.657</v>
      </c>
      <c r="F1176" s="19" t="n">
        <v>1.26315789473684</v>
      </c>
      <c r="G1176" s="19" t="n">
        <v>85.6357894736842</v>
      </c>
      <c r="H1176" s="8" t="str">
        <f aca="false">IF(COUNTIF($J$1:$J$2,$A1176)&gt;0,"Y","N")</f>
        <v>N</v>
      </c>
    </row>
    <row r="1177" customFormat="false" ht="15" hidden="false" customHeight="true" outlineLevel="0" collapsed="false">
      <c r="A1177" s="8" t="s">
        <v>1764</v>
      </c>
      <c r="B1177" s="8" t="n">
        <v>4413407</v>
      </c>
      <c r="C1177" s="8" t="s">
        <v>1559</v>
      </c>
      <c r="D1177" s="19" t="n">
        <v>4</v>
      </c>
      <c r="E1177" s="19" t="n">
        <v>223.223</v>
      </c>
      <c r="F1177" s="19" t="n">
        <v>2.52631578947368</v>
      </c>
      <c r="G1177" s="19" t="n">
        <v>171.271578947368</v>
      </c>
      <c r="H1177" s="8" t="str">
        <f aca="false">IF(COUNTIF($J$1:$J$2,$A1177)&gt;0,"Y","N")</f>
        <v>N</v>
      </c>
    </row>
    <row r="1178" customFormat="false" ht="15" hidden="false" customHeight="true" outlineLevel="0" collapsed="false">
      <c r="A1178" s="8" t="s">
        <v>1764</v>
      </c>
      <c r="B1178" s="8" t="n">
        <v>4413408</v>
      </c>
      <c r="C1178" s="8" t="s">
        <v>1560</v>
      </c>
      <c r="D1178" s="19" t="n">
        <v>6</v>
      </c>
      <c r="E1178" s="19" t="n">
        <v>382.746</v>
      </c>
      <c r="F1178" s="19" t="n">
        <v>3.78947368421053</v>
      </c>
      <c r="G1178" s="19" t="n">
        <v>256.907368421053</v>
      </c>
      <c r="H1178" s="8" t="str">
        <f aca="false">IF(COUNTIF($J$1:$J$2,$A1178)&gt;0,"Y","N")</f>
        <v>N</v>
      </c>
    </row>
    <row r="1179" customFormat="false" ht="15" hidden="false" customHeight="true" outlineLevel="0" collapsed="false">
      <c r="A1179" s="8" t="s">
        <v>1764</v>
      </c>
      <c r="B1179" s="8" t="n">
        <v>4413415</v>
      </c>
      <c r="C1179" s="8" t="s">
        <v>1561</v>
      </c>
      <c r="D1179" s="19" t="n">
        <v>2</v>
      </c>
      <c r="E1179" s="19" t="n">
        <v>232.96</v>
      </c>
      <c r="F1179" s="19" t="n">
        <v>0</v>
      </c>
      <c r="G1179" s="19" t="n">
        <v>0</v>
      </c>
      <c r="H1179" s="8" t="str">
        <f aca="false">IF(COUNTIF($J$1:$J$2,$A1179)&gt;0,"Y","N")</f>
        <v>N</v>
      </c>
    </row>
    <row r="1180" customFormat="false" ht="15" hidden="false" customHeight="true" outlineLevel="0" collapsed="false">
      <c r="A1180" s="8" t="s">
        <v>1764</v>
      </c>
      <c r="B1180" s="8" t="n">
        <v>4413416</v>
      </c>
      <c r="C1180" s="8" t="s">
        <v>1562</v>
      </c>
      <c r="D1180" s="19" t="n">
        <v>7</v>
      </c>
      <c r="E1180" s="19" t="n">
        <v>767.858</v>
      </c>
      <c r="F1180" s="19" t="n">
        <v>10.1052631578947</v>
      </c>
      <c r="G1180" s="19" t="n">
        <v>1248.32842105263</v>
      </c>
      <c r="H1180" s="8" t="str">
        <f aca="false">IF(COUNTIF($J$1:$J$2,$A1180)&gt;0,"Y","N")</f>
        <v>N</v>
      </c>
    </row>
    <row r="1181" customFormat="false" ht="15" hidden="false" customHeight="true" outlineLevel="0" collapsed="false">
      <c r="A1181" s="8" t="s">
        <v>1764</v>
      </c>
      <c r="B1181" s="8" t="n">
        <v>4413417</v>
      </c>
      <c r="C1181" s="8" t="s">
        <v>1563</v>
      </c>
      <c r="D1181" s="19" t="n">
        <v>9</v>
      </c>
      <c r="E1181" s="19" t="n">
        <v>1063.426</v>
      </c>
      <c r="F1181" s="19" t="n">
        <v>16.4210526315789</v>
      </c>
      <c r="G1181" s="19" t="n">
        <v>2028.59115789474</v>
      </c>
      <c r="H1181" s="8" t="str">
        <f aca="false">IF(COUNTIF($J$1:$J$2,$A1181)&gt;0,"Y","N")</f>
        <v>N</v>
      </c>
    </row>
    <row r="1182" customFormat="false" ht="15" hidden="false" customHeight="true" outlineLevel="0" collapsed="false">
      <c r="A1182" s="8" t="s">
        <v>1764</v>
      </c>
      <c r="B1182" s="8" t="n">
        <v>4413418</v>
      </c>
      <c r="C1182" s="8" t="s">
        <v>1564</v>
      </c>
      <c r="D1182" s="19" t="n">
        <v>-1</v>
      </c>
      <c r="E1182" s="19" t="n">
        <v>-171.99</v>
      </c>
      <c r="F1182" s="19" t="n">
        <v>0</v>
      </c>
      <c r="G1182" s="19" t="n">
        <v>0</v>
      </c>
      <c r="H1182" s="8" t="str">
        <f aca="false">IF(COUNTIF($J$1:$J$2,$A1182)&gt;0,"Y","N")</f>
        <v>N</v>
      </c>
    </row>
    <row r="1183" customFormat="false" ht="15" hidden="false" customHeight="true" outlineLevel="0" collapsed="false">
      <c r="A1183" s="8" t="s">
        <v>1764</v>
      </c>
      <c r="B1183" s="8" t="n">
        <v>4413419</v>
      </c>
      <c r="C1183" s="8" t="s">
        <v>1565</v>
      </c>
      <c r="D1183" s="19" t="n">
        <v>-4</v>
      </c>
      <c r="E1183" s="19" t="n">
        <v>-542.633</v>
      </c>
      <c r="F1183" s="19" t="n">
        <v>2.52631578947368</v>
      </c>
      <c r="G1183" s="19" t="n">
        <v>312.082105263158</v>
      </c>
      <c r="H1183" s="8" t="str">
        <f aca="false">IF(COUNTIF($J$1:$J$2,$A1183)&gt;0,"Y","N")</f>
        <v>N</v>
      </c>
    </row>
    <row r="1184" customFormat="false" ht="15" hidden="false" customHeight="true" outlineLevel="0" collapsed="false">
      <c r="A1184" s="8" t="s">
        <v>1764</v>
      </c>
      <c r="B1184" s="8" t="n">
        <v>4413421</v>
      </c>
      <c r="C1184" s="8" t="s">
        <v>1567</v>
      </c>
      <c r="D1184" s="19" t="n">
        <v>7</v>
      </c>
      <c r="E1184" s="19" t="n">
        <v>450.541</v>
      </c>
      <c r="F1184" s="19" t="n">
        <v>10.1052631578947</v>
      </c>
      <c r="G1184" s="19" t="n">
        <v>684.971368421053</v>
      </c>
      <c r="H1184" s="8" t="str">
        <f aca="false">IF(COUNTIF($J$1:$J$2,$A1184)&gt;0,"Y","N")</f>
        <v>N</v>
      </c>
    </row>
    <row r="1185" customFormat="false" ht="15" hidden="false" customHeight="true" outlineLevel="0" collapsed="false">
      <c r="A1185" s="8" t="s">
        <v>1764</v>
      </c>
      <c r="B1185" s="8" t="n">
        <v>4413422</v>
      </c>
      <c r="C1185" s="8" t="s">
        <v>1568</v>
      </c>
      <c r="D1185" s="19" t="n">
        <v>9</v>
      </c>
      <c r="E1185" s="19" t="n">
        <v>586.222</v>
      </c>
      <c r="F1185" s="19" t="n">
        <v>13.8947368421053</v>
      </c>
      <c r="G1185" s="19" t="n">
        <v>941.878736842105</v>
      </c>
      <c r="H1185" s="8" t="str">
        <f aca="false">IF(COUNTIF($J$1:$J$2,$A1185)&gt;0,"Y","N")</f>
        <v>N</v>
      </c>
    </row>
    <row r="1186" customFormat="false" ht="15" hidden="false" customHeight="true" outlineLevel="0" collapsed="false">
      <c r="A1186" s="8" t="s">
        <v>1764</v>
      </c>
      <c r="B1186" s="8" t="n">
        <v>4413423</v>
      </c>
      <c r="C1186" s="8" t="s">
        <v>1569</v>
      </c>
      <c r="D1186" s="19" t="n">
        <v>4</v>
      </c>
      <c r="E1186" s="19" t="n">
        <v>223.314</v>
      </c>
      <c r="F1186" s="19" t="n">
        <v>7.57894736842105</v>
      </c>
      <c r="G1186" s="19" t="n">
        <v>513.699789473684</v>
      </c>
      <c r="H1186" s="8" t="str">
        <f aca="false">IF(COUNTIF($J$1:$J$2,$A1186)&gt;0,"Y","N")</f>
        <v>N</v>
      </c>
    </row>
    <row r="1187" customFormat="false" ht="15" hidden="false" customHeight="true" outlineLevel="0" collapsed="false">
      <c r="A1187" s="8" t="s">
        <v>1764</v>
      </c>
      <c r="B1187" s="8" t="n">
        <v>4413425</v>
      </c>
      <c r="C1187" s="8" t="s">
        <v>1571</v>
      </c>
      <c r="D1187" s="19" t="n">
        <v>0</v>
      </c>
      <c r="E1187" s="19" t="n">
        <v>-23.933</v>
      </c>
      <c r="F1187" s="19" t="n">
        <v>11.3684210526316</v>
      </c>
      <c r="G1187" s="19" t="n">
        <v>770.722105263158</v>
      </c>
      <c r="H1187" s="8" t="str">
        <f aca="false">IF(COUNTIF($J$1:$J$2,$A1187)&gt;0,"Y","N")</f>
        <v>N</v>
      </c>
    </row>
    <row r="1188" customFormat="false" ht="15" hidden="false" customHeight="true" outlineLevel="0" collapsed="false">
      <c r="A1188" s="8" t="s">
        <v>1764</v>
      </c>
      <c r="B1188" s="8" t="n">
        <v>4413426</v>
      </c>
      <c r="C1188" s="8" t="s">
        <v>1572</v>
      </c>
      <c r="D1188" s="19" t="n">
        <v>-3</v>
      </c>
      <c r="E1188" s="19" t="n">
        <v>-251.251</v>
      </c>
      <c r="F1188" s="19" t="n">
        <v>5.05263157894737</v>
      </c>
      <c r="G1188" s="19" t="n">
        <v>342.543157894737</v>
      </c>
      <c r="H1188" s="8" t="str">
        <f aca="false">IF(COUNTIF($J$1:$J$2,$A1188)&gt;0,"Y","N")</f>
        <v>N</v>
      </c>
    </row>
    <row r="1189" customFormat="false" ht="15" hidden="false" customHeight="true" outlineLevel="0" collapsed="false">
      <c r="A1189" s="8" t="s">
        <v>1764</v>
      </c>
      <c r="B1189" s="8" t="n">
        <v>4413427</v>
      </c>
      <c r="C1189" s="8" t="s">
        <v>1573</v>
      </c>
      <c r="D1189" s="19" t="n">
        <v>-1</v>
      </c>
      <c r="E1189" s="19" t="n">
        <v>-115.661</v>
      </c>
      <c r="F1189" s="19" t="n">
        <v>7.57894736842105</v>
      </c>
      <c r="G1189" s="19" t="n">
        <v>513.814736842105</v>
      </c>
      <c r="H1189" s="8" t="str">
        <f aca="false">IF(COUNTIF($J$1:$J$2,$A1189)&gt;0,"Y","N")</f>
        <v>N</v>
      </c>
    </row>
    <row r="1190" customFormat="false" ht="15" hidden="false" customHeight="true" outlineLevel="0" collapsed="false">
      <c r="A1190" s="8" t="s">
        <v>1764</v>
      </c>
      <c r="B1190" s="8" t="n">
        <v>4413439</v>
      </c>
      <c r="C1190" s="8" t="s">
        <v>1575</v>
      </c>
      <c r="D1190" s="19" t="n">
        <v>5</v>
      </c>
      <c r="E1190" s="19" t="n">
        <v>489.489</v>
      </c>
      <c r="F1190" s="19" t="n">
        <v>22.7368421052632</v>
      </c>
      <c r="G1190" s="19" t="n">
        <v>2808.96884210526</v>
      </c>
      <c r="H1190" s="8" t="str">
        <f aca="false">IF(COUNTIF($J$1:$J$2,$A1190)&gt;0,"Y","N")</f>
        <v>N</v>
      </c>
    </row>
    <row r="1191" customFormat="false" ht="15" hidden="false" customHeight="true" outlineLevel="0" collapsed="false">
      <c r="A1191" s="8" t="s">
        <v>1764</v>
      </c>
      <c r="B1191" s="8" t="n">
        <v>4413440</v>
      </c>
      <c r="C1191" s="8" t="s">
        <v>1576</v>
      </c>
      <c r="D1191" s="19" t="n">
        <v>8</v>
      </c>
      <c r="E1191" s="19" t="n">
        <v>902.811</v>
      </c>
      <c r="F1191" s="19" t="n">
        <v>17.6842105263158</v>
      </c>
      <c r="G1191" s="19" t="n">
        <v>2184.68968421053</v>
      </c>
      <c r="H1191" s="8" t="str">
        <f aca="false">IF(COUNTIF($J$1:$J$2,$A1191)&gt;0,"Y","N")</f>
        <v>N</v>
      </c>
    </row>
    <row r="1192" customFormat="false" ht="15" hidden="false" customHeight="true" outlineLevel="0" collapsed="false">
      <c r="A1192" s="8" t="s">
        <v>1764</v>
      </c>
      <c r="B1192" s="8" t="n">
        <v>4413441</v>
      </c>
      <c r="C1192" s="8" t="s">
        <v>1577</v>
      </c>
      <c r="D1192" s="19" t="n">
        <v>1</v>
      </c>
      <c r="E1192" s="19" t="n">
        <v>123.487</v>
      </c>
      <c r="F1192" s="19" t="n">
        <v>17.6842105263158</v>
      </c>
      <c r="G1192" s="19" t="n">
        <v>2184.80463157895</v>
      </c>
      <c r="H1192" s="8" t="str">
        <f aca="false">IF(COUNTIF($J$1:$J$2,$A1192)&gt;0,"Y","N")</f>
        <v>N</v>
      </c>
    </row>
    <row r="1193" customFormat="false" ht="15" hidden="false" customHeight="true" outlineLevel="0" collapsed="false">
      <c r="A1193" s="8" t="s">
        <v>1764</v>
      </c>
      <c r="B1193" s="8" t="n">
        <v>4413442</v>
      </c>
      <c r="C1193" s="8" t="s">
        <v>1578</v>
      </c>
      <c r="D1193" s="19" t="n">
        <v>0</v>
      </c>
      <c r="E1193" s="19" t="n">
        <v>-85.54</v>
      </c>
      <c r="F1193" s="19" t="n">
        <v>11.3684210526316</v>
      </c>
      <c r="G1193" s="19" t="n">
        <v>1404.54189473684</v>
      </c>
      <c r="H1193" s="8" t="str">
        <f aca="false">IF(COUNTIF($J$1:$J$2,$A1193)&gt;0,"Y","N")</f>
        <v>N</v>
      </c>
    </row>
    <row r="1194" customFormat="false" ht="15" hidden="false" customHeight="true" outlineLevel="0" collapsed="false">
      <c r="A1194" s="8" t="s">
        <v>1764</v>
      </c>
      <c r="B1194" s="8" t="n">
        <v>4413444</v>
      </c>
      <c r="C1194" s="8" t="s">
        <v>1579</v>
      </c>
      <c r="D1194" s="19" t="n">
        <v>-1</v>
      </c>
      <c r="E1194" s="19" t="n">
        <v>-59.696</v>
      </c>
      <c r="F1194" s="19" t="n">
        <v>-1.26315789473684</v>
      </c>
      <c r="G1194" s="19" t="n">
        <v>-75.4054736842105</v>
      </c>
      <c r="H1194" s="8" t="str">
        <f aca="false">IF(COUNTIF($J$1:$J$2,$A1194)&gt;0,"Y","N")</f>
        <v>N</v>
      </c>
    </row>
    <row r="1195" customFormat="false" ht="15" hidden="false" customHeight="true" outlineLevel="0" collapsed="false">
      <c r="A1195" s="8" t="s">
        <v>1764</v>
      </c>
      <c r="B1195" s="8" t="n">
        <v>4413445</v>
      </c>
      <c r="C1195" s="8" t="s">
        <v>1580</v>
      </c>
      <c r="D1195" s="19" t="n">
        <v>3</v>
      </c>
      <c r="E1195" s="19" t="n">
        <v>179.27</v>
      </c>
      <c r="F1195" s="19" t="n">
        <v>3.78947368421053</v>
      </c>
      <c r="G1195" s="19" t="n">
        <v>226.331368421053</v>
      </c>
      <c r="H1195" s="8" t="str">
        <f aca="false">IF(COUNTIF($J$1:$J$2,$A1195)&gt;0,"Y","N")</f>
        <v>N</v>
      </c>
    </row>
    <row r="1196" customFormat="false" ht="15" hidden="false" customHeight="true" outlineLevel="0" collapsed="false">
      <c r="A1196" s="8" t="s">
        <v>1764</v>
      </c>
      <c r="B1196" s="8" t="n">
        <v>4413452</v>
      </c>
      <c r="C1196" s="8" t="s">
        <v>1584</v>
      </c>
      <c r="D1196" s="19" t="n">
        <v>28</v>
      </c>
      <c r="E1196" s="19" t="n">
        <v>1123.122</v>
      </c>
      <c r="F1196" s="19" t="n">
        <v>34.1052631578947</v>
      </c>
      <c r="G1196" s="19" t="n">
        <v>1368.10357894737</v>
      </c>
      <c r="H1196" s="8" t="str">
        <f aca="false">IF(COUNTIF($J$1:$J$2,$A1196)&gt;0,"Y","N")</f>
        <v>N</v>
      </c>
    </row>
    <row r="1197" customFormat="false" ht="15" hidden="false" customHeight="true" outlineLevel="0" collapsed="false">
      <c r="A1197" s="8" t="s">
        <v>1764</v>
      </c>
      <c r="B1197" s="8" t="n">
        <v>4413453</v>
      </c>
      <c r="C1197" s="8" t="s">
        <v>1585</v>
      </c>
      <c r="D1197" s="19" t="n">
        <v>66</v>
      </c>
      <c r="E1197" s="19" t="n">
        <v>4774.77</v>
      </c>
      <c r="F1197" s="19" t="n">
        <v>99.7894736842105</v>
      </c>
      <c r="G1197" s="19" t="n">
        <v>7219.26947368421</v>
      </c>
      <c r="H1197" s="8" t="str">
        <f aca="false">IF(COUNTIF($J$1:$J$2,$A1197)&gt;0,"Y","N")</f>
        <v>N</v>
      </c>
    </row>
    <row r="1198" customFormat="false" ht="15" hidden="false" customHeight="true" outlineLevel="0" collapsed="false">
      <c r="A1198" s="8" t="s">
        <v>1764</v>
      </c>
      <c r="B1198" s="8" t="n">
        <v>4413455</v>
      </c>
      <c r="C1198" s="8" t="s">
        <v>1586</v>
      </c>
      <c r="D1198" s="19" t="n">
        <v>15</v>
      </c>
      <c r="E1198" s="19" t="n">
        <v>661.934</v>
      </c>
      <c r="F1198" s="19" t="n">
        <v>20.2105263157895</v>
      </c>
      <c r="G1198" s="19" t="n">
        <v>891.876631578947</v>
      </c>
      <c r="H1198" s="8" t="str">
        <f aca="false">IF(COUNTIF($J$1:$J$2,$A1198)&gt;0,"Y","N")</f>
        <v>N</v>
      </c>
    </row>
    <row r="1199" customFormat="false" ht="15" hidden="false" customHeight="true" outlineLevel="0" collapsed="false">
      <c r="A1199" s="8" t="s">
        <v>1764</v>
      </c>
      <c r="B1199" s="8" t="n">
        <v>4413495</v>
      </c>
      <c r="C1199" s="8" t="s">
        <v>1595</v>
      </c>
      <c r="D1199" s="19" t="n">
        <v>44</v>
      </c>
      <c r="E1199" s="19" t="n">
        <v>1111.11</v>
      </c>
      <c r="F1199" s="19" t="n">
        <v>37.8947368421053</v>
      </c>
      <c r="G1199" s="19" t="n">
        <v>957.051789473684</v>
      </c>
      <c r="H1199" s="8" t="str">
        <f aca="false">IF(COUNTIF($J$1:$J$2,$A1199)&gt;0,"Y","N")</f>
        <v>N</v>
      </c>
    </row>
    <row r="1200" customFormat="false" ht="15" hidden="false" customHeight="true" outlineLevel="0" collapsed="false">
      <c r="A1200" s="8" t="s">
        <v>1764</v>
      </c>
      <c r="B1200" s="8" t="n">
        <v>4413496</v>
      </c>
      <c r="C1200" s="8" t="s">
        <v>1596</v>
      </c>
      <c r="D1200" s="19" t="n">
        <v>13</v>
      </c>
      <c r="E1200" s="19" t="n">
        <v>328.328</v>
      </c>
      <c r="F1200" s="19" t="n">
        <v>24</v>
      </c>
      <c r="G1200" s="19" t="n">
        <v>606.117473684211</v>
      </c>
      <c r="H1200" s="8" t="str">
        <f aca="false">IF(COUNTIF($J$1:$J$2,$A1200)&gt;0,"Y","N")</f>
        <v>N</v>
      </c>
    </row>
    <row r="1201" customFormat="false" ht="15" hidden="false" customHeight="true" outlineLevel="0" collapsed="false">
      <c r="A1201" s="8" t="s">
        <v>1764</v>
      </c>
      <c r="B1201" s="8" t="n">
        <v>4413497</v>
      </c>
      <c r="C1201" s="8" t="s">
        <v>1597</v>
      </c>
      <c r="D1201" s="19" t="n">
        <v>40</v>
      </c>
      <c r="E1201" s="19" t="n">
        <v>1010.191</v>
      </c>
      <c r="F1201" s="19" t="n">
        <v>26.5263157894737</v>
      </c>
      <c r="G1201" s="19" t="n">
        <v>669.913263157895</v>
      </c>
      <c r="H1201" s="8" t="str">
        <f aca="false">IF(COUNTIF($J$1:$J$2,$A1201)&gt;0,"Y","N")</f>
        <v>N</v>
      </c>
    </row>
    <row r="1202" customFormat="false" ht="15" hidden="false" customHeight="true" outlineLevel="0" collapsed="false">
      <c r="A1202" s="8" t="s">
        <v>1764</v>
      </c>
      <c r="B1202" s="8" t="n">
        <v>4413498</v>
      </c>
      <c r="C1202" s="8" t="s">
        <v>1598</v>
      </c>
      <c r="D1202" s="19" t="n">
        <v>12</v>
      </c>
      <c r="E1202" s="19" t="n">
        <v>303.03</v>
      </c>
      <c r="F1202" s="19" t="n">
        <v>21.4736842105263</v>
      </c>
      <c r="G1202" s="19" t="n">
        <v>542.321684210526</v>
      </c>
      <c r="H1202" s="8" t="str">
        <f aca="false">IF(COUNTIF($J$1:$J$2,$A1202)&gt;0,"Y","N")</f>
        <v>N</v>
      </c>
    </row>
    <row r="1203" customFormat="false" ht="15" hidden="false" customHeight="true" outlineLevel="0" collapsed="false">
      <c r="A1203" s="8" t="s">
        <v>1764</v>
      </c>
      <c r="B1203" s="8" t="n">
        <v>4413499</v>
      </c>
      <c r="C1203" s="8" t="s">
        <v>1599</v>
      </c>
      <c r="D1203" s="19" t="n">
        <v>20</v>
      </c>
      <c r="E1203" s="19" t="n">
        <v>505.05</v>
      </c>
      <c r="F1203" s="19" t="n">
        <v>22.7368421052632</v>
      </c>
      <c r="G1203" s="19" t="n">
        <v>574.277052631579</v>
      </c>
      <c r="H1203" s="8" t="str">
        <f aca="false">IF(COUNTIF($J$1:$J$2,$A1203)&gt;0,"Y","N")</f>
        <v>N</v>
      </c>
    </row>
    <row r="1204" customFormat="false" ht="15" hidden="false" customHeight="true" outlineLevel="0" collapsed="false">
      <c r="A1204" s="8" t="s">
        <v>1764</v>
      </c>
      <c r="B1204" s="8" t="n">
        <v>4414000</v>
      </c>
      <c r="C1204" s="8" t="s">
        <v>1620</v>
      </c>
      <c r="D1204" s="19" t="n">
        <v>185</v>
      </c>
      <c r="E1204" s="19" t="n">
        <v>5629.806</v>
      </c>
      <c r="F1204" s="19" t="n">
        <v>207.157894736842</v>
      </c>
      <c r="G1204" s="19" t="n">
        <v>6349.46273684211</v>
      </c>
      <c r="H1204" s="8" t="str">
        <f aca="false">IF(COUNTIF($J$1:$J$2,$A1204)&gt;0,"Y","N")</f>
        <v>N</v>
      </c>
    </row>
    <row r="1205" customFormat="false" ht="15" hidden="false" customHeight="true" outlineLevel="0" collapsed="false">
      <c r="A1205" s="8" t="s">
        <v>1764</v>
      </c>
      <c r="B1205" s="8" t="n">
        <v>4415000</v>
      </c>
      <c r="C1205" s="8" t="s">
        <v>1621</v>
      </c>
      <c r="D1205" s="19" t="n">
        <v>56</v>
      </c>
      <c r="E1205" s="19" t="n">
        <v>4431.609</v>
      </c>
      <c r="F1205" s="19" t="n">
        <v>72</v>
      </c>
      <c r="G1205" s="19" t="n">
        <v>5778.864</v>
      </c>
      <c r="H1205" s="8" t="str">
        <f aca="false">IF(COUNTIF($J$1:$J$2,$A1205)&gt;0,"Y","N")</f>
        <v>N</v>
      </c>
    </row>
    <row r="1206" customFormat="false" ht="15" hidden="false" customHeight="true" outlineLevel="0" collapsed="false">
      <c r="A1206" s="8" t="s">
        <v>1764</v>
      </c>
      <c r="B1206" s="8" t="n">
        <v>4415001</v>
      </c>
      <c r="C1206" s="8" t="s">
        <v>1622</v>
      </c>
      <c r="D1206" s="19" t="n">
        <v>53</v>
      </c>
      <c r="E1206" s="19" t="n">
        <v>4253.886</v>
      </c>
      <c r="F1206" s="19" t="n">
        <v>74.5263157894737</v>
      </c>
      <c r="G1206" s="19" t="n">
        <v>5932.31873684211</v>
      </c>
      <c r="H1206" s="8" t="str">
        <f aca="false">IF(COUNTIF($J$1:$J$2,$A1206)&gt;0,"Y","N")</f>
        <v>N</v>
      </c>
    </row>
    <row r="1207" customFormat="false" ht="15" hidden="false" customHeight="true" outlineLevel="0" collapsed="false">
      <c r="A1207" s="8" t="s">
        <v>1764</v>
      </c>
      <c r="B1207" s="8" t="n">
        <v>4415002</v>
      </c>
      <c r="C1207" s="8" t="s">
        <v>1623</v>
      </c>
      <c r="D1207" s="19" t="n">
        <v>49</v>
      </c>
      <c r="E1207" s="19" t="n">
        <v>3932.838</v>
      </c>
      <c r="F1207" s="19" t="n">
        <v>50.5263157894737</v>
      </c>
      <c r="G1207" s="19" t="n">
        <v>4055.34315789474</v>
      </c>
      <c r="H1207" s="8" t="str">
        <f aca="false">IF(COUNTIF($J$1:$J$2,$A1207)&gt;0,"Y","N")</f>
        <v>N</v>
      </c>
    </row>
    <row r="1208" customFormat="false" ht="15" hidden="false" customHeight="true" outlineLevel="0" collapsed="false">
      <c r="A1208" s="8" t="s">
        <v>1764</v>
      </c>
      <c r="B1208" s="8" t="n">
        <v>4415003</v>
      </c>
      <c r="C1208" s="8" t="s">
        <v>1624</v>
      </c>
      <c r="D1208" s="19" t="n">
        <v>27</v>
      </c>
      <c r="E1208" s="19" t="n">
        <v>2161.341</v>
      </c>
      <c r="F1208" s="19" t="n">
        <v>41.6842105263158</v>
      </c>
      <c r="G1208" s="19" t="n">
        <v>3345.65810526316</v>
      </c>
      <c r="H1208" s="8" t="str">
        <f aca="false">IF(COUNTIF($J$1:$J$2,$A1208)&gt;0,"Y","N")</f>
        <v>N</v>
      </c>
    </row>
    <row r="1209" customFormat="false" ht="15" hidden="false" customHeight="true" outlineLevel="0" collapsed="false">
      <c r="A1209" s="8" t="s">
        <v>1764</v>
      </c>
      <c r="B1209" s="8" t="n">
        <v>4415004</v>
      </c>
      <c r="C1209" s="8" t="s">
        <v>1625</v>
      </c>
      <c r="D1209" s="19" t="n">
        <v>-1</v>
      </c>
      <c r="E1209" s="19" t="n">
        <v>-80.262</v>
      </c>
      <c r="F1209" s="19" t="n">
        <v>0</v>
      </c>
      <c r="G1209" s="19" t="n">
        <v>0</v>
      </c>
      <c r="H1209" s="8" t="str">
        <f aca="false">IF(COUNTIF($J$1:$J$2,$A1209)&gt;0,"Y","N")</f>
        <v>N</v>
      </c>
    </row>
    <row r="1210" customFormat="false" ht="15" hidden="false" customHeight="true" outlineLevel="0" collapsed="false">
      <c r="A1210" s="8" t="s">
        <v>1764</v>
      </c>
      <c r="B1210" s="8" t="n">
        <v>4415005</v>
      </c>
      <c r="C1210" s="8" t="s">
        <v>1626</v>
      </c>
      <c r="D1210" s="19" t="n">
        <v>46</v>
      </c>
      <c r="E1210" s="19" t="n">
        <v>3657.654</v>
      </c>
      <c r="F1210" s="19" t="n">
        <v>60.6315789473684</v>
      </c>
      <c r="G1210" s="19" t="n">
        <v>4866.41178947369</v>
      </c>
      <c r="H1210" s="8" t="str">
        <f aca="false">IF(COUNTIF($J$1:$J$2,$A1210)&gt;0,"Y","N")</f>
        <v>N</v>
      </c>
    </row>
    <row r="1211" customFormat="false" ht="15" hidden="false" customHeight="true" outlineLevel="0" collapsed="false">
      <c r="A1211" s="8" t="s">
        <v>1764</v>
      </c>
      <c r="B1211" s="8" t="n">
        <v>4415006</v>
      </c>
      <c r="C1211" s="8" t="s">
        <v>1627</v>
      </c>
      <c r="D1211" s="19" t="n">
        <v>63</v>
      </c>
      <c r="E1211" s="19" t="n">
        <v>5056.506</v>
      </c>
      <c r="F1211" s="19" t="n">
        <v>72</v>
      </c>
      <c r="G1211" s="19" t="n">
        <v>5778.864</v>
      </c>
      <c r="H1211" s="8" t="str">
        <f aca="false">IF(COUNTIF($J$1:$J$2,$A1211)&gt;0,"Y","N")</f>
        <v>N</v>
      </c>
    </row>
    <row r="1212" customFormat="false" ht="15" hidden="false" customHeight="true" outlineLevel="0" collapsed="false">
      <c r="A1212" s="8" t="s">
        <v>1764</v>
      </c>
      <c r="B1212" s="8" t="n">
        <v>4415007</v>
      </c>
      <c r="C1212" s="8" t="s">
        <v>1628</v>
      </c>
      <c r="D1212" s="19" t="n">
        <v>80</v>
      </c>
      <c r="E1212" s="19" t="n">
        <v>6386.562</v>
      </c>
      <c r="F1212" s="19" t="n">
        <v>77.0526315789474</v>
      </c>
      <c r="G1212" s="19" t="n">
        <v>6184.39831578947</v>
      </c>
      <c r="H1212" s="8" t="str">
        <f aca="false">IF(COUNTIF($J$1:$J$2,$A1212)&gt;0,"Y","N")</f>
        <v>N</v>
      </c>
    </row>
    <row r="1213" customFormat="false" ht="15" hidden="false" customHeight="true" outlineLevel="0" collapsed="false">
      <c r="A1213" s="8" t="s">
        <v>1764</v>
      </c>
      <c r="B1213" s="8" t="n">
        <v>4415008</v>
      </c>
      <c r="C1213" s="8" t="s">
        <v>1629</v>
      </c>
      <c r="D1213" s="19" t="n">
        <v>18</v>
      </c>
      <c r="E1213" s="19" t="n">
        <v>1410.318</v>
      </c>
      <c r="F1213" s="19" t="n">
        <v>18.9473684210526</v>
      </c>
      <c r="G1213" s="19" t="n">
        <v>1520.75368421053</v>
      </c>
      <c r="H1213" s="8" t="str">
        <f aca="false">IF(COUNTIF($J$1:$J$2,$A1213)&gt;0,"Y","N")</f>
        <v>N</v>
      </c>
    </row>
    <row r="1214" customFormat="false" ht="15" hidden="false" customHeight="true" outlineLevel="0" collapsed="false">
      <c r="A1214" s="8" t="s">
        <v>1764</v>
      </c>
      <c r="B1214" s="8" t="n">
        <v>4415025</v>
      </c>
      <c r="C1214" s="8" t="s">
        <v>1633</v>
      </c>
      <c r="D1214" s="19" t="n">
        <v>0</v>
      </c>
      <c r="E1214" s="19" t="n">
        <v>0</v>
      </c>
      <c r="F1214" s="19" t="n">
        <v>8.84210526315789</v>
      </c>
      <c r="G1214" s="19" t="n">
        <v>709.685052631579</v>
      </c>
      <c r="H1214" s="8" t="str">
        <f aca="false">IF(COUNTIF($J$1:$J$2,$A1214)&gt;0,"Y","N")</f>
        <v>N</v>
      </c>
    </row>
    <row r="1215" customFormat="false" ht="15" hidden="false" customHeight="true" outlineLevel="0" collapsed="false">
      <c r="A1215" s="8" t="s">
        <v>1764</v>
      </c>
      <c r="B1215" s="8" t="n">
        <v>4415026</v>
      </c>
      <c r="C1215" s="8" t="s">
        <v>1634</v>
      </c>
      <c r="D1215" s="19" t="n">
        <v>23</v>
      </c>
      <c r="E1215" s="19" t="n">
        <v>717.262</v>
      </c>
      <c r="F1215" s="19" t="n">
        <v>27.7894736842105</v>
      </c>
      <c r="G1215" s="19" t="n">
        <v>866.703157894737</v>
      </c>
      <c r="H1215" s="8" t="str">
        <f aca="false">IF(COUNTIF($J$1:$J$2,$A1215)&gt;0,"Y","N")</f>
        <v>N</v>
      </c>
    </row>
    <row r="1216" customFormat="false" ht="15" hidden="false" customHeight="true" outlineLevel="0" collapsed="false">
      <c r="A1216" s="8" t="s">
        <v>1764</v>
      </c>
      <c r="B1216" s="8" t="n">
        <v>4415027</v>
      </c>
      <c r="C1216" s="8" t="s">
        <v>1635</v>
      </c>
      <c r="D1216" s="19" t="n">
        <v>24</v>
      </c>
      <c r="E1216" s="19" t="n">
        <v>748.475</v>
      </c>
      <c r="F1216" s="19" t="n">
        <v>32.8421052631579</v>
      </c>
      <c r="G1216" s="19" t="n">
        <v>1036.71031578947</v>
      </c>
      <c r="H1216" s="8" t="str">
        <f aca="false">IF(COUNTIF($J$1:$J$2,$A1216)&gt;0,"Y","N")</f>
        <v>N</v>
      </c>
    </row>
    <row r="1217" customFormat="false" ht="15" hidden="false" customHeight="true" outlineLevel="0" collapsed="false">
      <c r="A1217" s="8" t="s">
        <v>1764</v>
      </c>
      <c r="B1217" s="8" t="n">
        <v>4415028</v>
      </c>
      <c r="C1217" s="8" t="s">
        <v>1636</v>
      </c>
      <c r="D1217" s="19" t="n">
        <v>47</v>
      </c>
      <c r="E1217" s="19" t="n">
        <v>1029.028</v>
      </c>
      <c r="F1217" s="19" t="n">
        <v>56.8421052631579</v>
      </c>
      <c r="G1217" s="19" t="n">
        <v>1244.53515789474</v>
      </c>
      <c r="H1217" s="8" t="str">
        <f aca="false">IF(COUNTIF($J$1:$J$2,$A1217)&gt;0,"Y","N")</f>
        <v>N</v>
      </c>
    </row>
    <row r="1218" customFormat="false" ht="15" hidden="false" customHeight="true" outlineLevel="0" collapsed="false">
      <c r="A1218" s="8" t="s">
        <v>1764</v>
      </c>
      <c r="B1218" s="8" t="n">
        <v>4415029</v>
      </c>
      <c r="C1218" s="8" t="s">
        <v>1637</v>
      </c>
      <c r="D1218" s="19" t="n">
        <v>13</v>
      </c>
      <c r="E1218" s="19" t="n">
        <v>479.752</v>
      </c>
      <c r="F1218" s="19" t="n">
        <v>37.8947368421053</v>
      </c>
      <c r="G1218" s="19" t="n">
        <v>1398.67957894737</v>
      </c>
      <c r="H1218" s="8" t="str">
        <f aca="false">IF(COUNTIF($J$1:$J$2,$A1218)&gt;0,"Y","N")</f>
        <v>N</v>
      </c>
    </row>
    <row r="1219" customFormat="false" ht="15" hidden="false" customHeight="true" outlineLevel="0" collapsed="false">
      <c r="A1219" s="8" t="s">
        <v>1764</v>
      </c>
      <c r="B1219" s="8" t="n">
        <v>4415067</v>
      </c>
      <c r="C1219" s="8" t="s">
        <v>1638</v>
      </c>
      <c r="D1219" s="19" t="n">
        <v>-2</v>
      </c>
      <c r="E1219" s="19" t="n">
        <v>-120.393</v>
      </c>
      <c r="F1219" s="19" t="n">
        <v>0</v>
      </c>
      <c r="G1219" s="19" t="n">
        <v>0</v>
      </c>
      <c r="H1219" s="8" t="str">
        <f aca="false">IF(COUNTIF($J$1:$J$2,$A1219)&gt;0,"Y","N")</f>
        <v>N</v>
      </c>
    </row>
    <row r="1220" customFormat="false" ht="15" hidden="false" customHeight="true" outlineLevel="0" collapsed="false">
      <c r="A1220" s="8" t="s">
        <v>1764</v>
      </c>
      <c r="B1220" s="8" t="n">
        <v>4415072</v>
      </c>
      <c r="C1220" s="8" t="s">
        <v>1642</v>
      </c>
      <c r="D1220" s="19" t="n">
        <v>159</v>
      </c>
      <c r="E1220" s="19" t="n">
        <v>9139.13</v>
      </c>
      <c r="F1220" s="19" t="n">
        <v>192</v>
      </c>
      <c r="G1220" s="19" t="n">
        <v>11016.2109473684</v>
      </c>
      <c r="H1220" s="8" t="str">
        <f aca="false">IF(COUNTIF($J$1:$J$2,$A1220)&gt;0,"Y","N")</f>
        <v>N</v>
      </c>
    </row>
    <row r="1221" customFormat="false" ht="15" hidden="false" customHeight="true" outlineLevel="0" collapsed="false">
      <c r="A1221" s="8" t="s">
        <v>1764</v>
      </c>
      <c r="B1221" s="8" t="n">
        <v>4415073</v>
      </c>
      <c r="C1221" s="8" t="s">
        <v>1643</v>
      </c>
      <c r="D1221" s="19" t="n">
        <v>31</v>
      </c>
      <c r="E1221" s="19" t="n">
        <v>1782.872</v>
      </c>
      <c r="F1221" s="19" t="n">
        <v>25.2631578947368</v>
      </c>
      <c r="G1221" s="19" t="n">
        <v>1459.94652631579</v>
      </c>
      <c r="H1221" s="8" t="str">
        <f aca="false">IF(COUNTIF($J$1:$J$2,$A1221)&gt;0,"Y","N")</f>
        <v>N</v>
      </c>
    </row>
    <row r="1222" customFormat="false" ht="15" hidden="false" customHeight="true" outlineLevel="0" collapsed="false">
      <c r="A1222" s="8" t="s">
        <v>1764</v>
      </c>
      <c r="B1222" s="8" t="n">
        <v>4415080</v>
      </c>
      <c r="C1222" s="8" t="s">
        <v>1646</v>
      </c>
      <c r="D1222" s="19" t="n">
        <v>69</v>
      </c>
      <c r="E1222" s="19" t="n">
        <v>513.604</v>
      </c>
      <c r="F1222" s="19" t="n">
        <v>29.0526315789474</v>
      </c>
      <c r="G1222" s="19" t="n">
        <v>216.216</v>
      </c>
      <c r="H1222" s="8" t="str">
        <f aca="false">IF(COUNTIF($J$1:$J$2,$A1222)&gt;0,"Y","N")</f>
        <v>N</v>
      </c>
    </row>
    <row r="1223" customFormat="false" ht="15" hidden="false" customHeight="true" outlineLevel="0" collapsed="false">
      <c r="A1223" s="8" t="s">
        <v>1764</v>
      </c>
      <c r="B1223" s="8" t="n">
        <v>4415089</v>
      </c>
      <c r="C1223" s="8" t="s">
        <v>1649</v>
      </c>
      <c r="D1223" s="19" t="n">
        <v>-2</v>
      </c>
      <c r="E1223" s="19" t="n">
        <v>-176.631</v>
      </c>
      <c r="F1223" s="19" t="n">
        <v>0</v>
      </c>
      <c r="G1223" s="19" t="n">
        <v>0</v>
      </c>
      <c r="H1223" s="8" t="str">
        <f aca="false">IF(COUNTIF($J$1:$J$2,$A1223)&gt;0,"Y","N")</f>
        <v>N</v>
      </c>
    </row>
    <row r="1224" customFormat="false" ht="15" hidden="false" customHeight="true" outlineLevel="0" collapsed="false">
      <c r="A1224" s="8" t="s">
        <v>1764</v>
      </c>
      <c r="B1224" s="8" t="n">
        <v>4415142</v>
      </c>
      <c r="C1224" s="8" t="s">
        <v>1788</v>
      </c>
      <c r="D1224" s="19" t="n">
        <v>-1</v>
      </c>
      <c r="E1224" s="19" t="n">
        <v>-151.606</v>
      </c>
      <c r="F1224" s="19" t="n">
        <v>0</v>
      </c>
      <c r="G1224" s="19" t="n">
        <v>0</v>
      </c>
      <c r="H1224" s="8" t="str">
        <f aca="false">IF(COUNTIF($J$1:$J$2,$A1224)&gt;0,"Y","N")</f>
        <v>N</v>
      </c>
    </row>
    <row r="1225" customFormat="false" ht="15" hidden="false" customHeight="true" outlineLevel="0" collapsed="false">
      <c r="A1225" s="8" t="s">
        <v>1764</v>
      </c>
      <c r="B1225" s="8" t="n">
        <v>4415158</v>
      </c>
      <c r="C1225" s="8" t="s">
        <v>1654</v>
      </c>
      <c r="D1225" s="19" t="n">
        <v>367</v>
      </c>
      <c r="E1225" s="19" t="n">
        <v>24299.639</v>
      </c>
      <c r="F1225" s="19" t="n">
        <v>418.105263157895</v>
      </c>
      <c r="G1225" s="19" t="n">
        <v>27683.4644210526</v>
      </c>
      <c r="H1225" s="8" t="str">
        <f aca="false">IF(COUNTIF($J$1:$J$2,$A1225)&gt;0,"Y","N")</f>
        <v>N</v>
      </c>
    </row>
    <row r="1226" customFormat="false" ht="15" hidden="false" customHeight="true" outlineLevel="0" collapsed="false">
      <c r="A1226" s="8" t="s">
        <v>1764</v>
      </c>
      <c r="B1226" s="8" t="n">
        <v>4415159</v>
      </c>
      <c r="C1226" s="8" t="s">
        <v>1655</v>
      </c>
      <c r="D1226" s="19" t="n">
        <v>43</v>
      </c>
      <c r="E1226" s="19" t="n">
        <v>4314.219</v>
      </c>
      <c r="F1226" s="19" t="n">
        <v>37.8947368421053</v>
      </c>
      <c r="G1226" s="19" t="n">
        <v>3801.99915789474</v>
      </c>
      <c r="H1226" s="8" t="str">
        <f aca="false">IF(COUNTIF($J$1:$J$2,$A1226)&gt;0,"Y","N")</f>
        <v>N</v>
      </c>
    </row>
    <row r="1227" customFormat="false" ht="15" hidden="false" customHeight="true" outlineLevel="0" collapsed="false">
      <c r="A1227" s="8" t="s">
        <v>1764</v>
      </c>
      <c r="B1227" s="8" t="n">
        <v>4415160</v>
      </c>
      <c r="C1227" s="8" t="s">
        <v>1656</v>
      </c>
      <c r="D1227" s="19" t="n">
        <v>470</v>
      </c>
      <c r="E1227" s="19" t="n">
        <v>6586.58</v>
      </c>
      <c r="F1227" s="19" t="n">
        <v>471.157894736842</v>
      </c>
      <c r="G1227" s="19" t="n">
        <v>6602.8067368421</v>
      </c>
      <c r="H1227" s="8" t="str">
        <f aca="false">IF(COUNTIF($J$1:$J$2,$A1227)&gt;0,"Y","N")</f>
        <v>N</v>
      </c>
    </row>
    <row r="1228" customFormat="false" ht="15" hidden="false" customHeight="true" outlineLevel="0" collapsed="false">
      <c r="A1228" s="8" t="s">
        <v>1764</v>
      </c>
      <c r="B1228" s="8" t="n">
        <v>4415161</v>
      </c>
      <c r="C1228" s="8" t="s">
        <v>1657</v>
      </c>
      <c r="D1228" s="19" t="n">
        <v>577</v>
      </c>
      <c r="E1228" s="19" t="n">
        <v>8086.078</v>
      </c>
      <c r="F1228" s="19" t="n">
        <v>673.263157894737</v>
      </c>
      <c r="G1228" s="19" t="n">
        <v>9435.10989473684</v>
      </c>
      <c r="H1228" s="8" t="str">
        <f aca="false">IF(COUNTIF($J$1:$J$2,$A1228)&gt;0,"Y","N")</f>
        <v>N</v>
      </c>
    </row>
    <row r="1229" customFormat="false" ht="15" hidden="false" customHeight="true" outlineLevel="0" collapsed="false">
      <c r="A1229" s="8" t="s">
        <v>1764</v>
      </c>
      <c r="B1229" s="8" t="n">
        <v>4415162</v>
      </c>
      <c r="C1229" s="8" t="s">
        <v>1658</v>
      </c>
      <c r="D1229" s="19" t="n">
        <v>596</v>
      </c>
      <c r="E1229" s="19" t="n">
        <v>8352.344</v>
      </c>
      <c r="F1229" s="19" t="n">
        <v>593.684210526316</v>
      </c>
      <c r="G1229" s="19" t="n">
        <v>8319.89052631579</v>
      </c>
      <c r="H1229" s="8" t="str">
        <f aca="false">IF(COUNTIF($J$1:$J$2,$A1229)&gt;0,"Y","N")</f>
        <v>N</v>
      </c>
    </row>
    <row r="1230" customFormat="false" ht="15" hidden="false" customHeight="true" outlineLevel="0" collapsed="false">
      <c r="A1230" s="8" t="s">
        <v>1764</v>
      </c>
      <c r="B1230" s="8" t="n">
        <v>4415163</v>
      </c>
      <c r="C1230" s="8" t="s">
        <v>1659</v>
      </c>
      <c r="D1230" s="19" t="n">
        <v>249</v>
      </c>
      <c r="E1230" s="19" t="n">
        <v>3489.486</v>
      </c>
      <c r="F1230" s="19" t="n">
        <v>271.578947368421</v>
      </c>
      <c r="G1230" s="19" t="n">
        <v>3805.90736842105</v>
      </c>
      <c r="H1230" s="8" t="str">
        <f aca="false">IF(COUNTIF($J$1:$J$2,$A1230)&gt;0,"Y","N")</f>
        <v>N</v>
      </c>
    </row>
    <row r="1231" customFormat="false" ht="15" hidden="false" customHeight="true" outlineLevel="0" collapsed="false">
      <c r="A1231" s="8" t="s">
        <v>1764</v>
      </c>
      <c r="B1231" s="8" t="n">
        <v>4416000</v>
      </c>
      <c r="C1231" s="8" t="s">
        <v>1671</v>
      </c>
      <c r="D1231" s="19" t="n">
        <v>85</v>
      </c>
      <c r="E1231" s="19" t="n">
        <v>6776.952</v>
      </c>
      <c r="F1231" s="19" t="n">
        <v>135.157894736842</v>
      </c>
      <c r="G1231" s="19" t="n">
        <v>10804.0181052632</v>
      </c>
      <c r="H1231" s="8" t="str">
        <f aca="false">IF(COUNTIF($J$1:$J$2,$A1231)&gt;0,"Y","N")</f>
        <v>N</v>
      </c>
    </row>
    <row r="1232" customFormat="false" ht="15" hidden="false" customHeight="true" outlineLevel="0" collapsed="false">
      <c r="A1232" s="8" t="s">
        <v>1764</v>
      </c>
      <c r="B1232" s="8" t="n">
        <v>4416001</v>
      </c>
      <c r="C1232" s="8" t="s">
        <v>1672</v>
      </c>
      <c r="D1232" s="19" t="n">
        <v>96</v>
      </c>
      <c r="E1232" s="19" t="n">
        <v>7652.372</v>
      </c>
      <c r="F1232" s="19" t="n">
        <v>111.157894736842</v>
      </c>
      <c r="G1232" s="19" t="n">
        <v>8861.98231578947</v>
      </c>
      <c r="H1232" s="8" t="str">
        <f aca="false">IF(COUNTIF($J$1:$J$2,$A1232)&gt;0,"Y","N")</f>
        <v>N</v>
      </c>
    </row>
    <row r="1233" customFormat="false" ht="15" hidden="false" customHeight="true" outlineLevel="0" collapsed="false">
      <c r="A1233" s="8" t="s">
        <v>1764</v>
      </c>
      <c r="B1233" s="8" t="n">
        <v>4416002</v>
      </c>
      <c r="C1233" s="8" t="s">
        <v>1673</v>
      </c>
      <c r="D1233" s="19" t="n">
        <v>30</v>
      </c>
      <c r="E1233" s="19" t="n">
        <v>2355.262</v>
      </c>
      <c r="F1233" s="19" t="n">
        <v>40.4210526315789</v>
      </c>
      <c r="G1233" s="19" t="n">
        <v>3216.68715789474</v>
      </c>
      <c r="H1233" s="8" t="str">
        <f aca="false">IF(COUNTIF($J$1:$J$2,$A1233)&gt;0,"Y","N")</f>
        <v>N</v>
      </c>
    </row>
    <row r="1234" customFormat="false" ht="15" hidden="false" customHeight="true" outlineLevel="0" collapsed="false">
      <c r="A1234" s="8" t="s">
        <v>1764</v>
      </c>
      <c r="B1234" s="8" t="n">
        <v>4416003</v>
      </c>
      <c r="C1234" s="8" t="s">
        <v>1674</v>
      </c>
      <c r="D1234" s="19" t="n">
        <v>94</v>
      </c>
      <c r="E1234" s="19" t="n">
        <v>4663.659</v>
      </c>
      <c r="F1234" s="19" t="n">
        <v>117.473684210526</v>
      </c>
      <c r="G1234" s="19" t="n">
        <v>5828.29136842105</v>
      </c>
      <c r="H1234" s="8" t="str">
        <f aca="false">IF(COUNTIF($J$1:$J$2,$A1234)&gt;0,"Y","N")</f>
        <v>N</v>
      </c>
    </row>
    <row r="1235" customFormat="false" ht="15" hidden="false" customHeight="true" outlineLevel="0" collapsed="false">
      <c r="A1235" s="8" t="s">
        <v>1764</v>
      </c>
      <c r="B1235" s="8" t="n">
        <v>4416005</v>
      </c>
      <c r="C1235" s="8" t="s">
        <v>1675</v>
      </c>
      <c r="D1235" s="19" t="n">
        <v>118</v>
      </c>
      <c r="E1235" s="19" t="n">
        <v>5875.597</v>
      </c>
      <c r="F1235" s="19" t="n">
        <v>114.947368421053</v>
      </c>
      <c r="G1235" s="19" t="n">
        <v>5702.88378947368</v>
      </c>
      <c r="H1235" s="8" t="str">
        <f aca="false">IF(COUNTIF($J$1:$J$2,$A1235)&gt;0,"Y","N")</f>
        <v>N</v>
      </c>
    </row>
    <row r="1236" customFormat="false" ht="15" hidden="false" customHeight="true" outlineLevel="0" collapsed="false">
      <c r="A1236" s="8" t="s">
        <v>1764</v>
      </c>
      <c r="B1236" s="8" t="n">
        <v>4416006</v>
      </c>
      <c r="C1236" s="8" t="s">
        <v>1676</v>
      </c>
      <c r="D1236" s="19" t="n">
        <v>0</v>
      </c>
      <c r="E1236" s="19" t="n">
        <v>0</v>
      </c>
      <c r="F1236" s="19" t="n">
        <v>-2.52631578947368</v>
      </c>
      <c r="G1236" s="19" t="n">
        <v>-125.292631578947</v>
      </c>
      <c r="H1236" s="8" t="str">
        <f aca="false">IF(COUNTIF($J$1:$J$2,$A1236)&gt;0,"Y","N")</f>
        <v>N</v>
      </c>
    </row>
    <row r="1237" customFormat="false" ht="15" hidden="false" customHeight="true" outlineLevel="0" collapsed="false">
      <c r="A1237" s="8" t="s">
        <v>1764</v>
      </c>
      <c r="B1237" s="8" t="n">
        <v>4417000</v>
      </c>
      <c r="C1237" s="8" t="s">
        <v>1677</v>
      </c>
      <c r="D1237" s="19" t="n">
        <v>196</v>
      </c>
      <c r="E1237" s="19" t="n">
        <v>3901.443</v>
      </c>
      <c r="F1237" s="19" t="n">
        <v>130.105263157895</v>
      </c>
      <c r="G1237" s="19" t="n">
        <v>2589.76421052632</v>
      </c>
      <c r="H1237" s="8" t="str">
        <f aca="false">IF(COUNTIF($J$1:$J$2,$A1237)&gt;0,"Y","N")</f>
        <v>N</v>
      </c>
    </row>
    <row r="1238" customFormat="false" ht="15" hidden="false" customHeight="true" outlineLevel="0" collapsed="false">
      <c r="A1238" s="8" t="s">
        <v>1764</v>
      </c>
      <c r="B1238" s="8" t="n">
        <v>4418000</v>
      </c>
      <c r="C1238" s="8" t="s">
        <v>1679</v>
      </c>
      <c r="D1238" s="19" t="n">
        <v>120</v>
      </c>
      <c r="E1238" s="19" t="n">
        <v>3442.257</v>
      </c>
      <c r="F1238" s="19" t="n">
        <v>97.2631578947368</v>
      </c>
      <c r="G1238" s="19" t="n">
        <v>2864.94821052632</v>
      </c>
      <c r="H1238" s="8" t="str">
        <f aca="false">IF(COUNTIF($J$1:$J$2,$A1238)&gt;0,"Y","N")</f>
        <v>N</v>
      </c>
    </row>
    <row r="1239" customFormat="false" ht="15" hidden="false" customHeight="true" outlineLevel="0" collapsed="false">
      <c r="A1239" s="8" t="s">
        <v>1764</v>
      </c>
      <c r="B1239" s="8" t="n">
        <v>4418001</v>
      </c>
      <c r="C1239" s="8" t="s">
        <v>1680</v>
      </c>
      <c r="D1239" s="19" t="n">
        <v>127</v>
      </c>
      <c r="E1239" s="19" t="n">
        <v>3740.282</v>
      </c>
      <c r="F1239" s="19" t="n">
        <v>90.9473684210526</v>
      </c>
      <c r="G1239" s="19" t="n">
        <v>2674.02063157895</v>
      </c>
      <c r="H1239" s="8" t="str">
        <f aca="false">IF(COUNTIF($J$1:$J$2,$A1239)&gt;0,"Y","N")</f>
        <v>N</v>
      </c>
    </row>
    <row r="1240" customFormat="false" ht="15" hidden="false" customHeight="true" outlineLevel="0" collapsed="false">
      <c r="A1240" s="8" t="s">
        <v>1764</v>
      </c>
      <c r="B1240" s="8" t="n">
        <v>4418002</v>
      </c>
      <c r="C1240" s="8" t="s">
        <v>1681</v>
      </c>
      <c r="D1240" s="19" t="n">
        <v>52</v>
      </c>
      <c r="E1240" s="19" t="n">
        <v>1528.891</v>
      </c>
      <c r="F1240" s="19" t="n">
        <v>60.6315789473684</v>
      </c>
      <c r="G1240" s="19" t="n">
        <v>1782.71873684211</v>
      </c>
      <c r="H1240" s="8" t="str">
        <f aca="false">IF(COUNTIF($J$1:$J$2,$A1240)&gt;0,"Y","N")</f>
        <v>N</v>
      </c>
    </row>
    <row r="1241" customFormat="false" ht="15" hidden="false" customHeight="true" outlineLevel="0" collapsed="false">
      <c r="A1241" s="8" t="s">
        <v>1764</v>
      </c>
      <c r="B1241" s="8" t="n">
        <v>4418003</v>
      </c>
      <c r="C1241" s="8" t="s">
        <v>1682</v>
      </c>
      <c r="D1241" s="19" t="n">
        <v>88</v>
      </c>
      <c r="E1241" s="19" t="n">
        <v>2534.168</v>
      </c>
      <c r="F1241" s="19" t="n">
        <v>83.3684210526316</v>
      </c>
      <c r="G1241" s="19" t="n">
        <v>2453.89642105263</v>
      </c>
      <c r="H1241" s="8" t="str">
        <f aca="false">IF(COUNTIF($J$1:$J$2,$A1241)&gt;0,"Y","N")</f>
        <v>N</v>
      </c>
    </row>
    <row r="1242" customFormat="false" ht="15" hidden="false" customHeight="true" outlineLevel="0" collapsed="false">
      <c r="A1242" s="8" t="s">
        <v>1764</v>
      </c>
      <c r="B1242" s="8" t="n">
        <v>4419006</v>
      </c>
      <c r="C1242" s="8" t="s">
        <v>1688</v>
      </c>
      <c r="D1242" s="19" t="n">
        <v>928</v>
      </c>
      <c r="E1242" s="19" t="n">
        <v>11106.641</v>
      </c>
      <c r="F1242" s="19" t="n">
        <v>649.263157894737</v>
      </c>
      <c r="G1242" s="19" t="n">
        <v>7770.672</v>
      </c>
      <c r="H1242" s="8" t="str">
        <f aca="false">IF(COUNTIF($J$1:$J$2,$A1242)&gt;0,"Y","N")</f>
        <v>N</v>
      </c>
    </row>
    <row r="1243" customFormat="false" ht="15" hidden="false" customHeight="true" outlineLevel="0" collapsed="false">
      <c r="A1243" s="8" t="s">
        <v>1764</v>
      </c>
      <c r="B1243" s="8" t="n">
        <v>4420000</v>
      </c>
      <c r="C1243" s="8" t="s">
        <v>1694</v>
      </c>
      <c r="D1243" s="19" t="n">
        <v>330</v>
      </c>
      <c r="E1243" s="19" t="n">
        <v>3207.113</v>
      </c>
      <c r="F1243" s="19" t="n">
        <v>252.631578947368</v>
      </c>
      <c r="G1243" s="19" t="n">
        <v>2455.39073684211</v>
      </c>
      <c r="H1243" s="8" t="str">
        <f aca="false">IF(COUNTIF($J$1:$J$2,$A1243)&gt;0,"Y","N")</f>
        <v>N</v>
      </c>
    </row>
    <row r="1244" customFormat="false" ht="15" hidden="false" customHeight="true" outlineLevel="0" collapsed="false">
      <c r="A1244" s="8" t="s">
        <v>1764</v>
      </c>
      <c r="B1244" s="8" t="n">
        <v>4420001</v>
      </c>
      <c r="C1244" s="8" t="s">
        <v>1695</v>
      </c>
      <c r="D1244" s="19" t="n">
        <v>54</v>
      </c>
      <c r="E1244" s="19" t="n">
        <v>524.797</v>
      </c>
      <c r="F1244" s="19" t="n">
        <v>42.9473684210526</v>
      </c>
      <c r="G1244" s="19" t="n">
        <v>417.373894736842</v>
      </c>
      <c r="H1244" s="8" t="str">
        <f aca="false">IF(COUNTIF($J$1:$J$2,$A1244)&gt;0,"Y","N")</f>
        <v>N</v>
      </c>
    </row>
    <row r="1245" customFormat="false" ht="15" hidden="false" customHeight="true" outlineLevel="0" collapsed="false">
      <c r="A1245" s="8" t="s">
        <v>1764</v>
      </c>
      <c r="B1245" s="8" t="n">
        <v>4420002</v>
      </c>
      <c r="C1245" s="8" t="s">
        <v>1696</v>
      </c>
      <c r="D1245" s="19" t="n">
        <v>234</v>
      </c>
      <c r="E1245" s="19" t="n">
        <v>2886.338</v>
      </c>
      <c r="F1245" s="19" t="n">
        <v>190.736842105263</v>
      </c>
      <c r="G1245" s="19" t="n">
        <v>2353.66231578947</v>
      </c>
      <c r="H1245" s="8" t="str">
        <f aca="false">IF(COUNTIF($J$1:$J$2,$A1245)&gt;0,"Y","N")</f>
        <v>N</v>
      </c>
    </row>
    <row r="1246" customFormat="false" ht="15" hidden="false" customHeight="true" outlineLevel="0" collapsed="false">
      <c r="A1246" s="8" t="s">
        <v>1764</v>
      </c>
      <c r="B1246" s="8" t="n">
        <v>4420003</v>
      </c>
      <c r="C1246" s="8" t="s">
        <v>1697</v>
      </c>
      <c r="D1246" s="19" t="n">
        <v>168</v>
      </c>
      <c r="E1246" s="19" t="n">
        <v>2044.679</v>
      </c>
      <c r="F1246" s="19" t="n">
        <v>127.578947368421</v>
      </c>
      <c r="G1246" s="19" t="n">
        <v>1548.68589473684</v>
      </c>
      <c r="H1246" s="8" t="str">
        <f aca="false">IF(COUNTIF($J$1:$J$2,$A1246)&gt;0,"Y","N")</f>
        <v>N</v>
      </c>
    </row>
    <row r="1247" customFormat="false" ht="15" hidden="false" customHeight="true" outlineLevel="0" collapsed="false">
      <c r="A1247" s="8" t="s">
        <v>1764</v>
      </c>
      <c r="B1247" s="8" t="n">
        <v>4420004</v>
      </c>
      <c r="C1247" s="8" t="s">
        <v>1698</v>
      </c>
      <c r="D1247" s="19" t="n">
        <v>4</v>
      </c>
      <c r="E1247" s="19" t="n">
        <v>143.234</v>
      </c>
      <c r="F1247" s="19" t="n">
        <v>0</v>
      </c>
      <c r="G1247" s="19" t="n">
        <v>0</v>
      </c>
      <c r="H1247" s="8" t="str">
        <f aca="false">IF(COUNTIF($J$1:$J$2,$A1247)&gt;0,"Y","N")</f>
        <v>N</v>
      </c>
    </row>
    <row r="1248" customFormat="false" ht="15" hidden="false" customHeight="true" outlineLevel="0" collapsed="false">
      <c r="A1248" s="8" t="s">
        <v>1764</v>
      </c>
      <c r="B1248" s="8" t="n">
        <v>4420005</v>
      </c>
      <c r="C1248" s="8" t="s">
        <v>1699</v>
      </c>
      <c r="D1248" s="19" t="n">
        <v>4</v>
      </c>
      <c r="E1248" s="19" t="n">
        <v>143.143</v>
      </c>
      <c r="F1248" s="19" t="n">
        <v>0</v>
      </c>
      <c r="G1248" s="19" t="n">
        <v>0</v>
      </c>
      <c r="H1248" s="8" t="str">
        <f aca="false">IF(COUNTIF($J$1:$J$2,$A1248)&gt;0,"Y","N")</f>
        <v>N</v>
      </c>
    </row>
    <row r="1249" customFormat="false" ht="15" hidden="false" customHeight="true" outlineLevel="0" collapsed="false">
      <c r="A1249" s="8" t="s">
        <v>1764</v>
      </c>
      <c r="B1249" s="8" t="n">
        <v>4420006</v>
      </c>
      <c r="C1249" s="8" t="s">
        <v>1789</v>
      </c>
      <c r="D1249" s="19" t="n">
        <v>1</v>
      </c>
      <c r="E1249" s="19" t="n">
        <v>35.763</v>
      </c>
      <c r="F1249" s="19" t="n">
        <v>0</v>
      </c>
      <c r="G1249" s="19" t="n">
        <v>0</v>
      </c>
      <c r="H1249" s="8" t="str">
        <f aca="false">IF(COUNTIF($J$1:$J$2,$A1249)&gt;0,"Y","N")</f>
        <v>N</v>
      </c>
    </row>
    <row r="1250" customFormat="false" ht="15" hidden="false" customHeight="true" outlineLevel="0" collapsed="false">
      <c r="A1250" s="8" t="s">
        <v>1764</v>
      </c>
      <c r="B1250" s="8" t="n">
        <v>4420007</v>
      </c>
      <c r="C1250" s="8" t="s">
        <v>1700</v>
      </c>
      <c r="D1250" s="19" t="n">
        <v>-1</v>
      </c>
      <c r="E1250" s="19" t="n">
        <v>-43.043</v>
      </c>
      <c r="F1250" s="19" t="n">
        <v>0</v>
      </c>
      <c r="G1250" s="19" t="n">
        <v>0</v>
      </c>
      <c r="H1250" s="8" t="str">
        <f aca="false">IF(COUNTIF($J$1:$J$2,$A1250)&gt;0,"Y","N")</f>
        <v>N</v>
      </c>
    </row>
    <row r="1251" customFormat="false" ht="15" hidden="false" customHeight="true" outlineLevel="0" collapsed="false">
      <c r="A1251" s="8" t="s">
        <v>1764</v>
      </c>
      <c r="B1251" s="8" t="n">
        <v>4420008</v>
      </c>
      <c r="C1251" s="8" t="s">
        <v>1701</v>
      </c>
      <c r="D1251" s="19" t="n">
        <v>4</v>
      </c>
      <c r="E1251" s="19" t="n">
        <v>143.143</v>
      </c>
      <c r="F1251" s="19" t="n">
        <v>0</v>
      </c>
      <c r="G1251" s="19" t="n">
        <v>0</v>
      </c>
      <c r="H1251" s="8" t="str">
        <f aca="false">IF(COUNTIF($J$1:$J$2,$A1251)&gt;0,"Y","N")</f>
        <v>N</v>
      </c>
    </row>
    <row r="1252" customFormat="false" ht="15" hidden="false" customHeight="true" outlineLevel="0" collapsed="false">
      <c r="A1252" s="8" t="s">
        <v>1764</v>
      </c>
      <c r="B1252" s="8" t="n">
        <v>4420010</v>
      </c>
      <c r="C1252" s="8" t="s">
        <v>1703</v>
      </c>
      <c r="D1252" s="19" t="n">
        <v>2</v>
      </c>
      <c r="E1252" s="19" t="n">
        <v>71.617</v>
      </c>
      <c r="F1252" s="19" t="n">
        <v>0</v>
      </c>
      <c r="G1252" s="19" t="n">
        <v>0</v>
      </c>
      <c r="H1252" s="8" t="str">
        <f aca="false">IF(COUNTIF($J$1:$J$2,$A1252)&gt;0,"Y","N")</f>
        <v>N</v>
      </c>
    </row>
    <row r="1253" customFormat="false" ht="15" hidden="false" customHeight="true" outlineLevel="0" collapsed="false">
      <c r="A1253" s="8" t="s">
        <v>1764</v>
      </c>
      <c r="B1253" s="8" t="n">
        <v>4420011</v>
      </c>
      <c r="C1253" s="8" t="s">
        <v>1790</v>
      </c>
      <c r="D1253" s="19" t="n">
        <v>2</v>
      </c>
      <c r="E1253" s="19" t="n">
        <v>71.617</v>
      </c>
      <c r="F1253" s="19" t="n">
        <v>0</v>
      </c>
      <c r="G1253" s="19" t="n">
        <v>0</v>
      </c>
      <c r="H1253" s="8" t="str">
        <f aca="false">IF(COUNTIF($J$1:$J$2,$A1253)&gt;0,"Y","N")</f>
        <v>N</v>
      </c>
    </row>
    <row r="1254" customFormat="false" ht="15" hidden="false" customHeight="true" outlineLevel="0" collapsed="false">
      <c r="A1254" s="8" t="s">
        <v>1764</v>
      </c>
      <c r="B1254" s="8" t="n">
        <v>4420012</v>
      </c>
      <c r="C1254" s="8" t="s">
        <v>1704</v>
      </c>
      <c r="D1254" s="19" t="n">
        <v>-1</v>
      </c>
      <c r="E1254" s="19" t="n">
        <v>-50.232</v>
      </c>
      <c r="F1254" s="19" t="n">
        <v>0</v>
      </c>
      <c r="G1254" s="19" t="n">
        <v>0</v>
      </c>
      <c r="H1254" s="8" t="str">
        <f aca="false">IF(COUNTIF($J$1:$J$2,$A1254)&gt;0,"Y","N")</f>
        <v>N</v>
      </c>
    </row>
    <row r="1255" customFormat="false" ht="15" hidden="false" customHeight="true" outlineLevel="0" collapsed="false">
      <c r="A1255" s="8" t="s">
        <v>1764</v>
      </c>
      <c r="B1255" s="8" t="n">
        <v>4420013</v>
      </c>
      <c r="C1255" s="8" t="s">
        <v>1791</v>
      </c>
      <c r="D1255" s="19" t="n">
        <v>1</v>
      </c>
      <c r="E1255" s="19" t="n">
        <v>35.763</v>
      </c>
      <c r="F1255" s="19" t="n">
        <v>0</v>
      </c>
      <c r="G1255" s="19" t="n">
        <v>0</v>
      </c>
      <c r="H1255" s="8" t="str">
        <f aca="false">IF(COUNTIF($J$1:$J$2,$A1255)&gt;0,"Y","N")</f>
        <v>N</v>
      </c>
    </row>
    <row r="1256" customFormat="false" ht="15" hidden="false" customHeight="true" outlineLevel="0" collapsed="false">
      <c r="A1256" s="8" t="s">
        <v>1764</v>
      </c>
      <c r="B1256" s="8" t="n">
        <v>4420016</v>
      </c>
      <c r="C1256" s="8" t="s">
        <v>1705</v>
      </c>
      <c r="D1256" s="19" t="n">
        <v>56</v>
      </c>
      <c r="E1256" s="19" t="n">
        <v>2471.105</v>
      </c>
      <c r="F1256" s="19" t="n">
        <v>41.6842105263158</v>
      </c>
      <c r="G1256" s="19" t="n">
        <v>1839.38778947368</v>
      </c>
      <c r="H1256" s="8" t="str">
        <f aca="false">IF(COUNTIF($J$1:$J$2,$A1256)&gt;0,"Y","N")</f>
        <v>N</v>
      </c>
    </row>
    <row r="1257" customFormat="false" ht="15" hidden="false" customHeight="true" outlineLevel="0" collapsed="false">
      <c r="A1257" s="8" t="s">
        <v>1764</v>
      </c>
      <c r="B1257" s="8" t="n">
        <v>4420018</v>
      </c>
      <c r="C1257" s="8" t="s">
        <v>1706</v>
      </c>
      <c r="D1257" s="19" t="n">
        <v>1</v>
      </c>
      <c r="E1257" s="19" t="n">
        <v>96.369</v>
      </c>
      <c r="F1257" s="19" t="n">
        <v>0</v>
      </c>
      <c r="G1257" s="19" t="n">
        <v>0</v>
      </c>
      <c r="H1257" s="8" t="str">
        <f aca="false">IF(COUNTIF($J$1:$J$2,$A1257)&gt;0,"Y","N")</f>
        <v>N</v>
      </c>
    </row>
    <row r="1258" customFormat="false" ht="15" hidden="false" customHeight="true" outlineLevel="0" collapsed="false">
      <c r="A1258" s="8" t="s">
        <v>1764</v>
      </c>
      <c r="B1258" s="8" t="n">
        <v>4420019</v>
      </c>
      <c r="C1258" s="8" t="s">
        <v>1792</v>
      </c>
      <c r="D1258" s="19" t="n">
        <v>-3</v>
      </c>
      <c r="E1258" s="19" t="n">
        <v>-144.417</v>
      </c>
      <c r="F1258" s="19" t="n">
        <v>0</v>
      </c>
      <c r="G1258" s="19" t="n">
        <v>0</v>
      </c>
      <c r="H1258" s="8" t="str">
        <f aca="false">IF(COUNTIF($J$1:$J$2,$A1258)&gt;0,"Y","N")</f>
        <v>N</v>
      </c>
    </row>
    <row r="1259" customFormat="false" ht="15" hidden="false" customHeight="true" outlineLevel="0" collapsed="false">
      <c r="A1259" s="8" t="s">
        <v>1764</v>
      </c>
      <c r="B1259" s="8" t="n">
        <v>4420020</v>
      </c>
      <c r="C1259" s="8" t="s">
        <v>1793</v>
      </c>
      <c r="D1259" s="19" t="n">
        <v>-3</v>
      </c>
      <c r="E1259" s="19" t="n">
        <v>-144.417</v>
      </c>
      <c r="F1259" s="19" t="n">
        <v>0</v>
      </c>
      <c r="G1259" s="19" t="n">
        <v>0</v>
      </c>
      <c r="H1259" s="8" t="str">
        <f aca="false">IF(COUNTIF($J$1:$J$2,$A1259)&gt;0,"Y","N")</f>
        <v>N</v>
      </c>
    </row>
    <row r="1260" customFormat="false" ht="15" hidden="false" customHeight="true" outlineLevel="0" collapsed="false">
      <c r="A1260" s="8" t="s">
        <v>1764</v>
      </c>
      <c r="B1260" s="8" t="n">
        <v>4420022</v>
      </c>
      <c r="C1260" s="8" t="s">
        <v>1707</v>
      </c>
      <c r="D1260" s="19" t="n">
        <v>87</v>
      </c>
      <c r="E1260" s="19" t="n">
        <v>1701.973</v>
      </c>
      <c r="F1260" s="19" t="n">
        <v>114.947368421053</v>
      </c>
      <c r="G1260" s="19" t="n">
        <v>2262.73894736842</v>
      </c>
      <c r="H1260" s="8" t="str">
        <f aca="false">IF(COUNTIF($J$1:$J$2,$A1260)&gt;0,"Y","N")</f>
        <v>N</v>
      </c>
    </row>
    <row r="1261" customFormat="false" ht="15" hidden="false" customHeight="true" outlineLevel="0" collapsed="false">
      <c r="A1261" s="8" t="s">
        <v>1764</v>
      </c>
      <c r="B1261" s="8" t="n">
        <v>4420023</v>
      </c>
      <c r="C1261" s="8" t="s">
        <v>1708</v>
      </c>
      <c r="D1261" s="19" t="n">
        <v>4</v>
      </c>
      <c r="E1261" s="19" t="n">
        <v>39.858</v>
      </c>
      <c r="F1261" s="19" t="n">
        <v>8.84210526315789</v>
      </c>
      <c r="G1261" s="19" t="n">
        <v>197.249684210526</v>
      </c>
      <c r="H1261" s="8" t="str">
        <f aca="false">IF(COUNTIF($J$1:$J$2,$A1261)&gt;0,"Y","N")</f>
        <v>N</v>
      </c>
    </row>
    <row r="1262" customFormat="false" ht="15" hidden="false" customHeight="true" outlineLevel="0" collapsed="false">
      <c r="A1262" s="8" t="s">
        <v>1764</v>
      </c>
      <c r="B1262" s="8" t="n">
        <v>4420024</v>
      </c>
      <c r="C1262" s="8" t="s">
        <v>1709</v>
      </c>
      <c r="D1262" s="19" t="n">
        <v>57</v>
      </c>
      <c r="E1262" s="19" t="n">
        <v>1010.828</v>
      </c>
      <c r="F1262" s="19" t="n">
        <v>22.7368421052632</v>
      </c>
      <c r="G1262" s="19" t="n">
        <v>395.993684210526</v>
      </c>
      <c r="H1262" s="8" t="str">
        <f aca="false">IF(COUNTIF($J$1:$J$2,$A1262)&gt;0,"Y","N")</f>
        <v>N</v>
      </c>
    </row>
    <row r="1263" customFormat="false" ht="15" hidden="false" customHeight="true" outlineLevel="0" collapsed="false">
      <c r="A1263" s="8" t="s">
        <v>1764</v>
      </c>
      <c r="B1263" s="8" t="n">
        <v>4420025</v>
      </c>
      <c r="C1263" s="8" t="s">
        <v>1710</v>
      </c>
      <c r="D1263" s="19" t="n">
        <v>41</v>
      </c>
      <c r="E1263" s="19" t="n">
        <v>791.245</v>
      </c>
      <c r="F1263" s="19" t="n">
        <v>55.5789473684211</v>
      </c>
      <c r="G1263" s="19" t="n">
        <v>1081.19494736842</v>
      </c>
      <c r="H1263" s="8" t="str">
        <f aca="false">IF(COUNTIF($J$1:$J$2,$A1263)&gt;0,"Y","N")</f>
        <v>N</v>
      </c>
    </row>
    <row r="1264" customFormat="false" ht="15" hidden="false" customHeight="true" outlineLevel="0" collapsed="false">
      <c r="A1264" s="8" t="s">
        <v>1764</v>
      </c>
      <c r="B1264" s="8" t="n">
        <v>4421000</v>
      </c>
      <c r="C1264" s="8" t="s">
        <v>1722</v>
      </c>
      <c r="D1264" s="19" t="n">
        <v>885</v>
      </c>
      <c r="E1264" s="19" t="n">
        <v>13576.199</v>
      </c>
      <c r="F1264" s="19" t="n">
        <v>779.368421052632</v>
      </c>
      <c r="G1264" s="19" t="n">
        <v>11943.6063157895</v>
      </c>
      <c r="H1264" s="8" t="str">
        <f aca="false">IF(COUNTIF($J$1:$J$2,$A1264)&gt;0,"Y","N")</f>
        <v>N</v>
      </c>
    </row>
    <row r="1265" customFormat="false" ht="15" hidden="false" customHeight="true" outlineLevel="0" collapsed="false">
      <c r="A1265" s="8" t="s">
        <v>1764</v>
      </c>
      <c r="B1265" s="8" t="n">
        <v>4421001</v>
      </c>
      <c r="C1265" s="8" t="s">
        <v>1723</v>
      </c>
      <c r="D1265" s="19" t="n">
        <v>59</v>
      </c>
      <c r="E1265" s="19" t="n">
        <v>3006.64</v>
      </c>
      <c r="F1265" s="19" t="n">
        <v>54.3157894736842</v>
      </c>
      <c r="G1265" s="19" t="n">
        <v>2767.93263157895</v>
      </c>
      <c r="H1265" s="8" t="str">
        <f aca="false">IF(COUNTIF($J$1:$J$2,$A1265)&gt;0,"Y","N")</f>
        <v>N</v>
      </c>
    </row>
    <row r="1266" customFormat="false" ht="15" hidden="false" customHeight="true" outlineLevel="0" collapsed="false">
      <c r="A1266" s="8" t="s">
        <v>1764</v>
      </c>
      <c r="B1266" s="8" t="n">
        <v>4421003</v>
      </c>
      <c r="C1266" s="8" t="s">
        <v>1724</v>
      </c>
      <c r="D1266" s="19" t="n">
        <v>98</v>
      </c>
      <c r="E1266" s="19" t="n">
        <v>2775.227</v>
      </c>
      <c r="F1266" s="19" t="n">
        <v>37.8947368421053</v>
      </c>
      <c r="G1266" s="19" t="n">
        <v>1008.20336842105</v>
      </c>
      <c r="H1266" s="8" t="str">
        <f aca="false">IF(COUNTIF($J$1:$J$2,$A1266)&gt;0,"Y","N")</f>
        <v>N</v>
      </c>
    </row>
    <row r="1267" customFormat="false" ht="15" hidden="false" customHeight="true" outlineLevel="0" collapsed="false">
      <c r="A1267" s="8" t="s">
        <v>1764</v>
      </c>
      <c r="B1267" s="8" t="n">
        <v>4422000</v>
      </c>
      <c r="C1267" s="8" t="s">
        <v>1729</v>
      </c>
      <c r="D1267" s="19" t="n">
        <v>134</v>
      </c>
      <c r="E1267" s="19" t="n">
        <v>2150.785</v>
      </c>
      <c r="F1267" s="19" t="n">
        <v>109.894736842105</v>
      </c>
      <c r="G1267" s="19" t="n">
        <v>1752.94736842105</v>
      </c>
      <c r="H1267" s="8" t="str">
        <f aca="false">IF(COUNTIF($J$1:$J$2,$A1267)&gt;0,"Y","N")</f>
        <v>N</v>
      </c>
    </row>
    <row r="1268" customFormat="false" ht="15" hidden="false" customHeight="true" outlineLevel="0" collapsed="false">
      <c r="A1268" s="8" t="s">
        <v>1764</v>
      </c>
      <c r="B1268" s="8" t="n">
        <v>4422005</v>
      </c>
      <c r="C1268" s="8" t="s">
        <v>1732</v>
      </c>
      <c r="D1268" s="19" t="n">
        <v>5</v>
      </c>
      <c r="E1268" s="19" t="n">
        <v>852.215</v>
      </c>
      <c r="F1268" s="19" t="n">
        <v>2.52631578947368</v>
      </c>
      <c r="G1268" s="19" t="n">
        <v>430.592842105263</v>
      </c>
      <c r="H1268" s="8" t="str">
        <f aca="false">IF(COUNTIF($J$1:$J$2,$A1268)&gt;0,"Y","N")</f>
        <v>N</v>
      </c>
    </row>
    <row r="1269" customFormat="false" ht="15" hidden="false" customHeight="true" outlineLevel="0" collapsed="false">
      <c r="A1269" s="8" t="s">
        <v>1764</v>
      </c>
      <c r="B1269" s="8" t="n">
        <v>4422006</v>
      </c>
      <c r="C1269" s="8" t="s">
        <v>1733</v>
      </c>
      <c r="D1269" s="19" t="n">
        <v>2</v>
      </c>
      <c r="E1269" s="19" t="n">
        <v>340.886</v>
      </c>
      <c r="F1269" s="19" t="n">
        <v>2.52631578947368</v>
      </c>
      <c r="G1269" s="19" t="n">
        <v>430.592842105263</v>
      </c>
      <c r="H1269" s="8" t="str">
        <f aca="false">IF(COUNTIF($J$1:$J$2,$A1269)&gt;0,"Y","N")</f>
        <v>N</v>
      </c>
    </row>
    <row r="1270" customFormat="false" ht="15" hidden="false" customHeight="true" outlineLevel="0" collapsed="false">
      <c r="A1270" s="8" t="s">
        <v>1764</v>
      </c>
      <c r="B1270" s="8" t="n">
        <v>4422023</v>
      </c>
      <c r="C1270" s="8" t="s">
        <v>1736</v>
      </c>
      <c r="D1270" s="19" t="n">
        <v>797</v>
      </c>
      <c r="E1270" s="19" t="n">
        <v>7969.962</v>
      </c>
      <c r="F1270" s="19" t="n">
        <v>357.473684210526</v>
      </c>
      <c r="G1270" s="19" t="n">
        <v>3571.75957894737</v>
      </c>
      <c r="H1270" s="8" t="str">
        <f aca="false">IF(COUNTIF($J$1:$J$2,$A1270)&gt;0,"Y","N")</f>
        <v>N</v>
      </c>
    </row>
    <row r="1271" customFormat="false" ht="15" hidden="false" customHeight="true" outlineLevel="0" collapsed="false">
      <c r="A1271" s="8" t="s">
        <v>1764</v>
      </c>
      <c r="B1271" s="8" t="n">
        <v>4422024</v>
      </c>
      <c r="C1271" s="8" t="s">
        <v>1737</v>
      </c>
      <c r="D1271" s="19" t="n">
        <v>602</v>
      </c>
      <c r="E1271" s="19" t="n">
        <v>6018.649</v>
      </c>
      <c r="F1271" s="19" t="n">
        <v>618.947368421053</v>
      </c>
      <c r="G1271" s="19" t="n">
        <v>6188.8812631579</v>
      </c>
      <c r="H1271" s="8" t="str">
        <f aca="false">IF(COUNTIF($J$1:$J$2,$A1271)&gt;0,"Y","N")</f>
        <v>N</v>
      </c>
    </row>
    <row r="1272" customFormat="false" ht="15" hidden="false" customHeight="true" outlineLevel="0" collapsed="false">
      <c r="A1272" s="8" t="s">
        <v>1764</v>
      </c>
      <c r="B1272" s="8" t="n">
        <v>4422025</v>
      </c>
      <c r="C1272" s="8" t="s">
        <v>1738</v>
      </c>
      <c r="D1272" s="19" t="n">
        <v>273</v>
      </c>
      <c r="E1272" s="19" t="n">
        <v>2727.725</v>
      </c>
      <c r="F1272" s="19" t="n">
        <v>169.263157894737</v>
      </c>
      <c r="G1272" s="19" t="n">
        <v>1691.22063157895</v>
      </c>
      <c r="H1272" s="8" t="str">
        <f aca="false">IF(COUNTIF($J$1:$J$2,$A1272)&gt;0,"Y","N")</f>
        <v>N</v>
      </c>
    </row>
    <row r="1273" customFormat="false" ht="15" hidden="false" customHeight="true" outlineLevel="0" collapsed="false">
      <c r="A1273" s="8" t="s">
        <v>1764</v>
      </c>
      <c r="B1273" s="8" t="n">
        <v>4422026</v>
      </c>
      <c r="C1273" s="8" t="s">
        <v>1739</v>
      </c>
      <c r="D1273" s="19" t="n">
        <v>355</v>
      </c>
      <c r="E1273" s="19" t="n">
        <v>3547.089</v>
      </c>
      <c r="F1273" s="19" t="n">
        <v>349.894736842105</v>
      </c>
      <c r="G1273" s="19" t="n">
        <v>3496.12421052632</v>
      </c>
      <c r="H1273" s="8" t="str">
        <f aca="false">IF(COUNTIF($J$1:$J$2,$A1273)&gt;0,"Y","N")</f>
        <v>N</v>
      </c>
    </row>
    <row r="1274" customFormat="false" ht="15" hidden="false" customHeight="true" outlineLevel="0" collapsed="false">
      <c r="A1274" s="8" t="s">
        <v>1794</v>
      </c>
      <c r="B1274" s="8" t="n">
        <v>4401000</v>
      </c>
      <c r="C1274" s="8" t="s">
        <v>1178</v>
      </c>
      <c r="D1274" s="19" t="n">
        <v>1030</v>
      </c>
      <c r="E1274" s="19" t="n">
        <v>20362.706</v>
      </c>
      <c r="F1274" s="19" t="n">
        <v>937.263157894737</v>
      </c>
      <c r="G1274" s="19" t="n">
        <v>18799.0673684211</v>
      </c>
      <c r="H1274" s="8" t="str">
        <f aca="false">IF(COUNTIF($J$1:$J$2,$A1274)&gt;0,"Y","N")</f>
        <v>N</v>
      </c>
    </row>
    <row r="1275" customFormat="false" ht="15" hidden="false" customHeight="true" outlineLevel="0" collapsed="false">
      <c r="A1275" s="8" t="s">
        <v>1794</v>
      </c>
      <c r="B1275" s="8" t="n">
        <v>4401001</v>
      </c>
      <c r="C1275" s="8" t="s">
        <v>1179</v>
      </c>
      <c r="D1275" s="19" t="n">
        <v>1142</v>
      </c>
      <c r="E1275" s="19" t="n">
        <v>23635.339</v>
      </c>
      <c r="F1275" s="19" t="n">
        <v>1019.36842105263</v>
      </c>
      <c r="G1275" s="19" t="n">
        <v>21079.968</v>
      </c>
      <c r="H1275" s="8" t="str">
        <f aca="false">IF(COUNTIF($J$1:$J$2,$A1275)&gt;0,"Y","N")</f>
        <v>N</v>
      </c>
    </row>
    <row r="1276" customFormat="false" ht="15" hidden="false" customHeight="true" outlineLevel="0" collapsed="false">
      <c r="A1276" s="8" t="s">
        <v>1794</v>
      </c>
      <c r="B1276" s="8" t="n">
        <v>4402000</v>
      </c>
      <c r="C1276" s="8" t="s">
        <v>1185</v>
      </c>
      <c r="D1276" s="19" t="n">
        <v>199</v>
      </c>
      <c r="E1276" s="19" t="n">
        <v>3931.564</v>
      </c>
      <c r="F1276" s="19" t="n">
        <v>127.578947368421</v>
      </c>
      <c r="G1276" s="19" t="n">
        <v>2556.77431578947</v>
      </c>
      <c r="H1276" s="8" t="str">
        <f aca="false">IF(COUNTIF($J$1:$J$2,$A1276)&gt;0,"Y","N")</f>
        <v>N</v>
      </c>
    </row>
    <row r="1277" customFormat="false" ht="15" hidden="false" customHeight="true" outlineLevel="0" collapsed="false">
      <c r="A1277" s="8" t="s">
        <v>1794</v>
      </c>
      <c r="B1277" s="8" t="n">
        <v>4402007</v>
      </c>
      <c r="C1277" s="8" t="s">
        <v>1186</v>
      </c>
      <c r="D1277" s="19" t="n">
        <v>1909</v>
      </c>
      <c r="E1277" s="19" t="n">
        <v>30874.389</v>
      </c>
      <c r="F1277" s="19" t="n">
        <v>1682.52631578947</v>
      </c>
      <c r="G1277" s="19" t="n">
        <v>27474.4901052632</v>
      </c>
      <c r="H1277" s="8" t="str">
        <f aca="false">IF(COUNTIF($J$1:$J$2,$A1277)&gt;0,"Y","N")</f>
        <v>N</v>
      </c>
    </row>
    <row r="1278" customFormat="false" ht="15" hidden="false" customHeight="true" outlineLevel="0" collapsed="false">
      <c r="A1278" s="8" t="s">
        <v>1794</v>
      </c>
      <c r="B1278" s="8" t="n">
        <v>4403000</v>
      </c>
      <c r="C1278" s="8" t="s">
        <v>1187</v>
      </c>
      <c r="D1278" s="19" t="n">
        <v>30</v>
      </c>
      <c r="E1278" s="19" t="n">
        <v>802.711</v>
      </c>
      <c r="F1278" s="19" t="n">
        <v>8.84210526315789</v>
      </c>
      <c r="G1278" s="19" t="n">
        <v>242.883789473684</v>
      </c>
      <c r="H1278" s="8" t="str">
        <f aca="false">IF(COUNTIF($J$1:$J$2,$A1278)&gt;0,"Y","N")</f>
        <v>N</v>
      </c>
    </row>
    <row r="1279" customFormat="false" ht="15" hidden="false" customHeight="true" outlineLevel="0" collapsed="false">
      <c r="A1279" s="8" t="s">
        <v>1794</v>
      </c>
      <c r="B1279" s="8" t="n">
        <v>4403001</v>
      </c>
      <c r="C1279" s="8" t="s">
        <v>1188</v>
      </c>
      <c r="D1279" s="19" t="n">
        <v>75</v>
      </c>
      <c r="E1279" s="19" t="n">
        <v>1982.981</v>
      </c>
      <c r="F1279" s="19" t="n">
        <v>35.3684210526316</v>
      </c>
      <c r="G1279" s="19" t="n">
        <v>952.453894736842</v>
      </c>
      <c r="H1279" s="8" t="str">
        <f aca="false">IF(COUNTIF($J$1:$J$2,$A1279)&gt;0,"Y","N")</f>
        <v>N</v>
      </c>
    </row>
    <row r="1280" customFormat="false" ht="15" hidden="false" customHeight="true" outlineLevel="0" collapsed="false">
      <c r="A1280" s="8" t="s">
        <v>1794</v>
      </c>
      <c r="B1280" s="8" t="n">
        <v>4403002</v>
      </c>
      <c r="C1280" s="8" t="s">
        <v>1189</v>
      </c>
      <c r="D1280" s="19" t="n">
        <v>96</v>
      </c>
      <c r="E1280" s="19" t="n">
        <v>2540.356</v>
      </c>
      <c r="F1280" s="19" t="n">
        <v>37.8947368421053</v>
      </c>
      <c r="G1280" s="19" t="n">
        <v>1010.04252631579</v>
      </c>
      <c r="H1280" s="8" t="str">
        <f aca="false">IF(COUNTIF($J$1:$J$2,$A1280)&gt;0,"Y","N")</f>
        <v>N</v>
      </c>
    </row>
    <row r="1281" customFormat="false" ht="15" hidden="false" customHeight="true" outlineLevel="0" collapsed="false">
      <c r="A1281" s="8" t="s">
        <v>1794</v>
      </c>
      <c r="B1281" s="8" t="n">
        <v>4403003</v>
      </c>
      <c r="C1281" s="8" t="s">
        <v>1190</v>
      </c>
      <c r="D1281" s="19" t="n">
        <v>22</v>
      </c>
      <c r="E1281" s="19" t="n">
        <v>586.131</v>
      </c>
      <c r="F1281" s="19" t="n">
        <v>10.1052631578947</v>
      </c>
      <c r="G1281" s="19" t="n">
        <v>263.574315789474</v>
      </c>
      <c r="H1281" s="8" t="str">
        <f aca="false">IF(COUNTIF($J$1:$J$2,$A1281)&gt;0,"Y","N")</f>
        <v>N</v>
      </c>
    </row>
    <row r="1282" customFormat="false" ht="15" hidden="false" customHeight="true" outlineLevel="0" collapsed="false">
      <c r="A1282" s="8" t="s">
        <v>1794</v>
      </c>
      <c r="B1282" s="8" t="n">
        <v>4403004</v>
      </c>
      <c r="C1282" s="8" t="s">
        <v>1191</v>
      </c>
      <c r="D1282" s="19" t="n">
        <v>52</v>
      </c>
      <c r="E1282" s="19" t="n">
        <v>1380.925</v>
      </c>
      <c r="F1282" s="19" t="n">
        <v>-8.84210526315789</v>
      </c>
      <c r="G1282" s="19" t="n">
        <v>-223.342736842105</v>
      </c>
      <c r="H1282" s="8" t="str">
        <f aca="false">IF(COUNTIF($J$1:$J$2,$A1282)&gt;0,"Y","N")</f>
        <v>N</v>
      </c>
    </row>
    <row r="1283" customFormat="false" ht="15" hidden="false" customHeight="true" outlineLevel="0" collapsed="false">
      <c r="A1283" s="8" t="s">
        <v>1794</v>
      </c>
      <c r="B1283" s="8" t="n">
        <v>4403005</v>
      </c>
      <c r="C1283" s="8" t="s">
        <v>1192</v>
      </c>
      <c r="D1283" s="19" t="n">
        <v>39</v>
      </c>
      <c r="E1283" s="19" t="n">
        <v>1044.589</v>
      </c>
      <c r="F1283" s="19" t="n">
        <v>22.7368421052632</v>
      </c>
      <c r="G1283" s="19" t="n">
        <v>609.336</v>
      </c>
      <c r="H1283" s="8" t="str">
        <f aca="false">IF(COUNTIF($J$1:$J$2,$A1283)&gt;0,"Y","N")</f>
        <v>N</v>
      </c>
    </row>
    <row r="1284" customFormat="false" ht="15" hidden="false" customHeight="true" outlineLevel="0" collapsed="false">
      <c r="A1284" s="8" t="s">
        <v>1794</v>
      </c>
      <c r="B1284" s="8" t="n">
        <v>4403006</v>
      </c>
      <c r="C1284" s="8" t="s">
        <v>1193</v>
      </c>
      <c r="D1284" s="19" t="n">
        <v>20</v>
      </c>
      <c r="E1284" s="19" t="n">
        <v>532.987</v>
      </c>
      <c r="F1284" s="19" t="n">
        <v>11.3684210526316</v>
      </c>
      <c r="G1284" s="19" t="n">
        <v>301.506947368421</v>
      </c>
      <c r="H1284" s="8" t="str">
        <f aca="false">IF(COUNTIF($J$1:$J$2,$A1284)&gt;0,"Y","N")</f>
        <v>N</v>
      </c>
    </row>
    <row r="1285" customFormat="false" ht="15" hidden="false" customHeight="true" outlineLevel="0" collapsed="false">
      <c r="A1285" s="8" t="s">
        <v>1794</v>
      </c>
      <c r="B1285" s="8" t="n">
        <v>4403007</v>
      </c>
      <c r="C1285" s="8" t="s">
        <v>1194</v>
      </c>
      <c r="D1285" s="19" t="n">
        <v>35</v>
      </c>
      <c r="E1285" s="19" t="n">
        <v>930.384</v>
      </c>
      <c r="F1285" s="19" t="n">
        <v>21.4736842105263</v>
      </c>
      <c r="G1285" s="19" t="n">
        <v>572.897684210526</v>
      </c>
      <c r="H1285" s="8" t="str">
        <f aca="false">IF(COUNTIF($J$1:$J$2,$A1285)&gt;0,"Y","N")</f>
        <v>N</v>
      </c>
    </row>
    <row r="1286" customFormat="false" ht="15" hidden="false" customHeight="true" outlineLevel="0" collapsed="false">
      <c r="A1286" s="8" t="s">
        <v>1794</v>
      </c>
      <c r="B1286" s="8" t="n">
        <v>4403008</v>
      </c>
      <c r="C1286" s="8" t="s">
        <v>1195</v>
      </c>
      <c r="D1286" s="19" t="n">
        <v>34</v>
      </c>
      <c r="E1286" s="19" t="n">
        <v>902.993</v>
      </c>
      <c r="F1286" s="19" t="n">
        <v>35.3684210526316</v>
      </c>
      <c r="G1286" s="19" t="n">
        <v>936.246315789474</v>
      </c>
      <c r="H1286" s="8" t="str">
        <f aca="false">IF(COUNTIF($J$1:$J$2,$A1286)&gt;0,"Y","N")</f>
        <v>N</v>
      </c>
    </row>
    <row r="1287" customFormat="false" ht="15" hidden="false" customHeight="true" outlineLevel="0" collapsed="false">
      <c r="A1287" s="8" t="s">
        <v>1794</v>
      </c>
      <c r="B1287" s="8" t="n">
        <v>4403011</v>
      </c>
      <c r="C1287" s="8" t="s">
        <v>1795</v>
      </c>
      <c r="D1287" s="19" t="n">
        <v>-1</v>
      </c>
      <c r="E1287" s="19" t="n">
        <v>-25.844</v>
      </c>
      <c r="F1287" s="19" t="n">
        <v>-1.26315789473684</v>
      </c>
      <c r="G1287" s="19" t="n">
        <v>-36.6682105263158</v>
      </c>
      <c r="H1287" s="8" t="str">
        <f aca="false">IF(COUNTIF($J$1:$J$2,$A1287)&gt;0,"Y","N")</f>
        <v>N</v>
      </c>
    </row>
    <row r="1288" customFormat="false" ht="15" hidden="false" customHeight="true" outlineLevel="0" collapsed="false">
      <c r="A1288" s="8" t="s">
        <v>1794</v>
      </c>
      <c r="B1288" s="8" t="n">
        <v>4403017</v>
      </c>
      <c r="C1288" s="8" t="s">
        <v>1196</v>
      </c>
      <c r="D1288" s="19" t="n">
        <v>77</v>
      </c>
      <c r="E1288" s="19" t="n">
        <v>1560.559</v>
      </c>
      <c r="F1288" s="19" t="n">
        <v>46.7368421052632</v>
      </c>
      <c r="G1288" s="19" t="n">
        <v>970.84547368421</v>
      </c>
      <c r="H1288" s="8" t="str">
        <f aca="false">IF(COUNTIF($J$1:$J$2,$A1288)&gt;0,"Y","N")</f>
        <v>N</v>
      </c>
    </row>
    <row r="1289" customFormat="false" ht="15" hidden="false" customHeight="true" outlineLevel="0" collapsed="false">
      <c r="A1289" s="8" t="s">
        <v>1794</v>
      </c>
      <c r="B1289" s="8" t="n">
        <v>4403018</v>
      </c>
      <c r="C1289" s="8" t="s">
        <v>1197</v>
      </c>
      <c r="D1289" s="19" t="n">
        <v>148</v>
      </c>
      <c r="E1289" s="19" t="n">
        <v>2996.721</v>
      </c>
      <c r="F1289" s="19" t="n">
        <v>72</v>
      </c>
      <c r="G1289" s="19" t="n">
        <v>1448.10694736842</v>
      </c>
      <c r="H1289" s="8" t="str">
        <f aca="false">IF(COUNTIF($J$1:$J$2,$A1289)&gt;0,"Y","N")</f>
        <v>N</v>
      </c>
    </row>
    <row r="1290" customFormat="false" ht="15" hidden="false" customHeight="true" outlineLevel="0" collapsed="false">
      <c r="A1290" s="8" t="s">
        <v>1794</v>
      </c>
      <c r="B1290" s="8" t="n">
        <v>4403019</v>
      </c>
      <c r="C1290" s="8" t="s">
        <v>1198</v>
      </c>
      <c r="D1290" s="19" t="n">
        <v>213</v>
      </c>
      <c r="E1290" s="19" t="n">
        <v>4299.204</v>
      </c>
      <c r="F1290" s="19" t="n">
        <v>103.578947368421</v>
      </c>
      <c r="G1290" s="19" t="n">
        <v>2086.63957894737</v>
      </c>
      <c r="H1290" s="8" t="str">
        <f aca="false">IF(COUNTIF($J$1:$J$2,$A1290)&gt;0,"Y","N")</f>
        <v>N</v>
      </c>
    </row>
    <row r="1291" customFormat="false" ht="15" hidden="false" customHeight="true" outlineLevel="0" collapsed="false">
      <c r="A1291" s="8" t="s">
        <v>1794</v>
      </c>
      <c r="B1291" s="8" t="n">
        <v>4403020</v>
      </c>
      <c r="C1291" s="8" t="s">
        <v>1199</v>
      </c>
      <c r="D1291" s="19" t="n">
        <v>42</v>
      </c>
      <c r="E1291" s="19" t="n">
        <v>855.309</v>
      </c>
      <c r="F1291" s="19" t="n">
        <v>-6.31578947368421</v>
      </c>
      <c r="G1291" s="19" t="n">
        <v>-123.108631578947</v>
      </c>
      <c r="H1291" s="8" t="str">
        <f aca="false">IF(COUNTIF($J$1:$J$2,$A1291)&gt;0,"Y","N")</f>
        <v>N</v>
      </c>
    </row>
    <row r="1292" customFormat="false" ht="15" hidden="false" customHeight="true" outlineLevel="0" collapsed="false">
      <c r="A1292" s="8" t="s">
        <v>1794</v>
      </c>
      <c r="B1292" s="8" t="n">
        <v>4403021</v>
      </c>
      <c r="C1292" s="8" t="s">
        <v>1200</v>
      </c>
      <c r="D1292" s="19" t="n">
        <v>57</v>
      </c>
      <c r="E1292" s="19" t="n">
        <v>1148.602</v>
      </c>
      <c r="F1292" s="19" t="n">
        <v>-5.05263157894737</v>
      </c>
      <c r="G1292" s="19" t="n">
        <v>-97.4753684210526</v>
      </c>
      <c r="H1292" s="8" t="str">
        <f aca="false">IF(COUNTIF($J$1:$J$2,$A1292)&gt;0,"Y","N")</f>
        <v>N</v>
      </c>
    </row>
    <row r="1293" customFormat="false" ht="15" hidden="false" customHeight="true" outlineLevel="0" collapsed="false">
      <c r="A1293" s="8" t="s">
        <v>1794</v>
      </c>
      <c r="B1293" s="8" t="n">
        <v>4403022</v>
      </c>
      <c r="C1293" s="8" t="s">
        <v>1201</v>
      </c>
      <c r="D1293" s="19" t="n">
        <v>58</v>
      </c>
      <c r="E1293" s="19" t="n">
        <v>1180.816</v>
      </c>
      <c r="F1293" s="19" t="n">
        <v>0</v>
      </c>
      <c r="G1293" s="19" t="n">
        <v>0</v>
      </c>
      <c r="H1293" s="8" t="str">
        <f aca="false">IF(COUNTIF($J$1:$J$2,$A1293)&gt;0,"Y","N")</f>
        <v>N</v>
      </c>
    </row>
    <row r="1294" customFormat="false" ht="15" hidden="false" customHeight="true" outlineLevel="0" collapsed="false">
      <c r="A1294" s="8" t="s">
        <v>1794</v>
      </c>
      <c r="B1294" s="8" t="n">
        <v>4403023</v>
      </c>
      <c r="C1294" s="8" t="s">
        <v>1202</v>
      </c>
      <c r="D1294" s="19" t="n">
        <v>25</v>
      </c>
      <c r="E1294" s="19" t="n">
        <v>510.601</v>
      </c>
      <c r="F1294" s="19" t="n">
        <v>25.2631578947368</v>
      </c>
      <c r="G1294" s="19" t="n">
        <v>520.021894736842</v>
      </c>
      <c r="H1294" s="8" t="str">
        <f aca="false">IF(COUNTIF($J$1:$J$2,$A1294)&gt;0,"Y","N")</f>
        <v>N</v>
      </c>
    </row>
    <row r="1295" customFormat="false" ht="15" hidden="false" customHeight="true" outlineLevel="0" collapsed="false">
      <c r="A1295" s="8" t="s">
        <v>1794</v>
      </c>
      <c r="B1295" s="8" t="n">
        <v>4403024</v>
      </c>
      <c r="C1295" s="8" t="s">
        <v>1203</v>
      </c>
      <c r="D1295" s="19" t="n">
        <v>78</v>
      </c>
      <c r="E1295" s="19" t="n">
        <v>1578.213</v>
      </c>
      <c r="F1295" s="19" t="n">
        <v>80.8421052631579</v>
      </c>
      <c r="G1295" s="19" t="n">
        <v>1664.32294736842</v>
      </c>
      <c r="H1295" s="8" t="str">
        <f aca="false">IF(COUNTIF($J$1:$J$2,$A1295)&gt;0,"Y","N")</f>
        <v>N</v>
      </c>
    </row>
    <row r="1296" customFormat="false" ht="15" hidden="false" customHeight="true" outlineLevel="0" collapsed="false">
      <c r="A1296" s="8" t="s">
        <v>1794</v>
      </c>
      <c r="B1296" s="8" t="n">
        <v>4403025</v>
      </c>
      <c r="C1296" s="8" t="s">
        <v>1204</v>
      </c>
      <c r="D1296" s="19" t="n">
        <v>85</v>
      </c>
      <c r="E1296" s="19" t="n">
        <v>1716.806</v>
      </c>
      <c r="F1296" s="19" t="n">
        <v>85.8947368421053</v>
      </c>
      <c r="G1296" s="19" t="n">
        <v>1777.66105263158</v>
      </c>
      <c r="H1296" s="8" t="str">
        <f aca="false">IF(COUNTIF($J$1:$J$2,$A1296)&gt;0,"Y","N")</f>
        <v>N</v>
      </c>
    </row>
    <row r="1297" customFormat="false" ht="15" hidden="false" customHeight="true" outlineLevel="0" collapsed="false">
      <c r="A1297" s="8" t="s">
        <v>1794</v>
      </c>
      <c r="B1297" s="8" t="n">
        <v>4403028</v>
      </c>
      <c r="C1297" s="8" t="s">
        <v>1205</v>
      </c>
      <c r="D1297" s="19" t="n">
        <v>434</v>
      </c>
      <c r="E1297" s="19" t="n">
        <v>20790.497</v>
      </c>
      <c r="F1297" s="19" t="n">
        <v>-6.31578947368421</v>
      </c>
      <c r="G1297" s="19" t="n">
        <v>-297.253894736842</v>
      </c>
      <c r="H1297" s="8" t="str">
        <f aca="false">IF(COUNTIF($J$1:$J$2,$A1297)&gt;0,"Y","N")</f>
        <v>N</v>
      </c>
    </row>
    <row r="1298" customFormat="false" ht="15" hidden="false" customHeight="true" outlineLevel="0" collapsed="false">
      <c r="A1298" s="8" t="s">
        <v>1794</v>
      </c>
      <c r="B1298" s="8" t="n">
        <v>4403029</v>
      </c>
      <c r="C1298" s="8" t="s">
        <v>1206</v>
      </c>
      <c r="D1298" s="19" t="n">
        <v>545</v>
      </c>
      <c r="E1298" s="19" t="n">
        <v>26055.939</v>
      </c>
      <c r="F1298" s="19" t="n">
        <v>-3.78947368421053</v>
      </c>
      <c r="G1298" s="19" t="n">
        <v>-175.869473684211</v>
      </c>
      <c r="H1298" s="8" t="str">
        <f aca="false">IF(COUNTIF($J$1:$J$2,$A1298)&gt;0,"Y","N")</f>
        <v>N</v>
      </c>
    </row>
    <row r="1299" customFormat="false" ht="15" hidden="false" customHeight="true" outlineLevel="0" collapsed="false">
      <c r="A1299" s="8" t="s">
        <v>1794</v>
      </c>
      <c r="B1299" s="8" t="n">
        <v>4403030</v>
      </c>
      <c r="C1299" s="8" t="s">
        <v>1207</v>
      </c>
      <c r="D1299" s="19" t="n">
        <v>527</v>
      </c>
      <c r="E1299" s="19" t="n">
        <v>25230.023</v>
      </c>
      <c r="F1299" s="19" t="n">
        <v>-2.52631578947368</v>
      </c>
      <c r="G1299" s="19" t="n">
        <v>-118.280842105263</v>
      </c>
      <c r="H1299" s="8" t="str">
        <f aca="false">IF(COUNTIF($J$1:$J$2,$A1299)&gt;0,"Y","N")</f>
        <v>N</v>
      </c>
    </row>
    <row r="1300" customFormat="false" ht="15" hidden="false" customHeight="true" outlineLevel="0" collapsed="false">
      <c r="A1300" s="8" t="s">
        <v>1794</v>
      </c>
      <c r="B1300" s="8" t="n">
        <v>4403040</v>
      </c>
      <c r="C1300" s="8" t="s">
        <v>1210</v>
      </c>
      <c r="D1300" s="19" t="n">
        <v>111</v>
      </c>
      <c r="E1300" s="19" t="n">
        <v>3080.077</v>
      </c>
      <c r="F1300" s="19" t="n">
        <v>78.3157894736842</v>
      </c>
      <c r="G1300" s="19" t="n">
        <v>2284.00421052632</v>
      </c>
      <c r="H1300" s="8" t="str">
        <f aca="false">IF(COUNTIF($J$1:$J$2,$A1300)&gt;0,"Y","N")</f>
        <v>N</v>
      </c>
    </row>
    <row r="1301" customFormat="false" ht="15" hidden="false" customHeight="true" outlineLevel="0" collapsed="false">
      <c r="A1301" s="8" t="s">
        <v>1794</v>
      </c>
      <c r="B1301" s="8" t="n">
        <v>4403041</v>
      </c>
      <c r="C1301" s="8" t="s">
        <v>1211</v>
      </c>
      <c r="D1301" s="19" t="n">
        <v>0</v>
      </c>
      <c r="E1301" s="19" t="n">
        <v>0</v>
      </c>
      <c r="F1301" s="19" t="n">
        <v>539.368421052632</v>
      </c>
      <c r="G1301" s="19" t="n">
        <v>26818.4854736842</v>
      </c>
      <c r="H1301" s="8" t="str">
        <f aca="false">IF(COUNTIF($J$1:$J$2,$A1301)&gt;0,"Y","N")</f>
        <v>N</v>
      </c>
    </row>
    <row r="1302" customFormat="false" ht="15" hidden="false" customHeight="true" outlineLevel="0" collapsed="false">
      <c r="A1302" s="8" t="s">
        <v>1794</v>
      </c>
      <c r="B1302" s="8" t="n">
        <v>4403042</v>
      </c>
      <c r="C1302" s="8" t="s">
        <v>1212</v>
      </c>
      <c r="D1302" s="19" t="n">
        <v>0</v>
      </c>
      <c r="E1302" s="19" t="n">
        <v>0</v>
      </c>
      <c r="F1302" s="19" t="n">
        <v>817.263157894737</v>
      </c>
      <c r="G1302" s="19" t="n">
        <v>40625.1587368421</v>
      </c>
      <c r="H1302" s="8" t="str">
        <f aca="false">IF(COUNTIF($J$1:$J$2,$A1302)&gt;0,"Y","N")</f>
        <v>N</v>
      </c>
    </row>
    <row r="1303" customFormat="false" ht="15" hidden="false" customHeight="true" outlineLevel="0" collapsed="false">
      <c r="A1303" s="8" t="s">
        <v>1794</v>
      </c>
      <c r="B1303" s="8" t="n">
        <v>4403043</v>
      </c>
      <c r="C1303" s="8" t="s">
        <v>1213</v>
      </c>
      <c r="D1303" s="19" t="n">
        <v>0</v>
      </c>
      <c r="E1303" s="19" t="n">
        <v>0</v>
      </c>
      <c r="F1303" s="19" t="n">
        <v>603.789473684211</v>
      </c>
      <c r="G1303" s="19" t="n">
        <v>29986.8947368421</v>
      </c>
      <c r="H1303" s="8" t="str">
        <f aca="false">IF(COUNTIF($J$1:$J$2,$A1303)&gt;0,"Y","N")</f>
        <v>N</v>
      </c>
    </row>
    <row r="1304" customFormat="false" ht="15" hidden="false" customHeight="true" outlineLevel="0" collapsed="false">
      <c r="A1304" s="8" t="s">
        <v>1794</v>
      </c>
      <c r="B1304" s="8" t="n">
        <v>4404000</v>
      </c>
      <c r="C1304" s="8" t="s">
        <v>1216</v>
      </c>
      <c r="D1304" s="19" t="n">
        <v>-2</v>
      </c>
      <c r="E1304" s="19" t="n">
        <v>-42.861</v>
      </c>
      <c r="F1304" s="19" t="n">
        <v>0</v>
      </c>
      <c r="G1304" s="19" t="n">
        <v>0</v>
      </c>
      <c r="H1304" s="8" t="str">
        <f aca="false">IF(COUNTIF($J$1:$J$2,$A1304)&gt;0,"Y","N")</f>
        <v>N</v>
      </c>
    </row>
    <row r="1305" customFormat="false" ht="15" hidden="false" customHeight="true" outlineLevel="0" collapsed="false">
      <c r="A1305" s="8" t="s">
        <v>1794</v>
      </c>
      <c r="B1305" s="8" t="n">
        <v>4408005</v>
      </c>
      <c r="C1305" s="8" t="s">
        <v>1796</v>
      </c>
      <c r="D1305" s="19" t="n">
        <v>-1</v>
      </c>
      <c r="E1305" s="19" t="n">
        <v>-134.134</v>
      </c>
      <c r="F1305" s="19" t="n">
        <v>0</v>
      </c>
      <c r="G1305" s="19" t="n">
        <v>0</v>
      </c>
      <c r="H1305" s="8" t="str">
        <f aca="false">IF(COUNTIF($J$1:$J$2,$A1305)&gt;0,"Y","N")</f>
        <v>N</v>
      </c>
    </row>
    <row r="1306" customFormat="false" ht="15" hidden="false" customHeight="true" outlineLevel="0" collapsed="false">
      <c r="A1306" s="8" t="s">
        <v>1794</v>
      </c>
      <c r="B1306" s="8" t="n">
        <v>4408009</v>
      </c>
      <c r="C1306" s="8" t="s">
        <v>1219</v>
      </c>
      <c r="D1306" s="19" t="n">
        <v>2</v>
      </c>
      <c r="E1306" s="19" t="n">
        <v>184.457</v>
      </c>
      <c r="F1306" s="19" t="n">
        <v>-7.57894736842105</v>
      </c>
      <c r="G1306" s="19" t="n">
        <v>-619.566315789474</v>
      </c>
      <c r="H1306" s="8" t="str">
        <f aca="false">IF(COUNTIF($J$1:$J$2,$A1306)&gt;0,"Y","N")</f>
        <v>N</v>
      </c>
    </row>
    <row r="1307" customFormat="false" ht="15" hidden="false" customHeight="true" outlineLevel="0" collapsed="false">
      <c r="A1307" s="8" t="s">
        <v>1794</v>
      </c>
      <c r="B1307" s="8" t="n">
        <v>4408010</v>
      </c>
      <c r="C1307" s="8" t="s">
        <v>1220</v>
      </c>
      <c r="D1307" s="19" t="n">
        <v>-3</v>
      </c>
      <c r="E1307" s="19" t="n">
        <v>-241.514</v>
      </c>
      <c r="F1307" s="19" t="n">
        <v>-3.78947368421053</v>
      </c>
      <c r="G1307" s="19" t="n">
        <v>-317.714526315789</v>
      </c>
      <c r="H1307" s="8" t="str">
        <f aca="false">IF(COUNTIF($J$1:$J$2,$A1307)&gt;0,"Y","N")</f>
        <v>N</v>
      </c>
    </row>
    <row r="1308" customFormat="false" ht="15" hidden="false" customHeight="true" outlineLevel="0" collapsed="false">
      <c r="A1308" s="8" t="s">
        <v>1794</v>
      </c>
      <c r="B1308" s="8" t="n">
        <v>4408011</v>
      </c>
      <c r="C1308" s="8" t="s">
        <v>1221</v>
      </c>
      <c r="D1308" s="19" t="n">
        <v>-2</v>
      </c>
      <c r="E1308" s="19" t="n">
        <v>-137.501</v>
      </c>
      <c r="F1308" s="19" t="n">
        <v>-2.52631578947368</v>
      </c>
      <c r="G1308" s="19" t="n">
        <v>-199.088842105263</v>
      </c>
      <c r="H1308" s="8" t="str">
        <f aca="false">IF(COUNTIF($J$1:$J$2,$A1308)&gt;0,"Y","N")</f>
        <v>N</v>
      </c>
    </row>
    <row r="1309" customFormat="false" ht="15" hidden="false" customHeight="true" outlineLevel="0" collapsed="false">
      <c r="A1309" s="8" t="s">
        <v>1794</v>
      </c>
      <c r="B1309" s="8" t="n">
        <v>4408012</v>
      </c>
      <c r="C1309" s="8" t="s">
        <v>1222</v>
      </c>
      <c r="D1309" s="19" t="n">
        <v>-6</v>
      </c>
      <c r="E1309" s="19" t="n">
        <v>-462.007</v>
      </c>
      <c r="F1309" s="19" t="n">
        <v>-3.78947368421053</v>
      </c>
      <c r="G1309" s="19" t="n">
        <v>-310.357894736842</v>
      </c>
      <c r="H1309" s="8" t="str">
        <f aca="false">IF(COUNTIF($J$1:$J$2,$A1309)&gt;0,"Y","N")</f>
        <v>N</v>
      </c>
    </row>
    <row r="1310" customFormat="false" ht="15" hidden="false" customHeight="true" outlineLevel="0" collapsed="false">
      <c r="A1310" s="8" t="s">
        <v>1794</v>
      </c>
      <c r="B1310" s="8" t="n">
        <v>4408013</v>
      </c>
      <c r="C1310" s="8" t="s">
        <v>1223</v>
      </c>
      <c r="D1310" s="19" t="n">
        <v>3</v>
      </c>
      <c r="E1310" s="19" t="n">
        <v>251.524</v>
      </c>
      <c r="F1310" s="19" t="n">
        <v>0</v>
      </c>
      <c r="G1310" s="19" t="n">
        <v>0</v>
      </c>
      <c r="H1310" s="8" t="str">
        <f aca="false">IF(COUNTIF($J$1:$J$2,$A1310)&gt;0,"Y","N")</f>
        <v>N</v>
      </c>
    </row>
    <row r="1311" customFormat="false" ht="15" hidden="false" customHeight="true" outlineLevel="0" collapsed="false">
      <c r="A1311" s="8" t="s">
        <v>1794</v>
      </c>
      <c r="B1311" s="8" t="n">
        <v>4408017</v>
      </c>
      <c r="C1311" s="8" t="s">
        <v>206</v>
      </c>
      <c r="D1311" s="19" t="n">
        <v>-1</v>
      </c>
      <c r="E1311" s="19" t="n">
        <v>-196.014</v>
      </c>
      <c r="F1311" s="19" t="n">
        <v>-1.26315789473684</v>
      </c>
      <c r="G1311" s="19" t="n">
        <v>-247.596631578947</v>
      </c>
      <c r="H1311" s="8" t="str">
        <f aca="false">IF(COUNTIF($J$1:$J$2,$A1311)&gt;0,"Y","N")</f>
        <v>N</v>
      </c>
    </row>
    <row r="1312" customFormat="false" ht="15" hidden="false" customHeight="true" outlineLevel="0" collapsed="false">
      <c r="A1312" s="8" t="s">
        <v>1794</v>
      </c>
      <c r="B1312" s="8" t="n">
        <v>4408026</v>
      </c>
      <c r="C1312" s="8" t="s">
        <v>1226</v>
      </c>
      <c r="D1312" s="19" t="n">
        <v>6</v>
      </c>
      <c r="E1312" s="19" t="n">
        <v>715.624</v>
      </c>
      <c r="F1312" s="19" t="n">
        <v>-5.05263157894737</v>
      </c>
      <c r="G1312" s="19" t="n">
        <v>-602.554105263158</v>
      </c>
      <c r="H1312" s="8" t="str">
        <f aca="false">IF(COUNTIF($J$1:$J$2,$A1312)&gt;0,"Y","N")</f>
        <v>N</v>
      </c>
    </row>
    <row r="1313" customFormat="false" ht="15" hidden="false" customHeight="true" outlineLevel="0" collapsed="false">
      <c r="A1313" s="8" t="s">
        <v>1794</v>
      </c>
      <c r="B1313" s="8" t="n">
        <v>4408027</v>
      </c>
      <c r="C1313" s="8" t="s">
        <v>1227</v>
      </c>
      <c r="D1313" s="19" t="n">
        <v>58</v>
      </c>
      <c r="E1313" s="19" t="n">
        <v>6894.069</v>
      </c>
      <c r="F1313" s="19" t="n">
        <v>17.6842105263158</v>
      </c>
      <c r="G1313" s="19" t="n">
        <v>2157.792</v>
      </c>
      <c r="H1313" s="8" t="str">
        <f aca="false">IF(COUNTIF($J$1:$J$2,$A1313)&gt;0,"Y","N")</f>
        <v>N</v>
      </c>
    </row>
    <row r="1314" customFormat="false" ht="15" hidden="false" customHeight="true" outlineLevel="0" collapsed="false">
      <c r="A1314" s="8" t="s">
        <v>1794</v>
      </c>
      <c r="B1314" s="8" t="n">
        <v>4408028</v>
      </c>
      <c r="C1314" s="8" t="s">
        <v>1228</v>
      </c>
      <c r="D1314" s="19" t="n">
        <v>37</v>
      </c>
      <c r="E1314" s="19" t="n">
        <v>4436.978</v>
      </c>
      <c r="F1314" s="19" t="n">
        <v>10.1052631578947</v>
      </c>
      <c r="G1314" s="19" t="n">
        <v>1257.29431578947</v>
      </c>
      <c r="H1314" s="8" t="str">
        <f aca="false">IF(COUNTIF($J$1:$J$2,$A1314)&gt;0,"Y","N")</f>
        <v>N</v>
      </c>
    </row>
    <row r="1315" customFormat="false" ht="15" hidden="false" customHeight="true" outlineLevel="0" collapsed="false">
      <c r="A1315" s="8" t="s">
        <v>1794</v>
      </c>
      <c r="B1315" s="8" t="n">
        <v>4408029</v>
      </c>
      <c r="C1315" s="8" t="s">
        <v>1229</v>
      </c>
      <c r="D1315" s="19" t="n">
        <v>65</v>
      </c>
      <c r="E1315" s="19" t="n">
        <v>7752.836</v>
      </c>
      <c r="F1315" s="19" t="n">
        <v>34.1052631578947</v>
      </c>
      <c r="G1315" s="19" t="n">
        <v>4120.74821052632</v>
      </c>
      <c r="H1315" s="8" t="str">
        <f aca="false">IF(COUNTIF($J$1:$J$2,$A1315)&gt;0,"Y","N")</f>
        <v>N</v>
      </c>
    </row>
    <row r="1316" customFormat="false" ht="15" hidden="false" customHeight="true" outlineLevel="0" collapsed="false">
      <c r="A1316" s="8" t="s">
        <v>1794</v>
      </c>
      <c r="B1316" s="8" t="n">
        <v>4408030</v>
      </c>
      <c r="C1316" s="8" t="s">
        <v>1230</v>
      </c>
      <c r="D1316" s="19" t="n">
        <v>4</v>
      </c>
      <c r="E1316" s="19" t="n">
        <v>477.022</v>
      </c>
      <c r="F1316" s="19" t="n">
        <v>0</v>
      </c>
      <c r="G1316" s="19" t="n">
        <v>0</v>
      </c>
      <c r="H1316" s="8" t="str">
        <f aca="false">IF(COUNTIF($J$1:$J$2,$A1316)&gt;0,"Y","N")</f>
        <v>N</v>
      </c>
    </row>
    <row r="1317" customFormat="false" ht="15" hidden="false" customHeight="true" outlineLevel="0" collapsed="false">
      <c r="A1317" s="8" t="s">
        <v>1794</v>
      </c>
      <c r="B1317" s="8" t="n">
        <v>4408031</v>
      </c>
      <c r="C1317" s="8" t="s">
        <v>316</v>
      </c>
      <c r="D1317" s="19" t="n">
        <v>147</v>
      </c>
      <c r="E1317" s="19" t="n">
        <v>12052.677</v>
      </c>
      <c r="F1317" s="19" t="n">
        <v>116.210526315789</v>
      </c>
      <c r="G1317" s="19" t="n">
        <v>9783.74526315789</v>
      </c>
      <c r="H1317" s="8" t="str">
        <f aca="false">IF(COUNTIF($J$1:$J$2,$A1317)&gt;0,"Y","N")</f>
        <v>N</v>
      </c>
    </row>
    <row r="1318" customFormat="false" ht="15" hidden="false" customHeight="true" outlineLevel="0" collapsed="false">
      <c r="A1318" s="8" t="s">
        <v>1794</v>
      </c>
      <c r="B1318" s="8" t="n">
        <v>4408032</v>
      </c>
      <c r="C1318" s="8" t="s">
        <v>77</v>
      </c>
      <c r="D1318" s="19" t="n">
        <v>412</v>
      </c>
      <c r="E1318" s="19" t="n">
        <v>33715.682</v>
      </c>
      <c r="F1318" s="19" t="n">
        <v>314.526315789474</v>
      </c>
      <c r="G1318" s="19" t="n">
        <v>25942.8164210526</v>
      </c>
      <c r="H1318" s="8" t="str">
        <f aca="false">IF(COUNTIF($J$1:$J$2,$A1318)&gt;0,"Y","N")</f>
        <v>N</v>
      </c>
    </row>
    <row r="1319" customFormat="false" ht="15" hidden="false" customHeight="true" outlineLevel="0" collapsed="false">
      <c r="A1319" s="8" t="s">
        <v>1794</v>
      </c>
      <c r="B1319" s="8" t="n">
        <v>4408033</v>
      </c>
      <c r="C1319" s="8" t="s">
        <v>99</v>
      </c>
      <c r="D1319" s="19" t="n">
        <v>313</v>
      </c>
      <c r="E1319" s="19" t="n">
        <v>25544.428</v>
      </c>
      <c r="F1319" s="19" t="n">
        <v>223.578947368421</v>
      </c>
      <c r="G1319" s="19" t="n">
        <v>18410.5452631579</v>
      </c>
      <c r="H1319" s="8" t="str">
        <f aca="false">IF(COUNTIF($J$1:$J$2,$A1319)&gt;0,"Y","N")</f>
        <v>N</v>
      </c>
    </row>
    <row r="1320" customFormat="false" ht="15" hidden="false" customHeight="true" outlineLevel="0" collapsed="false">
      <c r="A1320" s="8" t="s">
        <v>1794</v>
      </c>
      <c r="B1320" s="8" t="n">
        <v>4408034</v>
      </c>
      <c r="C1320" s="8" t="s">
        <v>69</v>
      </c>
      <c r="D1320" s="19" t="n">
        <v>399</v>
      </c>
      <c r="E1320" s="19" t="n">
        <v>32649.799</v>
      </c>
      <c r="F1320" s="19" t="n">
        <v>304.421052631579</v>
      </c>
      <c r="G1320" s="19" t="n">
        <v>24968.9823157895</v>
      </c>
      <c r="H1320" s="8" t="str">
        <f aca="false">IF(COUNTIF($J$1:$J$2,$A1320)&gt;0,"Y","N")</f>
        <v>N</v>
      </c>
    </row>
    <row r="1321" customFormat="false" ht="15" hidden="false" customHeight="true" outlineLevel="0" collapsed="false">
      <c r="A1321" s="8" t="s">
        <v>1794</v>
      </c>
      <c r="B1321" s="8" t="n">
        <v>4408035</v>
      </c>
      <c r="C1321" s="8" t="s">
        <v>100</v>
      </c>
      <c r="D1321" s="19" t="n">
        <v>98</v>
      </c>
      <c r="E1321" s="19" t="n">
        <v>7963.046</v>
      </c>
      <c r="F1321" s="19" t="n">
        <v>58.1052631578947</v>
      </c>
      <c r="G1321" s="19" t="n">
        <v>4756.17726315789</v>
      </c>
      <c r="H1321" s="8" t="str">
        <f aca="false">IF(COUNTIF($J$1:$J$2,$A1321)&gt;0,"Y","N")</f>
        <v>N</v>
      </c>
    </row>
    <row r="1322" customFormat="false" ht="15" hidden="false" customHeight="true" outlineLevel="0" collapsed="false">
      <c r="A1322" s="8" t="s">
        <v>1794</v>
      </c>
      <c r="B1322" s="8" t="n">
        <v>4408038</v>
      </c>
      <c r="C1322" s="8" t="s">
        <v>1797</v>
      </c>
      <c r="D1322" s="19" t="n">
        <v>-1</v>
      </c>
      <c r="E1322" s="19" t="n">
        <v>-162.526</v>
      </c>
      <c r="F1322" s="19" t="n">
        <v>0</v>
      </c>
      <c r="G1322" s="19" t="n">
        <v>0</v>
      </c>
      <c r="H1322" s="8" t="str">
        <f aca="false">IF(COUNTIF($J$1:$J$2,$A1322)&gt;0,"Y","N")</f>
        <v>N</v>
      </c>
    </row>
    <row r="1323" customFormat="false" ht="15" hidden="false" customHeight="true" outlineLevel="0" collapsed="false">
      <c r="A1323" s="8" t="s">
        <v>1794</v>
      </c>
      <c r="B1323" s="8" t="n">
        <v>4408039</v>
      </c>
      <c r="C1323" s="8" t="s">
        <v>1798</v>
      </c>
      <c r="D1323" s="19" t="n">
        <v>0</v>
      </c>
      <c r="E1323" s="19" t="n">
        <v>0</v>
      </c>
      <c r="F1323" s="19" t="n">
        <v>-1.26315789473684</v>
      </c>
      <c r="G1323" s="19" t="n">
        <v>-205.296</v>
      </c>
      <c r="H1323" s="8" t="str">
        <f aca="false">IF(COUNTIF($J$1:$J$2,$A1323)&gt;0,"Y","N")</f>
        <v>N</v>
      </c>
    </row>
    <row r="1324" customFormat="false" ht="15" hidden="false" customHeight="true" outlineLevel="0" collapsed="false">
      <c r="A1324" s="8" t="s">
        <v>1794</v>
      </c>
      <c r="B1324" s="8" t="n">
        <v>4408042</v>
      </c>
      <c r="C1324" s="8" t="s">
        <v>1232</v>
      </c>
      <c r="D1324" s="19" t="n">
        <v>0</v>
      </c>
      <c r="E1324" s="19" t="n">
        <v>0</v>
      </c>
      <c r="F1324" s="19" t="n">
        <v>-1.26315789473684</v>
      </c>
      <c r="G1324" s="19" t="n">
        <v>-305.989894736842</v>
      </c>
      <c r="H1324" s="8" t="str">
        <f aca="false">IF(COUNTIF($J$1:$J$2,$A1324)&gt;0,"Y","N")</f>
        <v>N</v>
      </c>
    </row>
    <row r="1325" customFormat="false" ht="15" hidden="false" customHeight="true" outlineLevel="0" collapsed="false">
      <c r="A1325" s="8" t="s">
        <v>1794</v>
      </c>
      <c r="B1325" s="8" t="n">
        <v>4408046</v>
      </c>
      <c r="C1325" s="8" t="s">
        <v>1235</v>
      </c>
      <c r="D1325" s="19" t="n">
        <v>189</v>
      </c>
      <c r="E1325" s="19" t="n">
        <v>4316.403</v>
      </c>
      <c r="F1325" s="19" t="n">
        <v>155.368421052632</v>
      </c>
      <c r="G1325" s="19" t="n">
        <v>3683.48842105263</v>
      </c>
      <c r="H1325" s="8" t="str">
        <f aca="false">IF(COUNTIF($J$1:$J$2,$A1325)&gt;0,"Y","N")</f>
        <v>N</v>
      </c>
    </row>
    <row r="1326" customFormat="false" ht="15" hidden="false" customHeight="true" outlineLevel="0" collapsed="false">
      <c r="A1326" s="8" t="s">
        <v>1794</v>
      </c>
      <c r="B1326" s="8" t="n">
        <v>4408047</v>
      </c>
      <c r="C1326" s="8" t="s">
        <v>1236</v>
      </c>
      <c r="D1326" s="19" t="n">
        <v>282</v>
      </c>
      <c r="E1326" s="19" t="n">
        <v>6448.169</v>
      </c>
      <c r="F1326" s="19" t="n">
        <v>174.315789473684</v>
      </c>
      <c r="G1326" s="19" t="n">
        <v>4054.65347368421</v>
      </c>
      <c r="H1326" s="8" t="str">
        <f aca="false">IF(COUNTIF($J$1:$J$2,$A1326)&gt;0,"Y","N")</f>
        <v>N</v>
      </c>
    </row>
    <row r="1327" customFormat="false" ht="15" hidden="false" customHeight="true" outlineLevel="0" collapsed="false">
      <c r="A1327" s="8" t="s">
        <v>1794</v>
      </c>
      <c r="B1327" s="8" t="n">
        <v>4408048</v>
      </c>
      <c r="C1327" s="8" t="s">
        <v>1237</v>
      </c>
      <c r="D1327" s="19" t="n">
        <v>183</v>
      </c>
      <c r="E1327" s="19" t="n">
        <v>4179.994</v>
      </c>
      <c r="F1327" s="19" t="n">
        <v>128.842105263158</v>
      </c>
      <c r="G1327" s="19" t="n">
        <v>3033.576</v>
      </c>
      <c r="H1327" s="8" t="str">
        <f aca="false">IF(COUNTIF($J$1:$J$2,$A1327)&gt;0,"Y","N")</f>
        <v>N</v>
      </c>
    </row>
    <row r="1328" customFormat="false" ht="15" hidden="false" customHeight="true" outlineLevel="0" collapsed="false">
      <c r="A1328" s="8" t="s">
        <v>1794</v>
      </c>
      <c r="B1328" s="8" t="n">
        <v>4408049</v>
      </c>
      <c r="C1328" s="8" t="s">
        <v>1238</v>
      </c>
      <c r="D1328" s="19" t="n">
        <v>84</v>
      </c>
      <c r="E1328" s="19" t="n">
        <v>1915.186</v>
      </c>
      <c r="F1328" s="19" t="n">
        <v>46.7368421052632</v>
      </c>
      <c r="G1328" s="19" t="n">
        <v>1079.24084210526</v>
      </c>
      <c r="H1328" s="8" t="str">
        <f aca="false">IF(COUNTIF($J$1:$J$2,$A1328)&gt;0,"Y","N")</f>
        <v>N</v>
      </c>
    </row>
    <row r="1329" customFormat="false" ht="15" hidden="false" customHeight="true" outlineLevel="0" collapsed="false">
      <c r="A1329" s="8" t="s">
        <v>1794</v>
      </c>
      <c r="B1329" s="8" t="n">
        <v>4408050</v>
      </c>
      <c r="C1329" s="8" t="s">
        <v>1239</v>
      </c>
      <c r="D1329" s="19" t="n">
        <v>1</v>
      </c>
      <c r="E1329" s="19" t="n">
        <v>22.932</v>
      </c>
      <c r="F1329" s="19" t="n">
        <v>-2.52631578947368</v>
      </c>
      <c r="G1329" s="19" t="n">
        <v>-55.0597894736842</v>
      </c>
      <c r="H1329" s="8" t="str">
        <f aca="false">IF(COUNTIF($J$1:$J$2,$A1329)&gt;0,"Y","N")</f>
        <v>N</v>
      </c>
    </row>
    <row r="1330" customFormat="false" ht="15" hidden="false" customHeight="true" outlineLevel="0" collapsed="false">
      <c r="A1330" s="8" t="s">
        <v>1794</v>
      </c>
      <c r="B1330" s="8" t="n">
        <v>4408051</v>
      </c>
      <c r="C1330" s="8" t="s">
        <v>1240</v>
      </c>
      <c r="D1330" s="19" t="n">
        <v>2255</v>
      </c>
      <c r="E1330" s="19" t="n">
        <v>67097.03</v>
      </c>
      <c r="F1330" s="19" t="n">
        <v>1864.42105263158</v>
      </c>
      <c r="G1330" s="19" t="n">
        <v>55952.4707368421</v>
      </c>
      <c r="H1330" s="8" t="str">
        <f aca="false">IF(COUNTIF($J$1:$J$2,$A1330)&gt;0,"Y","N")</f>
        <v>N</v>
      </c>
    </row>
    <row r="1331" customFormat="false" ht="15" hidden="false" customHeight="true" outlineLevel="0" collapsed="false">
      <c r="A1331" s="8" t="s">
        <v>1794</v>
      </c>
      <c r="B1331" s="8" t="n">
        <v>4408052</v>
      </c>
      <c r="C1331" s="8" t="s">
        <v>1241</v>
      </c>
      <c r="D1331" s="19" t="n">
        <v>2160</v>
      </c>
      <c r="E1331" s="19" t="n">
        <v>64170.197</v>
      </c>
      <c r="F1331" s="19" t="n">
        <v>1817.68421052632</v>
      </c>
      <c r="G1331" s="19" t="n">
        <v>54433.4412631579</v>
      </c>
      <c r="H1331" s="8" t="str">
        <f aca="false">IF(COUNTIF($J$1:$J$2,$A1331)&gt;0,"Y","N")</f>
        <v>N</v>
      </c>
    </row>
    <row r="1332" customFormat="false" ht="15" hidden="false" customHeight="true" outlineLevel="0" collapsed="false">
      <c r="A1332" s="8" t="s">
        <v>1794</v>
      </c>
      <c r="B1332" s="8" t="n">
        <v>4408053</v>
      </c>
      <c r="C1332" s="8" t="s">
        <v>1242</v>
      </c>
      <c r="D1332" s="19" t="n">
        <v>3042</v>
      </c>
      <c r="E1332" s="19" t="n">
        <v>90502.048</v>
      </c>
      <c r="F1332" s="19" t="n">
        <v>2480.84210526316</v>
      </c>
      <c r="G1332" s="19" t="n">
        <v>74406.5810526316</v>
      </c>
      <c r="H1332" s="8" t="str">
        <f aca="false">IF(COUNTIF($J$1:$J$2,$A1332)&gt;0,"Y","N")</f>
        <v>N</v>
      </c>
    </row>
    <row r="1333" customFormat="false" ht="15" hidden="false" customHeight="true" outlineLevel="0" collapsed="false">
      <c r="A1333" s="8" t="s">
        <v>1794</v>
      </c>
      <c r="B1333" s="8" t="n">
        <v>4408054</v>
      </c>
      <c r="C1333" s="8" t="s">
        <v>1243</v>
      </c>
      <c r="D1333" s="19" t="n">
        <v>801</v>
      </c>
      <c r="E1333" s="19" t="n">
        <v>23805.6</v>
      </c>
      <c r="F1333" s="19" t="n">
        <v>731.368421052632</v>
      </c>
      <c r="G1333" s="19" t="n">
        <v>21927.36</v>
      </c>
      <c r="H1333" s="8" t="str">
        <f aca="false">IF(COUNTIF($J$1:$J$2,$A1333)&gt;0,"Y","N")</f>
        <v>N</v>
      </c>
    </row>
    <row r="1334" customFormat="false" ht="15" hidden="false" customHeight="true" outlineLevel="0" collapsed="false">
      <c r="A1334" s="8" t="s">
        <v>1794</v>
      </c>
      <c r="B1334" s="8" t="n">
        <v>4408059</v>
      </c>
      <c r="C1334" s="8" t="s">
        <v>1244</v>
      </c>
      <c r="D1334" s="19" t="n">
        <v>-5</v>
      </c>
      <c r="E1334" s="19" t="n">
        <v>-289.471</v>
      </c>
      <c r="F1334" s="19" t="n">
        <v>0</v>
      </c>
      <c r="G1334" s="19" t="n">
        <v>0</v>
      </c>
      <c r="H1334" s="8" t="str">
        <f aca="false">IF(COUNTIF($J$1:$J$2,$A1334)&gt;0,"Y","N")</f>
        <v>N</v>
      </c>
    </row>
    <row r="1335" customFormat="false" ht="15" hidden="false" customHeight="true" outlineLevel="0" collapsed="false">
      <c r="A1335" s="8" t="s">
        <v>1794</v>
      </c>
      <c r="B1335" s="8" t="n">
        <v>4408060</v>
      </c>
      <c r="C1335" s="8" t="s">
        <v>1245</v>
      </c>
      <c r="D1335" s="19" t="n">
        <v>-1</v>
      </c>
      <c r="E1335" s="19" t="n">
        <v>-57.876</v>
      </c>
      <c r="F1335" s="19" t="n">
        <v>-1.26315789473684</v>
      </c>
      <c r="G1335" s="19" t="n">
        <v>-73.1065263157895</v>
      </c>
      <c r="H1335" s="8" t="str">
        <f aca="false">IF(COUNTIF($J$1:$J$2,$A1335)&gt;0,"Y","N")</f>
        <v>N</v>
      </c>
    </row>
    <row r="1336" customFormat="false" ht="15" hidden="false" customHeight="true" outlineLevel="0" collapsed="false">
      <c r="A1336" s="8" t="s">
        <v>1794</v>
      </c>
      <c r="B1336" s="8" t="n">
        <v>4408062</v>
      </c>
      <c r="C1336" s="8" t="s">
        <v>1247</v>
      </c>
      <c r="D1336" s="19" t="n">
        <v>-5</v>
      </c>
      <c r="E1336" s="19" t="n">
        <v>-289.471</v>
      </c>
      <c r="F1336" s="19" t="n">
        <v>-1.26315789473684</v>
      </c>
      <c r="G1336" s="19" t="n">
        <v>-69.4282105263158</v>
      </c>
      <c r="H1336" s="8" t="str">
        <f aca="false">IF(COUNTIF($J$1:$J$2,$A1336)&gt;0,"Y","N")</f>
        <v>N</v>
      </c>
    </row>
    <row r="1337" customFormat="false" ht="15" hidden="false" customHeight="true" outlineLevel="0" collapsed="false">
      <c r="A1337" s="8" t="s">
        <v>1794</v>
      </c>
      <c r="B1337" s="8" t="n">
        <v>4408069</v>
      </c>
      <c r="C1337" s="8" t="s">
        <v>1248</v>
      </c>
      <c r="D1337" s="19" t="n">
        <v>-2</v>
      </c>
      <c r="E1337" s="19" t="n">
        <v>-124.033</v>
      </c>
      <c r="F1337" s="19" t="n">
        <v>0</v>
      </c>
      <c r="G1337" s="19" t="n">
        <v>0</v>
      </c>
      <c r="H1337" s="8" t="str">
        <f aca="false">IF(COUNTIF($J$1:$J$2,$A1337)&gt;0,"Y","N")</f>
        <v>N</v>
      </c>
    </row>
    <row r="1338" customFormat="false" ht="15" hidden="false" customHeight="true" outlineLevel="0" collapsed="false">
      <c r="A1338" s="8" t="s">
        <v>1794</v>
      </c>
      <c r="B1338" s="8" t="n">
        <v>4408075</v>
      </c>
      <c r="C1338" s="8" t="s">
        <v>1252</v>
      </c>
      <c r="D1338" s="19" t="n">
        <v>0</v>
      </c>
      <c r="E1338" s="19" t="n">
        <v>0</v>
      </c>
      <c r="F1338" s="19" t="n">
        <v>-1.26315789473684</v>
      </c>
      <c r="G1338" s="19" t="n">
        <v>0</v>
      </c>
      <c r="H1338" s="8" t="str">
        <f aca="false">IF(COUNTIF($J$1:$J$2,$A1338)&gt;0,"Y","N")</f>
        <v>N</v>
      </c>
    </row>
    <row r="1339" customFormat="false" ht="15" hidden="false" customHeight="true" outlineLevel="0" collapsed="false">
      <c r="A1339" s="8" t="s">
        <v>1794</v>
      </c>
      <c r="B1339" s="8" t="n">
        <v>4408076</v>
      </c>
      <c r="C1339" s="8" t="s">
        <v>1253</v>
      </c>
      <c r="D1339" s="19" t="n">
        <v>0</v>
      </c>
      <c r="E1339" s="19" t="n">
        <v>0</v>
      </c>
      <c r="F1339" s="19" t="n">
        <v>1.26315789473684</v>
      </c>
      <c r="G1339" s="19" t="n">
        <v>186.789473684211</v>
      </c>
      <c r="H1339" s="8" t="str">
        <f aca="false">IF(COUNTIF($J$1:$J$2,$A1339)&gt;0,"Y","N")</f>
        <v>N</v>
      </c>
    </row>
    <row r="1340" customFormat="false" ht="15" hidden="false" customHeight="true" outlineLevel="0" collapsed="false">
      <c r="A1340" s="8" t="s">
        <v>1794</v>
      </c>
      <c r="B1340" s="8" t="n">
        <v>4408077</v>
      </c>
      <c r="C1340" s="8" t="s">
        <v>1254</v>
      </c>
      <c r="D1340" s="19" t="n">
        <v>-1</v>
      </c>
      <c r="E1340" s="19" t="n">
        <v>-151.151</v>
      </c>
      <c r="F1340" s="19" t="n">
        <v>0</v>
      </c>
      <c r="G1340" s="19" t="n">
        <v>0</v>
      </c>
      <c r="H1340" s="8" t="str">
        <f aca="false">IF(COUNTIF($J$1:$J$2,$A1340)&gt;0,"Y","N")</f>
        <v>N</v>
      </c>
    </row>
    <row r="1341" customFormat="false" ht="15" hidden="false" customHeight="true" outlineLevel="0" collapsed="false">
      <c r="A1341" s="8" t="s">
        <v>1794</v>
      </c>
      <c r="B1341" s="8" t="n">
        <v>4408080</v>
      </c>
      <c r="C1341" s="8" t="s">
        <v>1257</v>
      </c>
      <c r="D1341" s="19" t="n">
        <v>1</v>
      </c>
      <c r="E1341" s="19" t="n">
        <v>151.151</v>
      </c>
      <c r="F1341" s="19" t="n">
        <v>0</v>
      </c>
      <c r="G1341" s="19" t="n">
        <v>0</v>
      </c>
      <c r="H1341" s="8" t="str">
        <f aca="false">IF(COUNTIF($J$1:$J$2,$A1341)&gt;0,"Y","N")</f>
        <v>N</v>
      </c>
    </row>
    <row r="1342" customFormat="false" ht="15" hidden="false" customHeight="true" outlineLevel="0" collapsed="false">
      <c r="A1342" s="8" t="s">
        <v>1794</v>
      </c>
      <c r="B1342" s="8" t="n">
        <v>4408081</v>
      </c>
      <c r="C1342" s="8" t="s">
        <v>1258</v>
      </c>
      <c r="D1342" s="19" t="n">
        <v>-1</v>
      </c>
      <c r="E1342" s="19" t="n">
        <v>-151.151</v>
      </c>
      <c r="F1342" s="19" t="n">
        <v>0</v>
      </c>
      <c r="G1342" s="19" t="n">
        <v>0</v>
      </c>
      <c r="H1342" s="8" t="str">
        <f aca="false">IF(COUNTIF($J$1:$J$2,$A1342)&gt;0,"Y","N")</f>
        <v>N</v>
      </c>
    </row>
    <row r="1343" customFormat="false" ht="15" hidden="false" customHeight="true" outlineLevel="0" collapsed="false">
      <c r="A1343" s="8" t="s">
        <v>1794</v>
      </c>
      <c r="B1343" s="8" t="n">
        <v>4408082</v>
      </c>
      <c r="C1343" s="8" t="s">
        <v>1259</v>
      </c>
      <c r="D1343" s="19" t="n">
        <v>-2</v>
      </c>
      <c r="E1343" s="19" t="n">
        <v>-302.302</v>
      </c>
      <c r="F1343" s="19" t="n">
        <v>0</v>
      </c>
      <c r="G1343" s="19" t="n">
        <v>0</v>
      </c>
      <c r="H1343" s="8" t="str">
        <f aca="false">IF(COUNTIF($J$1:$J$2,$A1343)&gt;0,"Y","N")</f>
        <v>N</v>
      </c>
    </row>
    <row r="1344" customFormat="false" ht="15" hidden="false" customHeight="true" outlineLevel="0" collapsed="false">
      <c r="A1344" s="8" t="s">
        <v>1794</v>
      </c>
      <c r="B1344" s="8" t="n">
        <v>4408085</v>
      </c>
      <c r="C1344" s="8" t="s">
        <v>1261</v>
      </c>
      <c r="D1344" s="19" t="n">
        <v>-2</v>
      </c>
      <c r="E1344" s="19" t="n">
        <v>-238.511</v>
      </c>
      <c r="F1344" s="19" t="n">
        <v>0</v>
      </c>
      <c r="G1344" s="19" t="n">
        <v>0</v>
      </c>
      <c r="H1344" s="8" t="str">
        <f aca="false">IF(COUNTIF($J$1:$J$2,$A1344)&gt;0,"Y","N")</f>
        <v>N</v>
      </c>
    </row>
    <row r="1345" customFormat="false" ht="15" hidden="false" customHeight="true" outlineLevel="0" collapsed="false">
      <c r="A1345" s="8" t="s">
        <v>1794</v>
      </c>
      <c r="B1345" s="8" t="n">
        <v>4408086</v>
      </c>
      <c r="C1345" s="8" t="s">
        <v>1799</v>
      </c>
      <c r="D1345" s="19" t="n">
        <v>-1</v>
      </c>
      <c r="E1345" s="19" t="n">
        <v>0</v>
      </c>
      <c r="F1345" s="19" t="n">
        <v>-1.26315789473684</v>
      </c>
      <c r="G1345" s="19" t="n">
        <v>0</v>
      </c>
      <c r="H1345" s="8" t="str">
        <f aca="false">IF(COUNTIF($J$1:$J$2,$A1345)&gt;0,"Y","N")</f>
        <v>N</v>
      </c>
    </row>
    <row r="1346" customFormat="false" ht="15" hidden="false" customHeight="true" outlineLevel="0" collapsed="false">
      <c r="A1346" s="8" t="s">
        <v>1794</v>
      </c>
      <c r="B1346" s="8" t="n">
        <v>4408088</v>
      </c>
      <c r="C1346" s="8" t="s">
        <v>1263</v>
      </c>
      <c r="D1346" s="19" t="n">
        <v>224</v>
      </c>
      <c r="E1346" s="19" t="n">
        <v>14251.965</v>
      </c>
      <c r="F1346" s="19" t="n">
        <v>-31.5789473684211</v>
      </c>
      <c r="G1346" s="19" t="n">
        <v>-1971.57726315789</v>
      </c>
      <c r="H1346" s="8" t="str">
        <f aca="false">IF(COUNTIF($J$1:$J$2,$A1346)&gt;0,"Y","N")</f>
        <v>N</v>
      </c>
    </row>
    <row r="1347" customFormat="false" ht="15" hidden="false" customHeight="true" outlineLevel="0" collapsed="false">
      <c r="A1347" s="8" t="s">
        <v>1794</v>
      </c>
      <c r="B1347" s="8" t="n">
        <v>4408089</v>
      </c>
      <c r="C1347" s="8" t="s">
        <v>1264</v>
      </c>
      <c r="D1347" s="19" t="n">
        <v>-1</v>
      </c>
      <c r="E1347" s="19" t="n">
        <v>-74.529</v>
      </c>
      <c r="F1347" s="19" t="n">
        <v>-1.26315789473684</v>
      </c>
      <c r="G1347" s="19" t="n">
        <v>-94.1418947368421</v>
      </c>
      <c r="H1347" s="8" t="str">
        <f aca="false">IF(COUNTIF($J$1:$J$2,$A1347)&gt;0,"Y","N")</f>
        <v>N</v>
      </c>
    </row>
    <row r="1348" customFormat="false" ht="15" hidden="false" customHeight="true" outlineLevel="0" collapsed="false">
      <c r="A1348" s="8" t="s">
        <v>1794</v>
      </c>
      <c r="B1348" s="8" t="n">
        <v>4408090</v>
      </c>
      <c r="C1348" s="8" t="s">
        <v>1265</v>
      </c>
      <c r="D1348" s="19" t="n">
        <v>9</v>
      </c>
      <c r="E1348" s="19" t="n">
        <v>663.299</v>
      </c>
      <c r="F1348" s="19" t="n">
        <v>2.52631578947368</v>
      </c>
      <c r="G1348" s="19" t="n">
        <v>183.685894736842</v>
      </c>
      <c r="H1348" s="8" t="str">
        <f aca="false">IF(COUNTIF($J$1:$J$2,$A1348)&gt;0,"Y","N")</f>
        <v>N</v>
      </c>
    </row>
    <row r="1349" customFormat="false" ht="15" hidden="false" customHeight="true" outlineLevel="0" collapsed="false">
      <c r="A1349" s="8" t="s">
        <v>1794</v>
      </c>
      <c r="B1349" s="8" t="n">
        <v>4408091</v>
      </c>
      <c r="C1349" s="8" t="s">
        <v>1266</v>
      </c>
      <c r="D1349" s="19" t="n">
        <v>7</v>
      </c>
      <c r="E1349" s="19" t="n">
        <v>521.703</v>
      </c>
      <c r="F1349" s="19" t="n">
        <v>6.31578947368421</v>
      </c>
      <c r="G1349" s="19" t="n">
        <v>461.283789473684</v>
      </c>
      <c r="H1349" s="8" t="str">
        <f aca="false">IF(COUNTIF($J$1:$J$2,$A1349)&gt;0,"Y","N")</f>
        <v>N</v>
      </c>
    </row>
    <row r="1350" customFormat="false" ht="15" hidden="false" customHeight="true" outlineLevel="0" collapsed="false">
      <c r="A1350" s="8" t="s">
        <v>1794</v>
      </c>
      <c r="B1350" s="8" t="n">
        <v>4408092</v>
      </c>
      <c r="C1350" s="8" t="s">
        <v>1267</v>
      </c>
      <c r="D1350" s="19" t="n">
        <v>13</v>
      </c>
      <c r="E1350" s="19" t="n">
        <v>957.684</v>
      </c>
      <c r="F1350" s="19" t="n">
        <v>3.78947368421053</v>
      </c>
      <c r="G1350" s="19" t="n">
        <v>287.13852631579</v>
      </c>
      <c r="H1350" s="8" t="str">
        <f aca="false">IF(COUNTIF($J$1:$J$2,$A1350)&gt;0,"Y","N")</f>
        <v>N</v>
      </c>
    </row>
    <row r="1351" customFormat="false" ht="15" hidden="false" customHeight="true" outlineLevel="0" collapsed="false">
      <c r="A1351" s="8" t="s">
        <v>1794</v>
      </c>
      <c r="B1351" s="8" t="n">
        <v>4408093</v>
      </c>
      <c r="C1351" s="8" t="s">
        <v>1268</v>
      </c>
      <c r="D1351" s="19" t="n">
        <v>0</v>
      </c>
      <c r="E1351" s="19" t="n">
        <v>0</v>
      </c>
      <c r="F1351" s="19" t="n">
        <v>-1.26315789473684</v>
      </c>
      <c r="G1351" s="19" t="n">
        <v>-94.1418947368421</v>
      </c>
      <c r="H1351" s="8" t="str">
        <f aca="false">IF(COUNTIF($J$1:$J$2,$A1351)&gt;0,"Y","N")</f>
        <v>N</v>
      </c>
    </row>
    <row r="1352" customFormat="false" ht="15" hidden="false" customHeight="true" outlineLevel="0" collapsed="false">
      <c r="A1352" s="8" t="s">
        <v>1794</v>
      </c>
      <c r="B1352" s="8" t="n">
        <v>4408094</v>
      </c>
      <c r="C1352" s="8" t="s">
        <v>1269</v>
      </c>
      <c r="D1352" s="19" t="n">
        <v>187</v>
      </c>
      <c r="E1352" s="19" t="n">
        <v>5414.318</v>
      </c>
      <c r="F1352" s="19" t="n">
        <v>136.421052631579</v>
      </c>
      <c r="G1352" s="19" t="n">
        <v>3907.29094736842</v>
      </c>
      <c r="H1352" s="8" t="str">
        <f aca="false">IF(COUNTIF($J$1:$J$2,$A1352)&gt;0,"Y","N")</f>
        <v>N</v>
      </c>
    </row>
    <row r="1353" customFormat="false" ht="15" hidden="false" customHeight="true" outlineLevel="0" collapsed="false">
      <c r="A1353" s="8" t="s">
        <v>1794</v>
      </c>
      <c r="B1353" s="8" t="n">
        <v>4408095</v>
      </c>
      <c r="C1353" s="8" t="s">
        <v>1270</v>
      </c>
      <c r="D1353" s="19" t="n">
        <v>121</v>
      </c>
      <c r="E1353" s="19" t="n">
        <v>3507.413</v>
      </c>
      <c r="F1353" s="19" t="n">
        <v>97.2631578947368</v>
      </c>
      <c r="G1353" s="19" t="n">
        <v>2769.65684210526</v>
      </c>
      <c r="H1353" s="8" t="str">
        <f aca="false">IF(COUNTIF($J$1:$J$2,$A1353)&gt;0,"Y","N")</f>
        <v>N</v>
      </c>
    </row>
    <row r="1354" customFormat="false" ht="15" hidden="false" customHeight="true" outlineLevel="0" collapsed="false">
      <c r="A1354" s="8" t="s">
        <v>1794</v>
      </c>
      <c r="B1354" s="8" t="n">
        <v>4408096</v>
      </c>
      <c r="C1354" s="8" t="s">
        <v>1271</v>
      </c>
      <c r="D1354" s="19" t="n">
        <v>102</v>
      </c>
      <c r="E1354" s="19" t="n">
        <v>2954.679</v>
      </c>
      <c r="F1354" s="19" t="n">
        <v>73.2631578947368</v>
      </c>
      <c r="G1354" s="19" t="n">
        <v>2103.07705263158</v>
      </c>
      <c r="H1354" s="8" t="str">
        <f aca="false">IF(COUNTIF($J$1:$J$2,$A1354)&gt;0,"Y","N")</f>
        <v>N</v>
      </c>
    </row>
    <row r="1355" customFormat="false" ht="15" hidden="false" customHeight="true" outlineLevel="0" collapsed="false">
      <c r="A1355" s="8" t="s">
        <v>1794</v>
      </c>
      <c r="B1355" s="8" t="n">
        <v>4408097</v>
      </c>
      <c r="C1355" s="8" t="s">
        <v>1272</v>
      </c>
      <c r="D1355" s="19" t="n">
        <v>116</v>
      </c>
      <c r="E1355" s="19" t="n">
        <v>3356.353</v>
      </c>
      <c r="F1355" s="19" t="n">
        <v>75.7894736842105</v>
      </c>
      <c r="G1355" s="19" t="n">
        <v>2158.36673684211</v>
      </c>
      <c r="H1355" s="8" t="str">
        <f aca="false">IF(COUNTIF($J$1:$J$2,$A1355)&gt;0,"Y","N")</f>
        <v>N</v>
      </c>
    </row>
    <row r="1356" customFormat="false" ht="15" hidden="false" customHeight="true" outlineLevel="0" collapsed="false">
      <c r="A1356" s="8" t="s">
        <v>1794</v>
      </c>
      <c r="B1356" s="8" t="n">
        <v>4408098</v>
      </c>
      <c r="C1356" s="8" t="s">
        <v>1273</v>
      </c>
      <c r="D1356" s="19" t="n">
        <v>4392</v>
      </c>
      <c r="E1356" s="19" t="n">
        <v>146948.074</v>
      </c>
      <c r="F1356" s="19" t="n">
        <v>4188.63157894737</v>
      </c>
      <c r="G1356" s="19" t="n">
        <v>142267.484210526</v>
      </c>
      <c r="H1356" s="8" t="str">
        <f aca="false">IF(COUNTIF($J$1:$J$2,$A1356)&gt;0,"Y","N")</f>
        <v>N</v>
      </c>
    </row>
    <row r="1357" customFormat="false" ht="15" hidden="false" customHeight="true" outlineLevel="0" collapsed="false">
      <c r="A1357" s="8" t="s">
        <v>1794</v>
      </c>
      <c r="B1357" s="8" t="n">
        <v>4408099</v>
      </c>
      <c r="C1357" s="8" t="s">
        <v>1274</v>
      </c>
      <c r="D1357" s="19" t="n">
        <v>5414</v>
      </c>
      <c r="E1357" s="19" t="n">
        <v>181139.413</v>
      </c>
      <c r="F1357" s="19" t="n">
        <v>5162.52631578947</v>
      </c>
      <c r="G1357" s="19" t="n">
        <v>175272.666947368</v>
      </c>
      <c r="H1357" s="8" t="str">
        <f aca="false">IF(COUNTIF($J$1:$J$2,$A1357)&gt;0,"Y","N")</f>
        <v>N</v>
      </c>
    </row>
    <row r="1358" customFormat="false" ht="15" hidden="false" customHeight="true" outlineLevel="0" collapsed="false">
      <c r="A1358" s="8" t="s">
        <v>1794</v>
      </c>
      <c r="B1358" s="8" t="n">
        <v>4408104</v>
      </c>
      <c r="C1358" s="8" t="s">
        <v>1770</v>
      </c>
      <c r="D1358" s="19" t="n">
        <v>0</v>
      </c>
      <c r="E1358" s="19" t="n">
        <v>0</v>
      </c>
      <c r="F1358" s="19" t="n">
        <v>-1.26315789473684</v>
      </c>
      <c r="G1358" s="19" t="n">
        <v>-238.170947368421</v>
      </c>
      <c r="H1358" s="8" t="str">
        <f aca="false">IF(COUNTIF($J$1:$J$2,$A1358)&gt;0,"Y","N")</f>
        <v>N</v>
      </c>
    </row>
    <row r="1359" customFormat="false" ht="15" hidden="false" customHeight="true" outlineLevel="0" collapsed="false">
      <c r="A1359" s="8" t="s">
        <v>1794</v>
      </c>
      <c r="B1359" s="8" t="n">
        <v>4408114</v>
      </c>
      <c r="C1359" s="8" t="s">
        <v>1278</v>
      </c>
      <c r="D1359" s="19" t="n">
        <v>10</v>
      </c>
      <c r="E1359" s="19" t="n">
        <v>803.439</v>
      </c>
      <c r="F1359" s="19" t="n">
        <v>17.6842105263158</v>
      </c>
      <c r="G1359" s="19" t="n">
        <v>1436.61221052632</v>
      </c>
      <c r="H1359" s="8" t="str">
        <f aca="false">IF(COUNTIF($J$1:$J$2,$A1359)&gt;0,"Y","N")</f>
        <v>N</v>
      </c>
    </row>
    <row r="1360" customFormat="false" ht="15" hidden="false" customHeight="true" outlineLevel="0" collapsed="false">
      <c r="A1360" s="8" t="s">
        <v>1794</v>
      </c>
      <c r="B1360" s="8" t="n">
        <v>4408145</v>
      </c>
      <c r="C1360" s="8" t="s">
        <v>1771</v>
      </c>
      <c r="D1360" s="19" t="n">
        <v>0</v>
      </c>
      <c r="E1360" s="19" t="n">
        <v>0</v>
      </c>
      <c r="F1360" s="19" t="n">
        <v>1.26315789473684</v>
      </c>
      <c r="G1360" s="19" t="n">
        <v>120.349894736842</v>
      </c>
      <c r="H1360" s="8" t="str">
        <f aca="false">IF(COUNTIF($J$1:$J$2,$A1360)&gt;0,"Y","N")</f>
        <v>N</v>
      </c>
    </row>
    <row r="1361" customFormat="false" ht="15" hidden="false" customHeight="true" outlineLevel="0" collapsed="false">
      <c r="A1361" s="8" t="s">
        <v>1794</v>
      </c>
      <c r="B1361" s="8" t="n">
        <v>4408147</v>
      </c>
      <c r="C1361" s="8" t="s">
        <v>1294</v>
      </c>
      <c r="D1361" s="19" t="n">
        <v>3</v>
      </c>
      <c r="E1361" s="19" t="n">
        <v>286.832</v>
      </c>
      <c r="F1361" s="19" t="n">
        <v>0</v>
      </c>
      <c r="G1361" s="19" t="n">
        <v>0</v>
      </c>
      <c r="H1361" s="8" t="str">
        <f aca="false">IF(COUNTIF($J$1:$J$2,$A1361)&gt;0,"Y","N")</f>
        <v>N</v>
      </c>
    </row>
    <row r="1362" customFormat="false" ht="15" hidden="false" customHeight="true" outlineLevel="0" collapsed="false">
      <c r="A1362" s="8" t="s">
        <v>1794</v>
      </c>
      <c r="B1362" s="8" t="n">
        <v>4408148</v>
      </c>
      <c r="C1362" s="8" t="s">
        <v>1295</v>
      </c>
      <c r="D1362" s="19" t="n">
        <v>3</v>
      </c>
      <c r="E1362" s="19" t="n">
        <v>286.832</v>
      </c>
      <c r="F1362" s="19" t="n">
        <v>0</v>
      </c>
      <c r="G1362" s="19" t="n">
        <v>-6.32210526315789</v>
      </c>
      <c r="H1362" s="8" t="str">
        <f aca="false">IF(COUNTIF($J$1:$J$2,$A1362)&gt;0,"Y","N")</f>
        <v>N</v>
      </c>
    </row>
    <row r="1363" customFormat="false" ht="15" hidden="false" customHeight="true" outlineLevel="0" collapsed="false">
      <c r="A1363" s="8" t="s">
        <v>1794</v>
      </c>
      <c r="B1363" s="8" t="n">
        <v>4408150</v>
      </c>
      <c r="C1363" s="8" t="s">
        <v>1297</v>
      </c>
      <c r="D1363" s="19" t="n">
        <v>0</v>
      </c>
      <c r="E1363" s="19" t="n">
        <v>0</v>
      </c>
      <c r="F1363" s="19" t="n">
        <v>-1.26315789473684</v>
      </c>
      <c r="G1363" s="19" t="n">
        <v>-147.592421052632</v>
      </c>
      <c r="H1363" s="8" t="str">
        <f aca="false">IF(COUNTIF($J$1:$J$2,$A1363)&gt;0,"Y","N")</f>
        <v>N</v>
      </c>
    </row>
    <row r="1364" customFormat="false" ht="15" hidden="false" customHeight="true" outlineLevel="0" collapsed="false">
      <c r="A1364" s="8" t="s">
        <v>1794</v>
      </c>
      <c r="B1364" s="8" t="n">
        <v>4408151</v>
      </c>
      <c r="C1364" s="8" t="s">
        <v>1298</v>
      </c>
      <c r="D1364" s="19" t="n">
        <v>13</v>
      </c>
      <c r="E1364" s="19" t="n">
        <v>1586.676</v>
      </c>
      <c r="F1364" s="19" t="n">
        <v>11.3684210526316</v>
      </c>
      <c r="G1364" s="19" t="n">
        <v>1362.35621052632</v>
      </c>
      <c r="H1364" s="8" t="str">
        <f aca="false">IF(COUNTIF($J$1:$J$2,$A1364)&gt;0,"Y","N")</f>
        <v>N</v>
      </c>
    </row>
    <row r="1365" customFormat="false" ht="15" hidden="false" customHeight="true" outlineLevel="0" collapsed="false">
      <c r="A1365" s="8" t="s">
        <v>1794</v>
      </c>
      <c r="B1365" s="8" t="n">
        <v>4408152</v>
      </c>
      <c r="C1365" s="8" t="s">
        <v>1299</v>
      </c>
      <c r="D1365" s="19" t="n">
        <v>10</v>
      </c>
      <c r="E1365" s="19" t="n">
        <v>1186.913</v>
      </c>
      <c r="F1365" s="19" t="n">
        <v>29.0526315789474</v>
      </c>
      <c r="G1365" s="19" t="n">
        <v>3518.30905263158</v>
      </c>
      <c r="H1365" s="8" t="str">
        <f aca="false">IF(COUNTIF($J$1:$J$2,$A1365)&gt;0,"Y","N")</f>
        <v>N</v>
      </c>
    </row>
    <row r="1366" customFormat="false" ht="15" hidden="false" customHeight="true" outlineLevel="0" collapsed="false">
      <c r="A1366" s="8" t="s">
        <v>1794</v>
      </c>
      <c r="B1366" s="8" t="n">
        <v>4408153</v>
      </c>
      <c r="C1366" s="8" t="s">
        <v>1300</v>
      </c>
      <c r="D1366" s="19" t="n">
        <v>19</v>
      </c>
      <c r="E1366" s="19" t="n">
        <v>2275.364</v>
      </c>
      <c r="F1366" s="19" t="n">
        <v>27.7894736842105</v>
      </c>
      <c r="G1366" s="19" t="n">
        <v>3358.76210526316</v>
      </c>
      <c r="H1366" s="8" t="str">
        <f aca="false">IF(COUNTIF($J$1:$J$2,$A1366)&gt;0,"Y","N")</f>
        <v>N</v>
      </c>
    </row>
    <row r="1367" customFormat="false" ht="15" hidden="false" customHeight="true" outlineLevel="0" collapsed="false">
      <c r="A1367" s="8" t="s">
        <v>1794</v>
      </c>
      <c r="B1367" s="8" t="n">
        <v>4408154</v>
      </c>
      <c r="C1367" s="8" t="s">
        <v>1301</v>
      </c>
      <c r="D1367" s="19" t="n">
        <v>21</v>
      </c>
      <c r="E1367" s="19" t="n">
        <v>2527.525</v>
      </c>
      <c r="F1367" s="19" t="n">
        <v>51.7894736842105</v>
      </c>
      <c r="G1367" s="19" t="n">
        <v>6286.81642105263</v>
      </c>
      <c r="H1367" s="8" t="str">
        <f aca="false">IF(COUNTIF($J$1:$J$2,$A1367)&gt;0,"Y","N")</f>
        <v>N</v>
      </c>
    </row>
    <row r="1368" customFormat="false" ht="15" hidden="false" customHeight="true" outlineLevel="0" collapsed="false">
      <c r="A1368" s="8" t="s">
        <v>1794</v>
      </c>
      <c r="B1368" s="8" t="n">
        <v>4408178</v>
      </c>
      <c r="C1368" s="8" t="s">
        <v>1304</v>
      </c>
      <c r="D1368" s="19" t="n">
        <v>-1</v>
      </c>
      <c r="E1368" s="19" t="n">
        <v>-122.85</v>
      </c>
      <c r="F1368" s="19" t="n">
        <v>-1.26315789473684</v>
      </c>
      <c r="G1368" s="19" t="n">
        <v>-155.178947368421</v>
      </c>
      <c r="H1368" s="8" t="str">
        <f aca="false">IF(COUNTIF($J$1:$J$2,$A1368)&gt;0,"Y","N")</f>
        <v>N</v>
      </c>
    </row>
    <row r="1369" customFormat="false" ht="15" hidden="false" customHeight="true" outlineLevel="0" collapsed="false">
      <c r="A1369" s="8" t="s">
        <v>1794</v>
      </c>
      <c r="B1369" s="8" t="n">
        <v>4408190</v>
      </c>
      <c r="C1369" s="8" t="s">
        <v>1307</v>
      </c>
      <c r="D1369" s="19" t="n">
        <v>65</v>
      </c>
      <c r="E1369" s="19" t="n">
        <v>5654.376</v>
      </c>
      <c r="F1369" s="19" t="n">
        <v>45.4736842105263</v>
      </c>
      <c r="G1369" s="19" t="n">
        <v>4189.37178947369</v>
      </c>
      <c r="H1369" s="8" t="str">
        <f aca="false">IF(COUNTIF($J$1:$J$2,$A1369)&gt;0,"Y","N")</f>
        <v>N</v>
      </c>
    </row>
    <row r="1370" customFormat="false" ht="15" hidden="false" customHeight="true" outlineLevel="0" collapsed="false">
      <c r="A1370" s="8" t="s">
        <v>1794</v>
      </c>
      <c r="B1370" s="8" t="n">
        <v>4408192</v>
      </c>
      <c r="C1370" s="8" t="s">
        <v>1308</v>
      </c>
      <c r="D1370" s="19" t="n">
        <v>164</v>
      </c>
      <c r="E1370" s="19" t="n">
        <v>14289.457</v>
      </c>
      <c r="F1370" s="19" t="n">
        <v>103.578947368421</v>
      </c>
      <c r="G1370" s="19" t="n">
        <v>9460.97305263158</v>
      </c>
      <c r="H1370" s="8" t="str">
        <f aca="false">IF(COUNTIF($J$1:$J$2,$A1370)&gt;0,"Y","N")</f>
        <v>N</v>
      </c>
    </row>
    <row r="1371" customFormat="false" ht="15" hidden="false" customHeight="true" outlineLevel="0" collapsed="false">
      <c r="A1371" s="8" t="s">
        <v>1794</v>
      </c>
      <c r="B1371" s="8" t="n">
        <v>4408203</v>
      </c>
      <c r="C1371" s="8" t="s">
        <v>1309</v>
      </c>
      <c r="D1371" s="19" t="n">
        <v>2</v>
      </c>
      <c r="E1371" s="19" t="n">
        <v>402.311</v>
      </c>
      <c r="F1371" s="19" t="n">
        <v>13.8947368421053</v>
      </c>
      <c r="G1371" s="19" t="n">
        <v>2179.86189473684</v>
      </c>
      <c r="H1371" s="8" t="str">
        <f aca="false">IF(COUNTIF($J$1:$J$2,$A1371)&gt;0,"Y","N")</f>
        <v>N</v>
      </c>
    </row>
    <row r="1372" customFormat="false" ht="15" hidden="false" customHeight="true" outlineLevel="0" collapsed="false">
      <c r="A1372" s="8" t="s">
        <v>1794</v>
      </c>
      <c r="B1372" s="8" t="n">
        <v>4408208</v>
      </c>
      <c r="C1372" s="8" t="s">
        <v>1313</v>
      </c>
      <c r="D1372" s="19" t="n">
        <v>803</v>
      </c>
      <c r="E1372" s="19" t="n">
        <v>19483.646</v>
      </c>
      <c r="F1372" s="19" t="n">
        <v>721.263157894737</v>
      </c>
      <c r="G1372" s="19" t="n">
        <v>18089.8421052632</v>
      </c>
      <c r="H1372" s="8" t="str">
        <f aca="false">IF(COUNTIF($J$1:$J$2,$A1372)&gt;0,"Y","N")</f>
        <v>N</v>
      </c>
    </row>
    <row r="1373" customFormat="false" ht="15" hidden="false" customHeight="true" outlineLevel="0" collapsed="false">
      <c r="A1373" s="8" t="s">
        <v>1794</v>
      </c>
      <c r="B1373" s="8" t="n">
        <v>4408217</v>
      </c>
      <c r="C1373" s="8" t="s">
        <v>1314</v>
      </c>
      <c r="D1373" s="19" t="n">
        <v>11</v>
      </c>
      <c r="E1373" s="19" t="n">
        <v>942.305</v>
      </c>
      <c r="F1373" s="19" t="n">
        <v>3.78947368421053</v>
      </c>
      <c r="G1373" s="19" t="n">
        <v>361.739368421053</v>
      </c>
      <c r="H1373" s="8" t="str">
        <f aca="false">IF(COUNTIF($J$1:$J$2,$A1373)&gt;0,"Y","N")</f>
        <v>N</v>
      </c>
    </row>
    <row r="1374" customFormat="false" ht="15" hidden="false" customHeight="true" outlineLevel="0" collapsed="false">
      <c r="A1374" s="8" t="s">
        <v>1794</v>
      </c>
      <c r="B1374" s="8" t="n">
        <v>4408218</v>
      </c>
      <c r="C1374" s="8" t="s">
        <v>1315</v>
      </c>
      <c r="D1374" s="19" t="n">
        <v>132</v>
      </c>
      <c r="E1374" s="19" t="n">
        <v>11466.182</v>
      </c>
      <c r="F1374" s="19" t="n">
        <v>53.0526315789474</v>
      </c>
      <c r="G1374" s="19" t="n">
        <v>4901.12589473684</v>
      </c>
      <c r="H1374" s="8" t="str">
        <f aca="false">IF(COUNTIF($J$1:$J$2,$A1374)&gt;0,"Y","N")</f>
        <v>N</v>
      </c>
    </row>
    <row r="1375" customFormat="false" ht="15" hidden="false" customHeight="true" outlineLevel="0" collapsed="false">
      <c r="A1375" s="8" t="s">
        <v>1794</v>
      </c>
      <c r="B1375" s="8" t="n">
        <v>4408219</v>
      </c>
      <c r="C1375" s="8" t="s">
        <v>1316</v>
      </c>
      <c r="D1375" s="19" t="n">
        <v>359</v>
      </c>
      <c r="E1375" s="19" t="n">
        <v>30084.418</v>
      </c>
      <c r="F1375" s="19" t="n">
        <v>332.21052631579</v>
      </c>
      <c r="G1375" s="19" t="n">
        <v>28285.9035789474</v>
      </c>
      <c r="H1375" s="8" t="str">
        <f aca="false">IF(COUNTIF($J$1:$J$2,$A1375)&gt;0,"Y","N")</f>
        <v>N</v>
      </c>
    </row>
    <row r="1376" customFormat="false" ht="15" hidden="false" customHeight="true" outlineLevel="0" collapsed="false">
      <c r="A1376" s="8" t="s">
        <v>1794</v>
      </c>
      <c r="B1376" s="8" t="n">
        <v>4408220</v>
      </c>
      <c r="C1376" s="8" t="s">
        <v>1317</v>
      </c>
      <c r="D1376" s="19" t="n">
        <v>1204</v>
      </c>
      <c r="E1376" s="19" t="n">
        <v>100781.954</v>
      </c>
      <c r="F1376" s="19" t="n">
        <v>1019.36842105263</v>
      </c>
      <c r="G1376" s="19" t="n">
        <v>86868.3701052632</v>
      </c>
      <c r="H1376" s="8" t="str">
        <f aca="false">IF(COUNTIF($J$1:$J$2,$A1376)&gt;0,"Y","N")</f>
        <v>N</v>
      </c>
    </row>
    <row r="1377" customFormat="false" ht="15" hidden="false" customHeight="true" outlineLevel="0" collapsed="false">
      <c r="A1377" s="8" t="s">
        <v>1794</v>
      </c>
      <c r="B1377" s="8" t="n">
        <v>4408221</v>
      </c>
      <c r="C1377" s="8" t="s">
        <v>1318</v>
      </c>
      <c r="D1377" s="19" t="n">
        <v>1760</v>
      </c>
      <c r="E1377" s="19" t="n">
        <v>147415.359</v>
      </c>
      <c r="F1377" s="19" t="n">
        <v>1490.52631578947</v>
      </c>
      <c r="G1377" s="19" t="n">
        <v>126945.229894737</v>
      </c>
      <c r="H1377" s="8" t="str">
        <f aca="false">IF(COUNTIF($J$1:$J$2,$A1377)&gt;0,"Y","N")</f>
        <v>N</v>
      </c>
    </row>
    <row r="1378" customFormat="false" ht="15" hidden="false" customHeight="true" outlineLevel="0" collapsed="false">
      <c r="A1378" s="8" t="s">
        <v>1794</v>
      </c>
      <c r="B1378" s="8" t="n">
        <v>4408222</v>
      </c>
      <c r="C1378" s="8" t="s">
        <v>1319</v>
      </c>
      <c r="D1378" s="19" t="n">
        <v>1499</v>
      </c>
      <c r="E1378" s="19" t="n">
        <v>125504.379</v>
      </c>
      <c r="F1378" s="19" t="n">
        <v>1126.73684210526</v>
      </c>
      <c r="G1378" s="19" t="n">
        <v>96041.6298947368</v>
      </c>
      <c r="H1378" s="8" t="str">
        <f aca="false">IF(COUNTIF($J$1:$J$2,$A1378)&gt;0,"Y","N")</f>
        <v>N</v>
      </c>
    </row>
    <row r="1379" customFormat="false" ht="15" hidden="false" customHeight="true" outlineLevel="0" collapsed="false">
      <c r="A1379" s="8" t="s">
        <v>1794</v>
      </c>
      <c r="B1379" s="8" t="n">
        <v>4408223</v>
      </c>
      <c r="C1379" s="8" t="s">
        <v>1320</v>
      </c>
      <c r="D1379" s="19" t="n">
        <v>161</v>
      </c>
      <c r="E1379" s="19" t="n">
        <v>13446.615</v>
      </c>
      <c r="F1379" s="19" t="n">
        <v>120</v>
      </c>
      <c r="G1379" s="19" t="n">
        <v>10224.3385263158</v>
      </c>
      <c r="H1379" s="8" t="str">
        <f aca="false">IF(COUNTIF($J$1:$J$2,$A1379)&gt;0,"Y","N")</f>
        <v>N</v>
      </c>
    </row>
    <row r="1380" customFormat="false" ht="15" hidden="false" customHeight="true" outlineLevel="0" collapsed="false">
      <c r="A1380" s="8" t="s">
        <v>1794</v>
      </c>
      <c r="B1380" s="8" t="n">
        <v>4408224</v>
      </c>
      <c r="C1380" s="8" t="s">
        <v>1800</v>
      </c>
      <c r="D1380" s="19" t="n">
        <v>15</v>
      </c>
      <c r="E1380" s="19" t="n">
        <v>1101.555</v>
      </c>
      <c r="F1380" s="19" t="n">
        <v>0</v>
      </c>
      <c r="G1380" s="19" t="n">
        <v>29.7713684210526</v>
      </c>
      <c r="H1380" s="8" t="str">
        <f aca="false">IF(COUNTIF($J$1:$J$2,$A1380)&gt;0,"Y","N")</f>
        <v>N</v>
      </c>
    </row>
    <row r="1381" customFormat="false" ht="15" hidden="false" customHeight="true" outlineLevel="0" collapsed="false">
      <c r="A1381" s="8" t="s">
        <v>1794</v>
      </c>
      <c r="B1381" s="8" t="n">
        <v>4408225</v>
      </c>
      <c r="C1381" s="8" t="s">
        <v>1321</v>
      </c>
      <c r="D1381" s="19" t="n">
        <v>34</v>
      </c>
      <c r="E1381" s="19" t="n">
        <v>2484.846</v>
      </c>
      <c r="F1381" s="19" t="n">
        <v>0</v>
      </c>
      <c r="G1381" s="19" t="n">
        <v>78.3941052631579</v>
      </c>
      <c r="H1381" s="8" t="str">
        <f aca="false">IF(COUNTIF($J$1:$J$2,$A1381)&gt;0,"Y","N")</f>
        <v>N</v>
      </c>
    </row>
    <row r="1382" customFormat="false" ht="15" hidden="false" customHeight="true" outlineLevel="0" collapsed="false">
      <c r="A1382" s="8" t="s">
        <v>1794</v>
      </c>
      <c r="B1382" s="8" t="n">
        <v>4408226</v>
      </c>
      <c r="C1382" s="8" t="s">
        <v>1322</v>
      </c>
      <c r="D1382" s="19" t="n">
        <v>45</v>
      </c>
      <c r="E1382" s="19" t="n">
        <v>3286.283</v>
      </c>
      <c r="F1382" s="19" t="n">
        <v>2.52631578947368</v>
      </c>
      <c r="G1382" s="19" t="n">
        <v>233.458105263158</v>
      </c>
      <c r="H1382" s="8" t="str">
        <f aca="false">IF(COUNTIF($J$1:$J$2,$A1382)&gt;0,"Y","N")</f>
        <v>N</v>
      </c>
    </row>
    <row r="1383" customFormat="false" ht="15" hidden="false" customHeight="true" outlineLevel="0" collapsed="false">
      <c r="A1383" s="8" t="s">
        <v>1794</v>
      </c>
      <c r="B1383" s="8" t="n">
        <v>4408227</v>
      </c>
      <c r="C1383" s="8" t="s">
        <v>1323</v>
      </c>
      <c r="D1383" s="19" t="n">
        <v>32</v>
      </c>
      <c r="E1383" s="19" t="n">
        <v>2320.136</v>
      </c>
      <c r="F1383" s="19" t="n">
        <v>1.26315789473684</v>
      </c>
      <c r="G1383" s="19" t="n">
        <v>152.075368421053</v>
      </c>
      <c r="H1383" s="8" t="str">
        <f aca="false">IF(COUNTIF($J$1:$J$2,$A1383)&gt;0,"Y","N")</f>
        <v>N</v>
      </c>
    </row>
    <row r="1384" customFormat="false" ht="15" hidden="false" customHeight="true" outlineLevel="0" collapsed="false">
      <c r="A1384" s="8" t="s">
        <v>1794</v>
      </c>
      <c r="B1384" s="8" t="n">
        <v>4408229</v>
      </c>
      <c r="C1384" s="8" t="s">
        <v>1324</v>
      </c>
      <c r="D1384" s="19" t="n">
        <v>8</v>
      </c>
      <c r="E1384" s="19" t="n">
        <v>578.214</v>
      </c>
      <c r="F1384" s="19" t="n">
        <v>0</v>
      </c>
      <c r="G1384" s="19" t="n">
        <v>19.5410526315789</v>
      </c>
      <c r="H1384" s="8" t="str">
        <f aca="false">IF(COUNTIF($J$1:$J$2,$A1384)&gt;0,"Y","N")</f>
        <v>N</v>
      </c>
    </row>
    <row r="1385" customFormat="false" ht="15" hidden="false" customHeight="true" outlineLevel="0" collapsed="false">
      <c r="A1385" s="8" t="s">
        <v>1794</v>
      </c>
      <c r="B1385" s="8" t="n">
        <v>4408230</v>
      </c>
      <c r="C1385" s="8" t="s">
        <v>1325</v>
      </c>
      <c r="D1385" s="19" t="n">
        <v>44</v>
      </c>
      <c r="E1385" s="19" t="n">
        <v>4031.664</v>
      </c>
      <c r="F1385" s="19" t="n">
        <v>37.8947368421053</v>
      </c>
      <c r="G1385" s="19" t="n">
        <v>3575.43789473684</v>
      </c>
      <c r="H1385" s="8" t="str">
        <f aca="false">IF(COUNTIF($J$1:$J$2,$A1385)&gt;0,"Y","N")</f>
        <v>N</v>
      </c>
    </row>
    <row r="1386" customFormat="false" ht="15" hidden="false" customHeight="true" outlineLevel="0" collapsed="false">
      <c r="A1386" s="8" t="s">
        <v>1794</v>
      </c>
      <c r="B1386" s="8" t="n">
        <v>4408231</v>
      </c>
      <c r="C1386" s="8" t="s">
        <v>1326</v>
      </c>
      <c r="D1386" s="19" t="n">
        <v>19</v>
      </c>
      <c r="E1386" s="19" t="n">
        <v>1753.479</v>
      </c>
      <c r="F1386" s="19" t="n">
        <v>17.6842105263158</v>
      </c>
      <c r="G1386" s="19" t="n">
        <v>1602.94105263158</v>
      </c>
      <c r="H1386" s="8" t="str">
        <f aca="false">IF(COUNTIF($J$1:$J$2,$A1386)&gt;0,"Y","N")</f>
        <v>N</v>
      </c>
    </row>
    <row r="1387" customFormat="false" ht="15" hidden="false" customHeight="true" outlineLevel="0" collapsed="false">
      <c r="A1387" s="8" t="s">
        <v>1794</v>
      </c>
      <c r="B1387" s="8" t="n">
        <v>4408232</v>
      </c>
      <c r="C1387" s="8" t="s">
        <v>1327</v>
      </c>
      <c r="D1387" s="19" t="n">
        <v>-1</v>
      </c>
      <c r="E1387" s="19" t="n">
        <v>-92.001</v>
      </c>
      <c r="F1387" s="19" t="n">
        <v>0</v>
      </c>
      <c r="G1387" s="19" t="n">
        <v>0</v>
      </c>
      <c r="H1387" s="8" t="str">
        <f aca="false">IF(COUNTIF($J$1:$J$2,$A1387)&gt;0,"Y","N")</f>
        <v>N</v>
      </c>
    </row>
    <row r="1388" customFormat="false" ht="15" hidden="false" customHeight="true" outlineLevel="0" collapsed="false">
      <c r="A1388" s="8" t="s">
        <v>1794</v>
      </c>
      <c r="B1388" s="8" t="n">
        <v>4408233</v>
      </c>
      <c r="C1388" s="8" t="s">
        <v>1801</v>
      </c>
      <c r="D1388" s="19" t="n">
        <v>-1</v>
      </c>
      <c r="E1388" s="19" t="n">
        <v>-77.987</v>
      </c>
      <c r="F1388" s="19" t="n">
        <v>0</v>
      </c>
      <c r="G1388" s="19" t="n">
        <v>0</v>
      </c>
      <c r="H1388" s="8" t="str">
        <f aca="false">IF(COUNTIF($J$1:$J$2,$A1388)&gt;0,"Y","N")</f>
        <v>N</v>
      </c>
    </row>
    <row r="1389" customFormat="false" ht="15" hidden="false" customHeight="true" outlineLevel="0" collapsed="false">
      <c r="A1389" s="8" t="s">
        <v>1794</v>
      </c>
      <c r="B1389" s="8" t="n">
        <v>4408234</v>
      </c>
      <c r="C1389" s="8" t="s">
        <v>1328</v>
      </c>
      <c r="D1389" s="19" t="n">
        <v>-1</v>
      </c>
      <c r="E1389" s="19" t="n">
        <v>-83.811</v>
      </c>
      <c r="F1389" s="19" t="n">
        <v>-2.52631578947368</v>
      </c>
      <c r="G1389" s="19" t="n">
        <v>-206.560421052632</v>
      </c>
      <c r="H1389" s="8" t="str">
        <f aca="false">IF(COUNTIF($J$1:$J$2,$A1389)&gt;0,"Y","N")</f>
        <v>N</v>
      </c>
    </row>
    <row r="1390" customFormat="false" ht="15" hidden="false" customHeight="true" outlineLevel="0" collapsed="false">
      <c r="A1390" s="8" t="s">
        <v>1794</v>
      </c>
      <c r="B1390" s="8" t="n">
        <v>4408235</v>
      </c>
      <c r="C1390" s="8" t="s">
        <v>1329</v>
      </c>
      <c r="D1390" s="19" t="n">
        <v>-10</v>
      </c>
      <c r="E1390" s="19" t="n">
        <v>-838.474</v>
      </c>
      <c r="F1390" s="19" t="n">
        <v>-17.6842105263158</v>
      </c>
      <c r="G1390" s="19" t="n">
        <v>-1482.82105263158</v>
      </c>
      <c r="H1390" s="8" t="str">
        <f aca="false">IF(COUNTIF($J$1:$J$2,$A1390)&gt;0,"Y","N")</f>
        <v>N</v>
      </c>
    </row>
    <row r="1391" customFormat="false" ht="15" hidden="false" customHeight="true" outlineLevel="0" collapsed="false">
      <c r="A1391" s="8" t="s">
        <v>1794</v>
      </c>
      <c r="B1391" s="8" t="n">
        <v>4408236</v>
      </c>
      <c r="C1391" s="8" t="s">
        <v>1773</v>
      </c>
      <c r="D1391" s="19" t="n">
        <v>0</v>
      </c>
      <c r="E1391" s="19" t="n">
        <v>0</v>
      </c>
      <c r="F1391" s="19" t="n">
        <v>-1.26315789473684</v>
      </c>
      <c r="G1391" s="19" t="n">
        <v>-105.866526315789</v>
      </c>
      <c r="H1391" s="8" t="str">
        <f aca="false">IF(COUNTIF($J$1:$J$2,$A1391)&gt;0,"Y","N")</f>
        <v>N</v>
      </c>
    </row>
    <row r="1392" customFormat="false" ht="15" hidden="false" customHeight="true" outlineLevel="0" collapsed="false">
      <c r="A1392" s="8" t="s">
        <v>1794</v>
      </c>
      <c r="B1392" s="8" t="n">
        <v>4408240</v>
      </c>
      <c r="C1392" s="8" t="s">
        <v>1802</v>
      </c>
      <c r="D1392" s="19" t="n">
        <v>0</v>
      </c>
      <c r="E1392" s="19" t="n">
        <v>0</v>
      </c>
      <c r="F1392" s="19" t="n">
        <v>-1.26315789473684</v>
      </c>
      <c r="G1392" s="19" t="n">
        <v>-89.4290526315789</v>
      </c>
      <c r="H1392" s="8" t="str">
        <f aca="false">IF(COUNTIF($J$1:$J$2,$A1392)&gt;0,"Y","N")</f>
        <v>N</v>
      </c>
    </row>
    <row r="1393" customFormat="false" ht="15" hidden="false" customHeight="true" outlineLevel="0" collapsed="false">
      <c r="A1393" s="8" t="s">
        <v>1794</v>
      </c>
      <c r="B1393" s="8" t="n">
        <v>4408248</v>
      </c>
      <c r="C1393" s="8" t="s">
        <v>1332</v>
      </c>
      <c r="D1393" s="19" t="n">
        <v>13</v>
      </c>
      <c r="E1393" s="19" t="n">
        <v>877.877</v>
      </c>
      <c r="F1393" s="19" t="n">
        <v>10.1052631578947</v>
      </c>
      <c r="G1393" s="19" t="n">
        <v>687.615157894737</v>
      </c>
      <c r="H1393" s="8" t="str">
        <f aca="false">IF(COUNTIF($J$1:$J$2,$A1393)&gt;0,"Y","N")</f>
        <v>N</v>
      </c>
    </row>
    <row r="1394" customFormat="false" ht="15" hidden="false" customHeight="true" outlineLevel="0" collapsed="false">
      <c r="A1394" s="8" t="s">
        <v>1794</v>
      </c>
      <c r="B1394" s="8" t="n">
        <v>4408249</v>
      </c>
      <c r="C1394" s="8" t="s">
        <v>1333</v>
      </c>
      <c r="D1394" s="19" t="n">
        <v>6</v>
      </c>
      <c r="E1394" s="19" t="n">
        <v>411.502</v>
      </c>
      <c r="F1394" s="19" t="n">
        <v>13.8947368421053</v>
      </c>
      <c r="G1394" s="19" t="n">
        <v>944.52252631579</v>
      </c>
      <c r="H1394" s="8" t="str">
        <f aca="false">IF(COUNTIF($J$1:$J$2,$A1394)&gt;0,"Y","N")</f>
        <v>N</v>
      </c>
    </row>
    <row r="1395" customFormat="false" ht="15" hidden="false" customHeight="true" outlineLevel="0" collapsed="false">
      <c r="A1395" s="8" t="s">
        <v>1794</v>
      </c>
      <c r="B1395" s="8" t="n">
        <v>4408250</v>
      </c>
      <c r="C1395" s="8" t="s">
        <v>1334</v>
      </c>
      <c r="D1395" s="19" t="n">
        <v>15</v>
      </c>
      <c r="E1395" s="19" t="n">
        <v>1016.834</v>
      </c>
      <c r="F1395" s="19" t="n">
        <v>8.84210526315789</v>
      </c>
      <c r="G1395" s="19" t="n">
        <v>602.784</v>
      </c>
      <c r="H1395" s="8" t="str">
        <f aca="false">IF(COUNTIF($J$1:$J$2,$A1395)&gt;0,"Y","N")</f>
        <v>N</v>
      </c>
    </row>
    <row r="1396" customFormat="false" ht="15" hidden="false" customHeight="true" outlineLevel="0" collapsed="false">
      <c r="A1396" s="8" t="s">
        <v>1794</v>
      </c>
      <c r="B1396" s="8" t="n">
        <v>4408251</v>
      </c>
      <c r="C1396" s="8" t="s">
        <v>1803</v>
      </c>
      <c r="D1396" s="19" t="n">
        <v>0</v>
      </c>
      <c r="E1396" s="19" t="n">
        <v>0</v>
      </c>
      <c r="F1396" s="19" t="n">
        <v>-1.26315789473684</v>
      </c>
      <c r="G1396" s="19" t="n">
        <v>-136.557473684211</v>
      </c>
      <c r="H1396" s="8" t="str">
        <f aca="false">IF(COUNTIF($J$1:$J$2,$A1396)&gt;0,"Y","N")</f>
        <v>N</v>
      </c>
    </row>
    <row r="1397" customFormat="false" ht="15" hidden="false" customHeight="true" outlineLevel="0" collapsed="false">
      <c r="A1397" s="8" t="s">
        <v>1794</v>
      </c>
      <c r="B1397" s="8" t="n">
        <v>4408252</v>
      </c>
      <c r="C1397" s="8" t="s">
        <v>1774</v>
      </c>
      <c r="D1397" s="19" t="n">
        <v>0</v>
      </c>
      <c r="E1397" s="19" t="n">
        <v>0</v>
      </c>
      <c r="F1397" s="19" t="n">
        <v>-1.26315789473684</v>
      </c>
      <c r="G1397" s="19" t="n">
        <v>-136.557473684211</v>
      </c>
      <c r="H1397" s="8" t="str">
        <f aca="false">IF(COUNTIF($J$1:$J$2,$A1397)&gt;0,"Y","N")</f>
        <v>N</v>
      </c>
    </row>
    <row r="1398" customFormat="false" ht="15" hidden="false" customHeight="true" outlineLevel="0" collapsed="false">
      <c r="A1398" s="8" t="s">
        <v>1794</v>
      </c>
      <c r="B1398" s="8" t="n">
        <v>4408265</v>
      </c>
      <c r="C1398" s="8" t="s">
        <v>1339</v>
      </c>
      <c r="D1398" s="19" t="n">
        <v>28</v>
      </c>
      <c r="E1398" s="19" t="n">
        <v>2402.491</v>
      </c>
      <c r="F1398" s="19" t="n">
        <v>32.8421052631579</v>
      </c>
      <c r="G1398" s="19" t="n">
        <v>2884.71915789474</v>
      </c>
      <c r="H1398" s="8" t="str">
        <f aca="false">IF(COUNTIF($J$1:$J$2,$A1398)&gt;0,"Y","N")</f>
        <v>N</v>
      </c>
    </row>
    <row r="1399" customFormat="false" ht="15" hidden="false" customHeight="true" outlineLevel="0" collapsed="false">
      <c r="A1399" s="8" t="s">
        <v>1794</v>
      </c>
      <c r="B1399" s="8" t="n">
        <v>4408266</v>
      </c>
      <c r="C1399" s="8" t="s">
        <v>1340</v>
      </c>
      <c r="D1399" s="19" t="n">
        <v>922</v>
      </c>
      <c r="E1399" s="19" t="n">
        <v>57176.392</v>
      </c>
      <c r="F1399" s="19" t="n">
        <v>1148.21052631579</v>
      </c>
      <c r="G1399" s="19" t="n">
        <v>76161.2526315789</v>
      </c>
      <c r="H1399" s="8" t="str">
        <f aca="false">IF(COUNTIF($J$1:$J$2,$A1399)&gt;0,"Y","N")</f>
        <v>N</v>
      </c>
    </row>
    <row r="1400" customFormat="false" ht="15" hidden="false" customHeight="true" outlineLevel="0" collapsed="false">
      <c r="A1400" s="8" t="s">
        <v>1794</v>
      </c>
      <c r="B1400" s="8" t="n">
        <v>4408271</v>
      </c>
      <c r="C1400" s="8" t="s">
        <v>1759</v>
      </c>
      <c r="D1400" s="19" t="n">
        <v>0</v>
      </c>
      <c r="E1400" s="19" t="n">
        <v>0</v>
      </c>
      <c r="F1400" s="19" t="n">
        <v>13.8947368421053</v>
      </c>
      <c r="G1400" s="19" t="n">
        <v>3527.61978947368</v>
      </c>
      <c r="H1400" s="8" t="str">
        <f aca="false">IF(COUNTIF($J$1:$J$2,$A1400)&gt;0,"Y","N")</f>
        <v>N</v>
      </c>
    </row>
    <row r="1401" customFormat="false" ht="15" hidden="false" customHeight="true" outlineLevel="0" collapsed="false">
      <c r="A1401" s="8" t="s">
        <v>1794</v>
      </c>
      <c r="B1401" s="8" t="n">
        <v>4408272</v>
      </c>
      <c r="C1401" s="8" t="s">
        <v>1341</v>
      </c>
      <c r="D1401" s="19" t="n">
        <v>0</v>
      </c>
      <c r="E1401" s="19" t="n">
        <v>0</v>
      </c>
      <c r="F1401" s="19" t="n">
        <v>13.8947368421053</v>
      </c>
      <c r="G1401" s="19" t="n">
        <v>3543.71242105263</v>
      </c>
      <c r="H1401" s="8" t="str">
        <f aca="false">IF(COUNTIF($J$1:$J$2,$A1401)&gt;0,"Y","N")</f>
        <v>N</v>
      </c>
    </row>
    <row r="1402" customFormat="false" ht="15" hidden="false" customHeight="true" outlineLevel="0" collapsed="false">
      <c r="A1402" s="8" t="s">
        <v>1794</v>
      </c>
      <c r="B1402" s="8" t="n">
        <v>4408273</v>
      </c>
      <c r="C1402" s="8" t="s">
        <v>1342</v>
      </c>
      <c r="D1402" s="19" t="n">
        <v>0</v>
      </c>
      <c r="E1402" s="19" t="n">
        <v>0</v>
      </c>
      <c r="F1402" s="19" t="n">
        <v>16.4210526315789</v>
      </c>
      <c r="G1402" s="19" t="n">
        <v>4171.89978947368</v>
      </c>
      <c r="H1402" s="8" t="str">
        <f aca="false">IF(COUNTIF($J$1:$J$2,$A1402)&gt;0,"Y","N")</f>
        <v>N</v>
      </c>
    </row>
    <row r="1403" customFormat="false" ht="15" hidden="false" customHeight="true" outlineLevel="0" collapsed="false">
      <c r="A1403" s="8" t="s">
        <v>1794</v>
      </c>
      <c r="B1403" s="8" t="n">
        <v>4408274</v>
      </c>
      <c r="C1403" s="8" t="s">
        <v>1343</v>
      </c>
      <c r="D1403" s="19" t="n">
        <v>0</v>
      </c>
      <c r="E1403" s="19" t="n">
        <v>0</v>
      </c>
      <c r="F1403" s="19" t="n">
        <v>15.1578947368421</v>
      </c>
      <c r="G1403" s="19" t="n">
        <v>3849.70231578947</v>
      </c>
      <c r="H1403" s="8" t="str">
        <f aca="false">IF(COUNTIF($J$1:$J$2,$A1403)&gt;0,"Y","N")</f>
        <v>N</v>
      </c>
    </row>
    <row r="1404" customFormat="false" ht="15" hidden="false" customHeight="true" outlineLevel="0" collapsed="false">
      <c r="A1404" s="8" t="s">
        <v>1794</v>
      </c>
      <c r="B1404" s="8" t="n">
        <v>4409000</v>
      </c>
      <c r="C1404" s="8" t="s">
        <v>1345</v>
      </c>
      <c r="D1404" s="19" t="n">
        <v>0</v>
      </c>
      <c r="E1404" s="19" t="n">
        <v>0</v>
      </c>
      <c r="F1404" s="19" t="n">
        <v>-2.52631578947368</v>
      </c>
      <c r="G1404" s="19" t="n">
        <v>-26.5528421052632</v>
      </c>
      <c r="H1404" s="8" t="str">
        <f aca="false">IF(COUNTIF($J$1:$J$2,$A1404)&gt;0,"Y","N")</f>
        <v>N</v>
      </c>
    </row>
    <row r="1405" customFormat="false" ht="15" hidden="false" customHeight="true" outlineLevel="0" collapsed="false">
      <c r="A1405" s="8" t="s">
        <v>1794</v>
      </c>
      <c r="B1405" s="8" t="n">
        <v>4409001</v>
      </c>
      <c r="C1405" s="8" t="s">
        <v>1346</v>
      </c>
      <c r="D1405" s="19" t="n">
        <v>223</v>
      </c>
      <c r="E1405" s="19" t="n">
        <v>2102.464</v>
      </c>
      <c r="F1405" s="19" t="n">
        <v>168</v>
      </c>
      <c r="G1405" s="19" t="n">
        <v>1610.52757894737</v>
      </c>
      <c r="H1405" s="8" t="str">
        <f aca="false">IF(COUNTIF($J$1:$J$2,$A1405)&gt;0,"Y","N")</f>
        <v>N</v>
      </c>
    </row>
    <row r="1406" customFormat="false" ht="15" hidden="false" customHeight="true" outlineLevel="0" collapsed="false">
      <c r="A1406" s="8" t="s">
        <v>1794</v>
      </c>
      <c r="B1406" s="8" t="n">
        <v>4409002</v>
      </c>
      <c r="C1406" s="8" t="s">
        <v>1347</v>
      </c>
      <c r="D1406" s="19" t="n">
        <v>-8</v>
      </c>
      <c r="E1406" s="19" t="n">
        <v>-213.941</v>
      </c>
      <c r="F1406" s="19" t="n">
        <v>-2.52631578947368</v>
      </c>
      <c r="G1406" s="19" t="n">
        <v>-66.4395789473684</v>
      </c>
      <c r="H1406" s="8" t="str">
        <f aca="false">IF(COUNTIF($J$1:$J$2,$A1406)&gt;0,"Y","N")</f>
        <v>N</v>
      </c>
    </row>
    <row r="1407" customFormat="false" ht="15" hidden="false" customHeight="true" outlineLevel="0" collapsed="false">
      <c r="A1407" s="8" t="s">
        <v>1794</v>
      </c>
      <c r="B1407" s="8" t="n">
        <v>4409004</v>
      </c>
      <c r="C1407" s="8" t="s">
        <v>1348</v>
      </c>
      <c r="D1407" s="19" t="n">
        <v>1282</v>
      </c>
      <c r="E1407" s="19" t="n">
        <v>18807.971</v>
      </c>
      <c r="F1407" s="19" t="n">
        <v>709.894736842105</v>
      </c>
      <c r="G1407" s="19" t="n">
        <v>10715.3936842105</v>
      </c>
      <c r="H1407" s="8" t="str">
        <f aca="false">IF(COUNTIF($J$1:$J$2,$A1407)&gt;0,"Y","N")</f>
        <v>N</v>
      </c>
    </row>
    <row r="1408" customFormat="false" ht="15" hidden="false" customHeight="true" outlineLevel="0" collapsed="false">
      <c r="A1408" s="8" t="s">
        <v>1794</v>
      </c>
      <c r="B1408" s="8" t="n">
        <v>4409014</v>
      </c>
      <c r="C1408" s="8" t="s">
        <v>1353</v>
      </c>
      <c r="D1408" s="19" t="n">
        <v>796</v>
      </c>
      <c r="E1408" s="19" t="n">
        <v>29254.862</v>
      </c>
      <c r="F1408" s="19" t="n">
        <v>488.842105263158</v>
      </c>
      <c r="G1408" s="19" t="n">
        <v>17960.4113684211</v>
      </c>
      <c r="H1408" s="8" t="str">
        <f aca="false">IF(COUNTIF($J$1:$J$2,$A1408)&gt;0,"Y","N")</f>
        <v>N</v>
      </c>
    </row>
    <row r="1409" customFormat="false" ht="15" hidden="false" customHeight="true" outlineLevel="0" collapsed="false">
      <c r="A1409" s="8" t="s">
        <v>1794</v>
      </c>
      <c r="B1409" s="8" t="n">
        <v>4409015</v>
      </c>
      <c r="C1409" s="8" t="s">
        <v>1354</v>
      </c>
      <c r="D1409" s="19" t="n">
        <v>1200</v>
      </c>
      <c r="E1409" s="19" t="n">
        <v>44130.996</v>
      </c>
      <c r="F1409" s="19" t="n">
        <v>898.105263157895</v>
      </c>
      <c r="G1409" s="19" t="n">
        <v>32969.8938947368</v>
      </c>
      <c r="H1409" s="8" t="str">
        <f aca="false">IF(COUNTIF($J$1:$J$2,$A1409)&gt;0,"Y","N")</f>
        <v>N</v>
      </c>
    </row>
    <row r="1410" customFormat="false" ht="15" hidden="false" customHeight="true" outlineLevel="0" collapsed="false">
      <c r="A1410" s="8" t="s">
        <v>1794</v>
      </c>
      <c r="B1410" s="8" t="n">
        <v>4409016</v>
      </c>
      <c r="C1410" s="8" t="s">
        <v>1355</v>
      </c>
      <c r="D1410" s="19" t="n">
        <v>1251</v>
      </c>
      <c r="E1410" s="19" t="n">
        <v>45216.444</v>
      </c>
      <c r="F1410" s="19" t="n">
        <v>984</v>
      </c>
      <c r="G1410" s="19" t="n">
        <v>35819.5541052632</v>
      </c>
      <c r="H1410" s="8" t="str">
        <f aca="false">IF(COUNTIF($J$1:$J$2,$A1410)&gt;0,"Y","N")</f>
        <v>N</v>
      </c>
    </row>
    <row r="1411" customFormat="false" ht="15" hidden="false" customHeight="true" outlineLevel="0" collapsed="false">
      <c r="A1411" s="8" t="s">
        <v>1794</v>
      </c>
      <c r="B1411" s="8" t="n">
        <v>4409017</v>
      </c>
      <c r="C1411" s="8" t="s">
        <v>1356</v>
      </c>
      <c r="D1411" s="19" t="n">
        <v>1150</v>
      </c>
      <c r="E1411" s="19" t="n">
        <v>41494.271</v>
      </c>
      <c r="F1411" s="19" t="n">
        <v>890.526315789474</v>
      </c>
      <c r="G1411" s="19" t="n">
        <v>32476.4248421053</v>
      </c>
      <c r="H1411" s="8" t="str">
        <f aca="false">IF(COUNTIF($J$1:$J$2,$A1411)&gt;0,"Y","N")</f>
        <v>N</v>
      </c>
    </row>
    <row r="1412" customFormat="false" ht="15" hidden="false" customHeight="true" outlineLevel="0" collapsed="false">
      <c r="A1412" s="8" t="s">
        <v>1794</v>
      </c>
      <c r="B1412" s="8" t="n">
        <v>4411000</v>
      </c>
      <c r="C1412" s="8" t="s">
        <v>1357</v>
      </c>
      <c r="D1412" s="19" t="n">
        <v>2204</v>
      </c>
      <c r="E1412" s="19" t="n">
        <v>46518.199</v>
      </c>
      <c r="F1412" s="19" t="n">
        <v>2181.47368421053</v>
      </c>
      <c r="G1412" s="19" t="n">
        <v>47212.2176842105</v>
      </c>
      <c r="H1412" s="8" t="str">
        <f aca="false">IF(COUNTIF($J$1:$J$2,$A1412)&gt;0,"Y","N")</f>
        <v>N</v>
      </c>
    </row>
    <row r="1413" customFormat="false" ht="15" hidden="false" customHeight="true" outlineLevel="0" collapsed="false">
      <c r="A1413" s="8" t="s">
        <v>1794</v>
      </c>
      <c r="B1413" s="8" t="n">
        <v>4411001</v>
      </c>
      <c r="C1413" s="8" t="s">
        <v>1358</v>
      </c>
      <c r="D1413" s="19" t="n">
        <v>235</v>
      </c>
      <c r="E1413" s="19" t="n">
        <v>5188.456</v>
      </c>
      <c r="F1413" s="19" t="n">
        <v>223.578947368421</v>
      </c>
      <c r="G1413" s="19" t="n">
        <v>4938.94357894737</v>
      </c>
      <c r="H1413" s="8" t="str">
        <f aca="false">IF(COUNTIF($J$1:$J$2,$A1413)&gt;0,"Y","N")</f>
        <v>N</v>
      </c>
    </row>
    <row r="1414" customFormat="false" ht="15" hidden="false" customHeight="true" outlineLevel="0" collapsed="false">
      <c r="A1414" s="8" t="s">
        <v>1794</v>
      </c>
      <c r="B1414" s="8" t="n">
        <v>4411002</v>
      </c>
      <c r="C1414" s="8" t="s">
        <v>1804</v>
      </c>
      <c r="D1414" s="19" t="n">
        <v>-3</v>
      </c>
      <c r="E1414" s="19" t="n">
        <v>-357.812</v>
      </c>
      <c r="F1414" s="19" t="n">
        <v>0</v>
      </c>
      <c r="G1414" s="19" t="n">
        <v>0</v>
      </c>
      <c r="H1414" s="8" t="str">
        <f aca="false">IF(COUNTIF($J$1:$J$2,$A1414)&gt;0,"Y","N")</f>
        <v>N</v>
      </c>
    </row>
    <row r="1415" customFormat="false" ht="15" hidden="false" customHeight="true" outlineLevel="0" collapsed="false">
      <c r="A1415" s="8" t="s">
        <v>1794</v>
      </c>
      <c r="B1415" s="8" t="n">
        <v>4411015</v>
      </c>
      <c r="C1415" s="8" t="s">
        <v>1359</v>
      </c>
      <c r="D1415" s="19" t="n">
        <v>21</v>
      </c>
      <c r="E1415" s="19" t="n">
        <v>752.024</v>
      </c>
      <c r="F1415" s="19" t="n">
        <v>84.6315789473684</v>
      </c>
      <c r="G1415" s="19" t="n">
        <v>3007.25305263158</v>
      </c>
      <c r="H1415" s="8" t="str">
        <f aca="false">IF(COUNTIF($J$1:$J$2,$A1415)&gt;0,"Y","N")</f>
        <v>N</v>
      </c>
    </row>
    <row r="1416" customFormat="false" ht="15" hidden="false" customHeight="true" outlineLevel="0" collapsed="false">
      <c r="A1416" s="8" t="s">
        <v>1794</v>
      </c>
      <c r="B1416" s="8" t="n">
        <v>4411016</v>
      </c>
      <c r="C1416" s="8" t="s">
        <v>1360</v>
      </c>
      <c r="D1416" s="19" t="n">
        <v>278</v>
      </c>
      <c r="E1416" s="19" t="n">
        <v>20546.344</v>
      </c>
      <c r="F1416" s="19" t="n">
        <v>272.842105263158</v>
      </c>
      <c r="G1416" s="19" t="n">
        <v>20032.9124210526</v>
      </c>
      <c r="H1416" s="8" t="str">
        <f aca="false">IF(COUNTIF($J$1:$J$2,$A1416)&gt;0,"Y","N")</f>
        <v>N</v>
      </c>
    </row>
    <row r="1417" customFormat="false" ht="15" hidden="false" customHeight="true" outlineLevel="0" collapsed="false">
      <c r="A1417" s="8" t="s">
        <v>1794</v>
      </c>
      <c r="B1417" s="8" t="n">
        <v>4411017</v>
      </c>
      <c r="C1417" s="8" t="s">
        <v>1361</v>
      </c>
      <c r="D1417" s="19" t="n">
        <v>180</v>
      </c>
      <c r="E1417" s="19" t="n">
        <v>4653.467</v>
      </c>
      <c r="F1417" s="19" t="n">
        <v>142.736842105263</v>
      </c>
      <c r="G1417" s="19" t="n">
        <v>3793.72294736842</v>
      </c>
      <c r="H1417" s="8" t="str">
        <f aca="false">IF(COUNTIF($J$1:$J$2,$A1417)&gt;0,"Y","N")</f>
        <v>N</v>
      </c>
    </row>
    <row r="1418" customFormat="false" ht="15" hidden="false" customHeight="true" outlineLevel="0" collapsed="false">
      <c r="A1418" s="8" t="s">
        <v>1794</v>
      </c>
      <c r="B1418" s="8" t="n">
        <v>4411018</v>
      </c>
      <c r="C1418" s="8" t="s">
        <v>1362</v>
      </c>
      <c r="D1418" s="19" t="n">
        <v>258</v>
      </c>
      <c r="E1418" s="19" t="n">
        <v>6683.768</v>
      </c>
      <c r="F1418" s="19" t="n">
        <v>204.631578947368</v>
      </c>
      <c r="G1418" s="19" t="n">
        <v>5391.95115789474</v>
      </c>
      <c r="H1418" s="8" t="str">
        <f aca="false">IF(COUNTIF($J$1:$J$2,$A1418)&gt;0,"Y","N")</f>
        <v>N</v>
      </c>
    </row>
    <row r="1419" customFormat="false" ht="15" hidden="false" customHeight="true" outlineLevel="0" collapsed="false">
      <c r="A1419" s="8" t="s">
        <v>1794</v>
      </c>
      <c r="B1419" s="8" t="n">
        <v>4411019</v>
      </c>
      <c r="C1419" s="8" t="s">
        <v>1363</v>
      </c>
      <c r="D1419" s="19" t="n">
        <v>246</v>
      </c>
      <c r="E1419" s="19" t="n">
        <v>6368.453</v>
      </c>
      <c r="F1419" s="19" t="n">
        <v>195.789473684211</v>
      </c>
      <c r="G1419" s="19" t="n">
        <v>5146.07873684211</v>
      </c>
      <c r="H1419" s="8" t="str">
        <f aca="false">IF(COUNTIF($J$1:$J$2,$A1419)&gt;0,"Y","N")</f>
        <v>N</v>
      </c>
    </row>
    <row r="1420" customFormat="false" ht="15" hidden="false" customHeight="true" outlineLevel="0" collapsed="false">
      <c r="A1420" s="8" t="s">
        <v>1794</v>
      </c>
      <c r="B1420" s="8" t="n">
        <v>4411020</v>
      </c>
      <c r="C1420" s="8" t="s">
        <v>1364</v>
      </c>
      <c r="D1420" s="19" t="n">
        <v>76</v>
      </c>
      <c r="E1420" s="19" t="n">
        <v>1962.506</v>
      </c>
      <c r="F1420" s="19" t="n">
        <v>42.9473684210526</v>
      </c>
      <c r="G1420" s="19" t="n">
        <v>1142.34694736842</v>
      </c>
      <c r="H1420" s="8" t="str">
        <f aca="false">IF(COUNTIF($J$1:$J$2,$A1420)&gt;0,"Y","N")</f>
        <v>N</v>
      </c>
    </row>
    <row r="1421" customFormat="false" ht="15" hidden="false" customHeight="true" outlineLevel="0" collapsed="false">
      <c r="A1421" s="8" t="s">
        <v>1794</v>
      </c>
      <c r="B1421" s="8" t="n">
        <v>4411021</v>
      </c>
      <c r="C1421" s="8" t="s">
        <v>1365</v>
      </c>
      <c r="D1421" s="19" t="n">
        <v>244</v>
      </c>
      <c r="E1421" s="19" t="n">
        <v>6317.584</v>
      </c>
      <c r="F1421" s="19" t="n">
        <v>231.157894736842</v>
      </c>
      <c r="G1421" s="19" t="n">
        <v>6207.84757894737</v>
      </c>
      <c r="H1421" s="8" t="str">
        <f aca="false">IF(COUNTIF($J$1:$J$2,$A1421)&gt;0,"Y","N")</f>
        <v>N</v>
      </c>
    </row>
    <row r="1422" customFormat="false" ht="15" hidden="false" customHeight="true" outlineLevel="0" collapsed="false">
      <c r="A1422" s="8" t="s">
        <v>1794</v>
      </c>
      <c r="B1422" s="8" t="n">
        <v>4411022</v>
      </c>
      <c r="C1422" s="8" t="s">
        <v>1366</v>
      </c>
      <c r="D1422" s="19" t="n">
        <v>419</v>
      </c>
      <c r="E1422" s="19" t="n">
        <v>10853.752</v>
      </c>
      <c r="F1422" s="19" t="n">
        <v>409.263157894737</v>
      </c>
      <c r="G1422" s="19" t="n">
        <v>11010.8084210526</v>
      </c>
      <c r="H1422" s="8" t="str">
        <f aca="false">IF(COUNTIF($J$1:$J$2,$A1422)&gt;0,"Y","N")</f>
        <v>N</v>
      </c>
    </row>
    <row r="1423" customFormat="false" ht="15" hidden="false" customHeight="true" outlineLevel="0" collapsed="false">
      <c r="A1423" s="8" t="s">
        <v>1794</v>
      </c>
      <c r="B1423" s="8" t="n">
        <v>4411023</v>
      </c>
      <c r="C1423" s="8" t="s">
        <v>1367</v>
      </c>
      <c r="D1423" s="19" t="n">
        <v>395</v>
      </c>
      <c r="E1423" s="19" t="n">
        <v>10241.322</v>
      </c>
      <c r="F1423" s="19" t="n">
        <v>312</v>
      </c>
      <c r="G1423" s="19" t="n">
        <v>8263.68126315789</v>
      </c>
      <c r="H1423" s="8" t="str">
        <f aca="false">IF(COUNTIF($J$1:$J$2,$A1423)&gt;0,"Y","N")</f>
        <v>N</v>
      </c>
    </row>
    <row r="1424" customFormat="false" ht="15" hidden="false" customHeight="true" outlineLevel="0" collapsed="false">
      <c r="A1424" s="8" t="s">
        <v>1794</v>
      </c>
      <c r="B1424" s="8" t="n">
        <v>4411024</v>
      </c>
      <c r="C1424" s="8" t="s">
        <v>1368</v>
      </c>
      <c r="D1424" s="19" t="n">
        <v>62</v>
      </c>
      <c r="E1424" s="19" t="n">
        <v>1610.7</v>
      </c>
      <c r="F1424" s="19" t="n">
        <v>68.2105263157895</v>
      </c>
      <c r="G1424" s="19" t="n">
        <v>1839.15789473684</v>
      </c>
      <c r="H1424" s="8" t="str">
        <f aca="false">IF(COUNTIF($J$1:$J$2,$A1424)&gt;0,"Y","N")</f>
        <v>N</v>
      </c>
    </row>
    <row r="1425" customFormat="false" ht="15" hidden="false" customHeight="true" outlineLevel="0" collapsed="false">
      <c r="A1425" s="8" t="s">
        <v>1794</v>
      </c>
      <c r="B1425" s="8" t="n">
        <v>4411026</v>
      </c>
      <c r="C1425" s="8" t="s">
        <v>1369</v>
      </c>
      <c r="D1425" s="19" t="n">
        <v>0</v>
      </c>
      <c r="E1425" s="19" t="n">
        <v>0</v>
      </c>
      <c r="F1425" s="19" t="n">
        <v>27.7894736842105</v>
      </c>
      <c r="G1425" s="19" t="n">
        <v>2532.29052631579</v>
      </c>
      <c r="H1425" s="8" t="str">
        <f aca="false">IF(COUNTIF($J$1:$J$2,$A1425)&gt;0,"Y","N")</f>
        <v>N</v>
      </c>
    </row>
    <row r="1426" customFormat="false" ht="15" hidden="false" customHeight="true" outlineLevel="0" collapsed="false">
      <c r="A1426" s="8" t="s">
        <v>1794</v>
      </c>
      <c r="B1426" s="8" t="n">
        <v>4411027</v>
      </c>
      <c r="C1426" s="8" t="s">
        <v>1370</v>
      </c>
      <c r="D1426" s="19" t="n">
        <v>0</v>
      </c>
      <c r="E1426" s="19" t="n">
        <v>0</v>
      </c>
      <c r="F1426" s="19" t="n">
        <v>53.0526315789474</v>
      </c>
      <c r="G1426" s="19" t="n">
        <v>4866.18189473684</v>
      </c>
      <c r="H1426" s="8" t="str">
        <f aca="false">IF(COUNTIF($J$1:$J$2,$A1426)&gt;0,"Y","N")</f>
        <v>N</v>
      </c>
    </row>
    <row r="1427" customFormat="false" ht="15" hidden="false" customHeight="true" outlineLevel="0" collapsed="false">
      <c r="A1427" s="8" t="s">
        <v>1794</v>
      </c>
      <c r="B1427" s="8" t="n">
        <v>4411028</v>
      </c>
      <c r="C1427" s="8" t="s">
        <v>1371</v>
      </c>
      <c r="D1427" s="19" t="n">
        <v>0</v>
      </c>
      <c r="E1427" s="19" t="n">
        <v>0</v>
      </c>
      <c r="F1427" s="19" t="n">
        <v>36.6315789473684</v>
      </c>
      <c r="G1427" s="19" t="n">
        <v>3343.24421052632</v>
      </c>
      <c r="H1427" s="8" t="str">
        <f aca="false">IF(COUNTIF($J$1:$J$2,$A1427)&gt;0,"Y","N")</f>
        <v>N</v>
      </c>
    </row>
    <row r="1428" customFormat="false" ht="15" hidden="false" customHeight="true" outlineLevel="0" collapsed="false">
      <c r="A1428" s="8" t="s">
        <v>1794</v>
      </c>
      <c r="B1428" s="8" t="n">
        <v>4411029</v>
      </c>
      <c r="C1428" s="8" t="s">
        <v>1372</v>
      </c>
      <c r="D1428" s="19" t="n">
        <v>0</v>
      </c>
      <c r="E1428" s="19" t="n">
        <v>0</v>
      </c>
      <c r="F1428" s="19" t="n">
        <v>29.0526315789474</v>
      </c>
      <c r="G1428" s="19" t="n">
        <v>2643.09978947368</v>
      </c>
      <c r="H1428" s="8" t="str">
        <f aca="false">IF(COUNTIF($J$1:$J$2,$A1428)&gt;0,"Y","N")</f>
        <v>N</v>
      </c>
    </row>
    <row r="1429" customFormat="false" ht="15" hidden="false" customHeight="true" outlineLevel="0" collapsed="false">
      <c r="A1429" s="8" t="s">
        <v>1794</v>
      </c>
      <c r="B1429" s="8" t="n">
        <v>4411030</v>
      </c>
      <c r="C1429" s="8" t="s">
        <v>1373</v>
      </c>
      <c r="D1429" s="19" t="n">
        <v>0</v>
      </c>
      <c r="E1429" s="19" t="n">
        <v>0</v>
      </c>
      <c r="F1429" s="19" t="n">
        <v>51.7894736842105</v>
      </c>
      <c r="G1429" s="19" t="n">
        <v>4749.39536842105</v>
      </c>
      <c r="H1429" s="8" t="str">
        <f aca="false">IF(COUNTIF($J$1:$J$2,$A1429)&gt;0,"Y","N")</f>
        <v>N</v>
      </c>
    </row>
    <row r="1430" customFormat="false" ht="15" hidden="false" customHeight="true" outlineLevel="0" collapsed="false">
      <c r="A1430" s="8" t="s">
        <v>1794</v>
      </c>
      <c r="B1430" s="8" t="n">
        <v>4411031</v>
      </c>
      <c r="C1430" s="8" t="s">
        <v>1374</v>
      </c>
      <c r="D1430" s="19" t="n">
        <v>0</v>
      </c>
      <c r="E1430" s="19" t="n">
        <v>0</v>
      </c>
      <c r="F1430" s="19" t="n">
        <v>39.1578947368421</v>
      </c>
      <c r="G1430" s="19" t="n">
        <v>3576.70231578947</v>
      </c>
      <c r="H1430" s="8" t="str">
        <f aca="false">IF(COUNTIF($J$1:$J$2,$A1430)&gt;0,"Y","N")</f>
        <v>N</v>
      </c>
    </row>
    <row r="1431" customFormat="false" ht="15" hidden="false" customHeight="true" outlineLevel="0" collapsed="false">
      <c r="A1431" s="8" t="s">
        <v>1794</v>
      </c>
      <c r="B1431" s="8" t="n">
        <v>4413000</v>
      </c>
      <c r="C1431" s="8" t="s">
        <v>1375</v>
      </c>
      <c r="D1431" s="19" t="n">
        <v>26</v>
      </c>
      <c r="E1431" s="19" t="n">
        <v>1371.825</v>
      </c>
      <c r="F1431" s="19" t="n">
        <v>-10.1052631578947</v>
      </c>
      <c r="G1431" s="19" t="n">
        <v>-500.710736842105</v>
      </c>
      <c r="H1431" s="8" t="str">
        <f aca="false">IF(COUNTIF($J$1:$J$2,$A1431)&gt;0,"Y","N")</f>
        <v>N</v>
      </c>
    </row>
    <row r="1432" customFormat="false" ht="15" hidden="false" customHeight="true" outlineLevel="0" collapsed="false">
      <c r="A1432" s="8" t="s">
        <v>1794</v>
      </c>
      <c r="B1432" s="8" t="n">
        <v>4413002</v>
      </c>
      <c r="C1432" s="8" t="s">
        <v>1376</v>
      </c>
      <c r="D1432" s="19" t="n">
        <v>30</v>
      </c>
      <c r="E1432" s="19" t="n">
        <v>1597.232</v>
      </c>
      <c r="F1432" s="19" t="n">
        <v>-8.84210526315789</v>
      </c>
      <c r="G1432" s="19" t="n">
        <v>-451.283368421053</v>
      </c>
      <c r="H1432" s="8" t="str">
        <f aca="false">IF(COUNTIF($J$1:$J$2,$A1432)&gt;0,"Y","N")</f>
        <v>N</v>
      </c>
    </row>
    <row r="1433" customFormat="false" ht="15" hidden="false" customHeight="true" outlineLevel="0" collapsed="false">
      <c r="A1433" s="8" t="s">
        <v>1794</v>
      </c>
      <c r="B1433" s="8" t="n">
        <v>4413003</v>
      </c>
      <c r="C1433" s="8" t="s">
        <v>1377</v>
      </c>
      <c r="D1433" s="19" t="n">
        <v>31</v>
      </c>
      <c r="E1433" s="19" t="n">
        <v>1639.911</v>
      </c>
      <c r="F1433" s="19" t="n">
        <v>-11.3684210526316</v>
      </c>
      <c r="G1433" s="19" t="n">
        <v>-556.115368421053</v>
      </c>
      <c r="H1433" s="8" t="str">
        <f aca="false">IF(COUNTIF($J$1:$J$2,$A1433)&gt;0,"Y","N")</f>
        <v>N</v>
      </c>
    </row>
    <row r="1434" customFormat="false" ht="15" hidden="false" customHeight="true" outlineLevel="0" collapsed="false">
      <c r="A1434" s="8" t="s">
        <v>1794</v>
      </c>
      <c r="B1434" s="8" t="n">
        <v>4413004</v>
      </c>
      <c r="C1434" s="8" t="s">
        <v>1378</v>
      </c>
      <c r="D1434" s="19" t="n">
        <v>11</v>
      </c>
      <c r="E1434" s="19" t="n">
        <v>599.872</v>
      </c>
      <c r="F1434" s="19" t="n">
        <v>-13.8947368421053</v>
      </c>
      <c r="G1434" s="19" t="n">
        <v>-708.305684210526</v>
      </c>
      <c r="H1434" s="8" t="str">
        <f aca="false">IF(COUNTIF($J$1:$J$2,$A1434)&gt;0,"Y","N")</f>
        <v>N</v>
      </c>
    </row>
    <row r="1435" customFormat="false" ht="15" hidden="false" customHeight="true" outlineLevel="0" collapsed="false">
      <c r="A1435" s="8" t="s">
        <v>1794</v>
      </c>
      <c r="B1435" s="8" t="n">
        <v>4413005</v>
      </c>
      <c r="C1435" s="8" t="s">
        <v>1379</v>
      </c>
      <c r="D1435" s="19" t="n">
        <v>-1</v>
      </c>
      <c r="E1435" s="19" t="n">
        <v>-49.595</v>
      </c>
      <c r="F1435" s="19" t="n">
        <v>-1.26315789473684</v>
      </c>
      <c r="G1435" s="19" t="n">
        <v>-62.6463157894737</v>
      </c>
      <c r="H1435" s="8" t="str">
        <f aca="false">IF(COUNTIF($J$1:$J$2,$A1435)&gt;0,"Y","N")</f>
        <v>N</v>
      </c>
    </row>
    <row r="1436" customFormat="false" ht="15" hidden="false" customHeight="true" outlineLevel="0" collapsed="false">
      <c r="A1436" s="8" t="s">
        <v>1794</v>
      </c>
      <c r="B1436" s="8" t="n">
        <v>4413020</v>
      </c>
      <c r="C1436" s="8" t="s">
        <v>1382</v>
      </c>
      <c r="D1436" s="19" t="n">
        <v>-1</v>
      </c>
      <c r="E1436" s="19" t="n">
        <v>-93.366</v>
      </c>
      <c r="F1436" s="19" t="n">
        <v>0</v>
      </c>
      <c r="G1436" s="19" t="n">
        <v>0</v>
      </c>
      <c r="H1436" s="8" t="str">
        <f aca="false">IF(COUNTIF($J$1:$J$2,$A1436)&gt;0,"Y","N")</f>
        <v>N</v>
      </c>
    </row>
    <row r="1437" customFormat="false" ht="15" hidden="false" customHeight="true" outlineLevel="0" collapsed="false">
      <c r="A1437" s="8" t="s">
        <v>1794</v>
      </c>
      <c r="B1437" s="8" t="n">
        <v>4413022</v>
      </c>
      <c r="C1437" s="8" t="s">
        <v>1384</v>
      </c>
      <c r="D1437" s="19" t="n">
        <v>-5</v>
      </c>
      <c r="E1437" s="19" t="n">
        <v>-466.83</v>
      </c>
      <c r="F1437" s="19" t="n">
        <v>0</v>
      </c>
      <c r="G1437" s="19" t="n">
        <v>0</v>
      </c>
      <c r="H1437" s="8" t="str">
        <f aca="false">IF(COUNTIF($J$1:$J$2,$A1437)&gt;0,"Y","N")</f>
        <v>N</v>
      </c>
    </row>
    <row r="1438" customFormat="false" ht="15" hidden="false" customHeight="true" outlineLevel="0" collapsed="false">
      <c r="A1438" s="8" t="s">
        <v>1794</v>
      </c>
      <c r="B1438" s="8" t="n">
        <v>4413033</v>
      </c>
      <c r="C1438" s="8" t="s">
        <v>1385</v>
      </c>
      <c r="D1438" s="19" t="n">
        <v>4057</v>
      </c>
      <c r="E1438" s="19" t="n">
        <v>45672.9</v>
      </c>
      <c r="F1438" s="19" t="n">
        <v>3660.63157894737</v>
      </c>
      <c r="G1438" s="19" t="n">
        <v>44968.6749473684</v>
      </c>
      <c r="H1438" s="8" t="str">
        <f aca="false">IF(COUNTIF($J$1:$J$2,$A1438)&gt;0,"Y","N")</f>
        <v>N</v>
      </c>
    </row>
    <row r="1439" customFormat="false" ht="15" hidden="false" customHeight="true" outlineLevel="0" collapsed="false">
      <c r="A1439" s="8" t="s">
        <v>1794</v>
      </c>
      <c r="B1439" s="8" t="n">
        <v>4413034</v>
      </c>
      <c r="C1439" s="8" t="s">
        <v>67</v>
      </c>
      <c r="D1439" s="19" t="n">
        <v>208</v>
      </c>
      <c r="E1439" s="19" t="n">
        <v>3749.564</v>
      </c>
      <c r="F1439" s="19" t="n">
        <v>128.842105263158</v>
      </c>
      <c r="G1439" s="19" t="n">
        <v>2300.32673684211</v>
      </c>
      <c r="H1439" s="8" t="str">
        <f aca="false">IF(COUNTIF($J$1:$J$2,$A1439)&gt;0,"Y","N")</f>
        <v>N</v>
      </c>
    </row>
    <row r="1440" customFormat="false" ht="15" hidden="false" customHeight="true" outlineLevel="0" collapsed="false">
      <c r="A1440" s="8" t="s">
        <v>1794</v>
      </c>
      <c r="B1440" s="8" t="n">
        <v>4413041</v>
      </c>
      <c r="C1440" s="8" t="s">
        <v>1386</v>
      </c>
      <c r="D1440" s="19" t="n">
        <v>1906</v>
      </c>
      <c r="E1440" s="19" t="n">
        <v>65118.508</v>
      </c>
      <c r="F1440" s="19" t="n">
        <v>1618.10526315789</v>
      </c>
      <c r="G1440" s="19" t="n">
        <v>56077.9932631579</v>
      </c>
      <c r="H1440" s="8" t="str">
        <f aca="false">IF(COUNTIF($J$1:$J$2,$A1440)&gt;0,"Y","N")</f>
        <v>N</v>
      </c>
    </row>
    <row r="1441" customFormat="false" ht="15" hidden="false" customHeight="true" outlineLevel="0" collapsed="false">
      <c r="A1441" s="8" t="s">
        <v>1794</v>
      </c>
      <c r="B1441" s="8" t="n">
        <v>4413042</v>
      </c>
      <c r="C1441" s="8" t="s">
        <v>1387</v>
      </c>
      <c r="D1441" s="19" t="n">
        <v>1192</v>
      </c>
      <c r="E1441" s="19" t="n">
        <v>40708.486</v>
      </c>
      <c r="F1441" s="19" t="n">
        <v>1032</v>
      </c>
      <c r="G1441" s="19" t="n">
        <v>35650.5814736842</v>
      </c>
      <c r="H1441" s="8" t="str">
        <f aca="false">IF(COUNTIF($J$1:$J$2,$A1441)&gt;0,"Y","N")</f>
        <v>N</v>
      </c>
    </row>
    <row r="1442" customFormat="false" ht="15" hidden="false" customHeight="true" outlineLevel="0" collapsed="false">
      <c r="A1442" s="8" t="s">
        <v>1794</v>
      </c>
      <c r="B1442" s="8" t="n">
        <v>4413043</v>
      </c>
      <c r="C1442" s="8" t="s">
        <v>1388</v>
      </c>
      <c r="D1442" s="19" t="n">
        <v>1793</v>
      </c>
      <c r="E1442" s="19" t="n">
        <v>61227.803</v>
      </c>
      <c r="F1442" s="19" t="n">
        <v>1582.73684210526</v>
      </c>
      <c r="G1442" s="19" t="n">
        <v>54809.3191578947</v>
      </c>
      <c r="H1442" s="8" t="str">
        <f aca="false">IF(COUNTIF($J$1:$J$2,$A1442)&gt;0,"Y","N")</f>
        <v>N</v>
      </c>
    </row>
    <row r="1443" customFormat="false" ht="15" hidden="false" customHeight="true" outlineLevel="0" collapsed="false">
      <c r="A1443" s="8" t="s">
        <v>1794</v>
      </c>
      <c r="B1443" s="8" t="n">
        <v>4413044</v>
      </c>
      <c r="C1443" s="8" t="s">
        <v>1389</v>
      </c>
      <c r="D1443" s="19" t="n">
        <v>1232</v>
      </c>
      <c r="E1443" s="19" t="n">
        <v>42079.492</v>
      </c>
      <c r="F1443" s="19" t="n">
        <v>1026.94736842105</v>
      </c>
      <c r="G1443" s="19" t="n">
        <v>35582.6475789474</v>
      </c>
      <c r="H1443" s="8" t="str">
        <f aca="false">IF(COUNTIF($J$1:$J$2,$A1443)&gt;0,"Y","N")</f>
        <v>N</v>
      </c>
    </row>
    <row r="1444" customFormat="false" ht="15" hidden="false" customHeight="true" outlineLevel="0" collapsed="false">
      <c r="A1444" s="8" t="s">
        <v>1794</v>
      </c>
      <c r="B1444" s="8" t="n">
        <v>4413046</v>
      </c>
      <c r="C1444" s="8" t="s">
        <v>1391</v>
      </c>
      <c r="D1444" s="19" t="n">
        <v>54</v>
      </c>
      <c r="E1444" s="19" t="n">
        <v>1845.935</v>
      </c>
      <c r="F1444" s="19" t="n">
        <v>45.4736842105263</v>
      </c>
      <c r="G1444" s="19" t="n">
        <v>1577.76757894737</v>
      </c>
      <c r="H1444" s="8" t="str">
        <f aca="false">IF(COUNTIF($J$1:$J$2,$A1444)&gt;0,"Y","N")</f>
        <v>N</v>
      </c>
    </row>
    <row r="1445" customFormat="false" ht="15" hidden="false" customHeight="true" outlineLevel="0" collapsed="false">
      <c r="A1445" s="8" t="s">
        <v>1794</v>
      </c>
      <c r="B1445" s="8" t="n">
        <v>4413047</v>
      </c>
      <c r="C1445" s="8" t="s">
        <v>1392</v>
      </c>
      <c r="D1445" s="19" t="n">
        <v>1156</v>
      </c>
      <c r="E1445" s="19" t="n">
        <v>27045.837</v>
      </c>
      <c r="F1445" s="19" t="n">
        <v>1015.57894736842</v>
      </c>
      <c r="G1445" s="19" t="n">
        <v>24030.0922105263</v>
      </c>
      <c r="H1445" s="8" t="str">
        <f aca="false">IF(COUNTIF($J$1:$J$2,$A1445)&gt;0,"Y","N")</f>
        <v>N</v>
      </c>
    </row>
    <row r="1446" customFormat="false" ht="15" hidden="false" customHeight="true" outlineLevel="0" collapsed="false">
      <c r="A1446" s="8" t="s">
        <v>1794</v>
      </c>
      <c r="B1446" s="8" t="n">
        <v>4413048</v>
      </c>
      <c r="C1446" s="8" t="s">
        <v>1393</v>
      </c>
      <c r="D1446" s="19" t="n">
        <v>1656</v>
      </c>
      <c r="E1446" s="19" t="n">
        <v>38731.056</v>
      </c>
      <c r="F1446" s="19" t="n">
        <v>1416</v>
      </c>
      <c r="G1446" s="19" t="n">
        <v>33640.2669473684</v>
      </c>
      <c r="H1446" s="8" t="str">
        <f aca="false">IF(COUNTIF($J$1:$J$2,$A1446)&gt;0,"Y","N")</f>
        <v>N</v>
      </c>
    </row>
    <row r="1447" customFormat="false" ht="15" hidden="false" customHeight="true" outlineLevel="0" collapsed="false">
      <c r="A1447" s="8" t="s">
        <v>1794</v>
      </c>
      <c r="B1447" s="8" t="n">
        <v>4413049</v>
      </c>
      <c r="C1447" s="8" t="s">
        <v>1394</v>
      </c>
      <c r="D1447" s="19" t="n">
        <v>1895</v>
      </c>
      <c r="E1447" s="19" t="n">
        <v>44326.828</v>
      </c>
      <c r="F1447" s="19" t="n">
        <v>1419.78947368421</v>
      </c>
      <c r="G1447" s="19" t="n">
        <v>33628.4273684211</v>
      </c>
      <c r="H1447" s="8" t="str">
        <f aca="false">IF(COUNTIF($J$1:$J$2,$A1447)&gt;0,"Y","N")</f>
        <v>N</v>
      </c>
    </row>
    <row r="1448" customFormat="false" ht="15" hidden="false" customHeight="true" outlineLevel="0" collapsed="false">
      <c r="A1448" s="8" t="s">
        <v>1794</v>
      </c>
      <c r="B1448" s="8" t="n">
        <v>4413050</v>
      </c>
      <c r="C1448" s="8" t="s">
        <v>1395</v>
      </c>
      <c r="D1448" s="19" t="n">
        <v>1115</v>
      </c>
      <c r="E1448" s="19" t="n">
        <v>26093.522</v>
      </c>
      <c r="F1448" s="19" t="n">
        <v>967.578947368421</v>
      </c>
      <c r="G1448" s="19" t="n">
        <v>22967.4037894737</v>
      </c>
      <c r="H1448" s="8" t="str">
        <f aca="false">IF(COUNTIF($J$1:$J$2,$A1448)&gt;0,"Y","N")</f>
        <v>N</v>
      </c>
    </row>
    <row r="1449" customFormat="false" ht="15" hidden="false" customHeight="true" outlineLevel="0" collapsed="false">
      <c r="A1449" s="8" t="s">
        <v>1794</v>
      </c>
      <c r="B1449" s="8" t="n">
        <v>4413051</v>
      </c>
      <c r="C1449" s="8" t="s">
        <v>1396</v>
      </c>
      <c r="D1449" s="19" t="n">
        <v>88</v>
      </c>
      <c r="E1449" s="19" t="n">
        <v>2058.966</v>
      </c>
      <c r="F1449" s="19" t="n">
        <v>93.4736842105263</v>
      </c>
      <c r="G1449" s="19" t="n">
        <v>2218.02442105263</v>
      </c>
      <c r="H1449" s="8" t="str">
        <f aca="false">IF(COUNTIF($J$1:$J$2,$A1449)&gt;0,"Y","N")</f>
        <v>N</v>
      </c>
    </row>
    <row r="1450" customFormat="false" ht="15" hidden="false" customHeight="true" outlineLevel="0" collapsed="false">
      <c r="A1450" s="8" t="s">
        <v>1794</v>
      </c>
      <c r="B1450" s="8" t="n">
        <v>4413052</v>
      </c>
      <c r="C1450" s="8" t="s">
        <v>1397</v>
      </c>
      <c r="D1450" s="19" t="n">
        <v>2476</v>
      </c>
      <c r="E1450" s="19" t="n">
        <v>57995.119</v>
      </c>
      <c r="F1450" s="19" t="n">
        <v>1722.94736842105</v>
      </c>
      <c r="G1450" s="19" t="n">
        <v>40952.2989473684</v>
      </c>
      <c r="H1450" s="8" t="str">
        <f aca="false">IF(COUNTIF($J$1:$J$2,$A1450)&gt;0,"Y","N")</f>
        <v>N</v>
      </c>
    </row>
    <row r="1451" customFormat="false" ht="15" hidden="false" customHeight="true" outlineLevel="0" collapsed="false">
      <c r="A1451" s="8" t="s">
        <v>1794</v>
      </c>
      <c r="B1451" s="8" t="n">
        <v>4413053</v>
      </c>
      <c r="C1451" s="8" t="s">
        <v>1398</v>
      </c>
      <c r="D1451" s="19" t="n">
        <v>3121</v>
      </c>
      <c r="E1451" s="19" t="n">
        <v>73074.638</v>
      </c>
      <c r="F1451" s="19" t="n">
        <v>2499.78947368421</v>
      </c>
      <c r="G1451" s="19" t="n">
        <v>59685.8463157895</v>
      </c>
      <c r="H1451" s="8" t="str">
        <f aca="false">IF(COUNTIF($J$1:$J$2,$A1451)&gt;0,"Y","N")</f>
        <v>N</v>
      </c>
    </row>
    <row r="1452" customFormat="false" ht="15" hidden="false" customHeight="true" outlineLevel="0" collapsed="false">
      <c r="A1452" s="8" t="s">
        <v>1794</v>
      </c>
      <c r="B1452" s="8" t="n">
        <v>4413054</v>
      </c>
      <c r="C1452" s="8" t="s">
        <v>1399</v>
      </c>
      <c r="D1452" s="19" t="n">
        <v>3288</v>
      </c>
      <c r="E1452" s="19" t="n">
        <v>76985.454</v>
      </c>
      <c r="F1452" s="19" t="n">
        <v>3022.73684210526</v>
      </c>
      <c r="G1452" s="19" t="n">
        <v>71768.8837894737</v>
      </c>
      <c r="H1452" s="8" t="str">
        <f aca="false">IF(COUNTIF($J$1:$J$2,$A1452)&gt;0,"Y","N")</f>
        <v>N</v>
      </c>
    </row>
    <row r="1453" customFormat="false" ht="15" hidden="false" customHeight="true" outlineLevel="0" collapsed="false">
      <c r="A1453" s="8" t="s">
        <v>1794</v>
      </c>
      <c r="B1453" s="8" t="n">
        <v>4413055</v>
      </c>
      <c r="C1453" s="8" t="s">
        <v>1400</v>
      </c>
      <c r="D1453" s="19" t="n">
        <v>1866</v>
      </c>
      <c r="E1453" s="19" t="n">
        <v>43666.259</v>
      </c>
      <c r="F1453" s="19" t="n">
        <v>1605.47368421053</v>
      </c>
      <c r="G1453" s="19" t="n">
        <v>38153.5604210526</v>
      </c>
      <c r="H1453" s="8" t="str">
        <f aca="false">IF(COUNTIF($J$1:$J$2,$A1453)&gt;0,"Y","N")</f>
        <v>N</v>
      </c>
    </row>
    <row r="1454" customFormat="false" ht="15" hidden="false" customHeight="true" outlineLevel="0" collapsed="false">
      <c r="A1454" s="8" t="s">
        <v>1794</v>
      </c>
      <c r="B1454" s="8" t="n">
        <v>4413056</v>
      </c>
      <c r="C1454" s="8" t="s">
        <v>1401</v>
      </c>
      <c r="D1454" s="19" t="n">
        <v>44</v>
      </c>
      <c r="E1454" s="19" t="n">
        <v>811.629</v>
      </c>
      <c r="F1454" s="19" t="n">
        <v>16.4210526315789</v>
      </c>
      <c r="G1454" s="19" t="n">
        <v>306.219789473684</v>
      </c>
      <c r="H1454" s="8" t="str">
        <f aca="false">IF(COUNTIF($J$1:$J$2,$A1454)&gt;0,"Y","N")</f>
        <v>N</v>
      </c>
    </row>
    <row r="1455" customFormat="false" ht="15" hidden="false" customHeight="true" outlineLevel="0" collapsed="false">
      <c r="A1455" s="8" t="s">
        <v>1794</v>
      </c>
      <c r="B1455" s="8" t="n">
        <v>4413058</v>
      </c>
      <c r="C1455" s="8" t="s">
        <v>1402</v>
      </c>
      <c r="D1455" s="19" t="n">
        <v>571</v>
      </c>
      <c r="E1455" s="19" t="n">
        <v>13935.376</v>
      </c>
      <c r="F1455" s="19" t="n">
        <v>516.631578947368</v>
      </c>
      <c r="G1455" s="19" t="n">
        <v>12686.6261052632</v>
      </c>
      <c r="H1455" s="8" t="str">
        <f aca="false">IF(COUNTIF($J$1:$J$2,$A1455)&gt;0,"Y","N")</f>
        <v>N</v>
      </c>
    </row>
    <row r="1456" customFormat="false" ht="15" hidden="false" customHeight="true" outlineLevel="0" collapsed="false">
      <c r="A1456" s="8" t="s">
        <v>1794</v>
      </c>
      <c r="B1456" s="8" t="n">
        <v>4413059</v>
      </c>
      <c r="C1456" s="8" t="s">
        <v>1403</v>
      </c>
      <c r="D1456" s="19" t="n">
        <v>-4</v>
      </c>
      <c r="E1456" s="19" t="n">
        <v>-43.407</v>
      </c>
      <c r="F1456" s="19" t="n">
        <v>0</v>
      </c>
      <c r="G1456" s="19" t="n">
        <v>0</v>
      </c>
      <c r="H1456" s="8" t="str">
        <f aca="false">IF(COUNTIF($J$1:$J$2,$A1456)&gt;0,"Y","N")</f>
        <v>N</v>
      </c>
    </row>
    <row r="1457" customFormat="false" ht="15" hidden="false" customHeight="true" outlineLevel="0" collapsed="false">
      <c r="A1457" s="8" t="s">
        <v>1794</v>
      </c>
      <c r="B1457" s="8" t="n">
        <v>4413060</v>
      </c>
      <c r="C1457" s="8" t="s">
        <v>1404</v>
      </c>
      <c r="D1457" s="19" t="n">
        <v>0</v>
      </c>
      <c r="E1457" s="19" t="n">
        <v>0</v>
      </c>
      <c r="F1457" s="19" t="n">
        <v>-2.52631578947368</v>
      </c>
      <c r="G1457" s="19" t="n">
        <v>-28.8517894736842</v>
      </c>
      <c r="H1457" s="8" t="str">
        <f aca="false">IF(COUNTIF($J$1:$J$2,$A1457)&gt;0,"Y","N")</f>
        <v>N</v>
      </c>
    </row>
    <row r="1458" customFormat="false" ht="15" hidden="false" customHeight="true" outlineLevel="0" collapsed="false">
      <c r="A1458" s="8" t="s">
        <v>1794</v>
      </c>
      <c r="B1458" s="8" t="n">
        <v>4413069</v>
      </c>
      <c r="C1458" s="8" t="s">
        <v>1408</v>
      </c>
      <c r="D1458" s="19" t="n">
        <v>-16</v>
      </c>
      <c r="E1458" s="19" t="n">
        <v>-934.206</v>
      </c>
      <c r="F1458" s="19" t="n">
        <v>-3.78947368421053</v>
      </c>
      <c r="G1458" s="19" t="n">
        <v>-221.273684210526</v>
      </c>
      <c r="H1458" s="8" t="str">
        <f aca="false">IF(COUNTIF($J$1:$J$2,$A1458)&gt;0,"Y","N")</f>
        <v>N</v>
      </c>
    </row>
    <row r="1459" customFormat="false" ht="15" hidden="false" customHeight="true" outlineLevel="0" collapsed="false">
      <c r="A1459" s="8" t="s">
        <v>1794</v>
      </c>
      <c r="B1459" s="8" t="n">
        <v>4413070</v>
      </c>
      <c r="C1459" s="8" t="s">
        <v>1409</v>
      </c>
      <c r="D1459" s="19" t="n">
        <v>-12</v>
      </c>
      <c r="E1459" s="19" t="n">
        <v>-700.609</v>
      </c>
      <c r="F1459" s="19" t="n">
        <v>-5.05263157894737</v>
      </c>
      <c r="G1459" s="19" t="n">
        <v>-294.954947368421</v>
      </c>
      <c r="H1459" s="8" t="str">
        <f aca="false">IF(COUNTIF($J$1:$J$2,$A1459)&gt;0,"Y","N")</f>
        <v>N</v>
      </c>
    </row>
    <row r="1460" customFormat="false" ht="15" hidden="false" customHeight="true" outlineLevel="0" collapsed="false">
      <c r="A1460" s="8" t="s">
        <v>1794</v>
      </c>
      <c r="B1460" s="8" t="n">
        <v>4413072</v>
      </c>
      <c r="C1460" s="8" t="s">
        <v>1411</v>
      </c>
      <c r="D1460" s="19" t="n">
        <v>3</v>
      </c>
      <c r="E1460" s="19" t="n">
        <v>290.654</v>
      </c>
      <c r="F1460" s="19" t="n">
        <v>2.52631578947368</v>
      </c>
      <c r="G1460" s="19" t="n">
        <v>248.401263157895</v>
      </c>
      <c r="H1460" s="8" t="str">
        <f aca="false">IF(COUNTIF($J$1:$J$2,$A1460)&gt;0,"Y","N")</f>
        <v>N</v>
      </c>
    </row>
    <row r="1461" customFormat="false" ht="15" hidden="false" customHeight="true" outlineLevel="0" collapsed="false">
      <c r="A1461" s="8" t="s">
        <v>1794</v>
      </c>
      <c r="B1461" s="8" t="n">
        <v>4413073</v>
      </c>
      <c r="C1461" s="8" t="s">
        <v>1412</v>
      </c>
      <c r="D1461" s="19" t="n">
        <v>1</v>
      </c>
      <c r="E1461" s="19" t="n">
        <v>96.915</v>
      </c>
      <c r="F1461" s="19" t="n">
        <v>2.52631578947368</v>
      </c>
      <c r="G1461" s="19" t="n">
        <v>244.837894736842</v>
      </c>
      <c r="H1461" s="8" t="str">
        <f aca="false">IF(COUNTIF($J$1:$J$2,$A1461)&gt;0,"Y","N")</f>
        <v>N</v>
      </c>
    </row>
    <row r="1462" customFormat="false" ht="15" hidden="false" customHeight="true" outlineLevel="0" collapsed="false">
      <c r="A1462" s="8" t="s">
        <v>1794</v>
      </c>
      <c r="B1462" s="8" t="n">
        <v>4413074</v>
      </c>
      <c r="C1462" s="8" t="s">
        <v>1413</v>
      </c>
      <c r="D1462" s="19" t="n">
        <v>3</v>
      </c>
      <c r="E1462" s="19" t="n">
        <v>290.654</v>
      </c>
      <c r="F1462" s="19" t="n">
        <v>-1.26315789473684</v>
      </c>
      <c r="G1462" s="19" t="n">
        <v>-122.418947368421</v>
      </c>
      <c r="H1462" s="8" t="str">
        <f aca="false">IF(COUNTIF($J$1:$J$2,$A1462)&gt;0,"Y","N")</f>
        <v>N</v>
      </c>
    </row>
    <row r="1463" customFormat="false" ht="15" hidden="false" customHeight="true" outlineLevel="0" collapsed="false">
      <c r="A1463" s="8" t="s">
        <v>1794</v>
      </c>
      <c r="B1463" s="8" t="n">
        <v>4413078</v>
      </c>
      <c r="C1463" s="8" t="s">
        <v>1778</v>
      </c>
      <c r="D1463" s="19" t="n">
        <v>-1</v>
      </c>
      <c r="E1463" s="19" t="n">
        <v>-106.197</v>
      </c>
      <c r="F1463" s="19" t="n">
        <v>-1.26315789473684</v>
      </c>
      <c r="G1463" s="19" t="n">
        <v>-134.143578947368</v>
      </c>
      <c r="H1463" s="8" t="str">
        <f aca="false">IF(COUNTIF($J$1:$J$2,$A1463)&gt;0,"Y","N")</f>
        <v>N</v>
      </c>
    </row>
    <row r="1464" customFormat="false" ht="15" hidden="false" customHeight="true" outlineLevel="0" collapsed="false">
      <c r="A1464" s="8" t="s">
        <v>1794</v>
      </c>
      <c r="B1464" s="8" t="n">
        <v>4413079</v>
      </c>
      <c r="C1464" s="8" t="s">
        <v>1416</v>
      </c>
      <c r="D1464" s="19" t="n">
        <v>0</v>
      </c>
      <c r="E1464" s="19" t="n">
        <v>0</v>
      </c>
      <c r="F1464" s="19" t="n">
        <v>-1.26315789473684</v>
      </c>
      <c r="G1464" s="19" t="n">
        <v>-134.143578947368</v>
      </c>
      <c r="H1464" s="8" t="str">
        <f aca="false">IF(COUNTIF($J$1:$J$2,$A1464)&gt;0,"Y","N")</f>
        <v>N</v>
      </c>
    </row>
    <row r="1465" customFormat="false" ht="15" hidden="false" customHeight="true" outlineLevel="0" collapsed="false">
      <c r="A1465" s="8" t="s">
        <v>1794</v>
      </c>
      <c r="B1465" s="8" t="n">
        <v>4413087</v>
      </c>
      <c r="C1465" s="8" t="s">
        <v>1417</v>
      </c>
      <c r="D1465" s="19" t="n">
        <v>-2</v>
      </c>
      <c r="E1465" s="19" t="n">
        <v>-248.248</v>
      </c>
      <c r="F1465" s="19" t="n">
        <v>-2.52631578947368</v>
      </c>
      <c r="G1465" s="19" t="n">
        <v>-339.669473684211</v>
      </c>
      <c r="H1465" s="8" t="str">
        <f aca="false">IF(COUNTIF($J$1:$J$2,$A1465)&gt;0,"Y","N")</f>
        <v>N</v>
      </c>
    </row>
    <row r="1466" customFormat="false" ht="15" hidden="false" customHeight="true" outlineLevel="0" collapsed="false">
      <c r="A1466" s="8" t="s">
        <v>1794</v>
      </c>
      <c r="B1466" s="8" t="n">
        <v>4413088</v>
      </c>
      <c r="C1466" s="8" t="s">
        <v>1418</v>
      </c>
      <c r="D1466" s="19" t="n">
        <v>0</v>
      </c>
      <c r="E1466" s="19" t="n">
        <v>27.573</v>
      </c>
      <c r="F1466" s="19" t="n">
        <v>-3.78947368421053</v>
      </c>
      <c r="G1466" s="19" t="n">
        <v>-505.193684210526</v>
      </c>
      <c r="H1466" s="8" t="str">
        <f aca="false">IF(COUNTIF($J$1:$J$2,$A1466)&gt;0,"Y","N")</f>
        <v>N</v>
      </c>
    </row>
    <row r="1467" customFormat="false" ht="15" hidden="false" customHeight="true" outlineLevel="0" collapsed="false">
      <c r="A1467" s="8" t="s">
        <v>1794</v>
      </c>
      <c r="B1467" s="8" t="n">
        <v>4413089</v>
      </c>
      <c r="C1467" s="8" t="s">
        <v>1419</v>
      </c>
      <c r="D1467" s="19" t="n">
        <v>-3</v>
      </c>
      <c r="E1467" s="19" t="n">
        <v>-413.686</v>
      </c>
      <c r="F1467" s="19" t="n">
        <v>-2.52631578947368</v>
      </c>
      <c r="G1467" s="19" t="n">
        <v>-203.801684210526</v>
      </c>
      <c r="H1467" s="8" t="str">
        <f aca="false">IF(COUNTIF($J$1:$J$2,$A1467)&gt;0,"Y","N")</f>
        <v>N</v>
      </c>
    </row>
    <row r="1468" customFormat="false" ht="15" hidden="false" customHeight="true" outlineLevel="0" collapsed="false">
      <c r="A1468" s="8" t="s">
        <v>1794</v>
      </c>
      <c r="B1468" s="8" t="n">
        <v>4413090</v>
      </c>
      <c r="C1468" s="8" t="s">
        <v>1420</v>
      </c>
      <c r="D1468" s="19" t="n">
        <v>0</v>
      </c>
      <c r="E1468" s="19" t="n">
        <v>6.916</v>
      </c>
      <c r="F1468" s="19" t="n">
        <v>-1.26315789473684</v>
      </c>
      <c r="G1468" s="19" t="n">
        <v>-174.260210526316</v>
      </c>
      <c r="H1468" s="8" t="str">
        <f aca="false">IF(COUNTIF($J$1:$J$2,$A1468)&gt;0,"Y","N")</f>
        <v>N</v>
      </c>
    </row>
    <row r="1469" customFormat="false" ht="15" hidden="false" customHeight="true" outlineLevel="0" collapsed="false">
      <c r="A1469" s="8" t="s">
        <v>1794</v>
      </c>
      <c r="B1469" s="8" t="n">
        <v>4413091</v>
      </c>
      <c r="C1469" s="8" t="s">
        <v>1421</v>
      </c>
      <c r="D1469" s="19" t="n">
        <v>2</v>
      </c>
      <c r="E1469" s="19" t="n">
        <v>275.821</v>
      </c>
      <c r="F1469" s="19" t="n">
        <v>-1.26315789473684</v>
      </c>
      <c r="G1469" s="19" t="n">
        <v>-165.524210526316</v>
      </c>
      <c r="H1469" s="8" t="str">
        <f aca="false">IF(COUNTIF($J$1:$J$2,$A1469)&gt;0,"Y","N")</f>
        <v>N</v>
      </c>
    </row>
    <row r="1470" customFormat="false" ht="15" hidden="false" customHeight="true" outlineLevel="0" collapsed="false">
      <c r="A1470" s="8" t="s">
        <v>1794</v>
      </c>
      <c r="B1470" s="8" t="n">
        <v>4413092</v>
      </c>
      <c r="C1470" s="8" t="s">
        <v>1422</v>
      </c>
      <c r="D1470" s="19" t="n">
        <v>1539</v>
      </c>
      <c r="E1470" s="19" t="n">
        <v>36003.695</v>
      </c>
      <c r="F1470" s="19" t="n">
        <v>1320</v>
      </c>
      <c r="G1470" s="19" t="n">
        <v>31306.4905263158</v>
      </c>
      <c r="H1470" s="8" t="str">
        <f aca="false">IF(COUNTIF($J$1:$J$2,$A1470)&gt;0,"Y","N")</f>
        <v>N</v>
      </c>
    </row>
    <row r="1471" customFormat="false" ht="15" hidden="false" customHeight="true" outlineLevel="0" collapsed="false">
      <c r="A1471" s="8" t="s">
        <v>1794</v>
      </c>
      <c r="B1471" s="8" t="n">
        <v>4413093</v>
      </c>
      <c r="C1471" s="8" t="s">
        <v>1423</v>
      </c>
      <c r="D1471" s="19" t="n">
        <v>1665</v>
      </c>
      <c r="E1471" s="19" t="n">
        <v>38957.1</v>
      </c>
      <c r="F1471" s="19" t="n">
        <v>1297.26315789474</v>
      </c>
      <c r="G1471" s="19" t="n">
        <v>30725.5465263158</v>
      </c>
      <c r="H1471" s="8" t="str">
        <f aca="false">IF(COUNTIF($J$1:$J$2,$A1471)&gt;0,"Y","N")</f>
        <v>N</v>
      </c>
    </row>
    <row r="1472" customFormat="false" ht="15" hidden="false" customHeight="true" outlineLevel="0" collapsed="false">
      <c r="A1472" s="8" t="s">
        <v>1794</v>
      </c>
      <c r="B1472" s="8" t="n">
        <v>4413094</v>
      </c>
      <c r="C1472" s="8" t="s">
        <v>1424</v>
      </c>
      <c r="D1472" s="19" t="n">
        <v>956</v>
      </c>
      <c r="E1472" s="19" t="n">
        <v>22384.271</v>
      </c>
      <c r="F1472" s="19" t="n">
        <v>744</v>
      </c>
      <c r="G1472" s="19" t="n">
        <v>17562.1187368421</v>
      </c>
      <c r="H1472" s="8" t="str">
        <f aca="false">IF(COUNTIF($J$1:$J$2,$A1472)&gt;0,"Y","N")</f>
        <v>N</v>
      </c>
    </row>
    <row r="1473" customFormat="false" ht="15" hidden="false" customHeight="true" outlineLevel="0" collapsed="false">
      <c r="A1473" s="8" t="s">
        <v>1794</v>
      </c>
      <c r="B1473" s="8" t="n">
        <v>4413095</v>
      </c>
      <c r="C1473" s="8" t="s">
        <v>1425</v>
      </c>
      <c r="D1473" s="19" t="n">
        <v>1001</v>
      </c>
      <c r="E1473" s="19" t="n">
        <v>23419.214</v>
      </c>
      <c r="F1473" s="19" t="n">
        <v>805.894736842105</v>
      </c>
      <c r="G1473" s="19" t="n">
        <v>19110.5747368421</v>
      </c>
      <c r="H1473" s="8" t="str">
        <f aca="false">IF(COUNTIF($J$1:$J$2,$A1473)&gt;0,"Y","N")</f>
        <v>N</v>
      </c>
    </row>
    <row r="1474" customFormat="false" ht="15" hidden="false" customHeight="true" outlineLevel="0" collapsed="false">
      <c r="A1474" s="8" t="s">
        <v>1794</v>
      </c>
      <c r="B1474" s="8" t="n">
        <v>4413096</v>
      </c>
      <c r="C1474" s="8" t="s">
        <v>1426</v>
      </c>
      <c r="D1474" s="19" t="n">
        <v>288</v>
      </c>
      <c r="E1474" s="19" t="n">
        <v>6738.55</v>
      </c>
      <c r="F1474" s="19" t="n">
        <v>222.315789473684</v>
      </c>
      <c r="G1474" s="19" t="n">
        <v>5373.55957894737</v>
      </c>
      <c r="H1474" s="8" t="str">
        <f aca="false">IF(COUNTIF($J$1:$J$2,$A1474)&gt;0,"Y","N")</f>
        <v>N</v>
      </c>
    </row>
    <row r="1475" customFormat="false" ht="15" hidden="false" customHeight="true" outlineLevel="0" collapsed="false">
      <c r="A1475" s="8" t="s">
        <v>1794</v>
      </c>
      <c r="B1475" s="8" t="n">
        <v>4413097</v>
      </c>
      <c r="C1475" s="8" t="s">
        <v>1427</v>
      </c>
      <c r="D1475" s="19" t="n">
        <v>1789</v>
      </c>
      <c r="E1475" s="19" t="n">
        <v>41905.409</v>
      </c>
      <c r="F1475" s="19" t="n">
        <v>1601.68421052632</v>
      </c>
      <c r="G1475" s="19" t="n">
        <v>37964.7018947368</v>
      </c>
      <c r="H1475" s="8" t="str">
        <f aca="false">IF(COUNTIF($J$1:$J$2,$A1475)&gt;0,"Y","N")</f>
        <v>N</v>
      </c>
    </row>
    <row r="1476" customFormat="false" ht="15" hidden="false" customHeight="true" outlineLevel="0" collapsed="false">
      <c r="A1476" s="8" t="s">
        <v>1794</v>
      </c>
      <c r="B1476" s="8" t="n">
        <v>4413098</v>
      </c>
      <c r="C1476" s="8" t="s">
        <v>1428</v>
      </c>
      <c r="D1476" s="19" t="n">
        <v>3042</v>
      </c>
      <c r="E1476" s="19" t="n">
        <v>71225.518</v>
      </c>
      <c r="F1476" s="19" t="n">
        <v>2522.52631578947</v>
      </c>
      <c r="G1476" s="19" t="n">
        <v>59585.267368421</v>
      </c>
      <c r="H1476" s="8" t="str">
        <f aca="false">IF(COUNTIF($J$1:$J$2,$A1476)&gt;0,"Y","N")</f>
        <v>N</v>
      </c>
    </row>
    <row r="1477" customFormat="false" ht="15" hidden="false" customHeight="true" outlineLevel="0" collapsed="false">
      <c r="A1477" s="8" t="s">
        <v>1794</v>
      </c>
      <c r="B1477" s="8" t="n">
        <v>4413099</v>
      </c>
      <c r="C1477" s="8" t="s">
        <v>1429</v>
      </c>
      <c r="D1477" s="19" t="n">
        <v>3009</v>
      </c>
      <c r="E1477" s="19" t="n">
        <v>70465.031</v>
      </c>
      <c r="F1477" s="19" t="n">
        <v>3054.31578947368</v>
      </c>
      <c r="G1477" s="19" t="n">
        <v>72334.1949473684</v>
      </c>
      <c r="H1477" s="8" t="str">
        <f aca="false">IF(COUNTIF($J$1:$J$2,$A1477)&gt;0,"Y","N")</f>
        <v>N</v>
      </c>
    </row>
    <row r="1478" customFormat="false" ht="15" hidden="false" customHeight="true" outlineLevel="0" collapsed="false">
      <c r="A1478" s="8" t="s">
        <v>1794</v>
      </c>
      <c r="B1478" s="8" t="n">
        <v>4413100</v>
      </c>
      <c r="C1478" s="8" t="s">
        <v>1430</v>
      </c>
      <c r="D1478" s="19" t="n">
        <v>2229</v>
      </c>
      <c r="E1478" s="19" t="n">
        <v>52200.421</v>
      </c>
      <c r="F1478" s="19" t="n">
        <v>2081.68421052632</v>
      </c>
      <c r="G1478" s="19" t="n">
        <v>49398.2867368421</v>
      </c>
      <c r="H1478" s="8" t="str">
        <f aca="false">IF(COUNTIF($J$1:$J$2,$A1478)&gt;0,"Y","N")</f>
        <v>N</v>
      </c>
    </row>
    <row r="1479" customFormat="false" ht="15" hidden="false" customHeight="true" outlineLevel="0" collapsed="false">
      <c r="A1479" s="8" t="s">
        <v>1794</v>
      </c>
      <c r="B1479" s="8" t="n">
        <v>4413101</v>
      </c>
      <c r="C1479" s="8" t="s">
        <v>1431</v>
      </c>
      <c r="D1479" s="19" t="n">
        <v>533</v>
      </c>
      <c r="E1479" s="19" t="n">
        <v>15101.905</v>
      </c>
      <c r="F1479" s="19" t="n">
        <v>386.526315789474</v>
      </c>
      <c r="G1479" s="19" t="n">
        <v>10955.2888421053</v>
      </c>
      <c r="H1479" s="8" t="str">
        <f aca="false">IF(COUNTIF($J$1:$J$2,$A1479)&gt;0,"Y","N")</f>
        <v>N</v>
      </c>
    </row>
    <row r="1480" customFormat="false" ht="15" hidden="false" customHeight="true" outlineLevel="0" collapsed="false">
      <c r="A1480" s="8" t="s">
        <v>1794</v>
      </c>
      <c r="B1480" s="8" t="n">
        <v>4413102</v>
      </c>
      <c r="C1480" s="8" t="s">
        <v>1432</v>
      </c>
      <c r="D1480" s="19" t="n">
        <v>1537</v>
      </c>
      <c r="E1480" s="19" t="n">
        <v>43408.092</v>
      </c>
      <c r="F1480" s="19" t="n">
        <v>992.842105263158</v>
      </c>
      <c r="G1480" s="19" t="n">
        <v>28228.6597894737</v>
      </c>
      <c r="H1480" s="8" t="str">
        <f aca="false">IF(COUNTIF($J$1:$J$2,$A1480)&gt;0,"Y","N")</f>
        <v>N</v>
      </c>
    </row>
    <row r="1481" customFormat="false" ht="15" hidden="false" customHeight="true" outlineLevel="0" collapsed="false">
      <c r="A1481" s="8" t="s">
        <v>1794</v>
      </c>
      <c r="B1481" s="8" t="n">
        <v>4413103</v>
      </c>
      <c r="C1481" s="8" t="s">
        <v>1433</v>
      </c>
      <c r="D1481" s="19" t="n">
        <v>1338</v>
      </c>
      <c r="E1481" s="19" t="n">
        <v>37771.734</v>
      </c>
      <c r="F1481" s="19" t="n">
        <v>1066.10526315789</v>
      </c>
      <c r="G1481" s="19" t="n">
        <v>30282.7692631579</v>
      </c>
      <c r="H1481" s="8" t="str">
        <f aca="false">IF(COUNTIF($J$1:$J$2,$A1481)&gt;0,"Y","N")</f>
        <v>N</v>
      </c>
    </row>
    <row r="1482" customFormat="false" ht="15" hidden="false" customHeight="true" outlineLevel="0" collapsed="false">
      <c r="A1482" s="8" t="s">
        <v>1794</v>
      </c>
      <c r="B1482" s="8" t="n">
        <v>4413104</v>
      </c>
      <c r="C1482" s="8" t="s">
        <v>1434</v>
      </c>
      <c r="D1482" s="19" t="n">
        <v>1095</v>
      </c>
      <c r="E1482" s="19" t="n">
        <v>30913.974</v>
      </c>
      <c r="F1482" s="19" t="n">
        <v>809.684210526316</v>
      </c>
      <c r="G1482" s="19" t="n">
        <v>22968.0934736842</v>
      </c>
      <c r="H1482" s="8" t="str">
        <f aca="false">IF(COUNTIF($J$1:$J$2,$A1482)&gt;0,"Y","N")</f>
        <v>N</v>
      </c>
    </row>
    <row r="1483" customFormat="false" ht="15" hidden="false" customHeight="true" outlineLevel="0" collapsed="false">
      <c r="A1483" s="8" t="s">
        <v>1794</v>
      </c>
      <c r="B1483" s="8" t="n">
        <v>4413105</v>
      </c>
      <c r="C1483" s="8" t="s">
        <v>1435</v>
      </c>
      <c r="D1483" s="19" t="n">
        <v>154</v>
      </c>
      <c r="E1483" s="19" t="n">
        <v>4342.884</v>
      </c>
      <c r="F1483" s="19" t="n">
        <v>123.789473684211</v>
      </c>
      <c r="G1483" s="19" t="n">
        <v>3517.73431578947</v>
      </c>
      <c r="H1483" s="8" t="str">
        <f aca="false">IF(COUNTIF($J$1:$J$2,$A1483)&gt;0,"Y","N")</f>
        <v>N</v>
      </c>
    </row>
    <row r="1484" customFormat="false" ht="15" hidden="false" customHeight="true" outlineLevel="0" collapsed="false">
      <c r="A1484" s="8" t="s">
        <v>1794</v>
      </c>
      <c r="B1484" s="8" t="n">
        <v>4413106</v>
      </c>
      <c r="C1484" s="8" t="s">
        <v>1436</v>
      </c>
      <c r="D1484" s="19" t="n">
        <v>2</v>
      </c>
      <c r="E1484" s="19" t="n">
        <v>88.452</v>
      </c>
      <c r="F1484" s="19" t="n">
        <v>0</v>
      </c>
      <c r="G1484" s="19" t="n">
        <v>0</v>
      </c>
      <c r="H1484" s="8" t="str">
        <f aca="false">IF(COUNTIF($J$1:$J$2,$A1484)&gt;0,"Y","N")</f>
        <v>N</v>
      </c>
    </row>
    <row r="1485" customFormat="false" ht="15" hidden="false" customHeight="true" outlineLevel="0" collapsed="false">
      <c r="A1485" s="8" t="s">
        <v>1794</v>
      </c>
      <c r="B1485" s="8" t="n">
        <v>4413107</v>
      </c>
      <c r="C1485" s="8" t="s">
        <v>1437</v>
      </c>
      <c r="D1485" s="19" t="n">
        <v>13</v>
      </c>
      <c r="E1485" s="19" t="n">
        <v>575.211</v>
      </c>
      <c r="F1485" s="19" t="n">
        <v>6.31578947368421</v>
      </c>
      <c r="G1485" s="19" t="n">
        <v>279.437052631579</v>
      </c>
      <c r="H1485" s="8" t="str">
        <f aca="false">IF(COUNTIF($J$1:$J$2,$A1485)&gt;0,"Y","N")</f>
        <v>N</v>
      </c>
    </row>
    <row r="1486" customFormat="false" ht="15" hidden="false" customHeight="true" outlineLevel="0" collapsed="false">
      <c r="A1486" s="8" t="s">
        <v>1794</v>
      </c>
      <c r="B1486" s="8" t="n">
        <v>4413108</v>
      </c>
      <c r="C1486" s="8" t="s">
        <v>1438</v>
      </c>
      <c r="D1486" s="19" t="n">
        <v>5</v>
      </c>
      <c r="E1486" s="19" t="n">
        <v>221.221</v>
      </c>
      <c r="F1486" s="19" t="n">
        <v>3.78947368421053</v>
      </c>
      <c r="G1486" s="19" t="n">
        <v>175.524631578947</v>
      </c>
      <c r="H1486" s="8" t="str">
        <f aca="false">IF(COUNTIF($J$1:$J$2,$A1486)&gt;0,"Y","N")</f>
        <v>N</v>
      </c>
    </row>
    <row r="1487" customFormat="false" ht="15" hidden="false" customHeight="true" outlineLevel="0" collapsed="false">
      <c r="A1487" s="8" t="s">
        <v>1794</v>
      </c>
      <c r="B1487" s="8" t="n">
        <v>4413109</v>
      </c>
      <c r="C1487" s="8" t="s">
        <v>1439</v>
      </c>
      <c r="D1487" s="19" t="n">
        <v>8</v>
      </c>
      <c r="E1487" s="19" t="n">
        <v>353.99</v>
      </c>
      <c r="F1487" s="19" t="n">
        <v>0</v>
      </c>
      <c r="G1487" s="19" t="n">
        <v>0</v>
      </c>
      <c r="H1487" s="8" t="str">
        <f aca="false">IF(COUNTIF($J$1:$J$2,$A1487)&gt;0,"Y","N")</f>
        <v>N</v>
      </c>
    </row>
    <row r="1488" customFormat="false" ht="15" hidden="false" customHeight="true" outlineLevel="0" collapsed="false">
      <c r="A1488" s="8" t="s">
        <v>1794</v>
      </c>
      <c r="B1488" s="8" t="n">
        <v>4413110</v>
      </c>
      <c r="C1488" s="8" t="s">
        <v>1440</v>
      </c>
      <c r="D1488" s="19" t="n">
        <v>2</v>
      </c>
      <c r="E1488" s="19" t="n">
        <v>88.452</v>
      </c>
      <c r="F1488" s="19" t="n">
        <v>0</v>
      </c>
      <c r="G1488" s="19" t="n">
        <v>0</v>
      </c>
      <c r="H1488" s="8" t="str">
        <f aca="false">IF(COUNTIF($J$1:$J$2,$A1488)&gt;0,"Y","N")</f>
        <v>N</v>
      </c>
    </row>
    <row r="1489" customFormat="false" ht="15" hidden="false" customHeight="true" outlineLevel="0" collapsed="false">
      <c r="A1489" s="8" t="s">
        <v>1794</v>
      </c>
      <c r="B1489" s="8" t="n">
        <v>4413111</v>
      </c>
      <c r="C1489" s="8" t="s">
        <v>1441</v>
      </c>
      <c r="D1489" s="19" t="n">
        <v>28</v>
      </c>
      <c r="E1489" s="19" t="n">
        <v>727.181</v>
      </c>
      <c r="F1489" s="19" t="n">
        <v>15.1578947368421</v>
      </c>
      <c r="G1489" s="19" t="n">
        <v>406.913684210526</v>
      </c>
      <c r="H1489" s="8" t="str">
        <f aca="false">IF(COUNTIF($J$1:$J$2,$A1489)&gt;0,"Y","N")</f>
        <v>N</v>
      </c>
    </row>
    <row r="1490" customFormat="false" ht="15" hidden="false" customHeight="true" outlineLevel="0" collapsed="false">
      <c r="A1490" s="8" t="s">
        <v>1794</v>
      </c>
      <c r="B1490" s="8" t="n">
        <v>4413112</v>
      </c>
      <c r="C1490" s="8" t="s">
        <v>1442</v>
      </c>
      <c r="D1490" s="19" t="n">
        <v>82</v>
      </c>
      <c r="E1490" s="19" t="n">
        <v>2124.122</v>
      </c>
      <c r="F1490" s="19" t="n">
        <v>36.6315789473684</v>
      </c>
      <c r="G1490" s="19" t="n">
        <v>956.821894736842</v>
      </c>
      <c r="H1490" s="8" t="str">
        <f aca="false">IF(COUNTIF($J$1:$J$2,$A1490)&gt;0,"Y","N")</f>
        <v>N</v>
      </c>
    </row>
    <row r="1491" customFormat="false" ht="15" hidden="false" customHeight="true" outlineLevel="0" collapsed="false">
      <c r="A1491" s="8" t="s">
        <v>1794</v>
      </c>
      <c r="B1491" s="8" t="n">
        <v>4413113</v>
      </c>
      <c r="C1491" s="8" t="s">
        <v>1443</v>
      </c>
      <c r="D1491" s="19" t="n">
        <v>54</v>
      </c>
      <c r="E1491" s="19" t="n">
        <v>1413.867</v>
      </c>
      <c r="F1491" s="19" t="n">
        <v>29.0526315789474</v>
      </c>
      <c r="G1491" s="19" t="n">
        <v>771.98652631579</v>
      </c>
      <c r="H1491" s="8" t="str">
        <f aca="false">IF(COUNTIF($J$1:$J$2,$A1491)&gt;0,"Y","N")</f>
        <v>N</v>
      </c>
    </row>
    <row r="1492" customFormat="false" ht="15" hidden="false" customHeight="true" outlineLevel="0" collapsed="false">
      <c r="A1492" s="8" t="s">
        <v>1794</v>
      </c>
      <c r="B1492" s="8" t="n">
        <v>4413114</v>
      </c>
      <c r="C1492" s="8" t="s">
        <v>1444</v>
      </c>
      <c r="D1492" s="19" t="n">
        <v>53</v>
      </c>
      <c r="E1492" s="19" t="n">
        <v>1377.376</v>
      </c>
      <c r="F1492" s="19" t="n">
        <v>46.7368421052632</v>
      </c>
      <c r="G1492" s="19" t="n">
        <v>1232.92547368421</v>
      </c>
      <c r="H1492" s="8" t="str">
        <f aca="false">IF(COUNTIF($J$1:$J$2,$A1492)&gt;0,"Y","N")</f>
        <v>N</v>
      </c>
    </row>
    <row r="1493" customFormat="false" ht="15" hidden="false" customHeight="true" outlineLevel="0" collapsed="false">
      <c r="A1493" s="8" t="s">
        <v>1794</v>
      </c>
      <c r="B1493" s="8" t="n">
        <v>4413115</v>
      </c>
      <c r="C1493" s="8" t="s">
        <v>1445</v>
      </c>
      <c r="D1493" s="19" t="n">
        <v>1</v>
      </c>
      <c r="E1493" s="19" t="n">
        <v>26.026</v>
      </c>
      <c r="F1493" s="19" t="n">
        <v>2.52631578947368</v>
      </c>
      <c r="G1493" s="19" t="n">
        <v>84.2564210526316</v>
      </c>
      <c r="H1493" s="8" t="str">
        <f aca="false">IF(COUNTIF($J$1:$J$2,$A1493)&gt;0,"Y","N")</f>
        <v>N</v>
      </c>
    </row>
    <row r="1494" customFormat="false" ht="15" hidden="false" customHeight="true" outlineLevel="0" collapsed="false">
      <c r="A1494" s="8" t="s">
        <v>1794</v>
      </c>
      <c r="B1494" s="8" t="n">
        <v>4413117</v>
      </c>
      <c r="C1494" s="8" t="s">
        <v>1447</v>
      </c>
      <c r="D1494" s="19" t="n">
        <v>0</v>
      </c>
      <c r="E1494" s="19" t="n">
        <v>0</v>
      </c>
      <c r="F1494" s="19" t="n">
        <v>-1.26315789473684</v>
      </c>
      <c r="G1494" s="19" t="n">
        <v>-111.269052631579</v>
      </c>
      <c r="H1494" s="8" t="str">
        <f aca="false">IF(COUNTIF($J$1:$J$2,$A1494)&gt;0,"Y","N")</f>
        <v>N</v>
      </c>
    </row>
    <row r="1495" customFormat="false" ht="15" hidden="false" customHeight="true" outlineLevel="0" collapsed="false">
      <c r="A1495" s="8" t="s">
        <v>1794</v>
      </c>
      <c r="B1495" s="8" t="n">
        <v>4413119</v>
      </c>
      <c r="C1495" s="8" t="s">
        <v>1449</v>
      </c>
      <c r="D1495" s="19" t="n">
        <v>0</v>
      </c>
      <c r="E1495" s="19" t="n">
        <v>0</v>
      </c>
      <c r="F1495" s="19" t="n">
        <v>-1.26315789473684</v>
      </c>
      <c r="G1495" s="19" t="n">
        <v>-111.269052631579</v>
      </c>
      <c r="H1495" s="8" t="str">
        <f aca="false">IF(COUNTIF($J$1:$J$2,$A1495)&gt;0,"Y","N")</f>
        <v>N</v>
      </c>
    </row>
    <row r="1496" customFormat="false" ht="15" hidden="false" customHeight="true" outlineLevel="0" collapsed="false">
      <c r="A1496" s="8" t="s">
        <v>1794</v>
      </c>
      <c r="B1496" s="8" t="n">
        <v>4413122</v>
      </c>
      <c r="C1496" s="8" t="s">
        <v>1451</v>
      </c>
      <c r="D1496" s="19" t="n">
        <v>-1</v>
      </c>
      <c r="E1496" s="19" t="n">
        <v>-64.883</v>
      </c>
      <c r="F1496" s="19" t="n">
        <v>0</v>
      </c>
      <c r="G1496" s="19" t="n">
        <v>0</v>
      </c>
      <c r="H1496" s="8" t="str">
        <f aca="false">IF(COUNTIF($J$1:$J$2,$A1496)&gt;0,"Y","N")</f>
        <v>N</v>
      </c>
    </row>
    <row r="1497" customFormat="false" ht="15" hidden="false" customHeight="true" outlineLevel="0" collapsed="false">
      <c r="A1497" s="8" t="s">
        <v>1794</v>
      </c>
      <c r="B1497" s="8" t="n">
        <v>4413126</v>
      </c>
      <c r="C1497" s="8" t="s">
        <v>1454</v>
      </c>
      <c r="D1497" s="19" t="n">
        <v>18</v>
      </c>
      <c r="E1497" s="19" t="n">
        <v>2218.489</v>
      </c>
      <c r="F1497" s="19" t="n">
        <v>17.6842105263158</v>
      </c>
      <c r="G1497" s="19" t="n">
        <v>2951.27368421053</v>
      </c>
      <c r="H1497" s="8" t="str">
        <f aca="false">IF(COUNTIF($J$1:$J$2,$A1497)&gt;0,"Y","N")</f>
        <v>N</v>
      </c>
    </row>
    <row r="1498" customFormat="false" ht="15" hidden="false" customHeight="true" outlineLevel="0" collapsed="false">
      <c r="A1498" s="8" t="s">
        <v>1794</v>
      </c>
      <c r="B1498" s="8" t="n">
        <v>4413127</v>
      </c>
      <c r="C1498" s="8" t="s">
        <v>1455</v>
      </c>
      <c r="D1498" s="19" t="n">
        <v>69</v>
      </c>
      <c r="E1498" s="19" t="n">
        <v>8265.621</v>
      </c>
      <c r="F1498" s="19" t="n">
        <v>18.9473684210526</v>
      </c>
      <c r="G1498" s="19" t="n">
        <v>2376.30694736842</v>
      </c>
      <c r="H1498" s="8" t="str">
        <f aca="false">IF(COUNTIF($J$1:$J$2,$A1498)&gt;0,"Y","N")</f>
        <v>N</v>
      </c>
    </row>
    <row r="1499" customFormat="false" ht="15" hidden="false" customHeight="true" outlineLevel="0" collapsed="false">
      <c r="A1499" s="8" t="s">
        <v>1794</v>
      </c>
      <c r="B1499" s="8" t="n">
        <v>4413128</v>
      </c>
      <c r="C1499" s="8" t="s">
        <v>1456</v>
      </c>
      <c r="D1499" s="19" t="n">
        <v>37</v>
      </c>
      <c r="E1499" s="19" t="n">
        <v>4490.577</v>
      </c>
      <c r="F1499" s="19" t="n">
        <v>31.5789473684211</v>
      </c>
      <c r="G1499" s="19" t="n">
        <v>3994.536</v>
      </c>
      <c r="H1499" s="8" t="str">
        <f aca="false">IF(COUNTIF($J$1:$J$2,$A1499)&gt;0,"Y","N")</f>
        <v>N</v>
      </c>
    </row>
    <row r="1500" customFormat="false" ht="15" hidden="false" customHeight="true" outlineLevel="0" collapsed="false">
      <c r="A1500" s="8" t="s">
        <v>1794</v>
      </c>
      <c r="B1500" s="8" t="n">
        <v>4413129</v>
      </c>
      <c r="C1500" s="8" t="s">
        <v>1457</v>
      </c>
      <c r="D1500" s="19" t="n">
        <v>33</v>
      </c>
      <c r="E1500" s="19" t="n">
        <v>3983.707</v>
      </c>
      <c r="F1500" s="19" t="n">
        <v>-1.26315789473684</v>
      </c>
      <c r="G1500" s="19" t="n">
        <v>-77.7044210526316</v>
      </c>
      <c r="H1500" s="8" t="str">
        <f aca="false">IF(COUNTIF($J$1:$J$2,$A1500)&gt;0,"Y","N")</f>
        <v>N</v>
      </c>
    </row>
    <row r="1501" customFormat="false" ht="15" hidden="false" customHeight="true" outlineLevel="0" collapsed="false">
      <c r="A1501" s="8" t="s">
        <v>1794</v>
      </c>
      <c r="B1501" s="8" t="n">
        <v>4413130</v>
      </c>
      <c r="C1501" s="8" t="s">
        <v>1458</v>
      </c>
      <c r="D1501" s="19" t="n">
        <v>-2</v>
      </c>
      <c r="E1501" s="19" t="n">
        <v>-238.511</v>
      </c>
      <c r="F1501" s="19" t="n">
        <v>-1.26315789473684</v>
      </c>
      <c r="G1501" s="19" t="n">
        <v>-150.696</v>
      </c>
      <c r="H1501" s="8" t="str">
        <f aca="false">IF(COUNTIF($J$1:$J$2,$A1501)&gt;0,"Y","N")</f>
        <v>N</v>
      </c>
    </row>
    <row r="1502" customFormat="false" ht="15" hidden="false" customHeight="true" outlineLevel="0" collapsed="false">
      <c r="A1502" s="8" t="s">
        <v>1794</v>
      </c>
      <c r="B1502" s="8" t="n">
        <v>4413131</v>
      </c>
      <c r="C1502" s="8" t="s">
        <v>1459</v>
      </c>
      <c r="D1502" s="19" t="n">
        <v>4</v>
      </c>
      <c r="E1502" s="19" t="n">
        <v>596.323</v>
      </c>
      <c r="F1502" s="19" t="n">
        <v>1.26315789473684</v>
      </c>
      <c r="G1502" s="19" t="n">
        <v>188.283789473684</v>
      </c>
      <c r="H1502" s="8" t="str">
        <f aca="false">IF(COUNTIF($J$1:$J$2,$A1502)&gt;0,"Y","N")</f>
        <v>N</v>
      </c>
    </row>
    <row r="1503" customFormat="false" ht="15" hidden="false" customHeight="true" outlineLevel="0" collapsed="false">
      <c r="A1503" s="8" t="s">
        <v>1794</v>
      </c>
      <c r="B1503" s="8" t="n">
        <v>4413132</v>
      </c>
      <c r="C1503" s="8" t="s">
        <v>1460</v>
      </c>
      <c r="D1503" s="19" t="n">
        <v>6</v>
      </c>
      <c r="E1503" s="19" t="n">
        <v>894.53</v>
      </c>
      <c r="F1503" s="19" t="n">
        <v>6.31578947368421</v>
      </c>
      <c r="G1503" s="19" t="n">
        <v>952.913684210526</v>
      </c>
      <c r="H1503" s="8" t="str">
        <f aca="false">IF(COUNTIF($J$1:$J$2,$A1503)&gt;0,"Y","N")</f>
        <v>N</v>
      </c>
    </row>
    <row r="1504" customFormat="false" ht="15" hidden="false" customHeight="true" outlineLevel="0" collapsed="false">
      <c r="A1504" s="8" t="s">
        <v>1794</v>
      </c>
      <c r="B1504" s="8" t="n">
        <v>4413133</v>
      </c>
      <c r="C1504" s="8" t="s">
        <v>1461</v>
      </c>
      <c r="D1504" s="19" t="n">
        <v>10</v>
      </c>
      <c r="E1504" s="19" t="n">
        <v>1490.944</v>
      </c>
      <c r="F1504" s="19" t="n">
        <v>15.1578947368421</v>
      </c>
      <c r="G1504" s="19" t="n">
        <v>2368.72042105263</v>
      </c>
      <c r="H1504" s="8" t="str">
        <f aca="false">IF(COUNTIF($J$1:$J$2,$A1504)&gt;0,"Y","N")</f>
        <v>N</v>
      </c>
    </row>
    <row r="1505" customFormat="false" ht="15" hidden="false" customHeight="true" outlineLevel="0" collapsed="false">
      <c r="A1505" s="8" t="s">
        <v>1794</v>
      </c>
      <c r="B1505" s="8" t="n">
        <v>4413134</v>
      </c>
      <c r="C1505" s="8" t="s">
        <v>1462</v>
      </c>
      <c r="D1505" s="19" t="n">
        <v>2</v>
      </c>
      <c r="E1505" s="19" t="n">
        <v>298.207</v>
      </c>
      <c r="F1505" s="19" t="n">
        <v>11.3684210526316</v>
      </c>
      <c r="G1505" s="19" t="n">
        <v>1865.48084210526</v>
      </c>
      <c r="H1505" s="8" t="str">
        <f aca="false">IF(COUNTIF($J$1:$J$2,$A1505)&gt;0,"Y","N")</f>
        <v>N</v>
      </c>
    </row>
    <row r="1506" customFormat="false" ht="15" hidden="false" customHeight="true" outlineLevel="0" collapsed="false">
      <c r="A1506" s="8" t="s">
        <v>1794</v>
      </c>
      <c r="B1506" s="8" t="n">
        <v>4413135</v>
      </c>
      <c r="C1506" s="8" t="s">
        <v>1463</v>
      </c>
      <c r="D1506" s="19" t="n">
        <v>721</v>
      </c>
      <c r="E1506" s="19" t="n">
        <v>31877.391</v>
      </c>
      <c r="F1506" s="19" t="n">
        <v>587.368421052632</v>
      </c>
      <c r="G1506" s="19" t="n">
        <v>25968.6795789474</v>
      </c>
      <c r="H1506" s="8" t="str">
        <f aca="false">IF(COUNTIF($J$1:$J$2,$A1506)&gt;0,"Y","N")</f>
        <v>N</v>
      </c>
    </row>
    <row r="1507" customFormat="false" ht="15" hidden="false" customHeight="true" outlineLevel="0" collapsed="false">
      <c r="A1507" s="8" t="s">
        <v>1794</v>
      </c>
      <c r="B1507" s="8" t="n">
        <v>4413136</v>
      </c>
      <c r="C1507" s="8" t="s">
        <v>1464</v>
      </c>
      <c r="D1507" s="19" t="n">
        <v>650</v>
      </c>
      <c r="E1507" s="19" t="n">
        <v>28730.884</v>
      </c>
      <c r="F1507" s="19" t="n">
        <v>563.368421052632</v>
      </c>
      <c r="G1507" s="19" t="n">
        <v>24899.4391578947</v>
      </c>
      <c r="H1507" s="8" t="str">
        <f aca="false">IF(COUNTIF($J$1:$J$2,$A1507)&gt;0,"Y","N")</f>
        <v>N</v>
      </c>
    </row>
    <row r="1508" customFormat="false" ht="15" hidden="false" customHeight="true" outlineLevel="0" collapsed="false">
      <c r="A1508" s="8" t="s">
        <v>1794</v>
      </c>
      <c r="B1508" s="8" t="n">
        <v>4413137</v>
      </c>
      <c r="C1508" s="8" t="s">
        <v>1465</v>
      </c>
      <c r="D1508" s="19" t="n">
        <v>329</v>
      </c>
      <c r="E1508" s="19" t="n">
        <v>14571.466</v>
      </c>
      <c r="F1508" s="19" t="n">
        <v>261.473684210526</v>
      </c>
      <c r="G1508" s="19" t="n">
        <v>11581.8669473684</v>
      </c>
      <c r="H1508" s="8" t="str">
        <f aca="false">IF(COUNTIF($J$1:$J$2,$A1508)&gt;0,"Y","N")</f>
        <v>N</v>
      </c>
    </row>
    <row r="1509" customFormat="false" ht="15" hidden="false" customHeight="true" outlineLevel="0" collapsed="false">
      <c r="A1509" s="8" t="s">
        <v>1794</v>
      </c>
      <c r="B1509" s="8" t="n">
        <v>4413138</v>
      </c>
      <c r="C1509" s="8" t="s">
        <v>1466</v>
      </c>
      <c r="D1509" s="19" t="n">
        <v>370</v>
      </c>
      <c r="E1509" s="19" t="n">
        <v>16353.064</v>
      </c>
      <c r="F1509" s="19" t="n">
        <v>332.21052631579</v>
      </c>
      <c r="G1509" s="19" t="n">
        <v>14705.1018947368</v>
      </c>
      <c r="H1509" s="8" t="str">
        <f aca="false">IF(COUNTIF($J$1:$J$2,$A1509)&gt;0,"Y","N")</f>
        <v>N</v>
      </c>
    </row>
    <row r="1510" customFormat="false" ht="15" hidden="false" customHeight="true" outlineLevel="0" collapsed="false">
      <c r="A1510" s="8" t="s">
        <v>1794</v>
      </c>
      <c r="B1510" s="8" t="n">
        <v>4413139</v>
      </c>
      <c r="C1510" s="8" t="s">
        <v>1467</v>
      </c>
      <c r="D1510" s="19" t="n">
        <v>410</v>
      </c>
      <c r="E1510" s="19" t="n">
        <v>9607.507</v>
      </c>
      <c r="F1510" s="19" t="n">
        <v>270.315789473684</v>
      </c>
      <c r="G1510" s="19" t="n">
        <v>6383.71705263158</v>
      </c>
      <c r="H1510" s="8" t="str">
        <f aca="false">IF(COUNTIF($J$1:$J$2,$A1510)&gt;0,"Y","N")</f>
        <v>N</v>
      </c>
    </row>
    <row r="1511" customFormat="false" ht="15" hidden="false" customHeight="true" outlineLevel="0" collapsed="false">
      <c r="A1511" s="8" t="s">
        <v>1794</v>
      </c>
      <c r="B1511" s="8" t="n">
        <v>4413140</v>
      </c>
      <c r="C1511" s="8" t="s">
        <v>1468</v>
      </c>
      <c r="D1511" s="19" t="n">
        <v>555</v>
      </c>
      <c r="E1511" s="19" t="n">
        <v>12986.246</v>
      </c>
      <c r="F1511" s="19" t="n">
        <v>419.368421052632</v>
      </c>
      <c r="G1511" s="19" t="n">
        <v>9901.10652631579</v>
      </c>
      <c r="H1511" s="8" t="str">
        <f aca="false">IF(COUNTIF($J$1:$J$2,$A1511)&gt;0,"Y","N")</f>
        <v>N</v>
      </c>
    </row>
    <row r="1512" customFormat="false" ht="15" hidden="false" customHeight="true" outlineLevel="0" collapsed="false">
      <c r="A1512" s="8" t="s">
        <v>1794</v>
      </c>
      <c r="B1512" s="8" t="n">
        <v>4413141</v>
      </c>
      <c r="C1512" s="8" t="s">
        <v>1469</v>
      </c>
      <c r="D1512" s="19" t="n">
        <v>391</v>
      </c>
      <c r="E1512" s="19" t="n">
        <v>9152.78</v>
      </c>
      <c r="F1512" s="19" t="n">
        <v>289.263157894737</v>
      </c>
      <c r="G1512" s="19" t="n">
        <v>6833.62105263158</v>
      </c>
      <c r="H1512" s="8" t="str">
        <f aca="false">IF(COUNTIF($J$1:$J$2,$A1512)&gt;0,"Y","N")</f>
        <v>N</v>
      </c>
    </row>
    <row r="1513" customFormat="false" ht="15" hidden="false" customHeight="true" outlineLevel="0" collapsed="false">
      <c r="A1513" s="8" t="s">
        <v>1794</v>
      </c>
      <c r="B1513" s="8" t="n">
        <v>4413142</v>
      </c>
      <c r="C1513" s="8" t="s">
        <v>1470</v>
      </c>
      <c r="D1513" s="19" t="n">
        <v>205</v>
      </c>
      <c r="E1513" s="19" t="n">
        <v>4805.983</v>
      </c>
      <c r="F1513" s="19" t="n">
        <v>125.052631578947</v>
      </c>
      <c r="G1513" s="19" t="n">
        <v>2983.45894736842</v>
      </c>
      <c r="H1513" s="8" t="str">
        <f aca="false">IF(COUNTIF($J$1:$J$2,$A1513)&gt;0,"Y","N")</f>
        <v>N</v>
      </c>
    </row>
    <row r="1514" customFormat="false" ht="15" hidden="false" customHeight="true" outlineLevel="0" collapsed="false">
      <c r="A1514" s="8" t="s">
        <v>1794</v>
      </c>
      <c r="B1514" s="8" t="n">
        <v>4413143</v>
      </c>
      <c r="C1514" s="8" t="s">
        <v>1471</v>
      </c>
      <c r="D1514" s="19" t="n">
        <v>37</v>
      </c>
      <c r="E1514" s="19" t="n">
        <v>867.685</v>
      </c>
      <c r="F1514" s="19" t="n">
        <v>40.4210526315789</v>
      </c>
      <c r="G1514" s="19" t="n">
        <v>957.166736842105</v>
      </c>
      <c r="H1514" s="8" t="str">
        <f aca="false">IF(COUNTIF($J$1:$J$2,$A1514)&gt;0,"Y","N")</f>
        <v>N</v>
      </c>
    </row>
    <row r="1515" customFormat="false" ht="15" hidden="false" customHeight="true" outlineLevel="0" collapsed="false">
      <c r="A1515" s="8" t="s">
        <v>1794</v>
      </c>
      <c r="B1515" s="8" t="n">
        <v>4413144</v>
      </c>
      <c r="C1515" s="8" t="s">
        <v>1472</v>
      </c>
      <c r="D1515" s="19" t="n">
        <v>5</v>
      </c>
      <c r="E1515" s="19" t="n">
        <v>117.299</v>
      </c>
      <c r="F1515" s="19" t="n">
        <v>6.31578947368421</v>
      </c>
      <c r="G1515" s="19" t="n">
        <v>157.133052631579</v>
      </c>
      <c r="H1515" s="8" t="str">
        <f aca="false">IF(COUNTIF($J$1:$J$2,$A1515)&gt;0,"Y","N")</f>
        <v>N</v>
      </c>
    </row>
    <row r="1516" customFormat="false" ht="15" hidden="false" customHeight="true" outlineLevel="0" collapsed="false">
      <c r="A1516" s="8" t="s">
        <v>1794</v>
      </c>
      <c r="B1516" s="8" t="n">
        <v>4413146</v>
      </c>
      <c r="C1516" s="8" t="s">
        <v>1805</v>
      </c>
      <c r="D1516" s="19" t="n">
        <v>-1</v>
      </c>
      <c r="E1516" s="19" t="n">
        <v>0</v>
      </c>
      <c r="F1516" s="19" t="n">
        <v>0</v>
      </c>
      <c r="G1516" s="19" t="n">
        <v>0</v>
      </c>
      <c r="H1516" s="8" t="str">
        <f aca="false">IF(COUNTIF($J$1:$J$2,$A1516)&gt;0,"Y","N")</f>
        <v>N</v>
      </c>
    </row>
    <row r="1517" customFormat="false" ht="15" hidden="false" customHeight="true" outlineLevel="0" collapsed="false">
      <c r="A1517" s="8" t="s">
        <v>1794</v>
      </c>
      <c r="B1517" s="8" t="n">
        <v>4413147</v>
      </c>
      <c r="C1517" s="8" t="s">
        <v>1806</v>
      </c>
      <c r="D1517" s="19" t="n">
        <v>0</v>
      </c>
      <c r="E1517" s="19" t="n">
        <v>0</v>
      </c>
      <c r="F1517" s="19" t="n">
        <v>-1.26315789473684</v>
      </c>
      <c r="G1517" s="19" t="n">
        <v>0</v>
      </c>
      <c r="H1517" s="8" t="str">
        <f aca="false">IF(COUNTIF($J$1:$J$2,$A1517)&gt;0,"Y","N")</f>
        <v>N</v>
      </c>
    </row>
    <row r="1518" customFormat="false" ht="15" hidden="false" customHeight="true" outlineLevel="0" collapsed="false">
      <c r="A1518" s="8" t="s">
        <v>1794</v>
      </c>
      <c r="B1518" s="8" t="n">
        <v>4413149</v>
      </c>
      <c r="C1518" s="8" t="s">
        <v>1473</v>
      </c>
      <c r="D1518" s="19" t="n">
        <v>871</v>
      </c>
      <c r="E1518" s="19" t="n">
        <v>8039.122</v>
      </c>
      <c r="F1518" s="19" t="n">
        <v>404.21052631579</v>
      </c>
      <c r="G1518" s="19" t="n">
        <v>3724.86947368421</v>
      </c>
      <c r="H1518" s="8" t="str">
        <f aca="false">IF(COUNTIF($J$1:$J$2,$A1518)&gt;0,"Y","N")</f>
        <v>N</v>
      </c>
    </row>
    <row r="1519" customFormat="false" ht="15" hidden="false" customHeight="true" outlineLevel="0" collapsed="false">
      <c r="A1519" s="8" t="s">
        <v>1794</v>
      </c>
      <c r="B1519" s="8" t="n">
        <v>4413150</v>
      </c>
      <c r="C1519" s="8" t="s">
        <v>1474</v>
      </c>
      <c r="D1519" s="19" t="n">
        <v>68</v>
      </c>
      <c r="E1519" s="19" t="n">
        <v>1534.988</v>
      </c>
      <c r="F1519" s="19" t="n">
        <v>63.1578947368421</v>
      </c>
      <c r="G1519" s="19" t="n">
        <v>1422.58863157895</v>
      </c>
      <c r="H1519" s="8" t="str">
        <f aca="false">IF(COUNTIF($J$1:$J$2,$A1519)&gt;0,"Y","N")</f>
        <v>N</v>
      </c>
    </row>
    <row r="1520" customFormat="false" ht="15" hidden="false" customHeight="true" outlineLevel="0" collapsed="false">
      <c r="A1520" s="8" t="s">
        <v>1794</v>
      </c>
      <c r="B1520" s="8" t="n">
        <v>4413153</v>
      </c>
      <c r="C1520" s="8" t="s">
        <v>1475</v>
      </c>
      <c r="D1520" s="19" t="n">
        <v>-96</v>
      </c>
      <c r="E1520" s="19" t="n">
        <v>-5387.746</v>
      </c>
      <c r="F1520" s="19" t="n">
        <v>-16.4210526315789</v>
      </c>
      <c r="G1520" s="19" t="n">
        <v>-918.314526315789</v>
      </c>
      <c r="H1520" s="8" t="str">
        <f aca="false">IF(COUNTIF($J$1:$J$2,$A1520)&gt;0,"Y","N")</f>
        <v>N</v>
      </c>
    </row>
    <row r="1521" customFormat="false" ht="15" hidden="false" customHeight="true" outlineLevel="0" collapsed="false">
      <c r="A1521" s="8" t="s">
        <v>1794</v>
      </c>
      <c r="B1521" s="8" t="n">
        <v>4413154</v>
      </c>
      <c r="C1521" s="8" t="s">
        <v>1476</v>
      </c>
      <c r="D1521" s="19" t="n">
        <v>9</v>
      </c>
      <c r="E1521" s="19" t="n">
        <v>695.24</v>
      </c>
      <c r="F1521" s="19" t="n">
        <v>18.9473684210526</v>
      </c>
      <c r="G1521" s="19" t="n">
        <v>1131.08210526316</v>
      </c>
      <c r="H1521" s="8" t="str">
        <f aca="false">IF(COUNTIF($J$1:$J$2,$A1521)&gt;0,"Y","N")</f>
        <v>N</v>
      </c>
    </row>
    <row r="1522" customFormat="false" ht="15" hidden="false" customHeight="true" outlineLevel="0" collapsed="false">
      <c r="A1522" s="8" t="s">
        <v>1794</v>
      </c>
      <c r="B1522" s="8" t="n">
        <v>4413155</v>
      </c>
      <c r="C1522" s="8" t="s">
        <v>1477</v>
      </c>
      <c r="D1522" s="19" t="n">
        <v>39</v>
      </c>
      <c r="E1522" s="19" t="n">
        <v>2502.682</v>
      </c>
      <c r="F1522" s="19" t="n">
        <v>24</v>
      </c>
      <c r="G1522" s="19" t="n">
        <v>1457.41768421053</v>
      </c>
      <c r="H1522" s="8" t="str">
        <f aca="false">IF(COUNTIF($J$1:$J$2,$A1522)&gt;0,"Y","N")</f>
        <v>N</v>
      </c>
    </row>
    <row r="1523" customFormat="false" ht="15" hidden="false" customHeight="true" outlineLevel="0" collapsed="false">
      <c r="A1523" s="8" t="s">
        <v>1794</v>
      </c>
      <c r="B1523" s="8" t="n">
        <v>4413156</v>
      </c>
      <c r="C1523" s="8" t="s">
        <v>1478</v>
      </c>
      <c r="D1523" s="19" t="n">
        <v>173</v>
      </c>
      <c r="E1523" s="19" t="n">
        <v>10224.487</v>
      </c>
      <c r="F1523" s="19" t="n">
        <v>122.526315789474</v>
      </c>
      <c r="G1523" s="19" t="n">
        <v>7229.95957894737</v>
      </c>
      <c r="H1523" s="8" t="str">
        <f aca="false">IF(COUNTIF($J$1:$J$2,$A1523)&gt;0,"Y","N")</f>
        <v>N</v>
      </c>
    </row>
    <row r="1524" customFormat="false" ht="15" hidden="false" customHeight="true" outlineLevel="0" collapsed="false">
      <c r="A1524" s="8" t="s">
        <v>1794</v>
      </c>
      <c r="B1524" s="8" t="n">
        <v>4413157</v>
      </c>
      <c r="C1524" s="8" t="s">
        <v>1479</v>
      </c>
      <c r="D1524" s="19" t="n">
        <v>226</v>
      </c>
      <c r="E1524" s="19" t="n">
        <v>13356.434</v>
      </c>
      <c r="F1524" s="19" t="n">
        <v>132.631578947368</v>
      </c>
      <c r="G1524" s="19" t="n">
        <v>7824.23747368421</v>
      </c>
      <c r="H1524" s="8" t="str">
        <f aca="false">IF(COUNTIF($J$1:$J$2,$A1524)&gt;0,"Y","N")</f>
        <v>N</v>
      </c>
    </row>
    <row r="1525" customFormat="false" ht="15" hidden="false" customHeight="true" outlineLevel="0" collapsed="false">
      <c r="A1525" s="8" t="s">
        <v>1794</v>
      </c>
      <c r="B1525" s="8" t="n">
        <v>4413158</v>
      </c>
      <c r="C1525" s="8" t="s">
        <v>1480</v>
      </c>
      <c r="D1525" s="19" t="n">
        <v>144</v>
      </c>
      <c r="E1525" s="19" t="n">
        <v>8562.554</v>
      </c>
      <c r="F1525" s="19" t="n">
        <v>156.631578947368</v>
      </c>
      <c r="G1525" s="19" t="n">
        <v>9246.4812631579</v>
      </c>
      <c r="H1525" s="8" t="str">
        <f aca="false">IF(COUNTIF($J$1:$J$2,$A1525)&gt;0,"Y","N")</f>
        <v>N</v>
      </c>
    </row>
    <row r="1526" customFormat="false" ht="15" hidden="false" customHeight="true" outlineLevel="0" collapsed="false">
      <c r="A1526" s="8" t="s">
        <v>1794</v>
      </c>
      <c r="B1526" s="8" t="n">
        <v>4413159</v>
      </c>
      <c r="C1526" s="8" t="s">
        <v>1481</v>
      </c>
      <c r="D1526" s="19" t="n">
        <v>53</v>
      </c>
      <c r="E1526" s="19" t="n">
        <v>2540.174</v>
      </c>
      <c r="F1526" s="19" t="n">
        <v>48</v>
      </c>
      <c r="G1526" s="19" t="n">
        <v>2358.37515789474</v>
      </c>
      <c r="H1526" s="8" t="str">
        <f aca="false">IF(COUNTIF($J$1:$J$2,$A1526)&gt;0,"Y","N")</f>
        <v>N</v>
      </c>
    </row>
    <row r="1527" customFormat="false" ht="15" hidden="false" customHeight="true" outlineLevel="0" collapsed="false">
      <c r="A1527" s="8" t="s">
        <v>1794</v>
      </c>
      <c r="B1527" s="8" t="n">
        <v>4413160</v>
      </c>
      <c r="C1527" s="8" t="s">
        <v>1482</v>
      </c>
      <c r="D1527" s="19" t="n">
        <v>123</v>
      </c>
      <c r="E1527" s="19" t="n">
        <v>5910.905</v>
      </c>
      <c r="F1527" s="19" t="n">
        <v>104.842105263158</v>
      </c>
      <c r="G1527" s="19" t="n">
        <v>5117.68673684211</v>
      </c>
      <c r="H1527" s="8" t="str">
        <f aca="false">IF(COUNTIF($J$1:$J$2,$A1527)&gt;0,"Y","N")</f>
        <v>N</v>
      </c>
    </row>
    <row r="1528" customFormat="false" ht="15" hidden="false" customHeight="true" outlineLevel="0" collapsed="false">
      <c r="A1528" s="8" t="s">
        <v>1794</v>
      </c>
      <c r="B1528" s="8" t="n">
        <v>4413161</v>
      </c>
      <c r="C1528" s="8" t="s">
        <v>1483</v>
      </c>
      <c r="D1528" s="19" t="n">
        <v>112</v>
      </c>
      <c r="E1528" s="19" t="n">
        <v>5399.94</v>
      </c>
      <c r="F1528" s="19" t="n">
        <v>88.421052631579</v>
      </c>
      <c r="G1528" s="19" t="n">
        <v>4296.84757894737</v>
      </c>
      <c r="H1528" s="8" t="str">
        <f aca="false">IF(COUNTIF($J$1:$J$2,$A1528)&gt;0,"Y","N")</f>
        <v>N</v>
      </c>
    </row>
    <row r="1529" customFormat="false" ht="15" hidden="false" customHeight="true" outlineLevel="0" collapsed="false">
      <c r="A1529" s="8" t="s">
        <v>1794</v>
      </c>
      <c r="B1529" s="8" t="n">
        <v>4413162</v>
      </c>
      <c r="C1529" s="8" t="s">
        <v>1484</v>
      </c>
      <c r="D1529" s="19" t="n">
        <v>83</v>
      </c>
      <c r="E1529" s="19" t="n">
        <v>4005.183</v>
      </c>
      <c r="F1529" s="19" t="n">
        <v>74.5263157894737</v>
      </c>
      <c r="G1529" s="19" t="n">
        <v>3710.15621052632</v>
      </c>
      <c r="H1529" s="8" t="str">
        <f aca="false">IF(COUNTIF($J$1:$J$2,$A1529)&gt;0,"Y","N")</f>
        <v>N</v>
      </c>
    </row>
    <row r="1530" customFormat="false" ht="15" hidden="false" customHeight="true" outlineLevel="0" collapsed="false">
      <c r="A1530" s="8" t="s">
        <v>1794</v>
      </c>
      <c r="B1530" s="8" t="n">
        <v>4413167</v>
      </c>
      <c r="C1530" s="8" t="s">
        <v>1807</v>
      </c>
      <c r="D1530" s="19" t="n">
        <v>-1</v>
      </c>
      <c r="E1530" s="19" t="n">
        <v>-29.393</v>
      </c>
      <c r="F1530" s="19" t="n">
        <v>0</v>
      </c>
      <c r="G1530" s="19" t="n">
        <v>0</v>
      </c>
      <c r="H1530" s="8" t="str">
        <f aca="false">IF(COUNTIF($J$1:$J$2,$A1530)&gt;0,"Y","N")</f>
        <v>N</v>
      </c>
    </row>
    <row r="1531" customFormat="false" ht="15" hidden="false" customHeight="true" outlineLevel="0" collapsed="false">
      <c r="A1531" s="8" t="s">
        <v>1794</v>
      </c>
      <c r="B1531" s="8" t="n">
        <v>4413169</v>
      </c>
      <c r="C1531" s="8" t="s">
        <v>1487</v>
      </c>
      <c r="D1531" s="19" t="n">
        <v>-1</v>
      </c>
      <c r="E1531" s="19" t="n">
        <v>-74.529</v>
      </c>
      <c r="F1531" s="19" t="n">
        <v>0</v>
      </c>
      <c r="G1531" s="19" t="n">
        <v>0</v>
      </c>
      <c r="H1531" s="8" t="str">
        <f aca="false">IF(COUNTIF($J$1:$J$2,$A1531)&gt;0,"Y","N")</f>
        <v>N</v>
      </c>
    </row>
    <row r="1532" customFormat="false" ht="15" hidden="false" customHeight="true" outlineLevel="0" collapsed="false">
      <c r="A1532" s="8" t="s">
        <v>1794</v>
      </c>
      <c r="B1532" s="8" t="n">
        <v>4413171</v>
      </c>
      <c r="C1532" s="8" t="s">
        <v>1489</v>
      </c>
      <c r="D1532" s="19" t="n">
        <v>0</v>
      </c>
      <c r="E1532" s="19" t="n">
        <v>0</v>
      </c>
      <c r="F1532" s="19" t="n">
        <v>-1.26315789473684</v>
      </c>
      <c r="G1532" s="19" t="n">
        <v>-94.1418947368421</v>
      </c>
      <c r="H1532" s="8" t="str">
        <f aca="false">IF(COUNTIF($J$1:$J$2,$A1532)&gt;0,"Y","N")</f>
        <v>N</v>
      </c>
    </row>
    <row r="1533" customFormat="false" ht="15" hidden="false" customHeight="true" outlineLevel="0" collapsed="false">
      <c r="A1533" s="8" t="s">
        <v>1794</v>
      </c>
      <c r="B1533" s="8" t="n">
        <v>4413175</v>
      </c>
      <c r="C1533" s="8" t="s">
        <v>1493</v>
      </c>
      <c r="D1533" s="19" t="n">
        <v>1</v>
      </c>
      <c r="E1533" s="19" t="n">
        <v>77.259</v>
      </c>
      <c r="F1533" s="19" t="n">
        <v>0</v>
      </c>
      <c r="G1533" s="19" t="n">
        <v>0</v>
      </c>
      <c r="H1533" s="8" t="str">
        <f aca="false">IF(COUNTIF($J$1:$J$2,$A1533)&gt;0,"Y","N")</f>
        <v>N</v>
      </c>
    </row>
    <row r="1534" customFormat="false" ht="15" hidden="false" customHeight="true" outlineLevel="0" collapsed="false">
      <c r="A1534" s="8" t="s">
        <v>1794</v>
      </c>
      <c r="B1534" s="8" t="n">
        <v>4413176</v>
      </c>
      <c r="C1534" s="8" t="s">
        <v>1494</v>
      </c>
      <c r="D1534" s="19" t="n">
        <v>1</v>
      </c>
      <c r="E1534" s="19" t="n">
        <v>74.529</v>
      </c>
      <c r="F1534" s="19" t="n">
        <v>0</v>
      </c>
      <c r="G1534" s="19" t="n">
        <v>0</v>
      </c>
      <c r="H1534" s="8" t="str">
        <f aca="false">IF(COUNTIF($J$1:$J$2,$A1534)&gt;0,"Y","N")</f>
        <v>N</v>
      </c>
    </row>
    <row r="1535" customFormat="false" ht="15" hidden="false" customHeight="true" outlineLevel="0" collapsed="false">
      <c r="A1535" s="8" t="s">
        <v>1794</v>
      </c>
      <c r="B1535" s="8" t="n">
        <v>4413177</v>
      </c>
      <c r="C1535" s="8" t="s">
        <v>1495</v>
      </c>
      <c r="D1535" s="19" t="n">
        <v>1</v>
      </c>
      <c r="E1535" s="19" t="n">
        <v>74.529</v>
      </c>
      <c r="F1535" s="19" t="n">
        <v>0</v>
      </c>
      <c r="G1535" s="19" t="n">
        <v>0</v>
      </c>
      <c r="H1535" s="8" t="str">
        <f aca="false">IF(COUNTIF($J$1:$J$2,$A1535)&gt;0,"Y","N")</f>
        <v>N</v>
      </c>
    </row>
    <row r="1536" customFormat="false" ht="15" hidden="false" customHeight="true" outlineLevel="0" collapsed="false">
      <c r="A1536" s="8" t="s">
        <v>1794</v>
      </c>
      <c r="B1536" s="8" t="n">
        <v>4413179</v>
      </c>
      <c r="C1536" s="8" t="s">
        <v>1497</v>
      </c>
      <c r="D1536" s="19" t="n">
        <v>-4</v>
      </c>
      <c r="E1536" s="19" t="n">
        <v>-327.964</v>
      </c>
      <c r="F1536" s="19" t="n">
        <v>0</v>
      </c>
      <c r="G1536" s="19" t="n">
        <v>0</v>
      </c>
      <c r="H1536" s="8" t="str">
        <f aca="false">IF(COUNTIF($J$1:$J$2,$A1536)&gt;0,"Y","N")</f>
        <v>N</v>
      </c>
    </row>
    <row r="1537" customFormat="false" ht="15" hidden="false" customHeight="true" outlineLevel="0" collapsed="false">
      <c r="A1537" s="8" t="s">
        <v>1794</v>
      </c>
      <c r="B1537" s="8" t="n">
        <v>4413181</v>
      </c>
      <c r="C1537" s="8" t="s">
        <v>1498</v>
      </c>
      <c r="D1537" s="19" t="n">
        <v>-1</v>
      </c>
      <c r="E1537" s="19" t="n">
        <v>-81.991</v>
      </c>
      <c r="F1537" s="19" t="n">
        <v>0</v>
      </c>
      <c r="G1537" s="19" t="n">
        <v>0</v>
      </c>
      <c r="H1537" s="8" t="str">
        <f aca="false">IF(COUNTIF($J$1:$J$2,$A1537)&gt;0,"Y","N")</f>
        <v>N</v>
      </c>
    </row>
    <row r="1538" customFormat="false" ht="15" hidden="false" customHeight="true" outlineLevel="0" collapsed="false">
      <c r="A1538" s="8" t="s">
        <v>1794</v>
      </c>
      <c r="B1538" s="8" t="n">
        <v>4413182</v>
      </c>
      <c r="C1538" s="8" t="s">
        <v>1780</v>
      </c>
      <c r="D1538" s="19" t="n">
        <v>-2</v>
      </c>
      <c r="E1538" s="19" t="n">
        <v>-158.249</v>
      </c>
      <c r="F1538" s="19" t="n">
        <v>8.84210526315789</v>
      </c>
      <c r="G1538" s="19" t="n">
        <v>724.973052631579</v>
      </c>
      <c r="H1538" s="8" t="str">
        <f aca="false">IF(COUNTIF($J$1:$J$2,$A1538)&gt;0,"Y","N")</f>
        <v>N</v>
      </c>
    </row>
    <row r="1539" customFormat="false" ht="15" hidden="false" customHeight="true" outlineLevel="0" collapsed="false">
      <c r="A1539" s="8" t="s">
        <v>1794</v>
      </c>
      <c r="B1539" s="8" t="n">
        <v>4413183</v>
      </c>
      <c r="C1539" s="8" t="s">
        <v>1499</v>
      </c>
      <c r="D1539" s="19" t="n">
        <v>78</v>
      </c>
      <c r="E1539" s="19" t="n">
        <v>6383.013</v>
      </c>
      <c r="F1539" s="19" t="n">
        <v>41.6842105263158</v>
      </c>
      <c r="G1539" s="19" t="n">
        <v>3465.54821052632</v>
      </c>
      <c r="H1539" s="8" t="str">
        <f aca="false">IF(COUNTIF($J$1:$J$2,$A1539)&gt;0,"Y","N")</f>
        <v>N</v>
      </c>
    </row>
    <row r="1540" customFormat="false" ht="15" hidden="false" customHeight="true" outlineLevel="0" collapsed="false">
      <c r="A1540" s="8" t="s">
        <v>1794</v>
      </c>
      <c r="B1540" s="8" t="n">
        <v>4413184</v>
      </c>
      <c r="C1540" s="8" t="s">
        <v>1500</v>
      </c>
      <c r="D1540" s="19" t="n">
        <v>87</v>
      </c>
      <c r="E1540" s="19" t="n">
        <v>7123.389</v>
      </c>
      <c r="F1540" s="19" t="n">
        <v>36.6315789473684</v>
      </c>
      <c r="G1540" s="19" t="n">
        <v>3073.80757894737</v>
      </c>
      <c r="H1540" s="8" t="str">
        <f aca="false">IF(COUNTIF($J$1:$J$2,$A1540)&gt;0,"Y","N")</f>
        <v>N</v>
      </c>
    </row>
    <row r="1541" customFormat="false" ht="15" hidden="false" customHeight="true" outlineLevel="0" collapsed="false">
      <c r="A1541" s="8" t="s">
        <v>1794</v>
      </c>
      <c r="B1541" s="8" t="n">
        <v>4413185</v>
      </c>
      <c r="C1541" s="8" t="s">
        <v>1501</v>
      </c>
      <c r="D1541" s="19" t="n">
        <v>95</v>
      </c>
      <c r="E1541" s="19" t="n">
        <v>7797.426</v>
      </c>
      <c r="F1541" s="19" t="n">
        <v>50.5263157894737</v>
      </c>
      <c r="G1541" s="19" t="n">
        <v>4191.78568421053</v>
      </c>
      <c r="H1541" s="8" t="str">
        <f aca="false">IF(COUNTIF($J$1:$J$2,$A1541)&gt;0,"Y","N")</f>
        <v>N</v>
      </c>
    </row>
    <row r="1542" customFormat="false" ht="15" hidden="false" customHeight="true" outlineLevel="0" collapsed="false">
      <c r="A1542" s="8" t="s">
        <v>1794</v>
      </c>
      <c r="B1542" s="8" t="n">
        <v>4413188</v>
      </c>
      <c r="C1542" s="8" t="s">
        <v>1808</v>
      </c>
      <c r="D1542" s="19" t="n">
        <v>0</v>
      </c>
      <c r="E1542" s="19" t="n">
        <v>0</v>
      </c>
      <c r="F1542" s="19" t="n">
        <v>-1.26315789473684</v>
      </c>
      <c r="G1542" s="19" t="n">
        <v>-235.412210526316</v>
      </c>
      <c r="H1542" s="8" t="str">
        <f aca="false">IF(COUNTIF($J$1:$J$2,$A1542)&gt;0,"Y","N")</f>
        <v>N</v>
      </c>
    </row>
    <row r="1543" customFormat="false" ht="15" hidden="false" customHeight="true" outlineLevel="0" collapsed="false">
      <c r="A1543" s="8" t="s">
        <v>1794</v>
      </c>
      <c r="B1543" s="8" t="n">
        <v>4413195</v>
      </c>
      <c r="C1543" s="8" t="s">
        <v>1502</v>
      </c>
      <c r="D1543" s="19" t="n">
        <v>21</v>
      </c>
      <c r="E1543" s="19" t="n">
        <v>3108.651</v>
      </c>
      <c r="F1543" s="19" t="n">
        <v>21.4736842105263</v>
      </c>
      <c r="G1543" s="19" t="n">
        <v>3188.75494736842</v>
      </c>
      <c r="H1543" s="8" t="str">
        <f aca="false">IF(COUNTIF($J$1:$J$2,$A1543)&gt;0,"Y","N")</f>
        <v>N</v>
      </c>
    </row>
    <row r="1544" customFormat="false" ht="15" hidden="false" customHeight="true" outlineLevel="0" collapsed="false">
      <c r="A1544" s="8" t="s">
        <v>1794</v>
      </c>
      <c r="B1544" s="8" t="n">
        <v>4413196</v>
      </c>
      <c r="C1544" s="8" t="s">
        <v>1503</v>
      </c>
      <c r="D1544" s="19" t="n">
        <v>130</v>
      </c>
      <c r="E1544" s="19" t="n">
        <v>19009.627</v>
      </c>
      <c r="F1544" s="19" t="n">
        <v>132.631578947368</v>
      </c>
      <c r="G1544" s="19" t="n">
        <v>19496.7978947368</v>
      </c>
      <c r="H1544" s="8" t="str">
        <f aca="false">IF(COUNTIF($J$1:$J$2,$A1544)&gt;0,"Y","N")</f>
        <v>N</v>
      </c>
    </row>
    <row r="1545" customFormat="false" ht="15" hidden="false" customHeight="true" outlineLevel="0" collapsed="false">
      <c r="A1545" s="8" t="s">
        <v>1794</v>
      </c>
      <c r="B1545" s="8" t="n">
        <v>4413197</v>
      </c>
      <c r="C1545" s="8" t="s">
        <v>1504</v>
      </c>
      <c r="D1545" s="19" t="n">
        <v>213</v>
      </c>
      <c r="E1545" s="19" t="n">
        <v>31302.453</v>
      </c>
      <c r="F1545" s="19" t="n">
        <v>161.684210526316</v>
      </c>
      <c r="G1545" s="19" t="n">
        <v>23755.2530526316</v>
      </c>
      <c r="H1545" s="8" t="str">
        <f aca="false">IF(COUNTIF($J$1:$J$2,$A1545)&gt;0,"Y","N")</f>
        <v>N</v>
      </c>
    </row>
    <row r="1546" customFormat="false" ht="15" hidden="false" customHeight="true" outlineLevel="0" collapsed="false">
      <c r="A1546" s="8" t="s">
        <v>1794</v>
      </c>
      <c r="B1546" s="8" t="n">
        <v>4413198</v>
      </c>
      <c r="C1546" s="8" t="s">
        <v>1505</v>
      </c>
      <c r="D1546" s="19" t="n">
        <v>128</v>
      </c>
      <c r="E1546" s="19" t="n">
        <v>18741.268</v>
      </c>
      <c r="F1546" s="19" t="n">
        <v>169.263157894737</v>
      </c>
      <c r="G1546" s="19" t="n">
        <v>24710.1208421053</v>
      </c>
      <c r="H1546" s="8" t="str">
        <f aca="false">IF(COUNTIF($J$1:$J$2,$A1546)&gt;0,"Y","N")</f>
        <v>N</v>
      </c>
    </row>
    <row r="1547" customFormat="false" ht="15" hidden="false" customHeight="true" outlineLevel="0" collapsed="false">
      <c r="A1547" s="8" t="s">
        <v>1794</v>
      </c>
      <c r="B1547" s="8" t="n">
        <v>4413204</v>
      </c>
      <c r="C1547" s="8" t="s">
        <v>1506</v>
      </c>
      <c r="D1547" s="19" t="n">
        <v>49</v>
      </c>
      <c r="E1547" s="19" t="n">
        <v>7140.77</v>
      </c>
      <c r="F1547" s="19" t="n">
        <v>63.1578947368421</v>
      </c>
      <c r="G1547" s="19" t="n">
        <v>9283.60926315789</v>
      </c>
      <c r="H1547" s="8" t="str">
        <f aca="false">IF(COUNTIF($J$1:$J$2,$A1547)&gt;0,"Y","N")</f>
        <v>N</v>
      </c>
    </row>
    <row r="1548" customFormat="false" ht="15" hidden="false" customHeight="true" outlineLevel="0" collapsed="false">
      <c r="A1548" s="8" t="s">
        <v>1794</v>
      </c>
      <c r="B1548" s="8" t="n">
        <v>4413276</v>
      </c>
      <c r="C1548" s="8" t="s">
        <v>1513</v>
      </c>
      <c r="D1548" s="19" t="n">
        <v>1</v>
      </c>
      <c r="E1548" s="19" t="n">
        <v>36.946</v>
      </c>
      <c r="F1548" s="19" t="n">
        <v>3.78947368421053</v>
      </c>
      <c r="G1548" s="19" t="n">
        <v>131.04</v>
      </c>
      <c r="H1548" s="8" t="str">
        <f aca="false">IF(COUNTIF($J$1:$J$2,$A1548)&gt;0,"Y","N")</f>
        <v>N</v>
      </c>
    </row>
    <row r="1549" customFormat="false" ht="15" hidden="false" customHeight="true" outlineLevel="0" collapsed="false">
      <c r="A1549" s="8" t="s">
        <v>1794</v>
      </c>
      <c r="B1549" s="8" t="n">
        <v>4413277</v>
      </c>
      <c r="C1549" s="8" t="s">
        <v>1514</v>
      </c>
      <c r="D1549" s="19" t="n">
        <v>-2</v>
      </c>
      <c r="E1549" s="19" t="n">
        <v>-71.981</v>
      </c>
      <c r="F1549" s="19" t="n">
        <v>-3.78947368421053</v>
      </c>
      <c r="G1549" s="19" t="n">
        <v>-139.890947368421</v>
      </c>
      <c r="H1549" s="8" t="str">
        <f aca="false">IF(COUNTIF($J$1:$J$2,$A1549)&gt;0,"Y","N")</f>
        <v>N</v>
      </c>
    </row>
    <row r="1550" customFormat="false" ht="15" hidden="false" customHeight="true" outlineLevel="0" collapsed="false">
      <c r="A1550" s="8" t="s">
        <v>1794</v>
      </c>
      <c r="B1550" s="8" t="n">
        <v>4413278</v>
      </c>
      <c r="C1550" s="8" t="s">
        <v>1515</v>
      </c>
      <c r="D1550" s="19" t="n">
        <v>-1</v>
      </c>
      <c r="E1550" s="19" t="n">
        <v>-36.946</v>
      </c>
      <c r="F1550" s="19" t="n">
        <v>3.78947368421053</v>
      </c>
      <c r="G1550" s="19" t="n">
        <v>140.465684210526</v>
      </c>
      <c r="H1550" s="8" t="str">
        <f aca="false">IF(COUNTIF($J$1:$J$2,$A1550)&gt;0,"Y","N")</f>
        <v>N</v>
      </c>
    </row>
    <row r="1551" customFormat="false" ht="15" hidden="false" customHeight="true" outlineLevel="0" collapsed="false">
      <c r="A1551" s="8" t="s">
        <v>1794</v>
      </c>
      <c r="B1551" s="8" t="n">
        <v>4413281</v>
      </c>
      <c r="C1551" s="8" t="s">
        <v>1786</v>
      </c>
      <c r="D1551" s="19" t="n">
        <v>-2</v>
      </c>
      <c r="E1551" s="19" t="n">
        <v>-332.514</v>
      </c>
      <c r="F1551" s="19" t="n">
        <v>0</v>
      </c>
      <c r="G1551" s="19" t="n">
        <v>0</v>
      </c>
      <c r="H1551" s="8" t="str">
        <f aca="false">IF(COUNTIF($J$1:$J$2,$A1551)&gt;0,"Y","N")</f>
        <v>N</v>
      </c>
    </row>
    <row r="1552" customFormat="false" ht="15" hidden="false" customHeight="true" outlineLevel="0" collapsed="false">
      <c r="A1552" s="8" t="s">
        <v>1794</v>
      </c>
      <c r="B1552" s="8" t="n">
        <v>4413282</v>
      </c>
      <c r="C1552" s="8" t="s">
        <v>1516</v>
      </c>
      <c r="D1552" s="19" t="n">
        <v>-2</v>
      </c>
      <c r="E1552" s="19" t="n">
        <v>-332.514</v>
      </c>
      <c r="F1552" s="19" t="n">
        <v>0</v>
      </c>
      <c r="G1552" s="19" t="n">
        <v>0</v>
      </c>
      <c r="H1552" s="8" t="str">
        <f aca="false">IF(COUNTIF($J$1:$J$2,$A1552)&gt;0,"Y","N")</f>
        <v>N</v>
      </c>
    </row>
    <row r="1553" customFormat="false" ht="15" hidden="false" customHeight="true" outlineLevel="0" collapsed="false">
      <c r="A1553" s="8" t="s">
        <v>1794</v>
      </c>
      <c r="B1553" s="8" t="n">
        <v>4413285</v>
      </c>
      <c r="C1553" s="8" t="s">
        <v>1787</v>
      </c>
      <c r="D1553" s="19" t="n">
        <v>-3</v>
      </c>
      <c r="E1553" s="19" t="n">
        <v>-169.078</v>
      </c>
      <c r="F1553" s="19" t="n">
        <v>0</v>
      </c>
      <c r="G1553" s="19" t="n">
        <v>0</v>
      </c>
      <c r="H1553" s="8" t="str">
        <f aca="false">IF(COUNTIF($J$1:$J$2,$A1553)&gt;0,"Y","N")</f>
        <v>N</v>
      </c>
    </row>
    <row r="1554" customFormat="false" ht="15" hidden="false" customHeight="true" outlineLevel="0" collapsed="false">
      <c r="A1554" s="8" t="s">
        <v>1794</v>
      </c>
      <c r="B1554" s="8" t="n">
        <v>4413286</v>
      </c>
      <c r="C1554" s="8" t="s">
        <v>1519</v>
      </c>
      <c r="D1554" s="19" t="n">
        <v>27</v>
      </c>
      <c r="E1554" s="19" t="n">
        <v>2209.662</v>
      </c>
      <c r="F1554" s="19" t="n">
        <v>21.4736842105263</v>
      </c>
      <c r="G1554" s="19" t="n">
        <v>1756.97052631579</v>
      </c>
      <c r="H1554" s="8" t="str">
        <f aca="false">IF(COUNTIF($J$1:$J$2,$A1554)&gt;0,"Y","N")</f>
        <v>N</v>
      </c>
    </row>
    <row r="1555" customFormat="false" ht="15" hidden="false" customHeight="true" outlineLevel="0" collapsed="false">
      <c r="A1555" s="8" t="s">
        <v>1794</v>
      </c>
      <c r="B1555" s="8" t="n">
        <v>4413307</v>
      </c>
      <c r="C1555" s="8" t="s">
        <v>1521</v>
      </c>
      <c r="D1555" s="19" t="n">
        <v>962</v>
      </c>
      <c r="E1555" s="19" t="n">
        <v>23394.007</v>
      </c>
      <c r="F1555" s="19" t="n">
        <v>850.105263157895</v>
      </c>
      <c r="G1555" s="19" t="n">
        <v>20900.3052631579</v>
      </c>
      <c r="H1555" s="8" t="str">
        <f aca="false">IF(COUNTIF($J$1:$J$2,$A1555)&gt;0,"Y","N")</f>
        <v>N</v>
      </c>
    </row>
    <row r="1556" customFormat="false" ht="15" hidden="false" customHeight="true" outlineLevel="0" collapsed="false">
      <c r="A1556" s="8" t="s">
        <v>1794</v>
      </c>
      <c r="B1556" s="8" t="n">
        <v>4413329</v>
      </c>
      <c r="C1556" s="8" t="s">
        <v>1525</v>
      </c>
      <c r="D1556" s="19" t="n">
        <v>87</v>
      </c>
      <c r="E1556" s="19" t="n">
        <v>4606.966</v>
      </c>
      <c r="F1556" s="19" t="n">
        <v>606.315789473684</v>
      </c>
      <c r="G1556" s="19" t="n">
        <v>35166.6530526316</v>
      </c>
      <c r="H1556" s="8" t="str">
        <f aca="false">IF(COUNTIF($J$1:$J$2,$A1556)&gt;0,"Y","N")</f>
        <v>N</v>
      </c>
    </row>
    <row r="1557" customFormat="false" ht="15" hidden="false" customHeight="true" outlineLevel="0" collapsed="false">
      <c r="A1557" s="8" t="s">
        <v>1794</v>
      </c>
      <c r="B1557" s="8" t="n">
        <v>4413337</v>
      </c>
      <c r="C1557" s="8" t="s">
        <v>1531</v>
      </c>
      <c r="D1557" s="19" t="n">
        <v>-1</v>
      </c>
      <c r="E1557" s="19" t="n">
        <v>-119.301</v>
      </c>
      <c r="F1557" s="19" t="n">
        <v>0</v>
      </c>
      <c r="G1557" s="19" t="n">
        <v>0</v>
      </c>
      <c r="H1557" s="8" t="str">
        <f aca="false">IF(COUNTIF($J$1:$J$2,$A1557)&gt;0,"Y","N")</f>
        <v>N</v>
      </c>
    </row>
    <row r="1558" customFormat="false" ht="15" hidden="false" customHeight="true" outlineLevel="0" collapsed="false">
      <c r="A1558" s="8" t="s">
        <v>1794</v>
      </c>
      <c r="B1558" s="8" t="n">
        <v>4413338</v>
      </c>
      <c r="C1558" s="8" t="s">
        <v>1532</v>
      </c>
      <c r="D1558" s="19" t="n">
        <v>0</v>
      </c>
      <c r="E1558" s="19" t="n">
        <v>0</v>
      </c>
      <c r="F1558" s="19" t="n">
        <v>-1.26315789473684</v>
      </c>
      <c r="G1558" s="19" t="n">
        <v>-150.696</v>
      </c>
      <c r="H1558" s="8" t="str">
        <f aca="false">IF(COUNTIF($J$1:$J$2,$A1558)&gt;0,"Y","N")</f>
        <v>N</v>
      </c>
    </row>
    <row r="1559" customFormat="false" ht="15" hidden="false" customHeight="true" outlineLevel="0" collapsed="false">
      <c r="A1559" s="8" t="s">
        <v>1794</v>
      </c>
      <c r="B1559" s="8" t="n">
        <v>4413340</v>
      </c>
      <c r="C1559" s="8" t="s">
        <v>1534</v>
      </c>
      <c r="D1559" s="19" t="n">
        <v>106</v>
      </c>
      <c r="E1559" s="19" t="n">
        <v>3911.362</v>
      </c>
      <c r="F1559" s="19" t="n">
        <v>72</v>
      </c>
      <c r="G1559" s="19" t="n">
        <v>2819.77389473684</v>
      </c>
      <c r="H1559" s="8" t="str">
        <f aca="false">IF(COUNTIF($J$1:$J$2,$A1559)&gt;0,"Y","N")</f>
        <v>N</v>
      </c>
    </row>
    <row r="1560" customFormat="false" ht="15" hidden="false" customHeight="true" outlineLevel="0" collapsed="false">
      <c r="A1560" s="8" t="s">
        <v>1794</v>
      </c>
      <c r="B1560" s="8" t="n">
        <v>4413347</v>
      </c>
      <c r="C1560" s="8" t="s">
        <v>1539</v>
      </c>
      <c r="D1560" s="19" t="n">
        <v>-1</v>
      </c>
      <c r="E1560" s="19" t="n">
        <v>-119.301</v>
      </c>
      <c r="F1560" s="19" t="n">
        <v>0</v>
      </c>
      <c r="G1560" s="19" t="n">
        <v>0</v>
      </c>
      <c r="H1560" s="8" t="str">
        <f aca="false">IF(COUNTIF($J$1:$J$2,$A1560)&gt;0,"Y","N")</f>
        <v>N</v>
      </c>
    </row>
    <row r="1561" customFormat="false" ht="15" hidden="false" customHeight="true" outlineLevel="0" collapsed="false">
      <c r="A1561" s="8" t="s">
        <v>1794</v>
      </c>
      <c r="B1561" s="8" t="n">
        <v>4413364</v>
      </c>
      <c r="C1561" s="8" t="s">
        <v>1541</v>
      </c>
      <c r="D1561" s="19" t="n">
        <v>1089</v>
      </c>
      <c r="E1561" s="19" t="n">
        <v>25499.747</v>
      </c>
      <c r="F1561" s="19" t="n">
        <v>867.789473684211</v>
      </c>
      <c r="G1561" s="19" t="n">
        <v>20582.016</v>
      </c>
      <c r="H1561" s="8" t="str">
        <f aca="false">IF(COUNTIF($J$1:$J$2,$A1561)&gt;0,"Y","N")</f>
        <v>N</v>
      </c>
    </row>
    <row r="1562" customFormat="false" ht="15" hidden="false" customHeight="true" outlineLevel="0" collapsed="false">
      <c r="A1562" s="8" t="s">
        <v>1794</v>
      </c>
      <c r="B1562" s="8" t="n">
        <v>4413365</v>
      </c>
      <c r="C1562" s="8" t="s">
        <v>1542</v>
      </c>
      <c r="D1562" s="19" t="n">
        <v>733</v>
      </c>
      <c r="E1562" s="19" t="n">
        <v>17160.052</v>
      </c>
      <c r="F1562" s="19" t="n">
        <v>568.421052631579</v>
      </c>
      <c r="G1562" s="19" t="n">
        <v>13542.5242105263</v>
      </c>
      <c r="H1562" s="8" t="str">
        <f aca="false">IF(COUNTIF($J$1:$J$2,$A1562)&gt;0,"Y","N")</f>
        <v>N</v>
      </c>
    </row>
    <row r="1563" customFormat="false" ht="15" hidden="false" customHeight="true" outlineLevel="0" collapsed="false">
      <c r="A1563" s="8" t="s">
        <v>1794</v>
      </c>
      <c r="B1563" s="8" t="n">
        <v>4413366</v>
      </c>
      <c r="C1563" s="8" t="s">
        <v>1543</v>
      </c>
      <c r="D1563" s="19" t="n">
        <v>833</v>
      </c>
      <c r="E1563" s="19" t="n">
        <v>19474.364</v>
      </c>
      <c r="F1563" s="19" t="n">
        <v>731.368421052632</v>
      </c>
      <c r="G1563" s="19" t="n">
        <v>17343.2589473684</v>
      </c>
      <c r="H1563" s="8" t="str">
        <f aca="false">IF(COUNTIF($J$1:$J$2,$A1563)&gt;0,"Y","N")</f>
        <v>N</v>
      </c>
    </row>
    <row r="1564" customFormat="false" ht="15" hidden="false" customHeight="true" outlineLevel="0" collapsed="false">
      <c r="A1564" s="8" t="s">
        <v>1794</v>
      </c>
      <c r="B1564" s="8" t="n">
        <v>4413367</v>
      </c>
      <c r="C1564" s="8" t="s">
        <v>1544</v>
      </c>
      <c r="D1564" s="19" t="n">
        <v>347</v>
      </c>
      <c r="E1564" s="19" t="n">
        <v>8126.118</v>
      </c>
      <c r="F1564" s="19" t="n">
        <v>286.736842105263</v>
      </c>
      <c r="G1564" s="19" t="n">
        <v>6810.74652631579</v>
      </c>
      <c r="H1564" s="8" t="str">
        <f aca="false">IF(COUNTIF($J$1:$J$2,$A1564)&gt;0,"Y","N")</f>
        <v>N</v>
      </c>
    </row>
    <row r="1565" customFormat="false" ht="15" hidden="false" customHeight="true" outlineLevel="0" collapsed="false">
      <c r="A1565" s="8" t="s">
        <v>1794</v>
      </c>
      <c r="B1565" s="8" t="n">
        <v>4413370</v>
      </c>
      <c r="C1565" s="8" t="s">
        <v>1547</v>
      </c>
      <c r="D1565" s="19" t="n">
        <v>1818</v>
      </c>
      <c r="E1565" s="19" t="n">
        <v>57335.369</v>
      </c>
      <c r="F1565" s="19" t="n">
        <v>1791.15789473684</v>
      </c>
      <c r="G1565" s="19" t="n">
        <v>56338.5789473684</v>
      </c>
      <c r="H1565" s="8" t="str">
        <f aca="false">IF(COUNTIF($J$1:$J$2,$A1565)&gt;0,"Y","N")</f>
        <v>N</v>
      </c>
    </row>
    <row r="1566" customFormat="false" ht="15" hidden="false" customHeight="true" outlineLevel="0" collapsed="false">
      <c r="A1566" s="8" t="s">
        <v>1794</v>
      </c>
      <c r="B1566" s="8" t="n">
        <v>4413371</v>
      </c>
      <c r="C1566" s="8" t="s">
        <v>1548</v>
      </c>
      <c r="D1566" s="19" t="n">
        <v>84</v>
      </c>
      <c r="E1566" s="19" t="n">
        <v>1954.225</v>
      </c>
      <c r="F1566" s="19" t="n">
        <v>87.1578947368421</v>
      </c>
      <c r="G1566" s="19" t="n">
        <v>2039.28126315789</v>
      </c>
      <c r="H1566" s="8" t="str">
        <f aca="false">IF(COUNTIF($J$1:$J$2,$A1566)&gt;0,"Y","N")</f>
        <v>N</v>
      </c>
    </row>
    <row r="1567" customFormat="false" ht="15" hidden="false" customHeight="true" outlineLevel="0" collapsed="false">
      <c r="A1567" s="8" t="s">
        <v>1794</v>
      </c>
      <c r="B1567" s="8" t="n">
        <v>4413394</v>
      </c>
      <c r="C1567" s="8" t="s">
        <v>1550</v>
      </c>
      <c r="D1567" s="19" t="n">
        <v>1231</v>
      </c>
      <c r="E1567" s="19" t="n">
        <v>34780.473</v>
      </c>
      <c r="F1567" s="19" t="n">
        <v>1044.63157894737</v>
      </c>
      <c r="G1567" s="19" t="n">
        <v>29682.0543157895</v>
      </c>
      <c r="H1567" s="8" t="str">
        <f aca="false">IF(COUNTIF($J$1:$J$2,$A1567)&gt;0,"Y","N")</f>
        <v>N</v>
      </c>
    </row>
    <row r="1568" customFormat="false" ht="15" hidden="false" customHeight="true" outlineLevel="0" collapsed="false">
      <c r="A1568" s="8" t="s">
        <v>1794</v>
      </c>
      <c r="B1568" s="8" t="n">
        <v>4413395</v>
      </c>
      <c r="C1568" s="8" t="s">
        <v>1551</v>
      </c>
      <c r="D1568" s="19" t="n">
        <v>2788</v>
      </c>
      <c r="E1568" s="19" t="n">
        <v>78801.632</v>
      </c>
      <c r="F1568" s="19" t="n">
        <v>2719.57894736842</v>
      </c>
      <c r="G1568" s="19" t="n">
        <v>77485.4463157895</v>
      </c>
      <c r="H1568" s="8" t="str">
        <f aca="false">IF(COUNTIF($J$1:$J$2,$A1568)&gt;0,"Y","N")</f>
        <v>N</v>
      </c>
    </row>
    <row r="1569" customFormat="false" ht="15" hidden="false" customHeight="true" outlineLevel="0" collapsed="false">
      <c r="A1569" s="8" t="s">
        <v>1794</v>
      </c>
      <c r="B1569" s="8" t="n">
        <v>4413396</v>
      </c>
      <c r="C1569" s="8" t="s">
        <v>1552</v>
      </c>
      <c r="D1569" s="19" t="n">
        <v>2670</v>
      </c>
      <c r="E1569" s="19" t="n">
        <v>75465.481</v>
      </c>
      <c r="F1569" s="19" t="n">
        <v>2898.94736842105</v>
      </c>
      <c r="G1569" s="19" t="n">
        <v>82366.3414736842</v>
      </c>
      <c r="H1569" s="8" t="str">
        <f aca="false">IF(COUNTIF($J$1:$J$2,$A1569)&gt;0,"Y","N")</f>
        <v>N</v>
      </c>
    </row>
    <row r="1570" customFormat="false" ht="15" hidden="false" customHeight="true" outlineLevel="0" collapsed="false">
      <c r="A1570" s="8" t="s">
        <v>1794</v>
      </c>
      <c r="B1570" s="8" t="n">
        <v>4413397</v>
      </c>
      <c r="C1570" s="8" t="s">
        <v>1553</v>
      </c>
      <c r="D1570" s="19" t="n">
        <v>2302</v>
      </c>
      <c r="E1570" s="19" t="n">
        <v>65045.981</v>
      </c>
      <c r="F1570" s="19" t="n">
        <v>2129.68421052632</v>
      </c>
      <c r="G1570" s="19" t="n">
        <v>60654.1629473684</v>
      </c>
      <c r="H1570" s="8" t="str">
        <f aca="false">IF(COUNTIF($J$1:$J$2,$A1570)&gt;0,"Y","N")</f>
        <v>N</v>
      </c>
    </row>
    <row r="1571" customFormat="false" ht="15" hidden="false" customHeight="true" outlineLevel="0" collapsed="false">
      <c r="A1571" s="8" t="s">
        <v>1794</v>
      </c>
      <c r="B1571" s="8" t="n">
        <v>4413398</v>
      </c>
      <c r="C1571" s="8" t="s">
        <v>1554</v>
      </c>
      <c r="D1571" s="19" t="n">
        <v>360</v>
      </c>
      <c r="E1571" s="19" t="n">
        <v>10160.15</v>
      </c>
      <c r="F1571" s="19" t="n">
        <v>213.473684210526</v>
      </c>
      <c r="G1571" s="19" t="n">
        <v>6060.37010526316</v>
      </c>
      <c r="H1571" s="8" t="str">
        <f aca="false">IF(COUNTIF($J$1:$J$2,$A1571)&gt;0,"Y","N")</f>
        <v>N</v>
      </c>
    </row>
    <row r="1572" customFormat="false" ht="15" hidden="false" customHeight="true" outlineLevel="0" collapsed="false">
      <c r="A1572" s="8" t="s">
        <v>1794</v>
      </c>
      <c r="B1572" s="8" t="n">
        <v>4413403</v>
      </c>
      <c r="C1572" s="8" t="s">
        <v>1556</v>
      </c>
      <c r="D1572" s="19" t="n">
        <v>0</v>
      </c>
      <c r="E1572" s="19" t="n">
        <v>0</v>
      </c>
      <c r="F1572" s="19" t="n">
        <v>-1.26315789473684</v>
      </c>
      <c r="G1572" s="19" t="n">
        <v>-239.550315789474</v>
      </c>
      <c r="H1572" s="8" t="str">
        <f aca="false">IF(COUNTIF($J$1:$J$2,$A1572)&gt;0,"Y","N")</f>
        <v>N</v>
      </c>
    </row>
    <row r="1573" customFormat="false" ht="15" hidden="false" customHeight="true" outlineLevel="0" collapsed="false">
      <c r="A1573" s="8" t="s">
        <v>1794</v>
      </c>
      <c r="B1573" s="8" t="n">
        <v>4413405</v>
      </c>
      <c r="C1573" s="8" t="s">
        <v>1557</v>
      </c>
      <c r="D1573" s="19" t="n">
        <v>7</v>
      </c>
      <c r="E1573" s="19" t="n">
        <v>464.373</v>
      </c>
      <c r="F1573" s="19" t="n">
        <v>3.78947368421053</v>
      </c>
      <c r="G1573" s="19" t="n">
        <v>274.954105263158</v>
      </c>
      <c r="H1573" s="8" t="str">
        <f aca="false">IF(COUNTIF($J$1:$J$2,$A1573)&gt;0,"Y","N")</f>
        <v>N</v>
      </c>
    </row>
    <row r="1574" customFormat="false" ht="15" hidden="false" customHeight="true" outlineLevel="0" collapsed="false">
      <c r="A1574" s="8" t="s">
        <v>1794</v>
      </c>
      <c r="B1574" s="8" t="n">
        <v>4413406</v>
      </c>
      <c r="C1574" s="8" t="s">
        <v>1558</v>
      </c>
      <c r="D1574" s="19" t="n">
        <v>8</v>
      </c>
      <c r="E1574" s="19" t="n">
        <v>552.461</v>
      </c>
      <c r="F1574" s="19" t="n">
        <v>11.3684210526316</v>
      </c>
      <c r="G1574" s="19" t="n">
        <v>780.952421052632</v>
      </c>
      <c r="H1574" s="8" t="str">
        <f aca="false">IF(COUNTIF($J$1:$J$2,$A1574)&gt;0,"Y","N")</f>
        <v>N</v>
      </c>
    </row>
    <row r="1575" customFormat="false" ht="15" hidden="false" customHeight="true" outlineLevel="0" collapsed="false">
      <c r="A1575" s="8" t="s">
        <v>1794</v>
      </c>
      <c r="B1575" s="8" t="n">
        <v>4413407</v>
      </c>
      <c r="C1575" s="8" t="s">
        <v>1559</v>
      </c>
      <c r="D1575" s="19" t="n">
        <v>26</v>
      </c>
      <c r="E1575" s="19" t="n">
        <v>1759.03</v>
      </c>
      <c r="F1575" s="19" t="n">
        <v>13.8947368421053</v>
      </c>
      <c r="G1575" s="19" t="n">
        <v>956.477052631579</v>
      </c>
      <c r="H1575" s="8" t="str">
        <f aca="false">IF(COUNTIF($J$1:$J$2,$A1575)&gt;0,"Y","N")</f>
        <v>N</v>
      </c>
    </row>
    <row r="1576" customFormat="false" ht="15" hidden="false" customHeight="true" outlineLevel="0" collapsed="false">
      <c r="A1576" s="8" t="s">
        <v>1794</v>
      </c>
      <c r="B1576" s="8" t="n">
        <v>4413408</v>
      </c>
      <c r="C1576" s="8" t="s">
        <v>1560</v>
      </c>
      <c r="D1576" s="19" t="n">
        <v>13</v>
      </c>
      <c r="E1576" s="19" t="n">
        <v>877.877</v>
      </c>
      <c r="F1576" s="19" t="n">
        <v>20.2105263157895</v>
      </c>
      <c r="G1576" s="19" t="n">
        <v>1379.94315789474</v>
      </c>
      <c r="H1576" s="8" t="str">
        <f aca="false">IF(COUNTIF($J$1:$J$2,$A1576)&gt;0,"Y","N")</f>
        <v>N</v>
      </c>
    </row>
    <row r="1577" customFormat="false" ht="15" hidden="false" customHeight="true" outlineLevel="0" collapsed="false">
      <c r="A1577" s="8" t="s">
        <v>1794</v>
      </c>
      <c r="B1577" s="8" t="n">
        <v>4413416</v>
      </c>
      <c r="C1577" s="8" t="s">
        <v>1562</v>
      </c>
      <c r="D1577" s="19" t="n">
        <v>11</v>
      </c>
      <c r="E1577" s="19" t="n">
        <v>1346.618</v>
      </c>
      <c r="F1577" s="19" t="n">
        <v>15.1578947368421</v>
      </c>
      <c r="G1577" s="19" t="n">
        <v>1831.91621052632</v>
      </c>
      <c r="H1577" s="8" t="str">
        <f aca="false">IF(COUNTIF($J$1:$J$2,$A1577)&gt;0,"Y","N")</f>
        <v>N</v>
      </c>
    </row>
    <row r="1578" customFormat="false" ht="15" hidden="false" customHeight="true" outlineLevel="0" collapsed="false">
      <c r="A1578" s="8" t="s">
        <v>1794</v>
      </c>
      <c r="B1578" s="8" t="n">
        <v>4413417</v>
      </c>
      <c r="C1578" s="8" t="s">
        <v>1563</v>
      </c>
      <c r="D1578" s="19" t="n">
        <v>3</v>
      </c>
      <c r="E1578" s="19" t="n">
        <v>370.643</v>
      </c>
      <c r="F1578" s="19" t="n">
        <v>10.1052631578947</v>
      </c>
      <c r="G1578" s="19" t="n">
        <v>1237.98315789474</v>
      </c>
      <c r="H1578" s="8" t="str">
        <f aca="false">IF(COUNTIF($J$1:$J$2,$A1578)&gt;0,"Y","N")</f>
        <v>N</v>
      </c>
    </row>
    <row r="1579" customFormat="false" ht="15" hidden="false" customHeight="true" outlineLevel="0" collapsed="false">
      <c r="A1579" s="8" t="s">
        <v>1794</v>
      </c>
      <c r="B1579" s="8" t="n">
        <v>4413418</v>
      </c>
      <c r="C1579" s="8" t="s">
        <v>1564</v>
      </c>
      <c r="D1579" s="19" t="n">
        <v>2</v>
      </c>
      <c r="E1579" s="19" t="n">
        <v>259.441</v>
      </c>
      <c r="F1579" s="19" t="n">
        <v>7.57894736842105</v>
      </c>
      <c r="G1579" s="19" t="n">
        <v>941.533894736842</v>
      </c>
      <c r="H1579" s="8" t="str">
        <f aca="false">IF(COUNTIF($J$1:$J$2,$A1579)&gt;0,"Y","N")</f>
        <v>N</v>
      </c>
    </row>
    <row r="1580" customFormat="false" ht="15" hidden="false" customHeight="true" outlineLevel="0" collapsed="false">
      <c r="A1580" s="8" t="s">
        <v>1794</v>
      </c>
      <c r="B1580" s="8" t="n">
        <v>4413421</v>
      </c>
      <c r="C1580" s="8" t="s">
        <v>1567</v>
      </c>
      <c r="D1580" s="19" t="n">
        <v>26</v>
      </c>
      <c r="E1580" s="19" t="n">
        <v>1745.471</v>
      </c>
      <c r="F1580" s="19" t="n">
        <v>7.57894736842105</v>
      </c>
      <c r="G1580" s="19" t="n">
        <v>513.699789473684</v>
      </c>
      <c r="H1580" s="8" t="str">
        <f aca="false">IF(COUNTIF($J$1:$J$2,$A1580)&gt;0,"Y","N")</f>
        <v>N</v>
      </c>
    </row>
    <row r="1581" customFormat="false" ht="15" hidden="false" customHeight="true" outlineLevel="0" collapsed="false">
      <c r="A1581" s="8" t="s">
        <v>1794</v>
      </c>
      <c r="B1581" s="8" t="n">
        <v>4413422</v>
      </c>
      <c r="C1581" s="8" t="s">
        <v>1568</v>
      </c>
      <c r="D1581" s="19" t="n">
        <v>22</v>
      </c>
      <c r="E1581" s="19" t="n">
        <v>1491.308</v>
      </c>
      <c r="F1581" s="19" t="n">
        <v>22.7368421052632</v>
      </c>
      <c r="G1581" s="19" t="n">
        <v>1559.03115789474</v>
      </c>
      <c r="H1581" s="8" t="str">
        <f aca="false">IF(COUNTIF($J$1:$J$2,$A1581)&gt;0,"Y","N")</f>
        <v>N</v>
      </c>
    </row>
    <row r="1582" customFormat="false" ht="15" hidden="false" customHeight="true" outlineLevel="0" collapsed="false">
      <c r="A1582" s="8" t="s">
        <v>1794</v>
      </c>
      <c r="B1582" s="8" t="n">
        <v>4413425</v>
      </c>
      <c r="C1582" s="8" t="s">
        <v>1571</v>
      </c>
      <c r="D1582" s="19" t="n">
        <v>24</v>
      </c>
      <c r="E1582" s="19" t="n">
        <v>1613.339</v>
      </c>
      <c r="F1582" s="19" t="n">
        <v>24</v>
      </c>
      <c r="G1582" s="19" t="n">
        <v>1640.75873684211</v>
      </c>
      <c r="H1582" s="8" t="str">
        <f aca="false">IF(COUNTIF($J$1:$J$2,$A1582)&gt;0,"Y","N")</f>
        <v>N</v>
      </c>
    </row>
    <row r="1583" customFormat="false" ht="15" hidden="false" customHeight="true" outlineLevel="0" collapsed="false">
      <c r="A1583" s="8" t="s">
        <v>1794</v>
      </c>
      <c r="B1583" s="8" t="n">
        <v>4413426</v>
      </c>
      <c r="C1583" s="8" t="s">
        <v>1572</v>
      </c>
      <c r="D1583" s="19" t="n">
        <v>21</v>
      </c>
      <c r="E1583" s="19" t="n">
        <v>1409.954</v>
      </c>
      <c r="F1583" s="19" t="n">
        <v>13.8947368421053</v>
      </c>
      <c r="G1583" s="19" t="n">
        <v>942.798315789474</v>
      </c>
      <c r="H1583" s="8" t="str">
        <f aca="false">IF(COUNTIF($J$1:$J$2,$A1583)&gt;0,"Y","N")</f>
        <v>N</v>
      </c>
    </row>
    <row r="1584" customFormat="false" ht="15" hidden="false" customHeight="true" outlineLevel="0" collapsed="false">
      <c r="A1584" s="8" t="s">
        <v>1794</v>
      </c>
      <c r="B1584" s="8" t="n">
        <v>4413427</v>
      </c>
      <c r="C1584" s="8" t="s">
        <v>1573</v>
      </c>
      <c r="D1584" s="19" t="n">
        <v>11</v>
      </c>
      <c r="E1584" s="19" t="n">
        <v>742.287</v>
      </c>
      <c r="F1584" s="19" t="n">
        <v>13.8947368421053</v>
      </c>
      <c r="G1584" s="19" t="n">
        <v>946.70652631579</v>
      </c>
      <c r="H1584" s="8" t="str">
        <f aca="false">IF(COUNTIF($J$1:$J$2,$A1584)&gt;0,"Y","N")</f>
        <v>N</v>
      </c>
    </row>
    <row r="1585" customFormat="false" ht="15" hidden="false" customHeight="true" outlineLevel="0" collapsed="false">
      <c r="A1585" s="8" t="s">
        <v>1794</v>
      </c>
      <c r="B1585" s="8" t="n">
        <v>4413428</v>
      </c>
      <c r="C1585" s="8" t="s">
        <v>1809</v>
      </c>
      <c r="D1585" s="19" t="n">
        <v>-2</v>
      </c>
      <c r="E1585" s="19" t="n">
        <v>-193.83</v>
      </c>
      <c r="F1585" s="19" t="n">
        <v>0</v>
      </c>
      <c r="G1585" s="19" t="n">
        <v>0</v>
      </c>
      <c r="H1585" s="8" t="str">
        <f aca="false">IF(COUNTIF($J$1:$J$2,$A1585)&gt;0,"Y","N")</f>
        <v>N</v>
      </c>
    </row>
    <row r="1586" customFormat="false" ht="15" hidden="false" customHeight="true" outlineLevel="0" collapsed="false">
      <c r="A1586" s="8" t="s">
        <v>1794</v>
      </c>
      <c r="B1586" s="8" t="n">
        <v>4413429</v>
      </c>
      <c r="C1586" s="8" t="s">
        <v>1810</v>
      </c>
      <c r="D1586" s="19" t="n">
        <v>-1</v>
      </c>
      <c r="E1586" s="19" t="n">
        <v>-96.915</v>
      </c>
      <c r="F1586" s="19" t="n">
        <v>0</v>
      </c>
      <c r="G1586" s="19" t="n">
        <v>0</v>
      </c>
      <c r="H1586" s="8" t="str">
        <f aca="false">IF(COUNTIF($J$1:$J$2,$A1586)&gt;0,"Y","N")</f>
        <v>N</v>
      </c>
    </row>
    <row r="1587" customFormat="false" ht="15" hidden="false" customHeight="true" outlineLevel="0" collapsed="false">
      <c r="A1587" s="8" t="s">
        <v>1794</v>
      </c>
      <c r="B1587" s="8" t="n">
        <v>4413430</v>
      </c>
      <c r="C1587" s="8" t="s">
        <v>1811</v>
      </c>
      <c r="D1587" s="19" t="n">
        <v>-1</v>
      </c>
      <c r="E1587" s="19" t="n">
        <v>-96.915</v>
      </c>
      <c r="F1587" s="19" t="n">
        <v>0</v>
      </c>
      <c r="G1587" s="19" t="n">
        <v>0</v>
      </c>
      <c r="H1587" s="8" t="str">
        <f aca="false">IF(COUNTIF($J$1:$J$2,$A1587)&gt;0,"Y","N")</f>
        <v>N</v>
      </c>
    </row>
    <row r="1588" customFormat="false" ht="15" hidden="false" customHeight="true" outlineLevel="0" collapsed="false">
      <c r="A1588" s="8" t="s">
        <v>1794</v>
      </c>
      <c r="B1588" s="8" t="n">
        <v>4413431</v>
      </c>
      <c r="C1588" s="8" t="s">
        <v>1812</v>
      </c>
      <c r="D1588" s="19" t="n">
        <v>-1</v>
      </c>
      <c r="E1588" s="19" t="n">
        <v>-96.915</v>
      </c>
      <c r="F1588" s="19" t="n">
        <v>0</v>
      </c>
      <c r="G1588" s="19" t="n">
        <v>0</v>
      </c>
      <c r="H1588" s="8" t="str">
        <f aca="false">IF(COUNTIF($J$1:$J$2,$A1588)&gt;0,"Y","N")</f>
        <v>N</v>
      </c>
    </row>
    <row r="1589" customFormat="false" ht="15" hidden="false" customHeight="true" outlineLevel="0" collapsed="false">
      <c r="A1589" s="8" t="s">
        <v>1794</v>
      </c>
      <c r="B1589" s="8" t="n">
        <v>4413438</v>
      </c>
      <c r="C1589" s="8" t="s">
        <v>1574</v>
      </c>
      <c r="D1589" s="19" t="n">
        <v>14</v>
      </c>
      <c r="E1589" s="19" t="n">
        <v>1711.073</v>
      </c>
      <c r="F1589" s="19" t="n">
        <v>13.8947368421053</v>
      </c>
      <c r="G1589" s="19" t="n">
        <v>1693.74947368421</v>
      </c>
      <c r="H1589" s="8" t="str">
        <f aca="false">IF(COUNTIF($J$1:$J$2,$A1589)&gt;0,"Y","N")</f>
        <v>N</v>
      </c>
    </row>
    <row r="1590" customFormat="false" ht="15" hidden="false" customHeight="true" outlineLevel="0" collapsed="false">
      <c r="A1590" s="8" t="s">
        <v>1794</v>
      </c>
      <c r="B1590" s="8" t="n">
        <v>4413439</v>
      </c>
      <c r="C1590" s="8" t="s">
        <v>1575</v>
      </c>
      <c r="D1590" s="19" t="n">
        <v>20</v>
      </c>
      <c r="E1590" s="19" t="n">
        <v>2433.795</v>
      </c>
      <c r="F1590" s="19" t="n">
        <v>25.2631578947368</v>
      </c>
      <c r="G1590" s="19" t="n">
        <v>3074.84210526316</v>
      </c>
      <c r="H1590" s="8" t="str">
        <f aca="false">IF(COUNTIF($J$1:$J$2,$A1590)&gt;0,"Y","N")</f>
        <v>N</v>
      </c>
    </row>
    <row r="1591" customFormat="false" ht="15" hidden="false" customHeight="true" outlineLevel="0" collapsed="false">
      <c r="A1591" s="8" t="s">
        <v>1794</v>
      </c>
      <c r="B1591" s="8" t="n">
        <v>4413440</v>
      </c>
      <c r="C1591" s="8" t="s">
        <v>1576</v>
      </c>
      <c r="D1591" s="19" t="n">
        <v>31</v>
      </c>
      <c r="E1591" s="19" t="n">
        <v>3792.698</v>
      </c>
      <c r="F1591" s="19" t="n">
        <v>27.7894736842105</v>
      </c>
      <c r="G1591" s="19" t="n">
        <v>3405.54568421053</v>
      </c>
      <c r="H1591" s="8" t="str">
        <f aca="false">IF(COUNTIF($J$1:$J$2,$A1591)&gt;0,"Y","N")</f>
        <v>N</v>
      </c>
    </row>
    <row r="1592" customFormat="false" ht="15" hidden="false" customHeight="true" outlineLevel="0" collapsed="false">
      <c r="A1592" s="8" t="s">
        <v>1794</v>
      </c>
      <c r="B1592" s="8" t="n">
        <v>4413441</v>
      </c>
      <c r="C1592" s="8" t="s">
        <v>1577</v>
      </c>
      <c r="D1592" s="19" t="n">
        <v>13</v>
      </c>
      <c r="E1592" s="19" t="n">
        <v>1593.683</v>
      </c>
      <c r="F1592" s="19" t="n">
        <v>16.4210526315789</v>
      </c>
      <c r="G1592" s="19" t="n">
        <v>1994.91157894737</v>
      </c>
      <c r="H1592" s="8" t="str">
        <f aca="false">IF(COUNTIF($J$1:$J$2,$A1592)&gt;0,"Y","N")</f>
        <v>N</v>
      </c>
    </row>
    <row r="1593" customFormat="false" ht="15" hidden="false" customHeight="true" outlineLevel="0" collapsed="false">
      <c r="A1593" s="8" t="s">
        <v>1794</v>
      </c>
      <c r="B1593" s="8" t="n">
        <v>4413442</v>
      </c>
      <c r="C1593" s="8" t="s">
        <v>1578</v>
      </c>
      <c r="D1593" s="19" t="n">
        <v>4</v>
      </c>
      <c r="E1593" s="19" t="n">
        <v>426.881</v>
      </c>
      <c r="F1593" s="19" t="n">
        <v>15.1578947368421</v>
      </c>
      <c r="G1593" s="19" t="n">
        <v>1667.88631578947</v>
      </c>
      <c r="H1593" s="8" t="str">
        <f aca="false">IF(COUNTIF($J$1:$J$2,$A1593)&gt;0,"Y","N")</f>
        <v>N</v>
      </c>
    </row>
    <row r="1594" customFormat="false" ht="15" hidden="false" customHeight="true" outlineLevel="0" collapsed="false">
      <c r="A1594" s="8" t="s">
        <v>1794</v>
      </c>
      <c r="B1594" s="8" t="n">
        <v>4413443</v>
      </c>
      <c r="C1594" s="8" t="s">
        <v>1813</v>
      </c>
      <c r="D1594" s="19" t="n">
        <v>-2</v>
      </c>
      <c r="E1594" s="19" t="n">
        <v>-518.973</v>
      </c>
      <c r="F1594" s="19" t="n">
        <v>0</v>
      </c>
      <c r="G1594" s="19" t="n">
        <v>0</v>
      </c>
      <c r="H1594" s="8" t="str">
        <f aca="false">IF(COUNTIF($J$1:$J$2,$A1594)&gt;0,"Y","N")</f>
        <v>N</v>
      </c>
    </row>
    <row r="1595" customFormat="false" ht="15" hidden="false" customHeight="true" outlineLevel="0" collapsed="false">
      <c r="A1595" s="8" t="s">
        <v>1794</v>
      </c>
      <c r="B1595" s="8" t="n">
        <v>4413452</v>
      </c>
      <c r="C1595" s="8" t="s">
        <v>1584</v>
      </c>
      <c r="D1595" s="19" t="n">
        <v>830</v>
      </c>
      <c r="E1595" s="19" t="n">
        <v>30930.809</v>
      </c>
      <c r="F1595" s="19" t="n">
        <v>826.105263157895</v>
      </c>
      <c r="G1595" s="19" t="n">
        <v>30665.1991578947</v>
      </c>
      <c r="H1595" s="8" t="str">
        <f aca="false">IF(COUNTIF($J$1:$J$2,$A1595)&gt;0,"Y","N")</f>
        <v>N</v>
      </c>
    </row>
    <row r="1596" customFormat="false" ht="15" hidden="false" customHeight="true" outlineLevel="0" collapsed="false">
      <c r="A1596" s="8" t="s">
        <v>1794</v>
      </c>
      <c r="B1596" s="8" t="n">
        <v>4413453</v>
      </c>
      <c r="C1596" s="8" t="s">
        <v>1585</v>
      </c>
      <c r="D1596" s="19" t="n">
        <v>561</v>
      </c>
      <c r="E1596" s="19" t="n">
        <v>31187.429</v>
      </c>
      <c r="F1596" s="19" t="n">
        <v>1620.63157894737</v>
      </c>
      <c r="G1596" s="19" t="n">
        <v>94531.1065263158</v>
      </c>
      <c r="H1596" s="8" t="str">
        <f aca="false">IF(COUNTIF($J$1:$J$2,$A1596)&gt;0,"Y","N")</f>
        <v>N</v>
      </c>
    </row>
    <row r="1597" customFormat="false" ht="15" hidden="false" customHeight="true" outlineLevel="0" collapsed="false">
      <c r="A1597" s="8" t="s">
        <v>1794</v>
      </c>
      <c r="B1597" s="8" t="n">
        <v>4413455</v>
      </c>
      <c r="C1597" s="8" t="s">
        <v>1586</v>
      </c>
      <c r="D1597" s="19" t="n">
        <v>299</v>
      </c>
      <c r="E1597" s="19" t="n">
        <v>12164.152</v>
      </c>
      <c r="F1597" s="19" t="n">
        <v>298.105263157895</v>
      </c>
      <c r="G1597" s="19" t="n">
        <v>12120.7402105263</v>
      </c>
      <c r="H1597" s="8" t="str">
        <f aca="false">IF(COUNTIF($J$1:$J$2,$A1597)&gt;0,"Y","N")</f>
        <v>N</v>
      </c>
    </row>
    <row r="1598" customFormat="false" ht="15" hidden="false" customHeight="true" outlineLevel="0" collapsed="false">
      <c r="A1598" s="8" t="s">
        <v>1794</v>
      </c>
      <c r="B1598" s="8" t="n">
        <v>4413456</v>
      </c>
      <c r="C1598" s="8" t="s">
        <v>1587</v>
      </c>
      <c r="D1598" s="19" t="n">
        <v>98</v>
      </c>
      <c r="E1598" s="19" t="n">
        <v>5444.803</v>
      </c>
      <c r="F1598" s="19" t="n">
        <v>535.578947368421</v>
      </c>
      <c r="G1598" s="19" t="n">
        <v>31583.6286315789</v>
      </c>
      <c r="H1598" s="8" t="str">
        <f aca="false">IF(COUNTIF($J$1:$J$2,$A1598)&gt;0,"Y","N")</f>
        <v>N</v>
      </c>
    </row>
    <row r="1599" customFormat="false" ht="15" hidden="false" customHeight="true" outlineLevel="0" collapsed="false">
      <c r="A1599" s="8" t="s">
        <v>1794</v>
      </c>
      <c r="B1599" s="8" t="n">
        <v>4413516</v>
      </c>
      <c r="C1599" s="8" t="s">
        <v>1605</v>
      </c>
      <c r="D1599" s="19" t="n">
        <v>935</v>
      </c>
      <c r="E1599" s="19" t="n">
        <v>41681.822</v>
      </c>
      <c r="F1599" s="19" t="n">
        <v>1169.68421052632</v>
      </c>
      <c r="G1599" s="19" t="n">
        <v>52122.1945263158</v>
      </c>
      <c r="H1599" s="8" t="str">
        <f aca="false">IF(COUNTIF($J$1:$J$2,$A1599)&gt;0,"Y","N")</f>
        <v>N</v>
      </c>
    </row>
    <row r="1600" customFormat="false" ht="15" hidden="false" customHeight="true" outlineLevel="0" collapsed="false">
      <c r="A1600" s="8" t="s">
        <v>1794</v>
      </c>
      <c r="B1600" s="8" t="n">
        <v>4413517</v>
      </c>
      <c r="C1600" s="8" t="s">
        <v>1606</v>
      </c>
      <c r="D1600" s="19" t="n">
        <v>802</v>
      </c>
      <c r="E1600" s="19" t="n">
        <v>35715.407</v>
      </c>
      <c r="F1600" s="19" t="n">
        <v>1004.21052631579</v>
      </c>
      <c r="G1600" s="19" t="n">
        <v>44761.1949473684</v>
      </c>
      <c r="H1600" s="8" t="str">
        <f aca="false">IF(COUNTIF($J$1:$J$2,$A1600)&gt;0,"Y","N")</f>
        <v>N</v>
      </c>
    </row>
    <row r="1601" customFormat="false" ht="15" hidden="false" customHeight="true" outlineLevel="0" collapsed="false">
      <c r="A1601" s="8" t="s">
        <v>1794</v>
      </c>
      <c r="B1601" s="8" t="n">
        <v>4413518</v>
      </c>
      <c r="C1601" s="8" t="s">
        <v>1607</v>
      </c>
      <c r="D1601" s="19" t="n">
        <v>588</v>
      </c>
      <c r="E1601" s="19" t="n">
        <v>26216.008</v>
      </c>
      <c r="F1601" s="19" t="n">
        <v>785.684210526316</v>
      </c>
      <c r="G1601" s="19" t="n">
        <v>35021.9343157895</v>
      </c>
      <c r="H1601" s="8" t="str">
        <f aca="false">IF(COUNTIF($J$1:$J$2,$A1601)&gt;0,"Y","N")</f>
        <v>N</v>
      </c>
    </row>
    <row r="1602" customFormat="false" ht="15" hidden="false" customHeight="true" outlineLevel="0" collapsed="false">
      <c r="A1602" s="8" t="s">
        <v>1794</v>
      </c>
      <c r="B1602" s="8" t="n">
        <v>4413519</v>
      </c>
      <c r="C1602" s="8" t="s">
        <v>1608</v>
      </c>
      <c r="D1602" s="19" t="n">
        <v>464</v>
      </c>
      <c r="E1602" s="19" t="n">
        <v>20726.979</v>
      </c>
      <c r="F1602" s="19" t="n">
        <v>636.631578947368</v>
      </c>
      <c r="G1602" s="19" t="n">
        <v>28370.5048421053</v>
      </c>
      <c r="H1602" s="8" t="str">
        <f aca="false">IF(COUNTIF($J$1:$J$2,$A1602)&gt;0,"Y","N")</f>
        <v>N</v>
      </c>
    </row>
    <row r="1603" customFormat="false" ht="15" hidden="false" customHeight="true" outlineLevel="0" collapsed="false">
      <c r="A1603" s="8" t="s">
        <v>1794</v>
      </c>
      <c r="B1603" s="8" t="n">
        <v>4413520</v>
      </c>
      <c r="C1603" s="8" t="s">
        <v>1609</v>
      </c>
      <c r="D1603" s="19" t="n">
        <v>869</v>
      </c>
      <c r="E1603" s="19" t="n">
        <v>73319.064</v>
      </c>
      <c r="F1603" s="19" t="n">
        <v>46.7368421052632</v>
      </c>
      <c r="G1603" s="19" t="n">
        <v>4527.54694736842</v>
      </c>
      <c r="H1603" s="8" t="str">
        <f aca="false">IF(COUNTIF($J$1:$J$2,$A1603)&gt;0,"Y","N")</f>
        <v>N</v>
      </c>
    </row>
    <row r="1604" customFormat="false" ht="15" hidden="false" customHeight="true" outlineLevel="0" collapsed="false">
      <c r="A1604" s="8" t="s">
        <v>1794</v>
      </c>
      <c r="B1604" s="8" t="n">
        <v>4413521</v>
      </c>
      <c r="C1604" s="8" t="s">
        <v>1610</v>
      </c>
      <c r="D1604" s="19" t="n">
        <v>941</v>
      </c>
      <c r="E1604" s="19" t="n">
        <v>79735.838</v>
      </c>
      <c r="F1604" s="19" t="n">
        <v>161.684210526316</v>
      </c>
      <c r="G1604" s="19" t="n">
        <v>14480.4947368421</v>
      </c>
      <c r="H1604" s="8" t="str">
        <f aca="false">IF(COUNTIF($J$1:$J$2,$A1604)&gt;0,"Y","N")</f>
        <v>N</v>
      </c>
    </row>
    <row r="1605" customFormat="false" ht="15" hidden="false" customHeight="true" outlineLevel="0" collapsed="false">
      <c r="A1605" s="8" t="s">
        <v>1794</v>
      </c>
      <c r="B1605" s="8" t="n">
        <v>4413522</v>
      </c>
      <c r="C1605" s="8" t="s">
        <v>1611</v>
      </c>
      <c r="D1605" s="19" t="n">
        <v>1045</v>
      </c>
      <c r="E1605" s="19" t="n">
        <v>88755.94</v>
      </c>
      <c r="F1605" s="19" t="n">
        <v>399.157894736842</v>
      </c>
      <c r="G1605" s="19" t="n">
        <v>35737.4816842105</v>
      </c>
      <c r="H1605" s="8" t="str">
        <f aca="false">IF(COUNTIF($J$1:$J$2,$A1605)&gt;0,"Y","N")</f>
        <v>N</v>
      </c>
    </row>
    <row r="1606" customFormat="false" ht="15" hidden="false" customHeight="true" outlineLevel="0" collapsed="false">
      <c r="A1606" s="8" t="s">
        <v>1794</v>
      </c>
      <c r="B1606" s="8" t="n">
        <v>4413523</v>
      </c>
      <c r="C1606" s="8" t="s">
        <v>1612</v>
      </c>
      <c r="D1606" s="19" t="n">
        <v>890</v>
      </c>
      <c r="E1606" s="19" t="n">
        <v>74940.593</v>
      </c>
      <c r="F1606" s="19" t="n">
        <v>48</v>
      </c>
      <c r="G1606" s="19" t="n">
        <v>4566.62905263158</v>
      </c>
      <c r="H1606" s="8" t="str">
        <f aca="false">IF(COUNTIF($J$1:$J$2,$A1606)&gt;0,"Y","N")</f>
        <v>N</v>
      </c>
    </row>
    <row r="1607" customFormat="false" ht="15" hidden="false" customHeight="true" outlineLevel="0" collapsed="false">
      <c r="A1607" s="8" t="s">
        <v>1794</v>
      </c>
      <c r="B1607" s="8" t="n">
        <v>4413524</v>
      </c>
      <c r="C1607" s="8" t="s">
        <v>1613</v>
      </c>
      <c r="D1607" s="19" t="n">
        <v>969</v>
      </c>
      <c r="E1607" s="19" t="n">
        <v>82085.367</v>
      </c>
      <c r="F1607" s="19" t="n">
        <v>181.894736842105</v>
      </c>
      <c r="G1607" s="19" t="n">
        <v>16601.0437894737</v>
      </c>
      <c r="H1607" s="8" t="str">
        <f aca="false">IF(COUNTIF($J$1:$J$2,$A1607)&gt;0,"Y","N")</f>
        <v>N</v>
      </c>
    </row>
    <row r="1608" customFormat="false" ht="15" hidden="false" customHeight="true" outlineLevel="0" collapsed="false">
      <c r="A1608" s="8" t="s">
        <v>1794</v>
      </c>
      <c r="B1608" s="8" t="n">
        <v>4413525</v>
      </c>
      <c r="C1608" s="8" t="s">
        <v>1614</v>
      </c>
      <c r="D1608" s="19" t="n">
        <v>990</v>
      </c>
      <c r="E1608" s="19" t="n">
        <v>83805.176</v>
      </c>
      <c r="F1608" s="19" t="n">
        <v>298.105263157895</v>
      </c>
      <c r="G1608" s="19" t="n">
        <v>27091.1406315789</v>
      </c>
      <c r="H1608" s="8" t="str">
        <f aca="false">IF(COUNTIF($J$1:$J$2,$A1608)&gt;0,"Y","N")</f>
        <v>N</v>
      </c>
    </row>
    <row r="1609" customFormat="false" ht="15" hidden="false" customHeight="true" outlineLevel="0" collapsed="false">
      <c r="A1609" s="8" t="s">
        <v>1794</v>
      </c>
      <c r="B1609" s="8" t="n">
        <v>4413527</v>
      </c>
      <c r="C1609" s="8" t="s">
        <v>1615</v>
      </c>
      <c r="D1609" s="19" t="n">
        <v>886</v>
      </c>
      <c r="E1609" s="19" t="n">
        <v>74692.254</v>
      </c>
      <c r="F1609" s="19" t="n">
        <v>93.4736842105263</v>
      </c>
      <c r="G1609" s="19" t="n">
        <v>8675.19284210526</v>
      </c>
      <c r="H1609" s="8" t="str">
        <f aca="false">IF(COUNTIF($J$1:$J$2,$A1609)&gt;0,"Y","N")</f>
        <v>N</v>
      </c>
    </row>
    <row r="1610" customFormat="false" ht="15" hidden="false" customHeight="true" outlineLevel="0" collapsed="false">
      <c r="A1610" s="8" t="s">
        <v>1794</v>
      </c>
      <c r="B1610" s="8" t="n">
        <v>4413528</v>
      </c>
      <c r="C1610" s="8" t="s">
        <v>1616</v>
      </c>
      <c r="D1610" s="19" t="n">
        <v>1056</v>
      </c>
      <c r="E1610" s="19" t="n">
        <v>89692.694</v>
      </c>
      <c r="F1610" s="19" t="n">
        <v>477.473684210526</v>
      </c>
      <c r="G1610" s="19" t="n">
        <v>43532.5225263158</v>
      </c>
      <c r="H1610" s="8" t="str">
        <f aca="false">IF(COUNTIF($J$1:$J$2,$A1610)&gt;0,"Y","N")</f>
        <v>N</v>
      </c>
    </row>
    <row r="1611" customFormat="false" ht="15" hidden="false" customHeight="true" outlineLevel="0" collapsed="false">
      <c r="A1611" s="8" t="s">
        <v>1794</v>
      </c>
      <c r="B1611" s="8" t="n">
        <v>4413529</v>
      </c>
      <c r="C1611" s="8" t="s">
        <v>1617</v>
      </c>
      <c r="D1611" s="19" t="n">
        <v>1132</v>
      </c>
      <c r="E1611" s="19" t="n">
        <v>96169.983</v>
      </c>
      <c r="F1611" s="19" t="n">
        <v>698.526315789474</v>
      </c>
      <c r="G1611" s="19" t="n">
        <v>63411.9802105263</v>
      </c>
      <c r="H1611" s="8" t="str">
        <f aca="false">IF(COUNTIF($J$1:$J$2,$A1611)&gt;0,"Y","N")</f>
        <v>N</v>
      </c>
    </row>
    <row r="1612" customFormat="false" ht="15" hidden="false" customHeight="true" outlineLevel="0" collapsed="false">
      <c r="A1612" s="8" t="s">
        <v>1794</v>
      </c>
      <c r="B1612" s="8" t="n">
        <v>4413534</v>
      </c>
      <c r="C1612" s="8" t="s">
        <v>1619</v>
      </c>
      <c r="D1612" s="19" t="n">
        <v>0</v>
      </c>
      <c r="E1612" s="19" t="n">
        <v>0</v>
      </c>
      <c r="F1612" s="19" t="n">
        <v>50.5263157894737</v>
      </c>
      <c r="G1612" s="19" t="n">
        <v>6478.20378947368</v>
      </c>
      <c r="H1612" s="8" t="str">
        <f aca="false">IF(COUNTIF($J$1:$J$2,$A1612)&gt;0,"Y","N")</f>
        <v>N</v>
      </c>
    </row>
    <row r="1613" customFormat="false" ht="15" hidden="false" customHeight="true" outlineLevel="0" collapsed="false">
      <c r="A1613" s="8" t="s">
        <v>1794</v>
      </c>
      <c r="B1613" s="8" t="n">
        <v>4414000</v>
      </c>
      <c r="C1613" s="8" t="s">
        <v>1620</v>
      </c>
      <c r="D1613" s="19" t="n">
        <v>2132</v>
      </c>
      <c r="E1613" s="19" t="n">
        <v>60614.554</v>
      </c>
      <c r="F1613" s="19" t="n">
        <v>1806.31578947368</v>
      </c>
      <c r="G1613" s="19" t="n">
        <v>51368.5995789474</v>
      </c>
      <c r="H1613" s="8" t="str">
        <f aca="false">IF(COUNTIF($J$1:$J$2,$A1613)&gt;0,"Y","N")</f>
        <v>N</v>
      </c>
    </row>
    <row r="1614" customFormat="false" ht="15" hidden="false" customHeight="true" outlineLevel="0" collapsed="false">
      <c r="A1614" s="8" t="s">
        <v>1794</v>
      </c>
      <c r="B1614" s="8" t="n">
        <v>4415000</v>
      </c>
      <c r="C1614" s="8" t="s">
        <v>1621</v>
      </c>
      <c r="D1614" s="19" t="n">
        <v>648</v>
      </c>
      <c r="E1614" s="19" t="n">
        <v>48239.009</v>
      </c>
      <c r="F1614" s="19" t="n">
        <v>394.105263157895</v>
      </c>
      <c r="G1614" s="19" t="n">
        <v>29595.1541052632</v>
      </c>
      <c r="H1614" s="8" t="str">
        <f aca="false">IF(COUNTIF($J$1:$J$2,$A1614)&gt;0,"Y","N")</f>
        <v>N</v>
      </c>
    </row>
    <row r="1615" customFormat="false" ht="15" hidden="false" customHeight="true" outlineLevel="0" collapsed="false">
      <c r="A1615" s="8" t="s">
        <v>1794</v>
      </c>
      <c r="B1615" s="8" t="n">
        <v>4415001</v>
      </c>
      <c r="C1615" s="8" t="s">
        <v>1622</v>
      </c>
      <c r="D1615" s="19" t="n">
        <v>797</v>
      </c>
      <c r="E1615" s="19" t="n">
        <v>59295.327</v>
      </c>
      <c r="F1615" s="19" t="n">
        <v>486.315789473684</v>
      </c>
      <c r="G1615" s="19" t="n">
        <v>36819.0214736842</v>
      </c>
      <c r="H1615" s="8" t="str">
        <f aca="false">IF(COUNTIF($J$1:$J$2,$A1615)&gt;0,"Y","N")</f>
        <v>N</v>
      </c>
    </row>
    <row r="1616" customFormat="false" ht="15" hidden="false" customHeight="true" outlineLevel="0" collapsed="false">
      <c r="A1616" s="8" t="s">
        <v>1794</v>
      </c>
      <c r="B1616" s="8" t="n">
        <v>4415002</v>
      </c>
      <c r="C1616" s="8" t="s">
        <v>1623</v>
      </c>
      <c r="D1616" s="19" t="n">
        <v>589</v>
      </c>
      <c r="E1616" s="19" t="n">
        <v>43859.634</v>
      </c>
      <c r="F1616" s="19" t="n">
        <v>351.157894736842</v>
      </c>
      <c r="G1616" s="19" t="n">
        <v>26355.8223157895</v>
      </c>
      <c r="H1616" s="8" t="str">
        <f aca="false">IF(COUNTIF($J$1:$J$2,$A1616)&gt;0,"Y","N")</f>
        <v>N</v>
      </c>
    </row>
    <row r="1617" customFormat="false" ht="15" hidden="false" customHeight="true" outlineLevel="0" collapsed="false">
      <c r="A1617" s="8" t="s">
        <v>1794</v>
      </c>
      <c r="B1617" s="8" t="n">
        <v>4415003</v>
      </c>
      <c r="C1617" s="8" t="s">
        <v>1624</v>
      </c>
      <c r="D1617" s="19" t="n">
        <v>514</v>
      </c>
      <c r="E1617" s="19" t="n">
        <v>38259.494</v>
      </c>
      <c r="F1617" s="19" t="n">
        <v>248.842105263158</v>
      </c>
      <c r="G1617" s="19" t="n">
        <v>18770.2155789474</v>
      </c>
      <c r="H1617" s="8" t="str">
        <f aca="false">IF(COUNTIF($J$1:$J$2,$A1617)&gt;0,"Y","N")</f>
        <v>N</v>
      </c>
    </row>
    <row r="1618" customFormat="false" ht="15" hidden="false" customHeight="true" outlineLevel="0" collapsed="false">
      <c r="A1618" s="8" t="s">
        <v>1794</v>
      </c>
      <c r="B1618" s="8" t="n">
        <v>4415004</v>
      </c>
      <c r="C1618" s="8" t="s">
        <v>1625</v>
      </c>
      <c r="D1618" s="19" t="n">
        <v>2</v>
      </c>
      <c r="E1618" s="19" t="n">
        <v>149.058</v>
      </c>
      <c r="F1618" s="19" t="n">
        <v>0</v>
      </c>
      <c r="G1618" s="19" t="n">
        <v>0</v>
      </c>
      <c r="H1618" s="8" t="str">
        <f aca="false">IF(COUNTIF($J$1:$J$2,$A1618)&gt;0,"Y","N")</f>
        <v>N</v>
      </c>
    </row>
    <row r="1619" customFormat="false" ht="15" hidden="false" customHeight="true" outlineLevel="0" collapsed="false">
      <c r="A1619" s="8" t="s">
        <v>1794</v>
      </c>
      <c r="B1619" s="8" t="n">
        <v>4415005</v>
      </c>
      <c r="C1619" s="8" t="s">
        <v>1626</v>
      </c>
      <c r="D1619" s="19" t="n">
        <v>545</v>
      </c>
      <c r="E1619" s="19" t="n">
        <v>40544.595</v>
      </c>
      <c r="F1619" s="19" t="n">
        <v>380.21052631579</v>
      </c>
      <c r="G1619" s="19" t="n">
        <v>28483.9578947368</v>
      </c>
      <c r="H1619" s="8" t="str">
        <f aca="false">IF(COUNTIF($J$1:$J$2,$A1619)&gt;0,"Y","N")</f>
        <v>N</v>
      </c>
    </row>
    <row r="1620" customFormat="false" ht="15" hidden="false" customHeight="true" outlineLevel="0" collapsed="false">
      <c r="A1620" s="8" t="s">
        <v>1794</v>
      </c>
      <c r="B1620" s="8" t="n">
        <v>4415006</v>
      </c>
      <c r="C1620" s="8" t="s">
        <v>1627</v>
      </c>
      <c r="D1620" s="19" t="n">
        <v>621</v>
      </c>
      <c r="E1620" s="19" t="n">
        <v>46227.454</v>
      </c>
      <c r="F1620" s="19" t="n">
        <v>594.947368421053</v>
      </c>
      <c r="G1620" s="19" t="n">
        <v>44337.6138947368</v>
      </c>
      <c r="H1620" s="8" t="str">
        <f aca="false">IF(COUNTIF($J$1:$J$2,$A1620)&gt;0,"Y","N")</f>
        <v>N</v>
      </c>
    </row>
    <row r="1621" customFormat="false" ht="15" hidden="false" customHeight="true" outlineLevel="0" collapsed="false">
      <c r="A1621" s="8" t="s">
        <v>1794</v>
      </c>
      <c r="B1621" s="8" t="n">
        <v>4415007</v>
      </c>
      <c r="C1621" s="8" t="s">
        <v>1628</v>
      </c>
      <c r="D1621" s="19" t="n">
        <v>601</v>
      </c>
      <c r="E1621" s="19" t="n">
        <v>44754.71</v>
      </c>
      <c r="F1621" s="19" t="n">
        <v>557.052631578947</v>
      </c>
      <c r="G1621" s="19" t="n">
        <v>41434.0433684211</v>
      </c>
      <c r="H1621" s="8" t="str">
        <f aca="false">IF(COUNTIF($J$1:$J$2,$A1621)&gt;0,"Y","N")</f>
        <v>N</v>
      </c>
    </row>
    <row r="1622" customFormat="false" ht="15" hidden="false" customHeight="true" outlineLevel="0" collapsed="false">
      <c r="A1622" s="8" t="s">
        <v>1794</v>
      </c>
      <c r="B1622" s="8" t="n">
        <v>4415008</v>
      </c>
      <c r="C1622" s="8" t="s">
        <v>1629</v>
      </c>
      <c r="D1622" s="19" t="n">
        <v>224</v>
      </c>
      <c r="E1622" s="19" t="n">
        <v>16694.496</v>
      </c>
      <c r="F1622" s="19" t="n">
        <v>34.1052631578947</v>
      </c>
      <c r="G1622" s="19" t="n">
        <v>2849.66021052632</v>
      </c>
      <c r="H1622" s="8" t="str">
        <f aca="false">IF(COUNTIF($J$1:$J$2,$A1622)&gt;0,"Y","N")</f>
        <v>N</v>
      </c>
    </row>
    <row r="1623" customFormat="false" ht="15" hidden="false" customHeight="true" outlineLevel="0" collapsed="false">
      <c r="A1623" s="8" t="s">
        <v>1794</v>
      </c>
      <c r="B1623" s="8" t="n">
        <v>4415019</v>
      </c>
      <c r="C1623" s="8" t="s">
        <v>1632</v>
      </c>
      <c r="D1623" s="19" t="n">
        <v>1</v>
      </c>
      <c r="E1623" s="19" t="n">
        <v>130.494</v>
      </c>
      <c r="F1623" s="19" t="n">
        <v>5.05263157894737</v>
      </c>
      <c r="G1623" s="19" t="n">
        <v>295.644631578947</v>
      </c>
      <c r="H1623" s="8" t="str">
        <f aca="false">IF(COUNTIF($J$1:$J$2,$A1623)&gt;0,"Y","N")</f>
        <v>N</v>
      </c>
    </row>
    <row r="1624" customFormat="false" ht="15" hidden="false" customHeight="true" outlineLevel="0" collapsed="false">
      <c r="A1624" s="8" t="s">
        <v>1794</v>
      </c>
      <c r="B1624" s="8" t="n">
        <v>4415028</v>
      </c>
      <c r="C1624" s="8" t="s">
        <v>1636</v>
      </c>
      <c r="D1624" s="19" t="n">
        <v>194</v>
      </c>
      <c r="E1624" s="19" t="n">
        <v>3939.845</v>
      </c>
      <c r="F1624" s="19" t="n">
        <v>178.105263157895</v>
      </c>
      <c r="G1624" s="19" t="n">
        <v>4078.44757894737</v>
      </c>
      <c r="H1624" s="8" t="str">
        <f aca="false">IF(COUNTIF($J$1:$J$2,$A1624)&gt;0,"Y","N")</f>
        <v>N</v>
      </c>
    </row>
    <row r="1625" customFormat="false" ht="15" hidden="false" customHeight="true" outlineLevel="0" collapsed="false">
      <c r="A1625" s="8" t="s">
        <v>1794</v>
      </c>
      <c r="B1625" s="8" t="n">
        <v>4415029</v>
      </c>
      <c r="C1625" s="8" t="s">
        <v>1637</v>
      </c>
      <c r="D1625" s="19" t="n">
        <v>217</v>
      </c>
      <c r="E1625" s="19" t="n">
        <v>4823.546</v>
      </c>
      <c r="F1625" s="19" t="n">
        <v>199.578947368421</v>
      </c>
      <c r="G1625" s="19" t="n">
        <v>4497.66063157895</v>
      </c>
      <c r="H1625" s="8" t="str">
        <f aca="false">IF(COUNTIF($J$1:$J$2,$A1625)&gt;0,"Y","N")</f>
        <v>N</v>
      </c>
    </row>
    <row r="1626" customFormat="false" ht="15" hidden="false" customHeight="true" outlineLevel="0" collapsed="false">
      <c r="A1626" s="8" t="s">
        <v>1794</v>
      </c>
      <c r="B1626" s="8" t="n">
        <v>4415064</v>
      </c>
      <c r="C1626" s="8" t="s">
        <v>1814</v>
      </c>
      <c r="D1626" s="19" t="n">
        <v>2</v>
      </c>
      <c r="E1626" s="19" t="n">
        <v>111.748</v>
      </c>
      <c r="F1626" s="19" t="n">
        <v>0</v>
      </c>
      <c r="G1626" s="19" t="n">
        <v>0</v>
      </c>
      <c r="H1626" s="8" t="str">
        <f aca="false">IF(COUNTIF($J$1:$J$2,$A1626)&gt;0,"Y","N")</f>
        <v>N</v>
      </c>
    </row>
    <row r="1627" customFormat="false" ht="15" hidden="false" customHeight="true" outlineLevel="0" collapsed="false">
      <c r="A1627" s="8" t="s">
        <v>1794</v>
      </c>
      <c r="B1627" s="8" t="n">
        <v>4415070</v>
      </c>
      <c r="C1627" s="8" t="s">
        <v>1640</v>
      </c>
      <c r="D1627" s="19" t="n">
        <v>0</v>
      </c>
      <c r="E1627" s="19" t="n">
        <v>0</v>
      </c>
      <c r="F1627" s="19" t="n">
        <v>-1.26315789473684</v>
      </c>
      <c r="G1627" s="19" t="n">
        <v>-67.0143157894737</v>
      </c>
      <c r="H1627" s="8" t="str">
        <f aca="false">IF(COUNTIF($J$1:$J$2,$A1627)&gt;0,"Y","N")</f>
        <v>N</v>
      </c>
    </row>
    <row r="1628" customFormat="false" ht="15" hidden="false" customHeight="true" outlineLevel="0" collapsed="false">
      <c r="A1628" s="8" t="s">
        <v>1794</v>
      </c>
      <c r="B1628" s="8" t="n">
        <v>4415072</v>
      </c>
      <c r="C1628" s="8" t="s">
        <v>1642</v>
      </c>
      <c r="D1628" s="19" t="n">
        <v>1278</v>
      </c>
      <c r="E1628" s="19" t="n">
        <v>68025.867</v>
      </c>
      <c r="F1628" s="19" t="n">
        <v>1706.52631578947</v>
      </c>
      <c r="G1628" s="19" t="n">
        <v>91399.2505263158</v>
      </c>
      <c r="H1628" s="8" t="str">
        <f aca="false">IF(COUNTIF($J$1:$J$2,$A1628)&gt;0,"Y","N")</f>
        <v>N</v>
      </c>
    </row>
    <row r="1629" customFormat="false" ht="15" hidden="false" customHeight="true" outlineLevel="0" collapsed="false">
      <c r="A1629" s="8" t="s">
        <v>1794</v>
      </c>
      <c r="B1629" s="8" t="n">
        <v>4415073</v>
      </c>
      <c r="C1629" s="8" t="s">
        <v>1643</v>
      </c>
      <c r="D1629" s="19" t="n">
        <v>935</v>
      </c>
      <c r="E1629" s="19" t="n">
        <v>49758.072</v>
      </c>
      <c r="F1629" s="19" t="n">
        <v>1034.52631578947</v>
      </c>
      <c r="G1629" s="19" t="n">
        <v>55516.0155789474</v>
      </c>
      <c r="H1629" s="8" t="str">
        <f aca="false">IF(COUNTIF($J$1:$J$2,$A1629)&gt;0,"Y","N")</f>
        <v>N</v>
      </c>
    </row>
    <row r="1630" customFormat="false" ht="15" hidden="false" customHeight="true" outlineLevel="0" collapsed="false">
      <c r="A1630" s="8" t="s">
        <v>1794</v>
      </c>
      <c r="B1630" s="8" t="n">
        <v>4415074</v>
      </c>
      <c r="C1630" s="8" t="s">
        <v>1644</v>
      </c>
      <c r="D1630" s="19" t="n">
        <v>297</v>
      </c>
      <c r="E1630" s="19" t="n">
        <v>15725.619</v>
      </c>
      <c r="F1630" s="19" t="n">
        <v>271.578947368421</v>
      </c>
      <c r="G1630" s="19" t="n">
        <v>14507.1625263158</v>
      </c>
      <c r="H1630" s="8" t="str">
        <f aca="false">IF(COUNTIF($J$1:$J$2,$A1630)&gt;0,"Y","N")</f>
        <v>N</v>
      </c>
    </row>
    <row r="1631" customFormat="false" ht="15" hidden="false" customHeight="true" outlineLevel="0" collapsed="false">
      <c r="A1631" s="8" t="s">
        <v>1794</v>
      </c>
      <c r="B1631" s="8" t="n">
        <v>4415075</v>
      </c>
      <c r="C1631" s="8" t="s">
        <v>1645</v>
      </c>
      <c r="D1631" s="19" t="n">
        <v>187</v>
      </c>
      <c r="E1631" s="19" t="n">
        <v>9905.896</v>
      </c>
      <c r="F1631" s="19" t="n">
        <v>183.157894736842</v>
      </c>
      <c r="G1631" s="19" t="n">
        <v>9778.57263157895</v>
      </c>
      <c r="H1631" s="8" t="str">
        <f aca="false">IF(COUNTIF($J$1:$J$2,$A1631)&gt;0,"Y","N")</f>
        <v>N</v>
      </c>
    </row>
    <row r="1632" customFormat="false" ht="15" hidden="false" customHeight="true" outlineLevel="0" collapsed="false">
      <c r="A1632" s="8" t="s">
        <v>1794</v>
      </c>
      <c r="B1632" s="8" t="n">
        <v>4415080</v>
      </c>
      <c r="C1632" s="8" t="s">
        <v>1646</v>
      </c>
      <c r="D1632" s="19" t="n">
        <v>97</v>
      </c>
      <c r="E1632" s="19" t="n">
        <v>719.992</v>
      </c>
      <c r="F1632" s="19" t="n">
        <v>63.1578947368421</v>
      </c>
      <c r="G1632" s="19" t="n">
        <v>445.650947368421</v>
      </c>
      <c r="H1632" s="8" t="str">
        <f aca="false">IF(COUNTIF($J$1:$J$2,$A1632)&gt;0,"Y","N")</f>
        <v>N</v>
      </c>
    </row>
    <row r="1633" customFormat="false" ht="15" hidden="false" customHeight="true" outlineLevel="0" collapsed="false">
      <c r="A1633" s="8" t="s">
        <v>1794</v>
      </c>
      <c r="B1633" s="8" t="n">
        <v>4415089</v>
      </c>
      <c r="C1633" s="8" t="s">
        <v>1649</v>
      </c>
      <c r="D1633" s="19" t="n">
        <v>0</v>
      </c>
      <c r="E1633" s="19" t="n">
        <v>0</v>
      </c>
      <c r="F1633" s="19" t="n">
        <v>-1.26315789473684</v>
      </c>
      <c r="G1633" s="19" t="n">
        <v>0</v>
      </c>
      <c r="H1633" s="8" t="str">
        <f aca="false">IF(COUNTIF($J$1:$J$2,$A1633)&gt;0,"Y","N")</f>
        <v>N</v>
      </c>
    </row>
    <row r="1634" customFormat="false" ht="15" hidden="false" customHeight="true" outlineLevel="0" collapsed="false">
      <c r="A1634" s="8" t="s">
        <v>1794</v>
      </c>
      <c r="B1634" s="8" t="n">
        <v>4415093</v>
      </c>
      <c r="C1634" s="8" t="s">
        <v>1815</v>
      </c>
      <c r="D1634" s="19" t="n">
        <v>0</v>
      </c>
      <c r="E1634" s="19" t="n">
        <v>0</v>
      </c>
      <c r="F1634" s="19" t="n">
        <v>-1.26315789473684</v>
      </c>
      <c r="G1634" s="19" t="n">
        <v>-103.567578947368</v>
      </c>
      <c r="H1634" s="8" t="str">
        <f aca="false">IF(COUNTIF($J$1:$J$2,$A1634)&gt;0,"Y","N")</f>
        <v>N</v>
      </c>
    </row>
    <row r="1635" customFormat="false" ht="15" hidden="false" customHeight="true" outlineLevel="0" collapsed="false">
      <c r="A1635" s="8" t="s">
        <v>1794</v>
      </c>
      <c r="B1635" s="8" t="n">
        <v>4415095</v>
      </c>
      <c r="C1635" s="8" t="s">
        <v>1816</v>
      </c>
      <c r="D1635" s="19" t="n">
        <v>0</v>
      </c>
      <c r="E1635" s="19" t="n">
        <v>0</v>
      </c>
      <c r="F1635" s="19" t="n">
        <v>-1.26315789473684</v>
      </c>
      <c r="G1635" s="19" t="n">
        <v>0</v>
      </c>
      <c r="H1635" s="8" t="str">
        <f aca="false">IF(COUNTIF($J$1:$J$2,$A1635)&gt;0,"Y","N")</f>
        <v>N</v>
      </c>
    </row>
    <row r="1636" customFormat="false" ht="15" hidden="false" customHeight="true" outlineLevel="0" collapsed="false">
      <c r="A1636" s="8" t="s">
        <v>1794</v>
      </c>
      <c r="B1636" s="8" t="n">
        <v>4415158</v>
      </c>
      <c r="C1636" s="8" t="s">
        <v>1654</v>
      </c>
      <c r="D1636" s="19" t="n">
        <v>4521</v>
      </c>
      <c r="E1636" s="19" t="n">
        <v>277316.312</v>
      </c>
      <c r="F1636" s="19" t="n">
        <v>4587.78947368421</v>
      </c>
      <c r="G1636" s="19" t="n">
        <v>282534.654315789</v>
      </c>
      <c r="H1636" s="8" t="str">
        <f aca="false">IF(COUNTIF($J$1:$J$2,$A1636)&gt;0,"Y","N")</f>
        <v>N</v>
      </c>
    </row>
    <row r="1637" customFormat="false" ht="15" hidden="false" customHeight="true" outlineLevel="0" collapsed="false">
      <c r="A1637" s="8" t="s">
        <v>1794</v>
      </c>
      <c r="B1637" s="8" t="n">
        <v>4415159</v>
      </c>
      <c r="C1637" s="8" t="s">
        <v>1655</v>
      </c>
      <c r="D1637" s="19" t="n">
        <v>145</v>
      </c>
      <c r="E1637" s="19" t="n">
        <v>13448.435</v>
      </c>
      <c r="F1637" s="19" t="n">
        <v>161.684210526316</v>
      </c>
      <c r="G1637" s="19" t="n">
        <v>14969.7107368421</v>
      </c>
      <c r="H1637" s="8" t="str">
        <f aca="false">IF(COUNTIF($J$1:$J$2,$A1637)&gt;0,"Y","N")</f>
        <v>N</v>
      </c>
    </row>
    <row r="1638" customFormat="false" ht="15" hidden="false" customHeight="true" outlineLevel="0" collapsed="false">
      <c r="A1638" s="8" t="s">
        <v>1794</v>
      </c>
      <c r="B1638" s="8" t="n">
        <v>4415160</v>
      </c>
      <c r="C1638" s="8" t="s">
        <v>1656</v>
      </c>
      <c r="D1638" s="19" t="n">
        <v>1303</v>
      </c>
      <c r="E1638" s="19" t="n">
        <v>16907.527</v>
      </c>
      <c r="F1638" s="19" t="n">
        <v>1926.31578947368</v>
      </c>
      <c r="G1638" s="19" t="n">
        <v>26272.3705263158</v>
      </c>
      <c r="H1638" s="8" t="str">
        <f aca="false">IF(COUNTIF($J$1:$J$2,$A1638)&gt;0,"Y","N")</f>
        <v>N</v>
      </c>
    </row>
    <row r="1639" customFormat="false" ht="15" hidden="false" customHeight="true" outlineLevel="0" collapsed="false">
      <c r="A1639" s="8" t="s">
        <v>1794</v>
      </c>
      <c r="B1639" s="8" t="n">
        <v>4415161</v>
      </c>
      <c r="C1639" s="8" t="s">
        <v>1657</v>
      </c>
      <c r="D1639" s="19" t="n">
        <v>2021</v>
      </c>
      <c r="E1639" s="19" t="n">
        <v>26237.939</v>
      </c>
      <c r="F1639" s="19" t="n">
        <v>2330.52631578947</v>
      </c>
      <c r="G1639" s="19" t="n">
        <v>31665.0113684211</v>
      </c>
      <c r="H1639" s="8" t="str">
        <f aca="false">IF(COUNTIF($J$1:$J$2,$A1639)&gt;0,"Y","N")</f>
        <v>N</v>
      </c>
    </row>
    <row r="1640" customFormat="false" ht="15" hidden="false" customHeight="true" outlineLevel="0" collapsed="false">
      <c r="A1640" s="8" t="s">
        <v>1794</v>
      </c>
      <c r="B1640" s="8" t="n">
        <v>4415162</v>
      </c>
      <c r="C1640" s="8" t="s">
        <v>1658</v>
      </c>
      <c r="D1640" s="19" t="n">
        <v>1840</v>
      </c>
      <c r="E1640" s="19" t="n">
        <v>23879.947</v>
      </c>
      <c r="F1640" s="19" t="n">
        <v>2152.42105263158</v>
      </c>
      <c r="G1640" s="19" t="n">
        <v>29256.1743157895</v>
      </c>
      <c r="H1640" s="8" t="str">
        <f aca="false">IF(COUNTIF($J$1:$J$2,$A1640)&gt;0,"Y","N")</f>
        <v>N</v>
      </c>
    </row>
    <row r="1641" customFormat="false" ht="15" hidden="false" customHeight="true" outlineLevel="0" collapsed="false">
      <c r="A1641" s="8" t="s">
        <v>1794</v>
      </c>
      <c r="B1641" s="8" t="n">
        <v>4415163</v>
      </c>
      <c r="C1641" s="8" t="s">
        <v>1659</v>
      </c>
      <c r="D1641" s="19" t="n">
        <v>1128</v>
      </c>
      <c r="E1641" s="19" t="n">
        <v>14636.258</v>
      </c>
      <c r="F1641" s="19" t="n">
        <v>1292.21052631579</v>
      </c>
      <c r="G1641" s="19" t="n">
        <v>17589.3612631579</v>
      </c>
      <c r="H1641" s="8" t="str">
        <f aca="false">IF(COUNTIF($J$1:$J$2,$A1641)&gt;0,"Y","N")</f>
        <v>N</v>
      </c>
    </row>
    <row r="1642" customFormat="false" ht="15" hidden="false" customHeight="true" outlineLevel="0" collapsed="false">
      <c r="A1642" s="8" t="s">
        <v>1794</v>
      </c>
      <c r="B1642" s="8" t="n">
        <v>4415164</v>
      </c>
      <c r="C1642" s="8" t="s">
        <v>1660</v>
      </c>
      <c r="D1642" s="19" t="n">
        <v>0</v>
      </c>
      <c r="E1642" s="19" t="n">
        <v>0</v>
      </c>
      <c r="F1642" s="19" t="n">
        <v>-1.26315789473684</v>
      </c>
      <c r="G1642" s="19" t="n">
        <v>-108.280421052632</v>
      </c>
      <c r="H1642" s="8" t="str">
        <f aca="false">IF(COUNTIF($J$1:$J$2,$A1642)&gt;0,"Y","N")</f>
        <v>N</v>
      </c>
    </row>
    <row r="1643" customFormat="false" ht="15" hidden="false" customHeight="true" outlineLevel="0" collapsed="false">
      <c r="A1643" s="8" t="s">
        <v>1794</v>
      </c>
      <c r="B1643" s="8" t="n">
        <v>4415165</v>
      </c>
      <c r="C1643" s="8" t="s">
        <v>1661</v>
      </c>
      <c r="D1643" s="19" t="n">
        <v>-2</v>
      </c>
      <c r="E1643" s="19" t="n">
        <v>-171.444</v>
      </c>
      <c r="F1643" s="19" t="n">
        <v>0</v>
      </c>
      <c r="G1643" s="19" t="n">
        <v>0</v>
      </c>
      <c r="H1643" s="8" t="str">
        <f aca="false">IF(COUNTIF($J$1:$J$2,$A1643)&gt;0,"Y","N")</f>
        <v>N</v>
      </c>
    </row>
    <row r="1644" customFormat="false" ht="15" hidden="false" customHeight="true" outlineLevel="0" collapsed="false">
      <c r="A1644" s="8" t="s">
        <v>1794</v>
      </c>
      <c r="B1644" s="8" t="n">
        <v>4415297</v>
      </c>
      <c r="C1644" s="8" t="s">
        <v>1668</v>
      </c>
      <c r="D1644" s="19" t="n">
        <v>0</v>
      </c>
      <c r="E1644" s="19" t="n">
        <v>0</v>
      </c>
      <c r="F1644" s="19" t="n">
        <v>-3.78947368421053</v>
      </c>
      <c r="G1644" s="19" t="n">
        <v>-67.0143157894737</v>
      </c>
      <c r="H1644" s="8" t="str">
        <f aca="false">IF(COUNTIF($J$1:$J$2,$A1644)&gt;0,"Y","N")</f>
        <v>N</v>
      </c>
    </row>
    <row r="1645" customFormat="false" ht="15" hidden="false" customHeight="true" outlineLevel="0" collapsed="false">
      <c r="A1645" s="8" t="s">
        <v>1794</v>
      </c>
      <c r="B1645" s="8" t="n">
        <v>4415298</v>
      </c>
      <c r="C1645" s="8" t="s">
        <v>1669</v>
      </c>
      <c r="D1645" s="19" t="n">
        <v>40</v>
      </c>
      <c r="E1645" s="19" t="n">
        <v>2149.693</v>
      </c>
      <c r="F1645" s="19" t="n">
        <v>25.2631578947368</v>
      </c>
      <c r="G1645" s="19" t="n">
        <v>1486.61431578947</v>
      </c>
      <c r="H1645" s="8" t="str">
        <f aca="false">IF(COUNTIF($J$1:$J$2,$A1645)&gt;0,"Y","N")</f>
        <v>N</v>
      </c>
    </row>
    <row r="1646" customFormat="false" ht="15" hidden="false" customHeight="true" outlineLevel="0" collapsed="false">
      <c r="A1646" s="8" t="s">
        <v>1794</v>
      </c>
      <c r="B1646" s="8" t="n">
        <v>4415299</v>
      </c>
      <c r="C1646" s="8" t="s">
        <v>1670</v>
      </c>
      <c r="D1646" s="19" t="n">
        <v>47</v>
      </c>
      <c r="E1646" s="19" t="n">
        <v>2535.715</v>
      </c>
      <c r="F1646" s="19" t="n">
        <v>25.2631578947368</v>
      </c>
      <c r="G1646" s="19" t="n">
        <v>1469.02736842105</v>
      </c>
      <c r="H1646" s="8" t="str">
        <f aca="false">IF(COUNTIF($J$1:$J$2,$A1646)&gt;0,"Y","N")</f>
        <v>N</v>
      </c>
    </row>
    <row r="1647" customFormat="false" ht="15" hidden="false" customHeight="true" outlineLevel="0" collapsed="false">
      <c r="A1647" s="8" t="s">
        <v>1794</v>
      </c>
      <c r="B1647" s="8" t="n">
        <v>4416000</v>
      </c>
      <c r="C1647" s="8" t="s">
        <v>1671</v>
      </c>
      <c r="D1647" s="19" t="n">
        <v>423</v>
      </c>
      <c r="E1647" s="19" t="n">
        <v>31226.741</v>
      </c>
      <c r="F1647" s="19" t="n">
        <v>380.21052631579</v>
      </c>
      <c r="G1647" s="19" t="n">
        <v>27923.7044210526</v>
      </c>
      <c r="H1647" s="8" t="str">
        <f aca="false">IF(COUNTIF($J$1:$J$2,$A1647)&gt;0,"Y","N")</f>
        <v>N</v>
      </c>
    </row>
    <row r="1648" customFormat="false" ht="15" hidden="false" customHeight="true" outlineLevel="0" collapsed="false">
      <c r="A1648" s="8" t="s">
        <v>1794</v>
      </c>
      <c r="B1648" s="8" t="n">
        <v>4416001</v>
      </c>
      <c r="C1648" s="8" t="s">
        <v>1672</v>
      </c>
      <c r="D1648" s="19" t="n">
        <v>425</v>
      </c>
      <c r="E1648" s="19" t="n">
        <v>31313.191</v>
      </c>
      <c r="F1648" s="19" t="n">
        <v>385.263157894737</v>
      </c>
      <c r="G1648" s="19" t="n">
        <v>28196.0147368421</v>
      </c>
      <c r="H1648" s="8" t="str">
        <f aca="false">IF(COUNTIF($J$1:$J$2,$A1648)&gt;0,"Y","N")</f>
        <v>N</v>
      </c>
    </row>
    <row r="1649" customFormat="false" ht="15" hidden="false" customHeight="true" outlineLevel="0" collapsed="false">
      <c r="A1649" s="8" t="s">
        <v>1794</v>
      </c>
      <c r="B1649" s="8" t="n">
        <v>4416002</v>
      </c>
      <c r="C1649" s="8" t="s">
        <v>1673</v>
      </c>
      <c r="D1649" s="19" t="n">
        <v>158</v>
      </c>
      <c r="E1649" s="19" t="n">
        <v>11662.378</v>
      </c>
      <c r="F1649" s="19" t="n">
        <v>128.842105263158</v>
      </c>
      <c r="G1649" s="19" t="n">
        <v>9423.84505263158</v>
      </c>
      <c r="H1649" s="8" t="str">
        <f aca="false">IF(COUNTIF($J$1:$J$2,$A1649)&gt;0,"Y","N")</f>
        <v>N</v>
      </c>
    </row>
    <row r="1650" customFormat="false" ht="15" hidden="false" customHeight="true" outlineLevel="0" collapsed="false">
      <c r="A1650" s="8" t="s">
        <v>1794</v>
      </c>
      <c r="B1650" s="8" t="n">
        <v>4416003</v>
      </c>
      <c r="C1650" s="8" t="s">
        <v>1674</v>
      </c>
      <c r="D1650" s="19" t="n">
        <v>0</v>
      </c>
      <c r="E1650" s="19" t="n">
        <v>0</v>
      </c>
      <c r="F1650" s="19" t="n">
        <v>-2.52631578947368</v>
      </c>
      <c r="G1650" s="19" t="n">
        <v>-116.441684210526</v>
      </c>
      <c r="H1650" s="8" t="str">
        <f aca="false">IF(COUNTIF($J$1:$J$2,$A1650)&gt;0,"Y","N")</f>
        <v>N</v>
      </c>
    </row>
    <row r="1651" customFormat="false" ht="15" hidden="false" customHeight="true" outlineLevel="0" collapsed="false">
      <c r="A1651" s="8" t="s">
        <v>1794</v>
      </c>
      <c r="B1651" s="8" t="n">
        <v>4416006</v>
      </c>
      <c r="C1651" s="8" t="s">
        <v>1676</v>
      </c>
      <c r="D1651" s="19" t="n">
        <v>-5</v>
      </c>
      <c r="E1651" s="19" t="n">
        <v>-223.496</v>
      </c>
      <c r="F1651" s="19" t="n">
        <v>-1.26315789473684</v>
      </c>
      <c r="G1651" s="19" t="n">
        <v>-55.2896842105263</v>
      </c>
      <c r="H1651" s="8" t="str">
        <f aca="false">IF(COUNTIF($J$1:$J$2,$A1651)&gt;0,"Y","N")</f>
        <v>N</v>
      </c>
    </row>
    <row r="1652" customFormat="false" ht="15" hidden="false" customHeight="true" outlineLevel="0" collapsed="false">
      <c r="A1652" s="8" t="s">
        <v>1794</v>
      </c>
      <c r="B1652" s="8" t="n">
        <v>4416009</v>
      </c>
      <c r="C1652" s="8" t="s">
        <v>1817</v>
      </c>
      <c r="D1652" s="19" t="n">
        <v>-3</v>
      </c>
      <c r="E1652" s="19" t="n">
        <v>-219.583</v>
      </c>
      <c r="F1652" s="19" t="n">
        <v>0</v>
      </c>
      <c r="G1652" s="19" t="n">
        <v>0</v>
      </c>
      <c r="H1652" s="8" t="str">
        <f aca="false">IF(COUNTIF($J$1:$J$2,$A1652)&gt;0,"Y","N")</f>
        <v>N</v>
      </c>
    </row>
    <row r="1653" customFormat="false" ht="15" hidden="false" customHeight="true" outlineLevel="0" collapsed="false">
      <c r="A1653" s="8" t="s">
        <v>1794</v>
      </c>
      <c r="B1653" s="8" t="n">
        <v>4417000</v>
      </c>
      <c r="C1653" s="8" t="s">
        <v>1677</v>
      </c>
      <c r="D1653" s="19" t="n">
        <v>0</v>
      </c>
      <c r="E1653" s="19" t="n">
        <v>0</v>
      </c>
      <c r="F1653" s="19" t="n">
        <v>-5.05263157894737</v>
      </c>
      <c r="G1653" s="19" t="n">
        <v>-93.3372631578947</v>
      </c>
      <c r="H1653" s="8" t="str">
        <f aca="false">IF(COUNTIF($J$1:$J$2,$A1653)&gt;0,"Y","N")</f>
        <v>N</v>
      </c>
    </row>
    <row r="1654" customFormat="false" ht="15" hidden="false" customHeight="true" outlineLevel="0" collapsed="false">
      <c r="A1654" s="8" t="s">
        <v>1794</v>
      </c>
      <c r="B1654" s="8" t="n">
        <v>4418000</v>
      </c>
      <c r="C1654" s="8" t="s">
        <v>1679</v>
      </c>
      <c r="D1654" s="19" t="n">
        <v>596</v>
      </c>
      <c r="E1654" s="19" t="n">
        <v>16237.221</v>
      </c>
      <c r="F1654" s="19" t="n">
        <v>544.421052631579</v>
      </c>
      <c r="G1654" s="19" t="n">
        <v>15937.3376842105</v>
      </c>
      <c r="H1654" s="8" t="str">
        <f aca="false">IF(COUNTIF($J$1:$J$2,$A1654)&gt;0,"Y","N")</f>
        <v>N</v>
      </c>
    </row>
    <row r="1655" customFormat="false" ht="15" hidden="false" customHeight="true" outlineLevel="0" collapsed="false">
      <c r="A1655" s="8" t="s">
        <v>1794</v>
      </c>
      <c r="B1655" s="8" t="n">
        <v>4418001</v>
      </c>
      <c r="C1655" s="8" t="s">
        <v>1680</v>
      </c>
      <c r="D1655" s="19" t="n">
        <v>635</v>
      </c>
      <c r="E1655" s="19" t="n">
        <v>17293.185</v>
      </c>
      <c r="F1655" s="19" t="n">
        <v>515.368421052632</v>
      </c>
      <c r="G1655" s="19" t="n">
        <v>14398.3073684211</v>
      </c>
      <c r="H1655" s="8" t="str">
        <f aca="false">IF(COUNTIF($J$1:$J$2,$A1655)&gt;0,"Y","N")</f>
        <v>N</v>
      </c>
    </row>
    <row r="1656" customFormat="false" ht="15" hidden="false" customHeight="true" outlineLevel="0" collapsed="false">
      <c r="A1656" s="8" t="s">
        <v>1794</v>
      </c>
      <c r="B1656" s="8" t="n">
        <v>4418002</v>
      </c>
      <c r="C1656" s="8" t="s">
        <v>1681</v>
      </c>
      <c r="D1656" s="19" t="n">
        <v>371</v>
      </c>
      <c r="E1656" s="19" t="n">
        <v>10107.825</v>
      </c>
      <c r="F1656" s="19" t="n">
        <v>338.526315789474</v>
      </c>
      <c r="G1656" s="19" t="n">
        <v>9778.91747368421</v>
      </c>
      <c r="H1656" s="8" t="str">
        <f aca="false">IF(COUNTIF($J$1:$J$2,$A1656)&gt;0,"Y","N")</f>
        <v>N</v>
      </c>
    </row>
    <row r="1657" customFormat="false" ht="15" hidden="false" customHeight="true" outlineLevel="0" collapsed="false">
      <c r="A1657" s="8" t="s">
        <v>1794</v>
      </c>
      <c r="B1657" s="8" t="n">
        <v>4418003</v>
      </c>
      <c r="C1657" s="8" t="s">
        <v>1682</v>
      </c>
      <c r="D1657" s="19" t="n">
        <v>503</v>
      </c>
      <c r="E1657" s="19" t="n">
        <v>13707.33</v>
      </c>
      <c r="F1657" s="19" t="n">
        <v>385.263157894737</v>
      </c>
      <c r="G1657" s="19" t="n">
        <v>11098.7431578947</v>
      </c>
      <c r="H1657" s="8" t="str">
        <f aca="false">IF(COUNTIF($J$1:$J$2,$A1657)&gt;0,"Y","N")</f>
        <v>N</v>
      </c>
    </row>
    <row r="1658" customFormat="false" ht="15" hidden="false" customHeight="true" outlineLevel="0" collapsed="false">
      <c r="A1658" s="8" t="s">
        <v>1794</v>
      </c>
      <c r="B1658" s="8" t="n">
        <v>4418004</v>
      </c>
      <c r="C1658" s="8" t="s">
        <v>1683</v>
      </c>
      <c r="D1658" s="19" t="n">
        <v>1</v>
      </c>
      <c r="E1658" s="19" t="n">
        <v>27.3</v>
      </c>
      <c r="F1658" s="19" t="n">
        <v>0</v>
      </c>
      <c r="G1658" s="19" t="n">
        <v>0</v>
      </c>
      <c r="H1658" s="8" t="str">
        <f aca="false">IF(COUNTIF($J$1:$J$2,$A1658)&gt;0,"Y","N")</f>
        <v>N</v>
      </c>
    </row>
    <row r="1659" customFormat="false" ht="15" hidden="false" customHeight="true" outlineLevel="0" collapsed="false">
      <c r="A1659" s="8" t="s">
        <v>1794</v>
      </c>
      <c r="B1659" s="8" t="n">
        <v>4418016</v>
      </c>
      <c r="C1659" s="8" t="s">
        <v>1818</v>
      </c>
      <c r="D1659" s="19" t="n">
        <v>-3</v>
      </c>
      <c r="E1659" s="19" t="n">
        <v>-81.9</v>
      </c>
      <c r="F1659" s="19" t="n">
        <v>0</v>
      </c>
      <c r="G1659" s="19" t="n">
        <v>0</v>
      </c>
      <c r="H1659" s="8" t="str">
        <f aca="false">IF(COUNTIF($J$1:$J$2,$A1659)&gt;0,"Y","N")</f>
        <v>N</v>
      </c>
    </row>
    <row r="1660" customFormat="false" ht="15" hidden="false" customHeight="true" outlineLevel="0" collapsed="false">
      <c r="A1660" s="8" t="s">
        <v>1794</v>
      </c>
      <c r="B1660" s="8" t="n">
        <v>4419006</v>
      </c>
      <c r="C1660" s="8" t="s">
        <v>1688</v>
      </c>
      <c r="D1660" s="19" t="n">
        <v>0</v>
      </c>
      <c r="E1660" s="19" t="n">
        <v>0</v>
      </c>
      <c r="F1660" s="19" t="n">
        <v>-2.52631578947368</v>
      </c>
      <c r="G1660" s="19" t="n">
        <v>-28.0471578947368</v>
      </c>
      <c r="H1660" s="8" t="str">
        <f aca="false">IF(COUNTIF($J$1:$J$2,$A1660)&gt;0,"Y","N")</f>
        <v>N</v>
      </c>
    </row>
    <row r="1661" customFormat="false" ht="15" hidden="false" customHeight="true" outlineLevel="0" collapsed="false">
      <c r="A1661" s="8" t="s">
        <v>1794</v>
      </c>
      <c r="B1661" s="8" t="n">
        <v>4419011</v>
      </c>
      <c r="C1661" s="8" t="s">
        <v>1690</v>
      </c>
      <c r="D1661" s="19" t="n">
        <v>257</v>
      </c>
      <c r="E1661" s="19" t="n">
        <v>3911.817</v>
      </c>
      <c r="F1661" s="19" t="n">
        <v>51.7894736842105</v>
      </c>
      <c r="G1661" s="19" t="n">
        <v>847.621894736842</v>
      </c>
      <c r="H1661" s="8" t="str">
        <f aca="false">IF(COUNTIF($J$1:$J$2,$A1661)&gt;0,"Y","N")</f>
        <v>N</v>
      </c>
    </row>
    <row r="1662" customFormat="false" ht="15" hidden="false" customHeight="true" outlineLevel="0" collapsed="false">
      <c r="A1662" s="8" t="s">
        <v>1794</v>
      </c>
      <c r="B1662" s="8" t="n">
        <v>4419012</v>
      </c>
      <c r="C1662" s="8" t="s">
        <v>1691</v>
      </c>
      <c r="D1662" s="19" t="n">
        <v>95</v>
      </c>
      <c r="E1662" s="19" t="n">
        <v>1522.43</v>
      </c>
      <c r="F1662" s="19" t="n">
        <v>-72</v>
      </c>
      <c r="G1662" s="19" t="n">
        <v>-648.992842105263</v>
      </c>
      <c r="H1662" s="8" t="str">
        <f aca="false">IF(COUNTIF($J$1:$J$2,$A1662)&gt;0,"Y","N")</f>
        <v>N</v>
      </c>
    </row>
    <row r="1663" customFormat="false" ht="15" hidden="false" customHeight="true" outlineLevel="0" collapsed="false">
      <c r="A1663" s="8" t="s">
        <v>1794</v>
      </c>
      <c r="B1663" s="8" t="n">
        <v>4419013</v>
      </c>
      <c r="C1663" s="8" t="s">
        <v>1692</v>
      </c>
      <c r="D1663" s="19" t="n">
        <v>239</v>
      </c>
      <c r="E1663" s="19" t="n">
        <v>3634.085</v>
      </c>
      <c r="F1663" s="19" t="n">
        <v>60.6315789473684</v>
      </c>
      <c r="G1663" s="19" t="n">
        <v>1005.55957894737</v>
      </c>
      <c r="H1663" s="8" t="str">
        <f aca="false">IF(COUNTIF($J$1:$J$2,$A1663)&gt;0,"Y","N")</f>
        <v>N</v>
      </c>
    </row>
    <row r="1664" customFormat="false" ht="15" hidden="false" customHeight="true" outlineLevel="0" collapsed="false">
      <c r="A1664" s="8" t="s">
        <v>1794</v>
      </c>
      <c r="B1664" s="8" t="n">
        <v>4419014</v>
      </c>
      <c r="C1664" s="8" t="s">
        <v>1693</v>
      </c>
      <c r="D1664" s="19" t="n">
        <v>328</v>
      </c>
      <c r="E1664" s="19" t="n">
        <v>4959.5</v>
      </c>
      <c r="F1664" s="19" t="n">
        <v>149.052631578947</v>
      </c>
      <c r="G1664" s="19" t="n">
        <v>2273.88884210526</v>
      </c>
      <c r="H1664" s="8" t="str">
        <f aca="false">IF(COUNTIF($J$1:$J$2,$A1664)&gt;0,"Y","N")</f>
        <v>N</v>
      </c>
    </row>
    <row r="1665" customFormat="false" ht="15" hidden="false" customHeight="true" outlineLevel="0" collapsed="false">
      <c r="A1665" s="8" t="s">
        <v>1794</v>
      </c>
      <c r="B1665" s="8" t="n">
        <v>4420001</v>
      </c>
      <c r="C1665" s="8" t="s">
        <v>1695</v>
      </c>
      <c r="D1665" s="19" t="n">
        <v>34</v>
      </c>
      <c r="E1665" s="19" t="n">
        <v>306.579</v>
      </c>
      <c r="F1665" s="19" t="n">
        <v>35.3684210526316</v>
      </c>
      <c r="G1665" s="19" t="n">
        <v>321.737684210526</v>
      </c>
      <c r="H1665" s="8" t="str">
        <f aca="false">IF(COUNTIF($J$1:$J$2,$A1665)&gt;0,"Y","N")</f>
        <v>N</v>
      </c>
    </row>
    <row r="1666" customFormat="false" ht="15" hidden="false" customHeight="true" outlineLevel="0" collapsed="false">
      <c r="A1666" s="8" t="s">
        <v>1794</v>
      </c>
      <c r="B1666" s="8" t="n">
        <v>4420005</v>
      </c>
      <c r="C1666" s="8" t="s">
        <v>1699</v>
      </c>
      <c r="D1666" s="19" t="n">
        <v>0</v>
      </c>
      <c r="E1666" s="19" t="n">
        <v>7.007</v>
      </c>
      <c r="F1666" s="19" t="n">
        <v>-2.52631578947368</v>
      </c>
      <c r="G1666" s="19" t="n">
        <v>-83.9115789473684</v>
      </c>
      <c r="H1666" s="8" t="str">
        <f aca="false">IF(COUNTIF($J$1:$J$2,$A1666)&gt;0,"Y","N")</f>
        <v>N</v>
      </c>
    </row>
    <row r="1667" customFormat="false" ht="15" hidden="false" customHeight="true" outlineLevel="0" collapsed="false">
      <c r="A1667" s="8" t="s">
        <v>1794</v>
      </c>
      <c r="B1667" s="8" t="n">
        <v>4420006</v>
      </c>
      <c r="C1667" s="8" t="s">
        <v>1789</v>
      </c>
      <c r="D1667" s="19" t="n">
        <v>0</v>
      </c>
      <c r="E1667" s="19" t="n">
        <v>0</v>
      </c>
      <c r="F1667" s="19" t="n">
        <v>-1.26315789473684</v>
      </c>
      <c r="G1667" s="19" t="n">
        <v>-41.9557894736842</v>
      </c>
      <c r="H1667" s="8" t="str">
        <f aca="false">IF(COUNTIF($J$1:$J$2,$A1667)&gt;0,"Y","N")</f>
        <v>N</v>
      </c>
    </row>
    <row r="1668" customFormat="false" ht="15" hidden="false" customHeight="true" outlineLevel="0" collapsed="false">
      <c r="A1668" s="8" t="s">
        <v>1794</v>
      </c>
      <c r="B1668" s="8" t="n">
        <v>4420007</v>
      </c>
      <c r="C1668" s="8" t="s">
        <v>1700</v>
      </c>
      <c r="D1668" s="19" t="n">
        <v>6</v>
      </c>
      <c r="E1668" s="19" t="n">
        <v>199.381</v>
      </c>
      <c r="F1668" s="19" t="n">
        <v>0</v>
      </c>
      <c r="G1668" s="19" t="n">
        <v>0</v>
      </c>
      <c r="H1668" s="8" t="str">
        <f aca="false">IF(COUNTIF($J$1:$J$2,$A1668)&gt;0,"Y","N")</f>
        <v>N</v>
      </c>
    </row>
    <row r="1669" customFormat="false" ht="15" hidden="false" customHeight="true" outlineLevel="0" collapsed="false">
      <c r="A1669" s="8" t="s">
        <v>1794</v>
      </c>
      <c r="B1669" s="8" t="n">
        <v>4420008</v>
      </c>
      <c r="C1669" s="8" t="s">
        <v>1701</v>
      </c>
      <c r="D1669" s="19" t="n">
        <v>3</v>
      </c>
      <c r="E1669" s="19" t="n">
        <v>99.736</v>
      </c>
      <c r="F1669" s="19" t="n">
        <v>0</v>
      </c>
      <c r="G1669" s="19" t="n">
        <v>0</v>
      </c>
      <c r="H1669" s="8" t="str">
        <f aca="false">IF(COUNTIF($J$1:$J$2,$A1669)&gt;0,"Y","N")</f>
        <v>N</v>
      </c>
    </row>
    <row r="1670" customFormat="false" ht="15" hidden="false" customHeight="true" outlineLevel="0" collapsed="false">
      <c r="A1670" s="8" t="s">
        <v>1794</v>
      </c>
      <c r="B1670" s="8" t="n">
        <v>4420010</v>
      </c>
      <c r="C1670" s="8" t="s">
        <v>1703</v>
      </c>
      <c r="D1670" s="19" t="n">
        <v>1</v>
      </c>
      <c r="E1670" s="19" t="n">
        <v>33.215</v>
      </c>
      <c r="F1670" s="19" t="n">
        <v>-1.26315789473684</v>
      </c>
      <c r="G1670" s="19" t="n">
        <v>-37.5877894736842</v>
      </c>
      <c r="H1670" s="8" t="str">
        <f aca="false">IF(COUNTIF($J$1:$J$2,$A1670)&gt;0,"Y","N")</f>
        <v>N</v>
      </c>
    </row>
    <row r="1671" customFormat="false" ht="15" hidden="false" customHeight="true" outlineLevel="0" collapsed="false">
      <c r="A1671" s="8" t="s">
        <v>1794</v>
      </c>
      <c r="B1671" s="8" t="n">
        <v>4420011</v>
      </c>
      <c r="C1671" s="8" t="s">
        <v>1790</v>
      </c>
      <c r="D1671" s="19" t="n">
        <v>-2</v>
      </c>
      <c r="E1671" s="19" t="n">
        <v>-66.43</v>
      </c>
      <c r="F1671" s="19" t="n">
        <v>0</v>
      </c>
      <c r="G1671" s="19" t="n">
        <v>0</v>
      </c>
      <c r="H1671" s="8" t="str">
        <f aca="false">IF(COUNTIF($J$1:$J$2,$A1671)&gt;0,"Y","N")</f>
        <v>N</v>
      </c>
    </row>
    <row r="1672" customFormat="false" ht="15" hidden="false" customHeight="true" outlineLevel="0" collapsed="false">
      <c r="A1672" s="8" t="s">
        <v>1794</v>
      </c>
      <c r="B1672" s="8" t="n">
        <v>4420012</v>
      </c>
      <c r="C1672" s="8" t="s">
        <v>1704</v>
      </c>
      <c r="D1672" s="19" t="n">
        <v>3</v>
      </c>
      <c r="E1672" s="19" t="n">
        <v>99.736</v>
      </c>
      <c r="F1672" s="19" t="n">
        <v>-1.26315789473684</v>
      </c>
      <c r="G1672" s="19" t="n">
        <v>-41.9557894736842</v>
      </c>
      <c r="H1672" s="8" t="str">
        <f aca="false">IF(COUNTIF($J$1:$J$2,$A1672)&gt;0,"Y","N")</f>
        <v>N</v>
      </c>
    </row>
    <row r="1673" customFormat="false" ht="15" hidden="false" customHeight="true" outlineLevel="0" collapsed="false">
      <c r="A1673" s="8" t="s">
        <v>1794</v>
      </c>
      <c r="B1673" s="8" t="n">
        <v>4420013</v>
      </c>
      <c r="C1673" s="8" t="s">
        <v>1791</v>
      </c>
      <c r="D1673" s="19" t="n">
        <v>0</v>
      </c>
      <c r="E1673" s="19" t="n">
        <v>3.367</v>
      </c>
      <c r="F1673" s="19" t="n">
        <v>0</v>
      </c>
      <c r="G1673" s="19" t="n">
        <v>0</v>
      </c>
      <c r="H1673" s="8" t="str">
        <f aca="false">IF(COUNTIF($J$1:$J$2,$A1673)&gt;0,"Y","N")</f>
        <v>N</v>
      </c>
    </row>
    <row r="1674" customFormat="false" ht="15" hidden="false" customHeight="true" outlineLevel="0" collapsed="false">
      <c r="A1674" s="8" t="s">
        <v>1794</v>
      </c>
      <c r="B1674" s="8" t="n">
        <v>4420014</v>
      </c>
      <c r="C1674" s="8" t="s">
        <v>1819</v>
      </c>
      <c r="D1674" s="19" t="n">
        <v>-5</v>
      </c>
      <c r="E1674" s="19" t="n">
        <v>-166.166</v>
      </c>
      <c r="F1674" s="19" t="n">
        <v>0</v>
      </c>
      <c r="G1674" s="19" t="n">
        <v>0</v>
      </c>
      <c r="H1674" s="8" t="str">
        <f aca="false">IF(COUNTIF($J$1:$J$2,$A1674)&gt;0,"Y","N")</f>
        <v>N</v>
      </c>
    </row>
    <row r="1675" customFormat="false" ht="15" hidden="false" customHeight="true" outlineLevel="0" collapsed="false">
      <c r="A1675" s="8" t="s">
        <v>1794</v>
      </c>
      <c r="B1675" s="8" t="n">
        <v>4420015</v>
      </c>
      <c r="C1675" s="8" t="s">
        <v>1820</v>
      </c>
      <c r="D1675" s="19" t="n">
        <v>-3</v>
      </c>
      <c r="E1675" s="19" t="n">
        <v>-99.736</v>
      </c>
      <c r="F1675" s="19" t="n">
        <v>-1.26315789473684</v>
      </c>
      <c r="G1675" s="19" t="n">
        <v>-41.9557894736842</v>
      </c>
      <c r="H1675" s="8" t="str">
        <f aca="false">IF(COUNTIF($J$1:$J$2,$A1675)&gt;0,"Y","N")</f>
        <v>N</v>
      </c>
    </row>
    <row r="1676" customFormat="false" ht="15" hidden="false" customHeight="true" outlineLevel="0" collapsed="false">
      <c r="A1676" s="8" t="s">
        <v>1794</v>
      </c>
      <c r="B1676" s="8" t="n">
        <v>4420016</v>
      </c>
      <c r="C1676" s="8" t="s">
        <v>1705</v>
      </c>
      <c r="D1676" s="19" t="n">
        <v>965</v>
      </c>
      <c r="E1676" s="19" t="n">
        <v>39480.441</v>
      </c>
      <c r="F1676" s="19" t="n">
        <v>582.315789473684</v>
      </c>
      <c r="G1676" s="19" t="n">
        <v>23802.2665263158</v>
      </c>
      <c r="H1676" s="8" t="str">
        <f aca="false">IF(COUNTIF($J$1:$J$2,$A1676)&gt;0,"Y","N")</f>
        <v>N</v>
      </c>
    </row>
    <row r="1677" customFormat="false" ht="15" hidden="false" customHeight="true" outlineLevel="0" collapsed="false">
      <c r="A1677" s="8" t="s">
        <v>1794</v>
      </c>
      <c r="B1677" s="8" t="n">
        <v>4420017</v>
      </c>
      <c r="C1677" s="8" t="s">
        <v>106</v>
      </c>
      <c r="D1677" s="19" t="n">
        <v>40</v>
      </c>
      <c r="E1677" s="19" t="n">
        <v>3391.024</v>
      </c>
      <c r="F1677" s="19" t="n">
        <v>15.1578947368421</v>
      </c>
      <c r="G1677" s="19" t="n">
        <v>1362.47115789474</v>
      </c>
      <c r="H1677" s="8" t="str">
        <f aca="false">IF(COUNTIF($J$1:$J$2,$A1677)&gt;0,"Y","N")</f>
        <v>N</v>
      </c>
    </row>
    <row r="1678" customFormat="false" ht="15" hidden="false" customHeight="true" outlineLevel="0" collapsed="false">
      <c r="A1678" s="8" t="s">
        <v>1794</v>
      </c>
      <c r="B1678" s="8" t="n">
        <v>4420019</v>
      </c>
      <c r="C1678" s="8" t="s">
        <v>1792</v>
      </c>
      <c r="D1678" s="19" t="n">
        <v>2</v>
      </c>
      <c r="E1678" s="19" t="n">
        <v>89.362</v>
      </c>
      <c r="F1678" s="19" t="n">
        <v>-1.26315789473684</v>
      </c>
      <c r="G1678" s="19" t="n">
        <v>-56.4391578947368</v>
      </c>
      <c r="H1678" s="8" t="str">
        <f aca="false">IF(COUNTIF($J$1:$J$2,$A1678)&gt;0,"Y","N")</f>
        <v>N</v>
      </c>
    </row>
    <row r="1679" customFormat="false" ht="15" hidden="false" customHeight="true" outlineLevel="0" collapsed="false">
      <c r="A1679" s="8" t="s">
        <v>1794</v>
      </c>
      <c r="B1679" s="8" t="n">
        <v>4420021</v>
      </c>
      <c r="C1679" s="8" t="s">
        <v>1821</v>
      </c>
      <c r="D1679" s="19" t="n">
        <v>-1</v>
      </c>
      <c r="E1679" s="19" t="n">
        <v>-67.249</v>
      </c>
      <c r="F1679" s="19" t="n">
        <v>-2.52631578947368</v>
      </c>
      <c r="G1679" s="19" t="n">
        <v>-169.892210526316</v>
      </c>
      <c r="H1679" s="8" t="str">
        <f aca="false">IF(COUNTIF($J$1:$J$2,$A1679)&gt;0,"Y","N")</f>
        <v>N</v>
      </c>
    </row>
    <row r="1680" customFormat="false" ht="15" hidden="false" customHeight="true" outlineLevel="0" collapsed="false">
      <c r="A1680" s="8" t="s">
        <v>1794</v>
      </c>
      <c r="B1680" s="8" t="n">
        <v>4420023</v>
      </c>
      <c r="C1680" s="8" t="s">
        <v>1708</v>
      </c>
      <c r="D1680" s="19" t="n">
        <v>-3</v>
      </c>
      <c r="E1680" s="19" t="n">
        <v>-78.078</v>
      </c>
      <c r="F1680" s="19" t="n">
        <v>1.26315789473684</v>
      </c>
      <c r="G1680" s="19" t="n">
        <v>27.9322105263158</v>
      </c>
      <c r="H1680" s="8" t="str">
        <f aca="false">IF(COUNTIF($J$1:$J$2,$A1680)&gt;0,"Y","N")</f>
        <v>N</v>
      </c>
    </row>
    <row r="1681" customFormat="false" ht="15" hidden="false" customHeight="true" outlineLevel="0" collapsed="false">
      <c r="A1681" s="8" t="s">
        <v>1794</v>
      </c>
      <c r="B1681" s="8" t="n">
        <v>4420025</v>
      </c>
      <c r="C1681" s="8" t="s">
        <v>1710</v>
      </c>
      <c r="D1681" s="19" t="n">
        <v>-2</v>
      </c>
      <c r="E1681" s="19" t="n">
        <v>-36.855</v>
      </c>
      <c r="F1681" s="19" t="n">
        <v>-3.78947368421053</v>
      </c>
      <c r="G1681" s="19" t="n">
        <v>-69.888</v>
      </c>
      <c r="H1681" s="8" t="str">
        <f aca="false">IF(COUNTIF($J$1:$J$2,$A1681)&gt;0,"Y","N")</f>
        <v>N</v>
      </c>
    </row>
    <row r="1682" customFormat="false" ht="15" hidden="false" customHeight="true" outlineLevel="0" collapsed="false">
      <c r="A1682" s="8" t="s">
        <v>1794</v>
      </c>
      <c r="B1682" s="8" t="n">
        <v>4420027</v>
      </c>
      <c r="C1682" s="8" t="s">
        <v>1712</v>
      </c>
      <c r="D1682" s="19" t="n">
        <v>140</v>
      </c>
      <c r="E1682" s="19" t="n">
        <v>1305.031</v>
      </c>
      <c r="F1682" s="19" t="n">
        <v>70.7368421052632</v>
      </c>
      <c r="G1682" s="19" t="n">
        <v>660.372631578947</v>
      </c>
      <c r="H1682" s="8" t="str">
        <f aca="false">IF(COUNTIF($J$1:$J$2,$A1682)&gt;0,"Y","N")</f>
        <v>N</v>
      </c>
    </row>
    <row r="1683" customFormat="false" ht="15" hidden="false" customHeight="true" outlineLevel="0" collapsed="false">
      <c r="A1683" s="8" t="s">
        <v>1794</v>
      </c>
      <c r="B1683" s="8" t="n">
        <v>4421001</v>
      </c>
      <c r="C1683" s="8" t="s">
        <v>1723</v>
      </c>
      <c r="D1683" s="19" t="n">
        <v>1179</v>
      </c>
      <c r="E1683" s="19" t="n">
        <v>55683.355</v>
      </c>
      <c r="F1683" s="19" t="n">
        <v>914.526315789474</v>
      </c>
      <c r="G1683" s="19" t="n">
        <v>43348.032</v>
      </c>
      <c r="H1683" s="8" t="str">
        <f aca="false">IF(COUNTIF($J$1:$J$2,$A1683)&gt;0,"Y","N")</f>
        <v>N</v>
      </c>
    </row>
    <row r="1684" customFormat="false" ht="15" hidden="false" customHeight="true" outlineLevel="0" collapsed="false">
      <c r="A1684" s="8" t="s">
        <v>1794</v>
      </c>
      <c r="B1684" s="8" t="n">
        <v>4421003</v>
      </c>
      <c r="C1684" s="8" t="s">
        <v>1724</v>
      </c>
      <c r="D1684" s="19" t="n">
        <v>968</v>
      </c>
      <c r="E1684" s="19" t="n">
        <v>25176.333</v>
      </c>
      <c r="F1684" s="19" t="n">
        <v>821.052631578947</v>
      </c>
      <c r="G1684" s="19" t="n">
        <v>21965.1776842105</v>
      </c>
      <c r="H1684" s="8" t="str">
        <f aca="false">IF(COUNTIF($J$1:$J$2,$A1684)&gt;0,"Y","N")</f>
        <v>N</v>
      </c>
    </row>
    <row r="1685" customFormat="false" ht="15" hidden="false" customHeight="true" outlineLevel="0" collapsed="false">
      <c r="A1685" s="8" t="s">
        <v>1794</v>
      </c>
      <c r="B1685" s="8" t="n">
        <v>4421005</v>
      </c>
      <c r="C1685" s="8" t="s">
        <v>1725</v>
      </c>
      <c r="D1685" s="19" t="n">
        <v>382</v>
      </c>
      <c r="E1685" s="19" t="n">
        <v>9965.683</v>
      </c>
      <c r="F1685" s="19" t="n">
        <v>500.210526315789</v>
      </c>
      <c r="G1685" s="19" t="n">
        <v>12982.5006315789</v>
      </c>
      <c r="H1685" s="8" t="str">
        <f aca="false">IF(COUNTIF($J$1:$J$2,$A1685)&gt;0,"Y","N")</f>
        <v>N</v>
      </c>
    </row>
    <row r="1686" customFormat="false" ht="15" hidden="false" customHeight="true" outlineLevel="0" collapsed="false">
      <c r="A1686" s="8" t="s">
        <v>1794</v>
      </c>
      <c r="B1686" s="8" t="n">
        <v>4421006</v>
      </c>
      <c r="C1686" s="8" t="s">
        <v>1726</v>
      </c>
      <c r="D1686" s="19" t="n">
        <v>532</v>
      </c>
      <c r="E1686" s="19" t="n">
        <v>14988.428</v>
      </c>
      <c r="F1686" s="19" t="n">
        <v>738.947368421053</v>
      </c>
      <c r="G1686" s="19" t="n">
        <v>20818.5776842105</v>
      </c>
      <c r="H1686" s="8" t="str">
        <f aca="false">IF(COUNTIF($J$1:$J$2,$A1686)&gt;0,"Y","N")</f>
        <v>N</v>
      </c>
    </row>
    <row r="1687" customFormat="false" ht="15" hidden="false" customHeight="true" outlineLevel="0" collapsed="false">
      <c r="A1687" s="8" t="s">
        <v>1794</v>
      </c>
      <c r="B1687" s="8" t="n">
        <v>4421007</v>
      </c>
      <c r="C1687" s="8" t="s">
        <v>1727</v>
      </c>
      <c r="D1687" s="19" t="n">
        <v>262</v>
      </c>
      <c r="E1687" s="19" t="n">
        <v>8755.929</v>
      </c>
      <c r="F1687" s="19" t="n">
        <v>397.894736842105</v>
      </c>
      <c r="G1687" s="19" t="n">
        <v>13280.5591578947</v>
      </c>
      <c r="H1687" s="8" t="str">
        <f aca="false">IF(COUNTIF($J$1:$J$2,$A1687)&gt;0,"Y","N")</f>
        <v>N</v>
      </c>
    </row>
    <row r="1688" customFormat="false" ht="15" hidden="false" customHeight="true" outlineLevel="0" collapsed="false">
      <c r="A1688" s="8" t="s">
        <v>1794</v>
      </c>
      <c r="B1688" s="8" t="n">
        <v>4421008</v>
      </c>
      <c r="C1688" s="8" t="s">
        <v>1728</v>
      </c>
      <c r="D1688" s="19" t="n">
        <v>350</v>
      </c>
      <c r="E1688" s="19" t="n">
        <v>12342.694</v>
      </c>
      <c r="F1688" s="19" t="n">
        <v>377.684210526316</v>
      </c>
      <c r="G1688" s="19" t="n">
        <v>13269.0644210526</v>
      </c>
      <c r="H1688" s="8" t="str">
        <f aca="false">IF(COUNTIF($J$1:$J$2,$A1688)&gt;0,"Y","N")</f>
        <v>N</v>
      </c>
    </row>
    <row r="1689" customFormat="false" ht="15" hidden="false" customHeight="true" outlineLevel="0" collapsed="false">
      <c r="A1689" s="8" t="s">
        <v>1794</v>
      </c>
      <c r="B1689" s="8" t="n">
        <v>4422000</v>
      </c>
      <c r="C1689" s="8" t="s">
        <v>1729</v>
      </c>
      <c r="D1689" s="19" t="n">
        <v>283</v>
      </c>
      <c r="E1689" s="19" t="n">
        <v>4155.697</v>
      </c>
      <c r="F1689" s="19" t="n">
        <v>540.631578947368</v>
      </c>
      <c r="G1689" s="19" t="n">
        <v>8120.68673684211</v>
      </c>
      <c r="H1689" s="8" t="str">
        <f aca="false">IF(COUNTIF($J$1:$J$2,$A1689)&gt;0,"Y","N")</f>
        <v>N</v>
      </c>
    </row>
    <row r="1690" customFormat="false" ht="15" hidden="false" customHeight="true" outlineLevel="0" collapsed="false">
      <c r="A1690" s="8" t="s">
        <v>1794</v>
      </c>
      <c r="B1690" s="8" t="n">
        <v>4422003</v>
      </c>
      <c r="C1690" s="8" t="s">
        <v>1730</v>
      </c>
      <c r="D1690" s="19" t="n">
        <v>-3</v>
      </c>
      <c r="E1690" s="19" t="n">
        <v>-64.337</v>
      </c>
      <c r="F1690" s="19" t="n">
        <v>0</v>
      </c>
      <c r="G1690" s="19" t="n">
        <v>0</v>
      </c>
      <c r="H1690" s="8" t="str">
        <f aca="false">IF(COUNTIF($J$1:$J$2,$A1690)&gt;0,"Y","N")</f>
        <v>N</v>
      </c>
    </row>
    <row r="1691" customFormat="false" ht="15" hidden="false" customHeight="true" outlineLevel="0" collapsed="false">
      <c r="A1691" s="8" t="s">
        <v>1794</v>
      </c>
      <c r="B1691" s="8" t="n">
        <v>4422005</v>
      </c>
      <c r="C1691" s="8" t="s">
        <v>1732</v>
      </c>
      <c r="D1691" s="19" t="n">
        <v>5</v>
      </c>
      <c r="E1691" s="19" t="n">
        <v>752.934</v>
      </c>
      <c r="F1691" s="19" t="n">
        <v>7.57894736842105</v>
      </c>
      <c r="G1691" s="19" t="n">
        <v>908.544</v>
      </c>
      <c r="H1691" s="8" t="str">
        <f aca="false">IF(COUNTIF($J$1:$J$2,$A1691)&gt;0,"Y","N")</f>
        <v>N</v>
      </c>
    </row>
    <row r="1692" customFormat="false" ht="15" hidden="false" customHeight="true" outlineLevel="0" collapsed="false">
      <c r="A1692" s="8" t="s">
        <v>1794</v>
      </c>
      <c r="B1692" s="8" t="n">
        <v>4422006</v>
      </c>
      <c r="C1692" s="8" t="s">
        <v>1733</v>
      </c>
      <c r="D1692" s="19" t="n">
        <v>4</v>
      </c>
      <c r="E1692" s="19" t="n">
        <v>596.414</v>
      </c>
      <c r="F1692" s="19" t="n">
        <v>7.57894736842105</v>
      </c>
      <c r="G1692" s="19" t="n">
        <v>1121.08168421053</v>
      </c>
      <c r="H1692" s="8" t="str">
        <f aca="false">IF(COUNTIF($J$1:$J$2,$A1692)&gt;0,"Y","N")</f>
        <v>N</v>
      </c>
    </row>
    <row r="1693" customFormat="false" ht="15" hidden="false" customHeight="true" outlineLevel="0" collapsed="false">
      <c r="A1693" s="8" t="s">
        <v>1794</v>
      </c>
      <c r="B1693" s="8" t="n">
        <v>4422007</v>
      </c>
      <c r="C1693" s="8" t="s">
        <v>1734</v>
      </c>
      <c r="D1693" s="19" t="n">
        <v>4</v>
      </c>
      <c r="E1693" s="19" t="n">
        <v>596.414</v>
      </c>
      <c r="F1693" s="19" t="n">
        <v>7.57894736842105</v>
      </c>
      <c r="G1693" s="19" t="n">
        <v>1121.08168421053</v>
      </c>
      <c r="H1693" s="8" t="str">
        <f aca="false">IF(COUNTIF($J$1:$J$2,$A1693)&gt;0,"Y","N")</f>
        <v>N</v>
      </c>
    </row>
    <row r="1694" customFormat="false" ht="15" hidden="false" customHeight="true" outlineLevel="0" collapsed="false">
      <c r="A1694" s="8" t="s">
        <v>1794</v>
      </c>
      <c r="B1694" s="8" t="n">
        <v>4422023</v>
      </c>
      <c r="C1694" s="8" t="s">
        <v>1736</v>
      </c>
      <c r="D1694" s="19" t="n">
        <v>3203</v>
      </c>
      <c r="E1694" s="19" t="n">
        <v>29599.024</v>
      </c>
      <c r="F1694" s="19" t="n">
        <v>1486.73684210526</v>
      </c>
      <c r="G1694" s="19" t="n">
        <v>13812.1907368421</v>
      </c>
      <c r="H1694" s="8" t="str">
        <f aca="false">IF(COUNTIF($J$1:$J$2,$A1694)&gt;0,"Y","N")</f>
        <v>N</v>
      </c>
    </row>
    <row r="1695" customFormat="false" ht="15" hidden="false" customHeight="true" outlineLevel="0" collapsed="false">
      <c r="A1695" s="8" t="s">
        <v>1794</v>
      </c>
      <c r="B1695" s="8" t="n">
        <v>4422024</v>
      </c>
      <c r="C1695" s="8" t="s">
        <v>1737</v>
      </c>
      <c r="D1695" s="19" t="n">
        <v>2756</v>
      </c>
      <c r="E1695" s="19" t="n">
        <v>25484.914</v>
      </c>
      <c r="F1695" s="19" t="n">
        <v>2301.47368421053</v>
      </c>
      <c r="G1695" s="19" t="n">
        <v>21437.9141052632</v>
      </c>
      <c r="H1695" s="8" t="str">
        <f aca="false">IF(COUNTIF($J$1:$J$2,$A1695)&gt;0,"Y","N")</f>
        <v>N</v>
      </c>
    </row>
    <row r="1696" customFormat="false" ht="15" hidden="false" customHeight="true" outlineLevel="0" collapsed="false">
      <c r="A1696" s="8" t="s">
        <v>1794</v>
      </c>
      <c r="B1696" s="8" t="n">
        <v>4422025</v>
      </c>
      <c r="C1696" s="8" t="s">
        <v>1738</v>
      </c>
      <c r="D1696" s="19" t="n">
        <v>1749</v>
      </c>
      <c r="E1696" s="19" t="n">
        <v>16227.666</v>
      </c>
      <c r="F1696" s="19" t="n">
        <v>1035.78947368421</v>
      </c>
      <c r="G1696" s="19" t="n">
        <v>9733.97305263158</v>
      </c>
      <c r="H1696" s="8" t="str">
        <f aca="false">IF(COUNTIF($J$1:$J$2,$A1696)&gt;0,"Y","N")</f>
        <v>N</v>
      </c>
    </row>
    <row r="1697" customFormat="false" ht="15" hidden="false" customHeight="true" outlineLevel="0" collapsed="false">
      <c r="A1697" s="8" t="s">
        <v>1794</v>
      </c>
      <c r="B1697" s="8" t="n">
        <v>4422026</v>
      </c>
      <c r="C1697" s="8" t="s">
        <v>1739</v>
      </c>
      <c r="D1697" s="19" t="n">
        <v>980</v>
      </c>
      <c r="E1697" s="19" t="n">
        <v>9042.033</v>
      </c>
      <c r="F1697" s="19" t="n">
        <v>880.421052631579</v>
      </c>
      <c r="G1697" s="19" t="n">
        <v>8226.66821052632</v>
      </c>
      <c r="H1697" s="8" t="str">
        <f aca="false">IF(COUNTIF($J$1:$J$2,$A1697)&gt;0,"Y","N")</f>
        <v>N</v>
      </c>
    </row>
    <row r="1698" customFormat="false" ht="15" hidden="false" customHeight="true" outlineLevel="0" collapsed="false">
      <c r="A1698" s="8" t="s">
        <v>1794</v>
      </c>
      <c r="B1698" s="8" t="n">
        <v>4422031</v>
      </c>
      <c r="C1698" s="8" t="s">
        <v>1740</v>
      </c>
      <c r="D1698" s="19" t="n">
        <v>1235</v>
      </c>
      <c r="E1698" s="19" t="n">
        <v>11404.302</v>
      </c>
      <c r="F1698" s="19" t="n">
        <v>1248</v>
      </c>
      <c r="G1698" s="19" t="n">
        <v>11575.8896842105</v>
      </c>
      <c r="H1698" s="8" t="str">
        <f aca="false">IF(COUNTIF($J$1:$J$2,$A1698)&gt;0,"Y","N")</f>
        <v>N</v>
      </c>
    </row>
    <row r="1699" customFormat="false" ht="15" hidden="false" customHeight="true" outlineLevel="0" collapsed="false">
      <c r="A1699" s="8" t="s">
        <v>1794</v>
      </c>
      <c r="B1699" s="8" t="n">
        <v>4422032</v>
      </c>
      <c r="C1699" s="8" t="s">
        <v>1741</v>
      </c>
      <c r="D1699" s="19" t="n">
        <v>1790</v>
      </c>
      <c r="E1699" s="19" t="n">
        <v>16529.877</v>
      </c>
      <c r="F1699" s="19" t="n">
        <v>732.631578947368</v>
      </c>
      <c r="G1699" s="19" t="n">
        <v>6830.28757894737</v>
      </c>
      <c r="H1699" s="8" t="str">
        <f aca="false">IF(COUNTIF($J$1:$J$2,$A1699)&gt;0,"Y","N")</f>
        <v>N</v>
      </c>
    </row>
    <row r="1700" customFormat="false" ht="15" hidden="false" customHeight="true" outlineLevel="0" collapsed="false">
      <c r="A1700" s="8" t="s">
        <v>1794</v>
      </c>
      <c r="B1700" s="8" t="n">
        <v>4422033</v>
      </c>
      <c r="C1700" s="8" t="s">
        <v>1742</v>
      </c>
      <c r="D1700" s="19" t="n">
        <v>1556</v>
      </c>
      <c r="E1700" s="19" t="n">
        <v>14374.087</v>
      </c>
      <c r="F1700" s="19" t="n">
        <v>452.210526315789</v>
      </c>
      <c r="G1700" s="19" t="n">
        <v>4224.08589473684</v>
      </c>
      <c r="H1700" s="8" t="str">
        <f aca="false">IF(COUNTIF($J$1:$J$2,$A1700)&gt;0,"Y","N")</f>
        <v>N</v>
      </c>
    </row>
    <row r="1701" customFormat="false" ht="15" hidden="false" customHeight="true" outlineLevel="0" collapsed="false">
      <c r="A1701" s="8" t="s">
        <v>1794</v>
      </c>
      <c r="B1701" s="8" t="n">
        <v>4422034</v>
      </c>
      <c r="C1701" s="8" t="s">
        <v>1743</v>
      </c>
      <c r="D1701" s="19" t="n">
        <v>1134</v>
      </c>
      <c r="E1701" s="19" t="n">
        <v>10476.102</v>
      </c>
      <c r="F1701" s="19" t="n">
        <v>357.473684210526</v>
      </c>
      <c r="G1701" s="19" t="n">
        <v>3351.86526315789</v>
      </c>
      <c r="H1701" s="8" t="str">
        <f aca="false">IF(COUNTIF($J$1:$J$2,$A1701)&gt;0,"Y","N")</f>
        <v>N</v>
      </c>
    </row>
    <row r="1702" customFormat="false" ht="15" hidden="false" customHeight="true" outlineLevel="0" collapsed="false">
      <c r="A1702" s="8" t="s">
        <v>1794</v>
      </c>
      <c r="B1702" s="8" t="n">
        <v>4422035</v>
      </c>
      <c r="C1702" s="8" t="s">
        <v>1744</v>
      </c>
      <c r="D1702" s="19" t="n">
        <v>1663</v>
      </c>
      <c r="E1702" s="19" t="n">
        <v>27822.704</v>
      </c>
      <c r="F1702" s="19" t="n">
        <v>1620.63157894737</v>
      </c>
      <c r="G1702" s="19" t="n">
        <v>25547.8572631579</v>
      </c>
      <c r="H1702" s="8" t="str">
        <f aca="false">IF(COUNTIF($J$1:$J$2,$A1702)&gt;0,"Y","N")</f>
        <v>N</v>
      </c>
    </row>
    <row r="1703" customFormat="false" ht="15" hidden="false" customHeight="true" outlineLevel="0" collapsed="false">
      <c r="A1703" s="8" t="s">
        <v>1794</v>
      </c>
      <c r="B1703" s="8" t="n">
        <v>4422036</v>
      </c>
      <c r="C1703" s="8" t="s">
        <v>1745</v>
      </c>
      <c r="D1703" s="19" t="n">
        <v>583</v>
      </c>
      <c r="E1703" s="19" t="n">
        <v>11522.42</v>
      </c>
      <c r="F1703" s="19" t="n">
        <v>677.052631578947</v>
      </c>
      <c r="G1703" s="19" t="n">
        <v>12277.1835789474</v>
      </c>
      <c r="H1703" s="8" t="str">
        <f aca="false">IF(COUNTIF($J$1:$J$2,$A1703)&gt;0,"Y","N")</f>
        <v>N</v>
      </c>
    </row>
    <row r="1704" customFormat="false" ht="15" hidden="false" customHeight="true" outlineLevel="0" collapsed="false">
      <c r="A1704" s="8" t="s">
        <v>1794</v>
      </c>
      <c r="B1704" s="8" t="n">
        <v>4422037</v>
      </c>
      <c r="C1704" s="8" t="s">
        <v>1746</v>
      </c>
      <c r="D1704" s="19" t="n">
        <v>0</v>
      </c>
      <c r="E1704" s="19" t="n">
        <v>0</v>
      </c>
      <c r="F1704" s="19" t="n">
        <v>21.4736842105263</v>
      </c>
      <c r="G1704" s="19" t="n">
        <v>3497.84842105263</v>
      </c>
      <c r="H1704" s="8" t="str">
        <f aca="false">IF(COUNTIF($J$1:$J$2,$A1704)&gt;0,"Y","N")</f>
        <v>N</v>
      </c>
    </row>
    <row r="1705" customFormat="false" ht="15" hidden="false" customHeight="true" outlineLevel="0" collapsed="false">
      <c r="A1705" s="8" t="s">
        <v>1794</v>
      </c>
      <c r="B1705" s="8" t="n">
        <v>4422038</v>
      </c>
      <c r="C1705" s="8" t="s">
        <v>1747</v>
      </c>
      <c r="D1705" s="19" t="n">
        <v>0</v>
      </c>
      <c r="E1705" s="19" t="n">
        <v>0</v>
      </c>
      <c r="F1705" s="19" t="n">
        <v>25.2631578947368</v>
      </c>
      <c r="G1705" s="19" t="n">
        <v>4170.06063157895</v>
      </c>
      <c r="H1705" s="8" t="str">
        <f aca="false">IF(COUNTIF($J$1:$J$2,$A1705)&gt;0,"Y","N")</f>
        <v>N</v>
      </c>
    </row>
    <row r="1706" customFormat="false" ht="15" hidden="false" customHeight="true" outlineLevel="0" collapsed="false">
      <c r="A1706" s="8" t="s">
        <v>1794</v>
      </c>
      <c r="B1706" s="8" t="n">
        <v>4422039</v>
      </c>
      <c r="C1706" s="8" t="s">
        <v>1748</v>
      </c>
      <c r="D1706" s="19" t="n">
        <v>0</v>
      </c>
      <c r="E1706" s="19" t="n">
        <v>0</v>
      </c>
      <c r="F1706" s="19" t="n">
        <v>32.8421052631579</v>
      </c>
      <c r="G1706" s="19" t="n">
        <v>5388.50273684211</v>
      </c>
      <c r="H1706" s="8" t="str">
        <f aca="false">IF(COUNTIF($J$1:$J$2,$A1706)&gt;0,"Y","N")</f>
        <v>N</v>
      </c>
    </row>
    <row r="1707" customFormat="false" ht="15" hidden="false" customHeight="true" outlineLevel="0" collapsed="false">
      <c r="A1707" s="8" t="s">
        <v>1794</v>
      </c>
      <c r="B1707" s="8" t="n">
        <v>4422040</v>
      </c>
      <c r="C1707" s="8" t="s">
        <v>1749</v>
      </c>
      <c r="D1707" s="19" t="n">
        <v>0</v>
      </c>
      <c r="E1707" s="19" t="n">
        <v>0</v>
      </c>
      <c r="F1707" s="19" t="n">
        <v>53.0526315789474</v>
      </c>
      <c r="G1707" s="19" t="n">
        <v>8749.67873684211</v>
      </c>
      <c r="H1707" s="8" t="str">
        <f aca="false">IF(COUNTIF($J$1:$J$2,$A1707)&gt;0,"Y","N")</f>
        <v>N</v>
      </c>
    </row>
    <row r="1708" customFormat="false" ht="15" hidden="false" customHeight="true" outlineLevel="0" collapsed="false">
      <c r="A1708" s="8" t="s">
        <v>1794</v>
      </c>
      <c r="B1708" s="8" t="n">
        <v>4422041</v>
      </c>
      <c r="C1708" s="8" t="s">
        <v>1750</v>
      </c>
      <c r="D1708" s="19" t="n">
        <v>0</v>
      </c>
      <c r="E1708" s="19" t="n">
        <v>0</v>
      </c>
      <c r="F1708" s="19" t="n">
        <v>37.8947368421053</v>
      </c>
      <c r="G1708" s="19" t="n">
        <v>6207.73263157895</v>
      </c>
      <c r="H1708" s="8" t="str">
        <f aca="false">IF(COUNTIF($J$1:$J$2,$A1708)&gt;0,"Y","N")</f>
        <v>N</v>
      </c>
    </row>
    <row r="1709" customFormat="false" ht="15" hidden="false" customHeight="true" outlineLevel="0" collapsed="false">
      <c r="A1709" s="8" t="s">
        <v>1794</v>
      </c>
      <c r="B1709" s="8" t="n">
        <v>4422042</v>
      </c>
      <c r="C1709" s="8" t="s">
        <v>1751</v>
      </c>
      <c r="D1709" s="19" t="n">
        <v>0</v>
      </c>
      <c r="E1709" s="19" t="n">
        <v>0</v>
      </c>
      <c r="F1709" s="19" t="n">
        <v>17.6842105263158</v>
      </c>
      <c r="G1709" s="19" t="n">
        <v>2899.08757894737</v>
      </c>
      <c r="H1709" s="8" t="str">
        <f aca="false">IF(COUNTIF($J$1:$J$2,$A1709)&gt;0,"Y","N")</f>
        <v>N</v>
      </c>
    </row>
    <row r="1710" customFormat="false" ht="15" hidden="false" customHeight="true" outlineLevel="0" collapsed="false">
      <c r="A1710" s="8" t="s">
        <v>1822</v>
      </c>
      <c r="B1710" s="8" t="n">
        <v>4408272</v>
      </c>
      <c r="C1710" s="8" t="s">
        <v>1341</v>
      </c>
      <c r="D1710" s="19" t="n">
        <v>0</v>
      </c>
      <c r="E1710" s="19" t="n">
        <v>0</v>
      </c>
      <c r="F1710" s="19" t="n">
        <v>1.26315789473684</v>
      </c>
      <c r="G1710" s="19" t="n">
        <v>255.183157894737</v>
      </c>
      <c r="H1710" s="8" t="str">
        <f aca="false">IF(COUNTIF($J$1:$J$2,$A1710)&gt;0,"Y","N")</f>
        <v>N</v>
      </c>
    </row>
    <row r="1711" customFormat="false" ht="15" hidden="false" customHeight="true" outlineLevel="0" collapsed="false">
      <c r="A1711" s="8" t="s">
        <v>1822</v>
      </c>
      <c r="B1711" s="8" t="n">
        <v>4408273</v>
      </c>
      <c r="C1711" s="8" t="s">
        <v>1342</v>
      </c>
      <c r="D1711" s="19" t="n">
        <v>0</v>
      </c>
      <c r="E1711" s="19" t="n">
        <v>0</v>
      </c>
      <c r="F1711" s="19" t="n">
        <v>1.26315789473684</v>
      </c>
      <c r="G1711" s="19" t="n">
        <v>255.183157894737</v>
      </c>
      <c r="H1711" s="8" t="str">
        <f aca="false">IF(COUNTIF($J$1:$J$2,$A1711)&gt;0,"Y","N")</f>
        <v>N</v>
      </c>
    </row>
    <row r="1712" customFormat="false" ht="15" hidden="false" customHeight="true" outlineLevel="0" collapsed="false">
      <c r="A1712" s="8" t="s">
        <v>1822</v>
      </c>
      <c r="B1712" s="8" t="n">
        <v>4408274</v>
      </c>
      <c r="C1712" s="8" t="s">
        <v>1343</v>
      </c>
      <c r="D1712" s="19" t="n">
        <v>0</v>
      </c>
      <c r="E1712" s="19" t="n">
        <v>0</v>
      </c>
      <c r="F1712" s="19" t="n">
        <v>1.26315789473684</v>
      </c>
      <c r="G1712" s="19" t="n">
        <v>255.183157894737</v>
      </c>
      <c r="H1712" s="8" t="str">
        <f aca="false">IF(COUNTIF($J$1:$J$2,$A1712)&gt;0,"Y","N")</f>
        <v>N</v>
      </c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13" t="s">
        <v>1823</v>
      </c>
    </row>
    <row r="2" customFormat="false" ht="15" hidden="false" customHeight="true" outlineLevel="0" collapsed="false">
      <c r="A2" s="3" t="s">
        <v>1</v>
      </c>
      <c r="B2" s="4" t="n">
        <v>46290</v>
      </c>
    </row>
    <row r="3" customFormat="false" ht="21.75" hidden="false" customHeight="true" outlineLevel="0" collapsed="false">
      <c r="A3" s="21" t="s">
        <v>1824</v>
      </c>
      <c r="B3" s="21"/>
      <c r="C3" s="21"/>
      <c r="D3" s="21"/>
    </row>
    <row r="5" customFormat="false" ht="15" hidden="false" customHeight="true" outlineLevel="0" collapsed="false">
      <c r="A5" s="7" t="s">
        <v>33</v>
      </c>
      <c r="B5" s="7" t="s">
        <v>1825</v>
      </c>
      <c r="C5" s="7" t="s">
        <v>1826</v>
      </c>
      <c r="D5" s="7" t="s">
        <v>1827</v>
      </c>
    </row>
    <row r="6" customFormat="false" ht="15" hidden="false" customHeight="true" outlineLevel="0" collapsed="false">
      <c r="A6" s="8" t="s">
        <v>670</v>
      </c>
      <c r="B6" s="8" t="n">
        <v>4420016</v>
      </c>
      <c r="C6" s="8" t="s">
        <v>1705</v>
      </c>
      <c r="D6" s="8" t="str">
        <f aca="false">TRIM(SUBSTITUTE($A6,CHAR(160)," "))</f>
        <v>40 0</v>
      </c>
    </row>
    <row r="7" customFormat="false" ht="15" hidden="false" customHeight="true" outlineLevel="0" collapsed="false">
      <c r="A7" s="8" t="s">
        <v>671</v>
      </c>
      <c r="B7" s="8" t="n">
        <v>4420017</v>
      </c>
      <c r="C7" s="8" t="s">
        <v>1828</v>
      </c>
      <c r="D7" s="8" t="str">
        <f aca="false">TRIM(SUBSTITUTE($A7,CHAR(160)," "))</f>
        <v>4022 0</v>
      </c>
    </row>
    <row r="8" customFormat="false" ht="15" hidden="false" customHeight="true" outlineLevel="0" collapsed="false">
      <c r="A8" s="8" t="s">
        <v>996</v>
      </c>
      <c r="B8" s="8" t="n">
        <v>4413074</v>
      </c>
      <c r="C8" s="8" t="s">
        <v>1413</v>
      </c>
      <c r="D8" s="8" t="str">
        <f aca="false">TRIM(SUBSTITUTE($A8,CHAR(160)," "))</f>
        <v>41 XL</v>
      </c>
    </row>
    <row r="9" customFormat="false" ht="15" hidden="false" customHeight="true" outlineLevel="0" collapsed="false">
      <c r="A9" s="8" t="s">
        <v>797</v>
      </c>
      <c r="B9" s="8" t="n">
        <v>4413072</v>
      </c>
      <c r="C9" s="8" t="s">
        <v>1411</v>
      </c>
      <c r="D9" s="8" t="str">
        <f aca="false">TRIM(SUBSTITUTE($A9,CHAR(160)," "))</f>
        <v>41 L</v>
      </c>
    </row>
    <row r="10" customFormat="false" ht="15" hidden="false" customHeight="true" outlineLevel="0" collapsed="false">
      <c r="A10" s="8" t="s">
        <v>983</v>
      </c>
      <c r="B10" s="8" t="n">
        <v>4413073</v>
      </c>
      <c r="C10" s="8" t="s">
        <v>1412</v>
      </c>
      <c r="D10" s="8" t="str">
        <f aca="false">TRIM(SUBSTITUTE($A10,CHAR(160)," "))</f>
        <v>41 M</v>
      </c>
    </row>
    <row r="11" customFormat="false" ht="15" hidden="false" customHeight="true" outlineLevel="0" collapsed="false">
      <c r="A11" s="8" t="s">
        <v>995</v>
      </c>
      <c r="B11" s="8" t="n">
        <v>4413071</v>
      </c>
      <c r="C11" s="8" t="s">
        <v>1410</v>
      </c>
      <c r="D11" s="8" t="str">
        <f aca="false">TRIM(SUBSTITUTE($A11,CHAR(160)," "))</f>
        <v>41 S</v>
      </c>
    </row>
    <row r="12" customFormat="false" ht="15" hidden="false" customHeight="true" outlineLevel="0" collapsed="false">
      <c r="A12" s="8" t="s">
        <v>672</v>
      </c>
      <c r="B12" s="8" t="n">
        <v>4413076</v>
      </c>
      <c r="C12" s="8" t="s">
        <v>1414</v>
      </c>
      <c r="D12" s="8" t="str">
        <f aca="false">TRIM(SUBSTITUTE($A12,CHAR(160)," "))</f>
        <v>41X L</v>
      </c>
    </row>
    <row r="13" customFormat="false" ht="15" hidden="false" customHeight="true" outlineLevel="0" collapsed="false">
      <c r="A13" s="8" t="s">
        <v>1001</v>
      </c>
      <c r="B13" s="8" t="n">
        <v>4413079</v>
      </c>
      <c r="C13" s="8" t="s">
        <v>1416</v>
      </c>
      <c r="D13" s="8" t="str">
        <f aca="false">TRIM(SUBSTITUTE($A13,CHAR(160)," "))</f>
        <v>41X XL</v>
      </c>
    </row>
    <row r="14" customFormat="false" ht="15" hidden="false" customHeight="true" outlineLevel="0" collapsed="false">
      <c r="A14" s="8" t="s">
        <v>974</v>
      </c>
      <c r="B14" s="8" t="n">
        <v>4413089</v>
      </c>
      <c r="C14" s="8" t="s">
        <v>1419</v>
      </c>
      <c r="D14" s="8" t="str">
        <f aca="false">TRIM(SUBSTITUTE($A14,CHAR(160)," "))</f>
        <v>422 S</v>
      </c>
    </row>
    <row r="15" customFormat="false" ht="15" hidden="false" customHeight="true" outlineLevel="0" collapsed="false">
      <c r="A15" s="8" t="s">
        <v>961</v>
      </c>
      <c r="B15" s="8" t="n">
        <v>4413284</v>
      </c>
      <c r="C15" s="8" t="s">
        <v>1518</v>
      </c>
      <c r="D15" s="8" t="str">
        <f aca="false">TRIM(SUBSTITUTE($A15,CHAR(160)," "))</f>
        <v>422E XXXL</v>
      </c>
    </row>
    <row r="16" customFormat="false" ht="15" hidden="false" customHeight="true" outlineLevel="0" collapsed="false">
      <c r="A16" s="8" t="s">
        <v>994</v>
      </c>
      <c r="B16" s="8" t="n">
        <v>4413332</v>
      </c>
      <c r="C16" s="8" t="s">
        <v>1528</v>
      </c>
      <c r="D16" s="8" t="str">
        <f aca="false">TRIM(SUBSTITUTE($A16,CHAR(160)," "))</f>
        <v>45 XS</v>
      </c>
    </row>
    <row r="17" customFormat="false" ht="15" hidden="false" customHeight="true" outlineLevel="0" collapsed="false">
      <c r="A17" s="8" t="s">
        <v>798</v>
      </c>
      <c r="B17" s="8" t="n">
        <v>4413092</v>
      </c>
      <c r="C17" s="8" t="s">
        <v>1422</v>
      </c>
      <c r="D17" s="8" t="str">
        <f aca="false">TRIM(SUBSTITUTE($A17,CHAR(160)," "))</f>
        <v>45 L</v>
      </c>
    </row>
    <row r="18" customFormat="false" ht="15" hidden="false" customHeight="true" outlineLevel="0" collapsed="false">
      <c r="A18" s="8" t="s">
        <v>799</v>
      </c>
      <c r="B18" s="8" t="n">
        <v>4413093</v>
      </c>
      <c r="C18" s="8" t="s">
        <v>1423</v>
      </c>
      <c r="D18" s="8" t="str">
        <f aca="false">TRIM(SUBSTITUTE($A18,CHAR(160)," "))</f>
        <v>45 M</v>
      </c>
    </row>
    <row r="19" customFormat="false" ht="15" hidden="false" customHeight="true" outlineLevel="0" collapsed="false">
      <c r="A19" s="8" t="s">
        <v>673</v>
      </c>
      <c r="B19" s="8" t="n">
        <v>4413094</v>
      </c>
      <c r="C19" s="8" t="s">
        <v>1424</v>
      </c>
      <c r="D19" s="8" t="str">
        <f aca="false">TRIM(SUBSTITUTE($A19,CHAR(160)," "))</f>
        <v>45 S</v>
      </c>
    </row>
    <row r="20" customFormat="false" ht="15" hidden="false" customHeight="true" outlineLevel="0" collapsed="false">
      <c r="A20" s="8" t="s">
        <v>674</v>
      </c>
      <c r="B20" s="8" t="n">
        <v>4413095</v>
      </c>
      <c r="C20" s="8" t="s">
        <v>1425</v>
      </c>
      <c r="D20" s="8" t="str">
        <f aca="false">TRIM(SUBSTITUTE($A20,CHAR(160)," "))</f>
        <v>45 XL</v>
      </c>
    </row>
    <row r="21" customFormat="false" ht="15" hidden="false" customHeight="true" outlineLevel="0" collapsed="false">
      <c r="A21" s="8" t="s">
        <v>800</v>
      </c>
      <c r="B21" s="8" t="n">
        <v>4413096</v>
      </c>
      <c r="C21" s="8" t="s">
        <v>1426</v>
      </c>
      <c r="D21" s="8" t="str">
        <f aca="false">TRIM(SUBSTITUTE($A21,CHAR(160)," "))</f>
        <v>45 XXL</v>
      </c>
    </row>
    <row r="22" customFormat="false" ht="15" hidden="false" customHeight="true" outlineLevel="0" collapsed="false">
      <c r="A22" s="8" t="s">
        <v>675</v>
      </c>
      <c r="B22" s="8" t="n">
        <v>4413495</v>
      </c>
      <c r="C22" s="8" t="s">
        <v>1595</v>
      </c>
      <c r="D22" s="8" t="str">
        <f aca="false">TRIM(SUBSTITUTE($A22,CHAR(160)," "))</f>
        <v>45B L</v>
      </c>
    </row>
    <row r="23" customFormat="false" ht="15" hidden="false" customHeight="true" outlineLevel="0" collapsed="false">
      <c r="A23" s="8" t="s">
        <v>676</v>
      </c>
      <c r="B23" s="8" t="n">
        <v>4413497</v>
      </c>
      <c r="C23" s="8" t="s">
        <v>1597</v>
      </c>
      <c r="D23" s="8" t="str">
        <f aca="false">TRIM(SUBSTITUTE($A23,CHAR(160)," "))</f>
        <v>45B M</v>
      </c>
    </row>
    <row r="24" customFormat="false" ht="15" hidden="false" customHeight="true" outlineLevel="0" collapsed="false">
      <c r="A24" s="8" t="s">
        <v>801</v>
      </c>
      <c r="B24" s="8" t="n">
        <v>4413498</v>
      </c>
      <c r="C24" s="8" t="s">
        <v>1598</v>
      </c>
      <c r="D24" s="8" t="str">
        <f aca="false">TRIM(SUBSTITUTE($A24,CHAR(160)," "))</f>
        <v>45B S</v>
      </c>
    </row>
    <row r="25" customFormat="false" ht="15" hidden="false" customHeight="true" outlineLevel="0" collapsed="false">
      <c r="A25" s="8" t="s">
        <v>802</v>
      </c>
      <c r="B25" s="8" t="n">
        <v>4413496</v>
      </c>
      <c r="C25" s="8" t="s">
        <v>1596</v>
      </c>
      <c r="D25" s="8" t="str">
        <f aca="false">TRIM(SUBSTITUTE($A25,CHAR(160)," "))</f>
        <v>45B XL</v>
      </c>
    </row>
    <row r="26" customFormat="false" ht="15" hidden="false" customHeight="true" outlineLevel="0" collapsed="false">
      <c r="A26" s="8" t="s">
        <v>803</v>
      </c>
      <c r="B26" s="8" t="n">
        <v>4413499</v>
      </c>
      <c r="C26" s="8" t="s">
        <v>1599</v>
      </c>
      <c r="D26" s="8" t="str">
        <f aca="false">TRIM(SUBSTITUTE($A26,CHAR(160)," "))</f>
        <v>45B XXL</v>
      </c>
    </row>
    <row r="27" customFormat="false" ht="15" hidden="false" customHeight="true" outlineLevel="0" collapsed="false">
      <c r="A27" s="8" t="s">
        <v>677</v>
      </c>
      <c r="B27" s="8" t="n">
        <v>4413098</v>
      </c>
      <c r="C27" s="8" t="s">
        <v>1428</v>
      </c>
      <c r="D27" s="8" t="str">
        <f aca="false">TRIM(SUBSTITUTE($A27,CHAR(160)," "))</f>
        <v>45C L</v>
      </c>
    </row>
    <row r="28" customFormat="false" ht="15" hidden="false" customHeight="true" outlineLevel="0" collapsed="false">
      <c r="A28" s="8" t="s">
        <v>678</v>
      </c>
      <c r="B28" s="8" t="n">
        <v>4413099</v>
      </c>
      <c r="C28" s="8" t="s">
        <v>1429</v>
      </c>
      <c r="D28" s="8" t="str">
        <f aca="false">TRIM(SUBSTITUTE($A28,CHAR(160)," "))</f>
        <v>45C M</v>
      </c>
    </row>
    <row r="29" customFormat="false" ht="15" hidden="false" customHeight="true" outlineLevel="0" collapsed="false">
      <c r="A29" s="8" t="s">
        <v>679</v>
      </c>
      <c r="B29" s="8" t="n">
        <v>4413097</v>
      </c>
      <c r="C29" s="8" t="s">
        <v>1427</v>
      </c>
      <c r="D29" s="8" t="str">
        <f aca="false">TRIM(SUBSTITUTE($A29,CHAR(160)," "))</f>
        <v>45C S</v>
      </c>
    </row>
    <row r="30" customFormat="false" ht="15" hidden="false" customHeight="true" outlineLevel="0" collapsed="false">
      <c r="A30" s="8" t="s">
        <v>680</v>
      </c>
      <c r="B30" s="8" t="n">
        <v>4413100</v>
      </c>
      <c r="C30" s="8" t="s">
        <v>1430</v>
      </c>
      <c r="D30" s="8" t="str">
        <f aca="false">TRIM(SUBSTITUTE($A30,CHAR(160)," "))</f>
        <v>45C XL</v>
      </c>
    </row>
    <row r="31" customFormat="false" ht="15" hidden="false" customHeight="true" outlineLevel="0" collapsed="false">
      <c r="A31" s="8" t="s">
        <v>804</v>
      </c>
      <c r="B31" s="8" t="n">
        <v>4413102</v>
      </c>
      <c r="C31" s="8" t="s">
        <v>1432</v>
      </c>
      <c r="D31" s="8" t="str">
        <f aca="false">TRIM(SUBSTITUTE($A31,CHAR(160)," "))</f>
        <v>45E L</v>
      </c>
    </row>
    <row r="32" customFormat="false" ht="15" hidden="false" customHeight="true" outlineLevel="0" collapsed="false">
      <c r="A32" s="8" t="s">
        <v>805</v>
      </c>
      <c r="B32" s="8" t="n">
        <v>4413103</v>
      </c>
      <c r="C32" s="8" t="s">
        <v>1433</v>
      </c>
      <c r="D32" s="8" t="str">
        <f aca="false">TRIM(SUBSTITUTE($A32,CHAR(160)," "))</f>
        <v>45E M</v>
      </c>
    </row>
    <row r="33" customFormat="false" ht="15" hidden="false" customHeight="true" outlineLevel="0" collapsed="false">
      <c r="A33" s="8" t="s">
        <v>806</v>
      </c>
      <c r="B33" s="8" t="n">
        <v>4413101</v>
      </c>
      <c r="C33" s="8" t="s">
        <v>1431</v>
      </c>
      <c r="D33" s="8" t="str">
        <f aca="false">TRIM(SUBSTITUTE($A33,CHAR(160)," "))</f>
        <v>45E S</v>
      </c>
    </row>
    <row r="34" customFormat="false" ht="15" hidden="false" customHeight="true" outlineLevel="0" collapsed="false">
      <c r="A34" s="8" t="s">
        <v>681</v>
      </c>
      <c r="B34" s="8" t="n">
        <v>4413104</v>
      </c>
      <c r="C34" s="8" t="s">
        <v>1434</v>
      </c>
      <c r="D34" s="8" t="str">
        <f aca="false">TRIM(SUBSTITUTE($A34,CHAR(160)," "))</f>
        <v>45E XL</v>
      </c>
    </row>
    <row r="35" customFormat="false" ht="15" hidden="false" customHeight="true" outlineLevel="0" collapsed="false">
      <c r="A35" s="8" t="s">
        <v>682</v>
      </c>
      <c r="B35" s="8" t="n">
        <v>4413105</v>
      </c>
      <c r="C35" s="8" t="s">
        <v>1435</v>
      </c>
      <c r="D35" s="8" t="str">
        <f aca="false">TRIM(SUBSTITUTE($A35,CHAR(160)," "))</f>
        <v>45E XXL</v>
      </c>
    </row>
    <row r="36" customFormat="false" ht="15" hidden="false" customHeight="true" outlineLevel="0" collapsed="false">
      <c r="A36" s="8" t="s">
        <v>683</v>
      </c>
      <c r="B36" s="8" t="n">
        <v>4413396</v>
      </c>
      <c r="C36" s="8" t="s">
        <v>1552</v>
      </c>
      <c r="D36" s="8" t="str">
        <f aca="false">TRIM(SUBSTITUTE($A36,CHAR(160)," "))</f>
        <v>45EC L</v>
      </c>
    </row>
    <row r="37" customFormat="false" ht="15" hidden="false" customHeight="true" outlineLevel="0" collapsed="false">
      <c r="A37" s="8" t="s">
        <v>684</v>
      </c>
      <c r="B37" s="8" t="n">
        <v>4413395</v>
      </c>
      <c r="C37" s="8" t="s">
        <v>1551</v>
      </c>
      <c r="D37" s="8" t="str">
        <f aca="false">TRIM(SUBSTITUTE($A37,CHAR(160)," "))</f>
        <v>45EC M</v>
      </c>
    </row>
    <row r="38" customFormat="false" ht="15" hidden="false" customHeight="true" outlineLevel="0" collapsed="false">
      <c r="A38" s="8" t="s">
        <v>807</v>
      </c>
      <c r="B38" s="8" t="n">
        <v>4413394</v>
      </c>
      <c r="C38" s="8" t="s">
        <v>1550</v>
      </c>
      <c r="D38" s="8" t="str">
        <f aca="false">TRIM(SUBSTITUTE($A38,CHAR(160)," "))</f>
        <v>45EC S</v>
      </c>
    </row>
    <row r="39" customFormat="false" ht="15" hidden="false" customHeight="true" outlineLevel="0" collapsed="false">
      <c r="A39" s="8" t="s">
        <v>685</v>
      </c>
      <c r="B39" s="8" t="n">
        <v>4413397</v>
      </c>
      <c r="C39" s="8" t="s">
        <v>1553</v>
      </c>
      <c r="D39" s="8" t="str">
        <f aca="false">TRIM(SUBSTITUTE($A39,CHAR(160)," "))</f>
        <v>45EC XL</v>
      </c>
    </row>
    <row r="40" customFormat="false" ht="15" hidden="false" customHeight="true" outlineLevel="0" collapsed="false">
      <c r="A40" s="8" t="s">
        <v>686</v>
      </c>
      <c r="B40" s="8" t="n">
        <v>4413398</v>
      </c>
      <c r="C40" s="8" t="s">
        <v>1554</v>
      </c>
      <c r="D40" s="8" t="str">
        <f aca="false">TRIM(SUBSTITUTE($A40,CHAR(160)," "))</f>
        <v>45EC XXL</v>
      </c>
    </row>
    <row r="41" customFormat="false" ht="15" hidden="false" customHeight="true" outlineLevel="0" collapsed="false">
      <c r="A41" s="8" t="s">
        <v>808</v>
      </c>
      <c r="B41" s="8" t="n">
        <v>4413107</v>
      </c>
      <c r="C41" s="8" t="s">
        <v>1437</v>
      </c>
      <c r="D41" s="8" t="str">
        <f aca="false">TRIM(SUBSTITUTE($A41,CHAR(160)," "))</f>
        <v>48 L</v>
      </c>
    </row>
    <row r="42" customFormat="false" ht="15" hidden="false" customHeight="true" outlineLevel="0" collapsed="false">
      <c r="A42" s="8" t="s">
        <v>911</v>
      </c>
      <c r="B42" s="8" t="n">
        <v>4413108</v>
      </c>
      <c r="C42" s="8" t="s">
        <v>1438</v>
      </c>
      <c r="D42" s="8" t="str">
        <f aca="false">TRIM(SUBSTITUTE($A42,CHAR(160)," "))</f>
        <v>48 M</v>
      </c>
    </row>
    <row r="43" customFormat="false" ht="15" hidden="false" customHeight="true" outlineLevel="0" collapsed="false">
      <c r="A43" s="8" t="s">
        <v>730</v>
      </c>
      <c r="B43" s="8" t="n">
        <v>4420026</v>
      </c>
      <c r="C43" s="8" t="s">
        <v>1711</v>
      </c>
      <c r="D43" s="8" t="str">
        <f aca="false">TRIM(SUBSTITUTE($A43,CHAR(160)," "))</f>
        <v>AC40 0</v>
      </c>
    </row>
    <row r="44" customFormat="false" ht="15" hidden="false" customHeight="true" outlineLevel="0" collapsed="false">
      <c r="A44" s="8" t="s">
        <v>560</v>
      </c>
      <c r="B44" s="8" t="n">
        <v>4413328</v>
      </c>
      <c r="C44" s="8" t="s">
        <v>1524</v>
      </c>
      <c r="D44" s="8" t="str">
        <f aca="false">TRIM(SUBSTITUTE($A44,CHAR(160)," "))</f>
        <v>AC43D 0</v>
      </c>
    </row>
    <row r="45" customFormat="false" ht="15" hidden="false" customHeight="true" outlineLevel="0" collapsed="false">
      <c r="A45" s="8" t="s">
        <v>731</v>
      </c>
      <c r="B45" s="8" t="n">
        <v>4413329</v>
      </c>
      <c r="C45" s="8" t="s">
        <v>1525</v>
      </c>
      <c r="D45" s="8" t="str">
        <f aca="false">TRIM(SUBSTITUTE($A45,CHAR(160)," "))</f>
        <v>AC45X 0</v>
      </c>
    </row>
    <row r="46" customFormat="false" ht="15" hidden="false" customHeight="true" outlineLevel="0" collapsed="false">
      <c r="A46" s="8" t="s">
        <v>900</v>
      </c>
      <c r="B46" s="8" t="n">
        <v>4402011</v>
      </c>
      <c r="C46" s="8" t="s">
        <v>1752</v>
      </c>
      <c r="D46" s="8" t="str">
        <f aca="false">TRIM(SUBSTITUTE($A46,CHAR(160)," "))</f>
        <v>ST422 0</v>
      </c>
    </row>
    <row r="47" customFormat="false" ht="15" hidden="false" customHeight="true" outlineLevel="0" collapsed="false">
      <c r="A47" s="8" t="s">
        <v>845</v>
      </c>
      <c r="B47" s="8" t="n">
        <v>4413438</v>
      </c>
      <c r="C47" s="8" t="s">
        <v>1574</v>
      </c>
      <c r="D47" s="8" t="str">
        <f aca="false">TRIM(SUBSTITUTE($A47,CHAR(160)," "))</f>
        <v>SC422 S</v>
      </c>
    </row>
    <row r="48" customFormat="false" ht="15" hidden="false" customHeight="true" outlineLevel="0" collapsed="false">
      <c r="A48" s="8" t="s">
        <v>758</v>
      </c>
      <c r="B48" s="8" t="n">
        <v>4413442</v>
      </c>
      <c r="C48" s="8" t="s">
        <v>1578</v>
      </c>
      <c r="D48" s="8" t="str">
        <f aca="false">TRIM(SUBSTITUTE($A48,CHAR(160)," "))</f>
        <v>SC422 XXL</v>
      </c>
    </row>
    <row r="49" customFormat="false" ht="15" hidden="false" customHeight="true" outlineLevel="0" collapsed="false">
      <c r="A49" s="8" t="s">
        <v>890</v>
      </c>
      <c r="B49" s="8" t="n">
        <v>4422037</v>
      </c>
      <c r="C49" s="8" t="s">
        <v>1746</v>
      </c>
      <c r="D49" s="8" t="str">
        <f aca="false">TRIM(SUBSTITUTE($A49,CHAR(160)," "))</f>
        <v>SH422 1</v>
      </c>
    </row>
    <row r="50" customFormat="false" ht="15" hidden="false" customHeight="true" outlineLevel="0" collapsed="false">
      <c r="A50" s="8" t="s">
        <v>891</v>
      </c>
      <c r="B50" s="8" t="n">
        <v>4422038</v>
      </c>
      <c r="C50" s="8" t="s">
        <v>1747</v>
      </c>
      <c r="D50" s="8" t="str">
        <f aca="false">TRIM(SUBSTITUTE($A50,CHAR(160)," "))</f>
        <v>SH422 2</v>
      </c>
    </row>
    <row r="51" customFormat="false" ht="15" hidden="false" customHeight="true" outlineLevel="0" collapsed="false">
      <c r="A51" s="8" t="s">
        <v>892</v>
      </c>
      <c r="B51" s="8" t="n">
        <v>4422039</v>
      </c>
      <c r="C51" s="8" t="s">
        <v>1748</v>
      </c>
      <c r="D51" s="8" t="str">
        <f aca="false">TRIM(SUBSTITUTE($A51,CHAR(160)," "))</f>
        <v>SH422 3</v>
      </c>
    </row>
    <row r="52" customFormat="false" ht="15" hidden="false" customHeight="true" outlineLevel="0" collapsed="false">
      <c r="A52" s="8" t="s">
        <v>893</v>
      </c>
      <c r="B52" s="8" t="n">
        <v>4422040</v>
      </c>
      <c r="C52" s="8" t="s">
        <v>1749</v>
      </c>
      <c r="D52" s="8" t="str">
        <f aca="false">TRIM(SUBSTITUTE($A52,CHAR(160)," "))</f>
        <v>SH422 4</v>
      </c>
    </row>
    <row r="53" customFormat="false" ht="15" hidden="false" customHeight="true" outlineLevel="0" collapsed="false">
      <c r="A53" s="8" t="s">
        <v>763</v>
      </c>
      <c r="B53" s="8" t="n">
        <v>4422041</v>
      </c>
      <c r="C53" s="8" t="s">
        <v>1750</v>
      </c>
      <c r="D53" s="8" t="str">
        <f aca="false">TRIM(SUBSTITUTE($A53,CHAR(160)," "))</f>
        <v>SH422 5</v>
      </c>
    </row>
    <row r="54" customFormat="false" ht="15" hidden="false" customHeight="true" outlineLevel="0" collapsed="false">
      <c r="A54" s="8" t="s">
        <v>894</v>
      </c>
      <c r="B54" s="8" t="n">
        <v>4422042</v>
      </c>
      <c r="C54" s="8" t="s">
        <v>1751</v>
      </c>
      <c r="D54" s="8" t="str">
        <f aca="false">TRIM(SUBSTITUTE($A54,CHAR(160)," "))</f>
        <v>SH422 6</v>
      </c>
    </row>
    <row r="55" customFormat="false" ht="15" hidden="false" customHeight="true" outlineLevel="0" collapsed="false">
      <c r="A55" s="8" t="s">
        <v>901</v>
      </c>
      <c r="B55" s="8" t="n">
        <v>4413532</v>
      </c>
      <c r="C55" s="8" t="s">
        <v>1761</v>
      </c>
      <c r="D55" s="8" t="str">
        <f aca="false">TRIM(SUBSTITUTE($A55,CHAR(160)," "))</f>
        <v>ST433 0</v>
      </c>
    </row>
    <row r="56" customFormat="false" ht="15" hidden="false" customHeight="true" outlineLevel="0" collapsed="false">
      <c r="A56" s="8" t="s">
        <v>965</v>
      </c>
      <c r="B56" s="8" t="n">
        <v>4413184</v>
      </c>
      <c r="C56" s="8" t="s">
        <v>1500</v>
      </c>
      <c r="D56" s="8" t="str">
        <f aca="false">TRIM(SUBSTITUTE($A56,CHAR(160)," "))</f>
        <v>T45 L</v>
      </c>
    </row>
    <row r="57" customFormat="false" ht="15" hidden="false" customHeight="true" outlineLevel="0" collapsed="false">
      <c r="A57" s="8" t="s">
        <v>773</v>
      </c>
      <c r="B57" s="8" t="n">
        <v>4413183</v>
      </c>
      <c r="C57" s="8" t="s">
        <v>1499</v>
      </c>
      <c r="D57" s="8" t="str">
        <f aca="false">TRIM(SUBSTITUTE($A57,CHAR(160)," "))</f>
        <v>T45 M</v>
      </c>
    </row>
    <row r="58" customFormat="false" ht="15" hidden="false" customHeight="true" outlineLevel="0" collapsed="false">
      <c r="A58" s="8" t="s">
        <v>966</v>
      </c>
      <c r="B58" s="8" t="n">
        <v>4413185</v>
      </c>
      <c r="C58" s="8" t="s">
        <v>1501</v>
      </c>
      <c r="D58" s="8" t="str">
        <f aca="false">TRIM(SUBSTITUTE($A58,CHAR(160)," "))</f>
        <v>T45 XL</v>
      </c>
    </row>
    <row r="59" customFormat="false" ht="15" hidden="false" customHeight="true" outlineLevel="0" collapsed="false">
      <c r="A59" s="8" t="s">
        <v>1110</v>
      </c>
      <c r="B59" s="8" t="n">
        <v>4413182</v>
      </c>
      <c r="C59" s="8" t="s">
        <v>1780</v>
      </c>
      <c r="D59" s="8" t="str">
        <f aca="false">TRIM(SUBSTITUTE($A59,CHAR(160)," "))</f>
        <v>T45 S</v>
      </c>
    </row>
    <row r="60" customFormat="false" ht="15" hidden="false" customHeight="true" outlineLevel="0" collapsed="false">
      <c r="A60" s="8" t="s">
        <v>1004</v>
      </c>
      <c r="B60" s="8" t="n">
        <v>4413286</v>
      </c>
      <c r="C60" s="8" t="s">
        <v>1519</v>
      </c>
      <c r="D60" s="8" t="str">
        <f aca="false">TRIM(SUBSTITUTE($A60,CHAR(160)," "))</f>
        <v>T45 XXL</v>
      </c>
    </row>
    <row r="61" customFormat="false" ht="15" hidden="false" customHeight="true" outlineLevel="0" collapsed="false">
      <c r="A61" s="8" t="s">
        <v>850</v>
      </c>
      <c r="B61" s="8" t="n">
        <v>4413260</v>
      </c>
      <c r="C61" s="8" t="s">
        <v>1511</v>
      </c>
      <c r="D61" s="8" t="str">
        <f aca="false">TRIM(SUBSTITUTE($A61,CHAR(160)," "))</f>
        <v>T45X XXL</v>
      </c>
    </row>
    <row r="62" customFormat="false" ht="15" hidden="false" customHeight="true" outlineLevel="0" collapsed="false">
      <c r="A62" s="8" t="s">
        <v>907</v>
      </c>
      <c r="B62" s="8" t="n">
        <v>4413224</v>
      </c>
      <c r="C62" s="8" t="s">
        <v>1508</v>
      </c>
      <c r="D62" s="8" t="str">
        <f aca="false">TRIM(SUBSTITUTE($A62,CHAR(160)," "))</f>
        <v>T45X XL</v>
      </c>
    </row>
    <row r="63" customFormat="false" ht="15" hidden="false" customHeight="true" outlineLevel="0" collapsed="false">
      <c r="A63" s="8" t="s">
        <v>791</v>
      </c>
      <c r="B63" s="8" t="n">
        <v>4403040</v>
      </c>
      <c r="C63" s="8" t="s">
        <v>1210</v>
      </c>
      <c r="D63" s="8" t="str">
        <f aca="false">TRIM(SUBSTITUTE($A63,CHAR(160)," "))</f>
        <v>3444B 0</v>
      </c>
    </row>
    <row r="64" customFormat="false" ht="15" hidden="false" customHeight="true" outlineLevel="0" collapsed="false">
      <c r="A64" s="8" t="s">
        <v>653</v>
      </c>
      <c r="B64" s="8" t="n">
        <v>4403001</v>
      </c>
      <c r="C64" s="8" t="s">
        <v>1188</v>
      </c>
      <c r="D64" s="8" t="str">
        <f aca="false">TRIM(SUBSTITUTE($A64,CHAR(160)," "))</f>
        <v>390B-39-42</v>
      </c>
    </row>
    <row r="65" customFormat="false" ht="15" hidden="false" customHeight="true" outlineLevel="0" collapsed="false">
      <c r="A65" s="8" t="s">
        <v>654</v>
      </c>
      <c r="B65" s="8" t="n">
        <v>4403002</v>
      </c>
      <c r="C65" s="8" t="s">
        <v>1189</v>
      </c>
      <c r="D65" s="8" t="str">
        <f aca="false">TRIM(SUBSTITUTE($A65,CHAR(160)," "))</f>
        <v>390B-43-46</v>
      </c>
    </row>
    <row r="66" customFormat="false" ht="15" hidden="false" customHeight="true" outlineLevel="0" collapsed="false">
      <c r="A66" s="8" t="s">
        <v>652</v>
      </c>
      <c r="B66" s="8" t="n">
        <v>4403000</v>
      </c>
      <c r="C66" s="8" t="s">
        <v>1187</v>
      </c>
      <c r="D66" s="8" t="str">
        <f aca="false">TRIM(SUBSTITUTE($A66,CHAR(160)," "))</f>
        <v>390B-35-38</v>
      </c>
    </row>
    <row r="67" customFormat="false" ht="15" hidden="false" customHeight="true" outlineLevel="0" collapsed="false">
      <c r="A67" s="8" t="s">
        <v>655</v>
      </c>
      <c r="B67" s="8" t="n">
        <v>4403003</v>
      </c>
      <c r="C67" s="8" t="s">
        <v>1190</v>
      </c>
      <c r="D67" s="8" t="str">
        <f aca="false">TRIM(SUBSTITUTE($A67,CHAR(160)," "))</f>
        <v>390G-35-38</v>
      </c>
    </row>
    <row r="68" customFormat="false" ht="15" hidden="false" customHeight="true" outlineLevel="0" collapsed="false">
      <c r="A68" s="8" t="s">
        <v>990</v>
      </c>
      <c r="B68" s="8" t="n">
        <v>4403006</v>
      </c>
      <c r="C68" s="8" t="s">
        <v>1193</v>
      </c>
      <c r="D68" s="8" t="str">
        <f aca="false">TRIM(SUBSTITUTE($A68,CHAR(160)," "))</f>
        <v>390W-35-38</v>
      </c>
    </row>
    <row r="69" customFormat="false" ht="15" hidden="false" customHeight="true" outlineLevel="0" collapsed="false">
      <c r="A69" s="8" t="s">
        <v>657</v>
      </c>
      <c r="B69" s="8" t="n">
        <v>4403007</v>
      </c>
      <c r="C69" s="8" t="s">
        <v>1194</v>
      </c>
      <c r="D69" s="8" t="str">
        <f aca="false">TRIM(SUBSTITUTE($A69,CHAR(160)," "))</f>
        <v>390W-39-42</v>
      </c>
    </row>
    <row r="70" customFormat="false" ht="15" hidden="false" customHeight="true" outlineLevel="0" collapsed="false">
      <c r="A70" s="8" t="s">
        <v>796</v>
      </c>
      <c r="B70" s="8" t="n">
        <v>4403008</v>
      </c>
      <c r="C70" s="8" t="s">
        <v>1195</v>
      </c>
      <c r="D70" s="8" t="str">
        <f aca="false">TRIM(SUBSTITUTE($A70,CHAR(160)," "))</f>
        <v>390W-43-46</v>
      </c>
    </row>
    <row r="71" customFormat="false" ht="15" hidden="false" customHeight="true" outlineLevel="0" collapsed="false">
      <c r="A71" s="8" t="s">
        <v>658</v>
      </c>
      <c r="B71" s="8" t="n">
        <v>4403017</v>
      </c>
      <c r="C71" s="8" t="s">
        <v>1196</v>
      </c>
      <c r="D71" s="8" t="str">
        <f aca="false">TRIM(SUBSTITUTE($A71,CHAR(160)," "))</f>
        <v>394B-35-38</v>
      </c>
    </row>
    <row r="72" customFormat="false" ht="15" hidden="false" customHeight="true" outlineLevel="0" collapsed="false">
      <c r="A72" s="8" t="s">
        <v>659</v>
      </c>
      <c r="B72" s="8" t="n">
        <v>4403018</v>
      </c>
      <c r="C72" s="8" t="s">
        <v>1197</v>
      </c>
      <c r="D72" s="8" t="str">
        <f aca="false">TRIM(SUBSTITUTE($A72,CHAR(160)," "))</f>
        <v>394B-39-42</v>
      </c>
    </row>
    <row r="73" customFormat="false" ht="15" hidden="false" customHeight="true" outlineLevel="0" collapsed="false">
      <c r="A73" s="8" t="s">
        <v>660</v>
      </c>
      <c r="B73" s="8" t="n">
        <v>4403019</v>
      </c>
      <c r="C73" s="8" t="s">
        <v>1198</v>
      </c>
      <c r="D73" s="8" t="str">
        <f aca="false">TRIM(SUBSTITUTE($A73,CHAR(160)," "))</f>
        <v>394B-43-46</v>
      </c>
    </row>
    <row r="74" customFormat="false" ht="15" hidden="false" customHeight="true" outlineLevel="0" collapsed="false">
      <c r="A74" s="8" t="s">
        <v>661</v>
      </c>
      <c r="B74" s="8" t="n">
        <v>4403023</v>
      </c>
      <c r="C74" s="8" t="s">
        <v>1202</v>
      </c>
      <c r="D74" s="8" t="str">
        <f aca="false">TRIM(SUBSTITUTE($A74,CHAR(160)," "))</f>
        <v>394W-35-38</v>
      </c>
    </row>
    <row r="75" customFormat="false" ht="15" hidden="false" customHeight="true" outlineLevel="0" collapsed="false">
      <c r="A75" s="8" t="s">
        <v>662</v>
      </c>
      <c r="B75" s="8" t="n">
        <v>4403024</v>
      </c>
      <c r="C75" s="8" t="s">
        <v>1203</v>
      </c>
      <c r="D75" s="8" t="str">
        <f aca="false">TRIM(SUBSTITUTE($A75,CHAR(160)," "))</f>
        <v>394W-39-42</v>
      </c>
    </row>
    <row r="76" customFormat="false" ht="15" hidden="false" customHeight="true" outlineLevel="0" collapsed="false">
      <c r="A76" s="8" t="s">
        <v>663</v>
      </c>
      <c r="B76" s="8" t="n">
        <v>4403025</v>
      </c>
      <c r="C76" s="8" t="s">
        <v>1204</v>
      </c>
      <c r="D76" s="8" t="str">
        <f aca="false">TRIM(SUBSTITUTE($A76,CHAR(160)," "))</f>
        <v>394W-43-46</v>
      </c>
    </row>
    <row r="77" customFormat="false" ht="15" hidden="false" customHeight="true" outlineLevel="0" collapsed="false">
      <c r="A77" s="8" t="s">
        <v>664</v>
      </c>
      <c r="B77" s="8" t="n">
        <v>4403044</v>
      </c>
      <c r="C77" s="8" t="s">
        <v>1214</v>
      </c>
      <c r="D77" s="8" t="str">
        <f aca="false">TRIM(SUBSTITUTE($A77,CHAR(160)," "))</f>
        <v>395B-39-42</v>
      </c>
    </row>
    <row r="78" customFormat="false" ht="15" hidden="false" customHeight="true" outlineLevel="0" collapsed="false">
      <c r="A78" s="8" t="s">
        <v>665</v>
      </c>
      <c r="B78" s="8" t="n">
        <v>4403045</v>
      </c>
      <c r="C78" s="8" t="s">
        <v>1215</v>
      </c>
      <c r="D78" s="8" t="str">
        <f aca="false">TRIM(SUBSTITUTE($A78,CHAR(160)," "))</f>
        <v>395B-43-46</v>
      </c>
    </row>
    <row r="79" customFormat="false" ht="15" hidden="false" customHeight="true" outlineLevel="0" collapsed="false">
      <c r="A79" s="8" t="s">
        <v>666</v>
      </c>
      <c r="B79" s="8" t="n">
        <v>4403029</v>
      </c>
      <c r="C79" s="8" t="s">
        <v>1206</v>
      </c>
      <c r="D79" s="8" t="str">
        <f aca="false">TRIM(SUBSTITUTE($A79,CHAR(160)," "))</f>
        <v>397-39-42</v>
      </c>
    </row>
    <row r="80" customFormat="false" ht="15" hidden="false" customHeight="true" outlineLevel="0" collapsed="false">
      <c r="A80" s="8" t="s">
        <v>667</v>
      </c>
      <c r="B80" s="8" t="n">
        <v>4403041</v>
      </c>
      <c r="C80" s="8" t="s">
        <v>1211</v>
      </c>
      <c r="D80" s="8" t="str">
        <f aca="false">TRIM(SUBSTITUTE($A80,CHAR(160)," "))</f>
        <v>397A-35-38</v>
      </c>
    </row>
    <row r="81" customFormat="false" ht="15" hidden="false" customHeight="true" outlineLevel="0" collapsed="false">
      <c r="A81" s="8" t="s">
        <v>668</v>
      </c>
      <c r="B81" s="8" t="n">
        <v>4403042</v>
      </c>
      <c r="C81" s="8" t="s">
        <v>1212</v>
      </c>
      <c r="D81" s="8" t="str">
        <f aca="false">TRIM(SUBSTITUTE($A81,CHAR(160)," "))</f>
        <v>397A-39-42</v>
      </c>
    </row>
    <row r="82" customFormat="false" ht="15" hidden="false" customHeight="true" outlineLevel="0" collapsed="false">
      <c r="A82" s="8" t="s">
        <v>669</v>
      </c>
      <c r="B82" s="8" t="n">
        <v>4403043</v>
      </c>
      <c r="C82" s="8" t="s">
        <v>1213</v>
      </c>
      <c r="D82" s="8" t="str">
        <f aca="false">TRIM(SUBSTITUTE($A82,CHAR(160)," "))</f>
        <v>397A-43-46</v>
      </c>
    </row>
    <row r="83" customFormat="false" ht="15" hidden="false" customHeight="true" outlineLevel="0" collapsed="false">
      <c r="A83" s="8" t="s">
        <v>656</v>
      </c>
      <c r="B83" s="8" t="n">
        <v>4403005</v>
      </c>
      <c r="C83" s="8" t="s">
        <v>1192</v>
      </c>
      <c r="D83" s="8" t="str">
        <f aca="false">TRIM(SUBSTITUTE($A83,CHAR(160)," "))</f>
        <v>390G-43-46</v>
      </c>
    </row>
    <row r="84" customFormat="false" ht="15" hidden="false" customHeight="true" outlineLevel="0" collapsed="false">
      <c r="A84" s="8" t="s">
        <v>765</v>
      </c>
      <c r="B84" s="8" t="n">
        <v>4403034</v>
      </c>
      <c r="C84" s="8" t="s">
        <v>1208</v>
      </c>
      <c r="D84" s="8" t="str">
        <f aca="false">TRIM(SUBSTITUTE($A84,CHAR(160)," "))</f>
        <v>ST3555-S-M</v>
      </c>
    </row>
    <row r="85" customFormat="false" ht="15" hidden="false" customHeight="true" outlineLevel="0" collapsed="false">
      <c r="A85" s="8" t="s">
        <v>764</v>
      </c>
      <c r="B85" s="8" t="n">
        <v>4403035</v>
      </c>
      <c r="C85" s="8" t="s">
        <v>1209</v>
      </c>
      <c r="D85" s="8" t="str">
        <f aca="false">TRIM(SUBSTITUTE($A85,CHAR(160)," "))</f>
        <v>ST3555-L-XL</v>
      </c>
    </row>
    <row r="86" customFormat="false" ht="15" hidden="false" customHeight="true" outlineLevel="0" collapsed="false">
      <c r="A86" s="8" t="s">
        <v>934</v>
      </c>
      <c r="B86" s="8" t="n">
        <v>4408119</v>
      </c>
      <c r="C86" s="8" t="s">
        <v>1281</v>
      </c>
      <c r="D86" s="8" t="str">
        <f aca="false">TRIM(SUBSTITUTE($A86,CHAR(160)," "))</f>
        <v>06U L</v>
      </c>
    </row>
    <row r="87" customFormat="false" ht="15" hidden="false" customHeight="true" outlineLevel="0" collapsed="false">
      <c r="A87" s="8" t="s">
        <v>935</v>
      </c>
      <c r="B87" s="8" t="n">
        <v>4408120</v>
      </c>
      <c r="C87" s="8" t="s">
        <v>1282</v>
      </c>
      <c r="D87" s="8" t="str">
        <f aca="false">TRIM(SUBSTITUTE($A87,CHAR(160)," "))</f>
        <v>06U XL</v>
      </c>
    </row>
    <row r="88" customFormat="false" ht="15" hidden="false" customHeight="true" outlineLevel="0" collapsed="false">
      <c r="A88" s="8" t="s">
        <v>950</v>
      </c>
      <c r="B88" s="8" t="n">
        <v>4408245</v>
      </c>
      <c r="C88" s="8" t="s">
        <v>1330</v>
      </c>
      <c r="D88" s="8" t="str">
        <f aca="false">TRIM(SUBSTITUTE($A88,CHAR(160)," "))</f>
        <v>077A XXL</v>
      </c>
    </row>
    <row r="89" customFormat="false" ht="15" hidden="false" customHeight="true" outlineLevel="0" collapsed="false">
      <c r="A89" s="8" t="s">
        <v>913</v>
      </c>
      <c r="B89" s="8" t="n">
        <v>4408135</v>
      </c>
      <c r="C89" s="8" t="s">
        <v>1290</v>
      </c>
      <c r="D89" s="8" t="str">
        <f aca="false">TRIM(SUBSTITUTE($A89,CHAR(160)," "))</f>
        <v>077A-L-XL</v>
      </c>
    </row>
    <row r="90" customFormat="false" ht="15" hidden="false" customHeight="true" outlineLevel="0" collapsed="false">
      <c r="A90" s="8" t="s">
        <v>914</v>
      </c>
      <c r="B90" s="8" t="n">
        <v>4408134</v>
      </c>
      <c r="C90" s="8" t="s">
        <v>1289</v>
      </c>
      <c r="D90" s="8" t="str">
        <f aca="false">TRIM(SUBSTITUTE($A90,CHAR(160)," "))</f>
        <v>077A-S-M</v>
      </c>
    </row>
    <row r="91" customFormat="false" ht="15" hidden="false" customHeight="true" outlineLevel="0" collapsed="false">
      <c r="A91" s="8" t="s">
        <v>561</v>
      </c>
      <c r="B91" s="8" t="n">
        <v>4408192</v>
      </c>
      <c r="C91" s="8" t="s">
        <v>1308</v>
      </c>
      <c r="D91" s="8" t="str">
        <f aca="false">TRIM(SUBSTITUTE($A91,CHAR(160)," "))</f>
        <v>078 L</v>
      </c>
    </row>
    <row r="92" customFormat="false" ht="15" hidden="false" customHeight="true" outlineLevel="0" collapsed="false">
      <c r="A92" s="8" t="s">
        <v>775</v>
      </c>
      <c r="B92" s="8" t="n">
        <v>4408221</v>
      </c>
      <c r="C92" s="8" t="s">
        <v>1318</v>
      </c>
      <c r="D92" s="8" t="str">
        <f aca="false">TRIM(SUBSTITUTE($A92,CHAR(160)," "))</f>
        <v>078G L</v>
      </c>
    </row>
    <row r="93" customFormat="false" ht="15" hidden="false" customHeight="true" outlineLevel="0" collapsed="false">
      <c r="A93" s="8" t="s">
        <v>563</v>
      </c>
      <c r="B93" s="8" t="n">
        <v>4408220</v>
      </c>
      <c r="C93" s="8" t="s">
        <v>1317</v>
      </c>
      <c r="D93" s="8" t="str">
        <f aca="false">TRIM(SUBSTITUTE($A93,CHAR(160)," "))</f>
        <v>078G M</v>
      </c>
    </row>
    <row r="94" customFormat="false" ht="15" hidden="false" customHeight="true" outlineLevel="0" collapsed="false">
      <c r="A94" s="8" t="s">
        <v>969</v>
      </c>
      <c r="B94" s="8" t="n">
        <v>4408219</v>
      </c>
      <c r="C94" s="8" t="s">
        <v>1316</v>
      </c>
      <c r="D94" s="8" t="str">
        <f aca="false">TRIM(SUBSTITUTE($A94,CHAR(160)," "))</f>
        <v>078G S</v>
      </c>
    </row>
    <row r="95" customFormat="false" ht="15" hidden="false" customHeight="true" outlineLevel="0" collapsed="false">
      <c r="A95" s="8" t="s">
        <v>776</v>
      </c>
      <c r="B95" s="8" t="n">
        <v>4408222</v>
      </c>
      <c r="C95" s="8" t="s">
        <v>1319</v>
      </c>
      <c r="D95" s="8" t="str">
        <f aca="false">TRIM(SUBSTITUTE($A95,CHAR(160)," "))</f>
        <v>078G XL</v>
      </c>
    </row>
    <row r="96" customFormat="false" ht="15" hidden="false" customHeight="true" outlineLevel="0" collapsed="false">
      <c r="A96" s="8" t="s">
        <v>777</v>
      </c>
      <c r="B96" s="8" t="n">
        <v>4408223</v>
      </c>
      <c r="C96" s="8" t="s">
        <v>1320</v>
      </c>
      <c r="D96" s="8" t="str">
        <f aca="false">TRIM(SUBSTITUTE($A96,CHAR(160)," "))</f>
        <v>078G XXL</v>
      </c>
    </row>
    <row r="97" customFormat="false" ht="15" hidden="false" customHeight="true" outlineLevel="0" collapsed="false">
      <c r="A97" s="8" t="s">
        <v>562</v>
      </c>
      <c r="B97" s="8" t="n">
        <v>4408218</v>
      </c>
      <c r="C97" s="8" t="s">
        <v>1315</v>
      </c>
      <c r="D97" s="8" t="str">
        <f aca="false">TRIM(SUBSTITUTE($A97,CHAR(160)," "))</f>
        <v>078 XL</v>
      </c>
    </row>
    <row r="98" customFormat="false" ht="15" hidden="false" customHeight="true" outlineLevel="0" collapsed="false">
      <c r="A98" s="8" t="s">
        <v>854</v>
      </c>
      <c r="B98" s="8" t="n">
        <v>4408265</v>
      </c>
      <c r="C98" s="8" t="s">
        <v>1339</v>
      </c>
      <c r="D98" s="8" t="str">
        <f aca="false">TRIM(SUBSTITUTE($A98,CHAR(160)," "))</f>
        <v>078 XXL</v>
      </c>
    </row>
    <row r="99" customFormat="false" ht="15" hidden="false" customHeight="true" outlineLevel="0" collapsed="false">
      <c r="A99" s="8" t="s">
        <v>951</v>
      </c>
      <c r="B99" s="8" t="n">
        <v>4408015</v>
      </c>
      <c r="C99" s="8" t="s">
        <v>1829</v>
      </c>
      <c r="D99" s="8" t="str">
        <f aca="false">TRIM(SUBSTITUTE($A99,CHAR(160)," "))</f>
        <v>07AU L</v>
      </c>
    </row>
    <row r="100" customFormat="false" ht="15" hidden="false" customHeight="true" outlineLevel="0" collapsed="false">
      <c r="A100" s="8" t="s">
        <v>952</v>
      </c>
      <c r="B100" s="8" t="n">
        <v>4408016</v>
      </c>
      <c r="C100" s="8" t="s">
        <v>1830</v>
      </c>
      <c r="D100" s="8" t="str">
        <f aca="false">TRIM(SUBSTITUTE($A100,CHAR(160)," "))</f>
        <v>07AU M</v>
      </c>
    </row>
    <row r="101" customFormat="false" ht="15" hidden="false" customHeight="true" outlineLevel="0" collapsed="false">
      <c r="A101" s="8" t="s">
        <v>972</v>
      </c>
      <c r="B101" s="8" t="n">
        <v>4408014</v>
      </c>
      <c r="C101" s="8" t="s">
        <v>1831</v>
      </c>
      <c r="D101" s="8" t="str">
        <f aca="false">TRIM(SUBSTITUTE($A101,CHAR(160)," "))</f>
        <v>07AU S</v>
      </c>
    </row>
    <row r="102" customFormat="false" ht="15" hidden="false" customHeight="true" outlineLevel="0" collapsed="false">
      <c r="A102" s="8" t="s">
        <v>953</v>
      </c>
      <c r="B102" s="8" t="n">
        <v>4408017</v>
      </c>
      <c r="C102" s="8" t="s">
        <v>1832</v>
      </c>
      <c r="D102" s="8" t="str">
        <f aca="false">TRIM(SUBSTITUTE($A102,CHAR(160)," "))</f>
        <v>07AU XL</v>
      </c>
    </row>
    <row r="103" customFormat="false" ht="15" hidden="false" customHeight="true" outlineLevel="0" collapsed="false">
      <c r="A103" s="8" t="s">
        <v>954</v>
      </c>
      <c r="B103" s="8" t="n">
        <v>4408018</v>
      </c>
      <c r="C103" s="8" t="s">
        <v>1833</v>
      </c>
      <c r="D103" s="8" t="str">
        <f aca="false">TRIM(SUBSTITUTE($A103,CHAR(160)," "))</f>
        <v>07AU XXL</v>
      </c>
    </row>
    <row r="104" customFormat="false" ht="15" hidden="false" customHeight="true" outlineLevel="0" collapsed="false">
      <c r="A104" s="8" t="s">
        <v>564</v>
      </c>
      <c r="B104" s="8" t="n">
        <v>4408027</v>
      </c>
      <c r="C104" s="8" t="s">
        <v>1834</v>
      </c>
      <c r="D104" s="8" t="str">
        <f aca="false">TRIM(SUBSTITUTE($A104,CHAR(160)," "))</f>
        <v>10 L</v>
      </c>
    </row>
    <row r="105" customFormat="false" ht="15" hidden="false" customHeight="true" outlineLevel="0" collapsed="false">
      <c r="A105" s="8" t="s">
        <v>565</v>
      </c>
      <c r="B105" s="8" t="n">
        <v>4408028</v>
      </c>
      <c r="C105" s="8" t="s">
        <v>1835</v>
      </c>
      <c r="D105" s="8" t="str">
        <f aca="false">TRIM(SUBSTITUTE($A105,CHAR(160)," "))</f>
        <v>10 M</v>
      </c>
    </row>
    <row r="106" customFormat="false" ht="15" hidden="false" customHeight="true" outlineLevel="0" collapsed="false">
      <c r="A106" s="8" t="s">
        <v>566</v>
      </c>
      <c r="B106" s="8" t="n">
        <v>4408029</v>
      </c>
      <c r="C106" s="8" t="s">
        <v>1836</v>
      </c>
      <c r="D106" s="8" t="str">
        <f aca="false">TRIM(SUBSTITUTE($A106,CHAR(160)," "))</f>
        <v>10 XL</v>
      </c>
    </row>
    <row r="107" customFormat="false" ht="15" hidden="false" customHeight="true" outlineLevel="0" collapsed="false">
      <c r="A107" s="8" t="s">
        <v>855</v>
      </c>
      <c r="B107" s="8" t="n">
        <v>4408032</v>
      </c>
      <c r="C107" s="8" t="s">
        <v>1837</v>
      </c>
      <c r="D107" s="8" t="str">
        <f aca="false">TRIM(SUBSTITUTE($A107,CHAR(160)," "))</f>
        <v>11 L</v>
      </c>
    </row>
    <row r="108" customFormat="false" ht="15" hidden="false" customHeight="true" outlineLevel="0" collapsed="false">
      <c r="A108" s="8" t="s">
        <v>567</v>
      </c>
      <c r="B108" s="8" t="n">
        <v>4408033</v>
      </c>
      <c r="C108" s="8" t="s">
        <v>1838</v>
      </c>
      <c r="D108" s="8" t="str">
        <f aca="false">TRIM(SUBSTITUTE($A108,CHAR(160)," "))</f>
        <v>11 M</v>
      </c>
    </row>
    <row r="109" customFormat="false" ht="15" hidden="false" customHeight="true" outlineLevel="0" collapsed="false">
      <c r="A109" s="8" t="s">
        <v>973</v>
      </c>
      <c r="B109" s="8" t="n">
        <v>4408031</v>
      </c>
      <c r="C109" s="8" t="s">
        <v>1839</v>
      </c>
      <c r="D109" s="8" t="str">
        <f aca="false">TRIM(SUBSTITUTE($A109,CHAR(160)," "))</f>
        <v>11 S</v>
      </c>
    </row>
    <row r="110" customFormat="false" ht="15" hidden="false" customHeight="true" outlineLevel="0" collapsed="false">
      <c r="A110" s="8" t="s">
        <v>936</v>
      </c>
      <c r="B110" s="8" t="n">
        <v>4408034</v>
      </c>
      <c r="C110" s="8" t="s">
        <v>1840</v>
      </c>
      <c r="D110" s="8" t="str">
        <f aca="false">TRIM(SUBSTITUTE($A110,CHAR(160)," "))</f>
        <v>11 XL</v>
      </c>
    </row>
    <row r="111" customFormat="false" ht="15" hidden="false" customHeight="true" outlineLevel="0" collapsed="false">
      <c r="A111" s="8" t="s">
        <v>937</v>
      </c>
      <c r="B111" s="8" t="n">
        <v>4408035</v>
      </c>
      <c r="C111" s="8" t="s">
        <v>1841</v>
      </c>
      <c r="D111" s="8" t="str">
        <f aca="false">TRIM(SUBSTITUTE($A111,CHAR(160)," "))</f>
        <v>11 XXL</v>
      </c>
    </row>
    <row r="112" customFormat="false" ht="15" hidden="false" customHeight="true" outlineLevel="0" collapsed="false">
      <c r="A112" s="8" t="s">
        <v>568</v>
      </c>
      <c r="B112" s="8" t="n">
        <v>4408115</v>
      </c>
      <c r="C112" s="8" t="s">
        <v>1279</v>
      </c>
      <c r="D112" s="8" t="str">
        <f aca="false">TRIM(SUBSTITUTE($A112,CHAR(160)," "))</f>
        <v>11EU L</v>
      </c>
    </row>
    <row r="113" customFormat="false" ht="15" hidden="false" customHeight="true" outlineLevel="0" collapsed="false">
      <c r="A113" s="8" t="s">
        <v>569</v>
      </c>
      <c r="B113" s="8" t="n">
        <v>4408114</v>
      </c>
      <c r="C113" s="8" t="s">
        <v>1278</v>
      </c>
      <c r="D113" s="8" t="str">
        <f aca="false">TRIM(SUBSTITUTE($A113,CHAR(160)," "))</f>
        <v>11EU M</v>
      </c>
    </row>
    <row r="114" customFormat="false" ht="15" hidden="false" customHeight="true" outlineLevel="0" collapsed="false">
      <c r="A114" s="8" t="s">
        <v>778</v>
      </c>
      <c r="B114" s="8" t="n">
        <v>4408116</v>
      </c>
      <c r="C114" s="8" t="s">
        <v>1280</v>
      </c>
      <c r="D114" s="8" t="str">
        <f aca="false">TRIM(SUBSTITUTE($A114,CHAR(160)," "))</f>
        <v>11EU XL</v>
      </c>
    </row>
    <row r="115" customFormat="false" ht="15" hidden="false" customHeight="true" outlineLevel="0" collapsed="false">
      <c r="A115" s="8" t="s">
        <v>856</v>
      </c>
      <c r="B115" s="8" t="n">
        <v>4408132</v>
      </c>
      <c r="C115" s="8" t="s">
        <v>1288</v>
      </c>
      <c r="D115" s="8" t="str">
        <f aca="false">TRIM(SUBSTITUTE($A115,CHAR(160)," "))</f>
        <v>11EU XXL</v>
      </c>
    </row>
    <row r="116" customFormat="false" ht="15" hidden="false" customHeight="true" outlineLevel="0" collapsed="false">
      <c r="A116" s="8" t="s">
        <v>955</v>
      </c>
      <c r="B116" s="8" t="n">
        <v>4408147</v>
      </c>
      <c r="C116" s="8" t="s">
        <v>1294</v>
      </c>
      <c r="D116" s="8" t="str">
        <f aca="false">TRIM(SUBSTITUTE($A116,CHAR(160)," "))</f>
        <v>11PS L</v>
      </c>
    </row>
    <row r="117" customFormat="false" ht="15" hidden="false" customHeight="true" outlineLevel="0" collapsed="false">
      <c r="A117" s="8" t="s">
        <v>1052</v>
      </c>
      <c r="B117" s="8" t="n">
        <v>4408145</v>
      </c>
      <c r="C117" s="8" t="s">
        <v>1771</v>
      </c>
      <c r="D117" s="8" t="str">
        <f aca="false">TRIM(SUBSTITUTE($A117,CHAR(160)," "))</f>
        <v>11PS S</v>
      </c>
    </row>
    <row r="118" customFormat="false" ht="15" hidden="false" customHeight="true" outlineLevel="0" collapsed="false">
      <c r="A118" s="8" t="s">
        <v>991</v>
      </c>
      <c r="B118" s="8" t="n">
        <v>4408148</v>
      </c>
      <c r="C118" s="8" t="s">
        <v>1295</v>
      </c>
      <c r="D118" s="8" t="str">
        <f aca="false">TRIM(SUBSTITUTE($A118,CHAR(160)," "))</f>
        <v>11PS XL</v>
      </c>
    </row>
    <row r="119" customFormat="false" ht="15" hidden="false" customHeight="true" outlineLevel="0" collapsed="false">
      <c r="A119" s="8" t="s">
        <v>779</v>
      </c>
      <c r="B119" s="8" t="n">
        <v>4408149</v>
      </c>
      <c r="C119" s="8" t="s">
        <v>1296</v>
      </c>
      <c r="D119" s="8" t="str">
        <f aca="false">TRIM(SUBSTITUTE($A119,CHAR(160)," "))</f>
        <v>11PS XXL</v>
      </c>
    </row>
    <row r="120" customFormat="false" ht="15" hidden="false" customHeight="true" outlineLevel="0" collapsed="false">
      <c r="A120" s="8" t="s">
        <v>857</v>
      </c>
      <c r="B120" s="8" t="n">
        <v>4408261</v>
      </c>
      <c r="C120" s="8" t="s">
        <v>1753</v>
      </c>
      <c r="D120" s="8" t="str">
        <f aca="false">TRIM(SUBSTITUTE($A120,CHAR(160)," "))</f>
        <v>11STO L</v>
      </c>
    </row>
    <row r="121" customFormat="false" ht="15" hidden="false" customHeight="true" outlineLevel="0" collapsed="false">
      <c r="A121" s="8" t="s">
        <v>924</v>
      </c>
      <c r="B121" s="8" t="n">
        <v>4408260</v>
      </c>
      <c r="C121" s="8" t="s">
        <v>1336</v>
      </c>
      <c r="D121" s="8" t="str">
        <f aca="false">TRIM(SUBSTITUTE($A121,CHAR(160)," "))</f>
        <v>11STO M</v>
      </c>
    </row>
    <row r="122" customFormat="false" ht="15" hidden="false" customHeight="true" outlineLevel="0" collapsed="false">
      <c r="A122" s="8" t="s">
        <v>981</v>
      </c>
      <c r="B122" s="8" t="n">
        <v>4408259</v>
      </c>
      <c r="C122" s="8" t="s">
        <v>1335</v>
      </c>
      <c r="D122" s="8" t="str">
        <f aca="false">TRIM(SUBSTITUTE($A122,CHAR(160)," "))</f>
        <v>11STO S</v>
      </c>
    </row>
    <row r="123" customFormat="false" ht="15" hidden="false" customHeight="true" outlineLevel="0" collapsed="false">
      <c r="A123" s="8" t="s">
        <v>780</v>
      </c>
      <c r="B123" s="8" t="n">
        <v>4408262</v>
      </c>
      <c r="C123" s="8" t="s">
        <v>1337</v>
      </c>
      <c r="D123" s="8" t="str">
        <f aca="false">TRIM(SUBSTITUTE($A123,CHAR(160)," "))</f>
        <v>11STO XL</v>
      </c>
    </row>
    <row r="124" customFormat="false" ht="15" hidden="false" customHeight="true" outlineLevel="0" collapsed="false">
      <c r="A124" s="8" t="s">
        <v>570</v>
      </c>
      <c r="B124" s="8" t="n">
        <v>4408263</v>
      </c>
      <c r="C124" s="8" t="s">
        <v>1754</v>
      </c>
      <c r="D124" s="8" t="str">
        <f aca="false">TRIM(SUBSTITUTE($A124,CHAR(160)," "))</f>
        <v>11STO XXL</v>
      </c>
    </row>
    <row r="125" customFormat="false" ht="15" hidden="false" customHeight="true" outlineLevel="0" collapsed="false">
      <c r="A125" s="8" t="s">
        <v>858</v>
      </c>
      <c r="B125" s="8" t="n">
        <v>4408152</v>
      </c>
      <c r="C125" s="8" t="s">
        <v>1299</v>
      </c>
      <c r="D125" s="8" t="str">
        <f aca="false">TRIM(SUBSTITUTE($A125,CHAR(160)," "))</f>
        <v>11TO L</v>
      </c>
    </row>
    <row r="126" customFormat="false" ht="15" hidden="false" customHeight="true" outlineLevel="0" collapsed="false">
      <c r="A126" s="8" t="s">
        <v>925</v>
      </c>
      <c r="B126" s="8" t="n">
        <v>4408151</v>
      </c>
      <c r="C126" s="8" t="s">
        <v>1298</v>
      </c>
      <c r="D126" s="8" t="str">
        <f aca="false">TRIM(SUBSTITUTE($A126,CHAR(160)," "))</f>
        <v>11TO M</v>
      </c>
    </row>
    <row r="127" customFormat="false" ht="15" hidden="false" customHeight="true" outlineLevel="0" collapsed="false">
      <c r="A127" s="8" t="s">
        <v>980</v>
      </c>
      <c r="B127" s="8" t="n">
        <v>4408150</v>
      </c>
      <c r="C127" s="8" t="s">
        <v>1297</v>
      </c>
      <c r="D127" s="8" t="str">
        <f aca="false">TRIM(SUBSTITUTE($A127,CHAR(160)," "))</f>
        <v>11TO S</v>
      </c>
    </row>
    <row r="128" customFormat="false" ht="15" hidden="false" customHeight="true" outlineLevel="0" collapsed="false">
      <c r="A128" s="8" t="s">
        <v>781</v>
      </c>
      <c r="B128" s="8" t="n">
        <v>4408153</v>
      </c>
      <c r="C128" s="8" t="s">
        <v>1300</v>
      </c>
      <c r="D128" s="8" t="str">
        <f aca="false">TRIM(SUBSTITUTE($A128,CHAR(160)," "))</f>
        <v>11TO XL</v>
      </c>
    </row>
    <row r="129" customFormat="false" ht="15" hidden="false" customHeight="true" outlineLevel="0" collapsed="false">
      <c r="A129" s="8" t="s">
        <v>571</v>
      </c>
      <c r="B129" s="8" t="n">
        <v>4408154</v>
      </c>
      <c r="C129" s="8" t="s">
        <v>1301</v>
      </c>
      <c r="D129" s="8" t="str">
        <f aca="false">TRIM(SUBSTITUTE($A129,CHAR(160)," "))</f>
        <v>11TO XXL</v>
      </c>
    </row>
    <row r="130" customFormat="false" ht="15" hidden="false" customHeight="true" outlineLevel="0" collapsed="false">
      <c r="A130" s="8" t="s">
        <v>938</v>
      </c>
      <c r="B130" s="8" t="n">
        <v>4408179</v>
      </c>
      <c r="C130" s="8" t="s">
        <v>1305</v>
      </c>
      <c r="D130" s="8" t="str">
        <f aca="false">TRIM(SUBSTITUTE($A130,CHAR(160)," "))</f>
        <v>13 XL</v>
      </c>
    </row>
    <row r="131" customFormat="false" ht="15" hidden="false" customHeight="true" outlineLevel="0" collapsed="false">
      <c r="A131" s="8" t="s">
        <v>782</v>
      </c>
      <c r="B131" s="8" t="n">
        <v>4408180</v>
      </c>
      <c r="C131" s="8" t="s">
        <v>1306</v>
      </c>
      <c r="D131" s="8" t="str">
        <f aca="false">TRIM(SUBSTITUTE($A131,CHAR(160)," "))</f>
        <v>13 XXL</v>
      </c>
    </row>
    <row r="132" customFormat="false" ht="15" hidden="false" customHeight="true" outlineLevel="0" collapsed="false">
      <c r="A132" s="8" t="s">
        <v>572</v>
      </c>
      <c r="B132" s="8" t="n">
        <v>4408203</v>
      </c>
      <c r="C132" s="8" t="s">
        <v>1309</v>
      </c>
      <c r="D132" s="8" t="str">
        <f aca="false">TRIM(SUBSTITUTE($A132,CHAR(160)," "))</f>
        <v>14 0</v>
      </c>
    </row>
    <row r="133" customFormat="false" ht="15" hidden="false" customHeight="true" outlineLevel="0" collapsed="false">
      <c r="A133" s="8" t="s">
        <v>573</v>
      </c>
      <c r="B133" s="8" t="n">
        <v>4408131</v>
      </c>
      <c r="C133" s="8" t="s">
        <v>1287</v>
      </c>
      <c r="D133" s="8" t="str">
        <f aca="false">TRIM(SUBSTITUTE($A133,CHAR(160)," "))</f>
        <v>15W L</v>
      </c>
    </row>
    <row r="134" customFormat="false" ht="15" hidden="false" customHeight="true" outlineLevel="0" collapsed="false">
      <c r="A134" s="8" t="s">
        <v>574</v>
      </c>
      <c r="B134" s="8" t="n">
        <v>4408230</v>
      </c>
      <c r="C134" s="8" t="s">
        <v>1325</v>
      </c>
      <c r="D134" s="8" t="str">
        <f aca="false">TRIM(SUBSTITUTE($A134,CHAR(160)," "))</f>
        <v>16-L-XL</v>
      </c>
    </row>
    <row r="135" customFormat="false" ht="15" hidden="false" customHeight="true" outlineLevel="0" collapsed="false">
      <c r="A135" s="8" t="s">
        <v>575</v>
      </c>
      <c r="B135" s="8" t="n">
        <v>4408231</v>
      </c>
      <c r="C135" s="8" t="s">
        <v>1326</v>
      </c>
      <c r="D135" s="8" t="str">
        <f aca="false">TRIM(SUBSTITUTE($A135,CHAR(160)," "))</f>
        <v>16-S-M</v>
      </c>
    </row>
    <row r="136" customFormat="false" ht="15" hidden="false" customHeight="true" outlineLevel="0" collapsed="false">
      <c r="A136" s="8" t="s">
        <v>977</v>
      </c>
      <c r="B136" s="8" t="n">
        <v>4408232</v>
      </c>
      <c r="C136" s="8" t="s">
        <v>1327</v>
      </c>
      <c r="D136" s="8" t="str">
        <f aca="false">TRIM(SUBSTITUTE($A136,CHAR(160)," "))</f>
        <v>16 XXL</v>
      </c>
    </row>
    <row r="137" customFormat="false" ht="15" hidden="false" customHeight="true" outlineLevel="0" collapsed="false">
      <c r="A137" s="8" t="s">
        <v>880</v>
      </c>
      <c r="B137" s="8" t="n">
        <v>4408274</v>
      </c>
      <c r="C137" s="8" t="s">
        <v>1343</v>
      </c>
      <c r="D137" s="8" t="str">
        <f aca="false">TRIM(SUBSTITUTE($A137,CHAR(160)," "))</f>
        <v>70N L</v>
      </c>
    </row>
    <row r="138" customFormat="false" ht="15" hidden="false" customHeight="true" outlineLevel="0" collapsed="false">
      <c r="A138" s="8" t="s">
        <v>881</v>
      </c>
      <c r="B138" s="8" t="n">
        <v>4408273</v>
      </c>
      <c r="C138" s="8" t="s">
        <v>1342</v>
      </c>
      <c r="D138" s="8" t="str">
        <f aca="false">TRIM(SUBSTITUTE($A138,CHAR(160)," "))</f>
        <v>70N M</v>
      </c>
    </row>
    <row r="139" customFormat="false" ht="15" hidden="false" customHeight="true" outlineLevel="0" collapsed="false">
      <c r="A139" s="8" t="s">
        <v>882</v>
      </c>
      <c r="B139" s="8" t="n">
        <v>4408272</v>
      </c>
      <c r="C139" s="8" t="s">
        <v>1341</v>
      </c>
      <c r="D139" s="8" t="str">
        <f aca="false">TRIM(SUBSTITUTE($A139,CHAR(160)," "))</f>
        <v>70N S</v>
      </c>
    </row>
    <row r="140" customFormat="false" ht="15" hidden="false" customHeight="true" outlineLevel="0" collapsed="false">
      <c r="A140" s="8" t="s">
        <v>883</v>
      </c>
      <c r="B140" s="8" t="n">
        <v>4408271</v>
      </c>
      <c r="C140" s="8" t="s">
        <v>1759</v>
      </c>
      <c r="D140" s="8" t="str">
        <f aca="false">TRIM(SUBSTITUTE($A140,CHAR(160)," "))</f>
        <v>70N XS</v>
      </c>
    </row>
    <row r="141" customFormat="false" ht="15" hidden="false" customHeight="true" outlineLevel="0" collapsed="false">
      <c r="A141" s="8" t="s">
        <v>723</v>
      </c>
      <c r="B141" s="8" t="n">
        <v>4408205</v>
      </c>
      <c r="C141" s="8" t="s">
        <v>1310</v>
      </c>
      <c r="D141" s="8" t="str">
        <f aca="false">TRIM(SUBSTITUTE($A141,CHAR(160)," "))</f>
        <v>AC07 0</v>
      </c>
    </row>
    <row r="142" customFormat="false" ht="15" hidden="false" customHeight="true" outlineLevel="0" collapsed="false">
      <c r="A142" s="8" t="s">
        <v>724</v>
      </c>
      <c r="B142" s="8" t="n">
        <v>4408206</v>
      </c>
      <c r="C142" s="8" t="s">
        <v>1311</v>
      </c>
      <c r="D142" s="8" t="str">
        <f aca="false">TRIM(SUBSTITUTE($A142,CHAR(160)," "))</f>
        <v>AC11 0</v>
      </c>
    </row>
    <row r="143" customFormat="false" ht="15" hidden="false" customHeight="true" outlineLevel="0" collapsed="false">
      <c r="A143" s="8" t="s">
        <v>947</v>
      </c>
      <c r="B143" s="8" t="n">
        <v>4408226</v>
      </c>
      <c r="C143" s="8" t="s">
        <v>1322</v>
      </c>
      <c r="D143" s="8" t="str">
        <f aca="false">TRIM(SUBSTITUTE($A143,CHAR(160)," "))</f>
        <v>11UG L</v>
      </c>
    </row>
    <row r="144" customFormat="false" ht="15" hidden="false" customHeight="true" outlineLevel="0" collapsed="false">
      <c r="A144" s="8" t="s">
        <v>852</v>
      </c>
      <c r="B144" s="8" t="n">
        <v>4408190</v>
      </c>
      <c r="C144" s="8" t="s">
        <v>1307</v>
      </c>
      <c r="D144" s="8" t="str">
        <f aca="false">TRIM(SUBSTITUTE($A144,CHAR(160)," "))</f>
        <v>078 M</v>
      </c>
    </row>
    <row r="145" customFormat="false" ht="15" hidden="false" customHeight="true" outlineLevel="0" collapsed="false">
      <c r="A145" s="8" t="s">
        <v>853</v>
      </c>
      <c r="B145" s="8" t="n">
        <v>4408217</v>
      </c>
      <c r="C145" s="8" t="s">
        <v>1314</v>
      </c>
      <c r="D145" s="8" t="str">
        <f aca="false">TRIM(SUBSTITUTE($A145,CHAR(160)," "))</f>
        <v>078 S</v>
      </c>
    </row>
    <row r="146" customFormat="false" ht="15" hidden="false" customHeight="true" outlineLevel="0" collapsed="false">
      <c r="A146" s="8" t="s">
        <v>895</v>
      </c>
      <c r="B146" s="8" t="n">
        <v>4408270</v>
      </c>
      <c r="C146" s="8" t="s">
        <v>1758</v>
      </c>
      <c r="D146" s="8" t="str">
        <f aca="false">TRIM(SUBSTITUTE($A146,CHAR(160)," "))</f>
        <v>ST11 0</v>
      </c>
    </row>
    <row r="147" customFormat="false" ht="15" hidden="false" customHeight="true" outlineLevel="0" collapsed="false">
      <c r="A147" s="8" t="s">
        <v>971</v>
      </c>
      <c r="B147" s="8" t="n">
        <v>4408090</v>
      </c>
      <c r="C147" s="8" t="s">
        <v>1265</v>
      </c>
      <c r="D147" s="8" t="str">
        <f aca="false">TRIM(SUBSTITUTE($A147,CHAR(160)," "))</f>
        <v>T11C L</v>
      </c>
    </row>
    <row r="148" customFormat="false" ht="15" hidden="false" customHeight="true" outlineLevel="0" collapsed="false">
      <c r="A148" s="8" t="s">
        <v>988</v>
      </c>
      <c r="B148" s="8" t="n">
        <v>4408091</v>
      </c>
      <c r="C148" s="8" t="s">
        <v>1266</v>
      </c>
      <c r="D148" s="8" t="str">
        <f aca="false">TRIM(SUBSTITUTE($A148,CHAR(160)," "))</f>
        <v>T11C M</v>
      </c>
    </row>
    <row r="149" customFormat="false" ht="15" hidden="false" customHeight="true" outlineLevel="0" collapsed="false">
      <c r="A149" s="8" t="s">
        <v>989</v>
      </c>
      <c r="B149" s="8" t="n">
        <v>4408089</v>
      </c>
      <c r="C149" s="8" t="s">
        <v>1264</v>
      </c>
      <c r="D149" s="8" t="str">
        <f aca="false">TRIM(SUBSTITUTE($A149,CHAR(160)," "))</f>
        <v>T11C S</v>
      </c>
    </row>
    <row r="150" customFormat="false" ht="15" hidden="false" customHeight="true" outlineLevel="0" collapsed="false">
      <c r="A150" s="8" t="s">
        <v>766</v>
      </c>
      <c r="B150" s="8" t="n">
        <v>4408092</v>
      </c>
      <c r="C150" s="8" t="s">
        <v>1267</v>
      </c>
      <c r="D150" s="8" t="str">
        <f aca="false">TRIM(SUBSTITUTE($A150,CHAR(160)," "))</f>
        <v>T11C XL</v>
      </c>
    </row>
    <row r="151" customFormat="false" ht="15" hidden="false" customHeight="true" outlineLevel="0" collapsed="false">
      <c r="A151" s="8" t="s">
        <v>559</v>
      </c>
      <c r="B151" s="8" t="n">
        <v>4408093</v>
      </c>
      <c r="C151" s="8" t="s">
        <v>1268</v>
      </c>
      <c r="D151" s="8" t="str">
        <f aca="false">TRIM(SUBSTITUTE($A151,CHAR(160)," "))</f>
        <v>T11C XXL</v>
      </c>
    </row>
    <row r="152" customFormat="false" ht="15" hidden="false" customHeight="true" outlineLevel="0" collapsed="false">
      <c r="A152" s="8" t="s">
        <v>697</v>
      </c>
      <c r="B152" s="8" t="n">
        <v>4409011</v>
      </c>
      <c r="C152" s="8" t="s">
        <v>1350</v>
      </c>
      <c r="D152" s="8" t="str">
        <f aca="false">TRIM(SUBSTITUTE($A152,CHAR(160)," "))</f>
        <v>804AT-B</v>
      </c>
    </row>
    <row r="153" customFormat="false" ht="15" hidden="false" customHeight="true" outlineLevel="0" collapsed="false">
      <c r="A153" s="8" t="s">
        <v>698</v>
      </c>
      <c r="B153" s="8" t="n">
        <v>4409013</v>
      </c>
      <c r="C153" s="8" t="s">
        <v>1352</v>
      </c>
      <c r="D153" s="8" t="str">
        <f aca="false">TRIM(SUBSTITUTE($A153,CHAR(160)," "))</f>
        <v>804AT-BL</v>
      </c>
    </row>
    <row r="154" customFormat="false" ht="15" hidden="false" customHeight="true" outlineLevel="0" collapsed="false">
      <c r="A154" s="8" t="s">
        <v>699</v>
      </c>
      <c r="B154" s="8" t="n">
        <v>4409012</v>
      </c>
      <c r="C154" s="8" t="s">
        <v>1351</v>
      </c>
      <c r="D154" s="8" t="str">
        <f aca="false">TRIM(SUBSTITUTE($A154,CHAR(160)," "))</f>
        <v>804AT-C</v>
      </c>
    </row>
    <row r="155" customFormat="false" ht="15" hidden="false" customHeight="true" outlineLevel="0" collapsed="false">
      <c r="A155" s="8" t="s">
        <v>822</v>
      </c>
      <c r="B155" s="8" t="n">
        <v>4409010</v>
      </c>
      <c r="C155" s="8" t="s">
        <v>1349</v>
      </c>
      <c r="D155" s="8" t="str">
        <f aca="false">TRIM(SUBSTITUTE($A155,CHAR(160)," "))</f>
        <v>804AT-W</v>
      </c>
    </row>
    <row r="156" customFormat="false" ht="15" hidden="false" customHeight="true" outlineLevel="0" collapsed="false">
      <c r="A156" s="8" t="s">
        <v>700</v>
      </c>
      <c r="B156" s="8" t="n">
        <v>4401012</v>
      </c>
      <c r="C156" s="8" t="s">
        <v>1842</v>
      </c>
      <c r="D156" s="8" t="str">
        <f aca="false">TRIM(SUBSTITUTE($A156,CHAR(160)," "))</f>
        <v>805AT-B</v>
      </c>
    </row>
    <row r="157" customFormat="false" ht="15" hidden="false" customHeight="true" outlineLevel="0" collapsed="false">
      <c r="A157" s="8" t="s">
        <v>884</v>
      </c>
      <c r="B157" s="8" t="n">
        <v>4401013</v>
      </c>
      <c r="C157" s="8" t="s">
        <v>1843</v>
      </c>
      <c r="D157" s="8" t="str">
        <f aca="false">TRIM(SUBSTITUTE($A157,CHAR(160)," "))</f>
        <v>805AT-BL</v>
      </c>
    </row>
    <row r="158" customFormat="false" ht="15" hidden="false" customHeight="true" outlineLevel="0" collapsed="false">
      <c r="A158" s="8" t="s">
        <v>701</v>
      </c>
      <c r="B158" s="8" t="n">
        <v>4401011</v>
      </c>
      <c r="C158" s="8" t="s">
        <v>1844</v>
      </c>
      <c r="D158" s="8" t="str">
        <f aca="false">TRIM(SUBSTITUTE($A158,CHAR(160)," "))</f>
        <v>805AT-C</v>
      </c>
    </row>
    <row r="159" customFormat="false" ht="15" hidden="false" customHeight="true" outlineLevel="0" collapsed="false">
      <c r="A159" s="8" t="s">
        <v>1000</v>
      </c>
      <c r="B159" s="8" t="n">
        <v>4401014</v>
      </c>
      <c r="C159" s="8" t="s">
        <v>1845</v>
      </c>
      <c r="D159" s="8" t="str">
        <f aca="false">TRIM(SUBSTITUTE($A159,CHAR(160)," "))</f>
        <v>805AT-W</v>
      </c>
    </row>
    <row r="160" customFormat="false" ht="15" hidden="false" customHeight="true" outlineLevel="0" collapsed="false">
      <c r="A160" s="8" t="s">
        <v>705</v>
      </c>
      <c r="B160" s="8" t="n">
        <v>4409017</v>
      </c>
      <c r="C160" s="8" t="s">
        <v>1356</v>
      </c>
      <c r="D160" s="8" t="str">
        <f aca="false">TRIM(SUBSTITUTE($A160,CHAR(160)," "))</f>
        <v>808KT-B</v>
      </c>
    </row>
    <row r="161" customFormat="false" ht="15" hidden="false" customHeight="true" outlineLevel="0" collapsed="false">
      <c r="A161" s="8" t="s">
        <v>886</v>
      </c>
      <c r="B161" s="8" t="n">
        <v>4409015</v>
      </c>
      <c r="C161" s="8" t="s">
        <v>1354</v>
      </c>
      <c r="D161" s="8" t="str">
        <f aca="false">TRIM(SUBSTITUTE($A161,CHAR(160)," "))</f>
        <v>808KT-BL</v>
      </c>
    </row>
    <row r="162" customFormat="false" ht="15" hidden="false" customHeight="true" outlineLevel="0" collapsed="false">
      <c r="A162" s="8" t="s">
        <v>706</v>
      </c>
      <c r="B162" s="8" t="n">
        <v>4409016</v>
      </c>
      <c r="C162" s="8" t="s">
        <v>1355</v>
      </c>
      <c r="D162" s="8" t="str">
        <f aca="false">TRIM(SUBSTITUTE($A162,CHAR(160)," "))</f>
        <v>808KT-C</v>
      </c>
    </row>
    <row r="163" customFormat="false" ht="15" hidden="false" customHeight="true" outlineLevel="0" collapsed="false">
      <c r="A163" s="8" t="s">
        <v>887</v>
      </c>
      <c r="B163" s="8" t="n">
        <v>4409014</v>
      </c>
      <c r="C163" s="8" t="s">
        <v>1353</v>
      </c>
      <c r="D163" s="8" t="str">
        <f aca="false">TRIM(SUBSTITUTE($A163,CHAR(160)," "))</f>
        <v>808KT-P</v>
      </c>
    </row>
    <row r="164" customFormat="false" ht="15" hidden="false" customHeight="true" outlineLevel="0" collapsed="false">
      <c r="A164" s="8" t="s">
        <v>586</v>
      </c>
      <c r="B164" s="8" t="n">
        <v>4419013</v>
      </c>
      <c r="C164" s="8" t="s">
        <v>1692</v>
      </c>
      <c r="D164" s="8" t="str">
        <f aca="false">TRIM(SUBSTITUTE($A164,CHAR(160)," "))</f>
        <v>239B-L-XL</v>
      </c>
    </row>
    <row r="165" customFormat="false" ht="15" hidden="false" customHeight="true" outlineLevel="0" collapsed="false">
      <c r="A165" s="8" t="s">
        <v>587</v>
      </c>
      <c r="B165" s="8" t="n">
        <v>4419011</v>
      </c>
      <c r="C165" s="8" t="s">
        <v>1690</v>
      </c>
      <c r="D165" s="8" t="str">
        <f aca="false">TRIM(SUBSTITUTE($A165,CHAR(160)," "))</f>
        <v>239B-S-M</v>
      </c>
    </row>
    <row r="166" customFormat="false" ht="15" hidden="false" customHeight="true" outlineLevel="0" collapsed="false">
      <c r="A166" s="8" t="s">
        <v>588</v>
      </c>
      <c r="B166" s="8" t="n">
        <v>4419014</v>
      </c>
      <c r="C166" s="8" t="s">
        <v>1693</v>
      </c>
      <c r="D166" s="8" t="str">
        <f aca="false">TRIM(SUBSTITUTE($A166,CHAR(160)," "))</f>
        <v>239TR-L-XL</v>
      </c>
    </row>
    <row r="167" customFormat="false" ht="15" hidden="false" customHeight="true" outlineLevel="0" collapsed="false">
      <c r="A167" s="8" t="s">
        <v>738</v>
      </c>
      <c r="B167" s="8" t="n">
        <v>4414000</v>
      </c>
      <c r="C167" s="8" t="s">
        <v>1620</v>
      </c>
      <c r="D167" s="8" t="str">
        <f aca="false">TRIM(SUBSTITUTE($A167,CHAR(160)," "))</f>
        <v>FC342 0</v>
      </c>
    </row>
    <row r="168" customFormat="false" ht="15" hidden="false" customHeight="true" outlineLevel="0" collapsed="false">
      <c r="A168" s="8" t="s">
        <v>624</v>
      </c>
      <c r="B168" s="8" t="n">
        <v>4421008</v>
      </c>
      <c r="C168" s="8" t="s">
        <v>1728</v>
      </c>
      <c r="D168" s="8" t="str">
        <f aca="false">TRIM(SUBSTITUTE($A168,CHAR(160)," "))</f>
        <v>351 0</v>
      </c>
    </row>
    <row r="169" customFormat="false" ht="15" hidden="false" customHeight="true" outlineLevel="0" collapsed="false">
      <c r="A169" s="8" t="s">
        <v>623</v>
      </c>
      <c r="B169" s="8" t="n">
        <v>4421007</v>
      </c>
      <c r="C169" s="8" t="s">
        <v>1727</v>
      </c>
      <c r="D169" s="8" t="str">
        <f aca="false">TRIM(SUBSTITUTE($A169,CHAR(160)," "))</f>
        <v>350 0</v>
      </c>
    </row>
    <row r="170" customFormat="false" ht="15" hidden="false" customHeight="true" outlineLevel="0" collapsed="false">
      <c r="A170" s="8" t="s">
        <v>735</v>
      </c>
      <c r="B170" s="8" t="n">
        <v>4413149</v>
      </c>
      <c r="C170" s="8" t="s">
        <v>1473</v>
      </c>
      <c r="D170" s="8" t="str">
        <f aca="false">TRIM(SUBSTITUTE($A170,CHAR(160)," "))</f>
        <v>FC321 0</v>
      </c>
    </row>
    <row r="171" customFormat="false" ht="15" hidden="false" customHeight="true" outlineLevel="0" collapsed="false">
      <c r="A171" s="8" t="s">
        <v>888</v>
      </c>
      <c r="B171" s="8" t="n">
        <v>4422036</v>
      </c>
      <c r="C171" s="8" t="s">
        <v>1745</v>
      </c>
      <c r="D171" s="8" t="str">
        <f aca="false">TRIM(SUBSTITUTE($A171,CHAR(160)," "))</f>
        <v>FC334 0</v>
      </c>
    </row>
    <row r="172" customFormat="false" ht="15" hidden="false" customHeight="true" outlineLevel="0" collapsed="false">
      <c r="A172" s="8" t="s">
        <v>737</v>
      </c>
      <c r="B172" s="8" t="n">
        <v>4409004</v>
      </c>
      <c r="C172" s="8" t="s">
        <v>1348</v>
      </c>
      <c r="D172" s="8" t="str">
        <f aca="false">TRIM(SUBSTITUTE($A172,CHAR(160)," "))</f>
        <v>FC335 0</v>
      </c>
    </row>
    <row r="173" customFormat="false" ht="15" hidden="false" customHeight="true" outlineLevel="0" collapsed="false">
      <c r="A173" s="8" t="s">
        <v>736</v>
      </c>
      <c r="B173" s="8" t="n">
        <v>4422035</v>
      </c>
      <c r="C173" s="8" t="s">
        <v>1744</v>
      </c>
      <c r="D173" s="8" t="str">
        <f aca="false">TRIM(SUBSTITUTE($A173,CHAR(160)," "))</f>
        <v>FC333 0</v>
      </c>
    </row>
    <row r="174" customFormat="false" ht="15" hidden="false" customHeight="true" outlineLevel="0" collapsed="false">
      <c r="A174" s="8" t="s">
        <v>590</v>
      </c>
      <c r="B174" s="8" t="n">
        <v>4421006</v>
      </c>
      <c r="C174" s="8" t="s">
        <v>1726</v>
      </c>
      <c r="D174" s="8" t="str">
        <f aca="false">TRIM(SUBSTITUTE($A174,CHAR(160)," "))</f>
        <v>251 0</v>
      </c>
    </row>
    <row r="175" customFormat="false" ht="15" hidden="false" customHeight="true" outlineLevel="0" collapsed="false">
      <c r="A175" s="8" t="s">
        <v>589</v>
      </c>
      <c r="B175" s="8" t="n">
        <v>4421005</v>
      </c>
      <c r="C175" s="8" t="s">
        <v>1725</v>
      </c>
      <c r="D175" s="8" t="str">
        <f aca="false">TRIM(SUBSTITUTE($A175,CHAR(160)," "))</f>
        <v>250 0</v>
      </c>
    </row>
    <row r="176" customFormat="false" ht="15" hidden="false" customHeight="true" outlineLevel="0" collapsed="false">
      <c r="A176" s="8" t="s">
        <v>820</v>
      </c>
      <c r="B176" s="8" t="n">
        <v>4413165</v>
      </c>
      <c r="C176" s="8" t="s">
        <v>1485</v>
      </c>
      <c r="D176" s="8" t="str">
        <f aca="false">TRIM(SUBSTITUTE($A176,CHAR(160)," "))</f>
        <v>74-L-XL</v>
      </c>
    </row>
    <row r="177" customFormat="false" ht="15" hidden="false" customHeight="true" outlineLevel="0" collapsed="false">
      <c r="A177" s="8" t="s">
        <v>693</v>
      </c>
      <c r="B177" s="8" t="n">
        <v>4413130</v>
      </c>
      <c r="C177" s="8" t="s">
        <v>1458</v>
      </c>
      <c r="D177" s="8" t="str">
        <f aca="false">TRIM(SUBSTITUTE($A177,CHAR(160)," "))</f>
        <v>75 XXL</v>
      </c>
    </row>
    <row r="178" customFormat="false" ht="15" hidden="false" customHeight="true" outlineLevel="0" collapsed="false">
      <c r="A178" s="8" t="s">
        <v>556</v>
      </c>
      <c r="B178" s="8" t="n">
        <v>4413127</v>
      </c>
      <c r="C178" s="8" t="s">
        <v>1455</v>
      </c>
      <c r="D178" s="8" t="str">
        <f aca="false">TRIM(SUBSTITUTE($A178,CHAR(160)," "))</f>
        <v>75 L</v>
      </c>
    </row>
    <row r="179" customFormat="false" ht="15" hidden="false" customHeight="true" outlineLevel="0" collapsed="false">
      <c r="A179" s="8" t="s">
        <v>930</v>
      </c>
      <c r="B179" s="8" t="n">
        <v>4413128</v>
      </c>
      <c r="C179" s="8" t="s">
        <v>1456</v>
      </c>
      <c r="D179" s="8" t="str">
        <f aca="false">TRIM(SUBSTITUTE($A179,CHAR(160)," "))</f>
        <v>75 M</v>
      </c>
    </row>
    <row r="180" customFormat="false" ht="15" hidden="false" customHeight="true" outlineLevel="0" collapsed="false">
      <c r="A180" s="8" t="s">
        <v>987</v>
      </c>
      <c r="B180" s="8" t="n">
        <v>4413126</v>
      </c>
      <c r="C180" s="8" t="s">
        <v>1454</v>
      </c>
      <c r="D180" s="8" t="str">
        <f aca="false">TRIM(SUBSTITUTE($A180,CHAR(160)," "))</f>
        <v>75 S</v>
      </c>
    </row>
    <row r="181" customFormat="false" ht="15" hidden="false" customHeight="true" outlineLevel="0" collapsed="false">
      <c r="A181" s="8" t="s">
        <v>557</v>
      </c>
      <c r="B181" s="8" t="n">
        <v>4413129</v>
      </c>
      <c r="C181" s="8" t="s">
        <v>1457</v>
      </c>
      <c r="D181" s="8" t="str">
        <f aca="false">TRIM(SUBSTITUTE($A181,CHAR(160)," "))</f>
        <v>75 XL</v>
      </c>
    </row>
    <row r="182" customFormat="false" ht="15" hidden="false" customHeight="true" outlineLevel="0" collapsed="false">
      <c r="A182" s="8" t="s">
        <v>694</v>
      </c>
      <c r="B182" s="8" t="n">
        <v>4413132</v>
      </c>
      <c r="C182" s="8" t="s">
        <v>1460</v>
      </c>
      <c r="D182" s="8" t="str">
        <f aca="false">TRIM(SUBSTITUTE($A182,CHAR(160)," "))</f>
        <v>76 L</v>
      </c>
    </row>
    <row r="183" customFormat="false" ht="15" hidden="false" customHeight="true" outlineLevel="0" collapsed="false">
      <c r="A183" s="8" t="s">
        <v>962</v>
      </c>
      <c r="B183" s="8" t="n">
        <v>4413133</v>
      </c>
      <c r="C183" s="8" t="s">
        <v>1461</v>
      </c>
      <c r="D183" s="8" t="str">
        <f aca="false">TRIM(SUBSTITUTE($A183,CHAR(160)," "))</f>
        <v>76 M</v>
      </c>
    </row>
    <row r="184" customFormat="false" ht="15" hidden="false" customHeight="true" outlineLevel="0" collapsed="false">
      <c r="A184" s="8" t="s">
        <v>821</v>
      </c>
      <c r="B184" s="8" t="n">
        <v>4413131</v>
      </c>
      <c r="C184" s="8" t="s">
        <v>1459</v>
      </c>
      <c r="D184" s="8" t="str">
        <f aca="false">TRIM(SUBSTITUTE($A184,CHAR(160)," "))</f>
        <v>76 S</v>
      </c>
    </row>
    <row r="185" customFormat="false" ht="15" hidden="false" customHeight="true" outlineLevel="0" collapsed="false">
      <c r="A185" s="8" t="s">
        <v>695</v>
      </c>
      <c r="B185" s="8" t="n">
        <v>4413134</v>
      </c>
      <c r="C185" s="8" t="s">
        <v>1462</v>
      </c>
      <c r="D185" s="8" t="str">
        <f aca="false">TRIM(SUBSTITUTE($A185,CHAR(160)," "))</f>
        <v>76 XL</v>
      </c>
    </row>
    <row r="186" customFormat="false" ht="15" hidden="false" customHeight="true" outlineLevel="0" collapsed="false">
      <c r="A186" s="8" t="s">
        <v>830</v>
      </c>
      <c r="B186" s="8" t="n">
        <v>4413197</v>
      </c>
      <c r="C186" s="8" t="s">
        <v>1504</v>
      </c>
      <c r="D186" s="8" t="str">
        <f aca="false">TRIM(SUBSTITUTE($A186,CHAR(160)," "))</f>
        <v>87 L</v>
      </c>
    </row>
    <row r="187" customFormat="false" ht="15" hidden="false" customHeight="true" outlineLevel="0" collapsed="false">
      <c r="A187" s="8" t="s">
        <v>831</v>
      </c>
      <c r="B187" s="8" t="n">
        <v>4413196</v>
      </c>
      <c r="C187" s="8" t="s">
        <v>1503</v>
      </c>
      <c r="D187" s="8" t="str">
        <f aca="false">TRIM(SUBSTITUTE($A187,CHAR(160)," "))</f>
        <v>87 M</v>
      </c>
    </row>
    <row r="188" customFormat="false" ht="15" hidden="false" customHeight="true" outlineLevel="0" collapsed="false">
      <c r="A188" s="8" t="s">
        <v>918</v>
      </c>
      <c r="B188" s="8" t="n">
        <v>4413195</v>
      </c>
      <c r="C188" s="8" t="s">
        <v>1502</v>
      </c>
      <c r="D188" s="8" t="str">
        <f aca="false">TRIM(SUBSTITUTE($A188,CHAR(160)," "))</f>
        <v>87 S</v>
      </c>
    </row>
    <row r="189" customFormat="false" ht="15" hidden="false" customHeight="true" outlineLevel="0" collapsed="false">
      <c r="A189" s="8" t="s">
        <v>832</v>
      </c>
      <c r="B189" s="8" t="n">
        <v>4413198</v>
      </c>
      <c r="C189" s="8" t="s">
        <v>1505</v>
      </c>
      <c r="D189" s="8" t="str">
        <f aca="false">TRIM(SUBSTITUTE($A189,CHAR(160)," "))</f>
        <v>87 XL</v>
      </c>
    </row>
    <row r="190" customFormat="false" ht="15" hidden="false" customHeight="true" outlineLevel="0" collapsed="false">
      <c r="A190" s="8" t="s">
        <v>923</v>
      </c>
      <c r="B190" s="8" t="n">
        <v>4413204</v>
      </c>
      <c r="C190" s="8" t="s">
        <v>1506</v>
      </c>
      <c r="D190" s="8" t="str">
        <f aca="false">TRIM(SUBSTITUTE($A190,CHAR(160)," "))</f>
        <v>87 XXL</v>
      </c>
    </row>
    <row r="191" customFormat="false" ht="15" hidden="false" customHeight="true" outlineLevel="0" collapsed="false">
      <c r="A191" s="8" t="s">
        <v>732</v>
      </c>
      <c r="B191" s="8" t="n">
        <v>4413456</v>
      </c>
      <c r="C191" s="8" t="s">
        <v>1587</v>
      </c>
      <c r="D191" s="8" t="str">
        <f aca="false">TRIM(SUBSTITUTE($A191,CHAR(160)," "))</f>
        <v>AC75 XXL</v>
      </c>
    </row>
    <row r="192" customFormat="false" ht="15" hidden="false" customHeight="true" outlineLevel="0" collapsed="false">
      <c r="A192" s="8" t="s">
        <v>558</v>
      </c>
      <c r="B192" s="8" t="n">
        <v>4413453</v>
      </c>
      <c r="C192" s="8" t="s">
        <v>1585</v>
      </c>
      <c r="D192" s="8" t="str">
        <f aca="false">TRIM(SUBSTITUTE($A192,CHAR(160)," "))</f>
        <v>AC75-S-XL</v>
      </c>
    </row>
    <row r="193" customFormat="false" ht="15" hidden="false" customHeight="true" outlineLevel="0" collapsed="false">
      <c r="A193" s="8" t="s">
        <v>774</v>
      </c>
      <c r="B193" s="8" t="n">
        <v>4422006</v>
      </c>
      <c r="C193" s="8" t="s">
        <v>1733</v>
      </c>
      <c r="D193" s="8" t="str">
        <f aca="false">TRIM(SUBSTITUTE($A193,CHAR(160)," "))</f>
        <v>T78 L</v>
      </c>
    </row>
    <row r="194" customFormat="false" ht="15" hidden="false" customHeight="true" outlineLevel="0" collapsed="false">
      <c r="A194" s="8" t="s">
        <v>851</v>
      </c>
      <c r="B194" s="8" t="n">
        <v>4422005</v>
      </c>
      <c r="C194" s="8" t="s">
        <v>1732</v>
      </c>
      <c r="D194" s="8" t="str">
        <f aca="false">TRIM(SUBSTITUTE($A194,CHAR(160)," "))</f>
        <v>T78 M</v>
      </c>
    </row>
    <row r="195" customFormat="false" ht="15" hidden="false" customHeight="true" outlineLevel="0" collapsed="false">
      <c r="A195" s="8" t="s">
        <v>919</v>
      </c>
      <c r="B195" s="8" t="n">
        <v>4422004</v>
      </c>
      <c r="C195" s="8" t="s">
        <v>1731</v>
      </c>
      <c r="D195" s="8" t="str">
        <f aca="false">TRIM(SUBSTITUTE($A195,CHAR(160)," "))</f>
        <v>T78 S</v>
      </c>
    </row>
    <row r="196" customFormat="false" ht="15" hidden="false" customHeight="true" outlineLevel="0" collapsed="false">
      <c r="A196" s="8" t="s">
        <v>946</v>
      </c>
      <c r="B196" s="8" t="n">
        <v>4422007</v>
      </c>
      <c r="C196" s="8" t="s">
        <v>1734</v>
      </c>
      <c r="D196" s="8" t="str">
        <f aca="false">TRIM(SUBSTITUTE($A196,CHAR(160)," "))</f>
        <v>T78 XL</v>
      </c>
    </row>
    <row r="197" customFormat="false" ht="15" hidden="false" customHeight="true" outlineLevel="0" collapsed="false">
      <c r="A197" s="8" t="s">
        <v>933</v>
      </c>
      <c r="B197" s="8" t="n">
        <v>4422009</v>
      </c>
      <c r="C197" s="8" t="s">
        <v>1735</v>
      </c>
      <c r="D197" s="8" t="str">
        <f aca="false">TRIM(SUBSTITUTE($A197,CHAR(160)," "))</f>
        <v>T78 XXL</v>
      </c>
    </row>
    <row r="198" customFormat="false" ht="15" hidden="false" customHeight="true" outlineLevel="0" collapsed="false">
      <c r="A198" s="8" t="s">
        <v>739</v>
      </c>
      <c r="B198" s="8" t="n">
        <v>4413056</v>
      </c>
      <c r="C198" s="8" t="s">
        <v>1401</v>
      </c>
      <c r="D198" s="8" t="str">
        <f aca="false">TRIM(SUBSTITUTE($A198,CHAR(160)," "))</f>
        <v>LF360 0</v>
      </c>
    </row>
    <row r="199" customFormat="false" ht="15" hidden="false" customHeight="true" outlineLevel="0" collapsed="false">
      <c r="A199" s="8" t="s">
        <v>889</v>
      </c>
      <c r="B199" s="8" t="n">
        <v>4420022</v>
      </c>
      <c r="C199" s="8" t="s">
        <v>1707</v>
      </c>
      <c r="D199" s="8" t="str">
        <f aca="false">TRIM(SUBSTITUTE($A199,CHAR(160)," "))</f>
        <v>LF370 0</v>
      </c>
    </row>
    <row r="200" customFormat="false" ht="15" hidden="false" customHeight="true" outlineLevel="0" collapsed="false">
      <c r="A200" s="8" t="s">
        <v>1005</v>
      </c>
      <c r="B200" s="8" t="n">
        <v>4420023</v>
      </c>
      <c r="C200" s="8" t="s">
        <v>1708</v>
      </c>
      <c r="D200" s="8" t="str">
        <f aca="false">TRIM(SUBSTITUTE($A200,CHAR(160)," "))</f>
        <v>LF371 0</v>
      </c>
    </row>
    <row r="201" customFormat="false" ht="15" hidden="false" customHeight="true" outlineLevel="0" collapsed="false">
      <c r="A201" s="8" t="s">
        <v>741</v>
      </c>
      <c r="B201" s="8" t="n">
        <v>4420025</v>
      </c>
      <c r="C201" s="8" t="s">
        <v>1710</v>
      </c>
      <c r="D201" s="8" t="str">
        <f aca="false">TRIM(SUBSTITUTE($A201,CHAR(160)," "))</f>
        <v>LF374 0</v>
      </c>
    </row>
    <row r="202" customFormat="false" ht="15" hidden="false" customHeight="true" outlineLevel="0" collapsed="false">
      <c r="A202" s="8" t="s">
        <v>1060</v>
      </c>
      <c r="B202" s="8" t="n">
        <v>4413276</v>
      </c>
      <c r="C202" s="8" t="s">
        <v>1513</v>
      </c>
      <c r="D202" s="8" t="str">
        <f aca="false">TRIM(SUBSTITUTE($A202,CHAR(160)," "))</f>
        <v>LF377 L</v>
      </c>
    </row>
    <row r="203" customFormat="false" ht="15" hidden="false" customHeight="true" outlineLevel="0" collapsed="false">
      <c r="A203" s="8" t="s">
        <v>1061</v>
      </c>
      <c r="B203" s="8" t="n">
        <v>4413277</v>
      </c>
      <c r="C203" s="8" t="s">
        <v>1514</v>
      </c>
      <c r="D203" s="8" t="str">
        <f aca="false">TRIM(SUBSTITUTE($A203,CHAR(160)," "))</f>
        <v>LF377 M</v>
      </c>
    </row>
    <row r="204" customFormat="false" ht="15" hidden="false" customHeight="true" outlineLevel="0" collapsed="false">
      <c r="A204" s="8" t="s">
        <v>1062</v>
      </c>
      <c r="B204" s="8" t="n">
        <v>4413278</v>
      </c>
      <c r="C204" s="8" t="s">
        <v>1515</v>
      </c>
      <c r="D204" s="8" t="str">
        <f aca="false">TRIM(SUBSTITUTE($A204,CHAR(160)," "))</f>
        <v>LF377 S</v>
      </c>
    </row>
    <row r="205" customFormat="false" ht="15" hidden="false" customHeight="true" outlineLevel="0" collapsed="false">
      <c r="A205" s="8" t="s">
        <v>998</v>
      </c>
      <c r="B205" s="8" t="n">
        <v>4413451</v>
      </c>
      <c r="C205" s="8" t="s">
        <v>1583</v>
      </c>
      <c r="D205" s="8" t="str">
        <f aca="false">TRIM(SUBSTITUTE($A205,CHAR(160)," "))</f>
        <v>LF378 L</v>
      </c>
    </row>
    <row r="206" customFormat="false" ht="15" hidden="false" customHeight="true" outlineLevel="0" collapsed="false">
      <c r="A206" s="8" t="s">
        <v>740</v>
      </c>
      <c r="B206" s="8" t="n">
        <v>4420024</v>
      </c>
      <c r="C206" s="8" t="s">
        <v>1709</v>
      </c>
      <c r="D206" s="8" t="str">
        <f aca="false">TRIM(SUBSTITUTE($A206,CHAR(160)," "))</f>
        <v>LF373 0</v>
      </c>
    </row>
    <row r="207" customFormat="false" ht="15" hidden="false" customHeight="true" outlineLevel="0" collapsed="false">
      <c r="A207" s="8" t="s">
        <v>596</v>
      </c>
      <c r="B207" s="8" t="n">
        <v>4413372</v>
      </c>
      <c r="C207" s="8" t="s">
        <v>1549</v>
      </c>
      <c r="D207" s="8" t="str">
        <f aca="false">TRIM(SUBSTITUTE($A207,CHAR(160)," "))</f>
        <v>302W 0</v>
      </c>
    </row>
    <row r="208" customFormat="false" ht="15" hidden="false" customHeight="true" outlineLevel="0" collapsed="false">
      <c r="A208" s="8" t="s">
        <v>595</v>
      </c>
      <c r="B208" s="8" t="n">
        <v>4413348</v>
      </c>
      <c r="C208" s="8" t="s">
        <v>1540</v>
      </c>
      <c r="D208" s="8" t="str">
        <f aca="false">TRIM(SUBSTITUTE($A208,CHAR(160)," "))</f>
        <v>302M 0</v>
      </c>
    </row>
    <row r="209" customFormat="false" ht="15" hidden="false" customHeight="true" outlineLevel="0" collapsed="false">
      <c r="A209" s="8" t="s">
        <v>920</v>
      </c>
      <c r="B209" s="8" t="n">
        <v>4413018</v>
      </c>
      <c r="C209" s="8" t="s">
        <v>1380</v>
      </c>
      <c r="D209" s="8" t="str">
        <f aca="false">TRIM(SUBSTITUTE($A209,CHAR(160)," "))</f>
        <v>303-37-38</v>
      </c>
    </row>
    <row r="210" customFormat="false" ht="15" hidden="false" customHeight="true" outlineLevel="0" collapsed="false">
      <c r="A210" s="8" t="s">
        <v>921</v>
      </c>
      <c r="B210" s="8" t="n">
        <v>4413020</v>
      </c>
      <c r="C210" s="8" t="s">
        <v>1382</v>
      </c>
      <c r="D210" s="8" t="str">
        <f aca="false">TRIM(SUBSTITUTE($A210,CHAR(160)," "))</f>
        <v>303-41-42</v>
      </c>
    </row>
    <row r="211" customFormat="false" ht="15" hidden="false" customHeight="true" outlineLevel="0" collapsed="false">
      <c r="A211" s="8" t="s">
        <v>922</v>
      </c>
      <c r="B211" s="8" t="n">
        <v>4413022</v>
      </c>
      <c r="C211" s="8" t="s">
        <v>1384</v>
      </c>
      <c r="D211" s="8" t="str">
        <f aca="false">TRIM(SUBSTITUTE($A211,CHAR(160)," "))</f>
        <v>303-45-46</v>
      </c>
    </row>
    <row r="212" customFormat="false" ht="15" hidden="false" customHeight="true" outlineLevel="0" collapsed="false">
      <c r="A212" s="8" t="s">
        <v>941</v>
      </c>
      <c r="B212" s="8" t="n">
        <v>4413154</v>
      </c>
      <c r="C212" s="8" t="s">
        <v>1476</v>
      </c>
      <c r="D212" s="8" t="str">
        <f aca="false">TRIM(SUBSTITUTE($A212,CHAR(160)," "))</f>
        <v>305GA-37-38</v>
      </c>
    </row>
    <row r="213" customFormat="false" ht="15" hidden="false" customHeight="true" outlineLevel="0" collapsed="false">
      <c r="A213" s="8" t="s">
        <v>597</v>
      </c>
      <c r="B213" s="8" t="n">
        <v>4413155</v>
      </c>
      <c r="C213" s="8" t="s">
        <v>1477</v>
      </c>
      <c r="D213" s="8" t="str">
        <f aca="false">TRIM(SUBSTITUTE($A213,CHAR(160)," "))</f>
        <v>305GA-39-40</v>
      </c>
    </row>
    <row r="214" customFormat="false" ht="15" hidden="false" customHeight="true" outlineLevel="0" collapsed="false">
      <c r="A214" s="8" t="s">
        <v>598</v>
      </c>
      <c r="B214" s="8" t="n">
        <v>4413156</v>
      </c>
      <c r="C214" s="8" t="s">
        <v>1478</v>
      </c>
      <c r="D214" s="8" t="str">
        <f aca="false">TRIM(SUBSTITUTE($A214,CHAR(160)," "))</f>
        <v>305GA-41-42</v>
      </c>
    </row>
    <row r="215" customFormat="false" ht="15" hidden="false" customHeight="true" outlineLevel="0" collapsed="false">
      <c r="A215" s="8" t="s">
        <v>599</v>
      </c>
      <c r="B215" s="8" t="n">
        <v>4413157</v>
      </c>
      <c r="C215" s="8" t="s">
        <v>1479</v>
      </c>
      <c r="D215" s="8" t="str">
        <f aca="false">TRIM(SUBSTITUTE($A215,CHAR(160)," "))</f>
        <v>305GA-43-44</v>
      </c>
    </row>
    <row r="216" customFormat="false" ht="15" hidden="false" customHeight="true" outlineLevel="0" collapsed="false">
      <c r="A216" s="8" t="s">
        <v>600</v>
      </c>
      <c r="B216" s="8" t="n">
        <v>4413158</v>
      </c>
      <c r="C216" s="8" t="s">
        <v>1480</v>
      </c>
      <c r="D216" s="8" t="str">
        <f aca="false">TRIM(SUBSTITUTE($A216,CHAR(160)," "))</f>
        <v>305GA-45-46</v>
      </c>
    </row>
    <row r="217" customFormat="false" ht="15" hidden="false" customHeight="true" outlineLevel="0" collapsed="false">
      <c r="A217" s="8" t="s">
        <v>869</v>
      </c>
      <c r="B217" s="8" t="n">
        <v>4413523</v>
      </c>
      <c r="C217" s="8" t="s">
        <v>1612</v>
      </c>
      <c r="D217" s="8" t="str">
        <f aca="false">TRIM(SUBSTITUTE($A217,CHAR(160)," "))</f>
        <v>379COM-35-38</v>
      </c>
    </row>
    <row r="218" customFormat="false" ht="15" hidden="false" customHeight="true" outlineLevel="0" collapsed="false">
      <c r="A218" s="8" t="s">
        <v>875</v>
      </c>
      <c r="B218" s="8" t="n">
        <v>4413527</v>
      </c>
      <c r="C218" s="8" t="s">
        <v>1615</v>
      </c>
      <c r="D218" s="8" t="str">
        <f aca="false">TRIM(SUBSTITUTE($A218,CHAR(160)," "))</f>
        <v>379WRK-35-38</v>
      </c>
    </row>
    <row r="219" customFormat="false" ht="15" hidden="false" customHeight="true" outlineLevel="0" collapsed="false">
      <c r="A219" s="8" t="s">
        <v>870</v>
      </c>
      <c r="B219" s="8" t="n">
        <v>4413524</v>
      </c>
      <c r="C219" s="8" t="s">
        <v>1613</v>
      </c>
      <c r="D219" s="8" t="str">
        <f aca="false">TRIM(SUBSTITUTE($A219,CHAR(160)," "))</f>
        <v>379COM-39-42</v>
      </c>
    </row>
    <row r="220" customFormat="false" ht="15" hidden="false" customHeight="true" outlineLevel="0" collapsed="false">
      <c r="A220" s="8" t="s">
        <v>876</v>
      </c>
      <c r="B220" s="8" t="n">
        <v>4413528</v>
      </c>
      <c r="C220" s="8" t="s">
        <v>1616</v>
      </c>
      <c r="D220" s="8" t="str">
        <f aca="false">TRIM(SUBSTITUTE($A220,CHAR(160)," "))</f>
        <v>379WRK-39-42</v>
      </c>
    </row>
    <row r="221" customFormat="false" ht="15" hidden="false" customHeight="true" outlineLevel="0" collapsed="false">
      <c r="A221" s="8" t="s">
        <v>871</v>
      </c>
      <c r="B221" s="8" t="n">
        <v>4413525</v>
      </c>
      <c r="C221" s="8" t="s">
        <v>1614</v>
      </c>
      <c r="D221" s="8" t="str">
        <f aca="false">TRIM(SUBSTITUTE($A221,CHAR(160)," "))</f>
        <v>379COM-43-46</v>
      </c>
    </row>
    <row r="222" customFormat="false" ht="15" hidden="false" customHeight="true" outlineLevel="0" collapsed="false">
      <c r="A222" s="8" t="s">
        <v>877</v>
      </c>
      <c r="B222" s="8" t="n">
        <v>4413529</v>
      </c>
      <c r="C222" s="8" t="s">
        <v>1617</v>
      </c>
      <c r="D222" s="8" t="str">
        <f aca="false">TRIM(SUBSTITUTE($A222,CHAR(160)," "))</f>
        <v>379WRK-43-46</v>
      </c>
    </row>
    <row r="223" customFormat="false" ht="15" hidden="false" customHeight="true" outlineLevel="0" collapsed="false">
      <c r="A223" s="8" t="s">
        <v>1056</v>
      </c>
      <c r="B223" s="8" t="n">
        <v>4413450</v>
      </c>
      <c r="C223" s="8" t="s">
        <v>1582</v>
      </c>
      <c r="D223" s="8" t="str">
        <f aca="false">TRIM(SUBSTITUTE($A223,CHAR(160)," "))</f>
        <v>LF378 M</v>
      </c>
    </row>
    <row r="224" customFormat="false" ht="15" hidden="false" customHeight="true" outlineLevel="0" collapsed="false">
      <c r="A224" s="8" t="s">
        <v>999</v>
      </c>
      <c r="B224" s="8" t="n">
        <v>4413449</v>
      </c>
      <c r="C224" s="8" t="s">
        <v>1581</v>
      </c>
      <c r="D224" s="8" t="str">
        <f aca="false">TRIM(SUBSTITUTE($A224,CHAR(160)," "))</f>
        <v>LF378 S</v>
      </c>
    </row>
    <row r="225" customFormat="false" ht="15" hidden="false" customHeight="true" outlineLevel="0" collapsed="false">
      <c r="A225" s="8" t="s">
        <v>872</v>
      </c>
      <c r="B225" s="8" t="n">
        <v>4413520</v>
      </c>
      <c r="C225" s="8" t="s">
        <v>1609</v>
      </c>
      <c r="D225" s="8" t="str">
        <f aca="false">TRIM(SUBSTITUTE($A225,CHAR(160)," "))</f>
        <v>379MSP-35-38</v>
      </c>
    </row>
    <row r="226" customFormat="false" ht="15" hidden="false" customHeight="true" outlineLevel="0" collapsed="false">
      <c r="A226" s="8" t="s">
        <v>874</v>
      </c>
      <c r="B226" s="8" t="n">
        <v>4413522</v>
      </c>
      <c r="C226" s="8" t="s">
        <v>1611</v>
      </c>
      <c r="D226" s="8" t="str">
        <f aca="false">TRIM(SUBSTITUTE($A226,CHAR(160)," "))</f>
        <v>379MSP-43-46</v>
      </c>
    </row>
    <row r="227" customFormat="false" ht="15" hidden="false" customHeight="true" outlineLevel="0" collapsed="false">
      <c r="A227" s="8" t="s">
        <v>873</v>
      </c>
      <c r="B227" s="8" t="n">
        <v>4413521</v>
      </c>
      <c r="C227" s="8" t="s">
        <v>1610</v>
      </c>
      <c r="D227" s="8" t="str">
        <f aca="false">TRIM(SUBSTITUTE($A227,CHAR(160)," "))</f>
        <v>379MSP-39-42</v>
      </c>
    </row>
    <row r="228" customFormat="false" ht="15" hidden="false" customHeight="true" outlineLevel="0" collapsed="false">
      <c r="A228" s="8" t="s">
        <v>976</v>
      </c>
      <c r="B228" s="8" t="n">
        <v>4413117</v>
      </c>
      <c r="C228" s="8" t="s">
        <v>1447</v>
      </c>
      <c r="D228" s="8" t="str">
        <f aca="false">TRIM(SUBSTITUTE($A228,CHAR(160)," "))</f>
        <v>50 L</v>
      </c>
    </row>
    <row r="229" customFormat="false" ht="15" hidden="false" customHeight="true" outlineLevel="0" collapsed="false">
      <c r="A229" s="8" t="s">
        <v>968</v>
      </c>
      <c r="B229" s="8" t="n">
        <v>4413118</v>
      </c>
      <c r="C229" s="8" t="s">
        <v>1448</v>
      </c>
      <c r="D229" s="8" t="str">
        <f aca="false">TRIM(SUBSTITUTE($A229,CHAR(160)," "))</f>
        <v>50 M</v>
      </c>
    </row>
    <row r="230" customFormat="false" ht="15" hidden="false" customHeight="true" outlineLevel="0" collapsed="false">
      <c r="A230" s="8" t="s">
        <v>944</v>
      </c>
      <c r="B230" s="8" t="n">
        <v>4413119</v>
      </c>
      <c r="C230" s="8" t="s">
        <v>1449</v>
      </c>
      <c r="D230" s="8" t="str">
        <f aca="false">TRIM(SUBSTITUTE($A230,CHAR(160)," "))</f>
        <v>50 XL</v>
      </c>
    </row>
    <row r="231" customFormat="false" ht="15" hidden="false" customHeight="true" outlineLevel="0" collapsed="false">
      <c r="A231" s="8" t="s">
        <v>929</v>
      </c>
      <c r="B231" s="8" t="n">
        <v>4413122</v>
      </c>
      <c r="C231" s="8" t="s">
        <v>1451</v>
      </c>
      <c r="D231" s="8" t="str">
        <f aca="false">TRIM(SUBSTITUTE($A231,CHAR(160)," "))</f>
        <v>55 L</v>
      </c>
    </row>
    <row r="232" customFormat="false" ht="15" hidden="false" customHeight="true" outlineLevel="0" collapsed="false">
      <c r="A232" s="8" t="s">
        <v>687</v>
      </c>
      <c r="B232" s="8" t="n">
        <v>4413124</v>
      </c>
      <c r="C232" s="8" t="s">
        <v>1453</v>
      </c>
      <c r="D232" s="8" t="str">
        <f aca="false">TRIM(SUBSTITUTE($A232,CHAR(160)," "))</f>
        <v>55 XL</v>
      </c>
    </row>
    <row r="233" customFormat="false" ht="15" hidden="false" customHeight="true" outlineLevel="0" collapsed="false">
      <c r="A233" s="8" t="s">
        <v>813</v>
      </c>
      <c r="B233" s="8" t="n">
        <v>4408071</v>
      </c>
      <c r="C233" s="8" t="s">
        <v>1249</v>
      </c>
      <c r="D233" s="8" t="str">
        <f aca="false">TRIM(SUBSTITUTE($A233,CHAR(160)," "))</f>
        <v>59D L</v>
      </c>
    </row>
    <row r="234" customFormat="false" ht="15" hidden="false" customHeight="true" outlineLevel="0" collapsed="false">
      <c r="A234" s="8" t="s">
        <v>878</v>
      </c>
      <c r="B234" s="8" t="n">
        <v>4408072</v>
      </c>
      <c r="C234" s="8" t="s">
        <v>1250</v>
      </c>
      <c r="D234" s="8" t="str">
        <f aca="false">TRIM(SUBSTITUTE($A234,CHAR(160)," "))</f>
        <v>59D M</v>
      </c>
    </row>
    <row r="235" customFormat="false" ht="15" hidden="false" customHeight="true" outlineLevel="0" collapsed="false">
      <c r="A235" s="8" t="s">
        <v>879</v>
      </c>
      <c r="B235" s="8" t="n">
        <v>4408070</v>
      </c>
      <c r="C235" s="8" t="s">
        <v>1769</v>
      </c>
      <c r="D235" s="8" t="str">
        <f aca="false">TRIM(SUBSTITUTE($A235,CHAR(160)," "))</f>
        <v>59D S</v>
      </c>
    </row>
    <row r="236" customFormat="false" ht="15" hidden="false" customHeight="true" outlineLevel="0" collapsed="false">
      <c r="A236" s="8" t="s">
        <v>979</v>
      </c>
      <c r="B236" s="8" t="n">
        <v>4408073</v>
      </c>
      <c r="C236" s="8" t="s">
        <v>1251</v>
      </c>
      <c r="D236" s="8" t="str">
        <f aca="false">TRIM(SUBSTITUTE($A236,CHAR(160)," "))</f>
        <v>59D XL</v>
      </c>
    </row>
    <row r="237" customFormat="false" ht="15" hidden="false" customHeight="true" outlineLevel="0" collapsed="false">
      <c r="A237" s="8" t="s">
        <v>688</v>
      </c>
      <c r="B237" s="8" t="n">
        <v>4408076</v>
      </c>
      <c r="C237" s="8" t="s">
        <v>1253</v>
      </c>
      <c r="D237" s="8" t="str">
        <f aca="false">TRIM(SUBSTITUTE($A237,CHAR(160)," "))</f>
        <v>59L L</v>
      </c>
    </row>
    <row r="238" customFormat="false" ht="15" hidden="false" customHeight="true" outlineLevel="0" collapsed="false">
      <c r="A238" s="8" t="s">
        <v>814</v>
      </c>
      <c r="B238" s="8" t="n">
        <v>4408077</v>
      </c>
      <c r="C238" s="8" t="s">
        <v>1254</v>
      </c>
      <c r="D238" s="8" t="str">
        <f aca="false">TRIM(SUBSTITUTE($A238,CHAR(160)," "))</f>
        <v>59L M</v>
      </c>
    </row>
    <row r="239" customFormat="false" ht="15" hidden="false" customHeight="true" outlineLevel="0" collapsed="false">
      <c r="A239" s="8" t="s">
        <v>815</v>
      </c>
      <c r="B239" s="8" t="n">
        <v>4408075</v>
      </c>
      <c r="C239" s="8" t="s">
        <v>1252</v>
      </c>
      <c r="D239" s="8" t="str">
        <f aca="false">TRIM(SUBSTITUTE($A239,CHAR(160)," "))</f>
        <v>59L S</v>
      </c>
    </row>
    <row r="240" customFormat="false" ht="15" hidden="false" customHeight="true" outlineLevel="0" collapsed="false">
      <c r="A240" s="8" t="s">
        <v>816</v>
      </c>
      <c r="B240" s="8" t="n">
        <v>4408078</v>
      </c>
      <c r="C240" s="8" t="s">
        <v>1255</v>
      </c>
      <c r="D240" s="8" t="str">
        <f aca="false">TRIM(SUBSTITUTE($A240,CHAR(160)," "))</f>
        <v>59L XL</v>
      </c>
    </row>
    <row r="241" customFormat="false" ht="15" hidden="false" customHeight="true" outlineLevel="0" collapsed="false">
      <c r="A241" s="8" t="s">
        <v>817</v>
      </c>
      <c r="B241" s="8" t="n">
        <v>4408080</v>
      </c>
      <c r="C241" s="8" t="s">
        <v>1257</v>
      </c>
      <c r="D241" s="8" t="str">
        <f aca="false">TRIM(SUBSTITUTE($A241,CHAR(160)," "))</f>
        <v>59R L</v>
      </c>
    </row>
    <row r="242" customFormat="false" ht="15" hidden="false" customHeight="true" outlineLevel="0" collapsed="false">
      <c r="A242" s="8" t="s">
        <v>689</v>
      </c>
      <c r="B242" s="8" t="n">
        <v>4408081</v>
      </c>
      <c r="C242" s="8" t="s">
        <v>1258</v>
      </c>
      <c r="D242" s="8" t="str">
        <f aca="false">TRIM(SUBSTITUTE($A242,CHAR(160)," "))</f>
        <v>59R M</v>
      </c>
    </row>
    <row r="243" customFormat="false" ht="15" hidden="false" customHeight="true" outlineLevel="0" collapsed="false">
      <c r="A243" s="8" t="s">
        <v>690</v>
      </c>
      <c r="B243" s="8" t="n">
        <v>4408079</v>
      </c>
      <c r="C243" s="8" t="s">
        <v>1256</v>
      </c>
      <c r="D243" s="8" t="str">
        <f aca="false">TRIM(SUBSTITUTE($A243,CHAR(160)," "))</f>
        <v>59R S</v>
      </c>
    </row>
    <row r="244" customFormat="false" ht="15" hidden="false" customHeight="true" outlineLevel="0" collapsed="false">
      <c r="A244" s="8" t="s">
        <v>818</v>
      </c>
      <c r="B244" s="8" t="n">
        <v>4408082</v>
      </c>
      <c r="C244" s="8" t="s">
        <v>1259</v>
      </c>
      <c r="D244" s="8" t="str">
        <f aca="false">TRIM(SUBSTITUTE($A244,CHAR(160)," "))</f>
        <v>59R XL</v>
      </c>
    </row>
    <row r="245" customFormat="false" ht="15" hidden="false" customHeight="true" outlineLevel="0" collapsed="false">
      <c r="A245" s="8" t="s">
        <v>833</v>
      </c>
      <c r="B245" s="8" t="n">
        <v>4408266</v>
      </c>
      <c r="C245" s="8" t="s">
        <v>1340</v>
      </c>
      <c r="D245" s="8" t="str">
        <f aca="false">TRIM(SUBSTITUTE($A245,CHAR(160)," "))</f>
        <v>91B 0</v>
      </c>
    </row>
    <row r="246" customFormat="false" ht="15" hidden="false" customHeight="true" outlineLevel="0" collapsed="false">
      <c r="A246" s="8" t="s">
        <v>834</v>
      </c>
      <c r="B246" s="8" t="n">
        <v>4408084</v>
      </c>
      <c r="C246" s="8" t="s">
        <v>1260</v>
      </c>
      <c r="D246" s="8" t="str">
        <f aca="false">TRIM(SUBSTITUTE($A246,CHAR(160)," "))</f>
        <v>922 L</v>
      </c>
    </row>
    <row r="247" customFormat="false" ht="15" hidden="false" customHeight="true" outlineLevel="0" collapsed="false">
      <c r="A247" s="8" t="s">
        <v>835</v>
      </c>
      <c r="B247" s="8" t="n">
        <v>4408087</v>
      </c>
      <c r="C247" s="8" t="s">
        <v>1262</v>
      </c>
      <c r="D247" s="8" t="str">
        <f aca="false">TRIM(SUBSTITUTE($A247,CHAR(160)," "))</f>
        <v>922 XL</v>
      </c>
    </row>
    <row r="248" customFormat="false" ht="15" hidden="false" customHeight="true" outlineLevel="0" collapsed="false">
      <c r="A248" s="8" t="s">
        <v>836</v>
      </c>
      <c r="B248" s="8" t="n">
        <v>4413139</v>
      </c>
      <c r="C248" s="8" t="s">
        <v>1467</v>
      </c>
      <c r="D248" s="8" t="str">
        <f aca="false">TRIM(SUBSTITUTE($A248,CHAR(160)," "))</f>
        <v>95 L</v>
      </c>
    </row>
    <row r="249" customFormat="false" ht="15" hidden="false" customHeight="true" outlineLevel="0" collapsed="false">
      <c r="A249" s="8" t="s">
        <v>716</v>
      </c>
      <c r="B249" s="8" t="n">
        <v>4413140</v>
      </c>
      <c r="C249" s="8" t="s">
        <v>1468</v>
      </c>
      <c r="D249" s="8" t="str">
        <f aca="false">TRIM(SUBSTITUTE($A249,CHAR(160)," "))</f>
        <v>95 M</v>
      </c>
    </row>
    <row r="250" customFormat="false" ht="15" hidden="false" customHeight="true" outlineLevel="0" collapsed="false">
      <c r="A250" s="8" t="s">
        <v>837</v>
      </c>
      <c r="B250" s="8" t="n">
        <v>4413141</v>
      </c>
      <c r="C250" s="8" t="s">
        <v>1469</v>
      </c>
      <c r="D250" s="8" t="str">
        <f aca="false">TRIM(SUBSTITUTE($A250,CHAR(160)," "))</f>
        <v>95 S</v>
      </c>
    </row>
    <row r="251" customFormat="false" ht="15" hidden="false" customHeight="true" outlineLevel="0" collapsed="false">
      <c r="A251" s="8" t="s">
        <v>838</v>
      </c>
      <c r="B251" s="8" t="n">
        <v>4413142</v>
      </c>
      <c r="C251" s="8" t="s">
        <v>1470</v>
      </c>
      <c r="D251" s="8" t="str">
        <f aca="false">TRIM(SUBSTITUTE($A251,CHAR(160)," "))</f>
        <v>95 XL</v>
      </c>
    </row>
    <row r="252" customFormat="false" ht="15" hidden="false" customHeight="true" outlineLevel="0" collapsed="false">
      <c r="A252" s="8" t="s">
        <v>945</v>
      </c>
      <c r="B252" s="8" t="n">
        <v>4413143</v>
      </c>
      <c r="C252" s="8" t="s">
        <v>1471</v>
      </c>
      <c r="D252" s="8" t="str">
        <f aca="false">TRIM(SUBSTITUTE($A252,CHAR(160)," "))</f>
        <v>95 XS</v>
      </c>
    </row>
    <row r="253" customFormat="false" ht="15" hidden="false" customHeight="true" outlineLevel="0" collapsed="false">
      <c r="A253" s="8" t="s">
        <v>997</v>
      </c>
      <c r="B253" s="8" t="n">
        <v>4413144</v>
      </c>
      <c r="C253" s="8" t="s">
        <v>1472</v>
      </c>
      <c r="D253" s="8" t="str">
        <f aca="false">TRIM(SUBSTITUTE($A253,CHAR(160)," "))</f>
        <v>95 XXL</v>
      </c>
    </row>
    <row r="254" customFormat="false" ht="15" hidden="false" customHeight="true" outlineLevel="0" collapsed="false">
      <c r="A254" s="8" t="s">
        <v>717</v>
      </c>
      <c r="B254" s="8" t="n">
        <v>4413500</v>
      </c>
      <c r="C254" s="8" t="s">
        <v>1600</v>
      </c>
      <c r="D254" s="8" t="str">
        <f aca="false">TRIM(SUBSTITUTE($A254,CHAR(160)," "))</f>
        <v>95B L</v>
      </c>
    </row>
    <row r="255" customFormat="false" ht="15" hidden="false" customHeight="true" outlineLevel="0" collapsed="false">
      <c r="A255" s="8" t="s">
        <v>718</v>
      </c>
      <c r="B255" s="8" t="n">
        <v>4413501</v>
      </c>
      <c r="C255" s="8" t="s">
        <v>1601</v>
      </c>
      <c r="D255" s="8" t="str">
        <f aca="false">TRIM(SUBSTITUTE($A255,CHAR(160)," "))</f>
        <v>95B M</v>
      </c>
    </row>
    <row r="256" customFormat="false" ht="15" hidden="false" customHeight="true" outlineLevel="0" collapsed="false">
      <c r="A256" s="8" t="s">
        <v>719</v>
      </c>
      <c r="B256" s="8" t="n">
        <v>4413502</v>
      </c>
      <c r="C256" s="8" t="s">
        <v>1602</v>
      </c>
      <c r="D256" s="8" t="str">
        <f aca="false">TRIM(SUBSTITUTE($A256,CHAR(160)," "))</f>
        <v>95B S</v>
      </c>
    </row>
    <row r="257" customFormat="false" ht="15" hidden="false" customHeight="true" outlineLevel="0" collapsed="false">
      <c r="A257" s="8" t="s">
        <v>720</v>
      </c>
      <c r="B257" s="8" t="n">
        <v>4413503</v>
      </c>
      <c r="C257" s="8" t="s">
        <v>1603</v>
      </c>
      <c r="D257" s="8" t="str">
        <f aca="false">TRIM(SUBSTITUTE($A257,CHAR(160)," "))</f>
        <v>95B XL</v>
      </c>
    </row>
    <row r="258" customFormat="false" ht="15" hidden="false" customHeight="true" outlineLevel="0" collapsed="false">
      <c r="A258" s="8" t="s">
        <v>1002</v>
      </c>
      <c r="B258" s="8" t="n">
        <v>4413504</v>
      </c>
      <c r="C258" s="8" t="s">
        <v>1604</v>
      </c>
      <c r="D258" s="8" t="str">
        <f aca="false">TRIM(SUBSTITUTE($A258,CHAR(160)," "))</f>
        <v>95B XXL</v>
      </c>
    </row>
    <row r="259" customFormat="false" ht="15" hidden="false" customHeight="true" outlineLevel="0" collapsed="false">
      <c r="A259" s="8" t="s">
        <v>721</v>
      </c>
      <c r="B259" s="8" t="n">
        <v>4413365</v>
      </c>
      <c r="C259" s="8" t="s">
        <v>1542</v>
      </c>
      <c r="D259" s="8" t="str">
        <f aca="false">TRIM(SUBSTITUTE($A259,CHAR(160)," "))</f>
        <v>95C L</v>
      </c>
    </row>
    <row r="260" customFormat="false" ht="15" hidden="false" customHeight="true" outlineLevel="0" collapsed="false">
      <c r="A260" s="8" t="s">
        <v>722</v>
      </c>
      <c r="B260" s="8" t="n">
        <v>4413364</v>
      </c>
      <c r="C260" s="8" t="s">
        <v>1541</v>
      </c>
      <c r="D260" s="8" t="str">
        <f aca="false">TRIM(SUBSTITUTE($A260,CHAR(160)," "))</f>
        <v>95C M</v>
      </c>
    </row>
    <row r="261" customFormat="false" ht="15" hidden="false" customHeight="true" outlineLevel="0" collapsed="false">
      <c r="A261" s="8" t="s">
        <v>839</v>
      </c>
      <c r="B261" s="8" t="n">
        <v>4413366</v>
      </c>
      <c r="C261" s="8" t="s">
        <v>1543</v>
      </c>
      <c r="D261" s="8" t="str">
        <f aca="false">TRIM(SUBSTITUTE($A261,CHAR(160)," "))</f>
        <v>95C S</v>
      </c>
    </row>
    <row r="262" customFormat="false" ht="15" hidden="false" customHeight="true" outlineLevel="0" collapsed="false">
      <c r="A262" s="8" t="s">
        <v>840</v>
      </c>
      <c r="B262" s="8" t="n">
        <v>4413367</v>
      </c>
      <c r="C262" s="8" t="s">
        <v>1544</v>
      </c>
      <c r="D262" s="8" t="str">
        <f aca="false">TRIM(SUBSTITUTE($A262,CHAR(160)," "))</f>
        <v>95C XL</v>
      </c>
    </row>
    <row r="263" customFormat="false" ht="15" hidden="false" customHeight="true" outlineLevel="0" collapsed="false">
      <c r="A263" s="8" t="s">
        <v>1003</v>
      </c>
      <c r="B263" s="8" t="n">
        <v>4413368</v>
      </c>
      <c r="C263" s="8" t="s">
        <v>1545</v>
      </c>
      <c r="D263" s="8" t="str">
        <f aca="false">TRIM(SUBSTITUTE($A263,CHAR(160)," "))</f>
        <v>95C XS</v>
      </c>
    </row>
    <row r="264" customFormat="false" ht="15" hidden="false" customHeight="true" outlineLevel="0" collapsed="false">
      <c r="A264" s="8" t="s">
        <v>1055</v>
      </c>
      <c r="B264" s="8" t="n">
        <v>4413369</v>
      </c>
      <c r="C264" s="8" t="s">
        <v>1546</v>
      </c>
      <c r="D264" s="8" t="str">
        <f aca="false">TRIM(SUBSTITUTE($A264,CHAR(160)," "))</f>
        <v>95C XXL</v>
      </c>
    </row>
    <row r="265" customFormat="false" ht="15" hidden="false" customHeight="true" outlineLevel="0" collapsed="false">
      <c r="A265" s="8" t="s">
        <v>733</v>
      </c>
      <c r="B265" s="8" t="n">
        <v>4408208</v>
      </c>
      <c r="C265" s="8" t="s">
        <v>1313</v>
      </c>
      <c r="D265" s="8" t="str">
        <f aca="false">TRIM(SUBSTITUTE($A265,CHAR(160)," "))</f>
        <v>AC91 0</v>
      </c>
    </row>
    <row r="266" customFormat="false" ht="15" hidden="false" customHeight="true" outlineLevel="0" collapsed="false">
      <c r="A266" s="8" t="s">
        <v>734</v>
      </c>
      <c r="B266" s="8" t="n">
        <v>4413331</v>
      </c>
      <c r="C266" s="8" t="s">
        <v>1527</v>
      </c>
      <c r="D266" s="8" t="str">
        <f aca="false">TRIM(SUBSTITUTE($A266,CHAR(160)," "))</f>
        <v>AC95 0</v>
      </c>
    </row>
    <row r="267" customFormat="false" ht="15" hidden="false" customHeight="true" outlineLevel="0" collapsed="false">
      <c r="A267" s="8" t="s">
        <v>761</v>
      </c>
      <c r="B267" s="8" t="n">
        <v>4413405</v>
      </c>
      <c r="C267" s="8" t="s">
        <v>1557</v>
      </c>
      <c r="D267" s="8" t="str">
        <f aca="false">TRIM(SUBSTITUTE($A267,CHAR(160)," "))</f>
        <v>SC95 S</v>
      </c>
    </row>
    <row r="268" customFormat="false" ht="15" hidden="false" customHeight="true" outlineLevel="0" collapsed="false">
      <c r="A268" s="8" t="s">
        <v>903</v>
      </c>
      <c r="B268" s="8" t="n">
        <v>4413531</v>
      </c>
      <c r="C268" s="8" t="s">
        <v>1760</v>
      </c>
      <c r="D268" s="8" t="str">
        <f aca="false">TRIM(SUBSTITUTE($A268,CHAR(160)," "))</f>
        <v>ST91 0</v>
      </c>
    </row>
    <row r="269" customFormat="false" ht="15" hidden="false" customHeight="true" outlineLevel="0" collapsed="false">
      <c r="A269" s="8" t="s">
        <v>1846</v>
      </c>
      <c r="B269" s="8" t="n">
        <v>4420018</v>
      </c>
      <c r="C269" s="8" t="s">
        <v>1706</v>
      </c>
      <c r="D269" s="8" t="str">
        <f aca="false">TRIM(SUBSTITUTE($A269,CHAR(160)," "))</f>
        <v>(missing in TRANS source - cell was blank/error)</v>
      </c>
    </row>
    <row r="270" customFormat="false" ht="15" hidden="false" customHeight="true" outlineLevel="0" collapsed="false">
      <c r="A270" s="8" t="s">
        <v>905</v>
      </c>
      <c r="B270" s="8" t="n">
        <v>4413210</v>
      </c>
      <c r="C270" s="8" t="s">
        <v>1507</v>
      </c>
      <c r="D270" s="8" t="str">
        <f aca="false">TRIM(SUBSTITUTE($A270,CHAR(160)," "))</f>
        <v>T95 S</v>
      </c>
    </row>
    <row r="271" customFormat="false" ht="15" hidden="false" customHeight="true" outlineLevel="0" collapsed="false">
      <c r="A271" s="8" t="s">
        <v>708</v>
      </c>
      <c r="B271" s="8" t="n">
        <v>4413135</v>
      </c>
      <c r="C271" s="8" t="s">
        <v>1463</v>
      </c>
      <c r="D271" s="8" t="str">
        <f aca="false">TRIM(SUBSTITUTE($A271,CHAR(160)," "))</f>
        <v>85 L</v>
      </c>
    </row>
    <row r="272" customFormat="false" ht="15" hidden="false" customHeight="true" outlineLevel="0" collapsed="false">
      <c r="A272" s="8" t="s">
        <v>709</v>
      </c>
      <c r="B272" s="8" t="n">
        <v>4413136</v>
      </c>
      <c r="C272" s="8" t="s">
        <v>1464</v>
      </c>
      <c r="D272" s="8" t="str">
        <f aca="false">TRIM(SUBSTITUTE($A272,CHAR(160)," "))</f>
        <v>85 M</v>
      </c>
    </row>
    <row r="273" customFormat="false" ht="15" hidden="false" customHeight="true" outlineLevel="0" collapsed="false">
      <c r="A273" s="8" t="s">
        <v>963</v>
      </c>
      <c r="B273" s="8" t="n">
        <v>4413137</v>
      </c>
      <c r="C273" s="8" t="s">
        <v>1465</v>
      </c>
      <c r="D273" s="8" t="str">
        <f aca="false">TRIM(SUBSTITUTE($A273,CHAR(160)," "))</f>
        <v>85 S</v>
      </c>
    </row>
    <row r="274" customFormat="false" ht="15" hidden="false" customHeight="true" outlineLevel="0" collapsed="false">
      <c r="A274" s="8" t="s">
        <v>710</v>
      </c>
      <c r="B274" s="8" t="n">
        <v>4413138</v>
      </c>
      <c r="C274" s="8" t="s">
        <v>1466</v>
      </c>
      <c r="D274" s="8" t="str">
        <f aca="false">TRIM(SUBSTITUTE($A274,CHAR(160)," "))</f>
        <v>85 XL</v>
      </c>
    </row>
    <row r="275" customFormat="false" ht="15" hidden="false" customHeight="true" outlineLevel="0" collapsed="false">
      <c r="A275" s="8" t="s">
        <v>827</v>
      </c>
      <c r="B275" s="8" t="n">
        <v>4413176</v>
      </c>
      <c r="C275" s="8" t="s">
        <v>1494</v>
      </c>
      <c r="D275" s="8" t="str">
        <f aca="false">TRIM(SUBSTITUTE($A275,CHAR(160)," "))</f>
        <v>85+ L</v>
      </c>
    </row>
    <row r="276" customFormat="false" ht="15" hidden="false" customHeight="true" outlineLevel="0" collapsed="false">
      <c r="A276" s="8" t="s">
        <v>828</v>
      </c>
      <c r="B276" s="8" t="n">
        <v>4413175</v>
      </c>
      <c r="C276" s="8" t="s">
        <v>1493</v>
      </c>
      <c r="D276" s="8" t="str">
        <f aca="false">TRIM(SUBSTITUTE($A276,CHAR(160)," "))</f>
        <v>85+ M</v>
      </c>
    </row>
    <row r="277" customFormat="false" ht="15" hidden="false" customHeight="true" outlineLevel="0" collapsed="false">
      <c r="A277" s="8" t="s">
        <v>829</v>
      </c>
      <c r="B277" s="8" t="n">
        <v>4413177</v>
      </c>
      <c r="C277" s="8" t="s">
        <v>1495</v>
      </c>
      <c r="D277" s="8" t="str">
        <f aca="false">TRIM(SUBSTITUTE($A277,CHAR(160)," "))</f>
        <v>85+ XL</v>
      </c>
    </row>
    <row r="278" customFormat="false" ht="15" hidden="false" customHeight="true" outlineLevel="0" collapsed="false">
      <c r="A278" s="8" t="s">
        <v>711</v>
      </c>
      <c r="B278" s="8" t="n">
        <v>4413516</v>
      </c>
      <c r="C278" s="8" t="s">
        <v>1605</v>
      </c>
      <c r="D278" s="8" t="str">
        <f aca="false">TRIM(SUBSTITUTE($A278,CHAR(160)," "))</f>
        <v>85B L</v>
      </c>
    </row>
    <row r="279" customFormat="false" ht="15" hidden="false" customHeight="true" outlineLevel="0" collapsed="false">
      <c r="A279" s="8" t="s">
        <v>712</v>
      </c>
      <c r="B279" s="8" t="n">
        <v>4413517</v>
      </c>
      <c r="C279" s="8" t="s">
        <v>1606</v>
      </c>
      <c r="D279" s="8" t="str">
        <f aca="false">TRIM(SUBSTITUTE($A279,CHAR(160)," "))</f>
        <v>85B M</v>
      </c>
    </row>
    <row r="280" customFormat="false" ht="15" hidden="false" customHeight="true" outlineLevel="0" collapsed="false">
      <c r="A280" s="8" t="s">
        <v>713</v>
      </c>
      <c r="B280" s="8" t="n">
        <v>4413519</v>
      </c>
      <c r="C280" s="8" t="s">
        <v>1608</v>
      </c>
      <c r="D280" s="8" t="str">
        <f aca="false">TRIM(SUBSTITUTE($A280,CHAR(160)," "))</f>
        <v>85B S</v>
      </c>
    </row>
    <row r="281" customFormat="false" ht="15" hidden="false" customHeight="true" outlineLevel="0" collapsed="false">
      <c r="A281" s="8" t="s">
        <v>714</v>
      </c>
      <c r="B281" s="8" t="n">
        <v>4413518</v>
      </c>
      <c r="C281" s="8" t="s">
        <v>1607</v>
      </c>
      <c r="D281" s="8" t="str">
        <f aca="false">TRIM(SUBSTITUTE($A281,CHAR(160)," "))</f>
        <v>85B XL</v>
      </c>
    </row>
    <row r="282" customFormat="false" ht="15" hidden="false" customHeight="true" outlineLevel="0" collapsed="false">
      <c r="A282" s="8" t="s">
        <v>715</v>
      </c>
      <c r="B282" s="8" t="n">
        <v>4413455</v>
      </c>
      <c r="C282" s="8" t="s">
        <v>1586</v>
      </c>
      <c r="D282" s="8" t="str">
        <f aca="false">TRIM(SUBSTITUTE($A282,CHAR(160)," "))</f>
        <v>85K 0</v>
      </c>
    </row>
    <row r="283" customFormat="false" ht="15" hidden="false" customHeight="true" outlineLevel="0" collapsed="false">
      <c r="A283" s="8" t="s">
        <v>601</v>
      </c>
      <c r="B283" s="8" t="n">
        <v>4416000</v>
      </c>
      <c r="C283" s="8" t="s">
        <v>1671</v>
      </c>
      <c r="D283" s="8" t="str">
        <f aca="false">TRIM(SUBSTITUTE($A283,CHAR(160)," "))</f>
        <v>307 L</v>
      </c>
    </row>
    <row r="284" customFormat="false" ht="15" hidden="false" customHeight="true" outlineLevel="0" collapsed="false">
      <c r="A284" s="8" t="s">
        <v>602</v>
      </c>
      <c r="B284" s="8" t="n">
        <v>4416001</v>
      </c>
      <c r="C284" s="8" t="s">
        <v>1672</v>
      </c>
      <c r="D284" s="8" t="str">
        <f aca="false">TRIM(SUBSTITUTE($A284,CHAR(160)," "))</f>
        <v>307 M</v>
      </c>
    </row>
    <row r="285" customFormat="false" ht="15" hidden="false" customHeight="true" outlineLevel="0" collapsed="false">
      <c r="A285" s="8" t="s">
        <v>960</v>
      </c>
      <c r="B285" s="8" t="n">
        <v>4416002</v>
      </c>
      <c r="C285" s="8" t="s">
        <v>1673</v>
      </c>
      <c r="D285" s="8" t="str">
        <f aca="false">TRIM(SUBSTITUTE($A285,CHAR(160)," "))</f>
        <v>307 S</v>
      </c>
    </row>
    <row r="286" customFormat="false" ht="15" hidden="false" customHeight="true" outlineLevel="0" collapsed="false">
      <c r="A286" s="8" t="s">
        <v>603</v>
      </c>
      <c r="B286" s="8" t="n">
        <v>4411016</v>
      </c>
      <c r="C286" s="8" t="s">
        <v>1360</v>
      </c>
      <c r="D286" s="8" t="str">
        <f aca="false">TRIM(SUBSTITUTE($A286,CHAR(160)," "))</f>
        <v>307 XL</v>
      </c>
    </row>
    <row r="287" customFormat="false" ht="15" hidden="false" customHeight="true" outlineLevel="0" collapsed="false">
      <c r="A287" s="8" t="s">
        <v>909</v>
      </c>
      <c r="B287" s="8" t="n">
        <v>4416003</v>
      </c>
      <c r="C287" s="8" t="s">
        <v>1674</v>
      </c>
      <c r="D287" s="8" t="str">
        <f aca="false">TRIM(SUBSTITUTE($A287,CHAR(160)," "))</f>
        <v>308 L</v>
      </c>
    </row>
    <row r="288" customFormat="false" ht="15" hidden="false" customHeight="true" outlineLevel="0" collapsed="false">
      <c r="A288" s="8" t="s">
        <v>604</v>
      </c>
      <c r="B288" s="8" t="n">
        <v>4416005</v>
      </c>
      <c r="C288" s="8" t="s">
        <v>1675</v>
      </c>
      <c r="D288" s="8" t="str">
        <f aca="false">TRIM(SUBSTITUTE($A288,CHAR(160)," "))</f>
        <v>308 M</v>
      </c>
    </row>
    <row r="289" customFormat="false" ht="15" hidden="false" customHeight="true" outlineLevel="0" collapsed="false">
      <c r="A289" s="8" t="s">
        <v>605</v>
      </c>
      <c r="B289" s="8" t="n">
        <v>4413033</v>
      </c>
      <c r="C289" s="8" t="s">
        <v>1385</v>
      </c>
      <c r="D289" s="8" t="str">
        <f aca="false">TRIM(SUBSTITUTE($A289,CHAR(160)," "))</f>
        <v>311 0</v>
      </c>
    </row>
    <row r="290" customFormat="false" ht="15" hidden="false" customHeight="true" outlineLevel="0" collapsed="false">
      <c r="A290" s="8" t="s">
        <v>606</v>
      </c>
      <c r="B290" s="8" t="n">
        <v>4413034</v>
      </c>
      <c r="C290" s="8" t="s">
        <v>1847</v>
      </c>
      <c r="D290" s="8" t="str">
        <f aca="false">TRIM(SUBSTITUTE($A290,CHAR(160)," "))</f>
        <v>312 0</v>
      </c>
    </row>
    <row r="291" customFormat="false" ht="15" hidden="false" customHeight="true" outlineLevel="0" collapsed="false">
      <c r="A291" s="8" t="s">
        <v>607</v>
      </c>
      <c r="B291" s="8" t="n">
        <v>4415297</v>
      </c>
      <c r="C291" s="8" t="s">
        <v>1668</v>
      </c>
      <c r="D291" s="8" t="str">
        <f aca="false">TRIM(SUBSTITUTE($A291,CHAR(160)," "))</f>
        <v>313 0</v>
      </c>
    </row>
    <row r="292" customFormat="false" ht="15" hidden="false" customHeight="true" outlineLevel="0" collapsed="false">
      <c r="A292" s="8" t="s">
        <v>609</v>
      </c>
      <c r="B292" s="8" t="n">
        <v>4402007</v>
      </c>
      <c r="C292" s="8" t="s">
        <v>1186</v>
      </c>
      <c r="D292" s="8" t="str">
        <f aca="false">TRIM(SUBSTITUTE($A292,CHAR(160)," "))</f>
        <v>320 0</v>
      </c>
    </row>
    <row r="293" customFormat="false" ht="15" hidden="false" customHeight="true" outlineLevel="0" collapsed="false">
      <c r="A293" s="8" t="s">
        <v>625</v>
      </c>
      <c r="B293" s="8" t="n">
        <v>4421001</v>
      </c>
      <c r="C293" s="8" t="s">
        <v>1723</v>
      </c>
      <c r="D293" s="8" t="str">
        <f aca="false">TRIM(SUBSTITUTE($A293,CHAR(160)," "))</f>
        <v>3611 0</v>
      </c>
    </row>
    <row r="294" customFormat="false" ht="15" hidden="false" customHeight="true" outlineLevel="0" collapsed="false">
      <c r="A294" s="8" t="s">
        <v>627</v>
      </c>
      <c r="B294" s="8" t="n">
        <v>4413058</v>
      </c>
      <c r="C294" s="8" t="s">
        <v>1402</v>
      </c>
      <c r="D294" s="8" t="str">
        <f aca="false">TRIM(SUBSTITUTE($A294,CHAR(160)," "))</f>
        <v>3622S 0</v>
      </c>
    </row>
    <row r="295" customFormat="false" ht="15" hidden="false" customHeight="true" outlineLevel="0" collapsed="false">
      <c r="A295" s="8" t="s">
        <v>628</v>
      </c>
      <c r="B295" s="8" t="n">
        <v>4411001</v>
      </c>
      <c r="C295" s="8" t="s">
        <v>1358</v>
      </c>
      <c r="D295" s="8" t="str">
        <f aca="false">TRIM(SUBSTITUTE($A295,CHAR(160)," "))</f>
        <v>3623 0</v>
      </c>
    </row>
    <row r="296" customFormat="false" ht="15" hidden="false" customHeight="true" outlineLevel="0" collapsed="false">
      <c r="A296" s="8" t="s">
        <v>1848</v>
      </c>
      <c r="B296" s="8" t="n">
        <v>4402000</v>
      </c>
      <c r="C296" s="8" t="s">
        <v>1185</v>
      </c>
      <c r="D296" s="8" t="str">
        <f aca="false">TRIM(SUBSTITUTE($A296,CHAR(160)," "))</f>
        <v>363-L-R</v>
      </c>
    </row>
    <row r="297" customFormat="false" ht="15" hidden="false" customHeight="true" outlineLevel="0" collapsed="false">
      <c r="A297" s="8" t="s">
        <v>630</v>
      </c>
      <c r="B297" s="8" t="n">
        <v>4413060</v>
      </c>
      <c r="C297" s="8" t="s">
        <v>1404</v>
      </c>
      <c r="D297" s="8" t="str">
        <f aca="false">TRIM(SUBSTITUTE($A297,CHAR(160)," "))</f>
        <v>364 XL</v>
      </c>
    </row>
    <row r="298" customFormat="false" ht="15" hidden="false" customHeight="true" outlineLevel="0" collapsed="false">
      <c r="A298" s="8" t="s">
        <v>631</v>
      </c>
      <c r="B298" s="8" t="n">
        <v>4413061</v>
      </c>
      <c r="C298" s="8" t="s">
        <v>1405</v>
      </c>
      <c r="D298" s="8" t="str">
        <f aca="false">TRIM(SUBSTITUTE($A298,CHAR(160)," "))</f>
        <v>3641 0</v>
      </c>
    </row>
    <row r="299" customFormat="false" ht="15" hidden="false" customHeight="true" outlineLevel="0" collapsed="false">
      <c r="A299" s="8" t="s">
        <v>629</v>
      </c>
      <c r="B299" s="8" t="n">
        <v>4413059</v>
      </c>
      <c r="C299" s="8" t="s">
        <v>1403</v>
      </c>
      <c r="D299" s="8" t="str">
        <f aca="false">TRIM(SUBSTITUTE($A299,CHAR(160)," "))</f>
        <v>364-S-L</v>
      </c>
    </row>
    <row r="300" customFormat="false" ht="15" hidden="false" customHeight="true" outlineLevel="0" collapsed="false">
      <c r="A300" s="8" t="s">
        <v>868</v>
      </c>
      <c r="B300" s="8" t="n">
        <v>4409001</v>
      </c>
      <c r="C300" s="8" t="s">
        <v>1346</v>
      </c>
      <c r="D300" s="8" t="str">
        <f aca="false">TRIM(SUBSTITUTE($A300,CHAR(160)," "))</f>
        <v>365-XL</v>
      </c>
    </row>
    <row r="301" customFormat="false" ht="15" hidden="false" customHeight="true" outlineLevel="0" collapsed="false">
      <c r="A301" s="8" t="s">
        <v>632</v>
      </c>
      <c r="B301" s="8" t="n">
        <v>4409000</v>
      </c>
      <c r="C301" s="8" t="s">
        <v>1345</v>
      </c>
      <c r="D301" s="8" t="str">
        <f aca="false">TRIM(SUBSTITUTE($A301,CHAR(160)," "))</f>
        <v>365-S-L</v>
      </c>
    </row>
    <row r="302" customFormat="false" ht="15" hidden="false" customHeight="true" outlineLevel="0" collapsed="false">
      <c r="A302" s="8" t="s">
        <v>633</v>
      </c>
      <c r="B302" s="8" t="n">
        <v>4421000</v>
      </c>
      <c r="C302" s="8" t="s">
        <v>1722</v>
      </c>
      <c r="D302" s="8" t="str">
        <f aca="false">TRIM(SUBSTITUTE($A302,CHAR(160)," "))</f>
        <v>3655 0</v>
      </c>
    </row>
    <row r="303" customFormat="false" ht="15" hidden="false" customHeight="true" outlineLevel="0" collapsed="false">
      <c r="A303" s="8" t="s">
        <v>634</v>
      </c>
      <c r="B303" s="8" t="n">
        <v>4413340</v>
      </c>
      <c r="C303" s="8" t="s">
        <v>1534</v>
      </c>
      <c r="D303" s="8" t="str">
        <f aca="false">TRIM(SUBSTITUTE($A303,CHAR(160)," "))</f>
        <v>3666 0</v>
      </c>
    </row>
    <row r="304" customFormat="false" ht="15" hidden="false" customHeight="true" outlineLevel="0" collapsed="false">
      <c r="A304" s="8" t="s">
        <v>636</v>
      </c>
      <c r="B304" s="8" t="n">
        <v>4413063</v>
      </c>
      <c r="C304" s="8" t="s">
        <v>1406</v>
      </c>
      <c r="D304" s="8" t="str">
        <f aca="false">TRIM(SUBSTITUTE($A304,CHAR(160)," "))</f>
        <v>366S 0</v>
      </c>
    </row>
    <row r="305" customFormat="false" ht="15" hidden="false" customHeight="true" outlineLevel="0" collapsed="false">
      <c r="A305" s="8" t="s">
        <v>637</v>
      </c>
      <c r="B305" s="8" t="n">
        <v>4421003</v>
      </c>
      <c r="C305" s="8" t="s">
        <v>1724</v>
      </c>
      <c r="D305" s="8" t="str">
        <f aca="false">TRIM(SUBSTITUTE($A305,CHAR(160)," "))</f>
        <v>3672 0</v>
      </c>
    </row>
    <row r="306" customFormat="false" ht="15" hidden="false" customHeight="true" outlineLevel="0" collapsed="false">
      <c r="A306" s="8" t="s">
        <v>638</v>
      </c>
      <c r="B306" s="8" t="n">
        <v>4413370</v>
      </c>
      <c r="C306" s="8" t="s">
        <v>1547</v>
      </c>
      <c r="D306" s="8" t="str">
        <f aca="false">TRIM(SUBSTITUTE($A306,CHAR(160)," "))</f>
        <v>3674 0</v>
      </c>
    </row>
    <row r="307" customFormat="false" ht="15" hidden="false" customHeight="true" outlineLevel="0" collapsed="false">
      <c r="A307" s="8" t="s">
        <v>639</v>
      </c>
      <c r="B307" s="8" t="n">
        <v>4413371</v>
      </c>
      <c r="C307" s="8" t="s">
        <v>1548</v>
      </c>
      <c r="D307" s="8" t="str">
        <f aca="false">TRIM(SUBSTITUTE($A307,CHAR(160)," "))</f>
        <v>3675 0</v>
      </c>
    </row>
    <row r="308" customFormat="false" ht="15" hidden="false" customHeight="true" outlineLevel="0" collapsed="false">
      <c r="A308" s="8" t="s">
        <v>986</v>
      </c>
      <c r="B308" s="8" t="n">
        <v>4413066</v>
      </c>
      <c r="C308" s="8" t="s">
        <v>1407</v>
      </c>
      <c r="D308" s="8" t="str">
        <f aca="false">TRIM(SUBSTITUTE($A308,CHAR(160)," "))</f>
        <v>3677S 0</v>
      </c>
    </row>
    <row r="309" customFormat="false" ht="15" hidden="false" customHeight="true" outlineLevel="0" collapsed="false">
      <c r="A309" s="8" t="s">
        <v>641</v>
      </c>
      <c r="B309" s="8" t="n">
        <v>4401001</v>
      </c>
      <c r="C309" s="8" t="s">
        <v>1179</v>
      </c>
      <c r="D309" s="8" t="str">
        <f aca="false">TRIM(SUBSTITUTE($A309,CHAR(160)," "))</f>
        <v>369-XL</v>
      </c>
    </row>
    <row r="310" customFormat="false" ht="15" hidden="false" customHeight="true" outlineLevel="0" collapsed="false">
      <c r="A310" s="8" t="s">
        <v>640</v>
      </c>
      <c r="B310" s="8" t="n">
        <v>4401000</v>
      </c>
      <c r="C310" s="8" t="s">
        <v>1178</v>
      </c>
      <c r="D310" s="8" t="str">
        <f aca="false">TRIM(SUBSTITUTE($A310,CHAR(160)," "))</f>
        <v>369-S-L</v>
      </c>
    </row>
    <row r="311" customFormat="false" ht="15" hidden="false" customHeight="true" outlineLevel="0" collapsed="false">
      <c r="A311" s="8" t="s">
        <v>648</v>
      </c>
      <c r="B311" s="8" t="n">
        <v>4408069</v>
      </c>
      <c r="C311" s="8" t="s">
        <v>1849</v>
      </c>
      <c r="D311" s="8" t="str">
        <f aca="false">TRIM(SUBSTITUTE($A311,CHAR(160)," "))</f>
        <v>38 0</v>
      </c>
    </row>
    <row r="312" customFormat="false" ht="15" hidden="false" customHeight="true" outlineLevel="0" collapsed="false">
      <c r="A312" s="8" t="s">
        <v>649</v>
      </c>
      <c r="B312" s="8" t="n">
        <v>4413452</v>
      </c>
      <c r="C312" s="8" t="s">
        <v>1584</v>
      </c>
      <c r="D312" s="8" t="str">
        <f aca="false">TRIM(SUBSTITUTE($A312,CHAR(160)," "))</f>
        <v>386 0</v>
      </c>
    </row>
    <row r="313" customFormat="false" ht="15" hidden="false" customHeight="true" outlineLevel="0" collapsed="false">
      <c r="A313" s="8" t="s">
        <v>707</v>
      </c>
      <c r="B313" s="8" t="n">
        <v>4411015</v>
      </c>
      <c r="C313" s="8" t="s">
        <v>1359</v>
      </c>
      <c r="D313" s="8" t="str">
        <f aca="false">TRIM(SUBSTITUTE($A313,CHAR(160)," "))</f>
        <v>820 0</v>
      </c>
    </row>
    <row r="314" customFormat="false" ht="15" hidden="false" customHeight="true" outlineLevel="0" collapsed="false">
      <c r="A314" s="8" t="s">
        <v>635</v>
      </c>
      <c r="B314" s="8" t="n">
        <v>4413307</v>
      </c>
      <c r="C314" s="8" t="s">
        <v>1521</v>
      </c>
      <c r="D314" s="8" t="str">
        <f aca="false">TRIM(SUBSTITUTE($A314,CHAR(160)," "))</f>
        <v>3667 0</v>
      </c>
    </row>
    <row r="315" customFormat="false" ht="15" hidden="false" customHeight="true" outlineLevel="0" collapsed="false">
      <c r="A315" s="8" t="s">
        <v>626</v>
      </c>
      <c r="B315" s="8" t="n">
        <v>4411000</v>
      </c>
      <c r="C315" s="8" t="s">
        <v>1357</v>
      </c>
      <c r="D315" s="8" t="str">
        <f aca="false">TRIM(SUBSTITUTE($A315,CHAR(160)," "))</f>
        <v>362-L-R</v>
      </c>
    </row>
    <row r="316" customFormat="false" ht="15" hidden="false" customHeight="true" outlineLevel="0" collapsed="false">
      <c r="A316" s="8" t="s">
        <v>745</v>
      </c>
      <c r="B316" s="8" t="n">
        <v>4401002</v>
      </c>
      <c r="C316" s="8" t="s">
        <v>1180</v>
      </c>
      <c r="D316" s="8" t="str">
        <f aca="false">TRIM(SUBSTITUTE($A316,CHAR(160)," "))</f>
        <v>PD344 0</v>
      </c>
    </row>
    <row r="317" customFormat="false" ht="15" hidden="false" customHeight="true" outlineLevel="0" collapsed="false">
      <c r="A317" s="8" t="s">
        <v>742</v>
      </c>
      <c r="B317" s="8" t="n">
        <v>4419006</v>
      </c>
      <c r="C317" s="8" t="s">
        <v>1688</v>
      </c>
      <c r="D317" s="8" t="str">
        <f aca="false">TRIM(SUBSTITUTE($A317,CHAR(160)," "))</f>
        <v>PD340 0</v>
      </c>
    </row>
    <row r="318" customFormat="false" ht="15" hidden="false" customHeight="true" outlineLevel="0" collapsed="false">
      <c r="A318" s="8" t="s">
        <v>743</v>
      </c>
      <c r="B318" s="8" t="n">
        <v>4413150</v>
      </c>
      <c r="C318" s="8" t="s">
        <v>1474</v>
      </c>
      <c r="D318" s="8" t="str">
        <f aca="false">TRIM(SUBSTITUTE($A318,CHAR(160)," "))</f>
        <v>PD341 0</v>
      </c>
    </row>
    <row r="319" customFormat="false" ht="15" hidden="false" customHeight="true" outlineLevel="0" collapsed="false">
      <c r="A319" s="8" t="s">
        <v>744</v>
      </c>
      <c r="B319" s="8" t="n">
        <v>4417000</v>
      </c>
      <c r="C319" s="8" t="s">
        <v>1677</v>
      </c>
      <c r="D319" s="8" t="str">
        <f aca="false">TRIM(SUBSTITUTE($A319,CHAR(160)," "))</f>
        <v>PD342 0</v>
      </c>
    </row>
    <row r="320" customFormat="false" ht="15" hidden="false" customHeight="true" outlineLevel="0" collapsed="false">
      <c r="A320" s="8" t="s">
        <v>746</v>
      </c>
      <c r="B320" s="8" t="n">
        <v>4415080</v>
      </c>
      <c r="C320" s="8" t="s">
        <v>1646</v>
      </c>
      <c r="D320" s="8" t="str">
        <f aca="false">TRIM(SUBSTITUTE($A320,CHAR(160)," "))</f>
        <v>PD346 0</v>
      </c>
    </row>
    <row r="321" customFormat="false" ht="15" hidden="false" customHeight="true" outlineLevel="0" collapsed="false">
      <c r="A321" s="8" t="s">
        <v>863</v>
      </c>
      <c r="B321" s="8" t="n">
        <v>4411029</v>
      </c>
      <c r="C321" s="8" t="s">
        <v>1372</v>
      </c>
      <c r="D321" s="8" t="str">
        <f aca="false">TRIM(SUBSTITUTE($A321,CHAR(160)," "))</f>
        <v>213CTSR L</v>
      </c>
    </row>
    <row r="322" customFormat="false" ht="15" hidden="false" customHeight="true" outlineLevel="0" collapsed="false">
      <c r="A322" s="8" t="s">
        <v>970</v>
      </c>
      <c r="B322" s="8" t="n">
        <v>4408046</v>
      </c>
      <c r="C322" s="8" t="s">
        <v>1235</v>
      </c>
      <c r="D322" s="8" t="str">
        <f aca="false">TRIM(SUBSTITUTE($A322,CHAR(160)," "))</f>
        <v>20 L</v>
      </c>
    </row>
    <row r="323" customFormat="false" ht="15" hidden="false" customHeight="true" outlineLevel="0" collapsed="false">
      <c r="A323" s="8" t="s">
        <v>939</v>
      </c>
      <c r="B323" s="8" t="n">
        <v>4408047</v>
      </c>
      <c r="C323" s="8" t="s">
        <v>1236</v>
      </c>
      <c r="D323" s="8" t="str">
        <f aca="false">TRIM(SUBSTITUTE($A323,CHAR(160)," "))</f>
        <v>20 M</v>
      </c>
    </row>
    <row r="324" customFormat="false" ht="15" hidden="false" customHeight="true" outlineLevel="0" collapsed="false">
      <c r="A324" s="8" t="s">
        <v>940</v>
      </c>
      <c r="B324" s="8" t="n">
        <v>4408048</v>
      </c>
      <c r="C324" s="8" t="s">
        <v>1237</v>
      </c>
      <c r="D324" s="8" t="str">
        <f aca="false">TRIM(SUBSTITUTE($A324,CHAR(160)," "))</f>
        <v>20 S</v>
      </c>
    </row>
    <row r="325" customFormat="false" ht="15" hidden="false" customHeight="true" outlineLevel="0" collapsed="false">
      <c r="A325" s="8" t="s">
        <v>908</v>
      </c>
      <c r="B325" s="8" t="n">
        <v>4408049</v>
      </c>
      <c r="C325" s="8" t="s">
        <v>1238</v>
      </c>
      <c r="D325" s="8" t="str">
        <f aca="false">TRIM(SUBSTITUTE($A325,CHAR(160)," "))</f>
        <v>20 XL</v>
      </c>
    </row>
    <row r="326" customFormat="false" ht="15" hidden="false" customHeight="true" outlineLevel="0" collapsed="false">
      <c r="A326" s="8" t="s">
        <v>978</v>
      </c>
      <c r="B326" s="8" t="n">
        <v>4408050</v>
      </c>
      <c r="C326" s="8" t="s">
        <v>1239</v>
      </c>
      <c r="D326" s="8" t="str">
        <f aca="false">TRIM(SUBSTITUTE($A326,CHAR(160)," "))</f>
        <v>20 XXL</v>
      </c>
    </row>
    <row r="327" customFormat="false" ht="15" hidden="false" customHeight="true" outlineLevel="0" collapsed="false">
      <c r="A327" s="8" t="s">
        <v>859</v>
      </c>
      <c r="B327" s="8" t="n">
        <v>4408275</v>
      </c>
      <c r="C327" s="8" t="s">
        <v>1344</v>
      </c>
      <c r="D327" s="8" t="str">
        <f aca="false">TRIM(SUBSTITUTE($A327,CHAR(160)," "))</f>
        <v>202 0</v>
      </c>
    </row>
    <row r="328" customFormat="false" ht="15" hidden="false" customHeight="true" outlineLevel="0" collapsed="false">
      <c r="A328" s="8" t="s">
        <v>783</v>
      </c>
      <c r="B328" s="8" t="n">
        <v>4408052</v>
      </c>
      <c r="C328" s="8" t="s">
        <v>1241</v>
      </c>
      <c r="D328" s="8" t="str">
        <f aca="false">TRIM(SUBSTITUTE($A328,CHAR(160)," "))</f>
        <v>21 L</v>
      </c>
    </row>
    <row r="329" customFormat="false" ht="15" hidden="false" customHeight="true" outlineLevel="0" collapsed="false">
      <c r="A329" s="8" t="s">
        <v>576</v>
      </c>
      <c r="B329" s="8" t="n">
        <v>4408053</v>
      </c>
      <c r="C329" s="8" t="s">
        <v>1242</v>
      </c>
      <c r="D329" s="8" t="str">
        <f aca="false">TRIM(SUBSTITUTE($A329,CHAR(160)," "))</f>
        <v>21 M</v>
      </c>
    </row>
    <row r="330" customFormat="false" ht="15" hidden="false" customHeight="true" outlineLevel="0" collapsed="false">
      <c r="A330" s="8" t="s">
        <v>784</v>
      </c>
      <c r="B330" s="8" t="n">
        <v>4408051</v>
      </c>
      <c r="C330" s="8" t="s">
        <v>1240</v>
      </c>
      <c r="D330" s="8" t="str">
        <f aca="false">TRIM(SUBSTITUTE($A330,CHAR(160)," "))</f>
        <v>21 S</v>
      </c>
    </row>
    <row r="331" customFormat="false" ht="15" hidden="false" customHeight="true" outlineLevel="0" collapsed="false">
      <c r="A331" s="8" t="s">
        <v>785</v>
      </c>
      <c r="B331" s="8" t="n">
        <v>4408054</v>
      </c>
      <c r="C331" s="8" t="s">
        <v>1243</v>
      </c>
      <c r="D331" s="8" t="str">
        <f aca="false">TRIM(SUBSTITUTE($A331,CHAR(160)," "))</f>
        <v>21 XL</v>
      </c>
    </row>
    <row r="332" customFormat="false" ht="15" hidden="false" customHeight="true" outlineLevel="0" collapsed="false">
      <c r="A332" s="8" t="s">
        <v>786</v>
      </c>
      <c r="B332" s="8" t="n">
        <v>4413399</v>
      </c>
      <c r="C332" s="8" t="s">
        <v>1555</v>
      </c>
      <c r="D332" s="8" t="str">
        <f aca="false">TRIM(SUBSTITUTE($A332,CHAR(160)," "))</f>
        <v>21 XS</v>
      </c>
    </row>
    <row r="333" customFormat="false" ht="15" hidden="false" customHeight="true" outlineLevel="0" collapsed="false">
      <c r="A333" s="8" t="s">
        <v>577</v>
      </c>
      <c r="B333" s="8" t="n">
        <v>4411017</v>
      </c>
      <c r="C333" s="8" t="s">
        <v>1361</v>
      </c>
      <c r="D333" s="8" t="str">
        <f aca="false">TRIM(SUBSTITUTE($A333,CHAR(160)," "))</f>
        <v>211 L</v>
      </c>
    </row>
    <row r="334" customFormat="false" ht="15" hidden="false" customHeight="true" outlineLevel="0" collapsed="false">
      <c r="A334" s="8" t="s">
        <v>578</v>
      </c>
      <c r="B334" s="8" t="n">
        <v>4411018</v>
      </c>
      <c r="C334" s="8" t="s">
        <v>1362</v>
      </c>
      <c r="D334" s="8" t="str">
        <f aca="false">TRIM(SUBSTITUTE($A334,CHAR(160)," "))</f>
        <v>211 M</v>
      </c>
    </row>
    <row r="335" customFormat="false" ht="15" hidden="false" customHeight="true" outlineLevel="0" collapsed="false">
      <c r="A335" s="8" t="s">
        <v>579</v>
      </c>
      <c r="B335" s="8" t="n">
        <v>4411019</v>
      </c>
      <c r="C335" s="8" t="s">
        <v>1363</v>
      </c>
      <c r="D335" s="8" t="str">
        <f aca="false">TRIM(SUBSTITUTE($A335,CHAR(160)," "))</f>
        <v>211 S</v>
      </c>
    </row>
    <row r="336" customFormat="false" ht="15" hidden="false" customHeight="true" outlineLevel="0" collapsed="false">
      <c r="A336" s="8" t="s">
        <v>967</v>
      </c>
      <c r="B336" s="8" t="n">
        <v>4411020</v>
      </c>
      <c r="C336" s="8" t="s">
        <v>1364</v>
      </c>
      <c r="D336" s="8" t="str">
        <f aca="false">TRIM(SUBSTITUTE($A336,CHAR(160)," "))</f>
        <v>211 XL</v>
      </c>
    </row>
    <row r="337" customFormat="false" ht="15" hidden="false" customHeight="true" outlineLevel="0" collapsed="false">
      <c r="A337" s="8" t="s">
        <v>580</v>
      </c>
      <c r="B337" s="8" t="n">
        <v>4411021</v>
      </c>
      <c r="C337" s="8" t="s">
        <v>1365</v>
      </c>
      <c r="D337" s="8" t="str">
        <f aca="false">TRIM(SUBSTITUTE($A337,CHAR(160)," "))</f>
        <v>212 L</v>
      </c>
    </row>
    <row r="338" customFormat="false" ht="15" hidden="false" customHeight="true" outlineLevel="0" collapsed="false">
      <c r="A338" s="8" t="s">
        <v>581</v>
      </c>
      <c r="B338" s="8" t="n">
        <v>4411022</v>
      </c>
      <c r="C338" s="8" t="s">
        <v>1366</v>
      </c>
      <c r="D338" s="8" t="str">
        <f aca="false">TRIM(SUBSTITUTE($A338,CHAR(160)," "))</f>
        <v>212 M</v>
      </c>
    </row>
    <row r="339" customFormat="false" ht="15" hidden="false" customHeight="true" outlineLevel="0" collapsed="false">
      <c r="A339" s="8" t="s">
        <v>582</v>
      </c>
      <c r="B339" s="8" t="n">
        <v>4411023</v>
      </c>
      <c r="C339" s="8" t="s">
        <v>1367</v>
      </c>
      <c r="D339" s="8" t="str">
        <f aca="false">TRIM(SUBSTITUTE($A339,CHAR(160)," "))</f>
        <v>212 S</v>
      </c>
    </row>
    <row r="340" customFormat="false" ht="15" hidden="false" customHeight="true" outlineLevel="0" collapsed="false">
      <c r="A340" s="8" t="s">
        <v>982</v>
      </c>
      <c r="B340" s="8" t="n">
        <v>4411024</v>
      </c>
      <c r="C340" s="8" t="s">
        <v>1368</v>
      </c>
      <c r="D340" s="8" t="str">
        <f aca="false">TRIM(SUBSTITUTE($A340,CHAR(160)," "))</f>
        <v>212 XL</v>
      </c>
    </row>
    <row r="341" customFormat="false" ht="15" hidden="false" customHeight="true" outlineLevel="0" collapsed="false">
      <c r="A341" s="8" t="s">
        <v>865</v>
      </c>
      <c r="B341" s="8" t="n">
        <v>4411031</v>
      </c>
      <c r="C341" s="8" t="s">
        <v>1374</v>
      </c>
      <c r="D341" s="8" t="str">
        <f aca="false">TRIM(SUBSTITUTE($A341,CHAR(160)," "))</f>
        <v>213CTSR S</v>
      </c>
    </row>
    <row r="342" customFormat="false" ht="15" hidden="false" customHeight="true" outlineLevel="0" collapsed="false">
      <c r="A342" s="8" t="s">
        <v>860</v>
      </c>
      <c r="B342" s="8" t="n">
        <v>4411026</v>
      </c>
      <c r="C342" s="8" t="s">
        <v>1369</v>
      </c>
      <c r="D342" s="8" t="str">
        <f aca="false">TRIM(SUBSTITUTE($A342,CHAR(160)," "))</f>
        <v>213CTSL L</v>
      </c>
    </row>
    <row r="343" customFormat="false" ht="15" hidden="false" customHeight="true" outlineLevel="0" collapsed="false">
      <c r="A343" s="8" t="s">
        <v>861</v>
      </c>
      <c r="B343" s="8" t="n">
        <v>4411027</v>
      </c>
      <c r="C343" s="8" t="s">
        <v>1370</v>
      </c>
      <c r="D343" s="8" t="str">
        <f aca="false">TRIM(SUBSTITUTE($A343,CHAR(160)," "))</f>
        <v>213CTSL M</v>
      </c>
    </row>
    <row r="344" customFormat="false" ht="15" hidden="false" customHeight="true" outlineLevel="0" collapsed="false">
      <c r="A344" s="8" t="s">
        <v>862</v>
      </c>
      <c r="B344" s="8" t="n">
        <v>4411028</v>
      </c>
      <c r="C344" s="8" t="s">
        <v>1371</v>
      </c>
      <c r="D344" s="8" t="str">
        <f aca="false">TRIM(SUBSTITUTE($A344,CHAR(160)," "))</f>
        <v>213CTSL S</v>
      </c>
    </row>
    <row r="345" customFormat="false" ht="15" hidden="false" customHeight="true" outlineLevel="0" collapsed="false">
      <c r="A345" s="8" t="s">
        <v>864</v>
      </c>
      <c r="B345" s="8" t="n">
        <v>4411030</v>
      </c>
      <c r="C345" s="8" t="s">
        <v>1373</v>
      </c>
      <c r="D345" s="8" t="str">
        <f aca="false">TRIM(SUBSTITUTE($A345,CHAR(160)," "))</f>
        <v>213CTSR M</v>
      </c>
    </row>
    <row r="346" customFormat="false" ht="15" hidden="false" customHeight="true" outlineLevel="0" collapsed="false">
      <c r="A346" s="8" t="s">
        <v>584</v>
      </c>
      <c r="B346" s="8" t="n">
        <v>4415162</v>
      </c>
      <c r="C346" s="8" t="s">
        <v>1658</v>
      </c>
      <c r="D346" s="8" t="str">
        <f aca="false">TRIM(SUBSTITUTE($A346,CHAR(160)," "))</f>
        <v>238 L</v>
      </c>
    </row>
    <row r="347" customFormat="false" ht="15" hidden="false" customHeight="true" outlineLevel="0" collapsed="false">
      <c r="A347" s="8" t="s">
        <v>926</v>
      </c>
      <c r="B347" s="8" t="n">
        <v>4415161</v>
      </c>
      <c r="C347" s="8" t="s">
        <v>1657</v>
      </c>
      <c r="D347" s="8" t="str">
        <f aca="false">TRIM(SUBSTITUTE($A347,CHAR(160)," "))</f>
        <v>238 M</v>
      </c>
    </row>
    <row r="348" customFormat="false" ht="15" hidden="false" customHeight="true" outlineLevel="0" collapsed="false">
      <c r="A348" s="8" t="s">
        <v>585</v>
      </c>
      <c r="B348" s="8" t="n">
        <v>4415160</v>
      </c>
      <c r="C348" s="8" t="s">
        <v>1656</v>
      </c>
      <c r="D348" s="8" t="str">
        <f aca="false">TRIM(SUBSTITUTE($A348,CHAR(160)," "))</f>
        <v>238 S</v>
      </c>
    </row>
    <row r="349" customFormat="false" ht="15" hidden="false" customHeight="true" outlineLevel="0" collapsed="false">
      <c r="A349" s="8" t="s">
        <v>927</v>
      </c>
      <c r="B349" s="8" t="n">
        <v>4415163</v>
      </c>
      <c r="C349" s="8" t="s">
        <v>1659</v>
      </c>
      <c r="D349" s="8" t="str">
        <f aca="false">TRIM(SUBSTITUTE($A349,CHAR(160)," "))</f>
        <v>238 XL</v>
      </c>
    </row>
    <row r="350" customFormat="false" ht="15" hidden="false" customHeight="true" outlineLevel="0" collapsed="false">
      <c r="A350" s="8" t="s">
        <v>948</v>
      </c>
      <c r="B350" s="8" t="n">
        <v>4415000</v>
      </c>
      <c r="C350" s="8" t="s">
        <v>1621</v>
      </c>
      <c r="D350" s="8" t="str">
        <f aca="false">TRIM(SUBSTITUTE($A350,CHAR(160)," "))</f>
        <v>26 L</v>
      </c>
    </row>
    <row r="351" customFormat="false" ht="15" hidden="false" customHeight="true" outlineLevel="0" collapsed="false">
      <c r="A351" s="8" t="s">
        <v>956</v>
      </c>
      <c r="B351" s="8" t="n">
        <v>4415001</v>
      </c>
      <c r="C351" s="8" t="s">
        <v>1622</v>
      </c>
      <c r="D351" s="8" t="str">
        <f aca="false">TRIM(SUBSTITUTE($A351,CHAR(160)," "))</f>
        <v>26 M</v>
      </c>
    </row>
    <row r="352" customFormat="false" ht="15" hidden="false" customHeight="true" outlineLevel="0" collapsed="false">
      <c r="A352" s="8" t="s">
        <v>787</v>
      </c>
      <c r="B352" s="8" t="n">
        <v>4415002</v>
      </c>
      <c r="C352" s="8" t="s">
        <v>1623</v>
      </c>
      <c r="D352" s="8" t="str">
        <f aca="false">TRIM(SUBSTITUTE($A352,CHAR(160)," "))</f>
        <v>26 S</v>
      </c>
    </row>
    <row r="353" customFormat="false" ht="15" hidden="false" customHeight="true" outlineLevel="0" collapsed="false">
      <c r="A353" s="8" t="s">
        <v>949</v>
      </c>
      <c r="B353" s="8" t="n">
        <v>4415003</v>
      </c>
      <c r="C353" s="8" t="s">
        <v>1624</v>
      </c>
      <c r="D353" s="8" t="str">
        <f aca="false">TRIM(SUBSTITUTE($A353,CHAR(160)," "))</f>
        <v>26 XL</v>
      </c>
    </row>
    <row r="354" customFormat="false" ht="15" hidden="false" customHeight="true" outlineLevel="0" collapsed="false">
      <c r="A354" s="8" t="s">
        <v>591</v>
      </c>
      <c r="B354" s="8" t="n">
        <v>4415004</v>
      </c>
      <c r="C354" s="8" t="s">
        <v>1625</v>
      </c>
      <c r="D354" s="8" t="str">
        <f aca="false">TRIM(SUBSTITUTE($A354,CHAR(160)," "))</f>
        <v>26 XXL</v>
      </c>
    </row>
    <row r="355" customFormat="false" ht="15" hidden="false" customHeight="true" outlineLevel="0" collapsed="false">
      <c r="A355" s="8" t="s">
        <v>592</v>
      </c>
      <c r="B355" s="8" t="n">
        <v>4415158</v>
      </c>
      <c r="C355" s="8" t="s">
        <v>1654</v>
      </c>
      <c r="D355" s="8" t="str">
        <f aca="false">TRIM(SUBSTITUTE($A355,CHAR(160)," "))</f>
        <v>266 0</v>
      </c>
    </row>
    <row r="356" customFormat="false" ht="15" hidden="false" customHeight="true" outlineLevel="0" collapsed="false">
      <c r="A356" s="8" t="s">
        <v>593</v>
      </c>
      <c r="B356" s="8" t="n">
        <v>4415159</v>
      </c>
      <c r="C356" s="8" t="s">
        <v>1655</v>
      </c>
      <c r="D356" s="8" t="str">
        <f aca="false">TRIM(SUBSTITUTE($A356,CHAR(160)," "))</f>
        <v>268 0</v>
      </c>
    </row>
    <row r="357" customFormat="false" ht="15" hidden="false" customHeight="true" outlineLevel="0" collapsed="false">
      <c r="A357" s="8" t="s">
        <v>1053</v>
      </c>
      <c r="B357" s="8" t="n">
        <v>4415025</v>
      </c>
      <c r="C357" s="8" t="s">
        <v>1633</v>
      </c>
      <c r="D357" s="8" t="str">
        <f aca="false">TRIM(SUBSTITUTE($A357,CHAR(160)," "))</f>
        <v>28 XS</v>
      </c>
    </row>
    <row r="358" customFormat="false" ht="15" hidden="false" customHeight="true" outlineLevel="0" collapsed="false">
      <c r="A358" s="8" t="s">
        <v>957</v>
      </c>
      <c r="B358" s="8" t="n">
        <v>4415005</v>
      </c>
      <c r="C358" s="8" t="s">
        <v>1626</v>
      </c>
      <c r="D358" s="8" t="str">
        <f aca="false">TRIM(SUBSTITUTE($A358,CHAR(160)," "))</f>
        <v>28 L</v>
      </c>
    </row>
    <row r="359" customFormat="false" ht="15" hidden="false" customHeight="true" outlineLevel="0" collapsed="false">
      <c r="A359" s="8" t="s">
        <v>594</v>
      </c>
      <c r="B359" s="8" t="n">
        <v>4415006</v>
      </c>
      <c r="C359" s="8" t="s">
        <v>1627</v>
      </c>
      <c r="D359" s="8" t="str">
        <f aca="false">TRIM(SUBSTITUTE($A359,CHAR(160)," "))</f>
        <v>28 M</v>
      </c>
    </row>
    <row r="360" customFormat="false" ht="15" hidden="false" customHeight="true" outlineLevel="0" collapsed="false">
      <c r="A360" s="8" t="s">
        <v>958</v>
      </c>
      <c r="B360" s="8" t="n">
        <v>4415007</v>
      </c>
      <c r="C360" s="8" t="s">
        <v>1628</v>
      </c>
      <c r="D360" s="8" t="str">
        <f aca="false">TRIM(SUBSTITUTE($A360,CHAR(160)," "))</f>
        <v>28 S</v>
      </c>
    </row>
    <row r="361" customFormat="false" ht="15" hidden="false" customHeight="true" outlineLevel="0" collapsed="false">
      <c r="A361" s="8" t="s">
        <v>959</v>
      </c>
      <c r="B361" s="8" t="n">
        <v>4415008</v>
      </c>
      <c r="C361" s="8" t="s">
        <v>1629</v>
      </c>
      <c r="D361" s="8" t="str">
        <f aca="false">TRIM(SUBSTITUTE($A361,CHAR(160)," "))</f>
        <v>28 XL</v>
      </c>
    </row>
    <row r="362" customFormat="false" ht="15" hidden="false" customHeight="true" outlineLevel="0" collapsed="false">
      <c r="A362" s="8" t="s">
        <v>728</v>
      </c>
      <c r="B362" s="8" t="n">
        <v>4415028</v>
      </c>
      <c r="C362" s="8" t="s">
        <v>1636</v>
      </c>
      <c r="D362" s="8" t="str">
        <f aca="false">TRIM(SUBSTITUTE($A362,CHAR(160)," "))</f>
        <v>AC28 0</v>
      </c>
    </row>
    <row r="363" customFormat="false" ht="15" hidden="false" customHeight="true" outlineLevel="0" collapsed="false">
      <c r="A363" s="8" t="s">
        <v>896</v>
      </c>
      <c r="B363" s="8" t="n">
        <v>4408268</v>
      </c>
      <c r="C363" s="8" t="s">
        <v>1756</v>
      </c>
      <c r="D363" s="8" t="str">
        <f aca="false">TRIM(SUBSTITUTE($A363,CHAR(160)," "))</f>
        <v>ST20 0</v>
      </c>
    </row>
    <row r="364" customFormat="false" ht="15" hidden="false" customHeight="true" outlineLevel="0" collapsed="false">
      <c r="A364" s="8" t="s">
        <v>897</v>
      </c>
      <c r="B364" s="8" t="n">
        <v>4408267</v>
      </c>
      <c r="C364" s="8" t="s">
        <v>1755</v>
      </c>
      <c r="D364" s="8" t="str">
        <f aca="false">TRIM(SUBSTITUTE($A364,CHAR(160)," "))</f>
        <v>ST25 0</v>
      </c>
    </row>
    <row r="365" customFormat="false" ht="15" hidden="false" customHeight="true" outlineLevel="0" collapsed="false">
      <c r="A365" s="8" t="s">
        <v>898</v>
      </c>
      <c r="B365" s="8" t="n">
        <v>4415177</v>
      </c>
      <c r="C365" s="8" t="s">
        <v>1763</v>
      </c>
      <c r="D365" s="8" t="str">
        <f aca="false">TRIM(SUBSTITUTE($A365,CHAR(160)," "))</f>
        <v>ST28 0</v>
      </c>
    </row>
    <row r="366" customFormat="false" ht="15" hidden="false" customHeight="true" outlineLevel="0" collapsed="false">
      <c r="A366" s="8" t="s">
        <v>767</v>
      </c>
      <c r="B366" s="8" t="n">
        <v>4408095</v>
      </c>
      <c r="C366" s="8" t="s">
        <v>1270</v>
      </c>
      <c r="D366" s="8" t="str">
        <f aca="false">TRIM(SUBSTITUTE($A366,CHAR(160)," "))</f>
        <v>T20-L-XL</v>
      </c>
    </row>
    <row r="367" customFormat="false" ht="15" hidden="false" customHeight="true" outlineLevel="0" collapsed="false">
      <c r="A367" s="8" t="s">
        <v>975</v>
      </c>
      <c r="B367" s="8" t="n">
        <v>4408094</v>
      </c>
      <c r="C367" s="8" t="s">
        <v>1269</v>
      </c>
      <c r="D367" s="8" t="str">
        <f aca="false">TRIM(SUBSTITUTE($A367,CHAR(160)," "))</f>
        <v>T20-S-M</v>
      </c>
    </row>
    <row r="368" customFormat="false" ht="15" hidden="false" customHeight="true" outlineLevel="0" collapsed="false">
      <c r="A368" s="8" t="s">
        <v>768</v>
      </c>
      <c r="B368" s="8" t="n">
        <v>4408097</v>
      </c>
      <c r="C368" s="8" t="s">
        <v>1272</v>
      </c>
      <c r="D368" s="8" t="str">
        <f aca="false">TRIM(SUBSTITUTE($A368,CHAR(160)," "))</f>
        <v>T20C-L-XL</v>
      </c>
    </row>
    <row r="369" customFormat="false" ht="15" hidden="false" customHeight="true" outlineLevel="0" collapsed="false">
      <c r="A369" s="8" t="s">
        <v>769</v>
      </c>
      <c r="B369" s="8" t="n">
        <v>4408096</v>
      </c>
      <c r="C369" s="8" t="s">
        <v>1271</v>
      </c>
      <c r="D369" s="8" t="str">
        <f aca="false">TRIM(SUBSTITUTE($A369,CHAR(160)," "))</f>
        <v>T20C-S-M</v>
      </c>
    </row>
    <row r="370" customFormat="false" ht="15" hidden="false" customHeight="true" outlineLevel="0" collapsed="false">
      <c r="A370" s="8" t="s">
        <v>770</v>
      </c>
      <c r="B370" s="8" t="n">
        <v>4408098</v>
      </c>
      <c r="C370" s="8" t="s">
        <v>1273</v>
      </c>
      <c r="D370" s="8" t="str">
        <f aca="false">TRIM(SUBSTITUTE($A370,CHAR(160)," "))</f>
        <v>T25 0</v>
      </c>
    </row>
    <row r="371" customFormat="false" ht="15" hidden="false" customHeight="true" outlineLevel="0" collapsed="false">
      <c r="A371" s="8" t="s">
        <v>848</v>
      </c>
      <c r="B371" s="8" t="n">
        <v>4408264</v>
      </c>
      <c r="C371" s="8" t="s">
        <v>1338</v>
      </c>
      <c r="D371" s="8" t="str">
        <f aca="false">TRIM(SUBSTITUTE($A371,CHAR(160)," "))</f>
        <v>T25B 0</v>
      </c>
    </row>
    <row r="372" customFormat="false" ht="15" hidden="false" customHeight="true" outlineLevel="0" collapsed="false">
      <c r="A372" s="8" t="s">
        <v>904</v>
      </c>
      <c r="B372" s="8" t="n">
        <v>4408099</v>
      </c>
      <c r="C372" s="8" t="s">
        <v>1274</v>
      </c>
      <c r="D372" s="8" t="str">
        <f aca="false">TRIM(SUBSTITUTE($A372,CHAR(160)," "))</f>
        <v>T25C 0</v>
      </c>
    </row>
    <row r="373" customFormat="false" ht="15" hidden="false" customHeight="true" outlineLevel="0" collapsed="false">
      <c r="A373" s="8" t="s">
        <v>1850</v>
      </c>
      <c r="B373" s="8" t="n">
        <v>4415067</v>
      </c>
      <c r="C373" s="8" t="s">
        <v>1638</v>
      </c>
      <c r="D373" s="8" t="str">
        <f aca="false">TRIM(SUBSTITUTE($A373,CHAR(160)," "))</f>
        <v>T28 XL</v>
      </c>
    </row>
    <row r="374" customFormat="false" ht="15" hidden="false" customHeight="true" outlineLevel="0" collapsed="false">
      <c r="A374" s="8" t="s">
        <v>964</v>
      </c>
      <c r="B374" s="8" t="n">
        <v>4415073</v>
      </c>
      <c r="C374" s="8" t="s">
        <v>1643</v>
      </c>
      <c r="D374" s="8" t="str">
        <f aca="false">TRIM(SUBSTITUTE($A374,CHAR(160)," "))</f>
        <v>T28A-L-XL</v>
      </c>
    </row>
    <row r="375" customFormat="false" ht="15" hidden="false" customHeight="true" outlineLevel="0" collapsed="false">
      <c r="A375" s="8" t="s">
        <v>912</v>
      </c>
      <c r="B375" s="8" t="n">
        <v>4415072</v>
      </c>
      <c r="C375" s="8" t="s">
        <v>1642</v>
      </c>
      <c r="D375" s="8" t="str">
        <f aca="false">TRIM(SUBSTITUTE($A375,CHAR(160)," "))</f>
        <v>T28A-S-M</v>
      </c>
    </row>
    <row r="376" customFormat="false" ht="15" hidden="false" customHeight="true" outlineLevel="0" collapsed="false">
      <c r="A376" s="8" t="s">
        <v>771</v>
      </c>
      <c r="B376" s="8" t="n">
        <v>4415075</v>
      </c>
      <c r="C376" s="8" t="s">
        <v>1645</v>
      </c>
      <c r="D376" s="8" t="str">
        <f aca="false">TRIM(SUBSTITUTE($A376,CHAR(160)," "))</f>
        <v>T28AC-L-XL</v>
      </c>
    </row>
    <row r="377" customFormat="false" ht="15" hidden="false" customHeight="true" outlineLevel="0" collapsed="false">
      <c r="A377" s="8" t="s">
        <v>772</v>
      </c>
      <c r="B377" s="8" t="n">
        <v>4415074</v>
      </c>
      <c r="C377" s="8" t="s">
        <v>1644</v>
      </c>
      <c r="D377" s="8" t="str">
        <f aca="false">TRIM(SUBSTITUTE($A377,CHAR(160)," "))</f>
        <v>T28AC-S-M</v>
      </c>
    </row>
    <row r="378" customFormat="false" ht="15" hidden="false" customHeight="true" outlineLevel="0" collapsed="false">
      <c r="A378" s="8" t="s">
        <v>1851</v>
      </c>
      <c r="B378" s="8" t="n">
        <v>4415071</v>
      </c>
      <c r="C378" s="8" t="s">
        <v>1641</v>
      </c>
      <c r="D378" s="8" t="str">
        <f aca="false">TRIM(SUBSTITUTE($A378,CHAR(160)," "))</f>
        <v>T28C XL</v>
      </c>
    </row>
    <row r="379" customFormat="false" ht="15" hidden="false" customHeight="true" outlineLevel="0" collapsed="false">
      <c r="A379" s="8" t="s">
        <v>1852</v>
      </c>
      <c r="B379" s="8" t="n">
        <v>4415069</v>
      </c>
      <c r="C379" s="8" t="s">
        <v>1639</v>
      </c>
      <c r="D379" s="8" t="str">
        <f aca="false">TRIM(SUBSTITUTE($A379,CHAR(160)," "))</f>
        <v>T28C L</v>
      </c>
    </row>
    <row r="380" customFormat="false" ht="15" hidden="false" customHeight="true" outlineLevel="0" collapsed="false">
      <c r="A380" s="8" t="s">
        <v>583</v>
      </c>
      <c r="B380" s="8" t="n">
        <v>4415029</v>
      </c>
      <c r="C380" s="8" t="s">
        <v>1637</v>
      </c>
      <c r="D380" s="8" t="str">
        <f aca="false">TRIM(SUBSTITUTE($A380,CHAR(160)," "))</f>
        <v>237 0</v>
      </c>
    </row>
    <row r="381" customFormat="false" ht="15" hidden="false" customHeight="true" outlineLevel="0" collapsed="false">
      <c r="A381" s="8" t="s">
        <v>917</v>
      </c>
      <c r="B381" s="8" t="n">
        <v>4418000</v>
      </c>
      <c r="C381" s="8" t="s">
        <v>1679</v>
      </c>
      <c r="D381" s="8" t="str">
        <f aca="false">TRIM(SUBSTITUTE($A381,CHAR(160)," "))</f>
        <v>60 L</v>
      </c>
    </row>
    <row r="382" customFormat="false" ht="15" hidden="false" customHeight="true" outlineLevel="0" collapsed="false">
      <c r="A382" s="8" t="s">
        <v>691</v>
      </c>
      <c r="B382" s="8" t="n">
        <v>4418001</v>
      </c>
      <c r="C382" s="8" t="s">
        <v>1680</v>
      </c>
      <c r="D382" s="8" t="str">
        <f aca="false">TRIM(SUBSTITUTE($A382,CHAR(160)," "))</f>
        <v>60 M</v>
      </c>
    </row>
    <row r="383" customFormat="false" ht="15" hidden="false" customHeight="true" outlineLevel="0" collapsed="false">
      <c r="A383" s="8" t="s">
        <v>692</v>
      </c>
      <c r="B383" s="8" t="n">
        <v>4418002</v>
      </c>
      <c r="C383" s="8" t="s">
        <v>1681</v>
      </c>
      <c r="D383" s="8" t="str">
        <f aca="false">TRIM(SUBSTITUTE($A383,CHAR(160)," "))</f>
        <v>60 S</v>
      </c>
    </row>
    <row r="384" customFormat="false" ht="15" hidden="false" customHeight="true" outlineLevel="0" collapsed="false">
      <c r="A384" s="8" t="s">
        <v>819</v>
      </c>
      <c r="B384" s="8" t="n">
        <v>4418003</v>
      </c>
      <c r="C384" s="8" t="s">
        <v>1682</v>
      </c>
      <c r="D384" s="8" t="str">
        <f aca="false">TRIM(SUBSTITUTE($A384,CHAR(160)," "))</f>
        <v>60 XL</v>
      </c>
    </row>
    <row r="385" customFormat="false" ht="15" hidden="false" customHeight="true" outlineLevel="0" collapsed="false">
      <c r="A385" s="8" t="s">
        <v>608</v>
      </c>
      <c r="B385" s="8" t="n">
        <v>4415013</v>
      </c>
      <c r="C385" s="8" t="s">
        <v>1631</v>
      </c>
      <c r="D385" s="8" t="str">
        <f aca="false">TRIM(SUBSTITUTE($A385,CHAR(160)," "))</f>
        <v>32 XL</v>
      </c>
    </row>
    <row r="386" customFormat="false" ht="15" hidden="false" customHeight="true" outlineLevel="0" collapsed="false">
      <c r="A386" s="8" t="s">
        <v>610</v>
      </c>
      <c r="B386" s="8" t="n">
        <v>4413347</v>
      </c>
      <c r="C386" s="8" t="s">
        <v>1539</v>
      </c>
      <c r="D386" s="8" t="str">
        <f aca="false">TRIM(SUBSTITUTE($A386,CHAR(160)," "))</f>
        <v>322 L</v>
      </c>
    </row>
    <row r="387" customFormat="false" ht="15" hidden="false" customHeight="true" outlineLevel="0" collapsed="false">
      <c r="A387" s="8" t="s">
        <v>866</v>
      </c>
      <c r="B387" s="8" t="n">
        <v>4413337</v>
      </c>
      <c r="C387" s="8" t="s">
        <v>1531</v>
      </c>
      <c r="D387" s="8" t="str">
        <f aca="false">TRIM(SUBSTITUTE($A387,CHAR(160)," "))</f>
        <v>322 XL</v>
      </c>
    </row>
    <row r="388" customFormat="false" ht="15" hidden="false" customHeight="true" outlineLevel="0" collapsed="false">
      <c r="A388" s="8" t="s">
        <v>867</v>
      </c>
      <c r="B388" s="8" t="n">
        <v>4415019</v>
      </c>
      <c r="C388" s="8" t="s">
        <v>1632</v>
      </c>
      <c r="D388" s="8" t="str">
        <f aca="false">TRIM(SUBSTITUTE($A388,CHAR(160)," "))</f>
        <v>333 0</v>
      </c>
    </row>
    <row r="389" customFormat="false" ht="15" hidden="false" customHeight="true" outlineLevel="0" collapsed="false">
      <c r="A389" s="8" t="s">
        <v>910</v>
      </c>
      <c r="B389" s="8" t="n">
        <v>4413043</v>
      </c>
      <c r="C389" s="8" t="s">
        <v>1388</v>
      </c>
      <c r="D389" s="8" t="str">
        <f aca="false">TRIM(SUBSTITUTE($A389,CHAR(160)," "))</f>
        <v>34 L</v>
      </c>
    </row>
    <row r="390" customFormat="false" ht="15" hidden="false" customHeight="true" outlineLevel="0" collapsed="false">
      <c r="A390" s="8" t="s">
        <v>915</v>
      </c>
      <c r="B390" s="8" t="n">
        <v>4413041</v>
      </c>
      <c r="C390" s="8" t="s">
        <v>1386</v>
      </c>
      <c r="D390" s="8" t="str">
        <f aca="false">TRIM(SUBSTITUTE($A390,CHAR(160)," "))</f>
        <v>34 M</v>
      </c>
    </row>
    <row r="391" customFormat="false" ht="15" hidden="false" customHeight="true" outlineLevel="0" collapsed="false">
      <c r="A391" s="8" t="s">
        <v>984</v>
      </c>
      <c r="B391" s="8" t="n">
        <v>4413042</v>
      </c>
      <c r="C391" s="8" t="s">
        <v>1387</v>
      </c>
      <c r="D391" s="8" t="str">
        <f aca="false">TRIM(SUBSTITUTE($A391,CHAR(160)," "))</f>
        <v>34 S</v>
      </c>
    </row>
    <row r="392" customFormat="false" ht="15" hidden="false" customHeight="true" outlineLevel="0" collapsed="false">
      <c r="A392" s="8" t="s">
        <v>916</v>
      </c>
      <c r="B392" s="8" t="n">
        <v>4413044</v>
      </c>
      <c r="C392" s="8" t="s">
        <v>1389</v>
      </c>
      <c r="D392" s="8" t="str">
        <f aca="false">TRIM(SUBSTITUTE($A392,CHAR(160)," "))</f>
        <v>34 XL</v>
      </c>
    </row>
    <row r="393" customFormat="false" ht="15" hidden="false" customHeight="true" outlineLevel="0" collapsed="false">
      <c r="A393" s="8" t="s">
        <v>985</v>
      </c>
      <c r="B393" s="8" t="n">
        <v>4413046</v>
      </c>
      <c r="C393" s="8" t="s">
        <v>1391</v>
      </c>
      <c r="D393" s="8" t="str">
        <f aca="false">TRIM(SUBSTITUTE($A393,CHAR(160)," "))</f>
        <v>34 XXL</v>
      </c>
    </row>
    <row r="394" customFormat="false" ht="15" hidden="false" customHeight="true" outlineLevel="0" collapsed="false">
      <c r="A394" s="8" t="s">
        <v>611</v>
      </c>
      <c r="B394" s="8" t="n">
        <v>4413161</v>
      </c>
      <c r="C394" s="8" t="s">
        <v>1483</v>
      </c>
      <c r="D394" s="8" t="str">
        <f aca="false">TRIM(SUBSTITUTE($A394,CHAR(160)," "))</f>
        <v>34+ L</v>
      </c>
    </row>
    <row r="395" customFormat="false" ht="15" hidden="false" customHeight="true" outlineLevel="0" collapsed="false">
      <c r="A395" s="8" t="s">
        <v>790</v>
      </c>
      <c r="B395" s="8" t="n">
        <v>4413160</v>
      </c>
      <c r="C395" s="8" t="s">
        <v>1482</v>
      </c>
      <c r="D395" s="8" t="str">
        <f aca="false">TRIM(SUBSTITUTE($A395,CHAR(160)," "))</f>
        <v>34+ M</v>
      </c>
    </row>
    <row r="396" customFormat="false" ht="15" hidden="false" customHeight="true" outlineLevel="0" collapsed="false">
      <c r="A396" s="8" t="s">
        <v>942</v>
      </c>
      <c r="B396" s="8" t="n">
        <v>4413159</v>
      </c>
      <c r="C396" s="8" t="s">
        <v>1481</v>
      </c>
      <c r="D396" s="8" t="str">
        <f aca="false">TRIM(SUBSTITUTE($A396,CHAR(160)," "))</f>
        <v>34+ S</v>
      </c>
    </row>
    <row r="397" customFormat="false" ht="15" hidden="false" customHeight="true" outlineLevel="0" collapsed="false">
      <c r="A397" s="8" t="s">
        <v>612</v>
      </c>
      <c r="B397" s="8" t="n">
        <v>4413162</v>
      </c>
      <c r="C397" s="8" t="s">
        <v>1484</v>
      </c>
      <c r="D397" s="8" t="str">
        <f aca="false">TRIM(SUBSTITUTE($A397,CHAR(160)," "))</f>
        <v>34+ XL</v>
      </c>
    </row>
    <row r="398" customFormat="false" ht="15" hidden="false" customHeight="true" outlineLevel="0" collapsed="false">
      <c r="A398" s="8" t="s">
        <v>943</v>
      </c>
      <c r="B398" s="8" t="n">
        <v>4413303</v>
      </c>
      <c r="C398" s="8" t="s">
        <v>1520</v>
      </c>
      <c r="D398" s="8" t="str">
        <f aca="false">TRIM(SUBSTITUTE($A398,CHAR(160)," "))</f>
        <v>34+ XXL</v>
      </c>
    </row>
    <row r="399" customFormat="false" ht="15" hidden="false" customHeight="true" outlineLevel="0" collapsed="false">
      <c r="A399" s="8" t="s">
        <v>613</v>
      </c>
      <c r="B399" s="8" t="n">
        <v>4413048</v>
      </c>
      <c r="C399" s="8" t="s">
        <v>1393</v>
      </c>
      <c r="D399" s="8" t="str">
        <f aca="false">TRIM(SUBSTITUTE($A399,CHAR(160)," "))</f>
        <v>35 L</v>
      </c>
    </row>
    <row r="400" customFormat="false" ht="15" hidden="false" customHeight="true" outlineLevel="0" collapsed="false">
      <c r="A400" s="8" t="s">
        <v>614</v>
      </c>
      <c r="B400" s="8" t="n">
        <v>4413049</v>
      </c>
      <c r="C400" s="8" t="s">
        <v>1394</v>
      </c>
      <c r="D400" s="8" t="str">
        <f aca="false">TRIM(SUBSTITUTE($A400,CHAR(160)," "))</f>
        <v>35 M</v>
      </c>
    </row>
    <row r="401" customFormat="false" ht="15" hidden="false" customHeight="true" outlineLevel="0" collapsed="false">
      <c r="A401" s="8" t="s">
        <v>792</v>
      </c>
      <c r="B401" s="8" t="n">
        <v>4413047</v>
      </c>
      <c r="C401" s="8" t="s">
        <v>1392</v>
      </c>
      <c r="D401" s="8" t="str">
        <f aca="false">TRIM(SUBSTITUTE($A401,CHAR(160)," "))</f>
        <v>35 S</v>
      </c>
    </row>
    <row r="402" customFormat="false" ht="15" hidden="false" customHeight="true" outlineLevel="0" collapsed="false">
      <c r="A402" s="8" t="s">
        <v>793</v>
      </c>
      <c r="B402" s="8" t="n">
        <v>4413050</v>
      </c>
      <c r="C402" s="8" t="s">
        <v>1395</v>
      </c>
      <c r="D402" s="8" t="str">
        <f aca="false">TRIM(SUBSTITUTE($A402,CHAR(160)," "))</f>
        <v>35 XL</v>
      </c>
    </row>
    <row r="403" customFormat="false" ht="15" hidden="false" customHeight="true" outlineLevel="0" collapsed="false">
      <c r="A403" s="8" t="s">
        <v>794</v>
      </c>
      <c r="B403" s="8" t="n">
        <v>4413051</v>
      </c>
      <c r="C403" s="8" t="s">
        <v>1396</v>
      </c>
      <c r="D403" s="8" t="str">
        <f aca="false">TRIM(SUBSTITUTE($A403,CHAR(160)," "))</f>
        <v>35 XXL</v>
      </c>
    </row>
    <row r="404" customFormat="false" ht="15" hidden="false" customHeight="true" outlineLevel="0" collapsed="false">
      <c r="A404" s="8" t="s">
        <v>615</v>
      </c>
      <c r="B404" s="8" t="n">
        <v>4413490</v>
      </c>
      <c r="C404" s="8" t="s">
        <v>1590</v>
      </c>
      <c r="D404" s="8" t="str">
        <f aca="false">TRIM(SUBSTITUTE($A404,CHAR(160)," "))</f>
        <v>35B L</v>
      </c>
    </row>
    <row r="405" customFormat="false" ht="15" hidden="false" customHeight="true" outlineLevel="0" collapsed="false">
      <c r="A405" s="8" t="s">
        <v>616</v>
      </c>
      <c r="B405" s="8" t="n">
        <v>4413492</v>
      </c>
      <c r="C405" s="8" t="s">
        <v>1592</v>
      </c>
      <c r="D405" s="8" t="str">
        <f aca="false">TRIM(SUBSTITUTE($A405,CHAR(160)," "))</f>
        <v>35B M</v>
      </c>
    </row>
    <row r="406" customFormat="false" ht="15" hidden="false" customHeight="true" outlineLevel="0" collapsed="false">
      <c r="A406" s="8" t="s">
        <v>617</v>
      </c>
      <c r="B406" s="8" t="n">
        <v>4413493</v>
      </c>
      <c r="C406" s="8" t="s">
        <v>1593</v>
      </c>
      <c r="D406" s="8" t="str">
        <f aca="false">TRIM(SUBSTITUTE($A406,CHAR(160)," "))</f>
        <v>35B S</v>
      </c>
    </row>
    <row r="407" customFormat="false" ht="15" hidden="false" customHeight="true" outlineLevel="0" collapsed="false">
      <c r="A407" s="8" t="s">
        <v>618</v>
      </c>
      <c r="B407" s="8" t="n">
        <v>4413491</v>
      </c>
      <c r="C407" s="8" t="s">
        <v>1591</v>
      </c>
      <c r="D407" s="8" t="str">
        <f aca="false">TRIM(SUBSTITUTE($A407,CHAR(160)," "))</f>
        <v>35B XL</v>
      </c>
    </row>
    <row r="408" customFormat="false" ht="15" hidden="false" customHeight="true" outlineLevel="0" collapsed="false">
      <c r="A408" s="8" t="s">
        <v>619</v>
      </c>
      <c r="B408" s="8" t="n">
        <v>4413494</v>
      </c>
      <c r="C408" s="8" t="s">
        <v>1594</v>
      </c>
      <c r="D408" s="8" t="str">
        <f aca="false">TRIM(SUBSTITUTE($A408,CHAR(160)," "))</f>
        <v>35B XXL</v>
      </c>
    </row>
    <row r="409" customFormat="false" ht="15" hidden="false" customHeight="true" outlineLevel="0" collapsed="false">
      <c r="A409" s="8" t="s">
        <v>620</v>
      </c>
      <c r="B409" s="8" t="n">
        <v>4413053</v>
      </c>
      <c r="C409" s="8" t="s">
        <v>1398</v>
      </c>
      <c r="D409" s="8" t="str">
        <f aca="false">TRIM(SUBSTITUTE($A409,CHAR(160)," "))</f>
        <v>35C L</v>
      </c>
    </row>
    <row r="410" customFormat="false" ht="15" hidden="false" customHeight="true" outlineLevel="0" collapsed="false">
      <c r="A410" s="8" t="s">
        <v>621</v>
      </c>
      <c r="B410" s="8" t="n">
        <v>4413054</v>
      </c>
      <c r="C410" s="8" t="s">
        <v>1399</v>
      </c>
      <c r="D410" s="8" t="str">
        <f aca="false">TRIM(SUBSTITUTE($A410,CHAR(160)," "))</f>
        <v>35C M</v>
      </c>
    </row>
    <row r="411" customFormat="false" ht="15" hidden="false" customHeight="true" outlineLevel="0" collapsed="false">
      <c r="A411" s="8" t="s">
        <v>622</v>
      </c>
      <c r="B411" s="8" t="n">
        <v>4413052</v>
      </c>
      <c r="C411" s="8" t="s">
        <v>1397</v>
      </c>
      <c r="D411" s="8" t="str">
        <f aca="false">TRIM(SUBSTITUTE($A411,CHAR(160)," "))</f>
        <v>35C S</v>
      </c>
    </row>
    <row r="412" customFormat="false" ht="15" hidden="false" customHeight="true" outlineLevel="0" collapsed="false">
      <c r="A412" s="8" t="s">
        <v>795</v>
      </c>
      <c r="B412" s="8" t="n">
        <v>4413055</v>
      </c>
      <c r="C412" s="8" t="s">
        <v>1400</v>
      </c>
      <c r="D412" s="8" t="str">
        <f aca="false">TRIM(SUBSTITUTE($A412,CHAR(160)," "))</f>
        <v>35C XL</v>
      </c>
    </row>
    <row r="413" customFormat="false" ht="15" hidden="false" customHeight="true" outlineLevel="0" collapsed="false">
      <c r="A413" s="8" t="s">
        <v>729</v>
      </c>
      <c r="B413" s="8" t="n">
        <v>4413326</v>
      </c>
      <c r="C413" s="8" t="s">
        <v>1523</v>
      </c>
      <c r="D413" s="8" t="str">
        <f aca="false">TRIM(SUBSTITUTE($A413,CHAR(160)," "))</f>
        <v>AC37 0</v>
      </c>
    </row>
    <row r="414" customFormat="false" ht="15" hidden="false" customHeight="true" outlineLevel="0" collapsed="false">
      <c r="A414" s="8" t="s">
        <v>762</v>
      </c>
      <c r="B414" s="8" t="n">
        <v>4413534</v>
      </c>
      <c r="C414" s="8" t="s">
        <v>1619</v>
      </c>
      <c r="D414" s="8" t="str">
        <f aca="false">TRIM(SUBSTITUTE($A414,CHAR(160)," "))</f>
        <v>SH333 0</v>
      </c>
    </row>
    <row r="415" customFormat="false" ht="15" hidden="false" customHeight="true" outlineLevel="0" collapsed="false">
      <c r="A415" s="8" t="s">
        <v>899</v>
      </c>
      <c r="B415" s="8" t="n">
        <v>4408269</v>
      </c>
      <c r="C415" s="8" t="s">
        <v>1757</v>
      </c>
      <c r="D415" s="8" t="str">
        <f aca="false">TRIM(SUBSTITUTE($A415,CHAR(160)," "))</f>
        <v>ST37 0</v>
      </c>
    </row>
    <row r="416" customFormat="false" ht="15" hidden="false" customHeight="true" outlineLevel="0" collapsed="false">
      <c r="A416" s="8" t="s">
        <v>788</v>
      </c>
      <c r="B416" s="8" t="n">
        <v>4420036</v>
      </c>
      <c r="C416" s="8" t="s">
        <v>1719</v>
      </c>
      <c r="D416" s="8" t="str">
        <f aca="false">TRIM(SUBSTITUTE($A416,CHAR(160)," "))</f>
        <v>301CM-41-45</v>
      </c>
    </row>
    <row r="417" customFormat="false" ht="15" hidden="false" customHeight="true" outlineLevel="0" collapsed="false">
      <c r="A417" s="8" t="s">
        <v>789</v>
      </c>
      <c r="B417" s="8" t="n">
        <v>4420035</v>
      </c>
      <c r="C417" s="8" t="s">
        <v>1718</v>
      </c>
      <c r="D417" s="8" t="str">
        <f aca="false">TRIM(SUBSTITUTE($A417,CHAR(160)," "))</f>
        <v>301CW-36-40</v>
      </c>
    </row>
    <row r="418" customFormat="false" ht="15" hidden="false" customHeight="true" outlineLevel="0" collapsed="false">
      <c r="A418" s="8" t="s">
        <v>1054</v>
      </c>
      <c r="B418" s="8" t="n">
        <v>4420037</v>
      </c>
      <c r="C418" s="8" t="s">
        <v>1720</v>
      </c>
      <c r="D418" s="8" t="str">
        <f aca="false">TRIM(SUBSTITUTE($A418,CHAR(160)," "))</f>
        <v>301JW-36-40</v>
      </c>
    </row>
    <row r="419" customFormat="false" ht="15" hidden="false" customHeight="true" outlineLevel="0" collapsed="false">
      <c r="A419" s="8" t="s">
        <v>642</v>
      </c>
      <c r="B419" s="8" t="n">
        <v>4420000</v>
      </c>
      <c r="C419" s="8" t="s">
        <v>1694</v>
      </c>
      <c r="D419" s="8" t="str">
        <f aca="false">TRIM(SUBSTITUTE($A419,CHAR(160)," "))</f>
        <v>370 0</v>
      </c>
    </row>
    <row r="420" customFormat="false" ht="15" hidden="false" customHeight="true" outlineLevel="0" collapsed="false">
      <c r="A420" s="8" t="s">
        <v>643</v>
      </c>
      <c r="B420" s="8" t="n">
        <v>4420027</v>
      </c>
      <c r="C420" s="8" t="s">
        <v>1712</v>
      </c>
      <c r="D420" s="8" t="str">
        <f aca="false">TRIM(SUBSTITUTE($A420,CHAR(160)," "))</f>
        <v>370K 0</v>
      </c>
    </row>
    <row r="421" customFormat="false" ht="15" hidden="false" customHeight="true" outlineLevel="0" collapsed="false">
      <c r="A421" s="8" t="s">
        <v>644</v>
      </c>
      <c r="B421" s="8" t="n">
        <v>4420001</v>
      </c>
      <c r="C421" s="8" t="s">
        <v>1695</v>
      </c>
      <c r="D421" s="8" t="str">
        <f aca="false">TRIM(SUBSTITUTE($A421,CHAR(160)," "))</f>
        <v>371 0</v>
      </c>
    </row>
    <row r="422" customFormat="false" ht="15" hidden="false" customHeight="true" outlineLevel="0" collapsed="false">
      <c r="A422" s="8" t="s">
        <v>645</v>
      </c>
      <c r="B422" s="8" t="n">
        <v>4420002</v>
      </c>
      <c r="C422" s="8" t="s">
        <v>1696</v>
      </c>
      <c r="D422" s="8" t="str">
        <f aca="false">TRIM(SUBSTITUTE($A422,CHAR(160)," "))</f>
        <v>372 0</v>
      </c>
    </row>
    <row r="423" customFormat="false" ht="15" hidden="false" customHeight="true" outlineLevel="0" collapsed="false">
      <c r="A423" s="8" t="s">
        <v>646</v>
      </c>
      <c r="B423" s="8" t="n">
        <v>4420003</v>
      </c>
      <c r="C423" s="8" t="s">
        <v>1697</v>
      </c>
      <c r="D423" s="8" t="str">
        <f aca="false">TRIM(SUBSTITUTE($A423,CHAR(160)," "))</f>
        <v>374 0</v>
      </c>
    </row>
    <row r="424" customFormat="false" ht="15" hidden="false" customHeight="true" outlineLevel="0" collapsed="false">
      <c r="A424" s="8" t="s">
        <v>1853</v>
      </c>
      <c r="B424" s="8" t="n">
        <v>4420004</v>
      </c>
      <c r="C424" s="8" t="s">
        <v>1698</v>
      </c>
      <c r="D424" s="8" t="str">
        <f aca="false">TRIM(SUBSTITUTE($A424,CHAR(160)," "))</f>
        <v>377-35</v>
      </c>
    </row>
    <row r="425" customFormat="false" ht="15" hidden="false" customHeight="true" outlineLevel="0" collapsed="false">
      <c r="A425" s="8" t="s">
        <v>647</v>
      </c>
      <c r="B425" s="8" t="n">
        <v>4420032</v>
      </c>
      <c r="C425" s="8" t="s">
        <v>1716</v>
      </c>
      <c r="D425" s="8" t="str">
        <f aca="false">TRIM(SUBSTITUTE($A425,CHAR(160)," "))</f>
        <v>376-46-47</v>
      </c>
    </row>
    <row r="426" customFormat="false" ht="15" hidden="false" customHeight="true" outlineLevel="0" collapsed="false">
      <c r="A426" s="8" t="s">
        <v>809</v>
      </c>
      <c r="B426" s="8" t="n">
        <v>4413112</v>
      </c>
      <c r="C426" s="8" t="s">
        <v>1442</v>
      </c>
      <c r="D426" s="8" t="str">
        <f aca="false">TRIM(SUBSTITUTE($A426,CHAR(160)," "))</f>
        <v>49 L</v>
      </c>
    </row>
    <row r="427" customFormat="false" ht="15" hidden="false" customHeight="true" outlineLevel="0" collapsed="false">
      <c r="A427" s="8" t="s">
        <v>810</v>
      </c>
      <c r="B427" s="8" t="n">
        <v>4413113</v>
      </c>
      <c r="C427" s="8" t="s">
        <v>1443</v>
      </c>
      <c r="D427" s="8" t="str">
        <f aca="false">TRIM(SUBSTITUTE($A427,CHAR(160)," "))</f>
        <v>49 M</v>
      </c>
    </row>
    <row r="428" customFormat="false" ht="15" hidden="false" customHeight="true" outlineLevel="0" collapsed="false">
      <c r="A428" s="8" t="s">
        <v>811</v>
      </c>
      <c r="B428" s="8" t="n">
        <v>4413111</v>
      </c>
      <c r="C428" s="8" t="s">
        <v>1441</v>
      </c>
      <c r="D428" s="8" t="str">
        <f aca="false">TRIM(SUBSTITUTE($A428,CHAR(160)," "))</f>
        <v>49 S</v>
      </c>
    </row>
    <row r="429" customFormat="false" ht="15" hidden="false" customHeight="true" outlineLevel="0" collapsed="false">
      <c r="A429" s="8" t="s">
        <v>812</v>
      </c>
      <c r="B429" s="8" t="n">
        <v>4413114</v>
      </c>
      <c r="C429" s="8" t="s">
        <v>1444</v>
      </c>
      <c r="D429" s="8" t="str">
        <f aca="false">TRIM(SUBSTITUTE($A429,CHAR(160)," "))</f>
        <v>49 XL</v>
      </c>
    </row>
    <row r="430" customFormat="false" ht="15" hidden="false" customHeight="true" outlineLevel="0" collapsed="false">
      <c r="A430" s="8" t="s">
        <v>928</v>
      </c>
      <c r="B430" s="8" t="n">
        <v>4413115</v>
      </c>
      <c r="C430" s="8" t="s">
        <v>1445</v>
      </c>
      <c r="D430" s="8" t="str">
        <f aca="false">TRIM(SUBSTITUTE($A430,CHAR(160)," "))</f>
        <v>49 XXL</v>
      </c>
    </row>
    <row r="431" customFormat="false" ht="15" hidden="false" customHeight="true" outlineLevel="0" collapsed="false">
      <c r="A431" s="8" t="s">
        <v>906</v>
      </c>
      <c r="B431" s="8" t="n">
        <v>4413330</v>
      </c>
      <c r="C431" s="8" t="s">
        <v>1526</v>
      </c>
      <c r="D431" s="8" t="str">
        <f aca="false">TRIM(SUBSTITUTE($A431,CHAR(160)," "))</f>
        <v>AC49 0</v>
      </c>
    </row>
    <row r="432" customFormat="false" ht="15" hidden="false" customHeight="true" outlineLevel="0" collapsed="false">
      <c r="A432" s="8" t="s">
        <v>902</v>
      </c>
      <c r="B432" s="8" t="n">
        <v>4413533</v>
      </c>
      <c r="C432" s="8" t="s">
        <v>1762</v>
      </c>
      <c r="D432" s="8" t="str">
        <f aca="false">TRIM(SUBSTITUTE($A432,CHAR(160)," "))</f>
        <v>ST49 0</v>
      </c>
    </row>
    <row r="433" customFormat="false" ht="15" hidden="false" customHeight="true" outlineLevel="0" collapsed="false">
      <c r="A433" s="8" t="s">
        <v>849</v>
      </c>
      <c r="B433" s="8" t="n">
        <v>4413180</v>
      </c>
      <c r="C433" s="8" t="s">
        <v>1779</v>
      </c>
      <c r="D433" s="8" t="str">
        <f aca="false">TRIM(SUBSTITUTE($A433,CHAR(160)," "))</f>
        <v>T39 S</v>
      </c>
    </row>
    <row r="434" customFormat="false" ht="15" hidden="false" customHeight="true" outlineLevel="0" collapsed="false">
      <c r="A434" s="8" t="s">
        <v>725</v>
      </c>
      <c r="B434" s="8" t="n">
        <v>4408207</v>
      </c>
      <c r="C434" s="8" t="s">
        <v>1312</v>
      </c>
      <c r="D434" s="8" t="str">
        <f aca="false">TRIM(SUBSTITUTE($A434,CHAR(160)," "))</f>
        <v>AC25 0</v>
      </c>
    </row>
    <row r="435" customFormat="false" ht="15" hidden="false" customHeight="true" outlineLevel="0" collapsed="false">
      <c r="A435" s="8" t="s">
        <v>726</v>
      </c>
      <c r="B435" s="8" t="n">
        <v>4415026</v>
      </c>
      <c r="C435" s="8" t="s">
        <v>1634</v>
      </c>
      <c r="D435" s="8" t="str">
        <f aca="false">TRIM(SUBSTITUTE($A435,CHAR(160)," "))</f>
        <v>AC27L 0</v>
      </c>
    </row>
    <row r="436" customFormat="false" ht="15" hidden="false" customHeight="true" outlineLevel="0" collapsed="false">
      <c r="A436" s="8" t="s">
        <v>727</v>
      </c>
      <c r="B436" s="8" t="n">
        <v>4415027</v>
      </c>
      <c r="C436" s="8" t="s">
        <v>1635</v>
      </c>
      <c r="D436" s="8" t="str">
        <f aca="false">TRIM(SUBSTITUTE($A436,CHAR(160)," "))</f>
        <v>AC27R 0</v>
      </c>
    </row>
    <row r="437" customFormat="false" ht="15" hidden="false" customHeight="true" outlineLevel="0" collapsed="false">
      <c r="A437" s="8" t="s">
        <v>747</v>
      </c>
      <c r="B437" s="8" t="n">
        <v>4408249</v>
      </c>
      <c r="C437" s="8" t="s">
        <v>1333</v>
      </c>
      <c r="D437" s="8" t="str">
        <f aca="false">TRIM(SUBSTITUTE($A437,CHAR(160)," "))</f>
        <v>SC25 L</v>
      </c>
    </row>
    <row r="438" customFormat="false" ht="15" hidden="false" customHeight="true" outlineLevel="0" collapsed="false">
      <c r="A438" s="8" t="s">
        <v>748</v>
      </c>
      <c r="B438" s="8" t="n">
        <v>4408248</v>
      </c>
      <c r="C438" s="8" t="s">
        <v>1332</v>
      </c>
      <c r="D438" s="8" t="str">
        <f aca="false">TRIM(SUBSTITUTE($A438,CHAR(160)," "))</f>
        <v>SC25 M</v>
      </c>
    </row>
    <row r="439" customFormat="false" ht="15" hidden="false" customHeight="true" outlineLevel="0" collapsed="false">
      <c r="A439" s="8" t="s">
        <v>749</v>
      </c>
      <c r="B439" s="8" t="n">
        <v>4408247</v>
      </c>
      <c r="C439" s="8" t="s">
        <v>1331</v>
      </c>
      <c r="D439" s="8" t="str">
        <f aca="false">TRIM(SUBSTITUTE($A439,CHAR(160)," "))</f>
        <v>SC25 S</v>
      </c>
    </row>
    <row r="440" customFormat="false" ht="15" hidden="false" customHeight="true" outlineLevel="0" collapsed="false">
      <c r="A440" s="8" t="s">
        <v>750</v>
      </c>
      <c r="B440" s="8" t="n">
        <v>4408250</v>
      </c>
      <c r="C440" s="8" t="s">
        <v>1334</v>
      </c>
      <c r="D440" s="8" t="str">
        <f aca="false">TRIM(SUBSTITUTE($A440,CHAR(160)," "))</f>
        <v>SC25 XL</v>
      </c>
    </row>
    <row r="441" customFormat="false" ht="15" hidden="false" customHeight="true" outlineLevel="0" collapsed="false">
      <c r="A441" s="8" t="s">
        <v>751</v>
      </c>
      <c r="B441" s="8" t="n">
        <v>4413422</v>
      </c>
      <c r="C441" s="8" t="s">
        <v>1568</v>
      </c>
      <c r="D441" s="8" t="str">
        <f aca="false">TRIM(SUBSTITUTE($A441,CHAR(160)," "))</f>
        <v>SC35L L</v>
      </c>
    </row>
    <row r="442" customFormat="false" ht="15" hidden="false" customHeight="true" outlineLevel="0" collapsed="false">
      <c r="A442" s="8" t="s">
        <v>841</v>
      </c>
      <c r="B442" s="8" t="n">
        <v>4413421</v>
      </c>
      <c r="C442" s="8" t="s">
        <v>1567</v>
      </c>
      <c r="D442" s="8" t="str">
        <f aca="false">TRIM(SUBSTITUTE($A442,CHAR(160)," "))</f>
        <v>SC35L M</v>
      </c>
    </row>
    <row r="443" customFormat="false" ht="15" hidden="false" customHeight="true" outlineLevel="0" collapsed="false">
      <c r="A443" s="8" t="s">
        <v>992</v>
      </c>
      <c r="B443" s="8" t="n">
        <v>4413420</v>
      </c>
      <c r="C443" s="8" t="s">
        <v>1566</v>
      </c>
      <c r="D443" s="8" t="str">
        <f aca="false">TRIM(SUBSTITUTE($A443,CHAR(160)," "))</f>
        <v>SC35L S</v>
      </c>
    </row>
    <row r="444" customFormat="false" ht="15" hidden="false" customHeight="true" outlineLevel="0" collapsed="false">
      <c r="A444" s="8" t="s">
        <v>752</v>
      </c>
      <c r="B444" s="8" t="n">
        <v>4413423</v>
      </c>
      <c r="C444" s="8" t="s">
        <v>1569</v>
      </c>
      <c r="D444" s="8" t="str">
        <f aca="false">TRIM(SUBSTITUTE($A444,CHAR(160)," "))</f>
        <v>SC35L XL</v>
      </c>
    </row>
    <row r="445" customFormat="false" ht="15" hidden="false" customHeight="true" outlineLevel="0" collapsed="false">
      <c r="A445" s="8" t="s">
        <v>753</v>
      </c>
      <c r="B445" s="8" t="n">
        <v>4413426</v>
      </c>
      <c r="C445" s="8" t="s">
        <v>1572</v>
      </c>
      <c r="D445" s="8" t="str">
        <f aca="false">TRIM(SUBSTITUTE($A445,CHAR(160)," "))</f>
        <v>SC35R L</v>
      </c>
    </row>
    <row r="446" customFormat="false" ht="15" hidden="false" customHeight="true" outlineLevel="0" collapsed="false">
      <c r="A446" s="8" t="s">
        <v>754</v>
      </c>
      <c r="B446" s="8" t="n">
        <v>4413425</v>
      </c>
      <c r="C446" s="8" t="s">
        <v>1571</v>
      </c>
      <c r="D446" s="8" t="str">
        <f aca="false">TRIM(SUBSTITUTE($A446,CHAR(160)," "))</f>
        <v>SC35R M</v>
      </c>
    </row>
    <row r="447" customFormat="false" ht="15" hidden="false" customHeight="true" outlineLevel="0" collapsed="false">
      <c r="A447" s="8" t="s">
        <v>755</v>
      </c>
      <c r="B447" s="8" t="n">
        <v>4413424</v>
      </c>
      <c r="C447" s="8" t="s">
        <v>1570</v>
      </c>
      <c r="D447" s="8" t="str">
        <f aca="false">TRIM(SUBSTITUTE($A447,CHAR(160)," "))</f>
        <v>SC35R S</v>
      </c>
    </row>
    <row r="448" customFormat="false" ht="15" hidden="false" customHeight="true" outlineLevel="0" collapsed="false">
      <c r="A448" s="8" t="s">
        <v>993</v>
      </c>
      <c r="B448" s="8" t="n">
        <v>4413427</v>
      </c>
      <c r="C448" s="8" t="s">
        <v>1573</v>
      </c>
      <c r="D448" s="8" t="str">
        <f aca="false">TRIM(SUBSTITUTE($A448,CHAR(160)," "))</f>
        <v>SC35R XL</v>
      </c>
    </row>
    <row r="449" customFormat="false" ht="15" hidden="false" customHeight="true" outlineLevel="0" collapsed="false">
      <c r="A449" s="8" t="s">
        <v>842</v>
      </c>
      <c r="B449" s="8" t="n">
        <v>4413417</v>
      </c>
      <c r="C449" s="8" t="s">
        <v>1563</v>
      </c>
      <c r="D449" s="8" t="str">
        <f aca="false">TRIM(SUBSTITUTE($A449,CHAR(160)," "))</f>
        <v>SC39 L</v>
      </c>
    </row>
    <row r="450" customFormat="false" ht="15" hidden="false" customHeight="true" outlineLevel="0" collapsed="false">
      <c r="A450" s="8" t="s">
        <v>756</v>
      </c>
      <c r="B450" s="8" t="n">
        <v>4413416</v>
      </c>
      <c r="C450" s="8" t="s">
        <v>1562</v>
      </c>
      <c r="D450" s="8" t="str">
        <f aca="false">TRIM(SUBSTITUTE($A450,CHAR(160)," "))</f>
        <v>SC39 M</v>
      </c>
    </row>
    <row r="451" customFormat="false" ht="15" hidden="false" customHeight="true" outlineLevel="0" collapsed="false">
      <c r="A451" s="8" t="s">
        <v>843</v>
      </c>
      <c r="B451" s="8" t="n">
        <v>4413415</v>
      </c>
      <c r="C451" s="8" t="s">
        <v>1561</v>
      </c>
      <c r="D451" s="8" t="str">
        <f aca="false">TRIM(SUBSTITUTE($A451,CHAR(160)," "))</f>
        <v>SC39 S</v>
      </c>
    </row>
    <row r="452" customFormat="false" ht="15" hidden="false" customHeight="true" outlineLevel="0" collapsed="false">
      <c r="A452" s="8" t="s">
        <v>931</v>
      </c>
      <c r="B452" s="8" t="n">
        <v>4413418</v>
      </c>
      <c r="C452" s="8" t="s">
        <v>1564</v>
      </c>
      <c r="D452" s="8" t="str">
        <f aca="false">TRIM(SUBSTITUTE($A452,CHAR(160)," "))</f>
        <v>SC39 XL</v>
      </c>
    </row>
    <row r="453" customFormat="false" ht="15" hidden="false" customHeight="true" outlineLevel="0" collapsed="false">
      <c r="A453" s="8" t="s">
        <v>932</v>
      </c>
      <c r="B453" s="8" t="n">
        <v>4413419</v>
      </c>
      <c r="C453" s="8" t="s">
        <v>1565</v>
      </c>
      <c r="D453" s="8" t="str">
        <f aca="false">TRIM(SUBSTITUTE($A453,CHAR(160)," "))</f>
        <v>SC39 XXL</v>
      </c>
    </row>
    <row r="454" customFormat="false" ht="15" hidden="false" customHeight="true" outlineLevel="0" collapsed="false">
      <c r="A454" s="8" t="s">
        <v>844</v>
      </c>
      <c r="B454" s="8" t="n">
        <v>4413440</v>
      </c>
      <c r="C454" s="8" t="s">
        <v>1576</v>
      </c>
      <c r="D454" s="8" t="str">
        <f aca="false">TRIM(SUBSTITUTE($A454,CHAR(160)," "))</f>
        <v>SC422 L</v>
      </c>
    </row>
    <row r="455" customFormat="false" ht="15" hidden="false" customHeight="true" outlineLevel="0" collapsed="false">
      <c r="A455" s="8" t="s">
        <v>757</v>
      </c>
      <c r="B455" s="8" t="n">
        <v>4413439</v>
      </c>
      <c r="C455" s="8" t="s">
        <v>1575</v>
      </c>
      <c r="D455" s="8" t="str">
        <f aca="false">TRIM(SUBSTITUTE($A455,CHAR(160)," "))</f>
        <v>SC422 M</v>
      </c>
    </row>
    <row r="456" customFormat="false" ht="15" hidden="false" customHeight="true" outlineLevel="0" collapsed="false">
      <c r="A456" s="8" t="s">
        <v>846</v>
      </c>
      <c r="B456" s="8" t="n">
        <v>4413441</v>
      </c>
      <c r="C456" s="8" t="s">
        <v>1577</v>
      </c>
      <c r="D456" s="8" t="str">
        <f aca="false">TRIM(SUBSTITUTE($A456,CHAR(160)," "))</f>
        <v>SC422 XL</v>
      </c>
    </row>
    <row r="457" customFormat="false" ht="15" hidden="false" customHeight="true" outlineLevel="0" collapsed="false">
      <c r="A457" s="8" t="s">
        <v>759</v>
      </c>
      <c r="B457" s="8" t="n">
        <v>4413407</v>
      </c>
      <c r="C457" s="8" t="s">
        <v>1559</v>
      </c>
      <c r="D457" s="8" t="str">
        <f aca="false">TRIM(SUBSTITUTE($A457,CHAR(160)," "))</f>
        <v>SC95 L</v>
      </c>
    </row>
    <row r="458" customFormat="false" ht="15" hidden="false" customHeight="true" outlineLevel="0" collapsed="false">
      <c r="A458" s="8" t="s">
        <v>760</v>
      </c>
      <c r="B458" s="8" t="n">
        <v>4413406</v>
      </c>
      <c r="C458" s="8" t="s">
        <v>1558</v>
      </c>
      <c r="D458" s="8" t="str">
        <f aca="false">TRIM(SUBSTITUTE($A458,CHAR(160)," "))</f>
        <v>SC95 M</v>
      </c>
    </row>
    <row r="459" customFormat="false" ht="15" hidden="false" customHeight="true" outlineLevel="0" collapsed="false">
      <c r="A459" s="8" t="s">
        <v>847</v>
      </c>
      <c r="B459" s="8" t="n">
        <v>4413408</v>
      </c>
      <c r="C459" s="8" t="s">
        <v>1560</v>
      </c>
      <c r="D459" s="8" t="str">
        <f aca="false">TRIM(SUBSTITUTE($A459,CHAR(160)," "))</f>
        <v>SC95 XL</v>
      </c>
    </row>
    <row r="460" customFormat="false" ht="15" hidden="false" customHeight="true" outlineLevel="0" collapsed="false">
      <c r="A460" s="8" t="s">
        <v>1854</v>
      </c>
      <c r="B460" s="8" t="n">
        <v>4420034</v>
      </c>
      <c r="C460" s="8" t="s">
        <v>1717</v>
      </c>
      <c r="D460" s="8" t="str">
        <f aca="false">TRIM(SUBSTITUTE($A460,CHAR(160)," "))</f>
        <v>381 0</v>
      </c>
    </row>
    <row r="461" customFormat="false" ht="15" hidden="false" customHeight="true" outlineLevel="0" collapsed="false">
      <c r="A461" s="8" t="s">
        <v>651</v>
      </c>
      <c r="B461" s="8" t="n">
        <v>4415299</v>
      </c>
      <c r="C461" s="8" t="s">
        <v>1670</v>
      </c>
      <c r="D461" s="8" t="str">
        <f aca="false">TRIM(SUBSTITUTE($A461,CHAR(160)," "))</f>
        <v>388BR 0</v>
      </c>
    </row>
    <row r="462" customFormat="false" ht="15" hidden="false" customHeight="true" outlineLevel="0" collapsed="false">
      <c r="A462" s="8" t="s">
        <v>650</v>
      </c>
      <c r="B462" s="8" t="n">
        <v>4415298</v>
      </c>
      <c r="C462" s="8" t="s">
        <v>1669</v>
      </c>
      <c r="D462" s="8" t="str">
        <f aca="false">TRIM(SUBSTITUTE($A462,CHAR(160)," "))</f>
        <v>388BL 0</v>
      </c>
    </row>
    <row r="463" customFormat="false" ht="15" hidden="false" customHeight="true" outlineLevel="0" collapsed="false">
      <c r="A463" s="8" t="s">
        <v>696</v>
      </c>
      <c r="B463" s="8" t="n">
        <v>4422000</v>
      </c>
      <c r="C463" s="8" t="s">
        <v>1729</v>
      </c>
      <c r="D463" s="8" t="str">
        <f aca="false">TRIM(SUBSTITUTE($A463,CHAR(160)," "))</f>
        <v>801 0</v>
      </c>
    </row>
    <row r="464" customFormat="false" ht="15" hidden="false" customHeight="true" outlineLevel="0" collapsed="false">
      <c r="A464" s="8" t="s">
        <v>824</v>
      </c>
      <c r="B464" s="8" t="n">
        <v>4422023</v>
      </c>
      <c r="C464" s="8" t="s">
        <v>1736</v>
      </c>
      <c r="D464" s="8" t="str">
        <f aca="false">TRIM(SUBSTITUTE($A464,CHAR(160)," "))</f>
        <v>806CB-C</v>
      </c>
    </row>
    <row r="465" customFormat="false" ht="15" hidden="false" customHeight="true" outlineLevel="0" collapsed="false">
      <c r="A465" s="8" t="s">
        <v>823</v>
      </c>
      <c r="B465" s="8" t="n">
        <v>4422024</v>
      </c>
      <c r="C465" s="8" t="s">
        <v>1737</v>
      </c>
      <c r="D465" s="8" t="str">
        <f aca="false">TRIM(SUBSTITUTE($A465,CHAR(160)," "))</f>
        <v>806CB-B</v>
      </c>
    </row>
    <row r="466" customFormat="false" ht="15" hidden="false" customHeight="true" outlineLevel="0" collapsed="false">
      <c r="A466" s="8" t="s">
        <v>825</v>
      </c>
      <c r="B466" s="8" t="n">
        <v>4422025</v>
      </c>
      <c r="C466" s="8" t="s">
        <v>1738</v>
      </c>
      <c r="D466" s="8" t="str">
        <f aca="false">TRIM(SUBSTITUTE($A466,CHAR(160)," "))</f>
        <v>806CB-GR</v>
      </c>
    </row>
    <row r="467" customFormat="false" ht="15" hidden="false" customHeight="true" outlineLevel="0" collapsed="false">
      <c r="A467" s="8" t="s">
        <v>826</v>
      </c>
      <c r="B467" s="8" t="n">
        <v>4422026</v>
      </c>
      <c r="C467" s="8" t="s">
        <v>1739</v>
      </c>
      <c r="D467" s="8" t="str">
        <f aca="false">TRIM(SUBSTITUTE($A467,CHAR(160)," "))</f>
        <v>806CB-P</v>
      </c>
    </row>
    <row r="468" customFormat="false" ht="15" hidden="false" customHeight="true" outlineLevel="0" collapsed="false">
      <c r="A468" s="8" t="s">
        <v>702</v>
      </c>
      <c r="B468" s="8" t="n">
        <v>4422032</v>
      </c>
      <c r="C468" s="8" t="s">
        <v>1855</v>
      </c>
      <c r="D468" s="8" t="str">
        <f aca="false">TRIM(SUBSTITUTE($A468,CHAR(160)," "))</f>
        <v>807CB-B</v>
      </c>
    </row>
    <row r="469" customFormat="false" ht="15" hidden="false" customHeight="true" outlineLevel="0" collapsed="false">
      <c r="A469" s="8" t="s">
        <v>703</v>
      </c>
      <c r="B469" s="8" t="n">
        <v>4422033</v>
      </c>
      <c r="C469" s="8" t="s">
        <v>1856</v>
      </c>
      <c r="D469" s="8" t="str">
        <f aca="false">TRIM(SUBSTITUTE($A469,CHAR(160)," "))</f>
        <v>807CB-BL</v>
      </c>
    </row>
    <row r="470" customFormat="false" ht="15" hidden="false" customHeight="true" outlineLevel="0" collapsed="false">
      <c r="A470" s="8" t="s">
        <v>704</v>
      </c>
      <c r="B470" s="8" t="n">
        <v>4422031</v>
      </c>
      <c r="C470" s="8" t="s">
        <v>1857</v>
      </c>
      <c r="D470" s="8" t="str">
        <f aca="false">TRIM(SUBSTITUTE($A470,CHAR(160)," "))</f>
        <v>807CB-C</v>
      </c>
    </row>
    <row r="471" customFormat="false" ht="15" hidden="false" customHeight="true" outlineLevel="0" collapsed="false">
      <c r="A471" s="8" t="s">
        <v>885</v>
      </c>
      <c r="B471" s="8" t="n">
        <v>4422034</v>
      </c>
      <c r="C471" s="8" t="s">
        <v>1743</v>
      </c>
      <c r="D471" s="8" t="str">
        <f aca="false">TRIM(SUBSTITUTE($A471,CHAR(160)," "))</f>
        <v>807CB-P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42"/>
  </cols>
  <sheetData>
    <row r="1" customFormat="false" ht="15" hidden="false" customHeight="true" outlineLevel="0" collapsed="false">
      <c r="A1" s="13" t="s">
        <v>1858</v>
      </c>
    </row>
    <row r="2" customFormat="false" ht="15" hidden="false" customHeight="true" outlineLevel="0" collapsed="false">
      <c r="A2" s="3" t="s">
        <v>1</v>
      </c>
      <c r="B2" s="4" t="n">
        <v>46290</v>
      </c>
    </row>
    <row r="3" customFormat="false" ht="21.75" hidden="false" customHeight="true" outlineLevel="0" collapsed="false">
      <c r="A3" s="21" t="s">
        <v>1859</v>
      </c>
      <c r="B3" s="21"/>
      <c r="C3" s="21"/>
    </row>
    <row r="5" customFormat="false" ht="15" hidden="false" customHeight="true" outlineLevel="0" collapsed="false">
      <c r="A5" s="7" t="s">
        <v>32</v>
      </c>
      <c r="B5" s="7" t="s">
        <v>1860</v>
      </c>
      <c r="C5" s="7" t="s">
        <v>1861</v>
      </c>
    </row>
    <row r="6" customFormat="false" ht="15" hidden="false" customHeight="true" outlineLevel="0" collapsed="false">
      <c r="A6" s="8" t="n">
        <v>4402014</v>
      </c>
      <c r="B6" s="8" t="s">
        <v>1862</v>
      </c>
      <c r="C6" s="8" t="str">
        <f aca="false">TRIM(SUBSTITUTE($B6,CHAR(160)," "))</f>
        <v>BE CARE תחבושת אלסטית 10ס""מ</v>
      </c>
    </row>
    <row r="7" customFormat="false" ht="15" hidden="false" customHeight="true" outlineLevel="0" collapsed="false">
      <c r="A7" s="8" t="n">
        <v>4402012</v>
      </c>
      <c r="B7" s="8" t="s">
        <v>1765</v>
      </c>
      <c r="C7" s="8" t="str">
        <f aca="false">TRIM(SUBSTITUTE($B7,CHAR(160)," "))</f>
        <v>BE CARE תחבושת אלסטית 5 ס""מ</v>
      </c>
    </row>
    <row r="8" customFormat="false" ht="15" hidden="false" customHeight="true" outlineLevel="0" collapsed="false">
      <c r="A8" s="8" t="n">
        <v>4402013</v>
      </c>
      <c r="B8" s="8" t="s">
        <v>1863</v>
      </c>
      <c r="C8" s="8" t="str">
        <f aca="false">TRIM(SUBSTITUTE($B8,CHAR(160)," "))</f>
        <v>BE CARE תחבושת אלסטית 7.5סמ</v>
      </c>
    </row>
    <row r="9" customFormat="false" ht="15" hidden="false" customHeight="true" outlineLevel="0" collapsed="false">
      <c r="A9" s="8" t="n">
        <v>4402015</v>
      </c>
      <c r="B9" s="8" t="s">
        <v>1864</v>
      </c>
      <c r="C9" s="8" t="str">
        <f aca="false">TRIM(SUBSTITUTE($B9,CHAR(160)," "))</f>
        <v>BE CARE CB BEIGE</v>
      </c>
    </row>
    <row r="10" customFormat="false" ht="15" hidden="false" customHeight="true" outlineLevel="0" collapsed="false">
      <c r="A10" s="8" t="n">
        <v>4402016</v>
      </c>
      <c r="B10" s="8" t="s">
        <v>1865</v>
      </c>
      <c r="C10" s="8" t="str">
        <f aca="false">TRIM(SUBSTITUTE($B10,CHAR(160)," "))</f>
        <v>BE CARE CB BLACK</v>
      </c>
    </row>
    <row r="11" customFormat="false" ht="15" hidden="false" customHeight="true" outlineLevel="0" collapsed="false">
      <c r="A11" s="8" t="n">
        <v>4402017</v>
      </c>
      <c r="B11" s="8" t="s">
        <v>1866</v>
      </c>
      <c r="C11" s="8" t="str">
        <f aca="false">TRIM(SUBSTITUTE($B11,CHAR(160)," "))</f>
        <v>BE CARE CB GREEN</v>
      </c>
    </row>
    <row r="12" customFormat="false" ht="15" hidden="false" customHeight="true" outlineLevel="0" collapsed="false">
      <c r="A12" s="8" t="n">
        <v>4402018</v>
      </c>
      <c r="B12" s="8" t="s">
        <v>1867</v>
      </c>
      <c r="C12" s="8" t="str">
        <f aca="false">TRIM(SUBSTITUTE($B12,CHAR(160)," "))</f>
        <v>BE CARE CB PINK</v>
      </c>
    </row>
    <row r="13" customFormat="false" ht="15" hidden="false" customHeight="true" outlineLevel="0" collapsed="false">
      <c r="A13" s="8" t="n">
        <v>4402019</v>
      </c>
      <c r="B13" s="8" t="s">
        <v>1868</v>
      </c>
      <c r="C13" s="8" t="str">
        <f aca="false">TRIM(SUBSTITUTE($B13,CHAR(160)," "))</f>
        <v>BE CARE KT BEIGE</v>
      </c>
    </row>
    <row r="14" customFormat="false" ht="15" hidden="false" customHeight="true" outlineLevel="0" collapsed="false">
      <c r="A14" s="8" t="n">
        <v>4402020</v>
      </c>
      <c r="B14" s="8" t="s">
        <v>1766</v>
      </c>
      <c r="C14" s="8" t="str">
        <f aca="false">TRIM(SUBSTITUTE($B14,CHAR(160)," "))</f>
        <v>BE CARE KT BLACK</v>
      </c>
    </row>
    <row r="15" customFormat="false" ht="15" hidden="false" customHeight="true" outlineLevel="0" collapsed="false">
      <c r="A15" s="8" t="n">
        <v>4402021</v>
      </c>
      <c r="B15" s="8" t="s">
        <v>1767</v>
      </c>
      <c r="C15" s="8" t="str">
        <f aca="false">TRIM(SUBSTITUTE($B15,CHAR(160)," "))</f>
        <v>BE CARE KT BLUE</v>
      </c>
    </row>
    <row r="16" customFormat="false" ht="15" hidden="false" customHeight="true" outlineLevel="0" collapsed="false">
      <c r="A16" s="8" t="n">
        <v>4402022</v>
      </c>
      <c r="B16" s="8" t="s">
        <v>1869</v>
      </c>
      <c r="C16" s="8" t="str">
        <f aca="false">TRIM(SUBSTITUTE($B16,CHAR(160)," "))</f>
        <v>BE CARE KT PINK</v>
      </c>
    </row>
    <row r="17" customFormat="false" ht="15" hidden="false" customHeight="true" outlineLevel="0" collapsed="false">
      <c r="A17" s="8" t="n">
        <v>4420016</v>
      </c>
      <c r="B17" s="8" t="s">
        <v>1705</v>
      </c>
      <c r="C17" s="8" t="str">
        <f aca="false">TRIM(SUBSTITUTE($B17,CHAR(160)," "))</f>
        <v>40-רצועת פיקה לברך</v>
      </c>
    </row>
    <row r="18" customFormat="false" ht="15" hidden="false" customHeight="true" outlineLevel="0" collapsed="false">
      <c r="A18" s="8" t="n">
        <v>4420017</v>
      </c>
      <c r="B18" s="8" t="s">
        <v>106</v>
      </c>
      <c r="C18" s="8" t="str">
        <f aca="false">TRIM(SUBSTITUTE($B18,CHAR(160)," "))</f>
        <v>4022 רצועת ""פיקה""+כרית</v>
      </c>
    </row>
    <row r="19" customFormat="false" ht="15" hidden="false" customHeight="true" outlineLevel="0" collapsed="false">
      <c r="A19" s="8" t="n">
        <v>4413074</v>
      </c>
      <c r="B19" s="8" t="s">
        <v>1413</v>
      </c>
      <c r="C19" s="8" t="str">
        <f aca="false">TRIM(SUBSTITUTE($B19,CHAR(160)," "))</f>
        <v>41 XL.מ.ברך מוצלב+ספירלות בצד</v>
      </c>
    </row>
    <row r="20" customFormat="false" ht="15" hidden="false" customHeight="true" outlineLevel="0" collapsed="false">
      <c r="A20" s="8" t="n">
        <v>4413072</v>
      </c>
      <c r="B20" s="8" t="s">
        <v>1411</v>
      </c>
      <c r="C20" s="8" t="str">
        <f aca="false">TRIM(SUBSTITUTE($B20,CHAR(160)," "))</f>
        <v>41 Lמ.ברך מוצלב+ספירלות בצדדים</v>
      </c>
    </row>
    <row r="21" customFormat="false" ht="15" hidden="false" customHeight="true" outlineLevel="0" collapsed="false">
      <c r="A21" s="8" t="n">
        <v>4413073</v>
      </c>
      <c r="B21" s="8" t="s">
        <v>1412</v>
      </c>
      <c r="C21" s="8" t="str">
        <f aca="false">TRIM(SUBSTITUTE($B21,CHAR(160)," "))</f>
        <v>41 Mמ.ברך מוצלב+ספירלות בצדדים</v>
      </c>
    </row>
    <row r="22" customFormat="false" ht="15" hidden="false" customHeight="true" outlineLevel="0" collapsed="false">
      <c r="A22" s="8" t="n">
        <v>4413071</v>
      </c>
      <c r="B22" s="8" t="s">
        <v>1410</v>
      </c>
      <c r="C22" s="8" t="str">
        <f aca="false">TRIM(SUBSTITUTE($B22,CHAR(160)," "))</f>
        <v>41 Sמ.ברך מוצלב+ספירלות בצדדים</v>
      </c>
    </row>
    <row r="23" customFormat="false" ht="15" hidden="false" customHeight="true" outlineLevel="0" collapsed="false">
      <c r="A23" s="8" t="n">
        <v>4413275</v>
      </c>
      <c r="B23" s="8" t="s">
        <v>1870</v>
      </c>
      <c r="C23" s="8" t="str">
        <f aca="false">TRIM(SUBSTITUTE($B23,CHAR(160)," "))</f>
        <v>41 XS מ.ברך מוצלב+מוטות</v>
      </c>
    </row>
    <row r="24" customFormat="false" ht="15" hidden="false" customHeight="true" outlineLevel="0" collapsed="false">
      <c r="A24" s="8" t="n">
        <v>4413075</v>
      </c>
      <c r="B24" s="8" t="s">
        <v>1871</v>
      </c>
      <c r="C24" s="8" t="str">
        <f aca="false">TRIM(SUBSTITUTE($B24,CHAR(160)," "))</f>
        <v>41 XXL.מ.ברך מוצלב+ספירלות בצד</v>
      </c>
    </row>
    <row r="25" customFormat="false" ht="15" hidden="false" customHeight="true" outlineLevel="0" collapsed="false">
      <c r="A25" s="8" t="n">
        <v>4413076</v>
      </c>
      <c r="B25" s="8" t="s">
        <v>1414</v>
      </c>
      <c r="C25" s="8" t="str">
        <f aca="false">TRIM(SUBSTITUTE($B25,CHAR(160)," "))</f>
        <v>41X L מגן ברך מוצלב+מוט</v>
      </c>
    </row>
    <row r="26" customFormat="false" ht="15" hidden="false" customHeight="true" outlineLevel="0" collapsed="false">
      <c r="A26" s="8" t="n">
        <v>4413077</v>
      </c>
      <c r="B26" s="8" t="s">
        <v>1415</v>
      </c>
      <c r="C26" s="8" t="str">
        <f aca="false">TRIM(SUBSTITUTE($B26,CHAR(160)," "))</f>
        <v>41X M מגן ברך מוצלב+מוט</v>
      </c>
    </row>
    <row r="27" customFormat="false" ht="15" hidden="false" customHeight="true" outlineLevel="0" collapsed="false">
      <c r="A27" s="8" t="n">
        <v>4413078</v>
      </c>
      <c r="B27" s="8" t="s">
        <v>1778</v>
      </c>
      <c r="C27" s="8" t="str">
        <f aca="false">TRIM(SUBSTITUTE($B27,CHAR(160)," "))</f>
        <v>41X S מגן ברך מוצלב+מוט</v>
      </c>
    </row>
    <row r="28" customFormat="false" ht="15" hidden="false" customHeight="true" outlineLevel="0" collapsed="false">
      <c r="A28" s="8" t="n">
        <v>4413079</v>
      </c>
      <c r="B28" s="8" t="s">
        <v>1416</v>
      </c>
      <c r="C28" s="8" t="str">
        <f aca="false">TRIM(SUBSTITUTE($B28,CHAR(160)," "))</f>
        <v>41X XL מגן ברך מוצלב+מוט</v>
      </c>
    </row>
    <row r="29" customFormat="false" ht="15" hidden="false" customHeight="true" outlineLevel="0" collapsed="false">
      <c r="A29" s="8" t="n">
        <v>4413080</v>
      </c>
      <c r="B29" s="8" t="s">
        <v>1872</v>
      </c>
      <c r="C29" s="8" t="str">
        <f aca="false">TRIM(SUBSTITUTE($B29,CHAR(160)," "))</f>
        <v>41X XS מגן ברך מוצלב+מוט</v>
      </c>
    </row>
    <row r="30" customFormat="false" ht="15" hidden="false" customHeight="true" outlineLevel="0" collapsed="false">
      <c r="A30" s="8" t="n">
        <v>4413081</v>
      </c>
      <c r="B30" s="8" t="s">
        <v>1873</v>
      </c>
      <c r="C30" s="8" t="str">
        <f aca="false">TRIM(SUBSTITUTE($B30,CHAR(160)," "))</f>
        <v>41X XXL מגן ברך מוצלב+מוט</v>
      </c>
    </row>
    <row r="31" customFormat="false" ht="15" hidden="false" customHeight="true" outlineLevel="0" collapsed="false">
      <c r="A31" s="8" t="n">
        <v>4413087</v>
      </c>
      <c r="B31" s="8" t="s">
        <v>1417</v>
      </c>
      <c r="C31" s="8" t="str">
        <f aca="false">TRIM(SUBSTITUTE($B31,CHAR(160)," "))</f>
        <v>422 Lמ.ברך+כרית סיל.סביב לפיקה</v>
      </c>
    </row>
    <row r="32" customFormat="false" ht="15" hidden="false" customHeight="true" outlineLevel="0" collapsed="false">
      <c r="A32" s="8" t="n">
        <v>4413088</v>
      </c>
      <c r="B32" s="8" t="s">
        <v>1418</v>
      </c>
      <c r="C32" s="8" t="str">
        <f aca="false">TRIM(SUBSTITUTE($B32,CHAR(160)," "))</f>
        <v>422 Mמ.ברך+כרית סיל.סביב לפיקה</v>
      </c>
    </row>
    <row r="33" customFormat="false" ht="15" hidden="false" customHeight="true" outlineLevel="0" collapsed="false">
      <c r="A33" s="8" t="n">
        <v>4413089</v>
      </c>
      <c r="B33" s="8" t="s">
        <v>1419</v>
      </c>
      <c r="C33" s="8" t="str">
        <f aca="false">TRIM(SUBSTITUTE($B33,CHAR(160)," "))</f>
        <v>422 Sמ.ברך+כרית סיל.סביב לפיקה</v>
      </c>
    </row>
    <row r="34" customFormat="false" ht="15" hidden="false" customHeight="true" outlineLevel="0" collapsed="false">
      <c r="A34" s="8" t="n">
        <v>4413090</v>
      </c>
      <c r="B34" s="8" t="s">
        <v>1420</v>
      </c>
      <c r="C34" s="8" t="str">
        <f aca="false">TRIM(SUBSTITUTE($B34,CHAR(160)," "))</f>
        <v>422 XLמ.ברך+כרית סיל.סביב לפיק</v>
      </c>
    </row>
    <row r="35" customFormat="false" ht="15" hidden="false" customHeight="true" outlineLevel="0" collapsed="false">
      <c r="A35" s="8" t="n">
        <v>4413091</v>
      </c>
      <c r="B35" s="8" t="s">
        <v>1421</v>
      </c>
      <c r="C35" s="8" t="str">
        <f aca="false">TRIM(SUBSTITUTE($B35,CHAR(160)," "))</f>
        <v>422 XXLמ.ברך+כרית סיל.סב. פיקה</v>
      </c>
    </row>
    <row r="36" customFormat="false" ht="15" hidden="false" customHeight="true" outlineLevel="0" collapsed="false">
      <c r="A36" s="8" t="n">
        <v>4413083</v>
      </c>
      <c r="B36" s="8" t="s">
        <v>1874</v>
      </c>
      <c r="C36" s="8" t="str">
        <f aca="false">TRIM(SUBSTITUTE($B36,CHAR(160)," "))</f>
        <v>422+ L מ.ברך סיליק.רצועות לבן</v>
      </c>
    </row>
    <row r="37" customFormat="false" ht="15" hidden="false" customHeight="true" outlineLevel="0" collapsed="false">
      <c r="A37" s="8" t="n">
        <v>4413084</v>
      </c>
      <c r="B37" s="8" t="s">
        <v>1875</v>
      </c>
      <c r="C37" s="8" t="str">
        <f aca="false">TRIM(SUBSTITUTE($B37,CHAR(160)," "))</f>
        <v>422+ Mמ.ברך סיל.רצועות חזק לבן</v>
      </c>
    </row>
    <row r="38" customFormat="false" ht="15" hidden="false" customHeight="true" outlineLevel="0" collapsed="false">
      <c r="A38" s="8" t="n">
        <v>4413085</v>
      </c>
      <c r="B38" s="8" t="s">
        <v>1876</v>
      </c>
      <c r="C38" s="8" t="str">
        <f aca="false">TRIM(SUBSTITUTE($B38,CHAR(160)," "))</f>
        <v>422+ XLמ.ברך סיליק.לבן</v>
      </c>
    </row>
    <row r="39" customFormat="false" ht="15" hidden="false" customHeight="true" outlineLevel="0" collapsed="false">
      <c r="A39" s="8" t="n">
        <v>4413086</v>
      </c>
      <c r="B39" s="8" t="s">
        <v>1877</v>
      </c>
      <c r="C39" s="8" t="str">
        <f aca="false">TRIM(SUBSTITUTE($B39,CHAR(160)," "))</f>
        <v>422+ XXLמ.ברך סיל.רצוע.חזק לבן</v>
      </c>
    </row>
    <row r="40" customFormat="false" ht="15" hidden="false" customHeight="true" outlineLevel="0" collapsed="false">
      <c r="A40" s="8" t="n">
        <v>4413279</v>
      </c>
      <c r="B40" s="8" t="s">
        <v>1785</v>
      </c>
      <c r="C40" s="8" t="str">
        <f aca="false">TRIM(SUBSTITUTE($B40,CHAR(160)," "))</f>
        <v>422E L מגן ברך ארוך עם כרית</v>
      </c>
    </row>
    <row r="41" customFormat="false" ht="15" hidden="false" customHeight="true" outlineLevel="0" collapsed="false">
      <c r="A41" s="8" t="n">
        <v>4413280</v>
      </c>
      <c r="B41" s="8" t="s">
        <v>1878</v>
      </c>
      <c r="C41" s="8" t="str">
        <f aca="false">TRIM(SUBSTITUTE($B41,CHAR(160)," "))</f>
        <v>422E M מגן ברך ארוך עם כרית</v>
      </c>
    </row>
    <row r="42" customFormat="false" ht="15" hidden="false" customHeight="true" outlineLevel="0" collapsed="false">
      <c r="A42" s="8" t="n">
        <v>4413281</v>
      </c>
      <c r="B42" s="8" t="s">
        <v>1786</v>
      </c>
      <c r="C42" s="8" t="str">
        <f aca="false">TRIM(SUBSTITUTE($B42,CHAR(160)," "))</f>
        <v>422E S מגן ברך ארוך עם כרית</v>
      </c>
    </row>
    <row r="43" customFormat="false" ht="15" hidden="false" customHeight="true" outlineLevel="0" collapsed="false">
      <c r="A43" s="8" t="n">
        <v>4413282</v>
      </c>
      <c r="B43" s="8" t="s">
        <v>1516</v>
      </c>
      <c r="C43" s="8" t="str">
        <f aca="false">TRIM(SUBSTITUTE($B43,CHAR(160)," "))</f>
        <v>422E XL מגן ברך ארוך עם כרית</v>
      </c>
    </row>
    <row r="44" customFormat="false" ht="15" hidden="false" customHeight="true" outlineLevel="0" collapsed="false">
      <c r="A44" s="8" t="n">
        <v>4413283</v>
      </c>
      <c r="B44" s="8" t="s">
        <v>1517</v>
      </c>
      <c r="C44" s="8" t="str">
        <f aca="false">TRIM(SUBSTITUTE($B44,CHAR(160)," "))</f>
        <v>422E XXL מגן ברך ארוך עם כרית</v>
      </c>
    </row>
    <row r="45" customFormat="false" ht="15" hidden="false" customHeight="true" outlineLevel="0" collapsed="false">
      <c r="A45" s="8" t="n">
        <v>4413284</v>
      </c>
      <c r="B45" s="8" t="s">
        <v>1518</v>
      </c>
      <c r="C45" s="8" t="str">
        <f aca="false">TRIM(SUBSTITUTE($B45,CHAR(160)," "))</f>
        <v>422E XXXL מגן ברך ארוך עם כרית</v>
      </c>
    </row>
    <row r="46" customFormat="false" ht="15" hidden="false" customHeight="true" outlineLevel="0" collapsed="false">
      <c r="A46" s="8" t="n">
        <v>4413341</v>
      </c>
      <c r="B46" s="8" t="s">
        <v>1535</v>
      </c>
      <c r="C46" s="8" t="str">
        <f aca="false">TRIM(SUBSTITUTE($B46,CHAR(160)," "))</f>
        <v>422N L מ.ברך אפור+כרית סיליקון</v>
      </c>
    </row>
    <row r="47" customFormat="false" ht="15" hidden="false" customHeight="true" outlineLevel="0" collapsed="false">
      <c r="A47" s="8" t="n">
        <v>4413342</v>
      </c>
      <c r="B47" s="8" t="s">
        <v>1536</v>
      </c>
      <c r="C47" s="8" t="str">
        <f aca="false">TRIM(SUBSTITUTE($B47,CHAR(160)," "))</f>
        <v>422N M מ.ברך אפור+כרית סיליקון</v>
      </c>
    </row>
    <row r="48" customFormat="false" ht="15" hidden="false" customHeight="true" outlineLevel="0" collapsed="false">
      <c r="A48" s="8" t="n">
        <v>4413344</v>
      </c>
      <c r="B48" s="8" t="s">
        <v>1537</v>
      </c>
      <c r="C48" s="8" t="str">
        <f aca="false">TRIM(SUBSTITUTE($B48,CHAR(160)," "))</f>
        <v>422N XLמ.ברך אפור+כרית סיליקון</v>
      </c>
    </row>
    <row r="49" customFormat="false" ht="15" hidden="false" customHeight="true" outlineLevel="0" collapsed="false">
      <c r="A49" s="8" t="n">
        <v>4413345</v>
      </c>
      <c r="B49" s="8" t="s">
        <v>1538</v>
      </c>
      <c r="C49" s="8" t="str">
        <f aca="false">TRIM(SUBSTITUTE($B49,CHAR(160)," "))</f>
        <v>422N XXL.מ.ברך אפור+כרית סיליק</v>
      </c>
    </row>
    <row r="50" customFormat="false" ht="15" hidden="false" customHeight="true" outlineLevel="0" collapsed="false">
      <c r="A50" s="8" t="n">
        <v>4415104</v>
      </c>
      <c r="B50" s="8" t="s">
        <v>1879</v>
      </c>
      <c r="C50" s="8" t="str">
        <f aca="false">TRIM(SUBSTITUTE($B50,CHAR(160)," "))</f>
        <v>44G XL-Lסד ברך לאחר ניתוח</v>
      </c>
    </row>
    <row r="51" customFormat="false" ht="15" hidden="false" customHeight="true" outlineLevel="0" collapsed="false">
      <c r="A51" s="8" t="n">
        <v>4413332</v>
      </c>
      <c r="B51" s="8" t="s">
        <v>1528</v>
      </c>
      <c r="C51" s="8" t="str">
        <f aca="false">TRIM(SUBSTITUTE($B51,CHAR(160)," "))</f>
        <v>45 XS מגן ברך רגיל לבן</v>
      </c>
    </row>
    <row r="52" customFormat="false" ht="15" hidden="false" customHeight="true" outlineLevel="0" collapsed="false">
      <c r="A52" s="8" t="n">
        <v>4413092</v>
      </c>
      <c r="B52" s="8" t="s">
        <v>1422</v>
      </c>
      <c r="C52" s="8" t="str">
        <f aca="false">TRIM(SUBSTITUTE($B52,CHAR(160)," "))</f>
        <v>45 L מגן ברך לבן</v>
      </c>
    </row>
    <row r="53" customFormat="false" ht="15" hidden="false" customHeight="true" outlineLevel="0" collapsed="false">
      <c r="A53" s="8" t="n">
        <v>4413093</v>
      </c>
      <c r="B53" s="8" t="s">
        <v>1423</v>
      </c>
      <c r="C53" s="8" t="str">
        <f aca="false">TRIM(SUBSTITUTE($B53,CHAR(160)," "))</f>
        <v>45 M מגן ברך לבן</v>
      </c>
    </row>
    <row r="54" customFormat="false" ht="15" hidden="false" customHeight="true" outlineLevel="0" collapsed="false">
      <c r="A54" s="8" t="n">
        <v>4413094</v>
      </c>
      <c r="B54" s="8" t="s">
        <v>1424</v>
      </c>
      <c r="C54" s="8" t="str">
        <f aca="false">TRIM(SUBSTITUTE($B54,CHAR(160)," "))</f>
        <v>45 S מגן ברך לבן</v>
      </c>
    </row>
    <row r="55" customFormat="false" ht="15" hidden="false" customHeight="true" outlineLevel="0" collapsed="false">
      <c r="A55" s="8" t="n">
        <v>4413095</v>
      </c>
      <c r="B55" s="8" t="s">
        <v>1425</v>
      </c>
      <c r="C55" s="8" t="str">
        <f aca="false">TRIM(SUBSTITUTE($B55,CHAR(160)," "))</f>
        <v>45 XL מגן ברך לבן</v>
      </c>
    </row>
    <row r="56" customFormat="false" ht="15" hidden="false" customHeight="true" outlineLevel="0" collapsed="false">
      <c r="A56" s="8" t="n">
        <v>4413096</v>
      </c>
      <c r="B56" s="8" t="s">
        <v>1426</v>
      </c>
      <c r="C56" s="8" t="str">
        <f aca="false">TRIM(SUBSTITUTE($B56,CHAR(160)," "))</f>
        <v>45 XXL מגן ברך לבן</v>
      </c>
    </row>
    <row r="57" customFormat="false" ht="15" hidden="false" customHeight="true" outlineLevel="0" collapsed="false">
      <c r="A57" s="8" t="n">
        <v>4413495</v>
      </c>
      <c r="B57" s="8" t="s">
        <v>1595</v>
      </c>
      <c r="C57" s="8" t="str">
        <f aca="false">TRIM(SUBSTITUTE($B57,CHAR(160)," "))</f>
        <v>45B L מגן ברך שחור</v>
      </c>
    </row>
    <row r="58" customFormat="false" ht="15" hidden="false" customHeight="true" outlineLevel="0" collapsed="false">
      <c r="A58" s="8" t="n">
        <v>4413497</v>
      </c>
      <c r="B58" s="8" t="s">
        <v>1597</v>
      </c>
      <c r="C58" s="8" t="str">
        <f aca="false">TRIM(SUBSTITUTE($B58,CHAR(160)," "))</f>
        <v>45B M מגן ברך שחור</v>
      </c>
    </row>
    <row r="59" customFormat="false" ht="15" hidden="false" customHeight="true" outlineLevel="0" collapsed="false">
      <c r="A59" s="8" t="n">
        <v>4413498</v>
      </c>
      <c r="B59" s="8" t="s">
        <v>1598</v>
      </c>
      <c r="C59" s="8" t="str">
        <f aca="false">TRIM(SUBSTITUTE($B59,CHAR(160)," "))</f>
        <v>45B S מגן ברך שחור</v>
      </c>
    </row>
    <row r="60" customFormat="false" ht="15" hidden="false" customHeight="true" outlineLevel="0" collapsed="false">
      <c r="A60" s="8" t="n">
        <v>4413496</v>
      </c>
      <c r="B60" s="8" t="s">
        <v>1596</v>
      </c>
      <c r="C60" s="8" t="str">
        <f aca="false">TRIM(SUBSTITUTE($B60,CHAR(160)," "))</f>
        <v>45B XL מגן ברך שחור</v>
      </c>
    </row>
    <row r="61" customFormat="false" ht="15" hidden="false" customHeight="true" outlineLevel="0" collapsed="false">
      <c r="A61" s="8" t="n">
        <v>4413499</v>
      </c>
      <c r="B61" s="8" t="s">
        <v>1599</v>
      </c>
      <c r="C61" s="8" t="str">
        <f aca="false">TRIM(SUBSTITUTE($B61,CHAR(160)," "))</f>
        <v>45B XXLמגן ברך שחור</v>
      </c>
    </row>
    <row r="62" customFormat="false" ht="15" hidden="false" customHeight="true" outlineLevel="0" collapsed="false">
      <c r="A62" s="8" t="n">
        <v>4413098</v>
      </c>
      <c r="B62" s="8" t="s">
        <v>1428</v>
      </c>
      <c r="C62" s="8" t="str">
        <f aca="false">TRIM(SUBSTITUTE($B62,CHAR(160)," "))</f>
        <v>45C L מגן ברך חום</v>
      </c>
    </row>
    <row r="63" customFormat="false" ht="15" hidden="false" customHeight="true" outlineLevel="0" collapsed="false">
      <c r="A63" s="8" t="n">
        <v>4413099</v>
      </c>
      <c r="B63" s="8" t="s">
        <v>1429</v>
      </c>
      <c r="C63" s="8" t="str">
        <f aca="false">TRIM(SUBSTITUTE($B63,CHAR(160)," "))</f>
        <v>45C M מגן ברך חום</v>
      </c>
    </row>
    <row r="64" customFormat="false" ht="15" hidden="false" customHeight="true" outlineLevel="0" collapsed="false">
      <c r="A64" s="8" t="n">
        <v>4413097</v>
      </c>
      <c r="B64" s="8" t="s">
        <v>1427</v>
      </c>
      <c r="C64" s="8" t="str">
        <f aca="false">TRIM(SUBSTITUTE($B64,CHAR(160)," "))</f>
        <v>45C S מגן ברך חום</v>
      </c>
    </row>
    <row r="65" customFormat="false" ht="15" hidden="false" customHeight="true" outlineLevel="0" collapsed="false">
      <c r="A65" s="8" t="n">
        <v>4413100</v>
      </c>
      <c r="B65" s="8" t="s">
        <v>1430</v>
      </c>
      <c r="C65" s="8" t="str">
        <f aca="false">TRIM(SUBSTITUTE($B65,CHAR(160)," "))</f>
        <v>45C XL מגן ברך חום</v>
      </c>
    </row>
    <row r="66" customFormat="false" ht="15" hidden="false" customHeight="true" outlineLevel="0" collapsed="false">
      <c r="A66" s="8" t="n">
        <v>4413102</v>
      </c>
      <c r="B66" s="8" t="s">
        <v>1432</v>
      </c>
      <c r="C66" s="8" t="str">
        <f aca="false">TRIM(SUBSTITUTE($B66,CHAR(160)," "))</f>
        <v>45E L מגן ברך ארוך לבן</v>
      </c>
    </row>
    <row r="67" customFormat="false" ht="15" hidden="false" customHeight="true" outlineLevel="0" collapsed="false">
      <c r="A67" s="8" t="n">
        <v>4413103</v>
      </c>
      <c r="B67" s="8" t="s">
        <v>1433</v>
      </c>
      <c r="C67" s="8" t="str">
        <f aca="false">TRIM(SUBSTITUTE($B67,CHAR(160)," "))</f>
        <v>45E Mמגן ברך ארוך לבן</v>
      </c>
    </row>
    <row r="68" customFormat="false" ht="15" hidden="false" customHeight="true" outlineLevel="0" collapsed="false">
      <c r="A68" s="8" t="n">
        <v>4413101</v>
      </c>
      <c r="B68" s="8" t="s">
        <v>1431</v>
      </c>
      <c r="C68" s="8" t="str">
        <f aca="false">TRIM(SUBSTITUTE($B68,CHAR(160)," "))</f>
        <v>45E Sמגן ברך ארוך לבן</v>
      </c>
    </row>
    <row r="69" customFormat="false" ht="15" hidden="false" customHeight="true" outlineLevel="0" collapsed="false">
      <c r="A69" s="8" t="n">
        <v>4413104</v>
      </c>
      <c r="B69" s="8" t="s">
        <v>1434</v>
      </c>
      <c r="C69" s="8" t="str">
        <f aca="false">TRIM(SUBSTITUTE($B69,CHAR(160)," "))</f>
        <v>45E XLמגן ברך ארוך לבן</v>
      </c>
    </row>
    <row r="70" customFormat="false" ht="15" hidden="false" customHeight="true" outlineLevel="0" collapsed="false">
      <c r="A70" s="8" t="n">
        <v>4413105</v>
      </c>
      <c r="B70" s="8" t="s">
        <v>1435</v>
      </c>
      <c r="C70" s="8" t="str">
        <f aca="false">TRIM(SUBSTITUTE($B70,CHAR(160)," "))</f>
        <v>45E XXLמגן ברך ארוך לבן</v>
      </c>
    </row>
    <row r="71" customFormat="false" ht="15" hidden="false" customHeight="true" outlineLevel="0" collapsed="false">
      <c r="A71" s="8" t="n">
        <v>4413396</v>
      </c>
      <c r="B71" s="8" t="s">
        <v>1552</v>
      </c>
      <c r="C71" s="8" t="str">
        <f aca="false">TRIM(SUBSTITUTE($B71,CHAR(160)," "))</f>
        <v>45EC L 'מגן ברך ארוך בז</v>
      </c>
    </row>
    <row r="72" customFormat="false" ht="15" hidden="false" customHeight="true" outlineLevel="0" collapsed="false">
      <c r="A72" s="8" t="n">
        <v>4413395</v>
      </c>
      <c r="B72" s="8" t="s">
        <v>1551</v>
      </c>
      <c r="C72" s="8" t="str">
        <f aca="false">TRIM(SUBSTITUTE($B72,CHAR(160)," "))</f>
        <v>45EC M 'מגן ברך ארוך בז</v>
      </c>
    </row>
    <row r="73" customFormat="false" ht="15" hidden="false" customHeight="true" outlineLevel="0" collapsed="false">
      <c r="A73" s="8" t="n">
        <v>4413394</v>
      </c>
      <c r="B73" s="8" t="s">
        <v>1550</v>
      </c>
      <c r="C73" s="8" t="str">
        <f aca="false">TRIM(SUBSTITUTE($B73,CHAR(160)," "))</f>
        <v>45EC S 'מגן ברך ארוך בז</v>
      </c>
    </row>
    <row r="74" customFormat="false" ht="15" hidden="false" customHeight="true" outlineLevel="0" collapsed="false">
      <c r="A74" s="8" t="n">
        <v>4413397</v>
      </c>
      <c r="B74" s="8" t="s">
        <v>1553</v>
      </c>
      <c r="C74" s="8" t="str">
        <f aca="false">TRIM(SUBSTITUTE($B74,CHAR(160)," "))</f>
        <v>45EC XL'מגן ברך ארוך בז</v>
      </c>
    </row>
    <row r="75" customFormat="false" ht="15" hidden="false" customHeight="true" outlineLevel="0" collapsed="false">
      <c r="A75" s="8" t="n">
        <v>4413398</v>
      </c>
      <c r="B75" s="8" t="s">
        <v>1554</v>
      </c>
      <c r="C75" s="8" t="str">
        <f aca="false">TRIM(SUBSTITUTE($B75,CHAR(160)," "))</f>
        <v>45EC XXL'מגן ברך ארוך בז</v>
      </c>
    </row>
    <row r="76" customFormat="false" ht="15" hidden="false" customHeight="true" outlineLevel="0" collapsed="false">
      <c r="A76" s="8" t="n">
        <v>4413107</v>
      </c>
      <c r="B76" s="8" t="s">
        <v>1437</v>
      </c>
      <c r="C76" s="8" t="str">
        <f aca="false">TRIM(SUBSTITUTE($B76,CHAR(160)," "))</f>
        <v>48 L מגן ברך מחמם</v>
      </c>
    </row>
    <row r="77" customFormat="false" ht="15" hidden="false" customHeight="true" outlineLevel="0" collapsed="false">
      <c r="A77" s="8" t="n">
        <v>4413108</v>
      </c>
      <c r="B77" s="8" t="s">
        <v>1438</v>
      </c>
      <c r="C77" s="8" t="str">
        <f aca="false">TRIM(SUBSTITUTE($B77,CHAR(160)," "))</f>
        <v>48 M מגן ברך מחמם</v>
      </c>
    </row>
    <row r="78" customFormat="false" ht="15" hidden="false" customHeight="true" outlineLevel="0" collapsed="false">
      <c r="A78" s="8" t="n">
        <v>4413106</v>
      </c>
      <c r="B78" s="8" t="s">
        <v>1436</v>
      </c>
      <c r="C78" s="8" t="str">
        <f aca="false">TRIM(SUBSTITUTE($B78,CHAR(160)," "))</f>
        <v>48 S מגן ברך מחמם</v>
      </c>
    </row>
    <row r="79" customFormat="false" ht="15" hidden="false" customHeight="true" outlineLevel="0" collapsed="false">
      <c r="A79" s="8" t="n">
        <v>4413109</v>
      </c>
      <c r="B79" s="8" t="s">
        <v>1439</v>
      </c>
      <c r="C79" s="8" t="str">
        <f aca="false">TRIM(SUBSTITUTE($B79,CHAR(160)," "))</f>
        <v>48 XL מגן ברך מחמם</v>
      </c>
    </row>
    <row r="80" customFormat="false" ht="15" hidden="false" customHeight="true" outlineLevel="0" collapsed="false">
      <c r="A80" s="8" t="n">
        <v>4413110</v>
      </c>
      <c r="B80" s="8" t="s">
        <v>1440</v>
      </c>
      <c r="C80" s="8" t="str">
        <f aca="false">TRIM(SUBSTITUTE($B80,CHAR(160)," "))</f>
        <v>48 XXL מגן ברך מחמם</v>
      </c>
    </row>
    <row r="81" customFormat="false" ht="15" hidden="false" customHeight="true" outlineLevel="0" collapsed="false">
      <c r="A81" s="8" t="n">
        <v>4420026</v>
      </c>
      <c r="B81" s="8" t="s">
        <v>1711</v>
      </c>
      <c r="C81" s="8" t="str">
        <f aca="false">TRIM(SUBSTITUTE($B81,CHAR(160)," "))</f>
        <v>AC40 רצועה לפיקת הברך</v>
      </c>
    </row>
    <row r="82" customFormat="false" ht="15" hidden="false" customHeight="true" outlineLevel="0" collapsed="false">
      <c r="A82" s="8" t="n">
        <v>4413328</v>
      </c>
      <c r="B82" s="8" t="s">
        <v>1524</v>
      </c>
      <c r="C82" s="8" t="str">
        <f aca="false">TRIM(SUBSTITUTE($B82,CHAR(160)," "))</f>
        <v>AC43D מגן ברך + צירים</v>
      </c>
    </row>
    <row r="83" customFormat="false" ht="15" hidden="false" customHeight="true" outlineLevel="0" collapsed="false">
      <c r="A83" s="8" t="n">
        <v>4413329</v>
      </c>
      <c r="B83" s="8" t="s">
        <v>1525</v>
      </c>
      <c r="C83" s="8" t="str">
        <f aca="false">TRIM(SUBSTITUTE($B83,CHAR(160)," "))</f>
        <v>AC45X מגן ברך עם תמיכות</v>
      </c>
    </row>
    <row r="84" customFormat="false" ht="15" hidden="false" customHeight="true" outlineLevel="0" collapsed="false">
      <c r="A84" s="8" t="n">
        <v>4402011</v>
      </c>
      <c r="B84" s="8" t="s">
        <v>1752</v>
      </c>
      <c r="C84" s="8" t="str">
        <f aca="false">TRIM(SUBSTITUTE($B84,CHAR(160)," "))</f>
        <v>S-XLST422 מגן ברך+כרית ג'ל</v>
      </c>
    </row>
    <row r="85" customFormat="false" ht="15" hidden="false" customHeight="true" outlineLevel="0" collapsed="false">
      <c r="A85" s="8" t="n">
        <v>4413438</v>
      </c>
      <c r="B85" s="8" t="s">
        <v>1574</v>
      </c>
      <c r="C85" s="8" t="str">
        <f aca="false">TRIM(SUBSTITUTE($B85,CHAR(160)," "))</f>
        <v>SC422 S מגן ברך</v>
      </c>
    </row>
    <row r="86" customFormat="false" ht="15" hidden="false" customHeight="true" outlineLevel="0" collapsed="false">
      <c r="A86" s="8" t="n">
        <v>4413442</v>
      </c>
      <c r="B86" s="8" t="s">
        <v>1578</v>
      </c>
      <c r="C86" s="8" t="str">
        <f aca="false">TRIM(SUBSTITUTE($B86,CHAR(160)," "))</f>
        <v>SC422 XXLמגן ברך</v>
      </c>
    </row>
    <row r="87" customFormat="false" ht="15" hidden="false" customHeight="true" outlineLevel="0" collapsed="false">
      <c r="A87" s="8" t="n">
        <v>4422037</v>
      </c>
      <c r="B87" s="8" t="s">
        <v>1746</v>
      </c>
      <c r="C87" s="8" t="str">
        <f aca="false">TRIM(SUBSTITUTE($B87,CHAR(160)," "))</f>
        <v>SH422 1 תומך ברך גנושילד</v>
      </c>
    </row>
    <row r="88" customFormat="false" ht="15" hidden="false" customHeight="true" outlineLevel="0" collapsed="false">
      <c r="A88" s="8" t="n">
        <v>4422038</v>
      </c>
      <c r="B88" s="8" t="s">
        <v>1747</v>
      </c>
      <c r="C88" s="8" t="str">
        <f aca="false">TRIM(SUBSTITUTE($B88,CHAR(160)," "))</f>
        <v>SH422 2 תומך ברך גנושילד</v>
      </c>
    </row>
    <row r="89" customFormat="false" ht="15" hidden="false" customHeight="true" outlineLevel="0" collapsed="false">
      <c r="A89" s="8" t="n">
        <v>4422039</v>
      </c>
      <c r="B89" s="8" t="s">
        <v>1748</v>
      </c>
      <c r="C89" s="8" t="str">
        <f aca="false">TRIM(SUBSTITUTE($B89,CHAR(160)," "))</f>
        <v>SH422 3 תומך ברך גנושילד</v>
      </c>
    </row>
    <row r="90" customFormat="false" ht="15" hidden="false" customHeight="true" outlineLevel="0" collapsed="false">
      <c r="A90" s="8" t="n">
        <v>4422040</v>
      </c>
      <c r="B90" s="8" t="s">
        <v>1749</v>
      </c>
      <c r="C90" s="8" t="str">
        <f aca="false">TRIM(SUBSTITUTE($B90,CHAR(160)," "))</f>
        <v>SH422 4 תומך ברך גנושילד</v>
      </c>
    </row>
    <row r="91" customFormat="false" ht="15" hidden="false" customHeight="true" outlineLevel="0" collapsed="false">
      <c r="A91" s="8" t="n">
        <v>4422041</v>
      </c>
      <c r="B91" s="8" t="s">
        <v>1750</v>
      </c>
      <c r="C91" s="8" t="str">
        <f aca="false">TRIM(SUBSTITUTE($B91,CHAR(160)," "))</f>
        <v>SH422 5 תומך ברך גנושילד</v>
      </c>
    </row>
    <row r="92" customFormat="false" ht="15" hidden="false" customHeight="true" outlineLevel="0" collapsed="false">
      <c r="A92" s="8" t="n">
        <v>4422042</v>
      </c>
      <c r="B92" s="8" t="s">
        <v>1751</v>
      </c>
      <c r="C92" s="8" t="str">
        <f aca="false">TRIM(SUBSTITUTE($B92,CHAR(160)," "))</f>
        <v>SH422 6 תומך ברך גנושילד</v>
      </c>
    </row>
    <row r="93" customFormat="false" ht="15" hidden="false" customHeight="true" outlineLevel="0" collapsed="false">
      <c r="A93" s="8" t="n">
        <v>4413532</v>
      </c>
      <c r="B93" s="8" t="s">
        <v>1761</v>
      </c>
      <c r="C93" s="8" t="str">
        <f aca="false">TRIM(SUBSTITUTE($B93,CHAR(160)," "))</f>
        <v>ST433 H מגן ברך עם ציר</v>
      </c>
    </row>
    <row r="94" customFormat="false" ht="15" hidden="false" customHeight="true" outlineLevel="0" collapsed="false">
      <c r="A94" s="8" t="n">
        <v>4413184</v>
      </c>
      <c r="B94" s="8" t="s">
        <v>1500</v>
      </c>
      <c r="C94" s="8" t="str">
        <f aca="false">TRIM(SUBSTITUTE($B94,CHAR(160)," "))</f>
        <v>T 45 L מגן ברך רגיל</v>
      </c>
    </row>
    <row r="95" customFormat="false" ht="15" hidden="false" customHeight="true" outlineLevel="0" collapsed="false">
      <c r="A95" s="8" t="n">
        <v>4413183</v>
      </c>
      <c r="B95" s="8" t="s">
        <v>1499</v>
      </c>
      <c r="C95" s="8" t="str">
        <f aca="false">TRIM(SUBSTITUTE($B95,CHAR(160)," "))</f>
        <v>T 45 M מגן ברך רגיל</v>
      </c>
    </row>
    <row r="96" customFormat="false" ht="15" hidden="false" customHeight="true" outlineLevel="0" collapsed="false">
      <c r="A96" s="8" t="n">
        <v>4413185</v>
      </c>
      <c r="B96" s="8" t="s">
        <v>1501</v>
      </c>
      <c r="C96" s="8" t="str">
        <f aca="false">TRIM(SUBSTITUTE($B96,CHAR(160)," "))</f>
        <v>T 45XL מגן ברך רגיל</v>
      </c>
    </row>
    <row r="97" customFormat="false" ht="15" hidden="false" customHeight="true" outlineLevel="0" collapsed="false">
      <c r="A97" s="8" t="n">
        <v>4420021</v>
      </c>
      <c r="B97" s="8" t="s">
        <v>1821</v>
      </c>
      <c r="C97" s="8" t="str">
        <f aca="false">TRIM(SUBSTITUTE($B97,CHAR(160)," "))</f>
        <v>T40 רצועת פיקה לברך</v>
      </c>
    </row>
    <row r="98" customFormat="false" ht="15" hidden="false" customHeight="true" outlineLevel="0" collapsed="false">
      <c r="A98" s="8" t="n">
        <v>4413171</v>
      </c>
      <c r="B98" s="8" t="s">
        <v>1489</v>
      </c>
      <c r="C98" s="8" t="str">
        <f aca="false">TRIM(SUBSTITUTE($B98,CHAR(160)," "))</f>
        <v>T402 L מיצב פיקה</v>
      </c>
    </row>
    <row r="99" customFormat="false" ht="15" hidden="false" customHeight="true" outlineLevel="0" collapsed="false">
      <c r="A99" s="8" t="n">
        <v>4413170</v>
      </c>
      <c r="B99" s="8" t="s">
        <v>1488</v>
      </c>
      <c r="C99" s="8" t="str">
        <f aca="false">TRIM(SUBSTITUTE($B99,CHAR(160)," "))</f>
        <v>T402 M מיצב פיקה</v>
      </c>
    </row>
    <row r="100" customFormat="false" ht="15" hidden="false" customHeight="true" outlineLevel="0" collapsed="false">
      <c r="A100" s="8" t="n">
        <v>4413169</v>
      </c>
      <c r="B100" s="8" t="s">
        <v>1487</v>
      </c>
      <c r="C100" s="8" t="str">
        <f aca="false">TRIM(SUBSTITUTE($B100,CHAR(160)," "))</f>
        <v>T402 S מיצב פיקה</v>
      </c>
    </row>
    <row r="101" customFormat="false" ht="15" hidden="false" customHeight="true" outlineLevel="0" collapsed="false">
      <c r="A101" s="8" t="n">
        <v>4413172</v>
      </c>
      <c r="B101" s="8" t="s">
        <v>1490</v>
      </c>
      <c r="C101" s="8" t="str">
        <f aca="false">TRIM(SUBSTITUTE($B101,CHAR(160)," "))</f>
        <v>T402 XL מיצב פיקה</v>
      </c>
    </row>
    <row r="102" customFormat="false" ht="15" hidden="false" customHeight="true" outlineLevel="0" collapsed="false">
      <c r="A102" s="8" t="n">
        <v>4413173</v>
      </c>
      <c r="B102" s="8" t="s">
        <v>1491</v>
      </c>
      <c r="C102" s="8" t="str">
        <f aca="false">TRIM(SUBSTITUTE($B102,CHAR(160)," "))</f>
        <v>T402 XXL מיצב פיקה</v>
      </c>
    </row>
    <row r="103" customFormat="false" ht="15" hidden="false" customHeight="true" outlineLevel="0" collapsed="false">
      <c r="A103" s="8" t="n">
        <v>4420039</v>
      </c>
      <c r="B103" s="8" t="s">
        <v>1721</v>
      </c>
      <c r="C103" s="8" t="str">
        <f aca="false">TRIM(SUBSTITUTE($B103,CHAR(160)," "))</f>
        <v>T40B רצועה לפיקה</v>
      </c>
    </row>
    <row r="104" customFormat="false" ht="15" hidden="false" customHeight="true" outlineLevel="0" collapsed="false">
      <c r="A104" s="8" t="n">
        <v>4413287</v>
      </c>
      <c r="B104" s="8" t="s">
        <v>1880</v>
      </c>
      <c r="C104" s="8" t="str">
        <f aca="false">TRIM(SUBSTITUTE($B104,CHAR(160)," "))</f>
        <v>T43 SKI XXL מגן ברך לסקי</v>
      </c>
    </row>
    <row r="105" customFormat="false" ht="15" hidden="false" customHeight="true" outlineLevel="0" collapsed="false">
      <c r="A105" s="8" t="n">
        <v>4413240</v>
      </c>
      <c r="B105" s="8" t="s">
        <v>1881</v>
      </c>
      <c r="C105" s="8" t="str">
        <f aca="false">TRIM(SUBSTITUTE($B105,CHAR(160)," "))</f>
        <v>T433 XL מגן ברך משופר</v>
      </c>
    </row>
    <row r="106" customFormat="false" ht="15" hidden="false" customHeight="true" outlineLevel="0" collapsed="false">
      <c r="A106" s="8" t="n">
        <v>4413188</v>
      </c>
      <c r="B106" s="8" t="s">
        <v>1808</v>
      </c>
      <c r="C106" s="8" t="str">
        <f aca="false">TRIM(SUBSTITUTE($B106,CHAR(160)," "))</f>
        <v>T43SKI L מגן ברך לסקי</v>
      </c>
    </row>
    <row r="107" customFormat="false" ht="15" hidden="false" customHeight="true" outlineLevel="0" collapsed="false">
      <c r="A107" s="8" t="n">
        <v>4413187</v>
      </c>
      <c r="B107" s="8" t="s">
        <v>1882</v>
      </c>
      <c r="C107" s="8" t="str">
        <f aca="false">TRIM(SUBSTITUTE($B107,CHAR(160)," "))</f>
        <v>T43SKI M מגן ברך לסקי</v>
      </c>
    </row>
    <row r="108" customFormat="false" ht="15" hidden="false" customHeight="true" outlineLevel="0" collapsed="false">
      <c r="A108" s="8" t="n">
        <v>4413189</v>
      </c>
      <c r="B108" s="8" t="s">
        <v>1883</v>
      </c>
      <c r="C108" s="8" t="str">
        <f aca="false">TRIM(SUBSTITUTE($B108,CHAR(160)," "))</f>
        <v>T43SKI XLמגן ברך לסקי</v>
      </c>
    </row>
    <row r="109" customFormat="false" ht="15" hidden="false" customHeight="true" outlineLevel="0" collapsed="false">
      <c r="A109" s="8" t="n">
        <v>4413182</v>
      </c>
      <c r="B109" s="8" t="s">
        <v>1780</v>
      </c>
      <c r="C109" s="8" t="str">
        <f aca="false">TRIM(SUBSTITUTE($B109,CHAR(160)," "))</f>
        <v>T45 S מגן ברך רגיל</v>
      </c>
    </row>
    <row r="110" customFormat="false" ht="15" hidden="false" customHeight="true" outlineLevel="0" collapsed="false">
      <c r="A110" s="8" t="n">
        <v>4413286</v>
      </c>
      <c r="B110" s="8" t="s">
        <v>1519</v>
      </c>
      <c r="C110" s="8" t="str">
        <f aca="false">TRIM(SUBSTITUTE($B110,CHAR(160)," "))</f>
        <v>T45 XXL מגן ברך רגיל</v>
      </c>
    </row>
    <row r="111" customFormat="false" ht="15" hidden="false" customHeight="true" outlineLevel="0" collapsed="false">
      <c r="A111" s="8" t="n">
        <v>4413260</v>
      </c>
      <c r="B111" s="8" t="s">
        <v>1511</v>
      </c>
      <c r="C111" s="8" t="str">
        <f aca="false">TRIM(SUBSTITUTE($B111,CHAR(160)," "))</f>
        <v>T45X-XXLמגן ברך רגיל</v>
      </c>
    </row>
    <row r="112" customFormat="false" ht="15" hidden="false" customHeight="true" outlineLevel="0" collapsed="false">
      <c r="A112" s="8" t="n">
        <v>4413226</v>
      </c>
      <c r="B112" s="8" t="s">
        <v>1510</v>
      </c>
      <c r="C112" s="8" t="str">
        <f aca="false">TRIM(SUBSTITUTE($B112,CHAR(160)," "))</f>
        <v>T45X L מגן ברך רגיל</v>
      </c>
    </row>
    <row r="113" customFormat="false" ht="15" hidden="false" customHeight="true" outlineLevel="0" collapsed="false">
      <c r="A113" s="8" t="n">
        <v>4413225</v>
      </c>
      <c r="B113" s="8" t="s">
        <v>1509</v>
      </c>
      <c r="C113" s="8" t="str">
        <f aca="false">TRIM(SUBSTITUTE($B113,CHAR(160)," "))</f>
        <v>T45X M מגן ברך רגיל</v>
      </c>
    </row>
    <row r="114" customFormat="false" ht="15" hidden="false" customHeight="true" outlineLevel="0" collapsed="false">
      <c r="A114" s="8" t="n">
        <v>4413227</v>
      </c>
      <c r="B114" s="8" t="s">
        <v>1884</v>
      </c>
      <c r="C114" s="8" t="str">
        <f aca="false">TRIM(SUBSTITUTE($B114,CHAR(160)," "))</f>
        <v>T45X S מגן ברך רגיל</v>
      </c>
    </row>
    <row r="115" customFormat="false" ht="15" hidden="false" customHeight="true" outlineLevel="0" collapsed="false">
      <c r="A115" s="8" t="n">
        <v>4413224</v>
      </c>
      <c r="B115" s="8" t="s">
        <v>1508</v>
      </c>
      <c r="C115" s="8" t="str">
        <f aca="false">TRIM(SUBSTITUTE($B115,CHAR(160)," "))</f>
        <v>T45X XL מגן ברך רגיל</v>
      </c>
    </row>
    <row r="116" customFormat="false" ht="15" hidden="false" customHeight="true" outlineLevel="0" collapsed="false">
      <c r="A116" s="8" t="n">
        <v>4403011</v>
      </c>
      <c r="B116" s="8" t="s">
        <v>1795</v>
      </c>
      <c r="C116" s="8" t="str">
        <f aca="false">TRIM(SUBSTITUTE($B116,CHAR(160)," "))</f>
        <v>3444 0 גרביים+סיליקון</v>
      </c>
    </row>
    <row r="117" customFormat="false" ht="15" hidden="false" customHeight="true" outlineLevel="0" collapsed="false">
      <c r="A117" s="8" t="n">
        <v>4403040</v>
      </c>
      <c r="B117" s="8" t="s">
        <v>1210</v>
      </c>
      <c r="C117" s="8" t="str">
        <f aca="false">TRIM(SUBSTITUTE($B117,CHAR(160)," "))</f>
        <v>3444B גרבי ג'ל לריכוך עור העקב</v>
      </c>
    </row>
    <row r="118" customFormat="false" ht="15" hidden="false" customHeight="true" outlineLevel="0" collapsed="false">
      <c r="A118" s="8" t="n">
        <v>4403027</v>
      </c>
      <c r="B118" s="8" t="s">
        <v>1885</v>
      </c>
      <c r="C118" s="8" t="str">
        <f aca="false">TRIM(SUBSTITUTE($B118,CHAR(160)," "))</f>
        <v>3445Wתתגרב לבן סיליקון טיפ יום</v>
      </c>
    </row>
    <row r="119" customFormat="false" ht="15" hidden="false" customHeight="true" outlineLevel="0" collapsed="false">
      <c r="A119" s="8" t="n">
        <v>4403001</v>
      </c>
      <c r="B119" s="8" t="s">
        <v>1188</v>
      </c>
      <c r="C119" s="8" t="str">
        <f aca="false">TRIM(SUBSTITUTE($B119,CHAR(160)," "))</f>
        <v>390B 39-42.גרב.כסף לסכרתיים שח</v>
      </c>
    </row>
    <row r="120" customFormat="false" ht="15" hidden="false" customHeight="true" outlineLevel="0" collapsed="false">
      <c r="A120" s="8" t="n">
        <v>4403002</v>
      </c>
      <c r="B120" s="8" t="s">
        <v>1189</v>
      </c>
      <c r="C120" s="8" t="str">
        <f aca="false">TRIM(SUBSTITUTE($B120,CHAR(160)," "))</f>
        <v>390B 43-46.גרב.כסף לסכרתיים שח</v>
      </c>
    </row>
    <row r="121" customFormat="false" ht="15" hidden="false" customHeight="true" outlineLevel="0" collapsed="false">
      <c r="A121" s="8" t="n">
        <v>4403000</v>
      </c>
      <c r="B121" s="8" t="s">
        <v>1187</v>
      </c>
      <c r="C121" s="8" t="str">
        <f aca="false">TRIM(SUBSTITUTE($B121,CHAR(160)," "))</f>
        <v>390B גרב.כסף לסכרתים שחור35-38</v>
      </c>
    </row>
    <row r="122" customFormat="false" ht="15" hidden="false" customHeight="true" outlineLevel="0" collapsed="false">
      <c r="A122" s="8" t="n">
        <v>4403004</v>
      </c>
      <c r="B122" s="8" t="s">
        <v>1191</v>
      </c>
      <c r="C122" s="8" t="str">
        <f aca="false">TRIM(SUBSTITUTE($B122,CHAR(160)," "))</f>
        <v>390G 39-42.גרב.כסף לסכרתיים אפ</v>
      </c>
    </row>
    <row r="123" customFormat="false" ht="15" hidden="false" customHeight="true" outlineLevel="0" collapsed="false">
      <c r="A123" s="8" t="n">
        <v>4403003</v>
      </c>
      <c r="B123" s="8" t="s">
        <v>1190</v>
      </c>
      <c r="C123" s="8" t="str">
        <f aca="false">TRIM(SUBSTITUTE($B123,CHAR(160)," "))</f>
        <v>390G ג.כסף לסכרתיים אפור35-38</v>
      </c>
    </row>
    <row r="124" customFormat="false" ht="15" hidden="false" customHeight="true" outlineLevel="0" collapsed="false">
      <c r="A124" s="8" t="n">
        <v>4403006</v>
      </c>
      <c r="B124" s="8" t="s">
        <v>1193</v>
      </c>
      <c r="C124" s="8" t="str">
        <f aca="false">TRIM(SUBSTITUTE($B124,CHAR(160)," "))</f>
        <v>390W גרב כסף לסכרתיים לבן35-38</v>
      </c>
    </row>
    <row r="125" customFormat="false" ht="15" hidden="false" customHeight="true" outlineLevel="0" collapsed="false">
      <c r="A125" s="8" t="n">
        <v>4403007</v>
      </c>
      <c r="B125" s="8" t="s">
        <v>1194</v>
      </c>
      <c r="C125" s="8" t="str">
        <f aca="false">TRIM(SUBSTITUTE($B125,CHAR(160)," "))</f>
        <v>390W גרב.כסף לסכרתיים לבן39-42</v>
      </c>
    </row>
    <row r="126" customFormat="false" ht="15" hidden="false" customHeight="true" outlineLevel="0" collapsed="false">
      <c r="A126" s="8" t="n">
        <v>4403008</v>
      </c>
      <c r="B126" s="8" t="s">
        <v>1195</v>
      </c>
      <c r="C126" s="8" t="str">
        <f aca="false">TRIM(SUBSTITUTE($B126,CHAR(160)," "))</f>
        <v>390W גרב.כסף לסכרתיים לבן43-46</v>
      </c>
    </row>
    <row r="127" customFormat="false" ht="15" hidden="false" customHeight="true" outlineLevel="0" collapsed="false">
      <c r="A127" s="8" t="n">
        <v>4403017</v>
      </c>
      <c r="B127" s="8" t="s">
        <v>1196</v>
      </c>
      <c r="C127" s="8" t="str">
        <f aca="false">TRIM(SUBSTITUTE($B127,CHAR(160)," "))</f>
        <v>394B גרב.כסף לסכרתים שחור35-38</v>
      </c>
    </row>
    <row r="128" customFormat="false" ht="15" hidden="false" customHeight="true" outlineLevel="0" collapsed="false">
      <c r="A128" s="8" t="n">
        <v>4403018</v>
      </c>
      <c r="B128" s="8" t="s">
        <v>1197</v>
      </c>
      <c r="C128" s="8" t="str">
        <f aca="false">TRIM(SUBSTITUTE($B128,CHAR(160)," "))</f>
        <v>394B גרב.כסף לסכרתים שחור39-42</v>
      </c>
    </row>
    <row r="129" customFormat="false" ht="15" hidden="false" customHeight="true" outlineLevel="0" collapsed="false">
      <c r="A129" s="8" t="n">
        <v>4403019</v>
      </c>
      <c r="B129" s="8" t="s">
        <v>1198</v>
      </c>
      <c r="C129" s="8" t="str">
        <f aca="false">TRIM(SUBSTITUTE($B129,CHAR(160)," "))</f>
        <v>394B גרב.כסף לסכרתים שחור43-46</v>
      </c>
    </row>
    <row r="130" customFormat="false" ht="15" hidden="false" customHeight="true" outlineLevel="0" collapsed="false">
      <c r="A130" s="8" t="n">
        <v>4403020</v>
      </c>
      <c r="B130" s="8" t="s">
        <v>1199</v>
      </c>
      <c r="C130" s="8" t="str">
        <f aca="false">TRIM(SUBSTITUTE($B130,CHAR(160)," "))</f>
        <v>394G גרב.כסף לסכרתים אפור35-38</v>
      </c>
    </row>
    <row r="131" customFormat="false" ht="15" hidden="false" customHeight="true" outlineLevel="0" collapsed="false">
      <c r="A131" s="8" t="n">
        <v>4403021</v>
      </c>
      <c r="B131" s="8" t="s">
        <v>1200</v>
      </c>
      <c r="C131" s="8" t="str">
        <f aca="false">TRIM(SUBSTITUTE($B131,CHAR(160)," "))</f>
        <v>394G גרב.כסף לסכרתים אפור39-42</v>
      </c>
    </row>
    <row r="132" customFormat="false" ht="15" hidden="false" customHeight="true" outlineLevel="0" collapsed="false">
      <c r="A132" s="8" t="n">
        <v>4403022</v>
      </c>
      <c r="B132" s="8" t="s">
        <v>1201</v>
      </c>
      <c r="C132" s="8" t="str">
        <f aca="false">TRIM(SUBSTITUTE($B132,CHAR(160)," "))</f>
        <v>394G גרב.כסף לסכרתים אפור43-46</v>
      </c>
    </row>
    <row r="133" customFormat="false" ht="15" hidden="false" customHeight="true" outlineLevel="0" collapsed="false">
      <c r="A133" s="8" t="n">
        <v>4403023</v>
      </c>
      <c r="B133" s="8" t="s">
        <v>1202</v>
      </c>
      <c r="C133" s="8" t="str">
        <f aca="false">TRIM(SUBSTITUTE($B133,CHAR(160)," "))</f>
        <v>394W 35-38 גרב.כסף לסכרתים לבן</v>
      </c>
    </row>
    <row r="134" customFormat="false" ht="15" hidden="false" customHeight="true" outlineLevel="0" collapsed="false">
      <c r="A134" s="8" t="n">
        <v>4403024</v>
      </c>
      <c r="B134" s="8" t="s">
        <v>1203</v>
      </c>
      <c r="C134" s="8" t="str">
        <f aca="false">TRIM(SUBSTITUTE($B134,CHAR(160)," "))</f>
        <v>394W 39-42 גרב.כסף לסכרתים לבן</v>
      </c>
    </row>
    <row r="135" customFormat="false" ht="15" hidden="false" customHeight="true" outlineLevel="0" collapsed="false">
      <c r="A135" s="8" t="n">
        <v>4403025</v>
      </c>
      <c r="B135" s="8" t="s">
        <v>1204</v>
      </c>
      <c r="C135" s="8" t="str">
        <f aca="false">TRIM(SUBSTITUTE($B135,CHAR(160)," "))</f>
        <v>394W 43-46 גרב.כסף לסכרתים לבן</v>
      </c>
    </row>
    <row r="136" customFormat="false" ht="15" hidden="false" customHeight="true" outlineLevel="0" collapsed="false">
      <c r="A136" s="8" t="n">
        <v>4403044</v>
      </c>
      <c r="B136" s="8" t="s">
        <v>1214</v>
      </c>
      <c r="C136" s="8" t="str">
        <f aca="false">TRIM(SUBSTITUTE($B136,CHAR(160)," "))</f>
        <v>395B גרבי קיץ אנטי בקטריא39-42</v>
      </c>
    </row>
    <row r="137" customFormat="false" ht="15" hidden="false" customHeight="true" outlineLevel="0" collapsed="false">
      <c r="A137" s="8" t="n">
        <v>4403045</v>
      </c>
      <c r="B137" s="8" t="s">
        <v>1215</v>
      </c>
      <c r="C137" s="8" t="str">
        <f aca="false">TRIM(SUBSTITUTE($B137,CHAR(160)," "))</f>
        <v>395B גרבי קיץ אנטי בקטריא43-46</v>
      </c>
    </row>
    <row r="138" customFormat="false" ht="15" hidden="false" customHeight="true" outlineLevel="0" collapsed="false">
      <c r="A138" s="8" t="n">
        <v>4403031</v>
      </c>
      <c r="B138" s="8" t="s">
        <v>1886</v>
      </c>
      <c r="C138" s="8" t="str">
        <f aca="false">TRIM(SUBSTITUTE($B138,CHAR(160)," "))</f>
        <v>396-35-38 גרביים טרמיות</v>
      </c>
    </row>
    <row r="139" customFormat="false" ht="15" hidden="false" customHeight="true" outlineLevel="0" collapsed="false">
      <c r="A139" s="8" t="n">
        <v>4403032</v>
      </c>
      <c r="B139" s="8" t="s">
        <v>1887</v>
      </c>
      <c r="C139" s="8" t="str">
        <f aca="false">TRIM(SUBSTITUTE($B139,CHAR(160)," "))</f>
        <v>396-39-42 גרביים טרמיות</v>
      </c>
    </row>
    <row r="140" customFormat="false" ht="15" hidden="false" customHeight="true" outlineLevel="0" collapsed="false">
      <c r="A140" s="8" t="n">
        <v>4403028</v>
      </c>
      <c r="B140" s="8" t="s">
        <v>1205</v>
      </c>
      <c r="C140" s="8" t="str">
        <f aca="false">TRIM(SUBSTITUTE($B140,CHAR(160)," "))</f>
        <v>397 35-38 גרבי טיסה מידה</v>
      </c>
    </row>
    <row r="141" customFormat="false" ht="15" hidden="false" customHeight="true" outlineLevel="0" collapsed="false">
      <c r="A141" s="8" t="n">
        <v>4403029</v>
      </c>
      <c r="B141" s="8" t="s">
        <v>1206</v>
      </c>
      <c r="C141" s="8" t="str">
        <f aca="false">TRIM(SUBSTITUTE($B141,CHAR(160)," "))</f>
        <v>397 39-42 גרבי טיסה מידה</v>
      </c>
    </row>
    <row r="142" customFormat="false" ht="15" hidden="false" customHeight="true" outlineLevel="0" collapsed="false">
      <c r="A142" s="8" t="n">
        <v>4403030</v>
      </c>
      <c r="B142" s="8" t="s">
        <v>1207</v>
      </c>
      <c r="C142" s="8" t="str">
        <f aca="false">TRIM(SUBSTITUTE($B142,CHAR(160)," "))</f>
        <v>397 43-46 גרבי טיסה מידה</v>
      </c>
    </row>
    <row r="143" customFormat="false" ht="15" hidden="false" customHeight="true" outlineLevel="0" collapsed="false">
      <c r="A143" s="8" t="n">
        <v>4403041</v>
      </c>
      <c r="B143" s="8" t="s">
        <v>1211</v>
      </c>
      <c r="C143" s="8" t="str">
        <f aca="false">TRIM(SUBSTITUTE($B143,CHAR(160)," "))</f>
        <v>397A-גרבי טיסה אנטי בקטרי35-38</v>
      </c>
    </row>
    <row r="144" customFormat="false" ht="15" hidden="false" customHeight="true" outlineLevel="0" collapsed="false">
      <c r="A144" s="8" t="n">
        <v>4403042</v>
      </c>
      <c r="B144" s="8" t="s">
        <v>1212</v>
      </c>
      <c r="C144" s="8" t="str">
        <f aca="false">TRIM(SUBSTITUTE($B144,CHAR(160)," "))</f>
        <v>397A-גרבי טיסה אנטי בקטרי39-42</v>
      </c>
    </row>
    <row r="145" customFormat="false" ht="15" hidden="false" customHeight="true" outlineLevel="0" collapsed="false">
      <c r="A145" s="8" t="n">
        <v>4403043</v>
      </c>
      <c r="B145" s="8" t="s">
        <v>1213</v>
      </c>
      <c r="C145" s="8" t="str">
        <f aca="false">TRIM(SUBSTITUTE($B145,CHAR(160)," "))</f>
        <v>397A-גרבי טיסה אנטי בקטרי43-46</v>
      </c>
    </row>
    <row r="146" customFormat="false" ht="15" hidden="false" customHeight="true" outlineLevel="0" collapsed="false">
      <c r="A146" s="8" t="n">
        <v>4403005</v>
      </c>
      <c r="B146" s="8" t="s">
        <v>1192</v>
      </c>
      <c r="C146" s="8" t="str">
        <f aca="false">TRIM(SUBSTITUTE($B146,CHAR(160)," "))</f>
        <v>G390.43-46 גרבי כסף לסכרת מידה</v>
      </c>
    </row>
    <row r="147" customFormat="false" ht="15" hidden="false" customHeight="true" outlineLevel="0" collapsed="false">
      <c r="A147" s="8" t="n">
        <v>4403034</v>
      </c>
      <c r="B147" s="8" t="s">
        <v>1208</v>
      </c>
      <c r="C147" s="8" t="str">
        <f aca="false">TRIM(SUBSTITUTE($B147,CHAR(160)," "))</f>
        <v>ST3555 S-Mגרב לילה לטיפ.בדורבן</v>
      </c>
    </row>
    <row r="148" customFormat="false" ht="15" hidden="false" customHeight="true" outlineLevel="0" collapsed="false">
      <c r="A148" s="8" t="n">
        <v>4403035</v>
      </c>
      <c r="B148" s="8" t="s">
        <v>1209</v>
      </c>
      <c r="C148" s="8" t="str">
        <f aca="false">TRIM(SUBSTITUTE($B148,CHAR(160)," "))</f>
        <v>ST3555L-XLגרב לילה לטיפ.בדורבן</v>
      </c>
    </row>
    <row r="149" customFormat="false" ht="15" hidden="false" customHeight="true" outlineLevel="0" collapsed="false">
      <c r="A149" s="8" t="n">
        <v>4408002</v>
      </c>
      <c r="B149" s="8" t="s">
        <v>1768</v>
      </c>
      <c r="C149" s="8" t="str">
        <f aca="false">TRIM(SUBSTITUTE($B149,CHAR(160)," "))</f>
        <v>06 L ""ח.גב קלה ""מיקדו</v>
      </c>
    </row>
    <row r="150" customFormat="false" ht="15" hidden="false" customHeight="true" outlineLevel="0" collapsed="false">
      <c r="A150" s="8" t="n">
        <v>4408003</v>
      </c>
      <c r="B150" s="8" t="s">
        <v>1217</v>
      </c>
      <c r="C150" s="8" t="str">
        <f aca="false">TRIM(SUBSTITUTE($B150,CHAR(160)," "))</f>
        <v>06 M ""ח.גב קלה ""מיקדו</v>
      </c>
    </row>
    <row r="151" customFormat="false" ht="15" hidden="false" customHeight="true" outlineLevel="0" collapsed="false">
      <c r="A151" s="8" t="n">
        <v>4408000</v>
      </c>
      <c r="B151" s="8" t="s">
        <v>1888</v>
      </c>
      <c r="C151" s="8" t="str">
        <f aca="false">TRIM(SUBSTITUTE($B151,CHAR(160)," "))</f>
        <v>06 S ""ח.גב קלה ""מיקדו</v>
      </c>
    </row>
    <row r="152" customFormat="false" ht="15" hidden="false" customHeight="true" outlineLevel="0" collapsed="false">
      <c r="A152" s="8" t="n">
        <v>4408004</v>
      </c>
      <c r="B152" s="8" t="s">
        <v>1218</v>
      </c>
      <c r="C152" s="8" t="str">
        <f aca="false">TRIM(SUBSTITUTE($B152,CHAR(160)," "))</f>
        <v>06 XL ""ח.גב קלה ""מיקדו</v>
      </c>
    </row>
    <row r="153" customFormat="false" ht="15" hidden="false" customHeight="true" outlineLevel="0" collapsed="false">
      <c r="A153" s="8" t="n">
        <v>4408005</v>
      </c>
      <c r="B153" s="8" t="s">
        <v>1796</v>
      </c>
      <c r="C153" s="8" t="str">
        <f aca="false">TRIM(SUBSTITUTE($B153,CHAR(160)," "))</f>
        <v>06 XXL ""ח.גב קלה ""מיקדו</v>
      </c>
    </row>
    <row r="154" customFormat="false" ht="15" hidden="false" customHeight="true" outlineLevel="0" collapsed="false">
      <c r="A154" s="8" t="n">
        <v>4408121</v>
      </c>
      <c r="B154" s="8" t="s">
        <v>1889</v>
      </c>
      <c r="C154" s="8" t="str">
        <f aca="false">TRIM(SUBSTITUTE($B154,CHAR(160)," "))</f>
        <v>06U XXL ח.בטן מותנית צר</v>
      </c>
    </row>
    <row r="155" customFormat="false" ht="15" hidden="false" customHeight="true" outlineLevel="0" collapsed="false">
      <c r="A155" s="8" t="n">
        <v>4408119</v>
      </c>
      <c r="B155" s="8" t="s">
        <v>1281</v>
      </c>
      <c r="C155" s="8" t="str">
        <f aca="false">TRIM(SUBSTITUTE($B155,CHAR(160)," "))</f>
        <v>06U L ח.בטן מותנית צר</v>
      </c>
    </row>
    <row r="156" customFormat="false" ht="15" hidden="false" customHeight="true" outlineLevel="0" collapsed="false">
      <c r="A156" s="8" t="n">
        <v>4408118</v>
      </c>
      <c r="B156" s="8" t="s">
        <v>1890</v>
      </c>
      <c r="C156" s="8" t="str">
        <f aca="false">TRIM(SUBSTITUTE($B156,CHAR(160)," "))</f>
        <v>06U M ח.בטן מותנית צר</v>
      </c>
    </row>
    <row r="157" customFormat="false" ht="15" hidden="false" customHeight="true" outlineLevel="0" collapsed="false">
      <c r="A157" s="8" t="n">
        <v>4408120</v>
      </c>
      <c r="B157" s="8" t="s">
        <v>1282</v>
      </c>
      <c r="C157" s="8" t="str">
        <f aca="false">TRIM(SUBSTITUTE($B157,CHAR(160)," "))</f>
        <v>06U XL ח.בטן מותנית צר</v>
      </c>
    </row>
    <row r="158" customFormat="false" ht="15" hidden="false" customHeight="true" outlineLevel="0" collapsed="false">
      <c r="A158" s="8" t="n">
        <v>4408140</v>
      </c>
      <c r="B158" s="8" t="s">
        <v>1291</v>
      </c>
      <c r="C158" s="8" t="str">
        <f aca="false">TRIM(SUBSTITUTE($B158,CHAR(160)," "))</f>
        <v>06W S חגורת גב לנשים</v>
      </c>
    </row>
    <row r="159" customFormat="false" ht="15" hidden="false" customHeight="true" outlineLevel="0" collapsed="false">
      <c r="A159" s="8" t="n">
        <v>4408245</v>
      </c>
      <c r="B159" s="8" t="s">
        <v>1330</v>
      </c>
      <c r="C159" s="8" t="str">
        <f aca="false">TRIM(SUBSTITUTE($B159,CHAR(160)," "))</f>
        <v>077A XXL חגורת גב עם חיזוקים</v>
      </c>
    </row>
    <row r="160" customFormat="false" ht="15" hidden="false" customHeight="true" outlineLevel="0" collapsed="false">
      <c r="A160" s="8" t="n">
        <v>4408135</v>
      </c>
      <c r="B160" s="8" t="s">
        <v>1290</v>
      </c>
      <c r="C160" s="8" t="str">
        <f aca="false">TRIM(SUBSTITUTE($B160,CHAR(160)," "))</f>
        <v>077A L-XLחגורת גב</v>
      </c>
    </row>
    <row r="161" customFormat="false" ht="15" hidden="false" customHeight="true" outlineLevel="0" collapsed="false">
      <c r="A161" s="8" t="n">
        <v>4408134</v>
      </c>
      <c r="B161" s="8" t="s">
        <v>1289</v>
      </c>
      <c r="C161" s="8" t="str">
        <f aca="false">TRIM(SUBSTITUTE($B161,CHAR(160)," "))</f>
        <v>077A S-M חגורת גב</v>
      </c>
    </row>
    <row r="162" customFormat="false" ht="15" hidden="false" customHeight="true" outlineLevel="0" collapsed="false">
      <c r="A162" s="8" t="n">
        <v>4408192</v>
      </c>
      <c r="B162" s="8" t="s">
        <v>1308</v>
      </c>
      <c r="C162" s="8" t="str">
        <f aca="false">TRIM(SUBSTITUTE($B162,CHAR(160)," "))</f>
        <v>078 L חגורת גב +סגירה</v>
      </c>
    </row>
    <row r="163" customFormat="false" ht="15" hidden="false" customHeight="true" outlineLevel="0" collapsed="false">
      <c r="A163" s="8" t="n">
        <v>4408233</v>
      </c>
      <c r="B163" s="8" t="s">
        <v>1801</v>
      </c>
      <c r="C163" s="8" t="str">
        <f aca="false">TRIM(SUBSTITUTE($B163,CHAR(160)," "))</f>
        <v>078C L'חגורת גב+סגירה כפו בז</v>
      </c>
    </row>
    <row r="164" customFormat="false" ht="15" hidden="false" customHeight="true" outlineLevel="0" collapsed="false">
      <c r="A164" s="8" t="n">
        <v>4408234</v>
      </c>
      <c r="B164" s="8" t="s">
        <v>1328</v>
      </c>
      <c r="C164" s="8" t="str">
        <f aca="false">TRIM(SUBSTITUTE($B164,CHAR(160)," "))</f>
        <v>078C M'חגורת גב+סגירה כפו בז</v>
      </c>
    </row>
    <row r="165" customFormat="false" ht="15" hidden="false" customHeight="true" outlineLevel="0" collapsed="false">
      <c r="A165" s="8" t="n">
        <v>4408235</v>
      </c>
      <c r="B165" s="8" t="s">
        <v>1329</v>
      </c>
      <c r="C165" s="8" t="str">
        <f aca="false">TRIM(SUBSTITUTE($B165,CHAR(160)," "))</f>
        <v>078C S'חגורת גב+סגירה כפו בז</v>
      </c>
    </row>
    <row r="166" customFormat="false" ht="15" hidden="false" customHeight="true" outlineLevel="0" collapsed="false">
      <c r="A166" s="8" t="n">
        <v>4408236</v>
      </c>
      <c r="B166" s="8" t="s">
        <v>1773</v>
      </c>
      <c r="C166" s="8" t="str">
        <f aca="false">TRIM(SUBSTITUTE($B166,CHAR(160)," "))</f>
        <v>078C XLתתחגורת גב+סגירה כפו בז</v>
      </c>
    </row>
    <row r="167" customFormat="false" ht="15" hidden="false" customHeight="true" outlineLevel="0" collapsed="false">
      <c r="A167" s="8" t="n">
        <v>4408237</v>
      </c>
      <c r="B167" s="8" t="s">
        <v>1891</v>
      </c>
      <c r="C167" s="8" t="str">
        <f aca="false">TRIM(SUBSTITUTE($B167,CHAR(160)," "))</f>
        <v>078C XXL 'חג.גב+סגירה כפו בז</v>
      </c>
    </row>
    <row r="168" customFormat="false" ht="15" hidden="false" customHeight="true" outlineLevel="0" collapsed="false">
      <c r="A168" s="8" t="n">
        <v>4408221</v>
      </c>
      <c r="B168" s="8" t="s">
        <v>1318</v>
      </c>
      <c r="C168" s="8" t="str">
        <f aca="false">TRIM(SUBSTITUTE($B168,CHAR(160)," "))</f>
        <v>078G-L חגורת גב אפורה</v>
      </c>
    </row>
    <row r="169" customFormat="false" ht="15" hidden="false" customHeight="true" outlineLevel="0" collapsed="false">
      <c r="A169" s="8" t="n">
        <v>4408220</v>
      </c>
      <c r="B169" s="8" t="s">
        <v>1317</v>
      </c>
      <c r="C169" s="8" t="str">
        <f aca="false">TRIM(SUBSTITUTE($B169,CHAR(160)," "))</f>
        <v>078G-M חגורת גב אפורה</v>
      </c>
    </row>
    <row r="170" customFormat="false" ht="15" hidden="false" customHeight="true" outlineLevel="0" collapsed="false">
      <c r="A170" s="8" t="n">
        <v>4408219</v>
      </c>
      <c r="B170" s="8" t="s">
        <v>1316</v>
      </c>
      <c r="C170" s="8" t="str">
        <f aca="false">TRIM(SUBSTITUTE($B170,CHAR(160)," "))</f>
        <v>078G-S חגורת גב אפורה</v>
      </c>
    </row>
    <row r="171" customFormat="false" ht="15" hidden="false" customHeight="true" outlineLevel="0" collapsed="false">
      <c r="A171" s="8" t="n">
        <v>4408222</v>
      </c>
      <c r="B171" s="8" t="s">
        <v>1319</v>
      </c>
      <c r="C171" s="8" t="str">
        <f aca="false">TRIM(SUBSTITUTE($B171,CHAR(160)," "))</f>
        <v>078G-XLחגורת גב אפורה</v>
      </c>
    </row>
    <row r="172" customFormat="false" ht="15" hidden="false" customHeight="true" outlineLevel="0" collapsed="false">
      <c r="A172" s="8" t="n">
        <v>4408223</v>
      </c>
      <c r="B172" s="8" t="s">
        <v>1320</v>
      </c>
      <c r="C172" s="8" t="str">
        <f aca="false">TRIM(SUBSTITUTE($B172,CHAR(160)," "))</f>
        <v>078G-XXLחגורת גב אפורה</v>
      </c>
    </row>
    <row r="173" customFormat="false" ht="15" hidden="false" customHeight="true" outlineLevel="0" collapsed="false">
      <c r="A173" s="8" t="n">
        <v>4408218</v>
      </c>
      <c r="B173" s="8" t="s">
        <v>1315</v>
      </c>
      <c r="C173" s="8" t="str">
        <f aca="false">TRIM(SUBSTITUTE($B173,CHAR(160)," "))</f>
        <v>078XL חגורת גב +סגירה כפולה</v>
      </c>
    </row>
    <row r="174" customFormat="false" ht="15" hidden="false" customHeight="true" outlineLevel="0" collapsed="false">
      <c r="A174" s="8" t="n">
        <v>4408265</v>
      </c>
      <c r="B174" s="8" t="s">
        <v>1339</v>
      </c>
      <c r="C174" s="8" t="str">
        <f aca="false">TRIM(SUBSTITUTE($B174,CHAR(160)," "))</f>
        <v>078XXL חגורת גב +סגירה כפולה</v>
      </c>
    </row>
    <row r="175" customFormat="false" ht="15" hidden="false" customHeight="true" outlineLevel="0" collapsed="false">
      <c r="A175" s="8" t="n">
        <v>4408011</v>
      </c>
      <c r="B175" s="8" t="s">
        <v>1221</v>
      </c>
      <c r="C175" s="8" t="str">
        <f aca="false">TRIM(SUBSTITUTE($B175,CHAR(160)," "))</f>
        <v>079 M ח.גב סג.כפולה שחור+אדום</v>
      </c>
    </row>
    <row r="176" customFormat="false" ht="15" hidden="false" customHeight="true" outlineLevel="0" collapsed="false">
      <c r="A176" s="8" t="n">
        <v>4408010</v>
      </c>
      <c r="B176" s="8" t="s">
        <v>1220</v>
      </c>
      <c r="C176" s="8" t="str">
        <f aca="false">TRIM(SUBSTITUTE($B176,CHAR(160)," "))</f>
        <v>079 L ח.גב סג.כפולה שחור+אדום</v>
      </c>
    </row>
    <row r="177" customFormat="false" ht="15" hidden="false" customHeight="true" outlineLevel="0" collapsed="false">
      <c r="A177" s="8" t="n">
        <v>4408009</v>
      </c>
      <c r="B177" s="8" t="s">
        <v>1219</v>
      </c>
      <c r="C177" s="8" t="str">
        <f aca="false">TRIM(SUBSTITUTE($B177,CHAR(160)," "))</f>
        <v>079 S ח.גב סג. כפולה שחור+אדום</v>
      </c>
    </row>
    <row r="178" customFormat="false" ht="15" hidden="false" customHeight="true" outlineLevel="0" collapsed="false">
      <c r="A178" s="8" t="n">
        <v>4408012</v>
      </c>
      <c r="B178" s="8" t="s">
        <v>1222</v>
      </c>
      <c r="C178" s="8" t="str">
        <f aca="false">TRIM(SUBSTITUTE($B178,CHAR(160)," "))</f>
        <v>079 XL ח.גב סג.כפולה שחור+אדום</v>
      </c>
    </row>
    <row r="179" customFormat="false" ht="15" hidden="false" customHeight="true" outlineLevel="0" collapsed="false">
      <c r="A179" s="8" t="n">
        <v>4408013</v>
      </c>
      <c r="B179" s="8" t="s">
        <v>1223</v>
      </c>
      <c r="C179" s="8" t="str">
        <f aca="false">TRIM(SUBSTITUTE($B179,CHAR(160)," "))</f>
        <v>079 XXLח.גב סג.כפולה שחור+אדום</v>
      </c>
    </row>
    <row r="180" customFormat="false" ht="15" hidden="false" customHeight="true" outlineLevel="0" collapsed="false">
      <c r="A180" s="8" t="n">
        <v>4408015</v>
      </c>
      <c r="B180" s="8" t="s">
        <v>170</v>
      </c>
      <c r="C180" s="8" t="str">
        <f aca="false">TRIM(SUBSTITUTE($B180,CHAR(160)," "))</f>
        <v>07AU L ח.גב ""איטלקית"" אורירית</v>
      </c>
    </row>
    <row r="181" customFormat="false" ht="15" hidden="false" customHeight="true" outlineLevel="0" collapsed="false">
      <c r="A181" s="8" t="n">
        <v>4408016</v>
      </c>
      <c r="B181" s="8" t="s">
        <v>315</v>
      </c>
      <c r="C181" s="8" t="str">
        <f aca="false">TRIM(SUBSTITUTE($B181,CHAR(160)," "))</f>
        <v>07AU M ח.גב ""איטלקית"" אורירית</v>
      </c>
    </row>
    <row r="182" customFormat="false" ht="15" hidden="false" customHeight="true" outlineLevel="0" collapsed="false">
      <c r="A182" s="8" t="n">
        <v>4408014</v>
      </c>
      <c r="B182" s="8" t="s">
        <v>1224</v>
      </c>
      <c r="C182" s="8" t="str">
        <f aca="false">TRIM(SUBSTITUTE($B182,CHAR(160)," "))</f>
        <v>07AU S ח.גב ""איטלקית"" אורירית</v>
      </c>
    </row>
    <row r="183" customFormat="false" ht="15" hidden="false" customHeight="true" outlineLevel="0" collapsed="false">
      <c r="A183" s="8" t="n">
        <v>4408017</v>
      </c>
      <c r="B183" s="8" t="s">
        <v>206</v>
      </c>
      <c r="C183" s="8" t="str">
        <f aca="false">TRIM(SUBSTITUTE($B183,CHAR(160)," "))</f>
        <v>07AU XL ח.גב ""איטלקית"" אורירית</v>
      </c>
    </row>
    <row r="184" customFormat="false" ht="15" hidden="false" customHeight="true" outlineLevel="0" collapsed="false">
      <c r="A184" s="8" t="n">
        <v>4408018</v>
      </c>
      <c r="B184" s="8" t="s">
        <v>171</v>
      </c>
      <c r="C184" s="8" t="str">
        <f aca="false">TRIM(SUBSTITUTE($B184,CHAR(160)," "))</f>
        <v>07AU XXL.ח.גב ""איטלקית"" אוריר</v>
      </c>
    </row>
    <row r="185" customFormat="false" ht="15" hidden="false" customHeight="true" outlineLevel="0" collapsed="false">
      <c r="A185" s="8" t="n">
        <v>4408024</v>
      </c>
      <c r="B185" s="8" t="s">
        <v>1225</v>
      </c>
      <c r="C185" s="8" t="str">
        <f aca="false">TRIM(SUBSTITUTE($B185,CHAR(160)," "))</f>
        <v>07UC L-XLח.גב אמר+סגירה כפ.חום</v>
      </c>
    </row>
    <row r="186" customFormat="false" ht="15" hidden="false" customHeight="true" outlineLevel="0" collapsed="false">
      <c r="A186" s="8" t="n">
        <v>4408027</v>
      </c>
      <c r="B186" s="8" t="s">
        <v>1227</v>
      </c>
      <c r="C186" s="8" t="str">
        <f aca="false">TRIM(SUBSTITUTE($B186,CHAR(160)," "))</f>
        <v>10 L ""חגורת גב ""לומבו</v>
      </c>
    </row>
    <row r="187" customFormat="false" ht="15" hidden="false" customHeight="true" outlineLevel="0" collapsed="false">
      <c r="A187" s="8" t="n">
        <v>4408028</v>
      </c>
      <c r="B187" s="8" t="s">
        <v>1228</v>
      </c>
      <c r="C187" s="8" t="str">
        <f aca="false">TRIM(SUBSTITUTE($B187,CHAR(160)," "))</f>
        <v>10 M ""חגורת גב ""לומבו</v>
      </c>
    </row>
    <row r="188" customFormat="false" ht="15" hidden="false" customHeight="true" outlineLevel="0" collapsed="false">
      <c r="A188" s="8" t="n">
        <v>4408026</v>
      </c>
      <c r="B188" s="8" t="s">
        <v>1226</v>
      </c>
      <c r="C188" s="8" t="str">
        <f aca="false">TRIM(SUBSTITUTE($B188,CHAR(160)," "))</f>
        <v>10 S ""חגורת גב ""לומבו</v>
      </c>
    </row>
    <row r="189" customFormat="false" ht="15" hidden="false" customHeight="true" outlineLevel="0" collapsed="false">
      <c r="A189" s="8" t="n">
        <v>4408029</v>
      </c>
      <c r="B189" s="8" t="s">
        <v>1229</v>
      </c>
      <c r="C189" s="8" t="str">
        <f aca="false">TRIM(SUBSTITUTE($B189,CHAR(160)," "))</f>
        <v>10 XL ""חגורת גב ""לומבו</v>
      </c>
    </row>
    <row r="190" customFormat="false" ht="15" hidden="false" customHeight="true" outlineLevel="0" collapsed="false">
      <c r="A190" s="8" t="n">
        <v>4408030</v>
      </c>
      <c r="B190" s="8" t="s">
        <v>1230</v>
      </c>
      <c r="C190" s="8" t="str">
        <f aca="false">TRIM(SUBSTITUTE($B190,CHAR(160)," "))</f>
        <v>10 XXL""חגורת גב ""לומבו</v>
      </c>
    </row>
    <row r="191" customFormat="false" ht="15" hidden="false" customHeight="true" outlineLevel="0" collapsed="false">
      <c r="A191" s="8" t="n">
        <v>4408032</v>
      </c>
      <c r="B191" s="8" t="s">
        <v>77</v>
      </c>
      <c r="C191" s="8" t="str">
        <f aca="false">TRIM(SUBSTITUTE($B191,CHAR(160)," "))</f>
        <v>11 L""חגורת בטן""אורירית</v>
      </c>
    </row>
    <row r="192" customFormat="false" ht="15" hidden="false" customHeight="true" outlineLevel="0" collapsed="false">
      <c r="A192" s="8" t="n">
        <v>4408033</v>
      </c>
      <c r="B192" s="8" t="s">
        <v>99</v>
      </c>
      <c r="C192" s="8" t="str">
        <f aca="false">TRIM(SUBSTITUTE($B192,CHAR(160)," "))</f>
        <v>11 M""חגורת בטן""אורירית</v>
      </c>
    </row>
    <row r="193" customFormat="false" ht="15" hidden="false" customHeight="true" outlineLevel="0" collapsed="false">
      <c r="A193" s="8" t="n">
        <v>4408031</v>
      </c>
      <c r="B193" s="8" t="s">
        <v>316</v>
      </c>
      <c r="C193" s="8" t="str">
        <f aca="false">TRIM(SUBSTITUTE($B193,CHAR(160)," "))</f>
        <v>11 S""חגורת בטן""אורירית</v>
      </c>
    </row>
    <row r="194" customFormat="false" ht="15" hidden="false" customHeight="true" outlineLevel="0" collapsed="false">
      <c r="A194" s="8" t="n">
        <v>4408034</v>
      </c>
      <c r="B194" s="8" t="s">
        <v>69</v>
      </c>
      <c r="C194" s="8" t="str">
        <f aca="false">TRIM(SUBSTITUTE($B194,CHAR(160)," "))</f>
        <v>11 XL""חגורת בטן""אורירית</v>
      </c>
    </row>
    <row r="195" customFormat="false" ht="15" hidden="false" customHeight="true" outlineLevel="0" collapsed="false">
      <c r="A195" s="8" t="n">
        <v>4408175</v>
      </c>
      <c r="B195" s="8" t="s">
        <v>1302</v>
      </c>
      <c r="C195" s="8" t="str">
        <f aca="false">TRIM(SUBSTITUTE($B195,CHAR(160)," "))</f>
        <v>11 XS חגורת בטן</v>
      </c>
    </row>
    <row r="196" customFormat="false" ht="15" hidden="false" customHeight="true" outlineLevel="0" collapsed="false">
      <c r="A196" s="8" t="n">
        <v>4408035</v>
      </c>
      <c r="B196" s="8" t="s">
        <v>100</v>
      </c>
      <c r="C196" s="8" t="str">
        <f aca="false">TRIM(SUBSTITUTE($B196,CHAR(160)," "))</f>
        <v>11 XXL""חגורת בטן""אורירית</v>
      </c>
    </row>
    <row r="197" customFormat="false" ht="15" hidden="false" customHeight="true" outlineLevel="0" collapsed="false">
      <c r="A197" s="8" t="n">
        <v>4408115</v>
      </c>
      <c r="B197" s="8" t="s">
        <v>1279</v>
      </c>
      <c r="C197" s="8" t="str">
        <f aca="false">TRIM(SUBSTITUTE($B197,CHAR(160)," "))</f>
        <v>11EU L ח.בטן לאחר ניתוח</v>
      </c>
    </row>
    <row r="198" customFormat="false" ht="15" hidden="false" customHeight="true" outlineLevel="0" collapsed="false">
      <c r="A198" s="8" t="n">
        <v>4408114</v>
      </c>
      <c r="B198" s="8" t="s">
        <v>1278</v>
      </c>
      <c r="C198" s="8" t="str">
        <f aca="false">TRIM(SUBSTITUTE($B198,CHAR(160)," "))</f>
        <v>11EU M ח.בטן לאחר ניתוח</v>
      </c>
    </row>
    <row r="199" customFormat="false" ht="15" hidden="false" customHeight="true" outlineLevel="0" collapsed="false">
      <c r="A199" s="8" t="n">
        <v>4408113</v>
      </c>
      <c r="B199" s="8" t="s">
        <v>1277</v>
      </c>
      <c r="C199" s="8" t="str">
        <f aca="false">TRIM(SUBSTITUTE($B199,CHAR(160)," "))</f>
        <v>11EU S ח.בטן לאחר ניתוח</v>
      </c>
    </row>
    <row r="200" customFormat="false" ht="15" hidden="false" customHeight="true" outlineLevel="0" collapsed="false">
      <c r="A200" s="8" t="n">
        <v>4408116</v>
      </c>
      <c r="B200" s="8" t="s">
        <v>1280</v>
      </c>
      <c r="C200" s="8" t="str">
        <f aca="false">TRIM(SUBSTITUTE($B200,CHAR(160)," "))</f>
        <v>11EU XLח.בטן לאחר ניתוח</v>
      </c>
    </row>
    <row r="201" customFormat="false" ht="15" hidden="false" customHeight="true" outlineLevel="0" collapsed="false">
      <c r="A201" s="8" t="n">
        <v>4408132</v>
      </c>
      <c r="B201" s="8" t="s">
        <v>1288</v>
      </c>
      <c r="C201" s="8" t="str">
        <f aca="false">TRIM(SUBSTITUTE($B201,CHAR(160)," "))</f>
        <v>11EU XXL חגורת בטןלאחר ניתוח</v>
      </c>
    </row>
    <row r="202" customFormat="false" ht="15" hidden="false" customHeight="true" outlineLevel="0" collapsed="false">
      <c r="A202" s="8" t="n">
        <v>4408147</v>
      </c>
      <c r="B202" s="8" t="s">
        <v>1294</v>
      </c>
      <c r="C202" s="8" t="str">
        <f aca="false">TRIM(SUBSTITUTE($B202,CHAR(160)," "))</f>
        <v>11PS Lחגורה למנותחי בטן</v>
      </c>
    </row>
    <row r="203" customFormat="false" ht="15" hidden="false" customHeight="true" outlineLevel="0" collapsed="false">
      <c r="A203" s="8" t="n">
        <v>4408146</v>
      </c>
      <c r="B203" s="8" t="s">
        <v>1772</v>
      </c>
      <c r="C203" s="8" t="str">
        <f aca="false">TRIM(SUBSTITUTE($B203,CHAR(160)," "))</f>
        <v>11PS Mחגורה למנותחי בטן</v>
      </c>
    </row>
    <row r="204" customFormat="false" ht="15" hidden="false" customHeight="true" outlineLevel="0" collapsed="false">
      <c r="A204" s="8" t="n">
        <v>4408145</v>
      </c>
      <c r="B204" s="8" t="s">
        <v>1771</v>
      </c>
      <c r="C204" s="8" t="str">
        <f aca="false">TRIM(SUBSTITUTE($B204,CHAR(160)," "))</f>
        <v>11PS Sחגורה למנותחי בטן</v>
      </c>
    </row>
    <row r="205" customFormat="false" ht="15" hidden="false" customHeight="true" outlineLevel="0" collapsed="false">
      <c r="A205" s="8" t="n">
        <v>4408148</v>
      </c>
      <c r="B205" s="8" t="s">
        <v>1295</v>
      </c>
      <c r="C205" s="8" t="str">
        <f aca="false">TRIM(SUBSTITUTE($B205,CHAR(160)," "))</f>
        <v>11PS XLחגורה למנותחי בטן</v>
      </c>
    </row>
    <row r="206" customFormat="false" ht="15" hidden="false" customHeight="true" outlineLevel="0" collapsed="false">
      <c r="A206" s="8" t="n">
        <v>4408149</v>
      </c>
      <c r="B206" s="8" t="s">
        <v>1296</v>
      </c>
      <c r="C206" s="8" t="str">
        <f aca="false">TRIM(SUBSTITUTE($B206,CHAR(160)," "))</f>
        <v>11PS XXLחגורה למנותחי בטן</v>
      </c>
    </row>
    <row r="207" customFormat="false" ht="15" hidden="false" customHeight="true" outlineLevel="0" collapsed="false">
      <c r="A207" s="8" t="n">
        <v>4408261</v>
      </c>
      <c r="B207" s="8" t="s">
        <v>1753</v>
      </c>
      <c r="C207" s="8" t="str">
        <f aca="false">TRIM(SUBSTITUTE($B207,CHAR(160)," "))</f>
        <v>11STO L חגורה אחרי ניתוח</v>
      </c>
    </row>
    <row r="208" customFormat="false" ht="15" hidden="false" customHeight="true" outlineLevel="0" collapsed="false">
      <c r="A208" s="8" t="n">
        <v>4408260</v>
      </c>
      <c r="B208" s="8" t="s">
        <v>1336</v>
      </c>
      <c r="C208" s="8" t="str">
        <f aca="false">TRIM(SUBSTITUTE($B208,CHAR(160)," "))</f>
        <v>11STO M חגורה אחרי ניתוח</v>
      </c>
    </row>
    <row r="209" customFormat="false" ht="15" hidden="false" customHeight="true" outlineLevel="0" collapsed="false">
      <c r="A209" s="8" t="n">
        <v>4408259</v>
      </c>
      <c r="B209" s="8" t="s">
        <v>1335</v>
      </c>
      <c r="C209" s="8" t="str">
        <f aca="false">TRIM(SUBSTITUTE($B209,CHAR(160)," "))</f>
        <v>11STO S חגורה אחרי ניתוח</v>
      </c>
    </row>
    <row r="210" customFormat="false" ht="15" hidden="false" customHeight="true" outlineLevel="0" collapsed="false">
      <c r="A210" s="8" t="n">
        <v>4408262</v>
      </c>
      <c r="B210" s="8" t="s">
        <v>1337</v>
      </c>
      <c r="C210" s="8" t="str">
        <f aca="false">TRIM(SUBSTITUTE($B210,CHAR(160)," "))</f>
        <v>11STO XL חגורה אחרי ניתוח</v>
      </c>
    </row>
    <row r="211" customFormat="false" ht="15" hidden="false" customHeight="true" outlineLevel="0" collapsed="false">
      <c r="A211" s="8" t="n">
        <v>4408263</v>
      </c>
      <c r="B211" s="8" t="s">
        <v>1754</v>
      </c>
      <c r="C211" s="8" t="str">
        <f aca="false">TRIM(SUBSTITUTE($B211,CHAR(160)," "))</f>
        <v>11STO XXL חגורה אחרי ניתוח</v>
      </c>
    </row>
    <row r="212" customFormat="false" ht="15" hidden="false" customHeight="true" outlineLevel="0" collapsed="false">
      <c r="A212" s="8" t="n">
        <v>4408152</v>
      </c>
      <c r="B212" s="8" t="s">
        <v>1299</v>
      </c>
      <c r="C212" s="8" t="str">
        <f aca="false">TRIM(SUBSTITUTE($B212,CHAR(160)," "))</f>
        <v>11TO L חגורה למנותחי בית החזה</v>
      </c>
    </row>
    <row r="213" customFormat="false" ht="15" hidden="false" customHeight="true" outlineLevel="0" collapsed="false">
      <c r="A213" s="8" t="n">
        <v>4408151</v>
      </c>
      <c r="B213" s="8" t="s">
        <v>1298</v>
      </c>
      <c r="C213" s="8" t="str">
        <f aca="false">TRIM(SUBSTITUTE($B213,CHAR(160)," "))</f>
        <v>11TO M חגורה למנותחי בית החזה</v>
      </c>
    </row>
    <row r="214" customFormat="false" ht="15" hidden="false" customHeight="true" outlineLevel="0" collapsed="false">
      <c r="A214" s="8" t="n">
        <v>4408150</v>
      </c>
      <c r="B214" s="8" t="s">
        <v>1297</v>
      </c>
      <c r="C214" s="8" t="str">
        <f aca="false">TRIM(SUBSTITUTE($B214,CHAR(160)," "))</f>
        <v>11TO S חגורה למנותחי בית החזה</v>
      </c>
    </row>
    <row r="215" customFormat="false" ht="15" hidden="false" customHeight="true" outlineLevel="0" collapsed="false">
      <c r="A215" s="8" t="n">
        <v>4408153</v>
      </c>
      <c r="B215" s="8" t="s">
        <v>1300</v>
      </c>
      <c r="C215" s="8" t="str">
        <f aca="false">TRIM(SUBSTITUTE($B215,CHAR(160)," "))</f>
        <v>11TO XLחגורה למנותחי בית החזה</v>
      </c>
    </row>
    <row r="216" customFormat="false" ht="15" hidden="false" customHeight="true" outlineLevel="0" collapsed="false">
      <c r="A216" s="8" t="n">
        <v>4408154</v>
      </c>
      <c r="B216" s="8" t="s">
        <v>1301</v>
      </c>
      <c r="C216" s="8" t="str">
        <f aca="false">TRIM(SUBSTITUTE($B216,CHAR(160)," "))</f>
        <v>11TO XXLחגורה למנותחי בית החזה</v>
      </c>
    </row>
    <row r="217" customFormat="false" ht="15" hidden="false" customHeight="true" outlineLevel="0" collapsed="false">
      <c r="A217" s="8" t="n">
        <v>4408100</v>
      </c>
      <c r="B217" s="8" t="s">
        <v>1275</v>
      </c>
      <c r="C217" s="8" t="str">
        <f aca="false">TRIM(SUBSTITUTE($B217,CHAR(160)," "))</f>
        <v>11U Lחגורת בטן וחזה אחרי ניתוח</v>
      </c>
    </row>
    <row r="218" customFormat="false" ht="15" hidden="false" customHeight="true" outlineLevel="0" collapsed="false">
      <c r="A218" s="8" t="n">
        <v>4408101</v>
      </c>
      <c r="B218" s="8" t="s">
        <v>1892</v>
      </c>
      <c r="C218" s="8" t="str">
        <f aca="false">TRIM(SUBSTITUTE($B218,CHAR(160)," "))</f>
        <v>11U Mחגורת בטן וחזה אחרי ניתוח</v>
      </c>
    </row>
    <row r="219" customFormat="false" ht="15" hidden="false" customHeight="true" outlineLevel="0" collapsed="false">
      <c r="A219" s="8" t="n">
        <v>4408103</v>
      </c>
      <c r="B219" s="8" t="s">
        <v>1893</v>
      </c>
      <c r="C219" s="8" t="str">
        <f aca="false">TRIM(SUBSTITUTE($B219,CHAR(160)," "))</f>
        <v>11U XL ח.בטן לאחר ניתוח קלה</v>
      </c>
    </row>
    <row r="220" customFormat="false" ht="15" hidden="false" customHeight="true" outlineLevel="0" collapsed="false">
      <c r="A220" s="8" t="n">
        <v>4408239</v>
      </c>
      <c r="B220" s="8" t="s">
        <v>1894</v>
      </c>
      <c r="C220" s="8" t="str">
        <f aca="false">TRIM(SUBSTITUTE($B220,CHAR(160)," "))</f>
        <v>11UC'M'תתחגורת בטן עממית בז</v>
      </c>
    </row>
    <row r="221" customFormat="false" ht="15" hidden="false" customHeight="true" outlineLevel="0" collapsed="false">
      <c r="A221" s="8" t="n">
        <v>4408240</v>
      </c>
      <c r="B221" s="8" t="s">
        <v>1802</v>
      </c>
      <c r="C221" s="8" t="str">
        <f aca="false">TRIM(SUBSTITUTE($B221,CHAR(160)," "))</f>
        <v>11UC S'תתחגורת בטן עממית בז</v>
      </c>
    </row>
    <row r="222" customFormat="false" ht="15" hidden="false" customHeight="true" outlineLevel="0" collapsed="false">
      <c r="A222" s="8" t="n">
        <v>4408241</v>
      </c>
      <c r="B222" s="8" t="s">
        <v>1895</v>
      </c>
      <c r="C222" s="8" t="str">
        <f aca="false">TRIM(SUBSTITUTE($B222,CHAR(160)," "))</f>
        <v>11UC XL 'תתחגורת בטן עממ.בז</v>
      </c>
    </row>
    <row r="223" customFormat="false" ht="15" hidden="false" customHeight="true" outlineLevel="0" collapsed="false">
      <c r="A223" s="8" t="n">
        <v>4408037</v>
      </c>
      <c r="B223" s="8" t="s">
        <v>1896</v>
      </c>
      <c r="C223" s="8" t="str">
        <f aca="false">TRIM(SUBSTITUTE($B223,CHAR(160)," "))</f>
        <v>12 L ח.גב מגנטית+מוטות תמיכה</v>
      </c>
    </row>
    <row r="224" customFormat="false" ht="15" hidden="false" customHeight="true" outlineLevel="0" collapsed="false">
      <c r="A224" s="8" t="n">
        <v>4408038</v>
      </c>
      <c r="B224" s="8" t="s">
        <v>1797</v>
      </c>
      <c r="C224" s="8" t="str">
        <f aca="false">TRIM(SUBSTITUTE($B224,CHAR(160)," "))</f>
        <v>12 M ח.גב מגנטית+מוטות תמיכה</v>
      </c>
    </row>
    <row r="225" customFormat="false" ht="15" hidden="false" customHeight="true" outlineLevel="0" collapsed="false">
      <c r="A225" s="8" t="n">
        <v>4408036</v>
      </c>
      <c r="B225" s="8" t="s">
        <v>1897</v>
      </c>
      <c r="C225" s="8" t="str">
        <f aca="false">TRIM(SUBSTITUTE($B225,CHAR(160)," "))</f>
        <v>12 S ח.גב מגנטית+מוטות תמיכה</v>
      </c>
    </row>
    <row r="226" customFormat="false" ht="15" hidden="false" customHeight="true" outlineLevel="0" collapsed="false">
      <c r="A226" s="8" t="n">
        <v>4408039</v>
      </c>
      <c r="B226" s="8" t="s">
        <v>1798</v>
      </c>
      <c r="C226" s="8" t="str">
        <f aca="false">TRIM(SUBSTITUTE($B226,CHAR(160)," "))</f>
        <v>12 XL ח.גב מגנטית+מוטות תמיכה</v>
      </c>
    </row>
    <row r="227" customFormat="false" ht="15" hidden="false" customHeight="true" outlineLevel="0" collapsed="false">
      <c r="A227" s="8" t="n">
        <v>4408178</v>
      </c>
      <c r="B227" s="8" t="s">
        <v>1304</v>
      </c>
      <c r="C227" s="8" t="str">
        <f aca="false">TRIM(SUBSTITUTE($B227,CHAR(160)," "))</f>
        <v>13 L חגורה לשבר טבור</v>
      </c>
    </row>
    <row r="228" customFormat="false" ht="15" hidden="false" customHeight="true" outlineLevel="0" collapsed="false">
      <c r="A228" s="8" t="n">
        <v>4408177</v>
      </c>
      <c r="B228" s="8" t="s">
        <v>1303</v>
      </c>
      <c r="C228" s="8" t="str">
        <f aca="false">TRIM(SUBSTITUTE($B228,CHAR(160)," "))</f>
        <v>13 M חגורה לשבר טבור</v>
      </c>
    </row>
    <row r="229" customFormat="false" ht="15" hidden="false" customHeight="true" outlineLevel="0" collapsed="false">
      <c r="A229" s="8" t="n">
        <v>4408176</v>
      </c>
      <c r="B229" s="8" t="s">
        <v>1898</v>
      </c>
      <c r="C229" s="8" t="str">
        <f aca="false">TRIM(SUBSTITUTE($B229,CHAR(160)," "))</f>
        <v>13 S חגורה לשבר טבור</v>
      </c>
    </row>
    <row r="230" customFormat="false" ht="15" hidden="false" customHeight="true" outlineLevel="0" collapsed="false">
      <c r="A230" s="8" t="n">
        <v>4408179</v>
      </c>
      <c r="B230" s="8" t="s">
        <v>1305</v>
      </c>
      <c r="C230" s="8" t="str">
        <f aca="false">TRIM(SUBSTITUTE($B230,CHAR(160)," "))</f>
        <v>13 XL חגורה לשבר טבור</v>
      </c>
    </row>
    <row r="231" customFormat="false" ht="15" hidden="false" customHeight="true" outlineLevel="0" collapsed="false">
      <c r="A231" s="8" t="n">
        <v>4408180</v>
      </c>
      <c r="B231" s="8" t="s">
        <v>1306</v>
      </c>
      <c r="C231" s="8" t="str">
        <f aca="false">TRIM(SUBSTITUTE($B231,CHAR(160)," "))</f>
        <v>13 XXL חגורה לשבר טבור</v>
      </c>
    </row>
    <row r="232" customFormat="false" ht="15" hidden="false" customHeight="true" outlineLevel="0" collapsed="false">
      <c r="A232" s="8" t="n">
        <v>4408203</v>
      </c>
      <c r="B232" s="8" t="s">
        <v>1309</v>
      </c>
      <c r="C232" s="8" t="str">
        <f aca="false">TRIM(SUBSTITUTE($B232,CHAR(160)," "))</f>
        <v>14 0 חגורה למנותחי בית חזה</v>
      </c>
    </row>
    <row r="233" customFormat="false" ht="15" hidden="false" customHeight="true" outlineLevel="0" collapsed="false">
      <c r="A233" s="8" t="n">
        <v>4408122</v>
      </c>
      <c r="B233" s="8" t="s">
        <v>1283</v>
      </c>
      <c r="C233" s="8" t="str">
        <f aca="false">TRIM(SUBSTITUTE($B233,CHAR(160)," "))</f>
        <v>15M L חגורת צלעות לגבר</v>
      </c>
    </row>
    <row r="234" customFormat="false" ht="15" hidden="false" customHeight="true" outlineLevel="0" collapsed="false">
      <c r="A234" s="8" t="n">
        <v>4408129</v>
      </c>
      <c r="B234" s="8" t="s">
        <v>1285</v>
      </c>
      <c r="C234" s="8" t="str">
        <f aca="false">TRIM(SUBSTITUTE($B234,CHAR(160)," "))</f>
        <v>15M M חגורת צלעות לגבר</v>
      </c>
    </row>
    <row r="235" customFormat="false" ht="15" hidden="false" customHeight="true" outlineLevel="0" collapsed="false">
      <c r="A235" s="8" t="n">
        <v>4408123</v>
      </c>
      <c r="B235" s="8" t="s">
        <v>1899</v>
      </c>
      <c r="C235" s="8" t="str">
        <f aca="false">TRIM(SUBSTITUTE($B235,CHAR(160)," "))</f>
        <v>15M XL חגורת צלעות לגבר</v>
      </c>
    </row>
    <row r="236" customFormat="false" ht="15" hidden="false" customHeight="true" outlineLevel="0" collapsed="false">
      <c r="A236" s="8" t="n">
        <v>4408131</v>
      </c>
      <c r="B236" s="8" t="s">
        <v>1287</v>
      </c>
      <c r="C236" s="8" t="str">
        <f aca="false">TRIM(SUBSTITUTE($B236,CHAR(160)," "))</f>
        <v>15W L חגורת צלעות לאשה</v>
      </c>
    </row>
    <row r="237" customFormat="false" ht="15" hidden="false" customHeight="true" outlineLevel="0" collapsed="false">
      <c r="A237" s="8" t="n">
        <v>4408130</v>
      </c>
      <c r="B237" s="8" t="s">
        <v>1286</v>
      </c>
      <c r="C237" s="8" t="str">
        <f aca="false">TRIM(SUBSTITUTE($B237,CHAR(160)," "))</f>
        <v>15W M חגורת צלעות לאשה</v>
      </c>
    </row>
    <row r="238" customFormat="false" ht="15" hidden="false" customHeight="true" outlineLevel="0" collapsed="false">
      <c r="A238" s="8" t="n">
        <v>4408126</v>
      </c>
      <c r="B238" s="8" t="s">
        <v>1284</v>
      </c>
      <c r="C238" s="8" t="str">
        <f aca="false">TRIM(SUBSTITUTE($B238,CHAR(160)," "))</f>
        <v>15W XL חגורת צלעות לאשה</v>
      </c>
    </row>
    <row r="239" customFormat="false" ht="15" hidden="false" customHeight="true" outlineLevel="0" collapsed="false">
      <c r="A239" s="8" t="n">
        <v>4408127</v>
      </c>
      <c r="B239" s="8" t="s">
        <v>1900</v>
      </c>
      <c r="C239" s="8" t="str">
        <f aca="false">TRIM(SUBSTITUTE($B239,CHAR(160)," "))</f>
        <v>15W XXL חגורת צלעות לאשה</v>
      </c>
    </row>
    <row r="240" customFormat="false" ht="15" hidden="false" customHeight="true" outlineLevel="0" collapsed="false">
      <c r="A240" s="8" t="n">
        <v>4408230</v>
      </c>
      <c r="B240" s="8" t="s">
        <v>1325</v>
      </c>
      <c r="C240" s="8" t="str">
        <f aca="false">TRIM(SUBSTITUTE($B240,CHAR(160)," "))</f>
        <v>16 L-XL חגורת הריון</v>
      </c>
    </row>
    <row r="241" customFormat="false" ht="15" hidden="false" customHeight="true" outlineLevel="0" collapsed="false">
      <c r="A241" s="8" t="n">
        <v>4408231</v>
      </c>
      <c r="B241" s="8" t="s">
        <v>1326</v>
      </c>
      <c r="C241" s="8" t="str">
        <f aca="false">TRIM(SUBSTITUTE($B241,CHAR(160)," "))</f>
        <v>16 S-M חגורת הריון</v>
      </c>
    </row>
    <row r="242" customFormat="false" ht="15" hidden="false" customHeight="true" outlineLevel="0" collapsed="false">
      <c r="A242" s="8" t="n">
        <v>4408232</v>
      </c>
      <c r="B242" s="8" t="s">
        <v>1327</v>
      </c>
      <c r="C242" s="8" t="str">
        <f aca="false">TRIM(SUBSTITUTE($B242,CHAR(160)," "))</f>
        <v>16 XXL חגורת הריון</v>
      </c>
    </row>
    <row r="243" customFormat="false" ht="15" hidden="false" customHeight="true" outlineLevel="0" collapsed="false">
      <c r="A243" s="8" t="n">
        <v>4408044</v>
      </c>
      <c r="B243" s="8" t="s">
        <v>1234</v>
      </c>
      <c r="C243" s="8" t="str">
        <f aca="false">TRIM(SUBSTITUTE($B243,CHAR(160)," "))</f>
        <v>18 XL.ח.הריון מכנס למניעת כאב</v>
      </c>
    </row>
    <row r="244" customFormat="false" ht="15" hidden="false" customHeight="true" outlineLevel="0" collapsed="false">
      <c r="A244" s="8" t="n">
        <v>4408042</v>
      </c>
      <c r="B244" s="8" t="s">
        <v>1232</v>
      </c>
      <c r="C244" s="8" t="str">
        <f aca="false">TRIM(SUBSTITUTE($B244,CHAR(160)," "))</f>
        <v>18 L ח.הריון מכנס למניעת כאבים</v>
      </c>
    </row>
    <row r="245" customFormat="false" ht="15" hidden="false" customHeight="true" outlineLevel="0" collapsed="false">
      <c r="A245" s="8" t="n">
        <v>4408043</v>
      </c>
      <c r="B245" s="8" t="s">
        <v>1233</v>
      </c>
      <c r="C245" s="8" t="str">
        <f aca="false">TRIM(SUBSTITUTE($B245,CHAR(160)," "))</f>
        <v>18 M ח.הריון מכנס למניעת כאבים</v>
      </c>
    </row>
    <row r="246" customFormat="false" ht="15" hidden="false" customHeight="true" outlineLevel="0" collapsed="false">
      <c r="A246" s="8" t="n">
        <v>4408041</v>
      </c>
      <c r="B246" s="8" t="s">
        <v>1231</v>
      </c>
      <c r="C246" s="8" t="str">
        <f aca="false">TRIM(SUBSTITUTE($B246,CHAR(160)," "))</f>
        <v>18 S ח.הריון מכנס למניעת כאבים</v>
      </c>
    </row>
    <row r="247" customFormat="false" ht="15" hidden="false" customHeight="true" outlineLevel="0" collapsed="false">
      <c r="A247" s="8" t="n">
        <v>4408104</v>
      </c>
      <c r="B247" s="8" t="s">
        <v>1770</v>
      </c>
      <c r="C247" s="8" t="str">
        <f aca="false">TRIM(SUBSTITUTE($B247,CHAR(160)," "))</f>
        <v>19 L-XLחגורת הריון בכאב.חזק</v>
      </c>
    </row>
    <row r="248" customFormat="false" ht="15" hidden="false" customHeight="true" outlineLevel="0" collapsed="false">
      <c r="A248" s="8" t="n">
        <v>4408105</v>
      </c>
      <c r="B248" s="8" t="s">
        <v>1276</v>
      </c>
      <c r="C248" s="8" t="str">
        <f aca="false">TRIM(SUBSTITUTE($B248,CHAR(160)," "))</f>
        <v>19 S-M חגורת הריון בכאב חזק</v>
      </c>
    </row>
    <row r="249" customFormat="false" ht="15" hidden="false" customHeight="true" outlineLevel="0" collapsed="false">
      <c r="A249" s="8" t="n">
        <v>4408109</v>
      </c>
      <c r="B249" s="8" t="s">
        <v>1901</v>
      </c>
      <c r="C249" s="8" t="str">
        <f aca="false">TRIM(SUBSTITUTE($B249,CHAR(160)," "))</f>
        <v>70 L חגורת פיסוק פאב</v>
      </c>
    </row>
    <row r="250" customFormat="false" ht="15" hidden="false" customHeight="true" outlineLevel="0" collapsed="false">
      <c r="A250" s="8" t="n">
        <v>4408108</v>
      </c>
      <c r="B250" s="8" t="s">
        <v>1902</v>
      </c>
      <c r="C250" s="8" t="str">
        <f aca="false">TRIM(SUBSTITUTE($B250,CHAR(160)," "))</f>
        <v>70 M חגורת פיסוק פאב</v>
      </c>
    </row>
    <row r="251" customFormat="false" ht="15" hidden="false" customHeight="true" outlineLevel="0" collapsed="false">
      <c r="A251" s="8" t="n">
        <v>4408107</v>
      </c>
      <c r="B251" s="8" t="s">
        <v>1903</v>
      </c>
      <c r="C251" s="8" t="str">
        <f aca="false">TRIM(SUBSTITUTE($B251,CHAR(160)," "))</f>
        <v>70 S חגורת פיסוק פאב</v>
      </c>
    </row>
    <row r="252" customFormat="false" ht="15" hidden="false" customHeight="true" outlineLevel="0" collapsed="false">
      <c r="A252" s="8" t="n">
        <v>4408274</v>
      </c>
      <c r="B252" s="8" t="s">
        <v>1343</v>
      </c>
      <c r="C252" s="8" t="str">
        <f aca="false">TRIM(SUBSTITUTE($B252,CHAR(160)," "))</f>
        <v>70N L חגורת פאבליק</v>
      </c>
    </row>
    <row r="253" customFormat="false" ht="15" hidden="false" customHeight="true" outlineLevel="0" collapsed="false">
      <c r="A253" s="8" t="n">
        <v>4408273</v>
      </c>
      <c r="B253" s="8" t="s">
        <v>1342</v>
      </c>
      <c r="C253" s="8" t="str">
        <f aca="false">TRIM(SUBSTITUTE($B253,CHAR(160)," "))</f>
        <v>70N M חגורת פאבליק</v>
      </c>
    </row>
    <row r="254" customFormat="false" ht="15" hidden="false" customHeight="true" outlineLevel="0" collapsed="false">
      <c r="A254" s="8" t="n">
        <v>4408272</v>
      </c>
      <c r="B254" s="8" t="s">
        <v>1341</v>
      </c>
      <c r="C254" s="8" t="str">
        <f aca="false">TRIM(SUBSTITUTE($B254,CHAR(160)," "))</f>
        <v>70N S חגורת פאבליק</v>
      </c>
    </row>
    <row r="255" customFormat="false" ht="15" hidden="false" customHeight="true" outlineLevel="0" collapsed="false">
      <c r="A255" s="8" t="n">
        <v>4408271</v>
      </c>
      <c r="B255" s="8" t="s">
        <v>1759</v>
      </c>
      <c r="C255" s="8" t="str">
        <f aca="false">TRIM(SUBSTITUTE($B255,CHAR(160)," "))</f>
        <v>70N XS חגורת פאבליק</v>
      </c>
    </row>
    <row r="256" customFormat="false" ht="15" hidden="false" customHeight="true" outlineLevel="0" collapsed="false">
      <c r="A256" s="8" t="n">
        <v>4408143</v>
      </c>
      <c r="B256" s="8" t="s">
        <v>1904</v>
      </c>
      <c r="C256" s="8" t="str">
        <f aca="false">TRIM(SUBSTITUTE($B256,CHAR(160)," "))</f>
        <v>776 L ח.גב גבוהה</v>
      </c>
    </row>
    <row r="257" customFormat="false" ht="15" hidden="false" customHeight="true" outlineLevel="0" collapsed="false">
      <c r="A257" s="8" t="n">
        <v>4408142</v>
      </c>
      <c r="B257" s="8" t="s">
        <v>1293</v>
      </c>
      <c r="C257" s="8" t="str">
        <f aca="false">TRIM(SUBSTITUTE($B257,CHAR(160)," "))</f>
        <v>776 M ח.גב גבוהה</v>
      </c>
    </row>
    <row r="258" customFormat="false" ht="15" hidden="false" customHeight="true" outlineLevel="0" collapsed="false">
      <c r="A258" s="8" t="n">
        <v>4408144</v>
      </c>
      <c r="B258" s="8" t="s">
        <v>1905</v>
      </c>
      <c r="C258" s="8" t="str">
        <f aca="false">TRIM(SUBSTITUTE($B258,CHAR(160)," "))</f>
        <v>776 XL ח.גב גבוהה</v>
      </c>
    </row>
    <row r="259" customFormat="false" ht="15" hidden="false" customHeight="true" outlineLevel="0" collapsed="false">
      <c r="A259" s="8" t="n">
        <v>4408205</v>
      </c>
      <c r="B259" s="8" t="s">
        <v>1310</v>
      </c>
      <c r="C259" s="8" t="str">
        <f aca="false">TRIM(SUBSTITUTE($B259,CHAR(160)," "))</f>
        <v>AC-07 חגורת גב עם תמיכות</v>
      </c>
    </row>
    <row r="260" customFormat="false" ht="15" hidden="false" customHeight="true" outlineLevel="0" collapsed="false">
      <c r="A260" s="8" t="n">
        <v>4408206</v>
      </c>
      <c r="B260" s="8" t="s">
        <v>1311</v>
      </c>
      <c r="C260" s="8" t="str">
        <f aca="false">TRIM(SUBSTITUTE($B260,CHAR(160)," "))</f>
        <v>AC-11 חגורת בטן קלה</v>
      </c>
    </row>
    <row r="261" customFormat="false" ht="15" hidden="false" customHeight="true" outlineLevel="0" collapsed="false">
      <c r="A261" s="8" t="n">
        <v>4408252</v>
      </c>
      <c r="B261" s="8" t="s">
        <v>1774</v>
      </c>
      <c r="C261" s="8" t="str">
        <f aca="false">TRIM(SUBSTITUTE($B261,CHAR(160)," "))</f>
        <v>L-XL 099 חגורת גב שרוכים</v>
      </c>
    </row>
    <row r="262" customFormat="false" ht="15" hidden="false" customHeight="true" outlineLevel="0" collapsed="false">
      <c r="A262" s="8" t="n">
        <v>4408226</v>
      </c>
      <c r="B262" s="8" t="s">
        <v>1322</v>
      </c>
      <c r="C262" s="8" t="str">
        <f aca="false">TRIM(SUBSTITUTE($B262,CHAR(160)," "))</f>
        <v>L 11 אפורUG חגורת בטן</v>
      </c>
    </row>
    <row r="263" customFormat="false" ht="15" hidden="false" customHeight="true" outlineLevel="0" collapsed="false">
      <c r="A263" s="8" t="n">
        <v>4408225</v>
      </c>
      <c r="B263" s="8" t="s">
        <v>1321</v>
      </c>
      <c r="C263" s="8" t="str">
        <f aca="false">TRIM(SUBSTITUTE($B263,CHAR(160)," "))</f>
        <v>M 11 אפורUG חגורת בטן</v>
      </c>
    </row>
    <row r="264" customFormat="false" ht="15" hidden="false" customHeight="true" outlineLevel="0" collapsed="false">
      <c r="A264" s="8" t="n">
        <v>4408190</v>
      </c>
      <c r="B264" s="8" t="s">
        <v>1307</v>
      </c>
      <c r="C264" s="8" t="str">
        <f aca="false">TRIM(SUBSTITUTE($B264,CHAR(160)," "))</f>
        <v>M078 חגורת גב +סגירה כפולה</v>
      </c>
    </row>
    <row r="265" customFormat="false" ht="15" hidden="false" customHeight="true" outlineLevel="0" collapsed="false">
      <c r="A265" s="8" t="n">
        <v>4408251</v>
      </c>
      <c r="B265" s="8" t="s">
        <v>1803</v>
      </c>
      <c r="C265" s="8" t="str">
        <f aca="false">TRIM(SUBSTITUTE($B265,CHAR(160)," "))</f>
        <v>S-M 099 חגורת גב שרוכים</v>
      </c>
    </row>
    <row r="266" customFormat="false" ht="15" hidden="false" customHeight="true" outlineLevel="0" collapsed="false">
      <c r="A266" s="8" t="n">
        <v>4408224</v>
      </c>
      <c r="B266" s="8" t="s">
        <v>1800</v>
      </c>
      <c r="C266" s="8" t="str">
        <f aca="false">TRIM(SUBSTITUTE($B266,CHAR(160)," "))</f>
        <v>S 11 אפורUGחגורת בטן</v>
      </c>
    </row>
    <row r="267" customFormat="false" ht="15" hidden="false" customHeight="true" outlineLevel="0" collapsed="false">
      <c r="A267" s="8" t="n">
        <v>4408217</v>
      </c>
      <c r="B267" s="8" t="s">
        <v>1314</v>
      </c>
      <c r="C267" s="8" t="str">
        <f aca="false">TRIM(SUBSTITUTE($B267,CHAR(160)," "))</f>
        <v>S078 חגורת גב +סגירה כפולה</v>
      </c>
    </row>
    <row r="268" customFormat="false" ht="15" hidden="false" customHeight="true" outlineLevel="0" collapsed="false">
      <c r="A268" s="8" t="n">
        <v>4408270</v>
      </c>
      <c r="B268" s="8" t="s">
        <v>1758</v>
      </c>
      <c r="C268" s="8" t="str">
        <f aca="false">TRIM(SUBSTITUTE($B268,CHAR(160)," "))</f>
        <v>ST11 חגורת בטן</v>
      </c>
    </row>
    <row r="269" customFormat="false" ht="15" hidden="false" customHeight="true" outlineLevel="0" collapsed="false">
      <c r="A269" s="8" t="n">
        <v>4408090</v>
      </c>
      <c r="B269" s="8" t="s">
        <v>1265</v>
      </c>
      <c r="C269" s="8" t="str">
        <f aca="false">TRIM(SUBSTITUTE($B269,CHAR(160)," "))</f>
        <v>T11C L חגורת גב פוג'יאמה</v>
      </c>
    </row>
    <row r="270" customFormat="false" ht="15" hidden="false" customHeight="true" outlineLevel="0" collapsed="false">
      <c r="A270" s="8" t="n">
        <v>4408091</v>
      </c>
      <c r="B270" s="8" t="s">
        <v>1266</v>
      </c>
      <c r="C270" s="8" t="str">
        <f aca="false">TRIM(SUBSTITUTE($B270,CHAR(160)," "))</f>
        <v>T11C M חגורת גב פוג'יאמה</v>
      </c>
    </row>
    <row r="271" customFormat="false" ht="15" hidden="false" customHeight="true" outlineLevel="0" collapsed="false">
      <c r="A271" s="8" t="n">
        <v>4408089</v>
      </c>
      <c r="B271" s="8" t="s">
        <v>1264</v>
      </c>
      <c r="C271" s="8" t="str">
        <f aca="false">TRIM(SUBSTITUTE($B271,CHAR(160)," "))</f>
        <v>T11C S חגורת גב פוג'יאמה</v>
      </c>
    </row>
    <row r="272" customFormat="false" ht="15" hidden="false" customHeight="true" outlineLevel="0" collapsed="false">
      <c r="A272" s="8" t="n">
        <v>4408092</v>
      </c>
      <c r="B272" s="8" t="s">
        <v>1267</v>
      </c>
      <c r="C272" s="8" t="str">
        <f aca="false">TRIM(SUBSTITUTE($B272,CHAR(160)," "))</f>
        <v>T11C XL חגורת גב פוג'יאמה</v>
      </c>
    </row>
    <row r="273" customFormat="false" ht="15" hidden="false" customHeight="true" outlineLevel="0" collapsed="false">
      <c r="A273" s="8" t="n">
        <v>4408093</v>
      </c>
      <c r="B273" s="8" t="s">
        <v>1268</v>
      </c>
      <c r="C273" s="8" t="str">
        <f aca="false">TRIM(SUBSTITUTE($B273,CHAR(160)," "))</f>
        <v>T11C XXL חגורת גב פוג'יאמה</v>
      </c>
    </row>
    <row r="274" customFormat="false" ht="15" hidden="false" customHeight="true" outlineLevel="0" collapsed="false">
      <c r="A274" s="8" t="n">
        <v>4408227</v>
      </c>
      <c r="B274" s="8" t="s">
        <v>1323</v>
      </c>
      <c r="C274" s="8" t="str">
        <f aca="false">TRIM(SUBSTITUTE($B274,CHAR(160)," "))</f>
        <v>XL 11 אפורUG חגורת בטן</v>
      </c>
    </row>
    <row r="275" customFormat="false" ht="15" hidden="false" customHeight="true" outlineLevel="0" collapsed="false">
      <c r="A275" s="8" t="n">
        <v>4408229</v>
      </c>
      <c r="B275" s="8" t="s">
        <v>1324</v>
      </c>
      <c r="C275" s="8" t="str">
        <f aca="false">TRIM(SUBSTITUTE($B275,CHAR(160)," "))</f>
        <v>XXL 11אפורUGחגורת בטן</v>
      </c>
    </row>
    <row r="276" customFormat="false" ht="15" hidden="false" customHeight="true" outlineLevel="0" collapsed="false">
      <c r="A276" s="8" t="n">
        <v>4409011</v>
      </c>
      <c r="B276" s="8" t="s">
        <v>1350</v>
      </c>
      <c r="C276" s="8" t="str">
        <f aca="false">TRIM(SUBSTITUTE($B276,CHAR(160)," "))</f>
        <v>804AT-B טייפ חבישה לספורט</v>
      </c>
    </row>
    <row r="277" customFormat="false" ht="15" hidden="false" customHeight="true" outlineLevel="0" collapsed="false">
      <c r="A277" s="8" t="n">
        <v>4409013</v>
      </c>
      <c r="B277" s="8" t="s">
        <v>1352</v>
      </c>
      <c r="C277" s="8" t="str">
        <f aca="false">TRIM(SUBSTITUTE($B277,CHAR(160)," "))</f>
        <v>804AT-BL טייפ חבישה לספורט</v>
      </c>
    </row>
    <row r="278" customFormat="false" ht="15" hidden="false" customHeight="true" outlineLevel="0" collapsed="false">
      <c r="A278" s="8" t="n">
        <v>4409012</v>
      </c>
      <c r="B278" s="8" t="s">
        <v>1351</v>
      </c>
      <c r="C278" s="8" t="str">
        <f aca="false">TRIM(SUBSTITUTE($B278,CHAR(160)," "))</f>
        <v>804AT-C טייפ חבישה לספורט</v>
      </c>
    </row>
    <row r="279" customFormat="false" ht="15" hidden="false" customHeight="true" outlineLevel="0" collapsed="false">
      <c r="A279" s="8" t="n">
        <v>4409010</v>
      </c>
      <c r="B279" s="8" t="s">
        <v>1349</v>
      </c>
      <c r="C279" s="8" t="str">
        <f aca="false">TRIM(SUBSTITUTE($B279,CHAR(160)," "))</f>
        <v>804AT-W טייפ חבישה לספורט</v>
      </c>
    </row>
    <row r="280" customFormat="false" ht="15" hidden="false" customHeight="true" outlineLevel="0" collapsed="false">
      <c r="A280" s="8" t="n">
        <v>4401012</v>
      </c>
      <c r="B280" s="8" t="s">
        <v>1182</v>
      </c>
      <c r="C280" s="8" t="str">
        <f aca="false">TRIM(SUBSTITUTE($B280,CHAR(160)," "))</f>
        <v>805AT-B אתלטיק טייפ שחור 20מ""מ</v>
      </c>
    </row>
    <row r="281" customFormat="false" ht="15" hidden="false" customHeight="true" outlineLevel="0" collapsed="false">
      <c r="A281" s="8" t="n">
        <v>4401013</v>
      </c>
      <c r="B281" s="8" t="s">
        <v>1183</v>
      </c>
      <c r="C281" s="8" t="str">
        <f aca="false">TRIM(SUBSTITUTE($B281,CHAR(160)," "))</f>
        <v>805AT-BLאתלטיק טייפ כחול 20מ""מ</v>
      </c>
    </row>
    <row r="282" customFormat="false" ht="15" hidden="false" customHeight="true" outlineLevel="0" collapsed="false">
      <c r="A282" s="8" t="n">
        <v>4401011</v>
      </c>
      <c r="B282" s="8" t="s">
        <v>1181</v>
      </c>
      <c r="C282" s="8" t="str">
        <f aca="false">TRIM(SUBSTITUTE($B282,CHAR(160)," "))</f>
        <v>805AT-Cאתלטיק טייפ בז' 20מ""מ20</v>
      </c>
    </row>
    <row r="283" customFormat="false" ht="15" hidden="false" customHeight="true" outlineLevel="0" collapsed="false">
      <c r="A283" s="8" t="n">
        <v>4401014</v>
      </c>
      <c r="B283" s="8" t="s">
        <v>1184</v>
      </c>
      <c r="C283" s="8" t="str">
        <f aca="false">TRIM(SUBSTITUTE($B283,CHAR(160)," "))</f>
        <v>805AT-W אתלטיק טייפ לבן 20מ""מ</v>
      </c>
    </row>
    <row r="284" customFormat="false" ht="15" hidden="false" customHeight="true" outlineLevel="0" collapsed="false">
      <c r="A284" s="8" t="n">
        <v>4409017</v>
      </c>
      <c r="B284" s="8" t="s">
        <v>1356</v>
      </c>
      <c r="C284" s="8" t="str">
        <f aca="false">TRIM(SUBSTITUTE($B284,CHAR(160)," "))</f>
        <v>808KT-B טייפ קינזיולוגי</v>
      </c>
    </row>
    <row r="285" customFormat="false" ht="15" hidden="false" customHeight="true" outlineLevel="0" collapsed="false">
      <c r="A285" s="8" t="n">
        <v>4409015</v>
      </c>
      <c r="B285" s="8" t="s">
        <v>1354</v>
      </c>
      <c r="C285" s="8" t="str">
        <f aca="false">TRIM(SUBSTITUTE($B285,CHAR(160)," "))</f>
        <v>808KT-BL טייפ קינזיולוגי</v>
      </c>
    </row>
    <row r="286" customFormat="false" ht="15" hidden="false" customHeight="true" outlineLevel="0" collapsed="false">
      <c r="A286" s="8" t="n">
        <v>4409016</v>
      </c>
      <c r="B286" s="8" t="s">
        <v>1355</v>
      </c>
      <c r="C286" s="8" t="str">
        <f aca="false">TRIM(SUBSTITUTE($B286,CHAR(160)," "))</f>
        <v>808KT-C טייפ קינזיולוגי</v>
      </c>
    </row>
    <row r="287" customFormat="false" ht="15" hidden="false" customHeight="true" outlineLevel="0" collapsed="false">
      <c r="A287" s="8" t="n">
        <v>4409014</v>
      </c>
      <c r="B287" s="8" t="s">
        <v>1353</v>
      </c>
      <c r="C287" s="8" t="str">
        <f aca="false">TRIM(SUBSTITUTE($B287,CHAR(160)," "))</f>
        <v>808KT-P טייפ קינזיולוגי</v>
      </c>
    </row>
    <row r="288" customFormat="false" ht="15" hidden="false" customHeight="true" outlineLevel="0" collapsed="false">
      <c r="A288" s="8" t="n">
        <v>4419013</v>
      </c>
      <c r="B288" s="8" t="s">
        <v>1692</v>
      </c>
      <c r="C288" s="8" t="str">
        <f aca="false">TRIM(SUBSTITUTE($B288,CHAR(160)," "))</f>
        <v>239B L-XL STRAP4U</v>
      </c>
    </row>
    <row r="289" customFormat="false" ht="15" hidden="false" customHeight="true" outlineLevel="0" collapsed="false">
      <c r="A289" s="8" t="n">
        <v>4419011</v>
      </c>
      <c r="B289" s="8" t="s">
        <v>1690</v>
      </c>
      <c r="C289" s="8" t="str">
        <f aca="false">TRIM(SUBSTITUTE($B289,CHAR(160)," "))</f>
        <v>239B S-M STRAP4U</v>
      </c>
    </row>
    <row r="290" customFormat="false" ht="15" hidden="false" customHeight="true" outlineLevel="0" collapsed="false">
      <c r="A290" s="8" t="n">
        <v>4419012</v>
      </c>
      <c r="B290" s="8" t="s">
        <v>1691</v>
      </c>
      <c r="C290" s="8" t="str">
        <f aca="false">TRIM(SUBSTITUTE($B290,CHAR(160)," "))</f>
        <v>239P S-M STRAP4U</v>
      </c>
    </row>
    <row r="291" customFormat="false" ht="15" hidden="false" customHeight="true" outlineLevel="0" collapsed="false">
      <c r="A291" s="8" t="n">
        <v>4419014</v>
      </c>
      <c r="B291" s="8" t="s">
        <v>1693</v>
      </c>
      <c r="C291" s="8" t="str">
        <f aca="false">TRIM(SUBSTITUTE($B291,CHAR(160)," "))</f>
        <v>239TR L-XL STRAP4U</v>
      </c>
    </row>
    <row r="292" customFormat="false" ht="15" hidden="false" customHeight="true" outlineLevel="0" collapsed="false">
      <c r="A292" s="8" t="n">
        <v>4411002</v>
      </c>
      <c r="B292" s="8" t="s">
        <v>1804</v>
      </c>
      <c r="C292" s="8" t="str">
        <f aca="false">TRIM(SUBSTITUTE($B292,CHAR(160)," "))</f>
        <v>67 כרית שינה חלומי</v>
      </c>
    </row>
    <row r="293" customFormat="false" ht="15" hidden="false" customHeight="true" outlineLevel="0" collapsed="false">
      <c r="A293" s="8" t="n">
        <v>4414000</v>
      </c>
      <c r="B293" s="8" t="s">
        <v>1620</v>
      </c>
      <c r="C293" s="8" t="str">
        <f aca="false">TRIM(SUBSTITUTE($B293,CHAR(160)," "))</f>
        <v>FC342-נוזל לציפורן חודרנית</v>
      </c>
    </row>
    <row r="294" customFormat="false" ht="15" hidden="false" customHeight="true" outlineLevel="0" collapsed="false">
      <c r="A294" s="8" t="n">
        <v>4415024</v>
      </c>
      <c r="B294" s="8" t="s">
        <v>1906</v>
      </c>
      <c r="C294" s="8" t="str">
        <f aca="false">TRIM(SUBSTITUTE($B294,CHAR(160)," "))</f>
        <v>FCתתסבון אנטי ספטי לכף הרגל350</v>
      </c>
    </row>
    <row r="295" customFormat="false" ht="15" hidden="false" customHeight="true" outlineLevel="0" collapsed="false">
      <c r="A295" s="8" t="n">
        <v>4419015</v>
      </c>
      <c r="B295" s="8" t="s">
        <v>1907</v>
      </c>
      <c r="C295" s="8" t="str">
        <f aca="false">TRIM(SUBSTITUTE($B295,CHAR(160)," "))</f>
        <v>STRAP4U DISPLAY 239D</v>
      </c>
    </row>
    <row r="296" customFormat="false" ht="15" hidden="false" customHeight="true" outlineLevel="0" collapsed="false">
      <c r="A296" s="8" t="n">
        <v>4421008</v>
      </c>
      <c r="B296" s="8" t="s">
        <v>1728</v>
      </c>
      <c r="C296" s="8" t="str">
        <f aca="false">TRIM(SUBSTITUTE($B296,CHAR(160)," "))</f>
        <v>שרוול לגבס ארוך רגל</v>
      </c>
    </row>
    <row r="297" customFormat="false" ht="15" hidden="false" customHeight="true" outlineLevel="0" collapsed="false">
      <c r="A297" s="8" t="n">
        <v>4421007</v>
      </c>
      <c r="B297" s="8" t="s">
        <v>1727</v>
      </c>
      <c r="C297" s="8" t="str">
        <f aca="false">TRIM(SUBSTITUTE($B297,CHAR(160)," "))</f>
        <v>שרוול לגבס קצר רגל</v>
      </c>
    </row>
    <row r="298" customFormat="false" ht="15" hidden="false" customHeight="true" outlineLevel="0" collapsed="false">
      <c r="A298" s="8" t="n">
        <v>4413149</v>
      </c>
      <c r="B298" s="8" t="s">
        <v>1473</v>
      </c>
      <c r="C298" s="8" t="str">
        <f aca="false">TRIM(SUBSTITUTE($B298,CHAR(160)," "))</f>
        <v>FC321-מלח אמבט לכף הרגל</v>
      </c>
    </row>
    <row r="299" customFormat="false" ht="15" hidden="false" customHeight="true" outlineLevel="0" collapsed="false">
      <c r="A299" s="8" t="n">
        <v>4422036</v>
      </c>
      <c r="B299" s="8" t="s">
        <v>1745</v>
      </c>
      <c r="C299" s="8" t="str">
        <f aca="false">TRIM(SUBSTITUTE($B299,CHAR(160)," "))</f>
        <v>FC334 תרסיס דאודורנט לכף הרגל</v>
      </c>
    </row>
    <row r="300" customFormat="false" ht="15" hidden="false" customHeight="true" outlineLevel="0" collapsed="false">
      <c r="A300" s="8" t="n">
        <v>4409004</v>
      </c>
      <c r="B300" s="8" t="s">
        <v>1348</v>
      </c>
      <c r="C300" s="8" t="str">
        <f aca="false">TRIM(SUBSTITUTE($B300,CHAR(160)," "))</f>
        <v>FC335 טלק מעושר באלוורה</v>
      </c>
    </row>
    <row r="301" customFormat="false" ht="15" hidden="false" customHeight="true" outlineLevel="0" collapsed="false">
      <c r="A301" s="8" t="n">
        <v>4422035</v>
      </c>
      <c r="B301" s="8" t="s">
        <v>1744</v>
      </c>
      <c r="C301" s="8" t="str">
        <f aca="false">TRIM(SUBSTITUTE($B301,CHAR(160)," "))</f>
        <v>FCתרסיס דאודורנט אנטיבק.נעל333</v>
      </c>
    </row>
    <row r="302" customFormat="false" ht="15" hidden="false" customHeight="true" outlineLevel="0" collapsed="false">
      <c r="A302" s="8" t="n">
        <v>4421006</v>
      </c>
      <c r="B302" s="8" t="s">
        <v>1726</v>
      </c>
      <c r="C302" s="8" t="str">
        <f aca="false">TRIM(SUBSTITUTE($B302,CHAR(160)," "))</f>
        <v>שרוול לגבס ארוך יד</v>
      </c>
    </row>
    <row r="303" customFormat="false" ht="15" hidden="false" customHeight="true" outlineLevel="0" collapsed="false">
      <c r="A303" s="8" t="n">
        <v>4421005</v>
      </c>
      <c r="B303" s="8" t="s">
        <v>1725</v>
      </c>
      <c r="C303" s="8" t="str">
        <f aca="false">TRIM(SUBSTITUTE($B303,CHAR(160)," "))</f>
        <v>שרוול לגבס קצר יד</v>
      </c>
    </row>
    <row r="304" customFormat="false" ht="15" hidden="false" customHeight="true" outlineLevel="0" collapsed="false">
      <c r="A304" s="8" t="n">
        <v>4413164</v>
      </c>
      <c r="B304" s="8" t="s">
        <v>1908</v>
      </c>
      <c r="C304" s="8" t="str">
        <f aca="false">TRIM(SUBSTITUTE($B304,CHAR(160)," "))</f>
        <v>74 SM מיצב כתפיים</v>
      </c>
    </row>
    <row r="305" customFormat="false" ht="15" hidden="false" customHeight="true" outlineLevel="0" collapsed="false">
      <c r="A305" s="8" t="n">
        <v>4413165</v>
      </c>
      <c r="B305" s="8" t="s">
        <v>1485</v>
      </c>
      <c r="C305" s="8" t="str">
        <f aca="false">TRIM(SUBSTITUTE($B305,CHAR(160)," "))</f>
        <v>74 L-XL מיצב כתפיים</v>
      </c>
    </row>
    <row r="306" customFormat="false" ht="15" hidden="false" customHeight="true" outlineLevel="0" collapsed="false">
      <c r="A306" s="8" t="n">
        <v>4413130</v>
      </c>
      <c r="B306" s="8" t="s">
        <v>1458</v>
      </c>
      <c r="C306" s="8" t="str">
        <f aca="false">TRIM(SUBSTITUTE($B306,CHAR(160)," "))</f>
        <v>75 XXL מיישר כתף יציב ישור צר</v>
      </c>
    </row>
    <row r="307" customFormat="false" ht="15" hidden="false" customHeight="true" outlineLevel="0" collapsed="false">
      <c r="A307" s="8" t="n">
        <v>4413127</v>
      </c>
      <c r="B307" s="8" t="s">
        <v>1455</v>
      </c>
      <c r="C307" s="8" t="str">
        <f aca="false">TRIM(SUBSTITUTE($B307,CHAR(160)," "))</f>
        <v>75 Lמיישר כתף יציב יישור גב צר</v>
      </c>
    </row>
    <row r="308" customFormat="false" ht="15" hidden="false" customHeight="true" outlineLevel="0" collapsed="false">
      <c r="A308" s="8" t="n">
        <v>4413128</v>
      </c>
      <c r="B308" s="8" t="s">
        <v>1456</v>
      </c>
      <c r="C308" s="8" t="str">
        <f aca="false">TRIM(SUBSTITUTE($B308,CHAR(160)," "))</f>
        <v>75 Mמיישר כתף יציב יישור גב צר</v>
      </c>
    </row>
    <row r="309" customFormat="false" ht="15" hidden="false" customHeight="true" outlineLevel="0" collapsed="false">
      <c r="A309" s="8" t="n">
        <v>4413126</v>
      </c>
      <c r="B309" s="8" t="s">
        <v>1454</v>
      </c>
      <c r="C309" s="8" t="str">
        <f aca="false">TRIM(SUBSTITUTE($B309,CHAR(160)," "))</f>
        <v>75 Sמיישר כתף יציב יישור גב צר</v>
      </c>
    </row>
    <row r="310" customFormat="false" ht="15" hidden="false" customHeight="true" outlineLevel="0" collapsed="false">
      <c r="A310" s="8" t="n">
        <v>4413129</v>
      </c>
      <c r="B310" s="8" t="s">
        <v>1457</v>
      </c>
      <c r="C310" s="8" t="str">
        <f aca="false">TRIM(SUBSTITUTE($B310,CHAR(160)," "))</f>
        <v>75 XLמיישר כתף יציב יישור ג.צר</v>
      </c>
    </row>
    <row r="311" customFormat="false" ht="15" hidden="false" customHeight="true" outlineLevel="0" collapsed="false">
      <c r="A311" s="8" t="n">
        <v>4413132</v>
      </c>
      <c r="B311" s="8" t="s">
        <v>1460</v>
      </c>
      <c r="C311" s="8" t="str">
        <f aca="false">TRIM(SUBSTITUTE($B311,CHAR(160)," "))</f>
        <v>76 Lמיישר כתף יציב יישור רחב</v>
      </c>
    </row>
    <row r="312" customFormat="false" ht="15" hidden="false" customHeight="true" outlineLevel="0" collapsed="false">
      <c r="A312" s="8" t="n">
        <v>4413133</v>
      </c>
      <c r="B312" s="8" t="s">
        <v>1461</v>
      </c>
      <c r="C312" s="8" t="str">
        <f aca="false">TRIM(SUBSTITUTE($B312,CHAR(160)," "))</f>
        <v>76 Mמיישר כתף יציב,יישור רחב</v>
      </c>
    </row>
    <row r="313" customFormat="false" ht="15" hidden="false" customHeight="true" outlineLevel="0" collapsed="false">
      <c r="A313" s="8" t="n">
        <v>4413131</v>
      </c>
      <c r="B313" s="8" t="s">
        <v>1459</v>
      </c>
      <c r="C313" s="8" t="str">
        <f aca="false">TRIM(SUBSTITUTE($B313,CHAR(160)," "))</f>
        <v>76 Sמיישר כתף יציב יישור ג.רחב</v>
      </c>
    </row>
    <row r="314" customFormat="false" ht="15" hidden="false" customHeight="true" outlineLevel="0" collapsed="false">
      <c r="A314" s="8" t="n">
        <v>4413134</v>
      </c>
      <c r="B314" s="8" t="s">
        <v>1462</v>
      </c>
      <c r="C314" s="8" t="str">
        <f aca="false">TRIM(SUBSTITUTE($B314,CHAR(160)," "))</f>
        <v>76 XLמיישר כתף יציב יישור רחב</v>
      </c>
    </row>
    <row r="315" customFormat="false" ht="15" hidden="false" customHeight="true" outlineLevel="0" collapsed="false">
      <c r="A315" s="8" t="n">
        <v>4413262</v>
      </c>
      <c r="B315" s="8" t="s">
        <v>1512</v>
      </c>
      <c r="C315" s="8" t="str">
        <f aca="false">TRIM(SUBSTITUTE($B315,CHAR(160)," "))</f>
        <v>76 XXL מישר כתפיים רחב</v>
      </c>
    </row>
    <row r="316" customFormat="false" ht="15" hidden="false" customHeight="true" outlineLevel="0" collapsed="false">
      <c r="A316" s="8" t="n">
        <v>4408141</v>
      </c>
      <c r="B316" s="8" t="s">
        <v>1292</v>
      </c>
      <c r="C316" s="8" t="str">
        <f aca="false">TRIM(SUBSTITUTE($B316,CHAR(160)," "))</f>
        <v>776 S ח.גב גבוהה</v>
      </c>
    </row>
    <row r="317" customFormat="false" ht="15" hidden="false" customHeight="true" outlineLevel="0" collapsed="false">
      <c r="A317" s="8" t="n">
        <v>4413191</v>
      </c>
      <c r="B317" s="8" t="s">
        <v>1909</v>
      </c>
      <c r="C317" s="8" t="str">
        <f aca="false">TRIM(SUBSTITUTE($B317,CHAR(160)," "))</f>
        <v>78 M מגן למרפק כתף</v>
      </c>
    </row>
    <row r="318" customFormat="false" ht="15" hidden="false" customHeight="true" outlineLevel="0" collapsed="false">
      <c r="A318" s="8" t="n">
        <v>4413194</v>
      </c>
      <c r="B318" s="8" t="s">
        <v>1910</v>
      </c>
      <c r="C318" s="8" t="str">
        <f aca="false">TRIM(SUBSTITUTE($B318,CHAR(160)," "))</f>
        <v>78 XXLמגן למרפק כתף</v>
      </c>
    </row>
    <row r="319" customFormat="false" ht="15" hidden="false" customHeight="true" outlineLevel="0" collapsed="false">
      <c r="A319" s="8" t="n">
        <v>4413485</v>
      </c>
      <c r="B319" s="8" t="s">
        <v>1911</v>
      </c>
      <c r="C319" s="8" t="str">
        <f aca="false">TRIM(SUBSTITUTE($B319,CHAR(160)," "))</f>
        <v>78A M מגן למפרק כתף</v>
      </c>
    </row>
    <row r="320" customFormat="false" ht="15" hidden="false" customHeight="true" outlineLevel="0" collapsed="false">
      <c r="A320" s="8" t="n">
        <v>4413403</v>
      </c>
      <c r="B320" s="8" t="s">
        <v>1556</v>
      </c>
      <c r="C320" s="8" t="str">
        <f aca="false">TRIM(SUBSTITUTE($B320,CHAR(160)," "))</f>
        <v>78A L מגן למפרק כתף</v>
      </c>
    </row>
    <row r="321" customFormat="false" ht="15" hidden="false" customHeight="true" outlineLevel="0" collapsed="false">
      <c r="A321" s="8" t="n">
        <v>4413486</v>
      </c>
      <c r="B321" s="8" t="s">
        <v>1912</v>
      </c>
      <c r="C321" s="8" t="str">
        <f aca="false">TRIM(SUBSTITUTE($B321,CHAR(160)," "))</f>
        <v>78A S מגן למפרק כתף</v>
      </c>
    </row>
    <row r="322" customFormat="false" ht="15" hidden="false" customHeight="true" outlineLevel="0" collapsed="false">
      <c r="A322" s="8" t="n">
        <v>4413404</v>
      </c>
      <c r="B322" s="8" t="s">
        <v>1913</v>
      </c>
      <c r="C322" s="8" t="str">
        <f aca="false">TRIM(SUBSTITUTE($B322,CHAR(160)," "))</f>
        <v>78A XL מגן למפרק כתף</v>
      </c>
    </row>
    <row r="323" customFormat="false" ht="15" hidden="false" customHeight="true" outlineLevel="0" collapsed="false">
      <c r="A323" s="8" t="n">
        <v>4413443</v>
      </c>
      <c r="B323" s="8" t="s">
        <v>1813</v>
      </c>
      <c r="C323" s="8" t="str">
        <f aca="false">TRIM(SUBSTITUTE($B323,CHAR(160)," "))</f>
        <v>78A XXL מגן למפרק כתף</v>
      </c>
    </row>
    <row r="324" customFormat="false" ht="15" hidden="false" customHeight="true" outlineLevel="0" collapsed="false">
      <c r="A324" s="8" t="n">
        <v>4413197</v>
      </c>
      <c r="B324" s="8" t="s">
        <v>1504</v>
      </c>
      <c r="C324" s="8" t="str">
        <f aca="false">TRIM(SUBSTITUTE($B324,CHAR(160)," "))</f>
        <v>87 L מקבע כתף ויד</v>
      </c>
    </row>
    <row r="325" customFormat="false" ht="15" hidden="false" customHeight="true" outlineLevel="0" collapsed="false">
      <c r="A325" s="8" t="n">
        <v>4413196</v>
      </c>
      <c r="B325" s="8" t="s">
        <v>1503</v>
      </c>
      <c r="C325" s="8" t="str">
        <f aca="false">TRIM(SUBSTITUTE($B325,CHAR(160)," "))</f>
        <v>87 M מקבע כתף ויד</v>
      </c>
    </row>
    <row r="326" customFormat="false" ht="15" hidden="false" customHeight="true" outlineLevel="0" collapsed="false">
      <c r="A326" s="8" t="n">
        <v>4413195</v>
      </c>
      <c r="B326" s="8" t="s">
        <v>1502</v>
      </c>
      <c r="C326" s="8" t="str">
        <f aca="false">TRIM(SUBSTITUTE($B326,CHAR(160)," "))</f>
        <v>87 S מקבע כתף ויד</v>
      </c>
    </row>
    <row r="327" customFormat="false" ht="15" hidden="false" customHeight="true" outlineLevel="0" collapsed="false">
      <c r="A327" s="8" t="n">
        <v>4413198</v>
      </c>
      <c r="B327" s="8" t="s">
        <v>1505</v>
      </c>
      <c r="C327" s="8" t="str">
        <f aca="false">TRIM(SUBSTITUTE($B327,CHAR(160)," "))</f>
        <v>87 XL מקבע כתף ויד</v>
      </c>
    </row>
    <row r="328" customFormat="false" ht="15" hidden="false" customHeight="true" outlineLevel="0" collapsed="false">
      <c r="A328" s="8" t="n">
        <v>4413204</v>
      </c>
      <c r="B328" s="8" t="s">
        <v>1506</v>
      </c>
      <c r="C328" s="8" t="str">
        <f aca="false">TRIM(SUBSTITUTE($B328,CHAR(160)," "))</f>
        <v>87 XXL מקבע כתף ויד</v>
      </c>
    </row>
    <row r="329" customFormat="false" ht="15" hidden="false" customHeight="true" outlineLevel="0" collapsed="false">
      <c r="A329" s="8" t="n">
        <v>4413456</v>
      </c>
      <c r="B329" s="8" t="s">
        <v>1587</v>
      </c>
      <c r="C329" s="8" t="str">
        <f aca="false">TRIM(SUBSTITUTE($B329,CHAR(160)," "))</f>
        <v>AC75 XXL מיישר כתפיים אקטיב</v>
      </c>
    </row>
    <row r="330" customFormat="false" ht="15" hidden="false" customHeight="true" outlineLevel="0" collapsed="false">
      <c r="A330" s="8" t="n">
        <v>4413453</v>
      </c>
      <c r="B330" s="8" t="s">
        <v>1585</v>
      </c>
      <c r="C330" s="8" t="str">
        <f aca="false">TRIM(SUBSTITUTE($B330,CHAR(160)," "))</f>
        <v>AC75 מישר כתפיים אקטיב</v>
      </c>
    </row>
    <row r="331" customFormat="false" ht="15" hidden="false" customHeight="true" outlineLevel="0" collapsed="false">
      <c r="A331" s="8" t="n">
        <v>4422006</v>
      </c>
      <c r="B331" s="8" t="s">
        <v>1733</v>
      </c>
      <c r="C331" s="8" t="str">
        <f aca="false">TRIM(SUBSTITUTE($B331,CHAR(160)," "))</f>
        <v>T78 L תומך זרוע וכתף</v>
      </c>
    </row>
    <row r="332" customFormat="false" ht="15" hidden="false" customHeight="true" outlineLevel="0" collapsed="false">
      <c r="A332" s="8" t="n">
        <v>4422005</v>
      </c>
      <c r="B332" s="8" t="s">
        <v>1732</v>
      </c>
      <c r="C332" s="8" t="str">
        <f aca="false">TRIM(SUBSTITUTE($B332,CHAR(160)," "))</f>
        <v>T78 M תומך זרוע וכתף</v>
      </c>
    </row>
    <row r="333" customFormat="false" ht="15" hidden="false" customHeight="true" outlineLevel="0" collapsed="false">
      <c r="A333" s="8" t="n">
        <v>4422004</v>
      </c>
      <c r="B333" s="8" t="s">
        <v>1731</v>
      </c>
      <c r="C333" s="8" t="str">
        <f aca="false">TRIM(SUBSTITUTE($B333,CHAR(160)," "))</f>
        <v>T78 S תומך זרוע וכתף</v>
      </c>
    </row>
    <row r="334" customFormat="false" ht="15" hidden="false" customHeight="true" outlineLevel="0" collapsed="false">
      <c r="A334" s="8" t="n">
        <v>4422007</v>
      </c>
      <c r="B334" s="8" t="s">
        <v>1734</v>
      </c>
      <c r="C334" s="8" t="str">
        <f aca="false">TRIM(SUBSTITUTE($B334,CHAR(160)," "))</f>
        <v>T78 XLתומך זרוע וכתף</v>
      </c>
    </row>
    <row r="335" customFormat="false" ht="15" hidden="false" customHeight="true" outlineLevel="0" collapsed="false">
      <c r="A335" s="8" t="n">
        <v>4422009</v>
      </c>
      <c r="B335" s="8" t="s">
        <v>1735</v>
      </c>
      <c r="C335" s="8" t="str">
        <f aca="false">TRIM(SUBSTITUTE($B335,CHAR(160)," "))</f>
        <v>T78 XXL תומך זרוע וכתף</v>
      </c>
    </row>
    <row r="336" customFormat="false" ht="15" hidden="false" customHeight="true" outlineLevel="0" collapsed="false">
      <c r="A336" s="8" t="n">
        <v>4413056</v>
      </c>
      <c r="B336" s="8" t="s">
        <v>1401</v>
      </c>
      <c r="C336" s="8" t="str">
        <f aca="false">TRIM(SUBSTITUTE($B336,CHAR(160)," "))</f>
        <v>LF360 מדרס מטטרזלי לנעלי עקב</v>
      </c>
    </row>
    <row r="337" customFormat="false" ht="15" hidden="false" customHeight="true" outlineLevel="0" collapsed="false">
      <c r="A337" s="8" t="n">
        <v>4420022</v>
      </c>
      <c r="B337" s="8" t="s">
        <v>1707</v>
      </c>
      <c r="C337" s="8" t="str">
        <f aca="false">TRIM(SUBSTITUTE($B337,CHAR(160)," "))</f>
        <v>LF370 ריפוד סיליקון לעקב אחורי</v>
      </c>
    </row>
    <row r="338" customFormat="false" ht="15" hidden="false" customHeight="true" outlineLevel="0" collapsed="false">
      <c r="A338" s="8" t="n">
        <v>4420023</v>
      </c>
      <c r="B338" s="8" t="s">
        <v>1708</v>
      </c>
      <c r="C338" s="8" t="str">
        <f aca="false">TRIM(SUBSTITUTE($B338,CHAR(160)," "))</f>
        <v>LF371 ריפוד סיליקון לנעלי אצבע</v>
      </c>
    </row>
    <row r="339" customFormat="false" ht="15" hidden="false" customHeight="true" outlineLevel="0" collapsed="false">
      <c r="A339" s="8" t="n">
        <v>4420025</v>
      </c>
      <c r="B339" s="8" t="s">
        <v>1710</v>
      </c>
      <c r="C339" s="8" t="str">
        <f aca="false">TRIM(SUBSTITUTE($B339,CHAR(160)," "))</f>
        <v>LF374 ריפוד סיליק.לעקב תחתון</v>
      </c>
    </row>
    <row r="340" customFormat="false" ht="15" hidden="false" customHeight="true" outlineLevel="0" collapsed="false">
      <c r="A340" s="8" t="n">
        <v>4413276</v>
      </c>
      <c r="B340" s="8" t="s">
        <v>1513</v>
      </c>
      <c r="C340" s="8" t="str">
        <f aca="false">TRIM(SUBSTITUTE($B340,CHAR(160)," "))</f>
        <v>LF377 L-מדרס סיליקון לנעלי עקב</v>
      </c>
    </row>
    <row r="341" customFormat="false" ht="15" hidden="false" customHeight="true" outlineLevel="0" collapsed="false">
      <c r="A341" s="8" t="n">
        <v>4413277</v>
      </c>
      <c r="B341" s="8" t="s">
        <v>1514</v>
      </c>
      <c r="C341" s="8" t="str">
        <f aca="false">TRIM(SUBSTITUTE($B341,CHAR(160)," "))</f>
        <v>LF377 M-מדרס סיליקון לנעלי עקב</v>
      </c>
    </row>
    <row r="342" customFormat="false" ht="15" hidden="false" customHeight="true" outlineLevel="0" collapsed="false">
      <c r="A342" s="8" t="n">
        <v>4413278</v>
      </c>
      <c r="B342" s="8" t="s">
        <v>1515</v>
      </c>
      <c r="C342" s="8" t="str">
        <f aca="false">TRIM(SUBSTITUTE($B342,CHAR(160)," "))</f>
        <v>LF377 S-מדרס סיליקון לנעלי עקב</v>
      </c>
    </row>
    <row r="343" customFormat="false" ht="15" hidden="false" customHeight="true" outlineLevel="0" collapsed="false">
      <c r="A343" s="8" t="n">
        <v>4413451</v>
      </c>
      <c r="B343" s="8" t="s">
        <v>1583</v>
      </c>
      <c r="C343" s="8" t="str">
        <f aca="false">TRIM(SUBSTITUTE($B343,CHAR(160)," "))</f>
        <v>LF378 L מדרס ג'ל לנעלי עקב</v>
      </c>
    </row>
    <row r="344" customFormat="false" ht="15" hidden="false" customHeight="true" outlineLevel="0" collapsed="false">
      <c r="A344" s="8" t="n">
        <v>4420024</v>
      </c>
      <c r="B344" s="8" t="s">
        <v>1709</v>
      </c>
      <c r="C344" s="8" t="str">
        <f aca="false">TRIM(SUBSTITUTE($B344,CHAR(160)," "))</f>
        <v>LFריפוד סיליק.לכרית כף הרגל373</v>
      </c>
    </row>
    <row r="345" customFormat="false" ht="15" hidden="false" customHeight="true" outlineLevel="0" collapsed="false">
      <c r="A345" s="8" t="n">
        <v>4413008</v>
      </c>
      <c r="B345" s="8" t="s">
        <v>1776</v>
      </c>
      <c r="C345" s="8" t="str">
        <f aca="false">TRIM(SUBSTITUTE($B345,CHAR(160)," "))</f>
        <v>300M תתמדרס.ציפוי עור גבר זו43</v>
      </c>
    </row>
    <row r="346" customFormat="false" ht="15" hidden="false" customHeight="true" outlineLevel="0" collapsed="false">
      <c r="A346" s="8" t="n">
        <v>4413009</v>
      </c>
      <c r="B346" s="8" t="s">
        <v>1777</v>
      </c>
      <c r="C346" s="8" t="str">
        <f aca="false">TRIM(SUBSTITUTE($B346,CHAR(160)," "))</f>
        <v>300M תתמדרס/ציפוי עור גבר זו44</v>
      </c>
    </row>
    <row r="347" customFormat="false" ht="15" hidden="false" customHeight="true" outlineLevel="0" collapsed="false">
      <c r="A347" s="8" t="n">
        <v>4413372</v>
      </c>
      <c r="B347" s="8" t="s">
        <v>1549</v>
      </c>
      <c r="C347" s="8" t="str">
        <f aca="false">TRIM(SUBSTITUTE($B347,CHAR(160)," "))</f>
        <v>302 W מדרס לאישה</v>
      </c>
    </row>
    <row r="348" customFormat="false" ht="15" hidden="false" customHeight="true" outlineLevel="0" collapsed="false">
      <c r="A348" s="8" t="n">
        <v>4413348</v>
      </c>
      <c r="B348" s="8" t="s">
        <v>1540</v>
      </c>
      <c r="C348" s="8" t="str">
        <f aca="false">TRIM(SUBSTITUTE($B348,CHAR(160)," "))</f>
        <v>302 מדרס ג'ל לגבר</v>
      </c>
    </row>
    <row r="349" customFormat="false" ht="15" hidden="false" customHeight="true" outlineLevel="0" collapsed="false">
      <c r="A349" s="8" t="n">
        <v>4413444</v>
      </c>
      <c r="B349" s="8" t="s">
        <v>1579</v>
      </c>
      <c r="C349" s="8" t="str">
        <f aca="false">TRIM(SUBSTITUTE($B349,CHAR(160)," "))</f>
        <v>302SP M מדרס ג'ל ספורט לגבר</v>
      </c>
    </row>
    <row r="350" customFormat="false" ht="15" hidden="false" customHeight="true" outlineLevel="0" collapsed="false">
      <c r="A350" s="8" t="n">
        <v>4413445</v>
      </c>
      <c r="B350" s="8" t="s">
        <v>1580</v>
      </c>
      <c r="C350" s="8" t="str">
        <f aca="false">TRIM(SUBSTITUTE($B350,CHAR(160)," "))</f>
        <v>302SP Wמדרס ג'ל ספורט לאישה</v>
      </c>
    </row>
    <row r="351" customFormat="false" ht="15" hidden="false" customHeight="true" outlineLevel="0" collapsed="false">
      <c r="A351" s="8" t="n">
        <v>4413018</v>
      </c>
      <c r="B351" s="8" t="s">
        <v>1380</v>
      </c>
      <c r="C351" s="8" t="str">
        <f aca="false">TRIM(SUBSTITUTE($B351,CHAR(160)," "))</f>
        <v>303 37-38 מדרסי סיליק.לח.סכרת</v>
      </c>
    </row>
    <row r="352" customFormat="false" ht="15" hidden="false" customHeight="true" outlineLevel="0" collapsed="false">
      <c r="A352" s="8" t="n">
        <v>4413019</v>
      </c>
      <c r="B352" s="8" t="s">
        <v>1381</v>
      </c>
      <c r="C352" s="8" t="str">
        <f aca="false">TRIM(SUBSTITUTE($B352,CHAR(160)," "))</f>
        <v>303 39-40 מדרסי סיליק.לח.סכרת</v>
      </c>
    </row>
    <row r="353" customFormat="false" ht="15" hidden="false" customHeight="true" outlineLevel="0" collapsed="false">
      <c r="A353" s="8" t="n">
        <v>4413020</v>
      </c>
      <c r="B353" s="8" t="s">
        <v>1382</v>
      </c>
      <c r="C353" s="8" t="str">
        <f aca="false">TRIM(SUBSTITUTE($B353,CHAR(160)," "))</f>
        <v>303 41-42 מדרסי סיליק.לח.סכרת</v>
      </c>
    </row>
    <row r="354" customFormat="false" ht="15" hidden="false" customHeight="true" outlineLevel="0" collapsed="false">
      <c r="A354" s="8" t="n">
        <v>4413021</v>
      </c>
      <c r="B354" s="8" t="s">
        <v>1383</v>
      </c>
      <c r="C354" s="8" t="str">
        <f aca="false">TRIM(SUBSTITUTE($B354,CHAR(160)," "))</f>
        <v>303 43-44 מדרסי סיליק.לח.סכרת</v>
      </c>
    </row>
    <row r="355" customFormat="false" ht="15" hidden="false" customHeight="true" outlineLevel="0" collapsed="false">
      <c r="A355" s="8" t="n">
        <v>4413022</v>
      </c>
      <c r="B355" s="8" t="s">
        <v>1384</v>
      </c>
      <c r="C355" s="8" t="str">
        <f aca="false">TRIM(SUBSTITUTE($B355,CHAR(160)," "))</f>
        <v>303 45-46 מדרסי סיליק.לח.סכרת</v>
      </c>
    </row>
    <row r="356" customFormat="false" ht="15" hidden="false" customHeight="true" outlineLevel="0" collapsed="false">
      <c r="A356" s="8" t="n">
        <v>4413153</v>
      </c>
      <c r="B356" s="8" t="s">
        <v>1475</v>
      </c>
      <c r="C356" s="8" t="str">
        <f aca="false">TRIM(SUBSTITUTE($B356,CHAR(160)," "))</f>
        <v>305GA מדרס אורטופ.מתכוון35-36</v>
      </c>
    </row>
    <row r="357" customFormat="false" ht="15" hidden="false" customHeight="true" outlineLevel="0" collapsed="false">
      <c r="A357" s="8" t="n">
        <v>4413154</v>
      </c>
      <c r="B357" s="8" t="s">
        <v>1476</v>
      </c>
      <c r="C357" s="8" t="str">
        <f aca="false">TRIM(SUBSTITUTE($B357,CHAR(160)," "))</f>
        <v>305GA מדרס אורטופ.מתכוון37-38</v>
      </c>
    </row>
    <row r="358" customFormat="false" ht="15" hidden="false" customHeight="true" outlineLevel="0" collapsed="false">
      <c r="A358" s="8" t="n">
        <v>4413155</v>
      </c>
      <c r="B358" s="8" t="s">
        <v>1477</v>
      </c>
      <c r="C358" s="8" t="str">
        <f aca="false">TRIM(SUBSTITUTE($B358,CHAR(160)," "))</f>
        <v>305GA מדרס אורטופ.מתכוון39-40</v>
      </c>
    </row>
    <row r="359" customFormat="false" ht="15" hidden="false" customHeight="true" outlineLevel="0" collapsed="false">
      <c r="A359" s="8" t="n">
        <v>4413156</v>
      </c>
      <c r="B359" s="8" t="s">
        <v>1478</v>
      </c>
      <c r="C359" s="8" t="str">
        <f aca="false">TRIM(SUBSTITUTE($B359,CHAR(160)," "))</f>
        <v>305GA מדרס אורטופ.מתכוון41-42</v>
      </c>
    </row>
    <row r="360" customFormat="false" ht="15" hidden="false" customHeight="true" outlineLevel="0" collapsed="false">
      <c r="A360" s="8" t="n">
        <v>4413157</v>
      </c>
      <c r="B360" s="8" t="s">
        <v>1479</v>
      </c>
      <c r="C360" s="8" t="str">
        <f aca="false">TRIM(SUBSTITUTE($B360,CHAR(160)," "))</f>
        <v>305GA מדרס אורטופ.מתכוון43-44</v>
      </c>
    </row>
    <row r="361" customFormat="false" ht="15" hidden="false" customHeight="true" outlineLevel="0" collapsed="false">
      <c r="A361" s="8" t="n">
        <v>4413158</v>
      </c>
      <c r="B361" s="8" t="s">
        <v>1480</v>
      </c>
      <c r="C361" s="8" t="str">
        <f aca="false">TRIM(SUBSTITUTE($B361,CHAR(160)," "))</f>
        <v>305GA מדרס אורטופ.מתכוון45-46</v>
      </c>
    </row>
    <row r="362" customFormat="false" ht="15" hidden="false" customHeight="true" outlineLevel="0" collapsed="false">
      <c r="A362" s="8" t="n">
        <v>4413285</v>
      </c>
      <c r="B362" s="8" t="s">
        <v>1787</v>
      </c>
      <c r="C362" s="8" t="str">
        <f aca="false">TRIM(SUBSTITUTE($B362,CHAR(160)," "))</f>
        <v>305GA מדרס מתכוונן47-48</v>
      </c>
    </row>
    <row r="363" customFormat="false" ht="15" hidden="false" customHeight="true" outlineLevel="0" collapsed="false">
      <c r="A363" s="8" t="n">
        <v>4413482</v>
      </c>
      <c r="B363" s="8" t="s">
        <v>1589</v>
      </c>
      <c r="C363" s="8" t="str">
        <f aca="false">TRIM(SUBSTITUTE($B363,CHAR(160)," "))</f>
        <v>310Lמדרס 3/4לכאבי דורבן וספורט</v>
      </c>
    </row>
    <row r="364" customFormat="false" ht="15" hidden="false" customHeight="true" outlineLevel="0" collapsed="false">
      <c r="A364" s="8" t="n">
        <v>4413483</v>
      </c>
      <c r="B364" s="8" t="s">
        <v>1914</v>
      </c>
      <c r="C364" s="8" t="str">
        <f aca="false">TRIM(SUBSTITUTE($B364,CHAR(160)," "))</f>
        <v>310Mמדרס 3/4לכאבי דורבן וספורט</v>
      </c>
    </row>
    <row r="365" customFormat="false" ht="15" hidden="false" customHeight="true" outlineLevel="0" collapsed="false">
      <c r="A365" s="8" t="n">
        <v>4413484</v>
      </c>
      <c r="B365" s="8" t="s">
        <v>1915</v>
      </c>
      <c r="C365" s="8" t="str">
        <f aca="false">TRIM(SUBSTITUTE($B365,CHAR(160)," "))</f>
        <v>310Sמדרס 3/4לכאבי דורבן וספורט</v>
      </c>
    </row>
    <row r="366" customFormat="false" ht="15" hidden="false" customHeight="true" outlineLevel="0" collapsed="false">
      <c r="A366" s="8" t="n">
        <v>4413523</v>
      </c>
      <c r="B366" s="8" t="s">
        <v>1612</v>
      </c>
      <c r="C366" s="8" t="str">
        <f aca="false">TRIM(SUBSTITUTE($B366,CHAR(160)," "))</f>
        <v>35-38 מדרסי אפיק ג'ל נוחות</v>
      </c>
    </row>
    <row r="367" customFormat="false" ht="15" hidden="false" customHeight="true" outlineLevel="0" collapsed="false">
      <c r="A367" s="8" t="n">
        <v>4413527</v>
      </c>
      <c r="B367" s="8" t="s">
        <v>1615</v>
      </c>
      <c r="C367" s="8" t="str">
        <f aca="false">TRIM(SUBSTITUTE($B367,CHAR(160)," "))</f>
        <v>35-38 מדרסי אפיק ג'ל עבודה</v>
      </c>
    </row>
    <row r="368" customFormat="false" ht="15" hidden="false" customHeight="true" outlineLevel="0" collapsed="false">
      <c r="A368" s="8" t="n">
        <v>4413524</v>
      </c>
      <c r="B368" s="8" t="s">
        <v>1613</v>
      </c>
      <c r="C368" s="8" t="str">
        <f aca="false">TRIM(SUBSTITUTE($B368,CHAR(160)," "))</f>
        <v>39-42 מדרסי אפיק ג'ל נוחות</v>
      </c>
    </row>
    <row r="369" customFormat="false" ht="15" hidden="false" customHeight="true" outlineLevel="0" collapsed="false">
      <c r="A369" s="8" t="n">
        <v>4413528</v>
      </c>
      <c r="B369" s="8" t="s">
        <v>1616</v>
      </c>
      <c r="C369" s="8" t="str">
        <f aca="false">TRIM(SUBSTITUTE($B369,CHAR(160)," "))</f>
        <v>39-42 מדרסי אפיק ג'ל עבודה</v>
      </c>
    </row>
    <row r="370" customFormat="false" ht="15" hidden="false" customHeight="true" outlineLevel="0" collapsed="false">
      <c r="A370" s="8" t="n">
        <v>4413525</v>
      </c>
      <c r="B370" s="8" t="s">
        <v>1614</v>
      </c>
      <c r="C370" s="8" t="str">
        <f aca="false">TRIM(SUBSTITUTE($B370,CHAR(160)," "))</f>
        <v>43-47 מדרסי אפיק ג'ל נוחות</v>
      </c>
    </row>
    <row r="371" customFormat="false" ht="15" hidden="false" customHeight="true" outlineLevel="0" collapsed="false">
      <c r="A371" s="8" t="n">
        <v>4413529</v>
      </c>
      <c r="B371" s="8" t="s">
        <v>1617</v>
      </c>
      <c r="C371" s="8" t="str">
        <f aca="false">TRIM(SUBSTITUTE($B371,CHAR(160)," "))</f>
        <v>43-47 מדרסי אפיק ג'ל עבודה</v>
      </c>
    </row>
    <row r="372" customFormat="false" ht="15" hidden="false" customHeight="true" outlineLevel="0" collapsed="false">
      <c r="A372" s="8" t="n">
        <v>4413450</v>
      </c>
      <c r="B372" s="8" t="s">
        <v>1582</v>
      </c>
      <c r="C372" s="8" t="str">
        <f aca="false">TRIM(SUBSTITUTE($B372,CHAR(160)," "))</f>
        <v>LF378 M מדרס ג'ל לנעלי עקב</v>
      </c>
    </row>
    <row r="373" customFormat="false" ht="15" hidden="false" customHeight="true" outlineLevel="0" collapsed="false">
      <c r="A373" s="8" t="n">
        <v>4413449</v>
      </c>
      <c r="B373" s="8" t="s">
        <v>1581</v>
      </c>
      <c r="C373" s="8" t="str">
        <f aca="false">TRIM(SUBSTITUTE($B373,CHAR(160)," "))</f>
        <v>LF378 S מדרס ג'ל לנעלי עקב</v>
      </c>
    </row>
    <row r="374" customFormat="false" ht="15" hidden="false" customHeight="true" outlineLevel="0" collapsed="false">
      <c r="A374" s="8" t="n">
        <v>4413520</v>
      </c>
      <c r="B374" s="8" t="s">
        <v>1609</v>
      </c>
      <c r="C374" s="8" t="str">
        <f aca="false">TRIM(SUBSTITUTE($B374,CHAR(160)," "))</f>
        <v>מדרסי אפיק ג'ל מולט.ספורט35-38</v>
      </c>
    </row>
    <row r="375" customFormat="false" ht="15" hidden="false" customHeight="true" outlineLevel="0" collapsed="false">
      <c r="A375" s="8" t="n">
        <v>4413522</v>
      </c>
      <c r="B375" s="8" t="s">
        <v>1611</v>
      </c>
      <c r="C375" s="8" t="str">
        <f aca="false">TRIM(SUBSTITUTE($B375,CHAR(160)," "))</f>
        <v>מדרסי אפיק ג'ל מולט.ספורט43-47</v>
      </c>
    </row>
    <row r="376" customFormat="false" ht="15" hidden="false" customHeight="true" outlineLevel="0" collapsed="false">
      <c r="A376" s="8" t="n">
        <v>4413521</v>
      </c>
      <c r="B376" s="8" t="s">
        <v>1610</v>
      </c>
      <c r="C376" s="8" t="str">
        <f aca="false">TRIM(SUBSTITUTE($B376,CHAR(160)," "))</f>
        <v>מדרסי אפיק ג'ל מולטי ספור39-42</v>
      </c>
    </row>
    <row r="377" customFormat="false" ht="15" hidden="false" customHeight="true" outlineLevel="0" collapsed="false">
      <c r="A377" s="8" t="n">
        <v>4413117</v>
      </c>
      <c r="B377" s="8" t="s">
        <v>1447</v>
      </c>
      <c r="C377" s="8" t="str">
        <f aca="false">TRIM(SUBSTITUTE($B377,CHAR(160)," "))</f>
        <v>50 L מתלה אשכים לאחר ניתוח</v>
      </c>
    </row>
    <row r="378" customFormat="false" ht="15" hidden="false" customHeight="true" outlineLevel="0" collapsed="false">
      <c r="A378" s="8" t="n">
        <v>4413118</v>
      </c>
      <c r="B378" s="8" t="s">
        <v>1448</v>
      </c>
      <c r="C378" s="8" t="str">
        <f aca="false">TRIM(SUBSTITUTE($B378,CHAR(160)," "))</f>
        <v>50 M מתלה אשכים לאחר ניתוח</v>
      </c>
    </row>
    <row r="379" customFormat="false" ht="15" hidden="false" customHeight="true" outlineLevel="0" collapsed="false">
      <c r="A379" s="8" t="n">
        <v>4413116</v>
      </c>
      <c r="B379" s="8" t="s">
        <v>1446</v>
      </c>
      <c r="C379" s="8" t="str">
        <f aca="false">TRIM(SUBSTITUTE($B379,CHAR(160)," "))</f>
        <v>50 S מתלה אשכים לאחר ניתוח</v>
      </c>
    </row>
    <row r="380" customFormat="false" ht="15" hidden="false" customHeight="true" outlineLevel="0" collapsed="false">
      <c r="A380" s="8" t="n">
        <v>4413119</v>
      </c>
      <c r="B380" s="8" t="s">
        <v>1449</v>
      </c>
      <c r="C380" s="8" t="str">
        <f aca="false">TRIM(SUBSTITUTE($B380,CHAR(160)," "))</f>
        <v>50 XL מתלה אשכים לאחר ניתוח</v>
      </c>
    </row>
    <row r="381" customFormat="false" ht="15" hidden="false" customHeight="true" outlineLevel="0" collapsed="false">
      <c r="A381" s="8" t="n">
        <v>4413120</v>
      </c>
      <c r="B381" s="8" t="s">
        <v>1450</v>
      </c>
      <c r="C381" s="8" t="str">
        <f aca="false">TRIM(SUBSTITUTE($B381,CHAR(160)," "))</f>
        <v>50 XXL מתלה אשכים לאחר ניתוח</v>
      </c>
    </row>
    <row r="382" customFormat="false" ht="15" hidden="false" customHeight="true" outlineLevel="0" collapsed="false">
      <c r="A382" s="8" t="n">
        <v>4413122</v>
      </c>
      <c r="B382" s="8" t="s">
        <v>1451</v>
      </c>
      <c r="C382" s="8" t="str">
        <f aca="false">TRIM(SUBSTITUTE($B382,CHAR(160)," "))</f>
        <v>55 L מתלה אשכים לספורטאים</v>
      </c>
    </row>
    <row r="383" customFormat="false" ht="15" hidden="false" customHeight="true" outlineLevel="0" collapsed="false">
      <c r="A383" s="8" t="n">
        <v>4413123</v>
      </c>
      <c r="B383" s="8" t="s">
        <v>1452</v>
      </c>
      <c r="C383" s="8" t="str">
        <f aca="false">TRIM(SUBSTITUTE($B383,CHAR(160)," "))</f>
        <v>55 M מתלה אשכים לספורטאים</v>
      </c>
    </row>
    <row r="384" customFormat="false" ht="15" hidden="false" customHeight="true" outlineLevel="0" collapsed="false">
      <c r="A384" s="8" t="n">
        <v>4413121</v>
      </c>
      <c r="B384" s="8" t="s">
        <v>1916</v>
      </c>
      <c r="C384" s="8" t="str">
        <f aca="false">TRIM(SUBSTITUTE($B384,CHAR(160)," "))</f>
        <v>55 S מתלה אשכים לספורטאים</v>
      </c>
    </row>
    <row r="385" customFormat="false" ht="15" hidden="false" customHeight="true" outlineLevel="0" collapsed="false">
      <c r="A385" s="8" t="n">
        <v>4413124</v>
      </c>
      <c r="B385" s="8" t="s">
        <v>1453</v>
      </c>
      <c r="C385" s="8" t="str">
        <f aca="false">TRIM(SUBSTITUTE($B385,CHAR(160)," "))</f>
        <v>55 XL מתלה אשכים לספורטאים</v>
      </c>
    </row>
    <row r="386" customFormat="false" ht="15" hidden="false" customHeight="true" outlineLevel="0" collapsed="false">
      <c r="A386" s="8" t="n">
        <v>4413125</v>
      </c>
      <c r="B386" s="8" t="s">
        <v>1917</v>
      </c>
      <c r="C386" s="8" t="str">
        <f aca="false">TRIM(SUBSTITUTE($B386,CHAR(160)," "))</f>
        <v>55 XXL מתלה אשכים לספורטאים</v>
      </c>
    </row>
    <row r="387" customFormat="false" ht="15" hidden="false" customHeight="true" outlineLevel="0" collapsed="false">
      <c r="A387" s="8" t="n">
        <v>4408071</v>
      </c>
      <c r="B387" s="8" t="s">
        <v>1249</v>
      </c>
      <c r="C387" s="8" t="str">
        <f aca="false">TRIM(SUBSTITUTE($B387,CHAR(160)," "))</f>
        <v>59D L חגורת שבר דו צדדי</v>
      </c>
    </row>
    <row r="388" customFormat="false" ht="15" hidden="false" customHeight="true" outlineLevel="0" collapsed="false">
      <c r="A388" s="8" t="n">
        <v>4408072</v>
      </c>
      <c r="B388" s="8" t="s">
        <v>1250</v>
      </c>
      <c r="C388" s="8" t="str">
        <f aca="false">TRIM(SUBSTITUTE($B388,CHAR(160)," "))</f>
        <v>59D M חגורת שבר דו צדדי</v>
      </c>
    </row>
    <row r="389" customFormat="false" ht="15" hidden="false" customHeight="true" outlineLevel="0" collapsed="false">
      <c r="A389" s="8" t="n">
        <v>4408070</v>
      </c>
      <c r="B389" s="8" t="s">
        <v>1769</v>
      </c>
      <c r="C389" s="8" t="str">
        <f aca="false">TRIM(SUBSTITUTE($B389,CHAR(160)," "))</f>
        <v>59D S חגורת שבר דו צדדי</v>
      </c>
    </row>
    <row r="390" customFormat="false" ht="15" hidden="false" customHeight="true" outlineLevel="0" collapsed="false">
      <c r="A390" s="8" t="n">
        <v>4408073</v>
      </c>
      <c r="B390" s="8" t="s">
        <v>1251</v>
      </c>
      <c r="C390" s="8" t="str">
        <f aca="false">TRIM(SUBSTITUTE($B390,CHAR(160)," "))</f>
        <v>59D XL חגורת שבר דו צדדי</v>
      </c>
    </row>
    <row r="391" customFormat="false" ht="15" hidden="false" customHeight="true" outlineLevel="0" collapsed="false">
      <c r="A391" s="8" t="n">
        <v>4408074</v>
      </c>
      <c r="B391" s="8" t="s">
        <v>1918</v>
      </c>
      <c r="C391" s="8" t="str">
        <f aca="false">TRIM(SUBSTITUTE($B391,CHAR(160)," "))</f>
        <v>59D XXLחגורת שבר דו צדדי</v>
      </c>
    </row>
    <row r="392" customFormat="false" ht="15" hidden="false" customHeight="true" outlineLevel="0" collapsed="false">
      <c r="A392" s="8" t="n">
        <v>4408076</v>
      </c>
      <c r="B392" s="8" t="s">
        <v>1253</v>
      </c>
      <c r="C392" s="8" t="str">
        <f aca="false">TRIM(SUBSTITUTE($B392,CHAR(160)," "))</f>
        <v>59L L חגורת שבר לצד שמאל</v>
      </c>
    </row>
    <row r="393" customFormat="false" ht="15" hidden="false" customHeight="true" outlineLevel="0" collapsed="false">
      <c r="A393" s="8" t="n">
        <v>4408077</v>
      </c>
      <c r="B393" s="8" t="s">
        <v>1254</v>
      </c>
      <c r="C393" s="8" t="str">
        <f aca="false">TRIM(SUBSTITUTE($B393,CHAR(160)," "))</f>
        <v>59L M חגורת שבר לצד שמאל</v>
      </c>
    </row>
    <row r="394" customFormat="false" ht="15" hidden="false" customHeight="true" outlineLevel="0" collapsed="false">
      <c r="A394" s="8" t="n">
        <v>4408075</v>
      </c>
      <c r="B394" s="8" t="s">
        <v>1252</v>
      </c>
      <c r="C394" s="8" t="str">
        <f aca="false">TRIM(SUBSTITUTE($B394,CHAR(160)," "))</f>
        <v>59L S חגורת שבר לצד שמאל</v>
      </c>
    </row>
    <row r="395" customFormat="false" ht="15" hidden="false" customHeight="true" outlineLevel="0" collapsed="false">
      <c r="A395" s="8" t="n">
        <v>4408078</v>
      </c>
      <c r="B395" s="8" t="s">
        <v>1255</v>
      </c>
      <c r="C395" s="8" t="str">
        <f aca="false">TRIM(SUBSTITUTE($B395,CHAR(160)," "))</f>
        <v>59L XLחגורת שבר לצד שמאל</v>
      </c>
    </row>
    <row r="396" customFormat="false" ht="15" hidden="false" customHeight="true" outlineLevel="0" collapsed="false">
      <c r="A396" s="8" t="n">
        <v>4408080</v>
      </c>
      <c r="B396" s="8" t="s">
        <v>1257</v>
      </c>
      <c r="C396" s="8" t="str">
        <f aca="false">TRIM(SUBSTITUTE($B396,CHAR(160)," "))</f>
        <v>59R L חגורת שבר לצד ימין</v>
      </c>
    </row>
    <row r="397" customFormat="false" ht="15" hidden="false" customHeight="true" outlineLevel="0" collapsed="false">
      <c r="A397" s="8" t="n">
        <v>4408081</v>
      </c>
      <c r="B397" s="8" t="s">
        <v>1258</v>
      </c>
      <c r="C397" s="8" t="str">
        <f aca="false">TRIM(SUBSTITUTE($B397,CHAR(160)," "))</f>
        <v>59R M חגורת שבר לצד ימין</v>
      </c>
    </row>
    <row r="398" customFormat="false" ht="15" hidden="false" customHeight="true" outlineLevel="0" collapsed="false">
      <c r="A398" s="8" t="n">
        <v>4408079</v>
      </c>
      <c r="B398" s="8" t="s">
        <v>1256</v>
      </c>
      <c r="C398" s="8" t="str">
        <f aca="false">TRIM(SUBSTITUTE($B398,CHAR(160)," "))</f>
        <v>59R S חגורת שבר לצד ימין</v>
      </c>
    </row>
    <row r="399" customFormat="false" ht="15" hidden="false" customHeight="true" outlineLevel="0" collapsed="false">
      <c r="A399" s="8" t="n">
        <v>4408082</v>
      </c>
      <c r="B399" s="8" t="s">
        <v>1259</v>
      </c>
      <c r="C399" s="8" t="str">
        <f aca="false">TRIM(SUBSTITUTE($B399,CHAR(160)," "))</f>
        <v>59R XL חגורת שבר לצד ימין</v>
      </c>
    </row>
    <row r="400" customFormat="false" ht="15" hidden="false" customHeight="true" outlineLevel="0" collapsed="false">
      <c r="A400" s="8" t="n">
        <v>4413466</v>
      </c>
      <c r="B400" s="8" t="s">
        <v>1919</v>
      </c>
      <c r="C400" s="8" t="str">
        <f aca="false">TRIM(SUBSTITUTE($B400,CHAR(160)," "))</f>
        <v>604L מסכה ארקי</v>
      </c>
    </row>
    <row r="401" customFormat="false" ht="15" hidden="false" customHeight="true" outlineLevel="0" collapsed="false">
      <c r="A401" s="8" t="n">
        <v>4413467</v>
      </c>
      <c r="B401" s="8" t="s">
        <v>1920</v>
      </c>
      <c r="C401" s="8" t="str">
        <f aca="false">TRIM(SUBSTITUTE($B401,CHAR(160)," "))</f>
        <v>604XL מסכה ארקי</v>
      </c>
    </row>
    <row r="402" customFormat="false" ht="15" hidden="false" customHeight="true" outlineLevel="0" collapsed="false">
      <c r="A402" s="8" t="n">
        <v>4413464</v>
      </c>
      <c r="B402" s="8" t="s">
        <v>1588</v>
      </c>
      <c r="C402" s="8" t="str">
        <f aca="false">TRIM(SUBSTITUTE($B402,CHAR(160)," "))</f>
        <v>605XL מסכה אלה</v>
      </c>
    </row>
    <row r="403" customFormat="false" ht="15" hidden="false" customHeight="true" outlineLevel="0" collapsed="false">
      <c r="A403" s="8" t="n">
        <v>4413473</v>
      </c>
      <c r="B403" s="8" t="s">
        <v>1921</v>
      </c>
      <c r="C403" s="8" t="str">
        <f aca="false">TRIM(SUBSTITUTE($B403,CHAR(160)," "))</f>
        <v>655L ""מסכה ""גדי</v>
      </c>
    </row>
    <row r="404" customFormat="false" ht="15" hidden="false" customHeight="true" outlineLevel="0" collapsed="false">
      <c r="A404" s="8" t="n">
        <v>4408088</v>
      </c>
      <c r="B404" s="8" t="s">
        <v>1263</v>
      </c>
      <c r="C404" s="8" t="str">
        <f aca="false">TRIM(SUBSTITUTE($B404,CHAR(160)," "))</f>
        <v>91 חבק ""טניס אלבו רצועה</v>
      </c>
    </row>
    <row r="405" customFormat="false" ht="15" hidden="false" customHeight="true" outlineLevel="0" collapsed="false">
      <c r="A405" s="8" t="n">
        <v>4408083</v>
      </c>
      <c r="B405" s="8" t="s">
        <v>1922</v>
      </c>
      <c r="C405" s="8" t="str">
        <f aca="false">TRIM(SUBSTITUTE($B405,CHAR(160)," "))</f>
        <v>911 חבק לטניס אלבו</v>
      </c>
    </row>
    <row r="406" customFormat="false" ht="15" hidden="false" customHeight="true" outlineLevel="0" collapsed="false">
      <c r="A406" s="8" t="n">
        <v>4408266</v>
      </c>
      <c r="B406" s="8" t="s">
        <v>1340</v>
      </c>
      <c r="C406" s="8" t="str">
        <f aca="false">TRIM(SUBSTITUTE($B406,CHAR(160)," "))</f>
        <v>91B חבק טניס אלבו</v>
      </c>
    </row>
    <row r="407" customFormat="false" ht="15" hidden="false" customHeight="true" outlineLevel="0" collapsed="false">
      <c r="A407" s="8" t="n">
        <v>4408084</v>
      </c>
      <c r="B407" s="8" t="s">
        <v>1260</v>
      </c>
      <c r="C407" s="8" t="str">
        <f aca="false">TRIM(SUBSTITUTE($B407,CHAR(160)," "))</f>
        <v>922L.חבק יד לטניס כרית סיליק</v>
      </c>
    </row>
    <row r="408" customFormat="false" ht="15" hidden="false" customHeight="true" outlineLevel="0" collapsed="false">
      <c r="A408" s="8" t="n">
        <v>4408085</v>
      </c>
      <c r="B408" s="8" t="s">
        <v>1261</v>
      </c>
      <c r="C408" s="8" t="str">
        <f aca="false">TRIM(SUBSTITUTE($B408,CHAR(160)," "))</f>
        <v>922M.מחבק יד לטניס כרית סילי</v>
      </c>
    </row>
    <row r="409" customFormat="false" ht="15" hidden="false" customHeight="true" outlineLevel="0" collapsed="false">
      <c r="A409" s="8" t="n">
        <v>4408086</v>
      </c>
      <c r="B409" s="8" t="s">
        <v>1799</v>
      </c>
      <c r="C409" s="8" t="str">
        <f aca="false">TRIM(SUBSTITUTE($B409,CHAR(160)," "))</f>
        <v>922S.חבק יד לטניס כרית סיליק</v>
      </c>
    </row>
    <row r="410" customFormat="false" ht="15" hidden="false" customHeight="true" outlineLevel="0" collapsed="false">
      <c r="A410" s="8" t="n">
        <v>4408087</v>
      </c>
      <c r="B410" s="8" t="s">
        <v>1262</v>
      </c>
      <c r="C410" s="8" t="str">
        <f aca="false">TRIM(SUBSTITUTE($B410,CHAR(160)," "))</f>
        <v>922XLחבק יד לטניס כרית סיליק</v>
      </c>
    </row>
    <row r="411" customFormat="false" ht="15" hidden="false" customHeight="true" outlineLevel="0" collapsed="false">
      <c r="A411" s="8" t="n">
        <v>4413339</v>
      </c>
      <c r="B411" s="8" t="s">
        <v>1533</v>
      </c>
      <c r="C411" s="8" t="str">
        <f aca="false">TRIM(SUBSTITUTE($B411,CHAR(160)," "))</f>
        <v>922XXLמגן מרפק+כרית סילקון</v>
      </c>
    </row>
    <row r="412" customFormat="false" ht="15" hidden="false" customHeight="true" outlineLevel="0" collapsed="false">
      <c r="A412" s="8" t="n">
        <v>4413139</v>
      </c>
      <c r="B412" s="8" t="s">
        <v>1467</v>
      </c>
      <c r="C412" s="8" t="str">
        <f aca="false">TRIM(SUBSTITUTE($B412,CHAR(160)," "))</f>
        <v>95 L מגן מרפק רגיל לבן</v>
      </c>
    </row>
    <row r="413" customFormat="false" ht="15" hidden="false" customHeight="true" outlineLevel="0" collapsed="false">
      <c r="A413" s="8" t="n">
        <v>4413140</v>
      </c>
      <c r="B413" s="8" t="s">
        <v>1468</v>
      </c>
      <c r="C413" s="8" t="str">
        <f aca="false">TRIM(SUBSTITUTE($B413,CHAR(160)," "))</f>
        <v>95 M מגן מרפק רגיל לבן</v>
      </c>
    </row>
    <row r="414" customFormat="false" ht="15" hidden="false" customHeight="true" outlineLevel="0" collapsed="false">
      <c r="A414" s="8" t="n">
        <v>4413141</v>
      </c>
      <c r="B414" s="8" t="s">
        <v>1469</v>
      </c>
      <c r="C414" s="8" t="str">
        <f aca="false">TRIM(SUBSTITUTE($B414,CHAR(160)," "))</f>
        <v>95 S מגן מרפק רגיל לבן</v>
      </c>
    </row>
    <row r="415" customFormat="false" ht="15" hidden="false" customHeight="true" outlineLevel="0" collapsed="false">
      <c r="A415" s="8" t="n">
        <v>4413142</v>
      </c>
      <c r="B415" s="8" t="s">
        <v>1470</v>
      </c>
      <c r="C415" s="8" t="str">
        <f aca="false">TRIM(SUBSTITUTE($B415,CHAR(160)," "))</f>
        <v>95 XL מגן מרפק רגיל לבן</v>
      </c>
    </row>
    <row r="416" customFormat="false" ht="15" hidden="false" customHeight="true" outlineLevel="0" collapsed="false">
      <c r="A416" s="8" t="n">
        <v>4413143</v>
      </c>
      <c r="B416" s="8" t="s">
        <v>1471</v>
      </c>
      <c r="C416" s="8" t="str">
        <f aca="false">TRIM(SUBSTITUTE($B416,CHAR(160)," "))</f>
        <v>95 XS מגן מרפק רגיל לבן</v>
      </c>
    </row>
    <row r="417" customFormat="false" ht="15" hidden="false" customHeight="true" outlineLevel="0" collapsed="false">
      <c r="A417" s="8" t="n">
        <v>4413144</v>
      </c>
      <c r="B417" s="8" t="s">
        <v>1472</v>
      </c>
      <c r="C417" s="8" t="str">
        <f aca="false">TRIM(SUBSTITUTE($B417,CHAR(160)," "))</f>
        <v>95 XXL מגן מרפק רגיל לבן</v>
      </c>
    </row>
    <row r="418" customFormat="false" ht="15" hidden="false" customHeight="true" outlineLevel="0" collapsed="false">
      <c r="A418" s="8" t="n">
        <v>4413146</v>
      </c>
      <c r="B418" s="8" t="s">
        <v>1805</v>
      </c>
      <c r="C418" s="8" t="str">
        <f aca="false">TRIM(SUBSTITUTE($B418,CHAR(160)," "))</f>
        <v>95+ L מגן מרפק+רצועה לטניס</v>
      </c>
    </row>
    <row r="419" customFormat="false" ht="15" hidden="false" customHeight="true" outlineLevel="0" collapsed="false">
      <c r="A419" s="8" t="n">
        <v>4413147</v>
      </c>
      <c r="B419" s="8" t="s">
        <v>1806</v>
      </c>
      <c r="C419" s="8" t="str">
        <f aca="false">TRIM(SUBSTITUTE($B419,CHAR(160)," "))</f>
        <v>95+ M מגן מרפק+רצועה לטניס</v>
      </c>
    </row>
    <row r="420" customFormat="false" ht="15" hidden="false" customHeight="true" outlineLevel="0" collapsed="false">
      <c r="A420" s="8" t="n">
        <v>4413148</v>
      </c>
      <c r="B420" s="8" t="s">
        <v>1923</v>
      </c>
      <c r="C420" s="8" t="str">
        <f aca="false">TRIM(SUBSTITUTE($B420,CHAR(160)," "))</f>
        <v>95+ XL מגן מרפק+רצועה לטניס</v>
      </c>
    </row>
    <row r="421" customFormat="false" ht="15" hidden="false" customHeight="true" outlineLevel="0" collapsed="false">
      <c r="A421" s="8" t="n">
        <v>4413500</v>
      </c>
      <c r="B421" s="8" t="s">
        <v>1600</v>
      </c>
      <c r="C421" s="8" t="str">
        <f aca="false">TRIM(SUBSTITUTE($B421,CHAR(160)," "))</f>
        <v>95B L מגן מרפק שחור</v>
      </c>
    </row>
    <row r="422" customFormat="false" ht="15" hidden="false" customHeight="true" outlineLevel="0" collapsed="false">
      <c r="A422" s="8" t="n">
        <v>4413501</v>
      </c>
      <c r="B422" s="8" t="s">
        <v>1601</v>
      </c>
      <c r="C422" s="8" t="str">
        <f aca="false">TRIM(SUBSTITUTE($B422,CHAR(160)," "))</f>
        <v>95B M מגן מרפק שחור</v>
      </c>
    </row>
    <row r="423" customFormat="false" ht="15" hidden="false" customHeight="true" outlineLevel="0" collapsed="false">
      <c r="A423" s="8" t="n">
        <v>4413502</v>
      </c>
      <c r="B423" s="8" t="s">
        <v>1602</v>
      </c>
      <c r="C423" s="8" t="str">
        <f aca="false">TRIM(SUBSTITUTE($B423,CHAR(160)," "))</f>
        <v>95B S מגן מרפק שחור</v>
      </c>
    </row>
    <row r="424" customFormat="false" ht="15" hidden="false" customHeight="true" outlineLevel="0" collapsed="false">
      <c r="A424" s="8" t="n">
        <v>4413503</v>
      </c>
      <c r="B424" s="8" t="s">
        <v>1603</v>
      </c>
      <c r="C424" s="8" t="str">
        <f aca="false">TRIM(SUBSTITUTE($B424,CHAR(160)," "))</f>
        <v>95B XL מגן מרפק שחור</v>
      </c>
    </row>
    <row r="425" customFormat="false" ht="15" hidden="false" customHeight="true" outlineLevel="0" collapsed="false">
      <c r="A425" s="8" t="n">
        <v>4413504</v>
      </c>
      <c r="B425" s="8" t="s">
        <v>1604</v>
      </c>
      <c r="C425" s="8" t="str">
        <f aca="false">TRIM(SUBSTITUTE($B425,CHAR(160)," "))</f>
        <v>95B XXLמגן מרפק שחור</v>
      </c>
    </row>
    <row r="426" customFormat="false" ht="15" hidden="false" customHeight="true" outlineLevel="0" collapsed="false">
      <c r="A426" s="8" t="n">
        <v>4413365</v>
      </c>
      <c r="B426" s="8" t="s">
        <v>1542</v>
      </c>
      <c r="C426" s="8" t="str">
        <f aca="false">TRIM(SUBSTITUTE($B426,CHAR(160)," "))</f>
        <v>95C L 'מגן מרפק בז</v>
      </c>
    </row>
    <row r="427" customFormat="false" ht="15" hidden="false" customHeight="true" outlineLevel="0" collapsed="false">
      <c r="A427" s="8" t="n">
        <v>4413364</v>
      </c>
      <c r="B427" s="8" t="s">
        <v>1541</v>
      </c>
      <c r="C427" s="8" t="str">
        <f aca="false">TRIM(SUBSTITUTE($B427,CHAR(160)," "))</f>
        <v>95C M 'מגן מרפק בז</v>
      </c>
    </row>
    <row r="428" customFormat="false" ht="15" hidden="false" customHeight="true" outlineLevel="0" collapsed="false">
      <c r="A428" s="8" t="n">
        <v>4413366</v>
      </c>
      <c r="B428" s="8" t="s">
        <v>1543</v>
      </c>
      <c r="C428" s="8" t="str">
        <f aca="false">TRIM(SUBSTITUTE($B428,CHAR(160)," "))</f>
        <v>95C S 'מגן מרפק בז</v>
      </c>
    </row>
    <row r="429" customFormat="false" ht="15" hidden="false" customHeight="true" outlineLevel="0" collapsed="false">
      <c r="A429" s="8" t="n">
        <v>4413367</v>
      </c>
      <c r="B429" s="8" t="s">
        <v>1544</v>
      </c>
      <c r="C429" s="8" t="str">
        <f aca="false">TRIM(SUBSTITUTE($B429,CHAR(160)," "))</f>
        <v>95C XL'מגן מרפק בז</v>
      </c>
    </row>
    <row r="430" customFormat="false" ht="15" hidden="false" customHeight="true" outlineLevel="0" collapsed="false">
      <c r="A430" s="8" t="n">
        <v>4413368</v>
      </c>
      <c r="B430" s="8" t="s">
        <v>1545</v>
      </c>
      <c r="C430" s="8" t="str">
        <f aca="false">TRIM(SUBSTITUTE($B430,CHAR(160)," "))</f>
        <v>95C XS'מגן מרפק בז</v>
      </c>
    </row>
    <row r="431" customFormat="false" ht="15" hidden="false" customHeight="true" outlineLevel="0" collapsed="false">
      <c r="A431" s="8" t="n">
        <v>4413369</v>
      </c>
      <c r="B431" s="8" t="s">
        <v>1546</v>
      </c>
      <c r="C431" s="8" t="str">
        <f aca="false">TRIM(SUBSTITUTE($B431,CHAR(160)," "))</f>
        <v>95C XXL'מגן מרפק בז</v>
      </c>
    </row>
    <row r="432" customFormat="false" ht="15" hidden="false" customHeight="true" outlineLevel="0" collapsed="false">
      <c r="A432" s="8" t="n">
        <v>4413363</v>
      </c>
      <c r="B432" s="8" t="s">
        <v>1924</v>
      </c>
      <c r="C432" s="8" t="str">
        <f aca="false">TRIM(SUBSTITUTE($B432,CHAR(160)," "))</f>
        <v>95G XXLמגן מרפק אפור</v>
      </c>
    </row>
    <row r="433" customFormat="false" ht="15" hidden="false" customHeight="true" outlineLevel="0" collapsed="false">
      <c r="A433" s="8" t="n">
        <v>4408208</v>
      </c>
      <c r="B433" s="8" t="s">
        <v>1313</v>
      </c>
      <c r="C433" s="8" t="str">
        <f aca="false">TRIM(SUBSTITUTE($B433,CHAR(160)," "))</f>
        <v>AC91 חבק טניס</v>
      </c>
    </row>
    <row r="434" customFormat="false" ht="15" hidden="false" customHeight="true" outlineLevel="0" collapsed="false">
      <c r="A434" s="8" t="n">
        <v>4413331</v>
      </c>
      <c r="B434" s="8" t="s">
        <v>1527</v>
      </c>
      <c r="C434" s="8" t="str">
        <f aca="false">TRIM(SUBSTITUTE($B434,CHAR(160)," "))</f>
        <v>AC95 מגן מרפק</v>
      </c>
    </row>
    <row r="435" customFormat="false" ht="15" hidden="false" customHeight="true" outlineLevel="0" collapsed="false">
      <c r="A435" s="8" t="n">
        <v>4413405</v>
      </c>
      <c r="B435" s="8" t="s">
        <v>1557</v>
      </c>
      <c r="C435" s="8" t="str">
        <f aca="false">TRIM(SUBSTITUTE($B435,CHAR(160)," "))</f>
        <v>SC95 S מגן מרפק</v>
      </c>
    </row>
    <row r="436" customFormat="false" ht="15" hidden="false" customHeight="true" outlineLevel="0" collapsed="false">
      <c r="A436" s="8" t="n">
        <v>4413409</v>
      </c>
      <c r="B436" s="8" t="s">
        <v>1925</v>
      </c>
      <c r="C436" s="8" t="str">
        <f aca="false">TRIM(SUBSTITUTE($B436,CHAR(160)," "))</f>
        <v>SC95 XXL מגן מרפק</v>
      </c>
    </row>
    <row r="437" customFormat="false" ht="15" hidden="false" customHeight="true" outlineLevel="0" collapsed="false">
      <c r="A437" s="8" t="n">
        <v>4413531</v>
      </c>
      <c r="B437" s="8" t="s">
        <v>1760</v>
      </c>
      <c r="C437" s="8" t="str">
        <f aca="false">TRIM(SUBSTITUTE($B437,CHAR(160)," "))</f>
        <v>ST91 מגן מרפק לטניס</v>
      </c>
    </row>
    <row r="438" customFormat="false" ht="15" hidden="false" customHeight="true" outlineLevel="0" collapsed="false">
      <c r="A438" s="8" t="n">
        <v>4420018</v>
      </c>
      <c r="B438" s="8" t="s">
        <v>1706</v>
      </c>
      <c r="C438" s="8" t="str">
        <f aca="false">TRIM(SUBSTITUTE($B438,CHAR(160)," "))</f>
        <v>T90 רצועת טניס אלבו עם פלסטיק</v>
      </c>
    </row>
    <row r="439" customFormat="false" ht="15" hidden="false" customHeight="true" outlineLevel="0" collapsed="false">
      <c r="A439" s="8" t="n">
        <v>4420019</v>
      </c>
      <c r="B439" s="8" t="s">
        <v>1792</v>
      </c>
      <c r="C439" s="8" t="str">
        <f aca="false">TRIM(SUBSTITUTE($B439,CHAR(160)," "))</f>
        <v>T91 L-XL רצועת טניס אלבו</v>
      </c>
    </row>
    <row r="440" customFormat="false" ht="15" hidden="false" customHeight="true" outlineLevel="0" collapsed="false">
      <c r="A440" s="8" t="n">
        <v>4420020</v>
      </c>
      <c r="B440" s="8" t="s">
        <v>1793</v>
      </c>
      <c r="C440" s="8" t="str">
        <f aca="false">TRIM(SUBSTITUTE($B440,CHAR(160)," "))</f>
        <v>T91 S-M רצועת טניס אלבו</v>
      </c>
    </row>
    <row r="441" customFormat="false" ht="15" hidden="false" customHeight="true" outlineLevel="0" collapsed="false">
      <c r="A441" s="8" t="n">
        <v>4413212</v>
      </c>
      <c r="B441" s="8" t="s">
        <v>1781</v>
      </c>
      <c r="C441" s="8" t="str">
        <f aca="false">TRIM(SUBSTITUTE($B441,CHAR(160)," "))</f>
        <v>T95 L מגן מרפק רגיל</v>
      </c>
    </row>
    <row r="442" customFormat="false" ht="15" hidden="false" customHeight="true" outlineLevel="0" collapsed="false">
      <c r="A442" s="8" t="n">
        <v>4413211</v>
      </c>
      <c r="B442" s="8" t="s">
        <v>1926</v>
      </c>
      <c r="C442" s="8" t="str">
        <f aca="false">TRIM(SUBSTITUTE($B442,CHAR(160)," "))</f>
        <v>T95 M מגן מרפק רגיל</v>
      </c>
    </row>
    <row r="443" customFormat="false" ht="15" hidden="false" customHeight="true" outlineLevel="0" collapsed="false">
      <c r="A443" s="8" t="n">
        <v>4413210</v>
      </c>
      <c r="B443" s="8" t="s">
        <v>1507</v>
      </c>
      <c r="C443" s="8" t="str">
        <f aca="false">TRIM(SUBSTITUTE($B443,CHAR(160)," "))</f>
        <v>T95 S מגן מרפק רגיל</v>
      </c>
    </row>
    <row r="444" customFormat="false" ht="15" hidden="false" customHeight="true" outlineLevel="0" collapsed="false">
      <c r="A444" s="8" t="n">
        <v>4413213</v>
      </c>
      <c r="B444" s="8" t="s">
        <v>1927</v>
      </c>
      <c r="C444" s="8" t="str">
        <f aca="false">TRIM(SUBSTITUTE($B444,CHAR(160)," "))</f>
        <v>T95 XLמגן מרפק רגיל</v>
      </c>
    </row>
    <row r="445" customFormat="false" ht="15" hidden="false" customHeight="true" outlineLevel="0" collapsed="false">
      <c r="A445" s="8" t="n">
        <v>4413207</v>
      </c>
      <c r="B445" s="8" t="s">
        <v>1928</v>
      </c>
      <c r="C445" s="8" t="str">
        <f aca="false">TRIM(SUBSTITUTE($B445,CHAR(160)," "))</f>
        <v>T95+ L מגן מרפק +רצועה</v>
      </c>
    </row>
    <row r="446" customFormat="false" ht="15" hidden="false" customHeight="true" outlineLevel="0" collapsed="false">
      <c r="A446" s="8" t="n">
        <v>4413208</v>
      </c>
      <c r="B446" s="8" t="s">
        <v>1929</v>
      </c>
      <c r="C446" s="8" t="str">
        <f aca="false">TRIM(SUBSTITUTE($B446,CHAR(160)," "))</f>
        <v>T95+ XLמגן מרפק +רצועה</v>
      </c>
    </row>
    <row r="447" customFormat="false" ht="15" hidden="false" customHeight="true" outlineLevel="0" collapsed="false">
      <c r="A447" s="8" t="n">
        <v>4413168</v>
      </c>
      <c r="B447" s="8" t="s">
        <v>1930</v>
      </c>
      <c r="C447" s="8" t="str">
        <f aca="false">TRIM(SUBSTITUTE($B447,CHAR(160)," "))</f>
        <v>80 L תתמתלה ליד רצועה</v>
      </c>
    </row>
    <row r="448" customFormat="false" ht="15" hidden="false" customHeight="true" outlineLevel="0" collapsed="false">
      <c r="A448" s="8" t="n">
        <v>4413167</v>
      </c>
      <c r="B448" s="8" t="s">
        <v>1807</v>
      </c>
      <c r="C448" s="8" t="str">
        <f aca="false">TRIM(SUBSTITUTE($B448,CHAR(160)," "))</f>
        <v>80 M תתמתלה ליד רצועה</v>
      </c>
    </row>
    <row r="449" customFormat="false" ht="15" hidden="false" customHeight="true" outlineLevel="0" collapsed="false">
      <c r="A449" s="8" t="n">
        <v>4413166</v>
      </c>
      <c r="B449" s="8" t="s">
        <v>1486</v>
      </c>
      <c r="C449" s="8" t="str">
        <f aca="false">TRIM(SUBSTITUTE($B449,CHAR(160)," "))</f>
        <v>80 S תתמתלה ליד רצועה</v>
      </c>
    </row>
    <row r="450" customFormat="false" ht="15" hidden="false" customHeight="true" outlineLevel="0" collapsed="false">
      <c r="A450" s="8" t="n">
        <v>4413163</v>
      </c>
      <c r="B450" s="8" t="s">
        <v>1931</v>
      </c>
      <c r="C450" s="8" t="str">
        <f aca="false">TRIM(SUBSTITUTE($B450,CHAR(160)," "))</f>
        <v>80 XL תתמתלה ליד</v>
      </c>
    </row>
    <row r="451" customFormat="false" ht="15" hidden="false" customHeight="true" outlineLevel="0" collapsed="false">
      <c r="A451" s="8" t="n">
        <v>4413308</v>
      </c>
      <c r="B451" s="8" t="s">
        <v>1932</v>
      </c>
      <c r="C451" s="8" t="str">
        <f aca="false">TRIM(SUBSTITUTE($B451,CHAR(160)," "))</f>
        <v>82 0 מתלה יד מספוג</v>
      </c>
    </row>
    <row r="452" customFormat="false" ht="15" hidden="false" customHeight="true" outlineLevel="0" collapsed="false">
      <c r="A452" s="8" t="n">
        <v>4413135</v>
      </c>
      <c r="B452" s="8" t="s">
        <v>1463</v>
      </c>
      <c r="C452" s="8" t="str">
        <f aca="false">TRIM(SUBSTITUTE($B452,CHAR(160)," "))</f>
        <v>85 L (מתלה ליד )כיס</v>
      </c>
    </row>
    <row r="453" customFormat="false" ht="15" hidden="false" customHeight="true" outlineLevel="0" collapsed="false">
      <c r="A453" s="8" t="n">
        <v>4413136</v>
      </c>
      <c r="B453" s="8" t="s">
        <v>1464</v>
      </c>
      <c r="C453" s="8" t="str">
        <f aca="false">TRIM(SUBSTITUTE($B453,CHAR(160)," "))</f>
        <v>85 M (מתלה ליד )כיס</v>
      </c>
    </row>
    <row r="454" customFormat="false" ht="15" hidden="false" customHeight="true" outlineLevel="0" collapsed="false">
      <c r="A454" s="8" t="n">
        <v>4413137</v>
      </c>
      <c r="B454" s="8" t="s">
        <v>1465</v>
      </c>
      <c r="C454" s="8" t="str">
        <f aca="false">TRIM(SUBSTITUTE($B454,CHAR(160)," "))</f>
        <v>85 S (מתלה ליד )כיס</v>
      </c>
    </row>
    <row r="455" customFormat="false" ht="15" hidden="false" customHeight="true" outlineLevel="0" collapsed="false">
      <c r="A455" s="8" t="n">
        <v>4413138</v>
      </c>
      <c r="B455" s="8" t="s">
        <v>1466</v>
      </c>
      <c r="C455" s="8" t="str">
        <f aca="false">TRIM(SUBSTITUTE($B455,CHAR(160)," "))</f>
        <v>85 XL (מתלה ליד )כיס</v>
      </c>
    </row>
    <row r="456" customFormat="false" ht="15" hidden="false" customHeight="true" outlineLevel="0" collapsed="false">
      <c r="A456" s="8" t="n">
        <v>4413176</v>
      </c>
      <c r="B456" s="8" t="s">
        <v>1494</v>
      </c>
      <c r="C456" s="8" t="str">
        <f aca="false">TRIM(SUBSTITUTE($B456,CHAR(160)," "))</f>
        <v>85+ Lמתלה ליד)כיס(+רצועת חיזוק</v>
      </c>
    </row>
    <row r="457" customFormat="false" ht="15" hidden="false" customHeight="true" outlineLevel="0" collapsed="false">
      <c r="A457" s="8" t="n">
        <v>4413175</v>
      </c>
      <c r="B457" s="8" t="s">
        <v>1493</v>
      </c>
      <c r="C457" s="8" t="str">
        <f aca="false">TRIM(SUBSTITUTE($B457,CHAR(160)," "))</f>
        <v>85+ Mמתלה ליד)כיס(+רצועת חיזוק</v>
      </c>
    </row>
    <row r="458" customFormat="false" ht="15" hidden="false" customHeight="true" outlineLevel="0" collapsed="false">
      <c r="A458" s="8" t="n">
        <v>4413174</v>
      </c>
      <c r="B458" s="8" t="s">
        <v>1492</v>
      </c>
      <c r="C458" s="8" t="str">
        <f aca="false">TRIM(SUBSTITUTE($B458,CHAR(160)," "))</f>
        <v>85+ Sמתלה ליד)כיס(+רצועת חיזוק</v>
      </c>
    </row>
    <row r="459" customFormat="false" ht="15" hidden="false" customHeight="true" outlineLevel="0" collapsed="false">
      <c r="A459" s="8" t="n">
        <v>4413177</v>
      </c>
      <c r="B459" s="8" t="s">
        <v>1495</v>
      </c>
      <c r="C459" s="8" t="str">
        <f aca="false">TRIM(SUBSTITUTE($B459,CHAR(160)," "))</f>
        <v>85+ XLמתלה ליד)כיס(רצועת חיזוק</v>
      </c>
    </row>
    <row r="460" customFormat="false" ht="15" hidden="false" customHeight="true" outlineLevel="0" collapsed="false">
      <c r="A460" s="8" t="n">
        <v>4413516</v>
      </c>
      <c r="B460" s="8" t="s">
        <v>1605</v>
      </c>
      <c r="C460" s="8" t="str">
        <f aca="false">TRIM(SUBSTITUTE($B460,CHAR(160)," "))</f>
        <v>85B L מתלה רשת לזרוע שחור</v>
      </c>
    </row>
    <row r="461" customFormat="false" ht="15" hidden="false" customHeight="true" outlineLevel="0" collapsed="false">
      <c r="A461" s="8" t="n">
        <v>4413517</v>
      </c>
      <c r="B461" s="8" t="s">
        <v>1606</v>
      </c>
      <c r="C461" s="8" t="str">
        <f aca="false">TRIM(SUBSTITUTE($B461,CHAR(160)," "))</f>
        <v>85B M מתלה רשת לזרוע שחור</v>
      </c>
    </row>
    <row r="462" customFormat="false" ht="15" hidden="false" customHeight="true" outlineLevel="0" collapsed="false">
      <c r="A462" s="8" t="n">
        <v>4413519</v>
      </c>
      <c r="B462" s="8" t="s">
        <v>1608</v>
      </c>
      <c r="C462" s="8" t="str">
        <f aca="false">TRIM(SUBSTITUTE($B462,CHAR(160)," "))</f>
        <v>85B S מתלה רשת לזרוע שחור</v>
      </c>
    </row>
    <row r="463" customFormat="false" ht="15" hidden="false" customHeight="true" outlineLevel="0" collapsed="false">
      <c r="A463" s="8" t="n">
        <v>4413518</v>
      </c>
      <c r="B463" s="8" t="s">
        <v>1607</v>
      </c>
      <c r="C463" s="8" t="str">
        <f aca="false">TRIM(SUBSTITUTE($B463,CHAR(160)," "))</f>
        <v>85B XL מתלה רשת לזרוע שחור</v>
      </c>
    </row>
    <row r="464" customFormat="false" ht="15" hidden="false" customHeight="true" outlineLevel="0" collapsed="false">
      <c r="A464" s="8" t="n">
        <v>4413455</v>
      </c>
      <c r="B464" s="8" t="s">
        <v>1586</v>
      </c>
      <c r="C464" s="8" t="str">
        <f aca="false">TRIM(SUBSTITUTE($B464,CHAR(160)," "))</f>
        <v>85K מתלה ליד לילדים</v>
      </c>
    </row>
    <row r="465" customFormat="false" ht="15" hidden="false" customHeight="true" outlineLevel="0" collapsed="false">
      <c r="A465" s="8" t="n">
        <v>4407000</v>
      </c>
      <c r="B465" s="8" t="s">
        <v>1933</v>
      </c>
      <c r="C465" s="8" t="str">
        <f aca="false">TRIM(SUBSTITUTE($B465,CHAR(160)," "))</f>
        <v>306 L זוג עקבים סיליקון</v>
      </c>
    </row>
    <row r="466" customFormat="false" ht="15" hidden="false" customHeight="true" outlineLevel="0" collapsed="false">
      <c r="A466" s="8" t="n">
        <v>4416000</v>
      </c>
      <c r="B466" s="8" t="s">
        <v>1671</v>
      </c>
      <c r="C466" s="8" t="str">
        <f aca="false">TRIM(SUBSTITUTE($B466,CHAR(160)," "))</f>
        <v>307 L עקבים לדורבן-זוג כריות</v>
      </c>
    </row>
    <row r="467" customFormat="false" ht="15" hidden="false" customHeight="true" outlineLevel="0" collapsed="false">
      <c r="A467" s="8" t="n">
        <v>4416001</v>
      </c>
      <c r="B467" s="8" t="s">
        <v>1672</v>
      </c>
      <c r="C467" s="8" t="str">
        <f aca="false">TRIM(SUBSTITUTE($B467,CHAR(160)," "))</f>
        <v>307 M עקבים לדורבן-זוג כריות</v>
      </c>
    </row>
    <row r="468" customFormat="false" ht="15" hidden="false" customHeight="true" outlineLevel="0" collapsed="false">
      <c r="A468" s="8" t="n">
        <v>4416002</v>
      </c>
      <c r="B468" s="8" t="s">
        <v>1673</v>
      </c>
      <c r="C468" s="8" t="str">
        <f aca="false">TRIM(SUBSTITUTE($B468,CHAR(160)," "))</f>
        <v>307 S עקבים לדורבן-זוג כריות</v>
      </c>
    </row>
    <row r="469" customFormat="false" ht="15" hidden="false" customHeight="true" outlineLevel="0" collapsed="false">
      <c r="A469" s="8" t="n">
        <v>4411016</v>
      </c>
      <c r="B469" s="8" t="s">
        <v>1360</v>
      </c>
      <c r="C469" s="8" t="str">
        <f aca="false">TRIM(SUBSTITUTE($B469,CHAR(160)," "))</f>
        <v>307 XL כרית סיליקון לעקב</v>
      </c>
    </row>
    <row r="470" customFormat="false" ht="15" hidden="false" customHeight="true" outlineLevel="0" collapsed="false">
      <c r="A470" s="8" t="n">
        <v>4416003</v>
      </c>
      <c r="B470" s="8" t="s">
        <v>1674</v>
      </c>
      <c r="C470" s="8" t="str">
        <f aca="false">TRIM(SUBSTITUTE($B470,CHAR(160)," "))</f>
        <v>308 Lעקבים סיליקון כחול לדורבן</v>
      </c>
    </row>
    <row r="471" customFormat="false" ht="15" hidden="false" customHeight="true" outlineLevel="0" collapsed="false">
      <c r="A471" s="8" t="n">
        <v>4416005</v>
      </c>
      <c r="B471" s="8" t="s">
        <v>1675</v>
      </c>
      <c r="C471" s="8" t="str">
        <f aca="false">TRIM(SUBSTITUTE($B471,CHAR(160)," "))</f>
        <v>308 Mעקבים סיליק.כחול לדורבן</v>
      </c>
    </row>
    <row r="472" customFormat="false" ht="15" hidden="false" customHeight="true" outlineLevel="0" collapsed="false">
      <c r="A472" s="8" t="n">
        <v>4416006</v>
      </c>
      <c r="B472" s="8" t="s">
        <v>1676</v>
      </c>
      <c r="C472" s="8" t="str">
        <f aca="false">TRIM(SUBSTITUTE($B472,CHAR(160)," "))</f>
        <v>308 Sעקבים סיליק.כחול לדורבן</v>
      </c>
    </row>
    <row r="473" customFormat="false" ht="15" hidden="false" customHeight="true" outlineLevel="0" collapsed="false">
      <c r="A473" s="8" t="n">
        <v>4416011</v>
      </c>
      <c r="B473" s="8" t="s">
        <v>1934</v>
      </c>
      <c r="C473" s="8" t="str">
        <f aca="false">TRIM(SUBSTITUTE($B473,CHAR(160)," "))</f>
        <v>309 L תתמוקפאעקב סיליקון+ קשת</v>
      </c>
    </row>
    <row r="474" customFormat="false" ht="15" hidden="false" customHeight="true" outlineLevel="0" collapsed="false">
      <c r="A474" s="8" t="n">
        <v>4416010</v>
      </c>
      <c r="B474" s="8" t="s">
        <v>1935</v>
      </c>
      <c r="C474" s="8" t="str">
        <f aca="false">TRIM(SUBSTITUTE($B474,CHAR(160)," "))</f>
        <v>309 M תתעקב סיליקון+ קשת</v>
      </c>
    </row>
    <row r="475" customFormat="false" ht="15" hidden="false" customHeight="true" outlineLevel="0" collapsed="false">
      <c r="A475" s="8" t="n">
        <v>4416009</v>
      </c>
      <c r="B475" s="8" t="s">
        <v>1817</v>
      </c>
      <c r="C475" s="8" t="str">
        <f aca="false">TRIM(SUBSTITUTE($B475,CHAR(160)," "))</f>
        <v>309 S תתמוקפאעקב סיליקון+ קשת</v>
      </c>
    </row>
    <row r="476" customFormat="false" ht="15" hidden="false" customHeight="true" outlineLevel="0" collapsed="false">
      <c r="A476" s="8" t="n">
        <v>4413033</v>
      </c>
      <c r="B476" s="8" t="s">
        <v>1385</v>
      </c>
      <c r="C476" s="8" t="str">
        <f aca="false">TRIM(SUBSTITUTE($B476,CHAR(160)," "))</f>
        <v>311'מדב.ג'ל למניעת שפשוף 5 יח</v>
      </c>
    </row>
    <row r="477" customFormat="false" ht="15" hidden="false" customHeight="true" outlineLevel="0" collapsed="false">
      <c r="A477" s="8" t="n">
        <v>4413034</v>
      </c>
      <c r="B477" s="8" t="s">
        <v>67</v>
      </c>
      <c r="C477" s="8" t="str">
        <f aca="false">TRIM(SUBSTITUTE($B477,CHAR(160)," "))</f>
        <v>312 9 מ""ס להתאמהX5 מדבקה גדולה</v>
      </c>
    </row>
    <row r="478" customFormat="false" ht="15" hidden="false" customHeight="true" outlineLevel="0" collapsed="false">
      <c r="A478" s="8" t="n">
        <v>4415297</v>
      </c>
      <c r="B478" s="8" t="s">
        <v>1668</v>
      </c>
      <c r="C478" s="8" t="str">
        <f aca="false">TRIM(SUBSTITUTE($B478,CHAR(160)," "))</f>
        <v>313 סט פלסטרים נגד שפשופים</v>
      </c>
    </row>
    <row r="479" customFormat="false" ht="15" hidden="false" customHeight="true" outlineLevel="0" collapsed="false">
      <c r="A479" s="8" t="n">
        <v>4402007</v>
      </c>
      <c r="B479" s="8" t="s">
        <v>1186</v>
      </c>
      <c r="C479" s="8" t="str">
        <f aca="false">TRIM(SUBSTITUTE($B479,CHAR(160)," "))</f>
        <v>320 בליסטר פלסטר</v>
      </c>
    </row>
    <row r="480" customFormat="false" ht="15" hidden="false" customHeight="true" outlineLevel="0" collapsed="false">
      <c r="A480" s="8" t="n">
        <v>4421001</v>
      </c>
      <c r="B480" s="8" t="s">
        <v>1723</v>
      </c>
      <c r="C480" s="8" t="str">
        <f aca="false">TRIM(SUBSTITUTE($B480,CHAR(160)," "))</f>
        <v>3611 שרוול מטטרזלי מסיליקון</v>
      </c>
    </row>
    <row r="481" customFormat="false" ht="15" hidden="false" customHeight="true" outlineLevel="0" collapsed="false">
      <c r="A481" s="8" t="n">
        <v>4413058</v>
      </c>
      <c r="B481" s="8" t="s">
        <v>1402</v>
      </c>
      <c r="C481" s="8" t="str">
        <f aca="false">TRIM(SUBSTITUTE($B481,CHAR(160)," "))</f>
        <v>3622S מדבקה לשחרור לחץ 2 יח</v>
      </c>
    </row>
    <row r="482" customFormat="false" ht="15" hidden="false" customHeight="true" outlineLevel="0" collapsed="false">
      <c r="A482" s="8" t="n">
        <v>4411001</v>
      </c>
      <c r="B482" s="8" t="s">
        <v>1358</v>
      </c>
      <c r="C482" s="8" t="str">
        <f aca="false">TRIM(SUBSTITUTE($B482,CHAR(160)," "))</f>
        <v>3623 כרית ליישור אצבע פטיש</v>
      </c>
    </row>
    <row r="483" customFormat="false" ht="15" hidden="false" customHeight="true" outlineLevel="0" collapsed="false">
      <c r="A483" s="8" t="n">
        <v>4402000</v>
      </c>
      <c r="B483" s="8" t="s">
        <v>1185</v>
      </c>
      <c r="C483" s="8" t="str">
        <f aca="false">TRIM(SUBSTITUTE($B483,CHAR(160)," "))</f>
        <v>363 בננה לתמיכת אצבעות ז.כרית</v>
      </c>
    </row>
    <row r="484" customFormat="false" ht="15" hidden="false" customHeight="true" outlineLevel="0" collapsed="false">
      <c r="A484" s="8" t="n">
        <v>4413060</v>
      </c>
      <c r="B484" s="8" t="s">
        <v>1404</v>
      </c>
      <c r="C484" s="8" t="str">
        <f aca="false">TRIM(SUBSTITUTE($B484,CHAR(160)," "))</f>
        <v>364 XLמפריד אצבע סיליקון ליבלת</v>
      </c>
    </row>
    <row r="485" customFormat="false" ht="15" hidden="false" customHeight="true" outlineLevel="0" collapsed="false">
      <c r="A485" s="8" t="n">
        <v>4413061</v>
      </c>
      <c r="B485" s="8" t="s">
        <v>1405</v>
      </c>
      <c r="C485" s="8" t="str">
        <f aca="false">TRIM(SUBSTITUTE($B485,CHAR(160)," "))</f>
        <v>3641-מיישר בוהן סיליקון קשיח</v>
      </c>
    </row>
    <row r="486" customFormat="false" ht="15" hidden="false" customHeight="true" outlineLevel="0" collapsed="false">
      <c r="A486" s="8" t="n">
        <v>4413059</v>
      </c>
      <c r="B486" s="8" t="s">
        <v>1403</v>
      </c>
      <c r="C486" s="8" t="str">
        <f aca="false">TRIM(SUBSTITUTE($B486,CHAR(160)," "))</f>
        <v>364S Lמפר.אצבע סיליק. ליבל.זוג</v>
      </c>
    </row>
    <row r="487" customFormat="false" ht="15" hidden="false" customHeight="true" outlineLevel="0" collapsed="false">
      <c r="A487" s="8" t="n">
        <v>4409001</v>
      </c>
      <c r="B487" s="8" t="s">
        <v>1346</v>
      </c>
      <c r="C487" s="8" t="str">
        <f aca="false">TRIM(SUBSTITUTE($B487,CHAR(160)," "))</f>
        <v>365 X-Lטבעת אלסטית מסיליקון</v>
      </c>
    </row>
    <row r="488" customFormat="false" ht="15" hidden="false" customHeight="true" outlineLevel="0" collapsed="false">
      <c r="A488" s="8" t="n">
        <v>4409000</v>
      </c>
      <c r="B488" s="8" t="s">
        <v>1345</v>
      </c>
      <c r="C488" s="8" t="str">
        <f aca="false">TRIM(SUBSTITUTE($B488,CHAR(160)," "))</f>
        <v>365 S-Lטבעת אלסטית מסיליקון</v>
      </c>
    </row>
    <row r="489" customFormat="false" ht="15" hidden="false" customHeight="true" outlineLevel="0" collapsed="false">
      <c r="A489" s="8" t="n">
        <v>4421000</v>
      </c>
      <c r="B489" s="8" t="s">
        <v>1722</v>
      </c>
      <c r="C489" s="8" t="str">
        <f aca="false">TRIM(SUBSTITUTE($B489,CHAR(160)," "))</f>
        <v>3655 שרוול מסיליקון לאצבע</v>
      </c>
    </row>
    <row r="490" customFormat="false" ht="15" hidden="false" customHeight="true" outlineLevel="0" collapsed="false">
      <c r="A490" s="8" t="n">
        <v>4413340</v>
      </c>
      <c r="B490" s="8" t="s">
        <v>1534</v>
      </c>
      <c r="C490" s="8" t="str">
        <f aca="false">TRIM(SUBSTITUTE($B490,CHAR(160)," "))</f>
        <v>3666 מפריד הלוקס</v>
      </c>
    </row>
    <row r="491" customFormat="false" ht="15" hidden="false" customHeight="true" outlineLevel="0" collapsed="false">
      <c r="A491" s="8" t="n">
        <v>4413063</v>
      </c>
      <c r="B491" s="8" t="s">
        <v>1406</v>
      </c>
      <c r="C491" s="8" t="str">
        <f aca="false">TRIM(SUBSTITUTE($B491,CHAR(160)," "))</f>
        <v>366S-'מדבק.לשחרור לחץ מיבלת2יח</v>
      </c>
    </row>
    <row r="492" customFormat="false" ht="15" hidden="false" customHeight="true" outlineLevel="0" collapsed="false">
      <c r="A492" s="8" t="n">
        <v>4421003</v>
      </c>
      <c r="B492" s="8" t="s">
        <v>1724</v>
      </c>
      <c r="C492" s="8" t="str">
        <f aca="false">TRIM(SUBSTITUTE($B492,CHAR(160)," "))</f>
        <v>3672 שרוול מגן לבוניון</v>
      </c>
    </row>
    <row r="493" customFormat="false" ht="15" hidden="false" customHeight="true" outlineLevel="0" collapsed="false">
      <c r="A493" s="8" t="n">
        <v>4413370</v>
      </c>
      <c r="B493" s="8" t="s">
        <v>1547</v>
      </c>
      <c r="C493" s="8" t="str">
        <f aca="false">TRIM(SUBSTITUTE($B493,CHAR(160)," "))</f>
        <v>3674 0 מ.בוניון+מפריד אצבע</v>
      </c>
    </row>
    <row r="494" customFormat="false" ht="15" hidden="false" customHeight="true" outlineLevel="0" collapsed="false">
      <c r="A494" s="8" t="n">
        <v>4413371</v>
      </c>
      <c r="B494" s="8" t="s">
        <v>1548</v>
      </c>
      <c r="C494" s="8" t="str">
        <f aca="false">TRIM(SUBSTITUTE($B494,CHAR(160)," "))</f>
        <v>3675 מגן זרת מסיליקון</v>
      </c>
    </row>
    <row r="495" customFormat="false" ht="15" hidden="false" customHeight="true" outlineLevel="0" collapsed="false">
      <c r="A495" s="8" t="n">
        <v>4413066</v>
      </c>
      <c r="B495" s="8" t="s">
        <v>1407</v>
      </c>
      <c r="C495" s="8" t="str">
        <f aca="false">TRIM(SUBSTITUTE($B495,CHAR(160)," "))</f>
        <v>3677S-מד.לשחרור לחץ א.הבוניון</v>
      </c>
    </row>
    <row r="496" customFormat="false" ht="15" hidden="false" customHeight="true" outlineLevel="0" collapsed="false">
      <c r="A496" s="8" t="n">
        <v>4401001</v>
      </c>
      <c r="B496" s="8" t="s">
        <v>1179</v>
      </c>
      <c r="C496" s="8" t="str">
        <f aca="false">TRIM(SUBSTITUTE($B496,CHAR(160)," "))</f>
        <v>369 XL אצבעון מסיליקון יחידה</v>
      </c>
    </row>
    <row r="497" customFormat="false" ht="15" hidden="false" customHeight="true" outlineLevel="0" collapsed="false">
      <c r="A497" s="8" t="n">
        <v>4401000</v>
      </c>
      <c r="B497" s="8" t="s">
        <v>1178</v>
      </c>
      <c r="C497" s="8" t="str">
        <f aca="false">TRIM(SUBSTITUTE($B497,CHAR(160)," "))</f>
        <v>369 S-L אצבעון מסיליקון יחידה</v>
      </c>
    </row>
    <row r="498" customFormat="false" ht="15" hidden="false" customHeight="true" outlineLevel="0" collapsed="false">
      <c r="A498" s="8" t="n">
        <v>4408069</v>
      </c>
      <c r="B498" s="8" t="s">
        <v>1248</v>
      </c>
      <c r="C498" s="8" t="str">
        <f aca="false">TRIM(SUBSTITUTE($B498,CHAR(160)," "))</f>
        <v>38 .חבישת""הלוקס ולגוס""לאחר נית</v>
      </c>
    </row>
    <row r="499" customFormat="false" ht="15" hidden="false" customHeight="true" outlineLevel="0" collapsed="false">
      <c r="A499" s="8" t="n">
        <v>4413452</v>
      </c>
      <c r="B499" s="8" t="s">
        <v>1584</v>
      </c>
      <c r="C499" s="8" t="str">
        <f aca="false">TRIM(SUBSTITUTE($B499,CHAR(160)," "))</f>
        <v>386 מיישר בוניון-האלוקס ולגוס</v>
      </c>
    </row>
    <row r="500" customFormat="false" ht="15" hidden="false" customHeight="true" outlineLevel="0" collapsed="false">
      <c r="A500" s="8" t="n">
        <v>4413069</v>
      </c>
      <c r="B500" s="8" t="s">
        <v>1408</v>
      </c>
      <c r="C500" s="8" t="str">
        <f aca="false">TRIM(SUBSTITUTE($B500,CHAR(160)," "))</f>
        <v>388L סד לילה לבוהן</v>
      </c>
    </row>
    <row r="501" customFormat="false" ht="15" hidden="false" customHeight="true" outlineLevel="0" collapsed="false">
      <c r="A501" s="8" t="n">
        <v>4413070</v>
      </c>
      <c r="B501" s="8" t="s">
        <v>1409</v>
      </c>
      <c r="C501" s="8" t="str">
        <f aca="false">TRIM(SUBSTITUTE($B501,CHAR(160)," "))</f>
        <v>388R סד לילה לבוהן</v>
      </c>
    </row>
    <row r="502" customFormat="false" ht="15" hidden="false" customHeight="true" outlineLevel="0" collapsed="false">
      <c r="A502" s="8" t="n">
        <v>4411015</v>
      </c>
      <c r="B502" s="8" t="s">
        <v>1359</v>
      </c>
      <c r="C502" s="8" t="str">
        <f aca="false">TRIM(SUBSTITUTE($B502,CHAR(160)," "))</f>
        <v>820 0 כרית חום וקור</v>
      </c>
    </row>
    <row r="503" customFormat="false" ht="15" hidden="false" customHeight="true" outlineLevel="0" collapsed="false">
      <c r="A503" s="8" t="n">
        <v>4413307</v>
      </c>
      <c r="B503" s="8" t="s">
        <v>1521</v>
      </c>
      <c r="C503" s="8" t="str">
        <f aca="false">TRIM(SUBSTITUTE($B503,CHAR(160)," "))</f>
        <v>URI 3667 מגן בוניון</v>
      </c>
    </row>
    <row r="504" customFormat="false" ht="15" hidden="false" customHeight="true" outlineLevel="0" collapsed="false">
      <c r="A504" s="8" t="n">
        <v>4411000</v>
      </c>
      <c r="B504" s="8" t="s">
        <v>1357</v>
      </c>
      <c r="C504" s="8" t="str">
        <f aca="false">TRIM(SUBSTITUTE($B504,CHAR(160)," "))</f>
        <v>כרית מטטרזלי סיליקון362</v>
      </c>
    </row>
    <row r="505" customFormat="false" ht="15" hidden="false" customHeight="true" outlineLevel="0" collapsed="false">
      <c r="A505" s="8" t="n">
        <v>4401002</v>
      </c>
      <c r="B505" s="8" t="s">
        <v>1180</v>
      </c>
      <c r="C505" s="8" t="str">
        <f aca="false">TRIM(SUBSTITUTE($B505,CHAR(160)," "))</f>
        <v>PD 344-אבן טבעית להסרת עור קשה</v>
      </c>
    </row>
    <row r="506" customFormat="false" ht="15" hidden="false" customHeight="true" outlineLevel="0" collapsed="false">
      <c r="A506" s="8" t="n">
        <v>4419006</v>
      </c>
      <c r="B506" s="8" t="s">
        <v>1688</v>
      </c>
      <c r="C506" s="8" t="str">
        <f aca="false">TRIM(SUBSTITUTE($B506,CHAR(160)," "))</f>
        <v>PD340-קוצץ ציפורניים</v>
      </c>
    </row>
    <row r="507" customFormat="false" ht="15" hidden="false" customHeight="true" outlineLevel="0" collapsed="false">
      <c r="A507" s="8" t="n">
        <v>4413150</v>
      </c>
      <c r="B507" s="8" t="s">
        <v>1474</v>
      </c>
      <c r="C507" s="8" t="str">
        <f aca="false">TRIM(SUBSTITUTE($B507,CHAR(160)," "))</f>
        <v>PD341-מקצוע להסרת עור קשה</v>
      </c>
    </row>
    <row r="508" customFormat="false" ht="15" hidden="false" customHeight="true" outlineLevel="0" collapsed="false">
      <c r="A508" s="8" t="n">
        <v>4417000</v>
      </c>
      <c r="B508" s="8" t="s">
        <v>1677</v>
      </c>
      <c r="C508" s="8" t="str">
        <f aca="false">TRIM(SUBSTITUTE($B508,CHAR(160)," "))</f>
        <v>PD342-פומפיה להסרת עור קשה</v>
      </c>
    </row>
    <row r="509" customFormat="false" ht="15" hidden="false" customHeight="true" outlineLevel="0" collapsed="false">
      <c r="A509" s="8" t="n">
        <v>4417001</v>
      </c>
      <c r="B509" s="8" t="s">
        <v>1678</v>
      </c>
      <c r="C509" s="8" t="str">
        <f aca="false">TRIM(SUBSTITUTE($B509,CHAR(160)," "))</f>
        <v>PD343-פומפיה מאבן להסר.עור</v>
      </c>
    </row>
    <row r="510" customFormat="false" ht="15" hidden="false" customHeight="true" outlineLevel="0" collapsed="false">
      <c r="A510" s="8" t="n">
        <v>4415080</v>
      </c>
      <c r="B510" s="8" t="s">
        <v>1646</v>
      </c>
      <c r="C510" s="8" t="str">
        <f aca="false">TRIM(SUBSTITUTE($B510,CHAR(160)," "))</f>
        <v>PD346-10 סכינים למקצוע</v>
      </c>
    </row>
    <row r="511" customFormat="false" ht="15" hidden="false" customHeight="true" outlineLevel="0" collapsed="false">
      <c r="A511" s="8" t="n">
        <v>4413152</v>
      </c>
      <c r="B511" s="8" t="s">
        <v>1936</v>
      </c>
      <c r="C511" s="8" t="str">
        <f aca="false">TRIM(SUBSTITUTE($B511,CHAR(160)," "))</f>
        <v>PD350-תתמשופית ניקל קדמיום</v>
      </c>
    </row>
    <row r="512" customFormat="false" ht="15" hidden="false" customHeight="true" outlineLevel="0" collapsed="false">
      <c r="A512" s="8" t="n">
        <v>4411029</v>
      </c>
      <c r="B512" s="8" t="s">
        <v>1372</v>
      </c>
      <c r="C512" s="8" t="str">
        <f aca="false">TRIM(SUBSTITUTE($B512,CHAR(160)," "))</f>
        <v>213CTSR L ימין CTS כפפות</v>
      </c>
    </row>
    <row r="513" customFormat="false" ht="15" hidden="false" customHeight="true" outlineLevel="0" collapsed="false">
      <c r="A513" s="8" t="n">
        <v>4408046</v>
      </c>
      <c r="B513" s="8" t="s">
        <v>1235</v>
      </c>
      <c r="C513" s="8" t="str">
        <f aca="false">TRIM(SUBSTITUTE($B513,CHAR(160)," "))</f>
        <v>20 L חבק יד מתכוון עם צמדן</v>
      </c>
    </row>
    <row r="514" customFormat="false" ht="15" hidden="false" customHeight="true" outlineLevel="0" collapsed="false">
      <c r="A514" s="8" t="n">
        <v>4408047</v>
      </c>
      <c r="B514" s="8" t="s">
        <v>1236</v>
      </c>
      <c r="C514" s="8" t="str">
        <f aca="false">TRIM(SUBSTITUTE($B514,CHAR(160)," "))</f>
        <v>20 M חבק יד מתכוון עם צמדן</v>
      </c>
    </row>
    <row r="515" customFormat="false" ht="15" hidden="false" customHeight="true" outlineLevel="0" collapsed="false">
      <c r="A515" s="8" t="n">
        <v>4408048</v>
      </c>
      <c r="B515" s="8" t="s">
        <v>1237</v>
      </c>
      <c r="C515" s="8" t="str">
        <f aca="false">TRIM(SUBSTITUTE($B515,CHAR(160)," "))</f>
        <v>20 S חבק יד מתכוון עם צמדן</v>
      </c>
    </row>
    <row r="516" customFormat="false" ht="15" hidden="false" customHeight="true" outlineLevel="0" collapsed="false">
      <c r="A516" s="8" t="n">
        <v>4408049</v>
      </c>
      <c r="B516" s="8" t="s">
        <v>1238</v>
      </c>
      <c r="C516" s="8" t="str">
        <f aca="false">TRIM(SUBSTITUTE($B516,CHAR(160)," "))</f>
        <v>20 XL חבק יד מתכוון עם צמדן</v>
      </c>
    </row>
    <row r="517" customFormat="false" ht="15" hidden="false" customHeight="true" outlineLevel="0" collapsed="false">
      <c r="A517" s="8" t="n">
        <v>4408050</v>
      </c>
      <c r="B517" s="8" t="s">
        <v>1239</v>
      </c>
      <c r="C517" s="8" t="str">
        <f aca="false">TRIM(SUBSTITUTE($B517,CHAR(160)," "))</f>
        <v>20 XXL חבק יד מתכוון עם צמדן</v>
      </c>
    </row>
    <row r="518" customFormat="false" ht="15" hidden="false" customHeight="true" outlineLevel="0" collapsed="false">
      <c r="A518" s="8" t="n">
        <v>4408275</v>
      </c>
      <c r="B518" s="8" t="s">
        <v>1344</v>
      </c>
      <c r="C518" s="8" t="str">
        <f aca="false">TRIM(SUBSTITUTE($B518,CHAR(160)," "))</f>
        <v>202 ONE SIZE חבק יד</v>
      </c>
    </row>
    <row r="519" customFormat="false" ht="15" hidden="false" customHeight="true" outlineLevel="0" collapsed="false">
      <c r="A519" s="8" t="n">
        <v>4408052</v>
      </c>
      <c r="B519" s="8" t="s">
        <v>1241</v>
      </c>
      <c r="C519" s="8" t="str">
        <f aca="false">TRIM(SUBSTITUTE($B519,CHAR(160)," "))</f>
        <v>21 L חבק יד ארוך</v>
      </c>
    </row>
    <row r="520" customFormat="false" ht="15" hidden="false" customHeight="true" outlineLevel="0" collapsed="false">
      <c r="A520" s="8" t="n">
        <v>4408053</v>
      </c>
      <c r="B520" s="8" t="s">
        <v>1242</v>
      </c>
      <c r="C520" s="8" t="str">
        <f aca="false">TRIM(SUBSTITUTE($B520,CHAR(160)," "))</f>
        <v>21 M חבק יד ארוך</v>
      </c>
    </row>
    <row r="521" customFormat="false" ht="15" hidden="false" customHeight="true" outlineLevel="0" collapsed="false">
      <c r="A521" s="8" t="n">
        <v>4408051</v>
      </c>
      <c r="B521" s="8" t="s">
        <v>1240</v>
      </c>
      <c r="C521" s="8" t="str">
        <f aca="false">TRIM(SUBSTITUTE($B521,CHAR(160)," "))</f>
        <v>21 S חבק יד ארוך</v>
      </c>
    </row>
    <row r="522" customFormat="false" ht="15" hidden="false" customHeight="true" outlineLevel="0" collapsed="false">
      <c r="A522" s="8" t="n">
        <v>4408054</v>
      </c>
      <c r="B522" s="8" t="s">
        <v>1243</v>
      </c>
      <c r="C522" s="8" t="str">
        <f aca="false">TRIM(SUBSTITUTE($B522,CHAR(160)," "))</f>
        <v>21 XL חבק יד ארוך</v>
      </c>
    </row>
    <row r="523" customFormat="false" ht="15" hidden="false" customHeight="true" outlineLevel="0" collapsed="false">
      <c r="A523" s="8" t="n">
        <v>4413399</v>
      </c>
      <c r="B523" s="8" t="s">
        <v>1555</v>
      </c>
      <c r="C523" s="8" t="str">
        <f aca="false">TRIM(SUBSTITUTE($B523,CHAR(160)," "))</f>
        <v>21 XS מגן יד</v>
      </c>
    </row>
    <row r="524" customFormat="false" ht="15" hidden="false" customHeight="true" outlineLevel="0" collapsed="false">
      <c r="A524" s="8" t="n">
        <v>4413400</v>
      </c>
      <c r="B524" s="8" t="s">
        <v>1937</v>
      </c>
      <c r="C524" s="8" t="str">
        <f aca="false">TRIM(SUBSTITUTE($B524,CHAR(160)," "))</f>
        <v>21 XXL מגן יד</v>
      </c>
    </row>
    <row r="525" customFormat="false" ht="15" hidden="false" customHeight="true" outlineLevel="0" collapsed="false">
      <c r="A525" s="8" t="n">
        <v>4411017</v>
      </c>
      <c r="B525" s="8" t="s">
        <v>1361</v>
      </c>
      <c r="C525" s="8" t="str">
        <f aca="false">TRIM(SUBSTITUTE($B525,CHAR(160)," "))</f>
        <v>211L כפפות לחץ</v>
      </c>
    </row>
    <row r="526" customFormat="false" ht="15" hidden="false" customHeight="true" outlineLevel="0" collapsed="false">
      <c r="A526" s="8" t="n">
        <v>4411018</v>
      </c>
      <c r="B526" s="8" t="s">
        <v>1362</v>
      </c>
      <c r="C526" s="8" t="str">
        <f aca="false">TRIM(SUBSTITUTE($B526,CHAR(160)," "))</f>
        <v>211M כפפות לחץ</v>
      </c>
    </row>
    <row r="527" customFormat="false" ht="15" hidden="false" customHeight="true" outlineLevel="0" collapsed="false">
      <c r="A527" s="8" t="n">
        <v>4411019</v>
      </c>
      <c r="B527" s="8" t="s">
        <v>1363</v>
      </c>
      <c r="C527" s="8" t="str">
        <f aca="false">TRIM(SUBSTITUTE($B527,CHAR(160)," "))</f>
        <v>211S כפפות לחץ</v>
      </c>
    </row>
    <row r="528" customFormat="false" ht="15" hidden="false" customHeight="true" outlineLevel="0" collapsed="false">
      <c r="A528" s="8" t="n">
        <v>4411020</v>
      </c>
      <c r="B528" s="8" t="s">
        <v>1364</v>
      </c>
      <c r="C528" s="8" t="str">
        <f aca="false">TRIM(SUBSTITUTE($B528,CHAR(160)," "))</f>
        <v>211XL כפפות לחץ</v>
      </c>
    </row>
    <row r="529" customFormat="false" ht="15" hidden="false" customHeight="true" outlineLevel="0" collapsed="false">
      <c r="A529" s="8" t="n">
        <v>4411021</v>
      </c>
      <c r="B529" s="8" t="s">
        <v>1365</v>
      </c>
      <c r="C529" s="8" t="str">
        <f aca="false">TRIM(SUBSTITUTE($B529,CHAR(160)," "))</f>
        <v>212L כפפות אגודל לחץ</v>
      </c>
    </row>
    <row r="530" customFormat="false" ht="15" hidden="false" customHeight="true" outlineLevel="0" collapsed="false">
      <c r="A530" s="8" t="n">
        <v>4411022</v>
      </c>
      <c r="B530" s="8" t="s">
        <v>1366</v>
      </c>
      <c r="C530" s="8" t="str">
        <f aca="false">TRIM(SUBSTITUTE($B530,CHAR(160)," "))</f>
        <v>212M כפפות אגודל לחץ</v>
      </c>
    </row>
    <row r="531" customFormat="false" ht="15" hidden="false" customHeight="true" outlineLevel="0" collapsed="false">
      <c r="A531" s="8" t="n">
        <v>4411023</v>
      </c>
      <c r="B531" s="8" t="s">
        <v>1367</v>
      </c>
      <c r="C531" s="8" t="str">
        <f aca="false">TRIM(SUBSTITUTE($B531,CHAR(160)," "))</f>
        <v>212S כפפות אגודל לחץ</v>
      </c>
    </row>
    <row r="532" customFormat="false" ht="15" hidden="false" customHeight="true" outlineLevel="0" collapsed="false">
      <c r="A532" s="8" t="n">
        <v>4411024</v>
      </c>
      <c r="B532" s="8" t="s">
        <v>1368</v>
      </c>
      <c r="C532" s="8" t="str">
        <f aca="false">TRIM(SUBSTITUTE($B532,CHAR(160)," "))</f>
        <v>212XL כפפות אגודל לחץ</v>
      </c>
    </row>
    <row r="533" customFormat="false" ht="15" hidden="false" customHeight="true" outlineLevel="0" collapsed="false">
      <c r="A533" s="8" t="n">
        <v>4411031</v>
      </c>
      <c r="B533" s="8" t="s">
        <v>1374</v>
      </c>
      <c r="C533" s="8" t="str">
        <f aca="false">TRIM(SUBSTITUTE($B533,CHAR(160)," "))</f>
        <v>213CTS S ימין CTS כפפות</v>
      </c>
    </row>
    <row r="534" customFormat="false" ht="15" hidden="false" customHeight="true" outlineLevel="0" collapsed="false">
      <c r="A534" s="8" t="n">
        <v>4411026</v>
      </c>
      <c r="B534" s="8" t="s">
        <v>1369</v>
      </c>
      <c r="C534" s="8" t="str">
        <f aca="false">TRIM(SUBSTITUTE($B534,CHAR(160)," "))</f>
        <v>213CTSL L שמאל CTS כפפות</v>
      </c>
    </row>
    <row r="535" customFormat="false" ht="15" hidden="false" customHeight="true" outlineLevel="0" collapsed="false">
      <c r="A535" s="8" t="n">
        <v>4411027</v>
      </c>
      <c r="B535" s="8" t="s">
        <v>1370</v>
      </c>
      <c r="C535" s="8" t="str">
        <f aca="false">TRIM(SUBSTITUTE($B535,CHAR(160)," "))</f>
        <v>213CTSL M שמאל CTS כפפות</v>
      </c>
    </row>
    <row r="536" customFormat="false" ht="15" hidden="false" customHeight="true" outlineLevel="0" collapsed="false">
      <c r="A536" s="8" t="n">
        <v>4411028</v>
      </c>
      <c r="B536" s="8" t="s">
        <v>1371</v>
      </c>
      <c r="C536" s="8" t="str">
        <f aca="false">TRIM(SUBSTITUTE($B536,CHAR(160)," "))</f>
        <v>213CTSL S שמאל CTS כפפות</v>
      </c>
    </row>
    <row r="537" customFormat="false" ht="15" hidden="false" customHeight="true" outlineLevel="0" collapsed="false">
      <c r="A537" s="8" t="n">
        <v>4411030</v>
      </c>
      <c r="B537" s="8" t="s">
        <v>1373</v>
      </c>
      <c r="C537" s="8" t="str">
        <f aca="false">TRIM(SUBSTITUTE($B537,CHAR(160)," "))</f>
        <v>213CTSR M ימין CTS כפפות</v>
      </c>
    </row>
    <row r="538" customFormat="false" ht="15" hidden="false" customHeight="true" outlineLevel="0" collapsed="false">
      <c r="A538" s="8" t="n">
        <v>4415162</v>
      </c>
      <c r="B538" s="8" t="s">
        <v>1658</v>
      </c>
      <c r="C538" s="8" t="str">
        <f aca="false">TRIM(SUBSTITUTE($B538,CHAR(160)," "))</f>
        <v>238L סד ליישור אצבע</v>
      </c>
    </row>
    <row r="539" customFormat="false" ht="15" hidden="false" customHeight="true" outlineLevel="0" collapsed="false">
      <c r="A539" s="8" t="n">
        <v>4415161</v>
      </c>
      <c r="B539" s="8" t="s">
        <v>1657</v>
      </c>
      <c r="C539" s="8" t="str">
        <f aca="false">TRIM(SUBSTITUTE($B539,CHAR(160)," "))</f>
        <v>238M סד ליישור אצבע</v>
      </c>
    </row>
    <row r="540" customFormat="false" ht="15" hidden="false" customHeight="true" outlineLevel="0" collapsed="false">
      <c r="A540" s="8" t="n">
        <v>4415160</v>
      </c>
      <c r="B540" s="8" t="s">
        <v>1656</v>
      </c>
      <c r="C540" s="8" t="str">
        <f aca="false">TRIM(SUBSTITUTE($B540,CHAR(160)," "))</f>
        <v>238S סד ליישור אצבע</v>
      </c>
    </row>
    <row r="541" customFormat="false" ht="15" hidden="false" customHeight="true" outlineLevel="0" collapsed="false">
      <c r="A541" s="8" t="n">
        <v>4415163</v>
      </c>
      <c r="B541" s="8" t="s">
        <v>1659</v>
      </c>
      <c r="C541" s="8" t="str">
        <f aca="false">TRIM(SUBSTITUTE($B541,CHAR(160)," "))</f>
        <v>238XL סד ליישור אצבע</v>
      </c>
    </row>
    <row r="542" customFormat="false" ht="15" hidden="false" customHeight="true" outlineLevel="0" collapsed="false">
      <c r="A542" s="8" t="n">
        <v>4408057</v>
      </c>
      <c r="B542" s="8" t="s">
        <v>1938</v>
      </c>
      <c r="C542" s="8" t="str">
        <f aca="false">TRIM(SUBSTITUTE($B542,CHAR(160)," "))</f>
        <v>24 M(תתחבקון ליד )ללא צמדן</v>
      </c>
    </row>
    <row r="543" customFormat="false" ht="15" hidden="false" customHeight="true" outlineLevel="0" collapsed="false">
      <c r="A543" s="8" t="n">
        <v>4408059</v>
      </c>
      <c r="B543" s="8" t="s">
        <v>1244</v>
      </c>
      <c r="C543" s="8" t="str">
        <f aca="false">TRIM(SUBSTITUTE($B543,CHAR(160)," "))</f>
        <v>25 L חבק יד אגודלי</v>
      </c>
    </row>
    <row r="544" customFormat="false" ht="15" hidden="false" customHeight="true" outlineLevel="0" collapsed="false">
      <c r="A544" s="8" t="n">
        <v>4408060</v>
      </c>
      <c r="B544" s="8" t="s">
        <v>1245</v>
      </c>
      <c r="C544" s="8" t="str">
        <f aca="false">TRIM(SUBSTITUTE($B544,CHAR(160)," "))</f>
        <v>25 M חבק יד אגודלי</v>
      </c>
    </row>
    <row r="545" customFormat="false" ht="15" hidden="false" customHeight="true" outlineLevel="0" collapsed="false">
      <c r="A545" s="8" t="n">
        <v>4408061</v>
      </c>
      <c r="B545" s="8" t="s">
        <v>1246</v>
      </c>
      <c r="C545" s="8" t="str">
        <f aca="false">TRIM(SUBSTITUTE($B545,CHAR(160)," "))</f>
        <v>25 S חבק יד אגודלי</v>
      </c>
    </row>
    <row r="546" customFormat="false" ht="15" hidden="false" customHeight="true" outlineLevel="0" collapsed="false">
      <c r="A546" s="8" t="n">
        <v>4408062</v>
      </c>
      <c r="B546" s="8" t="s">
        <v>1247</v>
      </c>
      <c r="C546" s="8" t="str">
        <f aca="false">TRIM(SUBSTITUTE($B546,CHAR(160)," "))</f>
        <v>25 XL חבק יד אגודלי</v>
      </c>
    </row>
    <row r="547" customFormat="false" ht="15" hidden="false" customHeight="true" outlineLevel="0" collapsed="false">
      <c r="A547" s="8" t="n">
        <v>4415000</v>
      </c>
      <c r="B547" s="8" t="s">
        <v>1621</v>
      </c>
      <c r="C547" s="8" t="str">
        <f aca="false">TRIM(SUBSTITUTE($B547,CHAR(160)," "))</f>
        <v>26 L סד ליד דו צדדי לאחר שבר</v>
      </c>
    </row>
    <row r="548" customFormat="false" ht="15" hidden="false" customHeight="true" outlineLevel="0" collapsed="false">
      <c r="A548" s="8" t="n">
        <v>4415001</v>
      </c>
      <c r="B548" s="8" t="s">
        <v>1622</v>
      </c>
      <c r="C548" s="8" t="str">
        <f aca="false">TRIM(SUBSTITUTE($B548,CHAR(160)," "))</f>
        <v>26 M סד ליד דו צדדי לאחר שבר</v>
      </c>
    </row>
    <row r="549" customFormat="false" ht="15" hidden="false" customHeight="true" outlineLevel="0" collapsed="false">
      <c r="A549" s="8" t="n">
        <v>4415002</v>
      </c>
      <c r="B549" s="8" t="s">
        <v>1623</v>
      </c>
      <c r="C549" s="8" t="str">
        <f aca="false">TRIM(SUBSTITUTE($B549,CHAR(160)," "))</f>
        <v>26 S סד ליד דו צדדי לאחר שבר</v>
      </c>
    </row>
    <row r="550" customFormat="false" ht="15" hidden="false" customHeight="true" outlineLevel="0" collapsed="false">
      <c r="A550" s="8" t="n">
        <v>4415003</v>
      </c>
      <c r="B550" s="8" t="s">
        <v>1624</v>
      </c>
      <c r="C550" s="8" t="str">
        <f aca="false">TRIM(SUBSTITUTE($B550,CHAR(160)," "))</f>
        <v>26 XL סד ליד דו צדדי לאחר שבר</v>
      </c>
    </row>
    <row r="551" customFormat="false" ht="15" hidden="false" customHeight="true" outlineLevel="0" collapsed="false">
      <c r="A551" s="8" t="n">
        <v>4415142</v>
      </c>
      <c r="B551" s="8" t="s">
        <v>1788</v>
      </c>
      <c r="C551" s="8" t="str">
        <f aca="false">TRIM(SUBSTITUTE($B551,CHAR(160)," "))</f>
        <v>26 XS סד ליד דו צדדי לאחר שבר</v>
      </c>
    </row>
    <row r="552" customFormat="false" ht="15" hidden="false" customHeight="true" outlineLevel="0" collapsed="false">
      <c r="A552" s="8" t="n">
        <v>4415004</v>
      </c>
      <c r="B552" s="8" t="s">
        <v>1625</v>
      </c>
      <c r="C552" s="8" t="str">
        <f aca="false">TRIM(SUBSTITUTE($B552,CHAR(160)," "))</f>
        <v>26 XXL סד ליד דו צדדי לאחר שבר</v>
      </c>
    </row>
    <row r="553" customFormat="false" ht="15" hidden="false" customHeight="true" outlineLevel="0" collapsed="false">
      <c r="A553" s="8" t="n">
        <v>4415158</v>
      </c>
      <c r="B553" s="8" t="s">
        <v>1654</v>
      </c>
      <c r="C553" s="8" t="str">
        <f aca="false">TRIM(SUBSTITUTE($B553,CHAR(160)," "))</f>
        <v>266 סד ליד דו צדדי</v>
      </c>
    </row>
    <row r="554" customFormat="false" ht="15" hidden="false" customHeight="true" outlineLevel="0" collapsed="false">
      <c r="A554" s="8" t="n">
        <v>4415170</v>
      </c>
      <c r="B554" s="8" t="s">
        <v>1664</v>
      </c>
      <c r="C554" s="8" t="str">
        <f aca="false">TRIM(SUBSTITUTE($B554,CHAR(160)," "))</f>
        <v>267LB L-XLסד יד שמאל שחור</v>
      </c>
    </row>
    <row r="555" customFormat="false" ht="15" hidden="false" customHeight="true" outlineLevel="0" collapsed="false">
      <c r="A555" s="8" t="n">
        <v>4415171</v>
      </c>
      <c r="B555" s="8" t="s">
        <v>1665</v>
      </c>
      <c r="C555" s="8" t="str">
        <f aca="false">TRIM(SUBSTITUTE($B555,CHAR(160)," "))</f>
        <v>267LB S-M סד יד שמאל שחור</v>
      </c>
    </row>
    <row r="556" customFormat="false" ht="15" hidden="false" customHeight="true" outlineLevel="0" collapsed="false">
      <c r="A556" s="8" t="n">
        <v>4415165</v>
      </c>
      <c r="B556" s="8" t="s">
        <v>1661</v>
      </c>
      <c r="C556" s="8" t="str">
        <f aca="false">TRIM(SUBSTITUTE($B556,CHAR(160)," "))</f>
        <v>267LC S-M'סד יד שמאל בז</v>
      </c>
    </row>
    <row r="557" customFormat="false" ht="15" hidden="false" customHeight="true" outlineLevel="0" collapsed="false">
      <c r="A557" s="8" t="n">
        <v>4415164</v>
      </c>
      <c r="B557" s="8" t="s">
        <v>1660</v>
      </c>
      <c r="C557" s="8" t="str">
        <f aca="false">TRIM(SUBSTITUTE($B557,CHAR(160)," "))</f>
        <v>267LC L-XL 'סד יד שמאל בז</v>
      </c>
    </row>
    <row r="558" customFormat="false" ht="15" hidden="false" customHeight="true" outlineLevel="0" collapsed="false">
      <c r="A558" s="8" t="n">
        <v>4415166</v>
      </c>
      <c r="B558" s="8" t="s">
        <v>1939</v>
      </c>
      <c r="C558" s="8" t="str">
        <f aca="false">TRIM(SUBSTITUTE($B558,CHAR(160)," "))</f>
        <v>267LC XXL'סד יד שמאל בז</v>
      </c>
    </row>
    <row r="559" customFormat="false" ht="15" hidden="false" customHeight="true" outlineLevel="0" collapsed="false">
      <c r="A559" s="8" t="n">
        <v>4415173</v>
      </c>
      <c r="B559" s="8" t="s">
        <v>1666</v>
      </c>
      <c r="C559" s="8" t="str">
        <f aca="false">TRIM(SUBSTITUTE($B559,CHAR(160)," "))</f>
        <v>267RB L-XLסד יד ימין שחור</v>
      </c>
    </row>
    <row r="560" customFormat="false" ht="15" hidden="false" customHeight="true" outlineLevel="0" collapsed="false">
      <c r="A560" s="8" t="n">
        <v>4415174</v>
      </c>
      <c r="B560" s="8" t="s">
        <v>1667</v>
      </c>
      <c r="C560" s="8" t="str">
        <f aca="false">TRIM(SUBSTITUTE($B560,CHAR(160)," "))</f>
        <v>267RB S-M סד יד ימין שחור</v>
      </c>
    </row>
    <row r="561" customFormat="false" ht="15" hidden="false" customHeight="true" outlineLevel="0" collapsed="false">
      <c r="A561" s="8" t="n">
        <v>4415167</v>
      </c>
      <c r="B561" s="8" t="s">
        <v>1662</v>
      </c>
      <c r="C561" s="8" t="str">
        <f aca="false">TRIM(SUBSTITUTE($B561,CHAR(160)," "))</f>
        <v>267RC L-XL 'סד יד ימין בז</v>
      </c>
    </row>
    <row r="562" customFormat="false" ht="15" hidden="false" customHeight="true" outlineLevel="0" collapsed="false">
      <c r="A562" s="8" t="n">
        <v>4415168</v>
      </c>
      <c r="B562" s="8" t="s">
        <v>1663</v>
      </c>
      <c r="C562" s="8" t="str">
        <f aca="false">TRIM(SUBSTITUTE($B562,CHAR(160)," "))</f>
        <v>267RC S-M 'סד יד ימין בז</v>
      </c>
    </row>
    <row r="563" customFormat="false" ht="15" hidden="false" customHeight="true" outlineLevel="0" collapsed="false">
      <c r="A563" s="8" t="n">
        <v>4415169</v>
      </c>
      <c r="B563" s="8" t="s">
        <v>1940</v>
      </c>
      <c r="C563" s="8" t="str">
        <f aca="false">TRIM(SUBSTITUTE($B563,CHAR(160)," "))</f>
        <v>267RC XXL 'סד יד ימין בז</v>
      </c>
    </row>
    <row r="564" customFormat="false" ht="15" hidden="false" customHeight="true" outlineLevel="0" collapsed="false">
      <c r="A564" s="8" t="n">
        <v>4415159</v>
      </c>
      <c r="B564" s="8" t="s">
        <v>1655</v>
      </c>
      <c r="C564" s="8" t="str">
        <f aca="false">TRIM(SUBSTITUTE($B564,CHAR(160)," "))</f>
        <v>268 סד לאגודל</v>
      </c>
    </row>
    <row r="565" customFormat="false" ht="15" hidden="false" customHeight="true" outlineLevel="0" collapsed="false">
      <c r="A565" s="8" t="n">
        <v>4415093</v>
      </c>
      <c r="B565" s="8" t="s">
        <v>1815</v>
      </c>
      <c r="C565" s="8" t="str">
        <f aca="false">TRIM(SUBSTITUTE($B565,CHAR(160)," "))</f>
        <v>27 R-M סד ליד ימין</v>
      </c>
    </row>
    <row r="566" customFormat="false" ht="15" hidden="false" customHeight="true" outlineLevel="0" collapsed="false">
      <c r="A566" s="8" t="n">
        <v>4415124</v>
      </c>
      <c r="B566" s="8" t="s">
        <v>1941</v>
      </c>
      <c r="C566" s="8" t="str">
        <f aca="false">TRIM(SUBSTITUTE($B566,CHAR(160)," "))</f>
        <v>278 L-XL סד יד ואגודל</v>
      </c>
    </row>
    <row r="567" customFormat="false" ht="15" hidden="false" customHeight="true" outlineLevel="0" collapsed="false">
      <c r="A567" s="8" t="n">
        <v>4415125</v>
      </c>
      <c r="B567" s="8" t="s">
        <v>1942</v>
      </c>
      <c r="C567" s="8" t="str">
        <f aca="false">TRIM(SUBSTITUTE($B567,CHAR(160)," "))</f>
        <v>278 S-M סד יד ואגודל</v>
      </c>
    </row>
    <row r="568" customFormat="false" ht="15" hidden="false" customHeight="true" outlineLevel="0" collapsed="false">
      <c r="A568" s="8" t="n">
        <v>4415090</v>
      </c>
      <c r="B568" s="8" t="s">
        <v>1650</v>
      </c>
      <c r="C568" s="8" t="str">
        <f aca="false">TRIM(SUBSTITUTE($B568,CHAR(160)," "))</f>
        <v>27L L סד ליד שמאל</v>
      </c>
    </row>
    <row r="569" customFormat="false" ht="15" hidden="false" customHeight="true" outlineLevel="0" collapsed="false">
      <c r="A569" s="8" t="n">
        <v>4415089</v>
      </c>
      <c r="B569" s="8" t="s">
        <v>1649</v>
      </c>
      <c r="C569" s="8" t="str">
        <f aca="false">TRIM(SUBSTITUTE($B569,CHAR(160)," "))</f>
        <v>27L M סד ליד שמאל</v>
      </c>
    </row>
    <row r="570" customFormat="false" ht="15" hidden="false" customHeight="true" outlineLevel="0" collapsed="false">
      <c r="A570" s="8" t="n">
        <v>4415096</v>
      </c>
      <c r="B570" s="8" t="s">
        <v>1943</v>
      </c>
      <c r="C570" s="8" t="str">
        <f aca="false">TRIM(SUBSTITUTE($B570,CHAR(160)," "))</f>
        <v>27L S סד ליד שמאל</v>
      </c>
    </row>
    <row r="571" customFormat="false" ht="15" hidden="false" customHeight="true" outlineLevel="0" collapsed="false">
      <c r="A571" s="8" t="n">
        <v>4415091</v>
      </c>
      <c r="B571" s="8" t="s">
        <v>1651</v>
      </c>
      <c r="C571" s="8" t="str">
        <f aca="false">TRIM(SUBSTITUTE($B571,CHAR(160)," "))</f>
        <v>27L XLסד ליד שמאל</v>
      </c>
    </row>
    <row r="572" customFormat="false" ht="15" hidden="false" customHeight="true" outlineLevel="0" collapsed="false">
      <c r="A572" s="8" t="n">
        <v>4415094</v>
      </c>
      <c r="B572" s="8" t="s">
        <v>1944</v>
      </c>
      <c r="C572" s="8" t="str">
        <f aca="false">TRIM(SUBSTITUTE($B572,CHAR(160)," "))</f>
        <v>27R L סד ליד ימין</v>
      </c>
    </row>
    <row r="573" customFormat="false" ht="15" hidden="false" customHeight="true" outlineLevel="0" collapsed="false">
      <c r="A573" s="8" t="n">
        <v>4415095</v>
      </c>
      <c r="B573" s="8" t="s">
        <v>1816</v>
      </c>
      <c r="C573" s="8" t="str">
        <f aca="false">TRIM(SUBSTITUTE($B573,CHAR(160)," "))</f>
        <v>27R XLסד ליד ימין</v>
      </c>
    </row>
    <row r="574" customFormat="false" ht="15" hidden="false" customHeight="true" outlineLevel="0" collapsed="false">
      <c r="A574" s="8" t="n">
        <v>4415025</v>
      </c>
      <c r="B574" s="8" t="s">
        <v>1633</v>
      </c>
      <c r="C574" s="8" t="str">
        <f aca="false">TRIM(SUBSTITUTE($B574,CHAR(160)," "))</f>
        <v>28-XS סד לאגודל לאחר שבר</v>
      </c>
    </row>
    <row r="575" customFormat="false" ht="15" hidden="false" customHeight="true" outlineLevel="0" collapsed="false">
      <c r="A575" s="8" t="n">
        <v>4415005</v>
      </c>
      <c r="B575" s="8" t="s">
        <v>1626</v>
      </c>
      <c r="C575" s="8" t="str">
        <f aca="false">TRIM(SUBSTITUTE($B575,CHAR(160)," "))</f>
        <v>28 L סד לאגודל לאחר שבר</v>
      </c>
    </row>
    <row r="576" customFormat="false" ht="15" hidden="false" customHeight="true" outlineLevel="0" collapsed="false">
      <c r="A576" s="8" t="n">
        <v>4415006</v>
      </c>
      <c r="B576" s="8" t="s">
        <v>1627</v>
      </c>
      <c r="C576" s="8" t="str">
        <f aca="false">TRIM(SUBSTITUTE($B576,CHAR(160)," "))</f>
        <v>28 M סד לאגודל לאחר שבר</v>
      </c>
    </row>
    <row r="577" customFormat="false" ht="15" hidden="false" customHeight="true" outlineLevel="0" collapsed="false">
      <c r="A577" s="8" t="n">
        <v>4415007</v>
      </c>
      <c r="B577" s="8" t="s">
        <v>1628</v>
      </c>
      <c r="C577" s="8" t="str">
        <f aca="false">TRIM(SUBSTITUTE($B577,CHAR(160)," "))</f>
        <v>28 S סד לאגודל לאחר שבר</v>
      </c>
    </row>
    <row r="578" customFormat="false" ht="15" hidden="false" customHeight="true" outlineLevel="0" collapsed="false">
      <c r="A578" s="8" t="n">
        <v>4415008</v>
      </c>
      <c r="B578" s="8" t="s">
        <v>1629</v>
      </c>
      <c r="C578" s="8" t="str">
        <f aca="false">TRIM(SUBSTITUTE($B578,CHAR(160)," "))</f>
        <v>28 XL סד לאגודל לאחר שבר</v>
      </c>
    </row>
    <row r="579" customFormat="false" ht="15" hidden="false" customHeight="true" outlineLevel="0" collapsed="false">
      <c r="A579" s="8" t="n">
        <v>4415009</v>
      </c>
      <c r="B579" s="8" t="s">
        <v>1945</v>
      </c>
      <c r="C579" s="8" t="str">
        <f aca="false">TRIM(SUBSTITUTE($B579,CHAR(160)," "))</f>
        <v>28 XXL סד לאגודל לאחר שבר</v>
      </c>
    </row>
    <row r="580" customFormat="false" ht="15" hidden="false" customHeight="true" outlineLevel="0" collapsed="false">
      <c r="A580" s="8" t="n">
        <v>4415021</v>
      </c>
      <c r="B580" s="8" t="s">
        <v>1946</v>
      </c>
      <c r="C580" s="8" t="str">
        <f aca="false">TRIM(SUBSTITUTE($B580,CHAR(160)," "))</f>
        <v>28A S-M סד לאגודל</v>
      </c>
    </row>
    <row r="581" customFormat="false" ht="15" hidden="false" customHeight="true" outlineLevel="0" collapsed="false">
      <c r="A581" s="8" t="n">
        <v>4415028</v>
      </c>
      <c r="B581" s="8" t="s">
        <v>1636</v>
      </c>
      <c r="C581" s="8" t="str">
        <f aca="false">TRIM(SUBSTITUTE($B581,CHAR(160)," "))</f>
        <v>AC-28 סד לאגודל</v>
      </c>
    </row>
    <row r="582" customFormat="false" ht="15" hidden="false" customHeight="true" outlineLevel="0" collapsed="false">
      <c r="A582" s="8" t="n">
        <v>4408268</v>
      </c>
      <c r="B582" s="8" t="s">
        <v>1756</v>
      </c>
      <c r="C582" s="8" t="str">
        <f aca="false">TRIM(SUBSTITUTE($B582,CHAR(160)," "))</f>
        <v>ST20 חבק יד</v>
      </c>
    </row>
    <row r="583" customFormat="false" ht="15" hidden="false" customHeight="true" outlineLevel="0" collapsed="false">
      <c r="A583" s="8" t="n">
        <v>4408267</v>
      </c>
      <c r="B583" s="8" t="s">
        <v>1755</v>
      </c>
      <c r="C583" s="8" t="str">
        <f aca="false">TRIM(SUBSTITUTE($B583,CHAR(160)," "))</f>
        <v>ST25 חבק שורש לכף היד</v>
      </c>
    </row>
    <row r="584" customFormat="false" ht="15" hidden="false" customHeight="true" outlineLevel="0" collapsed="false">
      <c r="A584" s="8" t="n">
        <v>4415177</v>
      </c>
      <c r="B584" s="8" t="s">
        <v>1763</v>
      </c>
      <c r="C584" s="8" t="str">
        <f aca="false">TRIM(SUBSTITUTE($B584,CHAR(160)," "))</f>
        <v>ST28 סד אגודלי עם מוט תמיכה</v>
      </c>
    </row>
    <row r="585" customFormat="false" ht="15" hidden="false" customHeight="true" outlineLevel="0" collapsed="false">
      <c r="A585" s="8" t="n">
        <v>4408095</v>
      </c>
      <c r="B585" s="8" t="s">
        <v>1270</v>
      </c>
      <c r="C585" s="8" t="str">
        <f aca="false">TRIM(SUBSTITUTE($B585,CHAR(160)," "))</f>
        <v>T20 L-XL חבק יד עם צמדן</v>
      </c>
    </row>
    <row r="586" customFormat="false" ht="15" hidden="false" customHeight="true" outlineLevel="0" collapsed="false">
      <c r="A586" s="8" t="n">
        <v>4408094</v>
      </c>
      <c r="B586" s="8" t="s">
        <v>1269</v>
      </c>
      <c r="C586" s="8" t="str">
        <f aca="false">TRIM(SUBSTITUTE($B586,CHAR(160)," "))</f>
        <v>T20 S-M חבק יד עם צמדן</v>
      </c>
    </row>
    <row r="587" customFormat="false" ht="15" hidden="false" customHeight="true" outlineLevel="0" collapsed="false">
      <c r="A587" s="8" t="n">
        <v>4408097</v>
      </c>
      <c r="B587" s="8" t="s">
        <v>1272</v>
      </c>
      <c r="C587" s="8" t="str">
        <f aca="false">TRIM(SUBSTITUTE($B587,CHAR(160)," "))</f>
        <v>T20C L-XL חבק יד עם צמדן חום</v>
      </c>
    </row>
    <row r="588" customFormat="false" ht="15" hidden="false" customHeight="true" outlineLevel="0" collapsed="false">
      <c r="A588" s="8" t="n">
        <v>4408096</v>
      </c>
      <c r="B588" s="8" t="s">
        <v>1271</v>
      </c>
      <c r="C588" s="8" t="str">
        <f aca="false">TRIM(SUBSTITUTE($B588,CHAR(160)," "))</f>
        <v>T20C S-M חבק יד עם צמדןחום</v>
      </c>
    </row>
    <row r="589" customFormat="false" ht="15" hidden="false" customHeight="true" outlineLevel="0" collapsed="false">
      <c r="A589" s="8" t="n">
        <v>4408098</v>
      </c>
      <c r="B589" s="8" t="s">
        <v>1273</v>
      </c>
      <c r="C589" s="8" t="str">
        <f aca="false">TRIM(SUBSTITUTE($B589,CHAR(160)," "))</f>
        <v>T25-חבק יד אגודלי</v>
      </c>
    </row>
    <row r="590" customFormat="false" ht="15" hidden="false" customHeight="true" outlineLevel="0" collapsed="false">
      <c r="A590" s="8" t="n">
        <v>4408264</v>
      </c>
      <c r="B590" s="8" t="s">
        <v>1338</v>
      </c>
      <c r="C590" s="8" t="str">
        <f aca="false">TRIM(SUBSTITUTE($B590,CHAR(160)," "))</f>
        <v>T25B חבק יד אגודלי</v>
      </c>
    </row>
    <row r="591" customFormat="false" ht="15" hidden="false" customHeight="true" outlineLevel="0" collapsed="false">
      <c r="A591" s="8" t="n">
        <v>4408099</v>
      </c>
      <c r="B591" s="8" t="s">
        <v>1274</v>
      </c>
      <c r="C591" s="8" t="str">
        <f aca="false">TRIM(SUBSTITUTE($B591,CHAR(160)," "))</f>
        <v>T25C-חבק יד אגודלי</v>
      </c>
    </row>
    <row r="592" customFormat="false" ht="15" hidden="false" customHeight="true" outlineLevel="0" collapsed="false">
      <c r="A592" s="8" t="n">
        <v>4415111</v>
      </c>
      <c r="B592" s="8" t="s">
        <v>1947</v>
      </c>
      <c r="C592" s="8" t="str">
        <f aca="false">TRIM(SUBSTITUTE($B592,CHAR(160)," "))</f>
        <v>T26 L סד לאגודל דו צדדי</v>
      </c>
    </row>
    <row r="593" customFormat="false" ht="15" hidden="false" customHeight="true" outlineLevel="0" collapsed="false">
      <c r="A593" s="8" t="n">
        <v>4415110</v>
      </c>
      <c r="B593" s="8" t="s">
        <v>1948</v>
      </c>
      <c r="C593" s="8" t="str">
        <f aca="false">TRIM(SUBSTITUTE($B593,CHAR(160)," "))</f>
        <v>T26 M סד לאגודל דו צדדי</v>
      </c>
    </row>
    <row r="594" customFormat="false" ht="15" hidden="false" customHeight="true" outlineLevel="0" collapsed="false">
      <c r="A594" s="8" t="n">
        <v>4415109</v>
      </c>
      <c r="B594" s="8" t="s">
        <v>1949</v>
      </c>
      <c r="C594" s="8" t="str">
        <f aca="false">TRIM(SUBSTITUTE($B594,CHAR(160)," "))</f>
        <v>T26 S סד לאגודל דו צדדי</v>
      </c>
    </row>
    <row r="595" customFormat="false" ht="15" hidden="false" customHeight="true" outlineLevel="0" collapsed="false">
      <c r="A595" s="8" t="n">
        <v>4415112</v>
      </c>
      <c r="B595" s="8" t="s">
        <v>1950</v>
      </c>
      <c r="C595" s="8" t="str">
        <f aca="false">TRIM(SUBSTITUTE($B595,CHAR(160)," "))</f>
        <v>T26 XLסד לאגודל דו צדדי</v>
      </c>
    </row>
    <row r="596" customFormat="false" ht="15" hidden="false" customHeight="true" outlineLevel="0" collapsed="false">
      <c r="A596" s="8" t="n">
        <v>4415130</v>
      </c>
      <c r="B596" s="8" t="s">
        <v>1951</v>
      </c>
      <c r="C596" s="8" t="str">
        <f aca="false">TRIM(SUBSTITUTE($B596,CHAR(160)," "))</f>
        <v>T27L L סד ליד שמאל</v>
      </c>
    </row>
    <row r="597" customFormat="false" ht="15" hidden="false" customHeight="true" outlineLevel="0" collapsed="false">
      <c r="A597" s="8" t="n">
        <v>4415131</v>
      </c>
      <c r="B597" s="8" t="s">
        <v>1653</v>
      </c>
      <c r="C597" s="8" t="str">
        <f aca="false">TRIM(SUBSTITUTE($B597,CHAR(160)," "))</f>
        <v>T27L M סד ליד שמאל</v>
      </c>
    </row>
    <row r="598" customFormat="false" ht="15" hidden="false" customHeight="true" outlineLevel="0" collapsed="false">
      <c r="A598" s="8" t="n">
        <v>4415132</v>
      </c>
      <c r="B598" s="8" t="s">
        <v>1952</v>
      </c>
      <c r="C598" s="8" t="str">
        <f aca="false">TRIM(SUBSTITUTE($B598,CHAR(160)," "))</f>
        <v>T27L S סד ליד שמאל</v>
      </c>
    </row>
    <row r="599" customFormat="false" ht="15" hidden="false" customHeight="true" outlineLevel="0" collapsed="false">
      <c r="A599" s="8" t="n">
        <v>4415133</v>
      </c>
      <c r="B599" s="8" t="s">
        <v>1953</v>
      </c>
      <c r="C599" s="8" t="str">
        <f aca="false">TRIM(SUBSTITUTE($B599,CHAR(160)," "))</f>
        <v>T27L XL סד ליד שמאל</v>
      </c>
    </row>
    <row r="600" customFormat="false" ht="15" hidden="false" customHeight="true" outlineLevel="0" collapsed="false">
      <c r="A600" s="8" t="n">
        <v>4415137</v>
      </c>
      <c r="B600" s="8" t="s">
        <v>1954</v>
      </c>
      <c r="C600" s="8" t="str">
        <f aca="false">TRIM(SUBSTITUTE($B600,CHAR(160)," "))</f>
        <v>T27R Mסד ליד ימין</v>
      </c>
    </row>
    <row r="601" customFormat="false" ht="15" hidden="false" customHeight="true" outlineLevel="0" collapsed="false">
      <c r="A601" s="8" t="n">
        <v>4415138</v>
      </c>
      <c r="B601" s="8" t="s">
        <v>1955</v>
      </c>
      <c r="C601" s="8" t="str">
        <f aca="false">TRIM(SUBSTITUTE($B601,CHAR(160)," "))</f>
        <v>T27R Sסד ליד ימין</v>
      </c>
    </row>
    <row r="602" customFormat="false" ht="15" hidden="false" customHeight="true" outlineLevel="0" collapsed="false">
      <c r="A602" s="8" t="n">
        <v>4415139</v>
      </c>
      <c r="B602" s="8" t="s">
        <v>1956</v>
      </c>
      <c r="C602" s="8" t="str">
        <f aca="false">TRIM(SUBSTITUTE($B602,CHAR(160)," "))</f>
        <v>T27R XLסד ליד ימין</v>
      </c>
    </row>
    <row r="603" customFormat="false" ht="15" hidden="false" customHeight="true" outlineLevel="0" collapsed="false">
      <c r="A603" s="8" t="n">
        <v>4415065</v>
      </c>
      <c r="B603" s="8" t="s">
        <v>1957</v>
      </c>
      <c r="C603" s="8" t="str">
        <f aca="false">TRIM(SUBSTITUTE($B603,CHAR(160)," "))</f>
        <v>T28 L סד לאגודל כפפה</v>
      </c>
    </row>
    <row r="604" customFormat="false" ht="15" hidden="false" customHeight="true" outlineLevel="0" collapsed="false">
      <c r="A604" s="8" t="n">
        <v>4415066</v>
      </c>
      <c r="B604" s="8" t="s">
        <v>1958</v>
      </c>
      <c r="C604" s="8" t="str">
        <f aca="false">TRIM(SUBSTITUTE($B604,CHAR(160)," "))</f>
        <v>T28 M סד לאגודל כפפה</v>
      </c>
    </row>
    <row r="605" customFormat="false" ht="15" hidden="false" customHeight="true" outlineLevel="0" collapsed="false">
      <c r="A605" s="8" t="n">
        <v>4415064</v>
      </c>
      <c r="B605" s="8" t="s">
        <v>1814</v>
      </c>
      <c r="C605" s="8" t="str">
        <f aca="false">TRIM(SUBSTITUTE($B605,CHAR(160)," "))</f>
        <v>T28 S סד לאגודל כפפה</v>
      </c>
    </row>
    <row r="606" customFormat="false" ht="15" hidden="false" customHeight="true" outlineLevel="0" collapsed="false">
      <c r="A606" s="8" t="n">
        <v>4415067</v>
      </c>
      <c r="B606" s="8" t="s">
        <v>1638</v>
      </c>
      <c r="C606" s="8" t="str">
        <f aca="false">TRIM(SUBSTITUTE($B606,CHAR(160)," "))</f>
        <v>T28 XL סד לאגודל כפפה</v>
      </c>
    </row>
    <row r="607" customFormat="false" ht="15" hidden="false" customHeight="true" outlineLevel="0" collapsed="false">
      <c r="A607" s="8" t="n">
        <v>4415118</v>
      </c>
      <c r="B607" s="8" t="s">
        <v>1959</v>
      </c>
      <c r="C607" s="8" t="str">
        <f aca="false">TRIM(SUBSTITUTE($B607,CHAR(160)," "))</f>
        <v>T28 XXLסד לאגודל צד ימין</v>
      </c>
    </row>
    <row r="608" customFormat="false" ht="15" hidden="false" customHeight="true" outlineLevel="0" collapsed="false">
      <c r="A608" s="8" t="n">
        <v>4415073</v>
      </c>
      <c r="B608" s="8" t="s">
        <v>1643</v>
      </c>
      <c r="C608" s="8" t="str">
        <f aca="false">TRIM(SUBSTITUTE($B608,CHAR(160)," "))</f>
        <v>T28A L-XL סד לאגודל</v>
      </c>
    </row>
    <row r="609" customFormat="false" ht="15" hidden="false" customHeight="true" outlineLevel="0" collapsed="false">
      <c r="A609" s="8" t="n">
        <v>4415072</v>
      </c>
      <c r="B609" s="8" t="s">
        <v>1642</v>
      </c>
      <c r="C609" s="8" t="str">
        <f aca="false">TRIM(SUBSTITUTE($B609,CHAR(160)," "))</f>
        <v>T28A S-M סד לאגודל</v>
      </c>
    </row>
    <row r="610" customFormat="false" ht="15" hidden="false" customHeight="true" outlineLevel="0" collapsed="false">
      <c r="A610" s="8" t="n">
        <v>4415176</v>
      </c>
      <c r="B610" s="8" t="s">
        <v>1960</v>
      </c>
      <c r="C610" s="8" t="str">
        <f aca="false">TRIM(SUBSTITUTE($B610,CHAR(160)," "))</f>
        <v>T28A XS סד לאגודל</v>
      </c>
    </row>
    <row r="611" customFormat="false" ht="15" hidden="false" customHeight="true" outlineLevel="0" collapsed="false">
      <c r="A611" s="8" t="n">
        <v>4415075</v>
      </c>
      <c r="B611" s="8" t="s">
        <v>1645</v>
      </c>
      <c r="C611" s="8" t="str">
        <f aca="false">TRIM(SUBSTITUTE($B611,CHAR(160)," "))</f>
        <v>T28AC L-XL סד לאגודל</v>
      </c>
    </row>
    <row r="612" customFormat="false" ht="15" hidden="false" customHeight="true" outlineLevel="0" collapsed="false">
      <c r="A612" s="8" t="n">
        <v>4415074</v>
      </c>
      <c r="B612" s="8" t="s">
        <v>1644</v>
      </c>
      <c r="C612" s="8" t="str">
        <f aca="false">TRIM(SUBSTITUTE($B612,CHAR(160)," "))</f>
        <v>T28AC S-M סד לאגודל</v>
      </c>
    </row>
    <row r="613" customFormat="false" ht="15" hidden="false" customHeight="true" outlineLevel="0" collapsed="false">
      <c r="A613" s="8" t="n">
        <v>4415071</v>
      </c>
      <c r="B613" s="8" t="s">
        <v>1641</v>
      </c>
      <c r="C613" s="8" t="str">
        <f aca="false">TRIM(SUBSTITUTE($B613,CHAR(160)," "))</f>
        <v>T28C XL סד לאגודל כפפה</v>
      </c>
    </row>
    <row r="614" customFormat="false" ht="15" hidden="false" customHeight="true" outlineLevel="0" collapsed="false">
      <c r="A614" s="8" t="n">
        <v>4415069</v>
      </c>
      <c r="B614" s="8" t="s">
        <v>1639</v>
      </c>
      <c r="C614" s="8" t="str">
        <f aca="false">TRIM(SUBSTITUTE($B614,CHAR(160)," "))</f>
        <v>T28C L סד לאגודל כפפה</v>
      </c>
    </row>
    <row r="615" customFormat="false" ht="15" hidden="false" customHeight="true" outlineLevel="0" collapsed="false">
      <c r="A615" s="8" t="n">
        <v>4415070</v>
      </c>
      <c r="B615" s="8" t="s">
        <v>1640</v>
      </c>
      <c r="C615" s="8" t="str">
        <f aca="false">TRIM(SUBSTITUTE($B615,CHAR(160)," "))</f>
        <v>T28C M סד לאגודל כפפה</v>
      </c>
    </row>
    <row r="616" customFormat="false" ht="15" hidden="false" customHeight="true" outlineLevel="0" collapsed="false">
      <c r="A616" s="8" t="n">
        <v>4415068</v>
      </c>
      <c r="B616" s="8" t="s">
        <v>1961</v>
      </c>
      <c r="C616" s="8" t="str">
        <f aca="false">TRIM(SUBSTITUTE($B616,CHAR(160)," "))</f>
        <v>T28C S סד לאגודל כפפה</v>
      </c>
    </row>
    <row r="617" customFormat="false" ht="15" hidden="false" customHeight="true" outlineLevel="0" collapsed="false">
      <c r="A617" s="8" t="n">
        <v>4415029</v>
      </c>
      <c r="B617" s="8" t="s">
        <v>1637</v>
      </c>
      <c r="C617" s="8" t="str">
        <f aca="false">TRIM(SUBSTITUTE($B617,CHAR(160)," "))</f>
        <v>סד קיבוע לאצבע הדק</v>
      </c>
    </row>
    <row r="618" customFormat="false" ht="15" hidden="false" customHeight="true" outlineLevel="0" collapsed="false">
      <c r="A618" s="8" t="n">
        <v>4418014</v>
      </c>
      <c r="B618" s="8" t="s">
        <v>1962</v>
      </c>
      <c r="C618" s="8" t="str">
        <f aca="false">TRIM(SUBSTITUTE($B618,CHAR(160)," "))</f>
        <v>1314- 62 L צוארון ספוגי</v>
      </c>
    </row>
    <row r="619" customFormat="false" ht="15" hidden="false" customHeight="true" outlineLevel="0" collapsed="false">
      <c r="A619" s="8" t="n">
        <v>4418000</v>
      </c>
      <c r="B619" s="8" t="s">
        <v>1679</v>
      </c>
      <c r="C619" s="8" t="str">
        <f aca="false">TRIM(SUBSTITUTE($B619,CHAR(160)," "))</f>
        <v>60 L צוארון ספוגי</v>
      </c>
    </row>
    <row r="620" customFormat="false" ht="15" hidden="false" customHeight="true" outlineLevel="0" collapsed="false">
      <c r="A620" s="8" t="n">
        <v>4418001</v>
      </c>
      <c r="B620" s="8" t="s">
        <v>1680</v>
      </c>
      <c r="C620" s="8" t="str">
        <f aca="false">TRIM(SUBSTITUTE($B620,CHAR(160)," "))</f>
        <v>60 M צוארון ספוגי</v>
      </c>
    </row>
    <row r="621" customFormat="false" ht="15" hidden="false" customHeight="true" outlineLevel="0" collapsed="false">
      <c r="A621" s="8" t="n">
        <v>4418002</v>
      </c>
      <c r="B621" s="8" t="s">
        <v>1681</v>
      </c>
      <c r="C621" s="8" t="str">
        <f aca="false">TRIM(SUBSTITUTE($B621,CHAR(160)," "))</f>
        <v>60 S צוארון ספוגי</v>
      </c>
    </row>
    <row r="622" customFormat="false" ht="15" hidden="false" customHeight="true" outlineLevel="0" collapsed="false">
      <c r="A622" s="8" t="n">
        <v>4418003</v>
      </c>
      <c r="B622" s="8" t="s">
        <v>1682</v>
      </c>
      <c r="C622" s="8" t="str">
        <f aca="false">TRIM(SUBSTITUTE($B622,CHAR(160)," "))</f>
        <v>60 XL צוארון ספוגי</v>
      </c>
    </row>
    <row r="623" customFormat="false" ht="15" hidden="false" customHeight="true" outlineLevel="0" collapsed="false">
      <c r="A623" s="8" t="n">
        <v>4418004</v>
      </c>
      <c r="B623" s="8" t="s">
        <v>1683</v>
      </c>
      <c r="C623" s="8" t="str">
        <f aca="false">TRIM(SUBSTITUTE($B623,CHAR(160)," "))</f>
        <v>60 XXL צוארון ספוגי</v>
      </c>
    </row>
    <row r="624" customFormat="false" ht="15" hidden="false" customHeight="true" outlineLevel="0" collapsed="false">
      <c r="A624" s="8" t="n">
        <v>4418016</v>
      </c>
      <c r="B624" s="8" t="s">
        <v>1818</v>
      </c>
      <c r="C624" s="8" t="str">
        <f aca="false">TRIM(SUBSTITUTE($B624,CHAR(160)," "))</f>
        <v>60XS צוארון ספוגי</v>
      </c>
    </row>
    <row r="625" customFormat="false" ht="15" hidden="false" customHeight="true" outlineLevel="0" collapsed="false">
      <c r="A625" s="8" t="n">
        <v>4418013</v>
      </c>
      <c r="B625" s="8" t="s">
        <v>1963</v>
      </c>
      <c r="C625" s="8" t="str">
        <f aca="false">TRIM(SUBSTITUTE($B625,CHAR(160)," "))</f>
        <v>62 M צוארון ספוגי</v>
      </c>
    </row>
    <row r="626" customFormat="false" ht="15" hidden="false" customHeight="true" outlineLevel="0" collapsed="false">
      <c r="A626" s="8" t="n">
        <v>4418012</v>
      </c>
      <c r="B626" s="8" t="s">
        <v>1964</v>
      </c>
      <c r="C626" s="8" t="str">
        <f aca="false">TRIM(SUBSTITUTE($B626,CHAR(160)," "))</f>
        <v>62 S צוארון ספוגי</v>
      </c>
    </row>
    <row r="627" customFormat="false" ht="15" hidden="false" customHeight="true" outlineLevel="0" collapsed="false">
      <c r="A627" s="8" t="n">
        <v>4418015</v>
      </c>
      <c r="B627" s="8" t="s">
        <v>1965</v>
      </c>
      <c r="C627" s="8" t="str">
        <f aca="false">TRIM(SUBSTITUTE($B627,CHAR(160)," "))</f>
        <v>62 XL צוארון ספוגי</v>
      </c>
    </row>
    <row r="628" customFormat="false" ht="15" hidden="false" customHeight="true" outlineLevel="0" collapsed="false">
      <c r="A628" s="8" t="n">
        <v>4418007</v>
      </c>
      <c r="B628" s="8" t="s">
        <v>1966</v>
      </c>
      <c r="C628" s="8" t="str">
        <f aca="false">TRIM(SUBSTITUTE($B628,CHAR(160)," "))</f>
        <v>63 L צוארון פלסטי מתכוון</v>
      </c>
    </row>
    <row r="629" customFormat="false" ht="15" hidden="false" customHeight="true" outlineLevel="0" collapsed="false">
      <c r="A629" s="8" t="n">
        <v>4418006</v>
      </c>
      <c r="B629" s="8" t="s">
        <v>1684</v>
      </c>
      <c r="C629" s="8" t="str">
        <f aca="false">TRIM(SUBSTITUTE($B629,CHAR(160)," "))</f>
        <v>63 M צוארון פלסטי מתכוון</v>
      </c>
    </row>
    <row r="630" customFormat="false" ht="15" hidden="false" customHeight="true" outlineLevel="0" collapsed="false">
      <c r="A630" s="8" t="n">
        <v>4418005</v>
      </c>
      <c r="B630" s="8" t="s">
        <v>1967</v>
      </c>
      <c r="C630" s="8" t="str">
        <f aca="false">TRIM(SUBSTITUTE($B630,CHAR(160)," "))</f>
        <v>63 S צוארון פלסטי מתכוון</v>
      </c>
    </row>
    <row r="631" customFormat="false" ht="15" hidden="false" customHeight="true" outlineLevel="0" collapsed="false">
      <c r="A631" s="8" t="n">
        <v>4419003</v>
      </c>
      <c r="B631" s="8" t="s">
        <v>1686</v>
      </c>
      <c r="C631" s="8" t="str">
        <f aca="false">TRIM(SUBSTITUTE($B631,CHAR(160)," "))</f>
        <v>FC310-תתקרם הגנה לכף הרגל</v>
      </c>
    </row>
    <row r="632" customFormat="false" ht="15" hidden="false" customHeight="true" outlineLevel="0" collapsed="false">
      <c r="A632" s="8" t="n">
        <v>4419002</v>
      </c>
      <c r="B632" s="8" t="s">
        <v>1685</v>
      </c>
      <c r="C632" s="8" t="str">
        <f aca="false">TRIM(SUBSTITUTE($B632,CHAR(160)," "))</f>
        <v>FC311-תתקרם דאודורנט לכף הרגל</v>
      </c>
    </row>
    <row r="633" customFormat="false" ht="15" hidden="false" customHeight="true" outlineLevel="0" collapsed="false">
      <c r="A633" s="8" t="n">
        <v>4419004</v>
      </c>
      <c r="B633" s="8" t="s">
        <v>1687</v>
      </c>
      <c r="C633" s="8" t="str">
        <f aca="false">TRIM(SUBSTITUTE($B633,CHAR(160)," "))</f>
        <v>FC312-תתקרם מירוק גרגרי פילינג</v>
      </c>
    </row>
    <row r="634" customFormat="false" ht="15" hidden="false" customHeight="true" outlineLevel="0" collapsed="false">
      <c r="A634" s="8" t="n">
        <v>4419005</v>
      </c>
      <c r="B634" s="8" t="s">
        <v>1968</v>
      </c>
      <c r="C634" s="8" t="str">
        <f aca="false">TRIM(SUBSTITUTE($B634,CHAR(160)," "))</f>
        <v>FC313- תתקרם ריכוך</v>
      </c>
    </row>
    <row r="635" customFormat="false" ht="15" hidden="false" customHeight="true" outlineLevel="0" collapsed="false">
      <c r="A635" s="8" t="n">
        <v>4409003</v>
      </c>
      <c r="B635" s="8" t="s">
        <v>1775</v>
      </c>
      <c r="C635" s="8" t="str">
        <f aca="false">TRIM(SUBSTITUTE($B635,CHAR(160)," "))</f>
        <v>FC314-תתטלק נוזלי</v>
      </c>
    </row>
    <row r="636" customFormat="false" ht="15" hidden="false" customHeight="true" outlineLevel="0" collapsed="false">
      <c r="A636" s="8" t="n">
        <v>4403009</v>
      </c>
      <c r="B636" s="8" t="s">
        <v>1969</v>
      </c>
      <c r="C636" s="8" t="str">
        <f aca="false">TRIM(SUBSTITUTE($B636,CHAR(160)," "))</f>
        <v>FC315-תתג'ל צינון</v>
      </c>
    </row>
    <row r="637" customFormat="false" ht="15" hidden="false" customHeight="true" outlineLevel="0" collapsed="false">
      <c r="A637" s="8" t="n">
        <v>4419010</v>
      </c>
      <c r="B637" s="8" t="s">
        <v>1689</v>
      </c>
      <c r="C637" s="8" t="str">
        <f aca="false">TRIM(SUBSTITUTE($B637,CHAR(160)," "))</f>
        <v>FC316 קרם רגליים שיקומי</v>
      </c>
    </row>
    <row r="638" customFormat="false" ht="15" hidden="false" customHeight="true" outlineLevel="0" collapsed="false">
      <c r="A638" s="8" t="n">
        <v>4404000</v>
      </c>
      <c r="B638" s="8" t="s">
        <v>1216</v>
      </c>
      <c r="C638" s="8" t="str">
        <f aca="false">TRIM(SUBSTITUTE($B638,CHAR(160)," "))</f>
        <v>FC330Z-תתדאו'אנטי בקט.לנעל120</v>
      </c>
    </row>
    <row r="639" customFormat="false" ht="15" hidden="false" customHeight="true" outlineLevel="0" collapsed="false">
      <c r="A639" s="8" t="n">
        <v>4422003</v>
      </c>
      <c r="B639" s="8" t="s">
        <v>1730</v>
      </c>
      <c r="C639" s="8" t="str">
        <f aca="false">TRIM(SUBSTITUTE($B639,CHAR(160)," "))</f>
        <v>FC331Z- 120 תתתרסיס מרענן לרגל</v>
      </c>
    </row>
    <row r="640" customFormat="false" ht="15" hidden="false" customHeight="true" outlineLevel="0" collapsed="false">
      <c r="A640" s="8" t="n">
        <v>4409002</v>
      </c>
      <c r="B640" s="8" t="s">
        <v>1347</v>
      </c>
      <c r="C640" s="8" t="str">
        <f aca="false">TRIM(SUBSTITUTE($B640,CHAR(160)," "))</f>
        <v>FC341-טיפות נגד פטרת הציפורן</v>
      </c>
    </row>
    <row r="641" customFormat="false" ht="15" hidden="false" customHeight="true" outlineLevel="0" collapsed="false">
      <c r="A641" s="8" t="n">
        <v>4413002</v>
      </c>
      <c r="B641" s="8" t="s">
        <v>1376</v>
      </c>
      <c r="C641" s="8" t="str">
        <f aca="false">TRIM(SUBSTITUTE($B641,CHAR(160)," "))</f>
        <v>30 L מגן קרסול מתכוון עם סקוטש</v>
      </c>
    </row>
    <row r="642" customFormat="false" ht="15" hidden="false" customHeight="true" outlineLevel="0" collapsed="false">
      <c r="A642" s="8" t="n">
        <v>4413003</v>
      </c>
      <c r="B642" s="8" t="s">
        <v>1377</v>
      </c>
      <c r="C642" s="8" t="str">
        <f aca="false">TRIM(SUBSTITUTE($B642,CHAR(160)," "))</f>
        <v>30 M מגן קרסול מתכוון עם סקוטש</v>
      </c>
    </row>
    <row r="643" customFormat="false" ht="15" hidden="false" customHeight="true" outlineLevel="0" collapsed="false">
      <c r="A643" s="8" t="n">
        <v>4413000</v>
      </c>
      <c r="B643" s="8" t="s">
        <v>1375</v>
      </c>
      <c r="C643" s="8" t="str">
        <f aca="false">TRIM(SUBSTITUTE($B643,CHAR(160)," "))</f>
        <v>30 S מגן קרסול מתכוון עם סקוטש</v>
      </c>
    </row>
    <row r="644" customFormat="false" ht="15" hidden="false" customHeight="true" outlineLevel="0" collapsed="false">
      <c r="A644" s="8" t="n">
        <v>4413004</v>
      </c>
      <c r="B644" s="8" t="s">
        <v>1378</v>
      </c>
      <c r="C644" s="8" t="str">
        <f aca="false">TRIM(SUBSTITUTE($B644,CHAR(160)," "))</f>
        <v>30 XL מגן קרסול מתכוון סקוטש</v>
      </c>
    </row>
    <row r="645" customFormat="false" ht="15" hidden="false" customHeight="true" outlineLevel="0" collapsed="false">
      <c r="A645" s="8" t="n">
        <v>4413005</v>
      </c>
      <c r="B645" s="8" t="s">
        <v>1379</v>
      </c>
      <c r="C645" s="8" t="str">
        <f aca="false">TRIM(SUBSTITUTE($B645,CHAR(160)," "))</f>
        <v>30 XXL מגן קרסול מתכוון+סקוטש</v>
      </c>
    </row>
    <row r="646" customFormat="false" ht="15" hidden="false" customHeight="true" outlineLevel="0" collapsed="false">
      <c r="A646" s="8" t="n">
        <v>4415011</v>
      </c>
      <c r="B646" s="8" t="s">
        <v>1970</v>
      </c>
      <c r="C646" s="8" t="str">
        <f aca="false">TRIM(SUBSTITUTE($B646,CHAR(160)," "))</f>
        <v>32 L סד קרסול+מוטות אלומיניום</v>
      </c>
    </row>
    <row r="647" customFormat="false" ht="15" hidden="false" customHeight="true" outlineLevel="0" collapsed="false">
      <c r="A647" s="8" t="n">
        <v>4415012</v>
      </c>
      <c r="B647" s="8" t="s">
        <v>1630</v>
      </c>
      <c r="C647" s="8" t="str">
        <f aca="false">TRIM(SUBSTITUTE($B647,CHAR(160)," "))</f>
        <v>32 M סד קרסול+מוטות אלומיניום</v>
      </c>
    </row>
    <row r="648" customFormat="false" ht="15" hidden="false" customHeight="true" outlineLevel="0" collapsed="false">
      <c r="A648" s="8" t="n">
        <v>4415013</v>
      </c>
      <c r="B648" s="8" t="s">
        <v>1631</v>
      </c>
      <c r="C648" s="8" t="str">
        <f aca="false">TRIM(SUBSTITUTE($B648,CHAR(160)," "))</f>
        <v>32 XL סד קרסול+מוטות אלומיניום</v>
      </c>
    </row>
    <row r="649" customFormat="false" ht="15" hidden="false" customHeight="true" outlineLevel="0" collapsed="false">
      <c r="A649" s="8" t="n">
        <v>4413347</v>
      </c>
      <c r="B649" s="8" t="s">
        <v>1539</v>
      </c>
      <c r="C649" s="8" t="str">
        <f aca="false">TRIM(SUBSTITUTE($B649,CHAR(160)," "))</f>
        <v>322-L מגן קרסול+כרית סילקון</v>
      </c>
    </row>
    <row r="650" customFormat="false" ht="15" hidden="false" customHeight="true" outlineLevel="0" collapsed="false">
      <c r="A650" s="8" t="n">
        <v>4413336</v>
      </c>
      <c r="B650" s="8" t="s">
        <v>1530</v>
      </c>
      <c r="C650" s="8" t="str">
        <f aca="false">TRIM(SUBSTITUTE($B650,CHAR(160)," "))</f>
        <v>322-M מגן קרסול+כרית סילקון</v>
      </c>
    </row>
    <row r="651" customFormat="false" ht="15" hidden="false" customHeight="true" outlineLevel="0" collapsed="false">
      <c r="A651" s="8" t="n">
        <v>4413335</v>
      </c>
      <c r="B651" s="8" t="s">
        <v>1529</v>
      </c>
      <c r="C651" s="8" t="str">
        <f aca="false">TRIM(SUBSTITUTE($B651,CHAR(160)," "))</f>
        <v>322-S מגן קרסול+כרית סילקון</v>
      </c>
    </row>
    <row r="652" customFormat="false" ht="15" hidden="false" customHeight="true" outlineLevel="0" collapsed="false">
      <c r="A652" s="8" t="n">
        <v>4413337</v>
      </c>
      <c r="B652" s="8" t="s">
        <v>1531</v>
      </c>
      <c r="C652" s="8" t="str">
        <f aca="false">TRIM(SUBSTITUTE($B652,CHAR(160)," "))</f>
        <v>322XL מגן קרסול+כרית סילקון</v>
      </c>
    </row>
    <row r="653" customFormat="false" ht="15" hidden="false" customHeight="true" outlineLevel="0" collapsed="false">
      <c r="A653" s="8" t="n">
        <v>4413338</v>
      </c>
      <c r="B653" s="8" t="s">
        <v>1532</v>
      </c>
      <c r="C653" s="8" t="str">
        <f aca="false">TRIM(SUBSTITUTE($B653,CHAR(160)," "))</f>
        <v>322XXLמגן קרסול+כרית סילקון</v>
      </c>
    </row>
    <row r="654" customFormat="false" ht="15" hidden="false" customHeight="true" outlineLevel="0" collapsed="false">
      <c r="A654" s="8" t="n">
        <v>4415015</v>
      </c>
      <c r="B654" s="8" t="s">
        <v>1971</v>
      </c>
      <c r="C654" s="8" t="str">
        <f aca="false">TRIM(SUBSTITUTE($B654,CHAR(160)," "))</f>
        <v>33 Lסד קל לקרסול עם סדי פלסטיק</v>
      </c>
    </row>
    <row r="655" customFormat="false" ht="15" hidden="false" customHeight="true" outlineLevel="0" collapsed="false">
      <c r="A655" s="8" t="n">
        <v>4415016</v>
      </c>
      <c r="B655" s="8" t="s">
        <v>1972</v>
      </c>
      <c r="C655" s="8" t="str">
        <f aca="false">TRIM(SUBSTITUTE($B655,CHAR(160)," "))</f>
        <v>33 Mסד קל לקרסול עם סדי פלסטיק</v>
      </c>
    </row>
    <row r="656" customFormat="false" ht="15" hidden="false" customHeight="true" outlineLevel="0" collapsed="false">
      <c r="A656" s="8" t="n">
        <v>4415017</v>
      </c>
      <c r="B656" s="8" t="s">
        <v>1973</v>
      </c>
      <c r="C656" s="8" t="str">
        <f aca="false">TRIM(SUBSTITUTE($B656,CHAR(160)," "))</f>
        <v>33 Sסד קל לקרסול עם סדי פלסטיק</v>
      </c>
    </row>
    <row r="657" customFormat="false" ht="15" hidden="false" customHeight="true" outlineLevel="0" collapsed="false">
      <c r="A657" s="8" t="n">
        <v>4415018</v>
      </c>
      <c r="B657" s="8" t="s">
        <v>1974</v>
      </c>
      <c r="C657" s="8" t="str">
        <f aca="false">TRIM(SUBSTITUTE($B657,CHAR(160)," "))</f>
        <v>33 XL.סד קל לקרסול עם סדי פלסט</v>
      </c>
    </row>
    <row r="658" customFormat="false" ht="15" hidden="false" customHeight="true" outlineLevel="0" collapsed="false">
      <c r="A658" s="8" t="n">
        <v>4413428</v>
      </c>
      <c r="B658" s="8" t="s">
        <v>1809</v>
      </c>
      <c r="C658" s="8" t="str">
        <f aca="false">TRIM(SUBSTITUTE($B658,CHAR(160)," "))</f>
        <v>332CL'מייצב קרסול עם שרוכים בז</v>
      </c>
    </row>
    <row r="659" customFormat="false" ht="15" hidden="false" customHeight="true" outlineLevel="0" collapsed="false">
      <c r="A659" s="8" t="n">
        <v>4413429</v>
      </c>
      <c r="B659" s="8" t="s">
        <v>1810</v>
      </c>
      <c r="C659" s="8" t="str">
        <f aca="false">TRIM(SUBSTITUTE($B659,CHAR(160)," "))</f>
        <v>332CM'מייצב קרסול עם שרוכים בז</v>
      </c>
    </row>
    <row r="660" customFormat="false" ht="15" hidden="false" customHeight="true" outlineLevel="0" collapsed="false">
      <c r="A660" s="8" t="n">
        <v>4413430</v>
      </c>
      <c r="B660" s="8" t="s">
        <v>1811</v>
      </c>
      <c r="C660" s="8" t="str">
        <f aca="false">TRIM(SUBSTITUTE($B660,CHAR(160)," "))</f>
        <v>332CS'מייצב קרסול עם שרוכים בז</v>
      </c>
    </row>
    <row r="661" customFormat="false" ht="15" hidden="false" customHeight="true" outlineLevel="0" collapsed="false">
      <c r="A661" s="8" t="n">
        <v>4413431</v>
      </c>
      <c r="B661" s="8" t="s">
        <v>1812</v>
      </c>
      <c r="C661" s="8" t="str">
        <f aca="false">TRIM(SUBSTITUTE($B661,CHAR(160)," "))</f>
        <v>332CXLמייצב קרסול עם שרוכים בז</v>
      </c>
    </row>
    <row r="662" customFormat="false" ht="15" hidden="false" customHeight="true" outlineLevel="0" collapsed="false">
      <c r="A662" s="8" t="n">
        <v>4413432</v>
      </c>
      <c r="B662" s="8" t="s">
        <v>1975</v>
      </c>
      <c r="C662" s="8" t="str">
        <f aca="false">TRIM(SUBSTITUTE($B662,CHAR(160)," "))</f>
        <v>332CXXLמיצב קרסול עם שרוכים בז</v>
      </c>
    </row>
    <row r="663" customFormat="false" ht="15" hidden="false" customHeight="true" outlineLevel="0" collapsed="false">
      <c r="A663" s="8" t="n">
        <v>4415019</v>
      </c>
      <c r="B663" s="8" t="s">
        <v>1632</v>
      </c>
      <c r="C663" s="8" t="str">
        <f aca="false">TRIM(SUBSTITUTE($B663,CHAR(160)," "))</f>
        <v>333 סד לקרסול עם כריות אויר</v>
      </c>
    </row>
    <row r="664" customFormat="false" ht="15" hidden="false" customHeight="true" outlineLevel="0" collapsed="false">
      <c r="A664" s="8" t="n">
        <v>4413043</v>
      </c>
      <c r="B664" s="8" t="s">
        <v>1388</v>
      </c>
      <c r="C664" s="8" t="str">
        <f aca="false">TRIM(SUBSTITUTE($B664,CHAR(160)," "))</f>
        <v>34 L מגן קרסול עקב סגור</v>
      </c>
    </row>
    <row r="665" customFormat="false" ht="15" hidden="false" customHeight="true" outlineLevel="0" collapsed="false">
      <c r="A665" s="8" t="n">
        <v>4413041</v>
      </c>
      <c r="B665" s="8" t="s">
        <v>1386</v>
      </c>
      <c r="C665" s="8" t="str">
        <f aca="false">TRIM(SUBSTITUTE($B665,CHAR(160)," "))</f>
        <v>34 M מגן קרסול עקב סגור</v>
      </c>
    </row>
    <row r="666" customFormat="false" ht="15" hidden="false" customHeight="true" outlineLevel="0" collapsed="false">
      <c r="A666" s="8" t="n">
        <v>4413042</v>
      </c>
      <c r="B666" s="8" t="s">
        <v>1387</v>
      </c>
      <c r="C666" s="8" t="str">
        <f aca="false">TRIM(SUBSTITUTE($B666,CHAR(160)," "))</f>
        <v>34 S מגן קרסול עקב סגור</v>
      </c>
    </row>
    <row r="667" customFormat="false" ht="15" hidden="false" customHeight="true" outlineLevel="0" collapsed="false">
      <c r="A667" s="8" t="n">
        <v>4413044</v>
      </c>
      <c r="B667" s="8" t="s">
        <v>1389</v>
      </c>
      <c r="C667" s="8" t="str">
        <f aca="false">TRIM(SUBSTITUTE($B667,CHAR(160)," "))</f>
        <v>34 XL מגן קרסול עקב סגור</v>
      </c>
    </row>
    <row r="668" customFormat="false" ht="15" hidden="false" customHeight="true" outlineLevel="0" collapsed="false">
      <c r="A668" s="8" t="n">
        <v>4413045</v>
      </c>
      <c r="B668" s="8" t="s">
        <v>1390</v>
      </c>
      <c r="C668" s="8" t="str">
        <f aca="false">TRIM(SUBSTITUTE($B668,CHAR(160)," "))</f>
        <v>34 XS מגן קרסול עקב סגור</v>
      </c>
    </row>
    <row r="669" customFormat="false" ht="15" hidden="false" customHeight="true" outlineLevel="0" collapsed="false">
      <c r="A669" s="8" t="n">
        <v>4413046</v>
      </c>
      <c r="B669" s="8" t="s">
        <v>1391</v>
      </c>
      <c r="C669" s="8" t="str">
        <f aca="false">TRIM(SUBSTITUTE($B669,CHAR(160)," "))</f>
        <v>34 XXL מגן קרסול עקב סגור</v>
      </c>
    </row>
    <row r="670" customFormat="false" ht="15" hidden="false" customHeight="true" outlineLevel="0" collapsed="false">
      <c r="A670" s="8" t="n">
        <v>4413161</v>
      </c>
      <c r="B670" s="8" t="s">
        <v>1483</v>
      </c>
      <c r="C670" s="8" t="str">
        <f aca="false">TRIM(SUBSTITUTE($B670,CHAR(160)," "))</f>
        <v>34+ L מגן קרסול עקב סגור+רצוע</v>
      </c>
    </row>
    <row r="671" customFormat="false" ht="15" hidden="false" customHeight="true" outlineLevel="0" collapsed="false">
      <c r="A671" s="8" t="n">
        <v>4413160</v>
      </c>
      <c r="B671" s="8" t="s">
        <v>1482</v>
      </c>
      <c r="C671" s="8" t="str">
        <f aca="false">TRIM(SUBSTITUTE($B671,CHAR(160)," "))</f>
        <v>34+ M מגן קרסול עקב סגור+רצוע</v>
      </c>
    </row>
    <row r="672" customFormat="false" ht="15" hidden="false" customHeight="true" outlineLevel="0" collapsed="false">
      <c r="A672" s="8" t="n">
        <v>4413159</v>
      </c>
      <c r="B672" s="8" t="s">
        <v>1481</v>
      </c>
      <c r="C672" s="8" t="str">
        <f aca="false">TRIM(SUBSTITUTE($B672,CHAR(160)," "))</f>
        <v>34+ S מגן קרסול עקב סגור+רצוע</v>
      </c>
    </row>
    <row r="673" customFormat="false" ht="15" hidden="false" customHeight="true" outlineLevel="0" collapsed="false">
      <c r="A673" s="8" t="n">
        <v>4413162</v>
      </c>
      <c r="B673" s="8" t="s">
        <v>1484</v>
      </c>
      <c r="C673" s="8" t="str">
        <f aca="false">TRIM(SUBSTITUTE($B673,CHAR(160)," "))</f>
        <v>34+XL מגן קרסול עקב סגור+רצוע</v>
      </c>
    </row>
    <row r="674" customFormat="false" ht="15" hidden="false" customHeight="true" outlineLevel="0" collapsed="false">
      <c r="A674" s="8" t="n">
        <v>4413303</v>
      </c>
      <c r="B674" s="8" t="s">
        <v>1520</v>
      </c>
      <c r="C674" s="8" t="str">
        <f aca="false">TRIM(SUBSTITUTE($B674,CHAR(160)," "))</f>
        <v>34+XXL מ.קרסול+עכב סגור+רצועות</v>
      </c>
    </row>
    <row r="675" customFormat="false" ht="15" hidden="false" customHeight="true" outlineLevel="0" collapsed="false">
      <c r="A675" s="8" t="n">
        <v>4413048</v>
      </c>
      <c r="B675" s="8" t="s">
        <v>1393</v>
      </c>
      <c r="C675" s="8" t="str">
        <f aca="false">TRIM(SUBSTITUTE($B675,CHAR(160)," "))</f>
        <v>35 L מגן קרסול לבן</v>
      </c>
    </row>
    <row r="676" customFormat="false" ht="15" hidden="false" customHeight="true" outlineLevel="0" collapsed="false">
      <c r="A676" s="8" t="n">
        <v>4413049</v>
      </c>
      <c r="B676" s="8" t="s">
        <v>1394</v>
      </c>
      <c r="C676" s="8" t="str">
        <f aca="false">TRIM(SUBSTITUTE($B676,CHAR(160)," "))</f>
        <v>35 M מגן קרסול לבן</v>
      </c>
    </row>
    <row r="677" customFormat="false" ht="15" hidden="false" customHeight="true" outlineLevel="0" collapsed="false">
      <c r="A677" s="8" t="n">
        <v>4413047</v>
      </c>
      <c r="B677" s="8" t="s">
        <v>1392</v>
      </c>
      <c r="C677" s="8" t="str">
        <f aca="false">TRIM(SUBSTITUTE($B677,CHAR(160)," "))</f>
        <v>35 S מגן קרסול לבן</v>
      </c>
    </row>
    <row r="678" customFormat="false" ht="15" hidden="false" customHeight="true" outlineLevel="0" collapsed="false">
      <c r="A678" s="8" t="n">
        <v>4413050</v>
      </c>
      <c r="B678" s="8" t="s">
        <v>1395</v>
      </c>
      <c r="C678" s="8" t="str">
        <f aca="false">TRIM(SUBSTITUTE($B678,CHAR(160)," "))</f>
        <v>35 XL מגן קרסול לבן</v>
      </c>
    </row>
    <row r="679" customFormat="false" ht="15" hidden="false" customHeight="true" outlineLevel="0" collapsed="false">
      <c r="A679" s="8" t="n">
        <v>4413324</v>
      </c>
      <c r="B679" s="8" t="s">
        <v>1522</v>
      </c>
      <c r="C679" s="8" t="str">
        <f aca="false">TRIM(SUBSTITUTE($B679,CHAR(160)," "))</f>
        <v>35 XS מגן קרסול לבן</v>
      </c>
    </row>
    <row r="680" customFormat="false" ht="15" hidden="false" customHeight="true" outlineLevel="0" collapsed="false">
      <c r="A680" s="8" t="n">
        <v>4413051</v>
      </c>
      <c r="B680" s="8" t="s">
        <v>1396</v>
      </c>
      <c r="C680" s="8" t="str">
        <f aca="false">TRIM(SUBSTITUTE($B680,CHAR(160)," "))</f>
        <v>35 XXL מגן קרסול לבן</v>
      </c>
    </row>
    <row r="681" customFormat="false" ht="15" hidden="false" customHeight="true" outlineLevel="0" collapsed="false">
      <c r="A681" s="8" t="n">
        <v>4413490</v>
      </c>
      <c r="B681" s="8" t="s">
        <v>1590</v>
      </c>
      <c r="C681" s="8" t="str">
        <f aca="false">TRIM(SUBSTITUTE($B681,CHAR(160)," "))</f>
        <v>35B L מגן קרסול שחור</v>
      </c>
    </row>
    <row r="682" customFormat="false" ht="15" hidden="false" customHeight="true" outlineLevel="0" collapsed="false">
      <c r="A682" s="8" t="n">
        <v>4413492</v>
      </c>
      <c r="B682" s="8" t="s">
        <v>1592</v>
      </c>
      <c r="C682" s="8" t="str">
        <f aca="false">TRIM(SUBSTITUTE($B682,CHAR(160)," "))</f>
        <v>35B M מגן קרסול שחור</v>
      </c>
    </row>
    <row r="683" customFormat="false" ht="15" hidden="false" customHeight="true" outlineLevel="0" collapsed="false">
      <c r="A683" s="8" t="n">
        <v>4413493</v>
      </c>
      <c r="B683" s="8" t="s">
        <v>1593</v>
      </c>
      <c r="C683" s="8" t="str">
        <f aca="false">TRIM(SUBSTITUTE($B683,CHAR(160)," "))</f>
        <v>35B S מגן קרסול שחור</v>
      </c>
    </row>
    <row r="684" customFormat="false" ht="15" hidden="false" customHeight="true" outlineLevel="0" collapsed="false">
      <c r="A684" s="8" t="n">
        <v>4413491</v>
      </c>
      <c r="B684" s="8" t="s">
        <v>1591</v>
      </c>
      <c r="C684" s="8" t="str">
        <f aca="false">TRIM(SUBSTITUTE($B684,CHAR(160)," "))</f>
        <v>35B XL מגן קרסול שחור</v>
      </c>
    </row>
    <row r="685" customFormat="false" ht="15" hidden="false" customHeight="true" outlineLevel="0" collapsed="false">
      <c r="A685" s="8" t="n">
        <v>4413494</v>
      </c>
      <c r="B685" s="8" t="s">
        <v>1594</v>
      </c>
      <c r="C685" s="8" t="str">
        <f aca="false">TRIM(SUBSTITUTE($B685,CHAR(160)," "))</f>
        <v>35B XXL מגן קרסול שחור</v>
      </c>
    </row>
    <row r="686" customFormat="false" ht="15" hidden="false" customHeight="true" outlineLevel="0" collapsed="false">
      <c r="A686" s="8" t="n">
        <v>4413053</v>
      </c>
      <c r="B686" s="8" t="s">
        <v>1398</v>
      </c>
      <c r="C686" s="8" t="str">
        <f aca="false">TRIM(SUBSTITUTE($B686,CHAR(160)," "))</f>
        <v>35C L מגן קרסול חום</v>
      </c>
    </row>
    <row r="687" customFormat="false" ht="15" hidden="false" customHeight="true" outlineLevel="0" collapsed="false">
      <c r="A687" s="8" t="n">
        <v>4413054</v>
      </c>
      <c r="B687" s="8" t="s">
        <v>1399</v>
      </c>
      <c r="C687" s="8" t="str">
        <f aca="false">TRIM(SUBSTITUTE($B687,CHAR(160)," "))</f>
        <v>35C M מגן קרסול חום</v>
      </c>
    </row>
    <row r="688" customFormat="false" ht="15" hidden="false" customHeight="true" outlineLevel="0" collapsed="false">
      <c r="A688" s="8" t="n">
        <v>4413052</v>
      </c>
      <c r="B688" s="8" t="s">
        <v>1397</v>
      </c>
      <c r="C688" s="8" t="str">
        <f aca="false">TRIM(SUBSTITUTE($B688,CHAR(160)," "))</f>
        <v>35C S מגן קרסול חום</v>
      </c>
    </row>
    <row r="689" customFormat="false" ht="15" hidden="false" customHeight="true" outlineLevel="0" collapsed="false">
      <c r="A689" s="8" t="n">
        <v>4413055</v>
      </c>
      <c r="B689" s="8" t="s">
        <v>1400</v>
      </c>
      <c r="C689" s="8" t="str">
        <f aca="false">TRIM(SUBSTITUTE($B689,CHAR(160)," "))</f>
        <v>35C XL מגן קרסול חום</v>
      </c>
    </row>
    <row r="690" customFormat="false" ht="15" hidden="false" customHeight="true" outlineLevel="0" collapsed="false">
      <c r="A690" s="8" t="n">
        <v>4413530</v>
      </c>
      <c r="B690" s="8" t="s">
        <v>1618</v>
      </c>
      <c r="C690" s="8" t="str">
        <f aca="false">TRIM(SUBSTITUTE($B690,CHAR(160)," "))</f>
        <v>35C XXL מגן קרסול חום</v>
      </c>
    </row>
    <row r="691" customFormat="false" ht="15" hidden="false" customHeight="true" outlineLevel="0" collapsed="false">
      <c r="A691" s="8" t="n">
        <v>4413326</v>
      </c>
      <c r="B691" s="8" t="s">
        <v>1523</v>
      </c>
      <c r="C691" s="8" t="str">
        <f aca="false">TRIM(SUBSTITUTE($B691,CHAR(160)," "))</f>
        <v>AC37 מגן קרסול נושם</v>
      </c>
    </row>
    <row r="692" customFormat="false" ht="15" hidden="false" customHeight="true" outlineLevel="0" collapsed="false">
      <c r="A692" s="8" t="n">
        <v>4413534</v>
      </c>
      <c r="B692" s="8" t="s">
        <v>1619</v>
      </c>
      <c r="C692" s="8" t="str">
        <f aca="false">TRIM(SUBSTITUTE($B692,CHAR(160)," "))</f>
        <v>SH333 מקבע קרסול</v>
      </c>
    </row>
    <row r="693" customFormat="false" ht="15" hidden="false" customHeight="true" outlineLevel="0" collapsed="false">
      <c r="A693" s="8" t="n">
        <v>4408269</v>
      </c>
      <c r="B693" s="8" t="s">
        <v>1757</v>
      </c>
      <c r="C693" s="8" t="str">
        <f aca="false">TRIM(SUBSTITUTE($B693,CHAR(160)," "))</f>
        <v>ST37 חבק לקרסול</v>
      </c>
    </row>
    <row r="694" customFormat="false" ht="15" hidden="false" customHeight="true" outlineLevel="0" collapsed="false">
      <c r="A694" s="8" t="n">
        <v>4415105</v>
      </c>
      <c r="B694" s="8" t="s">
        <v>1976</v>
      </c>
      <c r="C694" s="8" t="str">
        <f aca="false">TRIM(SUBSTITUTE($B694,CHAR(160)," "))</f>
        <v>T32 S סד קרסול+מוטות אלומיניום</v>
      </c>
    </row>
    <row r="695" customFormat="false" ht="15" hidden="false" customHeight="true" outlineLevel="0" collapsed="false">
      <c r="A695" s="8" t="n">
        <v>4415084</v>
      </c>
      <c r="B695" s="8" t="s">
        <v>1648</v>
      </c>
      <c r="C695" s="8" t="str">
        <f aca="false">TRIM(SUBSTITUTE($B695,CHAR(160)," "))</f>
        <v>T33 L סד לקרסול</v>
      </c>
    </row>
    <row r="696" customFormat="false" ht="15" hidden="false" customHeight="true" outlineLevel="0" collapsed="false">
      <c r="A696" s="8" t="n">
        <v>4415083</v>
      </c>
      <c r="B696" s="8" t="s">
        <v>1647</v>
      </c>
      <c r="C696" s="8" t="str">
        <f aca="false">TRIM(SUBSTITUTE($B696,CHAR(160)," "))</f>
        <v>T33 M סד לקרסול</v>
      </c>
    </row>
    <row r="697" customFormat="false" ht="15" hidden="false" customHeight="true" outlineLevel="0" collapsed="false">
      <c r="A697" s="8" t="n">
        <v>4415120</v>
      </c>
      <c r="B697" s="8" t="s">
        <v>1652</v>
      </c>
      <c r="C697" s="8" t="str">
        <f aca="false">TRIM(SUBSTITUTE($B697,CHAR(160)," "))</f>
        <v>T33 XXL סד לקרסול</v>
      </c>
    </row>
    <row r="698" customFormat="false" ht="15" hidden="false" customHeight="true" outlineLevel="0" collapsed="false">
      <c r="A698" s="8" t="n">
        <v>4413217</v>
      </c>
      <c r="B698" s="8" t="s">
        <v>1783</v>
      </c>
      <c r="C698" s="8" t="str">
        <f aca="false">TRIM(SUBSTITUTE($B698,CHAR(160)," "))</f>
        <v>T35 Lמגן קרסול+ צמדן</v>
      </c>
    </row>
    <row r="699" customFormat="false" ht="15" hidden="false" customHeight="true" outlineLevel="0" collapsed="false">
      <c r="A699" s="8" t="n">
        <v>4413216</v>
      </c>
      <c r="B699" s="8" t="s">
        <v>1782</v>
      </c>
      <c r="C699" s="8" t="str">
        <f aca="false">TRIM(SUBSTITUTE($B699,CHAR(160)," "))</f>
        <v>T35 Mמגן קרסול+ צמדן</v>
      </c>
    </row>
    <row r="700" customFormat="false" ht="15" hidden="false" customHeight="true" outlineLevel="0" collapsed="false">
      <c r="A700" s="8" t="n">
        <v>4413215</v>
      </c>
      <c r="B700" s="8" t="s">
        <v>1977</v>
      </c>
      <c r="C700" s="8" t="str">
        <f aca="false">TRIM(SUBSTITUTE($B700,CHAR(160)," "))</f>
        <v>T35 Sמגן קרסול+ צמדן</v>
      </c>
    </row>
    <row r="701" customFormat="false" ht="15" hidden="false" customHeight="true" outlineLevel="0" collapsed="false">
      <c r="A701" s="8" t="n">
        <v>4413218</v>
      </c>
      <c r="B701" s="8" t="s">
        <v>1784</v>
      </c>
      <c r="C701" s="8" t="str">
        <f aca="false">TRIM(SUBSTITUTE($B701,CHAR(160)," "))</f>
        <v>T35 XLמגן קרסול+ צמדן</v>
      </c>
    </row>
    <row r="702" customFormat="false" ht="15" hidden="false" customHeight="true" outlineLevel="0" collapsed="false">
      <c r="A702" s="8" t="n">
        <v>4420036</v>
      </c>
      <c r="B702" s="8" t="s">
        <v>1719</v>
      </c>
      <c r="C702" s="8" t="str">
        <f aca="false">TRIM(SUBSTITUTE($B702,CHAR(160)," "))</f>
        <v>301CM 41-45 'רפידת ג'ל בז</v>
      </c>
    </row>
    <row r="703" customFormat="false" ht="15" hidden="false" customHeight="true" outlineLevel="0" collapsed="false">
      <c r="A703" s="8" t="n">
        <v>4420035</v>
      </c>
      <c r="B703" s="8" t="s">
        <v>1718</v>
      </c>
      <c r="C703" s="8" t="str">
        <f aca="false">TRIM(SUBSTITUTE($B703,CHAR(160)," "))</f>
        <v>301CW 36-40 'רפידת ג'ל בז</v>
      </c>
    </row>
    <row r="704" customFormat="false" ht="15" hidden="false" customHeight="true" outlineLevel="0" collapsed="false">
      <c r="A704" s="8" t="n">
        <v>4420038</v>
      </c>
      <c r="B704" s="8" t="s">
        <v>1978</v>
      </c>
      <c r="C704" s="8" t="str">
        <f aca="false">TRIM(SUBSTITUTE($B704,CHAR(160)," "))</f>
        <v>301JM רפידת ג'ל כחול40-45</v>
      </c>
    </row>
    <row r="705" customFormat="false" ht="15" hidden="false" customHeight="true" outlineLevel="0" collapsed="false">
      <c r="A705" s="8" t="n">
        <v>4420037</v>
      </c>
      <c r="B705" s="8" t="s">
        <v>1720</v>
      </c>
      <c r="C705" s="8" t="str">
        <f aca="false">TRIM(SUBSTITUTE($B705,CHAR(160)," "))</f>
        <v>301JW רפידת ג'ל כחול36-40</v>
      </c>
    </row>
    <row r="706" customFormat="false" ht="15" hidden="false" customHeight="true" outlineLevel="0" collapsed="false">
      <c r="A706" s="8" t="n">
        <v>4420028</v>
      </c>
      <c r="B706" s="8" t="s">
        <v>1713</v>
      </c>
      <c r="C706" s="8" t="str">
        <f aca="false">TRIM(SUBSTITUTE($B706,CHAR(160)," "))</f>
        <v>35-37 רפידת ספורט 376 מידה</v>
      </c>
    </row>
    <row r="707" customFormat="false" ht="15" hidden="false" customHeight="true" outlineLevel="0" collapsed="false">
      <c r="A707" s="8" t="n">
        <v>4420000</v>
      </c>
      <c r="B707" s="8" t="s">
        <v>1694</v>
      </c>
      <c r="C707" s="8" t="str">
        <f aca="false">TRIM(SUBSTITUTE($B707,CHAR(160)," "))</f>
        <v>370 רפידת נוחות-זוג</v>
      </c>
    </row>
    <row r="708" customFormat="false" ht="15" hidden="false" customHeight="true" outlineLevel="0" collapsed="false">
      <c r="A708" s="8" t="n">
        <v>4420027</v>
      </c>
      <c r="B708" s="8" t="s">
        <v>1712</v>
      </c>
      <c r="C708" s="8" t="str">
        <f aca="false">TRIM(SUBSTITUTE($B708,CHAR(160)," "))</f>
        <v>370K 0 רפידת לילדים אנטי ריח</v>
      </c>
    </row>
    <row r="709" customFormat="false" ht="15" hidden="false" customHeight="true" outlineLevel="0" collapsed="false">
      <c r="A709" s="8" t="n">
        <v>4420001</v>
      </c>
      <c r="B709" s="8" t="s">
        <v>1695</v>
      </c>
      <c r="C709" s="8" t="str">
        <f aca="false">TRIM(SUBSTITUTE($B709,CHAR(160)," "))</f>
        <v>371 רפידת מגבת כותנה-זוג</v>
      </c>
    </row>
    <row r="710" customFormat="false" ht="15" hidden="false" customHeight="true" outlineLevel="0" collapsed="false">
      <c r="A710" s="8" t="n">
        <v>4420002</v>
      </c>
      <c r="B710" s="8" t="s">
        <v>1696</v>
      </c>
      <c r="C710" s="8" t="str">
        <f aca="false">TRIM(SUBSTITUTE($B710,CHAR(160)," "))</f>
        <v>372 רפידת אנטי ריח -זוג</v>
      </c>
    </row>
    <row r="711" customFormat="false" ht="15" hidden="false" customHeight="true" outlineLevel="0" collapsed="false">
      <c r="A711" s="8" t="n">
        <v>4420003</v>
      </c>
      <c r="B711" s="8" t="s">
        <v>1697</v>
      </c>
      <c r="C711" s="8" t="str">
        <f aca="false">TRIM(SUBSTITUTE($B711,CHAR(160)," "))</f>
        <v>374 רפידת בולמת זעזועים -זוג</v>
      </c>
    </row>
    <row r="712" customFormat="false" ht="15" hidden="false" customHeight="true" outlineLevel="0" collapsed="false">
      <c r="A712" s="8" t="n">
        <v>4420007</v>
      </c>
      <c r="B712" s="8" t="s">
        <v>1700</v>
      </c>
      <c r="C712" s="8" t="str">
        <f aca="false">TRIM(SUBSTITUTE($B712,CHAR(160)," "))</f>
        <v>377 רפ.ורטופדית ספורט זוג38</v>
      </c>
    </row>
    <row r="713" customFormat="false" ht="15" hidden="false" customHeight="true" outlineLevel="0" collapsed="false">
      <c r="A713" s="8" t="n">
        <v>4420012</v>
      </c>
      <c r="B713" s="8" t="s">
        <v>1704</v>
      </c>
      <c r="C713" s="8" t="str">
        <f aca="false">TRIM(SUBSTITUTE($B713,CHAR(160)," "))</f>
        <v>377 רפידה אורט.ספורט זוג43</v>
      </c>
    </row>
    <row r="714" customFormat="false" ht="15" hidden="false" customHeight="true" outlineLevel="0" collapsed="false">
      <c r="A714" s="8" t="n">
        <v>4420004</v>
      </c>
      <c r="B714" s="8" t="s">
        <v>1698</v>
      </c>
      <c r="C714" s="8" t="str">
        <f aca="false">TRIM(SUBSTITUTE($B714,CHAR(160)," "))</f>
        <v>377 רפ.אורטופדית ספורט זוג35</v>
      </c>
    </row>
    <row r="715" customFormat="false" ht="15" hidden="false" customHeight="true" outlineLevel="0" collapsed="false">
      <c r="A715" s="8" t="n">
        <v>4420006</v>
      </c>
      <c r="B715" s="8" t="s">
        <v>1789</v>
      </c>
      <c r="C715" s="8" t="str">
        <f aca="false">TRIM(SUBSTITUTE($B715,CHAR(160)," "))</f>
        <v>377 רפ.אורטופדית ספורט זוג37</v>
      </c>
    </row>
    <row r="716" customFormat="false" ht="15" hidden="false" customHeight="true" outlineLevel="0" collapsed="false">
      <c r="A716" s="8" t="n">
        <v>4420008</v>
      </c>
      <c r="B716" s="8" t="s">
        <v>1701</v>
      </c>
      <c r="C716" s="8" t="str">
        <f aca="false">TRIM(SUBSTITUTE($B716,CHAR(160)," "))</f>
        <v>377 רפ.אורטופדית ספורט זוג39</v>
      </c>
    </row>
    <row r="717" customFormat="false" ht="15" hidden="false" customHeight="true" outlineLevel="0" collapsed="false">
      <c r="A717" s="8" t="n">
        <v>4420009</v>
      </c>
      <c r="B717" s="8" t="s">
        <v>1702</v>
      </c>
      <c r="C717" s="8" t="str">
        <f aca="false">TRIM(SUBSTITUTE($B717,CHAR(160)," "))</f>
        <v>377 רפ.אורטופדית ספורט זוג40</v>
      </c>
    </row>
    <row r="718" customFormat="false" ht="15" hidden="false" customHeight="true" outlineLevel="0" collapsed="false">
      <c r="A718" s="8" t="n">
        <v>4420015</v>
      </c>
      <c r="B718" s="8" t="s">
        <v>1820</v>
      </c>
      <c r="C718" s="8" t="str">
        <f aca="false">TRIM(SUBSTITUTE($B718,CHAR(160)," "))</f>
        <v>377 רפ.אורטופדית ספורט זוג46</v>
      </c>
    </row>
    <row r="719" customFormat="false" ht="15" hidden="false" customHeight="true" outlineLevel="0" collapsed="false">
      <c r="A719" s="8" t="n">
        <v>4420013</v>
      </c>
      <c r="B719" s="8" t="s">
        <v>1791</v>
      </c>
      <c r="C719" s="8" t="str">
        <f aca="false">TRIM(SUBSTITUTE($B719,CHAR(160)," "))</f>
        <v>377 רפידה אורט.ספורט זוג44</v>
      </c>
    </row>
    <row r="720" customFormat="false" ht="15" hidden="false" customHeight="true" outlineLevel="0" collapsed="false">
      <c r="A720" s="8" t="n">
        <v>4420010</v>
      </c>
      <c r="B720" s="8" t="s">
        <v>1703</v>
      </c>
      <c r="C720" s="8" t="str">
        <f aca="false">TRIM(SUBSTITUTE($B720,CHAR(160)," "))</f>
        <v>377 רפידה אורטופ.ספורט זוג41</v>
      </c>
    </row>
    <row r="721" customFormat="false" ht="15" hidden="false" customHeight="true" outlineLevel="0" collapsed="false">
      <c r="A721" s="8" t="n">
        <v>4420005</v>
      </c>
      <c r="B721" s="8" t="s">
        <v>1699</v>
      </c>
      <c r="C721" s="8" t="str">
        <f aca="false">TRIM(SUBSTITUTE($B721,CHAR(160)," "))</f>
        <v>377 רפ.אורטופדית ספורט זוג36</v>
      </c>
    </row>
    <row r="722" customFormat="false" ht="15" hidden="false" customHeight="true" outlineLevel="0" collapsed="false">
      <c r="A722" s="8" t="n">
        <v>4420014</v>
      </c>
      <c r="B722" s="8" t="s">
        <v>1819</v>
      </c>
      <c r="C722" s="8" t="str">
        <f aca="false">TRIM(SUBSTITUTE($B722,CHAR(160)," "))</f>
        <v>377 רפ.אורטופדית ספורט זוג45</v>
      </c>
    </row>
    <row r="723" customFormat="false" ht="15" hidden="false" customHeight="true" outlineLevel="0" collapsed="false">
      <c r="A723" s="8" t="n">
        <v>4420011</v>
      </c>
      <c r="B723" s="8" t="s">
        <v>1790</v>
      </c>
      <c r="C723" s="8" t="str">
        <f aca="false">TRIM(SUBSTITUTE($B723,CHAR(160)," "))</f>
        <v>377 רפידה אורטופ.ספורט זוג42</v>
      </c>
    </row>
    <row r="724" customFormat="false" ht="15" hidden="false" customHeight="true" outlineLevel="0" collapsed="false">
      <c r="A724" s="8" t="n">
        <v>4420029</v>
      </c>
      <c r="B724" s="8" t="s">
        <v>1979</v>
      </c>
      <c r="C724" s="8" t="str">
        <f aca="false">TRIM(SUBSTITUTE($B724,CHAR(160)," "))</f>
        <v>38-40 רפידת ספורט 376 מידה</v>
      </c>
    </row>
    <row r="725" customFormat="false" ht="15" hidden="false" customHeight="true" outlineLevel="0" collapsed="false">
      <c r="A725" s="8" t="n">
        <v>4420030</v>
      </c>
      <c r="B725" s="8" t="s">
        <v>1714</v>
      </c>
      <c r="C725" s="8" t="str">
        <f aca="false">TRIM(SUBSTITUTE($B725,CHAR(160)," "))</f>
        <v>41-43 רפידת ספורט 376 מידה</v>
      </c>
    </row>
    <row r="726" customFormat="false" ht="15" hidden="false" customHeight="true" outlineLevel="0" collapsed="false">
      <c r="A726" s="8" t="n">
        <v>4420031</v>
      </c>
      <c r="B726" s="8" t="s">
        <v>1715</v>
      </c>
      <c r="C726" s="8" t="str">
        <f aca="false">TRIM(SUBSTITUTE($B726,CHAR(160)," "))</f>
        <v>44-45 רפידת ספורט 376 מידה</v>
      </c>
    </row>
    <row r="727" customFormat="false" ht="15" hidden="false" customHeight="true" outlineLevel="0" collapsed="false">
      <c r="A727" s="8" t="n">
        <v>4420032</v>
      </c>
      <c r="B727" s="8" t="s">
        <v>1716</v>
      </c>
      <c r="C727" s="8" t="str">
        <f aca="false">TRIM(SUBSTITUTE($B727,CHAR(160)," "))</f>
        <v>46-47 רפידת ספורט 376 מידה</v>
      </c>
    </row>
    <row r="728" customFormat="false" ht="15" hidden="false" customHeight="true" outlineLevel="0" collapsed="false">
      <c r="A728" s="8" t="n">
        <v>4420033</v>
      </c>
      <c r="B728" s="8" t="s">
        <v>1980</v>
      </c>
      <c r="C728" s="8" t="str">
        <f aca="false">TRIM(SUBSTITUTE($B728,CHAR(160)," "))</f>
        <v>SP372 רפידה אנטי ריח ספורט</v>
      </c>
    </row>
    <row r="729" customFormat="false" ht="15" hidden="false" customHeight="true" outlineLevel="0" collapsed="false">
      <c r="A729" s="8" t="n">
        <v>4413112</v>
      </c>
      <c r="B729" s="8" t="s">
        <v>1442</v>
      </c>
      <c r="C729" s="8" t="str">
        <f aca="false">TRIM(SUBSTITUTE($B729,CHAR(160)," "))</f>
        <v>49 L מגן ירך</v>
      </c>
    </row>
    <row r="730" customFormat="false" ht="15" hidden="false" customHeight="true" outlineLevel="0" collapsed="false">
      <c r="A730" s="8" t="n">
        <v>4413113</v>
      </c>
      <c r="B730" s="8" t="s">
        <v>1443</v>
      </c>
      <c r="C730" s="8" t="str">
        <f aca="false">TRIM(SUBSTITUTE($B730,CHAR(160)," "))</f>
        <v>49 M מגן ירך</v>
      </c>
    </row>
    <row r="731" customFormat="false" ht="15" hidden="false" customHeight="true" outlineLevel="0" collapsed="false">
      <c r="A731" s="8" t="n">
        <v>4413111</v>
      </c>
      <c r="B731" s="8" t="s">
        <v>1441</v>
      </c>
      <c r="C731" s="8" t="str">
        <f aca="false">TRIM(SUBSTITUTE($B731,CHAR(160)," "))</f>
        <v>49 S מגן ירך</v>
      </c>
    </row>
    <row r="732" customFormat="false" ht="15" hidden="false" customHeight="true" outlineLevel="0" collapsed="false">
      <c r="A732" s="8" t="n">
        <v>4413114</v>
      </c>
      <c r="B732" s="8" t="s">
        <v>1444</v>
      </c>
      <c r="C732" s="8" t="str">
        <f aca="false">TRIM(SUBSTITUTE($B732,CHAR(160)," "))</f>
        <v>49 XL מגן ירך</v>
      </c>
    </row>
    <row r="733" customFormat="false" ht="15" hidden="false" customHeight="true" outlineLevel="0" collapsed="false">
      <c r="A733" s="8" t="n">
        <v>4413115</v>
      </c>
      <c r="B733" s="8" t="s">
        <v>1445</v>
      </c>
      <c r="C733" s="8" t="str">
        <f aca="false">TRIM(SUBSTITUTE($B733,CHAR(160)," "))</f>
        <v>49 XXL מגן ירך</v>
      </c>
    </row>
    <row r="734" customFormat="false" ht="15" hidden="false" customHeight="true" outlineLevel="0" collapsed="false">
      <c r="A734" s="8" t="n">
        <v>4413330</v>
      </c>
      <c r="B734" s="8" t="s">
        <v>1526</v>
      </c>
      <c r="C734" s="8" t="str">
        <f aca="false">TRIM(SUBSTITUTE($B734,CHAR(160)," "))</f>
        <v>AC49 מגן ירך</v>
      </c>
    </row>
    <row r="735" customFormat="false" ht="15" hidden="false" customHeight="true" outlineLevel="0" collapsed="false">
      <c r="A735" s="8" t="n">
        <v>4413533</v>
      </c>
      <c r="B735" s="8" t="s">
        <v>1762</v>
      </c>
      <c r="C735" s="8" t="str">
        <f aca="false">TRIM(SUBSTITUTE($B735,CHAR(160)," "))</f>
        <v>ST49 מגן ירך</v>
      </c>
    </row>
    <row r="736" customFormat="false" ht="15" hidden="false" customHeight="true" outlineLevel="0" collapsed="false">
      <c r="A736" s="8" t="n">
        <v>4413179</v>
      </c>
      <c r="B736" s="8" t="s">
        <v>1497</v>
      </c>
      <c r="C736" s="8" t="str">
        <f aca="false">TRIM(SUBSTITUTE($B736,CHAR(160)," "))</f>
        <v>T39 M מגן שוק</v>
      </c>
    </row>
    <row r="737" customFormat="false" ht="15" hidden="false" customHeight="true" outlineLevel="0" collapsed="false">
      <c r="A737" s="8" t="n">
        <v>4413180</v>
      </c>
      <c r="B737" s="8" t="s">
        <v>1779</v>
      </c>
      <c r="C737" s="8" t="str">
        <f aca="false">TRIM(SUBSTITUTE($B737,CHAR(160)," "))</f>
        <v>T39 S מגן שוק</v>
      </c>
    </row>
    <row r="738" customFormat="false" ht="15" hidden="false" customHeight="true" outlineLevel="0" collapsed="false">
      <c r="A738" s="8" t="n">
        <v>4413178</v>
      </c>
      <c r="B738" s="8" t="s">
        <v>1496</v>
      </c>
      <c r="C738" s="8" t="str">
        <f aca="false">TRIM(SUBSTITUTE($B738,CHAR(160)," "))</f>
        <v>T39 XL מגן שוק</v>
      </c>
    </row>
    <row r="739" customFormat="false" ht="15" hidden="false" customHeight="true" outlineLevel="0" collapsed="false">
      <c r="A739" s="8" t="n">
        <v>4413234</v>
      </c>
      <c r="B739" s="8" t="s">
        <v>1981</v>
      </c>
      <c r="C739" s="8" t="str">
        <f aca="false">TRIM(SUBSTITUTE($B739,CHAR(160)," "))</f>
        <v>T49 M מגן ירך</v>
      </c>
    </row>
    <row r="740" customFormat="false" ht="15" hidden="false" customHeight="true" outlineLevel="0" collapsed="false">
      <c r="A740" s="8" t="n">
        <v>4413402</v>
      </c>
      <c r="B740" s="8" t="s">
        <v>1982</v>
      </c>
      <c r="C740" s="8" t="str">
        <f aca="false">TRIM(SUBSTITUTE($B740,CHAR(160)," "))</f>
        <v>T49 XS מגן ירך</v>
      </c>
    </row>
    <row r="741" customFormat="false" ht="15" hidden="false" customHeight="true" outlineLevel="0" collapsed="false">
      <c r="A741" s="8" t="n">
        <v>4408207</v>
      </c>
      <c r="B741" s="8" t="s">
        <v>1312</v>
      </c>
      <c r="C741" s="8" t="str">
        <f aca="false">TRIM(SUBSTITUTE($B741,CHAR(160)," "))</f>
        <v>AC-25 חבק לשורש כף היד</v>
      </c>
    </row>
    <row r="742" customFormat="false" ht="15" hidden="false" customHeight="true" outlineLevel="0" collapsed="false">
      <c r="A742" s="8" t="n">
        <v>4415026</v>
      </c>
      <c r="B742" s="8" t="s">
        <v>1634</v>
      </c>
      <c r="C742" s="8" t="str">
        <f aca="false">TRIM(SUBSTITUTE($B742,CHAR(160)," "))</f>
        <v>AC-27L סד לש.כף יד שמאל</v>
      </c>
    </row>
    <row r="743" customFormat="false" ht="15" hidden="false" customHeight="true" outlineLevel="0" collapsed="false">
      <c r="A743" s="8" t="n">
        <v>4415027</v>
      </c>
      <c r="B743" s="8" t="s">
        <v>1635</v>
      </c>
      <c r="C743" s="8" t="str">
        <f aca="false">TRIM(SUBSTITUTE($B743,CHAR(160)," "))</f>
        <v>AC-27R סד לש.כף יד ימין</v>
      </c>
    </row>
    <row r="744" customFormat="false" ht="15" hidden="false" customHeight="true" outlineLevel="0" collapsed="false">
      <c r="A744" s="8" t="n">
        <v>4408249</v>
      </c>
      <c r="B744" s="8" t="s">
        <v>1333</v>
      </c>
      <c r="C744" s="8" t="str">
        <f aca="false">TRIM(SUBSTITUTE($B744,CHAR(160)," "))</f>
        <v>SC25 L חבק יד</v>
      </c>
    </row>
    <row r="745" customFormat="false" ht="15" hidden="false" customHeight="true" outlineLevel="0" collapsed="false">
      <c r="A745" s="8" t="n">
        <v>4408248</v>
      </c>
      <c r="B745" s="8" t="s">
        <v>1332</v>
      </c>
      <c r="C745" s="8" t="str">
        <f aca="false">TRIM(SUBSTITUTE($B745,CHAR(160)," "))</f>
        <v>SC25 M חבק יד</v>
      </c>
    </row>
    <row r="746" customFormat="false" ht="15" hidden="false" customHeight="true" outlineLevel="0" collapsed="false">
      <c r="A746" s="8" t="n">
        <v>4408247</v>
      </c>
      <c r="B746" s="8" t="s">
        <v>1331</v>
      </c>
      <c r="C746" s="8" t="str">
        <f aca="false">TRIM(SUBSTITUTE($B746,CHAR(160)," "))</f>
        <v>SC25 S חבק יד</v>
      </c>
    </row>
    <row r="747" customFormat="false" ht="15" hidden="false" customHeight="true" outlineLevel="0" collapsed="false">
      <c r="A747" s="8" t="n">
        <v>4408250</v>
      </c>
      <c r="B747" s="8" t="s">
        <v>1334</v>
      </c>
      <c r="C747" s="8" t="str">
        <f aca="false">TRIM(SUBSTITUTE($B747,CHAR(160)," "))</f>
        <v>SC25 XL חבק יד</v>
      </c>
    </row>
    <row r="748" customFormat="false" ht="15" hidden="false" customHeight="true" outlineLevel="0" collapsed="false">
      <c r="A748" s="8" t="n">
        <v>4413422</v>
      </c>
      <c r="B748" s="8" t="s">
        <v>1568</v>
      </c>
      <c r="C748" s="8" t="str">
        <f aca="false">TRIM(SUBSTITUTE($B748,CHAR(160)," "))</f>
        <v>SC35L L מגן קרסול שמאל</v>
      </c>
    </row>
    <row r="749" customFormat="false" ht="15" hidden="false" customHeight="true" outlineLevel="0" collapsed="false">
      <c r="A749" s="8" t="n">
        <v>4413421</v>
      </c>
      <c r="B749" s="8" t="s">
        <v>1567</v>
      </c>
      <c r="C749" s="8" t="str">
        <f aca="false">TRIM(SUBSTITUTE($B749,CHAR(160)," "))</f>
        <v>SC35L M מגן קרסול שמאל</v>
      </c>
    </row>
    <row r="750" customFormat="false" ht="15" hidden="false" customHeight="true" outlineLevel="0" collapsed="false">
      <c r="A750" s="8" t="n">
        <v>4413420</v>
      </c>
      <c r="B750" s="8" t="s">
        <v>1566</v>
      </c>
      <c r="C750" s="8" t="str">
        <f aca="false">TRIM(SUBSTITUTE($B750,CHAR(160)," "))</f>
        <v>SC35L S מגן קרסול שמאל</v>
      </c>
    </row>
    <row r="751" customFormat="false" ht="15" hidden="false" customHeight="true" outlineLevel="0" collapsed="false">
      <c r="A751" s="8" t="n">
        <v>4413423</v>
      </c>
      <c r="B751" s="8" t="s">
        <v>1569</v>
      </c>
      <c r="C751" s="8" t="str">
        <f aca="false">TRIM(SUBSTITUTE($B751,CHAR(160)," "))</f>
        <v>SC35L XL מגן קרסול שמאל</v>
      </c>
    </row>
    <row r="752" customFormat="false" ht="15" hidden="false" customHeight="true" outlineLevel="0" collapsed="false">
      <c r="A752" s="8" t="n">
        <v>4413426</v>
      </c>
      <c r="B752" s="8" t="s">
        <v>1572</v>
      </c>
      <c r="C752" s="8" t="str">
        <f aca="false">TRIM(SUBSTITUTE($B752,CHAR(160)," "))</f>
        <v>SC35R L מגן קרסול ימין</v>
      </c>
    </row>
    <row r="753" customFormat="false" ht="15" hidden="false" customHeight="true" outlineLevel="0" collapsed="false">
      <c r="A753" s="8" t="n">
        <v>4413425</v>
      </c>
      <c r="B753" s="8" t="s">
        <v>1571</v>
      </c>
      <c r="C753" s="8" t="str">
        <f aca="false">TRIM(SUBSTITUTE($B753,CHAR(160)," "))</f>
        <v>SC35R M מגן קרסול ימין</v>
      </c>
    </row>
    <row r="754" customFormat="false" ht="15" hidden="false" customHeight="true" outlineLevel="0" collapsed="false">
      <c r="A754" s="8" t="n">
        <v>4413424</v>
      </c>
      <c r="B754" s="8" t="s">
        <v>1570</v>
      </c>
      <c r="C754" s="8" t="str">
        <f aca="false">TRIM(SUBSTITUTE($B754,CHAR(160)," "))</f>
        <v>SC35R S מגן קרסול ימין</v>
      </c>
    </row>
    <row r="755" customFormat="false" ht="15" hidden="false" customHeight="true" outlineLevel="0" collapsed="false">
      <c r="A755" s="8" t="n">
        <v>4413427</v>
      </c>
      <c r="B755" s="8" t="s">
        <v>1573</v>
      </c>
      <c r="C755" s="8" t="str">
        <f aca="false">TRIM(SUBSTITUTE($B755,CHAR(160)," "))</f>
        <v>SC35R XLמגן קרסול ימין</v>
      </c>
    </row>
    <row r="756" customFormat="false" ht="15" hidden="false" customHeight="true" outlineLevel="0" collapsed="false">
      <c r="A756" s="8" t="n">
        <v>4413417</v>
      </c>
      <c r="B756" s="8" t="s">
        <v>1563</v>
      </c>
      <c r="C756" s="8" t="str">
        <f aca="false">TRIM(SUBSTITUTE($B756,CHAR(160)," "))</f>
        <v>SC39 L מגן שוק</v>
      </c>
    </row>
    <row r="757" customFormat="false" ht="15" hidden="false" customHeight="true" outlineLevel="0" collapsed="false">
      <c r="A757" s="8" t="n">
        <v>4413416</v>
      </c>
      <c r="B757" s="8" t="s">
        <v>1562</v>
      </c>
      <c r="C757" s="8" t="str">
        <f aca="false">TRIM(SUBSTITUTE($B757,CHAR(160)," "))</f>
        <v>SC39 M מגן שוק</v>
      </c>
    </row>
    <row r="758" customFormat="false" ht="15" hidden="false" customHeight="true" outlineLevel="0" collapsed="false">
      <c r="A758" s="8" t="n">
        <v>4413415</v>
      </c>
      <c r="B758" s="8" t="s">
        <v>1561</v>
      </c>
      <c r="C758" s="8" t="str">
        <f aca="false">TRIM(SUBSTITUTE($B758,CHAR(160)," "))</f>
        <v>SC39 S מגן שוק</v>
      </c>
    </row>
    <row r="759" customFormat="false" ht="15" hidden="false" customHeight="true" outlineLevel="0" collapsed="false">
      <c r="A759" s="8" t="n">
        <v>4413418</v>
      </c>
      <c r="B759" s="8" t="s">
        <v>1564</v>
      </c>
      <c r="C759" s="8" t="str">
        <f aca="false">TRIM(SUBSTITUTE($B759,CHAR(160)," "))</f>
        <v>SC39 XL מגן שוק</v>
      </c>
    </row>
    <row r="760" customFormat="false" ht="15" hidden="false" customHeight="true" outlineLevel="0" collapsed="false">
      <c r="A760" s="8" t="n">
        <v>4413419</v>
      </c>
      <c r="B760" s="8" t="s">
        <v>1565</v>
      </c>
      <c r="C760" s="8" t="str">
        <f aca="false">TRIM(SUBSTITUTE($B760,CHAR(160)," "))</f>
        <v>SC39 XXLמגן שוק</v>
      </c>
    </row>
    <row r="761" customFormat="false" ht="15" hidden="false" customHeight="true" outlineLevel="0" collapsed="false">
      <c r="A761" s="8" t="n">
        <v>4413440</v>
      </c>
      <c r="B761" s="8" t="s">
        <v>1576</v>
      </c>
      <c r="C761" s="8" t="str">
        <f aca="false">TRIM(SUBSTITUTE($B761,CHAR(160)," "))</f>
        <v>SC422 L מגן ברך</v>
      </c>
    </row>
    <row r="762" customFormat="false" ht="15" hidden="false" customHeight="true" outlineLevel="0" collapsed="false">
      <c r="A762" s="8" t="n">
        <v>4413439</v>
      </c>
      <c r="B762" s="8" t="s">
        <v>1575</v>
      </c>
      <c r="C762" s="8" t="str">
        <f aca="false">TRIM(SUBSTITUTE($B762,CHAR(160)," "))</f>
        <v>SC422 M מגן ברך</v>
      </c>
    </row>
    <row r="763" customFormat="false" ht="15" hidden="false" customHeight="true" outlineLevel="0" collapsed="false">
      <c r="A763" s="8" t="n">
        <v>4413441</v>
      </c>
      <c r="B763" s="8" t="s">
        <v>1577</v>
      </c>
      <c r="C763" s="8" t="str">
        <f aca="false">TRIM(SUBSTITUTE($B763,CHAR(160)," "))</f>
        <v>SC422 XL מגן ברך</v>
      </c>
    </row>
    <row r="764" customFormat="false" ht="15" hidden="false" customHeight="true" outlineLevel="0" collapsed="false">
      <c r="A764" s="8" t="n">
        <v>4413407</v>
      </c>
      <c r="B764" s="8" t="s">
        <v>1559</v>
      </c>
      <c r="C764" s="8" t="str">
        <f aca="false">TRIM(SUBSTITUTE($B764,CHAR(160)," "))</f>
        <v>SC95 L מגן מרפק</v>
      </c>
    </row>
    <row r="765" customFormat="false" ht="15" hidden="false" customHeight="true" outlineLevel="0" collapsed="false">
      <c r="A765" s="8" t="n">
        <v>4413406</v>
      </c>
      <c r="B765" s="8" t="s">
        <v>1558</v>
      </c>
      <c r="C765" s="8" t="str">
        <f aca="false">TRIM(SUBSTITUTE($B765,CHAR(160)," "))</f>
        <v>SC95 M מגן מרפק</v>
      </c>
    </row>
    <row r="766" customFormat="false" ht="15" hidden="false" customHeight="true" outlineLevel="0" collapsed="false">
      <c r="A766" s="8" t="n">
        <v>4413408</v>
      </c>
      <c r="B766" s="8" t="s">
        <v>1560</v>
      </c>
      <c r="C766" s="8" t="str">
        <f aca="false">TRIM(SUBSTITUTE($B766,CHAR(160)," "))</f>
        <v>SC95 XLמגן מרפק</v>
      </c>
    </row>
    <row r="767" customFormat="false" ht="15" hidden="false" customHeight="true" outlineLevel="0" collapsed="false">
      <c r="A767" s="8" t="n">
        <v>4413181</v>
      </c>
      <c r="B767" s="8" t="s">
        <v>1498</v>
      </c>
      <c r="C767" s="8" t="str">
        <f aca="false">TRIM(SUBSTITUTE($B767,CHAR(160)," "))</f>
        <v>T39 L מגן שוק</v>
      </c>
    </row>
    <row r="768" customFormat="false" ht="15" hidden="false" customHeight="true" outlineLevel="0" collapsed="false">
      <c r="A768" s="8" t="n">
        <v>4420034</v>
      </c>
      <c r="B768" s="8" t="s">
        <v>1717</v>
      </c>
      <c r="C768" s="8" t="str">
        <f aca="false">TRIM(SUBSTITUTE($B768,CHAR(160)," "))</f>
        <v>381 HV רצועה אלסטית</v>
      </c>
    </row>
    <row r="769" customFormat="false" ht="15" hidden="false" customHeight="true" outlineLevel="0" collapsed="false">
      <c r="A769" s="8" t="n">
        <v>4415299</v>
      </c>
      <c r="B769" s="8" t="s">
        <v>1670</v>
      </c>
      <c r="C769" s="8" t="str">
        <f aca="false">TRIM(SUBSTITUTE($B769,CHAR(160)," "))</f>
        <v>388B L סד לילה שחור לבוהן ימין</v>
      </c>
    </row>
    <row r="770" customFormat="false" ht="15" hidden="false" customHeight="true" outlineLevel="0" collapsed="false">
      <c r="A770" s="8" t="n">
        <v>4415298</v>
      </c>
      <c r="B770" s="8" t="s">
        <v>1669</v>
      </c>
      <c r="C770" s="8" t="str">
        <f aca="false">TRIM(SUBSTITUTE($B770,CHAR(160)," "))</f>
        <v>388B L סד לילה שחור לבוהן שמאל</v>
      </c>
    </row>
    <row r="771" customFormat="false" ht="15" hidden="false" customHeight="true" outlineLevel="0" collapsed="false">
      <c r="A771" s="8" t="n">
        <v>4422000</v>
      </c>
      <c r="B771" s="8" t="s">
        <v>1729</v>
      </c>
      <c r="C771" s="8" t="str">
        <f aca="false">TRIM(SUBSTITUTE($B771,CHAR(160)," "))</f>
        <v>801 תחבושת אלסטית מקררת</v>
      </c>
    </row>
    <row r="772" customFormat="false" ht="15" hidden="false" customHeight="true" outlineLevel="0" collapsed="false">
      <c r="A772" s="8" t="n">
        <v>4422023</v>
      </c>
      <c r="B772" s="8" t="s">
        <v>1736</v>
      </c>
      <c r="C772" s="8" t="str">
        <f aca="false">TRIM(SUBSTITUTE($B772,CHAR(160)," "))</f>
        <v>806CB-BEIGE תחבושת א.נצמ</v>
      </c>
    </row>
    <row r="773" customFormat="false" ht="15" hidden="false" customHeight="true" outlineLevel="0" collapsed="false">
      <c r="A773" s="8" t="n">
        <v>4422024</v>
      </c>
      <c r="B773" s="8" t="s">
        <v>1737</v>
      </c>
      <c r="C773" s="8" t="str">
        <f aca="false">TRIM(SUBSTITUTE($B773,CHAR(160)," "))</f>
        <v>806CB-BLACK תחבושת א.נצמ</v>
      </c>
    </row>
    <row r="774" customFormat="false" ht="15" hidden="false" customHeight="true" outlineLevel="0" collapsed="false">
      <c r="A774" s="8" t="n">
        <v>4422025</v>
      </c>
      <c r="B774" s="8" t="s">
        <v>1738</v>
      </c>
      <c r="C774" s="8" t="str">
        <f aca="false">TRIM(SUBSTITUTE($B774,CHAR(160)," "))</f>
        <v>806CB-GREEN תחבושת א.נצמ</v>
      </c>
    </row>
    <row r="775" customFormat="false" ht="15" hidden="false" customHeight="true" outlineLevel="0" collapsed="false">
      <c r="A775" s="8" t="n">
        <v>4422026</v>
      </c>
      <c r="B775" s="8" t="s">
        <v>1739</v>
      </c>
      <c r="C775" s="8" t="str">
        <f aca="false">TRIM(SUBSTITUTE($B775,CHAR(160)," "))</f>
        <v>806CB-PINK תחבושת א.נצמ</v>
      </c>
    </row>
    <row r="776" customFormat="false" ht="15" hidden="false" customHeight="true" outlineLevel="0" collapsed="false">
      <c r="A776" s="8" t="n">
        <v>4422032</v>
      </c>
      <c r="B776" s="8" t="s">
        <v>1741</v>
      </c>
      <c r="C776" s="8" t="str">
        <f aca="false">TRIM(SUBSTITUTE($B776,CHAR(160)," "))</f>
        <v>807B-Bתחבושת נצמדת שחור 20 מ""מ</v>
      </c>
    </row>
    <row r="777" customFormat="false" ht="15" hidden="false" customHeight="true" outlineLevel="0" collapsed="false">
      <c r="A777" s="8" t="n">
        <v>4422033</v>
      </c>
      <c r="B777" s="8" t="s">
        <v>1742</v>
      </c>
      <c r="C777" s="8" t="str">
        <f aca="false">TRIM(SUBSTITUTE($B777,CHAR(160)," "))</f>
        <v>807CB-BLתחבושת נצמדת כחול20מ""מ</v>
      </c>
    </row>
    <row r="778" customFormat="false" ht="15" hidden="false" customHeight="true" outlineLevel="0" collapsed="false">
      <c r="A778" s="8" t="n">
        <v>4422031</v>
      </c>
      <c r="B778" s="8" t="s">
        <v>1740</v>
      </c>
      <c r="C778" s="8" t="str">
        <f aca="false">TRIM(SUBSTITUTE($B778,CHAR(160)," "))</f>
        <v>807CB-Cתחבושת נצמדת בז' 20 מ""מ</v>
      </c>
    </row>
    <row r="779" customFormat="false" ht="15" hidden="false" customHeight="true" outlineLevel="0" collapsed="false">
      <c r="A779" s="8" t="n">
        <v>4422034</v>
      </c>
      <c r="B779" s="8" t="s">
        <v>1743</v>
      </c>
      <c r="C779" s="8" t="str">
        <f aca="false">TRIM(SUBSTITUTE($B779,CHAR(160)," "))</f>
        <v>807CB-P תחבושת נצמדת ורוד 20ממ</v>
      </c>
    </row>
    <row r="780" customFormat="false" ht="15" hidden="false" customHeight="true" outlineLevel="0" collapsed="false">
      <c r="A780" s="8" t="n">
        <v>4422027</v>
      </c>
      <c r="B780" s="8" t="s">
        <v>1983</v>
      </c>
      <c r="C780" s="8" t="str">
        <f aca="false">TRIM(SUBSTITUTE($B780,CHAR(160)," "))</f>
        <v>B10 - תחבושת אלסטית 10 ס""מ</v>
      </c>
    </row>
    <row r="781" customFormat="false" ht="15" hidden="false" customHeight="true" outlineLevel="0" collapsed="false">
      <c r="A781" s="8" t="n">
        <v>4422028</v>
      </c>
      <c r="B781" s="8" t="s">
        <v>1984</v>
      </c>
      <c r="C781" s="8" t="str">
        <f aca="false">TRIM(SUBSTITUTE($B781,CHAR(160)," "))</f>
        <v>B10 - תחבושת אלסטית 5ס""מ</v>
      </c>
    </row>
    <row r="782" customFormat="false" ht="15" hidden="false" customHeight="true" outlineLevel="0" collapsed="false">
      <c r="A782" s="8" t="n">
        <v>4422029</v>
      </c>
      <c r="B782" s="8" t="s">
        <v>1985</v>
      </c>
      <c r="C782" s="8" t="str">
        <f aca="false">TRIM(SUBSTITUTE($B782,CHAR(160)," "))</f>
        <v>B75 תחבושת אלסטית 7.5ס""מ</v>
      </c>
    </row>
  </sheetData>
  <mergeCells count="1"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2026-09-24T14:01:51Z</dcterms:created>
  <dc:creator>openpyxl</dc:creator>
  <dc:description/>
  <dc:language>en-US</dc:language>
  <cp:lastModifiedBy/>
  <dcterms:modified xsi:type="dcterms:W3CDTF">2026-09-24T14:33:59Z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